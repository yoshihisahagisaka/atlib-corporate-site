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営比較" sheetId="1" state="visible" r:id="rId1"/>
    <sheet xmlns:r="http://schemas.openxmlformats.org/officeDocument/2006/relationships" name="前提と出典" sheetId="2" state="visible" r:id="rId2"/>
    <sheet xmlns:r="http://schemas.openxmlformats.org/officeDocument/2006/relationships" name="同一企業モデル" sheetId="3" state="visible" r:id="rId3"/>
    <sheet xmlns:r="http://schemas.openxmlformats.org/officeDocument/2006/relationships" name="契約別単価" sheetId="4" state="visible" r:id="rId4"/>
    <sheet xmlns:r="http://schemas.openxmlformats.org/officeDocument/2006/relationships" name="利益曲線" sheetId="5" state="visible" r:id="rId5"/>
    <sheet xmlns:r="http://schemas.openxmlformats.org/officeDocument/2006/relationships" name="累積回収" sheetId="6" state="visible" r:id="rId6"/>
    <sheet xmlns:r="http://schemas.openxmlformats.org/officeDocument/2006/relationships" name="固定条件比較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color rgb="00203047"/>
      <sz val="10"/>
    </font>
    <font>
      <name val="Arial"/>
      <b val="1"/>
      <color rgb="00FFFFFF"/>
      <sz val="10"/>
    </font>
    <font>
      <name val="Arial"/>
      <b val="1"/>
      <color rgb="001F3556"/>
      <sz val="15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vertical="center" wrapText="1"/>
    </xf>
    <xf numFmtId="9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9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color rgb="00B71C1C"/>
      </font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40"/>
  <ns0:sheetViews>
    <ns0:sheetView showGridLines="0" workbookViewId="0">
      <ns0:selection activeCell="A1" sqref="A1"/>
    </ns0:sheetView>
  </ns0:sheetViews>
  <ns0:sheetFormatPr baseColWidth="8" defaultRowHeight="15"/>
  <ns0:cols>
    <ns0:col width="30" customWidth="1" min="1" max="1"/>
    <ns0:col width="25" customWidth="1" min="2" max="2"/>
    <ns0:col width="25" customWidth="1" min="3" max="3"/>
    <ns0:col width="25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</ns0:cols>
  <ns0:sheetData>
    <ns0:row r="1" ht="32" customHeight="1">
      <ns0:c r="A1" s="1" t="inlineStr">
        <ns0:is>
          <ns0:t>Guard・Send・セット 経営比較</ns0:t>
        </ns0:is>
      </ns0:c>
    </ns0:row>
    <ns0:row r="2" ht="48" customHeight="1">
      <ns0:c r="A2" s="2" t="inlineStr">
        <ns0:is>
          <ns0:t>選択条件は4行に表示。共通率は前提と出典E4〜E6。価格・配分は正式決定ではない。</ns0:t>
        </ns0:is>
      </ns0:c>
    </ns0:row>
    <ns0:row r="3" ht="24" customHeight="1"/>
    <ns0:row r="4" ht="24" customHeight="1">
      <ns0:c r="A4" s="3" t="inlineStr">
        <ns0:is>
          <ns0:t>選択Guard案</ns0:t>
        </ns0:is>
      </ns0:c>
      <ns0:c r="B4" s="4" t="str">
        <ns0:f>INDEX('前提と出典'!A41:A43,'前提と出典'!$B$15+1)</ns0:f>
        <ns0:v>G2二段階</ns0:v>
      </ns0:c>
      <ns0:c r="D4" s="3" t="inlineStr">
        <ns0:is>
          <ns0:t>選択Send案</ns0:t>
        </ns0:is>
      </ns0:c>
      <ns0:c r="E4" s="4" t="str">
        <ns0:f>INDEX('前提と出典'!A46:A48,'前提と出典'!$B$16+1)</ns0:f>
        <ns0:v>D</ns0:v>
      </ns0:c>
      <ns0:c r="G4" s="3" t="inlineStr">
        <ns0:is>
          <ns0:t>割引</ns0:t>
        </ns0:is>
      </ns0:c>
      <ns0:c r="H4" s="4">
        <ns0:f>'前提と出典'!$B$17</ns0:f>
        <ns0:v>500</ns0:v>
      </ns0:c>
    </ns0:row>
    <ns0:row r="5" ht="24" customHeight="1"/>
    <ns0:row r="6" ht="42" customHeight="1">
      <ns0:c r="A6" s="5" t="inlineStr">
        <ns0:is>
          <ns0:t>共通配分率</ns0:t>
        </ns0:is>
      </ns0:c>
      <ns0:c r="B6" s="5" t="inlineStr">
        <ns0:is>
          <ns0:t>初回黒字企業数</ns0:t>
        </ns0:is>
      </ns0:c>
      <ns0:c r="C6" s="5" t="inlineStr">
        <ns0:is>
          <ns0:t>継続黒字企業数</ns0:t>
        </ns0:is>
      </ns0:c>
      <ns0:c r="D6" s="5" t="inlineStr">
        <ns0:is>
          <ns0:t>両サービス継続黒字</ns0:t>
        </ns0:is>
      </ns0:c>
      <ns0:c r="E6" s="5" t="inlineStr">
        <ns0:is>
          <ns0:t>100社差引</ns0:t>
        </ns0:is>
      </ns0:c>
      <ns0:c r="F6" s="5" t="inlineStr">
        <ns0:is>
          <ns0:t>100社Guard差引</ns0:t>
        </ns0:is>
      </ns0:c>
      <ns0:c r="G6" s="5" t="inlineStr">
        <ns0:is>
          <ns0:t>100社Send差引</ns0:t>
        </ns0:is>
      </ns0:c>
      <ns0:c r="H6" s="5" t="n"/>
      <ns0:c r="I6" s="5" t="n"/>
    </ns0:row>
    <ns0:row r="7" ht="24" customHeight="1">
      <ns0:c r="A7" s="6">
        <ns0:f>'前提と出典'!E4</ns0:f>
        <ns0:v>0.3</ns0:v>
      </ns0:c>
      <ns0:c r="B7" s="4">
        <ns0:f>IF(MIN('利益曲線'!AA5:AA1004)&gt;1000,"範囲内なし",MIN('利益曲線'!AA5:AA1004))</ns0:f>
        <ns0:v>23</ns0:v>
      </ns0:c>
      <ns0:c r="C7" s="4">
        <ns0:f>IF(MAX('利益曲線'!AB5:AB1004)&gt;=1000,"範囲内なし",MAX(1,MAX('利益曲線'!AB5:AB1004)+1))</ns0:f>
        <ns0:v>23</ns0:v>
      </ns0:c>
      <ns0:c r="D7" s="4">
        <ns0:f>IF(MAX('利益曲線'!AC5:AC1004)&gt;=1000,"範囲内なし",MAX(1,MAX('利益曲線'!AC5:AC1004)+1))</ns0:f>
        <ns0:v>48</ns0:v>
      </ns0:c>
      <ns0:c r="E7" s="7">
        <ns0:f>INDEX('利益曲線'!T5:T1004,100)</ns0:f>
        <ns0:v>193091.3880209002</ns0:v>
      </ns0:c>
      <ns0:c r="F7" s="7">
        <ns0:f>INDEX('利益曲線'!R5:R1004,100)</ns0:f>
        <ns0:v>154716.5635682954</ns0:v>
      </ns0:c>
      <ns0:c r="G7" s="7">
        <ns0:f>INDEX('利益曲線'!S5:S1004,100)</ns0:f>
        <ns0:v>38374.824452604815</ns0:v>
      </ns0:c>
    </ns0:row>
    <ns0:row r="8" ht="24" customHeight="1">
      <ns0:c r="A8" s="6">
        <ns0:f>'前提と出典'!E5</ns0:f>
        <ns0:v>0.4</ns0:v>
      </ns0:c>
      <ns0:c r="B8" s="4">
        <ns0:f>IF(MIN('利益曲線'!AD5:AD1004)&gt;1000,"範囲内なし",MIN('利益曲線'!AD5:AD1004))</ns0:f>
        <ns0:v>25</ns0:v>
      </ns0:c>
      <ns0:c r="C8" s="4">
        <ns0:f>IF(MAX('利益曲線'!AE5:AE1004)&gt;=1000,"範囲内なし",MAX(1,MAX('利益曲線'!AE5:AE1004)+1))</ns0:f>
        <ns0:v>25</ns0:v>
      </ns0:c>
      <ns0:c r="D8" s="4">
        <ns0:f>IF(MAX('利益曲線'!AF5:AF1004)&gt;=1000,"範囲内なし",MAX(1,MAX('利益曲線'!AF5:AF1004)+1))</ns0:f>
        <ns0:v>53</ns0:v>
      </ns0:c>
      <ns0:c r="E8" s="7">
        <ns0:f>INDEX('利益曲線'!W5:W1004,100)</ns0:f>
        <ns0:v>166147.98665653652</ns0:v>
      </ns0:c>
      <ns0:c r="F8" s="7">
        <ns0:f>INDEX('利益曲線'!U5:U1004,100)</ns0:f>
        <ns0:v>135367.11700097175</ns0:v>
      </ns0:c>
      <ns0:c r="G8" s="7">
        <ns0:f>INDEX('利益曲線'!V5:V1004,100)</ns0:f>
        <ns0:v>30780.869655564762</ns0:v>
      </ns0:c>
    </ns0:row>
    <ns0:row r="9" ht="24" customHeight="1">
      <ns0:c r="A9" s="6">
        <ns0:f>'前提と出典'!E6</ns0:f>
        <ns0:v>0.5</ns0:v>
      </ns0:c>
      <ns0:c r="B9" s="4">
        <ns0:f>IF(MIN('利益曲線'!AG5:AG1004)&gt;1000,"範囲内なし",MIN('利益曲線'!AG5:AG1004))</ns0:f>
        <ns0:v>29</ns0:v>
      </ns0:c>
      <ns0:c r="C9" s="4">
        <ns0:f>IF(MAX('利益曲線'!AH5:AH1004)&gt;=1000,"範囲内なし",MAX(1,MAX('利益曲線'!AH5:AH1004)+1))</ns0:f>
        <ns0:v>29</ns0:v>
      </ns0:c>
      <ns0:c r="D9" s="4">
        <ns0:f>IF(MAX('利益曲線'!AI5:AI1004)&gt;=1000,"範囲内なし",MAX(1,MAX('利益曲線'!AI5:AI1004)+1))</ns0:f>
        <ns0:v>60</ns0:v>
      </ns0:c>
      <ns0:c r="E9" s="7">
        <ns0:f>INDEX('利益曲線'!Z5:Z1004,100)</ns0:f>
        <ns0:v>139204.58529217273</ns0:v>
      </ns0:c>
      <ns0:c r="F9" s="7">
        <ns0:f>INDEX('利益曲線'!X5:X1004,100)</ns0:f>
        <ns0:v>116017.67043364803</ns0:v>
      </ns0:c>
      <ns0:c r="G9" s="7">
        <ns0:f>INDEX('利益曲線'!Y5:Y1004,100)</ns0:f>
        <ns0:v>23186.914858524717</ns0:v>
      </ns0:c>
    </ns0:row>
    <ns0:row r="10" ht="24" customHeight="1"/>
    <ns0:row r="11" ht="24" customHeight="1"/>
    <ns0:row r="12" ht="42" customHeight="1">
      <ns0:c r="A12" s="5" t="inlineStr">
        <ns0:is>
          <ns0:t>企業数</ns0:t>
        </ns0:is>
      </ns0:c>
      <ns0:c r="B12" s="5" t="inlineStr">
        <ns0:is>
          <ns0:t>総売上</ns0:t>
        </ns0:is>
      </ns0:c>
      <ns0:c r="C12" s="5" t="inlineStr">
        <ns0:is>
          <ns0:t>基本料金net</ns0:t>
        </ns0:is>
      </ns0:c>
      <ns0:c r="D12" s="5" t="inlineStr">
        <ns0:is>
          <ns0:t>従量売上</ns0:t>
        </ns0:is>
      </ns0:c>
      <ns0:c r="E12" s="5" t="inlineStr">
        <ns0:is>
          <ns0:t>率2配分</ns0:t>
        </ns0:is>
      </ns0:c>
      <ns0:c r="F12" s="5" t="inlineStr">
        <ns0:is>
          <ns0:t>DNS仕入</ns0:t>
        </ns0:is>
      </ns0:c>
      <ns0:c r="G12" s="5" t="inlineStr">
        <ns0:is>
          <ns0:t>G+S infra運用</ns0:t>
        </ns0:is>
      </ns0:c>
      <ns0:c r="H12" s="5" t="inlineStr">
        <ns0:is>
          <ns0:t>決済手数料</ns0:t>
        </ns0:is>
      </ns0:c>
      <ns0:c r="I12" s="5" t="inlineStr">
        <ns0:is>
          <ns0:t>率2後差引</ns0:t>
        </ns0:is>
      </ns0:c>
    </ns0:row>
    <ns0:row r="13" ht="24" customHeight="1">
      <ns0:c r="A13" s="4" t="n">
        <ns0:v>10</ns0:v>
      </ns0:c>
      <ns0:c r="B13" s="7">
        <ns0:f>INDEX('利益曲線'!E5:E1004,A13)+INDEX('利益曲線'!F5:F1004,A13)+INDEX('利益曲線'!G5:G1004,A13)+INDEX('利益曲線'!H5:H1004,A13)</ns0:f>
        <ns0:v>53756.472305662384</ns0:v>
      </ns0:c>
      <ns0:c r="C13" s="7">
        <ns0:f>INDEX('利益曲線'!E5:E1004,A13)+INDEX('利益曲線'!F5:F1004,A13)</ns0:f>
        <ns0:v>26943.401364363715</ns0:v>
      </ns0:c>
      <ns0:c r="D13" s="7">
        <ns0:f>INDEX('利益曲線'!G5:G1004,A13)+INDEX('利益曲線'!H5:H1004,A13)</ns0:f>
        <ns0:v>26813.07094129867</ns0:v>
      </ns0:c>
      <ns0:c r="E13" s="7">
        <ns0:f>C13*'前提と出典'!E5</ns0:f>
        <ns0:v>10777.360545745487</ns0:v>
      </ns0:c>
      <ns0:c r="F13" s="7">
        <ns0:f>INDEX('利益曲線'!O5:O1004,A13)</ns0:f>
        <ns0:v>22500</ns0:v>
      </ns0:c>
      <ns0:c r="G13" s="7">
        <ns0:f>INDEX('利益曲線'!I5:I1004,A13)+INDEX('利益曲線'!J5:J1004,A13)+INDEX('利益曲線'!K5:K1004,A13)+INDEX('利益曲線'!L5:L1004,A13)+INDEX('利益曲線'!M5:M1004,A13)+INDEX('利益曲線'!N5:N1004,A13)</ns0:f>
        <ns0:v>49059.08885270178</ns0:v>
      </ns0:c>
      <ns0:c r="H13" s="7">
        <ns0:f>B13*'前提と出典'!$B$7</ns0:f>
        <ns0:v>1935.2330030038456</ns0:v>
      </ns0:c>
      <ns0:c r="I13" s="7">
        <ns0:f>INDEX('利益曲線'!W5:W1004,A13)</ns0:f>
        <ns0:v>-30515.21009578873</ns0:v>
      </ns0:c>
    </ns0:row>
    <ns0:row r="14" ht="24" customHeight="1">
      <ns0:c r="A14" s="4" t="n">
        <ns0:v>30</ns0:v>
      </ns0:c>
      <ns0:c r="B14" s="7">
        <ns0:f>INDEX('利益曲線'!E5:E1004,A14)+INDEX('利益曲線'!F5:F1004,A14)+INDEX('利益曲線'!G5:G1004,A14)+INDEX('利益曲線'!H5:H1004,A14)</ns0:f>
        <ns0:v>161269.41691698716</ns0:v>
      </ns0:c>
      <ns0:c r="C14" s="7">
        <ns0:f>INDEX('利益曲線'!E5:E1004,A14)+INDEX('利益曲線'!F5:F1004,A14)</ns0:f>
        <ns0:v>80830.20409309115</ns0:v>
      </ns0:c>
      <ns0:c r="D14" s="7">
        <ns0:f>INDEX('利益曲線'!G5:G1004,A14)+INDEX('利益曲線'!H5:H1004,A14)</ns0:f>
        <ns0:v>80439.21282389601</ns0:v>
      </ns0:c>
      <ns0:c r="E14" s="7">
        <ns0:f>C14*'前提と出典'!E5</ns0:f>
        <ns0:v>32332.081637236457</ns0:v>
      </ns0:c>
      <ns0:c r="F14" s="7">
        <ns0:f>INDEX('利益曲線'!O5:O1004,A14)</ns0:f>
        <ns0:v>29789.497206703913</ns0:v>
      </ns0:c>
      <ns0:c r="G14" s="7">
        <ns0:f>INDEX('利益曲線'!I5:I1004,A14)+INDEX('利益曲線'!J5:J1004,A14)+INDEX('利益曲線'!K5:K1004,A14)+INDEX('利益曲線'!L5:L1004,A14)+INDEX('利益曲線'!M5:M1004,A14)+INDEX('利益曲線'!N5:N1004,A14)</ns0:f>
        <ns0:v>81655.39730548975</ns0:v>
      </ns0:c>
      <ns0:c r="H14" s="7">
        <ns0:f>B14*'前提と出典'!$B$7</ns0:f>
        <ns0:v>5805.699009011538</ns0:v>
      </ns0:c>
      <ns0:c r="I14" s="7">
        <ns0:f>INDEX('利益曲線'!W5:W1004,A14)</ns0:f>
        <ns0:v>11686.741758545486</ns0:v>
      </ns0:c>
    </ns0:row>
    <ns0:row r="15" ht="24" customHeight="1">
      <ns0:c r="A15" s="4" t="n">
        <ns0:v>50</ns0:v>
      </ns0:c>
      <ns0:c r="B15" s="7">
        <ns0:f>INDEX('利益曲線'!E5:E1004,A15)+INDEX('利益曲線'!F5:F1004,A15)+INDEX('利益曲線'!G5:G1004,A15)+INDEX('利益曲線'!H5:H1004,A15)</ns0:f>
        <ns0:v>268782.3615283119</ns0:v>
      </ns0:c>
      <ns0:c r="C15" s="7">
        <ns0:f>INDEX('利益曲線'!E5:E1004,A15)+INDEX('利益曲線'!F5:F1004,A15)</ns0:f>
        <ns0:v>134717.00682181856</ns0:v>
      </ns0:c>
      <ns0:c r="D15" s="7">
        <ns0:f>INDEX('利益曲線'!G5:G1004,A15)+INDEX('利益曲線'!H5:H1004,A15)</ns0:f>
        <ns0:v>134065.35470649335</ns0:v>
      </ns0:c>
      <ns0:c r="E15" s="7">
        <ns0:f>C15*'前提と出典'!E5</ns0:f>
        <ns0:v>53886.80272872743</ns0:v>
      </ns0:c>
      <ns0:c r="F15" s="7">
        <ns0:f>INDEX('利益曲線'!O5:O1004,A15)</ns0:f>
        <ns0:v>49649.16201117318</ns0:v>
      </ns0:c>
      <ns0:c r="G15" s="7">
        <ns0:f>INDEX('利益曲線'!I5:I1004,A15)+INDEX('利益曲線'!J5:J1004,A15)+INDEX('利益曲線'!K5:K1004,A15)+INDEX('利益曲線'!L5:L1004,A15)+INDEX('利益曲線'!M5:M1004,A15)+INDEX('利益曲線'!N5:N1004,A15)</ns0:f>
        <ns0:v>99751.70575827773</ns0:v>
      </ns0:c>
      <ns0:c r="H15" s="7">
        <ns0:f>B15*'前提と出典'!$B$7</ns0:f>
        <ns0:v>9676.165015019229</ns0:v>
      </ns0:c>
      <ns0:c r="I15" s="7">
        <ns0:f>INDEX('利益曲線'!W5:W1004,A15)</ns0:f>
        <ns0:v>55818.526015114345</ns0:v>
      </ns0:c>
    </ns0:row>
    <ns0:row r="16" ht="24" customHeight="1">
      <ns0:c r="A16" s="4" t="n">
        <ns0:v>100</ns0:v>
      </ns0:c>
      <ns0:c r="B16" s="7">
        <ns0:f>INDEX('利益曲線'!E5:E1004,A16)+INDEX('利益曲線'!F5:F1004,A16)+INDEX('利益曲線'!G5:G1004,A16)+INDEX('利益曲線'!H5:H1004,A16)</ns0:f>
        <ns0:v>537564.7230566238</ns0:v>
      </ns0:c>
      <ns0:c r="C16" s="7">
        <ns0:f>INDEX('利益曲線'!E5:E1004,A16)+INDEX('利益曲線'!F5:F1004,A16)</ns0:f>
        <ns0:v>269434.0136436371</ns0:v>
      </ns0:c>
      <ns0:c r="D16" s="7">
        <ns0:f>INDEX('利益曲線'!G5:G1004,A16)+INDEX('利益曲線'!H5:H1004,A16)</ns0:f>
        <ns0:v>268130.7094129867</ns0:v>
      </ns0:c>
      <ns0:c r="E16" s="7">
        <ns0:f>C16*'前提と出典'!E5</ns0:f>
        <ns0:v>107773.60545745486</ns0:v>
      </ns0:c>
      <ns0:c r="F16" s="7">
        <ns0:f>INDEX('利益曲線'!O5:O1004,A16)</ns0:f>
        <ns0:v>99298.32402234637</ns0:v>
      </ns0:c>
      <ns0:c r="G16" s="7">
        <ns0:f>INDEX('利益曲線'!I5:I1004,A16)+INDEX('利益曲線'!J5:J1004,A16)+INDEX('利益曲線'!K5:K1004,A16)+INDEX('利益曲線'!L5:L1004,A16)+INDEX('利益曲線'!M5:M1004,A16)+INDEX('利益曲線'!N5:N1004,A16)</ns0:f>
        <ns0:v>144992.47689024766</ns0:v>
      </ns0:c>
      <ns0:c r="H16" s="7">
        <ns0:f>B16*'前提と出典'!$B$7</ns0:f>
        <ns0:v>19352.330030038458</ns0:v>
      </ns0:c>
      <ns0:c r="I16" s="7">
        <ns0:f>INDEX('利益曲線'!W5:W1004,A16)</ns0:f>
        <ns0:v>166147.98665653652</ns0:v>
      </ns0:c>
    </ns0:row>
    <ns0:row r="17" ht="24" customHeight="1">
      <ns0:c r="A17" s="4" t="n">
        <ns0:v>300</ns0:v>
      </ns0:c>
      <ns0:c r="B17" s="7">
        <ns0:f>INDEX('利益曲線'!E5:E1004,A17)+INDEX('利益曲線'!F5:F1004,A17)+INDEX('利益曲線'!G5:G1004,A17)+INDEX('利益曲線'!H5:H1004,A17)</ns0:f>
        <ns0:v>1612694.1691698716</ns0:v>
      </ns0:c>
      <ns0:c r="C17" s="7">
        <ns0:f>INDEX('利益曲線'!E5:E1004,A17)+INDEX('利益曲線'!F5:F1004,A17)</ns0:f>
        <ns0:v>808302.0409309114</ns0:v>
      </ns0:c>
      <ns0:c r="D17" s="7">
        <ns0:f>INDEX('利益曲線'!G5:G1004,A17)+INDEX('利益曲線'!H5:H1004,A17)</ns0:f>
        <ns0:v>804392.1282389602</ns0:v>
      </ns0:c>
      <ns0:c r="E17" s="7">
        <ns0:f>C17*'前提と出典'!E5</ns0:f>
        <ns0:v>323320.8163723646</ns0:v>
      </ns0:c>
      <ns0:c r="F17" s="7">
        <ns0:f>INDEX('利益曲線'!O5:O1004,A17)</ns0:f>
        <ns0:v>297894.9720670391</ns0:v>
      </ns0:c>
      <ns0:c r="G17" s="7">
        <ns0:f>INDEX('利益曲線'!I5:I1004,A17)+INDEX('利益曲線'!J5:J1004,A17)+INDEX('利益曲線'!K5:K1004,A17)+INDEX('利益曲線'!L5:L1004,A17)+INDEX('利益曲線'!M5:M1004,A17)+INDEX('利益曲線'!N5:N1004,A17)</ns0:f>
        <ns0:v>367955.5614181274</ns0:v>
      </ns0:c>
      <ns0:c r="H17" s="7">
        <ns0:f>B17*'前提と出典'!$B$7</ns0:f>
        <ns0:v>58056.990090115374</ns0:v>
      </ns0:c>
      <ns0:c r="I17" s="7">
        <ns0:f>INDEX('利益曲線'!W5:W1004,A17)</ns0:f>
        <ns0:v>565465.8292222252</ns0:v>
      </ns0:c>
    </ns0:row>
    <ns0:row r="18" ht="24" customHeight="1">
      <ns0:c r="A18" s="4" t="n">
        <ns0:v>1000</ns0:v>
      </ns0:c>
      <ns0:c r="B18" s="7">
        <ns0:f>INDEX('利益曲線'!E5:E1004,A18)+INDEX('利益曲線'!F5:F1004,A18)+INDEX('利益曲線'!G5:G1004,A18)+INDEX('利益曲線'!H5:H1004,A18)</ns0:f>
        <ns0:v>5375647.230566239</ns0:v>
      </ns0:c>
      <ns0:c r="C18" s="7">
        <ns0:f>INDEX('利益曲線'!E5:E1004,A18)+INDEX('利益曲線'!F5:F1004,A18)</ns0:f>
        <ns0:v>2694340.1364363716</ns0:v>
      </ns0:c>
      <ns0:c r="D18" s="7">
        <ns0:f>INDEX('利益曲線'!G5:G1004,A18)+INDEX('利益曲線'!H5:H1004,A18)</ns0:f>
        <ns0:v>2681307.094129867</ns0:v>
      </ns0:c>
      <ns0:c r="E18" s="7">
        <ns0:f>C18*'前提と出典'!E5</ns0:f>
        <ns0:v>1077736.0545745487</ns0:v>
      </ns0:c>
      <ns0:c r="F18" s="7">
        <ns0:f>INDEX('利益曲線'!O5:O1004,A18)</ns0:f>
        <ns0:v>992983.2402234637</ns0:v>
      </ns0:c>
      <ns0:c r="G18" s="7">
        <ns0:f>INDEX('利益曲線'!I5:I1004,A18)+INDEX('利益曲線'!J5:J1004,A18)+INDEX('利益曲線'!K5:K1004,A18)+INDEX('利益曲線'!L5:L1004,A18)+INDEX('利益曲線'!M5:M1004,A18)+INDEX('利益曲線'!N5:N1004,A18)</ns0:f>
        <ns0:v>1071326.3572657064</ns0:v>
      </ns0:c>
      <ns0:c r="H18" s="7">
        <ns0:f>B18*'前提と出典'!$B$7</ns0:f>
        <ns0:v>193523.30030038458</ns0:v>
      </ns0:c>
      <ns0:c r="I18" s="7">
        <ns0:f>INDEX('利益曲線'!W5:W1004,A18)</ns0:f>
        <ns0:v>2040078.278202135</ns0:v>
      </ns0:c>
    </ns0:row>
    <ns0:row r="19" ht="24" customHeight="1"/>
    <ns0:row r="20" ht="24" customHeight="1"/>
    <ns0:row r="21" ht="42" customHeight="1">
      <ns0:c r="A21" s="5" t="inlineStr">
        <ns0:is>
          <ns0:t>共通率</ns0:t>
        </ns0:is>
      </ns0:c>
      <ns0:c r="B21" s="5" t="inlineStr">
        <ns0:is>
          <ns0:t>単月黒字月</ns0:t>
        </ns0:is>
      </ns0:c>
      <ns0:c r="C21" s="5" t="inlineStr">
        <ns0:is>
          <ns0:t>累積回収月</ns0:t>
        </ns0:is>
      </ns0:c>
      <ns0:c r="D21" s="5" t="inlineStr">
        <ns0:is>
          <ns0:t>最大累積赤字</ns0:t>
        </ns0:is>
      </ns0:c>
      <ns0:c r="E21" s="5" t="inlineStr">
        <ns0:is>
          <ns0:t>36月累積差引</ns0:t>
        </ns0:is>
      </ns0:c>
      <ns0:c r="F21" s="5" t="n"/>
      <ns0:c r="G21" s="5" t="n"/>
      <ns0:c r="H21" s="5" t="n"/>
      <ns0:c r="I21" s="5" t="n"/>
    </ns0:row>
    <ns0:row r="22" ht="24" customHeight="1">
      <ns0:c r="A22" s="6">
        <ns0:f>'前提と出典'!E4</ns0:f>
        <ns0:v>0.3</ns0:v>
      </ns0:c>
      <ns0:c r="B22" s="4">
        <ns0:f>IF(MIN('累積回収'!AH5:AH40)&gt;36,"36月内なし",MIN('累積回収'!AH5:AH40))</ns0:f>
        <ns0:v>8</ns0:v>
      </ns0:c>
      <ns0:c r="C22" s="4">
        <ns0:f>IF(MIN('累積回収'!AI5:AI40)&gt;36,"36月内なし",MIN('累積回収'!AI5:AI40))</ns0:f>
        <ns0:v>14</ns0:v>
      </ns0:c>
      <ns0:c r="D22" s="7">
        <ns0:f>MAX('累積回収'!AE5:AE40)</ns0:f>
        <ns0:v>185179.99918172893</ns0:v>
      </ns0:c>
      <ns0:c r="E22" s="7">
        <ns0:f>'累積回収'!AB40</ns0:f>
        <ns0:v>2973111.352122906</ns0:v>
      </ns0:c>
    </ns0:row>
    <ns0:row r="23" ht="24" customHeight="1">
      <ns0:c r="A23" s="6">
        <ns0:f>'前提と出典'!E5</ns0:f>
        <ns0:v>0.4</ns0:v>
      </ns0:c>
      <ns0:c r="B23" s="4">
        <ns0:f>IF(MIN('累積回収'!AJ5:AJ40)&gt;36,"36月内なし",MIN('累積回収'!AJ5:AJ40))</ns0:f>
        <ns0:v>9</ns0:v>
      </ns0:c>
      <ns0:c r="C23" s="4">
        <ns0:f>IF(MIN('累積回収'!AK5:AK40)&gt;36,"36月内なし",MIN('累積回収'!AK5:AK40))</ns0:f>
        <ns0:v>16</ns0:v>
      </ns0:c>
      <ns0:c r="D23" s="7">
        <ns0:f>MAX('累積回収'!AF5:AF40)</ns0:f>
        <ns0:v>209365.24984621964</ns0:v>
      </ns0:c>
      <ns0:c r="E23" s="7">
        <ns0:f>'累積回収'!AC40</ns0:f>
        <ns0:v>2434782.1928629186</ns0:v>
      </ns0:c>
    </ns0:row>
    <ns0:row r="24" ht="24" customHeight="1">
      <ns0:c r="A24" s="6">
        <ns0:f>'前提と出典'!E6</ns0:f>
        <ns0:v>0.5</ns0:v>
      </ns0:c>
      <ns0:c r="B24" s="4">
        <ns0:f>IF(MIN('累積回収'!AL5:AL40)&gt;36,"36月内なし",MIN('累積回収'!AL5:AL40))</ns0:f>
        <ns0:v>10</ns0:v>
      </ns0:c>
      <ns0:c r="C24" s="4">
        <ns0:f>IF(MIN('累積回収'!AM5:AM40)&gt;36,"36月内なし",MIN('累積回収'!AM5:AM40))</ns0:f>
        <ns0:v>18</ns0:v>
      </ns0:c>
      <ns0:c r="D24" s="7">
        <ns0:f>MAX('累積回収'!AG5:AG40)</ns0:f>
        <ns0:v>240671.86756805048</ns0:v>
      </ns0:c>
      <ns0:c r="E24" s="7">
        <ns0:f>'累積回収'!AD40</ns0:f>
        <ns0:v>1896453.0336029325</ns0:v>
      </ns0:c>
    </ns0:row>
    <ns0:row r="25" ht="24" customHeight="1"/>
    <ns0:row r="26" ht="24" customHeight="1"/>
    <ns0:row r="27" ht="24" customHeight="1">
      <ns0:c r="A27" s="3" t="inlineStr">
        <ns0:is>
          <ns0:t>初期費用</ns0:t>
        </ns0:is>
      </ns0:c>
      <ns0:c r="B27" s="4" t="str">
        <ns0:f>IF('前提と出典'!$B$32="","未入力・未算入",'前提と出典'!$B$32)</ns0:f>
        <ns0:v>未入力・未算入</ns0:v>
      </ns0:c>
    </ns0:row>
    <ns0:row r="28" ht="24" customHeight="1">
      <ns0:c r="A28" s="3" t="inlineStr">
        <ns0:is>
          <ns0:t>導入率からの対象企業数</ns0:t>
        </ns0:is>
      </ns0:c>
      <ns0:c r="B28" s="4">
        <ns0:f>'前提と出典'!$B$28*'前提と出典'!$B$29</ns0:f>
        <ns0:v>100</ns0:v>
      </ns0:c>
    </ns0:row>
    <ns0:row r="29" ht="24" customHeight="1">
      <ns0:c r="A29" s="3" t="inlineStr">
        <ns0:is>
          <ns0:t>参照Guard/Send/Set対象率</ns0:t>
        </ns0:is>
      </ns0:c>
      <ns0:c r="B29" s="4">
        <ns0:f>'契約別単価'!B5</ns0:f>
        <ns0:v>0.8950000000000001</ns0:v>
      </ns0:c>
      <ns0:c r="C29" s="4">
        <ns0:f>'契約別単価'!B6</ns0:f>
        <ns0:v>0.995</ns0:v>
      </ns0:c>
      <ns0:c r="D29" s="4">
        <ns0:f>'契約別単価'!B7</ns0:f>
        <ns0:v>0.8950000000000001</ns0:v>
      </ns0:c>
    </ns0:row>
    <ns0:row r="30" ht="24" customHeight="1"/>
    <ns0:row r="31" ht="38" customHeight="1">
      <ns0:c r="A31" s="2" t="inlineStr">
        <ns0:is>
          <ns0:t>各価格・比率・為替・利用・割引は前提と出典で変更。契約形態だけの評価はB34で1/2/3を選択。</ns0:t>
        </ns0:is>
      </ns0:c>
    </ns0:row>
    <ns0:row r="32" ht="38" customHeight="1">
      <ns0:c r="A32" s="2" t="inlineStr">
        <ns0:is>
          <ns0:t>セット合計黒字とGuard/Send独立黒字を分ける。51送信者以上・101PC以上は要見積。</ns0:t>
        </ns0:is>
      </ns0:c>
    </ns0:row>
    <ns0:row r="33" ht="38" customHeight="1">
      <ns0:c r="A33" s="2" t="inlineStr">
        <ns0:is>
          <ns0:t>同一企業の規模仮説はPR14のPC帯を再利用。前回の全国従業者ベンチマークによるSend分布と別の感度。</ns0:t>
        </ns0:is>
      </ns0:c>
    </ns0:row>
    <ns0:row r="34" ht="24" customHeight="1"/>
    <ns0:row r="35" ht="42" customHeight="1">
      <ns0:c r="A35" s="5" t="inlineStr">
        <ns0:is>
          <ns0:t>共通率</ns0:t>
        </ns0:is>
      </ns0:c>
      <ns0:c r="B35" s="5" t="inlineStr">
        <ns0:is>
          <ns0:t>導入目標社数時の差引</ns0:t>
        </ns0:is>
      </ns0:c>
      <ns0:c r="C35" s="5" t="inlineStr">
        <ns0:is>
          <ns0:t>導入目標時DNS原価</ns0:t>
        </ns0:is>
      </ns0:c>
      <ns0:c r="D35" s="5" t="n"/>
      <ns0:c r="E35" s="5" t="n"/>
      <ns0:c r="F35" s="5" t="n"/>
      <ns0:c r="G35" s="5" t="n"/>
      <ns0:c r="H35" s="5" t="n"/>
      <ns0:c r="I35" s="5" t="n"/>
    </ns0:row>
    <ns0:row r="36" ht="24" customHeight="1">
      <ns0:c r="A36" s="6">
        <ns0:f>'前提と出典'!E4</ns0:f>
        <ns0:v>0.3</ns0:v>
      </ns0:c>
      <ns0:c r="B36" s="7">
        <ns0:f>IF(OR(B28&lt;1,B28&gt;1000),"評価範囲外",INDEX('利益曲線'!T5:T1004,ROUNDUP(B28,0)))</ns0:f>
        <ns0:v>193091.3880209002</ns0:v>
      </ns0:c>
      <ns0:c r="C36" s="7">
        <ns0:f>IF(OR(B28&lt;1,B28&gt;1000),"評価範囲外",INDEX('利益曲線'!O5:O1004,ROUNDUP(B28,0)))</ns0:f>
        <ns0:v>99298.32402234637</ns0:v>
      </ns0:c>
    </ns0:row>
    <ns0:row r="37" ht="24" customHeight="1">
      <ns0:c r="A37" s="6">
        <ns0:f>'前提と出典'!E5</ns0:f>
        <ns0:v>0.4</ns0:v>
      </ns0:c>
      <ns0:c r="B37" s="7">
        <ns0:f>IF(OR(B28&lt;1,B28&gt;1000),"評価範囲外",INDEX('利益曲線'!W5:W1004,ROUNDUP(B28,0)))</ns0:f>
        <ns0:v>166147.98665653652</ns0:v>
      </ns0:c>
      <ns0:c r="C37" s="7">
        <ns0:f>IF(OR(B28&lt;1,B28&gt;1000),"評価範囲外",INDEX('利益曲線'!O5:O1004,ROUNDUP(B28,0)))</ns0:f>
        <ns0:v>99298.32402234637</ns0:v>
      </ns0:c>
    </ns0:row>
    <ns0:row r="38" ht="24" customHeight="1">
      <ns0:c r="A38" s="6">
        <ns0:f>'前提と出典'!E6</ns0:f>
        <ns0:v>0.5</ns0:v>
      </ns0:c>
      <ns0:c r="B38" s="7">
        <ns0:f>IF(OR(B28&lt;1,B28&gt;1000),"評価範囲外",INDEX('利益曲線'!Z5:Z1004,ROUNDUP(B28,0)))</ns0:f>
        <ns0:v>139204.58529217273</ns0:v>
      </ns0:c>
      <ns0:c r="C38" s="7">
        <ns0:f>IF(OR(B28&lt;1,B28&gt;1000),"評価範囲外",INDEX('利益曲線'!O5:O1004,ROUNDUP(B28,0)))</ns0:f>
        <ns0:v>99298.32402234637</ns0:v>
      </ns0:c>
    </ns0:row>
    <ns0:row r="39" ht="24" customHeight="1"/>
    <ns0:row r="40" ht="24" customHeight="1">
      <ns0:c r="A40" s="3" t="inlineStr">
        <ns0:is>
          <ns0:t>導入目標と対象社数の整合</ns0:t>
        </ns0:is>
      </ns0:c>
      <ns0:c r="B40" s="4" t="str">
        <ns0:f>IF(AND(B28*('前提と出典'!C36+'前提と出典'!C38)&lt;='前提と出典'!B28*'契約別単価'!B5,B28*('前提と出典'!C37+'前提と出典'!C38)&lt;='前提と出典'!B28*'契約別単価'!B6,B28*'前提と出典'!C38&lt;='前提と出典'!B28*'契約別単価'!B7),"仮定内","構成比を再設定")</ns0:f>
        <ns0:v>仮定内</ns0:v>
      </ns0:c>
    </ns0:row>
  </ns0:sheetData>
  <ns0:mergeCells count="5">
    <ns0:mergeCell ref="A2:I2"/>
    <ns0:mergeCell ref="A33:I33"/>
    <ns0:mergeCell ref="A32:I32"/>
    <ns0:mergeCell ref="A1:I1"/>
    <ns0:mergeCell ref="A31:I31"/>
  </ns0:mergeCells>
  <ns0:conditionalFormatting sqref="E7:G9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I90"/>
  <ns0:sheetViews>
    <ns0:sheetView showGridLines="0" workbookViewId="0">
      <ns0:selection activeCell="A1" sqref="A1"/>
    </ns0:sheetView>
  </ns0:sheetViews>
  <ns0:sheetFormatPr baseColWidth="8" defaultRowHeight="15"/>
  <ns0:cols>
    <ns0:col width="44" customWidth="1" min="1" max="1"/>
    <ns0:col width="25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</ns0:cols>
  <ns0:sheetData>
    <ns0:row r="1" ht="32" customHeight="1">
      <ns0:c r="A1" s="1" t="inlineStr">
        <ns0:is>
          <ns0:t>Secure Services 共通料金・原価の設定</ns0:t>
        </ns0:is>
      </ns0:c>
    </ns0:row>
    <ns0:row r="2" ht="48" customHeight="1">
      <ns0:c r="A2" s="2" t="inlineStr">
        <ns0:is>
          <ns0:t>青字は仮定・選択。実請求・公表・仮定を区分。料金・配分は正式決定ではない。</ns0:t>
        </ns0:is>
      </ns0:c>
    </ns0:row>
    <ns0:row r="3" ht="24" customHeight="1"/>
    <ns0:row r="4" ht="24" customHeight="1">
      <ns0:c r="A4" s="3" t="inlineStr">
        <ns0:is>
          <ns0:t>為替 JPY/USD</ns0:t>
        </ns0:is>
      </ns0:c>
      <ns0:c r="B4" s="8" t="n">
        <ns0:v>150</ns0:v>
      </ns0:c>
      <ns0:c r="D4" s="3" t="inlineStr">
        <ns0:is>
          <ns0:t>シェア率比較</ns0:t>
        </ns0:is>
      </ns0:c>
      <ns0:c r="E4" s="9" t="n">
        <ns0:v>0.3</ns0:v>
      </ns0:c>
    </ns0:row>
    <ns0:row r="5" ht="24" customHeight="1">
      <ns0:c r="A5" s="3" t="inlineStr">
        <ns0:is>
          <ns0:t>DNS単価 USD/台</ns0:t>
        </ns0:is>
      </ns0:c>
      <ns0:c r="B5" s="8" t="n">
        <ns0:v>0.92</ns0:v>
      </ns0:c>
      <ns0:c r="D5" s="3" t="inlineStr">
        <ns0:is>
          <ns0:t>シェア率比較</ns0:t>
        </ns0:is>
      </ns0:c>
      <ns0:c r="E5" s="9" t="n">
        <ns0:v>0.4</ns0:v>
      </ns0:c>
    </ns0:row>
    <ns0:row r="6" ht="24" customHeight="1">
      <ns0:c r="A6" s="3" t="inlineStr">
        <ns0:is>
          <ns0:t>MSP最低 USD/月</ns0:t>
        </ns0:is>
      </ns0:c>
      <ns0:c r="B6" s="8" t="n">
        <ns0:v>150</ns0:v>
      </ns0:c>
      <ns0:c r="D6" s="3" t="inlineStr">
        <ns0:is>
          <ns0:t>シェア率比較</ns0:t>
        </ns0:is>
      </ns0:c>
      <ns0:c r="E6" s="9" t="n">
        <ns0:v>0.5</ns0:v>
      </ns0:c>
    </ns0:row>
    <ns0:row r="7" ht="24" customHeight="1">
      <ns0:c r="A7" s="3" t="inlineStr">
        <ns0:is>
          <ns0:t>決済手数料率</ns0:t>
        </ns0:is>
      </ns0:c>
      <ns0:c r="B7" s="10" t="n">
        <ns0:v>0.036</ns0:v>
      </ns0:c>
    </ns0:row>
    <ns0:row r="8" ht="24" customHeight="1">
      <ns0:c r="A8" s="3" t="inlineStr">
        <ns0:is>
          <ns0:t>運用時給</ns0:t>
        </ns0:is>
      </ns0:c>
      <ns0:c r="B8" s="8" t="n">
        <ns0:v>4000</ns0:v>
      </ns0:c>
    </ns0:row>
    <ns0:row r="9" ht="24" customHeight="1">
      <ns0:c r="A9" s="3" t="inlineStr">
        <ns0:is>
          <ns0:t>Guard support分/社</ns0:t>
        </ns0:is>
      </ns0:c>
      <ns0:c r="B9" s="8" t="n">
        <ns0:v>8</ns0:v>
      </ns0:c>
    </ns0:row>
    <ns0:row r="10" ht="24" customHeight="1">
      <ns0:c r="A10" s="3" t="inlineStr">
        <ns0:is>
          <ns0:t>Guard support分/PC</ns0:t>
        </ns0:is>
      </ns0:c>
      <ns0:c r="B10" s="8" t="n">
        <ns0:v>0.1</ns0:v>
      </ns0:c>
      <ns0:c r="D10" s="3" t="inlineStr">
        <ns0:is>
          <ns0:t>低位送信職務倍率</ns0:t>
        </ns0:is>
      </ns0:c>
      <ns0:c r="E10" s="8" t="n">
        <ns0:v>0.5</ns0:v>
      </ns0:c>
    </ns0:row>
    <ns0:row r="11" ht="24" customHeight="1">
      <ns0:c r="A11" s="3" t="inlineStr">
        <ns0:is>
          <ns0:t>Guard変動JPY/社</ns0:t>
        </ns0:is>
      </ns0:c>
      <ns0:c r="B11" s="8" t="n">
        <ns0:v>50</ns0:v>
      </ns0:c>
      <ns0:c r="D11" s="3" t="inlineStr">
        <ns0:is>
          <ns0:t>基準送信職務倍率</ns0:t>
        </ns0:is>
      </ns0:c>
      <ns0:c r="E11" s="8" t="n">
        <ns0:v>1</ns0:v>
      </ns0:c>
    </ns0:row>
    <ns0:row r="12" ht="24" customHeight="1">
      <ns0:c r="A12" s="3" t="inlineStr">
        <ns0:is>
          <ns0:t>Guard変動JPY/PC</ns0:t>
        </ns0:is>
      </ns0:c>
      <ns0:c r="B12" s="8" t="n">
        <ns0:v>1</ns0:v>
      </ns0:c>
      <ns0:c r="D12" s="3" t="inlineStr">
        <ns0:is>
          <ns0:t>高位送信職務倍率</ns0:t>
        </ns0:is>
      </ns0:c>
      <ns0:c r="E12" s="8" t="n">
        <ns0:v>1.5</ns0:v>
      </ns0:c>
    </ns0:row>
    <ns0:row r="13" ht="24" customHeight="1">
      <ns0:c r="A13" s="3" t="inlineStr">
        <ns0:is>
          <ns0:t>Send送信者JPY/名</ns0:t>
        </ns0:is>
      </ns0:c>
      <ns0:c r="B13" s="8" t="n">
        <ns0:v>200</ns0:v>
      </ns0:c>
    </ns0:row>
    <ns0:row r="14" ht="24" customHeight="1">
      <ns0:c r="A14" s="3" t="inlineStr">
        <ns0:is>
          <ns0:t>同一企業シナリオ0低1基2高</ns0:t>
        </ns0:is>
      </ns0:c>
      <ns0:c r="B14" s="8" t="n">
        <ns0:v>1</ns0:v>
      </ns0:c>
    </ns0:row>
    <ns0:row r="15" ht="24" customHeight="1">
      <ns0:c r="A15" s="3" t="inlineStr">
        <ns0:is>
          <ns0:t>Guard案0現行1二段2三段</ns0:t>
        </ns0:is>
      </ns0:c>
      <ns0:c r="B15" s="8" t="n">
        <ns0:v>1</ns0:v>
      </ns0:c>
    </ns0:row>
    <ns0:row r="16" ht="24" customHeight="1">
      <ns0:c r="A16" s="3" t="inlineStr">
        <ns0:is>
          <ns0:t>Send案0A1C2D</ns0:t>
        </ns0:is>
      </ns0:c>
      <ns0:c r="B16" s="8" t="n">
        <ns0:v>2</ns0:v>
      </ns0:c>
    </ns0:row>
    <ns0:row r="17" ht="24" customHeight="1">
      <ns0:c r="A17" s="3" t="inlineStr">
        <ns0:is>
          <ns0:t>セット基本割引</ns0:t>
        </ns0:is>
      </ns0:c>
      <ns0:c r="B17" s="8" t="n">
        <ns0:v>500</ns0:v>
      </ns0:c>
    </ns0:row>
    <ns0:row r="18" ht="24" customHeight="1">
      <ns0:c r="A18" s="3" t="inlineStr">
        <ns0:is>
          <ns0:t>Send利用0低1標2高3上限</ns0:t>
        </ns0:is>
      </ns0:c>
      <ns0:c r="B18" s="8" t="n">
        <ns0:v>1</ns0:v>
      </ns0:c>
    </ns0:row>
    <ns0:row r="19" ht="24" customHeight="1">
      <ns0:c r="A19" s="3" t="inlineStr">
        <ns0:is>
          <ns0:t>割引按分0比例1Guard負担</ns0:t>
        </ns0:is>
      </ns0:c>
      <ns0:c r="B19" s="8" t="n">
        <ns0:v>0</ns0:v>
      </ns0:c>
    </ns0:row>
    <ns0:row r="20" ht="24" customHeight="1">
      <ns0:c r="A20" s="3" t="inlineStr">
        <ns0:is>
          <ns0:t>MSP原価0最低内包1加算</ns0:t>
        </ns0:is>
      </ns0:c>
      <ns0:c r="B20" s="8" t="n">
        <ns0:v>0</ns0:v>
      </ns0:c>
    </ns0:row>
    <ns0:row r="21" ht="24" customHeight="1">
      <ns0:c r="A21" s="3" t="inlineStr">
        <ns0:is>
          <ns0:t>現場中心企業の仮比率</ns0:t>
        </ns0:is>
      </ns0:c>
      <ns0:c r="B21" s="10" t="n">
        <ns0:v>0.7</ns0:v>
      </ns0:c>
    </ns0:row>
    <ns0:row r="22" ht="24" customHeight="1">
      <ns0:c r="A22" s="3" t="inlineStr">
        <ns0:is>
          <ns0:t>現場型の従業者倍率</ns0:t>
        </ns0:is>
      </ns0:c>
      <ns0:c r="B22" s="8" t="n">
        <ns0:v>1.5</ns0:v>
      </ns0:c>
    </ns0:row>
    <ns0:row r="23" ht="24" customHeight="1">
      <ns0:c r="A23" s="3" t="inlineStr">
        <ns0:is>
          <ns0:t>事務型の従業者倍率</ns0:t>
        </ns0:is>
      </ns0:c>
      <ns0:c r="B23" s="8" t="n">
        <ns0:v>0.75</ns0:v>
      </ns0:c>
    </ns0:row>
    <ns0:row r="24" ht="24" customHeight="1">
      <ns0:c r="A24" s="3" t="inlineStr">
        <ns0:is>
          <ns0:t>現場型の送信者職務率</ns0:t>
        </ns0:is>
      </ns0:c>
      <ns0:c r="B24" s="8" t="n">
        <ns0:v>0.1</ns0:v>
      </ns0:c>
    </ns0:row>
    <ns0:row r="25" ht="24" customHeight="1">
      <ns0:c r="A25" s="3" t="inlineStr">
        <ns0:is>
          <ns0:t>事務型の送信者職務率</ns0:t>
        </ns0:is>
      </ns0:c>
      <ns0:c r="B25" s="8" t="n">
        <ns0:v>0.3</ns0:v>
      </ns0:c>
    </ns0:row>
    <ns0:row r="26" ht="24" customHeight="1">
      <ns0:c r="A26" s="3" t="inlineStr">
        <ns0:is>
          <ns0:t>UL上限GiB/送信者月</ns0:t>
        </ns0:is>
      </ns0:c>
      <ns0:c r="B26" s="8" t="n">
        <ns0:v>1</ns0:v>
      </ns0:c>
    </ns0:row>
    <ns0:row r="27" ht="24" customHeight="1">
      <ns0:c r="A27" s="3" t="inlineStr">
        <ns0:is>
          <ns0:t>DL予算GiB/送信者月</ns0:t>
        </ns0:is>
      </ns0:c>
      <ns0:c r="B27" s="8" t="n">
        <ns0:v>2</ns0:v>
      </ns0:c>
    </ns0:row>
    <ns0:row r="28" ht="24" customHeight="1">
      <ns0:c r="A28" s="3" t="inlineStr">
        <ns0:is>
          <ns0:t>仮市場企業数</ns0:t>
        </ns0:is>
      </ns0:c>
      <ns0:c r="B28" s="8" t="n">
        <ns0:v>10000</ns0:v>
      </ns0:c>
    </ns0:row>
    <ns0:row r="29" ht="24" customHeight="1">
      <ns0:c r="A29" s="3" t="inlineStr">
        <ns0:is>
          <ns0:t>導入率・予測ではない</ns0:t>
        </ns0:is>
      </ns0:c>
      <ns0:c r="B29" s="10" t="n">
        <ns0:v>0.01</ns0:v>
      </ns0:c>
    </ns0:row>
    <ns0:row r="30" ht="24" customHeight="1">
      <ns0:c r="A30" s="3" t="inlineStr">
        <ns0:is>
          <ns0:t>月間新規企業数</ns0:t>
        </ns0:is>
      </ns0:c>
      <ns0:c r="B30" s="8" t="n">
        <ns0:v>3</ns0:v>
      </ns0:c>
    </ns0:row>
    <ns0:row r="31" ht="24" customHeight="1">
      <ns0:c r="A31" s="3" t="inlineStr">
        <ns0:is>
          <ns0:t>月間解約率</ns0:t>
        </ns0:is>
      </ns0:c>
      <ns0:c r="B31" s="10" t="n">
        <ns0:v>0</ns0:v>
      </ns0:c>
    </ns0:row>
    <ns0:row r="32" ht="24" customHeight="1">
      <ns0:c r="A32" s="3" t="inlineStr">
        <ns0:is>
          <ns0:t>初期投資JPY・未入力除外</ns0:t>
        </ns0:is>
      </ns0:c>
      <ns0:c r="B32" s="3" t="n"/>
    </ns0:row>
    <ns0:row r="33" ht="24" customHeight="1">
      <ns0:c r="A33" s="3" t="inlineStr">
        <ns0:is>
          <ns0:t>Guard従量0一律1累進</ns0:t>
        </ns0:is>
      </ns0:c>
      <ns0:c r="B33" s="8" t="n">
        <ns0:v>1</ns0:v>
      </ns0:c>
    </ns0:row>
    <ns0:row r="34" ht="24" customHeight="1">
      <ns0:c r="A34" s="3" t="inlineStr">
        <ns0:is>
          <ns0:t>契約構成0下記1G2S3セット</ns0:t>
        </ns0:is>
      </ns0:c>
      <ns0:c r="B34" s="8" t="n">
        <ns0:v>0</ns0:v>
      </ns0:c>
    </ns0:row>
    <ns0:row r="35" ht="42" customHeight="1">
      <ns0:c r="A35" s="5" t="inlineStr">
        <ns0:is>
          <ns0:t>契約構成</ns0:t>
        </ns0:is>
      </ns0:c>
      <ns0:c r="B35" s="5" t="inlineStr">
        <ns0:is>
          <ns0:t>入力比率</ns0:t>
        </ns0:is>
      </ns0:c>
      <ns0:c r="C35" s="5" t="inlineStr">
        <ns0:is>
          <ns0:t>正規化・有効比率</ns0:t>
        </ns0:is>
      </ns0:c>
      <ns0:c r="D35" s="5" t="n"/>
      <ns0:c r="E35" s="5" t="n"/>
      <ns0:c r="F35" s="5" t="n"/>
      <ns0:c r="G35" s="5" t="n"/>
      <ns0:c r="H35" s="5" t="n"/>
      <ns0:c r="I35" s="5" t="n"/>
    </ns0:row>
    <ns0:row r="36" ht="24" customHeight="1">
      <ns0:c r="A36" s="3" t="inlineStr">
        <ns0:is>
          <ns0:t>Guardのみ</ns0:t>
        </ns0:is>
      </ns0:c>
      <ns0:c r="B36" s="10" t="n">
        <ns0:v>0.4</ns0:v>
      </ns0:c>
      <ns0:c r="C36" s="11">
        <ns0:f>IF($B$34=0,B36/SUM($B$36:$B$38),IF($B$34=1,1,0))</ns0:f>
        <ns0:v>0.4</ns0:v>
      </ns0:c>
    </ns0:row>
    <ns0:row r="37" ht="24" customHeight="1">
      <ns0:c r="A37" s="3" t="inlineStr">
        <ns0:is>
          <ns0:t>Sendのみ</ns0:t>
        </ns0:is>
      </ns0:c>
      <ns0:c r="B37" s="10" t="n">
        <ns0:v>0.3</ns0:v>
      </ns0:c>
      <ns0:c r="C37" s="11">
        <ns0:f>IF($B$34=0,B37/SUM($B$36:$B$38),IF($B$34=2,1,0))</ns0:f>
        <ns0:v>0.3</ns0:v>
      </ns0:c>
    </ns0:row>
    <ns0:row r="38" ht="24" customHeight="1">
      <ns0:c r="A38" s="3" t="inlineStr">
        <ns0:is>
          <ns0:t>セット</ns0:t>
        </ns0:is>
      </ns0:c>
      <ns0:c r="B38" s="10" t="n">
        <ns0:v>0.3</ns0:v>
      </ns0:c>
      <ns0:c r="C38" s="11">
        <ns0:f>IF($B$34=0,B38/SUM($B$36:$B$38),IF($B$34=3,1,0))</ns0:f>
        <ns0:v>0.3</ns0:v>
      </ns0:c>
    </ns0:row>
    <ns0:row r="39" ht="24" customHeight="1"/>
    <ns0:row r="40" ht="42" customHeight="1">
      <ns0:c r="A40" s="5" t="inlineStr">
        <ns0:is>
          <ns0:t>Guard基本案</ns0:t>
        </ns0:is>
      </ns0:c>
      <ns0:c r="B40" s="5" t="inlineStr">
        <ns0:is>
          <ns0:t>上限1</ns0:t>
        </ns0:is>
      </ns0:c>
      <ns0:c r="C40" s="5" t="inlineStr">
        <ns0:is>
          <ns0:t>料金1</ns0:t>
        </ns0:is>
      </ns0:c>
      <ns0:c r="D40" s="5" t="inlineStr">
        <ns0:is>
          <ns0:t>上限2</ns0:t>
        </ns0:is>
      </ns0:c>
      <ns0:c r="E40" s="5" t="inlineStr">
        <ns0:is>
          <ns0:t>料金2</ns0:t>
        </ns0:is>
      </ns0:c>
      <ns0:c r="F40" s="5" t="inlineStr">
        <ns0:is>
          <ns0:t>上限3</ns0:t>
        </ns0:is>
      </ns0:c>
      <ns0:c r="G40" s="5" t="inlineStr">
        <ns0:is>
          <ns0:t>料金3</ns0:t>
        </ns0:is>
      </ns0:c>
      <ns0:c r="H40" s="5" t="n"/>
      <ns0:c r="I40" s="5" t="n"/>
    </ns0:row>
    <ns0:row r="41" ht="24" customHeight="1">
      <ns0:c r="A41" s="3" t="inlineStr">
        <ns0:is>
          <ns0:t>G0基本5000比較</ns0:t>
        </ns0:is>
      </ns0:c>
      <ns0:c r="B41" s="8" t="n">
        <ns0:v>100</ns0:v>
      </ns0:c>
      <ns0:c r="C41" s="8" t="n">
        <ns0:v>5000</ns0:v>
      </ns0:c>
      <ns0:c r="D41" s="8" t="n">
        <ns0:v>100</ns0:v>
      </ns0:c>
      <ns0:c r="E41" s="8" t="n">
        <ns0:v>5000</ns0:v>
      </ns0:c>
      <ns0:c r="F41" s="8" t="n">
        <ns0:v>100</ns0:v>
      </ns0:c>
      <ns0:c r="G41" s="8" t="n">
        <ns0:v>5000</ns0:v>
      </ns0:c>
    </ns0:row>
    <ns0:row r="42" ht="24" customHeight="1">
      <ns0:c r="A42" s="3" t="inlineStr">
        <ns0:is>
          <ns0:t>G2二段階</ns0:t>
        </ns0:is>
      </ns0:c>
      <ns0:c r="B42" s="8" t="n">
        <ns0:v>10</ns0:v>
      </ns0:c>
      <ns0:c r="C42" s="8" t="n">
        <ns0:v>2500</ns0:v>
      </ns0:c>
      <ns0:c r="D42" s="8" t="n">
        <ns0:v>100</ns0:v>
      </ns0:c>
      <ns0:c r="E42" s="8" t="n">
        <ns0:v>4000</ns0:v>
      </ns0:c>
      <ns0:c r="F42" s="8" t="n">
        <ns0:v>100</ns0:v>
      </ns0:c>
      <ns0:c r="G42" s="8" t="n">
        <ns0:v>4000</ns0:v>
      </ns0:c>
    </ns0:row>
    <ns0:row r="43" ht="24" customHeight="1">
      <ns0:c r="A43" s="3" t="inlineStr">
        <ns0:is>
          <ns0:t>G3三段階</ns0:t>
        </ns0:is>
      </ns0:c>
      <ns0:c r="B43" s="8" t="n">
        <ns0:v>5</ns0:v>
      </ns0:c>
      <ns0:c r="C43" s="8" t="n">
        <ns0:v>2000</ns0:v>
      </ns0:c>
      <ns0:c r="D43" s="8" t="n">
        <ns0:v>20</ns0:v>
      </ns0:c>
      <ns0:c r="E43" s="8" t="n">
        <ns0:v>3000</ns0:v>
      </ns0:c>
      <ns0:c r="F43" s="8" t="n">
        <ns0:v>100</ns0:v>
      </ns0:c>
      <ns0:c r="G43" s="8" t="n">
        <ns0:v>4500</ns0:v>
      </ns0:c>
    </ns0:row>
    <ns0:row r="44" ht="24" customHeight="1"/>
    <ns0:row r="45" ht="42" customHeight="1">
      <ns0:c r="A45" s="5" t="inlineStr">
        <ns0:is>
          <ns0:t>Send基本案</ns0:t>
        </ns0:is>
      </ns0:c>
      <ns0:c r="B45" s="5" t="inlineStr">
        <ns0:is>
          <ns0:t>上限1</ns0:t>
        </ns0:is>
      </ns0:c>
      <ns0:c r="C45" s="5" t="inlineStr">
        <ns0:is>
          <ns0:t>料金1</ns0:t>
        </ns0:is>
      </ns0:c>
      <ns0:c r="D45" s="5" t="inlineStr">
        <ns0:is>
          <ns0:t>上限2</ns0:t>
        </ns0:is>
      </ns0:c>
      <ns0:c r="E45" s="5" t="inlineStr">
        <ns0:is>
          <ns0:t>料金2</ns0:t>
        </ns0:is>
      </ns0:c>
      <ns0:c r="F45" s="5" t="inlineStr">
        <ns0:is>
          <ns0:t>上限3</ns0:t>
        </ns0:is>
      </ns0:c>
      <ns0:c r="G45" s="5" t="inlineStr">
        <ns0:is>
          <ns0:t>料金3</ns0:t>
        </ns0:is>
      </ns0:c>
      <ns0:c r="H45" s="5" t="inlineStr">
        <ns0:is>
          <ns0:t>上限4</ns0:t>
        </ns0:is>
      </ns0:c>
      <ns0:c r="I45" s="5" t="inlineStr">
        <ns0:is>
          <ns0:t>料金4</ns0:t>
        </ns0:is>
      </ns0:c>
    </ns0:row>
    <ns0:row r="46" ht="24" customHeight="1">
      <ns0:c r="A46" s="3" t="inlineStr">
        <ns0:is>
          <ns0:t>A</ns0:t>
        </ns0:is>
      </ns0:c>
      <ns0:c r="B46" s="8" t="n">
        <ns0:v>10</ns0:v>
      </ns0:c>
      <ns0:c r="C46" s="8" t="n">
        <ns0:v>1500</ns0:v>
      </ns0:c>
      <ns0:c r="D46" s="8" t="n">
        <ns0:v>50</ns0:v>
      </ns0:c>
      <ns0:c r="E46" s="8" t="n">
        <ns0:v>3000</ns0:v>
      </ns0:c>
      <ns0:c r="F46" s="8" t="n">
        <ns0:v>50</ns0:v>
      </ns0:c>
      <ns0:c r="G46" s="8" t="n">
        <ns0:v>3000</ns0:v>
      </ns0:c>
      <ns0:c r="H46" s="8" t="n">
        <ns0:v>50</ns0:v>
      </ns0:c>
      <ns0:c r="I46" s="8" t="n">
        <ns0:v>3000</ns0:v>
      </ns0:c>
    </ns0:row>
    <ns0:row r="47" ht="24" customHeight="1">
      <ns0:c r="A47" s="3" t="inlineStr">
        <ns0:is>
          <ns0:t>C</ns0:t>
        </ns0:is>
      </ns0:c>
      <ns0:c r="B47" s="8" t="n">
        <ns0:v>5</ns0:v>
      </ns0:c>
      <ns0:c r="C47" s="8" t="n">
        <ns0:v>1000</ns0:v>
      </ns0:c>
      <ns0:c r="D47" s="8" t="n">
        <ns0:v>10</ns0:v>
      </ns0:c>
      <ns0:c r="E47" s="8" t="n">
        <ns0:v>1500</ns0:v>
      </ns0:c>
      <ns0:c r="F47" s="8" t="n">
        <ns0:v>30</ns0:v>
      </ns0:c>
      <ns0:c r="G47" s="8" t="n">
        <ns0:v>2500</ns0:v>
      </ns0:c>
      <ns0:c r="H47" s="8" t="n">
        <ns0:v>50</ns0:v>
      </ns0:c>
      <ns0:c r="I47" s="8" t="n">
        <ns0:v>4000</ns0:v>
      </ns0:c>
    </ns0:row>
    <ns0:row r="48" ht="24" customHeight="1">
      <ns0:c r="A48" s="3" t="inlineStr">
        <ns0:is>
          <ns0:t>D</ns0:t>
        </ns0:is>
      </ns0:c>
      <ns0:c r="B48" s="8" t="n">
        <ns0:v>10</ns0:v>
      </ns0:c>
      <ns0:c r="C48" s="8" t="n">
        <ns0:v>1200</ns0:v>
      </ns0:c>
      <ns0:c r="D48" s="8" t="n">
        <ns0:v>50</ns0:v>
      </ns0:c>
      <ns0:c r="E48" s="8" t="n">
        <ns0:v>2500</ns0:v>
      </ns0:c>
      <ns0:c r="F48" s="8" t="n">
        <ns0:v>50</ns0:v>
      </ns0:c>
      <ns0:c r="G48" s="8" t="n">
        <ns0:v>2500</ns0:v>
      </ns0:c>
      <ns0:c r="H48" s="8" t="n">
        <ns0:v>50</ns0:v>
      </ns0:c>
      <ns0:c r="I48" s="8" t="n">
        <ns0:v>2500</ns0:v>
      </ns0:c>
    </ns0:row>
    <ns0:row r="49" ht="24" customHeight="1"/>
    <ns0:row r="50" ht="24" customHeight="1"/>
    <ns0:row r="51" ht="42" customHeight="1">
      <ns0:c r="A51" s="5" t="inlineStr">
        <ns0:is>
          <ns0:t>Windows PC代表</ns0:t>
        </ns0:is>
      </ns0:c>
      <ns0:c r="B51" s="5" t="inlineStr">
        <ns0:is>
          <ns0:t>従業者規模アンカー</ns0:t>
        </ns0:is>
      </ns0:c>
      <ns0:c r="C51" s="5" t="inlineStr">
        <ns0:is>
          <ns0:t>低位重み</ns0:t>
        </ns0:is>
      </ns0:c>
      <ns0:c r="D51" s="5" t="inlineStr">
        <ns0:is>
          <ns0:t>基準重み</ns0:t>
        </ns0:is>
      </ns0:c>
      <ns0:c r="E51" s="5" t="inlineStr">
        <ns0:is>
          <ns0:t>高位重み</ns0:t>
        </ns0:is>
      </ns0:c>
      <ns0:c r="F51" s="5" t="n"/>
      <ns0:c r="G51" s="5" t="n"/>
      <ns0:c r="H51" s="5" t="n"/>
      <ns0:c r="I51" s="5" t="n"/>
    </ns0:row>
    <ns0:row r="52" ht="24" customHeight="1">
      <ns0:c r="A52" s="4" t="n">
        <ns0:v>0</ns0:v>
      </ns0:c>
      <ns0:c r="B52" s="8" t="n">
        <ns0:v>4</ns0:v>
      </ns0:c>
      <ns0:c r="C52" s="10" t="n">
        <ns0:v>0.2</ns0:v>
      </ns0:c>
      <ns0:c r="D52" s="10" t="n">
        <ns0:v>0.1</ns0:v>
      </ns0:c>
      <ns0:c r="E52" s="10" t="n">
        <ns0:v>0.05</ns0:v>
      </ns0:c>
    </ns0:row>
    <ns0:row r="53" ht="24" customHeight="1">
      <ns0:c r="A53" s="4" t="n">
        <ns0:v>3</ns0:v>
      </ns0:c>
      <ns0:c r="B53" s="8" t="n">
        <ns0:v>10</ns0:v>
      </ns0:c>
      <ns0:c r="C53" s="10" t="n">
        <ns0:v>0.45</ns0:v>
      </ns0:c>
      <ns0:c r="D53" s="10" t="n">
        <ns0:v>0.37</ns0:v>
      </ns0:c>
      <ns0:c r="E53" s="10" t="n">
        <ns0:v>0.25</ns0:v>
      </ns0:c>
    </ns0:row>
    <ns0:row r="54" ht="24" customHeight="1">
      <ns0:c r="A54" s="4" t="n">
        <ns0:v>8</ns0:v>
      </ns0:c>
      <ns0:c r="B54" s="8" t="n">
        <ns0:v>25</ns0:v>
      </ns0:c>
      <ns0:c r="C54" s="10" t="n">
        <ns0:v>0.24</ns0:v>
      </ns0:c>
      <ns0:c r="D54" s="10" t="n">
        <ns0:v>0.28</ns0:v>
      </ns0:c>
      <ns0:c r="E54" s="10" t="n">
        <ns0:v>0.25</ns0:v>
      </ns0:c>
    </ns0:row>
    <ns0:row r="55" ht="24" customHeight="1">
      <ns0:c r="A55" s="4" t="n">
        <ns0:v>18</ns0:v>
      </ns0:c>
      <ns0:c r="B55" s="8" t="n">
        <ns0:v>60</ns0:v>
      </ns0:c>
      <ns0:c r="C55" s="10" t="n">
        <ns0:v>0.09</ns0:v>
      </ns0:c>
      <ns0:c r="D55" s="10" t="n">
        <ns0:v>0.2</ns0:v>
      </ns0:c>
      <ns0:c r="E55" s="10" t="n">
        <ns0:v>0.3</ns0:v>
      </ns0:c>
    </ns0:row>
    <ns0:row r="56" ht="24" customHeight="1">
      <ns0:c r="A56" s="4" t="n">
        <ns0:v>40</ns0:v>
      </ns0:c>
      <ns0:c r="B56" s="8" t="n">
        <ns0:v>120</ns0:v>
      </ns0:c>
      <ns0:c r="C56" s="10" t="n">
        <ns0:v>0.015</ns0:v>
      </ns0:c>
      <ns0:c r="D56" s="10" t="n">
        <ns0:v>0.03</ns0:v>
      </ns0:c>
      <ns0:c r="E56" s="10" t="n">
        <ns0:v>0.09</ns0:v>
      </ns0:c>
    </ns0:row>
    <ns0:row r="57" ht="24" customHeight="1">
      <ns0:c r="A57" s="4" t="n">
        <ns0:v>70</ns0:v>
      </ns0:c>
      <ns0:c r="B57" s="8" t="n">
        <ns0:v>200</ns0:v>
      </ns0:c>
      <ns0:c r="C57" s="10" t="n">
        <ns0:v>0.004</ns0:v>
      </ns0:c>
      <ns0:c r="D57" s="10" t="n">
        <ns0:v>0.015</ns0:v>
      </ns0:c>
      <ns0:c r="E57" s="10" t="n">
        <ns0:v>0.04</ns0:v>
      </ns0:c>
    </ns0:row>
    <ns0:row r="58" ht="24" customHeight="1">
      <ns0:c r="A58" s="4" t="n">
        <ns0:v>130</ns0:v>
      </ns0:c>
      <ns0:c r="B58" s="8" t="n">
        <ns0:v>400</ns0:v>
      </ns0:c>
      <ns0:c r="C58" s="10" t="n">
        <ns0:v>0.001</ns0:v>
      </ns0:c>
      <ns0:c r="D58" s="10" t="n">
        <ns0:v>0.005</ns0:v>
      </ns0:c>
      <ns0:c r="E58" s="10" t="n">
        <ns0:v>0.02</ns0:v>
      </ns0:c>
    </ns0:row>
    <ns0:row r="59" ht="24" customHeight="1"/>
    <ns0:row r="60" ht="38" customHeight="1">
      <ns0:c r="A60" s="2" t="inlineStr">
        <ns0:is>
          <ns0:t>PC重みはPR14の仮定。従業者アンカー・業種型比率・職務率は今回の共同分布仮定。実測ではない。</ns0:t>
        </ns0:is>
      </ns0:c>
    </ns0:row>
    <ns0:row r="61" ht="24" customHeight="1"/>
    <ns0:row r="62" ht="24" customHeight="1">
      <ns0:c r="A62" s="3" t="inlineStr">
        <ns0:is>
          <ns0:t>Run CPU 円/秒</ns0:t>
        </ns0:is>
      </ns0:c>
      <ns0:c r="B62" s="4" t="n">
        <ns0:v>0.003886238616115752</ns0:v>
      </ns0:c>
    </ns0:row>
    <ns0:row r="63" ht="24" customHeight="1">
      <ns0:c r="A63" s="3" t="inlineStr">
        <ns0:is>
          <ns0:t>Run memory 円/GiB秒</ns0:t>
        </ns0:is>
      </ns0:c>
      <ns0:c r="B63" s="4" t="n">
        <ns0:v>0.0003952686344456851</ns0:v>
      </ns0:c>
    </ns0:row>
    <ns0:row r="64" ht="24" customHeight="1"/>
    <ns0:row r="65" ht="24" customHeight="1"/>
    <ns0:row r="66" ht="42" customHeight="1">
      <ns0:c r="A66" s="5" t="inlineStr">
        <ns0:is>
          <ns0:t>Send利用</ns0:t>
        </ns0:is>
      </ns0:c>
      <ns0:c r="B66" s="5" t="inlineStr">
        <ns0:is>
          <ns0:t>送信/名</ns0:t>
        </ns0:is>
      </ns0:c>
      <ns0:c r="C66" s="5" t="inlineStr">
        <ns0:is>
          <ns0:t>file/送信</ns0:t>
        </ns0:is>
      </ns0:c>
      <ns0:c r="D66" s="5" t="inlineStr">
        <ns0:is>
          <ns0:t>MiB/file</ns0:t>
        </ns0:is>
      </ns0:c>
      <ns0:c r="E66" s="5" t="inlineStr">
        <ns0:is>
          <ns0:t>DL倍率</ns0:t>
        </ns0:is>
      </ns0:c>
      <ns0:c r="F66" s="5" t="inlineStr">
        <ns0:is>
          <ns0:t>OTP/送信</ns0:t>
        </ns0:is>
      </ns0:c>
      <ns0:c r="G66" s="5" t="inlineStr">
        <ns0:is>
          <ns0:t>scan秒/file</ns0:t>
        </ns0:is>
      </ns0:c>
      <ns0:c r="H66" s="5" t="inlineStr">
        <ns0:is>
          <ns0:t>support分/社</ns0:t>
        </ns0:is>
      </ns0:c>
      <ns0:c r="I66" s="5" t="n"/>
    </ns0:row>
    <ns0:row r="67" ht="24" customHeight="1">
      <ns0:c r="A67" s="3" t="inlineStr">
        <ns0:is>
          <ns0:t>低位</ns0:t>
        </ns0:is>
      </ns0:c>
      <ns0:c r="B67" s="4" t="n">
        <ns0:v>5</ns0:v>
      </ns0:c>
      <ns0:c r="C67" s="4" t="n">
        <ns0:v>1</ns0:v>
      </ns0:c>
      <ns0:c r="D67" s="4" t="n">
        <ns0:v>2</ns0:v>
      </ns0:c>
      <ns0:c r="E67" s="4" t="n">
        <ns0:v>1</ns0:v>
      </ns0:c>
      <ns0:c r="F67" s="4" t="n">
        <ns0:v>1.1</ns0:v>
      </ns0:c>
      <ns0:c r="G67" s="4" t="n">
        <ns0:v>1</ns0:v>
      </ns0:c>
      <ns0:c r="H67" s="4" t="n">
        <ns0:v>3</ns0:v>
      </ns0:c>
    </ns0:row>
    <ns0:row r="68" ht="24" customHeight="1">
      <ns0:c r="A68" s="3" t="inlineStr">
        <ns0:is>
          <ns0:t>標準</ns0:t>
        </ns0:is>
      </ns0:c>
      <ns0:c r="B68" s="4" t="n">
        <ns0:v>20</ns0:v>
      </ns0:c>
      <ns0:c r="C68" s="4" t="n">
        <ns0:v>2</ns0:v>
      </ns0:c>
      <ns0:c r="D68" s="4" t="n">
        <ns0:v>10</ns0:v>
      </ns0:c>
      <ns0:c r="E68" s="4" t="n">
        <ns0:v>1.5</ns0:v>
      </ns0:c>
      <ns0:c r="F68" s="4" t="n">
        <ns0:v>1.8</ns0:v>
      </ns0:c>
      <ns0:c r="G68" s="4" t="n">
        <ns0:v>2</ns0:v>
      </ns0:c>
      <ns0:c r="H68" s="4" t="n">
        <ns0:v>8</ns0:v>
      </ns0:c>
    </ns0:row>
    <ns0:row r="69" ht="24" customHeight="1">
      <ns0:c r="A69" s="3" t="inlineStr">
        <ns0:is>
          <ns0:t>高位</ns0:t>
        </ns0:is>
      </ns0:c>
      <ns0:c r="B69" s="4" t="n">
        <ns0:v>80</ns0:v>
      </ns0:c>
      <ns0:c r="C69" s="4" t="n">
        <ns0:v>3</ns0:v>
      </ns0:c>
      <ns0:c r="D69" s="4" t="n">
        <ns0:v>50</ns0:v>
      </ns0:c>
      <ns0:c r="E69" s="4" t="n">
        <ns0:v>2</ns0:v>
      </ns0:c>
      <ns0:c r="F69" s="4" t="n">
        <ns0:v>2.5</ns0:v>
      </ns0:c>
      <ns0:c r="G69" s="4" t="n">
        <ns0:v>5</ns0:v>
      </ns0:c>
      <ns0:c r="H69" s="4" t="n">
        <ns0:v>20</ns0:v>
      </ns0:c>
    </ns0:row>
    <ns0:row r="70" ht="24" customHeight="1"/>
    <ns0:row r="71" ht="24" customHeight="1"/>
    <ns0:row r="72" ht="42" customHeight="1">
      <ns0:c r="A72" s="5" t="inlineStr">
        <ns0:is>
          <ns0:t>企業数上限</ns0:t>
        </ns0:is>
      </ns0:c>
      <ns0:c r="B72" s="5" t="inlineStr">
        <ns0:is>
          <ns0:t>Guard固定infra</ns0:t>
        </ns0:is>
      </ns0:c>
      <ns0:c r="C72" s="5" t="inlineStr">
        <ns0:is>
          <ns0:t>Guard固定運用</ns0:t>
        </ns0:is>
      </ns0:c>
      <ns0:c r="D72" s="5" t="inlineStr">
        <ns0:is>
          <ns0:t>Send固定infra</ns0:t>
        </ns0:is>
      </ns0:c>
      <ns0:c r="E72" s="5" t="inlineStr">
        <ns0:is>
          <ns0:t>Send固定運用</ns0:t>
        </ns0:is>
      </ns0:c>
      <ns0:c r="F72" s="5" t="n"/>
      <ns0:c r="G72" s="5" t="n"/>
      <ns0:c r="H72" s="5" t="n"/>
      <ns0:c r="I72" s="5" t="n"/>
    </ns0:row>
    <ns0:row r="73" ht="24" customHeight="1">
      <ns0:c r="A73" s="4" t="n">
        <ns0:v>10</ns0:v>
      </ns0:c>
      <ns0:c r="B73" s="4" t="n">
        <ns0:v>2000</ns0:v>
      </ns0:c>
      <ns0:c r="C73" s="4" t="n">
        <ns0:v>8000</ns0:v>
      </ns0:c>
      <ns0:c r="D73" s="4" t="n">
        <ns0:v>22010.9346263078</ns0:v>
      </ns0:c>
      <ns0:c r="E73" s="4" t="n">
        <ns0:v>8000</ns0:v>
      </ns0:c>
    </ns0:row>
    <ns0:row r="74" ht="24" customHeight="1">
      <ns0:c r="A74" s="4" t="n">
        <ns0:v>100</ns0:v>
      </ns0:c>
      <ns0:c r="B74" s="4" t="n">
        <ns0:v>4000</ns0:v>
      </ns0:c>
      <ns0:c r="C74" s="4" t="n">
        <ns0:v>16000</ns0:v>
      </ns0:c>
      <ns0:c r="D74" s="4" t="n">
        <ns0:v>26510.9346263078</ns0:v>
      </ns0:c>
      <ns0:c r="E74" s="4" t="n">
        <ns0:v>8000</ns0:v>
      </ns0:c>
    </ns0:row>
    <ns0:row r="75" ht="24" customHeight="1">
      <ns0:c r="A75" s="4" t="n">
        <ns0:v>500</ns0:v>
      </ns0:c>
      <ns0:c r="B75" s="4" t="n">
        <ns0:v>8000</ns0:v>
      </ns0:c>
      <ns0:c r="C75" s="4" t="n">
        <ns0:v>32000</ns0:v>
      </ns0:c>
      <ns0:c r="D75" s="4" t="n">
        <ns0:v>48510.9346263078</ns0:v>
      </ns0:c>
      <ns0:c r="E75" s="4" t="n">
        <ns0:v>8000</ns0:v>
      </ns0:c>
    </ns0:row>
    <ns0:row r="76" ht="24" customHeight="1">
      <ns0:c r="A76" s="4" t="n">
        <ns0:v>1000</ns0:v>
      </ns0:c>
      <ns0:c r="B76" s="4" t="n">
        <ns0:v>16000</ns0:v>
      </ns0:c>
      <ns0:c r="C76" s="4" t="n">
        <ns0:v>64000</ns0:v>
      </ns0:c>
      <ns0:c r="D76" s="4" t="n">
        <ns0:v>78510.9346263078</ns0:v>
      </ns0:c>
      <ns0:c r="E76" s="4" t="n">
        <ns0:v>8000</ns0:v>
      </ns0:c>
    </ns0:row>
    <ns0:row r="77" ht="24" customHeight="1"/>
    <ns0:row r="78" ht="24" customHeight="1"/>
    <ns0:row r="79" ht="42" customHeight="1">
      <ns0:c r="A79" s="5" t="inlineStr">
        <ns0:is>
          <ns0:t>Send費用ドライバー</ns0:t>
        </ns0:is>
      </ns0:c>
      <ns0:c r="B79" s="5" t="inlineStr">
        <ns0:is>
          <ns0:t>固定変動JPY/社</ns0:t>
        </ns0:is>
      </ns0:c>
      <ns0:c r="C79" s="5" t="inlineStr">
        <ns0:is>
          <ns0:t>変動JPY/送信者</ns0:t>
        </ns0:is>
      </ns0:c>
      <ns0:c r="D79" s="5" t="inlineStr">
        <ns0:is>
          <ns0:t>supportJPY/社</ns0:t>
        </ns0:is>
      </ns0:c>
      <ns0:c r="E79" s="5" t="inlineStr">
        <ns0:is>
          <ns0:t>supportJPY/送信者</ns0:t>
        </ns0:is>
      </ns0:c>
      <ns0:c r="F79" s="5" t="inlineStr">
        <ns0:is>
          <ns0:t>容量取扱比率</ns0:t>
        </ns0:is>
      </ns0:c>
      <ns0:c r="G79" s="5" t="n"/>
      <ns0:c r="H79" s="5" t="n"/>
      <ns0:c r="I79" s="5" t="n"/>
    </ns0:row>
    <ns0:row r="80" ht="24" customHeight="1">
      <ns0:c r="A80" s="3" t="inlineStr">
        <ns0:is>
          <ns0:t>低位</ns0:t>
        </ns0:is>
      </ns0:c>
      <ns0:c r="B80" s="4" t="n">
        <ns0:v>50</ns0:v>
      </ns0:c>
      <ns0:c r="C80" s="4">
        <ns0:f>2+F80*((B67*.3+B67*E67*.2)*($B$62+.5*$B$63)+(B67*C67*G67*.3+B67*C67/1000*20)*($B$62+4*$B$63)+B67*(1+F67)*.1+(B67*C67*(.005+(2+E67)*.0004)/1000+B67*(12/1048576*.5+8/1e6*.4)+(B67*C67*D67/1024)*(28/30*.025+E67*.12)+B67*C67*3*.4/1e6)*$B$4)</ns0:f>
        <ns0:v>3.2911598553034125</ns0:v>
      </ns0:c>
      <ns0:c r="D80" s="4">
        <ns0:f>H67/60*$B$8</ns0:f>
        <ns0:v>200</ns0:v>
      </ns0:c>
      <ns0:c r="E80" s="4">
        <ns0:f>.1/60*$B$8</ns0:f>
        <ns0:v>6.666666666666657</ns0:v>
      </ns0:c>
      <ns0:c r="F80" s="4" t="n">
        <ns0:v>1</ns0:v>
      </ns0:c>
    </ns0:row>
    <ns0:row r="81" ht="24" customHeight="1">
      <ns0:c r="A81" s="3" t="inlineStr">
        <ns0:is>
          <ns0:t>標準</ns0:t>
        </ns0:is>
      </ns0:c>
      <ns0:c r="B81" s="4" t="n">
        <ns0:v>50</ns0:v>
      </ns0:c>
      <ns0:c r="C81" s="4">
        <ns0:f>2+F81*((B68*.3+B68*E68*.2)*($B$62+.5*$B$63)+(B68*C68*G68*.3+B68*C68/1000*20)*($B$62+4*$B$63)+B68*(1+F68)*.1+(B68*C68*(.005+(2+E68)*.0004)/1000+B68*(12/1048576*.5+8/1e6*.4)+(B68*C68*D68/1024)*(28/30*.025+E68*.12)+B68*C68*3*.4/1e6)*$B$4)</ns0:f>
        <ns0:v>19.771024479112057</ns0:v>
      </ns0:c>
      <ns0:c r="D81" s="4">
        <ns0:f>H68/60*$B$8</ns0:f>
        <ns0:v>533.3333333333334</ns0:v>
      </ns0:c>
      <ns0:c r="E81" s="4">
        <ns0:f>.1/60*$B$8</ns0:f>
        <ns0:v>6.666666666666515</ns0:v>
      </ns0:c>
      <ns0:c r="F81" s="4" t="n">
        <ns0:v>1</ns0:v>
      </ns0:c>
    </ns0:row>
    <ns0:row r="82" ht="24" customHeight="1">
      <ns0:c r="A82" s="3" t="inlineStr">
        <ns0:is>
          <ns0:t>高位</ns0:t>
        </ns0:is>
      </ns0:c>
      <ns0:c r="B82" s="4" t="n">
        <ns0:v>50</ns0:v>
      </ns0:c>
      <ns0:c r="C82" s="4">
        <ns0:f>2+F82*((B69*.3+B69*E69*.2)*($B$62+.5*$B$63)+(B69*C69*G69*.3+B69*C69/1000*20)*($B$62+4*$B$63)+B69*(1+F69)*.1+(B69*C69*(.005+(2+E69)*.0004)/1000+B69*(12/1048576*.5+8/1e6*.4)+(B69*C69*D69/1024)*(28/30*.025+E69*.12)+B69*C69*3*.4/1e6)*$B$4)</ns0:f>
        <ns0:v>495.50166227359034</ns0:v>
      </ns0:c>
      <ns0:c r="D82" s="4">
        <ns0:f>H69/60*$B$8</ns0:f>
        <ns0:v>1333.3333333333333</ns0:v>
      </ns0:c>
      <ns0:c r="E82" s="4">
        <ns0:f>.1/60*$B$8</ns0:f>
        <ns0:v>6.6666666666667425</ns0:v>
      </ns0:c>
      <ns0:c r="F82" s="4" t="n">
        <ns0:v>1</ns0:v>
      </ns0:c>
    </ns0:row>
    <ns0:row r="83" ht="24" customHeight="1">
      <ns0:c r="A83" s="3" t="inlineStr">
        <ns0:is>
          <ns0:t>高位上限</ns0:t>
        </ns0:is>
      </ns0:c>
      <ns0:c r="B83" s="4" t="n">
        <ns0:v>50</ns0:v>
      </ns0:c>
      <ns0:c r="C83" s="4">
        <ns0:f>2+F83*((B69*.3+B69*E69*.2)*($B$62+.5*$B$63)+(B69*C69*G69*.3+B69*C69/1000*20)*($B$62+4*$B$63)+B69*(1+F69)*.1+(B69*C69*(.005+(2+E69)*.0004)/1000+B69*(12/1048576*.5+8/1e6*.4)+(B69*C69*D69/1024)*(28/30*.025+E69*.12)+B69*C69*3*.4/1e6)*$B$4)</ns0:f>
        <ns0:v>44.11214184734638</ns0:v>
      </ns0:c>
      <ns0:c r="D83" s="4">
        <ns0:f>H69/60*$B$8</ns0:f>
        <ns0:v>1333.3333333333333</ns0:v>
      </ns0:c>
      <ns0:c r="E83" s="4">
        <ns0:f>.1/60*$B$8</ns0:f>
        <ns0:v>6.6666666666667425</ns0:v>
      </ns0:c>
      <ns0:c r="F83" s="4">
        <ns0:f>MIN(1,$B$26/(B69*C69*D69/1024),$B$27/(B69*C69*D69/1024*E69))</ns0:f>
        <ns0:v>0.08533333333333333</ns0:v>
      </ns0:c>
    </ns0:row>
    <ns0:row r="84" ht="24" customHeight="1"/>
    <ns0:row r="85" ht="38" customHeight="1">
      <ns0:c r="A85" s="2" t="inlineStr">
        <ns0:is>
          <ns0:t>出典: Corporate PR14 40b7610 / Issue16・17 / PR7 23b887d / PR9 932bf38、Send PR3 74facb2。</ns0:t>
        </ns0:is>
      </ns0:c>
    </ns0:row>
    <ns0:row r="86" ht="38" customHeight="1">
      <ns0:c r="A86" s="2" t="inlineStr">
        <ns0:is>
          <ns0:t>DNS .92は表示値・実契約未確認。公式MSP starts150、標準Core月額1.15。最低額との関係は未確認。</ns0:t>
        </ns0:is>
      </ns0:c>
    </ns0:row>
    <ns0:row r="87" ht="38" customHeight="1">
      <ns0:c r="A87" s="2" t="inlineStr">
        <ns0:is>
          <ns0:t>Guard固定費/サポートは新規予算仮定。Sendは専用SQL/非同期min0の既存予算。Production構成とは別。</ns0:t>
        </ns0:is>
      </ns0:c>
    </ns0:row>
    <ns0:row r="88" ht="38" customHeight="1">
      <ns0:c r="A88" s="2" t="inlineStr">
        <ns0:is>
          <ns0:t>初期投資が空欄なら未算入。営業・導入・事故・税・入金時差を含まない。赤字許容額は未設定。</ns0:t>
        </ns0:is>
      </ns0:c>
    </ns0:row>
    <ns0:row r="89" ht="38" customHeight="1">
      <ns0:c r="A89" s="2" t="inlineStr">
        <ns0:is>
          <ns0:t>固定条件比較は作成時の2,079ケース。編集後は経営比較・利益曲線・累積回収が再計算。固定表は更新しない。</ns0:t>
        </ns0:is>
      </ns0:c>
    </ns0:row>
    <ns0:row r="90" ht="38" customHeight="1">
      <ns0:c r="A90" s="2" t="inlineStr">
        <ns0:is>
          <ns0:t>https://www.dnsfilter.com/pricing 2026-10-18閲覧。詳細根拠は統合レポートとcanonical-sources.json。</ns0:t>
        </ns0:is>
      </ns0:c>
    </ns0:row>
  </ns0:sheetData>
  <ns0:mergeCells count="9">
    <ns0:mergeCell ref="A90:I90"/>
    <ns0:mergeCell ref="A2:I2"/>
    <ns0:mergeCell ref="A85:I85"/>
    <ns0:mergeCell ref="A60:I60"/>
    <ns0:mergeCell ref="A89:I89"/>
    <ns0:mergeCell ref="A1:I1"/>
    <ns0:mergeCell ref="A88:I88"/>
    <ns0:mergeCell ref="A87:I87"/>
    <ns0:mergeCell ref="A86:I86"/>
  </ns0:mergeCells>
  <ns0:dataValidations count="8">
    <ns0:dataValidation sqref="B14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5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6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8" showDropDown="0" showInputMessage="0" showErrorMessage="1" allowBlank="0" errorTitle="入力範囲" error="指定された番号を入力してください" type="whole" operator="between">
      <ns0:formula1>0</ns0:formula1>
      <ns0:formula2>3</ns0:formula2>
    </ns0:dataValidation>
    <ns0:dataValidation sqref="B19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20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33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34" showDropDown="0" showInputMessage="0" showErrorMessage="1" allowBlank="0" errorTitle="入力範囲" error="指定された番号を入力してください" type="whole" operator="between">
      <ns0:formula1>0</ns0:formula1>
      <ns0:formula2>3</ns0:formula2>
    </ns0:dataValidation>
  </ns0:dataValidation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X46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</ns0:cols>
  <ns0:sheetData>
    <ns0:row r="1" ht="32" customHeight="1">
      <ns0:c r="A1" s="1" t="inlineStr">
        <ns0:is>
          <ns0:t>同一企業の従業者・PC・送信者（相関仮定）</ns0:t>
        </ns0:is>
      </ns0:c>
    </ns0:row>
    <ns0:row r="2" ht="48" customHeight="1">
      <ns0:c r="A2" s="2" t="inlineStr">
        <ns0:is>
          <ns0:t>同じPC帯・企業規模・職務型から送信者を作る。独立平均の掛算はしない。0PCでもSendは利用可能。</ns0:t>
        </ns0:is>
      </ns0:c>
    </ns0:row>
    <ns0:row r="3" ht="24" customHeight="1"/>
    <ns0:row r="4" ht="42" customHeight="1">
      <ns0:c r="A4" s="5" t="inlineStr">
        <ns0:is>
          <ns0:t>シナリオ</ns0:t>
        </ns0:is>
      </ns0:c>
      <ns0:c r="B4" s="5" t="inlineStr">
        <ns0:is>
          <ns0:t>PC帯番号</ns0:t>
        </ns0:is>
      </ns0:c>
      <ns0:c r="C4" s="5" t="inlineStr">
        <ns0:is>
          <ns0:t>企業型</ns0:t>
        </ns0:is>
      </ns0:c>
      <ns0:c r="D4" s="5" t="inlineStr">
        <ns0:is>
          <ns0:t>重み</ns0:t>
        </ns0:is>
      </ns0:c>
      <ns0:c r="E4" s="5" t="inlineStr">
        <ns0:is>
          <ns0:t>従業者</ns0:t>
        </ns0:is>
      </ns0:c>
      <ns0:c r="F4" s="5" t="inlineStr">
        <ns0:is>
          <ns0:t>Windows PC</ns0:t>
        </ns0:is>
      </ns0:c>
      <ns0:c r="G4" s="5" t="inlineStr">
        <ns0:is>
          <ns0:t>有料送信者</ns0:t>
        </ns0:is>
      </ns0:c>
      <ns0:c r="H4" s="5" t="inlineStr">
        <ns0:is>
          <ns0:t>G料金対象</ns0:t>
        </ns0:is>
      </ns0:c>
      <ns0:c r="I4" s="5" t="inlineStr">
        <ns0:is>
          <ns0:t>S料金対象</ns0:t>
        </ns0:is>
      </ns0:c>
      <ns0:c r="J4" s="5" t="inlineStr">
        <ns0:is>
          <ns0:t>セット対象</ns0:t>
        </ns0:is>
      </ns0:c>
      <ns0:c r="K4" s="5" t="inlineStr">
        <ns0:is>
          <ns0:t>選択重み</ns0:t>
        </ns0:is>
      </ns0:c>
      <ns0:c r="L4" s="5" t="inlineStr">
        <ns0:is>
          <ns0:t>G基本</ns0:t>
        </ns0:is>
      </ns0:c>
      <ns0:c r="M4" s="5" t="inlineStr">
        <ns0:is>
          <ns0:t>G従量</ns0:t>
        </ns0:is>
      </ns0:c>
      <ns0:c r="N4" s="5" t="inlineStr">
        <ns0:is>
          <ns0:t>S基本</ns0:t>
        </ns0:is>
      </ns0:c>
      <ns0:c r="O4" s="5" t="inlineStr">
        <ns0:is>
          <ns0:t>S従量</ns0:t>
        </ns0:is>
      </ns0:c>
      <ns0:c r="P4" s="5" t="inlineStr">
        <ns0:is>
          <ns0:t>セット割引</ns0:t>
        </ns0:is>
      </ns0:c>
      <ns0:c r="Q4" s="5" t="inlineStr">
        <ns0:is>
          <ns0:t>G割引按分</ns0:t>
        </ns0:is>
      </ns0:c>
      <ns0:c r="R4" s="5" t="inlineStr">
        <ns0:is>
          <ns0:t>S割引按分</ns0:t>
        </ns0:is>
      </ns0:c>
      <ns0:c r="S4" s="5" t="inlineStr">
        <ns0:is>
          <ns0:t>G変動infra</ns0:t>
        </ns0:is>
      </ns0:c>
      <ns0:c r="T4" s="5" t="inlineStr">
        <ns0:is>
          <ns0:t>Gsupport</ns0:t>
        </ns0:is>
      </ns0:c>
      <ns0:c r="U4" s="5" t="inlineStr">
        <ns0:is>
          <ns0:t>S変動infra</ns0:t>
        </ns0:is>
      </ns0:c>
      <ns0:c r="V4" s="5" t="inlineStr">
        <ns0:is>
          <ns0:t>Ssupport</ns0:t>
        </ns0:is>
      </ns0:c>
      <ns0:c r="W4" s="5" t="inlineStr">
        <ns0:is>
          <ns0:t>セットG基本</ns0:t>
        </ns0:is>
      </ns0:c>
      <ns0:c r="X4" s="5" t="inlineStr">
        <ns0:is>
          <ns0:t>セットS基本</ns0:t>
        </ns0:is>
      </ns0:c>
    </ns0:row>
    <ns0:row r="5" ht="24" customHeight="1">
      <ns0:c r="A5" s="4" t="n">
        <ns0:v>0</ns0:v>
      </ns0:c>
      <ns0:c r="B5" s="4" t="n">
        <ns0:v>0</ns0:v>
      </ns0:c>
      <ns0:c r="C5" s="4" t="n">
        <ns0:v>0</ns0:v>
      </ns0:c>
      <ns0:c r="D5" s="12">
        <ns0:f>'前提と出典'!C52*'前提と出典'!$B$21</ns0:f>
        <ns0:v>0.13999999999999999</ns0:v>
      </ns0:c>
      <ns0:c r="E5" s="12">
        <ns0:f>ROUNDUP('前提と出典'!B52*'前提と出典'!$B$22,0)</ns0:f>
        <ns0:v>6</ns0:v>
      </ns0:c>
      <ns0:c r="F5" s="12">
        <ns0:f>'前提と出典'!A52</ns0:f>
        <ns0:v>0</ns0:v>
      </ns0:c>
      <ns0:c r="G5" s="12">
        <ns0:f>MAX(1,ROUNDUP(E5*'前提と出典'!$B$24*'前提と出典'!E10,0))</ns0:f>
        <ns0:v>1</ns0:v>
      </ns0:c>
      <ns0:c r="H5" s="4">
        <ns0:f>IF(AND(F5&gt;=1,F5&lt;=100),1,0)</ns0:f>
        <ns0:v>0</ns0:v>
      </ns0:c>
      <ns0:c r="I5" s="4">
        <ns0:f>IF(G5&lt;=50,1,0)</ns0:f>
        <ns0:v>1</ns0:v>
      </ns0:c>
      <ns0:c r="J5" s="4">
        <ns0:f>H5*I5</ns0:f>
        <ns0:v>0</ns0:v>
      </ns0:c>
      <ns0:c r="K5" s="12">
        <ns0:f>IF(A5='前提と出典'!$B$14,D5,0)</ns0:f>
        <ns0:v>0</ns0:v>
      </ns0:c>
      <ns0:c r="L5" s="12">
        <ns0:f>IF(H5=0,0,IF(F5&lt;=INDEX('前提と出典'!B41:B43,'前提と出典'!$B$15+1),INDEX('前提と出典'!C41:C43,'前提と出典'!$B$15+1),IF(F5&lt;=INDEX('前提と出典'!D41:D43,'前提と出典'!$B$15+1),INDEX('前提と出典'!E41:E43,'前提と出典'!$B$15+1),INDEX('前提と出典'!G41:G43,'前提と出典'!$B$15+1))))</ns0:f>
        <ns0:v>0</ns0:v>
      </ns0:c>
      <ns0:c r="M5" s="12">
        <ns0:f>IF(H5=0,0,IF('前提と出典'!$B$33=1,MIN(F5,10)*300+MIN(MAX(0,F5-10),20)*250+MAX(0,F5-30)*200,F5*300))</ns0:f>
        <ns0:v>0</ns0:v>
      </ns0:c>
      <ns0:c r="N5" s="12">
        <ns0:f>IF(I5=0,0,IF(G5&lt;=INDEX('前提と出典'!B46:B48,'前提と出典'!$B$16+1),INDEX('前提と出典'!C46:C48,'前提と出典'!$B$16+1),IF(G5&lt;=INDEX('前提と出典'!D46:D48,'前提と出典'!$B$16+1),INDEX('前提と出典'!E46:E48,'前提と出典'!$B$16+1),IF(G5&lt;=INDEX('前提と出典'!F46:F48,'前提と出典'!$B$16+1),INDEX('前提と出典'!G46:G48,'前提と出典'!$B$16+1),INDEX('前提と出典'!I46:I48,'前提と出典'!$B$16+1)))))</ns0:f>
        <ns0:v>1200</ns0:v>
      </ns0:c>
      <ns0:c r="O5" s="12">
        <ns0:f>IF(I5=1,G5*'前提と出典'!$B$13,0)</ns0:f>
        <ns0:v>200</ns0:v>
      </ns0:c>
      <ns0:c r="P5" s="12">
        <ns0:f>IF(J5=1,MIN('前提と出典'!$B$17,L5+N5),0)</ns0:f>
        <ns0:v>0</ns0:v>
      </ns0:c>
      <ns0:c r="Q5" s="12">
        <ns0:f>IF(J5=0,0,IF('前提と出典'!$B$19=0,P5*L5/(L5+N5),MIN(P5,L5)))</ns0:f>
        <ns0:v>0</ns0:v>
      </ns0:c>
      <ns0:c r="R5" s="4">
        <ns0:f>P5-Q5</ns0:f>
        <ns0:v>0</ns0:v>
      </ns0:c>
      <ns0:c r="S5" s="12">
        <ns0:f>IF(H5=1,'前提と出典'!$B$11+F5*'前提と出典'!$B$12,0)</ns0:f>
        <ns0:v>0</ns0:v>
      </ns0:c>
      <ns0:c r="T5" s="12">
        <ns0:f>IF(H5=1,('前提と出典'!$B$9+F5*'前提と出典'!$B$10)/60*'前提と出典'!$B$8,0)</ns0:f>
        <ns0:v>0</ns0:v>
      </ns0:c>
      <ns0:c r="U5" s="12">
        <ns0:f>IF(I5=1,INDEX('前提と出典'!B80:B83,'前提と出典'!$B$18+1)+G5*INDEX('前提と出典'!C80:C83,'前提と出典'!$B$18+1),0)</ns0:f>
        <ns0:v>69.77102447911206</ns0:v>
      </ns0:c>
      <ns0:c r="V5" s="12">
        <ns0:f>IF(I5=1,INDEX('前提と出典'!D80:D83,'前提と出典'!$B$18+1)+G5*INDEX('前提と出典'!E80:E83,'前提と出典'!$B$18+1),0)</ns0:f>
        <ns0:v>539.9999999999999</ns0:v>
      </ns0:c>
      <ns0:c r="W5" s="4">
        <ns0:f>L5-Q5</ns0:f>
        <ns0:v>0</ns0:v>
      </ns0:c>
      <ns0:c r="X5" s="4">
        <ns0:f>N5-R5</ns0:f>
        <ns0:v>1200</ns0:v>
      </ns0:c>
    </ns0:row>
    <ns0:row r="6" ht="24" customHeight="1">
      <ns0:c r="A6" s="4" t="n">
        <ns0:v>0</ns0:v>
      </ns0:c>
      <ns0:c r="B6" s="4" t="n">
        <ns0:v>0</ns0:v>
      </ns0:c>
      <ns0:c r="C6" s="4" t="n">
        <ns0:v>1</ns0:v>
      </ns0:c>
      <ns0:c r="D6" s="12">
        <ns0:f>'前提と出典'!C52*(1-'前提と出典'!$B$21)</ns0:f>
        <ns0:v>0.06000000000000001</ns0:v>
      </ns0:c>
      <ns0:c r="E6" s="12">
        <ns0:f>ROUNDUP('前提と出典'!B52*'前提と出典'!$B$23,0)</ns0:f>
        <ns0:v>3</ns0:v>
      </ns0:c>
      <ns0:c r="F6" s="12">
        <ns0:f>'前提と出典'!A52</ns0:f>
        <ns0:v>0</ns0:v>
      </ns0:c>
      <ns0:c r="G6" s="12">
        <ns0:f>MAX(1,ROUNDUP(E6*'前提と出典'!$B$25*'前提と出典'!E10,0))</ns0:f>
        <ns0:v>1</ns0:v>
      </ns0:c>
      <ns0:c r="H6" s="4">
        <ns0:f>IF(AND(F6&gt;=1,F6&lt;=100),1,0)</ns0:f>
        <ns0:v>0</ns0:v>
      </ns0:c>
      <ns0:c r="I6" s="4">
        <ns0:f>IF(G6&lt;=50,1,0)</ns0:f>
        <ns0:v>1</ns0:v>
      </ns0:c>
      <ns0:c r="J6" s="4">
        <ns0:f>H6*I6</ns0:f>
        <ns0:v>0</ns0:v>
      </ns0:c>
      <ns0:c r="K6" s="12">
        <ns0:f>IF(A6='前提と出典'!$B$14,D6,0)</ns0:f>
        <ns0:v>0</ns0:v>
      </ns0:c>
      <ns0:c r="L6" s="12">
        <ns0:f>IF(H6=0,0,IF(F6&lt;=INDEX('前提と出典'!B41:B43,'前提と出典'!$B$15+1),INDEX('前提と出典'!C41:C43,'前提と出典'!$B$15+1),IF(F6&lt;=INDEX('前提と出典'!D41:D43,'前提と出典'!$B$15+1),INDEX('前提と出典'!E41:E43,'前提と出典'!$B$15+1),INDEX('前提と出典'!G41:G43,'前提と出典'!$B$15+1))))</ns0:f>
        <ns0:v>0</ns0:v>
      </ns0:c>
      <ns0:c r="M6" s="12">
        <ns0:f>IF(H6=0,0,IF('前提と出典'!$B$33=1,MIN(F6,10)*300+MIN(MAX(0,F6-10),20)*250+MAX(0,F6-30)*200,F6*300))</ns0:f>
        <ns0:v>0</ns0:v>
      </ns0:c>
      <ns0:c r="N6" s="12">
        <ns0:f>IF(I6=0,0,IF(G6&lt;=INDEX('前提と出典'!B46:B48,'前提と出典'!$B$16+1),INDEX('前提と出典'!C46:C48,'前提と出典'!$B$16+1),IF(G6&lt;=INDEX('前提と出典'!D46:D48,'前提と出典'!$B$16+1),INDEX('前提と出典'!E46:E48,'前提と出典'!$B$16+1),IF(G6&lt;=INDEX('前提と出典'!F46:F48,'前提と出典'!$B$16+1),INDEX('前提と出典'!G46:G48,'前提と出典'!$B$16+1),INDEX('前提と出典'!I46:I48,'前提と出典'!$B$16+1)))))</ns0:f>
        <ns0:v>1200</ns0:v>
      </ns0:c>
      <ns0:c r="O6" s="12">
        <ns0:f>IF(I6=1,G6*'前提と出典'!$B$13,0)</ns0:f>
        <ns0:v>200</ns0:v>
      </ns0:c>
      <ns0:c r="P6" s="12">
        <ns0:f>IF(J6=1,MIN('前提と出典'!$B$17,L6+N6),0)</ns0:f>
        <ns0:v>0</ns0:v>
      </ns0:c>
      <ns0:c r="Q6" s="12">
        <ns0:f>IF(J6=0,0,IF('前提と出典'!$B$19=0,P6*L6/(L6+N6),MIN(P6,L6)))</ns0:f>
        <ns0:v>0</ns0:v>
      </ns0:c>
      <ns0:c r="R6" s="4">
        <ns0:f>P6-Q6</ns0:f>
        <ns0:v>0</ns0:v>
      </ns0:c>
      <ns0:c r="S6" s="12">
        <ns0:f>IF(H6=1,'前提と出典'!$B$11+F6*'前提と出典'!$B$12,0)</ns0:f>
        <ns0:v>0</ns0:v>
      </ns0:c>
      <ns0:c r="T6" s="12">
        <ns0:f>IF(H6=1,('前提と出典'!$B$9+F6*'前提と出典'!$B$10)/60*'前提と出典'!$B$8,0)</ns0:f>
        <ns0:v>0</ns0:v>
      </ns0:c>
      <ns0:c r="U6" s="12">
        <ns0:f>IF(I6=1,INDEX('前提と出典'!B80:B83,'前提と出典'!$B$18+1)+G6*INDEX('前提と出典'!C80:C83,'前提と出典'!$B$18+1),0)</ns0:f>
        <ns0:v>69.77102447911206</ns0:v>
      </ns0:c>
      <ns0:c r="V6" s="12">
        <ns0:f>IF(I6=1,INDEX('前提と出典'!D80:D83,'前提と出典'!$B$18+1)+G6*INDEX('前提と出典'!E80:E83,'前提と出典'!$B$18+1),0)</ns0:f>
        <ns0:v>539.9999999999999</ns0:v>
      </ns0:c>
      <ns0:c r="W6" s="4">
        <ns0:f>L6-Q6</ns0:f>
        <ns0:v>0</ns0:v>
      </ns0:c>
      <ns0:c r="X6" s="4">
        <ns0:f>N6-R6</ns0:f>
        <ns0:v>1200</ns0:v>
      </ns0:c>
    </ns0:row>
    <ns0:row r="7" ht="24" customHeight="1">
      <ns0:c r="A7" s="4" t="n">
        <ns0:v>0</ns0:v>
      </ns0:c>
      <ns0:c r="B7" s="4" t="n">
        <ns0:v>1</ns0:v>
      </ns0:c>
      <ns0:c r="C7" s="4" t="n">
        <ns0:v>0</ns0:v>
      </ns0:c>
      <ns0:c r="D7" s="12">
        <ns0:f>'前提と出典'!C53*'前提と出典'!$B$21</ns0:f>
        <ns0:v>0.315</ns0:v>
      </ns0:c>
      <ns0:c r="E7" s="12">
        <ns0:f>ROUNDUP('前提と出典'!B53*'前提と出典'!$B$22,0)</ns0:f>
        <ns0:v>15</ns0:v>
      </ns0:c>
      <ns0:c r="F7" s="12">
        <ns0:f>'前提と出典'!A53</ns0:f>
        <ns0:v>3</ns0:v>
      </ns0:c>
      <ns0:c r="G7" s="12">
        <ns0:f>MAX(1,ROUNDUP(E7*'前提と出典'!$B$24*'前提と出典'!E10,0))</ns0:f>
        <ns0:v>1</ns0:v>
      </ns0:c>
      <ns0:c r="H7" s="4">
        <ns0:f>IF(AND(F7&gt;=1,F7&lt;=100),1,0)</ns0:f>
        <ns0:v>1</ns0:v>
      </ns0:c>
      <ns0:c r="I7" s="4">
        <ns0:f>IF(G7&lt;=50,1,0)</ns0:f>
        <ns0:v>1</ns0:v>
      </ns0:c>
      <ns0:c r="J7" s="4">
        <ns0:f>H7*I7</ns0:f>
        <ns0:v>1</ns0:v>
      </ns0:c>
      <ns0:c r="K7" s="12">
        <ns0:f>IF(A7='前提と出典'!$B$14,D7,0)</ns0:f>
        <ns0:v>0</ns0:v>
      </ns0:c>
      <ns0:c r="L7" s="12">
        <ns0:f>IF(H7=0,0,IF(F7&lt;=INDEX('前提と出典'!B41:B43,'前提と出典'!$B$15+1),INDEX('前提と出典'!C41:C43,'前提と出典'!$B$15+1),IF(F7&lt;=INDEX('前提と出典'!D41:D43,'前提と出典'!$B$15+1),INDEX('前提と出典'!E41:E43,'前提と出典'!$B$15+1),INDEX('前提と出典'!G41:G43,'前提と出典'!$B$15+1))))</ns0:f>
        <ns0:v>2500</ns0:v>
      </ns0:c>
      <ns0:c r="M7" s="12">
        <ns0:f>IF(H7=0,0,IF('前提と出典'!$B$33=1,MIN(F7,10)*300+MIN(MAX(0,F7-10),20)*250+MAX(0,F7-30)*200,F7*300))</ns0:f>
        <ns0:v>900</ns0:v>
      </ns0:c>
      <ns0:c r="N7" s="12">
        <ns0:f>IF(I7=0,0,IF(G7&lt;=INDEX('前提と出典'!B46:B48,'前提と出典'!$B$16+1),INDEX('前提と出典'!C46:C48,'前提と出典'!$B$16+1),IF(G7&lt;=INDEX('前提と出典'!D46:D48,'前提と出典'!$B$16+1),INDEX('前提と出典'!E46:E48,'前提と出典'!$B$16+1),IF(G7&lt;=INDEX('前提と出典'!F46:F48,'前提と出典'!$B$16+1),INDEX('前提と出典'!G46:G48,'前提と出典'!$B$16+1),INDEX('前提と出典'!I46:I48,'前提と出典'!$B$16+1)))))</ns0:f>
        <ns0:v>1200</ns0:v>
      </ns0:c>
      <ns0:c r="O7" s="12">
        <ns0:f>IF(I7=1,G7*'前提と出典'!$B$13,0)</ns0:f>
        <ns0:v>200</ns0:v>
      </ns0:c>
      <ns0:c r="P7" s="12">
        <ns0:f>IF(J7=1,MIN('前提と出典'!$B$17,L7+N7),0)</ns0:f>
        <ns0:v>500</ns0:v>
      </ns0:c>
      <ns0:c r="Q7" s="12">
        <ns0:f>IF(J7=0,0,IF('前提と出典'!$B$19=0,P7*L7/(L7+N7),MIN(P7,L7)))</ns0:f>
        <ns0:v>337.8378378378378</ns0:v>
      </ns0:c>
      <ns0:c r="R7" s="4">
        <ns0:f>P7-Q7</ns0:f>
        <ns0:v>162.1621621621622</ns0:v>
      </ns0:c>
      <ns0:c r="S7" s="12">
        <ns0:f>IF(H7=1,'前提と出典'!$B$11+F7*'前提と出典'!$B$12,0)</ns0:f>
        <ns0:v>53</ns0:v>
      </ns0:c>
      <ns0:c r="T7" s="12">
        <ns0:f>IF(H7=1,('前提と出典'!$B$9+F7*'前提と出典'!$B$10)/60*'前提と出典'!$B$8,0)</ns0:f>
        <ns0:v>553.3333333333334</ns0:v>
      </ns0:c>
      <ns0:c r="U7" s="12">
        <ns0:f>IF(I7=1,INDEX('前提と出典'!B80:B83,'前提と出典'!$B$18+1)+G7*INDEX('前提と出典'!C80:C83,'前提と出典'!$B$18+1),0)</ns0:f>
        <ns0:v>69.77102447911206</ns0:v>
      </ns0:c>
      <ns0:c r="V7" s="12">
        <ns0:f>IF(I7=1,INDEX('前提と出典'!D80:D83,'前提と出典'!$B$18+1)+G7*INDEX('前提と出典'!E80:E83,'前提と出典'!$B$18+1),0)</ns0:f>
        <ns0:v>539.9999999999999</ns0:v>
      </ns0:c>
      <ns0:c r="W7" s="4">
        <ns0:f>L7-Q7</ns0:f>
        <ns0:v>2162.162162162162</ns0:v>
      </ns0:c>
      <ns0:c r="X7" s="4">
        <ns0:f>N7-R7</ns0:f>
        <ns0:v>1037.837837837838</ns0:v>
      </ns0:c>
    </ns0:row>
    <ns0:row r="8" ht="24" customHeight="1">
      <ns0:c r="A8" s="4" t="n">
        <ns0:v>0</ns0:v>
      </ns0:c>
      <ns0:c r="B8" s="4" t="n">
        <ns0:v>1</ns0:v>
      </ns0:c>
      <ns0:c r="C8" s="4" t="n">
        <ns0:v>1</ns0:v>
      </ns0:c>
      <ns0:c r="D8" s="12">
        <ns0:f>'前提と出典'!C53*(1-'前提と出典'!$B$21)</ns0:f>
        <ns0:v>0.13500000000000004</ns0:v>
      </ns0:c>
      <ns0:c r="E8" s="12">
        <ns0:f>ROUNDUP('前提と出典'!B53*'前提と出典'!$B$23,0)</ns0:f>
        <ns0:v>8</ns0:v>
      </ns0:c>
      <ns0:c r="F8" s="12">
        <ns0:f>'前提と出典'!A53</ns0:f>
        <ns0:v>3</ns0:v>
      </ns0:c>
      <ns0:c r="G8" s="12">
        <ns0:f>MAX(1,ROUNDUP(E8*'前提と出典'!$B$25*'前提と出典'!E10,0))</ns0:f>
        <ns0:v>2</ns0:v>
      </ns0:c>
      <ns0:c r="H8" s="4">
        <ns0:f>IF(AND(F8&gt;=1,F8&lt;=100),1,0)</ns0:f>
        <ns0:v>1</ns0:v>
      </ns0:c>
      <ns0:c r="I8" s="4">
        <ns0:f>IF(G8&lt;=50,1,0)</ns0:f>
        <ns0:v>1</ns0:v>
      </ns0:c>
      <ns0:c r="J8" s="4">
        <ns0:f>H8*I8</ns0:f>
        <ns0:v>1</ns0:v>
      </ns0:c>
      <ns0:c r="K8" s="12">
        <ns0:f>IF(A8='前提と出典'!$B$14,D8,0)</ns0:f>
        <ns0:v>0</ns0:v>
      </ns0:c>
      <ns0:c r="L8" s="12">
        <ns0:f>IF(H8=0,0,IF(F8&lt;=INDEX('前提と出典'!B41:B43,'前提と出典'!$B$15+1),INDEX('前提と出典'!C41:C43,'前提と出典'!$B$15+1),IF(F8&lt;=INDEX('前提と出典'!D41:D43,'前提と出典'!$B$15+1),INDEX('前提と出典'!E41:E43,'前提と出典'!$B$15+1),INDEX('前提と出典'!G41:G43,'前提と出典'!$B$15+1))))</ns0:f>
        <ns0:v>2500</ns0:v>
      </ns0:c>
      <ns0:c r="M8" s="12">
        <ns0:f>IF(H8=0,0,IF('前提と出典'!$B$33=1,MIN(F8,10)*300+MIN(MAX(0,F8-10),20)*250+MAX(0,F8-30)*200,F8*300))</ns0:f>
        <ns0:v>900</ns0:v>
      </ns0:c>
      <ns0:c r="N8" s="12">
        <ns0:f>IF(I8=0,0,IF(G8&lt;=INDEX('前提と出典'!B46:B48,'前提と出典'!$B$16+1),INDEX('前提と出典'!C46:C48,'前提と出典'!$B$16+1),IF(G8&lt;=INDEX('前提と出典'!D46:D48,'前提と出典'!$B$16+1),INDEX('前提と出典'!E46:E48,'前提と出典'!$B$16+1),IF(G8&lt;=INDEX('前提と出典'!F46:F48,'前提と出典'!$B$16+1),INDEX('前提と出典'!G46:G48,'前提と出典'!$B$16+1),INDEX('前提と出典'!I46:I48,'前提と出典'!$B$16+1)))))</ns0:f>
        <ns0:v>1200</ns0:v>
      </ns0:c>
      <ns0:c r="O8" s="12">
        <ns0:f>IF(I8=1,G8*'前提と出典'!$B$13,0)</ns0:f>
        <ns0:v>400</ns0:v>
      </ns0:c>
      <ns0:c r="P8" s="12">
        <ns0:f>IF(J8=1,MIN('前提と出典'!$B$17,L8+N8),0)</ns0:f>
        <ns0:v>500</ns0:v>
      </ns0:c>
      <ns0:c r="Q8" s="12">
        <ns0:f>IF(J8=0,0,IF('前提と出典'!$B$19=0,P8*L8/(L8+N8),MIN(P8,L8)))</ns0:f>
        <ns0:v>337.8378378378378</ns0:v>
      </ns0:c>
      <ns0:c r="R8" s="4">
        <ns0:f>P8-Q8</ns0:f>
        <ns0:v>162.1621621621622</ns0:v>
      </ns0:c>
      <ns0:c r="S8" s="12">
        <ns0:f>IF(H8=1,'前提と出典'!$B$11+F8*'前提と出典'!$B$12,0)</ns0:f>
        <ns0:v>53</ns0:v>
      </ns0:c>
      <ns0:c r="T8" s="12">
        <ns0:f>IF(H8=1,('前提と出典'!$B$9+F8*'前提と出典'!$B$10)/60*'前提と出典'!$B$8,0)</ns0:f>
        <ns0:v>553.3333333333334</ns0:v>
      </ns0:c>
      <ns0:c r="U8" s="12">
        <ns0:f>IF(I8=1,INDEX('前提と出典'!B80:B83,'前提と出典'!$B$18+1)+G8*INDEX('前提と出典'!C80:C83,'前提と出典'!$B$18+1),0)</ns0:f>
        <ns0:v>89.54204895822411</ns0:v>
      </ns0:c>
      <ns0:c r="V8" s="12">
        <ns0:f>IF(I8=1,INDEX('前提と出典'!D80:D83,'前提と出典'!$B$18+1)+G8*INDEX('前提と出典'!E80:E83,'前提と出典'!$B$18+1),0)</ns0:f>
        <ns0:v>546.6666666666666</ns0:v>
      </ns0:c>
      <ns0:c r="W8" s="4">
        <ns0:f>L8-Q8</ns0:f>
        <ns0:v>2162.162162162162</ns0:v>
      </ns0:c>
      <ns0:c r="X8" s="4">
        <ns0:f>N8-R8</ns0:f>
        <ns0:v>1037.837837837838</ns0:v>
      </ns0:c>
    </ns0:row>
    <ns0:row r="9" ht="24" customHeight="1">
      <ns0:c r="A9" s="4" t="n">
        <ns0:v>0</ns0:v>
      </ns0:c>
      <ns0:c r="B9" s="4" t="n">
        <ns0:v>2</ns0:v>
      </ns0:c>
      <ns0:c r="C9" s="4" t="n">
        <ns0:v>0</ns0:v>
      </ns0:c>
      <ns0:c r="D9" s="12">
        <ns0:f>'前提と出典'!C54*'前提と出典'!$B$21</ns0:f>
        <ns0:v>0.16799999999999998</ns0:v>
      </ns0:c>
      <ns0:c r="E9" s="12">
        <ns0:f>ROUNDUP('前提と出典'!B54*'前提と出典'!$B$22,0)</ns0:f>
        <ns0:v>38</ns0:v>
      </ns0:c>
      <ns0:c r="F9" s="12">
        <ns0:f>'前提と出典'!A54</ns0:f>
        <ns0:v>8</ns0:v>
      </ns0:c>
      <ns0:c r="G9" s="12">
        <ns0:f>MAX(1,ROUNDUP(E9*'前提と出典'!$B$24*'前提と出典'!E10,0))</ns0:f>
        <ns0:v>2</ns0:v>
      </ns0:c>
      <ns0:c r="H9" s="4">
        <ns0:f>IF(AND(F9&gt;=1,F9&lt;=100),1,0)</ns0:f>
        <ns0:v>1</ns0:v>
      </ns0:c>
      <ns0:c r="I9" s="4">
        <ns0:f>IF(G9&lt;=50,1,0)</ns0:f>
        <ns0:v>1</ns0:v>
      </ns0:c>
      <ns0:c r="J9" s="4">
        <ns0:f>H9*I9</ns0:f>
        <ns0:v>1</ns0:v>
      </ns0:c>
      <ns0:c r="K9" s="12">
        <ns0:f>IF(A9='前提と出典'!$B$14,D9,0)</ns0:f>
        <ns0:v>0</ns0:v>
      </ns0:c>
      <ns0:c r="L9" s="12">
        <ns0:f>IF(H9=0,0,IF(F9&lt;=INDEX('前提と出典'!B41:B43,'前提と出典'!$B$15+1),INDEX('前提と出典'!C41:C43,'前提と出典'!$B$15+1),IF(F9&lt;=INDEX('前提と出典'!D41:D43,'前提と出典'!$B$15+1),INDEX('前提と出典'!E41:E43,'前提と出典'!$B$15+1),INDEX('前提と出典'!G41:G43,'前提と出典'!$B$15+1))))</ns0:f>
        <ns0:v>2500</ns0:v>
      </ns0:c>
      <ns0:c r="M9" s="12">
        <ns0:f>IF(H9=0,0,IF('前提と出典'!$B$33=1,MIN(F9,10)*300+MIN(MAX(0,F9-10),20)*250+MAX(0,F9-30)*200,F9*300))</ns0:f>
        <ns0:v>2400</ns0:v>
      </ns0:c>
      <ns0:c r="N9" s="12">
        <ns0:f>IF(I9=0,0,IF(G9&lt;=INDEX('前提と出典'!B46:B48,'前提と出典'!$B$16+1),INDEX('前提と出典'!C46:C48,'前提と出典'!$B$16+1),IF(G9&lt;=INDEX('前提と出典'!D46:D48,'前提と出典'!$B$16+1),INDEX('前提と出典'!E46:E48,'前提と出典'!$B$16+1),IF(G9&lt;=INDEX('前提と出典'!F46:F48,'前提と出典'!$B$16+1),INDEX('前提と出典'!G46:G48,'前提と出典'!$B$16+1),INDEX('前提と出典'!I46:I48,'前提と出典'!$B$16+1)))))</ns0:f>
        <ns0:v>1200</ns0:v>
      </ns0:c>
      <ns0:c r="O9" s="12">
        <ns0:f>IF(I9=1,G9*'前提と出典'!$B$13,0)</ns0:f>
        <ns0:v>400</ns0:v>
      </ns0:c>
      <ns0:c r="P9" s="12">
        <ns0:f>IF(J9=1,MIN('前提と出典'!$B$17,L9+N9),0)</ns0:f>
        <ns0:v>500</ns0:v>
      </ns0:c>
      <ns0:c r="Q9" s="12">
        <ns0:f>IF(J9=0,0,IF('前提と出典'!$B$19=0,P9*L9/(L9+N9),MIN(P9,L9)))</ns0:f>
        <ns0:v>337.8378378378378</ns0:v>
      </ns0:c>
      <ns0:c r="R9" s="4">
        <ns0:f>P9-Q9</ns0:f>
        <ns0:v>162.1621621621622</ns0:v>
      </ns0:c>
      <ns0:c r="S9" s="12">
        <ns0:f>IF(H9=1,'前提と出典'!$B$11+F9*'前提と出典'!$B$12,0)</ns0:f>
        <ns0:v>58</ns0:v>
      </ns0:c>
      <ns0:c r="T9" s="12">
        <ns0:f>IF(H9=1,('前提と出典'!$B$9+F9*'前提と出典'!$B$10)/60*'前提と出典'!$B$8,0)</ns0:f>
        <ns0:v>586.6666666666666</ns0:v>
      </ns0:c>
      <ns0:c r="U9" s="12">
        <ns0:f>IF(I9=1,INDEX('前提と出典'!B80:B83,'前提と出典'!$B$18+1)+G9*INDEX('前提と出典'!C80:C83,'前提と出典'!$B$18+1),0)</ns0:f>
        <ns0:v>89.54204895822411</ns0:v>
      </ns0:c>
      <ns0:c r="V9" s="12">
        <ns0:f>IF(I9=1,INDEX('前提と出典'!D80:D83,'前提と出典'!$B$18+1)+G9*INDEX('前提と出典'!E80:E83,'前提と出典'!$B$18+1),0)</ns0:f>
        <ns0:v>546.6666666666666</ns0:v>
      </ns0:c>
      <ns0:c r="W9" s="4">
        <ns0:f>L9-Q9</ns0:f>
        <ns0:v>2162.162162162162</ns0:v>
      </ns0:c>
      <ns0:c r="X9" s="4">
        <ns0:f>N9-R9</ns0:f>
        <ns0:v>1037.837837837838</ns0:v>
      </ns0:c>
    </ns0:row>
    <ns0:row r="10" ht="24" customHeight="1">
      <ns0:c r="A10" s="4" t="n">
        <ns0:v>0</ns0:v>
      </ns0:c>
      <ns0:c r="B10" s="4" t="n">
        <ns0:v>2</ns0:v>
      </ns0:c>
      <ns0:c r="C10" s="4" t="n">
        <ns0:v>1</ns0:v>
      </ns0:c>
      <ns0:c r="D10" s="12">
        <ns0:f>'前提と出典'!C54*(1-'前提と出典'!$B$21)</ns0:f>
        <ns0:v>0.07200000000000001</ns0:v>
      </ns0:c>
      <ns0:c r="E10" s="12">
        <ns0:f>ROUNDUP('前提と出典'!B54*'前提と出典'!$B$23,0)</ns0:f>
        <ns0:v>19</ns0:v>
      </ns0:c>
      <ns0:c r="F10" s="12">
        <ns0:f>'前提と出典'!A54</ns0:f>
        <ns0:v>8</ns0:v>
      </ns0:c>
      <ns0:c r="G10" s="12">
        <ns0:f>MAX(1,ROUNDUP(E10*'前提と出典'!$B$25*'前提と出典'!E10,0))</ns0:f>
        <ns0:v>3</ns0:v>
      </ns0:c>
      <ns0:c r="H10" s="4">
        <ns0:f>IF(AND(F10&gt;=1,F10&lt;=100),1,0)</ns0:f>
        <ns0:v>1</ns0:v>
      </ns0:c>
      <ns0:c r="I10" s="4">
        <ns0:f>IF(G10&lt;=50,1,0)</ns0:f>
        <ns0:v>1</ns0:v>
      </ns0:c>
      <ns0:c r="J10" s="4">
        <ns0:f>H10*I10</ns0:f>
        <ns0:v>1</ns0:v>
      </ns0:c>
      <ns0:c r="K10" s="12">
        <ns0:f>IF(A10='前提と出典'!$B$14,D10,0)</ns0:f>
        <ns0:v>0</ns0:v>
      </ns0:c>
      <ns0:c r="L10" s="12">
        <ns0:f>IF(H10=0,0,IF(F10&lt;=INDEX('前提と出典'!B41:B43,'前提と出典'!$B$15+1),INDEX('前提と出典'!C41:C43,'前提と出典'!$B$15+1),IF(F10&lt;=INDEX('前提と出典'!D41:D43,'前提と出典'!$B$15+1),INDEX('前提と出典'!E41:E43,'前提と出典'!$B$15+1),INDEX('前提と出典'!G41:G43,'前提と出典'!$B$15+1))))</ns0:f>
        <ns0:v>2500</ns0:v>
      </ns0:c>
      <ns0:c r="M10" s="12">
        <ns0:f>IF(H10=0,0,IF('前提と出典'!$B$33=1,MIN(F10,10)*300+MIN(MAX(0,F10-10),20)*250+MAX(0,F10-30)*200,F10*300))</ns0:f>
        <ns0:v>2400</ns0:v>
      </ns0:c>
      <ns0:c r="N10" s="12">
        <ns0:f>IF(I10=0,0,IF(G10&lt;=INDEX('前提と出典'!B46:B48,'前提と出典'!$B$16+1),INDEX('前提と出典'!C46:C48,'前提と出典'!$B$16+1),IF(G10&lt;=INDEX('前提と出典'!D46:D48,'前提と出典'!$B$16+1),INDEX('前提と出典'!E46:E48,'前提と出典'!$B$16+1),IF(G10&lt;=INDEX('前提と出典'!F46:F48,'前提と出典'!$B$16+1),INDEX('前提と出典'!G46:G48,'前提と出典'!$B$16+1),INDEX('前提と出典'!I46:I48,'前提と出典'!$B$16+1)))))</ns0:f>
        <ns0:v>1200</ns0:v>
      </ns0:c>
      <ns0:c r="O10" s="12">
        <ns0:f>IF(I10=1,G10*'前提と出典'!$B$13,0)</ns0:f>
        <ns0:v>600</ns0:v>
      </ns0:c>
      <ns0:c r="P10" s="12">
        <ns0:f>IF(J10=1,MIN('前提と出典'!$B$17,L10+N10),0)</ns0:f>
        <ns0:v>500</ns0:v>
      </ns0:c>
      <ns0:c r="Q10" s="12">
        <ns0:f>IF(J10=0,0,IF('前提と出典'!$B$19=0,P10*L10/(L10+N10),MIN(P10,L10)))</ns0:f>
        <ns0:v>337.8378378378378</ns0:v>
      </ns0:c>
      <ns0:c r="R10" s="4">
        <ns0:f>P10-Q10</ns0:f>
        <ns0:v>162.1621621621622</ns0:v>
      </ns0:c>
      <ns0:c r="S10" s="12">
        <ns0:f>IF(H10=1,'前提と出典'!$B$11+F10*'前提と出典'!$B$12,0)</ns0:f>
        <ns0:v>58</ns0:v>
      </ns0:c>
      <ns0:c r="T10" s="12">
        <ns0:f>IF(H10=1,('前提と出典'!$B$9+F10*'前提と出典'!$B$10)/60*'前提と出典'!$B$8,0)</ns0:f>
        <ns0:v>586.6666666666666</ns0:v>
      </ns0:c>
      <ns0:c r="U10" s="12">
        <ns0:f>IF(I10=1,INDEX('前提と出典'!B80:B83,'前提と出典'!$B$18+1)+G10*INDEX('前提と出典'!C80:C83,'前提と出典'!$B$18+1),0)</ns0:f>
        <ns0:v>109.31307343733619</ns0:v>
      </ns0:c>
      <ns0:c r="V10" s="12">
        <ns0:f>IF(I10=1,INDEX('前提と出典'!D80:D83,'前提と出典'!$B$18+1)+G10*INDEX('前提と出典'!E80:E83,'前提と出典'!$B$18+1),0)</ns0:f>
        <ns0:v>553.3333333333334</ns0:v>
      </ns0:c>
      <ns0:c r="W10" s="4">
        <ns0:f>L10-Q10</ns0:f>
        <ns0:v>2162.162162162162</ns0:v>
      </ns0:c>
      <ns0:c r="X10" s="4">
        <ns0:f>N10-R10</ns0:f>
        <ns0:v>1037.837837837838</ns0:v>
      </ns0:c>
    </ns0:row>
    <ns0:row r="11" ht="24" customHeight="1">
      <ns0:c r="A11" s="4" t="n">
        <ns0:v>0</ns0:v>
      </ns0:c>
      <ns0:c r="B11" s="4" t="n">
        <ns0:v>3</ns0:v>
      </ns0:c>
      <ns0:c r="C11" s="4" t="n">
        <ns0:v>0</ns0:v>
      </ns0:c>
      <ns0:c r="D11" s="12">
        <ns0:f>'前提と出典'!C55*'前提と出典'!$B$21</ns0:f>
        <ns0:v>0.063</ns0:v>
      </ns0:c>
      <ns0:c r="E11" s="12">
        <ns0:f>ROUNDUP('前提と出典'!B55*'前提と出典'!$B$22,0)</ns0:f>
        <ns0:v>90</ns0:v>
      </ns0:c>
      <ns0:c r="F11" s="12">
        <ns0:f>'前提と出典'!A55</ns0:f>
        <ns0:v>18</ns0:v>
      </ns0:c>
      <ns0:c r="G11" s="12">
        <ns0:f>MAX(1,ROUNDUP(E11*'前提と出典'!$B$24*'前提と出典'!E10,0))</ns0:f>
        <ns0:v>5</ns0:v>
      </ns0:c>
      <ns0:c r="H11" s="4">
        <ns0:f>IF(AND(F11&gt;=1,F11&lt;=100),1,0)</ns0:f>
        <ns0:v>1</ns0:v>
      </ns0:c>
      <ns0:c r="I11" s="4">
        <ns0:f>IF(G11&lt;=50,1,0)</ns0:f>
        <ns0:v>1</ns0:v>
      </ns0:c>
      <ns0:c r="J11" s="4">
        <ns0:f>H11*I11</ns0:f>
        <ns0:v>1</ns0:v>
      </ns0:c>
      <ns0:c r="K11" s="12">
        <ns0:f>IF(A11='前提と出典'!$B$14,D11,0)</ns0:f>
        <ns0:v>0</ns0:v>
      </ns0:c>
      <ns0:c r="L11" s="12">
        <ns0:f>IF(H11=0,0,IF(F11&lt;=INDEX('前提と出典'!B41:B43,'前提と出典'!$B$15+1),INDEX('前提と出典'!C41:C43,'前提と出典'!$B$15+1),IF(F11&lt;=INDEX('前提と出典'!D41:D43,'前提と出典'!$B$15+1),INDEX('前提と出典'!E41:E43,'前提と出典'!$B$15+1),INDEX('前提と出典'!G41:G43,'前提と出典'!$B$15+1))))</ns0:f>
        <ns0:v>4000</ns0:v>
      </ns0:c>
      <ns0:c r="M11" s="12">
        <ns0:f>IF(H11=0,0,IF('前提と出典'!$B$33=1,MIN(F11,10)*300+MIN(MAX(0,F11-10),20)*250+MAX(0,F11-30)*200,F11*300))</ns0:f>
        <ns0:v>5000</ns0:v>
      </ns0:c>
      <ns0:c r="N11" s="12">
        <ns0:f>IF(I11=0,0,IF(G11&lt;=INDEX('前提と出典'!B46:B48,'前提と出典'!$B$16+1),INDEX('前提と出典'!C46:C48,'前提と出典'!$B$16+1),IF(G11&lt;=INDEX('前提と出典'!D46:D48,'前提と出典'!$B$16+1),INDEX('前提と出典'!E46:E48,'前提と出典'!$B$16+1),IF(G11&lt;=INDEX('前提と出典'!F46:F48,'前提と出典'!$B$16+1),INDEX('前提と出典'!G46:G48,'前提と出典'!$B$16+1),INDEX('前提と出典'!I46:I48,'前提と出典'!$B$16+1)))))</ns0:f>
        <ns0:v>1200</ns0:v>
      </ns0:c>
      <ns0:c r="O11" s="12">
        <ns0:f>IF(I11=1,G11*'前提と出典'!$B$13,0)</ns0:f>
        <ns0:v>1000</ns0:v>
      </ns0:c>
      <ns0:c r="P11" s="12">
        <ns0:f>IF(J11=1,MIN('前提と出典'!$B$17,L11+N11),0)</ns0:f>
        <ns0:v>500</ns0:v>
      </ns0:c>
      <ns0:c r="Q11" s="12">
        <ns0:f>IF(J11=0,0,IF('前提と出典'!$B$19=0,P11*L11/(L11+N11),MIN(P11,L11)))</ns0:f>
        <ns0:v>384.61538461538464</ns0:v>
      </ns0:c>
      <ns0:c r="R11" s="4">
        <ns0:f>P11-Q11</ns0:f>
        <ns0:v>115.38461538461536</ns0:v>
      </ns0:c>
      <ns0:c r="S11" s="12">
        <ns0:f>IF(H11=1,'前提と出典'!$B$11+F11*'前提と出典'!$B$12,0)</ns0:f>
        <ns0:v>68</ns0:v>
      </ns0:c>
      <ns0:c r="T11" s="12">
        <ns0:f>IF(H11=1,('前提と出典'!$B$9+F11*'前提と出典'!$B$10)/60*'前提と出典'!$B$8,0)</ns0:f>
        <ns0:v>653.3333333333335</ns0:v>
      </ns0:c>
      <ns0:c r="U11" s="12">
        <ns0:f>IF(I11=1,INDEX('前提と出典'!B80:B83,'前提と出典'!$B$18+1)+G11*INDEX('前提と出典'!C80:C83,'前提と出典'!$B$18+1),0)</ns0:f>
        <ns0:v>148.8551223955603</ns0:v>
      </ns0:c>
      <ns0:c r="V11" s="12">
        <ns0:f>IF(I11=1,INDEX('前提と出典'!D80:D83,'前提と出典'!$B$18+1)+G11*INDEX('前提と出典'!E80:E83,'前提と出典'!$B$18+1),0)</ns0:f>
        <ns0:v>566.6666666666666</ns0:v>
      </ns0:c>
      <ns0:c r="W11" s="4">
        <ns0:f>L11-Q11</ns0:f>
        <ns0:v>3615.3846153846152</ns0:v>
      </ns0:c>
      <ns0:c r="X11" s="4">
        <ns0:f>N11-R11</ns0:f>
        <ns0:v>1084.6153846153848</ns0:v>
      </ns0:c>
    </ns0:row>
    <ns0:row r="12" ht="24" customHeight="1">
      <ns0:c r="A12" s="4" t="n">
        <ns0:v>0</ns0:v>
      </ns0:c>
      <ns0:c r="B12" s="4" t="n">
        <ns0:v>3</ns0:v>
      </ns0:c>
      <ns0:c r="C12" s="4" t="n">
        <ns0:v>1</ns0:v>
      </ns0:c>
      <ns0:c r="D12" s="12">
        <ns0:f>'前提と出典'!C55*(1-'前提と出典'!$B$21)</ns0:f>
        <ns0:v>0.027000000000000003</ns0:v>
      </ns0:c>
      <ns0:c r="E12" s="12">
        <ns0:f>ROUNDUP('前提と出典'!B55*'前提と出典'!$B$23,0)</ns0:f>
        <ns0:v>45</ns0:v>
      </ns0:c>
      <ns0:c r="F12" s="12">
        <ns0:f>'前提と出典'!A55</ns0:f>
        <ns0:v>18</ns0:v>
      </ns0:c>
      <ns0:c r="G12" s="12">
        <ns0:f>MAX(1,ROUNDUP(E12*'前提と出典'!$B$25*'前提と出典'!E10,0))</ns0:f>
        <ns0:v>7</ns0:v>
      </ns0:c>
      <ns0:c r="H12" s="4">
        <ns0:f>IF(AND(F12&gt;=1,F12&lt;=100),1,0)</ns0:f>
        <ns0:v>1</ns0:v>
      </ns0:c>
      <ns0:c r="I12" s="4">
        <ns0:f>IF(G12&lt;=50,1,0)</ns0:f>
        <ns0:v>1</ns0:v>
      </ns0:c>
      <ns0:c r="J12" s="4">
        <ns0:f>H12*I12</ns0:f>
        <ns0:v>1</ns0:v>
      </ns0:c>
      <ns0:c r="K12" s="12">
        <ns0:f>IF(A12='前提と出典'!$B$14,D12,0)</ns0:f>
        <ns0:v>0</ns0:v>
      </ns0:c>
      <ns0:c r="L12" s="12">
        <ns0:f>IF(H12=0,0,IF(F12&lt;=INDEX('前提と出典'!B41:B43,'前提と出典'!$B$15+1),INDEX('前提と出典'!C41:C43,'前提と出典'!$B$15+1),IF(F12&lt;=INDEX('前提と出典'!D41:D43,'前提と出典'!$B$15+1),INDEX('前提と出典'!E41:E43,'前提と出典'!$B$15+1),INDEX('前提と出典'!G41:G43,'前提と出典'!$B$15+1))))</ns0:f>
        <ns0:v>4000</ns0:v>
      </ns0:c>
      <ns0:c r="M12" s="12">
        <ns0:f>IF(H12=0,0,IF('前提と出典'!$B$33=1,MIN(F12,10)*300+MIN(MAX(0,F12-10),20)*250+MAX(0,F12-30)*200,F12*300))</ns0:f>
        <ns0:v>5000</ns0:v>
      </ns0:c>
      <ns0:c r="N12" s="12">
        <ns0:f>IF(I12=0,0,IF(G12&lt;=INDEX('前提と出典'!B46:B48,'前提と出典'!$B$16+1),INDEX('前提と出典'!C46:C48,'前提と出典'!$B$16+1),IF(G12&lt;=INDEX('前提と出典'!D46:D48,'前提と出典'!$B$16+1),INDEX('前提と出典'!E46:E48,'前提と出典'!$B$16+1),IF(G12&lt;=INDEX('前提と出典'!F46:F48,'前提と出典'!$B$16+1),INDEX('前提と出典'!G46:G48,'前提と出典'!$B$16+1),INDEX('前提と出典'!I46:I48,'前提と出典'!$B$16+1)))))</ns0:f>
        <ns0:v>1200</ns0:v>
      </ns0:c>
      <ns0:c r="O12" s="12">
        <ns0:f>IF(I12=1,G12*'前提と出典'!$B$13,0)</ns0:f>
        <ns0:v>1400</ns0:v>
      </ns0:c>
      <ns0:c r="P12" s="12">
        <ns0:f>IF(J12=1,MIN('前提と出典'!$B$17,L12+N12),0)</ns0:f>
        <ns0:v>500</ns0:v>
      </ns0:c>
      <ns0:c r="Q12" s="12">
        <ns0:f>IF(J12=0,0,IF('前提と出典'!$B$19=0,P12*L12/(L12+N12),MIN(P12,L12)))</ns0:f>
        <ns0:v>384.61538461538464</ns0:v>
      </ns0:c>
      <ns0:c r="R12" s="4">
        <ns0:f>P12-Q12</ns0:f>
        <ns0:v>115.38461538461536</ns0:v>
      </ns0:c>
      <ns0:c r="S12" s="12">
        <ns0:f>IF(H12=1,'前提と出典'!$B$11+F12*'前提と出典'!$B$12,0)</ns0:f>
        <ns0:v>68</ns0:v>
      </ns0:c>
      <ns0:c r="T12" s="12">
        <ns0:f>IF(H12=1,('前提と出典'!$B$9+F12*'前提と出典'!$B$10)/60*'前提と出典'!$B$8,0)</ns0:f>
        <ns0:v>653.3333333333335</ns0:v>
      </ns0:c>
      <ns0:c r="U12" s="12">
        <ns0:f>IF(I12=1,INDEX('前提と出典'!B80:B83,'前提と出典'!$B$18+1)+G12*INDEX('前提と出典'!C80:C83,'前提と出典'!$B$18+1),0)</ns0:f>
        <ns0:v>188.39717135378442</ns0:v>
      </ns0:c>
      <ns0:c r="V12" s="12">
        <ns0:f>IF(I12=1,INDEX('前提と出典'!D80:D83,'前提と出典'!$B$18+1)+G12*INDEX('前提と出典'!E80:E83,'前提と出典'!$B$18+1),0)</ns0:f>
        <ns0:v>580</ns0:v>
      </ns0:c>
      <ns0:c r="W12" s="4">
        <ns0:f>L12-Q12</ns0:f>
        <ns0:v>3615.3846153846152</ns0:v>
      </ns0:c>
      <ns0:c r="X12" s="4">
        <ns0:f>N12-R12</ns0:f>
        <ns0:v>1084.6153846153848</ns0:v>
      </ns0:c>
    </ns0:row>
    <ns0:row r="13" ht="24" customHeight="1">
      <ns0:c r="A13" s="4" t="n">
        <ns0:v>0</ns0:v>
      </ns0:c>
      <ns0:c r="B13" s="4" t="n">
        <ns0:v>4</ns0:v>
      </ns0:c>
      <ns0:c r="C13" s="4" t="n">
        <ns0:v>0</ns0:v>
      </ns0:c>
      <ns0:c r="D13" s="12">
        <ns0:f>'前提と出典'!C56*'前提と出典'!$B$21</ns0:f>
        <ns0:v>0.010499999999999999</ns0:v>
      </ns0:c>
      <ns0:c r="E13" s="12">
        <ns0:f>ROUNDUP('前提と出典'!B56*'前提と出典'!$B$22,0)</ns0:f>
        <ns0:v>180</ns0:v>
      </ns0:c>
      <ns0:c r="F13" s="12">
        <ns0:f>'前提と出典'!A56</ns0:f>
        <ns0:v>40</ns0:v>
      </ns0:c>
      <ns0:c r="G13" s="12">
        <ns0:f>MAX(1,ROUNDUP(E13*'前提と出典'!$B$24*'前提と出典'!E10,0))</ns0:f>
        <ns0:v>9</ns0:v>
      </ns0:c>
      <ns0:c r="H13" s="4">
        <ns0:f>IF(AND(F13&gt;=1,F13&lt;=100),1,0)</ns0:f>
        <ns0:v>1</ns0:v>
      </ns0:c>
      <ns0:c r="I13" s="4">
        <ns0:f>IF(G13&lt;=50,1,0)</ns0:f>
        <ns0:v>1</ns0:v>
      </ns0:c>
      <ns0:c r="J13" s="4">
        <ns0:f>H13*I13</ns0:f>
        <ns0:v>1</ns0:v>
      </ns0:c>
      <ns0:c r="K13" s="12">
        <ns0:f>IF(A13='前提と出典'!$B$14,D13,0)</ns0:f>
        <ns0:v>0</ns0:v>
      </ns0:c>
      <ns0:c r="L13" s="12">
        <ns0:f>IF(H13=0,0,IF(F13&lt;=INDEX('前提と出典'!B41:B43,'前提と出典'!$B$15+1),INDEX('前提と出典'!C41:C43,'前提と出典'!$B$15+1),IF(F13&lt;=INDEX('前提と出典'!D41:D43,'前提と出典'!$B$15+1),INDEX('前提と出典'!E41:E43,'前提と出典'!$B$15+1),INDEX('前提と出典'!G41:G43,'前提と出典'!$B$15+1))))</ns0:f>
        <ns0:v>4000</ns0:v>
      </ns0:c>
      <ns0:c r="M13" s="12">
        <ns0:f>IF(H13=0,0,IF('前提と出典'!$B$33=1,MIN(F13,10)*300+MIN(MAX(0,F13-10),20)*250+MAX(0,F13-30)*200,F13*300))</ns0:f>
        <ns0:v>10000</ns0:v>
      </ns0:c>
      <ns0:c r="N13" s="12">
        <ns0:f>IF(I13=0,0,IF(G13&lt;=INDEX('前提と出典'!B46:B48,'前提と出典'!$B$16+1),INDEX('前提と出典'!C46:C48,'前提と出典'!$B$16+1),IF(G13&lt;=INDEX('前提と出典'!D46:D48,'前提と出典'!$B$16+1),INDEX('前提と出典'!E46:E48,'前提と出典'!$B$16+1),IF(G13&lt;=INDEX('前提と出典'!F46:F48,'前提と出典'!$B$16+1),INDEX('前提と出典'!G46:G48,'前提と出典'!$B$16+1),INDEX('前提と出典'!I46:I48,'前提と出典'!$B$16+1)))))</ns0:f>
        <ns0:v>1200</ns0:v>
      </ns0:c>
      <ns0:c r="O13" s="12">
        <ns0:f>IF(I13=1,G13*'前提と出典'!$B$13,0)</ns0:f>
        <ns0:v>1800</ns0:v>
      </ns0:c>
      <ns0:c r="P13" s="12">
        <ns0:f>IF(J13=1,MIN('前提と出典'!$B$17,L13+N13),0)</ns0:f>
        <ns0:v>500</ns0:v>
      </ns0:c>
      <ns0:c r="Q13" s="12">
        <ns0:f>IF(J13=0,0,IF('前提と出典'!$B$19=0,P13*L13/(L13+N13),MIN(P13,L13)))</ns0:f>
        <ns0:v>384.61538461538464</ns0:v>
      </ns0:c>
      <ns0:c r="R13" s="4">
        <ns0:f>P13-Q13</ns0:f>
        <ns0:v>115.38461538461536</ns0:v>
      </ns0:c>
      <ns0:c r="S13" s="12">
        <ns0:f>IF(H13=1,'前提と出典'!$B$11+F13*'前提と出典'!$B$12,0)</ns0:f>
        <ns0:v>90</ns0:v>
      </ns0:c>
      <ns0:c r="T13" s="12">
        <ns0:f>IF(H13=1,('前提と出典'!$B$9+F13*'前提と出典'!$B$10)/60*'前提と出典'!$B$8,0)</ns0:f>
        <ns0:v>800</ns0:v>
      </ns0:c>
      <ns0:c r="U13" s="12">
        <ns0:f>IF(I13=1,INDEX('前提と出典'!B80:B83,'前提と出典'!$B$18+1)+G13*INDEX('前提と出典'!C80:C83,'前提と出典'!$B$18+1),0)</ns0:f>
        <ns0:v>227.93922031200856</ns0:v>
      </ns0:c>
      <ns0:c r="V13" s="12">
        <ns0:f>IF(I13=1,INDEX('前提と出典'!D80:D83,'前提と出典'!$B$18+1)+G13*INDEX('前提と出典'!E80:E83,'前提と出典'!$B$18+1),0)</ns0:f>
        <ns0:v>593.3333333333334</ns0:v>
      </ns0:c>
      <ns0:c r="W13" s="4">
        <ns0:f>L13-Q13</ns0:f>
        <ns0:v>3615.3846153846152</ns0:v>
      </ns0:c>
      <ns0:c r="X13" s="4">
        <ns0:f>N13-R13</ns0:f>
        <ns0:v>1084.6153846153848</ns0:v>
      </ns0:c>
    </ns0:row>
    <ns0:row r="14" ht="24" customHeight="1">
      <ns0:c r="A14" s="4" t="n">
        <ns0:v>0</ns0:v>
      </ns0:c>
      <ns0:c r="B14" s="4" t="n">
        <ns0:v>4</ns0:v>
      </ns0:c>
      <ns0:c r="C14" s="4" t="n">
        <ns0:v>1</ns0:v>
      </ns0:c>
      <ns0:c r="D14" s="12">
        <ns0:f>'前提と出典'!C56*(1-'前提と出典'!$B$21)</ns0:f>
        <ns0:v>0.0045000000000000005</ns0:v>
      </ns0:c>
      <ns0:c r="E14" s="12">
        <ns0:f>ROUNDUP('前提と出典'!B56*'前提と出典'!$B$23,0)</ns0:f>
        <ns0:v>90</ns0:v>
      </ns0:c>
      <ns0:c r="F14" s="12">
        <ns0:f>'前提と出典'!A56</ns0:f>
        <ns0:v>40</ns0:v>
      </ns0:c>
      <ns0:c r="G14" s="12">
        <ns0:f>MAX(1,ROUNDUP(E14*'前提と出典'!$B$25*'前提と出典'!E10,0))</ns0:f>
        <ns0:v>14</ns0:v>
      </ns0:c>
      <ns0:c r="H14" s="4">
        <ns0:f>IF(AND(F14&gt;=1,F14&lt;=100),1,0)</ns0:f>
        <ns0:v>1</ns0:v>
      </ns0:c>
      <ns0:c r="I14" s="4">
        <ns0:f>IF(G14&lt;=50,1,0)</ns0:f>
        <ns0:v>1</ns0:v>
      </ns0:c>
      <ns0:c r="J14" s="4">
        <ns0:f>H14*I14</ns0:f>
        <ns0:v>1</ns0:v>
      </ns0:c>
      <ns0:c r="K14" s="12">
        <ns0:f>IF(A14='前提と出典'!$B$14,D14,0)</ns0:f>
        <ns0:v>0</ns0:v>
      </ns0:c>
      <ns0:c r="L14" s="12">
        <ns0:f>IF(H14=0,0,IF(F14&lt;=INDEX('前提と出典'!B41:B43,'前提と出典'!$B$15+1),INDEX('前提と出典'!C41:C43,'前提と出典'!$B$15+1),IF(F14&lt;=INDEX('前提と出典'!D41:D43,'前提と出典'!$B$15+1),INDEX('前提と出典'!E41:E43,'前提と出典'!$B$15+1),INDEX('前提と出典'!G41:G43,'前提と出典'!$B$15+1))))</ns0:f>
        <ns0:v>4000</ns0:v>
      </ns0:c>
      <ns0:c r="M14" s="12">
        <ns0:f>IF(H14=0,0,IF('前提と出典'!$B$33=1,MIN(F14,10)*300+MIN(MAX(0,F14-10),20)*250+MAX(0,F14-30)*200,F14*300))</ns0:f>
        <ns0:v>10000</ns0:v>
      </ns0:c>
      <ns0:c r="N14" s="12">
        <ns0:f>IF(I14=0,0,IF(G14&lt;=INDEX('前提と出典'!B46:B48,'前提と出典'!$B$16+1),INDEX('前提と出典'!C46:C48,'前提と出典'!$B$16+1),IF(G14&lt;=INDEX('前提と出典'!D46:D48,'前提と出典'!$B$16+1),INDEX('前提と出典'!E46:E48,'前提と出典'!$B$16+1),IF(G14&lt;=INDEX('前提と出典'!F46:F48,'前提と出典'!$B$16+1),INDEX('前提と出典'!G46:G48,'前提と出典'!$B$16+1),INDEX('前提と出典'!I46:I48,'前提と出典'!$B$16+1)))))</ns0:f>
        <ns0:v>2500</ns0:v>
      </ns0:c>
      <ns0:c r="O14" s="12">
        <ns0:f>IF(I14=1,G14*'前提と出典'!$B$13,0)</ns0:f>
        <ns0:v>2800</ns0:v>
      </ns0:c>
      <ns0:c r="P14" s="12">
        <ns0:f>IF(J14=1,MIN('前提と出典'!$B$17,L14+N14),0)</ns0:f>
        <ns0:v>500</ns0:v>
      </ns0:c>
      <ns0:c r="Q14" s="12">
        <ns0:f>IF(J14=0,0,IF('前提と出典'!$B$19=0,P14*L14/(L14+N14),MIN(P14,L14)))</ns0:f>
        <ns0:v>307.6923076923077</ns0:v>
      </ns0:c>
      <ns0:c r="R14" s="4">
        <ns0:f>P14-Q14</ns0:f>
        <ns0:v>192.30769230769232</ns0:v>
      </ns0:c>
      <ns0:c r="S14" s="12">
        <ns0:f>IF(H14=1,'前提と出典'!$B$11+F14*'前提と出典'!$B$12,0)</ns0:f>
        <ns0:v>90</ns0:v>
      </ns0:c>
      <ns0:c r="T14" s="12">
        <ns0:f>IF(H14=1,('前提と出典'!$B$9+F14*'前提と出典'!$B$10)/60*'前提と出典'!$B$8,0)</ns0:f>
        <ns0:v>800</ns0:v>
      </ns0:c>
      <ns0:c r="U14" s="12">
        <ns0:f>IF(I14=1,INDEX('前提と出典'!B80:B83,'前提と出典'!$B$18+1)+G14*INDEX('前提と出典'!C80:C83,'前提と出典'!$B$18+1),0)</ns0:f>
        <ns0:v>326.79434270756883</ns0:v>
      </ns0:c>
      <ns0:c r="V14" s="12">
        <ns0:f>IF(I14=1,INDEX('前提と出典'!D80:D83,'前提と出典'!$B$18+1)+G14*INDEX('前提と出典'!E80:E83,'前提と出典'!$B$18+1),0)</ns0:f>
        <ns0:v>626.6666666666667</ns0:v>
      </ns0:c>
      <ns0:c r="W14" s="4">
        <ns0:f>L14-Q14</ns0:f>
        <ns0:v>3692.3076923076924</ns0:v>
      </ns0:c>
      <ns0:c r="X14" s="4">
        <ns0:f>N14-R14</ns0:f>
        <ns0:v>2307.6923076923076</ns0:v>
      </ns0:c>
    </ns0:row>
    <ns0:row r="15" ht="24" customHeight="1">
      <ns0:c r="A15" s="4" t="n">
        <ns0:v>0</ns0:v>
      </ns0:c>
      <ns0:c r="B15" s="4" t="n">
        <ns0:v>5</ns0:v>
      </ns0:c>
      <ns0:c r="C15" s="4" t="n">
        <ns0:v>0</ns0:v>
      </ns0:c>
      <ns0:c r="D15" s="12">
        <ns0:f>'前提と出典'!C57*'前提と出典'!$B$21</ns0:f>
        <ns0:v>0.0028</ns0:v>
      </ns0:c>
      <ns0:c r="E15" s="12">
        <ns0:f>ROUNDUP('前提と出典'!B57*'前提と出典'!$B$22,0)</ns0:f>
        <ns0:v>300</ns0:v>
      </ns0:c>
      <ns0:c r="F15" s="12">
        <ns0:f>'前提と出典'!A57</ns0:f>
        <ns0:v>70</ns0:v>
      </ns0:c>
      <ns0:c r="G15" s="12">
        <ns0:f>MAX(1,ROUNDUP(E15*'前提と出典'!$B$24*'前提と出典'!E10,0))</ns0:f>
        <ns0:v>15</ns0:v>
      </ns0:c>
      <ns0:c r="H15" s="4">
        <ns0:f>IF(AND(F15&gt;=1,F15&lt;=100),1,0)</ns0:f>
        <ns0:v>1</ns0:v>
      </ns0:c>
      <ns0:c r="I15" s="4">
        <ns0:f>IF(G15&lt;=50,1,0)</ns0:f>
        <ns0:v>1</ns0:v>
      </ns0:c>
      <ns0:c r="J15" s="4">
        <ns0:f>H15*I15</ns0:f>
        <ns0:v>1</ns0:v>
      </ns0:c>
      <ns0:c r="K15" s="12">
        <ns0:f>IF(A15='前提と出典'!$B$14,D15,0)</ns0:f>
        <ns0:v>0</ns0:v>
      </ns0:c>
      <ns0:c r="L15" s="12">
        <ns0:f>IF(H15=0,0,IF(F15&lt;=INDEX('前提と出典'!B41:B43,'前提と出典'!$B$15+1),INDEX('前提と出典'!C41:C43,'前提と出典'!$B$15+1),IF(F15&lt;=INDEX('前提と出典'!D41:D43,'前提と出典'!$B$15+1),INDEX('前提と出典'!E41:E43,'前提と出典'!$B$15+1),INDEX('前提と出典'!G41:G43,'前提と出典'!$B$15+1))))</ns0:f>
        <ns0:v>4000</ns0:v>
      </ns0:c>
      <ns0:c r="M15" s="12">
        <ns0:f>IF(H15=0,0,IF('前提と出典'!$B$33=1,MIN(F15,10)*300+MIN(MAX(0,F15-10),20)*250+MAX(0,F15-30)*200,F15*300))</ns0:f>
        <ns0:v>16000</ns0:v>
      </ns0:c>
      <ns0:c r="N15" s="12">
        <ns0:f>IF(I15=0,0,IF(G15&lt;=INDEX('前提と出典'!B46:B48,'前提と出典'!$B$16+1),INDEX('前提と出典'!C46:C48,'前提と出典'!$B$16+1),IF(G15&lt;=INDEX('前提と出典'!D46:D48,'前提と出典'!$B$16+1),INDEX('前提と出典'!E46:E48,'前提と出典'!$B$16+1),IF(G15&lt;=INDEX('前提と出典'!F46:F48,'前提と出典'!$B$16+1),INDEX('前提と出典'!G46:G48,'前提と出典'!$B$16+1),INDEX('前提と出典'!I46:I48,'前提と出典'!$B$16+1)))))</ns0:f>
        <ns0:v>2500</ns0:v>
      </ns0:c>
      <ns0:c r="O15" s="12">
        <ns0:f>IF(I15=1,G15*'前提と出典'!$B$13,0)</ns0:f>
        <ns0:v>3000</ns0:v>
      </ns0:c>
      <ns0:c r="P15" s="12">
        <ns0:f>IF(J15=1,MIN('前提と出典'!$B$17,L15+N15),0)</ns0:f>
        <ns0:v>500</ns0:v>
      </ns0:c>
      <ns0:c r="Q15" s="12">
        <ns0:f>IF(J15=0,0,IF('前提と出典'!$B$19=0,P15*L15/(L15+N15),MIN(P15,L15)))</ns0:f>
        <ns0:v>307.6923076923077</ns0:v>
      </ns0:c>
      <ns0:c r="R15" s="4">
        <ns0:f>P15-Q15</ns0:f>
        <ns0:v>192.30769230769232</ns0:v>
      </ns0:c>
      <ns0:c r="S15" s="12">
        <ns0:f>IF(H15=1,'前提と出典'!$B$11+F15*'前提と出典'!$B$12,0)</ns0:f>
        <ns0:v>120</ns0:v>
      </ns0:c>
      <ns0:c r="T15" s="12">
        <ns0:f>IF(H15=1,('前提と出典'!$B$9+F15*'前提と出典'!$B$10)/60*'前提と出典'!$B$8,0)</ns0:f>
        <ns0:v>1000</ns0:v>
      </ns0:c>
      <ns0:c r="U15" s="12">
        <ns0:f>IF(I15=1,INDEX('前提と出典'!B80:B83,'前提と出典'!$B$18+1)+G15*INDEX('前提と出典'!C80:C83,'前提と出典'!$B$18+1),0)</ns0:f>
        <ns0:v>346.56536718668093</ns0:v>
      </ns0:c>
      <ns0:c r="V15" s="12">
        <ns0:f>IF(I15=1,INDEX('前提と出典'!D80:D83,'前提と出典'!$B$18+1)+G15*INDEX('前提と出典'!E80:E83,'前提と出典'!$B$18+1),0)</ns0:f>
        <ns0:v>633.3333333333333</ns0:v>
      </ns0:c>
      <ns0:c r="W15" s="4">
        <ns0:f>L15-Q15</ns0:f>
        <ns0:v>3692.3076923076924</ns0:v>
      </ns0:c>
      <ns0:c r="X15" s="4">
        <ns0:f>N15-R15</ns0:f>
        <ns0:v>2307.6923076923076</ns0:v>
      </ns0:c>
    </ns0:row>
    <ns0:row r="16" ht="24" customHeight="1">
      <ns0:c r="A16" s="4" t="n">
        <ns0:v>0</ns0:v>
      </ns0:c>
      <ns0:c r="B16" s="4" t="n">
        <ns0:v>5</ns0:v>
      </ns0:c>
      <ns0:c r="C16" s="4" t="n">
        <ns0:v>1</ns0:v>
      </ns0:c>
      <ns0:c r="D16" s="12">
        <ns0:f>'前提と出典'!C57*(1-'前提と出典'!$B$21)</ns0:f>
        <ns0:v>0.0012000000000000001</ns0:v>
      </ns0:c>
      <ns0:c r="E16" s="12">
        <ns0:f>ROUNDUP('前提と出典'!B57*'前提と出典'!$B$23,0)</ns0:f>
        <ns0:v>150</ns0:v>
      </ns0:c>
      <ns0:c r="F16" s="12">
        <ns0:f>'前提と出典'!A57</ns0:f>
        <ns0:v>70</ns0:v>
      </ns0:c>
      <ns0:c r="G16" s="12">
        <ns0:f>MAX(1,ROUNDUP(E16*'前提と出典'!$B$25*'前提と出典'!E10,0))</ns0:f>
        <ns0:v>23</ns0:v>
      </ns0:c>
      <ns0:c r="H16" s="4">
        <ns0:f>IF(AND(F16&gt;=1,F16&lt;=100),1,0)</ns0:f>
        <ns0:v>1</ns0:v>
      </ns0:c>
      <ns0:c r="I16" s="4">
        <ns0:f>IF(G16&lt;=50,1,0)</ns0:f>
        <ns0:v>1</ns0:v>
      </ns0:c>
      <ns0:c r="J16" s="4">
        <ns0:f>H16*I16</ns0:f>
        <ns0:v>1</ns0:v>
      </ns0:c>
      <ns0:c r="K16" s="12">
        <ns0:f>IF(A16='前提と出典'!$B$14,D16,0)</ns0:f>
        <ns0:v>0</ns0:v>
      </ns0:c>
      <ns0:c r="L16" s="12">
        <ns0:f>IF(H16=0,0,IF(F16&lt;=INDEX('前提と出典'!B41:B43,'前提と出典'!$B$15+1),INDEX('前提と出典'!C41:C43,'前提と出典'!$B$15+1),IF(F16&lt;=INDEX('前提と出典'!D41:D43,'前提と出典'!$B$15+1),INDEX('前提と出典'!E41:E43,'前提と出典'!$B$15+1),INDEX('前提と出典'!G41:G43,'前提と出典'!$B$15+1))))</ns0:f>
        <ns0:v>4000</ns0:v>
      </ns0:c>
      <ns0:c r="M16" s="12">
        <ns0:f>IF(H16=0,0,IF('前提と出典'!$B$33=1,MIN(F16,10)*300+MIN(MAX(0,F16-10),20)*250+MAX(0,F16-30)*200,F16*300))</ns0:f>
        <ns0:v>16000</ns0:v>
      </ns0:c>
      <ns0:c r="N16" s="12">
        <ns0:f>IF(I16=0,0,IF(G16&lt;=INDEX('前提と出典'!B46:B48,'前提と出典'!$B$16+1),INDEX('前提と出典'!C46:C48,'前提と出典'!$B$16+1),IF(G16&lt;=INDEX('前提と出典'!D46:D48,'前提と出典'!$B$16+1),INDEX('前提と出典'!E46:E48,'前提と出典'!$B$16+1),IF(G16&lt;=INDEX('前提と出典'!F46:F48,'前提と出典'!$B$16+1),INDEX('前提と出典'!G46:G48,'前提と出典'!$B$16+1),INDEX('前提と出典'!I46:I48,'前提と出典'!$B$16+1)))))</ns0:f>
        <ns0:v>2500</ns0:v>
      </ns0:c>
      <ns0:c r="O16" s="12">
        <ns0:f>IF(I16=1,G16*'前提と出典'!$B$13,0)</ns0:f>
        <ns0:v>4600</ns0:v>
      </ns0:c>
      <ns0:c r="P16" s="12">
        <ns0:f>IF(J16=1,MIN('前提と出典'!$B$17,L16+N16),0)</ns0:f>
        <ns0:v>500</ns0:v>
      </ns0:c>
      <ns0:c r="Q16" s="12">
        <ns0:f>IF(J16=0,0,IF('前提と出典'!$B$19=0,P16*L16/(L16+N16),MIN(P16,L16)))</ns0:f>
        <ns0:v>307.6923076923077</ns0:v>
      </ns0:c>
      <ns0:c r="R16" s="4">
        <ns0:f>P16-Q16</ns0:f>
        <ns0:v>192.30769230769232</ns0:v>
      </ns0:c>
      <ns0:c r="S16" s="12">
        <ns0:f>IF(H16=1,'前提と出典'!$B$11+F16*'前提と出典'!$B$12,0)</ns0:f>
        <ns0:v>120</ns0:v>
      </ns0:c>
      <ns0:c r="T16" s="12">
        <ns0:f>IF(H16=1,('前提と出典'!$B$9+F16*'前提と出典'!$B$10)/60*'前提と出典'!$B$8,0)</ns0:f>
        <ns0:v>1000</ns0:v>
      </ns0:c>
      <ns0:c r="U16" s="12">
        <ns0:f>IF(I16=1,INDEX('前提と出典'!B80:B83,'前提と出典'!$B$18+1)+G16*INDEX('前提と出典'!C80:C83,'前提と出典'!$B$18+1),0)</ns0:f>
        <ns0:v>504.7335630195774</ns0:v>
      </ns0:c>
      <ns0:c r="V16" s="12">
        <ns0:f>IF(I16=1,INDEX('前提と出典'!D80:D83,'前提と出典'!$B$18+1)+G16*INDEX('前提と出典'!E80:E83,'前提と出典'!$B$18+1),0)</ns0:f>
        <ns0:v>686.6666666666667</ns0:v>
      </ns0:c>
      <ns0:c r="W16" s="4">
        <ns0:f>L16-Q16</ns0:f>
        <ns0:v>3692.3076923076924</ns0:v>
      </ns0:c>
      <ns0:c r="X16" s="4">
        <ns0:f>N16-R16</ns0:f>
        <ns0:v>2307.6923076923076</ns0:v>
      </ns0:c>
    </ns0:row>
    <ns0:row r="17" ht="24" customHeight="1">
      <ns0:c r="A17" s="4" t="n">
        <ns0:v>0</ns0:v>
      </ns0:c>
      <ns0:c r="B17" s="4" t="n">
        <ns0:v>6</ns0:v>
      </ns0:c>
      <ns0:c r="C17" s="4" t="n">
        <ns0:v>0</ns0:v>
      </ns0:c>
      <ns0:c r="D17" s="12">
        <ns0:f>'前提と出典'!C58*'前提と出典'!$B$21</ns0:f>
        <ns0:v>0.0007</ns0:v>
      </ns0:c>
      <ns0:c r="E17" s="12">
        <ns0:f>ROUNDUP('前提と出典'!B58*'前提と出典'!$B$22,0)</ns0:f>
        <ns0:v>600</ns0:v>
      </ns0:c>
      <ns0:c r="F17" s="12">
        <ns0:f>'前提と出典'!A58</ns0:f>
        <ns0:v>130</ns0:v>
      </ns0:c>
      <ns0:c r="G17" s="12">
        <ns0:f>MAX(1,ROUNDUP(E17*'前提と出典'!$B$24*'前提と出典'!E10,0))</ns0:f>
        <ns0:v>30</ns0:v>
      </ns0:c>
      <ns0:c r="H17" s="4">
        <ns0:f>IF(AND(F17&gt;=1,F17&lt;=100),1,0)</ns0:f>
        <ns0:v>0</ns0:v>
      </ns0:c>
      <ns0:c r="I17" s="4">
        <ns0:f>IF(G17&lt;=50,1,0)</ns0:f>
        <ns0:v>1</ns0:v>
      </ns0:c>
      <ns0:c r="J17" s="4">
        <ns0:f>H17*I17</ns0:f>
        <ns0:v>0</ns0:v>
      </ns0:c>
      <ns0:c r="K17" s="12">
        <ns0:f>IF(A17='前提と出典'!$B$14,D17,0)</ns0:f>
        <ns0:v>0</ns0:v>
      </ns0:c>
      <ns0:c r="L17" s="12">
        <ns0:f>IF(H17=0,0,IF(F17&lt;=INDEX('前提と出典'!B41:B43,'前提と出典'!$B$15+1),INDEX('前提と出典'!C41:C43,'前提と出典'!$B$15+1),IF(F17&lt;=INDEX('前提と出典'!D41:D43,'前提と出典'!$B$15+1),INDEX('前提と出典'!E41:E43,'前提と出典'!$B$15+1),INDEX('前提と出典'!G41:G43,'前提と出典'!$B$15+1))))</ns0:f>
        <ns0:v>0</ns0:v>
      </ns0:c>
      <ns0:c r="M17" s="12">
        <ns0:f>IF(H17=0,0,IF('前提と出典'!$B$33=1,MIN(F17,10)*300+MIN(MAX(0,F17-10),20)*250+MAX(0,F17-30)*200,F17*300))</ns0:f>
        <ns0:v>0</ns0:v>
      </ns0:c>
      <ns0:c r="N17" s="12">
        <ns0:f>IF(I17=0,0,IF(G17&lt;=INDEX('前提と出典'!B46:B48,'前提と出典'!$B$16+1),INDEX('前提と出典'!C46:C48,'前提と出典'!$B$16+1),IF(G17&lt;=INDEX('前提と出典'!D46:D48,'前提と出典'!$B$16+1),INDEX('前提と出典'!E46:E48,'前提と出典'!$B$16+1),IF(G17&lt;=INDEX('前提と出典'!F46:F48,'前提と出典'!$B$16+1),INDEX('前提と出典'!G46:G48,'前提と出典'!$B$16+1),INDEX('前提と出典'!I46:I48,'前提と出典'!$B$16+1)))))</ns0:f>
        <ns0:v>2500</ns0:v>
      </ns0:c>
      <ns0:c r="O17" s="12">
        <ns0:f>IF(I17=1,G17*'前提と出典'!$B$13,0)</ns0:f>
        <ns0:v>6000</ns0:v>
      </ns0:c>
      <ns0:c r="P17" s="12">
        <ns0:f>IF(J17=1,MIN('前提と出典'!$B$17,L17+N17),0)</ns0:f>
        <ns0:v>0</ns0:v>
      </ns0:c>
      <ns0:c r="Q17" s="12">
        <ns0:f>IF(J17=0,0,IF('前提と出典'!$B$19=0,P17*L17/(L17+N17),MIN(P17,L17)))</ns0:f>
        <ns0:v>0</ns0:v>
      </ns0:c>
      <ns0:c r="R17" s="4">
        <ns0:f>P17-Q17</ns0:f>
        <ns0:v>0</ns0:v>
      </ns0:c>
      <ns0:c r="S17" s="12">
        <ns0:f>IF(H17=1,'前提と出典'!$B$11+F17*'前提と出典'!$B$12,0)</ns0:f>
        <ns0:v>0</ns0:v>
      </ns0:c>
      <ns0:c r="T17" s="12">
        <ns0:f>IF(H17=1,('前提と出典'!$B$9+F17*'前提と出典'!$B$10)/60*'前提と出典'!$B$8,0)</ns0:f>
        <ns0:v>0</ns0:v>
      </ns0:c>
      <ns0:c r="U17" s="12">
        <ns0:f>IF(I17=1,INDEX('前提と出典'!B80:B83,'前提と出典'!$B$18+1)+G17*INDEX('前提と出典'!C80:C83,'前提と出典'!$B$18+1),0)</ns0:f>
        <ns0:v>643.1307343733619</ns0:v>
      </ns0:c>
      <ns0:c r="V17" s="12">
        <ns0:f>IF(I17=1,INDEX('前提と出典'!D80:D83,'前提と出典'!$B$18+1)+G17*INDEX('前提と出典'!E80:E83,'前提と出典'!$B$18+1),0)</ns0:f>
        <ns0:v>733.3333333333333</ns0:v>
      </ns0:c>
      <ns0:c r="W17" s="4">
        <ns0:f>L17-Q17</ns0:f>
        <ns0:v>0</ns0:v>
      </ns0:c>
      <ns0:c r="X17" s="4">
        <ns0:f>N17-R17</ns0:f>
        <ns0:v>2500</ns0:v>
      </ns0:c>
    </ns0:row>
    <ns0:row r="18" ht="24" customHeight="1">
      <ns0:c r="A18" s="4" t="n">
        <ns0:v>0</ns0:v>
      </ns0:c>
      <ns0:c r="B18" s="4" t="n">
        <ns0:v>6</ns0:v>
      </ns0:c>
      <ns0:c r="C18" s="4" t="n">
        <ns0:v>1</ns0:v>
      </ns0:c>
      <ns0:c r="D18" s="12">
        <ns0:f>'前提と出典'!C58*(1-'前提と出典'!$B$21)</ns0:f>
        <ns0:v>0.00030000000000000003</ns0:v>
      </ns0:c>
      <ns0:c r="E18" s="12">
        <ns0:f>ROUNDUP('前提と出典'!B58*'前提と出典'!$B$23,0)</ns0:f>
        <ns0:v>300</ns0:v>
      </ns0:c>
      <ns0:c r="F18" s="12">
        <ns0:f>'前提と出典'!A58</ns0:f>
        <ns0:v>130</ns0:v>
      </ns0:c>
      <ns0:c r="G18" s="12">
        <ns0:f>MAX(1,ROUNDUP(E18*'前提と出典'!$B$25*'前提と出典'!E10,0))</ns0:f>
        <ns0:v>45</ns0:v>
      </ns0:c>
      <ns0:c r="H18" s="4">
        <ns0:f>IF(AND(F18&gt;=1,F18&lt;=100),1,0)</ns0:f>
        <ns0:v>0</ns0:v>
      </ns0:c>
      <ns0:c r="I18" s="4">
        <ns0:f>IF(G18&lt;=50,1,0)</ns0:f>
        <ns0:v>1</ns0:v>
      </ns0:c>
      <ns0:c r="J18" s="4">
        <ns0:f>H18*I18</ns0:f>
        <ns0:v>0</ns0:v>
      </ns0:c>
      <ns0:c r="K18" s="12">
        <ns0:f>IF(A18='前提と出典'!$B$14,D18,0)</ns0:f>
        <ns0:v>0</ns0:v>
      </ns0:c>
      <ns0:c r="L18" s="12">
        <ns0:f>IF(H18=0,0,IF(F18&lt;=INDEX('前提と出典'!B41:B43,'前提と出典'!$B$15+1),INDEX('前提と出典'!C41:C43,'前提と出典'!$B$15+1),IF(F18&lt;=INDEX('前提と出典'!D41:D43,'前提と出典'!$B$15+1),INDEX('前提と出典'!E41:E43,'前提と出典'!$B$15+1),INDEX('前提と出典'!G41:G43,'前提と出典'!$B$15+1))))</ns0:f>
        <ns0:v>0</ns0:v>
      </ns0:c>
      <ns0:c r="M18" s="12">
        <ns0:f>IF(H18=0,0,IF('前提と出典'!$B$33=1,MIN(F18,10)*300+MIN(MAX(0,F18-10),20)*250+MAX(0,F18-30)*200,F18*300))</ns0:f>
        <ns0:v>0</ns0:v>
      </ns0:c>
      <ns0:c r="N18" s="12">
        <ns0:f>IF(I18=0,0,IF(G18&lt;=INDEX('前提と出典'!B46:B48,'前提と出典'!$B$16+1),INDEX('前提と出典'!C46:C48,'前提と出典'!$B$16+1),IF(G18&lt;=INDEX('前提と出典'!D46:D48,'前提と出典'!$B$16+1),INDEX('前提と出典'!E46:E48,'前提と出典'!$B$16+1),IF(G18&lt;=INDEX('前提と出典'!F46:F48,'前提と出典'!$B$16+1),INDEX('前提と出典'!G46:G48,'前提と出典'!$B$16+1),INDEX('前提と出典'!I46:I48,'前提と出典'!$B$16+1)))))</ns0:f>
        <ns0:v>2500</ns0:v>
      </ns0:c>
      <ns0:c r="O18" s="12">
        <ns0:f>IF(I18=1,G18*'前提と出典'!$B$13,0)</ns0:f>
        <ns0:v>9000</ns0:v>
      </ns0:c>
      <ns0:c r="P18" s="12">
        <ns0:f>IF(J18=1,MIN('前提と出典'!$B$17,L18+N18),0)</ns0:f>
        <ns0:v>0</ns0:v>
      </ns0:c>
      <ns0:c r="Q18" s="12">
        <ns0:f>IF(J18=0,0,IF('前提と出典'!$B$19=0,P18*L18/(L18+N18),MIN(P18,L18)))</ns0:f>
        <ns0:v>0</ns0:v>
      </ns0:c>
      <ns0:c r="R18" s="4">
        <ns0:f>P18-Q18</ns0:f>
        <ns0:v>0</ns0:v>
      </ns0:c>
      <ns0:c r="S18" s="12">
        <ns0:f>IF(H18=1,'前提と出典'!$B$11+F18*'前提と出典'!$B$12,0)</ns0:f>
        <ns0:v>0</ns0:v>
      </ns0:c>
      <ns0:c r="T18" s="12">
        <ns0:f>IF(H18=1,('前提と出典'!$B$9+F18*'前提と出典'!$B$10)/60*'前提と出典'!$B$8,0)</ns0:f>
        <ns0:v>0</ns0:v>
      </ns0:c>
      <ns0:c r="U18" s="12">
        <ns0:f>IF(I18=1,INDEX('前提と出典'!B80:B83,'前提と出典'!$B$18+1)+G18*INDEX('前提と出典'!C80:C83,'前提と出典'!$B$18+1),0)</ns0:f>
        <ns0:v>939.6961015600427</ns0:v>
      </ns0:c>
      <ns0:c r="V18" s="12">
        <ns0:f>IF(I18=1,INDEX('前提と出典'!D80:D83,'前提と出典'!$B$18+1)+G18*INDEX('前提と出典'!E80:E83,'前提と出典'!$B$18+1),0)</ns0:f>
        <ns0:v>833.3333333333334</ns0:v>
      </ns0:c>
      <ns0:c r="W18" s="4">
        <ns0:f>L18-Q18</ns0:f>
        <ns0:v>0</ns0:v>
      </ns0:c>
      <ns0:c r="X18" s="4">
        <ns0:f>N18-R18</ns0:f>
        <ns0:v>2500</ns0:v>
      </ns0:c>
    </ns0:row>
    <ns0:row r="19" ht="24" customHeight="1">
      <ns0:c r="A19" s="4" t="n">
        <ns0:v>1</ns0:v>
      </ns0:c>
      <ns0:c r="B19" s="4" t="n">
        <ns0:v>0</ns0:v>
      </ns0:c>
      <ns0:c r="C19" s="4" t="n">
        <ns0:v>0</ns0:v>
      </ns0:c>
      <ns0:c r="D19" s="12">
        <ns0:f>'前提と出典'!D52*'前提と出典'!$B$21</ns0:f>
        <ns0:v>0.06999999999999999</ns0:v>
      </ns0:c>
      <ns0:c r="E19" s="12">
        <ns0:f>ROUNDUP('前提と出典'!B52*'前提と出典'!$B$22,0)</ns0:f>
        <ns0:v>6</ns0:v>
      </ns0:c>
      <ns0:c r="F19" s="12">
        <ns0:f>'前提と出典'!A52</ns0:f>
        <ns0:v>0</ns0:v>
      </ns0:c>
      <ns0:c r="G19" s="12">
        <ns0:f>MAX(1,ROUNDUP(E19*'前提と出典'!$B$24*'前提と出典'!E11,0))</ns0:f>
        <ns0:v>1</ns0:v>
      </ns0:c>
      <ns0:c r="H19" s="4">
        <ns0:f>IF(AND(F19&gt;=1,F19&lt;=100),1,0)</ns0:f>
        <ns0:v>0</ns0:v>
      </ns0:c>
      <ns0:c r="I19" s="4">
        <ns0:f>IF(G19&lt;=50,1,0)</ns0:f>
        <ns0:v>1</ns0:v>
      </ns0:c>
      <ns0:c r="J19" s="4">
        <ns0:f>H19*I19</ns0:f>
        <ns0:v>0</ns0:v>
      </ns0:c>
      <ns0:c r="K19" s="12">
        <ns0:f>IF(A19='前提と出典'!$B$14,D19,0)</ns0:f>
        <ns0:v>0.06999999999999999</ns0:v>
      </ns0:c>
      <ns0:c r="L19" s="12">
        <ns0:f>IF(H19=0,0,IF(F19&lt;=INDEX('前提と出典'!B41:B43,'前提と出典'!$B$15+1),INDEX('前提と出典'!C41:C43,'前提と出典'!$B$15+1),IF(F19&lt;=INDEX('前提と出典'!D41:D43,'前提と出典'!$B$15+1),INDEX('前提と出典'!E41:E43,'前提と出典'!$B$15+1),INDEX('前提と出典'!G41:G43,'前提と出典'!$B$15+1))))</ns0:f>
        <ns0:v>0</ns0:v>
      </ns0:c>
      <ns0:c r="M19" s="12">
        <ns0:f>IF(H19=0,0,IF('前提と出典'!$B$33=1,MIN(F19,10)*300+MIN(MAX(0,F19-10),20)*250+MAX(0,F19-30)*200,F19*300))</ns0:f>
        <ns0:v>0</ns0:v>
      </ns0:c>
      <ns0:c r="N19" s="12">
        <ns0:f>IF(I19=0,0,IF(G19&lt;=INDEX('前提と出典'!B46:B48,'前提と出典'!$B$16+1),INDEX('前提と出典'!C46:C48,'前提と出典'!$B$16+1),IF(G19&lt;=INDEX('前提と出典'!D46:D48,'前提と出典'!$B$16+1),INDEX('前提と出典'!E46:E48,'前提と出典'!$B$16+1),IF(G19&lt;=INDEX('前提と出典'!F46:F48,'前提と出典'!$B$16+1),INDEX('前提と出典'!G46:G48,'前提と出典'!$B$16+1),INDEX('前提と出典'!I46:I48,'前提と出典'!$B$16+1)))))</ns0:f>
        <ns0:v>1200</ns0:v>
      </ns0:c>
      <ns0:c r="O19" s="12">
        <ns0:f>IF(I19=1,G19*'前提と出典'!$B$13,0)</ns0:f>
        <ns0:v>200</ns0:v>
      </ns0:c>
      <ns0:c r="P19" s="12">
        <ns0:f>IF(J19=1,MIN('前提と出典'!$B$17,L19+N19),0)</ns0:f>
        <ns0:v>0</ns0:v>
      </ns0:c>
      <ns0:c r="Q19" s="12">
        <ns0:f>IF(J19=0,0,IF('前提と出典'!$B$19=0,P19*L19/(L19+N19),MIN(P19,L19)))</ns0:f>
        <ns0:v>0</ns0:v>
      </ns0:c>
      <ns0:c r="R19" s="4">
        <ns0:f>P19-Q19</ns0:f>
        <ns0:v>0</ns0:v>
      </ns0:c>
      <ns0:c r="S19" s="12">
        <ns0:f>IF(H19=1,'前提と出典'!$B$11+F19*'前提と出典'!$B$12,0)</ns0:f>
        <ns0:v>0</ns0:v>
      </ns0:c>
      <ns0:c r="T19" s="12">
        <ns0:f>IF(H19=1,('前提と出典'!$B$9+F19*'前提と出典'!$B$10)/60*'前提と出典'!$B$8,0)</ns0:f>
        <ns0:v>0</ns0:v>
      </ns0:c>
      <ns0:c r="U19" s="12">
        <ns0:f>IF(I19=1,INDEX('前提と出典'!B80:B83,'前提と出典'!$B$18+1)+G19*INDEX('前提と出典'!C80:C83,'前提と出典'!$B$18+1),0)</ns0:f>
        <ns0:v>69.77102447911206</ns0:v>
      </ns0:c>
      <ns0:c r="V19" s="12">
        <ns0:f>IF(I19=1,INDEX('前提と出典'!D80:D83,'前提と出典'!$B$18+1)+G19*INDEX('前提と出典'!E80:E83,'前提と出典'!$B$18+1),0)</ns0:f>
        <ns0:v>539.9999999999999</ns0:v>
      </ns0:c>
      <ns0:c r="W19" s="4">
        <ns0:f>L19-Q19</ns0:f>
        <ns0:v>0</ns0:v>
      </ns0:c>
      <ns0:c r="X19" s="4">
        <ns0:f>N19-R19</ns0:f>
        <ns0:v>1200</ns0:v>
      </ns0:c>
    </ns0:row>
    <ns0:row r="20" ht="24" customHeight="1">
      <ns0:c r="A20" s="4" t="n">
        <ns0:v>1</ns0:v>
      </ns0:c>
      <ns0:c r="B20" s="4" t="n">
        <ns0:v>0</ns0:v>
      </ns0:c>
      <ns0:c r="C20" s="4" t="n">
        <ns0:v>1</ns0:v>
      </ns0:c>
      <ns0:c r="D20" s="12">
        <ns0:f>'前提と出典'!D52*(1-'前提と出典'!$B$21)</ns0:f>
        <ns0:v>0.030000000000000006</ns0:v>
      </ns0:c>
      <ns0:c r="E20" s="12">
        <ns0:f>ROUNDUP('前提と出典'!B52*'前提と出典'!$B$23,0)</ns0:f>
        <ns0:v>3</ns0:v>
      </ns0:c>
      <ns0:c r="F20" s="12">
        <ns0:f>'前提と出典'!A52</ns0:f>
        <ns0:v>0</ns0:v>
      </ns0:c>
      <ns0:c r="G20" s="12">
        <ns0:f>MAX(1,ROUNDUP(E20*'前提と出典'!$B$25*'前提と出典'!E11,0))</ns0:f>
        <ns0:v>1</ns0:v>
      </ns0:c>
      <ns0:c r="H20" s="4">
        <ns0:f>IF(AND(F20&gt;=1,F20&lt;=100),1,0)</ns0:f>
        <ns0:v>0</ns0:v>
      </ns0:c>
      <ns0:c r="I20" s="4">
        <ns0:f>IF(G20&lt;=50,1,0)</ns0:f>
        <ns0:v>1</ns0:v>
      </ns0:c>
      <ns0:c r="J20" s="4">
        <ns0:f>H20*I20</ns0:f>
        <ns0:v>0</ns0:v>
      </ns0:c>
      <ns0:c r="K20" s="12">
        <ns0:f>IF(A20='前提と出典'!$B$14,D20,0)</ns0:f>
        <ns0:v>0.030000000000000006</ns0:v>
      </ns0:c>
      <ns0:c r="L20" s="12">
        <ns0:f>IF(H20=0,0,IF(F20&lt;=INDEX('前提と出典'!B41:B43,'前提と出典'!$B$15+1),INDEX('前提と出典'!C41:C43,'前提と出典'!$B$15+1),IF(F20&lt;=INDEX('前提と出典'!D41:D43,'前提と出典'!$B$15+1),INDEX('前提と出典'!E41:E43,'前提と出典'!$B$15+1),INDEX('前提と出典'!G41:G43,'前提と出典'!$B$15+1))))</ns0:f>
        <ns0:v>0</ns0:v>
      </ns0:c>
      <ns0:c r="M20" s="12">
        <ns0:f>IF(H20=0,0,IF('前提と出典'!$B$33=1,MIN(F20,10)*300+MIN(MAX(0,F20-10),20)*250+MAX(0,F20-30)*200,F20*300))</ns0:f>
        <ns0:v>0</ns0:v>
      </ns0:c>
      <ns0:c r="N20" s="12">
        <ns0:f>IF(I20=0,0,IF(G20&lt;=INDEX('前提と出典'!B46:B48,'前提と出典'!$B$16+1),INDEX('前提と出典'!C46:C48,'前提と出典'!$B$16+1),IF(G20&lt;=INDEX('前提と出典'!D46:D48,'前提と出典'!$B$16+1),INDEX('前提と出典'!E46:E48,'前提と出典'!$B$16+1),IF(G20&lt;=INDEX('前提と出典'!F46:F48,'前提と出典'!$B$16+1),INDEX('前提と出典'!G46:G48,'前提と出典'!$B$16+1),INDEX('前提と出典'!I46:I48,'前提と出典'!$B$16+1)))))</ns0:f>
        <ns0:v>1200</ns0:v>
      </ns0:c>
      <ns0:c r="O20" s="12">
        <ns0:f>IF(I20=1,G20*'前提と出典'!$B$13,0)</ns0:f>
        <ns0:v>200</ns0:v>
      </ns0:c>
      <ns0:c r="P20" s="12">
        <ns0:f>IF(J20=1,MIN('前提と出典'!$B$17,L20+N20),0)</ns0:f>
        <ns0:v>0</ns0:v>
      </ns0:c>
      <ns0:c r="Q20" s="12">
        <ns0:f>IF(J20=0,0,IF('前提と出典'!$B$19=0,P20*L20/(L20+N20),MIN(P20,L20)))</ns0:f>
        <ns0:v>0</ns0:v>
      </ns0:c>
      <ns0:c r="R20" s="4">
        <ns0:f>P20-Q20</ns0:f>
        <ns0:v>0</ns0:v>
      </ns0:c>
      <ns0:c r="S20" s="12">
        <ns0:f>IF(H20=1,'前提と出典'!$B$11+F20*'前提と出典'!$B$12,0)</ns0:f>
        <ns0:v>0</ns0:v>
      </ns0:c>
      <ns0:c r="T20" s="12">
        <ns0:f>IF(H20=1,('前提と出典'!$B$9+F20*'前提と出典'!$B$10)/60*'前提と出典'!$B$8,0)</ns0:f>
        <ns0:v>0</ns0:v>
      </ns0:c>
      <ns0:c r="U20" s="12">
        <ns0:f>IF(I20=1,INDEX('前提と出典'!B80:B83,'前提と出典'!$B$18+1)+G20*INDEX('前提と出典'!C80:C83,'前提と出典'!$B$18+1),0)</ns0:f>
        <ns0:v>69.77102447911206</ns0:v>
      </ns0:c>
      <ns0:c r="V20" s="12">
        <ns0:f>IF(I20=1,INDEX('前提と出典'!D80:D83,'前提と出典'!$B$18+1)+G20*INDEX('前提と出典'!E80:E83,'前提と出典'!$B$18+1),0)</ns0:f>
        <ns0:v>539.9999999999999</ns0:v>
      </ns0:c>
      <ns0:c r="W20" s="4">
        <ns0:f>L20-Q20</ns0:f>
        <ns0:v>0</ns0:v>
      </ns0:c>
      <ns0:c r="X20" s="4">
        <ns0:f>N20-R20</ns0:f>
        <ns0:v>1200</ns0:v>
      </ns0:c>
    </ns0:row>
    <ns0:row r="21" ht="24" customHeight="1">
      <ns0:c r="A21" s="4" t="n">
        <ns0:v>1</ns0:v>
      </ns0:c>
      <ns0:c r="B21" s="4" t="n">
        <ns0:v>1</ns0:v>
      </ns0:c>
      <ns0:c r="C21" s="4" t="n">
        <ns0:v>0</ns0:v>
      </ns0:c>
      <ns0:c r="D21" s="12">
        <ns0:f>'前提と出典'!D53*'前提と出典'!$B$21</ns0:f>
        <ns0:v>0.259</ns0:v>
      </ns0:c>
      <ns0:c r="E21" s="12">
        <ns0:f>ROUNDUP('前提と出典'!B53*'前提と出典'!$B$22,0)</ns0:f>
        <ns0:v>15</ns0:v>
      </ns0:c>
      <ns0:c r="F21" s="12">
        <ns0:f>'前提と出典'!A53</ns0:f>
        <ns0:v>3</ns0:v>
      </ns0:c>
      <ns0:c r="G21" s="12">
        <ns0:f>MAX(1,ROUNDUP(E21*'前提と出典'!$B$24*'前提と出典'!E11,0))</ns0:f>
        <ns0:v>2</ns0:v>
      </ns0:c>
      <ns0:c r="H21" s="4">
        <ns0:f>IF(AND(F21&gt;=1,F21&lt;=100),1,0)</ns0:f>
        <ns0:v>1</ns0:v>
      </ns0:c>
      <ns0:c r="I21" s="4">
        <ns0:f>IF(G21&lt;=50,1,0)</ns0:f>
        <ns0:v>1</ns0:v>
      </ns0:c>
      <ns0:c r="J21" s="4">
        <ns0:f>H21*I21</ns0:f>
        <ns0:v>1</ns0:v>
      </ns0:c>
      <ns0:c r="K21" s="12">
        <ns0:f>IF(A21='前提と出典'!$B$14,D21,0)</ns0:f>
        <ns0:v>0.259</ns0:v>
      </ns0:c>
      <ns0:c r="L21" s="12">
        <ns0:f>IF(H21=0,0,IF(F21&lt;=INDEX('前提と出典'!B41:B43,'前提と出典'!$B$15+1),INDEX('前提と出典'!C41:C43,'前提と出典'!$B$15+1),IF(F21&lt;=INDEX('前提と出典'!D41:D43,'前提と出典'!$B$15+1),INDEX('前提と出典'!E41:E43,'前提と出典'!$B$15+1),INDEX('前提と出典'!G41:G43,'前提と出典'!$B$15+1))))</ns0:f>
        <ns0:v>2500</ns0:v>
      </ns0:c>
      <ns0:c r="M21" s="12">
        <ns0:f>IF(H21=0,0,IF('前提と出典'!$B$33=1,MIN(F21,10)*300+MIN(MAX(0,F21-10),20)*250+MAX(0,F21-30)*200,F21*300))</ns0:f>
        <ns0:v>900</ns0:v>
      </ns0:c>
      <ns0:c r="N21" s="12">
        <ns0:f>IF(I21=0,0,IF(G21&lt;=INDEX('前提と出典'!B46:B48,'前提と出典'!$B$16+1),INDEX('前提と出典'!C46:C48,'前提と出典'!$B$16+1),IF(G21&lt;=INDEX('前提と出典'!D46:D48,'前提と出典'!$B$16+1),INDEX('前提と出典'!E46:E48,'前提と出典'!$B$16+1),IF(G21&lt;=INDEX('前提と出典'!F46:F48,'前提と出典'!$B$16+1),INDEX('前提と出典'!G46:G48,'前提と出典'!$B$16+1),INDEX('前提と出典'!I46:I48,'前提と出典'!$B$16+1)))))</ns0:f>
        <ns0:v>1200</ns0:v>
      </ns0:c>
      <ns0:c r="O21" s="12">
        <ns0:f>IF(I21=1,G21*'前提と出典'!$B$13,0)</ns0:f>
        <ns0:v>400</ns0:v>
      </ns0:c>
      <ns0:c r="P21" s="12">
        <ns0:f>IF(J21=1,MIN('前提と出典'!$B$17,L21+N21),0)</ns0:f>
        <ns0:v>500</ns0:v>
      </ns0:c>
      <ns0:c r="Q21" s="12">
        <ns0:f>IF(J21=0,0,IF('前提と出典'!$B$19=0,P21*L21/(L21+N21),MIN(P21,L21)))</ns0:f>
        <ns0:v>337.8378378378378</ns0:v>
      </ns0:c>
      <ns0:c r="R21" s="4">
        <ns0:f>P21-Q21</ns0:f>
        <ns0:v>162.1621621621622</ns0:v>
      </ns0:c>
      <ns0:c r="S21" s="12">
        <ns0:f>IF(H21=1,'前提と出典'!$B$11+F21*'前提と出典'!$B$12,0)</ns0:f>
        <ns0:v>53</ns0:v>
      </ns0:c>
      <ns0:c r="T21" s="12">
        <ns0:f>IF(H21=1,('前提と出典'!$B$9+F21*'前提と出典'!$B$10)/60*'前提と出典'!$B$8,0)</ns0:f>
        <ns0:v>553.3333333333334</ns0:v>
      </ns0:c>
      <ns0:c r="U21" s="12">
        <ns0:f>IF(I21=1,INDEX('前提と出典'!B80:B83,'前提と出典'!$B$18+1)+G21*INDEX('前提と出典'!C80:C83,'前提と出典'!$B$18+1),0)</ns0:f>
        <ns0:v>89.54204895822411</ns0:v>
      </ns0:c>
      <ns0:c r="V21" s="12">
        <ns0:f>IF(I21=1,INDEX('前提と出典'!D80:D83,'前提と出典'!$B$18+1)+G21*INDEX('前提と出典'!E80:E83,'前提と出典'!$B$18+1),0)</ns0:f>
        <ns0:v>546.6666666666666</ns0:v>
      </ns0:c>
      <ns0:c r="W21" s="4">
        <ns0:f>L21-Q21</ns0:f>
        <ns0:v>2162.162162162162</ns0:v>
      </ns0:c>
      <ns0:c r="X21" s="4">
        <ns0:f>N21-R21</ns0:f>
        <ns0:v>1037.837837837838</ns0:v>
      </ns0:c>
    </ns0:row>
    <ns0:row r="22" ht="24" customHeight="1">
      <ns0:c r="A22" s="4" t="n">
        <ns0:v>1</ns0:v>
      </ns0:c>
      <ns0:c r="B22" s="4" t="n">
        <ns0:v>1</ns0:v>
      </ns0:c>
      <ns0:c r="C22" s="4" t="n">
        <ns0:v>1</ns0:v>
      </ns0:c>
      <ns0:c r="D22" s="12">
        <ns0:f>'前提と出典'!D53*(1-'前提と出典'!$B$21)</ns0:f>
        <ns0:v>0.11100000000000002</ns0:v>
      </ns0:c>
      <ns0:c r="E22" s="12">
        <ns0:f>ROUNDUP('前提と出典'!B53*'前提と出典'!$B$23,0)</ns0:f>
        <ns0:v>8</ns0:v>
      </ns0:c>
      <ns0:c r="F22" s="12">
        <ns0:f>'前提と出典'!A53</ns0:f>
        <ns0:v>3</ns0:v>
      </ns0:c>
      <ns0:c r="G22" s="12">
        <ns0:f>MAX(1,ROUNDUP(E22*'前提と出典'!$B$25*'前提と出典'!E11,0))</ns0:f>
        <ns0:v>3</ns0:v>
      </ns0:c>
      <ns0:c r="H22" s="4">
        <ns0:f>IF(AND(F22&gt;=1,F22&lt;=100),1,0)</ns0:f>
        <ns0:v>1</ns0:v>
      </ns0:c>
      <ns0:c r="I22" s="4">
        <ns0:f>IF(G22&lt;=50,1,0)</ns0:f>
        <ns0:v>1</ns0:v>
      </ns0:c>
      <ns0:c r="J22" s="4">
        <ns0:f>H22*I22</ns0:f>
        <ns0:v>1</ns0:v>
      </ns0:c>
      <ns0:c r="K22" s="12">
        <ns0:f>IF(A22='前提と出典'!$B$14,D22,0)</ns0:f>
        <ns0:v>0.11100000000000002</ns0:v>
      </ns0:c>
      <ns0:c r="L22" s="12">
        <ns0:f>IF(H22=0,0,IF(F22&lt;=INDEX('前提と出典'!B41:B43,'前提と出典'!$B$15+1),INDEX('前提と出典'!C41:C43,'前提と出典'!$B$15+1),IF(F22&lt;=INDEX('前提と出典'!D41:D43,'前提と出典'!$B$15+1),INDEX('前提と出典'!E41:E43,'前提と出典'!$B$15+1),INDEX('前提と出典'!G41:G43,'前提と出典'!$B$15+1))))</ns0:f>
        <ns0:v>2500</ns0:v>
      </ns0:c>
      <ns0:c r="M22" s="12">
        <ns0:f>IF(H22=0,0,IF('前提と出典'!$B$33=1,MIN(F22,10)*300+MIN(MAX(0,F22-10),20)*250+MAX(0,F22-30)*200,F22*300))</ns0:f>
        <ns0:v>900</ns0:v>
      </ns0:c>
      <ns0:c r="N22" s="12">
        <ns0:f>IF(I22=0,0,IF(G22&lt;=INDEX('前提と出典'!B46:B48,'前提と出典'!$B$16+1),INDEX('前提と出典'!C46:C48,'前提と出典'!$B$16+1),IF(G22&lt;=INDEX('前提と出典'!D46:D48,'前提と出典'!$B$16+1),INDEX('前提と出典'!E46:E48,'前提と出典'!$B$16+1),IF(G22&lt;=INDEX('前提と出典'!F46:F48,'前提と出典'!$B$16+1),INDEX('前提と出典'!G46:G48,'前提と出典'!$B$16+1),INDEX('前提と出典'!I46:I48,'前提と出典'!$B$16+1)))))</ns0:f>
        <ns0:v>1200</ns0:v>
      </ns0:c>
      <ns0:c r="O22" s="12">
        <ns0:f>IF(I22=1,G22*'前提と出典'!$B$13,0)</ns0:f>
        <ns0:v>600</ns0:v>
      </ns0:c>
      <ns0:c r="P22" s="12">
        <ns0:f>IF(J22=1,MIN('前提と出典'!$B$17,L22+N22),0)</ns0:f>
        <ns0:v>500</ns0:v>
      </ns0:c>
      <ns0:c r="Q22" s="12">
        <ns0:f>IF(J22=0,0,IF('前提と出典'!$B$19=0,P22*L22/(L22+N22),MIN(P22,L22)))</ns0:f>
        <ns0:v>337.8378378378378</ns0:v>
      </ns0:c>
      <ns0:c r="R22" s="4">
        <ns0:f>P22-Q22</ns0:f>
        <ns0:v>162.1621621621622</ns0:v>
      </ns0:c>
      <ns0:c r="S22" s="12">
        <ns0:f>IF(H22=1,'前提と出典'!$B$11+F22*'前提と出典'!$B$12,0)</ns0:f>
        <ns0:v>53</ns0:v>
      </ns0:c>
      <ns0:c r="T22" s="12">
        <ns0:f>IF(H22=1,('前提と出典'!$B$9+F22*'前提と出典'!$B$10)/60*'前提と出典'!$B$8,0)</ns0:f>
        <ns0:v>553.3333333333334</ns0:v>
      </ns0:c>
      <ns0:c r="U22" s="12">
        <ns0:f>IF(I22=1,INDEX('前提と出典'!B80:B83,'前提と出典'!$B$18+1)+G22*INDEX('前提と出典'!C80:C83,'前提と出典'!$B$18+1),0)</ns0:f>
        <ns0:v>109.31307343733619</ns0:v>
      </ns0:c>
      <ns0:c r="V22" s="12">
        <ns0:f>IF(I22=1,INDEX('前提と出典'!D80:D83,'前提と出典'!$B$18+1)+G22*INDEX('前提と出典'!E80:E83,'前提と出典'!$B$18+1),0)</ns0:f>
        <ns0:v>553.3333333333334</ns0:v>
      </ns0:c>
      <ns0:c r="W22" s="4">
        <ns0:f>L22-Q22</ns0:f>
        <ns0:v>2162.162162162162</ns0:v>
      </ns0:c>
      <ns0:c r="X22" s="4">
        <ns0:f>N22-R22</ns0:f>
        <ns0:v>1037.837837837838</ns0:v>
      </ns0:c>
    </ns0:row>
    <ns0:row r="23" ht="24" customHeight="1">
      <ns0:c r="A23" s="4" t="n">
        <ns0:v>1</ns0:v>
      </ns0:c>
      <ns0:c r="B23" s="4" t="n">
        <ns0:v>2</ns0:v>
      </ns0:c>
      <ns0:c r="C23" s="4" t="n">
        <ns0:v>0</ns0:v>
      </ns0:c>
      <ns0:c r="D23" s="12">
        <ns0:f>'前提と出典'!D54*'前提と出典'!$B$21</ns0:f>
        <ns0:v>0.196</ns0:v>
      </ns0:c>
      <ns0:c r="E23" s="12">
        <ns0:f>ROUNDUP('前提と出典'!B54*'前提と出典'!$B$22,0)</ns0:f>
        <ns0:v>38</ns0:v>
      </ns0:c>
      <ns0:c r="F23" s="12">
        <ns0:f>'前提と出典'!A54</ns0:f>
        <ns0:v>8</ns0:v>
      </ns0:c>
      <ns0:c r="G23" s="12">
        <ns0:f>MAX(1,ROUNDUP(E23*'前提と出典'!$B$24*'前提と出典'!E11,0))</ns0:f>
        <ns0:v>4</ns0:v>
      </ns0:c>
      <ns0:c r="H23" s="4">
        <ns0:f>IF(AND(F23&gt;=1,F23&lt;=100),1,0)</ns0:f>
        <ns0:v>1</ns0:v>
      </ns0:c>
      <ns0:c r="I23" s="4">
        <ns0:f>IF(G23&lt;=50,1,0)</ns0:f>
        <ns0:v>1</ns0:v>
      </ns0:c>
      <ns0:c r="J23" s="4">
        <ns0:f>H23*I23</ns0:f>
        <ns0:v>1</ns0:v>
      </ns0:c>
      <ns0:c r="K23" s="12">
        <ns0:f>IF(A23='前提と出典'!$B$14,D23,0)</ns0:f>
        <ns0:v>0.196</ns0:v>
      </ns0:c>
      <ns0:c r="L23" s="12">
        <ns0:f>IF(H23=0,0,IF(F23&lt;=INDEX('前提と出典'!B41:B43,'前提と出典'!$B$15+1),INDEX('前提と出典'!C41:C43,'前提と出典'!$B$15+1),IF(F23&lt;=INDEX('前提と出典'!D41:D43,'前提と出典'!$B$15+1),INDEX('前提と出典'!E41:E43,'前提と出典'!$B$15+1),INDEX('前提と出典'!G41:G43,'前提と出典'!$B$15+1))))</ns0:f>
        <ns0:v>2500</ns0:v>
      </ns0:c>
      <ns0:c r="M23" s="12">
        <ns0:f>IF(H23=0,0,IF('前提と出典'!$B$33=1,MIN(F23,10)*300+MIN(MAX(0,F23-10),20)*250+MAX(0,F23-30)*200,F23*300))</ns0:f>
        <ns0:v>2400</ns0:v>
      </ns0:c>
      <ns0:c r="N23" s="12">
        <ns0:f>IF(I23=0,0,IF(G23&lt;=INDEX('前提と出典'!B46:B48,'前提と出典'!$B$16+1),INDEX('前提と出典'!C46:C48,'前提と出典'!$B$16+1),IF(G23&lt;=INDEX('前提と出典'!D46:D48,'前提と出典'!$B$16+1),INDEX('前提と出典'!E46:E48,'前提と出典'!$B$16+1),IF(G23&lt;=INDEX('前提と出典'!F46:F48,'前提と出典'!$B$16+1),INDEX('前提と出典'!G46:G48,'前提と出典'!$B$16+1),INDEX('前提と出典'!I46:I48,'前提と出典'!$B$16+1)))))</ns0:f>
        <ns0:v>1200</ns0:v>
      </ns0:c>
      <ns0:c r="O23" s="12">
        <ns0:f>IF(I23=1,G23*'前提と出典'!$B$13,0)</ns0:f>
        <ns0:v>800</ns0:v>
      </ns0:c>
      <ns0:c r="P23" s="12">
        <ns0:f>IF(J23=1,MIN('前提と出典'!$B$17,L23+N23),0)</ns0:f>
        <ns0:v>500</ns0:v>
      </ns0:c>
      <ns0:c r="Q23" s="12">
        <ns0:f>IF(J23=0,0,IF('前提と出典'!$B$19=0,P23*L23/(L23+N23),MIN(P23,L23)))</ns0:f>
        <ns0:v>337.8378378378378</ns0:v>
      </ns0:c>
      <ns0:c r="R23" s="4">
        <ns0:f>P23-Q23</ns0:f>
        <ns0:v>162.1621621621622</ns0:v>
      </ns0:c>
      <ns0:c r="S23" s="12">
        <ns0:f>IF(H23=1,'前提と出典'!$B$11+F23*'前提と出典'!$B$12,0)</ns0:f>
        <ns0:v>58</ns0:v>
      </ns0:c>
      <ns0:c r="T23" s="12">
        <ns0:f>IF(H23=1,('前提と出典'!$B$9+F23*'前提と出典'!$B$10)/60*'前提と出典'!$B$8,0)</ns0:f>
        <ns0:v>586.6666666666666</ns0:v>
      </ns0:c>
      <ns0:c r="U23" s="12">
        <ns0:f>IF(I23=1,INDEX('前提と出典'!B80:B83,'前提と出典'!$B$18+1)+G23*INDEX('前提と出典'!C80:C83,'前提と出典'!$B$18+1),0)</ns0:f>
        <ns0:v>129.08409791644823</ns0:v>
      </ns0:c>
      <ns0:c r="V23" s="12">
        <ns0:f>IF(I23=1,INDEX('前提と出典'!D80:D83,'前提と出典'!$B$18+1)+G23*INDEX('前提と出典'!E80:E83,'前提と出典'!$B$18+1),0)</ns0:f>
        <ns0:v>560</ns0:v>
      </ns0:c>
      <ns0:c r="W23" s="4">
        <ns0:f>L23-Q23</ns0:f>
        <ns0:v>2162.162162162162</ns0:v>
      </ns0:c>
      <ns0:c r="X23" s="4">
        <ns0:f>N23-R23</ns0:f>
        <ns0:v>1037.837837837838</ns0:v>
      </ns0:c>
    </ns0:row>
    <ns0:row r="24" ht="24" customHeight="1">
      <ns0:c r="A24" s="4" t="n">
        <ns0:v>1</ns0:v>
      </ns0:c>
      <ns0:c r="B24" s="4" t="n">
        <ns0:v>2</ns0:v>
      </ns0:c>
      <ns0:c r="C24" s="4" t="n">
        <ns0:v>1</ns0:v>
      </ns0:c>
      <ns0:c r="D24" s="12">
        <ns0:f>'前提と出典'!D54*(1-'前提と出典'!$B$21)</ns0:f>
        <ns0:v>0.08400000000000002</ns0:v>
      </ns0:c>
      <ns0:c r="E24" s="12">
        <ns0:f>ROUNDUP('前提と出典'!B54*'前提と出典'!$B$23,0)</ns0:f>
        <ns0:v>19</ns0:v>
      </ns0:c>
      <ns0:c r="F24" s="12">
        <ns0:f>'前提と出典'!A54</ns0:f>
        <ns0:v>8</ns0:v>
      </ns0:c>
      <ns0:c r="G24" s="12">
        <ns0:f>MAX(1,ROUNDUP(E24*'前提と出典'!$B$25*'前提と出典'!E11,0))</ns0:f>
        <ns0:v>6</ns0:v>
      </ns0:c>
      <ns0:c r="H24" s="4">
        <ns0:f>IF(AND(F24&gt;=1,F24&lt;=100),1,0)</ns0:f>
        <ns0:v>1</ns0:v>
      </ns0:c>
      <ns0:c r="I24" s="4">
        <ns0:f>IF(G24&lt;=50,1,0)</ns0:f>
        <ns0:v>1</ns0:v>
      </ns0:c>
      <ns0:c r="J24" s="4">
        <ns0:f>H24*I24</ns0:f>
        <ns0:v>1</ns0:v>
      </ns0:c>
      <ns0:c r="K24" s="12">
        <ns0:f>IF(A24='前提と出典'!$B$14,D24,0)</ns0:f>
        <ns0:v>0.08400000000000002</ns0:v>
      </ns0:c>
      <ns0:c r="L24" s="12">
        <ns0:f>IF(H24=0,0,IF(F24&lt;=INDEX('前提と出典'!B41:B43,'前提と出典'!$B$15+1),INDEX('前提と出典'!C41:C43,'前提と出典'!$B$15+1),IF(F24&lt;=INDEX('前提と出典'!D41:D43,'前提と出典'!$B$15+1),INDEX('前提と出典'!E41:E43,'前提と出典'!$B$15+1),INDEX('前提と出典'!G41:G43,'前提と出典'!$B$15+1))))</ns0:f>
        <ns0:v>2500</ns0:v>
      </ns0:c>
      <ns0:c r="M24" s="12">
        <ns0:f>IF(H24=0,0,IF('前提と出典'!$B$33=1,MIN(F24,10)*300+MIN(MAX(0,F24-10),20)*250+MAX(0,F24-30)*200,F24*300))</ns0:f>
        <ns0:v>2400</ns0:v>
      </ns0:c>
      <ns0:c r="N24" s="12">
        <ns0:f>IF(I24=0,0,IF(G24&lt;=INDEX('前提と出典'!B46:B48,'前提と出典'!$B$16+1),INDEX('前提と出典'!C46:C48,'前提と出典'!$B$16+1),IF(G24&lt;=INDEX('前提と出典'!D46:D48,'前提と出典'!$B$16+1),INDEX('前提と出典'!E46:E48,'前提と出典'!$B$16+1),IF(G24&lt;=INDEX('前提と出典'!F46:F48,'前提と出典'!$B$16+1),INDEX('前提と出典'!G46:G48,'前提と出典'!$B$16+1),INDEX('前提と出典'!I46:I48,'前提と出典'!$B$16+1)))))</ns0:f>
        <ns0:v>1200</ns0:v>
      </ns0:c>
      <ns0:c r="O24" s="12">
        <ns0:f>IF(I24=1,G24*'前提と出典'!$B$13,0)</ns0:f>
        <ns0:v>1200</ns0:v>
      </ns0:c>
      <ns0:c r="P24" s="12">
        <ns0:f>IF(J24=1,MIN('前提と出典'!$B$17,L24+N24),0)</ns0:f>
        <ns0:v>500</ns0:v>
      </ns0:c>
      <ns0:c r="Q24" s="12">
        <ns0:f>IF(J24=0,0,IF('前提と出典'!$B$19=0,P24*L24/(L24+N24),MIN(P24,L24)))</ns0:f>
        <ns0:v>337.8378378378378</ns0:v>
      </ns0:c>
      <ns0:c r="R24" s="4">
        <ns0:f>P24-Q24</ns0:f>
        <ns0:v>162.1621621621622</ns0:v>
      </ns0:c>
      <ns0:c r="S24" s="12">
        <ns0:f>IF(H24=1,'前提と出典'!$B$11+F24*'前提と出典'!$B$12,0)</ns0:f>
        <ns0:v>58</ns0:v>
      </ns0:c>
      <ns0:c r="T24" s="12">
        <ns0:f>IF(H24=1,('前提と出典'!$B$9+F24*'前提と出典'!$B$10)/60*'前提と出典'!$B$8,0)</ns0:f>
        <ns0:v>586.6666666666666</ns0:v>
      </ns0:c>
      <ns0:c r="U24" s="12">
        <ns0:f>IF(I24=1,INDEX('前提と出典'!B80:B83,'前提と出典'!$B$18+1)+G24*INDEX('前提と出典'!C80:C83,'前提と出典'!$B$18+1),0)</ns0:f>
        <ns0:v>168.62614687467237</ns0:v>
      </ns0:c>
      <ns0:c r="V24" s="12">
        <ns0:f>IF(I24=1,INDEX('前提と出典'!D80:D83,'前提と出典'!$B$18+1)+G24*INDEX('前提と出典'!E80:E83,'前提と出典'!$B$18+1),0)</ns0:f>
        <ns0:v>573.3333333333334</ns0:v>
      </ns0:c>
      <ns0:c r="W24" s="4">
        <ns0:f>L24-Q24</ns0:f>
        <ns0:v>2162.162162162162</ns0:v>
      </ns0:c>
      <ns0:c r="X24" s="4">
        <ns0:f>N24-R24</ns0:f>
        <ns0:v>1037.837837837838</ns0:v>
      </ns0:c>
    </ns0:row>
    <ns0:row r="25" ht="24" customHeight="1">
      <ns0:c r="A25" s="4" t="n">
        <ns0:v>1</ns0:v>
      </ns0:c>
      <ns0:c r="B25" s="4" t="n">
        <ns0:v>3</ns0:v>
      </ns0:c>
      <ns0:c r="C25" s="4" t="n">
        <ns0:v>0</ns0:v>
      </ns0:c>
      <ns0:c r="D25" s="12">
        <ns0:f>'前提と出典'!D55*'前提と出典'!$B$21</ns0:f>
        <ns0:v>0.13999999999999999</ns0:v>
      </ns0:c>
      <ns0:c r="E25" s="12">
        <ns0:f>ROUNDUP('前提と出典'!B55*'前提と出典'!$B$22,0)</ns0:f>
        <ns0:v>90</ns0:v>
      </ns0:c>
      <ns0:c r="F25" s="12">
        <ns0:f>'前提と出典'!A55</ns0:f>
        <ns0:v>18</ns0:v>
      </ns0:c>
      <ns0:c r="G25" s="12">
        <ns0:f>MAX(1,ROUNDUP(E25*'前提と出典'!$B$24*'前提と出典'!E11,0))</ns0:f>
        <ns0:v>9</ns0:v>
      </ns0:c>
      <ns0:c r="H25" s="4">
        <ns0:f>IF(AND(F25&gt;=1,F25&lt;=100),1,0)</ns0:f>
        <ns0:v>1</ns0:v>
      </ns0:c>
      <ns0:c r="I25" s="4">
        <ns0:f>IF(G25&lt;=50,1,0)</ns0:f>
        <ns0:v>1</ns0:v>
      </ns0:c>
      <ns0:c r="J25" s="4">
        <ns0:f>H25*I25</ns0:f>
        <ns0:v>1</ns0:v>
      </ns0:c>
      <ns0:c r="K25" s="12">
        <ns0:f>IF(A25='前提と出典'!$B$14,D25,0)</ns0:f>
        <ns0:v>0.13999999999999999</ns0:v>
      </ns0:c>
      <ns0:c r="L25" s="12">
        <ns0:f>IF(H25=0,0,IF(F25&lt;=INDEX('前提と出典'!B41:B43,'前提と出典'!$B$15+1),INDEX('前提と出典'!C41:C43,'前提と出典'!$B$15+1),IF(F25&lt;=INDEX('前提と出典'!D41:D43,'前提と出典'!$B$15+1),INDEX('前提と出典'!E41:E43,'前提と出典'!$B$15+1),INDEX('前提と出典'!G41:G43,'前提と出典'!$B$15+1))))</ns0:f>
        <ns0:v>4000</ns0:v>
      </ns0:c>
      <ns0:c r="M25" s="12">
        <ns0:f>IF(H25=0,0,IF('前提と出典'!$B$33=1,MIN(F25,10)*300+MIN(MAX(0,F25-10),20)*250+MAX(0,F25-30)*200,F25*300))</ns0:f>
        <ns0:v>5000</ns0:v>
      </ns0:c>
      <ns0:c r="N25" s="12">
        <ns0:f>IF(I25=0,0,IF(G25&lt;=INDEX('前提と出典'!B46:B48,'前提と出典'!$B$16+1),INDEX('前提と出典'!C46:C48,'前提と出典'!$B$16+1),IF(G25&lt;=INDEX('前提と出典'!D46:D48,'前提と出典'!$B$16+1),INDEX('前提と出典'!E46:E48,'前提と出典'!$B$16+1),IF(G25&lt;=INDEX('前提と出典'!F46:F48,'前提と出典'!$B$16+1),INDEX('前提と出典'!G46:G48,'前提と出典'!$B$16+1),INDEX('前提と出典'!I46:I48,'前提と出典'!$B$16+1)))))</ns0:f>
        <ns0:v>1200</ns0:v>
      </ns0:c>
      <ns0:c r="O25" s="12">
        <ns0:f>IF(I25=1,G25*'前提と出典'!$B$13,0)</ns0:f>
        <ns0:v>1800</ns0:v>
      </ns0:c>
      <ns0:c r="P25" s="12">
        <ns0:f>IF(J25=1,MIN('前提と出典'!$B$17,L25+N25),0)</ns0:f>
        <ns0:v>500</ns0:v>
      </ns0:c>
      <ns0:c r="Q25" s="12">
        <ns0:f>IF(J25=0,0,IF('前提と出典'!$B$19=0,P25*L25/(L25+N25),MIN(P25,L25)))</ns0:f>
        <ns0:v>384.61538461538464</ns0:v>
      </ns0:c>
      <ns0:c r="R25" s="4">
        <ns0:f>P25-Q25</ns0:f>
        <ns0:v>115.38461538461536</ns0:v>
      </ns0:c>
      <ns0:c r="S25" s="12">
        <ns0:f>IF(H25=1,'前提と出典'!$B$11+F25*'前提と出典'!$B$12,0)</ns0:f>
        <ns0:v>68</ns0:v>
      </ns0:c>
      <ns0:c r="T25" s="12">
        <ns0:f>IF(H25=1,('前提と出典'!$B$9+F25*'前提と出典'!$B$10)/60*'前提と出典'!$B$8,0)</ns0:f>
        <ns0:v>653.3333333333335</ns0:v>
      </ns0:c>
      <ns0:c r="U25" s="12">
        <ns0:f>IF(I25=1,INDEX('前提と出典'!B80:B83,'前提と出典'!$B$18+1)+G25*INDEX('前提と出典'!C80:C83,'前提と出典'!$B$18+1),0)</ns0:f>
        <ns0:v>227.93922031200856</ns0:v>
      </ns0:c>
      <ns0:c r="V25" s="12">
        <ns0:f>IF(I25=1,INDEX('前提と出典'!D80:D83,'前提と出典'!$B$18+1)+G25*INDEX('前提と出典'!E80:E83,'前提と出典'!$B$18+1),0)</ns0:f>
        <ns0:v>593.3333333333334</ns0:v>
      </ns0:c>
      <ns0:c r="W25" s="4">
        <ns0:f>L25-Q25</ns0:f>
        <ns0:v>3615.3846153846152</ns0:v>
      </ns0:c>
      <ns0:c r="X25" s="4">
        <ns0:f>N25-R25</ns0:f>
        <ns0:v>1084.6153846153848</ns0:v>
      </ns0:c>
    </ns0:row>
    <ns0:row r="26" ht="24" customHeight="1">
      <ns0:c r="A26" s="4" t="n">
        <ns0:v>1</ns0:v>
      </ns0:c>
      <ns0:c r="B26" s="4" t="n">
        <ns0:v>3</ns0:v>
      </ns0:c>
      <ns0:c r="C26" s="4" t="n">
        <ns0:v>1</ns0:v>
      </ns0:c>
      <ns0:c r="D26" s="12">
        <ns0:f>'前提と出典'!D55*(1-'前提と出典'!$B$21)</ns0:f>
        <ns0:v>0.06000000000000001</ns0:v>
      </ns0:c>
      <ns0:c r="E26" s="12">
        <ns0:f>ROUNDUP('前提と出典'!B55*'前提と出典'!$B$23,0)</ns0:f>
        <ns0:v>45</ns0:v>
      </ns0:c>
      <ns0:c r="F26" s="12">
        <ns0:f>'前提と出典'!A55</ns0:f>
        <ns0:v>18</ns0:v>
      </ns0:c>
      <ns0:c r="G26" s="12">
        <ns0:f>MAX(1,ROUNDUP(E26*'前提と出典'!$B$25*'前提と出典'!E11,0))</ns0:f>
        <ns0:v>14</ns0:v>
      </ns0:c>
      <ns0:c r="H26" s="4">
        <ns0:f>IF(AND(F26&gt;=1,F26&lt;=100),1,0)</ns0:f>
        <ns0:v>1</ns0:v>
      </ns0:c>
      <ns0:c r="I26" s="4">
        <ns0:f>IF(G26&lt;=50,1,0)</ns0:f>
        <ns0:v>1</ns0:v>
      </ns0:c>
      <ns0:c r="J26" s="4">
        <ns0:f>H26*I26</ns0:f>
        <ns0:v>1</ns0:v>
      </ns0:c>
      <ns0:c r="K26" s="12">
        <ns0:f>IF(A26='前提と出典'!$B$14,D26,0)</ns0:f>
        <ns0:v>0.06000000000000001</ns0:v>
      </ns0:c>
      <ns0:c r="L26" s="12">
        <ns0:f>IF(H26=0,0,IF(F26&lt;=INDEX('前提と出典'!B41:B43,'前提と出典'!$B$15+1),INDEX('前提と出典'!C41:C43,'前提と出典'!$B$15+1),IF(F26&lt;=INDEX('前提と出典'!D41:D43,'前提と出典'!$B$15+1),INDEX('前提と出典'!E41:E43,'前提と出典'!$B$15+1),INDEX('前提と出典'!G41:G43,'前提と出典'!$B$15+1))))</ns0:f>
        <ns0:v>4000</ns0:v>
      </ns0:c>
      <ns0:c r="M26" s="12">
        <ns0:f>IF(H26=0,0,IF('前提と出典'!$B$33=1,MIN(F26,10)*300+MIN(MAX(0,F26-10),20)*250+MAX(0,F26-30)*200,F26*300))</ns0:f>
        <ns0:v>5000</ns0:v>
      </ns0:c>
      <ns0:c r="N26" s="12">
        <ns0:f>IF(I26=0,0,IF(G26&lt;=INDEX('前提と出典'!B46:B48,'前提と出典'!$B$16+1),INDEX('前提と出典'!C46:C48,'前提と出典'!$B$16+1),IF(G26&lt;=INDEX('前提と出典'!D46:D48,'前提と出典'!$B$16+1),INDEX('前提と出典'!E46:E48,'前提と出典'!$B$16+1),IF(G26&lt;=INDEX('前提と出典'!F46:F48,'前提と出典'!$B$16+1),INDEX('前提と出典'!G46:G48,'前提と出典'!$B$16+1),INDEX('前提と出典'!I46:I48,'前提と出典'!$B$16+1)))))</ns0:f>
        <ns0:v>2500</ns0:v>
      </ns0:c>
      <ns0:c r="O26" s="12">
        <ns0:f>IF(I26=1,G26*'前提と出典'!$B$13,0)</ns0:f>
        <ns0:v>2800</ns0:v>
      </ns0:c>
      <ns0:c r="P26" s="12">
        <ns0:f>IF(J26=1,MIN('前提と出典'!$B$17,L26+N26),0)</ns0:f>
        <ns0:v>500</ns0:v>
      </ns0:c>
      <ns0:c r="Q26" s="12">
        <ns0:f>IF(J26=0,0,IF('前提と出典'!$B$19=0,P26*L26/(L26+N26),MIN(P26,L26)))</ns0:f>
        <ns0:v>307.6923076923077</ns0:v>
      </ns0:c>
      <ns0:c r="R26" s="4">
        <ns0:f>P26-Q26</ns0:f>
        <ns0:v>192.30769230769232</ns0:v>
      </ns0:c>
      <ns0:c r="S26" s="12">
        <ns0:f>IF(H26=1,'前提と出典'!$B$11+F26*'前提と出典'!$B$12,0)</ns0:f>
        <ns0:v>68</ns0:v>
      </ns0:c>
      <ns0:c r="T26" s="12">
        <ns0:f>IF(H26=1,('前提と出典'!$B$9+F26*'前提と出典'!$B$10)/60*'前提と出典'!$B$8,0)</ns0:f>
        <ns0:v>653.3333333333335</ns0:v>
      </ns0:c>
      <ns0:c r="U26" s="12">
        <ns0:f>IF(I26=1,INDEX('前提と出典'!B80:B83,'前提と出典'!$B$18+1)+G26*INDEX('前提と出典'!C80:C83,'前提と出典'!$B$18+1),0)</ns0:f>
        <ns0:v>326.79434270756883</ns0:v>
      </ns0:c>
      <ns0:c r="V26" s="12">
        <ns0:f>IF(I26=1,INDEX('前提と出典'!D80:D83,'前提と出典'!$B$18+1)+G26*INDEX('前提と出典'!E80:E83,'前提と出典'!$B$18+1),0)</ns0:f>
        <ns0:v>626.6666666666667</ns0:v>
      </ns0:c>
      <ns0:c r="W26" s="4">
        <ns0:f>L26-Q26</ns0:f>
        <ns0:v>3692.3076923076924</ns0:v>
      </ns0:c>
      <ns0:c r="X26" s="4">
        <ns0:f>N26-R26</ns0:f>
        <ns0:v>2307.6923076923076</ns0:v>
      </ns0:c>
    </ns0:row>
    <ns0:row r="27" ht="24" customHeight="1">
      <ns0:c r="A27" s="4" t="n">
        <ns0:v>1</ns0:v>
      </ns0:c>
      <ns0:c r="B27" s="4" t="n">
        <ns0:v>4</ns0:v>
      </ns0:c>
      <ns0:c r="C27" s="4" t="n">
        <ns0:v>0</ns0:v>
      </ns0:c>
      <ns0:c r="D27" s="12">
        <ns0:f>'前提と出典'!D56*'前提と出典'!$B$21</ns0:f>
        <ns0:v>0.020999999999999998</ns0:v>
      </ns0:c>
      <ns0:c r="E27" s="12">
        <ns0:f>ROUNDUP('前提と出典'!B56*'前提と出典'!$B$22,0)</ns0:f>
        <ns0:v>180</ns0:v>
      </ns0:c>
      <ns0:c r="F27" s="12">
        <ns0:f>'前提と出典'!A56</ns0:f>
        <ns0:v>40</ns0:v>
      </ns0:c>
      <ns0:c r="G27" s="12">
        <ns0:f>MAX(1,ROUNDUP(E27*'前提と出典'!$B$24*'前提と出典'!E11,0))</ns0:f>
        <ns0:v>18</ns0:v>
      </ns0:c>
      <ns0:c r="H27" s="4">
        <ns0:f>IF(AND(F27&gt;=1,F27&lt;=100),1,0)</ns0:f>
        <ns0:v>1</ns0:v>
      </ns0:c>
      <ns0:c r="I27" s="4">
        <ns0:f>IF(G27&lt;=50,1,0)</ns0:f>
        <ns0:v>1</ns0:v>
      </ns0:c>
      <ns0:c r="J27" s="4">
        <ns0:f>H27*I27</ns0:f>
        <ns0:v>1</ns0:v>
      </ns0:c>
      <ns0:c r="K27" s="12">
        <ns0:f>IF(A27='前提と出典'!$B$14,D27,0)</ns0:f>
        <ns0:v>0.020999999999999998</ns0:v>
      </ns0:c>
      <ns0:c r="L27" s="12">
        <ns0:f>IF(H27=0,0,IF(F27&lt;=INDEX('前提と出典'!B41:B43,'前提と出典'!$B$15+1),INDEX('前提と出典'!C41:C43,'前提と出典'!$B$15+1),IF(F27&lt;=INDEX('前提と出典'!D41:D43,'前提と出典'!$B$15+1),INDEX('前提と出典'!E41:E43,'前提と出典'!$B$15+1),INDEX('前提と出典'!G41:G43,'前提と出典'!$B$15+1))))</ns0:f>
        <ns0:v>4000</ns0:v>
      </ns0:c>
      <ns0:c r="M27" s="12">
        <ns0:f>IF(H27=0,0,IF('前提と出典'!$B$33=1,MIN(F27,10)*300+MIN(MAX(0,F27-10),20)*250+MAX(0,F27-30)*200,F27*300))</ns0:f>
        <ns0:v>10000</ns0:v>
      </ns0:c>
      <ns0:c r="N27" s="12">
        <ns0:f>IF(I27=0,0,IF(G27&lt;=INDEX('前提と出典'!B46:B48,'前提と出典'!$B$16+1),INDEX('前提と出典'!C46:C48,'前提と出典'!$B$16+1),IF(G27&lt;=INDEX('前提と出典'!D46:D48,'前提と出典'!$B$16+1),INDEX('前提と出典'!E46:E48,'前提と出典'!$B$16+1),IF(G27&lt;=INDEX('前提と出典'!F46:F48,'前提と出典'!$B$16+1),INDEX('前提と出典'!G46:G48,'前提と出典'!$B$16+1),INDEX('前提と出典'!I46:I48,'前提と出典'!$B$16+1)))))</ns0:f>
        <ns0:v>2500</ns0:v>
      </ns0:c>
      <ns0:c r="O27" s="12">
        <ns0:f>IF(I27=1,G27*'前提と出典'!$B$13,0)</ns0:f>
        <ns0:v>3600</ns0:v>
      </ns0:c>
      <ns0:c r="P27" s="12">
        <ns0:f>IF(J27=1,MIN('前提と出典'!$B$17,L27+N27),0)</ns0:f>
        <ns0:v>500</ns0:v>
      </ns0:c>
      <ns0:c r="Q27" s="12">
        <ns0:f>IF(J27=0,0,IF('前提と出典'!$B$19=0,P27*L27/(L27+N27),MIN(P27,L27)))</ns0:f>
        <ns0:v>307.6923076923077</ns0:v>
      </ns0:c>
      <ns0:c r="R27" s="4">
        <ns0:f>P27-Q27</ns0:f>
        <ns0:v>192.30769230769232</ns0:v>
      </ns0:c>
      <ns0:c r="S27" s="12">
        <ns0:f>IF(H27=1,'前提と出典'!$B$11+F27*'前提と出典'!$B$12,0)</ns0:f>
        <ns0:v>90</ns0:v>
      </ns0:c>
      <ns0:c r="T27" s="12">
        <ns0:f>IF(H27=1,('前提と出典'!$B$9+F27*'前提と出典'!$B$10)/60*'前提と出典'!$B$8,0)</ns0:f>
        <ns0:v>800</ns0:v>
      </ns0:c>
      <ns0:c r="U27" s="12">
        <ns0:f>IF(I27=1,INDEX('前提と出典'!B80:B83,'前提と出典'!$B$18+1)+G27*INDEX('前提と出典'!C80:C83,'前提と出典'!$B$18+1),0)</ns0:f>
        <ns0:v>405.8784406240171</ns0:v>
      </ns0:c>
      <ns0:c r="V27" s="12">
        <ns0:f>IF(I27=1,INDEX('前提と出典'!D80:D83,'前提と出典'!$B$18+1)+G27*INDEX('前提と出典'!E80:E83,'前提と出典'!$B$18+1),0)</ns0:f>
        <ns0:v>653.3333333333335</ns0:v>
      </ns0:c>
      <ns0:c r="W27" s="4">
        <ns0:f>L27-Q27</ns0:f>
        <ns0:v>3692.3076923076924</ns0:v>
      </ns0:c>
      <ns0:c r="X27" s="4">
        <ns0:f>N27-R27</ns0:f>
        <ns0:v>2307.6923076923076</ns0:v>
      </ns0:c>
    </ns0:row>
    <ns0:row r="28" ht="24" customHeight="1">
      <ns0:c r="A28" s="4" t="n">
        <ns0:v>1</ns0:v>
      </ns0:c>
      <ns0:c r="B28" s="4" t="n">
        <ns0:v>4</ns0:v>
      </ns0:c>
      <ns0:c r="C28" s="4" t="n">
        <ns0:v>1</ns0:v>
      </ns0:c>
      <ns0:c r="D28" s="12">
        <ns0:f>'前提と出典'!D56*(1-'前提と出典'!$B$21)</ns0:f>
        <ns0:v>0.009000000000000001</ns0:v>
      </ns0:c>
      <ns0:c r="E28" s="12">
        <ns0:f>ROUNDUP('前提と出典'!B56*'前提と出典'!$B$23,0)</ns0:f>
        <ns0:v>90</ns0:v>
      </ns0:c>
      <ns0:c r="F28" s="12">
        <ns0:f>'前提と出典'!A56</ns0:f>
        <ns0:v>40</ns0:v>
      </ns0:c>
      <ns0:c r="G28" s="12">
        <ns0:f>MAX(1,ROUNDUP(E28*'前提と出典'!$B$25*'前提と出典'!E11,0))</ns0:f>
        <ns0:v>27</ns0:v>
      </ns0:c>
      <ns0:c r="H28" s="4">
        <ns0:f>IF(AND(F28&gt;=1,F28&lt;=100),1,0)</ns0:f>
        <ns0:v>1</ns0:v>
      </ns0:c>
      <ns0:c r="I28" s="4">
        <ns0:f>IF(G28&lt;=50,1,0)</ns0:f>
        <ns0:v>1</ns0:v>
      </ns0:c>
      <ns0:c r="J28" s="4">
        <ns0:f>H28*I28</ns0:f>
        <ns0:v>1</ns0:v>
      </ns0:c>
      <ns0:c r="K28" s="12">
        <ns0:f>IF(A28='前提と出典'!$B$14,D28,0)</ns0:f>
        <ns0:v>0.009000000000000001</ns0:v>
      </ns0:c>
      <ns0:c r="L28" s="12">
        <ns0:f>IF(H28=0,0,IF(F28&lt;=INDEX('前提と出典'!B41:B43,'前提と出典'!$B$15+1),INDEX('前提と出典'!C41:C43,'前提と出典'!$B$15+1),IF(F28&lt;=INDEX('前提と出典'!D41:D43,'前提と出典'!$B$15+1),INDEX('前提と出典'!E41:E43,'前提と出典'!$B$15+1),INDEX('前提と出典'!G41:G43,'前提と出典'!$B$15+1))))</ns0:f>
        <ns0:v>4000</ns0:v>
      </ns0:c>
      <ns0:c r="M28" s="12">
        <ns0:f>IF(H28=0,0,IF('前提と出典'!$B$33=1,MIN(F28,10)*300+MIN(MAX(0,F28-10),20)*250+MAX(0,F28-30)*200,F28*300))</ns0:f>
        <ns0:v>10000</ns0:v>
      </ns0:c>
      <ns0:c r="N28" s="12">
        <ns0:f>IF(I28=0,0,IF(G28&lt;=INDEX('前提と出典'!B46:B48,'前提と出典'!$B$16+1),INDEX('前提と出典'!C46:C48,'前提と出典'!$B$16+1),IF(G28&lt;=INDEX('前提と出典'!D46:D48,'前提と出典'!$B$16+1),INDEX('前提と出典'!E46:E48,'前提と出典'!$B$16+1),IF(G28&lt;=INDEX('前提と出典'!F46:F48,'前提と出典'!$B$16+1),INDEX('前提と出典'!G46:G48,'前提と出典'!$B$16+1),INDEX('前提と出典'!I46:I48,'前提と出典'!$B$16+1)))))</ns0:f>
        <ns0:v>2500</ns0:v>
      </ns0:c>
      <ns0:c r="O28" s="12">
        <ns0:f>IF(I28=1,G28*'前提と出典'!$B$13,0)</ns0:f>
        <ns0:v>5400</ns0:v>
      </ns0:c>
      <ns0:c r="P28" s="12">
        <ns0:f>IF(J28=1,MIN('前提と出典'!$B$17,L28+N28),0)</ns0:f>
        <ns0:v>500</ns0:v>
      </ns0:c>
      <ns0:c r="Q28" s="12">
        <ns0:f>IF(J28=0,0,IF('前提と出典'!$B$19=0,P28*L28/(L28+N28),MIN(P28,L28)))</ns0:f>
        <ns0:v>307.6923076923077</ns0:v>
      </ns0:c>
      <ns0:c r="R28" s="4">
        <ns0:f>P28-Q28</ns0:f>
        <ns0:v>192.30769230769232</ns0:v>
      </ns0:c>
      <ns0:c r="S28" s="12">
        <ns0:f>IF(H28=1,'前提と出典'!$B$11+F28*'前提と出典'!$B$12,0)</ns0:f>
        <ns0:v>90</ns0:v>
      </ns0:c>
      <ns0:c r="T28" s="12">
        <ns0:f>IF(H28=1,('前提と出典'!$B$9+F28*'前提と出典'!$B$10)/60*'前提と出典'!$B$8,0)</ns0:f>
        <ns0:v>800</ns0:v>
      </ns0:c>
      <ns0:c r="U28" s="12">
        <ns0:f>IF(I28=1,INDEX('前提と出典'!B80:B83,'前提と出典'!$B$18+1)+G28*INDEX('前提と出典'!C80:C83,'前提と出典'!$B$18+1),0)</ns0:f>
        <ns0:v>583.8176609360256</ns0:v>
      </ns0:c>
      <ns0:c r="V28" s="12">
        <ns0:f>IF(I28=1,INDEX('前提と出典'!D80:D83,'前提と出典'!$B$18+1)+G28*INDEX('前提と出典'!E80:E83,'前提と出典'!$B$18+1),0)</ns0:f>
        <ns0:v>713.3333333333333</ns0:v>
      </ns0:c>
      <ns0:c r="W28" s="4">
        <ns0:f>L28-Q28</ns0:f>
        <ns0:v>3692.3076923076924</ns0:v>
      </ns0:c>
      <ns0:c r="X28" s="4">
        <ns0:f>N28-R28</ns0:f>
        <ns0:v>2307.6923076923076</ns0:v>
      </ns0:c>
    </ns0:row>
    <ns0:row r="29" ht="24" customHeight="1">
      <ns0:c r="A29" s="4" t="n">
        <ns0:v>1</ns0:v>
      </ns0:c>
      <ns0:c r="B29" s="4" t="n">
        <ns0:v>5</ns0:v>
      </ns0:c>
      <ns0:c r="C29" s="4" t="n">
        <ns0:v>0</ns0:v>
      </ns0:c>
      <ns0:c r="D29" s="12">
        <ns0:f>'前提と出典'!D57*'前提と出典'!$B$21</ns0:f>
        <ns0:v>0.010499999999999999</ns0:v>
      </ns0:c>
      <ns0:c r="E29" s="12">
        <ns0:f>ROUNDUP('前提と出典'!B57*'前提と出典'!$B$22,0)</ns0:f>
        <ns0:v>300</ns0:v>
      </ns0:c>
      <ns0:c r="F29" s="12">
        <ns0:f>'前提と出典'!A57</ns0:f>
        <ns0:v>70</ns0:v>
      </ns0:c>
      <ns0:c r="G29" s="12">
        <ns0:f>MAX(1,ROUNDUP(E29*'前提と出典'!$B$24*'前提と出典'!E11,0))</ns0:f>
        <ns0:v>30</ns0:v>
      </ns0:c>
      <ns0:c r="H29" s="4">
        <ns0:f>IF(AND(F29&gt;=1,F29&lt;=100),1,0)</ns0:f>
        <ns0:v>1</ns0:v>
      </ns0:c>
      <ns0:c r="I29" s="4">
        <ns0:f>IF(G29&lt;=50,1,0)</ns0:f>
        <ns0:v>1</ns0:v>
      </ns0:c>
      <ns0:c r="J29" s="4">
        <ns0:f>H29*I29</ns0:f>
        <ns0:v>1</ns0:v>
      </ns0:c>
      <ns0:c r="K29" s="12">
        <ns0:f>IF(A29='前提と出典'!$B$14,D29,0)</ns0:f>
        <ns0:v>0.010499999999999999</ns0:v>
      </ns0:c>
      <ns0:c r="L29" s="12">
        <ns0:f>IF(H29=0,0,IF(F29&lt;=INDEX('前提と出典'!B41:B43,'前提と出典'!$B$15+1),INDEX('前提と出典'!C41:C43,'前提と出典'!$B$15+1),IF(F29&lt;=INDEX('前提と出典'!D41:D43,'前提と出典'!$B$15+1),INDEX('前提と出典'!E41:E43,'前提と出典'!$B$15+1),INDEX('前提と出典'!G41:G43,'前提と出典'!$B$15+1))))</ns0:f>
        <ns0:v>4000</ns0:v>
      </ns0:c>
      <ns0:c r="M29" s="12">
        <ns0:f>IF(H29=0,0,IF('前提と出典'!$B$33=1,MIN(F29,10)*300+MIN(MAX(0,F29-10),20)*250+MAX(0,F29-30)*200,F29*300))</ns0:f>
        <ns0:v>16000</ns0:v>
      </ns0:c>
      <ns0:c r="N29" s="12">
        <ns0:f>IF(I29=0,0,IF(G29&lt;=INDEX('前提と出典'!B46:B48,'前提と出典'!$B$16+1),INDEX('前提と出典'!C46:C48,'前提と出典'!$B$16+1),IF(G29&lt;=INDEX('前提と出典'!D46:D48,'前提と出典'!$B$16+1),INDEX('前提と出典'!E46:E48,'前提と出典'!$B$16+1),IF(G29&lt;=INDEX('前提と出典'!F46:F48,'前提と出典'!$B$16+1),INDEX('前提と出典'!G46:G48,'前提と出典'!$B$16+1),INDEX('前提と出典'!I46:I48,'前提と出典'!$B$16+1)))))</ns0:f>
        <ns0:v>2500</ns0:v>
      </ns0:c>
      <ns0:c r="O29" s="12">
        <ns0:f>IF(I29=1,G29*'前提と出典'!$B$13,0)</ns0:f>
        <ns0:v>6000</ns0:v>
      </ns0:c>
      <ns0:c r="P29" s="12">
        <ns0:f>IF(J29=1,MIN('前提と出典'!$B$17,L29+N29),0)</ns0:f>
        <ns0:v>500</ns0:v>
      </ns0:c>
      <ns0:c r="Q29" s="12">
        <ns0:f>IF(J29=0,0,IF('前提と出典'!$B$19=0,P29*L29/(L29+N29),MIN(P29,L29)))</ns0:f>
        <ns0:v>307.6923076923077</ns0:v>
      </ns0:c>
      <ns0:c r="R29" s="4">
        <ns0:f>P29-Q29</ns0:f>
        <ns0:v>192.30769230769232</ns0:v>
      </ns0:c>
      <ns0:c r="S29" s="12">
        <ns0:f>IF(H29=1,'前提と出典'!$B$11+F29*'前提と出典'!$B$12,0)</ns0:f>
        <ns0:v>120</ns0:v>
      </ns0:c>
      <ns0:c r="T29" s="12">
        <ns0:f>IF(H29=1,('前提と出典'!$B$9+F29*'前提と出典'!$B$10)/60*'前提と出典'!$B$8,0)</ns0:f>
        <ns0:v>1000</ns0:v>
      </ns0:c>
      <ns0:c r="U29" s="12">
        <ns0:f>IF(I29=1,INDEX('前提と出典'!B80:B83,'前提と出典'!$B$18+1)+G29*INDEX('前提と出典'!C80:C83,'前提と出典'!$B$18+1),0)</ns0:f>
        <ns0:v>643.1307343733619</ns0:v>
      </ns0:c>
      <ns0:c r="V29" s="12">
        <ns0:f>IF(I29=1,INDEX('前提と出典'!D80:D83,'前提と出典'!$B$18+1)+G29*INDEX('前提と出典'!E80:E83,'前提と出典'!$B$18+1),0)</ns0:f>
        <ns0:v>733.3333333333333</ns0:v>
      </ns0:c>
      <ns0:c r="W29" s="4">
        <ns0:f>L29-Q29</ns0:f>
        <ns0:v>3692.3076923076924</ns0:v>
      </ns0:c>
      <ns0:c r="X29" s="4">
        <ns0:f>N29-R29</ns0:f>
        <ns0:v>2307.6923076923076</ns0:v>
      </ns0:c>
    </ns0:row>
    <ns0:row r="30" ht="24" customHeight="1">
      <ns0:c r="A30" s="4" t="n">
        <ns0:v>1</ns0:v>
      </ns0:c>
      <ns0:c r="B30" s="4" t="n">
        <ns0:v>5</ns0:v>
      </ns0:c>
      <ns0:c r="C30" s="4" t="n">
        <ns0:v>1</ns0:v>
      </ns0:c>
      <ns0:c r="D30" s="12">
        <ns0:f>'前提と出典'!D57*(1-'前提と出典'!$B$21)</ns0:f>
        <ns0:v>0.0045000000000000005</ns0:v>
      </ns0:c>
      <ns0:c r="E30" s="12">
        <ns0:f>ROUNDUP('前提と出典'!B57*'前提と出典'!$B$23,0)</ns0:f>
        <ns0:v>150</ns0:v>
      </ns0:c>
      <ns0:c r="F30" s="12">
        <ns0:f>'前提と出典'!A57</ns0:f>
        <ns0:v>70</ns0:v>
      </ns0:c>
      <ns0:c r="G30" s="12">
        <ns0:f>MAX(1,ROUNDUP(E30*'前提と出典'!$B$25*'前提と出典'!E11,0))</ns0:f>
        <ns0:v>45</ns0:v>
      </ns0:c>
      <ns0:c r="H30" s="4">
        <ns0:f>IF(AND(F30&gt;=1,F30&lt;=100),1,0)</ns0:f>
        <ns0:v>1</ns0:v>
      </ns0:c>
      <ns0:c r="I30" s="4">
        <ns0:f>IF(G30&lt;=50,1,0)</ns0:f>
        <ns0:v>1</ns0:v>
      </ns0:c>
      <ns0:c r="J30" s="4">
        <ns0:f>H30*I30</ns0:f>
        <ns0:v>1</ns0:v>
      </ns0:c>
      <ns0:c r="K30" s="12">
        <ns0:f>IF(A30='前提と出典'!$B$14,D30,0)</ns0:f>
        <ns0:v>0.0045000000000000005</ns0:v>
      </ns0:c>
      <ns0:c r="L30" s="12">
        <ns0:f>IF(H30=0,0,IF(F30&lt;=INDEX('前提と出典'!B41:B43,'前提と出典'!$B$15+1),INDEX('前提と出典'!C41:C43,'前提と出典'!$B$15+1),IF(F30&lt;=INDEX('前提と出典'!D41:D43,'前提と出典'!$B$15+1),INDEX('前提と出典'!E41:E43,'前提と出典'!$B$15+1),INDEX('前提と出典'!G41:G43,'前提と出典'!$B$15+1))))</ns0:f>
        <ns0:v>4000</ns0:v>
      </ns0:c>
      <ns0:c r="M30" s="12">
        <ns0:f>IF(H30=0,0,IF('前提と出典'!$B$33=1,MIN(F30,10)*300+MIN(MAX(0,F30-10),20)*250+MAX(0,F30-30)*200,F30*300))</ns0:f>
        <ns0:v>16000</ns0:v>
      </ns0:c>
      <ns0:c r="N30" s="12">
        <ns0:f>IF(I30=0,0,IF(G30&lt;=INDEX('前提と出典'!B46:B48,'前提と出典'!$B$16+1),INDEX('前提と出典'!C46:C48,'前提と出典'!$B$16+1),IF(G30&lt;=INDEX('前提と出典'!D46:D48,'前提と出典'!$B$16+1),INDEX('前提と出典'!E46:E48,'前提と出典'!$B$16+1),IF(G30&lt;=INDEX('前提と出典'!F46:F48,'前提と出典'!$B$16+1),INDEX('前提と出典'!G46:G48,'前提と出典'!$B$16+1),INDEX('前提と出典'!I46:I48,'前提と出典'!$B$16+1)))))</ns0:f>
        <ns0:v>2500</ns0:v>
      </ns0:c>
      <ns0:c r="O30" s="12">
        <ns0:f>IF(I30=1,G30*'前提と出典'!$B$13,0)</ns0:f>
        <ns0:v>9000</ns0:v>
      </ns0:c>
      <ns0:c r="P30" s="12">
        <ns0:f>IF(J30=1,MIN('前提と出典'!$B$17,L30+N30),0)</ns0:f>
        <ns0:v>500</ns0:v>
      </ns0:c>
      <ns0:c r="Q30" s="12">
        <ns0:f>IF(J30=0,0,IF('前提と出典'!$B$19=0,P30*L30/(L30+N30),MIN(P30,L30)))</ns0:f>
        <ns0:v>307.6923076923077</ns0:v>
      </ns0:c>
      <ns0:c r="R30" s="4">
        <ns0:f>P30-Q30</ns0:f>
        <ns0:v>192.30769230769232</ns0:v>
      </ns0:c>
      <ns0:c r="S30" s="12">
        <ns0:f>IF(H30=1,'前提と出典'!$B$11+F30*'前提と出典'!$B$12,0)</ns0:f>
        <ns0:v>120</ns0:v>
      </ns0:c>
      <ns0:c r="T30" s="12">
        <ns0:f>IF(H30=1,('前提と出典'!$B$9+F30*'前提と出典'!$B$10)/60*'前提と出典'!$B$8,0)</ns0:f>
        <ns0:v>1000</ns0:v>
      </ns0:c>
      <ns0:c r="U30" s="12">
        <ns0:f>IF(I30=1,INDEX('前提と出典'!B80:B83,'前提と出典'!$B$18+1)+G30*INDEX('前提と出典'!C80:C83,'前提と出典'!$B$18+1),0)</ns0:f>
        <ns0:v>939.6961015600427</ns0:v>
      </ns0:c>
      <ns0:c r="V30" s="12">
        <ns0:f>IF(I30=1,INDEX('前提と出典'!D80:D83,'前提と出典'!$B$18+1)+G30*INDEX('前提と出典'!E80:E83,'前提と出典'!$B$18+1),0)</ns0:f>
        <ns0:v>833.3333333333334</ns0:v>
      </ns0:c>
      <ns0:c r="W30" s="4">
        <ns0:f>L30-Q30</ns0:f>
        <ns0:v>3692.3076923076924</ns0:v>
      </ns0:c>
      <ns0:c r="X30" s="4">
        <ns0:f>N30-R30</ns0:f>
        <ns0:v>2307.6923076923076</ns0:v>
      </ns0:c>
    </ns0:row>
    <ns0:row r="31" ht="24" customHeight="1">
      <ns0:c r="A31" s="4" t="n">
        <ns0:v>1</ns0:v>
      </ns0:c>
      <ns0:c r="B31" s="4" t="n">
        <ns0:v>6</ns0:v>
      </ns0:c>
      <ns0:c r="C31" s="4" t="n">
        <ns0:v>0</ns0:v>
      </ns0:c>
      <ns0:c r="D31" s="12">
        <ns0:f>'前提と出典'!D58*'前提と出典'!$B$21</ns0:f>
        <ns0:v>0.0034999999999999996</ns0:v>
      </ns0:c>
      <ns0:c r="E31" s="12">
        <ns0:f>ROUNDUP('前提と出典'!B58*'前提と出典'!$B$22,0)</ns0:f>
        <ns0:v>600</ns0:v>
      </ns0:c>
      <ns0:c r="F31" s="12">
        <ns0:f>'前提と出典'!A58</ns0:f>
        <ns0:v>130</ns0:v>
      </ns0:c>
      <ns0:c r="G31" s="12">
        <ns0:f>MAX(1,ROUNDUP(E31*'前提と出典'!$B$24*'前提と出典'!E11,0))</ns0:f>
        <ns0:v>60</ns0:v>
      </ns0:c>
      <ns0:c r="H31" s="4">
        <ns0:f>IF(AND(F31&gt;=1,F31&lt;=100),1,0)</ns0:f>
        <ns0:v>0</ns0:v>
      </ns0:c>
      <ns0:c r="I31" s="4">
        <ns0:f>IF(G31&lt;=50,1,0)</ns0:f>
        <ns0:v>0</ns0:v>
      </ns0:c>
      <ns0:c r="J31" s="4">
        <ns0:f>H31*I31</ns0:f>
        <ns0:v>0</ns0:v>
      </ns0:c>
      <ns0:c r="K31" s="12">
        <ns0:f>IF(A31='前提と出典'!$B$14,D31,0)</ns0:f>
        <ns0:v>0.0034999999999999996</ns0:v>
      </ns0:c>
      <ns0:c r="L31" s="12">
        <ns0:f>IF(H31=0,0,IF(F31&lt;=INDEX('前提と出典'!B41:B43,'前提と出典'!$B$15+1),INDEX('前提と出典'!C41:C43,'前提と出典'!$B$15+1),IF(F31&lt;=INDEX('前提と出典'!D41:D43,'前提と出典'!$B$15+1),INDEX('前提と出典'!E41:E43,'前提と出典'!$B$15+1),INDEX('前提と出典'!G41:G43,'前提と出典'!$B$15+1))))</ns0:f>
        <ns0:v>0</ns0:v>
      </ns0:c>
      <ns0:c r="M31" s="12">
        <ns0:f>IF(H31=0,0,IF('前提と出典'!$B$33=1,MIN(F31,10)*300+MIN(MAX(0,F31-10),20)*250+MAX(0,F31-30)*200,F31*300))</ns0:f>
        <ns0:v>0</ns0:v>
      </ns0:c>
      <ns0:c r="N31" s="12">
        <ns0:f>IF(I31=0,0,IF(G31&lt;=INDEX('前提と出典'!B46:B48,'前提と出典'!$B$16+1),INDEX('前提と出典'!C46:C48,'前提と出典'!$B$16+1),IF(G31&lt;=INDEX('前提と出典'!D46:D48,'前提と出典'!$B$16+1),INDEX('前提と出典'!E46:E48,'前提と出典'!$B$16+1),IF(G31&lt;=INDEX('前提と出典'!F46:F48,'前提と出典'!$B$16+1),INDEX('前提と出典'!G46:G48,'前提と出典'!$B$16+1),INDEX('前提と出典'!I46:I48,'前提と出典'!$B$16+1)))))</ns0:f>
        <ns0:v>0</ns0:v>
      </ns0:c>
      <ns0:c r="O31" s="12">
        <ns0:f>IF(I31=1,G31*'前提と出典'!$B$13,0)</ns0:f>
        <ns0:v>0</ns0:v>
      </ns0:c>
      <ns0:c r="P31" s="12">
        <ns0:f>IF(J31=1,MIN('前提と出典'!$B$17,L31+N31),0)</ns0:f>
        <ns0:v>0</ns0:v>
      </ns0:c>
      <ns0:c r="Q31" s="12">
        <ns0:f>IF(J31=0,0,IF('前提と出典'!$B$19=0,P31*L31/(L31+N31),MIN(P31,L31)))</ns0:f>
        <ns0:v>0</ns0:v>
      </ns0:c>
      <ns0:c r="R31" s="4">
        <ns0:f>P31-Q31</ns0:f>
        <ns0:v>0</ns0:v>
      </ns0:c>
      <ns0:c r="S31" s="12">
        <ns0:f>IF(H31=1,'前提と出典'!$B$11+F31*'前提と出典'!$B$12,0)</ns0:f>
        <ns0:v>0</ns0:v>
      </ns0:c>
      <ns0:c r="T31" s="12">
        <ns0:f>IF(H31=1,('前提と出典'!$B$9+F31*'前提と出典'!$B$10)/60*'前提と出典'!$B$8,0)</ns0:f>
        <ns0:v>0</ns0:v>
      </ns0:c>
      <ns0:c r="U31" s="12">
        <ns0:f>IF(I31=1,INDEX('前提と出典'!B80:B83,'前提と出典'!$B$18+1)+G31*INDEX('前提と出典'!C80:C83,'前提と出典'!$B$18+1),0)</ns0:f>
        <ns0:v>0</ns0:v>
      </ns0:c>
      <ns0:c r="V31" s="12">
        <ns0:f>IF(I31=1,INDEX('前提と出典'!D80:D83,'前提と出典'!$B$18+1)+G31*INDEX('前提と出典'!E80:E83,'前提と出典'!$B$18+1),0)</ns0:f>
        <ns0:v>0</ns0:v>
      </ns0:c>
      <ns0:c r="W31" s="4">
        <ns0:f>L31-Q31</ns0:f>
        <ns0:v>0</ns0:v>
      </ns0:c>
      <ns0:c r="X31" s="4">
        <ns0:f>N31-R31</ns0:f>
        <ns0:v>0</ns0:v>
      </ns0:c>
    </ns0:row>
    <ns0:row r="32" ht="24" customHeight="1">
      <ns0:c r="A32" s="4" t="n">
        <ns0:v>1</ns0:v>
      </ns0:c>
      <ns0:c r="B32" s="4" t="n">
        <ns0:v>6</ns0:v>
      </ns0:c>
      <ns0:c r="C32" s="4" t="n">
        <ns0:v>1</ns0:v>
      </ns0:c>
      <ns0:c r="D32" s="12">
        <ns0:f>'前提と出典'!D58*(1-'前提と出典'!$B$21)</ns0:f>
        <ns0:v>0.0015000000000000002</ns0:v>
      </ns0:c>
      <ns0:c r="E32" s="12">
        <ns0:f>ROUNDUP('前提と出典'!B58*'前提と出典'!$B$23,0)</ns0:f>
        <ns0:v>300</ns0:v>
      </ns0:c>
      <ns0:c r="F32" s="12">
        <ns0:f>'前提と出典'!A58</ns0:f>
        <ns0:v>130</ns0:v>
      </ns0:c>
      <ns0:c r="G32" s="12">
        <ns0:f>MAX(1,ROUNDUP(E32*'前提と出典'!$B$25*'前提と出典'!E11,0))</ns0:f>
        <ns0:v>90</ns0:v>
      </ns0:c>
      <ns0:c r="H32" s="4">
        <ns0:f>IF(AND(F32&gt;=1,F32&lt;=100),1,0)</ns0:f>
        <ns0:v>0</ns0:v>
      </ns0:c>
      <ns0:c r="I32" s="4">
        <ns0:f>IF(G32&lt;=50,1,0)</ns0:f>
        <ns0:v>0</ns0:v>
      </ns0:c>
      <ns0:c r="J32" s="4">
        <ns0:f>H32*I32</ns0:f>
        <ns0:v>0</ns0:v>
      </ns0:c>
      <ns0:c r="K32" s="12">
        <ns0:f>IF(A32='前提と出典'!$B$14,D32,0)</ns0:f>
        <ns0:v>0.0015000000000000002</ns0:v>
      </ns0:c>
      <ns0:c r="L32" s="12">
        <ns0:f>IF(H32=0,0,IF(F32&lt;=INDEX('前提と出典'!B41:B43,'前提と出典'!$B$15+1),INDEX('前提と出典'!C41:C43,'前提と出典'!$B$15+1),IF(F32&lt;=INDEX('前提と出典'!D41:D43,'前提と出典'!$B$15+1),INDEX('前提と出典'!E41:E43,'前提と出典'!$B$15+1),INDEX('前提と出典'!G41:G43,'前提と出典'!$B$15+1))))</ns0:f>
        <ns0:v>0</ns0:v>
      </ns0:c>
      <ns0:c r="M32" s="12">
        <ns0:f>IF(H32=0,0,IF('前提と出典'!$B$33=1,MIN(F32,10)*300+MIN(MAX(0,F32-10),20)*250+MAX(0,F32-30)*200,F32*300))</ns0:f>
        <ns0:v>0</ns0:v>
      </ns0:c>
      <ns0:c r="N32" s="12">
        <ns0:f>IF(I32=0,0,IF(G32&lt;=INDEX('前提と出典'!B46:B48,'前提と出典'!$B$16+1),INDEX('前提と出典'!C46:C48,'前提と出典'!$B$16+1),IF(G32&lt;=INDEX('前提と出典'!D46:D48,'前提と出典'!$B$16+1),INDEX('前提と出典'!E46:E48,'前提と出典'!$B$16+1),IF(G32&lt;=INDEX('前提と出典'!F46:F48,'前提と出典'!$B$16+1),INDEX('前提と出典'!G46:G48,'前提と出典'!$B$16+1),INDEX('前提と出典'!I46:I48,'前提と出典'!$B$16+1)))))</ns0:f>
        <ns0:v>0</ns0:v>
      </ns0:c>
      <ns0:c r="O32" s="12">
        <ns0:f>IF(I32=1,G32*'前提と出典'!$B$13,0)</ns0:f>
        <ns0:v>0</ns0:v>
      </ns0:c>
      <ns0:c r="P32" s="12">
        <ns0:f>IF(J32=1,MIN('前提と出典'!$B$17,L32+N32),0)</ns0:f>
        <ns0:v>0</ns0:v>
      </ns0:c>
      <ns0:c r="Q32" s="12">
        <ns0:f>IF(J32=0,0,IF('前提と出典'!$B$19=0,P32*L32/(L32+N32),MIN(P32,L32)))</ns0:f>
        <ns0:v>0</ns0:v>
      </ns0:c>
      <ns0:c r="R32" s="4">
        <ns0:f>P32-Q32</ns0:f>
        <ns0:v>0</ns0:v>
      </ns0:c>
      <ns0:c r="S32" s="12">
        <ns0:f>IF(H32=1,'前提と出典'!$B$11+F32*'前提と出典'!$B$12,0)</ns0:f>
        <ns0:v>0</ns0:v>
      </ns0:c>
      <ns0:c r="T32" s="12">
        <ns0:f>IF(H32=1,('前提と出典'!$B$9+F32*'前提と出典'!$B$10)/60*'前提と出典'!$B$8,0)</ns0:f>
        <ns0:v>0</ns0:v>
      </ns0:c>
      <ns0:c r="U32" s="12">
        <ns0:f>IF(I32=1,INDEX('前提と出典'!B80:B83,'前提と出典'!$B$18+1)+G32*INDEX('前提と出典'!C80:C83,'前提と出典'!$B$18+1),0)</ns0:f>
        <ns0:v>0</ns0:v>
      </ns0:c>
      <ns0:c r="V32" s="12">
        <ns0:f>IF(I32=1,INDEX('前提と出典'!D80:D83,'前提と出典'!$B$18+1)+G32*INDEX('前提と出典'!E80:E83,'前提と出典'!$B$18+1),0)</ns0:f>
        <ns0:v>0</ns0:v>
      </ns0:c>
      <ns0:c r="W32" s="4">
        <ns0:f>L32-Q32</ns0:f>
        <ns0:v>0</ns0:v>
      </ns0:c>
      <ns0:c r="X32" s="4">
        <ns0:f>N32-R32</ns0:f>
        <ns0:v>0</ns0:v>
      </ns0:c>
    </ns0:row>
    <ns0:row r="33" ht="24" customHeight="1">
      <ns0:c r="A33" s="4" t="n">
        <ns0:v>2</ns0:v>
      </ns0:c>
      <ns0:c r="B33" s="4" t="n">
        <ns0:v>0</ns0:v>
      </ns0:c>
      <ns0:c r="C33" s="4" t="n">
        <ns0:v>0</ns0:v>
      </ns0:c>
      <ns0:c r="D33" s="12">
        <ns0:f>'前提と出典'!E52*'前提と出典'!$B$21</ns0:f>
        <ns0:v>0.034999999999999996</ns0:v>
      </ns0:c>
      <ns0:c r="E33" s="12">
        <ns0:f>ROUNDUP('前提と出典'!B52*'前提と出典'!$B$22,0)</ns0:f>
        <ns0:v>6</ns0:v>
      </ns0:c>
      <ns0:c r="F33" s="12">
        <ns0:f>'前提と出典'!A52</ns0:f>
        <ns0:v>0</ns0:v>
      </ns0:c>
      <ns0:c r="G33" s="12">
        <ns0:f>MAX(1,ROUNDUP(E33*'前提と出典'!$B$24*'前提と出典'!E12,0))</ns0:f>
        <ns0:v>1</ns0:v>
      </ns0:c>
      <ns0:c r="H33" s="4">
        <ns0:f>IF(AND(F33&gt;=1,F33&lt;=100),1,0)</ns0:f>
        <ns0:v>0</ns0:v>
      </ns0:c>
      <ns0:c r="I33" s="4">
        <ns0:f>IF(G33&lt;=50,1,0)</ns0:f>
        <ns0:v>1</ns0:v>
      </ns0:c>
      <ns0:c r="J33" s="4">
        <ns0:f>H33*I33</ns0:f>
        <ns0:v>0</ns0:v>
      </ns0:c>
      <ns0:c r="K33" s="12">
        <ns0:f>IF(A33='前提と出典'!$B$14,D33,0)</ns0:f>
        <ns0:v>0</ns0:v>
      </ns0:c>
      <ns0:c r="L33" s="12">
        <ns0:f>IF(H33=0,0,IF(F33&lt;=INDEX('前提と出典'!B41:B43,'前提と出典'!$B$15+1),INDEX('前提と出典'!C41:C43,'前提と出典'!$B$15+1),IF(F33&lt;=INDEX('前提と出典'!D41:D43,'前提と出典'!$B$15+1),INDEX('前提と出典'!E41:E43,'前提と出典'!$B$15+1),INDEX('前提と出典'!G41:G43,'前提と出典'!$B$15+1))))</ns0:f>
        <ns0:v>0</ns0:v>
      </ns0:c>
      <ns0:c r="M33" s="12">
        <ns0:f>IF(H33=0,0,IF('前提と出典'!$B$33=1,MIN(F33,10)*300+MIN(MAX(0,F33-10),20)*250+MAX(0,F33-30)*200,F33*300))</ns0:f>
        <ns0:v>0</ns0:v>
      </ns0:c>
      <ns0:c r="N33" s="12">
        <ns0:f>IF(I33=0,0,IF(G33&lt;=INDEX('前提と出典'!B46:B48,'前提と出典'!$B$16+1),INDEX('前提と出典'!C46:C48,'前提と出典'!$B$16+1),IF(G33&lt;=INDEX('前提と出典'!D46:D48,'前提と出典'!$B$16+1),INDEX('前提と出典'!E46:E48,'前提と出典'!$B$16+1),IF(G33&lt;=INDEX('前提と出典'!F46:F48,'前提と出典'!$B$16+1),INDEX('前提と出典'!G46:G48,'前提と出典'!$B$16+1),INDEX('前提と出典'!I46:I48,'前提と出典'!$B$16+1)))))</ns0:f>
        <ns0:v>1200</ns0:v>
      </ns0:c>
      <ns0:c r="O33" s="12">
        <ns0:f>IF(I33=1,G33*'前提と出典'!$B$13,0)</ns0:f>
        <ns0:v>200</ns0:v>
      </ns0:c>
      <ns0:c r="P33" s="12">
        <ns0:f>IF(J33=1,MIN('前提と出典'!$B$17,L33+N33),0)</ns0:f>
        <ns0:v>0</ns0:v>
      </ns0:c>
      <ns0:c r="Q33" s="12">
        <ns0:f>IF(J33=0,0,IF('前提と出典'!$B$19=0,P33*L33/(L33+N33),MIN(P33,L33)))</ns0:f>
        <ns0:v>0</ns0:v>
      </ns0:c>
      <ns0:c r="R33" s="4">
        <ns0:f>P33-Q33</ns0:f>
        <ns0:v>0</ns0:v>
      </ns0:c>
      <ns0:c r="S33" s="12">
        <ns0:f>IF(H33=1,'前提と出典'!$B$11+F33*'前提と出典'!$B$12,0)</ns0:f>
        <ns0:v>0</ns0:v>
      </ns0:c>
      <ns0:c r="T33" s="12">
        <ns0:f>IF(H33=1,('前提と出典'!$B$9+F33*'前提と出典'!$B$10)/60*'前提と出典'!$B$8,0)</ns0:f>
        <ns0:v>0</ns0:v>
      </ns0:c>
      <ns0:c r="U33" s="12">
        <ns0:f>IF(I33=1,INDEX('前提と出典'!B80:B83,'前提と出典'!$B$18+1)+G33*INDEX('前提と出典'!C80:C83,'前提と出典'!$B$18+1),0)</ns0:f>
        <ns0:v>69.77102447911206</ns0:v>
      </ns0:c>
      <ns0:c r="V33" s="12">
        <ns0:f>IF(I33=1,INDEX('前提と出典'!D80:D83,'前提と出典'!$B$18+1)+G33*INDEX('前提と出典'!E80:E83,'前提と出典'!$B$18+1),0)</ns0:f>
        <ns0:v>539.9999999999999</ns0:v>
      </ns0:c>
      <ns0:c r="W33" s="4">
        <ns0:f>L33-Q33</ns0:f>
        <ns0:v>0</ns0:v>
      </ns0:c>
      <ns0:c r="X33" s="4">
        <ns0:f>N33-R33</ns0:f>
        <ns0:v>1200</ns0:v>
      </ns0:c>
    </ns0:row>
    <ns0:row r="34" ht="24" customHeight="1">
      <ns0:c r="A34" s="4" t="n">
        <ns0:v>2</ns0:v>
      </ns0:c>
      <ns0:c r="B34" s="4" t="n">
        <ns0:v>0</ns0:v>
      </ns0:c>
      <ns0:c r="C34" s="4" t="n">
        <ns0:v>1</ns0:v>
      </ns0:c>
      <ns0:c r="D34" s="12">
        <ns0:f>'前提と出典'!E52*(1-'前提と出典'!$B$21)</ns0:f>
        <ns0:v>0.015000000000000003</ns0:v>
      </ns0:c>
      <ns0:c r="E34" s="12">
        <ns0:f>ROUNDUP('前提と出典'!B52*'前提と出典'!$B$23,0)</ns0:f>
        <ns0:v>3</ns0:v>
      </ns0:c>
      <ns0:c r="F34" s="12">
        <ns0:f>'前提と出典'!A52</ns0:f>
        <ns0:v>0</ns0:v>
      </ns0:c>
      <ns0:c r="G34" s="12">
        <ns0:f>MAX(1,ROUNDUP(E34*'前提と出典'!$B$25*'前提と出典'!E12,0))</ns0:f>
        <ns0:v>2</ns0:v>
      </ns0:c>
      <ns0:c r="H34" s="4">
        <ns0:f>IF(AND(F34&gt;=1,F34&lt;=100),1,0)</ns0:f>
        <ns0:v>0</ns0:v>
      </ns0:c>
      <ns0:c r="I34" s="4">
        <ns0:f>IF(G34&lt;=50,1,0)</ns0:f>
        <ns0:v>1</ns0:v>
      </ns0:c>
      <ns0:c r="J34" s="4">
        <ns0:f>H34*I34</ns0:f>
        <ns0:v>0</ns0:v>
      </ns0:c>
      <ns0:c r="K34" s="12">
        <ns0:f>IF(A34='前提と出典'!$B$14,D34,0)</ns0:f>
        <ns0:v>0</ns0:v>
      </ns0:c>
      <ns0:c r="L34" s="12">
        <ns0:f>IF(H34=0,0,IF(F34&lt;=INDEX('前提と出典'!B41:B43,'前提と出典'!$B$15+1),INDEX('前提と出典'!C41:C43,'前提と出典'!$B$15+1),IF(F34&lt;=INDEX('前提と出典'!D41:D43,'前提と出典'!$B$15+1),INDEX('前提と出典'!E41:E43,'前提と出典'!$B$15+1),INDEX('前提と出典'!G41:G43,'前提と出典'!$B$15+1))))</ns0:f>
        <ns0:v>0</ns0:v>
      </ns0:c>
      <ns0:c r="M34" s="12">
        <ns0:f>IF(H34=0,0,IF('前提と出典'!$B$33=1,MIN(F34,10)*300+MIN(MAX(0,F34-10),20)*250+MAX(0,F34-30)*200,F34*300))</ns0:f>
        <ns0:v>0</ns0:v>
      </ns0:c>
      <ns0:c r="N34" s="12">
        <ns0:f>IF(I34=0,0,IF(G34&lt;=INDEX('前提と出典'!B46:B48,'前提と出典'!$B$16+1),INDEX('前提と出典'!C46:C48,'前提と出典'!$B$16+1),IF(G34&lt;=INDEX('前提と出典'!D46:D48,'前提と出典'!$B$16+1),INDEX('前提と出典'!E46:E48,'前提と出典'!$B$16+1),IF(G34&lt;=INDEX('前提と出典'!F46:F48,'前提と出典'!$B$16+1),INDEX('前提と出典'!G46:G48,'前提と出典'!$B$16+1),INDEX('前提と出典'!I46:I48,'前提と出典'!$B$16+1)))))</ns0:f>
        <ns0:v>1200</ns0:v>
      </ns0:c>
      <ns0:c r="O34" s="12">
        <ns0:f>IF(I34=1,G34*'前提と出典'!$B$13,0)</ns0:f>
        <ns0:v>400</ns0:v>
      </ns0:c>
      <ns0:c r="P34" s="12">
        <ns0:f>IF(J34=1,MIN('前提と出典'!$B$17,L34+N34),0)</ns0:f>
        <ns0:v>0</ns0:v>
      </ns0:c>
      <ns0:c r="Q34" s="12">
        <ns0:f>IF(J34=0,0,IF('前提と出典'!$B$19=0,P34*L34/(L34+N34),MIN(P34,L34)))</ns0:f>
        <ns0:v>0</ns0:v>
      </ns0:c>
      <ns0:c r="R34" s="4">
        <ns0:f>P34-Q34</ns0:f>
        <ns0:v>0</ns0:v>
      </ns0:c>
      <ns0:c r="S34" s="12">
        <ns0:f>IF(H34=1,'前提と出典'!$B$11+F34*'前提と出典'!$B$12,0)</ns0:f>
        <ns0:v>0</ns0:v>
      </ns0:c>
      <ns0:c r="T34" s="12">
        <ns0:f>IF(H34=1,('前提と出典'!$B$9+F34*'前提と出典'!$B$10)/60*'前提と出典'!$B$8,0)</ns0:f>
        <ns0:v>0</ns0:v>
      </ns0:c>
      <ns0:c r="U34" s="12">
        <ns0:f>IF(I34=1,INDEX('前提と出典'!B80:B83,'前提と出典'!$B$18+1)+G34*INDEX('前提と出典'!C80:C83,'前提と出典'!$B$18+1),0)</ns0:f>
        <ns0:v>89.54204895822411</ns0:v>
      </ns0:c>
      <ns0:c r="V34" s="12">
        <ns0:f>IF(I34=1,INDEX('前提と出典'!D80:D83,'前提と出典'!$B$18+1)+G34*INDEX('前提と出典'!E80:E83,'前提と出典'!$B$18+1),0)</ns0:f>
        <ns0:v>546.6666666666666</ns0:v>
      </ns0:c>
      <ns0:c r="W34" s="4">
        <ns0:f>L34-Q34</ns0:f>
        <ns0:v>0</ns0:v>
      </ns0:c>
      <ns0:c r="X34" s="4">
        <ns0:f>N34-R34</ns0:f>
        <ns0:v>1200</ns0:v>
      </ns0:c>
    </ns0:row>
    <ns0:row r="35" ht="24" customHeight="1">
      <ns0:c r="A35" s="4" t="n">
        <ns0:v>2</ns0:v>
      </ns0:c>
      <ns0:c r="B35" s="4" t="n">
        <ns0:v>1</ns0:v>
      </ns0:c>
      <ns0:c r="C35" s="4" t="n">
        <ns0:v>0</ns0:v>
      </ns0:c>
      <ns0:c r="D35" s="12">
        <ns0:f>'前提と出典'!E53*'前提と出典'!$B$21</ns0:f>
        <ns0:v>0.175</ns0:v>
      </ns0:c>
      <ns0:c r="E35" s="12">
        <ns0:f>ROUNDUP('前提と出典'!B53*'前提と出典'!$B$22,0)</ns0:f>
        <ns0:v>15</ns0:v>
      </ns0:c>
      <ns0:c r="F35" s="12">
        <ns0:f>'前提と出典'!A53</ns0:f>
        <ns0:v>3</ns0:v>
      </ns0:c>
      <ns0:c r="G35" s="12">
        <ns0:f>MAX(1,ROUNDUP(E35*'前提と出典'!$B$24*'前提と出典'!E12,0))</ns0:f>
        <ns0:v>3</ns0:v>
      </ns0:c>
      <ns0:c r="H35" s="4">
        <ns0:f>IF(AND(F35&gt;=1,F35&lt;=100),1,0)</ns0:f>
        <ns0:v>1</ns0:v>
      </ns0:c>
      <ns0:c r="I35" s="4">
        <ns0:f>IF(G35&lt;=50,1,0)</ns0:f>
        <ns0:v>1</ns0:v>
      </ns0:c>
      <ns0:c r="J35" s="4">
        <ns0:f>H35*I35</ns0:f>
        <ns0:v>1</ns0:v>
      </ns0:c>
      <ns0:c r="K35" s="12">
        <ns0:f>IF(A35='前提と出典'!$B$14,D35,0)</ns0:f>
        <ns0:v>0</ns0:v>
      </ns0:c>
      <ns0:c r="L35" s="12">
        <ns0:f>IF(H35=0,0,IF(F35&lt;=INDEX('前提と出典'!B41:B43,'前提と出典'!$B$15+1),INDEX('前提と出典'!C41:C43,'前提と出典'!$B$15+1),IF(F35&lt;=INDEX('前提と出典'!D41:D43,'前提と出典'!$B$15+1),INDEX('前提と出典'!E41:E43,'前提と出典'!$B$15+1),INDEX('前提と出典'!G41:G43,'前提と出典'!$B$15+1))))</ns0:f>
        <ns0:v>2500</ns0:v>
      </ns0:c>
      <ns0:c r="M35" s="12">
        <ns0:f>IF(H35=0,0,IF('前提と出典'!$B$33=1,MIN(F35,10)*300+MIN(MAX(0,F35-10),20)*250+MAX(0,F35-30)*200,F35*300))</ns0:f>
        <ns0:v>900</ns0:v>
      </ns0:c>
      <ns0:c r="N35" s="12">
        <ns0:f>IF(I35=0,0,IF(G35&lt;=INDEX('前提と出典'!B46:B48,'前提と出典'!$B$16+1),INDEX('前提と出典'!C46:C48,'前提と出典'!$B$16+1),IF(G35&lt;=INDEX('前提と出典'!D46:D48,'前提と出典'!$B$16+1),INDEX('前提と出典'!E46:E48,'前提と出典'!$B$16+1),IF(G35&lt;=INDEX('前提と出典'!F46:F48,'前提と出典'!$B$16+1),INDEX('前提と出典'!G46:G48,'前提と出典'!$B$16+1),INDEX('前提と出典'!I46:I48,'前提と出典'!$B$16+1)))))</ns0:f>
        <ns0:v>1200</ns0:v>
      </ns0:c>
      <ns0:c r="O35" s="12">
        <ns0:f>IF(I35=1,G35*'前提と出典'!$B$13,0)</ns0:f>
        <ns0:v>600</ns0:v>
      </ns0:c>
      <ns0:c r="P35" s="12">
        <ns0:f>IF(J35=1,MIN('前提と出典'!$B$17,L35+N35),0)</ns0:f>
        <ns0:v>500</ns0:v>
      </ns0:c>
      <ns0:c r="Q35" s="12">
        <ns0:f>IF(J35=0,0,IF('前提と出典'!$B$19=0,P35*L35/(L35+N35),MIN(P35,L35)))</ns0:f>
        <ns0:v>337.8378378378378</ns0:v>
      </ns0:c>
      <ns0:c r="R35" s="4">
        <ns0:f>P35-Q35</ns0:f>
        <ns0:v>162.1621621621622</ns0:v>
      </ns0:c>
      <ns0:c r="S35" s="12">
        <ns0:f>IF(H35=1,'前提と出典'!$B$11+F35*'前提と出典'!$B$12,0)</ns0:f>
        <ns0:v>53</ns0:v>
      </ns0:c>
      <ns0:c r="T35" s="12">
        <ns0:f>IF(H35=1,('前提と出典'!$B$9+F35*'前提と出典'!$B$10)/60*'前提と出典'!$B$8,0)</ns0:f>
        <ns0:v>553.3333333333334</ns0:v>
      </ns0:c>
      <ns0:c r="U35" s="12">
        <ns0:f>IF(I35=1,INDEX('前提と出典'!B80:B83,'前提と出典'!$B$18+1)+G35*INDEX('前提と出典'!C80:C83,'前提と出典'!$B$18+1),0)</ns0:f>
        <ns0:v>109.31307343733619</ns0:v>
      </ns0:c>
      <ns0:c r="V35" s="12">
        <ns0:f>IF(I35=1,INDEX('前提と出典'!D80:D83,'前提と出典'!$B$18+1)+G35*INDEX('前提と出典'!E80:E83,'前提と出典'!$B$18+1),0)</ns0:f>
        <ns0:v>553.3333333333334</ns0:v>
      </ns0:c>
      <ns0:c r="W35" s="4">
        <ns0:f>L35-Q35</ns0:f>
        <ns0:v>2162.162162162162</ns0:v>
      </ns0:c>
      <ns0:c r="X35" s="4">
        <ns0:f>N35-R35</ns0:f>
        <ns0:v>1037.837837837838</ns0:v>
      </ns0:c>
    </ns0:row>
    <ns0:row r="36" ht="24" customHeight="1">
      <ns0:c r="A36" s="4" t="n">
        <ns0:v>2</ns0:v>
      </ns0:c>
      <ns0:c r="B36" s="4" t="n">
        <ns0:v>1</ns0:v>
      </ns0:c>
      <ns0:c r="C36" s="4" t="n">
        <ns0:v>1</ns0:v>
      </ns0:c>
      <ns0:c r="D36" s="12">
        <ns0:f>'前提と出典'!E53*(1-'前提と出典'!$B$21)</ns0:f>
        <ns0:v>0.07500000000000001</ns0:v>
      </ns0:c>
      <ns0:c r="E36" s="12">
        <ns0:f>ROUNDUP('前提と出典'!B53*'前提と出典'!$B$23,0)</ns0:f>
        <ns0:v>8</ns0:v>
      </ns0:c>
      <ns0:c r="F36" s="12">
        <ns0:f>'前提と出典'!A53</ns0:f>
        <ns0:v>3</ns0:v>
      </ns0:c>
      <ns0:c r="G36" s="12">
        <ns0:f>MAX(1,ROUNDUP(E36*'前提と出典'!$B$25*'前提と出典'!E12,0))</ns0:f>
        <ns0:v>4</ns0:v>
      </ns0:c>
      <ns0:c r="H36" s="4">
        <ns0:f>IF(AND(F36&gt;=1,F36&lt;=100),1,0)</ns0:f>
        <ns0:v>1</ns0:v>
      </ns0:c>
      <ns0:c r="I36" s="4">
        <ns0:f>IF(G36&lt;=50,1,0)</ns0:f>
        <ns0:v>1</ns0:v>
      </ns0:c>
      <ns0:c r="J36" s="4">
        <ns0:f>H36*I36</ns0:f>
        <ns0:v>1</ns0:v>
      </ns0:c>
      <ns0:c r="K36" s="12">
        <ns0:f>IF(A36='前提と出典'!$B$14,D36,0)</ns0:f>
        <ns0:v>0</ns0:v>
      </ns0:c>
      <ns0:c r="L36" s="12">
        <ns0:f>IF(H36=0,0,IF(F36&lt;=INDEX('前提と出典'!B41:B43,'前提と出典'!$B$15+1),INDEX('前提と出典'!C41:C43,'前提と出典'!$B$15+1),IF(F36&lt;=INDEX('前提と出典'!D41:D43,'前提と出典'!$B$15+1),INDEX('前提と出典'!E41:E43,'前提と出典'!$B$15+1),INDEX('前提と出典'!G41:G43,'前提と出典'!$B$15+1))))</ns0:f>
        <ns0:v>2500</ns0:v>
      </ns0:c>
      <ns0:c r="M36" s="12">
        <ns0:f>IF(H36=0,0,IF('前提と出典'!$B$33=1,MIN(F36,10)*300+MIN(MAX(0,F36-10),20)*250+MAX(0,F36-30)*200,F36*300))</ns0:f>
        <ns0:v>900</ns0:v>
      </ns0:c>
      <ns0:c r="N36" s="12">
        <ns0:f>IF(I36=0,0,IF(G36&lt;=INDEX('前提と出典'!B46:B48,'前提と出典'!$B$16+1),INDEX('前提と出典'!C46:C48,'前提と出典'!$B$16+1),IF(G36&lt;=INDEX('前提と出典'!D46:D48,'前提と出典'!$B$16+1),INDEX('前提と出典'!E46:E48,'前提と出典'!$B$16+1),IF(G36&lt;=INDEX('前提と出典'!F46:F48,'前提と出典'!$B$16+1),INDEX('前提と出典'!G46:G48,'前提と出典'!$B$16+1),INDEX('前提と出典'!I46:I48,'前提と出典'!$B$16+1)))))</ns0:f>
        <ns0:v>1200</ns0:v>
      </ns0:c>
      <ns0:c r="O36" s="12">
        <ns0:f>IF(I36=1,G36*'前提と出典'!$B$13,0)</ns0:f>
        <ns0:v>800</ns0:v>
      </ns0:c>
      <ns0:c r="P36" s="12">
        <ns0:f>IF(J36=1,MIN('前提と出典'!$B$17,L36+N36),0)</ns0:f>
        <ns0:v>500</ns0:v>
      </ns0:c>
      <ns0:c r="Q36" s="12">
        <ns0:f>IF(J36=0,0,IF('前提と出典'!$B$19=0,P36*L36/(L36+N36),MIN(P36,L36)))</ns0:f>
        <ns0:v>337.8378378378378</ns0:v>
      </ns0:c>
      <ns0:c r="R36" s="4">
        <ns0:f>P36-Q36</ns0:f>
        <ns0:v>162.1621621621622</ns0:v>
      </ns0:c>
      <ns0:c r="S36" s="12">
        <ns0:f>IF(H36=1,'前提と出典'!$B$11+F36*'前提と出典'!$B$12,0)</ns0:f>
        <ns0:v>53</ns0:v>
      </ns0:c>
      <ns0:c r="T36" s="12">
        <ns0:f>IF(H36=1,('前提と出典'!$B$9+F36*'前提と出典'!$B$10)/60*'前提と出典'!$B$8,0)</ns0:f>
        <ns0:v>553.3333333333334</ns0:v>
      </ns0:c>
      <ns0:c r="U36" s="12">
        <ns0:f>IF(I36=1,INDEX('前提と出典'!B80:B83,'前提と出典'!$B$18+1)+G36*INDEX('前提と出典'!C80:C83,'前提と出典'!$B$18+1),0)</ns0:f>
        <ns0:v>129.08409791644823</ns0:v>
      </ns0:c>
      <ns0:c r="V36" s="12">
        <ns0:f>IF(I36=1,INDEX('前提と出典'!D80:D83,'前提と出典'!$B$18+1)+G36*INDEX('前提と出典'!E80:E83,'前提と出典'!$B$18+1),0)</ns0:f>
        <ns0:v>560</ns0:v>
      </ns0:c>
      <ns0:c r="W36" s="4">
        <ns0:f>L36-Q36</ns0:f>
        <ns0:v>2162.162162162162</ns0:v>
      </ns0:c>
      <ns0:c r="X36" s="4">
        <ns0:f>N36-R36</ns0:f>
        <ns0:v>1037.837837837838</ns0:v>
      </ns0:c>
    </ns0:row>
    <ns0:row r="37" ht="24" customHeight="1">
      <ns0:c r="A37" s="4" t="n">
        <ns0:v>2</ns0:v>
      </ns0:c>
      <ns0:c r="B37" s="4" t="n">
        <ns0:v>2</ns0:v>
      </ns0:c>
      <ns0:c r="C37" s="4" t="n">
        <ns0:v>0</ns0:v>
      </ns0:c>
      <ns0:c r="D37" s="12">
        <ns0:f>'前提と出典'!E54*'前提と出典'!$B$21</ns0:f>
        <ns0:v>0.175</ns0:v>
      </ns0:c>
      <ns0:c r="E37" s="12">
        <ns0:f>ROUNDUP('前提と出典'!B54*'前提と出典'!$B$22,0)</ns0:f>
        <ns0:v>38</ns0:v>
      </ns0:c>
      <ns0:c r="F37" s="12">
        <ns0:f>'前提と出典'!A54</ns0:f>
        <ns0:v>8</ns0:v>
      </ns0:c>
      <ns0:c r="G37" s="12">
        <ns0:f>MAX(1,ROUNDUP(E37*'前提と出典'!$B$24*'前提と出典'!E12,0))</ns0:f>
        <ns0:v>6</ns0:v>
      </ns0:c>
      <ns0:c r="H37" s="4">
        <ns0:f>IF(AND(F37&gt;=1,F37&lt;=100),1,0)</ns0:f>
        <ns0:v>1</ns0:v>
      </ns0:c>
      <ns0:c r="I37" s="4">
        <ns0:f>IF(G37&lt;=50,1,0)</ns0:f>
        <ns0:v>1</ns0:v>
      </ns0:c>
      <ns0:c r="J37" s="4">
        <ns0:f>H37*I37</ns0:f>
        <ns0:v>1</ns0:v>
      </ns0:c>
      <ns0:c r="K37" s="12">
        <ns0:f>IF(A37='前提と出典'!$B$14,D37,0)</ns0:f>
        <ns0:v>0</ns0:v>
      </ns0:c>
      <ns0:c r="L37" s="12">
        <ns0:f>IF(H37=0,0,IF(F37&lt;=INDEX('前提と出典'!B41:B43,'前提と出典'!$B$15+1),INDEX('前提と出典'!C41:C43,'前提と出典'!$B$15+1),IF(F37&lt;=INDEX('前提と出典'!D41:D43,'前提と出典'!$B$15+1),INDEX('前提と出典'!E41:E43,'前提と出典'!$B$15+1),INDEX('前提と出典'!G41:G43,'前提と出典'!$B$15+1))))</ns0:f>
        <ns0:v>2500</ns0:v>
      </ns0:c>
      <ns0:c r="M37" s="12">
        <ns0:f>IF(H37=0,0,IF('前提と出典'!$B$33=1,MIN(F37,10)*300+MIN(MAX(0,F37-10),20)*250+MAX(0,F37-30)*200,F37*300))</ns0:f>
        <ns0:v>2400</ns0:v>
      </ns0:c>
      <ns0:c r="N37" s="12">
        <ns0:f>IF(I37=0,0,IF(G37&lt;=INDEX('前提と出典'!B46:B48,'前提と出典'!$B$16+1),INDEX('前提と出典'!C46:C48,'前提と出典'!$B$16+1),IF(G37&lt;=INDEX('前提と出典'!D46:D48,'前提と出典'!$B$16+1),INDEX('前提と出典'!E46:E48,'前提と出典'!$B$16+1),IF(G37&lt;=INDEX('前提と出典'!F46:F48,'前提と出典'!$B$16+1),INDEX('前提と出典'!G46:G48,'前提と出典'!$B$16+1),INDEX('前提と出典'!I46:I48,'前提と出典'!$B$16+1)))))</ns0:f>
        <ns0:v>1200</ns0:v>
      </ns0:c>
      <ns0:c r="O37" s="12">
        <ns0:f>IF(I37=1,G37*'前提と出典'!$B$13,0)</ns0:f>
        <ns0:v>1200</ns0:v>
      </ns0:c>
      <ns0:c r="P37" s="12">
        <ns0:f>IF(J37=1,MIN('前提と出典'!$B$17,L37+N37),0)</ns0:f>
        <ns0:v>500</ns0:v>
      </ns0:c>
      <ns0:c r="Q37" s="12">
        <ns0:f>IF(J37=0,0,IF('前提と出典'!$B$19=0,P37*L37/(L37+N37),MIN(P37,L37)))</ns0:f>
        <ns0:v>337.8378378378378</ns0:v>
      </ns0:c>
      <ns0:c r="R37" s="4">
        <ns0:f>P37-Q37</ns0:f>
        <ns0:v>162.1621621621622</ns0:v>
      </ns0:c>
      <ns0:c r="S37" s="12">
        <ns0:f>IF(H37=1,'前提と出典'!$B$11+F37*'前提と出典'!$B$12,0)</ns0:f>
        <ns0:v>58</ns0:v>
      </ns0:c>
      <ns0:c r="T37" s="12">
        <ns0:f>IF(H37=1,('前提と出典'!$B$9+F37*'前提と出典'!$B$10)/60*'前提と出典'!$B$8,0)</ns0:f>
        <ns0:v>586.6666666666666</ns0:v>
      </ns0:c>
      <ns0:c r="U37" s="12">
        <ns0:f>IF(I37=1,INDEX('前提と出典'!B80:B83,'前提と出典'!$B$18+1)+G37*INDEX('前提と出典'!C80:C83,'前提と出典'!$B$18+1),0)</ns0:f>
        <ns0:v>168.62614687467237</ns0:v>
      </ns0:c>
      <ns0:c r="V37" s="12">
        <ns0:f>IF(I37=1,INDEX('前提と出典'!D80:D83,'前提と出典'!$B$18+1)+G37*INDEX('前提と出典'!E80:E83,'前提と出典'!$B$18+1),0)</ns0:f>
        <ns0:v>573.3333333333334</ns0:v>
      </ns0:c>
      <ns0:c r="W37" s="4">
        <ns0:f>L37-Q37</ns0:f>
        <ns0:v>2162.162162162162</ns0:v>
      </ns0:c>
      <ns0:c r="X37" s="4">
        <ns0:f>N37-R37</ns0:f>
        <ns0:v>1037.837837837838</ns0:v>
      </ns0:c>
    </ns0:row>
    <ns0:row r="38" ht="24" customHeight="1">
      <ns0:c r="A38" s="4" t="n">
        <ns0:v>2</ns0:v>
      </ns0:c>
      <ns0:c r="B38" s="4" t="n">
        <ns0:v>2</ns0:v>
      </ns0:c>
      <ns0:c r="C38" s="4" t="n">
        <ns0:v>1</ns0:v>
      </ns0:c>
      <ns0:c r="D38" s="12">
        <ns0:f>'前提と出典'!E54*(1-'前提と出典'!$B$21)</ns0:f>
        <ns0:v>0.07500000000000001</ns0:v>
      </ns0:c>
      <ns0:c r="E38" s="12">
        <ns0:f>ROUNDUP('前提と出典'!B54*'前提と出典'!$B$23,0)</ns0:f>
        <ns0:v>19</ns0:v>
      </ns0:c>
      <ns0:c r="F38" s="12">
        <ns0:f>'前提と出典'!A54</ns0:f>
        <ns0:v>8</ns0:v>
      </ns0:c>
      <ns0:c r="G38" s="12">
        <ns0:f>MAX(1,ROUNDUP(E38*'前提と出典'!$B$25*'前提と出典'!E12,0))</ns0:f>
        <ns0:v>9</ns0:v>
      </ns0:c>
      <ns0:c r="H38" s="4">
        <ns0:f>IF(AND(F38&gt;=1,F38&lt;=100),1,0)</ns0:f>
        <ns0:v>1</ns0:v>
      </ns0:c>
      <ns0:c r="I38" s="4">
        <ns0:f>IF(G38&lt;=50,1,0)</ns0:f>
        <ns0:v>1</ns0:v>
      </ns0:c>
      <ns0:c r="J38" s="4">
        <ns0:f>H38*I38</ns0:f>
        <ns0:v>1</ns0:v>
      </ns0:c>
      <ns0:c r="K38" s="12">
        <ns0:f>IF(A38='前提と出典'!$B$14,D38,0)</ns0:f>
        <ns0:v>0</ns0:v>
      </ns0:c>
      <ns0:c r="L38" s="12">
        <ns0:f>IF(H38=0,0,IF(F38&lt;=INDEX('前提と出典'!B41:B43,'前提と出典'!$B$15+1),INDEX('前提と出典'!C41:C43,'前提と出典'!$B$15+1),IF(F38&lt;=INDEX('前提と出典'!D41:D43,'前提と出典'!$B$15+1),INDEX('前提と出典'!E41:E43,'前提と出典'!$B$15+1),INDEX('前提と出典'!G41:G43,'前提と出典'!$B$15+1))))</ns0:f>
        <ns0:v>2500</ns0:v>
      </ns0:c>
      <ns0:c r="M38" s="12">
        <ns0:f>IF(H38=0,0,IF('前提と出典'!$B$33=1,MIN(F38,10)*300+MIN(MAX(0,F38-10),20)*250+MAX(0,F38-30)*200,F38*300))</ns0:f>
        <ns0:v>2400</ns0:v>
      </ns0:c>
      <ns0:c r="N38" s="12">
        <ns0:f>IF(I38=0,0,IF(G38&lt;=INDEX('前提と出典'!B46:B48,'前提と出典'!$B$16+1),INDEX('前提と出典'!C46:C48,'前提と出典'!$B$16+1),IF(G38&lt;=INDEX('前提と出典'!D46:D48,'前提と出典'!$B$16+1),INDEX('前提と出典'!E46:E48,'前提と出典'!$B$16+1),IF(G38&lt;=INDEX('前提と出典'!F46:F48,'前提と出典'!$B$16+1),INDEX('前提と出典'!G46:G48,'前提と出典'!$B$16+1),INDEX('前提と出典'!I46:I48,'前提と出典'!$B$16+1)))))</ns0:f>
        <ns0:v>1200</ns0:v>
      </ns0:c>
      <ns0:c r="O38" s="12">
        <ns0:f>IF(I38=1,G38*'前提と出典'!$B$13,0)</ns0:f>
        <ns0:v>1800</ns0:v>
      </ns0:c>
      <ns0:c r="P38" s="12">
        <ns0:f>IF(J38=1,MIN('前提と出典'!$B$17,L38+N38),0)</ns0:f>
        <ns0:v>500</ns0:v>
      </ns0:c>
      <ns0:c r="Q38" s="12">
        <ns0:f>IF(J38=0,0,IF('前提と出典'!$B$19=0,P38*L38/(L38+N38),MIN(P38,L38)))</ns0:f>
        <ns0:v>337.8378378378378</ns0:v>
      </ns0:c>
      <ns0:c r="R38" s="4">
        <ns0:f>P38-Q38</ns0:f>
        <ns0:v>162.1621621621622</ns0:v>
      </ns0:c>
      <ns0:c r="S38" s="12">
        <ns0:f>IF(H38=1,'前提と出典'!$B$11+F38*'前提と出典'!$B$12,0)</ns0:f>
        <ns0:v>58</ns0:v>
      </ns0:c>
      <ns0:c r="T38" s="12">
        <ns0:f>IF(H38=1,('前提と出典'!$B$9+F38*'前提と出典'!$B$10)/60*'前提と出典'!$B$8,0)</ns0:f>
        <ns0:v>586.6666666666666</ns0:v>
      </ns0:c>
      <ns0:c r="U38" s="12">
        <ns0:f>IF(I38=1,INDEX('前提と出典'!B80:B83,'前提と出典'!$B$18+1)+G38*INDEX('前提と出典'!C80:C83,'前提と出典'!$B$18+1),0)</ns0:f>
        <ns0:v>227.93922031200856</ns0:v>
      </ns0:c>
      <ns0:c r="V38" s="12">
        <ns0:f>IF(I38=1,INDEX('前提と出典'!D80:D83,'前提と出典'!$B$18+1)+G38*INDEX('前提と出典'!E80:E83,'前提と出典'!$B$18+1),0)</ns0:f>
        <ns0:v>593.3333333333334</ns0:v>
      </ns0:c>
      <ns0:c r="W38" s="4">
        <ns0:f>L38-Q38</ns0:f>
        <ns0:v>2162.162162162162</ns0:v>
      </ns0:c>
      <ns0:c r="X38" s="4">
        <ns0:f>N38-R38</ns0:f>
        <ns0:v>1037.837837837838</ns0:v>
      </ns0:c>
    </ns0:row>
    <ns0:row r="39" ht="24" customHeight="1">
      <ns0:c r="A39" s="4" t="n">
        <ns0:v>2</ns0:v>
      </ns0:c>
      <ns0:c r="B39" s="4" t="n">
        <ns0:v>3</ns0:v>
      </ns0:c>
      <ns0:c r="C39" s="4" t="n">
        <ns0:v>0</ns0:v>
      </ns0:c>
      <ns0:c r="D39" s="12">
        <ns0:f>'前提と出典'!E55*'前提と出典'!$B$21</ns0:f>
        <ns0:v>0.21</ns0:v>
      </ns0:c>
      <ns0:c r="E39" s="12">
        <ns0:f>ROUNDUP('前提と出典'!B55*'前提と出典'!$B$22,0)</ns0:f>
        <ns0:v>90</ns0:v>
      </ns0:c>
      <ns0:c r="F39" s="12">
        <ns0:f>'前提と出典'!A55</ns0:f>
        <ns0:v>18</ns0:v>
      </ns0:c>
      <ns0:c r="G39" s="12">
        <ns0:f>MAX(1,ROUNDUP(E39*'前提と出典'!$B$24*'前提と出典'!E12,0))</ns0:f>
        <ns0:v>14</ns0:v>
      </ns0:c>
      <ns0:c r="H39" s="4">
        <ns0:f>IF(AND(F39&gt;=1,F39&lt;=100),1,0)</ns0:f>
        <ns0:v>1</ns0:v>
      </ns0:c>
      <ns0:c r="I39" s="4">
        <ns0:f>IF(G39&lt;=50,1,0)</ns0:f>
        <ns0:v>1</ns0:v>
      </ns0:c>
      <ns0:c r="J39" s="4">
        <ns0:f>H39*I39</ns0:f>
        <ns0:v>1</ns0:v>
      </ns0:c>
      <ns0:c r="K39" s="12">
        <ns0:f>IF(A39='前提と出典'!$B$14,D39,0)</ns0:f>
        <ns0:v>0</ns0:v>
      </ns0:c>
      <ns0:c r="L39" s="12">
        <ns0:f>IF(H39=0,0,IF(F39&lt;=INDEX('前提と出典'!B41:B43,'前提と出典'!$B$15+1),INDEX('前提と出典'!C41:C43,'前提と出典'!$B$15+1),IF(F39&lt;=INDEX('前提と出典'!D41:D43,'前提と出典'!$B$15+1),INDEX('前提と出典'!E41:E43,'前提と出典'!$B$15+1),INDEX('前提と出典'!G41:G43,'前提と出典'!$B$15+1))))</ns0:f>
        <ns0:v>4000</ns0:v>
      </ns0:c>
      <ns0:c r="M39" s="12">
        <ns0:f>IF(H39=0,0,IF('前提と出典'!$B$33=1,MIN(F39,10)*300+MIN(MAX(0,F39-10),20)*250+MAX(0,F39-30)*200,F39*300))</ns0:f>
        <ns0:v>5000</ns0:v>
      </ns0:c>
      <ns0:c r="N39" s="12">
        <ns0:f>IF(I39=0,0,IF(G39&lt;=INDEX('前提と出典'!B46:B48,'前提と出典'!$B$16+1),INDEX('前提と出典'!C46:C48,'前提と出典'!$B$16+1),IF(G39&lt;=INDEX('前提と出典'!D46:D48,'前提と出典'!$B$16+1),INDEX('前提と出典'!E46:E48,'前提と出典'!$B$16+1),IF(G39&lt;=INDEX('前提と出典'!F46:F48,'前提と出典'!$B$16+1),INDEX('前提と出典'!G46:G48,'前提と出典'!$B$16+1),INDEX('前提と出典'!I46:I48,'前提と出典'!$B$16+1)))))</ns0:f>
        <ns0:v>2500</ns0:v>
      </ns0:c>
      <ns0:c r="O39" s="12">
        <ns0:f>IF(I39=1,G39*'前提と出典'!$B$13,0)</ns0:f>
        <ns0:v>2800</ns0:v>
      </ns0:c>
      <ns0:c r="P39" s="12">
        <ns0:f>IF(J39=1,MIN('前提と出典'!$B$17,L39+N39),0)</ns0:f>
        <ns0:v>500</ns0:v>
      </ns0:c>
      <ns0:c r="Q39" s="12">
        <ns0:f>IF(J39=0,0,IF('前提と出典'!$B$19=0,P39*L39/(L39+N39),MIN(P39,L39)))</ns0:f>
        <ns0:v>307.6923076923077</ns0:v>
      </ns0:c>
      <ns0:c r="R39" s="4">
        <ns0:f>P39-Q39</ns0:f>
        <ns0:v>192.30769230769232</ns0:v>
      </ns0:c>
      <ns0:c r="S39" s="12">
        <ns0:f>IF(H39=1,'前提と出典'!$B$11+F39*'前提と出典'!$B$12,0)</ns0:f>
        <ns0:v>68</ns0:v>
      </ns0:c>
      <ns0:c r="T39" s="12">
        <ns0:f>IF(H39=1,('前提と出典'!$B$9+F39*'前提と出典'!$B$10)/60*'前提と出典'!$B$8,0)</ns0:f>
        <ns0:v>653.3333333333335</ns0:v>
      </ns0:c>
      <ns0:c r="U39" s="12">
        <ns0:f>IF(I39=1,INDEX('前提と出典'!B80:B83,'前提と出典'!$B$18+1)+G39*INDEX('前提と出典'!C80:C83,'前提と出典'!$B$18+1),0)</ns0:f>
        <ns0:v>326.79434270756883</ns0:v>
      </ns0:c>
      <ns0:c r="V39" s="12">
        <ns0:f>IF(I39=1,INDEX('前提と出典'!D80:D83,'前提と出典'!$B$18+1)+G39*INDEX('前提と出典'!E80:E83,'前提と出典'!$B$18+1),0)</ns0:f>
        <ns0:v>626.6666666666667</ns0:v>
      </ns0:c>
      <ns0:c r="W39" s="4">
        <ns0:f>L39-Q39</ns0:f>
        <ns0:v>3692.3076923076924</ns0:v>
      </ns0:c>
      <ns0:c r="X39" s="4">
        <ns0:f>N39-R39</ns0:f>
        <ns0:v>2307.6923076923076</ns0:v>
      </ns0:c>
    </ns0:row>
    <ns0:row r="40" ht="24" customHeight="1">
      <ns0:c r="A40" s="4" t="n">
        <ns0:v>2</ns0:v>
      </ns0:c>
      <ns0:c r="B40" s="4" t="n">
        <ns0:v>3</ns0:v>
      </ns0:c>
      <ns0:c r="C40" s="4" t="n">
        <ns0:v>1</ns0:v>
      </ns0:c>
      <ns0:c r="D40" s="12">
        <ns0:f>'前提と出典'!E55*(1-'前提と出典'!$B$21)</ns0:f>
        <ns0:v>0.09000000000000001</ns0:v>
      </ns0:c>
      <ns0:c r="E40" s="12">
        <ns0:f>ROUNDUP('前提と出典'!B55*'前提と出典'!$B$23,0)</ns0:f>
        <ns0:v>45</ns0:v>
      </ns0:c>
      <ns0:c r="F40" s="12">
        <ns0:f>'前提と出典'!A55</ns0:f>
        <ns0:v>18</ns0:v>
      </ns0:c>
      <ns0:c r="G40" s="12">
        <ns0:f>MAX(1,ROUNDUP(E40*'前提と出典'!$B$25*'前提と出典'!E12,0))</ns0:f>
        <ns0:v>21</ns0:v>
      </ns0:c>
      <ns0:c r="H40" s="4">
        <ns0:f>IF(AND(F40&gt;=1,F40&lt;=100),1,0)</ns0:f>
        <ns0:v>1</ns0:v>
      </ns0:c>
      <ns0:c r="I40" s="4">
        <ns0:f>IF(G40&lt;=50,1,0)</ns0:f>
        <ns0:v>1</ns0:v>
      </ns0:c>
      <ns0:c r="J40" s="4">
        <ns0:f>H40*I40</ns0:f>
        <ns0:v>1</ns0:v>
      </ns0:c>
      <ns0:c r="K40" s="12">
        <ns0:f>IF(A40='前提と出典'!$B$14,D40,0)</ns0:f>
        <ns0:v>0</ns0:v>
      </ns0:c>
      <ns0:c r="L40" s="12">
        <ns0:f>IF(H40=0,0,IF(F40&lt;=INDEX('前提と出典'!B41:B43,'前提と出典'!$B$15+1),INDEX('前提と出典'!C41:C43,'前提と出典'!$B$15+1),IF(F40&lt;=INDEX('前提と出典'!D41:D43,'前提と出典'!$B$15+1),INDEX('前提と出典'!E41:E43,'前提と出典'!$B$15+1),INDEX('前提と出典'!G41:G43,'前提と出典'!$B$15+1))))</ns0:f>
        <ns0:v>4000</ns0:v>
      </ns0:c>
      <ns0:c r="M40" s="12">
        <ns0:f>IF(H40=0,0,IF('前提と出典'!$B$33=1,MIN(F40,10)*300+MIN(MAX(0,F40-10),20)*250+MAX(0,F40-30)*200,F40*300))</ns0:f>
        <ns0:v>5000</ns0:v>
      </ns0:c>
      <ns0:c r="N40" s="12">
        <ns0:f>IF(I40=0,0,IF(G40&lt;=INDEX('前提と出典'!B46:B48,'前提と出典'!$B$16+1),INDEX('前提と出典'!C46:C48,'前提と出典'!$B$16+1),IF(G40&lt;=INDEX('前提と出典'!D46:D48,'前提と出典'!$B$16+1),INDEX('前提と出典'!E46:E48,'前提と出典'!$B$16+1),IF(G40&lt;=INDEX('前提と出典'!F46:F48,'前提と出典'!$B$16+1),INDEX('前提と出典'!G46:G48,'前提と出典'!$B$16+1),INDEX('前提と出典'!I46:I48,'前提と出典'!$B$16+1)))))</ns0:f>
        <ns0:v>2500</ns0:v>
      </ns0:c>
      <ns0:c r="O40" s="12">
        <ns0:f>IF(I40=1,G40*'前提と出典'!$B$13,0)</ns0:f>
        <ns0:v>4200</ns0:v>
      </ns0:c>
      <ns0:c r="P40" s="12">
        <ns0:f>IF(J40=1,MIN('前提と出典'!$B$17,L40+N40),0)</ns0:f>
        <ns0:v>500</ns0:v>
      </ns0:c>
      <ns0:c r="Q40" s="12">
        <ns0:f>IF(J40=0,0,IF('前提と出典'!$B$19=0,P40*L40/(L40+N40),MIN(P40,L40)))</ns0:f>
        <ns0:v>307.6923076923077</ns0:v>
      </ns0:c>
      <ns0:c r="R40" s="4">
        <ns0:f>P40-Q40</ns0:f>
        <ns0:v>192.30769230769232</ns0:v>
      </ns0:c>
      <ns0:c r="S40" s="12">
        <ns0:f>IF(H40=1,'前提と出典'!$B$11+F40*'前提と出典'!$B$12,0)</ns0:f>
        <ns0:v>68</ns0:v>
      </ns0:c>
      <ns0:c r="T40" s="12">
        <ns0:f>IF(H40=1,('前提と出典'!$B$9+F40*'前提と出典'!$B$10)/60*'前提と出典'!$B$8,0)</ns0:f>
        <ns0:v>653.3333333333335</ns0:v>
      </ns0:c>
      <ns0:c r="U40" s="12">
        <ns0:f>IF(I40=1,INDEX('前提と出典'!B80:B83,'前提と出典'!$B$18+1)+G40*INDEX('前提と出典'!C80:C83,'前提と出典'!$B$18+1),0)</ns0:f>
        <ns0:v>465.1915140613533</ns0:v>
      </ns0:c>
      <ns0:c r="V40" s="12">
        <ns0:f>IF(I40=1,INDEX('前提と出典'!D80:D83,'前提と出典'!$B$18+1)+G40*INDEX('前提と出典'!E80:E83,'前提と出典'!$B$18+1),0)</ns0:f>
        <ns0:v>673.3333333333334</ns0:v>
      </ns0:c>
      <ns0:c r="W40" s="4">
        <ns0:f>L40-Q40</ns0:f>
        <ns0:v>3692.3076923076924</ns0:v>
      </ns0:c>
      <ns0:c r="X40" s="4">
        <ns0:f>N40-R40</ns0:f>
        <ns0:v>2307.6923076923076</ns0:v>
      </ns0:c>
    </ns0:row>
    <ns0:row r="41" ht="24" customHeight="1">
      <ns0:c r="A41" s="4" t="n">
        <ns0:v>2</ns0:v>
      </ns0:c>
      <ns0:c r="B41" s="4" t="n">
        <ns0:v>4</ns0:v>
      </ns0:c>
      <ns0:c r="C41" s="4" t="n">
        <ns0:v>0</ns0:v>
      </ns0:c>
      <ns0:c r="D41" s="12">
        <ns0:f>'前提と出典'!E56*'前提と出典'!$B$21</ns0:f>
        <ns0:v>0.063</ns0:v>
      </ns0:c>
      <ns0:c r="E41" s="12">
        <ns0:f>ROUNDUP('前提と出典'!B56*'前提と出典'!$B$22,0)</ns0:f>
        <ns0:v>180</ns0:v>
      </ns0:c>
      <ns0:c r="F41" s="12">
        <ns0:f>'前提と出典'!A56</ns0:f>
        <ns0:v>40</ns0:v>
      </ns0:c>
      <ns0:c r="G41" s="12">
        <ns0:f>MAX(1,ROUNDUP(E41*'前提と出典'!$B$24*'前提と出典'!E12,0))</ns0:f>
        <ns0:v>27</ns0:v>
      </ns0:c>
      <ns0:c r="H41" s="4">
        <ns0:f>IF(AND(F41&gt;=1,F41&lt;=100),1,0)</ns0:f>
        <ns0:v>1</ns0:v>
      </ns0:c>
      <ns0:c r="I41" s="4">
        <ns0:f>IF(G41&lt;=50,1,0)</ns0:f>
        <ns0:v>1</ns0:v>
      </ns0:c>
      <ns0:c r="J41" s="4">
        <ns0:f>H41*I41</ns0:f>
        <ns0:v>1</ns0:v>
      </ns0:c>
      <ns0:c r="K41" s="12">
        <ns0:f>IF(A41='前提と出典'!$B$14,D41,0)</ns0:f>
        <ns0:v>0</ns0:v>
      </ns0:c>
      <ns0:c r="L41" s="12">
        <ns0:f>IF(H41=0,0,IF(F41&lt;=INDEX('前提と出典'!B41:B43,'前提と出典'!$B$15+1),INDEX('前提と出典'!C41:C43,'前提と出典'!$B$15+1),IF(F41&lt;=INDEX('前提と出典'!D41:D43,'前提と出典'!$B$15+1),INDEX('前提と出典'!E41:E43,'前提と出典'!$B$15+1),INDEX('前提と出典'!G41:G43,'前提と出典'!$B$15+1))))</ns0:f>
        <ns0:v>4000</ns0:v>
      </ns0:c>
      <ns0:c r="M41" s="12">
        <ns0:f>IF(H41=0,0,IF('前提と出典'!$B$33=1,MIN(F41,10)*300+MIN(MAX(0,F41-10),20)*250+MAX(0,F41-30)*200,F41*300))</ns0:f>
        <ns0:v>10000</ns0:v>
      </ns0:c>
      <ns0:c r="N41" s="12">
        <ns0:f>IF(I41=0,0,IF(G41&lt;=INDEX('前提と出典'!B46:B48,'前提と出典'!$B$16+1),INDEX('前提と出典'!C46:C48,'前提と出典'!$B$16+1),IF(G41&lt;=INDEX('前提と出典'!D46:D48,'前提と出典'!$B$16+1),INDEX('前提と出典'!E46:E48,'前提と出典'!$B$16+1),IF(G41&lt;=INDEX('前提と出典'!F46:F48,'前提と出典'!$B$16+1),INDEX('前提と出典'!G46:G48,'前提と出典'!$B$16+1),INDEX('前提と出典'!I46:I48,'前提と出典'!$B$16+1)))))</ns0:f>
        <ns0:v>2500</ns0:v>
      </ns0:c>
      <ns0:c r="O41" s="12">
        <ns0:f>IF(I41=1,G41*'前提と出典'!$B$13,0)</ns0:f>
        <ns0:v>5400</ns0:v>
      </ns0:c>
      <ns0:c r="P41" s="12">
        <ns0:f>IF(J41=1,MIN('前提と出典'!$B$17,L41+N41),0)</ns0:f>
        <ns0:v>500</ns0:v>
      </ns0:c>
      <ns0:c r="Q41" s="12">
        <ns0:f>IF(J41=0,0,IF('前提と出典'!$B$19=0,P41*L41/(L41+N41),MIN(P41,L41)))</ns0:f>
        <ns0:v>307.6923076923077</ns0:v>
      </ns0:c>
      <ns0:c r="R41" s="4">
        <ns0:f>P41-Q41</ns0:f>
        <ns0:v>192.30769230769232</ns0:v>
      </ns0:c>
      <ns0:c r="S41" s="12">
        <ns0:f>IF(H41=1,'前提と出典'!$B$11+F41*'前提と出典'!$B$12,0)</ns0:f>
        <ns0:v>90</ns0:v>
      </ns0:c>
      <ns0:c r="T41" s="12">
        <ns0:f>IF(H41=1,('前提と出典'!$B$9+F41*'前提と出典'!$B$10)/60*'前提と出典'!$B$8,0)</ns0:f>
        <ns0:v>800</ns0:v>
      </ns0:c>
      <ns0:c r="U41" s="12">
        <ns0:f>IF(I41=1,INDEX('前提と出典'!B80:B83,'前提と出典'!$B$18+1)+G41*INDEX('前提と出典'!C80:C83,'前提と出典'!$B$18+1),0)</ns0:f>
        <ns0:v>583.8176609360256</ns0:v>
      </ns0:c>
      <ns0:c r="V41" s="12">
        <ns0:f>IF(I41=1,INDEX('前提と出典'!D80:D83,'前提と出典'!$B$18+1)+G41*INDEX('前提と出典'!E80:E83,'前提と出典'!$B$18+1),0)</ns0:f>
        <ns0:v>713.3333333333333</ns0:v>
      </ns0:c>
      <ns0:c r="W41" s="4">
        <ns0:f>L41-Q41</ns0:f>
        <ns0:v>3692.3076923076924</ns0:v>
      </ns0:c>
      <ns0:c r="X41" s="4">
        <ns0:f>N41-R41</ns0:f>
        <ns0:v>2307.6923076923076</ns0:v>
      </ns0:c>
    </ns0:row>
    <ns0:row r="42" ht="24" customHeight="1">
      <ns0:c r="A42" s="4" t="n">
        <ns0:v>2</ns0:v>
      </ns0:c>
      <ns0:c r="B42" s="4" t="n">
        <ns0:v>4</ns0:v>
      </ns0:c>
      <ns0:c r="C42" s="4" t="n">
        <ns0:v>1</ns0:v>
      </ns0:c>
      <ns0:c r="D42" s="12">
        <ns0:f>'前提と出典'!E56*(1-'前提と出典'!$B$21)</ns0:f>
        <ns0:v>0.027000000000000003</ns0:v>
      </ns0:c>
      <ns0:c r="E42" s="12">
        <ns0:f>ROUNDUP('前提と出典'!B56*'前提と出典'!$B$23,0)</ns0:f>
        <ns0:v>90</ns0:v>
      </ns0:c>
      <ns0:c r="F42" s="12">
        <ns0:f>'前提と出典'!A56</ns0:f>
        <ns0:v>40</ns0:v>
      </ns0:c>
      <ns0:c r="G42" s="12">
        <ns0:f>MAX(1,ROUNDUP(E42*'前提と出典'!$B$25*'前提と出典'!E12,0))</ns0:f>
        <ns0:v>41</ns0:v>
      </ns0:c>
      <ns0:c r="H42" s="4">
        <ns0:f>IF(AND(F42&gt;=1,F42&lt;=100),1,0)</ns0:f>
        <ns0:v>1</ns0:v>
      </ns0:c>
      <ns0:c r="I42" s="4">
        <ns0:f>IF(G42&lt;=50,1,0)</ns0:f>
        <ns0:v>1</ns0:v>
      </ns0:c>
      <ns0:c r="J42" s="4">
        <ns0:f>H42*I42</ns0:f>
        <ns0:v>1</ns0:v>
      </ns0:c>
      <ns0:c r="K42" s="12">
        <ns0:f>IF(A42='前提と出典'!$B$14,D42,0)</ns0:f>
        <ns0:v>0</ns0:v>
      </ns0:c>
      <ns0:c r="L42" s="12">
        <ns0:f>IF(H42=0,0,IF(F42&lt;=INDEX('前提と出典'!B41:B43,'前提と出典'!$B$15+1),INDEX('前提と出典'!C41:C43,'前提と出典'!$B$15+1),IF(F42&lt;=INDEX('前提と出典'!D41:D43,'前提と出典'!$B$15+1),INDEX('前提と出典'!E41:E43,'前提と出典'!$B$15+1),INDEX('前提と出典'!G41:G43,'前提と出典'!$B$15+1))))</ns0:f>
        <ns0:v>4000</ns0:v>
      </ns0:c>
      <ns0:c r="M42" s="12">
        <ns0:f>IF(H42=0,0,IF('前提と出典'!$B$33=1,MIN(F42,10)*300+MIN(MAX(0,F42-10),20)*250+MAX(0,F42-30)*200,F42*300))</ns0:f>
        <ns0:v>10000</ns0:v>
      </ns0:c>
      <ns0:c r="N42" s="12">
        <ns0:f>IF(I42=0,0,IF(G42&lt;=INDEX('前提と出典'!B46:B48,'前提と出典'!$B$16+1),INDEX('前提と出典'!C46:C48,'前提と出典'!$B$16+1),IF(G42&lt;=INDEX('前提と出典'!D46:D48,'前提と出典'!$B$16+1),INDEX('前提と出典'!E46:E48,'前提と出典'!$B$16+1),IF(G42&lt;=INDEX('前提と出典'!F46:F48,'前提と出典'!$B$16+1),INDEX('前提と出典'!G46:G48,'前提と出典'!$B$16+1),INDEX('前提と出典'!I46:I48,'前提と出典'!$B$16+1)))))</ns0:f>
        <ns0:v>2500</ns0:v>
      </ns0:c>
      <ns0:c r="O42" s="12">
        <ns0:f>IF(I42=1,G42*'前提と出典'!$B$13,0)</ns0:f>
        <ns0:v>8200</ns0:v>
      </ns0:c>
      <ns0:c r="P42" s="12">
        <ns0:f>IF(J42=1,MIN('前提と出典'!$B$17,L42+N42),0)</ns0:f>
        <ns0:v>500</ns0:v>
      </ns0:c>
      <ns0:c r="Q42" s="12">
        <ns0:f>IF(J42=0,0,IF('前提と出典'!$B$19=0,P42*L42/(L42+N42),MIN(P42,L42)))</ns0:f>
        <ns0:v>307.6923076923077</ns0:v>
      </ns0:c>
      <ns0:c r="R42" s="4">
        <ns0:f>P42-Q42</ns0:f>
        <ns0:v>192.30769230769232</ns0:v>
      </ns0:c>
      <ns0:c r="S42" s="12">
        <ns0:f>IF(H42=1,'前提と出典'!$B$11+F42*'前提と出典'!$B$12,0)</ns0:f>
        <ns0:v>90</ns0:v>
      </ns0:c>
      <ns0:c r="T42" s="12">
        <ns0:f>IF(H42=1,('前提と出典'!$B$9+F42*'前提と出典'!$B$10)/60*'前提と出典'!$B$8,0)</ns0:f>
        <ns0:v>800</ns0:v>
      </ns0:c>
      <ns0:c r="U42" s="12">
        <ns0:f>IF(I42=1,INDEX('前提と出典'!B80:B83,'前提と出典'!$B$18+1)+G42*INDEX('前提と出典'!C80:C83,'前提と出典'!$B$18+1),0)</ns0:f>
        <ns0:v>860.6120036435944</ns0:v>
      </ns0:c>
      <ns0:c r="V42" s="12">
        <ns0:f>IF(I42=1,INDEX('前提と出典'!D80:D83,'前提と出典'!$B$18+1)+G42*INDEX('前提と出典'!E80:E83,'前提と出典'!$B$18+1),0)</ns0:f>
        <ns0:v>806.6666666666667</ns0:v>
      </ns0:c>
      <ns0:c r="W42" s="4">
        <ns0:f>L42-Q42</ns0:f>
        <ns0:v>3692.3076923076924</ns0:v>
      </ns0:c>
      <ns0:c r="X42" s="4">
        <ns0:f>N42-R42</ns0:f>
        <ns0:v>2307.6923076923076</ns0:v>
      </ns0:c>
    </ns0:row>
    <ns0:row r="43" ht="24" customHeight="1">
      <ns0:c r="A43" s="4" t="n">
        <ns0:v>2</ns0:v>
      </ns0:c>
      <ns0:c r="B43" s="4" t="n">
        <ns0:v>5</ns0:v>
      </ns0:c>
      <ns0:c r="C43" s="4" t="n">
        <ns0:v>0</ns0:v>
      </ns0:c>
      <ns0:c r="D43" s="12">
        <ns0:f>'前提と出典'!E57*'前提と出典'!$B$21</ns0:f>
        <ns0:v>0.027999999999999997</ns0:v>
      </ns0:c>
      <ns0:c r="E43" s="12">
        <ns0:f>ROUNDUP('前提と出典'!B57*'前提と出典'!$B$22,0)</ns0:f>
        <ns0:v>300</ns0:v>
      </ns0:c>
      <ns0:c r="F43" s="12">
        <ns0:f>'前提と出典'!A57</ns0:f>
        <ns0:v>70</ns0:v>
      </ns0:c>
      <ns0:c r="G43" s="12">
        <ns0:f>MAX(1,ROUNDUP(E43*'前提と出典'!$B$24*'前提と出典'!E12,0))</ns0:f>
        <ns0:v>45</ns0:v>
      </ns0:c>
      <ns0:c r="H43" s="4">
        <ns0:f>IF(AND(F43&gt;=1,F43&lt;=100),1,0)</ns0:f>
        <ns0:v>1</ns0:v>
      </ns0:c>
      <ns0:c r="I43" s="4">
        <ns0:f>IF(G43&lt;=50,1,0)</ns0:f>
        <ns0:v>1</ns0:v>
      </ns0:c>
      <ns0:c r="J43" s="4">
        <ns0:f>H43*I43</ns0:f>
        <ns0:v>1</ns0:v>
      </ns0:c>
      <ns0:c r="K43" s="12">
        <ns0:f>IF(A43='前提と出典'!$B$14,D43,0)</ns0:f>
        <ns0:v>0</ns0:v>
      </ns0:c>
      <ns0:c r="L43" s="12">
        <ns0:f>IF(H43=0,0,IF(F43&lt;=INDEX('前提と出典'!B41:B43,'前提と出典'!$B$15+1),INDEX('前提と出典'!C41:C43,'前提と出典'!$B$15+1),IF(F43&lt;=INDEX('前提と出典'!D41:D43,'前提と出典'!$B$15+1),INDEX('前提と出典'!E41:E43,'前提と出典'!$B$15+1),INDEX('前提と出典'!G41:G43,'前提と出典'!$B$15+1))))</ns0:f>
        <ns0:v>4000</ns0:v>
      </ns0:c>
      <ns0:c r="M43" s="12">
        <ns0:f>IF(H43=0,0,IF('前提と出典'!$B$33=1,MIN(F43,10)*300+MIN(MAX(0,F43-10),20)*250+MAX(0,F43-30)*200,F43*300))</ns0:f>
        <ns0:v>16000</ns0:v>
      </ns0:c>
      <ns0:c r="N43" s="12">
        <ns0:f>IF(I43=0,0,IF(G43&lt;=INDEX('前提と出典'!B46:B48,'前提と出典'!$B$16+1),INDEX('前提と出典'!C46:C48,'前提と出典'!$B$16+1),IF(G43&lt;=INDEX('前提と出典'!D46:D48,'前提と出典'!$B$16+1),INDEX('前提と出典'!E46:E48,'前提と出典'!$B$16+1),IF(G43&lt;=INDEX('前提と出典'!F46:F48,'前提と出典'!$B$16+1),INDEX('前提と出典'!G46:G48,'前提と出典'!$B$16+1),INDEX('前提と出典'!I46:I48,'前提と出典'!$B$16+1)))))</ns0:f>
        <ns0:v>2500</ns0:v>
      </ns0:c>
      <ns0:c r="O43" s="12">
        <ns0:f>IF(I43=1,G43*'前提と出典'!$B$13,0)</ns0:f>
        <ns0:v>9000</ns0:v>
      </ns0:c>
      <ns0:c r="P43" s="12">
        <ns0:f>IF(J43=1,MIN('前提と出典'!$B$17,L43+N43),0)</ns0:f>
        <ns0:v>500</ns0:v>
      </ns0:c>
      <ns0:c r="Q43" s="12">
        <ns0:f>IF(J43=0,0,IF('前提と出典'!$B$19=0,P43*L43/(L43+N43),MIN(P43,L43)))</ns0:f>
        <ns0:v>307.6923076923077</ns0:v>
      </ns0:c>
      <ns0:c r="R43" s="4">
        <ns0:f>P43-Q43</ns0:f>
        <ns0:v>192.30769230769232</ns0:v>
      </ns0:c>
      <ns0:c r="S43" s="12">
        <ns0:f>IF(H43=1,'前提と出典'!$B$11+F43*'前提と出典'!$B$12,0)</ns0:f>
        <ns0:v>120</ns0:v>
      </ns0:c>
      <ns0:c r="T43" s="12">
        <ns0:f>IF(H43=1,('前提と出典'!$B$9+F43*'前提と出典'!$B$10)/60*'前提と出典'!$B$8,0)</ns0:f>
        <ns0:v>1000</ns0:v>
      </ns0:c>
      <ns0:c r="U43" s="12">
        <ns0:f>IF(I43=1,INDEX('前提と出典'!B80:B83,'前提と出典'!$B$18+1)+G43*INDEX('前提と出典'!C80:C83,'前提と出典'!$B$18+1),0)</ns0:f>
        <ns0:v>939.6961015600427</ns0:v>
      </ns0:c>
      <ns0:c r="V43" s="12">
        <ns0:f>IF(I43=1,INDEX('前提と出典'!D80:D83,'前提と出典'!$B$18+1)+G43*INDEX('前提と出典'!E80:E83,'前提と出典'!$B$18+1),0)</ns0:f>
        <ns0:v>833.3333333333334</ns0:v>
      </ns0:c>
      <ns0:c r="W43" s="4">
        <ns0:f>L43-Q43</ns0:f>
        <ns0:v>3692.3076923076924</ns0:v>
      </ns0:c>
      <ns0:c r="X43" s="4">
        <ns0:f>N43-R43</ns0:f>
        <ns0:v>2307.6923076923076</ns0:v>
      </ns0:c>
    </ns0:row>
    <ns0:row r="44" ht="24" customHeight="1">
      <ns0:c r="A44" s="4" t="n">
        <ns0:v>2</ns0:v>
      </ns0:c>
      <ns0:c r="B44" s="4" t="n">
        <ns0:v>5</ns0:v>
      </ns0:c>
      <ns0:c r="C44" s="4" t="n">
        <ns0:v>1</ns0:v>
      </ns0:c>
      <ns0:c r="D44" s="12">
        <ns0:f>'前提と出典'!E57*(1-'前提と出典'!$B$21)</ns0:f>
        <ns0:v>0.012000000000000002</ns0:v>
      </ns0:c>
      <ns0:c r="E44" s="12">
        <ns0:f>ROUNDUP('前提と出典'!B57*'前提と出典'!$B$23,0)</ns0:f>
        <ns0:v>150</ns0:v>
      </ns0:c>
      <ns0:c r="F44" s="12">
        <ns0:f>'前提と出典'!A57</ns0:f>
        <ns0:v>70</ns0:v>
      </ns0:c>
      <ns0:c r="G44" s="12">
        <ns0:f>MAX(1,ROUNDUP(E44*'前提と出典'!$B$25*'前提と出典'!E12,0))</ns0:f>
        <ns0:v>68</ns0:v>
      </ns0:c>
      <ns0:c r="H44" s="4">
        <ns0:f>IF(AND(F44&gt;=1,F44&lt;=100),1,0)</ns0:f>
        <ns0:v>1</ns0:v>
      </ns0:c>
      <ns0:c r="I44" s="4">
        <ns0:f>IF(G44&lt;=50,1,0)</ns0:f>
        <ns0:v>0</ns0:v>
      </ns0:c>
      <ns0:c r="J44" s="4">
        <ns0:f>H44*I44</ns0:f>
        <ns0:v>0</ns0:v>
      </ns0:c>
      <ns0:c r="K44" s="12">
        <ns0:f>IF(A44='前提と出典'!$B$14,D44,0)</ns0:f>
        <ns0:v>0</ns0:v>
      </ns0:c>
      <ns0:c r="L44" s="12">
        <ns0:f>IF(H44=0,0,IF(F44&lt;=INDEX('前提と出典'!B41:B43,'前提と出典'!$B$15+1),INDEX('前提と出典'!C41:C43,'前提と出典'!$B$15+1),IF(F44&lt;=INDEX('前提と出典'!D41:D43,'前提と出典'!$B$15+1),INDEX('前提と出典'!E41:E43,'前提と出典'!$B$15+1),INDEX('前提と出典'!G41:G43,'前提と出典'!$B$15+1))))</ns0:f>
        <ns0:v>4000</ns0:v>
      </ns0:c>
      <ns0:c r="M44" s="12">
        <ns0:f>IF(H44=0,0,IF('前提と出典'!$B$33=1,MIN(F44,10)*300+MIN(MAX(0,F44-10),20)*250+MAX(0,F44-30)*200,F44*300))</ns0:f>
        <ns0:v>16000</ns0:v>
      </ns0:c>
      <ns0:c r="N44" s="12">
        <ns0:f>IF(I44=0,0,IF(G44&lt;=INDEX('前提と出典'!B46:B48,'前提と出典'!$B$16+1),INDEX('前提と出典'!C46:C48,'前提と出典'!$B$16+1),IF(G44&lt;=INDEX('前提と出典'!D46:D48,'前提と出典'!$B$16+1),INDEX('前提と出典'!E46:E48,'前提と出典'!$B$16+1),IF(G44&lt;=INDEX('前提と出典'!F46:F48,'前提と出典'!$B$16+1),INDEX('前提と出典'!G46:G48,'前提と出典'!$B$16+1),INDEX('前提と出典'!I46:I48,'前提と出典'!$B$16+1)))))</ns0:f>
        <ns0:v>0</ns0:v>
      </ns0:c>
      <ns0:c r="O44" s="12">
        <ns0:f>IF(I44=1,G44*'前提と出典'!$B$13,0)</ns0:f>
        <ns0:v>0</ns0:v>
      </ns0:c>
      <ns0:c r="P44" s="12">
        <ns0:f>IF(J44=1,MIN('前提と出典'!$B$17,L44+N44),0)</ns0:f>
        <ns0:v>0</ns0:v>
      </ns0:c>
      <ns0:c r="Q44" s="12">
        <ns0:f>IF(J44=0,0,IF('前提と出典'!$B$19=0,P44*L44/(L44+N44),MIN(P44,L44)))</ns0:f>
        <ns0:v>0</ns0:v>
      </ns0:c>
      <ns0:c r="R44" s="4">
        <ns0:f>P44-Q44</ns0:f>
        <ns0:v>0</ns0:v>
      </ns0:c>
      <ns0:c r="S44" s="12">
        <ns0:f>IF(H44=1,'前提と出典'!$B$11+F44*'前提と出典'!$B$12,0)</ns0:f>
        <ns0:v>120</ns0:v>
      </ns0:c>
      <ns0:c r="T44" s="12">
        <ns0:f>IF(H44=1,('前提と出典'!$B$9+F44*'前提と出典'!$B$10)/60*'前提と出典'!$B$8,0)</ns0:f>
        <ns0:v>1000</ns0:v>
      </ns0:c>
      <ns0:c r="U44" s="12">
        <ns0:f>IF(I44=1,INDEX('前提と出典'!B80:B83,'前提と出典'!$B$18+1)+G44*INDEX('前提と出典'!C80:C83,'前提と出典'!$B$18+1),0)</ns0:f>
        <ns0:v>0</ns0:v>
      </ns0:c>
      <ns0:c r="V44" s="12">
        <ns0:f>IF(I44=1,INDEX('前提と出典'!D80:D83,'前提と出典'!$B$18+1)+G44*INDEX('前提と出典'!E80:E83,'前提と出典'!$B$18+1),0)</ns0:f>
        <ns0:v>0</ns0:v>
      </ns0:c>
      <ns0:c r="W44" s="4">
        <ns0:f>L44-Q44</ns0:f>
        <ns0:v>4000</ns0:v>
      </ns0:c>
      <ns0:c r="X44" s="4">
        <ns0:f>N44-R44</ns0:f>
        <ns0:v>0</ns0:v>
      </ns0:c>
    </ns0:row>
    <ns0:row r="45" ht="24" customHeight="1">
      <ns0:c r="A45" s="4" t="n">
        <ns0:v>2</ns0:v>
      </ns0:c>
      <ns0:c r="B45" s="4" t="n">
        <ns0:v>6</ns0:v>
      </ns0:c>
      <ns0:c r="C45" s="4" t="n">
        <ns0:v>0</ns0:v>
      </ns0:c>
      <ns0:c r="D45" s="12">
        <ns0:f>'前提と出典'!E58*'前提と出典'!$B$21</ns0:f>
        <ns0:v>0.013999999999999999</ns0:v>
      </ns0:c>
      <ns0:c r="E45" s="12">
        <ns0:f>ROUNDUP('前提と出典'!B58*'前提と出典'!$B$22,0)</ns0:f>
        <ns0:v>600</ns0:v>
      </ns0:c>
      <ns0:c r="F45" s="12">
        <ns0:f>'前提と出典'!A58</ns0:f>
        <ns0:v>130</ns0:v>
      </ns0:c>
      <ns0:c r="G45" s="12">
        <ns0:f>MAX(1,ROUNDUP(E45*'前提と出典'!$B$24*'前提と出典'!E12,0))</ns0:f>
        <ns0:v>90</ns0:v>
      </ns0:c>
      <ns0:c r="H45" s="4">
        <ns0:f>IF(AND(F45&gt;=1,F45&lt;=100),1,0)</ns0:f>
        <ns0:v>0</ns0:v>
      </ns0:c>
      <ns0:c r="I45" s="4">
        <ns0:f>IF(G45&lt;=50,1,0)</ns0:f>
        <ns0:v>0</ns0:v>
      </ns0:c>
      <ns0:c r="J45" s="4">
        <ns0:f>H45*I45</ns0:f>
        <ns0:v>0</ns0:v>
      </ns0:c>
      <ns0:c r="K45" s="12">
        <ns0:f>IF(A45='前提と出典'!$B$14,D45,0)</ns0:f>
        <ns0:v>0</ns0:v>
      </ns0:c>
      <ns0:c r="L45" s="12">
        <ns0:f>IF(H45=0,0,IF(F45&lt;=INDEX('前提と出典'!B41:B43,'前提と出典'!$B$15+1),INDEX('前提と出典'!C41:C43,'前提と出典'!$B$15+1),IF(F45&lt;=INDEX('前提と出典'!D41:D43,'前提と出典'!$B$15+1),INDEX('前提と出典'!E41:E43,'前提と出典'!$B$15+1),INDEX('前提と出典'!G41:G43,'前提と出典'!$B$15+1))))</ns0:f>
        <ns0:v>0</ns0:v>
      </ns0:c>
      <ns0:c r="M45" s="12">
        <ns0:f>IF(H45=0,0,IF('前提と出典'!$B$33=1,MIN(F45,10)*300+MIN(MAX(0,F45-10),20)*250+MAX(0,F45-30)*200,F45*300))</ns0:f>
        <ns0:v>0</ns0:v>
      </ns0:c>
      <ns0:c r="N45" s="12">
        <ns0:f>IF(I45=0,0,IF(G45&lt;=INDEX('前提と出典'!B46:B48,'前提と出典'!$B$16+1),INDEX('前提と出典'!C46:C48,'前提と出典'!$B$16+1),IF(G45&lt;=INDEX('前提と出典'!D46:D48,'前提と出典'!$B$16+1),INDEX('前提と出典'!E46:E48,'前提と出典'!$B$16+1),IF(G45&lt;=INDEX('前提と出典'!F46:F48,'前提と出典'!$B$16+1),INDEX('前提と出典'!G46:G48,'前提と出典'!$B$16+1),INDEX('前提と出典'!I46:I48,'前提と出典'!$B$16+1)))))</ns0:f>
        <ns0:v>0</ns0:v>
      </ns0:c>
      <ns0:c r="O45" s="12">
        <ns0:f>IF(I45=1,G45*'前提と出典'!$B$13,0)</ns0:f>
        <ns0:v>0</ns0:v>
      </ns0:c>
      <ns0:c r="P45" s="12">
        <ns0:f>IF(J45=1,MIN('前提と出典'!$B$17,L45+N45),0)</ns0:f>
        <ns0:v>0</ns0:v>
      </ns0:c>
      <ns0:c r="Q45" s="12">
        <ns0:f>IF(J45=0,0,IF('前提と出典'!$B$19=0,P45*L45/(L45+N45),MIN(P45,L45)))</ns0:f>
        <ns0:v>0</ns0:v>
      </ns0:c>
      <ns0:c r="R45" s="4">
        <ns0:f>P45-Q45</ns0:f>
        <ns0:v>0</ns0:v>
      </ns0:c>
      <ns0:c r="S45" s="12">
        <ns0:f>IF(H45=1,'前提と出典'!$B$11+F45*'前提と出典'!$B$12,0)</ns0:f>
        <ns0:v>0</ns0:v>
      </ns0:c>
      <ns0:c r="T45" s="12">
        <ns0:f>IF(H45=1,('前提と出典'!$B$9+F45*'前提と出典'!$B$10)/60*'前提と出典'!$B$8,0)</ns0:f>
        <ns0:v>0</ns0:v>
      </ns0:c>
      <ns0:c r="U45" s="12">
        <ns0:f>IF(I45=1,INDEX('前提と出典'!B80:B83,'前提と出典'!$B$18+1)+G45*INDEX('前提と出典'!C80:C83,'前提と出典'!$B$18+1),0)</ns0:f>
        <ns0:v>0</ns0:v>
      </ns0:c>
      <ns0:c r="V45" s="12">
        <ns0:f>IF(I45=1,INDEX('前提と出典'!D80:D83,'前提と出典'!$B$18+1)+G45*INDEX('前提と出典'!E80:E83,'前提と出典'!$B$18+1),0)</ns0:f>
        <ns0:v>0</ns0:v>
      </ns0:c>
      <ns0:c r="W45" s="4">
        <ns0:f>L45-Q45</ns0:f>
        <ns0:v>0</ns0:v>
      </ns0:c>
      <ns0:c r="X45" s="4">
        <ns0:f>N45-R45</ns0:f>
        <ns0:v>0</ns0:v>
      </ns0:c>
    </ns0:row>
    <ns0:row r="46" ht="24" customHeight="1">
      <ns0:c r="A46" s="4" t="n">
        <ns0:v>2</ns0:v>
      </ns0:c>
      <ns0:c r="B46" s="4" t="n">
        <ns0:v>6</ns0:v>
      </ns0:c>
      <ns0:c r="C46" s="4" t="n">
        <ns0:v>1</ns0:v>
      </ns0:c>
      <ns0:c r="D46" s="12">
        <ns0:f>'前提と出典'!E58*(1-'前提と出典'!$B$21)</ns0:f>
        <ns0:v>0.006000000000000001</ns0:v>
      </ns0:c>
      <ns0:c r="E46" s="12">
        <ns0:f>ROUNDUP('前提と出典'!B58*'前提と出典'!$B$23,0)</ns0:f>
        <ns0:v>300</ns0:v>
      </ns0:c>
      <ns0:c r="F46" s="12">
        <ns0:f>'前提と出典'!A58</ns0:f>
        <ns0:v>130</ns0:v>
      </ns0:c>
      <ns0:c r="G46" s="12">
        <ns0:f>MAX(1,ROUNDUP(E46*'前提と出典'!$B$25*'前提と出典'!E12,0))</ns0:f>
        <ns0:v>135</ns0:v>
      </ns0:c>
      <ns0:c r="H46" s="4">
        <ns0:f>IF(AND(F46&gt;=1,F46&lt;=100),1,0)</ns0:f>
        <ns0:v>0</ns0:v>
      </ns0:c>
      <ns0:c r="I46" s="4">
        <ns0:f>IF(G46&lt;=50,1,0)</ns0:f>
        <ns0:v>0</ns0:v>
      </ns0:c>
      <ns0:c r="J46" s="4">
        <ns0:f>H46*I46</ns0:f>
        <ns0:v>0</ns0:v>
      </ns0:c>
      <ns0:c r="K46" s="12">
        <ns0:f>IF(A46='前提と出典'!$B$14,D46,0)</ns0:f>
        <ns0:v>0</ns0:v>
      </ns0:c>
      <ns0:c r="L46" s="12">
        <ns0:f>IF(H46=0,0,IF(F46&lt;=INDEX('前提と出典'!B41:B43,'前提と出典'!$B$15+1),INDEX('前提と出典'!C41:C43,'前提と出典'!$B$15+1),IF(F46&lt;=INDEX('前提と出典'!D41:D43,'前提と出典'!$B$15+1),INDEX('前提と出典'!E41:E43,'前提と出典'!$B$15+1),INDEX('前提と出典'!G41:G43,'前提と出典'!$B$15+1))))</ns0:f>
        <ns0:v>0</ns0:v>
      </ns0:c>
      <ns0:c r="M46" s="12">
        <ns0:f>IF(H46=0,0,IF('前提と出典'!$B$33=1,MIN(F46,10)*300+MIN(MAX(0,F46-10),20)*250+MAX(0,F46-30)*200,F46*300))</ns0:f>
        <ns0:v>0</ns0:v>
      </ns0:c>
      <ns0:c r="N46" s="12">
        <ns0:f>IF(I46=0,0,IF(G46&lt;=INDEX('前提と出典'!B46:B48,'前提と出典'!$B$16+1),INDEX('前提と出典'!C46:C48,'前提と出典'!$B$16+1),IF(G46&lt;=INDEX('前提と出典'!D46:D48,'前提と出典'!$B$16+1),INDEX('前提と出典'!E46:E48,'前提と出典'!$B$16+1),IF(G46&lt;=INDEX('前提と出典'!F46:F48,'前提と出典'!$B$16+1),INDEX('前提と出典'!G46:G48,'前提と出典'!$B$16+1),INDEX('前提と出典'!I46:I48,'前提と出典'!$B$16+1)))))</ns0:f>
        <ns0:v>0</ns0:v>
      </ns0:c>
      <ns0:c r="O46" s="12">
        <ns0:f>IF(I46=1,G46*'前提と出典'!$B$13,0)</ns0:f>
        <ns0:v>0</ns0:v>
      </ns0:c>
      <ns0:c r="P46" s="12">
        <ns0:f>IF(J46=1,MIN('前提と出典'!$B$17,L46+N46),0)</ns0:f>
        <ns0:v>0</ns0:v>
      </ns0:c>
      <ns0:c r="Q46" s="12">
        <ns0:f>IF(J46=0,0,IF('前提と出典'!$B$19=0,P46*L46/(L46+N46),MIN(P46,L46)))</ns0:f>
        <ns0:v>0</ns0:v>
      </ns0:c>
      <ns0:c r="R46" s="4">
        <ns0:f>P46-Q46</ns0:f>
        <ns0:v>0</ns0:v>
      </ns0:c>
      <ns0:c r="S46" s="12">
        <ns0:f>IF(H46=1,'前提と出典'!$B$11+F46*'前提と出典'!$B$12,0)</ns0:f>
        <ns0:v>0</ns0:v>
      </ns0:c>
      <ns0:c r="T46" s="12">
        <ns0:f>IF(H46=1,('前提と出典'!$B$9+F46*'前提と出典'!$B$10)/60*'前提と出典'!$B$8,0)</ns0:f>
        <ns0:v>0</ns0:v>
      </ns0:c>
      <ns0:c r="U46" s="12">
        <ns0:f>IF(I46=1,INDEX('前提と出典'!B80:B83,'前提と出典'!$B$18+1)+G46*INDEX('前提と出典'!C80:C83,'前提と出典'!$B$18+1),0)</ns0:f>
        <ns0:v>0</ns0:v>
      </ns0:c>
      <ns0:c r="V46" s="12">
        <ns0:f>IF(I46=1,INDEX('前提と出典'!D80:D83,'前提と出典'!$B$18+1)+G46*INDEX('前提と出典'!E80:E83,'前提と出典'!$B$18+1),0)</ns0:f>
        <ns0:v>0</ns0:v>
      </ns0:c>
      <ns0:c r="W46" s="4">
        <ns0:f>L46-Q46</ns0:f>
        <ns0:v>0</ns0:v>
      </ns0:c>
      <ns0:c r="X46" s="4">
        <ns0:f>N46-R46</ns0:f>
        <ns0:v>0</ns0:v>
      </ns0:c>
    </ns0:row>
  </ns0:sheetData>
  <ns0:mergeCells count="2">
    <ns0:mergeCell ref="A1:I1"/>
    <ns0:mergeCell ref="A2:I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Q7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</ns0:cols>
  <ns0:sheetData>
    <ns0:row r="1" ht="32" customHeight="1">
      <ns0:c r="A1" s="1" t="inlineStr">
        <ns0:is>
          <ns0:t>契約形態別の加重平均（円/社月）</ns0:t>
        </ns0:is>
      </ns0:c>
    </ns0:row>
    <ns0:row r="2" ht="48" customHeight="1">
      <ns0:c r="A2" s="2" t="inlineStr">
        <ns0:is>
          <ns0:t>Guard101台以上・Send51名以上は要見積で除外。価格対象率を分離し、0円契約にしない。</ns0:t>
        </ns0:is>
      </ns0:c>
    </ns0:row>
    <ns0:row r="3" ht="24" customHeight="1"/>
    <ns0:row r="4" ht="42" customHeight="1">
      <ns0:c r="A4" s="5" t="inlineStr">
        <ns0:is>
          <ns0:t>契約</ns0:t>
        </ns0:is>
      </ns0:c>
      <ns0:c r="B4" s="5" t="inlineStr">
        <ns0:is>
          <ns0:t>価格対象率</ns0:t>
        </ns0:is>
      </ns0:c>
      <ns0:c r="C4" s="5" t="inlineStr">
        <ns0:is>
          <ns0:t>平均PC</ns0:t>
        </ns0:is>
      </ns0:c>
      <ns0:c r="D4" s="5" t="inlineStr">
        <ns0:is>
          <ns0:t>平均送信者</ns0:t>
        </ns0:is>
      </ns0:c>
      <ns0:c r="E4" s="5" t="inlineStr">
        <ns0:is>
          <ns0:t>G基本net</ns0:t>
        </ns0:is>
      </ns0:c>
      <ns0:c r="F4" s="5" t="inlineStr">
        <ns0:is>
          <ns0:t>S基本net</ns0:t>
        </ns0:is>
      </ns0:c>
      <ns0:c r="G4" s="5" t="inlineStr">
        <ns0:is>
          <ns0:t>G従量</ns0:t>
        </ns0:is>
      </ns0:c>
      <ns0:c r="H4" s="5" t="inlineStr">
        <ns0:is>
          <ns0:t>S従量</ns0:t>
        </ns0:is>
      </ns0:c>
      <ns0:c r="I4" s="5" t="inlineStr">
        <ns0:is>
          <ns0:t>G変動infra</ns0:t>
        </ns0:is>
      </ns0:c>
      <ns0:c r="J4" s="5" t="inlineStr">
        <ns0:is>
          <ns0:t>S変動infra</ns0:t>
        </ns0:is>
      </ns0:c>
      <ns0:c r="K4" s="5" t="inlineStr">
        <ns0:is>
          <ns0:t>Gsupport</ns0:t>
        </ns0:is>
      </ns0:c>
      <ns0:c r="L4" s="5" t="inlineStr">
        <ns0:is>
          <ns0:t>Ssupport</ns0:t>
        </ns0:is>
      </ns0:c>
      <ns0:c r="M4" s="5" t="inlineStr">
        <ns0:is>
          <ns0:t>G割引</ns0:t>
        </ns0:is>
      </ns0:c>
      <ns0:c r="N4" s="5" t="inlineStr">
        <ns0:is>
          <ns0:t>S割引</ns0:t>
        </ns0:is>
      </ns0:c>
      <ns0:c r="O4" s="5" t="inlineStr">
        <ns0:is>
          <ns0:t>G売上</ns0:t>
        </ns0:is>
      </ns0:c>
      <ns0:c r="P4" s="5" t="inlineStr">
        <ns0:is>
          <ns0:t>S売上</ns0:t>
        </ns0:is>
      </ns0:c>
      <ns0:c r="Q4" s="5" t="inlineStr">
        <ns0:is>
          <ns0:t>総売上</ns0:t>
        </ns0:is>
      </ns0:c>
    </ns0:row>
    <ns0:row r="5" ht="24" customHeight="1">
      <ns0:c r="A5" s="3" t="inlineStr">
        <ns0:is>
          <ns0:t>Guardのみ</ns0:t>
        </ns0:is>
      </ns0:c>
      <ns0:c r="B5" s="13">
        <ns0:f>SUMPRODUCT('同一企業モデル'!K5:K46,'同一企業モデル'!H5:H46)</ns0:f>
        <ns0:v>0.8950000000000001</ns0:v>
      </ns0:c>
      <ns0:c r="C5" s="14">
        <ns0:f>SUMPRODUCT('同一企業モデル'!K5:K46,'同一企業モデル'!H5:H46,'同一企業モデル'!F5:F46)/B5</ns0:f>
        <ns0:v>10.279329608938546</ns0:v>
      </ns0:c>
      <ns0:c r="D5" s="15" t="n">
        <ns0:v>0</ns0:v>
      </ns0:c>
      <ns0:c r="E5" s="16">
        <ns0:f>SUMPRODUCT('同一企業モデル'!K5:K46,'同一企業モデル'!H5:H46,'同一企業モデル'!L5:L46)/B5</ns0:f>
        <ns0:v>2910.6145251396642</ns0:v>
      </ns0:c>
      <ns0:c r="F5" s="7" t="n">
        <ns0:v>0</ns0:v>
      </ns0:c>
      <ns0:c r="G5" s="16">
        <ns0:f>SUMPRODUCT('同一企業モデル'!K5:K46,'同一企業モデル'!H5:H46,'同一企業モデル'!M5:M46)/B5</ns0:f>
        <ns0:v>2843.575418994413</ns0:v>
      </ns0:c>
      <ns0:c r="H5" s="7" t="n">
        <ns0:v>0</ns0:v>
      </ns0:c>
      <ns0:c r="I5" s="16">
        <ns0:f>SUMPRODUCT('同一企業モデル'!K5:K46,'同一企業モデル'!H5:H46,'同一企業モデル'!S5:S46)/B5</ns0:f>
        <ns0:v>60.27932960893854</ns0:v>
      </ns0:c>
      <ns0:c r="J5" s="7" t="n">
        <ns0:v>0</ns0:v>
      </ns0:c>
      <ns0:c r="K5" s="16">
        <ns0:f>SUMPRODUCT('同一企業モデル'!K5:K46,'同一企業モデル'!H5:H46,'同一企業モデル'!T5:T46)/B5</ns0:f>
        <ns0:v>601.8621973929236</ns0:v>
      </ns0:c>
      <ns0:c r="L5" s="7" t="n">
        <ns0:v>0</ns0:v>
      </ns0:c>
      <ns0:c r="M5" s="7" t="n">
        <ns0:v>0</ns0:v>
      </ns0:c>
      <ns0:c r="N5" s="7" t="n">
        <ns0:v>0</ns0:v>
      </ns0:c>
      <ns0:c r="O5" s="7">
        <ns0:f>E5+G5</ns0:f>
        <ns0:v>5754.189944134077</ns0:v>
      </ns0:c>
      <ns0:c r="P5" s="7">
        <ns0:f>F5+H5</ns0:f>
        <ns0:v>0</ns0:v>
      </ns0:c>
      <ns0:c r="Q5" s="7">
        <ns0:f>O5+P5</ns0:f>
        <ns0:v>5754.189944134077</ns0:v>
      </ns0:c>
    </ns0:row>
    <ns0:row r="6" ht="24" customHeight="1">
      <ns0:c r="A6" s="3" t="inlineStr">
        <ns0:is>
          <ns0:t>Sendのみ</ns0:t>
        </ns0:is>
      </ns0:c>
      <ns0:c r="B6" s="13">
        <ns0:f>SUMPRODUCT('同一企業モデル'!K5:K46,'同一企業モデル'!I5:I46)</ns0:f>
        <ns0:v>0.995</ns0:v>
      </ns0:c>
      <ns0:c r="C6" s="15" t="n">
        <ns0:v>0</ns0:v>
      </ns0:c>
      <ns0:c r="D6" s="14">
        <ns0:f>SUMPRODUCT('同一企業モデル'!K5:K46,'同一企業モデル'!I5:I46,'同一企業モデル'!G5:G46)/B6</ns0:f>
        <ns0:v>5.505025125628141</ns0:v>
      </ns0:c>
      <ns0:c r="E6" s="7" t="n">
        <ns0:v>0</ns0:v>
      </ns0:c>
      <ns0:c r="F6" s="16">
        <ns0:f>SUMPRODUCT('同一企業モデル'!K5:K46,'同一企業モデル'!I5:I46,'同一企業モデル'!N5:N46)/B6</ns0:f>
        <ns0:v>1337.1859296482414</ns0:v>
      </ns0:c>
      <ns0:c r="G6" s="7" t="n">
        <ns0:v>0</ns0:v>
      </ns0:c>
      <ns0:c r="H6" s="16">
        <ns0:f>SUMPRODUCT('同一企業モデル'!K5:K46,'同一企業モデル'!I5:I46,'同一企業モデル'!O5:O46)/B6</ns0:f>
        <ns0:v>1101.0050251256282</ns0:v>
      </ns0:c>
      <ns0:c r="I6" s="7" t="n">
        <ns0:v>0</ns0:v>
      </ns0:c>
      <ns0:c r="J6" s="16">
        <ns0:f>SUMPRODUCT('同一企業モデル'!K5:K46,'同一企業モデル'!I5:I46,'同一企業モデル'!U5:U46)/B6</ns0:f>
        <ns0:v>158.83998651692093</ns0:v>
      </ns0:c>
      <ns0:c r="K6" s="7" t="n">
        <ns0:v>0</ns0:v>
      </ns0:c>
      <ns0:c r="L6" s="16">
        <ns0:f>SUMPRODUCT('同一企業モデル'!K5:K46,'同一企業モデル'!I5:I46,'同一企業モデル'!V5:V46)/B6</ns0:f>
        <ns0:v>570.0335008375209</ns0:v>
      </ns0:c>
      <ns0:c r="M6" s="7" t="n">
        <ns0:v>0</ns0:v>
      </ns0:c>
      <ns0:c r="N6" s="7" t="n">
        <ns0:v>0</ns0:v>
      </ns0:c>
      <ns0:c r="O6" s="7">
        <ns0:f>E6+G6</ns0:f>
        <ns0:v>0</ns0:v>
      </ns0:c>
      <ns0:c r="P6" s="7">
        <ns0:f>F6+H6</ns0:f>
        <ns0:v>2438.1909547738696</ns0:v>
      </ns0:c>
      <ns0:c r="Q6" s="7">
        <ns0:f>O6+P6</ns0:f>
        <ns0:v>2438.1909547738696</ns0:v>
      </ns0:c>
    </ns0:row>
    <ns0:row r="7" ht="24" customHeight="1">
      <ns0:c r="A7" s="3" t="inlineStr">
        <ns0:is>
          <ns0:t>セット</ns0:t>
        </ns0:is>
      </ns0:c>
      <ns0:c r="B7" s="13">
        <ns0:f>SUMPRODUCT('同一企業モデル'!K5:K46,'同一企業モデル'!J5:J46)</ns0:f>
        <ns0:v>0.8950000000000001</ns0:v>
      </ns0:c>
      <ns0:c r="C7" s="14">
        <ns0:f>SUMPRODUCT('同一企業モデル'!K5:K46,'同一企業モデル'!J5:J46,'同一企業モデル'!F5:F46)/B7</ns0:f>
        <ns0:v>10.279329608938546</ns0:v>
      </ns0:c>
      <ns0:c r="D7" s="14">
        <ns0:f>SUMPRODUCT('同一企業モデル'!K5:K46,'同一企業モデル'!J5:J46,'同一企業モデル'!G5:G46)/B7</ns0:f>
        <ns0:v>6.0083798882681565</ns0:v>
      </ns0:c>
      <ns0:c r="E7" s="16">
        <ns0:f>SUMPRODUCT('同一企業モデル'!K5:K46,'同一企業モデル'!J5:J46,'同一企業モデル'!W5:W46)/B7</ns0:f>
        <ns0:v>2568.9961555883337</ns0:v>
      </ns0:c>
      <ns0:c r="F7" s="16">
        <ns0:f>SUMPRODUCT('同一企業モデル'!K5:K46,'同一企業モデル'!J5:J46,'同一企業モデル'!X5:X46)/B7</ns0:f>
        <ns0:v>1194.1323360317772</ns0:v>
      </ns0:c>
      <ns0:c r="G7" s="16">
        <ns0:f>SUMPRODUCT('同一企業モデル'!K5:K46,'同一企業モデル'!J5:J46,'同一企業モデル'!M5:M46)/B7</ns0:f>
        <ns0:v>2843.575418994413</ns0:v>
      </ns0:c>
      <ns0:c r="H7" s="16">
        <ns0:f>SUMPRODUCT('同一企業モデル'!K5:K46,'同一企業モデル'!J5:J46,'同一企業モデル'!O5:O46)/B7</ns0:f>
        <ns0:v>1201.6759776536308</ns0:v>
      </ns0:c>
      <ns0:c r="I7" s="16">
        <ns0:f>SUMPRODUCT('同一企業モデル'!K5:K46,'同一企業モデル'!J5:J46,'同一企業モデル'!S5:S46)/B7</ns0:f>
        <ns0:v>60.27932960893854</ns0:v>
      </ns0:c>
      <ns0:c r="J7" s="16">
        <ns0:f>SUMPRODUCT('同一企業モデル'!K5:K46,'同一企業モデル'!J5:J46,'同一企業モデル'!U5:U46)/B7</ns0:f>
        <ns0:v>168.7918258507543</ns0:v>
      </ns0:c>
      <ns0:c r="K7" s="16">
        <ns0:f>SUMPRODUCT('同一企業モデル'!K5:K46,'同一企業モデル'!J5:J46,'同一企業モデル'!T5:T46)/B7</ns0:f>
        <ns0:v>601.8621973929236</ns0:v>
      </ns0:c>
      <ns0:c r="L7" s="16">
        <ns0:f>SUMPRODUCT('同一企業モデル'!K5:K46,'同一企業モデル'!J5:J46,'同一企業モデル'!V5:V46)/B7</ns0:f>
        <ns0:v>573.3891992551211</ns0:v>
      </ns0:c>
      <ns0:c r="M7" s="16">
        <ns0:f>SUMPRODUCT('同一企業モデル'!K5:K46,'同一企業モデル'!J5:J46,'同一企業モデル'!Q5:Q46)/B7</ns0:f>
        <ns0:v>341.6183695513304</ns0:v>
      </ns0:c>
      <ns0:c r="N7" s="16">
        <ns0:f>SUMPRODUCT('同一企業モデル'!K5:K46,'同一企業モデル'!J5:J46,'同一企業モデル'!R5:R46)/B7</ns0:f>
        <ns0:v>158.38163044866954</ns0:v>
      </ns0:c>
      <ns0:c r="O7" s="7">
        <ns0:f>E7+G7</ns0:f>
        <ns0:v>5412.571574582747</ns0:v>
      </ns0:c>
      <ns0:c r="P7" s="7">
        <ns0:f>F7+H7</ns0:f>
        <ns0:v>2395.808313685408</ns0:v>
      </ns0:c>
      <ns0:c r="Q7" s="7">
        <ns0:f>O7+P7</ns0:f>
        <ns0:v>7808.379888268156</ns0:v>
      </ns0:c>
    </ns0:row>
  </ns0:sheetData>
  <ns0:mergeCells count="2">
    <ns0:mergeCell ref="A1:I1"/>
    <ns0:mergeCell ref="A2:I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I1100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  <ns0:col width="19" customWidth="1" min="25" max="25"/>
    <ns0:col width="19" customWidth="1" min="26" max="26"/>
    <ns0:col width="19" customWidth="1" min="27" max="27"/>
    <ns0:col width="19" customWidth="1" min="28" max="28"/>
    <ns0:col width="19" customWidth="1" min="29" max="29"/>
    <ns0:col width="19" customWidth="1" min="30" max="30"/>
    <ns0:col width="19" customWidth="1" min="31" max="31"/>
    <ns0:col width="19" customWidth="1" min="32" max="32"/>
    <ns0:col width="19" customWidth="1" min="33" max="33"/>
    <ns0:col width="19" customWidth="1" min="34" max="34"/>
    <ns0:col width="19" customWidth="1" min="35" max="35"/>
  </ns0:cols>
  <ns0:sheetData>
    <ns0:row r="1" ht="32" customHeight="1">
      <ns0:c r="A1" s="1" t="inlineStr">
        <ns0:is>
          <ns0:t>契約企業数別・サービス別収支</ns0:t>
        </ns0:is>
      </ns0:c>
    </ns0:row>
    <ns0:row r="2" ht="48" customHeight="1">
      <ns0:c r="A2" s="2" t="inlineStr">
        <ns0:is>
          <ns0:t>混在比率は期待値。NG/NSはサービス別契約数、DNS最低額はGuard全体に一回。</ns0:t>
        </ns0:is>
      </ns0:c>
    </ns0:row>
    <ns0:row r="3" ht="24" customHeight="1"/>
    <ns0:row r="4" ht="42" customHeight="1">
      <ns0:c r="A4" s="5" t="inlineStr">
        <ns0:is>
          <ns0:t>企業数</ns0:t>
        </ns0:is>
      </ns0:c>
      <ns0:c r="B4" s="5" t="inlineStr">
        <ns0:is>
          <ns0:t>Guard社数</ns0:t>
        </ns0:is>
      </ns0:c>
      <ns0:c r="C4" s="5" t="inlineStr">
        <ns0:is>
          <ns0:t>Send社数</ns0:t>
        </ns0:is>
      </ns0:c>
      <ns0:c r="D4" s="5" t="inlineStr">
        <ns0:is>
          <ns0:t>総PC</ns0:t>
        </ns0:is>
      </ns0:c>
      <ns0:c r="E4" s="5" t="inlineStr">
        <ns0:is>
          <ns0:t>G基本net</ns0:t>
        </ns0:is>
      </ns0:c>
      <ns0:c r="F4" s="5" t="inlineStr">
        <ns0:is>
          <ns0:t>S基本net</ns0:t>
        </ns0:is>
      </ns0:c>
      <ns0:c r="G4" s="5" t="inlineStr">
        <ns0:is>
          <ns0:t>G従量</ns0:t>
        </ns0:is>
      </ns0:c>
      <ns0:c r="H4" s="5" t="inlineStr">
        <ns0:is>
          <ns0:t>S従量</ns0:t>
        </ns0:is>
      </ns0:c>
      <ns0:c r="I4" s="5" t="inlineStr">
        <ns0:is>
          <ns0:t>G変動infra</ns0:t>
        </ns0:is>
      </ns0:c>
      <ns0:c r="J4" s="5" t="inlineStr">
        <ns0:is>
          <ns0:t>S変動infra</ns0:t>
        </ns0:is>
      </ns0:c>
      <ns0:c r="K4" s="5" t="inlineStr">
        <ns0:is>
          <ns0:t>Gsupport</ns0:t>
        </ns0:is>
      </ns0:c>
      <ns0:c r="L4" s="5" t="inlineStr">
        <ns0:is>
          <ns0:t>Ssupport</ns0:t>
        </ns0:is>
      </ns0:c>
      <ns0:c r="M4" s="5" t="inlineStr">
        <ns0:is>
          <ns0:t>G固定</ns0:t>
        </ns0:is>
      </ns0:c>
      <ns0:c r="N4" s="5" t="inlineStr">
        <ns0:is>
          <ns0:t>S固定</ns0:t>
        </ns0:is>
      </ns0:c>
      <ns0:c r="O4" s="5" t="inlineStr">
        <ns0:is>
          <ns0:t>DNS原価</ns0:t>
        </ns0:is>
      </ns0:c>
      <ns0:c r="P4" s="5" t="inlineStr">
        <ns0:is>
          <ns0:t>G配分前</ns0:t>
        </ns0:is>
      </ns0:c>
      <ns0:c r="Q4" s="5" t="inlineStr">
        <ns0:is>
          <ns0:t>S配分前</ns0:t>
        </ns0:is>
      </ns0:c>
      <ns0:c r="R4" s="5" t="inlineStr">
        <ns0:is>
          <ns0:t>G・率1後</ns0:t>
        </ns0:is>
      </ns0:c>
      <ns0:c r="S4" s="5" t="inlineStr">
        <ns0:is>
          <ns0:t>S・率1後</ns0:t>
        </ns0:is>
      </ns0:c>
      <ns0:c r="T4" s="5" t="inlineStr">
        <ns0:is>
          <ns0:t>合計・率1後</ns0:t>
        </ns0:is>
      </ns0:c>
      <ns0:c r="U4" s="5" t="inlineStr">
        <ns0:is>
          <ns0:t>G・率2後</ns0:t>
        </ns0:is>
      </ns0:c>
      <ns0:c r="V4" s="5" t="inlineStr">
        <ns0:is>
          <ns0:t>S・率2後</ns0:t>
        </ns0:is>
      </ns0:c>
      <ns0:c r="W4" s="5" t="inlineStr">
        <ns0:is>
          <ns0:t>合計・率2後</ns0:t>
        </ns0:is>
      </ns0:c>
      <ns0:c r="X4" s="5" t="inlineStr">
        <ns0:is>
          <ns0:t>G・率3後</ns0:t>
        </ns0:is>
      </ns0:c>
      <ns0:c r="Y4" s="5" t="inlineStr">
        <ns0:is>
          <ns0:t>S・率3後</ns0:t>
        </ns0:is>
      </ns0:c>
      <ns0:c r="Z4" s="5" t="inlineStr">
        <ns0:is>
          <ns0:t>合計・率3後</ns0:t>
        </ns0:is>
      </ns0:c>
      <ns0:c r="AA4" s="5" t="inlineStr">
        <ns0:is>
          <ns0:t>初黒・率1</ns0:t>
        </ns0:is>
      </ns0:c>
      <ns0:c r="AB4" s="5" t="inlineStr">
        <ns0:is>
          <ns0:t>最終赤・率1</ns0:t>
        </ns0:is>
      </ns0:c>
      <ns0:c r="AC4" s="5" t="inlineStr">
        <ns0:is>
          <ns0:t>両黒・率1</ns0:t>
        </ns0:is>
      </ns0:c>
      <ns0:c r="AD4" s="5" t="inlineStr">
        <ns0:is>
          <ns0:t>初黒・率2</ns0:t>
        </ns0:is>
      </ns0:c>
      <ns0:c r="AE4" s="5" t="inlineStr">
        <ns0:is>
          <ns0:t>最終赤・率2</ns0:t>
        </ns0:is>
      </ns0:c>
      <ns0:c r="AF4" s="5" t="inlineStr">
        <ns0:is>
          <ns0:t>両黒・率2</ns0:t>
        </ns0:is>
      </ns0:c>
      <ns0:c r="AG4" s="5" t="inlineStr">
        <ns0:is>
          <ns0:t>初黒・率3</ns0:t>
        </ns0:is>
      </ns0:c>
      <ns0:c r="AH4" s="5" t="inlineStr">
        <ns0:is>
          <ns0:t>最終赤・率3</ns0:t>
        </ns0:is>
      </ns0:c>
      <ns0:c r="AI4" s="5" t="inlineStr">
        <ns0:is>
          <ns0:t>両黒・率3</ns0:t>
        </ns0:is>
      </ns0:c>
    </ns0:row>
    <ns0:row r="5" ht="24" customHeight="1">
      <ns0:c r="A5" s="4" t="n">
        <ns0:v>1</ns0:v>
      </ns0:c>
      <ns0:c r="B5" s="12">
        <ns0:f>A5*('前提と出典'!$C$36+'前提と出典'!$C$38)</ns0:f>
        <ns0:v>0.7</ns0:v>
      </ns0:c>
      <ns0:c r="C5" s="12">
        <ns0:f>A5*('前提と出典'!$C$37+'前提と出典'!$C$38)</ns0:f>
        <ns0:v>0.6</ns0:v>
      </ns0:c>
      <ns0:c r="D5" s="16">
        <ns0:f>A5*('前提と出典'!$C$36*'契約別単価'!C5+'前提と出典'!$C$37*'契約別単価'!C6+'前提と出典'!$C$38*'契約別単価'!C7)</ns0:f>
        <ns0:v>7.195530726256983</ns0:v>
      </ns0:c>
      <ns0:c r="E5" s="16">
        <ns0:f>A5*('前提と出典'!$C$36*'契約別単価'!E5+'前提と出典'!$C$37*'契約別単価'!E6+'前提と出典'!$C$38*'契約別単価'!E7)</ns0:f>
        <ns0:v>1934.944656732366</ns0:v>
      </ns0:c>
      <ns0:c r="F5" s="16">
        <ns0:f>A5*('前提と出典'!$C$36*'契約別単価'!F5+'前提と出典'!$C$37*'契約別単価'!F6+'前提と出典'!$C$38*'契約別単価'!F7)</ns0:f>
        <ns0:v>759.3954797040055</ns0:v>
      </ns0:c>
      <ns0:c r="G5" s="16">
        <ns0:f>A5*('前提と出典'!$C$36*'契約別単価'!G5+'前提と出典'!$C$37*'契約別単価'!G6+'前提と出典'!$C$38*'契約別単価'!G7)</ns0:f>
        <ns0:v>1990.5027932960893</ns0:v>
      </ns0:c>
      <ns0:c r="H5" s="16">
        <ns0:f>A5*('前提と出典'!$C$36*'契約別単価'!H5+'前提と出典'!$C$37*'契約別単価'!H6+'前提と出典'!$C$38*'契約別単価'!H7)</ns0:f>
        <ns0:v>690.8043008337777</ns0:v>
      </ns0:c>
      <ns0:c r="I5" s="16">
        <ns0:f>A5*('前提と出典'!$C$36*'契約別単価'!I5+'前提と出典'!$C$37*'契約別単価'!I6+'前提と出典'!$C$38*'契約別単価'!I7)</ns0:f>
        <ns0:v>42.195530726256976</ns0:v>
      </ns0:c>
      <ns0:c r="J5" s="16">
        <ns0:f>A5*('前提と出典'!$C$36*'契約別単価'!J5+'前提と出典'!$C$37*'契約別単価'!J6+'前提と出典'!$C$38*'契約別単価'!J7)</ns0:f>
        <ns0:v>98.28954371030257</ns0:v>
      </ns0:c>
      <ns0:c r="K5" s="16">
        <ns0:f>A5*('前提と出典'!$C$36*'契約別単価'!K5+'前提と出典'!$C$37*'契約別単価'!K6+'前提と出典'!$C$38*'契約別単価'!K7)</ns0:f>
        <ns0:v>421.3035381750465</ns0:v>
      </ns0:c>
      <ns0:c r="L5" s="16">
        <ns0:f>A5*('前提と出典'!$C$36*'契約別単価'!L5+'前提と出典'!$C$37*'契約別単価'!L6+'前提と出典'!$C$38*'契約別単価'!L7)</ns0:f>
        <ns0:v>343.0268100277926</ns0:v>
      </ns0:c>
      <ns0:c r="M5" s="16">
        <ns0:f>IF(('前提と出典'!$C$36+'前提と出典'!$C$38)=0,0,IF(B5&lt;=10,'前提と出典'!B73+'前提と出典'!C73,IF(B5&lt;=100,'前提と出典'!B74+'前提と出典'!C74,IF(B5&lt;=500,'前提と出典'!B75+'前提と出典'!C75,'前提と出典'!B76+'前提と出典'!C76))))</ns0:f>
        <ns0:v>10000</ns0:v>
      </ns0:c>
      <ns0:c r="N5" s="16">
        <ns0:f>IF(('前提と出典'!$C$37+'前提と出典'!$C$38)=0,0,IF(C5&lt;=10,'前提と出典'!D73+'前提と出典'!E73,IF(C5&lt;=100,'前提と出典'!D74+'前提と出典'!E74,IF(C5&lt;=500,'前提と出典'!D75+'前提と出典'!E75,'前提と出典'!D76+'前提と出典'!E76))))</ns0:f>
        <ns0:v>30010.934626307797</ns0:v>
      </ns0:c>
      <ns0:c r="O5" s="16">
        <ns0:f>IF('前提と出典'!$C$36+'前提と出典'!$C$38=0,0,'前提と出典'!$B$4*IF('前提と出典'!$B$20=0,MAX('前提と出典'!$B$6,D5*'前提と出典'!$B$5),'前提と出典'!$B$6+D5*'前提と出典'!$B$5))</ns0:f>
        <ns0:v>22500</ns0:v>
      </ns0:c>
      <ns0:c r="P5" s="16">
        <ns0:f>(E5+G5)*(1-'前提と出典'!$B$7)-I5-K5-M5-O5</ns0:f>
        <ns0:v>-29179.36772707387</ns0:v>
      </ns0:c>
      <ns0:c r="Q5" s="16">
        <ns0:f>(F5+H5)*(1-'前提と出典'!$B$7)-J5-L5-N5</ns0:f>
        <ns0:v>-29054.25839160747</ns0:v>
      </ns0:c>
      <ns0:c r="R5" s="16">
        <ns0:f>P5-E5*'前提と出典'!$E$4</ns0:f>
        <ns0:v>-29759.851124093584</ns0:v>
      </ns0:c>
      <ns0:c r="S5" s="16">
        <ns0:f>Q5-F5*'前提と出典'!$E$4</ns0:f>
        <ns0:v>-29282.07703551867</ns0:v>
      </ns0:c>
      <ns0:c r="T5" s="7">
        <ns0:f>R5+S5</ns0:f>
        <ns0:v>-59041.92815961225</ns0:v>
      </ns0:c>
      <ns0:c r="U5" s="16">
        <ns0:f>P5-E5*'前提と出典'!$E$5</ns0:f>
        <ns0:v>-29953.345589766817</ns0:v>
      </ns0:c>
      <ns0:c r="V5" s="16">
        <ns0:f>Q5-F5*'前提と出典'!$E$5</ns0:f>
        <ns0:v>-29358.016583489072</ns0:v>
      </ns0:c>
      <ns0:c r="W5" s="7">
        <ns0:f>U5+V5</ns0:f>
        <ns0:v>-59311.36217325589</ns0:v>
      </ns0:c>
      <ns0:c r="X5" s="16">
        <ns0:f>P5-E5*'前提と出典'!$E$6</ns0:f>
        <ns0:v>-30146.840055440058</ns0:v>
      </ns0:c>
      <ns0:c r="Y5" s="16">
        <ns0:f>Q5-F5*'前提と出典'!$E$6</ns0:f>
        <ns0:v>-29433.956131459472</ns0:v>
      </ns0:c>
      <ns0:c r="Z5" s="7">
        <ns0:f>X5+Y5</ns0:f>
        <ns0:v>-59580.79618689953</ns0:v>
      </ns0:c>
      <ns0:c r="AA5" s="7">
        <ns0:f>IF(T5&gt;=0,A5,1001)</ns0:f>
        <ns0:v>1001</ns0:v>
      </ns0:c>
      <ns0:c r="AB5" s="7">
        <ns0:f>IF(T5&lt;0,A5,0)</ns0:f>
        <ns0:v>1</ns0:v>
      </ns0:c>
      <ns0:c r="AC5" s="16">
        <ns0:f>IF(AND(OR('前提と出典'!$C$36+'前提と出典'!$C$38=0,R5&gt;=0),OR('前提と出典'!$C$37+'前提と出典'!$C$38=0,S5&gt;=0)),0,A5)</ns0:f>
        <ns0:v>1</ns0:v>
      </ns0:c>
      <ns0:c r="AD5" s="7">
        <ns0:f>IF(W5&gt;=0,A5,1001)</ns0:f>
        <ns0:v>1001</ns0:v>
      </ns0:c>
      <ns0:c r="AE5" s="7">
        <ns0:f>IF(W5&lt;0,A5,0)</ns0:f>
        <ns0:v>1</ns0:v>
      </ns0:c>
      <ns0:c r="AF5" s="16">
        <ns0:f>IF(AND(OR('前提と出典'!$C$36+'前提と出典'!$C$38=0,U5&gt;=0),OR('前提と出典'!$C$37+'前提と出典'!$C$38=0,V5&gt;=0)),0,A5)</ns0:f>
        <ns0:v>1</ns0:v>
      </ns0:c>
      <ns0:c r="AG5" s="7">
        <ns0:f>IF(Z5&gt;=0,A5,1001)</ns0:f>
        <ns0:v>1001</ns0:v>
      </ns0:c>
      <ns0:c r="AH5" s="4">
        <ns0:f>IF(Z5&lt;0,A5,0)</ns0:f>
        <ns0:v>1</ns0:v>
      </ns0:c>
      <ns0:c r="AI5" s="12">
        <ns0:f>IF(AND(OR('前提と出典'!$C$36+'前提と出典'!$C$38=0,X5&gt;=0),OR('前提と出典'!$C$37+'前提と出典'!$C$38=0,Y5&gt;=0)),0,A5)</ns0:f>
        <ns0:v>1</ns0:v>
      </ns0:c>
    </ns0:row>
    <ns0:row r="6" ht="24" customHeight="1">
      <ns0:c r="A6" s="4" t="n">
        <ns0:v>2</ns0:v>
      </ns0:c>
      <ns0:c r="B6" s="12">
        <ns0:f>A6*('前提と出典'!$C$36+'前提と出典'!$C$38)</ns0:f>
        <ns0:v>1.4</ns0:v>
      </ns0:c>
      <ns0:c r="C6" s="12">
        <ns0:f>A6*('前提と出典'!$C$37+'前提と出典'!$C$38)</ns0:f>
        <ns0:v>1.2</ns0:v>
      </ns0:c>
      <ns0:c r="D6" s="16">
        <ns0:f>A6*('前提と出典'!$C$36*'契約別単価'!C5+'前提と出典'!$C$37*'契約別単価'!C6+'前提と出典'!$C$38*'契約別単価'!C7)</ns0:f>
        <ns0:v>14.391061452513966</ns0:v>
      </ns0:c>
      <ns0:c r="E6" s="16">
        <ns0:f>A6*('前提と出典'!$C$36*'契約別単価'!E5+'前提と出典'!$C$37*'契約別単価'!E6+'前提と出典'!$C$38*'契約別単価'!E7)</ns0:f>
        <ns0:v>3869.889313464732</ns0:v>
      </ns0:c>
      <ns0:c r="F6" s="16">
        <ns0:f>A6*('前提と出典'!$C$36*'契約別単価'!F5+'前提と出典'!$C$37*'契約別単価'!F6+'前提と出典'!$C$38*'契約別単価'!F7)</ns0:f>
        <ns0:v>1518.790959408011</ns0:v>
      </ns0:c>
      <ns0:c r="G6" s="16">
        <ns0:f>A6*('前提と出典'!$C$36*'契約別単価'!G5+'前提と出典'!$C$37*'契約別単価'!G6+'前提と出典'!$C$38*'契約別単価'!G7)</ns0:f>
        <ns0:v>3981.0055865921786</ns0:v>
      </ns0:c>
      <ns0:c r="H6" s="16">
        <ns0:f>A6*('前提と出典'!$C$36*'契約別単価'!H5+'前提と出典'!$C$37*'契約別単価'!H6+'前提と出典'!$C$38*'契約別単価'!H7)</ns0:f>
        <ns0:v>1381.6086016675554</ns0:v>
      </ns0:c>
      <ns0:c r="I6" s="16">
        <ns0:f>A6*('前提と出典'!$C$36*'契約別単価'!I5+'前提と出典'!$C$37*'契約別単価'!I6+'前提と出典'!$C$38*'契約別単価'!I7)</ns0:f>
        <ns0:v>84.39106145251395</ns0:v>
      </ns0:c>
      <ns0:c r="J6" s="16">
        <ns0:f>A6*('前提と出典'!$C$36*'契約別単価'!J5+'前提と出典'!$C$37*'契約別単価'!J6+'前提と出典'!$C$38*'契約別単価'!J7)</ns0:f>
        <ns0:v>196.57908742060513</ns0:v>
      </ns0:c>
      <ns0:c r="K6" s="16">
        <ns0:f>A6*('前提と出典'!$C$36*'契約別単価'!K5+'前提と出典'!$C$37*'契約別単価'!K6+'前提と出典'!$C$38*'契約別単価'!K7)</ns0:f>
        <ns0:v>842.607076350093</ns0:v>
      </ns0:c>
      <ns0:c r="L6" s="16">
        <ns0:f>A6*('前提と出典'!$C$36*'契約別単価'!L5+'前提と出典'!$C$37*'契約別単価'!L6+'前提と出典'!$C$38*'契約別単価'!L7)</ns0:f>
        <ns0:v>686.0536200555852</ns0:v>
      </ns0:c>
      <ns0:c r="M6" s="16">
        <ns0:f>IF(('前提と出典'!$C$36+'前提と出典'!$C$38)=0,0,IF(B6&lt;=10,'前提と出典'!B73+'前提と出典'!C73,IF(B6&lt;=100,'前提と出典'!B74+'前提と出典'!C74,IF(B6&lt;=500,'前提と出典'!B75+'前提と出典'!C75,'前提と出典'!B76+'前提と出典'!C76))))</ns0:f>
        <ns0:v>10000</ns0:v>
      </ns0:c>
      <ns0:c r="N6" s="16">
        <ns0:f>IF(('前提と出典'!$C$37+'前提と出典'!$C$38)=0,0,IF(C6&lt;=10,'前提と出典'!D73+'前提と出典'!E73,IF(C6&lt;=100,'前提と出典'!D74+'前提と出典'!E74,IF(C6&lt;=500,'前提と出典'!D75+'前提と出典'!E75,'前提と出典'!D76+'前提と出典'!E76))))</ns0:f>
        <ns0:v>30010.934626307797</ns0:v>
      </ns0:c>
      <ns0:c r="O6" s="16">
        <ns0:f>IF('前提と出典'!$C$36+'前提と出典'!$C$38=0,0,'前提と出典'!$B$4*IF('前提と出典'!$B$20=0,MAX('前提と出典'!$B$6,D6*'前提と出典'!$B$5),'前提と出典'!$B$6+D6*'前提と出典'!$B$5))</ns0:f>
        <ns0:v>22500</ns0:v>
      </ns0:c>
      <ns0:c r="P6" s="16">
        <ns0:f>(E6+G6)*(1-'前提と出典'!$B$7)-I6-K6-M6-O6</ns0:f>
        <ns0:v>-25858.735454147747</ns0:v>
      </ns0:c>
      <ns0:c r="Q6" s="16">
        <ns0:f>(F6+H6)*(1-'前提と出典'!$B$7)-J6-L6-N6</ns0:f>
        <ns0:v>-28097.58215690714</ns0:v>
      </ns0:c>
      <ns0:c r="R6" s="16">
        <ns0:f>P6-E6*'前提と出典'!$E$4</ns0:f>
        <ns0:v>-27019.702248187165</ns0:v>
      </ns0:c>
      <ns0:c r="S6" s="16">
        <ns0:f>Q6-F6*'前提と出典'!$E$4</ns0:f>
        <ns0:v>-28553.219444729544</ns0:v>
      </ns0:c>
      <ns0:c r="T6" s="7">
        <ns0:f>R6+S6</ns0:f>
        <ns0:v>-55572.92169291671</ns0:v>
      </ns0:c>
      <ns0:c r="U6" s="16">
        <ns0:f>P6-E6*'前提と出典'!$E$5</ns0:f>
        <ns0:v>-27406.69117953364</ns0:v>
      </ns0:c>
      <ns0:c r="V6" s="16">
        <ns0:f>Q6-F6*'前提と出典'!$E$5</ns0:f>
        <ns0:v>-28705.098540670344</ns0:v>
      </ns0:c>
      <ns0:c r="W6" s="7">
        <ns0:f>U6+V6</ns0:f>
        <ns0:v>-56111.78972020398</ns0:v>
      </ns0:c>
      <ns0:c r="X6" s="16">
        <ns0:f>P6-E6*'前提と出典'!$E$6</ns0:f>
        <ns0:v>-27793.680110880112</ns0:v>
      </ns0:c>
      <ns0:c r="Y6" s="16">
        <ns0:f>Q6-F6*'前提と出典'!$E$6</ns0:f>
        <ns0:v>-28856.977636611147</ns0:v>
      </ns0:c>
      <ns0:c r="Z6" s="7">
        <ns0:f>X6+Y6</ns0:f>
        <ns0:v>-56650.65774749126</ns0:v>
      </ns0:c>
      <ns0:c r="AA6" s="7">
        <ns0:f>IF(T6&gt;=0,A6,1001)</ns0:f>
        <ns0:v>1001</ns0:v>
      </ns0:c>
      <ns0:c r="AB6" s="7">
        <ns0:f>IF(T6&lt;0,A6,0)</ns0:f>
        <ns0:v>2</ns0:v>
      </ns0:c>
      <ns0:c r="AC6" s="16">
        <ns0:f>IF(AND(OR('前提と出典'!$C$36+'前提と出典'!$C$38=0,R6&gt;=0),OR('前提と出典'!$C$37+'前提と出典'!$C$38=0,S6&gt;=0)),0,A6)</ns0:f>
        <ns0:v>2</ns0:v>
      </ns0:c>
      <ns0:c r="AD6" s="7">
        <ns0:f>IF(W6&gt;=0,A6,1001)</ns0:f>
        <ns0:v>1001</ns0:v>
      </ns0:c>
      <ns0:c r="AE6" s="7">
        <ns0:f>IF(W6&lt;0,A6,0)</ns0:f>
        <ns0:v>2</ns0:v>
      </ns0:c>
      <ns0:c r="AF6" s="16">
        <ns0:f>IF(AND(OR('前提と出典'!$C$36+'前提と出典'!$C$38=0,U6&gt;=0),OR('前提と出典'!$C$37+'前提と出典'!$C$38=0,V6&gt;=0)),0,A6)</ns0:f>
        <ns0:v>2</ns0:v>
      </ns0:c>
      <ns0:c r="AG6" s="7">
        <ns0:f>IF(Z6&gt;=0,A6,1001)</ns0:f>
        <ns0:v>1001</ns0:v>
      </ns0:c>
      <ns0:c r="AH6" s="4">
        <ns0:f>IF(Z6&lt;0,A6,0)</ns0:f>
        <ns0:v>2</ns0:v>
      </ns0:c>
      <ns0:c r="AI6" s="12">
        <ns0:f>IF(AND(OR('前提と出典'!$C$36+'前提と出典'!$C$38=0,X6&gt;=0),OR('前提と出典'!$C$37+'前提と出典'!$C$38=0,Y6&gt;=0)),0,A6)</ns0:f>
        <ns0:v>2</ns0:v>
      </ns0:c>
    </ns0:row>
    <ns0:row r="7" ht="24" customHeight="1">
      <ns0:c r="A7" s="4" t="n">
        <ns0:v>3</ns0:v>
      </ns0:c>
      <ns0:c r="B7" s="12">
        <ns0:f>A7*('前提と出典'!$C$36+'前提と出典'!$C$38)</ns0:f>
        <ns0:v>2.0999999999999996</ns0:v>
      </ns0:c>
      <ns0:c r="C7" s="12">
        <ns0:f>A7*('前提と出典'!$C$37+'前提と出典'!$C$38)</ns0:f>
        <ns0:v>1.7999999999999998</ns0:v>
      </ns0:c>
      <ns0:c r="D7" s="16">
        <ns0:f>A7*('前提と出典'!$C$36*'契約別単価'!C5+'前提と出典'!$C$37*'契約別単価'!C6+'前提と出典'!$C$38*'契約別単価'!C7)</ns0:f>
        <ns0:v>21.58659217877095</ns0:v>
      </ns0:c>
      <ns0:c r="E7" s="16">
        <ns0:f>A7*('前提と出典'!$C$36*'契約別単価'!E5+'前提と出典'!$C$37*'契約別単価'!E6+'前提と出典'!$C$38*'契約別単価'!E7)</ns0:f>
        <ns0:v>5804.833970197098</ns0:v>
      </ns0:c>
      <ns0:c r="F7" s="16">
        <ns0:f>A7*('前提と出典'!$C$36*'契約別単価'!F5+'前提と出典'!$C$37*'契約別単価'!F6+'前提と出典'!$C$38*'契約別単価'!F7)</ns0:f>
        <ns0:v>2278.1864391120166</ns0:v>
      </ns0:c>
      <ns0:c r="G7" s="16">
        <ns0:f>A7*('前提と出典'!$C$36*'契約別単価'!G5+'前提と出典'!$C$37*'契約別単価'!G6+'前提と出典'!$C$38*'契約別単価'!G7)</ns0:f>
        <ns0:v>5971.508379888268</ns0:v>
      </ns0:c>
      <ns0:c r="H7" s="16">
        <ns0:f>A7*('前提と出典'!$C$36*'契約別単価'!H5+'前提と出典'!$C$37*'契約別単価'!H6+'前提と出典'!$C$38*'契約別単価'!H7)</ns0:f>
        <ns0:v>2072.412902501333</ns0:v>
      </ns0:c>
      <ns0:c r="I7" s="16">
        <ns0:f>A7*('前提と出典'!$C$36*'契約別単価'!I5+'前提と出典'!$C$37*'契約別単価'!I6+'前提と出典'!$C$38*'契約別単価'!I7)</ns0:f>
        <ns0:v>126.58659217877093</ns0:v>
      </ns0:c>
      <ns0:c r="J7" s="16">
        <ns0:f>A7*('前提と出典'!$C$36*'契約別単価'!J5+'前提と出典'!$C$37*'契約別単価'!J6+'前提と出典'!$C$38*'契約別単価'!J7)</ns0:f>
        <ns0:v>294.8686311309077</ns0:v>
      </ns0:c>
      <ns0:c r="K7" s="16">
        <ns0:f>A7*('前提と出典'!$C$36*'契約別単価'!K5+'前提と出典'!$C$37*'契約別単価'!K6+'前提と出典'!$C$38*'契約別単価'!K7)</ns0:f>
        <ns0:v>1263.9106145251396</ns0:v>
      </ns0:c>
      <ns0:c r="L7" s="16">
        <ns0:f>A7*('前提と出典'!$C$36*'契約別単価'!L5+'前提と出典'!$C$37*'契約別単価'!L6+'前提と出典'!$C$38*'契約別単価'!L7)</ns0:f>
        <ns0:v>1029.0804300833777</ns0:v>
      </ns0:c>
      <ns0:c r="M7" s="16">
        <ns0:f>IF(('前提と出典'!$C$36+'前提と出典'!$C$38)=0,0,IF(B7&lt;=10,'前提と出典'!B73+'前提と出典'!C73,IF(B7&lt;=100,'前提と出典'!B74+'前提と出典'!C74,IF(B7&lt;=500,'前提と出典'!B75+'前提と出典'!C75,'前提と出典'!B76+'前提と出典'!C76))))</ns0:f>
        <ns0:v>10000</ns0:v>
      </ns0:c>
      <ns0:c r="N7" s="16">
        <ns0:f>IF(('前提と出典'!$C$37+'前提と出典'!$C$38)=0,0,IF(C7&lt;=10,'前提と出典'!D73+'前提と出典'!E73,IF(C7&lt;=100,'前提と出典'!D74+'前提と出典'!E74,IF(C7&lt;=500,'前提と出典'!D75+'前提と出典'!E75,'前提と出典'!D76+'前提と出典'!E76))))</ns0:f>
        <ns0:v>30010.934626307797</ns0:v>
      </ns0:c>
      <ns0:c r="O7" s="16">
        <ns0:f>IF('前提と出典'!$C$36+'前提と出典'!$C$38=0,0,'前提と出典'!$B$4*IF('前提と出典'!$B$20=0,MAX('前提と出典'!$B$6,D7*'前提と出典'!$B$5),'前提と出典'!$B$6+D7*'前提と出典'!$B$5))</ns0:f>
        <ns0:v>22500</ns0:v>
      </ns0:c>
      <ns0:c r="P7" s="16">
        <ns0:f>(E7+G7)*(1-'前提と出典'!$B$7)-I7-K7-M7-O7</ns0:f>
        <ns0:v>-22538.10318122162</ns0:v>
      </ns0:c>
      <ns0:c r="Q7" s="16">
        <ns0:f>(F7+H7)*(1-'前提と出典'!$B$7)-J7-L7-N7</ns0:f>
        <ns0:v>-27140.905922206814</ns0:v>
      </ns0:c>
      <ns0:c r="R7" s="16">
        <ns0:f>P7-E7*'前提と出典'!$E$4</ns0:f>
        <ns0:v>-24279.553372280745</ns0:v>
      </ns0:c>
      <ns0:c r="S7" s="16">
        <ns0:f>Q7-F7*'前提と出典'!$E$4</ns0:f>
        <ns0:v>-27824.36185394042</ns0:v>
      </ns0:c>
      <ns0:c r="T7" s="7">
        <ns0:f>R7+S7</ns0:f>
        <ns0:v>-52103.915226221165</ns0:v>
      </ns0:c>
      <ns0:c r="U7" s="16">
        <ns0:f>P7-E7*'前提と出典'!$E$5</ns0:f>
        <ns0:v>-24860.03676930046</ns0:v>
      </ns0:c>
      <ns0:c r="V7" s="16">
        <ns0:f>Q7-F7*'前提と出典'!$E$5</ns0:f>
        <ns0:v>-28052.18049785162</ns0:v>
      </ns0:c>
      <ns0:c r="W7" s="7">
        <ns0:f>U7+V7</ns0:f>
        <ns0:v>-52912.21726715208</ns0:v>
      </ns0:c>
      <ns0:c r="X7" s="16">
        <ns0:f>P7-E7*'前提と出典'!$E$6</ns0:f>
        <ns0:v>-25440.52016632017</ns0:v>
      </ns0:c>
      <ns0:c r="Y7" s="16">
        <ns0:f>Q7-F7*'前提と出典'!$E$6</ns0:f>
        <ns0:v>-28279.999141762823</ns0:v>
      </ns0:c>
      <ns0:c r="Z7" s="7">
        <ns0:f>X7+Y7</ns0:f>
        <ns0:v>-53720.51930808299</ns0:v>
      </ns0:c>
      <ns0:c r="AA7" s="7">
        <ns0:f>IF(T7&gt;=0,A7,1001)</ns0:f>
        <ns0:v>1001</ns0:v>
      </ns0:c>
      <ns0:c r="AB7" s="7">
        <ns0:f>IF(T7&lt;0,A7,0)</ns0:f>
        <ns0:v>3</ns0:v>
      </ns0:c>
      <ns0:c r="AC7" s="16">
        <ns0:f>IF(AND(OR('前提と出典'!$C$36+'前提と出典'!$C$38=0,R7&gt;=0),OR('前提と出典'!$C$37+'前提と出典'!$C$38=0,S7&gt;=0)),0,A7)</ns0:f>
        <ns0:v>3</ns0:v>
      </ns0:c>
      <ns0:c r="AD7" s="7">
        <ns0:f>IF(W7&gt;=0,A7,1001)</ns0:f>
        <ns0:v>1001</ns0:v>
      </ns0:c>
      <ns0:c r="AE7" s="7">
        <ns0:f>IF(W7&lt;0,A7,0)</ns0:f>
        <ns0:v>3</ns0:v>
      </ns0:c>
      <ns0:c r="AF7" s="16">
        <ns0:f>IF(AND(OR('前提と出典'!$C$36+'前提と出典'!$C$38=0,U7&gt;=0),OR('前提と出典'!$C$37+'前提と出典'!$C$38=0,V7&gt;=0)),0,A7)</ns0:f>
        <ns0:v>3</ns0:v>
      </ns0:c>
      <ns0:c r="AG7" s="7">
        <ns0:f>IF(Z7&gt;=0,A7,1001)</ns0:f>
        <ns0:v>1001</ns0:v>
      </ns0:c>
      <ns0:c r="AH7" s="4">
        <ns0:f>IF(Z7&lt;0,A7,0)</ns0:f>
        <ns0:v>3</ns0:v>
      </ns0:c>
      <ns0:c r="AI7" s="12">
        <ns0:f>IF(AND(OR('前提と出典'!$C$36+'前提と出典'!$C$38=0,X7&gt;=0),OR('前提と出典'!$C$37+'前提と出典'!$C$38=0,Y7&gt;=0)),0,A7)</ns0:f>
        <ns0:v>3</ns0:v>
      </ns0:c>
    </ns0:row>
    <ns0:row r="8" ht="24" customHeight="1">
      <ns0:c r="A8" s="4" t="n">
        <ns0:v>4</ns0:v>
      </ns0:c>
      <ns0:c r="B8" s="12">
        <ns0:f>A8*('前提と出典'!$C$36+'前提と出典'!$C$38)</ns0:f>
        <ns0:v>2.8</ns0:v>
      </ns0:c>
      <ns0:c r="C8" s="12">
        <ns0:f>A8*('前提と出典'!$C$37+'前提と出典'!$C$38)</ns0:f>
        <ns0:v>2.4</ns0:v>
      </ns0:c>
      <ns0:c r="D8" s="16">
        <ns0:f>A8*('前提と出典'!$C$36*'契約別単価'!C5+'前提と出典'!$C$37*'契約別単価'!C6+'前提と出典'!$C$38*'契約別単価'!C7)</ns0:f>
        <ns0:v>28.782122905027933</ns0:v>
      </ns0:c>
      <ns0:c r="E8" s="16">
        <ns0:f>A8*('前提と出典'!$C$36*'契約別単価'!E5+'前提と出典'!$C$37*'契約別単価'!E6+'前提と出典'!$C$38*'契約別単価'!E7)</ns0:f>
        <ns0:v>7739.778626929464</ns0:v>
      </ns0:c>
      <ns0:c r="F8" s="16">
        <ns0:f>A8*('前提と出典'!$C$36*'契約別単価'!F5+'前提と出典'!$C$37*'契約別単価'!F6+'前提と出典'!$C$38*'契約別単価'!F7)</ns0:f>
        <ns0:v>3037.581918816022</ns0:v>
      </ns0:c>
      <ns0:c r="G8" s="16">
        <ns0:f>A8*('前提と出典'!$C$36*'契約別単価'!G5+'前提と出典'!$C$37*'契約別単価'!G6+'前提と出典'!$C$38*'契約別単価'!G7)</ns0:f>
        <ns0:v>7962.011173184357</ns0:v>
      </ns0:c>
      <ns0:c r="H8" s="16">
        <ns0:f>A8*('前提と出典'!$C$36*'契約別単価'!H5+'前提と出典'!$C$37*'契約別単価'!H6+'前提と出典'!$C$38*'契約別単価'!H7)</ns0:f>
        <ns0:v>2763.2172033351108</ns0:v>
      </ns0:c>
      <ns0:c r="I8" s="16">
        <ns0:f>A8*('前提と出典'!$C$36*'契約別単価'!I5+'前提と出典'!$C$37*'契約別単価'!I6+'前提と出典'!$C$38*'契約別単価'!I7)</ns0:f>
        <ns0:v>168.7821229050279</ns0:v>
      </ns0:c>
      <ns0:c r="J8" s="16">
        <ns0:f>A8*('前提と出典'!$C$36*'契約別単価'!J5+'前提と出典'!$C$37*'契約別単価'!J6+'前提と出典'!$C$38*'契約別単価'!J7)</ns0:f>
        <ns0:v>393.15817484121027</ns0:v>
      </ns0:c>
      <ns0:c r="K8" s="16">
        <ns0:f>A8*('前提と出典'!$C$36*'契約別単価'!K5+'前提と出典'!$C$37*'契約別単価'!K6+'前提と出典'!$C$38*'契約別単価'!K7)</ns0:f>
        <ns0:v>1685.214152700186</ns0:v>
      </ns0:c>
      <ns0:c r="L8" s="16">
        <ns0:f>A8*('前提と出典'!$C$36*'契約別単価'!L5+'前提と出典'!$C$37*'契約別単価'!L6+'前提と出典'!$C$38*'契約別単価'!L7)</ns0:f>
        <ns0:v>1372.1072401111703</ns0:v>
      </ns0:c>
      <ns0:c r="M8" s="16">
        <ns0:f>IF(('前提と出典'!$C$36+'前提と出典'!$C$38)=0,0,IF(B8&lt;=10,'前提と出典'!B73+'前提と出典'!C73,IF(B8&lt;=100,'前提と出典'!B74+'前提と出典'!C74,IF(B8&lt;=500,'前提と出典'!B75+'前提と出典'!C75,'前提と出典'!B76+'前提と出典'!C76))))</ns0:f>
        <ns0:v>10000</ns0:v>
      </ns0:c>
      <ns0:c r="N8" s="16">
        <ns0:f>IF(('前提と出典'!$C$37+'前提と出典'!$C$38)=0,0,IF(C8&lt;=10,'前提と出典'!D73+'前提と出典'!E73,IF(C8&lt;=100,'前提と出典'!D74+'前提と出典'!E74,IF(C8&lt;=500,'前提と出典'!D75+'前提と出典'!E75,'前提と出典'!D76+'前提と出典'!E76))))</ns0:f>
        <ns0:v>30010.934626307797</ns0:v>
      </ns0:c>
      <ns0:c r="O8" s="16">
        <ns0:f>IF('前提と出典'!$C$36+'前提と出典'!$C$38=0,0,'前提と出典'!$B$4*IF('前提と出典'!$B$20=0,MAX('前提と出典'!$B$6,D8*'前提と出典'!$B$5),'前提と出典'!$B$6+D8*'前提と出典'!$B$5))</ns0:f>
        <ns0:v>22500</ns0:v>
      </ns0:c>
      <ns0:c r="P8" s="16">
        <ns0:f>(E8+G8)*(1-'前提と出典'!$B$7)-I8-K8-M8-O8</ns0:f>
        <ns0:v>-19217.47090829549</ns0:v>
      </ns0:c>
      <ns0:c r="Q8" s="16">
        <ns0:f>(F8+H8)*(1-'前提と出典'!$B$7)-J8-L8-N8</ns0:f>
        <ns0:v>-26184.229687506486</ns0:v>
      </ns0:c>
      <ns0:c r="R8" s="16">
        <ns0:f>P8-E8*'前提と出典'!$E$4</ns0:f>
        <ns0:v>-21539.40449637433</ns0:v>
      </ns0:c>
      <ns0:c r="S8" s="16">
        <ns0:f>Q8-F8*'前提と出典'!$E$4</ns0:f>
        <ns0:v>-27095.50426315129</ns0:v>
      </ns0:c>
      <ns0:c r="T8" s="7">
        <ns0:f>R8+S8</ns0:f>
        <ns0:v>-48634.90875952562</ns0:v>
      </ns0:c>
      <ns0:c r="U8" s="16">
        <ns0:f>P8-E8*'前提と出典'!$E$5</ns0:f>
        <ns0:v>-22313.382359067276</ns0:v>
      </ns0:c>
      <ns0:c r="V8" s="16">
        <ns0:f>Q8-F8*'前提と出典'!$E$5</ns0:f>
        <ns0:v>-27399.262455032895</ns0:v>
      </ns0:c>
      <ns0:c r="W8" s="7">
        <ns0:f>U8+V8</ns0:f>
        <ns0:v>-49712.644814100175</ns0:v>
      </ns0:c>
      <ns0:c r="X8" s="16">
        <ns0:f>P8-E8*'前提と出典'!$E$6</ns0:f>
        <ns0:v>-23087.360221760224</ns0:v>
      </ns0:c>
      <ns0:c r="Y8" s="16">
        <ns0:f>Q8-F8*'前提と出典'!$E$6</ns0:f>
        <ns0:v>-27703.020646914498</ns0:v>
      </ns0:c>
      <ns0:c r="Z8" s="7">
        <ns0:f>X8+Y8</ns0:f>
        <ns0:v>-50790.38086867472</ns0:v>
      </ns0:c>
      <ns0:c r="AA8" s="7">
        <ns0:f>IF(T8&gt;=0,A8,1001)</ns0:f>
        <ns0:v>1001</ns0:v>
      </ns0:c>
      <ns0:c r="AB8" s="7">
        <ns0:f>IF(T8&lt;0,A8,0)</ns0:f>
        <ns0:v>4</ns0:v>
      </ns0:c>
      <ns0:c r="AC8" s="16">
        <ns0:f>IF(AND(OR('前提と出典'!$C$36+'前提と出典'!$C$38=0,R8&gt;=0),OR('前提と出典'!$C$37+'前提と出典'!$C$38=0,S8&gt;=0)),0,A8)</ns0:f>
        <ns0:v>4</ns0:v>
      </ns0:c>
      <ns0:c r="AD8" s="7">
        <ns0:f>IF(W8&gt;=0,A8,1001)</ns0:f>
        <ns0:v>1001</ns0:v>
      </ns0:c>
      <ns0:c r="AE8" s="7">
        <ns0:f>IF(W8&lt;0,A8,0)</ns0:f>
        <ns0:v>4</ns0:v>
      </ns0:c>
      <ns0:c r="AF8" s="16">
        <ns0:f>IF(AND(OR('前提と出典'!$C$36+'前提と出典'!$C$38=0,U8&gt;=0),OR('前提と出典'!$C$37+'前提と出典'!$C$38=0,V8&gt;=0)),0,A8)</ns0:f>
        <ns0:v>4</ns0:v>
      </ns0:c>
      <ns0:c r="AG8" s="7">
        <ns0:f>IF(Z8&gt;=0,A8,1001)</ns0:f>
        <ns0:v>1001</ns0:v>
      </ns0:c>
      <ns0:c r="AH8" s="4">
        <ns0:f>IF(Z8&lt;0,A8,0)</ns0:f>
        <ns0:v>4</ns0:v>
      </ns0:c>
      <ns0:c r="AI8" s="12">
        <ns0:f>IF(AND(OR('前提と出典'!$C$36+'前提と出典'!$C$38=0,X8&gt;=0),OR('前提と出典'!$C$37+'前提と出典'!$C$38=0,Y8&gt;=0)),0,A8)</ns0:f>
        <ns0:v>4</ns0:v>
      </ns0:c>
    </ns0:row>
    <ns0:row r="9" ht="24" customHeight="1">
      <ns0:c r="A9" s="4" t="n">
        <ns0:v>5</ns0:v>
      </ns0:c>
      <ns0:c r="B9" s="12">
        <ns0:f>A9*('前提と出典'!$C$36+'前提と出典'!$C$38)</ns0:f>
        <ns0:v>3.5</ns0:v>
      </ns0:c>
      <ns0:c r="C9" s="12">
        <ns0:f>A9*('前提と出典'!$C$37+'前提と出典'!$C$38)</ns0:f>
        <ns0:v>3</ns0:v>
      </ns0:c>
      <ns0:c r="D9" s="16">
        <ns0:f>A9*('前提と出典'!$C$36*'契約別単価'!C5+'前提と出典'!$C$37*'契約別単価'!C6+'前提と出典'!$C$38*'契約別単価'!C7)</ns0:f>
        <ns0:v>35.977653631284916</ns0:v>
      </ns0:c>
      <ns0:c r="E9" s="16">
        <ns0:f>A9*('前提と出典'!$C$36*'契約別単価'!E5+'前提と出典'!$C$37*'契約別単価'!E6+'前提と出典'!$C$38*'契約別単価'!E7)</ns0:f>
        <ns0:v>9674.72328366183</ns0:v>
      </ns0:c>
      <ns0:c r="F9" s="16">
        <ns0:f>A9*('前提と出典'!$C$36*'契約別単価'!F5+'前提と出典'!$C$37*'契約別単価'!F6+'前提と出典'!$C$38*'契約別単価'!F7)</ns0:f>
        <ns0:v>3796.9773985200277</ns0:v>
      </ns0:c>
      <ns0:c r="G9" s="16">
        <ns0:f>A9*('前提と出典'!$C$36*'契約別単価'!G5+'前提と出典'!$C$37*'契約別単価'!G6+'前提と出典'!$C$38*'契約別単価'!G7)</ns0:f>
        <ns0:v>9952.513966480446</ns0:v>
      </ns0:c>
      <ns0:c r="H9" s="16">
        <ns0:f>A9*('前提と出典'!$C$36*'契約別単価'!H5+'前提と出典'!$C$37*'契約別単価'!H6+'前提と出典'!$C$38*'契約別単価'!H7)</ns0:f>
        <ns0:v>3454.0215041688884</ns0:v>
      </ns0:c>
      <ns0:c r="I9" s="16">
        <ns0:f>A9*('前提と出典'!$C$36*'契約別単価'!I5+'前提と出典'!$C$37*'契約別単価'!I6+'前提と出典'!$C$38*'契約別単価'!I7)</ns0:f>
        <ns0:v>210.97765363128488</ns0:v>
      </ns0:c>
      <ns0:c r="J9" s="16">
        <ns0:f>A9*('前提と出典'!$C$36*'契約別単価'!J5+'前提と出典'!$C$37*'契約別単価'!J6+'前提と出典'!$C$38*'契約別単価'!J7)</ns0:f>
        <ns0:v>491.4477185515128</ns0:v>
      </ns0:c>
      <ns0:c r="K9" s="16">
        <ns0:f>A9*('前提と出典'!$C$36*'契約別単価'!K5+'前提と出典'!$C$37*'契約別単価'!K6+'前提と出典'!$C$38*'契約別単価'!K7)</ns0:f>
        <ns0:v>2106.517690875233</ns0:v>
      </ns0:c>
      <ns0:c r="L9" s="16">
        <ns0:f>A9*('前提と出典'!$C$36*'契約別単価'!L5+'前提と出典'!$C$37*'契約別単価'!L6+'前提と出典'!$C$38*'契約別単価'!L7)</ns0:f>
        <ns0:v>1715.134050138963</ns0:v>
      </ns0:c>
      <ns0:c r="M9" s="16">
        <ns0:f>IF(('前提と出典'!$C$36+'前提と出典'!$C$38)=0,0,IF(B9&lt;=10,'前提と出典'!B73+'前提と出典'!C73,IF(B9&lt;=100,'前提と出典'!B74+'前提と出典'!C74,IF(B9&lt;=500,'前提と出典'!B75+'前提と出典'!C75,'前提と出典'!B76+'前提と出典'!C76))))</ns0:f>
        <ns0:v>10000</ns0:v>
      </ns0:c>
      <ns0:c r="N9" s="16">
        <ns0:f>IF(('前提と出典'!$C$37+'前提と出典'!$C$38)=0,0,IF(C9&lt;=10,'前提と出典'!D73+'前提と出典'!E73,IF(C9&lt;=100,'前提と出典'!D74+'前提と出典'!E74,IF(C9&lt;=500,'前提と出典'!D75+'前提と出典'!E75,'前提と出典'!D76+'前提と出典'!E76))))</ns0:f>
        <ns0:v>30010.934626307797</ns0:v>
      </ns0:c>
      <ns0:c r="O9" s="16">
        <ns0:f>IF('前提と出典'!$C$36+'前提と出典'!$C$38=0,0,'前提と出典'!$B$4*IF('前提と出典'!$B$20=0,MAX('前提と出典'!$B$6,D9*'前提と出典'!$B$5),'前提と出典'!$B$6+D9*'前提と出典'!$B$5))</ns0:f>
        <ns0:v>22500</ns0:v>
      </ns0:c>
      <ns0:c r="P9" s="16">
        <ns0:f>(E9+G9)*(1-'前提と出典'!$B$7)-I9-K9-M9-O9</ns0:f>
        <ns0:v>-15896.838635369362</ns0:v>
      </ns0:c>
      <ns0:c r="Q9" s="16">
        <ns0:f>(F9+H9)*(1-'前提と出典'!$B$7)-J9-L9-N9</ns0:f>
        <ns0:v>-25227.553452806154</ns0:v>
      </ns0:c>
      <ns0:c r="R9" s="16">
        <ns0:f>P9-E9*'前提と出典'!$E$4</ns0:f>
        <ns0:v>-18799.255620467913</ns0:v>
      </ns0:c>
      <ns0:c r="S9" s="16">
        <ns0:f>Q9-F9*'前提と出典'!$E$4</ns0:f>
        <ns0:v>-26366.646672362163</ns0:v>
      </ns0:c>
      <ns0:c r="T9" s="7">
        <ns0:f>R9+S9</ns0:f>
        <ns0:v>-45165.90229283008</ns0:v>
      </ns0:c>
      <ns0:c r="U9" s="16">
        <ns0:f>P9-E9*'前提と出典'!$E$5</ns0:f>
        <ns0:v>-19766.727948834094</ns0:v>
      </ns0:c>
      <ns0:c r="V9" s="16">
        <ns0:f>Q9-F9*'前提と出典'!$E$5</ns0:f>
        <ns0:v>-26746.344412214166</ns0:v>
      </ns0:c>
      <ns0:c r="W9" s="7">
        <ns0:f>U9+V9</ns0:f>
        <ns0:v>-46513.07236104826</ns0:v>
      </ns0:c>
      <ns0:c r="X9" s="16">
        <ns0:f>P9-E9*'前提と出典'!$E$6</ns0:f>
        <ns0:v>-20734.200277200278</ns0:v>
      </ns0:c>
      <ns0:c r="Y9" s="16">
        <ns0:f>Q9-F9*'前提と出典'!$E$6</ns0:f>
        <ns0:v>-27126.04215206617</ns0:v>
      </ns0:c>
      <ns0:c r="Z9" s="7">
        <ns0:f>X9+Y9</ns0:f>
        <ns0:v>-47860.24242926645</ns0:v>
      </ns0:c>
      <ns0:c r="AA9" s="7">
        <ns0:f>IF(T9&gt;=0,A9,1001)</ns0:f>
        <ns0:v>1001</ns0:v>
      </ns0:c>
      <ns0:c r="AB9" s="7">
        <ns0:f>IF(T9&lt;0,A9,0)</ns0:f>
        <ns0:v>5</ns0:v>
      </ns0:c>
      <ns0:c r="AC9" s="16">
        <ns0:f>IF(AND(OR('前提と出典'!$C$36+'前提と出典'!$C$38=0,R9&gt;=0),OR('前提と出典'!$C$37+'前提と出典'!$C$38=0,S9&gt;=0)),0,A9)</ns0:f>
        <ns0:v>5</ns0:v>
      </ns0:c>
      <ns0:c r="AD9" s="7">
        <ns0:f>IF(W9&gt;=0,A9,1001)</ns0:f>
        <ns0:v>1001</ns0:v>
      </ns0:c>
      <ns0:c r="AE9" s="7">
        <ns0:f>IF(W9&lt;0,A9,0)</ns0:f>
        <ns0:v>5</ns0:v>
      </ns0:c>
      <ns0:c r="AF9" s="16">
        <ns0:f>IF(AND(OR('前提と出典'!$C$36+'前提と出典'!$C$38=0,U9&gt;=0),OR('前提と出典'!$C$37+'前提と出典'!$C$38=0,V9&gt;=0)),0,A9)</ns0:f>
        <ns0:v>5</ns0:v>
      </ns0:c>
      <ns0:c r="AG9" s="7">
        <ns0:f>IF(Z9&gt;=0,A9,1001)</ns0:f>
        <ns0:v>1001</ns0:v>
      </ns0:c>
      <ns0:c r="AH9" s="4">
        <ns0:f>IF(Z9&lt;0,A9,0)</ns0:f>
        <ns0:v>5</ns0:v>
      </ns0:c>
      <ns0:c r="AI9" s="12">
        <ns0:f>IF(AND(OR('前提と出典'!$C$36+'前提と出典'!$C$38=0,X9&gt;=0),OR('前提と出典'!$C$37+'前提と出典'!$C$38=0,Y9&gt;=0)),0,A9)</ns0:f>
        <ns0:v>5</ns0:v>
      </ns0:c>
    </ns0:row>
    <ns0:row r="10" ht="24" customHeight="1">
      <ns0:c r="A10" s="4" t="n">
        <ns0:v>6</ns0:v>
      </ns0:c>
      <ns0:c r="B10" s="12">
        <ns0:f>A10*('前提と出典'!$C$36+'前提と出典'!$C$38)</ns0:f>
        <ns0:v>4.199999999999999</ns0:v>
      </ns0:c>
      <ns0:c r="C10" s="12">
        <ns0:f>A10*('前提と出典'!$C$37+'前提と出典'!$C$38)</ns0:f>
        <ns0:v>3.5999999999999996</ns0:v>
      </ns0:c>
      <ns0:c r="D10" s="16">
        <ns0:f>A10*('前提と出典'!$C$36*'契約別単価'!C5+'前提と出典'!$C$37*'契約別単価'!C6+'前提と出典'!$C$38*'契約別単価'!C7)</ns0:f>
        <ns0:v>43.1731843575419</ns0:v>
      </ns0:c>
      <ns0:c r="E10" s="16">
        <ns0:f>A10*('前提と出典'!$C$36*'契約別単価'!E5+'前提と出典'!$C$37*'契約別単価'!E6+'前提と出典'!$C$38*'契約別単価'!E7)</ns0:f>
        <ns0:v>11609.667940394196</ns0:v>
      </ns0:c>
      <ns0:c r="F10" s="16">
        <ns0:f>A10*('前提と出典'!$C$36*'契約別単価'!F5+'前提と出典'!$C$37*'契約別単価'!F6+'前提と出典'!$C$38*'契約別単価'!F7)</ns0:f>
        <ns0:v>4556.372878224033</ns0:v>
      </ns0:c>
      <ns0:c r="G10" s="16">
        <ns0:f>A10*('前提と出典'!$C$36*'契約別単価'!G5+'前提と出典'!$C$37*'契約別単価'!G6+'前提と出典'!$C$38*'契約別単価'!G7)</ns0:f>
        <ns0:v>11943.016759776536</ns0:v>
      </ns0:c>
      <ns0:c r="H10" s="16">
        <ns0:f>A10*('前提と出典'!$C$36*'契約別単価'!H5+'前提と出典'!$C$37*'契約別単価'!H6+'前提と出典'!$C$38*'契約別単価'!H7)</ns0:f>
        <ns0:v>4144.825805002666</ns0:v>
      </ns0:c>
      <ns0:c r="I10" s="16">
        <ns0:f>A10*('前提と出典'!$C$36*'契約別単価'!I5+'前提と出典'!$C$37*'契約別単価'!I6+'前提と出典'!$C$38*'契約別単価'!I7)</ns0:f>
        <ns0:v>253.17318435754186</ns0:v>
      </ns0:c>
      <ns0:c r="J10" s="16">
        <ns0:f>A10*('前提と出典'!$C$36*'契約別単価'!J5+'前提と出典'!$C$37*'契約別単価'!J6+'前提と出典'!$C$38*'契約別単価'!J7)</ns0:f>
        <ns0:v>589.7372622618154</ns0:v>
      </ns0:c>
      <ns0:c r="K10" s="16">
        <ns0:f>A10*('前提と出典'!$C$36*'契約別単価'!K5+'前提と出典'!$C$37*'契約別単価'!K6+'前提と出典'!$C$38*'契約別単価'!K7)</ns0:f>
        <ns0:v>2527.8212290502793</ns0:v>
      </ns0:c>
      <ns0:c r="L10" s="16">
        <ns0:f>A10*('前提と出典'!$C$36*'契約別単価'!L5+'前提と出典'!$C$37*'契約別単価'!L6+'前提と出典'!$C$38*'契約別単価'!L7)</ns0:f>
        <ns0:v>2058.1608601667554</ns0:v>
      </ns0:c>
      <ns0:c r="M10" s="16">
        <ns0:f>IF(('前提と出典'!$C$36+'前提と出典'!$C$38)=0,0,IF(B10&lt;=10,'前提と出典'!B73+'前提と出典'!C73,IF(B10&lt;=100,'前提と出典'!B74+'前提と出典'!C74,IF(B10&lt;=500,'前提と出典'!B75+'前提と出典'!C75,'前提と出典'!B76+'前提と出典'!C76))))</ns0:f>
        <ns0:v>10000</ns0:v>
      </ns0:c>
      <ns0:c r="N10" s="16">
        <ns0:f>IF(('前提と出典'!$C$37+'前提と出典'!$C$38)=0,0,IF(C10&lt;=10,'前提と出典'!D73+'前提と出典'!E73,IF(C10&lt;=100,'前提と出典'!D74+'前提と出典'!E74,IF(C10&lt;=500,'前提と出典'!D75+'前提と出典'!E75,'前提と出典'!D76+'前提と出典'!E76))))</ns0:f>
        <ns0:v>30010.934626307797</ns0:v>
      </ns0:c>
      <ns0:c r="O10" s="16">
        <ns0:f>IF('前提と出典'!$C$36+'前提と出典'!$C$38=0,0,'前提と出典'!$B$4*IF('前提と出典'!$B$20=0,MAX('前提と出典'!$B$6,D10*'前提と出典'!$B$5),'前提と出典'!$B$6+D10*'前提と出典'!$B$5))</ns0:f>
        <ns0:v>22500</ns0:v>
      </ns0:c>
      <ns0:c r="P10" s="16">
        <ns0:f>(E10+G10)*(1-'前提と出典'!$B$7)-I10-K10-M10-O10</ns0:f>
        <ns0:v>-12576.20636244324</ns0:v>
      </ns0:c>
      <ns0:c r="Q10" s="16">
        <ns0:f>(F10+H10)*(1-'前提と出典'!$B$7)-J10-L10-N10</ns0:f>
        <ns0:v>-24270.87721810583</ns0:v>
      </ns0:c>
      <ns0:c r="R10" s="16">
        <ns0:f>P10-E10*'前提と出典'!$E$4</ns0:f>
        <ns0:v>-16059.106744561494</ns0:v>
      </ns0:c>
      <ns0:c r="S10" s="16">
        <ns0:f>Q10-F10*'前提と出典'!$E$4</ns0:f>
        <ns0:v>-25637.789081573042</ns0:v>
      </ns0:c>
      <ns0:c r="T10" s="7">
        <ns0:f>R10+S10</ns0:f>
        <ns0:v>-41696.89582613454</ns0:v>
      </ns0:c>
      <ns0:c r="U10" s="16">
        <ns0:f>P10-E10*'前提と出典'!$E$5</ns0:f>
        <ns0:v>-17220.07353860092</ns0:v>
      </ns0:c>
      <ns0:c r="V10" s="16">
        <ns0:f>Q10-F10*'前提と出典'!$E$5</ns0:f>
        <ns0:v>-26093.42636939544</ns0:v>
      </ns0:c>
      <ns0:c r="W10" s="7">
        <ns0:f>U10+V10</ns0:f>
        <ns0:v>-43313.49990799636</ns0:v>
      </ns0:c>
      <ns0:c r="X10" s="16">
        <ns0:f>P10-E10*'前提と出典'!$E$6</ns0:f>
        <ns0:v>-18381.04033264034</ns0:v>
      </ns0:c>
      <ns0:c r="Y10" s="16">
        <ns0:f>Q10-F10*'前提と出典'!$E$6</ns0:f>
        <ns0:v>-26549.063657217845</ns0:v>
      </ns0:c>
      <ns0:c r="Z10" s="7">
        <ns0:f>X10+Y10</ns0:f>
        <ns0:v>-44930.10398985818</ns0:v>
      </ns0:c>
      <ns0:c r="AA10" s="7">
        <ns0:f>IF(T10&gt;=0,A10,1001)</ns0:f>
        <ns0:v>1001</ns0:v>
      </ns0:c>
      <ns0:c r="AB10" s="7">
        <ns0:f>IF(T10&lt;0,A10,0)</ns0:f>
        <ns0:v>6</ns0:v>
      </ns0:c>
      <ns0:c r="AC10" s="16">
        <ns0:f>IF(AND(OR('前提と出典'!$C$36+'前提と出典'!$C$38=0,R10&gt;=0),OR('前提と出典'!$C$37+'前提と出典'!$C$38=0,S10&gt;=0)),0,A10)</ns0:f>
        <ns0:v>6</ns0:v>
      </ns0:c>
      <ns0:c r="AD10" s="7">
        <ns0:f>IF(W10&gt;=0,A10,1001)</ns0:f>
        <ns0:v>1001</ns0:v>
      </ns0:c>
      <ns0:c r="AE10" s="7">
        <ns0:f>IF(W10&lt;0,A10,0)</ns0:f>
        <ns0:v>6</ns0:v>
      </ns0:c>
      <ns0:c r="AF10" s="16">
        <ns0:f>IF(AND(OR('前提と出典'!$C$36+'前提と出典'!$C$38=0,U10&gt;=0),OR('前提と出典'!$C$37+'前提と出典'!$C$38=0,V10&gt;=0)),0,A10)</ns0:f>
        <ns0:v>6</ns0:v>
      </ns0:c>
      <ns0:c r="AG10" s="7">
        <ns0:f>IF(Z10&gt;=0,A10,1001)</ns0:f>
        <ns0:v>1001</ns0:v>
      </ns0:c>
      <ns0:c r="AH10" s="4">
        <ns0:f>IF(Z10&lt;0,A10,0)</ns0:f>
        <ns0:v>6</ns0:v>
      </ns0:c>
      <ns0:c r="AI10" s="12">
        <ns0:f>IF(AND(OR('前提と出典'!$C$36+'前提と出典'!$C$38=0,X10&gt;=0),OR('前提と出典'!$C$37+'前提と出典'!$C$38=0,Y10&gt;=0)),0,A10)</ns0:f>
        <ns0:v>6</ns0:v>
      </ns0:c>
    </ns0:row>
    <ns0:row r="11" ht="24" customHeight="1">
      <ns0:c r="A11" s="4" t="n">
        <ns0:v>7</ns0:v>
      </ns0:c>
      <ns0:c r="B11" s="12">
        <ns0:f>A11*('前提と出典'!$C$36+'前提と出典'!$C$38)</ns0:f>
        <ns0:v>4.8999999999999995</ns0:v>
      </ns0:c>
      <ns0:c r="C11" s="12">
        <ns0:f>A11*('前提と出典'!$C$37+'前提と出典'!$C$38)</ns0:f>
        <ns0:v>4.2</ns0:v>
      </ns0:c>
      <ns0:c r="D11" s="16">
        <ns0:f>A11*('前提と出典'!$C$36*'契約別単価'!C5+'前提と出典'!$C$37*'契約別単価'!C6+'前提と出典'!$C$38*'契約別単価'!C7)</ns0:f>
        <ns0:v>50.36871508379888</ns0:v>
      </ns0:c>
      <ns0:c r="E11" s="16">
        <ns0:f>A11*('前提と出典'!$C$36*'契約別単価'!E5+'前提と出典'!$C$37*'契約別単価'!E6+'前提と出典'!$C$38*'契約別単価'!E7)</ns0:f>
        <ns0:v>13544.612597126561</ns0:v>
      </ns0:c>
      <ns0:c r="F11" s="16">
        <ns0:f>A11*('前提と出典'!$C$36*'契約別単価'!F5+'前提と出典'!$C$37*'契約別単価'!F6+'前提と出典'!$C$38*'契約別単価'!F7)</ns0:f>
        <ns0:v>5315.768357928038</ns0:v>
      </ns0:c>
      <ns0:c r="G11" s="16">
        <ns0:f>A11*('前提と出典'!$C$36*'契約別単価'!G5+'前提と出典'!$C$37*'契約別単価'!G6+'前提と出典'!$C$38*'契約別単価'!G7)</ns0:f>
        <ns0:v>13933.519553072625</ns0:v>
      </ns0:c>
      <ns0:c r="H11" s="16">
        <ns0:f>A11*('前提と出典'!$C$36*'契約別単価'!H5+'前提と出典'!$C$37*'契約別単価'!H6+'前提と出典'!$C$38*'契約別単価'!H7)</ns0:f>
        <ns0:v>4835.630105836444</ns0:v>
      </ns0:c>
      <ns0:c r="I11" s="16">
        <ns0:f>A11*('前提と出典'!$C$36*'契約別単価'!I5+'前提と出典'!$C$37*'契約別単価'!I6+'前提と出典'!$C$38*'契約別単価'!I7)</ns0:f>
        <ns0:v>295.36871508379886</ns0:v>
      </ns0:c>
      <ns0:c r="J11" s="16">
        <ns0:f>A11*('前提と出典'!$C$36*'契約別単価'!J5+'前提と出典'!$C$37*'契約別単価'!J6+'前提と出典'!$C$38*'契約別単価'!J7)</ns0:f>
        <ns0:v>688.0268059721179</ns0:v>
      </ns0:c>
      <ns0:c r="K11" s="16">
        <ns0:f>A11*('前提と出典'!$C$36*'契約別単価'!K5+'前提と出典'!$C$37*'契約別単価'!K6+'前提と出典'!$C$38*'契約別単価'!K7)</ns0:f>
        <ns0:v>2949.1247672253257</ns0:v>
      </ns0:c>
      <ns0:c r="L11" s="16">
        <ns0:f>A11*('前提と出典'!$C$36*'契約別単価'!L5+'前提と出典'!$C$37*'契約別単価'!L6+'前提と出典'!$C$38*'契約別単価'!L7)</ns0:f>
        <ns0:v>2401.187670194548</ns0:v>
      </ns0:c>
      <ns0:c r="M11" s="16">
        <ns0:f>IF(('前提と出典'!$C$36+'前提と出典'!$C$38)=0,0,IF(B11&lt;=10,'前提と出典'!B73+'前提と出典'!C73,IF(B11&lt;=100,'前提と出典'!B74+'前提と出典'!C74,IF(B11&lt;=500,'前提と出典'!B75+'前提と出典'!C75,'前提と出典'!B76+'前提と出典'!C76))))</ns0:f>
        <ns0:v>10000</ns0:v>
      </ns0:c>
      <ns0:c r="N11" s="16">
        <ns0:f>IF(('前提と出典'!$C$37+'前提と出典'!$C$38)=0,0,IF(C11&lt;=10,'前提と出典'!D73+'前提と出典'!E73,IF(C11&lt;=100,'前提と出典'!D74+'前提と出典'!E74,IF(C11&lt;=500,'前提と出典'!D75+'前提と出典'!E75,'前提と出典'!D76+'前提と出典'!E76))))</ns0:f>
        <ns0:v>30010.934626307797</ns0:v>
      </ns0:c>
      <ns0:c r="O11" s="16">
        <ns0:f>IF('前提と出典'!$C$36+'前提と出典'!$C$38=0,0,'前提と出典'!$B$4*IF('前提と出典'!$B$20=0,MAX('前提と出典'!$B$6,D11*'前提と出典'!$B$5),'前提と出典'!$B$6+D11*'前提と出典'!$B$5))</ns0:f>
        <ns0:v>22500</ns0:v>
      </ns0:c>
      <ns0:c r="P11" s="16">
        <ns0:f>(E11+G11)*(1-'前提と出典'!$B$7)-I11-K11-M11-O11</ns0:f>
        <ns0:v>-9255.574089517111</ns0:v>
      </ns0:c>
      <ns0:c r="Q11" s="16">
        <ns0:f>(F11+H11)*(1-'前提と出典'!$B$7)-J11-L11-N11</ns0:f>
        <ns0:v>-23314.200983405502</ns0:v>
      </ns0:c>
      <ns0:c r="R11" s="16">
        <ns0:f>P11-E11*'前提と出典'!$E$4</ns0:f>
        <ns0:v>-13318.957868655081</ns0:v>
      </ns0:c>
      <ns0:c r="S11" s="16">
        <ns0:f>Q11-F11*'前提と出典'!$E$4</ns0:f>
        <ns0:v>-24908.931490783914</ns0:v>
      </ns0:c>
      <ns0:c r="T11" s="7">
        <ns0:f>R11+S11</ns0:f>
        <ns0:v>-38227.889359438996</ns0:v>
      </ns0:c>
      <ns0:c r="U11" s="16">
        <ns0:f>P11-E11*'前提と出典'!$E$5</ns0:f>
        <ns0:v>-14673.419128367736</ns0:v>
      </ns0:c>
      <ns0:c r="V11" s="16">
        <ns0:f>Q11-F11*'前提と出典'!$E$5</ns0:f>
        <ns0:v>-25440.508326576717</ns0:v>
      </ns0:c>
      <ns0:c r="W11" s="7">
        <ns0:f>U11+V11</ns0:f>
        <ns0:v>-40113.92745494445</ns0:v>
      </ns0:c>
      <ns0:c r="X11" s="16">
        <ns0:f>P11-E11*'前提と出典'!$E$6</ns0:f>
        <ns0:v>-16027.88038808039</ns0:v>
      </ns0:c>
      <ns0:c r="Y11" s="16">
        <ns0:f>Q11-F11*'前提と出典'!$E$6</ns0:f>
        <ns0:v>-25972.08516236952</ns0:v>
      </ns0:c>
      <ns0:c r="Z11" s="7">
        <ns0:f>X11+Y11</ns0:f>
        <ns0:v>-41999.96555044991</ns0:v>
      </ns0:c>
      <ns0:c r="AA11" s="7">
        <ns0:f>IF(T11&gt;=0,A11,1001)</ns0:f>
        <ns0:v>1001</ns0:v>
      </ns0:c>
      <ns0:c r="AB11" s="7">
        <ns0:f>IF(T11&lt;0,A11,0)</ns0:f>
        <ns0:v>7</ns0:v>
      </ns0:c>
      <ns0:c r="AC11" s="16">
        <ns0:f>IF(AND(OR('前提と出典'!$C$36+'前提と出典'!$C$38=0,R11&gt;=0),OR('前提と出典'!$C$37+'前提と出典'!$C$38=0,S11&gt;=0)),0,A11)</ns0:f>
        <ns0:v>7</ns0:v>
      </ns0:c>
      <ns0:c r="AD11" s="7">
        <ns0:f>IF(W11&gt;=0,A11,1001)</ns0:f>
        <ns0:v>1001</ns0:v>
      </ns0:c>
      <ns0:c r="AE11" s="7">
        <ns0:f>IF(W11&lt;0,A11,0)</ns0:f>
        <ns0:v>7</ns0:v>
      </ns0:c>
      <ns0:c r="AF11" s="16">
        <ns0:f>IF(AND(OR('前提と出典'!$C$36+'前提と出典'!$C$38=0,U11&gt;=0),OR('前提と出典'!$C$37+'前提と出典'!$C$38=0,V11&gt;=0)),0,A11)</ns0:f>
        <ns0:v>7</ns0:v>
      </ns0:c>
      <ns0:c r="AG11" s="7">
        <ns0:f>IF(Z11&gt;=0,A11,1001)</ns0:f>
        <ns0:v>1001</ns0:v>
      </ns0:c>
      <ns0:c r="AH11" s="4">
        <ns0:f>IF(Z11&lt;0,A11,0)</ns0:f>
        <ns0:v>7</ns0:v>
      </ns0:c>
      <ns0:c r="AI11" s="12">
        <ns0:f>IF(AND(OR('前提と出典'!$C$36+'前提と出典'!$C$38=0,X11&gt;=0),OR('前提と出典'!$C$37+'前提と出典'!$C$38=0,Y11&gt;=0)),0,A11)</ns0:f>
        <ns0:v>7</ns0:v>
      </ns0:c>
    </ns0:row>
    <ns0:row r="12" ht="24" customHeight="1">
      <ns0:c r="A12" s="4" t="n">
        <ns0:v>8</ns0:v>
      </ns0:c>
      <ns0:c r="B12" s="12">
        <ns0:f>A12*('前提と出典'!$C$36+'前提と出典'!$C$38)</ns0:f>
        <ns0:v>5.6</ns0:v>
      </ns0:c>
      <ns0:c r="C12" s="12">
        <ns0:f>A12*('前提と出典'!$C$37+'前提と出典'!$C$38)</ns0:f>
        <ns0:v>4.8</ns0:v>
      </ns0:c>
      <ns0:c r="D12" s="16">
        <ns0:f>A12*('前提と出典'!$C$36*'契約別単価'!C5+'前提と出典'!$C$37*'契約別単価'!C6+'前提と出典'!$C$38*'契約別単価'!C7)</ns0:f>
        <ns0:v>57.564245810055866</ns0:v>
      </ns0:c>
      <ns0:c r="E12" s="16">
        <ns0:f>A12*('前提と出典'!$C$36*'契約別単価'!E5+'前提と出典'!$C$37*'契約別単価'!E6+'前提と出典'!$C$38*'契約別単価'!E7)</ns0:f>
        <ns0:v>15479.557253858928</ns0:v>
      </ns0:c>
      <ns0:c r="F12" s="16">
        <ns0:f>A12*('前提と出典'!$C$36*'契約別単価'!F5+'前提と出典'!$C$37*'契約別単価'!F6+'前提と出典'!$C$38*'契約別単価'!F7)</ns0:f>
        <ns0:v>6075.163837632044</ns0:v>
      </ns0:c>
      <ns0:c r="G12" s="16">
        <ns0:f>A12*('前提と出典'!$C$36*'契約別単価'!G5+'前提と出典'!$C$37*'契約別単価'!G6+'前提と出典'!$C$38*'契約別単価'!G7)</ns0:f>
        <ns0:v>15924.022346368714</ns0:v>
      </ns0:c>
      <ns0:c r="H12" s="16">
        <ns0:f>A12*('前提と出典'!$C$36*'契約別単価'!H5+'前提と出典'!$C$37*'契約別単価'!H6+'前提と出典'!$C$38*'契約別単価'!H7)</ns0:f>
        <ns0:v>5526.4344066702215</ns0:v>
      </ns0:c>
      <ns0:c r="I12" s="16">
        <ns0:f>A12*('前提と出典'!$C$36*'契約別単価'!I5+'前提と出典'!$C$37*'契約別単価'!I6+'前提と出典'!$C$38*'契約別単価'!I7)</ns0:f>
        <ns0:v>337.5642458100558</ns0:v>
      </ns0:c>
      <ns0:c r="J12" s="16">
        <ns0:f>A12*('前提と出典'!$C$36*'契約別単価'!J5+'前提と出典'!$C$37*'契約別単価'!J6+'前提と出典'!$C$38*'契約別単価'!J7)</ns0:f>
        <ns0:v>786.3163496824205</ns0:v>
      </ns0:c>
      <ns0:c r="K12" s="16">
        <ns0:f>A12*('前提と出典'!$C$36*'契約別単価'!K5+'前提と出典'!$C$37*'契約別単価'!K6+'前提と出典'!$C$38*'契約別単価'!K7)</ns0:f>
        <ns0:v>3370.428305400372</ns0:v>
      </ns0:c>
      <ns0:c r="L12" s="16">
        <ns0:f>A12*('前提と出典'!$C$36*'契約別単価'!L5+'前提と出典'!$C$37*'契約別単価'!L6+'前提と出典'!$C$38*'契約別単価'!L7)</ns0:f>
        <ns0:v>2744.2144802223406</ns0:v>
      </ns0:c>
      <ns0:c r="M12" s="16">
        <ns0:f>IF(('前提と出典'!$C$36+'前提と出典'!$C$38)=0,0,IF(B12&lt;=10,'前提と出典'!B73+'前提と出典'!C73,IF(B12&lt;=100,'前提と出典'!B74+'前提と出典'!C74,IF(B12&lt;=500,'前提と出典'!B75+'前提と出典'!C75,'前提と出典'!B76+'前提と出典'!C76))))</ns0:f>
        <ns0:v>10000</ns0:v>
      </ns0:c>
      <ns0:c r="N12" s="16">
        <ns0:f>IF(('前提と出典'!$C$37+'前提と出典'!$C$38)=0,0,IF(C12&lt;=10,'前提と出典'!D73+'前提と出典'!E73,IF(C12&lt;=100,'前提と出典'!D74+'前提と出典'!E74,IF(C12&lt;=500,'前提と出典'!D75+'前提と出典'!E75,'前提と出典'!D76+'前提と出典'!E76))))</ns0:f>
        <ns0:v>30010.934626307797</ns0:v>
      </ns0:c>
      <ns0:c r="O12" s="16">
        <ns0:f>IF('前提と出典'!$C$36+'前提と出典'!$C$38=0,0,'前提と出典'!$B$4*IF('前提と出典'!$B$20=0,MAX('前提と出典'!$B$6,D12*'前提と出典'!$B$5),'前提と出典'!$B$6+D12*'前提と出典'!$B$5))</ns0:f>
        <ns0:v>22500</ns0:v>
      </ns0:c>
      <ns0:c r="P12" s="16">
        <ns0:f>(E12+G12)*(1-'前提と出典'!$B$7)-I12-K12-M12-O12</ns0:f>
        <ns0:v>-5934.941816590981</ns0:v>
      </ns0:c>
      <ns0:c r="Q12" s="16">
        <ns0:f>(F12+H12)*(1-'前提と出典'!$B$7)-J12-L12-N12</ns0:f>
        <ns0:v>-22357.524748705175</ns0:v>
      </ns0:c>
      <ns0:c r="R12" s="16">
        <ns0:f>P12-E12*'前提と出典'!$E$4</ns0:f>
        <ns0:v>-10578.808992748658</ns0:v>
      </ns0:c>
      <ns0:c r="S12" s="16">
        <ns0:f>Q12-F12*'前提と出典'!$E$4</ns0:f>
        <ns0:v>-24180.073899994786</ns0:v>
      </ns0:c>
      <ns0:c r="T12" s="7">
        <ns0:f>R12+S12</ns0:f>
        <ns0:v>-34758.882892743444</ns0:v>
      </ns0:c>
      <ns0:c r="U12" s="16">
        <ns0:f>P12-E12*'前提と出典'!$E$5</ns0:f>
        <ns0:v>-12126.764718134553</ns0:v>
      </ns0:c>
      <ns0:c r="V12" s="16">
        <ns0:f>Q12-F12*'前提と出典'!$E$5</ns0:f>
        <ns0:v>-24787.590283757992</ns0:v>
      </ns0:c>
      <ns0:c r="W12" s="7">
        <ns0:f>U12+V12</ns0:f>
        <ns0:v>-36914.355001892545</ns0:v>
      </ns0:c>
      <ns0:c r="X12" s="16">
        <ns0:f>P12-E12*'前提と出典'!$E$6</ns0:f>
        <ns0:v>-13674.720443520444</ns0:v>
      </ns0:c>
      <ns0:c r="Y12" s="16">
        <ns0:f>Q12-F12*'前提と出典'!$E$6</ns0:f>
        <ns0:v>-25395.1066675212</ns0:v>
      </ns0:c>
      <ns0:c r="Z12" s="7">
        <ns0:f>X12+Y12</ns0:f>
        <ns0:v>-39069.82711104164</ns0:v>
      </ns0:c>
      <ns0:c r="AA12" s="7">
        <ns0:f>IF(T12&gt;=0,A12,1001)</ns0:f>
        <ns0:v>1001</ns0:v>
      </ns0:c>
      <ns0:c r="AB12" s="7">
        <ns0:f>IF(T12&lt;0,A12,0)</ns0:f>
        <ns0:v>8</ns0:v>
      </ns0:c>
      <ns0:c r="AC12" s="16">
        <ns0:f>IF(AND(OR('前提と出典'!$C$36+'前提と出典'!$C$38=0,R12&gt;=0),OR('前提と出典'!$C$37+'前提と出典'!$C$38=0,S12&gt;=0)),0,A12)</ns0:f>
        <ns0:v>8</ns0:v>
      </ns0:c>
      <ns0:c r="AD12" s="7">
        <ns0:f>IF(W12&gt;=0,A12,1001)</ns0:f>
        <ns0:v>1001</ns0:v>
      </ns0:c>
      <ns0:c r="AE12" s="7">
        <ns0:f>IF(W12&lt;0,A12,0)</ns0:f>
        <ns0:v>8</ns0:v>
      </ns0:c>
      <ns0:c r="AF12" s="16">
        <ns0:f>IF(AND(OR('前提と出典'!$C$36+'前提と出典'!$C$38=0,U12&gt;=0),OR('前提と出典'!$C$37+'前提と出典'!$C$38=0,V12&gt;=0)),0,A12)</ns0:f>
        <ns0:v>8</ns0:v>
      </ns0:c>
      <ns0:c r="AG12" s="7">
        <ns0:f>IF(Z12&gt;=0,A12,1001)</ns0:f>
        <ns0:v>1001</ns0:v>
      </ns0:c>
      <ns0:c r="AH12" s="4">
        <ns0:f>IF(Z12&lt;0,A12,0)</ns0:f>
        <ns0:v>8</ns0:v>
      </ns0:c>
      <ns0:c r="AI12" s="12">
        <ns0:f>IF(AND(OR('前提と出典'!$C$36+'前提と出典'!$C$38=0,X12&gt;=0),OR('前提と出典'!$C$37+'前提と出典'!$C$38=0,Y12&gt;=0)),0,A12)</ns0:f>
        <ns0:v>8</ns0:v>
      </ns0:c>
    </ns0:row>
    <ns0:row r="13" ht="24" customHeight="1">
      <ns0:c r="A13" s="4" t="n">
        <ns0:v>9</ns0:v>
      </ns0:c>
      <ns0:c r="B13" s="12">
        <ns0:f>A13*('前提と出典'!$C$36+'前提と出典'!$C$38)</ns0:f>
        <ns0:v>6.3</ns0:v>
      </ns0:c>
      <ns0:c r="C13" s="12">
        <ns0:f>A13*('前提と出典'!$C$37+'前提と出典'!$C$38)</ns0:f>
        <ns0:v>5.3999999999999995</ns0:v>
      </ns0:c>
      <ns0:c r="D13" s="16">
        <ns0:f>A13*('前提と出典'!$C$36*'契約別単価'!C5+'前提と出典'!$C$37*'契約別単価'!C6+'前提と出典'!$C$38*'契約別単価'!C7)</ns0:f>
        <ns0:v>64.75977653631284</ns0:v>
      </ns0:c>
      <ns0:c r="E13" s="16">
        <ns0:f>A13*('前提と出典'!$C$36*'契約別単価'!E5+'前提と出典'!$C$37*'契約別単価'!E6+'前提と出典'!$C$38*'契約別単価'!E7)</ns0:f>
        <ns0:v>17414.501910591294</ns0:v>
      </ns0:c>
      <ns0:c r="F13" s="16">
        <ns0:f>A13*('前提と出典'!$C$36*'契約別単価'!F5+'前提と出典'!$C$37*'契約別単価'!F6+'前提と出典'!$C$38*'契約別単価'!F7)</ns0:f>
        <ns0:v>6834.55931733605</ns0:v>
      </ns0:c>
      <ns0:c r="G13" s="16">
        <ns0:f>A13*('前提と出典'!$C$36*'契約別単価'!G5+'前提と出典'!$C$37*'契約別単価'!G6+'前提と出典'!$C$38*'契約別単価'!G7)</ns0:f>
        <ns0:v>17914.525139664802</ns0:v>
      </ns0:c>
      <ns0:c r="H13" s="16">
        <ns0:f>A13*('前提と出典'!$C$36*'契約別単価'!H5+'前提と出典'!$C$37*'契約別単価'!H6+'前提と出典'!$C$38*'契約別単価'!H7)</ns0:f>
        <ns0:v>6217.238707503999</ns0:v>
      </ns0:c>
      <ns0:c r="I13" s="16">
        <ns0:f>A13*('前提と出典'!$C$36*'契約別単価'!I5+'前提と出典'!$C$37*'契約別単価'!I6+'前提と出典'!$C$38*'契約別単価'!I7)</ns0:f>
        <ns0:v>379.75977653631276</ns0:v>
      </ns0:c>
      <ns0:c r="J13" s="16">
        <ns0:f>A13*('前提と出典'!$C$36*'契約別単価'!J5+'前提と出典'!$C$37*'契約別単価'!J6+'前提と出典'!$C$38*'契約別単価'!J7)</ns0:f>
        <ns0:v>884.6058933927231</ns0:v>
      </ns0:c>
      <ns0:c r="K13" s="16">
        <ns0:f>A13*('前提と出典'!$C$36*'契約別単価'!K5+'前提と出典'!$C$37*'契約別単価'!K6+'前提と出典'!$C$38*'契約別単価'!K7)</ns0:f>
        <ns0:v>3791.7318435754187</ns0:v>
      </ns0:c>
      <ns0:c r="L13" s="16">
        <ns0:f>A13*('前提と出典'!$C$36*'契約別単価'!L5+'前提と出典'!$C$37*'契約別単価'!L6+'前提と出典'!$C$38*'契約別単価'!L7)</ns0:f>
        <ns0:v>3087.2412902501333</ns0:v>
      </ns0:c>
      <ns0:c r="M13" s="16">
        <ns0:f>IF(('前提と出典'!$C$36+'前提と出典'!$C$38)=0,0,IF(B13&lt;=10,'前提と出典'!B73+'前提と出典'!C73,IF(B13&lt;=100,'前提と出典'!B74+'前提と出典'!C74,IF(B13&lt;=500,'前提と出典'!B75+'前提と出典'!C75,'前提と出典'!B76+'前提と出典'!C76))))</ns0:f>
        <ns0:v>10000</ns0:v>
      </ns0:c>
      <ns0:c r="N13" s="16">
        <ns0:f>IF(('前提と出典'!$C$37+'前提と出典'!$C$38)=0,0,IF(C13&lt;=10,'前提と出典'!D73+'前提と出典'!E73,IF(C13&lt;=100,'前提と出典'!D74+'前提と出典'!E74,IF(C13&lt;=500,'前提と出典'!D75+'前提と出典'!E75,'前提と出典'!D76+'前提と出典'!E76))))</ns0:f>
        <ns0:v>30010.934626307797</ns0:v>
      </ns0:c>
      <ns0:c r="O13" s="16">
        <ns0:f>IF('前提と出典'!$C$36+'前提と出典'!$C$38=0,0,'前提と出典'!$B$4*IF('前提と出典'!$B$20=0,MAX('前提と出典'!$B$6,D13*'前提と出典'!$B$5),'前提と出典'!$B$6+D13*'前提と出典'!$B$5))</ns0:f>
        <ns0:v>22500</ns0:v>
      </ns0:c>
      <ns0:c r="P13" s="16">
        <ns0:f>(E13+G13)*(1-'前提と出典'!$B$7)-I13-K13-M13-O13</ns0:f>
        <ns0:v>-2614.309543664859</ns0:v>
      </ns0:c>
      <ns0:c r="Q13" s="16">
        <ns0:f>(F13+H13)*(1-'前提と出典'!$B$7)-J13-L13-N13</ns0:f>
        <ns0:v>-21400.848514004847</ns0:v>
      </ns0:c>
      <ns0:c r="R13" s="16">
        <ns0:f>P13-E13*'前提と出典'!$E$4</ns0:f>
        <ns0:v>-7838.660116842242</ns0:v>
      </ns0:c>
      <ns0:c r="S13" s="16">
        <ns0:f>Q13-F13*'前提と出典'!$E$4</ns0:f>
        <ns0:v>-23451.216309205658</ns0:v>
      </ns0:c>
      <ns0:c r="T13" s="7">
        <ns0:f>R13+S13</ns0:f>
        <ns0:v>-31289.8764260479</ns0:v>
      </ns0:c>
      <ns0:c r="U13" s="16">
        <ns0:f>P13-E13*'前提と出典'!$E$5</ns0:f>
        <ns0:v>-9580.110307901377</ns0:v>
      </ns0:c>
      <ns0:c r="V13" s="16">
        <ns0:f>Q13-F13*'前提と出典'!$E$5</ns0:f>
        <ns0:v>-24134.672240939268</ns0:v>
      </ns0:c>
      <ns0:c r="W13" s="7">
        <ns0:f>U13+V13</ns0:f>
        <ns0:v>-33714.782548840645</ns0:v>
      </ns0:c>
      <ns0:c r="X13" s="16">
        <ns0:f>P13-E13*'前提と出典'!$E$6</ns0:f>
        <ns0:v>-11321.560498960505</ns0:v>
      </ns0:c>
      <ns0:c r="Y13" s="16">
        <ns0:f>Q13-F13*'前提と出典'!$E$6</ns0:f>
        <ns0:v>-24818.12817267287</ns0:v>
      </ns0:c>
      <ns0:c r="Z13" s="7">
        <ns0:f>X13+Y13</ns0:f>
        <ns0:v>-36139.688671633376</ns0:v>
      </ns0:c>
      <ns0:c r="AA13" s="7">
        <ns0:f>IF(T13&gt;=0,A13,1001)</ns0:f>
        <ns0:v>1001</ns0:v>
      </ns0:c>
      <ns0:c r="AB13" s="7">
        <ns0:f>IF(T13&lt;0,A13,0)</ns0:f>
        <ns0:v>9</ns0:v>
      </ns0:c>
      <ns0:c r="AC13" s="16">
        <ns0:f>IF(AND(OR('前提と出典'!$C$36+'前提と出典'!$C$38=0,R13&gt;=0),OR('前提と出典'!$C$37+'前提と出典'!$C$38=0,S13&gt;=0)),0,A13)</ns0:f>
        <ns0:v>9</ns0:v>
      </ns0:c>
      <ns0:c r="AD13" s="7">
        <ns0:f>IF(W13&gt;=0,A13,1001)</ns0:f>
        <ns0:v>1001</ns0:v>
      </ns0:c>
      <ns0:c r="AE13" s="7">
        <ns0:f>IF(W13&lt;0,A13,0)</ns0:f>
        <ns0:v>9</ns0:v>
      </ns0:c>
      <ns0:c r="AF13" s="16">
        <ns0:f>IF(AND(OR('前提と出典'!$C$36+'前提と出典'!$C$38=0,U13&gt;=0),OR('前提と出典'!$C$37+'前提と出典'!$C$38=0,V13&gt;=0)),0,A13)</ns0:f>
        <ns0:v>9</ns0:v>
      </ns0:c>
      <ns0:c r="AG13" s="7">
        <ns0:f>IF(Z13&gt;=0,A13,1001)</ns0:f>
        <ns0:v>1001</ns0:v>
      </ns0:c>
      <ns0:c r="AH13" s="4">
        <ns0:f>IF(Z13&lt;0,A13,0)</ns0:f>
        <ns0:v>9</ns0:v>
      </ns0:c>
      <ns0:c r="AI13" s="12">
        <ns0:f>IF(AND(OR('前提と出典'!$C$36+'前提と出典'!$C$38=0,X13&gt;=0),OR('前提と出典'!$C$37+'前提と出典'!$C$38=0,Y13&gt;=0)),0,A13)</ns0:f>
        <ns0:v>9</ns0:v>
      </ns0:c>
    </ns0:row>
    <ns0:row r="14" ht="24" customHeight="1">
      <ns0:c r="A14" s="4" t="n">
        <ns0:v>10</ns0:v>
      </ns0:c>
      <ns0:c r="B14" s="12">
        <ns0:f>A14*('前提と出典'!$C$36+'前提と出典'!$C$38)</ns0:f>
        <ns0:v>7</ns0:v>
      </ns0:c>
      <ns0:c r="C14" s="12">
        <ns0:f>A14*('前提と出典'!$C$37+'前提と出典'!$C$38)</ns0:f>
        <ns0:v>6</ns0:v>
      </ns0:c>
      <ns0:c r="D14" s="16">
        <ns0:f>A14*('前提と出典'!$C$36*'契約別単価'!C5+'前提と出典'!$C$37*'契約別単価'!C6+'前提と出典'!$C$38*'契約別単価'!C7)</ns0:f>
        <ns0:v>71.95530726256983</ns0:v>
      </ns0:c>
      <ns0:c r="E14" s="16">
        <ns0:f>A14*('前提と出典'!$C$36*'契約別単価'!E5+'前提と出典'!$C$37*'契約別単価'!E6+'前提と出典'!$C$38*'契約別単価'!E7)</ns0:f>
        <ns0:v>19349.44656732366</ns0:v>
      </ns0:c>
      <ns0:c r="F14" s="16">
        <ns0:f>A14*('前提と出典'!$C$36*'契約別単価'!F5+'前提と出典'!$C$37*'契約別単価'!F6+'前提と出典'!$C$38*'契約別単価'!F7)</ns0:f>
        <ns0:v>7593.954797040055</ns0:v>
      </ns0:c>
      <ns0:c r="G14" s="16">
        <ns0:f>A14*('前提と出典'!$C$36*'契約別単価'!G5+'前提と出典'!$C$37*'契約別単価'!G6+'前提と出典'!$C$38*'契約別単価'!G7)</ns0:f>
        <ns0:v>19905.027932960893</ns0:v>
      </ns0:c>
      <ns0:c r="H14" s="16">
        <ns0:f>A14*('前提と出典'!$C$36*'契約別単価'!H5+'前提と出典'!$C$37*'契約別単価'!H6+'前提と出典'!$C$38*'契約別単価'!H7)</ns0:f>
        <ns0:v>6908.043008337777</ns0:v>
      </ns0:c>
      <ns0:c r="I14" s="16">
        <ns0:f>A14*('前提と出典'!$C$36*'契約別単価'!I5+'前提と出典'!$C$37*'契約別単価'!I6+'前提と出典'!$C$38*'契約別単価'!I7)</ns0:f>
        <ns0:v>421.95530726256976</ns0:v>
      </ns0:c>
      <ns0:c r="J14" s="16">
        <ns0:f>A14*('前提と出典'!$C$36*'契約別単価'!J5+'前提と出典'!$C$37*'契約別単価'!J6+'前提と出典'!$C$38*'契約別単価'!J7)</ns0:f>
        <ns0:v>982.8954371030256</ns0:v>
      </ns0:c>
      <ns0:c r="K14" s="16">
        <ns0:f>A14*('前提と出典'!$C$36*'契約別単価'!K5+'前提と出典'!$C$37*'契約別単価'!K6+'前提と出典'!$C$38*'契約別単価'!K7)</ns0:f>
        <ns0:v>4213.035381750466</ns0:v>
      </ns0:c>
      <ns0:c r="L14" s="16">
        <ns0:f>A14*('前提と出典'!$C$36*'契約別単価'!L5+'前提と出典'!$C$37*'契約別単価'!L6+'前提と出典'!$C$38*'契約別単価'!L7)</ns0:f>
        <ns0:v>3430.268100277926</ns0:v>
      </ns0:c>
      <ns0:c r="M14" s="16">
        <ns0:f>IF(('前提と出典'!$C$36+'前提と出典'!$C$38)=0,0,IF(B14&lt;=10,'前提と出典'!B73+'前提と出典'!C73,IF(B14&lt;=100,'前提と出典'!B74+'前提と出典'!C74,IF(B14&lt;=500,'前提と出典'!B75+'前提と出典'!C75,'前提と出典'!B76+'前提と出典'!C76))))</ns0:f>
        <ns0:v>10000</ns0:v>
      </ns0:c>
      <ns0:c r="N14" s="16">
        <ns0:f>IF(('前提と出典'!$C$37+'前提と出典'!$C$38)=0,0,IF(C14&lt;=10,'前提と出典'!D73+'前提と出典'!E73,IF(C14&lt;=100,'前提と出典'!D74+'前提と出典'!E74,IF(C14&lt;=500,'前提と出典'!D75+'前提と出典'!E75,'前提と出典'!D76+'前提と出典'!E76))))</ns0:f>
        <ns0:v>30010.934626307797</ns0:v>
      </ns0:c>
      <ns0:c r="O14" s="16">
        <ns0:f>IF('前提と出典'!$C$36+'前提と出典'!$C$38=0,0,'前提と出典'!$B$4*IF('前提と出典'!$B$20=0,MAX('前提と出典'!$B$6,D14*'前提と出典'!$B$5),'前提と出典'!$B$6+D14*'前提と出典'!$B$5))</ns0:f>
        <ns0:v>22500</ns0:v>
      </ns0:c>
      <ns0:c r="P14" s="16">
        <ns0:f>(E14+G14)*(1-'前提と出典'!$B$7)-I14-K14-M14-O14</ns0:f>
        <ns0:v>706.3227292612728</ns0:v>
      </ns0:c>
      <ns0:c r="Q14" s="16">
        <ns0:f>(F14+H14)*(1-'前提と出典'!$B$7)-J14-L14-N14</ns0:f>
        <ns0:v>-20444.17227930452</ns0:v>
      </ns0:c>
      <ns0:c r="R14" s="16">
        <ns0:f>P14-E14*'前提と出典'!$E$4</ns0:f>
        <ns0:v>-5098.511240935826</ns0:v>
      </ns0:c>
      <ns0:c r="S14" s="16">
        <ns0:f>Q14-F14*'前提と出典'!$E$4</ns0:f>
        <ns0:v>-22722.358718416534</ns0:v>
      </ns0:c>
      <ns0:c r="T14" s="7">
        <ns0:f>R14+S14</ns0:f>
        <ns0:v>-27820.86995935236</ns0:v>
      </ns0:c>
      <ns0:c r="U14" s="16">
        <ns0:f>P14-E14*'前提と出典'!$E$5</ns0:f>
        <ns0:v>-7033.455897668191</ns0:v>
      </ns0:c>
      <ns0:c r="V14" s="16">
        <ns0:f>Q14-F14*'前提と出典'!$E$5</ns0:f>
        <ns0:v>-23481.75419812054</ns0:v>
      </ns0:c>
      <ns0:c r="W14" s="7">
        <ns0:f>U14+V14</ns0:f>
        <ns0:v>-30515.21009578873</ns0:v>
      </ns0:c>
      <ns0:c r="X14" s="16">
        <ns0:f>P14-E14*'前提と出典'!$E$6</ns0:f>
        <ns0:v>-8968.400554400556</ns0:v>
      </ns0:c>
      <ns0:c r="Y14" s="16">
        <ns0:f>Q14-F14*'前提と出典'!$E$6</ns0:f>
        <ns0:v>-24241.149677824546</ns0:v>
      </ns0:c>
      <ns0:c r="Z14" s="7">
        <ns0:f>X14+Y14</ns0:f>
        <ns0:v>-33209.5502322251</ns0:v>
      </ns0:c>
      <ns0:c r="AA14" s="7">
        <ns0:f>IF(T14&gt;=0,A14,1001)</ns0:f>
        <ns0:v>1001</ns0:v>
      </ns0:c>
      <ns0:c r="AB14" s="7">
        <ns0:f>IF(T14&lt;0,A14,0)</ns0:f>
        <ns0:v>10</ns0:v>
      </ns0:c>
      <ns0:c r="AC14" s="16">
        <ns0:f>IF(AND(OR('前提と出典'!$C$36+'前提と出典'!$C$38=0,R14&gt;=0),OR('前提と出典'!$C$37+'前提と出典'!$C$38=0,S14&gt;=0)),0,A14)</ns0:f>
        <ns0:v>10</ns0:v>
      </ns0:c>
      <ns0:c r="AD14" s="7">
        <ns0:f>IF(W14&gt;=0,A14,1001)</ns0:f>
        <ns0:v>1001</ns0:v>
      </ns0:c>
      <ns0:c r="AE14" s="7">
        <ns0:f>IF(W14&lt;0,A14,0)</ns0:f>
        <ns0:v>10</ns0:v>
      </ns0:c>
      <ns0:c r="AF14" s="16">
        <ns0:f>IF(AND(OR('前提と出典'!$C$36+'前提と出典'!$C$38=0,U14&gt;=0),OR('前提と出典'!$C$37+'前提と出典'!$C$38=0,V14&gt;=0)),0,A14)</ns0:f>
        <ns0:v>10</ns0:v>
      </ns0:c>
      <ns0:c r="AG14" s="7">
        <ns0:f>IF(Z14&gt;=0,A14,1001)</ns0:f>
        <ns0:v>1001</ns0:v>
      </ns0:c>
      <ns0:c r="AH14" s="4">
        <ns0:f>IF(Z14&lt;0,A14,0)</ns0:f>
        <ns0:v>10</ns0:v>
      </ns0:c>
      <ns0:c r="AI14" s="12">
        <ns0:f>IF(AND(OR('前提と出典'!$C$36+'前提と出典'!$C$38=0,X14&gt;=0),OR('前提と出典'!$C$37+'前提と出典'!$C$38=0,Y14&gt;=0)),0,A14)</ns0:f>
        <ns0:v>10</ns0:v>
      </ns0:c>
    </ns0:row>
    <ns0:row r="15" ht="24" customHeight="1">
      <ns0:c r="A15" s="4" t="n">
        <ns0:v>11</ns0:v>
      </ns0:c>
      <ns0:c r="B15" s="12">
        <ns0:f>A15*('前提と出典'!$C$36+'前提と出典'!$C$38)</ns0:f>
        <ns0:v>7.699999999999999</ns0:v>
      </ns0:c>
      <ns0:c r="C15" s="12">
        <ns0:f>A15*('前提と出典'!$C$37+'前提と出典'!$C$38)</ns0:f>
        <ns0:v>6.6</ns0:v>
      </ns0:c>
      <ns0:c r="D15" s="16">
        <ns0:f>A15*('前提と出典'!$C$36*'契約別単価'!C5+'前提と出典'!$C$37*'契約別単価'!C6+'前提と出典'!$C$38*'契約別単価'!C7)</ns0:f>
        <ns0:v>79.15083798882682</ns0:v>
      </ns0:c>
      <ns0:c r="E15" s="16">
        <ns0:f>A15*('前提と出典'!$C$36*'契約別単価'!E5+'前提と出典'!$C$37*'契約別単価'!E6+'前提と出典'!$C$38*'契約別単価'!E7)</ns0:f>
        <ns0:v>21284.391224056024</ns0:v>
      </ns0:c>
      <ns0:c r="F15" s="16">
        <ns0:f>A15*('前提と出典'!$C$36*'契約別単価'!F5+'前提と出典'!$C$37*'契約別単価'!F6+'前提と出典'!$C$38*'契約別単価'!F7)</ns0:f>
        <ns0:v>8353.35027674406</ns0:v>
      </ns0:c>
      <ns0:c r="G15" s="16">
        <ns0:f>A15*('前提と出典'!$C$36*'契約別単価'!G5+'前提と出典'!$C$37*'契約別単価'!G6+'前提と出典'!$C$38*'契約別単価'!G7)</ns0:f>
        <ns0:v>21895.530726256984</ns0:v>
      </ns0:c>
      <ns0:c r="H15" s="16">
        <ns0:f>A15*('前提と出典'!$C$36*'契約別単価'!H5+'前提と出典'!$C$37*'契約別単価'!H6+'前提と出典'!$C$38*'契約別単価'!H7)</ns0:f>
        <ns0:v>7598.847309171555</ns0:v>
      </ns0:c>
      <ns0:c r="I15" s="16">
        <ns0:f>A15*('前提と出典'!$C$36*'契約別単価'!I5+'前提と出典'!$C$37*'契約別単価'!I6+'前提と出典'!$C$38*'契約別単価'!I7)</ns0:f>
        <ns0:v>464.15083798882677</ns0:v>
      </ns0:c>
      <ns0:c r="J15" s="16">
        <ns0:f>A15*('前提と出典'!$C$36*'契約別単価'!J5+'前提と出典'!$C$37*'契約別単価'!J6+'前提と出典'!$C$38*'契約別単価'!J7)</ns0:f>
        <ns0:v>1081.1849808133281</ns0:v>
      </ns0:c>
      <ns0:c r="K15" s="16">
        <ns0:f>A15*('前提と出典'!$C$36*'契約別単価'!K5+'前提と出典'!$C$37*'契約別単価'!K6+'前提と出典'!$C$38*'契約別単価'!K7)</ns0:f>
        <ns0:v>4634.338919925512</ns0:v>
      </ns0:c>
      <ns0:c r="L15" s="16">
        <ns0:f>A15*('前提と出典'!$C$36*'契約別単価'!L5+'前提と出典'!$C$37*'契約別単価'!L6+'前提と出典'!$C$38*'契約別単価'!L7)</ns0:f>
        <ns0:v>3773.2949103057185</ns0:v>
      </ns0:c>
      <ns0:c r="M15" s="16">
        <ns0:f>IF(('前提と出典'!$C$36+'前提と出典'!$C$38)=0,0,IF(B15&lt;=10,'前提と出典'!B73+'前提と出典'!C73,IF(B15&lt;=100,'前提と出典'!B74+'前提と出典'!C74,IF(B15&lt;=500,'前提と出典'!B75+'前提と出典'!C75,'前提と出典'!B76+'前提と出典'!C76))))</ns0:f>
        <ns0:v>10000</ns0:v>
      </ns0:c>
      <ns0:c r="N15" s="16">
        <ns0:f>IF(('前提と出典'!$C$37+'前提と出典'!$C$38)=0,0,IF(C15&lt;=10,'前提と出典'!D73+'前提と出典'!E73,IF(C15&lt;=100,'前提と出典'!D74+'前提と出典'!E74,IF(C15&lt;=500,'前提と出典'!D75+'前提と出典'!E75,'前提と出典'!D76+'前提と出典'!E76))))</ns0:f>
        <ns0:v>30010.934626307797</ns0:v>
      </ns0:c>
      <ns0:c r="O15" s="16">
        <ns0:f>IF('前提と出典'!$C$36+'前提と出典'!$C$38=0,0,'前提と出典'!$B$4*IF('前提と出典'!$B$20=0,MAX('前提と出典'!$B$6,D15*'前提と出典'!$B$5),'前提と出典'!$B$6+D15*'前提と出典'!$B$5))</ns0:f>
        <ns0:v>22500</ns0:v>
      </ns0:c>
      <ns0:c r="P15" s="16">
        <ns0:f>(E15+G15)*(1-'前提と出典'!$B$7)-I15-K15-M15-O15</ns0:f>
        <ns0:v>4026.9550021873983</ns0:v>
      </ns0:c>
      <ns0:c r="Q15" s="16">
        <ns0:f>(F15+H15)*(1-'前提と出典'!$B$7)-J15-L15-N15</ns0:f>
        <ns0:v>-19487.496044604188</ns0:v>
      </ns0:c>
      <ns0:c r="R15" s="16">
        <ns0:f>P15-E15*'前提と出典'!$E$4</ns0:f>
        <ns0:v>-2358.362365029403</ns0:v>
      </ns0:c>
      <ns0:c r="S15" s="16">
        <ns0:f>Q15-F15*'前提と出典'!$E$4</ns0:f>
        <ns0:v>-21993.50112762741</ns0:v>
      </ns0:c>
      <ns0:c r="T15" s="7">
        <ns0:f>R15+S15</ns0:f>
        <ns0:v>-24351.863492656812</ns0:v>
      </ns0:c>
      <ns0:c r="U15" s="16">
        <ns0:f>P15-E15*'前提と出典'!$E$5</ns0:f>
        <ns0:v>-4486.801487435012</ns0:v>
      </ns0:c>
      <ns0:c r="V15" s="16">
        <ns0:f>Q15-F15*'前提と出典'!$E$5</ns0:f>
        <ns0:v>-22828.83615530181</ns0:v>
      </ns0:c>
      <ns0:c r="W15" s="7">
        <ns0:f>U15+V15</ns0:f>
        <ns0:v>-27315.637642736823</ns0:v>
      </ns0:c>
      <ns0:c r="X15" s="16">
        <ns0:f>P15-E15*'前提と出典'!$E$6</ns0:f>
        <ns0:v>-6615.24060984061</ns0:v>
      </ns0:c>
      <ns0:c r="Y15" s="16">
        <ns0:f>Q15-F15*'前提と出典'!$E$6</ns0:f>
        <ns0:v>-23664.17118297622</ns0:v>
      </ns0:c>
      <ns0:c r="Z15" s="7">
        <ns0:f>X15+Y15</ns0:f>
        <ns0:v>-30279.41179281683</ns0:v>
      </ns0:c>
      <ns0:c r="AA15" s="7">
        <ns0:f>IF(T15&gt;=0,A15,1001)</ns0:f>
        <ns0:v>1001</ns0:v>
      </ns0:c>
      <ns0:c r="AB15" s="7">
        <ns0:f>IF(T15&lt;0,A15,0)</ns0:f>
        <ns0:v>11</ns0:v>
      </ns0:c>
      <ns0:c r="AC15" s="16">
        <ns0:f>IF(AND(OR('前提と出典'!$C$36+'前提と出典'!$C$38=0,R15&gt;=0),OR('前提と出典'!$C$37+'前提と出典'!$C$38=0,S15&gt;=0)),0,A15)</ns0:f>
        <ns0:v>11</ns0:v>
      </ns0:c>
      <ns0:c r="AD15" s="7">
        <ns0:f>IF(W15&gt;=0,A15,1001)</ns0:f>
        <ns0:v>1001</ns0:v>
      </ns0:c>
      <ns0:c r="AE15" s="7">
        <ns0:f>IF(W15&lt;0,A15,0)</ns0:f>
        <ns0:v>11</ns0:v>
      </ns0:c>
      <ns0:c r="AF15" s="16">
        <ns0:f>IF(AND(OR('前提と出典'!$C$36+'前提と出典'!$C$38=0,U15&gt;=0),OR('前提と出典'!$C$37+'前提と出典'!$C$38=0,V15&gt;=0)),0,A15)</ns0:f>
        <ns0:v>11</ns0:v>
      </ns0:c>
      <ns0:c r="AG15" s="7">
        <ns0:f>IF(Z15&gt;=0,A15,1001)</ns0:f>
        <ns0:v>1001</ns0:v>
      </ns0:c>
      <ns0:c r="AH15" s="4">
        <ns0:f>IF(Z15&lt;0,A15,0)</ns0:f>
        <ns0:v>11</ns0:v>
      </ns0:c>
      <ns0:c r="AI15" s="12">
        <ns0:f>IF(AND(OR('前提と出典'!$C$36+'前提と出典'!$C$38=0,X15&gt;=0),OR('前提と出典'!$C$37+'前提と出典'!$C$38=0,Y15&gt;=0)),0,A15)</ns0:f>
        <ns0:v>11</ns0:v>
      </ns0:c>
    </ns0:row>
    <ns0:row r="16" ht="24" customHeight="1">
      <ns0:c r="A16" s="4" t="n">
        <ns0:v>12</ns0:v>
      </ns0:c>
      <ns0:c r="B16" s="12">
        <ns0:f>A16*('前提と出典'!$C$36+'前提と出典'!$C$38)</ns0:f>
        <ns0:v>8.399999999999999</ns0:v>
      </ns0:c>
      <ns0:c r="C16" s="12">
        <ns0:f>A16*('前提と出典'!$C$37+'前提と出典'!$C$38)</ns0:f>
        <ns0:v>7.199999999999999</ns0:v>
      </ns0:c>
      <ns0:c r="D16" s="16">
        <ns0:f>A16*('前提と出典'!$C$36*'契約別単価'!C5+'前提と出典'!$C$37*'契約別単価'!C6+'前提と出典'!$C$38*'契約別単価'!C7)</ns0:f>
        <ns0:v>86.3463687150838</ns0:v>
      </ns0:c>
      <ns0:c r="E16" s="16">
        <ns0:f>A16*('前提と出典'!$C$36*'契約別単価'!E5+'前提と出典'!$C$37*'契約別単価'!E6+'前提と出典'!$C$38*'契約別単価'!E7)</ns0:f>
        <ns0:v>23219.335880788392</ns0:v>
      </ns0:c>
      <ns0:c r="F16" s="16">
        <ns0:f>A16*('前提と出典'!$C$36*'契約別単価'!F5+'前提と出典'!$C$37*'契約別単価'!F6+'前提と出典'!$C$38*'契約別単価'!F7)</ns0:f>
        <ns0:v>9112.745756448066</ns0:v>
      </ns0:c>
      <ns0:c r="G16" s="16">
        <ns0:f>A16*('前提と出典'!$C$36*'契約別単価'!G5+'前提と出典'!$C$37*'契約別単価'!G6+'前提と出典'!$C$38*'契約別単価'!G7)</ns0:f>
        <ns0:v>23886.03351955307</ns0:v>
      </ns0:c>
      <ns0:c r="H16" s="16">
        <ns0:f>A16*('前提と出典'!$C$36*'契約別単価'!H5+'前提と出典'!$C$37*'契約別単価'!H6+'前提と出典'!$C$38*'契約別単価'!H7)</ns0:f>
        <ns0:v>8289.651610005332</ns0:v>
      </ns0:c>
      <ns0:c r="I16" s="16">
        <ns0:f>A16*('前提と出典'!$C$36*'契約別単価'!I5+'前提と出典'!$C$37*'契約別単価'!I6+'前提と出典'!$C$38*'契約別単価'!I7)</ns0:f>
        <ns0:v>506.3463687150837</ns0:v>
      </ns0:c>
      <ns0:c r="J16" s="16">
        <ns0:f>A16*('前提と出典'!$C$36*'契約別単価'!J5+'前提と出典'!$C$37*'契約別単価'!J6+'前提と出典'!$C$38*'契約別単価'!J7)</ns0:f>
        <ns0:v>1179.4745245236309</ns0:v>
      </ns0:c>
      <ns0:c r="K16" s="16">
        <ns0:f>A16*('前提と出典'!$C$36*'契約別単価'!K5+'前提と出典'!$C$37*'契約別単価'!K6+'前提と出典'!$C$38*'契約別単価'!K7)</ns0:f>
        <ns0:v>5055.6424581005585</ns0:v>
      </ns0:c>
      <ns0:c r="L16" s="16">
        <ns0:f>A16*('前提と出典'!$C$36*'契約別単価'!L5+'前提と出典'!$C$37*'契約別単価'!L6+'前提と出典'!$C$38*'契約別単価'!L7)</ns0:f>
        <ns0:v>4116.321720333511</ns0:v>
      </ns0:c>
      <ns0:c r="M16" s="16">
        <ns0:f>IF(('前提と出典'!$C$36+'前提と出典'!$C$38)=0,0,IF(B16&lt;=10,'前提と出典'!B73+'前提と出典'!C73,IF(B16&lt;=100,'前提と出典'!B74+'前提と出典'!C74,IF(B16&lt;=500,'前提と出典'!B75+'前提と出典'!C75,'前提と出典'!B76+'前提と出典'!C76))))</ns0:f>
        <ns0:v>10000</ns0:v>
      </ns0:c>
      <ns0:c r="N16" s="16">
        <ns0:f>IF(('前提と出典'!$C$37+'前提と出典'!$C$38)=0,0,IF(C16&lt;=10,'前提と出典'!D73+'前提と出典'!E73,IF(C16&lt;=100,'前提と出典'!D74+'前提と出典'!E74,IF(C16&lt;=500,'前提と出典'!D75+'前提と出典'!E75,'前提と出典'!D76+'前提と出典'!E76))))</ns0:f>
        <ns0:v>30010.934626307797</ns0:v>
      </ns0:c>
      <ns0:c r="O16" s="16">
        <ns0:f>IF('前提と出典'!$C$36+'前提と出典'!$C$38=0,0,'前提と出典'!$B$4*IF('前提と出典'!$B$20=0,MAX('前提と出典'!$B$6,D16*'前提と出典'!$B$5),'前提と出典'!$B$6+D16*'前提と出典'!$B$5))</ns0:f>
        <ns0:v>22500</ns0:v>
      </ns0:c>
      <ns0:c r="P16" s="16">
        <ns0:f>(E16+G16)*(1-'前提と出典'!$B$7)-I16-K16-M16-O16</ns0:f>
        <ns0:v>7347.587275113525</ns0:v>
      </ns0:c>
      <ns0:c r="Q16" s="16">
        <ns0:f>(F16+H16)*(1-'前提と出典'!$B$7)-J16-L16-N16</ns0:f>
        <ns0:v>-18530.819809903864</ns0:v>
      </ns0:c>
      <ns0:c r="R16" s="16">
        <ns0:f>P16-E16*'前提と出典'!$E$4</ns0:f>
        <ns0:v>381.7865108770129</ns0:v>
      </ns0:c>
      <ns0:c r="S16" s="16">
        <ns0:f>Q16-F16*'前提と出典'!$E$4</ns0:f>
        <ns0:v>-21264.643536838284</ns0:v>
      </ns0:c>
      <ns0:c r="T16" s="7">
        <ns0:f>R16+S16</ns0:f>
        <ns0:v>-20882.85702596127</ns0:v>
      </ns0:c>
      <ns0:c r="U16" s="16">
        <ns0:f>P16-E16*'前提と出典'!$E$5</ns0:f>
        <ns0:v>-1940.1470772018329</ns0:v>
      </ns0:c>
      <ns0:c r="V16" s="16">
        <ns0:f>Q16-F16*'前提と出典'!$E$5</ns0:f>
        <ns0:v>-22175.91811248309</ns0:v>
      </ns0:c>
      <ns0:c r="W16" s="7">
        <ns0:f>U16+V16</ns0:f>
        <ns0:v>-24116.065189684923</ns0:v>
      </ns0:c>
      <ns0:c r="X16" s="16">
        <ns0:f>P16-E16*'前提と出典'!$E$6</ns0:f>
        <ns0:v>-4262.080665280675</ns0:v>
      </ns0:c>
      <ns0:c r="Y16" s="16">
        <ns0:f>Q16-F16*'前提と出典'!$E$6</ns0:f>
        <ns0:v>-23087.192688127896</ns0:v>
      </ns0:c>
      <ns0:c r="Z16" s="7">
        <ns0:f>X16+Y16</ns0:f>
        <ns0:v>-27349.27335340857</ns0:v>
      </ns0:c>
      <ns0:c r="AA16" s="7">
        <ns0:f>IF(T16&gt;=0,A16,1001)</ns0:f>
        <ns0:v>1001</ns0:v>
      </ns0:c>
      <ns0:c r="AB16" s="7">
        <ns0:f>IF(T16&lt;0,A16,0)</ns0:f>
        <ns0:v>12</ns0:v>
      </ns0:c>
      <ns0:c r="AC16" s="16">
        <ns0:f>IF(AND(OR('前提と出典'!$C$36+'前提と出典'!$C$38=0,R16&gt;=0),OR('前提と出典'!$C$37+'前提と出典'!$C$38=0,S16&gt;=0)),0,A16)</ns0:f>
        <ns0:v>12</ns0:v>
      </ns0:c>
      <ns0:c r="AD16" s="7">
        <ns0:f>IF(W16&gt;=0,A16,1001)</ns0:f>
        <ns0:v>1001</ns0:v>
      </ns0:c>
      <ns0:c r="AE16" s="7">
        <ns0:f>IF(W16&lt;0,A16,0)</ns0:f>
        <ns0:v>12</ns0:v>
      </ns0:c>
      <ns0:c r="AF16" s="16">
        <ns0:f>IF(AND(OR('前提と出典'!$C$36+'前提と出典'!$C$38=0,U16&gt;=0),OR('前提と出典'!$C$37+'前提と出典'!$C$38=0,V16&gt;=0)),0,A16)</ns0:f>
        <ns0:v>12</ns0:v>
      </ns0:c>
      <ns0:c r="AG16" s="7">
        <ns0:f>IF(Z16&gt;=0,A16,1001)</ns0:f>
        <ns0:v>1001</ns0:v>
      </ns0:c>
      <ns0:c r="AH16" s="4">
        <ns0:f>IF(Z16&lt;0,A16,0)</ns0:f>
        <ns0:v>12</ns0:v>
      </ns0:c>
      <ns0:c r="AI16" s="12">
        <ns0:f>IF(AND(OR('前提と出典'!$C$36+'前提と出典'!$C$38=0,X16&gt;=0),OR('前提と出典'!$C$37+'前提と出典'!$C$38=0,Y16&gt;=0)),0,A16)</ns0:f>
        <ns0:v>12</ns0:v>
      </ns0:c>
    </ns0:row>
    <ns0:row r="17" ht="24" customHeight="1">
      <ns0:c r="A17" s="4" t="n">
        <ns0:v>13</ns0:v>
      </ns0:c>
      <ns0:c r="B17" s="12">
        <ns0:f>A17*('前提と出典'!$C$36+'前提と出典'!$C$38)</ns0:f>
        <ns0:v>9.1</ns0:v>
      </ns0:c>
      <ns0:c r="C17" s="12">
        <ns0:f>A17*('前提と出典'!$C$37+'前提と出典'!$C$38)</ns0:f>
        <ns0:v>7.8</ns0:v>
      </ns0:c>
      <ns0:c r="D17" s="16">
        <ns0:f>A17*('前提と出典'!$C$36*'契約別単価'!C5+'前提と出典'!$C$37*'契約別単価'!C6+'前提と出典'!$C$38*'契約別単価'!C7)</ns0:f>
        <ns0:v>93.54189944134077</ns0:v>
      </ns0:c>
      <ns0:c r="E17" s="16">
        <ns0:f>A17*('前提と出典'!$C$36*'契約別単価'!E5+'前提と出典'!$C$37*'契約別単価'!E6+'前提と出典'!$C$38*'契約別単価'!E7)</ns0:f>
        <ns0:v>25154.280537520757</ns0:v>
      </ns0:c>
      <ns0:c r="F17" s="16">
        <ns0:f>A17*('前提と出典'!$C$36*'契約別単価'!F5+'前提と出典'!$C$37*'契約別単価'!F6+'前提と出典'!$C$38*'契約別単価'!F7)</ns0:f>
        <ns0:v>9872.141236152072</ns0:v>
      </ns0:c>
      <ns0:c r="G17" s="16">
        <ns0:f>A17*('前提と出典'!$C$36*'契約別単価'!G5+'前提と出典'!$C$37*'契約別単価'!G6+'前提と出典'!$C$38*'契約別単価'!G7)</ns0:f>
        <ns0:v>25876.53631284916</ns0:v>
      </ns0:c>
      <ns0:c r="H17" s="16">
        <ns0:f>A17*('前提と出典'!$C$36*'契約別単価'!H5+'前提と出典'!$C$37*'契約別単価'!H6+'前提と出典'!$C$38*'契約別単価'!H7)</ns0:f>
        <ns0:v>8980.45591083911</ns0:v>
      </ns0:c>
      <ns0:c r="I17" s="16">
        <ns0:f>A17*('前提と出典'!$C$36*'契約別単価'!I5+'前提と出典'!$C$37*'契約別単価'!I6+'前提と出典'!$C$38*'契約別単価'!I7)</ns0:f>
        <ns0:v>548.5418994413407</ns0:v>
      </ns0:c>
      <ns0:c r="J17" s="16">
        <ns0:f>A17*('前提と出典'!$C$36*'契約別単価'!J5+'前提と出典'!$C$37*'契約別単価'!J6+'前提と出典'!$C$38*'契約別単価'!J7)</ns0:f>
        <ns0:v>1277.7640682339334</ns0:v>
      </ns0:c>
      <ns0:c r="K17" s="16">
        <ns0:f>A17*('前提と出典'!$C$36*'契約別単価'!K5+'前提と出典'!$C$37*'契約別単価'!K6+'前提と出典'!$C$38*'契約別単価'!K7)</ns0:f>
        <ns0:v>5476.945996275605</ns0:v>
      </ns0:c>
      <ns0:c r="L17" s="16">
        <ns0:f>A17*('前提と出典'!$C$36*'契約別単価'!L5+'前提と出典'!$C$37*'契約別単価'!L6+'前提と出典'!$C$38*'契約別単価'!L7)</ns0:f>
        <ns0:v>4459.348530361303</ns0:v>
      </ns0:c>
      <ns0:c r="M17" s="16">
        <ns0:f>IF(('前提と出典'!$C$36+'前提と出典'!$C$38)=0,0,IF(B17&lt;=10,'前提と出典'!B73+'前提と出典'!C73,IF(B17&lt;=100,'前提と出典'!B74+'前提と出典'!C74,IF(B17&lt;=500,'前提と出典'!B75+'前提と出典'!C75,'前提と出典'!B76+'前提と出典'!C76))))</ns0:f>
        <ns0:v>10000</ns0:v>
      </ns0:c>
      <ns0:c r="N17" s="16">
        <ns0:f>IF(('前提と出典'!$C$37+'前提と出典'!$C$38)=0,0,IF(C17&lt;=10,'前提と出典'!D73+'前提と出典'!E73,IF(C17&lt;=100,'前提と出典'!D74+'前提と出典'!E74,IF(C17&lt;=500,'前提と出典'!D75+'前提と出典'!E75,'前提と出典'!D76+'前提と出典'!E76))))</ns0:f>
        <ns0:v>30010.934626307797</ns0:v>
      </ns0:c>
      <ns0:c r="O17" s="16">
        <ns0:f>IF('前提と出典'!$C$36+'前提と出典'!$C$38=0,0,'前提と出典'!$B$4*IF('前提と出典'!$B$20=0,MAX('前提と出典'!$B$6,D17*'前提と出典'!$B$5),'前提と出典'!$B$6+D17*'前提と出典'!$B$5))</ns0:f>
        <ns0:v>22500</ns0:v>
      </ns0:c>
      <ns0:c r="P17" s="16">
        <ns0:f>(E17+G17)*(1-'前提と出典'!$B$7)-I17-K17-M17-O17</ns0:f>
        <ns0:v>10668.21954803965</ns0:v>
      </ns0:c>
      <ns0:c r="Q17" s="16">
        <ns0:f>(F17+H17)*(1-'前提と出典'!$B$7)-J17-L17-N17</ns0:f>
        <ns0:v>-17574.143575203532</ns0:v>
      </ns0:c>
      <ns0:c r="R17" s="16">
        <ns0:f>P17-E17*'前提と出典'!$E$4</ns0:f>
        <ns0:v>3121.935386783429</ns0:v>
      </ns0:c>
      <ns0:c r="S17" s="16">
        <ns0:f>Q17-F17*'前提と出典'!$E$4</ns0:f>
        <ns0:v>-20535.785946049156</ns0:v>
      </ns0:c>
      <ns0:c r="T17" s="7">
        <ns0:f>R17+S17</ns0:f>
        <ns0:v>-17413.850559265727</ns0:v>
      </ns0:c>
      <ns0:c r="U17" s="16">
        <ns0:f>P17-E17*'前提と出典'!$E$5</ns0:f>
        <ns0:v>606.5073330313462</ns0:v>
      </ns0:c>
      <ns0:c r="V17" s="16">
        <ns0:f>Q17-F17*'前提と出典'!$E$5</ns0:f>
        <ns0:v>-21523.000069664362</ns0:v>
      </ns0:c>
      <ns0:c r="W17" s="7">
        <ns0:f>U17+V17</ns0:f>
        <ns0:v>-20916.492736633016</ns0:v>
      </ns0:c>
      <ns0:c r="X17" s="16">
        <ns0:f>P17-E17*'前提と出典'!$E$6</ns0:f>
        <ns0:v>-1908.9207207207255</ns0:v>
      </ns0:c>
      <ns0:c r="Y17" s="16">
        <ns0:f>Q17-F17*'前提と出典'!$E$6</ns0:f>
        <ns0:v>-22510.21419327957</ns0:v>
      </ns0:c>
      <ns0:c r="Z17" s="7">
        <ns0:f>X17+Y17</ns0:f>
        <ns0:v>-24419.134914000297</ns0:v>
      </ns0:c>
      <ns0:c r="AA17" s="7">
        <ns0:f>IF(T17&gt;=0,A17,1001)</ns0:f>
        <ns0:v>1001</ns0:v>
      </ns0:c>
      <ns0:c r="AB17" s="7">
        <ns0:f>IF(T17&lt;0,A17,0)</ns0:f>
        <ns0:v>13</ns0:v>
      </ns0:c>
      <ns0:c r="AC17" s="16">
        <ns0:f>IF(AND(OR('前提と出典'!$C$36+'前提と出典'!$C$38=0,R17&gt;=0),OR('前提と出典'!$C$37+'前提と出典'!$C$38=0,S17&gt;=0)),0,A17)</ns0:f>
        <ns0:v>13</ns0:v>
      </ns0:c>
      <ns0:c r="AD17" s="7">
        <ns0:f>IF(W17&gt;=0,A17,1001)</ns0:f>
        <ns0:v>1001</ns0:v>
      </ns0:c>
      <ns0:c r="AE17" s="7">
        <ns0:f>IF(W17&lt;0,A17,0)</ns0:f>
        <ns0:v>13</ns0:v>
      </ns0:c>
      <ns0:c r="AF17" s="16">
        <ns0:f>IF(AND(OR('前提と出典'!$C$36+'前提と出典'!$C$38=0,U17&gt;=0),OR('前提と出典'!$C$37+'前提と出典'!$C$38=0,V17&gt;=0)),0,A17)</ns0:f>
        <ns0:v>13</ns0:v>
      </ns0:c>
      <ns0:c r="AG17" s="7">
        <ns0:f>IF(Z17&gt;=0,A17,1001)</ns0:f>
        <ns0:v>1001</ns0:v>
      </ns0:c>
      <ns0:c r="AH17" s="4">
        <ns0:f>IF(Z17&lt;0,A17,0)</ns0:f>
        <ns0:v>13</ns0:v>
      </ns0:c>
      <ns0:c r="AI17" s="12">
        <ns0:f>IF(AND(OR('前提と出典'!$C$36+'前提と出典'!$C$38=0,X17&gt;=0),OR('前提と出典'!$C$37+'前提と出典'!$C$38=0,Y17&gt;=0)),0,A17)</ns0:f>
        <ns0:v>13</ns0:v>
      </ns0:c>
    </ns0:row>
    <ns0:row r="18" ht="24" customHeight="1">
      <ns0:c r="A18" s="4" t="n">
        <ns0:v>14</ns0:v>
      </ns0:c>
      <ns0:c r="B18" s="12">
        <ns0:f>A18*('前提と出典'!$C$36+'前提と出典'!$C$38)</ns0:f>
        <ns0:v>9.799999999999999</ns0:v>
      </ns0:c>
      <ns0:c r="C18" s="12">
        <ns0:f>A18*('前提と出典'!$C$37+'前提と出典'!$C$38)</ns0:f>
        <ns0:v>8.4</ns0:v>
      </ns0:c>
      <ns0:c r="D18" s="16">
        <ns0:f>A18*('前提と出典'!$C$36*'契約別単価'!C5+'前提と出典'!$C$37*'契約別単価'!C6+'前提と出典'!$C$38*'契約別単価'!C7)</ns0:f>
        <ns0:v>100.73743016759776</ns0:v>
      </ns0:c>
      <ns0:c r="E18" s="16">
        <ns0:f>A18*('前提と出典'!$C$36*'契約別単価'!E5+'前提と出典'!$C$37*'契約別単価'!E6+'前提と出典'!$C$38*'契約別単価'!E7)</ns0:f>
        <ns0:v>27089.225194253122</ns0:v>
      </ns0:c>
      <ns0:c r="F18" s="16">
        <ns0:f>A18*('前提と出典'!$C$36*'契約別単価'!F5+'前提と出典'!$C$37*'契約別単価'!F6+'前提と出典'!$C$38*'契約別単価'!F7)</ns0:f>
        <ns0:v>10631.536715856077</ns0:v>
      </ns0:c>
      <ns0:c r="G18" s="16">
        <ns0:f>A18*('前提と出典'!$C$36*'契約別単価'!G5+'前提と出典'!$C$37*'契約別単価'!G6+'前提と出典'!$C$38*'契約別単価'!G7)</ns0:f>
        <ns0:v>27867.03910614525</ns0:v>
      </ns0:c>
      <ns0:c r="H18" s="16">
        <ns0:f>A18*('前提と出典'!$C$36*'契約別単価'!H5+'前提と出典'!$C$37*'契約別単価'!H6+'前提と出典'!$C$38*'契約別単価'!H7)</ns0:f>
        <ns0:v>9671.260211672889</ns0:v>
      </ns0:c>
      <ns0:c r="I18" s="16">
        <ns0:f>A18*('前提と出典'!$C$36*'契約別単価'!I5+'前提と出典'!$C$37*'契約別単価'!I6+'前提と出典'!$C$38*'契約別単価'!I7)</ns0:f>
        <ns0:v>590.7374301675977</ns0:v>
      </ns0:c>
      <ns0:c r="J18" s="16">
        <ns0:f>A18*('前提と出典'!$C$36*'契約別単価'!J5+'前提と出典'!$C$37*'契約別単価'!J6+'前提と出典'!$C$38*'契約別単価'!J7)</ns0:f>
        <ns0:v>1376.0536119442359</ns0:v>
      </ns0:c>
      <ns0:c r="K18" s="16">
        <ns0:f>A18*('前提と出典'!$C$36*'契約別単価'!K5+'前提と出典'!$C$37*'契約別単価'!K6+'前提と出典'!$C$38*'契約別単価'!K7)</ns0:f>
        <ns0:v>5898.2495344506515</ns0:v>
      </ns0:c>
      <ns0:c r="L18" s="16">
        <ns0:f>A18*('前提と出典'!$C$36*'契約別単価'!L5+'前提と出典'!$C$37*'契約別単価'!L6+'前提と出典'!$C$38*'契約別単価'!L7)</ns0:f>
        <ns0:v>4802.375340389096</ns0:v>
      </ns0:c>
      <ns0:c r="M18" s="16">
        <ns0:f>IF(('前提と出典'!$C$36+'前提と出典'!$C$38)=0,0,IF(B18&lt;=10,'前提と出典'!B73+'前提と出典'!C73,IF(B18&lt;=100,'前提と出典'!B74+'前提と出典'!C74,IF(B18&lt;=500,'前提と出典'!B75+'前提と出典'!C75,'前提と出典'!B76+'前提と出典'!C76))))</ns0:f>
        <ns0:v>10000</ns0:v>
      </ns0:c>
      <ns0:c r="N18" s="16">
        <ns0:f>IF(('前提と出典'!$C$37+'前提と出典'!$C$38)=0,0,IF(C18&lt;=10,'前提と出典'!D73+'前提と出典'!E73,IF(C18&lt;=100,'前提と出典'!D74+'前提と出典'!E74,IF(C18&lt;=500,'前提と出典'!D75+'前提と出典'!E75,'前提と出典'!D76+'前提と出典'!E76))))</ns0:f>
        <ns0:v>30010.934626307797</ns0:v>
      </ns0:c>
      <ns0:c r="O18" s="16">
        <ns0:f>IF('前提と出典'!$C$36+'前提と出典'!$C$38=0,0,'前提と出典'!$B$4*IF('前提と出典'!$B$20=0,MAX('前提と出典'!$B$6,D18*'前提と出典'!$B$5),'前提と出典'!$B$6+D18*'前提と出典'!$B$5))</ns0:f>
        <ns0:v>22500</ns0:v>
      </ns0:c>
      <ns0:c r="P18" s="16">
        <ns0:f>(E18+G18)*(1-'前提と出典'!$B$7)-I18-K18-M18-O18</ns0:f>
        <ns0:v>13988.851820965778</ns0:v>
      </ns0:c>
      <ns0:c r="Q18" s="16">
        <ns0:f>(F18+H18)*(1-'前提と出典'!$B$7)-J18-L18-N18</ns0:f>
        <ns0:v>-16617.467340503208</ns0:v>
      </ns0:c>
      <ns0:c r="R18" s="16">
        <ns0:f>P18-E18*'前提と出典'!$E$4</ns0:f>
        <ns0:v>5862.0842626898375</ns0:v>
      </ns0:c>
      <ns0:c r="S18" s="16">
        <ns0:f>Q18-F18*'前提と出典'!$E$4</ns0:f>
        <ns0:v>-19806.92835526003</ns0:v>
      </ns0:c>
      <ns0:c r="T18" s="7">
        <ns0:f>R18+S18</ns0:f>
        <ns0:v>-13944.84409257019</ns0:v>
      </ns0:c>
      <ns0:c r="U18" s="16">
        <ns0:f>P18-E18*'前提と出典'!$E$5</ns0:f>
        <ns0:v>3153.161743264529</ns0:v>
      </ns0:c>
      <ns0:c r="V18" s="16">
        <ns0:f>Q18-F18*'前提と出典'!$E$5</ns0:f>
        <ns0:v>-20870.082026845637</ns0:v>
      </ns0:c>
      <ns0:c r="W18" s="7">
        <ns0:f>U18+V18</ns0:f>
        <ns0:v>-17716.92028358111</ns0:v>
      </ns0:c>
      <ns0:c r="X18" s="16">
        <ns0:f>P18-E18*'前提と出典'!$E$6</ns0:f>
        <ns0:v>444.23922383922036</ns0:v>
      </ns0:c>
      <ns0:c r="Y18" s="16">
        <ns0:f>Q18-F18*'前提と出典'!$E$6</ns0:f>
        <ns0:v>-21933.235698431243</ns0:v>
      </ns0:c>
      <ns0:c r="Z18" s="7">
        <ns0:f>X18+Y18</ns0:f>
        <ns0:v>-21488.996474592022</ns0:v>
      </ns0:c>
      <ns0:c r="AA18" s="7">
        <ns0:f>IF(T18&gt;=0,A18,1001)</ns0:f>
        <ns0:v>1001</ns0:v>
      </ns0:c>
      <ns0:c r="AB18" s="7">
        <ns0:f>IF(T18&lt;0,A18,0)</ns0:f>
        <ns0:v>14</ns0:v>
      </ns0:c>
      <ns0:c r="AC18" s="16">
        <ns0:f>IF(AND(OR('前提と出典'!$C$36+'前提と出典'!$C$38=0,R18&gt;=0),OR('前提と出典'!$C$37+'前提と出典'!$C$38=0,S18&gt;=0)),0,A18)</ns0:f>
        <ns0:v>14</ns0:v>
      </ns0:c>
      <ns0:c r="AD18" s="7">
        <ns0:f>IF(W18&gt;=0,A18,1001)</ns0:f>
        <ns0:v>1001</ns0:v>
      </ns0:c>
      <ns0:c r="AE18" s="7">
        <ns0:f>IF(W18&lt;0,A18,0)</ns0:f>
        <ns0:v>14</ns0:v>
      </ns0:c>
      <ns0:c r="AF18" s="16">
        <ns0:f>IF(AND(OR('前提と出典'!$C$36+'前提と出典'!$C$38=0,U18&gt;=0),OR('前提と出典'!$C$37+'前提と出典'!$C$38=0,V18&gt;=0)),0,A18)</ns0:f>
        <ns0:v>14</ns0:v>
      </ns0:c>
      <ns0:c r="AG18" s="7">
        <ns0:f>IF(Z18&gt;=0,A18,1001)</ns0:f>
        <ns0:v>1001</ns0:v>
      </ns0:c>
      <ns0:c r="AH18" s="4">
        <ns0:f>IF(Z18&lt;0,A18,0)</ns0:f>
        <ns0:v>14</ns0:v>
      </ns0:c>
      <ns0:c r="AI18" s="12">
        <ns0:f>IF(AND(OR('前提と出典'!$C$36+'前提と出典'!$C$38=0,X18&gt;=0),OR('前提と出典'!$C$37+'前提と出典'!$C$38=0,Y18&gt;=0)),0,A18)</ns0:f>
        <ns0:v>14</ns0:v>
      </ns0:c>
    </ns0:row>
    <ns0:row r="19" ht="24" customHeight="1">
      <ns0:c r="A19" s="4" t="n">
        <ns0:v>15</ns0:v>
      </ns0:c>
      <ns0:c r="B19" s="12">
        <ns0:f>A19*('前提と出典'!$C$36+'前提と出典'!$C$38)</ns0:f>
        <ns0:v>10.5</ns0:v>
      </ns0:c>
      <ns0:c r="C19" s="12">
        <ns0:f>A19*('前提と出典'!$C$37+'前提と出典'!$C$38)</ns0:f>
        <ns0:v>9</ns0:v>
      </ns0:c>
      <ns0:c r="D19" s="16">
        <ns0:f>A19*('前提と出典'!$C$36*'契約別単価'!C5+'前提と出典'!$C$37*'契約別単価'!C6+'前提と出典'!$C$38*'契約別単価'!C7)</ns0:f>
        <ns0:v>107.93296089385476</ns0:v>
      </ns0:c>
      <ns0:c r="E19" s="16">
        <ns0:f>A19*('前提と出典'!$C$36*'契約別単価'!E5+'前提と出典'!$C$37*'契約別単価'!E6+'前提と出典'!$C$38*'契約別単価'!E7)</ns0:f>
        <ns0:v>29024.16985098549</ns0:v>
      </ns0:c>
      <ns0:c r="F19" s="16">
        <ns0:f>A19*('前提と出典'!$C$36*'契約別単価'!F5+'前提と出典'!$C$37*'契約別単価'!F6+'前提と出典'!$C$38*'契約別単価'!F7)</ns0:f>
        <ns0:v>11390.932195560083</ns0:v>
      </ns0:c>
      <ns0:c r="G19" s="16">
        <ns0:f>A19*('前提と出典'!$C$36*'契約別単価'!G5+'前提と出典'!$C$37*'契約別単価'!G6+'前提と出典'!$C$38*'契約別単価'!G7)</ns0:f>
        <ns0:v>29857.54189944134</ns0:v>
      </ns0:c>
      <ns0:c r="H19" s="16">
        <ns0:f>A19*('前提と出典'!$C$36*'契約別単価'!H5+'前提と出典'!$C$37*'契約別単価'!H6+'前提と出典'!$C$38*'契約別単価'!H7)</ns0:f>
        <ns0:v>10362.064512506666</ns0:v>
      </ns0:c>
      <ns0:c r="I19" s="16">
        <ns0:f>A19*('前提と出典'!$C$36*'契約別単価'!I5+'前提と出典'!$C$37*'契約別単価'!I6+'前提と出典'!$C$38*'契約別単価'!I7)</ns0:f>
        <ns0:v>632.9329608938547</ns0:v>
      </ns0:c>
      <ns0:c r="J19" s="16">
        <ns0:f>A19*('前提と出典'!$C$36*'契約別単価'!J5+'前提と出典'!$C$37*'契約別単価'!J6+'前提と出典'!$C$38*'契約別単価'!J7)</ns0:f>
        <ns0:v>1474.3431556545386</ns0:v>
      </ns0:c>
      <ns0:c r="K19" s="16">
        <ns0:f>A19*('前提と出典'!$C$36*'契約別単価'!K5+'前提と出典'!$C$37*'契約別単価'!K6+'前提と出典'!$C$38*'契約別単価'!K7)</ns0:f>
        <ns0:v>6319.5530726256975</ns0:v>
      </ns0:c>
      <ns0:c r="L19" s="16">
        <ns0:f>A19*('前提と出典'!$C$36*'契約別単価'!L5+'前提と出典'!$C$37*'契約別単価'!L6+'前提と出典'!$C$38*'契約別単価'!L7)</ns0:f>
        <ns0:v>5145.402150416889</ns0:v>
      </ns0:c>
      <ns0:c r="M19" s="16">
        <ns0:f>IF(('前提と出典'!$C$36+'前提と出典'!$C$38)=0,0,IF(B19&lt;=10,'前提と出典'!B73+'前提と出典'!C73,IF(B19&lt;=100,'前提と出典'!B74+'前提と出典'!C74,IF(B19&lt;=500,'前提と出典'!B75+'前提と出典'!C75,'前提と出典'!B76+'前提と出典'!C76))))</ns0:f>
        <ns0:v>20000</ns0:v>
      </ns0:c>
      <ns0:c r="N19" s="16">
        <ns0:f>IF(('前提と出典'!$C$37+'前提と出典'!$C$38)=0,0,IF(C19&lt;=10,'前提と出典'!D73+'前提と出典'!E73,IF(C19&lt;=100,'前提と出典'!D74+'前提と出典'!E74,IF(C19&lt;=500,'前提と出典'!D75+'前提と出典'!E75,'前提と出典'!D76+'前提と出典'!E76))))</ns0:f>
        <ns0:v>30010.934626307797</ns0:v>
      </ns0:c>
      <ns0:c r="O19" s="16">
        <ns0:f>IF('前提と出典'!$C$36+'前提と出典'!$C$38=0,0,'前提と出典'!$B$4*IF('前提と出典'!$B$20=0,MAX('前提と出典'!$B$6,D19*'前提と出典'!$B$5),'前提と出典'!$B$6+D19*'前提と出典'!$B$5))</ns0:f>
        <ns0:v>22500</ns0:v>
      </ns0:c>
      <ns0:c r="P19" s="16">
        <ns0:f>(E19+G19)*(1-'前提と出典'!$B$7)-I19-K19-M19-O19</ns0:f>
        <ns0:v>7309.484093891908</ns0:v>
      </ns0:c>
      <ns0:c r="Q19" s="16">
        <ns0:f>(F19+H19)*(1-'前提と出典'!$B$7)-J19-L19-N19</ns0:f>
        <ns0:v>-15660.79110580288</ns0:v>
      </ns0:c>
      <ns0:c r="R19" s="16">
        <ns0:f>P19-E19*'前提と出典'!$E$4</ns0:f>
        <ns0:v>-1397.7668614037393</ns0:v>
      </ns0:c>
      <ns0:c r="S19" s="16">
        <ns0:f>Q19-F19*'前提と出典'!$E$4</ns0:f>
        <ns0:v>-19078.070764470904</ns0:v>
      </ns0:c>
      <ns0:c r="T19" s="7">
        <ns0:f>R19+S19</ns0:f>
        <ns0:v>-20475.837625874643</ns0:v>
      </ns0:c>
      <ns0:c r="U19" s="16">
        <ns0:f>P19-E19*'前提と出典'!$E$5</ns0:f>
        <ns0:v>-4300.183846502288</ns0:v>
      </ns0:c>
      <ns0:c r="V19" s="16">
        <ns0:f>Q19-F19*'前提と出典'!$E$5</ns0:f>
        <ns0:v>-20217.163984026913</ns0:v>
      </ns0:c>
      <ns0:c r="W19" s="7">
        <ns0:f>U19+V19</ns0:f>
        <ns0:v>-24517.3478305292</ns0:v>
      </ns0:c>
      <ns0:c r="X19" s="16">
        <ns0:f>P19-E19*'前提と出典'!$E$6</ns0:f>
        <ns0:v>-7202.600831600837</ns0:v>
      </ns0:c>
      <ns0:c r="Y19" s="16">
        <ns0:f>Q19-F19*'前提と出典'!$E$6</ns0:f>
        <ns0:v>-21356.25720358292</ns0:v>
      </ns0:c>
      <ns0:c r="Z19" s="7">
        <ns0:f>X19+Y19</ns0:f>
        <ns0:v>-28558.85803518376</ns0:v>
      </ns0:c>
      <ns0:c r="AA19" s="7">
        <ns0:f>IF(T19&gt;=0,A19,1001)</ns0:f>
        <ns0:v>1001</ns0:v>
      </ns0:c>
      <ns0:c r="AB19" s="7">
        <ns0:f>IF(T19&lt;0,A19,0)</ns0:f>
        <ns0:v>15</ns0:v>
      </ns0:c>
      <ns0:c r="AC19" s="16">
        <ns0:f>IF(AND(OR('前提と出典'!$C$36+'前提と出典'!$C$38=0,R19&gt;=0),OR('前提と出典'!$C$37+'前提と出典'!$C$38=0,S19&gt;=0)),0,A19)</ns0:f>
        <ns0:v>15</ns0:v>
      </ns0:c>
      <ns0:c r="AD19" s="7">
        <ns0:f>IF(W19&gt;=0,A19,1001)</ns0:f>
        <ns0:v>1001</ns0:v>
      </ns0:c>
      <ns0:c r="AE19" s="7">
        <ns0:f>IF(W19&lt;0,A19,0)</ns0:f>
        <ns0:v>15</ns0:v>
      </ns0:c>
      <ns0:c r="AF19" s="16">
        <ns0:f>IF(AND(OR('前提と出典'!$C$36+'前提と出典'!$C$38=0,U19&gt;=0),OR('前提と出典'!$C$37+'前提と出典'!$C$38=0,V19&gt;=0)),0,A19)</ns0:f>
        <ns0:v>15</ns0:v>
      </ns0:c>
      <ns0:c r="AG19" s="7">
        <ns0:f>IF(Z19&gt;=0,A19,1001)</ns0:f>
        <ns0:v>1001</ns0:v>
      </ns0:c>
      <ns0:c r="AH19" s="4">
        <ns0:f>IF(Z19&lt;0,A19,0)</ns0:f>
        <ns0:v>15</ns0:v>
      </ns0:c>
      <ns0:c r="AI19" s="12">
        <ns0:f>IF(AND(OR('前提と出典'!$C$36+'前提と出典'!$C$38=0,X19&gt;=0),OR('前提と出典'!$C$37+'前提と出典'!$C$38=0,Y19&gt;=0)),0,A19)</ns0:f>
        <ns0:v>15</ns0:v>
      </ns0:c>
    </ns0:row>
    <ns0:row r="20" ht="24" customHeight="1">
      <ns0:c r="A20" s="4" t="n">
        <ns0:v>16</ns0:v>
      </ns0:c>
      <ns0:c r="B20" s="12">
        <ns0:f>A20*('前提と出典'!$C$36+'前提と出典'!$C$38)</ns0:f>
        <ns0:v>11.2</ns0:v>
      </ns0:c>
      <ns0:c r="C20" s="12">
        <ns0:f>A20*('前提と出典'!$C$37+'前提と出典'!$C$38)</ns0:f>
        <ns0:v>9.6</ns0:v>
      </ns0:c>
      <ns0:c r="D20" s="16">
        <ns0:f>A20*('前提と出典'!$C$36*'契約別単価'!C5+'前提と出典'!$C$37*'契約別単価'!C6+'前提と出典'!$C$38*'契約別単価'!C7)</ns0:f>
        <ns0:v>115.12849162011173</ns0:v>
      </ns0:c>
      <ns0:c r="E20" s="16">
        <ns0:f>A20*('前提と出典'!$C$36*'契約別単価'!E5+'前提と出典'!$C$37*'契約別単価'!E6+'前提と出典'!$C$38*'契約別単価'!E7)</ns0:f>
        <ns0:v>30959.114507717855</ns0:v>
      </ns0:c>
      <ns0:c r="F20" s="16">
        <ns0:f>A20*('前提と出典'!$C$36*'契約別単価'!F5+'前提と出典'!$C$37*'契約別単価'!F6+'前提と出典'!$C$38*'契約別単価'!F7)</ns0:f>
        <ns0:v>12150.327675264089</ns0:v>
      </ns0:c>
      <ns0:c r="G20" s="16">
        <ns0:f>A20*('前提と出典'!$C$36*'契約別単価'!G5+'前提と出典'!$C$37*'契約別単価'!G6+'前提と出典'!$C$38*'契約別単価'!G7)</ns0:f>
        <ns0:v>31848.04469273743</ns0:v>
      </ns0:c>
      <ns0:c r="H20" s="16">
        <ns0:f>A20*('前提と出典'!$C$36*'契約別単価'!H5+'前提と出典'!$C$37*'契約別単価'!H6+'前提と出典'!$C$38*'契約別単価'!H7)</ns0:f>
        <ns0:v>11052.868813340443</ns0:v>
      </ns0:c>
      <ns0:c r="I20" s="16">
        <ns0:f>A20*('前提と出典'!$C$36*'契約別単価'!I5+'前提と出典'!$C$37*'契約別単価'!I6+'前提と出典'!$C$38*'契約別単価'!I7)</ns0:f>
        <ns0:v>675.1284916201116</ns0:v>
      </ns0:c>
      <ns0:c r="J20" s="16">
        <ns0:f>A20*('前提と出典'!$C$36*'契約別単価'!J5+'前提と出典'!$C$37*'契約別単価'!J6+'前提と出典'!$C$38*'契約別単価'!J7)</ns0:f>
        <ns0:v>1572.632699364841</ns0:v>
      </ns0:c>
      <ns0:c r="K20" s="16">
        <ns0:f>A20*('前提と出典'!$C$36*'契約別単価'!K5+'前提と出典'!$C$37*'契約別単価'!K6+'前提と出典'!$C$38*'契約別単価'!K7)</ns0:f>
        <ns0:v>6740.856610800744</ns0:v>
      </ns0:c>
      <ns0:c r="L20" s="16">
        <ns0:f>A20*('前提と出典'!$C$36*'契約別単価'!L5+'前提と出典'!$C$37*'契約別単価'!L6+'前提と出典'!$C$38*'契約別単価'!L7)</ns0:f>
        <ns0:v>5488.428960444681</ns0:v>
      </ns0:c>
      <ns0:c r="M20" s="16">
        <ns0:f>IF(('前提と出典'!$C$36+'前提と出典'!$C$38)=0,0,IF(B20&lt;=10,'前提と出典'!B73+'前提と出典'!C73,IF(B20&lt;=100,'前提と出典'!B74+'前提と出典'!C74,IF(B20&lt;=500,'前提と出典'!B75+'前提と出典'!C75,'前提と出典'!B76+'前提と出典'!C76))))</ns0:f>
        <ns0:v>20000</ns0:v>
      </ns0:c>
      <ns0:c r="N20" s="16">
        <ns0:f>IF(('前提と出典'!$C$37+'前提と出典'!$C$38)=0,0,IF(C20&lt;=10,'前提と出典'!D73+'前提と出典'!E73,IF(C20&lt;=100,'前提と出典'!D74+'前提と出典'!E74,IF(C20&lt;=500,'前提と出典'!D75+'前提と出典'!E75,'前提と出典'!D76+'前提と出典'!E76))))</ns0:f>
        <ns0:v>30010.934626307797</ns0:v>
      </ns0:c>
      <ns0:c r="O20" s="16">
        <ns0:f>IF('前提と出典'!$C$36+'前提と出典'!$C$38=0,0,'前提と出典'!$B$4*IF('前提と出典'!$B$20=0,MAX('前提と出典'!$B$6,D20*'前提と出典'!$B$5),'前提と出典'!$B$6+D20*'前提と出典'!$B$5))</ns0:f>
        <ns0:v>22500</ns0:v>
      </ns0:c>
      <ns0:c r="P20" s="16">
        <ns0:f>(E20+G20)*(1-'前提と出典'!$B$7)-I20-K20-M20-O20</ns0:f>
        <ns0:v>10630.116366818038</ns0:v>
      </ns0:c>
      <ns0:c r="Q20" s="16">
        <ns0:f>(F20+H20)*(1-'前提と出典'!$B$7)-J20-L20-N20</ns0:f>
        <ns0:v>-14704.114871102549</ns0:v>
      </ns0:c>
      <ns0:c r="R20" s="16">
        <ns0:f>P20-E20*'前提と出典'!$E$4</ns0:f>
        <ns0:v>1342.382014502684</ns0:v>
      </ns0:c>
      <ns0:c r="S20" s="16">
        <ns0:f>Q20-F20*'前提と出典'!$E$4</ns0:f>
        <ns0:v>-18349.213173681776</ns0:v>
      </ns0:c>
      <ns0:c r="T20" s="7">
        <ns0:f>R20+S20</ns0:f>
        <ns0:v>-17006.83115917909</ns0:v>
      </ns0:c>
      <ns0:c r="U20" s="16">
        <ns0:f>P20-E20*'前提と出典'!$E$5</ns0:f>
        <ns0:v>-1753.5294362691056</ns0:v>
      </ns0:c>
      <ns0:c r="V20" s="16">
        <ns0:f>Q20-F20*'前提と出典'!$E$5</ns0:f>
        <ns0:v>-19564.245941208184</ns0:v>
      </ns0:c>
      <ns0:c r="W20" s="7">
        <ns0:f>U20+V20</ns0:f>
        <ns0:v>-21317.77537747729</ns0:v>
      </ns0:c>
      <ns0:c r="X20" s="16">
        <ns0:f>P20-E20*'前提と出典'!$E$6</ns0:f>
        <ns0:v>-4849.440887040888</ns0:v>
      </ns0:c>
      <ns0:c r="Y20" s="16">
        <ns0:f>Q20-F20*'前提と出典'!$E$6</ns0:f>
        <ns0:v>-20779.278708734597</ns0:v>
      </ns0:c>
      <ns0:c r="Z20" s="7">
        <ns0:f>X20+Y20</ns0:f>
        <ns0:v>-25628.719595775485</ns0:v>
      </ns0:c>
      <ns0:c r="AA20" s="7">
        <ns0:f>IF(T20&gt;=0,A20,1001)</ns0:f>
        <ns0:v>1001</ns0:v>
      </ns0:c>
      <ns0:c r="AB20" s="7">
        <ns0:f>IF(T20&lt;0,A20,0)</ns0:f>
        <ns0:v>16</ns0:v>
      </ns0:c>
      <ns0:c r="AC20" s="16">
        <ns0:f>IF(AND(OR('前提と出典'!$C$36+'前提と出典'!$C$38=0,R20&gt;=0),OR('前提と出典'!$C$37+'前提と出典'!$C$38=0,S20&gt;=0)),0,A20)</ns0:f>
        <ns0:v>16</ns0:v>
      </ns0:c>
      <ns0:c r="AD20" s="7">
        <ns0:f>IF(W20&gt;=0,A20,1001)</ns0:f>
        <ns0:v>1001</ns0:v>
      </ns0:c>
      <ns0:c r="AE20" s="7">
        <ns0:f>IF(W20&lt;0,A20,0)</ns0:f>
        <ns0:v>16</ns0:v>
      </ns0:c>
      <ns0:c r="AF20" s="16">
        <ns0:f>IF(AND(OR('前提と出典'!$C$36+'前提と出典'!$C$38=0,U20&gt;=0),OR('前提と出典'!$C$37+'前提と出典'!$C$38=0,V20&gt;=0)),0,A20)</ns0:f>
        <ns0:v>16</ns0:v>
      </ns0:c>
      <ns0:c r="AG20" s="7">
        <ns0:f>IF(Z20&gt;=0,A20,1001)</ns0:f>
        <ns0:v>1001</ns0:v>
      </ns0:c>
      <ns0:c r="AH20" s="4">
        <ns0:f>IF(Z20&lt;0,A20,0)</ns0:f>
        <ns0:v>16</ns0:v>
      </ns0:c>
      <ns0:c r="AI20" s="12">
        <ns0:f>IF(AND(OR('前提と出典'!$C$36+'前提と出典'!$C$38=0,X20&gt;=0),OR('前提と出典'!$C$37+'前提と出典'!$C$38=0,Y20&gt;=0)),0,A20)</ns0:f>
        <ns0:v>16</ns0:v>
      </ns0:c>
    </ns0:row>
    <ns0:row r="21" ht="24" customHeight="1">
      <ns0:c r="A21" s="4" t="n">
        <ns0:v>17</ns0:v>
      </ns0:c>
      <ns0:c r="B21" s="12">
        <ns0:f>A21*('前提と出典'!$C$36+'前提と出典'!$C$38)</ns0:f>
        <ns0:v>11.899999999999999</ns0:v>
      </ns0:c>
      <ns0:c r="C21" s="12">
        <ns0:f>A21*('前提と出典'!$C$37+'前提と出典'!$C$38)</ns0:f>
        <ns0:v>10.2</ns0:v>
      </ns0:c>
      <ns0:c r="D21" s="16">
        <ns0:f>A21*('前提と出典'!$C$36*'契約別単価'!C5+'前提と出典'!$C$37*'契約別単価'!C6+'前提と出典'!$C$38*'契約別単価'!C7)</ns0:f>
        <ns0:v>122.32402234636871</ns0:v>
      </ns0:c>
      <ns0:c r="E21" s="16">
        <ns0:f>A21*('前提と出典'!$C$36*'契約別単価'!E5+'前提と出典'!$C$37*'契約別単価'!E6+'前提と出典'!$C$38*'契約別単価'!E7)</ns0:f>
        <ns0:v>32894.05916445022</ns0:v>
      </ns0:c>
      <ns0:c r="F21" s="16">
        <ns0:f>A21*('前提と出典'!$C$36*'契約別単価'!F5+'前提と出典'!$C$37*'契約別単価'!F6+'前提と出典'!$C$38*'契約別単価'!F7)</ns0:f>
        <ns0:v>12909.723154968095</ns0:v>
      </ns0:c>
      <ns0:c r="G21" s="16">
        <ns0:f>A21*('前提と出典'!$C$36*'契約別単価'!G5+'前提と出典'!$C$37*'契約別単価'!G6+'前提と出典'!$C$38*'契約別単価'!G7)</ns0:f>
        <ns0:v>33838.547486033516</ns0:v>
      </ns0:c>
      <ns0:c r="H21" s="16">
        <ns0:f>A21*('前提と出典'!$C$36*'契約別単価'!H5+'前提と出典'!$C$37*'契約別単価'!H6+'前提と出典'!$C$38*'契約別単価'!H7)</ns0:f>
        <ns0:v>11743.67311417422</ns0:v>
      </ns0:c>
      <ns0:c r="I21" s="16">
        <ns0:f>A21*('前提と出典'!$C$36*'契約別単価'!I5+'前提と出典'!$C$37*'契約別単価'!I6+'前提と出典'!$C$38*'契約別単価'!I7)</ns0:f>
        <ns0:v>717.3240223463686</ns0:v>
      </ns0:c>
      <ns0:c r="J21" s="16">
        <ns0:f>A21*('前提と出典'!$C$36*'契約別単価'!J5+'前提と出典'!$C$37*'契約別単価'!J6+'前提と出典'!$C$38*'契約別単価'!J7)</ns0:f>
        <ns0:v>1670.9222430751436</ns0:v>
      </ns0:c>
      <ns0:c r="K21" s="16">
        <ns0:f>A21*('前提と出典'!$C$36*'契約別単価'!K5+'前提と出典'!$C$37*'契約別単価'!K6+'前提と出典'!$C$38*'契約別単価'!K7)</ns0:f>
        <ns0:v>7162.160148975791</ns0:v>
      </ns0:c>
      <ns0:c r="L21" s="16">
        <ns0:f>A21*('前提と出典'!$C$36*'契約別単価'!L5+'前提と出典'!$C$37*'契約別単価'!L6+'前提と出典'!$C$38*'契約別単価'!L7)</ns0:f>
        <ns0:v>5831.455770472474</ns0:v>
      </ns0:c>
      <ns0:c r="M21" s="16">
        <ns0:f>IF(('前提と出典'!$C$36+'前提と出典'!$C$38)=0,0,IF(B21&lt;=10,'前提と出典'!B73+'前提と出典'!C73,IF(B21&lt;=100,'前提と出典'!B74+'前提と出典'!C74,IF(B21&lt;=500,'前提と出典'!B75+'前提と出典'!C75,'前提と出典'!B76+'前提と出典'!C76))))</ns0:f>
        <ns0:v>20000</ns0:v>
      </ns0:c>
      <ns0:c r="N21" s="16">
        <ns0:f>IF(('前提と出典'!$C$37+'前提と出典'!$C$38)=0,0,IF(C21&lt;=10,'前提と出典'!D73+'前提と出典'!E73,IF(C21&lt;=100,'前提と出典'!D74+'前提と出典'!E74,IF(C21&lt;=500,'前提と出典'!D75+'前提と出典'!E75,'前提と出典'!D76+'前提と出典'!E76))))</ns0:f>
        <ns0:v>34510.9346263078</ns0:v>
      </ns0:c>
      <ns0:c r="O21" s="16">
        <ns0:f>IF('前提と出典'!$C$36+'前提と出典'!$C$38=0,0,'前提と出典'!$B$4*IF('前提と出典'!$B$20=0,MAX('前提と出典'!$B$6,D21*'前提と出典'!$B$5),'前提と出典'!$B$6+D21*'前提と出典'!$B$5))</ns0:f>
        <ns0:v>22500</ns0:v>
      </ns0:c>
      <ns0:c r="P21" s="16">
        <ns0:f>(E21+G21)*(1-'前提と出典'!$B$7)-I21-K21-M21-O21</ns0:f>
        <ns0:v>13950.748639744166</ns0:v>
      </ns0:c>
      <ns0:c r="Q21" s="16">
        <ns0:f>(F21+H21)*(1-'前提と出典'!$B$7)-J21-L21-N21</ns0:f>
        <ns0:v>-18247.438636402225</ns0:v>
      </ns0:c>
      <ns0:c r="R21" s="16">
        <ns0:f>P21-E21*'前提と出典'!$E$4</ns0:f>
        <ns0:v>4082.5308904091</ns0:v>
      </ns0:c>
      <ns0:c r="S21" s="16">
        <ns0:f>Q21-F21*'前提と出典'!$E$4</ns0:f>
        <ns0:v>-22120.355582892647</ns0:v>
      </ns0:c>
      <ns0:c r="T21" s="7">
        <ns0:f>R21+S21</ns0:f>
        <ns0:v>-18037.824692483548</ns0:v>
      </ns0:c>
      <ns0:c r="U21" s="16">
        <ns0:f>P21-E21*'前提と出典'!$E$5</ns0:f>
        <ns0:v>793.1249739640771</ns0:v>
      </ns0:c>
      <ns0:c r="V21" s="16">
        <ns0:f>Q21-F21*'前提と出典'!$E$5</ns0:f>
        <ns0:v>-23411.327898389463</ns0:v>
      </ns0:c>
      <ns0:c r="W21" s="7">
        <ns0:f>U21+V21</ns0:f>
        <ns0:v>-22618.202924425386</ns0:v>
      </ns0:c>
      <ns0:c r="X21" s="16">
        <ns0:f>P21-E21*'前提と出典'!$E$6</ns0:f>
        <ns0:v>-2496.2809424809384</ns0:v>
      </ns0:c>
      <ns0:c r="Y21" s="16">
        <ns0:f>Q21-F21*'前提と出典'!$E$6</ns0:f>
        <ns0:v>-24702.300213886272</ns0:v>
      </ns0:c>
      <ns0:c r="Z21" s="7">
        <ns0:f>X21+Y21</ns0:f>
        <ns0:v>-27198.58115636721</ns0:v>
      </ns0:c>
      <ns0:c r="AA21" s="7">
        <ns0:f>IF(T21&gt;=0,A21,1001)</ns0:f>
        <ns0:v>1001</ns0:v>
      </ns0:c>
      <ns0:c r="AB21" s="7">
        <ns0:f>IF(T21&lt;0,A21,0)</ns0:f>
        <ns0:v>17</ns0:v>
      </ns0:c>
      <ns0:c r="AC21" s="16">
        <ns0:f>IF(AND(OR('前提と出典'!$C$36+'前提と出典'!$C$38=0,R21&gt;=0),OR('前提と出典'!$C$37+'前提と出典'!$C$38=0,S21&gt;=0)),0,A21)</ns0:f>
        <ns0:v>17</ns0:v>
      </ns0:c>
      <ns0:c r="AD21" s="7">
        <ns0:f>IF(W21&gt;=0,A21,1001)</ns0:f>
        <ns0:v>1001</ns0:v>
      </ns0:c>
      <ns0:c r="AE21" s="7">
        <ns0:f>IF(W21&lt;0,A21,0)</ns0:f>
        <ns0:v>17</ns0:v>
      </ns0:c>
      <ns0:c r="AF21" s="16">
        <ns0:f>IF(AND(OR('前提と出典'!$C$36+'前提と出典'!$C$38=0,U21&gt;=0),OR('前提と出典'!$C$37+'前提と出典'!$C$38=0,V21&gt;=0)),0,A21)</ns0:f>
        <ns0:v>17</ns0:v>
      </ns0:c>
      <ns0:c r="AG21" s="7">
        <ns0:f>IF(Z21&gt;=0,A21,1001)</ns0:f>
        <ns0:v>1001</ns0:v>
      </ns0:c>
      <ns0:c r="AH21" s="4">
        <ns0:f>IF(Z21&lt;0,A21,0)</ns0:f>
        <ns0:v>17</ns0:v>
      </ns0:c>
      <ns0:c r="AI21" s="12">
        <ns0:f>IF(AND(OR('前提と出典'!$C$36+'前提と出典'!$C$38=0,X21&gt;=0),OR('前提と出典'!$C$37+'前提と出典'!$C$38=0,Y21&gt;=0)),0,A21)</ns0:f>
        <ns0:v>17</ns0:v>
      </ns0:c>
    </ns0:row>
    <ns0:row r="22" ht="24" customHeight="1">
      <ns0:c r="A22" s="4" t="n">
        <ns0:v>18</ns0:v>
      </ns0:c>
      <ns0:c r="B22" s="12">
        <ns0:f>A22*('前提と出典'!$C$36+'前提と出典'!$C$38)</ns0:f>
        <ns0:v>12.6</ns0:v>
      </ns0:c>
      <ns0:c r="C22" s="12">
        <ns0:f>A22*('前提と出典'!$C$37+'前提と出典'!$C$38)</ns0:f>
        <ns0:v>10.799999999999999</ns0:v>
      </ns0:c>
      <ns0:c r="D22" s="16">
        <ns0:f>A22*('前提と出典'!$C$36*'契約別単価'!C5+'前提と出典'!$C$37*'契約別単価'!C6+'前提と出典'!$C$38*'契約別単価'!C7)</ns0:f>
        <ns0:v>129.51955307262568</ns0:v>
      </ns0:c>
      <ns0:c r="E22" s="16">
        <ns0:f>A22*('前提と出典'!$C$36*'契約別単価'!E5+'前提と出典'!$C$37*'契約別単価'!E6+'前提と出典'!$C$38*'契約別単価'!E7)</ns0:f>
        <ns0:v>34829.00382118259</ns0:v>
      </ns0:c>
      <ns0:c r="F22" s="16">
        <ns0:f>A22*('前提と出典'!$C$36*'契約別単価'!F5+'前提と出典'!$C$37*'契約別単価'!F6+'前提と出典'!$C$38*'契約別単価'!F7)</ns0:f>
        <ns0:v>13669.1186346721</ns0:v>
      </ns0:c>
      <ns0:c r="G22" s="16">
        <ns0:f>A22*('前提と出典'!$C$36*'契約別単価'!G5+'前提と出典'!$C$37*'契約別単価'!G6+'前提と出典'!$C$38*'契約別単価'!G7)</ns0:f>
        <ns0:v>35829.050279329604</ns0:v>
      </ns0:c>
      <ns0:c r="H22" s="16">
        <ns0:f>A22*('前提と出典'!$C$36*'契約別単価'!H5+'前提と出典'!$C$37*'契約別単価'!H6+'前提と出典'!$C$38*'契約別単価'!H7)</ns0:f>
        <ns0:v>12434.477415007997</ns0:v>
      </ns0:c>
      <ns0:c r="I22" s="16">
        <ns0:f>A22*('前提と出典'!$C$36*'契約別単価'!I5+'前提と出典'!$C$37*'契約別単価'!I6+'前提と出典'!$C$38*'契約別単価'!I7)</ns0:f>
        <ns0:v>759.5195530726255</ns0:v>
      </ns0:c>
      <ns0:c r="J22" s="16">
        <ns0:f>A22*('前提と出典'!$C$36*'契約別単価'!J5+'前提と出典'!$C$37*'契約別単価'!J6+'前提と出典'!$C$38*'契約別単価'!J7)</ns0:f>
        <ns0:v>1769.2117867854463</ns0:v>
      </ns0:c>
      <ns0:c r="K22" s="16">
        <ns0:f>A22*('前提と出典'!$C$36*'契約別単価'!K5+'前提と出典'!$C$37*'契約別単価'!K6+'前提と出典'!$C$38*'契約別単価'!K7)</ns0:f>
        <ns0:v>7583.463687150837</ns0:v>
      </ns0:c>
      <ns0:c r="L22" s="16">
        <ns0:f>A22*('前提と出典'!$C$36*'契約別単価'!L5+'前提と出典'!$C$37*'契約別単価'!L6+'前提と出典'!$C$38*'契約別単価'!L7)</ns0:f>
        <ns0:v>6174.4825805002665</ns0:v>
      </ns0:c>
      <ns0:c r="M22" s="16">
        <ns0:f>IF(('前提と出典'!$C$36+'前提と出典'!$C$38)=0,0,IF(B22&lt;=10,'前提と出典'!B73+'前提と出典'!C73,IF(B22&lt;=100,'前提と出典'!B74+'前提と出典'!C74,IF(B22&lt;=500,'前提と出典'!B75+'前提と出典'!C75,'前提と出典'!B76+'前提と出典'!C76))))</ns0:f>
        <ns0:v>20000</ns0:v>
      </ns0:c>
      <ns0:c r="N22" s="16">
        <ns0:f>IF(('前提と出典'!$C$37+'前提と出典'!$C$38)=0,0,IF(C22&lt;=10,'前提と出典'!D73+'前提と出典'!E73,IF(C22&lt;=100,'前提と出典'!D74+'前提と出典'!E74,IF(C22&lt;=500,'前提と出典'!D75+'前提と出典'!E75,'前提と出典'!D76+'前提と出典'!E76))))</ns0:f>
        <ns0:v>34510.9346263078</ns0:v>
      </ns0:c>
      <ns0:c r="O22" s="16">
        <ns0:f>IF('前提と出典'!$C$36+'前提と出典'!$C$38=0,0,'前提と出典'!$B$4*IF('前提と出典'!$B$20=0,MAX('前提と出典'!$B$6,D22*'前提と出典'!$B$5),'前提と出典'!$B$6+D22*'前提と出典'!$B$5))</ns0:f>
        <ns0:v>22500</ns0:v>
      </ns0:c>
      <ns0:c r="P22" s="16">
        <ns0:f>(E22+G22)*(1-'前提と出典'!$B$7)-I22-K22-M22-O22</ns0:f>
        <ns0:v>17271.380912670284</ns0:v>
      </ns0:c>
      <ns0:c r="Q22" s="16">
        <ns0:f>(F22+H22)*(1-'前提と出典'!$B$7)-J22-L22-N22</ns0:f>
        <ns0:v>-17290.762401701893</ns0:v>
      </ns0:c>
      <ns0:c r="R22" s="16">
        <ns0:f>P22-E22*'前提と出典'!$E$4</ns0:f>
        <ns0:v>6822.679766315516</ns0:v>
      </ns0:c>
      <ns0:c r="S22" s="16">
        <ns0:f>Q22-F22*'前提と出典'!$E$4</ns0:f>
        <ns0:v>-21391.497992103523</ns0:v>
      </ns0:c>
      <ns0:c r="T22" s="7">
        <ns0:f>R22+S22</ns0:f>
        <ns0:v>-14568.818225788007</ns0:v>
      </ns0:c>
      <ns0:c r="U22" s="16">
        <ns0:f>P22-E22*'前提と出典'!$E$5</ns0:f>
        <ns0:v>3339.7793841972452</ns0:v>
      </ns0:c>
      <ns0:c r="V22" s="16">
        <ns0:f>Q22-F22*'前提と出典'!$E$5</ns0:f>
        <ns0:v>-22758.409855570735</ns0:v>
      </ns0:c>
      <ns0:c r="W22" s="7">
        <ns0:f>U22+V22</ns0:f>
        <ns0:v>-19418.63047137349</ns0:v>
      </ns0:c>
      <ns0:c r="X22" s="16">
        <ns0:f>P22-E22*'前提と出典'!$E$6</ns0:f>
        <ns0:v>-143.1209979210107</ns0:v>
      </ns0:c>
      <ns0:c r="Y22" s="16">
        <ns0:f>Q22-F22*'前提と出典'!$E$6</ns0:f>
        <ns0:v>-24125.321719037944</ns0:v>
      </ns0:c>
      <ns0:c r="Z22" s="7">
        <ns0:f>X22+Y22</ns0:f>
        <ns0:v>-24268.442716958954</ns0:v>
      </ns0:c>
      <ns0:c r="AA22" s="7">
        <ns0:f>IF(T22&gt;=0,A22,1001)</ns0:f>
        <ns0:v>1001</ns0:v>
      </ns0:c>
      <ns0:c r="AB22" s="7">
        <ns0:f>IF(T22&lt;0,A22,0)</ns0:f>
        <ns0:v>18</ns0:v>
      </ns0:c>
      <ns0:c r="AC22" s="16">
        <ns0:f>IF(AND(OR('前提と出典'!$C$36+'前提と出典'!$C$38=0,R22&gt;=0),OR('前提と出典'!$C$37+'前提と出典'!$C$38=0,S22&gt;=0)),0,A22)</ns0:f>
        <ns0:v>18</ns0:v>
      </ns0:c>
      <ns0:c r="AD22" s="7">
        <ns0:f>IF(W22&gt;=0,A22,1001)</ns0:f>
        <ns0:v>1001</ns0:v>
      </ns0:c>
      <ns0:c r="AE22" s="7">
        <ns0:f>IF(W22&lt;0,A22,0)</ns0:f>
        <ns0:v>18</ns0:v>
      </ns0:c>
      <ns0:c r="AF22" s="16">
        <ns0:f>IF(AND(OR('前提と出典'!$C$36+'前提と出典'!$C$38=0,U22&gt;=0),OR('前提と出典'!$C$37+'前提と出典'!$C$38=0,V22&gt;=0)),0,A22)</ns0:f>
        <ns0:v>18</ns0:v>
      </ns0:c>
      <ns0:c r="AG22" s="7">
        <ns0:f>IF(Z22&gt;=0,A22,1001)</ns0:f>
        <ns0:v>1001</ns0:v>
      </ns0:c>
      <ns0:c r="AH22" s="4">
        <ns0:f>IF(Z22&lt;0,A22,0)</ns0:f>
        <ns0:v>18</ns0:v>
      </ns0:c>
      <ns0:c r="AI22" s="12">
        <ns0:f>IF(AND(OR('前提と出典'!$C$36+'前提と出典'!$C$38=0,X22&gt;=0),OR('前提と出典'!$C$37+'前提と出典'!$C$38=0,Y22&gt;=0)),0,A22)</ns0:f>
        <ns0:v>18</ns0:v>
      </ns0:c>
    </ns0:row>
    <ns0:row r="23" ht="24" customHeight="1">
      <ns0:c r="A23" s="4" t="n">
        <ns0:v>19</ns0:v>
      </ns0:c>
      <ns0:c r="B23" s="12">
        <ns0:f>A23*('前提と出典'!$C$36+'前提と出典'!$C$38)</ns0:f>
        <ns0:v>13.299999999999999</ns0:v>
      </ns0:c>
      <ns0:c r="C23" s="12">
        <ns0:f>A23*('前提と出典'!$C$37+'前提と出典'!$C$38)</ns0:f>
        <ns0:v>11.4</ns0:v>
      </ns0:c>
      <ns0:c r="D23" s="16">
        <ns0:f>A23*('前提と出典'!$C$36*'契約別単価'!C5+'前提と出典'!$C$37*'契約別単価'!C6+'前提と出典'!$C$38*'契約別単価'!C7)</ns0:f>
        <ns0:v>136.7150837988827</ns0:v>
      </ns0:c>
      <ns0:c r="E23" s="16">
        <ns0:f>A23*('前提と出典'!$C$36*'契約別単価'!E5+'前提と出典'!$C$37*'契約別単価'!E6+'前提と出典'!$C$38*'契約別単価'!E7)</ns0:f>
        <ns0:v>36763.94847791495</ns0:v>
      </ns0:c>
      <ns0:c r="F23" s="16">
        <ns0:f>A23*('前提と出典'!$C$36*'契約別単価'!F5+'前提と出典'!$C$37*'契約別単価'!F6+'前提と出典'!$C$38*'契約別単価'!F7)</ns0:f>
        <ns0:v>14428.514114376105</ns0:v>
      </ns0:c>
      <ns0:c r="G23" s="16">
        <ns0:f>A23*('前提と出典'!$C$36*'契約別単価'!G5+'前提と出典'!$C$37*'契約別単価'!G6+'前提と出典'!$C$38*'契約別単価'!G7)</ns0:f>
        <ns0:v>37819.5530726257</ns0:v>
      </ns0:c>
      <ns0:c r="H23" s="16">
        <ns0:f>A23*('前提と出典'!$C$36*'契約別単価'!H5+'前提と出典'!$C$37*'契約別単価'!H6+'前提と出典'!$C$38*'契約別単価'!H7)</ns0:f>
        <ns0:v>13125.281715841777</ns0:v>
      </ns0:c>
      <ns0:c r="I23" s="16">
        <ns0:f>A23*('前提と出典'!$C$36*'契約別単価'!I5+'前提と出典'!$C$37*'契約別単価'!I6+'前提と出典'!$C$38*'契約別単価'!I7)</ns0:f>
        <ns0:v>801.7150837988826</ns0:v>
      </ns0:c>
      <ns0:c r="J23" s="16">
        <ns0:f>A23*('前提と出典'!$C$36*'契約別単価'!J5+'前提と出典'!$C$37*'契約別単価'!J6+'前提と出典'!$C$38*'契約別単価'!J7)</ns0:f>
        <ns0:v>1867.5013304957488</ns0:v>
      </ns0:c>
      <ns0:c r="K23" s="16">
        <ns0:f>A23*('前提と出典'!$C$36*'契約別単価'!K5+'前提と出典'!$C$37*'契約別単価'!K6+'前提と出典'!$C$38*'契約別単価'!K7)</ns0:f>
        <ns0:v>8004.767225325884</ns0:v>
      </ns0:c>
      <ns0:c r="L23" s="16">
        <ns0:f>A23*('前提と出典'!$C$36*'契約別単価'!L5+'前提と出典'!$C$37*'契約別単価'!L6+'前提と出典'!$C$38*'契約別単価'!L7)</ns0:f>
        <ns0:v>6517.509390528059</ns0:v>
      </ns0:c>
      <ns0:c r="M23" s="16">
        <ns0:f>IF(('前提と出典'!$C$36+'前提と出典'!$C$38)=0,0,IF(B23&lt;=10,'前提と出典'!B73+'前提と出典'!C73,IF(B23&lt;=100,'前提と出典'!B74+'前提と出典'!C74,IF(B23&lt;=500,'前提と出典'!B75+'前提と出典'!C75,'前提と出典'!B76+'前提と出典'!C76))))</ns0:f>
        <ns0:v>20000</ns0:v>
      </ns0:c>
      <ns0:c r="N23" s="16">
        <ns0:f>IF(('前提と出典'!$C$37+'前提と出典'!$C$38)=0,0,IF(C23&lt;=10,'前提と出典'!D73+'前提と出典'!E73,IF(C23&lt;=100,'前提と出典'!D74+'前提と出典'!E74,IF(C23&lt;=500,'前提と出典'!D75+'前提と出典'!E75,'前提と出典'!D76+'前提と出典'!E76))))</ns0:f>
        <ns0:v>34510.9346263078</ns0:v>
      </ns0:c>
      <ns0:c r="O23" s="16">
        <ns0:f>IF('前提と出典'!$C$36+'前提と出典'!$C$38=0,0,'前提と出典'!$B$4*IF('前提と出典'!$B$20=0,MAX('前提と出典'!$B$6,D23*'前提と出典'!$B$5),'前提と出典'!$B$6+D23*'前提と出典'!$B$5))</ns0:f>
        <ns0:v>22500</ns0:v>
      </ns0:c>
      <ns0:c r="P23" s="16">
        <ns0:f>(E23+G23)*(1-'前提と出典'!$B$7)-I23-K23-M23-O23</ns0:f>
        <ns0:v>20592.01318559642</ns0:v>
      </ns0:c>
      <ns0:c r="Q23" s="16">
        <ns0:f>(F23+H23)*(1-'前提と出典'!$B$7)-J23-L23-N23</ns0:f>
        <ns0:v>-16334.08616700157</ns0:v>
      </ns0:c>
      <ns0:c r="R23" s="16">
        <ns0:f>P23-E23*'前提と出典'!$E$4</ns0:f>
        <ns0:v>9562.828642221939</ns0:v>
      </ns0:c>
      <ns0:c r="S23" s="16">
        <ns0:f>Q23-F23*'前提と出典'!$E$4</ns0:f>
        <ns0:v>-20662.640401314402</ns0:v>
      </ns0:c>
      <ns0:c r="T23" s="7">
        <ns0:f>R23+S23</ns0:f>
        <ns0:v>-11099.811759092463</ns0:v>
      </ns0:c>
      <ns0:c r="U23" s="16">
        <ns0:f>P23-E23*'前提と出典'!$E$5</ns0:f>
        <ns0:v>5886.4337944304425</ns0:v>
      </ns0:c>
      <ns0:c r="V23" s="16">
        <ns0:f>Q23-F23*'前提と出典'!$E$5</ns0:f>
        <ns0:v>-22105.49181275201</ns0:v>
      </ns0:c>
      <ns0:c r="W23" s="7">
        <ns0:f>U23+V23</ns0:f>
        <ns0:v>-16219.058018321568</ns0:v>
      </ns0:c>
      <ns0:c r="X23" s="16">
        <ns0:f>P23-E23*'前提と出典'!$E$6</ns0:f>
        <ns0:v>2210.038946638946</ns0:v>
      </ns0:c>
      <ns0:c r="Y23" s="16">
        <ns0:f>Q23-F23*'前提と出典'!$E$6</ns0:f>
        <ns0:v>-23548.343224189623</ns0:v>
      </ns0:c>
      <ns0:c r="Z23" s="7">
        <ns0:f>X23+Y23</ns0:f>
        <ns0:v>-21338.304277550676</ns0:v>
      </ns0:c>
      <ns0:c r="AA23" s="7">
        <ns0:f>IF(T23&gt;=0,A23,1001)</ns0:f>
        <ns0:v>1001</ns0:v>
      </ns0:c>
      <ns0:c r="AB23" s="7">
        <ns0:f>IF(T23&lt;0,A23,0)</ns0:f>
        <ns0:v>19</ns0:v>
      </ns0:c>
      <ns0:c r="AC23" s="16">
        <ns0:f>IF(AND(OR('前提と出典'!$C$36+'前提と出典'!$C$38=0,R23&gt;=0),OR('前提と出典'!$C$37+'前提と出典'!$C$38=0,S23&gt;=0)),0,A23)</ns0:f>
        <ns0:v>19</ns0:v>
      </ns0:c>
      <ns0:c r="AD23" s="7">
        <ns0:f>IF(W23&gt;=0,A23,1001)</ns0:f>
        <ns0:v>1001</ns0:v>
      </ns0:c>
      <ns0:c r="AE23" s="7">
        <ns0:f>IF(W23&lt;0,A23,0)</ns0:f>
        <ns0:v>19</ns0:v>
      </ns0:c>
      <ns0:c r="AF23" s="16">
        <ns0:f>IF(AND(OR('前提と出典'!$C$36+'前提と出典'!$C$38=0,U23&gt;=0),OR('前提と出典'!$C$37+'前提と出典'!$C$38=0,V23&gt;=0)),0,A23)</ns0:f>
        <ns0:v>19</ns0:v>
      </ns0:c>
      <ns0:c r="AG23" s="7">
        <ns0:f>IF(Z23&gt;=0,A23,1001)</ns0:f>
        <ns0:v>1001</ns0:v>
      </ns0:c>
      <ns0:c r="AH23" s="4">
        <ns0:f>IF(Z23&lt;0,A23,0)</ns0:f>
        <ns0:v>19</ns0:v>
      </ns0:c>
      <ns0:c r="AI23" s="12">
        <ns0:f>IF(AND(OR('前提と出典'!$C$36+'前提と出典'!$C$38=0,X23&gt;=0),OR('前提と出典'!$C$37+'前提と出典'!$C$38=0,Y23&gt;=0)),0,A23)</ns0:f>
        <ns0:v>19</ns0:v>
      </ns0:c>
    </ns0:row>
    <ns0:row r="24" ht="24" customHeight="1">
      <ns0:c r="A24" s="4" t="n">
        <ns0:v>20</ns0:v>
      </ns0:c>
      <ns0:c r="B24" s="12">
        <ns0:f>A24*('前提と出典'!$C$36+'前提と出典'!$C$38)</ns0:f>
        <ns0:v>14</ns0:v>
      </ns0:c>
      <ns0:c r="C24" s="12">
        <ns0:f>A24*('前提と出典'!$C$37+'前提と出典'!$C$38)</ns0:f>
        <ns0:v>12</ns0:v>
      </ns0:c>
      <ns0:c r="D24" s="16">
        <ns0:f>A24*('前提と出典'!$C$36*'契約別単価'!C5+'前提と出典'!$C$37*'契約別単価'!C6+'前提と出典'!$C$38*'契約別単価'!C7)</ns0:f>
        <ns0:v>143.91061452513966</ns0:v>
      </ns0:c>
      <ns0:c r="E24" s="16">
        <ns0:f>A24*('前提と出典'!$C$36*'契約別単価'!E5+'前提と出典'!$C$37*'契約別単価'!E6+'前提と出典'!$C$38*'契約別単価'!E7)</ns0:f>
        <ns0:v>38698.89313464732</ns0:v>
      </ns0:c>
      <ns0:c r="F24" s="16">
        <ns0:f>A24*('前提と出典'!$C$36*'契約別単価'!F5+'前提と出典'!$C$37*'契約別単価'!F6+'前提と出典'!$C$38*'契約別単価'!F7)</ns0:f>
        <ns0:v>15187.90959408011</ns0:v>
      </ns0:c>
      <ns0:c r="G24" s="16">
        <ns0:f>A24*('前提と出典'!$C$36*'契約別単価'!G5+'前提と出典'!$C$37*'契約別単価'!G6+'前提と出典'!$C$38*'契約別単価'!G7)</ns0:f>
        <ns0:v>39810.055865921786</ns0:v>
      </ns0:c>
      <ns0:c r="H24" s="16">
        <ns0:f>A24*('前提と出典'!$C$36*'契約別単価'!H5+'前提と出典'!$C$37*'契約別単価'!H6+'前提と出典'!$C$38*'契約別単価'!H7)</ns0:f>
        <ns0:v>13816.086016675554</ns0:v>
      </ns0:c>
      <ns0:c r="I24" s="16">
        <ns0:f>A24*('前提と出典'!$C$36*'契約別単価'!I5+'前提と出典'!$C$37*'契約別単価'!I6+'前提と出典'!$C$38*'契約別単価'!I7)</ns0:f>
        <ns0:v>843.9106145251395</ns0:v>
      </ns0:c>
      <ns0:c r="J24" s="16">
        <ns0:f>A24*('前提と出典'!$C$36*'契約別単価'!J5+'前提と出典'!$C$37*'契約別単価'!J6+'前提と出典'!$C$38*'契約別単価'!J7)</ns0:f>
        <ns0:v>1965.7908742060513</ns0:v>
      </ns0:c>
      <ns0:c r="K24" s="16">
        <ns0:f>A24*('前提と出典'!$C$36*'契約別単価'!K5+'前提と出典'!$C$37*'契約別単価'!K6+'前提と出典'!$C$38*'契約別単価'!K7)</ns0:f>
        <ns0:v>8426.070763500931</ns0:v>
      </ns0:c>
      <ns0:c r="L24" s="16">
        <ns0:f>A24*('前提と出典'!$C$36*'契約別単価'!L5+'前提と出典'!$C$37*'契約別単価'!L6+'前提と出典'!$C$38*'契約別単価'!L7)</ns0:f>
        <ns0:v>6860.536200555852</ns0:v>
      </ns0:c>
      <ns0:c r="M24" s="16">
        <ns0:f>IF(('前提と出典'!$C$36+'前提と出典'!$C$38)=0,0,IF(B24&lt;=10,'前提と出典'!B73+'前提と出典'!C73,IF(B24&lt;=100,'前提と出典'!B74+'前提と出典'!C74,IF(B24&lt;=500,'前提と出典'!B75+'前提と出典'!C75,'前提と出典'!B76+'前提と出典'!C76))))</ns0:f>
        <ns0:v>20000</ns0:v>
      </ns0:c>
      <ns0:c r="N24" s="16">
        <ns0:f>IF(('前提と出典'!$C$37+'前提と出典'!$C$38)=0,0,IF(C24&lt;=10,'前提と出典'!D73+'前提と出典'!E73,IF(C24&lt;=100,'前提と出典'!D74+'前提と出典'!E74,IF(C24&lt;=500,'前提と出典'!D75+'前提と出典'!E75,'前提と出典'!D76+'前提と出典'!E76))))</ns0:f>
        <ns0:v>34510.9346263078</ns0:v>
      </ns0:c>
      <ns0:c r="O24" s="16">
        <ns0:f>IF('前提と出典'!$C$36+'前提と出典'!$C$38=0,0,'前提と出典'!$B$4*IF('前提と出典'!$B$20=0,MAX('前提と出典'!$B$6,D24*'前提と出典'!$B$5),'前提と出典'!$B$6+D24*'前提と出典'!$B$5))</ns0:f>
        <ns0:v>22500</ns0:v>
      </ns0:c>
      <ns0:c r="P24" s="16">
        <ns0:f>(E24+G24)*(1-'前提と出典'!$B$7)-I24-K24-M24-O24</ns0:f>
        <ns0:v>23912.645458522544</ns0:v>
      </ns0:c>
      <ns0:c r="Q24" s="16">
        <ns0:f>(F24+H24)*(1-'前提と出典'!$B$7)-J24-L24-N24</ns0:f>
        <ns0:v>-15377.409932301238</ns0:v>
      </ns0:c>
      <ns0:c r="R24" s="16">
        <ns0:f>P24-E24*'前提と出典'!$E$4</ns0:f>
        <ns0:v>12302.977518128348</ns0:v>
      </ns0:c>
      <ns0:c r="S24" s="16">
        <ns0:f>Q24-F24*'前提と出典'!$E$4</ns0:f>
        <ns0:v>-19933.78281052527</ns0:v>
      </ns0:c>
      <ns0:c r="T24" s="7">
        <ns0:f>R24+S24</ns0:f>
        <ns0:v>-7630.805292396923</ns0:v>
      </ns0:c>
      <ns0:c r="U24" s="16">
        <ns0:f>P24-E24*'前提と出典'!$E$5</ns0:f>
        <ns0:v>8433.088204663618</ns0:v>
      </ns0:c>
      <ns0:c r="V24" s="16">
        <ns0:f>Q24-F24*'前提と出典'!$E$5</ns0:f>
        <ns0:v>-21452.573769933282</ns0:v>
      </ns0:c>
      <ns0:c r="W24" s="7">
        <ns0:f>U24+V24</ns0:f>
        <ns0:v>-13019.485565269664</ns0:v>
      </ns0:c>
      <ns0:c r="X24" s="16">
        <ns0:f>P24-E24*'前提と出典'!$E$6</ns0:f>
        <ns0:v>4563.198891198888</ns0:v>
      </ns0:c>
      <ns0:c r="Y24" s="16">
        <ns0:f>Q24-F24*'前提と出典'!$E$6</ns0:f>
        <ns0:v>-22971.364729341294</ns0:v>
      </ns0:c>
      <ns0:c r="Z24" s="7">
        <ns0:f>X24+Y24</ns0:f>
        <ns0:v>-18408.165838142406</ns0:v>
      </ns0:c>
      <ns0:c r="AA24" s="7">
        <ns0:f>IF(T24&gt;=0,A24,1001)</ns0:f>
        <ns0:v>1001</ns0:v>
      </ns0:c>
      <ns0:c r="AB24" s="7">
        <ns0:f>IF(T24&lt;0,A24,0)</ns0:f>
        <ns0:v>20</ns0:v>
      </ns0:c>
      <ns0:c r="AC24" s="16">
        <ns0:f>IF(AND(OR('前提と出典'!$C$36+'前提と出典'!$C$38=0,R24&gt;=0),OR('前提と出典'!$C$37+'前提と出典'!$C$38=0,S24&gt;=0)),0,A24)</ns0:f>
        <ns0:v>20</ns0:v>
      </ns0:c>
      <ns0:c r="AD24" s="7">
        <ns0:f>IF(W24&gt;=0,A24,1001)</ns0:f>
        <ns0:v>1001</ns0:v>
      </ns0:c>
      <ns0:c r="AE24" s="7">
        <ns0:f>IF(W24&lt;0,A24,0)</ns0:f>
        <ns0:v>20</ns0:v>
      </ns0:c>
      <ns0:c r="AF24" s="16">
        <ns0:f>IF(AND(OR('前提と出典'!$C$36+'前提と出典'!$C$38=0,U24&gt;=0),OR('前提と出典'!$C$37+'前提と出典'!$C$38=0,V24&gt;=0)),0,A24)</ns0:f>
        <ns0:v>20</ns0:v>
      </ns0:c>
      <ns0:c r="AG24" s="7">
        <ns0:f>IF(Z24&gt;=0,A24,1001)</ns0:f>
        <ns0:v>1001</ns0:v>
      </ns0:c>
      <ns0:c r="AH24" s="4">
        <ns0:f>IF(Z24&lt;0,A24,0)</ns0:f>
        <ns0:v>20</ns0:v>
      </ns0:c>
      <ns0:c r="AI24" s="12">
        <ns0:f>IF(AND(OR('前提と出典'!$C$36+'前提と出典'!$C$38=0,X24&gt;=0),OR('前提と出典'!$C$37+'前提と出典'!$C$38=0,Y24&gt;=0)),0,A24)</ns0:f>
        <ns0:v>20</ns0:v>
      </ns0:c>
    </ns0:row>
    <ns0:row r="25" ht="24" customHeight="1">
      <ns0:c r="A25" s="4" t="n">
        <ns0:v>21</ns0:v>
      </ns0:c>
      <ns0:c r="B25" s="12">
        <ns0:f>A25*('前提と出典'!$C$36+'前提と出典'!$C$38)</ns0:f>
        <ns0:v>14.7</ns0:v>
      </ns0:c>
      <ns0:c r="C25" s="12">
        <ns0:f>A25*('前提と出典'!$C$37+'前提と出典'!$C$38)</ns0:f>
        <ns0:v>12.6</ns0:v>
      </ns0:c>
      <ns0:c r="D25" s="16">
        <ns0:f>A25*('前提と出典'!$C$36*'契約別単価'!C5+'前提と出典'!$C$37*'契約別単価'!C6+'前提と出典'!$C$38*'契約別単価'!C7)</ns0:f>
        <ns0:v>151.10614525139664</ns0:v>
      </ns0:c>
      <ns0:c r="E25" s="16">
        <ns0:f>A25*('前提と出典'!$C$36*'契約別単価'!E5+'前提と出典'!$C$37*'契約別単価'!E6+'前提と出典'!$C$38*'契約別単価'!E7)</ns0:f>
        <ns0:v>40633.83779137969</ns0:v>
      </ns0:c>
      <ns0:c r="F25" s="16">
        <ns0:f>A25*('前提と出典'!$C$36*'契約別単価'!F5+'前提と出典'!$C$37*'契約別単価'!F6+'前提と出典'!$C$38*'契約別単価'!F7)</ns0:f>
        <ns0:v>15947.305073784117</ns0:v>
      </ns0:c>
      <ns0:c r="G25" s="16">
        <ns0:f>A25*('前提と出典'!$C$36*'契約別単価'!G5+'前提と出典'!$C$37*'契約別単価'!G6+'前提と出典'!$C$38*'契約別単価'!G7)</ns0:f>
        <ns0:v>41800.55865921787</ns0:v>
      </ns0:c>
      <ns0:c r="H25" s="16">
        <ns0:f>A25*('前提と出典'!$C$36*'契約別単価'!H5+'前提と出典'!$C$37*'契約別単価'!H6+'前提と出典'!$C$38*'契約別単価'!H7)</ns0:f>
        <ns0:v>14506.890317509331</ns0:v>
      </ns0:c>
      <ns0:c r="I25" s="16">
        <ns0:f>A25*('前提と出典'!$C$36*'契約別単価'!I5+'前提と出典'!$C$37*'契約別単価'!I6+'前提と出典'!$C$38*'契約別単価'!I7)</ns0:f>
        <ns0:v>886.1061452513965</ns0:v>
      </ns0:c>
      <ns0:c r="J25" s="16">
        <ns0:f>A25*('前提と出典'!$C$36*'契約別単価'!J5+'前提と出典'!$C$37*'契約別単価'!J6+'前提と出典'!$C$38*'契約別単価'!J7)</ns0:f>
        <ns0:v>2064.080417916354</ns0:v>
      </ns0:c>
      <ns0:c r="K25" s="16">
        <ns0:f>A25*('前提と出典'!$C$36*'契約別単価'!K5+'前提と出典'!$C$37*'契約別単価'!K6+'前提と出典'!$C$38*'契約別単価'!K7)</ns0:f>
        <ns0:v>8847.374301675976</ns0:v>
      </ns0:c>
      <ns0:c r="L25" s="16">
        <ns0:f>A25*('前提と出典'!$C$36*'契約別単価'!L5+'前提と出典'!$C$37*'契約別単価'!L6+'前提と出典'!$C$38*'契約別単価'!L7)</ns0:f>
        <ns0:v>7203.563010583644</ns0:v>
      </ns0:c>
      <ns0:c r="M25" s="16">
        <ns0:f>IF(('前提と出典'!$C$36+'前提と出典'!$C$38)=0,0,IF(B25&lt;=10,'前提と出典'!B73+'前提と出典'!C73,IF(B25&lt;=100,'前提と出典'!B74+'前提と出典'!C74,IF(B25&lt;=500,'前提と出典'!B75+'前提と出典'!C75,'前提と出典'!B76+'前提と出典'!C76))))</ns0:f>
        <ns0:v>20000</ns0:v>
      </ns0:c>
      <ns0:c r="N25" s="16">
        <ns0:f>IF(('前提と出典'!$C$37+'前提と出典'!$C$38)=0,0,IF(C25&lt;=10,'前提と出典'!D73+'前提と出典'!E73,IF(C25&lt;=100,'前提と出典'!D74+'前提と出典'!E74,IF(C25&lt;=500,'前提と出典'!D75+'前提と出典'!E75,'前提と出典'!D76+'前提と出典'!E76))))</ns0:f>
        <ns0:v>34510.9346263078</ns0:v>
      </ns0:c>
      <ns0:c r="O25" s="16">
        <ns0:f>IF('前提と出典'!$C$36+'前提と出典'!$C$38=0,0,'前提と出典'!$B$4*IF('前提と出典'!$B$20=0,MAX('前提と出典'!$B$6,D25*'前提と出典'!$B$5),'前提と出典'!$B$6+D25*'前提と出典'!$B$5))</ns0:f>
        <ns0:v>22500</ns0:v>
      </ns0:c>
      <ns0:c r="P25" s="16">
        <ns0:f>(E25+G25)*(1-'前提と出典'!$B$7)-I25-K25-M25-O25</ns0:f>
        <ns0:v>27233.277731448667</ns0:v>
      </ns0:c>
      <ns0:c r="Q25" s="16">
        <ns0:f>(F25+H25)*(1-'前提と出典'!$B$7)-J25-L25-N25</ns0:f>
        <ns0:v>-14420.73369760091</ns0:v>
      </ns0:c>
      <ns0:c r="R25" s="16">
        <ns0:f>P25-E25*'前提と出典'!$E$4</ns0:f>
        <ns0:v>15043.126394034778</ns0:v>
      </ns0:c>
      <ns0:c r="S25" s="16">
        <ns0:f>Q25-F25*'前提と出典'!$E$4</ns0:f>
        <ns0:v>-19204.92521973615</ns0:v>
      </ns0:c>
      <ns0:c r="T25" s="7">
        <ns0:f>R25+S25</ns0:f>
        <ns0:v>-4161.798825701371</ns0:v>
      </ns0:c>
      <ns0:c r="U25" s="16">
        <ns0:f>P25-E25*'前提と出典'!$E$5</ns0:f>
        <ns0:v>10979.742614896793</ns0:v>
      </ns0:c>
      <ns0:c r="V25" s="16">
        <ns0:f>Q25-F25*'前提と出典'!$E$5</ns0:f>
        <ns0:v>-20799.655727114558</ns0:v>
      </ns0:c>
      <ns0:c r="W25" s="7">
        <ns0:f>U25+V25</ns0:f>
        <ns0:v>-9819.913112217764</ns0:v>
      </ns0:c>
      <ns0:c r="X25" s="16">
        <ns0:f>P25-E25*'前提と出典'!$E$6</ns0:f>
        <ns0:v>6916.3588357588305</ns0:v>
      </ns0:c>
      <ns0:c r="Y25" s="16">
        <ns0:f>Q25-F25*'前提と出典'!$E$6</ns0:f>
        <ns0:v>-22394.386234492973</ns0:v>
      </ns0:c>
      <ns0:c r="Z25" s="7">
        <ns0:f>X25+Y25</ns0:f>
        <ns0:v>-15478.027398734142</ns0:v>
      </ns0:c>
      <ns0:c r="AA25" s="7">
        <ns0:f>IF(T25&gt;=0,A25,1001)</ns0:f>
        <ns0:v>1001</ns0:v>
      </ns0:c>
      <ns0:c r="AB25" s="7">
        <ns0:f>IF(T25&lt;0,A25,0)</ns0:f>
        <ns0:v>21</ns0:v>
      </ns0:c>
      <ns0:c r="AC25" s="16">
        <ns0:f>IF(AND(OR('前提と出典'!$C$36+'前提と出典'!$C$38=0,R25&gt;=0),OR('前提と出典'!$C$37+'前提と出典'!$C$38=0,S25&gt;=0)),0,A25)</ns0:f>
        <ns0:v>21</ns0:v>
      </ns0:c>
      <ns0:c r="AD25" s="7">
        <ns0:f>IF(W25&gt;=0,A25,1001)</ns0:f>
        <ns0:v>1001</ns0:v>
      </ns0:c>
      <ns0:c r="AE25" s="7">
        <ns0:f>IF(W25&lt;0,A25,0)</ns0:f>
        <ns0:v>21</ns0:v>
      </ns0:c>
      <ns0:c r="AF25" s="16">
        <ns0:f>IF(AND(OR('前提と出典'!$C$36+'前提と出典'!$C$38=0,U25&gt;=0),OR('前提と出典'!$C$37+'前提と出典'!$C$38=0,V25&gt;=0)),0,A25)</ns0:f>
        <ns0:v>21</ns0:v>
      </ns0:c>
      <ns0:c r="AG25" s="7">
        <ns0:f>IF(Z25&gt;=0,A25,1001)</ns0:f>
        <ns0:v>1001</ns0:v>
      </ns0:c>
      <ns0:c r="AH25" s="4">
        <ns0:f>IF(Z25&lt;0,A25,0)</ns0:f>
        <ns0:v>21</ns0:v>
      </ns0:c>
      <ns0:c r="AI25" s="12">
        <ns0:f>IF(AND(OR('前提と出典'!$C$36+'前提と出典'!$C$38=0,X25&gt;=0),OR('前提と出典'!$C$37+'前提と出典'!$C$38=0,Y25&gt;=0)),0,A25)</ns0:f>
        <ns0:v>21</ns0:v>
      </ns0:c>
    </ns0:row>
    <ns0:row r="26" ht="24" customHeight="1">
      <ns0:c r="A26" s="4" t="n">
        <ns0:v>22</ns0:v>
      </ns0:c>
      <ns0:c r="B26" s="12">
        <ns0:f>A26*('前提と出典'!$C$36+'前提と出典'!$C$38)</ns0:f>
        <ns0:v>15.399999999999999</ns0:v>
      </ns0:c>
      <ns0:c r="C26" s="12">
        <ns0:f>A26*('前提と出典'!$C$37+'前提と出典'!$C$38)</ns0:f>
        <ns0:v>13.2</ns0:v>
      </ns0:c>
      <ns0:c r="D26" s="16">
        <ns0:f>A26*('前提と出典'!$C$36*'契約別単価'!C5+'前提と出典'!$C$37*'契約別単価'!C6+'前提と出典'!$C$38*'契約別単価'!C7)</ns0:f>
        <ns0:v>158.30167597765364</ns0:v>
      </ns0:c>
      <ns0:c r="E26" s="16">
        <ns0:f>A26*('前提と出典'!$C$36*'契約別単価'!E5+'前提と出典'!$C$37*'契約別単価'!E6+'前提と出典'!$C$38*'契約別単価'!E7)</ns0:f>
        <ns0:v>42568.78244811205</ns0:v>
      </ns0:c>
      <ns0:c r="F26" s="16">
        <ns0:f>A26*('前提と出典'!$C$36*'契約別単価'!F5+'前提と出典'!$C$37*'契約別単価'!F6+'前提と出典'!$C$38*'契約別単価'!F7)</ns0:f>
        <ns0:v>16706.70055348812</ns0:v>
      </ns0:c>
      <ns0:c r="G26" s="16">
        <ns0:f>A26*('前提と出典'!$C$36*'契約別単価'!G5+'前提と出典'!$C$37*'契約別単価'!G6+'前提と出典'!$C$38*'契約別単価'!G7)</ns0:f>
        <ns0:v>43791.06145251397</ns0:v>
      </ns0:c>
      <ns0:c r="H26" s="16">
        <ns0:f>A26*('前提と出典'!$C$36*'契約別単価'!H5+'前提と出典'!$C$37*'契約別単価'!H6+'前提と出典'!$C$38*'契約別単価'!H7)</ns0:f>
        <ns0:v>15197.69461834311</ns0:v>
      </ns0:c>
      <ns0:c r="I26" s="16">
        <ns0:f>A26*('前提と出典'!$C$36*'契約別単価'!I5+'前提と出典'!$C$37*'契約別単価'!I6+'前提と出典'!$C$38*'契約別単価'!I7)</ns0:f>
        <ns0:v>928.3016759776535</ns0:v>
      </ns0:c>
      <ns0:c r="J26" s="16">
        <ns0:f>A26*('前提と出典'!$C$36*'契約別単価'!J5+'前提と出典'!$C$37*'契約別単価'!J6+'前提と出典'!$C$38*'契約別単価'!J7)</ns0:f>
        <ns0:v>2162.3699616266563</ns0:v>
      </ns0:c>
      <ns0:c r="K26" s="16">
        <ns0:f>A26*('前提と出典'!$C$36*'契約別単価'!K5+'前提と出典'!$C$37*'契約別単価'!K6+'前提と出典'!$C$38*'契約別単価'!K7)</ns0:f>
        <ns0:v>9268.677839851023</ns0:v>
      </ns0:c>
      <ns0:c r="L26" s="16">
        <ns0:f>A26*('前提と出典'!$C$36*'契約別単価'!L5+'前提と出典'!$C$37*'契約別単価'!L6+'前提と出典'!$C$38*'契約別単価'!L7)</ns0:f>
        <ns0:v>7546.589820611437</ns0:v>
      </ns0:c>
      <ns0:c r="M26" s="16">
        <ns0:f>IF(('前提と出典'!$C$36+'前提と出典'!$C$38)=0,0,IF(B26&lt;=10,'前提と出典'!B73+'前提と出典'!C73,IF(B26&lt;=100,'前提と出典'!B74+'前提と出典'!C74,IF(B26&lt;=500,'前提と出典'!B75+'前提と出典'!C75,'前提と出典'!B76+'前提と出典'!C76))))</ns0:f>
        <ns0:v>20000</ns0:v>
      </ns0:c>
      <ns0:c r="N26" s="16">
        <ns0:f>IF(('前提と出典'!$C$37+'前提と出典'!$C$38)=0,0,IF(C26&lt;=10,'前提と出典'!D73+'前提と出典'!E73,IF(C26&lt;=100,'前提と出典'!D74+'前提と出典'!E74,IF(C26&lt;=500,'前提と出典'!D75+'前提と出典'!E75,'前提と出典'!D76+'前提と出典'!E76))))</ns0:f>
        <ns0:v>34510.9346263078</ns0:v>
      </ns0:c>
      <ns0:c r="O26" s="16">
        <ns0:f>IF('前提と出典'!$C$36+'前提と出典'!$C$38=0,0,'前提と出典'!$B$4*IF('前提と出典'!$B$20=0,MAX('前提と出典'!$B$6,D26*'前提と出典'!$B$5),'前提と出典'!$B$6+D26*'前提と出典'!$B$5))</ns0:f>
        <ns0:v>22500</ns0:v>
      </ns0:c>
      <ns0:c r="P26" s="16">
        <ns0:f>(E26+G26)*(1-'前提と出典'!$B$7)-I26-K26-M26-O26</ns0:f>
        <ns0:v>30553.910004374797</ns0:v>
      </ns0:c>
      <ns0:c r="Q26" s="16">
        <ns0:f>(F26+H26)*(1-'前提と出典'!$B$7)-J26-L26-N26</ns0:f>
        <ns0:v>-13464.05746290058</ns0:v>
      </ns0:c>
      <ns0:c r="R26" s="16">
        <ns0:f>P26-E26*'前提と出典'!$E$4</ns0:f>
        <ns0:v>17783.275269941194</ns0:v>
      </ns0:c>
      <ns0:c r="S26" s="16">
        <ns0:f>Q26-F26*'前提と出典'!$E$4</ns0:f>
        <ns0:v>-18476.067628947018</ns0:v>
      </ns0:c>
      <ns0:c r="T26" s="7">
        <ns0:f>R26+S26</ns0:f>
        <ns0:v>-692.7923590058235</ns0:v>
      </ns0:c>
      <ns0:c r="U26" s="16">
        <ns0:f>P26-E26*'前提と出典'!$E$5</ns0:f>
        <ns0:v>13526.397025129976</ns0:v>
      </ns0:c>
      <ns0:c r="V26" s="16">
        <ns0:f>Q26-F26*'前提と出典'!$E$5</ns0:f>
        <ns0:v>-20146.73768429583</ns0:v>
      </ns0:c>
      <ns0:c r="W26" s="7">
        <ns0:f>U26+V26</ns0:f>
        <ns0:v>-6620.340659165853</ns0:v>
      </ns0:c>
      <ns0:c r="X26" s="16">
        <ns0:f>P26-E26*'前提と出典'!$E$6</ns0:f>
        <ns0:v>9269.51878031878</ns0:v>
      </ns0:c>
      <ns0:c r="Y26" s="16">
        <ns0:f>Q26-F26*'前提と出典'!$E$6</ns0:f>
        <ns0:v>-21817.40773964464</ns0:v>
      </ns0:c>
      <ns0:c r="Z26" s="7">
        <ns0:f>X26+Y26</ns0:f>
        <ns0:v>-12547.888959325861</ns0:v>
      </ns0:c>
      <ns0:c r="AA26" s="7">
        <ns0:f>IF(T26&gt;=0,A26,1001)</ns0:f>
        <ns0:v>1001</ns0:v>
      </ns0:c>
      <ns0:c r="AB26" s="7">
        <ns0:f>IF(T26&lt;0,A26,0)</ns0:f>
        <ns0:v>22</ns0:v>
      </ns0:c>
      <ns0:c r="AC26" s="16">
        <ns0:f>IF(AND(OR('前提と出典'!$C$36+'前提と出典'!$C$38=0,R26&gt;=0),OR('前提と出典'!$C$37+'前提と出典'!$C$38=0,S26&gt;=0)),0,A26)</ns0:f>
        <ns0:v>22</ns0:v>
      </ns0:c>
      <ns0:c r="AD26" s="7">
        <ns0:f>IF(W26&gt;=0,A26,1001)</ns0:f>
        <ns0:v>1001</ns0:v>
      </ns0:c>
      <ns0:c r="AE26" s="7">
        <ns0:f>IF(W26&lt;0,A26,0)</ns0:f>
        <ns0:v>22</ns0:v>
      </ns0:c>
      <ns0:c r="AF26" s="16">
        <ns0:f>IF(AND(OR('前提と出典'!$C$36+'前提と出典'!$C$38=0,U26&gt;=0),OR('前提と出典'!$C$37+'前提と出典'!$C$38=0,V26&gt;=0)),0,A26)</ns0:f>
        <ns0:v>22</ns0:v>
      </ns0:c>
      <ns0:c r="AG26" s="7">
        <ns0:f>IF(Z26&gt;=0,A26,1001)</ns0:f>
        <ns0:v>1001</ns0:v>
      </ns0:c>
      <ns0:c r="AH26" s="4">
        <ns0:f>IF(Z26&lt;0,A26,0)</ns0:f>
        <ns0:v>22</ns0:v>
      </ns0:c>
      <ns0:c r="AI26" s="12">
        <ns0:f>IF(AND(OR('前提と出典'!$C$36+'前提と出典'!$C$38=0,X26&gt;=0),OR('前提と出典'!$C$37+'前提と出典'!$C$38=0,Y26&gt;=0)),0,A26)</ns0:f>
        <ns0:v>22</ns0:v>
      </ns0:c>
    </ns0:row>
    <ns0:row r="27" ht="24" customHeight="1">
      <ns0:c r="A27" s="4" t="n">
        <ns0:v>23</ns0:v>
      </ns0:c>
      <ns0:c r="B27" s="12">
        <ns0:f>A27*('前提と出典'!$C$36+'前提と出典'!$C$38)</ns0:f>
        <ns0:v>16.099999999999998</ns0:v>
      </ns0:c>
      <ns0:c r="C27" s="12">
        <ns0:f>A27*('前提と出典'!$C$37+'前提と出典'!$C$38)</ns0:f>
        <ns0:v>13.799999999999999</ns0:v>
      </ns0:c>
      <ns0:c r="D27" s="16">
        <ns0:f>A27*('前提と出典'!$C$36*'契約別単価'!C5+'前提と出典'!$C$37*'契約別単価'!C6+'前提と出典'!$C$38*'契約別単価'!C7)</ns0:f>
        <ns0:v>165.49720670391062</ns0:v>
      </ns0:c>
      <ns0:c r="E27" s="16">
        <ns0:f>A27*('前提と出典'!$C$36*'契約別単価'!E5+'前提と出典'!$C$37*'契約別単価'!E6+'前提と出典'!$C$38*'契約別単価'!E7)</ns0:f>
        <ns0:v>44503.727104844416</ns0:v>
      </ns0:c>
      <ns0:c r="F27" s="16">
        <ns0:f>A27*('前提と出典'!$C$36*'契約別単価'!F5+'前提と出典'!$C$37*'契約別単価'!F6+'前提と出典'!$C$38*'契約別単価'!F7)</ns0:f>
        <ns0:v>17466.096033192127</ns0:v>
      </ns0:c>
      <ns0:c r="G27" s="16">
        <ns0:f>A27*('前提と出典'!$C$36*'契約別単価'!G5+'前提と出典'!$C$37*'契約別単価'!G6+'前提と出典'!$C$38*'契約別単価'!G7)</ns0:f>
        <ns0:v>45781.564245810056</ns0:v>
      </ns0:c>
      <ns0:c r="H27" s="16">
        <ns0:f>A27*('前提と出典'!$C$36*'契約別単価'!H5+'前提と出典'!$C$37*'契約別単価'!H6+'前提と出典'!$C$38*'契約別単価'!H7)</ns0:f>
        <ns0:v>15888.498919176887</ns0:v>
      </ns0:c>
      <ns0:c r="I27" s="16">
        <ns0:f>A27*('前提と出典'!$C$36*'契約別単価'!I5+'前提と出典'!$C$37*'契約別単価'!I6+'前提と出典'!$C$38*'契約別単価'!I7)</ns0:f>
        <ns0:v>970.4972067039105</ns0:v>
      </ns0:c>
      <ns0:c r="J27" s="16">
        <ns0:f>A27*('前提と出典'!$C$36*'契約別単価'!J5+'前提と出典'!$C$37*'契約別単価'!J6+'前提と出典'!$C$38*'契約別単価'!J7)</ns0:f>
        <ns0:v>2260.6595053369592</ns0:v>
      </ns0:c>
      <ns0:c r="K27" s="16">
        <ns0:f>A27*('前提と出典'!$C$36*'契約別単価'!K5+'前提と出典'!$C$37*'契約別単価'!K6+'前提と出典'!$C$38*'契約別単価'!K7)</ns0:f>
        <ns0:v>9689.98137802607</ns0:v>
      </ns0:c>
      <ns0:c r="L27" s="16">
        <ns0:f>A27*('前提と出典'!$C$36*'契約別単価'!L5+'前提と出典'!$C$37*'契約別単価'!L6+'前提と出典'!$C$38*'契約別単価'!L7)</ns0:f>
        <ns0:v>7889.61663063923</ns0:v>
      </ns0:c>
      <ns0:c r="M27" s="16">
        <ns0:f>IF(('前提と出典'!$C$36+'前提と出典'!$C$38)=0,0,IF(B27&lt;=10,'前提と出典'!B73+'前提と出典'!C73,IF(B27&lt;=100,'前提と出典'!B74+'前提と出典'!C74,IF(B27&lt;=500,'前提と出典'!B75+'前提と出典'!C75,'前提と出典'!B76+'前提と出典'!C76))))</ns0:f>
        <ns0:v>20000</ns0:v>
      </ns0:c>
      <ns0:c r="N27" s="16">
        <ns0:f>IF(('前提と出典'!$C$37+'前提と出典'!$C$38)=0,0,IF(C27&lt;=10,'前提と出典'!D73+'前提と出典'!E73,IF(C27&lt;=100,'前提と出典'!D74+'前提と出典'!E74,IF(C27&lt;=500,'前提と出典'!D75+'前提と出典'!E75,'前提と出典'!D76+'前提と出典'!E76))))</ns0:f>
        <ns0:v>34510.9346263078</ns0:v>
      </ns0:c>
      <ns0:c r="O27" s="16">
        <ns0:f>IF('前提と出典'!$C$36+'前提と出典'!$C$38=0,0,'前提と出典'!$B$4*IF('前提と出典'!$B$20=0,MAX('前提と出典'!$B$6,D27*'前提と出典'!$B$5),'前提と出典'!$B$6+D27*'前提と出典'!$B$5))</ns0:f>
        <ns0:v>22838.61452513967</ns0:v>
      </ns0:c>
      <ns0:c r="P27" s="16">
        <ns0:f>(E27+G27)*(1-'前提と出典'!$B$7)-I27-K27-M27-O27</ns0:f>
        <ns0:v>33535.92775216125</ns0:v>
      </ns0:c>
      <ns0:c r="Q27" s="16">
        <ns0:f>(F27+H27)*(1-'前提と出典'!$B$7)-J27-L27-N27</ns0:f>
        <ns0:v>-12507.381228200258</ns0:v>
      </ns0:c>
      <ns0:c r="R27" s="16">
        <ns0:f>P27-E27*'前提と出典'!$E$4</ns0:f>
        <ns0:v>20184.809620707947</ns0:v>
      </ns0:c>
      <ns0:c r="S27" s="16">
        <ns0:f>Q27-F27*'前提と出典'!$E$4</ns0:f>
        <ns0:v>-17747.210038157897</ns0:v>
      </ns0:c>
      <ns0:c r="T27" s="7">
        <ns0:f>R27+S27</ns0:f>
        <ns0:v>2437.5995825500504</ns0:v>
      </ns0:c>
      <ns0:c r="U27" s="16">
        <ns0:f>P27-E27*'前提と出典'!$E$5</ns0:f>
        <ns0:v>15734.436910223489</ns0:v>
      </ns0:c>
      <ns0:c r="V27" s="16">
        <ns0:f>Q27-F27*'前提と出典'!$E$5</ns0:f>
        <ns0:v>-19493.81964147711</ns0:v>
      </ns0:c>
      <ns0:c r="W27" s="7">
        <ns0:f>U27+V27</ns0:f>
        <ns0:v>-3759.3827312536196</ns0:v>
      </ns0:c>
      <ns0:c r="X27" s="16">
        <ns0:f>P27-E27*'前提と出典'!$E$6</ns0:f>
        <ns0:v>11284.06419973906</ns0:v>
      </ns0:c>
      <ns0:c r="Y27" s="16">
        <ns0:f>Q27-F27*'前提と出典'!$E$6</ns0:f>
        <ns0:v>-21240.42924479632</ns0:v>
      </ns0:c>
      <ns0:c r="Z27" s="7">
        <ns0:f>X27+Y27</ns0:f>
        <ns0:v>-9956.36504505726</ns0:v>
      </ns0:c>
      <ns0:c r="AA27" s="7">
        <ns0:f>IF(T27&gt;=0,A27,1001)</ns0:f>
        <ns0:v>23</ns0:v>
      </ns0:c>
      <ns0:c r="AB27" s="7">
        <ns0:f>IF(T27&lt;0,A27,0)</ns0:f>
        <ns0:v>0</ns0:v>
      </ns0:c>
      <ns0:c r="AC27" s="16">
        <ns0:f>IF(AND(OR('前提と出典'!$C$36+'前提と出典'!$C$38=0,R27&gt;=0),OR('前提と出典'!$C$37+'前提と出典'!$C$38=0,S27&gt;=0)),0,A27)</ns0:f>
        <ns0:v>23</ns0:v>
      </ns0:c>
      <ns0:c r="AD27" s="7">
        <ns0:f>IF(W27&gt;=0,A27,1001)</ns0:f>
        <ns0:v>1001</ns0:v>
      </ns0:c>
      <ns0:c r="AE27" s="7">
        <ns0:f>IF(W27&lt;0,A27,0)</ns0:f>
        <ns0:v>23</ns0:v>
      </ns0:c>
      <ns0:c r="AF27" s="16">
        <ns0:f>IF(AND(OR('前提と出典'!$C$36+'前提と出典'!$C$38=0,U27&gt;=0),OR('前提と出典'!$C$37+'前提と出典'!$C$38=0,V27&gt;=0)),0,A27)</ns0:f>
        <ns0:v>23</ns0:v>
      </ns0:c>
      <ns0:c r="AG27" s="7">
        <ns0:f>IF(Z27&gt;=0,A27,1001)</ns0:f>
        <ns0:v>1001</ns0:v>
      </ns0:c>
      <ns0:c r="AH27" s="4">
        <ns0:f>IF(Z27&lt;0,A27,0)</ns0:f>
        <ns0:v>23</ns0:v>
      </ns0:c>
      <ns0:c r="AI27" s="12">
        <ns0:f>IF(AND(OR('前提と出典'!$C$36+'前提と出典'!$C$38=0,X27&gt;=0),OR('前提と出典'!$C$37+'前提と出典'!$C$38=0,Y27&gt;=0)),0,A27)</ns0:f>
        <ns0:v>23</ns0:v>
      </ns0:c>
    </ns0:row>
    <ns0:row r="28" ht="24" customHeight="1">
      <ns0:c r="A28" s="4" t="n">
        <ns0:v>24</ns0:v>
      </ns0:c>
      <ns0:c r="B28" s="12">
        <ns0:f>A28*('前提と出典'!$C$36+'前提と出典'!$C$38)</ns0:f>
        <ns0:v>16.799999999999997</ns0:v>
      </ns0:c>
      <ns0:c r="C28" s="12">
        <ns0:f>A28*('前提と出典'!$C$37+'前提と出典'!$C$38)</ns0:f>
        <ns0:v>14.399999999999999</ns0:v>
      </ns0:c>
      <ns0:c r="D28" s="16">
        <ns0:f>A28*('前提と出典'!$C$36*'契約別単価'!C5+'前提と出典'!$C$37*'契約別単価'!C6+'前提と出典'!$C$38*'契約別単価'!C7)</ns0:f>
        <ns0:v>172.6927374301676</ns0:v>
      </ns0:c>
      <ns0:c r="E28" s="16">
        <ns0:f>A28*('前提と出典'!$C$36*'契約別単価'!E5+'前提と出典'!$C$37*'契約別単価'!E6+'前提と出典'!$C$38*'契約別単価'!E7)</ns0:f>
        <ns0:v>46438.671761576785</ns0:v>
      </ns0:c>
      <ns0:c r="F28" s="16">
        <ns0:f>A28*('前提と出典'!$C$36*'契約別単価'!F5+'前提と出典'!$C$37*'契約別単価'!F6+'前提と出典'!$C$38*'契約別単価'!F7)</ns0:f>
        <ns0:v>18225.491512896133</ns0:v>
      </ns0:c>
      <ns0:c r="G28" s="16">
        <ns0:f>A28*('前提と出典'!$C$36*'契約別単価'!G5+'前提と出典'!$C$37*'契約別単価'!G6+'前提と出典'!$C$38*'契約別単価'!G7)</ns0:f>
        <ns0:v>47772.06703910614</ns0:v>
      </ns0:c>
      <ns0:c r="H28" s="16">
        <ns0:f>A28*('前提と出典'!$C$36*'契約別単価'!H5+'前提と出典'!$C$37*'契約別単価'!H6+'前提と出典'!$C$38*'契約別単価'!H7)</ns0:f>
        <ns0:v>16579.303220010665</ns0:v>
      </ns0:c>
      <ns0:c r="I28" s="16">
        <ns0:f>A28*('前提と出典'!$C$36*'契約別単価'!I5+'前提と出典'!$C$37*'契約別単価'!I6+'前提と出典'!$C$38*'契約別単価'!I7)</ns0:f>
        <ns0:v>1012.6927374301674</ns0:v>
      </ns0:c>
      <ns0:c r="J28" s="16">
        <ns0:f>A28*('前提と出典'!$C$36*'契約別単価'!J5+'前提と出典'!$C$37*'契約別単価'!J6+'前提と出典'!$C$38*'契約別単価'!J7)</ns0:f>
        <ns0:v>2358.9490490472617</ns0:v>
      </ns0:c>
      <ns0:c r="K28" s="16">
        <ns0:f>A28*('前提と出典'!$C$36*'契約別単価'!K5+'前提と出典'!$C$37*'契約別単価'!K6+'前提と出典'!$C$38*'契約別単価'!K7)</ns0:f>
        <ns0:v>10111.284916201117</ns0:v>
      </ns0:c>
      <ns0:c r="L28" s="16">
        <ns0:f>A28*('前提と出典'!$C$36*'契約別単価'!L5+'前提と出典'!$C$37*'契約別単価'!L6+'前提と出典'!$C$38*'契約別単価'!L7)</ns0:f>
        <ns0:v>8232.643440667021</ns0:v>
      </ns0:c>
      <ns0:c r="M28" s="16">
        <ns0:f>IF(('前提と出典'!$C$36+'前提と出典'!$C$38)=0,0,IF(B28&lt;=10,'前提と出典'!B73+'前提と出典'!C73,IF(B28&lt;=100,'前提と出典'!B74+'前提と出典'!C74,IF(B28&lt;=500,'前提と出典'!B75+'前提と出典'!C75,'前提と出典'!B76+'前提と出典'!C76))))</ns0:f>
        <ns0:v>20000</ns0:v>
      </ns0:c>
      <ns0:c r="N28" s="16">
        <ns0:f>IF(('前提と出典'!$C$37+'前提と出典'!$C$38)=0,0,IF(C28&lt;=10,'前提と出典'!D73+'前提と出典'!E73,IF(C28&lt;=100,'前提と出典'!D74+'前提と出典'!E74,IF(C28&lt;=500,'前提と出典'!D75+'前提と出典'!E75,'前提と出典'!D76+'前提と出典'!E76))))</ns0:f>
        <ns0:v>34510.9346263078</ns0:v>
      </ns0:c>
      <ns0:c r="O28" s="16">
        <ns0:f>IF('前提と出典'!$C$36+'前提と出典'!$C$38=0,0,'前提と出典'!$B$4*IF('前提と出典'!$B$20=0,MAX('前提と出典'!$B$6,D28*'前提と出典'!$B$5),'前提と出典'!$B$6+D28*'前提と出典'!$B$5))</ns0:f>
        <ns0:v>23831.59776536313</ns0:v>
      </ns0:c>
      <ns0:c r="P28" s="16">
        <ns0:f>(E28+G28)*(1-'前提と出典'!$B$7)-I28-K28-M28-O28</ns0:f>
        <ns0:v>35863.57678486392</ns0:v>
      </ns0:c>
      <ns0:c r="Q28" s="16">
        <ns0:f>(F28+H28)*(1-'前提と出典'!$B$7)-J28-L28-N28</ns0:f>
        <ns0:v>-11550.70499349993</ns0:v>
      </ns0:c>
      <ns0:c r="R28" s="16">
        <ns0:f>P28-E28*'前提と出典'!$E$4</ns0:f>
        <ns0:v>21931.975256390895</ns0:v>
      </ns0:c>
      <ns0:c r="S28" s="16">
        <ns0:f>Q28-F28*'前提と出典'!$E$4</ns0:f>
        <ns0:v>-17018.352447368772</ns0:v>
      </ns0:c>
      <ns0:c r="T28" s="7">
        <ns0:f>R28+S28</ns0:f>
        <ns0:v>4913.622809022123</ns0:v>
      </ns0:c>
      <ns0:c r="U28" s="16">
        <ns0:f>P28-E28*'前提と出典'!$E$5</ns0:f>
        <ns0:v>17288.108080233204</ns0:v>
      </ns0:c>
      <ns0:c r="V28" s="16">
        <ns0:f>Q28-F28*'前提と出典'!$E$5</ns0:f>
        <ns0:v>-18840.901598658384</ns0:v>
      </ns0:c>
      <ns0:c r="W28" s="7">
        <ns0:f>U28+V28</ns0:f>
        <ns0:v>-1552.79351842518</ns0:v>
      </ns0:c>
      <ns0:c r="X28" s="16">
        <ns0:f>P28-E28*'前提と出典'!$E$6</ns0:f>
        <ns0:v>12644.24090407552</ns0:v>
      </ns0:c>
      <ns0:c r="Y28" s="16">
        <ns0:f>Q28-F28*'前提と出典'!$E$6</ns0:f>
        <ns0:v>-20663.450749947995</ns0:v>
      </ns0:c>
      <ns0:c r="Z28" s="7">
        <ns0:f>X28+Y28</ns0:f>
        <ns0:v>-8019.209845872476</ns0:v>
      </ns0:c>
      <ns0:c r="AA28" s="7">
        <ns0:f>IF(T28&gt;=0,A28,1001)</ns0:f>
        <ns0:v>24</ns0:v>
      </ns0:c>
      <ns0:c r="AB28" s="7">
        <ns0:f>IF(T28&lt;0,A28,0)</ns0:f>
        <ns0:v>0</ns0:v>
      </ns0:c>
      <ns0:c r="AC28" s="16">
        <ns0:f>IF(AND(OR('前提と出典'!$C$36+'前提と出典'!$C$38=0,R28&gt;=0),OR('前提と出典'!$C$37+'前提と出典'!$C$38=0,S28&gt;=0)),0,A28)</ns0:f>
        <ns0:v>24</ns0:v>
      </ns0:c>
      <ns0:c r="AD28" s="7">
        <ns0:f>IF(W28&gt;=0,A28,1001)</ns0:f>
        <ns0:v>1001</ns0:v>
      </ns0:c>
      <ns0:c r="AE28" s="7">
        <ns0:f>IF(W28&lt;0,A28,0)</ns0:f>
        <ns0:v>24</ns0:v>
      </ns0:c>
      <ns0:c r="AF28" s="16">
        <ns0:f>IF(AND(OR('前提と出典'!$C$36+'前提と出典'!$C$38=0,U28&gt;=0),OR('前提と出典'!$C$37+'前提と出典'!$C$38=0,V28&gt;=0)),0,A28)</ns0:f>
        <ns0:v>24</ns0:v>
      </ns0:c>
      <ns0:c r="AG28" s="7">
        <ns0:f>IF(Z28&gt;=0,A28,1001)</ns0:f>
        <ns0:v>1001</ns0:v>
      </ns0:c>
      <ns0:c r="AH28" s="4">
        <ns0:f>IF(Z28&lt;0,A28,0)</ns0:f>
        <ns0:v>24</ns0:v>
      </ns0:c>
      <ns0:c r="AI28" s="12">
        <ns0:f>IF(AND(OR('前提と出典'!$C$36+'前提と出典'!$C$38=0,X28&gt;=0),OR('前提と出典'!$C$37+'前提と出典'!$C$38=0,Y28&gt;=0)),0,A28)</ns0:f>
        <ns0:v>24</ns0:v>
      </ns0:c>
    </ns0:row>
    <ns0:row r="29" ht="24" customHeight="1">
      <ns0:c r="A29" s="4" t="n">
        <ns0:v>25</ns0:v>
      </ns0:c>
      <ns0:c r="B29" s="12">
        <ns0:f>A29*('前提と出典'!$C$36+'前提と出典'!$C$38)</ns0:f>
        <ns0:v>17.5</ns0:v>
      </ns0:c>
      <ns0:c r="C29" s="12">
        <ns0:f>A29*('前提と出典'!$C$37+'前提と出典'!$C$38)</ns0:f>
        <ns0:v>15</ns0:v>
      </ns0:c>
      <ns0:c r="D29" s="16">
        <ns0:f>A29*('前提と出典'!$C$36*'契約別単価'!C5+'前提と出典'!$C$37*'契約別単価'!C6+'前提と出典'!$C$38*'契約別単価'!C7)</ns0:f>
        <ns0:v>179.88826815642457</ns0:v>
      </ns0:c>
      <ns0:c r="E29" s="16">
        <ns0:f>A29*('前提と出典'!$C$36*'契約別単価'!E5+'前提と出典'!$C$37*'契約別単価'!E6+'前提と出典'!$C$38*'契約別単価'!E7)</ns0:f>
        <ns0:v>48373.616418309146</ns0:v>
      </ns0:c>
      <ns0:c r="F29" s="16">
        <ns0:f>A29*('前提と出典'!$C$36*'契約別単価'!F5+'前提と出典'!$C$37*'契約別単価'!F6+'前提と出典'!$C$38*'契約別単価'!F7)</ns0:f>
        <ns0:v>18984.88699260014</ns0:v>
      </ns0:c>
      <ns0:c r="G29" s="16">
        <ns0:f>A29*('前提と出典'!$C$36*'契約別単価'!G5+'前提と出典'!$C$37*'契約別単価'!G6+'前提と出典'!$C$38*'契約別単価'!G7)</ns0:f>
        <ns0:v>49762.56983240223</ns0:v>
      </ns0:c>
      <ns0:c r="H29" s="16">
        <ns0:f>A29*('前提と出典'!$C$36*'契約別単価'!H5+'前提と出典'!$C$37*'契約別単価'!H6+'前提と出典'!$C$38*'契約別単価'!H7)</ns0:f>
        <ns0:v>17270.10752084444</ns0:v>
      </ns0:c>
      <ns0:c r="I29" s="16">
        <ns0:f>A29*('前提と出典'!$C$36*'契約別単価'!I5+'前提と出典'!$C$37*'契約別単価'!I6+'前提と出典'!$C$38*'契約別単価'!I7)</ns0:f>
        <ns0:v>1054.8882681564244</ns0:v>
      </ns0:c>
      <ns0:c r="J29" s="16">
        <ns0:f>A29*('前提と出典'!$C$36*'契約別単価'!J5+'前提と出典'!$C$37*'契約別単価'!J6+'前提と出典'!$C$38*'契約別単価'!J7)</ns0:f>
        <ns0:v>2457.238592757564</ns0:v>
      </ns0:c>
      <ns0:c r="K29" s="16">
        <ns0:f>A29*('前提と出典'!$C$36*'契約別単価'!K5+'前提と出典'!$C$37*'契約別単価'!K6+'前提と出典'!$C$38*'契約別単価'!K7)</ns0:f>
        <ns0:v>10532.588454376164</ns0:v>
      </ns0:c>
      <ns0:c r="L29" s="16">
        <ns0:f>A29*('前提と出典'!$C$36*'契約別単価'!L5+'前提と出典'!$C$37*'契約別単価'!L6+'前提と出典'!$C$38*'契約別単価'!L7)</ns0:f>
        <ns0:v>8575.670250694815</ns0:v>
      </ns0:c>
      <ns0:c r="M29" s="16">
        <ns0:f>IF(('前提と出典'!$C$36+'前提と出典'!$C$38)=0,0,IF(B29&lt;=10,'前提と出典'!B73+'前提と出典'!C73,IF(B29&lt;=100,'前提と出典'!B74+'前提と出典'!C74,IF(B29&lt;=500,'前提と出典'!B75+'前提と出典'!C75,'前提と出典'!B76+'前提と出典'!C76))))</ns0:f>
        <ns0:v>20000</ns0:v>
      </ns0:c>
      <ns0:c r="N29" s="16">
        <ns0:f>IF(('前提と出典'!$C$37+'前提と出典'!$C$38)=0,0,IF(C29&lt;=10,'前提と出典'!D73+'前提と出典'!E73,IF(C29&lt;=100,'前提と出典'!D74+'前提と出典'!E74,IF(C29&lt;=500,'前提と出典'!D75+'前提と出典'!E75,'前提と出典'!D76+'前提と出典'!E76))))</ns0:f>
        <ns0:v>34510.9346263078</ns0:v>
      </ns0:c>
      <ns0:c r="O29" s="16">
        <ns0:f>IF('前提と出典'!$C$36+'前提と出典'!$C$38=0,0,'前提と出典'!$B$4*IF('前提と出典'!$B$20=0,MAX('前提と出典'!$B$6,D29*'前提と出典'!$B$5),'前提と出典'!$B$6+D29*'前提と出典'!$B$5))</ns0:f>
        <ns0:v>24824.58100558659</ns0:v>
      </ns0:c>
      <ns0:c r="P29" s="16">
        <ns0:f>(E29+G29)*(1-'前提と出典'!$B$7)-I29-K29-M29-O29</ns0:f>
        <ns0:v>38191.22581756659</ns0:v>
      </ns0:c>
      <ns0:c r="Q29" s="16">
        <ns0:f>(F29+H29)*(1-'前提と出典'!$B$7)-J29-L29-N29</ns0:f>
        <ns0:v>-10594.028758799603</ns0:v>
      </ns0:c>
      <ns0:c r="R29" s="16">
        <ns0:f>P29-E29*'前提と出典'!$E$4</ns0:f>
        <ns0:v>23679.140892073843</ns0:v>
      </ns0:c>
      <ns0:c r="S29" s="16">
        <ns0:f>Q29-F29*'前提と出典'!$E$4</ns0:f>
        <ns0:v>-16289.494856579644</ns0:v>
      </ns0:c>
      <ns0:c r="T29" s="7">
        <ns0:f>R29+S29</ns0:f>
        <ns0:v>7389.646035494199</ns0:v>
      </ns0:c>
      <ns0:c r="U29" s="16">
        <ns0:f>P29-E29*'前提と出典'!$E$5</ns0:f>
        <ns0:v>18841.779250242933</ns0:v>
      </ns0:c>
      <ns0:c r="V29" s="16">
        <ns0:f>Q29-F29*'前提と出典'!$E$5</ns0:f>
        <ns0:v>-18187.98355583966</ns0:v>
      </ns0:c>
      <ns0:c r="W29" s="7">
        <ns0:f>U29+V29</ns0:f>
        <ns0:v>653.795694403274</ns0:v>
      </ns0:c>
      <ns0:c r="X29" s="16">
        <ns0:f>P29-E29*'前提と出典'!$E$6</ns0:f>
        <ns0:v>14004.417608412008</ns0:v>
      </ns0:c>
      <ns0:c r="Y29" s="16">
        <ns0:f>Q29-F29*'前提と出典'!$E$6</ns0:f>
        <ns0:v>-20086.472255099667</ns0:v>
      </ns0:c>
      <ns0:c r="Z29" s="7">
        <ns0:f>X29+Y29</ns0:f>
        <ns0:v>-6082.0546466876585</ns0:v>
      </ns0:c>
      <ns0:c r="AA29" s="7">
        <ns0:f>IF(T29&gt;=0,A29,1001)</ns0:f>
        <ns0:v>25</ns0:v>
      </ns0:c>
      <ns0:c r="AB29" s="7">
        <ns0:f>IF(T29&lt;0,A29,0)</ns0:f>
        <ns0:v>0</ns0:v>
      </ns0:c>
      <ns0:c r="AC29" s="16">
        <ns0:f>IF(AND(OR('前提と出典'!$C$36+'前提と出典'!$C$38=0,R29&gt;=0),OR('前提と出典'!$C$37+'前提と出典'!$C$38=0,S29&gt;=0)),0,A29)</ns0:f>
        <ns0:v>25</ns0:v>
      </ns0:c>
      <ns0:c r="AD29" s="7">
        <ns0:f>IF(W29&gt;=0,A29,1001)</ns0:f>
        <ns0:v>25</ns0:v>
      </ns0:c>
      <ns0:c r="AE29" s="7">
        <ns0:f>IF(W29&lt;0,A29,0)</ns0:f>
        <ns0:v>0</ns0:v>
      </ns0:c>
      <ns0:c r="AF29" s="16">
        <ns0:f>IF(AND(OR('前提と出典'!$C$36+'前提と出典'!$C$38=0,U29&gt;=0),OR('前提と出典'!$C$37+'前提と出典'!$C$38=0,V29&gt;=0)),0,A29)</ns0:f>
        <ns0:v>25</ns0:v>
      </ns0:c>
      <ns0:c r="AG29" s="7">
        <ns0:f>IF(Z29&gt;=0,A29,1001)</ns0:f>
        <ns0:v>1001</ns0:v>
      </ns0:c>
      <ns0:c r="AH29" s="4">
        <ns0:f>IF(Z29&lt;0,A29,0)</ns0:f>
        <ns0:v>25</ns0:v>
      </ns0:c>
      <ns0:c r="AI29" s="12">
        <ns0:f>IF(AND(OR('前提と出典'!$C$36+'前提と出典'!$C$38=0,X29&gt;=0),OR('前提と出典'!$C$37+'前提と出典'!$C$38=0,Y29&gt;=0)),0,A29)</ns0:f>
        <ns0:v>25</ns0:v>
      </ns0:c>
    </ns0:row>
    <ns0:row r="30" ht="24" customHeight="1">
      <ns0:c r="A30" s="4" t="n">
        <ns0:v>26</ns0:v>
      </ns0:c>
      <ns0:c r="B30" s="12">
        <ns0:f>A30*('前提と出典'!$C$36+'前提と出典'!$C$38)</ns0:f>
        <ns0:v>18.2</ns0:v>
      </ns0:c>
      <ns0:c r="C30" s="12">
        <ns0:f>A30*('前提と出典'!$C$37+'前提と出典'!$C$38)</ns0:f>
        <ns0:v>15.6</ns0:v>
      </ns0:c>
      <ns0:c r="D30" s="16">
        <ns0:f>A30*('前提と出典'!$C$36*'契約別単価'!C5+'前提と出典'!$C$37*'契約別単価'!C6+'前提と出典'!$C$38*'契約別単価'!C7)</ns0:f>
        <ns0:v>187.08379888268155</ns0:v>
      </ns0:c>
      <ns0:c r="E30" s="16">
        <ns0:f>A30*('前提と出典'!$C$36*'契約別単価'!E5+'前提と出典'!$C$37*'契約別単価'!E6+'前提と出典'!$C$38*'契約別単価'!E7)</ns0:f>
        <ns0:v>50308.561075041514</ns0:v>
      </ns0:c>
      <ns0:c r="F30" s="16">
        <ns0:f>A30*('前提と出典'!$C$36*'契約別単価'!F5+'前提と出典'!$C$37*'契約別単価'!F6+'前提と出典'!$C$38*'契約別単価'!F7)</ns0:f>
        <ns0:v>19744.282472304145</ns0:v>
      </ns0:c>
      <ns0:c r="G30" s="16">
        <ns0:f>A30*('前提と出典'!$C$36*'契約別単価'!G5+'前提と出典'!$C$37*'契約別単価'!G6+'前提と出典'!$C$38*'契約別単価'!G7)</ns0:f>
        <ns0:v>51753.07262569832</ns0:v>
      </ns0:c>
      <ns0:c r="H30" s="16">
        <ns0:f>A30*('前提と出典'!$C$36*'契約別単価'!H5+'前提と出典'!$C$37*'契約別単価'!H6+'前提と出典'!$C$38*'契約別単価'!H7)</ns0:f>
        <ns0:v>17960.91182167822</ns0:v>
      </ns0:c>
      <ns0:c r="I30" s="16">
        <ns0:f>A30*('前提と出典'!$C$36*'契約別単価'!I5+'前提と出典'!$C$37*'契約別単価'!I6+'前提と出典'!$C$38*'契約別単価'!I7)</ns0:f>
        <ns0:v>1097.0837988826813</ns0:v>
      </ns0:c>
      <ns0:c r="J30" s="16">
        <ns0:f>A30*('前提と出典'!$C$36*'契約別単価'!J5+'前提と出典'!$C$37*'契約別単価'!J6+'前提と出典'!$C$38*'契約別単価'!J7)</ns0:f>
        <ns0:v>2555.5281364678667</ns0:v>
      </ns0:c>
      <ns0:c r="K30" s="16">
        <ns0:f>A30*('前提と出典'!$C$36*'契約別単価'!K5+'前提と出典'!$C$37*'契約別単価'!K6+'前提と出典'!$C$38*'契約別単価'!K7)</ns0:f>
        <ns0:v>10953.89199255121</ns0:v>
      </ns0:c>
      <ns0:c r="L30" s="16">
        <ns0:f>A30*('前提と出典'!$C$36*'契約別単価'!L5+'前提と出典'!$C$37*'契約別単価'!L6+'前提と出典'!$C$38*'契約別単価'!L7)</ns0:f>
        <ns0:v>8918.697060722607</ns0:v>
      </ns0:c>
      <ns0:c r="M30" s="16">
        <ns0:f>IF(('前提と出典'!$C$36+'前提と出典'!$C$38)=0,0,IF(B30&lt;=10,'前提と出典'!B73+'前提と出典'!C73,IF(B30&lt;=100,'前提と出典'!B74+'前提と出典'!C74,IF(B30&lt;=500,'前提と出典'!B75+'前提と出典'!C75,'前提と出典'!B76+'前提と出典'!C76))))</ns0:f>
        <ns0:v>20000</ns0:v>
      </ns0:c>
      <ns0:c r="N30" s="16">
        <ns0:f>IF(('前提と出典'!$C$37+'前提と出典'!$C$38)=0,0,IF(C30&lt;=10,'前提と出典'!D73+'前提と出典'!E73,IF(C30&lt;=100,'前提と出典'!D74+'前提と出典'!E74,IF(C30&lt;=500,'前提と出典'!D75+'前提と出典'!E75,'前提と出典'!D76+'前提と出典'!E76))))</ns0:f>
        <ns0:v>34510.9346263078</ns0:v>
      </ns0:c>
      <ns0:c r="O30" s="16">
        <ns0:f>IF('前提と出典'!$C$36+'前提と出典'!$C$38=0,0,'前提と出典'!$B$4*IF('前提と出典'!$B$20=0,MAX('前提と出典'!$B$6,D30*'前提と出典'!$B$5),'前提と出典'!$B$6+D30*'前提と出典'!$B$5))</ns0:f>
        <ns0:v>25817.564245810056</ns0:v>
      </ns0:c>
      <ns0:c r="P30" s="16">
        <ns0:f>(E30+G30)*(1-'前提と出典'!$B$7)-I30-K30-M30-O30</ns0:f>
        <ns0:v>40518.87485026925</ns0:v>
      </ns0:c>
      <ns0:c r="Q30" s="16">
        <ns0:f>(F30+H30)*(1-'前提と出典'!$B$7)-J30-L30-N30</ns0:f>
        <ns0:v>-9637.352524099271</ns0:v>
      </ns0:c>
      <ns0:c r="R30" s="16">
        <ns0:f>P30-E30*'前提と出典'!$E$4</ns0:f>
        <ns0:v>25426.306527756802</ns0:v>
      </ns0:c>
      <ns0:c r="S30" s="16">
        <ns0:f>Q30-F30*'前提と出典'!$E$4</ns0:f>
        <ns0:v>-15560.637265790516</ns0:v>
      </ns0:c>
      <ns0:c r="T30" s="7">
        <ns0:f>R30+S30</ns0:f>
        <ns0:v>9865.669261966286</ns0:v>
      </ns0:c>
      <ns0:c r="U30" s="16">
        <ns0:f>P30-E30*'前提と出典'!$E$5</ns0:f>
        <ns0:v>20395.450420252637</ns0:v>
      </ns0:c>
      <ns0:c r="V30" s="16">
        <ns0:f>Q30-F30*'前提と出典'!$E$5</ns0:f>
        <ns0:v>-17535.06551302093</ns0:v>
      </ns0:c>
      <ns0:c r="W30" s="7">
        <ns0:f>U30+V30</ns0:f>
        <ns0:v>2860.384907231706</ns0:v>
      </ns0:c>
      <ns0:c r="X30" s="16">
        <ns0:f>P30-E30*'前提と出典'!$E$6</ns0:f>
        <ns0:v>15364.594312748493</ns0:v>
      </ns0:c>
      <ns0:c r="Y30" s="16">
        <ns0:f>Q30-F30*'前提と出典'!$E$6</ns0:f>
        <ns0:v>-19509.493760251342</ns0:v>
      </ns0:c>
      <ns0:c r="Z30" s="7">
        <ns0:f>X30+Y30</ns0:f>
        <ns0:v>-4144.8994475028485</ns0:v>
      </ns0:c>
      <ns0:c r="AA30" s="7">
        <ns0:f>IF(T30&gt;=0,A30,1001)</ns0:f>
        <ns0:v>26</ns0:v>
      </ns0:c>
      <ns0:c r="AB30" s="7">
        <ns0:f>IF(T30&lt;0,A30,0)</ns0:f>
        <ns0:v>0</ns0:v>
      </ns0:c>
      <ns0:c r="AC30" s="16">
        <ns0:f>IF(AND(OR('前提と出典'!$C$36+'前提と出典'!$C$38=0,R30&gt;=0),OR('前提と出典'!$C$37+'前提と出典'!$C$38=0,S30&gt;=0)),0,A30)</ns0:f>
        <ns0:v>26</ns0:v>
      </ns0:c>
      <ns0:c r="AD30" s="7">
        <ns0:f>IF(W30&gt;=0,A30,1001)</ns0:f>
        <ns0:v>26</ns0:v>
      </ns0:c>
      <ns0:c r="AE30" s="7">
        <ns0:f>IF(W30&lt;0,A30,0)</ns0:f>
        <ns0:v>0</ns0:v>
      </ns0:c>
      <ns0:c r="AF30" s="16">
        <ns0:f>IF(AND(OR('前提と出典'!$C$36+'前提と出典'!$C$38=0,U30&gt;=0),OR('前提と出典'!$C$37+'前提と出典'!$C$38=0,V30&gt;=0)),0,A30)</ns0:f>
        <ns0:v>26</ns0:v>
      </ns0:c>
      <ns0:c r="AG30" s="7">
        <ns0:f>IF(Z30&gt;=0,A30,1001)</ns0:f>
        <ns0:v>1001</ns0:v>
      </ns0:c>
      <ns0:c r="AH30" s="4">
        <ns0:f>IF(Z30&lt;0,A30,0)</ns0:f>
        <ns0:v>26</ns0:v>
      </ns0:c>
      <ns0:c r="AI30" s="12">
        <ns0:f>IF(AND(OR('前提と出典'!$C$36+'前提と出典'!$C$38=0,X30&gt;=0),OR('前提と出典'!$C$37+'前提と出典'!$C$38=0,Y30&gt;=0)),0,A30)</ns0:f>
        <ns0:v>26</ns0:v>
      </ns0:c>
    </ns0:row>
    <ns0:row r="31" ht="24" customHeight="1">
      <ns0:c r="A31" s="4" t="n">
        <ns0:v>27</ns0:v>
      </ns0:c>
      <ns0:c r="B31" s="12">
        <ns0:f>A31*('前提と出典'!$C$36+'前提と出典'!$C$38)</ns0:f>
        <ns0:v>18.9</ns0:v>
      </ns0:c>
      <ns0:c r="C31" s="12">
        <ns0:f>A31*('前提と出典'!$C$37+'前提と出典'!$C$38)</ns0:f>
        <ns0:v>16.2</ns0:v>
      </ns0:c>
      <ns0:c r="D31" s="16">
        <ns0:f>A31*('前提と出典'!$C$36*'契約別単価'!C5+'前提と出典'!$C$37*'契約別単価'!C6+'前提と出典'!$C$38*'契約別単価'!C7)</ns0:f>
        <ns0:v>194.27932960893855</ns0:v>
      </ns0:c>
      <ns0:c r="E31" s="16">
        <ns0:f>A31*('前提と出典'!$C$36*'契約別単価'!E5+'前提と出典'!$C$37*'契約別単価'!E6+'前提と出典'!$C$38*'契約別単価'!E7)</ns0:f>
        <ns0:v>52243.50573177388</ns0:v>
      </ns0:c>
      <ns0:c r="F31" s="16">
        <ns0:f>A31*('前提と出典'!$C$36*'契約別単価'!F5+'前提と出典'!$C$37*'契約別単価'!F6+'前提と出典'!$C$38*'契約別単価'!F7)</ns0:f>
        <ns0:v>20503.67795200815</ns0:v>
      </ns0:c>
      <ns0:c r="G31" s="16">
        <ns0:f>A31*('前提と出典'!$C$36*'契約別単価'!G5+'前提と出典'!$C$37*'契約別単価'!G6+'前提と出典'!$C$38*'契約別単価'!G7)</ns0:f>
        <ns0:v>53743.57541899441</ns0:v>
      </ns0:c>
      <ns0:c r="H31" s="16">
        <ns0:f>A31*('前提と出典'!$C$36*'契約別単価'!H5+'前提と出典'!$C$37*'契約別単価'!H6+'前提と出典'!$C$38*'契約別単価'!H7)</ns0:f>
        <ns0:v>18651.716122511996</ns0:v>
      </ns0:c>
      <ns0:c r="I31" s="16">
        <ns0:f>A31*('前提と出典'!$C$36*'契約別単価'!I5+'前提と出典'!$C$37*'契約別単価'!I6+'前提と出典'!$C$38*'契約別単価'!I7)</ns0:f>
        <ns0:v>1139.2793296089383</ns0:v>
      </ns0:c>
      <ns0:c r="J31" s="16">
        <ns0:f>A31*('前提と出典'!$C$36*'契約別単価'!J5+'前提と出典'!$C$37*'契約別単価'!J6+'前提と出典'!$C$38*'契約別単価'!J7)</ns0:f>
        <ns0:v>2653.817680178169</ns0:v>
      </ns0:c>
      <ns0:c r="K31" s="16">
        <ns0:f>A31*('前提と出典'!$C$36*'契約別単価'!K5+'前提と出典'!$C$37*'契約別単価'!K6+'前提と出典'!$C$38*'契約別単価'!K7)</ns0:f>
        <ns0:v>11375.195530726256</ns0:v>
      </ns0:c>
      <ns0:c r="L31" s="16">
        <ns0:f>A31*('前提と出典'!$C$36*'契約別単価'!L5+'前提と出典'!$C$37*'契約別単価'!L6+'前提と出典'!$C$38*'契約別単価'!L7)</ns0:f>
        <ns0:v>9261.7238707504</ns0:v>
      </ns0:c>
      <ns0:c r="M31" s="16">
        <ns0:f>IF(('前提と出典'!$C$36+'前提と出典'!$C$38)=0,0,IF(B31&lt;=10,'前提と出典'!B73+'前提と出典'!C73,IF(B31&lt;=100,'前提と出典'!B74+'前提と出典'!C74,IF(B31&lt;=500,'前提と出典'!B75+'前提と出典'!C75,'前提と出典'!B76+'前提と出典'!C76))))</ns0:f>
        <ns0:v>20000</ns0:v>
      </ns0:c>
      <ns0:c r="N31" s="16">
        <ns0:f>IF(('前提と出典'!$C$37+'前提と出典'!$C$38)=0,0,IF(C31&lt;=10,'前提と出典'!D73+'前提と出典'!E73,IF(C31&lt;=100,'前提と出典'!D74+'前提と出典'!E74,IF(C31&lt;=500,'前提と出典'!D75+'前提と出典'!E75,'前提と出典'!D76+'前提と出典'!E76))))</ns0:f>
        <ns0:v>34510.9346263078</ns0:v>
      </ns0:c>
      <ns0:c r="O31" s="16">
        <ns0:f>IF('前提と出典'!$C$36+'前提と出典'!$C$38=0,0,'前提と出典'!$B$4*IF('前提と出典'!$B$20=0,MAX('前提と出典'!$B$6,D31*'前提と出典'!$B$5),'前提と出典'!$B$6+D31*'前提と出典'!$B$5))</ns0:f>
        <ns0:v>26810.547486033523</ns0:v>
      </ns0:c>
      <ns0:c r="P31" s="16">
        <ns0:f>(E31+G31)*(1-'前提と出典'!$B$7)-I31-K31-M31-O31</ns0:f>
        <ns0:v>42846.52388297192</ns0:v>
      </ns0:c>
      <ns0:c r="Q31" s="16">
        <ns0:f>(F31+H31)*(1-'前提と出典'!$B$7)-J31-L31-N31</ns0:f>
        <ns0:v>-8680.676289398945</ns0:v>
      </ns0:c>
      <ns0:c r="R31" s="16">
        <ns0:f>P31-E31*'前提と出典'!$E$4</ns0:f>
        <ns0:v>27173.472163439757</ns0:v>
      </ns0:c>
      <ns0:c r="S31" s="16">
        <ns0:f>Q31-F31*'前提と出典'!$E$4</ns0:f>
        <ns0:v>-14831.779675001391</ns0:v>
      </ns0:c>
      <ns0:c r="T31" s="7">
        <ns0:f>R31+S31</ns0:f>
        <ns0:v>12341.692488438366</ns0:v>
      </ns0:c>
      <ns0:c r="U31" s="16">
        <ns0:f>P31-E31*'前提と出典'!$E$5</ns0:f>
        <ns0:v>21949.121590262366</ns0:v>
      </ns0:c>
      <ns0:c r="V31" s="16">
        <ns0:f>Q31-F31*'前提と出典'!$E$5</ns0:f>
        <ns0:v>-16882.147470202206</ns0:v>
      </ns0:c>
      <ns0:c r="W31" s="7">
        <ns0:f>U31+V31</ns0:f>
        <ns0:v>5066.97412006016</ns0:v>
      </ns0:c>
      <ns0:c r="X31" s="16">
        <ns0:f>P31-E31*'前提と出典'!$E$6</ns0:f>
        <ns0:v>16724.771017084975</ns0:v>
      </ns0:c>
      <ns0:c r="Y31" s="16">
        <ns0:f>Q31-F31*'前提と出典'!$E$6</ns0:f>
        <ns0:v>-18932.51526540302</ns0:v>
      </ns0:c>
      <ns0:c r="Z31" s="7">
        <ns0:f>X31+Y31</ns0:f>
        <ns0:v>-2207.7442483180457</ns0:v>
      </ns0:c>
      <ns0:c r="AA31" s="7">
        <ns0:f>IF(T31&gt;=0,A31,1001)</ns0:f>
        <ns0:v>27</ns0:v>
      </ns0:c>
      <ns0:c r="AB31" s="7">
        <ns0:f>IF(T31&lt;0,A31,0)</ns0:f>
        <ns0:v>0</ns0:v>
      </ns0:c>
      <ns0:c r="AC31" s="16">
        <ns0:f>IF(AND(OR('前提と出典'!$C$36+'前提と出典'!$C$38=0,R31&gt;=0),OR('前提と出典'!$C$37+'前提と出典'!$C$38=0,S31&gt;=0)),0,A31)</ns0:f>
        <ns0:v>27</ns0:v>
      </ns0:c>
      <ns0:c r="AD31" s="7">
        <ns0:f>IF(W31&gt;=0,A31,1001)</ns0:f>
        <ns0:v>27</ns0:v>
      </ns0:c>
      <ns0:c r="AE31" s="7">
        <ns0:f>IF(W31&lt;0,A31,0)</ns0:f>
        <ns0:v>0</ns0:v>
      </ns0:c>
      <ns0:c r="AF31" s="16">
        <ns0:f>IF(AND(OR('前提と出典'!$C$36+'前提と出典'!$C$38=0,U31&gt;=0),OR('前提と出典'!$C$37+'前提と出典'!$C$38=0,V31&gt;=0)),0,A31)</ns0:f>
        <ns0:v>27</ns0:v>
      </ns0:c>
      <ns0:c r="AG31" s="7">
        <ns0:f>IF(Z31&gt;=0,A31,1001)</ns0:f>
        <ns0:v>1001</ns0:v>
      </ns0:c>
      <ns0:c r="AH31" s="4">
        <ns0:f>IF(Z31&lt;0,A31,0)</ns0:f>
        <ns0:v>27</ns0:v>
      </ns0:c>
      <ns0:c r="AI31" s="12">
        <ns0:f>IF(AND(OR('前提と出典'!$C$36+'前提と出典'!$C$38=0,X31&gt;=0),OR('前提と出典'!$C$37+'前提と出典'!$C$38=0,Y31&gt;=0)),0,A31)</ns0:f>
        <ns0:v>27</ns0:v>
      </ns0:c>
    </ns0:row>
    <ns0:row r="32" ht="24" customHeight="1">
      <ns0:c r="A32" s="4" t="n">
        <ns0:v>28</ns0:v>
      </ns0:c>
      <ns0:c r="B32" s="12">
        <ns0:f>A32*('前提と出典'!$C$36+'前提と出典'!$C$38)</ns0:f>
        <ns0:v>19.599999999999998</ns0:v>
      </ns0:c>
      <ns0:c r="C32" s="12">
        <ns0:f>A32*('前提と出典'!$C$37+'前提と出典'!$C$38)</ns0:f>
        <ns0:v>16.8</ns0:v>
      </ns0:c>
      <ns0:c r="D32" s="16">
        <ns0:f>A32*('前提と出典'!$C$36*'契約別単価'!C5+'前提と出典'!$C$37*'契約別単価'!C6+'前提と出典'!$C$38*'契約別単価'!C7)</ns0:f>
        <ns0:v>201.47486033519553</ns0:v>
      </ns0:c>
      <ns0:c r="E32" s="16">
        <ns0:f>A32*('前提と出典'!$C$36*'契約別単価'!E5+'前提と出典'!$C$37*'契約別単価'!E6+'前提と出典'!$C$38*'契約別単価'!E7)</ns0:f>
        <ns0:v>54178.450388506244</ns0:v>
      </ns0:c>
      <ns0:c r="F32" s="16">
        <ns0:f>A32*('前提と出典'!$C$36*'契約別単価'!F5+'前提と出典'!$C$37*'契約別単価'!F6+'前提と出典'!$C$38*'契約別単価'!F7)</ns0:f>
        <ns0:v>21263.073431712153</ns0:v>
      </ns0:c>
      <ns0:c r="G32" s="16">
        <ns0:f>A32*('前提と出典'!$C$36*'契約別単価'!G5+'前提と出典'!$C$37*'契約別単価'!G6+'前提と出典'!$C$38*'契約別単価'!G7)</ns0:f>
        <ns0:v>55734.0782122905</ns0:v>
      </ns0:c>
      <ns0:c r="H32" s="16">
        <ns0:f>A32*('前提と出典'!$C$36*'契約別単価'!H5+'前提と出典'!$C$37*'契約別単価'!H6+'前提と出典'!$C$38*'契約別単価'!H7)</ns0:f>
        <ns0:v>19342.520423345777</ns0:v>
      </ns0:c>
      <ns0:c r="I32" s="16">
        <ns0:f>A32*('前提と出典'!$C$36*'契約別単価'!I5+'前提と出典'!$C$37*'契約別単価'!I6+'前提と出典'!$C$38*'契約別単価'!I7)</ns0:f>
        <ns0:v>1181.4748603351954</ns0:v>
      </ns0:c>
      <ns0:c r="J32" s="16">
        <ns0:f>A32*('前提と出典'!$C$36*'契約別単価'!J5+'前提と出典'!$C$37*'契約別単価'!J6+'前提と出典'!$C$38*'契約別単価'!J7)</ns0:f>
        <ns0:v>2752.1072238884717</ns0:v>
      </ns0:c>
      <ns0:c r="K32" s="16">
        <ns0:f>A32*('前提と出典'!$C$36*'契約別単価'!K5+'前提と出典'!$C$37*'契約別単価'!K6+'前提と出典'!$C$38*'契約別単価'!K7)</ns0:f>
        <ns0:v>11796.499068901303</ns0:v>
      </ns0:c>
      <ns0:c r="L32" s="16">
        <ns0:f>A32*('前提と出典'!$C$36*'契約別単価'!L5+'前提と出典'!$C$37*'契約別単価'!L6+'前提と出典'!$C$38*'契約別単価'!L7)</ns0:f>
        <ns0:v>9604.750680778192</ns0:v>
      </ns0:c>
      <ns0:c r="M32" s="16">
        <ns0:f>IF(('前提と出典'!$C$36+'前提と出典'!$C$38)=0,0,IF(B32&lt;=10,'前提と出典'!B73+'前提と出典'!C73,IF(B32&lt;=100,'前提と出典'!B74+'前提と出典'!C74,IF(B32&lt;=500,'前提と出典'!B75+'前提と出典'!C75,'前提と出典'!B76+'前提と出典'!C76))))</ns0:f>
        <ns0:v>20000</ns0:v>
      </ns0:c>
      <ns0:c r="N32" s="16">
        <ns0:f>IF(('前提と出典'!$C$37+'前提と出典'!$C$38)=0,0,IF(C32&lt;=10,'前提と出典'!D73+'前提と出典'!E73,IF(C32&lt;=100,'前提と出典'!D74+'前提と出典'!E74,IF(C32&lt;=500,'前提と出典'!D75+'前提と出典'!E75,'前提と出典'!D76+'前提と出典'!E76))))</ns0:f>
        <ns0:v>34510.9346263078</ns0:v>
      </ns0:c>
      <ns0:c r="O32" s="16">
        <ns0:f>IF('前提と出典'!$C$36+'前提と出典'!$C$38=0,0,'前提と出典'!$B$4*IF('前提と出典'!$B$20=0,MAX('前提と出典'!$B$6,D32*'前提と出典'!$B$5),'前提と出典'!$B$6+D32*'前提と出典'!$B$5))</ns0:f>
        <ns0:v>27803.530726256984</ns0:v>
      </ns0:c>
      <ns0:c r="P32" s="16">
        <ns0:f>(E32+G32)*(1-'前提と出典'!$B$7)-I32-K32-M32-O32</ns0:f>
        <ns0:v>45174.17291567457</ns0:v>
      </ns0:c>
      <ns0:c r="Q32" s="16">
        <ns0:f>(F32+H32)*(1-'前提と出典'!$B$7)-J32-L32-N32</ns0:f>
        <ns0:v>-7724.000054698616</ns0:v>
      </ns0:c>
      <ns0:c r="R32" s="16">
        <ns0:f>P32-E32*'前提と出典'!$E$4</ns0:f>
        <ns0:v>28920.63779912269</ns0:v>
      </ns0:c>
      <ns0:c r="S32" s="16">
        <ns0:f>Q32-F32*'前提と出典'!$E$4</ns0:f>
        <ns0:v>-14102.92208421226</ns0:v>
      </ns0:c>
      <ns0:c r="T32" s="7">
        <ns0:f>R32+S32</ns0:f>
        <ns0:v>14817.715714910431</ns0:v>
      </ns0:c>
      <ns0:c r="U32" s="16">
        <ns0:f>P32-E32*'前提と出典'!$E$5</ns0:f>
        <ns0:v>23502.792760272074</ns0:v>
      </ns0:c>
      <ns0:c r="V32" s="16">
        <ns0:f>Q32-F32*'前提と出典'!$E$5</ns0:f>
        <ns0:v>-16229.229427383478</ns0:v>
      </ns0:c>
      <ns0:c r="W32" s="7">
        <ns0:f>U32+V32</ns0:f>
        <ns0:v>7273.563332888596</ns0:v>
      </ns0:c>
      <ns0:c r="X32" s="16">
        <ns0:f>P32-E32*'前提と出典'!$E$6</ns0:f>
        <ns0:v>18084.947721421457</ns0:v>
      </ns0:c>
      <ns0:c r="Y32" s="16">
        <ns0:f>Q32-F32*'前提と出典'!$E$6</ns0:f>
        <ns0:v>-18355.53677055469</ns0:v>
      </ns0:c>
      <ns0:c r="Z32" s="7">
        <ns0:f>X32+Y32</ns0:f>
        <ns0:v>-270.58904913323204</ns0:v>
      </ns0:c>
      <ns0:c r="AA32" s="7">
        <ns0:f>IF(T32&gt;=0,A32,1001)</ns0:f>
        <ns0:v>28</ns0:v>
      </ns0:c>
      <ns0:c r="AB32" s="7">
        <ns0:f>IF(T32&lt;0,A32,0)</ns0:f>
        <ns0:v>0</ns0:v>
      </ns0:c>
      <ns0:c r="AC32" s="16">
        <ns0:f>IF(AND(OR('前提と出典'!$C$36+'前提と出典'!$C$38=0,R32&gt;=0),OR('前提と出典'!$C$37+'前提と出典'!$C$38=0,S32&gt;=0)),0,A32)</ns0:f>
        <ns0:v>28</ns0:v>
      </ns0:c>
      <ns0:c r="AD32" s="7">
        <ns0:f>IF(W32&gt;=0,A32,1001)</ns0:f>
        <ns0:v>28</ns0:v>
      </ns0:c>
      <ns0:c r="AE32" s="7">
        <ns0:f>IF(W32&lt;0,A32,0)</ns0:f>
        <ns0:v>0</ns0:v>
      </ns0:c>
      <ns0:c r="AF32" s="16">
        <ns0:f>IF(AND(OR('前提と出典'!$C$36+'前提と出典'!$C$38=0,U32&gt;=0),OR('前提と出典'!$C$37+'前提と出典'!$C$38=0,V32&gt;=0)),0,A32)</ns0:f>
        <ns0:v>28</ns0:v>
      </ns0:c>
      <ns0:c r="AG32" s="7">
        <ns0:f>IF(Z32&gt;=0,A32,1001)</ns0:f>
        <ns0:v>1001</ns0:v>
      </ns0:c>
      <ns0:c r="AH32" s="4">
        <ns0:f>IF(Z32&lt;0,A32,0)</ns0:f>
        <ns0:v>28</ns0:v>
      </ns0:c>
      <ns0:c r="AI32" s="12">
        <ns0:f>IF(AND(OR('前提と出典'!$C$36+'前提と出典'!$C$38=0,X32&gt;=0),OR('前提と出典'!$C$37+'前提と出典'!$C$38=0,Y32&gt;=0)),0,A32)</ns0:f>
        <ns0:v>28</ns0:v>
      </ns0:c>
    </ns0:row>
    <ns0:row r="33" ht="24" customHeight="1">
      <ns0:c r="A33" s="4" t="n">
        <ns0:v>29</ns0:v>
      </ns0:c>
      <ns0:c r="B33" s="12">
        <ns0:f>A33*('前提と出典'!$C$36+'前提と出典'!$C$38)</ns0:f>
        <ns0:v>20.299999999999997</ns0:v>
      </ns0:c>
      <ns0:c r="C33" s="12">
        <ns0:f>A33*('前提と出典'!$C$37+'前提と出典'!$C$38)</ns0:f>
        <ns0:v>17.4</ns0:v>
      </ns0:c>
      <ns0:c r="D33" s="16">
        <ns0:f>A33*('前提と出典'!$C$36*'契約別単価'!C5+'前提と出典'!$C$37*'契約別単価'!C6+'前提と出典'!$C$38*'契約別単価'!C7)</ns0:f>
        <ns0:v>208.6703910614525</ns0:v>
      </ns0:c>
      <ns0:c r="E33" s="16">
        <ns0:f>A33*('前提と出典'!$C$36*'契約別単価'!E5+'前提と出典'!$C$37*'契約別単価'!E6+'前提と出典'!$C$38*'契約別単価'!E7)</ns0:f>
        <ns0:v>56113.39504523861</ns0:v>
      </ns0:c>
      <ns0:c r="F33" s="16">
        <ns0:f>A33*('前提と出典'!$C$36*'契約別単価'!F5+'前提と出典'!$C$37*'契約別単価'!F6+'前提と出典'!$C$38*'契約別単価'!F7)</ns0:f>
        <ns0:v>22022.46891141616</ns0:v>
      </ns0:c>
      <ns0:c r="G33" s="16">
        <ns0:f>A33*('前提と出典'!$C$36*'契約別単価'!G5+'前提と出典'!$C$37*'契約別単価'!G6+'前提と出典'!$C$38*'契約別単価'!G7)</ns0:f>
        <ns0:v>57724.58100558659</ns0:v>
      </ns0:c>
      <ns0:c r="H33" s="16">
        <ns0:f>A33*('前提と出典'!$C$36*'契約別単価'!H5+'前提と出典'!$C$37*'契約別単価'!H6+'前提と出典'!$C$38*'契約別単価'!H7)</ns0:f>
        <ns0:v>20033.324724179554</ns0:v>
      </ns0:c>
      <ns0:c r="I33" s="16">
        <ns0:f>A33*('前提と出典'!$C$36*'契約別単価'!I5+'前提と出典'!$C$37*'契約別単価'!I6+'前提と出典'!$C$38*'契約別単価'!I7)</ns0:f>
        <ns0:v>1223.6703910614524</ns0:v>
      </ns0:c>
      <ns0:c r="J33" s="16">
        <ns0:f>A33*('前提と出典'!$C$36*'契約別単価'!J5+'前提と出典'!$C$37*'契約別単価'!J6+'前提と出典'!$C$38*'契約別単価'!J7)</ns0:f>
        <ns0:v>2850.3967675987747</ns0:v>
      </ns0:c>
      <ns0:c r="K33" s="16">
        <ns0:f>A33*('前提と出典'!$C$36*'契約別単価'!K5+'前提と出典'!$C$37*'契約別単価'!K6+'前提と出典'!$C$38*'契約別単価'!K7)</ns0:f>
        <ns0:v>12217.80260707635</ns0:v>
      </ns0:c>
      <ns0:c r="L33" s="16">
        <ns0:f>A33*('前提と出典'!$C$36*'契約別単価'!L5+'前提と出典'!$C$37*'契約別単価'!L6+'前提と出典'!$C$38*'契約別単価'!L7)</ns0:f>
        <ns0:v>9947.777490805986</ns0:v>
      </ns0:c>
      <ns0:c r="M33" s="16">
        <ns0:f>IF(('前提と出典'!$C$36+'前提と出典'!$C$38)=0,0,IF(B33&lt;=10,'前提と出典'!B73+'前提と出典'!C73,IF(B33&lt;=100,'前提と出典'!B74+'前提と出典'!C74,IF(B33&lt;=500,'前提と出典'!B75+'前提と出典'!C75,'前提と出典'!B76+'前提と出典'!C76))))</ns0:f>
        <ns0:v>20000</ns0:v>
      </ns0:c>
      <ns0:c r="N33" s="16">
        <ns0:f>IF(('前提と出典'!$C$37+'前提と出典'!$C$38)=0,0,IF(C33&lt;=10,'前提と出典'!D73+'前提と出典'!E73,IF(C33&lt;=100,'前提と出典'!D74+'前提と出典'!E74,IF(C33&lt;=500,'前提と出典'!D75+'前提と出典'!E75,'前提と出典'!D76+'前提と出典'!E76))))</ns0:f>
        <ns0:v>34510.9346263078</ns0:v>
      </ns0:c>
      <ns0:c r="O33" s="16">
        <ns0:f>IF('前提と出典'!$C$36+'前提と出典'!$C$38=0,0,'前提と出典'!$B$4*IF('前提と出典'!$B$20=0,MAX('前提と出典'!$B$6,D33*'前提と出典'!$B$5),'前提と出典'!$B$6+D33*'前提と出典'!$B$5))</ns0:f>
        <ns0:v>28796.51396648045</ns0:v>
      </ns0:c>
      <ns0:c r="P33" s="16">
        <ns0:f>(E33+G33)*(1-'前提と出典'!$B$7)-I33-K33-M33-O33</ns0:f>
        <ns0:v>47501.82194837727</ns0:v>
      </ns0:c>
      <ns0:c r="Q33" s="16">
        <ns0:f>(F33+H33)*(1-'前提と出典'!$B$7)-J33-L33-N33</ns0:f>
        <ns0:v>-6767.32381999829</ns0:v>
      </ns0:c>
      <ns0:c r="R33" s="16">
        <ns0:f>P33-E33*'前提と出典'!$E$4</ns0:f>
        <ns0:v>30667.803434805664</ns0:v>
      </ns0:c>
      <ns0:c r="S33" s="16">
        <ns0:f>Q33-F33*'前提と出典'!$E$4</ns0:f>
        <ns0:v>-13374.064493423139</ns0:v>
      </ns0:c>
      <ns0:c r="T33" s="7">
        <ns0:f>R33+S33</ns0:f>
        <ns0:v>17293.738941382526</ns0:v>
      </ns0:c>
      <ns0:c r="U33" s="16">
        <ns0:f>P33-E33*'前提と出典'!$E$5</ns0:f>
        <ns0:v>25056.46393028182</ns0:v>
      </ns0:c>
      <ns0:c r="V33" s="16">
        <ns0:f>Q33-F33*'前提と出典'!$E$5</ns0:f>
        <ns0:v>-15576.311384564753</ns0:v>
      </ns0:c>
      <ns0:c r="W33" s="7">
        <ns0:f>U33+V33</ns0:f>
        <ns0:v>9480.152545717068</ns0:v>
      </ns0:c>
      <ns0:c r="X33" s="16">
        <ns0:f>P33-E33*'前提と出典'!$E$6</ns0:f>
        <ns0:v>19445.12442575795</ns0:v>
      </ns0:c>
      <ns0:c r="Y33" s="16">
        <ns0:f>Q33-F33*'前提と出典'!$E$6</ns0:f>
        <ns0:v>-17778.558275706368</ns0:v>
      </ns0:c>
      <ns0:c r="Z33" s="7">
        <ns0:f>X33+Y33</ns0:f>
        <ns0:v>1666.5661500515816</ns0:v>
      </ns0:c>
      <ns0:c r="AA33" s="7">
        <ns0:f>IF(T33&gt;=0,A33,1001)</ns0:f>
        <ns0:v>29</ns0:v>
      </ns0:c>
      <ns0:c r="AB33" s="7">
        <ns0:f>IF(T33&lt;0,A33,0)</ns0:f>
        <ns0:v>0</ns0:v>
      </ns0:c>
      <ns0:c r="AC33" s="16">
        <ns0:f>IF(AND(OR('前提と出典'!$C$36+'前提と出典'!$C$38=0,R33&gt;=0),OR('前提と出典'!$C$37+'前提と出典'!$C$38=0,S33&gt;=0)),0,A33)</ns0:f>
        <ns0:v>29</ns0:v>
      </ns0:c>
      <ns0:c r="AD33" s="7">
        <ns0:f>IF(W33&gt;=0,A33,1001)</ns0:f>
        <ns0:v>29</ns0:v>
      </ns0:c>
      <ns0:c r="AE33" s="7">
        <ns0:f>IF(W33&lt;0,A33,0)</ns0:f>
        <ns0:v>0</ns0:v>
      </ns0:c>
      <ns0:c r="AF33" s="16">
        <ns0:f>IF(AND(OR('前提と出典'!$C$36+'前提と出典'!$C$38=0,U33&gt;=0),OR('前提と出典'!$C$37+'前提と出典'!$C$38=0,V33&gt;=0)),0,A33)</ns0:f>
        <ns0:v>29</ns0:v>
      </ns0:c>
      <ns0:c r="AG33" s="7">
        <ns0:f>IF(Z33&gt;=0,A33,1001)</ns0:f>
        <ns0:v>29</ns0:v>
      </ns0:c>
      <ns0:c r="AH33" s="4">
        <ns0:f>IF(Z33&lt;0,A33,0)</ns0:f>
        <ns0:v>0</ns0:v>
      </ns0:c>
      <ns0:c r="AI33" s="12">
        <ns0:f>IF(AND(OR('前提と出典'!$C$36+'前提と出典'!$C$38=0,X33&gt;=0),OR('前提と出典'!$C$37+'前提と出典'!$C$38=0,Y33&gt;=0)),0,A33)</ns0:f>
        <ns0:v>29</ns0:v>
      </ns0:c>
    </ns0:row>
    <ns0:row r="34" ht="24" customHeight="1">
      <ns0:c r="A34" s="4" t="n">
        <ns0:v>30</ns0:v>
      </ns0:c>
      <ns0:c r="B34" s="12">
        <ns0:f>A34*('前提と出典'!$C$36+'前提と出典'!$C$38)</ns0:f>
        <ns0:v>21</ns0:v>
      </ns0:c>
      <ns0:c r="C34" s="12">
        <ns0:f>A34*('前提と出典'!$C$37+'前提と出典'!$C$38)</ns0:f>
        <ns0:v>18</ns0:v>
      </ns0:c>
      <ns0:c r="D34" s="16">
        <ns0:f>A34*('前提と出典'!$C$36*'契約別単価'!C5+'前提と出典'!$C$37*'契約別単価'!C6+'前提と出典'!$C$38*'契約別単価'!C7)</ns0:f>
        <ns0:v>215.8659217877095</ns0:v>
      </ns0:c>
      <ns0:c r="E34" s="16">
        <ns0:f>A34*('前提と出典'!$C$36*'契約別単価'!E5+'前提と出典'!$C$37*'契約別単価'!E6+'前提と出典'!$C$38*'契約別単価'!E7)</ns0:f>
        <ns0:v>58048.33970197098</ns0:v>
      </ns0:c>
      <ns0:c r="F34" s="16">
        <ns0:f>A34*('前提と出典'!$C$36*'契約別単価'!F5+'前提と出典'!$C$37*'契約別単価'!F6+'前提と出典'!$C$38*'契約別単価'!F7)</ns0:f>
        <ns0:v>22781.864391120165</ns0:v>
      </ns0:c>
      <ns0:c r="G34" s="16">
        <ns0:f>A34*('前提と出典'!$C$36*'契約別単価'!G5+'前提と出典'!$C$37*'契約別単価'!G6+'前提と出典'!$C$38*'契約別単価'!G7)</ns0:f>
        <ns0:v>59715.08379888268</ns0:v>
      </ns0:c>
      <ns0:c r="H34" s="16">
        <ns0:f>A34*('前提と出典'!$C$36*'契約別単価'!H5+'前提と出典'!$C$37*'契約別単価'!H6+'前提と出典'!$C$38*'契約別単価'!H7)</ns0:f>
        <ns0:v>20724.12902501333</ns0:v>
      </ns0:c>
      <ns0:c r="I34" s="16">
        <ns0:f>A34*('前提と出典'!$C$36*'契約別単価'!I5+'前提と出典'!$C$37*'契約別単価'!I6+'前提と出典'!$C$38*'契約別単価'!I7)</ns0:f>
        <ns0:v>1265.8659217877093</ns0:v>
      </ns0:c>
      <ns0:c r="J34" s="16">
        <ns0:f>A34*('前提と出典'!$C$36*'契約別単価'!J5+'前提と出典'!$C$37*'契約別単価'!J6+'前提と出典'!$C$38*'契約別単価'!J7)</ns0:f>
        <ns0:v>2948.686311309077</ns0:v>
      </ns0:c>
      <ns0:c r="K34" s="16">
        <ns0:f>A34*('前提と出典'!$C$36*'契約別単価'!K5+'前提と出典'!$C$37*'契約別単価'!K6+'前提と出典'!$C$38*'契約別単価'!K7)</ns0:f>
        <ns0:v>12639.106145251395</ns0:v>
      </ns0:c>
      <ns0:c r="L34" s="16">
        <ns0:f>A34*('前提と出典'!$C$36*'契約別単価'!L5+'前提と出典'!$C$37*'契約別単価'!L6+'前提と出典'!$C$38*'契約別単価'!L7)</ns0:f>
        <ns0:v>10290.804300833777</ns0:v>
      </ns0:c>
      <ns0:c r="M34" s="16">
        <ns0:f>IF(('前提と出典'!$C$36+'前提と出典'!$C$38)=0,0,IF(B34&lt;=10,'前提と出典'!B73+'前提と出典'!C73,IF(B34&lt;=100,'前提と出典'!B74+'前提と出典'!C74,IF(B34&lt;=500,'前提と出典'!B75+'前提と出典'!C75,'前提と出典'!B76+'前提と出典'!C76))))</ns0:f>
        <ns0:v>20000</ns0:v>
      </ns0:c>
      <ns0:c r="N34" s="16">
        <ns0:f>IF(('前提と出典'!$C$37+'前提と出典'!$C$38)=0,0,IF(C34&lt;=10,'前提と出典'!D73+'前提と出典'!E73,IF(C34&lt;=100,'前提と出典'!D74+'前提と出典'!E74,IF(C34&lt;=500,'前提と出典'!D75+'前提と出典'!E75,'前提と出典'!D76+'前提と出典'!E76))))</ns0:f>
        <ns0:v>34510.9346263078</ns0:v>
      </ns0:c>
      <ns0:c r="O34" s="16">
        <ns0:f>IF('前提と出典'!$C$36+'前提と出典'!$C$38=0,0,'前提と出典'!$B$4*IF('前提と出典'!$B$20=0,MAX('前提と出典'!$B$6,D34*'前提と出典'!$B$5),'前提と出典'!$B$6+D34*'前提と出典'!$B$5))</ns0:f>
        <ns0:v>29789.497206703913</ns0:v>
      </ns0:c>
      <ns0:c r="P34" s="16">
        <ns0:f>(E34+G34)*(1-'前提と出典'!$B$7)-I34-K34-M34-O34</ns0:f>
        <ns0:v>49829.4709810799</ns0:v>
      </ns0:c>
      <ns0:c r="Q34" s="16">
        <ns0:f>(F34+H34)*(1-'前提と出典'!$B$7)-J34-L34-N34</ns0:f>
        <ns0:v>-5810.647585297958</ns0:v>
      </ns0:c>
      <ns0:c r="R34" s="16">
        <ns0:f>P34-E34*'前提と出典'!$E$4</ns0:f>
        <ns0:v>32414.96907048861</ns0:v>
      </ns0:c>
      <ns0:c r="S34" s="16">
        <ns0:f>Q34-F34*'前提と出典'!$E$4</ns0:f>
        <ns0:v>-12645.206902634007</ns0:v>
      </ns0:c>
      <ns0:c r="T34" s="7">
        <ns0:f>R34+S34</ns0:f>
        <ns0:v>19769.762167854602</ns0:v>
      </ns0:c>
      <ns0:c r="U34" s="16">
        <ns0:f>P34-E34*'前提と出典'!$E$5</ns0:f>
        <ns0:v>26610.13510029151</ns0:v>
      </ns0:c>
      <ns0:c r="V34" s="16">
        <ns0:f>Q34-F34*'前提と出典'!$E$5</ns0:f>
        <ns0:v>-14923.393341746025</ns0:v>
      </ns0:c>
      <ns0:c r="W34" s="7">
        <ns0:f>U34+V34</ns0:f>
        <ns0:v>11686.741758545486</ns0:v>
      </ns0:c>
      <ns0:c r="X34" s="16">
        <ns0:f>P34-E34*'前提と出典'!$E$6</ns0:f>
        <ns0:v>20805.301130094413</ns0:v>
      </ns0:c>
      <ns0:c r="Y34" s="16">
        <ns0:f>Q34-F34*'前提と出典'!$E$6</ns0:f>
        <ns0:v>-17201.579780858043</ns0:v>
      </ns0:c>
      <ns0:c r="Z34" s="7">
        <ns0:f>X34+Y34</ns0:f>
        <ns0:v>3603.72134923637</ns0:v>
      </ns0:c>
      <ns0:c r="AA34" s="7">
        <ns0:f>IF(T34&gt;=0,A34,1001)</ns0:f>
        <ns0:v>30</ns0:v>
      </ns0:c>
      <ns0:c r="AB34" s="7">
        <ns0:f>IF(T34&lt;0,A34,0)</ns0:f>
        <ns0:v>0</ns0:v>
      </ns0:c>
      <ns0:c r="AC34" s="16">
        <ns0:f>IF(AND(OR('前提と出典'!$C$36+'前提と出典'!$C$38=0,R34&gt;=0),OR('前提と出典'!$C$37+'前提と出典'!$C$38=0,S34&gt;=0)),0,A34)</ns0:f>
        <ns0:v>30</ns0:v>
      </ns0:c>
      <ns0:c r="AD34" s="7">
        <ns0:f>IF(W34&gt;=0,A34,1001)</ns0:f>
        <ns0:v>30</ns0:v>
      </ns0:c>
      <ns0:c r="AE34" s="7">
        <ns0:f>IF(W34&lt;0,A34,0)</ns0:f>
        <ns0:v>0</ns0:v>
      </ns0:c>
      <ns0:c r="AF34" s="16">
        <ns0:f>IF(AND(OR('前提と出典'!$C$36+'前提と出典'!$C$38=0,U34&gt;=0),OR('前提と出典'!$C$37+'前提と出典'!$C$38=0,V34&gt;=0)),0,A34)</ns0:f>
        <ns0:v>30</ns0:v>
      </ns0:c>
      <ns0:c r="AG34" s="7">
        <ns0:f>IF(Z34&gt;=0,A34,1001)</ns0:f>
        <ns0:v>30</ns0:v>
      </ns0:c>
      <ns0:c r="AH34" s="4">
        <ns0:f>IF(Z34&lt;0,A34,0)</ns0:f>
        <ns0:v>0</ns0:v>
      </ns0:c>
      <ns0:c r="AI34" s="12">
        <ns0:f>IF(AND(OR('前提と出典'!$C$36+'前提と出典'!$C$38=0,X34&gt;=0),OR('前提と出典'!$C$37+'前提と出典'!$C$38=0,Y34&gt;=0)),0,A34)</ns0:f>
        <ns0:v>30</ns0:v>
      </ns0:c>
    </ns0:row>
    <ns0:row r="35" ht="24" customHeight="1">
      <ns0:c r="A35" s="4" t="n">
        <ns0:v>31</ns0:v>
      </ns0:c>
      <ns0:c r="B35" s="12">
        <ns0:f>A35*('前提と出典'!$C$36+'前提と出典'!$C$38)</ns0:f>
        <ns0:v>21.7</ns0:v>
      </ns0:c>
      <ns0:c r="C35" s="12">
        <ns0:f>A35*('前提と出典'!$C$37+'前提と出典'!$C$38)</ns0:f>
        <ns0:v>18.599999999999998</ns0:v>
      </ns0:c>
      <ns0:c r="D35" s="16">
        <ns0:f>A35*('前提と出典'!$C$36*'契約別単価'!C5+'前提と出典'!$C$37*'契約別単価'!C6+'前提と出典'!$C$38*'契約別単価'!C7)</ns0:f>
        <ns0:v>223.0614525139665</ns0:v>
      </ns0:c>
      <ns0:c r="E35" s="16">
        <ns0:f>A35*('前提と出典'!$C$36*'契約別単価'!E5+'前提と出典'!$C$37*'契約別単価'!E6+'前提と出典'!$C$38*'契約別単価'!E7)</ns0:f>
        <ns0:v>59983.28435870334</ns0:v>
      </ns0:c>
      <ns0:c r="F35" s="16">
        <ns0:f>A35*('前提と出典'!$C$36*'契約別単価'!F5+'前提と出典'!$C$37*'契約別単価'!F6+'前提と出典'!$C$38*'契約別単価'!F7)</ns0:f>
        <ns0:v>23541.25987082417</ns0:v>
      </ns0:c>
      <ns0:c r="G35" s="16">
        <ns0:f>A35*('前提と出典'!$C$36*'契約別単価'!G5+'前提と出典'!$C$37*'契約別単価'!G6+'前提と出典'!$C$38*'契約別単価'!G7)</ns0:f>
        <ns0:v>61705.58659217877</ns0:v>
      </ns0:c>
      <ns0:c r="H35" s="16">
        <ns0:f>A35*('前提と出典'!$C$36*'契約別単価'!H5+'前提と出典'!$C$37*'契約別単価'!H6+'前提と出典'!$C$38*'契約別単価'!H7)</ns0:f>
        <ns0:v>21414.93332584711</ns0:v>
      </ns0:c>
      <ns0:c r="I35" s="16">
        <ns0:f>A35*('前提と出典'!$C$36*'契約別単価'!I5+'前提と出典'!$C$37*'契約別単価'!I6+'前提と出典'!$C$38*'契約別単価'!I7)</ns0:f>
        <ns0:v>1308.0614525139663</ns0:v>
      </ns0:c>
      <ns0:c r="J35" s="16">
        <ns0:f>A35*('前提と出典'!$C$36*'契約別単価'!J5+'前提と出典'!$C$37*'契約別単価'!J6+'前提と出典'!$C$38*'契約別単価'!J7)</ns0:f>
        <ns0:v>3046.9758550193797</ns0:v>
      </ns0:c>
      <ns0:c r="K35" s="16">
        <ns0:f>A35*('前提と出典'!$C$36*'契約別単価'!K5+'前提と出典'!$C$37*'契約別単価'!K6+'前提と出典'!$C$38*'契約別単価'!K7)</ns0:f>
        <ns0:v>13060.409683426442</ns0:v>
      </ns0:c>
      <ns0:c r="L35" s="16">
        <ns0:f>A35*('前提と出典'!$C$36*'契約別単価'!L5+'前提と出典'!$C$37*'契約別単価'!L6+'前提と出典'!$C$38*'契約別単価'!L7)</ns0:f>
        <ns0:v>10633.83111086157</ns0:v>
      </ns0:c>
      <ns0:c r="M35" s="16">
        <ns0:f>IF(('前提と出典'!$C$36+'前提と出典'!$C$38)=0,0,IF(B35&lt;=10,'前提と出典'!B73+'前提と出典'!C73,IF(B35&lt;=100,'前提と出典'!B74+'前提と出典'!C74,IF(B35&lt;=500,'前提と出典'!B75+'前提と出典'!C75,'前提と出典'!B76+'前提と出典'!C76))))</ns0:f>
        <ns0:v>20000</ns0:v>
      </ns0:c>
      <ns0:c r="N35" s="16">
        <ns0:f>IF(('前提と出典'!$C$37+'前提と出典'!$C$38)=0,0,IF(C35&lt;=10,'前提と出典'!D73+'前提と出典'!E73,IF(C35&lt;=100,'前提と出典'!D74+'前提と出典'!E74,IF(C35&lt;=500,'前提と出典'!D75+'前提と出典'!E75,'前提と出典'!D76+'前提と出典'!E76))))</ns0:f>
        <ns0:v>34510.9346263078</ns0:v>
      </ns0:c>
      <ns0:c r="O35" s="16">
        <ns0:f>IF('前提と出典'!$C$36+'前提と出典'!$C$38=0,0,'前提と出典'!$B$4*IF('前提と出典'!$B$20=0,MAX('前提と出典'!$B$6,D35*'前提と出典'!$B$5),'前提と出典'!$B$6+D35*'前提と出典'!$B$5))</ns0:f>
        <ns0:v>30782.480446927377</ns0:v>
      </ns0:c>
      <ns0:c r="P35" s="16">
        <ns0:f>(E35+G35)*(1-'前提と出典'!$B$7)-I35-K35-M35-O35</ns0:f>
        <ns0:v>52157.12001378258</ns0:v>
      </ns0:c>
      <ns0:c r="Q35" s="16">
        <ns0:f>(F35+H35)*(1-'前提と出典'!$B$7)-J35-L35-N35</ns0:f>
        <ns0:v>-4853.971350597638</ns0:v>
      </ns0:c>
      <ns0:c r="R35" s="16">
        <ns0:f>P35-E35*'前提と出典'!$E$4</ns0:f>
        <ns0:v>34162.134706171564</ns0:v>
      </ns0:c>
      <ns0:c r="S35" s="16">
        <ns0:f>Q35-F35*'前提と出典'!$E$4</ns0:f>
        <ns0:v>-11916.349311844886</ns0:v>
      </ns0:c>
      <ns0:c r="T35" s="7">
        <ns0:f>R35+S35</ns0:f>
        <ns0:v>22245.78539432668</ns0:v>
      </ns0:c>
      <ns0:c r="U35" s="16">
        <ns0:f>P35-E35*'前提と出典'!$E$5</ns0:f>
        <ns0:v>28163.806270301244</ns0:v>
      </ns0:c>
      <ns0:c r="V35" s="16">
        <ns0:f>Q35-F35*'前提と出典'!$E$5</ns0:f>
        <ns0:v>-14270.475298927307</ns0:v>
      </ns0:c>
      <ns0:c r="W35" s="7">
        <ns0:f>U35+V35</ns0:f>
        <ns0:v>13893.330971373936</ns0:v>
      </ns0:c>
      <ns0:c r="X35" s="16">
        <ns0:f>P35-E35*'前提と出典'!$E$6</ns0:f>
        <ns0:v>22165.47783443089</ns0:v>
      </ns0:c>
      <ns0:c r="Y35" s="16">
        <ns0:f>Q35-F35*'前提と出典'!$E$6</ns0:f>
        <ns0:v>-16624.601286009718</ns0:v>
      </ns0:c>
      <ns0:c r="Z35" s="7">
        <ns0:f>X35+Y35</ns0:f>
        <ns0:v>5540.876548421173</ns0:v>
      </ns0:c>
      <ns0:c r="AA35" s="7">
        <ns0:f>IF(T35&gt;=0,A35,1001)</ns0:f>
        <ns0:v>31</ns0:v>
      </ns0:c>
      <ns0:c r="AB35" s="7">
        <ns0:f>IF(T35&lt;0,A35,0)</ns0:f>
        <ns0:v>0</ns0:v>
      </ns0:c>
      <ns0:c r="AC35" s="16">
        <ns0:f>IF(AND(OR('前提と出典'!$C$36+'前提と出典'!$C$38=0,R35&gt;=0),OR('前提と出典'!$C$37+'前提と出典'!$C$38=0,S35&gt;=0)),0,A35)</ns0:f>
        <ns0:v>31</ns0:v>
      </ns0:c>
      <ns0:c r="AD35" s="7">
        <ns0:f>IF(W35&gt;=0,A35,1001)</ns0:f>
        <ns0:v>31</ns0:v>
      </ns0:c>
      <ns0:c r="AE35" s="7">
        <ns0:f>IF(W35&lt;0,A35,0)</ns0:f>
        <ns0:v>0</ns0:v>
      </ns0:c>
      <ns0:c r="AF35" s="16">
        <ns0:f>IF(AND(OR('前提と出典'!$C$36+'前提と出典'!$C$38=0,U35&gt;=0),OR('前提と出典'!$C$37+'前提と出典'!$C$38=0,V35&gt;=0)),0,A35)</ns0:f>
        <ns0:v>31</ns0:v>
      </ns0:c>
      <ns0:c r="AG35" s="7">
        <ns0:f>IF(Z35&gt;=0,A35,1001)</ns0:f>
        <ns0:v>31</ns0:v>
      </ns0:c>
      <ns0:c r="AH35" s="4">
        <ns0:f>IF(Z35&lt;0,A35,0)</ns0:f>
        <ns0:v>0</ns0:v>
      </ns0:c>
      <ns0:c r="AI35" s="12">
        <ns0:f>IF(AND(OR('前提と出典'!$C$36+'前提と出典'!$C$38=0,X35&gt;=0),OR('前提と出典'!$C$37+'前提と出典'!$C$38=0,Y35&gt;=0)),0,A35)</ns0:f>
        <ns0:v>31</ns0:v>
      </ns0:c>
    </ns0:row>
    <ns0:row r="36" ht="24" customHeight="1">
      <ns0:c r="A36" s="4" t="n">
        <ns0:v>32</ns0:v>
      </ns0:c>
      <ns0:c r="B36" s="12">
        <ns0:f>A36*('前提と出典'!$C$36+'前提と出典'!$C$38)</ns0:f>
        <ns0:v>22.4</ns0:v>
      </ns0:c>
      <ns0:c r="C36" s="12">
        <ns0:f>A36*('前提と出典'!$C$37+'前提と出典'!$C$38)</ns0:f>
        <ns0:v>19.2</ns0:v>
      </ns0:c>
      <ns0:c r="D36" s="16">
        <ns0:f>A36*('前提と出典'!$C$36*'契約別単価'!C5+'前提と出典'!$C$37*'契約別単価'!C6+'前提と出典'!$C$38*'契約別単価'!C7)</ns0:f>
        <ns0:v>230.25698324022346</ns0:v>
      </ns0:c>
      <ns0:c r="E36" s="16">
        <ns0:f>A36*('前提と出典'!$C$36*'契約別単価'!E5+'前提と出典'!$C$37*'契約別単価'!E6+'前提と出典'!$C$38*'契約別単価'!E7)</ns0:f>
        <ns0:v>61918.22901543571</ns0:v>
      </ns0:c>
      <ns0:c r="F36" s="16">
        <ns0:f>A36*('前提と出典'!$C$36*'契約別単価'!F5+'前提と出典'!$C$37*'契約別単価'!F6+'前提と出典'!$C$38*'契約別単価'!F7)</ns0:f>
        <ns0:v>24300.655350528177</ns0:v>
      </ns0:c>
      <ns0:c r="G36" s="16">
        <ns0:f>A36*('前提と出典'!$C$36*'契約別単価'!G5+'前提と出典'!$C$37*'契約別単価'!G6+'前提と出典'!$C$38*'契約別単価'!G7)</ns0:f>
        <ns0:v>63696.08938547486</ns0:v>
      </ns0:c>
      <ns0:c r="H36" s="16">
        <ns0:f>A36*('前提と出典'!$C$36*'契約別単価'!H5+'前提と出典'!$C$37*'契約別単価'!H6+'前提と出典'!$C$38*'契約別単価'!H7)</ns0:f>
        <ns0:v>22105.737626680886</ns0:v>
      </ns0:c>
      <ns0:c r="I36" s="16">
        <ns0:f>A36*('前提と出典'!$C$36*'契約別単価'!I5+'前提と出典'!$C$37*'契約別単価'!I6+'前提と出典'!$C$38*'契約別単価'!I7)</ns0:f>
        <ns0:v>1350.2569832402232</ns0:v>
      </ns0:c>
      <ns0:c r="J36" s="16">
        <ns0:f>A36*('前提と出典'!$C$36*'契約別単価'!J5+'前提と出典'!$C$37*'契約別単価'!J6+'前提と出典'!$C$38*'契約別単価'!J7)</ns0:f>
        <ns0:v>3145.265398729682</ns0:v>
      </ns0:c>
      <ns0:c r="K36" s="16">
        <ns0:f>A36*('前提と出典'!$C$36*'契約別単価'!K5+'前提と出典'!$C$37*'契約別単価'!K6+'前提と出典'!$C$38*'契約別単価'!K7)</ns0:f>
        <ns0:v>13481.713221601489</ns0:v>
      </ns0:c>
      <ns0:c r="L36" s="16">
        <ns0:f>A36*('前提と出典'!$C$36*'契約別単価'!L5+'前提と出典'!$C$37*'契約別単価'!L6+'前提と出典'!$C$38*'契約別単価'!L7)</ns0:f>
        <ns0:v>10976.857920889363</ns0:v>
      </ns0:c>
      <ns0:c r="M36" s="16">
        <ns0:f>IF(('前提と出典'!$C$36+'前提と出典'!$C$38)=0,0,IF(B36&lt;=10,'前提と出典'!B73+'前提と出典'!C73,IF(B36&lt;=100,'前提と出典'!B74+'前提と出典'!C74,IF(B36&lt;=500,'前提と出典'!B75+'前提と出典'!C75,'前提と出典'!B76+'前提と出典'!C76))))</ns0:f>
        <ns0:v>20000</ns0:v>
      </ns0:c>
      <ns0:c r="N36" s="16">
        <ns0:f>IF(('前提と出典'!$C$37+'前提と出典'!$C$38)=0,0,IF(C36&lt;=10,'前提と出典'!D73+'前提と出典'!E73,IF(C36&lt;=100,'前提と出典'!D74+'前提と出典'!E74,IF(C36&lt;=500,'前提と出典'!D75+'前提と出典'!E75,'前提と出典'!D76+'前提と出典'!E76))))</ns0:f>
        <ns0:v>34510.9346263078</ns0:v>
      </ns0:c>
      <ns0:c r="O36" s="16">
        <ns0:f>IF('前提と出典'!$C$36+'前提と出典'!$C$38=0,0,'前提と出典'!$B$4*IF('前提と出典'!$B$20=0,MAX('前提と出典'!$B$6,D36*'前提と出典'!$B$5),'前提と出典'!$B$6+D36*'前提と出典'!$B$5))</ns0:f>
        <ns0:v>31775.463687150837</ns0:v>
      </ns0:c>
      <ns0:c r="P36" s="16">
        <ns0:f>(E36+G36)*(1-'前提と出典'!$B$7)-I36-K36-M36-O36</ns0:f>
        <ns0:v>54484.769046485235</ns0:v>
      </ns0:c>
      <ns0:c r="Q36" s="16">
        <ns0:f>(F36+H36)*(1-'前提と出典'!$B$7)-J36-L36-N36</ns0:f>
        <ns0:v>-3897.295115897301</ns0:v>
      </ns0:c>
      <ns0:c r="R36" s="16">
        <ns0:f>P36-E36*'前提と出典'!$E$4</ns0:f>
        <ns0:v>35909.30034185453</ns0:v>
      </ns0:c>
      <ns0:c r="S36" s="16">
        <ns0:f>Q36-F36*'前提と出典'!$E$4</ns0:f>
        <ns0:v>-11187.491721055754</ns0:v>
      </ns0:c>
      <ns0:c r="T36" s="7">
        <ns0:f>R36+S36</ns0:f>
        <ns0:v>24721.808620798773</ns0:v>
      </ns0:c>
      <ns0:c r="U36" s="16">
        <ns0:f>P36-E36*'前提と出典'!$E$5</ns0:f>
        <ns0:v>29717.47744031095</ns0:v>
      </ns0:c>
      <ns0:c r="V36" s="16">
        <ns0:f>Q36-F36*'前提と出典'!$E$5</ns0:f>
        <ns0:v>-13617.557256108572</ns0:v>
      </ns0:c>
      <ns0:c r="W36" s="7">
        <ns0:f>U36+V36</ns0:f>
        <ns0:v>16099.92018420238</ns0:v>
      </ns0:c>
      <ns0:c r="X36" s="16">
        <ns0:f>P36-E36*'前提と出典'!$E$6</ns0:f>
        <ns0:v>23525.654538767387</ns0:v>
      </ns0:c>
      <ns0:c r="Y36" s="16">
        <ns0:f>Q36-F36*'前提と出典'!$E$6</ns0:f>
        <ns0:v>-16047.622791161397</ns0:v>
      </ns0:c>
      <ns0:c r="Z36" s="7">
        <ns0:f>X36+Y36</ns0:f>
        <ns0:v>7478.03174760599</ns0:v>
      </ns0:c>
      <ns0:c r="AA36" s="7">
        <ns0:f>IF(T36&gt;=0,A36,1001)</ns0:f>
        <ns0:v>32</ns0:v>
      </ns0:c>
      <ns0:c r="AB36" s="7">
        <ns0:f>IF(T36&lt;0,A36,0)</ns0:f>
        <ns0:v>0</ns0:v>
      </ns0:c>
      <ns0:c r="AC36" s="16">
        <ns0:f>IF(AND(OR('前提と出典'!$C$36+'前提と出典'!$C$38=0,R36&gt;=0),OR('前提と出典'!$C$37+'前提と出典'!$C$38=0,S36&gt;=0)),0,A36)</ns0:f>
        <ns0:v>32</ns0:v>
      </ns0:c>
      <ns0:c r="AD36" s="7">
        <ns0:f>IF(W36&gt;=0,A36,1001)</ns0:f>
        <ns0:v>32</ns0:v>
      </ns0:c>
      <ns0:c r="AE36" s="7">
        <ns0:f>IF(W36&lt;0,A36,0)</ns0:f>
        <ns0:v>0</ns0:v>
      </ns0:c>
      <ns0:c r="AF36" s="16">
        <ns0:f>IF(AND(OR('前提と出典'!$C$36+'前提と出典'!$C$38=0,U36&gt;=0),OR('前提と出典'!$C$37+'前提と出典'!$C$38=0,V36&gt;=0)),0,A36)</ns0:f>
        <ns0:v>32</ns0:v>
      </ns0:c>
      <ns0:c r="AG36" s="7">
        <ns0:f>IF(Z36&gt;=0,A36,1001)</ns0:f>
        <ns0:v>32</ns0:v>
      </ns0:c>
      <ns0:c r="AH36" s="4">
        <ns0:f>IF(Z36&lt;0,A36,0)</ns0:f>
        <ns0:v>0</ns0:v>
      </ns0:c>
      <ns0:c r="AI36" s="12">
        <ns0:f>IF(AND(OR('前提と出典'!$C$36+'前提と出典'!$C$38=0,X36&gt;=0),OR('前提と出典'!$C$37+'前提と出典'!$C$38=0,Y36&gt;=0)),0,A36)</ns0:f>
        <ns0:v>32</ns0:v>
      </ns0:c>
    </ns0:row>
    <ns0:row r="37" ht="24" customHeight="1">
      <ns0:c r="A37" s="4" t="n">
        <ns0:v>33</ns0:v>
      </ns0:c>
      <ns0:c r="B37" s="12">
        <ns0:f>A37*('前提と出典'!$C$36+'前提と出典'!$C$38)</ns0:f>
        <ns0:v>23.099999999999998</ns0:v>
      </ns0:c>
      <ns0:c r="C37" s="12">
        <ns0:f>A37*('前提と出典'!$C$37+'前提と出典'!$C$38)</ns0:f>
        <ns0:v>19.8</ns0:v>
      </ns0:c>
      <ns0:c r="D37" s="16">
        <ns0:f>A37*('前提と出典'!$C$36*'契約別単価'!C5+'前提と出典'!$C$37*'契約別単価'!C6+'前提と出典'!$C$38*'契約別単価'!C7)</ns0:f>
        <ns0:v>237.45251396648044</ns0:v>
      </ns0:c>
      <ns0:c r="E37" s="16">
        <ns0:f>A37*('前提と出典'!$C$36*'契約別単価'!E5+'前提と出典'!$C$37*'契約別単価'!E6+'前提と出典'!$C$38*'契約別単価'!E7)</ns0:f>
        <ns0:v>63853.17367216808</ns0:v>
      </ns0:c>
      <ns0:c r="F37" s="16">
        <ns0:f>A37*('前提と出典'!$C$36*'契約別単価'!F5+'前提と出典'!$C$37*'契約別単価'!F6+'前提と出典'!$C$38*'契約別単価'!F7)</ns0:f>
        <ns0:v>25060.050830232183</ns0:v>
      </ns0:c>
      <ns0:c r="G37" s="16">
        <ns0:f>A37*('前提と出典'!$C$36*'契約別単価'!G5+'前提と出典'!$C$37*'契約別単価'!G6+'前提と出典'!$C$38*'契約別単価'!G7)</ns0:f>
        <ns0:v>65686.59217877095</ns0:v>
      </ns0:c>
      <ns0:c r="H37" s="16">
        <ns0:f>A37*('前提と出典'!$C$36*'契約別単価'!H5+'前提と出典'!$C$37*'契約別単価'!H6+'前提と出典'!$C$38*'契約別単価'!H7)</ns0:f>
        <ns0:v>22796.541927514663</ns0:v>
      </ns0:c>
      <ns0:c r="I37" s="16">
        <ns0:f>A37*('前提と出典'!$C$36*'契約別単価'!I5+'前提と出典'!$C$37*'契約別単価'!I6+'前提と出典'!$C$38*'契約別単価'!I7)</ns0:f>
        <ns0:v>1392.4525139664802</ns0:v>
      </ns0:c>
      <ns0:c r="J37" s="16">
        <ns0:f>A37*('前提と出典'!$C$36*'契約別単価'!J5+'前提と出典'!$C$37*'契約別単価'!J6+'前提と出典'!$C$38*'契約別単価'!J7)</ns0:f>
        <ns0:v>3243.5549424399846</ns0:v>
      </ns0:c>
      <ns0:c r="K37" s="16">
        <ns0:f>A37*('前提と出典'!$C$36*'契約別単価'!K5+'前提と出典'!$C$37*'契約別単価'!K6+'前提と出典'!$C$38*'契約別単価'!K7)</ns0:f>
        <ns0:v>13903.016759776536</ns0:v>
      </ns0:c>
      <ns0:c r="L37" s="16">
        <ns0:f>A37*('前提と出典'!$C$36*'契約別単価'!L5+'前提と出典'!$C$37*'契約別単価'!L6+'前提と出典'!$C$38*'契約別単価'!L7)</ns0:f>
        <ns0:v>11319.884730917154</ns0:v>
      </ns0:c>
      <ns0:c r="M37" s="16">
        <ns0:f>IF(('前提と出典'!$C$36+'前提と出典'!$C$38)=0,0,IF(B37&lt;=10,'前提と出典'!B73+'前提と出典'!C73,IF(B37&lt;=100,'前提と出典'!B74+'前提と出典'!C74,IF(B37&lt;=500,'前提と出典'!B75+'前提と出典'!C75,'前提と出典'!B76+'前提と出典'!C76))))</ns0:f>
        <ns0:v>20000</ns0:v>
      </ns0:c>
      <ns0:c r="N37" s="16">
        <ns0:f>IF(('前提と出典'!$C$37+'前提と出典'!$C$38)=0,0,IF(C37&lt;=10,'前提と出典'!D73+'前提と出典'!E73,IF(C37&lt;=100,'前提と出典'!D74+'前提と出典'!E74,IF(C37&lt;=500,'前提と出典'!D75+'前提と出典'!E75,'前提と出典'!D76+'前提と出典'!E76))))</ns0:f>
        <ns0:v>34510.9346263078</ns0:v>
      </ns0:c>
      <ns0:c r="O37" s="16">
        <ns0:f>IF('前提と出典'!$C$36+'前提と出典'!$C$38=0,0,'前提と出典'!$B$4*IF('前提と出典'!$B$20=0,MAX('前提と出典'!$B$6,D37*'前提と出典'!$B$5),'前提と出典'!$B$6+D37*'前提と出典'!$B$5))</ns0:f>
        <ns0:v>32768.4469273743</ns0:v>
      </ns0:c>
      <ns0:c r="P37" s="16">
        <ns0:f>(E37+G37)*(1-'前提と出典'!$B$7)-I37-K37-M37-O37</ns0:f>
        <ns0:v>56812.418079187904</ns0:v>
      </ns0:c>
      <ns0:c r="Q37" s="16">
        <ns0:f>(F37+H37)*(1-'前提と出典'!$B$7)-J37-L37-N37</ns0:f>
        <ns0:v>-2940.6188811969805</ns0:v>
      </ns0:c>
      <ns0:c r="R37" s="16">
        <ns0:f>P37-E37*'前提と出典'!$E$4</ns0:f>
        <ns0:v>37656.46597753749</ns0:v>
      </ns0:c>
      <ns0:c r="S37" s="16">
        <ns0:f>Q37-F37*'前提と出典'!$E$4</ns0:f>
        <ns0:v>-10458.634130266633</ns0:v>
      </ns0:c>
      <ns0:c r="T37" s="7">
        <ns0:f>R37+S37</ns0:f>
        <ns0:v>27197.831847270856</ns0:v>
      </ns0:c>
      <ns0:c r="U37" s="16">
        <ns0:f>P37-E37*'前提と出典'!$E$5</ns0:f>
        <ns0:v>31271.14861032067</ns0:v>
      </ns0:c>
      <ns0:c r="V37" s="16">
        <ns0:f>Q37-F37*'前提と出典'!$E$5</ns0:f>
        <ns0:v>-12964.639213289855</ns0:v>
      </ns0:c>
      <ns0:c r="W37" s="7">
        <ns0:f>U37+V37</ns0:f>
        <ns0:v>18306.509397030815</ns0:v>
      </ns0:c>
      <ns0:c r="X37" s="16">
        <ns0:f>P37-E37*'前提と出典'!$E$6</ns0:f>
        <ns0:v>24885.831243103865</ns0:v>
      </ns0:c>
      <ns0:c r="Y37" s="16">
        <ns0:f>Q37-F37*'前提と出典'!$E$6</ns0:f>
        <ns0:v>-15470.644296313065</ns0:v>
      </ns0:c>
      <ns0:c r="Z37" s="7">
        <ns0:f>X37+Y37</ns0:f>
        <ns0:v>9415.1869467908</ns0:v>
      </ns0:c>
      <ns0:c r="AA37" s="7">
        <ns0:f>IF(T37&gt;=0,A37,1001)</ns0:f>
        <ns0:v>33</ns0:v>
      </ns0:c>
      <ns0:c r="AB37" s="7">
        <ns0:f>IF(T37&lt;0,A37,0)</ns0:f>
        <ns0:v>0</ns0:v>
      </ns0:c>
      <ns0:c r="AC37" s="16">
        <ns0:f>IF(AND(OR('前提と出典'!$C$36+'前提と出典'!$C$38=0,R37&gt;=0),OR('前提と出典'!$C$37+'前提と出典'!$C$38=0,S37&gt;=0)),0,A37)</ns0:f>
        <ns0:v>33</ns0:v>
      </ns0:c>
      <ns0:c r="AD37" s="7">
        <ns0:f>IF(W37&gt;=0,A37,1001)</ns0:f>
        <ns0:v>33</ns0:v>
      </ns0:c>
      <ns0:c r="AE37" s="7">
        <ns0:f>IF(W37&lt;0,A37,0)</ns0:f>
        <ns0:v>0</ns0:v>
      </ns0:c>
      <ns0:c r="AF37" s="16">
        <ns0:f>IF(AND(OR('前提と出典'!$C$36+'前提と出典'!$C$38=0,U37&gt;=0),OR('前提と出典'!$C$37+'前提と出典'!$C$38=0,V37&gt;=0)),0,A37)</ns0:f>
        <ns0:v>33</ns0:v>
      </ns0:c>
      <ns0:c r="AG37" s="7">
        <ns0:f>IF(Z37&gt;=0,A37,1001)</ns0:f>
        <ns0:v>33</ns0:v>
      </ns0:c>
      <ns0:c r="AH37" s="4">
        <ns0:f>IF(Z37&lt;0,A37,0)</ns0:f>
        <ns0:v>0</ns0:v>
      </ns0:c>
      <ns0:c r="AI37" s="12">
        <ns0:f>IF(AND(OR('前提と出典'!$C$36+'前提と出典'!$C$38=0,X37&gt;=0),OR('前提と出典'!$C$37+'前提と出典'!$C$38=0,Y37&gt;=0)),0,A37)</ns0:f>
        <ns0:v>33</ns0:v>
      </ns0:c>
    </ns0:row>
    <ns0:row r="38" ht="24" customHeight="1">
      <ns0:c r="A38" s="4" t="n">
        <ns0:v>34</ns0:v>
      </ns0:c>
      <ns0:c r="B38" s="12">
        <ns0:f>A38*('前提と出典'!$C$36+'前提と出典'!$C$38)</ns0:f>
        <ns0:v>23.799999999999997</ns0:v>
      </ns0:c>
      <ns0:c r="C38" s="12">
        <ns0:f>A38*('前提と出典'!$C$37+'前提と出典'!$C$38)</ns0:f>
        <ns0:v>20.4</ns0:v>
      </ns0:c>
      <ns0:c r="D38" s="16">
        <ns0:f>A38*('前提と出典'!$C$36*'契約別単価'!C5+'前提と出典'!$C$37*'契約別単価'!C6+'前提と出典'!$C$38*'契約別単価'!C7)</ns0:f>
        <ns0:v>244.64804469273741</ns0:v>
      </ns0:c>
      <ns0:c r="E38" s="16">
        <ns0:f>A38*('前提と出典'!$C$36*'契約別単価'!E5+'前提と出典'!$C$37*'契約別単価'!E6+'前提と出典'!$C$38*'契約別単価'!E7)</ns0:f>
        <ns0:v>65788.11832890044</ns0:v>
      </ns0:c>
      <ns0:c r="F38" s="16">
        <ns0:f>A38*('前提と出典'!$C$36*'契約別単価'!F5+'前提と出典'!$C$37*'契約別単価'!F6+'前提と出典'!$C$38*'契約別単価'!F7)</ns0:f>
        <ns0:v>25819.44630993619</ns0:v>
      </ns0:c>
      <ns0:c r="G38" s="16">
        <ns0:f>A38*('前提と出典'!$C$36*'契約別単価'!G5+'前提と出典'!$C$37*'契約別単価'!G6+'前提と出典'!$C$38*'契約別単価'!G7)</ns0:f>
        <ns0:v>67677.09497206703</ns0:v>
      </ns0:c>
      <ns0:c r="H38" s="16">
        <ns0:f>A38*('前提と出典'!$C$36*'契約別単価'!H5+'前提と出典'!$C$37*'契約別単価'!H6+'前提と出典'!$C$38*'契約別単価'!H7)</ns0:f>
        <ns0:v>23487.34622834844</ns0:v>
      </ns0:c>
      <ns0:c r="I38" s="16">
        <ns0:f>A38*('前提と出典'!$C$36*'契約別単価'!I5+'前提と出典'!$C$37*'契約別単価'!I6+'前提と出典'!$C$38*'契約別単価'!I7)</ns0:f>
        <ns0:v>1434.6480446927371</ns0:v>
      </ns0:c>
      <ns0:c r="J38" s="16">
        <ns0:f>A38*('前提と出典'!$C$36*'契約別単価'!J5+'前提と出典'!$C$37*'契約別単価'!J6+'前提と出典'!$C$38*'契約別単価'!J7)</ns0:f>
        <ns0:v>3341.844486150287</ns0:v>
      </ns0:c>
      <ns0:c r="K38" s="16">
        <ns0:f>A38*('前提と出典'!$C$36*'契約別単価'!K5+'前提と出典'!$C$37*'契約別単価'!K6+'前提と出典'!$C$38*'契約別単価'!K7)</ns0:f>
        <ns0:v>14324.320297951583</ns0:v>
      </ns0:c>
      <ns0:c r="L38" s="16">
        <ns0:f>A38*('前提と出典'!$C$36*'契約別単価'!L5+'前提と出典'!$C$37*'契約別単価'!L6+'前提と出典'!$C$38*'契約別単価'!L7)</ns0:f>
        <ns0:v>11662.911540944948</ns0:v>
      </ns0:c>
      <ns0:c r="M38" s="16">
        <ns0:f>IF(('前提と出典'!$C$36+'前提と出典'!$C$38)=0,0,IF(B38&lt;=10,'前提と出典'!B73+'前提と出典'!C73,IF(B38&lt;=100,'前提と出典'!B74+'前提と出典'!C74,IF(B38&lt;=500,'前提と出典'!B75+'前提と出典'!C75,'前提と出典'!B76+'前提と出典'!C76))))</ns0:f>
        <ns0:v>20000</ns0:v>
      </ns0:c>
      <ns0:c r="N38" s="16">
        <ns0:f>IF(('前提と出典'!$C$37+'前提と出典'!$C$38)=0,0,IF(C38&lt;=10,'前提と出典'!D73+'前提と出典'!E73,IF(C38&lt;=100,'前提と出典'!D74+'前提と出典'!E74,IF(C38&lt;=500,'前提と出典'!D75+'前提と出典'!E75,'前提と出典'!D76+'前提と出典'!E76))))</ns0:f>
        <ns0:v>34510.9346263078</ns0:v>
      </ns0:c>
      <ns0:c r="O38" s="16">
        <ns0:f>IF('前提と出典'!$C$36+'前提と出典'!$C$38=0,0,'前提と出典'!$B$4*IF('前提と出典'!$B$20=0,MAX('前提と出典'!$B$6,D38*'前提と出典'!$B$5),'前提と出典'!$B$6+D38*'前提と出典'!$B$5))</ns0:f>
        <ns0:v>33761.43016759776</ns0:v>
      </ns0:c>
      <ns0:c r="P38" s="16">
        <ns0:f>(E38+G38)*(1-'前提と出典'!$B$7)-I38-K38-M38-O38</ns0:f>
        <ns0:v>59140.067111890574</ns0:v>
      </ns0:c>
      <ns0:c r="Q38" s="16">
        <ns0:f>(F38+H38)*(1-'前提と出典'!$B$7)-J38-L38-N38</ns0:f>
        <ns0:v>-1983.942646496649</ns0:v>
      </ns0:c>
      <ns0:c r="R38" s="16">
        <ns0:f>P38-E38*'前提と出典'!$E$4</ns0:f>
        <ns0:v>39403.63161322044</ns0:v>
      </ns0:c>
      <ns0:c r="S38" s="16">
        <ns0:f>Q38-F38*'前提と出典'!$E$4</ns0:f>
        <ns0:v>-9729.776539477502</ns0:v>
      </ns0:c>
      <ns0:c r="T38" s="7">
        <ns0:f>R38+S38</ns0:f>
        <ns0:v>29673.855073742936</ns0:v>
      </ns0:c>
      <ns0:c r="U38" s="16">
        <ns0:f>P38-E38*'前提と出典'!$E$5</ns0:f>
        <ns0:v>32824.81978033039</ns0:v>
      </ns0:c>
      <ns0:c r="V38" s="16">
        <ns0:f>Q38-F38*'前提と出典'!$E$5</ns0:f>
        <ns0:v>-12311.721170471126</ns0:v>
      </ns0:c>
      <ns0:c r="W38" s="7">
        <ns0:f>U38+V38</ns0:f>
        <ns0:v>20513.098609859266</ns0:v>
      </ns0:c>
      <ns0:c r="X38" s="16">
        <ns0:f>P38-E38*'前提と出典'!$E$6</ns0:f>
        <ns0:v>26246.00794744036</ns0:v>
      </ns0:c>
      <ns0:c r="Y38" s="16">
        <ns0:f>Q38-F38*'前提と出典'!$E$6</ns0:f>
        <ns0:v>-14893.665801464744</ns0:v>
      </ns0:c>
      <ns0:c r="Z38" s="7">
        <ns0:f>X38+Y38</ns0:f>
        <ns0:v>11352.342145975617</ns0:v>
      </ns0:c>
      <ns0:c r="AA38" s="7">
        <ns0:f>IF(T38&gt;=0,A38,1001)</ns0:f>
        <ns0:v>34</ns0:v>
      </ns0:c>
      <ns0:c r="AB38" s="7">
        <ns0:f>IF(T38&lt;0,A38,0)</ns0:f>
        <ns0:v>0</ns0:v>
      </ns0:c>
      <ns0:c r="AC38" s="16">
        <ns0:f>IF(AND(OR('前提と出典'!$C$36+'前提と出典'!$C$38=0,R38&gt;=0),OR('前提と出典'!$C$37+'前提と出典'!$C$38=0,S38&gt;=0)),0,A38)</ns0:f>
        <ns0:v>34</ns0:v>
      </ns0:c>
      <ns0:c r="AD38" s="7">
        <ns0:f>IF(W38&gt;=0,A38,1001)</ns0:f>
        <ns0:v>34</ns0:v>
      </ns0:c>
      <ns0:c r="AE38" s="7">
        <ns0:f>IF(W38&lt;0,A38,0)</ns0:f>
        <ns0:v>0</ns0:v>
      </ns0:c>
      <ns0:c r="AF38" s="16">
        <ns0:f>IF(AND(OR('前提と出典'!$C$36+'前提と出典'!$C$38=0,U38&gt;=0),OR('前提と出典'!$C$37+'前提と出典'!$C$38=0,V38&gt;=0)),0,A38)</ns0:f>
        <ns0:v>34</ns0:v>
      </ns0:c>
      <ns0:c r="AG38" s="7">
        <ns0:f>IF(Z38&gt;=0,A38,1001)</ns0:f>
        <ns0:v>34</ns0:v>
      </ns0:c>
      <ns0:c r="AH38" s="4">
        <ns0:f>IF(Z38&lt;0,A38,0)</ns0:f>
        <ns0:v>0</ns0:v>
      </ns0:c>
      <ns0:c r="AI38" s="12">
        <ns0:f>IF(AND(OR('前提と出典'!$C$36+'前提と出典'!$C$38=0,X38&gt;=0),OR('前提と出典'!$C$37+'前提と出典'!$C$38=0,Y38&gt;=0)),0,A38)</ns0:f>
        <ns0:v>34</ns0:v>
      </ns0:c>
    </ns0:row>
    <ns0:row r="39" ht="24" customHeight="1">
      <ns0:c r="A39" s="4" t="n">
        <ns0:v>35</ns0:v>
      </ns0:c>
      <ns0:c r="B39" s="12">
        <ns0:f>A39*('前提と出典'!$C$36+'前提と出典'!$C$38)</ns0:f>
        <ns0:v>24.5</ns0:v>
      </ns0:c>
      <ns0:c r="C39" s="12">
        <ns0:f>A39*('前提と出典'!$C$37+'前提と出典'!$C$38)</ns0:f>
        <ns0:v>21</ns0:v>
      </ns0:c>
      <ns0:c r="D39" s="16">
        <ns0:f>A39*('前提と出典'!$C$36*'契約別単価'!C5+'前提と出典'!$C$37*'契約別単価'!C6+'前提と出典'!$C$38*'契約別単価'!C7)</ns0:f>
        <ns0:v>251.84357541899442</ns0:v>
      </ns0:c>
      <ns0:c r="E39" s="16">
        <ns0:f>A39*('前提と出典'!$C$36*'契約別単価'!E5+'前提と出典'!$C$37*'契約別単価'!E6+'前提と出典'!$C$38*'契約別単価'!E7)</ns0:f>
        <ns0:v>67723.0629856328</ns0:v>
      </ns0:c>
      <ns0:c r="F39" s="16">
        <ns0:f>A39*('前提と出典'!$C$36*'契約別単価'!F5+'前提と出典'!$C$37*'契約別単価'!F6+'前提と出典'!$C$38*'契約別単価'!F7)</ns0:f>
        <ns0:v>26578.841789640195</ns0:v>
      </ns0:c>
      <ns0:c r="G39" s="16">
        <ns0:f>A39*('前提と出典'!$C$36*'契約別単価'!G5+'前提と出典'!$C$37*'契約別単価'!G6+'前提と出典'!$C$38*'契約別単価'!G7)</ns0:f>
        <ns0:v>69667.59776536313</ns0:v>
      </ns0:c>
      <ns0:c r="H39" s="16">
        <ns0:f>A39*('前提と出典'!$C$36*'契約別単価'!H5+'前提と出典'!$C$37*'契約別単価'!H6+'前提と出典'!$C$38*'契約別単価'!H7)</ns0:f>
        <ns0:v>24178.150529182218</ns0:v>
      </ns0:c>
      <ns0:c r="I39" s="16">
        <ns0:f>A39*('前提と出典'!$C$36*'契約別単価'!I5+'前提と出典'!$C$37*'契約別単価'!I6+'前提と出典'!$C$38*'契約別単価'!I7)</ns0:f>
        <ns0:v>1476.843575418994</ns0:v>
      </ns0:c>
      <ns0:c r="J39" s="16">
        <ns0:f>A39*('前提と出典'!$C$36*'契約別単価'!J5+'前提と出典'!$C$37*'契約別単価'!J6+'前提と出典'!$C$38*'契約別単価'!J7)</ns0:f>
        <ns0:v>3440.1340298605896</ns0:v>
      </ns0:c>
      <ns0:c r="K39" s="16">
        <ns0:f>A39*('前提と出典'!$C$36*'契約別単価'!K5+'前提と出典'!$C$37*'契約別単価'!K6+'前提と出典'!$C$38*'契約別単価'!K7)</ns0:f>
        <ns0:v>14745.623836126628</ns0:v>
      </ns0:c>
      <ns0:c r="L39" s="16">
        <ns0:f>A39*('前提と出典'!$C$36*'契約別単価'!L5+'前提と出典'!$C$37*'契約別単価'!L6+'前提と出典'!$C$38*'契約別単価'!L7)</ns0:f>
        <ns0:v>12005.93835097274</ns0:v>
      </ns0:c>
      <ns0:c r="M39" s="16">
        <ns0:f>IF(('前提と出典'!$C$36+'前提と出典'!$C$38)=0,0,IF(B39&lt;=10,'前提と出典'!B73+'前提と出典'!C73,IF(B39&lt;=100,'前提と出典'!B74+'前提と出典'!C74,IF(B39&lt;=500,'前提と出典'!B75+'前提と出典'!C75,'前提と出典'!B76+'前提と出典'!C76))))</ns0:f>
        <ns0:v>20000</ns0:v>
      </ns0:c>
      <ns0:c r="N39" s="16">
        <ns0:f>IF(('前提と出典'!$C$37+'前提と出典'!$C$38)=0,0,IF(C39&lt;=10,'前提と出典'!D73+'前提と出典'!E73,IF(C39&lt;=100,'前提と出典'!D74+'前提と出典'!E74,IF(C39&lt;=500,'前提と出典'!D75+'前提と出典'!E75,'前提と出典'!D76+'前提と出典'!E76))))</ns0:f>
        <ns0:v>34510.9346263078</ns0:v>
      </ns0:c>
      <ns0:c r="O39" s="16">
        <ns0:f>IF('前提と出典'!$C$36+'前提と出典'!$C$38=0,0,'前提と出典'!$B$4*IF('前提と出典'!$B$20=0,MAX('前提と出典'!$B$6,D39*'前提と出典'!$B$5),'前提と出典'!$B$6+D39*'前提と出典'!$B$5))</ns0:f>
        <ns0:v>34754.41340782123</ns0:v>
      </ns0:c>
      <ns0:c r="P39" s="16">
        <ns0:f>(E39+G39)*(1-'前提と出典'!$B$7)-I39-K39-M39-O39</ns0:f>
        <ns0:v>61467.716144593214</ns0:v>
      </ns0:c>
      <ns0:c r="Q39" s="16">
        <ns0:f>(F39+H39)*(1-'前提と出典'!$B$7)-J39-L39-N39</ns0:f>
        <ns0:v>-1027.2664117963195</ns0:v>
      </ns0:c>
      <ns0:c r="R39" s="16">
        <ns0:f>P39-E39*'前提と出典'!$E$4</ns0:f>
        <ns0:v>41150.797248903364</ns0:v>
      </ns0:c>
      <ns0:c r="S39" s="16">
        <ns0:f>Q39-F39*'前提と出典'!$E$4</ns0:f>
        <ns0:v>-9000.918948688377</ns0:v>
      </ns0:c>
      <ns0:c r="T39" s="7">
        <ns0:f>R39+S39</ns0:f>
        <ns0:v>32149.878300214987</ns0:v>
      </ns0:c>
      <ns0:c r="U39" s="16">
        <ns0:f>P39-E39*'前提と出典'!$E$5</ns0:f>
        <ns0:v>34378.49095034009</ns0:v>
      </ns0:c>
      <ns0:c r="V39" s="16">
        <ns0:f>Q39-F39*'前提と出典'!$E$5</ns0:f>
        <ns0:v>-11658.803127652398</ns0:v>
      </ns0:c>
      <ns0:c r="W39" s="7">
        <ns0:f>U39+V39</ns0:f>
        <ns0:v>22719.687822687694</ns0:v>
      </ns0:c>
      <ns0:c r="X39" s="16">
        <ns0:f>P39-E39*'前提と出典'!$E$6</ns0:f>
        <ns0:v>27606.184651776806</ns0:v>
      </ns0:c>
      <ns0:c r="Y39" s="16">
        <ns0:f>Q39-F39*'前提と出典'!$E$6</ns0:f>
        <ns0:v>-14316.687306616419</ns0:v>
      </ns0:c>
      <ns0:c r="Z39" s="7">
        <ns0:f>X39+Y39</ns0:f>
        <ns0:v>13289.497345160387</ns0:v>
      </ns0:c>
      <ns0:c r="AA39" s="7">
        <ns0:f>IF(T39&gt;=0,A39,1001)</ns0:f>
        <ns0:v>35</ns0:v>
      </ns0:c>
      <ns0:c r="AB39" s="7">
        <ns0:f>IF(T39&lt;0,A39,0)</ns0:f>
        <ns0:v>0</ns0:v>
      </ns0:c>
      <ns0:c r="AC39" s="16">
        <ns0:f>IF(AND(OR('前提と出典'!$C$36+'前提と出典'!$C$38=0,R39&gt;=0),OR('前提と出典'!$C$37+'前提と出典'!$C$38=0,S39&gt;=0)),0,A39)</ns0:f>
        <ns0:v>35</ns0:v>
      </ns0:c>
      <ns0:c r="AD39" s="7">
        <ns0:f>IF(W39&gt;=0,A39,1001)</ns0:f>
        <ns0:v>35</ns0:v>
      </ns0:c>
      <ns0:c r="AE39" s="7">
        <ns0:f>IF(W39&lt;0,A39,0)</ns0:f>
        <ns0:v>0</ns0:v>
      </ns0:c>
      <ns0:c r="AF39" s="16">
        <ns0:f>IF(AND(OR('前提と出典'!$C$36+'前提と出典'!$C$38=0,U39&gt;=0),OR('前提と出典'!$C$37+'前提と出典'!$C$38=0,V39&gt;=0)),0,A39)</ns0:f>
        <ns0:v>35</ns0:v>
      </ns0:c>
      <ns0:c r="AG39" s="7">
        <ns0:f>IF(Z39&gt;=0,A39,1001)</ns0:f>
        <ns0:v>35</ns0:v>
      </ns0:c>
      <ns0:c r="AH39" s="4">
        <ns0:f>IF(Z39&lt;0,A39,0)</ns0:f>
        <ns0:v>0</ns0:v>
      </ns0:c>
      <ns0:c r="AI39" s="12">
        <ns0:f>IF(AND(OR('前提と出典'!$C$36+'前提と出典'!$C$38=0,X39&gt;=0),OR('前提と出典'!$C$37+'前提と出典'!$C$38=0,Y39&gt;=0)),0,A39)</ns0:f>
        <ns0:v>35</ns0:v>
      </ns0:c>
    </ns0:row>
    <ns0:row r="40" ht="24" customHeight="1">
      <ns0:c r="A40" s="4" t="n">
        <ns0:v>36</ns0:v>
      </ns0:c>
      <ns0:c r="B40" s="12">
        <ns0:f>A40*('前提と出典'!$C$36+'前提と出典'!$C$38)</ns0:f>
        <ns0:v>25.2</ns0:v>
      </ns0:c>
      <ns0:c r="C40" s="12">
        <ns0:f>A40*('前提と出典'!$C$37+'前提と出典'!$C$38)</ns0:f>
        <ns0:v>21.599999999999998</ns0:v>
      </ns0:c>
      <ns0:c r="D40" s="16">
        <ns0:f>A40*('前提と出典'!$C$36*'契約別単価'!C5+'前提と出典'!$C$37*'契約別単価'!C6+'前提と出典'!$C$38*'契約別単価'!C7)</ns0:f>
        <ns0:v>259.03910614525137</ns0:v>
      </ns0:c>
      <ns0:c r="E40" s="16">
        <ns0:f>A40*('前提と出典'!$C$36*'契約別単価'!E5+'前提と出典'!$C$37*'契約別単価'!E6+'前提と出典'!$C$38*'契約別単価'!E7)</ns0:f>
        <ns0:v>69658.00764236518</ns0:v>
      </ns0:c>
      <ns0:c r="F40" s="16">
        <ns0:f>A40*('前提と出典'!$C$36*'契約別単価'!F5+'前提と出典'!$C$37*'契約別単価'!F6+'前提と出典'!$C$38*'契約別単価'!F7)</ns0:f>
        <ns0:v>27338.2372693442</ns0:v>
      </ns0:c>
      <ns0:c r="G40" s="16">
        <ns0:f>A40*('前提と出典'!$C$36*'契約別単価'!G5+'前提と出典'!$C$37*'契約別単価'!G6+'前提と出典'!$C$38*'契約別単価'!G7)</ns0:f>
        <ns0:v>71658.10055865921</ns0:v>
      </ns0:c>
      <ns0:c r="H40" s="16">
        <ns0:f>A40*('前提と出典'!$C$36*'契約別単価'!H5+'前提と出典'!$C$37*'契約別単価'!H6+'前提と出典'!$C$38*'契約別単価'!H7)</ns0:f>
        <ns0:v>24868.954830015995</ns0:v>
      </ns0:c>
      <ns0:c r="I40" s="16">
        <ns0:f>A40*('前提と出典'!$C$36*'契約別単価'!I5+'前提と出典'!$C$37*'契約別単価'!I6+'前提と出典'!$C$38*'契約別単価'!I7)</ns0:f>
        <ns0:v>1519.039106145251</ns0:v>
      </ns0:c>
      <ns0:c r="J40" s="16">
        <ns0:f>A40*('前提と出典'!$C$36*'契約別単価'!J5+'前提と出典'!$C$37*'契約別単価'!J6+'前提と出典'!$C$38*'契約別単価'!J7)</ns0:f>
        <ns0:v>3538.4235735708926</ns0:v>
      </ns0:c>
      <ns0:c r="K40" s="16">
        <ns0:f>A40*('前提と出典'!$C$36*'契約別単価'!K5+'前提と出典'!$C$37*'契約別単価'!K6+'前提と出典'!$C$38*'契約別単価'!K7)</ns0:f>
        <ns0:v>15166.927374301675</ns0:v>
      </ns0:c>
      <ns0:c r="L40" s="16">
        <ns0:f>A40*('前提と出典'!$C$36*'契約別単価'!L5+'前提と出典'!$C$37*'契約別単価'!L6+'前提と出典'!$C$38*'契約別単価'!L7)</ns0:f>
        <ns0:v>12348.965161000533</ns0:v>
      </ns0:c>
      <ns0:c r="M40" s="16">
        <ns0:f>IF(('前提と出典'!$C$36+'前提と出典'!$C$38)=0,0,IF(B40&lt;=10,'前提と出典'!B73+'前提と出典'!C73,IF(B40&lt;=100,'前提と出典'!B74+'前提と出典'!C74,IF(B40&lt;=500,'前提と出典'!B75+'前提と出典'!C75,'前提と出典'!B76+'前提と出典'!C76))))</ns0:f>
        <ns0:v>20000</ns0:v>
      </ns0:c>
      <ns0:c r="N40" s="16">
        <ns0:f>IF(('前提と出典'!$C$37+'前提と出典'!$C$38)=0,0,IF(C40&lt;=10,'前提と出典'!D73+'前提と出典'!E73,IF(C40&lt;=100,'前提と出典'!D74+'前提と出典'!E74,IF(C40&lt;=500,'前提と出典'!D75+'前提と出典'!E75,'前提と出典'!D76+'前提と出典'!E76))))</ns0:f>
        <ns0:v>34510.9346263078</ns0:v>
      </ns0:c>
      <ns0:c r="O40" s="16">
        <ns0:f>IF('前提と出典'!$C$36+'前提と出典'!$C$38=0,0,'前提と出典'!$B$4*IF('前提と出典'!$B$20=0,MAX('前提と出典'!$B$6,D40*'前提と出典'!$B$5),'前提と出典'!$B$6+D40*'前提と出典'!$B$5))</ns0:f>
        <ns0:v>35747.39664804469</ns0:v>
      </ns0:c>
      <ns0:c r="P40" s="16">
        <ns0:f>(E40+G40)*(1-'前提と出典'!$B$7)-I40-K40-M40-O40</ns0:f>
        <ns0:v>63795.36517729587</ns0:v>
      </ns0:c>
      <ns0:c r="Q40" s="16">
        <ns0:f>(F40+H40)*(1-'前提と出典'!$B$7)-J40-L40-N40</ns0:f>
        <ns0:v>-70.59017709599175</ns0:v>
      </ns0:c>
      <ns0:c r="R40" s="16">
        <ns0:f>P40-E40*'前提と出典'!$E$4</ns0:f>
        <ns0:v>42897.96288458634</ns0:v>
      </ns0:c>
      <ns0:c r="S40" s="16">
        <ns0:f>Q40-F40*'前提と出典'!$E$4</ns0:f>
        <ns0:v>-8272.061357899249</ns0:v>
      </ns0:c>
      <ns0:c r="T40" s="7">
        <ns0:f>R40+S40</ns0:f>
        <ns0:v>34625.90152668709</ns0:v>
      </ns0:c>
      <ns0:c r="U40" s="16">
        <ns0:f>P40-E40*'前提と出典'!$E$5</ns0:f>
        <ns0:v>35932.1621203498</ns0:v>
      </ns0:c>
      <ns0:c r="V40" s="16">
        <ns0:f>Q40-F40*'前提と出典'!$E$5</ns0:f>
        <ns0:v>-11005.885084833673</ns0:v>
      </ns0:c>
      <ns0:c r="W40" s="7">
        <ns0:f>U40+V40</ns0:f>
        <ns0:v>24926.277035516126</ns0:v>
      </ns0:c>
      <ns0:c r="X40" s="16">
        <ns0:f>P40-E40*'前提と出典'!$E$6</ns0:f>
        <ns0:v>28966.361356113288</ns0:v>
      </ns0:c>
      <ns0:c r="Y40" s="16">
        <ns0:f>Q40-F40*'前提と出典'!$E$6</ns0:f>
        <ns0:v>-13739.70881176809</ns0:v>
      </ns0:c>
      <ns0:c r="Z40" s="7">
        <ns0:f>X40+Y40</ns0:f>
        <ns0:v>15226.652544345197</ns0:v>
      </ns0:c>
      <ns0:c r="AA40" s="7">
        <ns0:f>IF(T40&gt;=0,A40,1001)</ns0:f>
        <ns0:v>36</ns0:v>
      </ns0:c>
      <ns0:c r="AB40" s="7">
        <ns0:f>IF(T40&lt;0,A40,0)</ns0:f>
        <ns0:v>0</ns0:v>
      </ns0:c>
      <ns0:c r="AC40" s="16">
        <ns0:f>IF(AND(OR('前提と出典'!$C$36+'前提と出典'!$C$38=0,R40&gt;=0),OR('前提と出典'!$C$37+'前提と出典'!$C$38=0,S40&gt;=0)),0,A40)</ns0:f>
        <ns0:v>36</ns0:v>
      </ns0:c>
      <ns0:c r="AD40" s="7">
        <ns0:f>IF(W40&gt;=0,A40,1001)</ns0:f>
        <ns0:v>36</ns0:v>
      </ns0:c>
      <ns0:c r="AE40" s="7">
        <ns0:f>IF(W40&lt;0,A40,0)</ns0:f>
        <ns0:v>0</ns0:v>
      </ns0:c>
      <ns0:c r="AF40" s="16">
        <ns0:f>IF(AND(OR('前提と出典'!$C$36+'前提と出典'!$C$38=0,U40&gt;=0),OR('前提と出典'!$C$37+'前提と出典'!$C$38=0,V40&gt;=0)),0,A40)</ns0:f>
        <ns0:v>36</ns0:v>
      </ns0:c>
      <ns0:c r="AG40" s="7">
        <ns0:f>IF(Z40&gt;=0,A40,1001)</ns0:f>
        <ns0:v>36</ns0:v>
      </ns0:c>
      <ns0:c r="AH40" s="4">
        <ns0:f>IF(Z40&lt;0,A40,0)</ns0:f>
        <ns0:v>0</ns0:v>
      </ns0:c>
      <ns0:c r="AI40" s="12">
        <ns0:f>IF(AND(OR('前提と出典'!$C$36+'前提と出典'!$C$38=0,X40&gt;=0),OR('前提と出典'!$C$37+'前提と出典'!$C$38=0,Y40&gt;=0)),0,A40)</ns0:f>
        <ns0:v>36</ns0:v>
      </ns0:c>
    </ns0:row>
    <ns0:row r="41" ht="24" customHeight="1">
      <ns0:c r="A41" s="4" t="n">
        <ns0:v>37</ns0:v>
      </ns0:c>
      <ns0:c r="B41" s="12">
        <ns0:f>A41*('前提と出典'!$C$36+'前提と出典'!$C$38)</ns0:f>
        <ns0:v>25.9</ns0:v>
      </ns0:c>
      <ns0:c r="C41" s="12">
        <ns0:f>A41*('前提と出典'!$C$37+'前提と出典'!$C$38)</ns0:f>
        <ns0:v>22.2</ns0:v>
      </ns0:c>
      <ns0:c r="D41" s="16">
        <ns0:f>A41*('前提と出典'!$C$36*'契約別単価'!C5+'前提と出典'!$C$37*'契約別単価'!C6+'前提と出典'!$C$38*'契約別単価'!C7)</ns0:f>
        <ns0:v>266.23463687150837</ns0:v>
      </ns0:c>
      <ns0:c r="E41" s="16">
        <ns0:f>A41*('前提と出典'!$C$36*'契約別単価'!E5+'前提と出典'!$C$37*'契約別単価'!E6+'前提と出典'!$C$38*'契約別単価'!E7)</ns0:f>
        <ns0:v>71592.95229909754</ns0:v>
      </ns0:c>
      <ns0:c r="F41" s="16">
        <ns0:f>A41*('前提と出典'!$C$36*'契約別単価'!F5+'前提と出典'!$C$37*'契約別単価'!F6+'前提と出典'!$C$38*'契約別単価'!F7)</ns0:f>
        <ns0:v>28097.632749048204</ns0:v>
      </ns0:c>
      <ns0:c r="G41" s="16">
        <ns0:f>A41*('前提と出典'!$C$36*'契約別単価'!G5+'前提と出典'!$C$37*'契約別単価'!G6+'前提と出典'!$C$38*'契約別単価'!G7)</ns0:f>
        <ns0:v>73648.6033519553</ns0:v>
      </ns0:c>
      <ns0:c r="H41" s="16">
        <ns0:f>A41*('前提と出典'!$C$36*'契約別単価'!H5+'前提と出典'!$C$37*'契約別単価'!H6+'前提と出典'!$C$38*'契約別単価'!H7)</ns0:f>
        <ns0:v>25559.759130849776</ns0:v>
      </ns0:c>
      <ns0:c r="I41" s="16">
        <ns0:f>A41*('前提と出典'!$C$36*'契約別単価'!I5+'前提と出典'!$C$37*'契約別単価'!I6+'前提と出典'!$C$38*'契約別単価'!I7)</ns0:f>
        <ns0:v>1561.2346368715082</ns0:v>
      </ns0:c>
      <ns0:c r="J41" s="16">
        <ns0:f>A41*('前提と出典'!$C$36*'契約別単価'!J5+'前提と出典'!$C$37*'契約別単価'!J6+'前提と出典'!$C$38*'契約別単価'!J7)</ns0:f>
        <ns0:v>3636.713117281195</ns0:v>
      </ns0:c>
      <ns0:c r="K41" s="16">
        <ns0:f>A41*('前提と出典'!$C$36*'契約別単価'!K5+'前提と出典'!$C$37*'契約別単価'!K6+'前提と出典'!$C$38*'契約別単価'!K7)</ns0:f>
        <ns0:v>15588.230912476722</ns0:v>
      </ns0:c>
      <ns0:c r="L41" s="16">
        <ns0:f>A41*('前提と出典'!$C$36*'契約別単価'!L5+'前提と出典'!$C$37*'契約別単価'!L6+'前提と出典'!$C$38*'契約別単価'!L7)</ns0:f>
        <ns0:v>12691.991971028325</ns0:v>
      </ns0:c>
      <ns0:c r="M41" s="16">
        <ns0:f>IF(('前提と出典'!$C$36+'前提と出典'!$C$38)=0,0,IF(B41&lt;=10,'前提と出典'!B73+'前提と出典'!C73,IF(B41&lt;=100,'前提と出典'!B74+'前提と出典'!C74,IF(B41&lt;=500,'前提と出典'!B75+'前提と出典'!C75,'前提と出典'!B76+'前提と出典'!C76))))</ns0:f>
        <ns0:v>20000</ns0:v>
      </ns0:c>
      <ns0:c r="N41" s="16">
        <ns0:f>IF(('前提と出典'!$C$37+'前提と出典'!$C$38)=0,0,IF(C41&lt;=10,'前提と出典'!D73+'前提と出典'!E73,IF(C41&lt;=100,'前提と出典'!D74+'前提と出典'!E74,IF(C41&lt;=500,'前提と出典'!D75+'前提と出典'!E75,'前提と出典'!D76+'前提と出典'!E76))))</ns0:f>
        <ns0:v>34510.9346263078</ns0:v>
      </ns0:c>
      <ns0:c r="O41" s="16">
        <ns0:f>IF('前提と出典'!$C$36+'前提と出典'!$C$38=0,0,'前提と出典'!$B$4*IF('前提と出典'!$B$20=0,MAX('前提と出典'!$B$6,D41*'前提と出典'!$B$5),'前提と出典'!$B$6+D41*'前提と出典'!$B$5))</ns0:f>
        <ns0:v>36740.37988826816</ns0:v>
      </ns0:c>
      <ns0:c r="P41" s="16">
        <ns0:f>(E41+G41)*(1-'前提と出典'!$B$7)-I41-K41-M41-O41</ns0:f>
        <ns0:v>66123.01420999857</ns0:v>
      </ns0:c>
      <ns0:c r="Q41" s="16">
        <ns0:f>(F41+H41)*(1-'前提と出典'!$B$7)-J41-L41-N41</ns0:f>
        <ns0:v>886.0860576043378</ns0:v>
      </ns0:c>
      <ns0:c r="R41" s="16">
        <ns0:f>P41-E41*'前提と出典'!$E$4</ns0:f>
        <ns0:v>44645.12852026931</ns0:v>
      </ns0:c>
      <ns0:c r="S41" s="16">
        <ns0:f>Q41-F41*'前提と出典'!$E$4</ns0:f>
        <ns0:v>-7543.203767110124</ns0:v>
      </ns0:c>
      <ns0:c r="T41" s="7">
        <ns0:f>R41+S41</ns0:f>
        <ns0:v>37101.92475315918</ns0:v>
      </ns0:c>
      <ns0:c r="U41" s="16">
        <ns0:f>P41-E41*'前提と出典'!$E$5</ns0:f>
        <ns0:v>37485.83329035956</ns0:v>
      </ns0:c>
      <ns0:c r="V41" s="16">
        <ns0:f>Q41-F41*'前提と出典'!$E$5</ns0:f>
        <ns0:v>-10352.967042014945</ns0:v>
      </ns0:c>
      <ns0:c r="W41" s="7">
        <ns0:f>U41+V41</ns0:f>
        <ns0:v>27132.866248344613</ns0:v>
      </ns0:c>
      <ns0:c r="X41" s="16">
        <ns0:f>P41-E41*'前提と出典'!$E$6</ns0:f>
        <ns0:v>30326.53806044979</ns0:v>
      </ns0:c>
      <ns0:c r="Y41" s="16">
        <ns0:f>Q41-F41*'前提と出典'!$E$6</ns0:f>
        <ns0:v>-13162.730316919766</ns0:v>
      </ns0:c>
      <ns0:c r="Z41" s="7">
        <ns0:f>X41+Y41</ns0:f>
        <ns0:v>17163.807743530026</ns0:v>
      </ns0:c>
      <ns0:c r="AA41" s="7">
        <ns0:f>IF(T41&gt;=0,A41,1001)</ns0:f>
        <ns0:v>37</ns0:v>
      </ns0:c>
      <ns0:c r="AB41" s="7">
        <ns0:f>IF(T41&lt;0,A41,0)</ns0:f>
        <ns0:v>0</ns0:v>
      </ns0:c>
      <ns0:c r="AC41" s="16">
        <ns0:f>IF(AND(OR('前提と出典'!$C$36+'前提と出典'!$C$38=0,R41&gt;=0),OR('前提と出典'!$C$37+'前提と出典'!$C$38=0,S41&gt;=0)),0,A41)</ns0:f>
        <ns0:v>37</ns0:v>
      </ns0:c>
      <ns0:c r="AD41" s="7">
        <ns0:f>IF(W41&gt;=0,A41,1001)</ns0:f>
        <ns0:v>37</ns0:v>
      </ns0:c>
      <ns0:c r="AE41" s="7">
        <ns0:f>IF(W41&lt;0,A41,0)</ns0:f>
        <ns0:v>0</ns0:v>
      </ns0:c>
      <ns0:c r="AF41" s="16">
        <ns0:f>IF(AND(OR('前提と出典'!$C$36+'前提と出典'!$C$38=0,U41&gt;=0),OR('前提と出典'!$C$37+'前提と出典'!$C$38=0,V41&gt;=0)),0,A41)</ns0:f>
        <ns0:v>37</ns0:v>
      </ns0:c>
      <ns0:c r="AG41" s="7">
        <ns0:f>IF(Z41&gt;=0,A41,1001)</ns0:f>
        <ns0:v>37</ns0:v>
      </ns0:c>
      <ns0:c r="AH41" s="4">
        <ns0:f>IF(Z41&lt;0,A41,0)</ns0:f>
        <ns0:v>0</ns0:v>
      </ns0:c>
      <ns0:c r="AI41" s="12">
        <ns0:f>IF(AND(OR('前提と出典'!$C$36+'前提と出典'!$C$38=0,X41&gt;=0),OR('前提と出典'!$C$37+'前提と出典'!$C$38=0,Y41&gt;=0)),0,A41)</ns0:f>
        <ns0:v>37</ns0:v>
      </ns0:c>
    </ns0:row>
    <ns0:row r="42" ht="24" customHeight="1">
      <ns0:c r="A42" s="4" t="n">
        <ns0:v>38</ns0:v>
      </ns0:c>
      <ns0:c r="B42" s="12">
        <ns0:f>A42*('前提と出典'!$C$36+'前提と出典'!$C$38)</ns0:f>
        <ns0:v>26.599999999999998</ns0:v>
      </ns0:c>
      <ns0:c r="C42" s="12">
        <ns0:f>A42*('前提と出典'!$C$37+'前提と出典'!$C$38)</ns0:f>
        <ns0:v>22.8</ns0:v>
      </ns0:c>
      <ns0:c r="D42" s="16">
        <ns0:f>A42*('前提と出典'!$C$36*'契約別単価'!C5+'前提と出典'!$C$37*'契約別単価'!C6+'前提と出典'!$C$38*'契約別単価'!C7)</ns0:f>
        <ns0:v>273.4301675977654</ns0:v>
      </ns0:c>
      <ns0:c r="E42" s="16">
        <ns0:f>A42*('前提と出典'!$C$36*'契約別単価'!E5+'前提と出典'!$C$37*'契約別単価'!E6+'前提と出典'!$C$38*'契約別単価'!E7)</ns0:f>
        <ns0:v>73527.8969558299</ns0:v>
      </ns0:c>
      <ns0:c r="F42" s="16">
        <ns0:f>A42*('前提と出典'!$C$36*'契約別単価'!F5+'前提と出典'!$C$37*'契約別単価'!F6+'前提と出典'!$C$38*'契約別単価'!F7)</ns0:f>
        <ns0:v>28857.02822875221</ns0:v>
      </ns0:c>
      <ns0:c r="G42" s="16">
        <ns0:f>A42*('前提と出典'!$C$36*'契約別単価'!G5+'前提と出典'!$C$37*'契約別単価'!G6+'前提と出典'!$C$38*'契約別単価'!G7)</ns0:f>
        <ns0:v>75639.1061452514</ns0:v>
      </ns0:c>
      <ns0:c r="H42" s="16">
        <ns0:f>A42*('前提と出典'!$C$36*'契約別単価'!H5+'前提と出典'!$C$37*'契約別単価'!H6+'前提と出典'!$C$38*'契約別単価'!H7)</ns0:f>
        <ns0:v>26250.563431683553</ns0:v>
      </ns0:c>
      <ns0:c r="I42" s="16">
        <ns0:f>A42*('前提と出典'!$C$36*'契約別単価'!I5+'前提と出典'!$C$37*'契約別単価'!I6+'前提と出典'!$C$38*'契約別単価'!I7)</ns0:f>
        <ns0:v>1603.4301675977651</ns0:v>
      </ns0:c>
      <ns0:c r="J42" s="16">
        <ns0:f>A42*('前提と出典'!$C$36*'契約別単価'!J5+'前提と出典'!$C$37*'契約別単価'!J6+'前提と出典'!$C$38*'契約別単価'!J7)</ns0:f>
        <ns0:v>3735.0026609914976</ns0:v>
      </ns0:c>
      <ns0:c r="K42" s="16">
        <ns0:f>A42*('前提と出典'!$C$36*'契約別単価'!K5+'前提と出典'!$C$37*'契約別単価'!K6+'前提と出典'!$C$38*'契約別単価'!K7)</ns0:f>
        <ns0:v>16009.534450651769</ns0:v>
      </ns0:c>
      <ns0:c r="L42" s="16">
        <ns0:f>A42*('前提と出典'!$C$36*'契約別単価'!L5+'前提と出典'!$C$37*'契約別単価'!L6+'前提と出典'!$C$38*'契約別単価'!L7)</ns0:f>
        <ns0:v>13035.018781056118</ns0:v>
      </ns0:c>
      <ns0:c r="M42" s="16">
        <ns0:f>IF(('前提と出典'!$C$36+'前提と出典'!$C$38)=0,0,IF(B42&lt;=10,'前提と出典'!B73+'前提と出典'!C73,IF(B42&lt;=100,'前提と出典'!B74+'前提と出典'!C74,IF(B42&lt;=500,'前提と出典'!B75+'前提と出典'!C75,'前提と出典'!B76+'前提と出典'!C76))))</ns0:f>
        <ns0:v>20000</ns0:v>
      </ns0:c>
      <ns0:c r="N42" s="16">
        <ns0:f>IF(('前提と出典'!$C$37+'前提と出典'!$C$38)=0,0,IF(C42&lt;=10,'前提と出典'!D73+'前提と出典'!E73,IF(C42&lt;=100,'前提と出典'!D74+'前提と出典'!E74,IF(C42&lt;=500,'前提と出典'!D75+'前提と出典'!E75,'前提と出典'!D76+'前提と出典'!E76))))</ns0:f>
        <ns0:v>34510.9346263078</ns0:v>
      </ns0:c>
      <ns0:c r="O42" s="16">
        <ns0:f>IF('前提と出典'!$C$36+'前提と出典'!$C$38=0,0,'前提と出典'!$B$4*IF('前提と出典'!$B$20=0,MAX('前提と出典'!$B$6,D42*'前提と出典'!$B$5),'前提と出典'!$B$6+D42*'前提と出典'!$B$5))</ns0:f>
        <ns0:v>37733.36312849163</ns0:v>
      </ns0:c>
      <ns0:c r="P42" s="16">
        <ns0:f>(E42+G42)*(1-'前提と出典'!$B$7)-I42-K42-M42-O42</ns0:f>
        <ns0:v>68450.66324270122</ns0:v>
      </ns0:c>
      <ns0:c r="Q42" s="16">
        <ns0:f>(F42+H42)*(1-'前提と出典'!$B$7)-J42-L42-N42</ns0:f>
        <ns0:v>1842.7622923046601</ns0:v>
      </ns0:c>
      <ns0:c r="R42" s="16">
        <ns0:f>P42-E42*'前提と出典'!$E$4</ns0:f>
        <ns0:v>46392.29415595225</ns0:v>
      </ns0:c>
      <ns0:c r="S42" s="16">
        <ns0:f>Q42-F42*'前提と出典'!$E$4</ns0:f>
        <ns0:v>-6814.346176321007</ns0:v>
      </ns0:c>
      <ns0:c r="T42" s="7">
        <ns0:f>R42+S42</ns0:f>
        <ns0:v>39577.947979631244</ns0:v>
      </ns0:c>
      <ns0:c r="U42" s="16">
        <ns0:f>P42-E42*'前提と出典'!$E$5</ns0:f>
        <ns0:v>39039.50446036926</ns0:v>
      </ns0:c>
      <ns0:c r="V42" s="16">
        <ns0:f>Q42-F42*'前提と出典'!$E$5</ns0:f>
        <ns0:v>-9700.048999196224</ns0:v>
      </ns0:c>
      <ns0:c r="W42" s="7">
        <ns0:f>U42+V42</ns0:f>
        <ns0:v>29339.455461173035</ns0:v>
      </ns0:c>
      <ns0:c r="X42" s="16">
        <ns0:f>P42-E42*'前提と出典'!$E$6</ns0:f>
        <ns0:v>31686.714764786266</ns0:v>
      </ns0:c>
      <ns0:c r="Y42" s="16">
        <ns0:f>Q42-F42*'前提と出典'!$E$6</ns0:f>
        <ns0:v>-12585.751822071448</ns0:v>
      </ns0:c>
      <ns0:c r="Z42" s="7">
        <ns0:f>X42+Y42</ns0:f>
        <ns0:v>19100.962942714817</ns0:v>
      </ns0:c>
      <ns0:c r="AA42" s="7">
        <ns0:f>IF(T42&gt;=0,A42,1001)</ns0:f>
        <ns0:v>38</ns0:v>
      </ns0:c>
      <ns0:c r="AB42" s="7">
        <ns0:f>IF(T42&lt;0,A42,0)</ns0:f>
        <ns0:v>0</ns0:v>
      </ns0:c>
      <ns0:c r="AC42" s="16">
        <ns0:f>IF(AND(OR('前提と出典'!$C$36+'前提と出典'!$C$38=0,R42&gt;=0),OR('前提と出典'!$C$37+'前提と出典'!$C$38=0,S42&gt;=0)),0,A42)</ns0:f>
        <ns0:v>38</ns0:v>
      </ns0:c>
      <ns0:c r="AD42" s="7">
        <ns0:f>IF(W42&gt;=0,A42,1001)</ns0:f>
        <ns0:v>38</ns0:v>
      </ns0:c>
      <ns0:c r="AE42" s="7">
        <ns0:f>IF(W42&lt;0,A42,0)</ns0:f>
        <ns0:v>0</ns0:v>
      </ns0:c>
      <ns0:c r="AF42" s="16">
        <ns0:f>IF(AND(OR('前提と出典'!$C$36+'前提と出典'!$C$38=0,U42&gt;=0),OR('前提と出典'!$C$37+'前提と出典'!$C$38=0,V42&gt;=0)),0,A42)</ns0:f>
        <ns0:v>38</ns0:v>
      </ns0:c>
      <ns0:c r="AG42" s="7">
        <ns0:f>IF(Z42&gt;=0,A42,1001)</ns0:f>
        <ns0:v>38</ns0:v>
      </ns0:c>
      <ns0:c r="AH42" s="4">
        <ns0:f>IF(Z42&lt;0,A42,0)</ns0:f>
        <ns0:v>0</ns0:v>
      </ns0:c>
      <ns0:c r="AI42" s="12">
        <ns0:f>IF(AND(OR('前提と出典'!$C$36+'前提と出典'!$C$38=0,X42&gt;=0),OR('前提と出典'!$C$37+'前提と出典'!$C$38=0,Y42&gt;=0)),0,A42)</ns0:f>
        <ns0:v>38</ns0:v>
      </ns0:c>
    </ns0:row>
    <ns0:row r="43" ht="24" customHeight="1">
      <ns0:c r="A43" s="4" t="n">
        <ns0:v>39</ns0:v>
      </ns0:c>
      <ns0:c r="B43" s="12">
        <ns0:f>A43*('前提と出典'!$C$36+'前提と出典'!$C$38)</ns0:f>
        <ns0:v>27.299999999999997</ns0:v>
      </ns0:c>
      <ns0:c r="C43" s="12">
        <ns0:f>A43*('前提と出典'!$C$37+'前提と出典'!$C$38)</ns0:f>
        <ns0:v>23.4</ns0:v>
      </ns0:c>
      <ns0:c r="D43" s="16">
        <ns0:f>A43*('前提と出典'!$C$36*'契約別単価'!C5+'前提と出典'!$C$37*'契約別単価'!C6+'前提と出典'!$C$38*'契約別単価'!C7)</ns0:f>
        <ns0:v>280.6256983240223</ns0:v>
      </ns0:c>
      <ns0:c r="E43" s="16">
        <ns0:f>A43*('前提と出典'!$C$36*'契約別単価'!E5+'前提と出典'!$C$37*'契約別単価'!E6+'前提と出典'!$C$38*'契約別単価'!E7)</ns0:f>
        <ns0:v>75462.84161256228</ns0:v>
      </ns0:c>
      <ns0:c r="F43" s="16">
        <ns0:f>A43*('前提と出典'!$C$36*'契約別単価'!F5+'前提と出典'!$C$37*'契約別単価'!F6+'前提と出典'!$C$38*'契約別単価'!F7)</ns0:f>
        <ns0:v>29616.423708456216</ns0:v>
      </ns0:c>
      <ns0:c r="G43" s="16">
        <ns0:f>A43*('前提と出典'!$C$36*'契約別単価'!G5+'前提と出典'!$C$37*'契約別単価'!G6+'前提と出典'!$C$38*'契約別単価'!G7)</ns0:f>
        <ns0:v>77629.60893854748</ns0:v>
      </ns0:c>
      <ns0:c r="H43" s="16">
        <ns0:f>A43*('前提と出典'!$C$36*'契約別単価'!H5+'前提と出典'!$C$37*'契約別単価'!H6+'前提と出典'!$C$38*'契約別単価'!H7)</ns0:f>
        <ns0:v>26941.36773251733</ns0:v>
      </ns0:c>
      <ns0:c r="I43" s="16">
        <ns0:f>A43*('前提と出典'!$C$36*'契約別単価'!I5+'前提と出典'!$C$37*'契約別単価'!I6+'前提と出典'!$C$38*'契約別単価'!I7)</ns0:f>
        <ns0:v>1645.625698324022</ns0:v>
      </ns0:c>
      <ns0:c r="J43" s="16">
        <ns0:f>A43*('前提と出典'!$C$36*'契約別単価'!J5+'前提と出典'!$C$37*'契約別単価'!J6+'前提と出典'!$C$38*'契約別単価'!J7)</ns0:f>
        <ns0:v>3833.2922047018</ns0:v>
      </ns0:c>
      <ns0:c r="K43" s="16">
        <ns0:f>A43*('前提と出典'!$C$36*'契約別単価'!K5+'前提と出典'!$C$37*'契約別単価'!K6+'前提と出典'!$C$38*'契約別単価'!K7)</ns0:f>
        <ns0:v>16430.837988826814</ns0:v>
      </ns0:c>
      <ns0:c r="L43" s="16">
        <ns0:f>A43*('前提と出典'!$C$36*'契約別単価'!L5+'前提と出典'!$C$37*'契約別単価'!L6+'前提と出典'!$C$38*'契約別単価'!L7)</ns0:f>
        <ns0:v>13378.04559108391</ns0:v>
      </ns0:c>
      <ns0:c r="M43" s="16">
        <ns0:f>IF(('前提と出典'!$C$36+'前提と出典'!$C$38)=0,0,IF(B43&lt;=10,'前提と出典'!B73+'前提と出典'!C73,IF(B43&lt;=100,'前提と出典'!B74+'前提と出典'!C74,IF(B43&lt;=500,'前提と出典'!B75+'前提と出典'!C75,'前提と出典'!B76+'前提と出典'!C76))))</ns0:f>
        <ns0:v>20000</ns0:v>
      </ns0:c>
      <ns0:c r="N43" s="16">
        <ns0:f>IF(('前提と出典'!$C$37+'前提と出典'!$C$38)=0,0,IF(C43&lt;=10,'前提と出典'!D73+'前提と出典'!E73,IF(C43&lt;=100,'前提と出典'!D74+'前提と出典'!E74,IF(C43&lt;=500,'前提と出典'!D75+'前提と出典'!E75,'前提と出典'!D76+'前提と出典'!E76))))</ns0:f>
        <ns0:v>34510.9346263078</ns0:v>
      </ns0:c>
      <ns0:c r="O43" s="16">
        <ns0:f>IF('前提と出典'!$C$36+'前提と出典'!$C$38=0,0,'前提と出典'!$B$4*IF('前提と出典'!$B$20=0,MAX('前提と出典'!$B$6,D43*'前提と出典'!$B$5),'前提と出典'!$B$6+D43*'前提と出典'!$B$5))</ns0:f>
        <ns0:v>38726.34636871508</ns0:v>
      </ns0:c>
      <ns0:c r="P43" s="16">
        <ns0:f>(E43+G43)*(1-'前提と出典'!$B$7)-I43-K43-M43-O43</ns0:f>
        <ns0:v>70778.31227540388</ns0:v>
      </ns0:c>
      <ns0:c r="Q43" s="16">
        <ns0:f>(F43+H43)*(1-'前提と出典'!$B$7)-J43-L43-N43</ns0:f>
        <ns0:v>2799.438527004988</ns0:v>
      </ns0:c>
      <ns0:c r="R43" s="16">
        <ns0:f>P43-E43*'前提と出典'!$E$4</ns0:f>
        <ns0:v>48139.45979163519</ns0:v>
      </ns0:c>
      <ns0:c r="S43" s="16">
        <ns0:f>Q43-F43*'前提と出典'!$E$4</ns0:f>
        <ns0:v>-6085.488585531872</ns0:v>
      </ns0:c>
      <ns0:c r="T43" s="7">
        <ns0:f>R43+S43</ns0:f>
        <ns0:v>42053.97120610332</ns0:v>
      </ns0:c>
      <ns0:c r="U43" s="16">
        <ns0:f>P43-E43*'前提と出典'!$E$5</ns0:f>
        <ns0:v>40593.17563037897</ns0:v>
      </ns0:c>
      <ns0:c r="V43" s="16">
        <ns0:f>Q43-F43*'前提と出典'!$E$5</ns0:f>
        <ns0:v>-9047.1309563775</ns0:v>
      </ns0:c>
      <ns0:c r="W43" s="7">
        <ns0:f>U43+V43</ns0:f>
        <ns0:v>31546.044674001474</ns0:v>
      </ns0:c>
      <ns0:c r="X43" s="16">
        <ns0:f>P43-E43*'前提と出典'!$E$6</ns0:f>
        <ns0:v>33046.89146912274</ns0:v>
      </ns0:c>
      <ns0:c r="Y43" s="16">
        <ns0:f>Q43-F43*'前提と出典'!$E$6</ns0:f>
        <ns0:v>-12008.77332722312</ns0:v>
      </ns0:c>
      <ns0:c r="Z43" s="7">
        <ns0:f>X43+Y43</ns0:f>
        <ns0:v>21038.11814189962</ns0:v>
      </ns0:c>
      <ns0:c r="AA43" s="7">
        <ns0:f>IF(T43&gt;=0,A43,1001)</ns0:f>
        <ns0:v>39</ns0:v>
      </ns0:c>
      <ns0:c r="AB43" s="7">
        <ns0:f>IF(T43&lt;0,A43,0)</ns0:f>
        <ns0:v>0</ns0:v>
      </ns0:c>
      <ns0:c r="AC43" s="16">
        <ns0:f>IF(AND(OR('前提と出典'!$C$36+'前提と出典'!$C$38=0,R43&gt;=0),OR('前提と出典'!$C$37+'前提と出典'!$C$38=0,S43&gt;=0)),0,A43)</ns0:f>
        <ns0:v>39</ns0:v>
      </ns0:c>
      <ns0:c r="AD43" s="7">
        <ns0:f>IF(W43&gt;=0,A43,1001)</ns0:f>
        <ns0:v>39</ns0:v>
      </ns0:c>
      <ns0:c r="AE43" s="7">
        <ns0:f>IF(W43&lt;0,A43,0)</ns0:f>
        <ns0:v>0</ns0:v>
      </ns0:c>
      <ns0:c r="AF43" s="16">
        <ns0:f>IF(AND(OR('前提と出典'!$C$36+'前提と出典'!$C$38=0,U43&gt;=0),OR('前提と出典'!$C$37+'前提と出典'!$C$38=0,V43&gt;=0)),0,A43)</ns0:f>
        <ns0:v>39</ns0:v>
      </ns0:c>
      <ns0:c r="AG43" s="7">
        <ns0:f>IF(Z43&gt;=0,A43,1001)</ns0:f>
        <ns0:v>39</ns0:v>
      </ns0:c>
      <ns0:c r="AH43" s="4">
        <ns0:f>IF(Z43&lt;0,A43,0)</ns0:f>
        <ns0:v>0</ns0:v>
      </ns0:c>
      <ns0:c r="AI43" s="12">
        <ns0:f>IF(AND(OR('前提と出典'!$C$36+'前提と出典'!$C$38=0,X43&gt;=0),OR('前提と出典'!$C$37+'前提と出典'!$C$38=0,Y43&gt;=0)),0,A43)</ns0:f>
        <ns0:v>39</ns0:v>
      </ns0:c>
    </ns0:row>
    <ns0:row r="44" ht="24" customHeight="1">
      <ns0:c r="A44" s="4" t="n">
        <ns0:v>40</ns0:v>
      </ns0:c>
      <ns0:c r="B44" s="12">
        <ns0:f>A44*('前提と出典'!$C$36+'前提と出典'!$C$38)</ns0:f>
        <ns0:v>28</ns0:v>
      </ns0:c>
      <ns0:c r="C44" s="12">
        <ns0:f>A44*('前提と出典'!$C$37+'前提と出典'!$C$38)</ns0:f>
        <ns0:v>24</ns0:v>
      </ns0:c>
      <ns0:c r="D44" s="16">
        <ns0:f>A44*('前提と出典'!$C$36*'契約別単価'!C5+'前提と出典'!$C$37*'契約別単価'!C6+'前提と出典'!$C$38*'契約別単価'!C7)</ns0:f>
        <ns0:v>287.8212290502793</ns0:v>
      </ns0:c>
      <ns0:c r="E44" s="16">
        <ns0:f>A44*('前提と出典'!$C$36*'契約別単価'!E5+'前提と出典'!$C$37*'契約別単価'!E6+'前提と出典'!$C$38*'契約別単価'!E7)</ns0:f>
        <ns0:v>77397.78626929464</ns0:v>
      </ns0:c>
      <ns0:c r="F44" s="16">
        <ns0:f>A44*('前提と出典'!$C$36*'契約別単価'!F5+'前提と出典'!$C$37*'契約別単価'!F6+'前提と出典'!$C$38*'契約別単価'!F7)</ns0:f>
        <ns0:v>30375.81918816022</ns0:v>
      </ns0:c>
      <ns0:c r="G44" s="16">
        <ns0:f>A44*('前提と出典'!$C$36*'契約別単価'!G5+'前提と出典'!$C$37*'契約別単価'!G6+'前提と出典'!$C$38*'契約別単価'!G7)</ns0:f>
        <ns0:v>79620.11173184357</ns0:v>
      </ns0:c>
      <ns0:c r="H44" s="16">
        <ns0:f>A44*('前提と出典'!$C$36*'契約別単価'!H5+'前提と出典'!$C$37*'契約別単価'!H6+'前提と出典'!$C$38*'契約別単価'!H7)</ns0:f>
        <ns0:v>27632.172033351108</ns0:v>
      </ns0:c>
      <ns0:c r="I44" s="16">
        <ns0:f>A44*('前提と出典'!$C$36*'契約別単価'!I5+'前提と出典'!$C$37*'契約別単価'!I6+'前提と出典'!$C$38*'契約別単価'!I7)</ns0:f>
        <ns0:v>1687.821229050279</ns0:v>
      </ns0:c>
      <ns0:c r="J44" s="16">
        <ns0:f>A44*('前提と出典'!$C$36*'契約別単価'!J5+'前提と出典'!$C$37*'契約別単価'!J6+'前提と出典'!$C$38*'契約別単価'!J7)</ns0:f>
        <ns0:v>3931.5817484121026</ns0:v>
      </ns0:c>
      <ns0:c r="K44" s="16">
        <ns0:f>A44*('前提と出典'!$C$36*'契約別単価'!K5+'前提と出典'!$C$37*'契約別単価'!K6+'前提と出典'!$C$38*'契約別単価'!K7)</ns0:f>
        <ns0:v>16852.141527001862</ns0:v>
      </ns0:c>
      <ns0:c r="L44" s="16">
        <ns0:f>A44*('前提と出典'!$C$36*'契約別単価'!L5+'前提と出典'!$C$37*'契約別単価'!L6+'前提と出典'!$C$38*'契約別単価'!L7)</ns0:f>
        <ns0:v>13721.072401111704</ns0:v>
      </ns0:c>
      <ns0:c r="M44" s="16">
        <ns0:f>IF(('前提と出典'!$C$36+'前提と出典'!$C$38)=0,0,IF(B44&lt;=10,'前提と出典'!B73+'前提と出典'!C73,IF(B44&lt;=100,'前提と出典'!B74+'前提と出典'!C74,IF(B44&lt;=500,'前提と出典'!B75+'前提と出典'!C75,'前提と出典'!B76+'前提と出典'!C76))))</ns0:f>
        <ns0:v>20000</ns0:v>
      </ns0:c>
      <ns0:c r="N44" s="16">
        <ns0:f>IF(('前提と出典'!$C$37+'前提と出典'!$C$38)=0,0,IF(C44&lt;=10,'前提と出典'!D73+'前提と出典'!E73,IF(C44&lt;=100,'前提と出典'!D74+'前提と出典'!E74,IF(C44&lt;=500,'前提と出典'!D75+'前提と出典'!E75,'前提と出典'!D76+'前提と出典'!E76))))</ns0:f>
        <ns0:v>34510.9346263078</ns0:v>
      </ns0:c>
      <ns0:c r="O44" s="16">
        <ns0:f>IF('前提と出典'!$C$36+'前提と出典'!$C$38=0,0,'前提と出典'!$B$4*IF('前提と出典'!$B$20=0,MAX('前提と出典'!$B$6,D44*'前提と出典'!$B$5),'前提と出典'!$B$6+D44*'前提と出典'!$B$5))</ns0:f>
        <ns0:v>39719.32960893855</ns0:v>
      </ns0:c>
      <ns0:c r="P44" s="16">
        <ns0:f>(E44+G44)*(1-'前提と出典'!$B$7)-I44-K44-M44-O44</ns0:f>
        <ns0:v>73105.96130810655</ns0:v>
      </ns0:c>
      <ns0:c r="Q44" s="16">
        <ns0:f>(F44+H44)*(1-'前提と出典'!$B$7)-J44-L44-N44</ns0:f>
        <ns0:v>3756.114761705321</ns0:v>
      </ns0:c>
      <ns0:c r="R44" s="16">
        <ns0:f>P44-E44*'前提と出典'!$E$4</ns0:f>
        <ns0:v>49886.62542731815</ns0:v>
      </ns0:c>
      <ns0:c r="S44" s="16">
        <ns0:f>Q44-F44*'前提と出典'!$E$4</ns0:f>
        <ns0:v>-5356.6309947427435</ns0:v>
      </ns0:c>
      <ns0:c r="T44" s="7">
        <ns0:f>R44+S44</ns0:f>
        <ns0:v>44529.994432575404</ns0:v>
      </ns0:c>
      <ns0:c r="U44" s="16">
        <ns0:f>P44-E44*'前提と出典'!$E$5</ns0:f>
        <ns0:v>42146.84680038869</ns0:v>
      </ns0:c>
      <ns0:c r="V44" s="16">
        <ns0:f>Q44-F44*'前提と出典'!$E$5</ns0:f>
        <ns0:v>-8394.212913558767</ns0:v>
      </ns0:c>
      <ns0:c r="W44" s="7">
        <ns0:f>U44+V44</ns0:f>
        <ns0:v>33752.63388682992</ns0:v>
      </ns0:c>
      <ns0:c r="X44" s="16">
        <ns0:f>P44-E44*'前提と出典'!$E$6</ns0:f>
        <ns0:v>34407.06817345923</ns0:v>
      </ns0:c>
      <ns0:c r="Y44" s="16">
        <ns0:f>Q44-F44*'前提と出典'!$E$6</ns0:f>
        <ns0:v>-11431.794832374791</ns0:v>
      </ns0:c>
      <ns0:c r="Z44" s="7">
        <ns0:f>X44+Y44</ns0:f>
        <ns0:v>22975.273341084438</ns0:v>
      </ns0:c>
      <ns0:c r="AA44" s="7">
        <ns0:f>IF(T44&gt;=0,A44,1001)</ns0:f>
        <ns0:v>40</ns0:v>
      </ns0:c>
      <ns0:c r="AB44" s="7">
        <ns0:f>IF(T44&lt;0,A44,0)</ns0:f>
        <ns0:v>0</ns0:v>
      </ns0:c>
      <ns0:c r="AC44" s="16">
        <ns0:f>IF(AND(OR('前提と出典'!$C$36+'前提と出典'!$C$38=0,R44&gt;=0),OR('前提と出典'!$C$37+'前提と出典'!$C$38=0,S44&gt;=0)),0,A44)</ns0:f>
        <ns0:v>40</ns0:v>
      </ns0:c>
      <ns0:c r="AD44" s="7">
        <ns0:f>IF(W44&gt;=0,A44,1001)</ns0:f>
        <ns0:v>40</ns0:v>
      </ns0:c>
      <ns0:c r="AE44" s="7">
        <ns0:f>IF(W44&lt;0,A44,0)</ns0:f>
        <ns0:v>0</ns0:v>
      </ns0:c>
      <ns0:c r="AF44" s="16">
        <ns0:f>IF(AND(OR('前提と出典'!$C$36+'前提と出典'!$C$38=0,U44&gt;=0),OR('前提と出典'!$C$37+'前提と出典'!$C$38=0,V44&gt;=0)),0,A44)</ns0:f>
        <ns0:v>40</ns0:v>
      </ns0:c>
      <ns0:c r="AG44" s="7">
        <ns0:f>IF(Z44&gt;=0,A44,1001)</ns0:f>
        <ns0:v>40</ns0:v>
      </ns0:c>
      <ns0:c r="AH44" s="4">
        <ns0:f>IF(Z44&lt;0,A44,0)</ns0:f>
        <ns0:v>0</ns0:v>
      </ns0:c>
      <ns0:c r="AI44" s="12">
        <ns0:f>IF(AND(OR('前提と出典'!$C$36+'前提と出典'!$C$38=0,X44&gt;=0),OR('前提と出典'!$C$37+'前提と出典'!$C$38=0,Y44&gt;=0)),0,A44)</ns0:f>
        <ns0:v>40</ns0:v>
      </ns0:c>
    </ns0:row>
    <ns0:row r="45" ht="24" customHeight="1">
      <ns0:c r="A45" s="4" t="n">
        <ns0:v>41</ns0:v>
      </ns0:c>
      <ns0:c r="B45" s="12">
        <ns0:f>A45*('前提と出典'!$C$36+'前提と出典'!$C$38)</ns0:f>
        <ns0:v>28.7</ns0:v>
      </ns0:c>
      <ns0:c r="C45" s="12">
        <ns0:f>A45*('前提と出典'!$C$37+'前提と出典'!$C$38)</ns0:f>
        <ns0:v>24.599999999999998</ns0:v>
      </ns0:c>
      <ns0:c r="D45" s="16">
        <ns0:f>A45*('前提と出典'!$C$36*'契約別単価'!C5+'前提と出典'!$C$37*'契約別単価'!C6+'前提と出典'!$C$38*'契約別単価'!C7)</ns0:f>
        <ns0:v>295.01675977653633</ns0:v>
      </ns0:c>
      <ns0:c r="E45" s="16">
        <ns0:f>A45*('前提と出典'!$C$36*'契約別単価'!E5+'前提と出典'!$C$37*'契約別単価'!E6+'前提と出典'!$C$38*'契約別単価'!E7)</ns0:f>
        <ns0:v>79332.730926027</ns0:v>
      </ns0:c>
      <ns0:c r="F45" s="16">
        <ns0:f>A45*('前提と出典'!$C$36*'契約別単価'!F5+'前提と出典'!$C$37*'契約別単価'!F6+'前提と出典'!$C$38*'契約別単価'!F7)</ns0:f>
        <ns0:v>31135.214667864228</ns0:v>
      </ns0:c>
      <ns0:c r="G45" s="16">
        <ns0:f>A45*('前提と出典'!$C$36*'契約別単価'!G5+'前提と出典'!$C$37*'契約別単価'!G6+'前提と出典'!$C$38*'契約別単価'!G7)</ns0:f>
        <ns0:v>81610.61452513967</ns0:v>
      </ns0:c>
      <ns0:c r="H45" s="16">
        <ns0:f>A45*('前提と出典'!$C$36*'契約別単価'!H5+'前提と出典'!$C$37*'契約別単価'!H6+'前提と出典'!$C$38*'契約別単価'!H7)</ns0:f>
        <ns0:v>28322.976334184885</ns0:v>
      </ns0:c>
      <ns0:c r="I45" s="16">
        <ns0:f>A45*('前提と出典'!$C$36*'契約別単価'!I5+'前提と出典'!$C$37*'契約別単価'!I6+'前提と出典'!$C$38*'契約別単価'!I7)</ns0:f>
        <ns0:v>1730.016759776536</ns0:v>
      </ns0:c>
      <ns0:c r="J45" s="16">
        <ns0:f>A45*('前提と出典'!$C$36*'契約別単価'!J5+'前提と出典'!$C$37*'契約別単価'!J6+'前提と出典'!$C$38*'契約別単価'!J7)</ns0:f>
        <ns0:v>4029.871292122405</ns0:v>
      </ns0:c>
      <ns0:c r="K45" s="16">
        <ns0:f>A45*('前提と出典'!$C$36*'契約別単価'!K5+'前提と出典'!$C$37*'契約別単価'!K6+'前提と出典'!$C$38*'契約別単価'!K7)</ns0:f>
        <ns0:v>17273.445065176908</ns0:v>
      </ns0:c>
      <ns0:c r="L45" s="16">
        <ns0:f>A45*('前提と出典'!$C$36*'契約別単価'!L5+'前提と出典'!$C$37*'契約別単価'!L6+'前提と出典'!$C$38*'契約別単価'!L7)</ns0:f>
        <ns0:v>14064.099211139495</ns0:v>
      </ns0:c>
      <ns0:c r="M45" s="16">
        <ns0:f>IF(('前提と出典'!$C$36+'前提と出典'!$C$38)=0,0,IF(B45&lt;=10,'前提と出典'!B73+'前提と出典'!C73,IF(B45&lt;=100,'前提と出典'!B74+'前提と出典'!C74,IF(B45&lt;=500,'前提と出典'!B75+'前提と出典'!C75,'前提と出典'!B76+'前提と出典'!C76))))</ns0:f>
        <ns0:v>20000</ns0:v>
      </ns0:c>
      <ns0:c r="N45" s="16">
        <ns0:f>IF(('前提と出典'!$C$37+'前提と出典'!$C$38)=0,0,IF(C45&lt;=10,'前提と出典'!D73+'前提と出典'!E73,IF(C45&lt;=100,'前提と出典'!D74+'前提と出典'!E74,IF(C45&lt;=500,'前提と出典'!D75+'前提と出典'!E75,'前提と出典'!D76+'前提と出典'!E76))))</ns0:f>
        <ns0:v>34510.9346263078</ns0:v>
      </ns0:c>
      <ns0:c r="O45" s="16">
        <ns0:f>IF('前提と出典'!$C$36+'前提と出典'!$C$38=0,0,'前提と出典'!$B$4*IF('前提と出典'!$B$20=0,MAX('前提と出典'!$B$6,D45*'前提と出典'!$B$5),'前提と出典'!$B$6+D45*'前提と出典'!$B$5))</ns0:f>
        <ns0:v>40712.312849162015</ns0:v>
      </ns0:c>
      <ns0:c r="P45" s="16">
        <ns0:f>(E45+G45)*(1-'前提と出典'!$B$7)-I45-K45-M45-O45</ns0:f>
        <ns0:v>75433.61034080923</ns0:v>
      </ns0:c>
      <ns0:c r="Q45" s="16">
        <ns0:f>(F45+H45)*(1-'前提と出典'!$B$7)-J45-L45-N45</ns0:f>
        <ns0:v>4712.790996405649</ns0:v>
      </ns0:c>
      <ns0:c r="R45" s="16">
        <ns0:f>P45-E45*'前提と出典'!$E$4</ns0:f>
        <ns0:v>51633.79106300113</ns0:v>
      </ns0:c>
      <ns0:c r="S45" s="16">
        <ns0:f>Q45-F45*'前提と出典'!$E$4</ns0:f>
        <ns0:v>-4627.773403953623</ns0:v>
      </ns0:c>
      <ns0:c r="T45" s="7">
        <ns0:f>R45+S45</ns0:f>
        <ns0:v>47006.01765904751</ns0:v>
      </ns0:c>
      <ns0:c r="U45" s="16">
        <ns0:f>P45-E45*'前提と出典'!$E$5</ns0:f>
        <ns0:v>43700.51797039843</ns0:v>
      </ns0:c>
      <ns0:c r="V45" s="16">
        <ns0:f>Q45-F45*'前提と出典'!$E$5</ns0:f>
        <ns0:v>-7741.294870740043</ns0:v>
      </ns0:c>
      <ns0:c r="W45" s="7">
        <ns0:f>U45+V45</ns0:f>
        <ns0:v>35959.22309965839</ns0:v>
      </ns0:c>
      <ns0:c r="X45" s="16">
        <ns0:f>P45-E45*'前提と出典'!$E$6</ns0:f>
        <ns0:v>35767.24487779573</ns0:v>
      </ns0:c>
      <ns0:c r="Y45" s="16">
        <ns0:f>Q45-F45*'前提と出典'!$E$6</ns0:f>
        <ns0:v>-10854.81633752647</ns0:v>
      </ns0:c>
      <ns0:c r="Z45" s="7">
        <ns0:f>X45+Y45</ns0:f>
        <ns0:v>24912.428540269262</ns0:v>
      </ns0:c>
      <ns0:c r="AA45" s="7">
        <ns0:f>IF(T45&gt;=0,A45,1001)</ns0:f>
        <ns0:v>41</ns0:v>
      </ns0:c>
      <ns0:c r="AB45" s="7">
        <ns0:f>IF(T45&lt;0,A45,0)</ns0:f>
        <ns0:v>0</ns0:v>
      </ns0:c>
      <ns0:c r="AC45" s="16">
        <ns0:f>IF(AND(OR('前提と出典'!$C$36+'前提と出典'!$C$38=0,R45&gt;=0),OR('前提と出典'!$C$37+'前提と出典'!$C$38=0,S45&gt;=0)),0,A45)</ns0:f>
        <ns0:v>41</ns0:v>
      </ns0:c>
      <ns0:c r="AD45" s="7">
        <ns0:f>IF(W45&gt;=0,A45,1001)</ns0:f>
        <ns0:v>41</ns0:v>
      </ns0:c>
      <ns0:c r="AE45" s="7">
        <ns0:f>IF(W45&lt;0,A45,0)</ns0:f>
        <ns0:v>0</ns0:v>
      </ns0:c>
      <ns0:c r="AF45" s="16">
        <ns0:f>IF(AND(OR('前提と出典'!$C$36+'前提と出典'!$C$38=0,U45&gt;=0),OR('前提と出典'!$C$37+'前提と出典'!$C$38=0,V45&gt;=0)),0,A45)</ns0:f>
        <ns0:v>41</ns0:v>
      </ns0:c>
      <ns0:c r="AG45" s="7">
        <ns0:f>IF(Z45&gt;=0,A45,1001)</ns0:f>
        <ns0:v>41</ns0:v>
      </ns0:c>
      <ns0:c r="AH45" s="4">
        <ns0:f>IF(Z45&lt;0,A45,0)</ns0:f>
        <ns0:v>0</ns0:v>
      </ns0:c>
      <ns0:c r="AI45" s="12">
        <ns0:f>IF(AND(OR('前提と出典'!$C$36+'前提と出典'!$C$38=0,X45&gt;=0),OR('前提と出典'!$C$37+'前提と出典'!$C$38=0,Y45&gt;=0)),0,A45)</ns0:f>
        <ns0:v>41</ns0:v>
      </ns0:c>
    </ns0:row>
    <ns0:row r="46" ht="24" customHeight="1">
      <ns0:c r="A46" s="4" t="n">
        <ns0:v>42</ns0:v>
      </ns0:c>
      <ns0:c r="B46" s="12">
        <ns0:f>A46*('前提と出典'!$C$36+'前提と出典'!$C$38)</ns0:f>
        <ns0:v>29.4</ns0:v>
      </ns0:c>
      <ns0:c r="C46" s="12">
        <ns0:f>A46*('前提と出典'!$C$37+'前提と出典'!$C$38)</ns0:f>
        <ns0:v>25.2</ns0:v>
      </ns0:c>
      <ns0:c r="D46" s="16">
        <ns0:f>A46*('前提と出典'!$C$36*'契約別単価'!C5+'前提と出典'!$C$37*'契約別単価'!C6+'前提と出典'!$C$38*'契約別単価'!C7)</ns0:f>
        <ns0:v>302.2122905027933</ns0:v>
      </ns0:c>
      <ns0:c r="E46" s="16">
        <ns0:f>A46*('前提と出典'!$C$36*'契約別単価'!E5+'前提と出典'!$C$37*'契約別単価'!E6+'前提と出典'!$C$38*'契約別単価'!E7)</ns0:f>
        <ns0:v>81267.67558275937</ns0:v>
      </ns0:c>
      <ns0:c r="F46" s="16">
        <ns0:f>A46*('前提と出典'!$C$36*'契約別単価'!F5+'前提と出典'!$C$37*'契約別単価'!F6+'前提と出典'!$C$38*'契約別単価'!F7)</ns0:f>
        <ns0:v>31894.610147568234</ns0:v>
      </ns0:c>
      <ns0:c r="G46" s="16">
        <ns0:f>A46*('前提と出典'!$C$36*'契約別単価'!G5+'前提と出典'!$C$37*'契約別単価'!G6+'前提と出典'!$C$38*'契約別単価'!G7)</ns0:f>
        <ns0:v>83601.11731843575</ns0:v>
      </ns0:c>
      <ns0:c r="H46" s="16">
        <ns0:f>A46*('前提と出典'!$C$36*'契約別単価'!H5+'前提と出典'!$C$37*'契約別単価'!H6+'前提と出典'!$C$38*'契約別単価'!H7)</ns0:f>
        <ns0:v>29013.780635018662</ns0:v>
      </ns0:c>
      <ns0:c r="I46" s="16">
        <ns0:f>A46*('前提と出典'!$C$36*'契約別単価'!I5+'前提と出典'!$C$37*'契約別単価'!I6+'前提と出典'!$C$38*'契約別単価'!I7)</ns0:f>
        <ns0:v>1772.212290502793</ns0:v>
      </ns0:c>
      <ns0:c r="J46" s="16">
        <ns0:f>A46*('前提と出典'!$C$36*'契約別単価'!J5+'前提と出典'!$C$37*'契約別単価'!J6+'前提と出典'!$C$38*'契約別単価'!J7)</ns0:f>
        <ns0:v>4128.160835832708</ns0:v>
      </ns0:c>
      <ns0:c r="K46" s="16">
        <ns0:f>A46*('前提と出典'!$C$36*'契約別単価'!K5+'前提と出典'!$C$37*'契約別単価'!K6+'前提と出典'!$C$38*'契約別単価'!K7)</ns0:f>
        <ns0:v>17694.748603351953</ns0:v>
      </ns0:c>
      <ns0:c r="L46" s="16">
        <ns0:f>A46*('前提と出典'!$C$36*'契約別単価'!L5+'前提と出典'!$C$37*'契約別単価'!L6+'前提と出典'!$C$38*'契約別単価'!L7)</ns0:f>
        <ns0:v>14407.126021167289</ns0:v>
      </ns0:c>
      <ns0:c r="M46" s="16">
        <ns0:f>IF(('前提と出典'!$C$36+'前提と出典'!$C$38)=0,0,IF(B46&lt;=10,'前提と出典'!B73+'前提と出典'!C73,IF(B46&lt;=100,'前提と出典'!B74+'前提と出典'!C74,IF(B46&lt;=500,'前提と出典'!B75+'前提と出典'!C75,'前提と出典'!B76+'前提と出典'!C76))))</ns0:f>
        <ns0:v>20000</ns0:v>
      </ns0:c>
      <ns0:c r="N46" s="16">
        <ns0:f>IF(('前提と出典'!$C$37+'前提と出典'!$C$38)=0,0,IF(C46&lt;=10,'前提と出典'!D73+'前提と出典'!E73,IF(C46&lt;=100,'前提と出典'!D74+'前提と出典'!E74,IF(C46&lt;=500,'前提と出典'!D75+'前提と出典'!E75,'前提と出典'!D76+'前提と出典'!E76))))</ns0:f>
        <ns0:v>34510.9346263078</ns0:v>
      </ns0:c>
      <ns0:c r="O46" s="16">
        <ns0:f>IF('前提と出典'!$C$36+'前提と出典'!$C$38=0,0,'前提と出典'!$B$4*IF('前提と出典'!$B$20=0,MAX('前提と出典'!$B$6,D46*'前提と出典'!$B$5),'前提と出典'!$B$6+D46*'前提と出典'!$B$5))</ns0:f>
        <ns0:v>41705.29608938547</ns0:v>
      </ns0:c>
      <ns0:c r="P46" s="16">
        <ns0:f>(E46+G46)*(1-'前提と出典'!$B$7)-I46-K46-M46-O46</ns0:f>
        <ns0:v>77761.25937351187</ns0:v>
      </ns0:c>
      <ns0:c r="Q46" s="16">
        <ns0:f>(F46+H46)*(1-'前提と出典'!$B$7)-J46-L46-N46</ns0:f>
        <ns0:v>5669.467231105973</ns0:v>
      </ns0:c>
      <ns0:c r="R46" s="16">
        <ns0:f>P46-E46*'前提と出典'!$E$4</ns0:f>
        <ns0:v>53380.95669868409</ns0:v>
      </ns0:c>
      <ns0:c r="S46" s="16">
        <ns0:f>Q46-F46*'前提と出典'!$E$4</ns0:f>
        <ns0:v>-3898.915813164498</ns0:v>
      </ns0:c>
      <ns0:c r="T46" s="7">
        <ns0:f>R46+S46</ns0:f>
        <ns0:v>49482.040885519586</ns0:v>
      </ns0:c>
      <ns0:c r="U46" s="16">
        <ns0:f>P46-E46*'前提と出典'!$E$5</ns0:f>
        <ns0:v>45254.18914040812</ns0:v>
      </ns0:c>
      <ns0:c r="V46" s="16">
        <ns0:f>Q46-F46*'前提と出典'!$E$5</ns0:f>
        <ns0:v>-7088.376827921322</ns0:v>
      </ns0:c>
      <ns0:c r="W46" s="7">
        <ns0:f>U46+V46</ns0:f>
        <ns0:v>38165.8123124868</ns0:v>
      </ns0:c>
      <ns0:c r="X46" s="16">
        <ns0:f>P46-E46*'前提と出典'!$E$6</ns0:f>
        <ns0:v>37127.42158213219</ns0:v>
      </ns0:c>
      <ns0:c r="Y46" s="16">
        <ns0:f>Q46-F46*'前提と出典'!$E$6</ns0:f>
        <ns0:v>-10277.837842678146</ns0:v>
      </ns0:c>
      <ns0:c r="Z46" s="7">
        <ns0:f>X46+Y46</ns0:f>
        <ns0:v>26849.583739454047</ns0:v>
      </ns0:c>
      <ns0:c r="AA46" s="7">
        <ns0:f>IF(T46&gt;=0,A46,1001)</ns0:f>
        <ns0:v>42</ns0:v>
      </ns0:c>
      <ns0:c r="AB46" s="7">
        <ns0:f>IF(T46&lt;0,A46,0)</ns0:f>
        <ns0:v>0</ns0:v>
      </ns0:c>
      <ns0:c r="AC46" s="16">
        <ns0:f>IF(AND(OR('前提と出典'!$C$36+'前提と出典'!$C$38=0,R46&gt;=0),OR('前提と出典'!$C$37+'前提と出典'!$C$38=0,S46&gt;=0)),0,A46)</ns0:f>
        <ns0:v>42</ns0:v>
      </ns0:c>
      <ns0:c r="AD46" s="7">
        <ns0:f>IF(W46&gt;=0,A46,1001)</ns0:f>
        <ns0:v>42</ns0:v>
      </ns0:c>
      <ns0:c r="AE46" s="7">
        <ns0:f>IF(W46&lt;0,A46,0)</ns0:f>
        <ns0:v>0</ns0:v>
      </ns0:c>
      <ns0:c r="AF46" s="16">
        <ns0:f>IF(AND(OR('前提と出典'!$C$36+'前提と出典'!$C$38=0,U46&gt;=0),OR('前提と出典'!$C$37+'前提と出典'!$C$38=0,V46&gt;=0)),0,A46)</ns0:f>
        <ns0:v>42</ns0:v>
      </ns0:c>
      <ns0:c r="AG46" s="7">
        <ns0:f>IF(Z46&gt;=0,A46,1001)</ns0:f>
        <ns0:v>42</ns0:v>
      </ns0:c>
      <ns0:c r="AH46" s="4">
        <ns0:f>IF(Z46&lt;0,A46,0)</ns0:f>
        <ns0:v>0</ns0:v>
      </ns0:c>
      <ns0:c r="AI46" s="12">
        <ns0:f>IF(AND(OR('前提と出典'!$C$36+'前提と出典'!$C$38=0,X46&gt;=0),OR('前提と出典'!$C$37+'前提と出典'!$C$38=0,Y46&gt;=0)),0,A46)</ns0:f>
        <ns0:v>42</ns0:v>
      </ns0:c>
    </ns0:row>
    <ns0:row r="47" ht="24" customHeight="1">
      <ns0:c r="A47" s="4" t="n">
        <ns0:v>43</ns0:v>
      </ns0:c>
      <ns0:c r="B47" s="12">
        <ns0:f>A47*('前提と出典'!$C$36+'前提と出典'!$C$38)</ns0:f>
        <ns0:v>30.099999999999998</ns0:v>
      </ns0:c>
      <ns0:c r="C47" s="12">
        <ns0:f>A47*('前提と出典'!$C$37+'前提と出典'!$C$38)</ns0:f>
        <ns0:v>25.8</ns0:v>
      </ns0:c>
      <ns0:c r="D47" s="16">
        <ns0:f>A47*('前提と出典'!$C$36*'契約別単価'!C5+'前提と出典'!$C$37*'契約別単価'!C6+'前提と出典'!$C$38*'契約別単価'!C7)</ns0:f>
        <ns0:v>309.4078212290503</ns0:v>
      </ns0:c>
      <ns0:c r="E47" s="16">
        <ns0:f>A47*('前提と出典'!$C$36*'契約別単価'!E5+'前提と出典'!$C$37*'契約別単価'!E6+'前提と出典'!$C$38*'契約別単価'!E7)</ns0:f>
        <ns0:v>83202.62023949173</ns0:v>
      </ns0:c>
      <ns0:c r="F47" s="16">
        <ns0:f>A47*('前提と出典'!$C$36*'契約別単価'!F5+'前提と出典'!$C$37*'契約別単価'!F6+'前提と出典'!$C$38*'契約別単価'!F7)</ns0:f>
        <ns0:v>32654.00562727224</ns0:v>
      </ns0:c>
      <ns0:c r="G47" s="16">
        <ns0:f>A47*('前提と出典'!$C$36*'契約別単価'!G5+'前提と出典'!$C$37*'契約別単価'!G6+'前提と出典'!$C$38*'契約別単価'!G7)</ns0:f>
        <ns0:v>85591.62011173184</ns0:v>
      </ns0:c>
      <ns0:c r="H47" s="16">
        <ns0:f>A47*('前提と出典'!$C$36*'契約別単価'!H5+'前提と出典'!$C$37*'契約別単価'!H6+'前提と出典'!$C$38*'契約別単価'!H7)</ns0:f>
        <ns0:v>29704.58493585244</ns0:v>
      </ns0:c>
      <ns0:c r="I47" s="16">
        <ns0:f>A47*('前提と出典'!$C$36*'契約別単価'!I5+'前提と出典'!$C$37*'契約別単価'!I6+'前提と出典'!$C$38*'契約別単価'!I7)</ns0:f>
        <ns0:v>1814.40782122905</ns0:v>
      </ns0:c>
      <ns0:c r="J47" s="16">
        <ns0:f>A47*('前提と出典'!$C$36*'契約別単価'!J5+'前提と出典'!$C$37*'契約別単価'!J6+'前提と出典'!$C$38*'契約別単価'!J7)</ns0:f>
        <ns0:v>4226.45037954301</ns0:v>
      </ns0:c>
      <ns0:c r="K47" s="16">
        <ns0:f>A47*('前提と出典'!$C$36*'契約別単価'!K5+'前提と出典'!$C$37*'契約別単価'!K6+'前提と出典'!$C$38*'契約別単価'!K7)</ns0:f>
        <ns0:v>18116.052141527</ns0:v>
      </ns0:c>
      <ns0:c r="L47" s="16">
        <ns0:f>A47*('前提と出典'!$C$36*'契約別単価'!L5+'前提と出典'!$C$37*'契約別単価'!L6+'前提と出典'!$C$38*'契約別単価'!L7)</ns0:f>
        <ns0:v>14750.15283119508</ns0:v>
      </ns0:c>
      <ns0:c r="M47" s="16">
        <ns0:f>IF(('前提と出典'!$C$36+'前提と出典'!$C$38)=0,0,IF(B47&lt;=10,'前提と出典'!B73+'前提と出典'!C73,IF(B47&lt;=100,'前提と出典'!B74+'前提と出典'!C74,IF(B47&lt;=500,'前提と出典'!B75+'前提と出典'!C75,'前提と出典'!B76+'前提と出典'!C76))))</ns0:f>
        <ns0:v>20000</ns0:v>
      </ns0:c>
      <ns0:c r="N47" s="16">
        <ns0:f>IF(('前提と出典'!$C$37+'前提と出典'!$C$38)=0,0,IF(C47&lt;=10,'前提と出典'!D73+'前提と出典'!E73,IF(C47&lt;=100,'前提と出典'!D74+'前提と出典'!E74,IF(C47&lt;=500,'前提と出典'!D75+'前提と出典'!E75,'前提と出典'!D76+'前提と出典'!E76))))</ns0:f>
        <ns0:v>34510.9346263078</ns0:v>
      </ns0:c>
      <ns0:c r="O47" s="16">
        <ns0:f>IF('前提と出典'!$C$36+'前提と出典'!$C$38=0,0,'前提と出典'!$B$4*IF('前提と出典'!$B$20=0,MAX('前提と出典'!$B$6,D47*'前提と出典'!$B$5),'前提と出典'!$B$6+D47*'前提と出典'!$B$5))</ns0:f>
        <ns0:v>42698.27932960894</ns0:v>
      </ns0:c>
      <ns0:c r="P47" s="16">
        <ns0:f>(E47+G47)*(1-'前提と出典'!$B$7)-I47-K47-M47-O47</ns0:f>
        <ns0:v>80088.90840621453</ns0:v>
      </ns0:c>
      <ns0:c r="Q47" s="16">
        <ns0:f>(F47+H47)*(1-'前提と出典'!$B$7)-J47-L47-N47</ns0:f>
        <ns0:v>6626.143465806303</ns0:v>
      </ns0:c>
      <ns0:c r="R47" s="16">
        <ns0:f>P47-E47*'前提と出典'!$E$4</ns0:f>
        <ns0:v>55128.122334367</ns0:v>
      </ns0:c>
      <ns0:c r="S47" s="16">
        <ns0:f>Q47-F47*'前提と出典'!$E$4</ns0:f>
        <ns0:v>-3170.0582223753663</ns0:v>
      </ns0:c>
      <ns0:c r="T47" s="7">
        <ns0:f>R47+S47</ns0:f>
        <ns0:v>51958.06411199163</ns0:v>
      </ns0:c>
      <ns0:c r="U47" s="16">
        <ns0:f>P47-E47*'前提と出典'!$E$5</ns0:f>
        <ns0:v>46807.86031041783</ns0:v>
      </ns0:c>
      <ns0:c r="V47" s="16">
        <ns0:f>Q47-F47*'前提と出典'!$E$5</ns0:f>
        <ns0:v>-6435.4587851025935</ns0:v>
      </ns0:c>
      <ns0:c r="W47" s="7">
        <ns0:f>U47+V47</ns0:f>
        <ns0:v>40372.40152531524</ns0:v>
      </ns0:c>
      <ns0:c r="X47" s="16">
        <ns0:f>P47-E47*'前提と出典'!$E$6</ns0:f>
        <ns0:v>38487.59828646865</ns0:v>
      </ns0:c>
      <ns0:c r="Y47" s="16">
        <ns0:f>Q47-F47*'前提と出典'!$E$6</ns0:f>
        <ns0:v>-9700.85934782982</ns0:v>
      </ns0:c>
      <ns0:c r="Z47" s="7">
        <ns0:f>X47+Y47</ns0:f>
        <ns0:v>28786.73893863883</ns0:v>
      </ns0:c>
      <ns0:c r="AA47" s="7">
        <ns0:f>IF(T47&gt;=0,A47,1001)</ns0:f>
        <ns0:v>43</ns0:v>
      </ns0:c>
      <ns0:c r="AB47" s="7">
        <ns0:f>IF(T47&lt;0,A47,0)</ns0:f>
        <ns0:v>0</ns0:v>
      </ns0:c>
      <ns0:c r="AC47" s="16">
        <ns0:f>IF(AND(OR('前提と出典'!$C$36+'前提と出典'!$C$38=0,R47&gt;=0),OR('前提と出典'!$C$37+'前提と出典'!$C$38=0,S47&gt;=0)),0,A47)</ns0:f>
        <ns0:v>43</ns0:v>
      </ns0:c>
      <ns0:c r="AD47" s="7">
        <ns0:f>IF(W47&gt;=0,A47,1001)</ns0:f>
        <ns0:v>43</ns0:v>
      </ns0:c>
      <ns0:c r="AE47" s="7">
        <ns0:f>IF(W47&lt;0,A47,0)</ns0:f>
        <ns0:v>0</ns0:v>
      </ns0:c>
      <ns0:c r="AF47" s="16">
        <ns0:f>IF(AND(OR('前提と出典'!$C$36+'前提と出典'!$C$38=0,U47&gt;=0),OR('前提と出典'!$C$37+'前提と出典'!$C$38=0,V47&gt;=0)),0,A47)</ns0:f>
        <ns0:v>43</ns0:v>
      </ns0:c>
      <ns0:c r="AG47" s="7">
        <ns0:f>IF(Z47&gt;=0,A47,1001)</ns0:f>
        <ns0:v>43</ns0:v>
      </ns0:c>
      <ns0:c r="AH47" s="4">
        <ns0:f>IF(Z47&lt;0,A47,0)</ns0:f>
        <ns0:v>0</ns0:v>
      </ns0:c>
      <ns0:c r="AI47" s="12">
        <ns0:f>IF(AND(OR('前提と出典'!$C$36+'前提と出典'!$C$38=0,X47&gt;=0),OR('前提と出典'!$C$37+'前提と出典'!$C$38=0,Y47&gt;=0)),0,A47)</ns0:f>
        <ns0:v>43</ns0:v>
      </ns0:c>
    </ns0:row>
    <ns0:row r="48" ht="24" customHeight="1">
      <ns0:c r="A48" s="4" t="n">
        <ns0:v>44</ns0:v>
      </ns0:c>
      <ns0:c r="B48" s="12">
        <ns0:f>A48*('前提と出典'!$C$36+'前提と出典'!$C$38)</ns0:f>
        <ns0:v>30.799999999999997</ns0:v>
      </ns0:c>
      <ns0:c r="C48" s="12">
        <ns0:f>A48*('前提と出典'!$C$37+'前提と出典'!$C$38)</ns0:f>
        <ns0:v>26.4</ns0:v>
      </ns0:c>
      <ns0:c r="D48" s="16">
        <ns0:f>A48*('前提と出典'!$C$36*'契約別単価'!C5+'前提と出典'!$C$37*'契約別単価'!C6+'前提と出典'!$C$38*'契約別単価'!C7)</ns0:f>
        <ns0:v>316.6033519553073</ns0:v>
      </ns0:c>
      <ns0:c r="E48" s="16">
        <ns0:f>A48*('前提と出典'!$C$36*'契約別単価'!E5+'前提と出典'!$C$37*'契約別単価'!E6+'前提と出典'!$C$38*'契約別単価'!E7)</ns0:f>
        <ns0:v>85137.5648962241</ns0:v>
      </ns0:c>
      <ns0:c r="F48" s="16">
        <ns0:f>A48*('前提と出典'!$C$36*'契約別単価'!F5+'前提と出典'!$C$37*'契約別単価'!F6+'前提と出典'!$C$38*'契約別単価'!F7)</ns0:f>
        <ns0:v>33413.40110697624</ns0:v>
      </ns0:c>
      <ns0:c r="G48" s="16">
        <ns0:f>A48*('前提と出典'!$C$36*'契約別単価'!G5+'前提と出典'!$C$37*'契約別単価'!G6+'前提と出典'!$C$38*'契約別単価'!G7)</ns0:f>
        <ns0:v>87582.12290502794</ns0:v>
      </ns0:c>
      <ns0:c r="H48" s="16">
        <ns0:f>A48*('前提と出典'!$C$36*'契約別単価'!H5+'前提と出典'!$C$37*'契約別単価'!H6+'前提と出典'!$C$38*'契約別単価'!H7)</ns0:f>
        <ns0:v>30395.38923668622</ns0:v>
      </ns0:c>
      <ns0:c r="I48" s="16">
        <ns0:f>A48*('前提と出典'!$C$36*'契約別単価'!I5+'前提と出典'!$C$37*'契約別単価'!I6+'前提と出典'!$C$38*'契約別単価'!I7)</ns0:f>
        <ns0:v>1856.603351955307</ns0:v>
      </ns0:c>
      <ns0:c r="J48" s="16">
        <ns0:f>A48*('前提と出典'!$C$36*'契約別単価'!J5+'前提と出典'!$C$37*'契約別単価'!J6+'前提と出典'!$C$38*'契約別単価'!J7)</ns0:f>
        <ns0:v>4324.739923253313</ns0:v>
      </ns0:c>
      <ns0:c r="K48" s="16">
        <ns0:f>A48*('前提と出典'!$C$36*'契約別単価'!K5+'前提と出典'!$C$37*'契約別単価'!K6+'前提と出典'!$C$38*'契約別単価'!K7)</ns0:f>
        <ns0:v>18537.355679702046</ns0:v>
      </ns0:c>
      <ns0:c r="L48" s="16">
        <ns0:f>A48*('前提と出典'!$C$36*'契約別単価'!L5+'前提と出典'!$C$37*'契約別単価'!L6+'前提と出典'!$C$38*'契約別単価'!L7)</ns0:f>
        <ns0:v>15093.179641222874</ns0:v>
      </ns0:c>
      <ns0:c r="M48" s="16">
        <ns0:f>IF(('前提と出典'!$C$36+'前提と出典'!$C$38)=0,0,IF(B48&lt;=10,'前提と出典'!B73+'前提と出典'!C73,IF(B48&lt;=100,'前提と出典'!B74+'前提と出典'!C74,IF(B48&lt;=500,'前提と出典'!B75+'前提と出典'!C75,'前提と出典'!B76+'前提と出典'!C76))))</ns0:f>
        <ns0:v>20000</ns0:v>
      </ns0:c>
      <ns0:c r="N48" s="16">
        <ns0:f>IF(('前提と出典'!$C$37+'前提と出典'!$C$38)=0,0,IF(C48&lt;=10,'前提と出典'!D73+'前提と出典'!E73,IF(C48&lt;=100,'前提と出典'!D74+'前提と出典'!E74,IF(C48&lt;=500,'前提と出典'!D75+'前提と出典'!E75,'前提と出典'!D76+'前提と出典'!E76))))</ns0:f>
        <ns0:v>34510.9346263078</ns0:v>
      </ns0:c>
      <ns0:c r="O48" s="16">
        <ns0:f>IF('前提と出典'!$C$36+'前提と出典'!$C$38=0,0,'前提と出典'!$B$4*IF('前提と出典'!$B$20=0,MAX('前提と出典'!$B$6,D48*'前提と出典'!$B$5),'前提と出典'!$B$6+D48*'前提と出典'!$B$5))</ns0:f>
        <ns0:v>43691.26256983241</ns0:v>
      </ns0:c>
      <ns0:c r="P48" s="16">
        <ns0:f>(E48+G48)*(1-'前提と出典'!$B$7)-I48-K48-M48-O48</ns0:f>
        <ns0:v>82416.55743891718</ns0:v>
      </ns0:c>
      <ns0:c r="Q48" s="16">
        <ns0:f>(F48+H48)*(1-'前提と出典'!$B$7)-J48-L48-N48</ns0:f>
        <ns0:v>7582.819700506636</ns0:v>
      </ns0:c>
      <ns0:c r="R48" s="16">
        <ns0:f>P48-E48*'前提と出典'!$E$4</ns0:f>
        <ns0:v>56875.287970049976</ns0:v>
      </ns0:c>
      <ns0:c r="S48" s="16">
        <ns0:f>Q48-F48*'前提と出典'!$E$4</ns0:f>
        <ns0:v>-2441.200631586238</ns0:v>
      </ns0:c>
      <ns0:c r="T48" s="7">
        <ns0:f>R48+S48</ns0:f>
        <ns0:v>54434.08733846374</ns0:v>
      </ns0:c>
      <ns0:c r="U48" s="16">
        <ns0:f>P48-E48*'前提と出典'!$E$5</ns0:f>
        <ns0:v>48361.53148042754</ns0:v>
      </ns0:c>
      <ns0:c r="V48" s="16">
        <ns0:f>Q48-F48*'前提と出典'!$E$5</ns0:f>
        <ns0:v>-5782.540742283862</ns0:v>
      </ns0:c>
      <ns0:c r="W48" s="7">
        <ns0:f>U48+V48</ns0:f>
        <ns0:v>42578.99073814368</ns0:v>
      </ns0:c>
      <ns0:c r="X48" s="16">
        <ns0:f>P48-E48*'前提と出典'!$E$6</ns0:f>
        <ns0:v>39847.77499080515</ns0:v>
      </ns0:c>
      <ns0:c r="Y48" s="16">
        <ns0:f>Q48-F48*'前提と出典'!$E$6</ns0:f>
        <ns0:v>-9123.880852981485</ns0:v>
      </ns0:c>
      <ns0:c r="Z48" s="7">
        <ns0:f>X48+Y48</ns0:f>
        <ns0:v>30723.894137823663</ns0:v>
      </ns0:c>
      <ns0:c r="AA48" s="7">
        <ns0:f>IF(T48&gt;=0,A48,1001)</ns0:f>
        <ns0:v>44</ns0:v>
      </ns0:c>
      <ns0:c r="AB48" s="7">
        <ns0:f>IF(T48&lt;0,A48,0)</ns0:f>
        <ns0:v>0</ns0:v>
      </ns0:c>
      <ns0:c r="AC48" s="16">
        <ns0:f>IF(AND(OR('前提と出典'!$C$36+'前提と出典'!$C$38=0,R48&gt;=0),OR('前提と出典'!$C$37+'前提と出典'!$C$38=0,S48&gt;=0)),0,A48)</ns0:f>
        <ns0:v>44</ns0:v>
      </ns0:c>
      <ns0:c r="AD48" s="7">
        <ns0:f>IF(W48&gt;=0,A48,1001)</ns0:f>
        <ns0:v>44</ns0:v>
      </ns0:c>
      <ns0:c r="AE48" s="7">
        <ns0:f>IF(W48&lt;0,A48,0)</ns0:f>
        <ns0:v>0</ns0:v>
      </ns0:c>
      <ns0:c r="AF48" s="16">
        <ns0:f>IF(AND(OR('前提と出典'!$C$36+'前提と出典'!$C$38=0,U48&gt;=0),OR('前提と出典'!$C$37+'前提と出典'!$C$38=0,V48&gt;=0)),0,A48)</ns0:f>
        <ns0:v>44</ns0:v>
      </ns0:c>
      <ns0:c r="AG48" s="7">
        <ns0:f>IF(Z48&gt;=0,A48,1001)</ns0:f>
        <ns0:v>44</ns0:v>
      </ns0:c>
      <ns0:c r="AH48" s="4">
        <ns0:f>IF(Z48&lt;0,A48,0)</ns0:f>
        <ns0:v>0</ns0:v>
      </ns0:c>
      <ns0:c r="AI48" s="12">
        <ns0:f>IF(AND(OR('前提と出典'!$C$36+'前提と出典'!$C$38=0,X48&gt;=0),OR('前提と出典'!$C$37+'前提と出典'!$C$38=0,Y48&gt;=0)),0,A48)</ns0:f>
        <ns0:v>44</ns0:v>
      </ns0:c>
    </ns0:row>
    <ns0:row r="49" ht="24" customHeight="1">
      <ns0:c r="A49" s="4" t="n">
        <ns0:v>45</ns0:v>
      </ns0:c>
      <ns0:c r="B49" s="12">
        <ns0:f>A49*('前提と出典'!$C$36+'前提と出典'!$C$38)</ns0:f>
        <ns0:v>31.499999999999996</ns0:v>
      </ns0:c>
      <ns0:c r="C49" s="12">
        <ns0:f>A49*('前提と出典'!$C$37+'前提と出典'!$C$38)</ns0:f>
        <ns0:v>27</ns0:v>
      </ns0:c>
      <ns0:c r="D49" s="16">
        <ns0:f>A49*('前提と出典'!$C$36*'契約別単価'!C5+'前提と出典'!$C$37*'契約別単価'!C6+'前提と出典'!$C$38*'契約別単価'!C7)</ns0:f>
        <ns0:v>323.79888268156424</ns0:v>
      </ns0:c>
      <ns0:c r="E49" s="16">
        <ns0:f>A49*('前提と出典'!$C$36*'契約別単価'!E5+'前提と出典'!$C$37*'契約別単価'!E6+'前提と出典'!$C$38*'契約別単価'!E7)</ns0:f>
        <ns0:v>87072.50955295647</ns0:v>
      </ns0:c>
      <ns0:c r="F49" s="16">
        <ns0:f>A49*('前提と出典'!$C$36*'契約別単価'!F5+'前提と出典'!$C$37*'契約別単価'!F6+'前提と出典'!$C$38*'契約別単価'!F7)</ns0:f>
        <ns0:v>34172.79658668025</ns0:v>
      </ns0:c>
      <ns0:c r="G49" s="16">
        <ns0:f>A49*('前提と出典'!$C$36*'契約別単価'!G5+'前提と出典'!$C$37*'契約別単価'!G6+'前提と出典'!$C$38*'契約別単価'!G7)</ns0:f>
        <ns0:v>89572.62569832402</ns0:v>
      </ns0:c>
      <ns0:c r="H49" s="16">
        <ns0:f>A49*('前提と出典'!$C$36*'契約別単価'!H5+'前提と出典'!$C$37*'契約別単価'!H6+'前提と出典'!$C$38*'契約別単価'!H7)</ns0:f>
        <ns0:v>31086.193537519997</ns0:v>
      </ns0:c>
      <ns0:c r="I49" s="16">
        <ns0:f>A49*('前提と出典'!$C$36*'契約別単価'!I5+'前提と出典'!$C$37*'契約別単価'!I6+'前提と出典'!$C$38*'契約別単価'!I7)</ns0:f>
        <ns0:v>1898.798882681564</ns0:v>
      </ns0:c>
      <ns0:c r="J49" s="16">
        <ns0:f>A49*('前提と出典'!$C$36*'契約別単価'!J5+'前提と出典'!$C$37*'契約別単価'!J6+'前提と出典'!$C$38*'契約別単価'!J7)</ns0:f>
        <ns0:v>4423.029466963616</ns0:v>
      </ns0:c>
      <ns0:c r="K49" s="16">
        <ns0:f>A49*('前提と出典'!$C$36*'契約別単価'!K5+'前提と出典'!$C$37*'契約別単価'!K6+'前提と出典'!$C$38*'契約別単価'!K7)</ns0:f>
        <ns0:v>18958.659217877095</ns0:v>
      </ns0:c>
      <ns0:c r="L49" s="16">
        <ns0:f>A49*('前提と出典'!$C$36*'契約別単価'!L5+'前提と出典'!$C$37*'契約別単価'!L6+'前提と出典'!$C$38*'契約別単価'!L7)</ns0:f>
        <ns0:v>15436.206451250666</ns0:v>
      </ns0:c>
      <ns0:c r="M49" s="16">
        <ns0:f>IF(('前提と出典'!$C$36+'前提と出典'!$C$38)=0,0,IF(B49&lt;=10,'前提と出典'!B73+'前提と出典'!C73,IF(B49&lt;=100,'前提と出典'!B74+'前提と出典'!C74,IF(B49&lt;=500,'前提と出典'!B75+'前提と出典'!C75,'前提と出典'!B76+'前提と出典'!C76))))</ns0:f>
        <ns0:v>20000</ns0:v>
      </ns0:c>
      <ns0:c r="N49" s="16">
        <ns0:f>IF(('前提と出典'!$C$37+'前提と出典'!$C$38)=0,0,IF(C49&lt;=10,'前提と出典'!D73+'前提と出典'!E73,IF(C49&lt;=100,'前提と出典'!D74+'前提と出典'!E74,IF(C49&lt;=500,'前提と出典'!D75+'前提と出典'!E75,'前提と出典'!D76+'前提と出典'!E76))))</ns0:f>
        <ns0:v>34510.9346263078</ns0:v>
      </ns0:c>
      <ns0:c r="O49" s="16">
        <ns0:f>IF('前提と出典'!$C$36+'前提と出典'!$C$38=0,0,'前提と出典'!$B$4*IF('前提と出典'!$B$20=0,MAX('前提と出典'!$B$6,D49*'前提と出典'!$B$5),'前提と出典'!$B$6+D49*'前提と出典'!$B$5))</ns0:f>
        <ns0:v>44684.24581005587</ns0:v>
      </ns0:c>
      <ns0:c r="P49" s="16">
        <ns0:f>(E49+G49)*(1-'前提と出典'!$B$7)-I49-K49-M49-O49</ns0:f>
        <ns0:v>84744.20647161988</ns0:v>
      </ns0:c>
      <ns0:c r="Q49" s="16">
        <ns0:f>(F49+H49)*(1-'前提と出典'!$B$7)-J49-L49-N49</ns0:f>
        <ns0:v>8539.49593520696</ns0:v>
      </ns0:c>
      <ns0:c r="R49" s="16">
        <ns0:f>P49-E49*'前提と出典'!$E$4</ns0:f>
        <ns0:v>58622.453605732924</ns0:v>
      </ns0:c>
      <ns0:c r="S49" s="16">
        <ns0:f>Q49-F49*'前提と出典'!$E$4</ns0:f>
        <ns0:v>-1712.34304079711</ns0:v>
      </ns0:c>
      <ns0:c r="T49" s="7">
        <ns0:f>R49+S49</ns0:f>
        <ns0:v>56910.110564935814</ns0:v>
      </ns0:c>
      <ns0:c r="U49" s="16">
        <ns0:f>P49-E49*'前提と出典'!$E$5</ns0:f>
        <ns0:v>49915.20265043729</ns0:v>
      </ns0:c>
      <ns0:c r="V49" s="16">
        <ns0:f>Q49-F49*'前提と出典'!$E$5</ns0:f>
        <ns0:v>-5129.622699465141</ns0:v>
      </ns0:c>
      <ns0:c r="W49" s="7">
        <ns0:f>U49+V49</ns0:f>
        <ns0:v>44785.579950972155</ns0:v>
      </ns0:c>
      <ns0:c r="X49" s="16">
        <ns0:f>P49-E49*'前提と出典'!$E$6</ns0:f>
        <ns0:v>41207.951695141644</ns0:v>
      </ns0:c>
      <ns0:c r="Y49" s="16">
        <ns0:f>Q49-F49*'前提と出典'!$E$6</ns0:f>
        <ns0:v>-8546.90235813316</ns0:v>
      </ns0:c>
      <ns0:c r="Z49" s="7">
        <ns0:f>X49+Y49</ns0:f>
        <ns0:v>32661.049337008484</ns0:v>
      </ns0:c>
      <ns0:c r="AA49" s="7">
        <ns0:f>IF(T49&gt;=0,A49,1001)</ns0:f>
        <ns0:v>45</ns0:v>
      </ns0:c>
      <ns0:c r="AB49" s="7">
        <ns0:f>IF(T49&lt;0,A49,0)</ns0:f>
        <ns0:v>0</ns0:v>
      </ns0:c>
      <ns0:c r="AC49" s="16">
        <ns0:f>IF(AND(OR('前提と出典'!$C$36+'前提と出典'!$C$38=0,R49&gt;=0),OR('前提と出典'!$C$37+'前提と出典'!$C$38=0,S49&gt;=0)),0,A49)</ns0:f>
        <ns0:v>45</ns0:v>
      </ns0:c>
      <ns0:c r="AD49" s="7">
        <ns0:f>IF(W49&gt;=0,A49,1001)</ns0:f>
        <ns0:v>45</ns0:v>
      </ns0:c>
      <ns0:c r="AE49" s="7">
        <ns0:f>IF(W49&lt;0,A49,0)</ns0:f>
        <ns0:v>0</ns0:v>
      </ns0:c>
      <ns0:c r="AF49" s="16">
        <ns0:f>IF(AND(OR('前提と出典'!$C$36+'前提と出典'!$C$38=0,U49&gt;=0),OR('前提と出典'!$C$37+'前提と出典'!$C$38=0,V49&gt;=0)),0,A49)</ns0:f>
        <ns0:v>45</ns0:v>
      </ns0:c>
      <ns0:c r="AG49" s="7">
        <ns0:f>IF(Z49&gt;=0,A49,1001)</ns0:f>
        <ns0:v>45</ns0:v>
      </ns0:c>
      <ns0:c r="AH49" s="4">
        <ns0:f>IF(Z49&lt;0,A49,0)</ns0:f>
        <ns0:v>0</ns0:v>
      </ns0:c>
      <ns0:c r="AI49" s="12">
        <ns0:f>IF(AND(OR('前提と出典'!$C$36+'前提と出典'!$C$38=0,X49&gt;=0),OR('前提と出典'!$C$37+'前提と出典'!$C$38=0,Y49&gt;=0)),0,A49)</ns0:f>
        <ns0:v>45</ns0:v>
      </ns0:c>
    </ns0:row>
    <ns0:row r="50" ht="24" customHeight="1">
      <ns0:c r="A50" s="4" t="n">
        <ns0:v>46</ns0:v>
      </ns0:c>
      <ns0:c r="B50" s="12">
        <ns0:f>A50*('前提と出典'!$C$36+'前提と出典'!$C$38)</ns0:f>
        <ns0:v>32.199999999999996</ns0:v>
      </ns0:c>
      <ns0:c r="C50" s="12">
        <ns0:f>A50*('前提と出典'!$C$37+'前提と出典'!$C$38)</ns0:f>
        <ns0:v>27.599999999999998</ns0:v>
      </ns0:c>
      <ns0:c r="D50" s="16">
        <ns0:f>A50*('前提と出典'!$C$36*'契約別単価'!C5+'前提と出典'!$C$37*'契約別単価'!C6+'前提と出典'!$C$38*'契約別単価'!C7)</ns0:f>
        <ns0:v>330.99441340782124</ns0:v>
      </ns0:c>
      <ns0:c r="E50" s="16">
        <ns0:f>A50*('前提と出典'!$C$36*'契約別単価'!E5+'前提と出典'!$C$37*'契約別単価'!E6+'前提と出典'!$C$38*'契約別単価'!E7)</ns0:f>
        <ns0:v>89007.45420968883</ns0:v>
      </ns0:c>
      <ns0:c r="F50" s="16">
        <ns0:f>A50*('前提と出典'!$C$36*'契約別単価'!F5+'前提と出典'!$C$37*'契約別単価'!F6+'前提と出典'!$C$38*'契約別単価'!F7)</ns0:f>
        <ns0:v>34932.192066384254</ns0:v>
      </ns0:c>
      <ns0:c r="G50" s="16">
        <ns0:f>A50*('前提と出典'!$C$36*'契約別単価'!G5+'前提と出典'!$C$37*'契約別単価'!G6+'前提と出典'!$C$38*'契約別単価'!G7)</ns0:f>
        <ns0:v>91563.12849162011</ns0:v>
      </ns0:c>
      <ns0:c r="H50" s="16">
        <ns0:f>A50*('前提と出典'!$C$36*'契約別単価'!H5+'前提と出典'!$C$37*'契約別単価'!H6+'前提と出典'!$C$38*'契約別単価'!H7)</ns0:f>
        <ns0:v>31776.997838353775</ns0:v>
      </ns0:c>
      <ns0:c r="I50" s="16">
        <ns0:f>A50*('前提と出典'!$C$36*'契約別単価'!I5+'前提と出典'!$C$37*'契約別単価'!I6+'前提と出典'!$C$38*'契約別単価'!I7)</ns0:f>
        <ns0:v>1940.994413407821</ns0:v>
      </ns0:c>
      <ns0:c r="J50" s="16">
        <ns0:f>A50*('前提と出典'!$C$36*'契約別単価'!J5+'前提と出典'!$C$37*'契約別単価'!J6+'前提と出典'!$C$38*'契約別単価'!J7)</ns0:f>
        <ns0:v>4521.3190106739185</ns0:v>
      </ns0:c>
      <ns0:c r="K50" s="16">
        <ns0:f>A50*('前提と出典'!$C$36*'契約別単価'!K5+'前提と出典'!$C$37*'契約別単価'!K6+'前提と出典'!$C$38*'契約別単価'!K7)</ns0:f>
        <ns0:v>19379.96275605214</ns0:v>
      </ns0:c>
      <ns0:c r="L50" s="16">
        <ns0:f>A50*('前提と出典'!$C$36*'契約別単価'!L5+'前提と出典'!$C$37*'契約別単価'!L6+'前提と出典'!$C$38*'契約別単価'!L7)</ns0:f>
        <ns0:v>15779.23326127846</ns0:v>
      </ns0:c>
      <ns0:c r="M50" s="16">
        <ns0:f>IF(('前提と出典'!$C$36+'前提と出典'!$C$38)=0,0,IF(B50&lt;=10,'前提と出典'!B73+'前提と出典'!C73,IF(B50&lt;=100,'前提と出典'!B74+'前提と出典'!C74,IF(B50&lt;=500,'前提と出典'!B75+'前提と出典'!C75,'前提と出典'!B76+'前提と出典'!C76))))</ns0:f>
        <ns0:v>20000</ns0:v>
      </ns0:c>
      <ns0:c r="N50" s="16">
        <ns0:f>IF(('前提と出典'!$C$37+'前提と出典'!$C$38)=0,0,IF(C50&lt;=10,'前提と出典'!D73+'前提と出典'!E73,IF(C50&lt;=100,'前提と出典'!D74+'前提と出典'!E74,IF(C50&lt;=500,'前提と出典'!D75+'前提と出典'!E75,'前提と出典'!D76+'前提と出典'!E76))))</ns0:f>
        <ns0:v>34510.9346263078</ns0:v>
      </ns0:c>
      <ns0:c r="O50" s="16">
        <ns0:f>IF('前提と出典'!$C$36+'前提と出典'!$C$38=0,0,'前提と出典'!$B$4*IF('前提と出典'!$B$20=0,MAX('前提と出典'!$B$6,D50*'前提と出典'!$B$5),'前提と出典'!$B$6+D50*'前提と出典'!$B$5))</ns0:f>
        <ns0:v>45677.22905027934</ns0:v>
      </ns0:c>
      <ns0:c r="P50" s="16">
        <ns0:f>(E50+G50)*(1-'前提と出典'!$B$7)-I50-K50-M50-O50</ns0:f>
        <ns0:v>87071.8555043225</ns0:v>
      </ns0:c>
      <ns0:c r="Q50" s="16">
        <ns0:f>(F50+H50)*(1-'前提と出典'!$B$7)-J50-L50-N50</ns0:f>
        <ns0:v>9496.172169907282</ns0:v>
      </ns0:c>
      <ns0:c r="R50" s="16">
        <ns0:f>P50-E50*'前提と出典'!$E$4</ns0:f>
        <ns0:v>60369.619241415894</ns0:v>
      </ns0:c>
      <ns0:c r="S50" s="16">
        <ns0:f>Q50-F50*'前提と出典'!$E$4</ns0:f>
        <ns0:v>-983.4854500079964</ns0:v>
      </ns0:c>
      <ns0:c r="T50" s="7">
        <ns0:f>R50+S50</ns0:f>
        <ns0:v>59386.1337914079</ns0:v>
      </ns0:c>
      <ns0:c r="U50" s="16">
        <ns0:f>P50-E50*'前提と出典'!$E$5</ns0:f>
        <ns0:v>51468.87382044698</ns0:v>
      </ns0:c>
      <ns0:c r="V50" s="16">
        <ns0:f>Q50-F50*'前提と出典'!$E$5</ns0:f>
        <ns0:v>-4476.70465664642</ns0:v>
      </ns0:c>
      <ns0:c r="W50" s="7">
        <ns0:f>U50+V50</ns0:f>
        <ns0:v>46992.16916380056</ns0:v>
      </ns0:c>
      <ns0:c r="X50" s="16">
        <ns0:f>P50-E50*'前提と出典'!$E$6</ns0:f>
        <ns0:v>42568.12839947812</ns0:v>
      </ns0:c>
      <ns0:c r="Y50" s="16">
        <ns0:f>Q50-F50*'前提と出典'!$E$6</ns0:f>
        <ns0:v>-7969.923863284843</ns0:v>
      </ns0:c>
      <ns0:c r="Z50" s="7">
        <ns0:f>X50+Y50</ns0:f>
        <ns0:v>34598.204536193276</ns0:v>
      </ns0:c>
      <ns0:c r="AA50" s="7">
        <ns0:f>IF(T50&gt;=0,A50,1001)</ns0:f>
        <ns0:v>46</ns0:v>
      </ns0:c>
      <ns0:c r="AB50" s="7">
        <ns0:f>IF(T50&lt;0,A50,0)</ns0:f>
        <ns0:v>0</ns0:v>
      </ns0:c>
      <ns0:c r="AC50" s="16">
        <ns0:f>IF(AND(OR('前提と出典'!$C$36+'前提と出典'!$C$38=0,R50&gt;=0),OR('前提と出典'!$C$37+'前提と出典'!$C$38=0,S50&gt;=0)),0,A50)</ns0:f>
        <ns0:v>46</ns0:v>
      </ns0:c>
      <ns0:c r="AD50" s="7">
        <ns0:f>IF(W50&gt;=0,A50,1001)</ns0:f>
        <ns0:v>46</ns0:v>
      </ns0:c>
      <ns0:c r="AE50" s="7">
        <ns0:f>IF(W50&lt;0,A50,0)</ns0:f>
        <ns0:v>0</ns0:v>
      </ns0:c>
      <ns0:c r="AF50" s="16">
        <ns0:f>IF(AND(OR('前提と出典'!$C$36+'前提と出典'!$C$38=0,U50&gt;=0),OR('前提と出典'!$C$37+'前提と出典'!$C$38=0,V50&gt;=0)),0,A50)</ns0:f>
        <ns0:v>46</ns0:v>
      </ns0:c>
      <ns0:c r="AG50" s="7">
        <ns0:f>IF(Z50&gt;=0,A50,1001)</ns0:f>
        <ns0:v>46</ns0:v>
      </ns0:c>
      <ns0:c r="AH50" s="4">
        <ns0:f>IF(Z50&lt;0,A50,0)</ns0:f>
        <ns0:v>0</ns0:v>
      </ns0:c>
      <ns0:c r="AI50" s="12">
        <ns0:f>IF(AND(OR('前提と出典'!$C$36+'前提と出典'!$C$38=0,X50&gt;=0),OR('前提と出典'!$C$37+'前提と出典'!$C$38=0,Y50&gt;=0)),0,A50)</ns0:f>
        <ns0:v>46</ns0:v>
      </ns0:c>
    </ns0:row>
    <ns0:row r="51" ht="24" customHeight="1">
      <ns0:c r="A51" s="4" t="n">
        <ns0:v>47</ns0:v>
      </ns0:c>
      <ns0:c r="B51" s="12">
        <ns0:f>A51*('前提と出典'!$C$36+'前提と出典'!$C$38)</ns0:f>
        <ns0:v>32.9</ns0:v>
      </ns0:c>
      <ns0:c r="C51" s="12">
        <ns0:f>A51*('前提と出典'!$C$37+'前提と出典'!$C$38)</ns0:f>
        <ns0:v>28.2</ns0:v>
      </ns0:c>
      <ns0:c r="D51" s="16">
        <ns0:f>A51*('前提と出典'!$C$36*'契約別単価'!C5+'前提と出典'!$C$37*'契約別単価'!C6+'前提と出典'!$C$38*'契約別単価'!C7)</ns0:f>
        <ns0:v>338.1899441340782</ns0:v>
      </ns0:c>
      <ns0:c r="E51" s="16">
        <ns0:f>A51*('前提と出典'!$C$36*'契約別単価'!E5+'前提と出典'!$C$37*'契約別単価'!E6+'前提と出典'!$C$38*'契約別単価'!E7)</ns0:f>
        <ns0:v>90942.3988664212</ns0:v>
      </ns0:c>
      <ns0:c r="F51" s="16">
        <ns0:f>A51*('前提と出典'!$C$36*'契約別単価'!F5+'前提と出典'!$C$37*'契約別単価'!F6+'前提と出典'!$C$38*'契約別単価'!F7)</ns0:f>
        <ns0:v>35691.58754608826</ns0:v>
      </ns0:c>
      <ns0:c r="G51" s="16">
        <ns0:f>A51*('前提と出典'!$C$36*'契約別単価'!G5+'前提と出典'!$C$37*'契約別単価'!G6+'前提と出典'!$C$38*'契約別単価'!G7)</ns0:f>
        <ns0:v>93553.63128491619</ns0:v>
      </ns0:c>
      <ns0:c r="H51" s="16">
        <ns0:f>A51*('前提と出典'!$C$36*'契約別単価'!H5+'前提と出典'!$C$37*'契約別単価'!H6+'前提と出典'!$C$38*'契約別単価'!H7)</ns0:f>
        <ns0:v>32467.80213918755</ns0:v>
      </ns0:c>
      <ns0:c r="I51" s="16">
        <ns0:f>A51*('前提と出典'!$C$36*'契約別単価'!I5+'前提と出典'!$C$37*'契約別単価'!I6+'前提と出典'!$C$38*'契約別単価'!I7)</ns0:f>
        <ns0:v>1983.189944134078</ns0:v>
      </ns0:c>
      <ns0:c r="J51" s="16">
        <ns0:f>A51*('前提と出典'!$C$36*'契約別単価'!J5+'前提と出典'!$C$37*'契約別単価'!J6+'前提と出典'!$C$38*'契約別単価'!J7)</ns0:f>
        <ns0:v>4619.608554384221</ns0:v>
      </ns0:c>
      <ns0:c r="K51" s="16">
        <ns0:f>A51*('前提と出典'!$C$36*'契約別単価'!K5+'前提と出典'!$C$37*'契約別単価'!K6+'前提と出典'!$C$38*'契約別単価'!K7)</ns0:f>
        <ns0:v>19801.266294227185</ns0:v>
      </ns0:c>
      <ns0:c r="L51" s="16">
        <ns0:f>A51*('前提と出典'!$C$36*'契約別単価'!L5+'前提と出典'!$C$37*'契約別単価'!L6+'前提と出典'!$C$38*'契約別単価'!L7)</ns0:f>
        <ns0:v>16122.260071306251</ns0:v>
      </ns0:c>
      <ns0:c r="M51" s="16">
        <ns0:f>IF(('前提と出典'!$C$36+'前提と出典'!$C$38)=0,0,IF(B51&lt;=10,'前提と出典'!B73+'前提と出典'!C73,IF(B51&lt;=100,'前提と出典'!B74+'前提と出典'!C74,IF(B51&lt;=500,'前提と出典'!B75+'前提と出典'!C75,'前提と出典'!B76+'前提と出典'!C76))))</ns0:f>
        <ns0:v>20000</ns0:v>
      </ns0:c>
      <ns0:c r="N51" s="16">
        <ns0:f>IF(('前提と出典'!$C$37+'前提と出典'!$C$38)=0,0,IF(C51&lt;=10,'前提と出典'!D73+'前提と出典'!E73,IF(C51&lt;=100,'前提と出典'!D74+'前提と出典'!E74,IF(C51&lt;=500,'前提と出典'!D75+'前提と出典'!E75,'前提と出典'!D76+'前提と出典'!E76))))</ns0:f>
        <ns0:v>34510.9346263078</ns0:v>
      </ns0:c>
      <ns0:c r="O51" s="16">
        <ns0:f>IF('前提と出典'!$C$36+'前提と出典'!$C$38=0,0,'前提と出典'!$B$4*IF('前提と出典'!$B$20=0,MAX('前提と出典'!$B$6,D51*'前提と出典'!$B$5),'前提と出典'!$B$6+D51*'前提と出典'!$B$5))</ns0:f>
        <ns0:v>46670.21229050279</ns0:v>
      </ns0:c>
      <ns0:c r="P51" s="16">
        <ns0:f>(E51+G51)*(1-'前提と出典'!$B$7)-I51-K51-M51-O51</ns0:f>
        <ns0:v>89399.5045370252</ns0:v>
      </ns0:c>
      <ns0:c r="Q51" s="16">
        <ns0:f>(F51+H51)*(1-'前提と出典'!$B$7)-J51-L51-N51</ns0:f>
        <ns0:v>10452.848404607625</ns0:v>
      </ns0:c>
      <ns0:c r="R51" s="16">
        <ns0:f>P51-E51*'前提と出典'!$E$4</ns0:f>
        <ns0:v>62116.784877098835</ns0:v>
      </ns0:c>
      <ns0:c r="S51" s="16">
        <ns0:f>Q51-F51*'前提と出典'!$E$4</ns0:f>
        <ns0:v>-254.6278592188537</ns0:v>
      </ns0:c>
      <ns0:c r="T51" s="7">
        <ns0:f>R51+S51</ns0:f>
        <ns0:v>61862.15701787998</ns0:v>
      </ns0:c>
      <ns0:c r="U51" s="16">
        <ns0:f>P51-E51*'前提と出典'!$E$5</ns0:f>
        <ns0:v>53022.54499045672</ns0:v>
      </ns0:c>
      <ns0:c r="V51" s="16">
        <ns0:f>Q51-F51*'前提と出典'!$E$5</ns0:f>
        <ns0:v>-3823.7866138276804</ns0:v>
      </ns0:c>
      <ns0:c r="W51" s="7">
        <ns0:f>U51+V51</ns0:f>
        <ns0:v>49198.75837662904</ns0:v>
      </ns0:c>
      <ns0:c r="X51" s="16">
        <ns0:f>P51-E51*'前提と出典'!$E$6</ns0:f>
        <ns0:v>43928.30510381459</ns0:v>
      </ns0:c>
      <ns0:c r="Y51" s="16">
        <ns0:f>Q51-F51*'前提と出典'!$E$6</ns0:f>
        <ns0:v>-7392.945368436507</ns0:v>
      </ns0:c>
      <ns0:c r="Z51" s="7">
        <ns0:f>X51+Y51</ns0:f>
        <ns0:v>36535.359735378086</ns0:v>
      </ns0:c>
      <ns0:c r="AA51" s="7">
        <ns0:f>IF(T51&gt;=0,A51,1001)</ns0:f>
        <ns0:v>47</ns0:v>
      </ns0:c>
      <ns0:c r="AB51" s="7">
        <ns0:f>IF(T51&lt;0,A51,0)</ns0:f>
        <ns0:v>0</ns0:v>
      </ns0:c>
      <ns0:c r="AC51" s="16">
        <ns0:f>IF(AND(OR('前提と出典'!$C$36+'前提と出典'!$C$38=0,R51&gt;=0),OR('前提と出典'!$C$37+'前提と出典'!$C$38=0,S51&gt;=0)),0,A51)</ns0:f>
        <ns0:v>47</ns0:v>
      </ns0:c>
      <ns0:c r="AD51" s="7">
        <ns0:f>IF(W51&gt;=0,A51,1001)</ns0:f>
        <ns0:v>47</ns0:v>
      </ns0:c>
      <ns0:c r="AE51" s="7">
        <ns0:f>IF(W51&lt;0,A51,0)</ns0:f>
        <ns0:v>0</ns0:v>
      </ns0:c>
      <ns0:c r="AF51" s="16">
        <ns0:f>IF(AND(OR('前提と出典'!$C$36+'前提と出典'!$C$38=0,U51&gt;=0),OR('前提と出典'!$C$37+'前提と出典'!$C$38=0,V51&gt;=0)),0,A51)</ns0:f>
        <ns0:v>47</ns0:v>
      </ns0:c>
      <ns0:c r="AG51" s="7">
        <ns0:f>IF(Z51&gt;=0,A51,1001)</ns0:f>
        <ns0:v>47</ns0:v>
      </ns0:c>
      <ns0:c r="AH51" s="4">
        <ns0:f>IF(Z51&lt;0,A51,0)</ns0:f>
        <ns0:v>0</ns0:v>
      </ns0:c>
      <ns0:c r="AI51" s="12">
        <ns0:f>IF(AND(OR('前提と出典'!$C$36+'前提と出典'!$C$38=0,X51&gt;=0),OR('前提と出典'!$C$37+'前提と出典'!$C$38=0,Y51&gt;=0)),0,A51)</ns0:f>
        <ns0:v>47</ns0:v>
      </ns0:c>
    </ns0:row>
    <ns0:row r="52" ht="24" customHeight="1">
      <ns0:c r="A52" s="4" t="n">
        <ns0:v>48</ns0:v>
      </ns0:c>
      <ns0:c r="B52" s="12">
        <ns0:f>A52*('前提と出典'!$C$36+'前提と出典'!$C$38)</ns0:f>
        <ns0:v>33.599999999999994</ns0:v>
      </ns0:c>
      <ns0:c r="C52" s="12">
        <ns0:f>A52*('前提と出典'!$C$37+'前提と出典'!$C$38)</ns0:f>
        <ns0:v>28.799999999999997</ns0:v>
      </ns0:c>
      <ns0:c r="D52" s="16">
        <ns0:f>A52*('前提と出典'!$C$36*'契約別単価'!C5+'前提と出典'!$C$37*'契約別単価'!C6+'前提と出典'!$C$38*'契約別単価'!C7)</ns0:f>
        <ns0:v>345.3854748603352</ns0:v>
      </ns0:c>
      <ns0:c r="E52" s="16">
        <ns0:f>A52*('前提と出典'!$C$36*'契約別単価'!E5+'前提と出典'!$C$37*'契約別単価'!E6+'前提と出典'!$C$38*'契約別単価'!E7)</ns0:f>
        <ns0:v>92877.34352315357</ns0:v>
      </ns0:c>
      <ns0:c r="F52" s="16">
        <ns0:f>A52*('前提と出典'!$C$36*'契約別単価'!F5+'前提と出典'!$C$37*'契約別単価'!F6+'前提と出典'!$C$38*'契約別単価'!F7)</ns0:f>
        <ns0:v>36450.983025792266</ns0:v>
      </ns0:c>
      <ns0:c r="G52" s="16">
        <ns0:f>A52*('前提と出典'!$C$36*'契約別単価'!G5+'前提と出典'!$C$37*'契約別単価'!G6+'前提と出典'!$C$38*'契約別単価'!G7)</ns0:f>
        <ns0:v>95544.13407821229</ns0:v>
      </ns0:c>
      <ns0:c r="H52" s="16">
        <ns0:f>A52*('前提と出典'!$C$36*'契約別単価'!H5+'前提と出典'!$C$37*'契約別単価'!H6+'前提と出典'!$C$38*'契約別単価'!H7)</ns0:f>
        <ns0:v>33158.60644002133</ns0:v>
      </ns0:c>
      <ns0:c r="I52" s="16">
        <ns0:f>A52*('前提と出典'!$C$36*'契約別単価'!I5+'前提と出典'!$C$37*'契約別単価'!I6+'前提と出典'!$C$38*'契約別単価'!I7)</ns0:f>
        <ns0:v>2025.3854748603349</ns0:v>
      </ns0:c>
      <ns0:c r="J52" s="16">
        <ns0:f>A52*('前提と出典'!$C$36*'契約別単価'!J5+'前提と出典'!$C$37*'契約別単価'!J6+'前提と出典'!$C$38*'契約別単価'!J7)</ns0:f>
        <ns0:v>4717.898098094523</ns0:v>
      </ns0:c>
      <ns0:c r="K52" s="16">
        <ns0:f>A52*('前提と出典'!$C$36*'契約別単価'!K5+'前提と出典'!$C$37*'契約別単価'!K6+'前提と出典'!$C$38*'契約別単価'!K7)</ns0:f>
        <ns0:v>20222.569832402234</ns0:v>
      </ns0:c>
      <ns0:c r="L52" s="16">
        <ns0:f>A52*('前提と出典'!$C$36*'契約別単価'!L5+'前提と出典'!$C$37*'契約別単価'!L6+'前提と出典'!$C$38*'契約別単価'!L7)</ns0:f>
        <ns0:v>16465.286881334043</ns0:v>
      </ns0:c>
      <ns0:c r="M52" s="16">
        <ns0:f>IF(('前提と出典'!$C$36+'前提と出典'!$C$38)=0,0,IF(B52&lt;=10,'前提と出典'!B73+'前提と出典'!C73,IF(B52&lt;=100,'前提と出典'!B74+'前提と出典'!C74,IF(B52&lt;=500,'前提と出典'!B75+'前提と出典'!C75,'前提と出典'!B76+'前提と出典'!C76))))</ns0:f>
        <ns0:v>20000</ns0:v>
      </ns0:c>
      <ns0:c r="N52" s="16">
        <ns0:f>IF(('前提と出典'!$C$37+'前提と出典'!$C$38)=0,0,IF(C52&lt;=10,'前提と出典'!D73+'前提と出典'!E73,IF(C52&lt;=100,'前提と出典'!D74+'前提と出典'!E74,IF(C52&lt;=500,'前提と出典'!D75+'前提と出典'!E75,'前提と出典'!D76+'前提と出典'!E76))))</ns0:f>
        <ns0:v>34510.9346263078</ns0:v>
      </ns0:c>
      <ns0:c r="O52" s="16">
        <ns0:f>IF('前提と出典'!$C$36+'前提と出典'!$C$38=0,0,'前提と出典'!$B$4*IF('前提と出典'!$B$20=0,MAX('前提と出典'!$B$6,D52*'前提と出典'!$B$5),'前提と出典'!$B$6+D52*'前提と出典'!$B$5))</ns0:f>
        <ns0:v>47663.19553072626</ns0:v>
      </ns0:c>
      <ns0:c r="P52" s="16">
        <ns0:f>(E52+G52)*(1-'前提と出典'!$B$7)-I52-K52-M52-O52</ns0:f>
        <ns0:v>91727.15356972785</ns0:v>
      </ns0:c>
      <ns0:c r="Q52" s="16">
        <ns0:f>(F52+H52)*(1-'前提と出典'!$B$7)-J52-L52-N52</ns0:f>
        <ns0:v>11409.52463930794</ns0:v>
      </ns0:c>
      <ns0:c r="R52" s="16">
        <ns0:f>P52-E52*'前提と出典'!$E$4</ns0:f>
        <ns0:v>63863.95051278179</ns0:v>
      </ns0:c>
      <ns0:c r="S52" s="16">
        <ns0:f>Q52-F52*'前提と出典'!$E$4</ns0:f>
        <ns0:v>474.2297315702526</ns0:v>
      </ns0:c>
      <ns0:c r="T52" s="7">
        <ns0:f>R52+S52</ns0:f>
        <ns0:v>64338.18024435204</ns0:v>
      </ns0:c>
      <ns0:c r="U52" s="16">
        <ns0:f>P52-E52*'前提と出典'!$E$5</ns0:f>
        <ns0:v>54576.21616046641</ns0:v>
      </ns0:c>
      <ns0:c r="V52" s="16">
        <ns0:f>Q52-F52*'前提と出典'!$E$5</ns0:f>
        <ns0:v>-3170.8685710089667</ns0:v>
      </ns0:c>
      <ns0:c r="W52" s="7">
        <ns0:f>U52+V52</ns0:f>
        <ns0:v>51405.34758945744</ns0:v>
      </ns0:c>
      <ns0:c r="X52" s="16">
        <ns0:f>P52-E52*'前提と出典'!$E$6</ns0:f>
        <ns0:v>45288.48180815104</ns0:v>
      </ns0:c>
      <ns0:c r="Y52" s="16">
        <ns0:f>Q52-F52*'前提と出典'!$E$6</ns0:f>
        <ns0:v>-6815.96687358819</ns0:v>
      </ns0:c>
      <ns0:c r="Z52" s="7">
        <ns0:f>X52+Y52</ns0:f>
        <ns0:v>38472.514934562845</ns0:v>
      </ns0:c>
      <ns0:c r="AA52" s="7">
        <ns0:f>IF(T52&gt;=0,A52,1001)</ns0:f>
        <ns0:v>48</ns0:v>
      </ns0:c>
      <ns0:c r="AB52" s="7">
        <ns0:f>IF(T52&lt;0,A52,0)</ns0:f>
        <ns0:v>0</ns0:v>
      </ns0:c>
      <ns0:c r="AC52" s="16">
        <ns0:f>IF(AND(OR('前提と出典'!$C$36+'前提と出典'!$C$38=0,R52&gt;=0),OR('前提と出典'!$C$37+'前提と出典'!$C$38=0,S52&gt;=0)),0,A52)</ns0:f>
        <ns0:v>0</ns0:v>
      </ns0:c>
      <ns0:c r="AD52" s="7">
        <ns0:f>IF(W52&gt;=0,A52,1001)</ns0:f>
        <ns0:v>48</ns0:v>
      </ns0:c>
      <ns0:c r="AE52" s="7">
        <ns0:f>IF(W52&lt;0,A52,0)</ns0:f>
        <ns0:v>0</ns0:v>
      </ns0:c>
      <ns0:c r="AF52" s="16">
        <ns0:f>IF(AND(OR('前提と出典'!$C$36+'前提と出典'!$C$38=0,U52&gt;=0),OR('前提と出典'!$C$37+'前提と出典'!$C$38=0,V52&gt;=0)),0,A52)</ns0:f>
        <ns0:v>48</ns0:v>
      </ns0:c>
      <ns0:c r="AG52" s="7">
        <ns0:f>IF(Z52&gt;=0,A52,1001)</ns0:f>
        <ns0:v>48</ns0:v>
      </ns0:c>
      <ns0:c r="AH52" s="4">
        <ns0:f>IF(Z52&lt;0,A52,0)</ns0:f>
        <ns0:v>0</ns0:v>
      </ns0:c>
      <ns0:c r="AI52" s="12">
        <ns0:f>IF(AND(OR('前提と出典'!$C$36+'前提と出典'!$C$38=0,X52&gt;=0),OR('前提と出典'!$C$37+'前提と出典'!$C$38=0,Y52&gt;=0)),0,A52)</ns0:f>
        <ns0:v>48</ns0:v>
      </ns0:c>
    </ns0:row>
    <ns0:row r="53" ht="24" customHeight="1">
      <ns0:c r="A53" s="4" t="n">
        <ns0:v>49</ns0:v>
      </ns0:c>
      <ns0:c r="B53" s="12">
        <ns0:f>A53*('前提と出典'!$C$36+'前提と出典'!$C$38)</ns0:f>
        <ns0:v>34.3</ns0:v>
      </ns0:c>
      <ns0:c r="C53" s="12">
        <ns0:f>A53*('前提と出典'!$C$37+'前提と出典'!$C$38)</ns0:f>
        <ns0:v>29.4</ns0:v>
      </ns0:c>
      <ns0:c r="D53" s="16">
        <ns0:f>A53*('前提と出典'!$C$36*'契約別単価'!C5+'前提と出典'!$C$37*'契約別単価'!C6+'前提と出典'!$C$38*'契約別単価'!C7)</ns0:f>
        <ns0:v>352.5810055865922</ns0:v>
      </ns0:c>
      <ns0:c r="E53" s="16">
        <ns0:f>A53*('前提と出典'!$C$36*'契約別単価'!E5+'前提と出典'!$C$37*'契約別単価'!E6+'前提と出典'!$C$38*'契約別単価'!E7)</ns0:f>
        <ns0:v>94812.28817988593</ns0:v>
      </ns0:c>
      <ns0:c r="F53" s="16">
        <ns0:f>A53*('前提と出典'!$C$36*'契約別単価'!F5+'前提と出典'!$C$37*'契約別単価'!F6+'前提と出典'!$C$38*'契約別単価'!F7)</ns0:f>
        <ns0:v>37210.37850549627</ns0:v>
      </ns0:c>
      <ns0:c r="G53" s="16">
        <ns0:f>A53*('前提と出典'!$C$36*'契約別単価'!G5+'前提と出典'!$C$37*'契約別単価'!G6+'前提と出典'!$C$38*'契約別単価'!G7)</ns0:f>
        <ns0:v>97534.63687150838</ns0:v>
      </ns0:c>
      <ns0:c r="H53" s="16">
        <ns0:f>A53*('前提と出典'!$C$36*'契約別単価'!H5+'前提と出典'!$C$37*'契約別単価'!H6+'前提と出典'!$C$38*'契約別単価'!H7)</ns0:f>
        <ns0:v>33849.410740855106</ns0:v>
      </ns0:c>
      <ns0:c r="I53" s="16">
        <ns0:f>A53*('前提と出典'!$C$36*'契約別単価'!I5+'前提と出典'!$C$37*'契約別単価'!I6+'前提と出典'!$C$38*'契約別単価'!I7)</ns0:f>
        <ns0:v>2067.581005586592</ns0:v>
      </ns0:c>
      <ns0:c r="J53" s="16">
        <ns0:f>A53*('前提と出典'!$C$36*'契約別単価'!J5+'前提と出典'!$C$37*'契約別単価'!J6+'前提と出典'!$C$38*'契約別単価'!J7)</ns0:f>
        <ns0:v>4816.187641804826</ns0:v>
      </ns0:c>
      <ns0:c r="K53" s="16">
        <ns0:f>A53*('前提と出典'!$C$36*'契約別単価'!K5+'前提と出典'!$C$37*'契約別単価'!K6+'前提と出典'!$C$38*'契約別単価'!K7)</ns0:f>
        <ns0:v>20643.87337057728</ns0:v>
      </ns0:c>
      <ns0:c r="L53" s="16">
        <ns0:f>A53*('前提と出典'!$C$36*'契約別単価'!L5+'前提と出典'!$C$37*'契約別単価'!L6+'前提と出典'!$C$38*'契約別単価'!L7)</ns0:f>
        <ns0:v>16808.313691361836</ns0:v>
      </ns0:c>
      <ns0:c r="M53" s="16">
        <ns0:f>IF(('前提と出典'!$C$36+'前提と出典'!$C$38)=0,0,IF(B53&lt;=10,'前提と出典'!B73+'前提と出典'!C73,IF(B53&lt;=100,'前提と出典'!B74+'前提と出典'!C74,IF(B53&lt;=500,'前提と出典'!B75+'前提と出典'!C75,'前提と出典'!B76+'前提と出典'!C76))))</ns0:f>
        <ns0:v>20000</ns0:v>
      </ns0:c>
      <ns0:c r="N53" s="16">
        <ns0:f>IF(('前提と出典'!$C$37+'前提と出典'!$C$38)=0,0,IF(C53&lt;=10,'前提と出典'!D73+'前提と出典'!E73,IF(C53&lt;=100,'前提と出典'!D74+'前提と出典'!E74,IF(C53&lt;=500,'前提と出典'!D75+'前提と出典'!E75,'前提と出典'!D76+'前提と出典'!E76))))</ns0:f>
        <ns0:v>34510.9346263078</ns0:v>
      </ns0:c>
      <ns0:c r="O53" s="16">
        <ns0:f>IF('前提と出典'!$C$36+'前提と出典'!$C$38=0,0,'前提と出典'!$B$4*IF('前提と出典'!$B$20=0,MAX('前提と出典'!$B$6,D53*'前提と出典'!$B$5),'前提と出典'!$B$6+D53*'前提と出典'!$B$5))</ns0:f>
        <ns0:v>48656.17877094973</ns0:v>
      </ns0:c>
      <ns0:c r="P53" s="16">
        <ns0:f>(E53+G53)*(1-'前提と出典'!$B$7)-I53-K53-M53-O53</ns0:f>
        <ns0:v>94054.80260243051</ns0:v>
      </ns0:c>
      <ns0:c r="Q53" s="16">
        <ns0:f>(F53+H53)*(1-'前提と出典'!$B$7)-J53-L53-N53</ns0:f>
        <ns0:v>12366.200874008264</ns0:v>
      </ns0:c>
      <ns0:c r="R53" s="16">
        <ns0:f>P53-E53*'前提と出典'!$E$4</ns0:f>
        <ns0:v>65611.11614846472</ns0:v>
      </ns0:c>
      <ns0:c r="S53" s="16">
        <ns0:f>Q53-F53*'前提と出典'!$E$4</ns0:f>
        <ns0:v>1203.0873223593808</ns0:v>
      </ns0:c>
      <ns0:c r="T53" s="7">
        <ns0:f>R53+S53</ns0:f>
        <ns0:v>66814.2034708241</ns0:v>
      </ns0:c>
      <ns0:c r="U53" s="16">
        <ns0:f>P53-E53*'前提と出典'!$E$5</ns0:f>
        <ns0:v>56129.88733047614</ns0:v>
      </ns0:c>
      <ns0:c r="V53" s="16">
        <ns0:f>Q53-F53*'前提と出典'!$E$5</ns0:f>
        <ns0:v>-2517.9505281902457</ns0:v>
      </ns0:c>
      <ns0:c r="W53" s="7">
        <ns0:f>U53+V53</ns0:f>
        <ns0:v>53611.93680228589</ns0:v>
      </ns0:c>
      <ns0:c r="X53" s="16">
        <ns0:f>P53-E53*'前提と出典'!$E$6</ns0:f>
        <ns0:v>46648.65851248754</ns0:v>
      </ns0:c>
      <ns0:c r="Y53" s="16">
        <ns0:f>Q53-F53*'前提と出典'!$E$6</ns0:f>
        <ns0:v>-6238.988378739879</ns0:v>
      </ns0:c>
      <ns0:c r="Z53" s="7">
        <ns0:f>X53+Y53</ns0:f>
        <ns0:v>40409.67013374766</ns0:v>
      </ns0:c>
      <ns0:c r="AA53" s="7">
        <ns0:f>IF(T53&gt;=0,A53,1001)</ns0:f>
        <ns0:v>49</ns0:v>
      </ns0:c>
      <ns0:c r="AB53" s="7">
        <ns0:f>IF(T53&lt;0,A53,0)</ns0:f>
        <ns0:v>0</ns0:v>
      </ns0:c>
      <ns0:c r="AC53" s="16">
        <ns0:f>IF(AND(OR('前提と出典'!$C$36+'前提と出典'!$C$38=0,R53&gt;=0),OR('前提と出典'!$C$37+'前提と出典'!$C$38=0,S53&gt;=0)),0,A53)</ns0:f>
        <ns0:v>0</ns0:v>
      </ns0:c>
      <ns0:c r="AD53" s="7">
        <ns0:f>IF(W53&gt;=0,A53,1001)</ns0:f>
        <ns0:v>49</ns0:v>
      </ns0:c>
      <ns0:c r="AE53" s="7">
        <ns0:f>IF(W53&lt;0,A53,0)</ns0:f>
        <ns0:v>0</ns0:v>
      </ns0:c>
      <ns0:c r="AF53" s="16">
        <ns0:f>IF(AND(OR('前提と出典'!$C$36+'前提と出典'!$C$38=0,U53&gt;=0),OR('前提と出典'!$C$37+'前提と出典'!$C$38=0,V53&gt;=0)),0,A53)</ns0:f>
        <ns0:v>49</ns0:v>
      </ns0:c>
      <ns0:c r="AG53" s="7">
        <ns0:f>IF(Z53&gt;=0,A53,1001)</ns0:f>
        <ns0:v>49</ns0:v>
      </ns0:c>
      <ns0:c r="AH53" s="4">
        <ns0:f>IF(Z53&lt;0,A53,0)</ns0:f>
        <ns0:v>0</ns0:v>
      </ns0:c>
      <ns0:c r="AI53" s="12">
        <ns0:f>IF(AND(OR('前提と出典'!$C$36+'前提と出典'!$C$38=0,X53&gt;=0),OR('前提と出典'!$C$37+'前提と出典'!$C$38=0,Y53&gt;=0)),0,A53)</ns0:f>
        <ns0:v>49</ns0:v>
      </ns0:c>
    </ns0:row>
    <ns0:row r="54" ht="24" customHeight="1">
      <ns0:c r="A54" s="4" t="n">
        <ns0:v>50</ns0:v>
      </ns0:c>
      <ns0:c r="B54" s="12">
        <ns0:f>A54*('前提と出典'!$C$36+'前提と出典'!$C$38)</ns0:f>
        <ns0:v>35</ns0:v>
      </ns0:c>
      <ns0:c r="C54" s="12">
        <ns0:f>A54*('前提と出典'!$C$37+'前提と出典'!$C$38)</ns0:f>
        <ns0:v>30</ns0:v>
      </ns0:c>
      <ns0:c r="D54" s="16">
        <ns0:f>A54*('前提と出典'!$C$36*'契約別単価'!C5+'前提と出典'!$C$37*'契約別単価'!C6+'前提と出典'!$C$38*'契約別単価'!C7)</ns0:f>
        <ns0:v>359.77653631284915</ns0:v>
      </ns0:c>
      <ns0:c r="E54" s="16">
        <ns0:f>A54*('前提と出典'!$C$36*'契約別単価'!E5+'前提と出典'!$C$37*'契約別単価'!E6+'前提と出典'!$C$38*'契約別単価'!E7)</ns0:f>
        <ns0:v>96747.23283661829</ns0:v>
      </ns0:c>
      <ns0:c r="F54" s="16">
        <ns0:f>A54*('前提と出典'!$C$36*'契約別単価'!F5+'前提と出典'!$C$37*'契約別単価'!F6+'前提と出典'!$C$38*'契約別単価'!F7)</ns0:f>
        <ns0:v>37969.77398520028</ns0:v>
      </ns0:c>
      <ns0:c r="G54" s="16">
        <ns0:f>A54*('前提と出典'!$C$36*'契約別単価'!G5+'前提と出典'!$C$37*'契約別単価'!G6+'前提と出典'!$C$38*'契約別単価'!G7)</ns0:f>
        <ns0:v>99525.13966480446</ns0:v>
      </ns0:c>
      <ns0:c r="H54" s="16">
        <ns0:f>A54*('前提と出典'!$C$36*'契約別単価'!H5+'前提と出典'!$C$37*'契約別単価'!H6+'前提と出典'!$C$38*'契約別単価'!H7)</ns0:f>
        <ns0:v>34540.21504168888</ns0:v>
      </ns0:c>
      <ns0:c r="I54" s="16">
        <ns0:f>A54*('前提と出典'!$C$36*'契約別単価'!I5+'前提と出典'!$C$37*'契約別単価'!I6+'前提と出典'!$C$38*'契約別単価'!I7)</ns0:f>
        <ns0:v>2109.7765363128487</ns0:v>
      </ns0:c>
      <ns0:c r="J54" s="16">
        <ns0:f>A54*('前提と出典'!$C$36*'契約別単価'!J5+'前提と出典'!$C$37*'契約別単価'!J6+'前提と出典'!$C$38*'契約別単価'!J7)</ns0:f>
        <ns0:v>4914.477185515128</ns0:v>
      </ns0:c>
      <ns0:c r="K54" s="16">
        <ns0:f>A54*('前提と出典'!$C$36*'契約別単価'!K5+'前提と出典'!$C$37*'契約別単価'!K6+'前提と出典'!$C$38*'契約別単価'!K7)</ns0:f>
        <ns0:v>21065.176908752328</ns0:v>
      </ns0:c>
      <ns0:c r="L54" s="16">
        <ns0:f>A54*('前提と出典'!$C$36*'契約別単価'!L5+'前提と出典'!$C$37*'契約別単価'!L6+'前提と出典'!$C$38*'契約別単価'!L7)</ns0:f>
        <ns0:v>17151.34050138963</ns0:v>
      </ns0:c>
      <ns0:c r="M54" s="16">
        <ns0:f>IF(('前提と出典'!$C$36+'前提と出典'!$C$38)=0,0,IF(B54&lt;=10,'前提と出典'!B73+'前提と出典'!C73,IF(B54&lt;=100,'前提と出典'!B74+'前提と出典'!C74,IF(B54&lt;=500,'前提と出典'!B75+'前提と出典'!C75,'前提と出典'!B76+'前提と出典'!C76))))</ns0:f>
        <ns0:v>20000</ns0:v>
      </ns0:c>
      <ns0:c r="N54" s="16">
        <ns0:f>IF(('前提と出典'!$C$37+'前提と出典'!$C$38)=0,0,IF(C54&lt;=10,'前提と出典'!D73+'前提と出典'!E73,IF(C54&lt;=100,'前提と出典'!D74+'前提と出典'!E74,IF(C54&lt;=500,'前提と出典'!D75+'前提と出典'!E75,'前提と出典'!D76+'前提と出典'!E76))))</ns0:f>
        <ns0:v>34510.9346263078</ns0:v>
      </ns0:c>
      <ns0:c r="O54" s="16">
        <ns0:f>IF('前提と出典'!$C$36+'前提と出典'!$C$38=0,0,'前提と出典'!$B$4*IF('前提と出典'!$B$20=0,MAX('前提と出典'!$B$6,D54*'前提と出典'!$B$5),'前提と出典'!$B$6+D54*'前提と出典'!$B$5))</ns0:f>
        <ns0:v>49649.16201117318</ns0:v>
      </ns0:c>
      <ns0:c r="P54" s="16">
        <ns0:f>(E54+G54)*(1-'前提と出典'!$B$7)-I54-K54-M54-O54</ns0:f>
        <ns0:v>96382.45163513318</ns0:v>
      </ns0:c>
      <ns0:c r="Q54" s="16">
        <ns0:f>(F54+H54)*(1-'前提と出典'!$B$7)-J54-L54-N54</ns0:f>
        <ns0:v>13322.877108708595</ns0:v>
      </ns0:c>
      <ns0:c r="R54" s="16">
        <ns0:f>P54-E54*'前提と出典'!$E$4</ns0:f>
        <ns0:v>67358.2817841477</ns0:v>
      </ns0:c>
      <ns0:c r="S54" s="16">
        <ns0:f>Q54-F54*'前提と出典'!$E$4</ns0:f>
        <ns0:v>1931.944913148509</ns0:v>
      </ns0:c>
      <ns0:c r="T54" s="7">
        <ns0:f>R54+S54</ns0:f>
        <ns0:v>69290.2266972962</ns0:v>
      </ns0:c>
      <ns0:c r="U54" s="16">
        <ns0:f>P54-E54*'前提と出典'!$E$5</ns0:f>
        <ns0:v>57683.558500485866</ns0:v>
      </ns0:c>
      <ns0:c r="V54" s="16">
        <ns0:f>Q54-F54*'前提と出典'!$E$5</ns0:f>
        <ns0:v>-1865.0324853715174</ns0:v>
      </ns0:c>
      <ns0:c r="W54" s="7">
        <ns0:f>U54+V54</ns0:f>
        <ns0:v>55818.526015114345</ns0:v>
      </ns0:c>
      <ns0:c r="X54" s="16">
        <ns0:f>P54-E54*'前提と出典'!$E$6</ns0:f>
        <ns0:v>48008.835216824016</ns0:v>
      </ns0:c>
      <ns0:c r="Y54" s="16">
        <ns0:f>Q54-F54*'前提と出典'!$E$6</ns0:f>
        <ns0:v>-5662.00988389154</ns0:v>
      </ns0:c>
      <ns0:c r="Z54" s="7">
        <ns0:f>X54+Y54</ns0:f>
        <ns0:v>42346.82533293248</ns0:v>
      </ns0:c>
      <ns0:c r="AA54" s="7">
        <ns0:f>IF(T54&gt;=0,A54,1001)</ns0:f>
        <ns0:v>50</ns0:v>
      </ns0:c>
      <ns0:c r="AB54" s="7">
        <ns0:f>IF(T54&lt;0,A54,0)</ns0:f>
        <ns0:v>0</ns0:v>
      </ns0:c>
      <ns0:c r="AC54" s="16">
        <ns0:f>IF(AND(OR('前提と出典'!$C$36+'前提と出典'!$C$38=0,R54&gt;=0),OR('前提と出典'!$C$37+'前提と出典'!$C$38=0,S54&gt;=0)),0,A54)</ns0:f>
        <ns0:v>0</ns0:v>
      </ns0:c>
      <ns0:c r="AD54" s="7">
        <ns0:f>IF(W54&gt;=0,A54,1001)</ns0:f>
        <ns0:v>50</ns0:v>
      </ns0:c>
      <ns0:c r="AE54" s="7">
        <ns0:f>IF(W54&lt;0,A54,0)</ns0:f>
        <ns0:v>0</ns0:v>
      </ns0:c>
      <ns0:c r="AF54" s="16">
        <ns0:f>IF(AND(OR('前提と出典'!$C$36+'前提と出典'!$C$38=0,U54&gt;=0),OR('前提と出典'!$C$37+'前提と出典'!$C$38=0,V54&gt;=0)),0,A54)</ns0:f>
        <ns0:v>50</ns0:v>
      </ns0:c>
      <ns0:c r="AG54" s="7">
        <ns0:f>IF(Z54&gt;=0,A54,1001)</ns0:f>
        <ns0:v>50</ns0:v>
      </ns0:c>
      <ns0:c r="AH54" s="4">
        <ns0:f>IF(Z54&lt;0,A54,0)</ns0:f>
        <ns0:v>0</ns0:v>
      </ns0:c>
      <ns0:c r="AI54" s="12">
        <ns0:f>IF(AND(OR('前提と出典'!$C$36+'前提と出典'!$C$38=0,X54&gt;=0),OR('前提と出典'!$C$37+'前提と出典'!$C$38=0,Y54&gt;=0)),0,A54)</ns0:f>
        <ns0:v>50</ns0:v>
      </ns0:c>
    </ns0:row>
    <ns0:row r="55" ht="24" customHeight="1">
      <ns0:c r="A55" s="4" t="n">
        <ns0:v>51</ns0:v>
      </ns0:c>
      <ns0:c r="B55" s="12">
        <ns0:f>A55*('前提と出典'!$C$36+'前提と出典'!$C$38)</ns0:f>
        <ns0:v>35.699999999999996</ns0:v>
      </ns0:c>
      <ns0:c r="C55" s="12">
        <ns0:f>A55*('前提と出典'!$C$37+'前提と出典'!$C$38)</ns0:f>
        <ns0:v>30.599999999999998</ns0:v>
      </ns0:c>
      <ns0:c r="D55" s="16">
        <ns0:f>A55*('前提と出典'!$C$36*'契約別単価'!C5+'前提と出典'!$C$37*'契約別単価'!C6+'前提と出典'!$C$38*'契約別単価'!C7)</ns0:f>
        <ns0:v>366.97206703910615</ns0:v>
      </ns0:c>
      <ns0:c r="E55" s="16">
        <ns0:f>A55*('前提と出典'!$C$36*'契約別単価'!E5+'前提と出典'!$C$37*'契約別単価'!E6+'前提と出典'!$C$38*'契約別単価'!E7)</ns0:f>
        <ns0:v>98682.17749335067</ns0:v>
      </ns0:c>
      <ns0:c r="F55" s="16">
        <ns0:f>A55*('前提と出典'!$C$36*'契約別単価'!F5+'前提と出典'!$C$37*'契約別単価'!F6+'前提と出典'!$C$38*'契約別単価'!F7)</ns0:f>
        <ns0:v>38729.169464904284</ns0:v>
      </ns0:c>
      <ns0:c r="G55" s="16">
        <ns0:f>A55*('前提と出典'!$C$36*'契約別単価'!G5+'前提と出典'!$C$37*'契約別単価'!G6+'前提と出典'!$C$38*'契約別単価'!G7)</ns0:f>
        <ns0:v>101515.64245810056</ns0:v>
      </ns0:c>
      <ns0:c r="H55" s="16">
        <ns0:f>A55*('前提と出典'!$C$36*'契約別単価'!H5+'前提と出典'!$C$37*'契約別単価'!H6+'前提と出典'!$C$38*'契約別単価'!H7)</ns0:f>
        <ns0:v>35231.01934252266</ns0:v>
      </ns0:c>
      <ns0:c r="I55" s="16">
        <ns0:f>A55*('前提と出典'!$C$36*'契約別単価'!I5+'前提と出典'!$C$37*'契約別単価'!I6+'前提と出典'!$C$38*'契約別単価'!I7)</ns0:f>
        <ns0:v>2151.9720670391057</ns0:v>
      </ns0:c>
      <ns0:c r="J55" s="16">
        <ns0:f>A55*('前提と出典'!$C$36*'契約別単価'!J5+'前提と出典'!$C$37*'契約別単価'!J6+'前提と出典'!$C$38*'契約別単価'!J7)</ns0:f>
        <ns0:v>5012.766729225431</ns0:v>
      </ns0:c>
      <ns0:c r="K55" s="16">
        <ns0:f>A55*('前提と出典'!$C$36*'契約別単価'!K5+'前提と出典'!$C$37*'契約別単価'!K6+'前提と出典'!$C$38*'契約別単価'!K7)</ns0:f>
        <ns0:v>21486.480446927373</ns0:v>
      </ns0:c>
      <ns0:c r="L55" s="16">
        <ns0:f>A55*('前提と出典'!$C$36*'契約別単価'!L5+'前提と出典'!$C$37*'契約別単価'!L6+'前提と出典'!$C$38*'契約別単価'!L7)</ns0:f>
        <ns0:v>17494.36731141742</ns0:v>
      </ns0:c>
      <ns0:c r="M55" s="16">
        <ns0:f>IF(('前提と出典'!$C$36+'前提と出典'!$C$38)=0,0,IF(B55&lt;=10,'前提と出典'!B73+'前提と出典'!C73,IF(B55&lt;=100,'前提と出典'!B74+'前提と出典'!C74,IF(B55&lt;=500,'前提と出典'!B75+'前提と出典'!C75,'前提と出典'!B76+'前提と出典'!C76))))</ns0:f>
        <ns0:v>20000</ns0:v>
      </ns0:c>
      <ns0:c r="N55" s="16">
        <ns0:f>IF(('前提と出典'!$C$37+'前提と出典'!$C$38)=0,0,IF(C55&lt;=10,'前提と出典'!D73+'前提と出典'!E73,IF(C55&lt;=100,'前提と出典'!D74+'前提と出典'!E74,IF(C55&lt;=500,'前提と出典'!D75+'前提と出典'!E75,'前提と出典'!D76+'前提と出典'!E76))))</ns0:f>
        <ns0:v>34510.9346263078</ns0:v>
      </ns0:c>
      <ns0:c r="O55" s="16">
        <ns0:f>IF('前提と出典'!$C$36+'前提と出典'!$C$38=0,0,'前提と出典'!$B$4*IF('前提と出典'!$B$20=0,MAX('前提と出典'!$B$6,D55*'前提と出典'!$B$5),'前提と出典'!$B$6+D55*'前提と出典'!$B$5))</ns0:f>
        <ns0:v>50642.14525139665</ns0:v>
      </ns0:c>
      <ns0:c r="P55" s="16">
        <ns0:f>(E55+G55)*(1-'前提と出典'!$B$7)-I55-K55-M55-O55</ns0:f>
        <ns0:v>98710.10066783584</ns0:v>
      </ns0:c>
      <ns0:c r="Q55" s="16">
        <ns0:f>(F55+H55)*(1-'前提と出典'!$B$7)-J55-L55-N55</ns0:f>
        <ns0:v>14279.553343408932</ns0:v>
      </ns0:c>
      <ns0:c r="R55" s="16">
        <ns0:f>P55-E55*'前提と出典'!$E$4</ns0:f>
        <ns0:v>69105.44741983064</ns0:v>
      </ns0:c>
      <ns0:c r="S55" s="16">
        <ns0:f>Q55-F55*'前提と出典'!$E$4</ns0:f>
        <ns0:v>2660.8025039376444</ns0:v>
      </ns0:c>
      <ns0:c r="T55" s="7">
        <ns0:f>R55+S55</ns0:f>
        <ns0:v>71766.24992376828</ns0:v>
      </ns0:c>
      <ns0:c r="U55" s="16">
        <ns0:f>P55-E55*'前提と出典'!$E$5</ns0:f>
        <ns0:v>59237.229670495566</ns0:v>
      </ns0:c>
      <ns0:c r="V55" s="16">
        <ns0:f>Q55-F55*'前提と出典'!$E$5</ns0:f>
        <ns0:v>-1212.1144425527818</ns0:v>
      </ns0:c>
      <ns0:c r="W55" s="7">
        <ns0:f>U55+V55</ns0:f>
        <ns0:v>58025.115227942784</ns0:v>
      </ns0:c>
      <ns0:c r="X55" s="16">
        <ns0:f>P55-E55*'前提と出典'!$E$6</ns0:f>
        <ns0:v>49369.01192116049</ns0:v>
      </ns0:c>
      <ns0:c r="Y55" s="16">
        <ns0:f>Q55-F55*'前提と出典'!$E$6</ns0:f>
        <ns0:v>-5085.031389043212</ns0:v>
      </ns0:c>
      <ns0:c r="Z55" s="7">
        <ns0:f>X55+Y55</ns0:f>
        <ns0:v>44283.980532117275</ns0:v>
      </ns0:c>
      <ns0:c r="AA55" s="7">
        <ns0:f>IF(T55&gt;=0,A55,1001)</ns0:f>
        <ns0:v>51</ns0:v>
      </ns0:c>
      <ns0:c r="AB55" s="7">
        <ns0:f>IF(T55&lt;0,A55,0)</ns0:f>
        <ns0:v>0</ns0:v>
      </ns0:c>
      <ns0:c r="AC55" s="16">
        <ns0:f>IF(AND(OR('前提と出典'!$C$36+'前提と出典'!$C$38=0,R55&gt;=0),OR('前提と出典'!$C$37+'前提と出典'!$C$38=0,S55&gt;=0)),0,A55)</ns0:f>
        <ns0:v>0</ns0:v>
      </ns0:c>
      <ns0:c r="AD55" s="7">
        <ns0:f>IF(W55&gt;=0,A55,1001)</ns0:f>
        <ns0:v>51</ns0:v>
      </ns0:c>
      <ns0:c r="AE55" s="7">
        <ns0:f>IF(W55&lt;0,A55,0)</ns0:f>
        <ns0:v>0</ns0:v>
      </ns0:c>
      <ns0:c r="AF55" s="16">
        <ns0:f>IF(AND(OR('前提と出典'!$C$36+'前提と出典'!$C$38=0,U55&gt;=0),OR('前提と出典'!$C$37+'前提と出典'!$C$38=0,V55&gt;=0)),0,A55)</ns0:f>
        <ns0:v>51</ns0:v>
      </ns0:c>
      <ns0:c r="AG55" s="7">
        <ns0:f>IF(Z55&gt;=0,A55,1001)</ns0:f>
        <ns0:v>51</ns0:v>
      </ns0:c>
      <ns0:c r="AH55" s="4">
        <ns0:f>IF(Z55&lt;0,A55,0)</ns0:f>
        <ns0:v>0</ns0:v>
      </ns0:c>
      <ns0:c r="AI55" s="12">
        <ns0:f>IF(AND(OR('前提と出典'!$C$36+'前提と出典'!$C$38=0,X55&gt;=0),OR('前提と出典'!$C$37+'前提と出典'!$C$38=0,Y55&gt;=0)),0,A55)</ns0:f>
        <ns0:v>51</ns0:v>
      </ns0:c>
    </ns0:row>
    <ns0:row r="56" ht="24" customHeight="1">
      <ns0:c r="A56" s="4" t="n">
        <ns0:v>52</ns0:v>
      </ns0:c>
      <ns0:c r="B56" s="12">
        <ns0:f>A56*('前提と出典'!$C$36+'前提と出典'!$C$38)</ns0:f>
        <ns0:v>36.4</ns0:v>
      </ns0:c>
      <ns0:c r="C56" s="12">
        <ns0:f>A56*('前提と出典'!$C$37+'前提と出典'!$C$38)</ns0:f>
        <ns0:v>31.2</ns0:v>
      </ns0:c>
      <ns0:c r="D56" s="16">
        <ns0:f>A56*('前提と出典'!$C$36*'契約別単価'!C5+'前提と出典'!$C$37*'契約別単価'!C6+'前提と出典'!$C$38*'契約別単価'!C7)</ns0:f>
        <ns0:v>374.1675977653631</ns0:v>
      </ns0:c>
      <ns0:c r="E56" s="16">
        <ns0:f>A56*('前提と出典'!$C$36*'契約別単価'!E5+'前提と出典'!$C$37*'契約別単価'!E6+'前提と出典'!$C$38*'契約別単価'!E7)</ns0:f>
        <ns0:v>100617.12215008303</ns0:v>
      </ns0:c>
      <ns0:c r="F56" s="16">
        <ns0:f>A56*('前提と出典'!$C$36*'契約別単価'!F5+'前提と出典'!$C$37*'契約別単価'!F6+'前提と出典'!$C$38*'契約別単価'!F7)</ns0:f>
        <ns0:v>39488.56494460829</ns0:v>
      </ns0:c>
      <ns0:c r="G56" s="16">
        <ns0:f>A56*('前提と出典'!$C$36*'契約別単価'!G5+'前提と出典'!$C$37*'契約別単価'!G6+'前提と出典'!$C$38*'契約別単価'!G7)</ns0:f>
        <ns0:v>103506.14525139664</ns0:v>
      </ns0:c>
      <ns0:c r="H56" s="16">
        <ns0:f>A56*('前提と出典'!$C$36*'契約別単価'!H5+'前提と出典'!$C$37*'契約別単価'!H6+'前提と出典'!$C$38*'契約別単価'!H7)</ns0:f>
        <ns0:v>35921.82364335644</ns0:v>
      </ns0:c>
      <ns0:c r="I56" s="16">
        <ns0:f>A56*('前提と出典'!$C$36*'契約別単価'!I5+'前提と出典'!$C$37*'契約別単価'!I6+'前提と出典'!$C$38*'契約別単価'!I7)</ns0:f>
        <ns0:v>2194.1675977653626</ns0:v>
      </ns0:c>
      <ns0:c r="J56" s="16">
        <ns0:f>A56*('前提と出典'!$C$36*'契約別単価'!J5+'前提と出典'!$C$37*'契約別単価'!J6+'前提と出典'!$C$38*'契約別単価'!J7)</ns0:f>
        <ns0:v>5111.056272935733</ns0:v>
      </ns0:c>
      <ns0:c r="K56" s="16">
        <ns0:f>A56*('前提と出典'!$C$36*'契約別単価'!K5+'前提と出典'!$C$37*'契約別単価'!K6+'前提と出典'!$C$38*'契約別単価'!K7)</ns0:f>
        <ns0:v>21907.78398510242</ns0:v>
      </ns0:c>
      <ns0:c r="L56" s="16">
        <ns0:f>A56*('前提と出典'!$C$36*'契約別単価'!L5+'前提と出典'!$C$37*'契約別単価'!L6+'前提と出典'!$C$38*'契約別単価'!L7)</ns0:f>
        <ns0:v>17837.394121445213</ns0:v>
      </ns0:c>
      <ns0:c r="M56" s="16">
        <ns0:f>IF(('前提と出典'!$C$36+'前提と出典'!$C$38)=0,0,IF(B56&lt;=10,'前提と出典'!B73+'前提と出典'!C73,IF(B56&lt;=100,'前提と出典'!B74+'前提と出典'!C74,IF(B56&lt;=500,'前提と出典'!B75+'前提と出典'!C75,'前提と出典'!B76+'前提と出典'!C76))))</ns0:f>
        <ns0:v>20000</ns0:v>
      </ns0:c>
      <ns0:c r="N56" s="16">
        <ns0:f>IF(('前提と出典'!$C$37+'前提と出典'!$C$38)=0,0,IF(C56&lt;=10,'前提と出典'!D73+'前提と出典'!E73,IF(C56&lt;=100,'前提と出典'!D74+'前提と出典'!E74,IF(C56&lt;=500,'前提と出典'!D75+'前提と出典'!E75,'前提と出典'!D76+'前提と出典'!E76))))</ns0:f>
        <ns0:v>34510.9346263078</ns0:v>
      </ns0:c>
      <ns0:c r="O56" s="16">
        <ns0:f>IF('前提と出典'!$C$36+'前提と出典'!$C$38=0,0,'前提と出典'!$B$4*IF('前提と出典'!$B$20=0,MAX('前提と出典'!$B$6,D56*'前提と出典'!$B$5),'前提と出典'!$B$6+D56*'前提と出典'!$B$5))</ns0:f>
        <ns0:v>51635.12849162011</ns0:v>
      </ns0:c>
      <ns0:c r="P56" s="16">
        <ns0:f>(E56+G56)*(1-'前提と出典'!$B$7)-I56-K56-M56-O56</ns0:f>
        <ns0:v>101037.7497005385</ns0:v>
      </ns0:c>
      <ns0:c r="Q56" s="16">
        <ns0:f>(F56+H56)*(1-'前提と出典'!$B$7)-J56-L56-N56</ns0:f>
        <ns0:v>15236.229578109253</ns0:v>
      </ns0:c>
      <ns0:c r="R56" s="16">
        <ns0:f>P56-E56*'前提と出典'!$E$4</ns0:f>
        <ns0:v>70852.6130555136</ns0:v>
      </ns0:c>
      <ns0:c r="S56" s="16">
        <ns0:f>Q56-F56*'前提と出典'!$E$4</ns0:f>
        <ns0:v>3389.6600947267652</ns0:v>
      </ns0:c>
      <ns0:c r="T56" s="7">
        <ns0:f>R56+S56</ns0:f>
        <ns0:v>74242.27315024036</ns0:v>
      </ns0:c>
      <ns0:c r="U56" s="16">
        <ns0:f>P56-E56*'前提と出典'!$E$5</ns0:f>
        <ns0:v>60790.900840505274</ns0:v>
      </ns0:c>
      <ns0:c r="V56" s="16">
        <ns0:f>Q56-F56*'前提と出典'!$E$5</ns0:f>
        <ns0:v>-559.1963997340645</ns0:v>
      </ns0:c>
      <ns0:c r="W56" s="7">
        <ns0:f>U56+V56</ns0:f>
        <ns0:v>60231.70444077121</ns0:v>
      </ns0:c>
      <ns0:c r="X56" s="16">
        <ns0:f>P56-E56*'前提と出典'!$E$6</ns0:f>
        <ns0:v>50729.18862549699</ns0:v>
      </ns0:c>
      <ns0:c r="Y56" s="16">
        <ns0:f>Q56-F56*'前提と出典'!$E$6</ns0:f>
        <ns0:v>-4508.052894194887</ns0:v>
      </ns0:c>
      <ns0:c r="Z56" s="7">
        <ns0:f>X56+Y56</ns0:f>
        <ns0:v>46221.1357313021</ns0:v>
      </ns0:c>
      <ns0:c r="AA56" s="7">
        <ns0:f>IF(T56&gt;=0,A56,1001)</ns0:f>
        <ns0:v>52</ns0:v>
      </ns0:c>
      <ns0:c r="AB56" s="7">
        <ns0:f>IF(T56&lt;0,A56,0)</ns0:f>
        <ns0:v>0</ns0:v>
      </ns0:c>
      <ns0:c r="AC56" s="16">
        <ns0:f>IF(AND(OR('前提と出典'!$C$36+'前提と出典'!$C$38=0,R56&gt;=0),OR('前提と出典'!$C$37+'前提と出典'!$C$38=0,S56&gt;=0)),0,A56)</ns0:f>
        <ns0:v>0</ns0:v>
      </ns0:c>
      <ns0:c r="AD56" s="7">
        <ns0:f>IF(W56&gt;=0,A56,1001)</ns0:f>
        <ns0:v>52</ns0:v>
      </ns0:c>
      <ns0:c r="AE56" s="7">
        <ns0:f>IF(W56&lt;0,A56,0)</ns0:f>
        <ns0:v>0</ns0:v>
      </ns0:c>
      <ns0:c r="AF56" s="16">
        <ns0:f>IF(AND(OR('前提と出典'!$C$36+'前提と出典'!$C$38=0,U56&gt;=0),OR('前提と出典'!$C$37+'前提と出典'!$C$38=0,V56&gt;=0)),0,A56)</ns0:f>
        <ns0:v>52</ns0:v>
      </ns0:c>
      <ns0:c r="AG56" s="7">
        <ns0:f>IF(Z56&gt;=0,A56,1001)</ns0:f>
        <ns0:v>52</ns0:v>
      </ns0:c>
      <ns0:c r="AH56" s="4">
        <ns0:f>IF(Z56&lt;0,A56,0)</ns0:f>
        <ns0:v>0</ns0:v>
      </ns0:c>
      <ns0:c r="AI56" s="12">
        <ns0:f>IF(AND(OR('前提と出典'!$C$36+'前提と出典'!$C$38=0,X56&gt;=0),OR('前提と出典'!$C$37+'前提と出典'!$C$38=0,Y56&gt;=0)),0,A56)</ns0:f>
        <ns0:v>52</ns0:v>
      </ns0:c>
    </ns0:row>
    <ns0:row r="57" ht="24" customHeight="1">
      <ns0:c r="A57" s="4" t="n">
        <ns0:v>53</ns0:v>
      </ns0:c>
      <ns0:c r="B57" s="12">
        <ns0:f>A57*('前提と出典'!$C$36+'前提と出典'!$C$38)</ns0:f>
        <ns0:v>37.099999999999994</ns0:v>
      </ns0:c>
      <ns0:c r="C57" s="12">
        <ns0:f>A57*('前提と出典'!$C$37+'前提と出典'!$C$38)</ns0:f>
        <ns0:v>31.799999999999997</ns0:v>
      </ns0:c>
      <ns0:c r="D57" s="16">
        <ns0:f>A57*('前提と出典'!$C$36*'契約別単価'!C5+'前提と出典'!$C$37*'契約別単価'!C6+'前提と出典'!$C$38*'契約別単価'!C7)</ns0:f>
        <ns0:v>381.3631284916201</ns0:v>
      </ns0:c>
      <ns0:c r="E57" s="16">
        <ns0:f>A57*('前提と出典'!$C$36*'契約別単価'!E5+'前提と出典'!$C$37*'契約別単価'!E6+'前提と出典'!$C$38*'契約別単価'!E7)</ns0:f>
        <ns0:v>102552.06680681539</ns0:v>
      </ns0:c>
      <ns0:c r="F57" s="16">
        <ns0:f>A57*('前提と出典'!$C$36*'契約別単価'!F5+'前提と出典'!$C$37*'契約別単価'!F6+'前提と出典'!$C$38*'契約別単価'!F7)</ns0:f>
        <ns0:v>40247.960424312296</ns0:v>
      </ns0:c>
      <ns0:c r="G57" s="16">
        <ns0:f>A57*('前提と出典'!$C$36*'契約別単価'!G5+'前提と出典'!$C$37*'契約別単価'!G6+'前提と出典'!$C$38*'契約別単価'!G7)</ns0:f>
        <ns0:v>105496.64804469273</ns0:v>
      </ns0:c>
      <ns0:c r="H57" s="16">
        <ns0:f>A57*('前提と出典'!$C$36*'契約別単価'!H5+'前提と出典'!$C$37*'契約別単価'!H6+'前提と出典'!$C$38*'契約別単価'!H7)</ns0:f>
        <ns0:v>36612.627944190215</ns0:v>
      </ns0:c>
      <ns0:c r="I57" s="16">
        <ns0:f>A57*('前提と出典'!$C$36*'契約別単価'!I5+'前提と出典'!$C$37*'契約別単価'!I6+'前提と出典'!$C$38*'契約別単価'!I7)</ns0:f>
        <ns0:v>2236.3631284916196</ns0:v>
      </ns0:c>
      <ns0:c r="J57" s="16">
        <ns0:f>A57*('前提と出典'!$C$36*'契約別単価'!J5+'前提と出典'!$C$37*'契約別単価'!J6+'前提と出典'!$C$38*'契約別単価'!J7)</ns0:f>
        <ns0:v>5209.345816646036</ns0:v>
      </ns0:c>
      <ns0:c r="K57" s="16">
        <ns0:f>A57*('前提と出典'!$C$36*'契約別単価'!K5+'前提と出典'!$C$37*'契約別単価'!K6+'前提と出典'!$C$38*'契約別単価'!K7)</ns0:f>
        <ns0:v>22329.087523277467</ns0:v>
      </ns0:c>
      <ns0:c r="L57" s="16">
        <ns0:f>A57*('前提と出典'!$C$36*'契約別単価'!L5+'前提と出典'!$C$37*'契約別単価'!L6+'前提と出典'!$C$38*'契約別単価'!L7)</ns0:f>
        <ns0:v>18180.420931473007</ns0:v>
      </ns0:c>
      <ns0:c r="M57" s="16">
        <ns0:f>IF(('前提と出典'!$C$36+'前提と出典'!$C$38)=0,0,IF(B57&lt;=10,'前提と出典'!B73+'前提と出典'!C73,IF(B57&lt;=100,'前提と出典'!B74+'前提と出典'!C74,IF(B57&lt;=500,'前提と出典'!B75+'前提と出典'!C75,'前提と出典'!B76+'前提と出典'!C76))))</ns0:f>
        <ns0:v>20000</ns0:v>
      </ns0:c>
      <ns0:c r="N57" s="16">
        <ns0:f>IF(('前提と出典'!$C$37+'前提と出典'!$C$38)=0,0,IF(C57&lt;=10,'前提と出典'!D73+'前提と出典'!E73,IF(C57&lt;=100,'前提と出典'!D74+'前提と出典'!E74,IF(C57&lt;=500,'前提と出典'!D75+'前提と出典'!E75,'前提と出典'!D76+'前提と出典'!E76))))</ns0:f>
        <ns0:v>34510.9346263078</ns0:v>
      </ns0:c>
      <ns0:c r="O57" s="16">
        <ns0:f>IF('前提と出典'!$C$36+'前提と出典'!$C$38=0,0,'前提と出典'!$B$4*IF('前提と出典'!$B$20=0,MAX('前提と出典'!$B$6,D57*'前提と出典'!$B$5),'前提と出典'!$B$6+D57*'前提と出典'!$B$5))</ns0:f>
        <ns0:v>52628.11173184358</ns0:v>
      </ns0:c>
      <ns0:c r="P57" s="16">
        <ns0:f>(E57+G57)*(1-'前提と出典'!$B$7)-I57-K57-M57-O57</ns0:f>
        <ns0:v>103365.39873324116</ns0:v>
      </ns0:c>
      <ns0:c r="Q57" s="16">
        <ns0:f>(F57+H57)*(1-'前提と出典'!$B$7)-J57-L57-N57</ns0:f>
        <ns0:v>16192.905812809571</ns0:v>
      </ns0:c>
      <ns0:c r="R57" s="16">
        <ns0:f>P57-E57*'前提と出典'!$E$4</ns0:f>
        <ns0:v>72599.77869119655</ns0:v>
      </ns0:c>
      <ns0:c r="S57" s="16">
        <ns0:f>Q57-F57*'前提と出典'!$E$4</ns0:f>
        <ns0:v>4118.517685515886</ns0:v>
      </ns0:c>
      <ns0:c r="T57" s="7">
        <ns0:f>R57+S57</ns0:f>
        <ns0:v>76718.29637671245</ns0:v>
      </ns0:c>
      <ns0:c r="U57" s="16">
        <ns0:f>P57-E57*'前提と出典'!$E$5</ns0:f>
        <ns0:v>62344.572010515</ns0:v>
      </ns0:c>
      <ns0:c r="V57" s="16">
        <ns0:f>Q57-F57*'前提と出典'!$E$5</ns0:f>
        <ns0:v>93.7216430846529</ns0:v>
      </ns0:c>
      <ns0:c r="W57" s="7">
        <ns0:f>U57+V57</ns0:f>
        <ns0:v>62438.293653599656</ns0:v>
      </ns0:c>
      <ns0:c r="X57" s="16">
        <ns0:f>P57-E57*'前提と出典'!$E$6</ns0:f>
        <ns0:v>52089.365329833476</ns0:v>
      </ns0:c>
      <ns0:c r="Y57" s="16">
        <ns0:f>Q57-F57*'前提と出典'!$E$6</ns0:f>
        <ns0:v>-3931.0743993465767</ns0:v>
      </ns0:c>
      <ns0:c r="Z57" s="7">
        <ns0:f>X57+Y57</ns0:f>
        <ns0:v>48158.290930486895</ns0:v>
      </ns0:c>
      <ns0:c r="AA57" s="7">
        <ns0:f>IF(T57&gt;=0,A57,1001)</ns0:f>
        <ns0:v>53</ns0:v>
      </ns0:c>
      <ns0:c r="AB57" s="7">
        <ns0:f>IF(T57&lt;0,A57,0)</ns0:f>
        <ns0:v>0</ns0:v>
      </ns0:c>
      <ns0:c r="AC57" s="16">
        <ns0:f>IF(AND(OR('前提と出典'!$C$36+'前提と出典'!$C$38=0,R57&gt;=0),OR('前提と出典'!$C$37+'前提と出典'!$C$38=0,S57&gt;=0)),0,A57)</ns0:f>
        <ns0:v>0</ns0:v>
      </ns0:c>
      <ns0:c r="AD57" s="7">
        <ns0:f>IF(W57&gt;=0,A57,1001)</ns0:f>
        <ns0:v>53</ns0:v>
      </ns0:c>
      <ns0:c r="AE57" s="7">
        <ns0:f>IF(W57&lt;0,A57,0)</ns0:f>
        <ns0:v>0</ns0:v>
      </ns0:c>
      <ns0:c r="AF57" s="16">
        <ns0:f>IF(AND(OR('前提と出典'!$C$36+'前提と出典'!$C$38=0,U57&gt;=0),OR('前提と出典'!$C$37+'前提と出典'!$C$38=0,V57&gt;=0)),0,A57)</ns0:f>
        <ns0:v>0</ns0:v>
      </ns0:c>
      <ns0:c r="AG57" s="7">
        <ns0:f>IF(Z57&gt;=0,A57,1001)</ns0:f>
        <ns0:v>53</ns0:v>
      </ns0:c>
      <ns0:c r="AH57" s="4">
        <ns0:f>IF(Z57&lt;0,A57,0)</ns0:f>
        <ns0:v>0</ns0:v>
      </ns0:c>
      <ns0:c r="AI57" s="12">
        <ns0:f>IF(AND(OR('前提と出典'!$C$36+'前提と出典'!$C$38=0,X57&gt;=0),OR('前提と出典'!$C$37+'前提と出典'!$C$38=0,Y57&gt;=0)),0,A57)</ns0:f>
        <ns0:v>53</ns0:v>
      </ns0:c>
    </ns0:row>
    <ns0:row r="58" ht="24" customHeight="1">
      <ns0:c r="A58" s="4" t="n">
        <ns0:v>54</ns0:v>
      </ns0:c>
      <ns0:c r="B58" s="12">
        <ns0:f>A58*('前提と出典'!$C$36+'前提と出典'!$C$38)</ns0:f>
        <ns0:v>37.8</ns0:v>
      </ns0:c>
      <ns0:c r="C58" s="12">
        <ns0:f>A58*('前提と出典'!$C$37+'前提と出典'!$C$38)</ns0:f>
        <ns0:v>32.4</ns0:v>
      </ns0:c>
      <ns0:c r="D58" s="16">
        <ns0:f>A58*('前提と出典'!$C$36*'契約別単価'!C5+'前提と出典'!$C$37*'契約別単価'!C6+'前提と出典'!$C$38*'契約別単価'!C7)</ns0:f>
        <ns0:v>388.5586592178771</ns0:v>
      </ns0:c>
      <ns0:c r="E58" s="16">
        <ns0:f>A58*('前提と出典'!$C$36*'契約別単価'!E5+'前提と出典'!$C$37*'契約別単価'!E6+'前提と出典'!$C$38*'契約別単価'!E7)</ns0:f>
        <ns0:v>104487.01146354777</ns0:v>
      </ns0:c>
      <ns0:c r="F58" s="16">
        <ns0:f>A58*('前提と出典'!$C$36*'契約別単価'!F5+'前提と出典'!$C$37*'契約別単価'!F6+'前提と出典'!$C$38*'契約別単価'!F7)</ns0:f>
        <ns0:v>41007.3559040163</ns0:v>
      </ns0:c>
      <ns0:c r="G58" s="16">
        <ns0:f>A58*('前提と出典'!$C$36*'契約別単価'!G5+'前提と出典'!$C$37*'契約別単価'!G6+'前提と出典'!$C$38*'契約別単価'!G7)</ns0:f>
        <ns0:v>107487.15083798883</ns0:v>
      </ns0:c>
      <ns0:c r="H58" s="16">
        <ns0:f>A58*('前提と出典'!$C$36*'契約別単価'!H5+'前提と出典'!$C$37*'契約別単価'!H6+'前提と出典'!$C$38*'契約別単価'!H7)</ns0:f>
        <ns0:v>37303.43224502399</ns0:v>
      </ns0:c>
      <ns0:c r="I58" s="16">
        <ns0:f>A58*('前提と出典'!$C$36*'契約別単価'!I5+'前提と出典'!$C$37*'契約別単価'!I6+'前提と出典'!$C$38*'契約別単価'!I7)</ns0:f>
        <ns0:v>2278.5586592178765</ns0:v>
      </ns0:c>
      <ns0:c r="J58" s="16">
        <ns0:f>A58*('前提と出典'!$C$36*'契約別単価'!J5+'前提と出典'!$C$37*'契約別単価'!J6+'前提と出典'!$C$38*'契約別単価'!J7)</ns0:f>
        <ns0:v>5307.635360356338</ns0:v>
      </ns0:c>
      <ns0:c r="K58" s="16">
        <ns0:f>A58*('前提と出典'!$C$36*'契約別単価'!K5+'前提と出典'!$C$37*'契約別単価'!K6+'前提と出典'!$C$38*'契約別単価'!K7)</ns0:f>
        <ns0:v>22750.391061452512</ns0:v>
      </ns0:c>
      <ns0:c r="L58" s="16">
        <ns0:f>A58*('前提と出典'!$C$36*'契約別単価'!L5+'前提と出典'!$C$37*'契約別単価'!L6+'前提と出典'!$C$38*'契約別単価'!L7)</ns0:f>
        <ns0:v>18523.4477415008</ns0:v>
      </ns0:c>
      <ns0:c r="M58" s="16">
        <ns0:f>IF(('前提と出典'!$C$36+'前提と出典'!$C$38)=0,0,IF(B58&lt;=10,'前提と出典'!B73+'前提と出典'!C73,IF(B58&lt;=100,'前提と出典'!B74+'前提と出典'!C74,IF(B58&lt;=500,'前提と出典'!B75+'前提と出典'!C75,'前提と出典'!B76+'前提と出典'!C76))))</ns0:f>
        <ns0:v>20000</ns0:v>
      </ns0:c>
      <ns0:c r="N58" s="16">
        <ns0:f>IF(('前提と出典'!$C$37+'前提と出典'!$C$38)=0,0,IF(C58&lt;=10,'前提と出典'!D73+'前提と出典'!E73,IF(C58&lt;=100,'前提と出典'!D74+'前提と出典'!E74,IF(C58&lt;=500,'前提と出典'!D75+'前提と出典'!E75,'前提と出典'!D76+'前提と出典'!E76))))</ns0:f>
        <ns0:v>34510.9346263078</ns0:v>
      </ns0:c>
      <ns0:c r="O58" s="16">
        <ns0:f>IF('前提と出典'!$C$36+'前提と出典'!$C$38=0,0,'前提と出典'!$B$4*IF('前提と出典'!$B$20=0,MAX('前提と出典'!$B$6,D58*'前提と出典'!$B$5),'前提と出典'!$B$6+D58*'前提と出典'!$B$5))</ns0:f>
        <ns0:v>53621.09497206705</ns0:v>
      </ns0:c>
      <ns0:c r="P58" s="16">
        <ns0:f>(E58+G58)*(1-'前提と出典'!$B$7)-I58-K58-M58-O58</ns0:f>
        <ns0:v>105693.04776594383</ns0:v>
      </ns0:c>
      <ns0:c r="Q58" s="16">
        <ns0:f>(F58+H58)*(1-'前提と出典'!$B$7)-J58-L58-N58</ns0:f>
        <ns0:v>17149.582047509906</ns0:v>
      </ns0:c>
      <ns0:c r="R58" s="16">
        <ns0:f>P58-E58*'前提と出典'!$E$4</ns0:f>
        <ns0:v>74346.94432687951</ns0:v>
      </ns0:c>
      <ns0:c r="S58" s="16">
        <ns0:f>Q58-F58*'前提と出典'!$E$4</ns0:f>
        <ns0:v>4847.375276305014</ns0:v>
      </ns0:c>
      <ns0:c r="T58" s="7">
        <ns0:f>R58+S58</ns0:f>
        <ns0:v>79194.31960318453</ns0:v>
      </ns0:c>
      <ns0:c r="U58" s="16">
        <ns0:f>P58-E58*'前提と出典'!$E$5</ns0:f>
        <ns0:v>63898.24318052473</ns0:v>
      </ns0:c>
      <ns0:c r="V58" s="16">
        <ns0:f>Q58-F58*'前提と出典'!$E$5</ns0:f>
        <ns0:v>746.6396859033848</ns0:v>
      </ns0:c>
      <ns0:c r="W58" s="7">
        <ns0:f>U58+V58</ns0:f>
        <ns0:v>64644.88286642812</ns0:v>
      </ns0:c>
      <ns0:c r="X58" s="16">
        <ns0:f>P58-E58*'前提と出典'!$E$6</ns0:f>
        <ns0:v>53449.54203416995</ns0:v>
      </ns0:c>
      <ns0:c r="Y58" s="16">
        <ns0:f>Q58-F58*'前提と出典'!$E$6</ns0:f>
        <ns0:v>-3354.0959044982446</ns0:v>
      </ns0:c>
      <ns0:c r="Z58" s="7">
        <ns0:f>X58+Y58</ns0:f>
        <ns0:v>50095.446129671705</ns0:v>
      </ns0:c>
      <ns0:c r="AA58" s="7">
        <ns0:f>IF(T58&gt;=0,A58,1001)</ns0:f>
        <ns0:v>54</ns0:v>
      </ns0:c>
      <ns0:c r="AB58" s="7">
        <ns0:f>IF(T58&lt;0,A58,0)</ns0:f>
        <ns0:v>0</ns0:v>
      </ns0:c>
      <ns0:c r="AC58" s="16">
        <ns0:f>IF(AND(OR('前提と出典'!$C$36+'前提と出典'!$C$38=0,R58&gt;=0),OR('前提と出典'!$C$37+'前提と出典'!$C$38=0,S58&gt;=0)),0,A58)</ns0:f>
        <ns0:v>0</ns0:v>
      </ns0:c>
      <ns0:c r="AD58" s="7">
        <ns0:f>IF(W58&gt;=0,A58,1001)</ns0:f>
        <ns0:v>54</ns0:v>
      </ns0:c>
      <ns0:c r="AE58" s="7">
        <ns0:f>IF(W58&lt;0,A58,0)</ns0:f>
        <ns0:v>0</ns0:v>
      </ns0:c>
      <ns0:c r="AF58" s="16">
        <ns0:f>IF(AND(OR('前提と出典'!$C$36+'前提と出典'!$C$38=0,U58&gt;=0),OR('前提と出典'!$C$37+'前提と出典'!$C$38=0,V58&gt;=0)),0,A58)</ns0:f>
        <ns0:v>0</ns0:v>
      </ns0:c>
      <ns0:c r="AG58" s="7">
        <ns0:f>IF(Z58&gt;=0,A58,1001)</ns0:f>
        <ns0:v>54</ns0:v>
      </ns0:c>
      <ns0:c r="AH58" s="4">
        <ns0:f>IF(Z58&lt;0,A58,0)</ns0:f>
        <ns0:v>0</ns0:v>
      </ns0:c>
      <ns0:c r="AI58" s="12">
        <ns0:f>IF(AND(OR('前提と出典'!$C$36+'前提と出典'!$C$38=0,X58&gt;=0),OR('前提と出典'!$C$37+'前提と出典'!$C$38=0,Y58&gt;=0)),0,A58)</ns0:f>
        <ns0:v>54</ns0:v>
      </ns0:c>
    </ns0:row>
    <ns0:row r="59" ht="24" customHeight="1">
      <ns0:c r="A59" s="4" t="n">
        <ns0:v>55</ns0:v>
      </ns0:c>
      <ns0:c r="B59" s="12">
        <ns0:f>A59*('前提と出典'!$C$36+'前提と出典'!$C$38)</ns0:f>
        <ns0:v>38.5</ns0:v>
      </ns0:c>
      <ns0:c r="C59" s="12">
        <ns0:f>A59*('前提と出典'!$C$37+'前提と出典'!$C$38)</ns0:f>
        <ns0:v>33</ns0:v>
      </ns0:c>
      <ns0:c r="D59" s="16">
        <ns0:f>A59*('前提と出典'!$C$36*'契約別単価'!C5+'前提と出典'!$C$37*'契約別単価'!C6+'前提と出典'!$C$38*'契約別単価'!C7)</ns0:f>
        <ns0:v>395.75418994413405</ns0:v>
      </ns0:c>
      <ns0:c r="E59" s="16">
        <ns0:f>A59*('前提と出典'!$C$36*'契約別単価'!E5+'前提と出典'!$C$37*'契約別単価'!E6+'前提と出典'!$C$38*'契約別単価'!E7)</ns0:f>
        <ns0:v>106421.95612028013</ns0:v>
      </ns0:c>
      <ns0:c r="F59" s="16">
        <ns0:f>A59*('前提と出典'!$C$36*'契約別単価'!F5+'前提と出典'!$C$37*'契約別単価'!F6+'前提と出典'!$C$38*'契約別単価'!F7)</ns0:f>
        <ns0:v>41766.75138372031</ns0:v>
      </ns0:c>
      <ns0:c r="G59" s="16">
        <ns0:f>A59*('前提と出典'!$C$36*'契約別単価'!G5+'前提と出典'!$C$37*'契約別単価'!G6+'前提と出典'!$C$38*'契約別単価'!G7)</ns0:f>
        <ns0:v>109477.6536312849</ns0:v>
      </ns0:c>
      <ns0:c r="H59" s="16">
        <ns0:f>A59*('前提と出典'!$C$36*'契約別単価'!H5+'前提と出典'!$C$37*'契約別単価'!H6+'前提と出典'!$C$38*'契約別単価'!H7)</ns0:f>
        <ns0:v>37994.23654585777</ns0:v>
      </ns0:c>
      <ns0:c r="I59" s="16">
        <ns0:f>A59*('前提と出典'!$C$36*'契約別単価'!I5+'前提と出典'!$C$37*'契約別単価'!I6+'前提と出典'!$C$38*'契約別単価'!I7)</ns0:f>
        <ns0:v>2320.7541899441335</ns0:v>
      </ns0:c>
      <ns0:c r="J59" s="16">
        <ns0:f>A59*('前提と出典'!$C$36*'契約別単価'!J5+'前提と出典'!$C$37*'契約別単価'!J6+'前提と出典'!$C$38*'契約別単価'!J7)</ns0:f>
        <ns0:v>5405.924904066641</ns0:v>
      </ns0:c>
      <ns0:c r="K59" s="16">
        <ns0:f>A59*('前提と出典'!$C$36*'契約別単価'!K5+'前提と出典'!$C$37*'契約別単価'!K6+'前提と出典'!$C$38*'契約別単価'!K7)</ns0:f>
        <ns0:v>23171.694599627557</ns0:v>
      </ns0:c>
      <ns0:c r="L59" s="16">
        <ns0:f>A59*('前提と出典'!$C$36*'契約別単価'!L5+'前提と出典'!$C$37*'契約別単価'!L6+'前提と出典'!$C$38*'契約別単価'!L7)</ns0:f>
        <ns0:v>18866.47455152859</ns0:v>
      </ns0:c>
      <ns0:c r="M59" s="16">
        <ns0:f>IF(('前提と出典'!$C$36+'前提と出典'!$C$38)=0,0,IF(B59&lt;=10,'前提と出典'!B73+'前提と出典'!C73,IF(B59&lt;=100,'前提と出典'!B74+'前提と出典'!C74,IF(B59&lt;=500,'前提と出典'!B75+'前提と出典'!C75,'前提と出典'!B76+'前提と出典'!C76))))</ns0:f>
        <ns0:v>20000</ns0:v>
      </ns0:c>
      <ns0:c r="N59" s="16">
        <ns0:f>IF(('前提と出典'!$C$37+'前提と出典'!$C$38)=0,0,IF(C59&lt;=10,'前提と出典'!D73+'前提と出典'!E73,IF(C59&lt;=100,'前提と出典'!D74+'前提と出典'!E74,IF(C59&lt;=500,'前提と出典'!D75+'前提と出典'!E75,'前提と出典'!D76+'前提と出典'!E76))))</ns0:f>
        <ns0:v>34510.9346263078</ns0:v>
      </ns0:c>
      <ns0:c r="O59" s="16">
        <ns0:f>IF('前提と出典'!$C$36+'前提と出典'!$C$38=0,0,'前提と出典'!$B$4*IF('前提と出典'!$B$20=0,MAX('前提と出典'!$B$6,D59*'前提と出典'!$B$5),'前提と出典'!$B$6+D59*'前提と出典'!$B$5))</ns0:f>
        <ns0:v>54614.0782122905</ns0:v>
      </ns0:c>
      <ns0:c r="P59" s="16">
        <ns0:f>(E59+G59)*(1-'前提と出典'!$B$7)-I59-K59-M59-O59</ns0:f>
        <ns0:v>108020.6967986465</ns0:v>
      </ns0:c>
      <ns0:c r="Q59" s="16">
        <ns0:f>(F59+H59)*(1-'前提と出典'!$B$7)-J59-L59-N59</ns0:f>
        <ns0:v>18106.25828221025</ns0:v>
      </ns0:c>
      <ns0:c r="R59" s="16">
        <ns0:f>P59-E59*'前提と出典'!$E$4</ns0:f>
        <ns0:v>76094.10996256248</ns0:v>
      </ns0:c>
      <ns0:c r="S59" s="16">
        <ns0:f>Q59-F59*'前提と出典'!$E$4</ns0:f>
        <ns0:v>5576.232867094157</ns0:v>
      </ns0:c>
      <ns0:c r="T59" s="7">
        <ns0:f>R59+S59</ns0:f>
        <ns0:v>81670.34282965664</ns0:v>
      </ns0:c>
      <ns0:c r="U59" s="16">
        <ns0:f>P59-E59*'前提と出典'!$E$5</ns0:f>
        <ns0:v>65451.91435053445</ns0:v>
      </ns0:c>
      <ns0:c r="V59" s="16">
        <ns0:f>Q59-F59*'前提と出典'!$E$5</ns0:f>
        <ns0:v>1399.557728722124</ns0:v>
      </ns0:c>
      <ns0:c r="W59" s="7">
        <ns0:f>U59+V59</ns0:f>
        <ns0:v>66851.47207925658</ns0:v>
      </ns0:c>
      <ns0:c r="X59" s="16">
        <ns0:f>P59-E59*'前提と出典'!$E$6</ns0:f>
        <ns0:v>54809.718738506424</ns0:v>
      </ns0:c>
      <ns0:c r="Y59" s="16">
        <ns0:f>Q59-F59*'前提と出典'!$E$6</ns0:f>
        <ns0:v>-2777.117409649909</ns0:v>
      </ns0:c>
      <ns0:c r="Z59" s="7">
        <ns0:f>X59+Y59</ns0:f>
        <ns0:v>52032.601328856515</ns0:v>
      </ns0:c>
      <ns0:c r="AA59" s="7">
        <ns0:f>IF(T59&gt;=0,A59,1001)</ns0:f>
        <ns0:v>55</ns0:v>
      </ns0:c>
      <ns0:c r="AB59" s="7">
        <ns0:f>IF(T59&lt;0,A59,0)</ns0:f>
        <ns0:v>0</ns0:v>
      </ns0:c>
      <ns0:c r="AC59" s="16">
        <ns0:f>IF(AND(OR('前提と出典'!$C$36+'前提と出典'!$C$38=0,R59&gt;=0),OR('前提と出典'!$C$37+'前提と出典'!$C$38=0,S59&gt;=0)),0,A59)</ns0:f>
        <ns0:v>0</ns0:v>
      </ns0:c>
      <ns0:c r="AD59" s="7">
        <ns0:f>IF(W59&gt;=0,A59,1001)</ns0:f>
        <ns0:v>55</ns0:v>
      </ns0:c>
      <ns0:c r="AE59" s="7">
        <ns0:f>IF(W59&lt;0,A59,0)</ns0:f>
        <ns0:v>0</ns0:v>
      </ns0:c>
      <ns0:c r="AF59" s="16">
        <ns0:f>IF(AND(OR('前提と出典'!$C$36+'前提と出典'!$C$38=0,U59&gt;=0),OR('前提と出典'!$C$37+'前提と出典'!$C$38=0,V59&gt;=0)),0,A59)</ns0:f>
        <ns0:v>0</ns0:v>
      </ns0:c>
      <ns0:c r="AG59" s="7">
        <ns0:f>IF(Z59&gt;=0,A59,1001)</ns0:f>
        <ns0:v>55</ns0:v>
      </ns0:c>
      <ns0:c r="AH59" s="4">
        <ns0:f>IF(Z59&lt;0,A59,0)</ns0:f>
        <ns0:v>0</ns0:v>
      </ns0:c>
      <ns0:c r="AI59" s="12">
        <ns0:f>IF(AND(OR('前提と出典'!$C$36+'前提と出典'!$C$38=0,X59&gt;=0),OR('前提と出典'!$C$37+'前提と出典'!$C$38=0,Y59&gt;=0)),0,A59)</ns0:f>
        <ns0:v>55</ns0:v>
      </ns0:c>
    </ns0:row>
    <ns0:row r="60" ht="24" customHeight="1">
      <ns0:c r="A60" s="4" t="n">
        <ns0:v>56</ns0:v>
      </ns0:c>
      <ns0:c r="B60" s="12">
        <ns0:f>A60*('前提と出典'!$C$36+'前提と出典'!$C$38)</ns0:f>
        <ns0:v>39.199999999999996</ns0:v>
      </ns0:c>
      <ns0:c r="C60" s="12">
        <ns0:f>A60*('前提と出典'!$C$37+'前提と出典'!$C$38)</ns0:f>
        <ns0:v>33.6</ns0:v>
      </ns0:c>
      <ns0:c r="D60" s="16">
        <ns0:f>A60*('前提と出典'!$C$36*'契約別単価'!C5+'前提と出典'!$C$37*'契約別単価'!C6+'前提と出典'!$C$38*'契約別単価'!C7)</ns0:f>
        <ns0:v>402.94972067039106</ns0:v>
      </ns0:c>
      <ns0:c r="E60" s="16">
        <ns0:f>A60*('前提と出典'!$C$36*'契約別単価'!E5+'前提と出典'!$C$37*'契約別単価'!E6+'前提と出典'!$C$38*'契約別単価'!E7)</ns0:f>
        <ns0:v>108356.90077701249</ns0:v>
      </ns0:c>
      <ns0:c r="F60" s="16">
        <ns0:f>A60*('前提と出典'!$C$36*'契約別単価'!F5+'前提と出典'!$C$37*'契約別単価'!F6+'前提と出典'!$C$38*'契約別単価'!F7)</ns0:f>
        <ns0:v>42526.14686342431</ns0:v>
      </ns0:c>
      <ns0:c r="G60" s="16">
        <ns0:f>A60*('前提と出典'!$C$36*'契約別単価'!G5+'前提と出典'!$C$37*'契約別単価'!G6+'前提と出典'!$C$38*'契約別単価'!G7)</ns0:f>
        <ns0:v>111468.156424581</ns0:v>
      </ns0:c>
      <ns0:c r="H60" s="16">
        <ns0:f>A60*('前提と出典'!$C$36*'契約別単価'!H5+'前提と出典'!$C$37*'契約別単価'!H6+'前提と出典'!$C$38*'契約別単価'!H7)</ns0:f>
        <ns0:v>38685.040846691554</ns0:v>
      </ns0:c>
      <ns0:c r="I60" s="16">
        <ns0:f>A60*('前提と出典'!$C$36*'契約別単価'!I5+'前提と出典'!$C$37*'契約別単価'!I6+'前提と出典'!$C$38*'契約別単価'!I7)</ns0:f>
        <ns0:v>2362.949720670391</ns0:v>
      </ns0:c>
      <ns0:c r="J60" s="16">
        <ns0:f>A60*('前提と出典'!$C$36*'契約別単価'!J5+'前提と出典'!$C$37*'契約別単価'!J6+'前提と出典'!$C$38*'契約別単価'!J7)</ns0:f>
        <ns0:v>5504.214447776943</ns0:v>
      </ns0:c>
      <ns0:c r="K60" s="16">
        <ns0:f>A60*('前提と出典'!$C$36*'契約別単価'!K5+'前提と出典'!$C$37*'契約別単価'!K6+'前提と出典'!$C$38*'契約別単価'!K7)</ns0:f>
        <ns0:v>23592.998137802606</ns0:v>
      </ns0:c>
      <ns0:c r="L60" s="16">
        <ns0:f>A60*('前提と出典'!$C$36*'契約別単価'!L5+'前提と出典'!$C$37*'契約別単価'!L6+'前提と出典'!$C$38*'契約別単価'!L7)</ns0:f>
        <ns0:v>19209.501361556384</ns0:v>
      </ns0:c>
      <ns0:c r="M60" s="16">
        <ns0:f>IF(('前提と出典'!$C$36+'前提と出典'!$C$38)=0,0,IF(B60&lt;=10,'前提と出典'!B73+'前提と出典'!C73,IF(B60&lt;=100,'前提と出典'!B74+'前提と出典'!C74,IF(B60&lt;=500,'前提と出典'!B75+'前提と出典'!C75,'前提と出典'!B76+'前提と出典'!C76))))</ns0:f>
        <ns0:v>20000</ns0:v>
      </ns0:c>
      <ns0:c r="N60" s="16">
        <ns0:f>IF(('前提と出典'!$C$37+'前提と出典'!$C$38)=0,0,IF(C60&lt;=10,'前提と出典'!D73+'前提と出典'!E73,IF(C60&lt;=100,'前提と出典'!D74+'前提と出典'!E74,IF(C60&lt;=500,'前提と出典'!D75+'前提と出典'!E75,'前提と出典'!D76+'前提と出典'!E76))))</ns0:f>
        <ns0:v>34510.9346263078</ns0:v>
      </ns0:c>
      <ns0:c r="O60" s="16">
        <ns0:f>IF('前提と出典'!$C$36+'前提と出典'!$C$38=0,0,'前提と出典'!$B$4*IF('前提と出典'!$B$20=0,MAX('前提と出典'!$B$6,D60*'前提と出典'!$B$5),'前提と出典'!$B$6+D60*'前提と出典'!$B$5))</ns0:f>
        <ns0:v>55607.06145251397</ns0:v>
      </ns0:c>
      <ns0:c r="P60" s="16">
        <ns0:f>(E60+G60)*(1-'前提と出典'!$B$7)-I60-K60-M60-O60</ns0:f>
        <ns0:v>110348.34583134914</ns0:v>
      </ns0:c>
      <ns0:c r="Q60" s="16">
        <ns0:f>(F60+H60)*(1-'前提と出典'!$B$7)-J60-L60-N60</ns0:f>
        <ns0:v>19062.934516910565</ns0:v>
      </ns0:c>
      <ns0:c r="R60" s="16">
        <ns0:f>P60-E60*'前提と出典'!$E$4</ns0:f>
        <ns0:v>77841.27559824538</ns0:v>
      </ns0:c>
      <ns0:c r="S60" s="16">
        <ns0:f>Q60-F60*'前提と出典'!$E$4</ns0:f>
        <ns0:v>6305.090457883278</ns0:v>
      </ns0:c>
      <ns0:c r="T60" s="7">
        <ns0:f>R60+S60</ns0:f>
        <ns0:v>84146.36605612867</ns0:v>
      </ns0:c>
      <ns0:c r="U60" s="16">
        <ns0:f>P60-E60*'前提と出典'!$E$5</ns0:f>
        <ns0:v>67005.58552054415</ns0:v>
      </ns0:c>
      <ns0:c r="V60" s="16">
        <ns0:f>Q60-F60*'前提と出典'!$E$5</ns0:f>
        <ns0:v>2052.4757715408414</ns0:v>
      </ns0:c>
      <ns0:c r="W60" s="7">
        <ns0:f>U60+V60</ns0:f>
        <ns0:v>69058.06129208498</ns0:v>
      </ns0:c>
      <ns0:c r="X60" s="16">
        <ns0:f>P60-E60*'前提と出典'!$E$6</ns0:f>
        <ns0:v>56169.89544284291</ns0:v>
      </ns0:c>
      <ns0:c r="Y60" s="16">
        <ns0:f>Q60-F60*'前提と出典'!$E$6</ns0:f>
        <ns0:v>-2200.138914801584</ns0:v>
      </ns0:c>
      <ns0:c r="Z60" s="7">
        <ns0:f>X60+Y60</ns0:f>
        <ns0:v>53969.756528041326</ns0:v>
      </ns0:c>
      <ns0:c r="AA60" s="7">
        <ns0:f>IF(T60&gt;=0,A60,1001)</ns0:f>
        <ns0:v>56</ns0:v>
      </ns0:c>
      <ns0:c r="AB60" s="7">
        <ns0:f>IF(T60&lt;0,A60,0)</ns0:f>
        <ns0:v>0</ns0:v>
      </ns0:c>
      <ns0:c r="AC60" s="16">
        <ns0:f>IF(AND(OR('前提と出典'!$C$36+'前提と出典'!$C$38=0,R60&gt;=0),OR('前提と出典'!$C$37+'前提と出典'!$C$38=0,S60&gt;=0)),0,A60)</ns0:f>
        <ns0:v>0</ns0:v>
      </ns0:c>
      <ns0:c r="AD60" s="7">
        <ns0:f>IF(W60&gt;=0,A60,1001)</ns0:f>
        <ns0:v>56</ns0:v>
      </ns0:c>
      <ns0:c r="AE60" s="7">
        <ns0:f>IF(W60&lt;0,A60,0)</ns0:f>
        <ns0:v>0</ns0:v>
      </ns0:c>
      <ns0:c r="AF60" s="16">
        <ns0:f>IF(AND(OR('前提と出典'!$C$36+'前提と出典'!$C$38=0,U60&gt;=0),OR('前提と出典'!$C$37+'前提と出典'!$C$38=0,V60&gt;=0)),0,A60)</ns0:f>
        <ns0:v>0</ns0:v>
      </ns0:c>
      <ns0:c r="AG60" s="7">
        <ns0:f>IF(Z60&gt;=0,A60,1001)</ns0:f>
        <ns0:v>56</ns0:v>
      </ns0:c>
      <ns0:c r="AH60" s="4">
        <ns0:f>IF(Z60&lt;0,A60,0)</ns0:f>
        <ns0:v>0</ns0:v>
      </ns0:c>
      <ns0:c r="AI60" s="12">
        <ns0:f>IF(AND(OR('前提と出典'!$C$36+'前提と出典'!$C$38=0,X60&gt;=0),OR('前提と出典'!$C$37+'前提と出典'!$C$38=0,Y60&gt;=0)),0,A60)</ns0:f>
        <ns0:v>56</ns0:v>
      </ns0:c>
    </ns0:row>
    <ns0:row r="61" ht="24" customHeight="1">
      <ns0:c r="A61" s="4" t="n">
        <ns0:v>57</ns0:v>
      </ns0:c>
      <ns0:c r="B61" s="12">
        <ns0:f>A61*('前提と出典'!$C$36+'前提と出典'!$C$38)</ns0:f>
        <ns0:v>39.9</ns0:v>
      </ns0:c>
      <ns0:c r="C61" s="12">
        <ns0:f>A61*('前提と出典'!$C$37+'前提と出典'!$C$38)</ns0:f>
        <ns0:v>34.199999999999996</ns0:v>
      </ns0:c>
      <ns0:c r="D61" s="16">
        <ns0:f>A61*('前提と出典'!$C$36*'契約別単価'!C5+'前提と出典'!$C$37*'契約別単価'!C6+'前提と出典'!$C$38*'契約別単価'!C7)</ns0:f>
        <ns0:v>410.14525139664806</ns0:v>
      </ns0:c>
      <ns0:c r="E61" s="16">
        <ns0:f>A61*('前提と出典'!$C$36*'契約別単価'!E5+'前提と出典'!$C$37*'契約別単価'!E6+'前提と出典'!$C$38*'契約別単価'!E7)</ns0:f>
        <ns0:v>110291.84543374486</ns0:v>
      </ns0:c>
      <ns0:c r="F61" s="16">
        <ns0:f>A61*('前提と出典'!$C$36*'契約別単価'!F5+'前提と出典'!$C$37*'契約別単価'!F6+'前提と出典'!$C$38*'契約別単価'!F7)</ns0:f>
        <ns0:v>43285.54234312831</ns0:v>
      </ns0:c>
      <ns0:c r="G61" s="16">
        <ns0:f>A61*('前提と出典'!$C$36*'契約別単価'!G5+'前提と出典'!$C$37*'契約別単価'!G6+'前提と出典'!$C$38*'契約別単価'!G7)</ns0:f>
        <ns0:v>113458.6592178771</ns0:v>
      </ns0:c>
      <ns0:c r="H61" s="16">
        <ns0:f>A61*('前提と出典'!$C$36*'契約別単価'!H5+'前提と出典'!$C$37*'契約別単価'!H6+'前提と出典'!$C$38*'契約別単価'!H7)</ns0:f>
        <ns0:v>39375.84514752533</ns0:v>
      </ns0:c>
      <ns0:c r="I61" s="16">
        <ns0:f>A61*('前提と出典'!$C$36*'契約別単価'!I5+'前提と出典'!$C$37*'契約別単価'!I6+'前提と出典'!$C$38*'契約別単価'!I7)</ns0:f>
        <ns0:v>2405.145251396648</ns0:v>
      </ns0:c>
      <ns0:c r="J61" s="16">
        <ns0:f>A61*('前提と出典'!$C$36*'契約別単価'!J5+'前提と出典'!$C$37*'契約別単価'!J6+'前提と出典'!$C$38*'契約別単価'!J7)</ns0:f>
        <ns0:v>5602.503991487246</ns0:v>
      </ns0:c>
      <ns0:c r="K61" s="16">
        <ns0:f>A61*('前提と出典'!$C$36*'契約別単価'!K5+'前提と出典'!$C$37*'契約別単価'!K6+'前提と出典'!$C$38*'契約別単価'!K7)</ns0:f>
        <ns0:v>24014.30167597765</ns0:v>
      </ns0:c>
      <ns0:c r="L61" s="16">
        <ns0:f>A61*('前提と出典'!$C$36*'契約別単価'!L5+'前提と出典'!$C$37*'契約別単価'!L6+'前提と出典'!$C$38*'契約別単価'!L7)</ns0:f>
        <ns0:v>19552.528171584177</ns0:v>
      </ns0:c>
      <ns0:c r="M61" s="16">
        <ns0:f>IF(('前提と出典'!$C$36+'前提と出典'!$C$38)=0,0,IF(B61&lt;=10,'前提と出典'!B73+'前提と出典'!C73,IF(B61&lt;=100,'前提と出典'!B74+'前提と出典'!C74,IF(B61&lt;=500,'前提と出典'!B75+'前提と出典'!C75,'前提と出典'!B76+'前提と出典'!C76))))</ns0:f>
        <ns0:v>20000</ns0:v>
      </ns0:c>
      <ns0:c r="N61" s="16">
        <ns0:f>IF(('前提と出典'!$C$37+'前提と出典'!$C$38)=0,0,IF(C61&lt;=10,'前提と出典'!D73+'前提と出典'!E73,IF(C61&lt;=100,'前提と出典'!D74+'前提と出典'!E74,IF(C61&lt;=500,'前提と出典'!D75+'前提と出典'!E75,'前提と出典'!D76+'前提と出典'!E76))))</ns0:f>
        <ns0:v>34510.9346263078</ns0:v>
      </ns0:c>
      <ns0:c r="O61" s="16">
        <ns0:f>IF('前提と出典'!$C$36+'前提と出典'!$C$38=0,0,'前提と出典'!$B$4*IF('前提と出典'!$B$20=0,MAX('前提と出典'!$B$6,D61*'前提と出典'!$B$5),'前提と出典'!$B$6+D61*'前提と出典'!$B$5))</ns0:f>
        <ns0:v>56600.044692737436</ns0:v>
      </ns0:c>
      <ns0:c r="P61" s="16">
        <ns0:f>(E61+G61)*(1-'前提と出典'!$B$7)-I61-K61-M61-O61</ns0:f>
        <ns0:v>112675.99486405187</ns0:v>
      </ns0:c>
      <ns0:c r="Q61" s="16">
        <ns0:f>(F61+H61)*(1-'前提と出典'!$B$7)-J61-L61-N61</ns0:f>
        <ns0:v>20019.61075161088</ns0:v>
      </ns0:c>
      <ns0:c r="R61" s="16">
        <ns0:f>P61-E61*'前提と出典'!$E$4</ns0:f>
        <ns0:v>79588.4412339284</ns0:v>
      </ns0:c>
      <ns0:c r="S61" s="16">
        <ns0:f>Q61-F61*'前提と出典'!$E$4</ns0:f>
        <ns0:v>7033.948048672391</ns0:v>
      </ns0:c>
      <ns0:c r="T61" s="7">
        <ns0:f>R61+S61</ns0:f>
        <ns0:v>86622.3892826008</ns0:v>
      </ns0:c>
      <ns0:c r="U61" s="16">
        <ns0:f>P61-E61*'前提と出典'!$E$5</ns0:f>
        <ns0:v>68559.25669055391</ns0:v>
      </ns0:c>
      <ns0:c r="V61" s="16">
        <ns0:f>Q61-F61*'前提と出典'!$E$5</ns0:f>
        <ns0:v>2705.3938143595515</ns0:v>
      </ns0:c>
      <ns0:c r="W61" s="7">
        <ns0:f>U61+V61</ns0:f>
        <ns0:v>71264.65050491347</ns0:v>
      </ns0:c>
      <ns0:c r="X61" s="16">
        <ns0:f>P61-E61*'前提と出典'!$E$6</ns0:f>
        <ns0:v>57530.072147179446</ns0:v>
      </ns0:c>
      <ns0:c r="Y61" s="16">
        <ns0:f>Q61-F61*'前提と出典'!$E$6</ns0:f>
        <ns0:v>-1623.160419953274</ns0:v>
      </ns0:c>
      <ns0:c r="Z61" s="7">
        <ns0:f>X61+Y61</ns0:f>
        <ns0:v>55906.91172722617</ns0:v>
      </ns0:c>
      <ns0:c r="AA61" s="7">
        <ns0:f>IF(T61&gt;=0,A61,1001)</ns0:f>
        <ns0:v>57</ns0:v>
      </ns0:c>
      <ns0:c r="AB61" s="7">
        <ns0:f>IF(T61&lt;0,A61,0)</ns0:f>
        <ns0:v>0</ns0:v>
      </ns0:c>
      <ns0:c r="AC61" s="16">
        <ns0:f>IF(AND(OR('前提と出典'!$C$36+'前提と出典'!$C$38=0,R61&gt;=0),OR('前提と出典'!$C$37+'前提と出典'!$C$38=0,S61&gt;=0)),0,A61)</ns0:f>
        <ns0:v>0</ns0:v>
      </ns0:c>
      <ns0:c r="AD61" s="7">
        <ns0:f>IF(W61&gt;=0,A61,1001)</ns0:f>
        <ns0:v>57</ns0:v>
      </ns0:c>
      <ns0:c r="AE61" s="7">
        <ns0:f>IF(W61&lt;0,A61,0)</ns0:f>
        <ns0:v>0</ns0:v>
      </ns0:c>
      <ns0:c r="AF61" s="16">
        <ns0:f>IF(AND(OR('前提と出典'!$C$36+'前提と出典'!$C$38=0,U61&gt;=0),OR('前提と出典'!$C$37+'前提と出典'!$C$38=0,V61&gt;=0)),0,A61)</ns0:f>
        <ns0:v>0</ns0:v>
      </ns0:c>
      <ns0:c r="AG61" s="7">
        <ns0:f>IF(Z61&gt;=0,A61,1001)</ns0:f>
        <ns0:v>57</ns0:v>
      </ns0:c>
      <ns0:c r="AH61" s="4">
        <ns0:f>IF(Z61&lt;0,A61,0)</ns0:f>
        <ns0:v>0</ns0:v>
      </ns0:c>
      <ns0:c r="AI61" s="12">
        <ns0:f>IF(AND(OR('前提と出典'!$C$36+'前提と出典'!$C$38=0,X61&gt;=0),OR('前提と出典'!$C$37+'前提と出典'!$C$38=0,Y61&gt;=0)),0,A61)</ns0:f>
        <ns0:v>57</ns0:v>
      </ns0:c>
    </ns0:row>
    <ns0:row r="62" ht="24" customHeight="1">
      <ns0:c r="A62" s="4" t="n">
        <ns0:v>58</ns0:v>
      </ns0:c>
      <ns0:c r="B62" s="12">
        <ns0:f>A62*('前提と出典'!$C$36+'前提と出典'!$C$38)</ns0:f>
        <ns0:v>40.599999999999994</ns0:v>
      </ns0:c>
      <ns0:c r="C62" s="12">
        <ns0:f>A62*('前提と出典'!$C$37+'前提と出典'!$C$38)</ns0:f>
        <ns0:v>34.8</ns0:v>
      </ns0:c>
      <ns0:c r="D62" s="16">
        <ns0:f>A62*('前提と出典'!$C$36*'契約別単価'!C5+'前提と出典'!$C$37*'契約別単価'!C6+'前提と出典'!$C$38*'契約別単価'!C7)</ns0:f>
        <ns0:v>417.340782122905</ns0:v>
      </ns0:c>
      <ns0:c r="E62" s="16">
        <ns0:f>A62*('前提と出典'!$C$36*'契約別単価'!E5+'前提と出典'!$C$37*'契約別単価'!E6+'前提と出典'!$C$38*'契約別単価'!E7)</ns0:f>
        <ns0:v>112226.79009047723</ns0:v>
      </ns0:c>
      <ns0:c r="F62" s="16">
        <ns0:f>A62*('前提と出典'!$C$36*'契約別単価'!F5+'前提と出典'!$C$37*'契約別単価'!F6+'前提と出典'!$C$38*'契約別単価'!F7)</ns0:f>
        <ns0:v>44044.93782283232</ns0:v>
      </ns0:c>
      <ns0:c r="G62" s="16">
        <ns0:f>A62*('前提と出典'!$C$36*'契約別単価'!G5+'前提と出典'!$C$37*'契約別単価'!G6+'前提と出典'!$C$38*'契約別単価'!G7)</ns0:f>
        <ns0:v>115449.16201117318</ns0:v>
      </ns0:c>
      <ns0:c r="H62" s="16">
        <ns0:f>A62*('前提と出典'!$C$36*'契約別単価'!H5+'前提と出典'!$C$37*'契約別単価'!H6+'前提と出典'!$C$38*'契約別単価'!H7)</ns0:f>
        <ns0:v>40066.64944835911</ns0:v>
      </ns0:c>
      <ns0:c r="I62" s="16">
        <ns0:f>A62*('前提と出典'!$C$36*'契約別単価'!I5+'前提と出典'!$C$37*'契約別単価'!I6+'前提と出典'!$C$38*'契約別単価'!I7)</ns0:f>
        <ns0:v>2447.340782122905</ns0:v>
      </ns0:c>
      <ns0:c r="J62" s="16">
        <ns0:f>A62*('前提と出典'!$C$36*'契約別単価'!J5+'前提と出典'!$C$37*'契約別単価'!J6+'前提と出典'!$C$38*'契約別単価'!J7)</ns0:f>
        <ns0:v>5700.793535197549</ns0:v>
      </ns0:c>
      <ns0:c r="K62" s="16">
        <ns0:f>A62*('前提と出典'!$C$36*'契約別単価'!K5+'前提と出典'!$C$37*'契約別単価'!K6+'前提と出典'!$C$38*'契約別単価'!K7)</ns0:f>
        <ns0:v>24435.6052141527</ns0:v>
      </ns0:c>
      <ns0:c r="L62" s="16">
        <ns0:f>A62*('前提と出典'!$C$36*'契約別単価'!L5+'前提と出典'!$C$37*'契約別単価'!L6+'前提と出典'!$C$38*'契約別単価'!L7)</ns0:f>
        <ns0:v>19895.55498161197</ns0:v>
      </ns0:c>
      <ns0:c r="M62" s="16">
        <ns0:f>IF(('前提と出典'!$C$36+'前提と出典'!$C$38)=0,0,IF(B62&lt;=10,'前提と出典'!B73+'前提と出典'!C73,IF(B62&lt;=100,'前提と出典'!B74+'前提と出典'!C74,IF(B62&lt;=500,'前提と出典'!B75+'前提と出典'!C75,'前提と出典'!B76+'前提と出典'!C76))))</ns0:f>
        <ns0:v>20000</ns0:v>
      </ns0:c>
      <ns0:c r="N62" s="16">
        <ns0:f>IF(('前提と出典'!$C$37+'前提と出典'!$C$38)=0,0,IF(C62&lt;=10,'前提と出典'!D73+'前提と出典'!E73,IF(C62&lt;=100,'前提と出典'!D74+'前提と出典'!E74,IF(C62&lt;=500,'前提と出典'!D75+'前提と出典'!E75,'前提と出典'!D76+'前提と出典'!E76))))</ns0:f>
        <ns0:v>34510.9346263078</ns0:v>
      </ns0:c>
      <ns0:c r="O62" s="16">
        <ns0:f>IF('前提と出典'!$C$36+'前提と出典'!$C$38=0,0,'前提と出典'!$B$4*IF('前提と出典'!$B$20=0,MAX('前提と出典'!$B$6,D62*'前提と出典'!$B$5),'前提と出典'!$B$6+D62*'前提と出典'!$B$5))</ns0:f>
        <ns0:v>57593.0279329609</ns0:v>
      </ns0:c>
      <ns0:c r="P62" s="16">
        <ns0:f>(E62+G62)*(1-'前提と出典'!$B$7)-I62-K62-M62-O62</ns0:f>
        <ns0:v>115003.64389675454</ns0:v>
      </ns0:c>
      <ns0:c r="Q62" s="16">
        <ns0:f>(F62+H62)*(1-'前提と出典'!$B$7)-J62-L62-N62</ns0:f>
        <ns0:v>20976.286986311217</ns0:v>
      </ns0:c>
      <ns0:c r="R62" s="16">
        <ns0:f>P62-E62*'前提と出典'!$E$4</ns0:f>
        <ns0:v>81335.60686961134</ns0:v>
      </ns0:c>
      <ns0:c r="S62" s="16">
        <ns0:f>Q62-F62*'前提と出典'!$E$4</ns0:f>
        <ns0:v>7762.80563946152</ns0:v>
      </ns0:c>
      <ns0:c r="T62" s="7">
        <ns0:f>R62+S62</ns0:f>
        <ns0:v>89098.41250907286</ns0:v>
      </ns0:c>
      <ns0:c r="U62" s="16">
        <ns0:f>P62-E62*'前提と出典'!$E$5</ns0:f>
        <ns0:v>70112.92786056365</ns0:v>
      </ns0:c>
      <ns0:c r="V62" s="16">
        <ns0:f>Q62-F62*'前提と出典'!$E$5</ns0:f>
        <ns0:v>3358.3118571782907</ns0:v>
      </ns0:c>
      <ns0:c r="W62" s="7">
        <ns0:f>U62+V62</ns0:f>
        <ns0:v>73471.23971774193</ns0:v>
      </ns0:c>
      <ns0:c r="X62" s="16">
        <ns0:f>P62-E62*'前提と出典'!$E$6</ns0:f>
        <ns0:v>58890.2488515159</ns0:v>
      </ns0:c>
      <ns0:c r="Y62" s="16">
        <ns0:f>Q62-F62*'前提と出典'!$E$6</ns0:f>
        <ns0:v>-1046.1819251049383</ns0:v>
      </ns0:c>
      <ns0:c r="Z62" s="7">
        <ns0:f>X62+Y62</ns0:f>
        <ns0:v>57844.06692641096</ns0:v>
      </ns0:c>
      <ns0:c r="AA62" s="7">
        <ns0:f>IF(T62&gt;=0,A62,1001)</ns0:f>
        <ns0:v>58</ns0:v>
      </ns0:c>
      <ns0:c r="AB62" s="7">
        <ns0:f>IF(T62&lt;0,A62,0)</ns0:f>
        <ns0:v>0</ns0:v>
      </ns0:c>
      <ns0:c r="AC62" s="16">
        <ns0:f>IF(AND(OR('前提と出典'!$C$36+'前提と出典'!$C$38=0,R62&gt;=0),OR('前提と出典'!$C$37+'前提と出典'!$C$38=0,S62&gt;=0)),0,A62)</ns0:f>
        <ns0:v>0</ns0:v>
      </ns0:c>
      <ns0:c r="AD62" s="7">
        <ns0:f>IF(W62&gt;=0,A62,1001)</ns0:f>
        <ns0:v>58</ns0:v>
      </ns0:c>
      <ns0:c r="AE62" s="7">
        <ns0:f>IF(W62&lt;0,A62,0)</ns0:f>
        <ns0:v>0</ns0:v>
      </ns0:c>
      <ns0:c r="AF62" s="16">
        <ns0:f>IF(AND(OR('前提と出典'!$C$36+'前提と出典'!$C$38=0,U62&gt;=0),OR('前提と出典'!$C$37+'前提と出典'!$C$38=0,V62&gt;=0)),0,A62)</ns0:f>
        <ns0:v>0</ns0:v>
      </ns0:c>
      <ns0:c r="AG62" s="7">
        <ns0:f>IF(Z62&gt;=0,A62,1001)</ns0:f>
        <ns0:v>58</ns0:v>
      </ns0:c>
      <ns0:c r="AH62" s="4">
        <ns0:f>IF(Z62&lt;0,A62,0)</ns0:f>
        <ns0:v>0</ns0:v>
      </ns0:c>
      <ns0:c r="AI62" s="12">
        <ns0:f>IF(AND(OR('前提と出典'!$C$36+'前提と出典'!$C$38=0,X62&gt;=0),OR('前提と出典'!$C$37+'前提と出典'!$C$38=0,Y62&gt;=0)),0,A62)</ns0:f>
        <ns0:v>58</ns0:v>
      </ns0:c>
    </ns0:row>
    <ns0:row r="63" ht="24" customHeight="1">
      <ns0:c r="A63" s="4" t="n">
        <ns0:v>59</ns0:v>
      </ns0:c>
      <ns0:c r="B63" s="12">
        <ns0:f>A63*('前提と出典'!$C$36+'前提と出典'!$C$38)</ns0:f>
        <ns0:v>41.3</ns0:v>
      </ns0:c>
      <ns0:c r="C63" s="12">
        <ns0:f>A63*('前提と出典'!$C$37+'前提と出典'!$C$38)</ns0:f>
        <ns0:v>35.4</ns0:v>
      </ns0:c>
      <ns0:c r="D63" s="16">
        <ns0:f>A63*('前提と出典'!$C$36*'契約別単価'!C5+'前提と出典'!$C$37*'契約別単価'!C6+'前提と出典'!$C$38*'契約別単価'!C7)</ns0:f>
        <ns0:v>424.536312849162</ns0:v>
      </ns0:c>
      <ns0:c r="E63" s="16">
        <ns0:f>A63*('前提と出典'!$C$36*'契約別単価'!E5+'前提と出典'!$C$37*'契約別単価'!E6+'前提と出典'!$C$38*'契約別単価'!E7)</ns0:f>
        <ns0:v>114161.73474720959</ns0:v>
      </ns0:c>
      <ns0:c r="F63" s="16">
        <ns0:f>A63*('前提と出典'!$C$36*'契約別単価'!F5+'前提と出典'!$C$37*'契約別単価'!F6+'前提と出典'!$C$38*'契約別単価'!F7)</ns0:f>
        <ns0:v>44804.333302536324</ns0:v>
      </ns0:c>
      <ns0:c r="G63" s="16">
        <ns0:f>A63*('前提と出典'!$C$36*'契約別単価'!G5+'前提と出典'!$C$37*'契約別単価'!G6+'前提と出典'!$C$38*'契約別単価'!G7)</ns0:f>
        <ns0:v>117439.66480446927</ns0:v>
      </ns0:c>
      <ns0:c r="H63" s="16">
        <ns0:f>A63*('前提と出典'!$C$36*'契約別単価'!H5+'前提と出典'!$C$37*'契約別単価'!H6+'前提と出典'!$C$38*'契約別単価'!H7)</ns0:f>
        <ns0:v>40757.453749192886</ns0:v>
      </ns0:c>
      <ns0:c r="I63" s="16">
        <ns0:f>A63*('前提と出典'!$C$36*'契約別単価'!I5+'前提と出典'!$C$37*'契約別単価'!I6+'前提と出典'!$C$38*'契約別単価'!I7)</ns0:f>
        <ns0:v>2489.5363128491617</ns0:v>
      </ns0:c>
      <ns0:c r="J63" s="16">
        <ns0:f>A63*('前提と出典'!$C$36*'契約別単価'!J5+'前提と出典'!$C$37*'契約別単価'!J6+'前提と出典'!$C$38*'契約別単価'!J7)</ns0:f>
        <ns0:v>5799.083078907852</ns0:v>
      </ns0:c>
      <ns0:c r="K63" s="16">
        <ns0:f>A63*('前提と出典'!$C$36*'契約別単価'!K5+'前提と出典'!$C$37*'契約別単価'!K6+'前提と出典'!$C$38*'契約別単価'!K7)</ns0:f>
        <ns0:v>24856.908752327745</ns0:v>
      </ns0:c>
      <ns0:c r="L63" s="16">
        <ns0:f>A63*('前提と出典'!$C$36*'契約別単価'!L5+'前提と出典'!$C$37*'契約別単価'!L6+'前提と出典'!$C$38*'契約別単価'!L7)</ns0:f>
        <ns0:v>20238.58179163976</ns0:v>
      </ns0:c>
      <ns0:c r="M63" s="16">
        <ns0:f>IF(('前提と出典'!$C$36+'前提と出典'!$C$38)=0,0,IF(B63&lt;=10,'前提と出典'!B73+'前提と出典'!C73,IF(B63&lt;=100,'前提と出典'!B74+'前提と出典'!C74,IF(B63&lt;=500,'前提と出典'!B75+'前提と出典'!C75,'前提と出典'!B76+'前提と出典'!C76))))</ns0:f>
        <ns0:v>20000</ns0:v>
      </ns0:c>
      <ns0:c r="N63" s="16">
        <ns0:f>IF(('前提と出典'!$C$37+'前提と出典'!$C$38)=0,0,IF(C63&lt;=10,'前提と出典'!D73+'前提と出典'!E73,IF(C63&lt;=100,'前提と出典'!D74+'前提と出典'!E74,IF(C63&lt;=500,'前提と出典'!D75+'前提と出典'!E75,'前提と出典'!D76+'前提と出典'!E76))))</ns0:f>
        <ns0:v>34510.9346263078</ns0:v>
      </ns0:c>
      <ns0:c r="O63" s="16">
        <ns0:f>IF('前提と出典'!$C$36+'前提と出典'!$C$38=0,0,'前提と出典'!$B$4*IF('前提と出典'!$B$20=0,MAX('前提と出典'!$B$6,D63*'前提と出典'!$B$5),'前提と出典'!$B$6+D63*'前提と出典'!$B$5))</ns0:f>
        <ns0:v>58586.01117318436</ns0:v>
      </ns0:c>
      <ns0:c r="P63" s="16">
        <ns0:f>(E63+G63)*(1-'前提と出典'!$B$7)-I63-K63-M63-O63</ns0:f>
        <ns0:v>117331.29292945717</ns0:v>
      </ns0:c>
      <ns0:c r="Q63" s="16">
        <ns0:f>(F63+H63)*(1-'前提と出典'!$B$7)-J63-L63-N63</ns0:f>
        <ns0:v>21932.96322101156</ns0:v>
      </ns0:c>
      <ns0:c r="R63" s="16">
        <ns0:f>P63-E63*'前提と出典'!$E$4</ns0:f>
        <ns0:v>83082.77250529427</ns0:v>
      </ns0:c>
      <ns0:c r="S63" s="16">
        <ns0:f>Q63-F63*'前提と出典'!$E$4</ns0:f>
        <ns0:v>8491.66323025067</ns0:v>
      </ns0:c>
      <ns0:c r="T63" s="7">
        <ns0:f>R63+S63</ns0:f>
        <ns0:v>91574.43573554495</ns0:v>
      </ns0:c>
      <ns0:c r="U63" s="16">
        <ns0:f>P63-E63*'前提と出典'!$E$5</ns0:f>
        <ns0:v>71666.59903057333</ns0:v>
      </ns0:c>
      <ns0:c r="V63" s="16">
        <ns0:f>Q63-F63*'前提と出典'!$E$5</ns0:f>
        <ns0:v>4011.22989999703</ns0:v>
      </ns0:c>
      <ns0:c r="W63" s="7">
        <ns0:f>U63+V63</ns0:f>
        <ns0:v>75677.82893057037</ns0:v>
      </ns0:c>
      <ns0:c r="X63" s="16">
        <ns0:f>P63-E63*'前提と出典'!$E$6</ns0:f>
        <ns0:v>60250.42555585235</ns0:v>
      </ns0:c>
      <ns0:c r="Y63" s="16">
        <ns0:f>Q63-F63*'前提と出典'!$E$6</ns0:f>
        <ns0:v>-469.20343025660986</ns0:v>
      </ns0:c>
      <ns0:c r="Z63" s="7">
        <ns0:f>X63+Y63</ns0:f>
        <ns0:v>59781.22212559574</ns0:v>
      </ns0:c>
      <ns0:c r="AA63" s="7">
        <ns0:f>IF(T63&gt;=0,A63,1001)</ns0:f>
        <ns0:v>59</ns0:v>
      </ns0:c>
      <ns0:c r="AB63" s="7">
        <ns0:f>IF(T63&lt;0,A63,0)</ns0:f>
        <ns0:v>0</ns0:v>
      </ns0:c>
      <ns0:c r="AC63" s="16">
        <ns0:f>IF(AND(OR('前提と出典'!$C$36+'前提と出典'!$C$38=0,R63&gt;=0),OR('前提と出典'!$C$37+'前提と出典'!$C$38=0,S63&gt;=0)),0,A63)</ns0:f>
        <ns0:v>0</ns0:v>
      </ns0:c>
      <ns0:c r="AD63" s="7">
        <ns0:f>IF(W63&gt;=0,A63,1001)</ns0:f>
        <ns0:v>59</ns0:v>
      </ns0:c>
      <ns0:c r="AE63" s="7">
        <ns0:f>IF(W63&lt;0,A63,0)</ns0:f>
        <ns0:v>0</ns0:v>
      </ns0:c>
      <ns0:c r="AF63" s="16">
        <ns0:f>IF(AND(OR('前提と出典'!$C$36+'前提と出典'!$C$38=0,U63&gt;=0),OR('前提と出典'!$C$37+'前提と出典'!$C$38=0,V63&gt;=0)),0,A63)</ns0:f>
        <ns0:v>0</ns0:v>
      </ns0:c>
      <ns0:c r="AG63" s="7">
        <ns0:f>IF(Z63&gt;=0,A63,1001)</ns0:f>
        <ns0:v>59</ns0:v>
      </ns0:c>
      <ns0:c r="AH63" s="4">
        <ns0:f>IF(Z63&lt;0,A63,0)</ns0:f>
        <ns0:v>0</ns0:v>
      </ns0:c>
      <ns0:c r="AI63" s="12">
        <ns0:f>IF(AND(OR('前提と出典'!$C$36+'前提と出典'!$C$38=0,X63&gt;=0),OR('前提と出典'!$C$37+'前提と出典'!$C$38=0,Y63&gt;=0)),0,A63)</ns0:f>
        <ns0:v>59</ns0:v>
      </ns0:c>
    </ns0:row>
    <ns0:row r="64" ht="24" customHeight="1">
      <ns0:c r="A64" s="4" t="n">
        <ns0:v>60</ns0:v>
      </ns0:c>
      <ns0:c r="B64" s="12">
        <ns0:f>A64*('前提と出典'!$C$36+'前提と出典'!$C$38)</ns0:f>
        <ns0:v>42</ns0:v>
      </ns0:c>
      <ns0:c r="C64" s="12">
        <ns0:f>A64*('前提と出典'!$C$37+'前提と出典'!$C$38)</ns0:f>
        <ns0:v>36</ns0:v>
      </ns0:c>
      <ns0:c r="D64" s="16">
        <ns0:f>A64*('前提と出典'!$C$36*'契約別単価'!C5+'前提と出典'!$C$37*'契約別単価'!C6+'前提と出典'!$C$38*'契約別単価'!C7)</ns0:f>
        <ns0:v>431.731843575419</ns0:v>
      </ns0:c>
      <ns0:c r="E64" s="16">
        <ns0:f>A64*('前提と出典'!$C$36*'契約別単価'!E5+'前提と出典'!$C$37*'契約別単価'!E6+'前提と出典'!$C$38*'契約別単価'!E7)</ns0:f>
        <ns0:v>116096.67940394196</ns0:v>
      </ns0:c>
      <ns0:c r="F64" s="16">
        <ns0:f>A64*('前提と出典'!$C$36*'契約別単価'!F5+'前提と出典'!$C$37*'契約別単価'!F6+'前提と出典'!$C$38*'契約別単価'!F7)</ns0:f>
        <ns0:v>45563.72878224033</ns0:v>
      </ns0:c>
      <ns0:c r="G64" s="16">
        <ns0:f>A64*('前提と出典'!$C$36*'契約別単価'!G5+'前提と出典'!$C$37*'契約別単価'!G6+'前提と出典'!$C$38*'契約別単価'!G7)</ns0:f>
        <ns0:v>119430.16759776536</ns0:v>
      </ns0:c>
      <ns0:c r="H64" s="16">
        <ns0:f>A64*('前提と出典'!$C$36*'契約別単価'!H5+'前提と出典'!$C$37*'契約別単価'!H6+'前提と出典'!$C$38*'契約別単価'!H7)</ns0:f>
        <ns0:v>41448.25805002666</ns0:v>
      </ns0:c>
      <ns0:c r="I64" s="16">
        <ns0:f>A64*('前提と出典'!$C$36*'契約別単価'!I5+'前提と出典'!$C$37*'契約別単価'!I6+'前提と出典'!$C$38*'契約別単価'!I7)</ns0:f>
        <ns0:v>2531.7318435754187</ns0:v>
      </ns0:c>
      <ns0:c r="J64" s="16">
        <ns0:f>A64*('前提と出典'!$C$36*'契約別単価'!J5+'前提と出典'!$C$37*'契約別単価'!J6+'前提と出典'!$C$38*'契約別単価'!J7)</ns0:f>
        <ns0:v>5897.372622618154</ns0:v>
      </ns0:c>
      <ns0:c r="K64" s="16">
        <ns0:f>A64*('前提と出典'!$C$36*'契約別単価'!K5+'前提と出典'!$C$37*'契約別単価'!K6+'前提と出典'!$C$38*'契約別単価'!K7)</ns0:f>
        <ns0:v>25278.21229050279</ns0:v>
      </ns0:c>
      <ns0:c r="L64" s="16">
        <ns0:f>A64*('前提と出典'!$C$36*'契約別単価'!L5+'前提と出典'!$C$37*'契約別単価'!L6+'前提と出典'!$C$38*'契約別単価'!L7)</ns0:f>
        <ns0:v>20581.608601667554</ns0:v>
      </ns0:c>
      <ns0:c r="M64" s="16">
        <ns0:f>IF(('前提と出典'!$C$36+'前提と出典'!$C$38)=0,0,IF(B64&lt;=10,'前提と出典'!B73+'前提と出典'!C73,IF(B64&lt;=100,'前提と出典'!B74+'前提と出典'!C74,IF(B64&lt;=500,'前提と出典'!B75+'前提と出典'!C75,'前提と出典'!B76+'前提と出典'!C76))))</ns0:f>
        <ns0:v>20000</ns0:v>
      </ns0:c>
      <ns0:c r="N64" s="16">
        <ns0:f>IF(('前提と出典'!$C$37+'前提と出典'!$C$38)=0,0,IF(C64&lt;=10,'前提と出典'!D73+'前提と出典'!E73,IF(C64&lt;=100,'前提と出典'!D74+'前提と出典'!E74,IF(C64&lt;=500,'前提と出典'!D75+'前提と出典'!E75,'前提と出典'!D76+'前提と出典'!E76))))</ns0:f>
        <ns0:v>34510.9346263078</ns0:v>
      </ns0:c>
      <ns0:c r="O64" s="16">
        <ns0:f>IF('前提と出典'!$C$36+'前提と出典'!$C$38=0,0,'前提と出典'!$B$4*IF('前提と出典'!$B$20=0,MAX('前提と出典'!$B$6,D64*'前提と出典'!$B$5),'前提と出典'!$B$6+D64*'前提と出典'!$B$5))</ns0:f>
        <ns0:v>59578.994413407825</ns0:v>
      </ns0:c>
      <ns0:c r="P64" s="16">
        <ns0:f>(E64+G64)*(1-'前提と出典'!$B$7)-I64-K64-M64-O64</ns0:f>
        <ns0:v>119658.9419621598</ns0:v>
      </ns0:c>
      <ns0:c r="Q64" s="16">
        <ns0:f>(F64+H64)*(1-'前提と出典'!$B$7)-J64-L64-N64</ns0:f>
        <ns0:v>22889.63945571188</ns0:v>
      </ns0:c>
      <ns0:c r="R64" s="16">
        <ns0:f>P64-E64*'前提と出典'!$E$4</ns0:f>
        <ns0:v>84829.93814097722</ns0:v>
      </ns0:c>
      <ns0:c r="S64" s="16">
        <ns0:f>Q64-F64*'前提と出典'!$E$4</ns0:f>
        <ns0:v>9220.520821039783</ns0:v>
      </ns0:c>
      <ns0:c r="T64" s="7">
        <ns0:f>R64+S64</ns0:f>
        <ns0:v>94050.458962017</ns0:v>
      </ns0:c>
      <ns0:c r="U64" s="16">
        <ns0:f>P64-E64*'前提と出典'!$E$5</ns0:f>
        <ns0:v>73220.27020058302</ns0:v>
      </ns0:c>
      <ns0:c r="V64" s="16">
        <ns0:f>Q64-F64*'前提と出典'!$E$5</ns0:f>
        <ns0:v>4664.147942815747</ns0:v>
      </ns0:c>
      <ns0:c r="W64" s="7">
        <ns0:f>U64+V64</ns0:f>
        <ns0:v>77884.41814339877</ns0:v>
      </ns0:c>
      <ns0:c r="X64" s="16">
        <ns0:f>P64-E64*'前提と出典'!$E$6</ns0:f>
        <ns0:v>61610.602260188825</ns0:v>
      </ns0:c>
      <ns0:c r="Y64" s="16">
        <ns0:f>Q64-F64*'前提と出典'!$E$6</ns0:f>
        <ns0:v>107.77506459171127</ns0:v>
      </ns0:c>
      <ns0:c r="Z64" s="7">
        <ns0:f>X64+Y64</ns0:f>
        <ns0:v>61718.37732478054</ns0:v>
      </ns0:c>
      <ns0:c r="AA64" s="7">
        <ns0:f>IF(T64&gt;=0,A64,1001)</ns0:f>
        <ns0:v>60</ns0:v>
      </ns0:c>
      <ns0:c r="AB64" s="7">
        <ns0:f>IF(T64&lt;0,A64,0)</ns0:f>
        <ns0:v>0</ns0:v>
      </ns0:c>
      <ns0:c r="AC64" s="16">
        <ns0:f>IF(AND(OR('前提と出典'!$C$36+'前提と出典'!$C$38=0,R64&gt;=0),OR('前提と出典'!$C$37+'前提と出典'!$C$38=0,S64&gt;=0)),0,A64)</ns0:f>
        <ns0:v>0</ns0:v>
      </ns0:c>
      <ns0:c r="AD64" s="7">
        <ns0:f>IF(W64&gt;=0,A64,1001)</ns0:f>
        <ns0:v>60</ns0:v>
      </ns0:c>
      <ns0:c r="AE64" s="7">
        <ns0:f>IF(W64&lt;0,A64,0)</ns0:f>
        <ns0:v>0</ns0:v>
      </ns0:c>
      <ns0:c r="AF64" s="16">
        <ns0:f>IF(AND(OR('前提と出典'!$C$36+'前提と出典'!$C$38=0,U64&gt;=0),OR('前提と出典'!$C$37+'前提と出典'!$C$38=0,V64&gt;=0)),0,A64)</ns0:f>
        <ns0:v>0</ns0:v>
      </ns0:c>
      <ns0:c r="AG64" s="7">
        <ns0:f>IF(Z64&gt;=0,A64,1001)</ns0:f>
        <ns0:v>60</ns0:v>
      </ns0:c>
      <ns0:c r="AH64" s="4">
        <ns0:f>IF(Z64&lt;0,A64,0)</ns0:f>
        <ns0:v>0</ns0:v>
      </ns0:c>
      <ns0:c r="AI64" s="12">
        <ns0:f>IF(AND(OR('前提と出典'!$C$36+'前提と出典'!$C$38=0,X64&gt;=0),OR('前提と出典'!$C$37+'前提と出典'!$C$38=0,Y64&gt;=0)),0,A64)</ns0:f>
        <ns0:v>0</ns0:v>
      </ns0:c>
    </ns0:row>
    <ns0:row r="65" ht="24" customHeight="1">
      <ns0:c r="A65" s="4" t="n">
        <ns0:v>61</ns0:v>
      </ns0:c>
      <ns0:c r="B65" s="12">
        <ns0:f>A65*('前提と出典'!$C$36+'前提と出典'!$C$38)</ns0:f>
        <ns0:v>42.699999999999996</ns0:v>
      </ns0:c>
      <ns0:c r="C65" s="12">
        <ns0:f>A65*('前提と出典'!$C$37+'前提と出典'!$C$38)</ns0:f>
        <ns0:v>36.6</ns0:v>
      </ns0:c>
      <ns0:c r="D65" s="16">
        <ns0:f>A65*('前提と出典'!$C$36*'契約別単価'!C5+'前提と出典'!$C$37*'契約別単価'!C6+'前提と出典'!$C$38*'契約別単価'!C7)</ns0:f>
        <ns0:v>438.92737430167597</ns0:v>
      </ns0:c>
      <ns0:c r="E65" s="16">
        <ns0:f>A65*('前提と出典'!$C$36*'契約別単価'!E5+'前提と出典'!$C$37*'契約別単価'!E6+'前提と出典'!$C$38*'契約別単価'!E7)</ns0:f>
        <ns0:v>118031.62406067432</ns0:v>
      </ns0:c>
      <ns0:c r="F65" s="16">
        <ns0:f>A65*('前提と出典'!$C$36*'契約別単価'!F5+'前提と出典'!$C$37*'契約別単価'!F6+'前提と出典'!$C$38*'契約別単価'!F7)</ns0:f>
        <ns0:v>46323.12426194434</ns0:v>
      </ns0:c>
      <ns0:c r="G65" s="16">
        <ns0:f>A65*('前提と出典'!$C$36*'契約別単価'!G5+'前提と出典'!$C$37*'契約別単価'!G6+'前提と出典'!$C$38*'契約別単価'!G7)</ns0:f>
        <ns0:v>121420.67039106145</ns0:v>
      </ns0:c>
      <ns0:c r="H65" s="16">
        <ns0:f>A65*('前提と出典'!$C$36*'契約別単価'!H5+'前提と出典'!$C$37*'契約別単価'!H6+'前提と出典'!$C$38*'契約別単価'!H7)</ns0:f>
        <ns0:v>42139.06235086044</ns0:v>
      </ns0:c>
      <ns0:c r="I65" s="16">
        <ns0:f>A65*('前提と出典'!$C$36*'契約別単価'!I5+'前提と出典'!$C$37*'契約別単価'!I6+'前提と出典'!$C$38*'契約別単価'!I7)</ns0:f>
        <ns0:v>2573.9273743016756</ns0:v>
      </ns0:c>
      <ns0:c r="J65" s="16">
        <ns0:f>A65*('前提と出典'!$C$36*'契約別単価'!J5+'前提と出典'!$C$37*'契約別単価'!J6+'前提と出典'!$C$38*'契約別単価'!J7)</ns0:f>
        <ns0:v>5995.662166328457</ns0:v>
      </ns0:c>
      <ns0:c r="K65" s="16">
        <ns0:f>A65*('前提と出典'!$C$36*'契約別単価'!K5+'前提と出典'!$C$37*'契約別単価'!K6+'前提と出典'!$C$38*'契約別単価'!K7)</ns0:f>
        <ns0:v>25699.51582867784</ns0:v>
      </ns0:c>
      <ns0:c r="L65" s="16">
        <ns0:f>A65*('前提と出典'!$C$36*'契約別単価'!L5+'前提と出典'!$C$37*'契約別単価'!L6+'前提と出典'!$C$38*'契約別単価'!L7)</ns0:f>
        <ns0:v>20924.635411695348</ns0:v>
      </ns0:c>
      <ns0:c r="M65" s="16">
        <ns0:f>IF(('前提と出典'!$C$36+'前提と出典'!$C$38)=0,0,IF(B65&lt;=10,'前提と出典'!B73+'前提と出典'!C73,IF(B65&lt;=100,'前提と出典'!B74+'前提と出典'!C74,IF(B65&lt;=500,'前提と出典'!B75+'前提と出典'!C75,'前提と出典'!B76+'前提と出典'!C76))))</ns0:f>
        <ns0:v>20000</ns0:v>
      </ns0:c>
      <ns0:c r="N65" s="16">
        <ns0:f>IF(('前提と出典'!$C$37+'前提と出典'!$C$38)=0,0,IF(C65&lt;=10,'前提と出典'!D73+'前提と出典'!E73,IF(C65&lt;=100,'前提と出典'!D74+'前提と出典'!E74,IF(C65&lt;=500,'前提と出典'!D75+'前提と出典'!E75,'前提と出典'!D76+'前提と出典'!E76))))</ns0:f>
        <ns0:v>34510.9346263078</ns0:v>
      </ns0:c>
      <ns0:c r="O65" s="16">
        <ns0:f>IF('前提と出典'!$C$36+'前提と出典'!$C$38=0,0,'前提と出典'!$B$4*IF('前提と出典'!$B$20=0,MAX('前提と出典'!$B$6,D65*'前提と出典'!$B$5),'前提と出典'!$B$6+D65*'前提と出典'!$B$5))</ns0:f>
        <ns0:v>60571.977653631286</ns0:v>
      </ns0:c>
      <ns0:c r="P65" s="16">
        <ns0:f>(E65+G65)*(1-'前提と出典'!$B$7)-I65-K65-M65-O65</ns0:f>
        <ns0:v>121986.59099486249</ns0:v>
      </ns0:c>
      <ns0:c r="Q65" s="16">
        <ns0:f>(F65+H65)*(1-'前提と出典'!$B$7)-J65-L65-N65</ns0:f>
        <ns0:v>23846.3156904122</ns0:v>
      </ns0:c>
      <ns0:c r="R65" s="16">
        <ns0:f>P65-E65*'前提と出典'!$E$4</ns0:f>
        <ns0:v>86577.10377666018</ns0:v>
      </ns0:c>
      <ns0:c r="S65" s="16">
        <ns0:f>Q65-F65*'前提と出典'!$E$4</ns0:f>
        <ns0:v>9949.378411828897</ns0:v>
      </ns0:c>
      <ns0:c r="T65" s="7">
        <ns0:f>R65+S65</ns0:f>
        <ns0:v>96526.48218848908</ns0:v>
      </ns0:c>
      <ns0:c r="U65" s="16">
        <ns0:f>P65-E65*'前提と出典'!$E$5</ns0:f>
        <ns0:v>74773.94137059276</ns0:v>
      </ns0:c>
      <ns0:c r="V65" s="16">
        <ns0:f>Q65-F65*'前提と出典'!$E$5</ns0:f>
        <ns0:v>5317.065985634465</ns0:v>
      </ns0:c>
      <ns0:c r="W65" s="7">
        <ns0:f>U65+V65</ns0:f>
        <ns0:v>80091.00735622723</ns0:v>
      </ns0:c>
      <ns0:c r="X65" s="16">
        <ns0:f>P65-E65*'前提と出典'!$E$6</ns0:f>
        <ns0:v>62970.77896452531</ns0:v>
      </ns0:c>
      <ns0:c r="Y65" s="16">
        <ns0:f>Q65-F65*'前提と出典'!$E$6</ns0:f>
        <ns0:v>684.7535594400324</ns0:v>
      </ns0:c>
      <ns0:c r="Z65" s="7">
        <ns0:f>X65+Y65</ns0:f>
        <ns0:v>63655.53252396534</ns0:v>
      </ns0:c>
      <ns0:c r="AA65" s="7">
        <ns0:f>IF(T65&gt;=0,A65,1001)</ns0:f>
        <ns0:v>61</ns0:v>
      </ns0:c>
      <ns0:c r="AB65" s="7">
        <ns0:f>IF(T65&lt;0,A65,0)</ns0:f>
        <ns0:v>0</ns0:v>
      </ns0:c>
      <ns0:c r="AC65" s="16">
        <ns0:f>IF(AND(OR('前提と出典'!$C$36+'前提と出典'!$C$38=0,R65&gt;=0),OR('前提と出典'!$C$37+'前提と出典'!$C$38=0,S65&gt;=0)),0,A65)</ns0:f>
        <ns0:v>0</ns0:v>
      </ns0:c>
      <ns0:c r="AD65" s="7">
        <ns0:f>IF(W65&gt;=0,A65,1001)</ns0:f>
        <ns0:v>61</ns0:v>
      </ns0:c>
      <ns0:c r="AE65" s="7">
        <ns0:f>IF(W65&lt;0,A65,0)</ns0:f>
        <ns0:v>0</ns0:v>
      </ns0:c>
      <ns0:c r="AF65" s="16">
        <ns0:f>IF(AND(OR('前提と出典'!$C$36+'前提と出典'!$C$38=0,U65&gt;=0),OR('前提と出典'!$C$37+'前提と出典'!$C$38=0,V65&gt;=0)),0,A65)</ns0:f>
        <ns0:v>0</ns0:v>
      </ns0:c>
      <ns0:c r="AG65" s="7">
        <ns0:f>IF(Z65&gt;=0,A65,1001)</ns0:f>
        <ns0:v>61</ns0:v>
      </ns0:c>
      <ns0:c r="AH65" s="4">
        <ns0:f>IF(Z65&lt;0,A65,0)</ns0:f>
        <ns0:v>0</ns0:v>
      </ns0:c>
      <ns0:c r="AI65" s="12">
        <ns0:f>IF(AND(OR('前提と出典'!$C$36+'前提と出典'!$C$38=0,X65&gt;=0),OR('前提と出典'!$C$37+'前提と出典'!$C$38=0,Y65&gt;=0)),0,A65)</ns0:f>
        <ns0:v>0</ns0:v>
      </ns0:c>
    </ns0:row>
    <ns0:row r="66" ht="24" customHeight="1">
      <ns0:c r="A66" s="4" t="n">
        <ns0:v>62</ns0:v>
      </ns0:c>
      <ns0:c r="B66" s="12">
        <ns0:f>A66*('前提と出典'!$C$36+'前提と出典'!$C$38)</ns0:f>
        <ns0:v>43.4</ns0:v>
      </ns0:c>
      <ns0:c r="C66" s="12">
        <ns0:f>A66*('前提と出典'!$C$37+'前提と出典'!$C$38)</ns0:f>
        <ns0:v>37.199999999999996</ns0:v>
      </ns0:c>
      <ns0:c r="D66" s="16">
        <ns0:f>A66*('前提と出典'!$C$36*'契約別単価'!C5+'前提と出典'!$C$37*'契約別単価'!C6+'前提と出典'!$C$38*'契約別単価'!C7)</ns0:f>
        <ns0:v>446.122905027933</ns0:v>
      </ns0:c>
      <ns0:c r="E66" s="16">
        <ns0:f>A66*('前提と出典'!$C$36*'契約別単価'!E5+'前提と出典'!$C$37*'契約別単価'!E6+'前提と出典'!$C$38*'契約別単価'!E7)</ns0:f>
        <ns0:v>119966.56871740668</ns0:v>
      </ns0:c>
      <ns0:c r="F66" s="16">
        <ns0:f>A66*('前提と出典'!$C$36*'契約別単価'!F5+'前提と出典'!$C$37*'契約別単価'!F6+'前提と出典'!$C$38*'契約別単価'!F7)</ns0:f>
        <ns0:v>47082.51974164834</ns0:v>
      </ns0:c>
      <ns0:c r="G66" s="16">
        <ns0:f>A66*('前提と出典'!$C$36*'契約別単価'!G5+'前提と出典'!$C$37*'契約別単価'!G6+'前提と出典'!$C$38*'契約別単価'!G7)</ns0:f>
        <ns0:v>123411.17318435754</ns0:v>
      </ns0:c>
      <ns0:c r="H66" s="16">
        <ns0:f>A66*('前提と出典'!$C$36*'契約別単価'!H5+'前提と出典'!$C$37*'契約別単価'!H6+'前提と出典'!$C$38*'契約別単価'!H7)</ns0:f>
        <ns0:v>42829.86665169422</ns0:v>
      </ns0:c>
      <ns0:c r="I66" s="16">
        <ns0:f>A66*('前提と出典'!$C$36*'契約別単価'!I5+'前提と出典'!$C$37*'契約別単価'!I6+'前提と出典'!$C$38*'契約別単価'!I7)</ns0:f>
        <ns0:v>2616.1229050279326</ns0:v>
      </ns0:c>
      <ns0:c r="J66" s="16">
        <ns0:f>A66*('前提と出典'!$C$36*'契約別単価'!J5+'前提と出典'!$C$37*'契約別単価'!J6+'前提と出典'!$C$38*'契約別単価'!J7)</ns0:f>
        <ns0:v>6093.951710038759</ns0:v>
      </ns0:c>
      <ns0:c r="K66" s="16">
        <ns0:f>A66*('前提と出典'!$C$36*'契約別単価'!K5+'前提と出典'!$C$37*'契約別単価'!K6+'前提と出典'!$C$38*'契約別単価'!K7)</ns0:f>
        <ns0:v>26120.819366852884</ns0:v>
      </ns0:c>
      <ns0:c r="L66" s="16">
        <ns0:f>A66*('前提と出典'!$C$36*'契約別単価'!L5+'前提と出典'!$C$37*'契約別単価'!L6+'前提と出典'!$C$38*'契約別単価'!L7)</ns0:f>
        <ns0:v>21267.66222172314</ns0:v>
      </ns0:c>
      <ns0:c r="M66" s="16">
        <ns0:f>IF(('前提と出典'!$C$36+'前提と出典'!$C$38)=0,0,IF(B66&lt;=10,'前提と出典'!B73+'前提と出典'!C73,IF(B66&lt;=100,'前提と出典'!B74+'前提と出典'!C74,IF(B66&lt;=500,'前提と出典'!B75+'前提と出典'!C75,'前提と出典'!B76+'前提と出典'!C76))))</ns0:f>
        <ns0:v>20000</ns0:v>
      </ns0:c>
      <ns0:c r="N66" s="16">
        <ns0:f>IF(('前提と出典'!$C$37+'前提と出典'!$C$38)=0,0,IF(C66&lt;=10,'前提と出典'!D73+'前提と出典'!E73,IF(C66&lt;=100,'前提と出典'!D74+'前提と出典'!E74,IF(C66&lt;=500,'前提と出典'!D75+'前提と出典'!E75,'前提と出典'!D76+'前提と出典'!E76))))</ns0:f>
        <ns0:v>34510.9346263078</ns0:v>
      </ns0:c>
      <ns0:c r="O66" s="16">
        <ns0:f>IF('前提と出典'!$C$36+'前提と出典'!$C$38=0,0,'前提と出典'!$B$4*IF('前提と出典'!$B$20=0,MAX('前提と出典'!$B$6,D66*'前提と出典'!$B$5),'前提と出典'!$B$6+D66*'前提と出典'!$B$5))</ns0:f>
        <ns0:v>61564.96089385475</ns0:v>
      </ns0:c>
      <ns0:c r="P66" s="16">
        <ns0:f>(E66+G66)*(1-'前提と出典'!$B$7)-I66-K66-M66-O66</ns0:f>
        <ns0:v>124314.24002756516</ns0:v>
      </ns0:c>
      <ns0:c r="Q66" s="16">
        <ns0:f>(F66+H66)*(1-'前提と出典'!$B$7)-J66-L66-N66</ns0:f>
        <ns0:v>24802.99192511252</ns0:v>
      </ns0:c>
      <ns0:c r="R66" s="16">
        <ns0:f>P66-E66*'前提と出典'!$E$4</ns0:f>
        <ns0:v>88324.26941234313</ns0:v>
      </ns0:c>
      <ns0:c r="S66" s="16">
        <ns0:f>Q66-F66*'前提と出典'!$E$4</ns0:f>
        <ns0:v>10678.236002618025</ns0:v>
      </ns0:c>
      <ns0:c r="T66" s="7">
        <ns0:f>R66+S66</ns0:f>
        <ns0:v>99002.50541496115</ns0:v>
      </ns0:c>
      <ns0:c r="U66" s="16">
        <ns0:f>P66-E66*'前提と出典'!$E$5</ns0:f>
        <ns0:v>76327.61254060248</ns0:v>
      </ns0:c>
      <ns0:c r="V66" s="16">
        <ns0:f>Q66-F66*'前提と出典'!$E$5</ns0:f>
        <ns0:v>5969.984028453182</ns0:v>
      </ns0:c>
      <ns0:c r="W66" s="7">
        <ns0:f>U66+V66</ns0:f>
        <ns0:v>82297.59656905566</ns0:v>
      </ns0:c>
      <ns0:c r="X66" s="16">
        <ns0:f>P66-E66*'前提と出典'!$E$6</ns0:f>
        <ns0:v>64330.95566886178</ns0:v>
      </ns0:c>
      <ns0:c r="Y66" s="16">
        <ns0:f>Q66-F66*'前提と出典'!$E$6</ns0:f>
        <ns0:v>1261.7320542883608</ns0:v>
      </ns0:c>
      <ns0:c r="Z66" s="7">
        <ns0:f>X66+Y66</ns0:f>
        <ns0:v>65592.68772315014</ns0:v>
      </ns0:c>
      <ns0:c r="AA66" s="7">
        <ns0:f>IF(T66&gt;=0,A66,1001)</ns0:f>
        <ns0:v>62</ns0:v>
      </ns0:c>
      <ns0:c r="AB66" s="7">
        <ns0:f>IF(T66&lt;0,A66,0)</ns0:f>
        <ns0:v>0</ns0:v>
      </ns0:c>
      <ns0:c r="AC66" s="16">
        <ns0:f>IF(AND(OR('前提と出典'!$C$36+'前提と出典'!$C$38=0,R66&gt;=0),OR('前提と出典'!$C$37+'前提と出典'!$C$38=0,S66&gt;=0)),0,A66)</ns0:f>
        <ns0:v>0</ns0:v>
      </ns0:c>
      <ns0:c r="AD66" s="7">
        <ns0:f>IF(W66&gt;=0,A66,1001)</ns0:f>
        <ns0:v>62</ns0:v>
      </ns0:c>
      <ns0:c r="AE66" s="7">
        <ns0:f>IF(W66&lt;0,A66,0)</ns0:f>
        <ns0:v>0</ns0:v>
      </ns0:c>
      <ns0:c r="AF66" s="16">
        <ns0:f>IF(AND(OR('前提と出典'!$C$36+'前提と出典'!$C$38=0,U66&gt;=0),OR('前提と出典'!$C$37+'前提と出典'!$C$38=0,V66&gt;=0)),0,A66)</ns0:f>
        <ns0:v>0</ns0:v>
      </ns0:c>
      <ns0:c r="AG66" s="7">
        <ns0:f>IF(Z66&gt;=0,A66,1001)</ns0:f>
        <ns0:v>62</ns0:v>
      </ns0:c>
      <ns0:c r="AH66" s="4">
        <ns0:f>IF(Z66&lt;0,A66,0)</ns0:f>
        <ns0:v>0</ns0:v>
      </ns0:c>
      <ns0:c r="AI66" s="12">
        <ns0:f>IF(AND(OR('前提と出典'!$C$36+'前提と出典'!$C$38=0,X66&gt;=0),OR('前提と出典'!$C$37+'前提と出典'!$C$38=0,Y66&gt;=0)),0,A66)</ns0:f>
        <ns0:v>0</ns0:v>
      </ns0:c>
    </ns0:row>
    <ns0:row r="67" ht="24" customHeight="1">
      <ns0:c r="A67" s="4" t="n">
        <ns0:v>63</ns0:v>
      </ns0:c>
      <ns0:c r="B67" s="12">
        <ns0:f>A67*('前提と出典'!$C$36+'前提と出典'!$C$38)</ns0:f>
        <ns0:v>44.099999999999994</ns0:v>
      </ns0:c>
      <ns0:c r="C67" s="12">
        <ns0:f>A67*('前提と出典'!$C$37+'前提と出典'!$C$38)</ns0:f>
        <ns0:v>37.8</ns0:v>
      </ns0:c>
      <ns0:c r="D67" s="16">
        <ns0:f>A67*('前提と出典'!$C$36*'契約別単価'!C5+'前提と出典'!$C$37*'契約別単価'!C6+'前提と出典'!$C$38*'契約別単価'!C7)</ns0:f>
        <ns0:v>453.3184357541899</ns0:v>
      </ns0:c>
      <ns0:c r="E67" s="16">
        <ns0:f>A67*('前提と出典'!$C$36*'契約別単価'!E5+'前提と出典'!$C$37*'契約別単価'!E6+'前提と出典'!$C$38*'契約別単価'!E7)</ns0:f>
        <ns0:v>121901.51337413906</ns0:v>
      </ns0:c>
      <ns0:c r="F67" s="16">
        <ns0:f>A67*('前提と出典'!$C$36*'契約別単価'!F5+'前提と出典'!$C$37*'契約別単価'!F6+'前提と出典'!$C$38*'契約別単価'!F7)</ns0:f>
        <ns0:v>47841.91522135235</ns0:v>
      </ns0:c>
      <ns0:c r="G67" s="16">
        <ns0:f>A67*('前提と出典'!$C$36*'契約別単価'!G5+'前提と出典'!$C$37*'契約別単価'!G6+'前提と出典'!$C$38*'契約別単価'!G7)</ns0:f>
        <ns0:v>125401.67597765362</ns0:v>
      </ns0:c>
      <ns0:c r="H67" s="16">
        <ns0:f>A67*('前提と出典'!$C$36*'契約別単価'!H5+'前提と出典'!$C$37*'契約別単価'!H6+'前提と出典'!$C$38*'契約別単価'!H7)</ns0:f>
        <ns0:v>43520.670952527995</ns0:v>
      </ns0:c>
      <ns0:c r="I67" s="16">
        <ns0:f>A67*('前提と出典'!$C$36*'契約別単価'!I5+'前提と出典'!$C$37*'契約別単価'!I6+'前提と出典'!$C$38*'契約別単価'!I7)</ns0:f>
        <ns0:v>2658.3184357541895</ns0:v>
      </ns0:c>
      <ns0:c r="J67" s="16">
        <ns0:f>A67*('前提と出典'!$C$36*'契約別単価'!J5+'前提と出典'!$C$37*'契約別単価'!J6+'前提と出典'!$C$38*'契約別単価'!J7)</ns0:f>
        <ns0:v>6192.241253749062</ns0:v>
      </ns0:c>
      <ns0:c r="K67" s="16">
        <ns0:f>A67*('前提と出典'!$C$36*'契約別単価'!K5+'前提と出典'!$C$37*'契約別単価'!K6+'前提と出典'!$C$38*'契約別単価'!K7)</ns0:f>
        <ns0:v>26542.122905027933</ns0:v>
      </ns0:c>
      <ns0:c r="L67" s="16">
        <ns0:f>A67*('前提と出典'!$C$36*'契約別単価'!L5+'前提と出典'!$C$37*'契約別単価'!L6+'前提と出典'!$C$38*'契約別単価'!L7)</ns0:f>
        <ns0:v>21610.68903175093</ns0:v>
      </ns0:c>
      <ns0:c r="M67" s="16">
        <ns0:f>IF(('前提と出典'!$C$36+'前提と出典'!$C$38)=0,0,IF(B67&lt;=10,'前提と出典'!B73+'前提と出典'!C73,IF(B67&lt;=100,'前提と出典'!B74+'前提と出典'!C74,IF(B67&lt;=500,'前提と出典'!B75+'前提と出典'!C75,'前提と出典'!B76+'前提と出典'!C76))))</ns0:f>
        <ns0:v>20000</ns0:v>
      </ns0:c>
      <ns0:c r="N67" s="16">
        <ns0:f>IF(('前提と出典'!$C$37+'前提と出典'!$C$38)=0,0,IF(C67&lt;=10,'前提と出典'!D73+'前提と出典'!E73,IF(C67&lt;=100,'前提と出典'!D74+'前提と出典'!E74,IF(C67&lt;=500,'前提と出典'!D75+'前提と出典'!E75,'前提と出典'!D76+'前提と出典'!E76))))</ns0:f>
        <ns0:v>34510.9346263078</ns0:v>
      </ns0:c>
      <ns0:c r="O67" s="16">
        <ns0:f>IF('前提と出典'!$C$36+'前提と出典'!$C$38=0,0,'前提と出典'!$B$4*IF('前提と出典'!$B$20=0,MAX('前提と出典'!$B$6,D67*'前提と出典'!$B$5),'前提と出典'!$B$6+D67*'前提と出典'!$B$5))</ns0:f>
        <ns0:v>62557.94413407821</ns0:v>
      </ns0:c>
      <ns0:c r="P67" s="16">
        <ns0:f>(E67+G67)*(1-'前提と出典'!$B$7)-I67-K67-M67-O67</ns0:f>
        <ns0:v>126641.88906026783</ns0:v>
      </ns0:c>
      <ns0:c r="Q67" s="16">
        <ns0:f>(F67+H67)*(1-'前提と出典'!$B$7)-J67-L67-N67</ns0:f>
        <ns0:v>25759.66815981286</ns0:v>
      </ns0:c>
      <ns0:c r="R67" s="16">
        <ns0:f>P67-E67*'前提と出典'!$E$4</ns0:f>
        <ns0:v>90071.4350480261</ns0:v>
      </ns0:c>
      <ns0:c r="S67" s="16">
        <ns0:f>Q67-F67*'前提と出典'!$E$4</ns0:f>
        <ns0:v>11407.09359340716</ns0:v>
      </ns0:c>
      <ns0:c r="T67" s="7">
        <ns0:f>R67+S67</ns0:f>
        <ns0:v>101478.52864143327</ns0:v>
      </ns0:c>
      <ns0:c r="U67" s="16">
        <ns0:f>P67-E67*'前提と出典'!$E$5</ns0:f>
        <ns0:v>77881.2837106122</ns0:v>
      </ns0:c>
      <ns0:c r="V67" s="16">
        <ns0:f>Q67-F67*'前提と出典'!$E$5</ns0:f>
        <ns0:v>6622.902071271921</ns0:v>
      </ns0:c>
      <ns0:c r="W67" s="7">
        <ns0:f>U67+V67</ns0:f>
        <ns0:v>84504.18578188412</ns0:v>
      </ns0:c>
      <ns0:c r="X67" s="16">
        <ns0:f>P67-E67*'前提と出典'!$E$6</ns0:f>
        <ns0:v>65691.13237319827</ns0:v>
      </ns0:c>
      <ns0:c r="Y67" s="16">
        <ns0:f>Q67-F67*'前提と出典'!$E$6</ns0:f>
        <ns0:v>1838.7105491366892</ns0:v>
      </ns0:c>
      <ns0:c r="Z67" s="7">
        <ns0:f>X67+Y67</ns0:f>
        <ns0:v>67529.84292233497</ns0:v>
      </ns0:c>
      <ns0:c r="AA67" s="7">
        <ns0:f>IF(T67&gt;=0,A67,1001)</ns0:f>
        <ns0:v>63</ns0:v>
      </ns0:c>
      <ns0:c r="AB67" s="7">
        <ns0:f>IF(T67&lt;0,A67,0)</ns0:f>
        <ns0:v>0</ns0:v>
      </ns0:c>
      <ns0:c r="AC67" s="16">
        <ns0:f>IF(AND(OR('前提と出典'!$C$36+'前提と出典'!$C$38=0,R67&gt;=0),OR('前提と出典'!$C$37+'前提と出典'!$C$38=0,S67&gt;=0)),0,A67)</ns0:f>
        <ns0:v>0</ns0:v>
      </ns0:c>
      <ns0:c r="AD67" s="7">
        <ns0:f>IF(W67&gt;=0,A67,1001)</ns0:f>
        <ns0:v>63</ns0:v>
      </ns0:c>
      <ns0:c r="AE67" s="7">
        <ns0:f>IF(W67&lt;0,A67,0)</ns0:f>
        <ns0:v>0</ns0:v>
      </ns0:c>
      <ns0:c r="AF67" s="16">
        <ns0:f>IF(AND(OR('前提と出典'!$C$36+'前提と出典'!$C$38=0,U67&gt;=0),OR('前提と出典'!$C$37+'前提と出典'!$C$38=0,V67&gt;=0)),0,A67)</ns0:f>
        <ns0:v>0</ns0:v>
      </ns0:c>
      <ns0:c r="AG67" s="7">
        <ns0:f>IF(Z67&gt;=0,A67,1001)</ns0:f>
        <ns0:v>63</ns0:v>
      </ns0:c>
      <ns0:c r="AH67" s="4">
        <ns0:f>IF(Z67&lt;0,A67,0)</ns0:f>
        <ns0:v>0</ns0:v>
      </ns0:c>
      <ns0:c r="AI67" s="12">
        <ns0:f>IF(AND(OR('前提と出典'!$C$36+'前提と出典'!$C$38=0,X67&gt;=0),OR('前提と出典'!$C$37+'前提と出典'!$C$38=0,Y67&gt;=0)),0,A67)</ns0:f>
        <ns0:v>0</ns0:v>
      </ns0:c>
    </ns0:row>
    <ns0:row r="68" ht="24" customHeight="1">
      <ns0:c r="A68" s="4" t="n">
        <ns0:v>64</ns0:v>
      </ns0:c>
      <ns0:c r="B68" s="12">
        <ns0:f>A68*('前提と出典'!$C$36+'前提と出典'!$C$38)</ns0:f>
        <ns0:v>44.8</ns0:v>
      </ns0:c>
      <ns0:c r="C68" s="12">
        <ns0:f>A68*('前提と出典'!$C$37+'前提と出典'!$C$38)</ns0:f>
        <ns0:v>38.4</ns0:v>
      </ns0:c>
      <ns0:c r="D68" s="16">
        <ns0:f>A68*('前提と出典'!$C$36*'契約別単価'!C5+'前提と出典'!$C$37*'契約別単価'!C6+'前提と出典'!$C$38*'契約別単価'!C7)</ns0:f>
        <ns0:v>460.5139664804469</ns0:v>
      </ns0:c>
      <ns0:c r="E68" s="16">
        <ns0:f>A68*('前提と出典'!$C$36*'契約別単価'!E5+'前提と出典'!$C$37*'契約別単価'!E6+'前提と出典'!$C$38*'契約別単価'!E7)</ns0:f>
        <ns0:v>123836.45803087142</ns0:v>
      </ns0:c>
      <ns0:c r="F68" s="16">
        <ns0:f>A68*('前提と出典'!$C$36*'契約別単価'!F5+'前提と出典'!$C$37*'契約別単価'!F6+'前提と出典'!$C$38*'契約別単価'!F7)</ns0:f>
        <ns0:v>48601.310701056354</ns0:v>
      </ns0:c>
      <ns0:c r="G68" s="16">
        <ns0:f>A68*('前提と出典'!$C$36*'契約別単価'!G5+'前提と出典'!$C$37*'契約別単価'!G6+'前提と出典'!$C$38*'契約別単価'!G7)</ns0:f>
        <ns0:v>127392.17877094971</ns0:v>
      </ns0:c>
      <ns0:c r="H68" s="16">
        <ns0:f>A68*('前提と出典'!$C$36*'契約別単価'!H5+'前提と出典'!$C$37*'契約別単価'!H6+'前提と出典'!$C$38*'契約別単価'!H7)</ns0:f>
        <ns0:v>44211.47525336177</ns0:v>
      </ns0:c>
      <ns0:c r="I68" s="16">
        <ns0:f>A68*('前提と出典'!$C$36*'契約別単価'!I5+'前提と出典'!$C$37*'契約別単価'!I6+'前提と出典'!$C$38*'契約別単価'!I7)</ns0:f>
        <ns0:v>2700.5139664804465</ns0:v>
      </ns0:c>
      <ns0:c r="J68" s="16">
        <ns0:f>A68*('前提と出典'!$C$36*'契約別単価'!J5+'前提と出典'!$C$37*'契約別単価'!J6+'前提と出典'!$C$38*'契約別単価'!J7)</ns0:f>
        <ns0:v>6290.530797459364</ns0:v>
      </ns0:c>
      <ns0:c r="K68" s="16">
        <ns0:f>A68*('前提と出典'!$C$36*'契約別単価'!K5+'前提と出典'!$C$37*'契約別単価'!K6+'前提と出典'!$C$38*'契約別単価'!K7)</ns0:f>
        <ns0:v>26963.426443202978</ns0:v>
      </ns0:c>
      <ns0:c r="L68" s="16">
        <ns0:f>A68*('前提と出典'!$C$36*'契約別単価'!L5+'前提と出典'!$C$37*'契約別単価'!L6+'前提と出典'!$C$38*'契約別単価'!L7)</ns0:f>
        <ns0:v>21953.715841778725</ns0:v>
      </ns0:c>
      <ns0:c r="M68" s="16">
        <ns0:f>IF(('前提と出典'!$C$36+'前提と出典'!$C$38)=0,0,IF(B68&lt;=10,'前提と出典'!B73+'前提と出典'!C73,IF(B68&lt;=100,'前提と出典'!B74+'前提と出典'!C74,IF(B68&lt;=500,'前提と出典'!B75+'前提と出典'!C75,'前提と出典'!B76+'前提と出典'!C76))))</ns0:f>
        <ns0:v>20000</ns0:v>
      </ns0:c>
      <ns0:c r="N68" s="16">
        <ns0:f>IF(('前提と出典'!$C$37+'前提と出典'!$C$38)=0,0,IF(C68&lt;=10,'前提と出典'!D73+'前提と出典'!E73,IF(C68&lt;=100,'前提と出典'!D74+'前提と出典'!E74,IF(C68&lt;=500,'前提と出典'!D75+'前提と出典'!E75,'前提と出典'!D76+'前提と出典'!E76))))</ns0:f>
        <ns0:v>34510.9346263078</ns0:v>
      </ns0:c>
      <ns0:c r="O68" s="16">
        <ns0:f>IF('前提と出典'!$C$36+'前提と出典'!$C$38=0,0,'前提と出典'!$B$4*IF('前提と出典'!$B$20=0,MAX('前提と出典'!$B$6,D68*'前提と出典'!$B$5),'前提と出典'!$B$6+D68*'前提と出典'!$B$5))</ns0:f>
        <ns0:v>63550.927374301675</ns0:v>
      </ns0:c>
      <ns0:c r="P68" s="16">
        <ns0:f>(E68+G68)*(1-'前提と出典'!$B$7)-I68-K68-M68-O68</ns0:f>
        <ns0:v>128969.53809297047</ns0:v>
      </ns0:c>
      <ns0:c r="Q68" s="16">
        <ns0:f>(F68+H68)*(1-'前提と出典'!$B$7)-J68-L68-N68</ns0:f>
        <ns0:v>26716.344394513195</ns0:v>
      </ns0:c>
      <ns0:c r="R68" s="16">
        <ns0:f>P68-E68*'前提と出典'!$E$4</ns0:f>
        <ns0:v>91818.60068370905</ns0:v>
      </ns0:c>
      <ns0:c r="S68" s="16">
        <ns0:f>Q68-F68*'前提と出典'!$E$4</ns0:f>
        <ns0:v>12135.951184196289</ns0:v>
      </ns0:c>
      <ns0:c r="T68" s="7">
        <ns0:f>R68+S68</ns0:f>
        <ns0:v>103954.55186790533</ns0:v>
      </ns0:c>
      <ns0:c r="U68" s="16">
        <ns0:f>P68-E68*'前提と出典'!$E$5</ns0:f>
        <ns0:v>79434.9548806219</ns0:v>
      </ns0:c>
      <ns0:c r="V68" s="16">
        <ns0:f>Q68-F68*'前提と出典'!$E$5</ns0:f>
        <ns0:v>7275.820114090653</ns0:v>
      </ns0:c>
      <ns0:c r="W68" s="7">
        <ns0:f>U68+V68</ns0:f>
        <ns0:v>86710.77499471256</ns0:v>
      </ns0:c>
      <ns0:c r="X68" s="16">
        <ns0:f>P68-E68*'前提と出典'!$E$6</ns0:f>
        <ns0:v>67051.30907753477</ns0:v>
      </ns0:c>
      <ns0:c r="Y68" s="16">
        <ns0:f>Q68-F68*'前提と出典'!$E$6</ns0:f>
        <ns0:v>2415.689043985003</ns0:v>
      </ns0:c>
      <ns0:c r="Z68" s="7">
        <ns0:f>X68+Y68</ns0:f>
        <ns0:v>69466.99812151978</ns0:v>
      </ns0:c>
      <ns0:c r="AA68" s="7">
        <ns0:f>IF(T68&gt;=0,A68,1001)</ns0:f>
        <ns0:v>64</ns0:v>
      </ns0:c>
      <ns0:c r="AB68" s="7">
        <ns0:f>IF(T68&lt;0,A68,0)</ns0:f>
        <ns0:v>0</ns0:v>
      </ns0:c>
      <ns0:c r="AC68" s="16">
        <ns0:f>IF(AND(OR('前提と出典'!$C$36+'前提と出典'!$C$38=0,R68&gt;=0),OR('前提と出典'!$C$37+'前提と出典'!$C$38=0,S68&gt;=0)),0,A68)</ns0:f>
        <ns0:v>0</ns0:v>
      </ns0:c>
      <ns0:c r="AD68" s="7">
        <ns0:f>IF(W68&gt;=0,A68,1001)</ns0:f>
        <ns0:v>64</ns0:v>
      </ns0:c>
      <ns0:c r="AE68" s="7">
        <ns0:f>IF(W68&lt;0,A68,0)</ns0:f>
        <ns0:v>0</ns0:v>
      </ns0:c>
      <ns0:c r="AF68" s="16">
        <ns0:f>IF(AND(OR('前提と出典'!$C$36+'前提と出典'!$C$38=0,U68&gt;=0),OR('前提と出典'!$C$37+'前提と出典'!$C$38=0,V68&gt;=0)),0,A68)</ns0:f>
        <ns0:v>0</ns0:v>
      </ns0:c>
      <ns0:c r="AG68" s="7">
        <ns0:f>IF(Z68&gt;=0,A68,1001)</ns0:f>
        <ns0:v>64</ns0:v>
      </ns0:c>
      <ns0:c r="AH68" s="4">
        <ns0:f>IF(Z68&lt;0,A68,0)</ns0:f>
        <ns0:v>0</ns0:v>
      </ns0:c>
      <ns0:c r="AI68" s="12">
        <ns0:f>IF(AND(OR('前提と出典'!$C$36+'前提と出典'!$C$38=0,X68&gt;=0),OR('前提と出典'!$C$37+'前提と出典'!$C$38=0,Y68&gt;=0)),0,A68)</ns0:f>
        <ns0:v>0</ns0:v>
      </ns0:c>
    </ns0:row>
    <ns0:row r="69" ht="24" customHeight="1">
      <ns0:c r="A69" s="4" t="n">
        <ns0:v>65</ns0:v>
      </ns0:c>
      <ns0:c r="B69" s="12">
        <ns0:f>A69*('前提と出典'!$C$36+'前提と出典'!$C$38)</ns0:f>
        <ns0:v>45.5</ns0:v>
      </ns0:c>
      <ns0:c r="C69" s="12">
        <ns0:f>A69*('前提と出典'!$C$37+'前提と出典'!$C$38)</ns0:f>
        <ns0:v>39</ns0:v>
      </ns0:c>
      <ns0:c r="D69" s="16">
        <ns0:f>A69*('前提と出典'!$C$36*'契約別単価'!C5+'前提と出典'!$C$37*'契約別単価'!C6+'前提と出典'!$C$38*'契約別単価'!C7)</ns0:f>
        <ns0:v>467.70949720670393</ns0:v>
      </ns0:c>
      <ns0:c r="E69" s="16">
        <ns0:f>A69*('前提と出典'!$C$36*'契約別単価'!E5+'前提と出典'!$C$37*'契約別単価'!E6+'前提と出典'!$C$38*'契約別単価'!E7)</ns0:f>
        <ns0:v>125771.40268760378</ns0:v>
      </ns0:c>
      <ns0:c r="F69" s="16">
        <ns0:f>A69*('前提と出典'!$C$36*'契約別単価'!F5+'前提と出典'!$C$37*'契約別単価'!F6+'前提と出典'!$C$38*'契約別単価'!F7)</ns0:f>
        <ns0:v>49360.70618076036</ns0:v>
      </ns0:c>
      <ns0:c r="G69" s="16">
        <ns0:f>A69*('前提と出典'!$C$36*'契約別単価'!G5+'前提と出典'!$C$37*'契約別単価'!G6+'前提と出典'!$C$38*'契約別単価'!G7)</ns0:f>
        <ns0:v>129382.68156424581</ns0:v>
      </ns0:c>
      <ns0:c r="H69" s="16">
        <ns0:f>A69*('前提と出典'!$C$36*'契約別単価'!H5+'前提と出典'!$C$37*'契約別単価'!H6+'前提と出典'!$C$38*'契約別単価'!H7)</ns0:f>
        <ns0:v>44902.27955419555</ns0:v>
      </ns0:c>
      <ns0:c r="I69" s="16">
        <ns0:f>A69*('前提と出典'!$C$36*'契約別単価'!I5+'前提と出典'!$C$37*'契約別単価'!I6+'前提と出典'!$C$38*'契約別単価'!I7)</ns0:f>
        <ns0:v>2742.7094972067034</ns0:v>
      </ns0:c>
      <ns0:c r="J69" s="16">
        <ns0:f>A69*('前提と出典'!$C$36*'契約別単価'!J5+'前提と出典'!$C$37*'契約別単価'!J6+'前提と出典'!$C$38*'契約別単価'!J7)</ns0:f>
        <ns0:v>6388.820341169667</ns0:v>
      </ns0:c>
      <ns0:c r="K69" s="16">
        <ns0:f>A69*('前提と出典'!$C$36*'契約別単価'!K5+'前提と出典'!$C$37*'契約別単価'!K6+'前提と出典'!$C$38*'契約別単価'!K7)</ns0:f>
        <ns0:v>27384.729981378023</ns0:v>
      </ns0:c>
      <ns0:c r="L69" s="16">
        <ns0:f>A69*('前提と出典'!$C$36*'契約別単価'!L5+'前提と出典'!$C$37*'契約別単価'!L6+'前提と出典'!$C$38*'契約別単価'!L7)</ns0:f>
        <ns0:v>22296.74265180652</ns0:v>
      </ns0:c>
      <ns0:c r="M69" s="16">
        <ns0:f>IF(('前提と出典'!$C$36+'前提と出典'!$C$38)=0,0,IF(B69&lt;=10,'前提と出典'!B73+'前提と出典'!C73,IF(B69&lt;=100,'前提と出典'!B74+'前提と出典'!C74,IF(B69&lt;=500,'前提と出典'!B75+'前提と出典'!C75,'前提と出典'!B76+'前提と出典'!C76))))</ns0:f>
        <ns0:v>20000</ns0:v>
      </ns0:c>
      <ns0:c r="N69" s="16">
        <ns0:f>IF(('前提と出典'!$C$37+'前提と出典'!$C$38)=0,0,IF(C69&lt;=10,'前提と出典'!D73+'前提と出典'!E73,IF(C69&lt;=100,'前提と出典'!D74+'前提と出典'!E74,IF(C69&lt;=500,'前提と出典'!D75+'前提と出典'!E75,'前提と出典'!D76+'前提と出典'!E76))))</ns0:f>
        <ns0:v>34510.9346263078</ns0:v>
      </ns0:c>
      <ns0:c r="O69" s="16">
        <ns0:f>IF('前提と出典'!$C$36+'前提と出典'!$C$38=0,0,'前提と出典'!$B$4*IF('前提と出典'!$B$20=0,MAX('前提と出典'!$B$6,D69*'前提と出典'!$B$5),'前提と出典'!$B$6+D69*'前提と出典'!$B$5))</ns0:f>
        <ns0:v>64543.91061452514</ns0:v>
      </ns0:c>
      <ns0:c r="P69" s="16">
        <ns0:f>(E69+G69)*(1-'前提と出典'!$B$7)-I69-K69-M69-O69</ns0:f>
        <ns0:v>131297.18712567317</ns0:v>
      </ns0:c>
      <ns0:c r="Q69" s="16">
        <ns0:f>(F69+H69)*(1-'前提と出典'!$B$7)-J69-L69-N69</ns0:f>
        <ns0:v>27673.020629213515</ns0:v>
      </ns0:c>
      <ns0:c r="R69" s="16">
        <ns0:f>P69-E69*'前提と出典'!$E$4</ns0:f>
        <ns0:v>93565.76631939205</ns0:v>
      </ns0:c>
      <ns0:c r="S69" s="16">
        <ns0:f>Q69-F69*'前提と出典'!$E$4</ns0:f>
        <ns0:v>12864.808774985395</ns0:v>
      </ns0:c>
      <ns0:c r="T69" s="7">
        <ns0:f>R69+S69</ns0:f>
        <ns0:v>106430.57509437745</ns0:v>
      </ns0:c>
      <ns0:c r="U69" s="16">
        <ns0:f>P69-E69*'前提と出典'!$E$5</ns0:f>
        <ns0:v>80988.62605063166</ns0:v>
      </ns0:c>
      <ns0:c r="V69" s="16">
        <ns0:f>Q69-F69*'前提と出典'!$E$5</ns0:f>
        <ns0:v>7928.73815690937</ns0:v>
      </ns0:c>
      <ns0:c r="W69" s="7">
        <ns0:f>U69+V69</ns0:f>
        <ns0:v>88917.36420754103</ns0:v>
      </ns0:c>
      <ns0:c r="X69" s="16">
        <ns0:f>P69-E69*'前提と出典'!$E$6</ns0:f>
        <ns0:v>68411.48578187128</ns0:v>
      </ns0:c>
      <ns0:c r="Y69" s="16">
        <ns0:f>Q69-F69*'前提と出典'!$E$6</ns0:f>
        <ns0:v>2992.6675388333388</ns0:v>
      </ns0:c>
      <ns0:c r="Z69" s="7">
        <ns0:f>X69+Y69</ns0:f>
        <ns0:v>71404.15332070462</ns0:v>
      </ns0:c>
      <ns0:c r="AA69" s="7">
        <ns0:f>IF(T69&gt;=0,A69,1001)</ns0:f>
        <ns0:v>65</ns0:v>
      </ns0:c>
      <ns0:c r="AB69" s="7">
        <ns0:f>IF(T69&lt;0,A69,0)</ns0:f>
        <ns0:v>0</ns0:v>
      </ns0:c>
      <ns0:c r="AC69" s="16">
        <ns0:f>IF(AND(OR('前提と出典'!$C$36+'前提と出典'!$C$38=0,R69&gt;=0),OR('前提と出典'!$C$37+'前提と出典'!$C$38=0,S69&gt;=0)),0,A69)</ns0:f>
        <ns0:v>0</ns0:v>
      </ns0:c>
      <ns0:c r="AD69" s="7">
        <ns0:f>IF(W69&gt;=0,A69,1001)</ns0:f>
        <ns0:v>65</ns0:v>
      </ns0:c>
      <ns0:c r="AE69" s="7">
        <ns0:f>IF(W69&lt;0,A69,0)</ns0:f>
        <ns0:v>0</ns0:v>
      </ns0:c>
      <ns0:c r="AF69" s="16">
        <ns0:f>IF(AND(OR('前提と出典'!$C$36+'前提と出典'!$C$38=0,U69&gt;=0),OR('前提と出典'!$C$37+'前提と出典'!$C$38=0,V69&gt;=0)),0,A69)</ns0:f>
        <ns0:v>0</ns0:v>
      </ns0:c>
      <ns0:c r="AG69" s="7">
        <ns0:f>IF(Z69&gt;=0,A69,1001)</ns0:f>
        <ns0:v>65</ns0:v>
      </ns0:c>
      <ns0:c r="AH69" s="4">
        <ns0:f>IF(Z69&lt;0,A69,0)</ns0:f>
        <ns0:v>0</ns0:v>
      </ns0:c>
      <ns0:c r="AI69" s="12">
        <ns0:f>IF(AND(OR('前提と出典'!$C$36+'前提と出典'!$C$38=0,X69&gt;=0),OR('前提と出典'!$C$37+'前提と出典'!$C$38=0,Y69&gt;=0)),0,A69)</ns0:f>
        <ns0:v>0</ns0:v>
      </ns0:c>
    </ns0:row>
    <ns0:row r="70" ht="24" customHeight="1">
      <ns0:c r="A70" s="4" t="n">
        <ns0:v>66</ns0:v>
      </ns0:c>
      <ns0:c r="B70" s="12">
        <ns0:f>A70*('前提と出典'!$C$36+'前提と出典'!$C$38)</ns0:f>
        <ns0:v>46.199999999999996</ns0:v>
      </ns0:c>
      <ns0:c r="C70" s="12">
        <ns0:f>A70*('前提と出典'!$C$37+'前提と出典'!$C$38)</ns0:f>
        <ns0:v>39.6</ns0:v>
      </ns0:c>
      <ns0:c r="D70" s="16">
        <ns0:f>A70*('前提と出典'!$C$36*'契約別単価'!C5+'前提と出典'!$C$37*'契約別単価'!C6+'前提と出典'!$C$38*'契約別単価'!C7)</ns0:f>
        <ns0:v>474.9050279329609</ns0:v>
      </ns0:c>
      <ns0:c r="E70" s="16">
        <ns0:f>A70*('前提と出典'!$C$36*'契約別単価'!E5+'前提と出典'!$C$37*'契約別単価'!E6+'前提と出典'!$C$38*'契約別単価'!E7)</ns0:f>
        <ns0:v>127706.34734433616</ns0:v>
      </ns0:c>
      <ns0:c r="F70" s="16">
        <ns0:f>A70*('前提と出典'!$C$36*'契約別単価'!F5+'前提と出典'!$C$37*'契約別単価'!F6+'前提と出典'!$C$38*'契約別単価'!F7)</ns0:f>
        <ns0:v>50120.10166046437</ns0:v>
      </ns0:c>
      <ns0:c r="G70" s="16">
        <ns0:f>A70*('前提と出典'!$C$36*'契約別単価'!G5+'前提と出典'!$C$37*'契約別単価'!G6+'前提と出典'!$C$38*'契約別単価'!G7)</ns0:f>
        <ns0:v>131373.1843575419</ns0:v>
      </ns0:c>
      <ns0:c r="H70" s="16">
        <ns0:f>A70*('前提と出典'!$C$36*'契約別単価'!H5+'前提と出典'!$C$37*'契約別単価'!H6+'前提と出典'!$C$38*'契約別単価'!H7)</ns0:f>
        <ns0:v>45593.08385502933</ns0:v>
      </ns0:c>
      <ns0:c r="I70" s="16">
        <ns0:f>A70*('前提と出典'!$C$36*'契約別単価'!I5+'前提と出典'!$C$37*'契約別単価'!I6+'前提と出典'!$C$38*'契約別単価'!I7)</ns0:f>
        <ns0:v>2784.9050279329604</ns0:v>
      </ns0:c>
      <ns0:c r="J70" s="16">
        <ns0:f>A70*('前提と出典'!$C$36*'契約別単価'!J5+'前提と出典'!$C$37*'契約別単価'!J6+'前提と出典'!$C$38*'契約別単価'!J7)</ns0:f>
        <ns0:v>6487.109884879969</ns0:v>
      </ns0:c>
      <ns0:c r="K70" s="16">
        <ns0:f>A70*('前提と出典'!$C$36*'契約別単価'!K5+'前提と出典'!$C$37*'契約別単価'!K6+'前提と出典'!$C$38*'契約別単価'!K7)</ns0:f>
        <ns0:v>27806.03351955307</ns0:v>
      </ns0:c>
      <ns0:c r="L70" s="16">
        <ns0:f>A70*('前提と出典'!$C$36*'契約別単価'!L5+'前提と出典'!$C$37*'契約別単価'!L6+'前提と出典'!$C$38*'契約別単価'!L7)</ns0:f>
        <ns0:v>22639.76946183431</ns0:v>
      </ns0:c>
      <ns0:c r="M70" s="16">
        <ns0:f>IF(('前提と出典'!$C$36+'前提と出典'!$C$38)=0,0,IF(B70&lt;=10,'前提と出典'!B73+'前提と出典'!C73,IF(B70&lt;=100,'前提と出典'!B74+'前提と出典'!C74,IF(B70&lt;=500,'前提と出典'!B75+'前提と出典'!C75,'前提と出典'!B76+'前提と出典'!C76))))</ns0:f>
        <ns0:v>20000</ns0:v>
      </ns0:c>
      <ns0:c r="N70" s="16">
        <ns0:f>IF(('前提と出典'!$C$37+'前提と出典'!$C$38)=0,0,IF(C70&lt;=10,'前提と出典'!D73+'前提と出典'!E73,IF(C70&lt;=100,'前提と出典'!D74+'前提と出典'!E74,IF(C70&lt;=500,'前提と出典'!D75+'前提と出典'!E75,'前提と出典'!D76+'前提と出典'!E76))))</ns0:f>
        <ns0:v>34510.9346263078</ns0:v>
      </ns0:c>
      <ns0:c r="O70" s="16">
        <ns0:f>IF('前提と出典'!$C$36+'前提と出典'!$C$38=0,0,'前提と出典'!$B$4*IF('前提と出典'!$B$20=0,MAX('前提と出典'!$B$6,D70*'前提と出典'!$B$5),'前提と出典'!$B$6+D70*'前提と出典'!$B$5))</ns0:f>
        <ns0:v>65536.8938547486</ns0:v>
      </ns0:c>
      <ns0:c r="P70" s="16">
        <ns0:f>(E70+G70)*(1-'前提と出典'!$B$7)-I70-K70-M70-O70</ns0:f>
        <ns0:v>133624.8361583758</ns0:v>
      </ns0:c>
      <ns0:c r="Q70" s="16">
        <ns0:f>(F70+H70)*(1-'前提と出典'!$B$7)-J70-L70-N70</ns0:f>
        <ns0:v>28629.696863913836</ns0:v>
      </ns0:c>
      <ns0:c r="R70" s="16">
        <ns0:f>P70-E70*'前提と出典'!$E$4</ns0:f>
        <ns0:v>95312.93195507498</ns0:v>
      </ns0:c>
      <ns0:c r="S70" s="16">
        <ns0:f>Q70-F70*'前提と出典'!$E$4</ns0:f>
        <ns0:v>13593.66636577453</ns0:v>
      </ns0:c>
      <ns0:c r="T70" s="7">
        <ns0:f>R70+S70</ns0:f>
        <ns0:v>108906.5983208495</ns0:v>
      </ns0:c>
      <ns0:c r="U70" s="16">
        <ns0:f>P70-E70*'前提と出典'!$E$5</ns0:f>
        <ns0:v>82542.29722064134</ns0:v>
      </ns0:c>
      <ns0:c r="V70" s="16">
        <ns0:f>Q70-F70*'前提と出典'!$E$5</ns0:f>
        <ns0:v>8581.656199728088</ns0:v>
      </ns0:c>
      <ns0:c r="W70" s="7">
        <ns0:f>U70+V70</ns0:f>
        <ns0:v>91123.95342036942</ns0:v>
      </ns0:c>
      <ns0:c r="X70" s="16">
        <ns0:f>P70-E70*'前提と出典'!$E$6</ns0:f>
        <ns0:v>69771.66248620773</ns0:v>
      </ns0:c>
      <ns0:c r="Y70" s="16">
        <ns0:f>Q70-F70*'前提と出典'!$E$6</ns0:f>
        <ns0:v>3569.646033681667</ns0:v>
      </ns0:c>
      <ns0:c r="Z70" s="7">
        <ns0:f>X70+Y70</ns0:f>
        <ns0:v>73341.3085198894</ns0:v>
      </ns0:c>
      <ns0:c r="AA70" s="7">
        <ns0:f>IF(T70&gt;=0,A70,1001)</ns0:f>
        <ns0:v>66</ns0:v>
      </ns0:c>
      <ns0:c r="AB70" s="7">
        <ns0:f>IF(T70&lt;0,A70,0)</ns0:f>
        <ns0:v>0</ns0:v>
      </ns0:c>
      <ns0:c r="AC70" s="16">
        <ns0:f>IF(AND(OR('前提と出典'!$C$36+'前提と出典'!$C$38=0,R70&gt;=0),OR('前提と出典'!$C$37+'前提と出典'!$C$38=0,S70&gt;=0)),0,A70)</ns0:f>
        <ns0:v>0</ns0:v>
      </ns0:c>
      <ns0:c r="AD70" s="7">
        <ns0:f>IF(W70&gt;=0,A70,1001)</ns0:f>
        <ns0:v>66</ns0:v>
      </ns0:c>
      <ns0:c r="AE70" s="7">
        <ns0:f>IF(W70&lt;0,A70,0)</ns0:f>
        <ns0:v>0</ns0:v>
      </ns0:c>
      <ns0:c r="AF70" s="16">
        <ns0:f>IF(AND(OR('前提と出典'!$C$36+'前提と出典'!$C$38=0,U70&gt;=0),OR('前提と出典'!$C$37+'前提と出典'!$C$38=0,V70&gt;=0)),0,A70)</ns0:f>
        <ns0:v>0</ns0:v>
      </ns0:c>
      <ns0:c r="AG70" s="7">
        <ns0:f>IF(Z70&gt;=0,A70,1001)</ns0:f>
        <ns0:v>66</ns0:v>
      </ns0:c>
      <ns0:c r="AH70" s="4">
        <ns0:f>IF(Z70&lt;0,A70,0)</ns0:f>
        <ns0:v>0</ns0:v>
      </ns0:c>
      <ns0:c r="AI70" s="12">
        <ns0:f>IF(AND(OR('前提と出典'!$C$36+'前提と出典'!$C$38=0,X70&gt;=0),OR('前提と出典'!$C$37+'前提と出典'!$C$38=0,Y70&gt;=0)),0,A70)</ns0:f>
        <ns0:v>0</ns0:v>
      </ns0:c>
    </ns0:row>
    <ns0:row r="71" ht="24" customHeight="1">
      <ns0:c r="A71" s="4" t="n">
        <ns0:v>67</ns0:v>
      </ns0:c>
      <ns0:c r="B71" s="12">
        <ns0:f>A71*('前提と出典'!$C$36+'前提と出典'!$C$38)</ns0:f>
        <ns0:v>46.9</ns0:v>
      </ns0:c>
      <ns0:c r="C71" s="12">
        <ns0:f>A71*('前提と出典'!$C$37+'前提と出典'!$C$38)</ns0:f>
        <ns0:v>40.199999999999996</ns0:v>
      </ns0:c>
      <ns0:c r="D71" s="16">
        <ns0:f>A71*('前提と出典'!$C$36*'契約別単価'!C5+'前提と出典'!$C$37*'契約別単価'!C6+'前提と出典'!$C$38*'契約別単価'!C7)</ns0:f>
        <ns0:v>482.1005586592179</ns0:v>
      </ns0:c>
      <ns0:c r="E71" s="16">
        <ns0:f>A71*('前提と出典'!$C$36*'契約別単価'!E5+'前提と出典'!$C$37*'契約別単価'!E6+'前提と出典'!$C$38*'契約別単価'!E7)</ns0:f>
        <ns0:v>129641.29200106852</ns0:v>
      </ns0:c>
      <ns0:c r="F71" s="16">
        <ns0:f>A71*('前提と出典'!$C$36*'契約別単価'!F5+'前提と出典'!$C$37*'契約別単価'!F6+'前提と出典'!$C$38*'契約別単価'!F7)</ns0:f>
        <ns0:v>50879.49714016837</ns0:v>
      </ns0:c>
      <ns0:c r="G71" s="16">
        <ns0:f>A71*('前提と出典'!$C$36*'契約別単価'!G5+'前提と出典'!$C$37*'契約別単価'!G6+'前提と出典'!$C$38*'契約別単価'!G7)</ns0:f>
        <ns0:v>133363.68715083797</ns0:v>
      </ns0:c>
      <ns0:c r="H71" s="16">
        <ns0:f>A71*('前提と出典'!$C$36*'契約別単価'!H5+'前提と出典'!$C$37*'契約別単価'!H6+'前提と出典'!$C$38*'契約別単価'!H7)</ns0:f>
        <ns0:v>46283.888155863104</ns0:v>
      </ns0:c>
      <ns0:c r="I71" s="16">
        <ns0:f>A71*('前提と出典'!$C$36*'契約別単価'!I5+'前提と出典'!$C$37*'契約別単価'!I6+'前提と出典'!$C$38*'契約別単価'!I7)</ns0:f>
        <ns0:v>2827.1005586592173</ns0:v>
      </ns0:c>
      <ns0:c r="J71" s="16">
        <ns0:f>A71*('前提と出典'!$C$36*'契約別単価'!J5+'前提と出典'!$C$37*'契約別単価'!J6+'前提と出典'!$C$38*'契約別単価'!J7)</ns0:f>
        <ns0:v>6585.399428590272</ns0:v>
      </ns0:c>
      <ns0:c r="K71" s="16">
        <ns0:f>A71*('前提と出典'!$C$36*'契約別単価'!K5+'前提と出典'!$C$37*'契約別単価'!K6+'前提と出典'!$C$38*'契約別単価'!K7)</ns0:f>
        <ns0:v>28227.337057728117</ns0:v>
      </ns0:c>
      <ns0:c r="L71" s="16">
        <ns0:f>A71*('前提と出典'!$C$36*'契約別単価'!L5+'前提と出典'!$C$37*'契約別単価'!L6+'前提と出典'!$C$38*'契約別単価'!L7)</ns0:f>
        <ns0:v>22982.796271862102</ns0:v>
      </ns0:c>
      <ns0:c r="M71" s="16">
        <ns0:f>IF(('前提と出典'!$C$36+'前提と出典'!$C$38)=0,0,IF(B71&lt;=10,'前提と出典'!B73+'前提と出典'!C73,IF(B71&lt;=100,'前提と出典'!B74+'前提と出典'!C74,IF(B71&lt;=500,'前提と出典'!B75+'前提と出典'!C75,'前提と出典'!B76+'前提と出典'!C76))))</ns0:f>
        <ns0:v>20000</ns0:v>
      </ns0:c>
      <ns0:c r="N71" s="16">
        <ns0:f>IF(('前提と出典'!$C$37+'前提と出典'!$C$38)=0,0,IF(C71&lt;=10,'前提と出典'!D73+'前提と出典'!E73,IF(C71&lt;=100,'前提と出典'!D74+'前提と出典'!E74,IF(C71&lt;=500,'前提と出典'!D75+'前提と出典'!E75,'前提と出典'!D76+'前提と出典'!E76))))</ns0:f>
        <ns0:v>34510.9346263078</ns0:v>
      </ns0:c>
      <ns0:c r="O71" s="16">
        <ns0:f>IF('前提と出典'!$C$36+'前提と出典'!$C$38=0,0,'前提と出典'!$B$4*IF('前提と出典'!$B$20=0,MAX('前提と出典'!$B$6,D71*'前提と出典'!$B$5),'前提と出典'!$B$6+D71*'前提と出典'!$B$5))</ns0:f>
        <ns0:v>66529.87709497206</ns0:v>
      </ns0:c>
      <ns0:c r="P71" s="16">
        <ns0:f>(E71+G71)*(1-'前提と出典'!$B$7)-I71-K71-M71-O71</ns0:f>
        <ns0:v>135952.48519107848</ns0:v>
      </ns0:c>
      <ns0:c r="Q71" s="16">
        <ns0:f>(F71+H71)*(1-'前提と出典'!$B$7)-J71-L71-N71</ns0:f>
        <ns0:v>29586.373098614178</ns0:v>
      </ns0:c>
      <ns0:c r="R71" s="16">
        <ns0:f>P71-E71*'前提と出典'!$E$4</ns0:f>
        <ns0:v>97060.09759075791</ns0:v>
      </ns0:c>
      <ns0:c r="S71" s="16">
        <ns0:f>Q71-F71*'前提と出典'!$E$4</ns0:f>
        <ns0:v>14322.523956563666</ns0:v>
      </ns0:c>
      <ns0:c r="T71" s="7">
        <ns0:f>R71+S71</ns0:f>
        <ns0:v>111382.62154732159</ns0:v>
      </ns0:c>
      <ns0:c r="U71" s="16">
        <ns0:f>P71-E71*'前提と出典'!$E$5</ns0:f>
        <ns0:v>84095.96839065108</ns0:v>
      </ns0:c>
      <ns0:c r="V71" s="16">
        <ns0:f>Q71-F71*'前提と出典'!$E$5</ns0:f>
        <ns0:v>9234.574242546827</ns0:v>
      </ns0:c>
      <ns0:c r="W71" s="7">
        <ns0:f>U71+V71</ns0:f>
        <ns0:v>93330.54263319791</ns0:v>
      </ns0:c>
      <ns0:c r="X71" s="16">
        <ns0:f>P71-E71*'前提と出典'!$E$6</ns0:f>
        <ns0:v>71131.83919054421</ns0:v>
      </ns0:c>
      <ns0:c r="Y71" s="16">
        <ns0:f>Q71-F71*'前提と出典'!$E$6</ns0:f>
        <ns0:v>4146.624528529988</ns0:v>
      </ns0:c>
      <ns0:c r="Z71" s="7">
        <ns0:f>X71+Y71</ns0:f>
        <ns0:v>75278.4637190742</ns0:v>
      </ns0:c>
      <ns0:c r="AA71" s="7">
        <ns0:f>IF(T71&gt;=0,A71,1001)</ns0:f>
        <ns0:v>67</ns0:v>
      </ns0:c>
      <ns0:c r="AB71" s="7">
        <ns0:f>IF(T71&lt;0,A71,0)</ns0:f>
        <ns0:v>0</ns0:v>
      </ns0:c>
      <ns0:c r="AC71" s="16">
        <ns0:f>IF(AND(OR('前提と出典'!$C$36+'前提と出典'!$C$38=0,R71&gt;=0),OR('前提と出典'!$C$37+'前提と出典'!$C$38=0,S71&gt;=0)),0,A71)</ns0:f>
        <ns0:v>0</ns0:v>
      </ns0:c>
      <ns0:c r="AD71" s="7">
        <ns0:f>IF(W71&gt;=0,A71,1001)</ns0:f>
        <ns0:v>67</ns0:v>
      </ns0:c>
      <ns0:c r="AE71" s="7">
        <ns0:f>IF(W71&lt;0,A71,0)</ns0:f>
        <ns0:v>0</ns0:v>
      </ns0:c>
      <ns0:c r="AF71" s="16">
        <ns0:f>IF(AND(OR('前提と出典'!$C$36+'前提と出典'!$C$38=0,U71&gt;=0),OR('前提と出典'!$C$37+'前提と出典'!$C$38=0,V71&gt;=0)),0,A71)</ns0:f>
        <ns0:v>0</ns0:v>
      </ns0:c>
      <ns0:c r="AG71" s="7">
        <ns0:f>IF(Z71&gt;=0,A71,1001)</ns0:f>
        <ns0:v>67</ns0:v>
      </ns0:c>
      <ns0:c r="AH71" s="4">
        <ns0:f>IF(Z71&lt;0,A71,0)</ns0:f>
        <ns0:v>0</ns0:v>
      </ns0:c>
      <ns0:c r="AI71" s="12">
        <ns0:f>IF(AND(OR('前提と出典'!$C$36+'前提と出典'!$C$38=0,X71&gt;=0),OR('前提と出典'!$C$37+'前提と出典'!$C$38=0,Y71&gt;=0)),0,A71)</ns0:f>
        <ns0:v>0</ns0:v>
      </ns0:c>
    </ns0:row>
    <ns0:row r="72" ht="24" customHeight="1">
      <ns0:c r="A72" s="4" t="n">
        <ns0:v>68</ns0:v>
      </ns0:c>
      <ns0:c r="B72" s="12">
        <ns0:f>A72*('前提と出典'!$C$36+'前提と出典'!$C$38)</ns0:f>
        <ns0:v>47.599999999999994</ns0:v>
      </ns0:c>
      <ns0:c r="C72" s="12">
        <ns0:f>A72*('前提と出典'!$C$37+'前提と出典'!$C$38)</ns0:f>
        <ns0:v>40.8</ns0:v>
      </ns0:c>
      <ns0:c r="D72" s="16">
        <ns0:f>A72*('前提と出典'!$C$36*'契約別単価'!C5+'前提と出典'!$C$37*'契約別単価'!C6+'前提と出典'!$C$38*'契約別単価'!C7)</ns0:f>
        <ns0:v>489.29608938547483</ns0:v>
      </ns0:c>
      <ns0:c r="E72" s="16">
        <ns0:f>A72*('前提と出典'!$C$36*'契約別単価'!E5+'前提と出典'!$C$37*'契約別単価'!E6+'前提と出典'!$C$38*'契約別単価'!E7)</ns0:f>
        <ns0:v>131576.23665780088</ns0:v>
      </ns0:c>
      <ns0:c r="F72" s="16">
        <ns0:f>A72*('前提と出典'!$C$36*'契約別単価'!F5+'前提と出典'!$C$37*'契約別単価'!F6+'前提と出典'!$C$38*'契約別単価'!F7)</ns0:f>
        <ns0:v>51638.89261987238</ns0:v>
      </ns0:c>
      <ns0:c r="G72" s="16">
        <ns0:f>A72*('前提と出典'!$C$36*'契約別単価'!G5+'前提と出典'!$C$37*'契約別単価'!G6+'前提と出典'!$C$38*'契約別単価'!G7)</ns0:f>
        <ns0:v>135354.18994413406</ns0:v>
      </ns0:c>
      <ns0:c r="H72" s="16">
        <ns0:f>A72*('前提と出典'!$C$36*'契約別単価'!H5+'前提と出典'!$C$37*'契約別単価'!H6+'前提と出典'!$C$38*'契約別単価'!H7)</ns0:f>
        <ns0:v>46974.69245669688</ns0:v>
      </ns0:c>
      <ns0:c r="I72" s="16">
        <ns0:f>A72*('前提と出典'!$C$36*'契約別単価'!I5+'前提と出典'!$C$37*'契約別単価'!I6+'前提と出典'!$C$38*'契約別単価'!I7)</ns0:f>
        <ns0:v>2869.2960893854743</ns0:v>
      </ns0:c>
      <ns0:c r="J72" s="16">
        <ns0:f>A72*('前提と出典'!$C$36*'契約別単価'!J5+'前提と出典'!$C$37*'契約別単価'!J6+'前提と出典'!$C$38*'契約別単価'!J7)</ns0:f>
        <ns0:v>6683.688972300574</ns0:v>
      </ns0:c>
      <ns0:c r="K72" s="16">
        <ns0:f>A72*('前提と出典'!$C$36*'契約別単価'!K5+'前提と出典'!$C$37*'契約別単価'!K6+'前提と出典'!$C$38*'契約別単価'!K7)</ns0:f>
        <ns0:v>28648.640595903165</ns0:v>
      </ns0:c>
      <ns0:c r="L72" s="16">
        <ns0:f>A72*('前提と出典'!$C$36*'契約別単価'!L5+'前提と出典'!$C$37*'契約別単価'!L6+'前提と出典'!$C$38*'契約別単価'!L7)</ns0:f>
        <ns0:v>23325.823081889896</ns0:v>
      </ns0:c>
      <ns0:c r="M72" s="16">
        <ns0:f>IF(('前提と出典'!$C$36+'前提と出典'!$C$38)=0,0,IF(B72&lt;=10,'前提と出典'!B73+'前提と出典'!C73,IF(B72&lt;=100,'前提と出典'!B74+'前提と出典'!C74,IF(B72&lt;=500,'前提と出典'!B75+'前提と出典'!C75,'前提と出典'!B76+'前提と出典'!C76))))</ns0:f>
        <ns0:v>20000</ns0:v>
      </ns0:c>
      <ns0:c r="N72" s="16">
        <ns0:f>IF(('前提と出典'!$C$37+'前提と出典'!$C$38)=0,0,IF(C72&lt;=10,'前提と出典'!D73+'前提と出典'!E73,IF(C72&lt;=100,'前提と出典'!D74+'前提と出典'!E74,IF(C72&lt;=500,'前提と出典'!D75+'前提と出典'!E75,'前提と出典'!D76+'前提と出典'!E76))))</ns0:f>
        <ns0:v>34510.9346263078</ns0:v>
      </ns0:c>
      <ns0:c r="O72" s="16">
        <ns0:f>IF('前提と出典'!$C$36+'前提と出典'!$C$38=0,0,'前提と出典'!$B$4*IF('前提と出典'!$B$20=0,MAX('前提と出典'!$B$6,D72*'前提と出典'!$B$5),'前提と出典'!$B$6+D72*'前提と出典'!$B$5))</ns0:f>
        <ns0:v>67522.86033519552</ns0:v>
      </ns0:c>
      <ns0:c r="P72" s="16">
        <ns0:f>(E72+G72)*(1-'前提と出典'!$B$7)-I72-K72-M72-O72</ns0:f>
        <ns0:v>138280.13422378115</ns0:v>
      </ns0:c>
      <ns0:c r="Q72" s="16">
        <ns0:f>(F72+H72)*(1-'前提と出典'!$B$7)-J72-L72-N72</ns0:f>
        <ns0:v>30543.0493333145</ns0:v>
      </ns0:c>
      <ns0:c r="R72" s="16">
        <ns0:f>P72-E72*'前提と出典'!$E$4</ns0:f>
        <ns0:v>98807.26322644087</ns0:v>
      </ns0:c>
      <ns0:c r="S72" s="16">
        <ns0:f>Q72-F72*'前提と出典'!$E$4</ns0:f>
        <ns0:v>15051.381547352794</ns0:v>
      </ns0:c>
      <ns0:c r="T72" s="7">
        <ns0:f>R72+S72</ns0:f>
        <ns0:v>113858.64477379367</ns0:v>
      </ns0:c>
      <ns0:c r="U72" s="16">
        <ns0:f>P72-E72*'前提と出典'!$E$5</ns0:f>
        <ns0:v>85649.63956066078</ns0:v>
      </ns0:c>
      <ns0:c r="V72" s="16">
        <ns0:f>Q72-F72*'前提と出典'!$E$5</ns0:f>
        <ns0:v>9887.492285365544</ns0:v>
      </ns0:c>
      <ns0:c r="W72" s="7">
        <ns0:f>U72+V72</ns0:f>
        <ns0:v>95537.13184602633</ns0:v>
      </ns0:c>
      <ns0:c r="X72" s="16">
        <ns0:f>P72-E72*'前提と出典'!$E$6</ns0:f>
        <ns0:v>72492.01589488072</ns0:v>
      </ns0:c>
      <ns0:c r="Y72" s="16">
        <ns0:f>Q72-F72*'前提と出典'!$E$6</ns0:f>
        <ns0:v>4723.603023378309</ns0:v>
      </ns0:c>
      <ns0:c r="Z72" s="7">
        <ns0:f>X72+Y72</ns0:f>
        <ns0:v>77215.61891825903</ns0:v>
      </ns0:c>
      <ns0:c r="AA72" s="7">
        <ns0:f>IF(T72&gt;=0,A72,1001)</ns0:f>
        <ns0:v>68</ns0:v>
      </ns0:c>
      <ns0:c r="AB72" s="7">
        <ns0:f>IF(T72&lt;0,A72,0)</ns0:f>
        <ns0:v>0</ns0:v>
      </ns0:c>
      <ns0:c r="AC72" s="16">
        <ns0:f>IF(AND(OR('前提と出典'!$C$36+'前提と出典'!$C$38=0,R72&gt;=0),OR('前提と出典'!$C$37+'前提と出典'!$C$38=0,S72&gt;=0)),0,A72)</ns0:f>
        <ns0:v>0</ns0:v>
      </ns0:c>
      <ns0:c r="AD72" s="7">
        <ns0:f>IF(W72&gt;=0,A72,1001)</ns0:f>
        <ns0:v>68</ns0:v>
      </ns0:c>
      <ns0:c r="AE72" s="7">
        <ns0:f>IF(W72&lt;0,A72,0)</ns0:f>
        <ns0:v>0</ns0:v>
      </ns0:c>
      <ns0:c r="AF72" s="16">
        <ns0:f>IF(AND(OR('前提と出典'!$C$36+'前提と出典'!$C$38=0,U72&gt;=0),OR('前提と出典'!$C$37+'前提と出典'!$C$38=0,V72&gt;=0)),0,A72)</ns0:f>
        <ns0:v>0</ns0:v>
      </ns0:c>
      <ns0:c r="AG72" s="7">
        <ns0:f>IF(Z72&gt;=0,A72,1001)</ns0:f>
        <ns0:v>68</ns0:v>
      </ns0:c>
      <ns0:c r="AH72" s="4">
        <ns0:f>IF(Z72&lt;0,A72,0)</ns0:f>
        <ns0:v>0</ns0:v>
      </ns0:c>
      <ns0:c r="AI72" s="12">
        <ns0:f>IF(AND(OR('前提と出典'!$C$36+'前提と出典'!$C$38=0,X72&gt;=0),OR('前提と出典'!$C$37+'前提と出典'!$C$38=0,Y72&gt;=0)),0,A72)</ns0:f>
        <ns0:v>0</ns0:v>
      </ns0:c>
    </ns0:row>
    <ns0:row r="73" ht="24" customHeight="1">
      <ns0:c r="A73" s="4" t="n">
        <ns0:v>69</ns0:v>
      </ns0:c>
      <ns0:c r="B73" s="12">
        <ns0:f>A73*('前提と出典'!$C$36+'前提と出典'!$C$38)</ns0:f>
        <ns0:v>48.3</ns0:v>
      </ns0:c>
      <ns0:c r="C73" s="12">
        <ns0:f>A73*('前提と出典'!$C$37+'前提と出典'!$C$38)</ns0:f>
        <ns0:v>41.4</ns0:v>
      </ns0:c>
      <ns0:c r="D73" s="16">
        <ns0:f>A73*('前提と出典'!$C$36*'契約別単価'!C5+'前提と出典'!$C$37*'契約別単価'!C6+'前提と出典'!$C$38*'契約別単価'!C7)</ns0:f>
        <ns0:v>496.49162011173183</ns0:v>
      </ns0:c>
      <ns0:c r="E73" s="16">
        <ns0:f>A73*('前提と出典'!$C$36*'契約別単価'!E5+'前提と出典'!$C$37*'契約別単価'!E6+'前提と出典'!$C$38*'契約別単価'!E7)</ns0:f>
        <ns0:v>133511.18131453326</ns0:v>
      </ns0:c>
      <ns0:c r="F73" s="16">
        <ns0:f>A73*('前提と出典'!$C$36*'契約別単価'!F5+'前提と出典'!$C$37*'契約別単価'!F6+'前提と出典'!$C$38*'契約別単価'!F7)</ns0:f>
        <ns0:v>52398.288099576384</ns0:v>
      </ns0:c>
      <ns0:c r="G73" s="16">
        <ns0:f>A73*('前提と出典'!$C$36*'契約別単価'!G5+'前提と出典'!$C$37*'契約別単価'!G6+'前提と出典'!$C$38*'契約別単価'!G7)</ns0:f>
        <ns0:v>137344.69273743016</ns0:v>
      </ns0:c>
      <ns0:c r="H73" s="16">
        <ns0:f>A73*('前提と出典'!$C$36*'契約別単価'!H5+'前提と出典'!$C$37*'契約別単価'!H6+'前提と出典'!$C$38*'契約別単価'!H7)</ns0:f>
        <ns0:v>47665.49675753066</ns0:v>
      </ns0:c>
      <ns0:c r="I73" s="16">
        <ns0:f>A73*('前提と出典'!$C$36*'契約別単価'!I5+'前提と出典'!$C$37*'契約別単価'!I6+'前提と出典'!$C$38*'契約別単価'!I7)</ns0:f>
        <ns0:v>2911.491620111731</ns0:v>
      </ns0:c>
      <ns0:c r="J73" s="16">
        <ns0:f>A73*('前提と出典'!$C$36*'契約別単価'!J5+'前提と出典'!$C$37*'契約別単価'!J6+'前提と出典'!$C$38*'契約別単価'!J7)</ns0:f>
        <ns0:v>6781.978516010877</ns0:v>
      </ns0:c>
      <ns0:c r="K73" s="16">
        <ns0:f>A73*('前提と出典'!$C$36*'契約別単価'!K5+'前提と出典'!$C$37*'契約別単価'!K6+'前提と出典'!$C$38*'契約別単価'!K7)</ns0:f>
        <ns0:v>29069.94413407821</ns0:v>
      </ns0:c>
      <ns0:c r="L73" s="16">
        <ns0:f>A73*('前提と出典'!$C$36*'契約別単価'!L5+'前提と出典'!$C$37*'契約別単価'!L6+'前提と出典'!$C$38*'契約別単価'!L7)</ns0:f>
        <ns0:v>23668.84989191769</ns0:v>
      </ns0:c>
      <ns0:c r="M73" s="16">
        <ns0:f>IF(('前提と出典'!$C$36+'前提と出典'!$C$38)=0,0,IF(B73&lt;=10,'前提と出典'!B73+'前提と出典'!C73,IF(B73&lt;=100,'前提と出典'!B74+'前提と出典'!C74,IF(B73&lt;=500,'前提と出典'!B75+'前提と出典'!C75,'前提と出典'!B76+'前提と出典'!C76))))</ns0:f>
        <ns0:v>20000</ns0:v>
      </ns0:c>
      <ns0:c r="N73" s="16">
        <ns0:f>IF(('前提と出典'!$C$37+'前提と出典'!$C$38)=0,0,IF(C73&lt;=10,'前提と出典'!D73+'前提と出典'!E73,IF(C73&lt;=100,'前提と出典'!D74+'前提と出典'!E74,IF(C73&lt;=500,'前提と出典'!D75+'前提と出典'!E75,'前提と出典'!D76+'前提と出典'!E76))))</ns0:f>
        <ns0:v>34510.9346263078</ns0:v>
      </ns0:c>
      <ns0:c r="O73" s="16">
        <ns0:f>IF('前提と出典'!$C$36+'前提と出典'!$C$38=0,0,'前提と出典'!$B$4*IF('前提と出典'!$B$20=0,MAX('前提と出典'!$B$6,D73*'前提と出典'!$B$5),'前提と出典'!$B$6+D73*'前提と出典'!$B$5))</ns0:f>
        <ns0:v>68515.843575419</ns0:v>
      </ns0:c>
      <ns0:c r="P73" s="16">
        <ns0:f>(E73+G73)*(1-'前提と出典'!$B$7)-I73-K73-M73-O73</ns0:f>
        <ns0:v>140607.78325648382</ns0:v>
      </ns0:c>
      <ns0:c r="Q73" s="16">
        <ns0:f>(F73+H73)*(1-'前提と出典'!$B$7)-J73-L73-N73</ns0:f>
        <ns0:v>31499.725568014816</ns0:v>
      </ns0:c>
      <ns0:c r="R73" s="16">
        <ns0:f>P73-E73*'前提と出典'!$E$4</ns0:f>
        <ns0:v>100554.42886212382</ns0:v>
      </ns0:c>
      <ns0:c r="S73" s="16">
        <ns0:f>Q73-F73*'前提と出典'!$E$4</ns0:f>
        <ns0:v>15780.239138141893</ns0:v>
      </ns0:c>
      <ns0:c r="T73" s="7">
        <ns0:f>R73+S73</ns0:f>
        <ns0:v>116334.66800026572</ns0:v>
      </ns0:c>
      <ns0:c r="U73" s="16">
        <ns0:f>P73-E73*'前提と出典'!$E$5</ns0:f>
        <ns0:v>87203.3107306705</ns0:v>
      </ns0:c>
      <ns0:c r="V73" s="16">
        <ns0:f>Q73-F73*'前提と出典'!$E$5</ns0:f>
        <ns0:v>10540.410328184262</ns0:v>
      </ns0:c>
      <ns0:c r="W73" s="7">
        <ns0:f>U73+V73</ns0:f>
        <ns0:v>97743.72105885478</ns0:v>
      </ns0:c>
      <ns0:c r="X73" s="16">
        <ns0:f>P73-E73*'前提と出典'!$E$6</ns0:f>
        <ns0:v>73852.19259921719</ns0:v>
      </ns0:c>
      <ns0:c r="Y73" s="16">
        <ns0:f>Q73-F73*'前提と出典'!$E$6</ns0:f>
        <ns0:v>5300.581518226631</ns0:v>
      </ns0:c>
      <ns0:c r="Z73" s="7">
        <ns0:f>X73+Y73</ns0:f>
        <ns0:v>79152.77411744383</ns0:v>
      </ns0:c>
      <ns0:c r="AA73" s="7">
        <ns0:f>IF(T73&gt;=0,A73,1001)</ns0:f>
        <ns0:v>69</ns0:v>
      </ns0:c>
      <ns0:c r="AB73" s="7">
        <ns0:f>IF(T73&lt;0,A73,0)</ns0:f>
        <ns0:v>0</ns0:v>
      </ns0:c>
      <ns0:c r="AC73" s="16">
        <ns0:f>IF(AND(OR('前提と出典'!$C$36+'前提と出典'!$C$38=0,R73&gt;=0),OR('前提と出典'!$C$37+'前提と出典'!$C$38=0,S73&gt;=0)),0,A73)</ns0:f>
        <ns0:v>0</ns0:v>
      </ns0:c>
      <ns0:c r="AD73" s="7">
        <ns0:f>IF(W73&gt;=0,A73,1001)</ns0:f>
        <ns0:v>69</ns0:v>
      </ns0:c>
      <ns0:c r="AE73" s="7">
        <ns0:f>IF(W73&lt;0,A73,0)</ns0:f>
        <ns0:v>0</ns0:v>
      </ns0:c>
      <ns0:c r="AF73" s="16">
        <ns0:f>IF(AND(OR('前提と出典'!$C$36+'前提と出典'!$C$38=0,U73&gt;=0),OR('前提と出典'!$C$37+'前提と出典'!$C$38=0,V73&gt;=0)),0,A73)</ns0:f>
        <ns0:v>0</ns0:v>
      </ns0:c>
      <ns0:c r="AG73" s="7">
        <ns0:f>IF(Z73&gt;=0,A73,1001)</ns0:f>
        <ns0:v>69</ns0:v>
      </ns0:c>
      <ns0:c r="AH73" s="4">
        <ns0:f>IF(Z73&lt;0,A73,0)</ns0:f>
        <ns0:v>0</ns0:v>
      </ns0:c>
      <ns0:c r="AI73" s="12">
        <ns0:f>IF(AND(OR('前提と出典'!$C$36+'前提と出典'!$C$38=0,X73&gt;=0),OR('前提と出典'!$C$37+'前提と出典'!$C$38=0,Y73&gt;=0)),0,A73)</ns0:f>
        <ns0:v>0</ns0:v>
      </ns0:c>
    </ns0:row>
    <ns0:row r="74" ht="24" customHeight="1">
      <ns0:c r="A74" s="4" t="n">
        <ns0:v>70</ns0:v>
      </ns0:c>
      <ns0:c r="B74" s="12">
        <ns0:f>A74*('前提と出典'!$C$36+'前提と出典'!$C$38)</ns0:f>
        <ns0:v>49</ns0:v>
      </ns0:c>
      <ns0:c r="C74" s="12">
        <ns0:f>A74*('前提と出典'!$C$37+'前提と出典'!$C$38)</ns0:f>
        <ns0:v>42</ns0:v>
      </ns0:c>
      <ns0:c r="D74" s="16">
        <ns0:f>A74*('前提と出典'!$C$36*'契約別単価'!C5+'前提と出典'!$C$37*'契約別単価'!C6+'前提と出典'!$C$38*'契約別単価'!C7)</ns0:f>
        <ns0:v>503.68715083798884</ns0:v>
      </ns0:c>
      <ns0:c r="E74" s="16">
        <ns0:f>A74*('前提と出典'!$C$36*'契約別単価'!E5+'前提と出典'!$C$37*'契約別単価'!E6+'前提と出典'!$C$38*'契約別単価'!E7)</ns0:f>
        <ns0:v>135446.1259712656</ns0:v>
      </ns0:c>
      <ns0:c r="F74" s="16">
        <ns0:f>A74*('前提と出典'!$C$36*'契約別単価'!F5+'前提と出典'!$C$37*'契約別単価'!F6+'前提と出典'!$C$38*'契約別単価'!F7)</ns0:f>
        <ns0:v>53157.68357928039</ns0:v>
      </ns0:c>
      <ns0:c r="G74" s="16">
        <ns0:f>A74*('前提と出典'!$C$36*'契約別単価'!G5+'前提と出典'!$C$37*'契約別単価'!G6+'前提と出典'!$C$38*'契約別単価'!G7)</ns0:f>
        <ns0:v>139335.19553072625</ns0:v>
      </ns0:c>
      <ns0:c r="H74" s="16">
        <ns0:f>A74*('前提と出典'!$C$36*'契約別単価'!H5+'前提と出典'!$C$37*'契約別単価'!H6+'前提と出典'!$C$38*'契約別単価'!H7)</ns0:f>
        <ns0:v>48356.301058364435</ns0:v>
      </ns0:c>
      <ns0:c r="I74" s="16">
        <ns0:f>A74*('前提と出典'!$C$36*'契約別単価'!I5+'前提と出典'!$C$37*'契約別単価'!I6+'前提と出典'!$C$38*'契約別単価'!I7)</ns0:f>
        <ns0:v>2953.687150837988</ns0:v>
      </ns0:c>
      <ns0:c r="J74" s="16">
        <ns0:f>A74*('前提と出典'!$C$36*'契約別単価'!J5+'前提と出典'!$C$37*'契約別単価'!J6+'前提と出典'!$C$38*'契約別単価'!J7)</ns0:f>
        <ns0:v>6880.268059721179</ns0:v>
      </ns0:c>
      <ns0:c r="K74" s="16">
        <ns0:f>A74*('前提と出典'!$C$36*'契約別単価'!K5+'前提と出典'!$C$37*'契約別単価'!K6+'前提と出典'!$C$38*'契約別単価'!K7)</ns0:f>
        <ns0:v>29491.247672253256</ns0:v>
      </ns0:c>
      <ns0:c r="L74" s="16">
        <ns0:f>A74*('前提と出典'!$C$36*'契約別単価'!L5+'前提と出典'!$C$37*'契約別単価'!L6+'前提と出典'!$C$38*'契約別単価'!L7)</ns0:f>
        <ns0:v>24011.87670194548</ns0:v>
      </ns0:c>
      <ns0:c r="M74" s="16">
        <ns0:f>IF(('前提と出典'!$C$36+'前提と出典'!$C$38)=0,0,IF(B74&lt;=10,'前提と出典'!B73+'前提と出典'!C73,IF(B74&lt;=100,'前提と出典'!B74+'前提と出典'!C74,IF(B74&lt;=500,'前提と出典'!B75+'前提と出典'!C75,'前提と出典'!B76+'前提と出典'!C76))))</ns0:f>
        <ns0:v>20000</ns0:v>
      </ns0:c>
      <ns0:c r="N74" s="16">
        <ns0:f>IF(('前提と出典'!$C$37+'前提と出典'!$C$38)=0,0,IF(C74&lt;=10,'前提と出典'!D73+'前提と出典'!E73,IF(C74&lt;=100,'前提と出典'!D74+'前提と出典'!E74,IF(C74&lt;=500,'前提と出典'!D75+'前提と出典'!E75,'前提と出典'!D76+'前提と出典'!E76))))</ns0:f>
        <ns0:v>34510.9346263078</ns0:v>
      </ns0:c>
      <ns0:c r="O74" s="16">
        <ns0:f>IF('前提と出典'!$C$36+'前提と出典'!$C$38=0,0,'前提と出典'!$B$4*IF('前提と出典'!$B$20=0,MAX('前提と出典'!$B$6,D74*'前提と出典'!$B$5),'前提と出典'!$B$6+D74*'前提と出典'!$B$5))</ns0:f>
        <ns0:v>69508.82681564246</ns0:v>
      </ns0:c>
      <ns0:c r="P74" s="16">
        <ns0:f>(E74+G74)*(1-'前提と出典'!$B$7)-I74-K74-M74-O74</ns0:f>
        <ns0:v>142935.43228918643</ns0:v>
      </ns0:c>
      <ns0:c r="Q74" s="16">
        <ns0:f>(F74+H74)*(1-'前提と出典'!$B$7)-J74-L74-N74</ns0:f>
        <ns0:v>32456.401802715158</ns0:v>
      </ns0:c>
      <ns0:c r="R74" s="16">
        <ns0:f>P74-E74*'前提と出典'!$E$4</ns0:f>
        <ns0:v>102301.59449780673</ns0:v>
      </ns0:c>
      <ns0:c r="S74" s="16">
        <ns0:f>Q74-F74*'前提と出典'!$E$4</ns0:f>
        <ns0:v>16509.096728931043</ns0:v>
      </ns0:c>
      <ns0:c r="T74" s="7">
        <ns0:f>R74+S74</ns0:f>
        <ns0:v>118810.69122673778</ns0:v>
      </ns0:c>
      <ns0:c r="U74" s="16">
        <ns0:f>P74-E74*'前提と出典'!$E$5</ns0:f>
        <ns0:v>88756.98190068018</ns0:v>
      </ns0:c>
      <ns0:c r="V74" s="16">
        <ns0:f>Q74-F74*'前提と出典'!$E$5</ns0:f>
        <ns0:v>11193.328371003001</ns0:v>
      </ns0:c>
      <ns0:c r="W74" s="7">
        <ns0:f>U74+V74</ns0:f>
        <ns0:v>99950.31027168318</ns0:v>
      </ns0:c>
      <ns0:c r="X74" s="16">
        <ns0:f>P74-E74*'前提と出典'!$E$6</ns0:f>
        <ns0:v>75212.36930355361</ns0:v>
      </ns0:c>
      <ns0:c r="Y74" s="16">
        <ns0:f>Q74-F74*'前提と出典'!$E$6</ns0:f>
        <ns0:v>5877.560013074959</ns0:v>
      </ns0:c>
      <ns0:c r="Z74" s="7">
        <ns0:f>X74+Y74</ns0:f>
        <ns0:v>81089.92931662858</ns0:v>
      </ns0:c>
      <ns0:c r="AA74" s="7">
        <ns0:f>IF(T74&gt;=0,A74,1001)</ns0:f>
        <ns0:v>70</ns0:v>
      </ns0:c>
      <ns0:c r="AB74" s="7">
        <ns0:f>IF(T74&lt;0,A74,0)</ns0:f>
        <ns0:v>0</ns0:v>
      </ns0:c>
      <ns0:c r="AC74" s="16">
        <ns0:f>IF(AND(OR('前提と出典'!$C$36+'前提と出典'!$C$38=0,R74&gt;=0),OR('前提と出典'!$C$37+'前提と出典'!$C$38=0,S74&gt;=0)),0,A74)</ns0:f>
        <ns0:v>0</ns0:v>
      </ns0:c>
      <ns0:c r="AD74" s="7">
        <ns0:f>IF(W74&gt;=0,A74,1001)</ns0:f>
        <ns0:v>70</ns0:v>
      </ns0:c>
      <ns0:c r="AE74" s="7">
        <ns0:f>IF(W74&lt;0,A74,0)</ns0:f>
        <ns0:v>0</ns0:v>
      </ns0:c>
      <ns0:c r="AF74" s="16">
        <ns0:f>IF(AND(OR('前提と出典'!$C$36+'前提と出典'!$C$38=0,U74&gt;=0),OR('前提と出典'!$C$37+'前提と出典'!$C$38=0,V74&gt;=0)),0,A74)</ns0:f>
        <ns0:v>0</ns0:v>
      </ns0:c>
      <ns0:c r="AG74" s="7">
        <ns0:f>IF(Z74&gt;=0,A74,1001)</ns0:f>
        <ns0:v>70</ns0:v>
      </ns0:c>
      <ns0:c r="AH74" s="4">
        <ns0:f>IF(Z74&lt;0,A74,0)</ns0:f>
        <ns0:v>0</ns0:v>
      </ns0:c>
      <ns0:c r="AI74" s="12">
        <ns0:f>IF(AND(OR('前提と出典'!$C$36+'前提と出典'!$C$38=0,X74&gt;=0),OR('前提と出典'!$C$37+'前提と出典'!$C$38=0,Y74&gt;=0)),0,A74)</ns0:f>
        <ns0:v>0</ns0:v>
      </ns0:c>
    </ns0:row>
    <ns0:row r="75" ht="24" customHeight="1">
      <ns0:c r="A75" s="4" t="n">
        <ns0:v>71</ns0:v>
      </ns0:c>
      <ns0:c r="B75" s="12">
        <ns0:f>A75*('前提と出典'!$C$36+'前提と出典'!$C$38)</ns0:f>
        <ns0:v>49.699999999999996</ns0:v>
      </ns0:c>
      <ns0:c r="C75" s="12">
        <ns0:f>A75*('前提と出典'!$C$37+'前提と出典'!$C$38)</ns0:f>
        <ns0:v>42.6</ns0:v>
      </ns0:c>
      <ns0:c r="D75" s="16">
        <ns0:f>A75*('前提と出典'!$C$36*'契約別単価'!C5+'前提と出典'!$C$37*'契約別単価'!C6+'前提と出典'!$C$38*'契約別単価'!C7)</ns0:f>
        <ns0:v>510.8826815642458</ns0:v>
      </ns0:c>
      <ns0:c r="E75" s="16">
        <ns0:f>A75*('前提と出典'!$C$36*'契約別単価'!E5+'前提と出典'!$C$37*'契約別単価'!E6+'前提と出典'!$C$38*'契約別単価'!E7)</ns0:f>
        <ns0:v>137381.07062799798</ns0:v>
      </ns0:c>
      <ns0:c r="F75" s="16">
        <ns0:f>A75*('前提と出典'!$C$36*'契約別単価'!F5+'前提と出典'!$C$37*'契約別単価'!F6+'前提と出典'!$C$38*'契約別単価'!F7)</ns0:f>
        <ns0:v>53917.0790589844</ns0:v>
      </ns0:c>
      <ns0:c r="G75" s="16">
        <ns0:f>A75*('前提と出典'!$C$36*'契約別単価'!G5+'前提と出典'!$C$37*'契約別単価'!G6+'前提と出典'!$C$38*'契約別単価'!G7)</ns0:f>
        <ns0:v>141325.69832402235</ns0:v>
      </ns0:c>
      <ns0:c r="H75" s="16">
        <ns0:f>A75*('前提と出典'!$C$36*'契約別単価'!H5+'前提と出典'!$C$37*'契約別単価'!H6+'前提と出典'!$C$38*'契約別単価'!H7)</ns0:f>
        <ns0:v>49047.10535919821</ns0:v>
      </ns0:c>
      <ns0:c r="I75" s="16">
        <ns0:f>A75*('前提と出典'!$C$36*'契約別単価'!I5+'前提と出典'!$C$37*'契約別単価'!I6+'前提と出典'!$C$38*'契約別単価'!I7)</ns0:f>
        <ns0:v>2995.882681564245</ns0:v>
      </ns0:c>
      <ns0:c r="J75" s="16">
        <ns0:f>A75*('前提と出典'!$C$36*'契約別単価'!J5+'前提と出典'!$C$37*'契約別単価'!J6+'前提と出典'!$C$38*'契約別単価'!J7)</ns0:f>
        <ns0:v>6978.557603431483</ns0:v>
      </ns0:c>
      <ns0:c r="K75" s="16">
        <ns0:f>A75*('前提と出典'!$C$36*'契約別単価'!K5+'前提と出典'!$C$37*'契約別単価'!K6+'前提と出典'!$C$38*'契約別単価'!K7)</ns0:f>
        <ns0:v>29912.551210428304</ns0:v>
      </ns0:c>
      <ns0:c r="L75" s="16">
        <ns0:f>A75*('前提と出典'!$C$36*'契約別単価'!L5+'前提と出典'!$C$37*'契約別単価'!L6+'前提と出典'!$C$38*'契約別単価'!L7)</ns0:f>
        <ns0:v>24354.903511973273</ns0:v>
      </ns0:c>
      <ns0:c r="M75" s="16">
        <ns0:f>IF(('前提と出典'!$C$36+'前提と出典'!$C$38)=0,0,IF(B75&lt;=10,'前提と出典'!B73+'前提と出典'!C73,IF(B75&lt;=100,'前提と出典'!B74+'前提と出典'!C74,IF(B75&lt;=500,'前提と出典'!B75+'前提と出典'!C75,'前提と出典'!B76+'前提と出典'!C76))))</ns0:f>
        <ns0:v>20000</ns0:v>
      </ns0:c>
      <ns0:c r="N75" s="16">
        <ns0:f>IF(('前提と出典'!$C$37+'前提と出典'!$C$38)=0,0,IF(C75&lt;=10,'前提と出典'!D73+'前提と出典'!E73,IF(C75&lt;=100,'前提と出典'!D74+'前提と出典'!E74,IF(C75&lt;=500,'前提と出典'!D75+'前提と出典'!E75,'前提と出典'!D76+'前提と出典'!E76))))</ns0:f>
        <ns0:v>34510.9346263078</ns0:v>
      </ns0:c>
      <ns0:c r="O75" s="16">
        <ns0:f>IF('前提と出典'!$C$36+'前提と出典'!$C$38=0,0,'前提と出典'!$B$4*IF('前提と出典'!$B$20=0,MAX('前提と出典'!$B$6,D75*'前提と出典'!$B$5),'前提と出典'!$B$6+D75*'前提と出典'!$B$5))</ns0:f>
        <ns0:v>70501.81005586592</ns0:v>
      </ns0:c>
      <ns0:c r="P75" s="16">
        <ns0:f>(E75+G75)*(1-'前提と出典'!$B$7)-I75-K75-M75-O75</ns0:f>
        <ns0:v>145263.08132188913</ns0:v>
      </ns0:c>
      <ns0:c r="Q75" s="16">
        <ns0:f>(F75+H75)*(1-'前提と出典'!$B$7)-J75-L75-N75</ns0:f>
        <ns0:v>33413.0780374155</ns0:v>
      </ns0:c>
      <ns0:c r="R75" s="16">
        <ns0:f>P75-E75*'前提と出典'!$E$4</ns0:f>
        <ns0:v>104048.76013348972</ns0:v>
      </ns0:c>
      <ns0:c r="S75" s="16">
        <ns0:f>Q75-F75*'前提と出典'!$E$4</ns0:f>
        <ns0:v>17237.954319720164</ns0:v>
      </ns0:c>
      <ns0:c r="T75" s="7">
        <ns0:f>R75+S75</ns0:f>
        <ns0:v>121286.71445320989</ns0:v>
      </ns0:c>
      <ns0:c r="U75" s="16">
        <ns0:f>P75-E75*'前提と出典'!$E$5</ns0:f>
        <ns0:v>90310.65307068992</ns0:v>
      </ns0:c>
      <ns0:c r="V75" s="16">
        <ns0:f>Q75-F75*'前提と出典'!$E$5</ns0:f>
        <ns0:v>11846.24641382174</ns0:v>
      </ns0:c>
      <ns0:c r="W75" s="7">
        <ns0:f>U75+V75</ns0:f>
        <ns0:v>102156.89948451167</ns0:v>
      </ns0:c>
      <ns0:c r="X75" s="16">
        <ns0:f>P75-E75*'前提と出典'!$E$6</ns0:f>
        <ns0:v>76572.54600789012</ns0:v>
      </ns0:c>
      <ns0:c r="Y75" s="16">
        <ns0:f>Q75-F75*'前提と出典'!$E$6</ns0:f>
        <ns0:v>6454.538507923295</ns0:v>
      </ns0:c>
      <ns0:c r="Z75" s="7">
        <ns0:f>X75+Y75</ns0:f>
        <ns0:v>83027.08451581342</ns0:v>
      </ns0:c>
      <ns0:c r="AA75" s="7">
        <ns0:f>IF(T75&gt;=0,A75,1001)</ns0:f>
        <ns0:v>71</ns0:v>
      </ns0:c>
      <ns0:c r="AB75" s="7">
        <ns0:f>IF(T75&lt;0,A75,0)</ns0:f>
        <ns0:v>0</ns0:v>
      </ns0:c>
      <ns0:c r="AC75" s="16">
        <ns0:f>IF(AND(OR('前提と出典'!$C$36+'前提と出典'!$C$38=0,R75&gt;=0),OR('前提と出典'!$C$37+'前提と出典'!$C$38=0,S75&gt;=0)),0,A75)</ns0:f>
        <ns0:v>0</ns0:v>
      </ns0:c>
      <ns0:c r="AD75" s="7">
        <ns0:f>IF(W75&gt;=0,A75,1001)</ns0:f>
        <ns0:v>71</ns0:v>
      </ns0:c>
      <ns0:c r="AE75" s="7">
        <ns0:f>IF(W75&lt;0,A75,0)</ns0:f>
        <ns0:v>0</ns0:v>
      </ns0:c>
      <ns0:c r="AF75" s="16">
        <ns0:f>IF(AND(OR('前提と出典'!$C$36+'前提と出典'!$C$38=0,U75&gt;=0),OR('前提と出典'!$C$37+'前提と出典'!$C$38=0,V75&gt;=0)),0,A75)</ns0:f>
        <ns0:v>0</ns0:v>
      </ns0:c>
      <ns0:c r="AG75" s="7">
        <ns0:f>IF(Z75&gt;=0,A75,1001)</ns0:f>
        <ns0:v>71</ns0:v>
      </ns0:c>
      <ns0:c r="AH75" s="4">
        <ns0:f>IF(Z75&lt;0,A75,0)</ns0:f>
        <ns0:v>0</ns0:v>
      </ns0:c>
      <ns0:c r="AI75" s="12">
        <ns0:f>IF(AND(OR('前提と出典'!$C$36+'前提と出典'!$C$38=0,X75&gt;=0),OR('前提と出典'!$C$37+'前提と出典'!$C$38=0,Y75&gt;=0)),0,A75)</ns0:f>
        <ns0:v>0</ns0:v>
      </ns0:c>
    </ns0:row>
    <ns0:row r="76" ht="24" customHeight="1">
      <ns0:c r="A76" s="4" t="n">
        <ns0:v>72</ns0:v>
      </ns0:c>
      <ns0:c r="B76" s="12">
        <ns0:f>A76*('前提と出典'!$C$36+'前提と出典'!$C$38)</ns0:f>
        <ns0:v>50.4</ns0:v>
      </ns0:c>
      <ns0:c r="C76" s="12">
        <ns0:f>A76*('前提と出典'!$C$37+'前提と出典'!$C$38)</ns0:f>
        <ns0:v>43.199999999999996</ns0:v>
      </ns0:c>
      <ns0:c r="D76" s="16">
        <ns0:f>A76*('前提と出典'!$C$36*'契約別単価'!C5+'前提と出典'!$C$37*'契約別単価'!C6+'前提と出典'!$C$38*'契約別単価'!C7)</ns0:f>
        <ns0:v>518.0782122905027</ns0:v>
      </ns0:c>
      <ns0:c r="E76" s="16">
        <ns0:f>A76*('前提と出典'!$C$36*'契約別単価'!E5+'前提と出典'!$C$37*'契約別単価'!E6+'前提と出典'!$C$38*'契約別単価'!E7)</ns0:f>
        <ns0:v>139316.01528473035</ns0:v>
      </ns0:c>
      <ns0:c r="F76" s="16">
        <ns0:f>A76*('前提と出典'!$C$36*'契約別単価'!F5+'前提と出典'!$C$37*'契約別単価'!F6+'前提と出典'!$C$38*'契約別単価'!F7)</ns0:f>
        <ns0:v>54676.4745386884</ns0:v>
      </ns0:c>
      <ns0:c r="G76" s="16">
        <ns0:f>A76*('前提と出典'!$C$36*'契約別単価'!G5+'前提と出典'!$C$37*'契約別単価'!G6+'前提と出典'!$C$38*'契約別単価'!G7)</ns0:f>
        <ns0:v>143316.20111731841</ns0:v>
      </ns0:c>
      <ns0:c r="H76" s="16">
        <ns0:f>A76*('前提と出典'!$C$36*'契約別単価'!H5+'前提と出典'!$C$37*'契約別単価'!H6+'前提と出典'!$C$38*'契約別単価'!H7)</ns0:f>
        <ns0:v>49737.90966003199</ns0:v>
      </ns0:c>
      <ns0:c r="I76" s="16">
        <ns0:f>A76*('前提と出典'!$C$36*'契約別単価'!I5+'前提と出典'!$C$37*'契約別単価'!I6+'前提と出典'!$C$38*'契約別単価'!I7)</ns0:f>
        <ns0:v>3038.078212290502</ns0:v>
      </ns0:c>
      <ns0:c r="J76" s="16">
        <ns0:f>A76*('前提と出典'!$C$36*'契約別単価'!J5+'前提と出典'!$C$37*'契約別単価'!J6+'前提と出典'!$C$38*'契約別単価'!J7)</ns0:f>
        <ns0:v>7076.847147141785</ns0:v>
      </ns0:c>
      <ns0:c r="K76" s="16">
        <ns0:f>A76*('前提と出典'!$C$36*'契約別単価'!K5+'前提と出典'!$C$37*'契約別単価'!K6+'前提と出典'!$C$38*'契約別単価'!K7)</ns0:f>
        <ns0:v>30333.85474860335</ns0:v>
      </ns0:c>
      <ns0:c r="L76" s="16">
        <ns0:f>A76*('前提と出典'!$C$36*'契約別単価'!L5+'前提と出典'!$C$37*'契約別単価'!L6+'前提と出典'!$C$38*'契約別単価'!L7)</ns0:f>
        <ns0:v>24697.930322001066</ns0:v>
      </ns0:c>
      <ns0:c r="M76" s="16">
        <ns0:f>IF(('前提と出典'!$C$36+'前提と出典'!$C$38)=0,0,IF(B76&lt;=10,'前提と出典'!B73+'前提と出典'!C73,IF(B76&lt;=100,'前提と出典'!B74+'前提と出典'!C74,IF(B76&lt;=500,'前提と出典'!B75+'前提と出典'!C75,'前提と出典'!B76+'前提と出典'!C76))))</ns0:f>
        <ns0:v>20000</ns0:v>
      </ns0:c>
      <ns0:c r="N76" s="16">
        <ns0:f>IF(('前提と出典'!$C$37+'前提と出典'!$C$38)=0,0,IF(C76&lt;=10,'前提と出典'!D73+'前提と出典'!E73,IF(C76&lt;=100,'前提と出典'!D74+'前提と出典'!E74,IF(C76&lt;=500,'前提と出典'!D75+'前提と出典'!E75,'前提と出典'!D76+'前提と出典'!E76))))</ns0:f>
        <ns0:v>34510.9346263078</ns0:v>
      </ns0:c>
      <ns0:c r="O76" s="16">
        <ns0:f>IF('前提と出典'!$C$36+'前提と出典'!$C$38=0,0,'前提と出典'!$B$4*IF('前提と出典'!$B$20=0,MAX('前提と出典'!$B$6,D76*'前提と出典'!$B$5),'前提と出典'!$B$6+D76*'前提と出典'!$B$5))</ns0:f>
        <ns0:v>71494.79329608938</ns0:v>
      </ns0:c>
      <ns0:c r="P76" s="16">
        <ns0:f>(E76+G76)*(1-'前提と出典'!$B$7)-I76-K76-M76-O76</ns0:f>
        <ns0:v>147590.73035459174</ns0:v>
      </ns0:c>
      <ns0:c r="Q76" s="16">
        <ns0:f>(F76+H76)*(1-'前提と出典'!$B$7)-J76-L76-N76</ns0:f>
        <ns0:v>34369.75427211581</ns0:v>
      </ns0:c>
      <ns0:c r="R76" s="16">
        <ns0:f>P76-E76*'前提と出典'!$E$4</ns0:f>
        <ns0:v>105795.92576917268</ns0:v>
      </ns0:c>
      <ns0:c r="S76" s="16">
        <ns0:f>Q76-F76*'前提と出典'!$E$4</ns0:f>
        <ns0:v>17966.8119105093</ns0:v>
      </ns0:c>
      <ns0:c r="T76" s="7">
        <ns0:f>R76+S76</ns0:f>
        <ns0:v>123762.73767968197</ns0:v>
      </ns0:c>
      <ns0:c r="U76" s="16">
        <ns0:f>P76-E76*'前提と出典'!$E$5</ns0:f>
        <ns0:v>91864.3242406996</ns0:v>
      </ns0:c>
      <ns0:c r="V76" s="16">
        <ns0:f>Q76-F76*'前提と出典'!$E$5</ns0:f>
        <ns0:v>12499.16445664045</ns0:v>
      </ns0:c>
      <ns0:c r="W76" s="7">
        <ns0:f>U76+V76</ns0:f>
        <ns0:v>104363.48869734004</ns0:v>
      </ns0:c>
      <ns0:c r="X76" s="16">
        <ns0:f>P76-E76*'前提と出典'!$E$6</ns0:f>
        <ns0:v>77932.72271222658</ns0:v>
      </ns0:c>
      <ns0:c r="Y76" s="16">
        <ns0:f>Q76-F76*'前提と出典'!$E$6</ns0:f>
        <ns0:v>7031.517002771616</ns0:v>
      </ns0:c>
      <ns0:c r="Z76" s="7">
        <ns0:f>X76+Y76</ns0:f>
        <ns0:v>84964.2397149982</ns0:v>
      </ns0:c>
      <ns0:c r="AA76" s="7">
        <ns0:f>IF(T76&gt;=0,A76,1001)</ns0:f>
        <ns0:v>72</ns0:v>
      </ns0:c>
      <ns0:c r="AB76" s="7">
        <ns0:f>IF(T76&lt;0,A76,0)</ns0:f>
        <ns0:v>0</ns0:v>
      </ns0:c>
      <ns0:c r="AC76" s="16">
        <ns0:f>IF(AND(OR('前提と出典'!$C$36+'前提と出典'!$C$38=0,R76&gt;=0),OR('前提と出典'!$C$37+'前提と出典'!$C$38=0,S76&gt;=0)),0,A76)</ns0:f>
        <ns0:v>0</ns0:v>
      </ns0:c>
      <ns0:c r="AD76" s="7">
        <ns0:f>IF(W76&gt;=0,A76,1001)</ns0:f>
        <ns0:v>72</ns0:v>
      </ns0:c>
      <ns0:c r="AE76" s="7">
        <ns0:f>IF(W76&lt;0,A76,0)</ns0:f>
        <ns0:v>0</ns0:v>
      </ns0:c>
      <ns0:c r="AF76" s="16">
        <ns0:f>IF(AND(OR('前提と出典'!$C$36+'前提と出典'!$C$38=0,U76&gt;=0),OR('前提と出典'!$C$37+'前提と出典'!$C$38=0,V76&gt;=0)),0,A76)</ns0:f>
        <ns0:v>0</ns0:v>
      </ns0:c>
      <ns0:c r="AG76" s="7">
        <ns0:f>IF(Z76&gt;=0,A76,1001)</ns0:f>
        <ns0:v>72</ns0:v>
      </ns0:c>
      <ns0:c r="AH76" s="4">
        <ns0:f>IF(Z76&lt;0,A76,0)</ns0:f>
        <ns0:v>0</ns0:v>
      </ns0:c>
      <ns0:c r="AI76" s="12">
        <ns0:f>IF(AND(OR('前提と出典'!$C$36+'前提と出典'!$C$38=0,X76&gt;=0),OR('前提と出典'!$C$37+'前提と出典'!$C$38=0,Y76&gt;=0)),0,A76)</ns0:f>
        <ns0:v>0</ns0:v>
      </ns0:c>
    </ns0:row>
    <ns0:row r="77" ht="24" customHeight="1">
      <ns0:c r="A77" s="4" t="n">
        <ns0:v>73</ns0:v>
      </ns0:c>
      <ns0:c r="B77" s="12">
        <ns0:f>A77*('前提と出典'!$C$36+'前提と出典'!$C$38)</ns0:f>
        <ns0:v>51.099999999999994</ns0:v>
      </ns0:c>
      <ns0:c r="C77" s="12">
        <ns0:f>A77*('前提と出典'!$C$37+'前提と出典'!$C$38)</ns0:f>
        <ns0:v>43.8</ns0:v>
      </ns0:c>
      <ns0:c r="D77" s="16">
        <ns0:f>A77*('前提と出典'!$C$36*'契約別単価'!C5+'前提と出典'!$C$37*'契約別単価'!C6+'前提と出典'!$C$38*'契約別単価'!C7)</ns0:f>
        <ns0:v>525.2737430167598</ns0:v>
      </ns0:c>
      <ns0:c r="E77" s="16">
        <ns0:f>A77*('前提と出典'!$C$36*'契約別単価'!E5+'前提と出典'!$C$37*'契約別単価'!E6+'前提と出典'!$C$38*'契約別単価'!E7)</ns0:f>
        <ns0:v>141250.9599414627</ns0:v>
      </ns0:c>
      <ns0:c r="F77" s="16">
        <ns0:f>A77*('前提と出典'!$C$36*'契約別単価'!F5+'前提と出典'!$C$37*'契約別単価'!F6+'前提と出典'!$C$38*'契約別単価'!F7)</ns0:f>
        <ns0:v>55435.8700183924</ns0:v>
      </ns0:c>
      <ns0:c r="G77" s="16">
        <ns0:f>A77*('前提と出典'!$C$36*'契約別単価'!G5+'前提と出典'!$C$37*'契約別単価'!G6+'前提と出典'!$C$38*'契約別単価'!G7)</ns0:f>
        <ns0:v>145306.7039106145</ns0:v>
      </ns0:c>
      <ns0:c r="H77" s="16">
        <ns0:f>A77*('前提と出典'!$C$36*'契約別単価'!H5+'前提と出典'!$C$37*'契約別単価'!H6+'前提と出典'!$C$38*'契約別単価'!H7)</ns0:f>
        <ns0:v>50428.713960865774</ns0:v>
      </ns0:c>
      <ns0:c r="I77" s="16">
        <ns0:f>A77*('前提と出典'!$C$36*'契約別単価'!I5+'前提と出典'!$C$37*'契約別単価'!I6+'前提と出典'!$C$38*'契約別単価'!I7)</ns0:f>
        <ns0:v>3080.2737430167595</ns0:v>
      </ns0:c>
      <ns0:c r="J77" s="16">
        <ns0:f>A77*('前提と出典'!$C$36*'契約別単価'!J5+'前提と出典'!$C$37*'契約別単価'!J6+'前提と出典'!$C$38*'契約別単価'!J7)</ns0:f>
        <ns0:v>7175.136690852088</ns0:v>
      </ns0:c>
      <ns0:c r="K77" s="16">
        <ns0:f>A77*('前提と出典'!$C$36*'契約別単価'!K5+'前提と出典'!$C$37*'契約別単価'!K6+'前提と出典'!$C$38*'契約別単価'!K7)</ns0:f>
        <ns0:v>30755.158286778398</ns0:v>
      </ns0:c>
      <ns0:c r="L77" s="16">
        <ns0:f>A77*('前提と出典'!$C$36*'契約別単価'!L5+'前提と出典'!$C$37*'契約別単価'!L6+'前提と出典'!$C$38*'契約別単価'!L7)</ns0:f>
        <ns0:v>25040.95713202886</ns0:v>
      </ns0:c>
      <ns0:c r="M77" s="16">
        <ns0:f>IF(('前提と出典'!$C$36+'前提と出典'!$C$38)=0,0,IF(B77&lt;=10,'前提と出典'!B73+'前提と出典'!C73,IF(B77&lt;=100,'前提と出典'!B74+'前提と出典'!C74,IF(B77&lt;=500,'前提と出典'!B75+'前提と出典'!C75,'前提と出典'!B76+'前提と出典'!C76))))</ns0:f>
        <ns0:v>20000</ns0:v>
      </ns0:c>
      <ns0:c r="N77" s="16">
        <ns0:f>IF(('前提と出典'!$C$37+'前提と出典'!$C$38)=0,0,IF(C77&lt;=10,'前提と出典'!D73+'前提と出典'!E73,IF(C77&lt;=100,'前提と出典'!D74+'前提と出典'!E74,IF(C77&lt;=500,'前提と出典'!D75+'前提と出典'!E75,'前提と出典'!D76+'前提と出典'!E76))))</ns0:f>
        <ns0:v>34510.9346263078</ns0:v>
      </ns0:c>
      <ns0:c r="O77" s="16">
        <ns0:f>IF('前提と出典'!$C$36+'前提と出典'!$C$38=0,0,'前提と出典'!$B$4*IF('前提と出典'!$B$20=0,MAX('前提と出典'!$B$6,D77*'前提と出典'!$B$5),'前提と出典'!$B$6+D77*'前提と出典'!$B$5))</ns0:f>
        <ns0:v>72487.77653631286</ns0:v>
      </ns0:c>
      <ns0:c r="P77" s="16">
        <ns0:f>(E77+G77)*(1-'前提と出典'!$B$7)-I77-K77-M77-O77</ns0:f>
        <ns0:v>149918.3793872944</ns0:v>
      </ns0:c>
      <ns0:c r="Q77" s="16">
        <ns0:f>(F77+H77)*(1-'前提と出典'!$B$7)-J77-L77-N77</ns0:f>
        <ns0:v>35326.430506816134</ns0:v>
      </ns0:c>
      <ns0:c r="R77" s="16">
        <ns0:f>P77-E77*'前提と出典'!$E$4</ns0:f>
        <ns0:v>107543.0914048556</ns0:v>
      </ns0:c>
      <ns0:c r="S77" s="16">
        <ns0:f>Q77-F77*'前提と出典'!$E$4</ns0:f>
        <ns0:v>18695.669501298413</ns0:v>
      </ns0:c>
      <ns0:c r="T77" s="7">
        <ns0:f>R77+S77</ns0:f>
        <ns0:v>126238.76090615401</ns0:v>
      </ns0:c>
      <ns0:c r="U77" s="16">
        <ns0:f>P77-E77*'前提と出典'!$E$5</ns0:f>
        <ns0:v>93417.99541070932</ns0:v>
      </ns0:c>
      <ns0:c r="V77" s="16">
        <ns0:f>Q77-F77*'前提と出典'!$E$5</ns0:f>
        <ns0:v>13152.082499459168</ns0:v>
      </ns0:c>
      <ns0:c r="W77" s="7">
        <ns0:f>U77+V77</ns0:f>
        <ns0:v>106570.07791016849</ns0:v>
      </ns0:c>
      <ns0:c r="X77" s="16">
        <ns0:f>P77-E77*'前提と出典'!$E$6</ns0:f>
        <ns0:v>79292.89941656304</ns0:v>
      </ns0:c>
      <ns0:c r="Y77" s="16">
        <ns0:f>Q77-F77*'前提と出典'!$E$6</ns0:f>
        <ns0:v>7608.495497619937</ns0:v>
      </ns0:c>
      <ns0:c r="Z77" s="7">
        <ns0:f>X77+Y77</ns0:f>
        <ns0:v>86901.39491418298</ns0:v>
      </ns0:c>
      <ns0:c r="AA77" s="7">
        <ns0:f>IF(T77&gt;=0,A77,1001)</ns0:f>
        <ns0:v>73</ns0:v>
      </ns0:c>
      <ns0:c r="AB77" s="7">
        <ns0:f>IF(T77&lt;0,A77,0)</ns0:f>
        <ns0:v>0</ns0:v>
      </ns0:c>
      <ns0:c r="AC77" s="16">
        <ns0:f>IF(AND(OR('前提と出典'!$C$36+'前提と出典'!$C$38=0,R77&gt;=0),OR('前提と出典'!$C$37+'前提と出典'!$C$38=0,S77&gt;=0)),0,A77)</ns0:f>
        <ns0:v>0</ns0:v>
      </ns0:c>
      <ns0:c r="AD77" s="7">
        <ns0:f>IF(W77&gt;=0,A77,1001)</ns0:f>
        <ns0:v>73</ns0:v>
      </ns0:c>
      <ns0:c r="AE77" s="7">
        <ns0:f>IF(W77&lt;0,A77,0)</ns0:f>
        <ns0:v>0</ns0:v>
      </ns0:c>
      <ns0:c r="AF77" s="16">
        <ns0:f>IF(AND(OR('前提と出典'!$C$36+'前提と出典'!$C$38=0,U77&gt;=0),OR('前提と出典'!$C$37+'前提と出典'!$C$38=0,V77&gt;=0)),0,A77)</ns0:f>
        <ns0:v>0</ns0:v>
      </ns0:c>
      <ns0:c r="AG77" s="7">
        <ns0:f>IF(Z77&gt;=0,A77,1001)</ns0:f>
        <ns0:v>73</ns0:v>
      </ns0:c>
      <ns0:c r="AH77" s="4">
        <ns0:f>IF(Z77&lt;0,A77,0)</ns0:f>
        <ns0:v>0</ns0:v>
      </ns0:c>
      <ns0:c r="AI77" s="12">
        <ns0:f>IF(AND(OR('前提と出典'!$C$36+'前提と出典'!$C$38=0,X77&gt;=0),OR('前提と出典'!$C$37+'前提と出典'!$C$38=0,Y77&gt;=0)),0,A77)</ns0:f>
        <ns0:v>0</ns0:v>
      </ns0:c>
    </ns0:row>
    <ns0:row r="78" ht="24" customHeight="1">
      <ns0:c r="A78" s="4" t="n">
        <ns0:v>74</ns0:v>
      </ns0:c>
      <ns0:c r="B78" s="12">
        <ns0:f>A78*('前提と出典'!$C$36+'前提と出典'!$C$38)</ns0:f>
        <ns0:v>51.8</ns0:v>
      </ns0:c>
      <ns0:c r="C78" s="12">
        <ns0:f>A78*('前提と出典'!$C$37+'前提と出典'!$C$38)</ns0:f>
        <ns0:v>44.4</ns0:v>
      </ns0:c>
      <ns0:c r="D78" s="16">
        <ns0:f>A78*('前提と出典'!$C$36*'契約別単価'!C5+'前提と出典'!$C$37*'契約別単価'!C6+'前提と出典'!$C$38*'契約別単価'!C7)</ns0:f>
        <ns0:v>532.4692737430167</ns0:v>
      </ns0:c>
      <ns0:c r="E78" s="16">
        <ns0:f>A78*('前提と出典'!$C$36*'契約別単価'!E5+'前提と出典'!$C$37*'契約別単価'!E6+'前提と出典'!$C$38*'契約別単価'!E7)</ns0:f>
        <ns0:v>143185.90459819508</ns0:v>
      </ns0:c>
      <ns0:c r="F78" s="16">
        <ns0:f>A78*('前提と出典'!$C$36*'契約別単価'!F5+'前提と出典'!$C$37*'契約別単価'!F6+'前提と出典'!$C$38*'契約別単価'!F7)</ns0:f>
        <ns0:v>56195.26549809641</ns0:v>
      </ns0:c>
      <ns0:c r="G78" s="16">
        <ns0:f>A78*('前提と出典'!$C$36*'契約別単価'!G5+'前提と出典'!$C$37*'契約別単価'!G6+'前提と出典'!$C$38*'契約別単価'!G7)</ns0:f>
        <ns0:v>147297.2067039106</ns0:v>
      </ns0:c>
      <ns0:c r="H78" s="16">
        <ns0:f>A78*('前提と出典'!$C$36*'契約別単価'!H5+'前提と出典'!$C$37*'契約別単価'!H6+'前提と出典'!$C$38*'契約別単価'!H7)</ns0:f>
        <ns0:v>51119.51826169955</ns0:v>
      </ns0:c>
      <ns0:c r="I78" s="16">
        <ns0:f>A78*('前提と出典'!$C$36*'契約別単価'!I5+'前提と出典'!$C$37*'契約別単価'!I6+'前提と出典'!$C$38*'契約別単価'!I7)</ns0:f>
        <ns0:v>3122.4692737430164</ns0:v>
      </ns0:c>
      <ns0:c r="J78" s="16">
        <ns0:f>A78*('前提と出典'!$C$36*'契約別単価'!J5+'前提と出典'!$C$37*'契約別単価'!J6+'前提と出典'!$C$38*'契約別単価'!J7)</ns0:f>
        <ns0:v>7273.42623456239</ns0:v>
      </ns0:c>
      <ns0:c r="K78" s="16">
        <ns0:f>A78*('前提と出典'!$C$36*'契約別単価'!K5+'前提と出典'!$C$37*'契約別単価'!K6+'前提と出典'!$C$38*'契約別単価'!K7)</ns0:f>
        <ns0:v>31176.461824953443</ns0:v>
      </ns0:c>
      <ns0:c r="L78" s="16">
        <ns0:f>A78*('前提と出典'!$C$36*'契約別単価'!L5+'前提と出典'!$C$37*'契約別単価'!L6+'前提と出典'!$C$38*'契約別単価'!L7)</ns0:f>
        <ns0:v>25383.98394205665</ns0:v>
      </ns0:c>
      <ns0:c r="M78" s="16">
        <ns0:f>IF(('前提と出典'!$C$36+'前提と出典'!$C$38)=0,0,IF(B78&lt;=10,'前提と出典'!B73+'前提と出典'!C73,IF(B78&lt;=100,'前提と出典'!B74+'前提と出典'!C74,IF(B78&lt;=500,'前提と出典'!B75+'前提と出典'!C75,'前提と出典'!B76+'前提と出典'!C76))))</ns0:f>
        <ns0:v>20000</ns0:v>
      </ns0:c>
      <ns0:c r="N78" s="16">
        <ns0:f>IF(('前提と出典'!$C$37+'前提と出典'!$C$38)=0,0,IF(C78&lt;=10,'前提と出典'!D73+'前提と出典'!E73,IF(C78&lt;=100,'前提と出典'!D74+'前提と出典'!E74,IF(C78&lt;=500,'前提と出典'!D75+'前提と出典'!E75,'前提と出典'!D76+'前提と出典'!E76))))</ns0:f>
        <ns0:v>34510.9346263078</ns0:v>
      </ns0:c>
      <ns0:c r="O78" s="16">
        <ns0:f>IF('前提と出典'!$C$36+'前提と出典'!$C$38=0,0,'前提と出典'!$B$4*IF('前提と出典'!$B$20=0,MAX('前提と出典'!$B$6,D78*'前提と出典'!$B$5),'前提と出典'!$B$6+D78*'前提と出典'!$B$5))</ns0:f>
        <ns0:v>73480.75977653632</ns0:v>
      </ns0:c>
      <ns0:c r="P78" s="16">
        <ns0:f>(E78+G78)*(1-'前提と出典'!$B$7)-I78-K78-M78-O78</ns0:f>
        <ns0:v>152246.02841999714</ns0:v>
      </ns0:c>
      <ns0:c r="Q78" s="16">
        <ns0:f>(F78+H78)*(1-'前提と出典'!$B$7)-J78-L78-N78</ns0:f>
        <ns0:v>36283.10674151647</ns0:v>
      </ns0:c>
      <ns0:c r="R78" s="16">
        <ns0:f>P78-E78*'前提と出典'!$E$4</ns0:f>
        <ns0:v>109290.25704053862</ns0:v>
      </ns0:c>
      <ns0:c r="S78" s="16">
        <ns0:f>Q78-F78*'前提と出典'!$E$4</ns0:f>
        <ns0:v>19424.52709208755</ns0:v>
      </ns0:c>
      <ns0:c r="T78" s="7">
        <ns0:f>R78+S78</ns0:f>
        <ns0:v>128714.78413262617</ns0:v>
      </ns0:c>
      <ns0:c r="U78" s="16">
        <ns0:f>P78-E78*'前提と出典'!$E$5</ns0:f>
        <ns0:v>94971.66658071912</ns0:v>
      </ns0:c>
      <ns0:c r="V78" s="16">
        <ns0:f>Q78-F78*'前提と出典'!$E$5</ns0:f>
        <ns0:v>13805.000542277907</ns0:v>
      </ns0:c>
      <ns0:c r="W78" s="7">
        <ns0:f>U78+V78</ns0:f>
        <ns0:v>108776.66712299702</ns0:v>
      </ns0:c>
      <ns0:c r="X78" s="16">
        <ns0:f>P78-E78*'前提と出典'!$E$6</ns0:f>
        <ns0:v>80653.07612089958</ns0:v>
      </ns0:c>
      <ns0:c r="Y78" s="16">
        <ns0:f>Q78-F78*'前提と出典'!$E$6</ns0:f>
        <ns0:v>8185.473992468265</ns0:v>
      </ns0:c>
      <ns0:c r="Z78" s="7">
        <ns0:f>X78+Y78</ns0:f>
        <ns0:v>88838.55011336785</ns0:v>
      </ns0:c>
      <ns0:c r="AA78" s="7">
        <ns0:f>IF(T78&gt;=0,A78,1001)</ns0:f>
        <ns0:v>74</ns0:v>
      </ns0:c>
      <ns0:c r="AB78" s="7">
        <ns0:f>IF(T78&lt;0,A78,0)</ns0:f>
        <ns0:v>0</ns0:v>
      </ns0:c>
      <ns0:c r="AC78" s="16">
        <ns0:f>IF(AND(OR('前提と出典'!$C$36+'前提と出典'!$C$38=0,R78&gt;=0),OR('前提と出典'!$C$37+'前提と出典'!$C$38=0,S78&gt;=0)),0,A78)</ns0:f>
        <ns0:v>0</ns0:v>
      </ns0:c>
      <ns0:c r="AD78" s="7">
        <ns0:f>IF(W78&gt;=0,A78,1001)</ns0:f>
        <ns0:v>74</ns0:v>
      </ns0:c>
      <ns0:c r="AE78" s="7">
        <ns0:f>IF(W78&lt;0,A78,0)</ns0:f>
        <ns0:v>0</ns0:v>
      </ns0:c>
      <ns0:c r="AF78" s="16">
        <ns0:f>IF(AND(OR('前提と出典'!$C$36+'前提と出典'!$C$38=0,U78&gt;=0),OR('前提と出典'!$C$37+'前提と出典'!$C$38=0,V78&gt;=0)),0,A78)</ns0:f>
        <ns0:v>0</ns0:v>
      </ns0:c>
      <ns0:c r="AG78" s="7">
        <ns0:f>IF(Z78&gt;=0,A78,1001)</ns0:f>
        <ns0:v>74</ns0:v>
      </ns0:c>
      <ns0:c r="AH78" s="4">
        <ns0:f>IF(Z78&lt;0,A78,0)</ns0:f>
        <ns0:v>0</ns0:v>
      </ns0:c>
      <ns0:c r="AI78" s="12">
        <ns0:f>IF(AND(OR('前提と出典'!$C$36+'前提と出典'!$C$38=0,X78&gt;=0),OR('前提と出典'!$C$37+'前提と出典'!$C$38=0,Y78&gt;=0)),0,A78)</ns0:f>
        <ns0:v>0</ns0:v>
      </ns0:c>
    </ns0:row>
    <ns0:row r="79" ht="24" customHeight="1">
      <ns0:c r="A79" s="4" t="n">
        <ns0:v>75</ns0:v>
      </ns0:c>
      <ns0:c r="B79" s="12">
        <ns0:f>A79*('前提と出典'!$C$36+'前提と出典'!$C$38)</ns0:f>
        <ns0:v>52.5</ns0:v>
      </ns0:c>
      <ns0:c r="C79" s="12">
        <ns0:f>A79*('前提と出典'!$C$37+'前提と出典'!$C$38)</ns0:f>
        <ns0:v>45</ns0:v>
      </ns0:c>
      <ns0:c r="D79" s="16">
        <ns0:f>A79*('前提と出典'!$C$36*'契約別単価'!C5+'前提と出典'!$C$37*'契約別単価'!C6+'前提と出典'!$C$38*'契約別単価'!C7)</ns0:f>
        <ns0:v>539.6648044692737</ns0:v>
      </ns0:c>
      <ns0:c r="E79" s="16">
        <ns0:f>A79*('前提と出典'!$C$36*'契約別単価'!E5+'前提と出典'!$C$37*'契約別単価'!E6+'前提と出典'!$C$38*'契約別単価'!E7)</ns0:f>
        <ns0:v>145120.84925492745</ns0:v>
      </ns0:c>
      <ns0:c r="F79" s="16">
        <ns0:f>A79*('前提と出典'!$C$36*'契約別単価'!F5+'前提と出典'!$C$37*'契約別単価'!F6+'前提と出典'!$C$38*'契約別単価'!F7)</ns0:f>
        <ns0:v>56954.66097780041</ns0:v>
      </ns0:c>
      <ns0:c r="G79" s="16">
        <ns0:f>A79*('前提と出典'!$C$36*'契約別単価'!G5+'前提と出典'!$C$37*'契約別単価'!G6+'前提と出典'!$C$38*'契約別単価'!G7)</ns0:f>
        <ns0:v>149287.7094972067</ns0:v>
      </ns0:c>
      <ns0:c r="H79" s="16">
        <ns0:f>A79*('前提と出典'!$C$36*'契約別単価'!H5+'前提と出典'!$C$37*'契約別単価'!H6+'前提と出典'!$C$38*'契約別単価'!H7)</ns0:f>
        <ns0:v>51810.32256253333</ns0:v>
      </ns0:c>
      <ns0:c r="I79" s="16">
        <ns0:f>A79*('前提と出典'!$C$36*'契約別単価'!I5+'前提と出典'!$C$37*'契約別単価'!I6+'前提と出典'!$C$38*'契約別単価'!I7)</ns0:f>
        <ns0:v>3164.6648044692733</ns0:v>
      </ns0:c>
      <ns0:c r="J79" s="16">
        <ns0:f>A79*('前提と出典'!$C$36*'契約別単価'!J5+'前提と出典'!$C$37*'契約別単価'!J6+'前提と出典'!$C$38*'契約別単価'!J7)</ns0:f>
        <ns0:v>7371.715778272693</ns0:v>
      </ns0:c>
      <ns0:c r="K79" s="16">
        <ns0:f>A79*('前提と出典'!$C$36*'契約別単価'!K5+'前提と出典'!$C$37*'契約別単価'!K6+'前提と出典'!$C$38*'契約別単価'!K7)</ns0:f>
        <ns0:v>31597.76536312849</ns0:v>
      </ns0:c>
      <ns0:c r="L79" s="16">
        <ns0:f>A79*('前提と出典'!$C$36*'契約別単価'!L5+'前提と出典'!$C$37*'契約別単価'!L6+'前提と出典'!$C$38*'契約別単価'!L7)</ns0:f>
        <ns0:v>25727.010752084443</ns0:v>
      </ns0:c>
      <ns0:c r="M79" s="16">
        <ns0:f>IF(('前提と出典'!$C$36+'前提と出典'!$C$38)=0,0,IF(B79&lt;=10,'前提と出典'!B73+'前提と出典'!C73,IF(B79&lt;=100,'前提と出典'!B74+'前提と出典'!C74,IF(B79&lt;=500,'前提と出典'!B75+'前提と出典'!C75,'前提と出典'!B76+'前提と出典'!C76))))</ns0:f>
        <ns0:v>20000</ns0:v>
      </ns0:c>
      <ns0:c r="N79" s="16">
        <ns0:f>IF(('前提と出典'!$C$37+'前提と出典'!$C$38)=0,0,IF(C79&lt;=10,'前提と出典'!D73+'前提と出典'!E73,IF(C79&lt;=100,'前提と出典'!D74+'前提と出典'!E74,IF(C79&lt;=500,'前提と出典'!D75+'前提と出典'!E75,'前提と出典'!D76+'前提と出典'!E76))))</ns0:f>
        <ns0:v>34510.9346263078</ns0:v>
      </ns0:c>
      <ns0:c r="O79" s="16">
        <ns0:f>IF('前提と出典'!$C$36+'前提と出典'!$C$38=0,0,'前提と出典'!$B$4*IF('前提と出典'!$B$20=0,MAX('前提と出典'!$B$6,D79*'前提と出典'!$B$5),'前提と出典'!$B$6+D79*'前提と出典'!$B$5))</ns0:f>
        <ns0:v>74473.74301675978</ns0:v>
      </ns0:c>
      <ns0:c r="P79" s="16">
        <ns0:f>(E79+G79)*(1-'前提と出典'!$B$7)-I79-K79-M79-O79</ns0:f>
        <ns0:v>154573.6774526998</ns0:v>
      </ns0:c>
      <ns0:c r="Q79" s="16">
        <ns0:f>(F79+H79)*(1-'前提と出典'!$B$7)-J79-L79-N79</ns0:f>
        <ns0:v>37239.782976216804</ns0:v>
      </ns0:c>
      <ns0:c r="R79" s="16">
        <ns0:f>P79-E79*'前提と出典'!$E$4</ns0:f>
        <ns0:v>111037.42267622158</ns0:v>
      </ns0:c>
      <ns0:c r="S79" s="16">
        <ns0:f>Q79-F79*'前提と出典'!$E$4</ns0:f>
        <ns0:v>20153.384682876676</ns0:v>
      </ns0:c>
      <ns0:c r="T79" s="7">
        <ns0:f>R79+S79</ns0:f>
        <ns0:v>131190.80735909825</ns0:v>
      </ns0:c>
      <ns0:c r="U79" s="16">
        <ns0:f>P79-E79*'前提と出典'!$E$5</ns0:f>
        <ns0:v>96525.33775072882</ns0:v>
      </ns0:c>
      <ns0:c r="V79" s="16">
        <ns0:f>Q79-F79*'前提と出典'!$E$5</ns0:f>
        <ns0:v>14457.918585096639</ns0:v>
      </ns0:c>
      <ns0:c r="W79" s="7">
        <ns0:f>U79+V79</ns0:f>
        <ns0:v>110983.25633582546</ns0:v>
      </ns0:c>
      <ns0:c r="X79" s="16">
        <ns0:f>P79-E79*'前提と出典'!$E$6</ns0:f>
        <ns0:v>82013.25282523606</ns0:v>
      </ns0:c>
      <ns0:c r="Y79" s="16">
        <ns0:f>Q79-F79*'前提と出典'!$E$6</ns0:f>
        <ns0:v>8762.452487316601</ns0:v>
      </ns0:c>
      <ns0:c r="Z79" s="7">
        <ns0:f>X79+Y79</ns0:f>
        <ns0:v>90775.70531255266</ns0:v>
      </ns0:c>
      <ns0:c r="AA79" s="7">
        <ns0:f>IF(T79&gt;=0,A79,1001)</ns0:f>
        <ns0:v>75</ns0:v>
      </ns0:c>
      <ns0:c r="AB79" s="7">
        <ns0:f>IF(T79&lt;0,A79,0)</ns0:f>
        <ns0:v>0</ns0:v>
      </ns0:c>
      <ns0:c r="AC79" s="16">
        <ns0:f>IF(AND(OR('前提と出典'!$C$36+'前提と出典'!$C$38=0,R79&gt;=0),OR('前提と出典'!$C$37+'前提と出典'!$C$38=0,S79&gt;=0)),0,A79)</ns0:f>
        <ns0:v>0</ns0:v>
      </ns0:c>
      <ns0:c r="AD79" s="7">
        <ns0:f>IF(W79&gt;=0,A79,1001)</ns0:f>
        <ns0:v>75</ns0:v>
      </ns0:c>
      <ns0:c r="AE79" s="7">
        <ns0:f>IF(W79&lt;0,A79,0)</ns0:f>
        <ns0:v>0</ns0:v>
      </ns0:c>
      <ns0:c r="AF79" s="16">
        <ns0:f>IF(AND(OR('前提と出典'!$C$36+'前提と出典'!$C$38=0,U79&gt;=0),OR('前提と出典'!$C$37+'前提と出典'!$C$38=0,V79&gt;=0)),0,A79)</ns0:f>
        <ns0:v>0</ns0:v>
      </ns0:c>
      <ns0:c r="AG79" s="7">
        <ns0:f>IF(Z79&gt;=0,A79,1001)</ns0:f>
        <ns0:v>75</ns0:v>
      </ns0:c>
      <ns0:c r="AH79" s="4">
        <ns0:f>IF(Z79&lt;0,A79,0)</ns0:f>
        <ns0:v>0</ns0:v>
      </ns0:c>
      <ns0:c r="AI79" s="12">
        <ns0:f>IF(AND(OR('前提と出典'!$C$36+'前提と出典'!$C$38=0,X79&gt;=0),OR('前提と出典'!$C$37+'前提と出典'!$C$38=0,Y79&gt;=0)),0,A79)</ns0:f>
        <ns0:v>0</ns0:v>
      </ns0:c>
    </ns0:row>
    <ns0:row r="80" ht="24" customHeight="1">
      <ns0:c r="A80" s="4" t="n">
        <ns0:v>76</ns0:v>
      </ns0:c>
      <ns0:c r="B80" s="12">
        <ns0:f>A80*('前提と出典'!$C$36+'前提と出典'!$C$38)</ns0:f>
        <ns0:v>53.199999999999996</ns0:v>
      </ns0:c>
      <ns0:c r="C80" s="12">
        <ns0:f>A80*('前提と出典'!$C$37+'前提と出典'!$C$38)</ns0:f>
        <ns0:v>45.6</ns0:v>
      </ns0:c>
      <ns0:c r="D80" s="16">
        <ns0:f>A80*('前提と出典'!$C$36*'契約別単価'!C5+'前提と出典'!$C$37*'契約別単価'!C6+'前提と出典'!$C$38*'契約別単価'!C7)</ns0:f>
        <ns0:v>546.8603351955308</ns0:v>
      </ns0:c>
      <ns0:c r="E80" s="16">
        <ns0:f>A80*('前提と出典'!$C$36*'契約別単価'!E5+'前提と出典'!$C$37*'契約別単価'!E6+'前提と出典'!$C$38*'契約別単価'!E7)</ns0:f>
        <ns0:v>147055.7939116598</ns0:v>
      </ns0:c>
      <ns0:c r="F80" s="16">
        <ns0:f>A80*('前提と出典'!$C$36*'契約別単価'!F5+'前提と出典'!$C$37*'契約別単価'!F6+'前提と出典'!$C$38*'契約別単価'!F7)</ns0:f>
        <ns0:v>57714.05645750442</ns0:v>
      </ns0:c>
      <ns0:c r="G80" s="16">
        <ns0:f>A80*('前提と出典'!$C$36*'契約別単価'!G5+'前提と出典'!$C$37*'契約別単価'!G6+'前提と出典'!$C$38*'契約別単価'!G7)</ns0:f>
        <ns0:v>151278.2122905028</ns0:v>
      </ns0:c>
      <ns0:c r="H80" s="16">
        <ns0:f>A80*('前提と出典'!$C$36*'契約別単価'!H5+'前提と出典'!$C$37*'契約別単価'!H6+'前提と出典'!$C$38*'契約別単価'!H7)</ns0:f>
        <ns0:v>52501.126863367106</ns0:v>
      </ns0:c>
      <ns0:c r="I80" s="16">
        <ns0:f>A80*('前提と出典'!$C$36*'契約別単価'!I5+'前提と出典'!$C$37*'契約別単価'!I6+'前提と出典'!$C$38*'契約別単価'!I7)</ns0:f>
        <ns0:v>3206.8603351955303</ns0:v>
      </ns0:c>
      <ns0:c r="J80" s="16">
        <ns0:f>A80*('前提と出典'!$C$36*'契約別単価'!J5+'前提と出典'!$C$37*'契約別単価'!J6+'前提と出典'!$C$38*'契約別単価'!J7)</ns0:f>
        <ns0:v>7470.005321982995</ns0:v>
      </ns0:c>
      <ns0:c r="K80" s="16">
        <ns0:f>A80*('前提と出典'!$C$36*'契約別単価'!K5+'前提と出典'!$C$37*'契約別単価'!K6+'前提と出典'!$C$38*'契約別単価'!K7)</ns0:f>
        <ns0:v>32019.068901303537</ns0:v>
      </ns0:c>
      <ns0:c r="L80" s="16">
        <ns0:f>A80*('前提と出典'!$C$36*'契約別単価'!L5+'前提と出典'!$C$37*'契約別単価'!L6+'前提と出典'!$C$38*'契約別単価'!L7)</ns0:f>
        <ns0:v>26070.037562112237</ns0:v>
      </ns0:c>
      <ns0:c r="M80" s="16">
        <ns0:f>IF(('前提と出典'!$C$36+'前提と出典'!$C$38)=0,0,IF(B80&lt;=10,'前提と出典'!B73+'前提と出典'!C73,IF(B80&lt;=100,'前提と出典'!B74+'前提と出典'!C74,IF(B80&lt;=500,'前提と出典'!B75+'前提と出典'!C75,'前提と出典'!B76+'前提と出典'!C76))))</ns0:f>
        <ns0:v>20000</ns0:v>
      </ns0:c>
      <ns0:c r="N80" s="16">
        <ns0:f>IF(('前提と出典'!$C$37+'前提と出典'!$C$38)=0,0,IF(C80&lt;=10,'前提と出典'!D73+'前提と出典'!E73,IF(C80&lt;=100,'前提と出典'!D74+'前提と出典'!E74,IF(C80&lt;=500,'前提と出典'!D75+'前提と出典'!E75,'前提と出典'!D76+'前提と出典'!E76))))</ns0:f>
        <ns0:v>34510.9346263078</ns0:v>
      </ns0:c>
      <ns0:c r="O80" s="16">
        <ns0:f>IF('前提と出典'!$C$36+'前提と出典'!$C$38=0,0,'前提と出典'!$B$4*IF('前提と出典'!$B$20=0,MAX('前提と出典'!$B$6,D80*'前提と出典'!$B$5),'前提と出典'!$B$6+D80*'前提と出典'!$B$5))</ns0:f>
        <ns0:v>75466.72625698325</ns0:v>
      </ns0:c>
      <ns0:c r="P80" s="16">
        <ns0:f>(E80+G80)*(1-'前提と出典'!$B$7)-I80-K80-M80-O80</ns0:f>
        <ns0:v>156901.32648540245</ns0:v>
      </ns0:c>
      <ns0:c r="Q80" s="16">
        <ns0:f>(F80+H80)*(1-'前提と出典'!$B$7)-J80-L80-N80</ns0:f>
        <ns0:v>38196.45921091712</ns0:v>
      </ns0:c>
      <ns0:c r="R80" s="16">
        <ns0:f>P80-E80*'前提と出典'!$E$4</ns0:f>
        <ns0:v>112784.5883119045</ns0:v>
      </ns0:c>
      <ns0:c r="S80" s="16">
        <ns0:f>Q80-F80*'前提と出典'!$E$4</ns0:f>
        <ns0:v>20882.242273665783</ns0:v>
      </ns0:c>
      <ns0:c r="T80" s="7">
        <ns0:f>R80+S80</ns0:f>
        <ns0:v>133666.83058557028</ns0:v>
      </ns0:c>
      <ns0:c r="U80" s="16">
        <ns0:f>P80-E80*'前提と出典'!$E$5</ns0:f>
        <ns0:v>98079.00892073852</ns0:v>
      </ns0:c>
      <ns0:c r="V80" s="16">
        <ns0:f>Q80-F80*'前提と出典'!$E$5</ns0:f>
        <ns0:v>15110.836627915349</ns0:v>
      </ns0:c>
      <ns0:c r="W80" s="7">
        <ns0:f>U80+V80</ns0:f>
        <ns0:v>113189.84554865386</ns0:v>
      </ns0:c>
      <ns0:c r="X80" s="16">
        <ns0:f>P80-E80*'前提と出典'!$E$6</ns0:f>
        <ns0:v>83373.42952957253</ns0:v>
      </ns0:c>
      <ns0:c r="Y80" s="16">
        <ns0:f>Q80-F80*'前提と出典'!$E$6</ns0:f>
        <ns0:v>9339.4309821649</ns0:v>
      </ns0:c>
      <ns0:c r="Z80" s="7">
        <ns0:f>X80+Y80</ns0:f>
        <ns0:v>92712.86051173744</ns0:v>
      </ns0:c>
      <ns0:c r="AA80" s="7">
        <ns0:f>IF(T80&gt;=0,A80,1001)</ns0:f>
        <ns0:v>76</ns0:v>
      </ns0:c>
      <ns0:c r="AB80" s="7">
        <ns0:f>IF(T80&lt;0,A80,0)</ns0:f>
        <ns0:v>0</ns0:v>
      </ns0:c>
      <ns0:c r="AC80" s="16">
        <ns0:f>IF(AND(OR('前提と出典'!$C$36+'前提と出典'!$C$38=0,R80&gt;=0),OR('前提と出典'!$C$37+'前提と出典'!$C$38=0,S80&gt;=0)),0,A80)</ns0:f>
        <ns0:v>0</ns0:v>
      </ns0:c>
      <ns0:c r="AD80" s="7">
        <ns0:f>IF(W80&gt;=0,A80,1001)</ns0:f>
        <ns0:v>76</ns0:v>
      </ns0:c>
      <ns0:c r="AE80" s="7">
        <ns0:f>IF(W80&lt;0,A80,0)</ns0:f>
        <ns0:v>0</ns0:v>
      </ns0:c>
      <ns0:c r="AF80" s="16">
        <ns0:f>IF(AND(OR('前提と出典'!$C$36+'前提と出典'!$C$38=0,U80&gt;=0),OR('前提と出典'!$C$37+'前提と出典'!$C$38=0,V80&gt;=0)),0,A80)</ns0:f>
        <ns0:v>0</ns0:v>
      </ns0:c>
      <ns0:c r="AG80" s="7">
        <ns0:f>IF(Z80&gt;=0,A80,1001)</ns0:f>
        <ns0:v>76</ns0:v>
      </ns0:c>
      <ns0:c r="AH80" s="4">
        <ns0:f>IF(Z80&lt;0,A80,0)</ns0:f>
        <ns0:v>0</ns0:v>
      </ns0:c>
      <ns0:c r="AI80" s="12">
        <ns0:f>IF(AND(OR('前提と出典'!$C$36+'前提と出典'!$C$38=0,X80&gt;=0),OR('前提と出典'!$C$37+'前提と出典'!$C$38=0,Y80&gt;=0)),0,A80)</ns0:f>
        <ns0:v>0</ns0:v>
      </ns0:c>
    </ns0:row>
    <ns0:row r="81" ht="24" customHeight="1">
      <ns0:c r="A81" s="4" t="n">
        <ns0:v>77</ns0:v>
      </ns0:c>
      <ns0:c r="B81" s="12">
        <ns0:f>A81*('前提と出典'!$C$36+'前提と出典'!$C$38)</ns0:f>
        <ns0:v>53.9</ns0:v>
      </ns0:c>
      <ns0:c r="C81" s="12">
        <ns0:f>A81*('前提と出典'!$C$37+'前提と出典'!$C$38)</ns0:f>
        <ns0:v>46.199999999999996</ns0:v>
      </ns0:c>
      <ns0:c r="D81" s="16">
        <ns0:f>A81*('前提と出典'!$C$36*'契約別単価'!C5+'前提と出典'!$C$37*'契約別単価'!C6+'前提と出典'!$C$38*'契約別単価'!C7)</ns0:f>
        <ns0:v>554.0558659217877</ns0:v>
      </ns0:c>
      <ns0:c r="E81" s="16">
        <ns0:f>A81*('前提と出典'!$C$36*'契約別単価'!E5+'前提と出典'!$C$37*'契約別単価'!E6+'前提と出典'!$C$38*'契約別単価'!E7)</ns0:f>
        <ns0:v>148990.73856839217</ns0:v>
      </ns0:c>
      <ns0:c r="F81" s="16">
        <ns0:f>A81*('前提と出典'!$C$36*'契約別単価'!F5+'前提と出典'!$C$37*'契約別単価'!F6+'前提と出典'!$C$38*'契約別単価'!F7)</ns0:f>
        <ns0:v>58473.451937208425</ns0:v>
      </ns0:c>
      <ns0:c r="G81" s="16">
        <ns0:f>A81*('前提と出典'!$C$36*'契約別単価'!G5+'前提と出典'!$C$37*'契約別単価'!G6+'前提と出典'!$C$38*'契約別単価'!G7)</ns0:f>
        <ns0:v>153268.7150837989</ns0:v>
      </ns0:c>
      <ns0:c r="H81" s="16">
        <ns0:f>A81*('前提と出典'!$C$36*'契約別単価'!H5+'前提と出典'!$C$37*'契約別単価'!H6+'前提と出典'!$C$38*'契約別単価'!H7)</ns0:f>
        <ns0:v>53191.93116420088</ns0:v>
      </ns0:c>
      <ns0:c r="I81" s="16">
        <ns0:f>A81*('前提と出典'!$C$36*'契約別単価'!I5+'前提と出典'!$C$37*'契約別単価'!I6+'前提と出典'!$C$38*'契約別単価'!I7)</ns0:f>
        <ns0:v>3249.0558659217872</ns0:v>
      </ns0:c>
      <ns0:c r="J81" s="16">
        <ns0:f>A81*('前提と出典'!$C$36*'契約別単価'!J5+'前提と出典'!$C$37*'契約別単価'!J6+'前提と出典'!$C$38*'契約別単価'!J7)</ns0:f>
        <ns0:v>7568.294865693298</ns0:v>
      </ns0:c>
      <ns0:c r="K81" s="16">
        <ns0:f>A81*('前提と出典'!$C$36*'契約別単価'!K5+'前提と出典'!$C$37*'契約別単価'!K6+'前提と出典'!$C$38*'契約別単価'!K7)</ns0:f>
        <ns0:v>32440.372439478582</ns0:v>
      </ns0:c>
      <ns0:c r="L81" s="16">
        <ns0:f>A81*('前提と出典'!$C$36*'契約別単価'!L5+'前提と出典'!$C$37*'契約別単価'!L6+'前提と出典'!$C$38*'契約別単価'!L7)</ns0:f>
        <ns0:v>26413.06437214003</ns0:v>
      </ns0:c>
      <ns0:c r="M81" s="16">
        <ns0:f>IF(('前提と出典'!$C$36+'前提と出典'!$C$38)=0,0,IF(B81&lt;=10,'前提と出典'!B73+'前提と出典'!C73,IF(B81&lt;=100,'前提と出典'!B74+'前提と出典'!C74,IF(B81&lt;=500,'前提と出典'!B75+'前提と出典'!C75,'前提と出典'!B76+'前提と出典'!C76))))</ns0:f>
        <ns0:v>20000</ns0:v>
      </ns0:c>
      <ns0:c r="N81" s="16">
        <ns0:f>IF(('前提と出典'!$C$37+'前提と出典'!$C$38)=0,0,IF(C81&lt;=10,'前提と出典'!D73+'前提と出典'!E73,IF(C81&lt;=100,'前提と出典'!D74+'前提と出典'!E74,IF(C81&lt;=500,'前提と出典'!D75+'前提と出典'!E75,'前提と出典'!D76+'前提と出典'!E76))))</ns0:f>
        <ns0:v>34510.9346263078</ns0:v>
      </ns0:c>
      <ns0:c r="O81" s="16">
        <ns0:f>IF('前提と出典'!$C$36+'前提と出典'!$C$38=0,0,'前提と出典'!$B$4*IF('前提と出典'!$B$20=0,MAX('前提と出典'!$B$6,D81*'前提と出典'!$B$5),'前提と出典'!$B$6+D81*'前提と出典'!$B$5))</ns0:f>
        <ns0:v>76459.70949720671</ns0:v>
      </ns0:c>
      <ns0:c r="P81" s="16">
        <ns0:f>(E81+G81)*(1-'前提と出典'!$B$7)-I81-K81-M81-O81</ns0:f>
        <ns0:v>159228.97551810514</ns0:v>
      </ns0:c>
      <ns0:c r="Q81" s="16">
        <ns0:f>(F81+H81)*(1-'前提と出典'!$B$7)-J81-L81-N81</ns0:f>
        <ns0:v>39153.13544561743</ns0:v>
      </ns0:c>
      <ns0:c r="R81" s="16">
        <ns0:f>P81-E81*'前提と出典'!$E$4</ns0:f>
        <ns0:v>114531.7539475875</ns0:v>
      </ns0:c>
      <ns0:c r="S81" s="16">
        <ns0:f>Q81-F81*'前提と出典'!$E$4</ns0:f>
        <ns0:v>21611.099864454918</ns0:v>
      </ns0:c>
      <ns0:c r="T81" s="7">
        <ns0:f>R81+S81</ns0:f>
        <ns0:v>136142.85381204242</ns0:v>
      </ns0:c>
      <ns0:c r="U81" s="16">
        <ns0:f>P81-E81*'前提と出典'!$E$5</ns0:f>
        <ns0:v>99632.68009074825</ns0:v>
      </ns0:c>
      <ns0:c r="V81" s="16">
        <ns0:f>Q81-F81*'前提と出典'!$E$5</ns0:f>
        <ns0:v>15763.754670734059</ns0:v>
      </ns0:c>
      <ns0:c r="W81" s="7">
        <ns0:f>U81+V81</ns0:f>
        <ns0:v>115396.43476148232</ns0:v>
      </ns0:c>
      <ns0:c r="X81" s="16">
        <ns0:f>P81-E81*'前提と出典'!$E$6</ns0:f>
        <ns0:v>84733.60623390904</ns0:v>
      </ns0:c>
      <ns0:c r="Y81" s="16">
        <ns0:f>Q81-F81*'前提と出典'!$E$6</ns0:f>
        <ns0:v>9916.409477013229</ns0:v>
      </ns0:c>
      <ns0:c r="Z81" s="7">
        <ns0:f>X81+Y81</ns0:f>
        <ns0:v>94650.01571092228</ns0:v>
      </ns0:c>
      <ns0:c r="AA81" s="7">
        <ns0:f>IF(T81&gt;=0,A81,1001)</ns0:f>
        <ns0:v>77</ns0:v>
      </ns0:c>
      <ns0:c r="AB81" s="7">
        <ns0:f>IF(T81&lt;0,A81,0)</ns0:f>
        <ns0:v>0</ns0:v>
      </ns0:c>
      <ns0:c r="AC81" s="16">
        <ns0:f>IF(AND(OR('前提と出典'!$C$36+'前提と出典'!$C$38=0,R81&gt;=0),OR('前提と出典'!$C$37+'前提と出典'!$C$38=0,S81&gt;=0)),0,A81)</ns0:f>
        <ns0:v>0</ns0:v>
      </ns0:c>
      <ns0:c r="AD81" s="7">
        <ns0:f>IF(W81&gt;=0,A81,1001)</ns0:f>
        <ns0:v>77</ns0:v>
      </ns0:c>
      <ns0:c r="AE81" s="7">
        <ns0:f>IF(W81&lt;0,A81,0)</ns0:f>
        <ns0:v>0</ns0:v>
      </ns0:c>
      <ns0:c r="AF81" s="16">
        <ns0:f>IF(AND(OR('前提と出典'!$C$36+'前提と出典'!$C$38=0,U81&gt;=0),OR('前提と出典'!$C$37+'前提と出典'!$C$38=0,V81&gt;=0)),0,A81)</ns0:f>
        <ns0:v>0</ns0:v>
      </ns0:c>
      <ns0:c r="AG81" s="7">
        <ns0:f>IF(Z81&gt;=0,A81,1001)</ns0:f>
        <ns0:v>77</ns0:v>
      </ns0:c>
      <ns0:c r="AH81" s="4">
        <ns0:f>IF(Z81&lt;0,A81,0)</ns0:f>
        <ns0:v>0</ns0:v>
      </ns0:c>
      <ns0:c r="AI81" s="12">
        <ns0:f>IF(AND(OR('前提と出典'!$C$36+'前提と出典'!$C$38=0,X81&gt;=0),OR('前提と出典'!$C$37+'前提と出典'!$C$38=0,Y81&gt;=0)),0,A81)</ns0:f>
        <ns0:v>0</ns0:v>
      </ns0:c>
    </ns0:row>
    <ns0:row r="82" ht="24" customHeight="1">
      <ns0:c r="A82" s="4" t="n">
        <ns0:v>78</ns0:v>
      </ns0:c>
      <ns0:c r="B82" s="12">
        <ns0:f>A82*('前提と出典'!$C$36+'前提と出典'!$C$38)</ns0:f>
        <ns0:v>54.599999999999994</ns0:v>
      </ns0:c>
      <ns0:c r="C82" s="12">
        <ns0:f>A82*('前提と出典'!$C$37+'前提と出典'!$C$38)</ns0:f>
        <ns0:v>46.8</ns0:v>
      </ns0:c>
      <ns0:c r="D82" s="16">
        <ns0:f>A82*('前提と出典'!$C$36*'契約別単価'!C5+'前提と出典'!$C$37*'契約別単価'!C6+'前提と出典'!$C$38*'契約別単価'!C7)</ns0:f>
        <ns0:v>561.2513966480446</ns0:v>
      </ns0:c>
      <ns0:c r="E82" s="16">
        <ns0:f>A82*('前提と出典'!$C$36*'契約別単価'!E5+'前提と出典'!$C$37*'契約別単価'!E6+'前提と出典'!$C$38*'契約別単価'!E7)</ns0:f>
        <ns0:v>150925.68322512455</ns0:v>
      </ns0:c>
      <ns0:c r="F82" s="16">
        <ns0:f>A82*('前提と出典'!$C$36*'契約別単価'!F5+'前提と出典'!$C$37*'契約別単価'!F6+'前提と出典'!$C$38*'契約別単価'!F7)</ns0:f>
        <ns0:v>59232.84741691243</ns0:v>
      </ns0:c>
      <ns0:c r="G82" s="16">
        <ns0:f>A82*('前提と出典'!$C$36*'契約別単価'!G5+'前提と出典'!$C$37*'契約別単価'!G6+'前提と出典'!$C$38*'契約別単価'!G7)</ns0:f>
        <ns0:v>155259.21787709495</ns0:v>
      </ns0:c>
      <ns0:c r="H82" s="16">
        <ns0:f>A82*('前提と出典'!$C$36*'契約別単価'!H5+'前提と出典'!$C$37*'契約別単価'!H6+'前提と出典'!$C$38*'契約別単価'!H7)</ns0:f>
        <ns0:v>53882.73546503466</ns0:v>
      </ns0:c>
      <ns0:c r="I82" s="16">
        <ns0:f>A82*('前提と出典'!$C$36*'契約別単価'!I5+'前提と出典'!$C$37*'契約別単価'!I6+'前提と出典'!$C$38*'契約別単価'!I7)</ns0:f>
        <ns0:v>3291.251396648044</ns0:v>
      </ns0:c>
      <ns0:c r="J82" s="16">
        <ns0:f>A82*('前提と出典'!$C$36*'契約別単価'!J5+'前提と出典'!$C$37*'契約別単価'!J6+'前提と出典'!$C$38*'契約別単価'!J7)</ns0:f>
        <ns0:v>7666.5844094036</ns0:v>
      </ns0:c>
      <ns0:c r="K82" s="16">
        <ns0:f>A82*('前提と出典'!$C$36*'契約別単価'!K5+'前提と出典'!$C$37*'契約別単価'!K6+'前提と出典'!$C$38*'契約別単価'!K7)</ns0:f>
        <ns0:v>32861.67597765363</ns0:v>
      </ns0:c>
      <ns0:c r="L82" s="16">
        <ns0:f>A82*('前提と出典'!$C$36*'契約別単価'!L5+'前提と出典'!$C$37*'契約別単価'!L6+'前提と出典'!$C$38*'契約別単価'!L7)</ns0:f>
        <ns0:v>26756.09118216782</ns0:v>
      </ns0:c>
      <ns0:c r="M82" s="16">
        <ns0:f>IF(('前提と出典'!$C$36+'前提と出典'!$C$38)=0,0,IF(B82&lt;=10,'前提と出典'!B73+'前提と出典'!C73,IF(B82&lt;=100,'前提と出典'!B74+'前提と出典'!C74,IF(B82&lt;=500,'前提と出典'!B75+'前提と出典'!C75,'前提と出典'!B76+'前提と出典'!C76))))</ns0:f>
        <ns0:v>20000</ns0:v>
      </ns0:c>
      <ns0:c r="N82" s="16">
        <ns0:f>IF(('前提と出典'!$C$37+'前提と出典'!$C$38)=0,0,IF(C82&lt;=10,'前提と出典'!D73+'前提と出典'!E73,IF(C82&lt;=100,'前提と出典'!D74+'前提と出典'!E74,IF(C82&lt;=500,'前提と出典'!D75+'前提と出典'!E75,'前提と出典'!D76+'前提と出典'!E76))))</ns0:f>
        <ns0:v>34510.9346263078</ns0:v>
      </ns0:c>
      <ns0:c r="O82" s="16">
        <ns0:f>IF('前提と出典'!$C$36+'前提と出典'!$C$38=0,0,'前提と出典'!$B$4*IF('前提と出典'!$B$20=0,MAX('前提と出典'!$B$6,D82*'前提と出典'!$B$5),'前提と出典'!$B$6+D82*'前提と出典'!$B$5))</ns0:f>
        <ns0:v>77452.69273743016</ns0:v>
      </ns0:c>
      <ns0:c r="P82" s="16">
        <ns0:f>(E82+G82)*(1-'前提と出典'!$B$7)-I82-K82-M82-O82</ns0:f>
        <ns0:v>161556.62455080776</ns0:v>
      </ns0:c>
      <ns0:c r="Q82" s="16">
        <ns0:f>(F82+H82)*(1-'前提と出典'!$B$7)-J82-L82-N82</ns0:f>
        <ns0:v>40109.81168031777</ns0:v>
      </ns0:c>
      <ns0:c r="R82" s="16">
        <ns0:f>P82-E82*'前提と出典'!$E$4</ns0:f>
        <ns0:v>116278.91958327038</ns0:v>
      </ns0:c>
      <ns0:c r="S82" s="16">
        <ns0:f>Q82-F82*'前提と出典'!$E$4</ns0:f>
        <ns0:v>22339.957455244054</ns0:v>
      </ns0:c>
      <ns0:c r="T82" s="7">
        <ns0:f>R82+S82</ns0:f>
        <ns0:v>138618.87703851445</ns0:v>
      </ns0:c>
      <ns0:c r="U82" s="16">
        <ns0:f>P82-E82*'前提と出典'!$E$5</ns0:f>
        <ns0:v>101186.35126075795</ns0:v>
      </ns0:c>
      <ns0:c r="V82" s="16">
        <ns0:f>Q82-F82*'前提と出典'!$E$5</ns0:f>
        <ns0:v>16416.672713552798</ns0:v>
      </ns0:c>
      <ns0:c r="W82" s="7">
        <ns0:f>U82+V82</ns0:f>
        <ns0:v>117603.02397431075</ns0:v>
      </ns0:c>
      <ns0:c r="X82" s="16">
        <ns0:f>P82-E82*'前提と出典'!$E$6</ns0:f>
        <ns0:v>86093.78293824548</ns0:v>
      </ns0:c>
      <ns0:c r="Y82" s="16">
        <ns0:f>Q82-F82*'前提と出典'!$E$6</ns0:f>
        <ns0:v>10493.387971861557</ns0:v>
      </ns0:c>
      <ns0:c r="Z82" s="7">
        <ns0:f>X82+Y82</ns0:f>
        <ns0:v>96587.17091010703</ns0:v>
      </ns0:c>
      <ns0:c r="AA82" s="7">
        <ns0:f>IF(T82&gt;=0,A82,1001)</ns0:f>
        <ns0:v>78</ns0:v>
      </ns0:c>
      <ns0:c r="AB82" s="7">
        <ns0:f>IF(T82&lt;0,A82,0)</ns0:f>
        <ns0:v>0</ns0:v>
      </ns0:c>
      <ns0:c r="AC82" s="16">
        <ns0:f>IF(AND(OR('前提と出典'!$C$36+'前提と出典'!$C$38=0,R82&gt;=0),OR('前提と出典'!$C$37+'前提と出典'!$C$38=0,S82&gt;=0)),0,A82)</ns0:f>
        <ns0:v>0</ns0:v>
      </ns0:c>
      <ns0:c r="AD82" s="7">
        <ns0:f>IF(W82&gt;=0,A82,1001)</ns0:f>
        <ns0:v>78</ns0:v>
      </ns0:c>
      <ns0:c r="AE82" s="7">
        <ns0:f>IF(W82&lt;0,A82,0)</ns0:f>
        <ns0:v>0</ns0:v>
      </ns0:c>
      <ns0:c r="AF82" s="16">
        <ns0:f>IF(AND(OR('前提と出典'!$C$36+'前提と出典'!$C$38=0,U82&gt;=0),OR('前提と出典'!$C$37+'前提と出典'!$C$38=0,V82&gt;=0)),0,A82)</ns0:f>
        <ns0:v>0</ns0:v>
      </ns0:c>
      <ns0:c r="AG82" s="7">
        <ns0:f>IF(Z82&gt;=0,A82,1001)</ns0:f>
        <ns0:v>78</ns0:v>
      </ns0:c>
      <ns0:c r="AH82" s="4">
        <ns0:f>IF(Z82&lt;0,A82,0)</ns0:f>
        <ns0:v>0</ns0:v>
      </ns0:c>
      <ns0:c r="AI82" s="12">
        <ns0:f>IF(AND(OR('前提と出典'!$C$36+'前提と出典'!$C$38=0,X82&gt;=0),OR('前提と出典'!$C$37+'前提と出典'!$C$38=0,Y82&gt;=0)),0,A82)</ns0:f>
        <ns0:v>0</ns0:v>
      </ns0:c>
    </ns0:row>
    <ns0:row r="83" ht="24" customHeight="1">
      <ns0:c r="A83" s="4" t="n">
        <ns0:v>79</ns0:v>
      </ns0:c>
      <ns0:c r="B83" s="12">
        <ns0:f>A83*('前提と出典'!$C$36+'前提と出典'!$C$38)</ns0:f>
        <ns0:v>55.3</ns0:v>
      </ns0:c>
      <ns0:c r="C83" s="12">
        <ns0:f>A83*('前提と出典'!$C$37+'前提と出典'!$C$38)</ns0:f>
        <ns0:v>47.4</ns0:v>
      </ns0:c>
      <ns0:c r="D83" s="16">
        <ns0:f>A83*('前提と出典'!$C$36*'契約別単価'!C5+'前提と出典'!$C$37*'契約別単価'!C6+'前提と出典'!$C$38*'契約別単価'!C7)</ns0:f>
        <ns0:v>568.4469273743017</ns0:v>
      </ns0:c>
      <ns0:c r="E83" s="16">
        <ns0:f>A83*('前提と出典'!$C$36*'契約別単価'!E5+'前提と出典'!$C$37*'契約別単価'!E6+'前提と出典'!$C$38*'契約別単価'!E7)</ns0:f>
        <ns0:v>152860.6278818569</ns0:v>
      </ns0:c>
      <ns0:c r="F83" s="16">
        <ns0:f>A83*('前提と出典'!$C$36*'契約別単価'!F5+'前提と出典'!$C$37*'契約別単価'!F6+'前提と出典'!$C$38*'契約別単価'!F7)</ns0:f>
        <ns0:v>59992.24289661644</ns0:v>
      </ns0:c>
      <ns0:c r="G83" s="16">
        <ns0:f>A83*('前提と出典'!$C$36*'契約別単価'!G5+'前提と出典'!$C$37*'契約別単価'!G6+'前提と出典'!$C$38*'契約別単価'!G7)</ns0:f>
        <ns0:v>157249.72067039105</ns0:v>
      </ns0:c>
      <ns0:c r="H83" s="16">
        <ns0:f>A83*('前提と出典'!$C$36*'契約別単価'!H5+'前提と出典'!$C$37*'契約別単価'!H6+'前提と出典'!$C$38*'契約別単価'!H7)</ns0:f>
        <ns0:v>54573.53976586844</ns0:v>
      </ns0:c>
      <ns0:c r="I83" s="16">
        <ns0:f>A83*('前提と出典'!$C$36*'契約別単価'!I5+'前提と出典'!$C$37*'契約別単価'!I6+'前提と出典'!$C$38*'契約別単価'!I7)</ns0:f>
        <ns0:v>3333.446927374301</ns0:v>
      </ns0:c>
      <ns0:c r="J83" s="16">
        <ns0:f>A83*('前提と出典'!$C$36*'契約別単価'!J5+'前提と出典'!$C$37*'契約別単価'!J6+'前提と出典'!$C$38*'契約別単価'!J7)</ns0:f>
        <ns0:v>7764.873953113903</ns0:v>
      </ns0:c>
      <ns0:c r="K83" s="16">
        <ns0:f>A83*('前提と出典'!$C$36*'契約別単価'!K5+'前提と出典'!$C$37*'契約別単価'!K6+'前提と出典'!$C$38*'契約別単価'!K7)</ns0:f>
        <ns0:v>33282.97951582867</ns0:v>
      </ns0:c>
      <ns0:c r="L83" s="16">
        <ns0:f>A83*('前提と出典'!$C$36*'契約別単価'!L5+'前提と出典'!$C$37*'契約別単価'!L6+'前提と出典'!$C$38*'契約別単価'!L7)</ns0:f>
        <ns0:v>27099.117992195614</ns0:v>
      </ns0:c>
      <ns0:c r="M83" s="16">
        <ns0:f>IF(('前提と出典'!$C$36+'前提と出典'!$C$38)=0,0,IF(B83&lt;=10,'前提と出典'!B73+'前提と出典'!C73,IF(B83&lt;=100,'前提と出典'!B74+'前提と出典'!C74,IF(B83&lt;=500,'前提と出典'!B75+'前提と出典'!C75,'前提と出典'!B76+'前提と出典'!C76))))</ns0:f>
        <ns0:v>20000</ns0:v>
      </ns0:c>
      <ns0:c r="N83" s="16">
        <ns0:f>IF(('前提と出典'!$C$37+'前提と出典'!$C$38)=0,0,IF(C83&lt;=10,'前提と出典'!D73+'前提と出典'!E73,IF(C83&lt;=100,'前提と出典'!D74+'前提と出典'!E74,IF(C83&lt;=500,'前提と出典'!D75+'前提と出典'!E75,'前提と出典'!D76+'前提と出典'!E76))))</ns0:f>
        <ns0:v>34510.9346263078</ns0:v>
      </ns0:c>
      <ns0:c r="O83" s="16">
        <ns0:f>IF('前提と出典'!$C$36+'前提と出典'!$C$38=0,0,'前提と出典'!$B$4*IF('前提と出典'!$B$20=0,MAX('前提と出典'!$B$6,D83*'前提と出典'!$B$5),'前提と出典'!$B$6+D83*'前提と出典'!$B$5))</ns0:f>
        <ns0:v>78445.67597765363</ns0:v>
      </ns0:c>
      <ns0:c r="P83" s="16">
        <ns0:f>(E83+G83)*(1-'前提と出典'!$B$7)-I83-K83-M83-O83</ns0:f>
        <ns0:v>163884.27358351042</ns0:v>
      </ns0:c>
      <ns0:c r="Q83" s="16">
        <ns0:f>(F83+H83)*(1-'前提と出典'!$B$7)-J83-L83-N83</ns0:f>
        <ns0:v>41066.48791501812</ns0:v>
      </ns0:c>
      <ns0:c r="R83" s="16">
        <ns0:f>P83-E83*'前提と出典'!$E$4</ns0:f>
        <ns0:v>118026.08521895339</ns0:v>
      </ns0:c>
      <ns0:c r="S83" s="16">
        <ns0:f>Q83-F83*'前提と出典'!$E$4</ns0:f>
        <ns0:v>23068.815046033196</ns0:v>
      </ns0:c>
      <ns0:c r="T83" s="7">
        <ns0:f>R83+S83</ns0:f>
        <ns0:v>141094.9002649866</ns0:v>
      </ns0:c>
      <ns0:c r="U83" s="16">
        <ns0:f>P83-E83*'前提と出典'!$E$5</ns0:f>
        <ns0:v>102740.02243076767</ns0:v>
      </ns0:c>
      <ns0:c r="V83" s="16">
        <ns0:f>Q83-F83*'前提と出典'!$E$5</ns0:f>
        <ns0:v>17069.590756371545</ns0:v>
      </ns0:c>
      <ns0:c r="W83" s="7">
        <ns0:f>U83+V83</ns0:f>
        <ns0:v>119809.61318713921</ns0:v>
      </ns0:c>
      <ns0:c r="X83" s="16">
        <ns0:f>P83-E83*'前提と出典'!$E$6</ns0:f>
        <ns0:v>87453.959642582</ns0:v>
      </ns0:c>
      <ns0:c r="Y83" s="16">
        <ns0:f>Q83-F83*'前提と出典'!$E$6</ns0:f>
        <ns0:v>11070.366466709907</ns0:v>
      </ns0:c>
      <ns0:c r="Z83" s="7">
        <ns0:f>X83+Y83</ns0:f>
        <ns0:v>98524.32610929191</ns0:v>
      </ns0:c>
      <ns0:c r="AA83" s="7">
        <ns0:f>IF(T83&gt;=0,A83,1001)</ns0:f>
        <ns0:v>79</ns0:v>
      </ns0:c>
      <ns0:c r="AB83" s="7">
        <ns0:f>IF(T83&lt;0,A83,0)</ns0:f>
        <ns0:v>0</ns0:v>
      </ns0:c>
      <ns0:c r="AC83" s="16">
        <ns0:f>IF(AND(OR('前提と出典'!$C$36+'前提と出典'!$C$38=0,R83&gt;=0),OR('前提と出典'!$C$37+'前提と出典'!$C$38=0,S83&gt;=0)),0,A83)</ns0:f>
        <ns0:v>0</ns0:v>
      </ns0:c>
      <ns0:c r="AD83" s="7">
        <ns0:f>IF(W83&gt;=0,A83,1001)</ns0:f>
        <ns0:v>79</ns0:v>
      </ns0:c>
      <ns0:c r="AE83" s="7">
        <ns0:f>IF(W83&lt;0,A83,0)</ns0:f>
        <ns0:v>0</ns0:v>
      </ns0:c>
      <ns0:c r="AF83" s="16">
        <ns0:f>IF(AND(OR('前提と出典'!$C$36+'前提と出典'!$C$38=0,U83&gt;=0),OR('前提と出典'!$C$37+'前提と出典'!$C$38=0,V83&gt;=0)),0,A83)</ns0:f>
        <ns0:v>0</ns0:v>
      </ns0:c>
      <ns0:c r="AG83" s="7">
        <ns0:f>IF(Z83&gt;=0,A83,1001)</ns0:f>
        <ns0:v>79</ns0:v>
      </ns0:c>
      <ns0:c r="AH83" s="4">
        <ns0:f>IF(Z83&lt;0,A83,0)</ns0:f>
        <ns0:v>0</ns0:v>
      </ns0:c>
      <ns0:c r="AI83" s="12">
        <ns0:f>IF(AND(OR('前提と出典'!$C$36+'前提と出典'!$C$38=0,X83&gt;=0),OR('前提と出典'!$C$37+'前提と出典'!$C$38=0,Y83&gt;=0)),0,A83)</ns0:f>
        <ns0:v>0</ns0:v>
      </ns0:c>
    </ns0:row>
    <ns0:row r="84" ht="24" customHeight="1">
      <ns0:c r="A84" s="4" t="n">
        <ns0:v>80</ns0:v>
      </ns0:c>
      <ns0:c r="B84" s="12">
        <ns0:f>A84*('前提と出典'!$C$36+'前提と出典'!$C$38)</ns0:f>
        <ns0:v>56</ns0:v>
      </ns0:c>
      <ns0:c r="C84" s="12">
        <ns0:f>A84*('前提と出典'!$C$37+'前提と出典'!$C$38)</ns0:f>
        <ns0:v>48</ns0:v>
      </ns0:c>
      <ns0:c r="D84" s="16">
        <ns0:f>A84*('前提と出典'!$C$36*'契約別単価'!C5+'前提と出典'!$C$37*'契約別単価'!C6+'前提と出典'!$C$38*'契約別単価'!C7)</ns0:f>
        <ns0:v>575.6424581005587</ns0:v>
      </ns0:c>
      <ns0:c r="E84" s="16">
        <ns0:f>A84*('前提と出典'!$C$36*'契約別単価'!E5+'前提と出典'!$C$37*'契約別単価'!E6+'前提と出典'!$C$38*'契約別単価'!E7)</ns0:f>
        <ns0:v>154795.57253858927</ns0:v>
      </ns0:c>
      <ns0:c r="F84" s="16">
        <ns0:f>A84*('前提と出典'!$C$36*'契約別単価'!F5+'前提と出典'!$C$37*'契約別単価'!F6+'前提と出典'!$C$38*'契約別単価'!F7)</ns0:f>
        <ns0:v>60751.63837632044</ns0:v>
      </ns0:c>
      <ns0:c r="G84" s="16">
        <ns0:f>A84*('前提と出典'!$C$36*'契約別単価'!G5+'前提と出典'!$C$37*'契約別単価'!G6+'前提と出典'!$C$38*'契約別単価'!G7)</ns0:f>
        <ns0:v>159240.22346368714</ns0:v>
      </ns0:c>
      <ns0:c r="H84" s="16">
        <ns0:f>A84*('前提と出典'!$C$36*'契約別単価'!H5+'前提と出典'!$C$37*'契約別単価'!H6+'前提と出典'!$C$38*'契約別単価'!H7)</ns0:f>
        <ns0:v>55264.344066702215</ns0:v>
      </ns0:c>
      <ns0:c r="I84" s="16">
        <ns0:f>A84*('前提と出典'!$C$36*'契約別単価'!I5+'前提と出典'!$C$37*'契約別単価'!I6+'前提と出典'!$C$38*'契約別単価'!I7)</ns0:f>
        <ns0:v>3375.642458100558</ns0:v>
      </ns0:c>
      <ns0:c r="J84" s="16">
        <ns0:f>A84*('前提と出典'!$C$36*'契約別単価'!J5+'前提と出典'!$C$37*'契約別単価'!J6+'前提と出典'!$C$38*'契約別単価'!J7)</ns0:f>
        <ns0:v>7863.163496824205</ns0:v>
      </ns0:c>
      <ns0:c r="K84" s="16">
        <ns0:f>A84*('前提と出典'!$C$36*'契約別単価'!K5+'前提と出典'!$C$37*'契約別単価'!K6+'前提と出典'!$C$38*'契約別単価'!K7)</ns0:f>
        <ns0:v>33704.283054003725</ns0:v>
      </ns0:c>
      <ns0:c r="L84" s="16">
        <ns0:f>A84*('前提と出典'!$C$36*'契約別単価'!L5+'前提と出典'!$C$37*'契約別単価'!L6+'前提と出典'!$C$38*'契約別単価'!L7)</ns0:f>
        <ns0:v>27442.144802223407</ns0:v>
      </ns0:c>
      <ns0:c r="M84" s="16">
        <ns0:f>IF(('前提と出典'!$C$36+'前提と出典'!$C$38)=0,0,IF(B84&lt;=10,'前提と出典'!B73+'前提と出典'!C73,IF(B84&lt;=100,'前提と出典'!B74+'前提と出典'!C74,IF(B84&lt;=500,'前提と出典'!B75+'前提と出典'!C75,'前提と出典'!B76+'前提と出典'!C76))))</ns0:f>
        <ns0:v>20000</ns0:v>
      </ns0:c>
      <ns0:c r="N84" s="16">
        <ns0:f>IF(('前提と出典'!$C$37+'前提と出典'!$C$38)=0,0,IF(C84&lt;=10,'前提と出典'!D73+'前提と出典'!E73,IF(C84&lt;=100,'前提と出典'!D74+'前提と出典'!E74,IF(C84&lt;=500,'前提と出典'!D75+'前提と出典'!E75,'前提と出典'!D76+'前提と出典'!E76))))</ns0:f>
        <ns0:v>34510.9346263078</ns0:v>
      </ns0:c>
      <ns0:c r="O84" s="16">
        <ns0:f>IF('前提と出典'!$C$36+'前提と出典'!$C$38=0,0,'前提と出典'!$B$4*IF('前提と出典'!$B$20=0,MAX('前提と出典'!$B$6,D84*'前提と出典'!$B$5),'前提と出典'!$B$6+D84*'前提と出典'!$B$5))</ns0:f>
        <ns0:v>79438.6592178771</ns0:v>
      </ns0:c>
      <ns0:c r="P84" s="16">
        <ns0:f>(E84+G84)*(1-'前提と出典'!$B$7)-I84-K84-M84-O84</ns0:f>
        <ns0:v>166211.9226162131</ns0:v>
      </ns0:c>
      <ns0:c r="Q84" s="16">
        <ns0:f>(F84+H84)*(1-'前提と出典'!$B$7)-J84-L84-N84</ns0:f>
        <ns0:v>42023.16414971844</ns0:v>
      </ns0:c>
      <ns0:c r="R84" s="16">
        <ns0:f>P84-E84*'前提と出典'!$E$4</ns0:f>
        <ns0:v>119773.2508546363</ns0:v>
      </ns0:c>
      <ns0:c r="S84" s="16">
        <ns0:f>Q84-F84*'前提と出典'!$E$4</ns0:f>
        <ns0:v>23797.67263682231</ns0:v>
      </ns0:c>
      <ns0:c r="T84" s="7">
        <ns0:f>R84+S84</ns0:f>
        <ns0:v>143570.9234914586</ns0:v>
      </ns0:c>
      <ns0:c r="U84" s="16">
        <ns0:f>P84-E84*'前提と出典'!$E$5</ns0:f>
        <ns0:v>104293.69360077738</ns0:v>
      </ns0:c>
      <ns0:c r="V84" s="16">
        <ns0:f>Q84-F84*'前提と出典'!$E$5</ns0:f>
        <ns0:v>17722.508799190262</ns0:v>
      </ns0:c>
      <ns0:c r="W84" s="7">
        <ns0:f>U84+V84</ns0:f>
        <ns0:v>122016.20239996765</ns0:v>
      </ns0:c>
      <ns0:c r="X84" s="16">
        <ns0:f>P84-E84*'前提と出典'!$E$6</ns0:f>
        <ns0:v>88814.13634691846</ns0:v>
      </ns0:c>
      <ns0:c r="Y84" s="16">
        <ns0:f>Q84-F84*'前提と出典'!$E$6</ns0:f>
        <ns0:v>11647.344961558214</ns0:v>
      </ns0:c>
      <ns0:c r="Z84" s="7">
        <ns0:f>X84+Y84</ns0:f>
        <ns0:v>100461.48130847668</ns0:v>
      </ns0:c>
      <ns0:c r="AA84" s="7">
        <ns0:f>IF(T84&gt;=0,A84,1001)</ns0:f>
        <ns0:v>80</ns0:v>
      </ns0:c>
      <ns0:c r="AB84" s="7">
        <ns0:f>IF(T84&lt;0,A84,0)</ns0:f>
        <ns0:v>0</ns0:v>
      </ns0:c>
      <ns0:c r="AC84" s="16">
        <ns0:f>IF(AND(OR('前提と出典'!$C$36+'前提と出典'!$C$38=0,R84&gt;=0),OR('前提と出典'!$C$37+'前提と出典'!$C$38=0,S84&gt;=0)),0,A84)</ns0:f>
        <ns0:v>0</ns0:v>
      </ns0:c>
      <ns0:c r="AD84" s="7">
        <ns0:f>IF(W84&gt;=0,A84,1001)</ns0:f>
        <ns0:v>80</ns0:v>
      </ns0:c>
      <ns0:c r="AE84" s="7">
        <ns0:f>IF(W84&lt;0,A84,0)</ns0:f>
        <ns0:v>0</ns0:v>
      </ns0:c>
      <ns0:c r="AF84" s="16">
        <ns0:f>IF(AND(OR('前提と出典'!$C$36+'前提と出典'!$C$38=0,U84&gt;=0),OR('前提と出典'!$C$37+'前提と出典'!$C$38=0,V84&gt;=0)),0,A84)</ns0:f>
        <ns0:v>0</ns0:v>
      </ns0:c>
      <ns0:c r="AG84" s="7">
        <ns0:f>IF(Z84&gt;=0,A84,1001)</ns0:f>
        <ns0:v>80</ns0:v>
      </ns0:c>
      <ns0:c r="AH84" s="4">
        <ns0:f>IF(Z84&lt;0,A84,0)</ns0:f>
        <ns0:v>0</ns0:v>
      </ns0:c>
      <ns0:c r="AI84" s="12">
        <ns0:f>IF(AND(OR('前提と出典'!$C$36+'前提と出典'!$C$38=0,X84&gt;=0),OR('前提と出典'!$C$37+'前提と出典'!$C$38=0,Y84&gt;=0)),0,A84)</ns0:f>
        <ns0:v>0</ns0:v>
      </ns0:c>
    </ns0:row>
    <ns0:row r="85" ht="24" customHeight="1">
      <ns0:c r="A85" s="4" t="n">
        <ns0:v>81</ns0:v>
      </ns0:c>
      <ns0:c r="B85" s="12">
        <ns0:f>A85*('前提と出典'!$C$36+'前提と出典'!$C$38)</ns0:f>
        <ns0:v>56.699999999999996</ns0:v>
      </ns0:c>
      <ns0:c r="C85" s="12">
        <ns0:f>A85*('前提と出典'!$C$37+'前提と出典'!$C$38)</ns0:f>
        <ns0:v>48.6</ns0:v>
      </ns0:c>
      <ns0:c r="D85" s="16">
        <ns0:f>A85*('前提と出典'!$C$36*'契約別単価'!C5+'前提と出典'!$C$37*'契約別単価'!C6+'前提と出典'!$C$38*'契約別単価'!C7)</ns0:f>
        <ns0:v>582.8379888268156</ns0:v>
      </ns0:c>
      <ns0:c r="E85" s="16">
        <ns0:f>A85*('前提と出典'!$C$36*'契約別単価'!E5+'前提と出典'!$C$37*'契約別単価'!E6+'前提と出典'!$C$38*'契約別単価'!E7)</ns0:f>
        <ns0:v>156730.51719532165</ns0:v>
      </ns0:c>
      <ns0:c r="F85" s="16">
        <ns0:f>A85*('前提と出典'!$C$36*'契約別単価'!F5+'前提と出典'!$C$37*'契約別単価'!F6+'前提と出典'!$C$38*'契約別単価'!F7)</ns0:f>
        <ns0:v>61511.03385602445</ns0:v>
      </ns0:c>
      <ns0:c r="G85" s="16">
        <ns0:f>A85*('前提と出典'!$C$36*'契約別単価'!G5+'前提と出典'!$C$37*'契約別単価'!G6+'前提と出典'!$C$38*'契約別単価'!G7)</ns0:f>
        <ns0:v>161230.72625698324</ns0:v>
      </ns0:c>
      <ns0:c r="H85" s="16">
        <ns0:f>A85*('前提と出典'!$C$36*'契約別単価'!H5+'前提と出典'!$C$37*'契約別単価'!H6+'前提と出典'!$C$38*'契約別単価'!H7)</ns0:f>
        <ns0:v>55955.14836753599</ns0:v>
      </ns0:c>
      <ns0:c r="I85" s="16">
        <ns0:f>A85*('前提と出典'!$C$36*'契約別単価'!I5+'前提と出典'!$C$37*'契約別単価'!I6+'前提と出典'!$C$38*'契約別単価'!I7)</ns0:f>
        <ns0:v>3417.837988826815</ns0:v>
      </ns0:c>
      <ns0:c r="J85" s="16">
        <ns0:f>A85*('前提と出典'!$C$36*'契約別単価'!J5+'前提と出典'!$C$37*'契約別単価'!J6+'前提と出典'!$C$38*'契約別単価'!J7)</ns0:f>
        <ns0:v>7961.453040534508</ns0:v>
      </ns0:c>
      <ns0:c r="K85" s="16">
        <ns0:f>A85*('前提と出典'!$C$36*'契約別単価'!K5+'前提と出典'!$C$37*'契約別単価'!K6+'前提と出典'!$C$38*'契約別単価'!K7)</ns0:f>
        <ns0:v>34125.58659217877</ns0:v>
      </ns0:c>
      <ns0:c r="L85" s="16">
        <ns0:f>A85*('前提と出典'!$C$36*'契約別単価'!L5+'前提と出典'!$C$37*'契約別単価'!L6+'前提と出典'!$C$38*'契約別単価'!L7)</ns0:f>
        <ns0:v>27785.171612251197</ns0:v>
      </ns0:c>
      <ns0:c r="M85" s="16">
        <ns0:f>IF(('前提と出典'!$C$36+'前提と出典'!$C$38)=0,0,IF(B85&lt;=10,'前提と出典'!B73+'前提と出典'!C73,IF(B85&lt;=100,'前提と出典'!B74+'前提と出典'!C74,IF(B85&lt;=500,'前提と出典'!B75+'前提と出典'!C75,'前提と出典'!B76+'前提と出典'!C76))))</ns0:f>
        <ns0:v>20000</ns0:v>
      </ns0:c>
      <ns0:c r="N85" s="16">
        <ns0:f>IF(('前提と出典'!$C$37+'前提と出典'!$C$38)=0,0,IF(C85&lt;=10,'前提と出典'!D73+'前提と出典'!E73,IF(C85&lt;=100,'前提と出典'!D74+'前提と出典'!E74,IF(C85&lt;=500,'前提と出典'!D75+'前提と出典'!E75,'前提と出典'!D76+'前提と出典'!E76))))</ns0:f>
        <ns0:v>34510.9346263078</ns0:v>
      </ns0:c>
      <ns0:c r="O85" s="16">
        <ns0:f>IF('前提と出典'!$C$36+'前提と出典'!$C$38=0,0,'前提と出典'!$B$4*IF('前提と出典'!$B$20=0,MAX('前提と出典'!$B$6,D85*'前提と出典'!$B$5),'前提と出典'!$B$6+D85*'前提と出典'!$B$5))</ns0:f>
        <ns0:v>80431.64245810056</ns0:v>
      </ns0:c>
      <ns0:c r="P85" s="16">
        <ns0:f>(E85+G85)*(1-'前提と出典'!$B$7)-I85-K85-M85-O85</ns0:f>
        <ns0:v>168539.57164891576</ns0:v>
      </ns0:c>
      <ns0:c r="Q85" s="16">
        <ns0:f>(F85+H85)*(1-'前提と出典'!$B$7)-J85-L85-N85</ns0:f>
        <ns0:v>42979.840384418756</ns0:v>
      </ns0:c>
      <ns0:c r="R85" s="16">
        <ns0:f>P85-E85*'前提と出典'!$E$4</ns0:f>
        <ns0:v>121520.41649031929</ns0:v>
      </ns0:c>
      <ns0:c r="S85" s="16">
        <ns0:f>Q85-F85*'前提と出典'!$E$4</ns0:f>
        <ns0:v>24526.530227611416</ns0:v>
      </ns0:c>
      <ns0:c r="T85" s="7">
        <ns0:f>R85+S85</ns0:f>
        <ns0:v>146046.9467179307</ns0:v>
      </ns0:c>
      <ns0:c r="U85" s="16">
        <ns0:f>P85-E85*'前提と出典'!$E$5</ns0:f>
        <ns0:v>105847.36477078708</ns0:v>
      </ns0:c>
      <ns0:c r="V85" s="16">
        <ns0:f>Q85-F85*'前提と出典'!$E$5</ns0:f>
        <ns0:v>18375.426842008972</ns0:v>
      </ns0:c>
      <ns0:c r="W85" s="7">
        <ns0:f>U85+V85</ns0:f>
        <ns0:v>124222.79161279605</ns0:v>
      </ns0:c>
      <ns0:c r="X85" s="16">
        <ns0:f>P85-E85*'前提と出典'!$E$6</ns0:f>
        <ns0:v>90174.31305125494</ns0:v>
      </ns0:c>
      <ns0:c r="Y85" s="16">
        <ns0:f>Q85-F85*'前提と出典'!$E$6</ns0:f>
        <ns0:v>12224.323456406528</ns0:v>
      </ns0:c>
      <ns0:c r="Z85" s="7">
        <ns0:f>X85+Y85</ns0:f>
        <ns0:v>102398.63650766146</ns0:v>
      </ns0:c>
      <ns0:c r="AA85" s="7">
        <ns0:f>IF(T85&gt;=0,A85,1001)</ns0:f>
        <ns0:v>81</ns0:v>
      </ns0:c>
      <ns0:c r="AB85" s="7">
        <ns0:f>IF(T85&lt;0,A85,0)</ns0:f>
        <ns0:v>0</ns0:v>
      </ns0:c>
      <ns0:c r="AC85" s="16">
        <ns0:f>IF(AND(OR('前提と出典'!$C$36+'前提と出典'!$C$38=0,R85&gt;=0),OR('前提と出典'!$C$37+'前提と出典'!$C$38=0,S85&gt;=0)),0,A85)</ns0:f>
        <ns0:v>0</ns0:v>
      </ns0:c>
      <ns0:c r="AD85" s="7">
        <ns0:f>IF(W85&gt;=0,A85,1001)</ns0:f>
        <ns0:v>81</ns0:v>
      </ns0:c>
      <ns0:c r="AE85" s="7">
        <ns0:f>IF(W85&lt;0,A85,0)</ns0:f>
        <ns0:v>0</ns0:v>
      </ns0:c>
      <ns0:c r="AF85" s="16">
        <ns0:f>IF(AND(OR('前提と出典'!$C$36+'前提と出典'!$C$38=0,U85&gt;=0),OR('前提と出典'!$C$37+'前提と出典'!$C$38=0,V85&gt;=0)),0,A85)</ns0:f>
        <ns0:v>0</ns0:v>
      </ns0:c>
      <ns0:c r="AG85" s="7">
        <ns0:f>IF(Z85&gt;=0,A85,1001)</ns0:f>
        <ns0:v>81</ns0:v>
      </ns0:c>
      <ns0:c r="AH85" s="4">
        <ns0:f>IF(Z85&lt;0,A85,0)</ns0:f>
        <ns0:v>0</ns0:v>
      </ns0:c>
      <ns0:c r="AI85" s="12">
        <ns0:f>IF(AND(OR('前提と出典'!$C$36+'前提と出典'!$C$38=0,X85&gt;=0),OR('前提と出典'!$C$37+'前提と出典'!$C$38=0,Y85&gt;=0)),0,A85)</ns0:f>
        <ns0:v>0</ns0:v>
      </ns0:c>
    </ns0:row>
    <ns0:row r="86" ht="24" customHeight="1">
      <ns0:c r="A86" s="4" t="n">
        <ns0:v>82</ns0:v>
      </ns0:c>
      <ns0:c r="B86" s="12">
        <ns0:f>A86*('前提と出典'!$C$36+'前提と出典'!$C$38)</ns0:f>
        <ns0:v>57.4</ns0:v>
      </ns0:c>
      <ns0:c r="C86" s="12">
        <ns0:f>A86*('前提と出典'!$C$37+'前提と出典'!$C$38)</ns0:f>
        <ns0:v>49.199999999999996</ns0:v>
      </ns0:c>
      <ns0:c r="D86" s="16">
        <ns0:f>A86*('前提と出典'!$C$36*'契約別単価'!C5+'前提と出典'!$C$37*'契約別単価'!C6+'前提と出典'!$C$38*'契約別単価'!C7)</ns0:f>
        <ns0:v>590.0335195530727</ns0:v>
      </ns0:c>
      <ns0:c r="E86" s="16">
        <ns0:f>A86*('前提と出典'!$C$36*'契約別単価'!E5+'前提と出典'!$C$37*'契約別単価'!E6+'前提と出典'!$C$38*'契約別単価'!E7)</ns0:f>
        <ns0:v>158665.461852054</ns0:v>
      </ns0:c>
      <ns0:c r="F86" s="16">
        <ns0:f>A86*('前提と出典'!$C$36*'契約別単価'!F5+'前提と出典'!$C$37*'契約別単価'!F6+'前提と出典'!$C$38*'契約別単価'!F7)</ns0:f>
        <ns0:v>62270.429335728455</ns0:v>
      </ns0:c>
      <ns0:c r="G86" s="16">
        <ns0:f>A86*('前提と出典'!$C$36*'契約別単価'!G5+'前提と出典'!$C$37*'契約別単価'!G6+'前提と出典'!$C$38*'契約別単価'!G7)</ns0:f>
        <ns0:v>163221.22905027933</ns0:v>
      </ns0:c>
      <ns0:c r="H86" s="16">
        <ns0:f>A86*('前提と出典'!$C$36*'契約別単価'!H5+'前提と出典'!$C$37*'契約別単価'!H6+'前提と出典'!$C$38*'契約別単価'!H7)</ns0:f>
        <ns0:v>56645.95266836977</ns0:v>
      </ns0:c>
      <ns0:c r="I86" s="16">
        <ns0:f>A86*('前提と出典'!$C$36*'契約別単価'!I5+'前提と出典'!$C$37*'契約別単価'!I6+'前提と出典'!$C$38*'契約別単価'!I7)</ns0:f>
        <ns0:v>3460.033519553072</ns0:v>
      </ns0:c>
      <ns0:c r="J86" s="16">
        <ns0:f>A86*('前提と出典'!$C$36*'契約別単価'!J5+'前提と出典'!$C$37*'契約別単価'!J6+'前提と出典'!$C$38*'契約別単価'!J7)</ns0:f>
        <ns0:v>8059.74258424481</ns0:v>
      </ns0:c>
      <ns0:c r="K86" s="16">
        <ns0:f>A86*('前提と出典'!$C$36*'契約別単価'!K5+'前提と出典'!$C$37*'契約別単価'!K6+'前提と出典'!$C$38*'契約別単価'!K7)</ns0:f>
        <ns0:v>34546.890130353815</ns0:v>
      </ns0:c>
      <ns0:c r="L86" s="16">
        <ns0:f>A86*('前提と出典'!$C$36*'契約別単価'!L5+'前提と出典'!$C$37*'契約別単価'!L6+'前提と出典'!$C$38*'契約別単価'!L7)</ns0:f>
        <ns0:v>28128.19842227899</ns0:v>
      </ns0:c>
      <ns0:c r="M86" s="16">
        <ns0:f>IF(('前提と出典'!$C$36+'前提と出典'!$C$38)=0,0,IF(B86&lt;=10,'前提と出典'!B73+'前提と出典'!C73,IF(B86&lt;=100,'前提と出典'!B74+'前提と出典'!C74,IF(B86&lt;=500,'前提と出典'!B75+'前提と出典'!C75,'前提と出典'!B76+'前提と出典'!C76))))</ns0:f>
        <ns0:v>20000</ns0:v>
      </ns0:c>
      <ns0:c r="N86" s="16">
        <ns0:f>IF(('前提と出典'!$C$37+'前提と出典'!$C$38)=0,0,IF(C86&lt;=10,'前提と出典'!D73+'前提と出典'!E73,IF(C86&lt;=100,'前提と出典'!D74+'前提と出典'!E74,IF(C86&lt;=500,'前提と出典'!D75+'前提と出典'!E75,'前提と出典'!D76+'前提と出典'!E76))))</ns0:f>
        <ns0:v>34510.9346263078</ns0:v>
      </ns0:c>
      <ns0:c r="O86" s="16">
        <ns0:f>IF('前提と出典'!$C$36+'前提と出典'!$C$38=0,0,'前提と出典'!$B$4*IF('前提と出典'!$B$20=0,MAX('前提と出典'!$B$6,D86*'前提と出典'!$B$5),'前提と出典'!$B$6+D86*'前提と出典'!$B$5))</ns0:f>
        <ns0:v>81424.62569832403</ns0:v>
      </ns0:c>
      <ns0:c r="P86" s="16">
        <ns0:f>(E86+G86)*(1-'前提と出典'!$B$7)-I86-K86-M86-O86</ns0:f>
        <ns0:v>170867.22068161846</ns0:v>
      </ns0:c>
      <ns0:c r="Q86" s="16">
        <ns0:f>(F86+H86)*(1-'前提と出典'!$B$7)-J86-L86-N86</ns0:f>
        <ns0:v>43936.516619119095</ns0:v>
      </ns0:c>
      <ns0:c r="R86" s="16">
        <ns0:f>P86-E86*'前提と出典'!$E$4</ns0:f>
        <ns0:v>123267.58212600226</ns0:v>
      </ns0:c>
      <ns0:c r="S86" s="16">
        <ns0:f>Q86-F86*'前提と出典'!$E$4</ns0:f>
        <ns0:v>25255.38781840055</ns0:v>
      </ns0:c>
      <ns0:c r="T86" s="7">
        <ns0:f>R86+S86</ns0:f>
        <ns0:v>148522.9699444028</ns0:v>
      </ns0:c>
      <ns0:c r="U86" s="16">
        <ns0:f>P86-E86*'前提と出典'!$E$5</ns0:f>
        <ns0:v>107401.03594079686</ns0:v>
      </ns0:c>
      <ns0:c r="V86" s="16">
        <ns0:f>Q86-F86*'前提と出典'!$E$5</ns0:f>
        <ns0:v>19028.34488482771</ns0:v>
      </ns0:c>
      <ns0:c r="W86" s="7">
        <ns0:f>U86+V86</ns0:f>
        <ns0:v>126429.38082562457</ns0:v>
      </ns0:c>
      <ns0:c r="X86" s="16">
        <ns0:f>P86-E86*'前提と出典'!$E$6</ns0:f>
        <ns0:v>91534.48975559146</ns0:v>
      </ns0:c>
      <ns0:c r="Y86" s="16">
        <ns0:f>Q86-F86*'前提と出典'!$E$6</ns0:f>
        <ns0:v>12801.301951254856</ns0:v>
      </ns0:c>
      <ns0:c r="Z86" s="7">
        <ns0:f>X86+Y86</ns0:f>
        <ns0:v>104335.79170684633</ns0:v>
      </ns0:c>
      <ns0:c r="AA86" s="7">
        <ns0:f>IF(T86&gt;=0,A86,1001)</ns0:f>
        <ns0:v>82</ns0:v>
      </ns0:c>
      <ns0:c r="AB86" s="7">
        <ns0:f>IF(T86&lt;0,A86,0)</ns0:f>
        <ns0:v>0</ns0:v>
      </ns0:c>
      <ns0:c r="AC86" s="16">
        <ns0:f>IF(AND(OR('前提と出典'!$C$36+'前提と出典'!$C$38=0,R86&gt;=0),OR('前提と出典'!$C$37+'前提と出典'!$C$38=0,S86&gt;=0)),0,A86)</ns0:f>
        <ns0:v>0</ns0:v>
      </ns0:c>
      <ns0:c r="AD86" s="7">
        <ns0:f>IF(W86&gt;=0,A86,1001)</ns0:f>
        <ns0:v>82</ns0:v>
      </ns0:c>
      <ns0:c r="AE86" s="7">
        <ns0:f>IF(W86&lt;0,A86,0)</ns0:f>
        <ns0:v>0</ns0:v>
      </ns0:c>
      <ns0:c r="AF86" s="16">
        <ns0:f>IF(AND(OR('前提と出典'!$C$36+'前提と出典'!$C$38=0,U86&gt;=0),OR('前提と出典'!$C$37+'前提と出典'!$C$38=0,V86&gt;=0)),0,A86)</ns0:f>
        <ns0:v>0</ns0:v>
      </ns0:c>
      <ns0:c r="AG86" s="7">
        <ns0:f>IF(Z86&gt;=0,A86,1001)</ns0:f>
        <ns0:v>82</ns0:v>
      </ns0:c>
      <ns0:c r="AH86" s="4">
        <ns0:f>IF(Z86&lt;0,A86,0)</ns0:f>
        <ns0:v>0</ns0:v>
      </ns0:c>
      <ns0:c r="AI86" s="12">
        <ns0:f>IF(AND(OR('前提と出典'!$C$36+'前提と出典'!$C$38=0,X86&gt;=0),OR('前提と出典'!$C$37+'前提と出典'!$C$38=0,Y86&gt;=0)),0,A86)</ns0:f>
        <ns0:v>0</ns0:v>
      </ns0:c>
    </ns0:row>
    <ns0:row r="87" ht="24" customHeight="1">
      <ns0:c r="A87" s="4" t="n">
        <ns0:v>83</ns0:v>
      </ns0:c>
      <ns0:c r="B87" s="12">
        <ns0:f>A87*('前提と出典'!$C$36+'前提と出典'!$C$38)</ns0:f>
        <ns0:v>58.099999999999994</ns0:v>
      </ns0:c>
      <ns0:c r="C87" s="12">
        <ns0:f>A87*('前提と出典'!$C$37+'前提と出典'!$C$38)</ns0:f>
        <ns0:v>49.8</ns0:v>
      </ns0:c>
      <ns0:c r="D87" s="16">
        <ns0:f>A87*('前提と出典'!$C$36*'契約別単価'!C5+'前提と出典'!$C$37*'契約別単価'!C6+'前提と出典'!$C$38*'契約別単価'!C7)</ns0:f>
        <ns0:v>597.2290502793296</ns0:v>
      </ns0:c>
      <ns0:c r="E87" s="16">
        <ns0:f>A87*('前提と出典'!$C$36*'契約別単価'!E5+'前提と出典'!$C$37*'契約別単価'!E6+'前提と出典'!$C$38*'契約別単価'!E7)</ns0:f>
        <ns0:v>160600.40650878637</ns0:v>
      </ns0:c>
      <ns0:c r="F87" s="16">
        <ns0:f>A87*('前提と出典'!$C$36*'契約別単価'!F5+'前提と出典'!$C$37*'契約別単価'!F6+'前提と出典'!$C$38*'契約別単価'!F7)</ns0:f>
        <ns0:v>63029.82481543246</ns0:v>
      </ns0:c>
      <ns0:c r="G87" s="16">
        <ns0:f>A87*('前提と出典'!$C$36*'契約別単価'!G5+'前提と出典'!$C$37*'契約別単価'!G6+'前提と出典'!$C$38*'契約別単価'!G7)</ns0:f>
        <ns0:v>165211.7318435754</ns0:v>
      </ns0:c>
      <ns0:c r="H87" s="16">
        <ns0:f>A87*('前提と出典'!$C$36*'契約別単価'!H5+'前提と出典'!$C$37*'契約別単価'!H6+'前提と出典'!$C$38*'契約別単価'!H7)</ns0:f>
        <ns0:v>57336.75696920355</ns0:v>
      </ns0:c>
      <ns0:c r="I87" s="16">
        <ns0:f>A87*('前提と出典'!$C$36*'契約別単価'!I5+'前提と出典'!$C$37*'契約別単価'!I6+'前提と出典'!$C$38*'契約別単価'!I7)</ns0:f>
        <ns0:v>3502.229050279329</ns0:v>
      </ns0:c>
      <ns0:c r="J87" s="16">
        <ns0:f>A87*('前提と出典'!$C$36*'契約別単価'!J5+'前提と出典'!$C$37*'契約別単価'!J6+'前提と出典'!$C$38*'契約別単価'!J7)</ns0:f>
        <ns0:v>8158.032127955113</ns0:v>
      </ns0:c>
      <ns0:c r="K87" s="16">
        <ns0:f>A87*('前提と出典'!$C$36*'契約別単価'!K5+'前提と出典'!$C$37*'契約別単価'!K6+'前提と出典'!$C$38*'契約別単価'!K7)</ns0:f>
        <ns0:v>34968.19366852886</ns0:v>
      </ns0:c>
      <ns0:c r="L87" s="16">
        <ns0:f>A87*('前提と出典'!$C$36*'契約別単価'!L5+'前提と出典'!$C$37*'契約別単価'!L6+'前提と出典'!$C$38*'契約別単価'!L7)</ns0:f>
        <ns0:v>28471.225232306784</ns0:v>
      </ns0:c>
      <ns0:c r="M87" s="16">
        <ns0:f>IF(('前提と出典'!$C$36+'前提と出典'!$C$38)=0,0,IF(B87&lt;=10,'前提と出典'!B73+'前提と出典'!C73,IF(B87&lt;=100,'前提と出典'!B74+'前提と出典'!C74,IF(B87&lt;=500,'前提と出典'!B75+'前提と出典'!C75,'前提と出典'!B76+'前提と出典'!C76))))</ns0:f>
        <ns0:v>20000</ns0:v>
      </ns0:c>
      <ns0:c r="N87" s="16">
        <ns0:f>IF(('前提と出典'!$C$37+'前提と出典'!$C$38)=0,0,IF(C87&lt;=10,'前提と出典'!D73+'前提と出典'!E73,IF(C87&lt;=100,'前提と出典'!D74+'前提と出典'!E74,IF(C87&lt;=500,'前提と出典'!D75+'前提と出典'!E75,'前提と出典'!D76+'前提と出典'!E76))))</ns0:f>
        <ns0:v>34510.9346263078</ns0:v>
      </ns0:c>
      <ns0:c r="O87" s="16">
        <ns0:f>IF('前提と出典'!$C$36+'前提と出典'!$C$38=0,0,'前提と出典'!$B$4*IF('前提と出典'!$B$20=0,MAX('前提と出典'!$B$6,D87*'前提と出典'!$B$5),'前提と出典'!$B$6+D87*'前提と出典'!$B$5))</ns0:f>
        <ns0:v>82417.60893854748</ns0:v>
      </ns0:c>
      <ns0:c r="P87" s="16">
        <ns0:f>(E87+G87)*(1-'前提と出典'!$B$7)-I87-K87-M87-O87</ns0:f>
        <ns0:v>173194.86971432102</ns0:v>
      </ns0:c>
      <ns0:c r="Q87" s="16">
        <ns0:f>(F87+H87)*(1-'前提と出典'!$B$7)-J87-L87-N87</ns0:f>
        <ns0:v>44893.19285381942</ns0:v>
      </ns0:c>
      <ns0:c r="R87" s="16">
        <ns0:f>P87-E87*'前提と出典'!$E$4</ns0:f>
        <ns0:v>125014.74776168512</ns0:v>
      </ns0:c>
      <ns0:c r="S87" s="16">
        <ns0:f>Q87-F87*'前提と出典'!$E$4</ns0:f>
        <ns0:v>25984.245409189687</ns0:v>
      </ns0:c>
      <ns0:c r="T87" s="7">
        <ns0:f>R87+S87</ns0:f>
        <ns0:v>150998.9931708748</ns0:v>
      </ns0:c>
      <ns0:c r="U87" s="16">
        <ns0:f>P87-E87*'前提と出典'!$E$5</ns0:f>
        <ns0:v>108954.70711080647</ns0:v>
      </ns0:c>
      <ns0:c r="V87" s="16">
        <ns0:f>Q87-F87*'前提と出典'!$E$5</ns0:f>
        <ns0:v>19681.262927646436</ns0:v>
      </ns0:c>
      <ns0:c r="W87" s="7">
        <ns0:f>U87+V87</ns0:f>
        <ns0:v>128635.97003845291</ns0:v>
      </ns0:c>
      <ns0:c r="X87" s="16">
        <ns0:f>P87-E87*'前提と出典'!$E$6</ns0:f>
        <ns0:v>92894.66645992784</ns0:v>
      </ns0:c>
      <ns0:c r="Y87" s="16">
        <ns0:f>Q87-F87*'前提と出典'!$E$6</ns0:f>
        <ns0:v>13378.2804461032</ns0:v>
      </ns0:c>
      <ns0:c r="Z87" s="7">
        <ns0:f>X87+Y87</ns0:f>
        <ns0:v>106272.94690603105</ns0:v>
      </ns0:c>
      <ns0:c r="AA87" s="7">
        <ns0:f>IF(T87&gt;=0,A87,1001)</ns0:f>
        <ns0:v>83</ns0:v>
      </ns0:c>
      <ns0:c r="AB87" s="7">
        <ns0:f>IF(T87&lt;0,A87,0)</ns0:f>
        <ns0:v>0</ns0:v>
      </ns0:c>
      <ns0:c r="AC87" s="16">
        <ns0:f>IF(AND(OR('前提と出典'!$C$36+'前提と出典'!$C$38=0,R87&gt;=0),OR('前提と出典'!$C$37+'前提と出典'!$C$38=0,S87&gt;=0)),0,A87)</ns0:f>
        <ns0:v>0</ns0:v>
      </ns0:c>
      <ns0:c r="AD87" s="7">
        <ns0:f>IF(W87&gt;=0,A87,1001)</ns0:f>
        <ns0:v>83</ns0:v>
      </ns0:c>
      <ns0:c r="AE87" s="7">
        <ns0:f>IF(W87&lt;0,A87,0)</ns0:f>
        <ns0:v>0</ns0:v>
      </ns0:c>
      <ns0:c r="AF87" s="16">
        <ns0:f>IF(AND(OR('前提と出典'!$C$36+'前提と出典'!$C$38=0,U87&gt;=0),OR('前提と出典'!$C$37+'前提と出典'!$C$38=0,V87&gt;=0)),0,A87)</ns0:f>
        <ns0:v>0</ns0:v>
      </ns0:c>
      <ns0:c r="AG87" s="7">
        <ns0:f>IF(Z87&gt;=0,A87,1001)</ns0:f>
        <ns0:v>83</ns0:v>
      </ns0:c>
      <ns0:c r="AH87" s="4">
        <ns0:f>IF(Z87&lt;0,A87,0)</ns0:f>
        <ns0:v>0</ns0:v>
      </ns0:c>
      <ns0:c r="AI87" s="12">
        <ns0:f>IF(AND(OR('前提と出典'!$C$36+'前提と出典'!$C$38=0,X87&gt;=0),OR('前提と出典'!$C$37+'前提と出典'!$C$38=0,Y87&gt;=0)),0,A87)</ns0:f>
        <ns0:v>0</ns0:v>
      </ns0:c>
    </ns0:row>
    <ns0:row r="88" ht="24" customHeight="1">
      <ns0:c r="A88" s="4" t="n">
        <ns0:v>84</ns0:v>
      </ns0:c>
      <ns0:c r="B88" s="12">
        <ns0:f>A88*('前提と出典'!$C$36+'前提と出典'!$C$38)</ns0:f>
        <ns0:v>58.8</ns0:v>
      </ns0:c>
      <ns0:c r="C88" s="12">
        <ns0:f>A88*('前提と出典'!$C$37+'前提と出典'!$C$38)</ns0:f>
        <ns0:v>50.4</ns0:v>
      </ns0:c>
      <ns0:c r="D88" s="16">
        <ns0:f>A88*('前提と出典'!$C$36*'契約別単価'!C5+'前提と出典'!$C$37*'契約別単価'!C6+'前提と出典'!$C$38*'契約別単価'!C7)</ns0:f>
        <ns0:v>604.4245810055866</ns0:v>
      </ns0:c>
      <ns0:c r="E88" s="16">
        <ns0:f>A88*('前提と出典'!$C$36*'契約別単価'!E5+'前提と出典'!$C$37*'契約別単価'!E6+'前提と出典'!$C$38*'契約別単価'!E7)</ns0:f>
        <ns0:v>162535.35116551875</ns0:v>
      </ns0:c>
      <ns0:c r="F88" s="16">
        <ns0:f>A88*('前提と出典'!$C$36*'契約別単価'!F5+'前提と出典'!$C$37*'契約別単価'!F6+'前提と出典'!$C$38*'契約別単価'!F7)</ns0:f>
        <ns0:v>63789.22029513647</ns0:v>
      </ns0:c>
      <ns0:c r="G88" s="16">
        <ns0:f>A88*('前提と出典'!$C$36*'契約別単価'!G5+'前提と出典'!$C$37*'契約別単価'!G6+'前提と出典'!$C$38*'契約別単価'!G7)</ns0:f>
        <ns0:v>167202.2346368715</ns0:v>
      </ns0:c>
      <ns0:c r="H88" s="16">
        <ns0:f>A88*('前提と出典'!$C$36*'契約別単価'!H5+'前提と出典'!$C$37*'契約別単価'!H6+'前提と出典'!$C$38*'契約別単価'!H7)</ns0:f>
        <ns0:v>58027.561270037324</ns0:v>
      </ns0:c>
      <ns0:c r="I88" s="16">
        <ns0:f>A88*('前提と出典'!$C$36*'契約別単価'!I5+'前提と出典'!$C$37*'契約別単価'!I6+'前提と出典'!$C$38*'契約別単価'!I7)</ns0:f>
        <ns0:v>3544.424581005586</ns0:v>
      </ns0:c>
      <ns0:c r="J88" s="16">
        <ns0:f>A88*('前提と出典'!$C$36*'契約別単価'!J5+'前提と出典'!$C$37*'契約別単価'!J6+'前提と出典'!$C$38*'契約別単価'!J7)</ns0:f>
        <ns0:v>8256.321671665415</ns0:v>
      </ns0:c>
      <ns0:c r="K88" s="16">
        <ns0:f>A88*('前提と出典'!$C$36*'契約別単価'!K5+'前提と出典'!$C$37*'契約別単価'!K6+'前提と出典'!$C$38*'契約別単価'!K7)</ns0:f>
        <ns0:v>35389.497206703905</ns0:v>
      </ns0:c>
      <ns0:c r="L88" s="16">
        <ns0:f>A88*('前提と出典'!$C$36*'契約別単価'!L5+'前提と出典'!$C$37*'契約別単価'!L6+'前提と出典'!$C$38*'契約別単価'!L7)</ns0:f>
        <ns0:v>28814.252042334578</ns0:v>
      </ns0:c>
      <ns0:c r="M88" s="16">
        <ns0:f>IF(('前提と出典'!$C$36+'前提と出典'!$C$38)=0,0,IF(B88&lt;=10,'前提と出典'!B73+'前提と出典'!C73,IF(B88&lt;=100,'前提と出典'!B74+'前提と出典'!C74,IF(B88&lt;=500,'前提と出典'!B75+'前提と出典'!C75,'前提と出典'!B76+'前提と出典'!C76))))</ns0:f>
        <ns0:v>20000</ns0:v>
      </ns0:c>
      <ns0:c r="N88" s="16">
        <ns0:f>IF(('前提と出典'!$C$37+'前提と出典'!$C$38)=0,0,IF(C88&lt;=10,'前提と出典'!D73+'前提と出典'!E73,IF(C88&lt;=100,'前提と出典'!D74+'前提と出典'!E74,IF(C88&lt;=500,'前提と出典'!D75+'前提と出典'!E75,'前提と出典'!D76+'前提と出典'!E76))))</ns0:f>
        <ns0:v>34510.9346263078</ns0:v>
      </ns0:c>
      <ns0:c r="O88" s="16">
        <ns0:f>IF('前提と出典'!$C$36+'前提と出典'!$C$38=0,0,'前提と出典'!$B$4*IF('前提と出典'!$B$20=0,MAX('前提と出典'!$B$6,D88*'前提と出典'!$B$5),'前提と出典'!$B$6+D88*'前提と出典'!$B$5))</ns0:f>
        <ns0:v>83410.59217877094</ns0:v>
      </ns0:c>
      <ns0:c r="P88" s="16">
        <ns0:f>(E88+G88)*(1-'前提と出典'!$B$7)-I88-K88-M88-O88</ns0:f>
        <ns0:v>175522.51874702374</ns0:v>
      </ns0:c>
      <ns0:c r="Q88" s="16">
        <ns0:f>(F88+H88)*(1-'前提と出典'!$B$7)-J88-L88-N88</ns0:f>
        <ns0:v>45849.86908851974</ns0:v>
      </ns0:c>
      <ns0:c r="R88" s="16">
        <ns0:f>P88-E88*'前提と出典'!$E$4</ns0:f>
        <ns0:v>126761.91339736817</ns0:v>
      </ns0:c>
      <ns0:c r="S88" s="16">
        <ns0:f>Q88-F88*'前提と出典'!$E$4</ns0:f>
        <ns0:v>26713.1029999788</ns0:v>
      </ns0:c>
      <ns0:c r="T88" s="7">
        <ns0:f>R88+S88</ns0:f>
        <ns0:v>153475.01639734698</ns0:v>
      </ns0:c>
      <ns0:c r="U88" s="16">
        <ns0:f>P88-E88*'前提と出典'!$E$5</ns0:f>
        <ns0:v>110508.37828081624</ns0:v>
      </ns0:c>
      <ns0:c r="V88" s="16">
        <ns0:f>Q88-F88*'前提と出典'!$E$5</ns0:f>
        <ns0:v>20334.180970465153</ns0:v>
      </ns0:c>
      <ns0:c r="W88" s="7">
        <ns0:f>U88+V88</ns0:f>
        <ns0:v>130842.55925128139</ns0:v>
      </ns0:c>
      <ns0:c r="X88" s="16">
        <ns0:f>P88-E88*'前提と出典'!$E$6</ns0:f>
        <ns0:v>94254.84316426438</ns0:v>
      </ns0:c>
      <ns0:c r="Y88" s="16">
        <ns0:f>Q88-F88*'前提と出典'!$E$6</ns0:f>
        <ns0:v>13955.258940951506</ns0:v>
      </ns0:c>
      <ns0:c r="Z88" s="7">
        <ns0:f>X88+Y88</ns0:f>
        <ns0:v>108210.10210521589</ns0:v>
      </ns0:c>
      <ns0:c r="AA88" s="7">
        <ns0:f>IF(T88&gt;=0,A88,1001)</ns0:f>
        <ns0:v>84</ns0:v>
      </ns0:c>
      <ns0:c r="AB88" s="7">
        <ns0:f>IF(T88&lt;0,A88,0)</ns0:f>
        <ns0:v>0</ns0:v>
      </ns0:c>
      <ns0:c r="AC88" s="16">
        <ns0:f>IF(AND(OR('前提と出典'!$C$36+'前提と出典'!$C$38=0,R88&gt;=0),OR('前提と出典'!$C$37+'前提と出典'!$C$38=0,S88&gt;=0)),0,A88)</ns0:f>
        <ns0:v>0</ns0:v>
      </ns0:c>
      <ns0:c r="AD88" s="7">
        <ns0:f>IF(W88&gt;=0,A88,1001)</ns0:f>
        <ns0:v>84</ns0:v>
      </ns0:c>
      <ns0:c r="AE88" s="7">
        <ns0:f>IF(W88&lt;0,A88,0)</ns0:f>
        <ns0:v>0</ns0:v>
      </ns0:c>
      <ns0:c r="AF88" s="16">
        <ns0:f>IF(AND(OR('前提と出典'!$C$36+'前提と出典'!$C$38=0,U88&gt;=0),OR('前提と出典'!$C$37+'前提と出典'!$C$38=0,V88&gt;=0)),0,A88)</ns0:f>
        <ns0:v>0</ns0:v>
      </ns0:c>
      <ns0:c r="AG88" s="7">
        <ns0:f>IF(Z88&gt;=0,A88,1001)</ns0:f>
        <ns0:v>84</ns0:v>
      </ns0:c>
      <ns0:c r="AH88" s="4">
        <ns0:f>IF(Z88&lt;0,A88,0)</ns0:f>
        <ns0:v>0</ns0:v>
      </ns0:c>
      <ns0:c r="AI88" s="12">
        <ns0:f>IF(AND(OR('前提と出典'!$C$36+'前提と出典'!$C$38=0,X88&gt;=0),OR('前提と出典'!$C$37+'前提と出典'!$C$38=0,Y88&gt;=0)),0,A88)</ns0:f>
        <ns0:v>0</ns0:v>
      </ns0:c>
    </ns0:row>
    <ns0:row r="89" ht="24" customHeight="1">
      <ns0:c r="A89" s="4" t="n">
        <ns0:v>85</ns0:v>
      </ns0:c>
      <ns0:c r="B89" s="12">
        <ns0:f>A89*('前提と出典'!$C$36+'前提と出典'!$C$38)</ns0:f>
        <ns0:v>59.49999999999999</ns0:v>
      </ns0:c>
      <ns0:c r="C89" s="12">
        <ns0:f>A89*('前提と出典'!$C$37+'前提と出典'!$C$38)</ns0:f>
        <ns0:v>51</ns0:v>
      </ns0:c>
      <ns0:c r="D89" s="16">
        <ns0:f>A89*('前提と出典'!$C$36*'契約別単価'!C5+'前提と出典'!$C$37*'契約別単価'!C6+'前提と出典'!$C$38*'契約別単価'!C7)</ns0:f>
        <ns0:v>611.6201117318436</ns0:v>
      </ns0:c>
      <ns0:c r="E89" s="16">
        <ns0:f>A89*('前提と出典'!$C$36*'契約別単価'!E5+'前提と出典'!$C$37*'契約別単価'!E6+'前提と出典'!$C$38*'契約別単価'!E7)</ns0:f>
        <ns0:v>164470.2958222511</ns0:v>
      </ns0:c>
      <ns0:c r="F89" s="16">
        <ns0:f>A89*('前提と出典'!$C$36*'契約別単価'!F5+'前提と出典'!$C$37*'契約別単価'!F6+'前提と出典'!$C$38*'契約別単価'!F7)</ns0:f>
        <ns0:v>64548.61577484047</ns0:v>
      </ns0:c>
      <ns0:c r="G89" s="16">
        <ns0:f>A89*('前提と出典'!$C$36*'契約別単価'!G5+'前提と出典'!$C$37*'契約別単価'!G6+'前提と出典'!$C$38*'契約別単価'!G7)</ns0:f>
        <ns0:v>169192.7374301676</ns0:v>
      </ns0:c>
      <ns0:c r="H89" s="16">
        <ns0:f>A89*('前提と出典'!$C$36*'契約別単価'!H5+'前提と出典'!$C$37*'契約別単価'!H6+'前提と出典'!$C$38*'契約別単価'!H7)</ns0:f>
        <ns0:v>58718.3655708711</ns0:v>
      </ns0:c>
      <ns0:c r="I89" s="16">
        <ns0:f>A89*('前提と出典'!$C$36*'契約別単価'!I5+'前提と出典'!$C$37*'契約別単価'!I6+'前提と出典'!$C$38*'契約別単価'!I7)</ns0:f>
        <ns0:v>3586.620111731843</ns0:v>
      </ns0:c>
      <ns0:c r="J89" s="16">
        <ns0:f>A89*('前提と出典'!$C$36*'契約別単価'!J5+'前提と出典'!$C$37*'契約別単価'!J6+'前提と出典'!$C$38*'契約別単価'!J7)</ns0:f>
        <ns0:v>8354.611215375719</ns0:v>
      </ns0:c>
      <ns0:c r="K89" s="16">
        <ns0:f>A89*('前提と出典'!$C$36*'契約別単価'!K5+'前提と出典'!$C$37*'契約別単価'!K6+'前提と出典'!$C$38*'契約別単価'!K7)</ns0:f>
        <ns0:v>35810.80074487896</ns0:v>
      </ns0:c>
      <ns0:c r="L89" s="16">
        <ns0:f>A89*('前提と出典'!$C$36*'契約別単価'!L5+'前提と出典'!$C$37*'契約別単価'!L6+'前提と出典'!$C$38*'契約別単価'!L7)</ns0:f>
        <ns0:v>29157.278852362368</ns0:v>
      </ns0:c>
      <ns0:c r="M89" s="16">
        <ns0:f>IF(('前提と出典'!$C$36+'前提と出典'!$C$38)=0,0,IF(B89&lt;=10,'前提と出典'!B73+'前提と出典'!C73,IF(B89&lt;=100,'前提と出典'!B74+'前提と出典'!C74,IF(B89&lt;=500,'前提と出典'!B75+'前提と出典'!C75,'前提と出典'!B76+'前提と出典'!C76))))</ns0:f>
        <ns0:v>20000</ns0:v>
      </ns0:c>
      <ns0:c r="N89" s="16">
        <ns0:f>IF(('前提と出典'!$C$37+'前提と出典'!$C$38)=0,0,IF(C89&lt;=10,'前提と出典'!D73+'前提と出典'!E73,IF(C89&lt;=100,'前提と出典'!D74+'前提と出典'!E74,IF(C89&lt;=500,'前提と出典'!D75+'前提と出典'!E75,'前提と出典'!D76+'前提と出典'!E76))))</ns0:f>
        <ns0:v>34510.9346263078</ns0:v>
      </ns0:c>
      <ns0:c r="O89" s="16">
        <ns0:f>IF('前提と出典'!$C$36+'前提と出典'!$C$38=0,0,'前提と出典'!$B$4*IF('前提と出典'!$B$20=0,MAX('前提と出典'!$B$6,D89*'前提と出典'!$B$5),'前提と出典'!$B$6+D89*'前提と出典'!$B$5))</ns0:f>
        <ns0:v>84403.57541899441</ns0:v>
      </ns0:c>
      <ns0:c r="P89" s="16">
        <ns0:f>(E89+G89)*(1-'前提と出典'!$B$7)-I89-K89-M89-O89</ns0:f>
        <ns0:v>177850.16777972638</ns0:v>
      </ns0:c>
      <ns0:c r="Q89" s="16">
        <ns0:f>(F89+H89)*(1-'前提と出典'!$B$7)-J89-L89-N89</ns0:f>
        <ns0:v>46806.54532322007</ns0:v>
      </ns0:c>
      <ns0:c r="R89" s="16">
        <ns0:f>P89-E89*'前提と出典'!$E$4</ns0:f>
        <ns0:v>128509.07903305104</ns0:v>
      </ns0:c>
      <ns0:c r="S89" s="16">
        <ns0:f>Q89-F89*'前提と出典'!$E$4</ns0:f>
        <ns0:v>27441.96059076792</ns0:v>
      </ns0:c>
      <ns0:c r="T89" s="7">
        <ns0:f>R89+S89</ns0:f>
        <ns0:v>155951.03962381894</ns0:v>
      </ns0:c>
      <ns0:c r="U89" s="16">
        <ns0:f>P89-E89*'前提と出典'!$E$5</ns0:f>
        <ns0:v>112062.04945082596</ns0:v>
      </ns0:c>
      <ns0:c r="V89" s="16">
        <ns0:f>Q89-F89*'前提と出典'!$E$5</ns0:f>
        <ns0:v>20987.099013283878</ns0:v>
      </ns0:c>
      <ns0:c r="W89" s="7">
        <ns0:f>U89+V89</ns0:f>
        <ns0:v>133049.14846410984</ns0:v>
      </ns0:c>
      <ns0:c r="X89" s="16">
        <ns0:f>P89-E89*'前提と出典'!$E$6</ns0:f>
        <ns0:v>95615.01986860082</ns0:v>
      </ns0:c>
      <ns0:c r="Y89" s="16">
        <ns0:f>Q89-F89*'前提と出典'!$E$6</ns0:f>
        <ns0:v>14532.237435799834</ns0:v>
      </ns0:c>
      <ns0:c r="Z89" s="7">
        <ns0:f>X89+Y89</ns0:f>
        <ns0:v>110147.25730440066</ns0:v>
      </ns0:c>
      <ns0:c r="AA89" s="7">
        <ns0:f>IF(T89&gt;=0,A89,1001)</ns0:f>
        <ns0:v>85</ns0:v>
      </ns0:c>
      <ns0:c r="AB89" s="7">
        <ns0:f>IF(T89&lt;0,A89,0)</ns0:f>
        <ns0:v>0</ns0:v>
      </ns0:c>
      <ns0:c r="AC89" s="16">
        <ns0:f>IF(AND(OR('前提と出典'!$C$36+'前提と出典'!$C$38=0,R89&gt;=0),OR('前提と出典'!$C$37+'前提と出典'!$C$38=0,S89&gt;=0)),0,A89)</ns0:f>
        <ns0:v>0</ns0:v>
      </ns0:c>
      <ns0:c r="AD89" s="7">
        <ns0:f>IF(W89&gt;=0,A89,1001)</ns0:f>
        <ns0:v>85</ns0:v>
      </ns0:c>
      <ns0:c r="AE89" s="7">
        <ns0:f>IF(W89&lt;0,A89,0)</ns0:f>
        <ns0:v>0</ns0:v>
      </ns0:c>
      <ns0:c r="AF89" s="16">
        <ns0:f>IF(AND(OR('前提と出典'!$C$36+'前提と出典'!$C$38=0,U89&gt;=0),OR('前提と出典'!$C$37+'前提と出典'!$C$38=0,V89&gt;=0)),0,A89)</ns0:f>
        <ns0:v>0</ns0:v>
      </ns0:c>
      <ns0:c r="AG89" s="7">
        <ns0:f>IF(Z89&gt;=0,A89,1001)</ns0:f>
        <ns0:v>85</ns0:v>
      </ns0:c>
      <ns0:c r="AH89" s="4">
        <ns0:f>IF(Z89&lt;0,A89,0)</ns0:f>
        <ns0:v>0</ns0:v>
      </ns0:c>
      <ns0:c r="AI89" s="12">
        <ns0:f>IF(AND(OR('前提と出典'!$C$36+'前提と出典'!$C$38=0,X89&gt;=0),OR('前提と出典'!$C$37+'前提と出典'!$C$38=0,Y89&gt;=0)),0,A89)</ns0:f>
        <ns0:v>0</ns0:v>
      </ns0:c>
    </ns0:row>
    <ns0:row r="90" ht="24" customHeight="1">
      <ns0:c r="A90" s="4" t="n">
        <ns0:v>86</ns0:v>
      </ns0:c>
      <ns0:c r="B90" s="12">
        <ns0:f>A90*('前提と出典'!$C$36+'前提と出典'!$C$38)</ns0:f>
        <ns0:v>60.199999999999996</ns0:v>
      </ns0:c>
      <ns0:c r="C90" s="12">
        <ns0:f>A90*('前提と出典'!$C$37+'前提と出典'!$C$38)</ns0:f>
        <ns0:v>51.6</ns0:v>
      </ns0:c>
      <ns0:c r="D90" s="16">
        <ns0:f>A90*('前提と出典'!$C$36*'契約別単価'!C5+'前提と出典'!$C$37*'契約別単価'!C6+'前提と出典'!$C$38*'契約別単価'!C7)</ns0:f>
        <ns0:v>618.8156424581006</ns0:v>
      </ns0:c>
      <ns0:c r="E90" s="16">
        <ns0:f>A90*('前提と出典'!$C$36*'契約別単価'!E5+'前提と出典'!$C$37*'契約別単価'!E6+'前提と出典'!$C$38*'契約別単価'!E7)</ns0:f>
        <ns0:v>166405.24047898347</ns0:v>
      </ns0:c>
      <ns0:c r="F90" s="16">
        <ns0:f>A90*('前提と出典'!$C$36*'契約別単価'!F5+'前提と出典'!$C$37*'契約別単価'!F6+'前提と出典'!$C$38*'契約別単価'!F7)</ns0:f>
        <ns0:v>65308.01125454448</ns0:v>
      </ns0:c>
      <ns0:c r="G90" s="16">
        <ns0:f>A90*('前提と出典'!$C$36*'契約別単価'!G5+'前提と出典'!$C$37*'契約別単価'!G6+'前提と出典'!$C$38*'契約別単価'!G7)</ns0:f>
        <ns0:v>171183.24022346368</ns0:v>
      </ns0:c>
      <ns0:c r="H90" s="16">
        <ns0:f>A90*('前提と出典'!$C$36*'契約別単価'!H5+'前提と出典'!$C$37*'契約別単価'!H6+'前提と出典'!$C$38*'契約別単価'!H7)</ns0:f>
        <ns0:v>59409.16987170488</ns0:v>
      </ns0:c>
      <ns0:c r="I90" s="16">
        <ns0:f>A90*('前提と出典'!$C$36*'契約別単価'!I5+'前提と出典'!$C$37*'契約別単価'!I6+'前提と出典'!$C$38*'契約別単価'!I7)</ns0:f>
        <ns0:v>3628.8156424581</ns0:v>
      </ns0:c>
      <ns0:c r="J90" s="16">
        <ns0:f>A90*('前提と出典'!$C$36*'契約別単価'!J5+'前提と出典'!$C$37*'契約別単価'!J6+'前提と出典'!$C$38*'契約別単価'!J7)</ns0:f>
        <ns0:v>8452.90075908602</ns0:v>
      </ns0:c>
      <ns0:c r="K90" s="16">
        <ns0:f>A90*('前提と出典'!$C$36*'契約別単価'!K5+'前提と出典'!$C$37*'契約別単価'!K6+'前提と出典'!$C$38*'契約別単価'!K7)</ns0:f>
        <ns0:v>36232.104283054</ns0:v>
      </ns0:c>
      <ns0:c r="L90" s="16">
        <ns0:f>A90*('前提と出典'!$C$36*'契約別単価'!L5+'前提と出典'!$C$37*'契約別単価'!L6+'前提と出典'!$C$38*'契約別単価'!L7)</ns0:f>
        <ns0:v>29500.30566239016</ns0:v>
      </ns0:c>
      <ns0:c r="M90" s="16">
        <ns0:f>IF(('前提と出典'!$C$36+'前提と出典'!$C$38)=0,0,IF(B90&lt;=10,'前提と出典'!B73+'前提と出典'!C73,IF(B90&lt;=100,'前提と出典'!B74+'前提と出典'!C74,IF(B90&lt;=500,'前提と出典'!B75+'前提と出典'!C75,'前提と出典'!B76+'前提と出典'!C76))))</ns0:f>
        <ns0:v>20000</ns0:v>
      </ns0:c>
      <ns0:c r="N90" s="16">
        <ns0:f>IF(('前提と出典'!$C$37+'前提と出典'!$C$38)=0,0,IF(C90&lt;=10,'前提と出典'!D73+'前提と出典'!E73,IF(C90&lt;=100,'前提と出典'!D74+'前提と出典'!E74,IF(C90&lt;=500,'前提と出典'!D75+'前提と出典'!E75,'前提と出典'!D76+'前提と出典'!E76))))</ns0:f>
        <ns0:v>34510.9346263078</ns0:v>
      </ns0:c>
      <ns0:c r="O90" s="16">
        <ns0:f>IF('前提と出典'!$C$36+'前提と出典'!$C$38=0,0,'前提と出典'!$B$4*IF('前提と出典'!$B$20=0,MAX('前提と出典'!$B$6,D90*'前提と出典'!$B$5),'前提と出典'!$B$6+D90*'前提と出典'!$B$5))</ns0:f>
        <ns0:v>85396.55865921787</ns0:v>
      </ns0:c>
      <ns0:c r="P90" s="16">
        <ns0:f>(E90+G90)*(1-'前提と出典'!$B$7)-I90-K90-M90-O90</ns0:f>
        <ns0:v>180177.81681242905</ns0:v>
      </ns0:c>
      <ns0:c r="Q90" s="16">
        <ns0:f>(F90+H90)*(1-'前提と出典'!$B$7)-J90-L90-N90</ns0:f>
        <ns0:v>47763.221557920406</ns0:v>
      </ns0:c>
      <ns0:c r="R90" s="16">
        <ns0:f>P90-E90*'前提と出典'!$E$4</ns0:f>
        <ns0:v>130256.244668734</ns0:v>
      </ns0:c>
      <ns0:c r="S90" s="16">
        <ns0:f>Q90-F90*'前提と出典'!$E$4</ns0:f>
        <ns0:v>28170.818181557064</ns0:v>
      </ns0:c>
      <ns0:c r="T90" s="7">
        <ns0:f>R90+S90</ns0:f>
        <ns0:v>158427.06285029105</ns0:v>
      </ns0:c>
      <ns0:c r="U90" s="16">
        <ns0:f>P90-E90*'前提と出典'!$E$5</ns0:f>
        <ns0:v>113615.72062083567</ns0:v>
      </ns0:c>
      <ns0:c r="V90" s="16">
        <ns0:f>Q90-F90*'前提と出典'!$E$5</ns0:f>
        <ns0:v>21640.01705610261</ns0:v>
      </ns0:c>
      <ns0:c r="W90" s="7">
        <ns0:f>U90+V90</ns0:f>
        <ns0:v>135255.73767693827</ns0:v>
      </ns0:c>
      <ns0:c r="X90" s="16">
        <ns0:f>P90-E90*'前提と出典'!$E$6</ns0:f>
        <ns0:v>96975.1965729373</ns0:v>
      </ns0:c>
      <ns0:c r="Y90" s="16">
        <ns0:f>Q90-F90*'前提と出典'!$E$6</ns0:f>
        <ns0:v>15109.215930648155</ns0:v>
      </ns0:c>
      <ns0:c r="Z90" s="7">
        <ns0:f>X90+Y90</ns0:f>
        <ns0:v>112084.41250358545</ns0:v>
      </ns0:c>
      <ns0:c r="AA90" s="7">
        <ns0:f>IF(T90&gt;=0,A90,1001)</ns0:f>
        <ns0:v>86</ns0:v>
      </ns0:c>
      <ns0:c r="AB90" s="7">
        <ns0:f>IF(T90&lt;0,A90,0)</ns0:f>
        <ns0:v>0</ns0:v>
      </ns0:c>
      <ns0:c r="AC90" s="16">
        <ns0:f>IF(AND(OR('前提と出典'!$C$36+'前提と出典'!$C$38=0,R90&gt;=0),OR('前提と出典'!$C$37+'前提と出典'!$C$38=0,S90&gt;=0)),0,A90)</ns0:f>
        <ns0:v>0</ns0:v>
      </ns0:c>
      <ns0:c r="AD90" s="7">
        <ns0:f>IF(W90&gt;=0,A90,1001)</ns0:f>
        <ns0:v>86</ns0:v>
      </ns0:c>
      <ns0:c r="AE90" s="7">
        <ns0:f>IF(W90&lt;0,A90,0)</ns0:f>
        <ns0:v>0</ns0:v>
      </ns0:c>
      <ns0:c r="AF90" s="16">
        <ns0:f>IF(AND(OR('前提と出典'!$C$36+'前提と出典'!$C$38=0,U90&gt;=0),OR('前提と出典'!$C$37+'前提と出典'!$C$38=0,V90&gt;=0)),0,A90)</ns0:f>
        <ns0:v>0</ns0:v>
      </ns0:c>
      <ns0:c r="AG90" s="7">
        <ns0:f>IF(Z90&gt;=0,A90,1001)</ns0:f>
        <ns0:v>86</ns0:v>
      </ns0:c>
      <ns0:c r="AH90" s="4">
        <ns0:f>IF(Z90&lt;0,A90,0)</ns0:f>
        <ns0:v>0</ns0:v>
      </ns0:c>
      <ns0:c r="AI90" s="12">
        <ns0:f>IF(AND(OR('前提と出典'!$C$36+'前提と出典'!$C$38=0,X90&gt;=0),OR('前提と出典'!$C$37+'前提と出典'!$C$38=0,Y90&gt;=0)),0,A90)</ns0:f>
        <ns0:v>0</ns0:v>
      </ns0:c>
    </ns0:row>
    <ns0:row r="91" ht="24" customHeight="1">
      <ns0:c r="A91" s="4" t="n">
        <ns0:v>87</ns0:v>
      </ns0:c>
      <ns0:c r="B91" s="12">
        <ns0:f>A91*('前提と出典'!$C$36+'前提と出典'!$C$38)</ns0:f>
        <ns0:v>60.9</ns0:v>
      </ns0:c>
      <ns0:c r="C91" s="12">
        <ns0:f>A91*('前提と出典'!$C$37+'前提と出典'!$C$38)</ns0:f>
        <ns0:v>52.199999999999996</ns0:v>
      </ns0:c>
      <ns0:c r="D91" s="16">
        <ns0:f>A91*('前提と出典'!$C$36*'契約別単価'!C5+'前提と出典'!$C$37*'契約別単価'!C6+'前提と出典'!$C$38*'契約別単価'!C7)</ns0:f>
        <ns0:v>626.0111731843575</ns0:v>
      </ns0:c>
      <ns0:c r="E91" s="16">
        <ns0:f>A91*('前提と出典'!$C$36*'契約別単価'!E5+'前提と出典'!$C$37*'契約別単価'!E6+'前提と出典'!$C$38*'契約別単価'!E7)</ns0:f>
        <ns0:v>168340.18513571584</ns0:v>
      </ns0:c>
      <ns0:c r="F91" s="16">
        <ns0:f>A91*('前提と出典'!$C$36*'契約別単価'!F5+'前提と出典'!$C$37*'契約別単価'!F6+'前提と出典'!$C$38*'契約別単価'!F7)</ns0:f>
        <ns0:v>66067.40673424848</ns0:v>
      </ns0:c>
      <ns0:c r="G91" s="16">
        <ns0:f>A91*('前提と出典'!$C$36*'契約別単価'!G5+'前提と出典'!$C$37*'契約別単価'!G6+'前提と出典'!$C$38*'契約別単価'!G7)</ns0:f>
        <ns0:v>173173.74301675978</ns0:v>
      </ns0:c>
      <ns0:c r="H91" s="16">
        <ns0:f>A91*('前提と出典'!$C$36*'契約別単価'!H5+'前提と出典'!$C$37*'契約別単価'!H6+'前提と出典'!$C$38*'契約別単価'!H7)</ns0:f>
        <ns0:v>60099.974172538656</ns0:v>
      </ns0:c>
      <ns0:c r="I91" s="16">
        <ns0:f>A91*('前提と出典'!$C$36*'契約別単価'!I5+'前提と出典'!$C$37*'契約別単価'!I6+'前提と出典'!$C$38*'契約別単価'!I7)</ns0:f>
        <ns0:v>3671.0111731843567</ns0:v>
      </ns0:c>
      <ns0:c r="J91" s="16">
        <ns0:f>A91*('前提と出典'!$C$36*'契約別単価'!J5+'前提と出典'!$C$37*'契約別単価'!J6+'前提と出典'!$C$38*'契約別単価'!J7)</ns0:f>
        <ns0:v>8551.190302796324</ns0:v>
      </ns0:c>
      <ns0:c r="K91" s="16">
        <ns0:f>A91*('前提と出典'!$C$36*'契約別単価'!K5+'前提と出典'!$C$37*'契約別単価'!K6+'前提と出典'!$C$38*'契約別単価'!K7)</ns0:f>
        <ns0:v>36653.40782122905</ns0:v>
      </ns0:c>
      <ns0:c r="L91" s="16">
        <ns0:f>A91*('前提と出典'!$C$36*'契約別単価'!L5+'前提と出典'!$C$37*'契約別単価'!L6+'前提と出典'!$C$38*'契約別単価'!L7)</ns0:f>
        <ns0:v>29843.332472417955</ns0:v>
      </ns0:c>
      <ns0:c r="M91" s="16">
        <ns0:f>IF(('前提と出典'!$C$36+'前提と出典'!$C$38)=0,0,IF(B91&lt;=10,'前提と出典'!B73+'前提と出典'!C73,IF(B91&lt;=100,'前提と出典'!B74+'前提と出典'!C74,IF(B91&lt;=500,'前提と出典'!B75+'前提と出典'!C75,'前提と出典'!B76+'前提と出典'!C76))))</ns0:f>
        <ns0:v>20000</ns0:v>
      </ns0:c>
      <ns0:c r="N91" s="16">
        <ns0:f>IF(('前提と出典'!$C$37+'前提と出典'!$C$38)=0,0,IF(C91&lt;=10,'前提と出典'!D73+'前提と出典'!E73,IF(C91&lt;=100,'前提と出典'!D74+'前提と出典'!E74,IF(C91&lt;=500,'前提と出典'!D75+'前提と出典'!E75,'前提と出典'!D76+'前提と出典'!E76))))</ns0:f>
        <ns0:v>34510.9346263078</ns0:v>
      </ns0:c>
      <ns0:c r="O91" s="16">
        <ns0:f>IF('前提と出典'!$C$36+'前提と出典'!$C$38=0,0,'前提と出典'!$B$4*IF('前提と出典'!$B$20=0,MAX('前提と出典'!$B$6,D91*'前提と出典'!$B$5),'前提と出典'!$B$6+D91*'前提と出典'!$B$5))</ns0:f>
        <ns0:v>86389.54189944135</ns0:v>
      </ns0:c>
      <ns0:c r="P91" s="16">
        <ns0:f>(E91+G91)*(1-'前提と出典'!$B$7)-I91-K91-M91-O91</ns0:f>
        <ns0:v>182505.46584513175</ns0:v>
      </ns0:c>
      <ns0:c r="Q91" s="16">
        <ns0:f>(F91+H91)*(1-'前提と出典'!$B$7)-J91-L91-N91</ns0:f>
        <ns0:v>48719.89779262073</ns0:v>
      </ns0:c>
      <ns0:c r="R91" s="16">
        <ns0:f>P91-E91*'前提と出典'!$E$4</ns0:f>
        <ns0:v>132003.41030441696</ns0:v>
      </ns0:c>
      <ns0:c r="S91" s="16">
        <ns0:f>Q91-F91*'前提と出典'!$E$4</ns0:f>
        <ns0:v>28899.675772346185</ns0:v>
      </ns0:c>
      <ns0:c r="T91" s="7">
        <ns0:f>R91+S91</ns0:f>
        <ns0:v>160903.08607676314</ns0:v>
      </ns0:c>
      <ns0:c r="U91" s="16">
        <ns0:f>P91-E91*'前提と出典'!$E$5</ns0:f>
        <ns0:v>115169.39179084542</ns0:v>
      </ns0:c>
      <ns0:c r="V91" s="16">
        <ns0:f>Q91-F91*'前提と出典'!$E$5</ns0:f>
        <ns0:v>22292.935098921334</ns0:v>
      </ns0:c>
      <ns0:c r="W91" s="7">
        <ns0:f>U91+V91</ns0:f>
        <ns0:v>137462.32688976676</ns0:v>
      </ns0:c>
      <ns0:c r="X91" s="16">
        <ns0:f>P91-E91*'前提と出典'!$E$6</ns0:f>
        <ns0:v>98335.37327727383</ns0:v>
      </ns0:c>
      <ns0:c r="Y91" s="16">
        <ns0:f>Q91-F91*'前提と出典'!$E$6</ns0:f>
        <ns0:v>15686.194425496484</ns0:v>
      </ns0:c>
      <ns0:c r="Z91" s="7">
        <ns0:f>X91+Y91</ns0:f>
        <ns0:v>114021.56770277032</ns0:v>
      </ns0:c>
      <ns0:c r="AA91" s="7">
        <ns0:f>IF(T91&gt;=0,A91,1001)</ns0:f>
        <ns0:v>87</ns0:v>
      </ns0:c>
      <ns0:c r="AB91" s="7">
        <ns0:f>IF(T91&lt;0,A91,0)</ns0:f>
        <ns0:v>0</ns0:v>
      </ns0:c>
      <ns0:c r="AC91" s="16">
        <ns0:f>IF(AND(OR('前提と出典'!$C$36+'前提と出典'!$C$38=0,R91&gt;=0),OR('前提と出典'!$C$37+'前提と出典'!$C$38=0,S91&gt;=0)),0,A91)</ns0:f>
        <ns0:v>0</ns0:v>
      </ns0:c>
      <ns0:c r="AD91" s="7">
        <ns0:f>IF(W91&gt;=0,A91,1001)</ns0:f>
        <ns0:v>87</ns0:v>
      </ns0:c>
      <ns0:c r="AE91" s="7">
        <ns0:f>IF(W91&lt;0,A91,0)</ns0:f>
        <ns0:v>0</ns0:v>
      </ns0:c>
      <ns0:c r="AF91" s="16">
        <ns0:f>IF(AND(OR('前提と出典'!$C$36+'前提と出典'!$C$38=0,U91&gt;=0),OR('前提と出典'!$C$37+'前提と出典'!$C$38=0,V91&gt;=0)),0,A91)</ns0:f>
        <ns0:v>0</ns0:v>
      </ns0:c>
      <ns0:c r="AG91" s="7">
        <ns0:f>IF(Z91&gt;=0,A91,1001)</ns0:f>
        <ns0:v>87</ns0:v>
      </ns0:c>
      <ns0:c r="AH91" s="4">
        <ns0:f>IF(Z91&lt;0,A91,0)</ns0:f>
        <ns0:v>0</ns0:v>
      </ns0:c>
      <ns0:c r="AI91" s="12">
        <ns0:f>IF(AND(OR('前提と出典'!$C$36+'前提と出典'!$C$38=0,X91&gt;=0),OR('前提と出典'!$C$37+'前提と出典'!$C$38=0,Y91&gt;=0)),0,A91)</ns0:f>
        <ns0:v>0</ns0:v>
      </ns0:c>
    </ns0:row>
    <ns0:row r="92" ht="24" customHeight="1">
      <ns0:c r="A92" s="4" t="n">
        <ns0:v>88</ns0:v>
      </ns0:c>
      <ns0:c r="B92" s="12">
        <ns0:f>A92*('前提と出典'!$C$36+'前提と出典'!$C$38)</ns0:f>
        <ns0:v>61.599999999999994</ns0:v>
      </ns0:c>
      <ns0:c r="C92" s="12">
        <ns0:f>A92*('前提と出典'!$C$37+'前提と出典'!$C$38)</ns0:f>
        <ns0:v>52.8</ns0:v>
      </ns0:c>
      <ns0:c r="D92" s="16">
        <ns0:f>A92*('前提と出典'!$C$36*'契約別単価'!C5+'前提と出典'!$C$37*'契約別単価'!C6+'前提と出典'!$C$38*'契約別単価'!C7)</ns0:f>
        <ns0:v>633.2067039106146</ns0:v>
      </ns0:c>
      <ns0:c r="E92" s="16">
        <ns0:f>A92*('前提と出典'!$C$36*'契約別単価'!E5+'前提と出典'!$C$37*'契約別単価'!E6+'前提と出典'!$C$38*'契約別単価'!E7)</ns0:f>
        <ns0:v>170275.1297924482</ns0:v>
      </ns0:c>
      <ns0:c r="F92" s="16">
        <ns0:f>A92*('前提と出典'!$C$36*'契約別単価'!F5+'前提と出典'!$C$37*'契約別単価'!F6+'前提と出典'!$C$38*'契約別単価'!F7)</ns0:f>
        <ns0:v>66826.80221395248</ns0:v>
      </ns0:c>
      <ns0:c r="G92" s="16">
        <ns0:f>A92*('前提と出典'!$C$36*'契約別単価'!G5+'前提と出典'!$C$37*'契約別単価'!G6+'前提と出典'!$C$38*'契約別単価'!G7)</ns0:f>
        <ns0:v>175164.24581005587</ns0:v>
      </ns0:c>
      <ns0:c r="H92" s="16">
        <ns0:f>A92*('前提と出典'!$C$36*'契約別単価'!H5+'前提と出典'!$C$37*'契約別単価'!H6+'前提と出典'!$C$38*'契約別単価'!H7)</ns0:f>
        <ns0:v>60790.77847337244</ns0:v>
      </ns0:c>
      <ns0:c r="I92" s="16">
        <ns0:f>A92*('前提と出典'!$C$36*'契約別単価'!I5+'前提と出典'!$C$37*'契約別単価'!I6+'前提と出典'!$C$38*'契約別単価'!I7)</ns0:f>
        <ns0:v>3713.206703910614</ns0:v>
      </ns0:c>
      <ns0:c r="J92" s="16">
        <ns0:f>A92*('前提と出典'!$C$36*'契約別単価'!J5+'前提と出典'!$C$37*'契約別単価'!J6+'前提と出典'!$C$38*'契約別単価'!J7)</ns0:f>
        <ns0:v>8649.479846506625</ns0:v>
      </ns0:c>
      <ns0:c r="K92" s="16">
        <ns0:f>A92*('前提と出典'!$C$36*'契約別単価'!K5+'前提と出典'!$C$37*'契約別単価'!K6+'前提と出典'!$C$38*'契約別単価'!K7)</ns0:f>
        <ns0:v>37074.71135940409</ns0:v>
      </ns0:c>
      <ns0:c r="L92" s="16">
        <ns0:f>A92*('前提と出典'!$C$36*'契約別単価'!L5+'前提と出典'!$C$37*'契約別単価'!L6+'前提と出典'!$C$38*'契約別単価'!L7)</ns0:f>
        <ns0:v>30186.35928244575</ns0:v>
      </ns0:c>
      <ns0:c r="M92" s="16">
        <ns0:f>IF(('前提と出典'!$C$36+'前提と出典'!$C$38)=0,0,IF(B92&lt;=10,'前提と出典'!B73+'前提と出典'!C73,IF(B92&lt;=100,'前提と出典'!B74+'前提と出典'!C74,IF(B92&lt;=500,'前提と出典'!B75+'前提と出典'!C75,'前提と出典'!B76+'前提と出典'!C76))))</ns0:f>
        <ns0:v>20000</ns0:v>
      </ns0:c>
      <ns0:c r="N92" s="16">
        <ns0:f>IF(('前提と出典'!$C$37+'前提と出典'!$C$38)=0,0,IF(C92&lt;=10,'前提と出典'!D73+'前提と出典'!E73,IF(C92&lt;=100,'前提と出典'!D74+'前提と出典'!E74,IF(C92&lt;=500,'前提と出典'!D75+'前提と出典'!E75,'前提と出典'!D76+'前提と出典'!E76))))</ns0:f>
        <ns0:v>34510.9346263078</ns0:v>
      </ns0:c>
      <ns0:c r="O92" s="16">
        <ns0:f>IF('前提と出典'!$C$36+'前提と出典'!$C$38=0,0,'前提と出典'!$B$4*IF('前提と出典'!$B$20=0,MAX('前提と出典'!$B$6,D92*'前提と出典'!$B$5),'前提と出典'!$B$6+D92*'前提と出典'!$B$5))</ns0:f>
        <ns0:v>87382.52513966482</ns0:v>
      </ns0:c>
      <ns0:c r="P92" s="16">
        <ns0:f>(E92+G92)*(1-'前提と出典'!$B$7)-I92-K92-M92-O92</ns0:f>
        <ns0:v>184833.11487783436</ns0:v>
      </ns0:c>
      <ns0:c r="Q92" s="16">
        <ns0:f>(F92+H92)*(1-'前提と出典'!$B$7)-J92-L92-N92</ns0:f>
        <ns0:v>49676.57402732107</ns0:v>
      </ns0:c>
      <ns0:c r="R92" s="16">
        <ns0:f>P92-E92*'前提と出典'!$E$4</ns0:f>
        <ns0:v>133750.57594009995</ns0:v>
      </ns0:c>
      <ns0:c r="S92" s="16">
        <ns0:f>Q92-F92*'前提と出典'!$E$4</ns0:f>
        <ns0:v>29628.53336313532</ns0:v>
      </ns0:c>
      <ns0:c r="T92" s="7">
        <ns0:f>R92+S92</ns0:f>
        <ns0:v>163379.10930323528</ns0:v>
      </ns0:c>
      <ns0:c r="U92" s="16">
        <ns0:f>P92-E92*'前提と出典'!$E$5</ns0:f>
        <ns0:v>116723.06296085508</ns0:v>
      </ns0:c>
      <ns0:c r="V92" s="16">
        <ns0:f>Q92-F92*'前提と出典'!$E$5</ns0:f>
        <ns0:v>22945.853141740074</ns0:v>
      </ns0:c>
      <ns0:c r="W92" s="7">
        <ns0:f>U92+V92</ns0:f>
        <ns0:v>139668.91610259516</ns0:v>
      </ns0:c>
      <ns0:c r="X92" s="16">
        <ns0:f>P92-E92*'前提と出典'!$E$6</ns0:f>
        <ns0:v>99695.5499816103</ns0:v>
      </ns0:c>
      <ns0:c r="Y92" s="16">
        <ns0:f>Q92-F92*'前提と出典'!$E$6</ns0:f>
        <ns0:v>16263.172920344827</ns0:v>
      </ns0:c>
      <ns0:c r="Z92" s="7">
        <ns0:f>X92+Y92</ns0:f>
        <ns0:v>115958.72290195513</ns0:v>
      </ns0:c>
      <ns0:c r="AA92" s="7">
        <ns0:f>IF(T92&gt;=0,A92,1001)</ns0:f>
        <ns0:v>88</ns0:v>
      </ns0:c>
      <ns0:c r="AB92" s="7">
        <ns0:f>IF(T92&lt;0,A92,0)</ns0:f>
        <ns0:v>0</ns0:v>
      </ns0:c>
      <ns0:c r="AC92" s="16">
        <ns0:f>IF(AND(OR('前提と出典'!$C$36+'前提と出典'!$C$38=0,R92&gt;=0),OR('前提と出典'!$C$37+'前提と出典'!$C$38=0,S92&gt;=0)),0,A92)</ns0:f>
        <ns0:v>0</ns0:v>
      </ns0:c>
      <ns0:c r="AD92" s="7">
        <ns0:f>IF(W92&gt;=0,A92,1001)</ns0:f>
        <ns0:v>88</ns0:v>
      </ns0:c>
      <ns0:c r="AE92" s="7">
        <ns0:f>IF(W92&lt;0,A92,0)</ns0:f>
        <ns0:v>0</ns0:v>
      </ns0:c>
      <ns0:c r="AF92" s="16">
        <ns0:f>IF(AND(OR('前提と出典'!$C$36+'前提と出典'!$C$38=0,U92&gt;=0),OR('前提と出典'!$C$37+'前提と出典'!$C$38=0,V92&gt;=0)),0,A92)</ns0:f>
        <ns0:v>0</ns0:v>
      </ns0:c>
      <ns0:c r="AG92" s="7">
        <ns0:f>IF(Z92&gt;=0,A92,1001)</ns0:f>
        <ns0:v>88</ns0:v>
      </ns0:c>
      <ns0:c r="AH92" s="4">
        <ns0:f>IF(Z92&lt;0,A92,0)</ns0:f>
        <ns0:v>0</ns0:v>
      </ns0:c>
      <ns0:c r="AI92" s="12">
        <ns0:f>IF(AND(OR('前提と出典'!$C$36+'前提と出典'!$C$38=0,X92&gt;=0),OR('前提と出典'!$C$37+'前提と出典'!$C$38=0,Y92&gt;=0)),0,A92)</ns0:f>
        <ns0:v>0</ns0:v>
      </ns0:c>
    </ns0:row>
    <ns0:row r="93" ht="24" customHeight="1">
      <ns0:c r="A93" s="4" t="n">
        <ns0:v>89</ns0:v>
      </ns0:c>
      <ns0:c r="B93" s="12">
        <ns0:f>A93*('前提と出典'!$C$36+'前提と出典'!$C$38)</ns0:f>
        <ns0:v>62.3</ns0:v>
      </ns0:c>
      <ns0:c r="C93" s="12">
        <ns0:f>A93*('前提と出典'!$C$37+'前提と出典'!$C$38)</ns0:f>
        <ns0:v>53.4</ns0:v>
      </ns0:c>
      <ns0:c r="D93" s="16">
        <ns0:f>A93*('前提と出典'!$C$36*'契約別単価'!C5+'前提と出典'!$C$37*'契約別単価'!C6+'前提と出典'!$C$38*'契約別単価'!C7)</ns0:f>
        <ns0:v>640.4022346368715</ns0:v>
      </ns0:c>
      <ns0:c r="E93" s="16">
        <ns0:f>A93*('前提と出典'!$C$36*'契約別単価'!E5+'前提と出典'!$C$37*'契約別単価'!E6+'前提と出典'!$C$38*'契約別単価'!E7)</ns0:f>
        <ns0:v>172210.07444918057</ns0:v>
      </ns0:c>
      <ns0:c r="F93" s="16">
        <ns0:f>A93*('前提と出典'!$C$36*'契約別単価'!F5+'前提と出典'!$C$37*'契約別単価'!F6+'前提と出典'!$C$38*'契約別単価'!F7)</ns0:f>
        <ns0:v>67586.19769365649</ns0:v>
      </ns0:c>
      <ns0:c r="G93" s="16">
        <ns0:f>A93*('前提と出典'!$C$36*'契約別単価'!G5+'前提と出典'!$C$37*'契約別単価'!G6+'前提と出典'!$C$38*'契約別単価'!G7)</ns0:f>
        <ns0:v>177154.74860335194</ns0:v>
      </ns0:c>
      <ns0:c r="H93" s="16">
        <ns0:f>A93*('前提と出典'!$C$36*'契約別単価'!H5+'前提と出典'!$C$37*'契約別単価'!H6+'前提と出典'!$C$38*'契約別単価'!H7)</ns0:f>
        <ns0:v>61481.58277420622</ns0:v>
      </ns0:c>
      <ns0:c r="I93" s="16">
        <ns0:f>A93*('前提と出典'!$C$36*'契約別単価'!I5+'前提と出典'!$C$37*'契約別単価'!I6+'前提と出典'!$C$38*'契約別単価'!I7)</ns0:f>
        <ns0:v>3755.402234636871</ns0:v>
      </ns0:c>
      <ns0:c r="J93" s="16">
        <ns0:f>A93*('前提と出典'!$C$36*'契約別単価'!J5+'前提と出典'!$C$37*'契約別単価'!J6+'前提と出典'!$C$38*'契約別単価'!J7)</ns0:f>
        <ns0:v>8747.769390216929</ns0:v>
      </ns0:c>
      <ns0:c r="K93" s="16">
        <ns0:f>A93*('前提と出典'!$C$36*'契約別単価'!K5+'前提と出典'!$C$37*'契約別単価'!K6+'前提と出典'!$C$38*'契約別単価'!K7)</ns0:f>
        <ns0:v>37496.01489757914</ns0:v>
      </ns0:c>
      <ns0:c r="L93" s="16">
        <ns0:f>A93*('前提と出典'!$C$36*'契約別単価'!L5+'前提と出典'!$C$37*'契約別単価'!L6+'前提と出典'!$C$38*'契約別単価'!L7)</ns0:f>
        <ns0:v>30529.386092473538</ns0:v>
      </ns0:c>
      <ns0:c r="M93" s="16">
        <ns0:f>IF(('前提と出典'!$C$36+'前提と出典'!$C$38)=0,0,IF(B93&lt;=10,'前提と出典'!B73+'前提と出典'!C73,IF(B93&lt;=100,'前提と出典'!B74+'前提と出典'!C74,IF(B93&lt;=500,'前提と出典'!B75+'前提と出典'!C75,'前提と出典'!B76+'前提と出典'!C76))))</ns0:f>
        <ns0:v>20000</ns0:v>
      </ns0:c>
      <ns0:c r="N93" s="16">
        <ns0:f>IF(('前提と出典'!$C$37+'前提と出典'!$C$38)=0,0,IF(C93&lt;=10,'前提と出典'!D73+'前提と出典'!E73,IF(C93&lt;=100,'前提と出典'!D74+'前提と出典'!E74,IF(C93&lt;=500,'前提と出典'!D75+'前提と出典'!E75,'前提と出典'!D76+'前提と出典'!E76))))</ns0:f>
        <ns0:v>34510.9346263078</ns0:v>
      </ns0:c>
      <ns0:c r="O93" s="16">
        <ns0:f>IF('前提と出典'!$C$36+'前提と出典'!$C$38=0,0,'前提と出典'!$B$4*IF('前提と出典'!$B$20=0,MAX('前提と出典'!$B$6,D93*'前提と出典'!$B$5),'前提と出典'!$B$6+D93*'前提と出典'!$B$5))</ns0:f>
        <ns0:v>88375.50837988828</ns0:v>
      </ns0:c>
      <ns0:c r="P93" s="16">
        <ns0:f>(E93+G93)*(1-'前提と出典'!$B$7)-I93-K93-M93-O93</ns0:f>
        <ns0:v>187160.76391053706</ns0:v>
      </ns0:c>
      <ns0:c r="Q93" s="16">
        <ns0:f>(F93+H93)*(1-'前提と出典'!$B$7)-J93-L93-N93</ns0:f>
        <ns0:v>50633.25026202138</ns0:v>
      </ns0:c>
      <ns0:c r="R93" s="16">
        <ns0:f>P93-E93*'前提と出典'!$E$4</ns0:f>
        <ns0:v>135497.74157578286</ns0:v>
      </ns0:c>
      <ns0:c r="S93" s="16">
        <ns0:f>Q93-F93*'前提と出典'!$E$4</ns0:f>
        <ns0:v>30357.39095392444</ns0:v>
      </ns0:c>
      <ns0:c r="T93" s="7">
        <ns0:f>R93+S93</ns0:f>
        <ns0:v>165855.1325297073</ns0:v>
      </ns0:c>
      <ns0:c r="U93" s="16">
        <ns0:f>P93-E93*'前提と出典'!$E$5</ns0:f>
        <ns0:v>118276.73413086482</ns0:v>
      </ns0:c>
      <ns0:c r="V93" s="16">
        <ns0:f>Q93-F93*'前提と出典'!$E$5</ns0:f>
        <ns0:v>23598.771184558784</ns0:v>
      </ns0:c>
      <ns0:c r="W93" s="7">
        <ns0:f>U93+V93</ns0:f>
        <ns0:v>141875.5053154236</ns0:v>
      </ns0:c>
      <ns0:c r="X93" s="16">
        <ns0:f>P93-E93*'前提と出典'!$E$6</ns0:f>
        <ns0:v>101055.72668594672</ns0:v>
      </ns0:c>
      <ns0:c r="Y93" s="16">
        <ns0:f>Q93-F93*'前提と出典'!$E$6</ns0:f>
        <ns0:v>16840.15141519314</ns0:v>
      </ns0:c>
      <ns0:c r="Z93" s="7">
        <ns0:f>X93+Y93</ns0:f>
        <ns0:v>117895.87810113985</ns0:v>
      </ns0:c>
      <ns0:c r="AA93" s="7">
        <ns0:f>IF(T93&gt;=0,A93,1001)</ns0:f>
        <ns0:v>89</ns0:v>
      </ns0:c>
      <ns0:c r="AB93" s="7">
        <ns0:f>IF(T93&lt;0,A93,0)</ns0:f>
        <ns0:v>0</ns0:v>
      </ns0:c>
      <ns0:c r="AC93" s="16">
        <ns0:f>IF(AND(OR('前提と出典'!$C$36+'前提と出典'!$C$38=0,R93&gt;=0),OR('前提と出典'!$C$37+'前提と出典'!$C$38=0,S93&gt;=0)),0,A93)</ns0:f>
        <ns0:v>0</ns0:v>
      </ns0:c>
      <ns0:c r="AD93" s="7">
        <ns0:f>IF(W93&gt;=0,A93,1001)</ns0:f>
        <ns0:v>89</ns0:v>
      </ns0:c>
      <ns0:c r="AE93" s="7">
        <ns0:f>IF(W93&lt;0,A93,0)</ns0:f>
        <ns0:v>0</ns0:v>
      </ns0:c>
      <ns0:c r="AF93" s="16">
        <ns0:f>IF(AND(OR('前提と出典'!$C$36+'前提と出典'!$C$38=0,U93&gt;=0),OR('前提と出典'!$C$37+'前提と出典'!$C$38=0,V93&gt;=0)),0,A93)</ns0:f>
        <ns0:v>0</ns0:v>
      </ns0:c>
      <ns0:c r="AG93" s="7">
        <ns0:f>IF(Z93&gt;=0,A93,1001)</ns0:f>
        <ns0:v>89</ns0:v>
      </ns0:c>
      <ns0:c r="AH93" s="4">
        <ns0:f>IF(Z93&lt;0,A93,0)</ns0:f>
        <ns0:v>0</ns0:v>
      </ns0:c>
      <ns0:c r="AI93" s="12">
        <ns0:f>IF(AND(OR('前提と出典'!$C$36+'前提と出典'!$C$38=0,X93&gt;=0),OR('前提と出典'!$C$37+'前提と出典'!$C$38=0,Y93&gt;=0)),0,A93)</ns0:f>
        <ns0:v>0</ns0:v>
      </ns0:c>
    </ns0:row>
    <ns0:row r="94" ht="24" customHeight="1">
      <ns0:c r="A94" s="4" t="n">
        <ns0:v>90</ns0:v>
      </ns0:c>
      <ns0:c r="B94" s="12">
        <ns0:f>A94*('前提と出典'!$C$36+'前提と出典'!$C$38)</ns0:f>
        <ns0:v>62.99999999999999</ns0:v>
      </ns0:c>
      <ns0:c r="C94" s="12">
        <ns0:f>A94*('前提と出典'!$C$37+'前提と出典'!$C$38)</ns0:f>
        <ns0:v>54</ns0:v>
      </ns0:c>
      <ns0:c r="D94" s="16">
        <ns0:f>A94*('前提と出典'!$C$36*'契約別単価'!C5+'前提と出典'!$C$37*'契約別単価'!C6+'前提と出典'!$C$38*'契約別単価'!C7)</ns0:f>
        <ns0:v>647.5977653631285</ns0:v>
      </ns0:c>
      <ns0:c r="E94" s="16">
        <ns0:f>A94*('前提と出典'!$C$36*'契約別単価'!E5+'前提と出典'!$C$37*'契約別単価'!E6+'前提と出典'!$C$38*'契約別単価'!E7)</ns0:f>
        <ns0:v>174145.01910591294</ns0:v>
      </ns0:c>
      <ns0:c r="F94" s="16">
        <ns0:f>A94*('前提と出典'!$C$36*'契約別単価'!F5+'前提と出典'!$C$37*'契約別単価'!F6+'前提と出典'!$C$38*'契約別単価'!F7)</ns0:f>
        <ns0:v>68345.5931733605</ns0:v>
      </ns0:c>
      <ns0:c r="G94" s="16">
        <ns0:f>A94*('前提と出典'!$C$36*'契約別単価'!G5+'前提と出典'!$C$37*'契約別単価'!G6+'前提と出典'!$C$38*'契約別単価'!G7)</ns0:f>
        <ns0:v>179145.25139664803</ns0:v>
      </ns0:c>
      <ns0:c r="H94" s="16">
        <ns0:f>A94*('前提と出典'!$C$36*'契約別単価'!H5+'前提と出典'!$C$37*'契約別単価'!H6+'前提と出典'!$C$38*'契約別単価'!H7)</ns0:f>
        <ns0:v>62172.387075039995</ns0:v>
      </ns0:c>
      <ns0:c r="I94" s="16">
        <ns0:f>A94*('前提と出典'!$C$36*'契約別単価'!I5+'前提と出典'!$C$37*'契約別単価'!I6+'前提と出典'!$C$38*'契約別単価'!I7)</ns0:f>
        <ns0:v>3797.597765363128</ns0:v>
      </ns0:c>
      <ns0:c r="J94" s="16">
        <ns0:f>A94*('前提と出典'!$C$36*'契約別単価'!J5+'前提と出典'!$C$37*'契約別単価'!J6+'前提と出典'!$C$38*'契約別単価'!J7)</ns0:f>
        <ns0:v>8846.058933927232</ns0:v>
      </ns0:c>
      <ns0:c r="K94" s="16">
        <ns0:f>A94*('前提と出典'!$C$36*'契約別単価'!K5+'前提と出典'!$C$37*'契約別単価'!K6+'前提と出典'!$C$38*'契約別単価'!K7)</ns0:f>
        <ns0:v>37917.31843575419</ns0:v>
      </ns0:c>
      <ns0:c r="L94" s="16">
        <ns0:f>A94*('前提と出典'!$C$36*'契約別単価'!L5+'前提と出典'!$C$37*'契約別単価'!L6+'前提と出典'!$C$38*'契約別単価'!L7)</ns0:f>
        <ns0:v>30872.41290250133</ns0:v>
      </ns0:c>
      <ns0:c r="M94" s="16">
        <ns0:f>IF(('前提と出典'!$C$36+'前提と出典'!$C$38)=0,0,IF(B94&lt;=10,'前提と出典'!B73+'前提と出典'!C73,IF(B94&lt;=100,'前提と出典'!B74+'前提と出典'!C74,IF(B94&lt;=500,'前提と出典'!B75+'前提と出典'!C75,'前提と出典'!B76+'前提と出典'!C76))))</ns0:f>
        <ns0:v>20000</ns0:v>
      </ns0:c>
      <ns0:c r="N94" s="16">
        <ns0:f>IF(('前提と出典'!$C$37+'前提と出典'!$C$38)=0,0,IF(C94&lt;=10,'前提と出典'!D73+'前提と出典'!E73,IF(C94&lt;=100,'前提と出典'!D74+'前提と出典'!E74,IF(C94&lt;=500,'前提と出典'!D75+'前提と出典'!E75,'前提と出典'!D76+'前提と出典'!E76))))</ns0:f>
        <ns0:v>34510.9346263078</ns0:v>
      </ns0:c>
      <ns0:c r="O94" s="16">
        <ns0:f>IF('前提と出典'!$C$36+'前提と出典'!$C$38=0,0,'前提と出典'!$B$4*IF('前提と出典'!$B$20=0,MAX('前提と出典'!$B$6,D94*'前提と出典'!$B$5),'前提と出典'!$B$6+D94*'前提と出典'!$B$5))</ns0:f>
        <ns0:v>89368.49162011174</ns0:v>
      </ns0:c>
      <ns0:c r="P94" s="16">
        <ns0:f>(E94+G94)*(1-'前提と出典'!$B$7)-I94-K94-M94-O94</ns0:f>
        <ns0:v>189488.41294323976</ns0:v>
      </ns0:c>
      <ns0:c r="Q94" s="16">
        <ns0:f>(F94+H94)*(1-'前提と出典'!$B$7)-J94-L94-N94</ns0:f>
        <ns0:v>51589.92649672172</ns0:v>
      </ns0:c>
      <ns0:c r="R94" s="16">
        <ns0:f>P94-E94*'前提と出典'!$E$4</ns0:f>
        <ns0:v>137244.90721146585</ns0:v>
      </ns0:c>
      <ns0:c r="S94" s="16">
        <ns0:f>Q94-F94*'前提と出典'!$E$4</ns0:f>
        <ns0:v>31086.248544713577</ns0:v>
      </ns0:c>
      <ns0:c r="T94" s="7">
        <ns0:f>R94+S94</ns0:f>
        <ns0:v>168331.15575617942</ns0:v>
      </ns0:c>
      <ns0:c r="U94" s="16">
        <ns0:f>P94-E94*'前提と出典'!$E$5</ns0:f>
        <ns0:v>119830.40530087458</ns0:v>
      </ns0:c>
      <ns0:c r="V94" s="16">
        <ns0:f>Q94-F94*'前提と出典'!$E$5</ns0:f>
        <ns0:v>24251.689227377516</ns0:v>
      </ns0:c>
      <ns0:c r="W94" s="7">
        <ns0:f>U94+V94</ns0:f>
        <ns0:v>144082.09452825208</ns0:v>
      </ns0:c>
      <ns0:c r="X94" s="16">
        <ns0:f>P94-E94*'前提と出典'!$E$6</ns0:f>
        <ns0:v>102415.90339028329</ns0:v>
      </ns0:c>
      <ns0:c r="Y94" s="16">
        <ns0:f>Q94-F94*'前提と出典'!$E$6</ns0:f>
        <ns0:v>17417.129910041476</ns0:v>
      </ns0:c>
      <ns0:c r="Z94" s="7">
        <ns0:f>X94+Y94</ns0:f>
        <ns0:v>119833.03330032477</ns0:v>
      </ns0:c>
      <ns0:c r="AA94" s="7">
        <ns0:f>IF(T94&gt;=0,A94,1001)</ns0:f>
        <ns0:v>90</ns0:v>
      </ns0:c>
      <ns0:c r="AB94" s="7">
        <ns0:f>IF(T94&lt;0,A94,0)</ns0:f>
        <ns0:v>0</ns0:v>
      </ns0:c>
      <ns0:c r="AC94" s="16">
        <ns0:f>IF(AND(OR('前提と出典'!$C$36+'前提と出典'!$C$38=0,R94&gt;=0),OR('前提と出典'!$C$37+'前提と出典'!$C$38=0,S94&gt;=0)),0,A94)</ns0:f>
        <ns0:v>0</ns0:v>
      </ns0:c>
      <ns0:c r="AD94" s="7">
        <ns0:f>IF(W94&gt;=0,A94,1001)</ns0:f>
        <ns0:v>90</ns0:v>
      </ns0:c>
      <ns0:c r="AE94" s="7">
        <ns0:f>IF(W94&lt;0,A94,0)</ns0:f>
        <ns0:v>0</ns0:v>
      </ns0:c>
      <ns0:c r="AF94" s="16">
        <ns0:f>IF(AND(OR('前提と出典'!$C$36+'前提と出典'!$C$38=0,U94&gt;=0),OR('前提と出典'!$C$37+'前提と出典'!$C$38=0,V94&gt;=0)),0,A94)</ns0:f>
        <ns0:v>0</ns0:v>
      </ns0:c>
      <ns0:c r="AG94" s="7">
        <ns0:f>IF(Z94&gt;=0,A94,1001)</ns0:f>
        <ns0:v>90</ns0:v>
      </ns0:c>
      <ns0:c r="AH94" s="4">
        <ns0:f>IF(Z94&lt;0,A94,0)</ns0:f>
        <ns0:v>0</ns0:v>
      </ns0:c>
      <ns0:c r="AI94" s="12">
        <ns0:f>IF(AND(OR('前提と出典'!$C$36+'前提と出典'!$C$38=0,X94&gt;=0),OR('前提と出典'!$C$37+'前提と出典'!$C$38=0,Y94&gt;=0)),0,A94)</ns0:f>
        <ns0:v>0</ns0:v>
      </ns0:c>
    </ns0:row>
    <ns0:row r="95" ht="24" customHeight="1">
      <ns0:c r="A95" s="4" t="n">
        <ns0:v>91</ns0:v>
      </ns0:c>
      <ns0:c r="B95" s="12">
        <ns0:f>A95*('前提と出典'!$C$36+'前提と出典'!$C$38)</ns0:f>
        <ns0:v>63.699999999999996</ns0:v>
      </ns0:c>
      <ns0:c r="C95" s="12">
        <ns0:f>A95*('前提と出典'!$C$37+'前提と出典'!$C$38)</ns0:f>
        <ns0:v>54.6</ns0:v>
      </ns0:c>
      <ns0:c r="D95" s="16">
        <ns0:f>A95*('前提と出典'!$C$36*'契約別単価'!C5+'前提と出典'!$C$37*'契約別単価'!C6+'前提と出典'!$C$38*'契約別単価'!C7)</ns0:f>
        <ns0:v>654.7932960893854</ns0:v>
      </ns0:c>
      <ns0:c r="E95" s="16">
        <ns0:f>A95*('前提と出典'!$C$36*'契約別単価'!E5+'前提と出典'!$C$37*'契約別単価'!E6+'前提と出典'!$C$38*'契約別単価'!E7)</ns0:f>
        <ns0:v>176079.9637626453</ns0:v>
      </ns0:c>
      <ns0:c r="F95" s="16">
        <ns0:f>A95*('前提と出典'!$C$36*'契約別単価'!F5+'前提と出典'!$C$37*'契約別単価'!F6+'前提と出典'!$C$38*'契約別単価'!F7)</ns0:f>
        <ns0:v>69104.9886530645</ns0:v>
      </ns0:c>
      <ns0:c r="G95" s="16">
        <ns0:f>A95*('前提と出典'!$C$36*'契約別単価'!G5+'前提と出典'!$C$37*'契約別単価'!G6+'前提と出典'!$C$38*'契約別単価'!G7)</ns0:f>
        <ns0:v>181135.75418994413</ns0:v>
      </ns0:c>
      <ns0:c r="H95" s="16">
        <ns0:f>A95*('前提と出典'!$C$36*'契約別単価'!H5+'前提と出典'!$C$37*'契約別単価'!H6+'前提と出典'!$C$38*'契約別単価'!H7)</ns0:f>
        <ns0:v>62863.19137587377</ns0:v>
      </ns0:c>
      <ns0:c r="I95" s="16">
        <ns0:f>A95*('前提と出典'!$C$36*'契約別単価'!I5+'前提と出典'!$C$37*'契約別単価'!I6+'前提と出典'!$C$38*'契約別単価'!I7)</ns0:f>
        <ns0:v>3839.793296089385</ns0:v>
      </ns0:c>
      <ns0:c r="J95" s="16">
        <ns0:f>A95*('前提と出典'!$C$36*'契約別単価'!J5+'前提と出典'!$C$37*'契約別単価'!J6+'前提と出典'!$C$38*'契約別単価'!J7)</ns0:f>
        <ns0:v>8944.348477637534</ns0:v>
      </ns0:c>
      <ns0:c r="K95" s="16">
        <ns0:f>A95*('前提と出典'!$C$36*'契約別単価'!K5+'前提と出典'!$C$37*'契約別単価'!K6+'前提と出典'!$C$38*'契約別単価'!K7)</ns0:f>
        <ns0:v>38338.621973929236</ns0:v>
      </ns0:c>
      <ns0:c r="L95" s="16">
        <ns0:f>A95*('前提と出典'!$C$36*'契約別単価'!L5+'前提と出典'!$C$37*'契約別単価'!L6+'前提と出典'!$C$38*'契約別単価'!L7)</ns0:f>
        <ns0:v>31215.439712529125</ns0:v>
      </ns0:c>
      <ns0:c r="M95" s="16">
        <ns0:f>IF(('前提と出典'!$C$36+'前提と出典'!$C$38)=0,0,IF(B95&lt;=10,'前提と出典'!B73+'前提と出典'!C73,IF(B95&lt;=100,'前提と出典'!B74+'前提と出典'!C74,IF(B95&lt;=500,'前提と出典'!B75+'前提と出典'!C75,'前提と出典'!B76+'前提と出典'!C76))))</ns0:f>
        <ns0:v>20000</ns0:v>
      </ns0:c>
      <ns0:c r="N95" s="16">
        <ns0:f>IF(('前提と出典'!$C$37+'前提と出典'!$C$38)=0,0,IF(C95&lt;=10,'前提と出典'!D73+'前提と出典'!E73,IF(C95&lt;=100,'前提と出典'!D74+'前提と出典'!E74,IF(C95&lt;=500,'前提と出典'!D75+'前提と出典'!E75,'前提と出典'!D76+'前提と出典'!E76))))</ns0:f>
        <ns0:v>34510.9346263078</ns0:v>
      </ns0:c>
      <ns0:c r="O95" s="16">
        <ns0:f>IF('前提と出典'!$C$36+'前提と出典'!$C$38=0,0,'前提と出典'!$B$4*IF('前提と出典'!$B$20=0,MAX('前提と出典'!$B$6,D95*'前提と出典'!$B$5),'前提と出典'!$B$6+D95*'前提と出典'!$B$5))</ns0:f>
        <ns0:v>90361.4748603352</ns0:v>
      </ns0:c>
      <ns0:c r="P95" s="16">
        <ns0:f>(E95+G95)*(1-'前提と出典'!$B$7)-I95-K95-M95-O95</ns0:f>
        <ns0:v>191816.06197594228</ns0:v>
      </ns0:c>
      <ns0:c r="Q95" s="16">
        <ns0:f>(F95+H95)*(1-'前提と出典'!$B$7)-J95-L95-N95</ns0:f>
        <ns0:v>52546.602731422034</ns0:v>
      </ns0:c>
      <ns0:c r="R95" s="16">
        <ns0:f>P95-E95*'前提と出典'!$E$4</ns0:f>
        <ns0:v>138992.07284714872</ns0:v>
      </ns0:c>
      <ns0:c r="S95" s="16">
        <ns0:f>Q95-F95*'前提と出典'!$E$4</ns0:f>
        <ns0:v>31815.106135502698</ns0:v>
      </ns0:c>
      <ns0:c r="T95" s="7">
        <ns0:f>R95+S95</ns0:f>
        <ns0:v>170807.1789826514</ns0:v>
      </ns0:c>
      <ns0:c r="U95" s="16">
        <ns0:f>P95-E95*'前提と出典'!$E$5</ns0:f>
        <ns0:v>121384.07647088417</ns0:v>
      </ns0:c>
      <ns0:c r="V95" s="16">
        <ns0:f>Q95-F95*'前提と出典'!$E$5</ns0:f>
        <ns0:v>24904.607270196233</ns0:v>
      </ns0:c>
      <ns0:c r="W95" s="7">
        <ns0:f>U95+V95</ns0:f>
        <ns0:v>146288.6837410804</ns0:v>
      </ns0:c>
      <ns0:c r="X95" s="16">
        <ns0:f>P95-E95*'前提と出典'!$E$6</ns0:f>
        <ns0:v>103776.08009461971</ns0:v>
      </ns0:c>
      <ns0:c r="Y95" s="16">
        <ns0:f>Q95-F95*'前提と出典'!$E$6</ns0:f>
        <ns0:v>17994.108404889797</ns0:v>
      </ns0:c>
      <ns0:c r="Z95" s="7">
        <ns0:f>X95+Y95</ns0:f>
        <ns0:v>121770.1884995095</ns0:v>
      </ns0:c>
      <ns0:c r="AA95" s="7">
        <ns0:f>IF(T95&gt;=0,A95,1001)</ns0:f>
        <ns0:v>91</ns0:v>
      </ns0:c>
      <ns0:c r="AB95" s="7">
        <ns0:f>IF(T95&lt;0,A95,0)</ns0:f>
        <ns0:v>0</ns0:v>
      </ns0:c>
      <ns0:c r="AC95" s="16">
        <ns0:f>IF(AND(OR('前提と出典'!$C$36+'前提と出典'!$C$38=0,R95&gt;=0),OR('前提と出典'!$C$37+'前提と出典'!$C$38=0,S95&gt;=0)),0,A95)</ns0:f>
        <ns0:v>0</ns0:v>
      </ns0:c>
      <ns0:c r="AD95" s="7">
        <ns0:f>IF(W95&gt;=0,A95,1001)</ns0:f>
        <ns0:v>91</ns0:v>
      </ns0:c>
      <ns0:c r="AE95" s="7">
        <ns0:f>IF(W95&lt;0,A95,0)</ns0:f>
        <ns0:v>0</ns0:v>
      </ns0:c>
      <ns0:c r="AF95" s="16">
        <ns0:f>IF(AND(OR('前提と出典'!$C$36+'前提と出典'!$C$38=0,U95&gt;=0),OR('前提と出典'!$C$37+'前提と出典'!$C$38=0,V95&gt;=0)),0,A95)</ns0:f>
        <ns0:v>0</ns0:v>
      </ns0:c>
      <ns0:c r="AG95" s="7">
        <ns0:f>IF(Z95&gt;=0,A95,1001)</ns0:f>
        <ns0:v>91</ns0:v>
      </ns0:c>
      <ns0:c r="AH95" s="4">
        <ns0:f>IF(Z95&lt;0,A95,0)</ns0:f>
        <ns0:v>0</ns0:v>
      </ns0:c>
      <ns0:c r="AI95" s="12">
        <ns0:f>IF(AND(OR('前提と出典'!$C$36+'前提と出典'!$C$38=0,X95&gt;=0),OR('前提と出典'!$C$37+'前提と出典'!$C$38=0,Y95&gt;=0)),0,A95)</ns0:f>
        <ns0:v>0</ns0:v>
      </ns0:c>
    </ns0:row>
    <ns0:row r="96" ht="24" customHeight="1">
      <ns0:c r="A96" s="4" t="n">
        <ns0:v>92</ns0:v>
      </ns0:c>
      <ns0:c r="B96" s="12">
        <ns0:f>A96*('前提と出典'!$C$36+'前提と出典'!$C$38)</ns0:f>
        <ns0:v>64.39999999999999</ns0:v>
      </ns0:c>
      <ns0:c r="C96" s="12">
        <ns0:f>A96*('前提と出典'!$C$37+'前提と出典'!$C$38)</ns0:f>
        <ns0:v>55.199999999999996</ns0:v>
      </ns0:c>
      <ns0:c r="D96" s="16">
        <ns0:f>A96*('前提と出典'!$C$36*'契約別単価'!C5+'前提と出典'!$C$37*'契約別単価'!C6+'前提と出典'!$C$38*'契約別単価'!C7)</ns0:f>
        <ns0:v>661.9888268156425</ns0:v>
      </ns0:c>
      <ns0:c r="E96" s="16">
        <ns0:f>A96*('前提と出典'!$C$36*'契約別単価'!E5+'前提と出典'!$C$37*'契約別単価'!E6+'前提と出典'!$C$38*'契約別単価'!E7)</ns0:f>
        <ns0:v>178014.90841937767</ns0:v>
      </ns0:c>
      <ns0:c r="F96" s="16">
        <ns0:f>A96*('前提と出典'!$C$36*'契約別単価'!F5+'前提と出典'!$C$37*'契約別単価'!F6+'前提と出典'!$C$38*'契約別単価'!F7)</ns0:f>
        <ns0:v>69864.38413276851</ns0:v>
      </ns0:c>
      <ns0:c r="G96" s="16">
        <ns0:f>A96*('前提と出典'!$C$36*'契約別単価'!G5+'前提と出典'!$C$37*'契約別単価'!G6+'前提と出典'!$C$38*'契約別単価'!G7)</ns0:f>
        <ns0:v>183126.25698324022</ns0:v>
      </ns0:c>
      <ns0:c r="H96" s="16">
        <ns0:f>A96*('前提と出典'!$C$36*'契約別単価'!H5+'前提と出典'!$C$37*'契約別単価'!H6+'前提と出典'!$C$38*'契約別単価'!H7)</ns0:f>
        <ns0:v>63553.99567670755</ns0:v>
      </ns0:c>
      <ns0:c r="I96" s="16">
        <ns0:f>A96*('前提と出典'!$C$36*'契約別単価'!I5+'前提と出典'!$C$37*'契約別単価'!I6+'前提と出典'!$C$38*'契約別単価'!I7)</ns0:f>
        <ns0:v>3881.988826815642</ns0:v>
      </ns0:c>
      <ns0:c r="J96" s="16">
        <ns0:f>A96*('前提と出典'!$C$36*'契約別単価'!J5+'前提と出典'!$C$37*'契約別単価'!J6+'前提と出典'!$C$38*'契約別単価'!J7)</ns0:f>
        <ns0:v>9042.638021347837</ns0:v>
      </ns0:c>
      <ns0:c r="K96" s="16">
        <ns0:f>A96*('前提と出典'!$C$36*'契約別単価'!K5+'前提と出典'!$C$37*'契約別単価'!K6+'前提と出典'!$C$38*'契約別単価'!K7)</ns0:f>
        <ns0:v>38759.92551210428</ns0:v>
      </ns0:c>
      <ns0:c r="L96" s="16">
        <ns0:f>A96*('前提と出典'!$C$36*'契約別単価'!L5+'前提と出典'!$C$37*'契約別単価'!L6+'前提と出典'!$C$38*'契約別単価'!L7)</ns0:f>
        <ns0:v>31558.46652255692</ns0:v>
      </ns0:c>
      <ns0:c r="M96" s="16">
        <ns0:f>IF(('前提と出典'!$C$36+'前提と出典'!$C$38)=0,0,IF(B96&lt;=10,'前提と出典'!B73+'前提と出典'!C73,IF(B96&lt;=100,'前提と出典'!B74+'前提と出典'!C74,IF(B96&lt;=500,'前提と出典'!B75+'前提と出典'!C75,'前提と出典'!B76+'前提と出典'!C76))))</ns0:f>
        <ns0:v>20000</ns0:v>
      </ns0:c>
      <ns0:c r="N96" s="16">
        <ns0:f>IF(('前提と出典'!$C$37+'前提と出典'!$C$38)=0,0,IF(C96&lt;=10,'前提と出典'!D73+'前提と出典'!E73,IF(C96&lt;=100,'前提と出典'!D74+'前提と出典'!E74,IF(C96&lt;=500,'前提と出典'!D75+'前提と出典'!E75,'前提と出典'!D76+'前提と出典'!E76))))</ns0:f>
        <ns0:v>34510.9346263078</ns0:v>
      </ns0:c>
      <ns0:c r="O96" s="16">
        <ns0:f>IF('前提と出典'!$C$36+'前提と出典'!$C$38=0,0,'前提と出典'!$B$4*IF('前提と出典'!$B$20=0,MAX('前提と出典'!$B$6,D96*'前提と出典'!$B$5),'前提と出典'!$B$6+D96*'前提と出典'!$B$5))</ns0:f>
        <ns0:v>91354.45810055868</ns0:v>
      </ns0:c>
      <ns0:c r="P96" s="16">
        <ns0:f>(E96+G96)*(1-'前提と出典'!$B$7)-I96-K96-M96-O96</ns0:f>
        <ns0:v>194143.711008645</ns0:v>
      </ns0:c>
      <ns0:c r="Q96" s="16">
        <ns0:f>(F96+H96)*(1-'前提と出典'!$B$7)-J96-L96-N96</ns0:f>
        <ns0:v>53503.278966122365</ns0:v>
      </ns0:c>
      <ns0:c r="R96" s="16">
        <ns0:f>P96-E96*'前提と出典'!$E$4</ns0:f>
        <ns0:v>140739.2384828318</ns0:v>
      </ns0:c>
      <ns0:c r="S96" s="16">
        <ns0:f>Q96-F96*'前提と出典'!$E$4</ns0:f>
        <ns0:v>32543.963726291804</ns0:v>
      </ns0:c>
      <ns0:c r="T96" s="7">
        <ns0:f>R96+S96</ns0:f>
        <ns0:v>173283.2022091236</ns0:v>
      </ns0:c>
      <ns0:c r="U96" s="16">
        <ns0:f>P96-E96*'前提と出典'!$E$5</ns0:f>
        <ns0:v>122937.74764089395</ns0:v>
      </ns0:c>
      <ns0:c r="V96" s="16">
        <ns0:f>Q96-F96*'前提と出典'!$E$5</ns0:f>
        <ns0:v>25557.525313014958</ns0:v>
      </ns0:c>
      <ns0:c r="W96" s="7">
        <ns0:f>U96+V96</ns0:f>
        <ns0:v>148495.27295390892</ns0:v>
      </ns0:c>
      <ns0:c r="X96" s="16">
        <ns0:f>P96-E96*'前提と出典'!$E$6</ns0:f>
        <ns0:v>105136.25679895624</ns0:v>
      </ns0:c>
      <ns0:c r="Y96" s="16">
        <ns0:f>Q96-F96*'前提と出典'!$E$6</ns0:f>
        <ns0:v>18571.08689973811</ns0:v>
      </ns0:c>
      <ns0:c r="Z96" s="7">
        <ns0:f>X96+Y96</ns0:f>
        <ns0:v>123707.34369869434</ns0:v>
      </ns0:c>
      <ns0:c r="AA96" s="7">
        <ns0:f>IF(T96&gt;=0,A96,1001)</ns0:f>
        <ns0:v>92</ns0:v>
      </ns0:c>
      <ns0:c r="AB96" s="7">
        <ns0:f>IF(T96&lt;0,A96,0)</ns0:f>
        <ns0:v>0</ns0:v>
      </ns0:c>
      <ns0:c r="AC96" s="16">
        <ns0:f>IF(AND(OR('前提と出典'!$C$36+'前提と出典'!$C$38=0,R96&gt;=0),OR('前提と出典'!$C$37+'前提と出典'!$C$38=0,S96&gt;=0)),0,A96)</ns0:f>
        <ns0:v>0</ns0:v>
      </ns0:c>
      <ns0:c r="AD96" s="7">
        <ns0:f>IF(W96&gt;=0,A96,1001)</ns0:f>
        <ns0:v>92</ns0:v>
      </ns0:c>
      <ns0:c r="AE96" s="7">
        <ns0:f>IF(W96&lt;0,A96,0)</ns0:f>
        <ns0:v>0</ns0:v>
      </ns0:c>
      <ns0:c r="AF96" s="16">
        <ns0:f>IF(AND(OR('前提と出典'!$C$36+'前提と出典'!$C$38=0,U96&gt;=0),OR('前提と出典'!$C$37+'前提と出典'!$C$38=0,V96&gt;=0)),0,A96)</ns0:f>
        <ns0:v>0</ns0:v>
      </ns0:c>
      <ns0:c r="AG96" s="7">
        <ns0:f>IF(Z96&gt;=0,A96,1001)</ns0:f>
        <ns0:v>92</ns0:v>
      </ns0:c>
      <ns0:c r="AH96" s="4">
        <ns0:f>IF(Z96&lt;0,A96,0)</ns0:f>
        <ns0:v>0</ns0:v>
      </ns0:c>
      <ns0:c r="AI96" s="12">
        <ns0:f>IF(AND(OR('前提と出典'!$C$36+'前提と出典'!$C$38=0,X96&gt;=0),OR('前提と出典'!$C$37+'前提と出典'!$C$38=0,Y96&gt;=0)),0,A96)</ns0:f>
        <ns0:v>0</ns0:v>
      </ns0:c>
    </ns0:row>
    <ns0:row r="97" ht="24" customHeight="1">
      <ns0:c r="A97" s="4" t="n">
        <ns0:v>93</ns0:v>
      </ns0:c>
      <ns0:c r="B97" s="12">
        <ns0:f>A97*('前提と出典'!$C$36+'前提と出典'!$C$38)</ns0:f>
        <ns0:v>65.1</ns0:v>
      </ns0:c>
      <ns0:c r="C97" s="12">
        <ns0:f>A97*('前提と出典'!$C$37+'前提と出典'!$C$38)</ns0:f>
        <ns0:v>55.8</ns0:v>
      </ns0:c>
      <ns0:c r="D97" s="16">
        <ns0:f>A97*('前提と出典'!$C$36*'契約別単価'!C5+'前提と出典'!$C$37*'契約別単価'!C6+'前提と出典'!$C$38*'契約別単価'!C7)</ns0:f>
        <ns0:v>669.1843575418994</ns0:v>
      </ns0:c>
      <ns0:c r="E97" s="16">
        <ns0:f>A97*('前提と出典'!$C$36*'契約別単価'!E5+'前提と出典'!$C$37*'契約別単価'!E6+'前提と出典'!$C$38*'契約別単価'!E7)</ns0:f>
        <ns0:v>179949.85307611004</ns0:v>
      </ns0:c>
      <ns0:c r="F97" s="16">
        <ns0:f>A97*('前提と出典'!$C$36*'契約別単価'!F5+'前提と出典'!$C$37*'契約別単価'!F6+'前提と出典'!$C$38*'契約別単価'!F7)</ns0:f>
        <ns0:v>70623.77961247251</ns0:v>
      </ns0:c>
      <ns0:c r="G97" s="16">
        <ns0:f>A97*('前提と出典'!$C$36*'契約別単価'!G5+'前提と出典'!$C$37*'契約別単価'!G6+'前提と出典'!$C$38*'契約別単価'!G7)</ns0:f>
        <ns0:v>185116.75977653632</ns0:v>
      </ns0:c>
      <ns0:c r="H97" s="16">
        <ns0:f>A97*('前提と出典'!$C$36*'契約別単価'!H5+'前提と出典'!$C$37*'契約別単価'!H6+'前提と出典'!$C$38*'契約別単価'!H7)</ns0:f>
        <ns0:v>64244.79997754133</ns0:v>
      </ns0:c>
      <ns0:c r="I97" s="16">
        <ns0:f>A97*('前提と出典'!$C$36*'契約別単価'!I5+'前提と出典'!$C$37*'契約別単価'!I6+'前提と出典'!$C$38*'契約別単価'!I7)</ns0:f>
        <ns0:v>3924.184357541899</ns0:v>
      </ns0:c>
      <ns0:c r="J97" s="16">
        <ns0:f>A97*('前提と出典'!$C$36*'契約別単価'!J5+'前提と出典'!$C$37*'契約別単価'!J6+'前提と出典'!$C$38*'契約別単価'!J7)</ns0:f>
        <ns0:v>9140.927565058138</ns0:v>
      </ns0:c>
      <ns0:c r="K97" s="16">
        <ns0:f>A97*('前提と出典'!$C$36*'契約別単価'!K5+'前提と出典'!$C$37*'契約別単価'!K6+'前提と出典'!$C$38*'契約別単価'!K7)</ns0:f>
        <ns0:v>39181.229050279326</ns0:v>
      </ns0:c>
      <ns0:c r="L97" s="16">
        <ns0:f>A97*('前提と出典'!$C$36*'契約別単価'!L5+'前提と出典'!$C$37*'契約別単価'!L6+'前提と出典'!$C$38*'契約別単価'!L7)</ns0:f>
        <ns0:v>31901.49333258471</ns0:v>
      </ns0:c>
      <ns0:c r="M97" s="16">
        <ns0:f>IF(('前提と出典'!$C$36+'前提と出典'!$C$38)=0,0,IF(B97&lt;=10,'前提と出典'!B73+'前提と出典'!C73,IF(B97&lt;=100,'前提と出典'!B74+'前提と出典'!C74,IF(B97&lt;=500,'前提と出典'!B75+'前提と出典'!C75,'前提と出典'!B76+'前提と出典'!C76))))</ns0:f>
        <ns0:v>20000</ns0:v>
      </ns0:c>
      <ns0:c r="N97" s="16">
        <ns0:f>IF(('前提と出典'!$C$37+'前提と出典'!$C$38)=0,0,IF(C97&lt;=10,'前提と出典'!D73+'前提と出典'!E73,IF(C97&lt;=100,'前提と出典'!D74+'前提と出典'!E74,IF(C97&lt;=500,'前提と出典'!D75+'前提と出典'!E75,'前提と出典'!D76+'前提と出典'!E76))))</ns0:f>
        <ns0:v>34510.9346263078</ns0:v>
      </ns0:c>
      <ns0:c r="O97" s="16">
        <ns0:f>IF('前提と出典'!$C$36+'前提と出典'!$C$38=0,0,'前提と出典'!$B$4*IF('前提と出典'!$B$20=0,MAX('前提と出典'!$B$6,D97*'前提と出典'!$B$5),'前提と出典'!$B$6+D97*'前提と出典'!$B$5))</ns0:f>
        <ns0:v>92347.44134078213</ns0:v>
      </ns0:c>
      <ns0:c r="P97" s="16">
        <ns0:f>(E97+G97)*(1-'前提と出典'!$B$7)-I97-K97-M97-O97</ns0:f>
        <ns0:v>196471.36004134774</ns0:v>
      </ns0:c>
      <ns0:c r="Q97" s="16">
        <ns0:f>(F97+H97)*(1-'前提と出典'!$B$7)-J97-L97-N97</ns0:f>
        <ns0:v>54459.95520082269</ns0:v>
      </ns0:c>
      <ns0:c r="R97" s="16">
        <ns0:f>P97-E97*'前提と出典'!$E$4</ns0:f>
        <ns0:v>142486.40411851474</ns0:v>
      </ns0:c>
      <ns0:c r="S97" s="16">
        <ns0:f>Q97-F97*'前提と出典'!$E$4</ns0:f>
        <ns0:v>33272.82131708094</ns0:v>
      </ns0:c>
      <ns0:c r="T97" s="7">
        <ns0:f>R97+S97</ns0:f>
        <ns0:v>175759.22543559567</ns0:v>
      </ns0:c>
      <ns0:c r="U97" s="16">
        <ns0:f>P97-E97*'前提と出典'!$E$5</ns0:f>
        <ns0:v>124491.41881090373</ns0:v>
      </ns0:c>
      <ns0:c r="V97" s="16">
        <ns0:f>Q97-F97*'前提と出典'!$E$5</ns0:f>
        <ns0:v>26210.443355833682</ns0:v>
      </ns0:c>
      <ns0:c r="W97" s="7">
        <ns0:f>U97+V97</ns0:f>
        <ns0:v>150701.8621667374</ns0:v>
      </ns0:c>
      <ns0:c r="X97" s="16">
        <ns0:f>P97-E97*'前提と出典'!$E$6</ns0:f>
        <ns0:v>106496.43350329273</ns0:v>
      </ns0:c>
      <ns0:c r="Y97" s="16">
        <ns0:f>Q97-F97*'前提と出典'!$E$6</ns0:f>
        <ns0:v>19148.065394586425</ns0:v>
      </ns0:c>
      <ns0:c r="Z97" s="7">
        <ns0:f>X97+Y97</ns0:f>
        <ns0:v>125644.49889787915</ns0:v>
      </ns0:c>
      <ns0:c r="AA97" s="7">
        <ns0:f>IF(T97&gt;=0,A97,1001)</ns0:f>
        <ns0:v>93</ns0:v>
      </ns0:c>
      <ns0:c r="AB97" s="7">
        <ns0:f>IF(T97&lt;0,A97,0)</ns0:f>
        <ns0:v>0</ns0:v>
      </ns0:c>
      <ns0:c r="AC97" s="16">
        <ns0:f>IF(AND(OR('前提と出典'!$C$36+'前提と出典'!$C$38=0,R97&gt;=0),OR('前提と出典'!$C$37+'前提と出典'!$C$38=0,S97&gt;=0)),0,A97)</ns0:f>
        <ns0:v>0</ns0:v>
      </ns0:c>
      <ns0:c r="AD97" s="7">
        <ns0:f>IF(W97&gt;=0,A97,1001)</ns0:f>
        <ns0:v>93</ns0:v>
      </ns0:c>
      <ns0:c r="AE97" s="7">
        <ns0:f>IF(W97&lt;0,A97,0)</ns0:f>
        <ns0:v>0</ns0:v>
      </ns0:c>
      <ns0:c r="AF97" s="16">
        <ns0:f>IF(AND(OR('前提と出典'!$C$36+'前提と出典'!$C$38=0,U97&gt;=0),OR('前提と出典'!$C$37+'前提と出典'!$C$38=0,V97&gt;=0)),0,A97)</ns0:f>
        <ns0:v>0</ns0:v>
      </ns0:c>
      <ns0:c r="AG97" s="7">
        <ns0:f>IF(Z97&gt;=0,A97,1001)</ns0:f>
        <ns0:v>93</ns0:v>
      </ns0:c>
      <ns0:c r="AH97" s="4">
        <ns0:f>IF(Z97&lt;0,A97,0)</ns0:f>
        <ns0:v>0</ns0:v>
      </ns0:c>
      <ns0:c r="AI97" s="12">
        <ns0:f>IF(AND(OR('前提と出典'!$C$36+'前提と出典'!$C$38=0,X97&gt;=0),OR('前提と出典'!$C$37+'前提と出典'!$C$38=0,Y97&gt;=0)),0,A97)</ns0:f>
        <ns0:v>0</ns0:v>
      </ns0:c>
    </ns0:row>
    <ns0:row r="98" ht="24" customHeight="1">
      <ns0:c r="A98" s="4" t="n">
        <ns0:v>94</ns0:v>
      </ns0:c>
      <ns0:c r="B98" s="12">
        <ns0:f>A98*('前提と出典'!$C$36+'前提と出典'!$C$38)</ns0:f>
        <ns0:v>65.8</ns0:v>
      </ns0:c>
      <ns0:c r="C98" s="12">
        <ns0:f>A98*('前提と出典'!$C$37+'前提と出典'!$C$38)</ns0:f>
        <ns0:v>56.4</ns0:v>
      </ns0:c>
      <ns0:c r="D98" s="16">
        <ns0:f>A98*('前提と出典'!$C$36*'契約別単価'!C5+'前提と出典'!$C$37*'契約別単価'!C6+'前提と出典'!$C$38*'契約別単価'!C7)</ns0:f>
        <ns0:v>676.3798882681564</ns0:v>
      </ns0:c>
      <ns0:c r="E98" s="16">
        <ns0:f>A98*('前提と出典'!$C$36*'契約別単価'!E5+'前提と出典'!$C$37*'契約別単価'!E6+'前提と出典'!$C$38*'契約別単価'!E7)</ns0:f>
        <ns0:v>181884.7977328424</ns0:v>
      </ns0:c>
      <ns0:c r="F98" s="16">
        <ns0:f>A98*('前提と出典'!$C$36*'契約別単価'!F5+'前提と出典'!$C$37*'契約別単価'!F6+'前提と出典'!$C$38*'契約別単価'!F7)</ns0:f>
        <ns0:v>71383.17509217652</ns0:v>
      </ns0:c>
      <ns0:c r="G98" s="16">
        <ns0:f>A98*('前提と出典'!$C$36*'契約別単価'!G5+'前提と出典'!$C$37*'契約別単価'!G6+'前提と出典'!$C$38*'契約別単価'!G7)</ns0:f>
        <ns0:v>187107.26256983238</ns0:v>
      </ns0:c>
      <ns0:c r="H98" s="16">
        <ns0:f>A98*('前提と出典'!$C$36*'契約別単価'!H5+'前提と出典'!$C$37*'契約別単価'!H6+'前提と出典'!$C$38*'契約別単価'!H7)</ns0:f>
        <ns0:v>64935.6042783751</ns0:v>
      </ns0:c>
      <ns0:c r="I98" s="16">
        <ns0:f>A98*('前提と出典'!$C$36*'契約別単価'!I5+'前提と出典'!$C$37*'契約別単価'!I6+'前提と出典'!$C$38*'契約別単価'!I7)</ns0:f>
        <ns0:v>3966.379888268156</ns0:v>
      </ns0:c>
      <ns0:c r="J98" s="16">
        <ns0:f>A98*('前提と出典'!$C$36*'契約別単価'!J5+'前提と出典'!$C$37*'契約別単価'!J6+'前提と出典'!$C$38*'契約別単価'!J7)</ns0:f>
        <ns0:v>9239.217108768442</ns0:v>
      </ns0:c>
      <ns0:c r="K98" s="16">
        <ns0:f>A98*('前提と出典'!$C$36*'契約別単価'!K5+'前提と出典'!$C$37*'契約別単価'!K6+'前提と出典'!$C$38*'契約別単価'!K7)</ns0:f>
        <ns0:v>39602.53258845437</ns0:v>
      </ns0:c>
      <ns0:c r="L98" s="16">
        <ns0:f>A98*('前提と出典'!$C$36*'契約別単価'!L5+'前提と出典'!$C$37*'契約別単価'!L6+'前提と出典'!$C$38*'契約別単価'!L7)</ns0:f>
        <ns0:v>32244.520142612502</ns0:v>
      </ns0:c>
      <ns0:c r="M98" s="16">
        <ns0:f>IF(('前提と出典'!$C$36+'前提と出典'!$C$38)=0,0,IF(B98&lt;=10,'前提と出典'!B73+'前提と出典'!C73,IF(B98&lt;=100,'前提と出典'!B74+'前提と出典'!C74,IF(B98&lt;=500,'前提と出典'!B75+'前提と出典'!C75,'前提と出典'!B76+'前提と出典'!C76))))</ns0:f>
        <ns0:v>20000</ns0:v>
      </ns0:c>
      <ns0:c r="N98" s="16">
        <ns0:f>IF(('前提と出典'!$C$37+'前提と出典'!$C$38)=0,0,IF(C98&lt;=10,'前提と出典'!D73+'前提と出典'!E73,IF(C98&lt;=100,'前提と出典'!D74+'前提と出典'!E74,IF(C98&lt;=500,'前提と出典'!D75+'前提と出典'!E75,'前提と出典'!D76+'前提と出典'!E76))))</ns0:f>
        <ns0:v>34510.9346263078</ns0:v>
      </ns0:c>
      <ns0:c r="O98" s="16">
        <ns0:f>IF('前提と出典'!$C$36+'前提と出典'!$C$38=0,0,'前提と出典'!$B$4*IF('前提と出典'!$B$20=0,MAX('前提と出典'!$B$6,D98*'前提と出典'!$B$5),'前提と出典'!$B$6+D98*'前提と出典'!$B$5))</ns0:f>
        <ns0:v>93340.42458100559</ns0:v>
      </ns0:c>
      <ns0:c r="P98" s="16">
        <ns0:f>(E98+G98)*(1-'前提と出典'!$B$7)-I98-K98-M98-O98</ns0:f>
        <ns0:v>198799.0090740504</ns0:v>
      </ns0:c>
      <ns0:c r="Q98" s="16">
        <ns0:f>(F98+H98)*(1-'前提と出典'!$B$7)-J98-L98-N98</ns0:f>
        <ns0:v>55416.63143552304</ns0:v>
      </ns0:c>
      <ns0:c r="R98" s="16">
        <ns0:f>P98-E98*'前提と出典'!$E$4</ns0:f>
        <ns0:v>144233.56975419767</ns0:v>
      </ns0:c>
      <ns0:c r="S98" s="16">
        <ns0:f>Q98-F98*'前提と出典'!$E$4</ns0:f>
        <ns0:v>34001.67890787009</ns0:v>
      </ns0:c>
      <ns0:c r="T98" s="7">
        <ns0:f>R98+S98</ns0:f>
        <ns0:v>178235.24866206775</ns0:v>
      </ns0:c>
      <ns0:c r="U98" s="16">
        <ns0:f>P98-E98*'前提と出典'!$E$5</ns0:f>
        <ns0:v>126045.08998091344</ns0:v>
      </ns0:c>
      <ns0:c r="V98" s="16">
        <ns0:f>Q98-F98*'前提と出典'!$E$5</ns0:f>
        <ns0:v>26863.361398652436</ns0:v>
      </ns0:c>
      <ns0:c r="W98" s="7">
        <ns0:f>U98+V98</ns0:f>
        <ns0:v>152908.45137956587</ns0:v>
      </ns0:c>
      <ns0:c r="X98" s="16">
        <ns0:f>P98-E98*'前提と出典'!$E$6</ns0:f>
        <ns0:v>107856.61020762919</ns0:v>
      </ns0:c>
      <ns0:c r="Y98" s="16">
        <ns0:f>Q98-F98*'前提と出典'!$E$6</ns0:f>
        <ns0:v>19725.043889434783</ns0:v>
      </ns0:c>
      <ns0:c r="Z98" s="7">
        <ns0:f>X98+Y98</ns0:f>
        <ns0:v>127581.65409706396</ns0:v>
      </ns0:c>
      <ns0:c r="AA98" s="7">
        <ns0:f>IF(T98&gt;=0,A98,1001)</ns0:f>
        <ns0:v>94</ns0:v>
      </ns0:c>
      <ns0:c r="AB98" s="7">
        <ns0:f>IF(T98&lt;0,A98,0)</ns0:f>
        <ns0:v>0</ns0:v>
      </ns0:c>
      <ns0:c r="AC98" s="16">
        <ns0:f>IF(AND(OR('前提と出典'!$C$36+'前提と出典'!$C$38=0,R98&gt;=0),OR('前提と出典'!$C$37+'前提と出典'!$C$38=0,S98&gt;=0)),0,A98)</ns0:f>
        <ns0:v>0</ns0:v>
      </ns0:c>
      <ns0:c r="AD98" s="7">
        <ns0:f>IF(W98&gt;=0,A98,1001)</ns0:f>
        <ns0:v>94</ns0:v>
      </ns0:c>
      <ns0:c r="AE98" s="7">
        <ns0:f>IF(W98&lt;0,A98,0)</ns0:f>
        <ns0:v>0</ns0:v>
      </ns0:c>
      <ns0:c r="AF98" s="16">
        <ns0:f>IF(AND(OR('前提と出典'!$C$36+'前提と出典'!$C$38=0,U98&gt;=0),OR('前提と出典'!$C$37+'前提と出典'!$C$38=0,V98&gt;=0)),0,A98)</ns0:f>
        <ns0:v>0</ns0:v>
      </ns0:c>
      <ns0:c r="AG98" s="7">
        <ns0:f>IF(Z98&gt;=0,A98,1001)</ns0:f>
        <ns0:v>94</ns0:v>
      </ns0:c>
      <ns0:c r="AH98" s="4">
        <ns0:f>IF(Z98&lt;0,A98,0)</ns0:f>
        <ns0:v>0</ns0:v>
      </ns0:c>
      <ns0:c r="AI98" s="12">
        <ns0:f>IF(AND(OR('前提と出典'!$C$36+'前提と出典'!$C$38=0,X98&gt;=0),OR('前提と出典'!$C$37+'前提と出典'!$C$38=0,Y98&gt;=0)),0,A98)</ns0:f>
        <ns0:v>0</ns0:v>
      </ns0:c>
    </ns0:row>
    <ns0:row r="99" ht="24" customHeight="1">
      <ns0:c r="A99" s="4" t="n">
        <ns0:v>95</ns0:v>
      </ns0:c>
      <ns0:c r="B99" s="12">
        <ns0:f>A99*('前提と出典'!$C$36+'前提と出典'!$C$38)</ns0:f>
        <ns0:v>66.5</ns0:v>
      </ns0:c>
      <ns0:c r="C99" s="12">
        <ns0:f>A99*('前提と出典'!$C$37+'前提と出典'!$C$38)</ns0:f>
        <ns0:v>57</ns0:v>
      </ns0:c>
      <ns0:c r="D99" s="16">
        <ns0:f>A99*('前提と出典'!$C$36*'契約別単価'!C5+'前提と出典'!$C$37*'契約別単価'!C6+'前提と出典'!$C$38*'契約別単価'!C7)</ns0:f>
        <ns0:v>683.5754189944134</ns0:v>
      </ns0:c>
      <ns0:c r="E99" s="16">
        <ns0:f>A99*('前提と出典'!$C$36*'契約別単価'!E5+'前提と出典'!$C$37*'契約別単価'!E6+'前提と出典'!$C$38*'契約別単価'!E7)</ns0:f>
        <ns0:v>183819.74238957476</ns0:v>
      </ns0:c>
      <ns0:c r="F99" s="16">
        <ns0:f>A99*('前提と出典'!$C$36*'契約別単価'!F5+'前提と出典'!$C$37*'契約別単価'!F6+'前提と出典'!$C$38*'契約別単価'!F7)</ns0:f>
        <ns0:v>72142.57057188053</ns0:v>
      </ns0:c>
      <ns0:c r="G99" s="16">
        <ns0:f>A99*('前提と出典'!$C$36*'契約別単価'!G5+'前提と出典'!$C$37*'契約別単価'!G6+'前提と出典'!$C$38*'契約別単価'!G7)</ns0:f>
        <ns0:v>189097.76536312848</ns0:v>
      </ns0:c>
      <ns0:c r="H99" s="16">
        <ns0:f>A99*('前提と出典'!$C$36*'契約別単価'!H5+'前提と出典'!$C$37*'契約別単価'!H6+'前提と出典'!$C$38*'契約別単価'!H7)</ns0:f>
        <ns0:v>65626.40857920887</ns0:v>
      </ns0:c>
      <ns0:c r="I99" s="16">
        <ns0:f>A99*('前提と出典'!$C$36*'契約別単価'!I5+'前提と出典'!$C$37*'契約別単価'!I6+'前提と出典'!$C$38*'契約別単価'!I7)</ns0:f>
        <ns0:v>4008.5754189944128</ns0:v>
      </ns0:c>
      <ns0:c r="J99" s="16">
        <ns0:f>A99*('前提と出典'!$C$36*'契約別単価'!J5+'前提と出典'!$C$37*'契約別単価'!J6+'前提と出典'!$C$38*'契約別単価'!J7)</ns0:f>
        <ns0:v>9337.506652478743</ns0:v>
      </ns0:c>
      <ns0:c r="K99" s="16">
        <ns0:f>A99*('前提と出典'!$C$36*'契約別単価'!K5+'前提と出典'!$C$37*'契約別単価'!K6+'前提と出典'!$C$38*'契約別単価'!K7)</ns0:f>
        <ns0:v>40023.83612662942</ns0:v>
      </ns0:c>
      <ns0:c r="L99" s="16">
        <ns0:f>A99*('前提と出典'!$C$36*'契約別単価'!L5+'前提と出典'!$C$37*'契約別単価'!L6+'前提と出典'!$C$38*'契約別単価'!L7)</ns0:f>
        <ns0:v>32587.546952640296</ns0:v>
      </ns0:c>
      <ns0:c r="M99" s="16">
        <ns0:f>IF(('前提と出典'!$C$36+'前提と出典'!$C$38)=0,0,IF(B99&lt;=10,'前提と出典'!B73+'前提と出典'!C73,IF(B99&lt;=100,'前提と出典'!B74+'前提と出典'!C74,IF(B99&lt;=500,'前提と出典'!B75+'前提と出典'!C75,'前提と出典'!B76+'前提と出典'!C76))))</ns0:f>
        <ns0:v>20000</ns0:v>
      </ns0:c>
      <ns0:c r="N99" s="16">
        <ns0:f>IF(('前提と出典'!$C$37+'前提と出典'!$C$38)=0,0,IF(C99&lt;=10,'前提と出典'!D73+'前提と出典'!E73,IF(C99&lt;=100,'前提と出典'!D74+'前提と出典'!E74,IF(C99&lt;=500,'前提と出典'!D75+'前提と出典'!E75,'前提と出典'!D76+'前提と出典'!E76))))</ns0:f>
        <ns0:v>34510.9346263078</ns0:v>
      </ns0:c>
      <ns0:c r="O99" s="16">
        <ns0:f>IF('前提と出典'!$C$36+'前提と出典'!$C$38=0,0,'前提と出典'!$B$4*IF('前提と出典'!$B$20=0,MAX('前提と出典'!$B$6,D99*'前提と出典'!$B$5),'前提と出典'!$B$6+D99*'前提と出典'!$B$5))</ns0:f>
        <ns0:v>94333.40782122906</ns0:v>
      </ns0:c>
      <ns0:c r="P99" s="16">
        <ns0:f>(E99+G99)*(1-'前提と出典'!$B$7)-I99-K99-M99-O99</ns0:f>
        <ns0:v>201126.65810675302</ns0:v>
      </ns0:c>
      <ns0:c r="Q99" s="16">
        <ns0:f>(F99+H99)*(1-'前提と出典'!$B$7)-J99-L99-N99</ns0:f>
        <ns0:v>56373.30767022334</ns0:v>
      </ns0:c>
      <ns0:c r="R99" s="16">
        <ns0:f>P99-E99*'前提と出典'!$E$4</ns0:f>
        <ns0:v>145980.7353898806</ns0:v>
      </ns0:c>
      <ns0:c r="S99" s="16">
        <ns0:f>Q99-F99*'前提と出典'!$E$4</ns0:f>
        <ns0:v>34730.53649865918</ns0:v>
      </ns0:c>
      <ns0:c r="T99" s="7">
        <ns0:f>R99+S99</ns0:f>
        <ns0:v>180711.27188853978</ns0:v>
      </ns0:c>
      <ns0:c r="U99" s="16">
        <ns0:f>P99-E99*'前提と出典'!$E$5</ns0:f>
        <ns0:v>127598.7611509231</ns0:v>
      </ns0:c>
      <ns0:c r="V99" s="16">
        <ns0:f>Q99-F99*'前提と出典'!$E$5</ns0:f>
        <ns0:v>27516.279441471124</ns0:v>
      </ns0:c>
      <ns0:c r="W99" s="7">
        <ns0:f>U99+V99</ns0:f>
        <ns0:v>155115.04059239425</ns0:v>
      </ns0:c>
      <ns0:c r="X99" s="16">
        <ns0:f>P99-E99*'前提と出典'!$E$6</ns0:f>
        <ns0:v>109216.78691196565</ns0:v>
      </ns0:c>
      <ns0:c r="Y99" s="16">
        <ns0:f>Q99-F99*'前提と出典'!$E$6</ns0:f>
        <ns0:v>20302.022384283075</ns0:v>
      </ns0:c>
      <ns0:c r="Z99" s="7">
        <ns0:f>X99+Y99</ns0:f>
        <ns0:v>129518.80929624873</ns0:v>
      </ns0:c>
      <ns0:c r="AA99" s="7">
        <ns0:f>IF(T99&gt;=0,A99,1001)</ns0:f>
        <ns0:v>95</ns0:v>
      </ns0:c>
      <ns0:c r="AB99" s="7">
        <ns0:f>IF(T99&lt;0,A99,0)</ns0:f>
        <ns0:v>0</ns0:v>
      </ns0:c>
      <ns0:c r="AC99" s="16">
        <ns0:f>IF(AND(OR('前提と出典'!$C$36+'前提と出典'!$C$38=0,R99&gt;=0),OR('前提と出典'!$C$37+'前提と出典'!$C$38=0,S99&gt;=0)),0,A99)</ns0:f>
        <ns0:v>0</ns0:v>
      </ns0:c>
      <ns0:c r="AD99" s="7">
        <ns0:f>IF(W99&gt;=0,A99,1001)</ns0:f>
        <ns0:v>95</ns0:v>
      </ns0:c>
      <ns0:c r="AE99" s="7">
        <ns0:f>IF(W99&lt;0,A99,0)</ns0:f>
        <ns0:v>0</ns0:v>
      </ns0:c>
      <ns0:c r="AF99" s="16">
        <ns0:f>IF(AND(OR('前提と出典'!$C$36+'前提と出典'!$C$38=0,U99&gt;=0),OR('前提と出典'!$C$37+'前提と出典'!$C$38=0,V99&gt;=0)),0,A99)</ns0:f>
        <ns0:v>0</ns0:v>
      </ns0:c>
      <ns0:c r="AG99" s="7">
        <ns0:f>IF(Z99&gt;=0,A99,1001)</ns0:f>
        <ns0:v>95</ns0:v>
      </ns0:c>
      <ns0:c r="AH99" s="4">
        <ns0:f>IF(Z99&lt;0,A99,0)</ns0:f>
        <ns0:v>0</ns0:v>
      </ns0:c>
      <ns0:c r="AI99" s="12">
        <ns0:f>IF(AND(OR('前提と出典'!$C$36+'前提と出典'!$C$38=0,X99&gt;=0),OR('前提と出典'!$C$37+'前提と出典'!$C$38=0,Y99&gt;=0)),0,A99)</ns0:f>
        <ns0:v>0</ns0:v>
      </ns0:c>
    </ns0:row>
    <ns0:row r="100" ht="24" customHeight="1">
      <ns0:c r="A100" s="4" t="n">
        <ns0:v>96</ns0:v>
      </ns0:c>
      <ns0:c r="B100" s="12">
        <ns0:f>A100*('前提と出典'!$C$36+'前提と出典'!$C$38)</ns0:f>
        <ns0:v>67.19999999999999</ns0:v>
      </ns0:c>
      <ns0:c r="C100" s="12">
        <ns0:f>A100*('前提と出典'!$C$37+'前提と出典'!$C$38)</ns0:f>
        <ns0:v>57.599999999999994</ns0:v>
      </ns0:c>
      <ns0:c r="D100" s="16">
        <ns0:f>A100*('前提と出典'!$C$36*'契約別単価'!C5+'前提と出典'!$C$37*'契約別単価'!C6+'前提と出典'!$C$38*'契約別単価'!C7)</ns0:f>
        <ns0:v>690.7709497206704</ns0:v>
      </ns0:c>
      <ns0:c r="E100" s="16">
        <ns0:f>A100*('前提と出典'!$C$36*'契約別単価'!E5+'前提と出典'!$C$37*'契約別単価'!E6+'前提と出典'!$C$38*'契約別単価'!E7)</ns0:f>
        <ns0:v>185754.68704630714</ns0:v>
      </ns0:c>
      <ns0:c r="F100" s="16">
        <ns0:f>A100*('前提と出典'!$C$36*'契約別単価'!F5+'前提と出典'!$C$37*'契約別単価'!F6+'前提と出典'!$C$38*'契約別単価'!F7)</ns0:f>
        <ns0:v>72901.96605158453</ns0:v>
      </ns0:c>
      <ns0:c r="G100" s="16">
        <ns0:f>A100*('前提と出典'!$C$36*'契約別単価'!G5+'前提と出典'!$C$37*'契約別単価'!G6+'前提と出典'!$C$38*'契約別単価'!G7)</ns0:f>
        <ns0:v>191088.26815642457</ns0:v>
      </ns0:c>
      <ns0:c r="H100" s="16">
        <ns0:f>A100*('前提と出典'!$C$36*'契約別単価'!H5+'前提と出典'!$C$37*'契約別単価'!H6+'前提と出典'!$C$38*'契約別単価'!H7)</ns0:f>
        <ns0:v>66317.21288004266</ns0:v>
      </ns0:c>
      <ns0:c r="I100" s="16">
        <ns0:f>A100*('前提と出典'!$C$36*'契約別単価'!I5+'前提と出典'!$C$37*'契約別単価'!I6+'前提と出典'!$C$38*'契約別単価'!I7)</ns0:f>
        <ns0:v>4050.7709497206697</ns0:v>
      </ns0:c>
      <ns0:c r="J100" s="16">
        <ns0:f>A100*('前提と出典'!$C$36*'契約別単価'!J5+'前提と出典'!$C$37*'契約別単価'!J6+'前提と出典'!$C$38*'契約別単価'!J7)</ns0:f>
        <ns0:v>9435.796196189047</ns0:v>
      </ns0:c>
      <ns0:c r="K100" s="16">
        <ns0:f>A100*('前提と出典'!$C$36*'契約別単価'!K5+'前提と出典'!$C$37*'契約別単価'!K6+'前提と出典'!$C$38*'契約別単価'!K7)</ns0:f>
        <ns0:v>40445.13966480447</ns0:v>
      </ns0:c>
      <ns0:c r="L100" s="16">
        <ns0:f>A100*('前提と出典'!$C$36*'契約別単価'!L5+'前提と出典'!$C$37*'契約別単価'!L6+'前提と出典'!$C$38*'契約別単価'!L7)</ns0:f>
        <ns0:v>32930.573762668086</ns0:v>
      </ns0:c>
      <ns0:c r="M100" s="16">
        <ns0:f>IF(('前提と出典'!$C$36+'前提と出典'!$C$38)=0,0,IF(B100&lt;=10,'前提と出典'!B73+'前提と出典'!C73,IF(B100&lt;=100,'前提と出典'!B74+'前提と出典'!C74,IF(B100&lt;=500,'前提と出典'!B75+'前提と出典'!C75,'前提と出典'!B76+'前提と出典'!C76))))</ns0:f>
        <ns0:v>20000</ns0:v>
      </ns0:c>
      <ns0:c r="N100" s="16">
        <ns0:f>IF(('前提と出典'!$C$37+'前提と出典'!$C$38)=0,0,IF(C100&lt;=10,'前提と出典'!D73+'前提と出典'!E73,IF(C100&lt;=100,'前提と出典'!D74+'前提と出典'!E74,IF(C100&lt;=500,'前提と出典'!D75+'前提と出典'!E75,'前提と出典'!D76+'前提と出典'!E76))))</ns0:f>
        <ns0:v>34510.9346263078</ns0:v>
      </ns0:c>
      <ns0:c r="O100" s="16">
        <ns0:f>IF('前提と出典'!$C$36+'前提と出典'!$C$38=0,0,'前提と出典'!$B$4*IF('前提と出典'!$B$20=0,MAX('前提と出典'!$B$6,D100*'前提と出典'!$B$5),'前提と出典'!$B$6+D100*'前提と出典'!$B$5))</ns0:f>
        <ns0:v>95326.39106145252</ns0:v>
      </ns0:c>
      <ns0:c r="P100" s="16">
        <ns0:f>(E100+G100)*(1-'前提と出典'!$B$7)-I100-K100-M100-O100</ns0:f>
        <ns0:v>203454.3071394557</ns0:v>
      </ns0:c>
      <ns0:c r="Q100" s="16">
        <ns0:f>(F100+H100)*(1-'前提と出典'!$B$7)-J100-L100-N100</ns0:f>
        <ns0:v>57329.983904923676</ns0:v>
      </ns0:c>
      <ns0:c r="R100" s="16">
        <ns0:f>P100-E100*'前提と出典'!$E$4</ns0:f>
        <ns0:v>147727.9010255636</ns0:v>
      </ns0:c>
      <ns0:c r="S100" s="16">
        <ns0:f>Q100-F100*'前提と出典'!$E$4</ns0:f>
        <ns0:v>35459.3940894483</ns0:v>
      </ns0:c>
      <ns0:c r="T100" s="7">
        <ns0:f>R100+S100</ns0:f>
        <ns0:v>183187.2951150119</ns0:v>
      </ns0:c>
      <ns0:c r="U100" s="16">
        <ns0:f>P100-E100*'前提と出典'!$E$5</ns0:f>
        <ns0:v>129152.43232093281</ns0:v>
      </ns0:c>
      <ns0:c r="V100" s="16">
        <ns0:f>Q100-F100*'前提と出典'!$E$5</ns0:f>
        <ns0:v>28169.197484289863</ns0:v>
      </ns0:c>
      <ns0:c r="W100" s="7">
        <ns0:f>U100+V100</ns0:f>
        <ns0:v>157321.62980522268</ns0:v>
      </ns0:c>
      <ns0:c r="X100" s="16">
        <ns0:f>P100-E100*'前提と出典'!$E$6</ns0:f>
        <ns0:v>110576.96361630208</ns0:v>
      </ns0:c>
      <ns0:c r="Y100" s="16">
        <ns0:f>Q100-F100*'前提と出典'!$E$6</ns0:f>
        <ns0:v>20879.000879131418</ns0:v>
      </ns0:c>
      <ns0:c r="Z100" s="7">
        <ns0:f>X100+Y100</ns0:f>
        <ns0:v>131455.9644954335</ns0:v>
      </ns0:c>
      <ns0:c r="AA100" s="7">
        <ns0:f>IF(T100&gt;=0,A100,1001)</ns0:f>
        <ns0:v>96</ns0:v>
      </ns0:c>
      <ns0:c r="AB100" s="7">
        <ns0:f>IF(T100&lt;0,A100,0)</ns0:f>
        <ns0:v>0</ns0:v>
      </ns0:c>
      <ns0:c r="AC100" s="16">
        <ns0:f>IF(AND(OR('前提と出典'!$C$36+'前提と出典'!$C$38=0,R100&gt;=0),OR('前提と出典'!$C$37+'前提と出典'!$C$38=0,S100&gt;=0)),0,A100)</ns0:f>
        <ns0:v>0</ns0:v>
      </ns0:c>
      <ns0:c r="AD100" s="7">
        <ns0:f>IF(W100&gt;=0,A100,1001)</ns0:f>
        <ns0:v>96</ns0:v>
      </ns0:c>
      <ns0:c r="AE100" s="7">
        <ns0:f>IF(W100&lt;0,A100,0)</ns0:f>
        <ns0:v>0</ns0:v>
      </ns0:c>
      <ns0:c r="AF100" s="16">
        <ns0:f>IF(AND(OR('前提と出典'!$C$36+'前提と出典'!$C$38=0,U100&gt;=0),OR('前提と出典'!$C$37+'前提と出典'!$C$38=0,V100&gt;=0)),0,A100)</ns0:f>
        <ns0:v>0</ns0:v>
      </ns0:c>
      <ns0:c r="AG100" s="7">
        <ns0:f>IF(Z100&gt;=0,A100,1001)</ns0:f>
        <ns0:v>96</ns0:v>
      </ns0:c>
      <ns0:c r="AH100" s="4">
        <ns0:f>IF(Z100&lt;0,A100,0)</ns0:f>
        <ns0:v>0</ns0:v>
      </ns0:c>
      <ns0:c r="AI100" s="12">
        <ns0:f>IF(AND(OR('前提と出典'!$C$36+'前提と出典'!$C$38=0,X100&gt;=0),OR('前提と出典'!$C$37+'前提と出典'!$C$38=0,Y100&gt;=0)),0,A100)</ns0:f>
        <ns0:v>0</ns0:v>
      </ns0:c>
    </ns0:row>
    <ns0:row r="101" ht="24" customHeight="1">
      <ns0:c r="A101" s="4" t="n">
        <ns0:v>97</ns0:v>
      </ns0:c>
      <ns0:c r="B101" s="12">
        <ns0:f>A101*('前提と出典'!$C$36+'前提と出典'!$C$38)</ns0:f>
        <ns0:v>67.89999999999999</ns0:v>
      </ns0:c>
      <ns0:c r="C101" s="12">
        <ns0:f>A101*('前提と出典'!$C$37+'前提と出典'!$C$38)</ns0:f>
        <ns0:v>58.199999999999996</ns0:v>
      </ns0:c>
      <ns0:c r="D101" s="16">
        <ns0:f>A101*('前提と出典'!$C$36*'契約別単価'!C5+'前提と出典'!$C$37*'契約別単価'!C6+'前提と出典'!$C$38*'契約別単価'!C7)</ns0:f>
        <ns0:v>697.9664804469273</ns0:v>
      </ns0:c>
      <ns0:c r="E101" s="16">
        <ns0:f>A101*('前提と出典'!$C$36*'契約別単価'!E5+'前提と出典'!$C$37*'契約別単価'!E6+'前提と出典'!$C$38*'契約別単価'!E7)</ns0:f>
        <ns0:v>187689.6317030395</ns0:v>
      </ns0:c>
      <ns0:c r="F101" s="16">
        <ns0:f>A101*('前提と出典'!$C$36*'契約別単価'!F5+'前提と出典'!$C$37*'契約別単価'!F6+'前提と出典'!$C$38*'契約別単価'!F7)</ns0:f>
        <ns0:v>73661.36153128854</ns0:v>
      </ns0:c>
      <ns0:c r="G101" s="16">
        <ns0:f>A101*('前提と出典'!$C$36*'契約別単価'!G5+'前提と出典'!$C$37*'契約別単価'!G6+'前提と出典'!$C$38*'契約別単価'!G7)</ns0:f>
        <ns0:v>193078.77094972067</ns0:v>
      </ns0:c>
      <ns0:c r="H101" s="16">
        <ns0:f>A101*('前提と出典'!$C$36*'契約別単価'!H5+'前提と出典'!$C$37*'契約別単価'!H6+'前提と出典'!$C$38*'契約別単価'!H7)</ns0:f>
        <ns0:v>67008.01718087644</ns0:v>
      </ns0:c>
      <ns0:c r="I101" s="16">
        <ns0:f>A101*('前提と出典'!$C$36*'契約別単価'!I5+'前提と出典'!$C$37*'契約別単価'!I6+'前提と出典'!$C$38*'契約別単価'!I7)</ns0:f>
        <ns0:v>4092.9664804469267</ns0:v>
      </ns0:c>
      <ns0:c r="J101" s="16">
        <ns0:f>A101*('前提と出典'!$C$36*'契約別単価'!J5+'前提と出典'!$C$37*'契約別単価'!J6+'前提と出典'!$C$38*'契約別単価'!J7)</ns0:f>
        <ns0:v>9534.085739899348</ns0:v>
      </ns0:c>
      <ns0:c r="K101" s="16">
        <ns0:f>A101*('前提と出典'!$C$36*'契約別単価'!K5+'前提と出典'!$C$37*'契約別単価'!K6+'前提と出典'!$C$38*'契約別単価'!K7)</ns0:f>
        <ns0:v>40866.44320297951</ns0:v>
      </ns0:c>
      <ns0:c r="L101" s="16">
        <ns0:f>A101*('前提と出典'!$C$36*'契約別単価'!L5+'前提と出典'!$C$37*'契約別単価'!L6+'前提と出典'!$C$38*'契約別単価'!L7)</ns0:f>
        <ns0:v>33273.60057269588</ns0:v>
      </ns0:c>
      <ns0:c r="M101" s="16">
        <ns0:f>IF(('前提と出典'!$C$36+'前提と出典'!$C$38)=0,0,IF(B101&lt;=10,'前提と出典'!B73+'前提と出典'!C73,IF(B101&lt;=100,'前提と出典'!B74+'前提と出典'!C74,IF(B101&lt;=500,'前提と出典'!B75+'前提と出典'!C75,'前提と出典'!B76+'前提と出典'!C76))))</ns0:f>
        <ns0:v>20000</ns0:v>
      </ns0:c>
      <ns0:c r="N101" s="16">
        <ns0:f>IF(('前提と出典'!$C$37+'前提と出典'!$C$38)=0,0,IF(C101&lt;=10,'前提と出典'!D73+'前提と出典'!E73,IF(C101&lt;=100,'前提と出典'!D74+'前提と出典'!E74,IF(C101&lt;=500,'前提と出典'!D75+'前提と出典'!E75,'前提と出典'!D76+'前提と出典'!E76))))</ns0:f>
        <ns0:v>34510.9346263078</ns0:v>
      </ns0:c>
      <ns0:c r="O101" s="16">
        <ns0:f>IF('前提と出典'!$C$36+'前提と出典'!$C$38=0,0,'前提と出典'!$B$4*IF('前提と出典'!$B$20=0,MAX('前提と出典'!$B$6,D101*'前提と出典'!$B$5),'前提と出典'!$B$6+D101*'前提と出典'!$B$5))</ns0:f>
        <ns0:v>96319.37430167598</ns0:v>
      </ns0:c>
      <ns0:c r="P101" s="16">
        <ns0:f>(E101+G101)*(1-'前提と出典'!$B$7)-I101-K101-M101-O101</ns0:f>
        <ns0:v>205781.95617215836</ns0:v>
      </ns0:c>
      <ns0:c r="Q101" s="16">
        <ns0:f>(F101+H101)*(1-'前提と出典'!$B$7)-J101-L101-N101</ns0:f>
        <ns0:v>58286.66013962403</ns0:v>
      </ns0:c>
      <ns0:c r="R101" s="16">
        <ns0:f>P101-E101*'前提と出典'!$E$4</ns0:f>
        <ns0:v>149475.06666124653</ns0:v>
      </ns0:c>
      <ns0:c r="S101" s="16">
        <ns0:f>Q101-F101*'前提と出典'!$E$4</ns0:f>
        <ns0:v>36188.25168023747</ns0:v>
      </ns0:c>
      <ns0:c r="T101" s="7">
        <ns0:f>R101+S101</ns0:f>
        <ns0:v>185663.318341484</ns0:v>
      </ns0:c>
      <ns0:c r="U101" s="16">
        <ns0:f>P101-E101*'前提と出典'!$E$5</ns0:f>
        <ns0:v>130706.10349094258</ns0:v>
      </ns0:c>
      <ns0:c r="V101" s="16">
        <ns0:f>Q101-F101*'前提と出典'!$E$5</ns0:f>
        <ns0:v>28822.11552710861</ns0:v>
      </ns0:c>
      <ns0:c r="W101" s="7">
        <ns0:f>U101+V101</ns0:f>
        <ns0:v>159528.2190180512</ns0:v>
      </ns0:c>
      <ns0:c r="X101" s="16">
        <ns0:f>P101-E101*'前提と出典'!$E$6</ns0:f>
        <ns0:v>111937.14032063862</ns0:v>
      </ns0:c>
      <ns0:c r="Y101" s="16">
        <ns0:f>Q101-F101*'前提と出典'!$E$6</ns0:f>
        <ns0:v>21455.979373979753</ns0:v>
      </ns0:c>
      <ns0:c r="Z101" s="7">
        <ns0:f>X101+Y101</ns0:f>
        <ns0:v>133393.11969461836</ns0:v>
      </ns0:c>
      <ns0:c r="AA101" s="7">
        <ns0:f>IF(T101&gt;=0,A101,1001)</ns0:f>
        <ns0:v>97</ns0:v>
      </ns0:c>
      <ns0:c r="AB101" s="7">
        <ns0:f>IF(T101&lt;0,A101,0)</ns0:f>
        <ns0:v>0</ns0:v>
      </ns0:c>
      <ns0:c r="AC101" s="16">
        <ns0:f>IF(AND(OR('前提と出典'!$C$36+'前提と出典'!$C$38=0,R101&gt;=0),OR('前提と出典'!$C$37+'前提と出典'!$C$38=0,S101&gt;=0)),0,A101)</ns0:f>
        <ns0:v>0</ns0:v>
      </ns0:c>
      <ns0:c r="AD101" s="7">
        <ns0:f>IF(W101&gt;=0,A101,1001)</ns0:f>
        <ns0:v>97</ns0:v>
      </ns0:c>
      <ns0:c r="AE101" s="7">
        <ns0:f>IF(W101&lt;0,A101,0)</ns0:f>
        <ns0:v>0</ns0:v>
      </ns0:c>
      <ns0:c r="AF101" s="16">
        <ns0:f>IF(AND(OR('前提と出典'!$C$36+'前提と出典'!$C$38=0,U101&gt;=0),OR('前提と出典'!$C$37+'前提と出典'!$C$38=0,V101&gt;=0)),0,A101)</ns0:f>
        <ns0:v>0</ns0:v>
      </ns0:c>
      <ns0:c r="AG101" s="7">
        <ns0:f>IF(Z101&gt;=0,A101,1001)</ns0:f>
        <ns0:v>97</ns0:v>
      </ns0:c>
      <ns0:c r="AH101" s="4">
        <ns0:f>IF(Z101&lt;0,A101,0)</ns0:f>
        <ns0:v>0</ns0:v>
      </ns0:c>
      <ns0:c r="AI101" s="12">
        <ns0:f>IF(AND(OR('前提と出典'!$C$36+'前提と出典'!$C$38=0,X101&gt;=0),OR('前提と出典'!$C$37+'前提と出典'!$C$38=0,Y101&gt;=0)),0,A101)</ns0:f>
        <ns0:v>0</ns0:v>
      </ns0:c>
    </ns0:row>
    <ns0:row r="102" ht="24" customHeight="1">
      <ns0:c r="A102" s="4" t="n">
        <ns0:v>98</ns0:v>
      </ns0:c>
      <ns0:c r="B102" s="12">
        <ns0:f>A102*('前提と出典'!$C$36+'前提と出典'!$C$38)</ns0:f>
        <ns0:v>68.6</ns0:v>
      </ns0:c>
      <ns0:c r="C102" s="12">
        <ns0:f>A102*('前提と出典'!$C$37+'前提と出典'!$C$38)</ns0:f>
        <ns0:v>58.8</ns0:v>
      </ns0:c>
      <ns0:c r="D102" s="16">
        <ns0:f>A102*('前提と出典'!$C$36*'契約別単価'!C5+'前提と出典'!$C$37*'契約別単価'!C6+'前提と出典'!$C$38*'契約別単価'!C7)</ns0:f>
        <ns0:v>705.1620111731844</ns0:v>
      </ns0:c>
      <ns0:c r="E102" s="16">
        <ns0:f>A102*('前提と出典'!$C$36*'契約別単価'!E5+'前提と出典'!$C$37*'契約別単価'!E6+'前提と出典'!$C$38*'契約別単価'!E7)</ns0:f>
        <ns0:v>189624.57635977186</ns0:v>
      </ns0:c>
      <ns0:c r="F102" s="16">
        <ns0:f>A102*('前提と出典'!$C$36*'契約別単価'!F5+'前提と出典'!$C$37*'契約別単価'!F6+'前提と出典'!$C$38*'契約別単価'!F7)</ns0:f>
        <ns0:v>74420.75701099254</ns0:v>
      </ns0:c>
      <ns0:c r="G102" s="16">
        <ns0:f>A102*('前提と出典'!$C$36*'契約別単価'!G5+'前提と出典'!$C$37*'契約別単価'!G6+'前提と出典'!$C$38*'契約別単価'!G7)</ns0:f>
        <ns0:v>195069.27374301676</ns0:v>
      </ns0:c>
      <ns0:c r="H102" s="16">
        <ns0:f>A102*('前提と出典'!$C$36*'契約別単価'!H5+'前提と出典'!$C$37*'契約別単価'!H6+'前提と出典'!$C$38*'契約別単価'!H7)</ns0:f>
        <ns0:v>67698.82148171021</ns0:v>
      </ns0:c>
      <ns0:c r="I102" s="16">
        <ns0:f>A102*('前提と出典'!$C$36*'契約別単価'!I5+'前提と出典'!$C$37*'契約別単価'!I6+'前提と出典'!$C$38*'契約別単価'!I7)</ns0:f>
        <ns0:v>4135.162011173184</ns0:v>
      </ns0:c>
      <ns0:c r="J102" s="16">
        <ns0:f>A102*('前提と出典'!$C$36*'契約別単価'!J5+'前提と出典'!$C$37*'契約別単価'!J6+'前提と出典'!$C$38*'契約別単価'!J7)</ns0:f>
        <ns0:v>9632.375283609652</ns0:v>
      </ns0:c>
      <ns0:c r="K102" s="16">
        <ns0:f>A102*('前提と出典'!$C$36*'契約別単価'!K5+'前提と出典'!$C$37*'契約別単価'!K6+'前提と出典'!$C$38*'契約別単価'!K7)</ns0:f>
        <ns0:v>41287.74674115456</ns0:v>
      </ns0:c>
      <ns0:c r="L102" s="16">
        <ns0:f>A102*('前提と出典'!$C$36*'契約別単価'!L5+'前提と出典'!$C$37*'契約別単価'!L6+'前提と出典'!$C$38*'契約別単価'!L7)</ns0:f>
        <ns0:v>33616.62738272367</ns0:v>
      </ns0:c>
      <ns0:c r="M102" s="16">
        <ns0:f>IF(('前提と出典'!$C$36+'前提と出典'!$C$38)=0,0,IF(B102&lt;=10,'前提と出典'!B73+'前提と出典'!C73,IF(B102&lt;=100,'前提と出典'!B74+'前提と出典'!C74,IF(B102&lt;=500,'前提と出典'!B75+'前提と出典'!C75,'前提と出典'!B76+'前提と出典'!C76))))</ns0:f>
        <ns0:v>20000</ns0:v>
      </ns0:c>
      <ns0:c r="N102" s="16">
        <ns0:f>IF(('前提と出典'!$C$37+'前提と出典'!$C$38)=0,0,IF(C102&lt;=10,'前提と出典'!D73+'前提と出典'!E73,IF(C102&lt;=100,'前提と出典'!D74+'前提と出典'!E74,IF(C102&lt;=500,'前提と出典'!D75+'前提と出典'!E75,'前提と出典'!D76+'前提と出典'!E76))))</ns0:f>
        <ns0:v>34510.9346263078</ns0:v>
      </ns0:c>
      <ns0:c r="O102" s="16">
        <ns0:f>IF('前提と出典'!$C$36+'前提と出典'!$C$38=0,0,'前提と出典'!$B$4*IF('前提と出典'!$B$20=0,MAX('前提と出典'!$B$6,D102*'前提と出典'!$B$5),'前提と出典'!$B$6+D102*'前提と出典'!$B$5))</ns0:f>
        <ns0:v>97312.35754189946</ns0:v>
      </ns0:c>
      <ns0:c r="P102" s="16">
        <ns0:f>(E102+G102)*(1-'前提と出典'!$B$7)-I102-K102-M102-O102</ns0:f>
        <ns0:v>208109.60520486103</ns0:v>
      </ns0:c>
      <ns0:c r="Q102" s="16">
        <ns0:f>(F102+H102)*(1-'前提と出典'!$B$7)-J102-L102-N102</ns0:f>
        <ns0:v>59243.336374324324</ns0:v>
      </ns0:c>
      <ns0:c r="R102" s="16">
        <ns0:f>P102-E102*'前提と出典'!$E$4</ns0:f>
        <ns0:v>151222.23229692943</ns0:v>
      </ns0:c>
      <ns0:c r="S102" s="16">
        <ns0:f>Q102-F102*'前提と出典'!$E$4</ns0:f>
        <ns0:v>36917.10927102656</ns0:v>
      </ns0:c>
      <ns0:c r="T102" s="7">
        <ns0:f>R102+S102</ns0:f>
        <ns0:v>188139.341567956</ns0:v>
      </ns0:c>
      <ns0:c r="U102" s="16">
        <ns0:f>P102-E102*'前提と出典'!$E$5</ns0:f>
        <ns0:v>132259.77466095227</ns0:v>
      </ns0:c>
      <ns0:c r="V102" s="16">
        <ns0:f>Q102-F102*'前提と出典'!$E$5</ns0:f>
        <ns0:v>29475.033569927306</ns0:v>
      </ns0:c>
      <ns0:c r="W102" s="7">
        <ns0:f>U102+V102</ns0:f>
        <ns0:v>161734.80823087957</ns0:v>
      </ns0:c>
      <ns0:c r="X102" s="16">
        <ns0:f>P102-E102*'前提と出典'!$E$6</ns0:f>
        <ns0:v>113297.31702497508</ns0:v>
      </ns0:c>
      <ns0:c r="Y102" s="16">
        <ns0:f>Q102-F102*'前提と出典'!$E$6</ns0:f>
        <ns0:v>22032.957868828038</ns0:v>
      </ns0:c>
      <ns0:c r="Z102" s="7">
        <ns0:f>X102+Y102</ns0:f>
        <ns0:v>135330.2748938031</ns0:v>
      </ns0:c>
      <ns0:c r="AA102" s="7">
        <ns0:f>IF(T102&gt;=0,A102,1001)</ns0:f>
        <ns0:v>98</ns0:v>
      </ns0:c>
      <ns0:c r="AB102" s="7">
        <ns0:f>IF(T102&lt;0,A102,0)</ns0:f>
        <ns0:v>0</ns0:v>
      </ns0:c>
      <ns0:c r="AC102" s="16">
        <ns0:f>IF(AND(OR('前提と出典'!$C$36+'前提と出典'!$C$38=0,R102&gt;=0),OR('前提と出典'!$C$37+'前提と出典'!$C$38=0,S102&gt;=0)),0,A102)</ns0:f>
        <ns0:v>0</ns0:v>
      </ns0:c>
      <ns0:c r="AD102" s="7">
        <ns0:f>IF(W102&gt;=0,A102,1001)</ns0:f>
        <ns0:v>98</ns0:v>
      </ns0:c>
      <ns0:c r="AE102" s="7">
        <ns0:f>IF(W102&lt;0,A102,0)</ns0:f>
        <ns0:v>0</ns0:v>
      </ns0:c>
      <ns0:c r="AF102" s="16">
        <ns0:f>IF(AND(OR('前提と出典'!$C$36+'前提と出典'!$C$38=0,U102&gt;=0),OR('前提と出典'!$C$37+'前提と出典'!$C$38=0,V102&gt;=0)),0,A102)</ns0:f>
        <ns0:v>0</ns0:v>
      </ns0:c>
      <ns0:c r="AG102" s="7">
        <ns0:f>IF(Z102&gt;=0,A102,1001)</ns0:f>
        <ns0:v>98</ns0:v>
      </ns0:c>
      <ns0:c r="AH102" s="4">
        <ns0:f>IF(Z102&lt;0,A102,0)</ns0:f>
        <ns0:v>0</ns0:v>
      </ns0:c>
      <ns0:c r="AI102" s="12">
        <ns0:f>IF(AND(OR('前提と出典'!$C$36+'前提と出典'!$C$38=0,X102&gt;=0),OR('前提と出典'!$C$37+'前提と出典'!$C$38=0,Y102&gt;=0)),0,A102)</ns0:f>
        <ns0:v>0</ns0:v>
      </ns0:c>
    </ns0:row>
    <ns0:row r="103" ht="24" customHeight="1">
      <ns0:c r="A103" s="4" t="n">
        <ns0:v>99</ns0:v>
      </ns0:c>
      <ns0:c r="B103" s="12">
        <ns0:f>A103*('前提と出典'!$C$36+'前提と出典'!$C$38)</ns0:f>
        <ns0:v>69.3</ns0:v>
      </ns0:c>
      <ns0:c r="C103" s="12">
        <ns0:f>A103*('前提と出典'!$C$37+'前提と出典'!$C$38)</ns0:f>
        <ns0:v>59.4</ns0:v>
      </ns0:c>
      <ns0:c r="D103" s="16">
        <ns0:f>A103*('前提と出典'!$C$36*'契約別単価'!C5+'前提と出典'!$C$37*'契約別単価'!C6+'前提と出典'!$C$38*'契約別単価'!C7)</ns0:f>
        <ns0:v>712.3575418994413</ns0:v>
      </ns0:c>
      <ns0:c r="E103" s="16">
        <ns0:f>A103*('前提と出典'!$C$36*'契約別単価'!E5+'前提と出典'!$C$37*'契約別単価'!E6+'前提と出典'!$C$38*'契約別単価'!E7)</ns0:f>
        <ns0:v>191559.52101650424</ns0:v>
      </ns0:c>
      <ns0:c r="F103" s="16">
        <ns0:f>A103*('前提と出典'!$C$36*'契約別単価'!F5+'前提と出典'!$C$37*'契約別単価'!F6+'前提と出典'!$C$38*'契約別単価'!F7)</ns0:f>
        <ns0:v>75180.15249069655</ns0:v>
      </ns0:c>
      <ns0:c r="G103" s="16">
        <ns0:f>A103*('前提と出典'!$C$36*'契約別単価'!G5+'前提と出典'!$C$37*'契約別単価'!G6+'前提と出典'!$C$38*'契約別単価'!G7)</ns0:f>
        <ns0:v>197059.77653631283</ns0:v>
      </ns0:c>
      <ns0:c r="H103" s="16">
        <ns0:f>A103*('前提と出典'!$C$36*'契約別単価'!H5+'前提と出典'!$C$37*'契約別単価'!H6+'前提と出典'!$C$38*'契約別単価'!H7)</ns0:f>
        <ns0:v>68389.625782544</ns0:v>
      </ns0:c>
      <ns0:c r="I103" s="16">
        <ns0:f>A103*('前提と出典'!$C$36*'契約別単価'!I5+'前提と出典'!$C$37*'契約別単価'!I6+'前提と出典'!$C$38*'契約別単価'!I7)</ns0:f>
        <ns0:v>4177.357541899441</ns0:v>
      </ns0:c>
      <ns0:c r="J103" s="16">
        <ns0:f>A103*('前提と出典'!$C$36*'契約別単価'!J5+'前提と出典'!$C$37*'契約別単価'!J6+'前提と出典'!$C$38*'契約別単価'!J7)</ns0:f>
        <ns0:v>9730.664827319953</ns0:v>
      </ns0:c>
      <ns0:c r="K103" s="16">
        <ns0:f>A103*('前提と出典'!$C$36*'契約別単価'!K5+'前提と出典'!$C$37*'契約別単価'!K6+'前提と出典'!$C$38*'契約別単価'!K7)</ns0:f>
        <ns0:v>41709.050279329604</ns0:v>
      </ns0:c>
      <ns0:c r="L103" s="16">
        <ns0:f>A103*('前提と出典'!$C$36*'契約別単価'!L5+'前提と出典'!$C$37*'契約別単価'!L6+'前提と出典'!$C$38*'契約別単価'!L7)</ns0:f>
        <ns0:v>33959.65419275146</ns0:v>
      </ns0:c>
      <ns0:c r="M103" s="16">
        <ns0:f>IF(('前提と出典'!$C$36+'前提と出典'!$C$38)=0,0,IF(B103&lt;=10,'前提と出典'!B73+'前提と出典'!C73,IF(B103&lt;=100,'前提と出典'!B74+'前提と出典'!C74,IF(B103&lt;=500,'前提と出典'!B75+'前提と出典'!C75,'前提と出典'!B76+'前提と出典'!C76))))</ns0:f>
        <ns0:v>20000</ns0:v>
      </ns0:c>
      <ns0:c r="N103" s="16">
        <ns0:f>IF(('前提と出典'!$C$37+'前提と出典'!$C$38)=0,0,IF(C103&lt;=10,'前提と出典'!D73+'前提と出典'!E73,IF(C103&lt;=100,'前提と出典'!D74+'前提と出典'!E74,IF(C103&lt;=500,'前提と出典'!D75+'前提と出典'!E75,'前提と出典'!D76+'前提と出典'!E76))))</ns0:f>
        <ns0:v>34510.9346263078</ns0:v>
      </ns0:c>
      <ns0:c r="O103" s="16">
        <ns0:f>IF('前提と出典'!$C$36+'前提と出典'!$C$38=0,0,'前提と出典'!$B$4*IF('前提と出典'!$B$20=0,MAX('前提と出典'!$B$6,D103*'前提と出典'!$B$5),'前提と出典'!$B$6+D103*'前提と出典'!$B$5))</ns0:f>
        <ns0:v>98305.34078212292</ns0:v>
      </ns0:c>
      <ns0:c r="P103" s="16">
        <ns0:f>(E103+G103)*(1-'前提と出典'!$B$7)-I103-K103-M103-O103</ns0:f>
        <ns0:v>210437.2542375637</ns0:v>
      </ns0:c>
      <ns0:c r="Q103" s="16">
        <ns0:f>(F103+H103)*(1-'前提と出典'!$B$7)-J103-L103-N103</ns0:f>
        <ns0:v>60200.01260902466</ns0:v>
      </ns0:c>
      <ns0:c r="R103" s="16">
        <ns0:f>P103-E103*'前提と出典'!$E$4</ns0:f>
        <ns0:v>152969.39793261245</ns0:v>
      </ns0:c>
      <ns0:c r="S103" s="16">
        <ns0:f>Q103-F103*'前提と出典'!$E$4</ns0:f>
        <ns0:v>37645.96686181571</ns0:v>
      </ns0:c>
      <ns0:c r="T103" s="7">
        <ns0:f>R103+S103</ns0:f>
        <ns0:v>190615.36479442817</ns0:v>
      </ns0:c>
      <ns0:c r="U103" s="16">
        <ns0:f>P103-E103*'前提と出典'!$E$5</ns0:f>
        <ns0:v>133813.44583096198</ns0:v>
      </ns0:c>
      <ns0:c r="V103" s="16">
        <ns0:f>Q103-F103*'前提と出典'!$E$5</ns0:f>
        <ns0:v>30127.951612746045</ns0:v>
      </ns0:c>
      <ns0:c r="W103" s="7">
        <ns0:f>U103+V103</ns0:f>
        <ns0:v>163941.39744370803</ns0:v>
      </ns0:c>
      <ns0:c r="X103" s="16">
        <ns0:f>P103-E103*'前提と出典'!$E$6</ns0:f>
        <ns0:v>114657.49372931157</ns0:v>
      </ns0:c>
      <ns0:c r="Y103" s="16">
        <ns0:f>Q103-F103*'前提と出典'!$E$6</ns0:f>
        <ns0:v>22609.936363676396</ns0:v>
      </ns0:c>
      <ns0:c r="Z103" s="7">
        <ns0:f>X103+Y103</ns0:f>
        <ns0:v>137267.43009298795</ns0:v>
      </ns0:c>
      <ns0:c r="AA103" s="7">
        <ns0:f>IF(T103&gt;=0,A103,1001)</ns0:f>
        <ns0:v>99</ns0:v>
      </ns0:c>
      <ns0:c r="AB103" s="7">
        <ns0:f>IF(T103&lt;0,A103,0)</ns0:f>
        <ns0:v>0</ns0:v>
      </ns0:c>
      <ns0:c r="AC103" s="16">
        <ns0:f>IF(AND(OR('前提と出典'!$C$36+'前提と出典'!$C$38=0,R103&gt;=0),OR('前提と出典'!$C$37+'前提と出典'!$C$38=0,S103&gt;=0)),0,A103)</ns0:f>
        <ns0:v>0</ns0:v>
      </ns0:c>
      <ns0:c r="AD103" s="7">
        <ns0:f>IF(W103&gt;=0,A103,1001)</ns0:f>
        <ns0:v>99</ns0:v>
      </ns0:c>
      <ns0:c r="AE103" s="7">
        <ns0:f>IF(W103&lt;0,A103,0)</ns0:f>
        <ns0:v>0</ns0:v>
      </ns0:c>
      <ns0:c r="AF103" s="16">
        <ns0:f>IF(AND(OR('前提と出典'!$C$36+'前提と出典'!$C$38=0,U103&gt;=0),OR('前提と出典'!$C$37+'前提と出典'!$C$38=0,V103&gt;=0)),0,A103)</ns0:f>
        <ns0:v>0</ns0:v>
      </ns0:c>
      <ns0:c r="AG103" s="7">
        <ns0:f>IF(Z103&gt;=0,A103,1001)</ns0:f>
        <ns0:v>99</ns0:v>
      </ns0:c>
      <ns0:c r="AH103" s="4">
        <ns0:f>IF(Z103&lt;0,A103,0)</ns0:f>
        <ns0:v>0</ns0:v>
      </ns0:c>
      <ns0:c r="AI103" s="12">
        <ns0:f>IF(AND(OR('前提と出典'!$C$36+'前提と出典'!$C$38=0,X103&gt;=0),OR('前提と出典'!$C$37+'前提と出典'!$C$38=0,Y103&gt;=0)),0,A103)</ns0:f>
        <ns0:v>0</ns0:v>
      </ns0:c>
    </ns0:row>
    <ns0:row r="104" ht="24" customHeight="1">
      <ns0:c r="A104" s="4" t="n">
        <ns0:v>100</ns0:v>
      </ns0:c>
      <ns0:c r="B104" s="12">
        <ns0:f>A104*('前提と出典'!$C$36+'前提と出典'!$C$38)</ns0:f>
        <ns0:v>70</ns0:v>
      </ns0:c>
      <ns0:c r="C104" s="12">
        <ns0:f>A104*('前提と出典'!$C$37+'前提と出典'!$C$38)</ns0:f>
        <ns0:v>60</ns0:v>
      </ns0:c>
      <ns0:c r="D104" s="16">
        <ns0:f>A104*('前提と出典'!$C$36*'契約別単価'!C5+'前提と出典'!$C$37*'契約別単価'!C6+'前提と出典'!$C$38*'契約別単価'!C7)</ns0:f>
        <ns0:v>719.5530726256983</ns0:v>
      </ns0:c>
      <ns0:c r="E104" s="16">
        <ns0:f>A104*('前提と出典'!$C$36*'契約別単価'!E5+'前提と出典'!$C$37*'契約別単価'!E6+'前提と出典'!$C$38*'契約別単価'!E7)</ns0:f>
        <ns0:v>193494.46567323658</ns0:v>
      </ns0:c>
      <ns0:c r="F104" s="16">
        <ns0:f>A104*('前提と出典'!$C$36*'契約別単価'!F5+'前提と出典'!$C$37*'契約別単価'!F6+'前提と出典'!$C$38*'契約別単価'!F7)</ns0:f>
        <ns0:v>75939.54797040056</ns0:v>
      </ns0:c>
      <ns0:c r="G104" s="16">
        <ns0:f>A104*('前提と出典'!$C$36*'契約別単価'!G5+'前提と出典'!$C$37*'契約別単価'!G6+'前提と出典'!$C$38*'契約別単価'!G7)</ns0:f>
        <ns0:v>199050.27932960892</ns0:v>
      </ns0:c>
      <ns0:c r="H104" s="16">
        <ns0:f>A104*('前提と出典'!$C$36*'契約別単価'!H5+'前提と出典'!$C$37*'契約別単価'!H6+'前提と出典'!$C$38*'契約別単価'!H7)</ns0:f>
        <ns0:v>69080.43008337777</ns0:v>
      </ns0:c>
      <ns0:c r="I104" s="16">
        <ns0:f>A104*('前提と出典'!$C$36*'契約別単価'!I5+'前提と出典'!$C$37*'契約別単価'!I6+'前提と出典'!$C$38*'契約別単価'!I7)</ns0:f>
        <ns0:v>4219.5530726256975</ns0:v>
      </ns0:c>
      <ns0:c r="J104" s="16">
        <ns0:f>A104*('前提と出典'!$C$36*'契約別単価'!J5+'前提と出典'!$C$37*'契約別単価'!J6+'前提と出典'!$C$38*'契約別単価'!J7)</ns0:f>
        <ns0:v>9828.954371030257</ns0:v>
      </ns0:c>
      <ns0:c r="K104" s="16">
        <ns0:f>A104*('前提と出典'!$C$36*'契約別単価'!K5+'前提と出典'!$C$37*'契約別単価'!K6+'前提と出典'!$C$38*'契約別単価'!K7)</ns0:f>
        <ns0:v>42130.353817504656</ns0:v>
      </ns0:c>
      <ns0:c r="L104" s="16">
        <ns0:f>A104*('前提と出典'!$C$36*'契約別単価'!L5+'前提と出典'!$C$37*'契約別単価'!L6+'前提と出典'!$C$38*'契約別単価'!L7)</ns0:f>
        <ns0:v>34302.68100277926</ns0:v>
      </ns0:c>
      <ns0:c r="M104" s="16">
        <ns0:f>IF(('前提と出典'!$C$36+'前提と出典'!$C$38)=0,0,IF(B104&lt;=10,'前提と出典'!B73+'前提と出典'!C73,IF(B104&lt;=100,'前提と出典'!B74+'前提と出典'!C74,IF(B104&lt;=500,'前提と出典'!B75+'前提と出典'!C75,'前提と出典'!B76+'前提と出典'!C76))))</ns0:f>
        <ns0:v>20000</ns0:v>
      </ns0:c>
      <ns0:c r="N104" s="16">
        <ns0:f>IF(('前提と出典'!$C$37+'前提と出典'!$C$38)=0,0,IF(C104&lt;=10,'前提と出典'!D73+'前提と出典'!E73,IF(C104&lt;=100,'前提と出典'!D74+'前提と出典'!E74,IF(C104&lt;=500,'前提と出典'!D75+'前提と出典'!E75,'前提と出典'!D76+'前提と出典'!E76))))</ns0:f>
        <ns0:v>34510.9346263078</ns0:v>
      </ns0:c>
      <ns0:c r="O104" s="16">
        <ns0:f>IF('前提と出典'!$C$36+'前提と出典'!$C$38=0,0,'前提と出典'!$B$4*IF('前提と出典'!$B$20=0,MAX('前提と出典'!$B$6,D104*'前提と出典'!$B$5),'前提と出典'!$B$6+D104*'前提と出典'!$B$5))</ns0:f>
        <ns0:v>99298.32402234637</ns0:v>
      </ns0:c>
      <ns0:c r="P104" s="16">
        <ns0:f>(E104+G104)*(1-'前提と出典'!$B$7)-I104-K104-M104-O104</ns0:f>
        <ns0:v>212764.90327026637</ns0:v>
      </ns0:c>
      <ns0:c r="Q104" s="16">
        <ns0:f>(F104+H104)*(1-'前提と出典'!$B$7)-J104-L104-N104</ns0:f>
        <ns0:v>61156.68884372499</ns0:v>
      </ns0:c>
      <ns0:c r="R104" s="16">
        <ns0:f>P104-E104*'前提と出典'!$E$4</ns0:f>
        <ns0:v>154716.5635682954</ns0:v>
      </ns0:c>
      <ns0:c r="S104" s="16">
        <ns0:f>Q104-F104*'前提と出典'!$E$4</ns0:f>
        <ns0:v>38374.824452604815</ns0:v>
      </ns0:c>
      <ns0:c r="T104" s="7">
        <ns0:f>R104+S104</ns0:f>
        <ns0:v>193091.3880209002</ns0:v>
      </ns0:c>
      <ns0:c r="U104" s="16">
        <ns0:f>P104-E104*'前提と出典'!$E$5</ns0:f>
        <ns0:v>135367.11700097175</ns0:v>
      </ns0:c>
      <ns0:c r="V104" s="16">
        <ns0:f>Q104-F104*'前提と出典'!$E$5</ns0:f>
        <ns0:v>30780.869655564762</ns0:v>
      </ns0:c>
      <ns0:c r="W104" s="7">
        <ns0:f>U104+V104</ns0:f>
        <ns0:v>166147.98665653652</ns0:v>
      </ns0:c>
      <ns0:c r="X104" s="16">
        <ns0:f>P104-E104*'前提と出典'!$E$6</ns0:f>
        <ns0:v>116017.67043364803</ns0:v>
      </ns0:c>
      <ns0:c r="Y104" s="16">
        <ns0:f>Q104-F104*'前提と出典'!$E$6</ns0:f>
        <ns0:v>23186.914858524717</ns0:v>
      </ns0:c>
      <ns0:c r="Z104" s="7">
        <ns0:f>X104+Y104</ns0:f>
        <ns0:v>139204.58529217273</ns0:v>
      </ns0:c>
      <ns0:c r="AA104" s="7">
        <ns0:f>IF(T104&gt;=0,A104,1001)</ns0:f>
        <ns0:v>100</ns0:v>
      </ns0:c>
      <ns0:c r="AB104" s="7">
        <ns0:f>IF(T104&lt;0,A104,0)</ns0:f>
        <ns0:v>0</ns0:v>
      </ns0:c>
      <ns0:c r="AC104" s="16">
        <ns0:f>IF(AND(OR('前提と出典'!$C$36+'前提と出典'!$C$38=0,R104&gt;=0),OR('前提と出典'!$C$37+'前提と出典'!$C$38=0,S104&gt;=0)),0,A104)</ns0:f>
        <ns0:v>0</ns0:v>
      </ns0:c>
      <ns0:c r="AD104" s="7">
        <ns0:f>IF(W104&gt;=0,A104,1001)</ns0:f>
        <ns0:v>100</ns0:v>
      </ns0:c>
      <ns0:c r="AE104" s="7">
        <ns0:f>IF(W104&lt;0,A104,0)</ns0:f>
        <ns0:v>0</ns0:v>
      </ns0:c>
      <ns0:c r="AF104" s="16">
        <ns0:f>IF(AND(OR('前提と出典'!$C$36+'前提と出典'!$C$38=0,U104&gt;=0),OR('前提と出典'!$C$37+'前提と出典'!$C$38=0,V104&gt;=0)),0,A104)</ns0:f>
        <ns0:v>0</ns0:v>
      </ns0:c>
      <ns0:c r="AG104" s="7">
        <ns0:f>IF(Z104&gt;=0,A104,1001)</ns0:f>
        <ns0:v>100</ns0:v>
      </ns0:c>
      <ns0:c r="AH104" s="4">
        <ns0:f>IF(Z104&lt;0,A104,0)</ns0:f>
        <ns0:v>0</ns0:v>
      </ns0:c>
      <ns0:c r="AI104" s="12">
        <ns0:f>IF(AND(OR('前提と出典'!$C$36+'前提と出典'!$C$38=0,X104&gt;=0),OR('前提と出典'!$C$37+'前提と出典'!$C$38=0,Y104&gt;=0)),0,A104)</ns0:f>
        <ns0:v>0</ns0:v>
      </ns0:c>
    </ns0:row>
    <ns0:row r="105" ht="24" customHeight="1">
      <ns0:c r="A105" s="4" t="n">
        <ns0:v>101</ns0:v>
      </ns0:c>
      <ns0:c r="B105" s="12">
        <ns0:f>A105*('前提と出典'!$C$36+'前提と出典'!$C$38)</ns0:f>
        <ns0:v>70.69999999999999</ns0:v>
      </ns0:c>
      <ns0:c r="C105" s="12">
        <ns0:f>A105*('前提と出典'!$C$37+'前提と出典'!$C$38)</ns0:f>
        <ns0:v>60.599999999999994</ns0:v>
      </ns0:c>
      <ns0:c r="D105" s="16">
        <ns0:f>A105*('前提と出典'!$C$36*'契約別単価'!C5+'前提と出典'!$C$37*'契約別単価'!C6+'前提と出典'!$C$38*'契約別単価'!C7)</ns0:f>
        <ns0:v>726.7486033519554</ns0:v>
      </ns0:c>
      <ns0:c r="E105" s="16">
        <ns0:f>A105*('前提と出典'!$C$36*'契約別単価'!E5+'前提と出典'!$C$37*'契約別単価'!E6+'前提と出典'!$C$38*'契約別単価'!E7)</ns0:f>
        <ns0:v>195429.41032996896</ns0:v>
      </ns0:c>
      <ns0:c r="F105" s="16">
        <ns0:f>A105*('前提と出典'!$C$36*'契約別単価'!F5+'前提と出典'!$C$37*'契約別単価'!F6+'前提と出典'!$C$38*'契約別単価'!F7)</ns0:f>
        <ns0:v>76698.94345010456</ns0:v>
      </ns0:c>
      <ns0:c r="G105" s="16">
        <ns0:f>A105*('前提と出典'!$C$36*'契約別単価'!G5+'前提と出典'!$C$37*'契約別単価'!G6+'前提と出典'!$C$38*'契約別単価'!G7)</ns0:f>
        <ns0:v>201040.78212290502</ns0:v>
      </ns0:c>
      <ns0:c r="H105" s="16">
        <ns0:f>A105*('前提と出典'!$C$36*'契約別単価'!H5+'前提と出典'!$C$37*'契約別単価'!H6+'前提と出典'!$C$38*'契約別単価'!H7)</ns0:f>
        <ns0:v>69771.23438421155</ns0:v>
      </ns0:c>
      <ns0:c r="I105" s="16">
        <ns0:f>A105*('前提と出典'!$C$36*'契約別単価'!I5+'前提と出典'!$C$37*'契約別単価'!I6+'前提と出典'!$C$38*'契約別単価'!I7)</ns0:f>
        <ns0:v>4261.748603351954</ns0:v>
      </ns0:c>
      <ns0:c r="J105" s="16">
        <ns0:f>A105*('前提と出典'!$C$36*'契約別単価'!J5+'前提と出典'!$C$37*'契約別単価'!J6+'前提と出典'!$C$38*'契約別単価'!J7)</ns0:f>
        <ns0:v>9927.243914740558</ns0:v>
      </ns0:c>
      <ns0:c r="K105" s="16">
        <ns0:f>A105*('前提と出典'!$C$36*'契約別単価'!K5+'前提と出典'!$C$37*'契約別単価'!K6+'前提と出典'!$C$38*'契約別単価'!K7)</ns0:f>
        <ns0:v>42551.6573556797</ns0:v>
      </ns0:c>
      <ns0:c r="L105" s="16">
        <ns0:f>A105*('前提と出典'!$C$36*'契約別単価'!L5+'前提と出典'!$C$37*'契約別単価'!L6+'前提と出典'!$C$38*'契約別単価'!L7)</ns0:f>
        <ns0:v>34645.70781280705</ns0:v>
      </ns0:c>
      <ns0:c r="M105" s="16">
        <ns0:f>IF(('前提と出典'!$C$36+'前提と出典'!$C$38)=0,0,IF(B105&lt;=10,'前提と出典'!B73+'前提と出典'!C73,IF(B105&lt;=100,'前提と出典'!B74+'前提と出典'!C74,IF(B105&lt;=500,'前提と出典'!B75+'前提と出典'!C75,'前提と出典'!B76+'前提と出典'!C76))))</ns0:f>
        <ns0:v>20000</ns0:v>
      </ns0:c>
      <ns0:c r="N105" s="16">
        <ns0:f>IF(('前提と出典'!$C$37+'前提と出典'!$C$38)=0,0,IF(C105&lt;=10,'前提と出典'!D73+'前提と出典'!E73,IF(C105&lt;=100,'前提と出典'!D74+'前提と出典'!E74,IF(C105&lt;=500,'前提と出典'!D75+'前提と出典'!E75,'前提と出典'!D76+'前提と出典'!E76))))</ns0:f>
        <ns0:v>34510.9346263078</ns0:v>
      </ns0:c>
      <ns0:c r="O105" s="16">
        <ns0:f>IF('前提と出典'!$C$36+'前提と出典'!$C$38=0,0,'前提と出典'!$B$4*IF('前提と出典'!$B$20=0,MAX('前提と出典'!$B$6,D105*'前提と出典'!$B$5),'前提と出典'!$B$6+D105*'前提と出典'!$B$5))</ns0:f>
        <ns0:v>100291.30726256984</ns0:v>
      </ns0:c>
      <ns0:c r="P105" s="16">
        <ns0:f>(E105+G105)*(1-'前提と出典'!$B$7)-I105-K105-M105-O105</ns0:f>
        <ns0:v>215092.55230296907</ns0:v>
      </ns0:c>
      <ns0:c r="Q105" s="16">
        <ns0:f>(F105+H105)*(1-'前提と出典'!$B$7)-J105-L105-N105</ns0:f>
        <ns0:v>62113.36507842533</ns0:v>
      </ns0:c>
      <ns0:c r="R105" s="16">
        <ns0:f>P105-E105*'前提と出典'!$E$4</ns0:f>
        <ns0:v>156463.72920397838</ns0:v>
      </ns0:c>
      <ns0:c r="S105" s="16">
        <ns0:f>Q105-F105*'前提と出典'!$E$4</ns0:f>
        <ns0:v>39103.682043393965</ns0:v>
      </ns0:c>
      <ns0:c r="T105" s="7">
        <ns0:f>R105+S105</ns0:f>
        <ns0:v>195567.41124737234</ns0:v>
      </ns0:c>
      <ns0:c r="U105" s="16">
        <ns0:f>P105-E105*'前提と出典'!$E$5</ns0:f>
        <ns0:v>136920.78817098148</ns0:v>
      </ns0:c>
      <ns0:c r="V105" s="16">
        <ns0:f>Q105-F105*'前提と出典'!$E$5</ns0:f>
        <ns0:v>31433.78769838351</ns0:v>
      </ns0:c>
      <ns0:c r="W105" s="7">
        <ns0:f>U105+V105</ns0:f>
        <ns0:v>168354.57586936498</ns0:v>
      </ns0:c>
      <ns0:c r="X105" s="16">
        <ns0:f>P105-E105*'前提と出典'!$E$6</ns0:f>
        <ns0:v>117377.84713798456</ns0:v>
      </ns0:c>
      <ns0:c r="Y105" s="16">
        <ns0:f>Q105-F105*'前提と出典'!$E$6</ns0:f>
        <ns0:v>23763.893353373045</ns0:v>
      </ns0:c>
      <ns0:c r="Z105" s="7">
        <ns0:f>X105+Y105</ns0:f>
        <ns0:v>141141.7404913576</ns0:v>
      </ns0:c>
      <ns0:c r="AA105" s="7">
        <ns0:f>IF(T105&gt;=0,A105,1001)</ns0:f>
        <ns0:v>101</ns0:v>
      </ns0:c>
      <ns0:c r="AB105" s="7">
        <ns0:f>IF(T105&lt;0,A105,0)</ns0:f>
        <ns0:v>0</ns0:v>
      </ns0:c>
      <ns0:c r="AC105" s="16">
        <ns0:f>IF(AND(OR('前提と出典'!$C$36+'前提と出典'!$C$38=0,R105&gt;=0),OR('前提と出典'!$C$37+'前提と出典'!$C$38=0,S105&gt;=0)),0,A105)</ns0:f>
        <ns0:v>0</ns0:v>
      </ns0:c>
      <ns0:c r="AD105" s="7">
        <ns0:f>IF(W105&gt;=0,A105,1001)</ns0:f>
        <ns0:v>101</ns0:v>
      </ns0:c>
      <ns0:c r="AE105" s="7">
        <ns0:f>IF(W105&lt;0,A105,0)</ns0:f>
        <ns0:v>0</ns0:v>
      </ns0:c>
      <ns0:c r="AF105" s="16">
        <ns0:f>IF(AND(OR('前提と出典'!$C$36+'前提と出典'!$C$38=0,U105&gt;=0),OR('前提と出典'!$C$37+'前提と出典'!$C$38=0,V105&gt;=0)),0,A105)</ns0:f>
        <ns0:v>0</ns0:v>
      </ns0:c>
      <ns0:c r="AG105" s="7">
        <ns0:f>IF(Z105&gt;=0,A105,1001)</ns0:f>
        <ns0:v>101</ns0:v>
      </ns0:c>
      <ns0:c r="AH105" s="4">
        <ns0:f>IF(Z105&lt;0,A105,0)</ns0:f>
        <ns0:v>0</ns0:v>
      </ns0:c>
      <ns0:c r="AI105" s="12">
        <ns0:f>IF(AND(OR('前提と出典'!$C$36+'前提と出典'!$C$38=0,X105&gt;=0),OR('前提と出典'!$C$37+'前提と出典'!$C$38=0,Y105&gt;=0)),0,A105)</ns0:f>
        <ns0:v>0</ns0:v>
      </ns0:c>
    </ns0:row>
    <ns0:row r="106" ht="24" customHeight="1">
      <ns0:c r="A106" s="4" t="n">
        <ns0:v>102</ns0:v>
      </ns0:c>
      <ns0:c r="B106" s="12">
        <ns0:f>A106*('前提と出典'!$C$36+'前提と出典'!$C$38)</ns0:f>
        <ns0:v>71.39999999999999</ns0:v>
      </ns0:c>
      <ns0:c r="C106" s="12">
        <ns0:f>A106*('前提と出典'!$C$37+'前提と出典'!$C$38)</ns0:f>
        <ns0:v>61.199999999999996</ns0:v>
      </ns0:c>
      <ns0:c r="D106" s="16">
        <ns0:f>A106*('前提と出典'!$C$36*'契約別単価'!C5+'前提と出典'!$C$37*'契約別単価'!C6+'前提と出典'!$C$38*'契約別単価'!C7)</ns0:f>
        <ns0:v>733.9441340782123</ns0:v>
      </ns0:c>
      <ns0:c r="E106" s="16">
        <ns0:f>A106*('前提と出典'!$C$36*'契約別単価'!E5+'前提と出典'!$C$37*'契約別単価'!E6+'前提と出典'!$C$38*'契約別単価'!E7)</ns0:f>
        <ns0:v>197364.35498670134</ns0:v>
      </ns0:c>
      <ns0:c r="F106" s="16">
        <ns0:f>A106*('前提と出典'!$C$36*'契約別単価'!F5+'前提と出典'!$C$37*'契約別単価'!F6+'前提と出典'!$C$38*'契約別単価'!F7)</ns0:f>
        <ns0:v>77458.33892980857</ns0:v>
      </ns0:c>
      <ns0:c r="G106" s="16">
        <ns0:f>A106*('前提と出典'!$C$36*'契約別単価'!G5+'前提と出典'!$C$37*'契約別単価'!G6+'前提と出典'!$C$38*'契約別単価'!G7)</ns0:f>
        <ns0:v>203031.2849162011</ns0:v>
      </ns0:c>
      <ns0:c r="H106" s="16">
        <ns0:f>A106*('前提と出典'!$C$36*'契約別単価'!H5+'前提と出典'!$C$37*'契約別単価'!H6+'前提と出典'!$C$38*'契約別単価'!H7)</ns0:f>
        <ns0:v>70462.03868504532</ns0:v>
      </ns0:c>
      <ns0:c r="I106" s="16">
        <ns0:f>A106*('前提と出典'!$C$36*'契約別単価'!I5+'前提と出典'!$C$37*'契約別単価'!I6+'前提と出典'!$C$38*'契約別単価'!I7)</ns0:f>
        <ns0:v>4303.944134078211</ns0:v>
      </ns0:c>
      <ns0:c r="J106" s="16">
        <ns0:f>A106*('前提と出典'!$C$36*'契約別単価'!J5+'前提と出典'!$C$37*'契約別単価'!J6+'前提と出典'!$C$38*'契約別単価'!J7)</ns0:f>
        <ns0:v>10025.533458450862</ns0:v>
      </ns0:c>
      <ns0:c r="K106" s="16">
        <ns0:f>A106*('前提と出典'!$C$36*'契約別単価'!K5+'前提と出典'!$C$37*'契約別単価'!K6+'前提と出典'!$C$38*'契約別単価'!K7)</ns0:f>
        <ns0:v>42972.960893854746</ns0:v>
      </ns0:c>
      <ns0:c r="L106" s="16">
        <ns0:f>A106*('前提と出典'!$C$36*'契約別単価'!L5+'前提と出典'!$C$37*'契約別単価'!L6+'前提と出典'!$C$38*'契約別単価'!L7)</ns0:f>
        <ns0:v>34988.73462283484</ns0:v>
      </ns0:c>
      <ns0:c r="M106" s="16">
        <ns0:f>IF(('前提と出典'!$C$36+'前提と出典'!$C$38)=0,0,IF(B106&lt;=10,'前提と出典'!B73+'前提と出典'!C73,IF(B106&lt;=100,'前提と出典'!B74+'前提と出典'!C74,IF(B106&lt;=500,'前提と出典'!B75+'前提と出典'!C75,'前提と出典'!B76+'前提と出典'!C76))))</ns0:f>
        <ns0:v>20000</ns0:v>
      </ns0:c>
      <ns0:c r="N106" s="16">
        <ns0:f>IF(('前提と出典'!$C$37+'前提と出典'!$C$38)=0,0,IF(C106&lt;=10,'前提と出典'!D73+'前提と出典'!E73,IF(C106&lt;=100,'前提と出典'!D74+'前提と出典'!E74,IF(C106&lt;=500,'前提と出典'!D75+'前提と出典'!E75,'前提と出典'!D76+'前提と出典'!E76))))</ns0:f>
        <ns0:v>34510.9346263078</ns0:v>
      </ns0:c>
      <ns0:c r="O106" s="16">
        <ns0:f>IF('前提と出典'!$C$36+'前提と出典'!$C$38=0,0,'前提と出典'!$B$4*IF('前提と出典'!$B$20=0,MAX('前提と出典'!$B$6,D106*'前提と出典'!$B$5),'前提と出典'!$B$6+D106*'前提と出典'!$B$5))</ns0:f>
        <ns0:v>101284.2905027933</ns0:v>
      </ns0:c>
      <ns0:c r="P106" s="16">
        <ns0:f>(E106+G106)*(1-'前提と出典'!$B$7)-I106-K106-M106-O106</ns0:f>
        <ns0:v>217420.20133567168</ns0:v>
      </ns0:c>
      <ns0:c r="Q106" s="16">
        <ns0:f>(F106+H106)*(1-'前提と出典'!$B$7)-J106-L106-N106</ns0:f>
        <ns0:v>63070.041313125665</ns0:v>
      </ns0:c>
      <ns0:c r="R106" s="16">
        <ns0:f>P106-E106*'前提と出典'!$E$4</ns0:f>
        <ns0:v>158210.89483966128</ns0:v>
      </ns0:c>
      <ns0:c r="S106" s="16">
        <ns0:f>Q106-F106*'前提と出典'!$E$4</ns0:f>
        <ns0:v>39832.539634183086</ns0:v>
      </ns0:c>
      <ns0:c r="T106" s="7">
        <ns0:f>R106+S106</ns0:f>
        <ns0:v>198043.43447384436</ns0:v>
      </ns0:c>
      <ns0:c r="U106" s="16">
        <ns0:f>P106-E106*'前提と出典'!$E$5</ns0:f>
        <ns0:v>138474.45934099113</ns0:v>
      </ns0:c>
      <ns0:c r="V106" s="16">
        <ns0:f>Q106-F106*'前提と出典'!$E$5</ns0:f>
        <ns0:v>32086.705741202233</ns0:v>
      </ns0:c>
      <ns0:c r="W106" s="7">
        <ns0:f>U106+V106</ns0:f>
        <ns0:v>170561.16508219336</ns0:v>
      </ns0:c>
      <ns0:c r="X106" s="16">
        <ns0:f>P106-E106*'前提と出典'!$E$6</ns0:f>
        <ns0:v>118738.02384232098</ns0:v>
      </ns0:c>
      <ns0:c r="Y106" s="16">
        <ns0:f>Q106-F106*'前提と出典'!$E$6</ns0:f>
        <ns0:v>24340.871848221374</ns0:v>
      </ns0:c>
      <ns0:c r="Z106" s="7">
        <ns0:f>X106+Y106</ns0:f>
        <ns0:v>143078.89569054235</ns0:v>
      </ns0:c>
      <ns0:c r="AA106" s="7">
        <ns0:f>IF(T106&gt;=0,A106,1001)</ns0:f>
        <ns0:v>102</ns0:v>
      </ns0:c>
      <ns0:c r="AB106" s="7">
        <ns0:f>IF(T106&lt;0,A106,0)</ns0:f>
        <ns0:v>0</ns0:v>
      </ns0:c>
      <ns0:c r="AC106" s="16">
        <ns0:f>IF(AND(OR('前提と出典'!$C$36+'前提と出典'!$C$38=0,R106&gt;=0),OR('前提と出典'!$C$37+'前提と出典'!$C$38=0,S106&gt;=0)),0,A106)</ns0:f>
        <ns0:v>0</ns0:v>
      </ns0:c>
      <ns0:c r="AD106" s="7">
        <ns0:f>IF(W106&gt;=0,A106,1001)</ns0:f>
        <ns0:v>102</ns0:v>
      </ns0:c>
      <ns0:c r="AE106" s="7">
        <ns0:f>IF(W106&lt;0,A106,0)</ns0:f>
        <ns0:v>0</ns0:v>
      </ns0:c>
      <ns0:c r="AF106" s="16">
        <ns0:f>IF(AND(OR('前提と出典'!$C$36+'前提と出典'!$C$38=0,U106&gt;=0),OR('前提と出典'!$C$37+'前提と出典'!$C$38=0,V106&gt;=0)),0,A106)</ns0:f>
        <ns0:v>0</ns0:v>
      </ns0:c>
      <ns0:c r="AG106" s="7">
        <ns0:f>IF(Z106&gt;=0,A106,1001)</ns0:f>
        <ns0:v>102</ns0:v>
      </ns0:c>
      <ns0:c r="AH106" s="4">
        <ns0:f>IF(Z106&lt;0,A106,0)</ns0:f>
        <ns0:v>0</ns0:v>
      </ns0:c>
      <ns0:c r="AI106" s="12">
        <ns0:f>IF(AND(OR('前提と出典'!$C$36+'前提と出典'!$C$38=0,X106&gt;=0),OR('前提と出典'!$C$37+'前提と出典'!$C$38=0,Y106&gt;=0)),0,A106)</ns0:f>
        <ns0:v>0</ns0:v>
      </ns0:c>
    </ns0:row>
    <ns0:row r="107" ht="24" customHeight="1">
      <ns0:c r="A107" s="4" t="n">
        <ns0:v>103</ns0:v>
      </ns0:c>
      <ns0:c r="B107" s="12">
        <ns0:f>A107*('前提と出典'!$C$36+'前提と出典'!$C$38)</ns0:f>
        <ns0:v>72.1</ns0:v>
      </ns0:c>
      <ns0:c r="C107" s="12">
        <ns0:f>A107*('前提と出典'!$C$37+'前提と出典'!$C$38)</ns0:f>
        <ns0:v>61.8</ns0:v>
      </ns0:c>
      <ns0:c r="D107" s="16">
        <ns0:f>A107*('前提と出典'!$C$36*'契約別単価'!C5+'前提と出典'!$C$37*'契約別単価'!C6+'前提と出典'!$C$38*'契約別単価'!C7)</ns0:f>
        <ns0:v>741.1396648044692</ns0:v>
      </ns0:c>
      <ns0:c r="E107" s="16">
        <ns0:f>A107*('前提と出典'!$C$36*'契約別単価'!E5+'前提と出典'!$C$37*'契約別単価'!E6+'前提と出典'!$C$38*'契約別単価'!E7)</ns0:f>
        <ns0:v>199299.29964343368</ns0:v>
      </ns0:c>
      <ns0:c r="F107" s="16">
        <ns0:f>A107*('前提と出典'!$C$36*'契約別単価'!F5+'前提と出典'!$C$37*'契約別単価'!F6+'前提と出典'!$C$38*'契約別単価'!F7)</ns0:f>
        <ns0:v>78217.73440951257</ns0:v>
      </ns0:c>
      <ns0:c r="G107" s="16">
        <ns0:f>A107*('前提と出典'!$C$36*'契約別単価'!G5+'前提と出典'!$C$37*'契約別単価'!G6+'前提と出典'!$C$38*'契約別単価'!G7)</ns0:f>
        <ns0:v>205021.7877094972</ns0:v>
      </ns0:c>
      <ns0:c r="H107" s="16">
        <ns0:f>A107*('前提と出典'!$C$36*'契約別単価'!H5+'前提と出典'!$C$37*'契約別単価'!H6+'前提と出典'!$C$38*'契約別単価'!H7)</ns0:f>
        <ns0:v>71152.8429858791</ns0:v>
      </ns0:c>
      <ns0:c r="I107" s="16">
        <ns0:f>A107*('前提と出典'!$C$36*'契約別単価'!I5+'前提と出典'!$C$37*'契約別単価'!I6+'前提と出典'!$C$38*'契約別単価'!I7)</ns0:f>
        <ns0:v>4346.139664804468</ns0:v>
      </ns0:c>
      <ns0:c r="J107" s="16">
        <ns0:f>A107*('前提と出典'!$C$36*'契約別単価'!J5+'前提と出典'!$C$37*'契約別単価'!J6+'前提と出典'!$C$38*'契約別単価'!J7)</ns0:f>
        <ns0:v>10123.823002161165</ns0:v>
      </ns0:c>
      <ns0:c r="K107" s="16">
        <ns0:f>A107*('前提と出典'!$C$36*'契約別単価'!K5+'前提と出典'!$C$37*'契約別単価'!K6+'前提と出典'!$C$38*'契約別単価'!K7)</ns0:f>
        <ns0:v>43394.26443202979</ns0:v>
      </ns0:c>
      <ns0:c r="L107" s="16">
        <ns0:f>A107*('前提と出典'!$C$36*'契約別単価'!L5+'前提と出典'!$C$37*'契約別単価'!L6+'前提と出典'!$C$38*'契約別単価'!L7)</ns0:f>
        <ns0:v>35331.76143286264</ns0:v>
      </ns0:c>
      <ns0:c r="M107" s="16">
        <ns0:f>IF(('前提と出典'!$C$36+'前提と出典'!$C$38)=0,0,IF(B107&lt;=10,'前提と出典'!B73+'前提と出典'!C73,IF(B107&lt;=100,'前提と出典'!B74+'前提と出典'!C74,IF(B107&lt;=500,'前提と出典'!B75+'前提と出典'!C75,'前提と出典'!B76+'前提と出典'!C76))))</ns0:f>
        <ns0:v>20000</ns0:v>
      </ns0:c>
      <ns0:c r="N107" s="16">
        <ns0:f>IF(('前提と出典'!$C$37+'前提と出典'!$C$38)=0,0,IF(C107&lt;=10,'前提と出典'!D73+'前提と出典'!E73,IF(C107&lt;=100,'前提と出典'!D74+'前提と出典'!E74,IF(C107&lt;=500,'前提と出典'!D75+'前提と出典'!E75,'前提と出典'!D76+'前提と出典'!E76))))</ns0:f>
        <ns0:v>34510.9346263078</ns0:v>
      </ns0:c>
      <ns0:c r="O107" s="16">
        <ns0:f>IF('前提と出典'!$C$36+'前提と出典'!$C$38=0,0,'前提と出典'!$B$4*IF('前提と出典'!$B$20=0,MAX('前提と出典'!$B$6,D107*'前提と出典'!$B$5),'前提と出典'!$B$6+D107*'前提と出典'!$B$5))</ns0:f>
        <ns0:v>102277.27374301676</ns0:v>
      </ns0:c>
      <ns0:c r="P107" s="16">
        <ns0:f>(E107+G107)*(1-'前提と出典'!$B$7)-I107-K107-M107-O107</ns0:f>
        <ns0:v>219747.85036837435</ns0:v>
      </ns0:c>
      <ns0:c r="Q107" s="16">
        <ns0:f>(F107+H107)*(1-'前提と出典'!$B$7)-J107-L107-N107</ns0:f>
        <ns0:v>64026.71754782599</ns0:v>
      </ns0:c>
      <ns0:c r="R107" s="16">
        <ns0:f>P107-E107*'前提と出典'!$E$4</ns0:f>
        <ns0:v>159958.0604753443</ns0:v>
      </ns0:c>
      <ns0:c r="S107" s="16">
        <ns0:f>Q107-F107*'前提と出典'!$E$4</ns0:f>
        <ns0:v>40561.39722497221</ns0:v>
      </ns0:c>
      <ns0:c r="T107" s="7">
        <ns0:f>R107+S107</ns0:f>
        <ns0:v>200519.4577003165</ns0:v>
      </ns0:c>
      <ns0:c r="U107" s="16">
        <ns0:f>P107-E107*'前提と出典'!$E$5</ns0:f>
        <ns0:v>140028.13051100087</ns0:v>
      </ns0:c>
      <ns0:c r="V107" s="16">
        <ns0:f>Q107-F107*'前提と出典'!$E$5</ns0:f>
        <ns0:v>32739.623784020958</ns0:v>
      </ns0:c>
      <ns0:c r="W107" s="7">
        <ns0:f>U107+V107</ns0:f>
        <ns0:v>172767.75429502182</ns0:v>
      </ns0:c>
      <ns0:c r="X107" s="16">
        <ns0:f>P107-E107*'前提と出典'!$E$6</ns0:f>
        <ns0:v>120098.20054665755</ns0:v>
      </ns0:c>
      <ns0:c r="Y107" s="16">
        <ns0:f>Q107-F107*'前提と出典'!$E$6</ns0:f>
        <ns0:v>24917.850343069695</ns0:v>
      </ns0:c>
      <ns0:c r="Z107" s="7">
        <ns0:f>X107+Y107</ns0:f>
        <ns0:v>145016.05088972725</ns0:v>
      </ns0:c>
      <ns0:c r="AA107" s="7">
        <ns0:f>IF(T107&gt;=0,A107,1001)</ns0:f>
        <ns0:v>103</ns0:v>
      </ns0:c>
      <ns0:c r="AB107" s="7">
        <ns0:f>IF(T107&lt;0,A107,0)</ns0:f>
        <ns0:v>0</ns0:v>
      </ns0:c>
      <ns0:c r="AC107" s="16">
        <ns0:f>IF(AND(OR('前提と出典'!$C$36+'前提と出典'!$C$38=0,R107&gt;=0),OR('前提と出典'!$C$37+'前提と出典'!$C$38=0,S107&gt;=0)),0,A107)</ns0:f>
        <ns0:v>0</ns0:v>
      </ns0:c>
      <ns0:c r="AD107" s="7">
        <ns0:f>IF(W107&gt;=0,A107,1001)</ns0:f>
        <ns0:v>103</ns0:v>
      </ns0:c>
      <ns0:c r="AE107" s="7">
        <ns0:f>IF(W107&lt;0,A107,0)</ns0:f>
        <ns0:v>0</ns0:v>
      </ns0:c>
      <ns0:c r="AF107" s="16">
        <ns0:f>IF(AND(OR('前提と出典'!$C$36+'前提と出典'!$C$38=0,U107&gt;=0),OR('前提と出典'!$C$37+'前提と出典'!$C$38=0,V107&gt;=0)),0,A107)</ns0:f>
        <ns0:v>0</ns0:v>
      </ns0:c>
      <ns0:c r="AG107" s="7">
        <ns0:f>IF(Z107&gt;=0,A107,1001)</ns0:f>
        <ns0:v>103</ns0:v>
      </ns0:c>
      <ns0:c r="AH107" s="4">
        <ns0:f>IF(Z107&lt;0,A107,0)</ns0:f>
        <ns0:v>0</ns0:v>
      </ns0:c>
      <ns0:c r="AI107" s="12">
        <ns0:f>IF(AND(OR('前提と出典'!$C$36+'前提と出典'!$C$38=0,X107&gt;=0),OR('前提と出典'!$C$37+'前提と出典'!$C$38=0,Y107&gt;=0)),0,A107)</ns0:f>
        <ns0:v>0</ns0:v>
      </ns0:c>
    </ns0:row>
    <ns0:row r="108" ht="24" customHeight="1">
      <ns0:c r="A108" s="4" t="n">
        <ns0:v>104</ns0:v>
      </ns0:c>
      <ns0:c r="B108" s="12">
        <ns0:f>A108*('前提と出典'!$C$36+'前提と出典'!$C$38)</ns0:f>
        <ns0:v>72.8</ns0:v>
      </ns0:c>
      <ns0:c r="C108" s="12">
        <ns0:f>A108*('前提と出典'!$C$37+'前提と出典'!$C$38)</ns0:f>
        <ns0:v>62.4</ns0:v>
      </ns0:c>
      <ns0:c r="D108" s="16">
        <ns0:f>A108*('前提と出典'!$C$36*'契約別単価'!C5+'前提と出典'!$C$37*'契約別単価'!C6+'前提と出典'!$C$38*'契約別単価'!C7)</ns0:f>
        <ns0:v>748.3351955307262</ns0:v>
      </ns0:c>
      <ns0:c r="E108" s="16">
        <ns0:f>A108*('前提と出典'!$C$36*'契約別単価'!E5+'前提と出典'!$C$37*'契約別単価'!E6+'前提と出典'!$C$38*'契約別単価'!E7)</ns0:f>
        <ns0:v>201234.24430016606</ns0:v>
      </ns0:c>
      <ns0:c r="F108" s="16">
        <ns0:f>A108*('前提と出典'!$C$36*'契約別単価'!F5+'前提と出典'!$C$37*'契約別単価'!F6+'前提と出典'!$C$38*'契約別単価'!F7)</ns0:f>
        <ns0:v>78977.12988921658</ns0:v>
      </ns0:c>
      <ns0:c r="G108" s="16">
        <ns0:f>A108*('前提と出典'!$C$36*'契約別単価'!G5+'前提と出典'!$C$37*'契約別単価'!G6+'前提と出典'!$C$38*'契約別単価'!G7)</ns0:f>
        <ns0:v>207012.29050279327</ns0:v>
      </ns0:c>
      <ns0:c r="H108" s="16">
        <ns0:f>A108*('前提と出典'!$C$36*'契約別単価'!H5+'前提と出典'!$C$37*'契約別単価'!H6+'前提と出典'!$C$38*'契約別単価'!H7)</ns0:f>
        <ns0:v>71843.64728671288</ns0:v>
      </ns0:c>
      <ns0:c r="I108" s="16">
        <ns0:f>A108*('前提と出典'!$C$36*'契約別単価'!I5+'前提と出典'!$C$37*'契約別単価'!I6+'前提と出典'!$C$38*'契約別単価'!I7)</ns0:f>
        <ns0:v>4388.335195530725</ns0:v>
      </ns0:c>
      <ns0:c r="J108" s="16">
        <ns0:f>A108*('前提と出典'!$C$36*'契約別単価'!J5+'前提と出典'!$C$37*'契約別単価'!J6+'前提と出典'!$C$38*'契約別単価'!J7)</ns0:f>
        <ns0:v>10222.112545871467</ns0:v>
      </ns0:c>
      <ns0:c r="K108" s="16">
        <ns0:f>A108*('前提と出典'!$C$36*'契約別単価'!K5+'前提と出典'!$C$37*'契約別単価'!K6+'前提と出典'!$C$38*'契約別単価'!K7)</ns0:f>
        <ns0:v>43815.56797020484</ns0:v>
      </ns0:c>
      <ns0:c r="L108" s="16">
        <ns0:f>A108*('前提と出典'!$C$36*'契約別単価'!L5+'前提と出典'!$C$37*'契約別単価'!L6+'前提と出典'!$C$38*'契約別単価'!L7)</ns0:f>
        <ns0:v>35674.78824289043</ns0:v>
      </ns0:c>
      <ns0:c r="M108" s="16">
        <ns0:f>IF(('前提と出典'!$C$36+'前提と出典'!$C$38)=0,0,IF(B108&lt;=10,'前提と出典'!B73+'前提と出典'!C73,IF(B108&lt;=100,'前提と出典'!B74+'前提と出典'!C74,IF(B108&lt;=500,'前提と出典'!B75+'前提と出典'!C75,'前提と出典'!B76+'前提と出典'!C76))))</ns0:f>
        <ns0:v>20000</ns0:v>
      </ns0:c>
      <ns0:c r="N108" s="16">
        <ns0:f>IF(('前提と出典'!$C$37+'前提と出典'!$C$38)=0,0,IF(C108&lt;=10,'前提と出典'!D73+'前提と出典'!E73,IF(C108&lt;=100,'前提と出典'!D74+'前提と出典'!E74,IF(C108&lt;=500,'前提と出典'!D75+'前提と出典'!E75,'前提と出典'!D76+'前提と出典'!E76))))</ns0:f>
        <ns0:v>34510.9346263078</ns0:v>
      </ns0:c>
      <ns0:c r="O108" s="16">
        <ns0:f>IF('前提と出典'!$C$36+'前提と出典'!$C$38=0,0,'前提と出典'!$B$4*IF('前提と出典'!$B$20=0,MAX('前提と出典'!$B$6,D108*'前提と出典'!$B$5),'前提と出典'!$B$6+D108*'前提と出典'!$B$5))</ns0:f>
        <ns0:v>103270.25698324022</ns0:v>
      </ns0:c>
      <ns0:c r="P108" s="16">
        <ns0:f>(E108+G108)*(1-'前提と出典'!$B$7)-I108-K108-M108-O108</ns0:f>
        <ns0:v>222075.499401077</ns0:v>
      </ns0:c>
      <ns0:c r="Q108" s="16">
        <ns0:f>(F108+H108)*(1-'前提と出典'!$B$7)-J108-L108-N108</ns0:f>
        <ns0:v>64983.3937825263</ns0:v>
      </ns0:c>
      <ns0:c r="R108" s="16">
        <ns0:f>P108-E108*'前提と出典'!$E$4</ns0:f>
        <ns0:v>161705.2261110272</ns0:v>
      </ns0:c>
      <ns0:c r="S108" s="16">
        <ns0:f>Q108-F108*'前提と出典'!$E$4</ns0:f>
        <ns0:v>41290.25481576133</ns0:v>
      </ns0:c>
      <ns0:c r="T108" s="7">
        <ns0:f>R108+S108</ns0:f>
        <ns0:v>202995.48092678853</ns0:v>
      </ns0:c>
      <ns0:c r="U108" s="16">
        <ns0:f>P108-E108*'前提と出典'!$E$5</ns0:f>
        <ns0:v>141581.80168101055</ns0:v>
      </ns0:c>
      <ns0:c r="V108" s="16">
        <ns0:f>Q108-F108*'前提と出典'!$E$5</ns0:f>
        <ns0:v>33392.54182683967</ns0:v>
      </ns0:c>
      <ns0:c r="W108" s="7">
        <ns0:f>U108+V108</ns0:f>
        <ns0:v>174974.34350785022</ns0:v>
      </ns0:c>
      <ns0:c r="X108" s="16">
        <ns0:f>P108-E108*'前提と出典'!$E$6</ns0:f>
        <ns0:v>121458.37725099397</ns0:v>
      </ns0:c>
      <ns0:c r="Y108" s="16">
        <ns0:f>Q108-F108*'前提と出典'!$E$6</ns0:f>
        <ns0:v>25494.828837918023</ns0:v>
      </ns0:c>
      <ns0:c r="Z108" s="7">
        <ns0:f>X108+Y108</ns0:f>
        <ns0:v>146953.206088912</ns0:v>
      </ns0:c>
      <ns0:c r="AA108" s="7">
        <ns0:f>IF(T108&gt;=0,A108,1001)</ns0:f>
        <ns0:v>104</ns0:v>
      </ns0:c>
      <ns0:c r="AB108" s="7">
        <ns0:f>IF(T108&lt;0,A108,0)</ns0:f>
        <ns0:v>0</ns0:v>
      </ns0:c>
      <ns0:c r="AC108" s="16">
        <ns0:f>IF(AND(OR('前提と出典'!$C$36+'前提と出典'!$C$38=0,R108&gt;=0),OR('前提と出典'!$C$37+'前提と出典'!$C$38=0,S108&gt;=0)),0,A108)</ns0:f>
        <ns0:v>0</ns0:v>
      </ns0:c>
      <ns0:c r="AD108" s="7">
        <ns0:f>IF(W108&gt;=0,A108,1001)</ns0:f>
        <ns0:v>104</ns0:v>
      </ns0:c>
      <ns0:c r="AE108" s="7">
        <ns0:f>IF(W108&lt;0,A108,0)</ns0:f>
        <ns0:v>0</ns0:v>
      </ns0:c>
      <ns0:c r="AF108" s="16">
        <ns0:f>IF(AND(OR('前提と出典'!$C$36+'前提と出典'!$C$38=0,U108&gt;=0),OR('前提と出典'!$C$37+'前提と出典'!$C$38=0,V108&gt;=0)),0,A108)</ns0:f>
        <ns0:v>0</ns0:v>
      </ns0:c>
      <ns0:c r="AG108" s="7">
        <ns0:f>IF(Z108&gt;=0,A108,1001)</ns0:f>
        <ns0:v>104</ns0:v>
      </ns0:c>
      <ns0:c r="AH108" s="4">
        <ns0:f>IF(Z108&lt;0,A108,0)</ns0:f>
        <ns0:v>0</ns0:v>
      </ns0:c>
      <ns0:c r="AI108" s="12">
        <ns0:f>IF(AND(OR('前提と出典'!$C$36+'前提と出典'!$C$38=0,X108&gt;=0),OR('前提と出典'!$C$37+'前提と出典'!$C$38=0,Y108&gt;=0)),0,A108)</ns0:f>
        <ns0:v>0</ns0:v>
      </ns0:c>
    </ns0:row>
    <ns0:row r="109" ht="24" customHeight="1">
      <ns0:c r="A109" s="4" t="n">
        <ns0:v>105</ns0:v>
      </ns0:c>
      <ns0:c r="B109" s="12">
        <ns0:f>A109*('前提と出典'!$C$36+'前提と出典'!$C$38)</ns0:f>
        <ns0:v>73.5</ns0:v>
      </ns0:c>
      <ns0:c r="C109" s="12">
        <ns0:f>A109*('前提と出典'!$C$37+'前提と出典'!$C$38)</ns0:f>
        <ns0:v>63</ns0:v>
      </ns0:c>
      <ns0:c r="D109" s="16">
        <ns0:f>A109*('前提と出典'!$C$36*'契約別単価'!C5+'前提と出典'!$C$37*'契約別単価'!C6+'前提と出典'!$C$38*'契約別単価'!C7)</ns0:f>
        <ns0:v>755.5307262569833</ns0:v>
      </ns0:c>
      <ns0:c r="E109" s="16">
        <ns0:f>A109*('前提と出典'!$C$36*'契約別単価'!E5+'前提と出典'!$C$37*'契約別単価'!E6+'前提と出典'!$C$38*'契約別単価'!E7)</ns0:f>
        <ns0:v>203169.18895689843</ns0:v>
      </ns0:c>
      <ns0:c r="F109" s="16">
        <ns0:f>A109*('前提と出典'!$C$36*'契約別単価'!F5+'前提と出典'!$C$37*'契約別単価'!F6+'前提と出典'!$C$38*'契約別単価'!F7)</ns0:f>
        <ns0:v>79736.52536892059</ns0:v>
      </ns0:c>
      <ns0:c r="G109" s="16">
        <ns0:f>A109*('前提と出典'!$C$36*'契約別単価'!G5+'前提と出典'!$C$37*'契約別単価'!G6+'前提と出典'!$C$38*'契約別単価'!G7)</ns0:f>
        <ns0:v>209002.79329608937</ns0:v>
      </ns0:c>
      <ns0:c r="H109" s="16">
        <ns0:f>A109*('前提と出典'!$C$36*'契約別単価'!H5+'前提と出典'!$C$37*'契約別単価'!H6+'前提と出典'!$C$38*'契約別単価'!H7)</ns0:f>
        <ns0:v>72534.45158754666</ns0:v>
      </ns0:c>
      <ns0:c r="I109" s="16">
        <ns0:f>A109*('前提と出典'!$C$36*'契約別単価'!I5+'前提と出典'!$C$37*'契約別単価'!I6+'前提と出典'!$C$38*'契約別単価'!I7)</ns0:f>
        <ns0:v>4430.530726256982</ns0:v>
      </ns0:c>
      <ns0:c r="J109" s="16">
        <ns0:f>A109*('前提と出典'!$C$36*'契約別単価'!J5+'前提と出典'!$C$37*'契約別単価'!J6+'前提と出典'!$C$38*'契約別単価'!J7)</ns0:f>
        <ns0:v>10320.40208958177</ns0:v>
      </ns0:c>
      <ns0:c r="K109" s="16">
        <ns0:f>A109*('前提と出典'!$C$36*'契約別単価'!K5+'前提と出典'!$C$37*'契約別単価'!K6+'前提と出典'!$C$38*'契約別単価'!K7)</ns0:f>
        <ns0:v>44236.87150837989</ns0:v>
      </ns0:c>
      <ns0:c r="L109" s="16">
        <ns0:f>A109*('前提と出典'!$C$36*'契約別単価'!L5+'前提と出典'!$C$37*'契約別単価'!L6+'前提と出典'!$C$38*'契約別単価'!L7)</ns0:f>
        <ns0:v>36017.815052918224</ns0:v>
      </ns0:c>
      <ns0:c r="M109" s="16">
        <ns0:f>IF(('前提と出典'!$C$36+'前提と出典'!$C$38)=0,0,IF(B109&lt;=10,'前提と出典'!B73+'前提と出典'!C73,IF(B109&lt;=100,'前提と出典'!B74+'前提と出典'!C74,IF(B109&lt;=500,'前提と出典'!B75+'前提と出典'!C75,'前提と出典'!B76+'前提と出典'!C76))))</ns0:f>
        <ns0:v>20000</ns0:v>
      </ns0:c>
      <ns0:c r="N109" s="16">
        <ns0:f>IF(('前提と出典'!$C$37+'前提と出典'!$C$38)=0,0,IF(C109&lt;=10,'前提と出典'!D73+'前提と出典'!E73,IF(C109&lt;=100,'前提と出典'!D74+'前提と出典'!E74,IF(C109&lt;=500,'前提と出典'!D75+'前提と出典'!E75,'前提と出典'!D76+'前提と出典'!E76))))</ns0:f>
        <ns0:v>34510.9346263078</ns0:v>
      </ns0:c>
      <ns0:c r="O109" s="16">
        <ns0:f>IF('前提と出典'!$C$36+'前提と出典'!$C$38=0,0,'前提と出典'!$B$4*IF('前提と出典'!$B$20=0,MAX('前提と出典'!$B$6,D109*'前提と出典'!$B$5),'前提と出典'!$B$6+D109*'前提と出典'!$B$5))</ns0:f>
        <ns0:v>104263.2402234637</ns0:v>
      </ns0:c>
      <ns0:c r="P109" s="16">
        <ns0:f>(E109+G109)*(1-'前提と出典'!$B$7)-I109-K109-M109-O109</ns0:f>
        <ns0:v>224403.14843377972</ns0:v>
      </ns0:c>
      <ns0:c r="Q109" s="16">
        <ns0:f>(F109+H109)*(1-'前提と出典'!$B$7)-J109-L109-N109</ns0:f>
        <ns0:v>65940.07001722665</ns0:v>
      </ns0:c>
      <ns0:c r="R109" s="16">
        <ns0:f>P109-E109*'前提と出典'!$E$4</ns0:f>
        <ns0:v>163452.39174671017</ns0:v>
      </ns0:c>
      <ns0:c r="S109" s="16">
        <ns0:f>Q109-F109*'前提と出典'!$E$4</ns0:f>
        <ns0:v>42019.11240655048</ns0:v>
      </ns0:c>
      <ns0:c r="T109" s="7">
        <ns0:f>R109+S109</ns0:f>
        <ns0:v>205471.50415326064</ns0:v>
      </ns0:c>
      <ns0:c r="U109" s="16">
        <ns0:f>P109-E109*'前提と出典'!$E$5</ns0:f>
        <ns0:v>143135.47285102034</ns0:v>
      </ns0:c>
      <ns0:c r="V109" s="16">
        <ns0:f>Q109-F109*'前提と出典'!$E$5</ns0:f>
        <ns0:v>34045.45986965841</ns0:v>
      </ns0:c>
      <ns0:c r="W109" s="7">
        <ns0:f>U109+V109</ns0:f>
        <ns0:v>177180.93272067874</ns0:v>
      </ns0:c>
      <ns0:c r="X109" s="16">
        <ns0:f>P109-E109*'前提と出典'!$E$6</ns0:f>
        <ns0:v>122818.5539553305</ns0:v>
      </ns0:c>
      <ns0:c r="Y109" s="16">
        <ns0:f>Q109-F109*'前提と出典'!$E$6</ns0:f>
        <ns0:v>26071.80733276636</ns0:v>
      </ns0:c>
      <ns0:c r="Z109" s="7">
        <ns0:f>X109+Y109</ns0:f>
        <ns0:v>148890.36128809687</ns0:v>
      </ns0:c>
      <ns0:c r="AA109" s="7">
        <ns0:f>IF(T109&gt;=0,A109,1001)</ns0:f>
        <ns0:v>105</ns0:v>
      </ns0:c>
      <ns0:c r="AB109" s="7">
        <ns0:f>IF(T109&lt;0,A109,0)</ns0:f>
        <ns0:v>0</ns0:v>
      </ns0:c>
      <ns0:c r="AC109" s="16">
        <ns0:f>IF(AND(OR('前提と出典'!$C$36+'前提と出典'!$C$38=0,R109&gt;=0),OR('前提と出典'!$C$37+'前提と出典'!$C$38=0,S109&gt;=0)),0,A109)</ns0:f>
        <ns0:v>0</ns0:v>
      </ns0:c>
      <ns0:c r="AD109" s="7">
        <ns0:f>IF(W109&gt;=0,A109,1001)</ns0:f>
        <ns0:v>105</ns0:v>
      </ns0:c>
      <ns0:c r="AE109" s="7">
        <ns0:f>IF(W109&lt;0,A109,0)</ns0:f>
        <ns0:v>0</ns0:v>
      </ns0:c>
      <ns0:c r="AF109" s="16">
        <ns0:f>IF(AND(OR('前提と出典'!$C$36+'前提と出典'!$C$38=0,U109&gt;=0),OR('前提と出典'!$C$37+'前提と出典'!$C$38=0,V109&gt;=0)),0,A109)</ns0:f>
        <ns0:v>0</ns0:v>
      </ns0:c>
      <ns0:c r="AG109" s="7">
        <ns0:f>IF(Z109&gt;=0,A109,1001)</ns0:f>
        <ns0:v>105</ns0:v>
      </ns0:c>
      <ns0:c r="AH109" s="4">
        <ns0:f>IF(Z109&lt;0,A109,0)</ns0:f>
        <ns0:v>0</ns0:v>
      </ns0:c>
      <ns0:c r="AI109" s="12">
        <ns0:f>IF(AND(OR('前提と出典'!$C$36+'前提と出典'!$C$38=0,X109&gt;=0),OR('前提と出典'!$C$37+'前提と出典'!$C$38=0,Y109&gt;=0)),0,A109)</ns0:f>
        <ns0:v>0</ns0:v>
      </ns0:c>
    </ns0:row>
    <ns0:row r="110" ht="24" customHeight="1">
      <ns0:c r="A110" s="4" t="n">
        <ns0:v>106</ns0:v>
      </ns0:c>
      <ns0:c r="B110" s="12">
        <ns0:f>A110*('前提と出典'!$C$36+'前提と出典'!$C$38)</ns0:f>
        <ns0:v>74.19999999999999</ns0:v>
      </ns0:c>
      <ns0:c r="C110" s="12">
        <ns0:f>A110*('前提と出典'!$C$37+'前提と出典'!$C$38)</ns0:f>
        <ns0:v>63.599999999999994</ns0:v>
      </ns0:c>
      <ns0:c r="D110" s="16">
        <ns0:f>A110*('前提と出典'!$C$36*'契約別単価'!C5+'前提と出典'!$C$37*'契約別単価'!C6+'前提と出典'!$C$38*'契約別単価'!C7)</ns0:f>
        <ns0:v>762.7262569832402</ns0:v>
      </ns0:c>
      <ns0:c r="E110" s="16">
        <ns0:f>A110*('前提と出典'!$C$36*'契約別単価'!E5+'前提と出典'!$C$37*'契約別単価'!E6+'前提と出典'!$C$38*'契約別単価'!E7)</ns0:f>
        <ns0:v>205104.13361363078</ns0:v>
      </ns0:c>
      <ns0:c r="F110" s="16">
        <ns0:f>A110*('前提と出典'!$C$36*'契約別単価'!F5+'前提と出典'!$C$37*'契約別単価'!F6+'前提と出典'!$C$38*'契約別単価'!F7)</ns0:f>
        <ns0:v>80495.92084862459</ns0:v>
      </ns0:c>
      <ns0:c r="G110" s="16">
        <ns0:f>A110*('前提と出典'!$C$36*'契約別単価'!G5+'前提と出典'!$C$37*'契約別単価'!G6+'前提と出典'!$C$38*'契約別単価'!G7)</ns0:f>
        <ns0:v>210993.29608938546</ns0:v>
      </ns0:c>
      <ns0:c r="H110" s="16">
        <ns0:f>A110*('前提と出典'!$C$36*'契約別単価'!H5+'前提と出典'!$C$37*'契約別単価'!H6+'前提と出典'!$C$38*'契約別単価'!H7)</ns0:f>
        <ns0:v>73225.25588838043</ns0:v>
      </ns0:c>
      <ns0:c r="I110" s="16">
        <ns0:f>A110*('前提と出典'!$C$36*'契約別単価'!I5+'前提と出典'!$C$37*'契約別単価'!I6+'前提と出典'!$C$38*'契約別単価'!I7)</ns0:f>
        <ns0:v>4472.726256983239</ns0:v>
      </ns0:c>
      <ns0:c r="J110" s="16">
        <ns0:f>A110*('前提と出典'!$C$36*'契約別単価'!J5+'前提と出典'!$C$37*'契約別単価'!J6+'前提と出典'!$C$38*'契約別単価'!J7)</ns0:f>
        <ns0:v>10418.691633292072</ns0:v>
      </ns0:c>
      <ns0:c r="K110" s="16">
        <ns0:f>A110*('前提と出典'!$C$36*'契約別単価'!K5+'前提と出典'!$C$37*'契約別単価'!K6+'前提と出典'!$C$38*'契約別単価'!K7)</ns0:f>
        <ns0:v>44658.175046554934</ns0:v>
      </ns0:c>
      <ns0:c r="L110" s="16">
        <ns0:f>A110*('前提と出典'!$C$36*'契約別単価'!L5+'前提と出典'!$C$37*'契約別単価'!L6+'前提と出典'!$C$38*'契約別単価'!L7)</ns0:f>
        <ns0:v>36360.841862946014</ns0:v>
      </ns0:c>
      <ns0:c r="M110" s="16">
        <ns0:f>IF(('前提と出典'!$C$36+'前提と出典'!$C$38)=0,0,IF(B110&lt;=10,'前提と出典'!B73+'前提と出典'!C73,IF(B110&lt;=100,'前提と出典'!B74+'前提と出典'!C74,IF(B110&lt;=500,'前提と出典'!B75+'前提と出典'!C75,'前提と出典'!B76+'前提と出典'!C76))))</ns0:f>
        <ns0:v>20000</ns0:v>
      </ns0:c>
      <ns0:c r="N110" s="16">
        <ns0:f>IF(('前提と出典'!$C$37+'前提と出典'!$C$38)=0,0,IF(C110&lt;=10,'前提と出典'!D73+'前提と出典'!E73,IF(C110&lt;=100,'前提と出典'!D74+'前提と出典'!E74,IF(C110&lt;=500,'前提と出典'!D75+'前提と出典'!E75,'前提と出典'!D76+'前提と出典'!E76))))</ns0:f>
        <ns0:v>34510.9346263078</ns0:v>
      </ns0:c>
      <ns0:c r="O110" s="16">
        <ns0:f>IF('前提と出典'!$C$36+'前提と出典'!$C$38=0,0,'前提と出典'!$B$4*IF('前提と出典'!$B$20=0,MAX('前提と出典'!$B$6,D110*'前提と出典'!$B$5),'前提と出典'!$B$6+D110*'前提と出典'!$B$5))</ns0:f>
        <ns0:v>105256.22346368716</ns0:v>
      </ns0:c>
      <ns0:c r="P110" s="16">
        <ns0:f>(E110+G110)*(1-'前提と出典'!$B$7)-I110-K110-M110-O110</ns0:f>
        <ns0:v>226730.79746648233</ns0:v>
      </ns0:c>
      <ns0:c r="Q110" s="16">
        <ns0:f>(F110+H110)*(1-'前提と出典'!$B$7)-J110-L110-N110</ns0:f>
        <ns0:v>66896.74625192693</ns0:v>
      </ns0:c>
      <ns0:c r="R110" s="16">
        <ns0:f>P110-E110*'前提と出典'!$E$4</ns0:f>
        <ns0:v>165199.5573823931</ns0:v>
      </ns0:c>
      <ns0:c r="S110" s="16">
        <ns0:f>Q110-F110*'前提と出典'!$E$4</ns0:f>
        <ns0:v>42747.96999733957</ns0:v>
      </ns0:c>
      <ns0:c r="T110" s="7">
        <ns0:f>R110+S110</ns0:f>
        <ns0:v>207947.52737973267</ns0:v>
      </ns0:c>
      <ns0:c r="U110" s="16">
        <ns0:f>P110-E110*'前提と出典'!$E$5</ns0:f>
        <ns0:v>144689.14402103</ns0:v>
      </ns0:c>
      <ns0:c r="V110" s="16">
        <ns0:f>Q110-F110*'前提と出典'!$E$5</ns0:f>
        <ns0:v>34698.3779124771</ns0:v>
      </ns0:c>
      <ns0:c r="W110" s="7">
        <ns0:f>U110+V110</ns0:f>
        <ns0:v>179387.5219335071</ns0:v>
      </ns0:c>
      <ns0:c r="X110" s="16">
        <ns0:f>P110-E110*'前提と出典'!$E$6</ns0:f>
        <ns0:v>124178.73065966695</ns0:v>
      </ns0:c>
      <ns0:c r="Y110" s="16">
        <ns0:f>Q110-F110*'前提と出典'!$E$6</ns0:f>
        <ns0:v>26648.785827614643</ns0:v>
      </ns0:c>
      <ns0:c r="Z110" s="7">
        <ns0:f>X110+Y110</ns0:f>
        <ns0:v>150827.5164872816</ns0:v>
      </ns0:c>
      <ns0:c r="AA110" s="7">
        <ns0:f>IF(T110&gt;=0,A110,1001)</ns0:f>
        <ns0:v>106</ns0:v>
      </ns0:c>
      <ns0:c r="AB110" s="7">
        <ns0:f>IF(T110&lt;0,A110,0)</ns0:f>
        <ns0:v>0</ns0:v>
      </ns0:c>
      <ns0:c r="AC110" s="16">
        <ns0:f>IF(AND(OR('前提と出典'!$C$36+'前提と出典'!$C$38=0,R110&gt;=0),OR('前提と出典'!$C$37+'前提と出典'!$C$38=0,S110&gt;=0)),0,A110)</ns0:f>
        <ns0:v>0</ns0:v>
      </ns0:c>
      <ns0:c r="AD110" s="7">
        <ns0:f>IF(W110&gt;=0,A110,1001)</ns0:f>
        <ns0:v>106</ns0:v>
      </ns0:c>
      <ns0:c r="AE110" s="7">
        <ns0:f>IF(W110&lt;0,A110,0)</ns0:f>
        <ns0:v>0</ns0:v>
      </ns0:c>
      <ns0:c r="AF110" s="16">
        <ns0:f>IF(AND(OR('前提と出典'!$C$36+'前提と出典'!$C$38=0,U110&gt;=0),OR('前提と出典'!$C$37+'前提と出典'!$C$38=0,V110&gt;=0)),0,A110)</ns0:f>
        <ns0:v>0</ns0:v>
      </ns0:c>
      <ns0:c r="AG110" s="7">
        <ns0:f>IF(Z110&gt;=0,A110,1001)</ns0:f>
        <ns0:v>106</ns0:v>
      </ns0:c>
      <ns0:c r="AH110" s="4">
        <ns0:f>IF(Z110&lt;0,A110,0)</ns0:f>
        <ns0:v>0</ns0:v>
      </ns0:c>
      <ns0:c r="AI110" s="12">
        <ns0:f>IF(AND(OR('前提と出典'!$C$36+'前提と出典'!$C$38=0,X110&gt;=0),OR('前提と出典'!$C$37+'前提と出典'!$C$38=0,Y110&gt;=0)),0,A110)</ns0:f>
        <ns0:v>0</ns0:v>
      </ns0:c>
    </ns0:row>
    <ns0:row r="111" ht="24" customHeight="1">
      <ns0:c r="A111" s="4" t="n">
        <ns0:v>107</ns0:v>
      </ns0:c>
      <ns0:c r="B111" s="12">
        <ns0:f>A111*('前提と出典'!$C$36+'前提と出典'!$C$38)</ns0:f>
        <ns0:v>74.89999999999999</ns0:v>
      </ns0:c>
      <ns0:c r="C111" s="12">
        <ns0:f>A111*('前提と出典'!$C$37+'前提と出典'!$C$38)</ns0:f>
        <ns0:v>64.2</ns0:v>
      </ns0:c>
      <ns0:c r="D111" s="16">
        <ns0:f>A111*('前提と出典'!$C$36*'契約別単価'!C5+'前提と出典'!$C$37*'契約別単価'!C6+'前提と出典'!$C$38*'契約別単価'!C7)</ns0:f>
        <ns0:v>769.9217877094972</ns0:v>
      </ns0:c>
      <ns0:c r="E111" s="16">
        <ns0:f>A111*('前提と出典'!$C$36*'契約別単価'!E5+'前提と出典'!$C$37*'契約別単価'!E6+'前提と出典'!$C$38*'契約別単価'!E7)</ns0:f>
        <ns0:v>207039.07827036316</ns0:v>
      </ns0:c>
      <ns0:c r="F111" s="16">
        <ns0:f>A111*('前提と出典'!$C$36*'契約別単価'!F5+'前提と出典'!$C$37*'契約別単価'!F6+'前提と出典'!$C$38*'契約別単価'!F7)</ns0:f>
        <ns0:v>81255.3163283286</ns0:v>
      </ns0:c>
      <ns0:c r="G111" s="16">
        <ns0:f>A111*('前提と出典'!$C$36*'契約別単価'!G5+'前提と出典'!$C$37*'契約別単価'!G6+'前提と出典'!$C$38*'契約別単価'!G7)</ns0:f>
        <ns0:v>212983.79888268156</ns0:v>
      </ns0:c>
      <ns0:c r="H111" s="16">
        <ns0:f>A111*('前提と出典'!$C$36*'契約別単価'!H5+'前提と出典'!$C$37*'契約別単価'!H6+'前提と出典'!$C$38*'契約別単価'!H7)</ns0:f>
        <ns0:v>73916.06018921421</ns0:v>
      </ns0:c>
      <ns0:c r="I111" s="16">
        <ns0:f>A111*('前提と出典'!$C$36*'契約別単価'!I5+'前提と出典'!$C$37*'契約別単価'!I6+'前提と出典'!$C$38*'契約別単価'!I7)</ns0:f>
        <ns0:v>4514.921787709496</ns0:v>
      </ns0:c>
      <ns0:c r="J111" s="16">
        <ns0:f>A111*('前提と出典'!$C$36*'契約別単価'!J5+'前提と出典'!$C$37*'契約別単価'!J6+'前提と出典'!$C$38*'契約別単価'!J7)</ns0:f>
        <ns0:v>10516.981177002375</ns0:v>
      </ns0:c>
      <ns0:c r="K111" s="16">
        <ns0:f>A111*('前提と出典'!$C$36*'契約別単価'!K5+'前提と出典'!$C$37*'契約別単価'!K6+'前提と出典'!$C$38*'契約別単価'!K7)</ns0:f>
        <ns0:v>45079.47858472998</ns0:v>
      </ns0:c>
      <ns0:c r="L111" s="16">
        <ns0:f>A111*('前提と出典'!$C$36*'契約別単価'!L5+'前提と出典'!$C$37*'契約別単価'!L6+'前提と出典'!$C$38*'契約別単価'!L7)</ns0:f>
        <ns0:v>36703.868672973804</ns0:v>
      </ns0:c>
      <ns0:c r="M111" s="16">
        <ns0:f>IF(('前提と出典'!$C$36+'前提と出典'!$C$38)=0,0,IF(B111&lt;=10,'前提と出典'!B73+'前提と出典'!C73,IF(B111&lt;=100,'前提と出典'!B74+'前提と出典'!C74,IF(B111&lt;=500,'前提と出典'!B75+'前提と出典'!C75,'前提と出典'!B76+'前提と出典'!C76))))</ns0:f>
        <ns0:v>20000</ns0:v>
      </ns0:c>
      <ns0:c r="N111" s="16">
        <ns0:f>IF(('前提と出典'!$C$37+'前提と出典'!$C$38)=0,0,IF(C111&lt;=10,'前提と出典'!D73+'前提と出典'!E73,IF(C111&lt;=100,'前提と出典'!D74+'前提と出典'!E74,IF(C111&lt;=500,'前提と出典'!D75+'前提と出典'!E75,'前提と出典'!D76+'前提と出典'!E76))))</ns0:f>
        <ns0:v>34510.9346263078</ns0:v>
      </ns0:c>
      <ns0:c r="O111" s="16">
        <ns0:f>IF('前提と出典'!$C$36+'前提と出典'!$C$38=0,0,'前提と出典'!$B$4*IF('前提と出典'!$B$20=0,MAX('前提と出典'!$B$6,D111*'前提と出典'!$B$5),'前提と出典'!$B$6+D111*'前提と出典'!$B$5))</ns0:f>
        <ns0:v>106249.20670391062</ns0:v>
      </ns0:c>
      <ns0:c r="P111" s="16">
        <ns0:f>(E111+G111)*(1-'前提と出典'!$B$7)-I111-K111-M111-O111</ns0:f>
        <ns0:v>229058.44649918497</ns0:v>
      </ns0:c>
      <ns0:c r="Q111" s="16">
        <ns0:f>(F111+H111)*(1-'前提と出典'!$B$7)-J111-L111-N111</ns0:f>
        <ns0:v>67853.4224866273</ns0:v>
      </ns0:c>
      <ns0:c r="R111" s="16">
        <ns0:f>P111-E111*'前提と出典'!$E$4</ns0:f>
        <ns0:v>166946.72301807604</ns0:v>
      </ns0:c>
      <ns0:c r="S111" s="16">
        <ns0:f>Q111-F111*'前提と出典'!$E$4</ns0:f>
        <ns0:v>43476.82758812872</ns0:v>
      </ns0:c>
      <ns0:c r="T111" s="7">
        <ns0:f>R111+S111</ns0:f>
        <ns0:v>210423.55060620475</ns0:v>
      </ns0:c>
      <ns0:c r="U111" s="16">
        <ns0:f>P111-E111*'前提と出典'!$E$5</ns0:f>
        <ns0:v>146242.8151910397</ns0:v>
      </ns0:c>
      <ns0:c r="V111" s="16">
        <ns0:f>Q111-F111*'前提と出典'!$E$5</ns0:f>
        <ns0:v>35351.29595529586</ns0:v>
      </ns0:c>
      <ns0:c r="W111" s="7">
        <ns0:f>U111+V111</ns0:f>
        <ns0:v>181594.11114633555</ns0:v>
      </ns0:c>
      <ns0:c r="X111" s="16">
        <ns0:f>P111-E111*'前提と出典'!$E$6</ns0:f>
        <ns0:v>125538.90736400337</ns0:v>
      </ns0:c>
      <ns0:c r="Y111" s="16">
        <ns0:f>Q111-F111*'前提と出典'!$E$6</ns0:f>
        <ns0:v>27225.764322462986</ns0:v>
      </ns0:c>
      <ns0:c r="Z111" s="7">
        <ns0:f>X111+Y111</ns0:f>
        <ns0:v>152764.67168646638</ns0:v>
      </ns0:c>
      <ns0:c r="AA111" s="7">
        <ns0:f>IF(T111&gt;=0,A111,1001)</ns0:f>
        <ns0:v>107</ns0:v>
      </ns0:c>
      <ns0:c r="AB111" s="7">
        <ns0:f>IF(T111&lt;0,A111,0)</ns0:f>
        <ns0:v>0</ns0:v>
      </ns0:c>
      <ns0:c r="AC111" s="16">
        <ns0:f>IF(AND(OR('前提と出典'!$C$36+'前提と出典'!$C$38=0,R111&gt;=0),OR('前提と出典'!$C$37+'前提と出典'!$C$38=0,S111&gt;=0)),0,A111)</ns0:f>
        <ns0:v>0</ns0:v>
      </ns0:c>
      <ns0:c r="AD111" s="7">
        <ns0:f>IF(W111&gt;=0,A111,1001)</ns0:f>
        <ns0:v>107</ns0:v>
      </ns0:c>
      <ns0:c r="AE111" s="7">
        <ns0:f>IF(W111&lt;0,A111,0)</ns0:f>
        <ns0:v>0</ns0:v>
      </ns0:c>
      <ns0:c r="AF111" s="16">
        <ns0:f>IF(AND(OR('前提と出典'!$C$36+'前提と出典'!$C$38=0,U111&gt;=0),OR('前提と出典'!$C$37+'前提と出典'!$C$38=0,V111&gt;=0)),0,A111)</ns0:f>
        <ns0:v>0</ns0:v>
      </ns0:c>
      <ns0:c r="AG111" s="7">
        <ns0:f>IF(Z111&gt;=0,A111,1001)</ns0:f>
        <ns0:v>107</ns0:v>
      </ns0:c>
      <ns0:c r="AH111" s="4">
        <ns0:f>IF(Z111&lt;0,A111,0)</ns0:f>
        <ns0:v>0</ns0:v>
      </ns0:c>
      <ns0:c r="AI111" s="12">
        <ns0:f>IF(AND(OR('前提と出典'!$C$36+'前提と出典'!$C$38=0,X111&gt;=0),OR('前提と出典'!$C$37+'前提と出典'!$C$38=0,Y111&gt;=0)),0,A111)</ns0:f>
        <ns0:v>0</ns0:v>
      </ns0:c>
    </ns0:row>
    <ns0:row r="112" ht="24" customHeight="1">
      <ns0:c r="A112" s="4" t="n">
        <ns0:v>108</ns0:v>
      </ns0:c>
      <ns0:c r="B112" s="12">
        <ns0:f>A112*('前提と出典'!$C$36+'前提と出典'!$C$38)</ns0:f>
        <ns0:v>75.6</ns0:v>
      </ns0:c>
      <ns0:c r="C112" s="12">
        <ns0:f>A112*('前提と出典'!$C$37+'前提と出典'!$C$38)</ns0:f>
        <ns0:v>64.8</ns0:v>
      </ns0:c>
      <ns0:c r="D112" s="16">
        <ns0:f>A112*('前提と出典'!$C$36*'契約別単価'!C5+'前提と出典'!$C$37*'契約別単価'!C6+'前提と出典'!$C$38*'契約別単価'!C7)</ns0:f>
        <ns0:v>777.1173184357542</ns0:v>
      </ns0:c>
      <ns0:c r="E112" s="16">
        <ns0:f>A112*('前提と出典'!$C$36*'契約別単価'!E5+'前提と出典'!$C$37*'契約別単価'!E6+'前提と出典'!$C$38*'契約別単価'!E7)</ns0:f>
        <ns0:v>208974.02292709553</ns0:v>
      </ns0:c>
      <ns0:c r="F112" s="16">
        <ns0:f>A112*('前提と出典'!$C$36*'契約別単価'!F5+'前提と出典'!$C$37*'契約別単価'!F6+'前提と出典'!$C$38*'契約別単価'!F7)</ns0:f>
        <ns0:v>82014.7118080326</ns0:v>
      </ns0:c>
      <ns0:c r="G112" s="16">
        <ns0:f>A112*('前提と出典'!$C$36*'契約別単価'!G5+'前提と出典'!$C$37*'契約別単価'!G6+'前提と出典'!$C$38*'契約別単価'!G7)</ns0:f>
        <ns0:v>214974.30167597765</ns0:v>
      </ns0:c>
      <ns0:c r="H112" s="16">
        <ns0:f>A112*('前提と出典'!$C$36*'契約別単価'!H5+'前提と出典'!$C$37*'契約別単価'!H6+'前提と出典'!$C$38*'契約別単価'!H7)</ns0:f>
        <ns0:v>74606.86449004798</ns0:v>
      </ns0:c>
      <ns0:c r="I112" s="16">
        <ns0:f>A112*('前提と出典'!$C$36*'契約別単価'!I5+'前提と出典'!$C$37*'契約別単価'!I6+'前提と出典'!$C$38*'契約別単価'!I7)</ns0:f>
        <ns0:v>4557.117318435753</ns0:v>
      </ns0:c>
      <ns0:c r="J112" s="16">
        <ns0:f>A112*('前提と出典'!$C$36*'契約別単価'!J5+'前提と出典'!$C$37*'契約別単価'!J6+'前提と出典'!$C$38*'契約別単価'!J7)</ns0:f>
        <ns0:v>10615.270720712677</ns0:v>
      </ns0:c>
      <ns0:c r="K112" s="16">
        <ns0:f>A112*('前提と出典'!$C$36*'契約別単価'!K5+'前提と出典'!$C$37*'契約別単価'!K6+'前提と出典'!$C$38*'契約別単価'!K7)</ns0:f>
        <ns0:v>45500.782122905024</ns0:v>
      </ns0:c>
      <ns0:c r="L112" s="16">
        <ns0:f>A112*('前提と出典'!$C$36*'契約別単価'!L5+'前提と出典'!$C$37*'契約別単価'!L6+'前提と出典'!$C$38*'契約別単価'!L7)</ns0:f>
        <ns0:v>37046.8954830016</ns0:v>
      </ns0:c>
      <ns0:c r="M112" s="16">
        <ns0:f>IF(('前提と出典'!$C$36+'前提と出典'!$C$38)=0,0,IF(B112&lt;=10,'前提と出典'!B73+'前提と出典'!C73,IF(B112&lt;=100,'前提と出典'!B74+'前提と出典'!C74,IF(B112&lt;=500,'前提と出典'!B75+'前提と出典'!C75,'前提と出典'!B76+'前提と出典'!C76))))</ns0:f>
        <ns0:v>20000</ns0:v>
      </ns0:c>
      <ns0:c r="N112" s="16">
        <ns0:f>IF(('前提と出典'!$C$37+'前提と出典'!$C$38)=0,0,IF(C112&lt;=10,'前提と出典'!D73+'前提と出典'!E73,IF(C112&lt;=100,'前提と出典'!D74+'前提と出典'!E74,IF(C112&lt;=500,'前提と出典'!D75+'前提と出典'!E75,'前提と出典'!D76+'前提と出典'!E76))))</ns0:f>
        <ns0:v>34510.9346263078</ns0:v>
      </ns0:c>
      <ns0:c r="O112" s="16">
        <ns0:f>IF('前提と出典'!$C$36+'前提と出典'!$C$38=0,0,'前提と出典'!$B$4*IF('前提と出典'!$B$20=0,MAX('前提と出典'!$B$6,D112*'前提と出典'!$B$5),'前提と出典'!$B$6+D112*'前提と出典'!$B$5))</ns0:f>
        <ns0:v>107242.1899441341</ns0:v>
      </ns0:c>
      <ns0:c r="P112" s="16">
        <ns0:f>(E112+G112)*(1-'前提と出典'!$B$7)-I112-K112-M112-O112</ns0:f>
        <ns0:v>231386.09553188767</ns0:v>
      </ns0:c>
      <ns0:c r="Q112" s="16">
        <ns0:f>(F112+H112)*(1-'前提と出典'!$B$7)-J112-L112-N112</ns0:f>
        <ns0:v>68810.09872132761</ns0:v>
      </ns0:c>
      <ns0:c r="R112" s="16">
        <ns0:f>P112-E112*'前提と出典'!$E$4</ns0:f>
        <ns0:v>168693.88865375903</ns0:v>
      </ns0:c>
      <ns0:c r="S112" s="16">
        <ns0:f>Q112-F112*'前提と出典'!$E$4</ns0:f>
        <ns0:v>44205.685178917825</ns0:v>
      </ns0:c>
      <ns0:c r="T112" s="7">
        <ns0:f>R112+S112</ns0:f>
        <ns0:v>212899.57383267686</ns0:v>
      </ns0:c>
      <ns0:c r="U112" s="16">
        <ns0:f>P112-E112*'前提と出典'!$E$5</ns0:f>
        <ns0:v>147796.48636104946</ns0:v>
      </ns0:c>
      <ns0:c r="V112" s="16">
        <ns0:f>Q112-F112*'前提と出典'!$E$5</ns0:f>
        <ns0:v>36004.21399811457</ns0:v>
      </ns0:c>
      <ns0:c r="W112" s="7">
        <ns0:f>U112+V112</ns0:f>
        <ns0:v>183800.70035916404</ns0:v>
      </ns0:c>
      <ns0:c r="X112" s="16">
        <ns0:f>P112-E112*'前提と出典'!$E$6</ns0:f>
        <ns0:v>126899.0840683399</ns0:v>
      </ns0:c>
      <ns0:c r="Y112" s="16">
        <ns0:f>Q112-F112*'前提と出典'!$E$6</ns0:f>
        <ns0:v>27802.742817311308</ns0:v>
      </ns0:c>
      <ns0:c r="Z112" s="7">
        <ns0:f>X112+Y112</ns0:f>
        <ns0:v>154701.82688565121</ns0:v>
      </ns0:c>
      <ns0:c r="AA112" s="7">
        <ns0:f>IF(T112&gt;=0,A112,1001)</ns0:f>
        <ns0:v>108</ns0:v>
      </ns0:c>
      <ns0:c r="AB112" s="7">
        <ns0:f>IF(T112&lt;0,A112,0)</ns0:f>
        <ns0:v>0</ns0:v>
      </ns0:c>
      <ns0:c r="AC112" s="16">
        <ns0:f>IF(AND(OR('前提と出典'!$C$36+'前提と出典'!$C$38=0,R112&gt;=0),OR('前提と出典'!$C$37+'前提と出典'!$C$38=0,S112&gt;=0)),0,A112)</ns0:f>
        <ns0:v>0</ns0:v>
      </ns0:c>
      <ns0:c r="AD112" s="7">
        <ns0:f>IF(W112&gt;=0,A112,1001)</ns0:f>
        <ns0:v>108</ns0:v>
      </ns0:c>
      <ns0:c r="AE112" s="7">
        <ns0:f>IF(W112&lt;0,A112,0)</ns0:f>
        <ns0:v>0</ns0:v>
      </ns0:c>
      <ns0:c r="AF112" s="16">
        <ns0:f>IF(AND(OR('前提と出典'!$C$36+'前提と出典'!$C$38=0,U112&gt;=0),OR('前提と出典'!$C$37+'前提と出典'!$C$38=0,V112&gt;=0)),0,A112)</ns0:f>
        <ns0:v>0</ns0:v>
      </ns0:c>
      <ns0:c r="AG112" s="7">
        <ns0:f>IF(Z112&gt;=0,A112,1001)</ns0:f>
        <ns0:v>108</ns0:v>
      </ns0:c>
      <ns0:c r="AH112" s="4">
        <ns0:f>IF(Z112&lt;0,A112,0)</ns0:f>
        <ns0:v>0</ns0:v>
      </ns0:c>
      <ns0:c r="AI112" s="12">
        <ns0:f>IF(AND(OR('前提と出典'!$C$36+'前提と出典'!$C$38=0,X112&gt;=0),OR('前提と出典'!$C$37+'前提と出典'!$C$38=0,Y112&gt;=0)),0,A112)</ns0:f>
        <ns0:v>0</ns0:v>
      </ns0:c>
    </ns0:row>
    <ns0:row r="113" ht="24" customHeight="1">
      <ns0:c r="A113" s="4" t="n">
        <ns0:v>109</ns0:v>
      </ns0:c>
      <ns0:c r="B113" s="12">
        <ns0:f>A113*('前提と出典'!$C$36+'前提と出典'!$C$38)</ns0:f>
        <ns0:v>76.3</ns0:v>
      </ns0:c>
      <ns0:c r="C113" s="12">
        <ns0:f>A113*('前提と出典'!$C$37+'前提と出典'!$C$38)</ns0:f>
        <ns0:v>65.39999999999999</ns0:v>
      </ns0:c>
      <ns0:c r="D113" s="16">
        <ns0:f>A113*('前提と出典'!$C$36*'契約別単価'!C5+'前提と出典'!$C$37*'契約別単価'!C6+'前提と出典'!$C$38*'契約別単価'!C7)</ns0:f>
        <ns0:v>784.3128491620112</ns0:v>
      </ns0:c>
      <ns0:c r="E113" s="16">
        <ns0:f>A113*('前提と出典'!$C$36*'契約別単価'!E5+'前提と出典'!$C$37*'契約別単価'!E6+'前提と出典'!$C$38*'契約別単価'!E7)</ns0:f>
        <ns0:v>210908.96758382788</ns0:v>
      </ns0:c>
      <ns0:c r="F113" s="16">
        <ns0:f>A113*('前提と出典'!$C$36*'契約別単価'!F5+'前提と出典'!$C$37*'契約別単価'!F6+'前提と出典'!$C$38*'契約別単価'!F7)</ns0:f>
        <ns0:v>82774.10728773661</ns0:v>
      </ns0:c>
      <ns0:c r="G113" s="16">
        <ns0:f>A113*('前提と出典'!$C$36*'契約別単価'!G5+'前提と出典'!$C$37*'契約別単価'!G6+'前提と出典'!$C$38*'契約別単価'!G7)</ns0:f>
        <ns0:v>216964.80446927375</ns0:v>
      </ns0:c>
      <ns0:c r="H113" s="16">
        <ns0:f>A113*('前提と出典'!$C$36*'契約別単価'!H5+'前提と出典'!$C$37*'契約別単価'!H6+'前提と出典'!$C$38*'契約別単価'!H7)</ns0:f>
        <ns0:v>75297.66879088177</ns0:v>
      </ns0:c>
      <ns0:c r="I113" s="16">
        <ns0:f>A113*('前提と出典'!$C$36*'契約別単価'!I5+'前提と出典'!$C$37*'契約別単価'!I6+'前提と出典'!$C$38*'契約別単価'!I7)</ns0:f>
        <ns0:v>4599.31284916201</ns0:v>
      </ns0:c>
      <ns0:c r="J113" s="16">
        <ns0:f>A113*('前提と出典'!$C$36*'契約別単価'!J5+'前提と出典'!$C$37*'契約別単価'!J6+'前提と出典'!$C$38*'契約別単価'!J7)</ns0:f>
        <ns0:v>10713.56026442298</ns0:v>
      </ns0:c>
      <ns0:c r="K113" s="16">
        <ns0:f>A113*('前提と出典'!$C$36*'契約別単価'!K5+'前提と出典'!$C$37*'契約別単価'!K6+'前提と出典'!$C$38*'契約別単価'!K7)</ns0:f>
        <ns0:v>45922.08566108007</ns0:v>
      </ns0:c>
      <ns0:c r="L113" s="16">
        <ns0:f>A113*('前提と出典'!$C$36*'契約別単価'!L5+'前提と出典'!$C$37*'契約別単価'!L6+'前提と出典'!$C$38*'契約別単価'!L7)</ns0:f>
        <ns0:v>37389.92229302939</ns0:v>
      </ns0:c>
      <ns0:c r="M113" s="16">
        <ns0:f>IF(('前提と出典'!$C$36+'前提と出典'!$C$38)=0,0,IF(B113&lt;=10,'前提と出典'!B73+'前提と出典'!C73,IF(B113&lt;=100,'前提と出典'!B74+'前提と出典'!C74,IF(B113&lt;=500,'前提と出典'!B75+'前提と出典'!C75,'前提と出典'!B76+'前提と出典'!C76))))</ns0:f>
        <ns0:v>20000</ns0:v>
      </ns0:c>
      <ns0:c r="N113" s="16">
        <ns0:f>IF(('前提と出典'!$C$37+'前提と出典'!$C$38)=0,0,IF(C113&lt;=10,'前提と出典'!D73+'前提と出典'!E73,IF(C113&lt;=100,'前提と出典'!D74+'前提と出典'!E74,IF(C113&lt;=500,'前提と出典'!D75+'前提と出典'!E75,'前提と出典'!D76+'前提と出典'!E76))))</ns0:f>
        <ns0:v>34510.9346263078</ns0:v>
      </ns0:c>
      <ns0:c r="O113" s="16">
        <ns0:f>IF('前提と出典'!$C$36+'前提と出典'!$C$38=0,0,'前提と出典'!$B$4*IF('前提と出典'!$B$20=0,MAX('前提と出典'!$B$6,D113*'前提と出典'!$B$5),'前提と出典'!$B$6+D113*'前提と出典'!$B$5))</ns0:f>
        <ns0:v>108235.17318435754</ns0:v>
      </ns0:c>
      <ns0:c r="P113" s="16">
        <ns0:f>(E113+G113)*(1-'前提と出典'!$B$7)-I113-K113-M113-O113</ns0:f>
        <ns0:v>233713.74456459034</ns0:v>
      </ns0:c>
      <ns0:c r="Q113" s="16">
        <ns0:f>(F113+H113)*(1-'前提と出典'!$B$7)-J113-L113-N113</ns0:f>
        <ns0:v>69766.77495602793</ns0:v>
      </ns0:c>
      <ns0:c r="R113" s="16">
        <ns0:f>P113-E113*'前提と出典'!$E$4</ns0:f>
        <ns0:v>170441.05428944196</ns0:v>
      </ns0:c>
      <ns0:c r="S113" s="16">
        <ns0:f>Q113-F113*'前提と出典'!$E$4</ns0:f>
        <ns0:v>44934.542769706946</ns0:v>
      </ns0:c>
      <ns0:c r="T113" s="7">
        <ns0:f>R113+S113</ns0:f>
        <ns0:v>215375.59705914892</ns0:v>
      </ns0:c>
      <ns0:c r="U113" s="16">
        <ns0:f>P113-E113*'前提と出典'!$E$5</ns0:f>
        <ns0:v>149350.15753105917</ns0:v>
      </ns0:c>
      <ns0:c r="V113" s="16">
        <ns0:f>Q113-F113*'前提と出典'!$E$5</ns0:f>
        <ns0:v>36657.13204093329</ns0:v>
      </ns0:c>
      <ns0:c r="W113" s="7">
        <ns0:f>U113+V113</ns0:f>
        <ns0:v>186007.28957199247</ns0:v>
      </ns0:c>
      <ns0:c r="X113" s="16">
        <ns0:f>P113-E113*'前提と出典'!$E$6</ns0:f>
        <ns0:v>128259.26077267637</ns0:v>
      </ns0:c>
      <ns0:c r="Y113" s="16">
        <ns0:f>Q113-F113*'前提と出典'!$E$6</ns0:f>
        <ns0:v>28379.721312159636</ns0:v>
      </ns0:c>
      <ns0:c r="Z113" s="7">
        <ns0:f>X113+Y113</ns0:f>
        <ns0:v>156638.982084836</ns0:v>
      </ns0:c>
      <ns0:c r="AA113" s="7">
        <ns0:f>IF(T113&gt;=0,A113,1001)</ns0:f>
        <ns0:v>109</ns0:v>
      </ns0:c>
      <ns0:c r="AB113" s="7">
        <ns0:f>IF(T113&lt;0,A113,0)</ns0:f>
        <ns0:v>0</ns0:v>
      </ns0:c>
      <ns0:c r="AC113" s="16">
        <ns0:f>IF(AND(OR('前提と出典'!$C$36+'前提と出典'!$C$38=0,R113&gt;=0),OR('前提と出典'!$C$37+'前提と出典'!$C$38=0,S113&gt;=0)),0,A113)</ns0:f>
        <ns0:v>0</ns0:v>
      </ns0:c>
      <ns0:c r="AD113" s="7">
        <ns0:f>IF(W113&gt;=0,A113,1001)</ns0:f>
        <ns0:v>109</ns0:v>
      </ns0:c>
      <ns0:c r="AE113" s="7">
        <ns0:f>IF(W113&lt;0,A113,0)</ns0:f>
        <ns0:v>0</ns0:v>
      </ns0:c>
      <ns0:c r="AF113" s="16">
        <ns0:f>IF(AND(OR('前提と出典'!$C$36+'前提と出典'!$C$38=0,U113&gt;=0),OR('前提と出典'!$C$37+'前提と出典'!$C$38=0,V113&gt;=0)),0,A113)</ns0:f>
        <ns0:v>0</ns0:v>
      </ns0:c>
      <ns0:c r="AG113" s="7">
        <ns0:f>IF(Z113&gt;=0,A113,1001)</ns0:f>
        <ns0:v>109</ns0:v>
      </ns0:c>
      <ns0:c r="AH113" s="4">
        <ns0:f>IF(Z113&lt;0,A113,0)</ns0:f>
        <ns0:v>0</ns0:v>
      </ns0:c>
      <ns0:c r="AI113" s="12">
        <ns0:f>IF(AND(OR('前提と出典'!$C$36+'前提と出典'!$C$38=0,X113&gt;=0),OR('前提と出典'!$C$37+'前提と出典'!$C$38=0,Y113&gt;=0)),0,A113)</ns0:f>
        <ns0:v>0</ns0:v>
      </ns0:c>
    </ns0:row>
    <ns0:row r="114" ht="24" customHeight="1">
      <ns0:c r="A114" s="4" t="n">
        <ns0:v>110</ns0:v>
      </ns0:c>
      <ns0:c r="B114" s="12">
        <ns0:f>A114*('前提と出典'!$C$36+'前提と出典'!$C$38)</ns0:f>
        <ns0:v>77</ns0:v>
      </ns0:c>
      <ns0:c r="C114" s="12">
        <ns0:f>A114*('前提と出典'!$C$37+'前提と出典'!$C$38)</ns0:f>
        <ns0:v>66</ns0:v>
      </ns0:c>
      <ns0:c r="D114" s="16">
        <ns0:f>A114*('前提と出典'!$C$36*'契約別単価'!C5+'前提と出典'!$C$37*'契約別単価'!C6+'前提と出典'!$C$38*'契約別単価'!C7)</ns0:f>
        <ns0:v>791.5083798882681</ns0:v>
      </ns0:c>
      <ns0:c r="E114" s="16">
        <ns0:f>A114*('前提と出典'!$C$36*'契約別単価'!E5+'前提と出典'!$C$37*'契約別単価'!E6+'前提と出典'!$C$38*'契約別単価'!E7)</ns0:f>
        <ns0:v>212843.91224056025</ns0:v>
      </ns0:c>
      <ns0:c r="F114" s="16">
        <ns0:f>A114*('前提と出典'!$C$36*'契約別単価'!F5+'前提と出典'!$C$37*'契約別単価'!F6+'前提と出典'!$C$38*'契約別単価'!F7)</ns0:f>
        <ns0:v>83533.50276744062</ns0:v>
      </ns0:c>
      <ns0:c r="G114" s="16">
        <ns0:f>A114*('前提と出典'!$C$36*'契約別単価'!G5+'前提と出典'!$C$37*'契約別単価'!G6+'前提と出典'!$C$38*'契約別単価'!G7)</ns0:f>
        <ns0:v>218955.3072625698</ns0:v>
      </ns0:c>
      <ns0:c r="H114" s="16">
        <ns0:f>A114*('前提と出典'!$C$36*'契約別単価'!H5+'前提と出典'!$C$37*'契約別単価'!H6+'前提と出典'!$C$38*'契約別単価'!H7)</ns0:f>
        <ns0:v>75988.47309171554</ns0:v>
      </ns0:c>
      <ns0:c r="I114" s="16">
        <ns0:f>A114*('前提と出典'!$C$36*'契約別単価'!I5+'前提と出典'!$C$37*'契約別単価'!I6+'前提と出典'!$C$38*'契約別単価'!I7)</ns0:f>
        <ns0:v>4641.508379888267</ns0:v>
      </ns0:c>
      <ns0:c r="J114" s="16">
        <ns0:f>A114*('前提と出典'!$C$36*'契約別単価'!J5+'前提と出典'!$C$37*'契約別単価'!J6+'前提と出典'!$C$38*'契約別単価'!J7)</ns0:f>
        <ns0:v>10811.849808133282</ns0:v>
      </ns0:c>
      <ns0:c r="K114" s="16">
        <ns0:f>A114*('前提と出典'!$C$36*'契約別単価'!K5+'前提と出典'!$C$37*'契約別単価'!K6+'前提と出典'!$C$38*'契約別単価'!K7)</ns0:f>
        <ns0:v>46343.389199255114</ns0:v>
      </ns0:c>
      <ns0:c r="L114" s="16">
        <ns0:f>A114*('前提と出典'!$C$36*'契約別単価'!L5+'前提と出典'!$C$37*'契約別単価'!L6+'前提と出典'!$C$38*'契約別単価'!L7)</ns0:f>
        <ns0:v>37732.94910305718</ns0:v>
      </ns0:c>
      <ns0:c r="M114" s="16">
        <ns0:f>IF(('前提と出典'!$C$36+'前提と出典'!$C$38)=0,0,IF(B114&lt;=10,'前提と出典'!B73+'前提と出典'!C73,IF(B114&lt;=100,'前提と出典'!B74+'前提と出典'!C74,IF(B114&lt;=500,'前提と出典'!B75+'前提と出典'!C75,'前提と出典'!B76+'前提と出典'!C76))))</ns0:f>
        <ns0:v>20000</ns0:v>
      </ns0:c>
      <ns0:c r="N114" s="16">
        <ns0:f>IF(('前提と出典'!$C$37+'前提と出典'!$C$38)=0,0,IF(C114&lt;=10,'前提と出典'!D73+'前提と出典'!E73,IF(C114&lt;=100,'前提と出典'!D74+'前提と出典'!E74,IF(C114&lt;=500,'前提と出典'!D75+'前提と出典'!E75,'前提と出典'!D76+'前提と出典'!E76))))</ns0:f>
        <ns0:v>34510.9346263078</ns0:v>
      </ns0:c>
      <ns0:c r="O114" s="16">
        <ns0:f>IF('前提と出典'!$C$36+'前提と出典'!$C$38=0,0,'前提と出典'!$B$4*IF('前提と出典'!$B$20=0,MAX('前提と出典'!$B$6,D114*'前提と出典'!$B$5),'前提と出典'!$B$6+D114*'前提と出典'!$B$5))</ns0:f>
        <ns0:v>109228.156424581</ns0:v>
      </ns0:c>
      <ns0:c r="P114" s="16">
        <ns0:f>(E114+G114)*(1-'前提と出典'!$B$7)-I114-K114-M114-O114</ns0:f>
        <ns0:v>236041.393597293</ns0:v>
      </ns0:c>
      <ns0:c r="Q114" s="16">
        <ns0:f>(F114+H114)*(1-'前提と出典'!$B$7)-J114-L114-N114</ns0:f>
        <ns0:v>70723.45119072829</ns0:v>
      </ns0:c>
      <ns0:c r="R114" s="16">
        <ns0:f>P114-E114*'前提と出典'!$E$4</ns0:f>
        <ns0:v>172188.21992512495</ns0:v>
      </ns0:c>
      <ns0:c r="S114" s="16">
        <ns0:f>Q114-F114*'前提と出典'!$E$4</ns0:f>
        <ns0:v>45663.40036049611</ns0:v>
      </ns0:c>
      <ns0:c r="T114" s="7">
        <ns0:f>R114+S114</ns0:f>
        <ns0:v>217851.62028562106</ns0:v>
      </ns0:c>
      <ns0:c r="U114" s="16">
        <ns0:f>P114-E114*'前提と出典'!$E$5</ns0:f>
        <ns0:v>150903.82870106888</ns0:v>
      </ns0:c>
      <ns0:c r="V114" s="16">
        <ns0:f>Q114-F114*'前提と出典'!$E$5</ns0:f>
        <ns0:v>37310.050083752045</ns0:v>
      </ns0:c>
      <ns0:c r="W114" s="7">
        <ns0:f>U114+V114</ns0:f>
        <ns0:v>188213.87878482093</ns0:v>
      </ns0:c>
      <ns0:c r="X114" s="16">
        <ns0:f>P114-E114*'前提と出典'!$E$6</ns0:f>
        <ns0:v>129619.43747701285</ns0:v>
      </ns0:c>
      <ns0:c r="Y114" s="16">
        <ns0:f>Q114-F114*'前提と出典'!$E$6</ns0:f>
        <ns0:v>28956.69980700798</ns0:v>
      </ns0:c>
      <ns0:c r="Z114" s="7">
        <ns0:f>X114+Y114</ns0:f>
        <ns0:v>158576.13728402084</ns0:v>
      </ns0:c>
      <ns0:c r="AA114" s="7">
        <ns0:f>IF(T114&gt;=0,A114,1001)</ns0:f>
        <ns0:v>110</ns0:v>
      </ns0:c>
      <ns0:c r="AB114" s="7">
        <ns0:f>IF(T114&lt;0,A114,0)</ns0:f>
        <ns0:v>0</ns0:v>
      </ns0:c>
      <ns0:c r="AC114" s="16">
        <ns0:f>IF(AND(OR('前提と出典'!$C$36+'前提と出典'!$C$38=0,R114&gt;=0),OR('前提と出典'!$C$37+'前提と出典'!$C$38=0,S114&gt;=0)),0,A114)</ns0:f>
        <ns0:v>0</ns0:v>
      </ns0:c>
      <ns0:c r="AD114" s="7">
        <ns0:f>IF(W114&gt;=0,A114,1001)</ns0:f>
        <ns0:v>110</ns0:v>
      </ns0:c>
      <ns0:c r="AE114" s="7">
        <ns0:f>IF(W114&lt;0,A114,0)</ns0:f>
        <ns0:v>0</ns0:v>
      </ns0:c>
      <ns0:c r="AF114" s="16">
        <ns0:f>IF(AND(OR('前提と出典'!$C$36+'前提と出典'!$C$38=0,U114&gt;=0),OR('前提と出典'!$C$37+'前提と出典'!$C$38=0,V114&gt;=0)),0,A114)</ns0:f>
        <ns0:v>0</ns0:v>
      </ns0:c>
      <ns0:c r="AG114" s="7">
        <ns0:f>IF(Z114&gt;=0,A114,1001)</ns0:f>
        <ns0:v>110</ns0:v>
      </ns0:c>
      <ns0:c r="AH114" s="4">
        <ns0:f>IF(Z114&lt;0,A114,0)</ns0:f>
        <ns0:v>0</ns0:v>
      </ns0:c>
      <ns0:c r="AI114" s="12">
        <ns0:f>IF(AND(OR('前提と出典'!$C$36+'前提と出典'!$C$38=0,X114&gt;=0),OR('前提と出典'!$C$37+'前提と出典'!$C$38=0,Y114&gt;=0)),0,A114)</ns0:f>
        <ns0:v>0</ns0:v>
      </ns0:c>
    </ns0:row>
    <ns0:row r="115" ht="24" customHeight="1">
      <ns0:c r="A115" s="4" t="n">
        <ns0:v>111</ns0:v>
      </ns0:c>
      <ns0:c r="B115" s="12">
        <ns0:f>A115*('前提と出典'!$C$36+'前提と出典'!$C$38)</ns0:f>
        <ns0:v>77.69999999999999</ns0:v>
      </ns0:c>
      <ns0:c r="C115" s="12">
        <ns0:f>A115*('前提と出典'!$C$37+'前提と出典'!$C$38)</ns0:f>
        <ns0:v>66.6</ns0:v>
      </ns0:c>
      <ns0:c r="D115" s="16">
        <ns0:f>A115*('前提と出典'!$C$36*'契約別単価'!C5+'前提と出典'!$C$37*'契約別単価'!C6+'前提と出典'!$C$38*'契約別単価'!C7)</ns0:f>
        <ns0:v>798.7039106145252</ns0:v>
      </ns0:c>
      <ns0:c r="E115" s="16">
        <ns0:f>A115*('前提と出典'!$C$36*'契約別単価'!E5+'前提と出典'!$C$37*'契約別単価'!E6+'前提と出典'!$C$38*'契約別単価'!E7)</ns0:f>
        <ns0:v>214778.85689729263</ns0:v>
      </ns0:c>
      <ns0:c r="F115" s="16">
        <ns0:f>A115*('前提と出典'!$C$36*'契約別単価'!F5+'前提と出典'!$C$37*'契約別単価'!F6+'前提と出典'!$C$38*'契約別単価'!F7)</ns0:f>
        <ns0:v>84292.89824714462</ns0:v>
      </ns0:c>
      <ns0:c r="G115" s="16">
        <ns0:f>A115*('前提と出典'!$C$36*'契約別単価'!G5+'前提と出典'!$C$37*'契約別単価'!G6+'前提と出典'!$C$38*'契約別単価'!G7)</ns0:f>
        <ns0:v>220945.8100558659</ns0:v>
      </ns0:c>
      <ns0:c r="H115" s="16">
        <ns0:f>A115*('前提と出典'!$C$36*'契約別単価'!H5+'前提と出典'!$C$37*'契約別単価'!H6+'前提と出典'!$C$38*'契約別単価'!H7)</ns0:f>
        <ns0:v>76679.27739254932</ns0:v>
      </ns0:c>
      <ns0:c r="I115" s="16">
        <ns0:f>A115*('前提と出典'!$C$36*'契約別単価'!I5+'前提と出典'!$C$37*'契約別単価'!I6+'前提と出典'!$C$38*'契約別単価'!I7)</ns0:f>
        <ns0:v>4683.703910614524</ns0:v>
      </ns0:c>
      <ns0:c r="J115" s="16">
        <ns0:f>A115*('前提と出典'!$C$36*'契約別単価'!J5+'前提と出典'!$C$37*'契約別単価'!J6+'前提と出典'!$C$38*'契約別単価'!J7)</ns0:f>
        <ns0:v>10910.139351843585</ns0:v>
      </ns0:c>
      <ns0:c r="K115" s="16">
        <ns0:f>A115*('前提と出典'!$C$36*'契約別単価'!K5+'前提と出典'!$C$37*'契約別単価'!K6+'前提と出典'!$C$38*'契約別単価'!K7)</ns0:f>
        <ns0:v>46764.69273743017</ns0:v>
      </ns0:c>
      <ns0:c r="L115" s="16">
        <ns0:f>A115*('前提と出典'!$C$36*'契約別単価'!L5+'前提と出典'!$C$37*'契約別単価'!L6+'前提と出典'!$C$38*'契約別単価'!L7)</ns0:f>
        <ns0:v>38075.97591308498</ns0:v>
      </ns0:c>
      <ns0:c r="M115" s="16">
        <ns0:f>IF(('前提と出典'!$C$36+'前提と出典'!$C$38)=0,0,IF(B115&lt;=10,'前提と出典'!B73+'前提と出典'!C73,IF(B115&lt;=100,'前提と出典'!B74+'前提と出典'!C74,IF(B115&lt;=500,'前提と出典'!B75+'前提と出典'!C75,'前提と出典'!B76+'前提と出典'!C76))))</ns0:f>
        <ns0:v>20000</ns0:v>
      </ns0:c>
      <ns0:c r="N115" s="16">
        <ns0:f>IF(('前提と出典'!$C$37+'前提と出典'!$C$38)=0,0,IF(C115&lt;=10,'前提と出典'!D73+'前提と出典'!E73,IF(C115&lt;=100,'前提と出典'!D74+'前提と出典'!E74,IF(C115&lt;=500,'前提と出典'!D75+'前提と出典'!E75,'前提と出典'!D76+'前提と出典'!E76))))</ns0:f>
        <ns0:v>34510.9346263078</ns0:v>
      </ns0:c>
      <ns0:c r="O115" s="16">
        <ns0:f>IF('前提と出典'!$C$36+'前提と出典'!$C$38=0,0,'前提と出典'!$B$4*IF('前提と出典'!$B$20=0,MAX('前提と出典'!$B$6,D115*'前提と出典'!$B$5),'前提と出典'!$B$6+D115*'前提と出典'!$B$5))</ns0:f>
        <ns0:v>110221.13966480448</ns0:v>
      </ns0:c>
      <ns0:c r="P115" s="16">
        <ns0:f>(E115+G115)*(1-'前提と出典'!$B$7)-I115-K115-M115-O115</ns0:f>
        <ns0:v>238369.04262999567</ns0:v>
      </ns0:c>
      <ns0:c r="Q115" s="16">
        <ns0:f>(F115+H115)*(1-'前提と出典'!$B$7)-J115-L115-N115</ns0:f>
        <ns0:v>71680.1274254286</ns0:v>
      </ns0:c>
      <ns0:c r="R115" s="16">
        <ns0:f>P115-E115*'前提と出典'!$E$4</ns0:f>
        <ns0:v>173935.38556080792</ns0:v>
      </ns0:c>
      <ns0:c r="S115" s="16">
        <ns0:f>Q115-F115*'前提と出典'!$E$4</ns0:f>
        <ns0:v>46392.2579512852</ns0:v>
      </ns0:c>
      <ns0:c r="T115" s="7">
        <ns0:f>R115+S115</ns0:f>
        <ns0:v>220327.6435120931</ns0:v>
      </ns0:c>
      <ns0:c r="U115" s="16">
        <ns0:f>P115-E115*'前提と出典'!$E$5</ns0:f>
        <ns0:v>152457.49987107862</ns0:v>
      </ns0:c>
      <ns0:c r="V115" s="16">
        <ns0:f>Q115-F115*'前提と出典'!$E$5</ns0:f>
        <ns0:v>37962.968126570755</ns0:v>
      </ns0:c>
      <ns0:c r="W115" s="7">
        <ns0:f>U115+V115</ns0:f>
        <ns0:v>190420.46799764936</ns0:v>
      </ns0:c>
      <ns0:c r="X115" s="16">
        <ns0:f>P115-E115*'前提と出典'!$E$6</ns0:f>
        <ns0:v>130979.61418134937</ns0:v>
      </ns0:c>
      <ns0:c r="Y115" s="16">
        <ns0:f>Q115-F115*'前提と出典'!$E$6</ns0:f>
        <ns0:v>29533.6783018563</ns0:v>
      </ns0:c>
      <ns0:c r="Z115" s="7">
        <ns0:f>X115+Y115</ns0:f>
        <ns0:v>160513.29248320567</ns0:v>
      </ns0:c>
      <ns0:c r="AA115" s="7">
        <ns0:f>IF(T115&gt;=0,A115,1001)</ns0:f>
        <ns0:v>111</ns0:v>
      </ns0:c>
      <ns0:c r="AB115" s="7">
        <ns0:f>IF(T115&lt;0,A115,0)</ns0:f>
        <ns0:v>0</ns0:v>
      </ns0:c>
      <ns0:c r="AC115" s="16">
        <ns0:f>IF(AND(OR('前提と出典'!$C$36+'前提と出典'!$C$38=0,R115&gt;=0),OR('前提と出典'!$C$37+'前提と出典'!$C$38=0,S115&gt;=0)),0,A115)</ns0:f>
        <ns0:v>0</ns0:v>
      </ns0:c>
      <ns0:c r="AD115" s="7">
        <ns0:f>IF(W115&gt;=0,A115,1001)</ns0:f>
        <ns0:v>111</ns0:v>
      </ns0:c>
      <ns0:c r="AE115" s="7">
        <ns0:f>IF(W115&lt;0,A115,0)</ns0:f>
        <ns0:v>0</ns0:v>
      </ns0:c>
      <ns0:c r="AF115" s="16">
        <ns0:f>IF(AND(OR('前提と出典'!$C$36+'前提と出典'!$C$38=0,U115&gt;=0),OR('前提と出典'!$C$37+'前提と出典'!$C$38=0,V115&gt;=0)),0,A115)</ns0:f>
        <ns0:v>0</ns0:v>
      </ns0:c>
      <ns0:c r="AG115" s="7">
        <ns0:f>IF(Z115&gt;=0,A115,1001)</ns0:f>
        <ns0:v>111</ns0:v>
      </ns0:c>
      <ns0:c r="AH115" s="4">
        <ns0:f>IF(Z115&lt;0,A115,0)</ns0:f>
        <ns0:v>0</ns0:v>
      </ns0:c>
      <ns0:c r="AI115" s="12">
        <ns0:f>IF(AND(OR('前提と出典'!$C$36+'前提と出典'!$C$38=0,X115&gt;=0),OR('前提と出典'!$C$37+'前提と出典'!$C$38=0,Y115&gt;=0)),0,A115)</ns0:f>
        <ns0:v>0</ns0:v>
      </ns0:c>
    </ns0:row>
    <ns0:row r="116" ht="24" customHeight="1">
      <ns0:c r="A116" s="4" t="n">
        <ns0:v>112</ns0:v>
      </ns0:c>
      <ns0:c r="B116" s="12">
        <ns0:f>A116*('前提と出典'!$C$36+'前提と出典'!$C$38)</ns0:f>
        <ns0:v>78.39999999999999</ns0:v>
      </ns0:c>
      <ns0:c r="C116" s="12">
        <ns0:f>A116*('前提と出典'!$C$37+'前提と出典'!$C$38)</ns0:f>
        <ns0:v>67.2</ns0:v>
      </ns0:c>
      <ns0:c r="D116" s="16">
        <ns0:f>A116*('前提と出典'!$C$36*'契約別単価'!C5+'前提と出典'!$C$37*'契約別単価'!C6+'前提と出典'!$C$38*'契約別単価'!C7)</ns0:f>
        <ns0:v>805.8994413407821</ns0:v>
      </ns0:c>
      <ns0:c r="E116" s="16">
        <ns0:f>A116*('前提と出典'!$C$36*'契約別単価'!E5+'前提と出典'!$C$37*'契約別単価'!E6+'前提と出典'!$C$38*'契約別単価'!E7)</ns0:f>
        <ns0:v>216713.80155402498</ns0:v>
      </ns0:c>
      <ns0:c r="F116" s="16">
        <ns0:f>A116*('前提と出典'!$C$36*'契約別単価'!F5+'前提と出典'!$C$37*'契約別単価'!F6+'前提と出典'!$C$38*'契約別単価'!F7)</ns0:f>
        <ns0:v>85052.29372684861</ns0:v>
      </ns0:c>
      <ns0:c r="G116" s="16">
        <ns0:f>A116*('前提と出典'!$C$36*'契約別単価'!G5+'前提と出典'!$C$37*'契約別単価'!G6+'前提と出典'!$C$38*'契約別単価'!G7)</ns0:f>
        <ns0:v>222936.312849162</ns0:v>
      </ns0:c>
      <ns0:c r="H116" s="16">
        <ns0:f>A116*('前提と出典'!$C$36*'契約別単価'!H5+'前提と出典'!$C$37*'契約別単価'!H6+'前提と出典'!$C$38*'契約別単価'!H7)</ns0:f>
        <ns0:v>77370.08169338311</ns0:v>
      </ns0:c>
      <ns0:c r="I116" s="16">
        <ns0:f>A116*('前提と出典'!$C$36*'契約別単価'!I5+'前提と出典'!$C$37*'契約別単価'!I6+'前提と出典'!$C$38*'契約別単価'!I7)</ns0:f>
        <ns0:v>4725.899441340782</ns0:v>
      </ns0:c>
      <ns0:c r="J116" s="16">
        <ns0:f>A116*('前提と出典'!$C$36*'契約別単価'!J5+'前提と出典'!$C$37*'契約別単価'!J6+'前提と出典'!$C$38*'契約別単価'!J7)</ns0:f>
        <ns0:v>11008.428895553887</ns0:v>
      </ns0:c>
      <ns0:c r="K116" s="16">
        <ns0:f>A116*('前提と出典'!$C$36*'契約別単価'!K5+'前提と出典'!$C$37*'契約別単価'!K6+'前提と出典'!$C$38*'契約別単価'!K7)</ns0:f>
        <ns0:v>47185.99627560521</ns0:v>
      </ns0:c>
      <ns0:c r="L116" s="16">
        <ns0:f>A116*('前提と出典'!$C$36*'契約別単価'!L5+'前提と出典'!$C$37*'契約別単価'!L6+'前提と出典'!$C$38*'契約別単価'!L7)</ns0:f>
        <ns0:v>38419.00272311277</ns0:v>
      </ns0:c>
      <ns0:c r="M116" s="16">
        <ns0:f>IF(('前提と出典'!$C$36+'前提と出典'!$C$38)=0,0,IF(B116&lt;=10,'前提と出典'!B73+'前提と出典'!C73,IF(B116&lt;=100,'前提と出典'!B74+'前提と出典'!C74,IF(B116&lt;=500,'前提と出典'!B75+'前提と出典'!C75,'前提と出典'!B76+'前提と出典'!C76))))</ns0:f>
        <ns0:v>20000</ns0:v>
      </ns0:c>
      <ns0:c r="N116" s="16">
        <ns0:f>IF(('前提と出典'!$C$37+'前提と出典'!$C$38)=0,0,IF(C116&lt;=10,'前提と出典'!D73+'前提と出典'!E73,IF(C116&lt;=100,'前提と出典'!D74+'前提と出典'!E74,IF(C116&lt;=500,'前提と出典'!D75+'前提と出典'!E75,'前提と出典'!D76+'前提と出典'!E76))))</ns0:f>
        <ns0:v>34510.9346263078</ns0:v>
      </ns0:c>
      <ns0:c r="O116" s="16">
        <ns0:f>IF('前提と出典'!$C$36+'前提と出典'!$C$38=0,0,'前提と出典'!$B$4*IF('前提と出典'!$B$20=0,MAX('前提と出典'!$B$6,D116*'前提と出典'!$B$5),'前提と出典'!$B$6+D116*'前提と出典'!$B$5))</ns0:f>
        <ns0:v>111214.12290502794</ns0:v>
      </ns0:c>
      <ns0:c r="P116" s="16">
        <ns0:f>(E116+G116)*(1-'前提と出典'!$B$7)-I116-K116-M116-O116</ns0:f>
        <ns0:v>240696.6916626983</ns0:v>
      </ns0:c>
      <ns0:c r="Q116" s="16">
        <ns0:f>(F116+H116)*(1-'前提と出典'!$B$7)-J116-L116-N116</ns0:f>
        <ns0:v>72636.80366012894</ns0:v>
      </ns0:c>
      <ns0:c r="R116" s="16">
        <ns0:f>P116-E116*'前提と出典'!$E$4</ns0:f>
        <ns0:v>175682.55119649076</ns0:v>
      </ns0:c>
      <ns0:c r="S116" s="16">
        <ns0:f>Q116-F116*'前提と出典'!$E$4</ns0:f>
        <ns0:v>47121.11554207435</ns0:v>
      </ns0:c>
      <ns0:c r="T116" s="7">
        <ns0:f>R116+S116</ns0:f>
        <ns0:v>222803.6667385651</ns0:v>
      </ns0:c>
      <ns0:c r="U116" s="16">
        <ns0:f>P116-E116*'前提と出典'!$E$5</ns0:f>
        <ns0:v>154011.1710410883</ns0:v>
      </ns0:c>
      <ns0:c r="V116" s="16">
        <ns0:f>Q116-F116*'前提と出典'!$E$5</ns0:f>
        <ns0:v>38615.88616938948</ns0:v>
      </ns0:c>
      <ns0:c r="W116" s="7">
        <ns0:f>U116+V116</ns0:f>
        <ns0:v>192627.05721047777</ns0:v>
      </ns0:c>
      <ns0:c r="X116" s="16">
        <ns0:f>P116-E116*'前提と出典'!$E$6</ns0:f>
        <ns0:v>132339.79088568583</ns0:v>
      </ns0:c>
      <ns0:c r="Y116" s="16">
        <ns0:f>Q116-F116*'前提と出典'!$E$6</ns0:f>
        <ns0:v>30110.65679670463</ns0:v>
      </ns0:c>
      <ns0:c r="Z116" s="7">
        <ns0:f>X116+Y116</ns0:f>
        <ns0:v>162450.44768239046</ns0:v>
      </ns0:c>
      <ns0:c r="AA116" s="7">
        <ns0:f>IF(T116&gt;=0,A116,1001)</ns0:f>
        <ns0:v>112</ns0:v>
      </ns0:c>
      <ns0:c r="AB116" s="7">
        <ns0:f>IF(T116&lt;0,A116,0)</ns0:f>
        <ns0:v>0</ns0:v>
      </ns0:c>
      <ns0:c r="AC116" s="16">
        <ns0:f>IF(AND(OR('前提と出典'!$C$36+'前提と出典'!$C$38=0,R116&gt;=0),OR('前提と出典'!$C$37+'前提と出典'!$C$38=0,S116&gt;=0)),0,A116)</ns0:f>
        <ns0:v>0</ns0:v>
      </ns0:c>
      <ns0:c r="AD116" s="7">
        <ns0:f>IF(W116&gt;=0,A116,1001)</ns0:f>
        <ns0:v>112</ns0:v>
      </ns0:c>
      <ns0:c r="AE116" s="7">
        <ns0:f>IF(W116&lt;0,A116,0)</ns0:f>
        <ns0:v>0</ns0:v>
      </ns0:c>
      <ns0:c r="AF116" s="16">
        <ns0:f>IF(AND(OR('前提と出典'!$C$36+'前提と出典'!$C$38=0,U116&gt;=0),OR('前提と出典'!$C$37+'前提と出典'!$C$38=0,V116&gt;=0)),0,A116)</ns0:f>
        <ns0:v>0</ns0:v>
      </ns0:c>
      <ns0:c r="AG116" s="7">
        <ns0:f>IF(Z116&gt;=0,A116,1001)</ns0:f>
        <ns0:v>112</ns0:v>
      </ns0:c>
      <ns0:c r="AH116" s="4">
        <ns0:f>IF(Z116&lt;0,A116,0)</ns0:f>
        <ns0:v>0</ns0:v>
      </ns0:c>
      <ns0:c r="AI116" s="12">
        <ns0:f>IF(AND(OR('前提と出典'!$C$36+'前提と出典'!$C$38=0,X116&gt;=0),OR('前提と出典'!$C$37+'前提と出典'!$C$38=0,Y116&gt;=0)),0,A116)</ns0:f>
        <ns0:v>0</ns0:v>
      </ns0:c>
    </ns0:row>
    <ns0:row r="117" ht="24" customHeight="1">
      <ns0:c r="A117" s="4" t="n">
        <ns0:v>113</ns0:v>
      </ns0:c>
      <ns0:c r="B117" s="12">
        <ns0:f>A117*('前提と出典'!$C$36+'前提と出典'!$C$38)</ns0:f>
        <ns0:v>79.1</ns0:v>
      </ns0:c>
      <ns0:c r="C117" s="12">
        <ns0:f>A117*('前提と出典'!$C$37+'前提と出典'!$C$38)</ns0:f>
        <ns0:v>67.8</ns0:v>
      </ns0:c>
      <ns0:c r="D117" s="16">
        <ns0:f>A117*('前提と出典'!$C$36*'契約別単価'!C5+'前提と出典'!$C$37*'契約別単価'!C6+'前提と出典'!$C$38*'契約別単価'!C7)</ns0:f>
        <ns0:v>813.0949720670391</ns0:v>
      </ns0:c>
      <ns0:c r="E117" s="16">
        <ns0:f>A117*('前提と出典'!$C$36*'契約別単価'!E5+'前提と出典'!$C$37*'契約別単価'!E6+'前提と出典'!$C$38*'契約別単価'!E7)</ns0:f>
        <ns0:v>218648.74621075735</ns0:v>
      </ns0:c>
      <ns0:c r="F117" s="16">
        <ns0:f>A117*('前提と出典'!$C$36*'契約別単価'!F5+'前提と出典'!$C$37*'契約別単価'!F6+'前提と出典'!$C$38*'契約別単価'!F7)</ns0:f>
        <ns0:v>85811.68920655262</ns0:v>
      </ns0:c>
      <ns0:c r="G117" s="16">
        <ns0:f>A117*('前提と出典'!$C$36*'契約別単価'!G5+'前提と出典'!$C$37*'契約別単価'!G6+'前提と出典'!$C$38*'契約別単価'!G7)</ns0:f>
        <ns0:v>224926.8156424581</ns0:v>
      </ns0:c>
      <ns0:c r="H117" s="16">
        <ns0:f>A117*('前提と出典'!$C$36*'契約別単価'!H5+'前提と出典'!$C$37*'契約別単価'!H6+'前提と出典'!$C$38*'契約別単価'!H7)</ns0:f>
        <ns0:v>78060.88599421688</ns0:v>
      </ns0:c>
      <ns0:c r="I117" s="16">
        <ns0:f>A117*('前提と出典'!$C$36*'契約別単価'!I5+'前提と出典'!$C$37*'契約別単価'!I6+'前提と出典'!$C$38*'契約別単価'!I7)</ns0:f>
        <ns0:v>4768.094972067039</ns0:v>
      </ns0:c>
      <ns0:c r="J117" s="16">
        <ns0:f>A117*('前提と出典'!$C$36*'契約別単価'!J5+'前提と出典'!$C$37*'契約別単価'!J6+'前提と出典'!$C$38*'契約別単価'!J7)</ns0:f>
        <ns0:v>11106.71843926419</ns0:v>
      </ns0:c>
      <ns0:c r="K117" s="16">
        <ns0:f>A117*('前提と出典'!$C$36*'契約別単価'!K5+'前提と出典'!$C$37*'契約別単価'!K6+'前提と出典'!$C$38*'契約別単価'!K7)</ns0:f>
        <ns0:v>47607.29981378026</ns0:v>
      </ns0:c>
      <ns0:c r="L117" s="16">
        <ns0:f>A117*('前提と出典'!$C$36*'契約別単価'!L5+'前提と出典'!$C$37*'契約別単価'!L6+'前提と出典'!$C$38*'契約別単価'!L7)</ns0:f>
        <ns0:v>38762.02953314056</ns0:v>
      </ns0:c>
      <ns0:c r="M117" s="16">
        <ns0:f>IF(('前提と出典'!$C$36+'前提と出典'!$C$38)=0,0,IF(B117&lt;=10,'前提と出典'!B73+'前提と出典'!C73,IF(B117&lt;=100,'前提と出典'!B74+'前提と出典'!C74,IF(B117&lt;=500,'前提と出典'!B75+'前提と出典'!C75,'前提と出典'!B76+'前提と出典'!C76))))</ns0:f>
        <ns0:v>20000</ns0:v>
      </ns0:c>
      <ns0:c r="N117" s="16">
        <ns0:f>IF(('前提と出典'!$C$37+'前提と出典'!$C$38)=0,0,IF(C117&lt;=10,'前提と出典'!D73+'前提と出典'!E73,IF(C117&lt;=100,'前提と出典'!D74+'前提と出典'!E74,IF(C117&lt;=500,'前提と出典'!D75+'前提と出典'!E75,'前提と出典'!D76+'前提と出典'!E76))))</ns0:f>
        <ns0:v>34510.9346263078</ns0:v>
      </ns0:c>
      <ns0:c r="O117" s="16">
        <ns0:f>IF('前提と出典'!$C$36+'前提と出典'!$C$38=0,0,'前提と出典'!$B$4*IF('前提と出典'!$B$20=0,MAX('前提と出典'!$B$6,D117*'前提と出典'!$B$5),'前提と出典'!$B$6+D117*'前提と出典'!$B$5))</ns0:f>
        <ns0:v>112207.1061452514</ns0:v>
      </ns0:c>
      <ns0:c r="P117" s="16">
        <ns0:f>(E117+G117)*(1-'前提と出典'!$B$7)-I117-K117-M117-O117</ns0:f>
        <ns0:v>243024.34069540104</ns0:v>
      </ns0:c>
      <ns0:c r="Q117" s="16">
        <ns0:f>(F117+H117)*(1-'前提と出典'!$B$7)-J117-L117-N117</ns0:f>
        <ns0:v>73593.47989482924</ns0:v>
      </ns0:c>
      <ns0:c r="R117" s="16">
        <ns0:f>P117-E117*'前提と出典'!$E$4</ns0:f>
        <ns0:v>177429.71683217378</ns0:v>
      </ns0:c>
      <ns0:c r="S117" s="16">
        <ns0:f>Q117-F117*'前提と出典'!$E$4</ns0:f>
        <ns0:v>47849.97313286347</ns0:v>
      </ns0:c>
      <ns0:c r="T117" s="7">
        <ns0:f>R117+S117</ns0:f>
        <ns0:v>225279.68996503725</ns0:v>
      </ns0:c>
      <ns0:c r="U117" s="16">
        <ns0:f>P117-E117*'前提と出典'!$E$5</ns0:f>
        <ns0:v>155564.8422110981</ns0:v>
      </ns0:c>
      <ns0:c r="V117" s="16">
        <ns0:f>Q117-F117*'前提と出典'!$E$5</ns0:f>
        <ns0:v>39268.804212208204</ns0:v>
      </ns0:c>
      <ns0:c r="W117" s="7">
        <ns0:f>U117+V117</ns0:f>
        <ns0:v>194833.6464233063</ns0:v>
      </ns0:c>
      <ns0:c r="X117" s="16">
        <ns0:f>P117-E117*'前提と出典'!$E$6</ns0:f>
        <ns0:v>133699.96759002228</ns0:v>
      </ns0:c>
      <ns0:c r="Y117" s="16">
        <ns0:f>Q117-F117*'前提と出典'!$E$6</ns0:f>
        <ns0:v>30687.635291552928</ns0:v>
      </ns0:c>
      <ns0:c r="Z117" s="7">
        <ns0:f>X117+Y117</ns0:f>
        <ns0:v>164387.6028815752</ns0:v>
      </ns0:c>
      <ns0:c r="AA117" s="7">
        <ns0:f>IF(T117&gt;=0,A117,1001)</ns0:f>
        <ns0:v>113</ns0:v>
      </ns0:c>
      <ns0:c r="AB117" s="7">
        <ns0:f>IF(T117&lt;0,A117,0)</ns0:f>
        <ns0:v>0</ns0:v>
      </ns0:c>
      <ns0:c r="AC117" s="16">
        <ns0:f>IF(AND(OR('前提と出典'!$C$36+'前提と出典'!$C$38=0,R117&gt;=0),OR('前提と出典'!$C$37+'前提と出典'!$C$38=0,S117&gt;=0)),0,A117)</ns0:f>
        <ns0:v>0</ns0:v>
      </ns0:c>
      <ns0:c r="AD117" s="7">
        <ns0:f>IF(W117&gt;=0,A117,1001)</ns0:f>
        <ns0:v>113</ns0:v>
      </ns0:c>
      <ns0:c r="AE117" s="7">
        <ns0:f>IF(W117&lt;0,A117,0)</ns0:f>
        <ns0:v>0</ns0:v>
      </ns0:c>
      <ns0:c r="AF117" s="16">
        <ns0:f>IF(AND(OR('前提と出典'!$C$36+'前提と出典'!$C$38=0,U117&gt;=0),OR('前提と出典'!$C$37+'前提と出典'!$C$38=0,V117&gt;=0)),0,A117)</ns0:f>
        <ns0:v>0</ns0:v>
      </ns0:c>
      <ns0:c r="AG117" s="7">
        <ns0:f>IF(Z117&gt;=0,A117,1001)</ns0:f>
        <ns0:v>113</ns0:v>
      </ns0:c>
      <ns0:c r="AH117" s="4">
        <ns0:f>IF(Z117&lt;0,A117,0)</ns0:f>
        <ns0:v>0</ns0:v>
      </ns0:c>
      <ns0:c r="AI117" s="12">
        <ns0:f>IF(AND(OR('前提と出典'!$C$36+'前提と出典'!$C$38=0,X117&gt;=0),OR('前提と出典'!$C$37+'前提と出典'!$C$38=0,Y117&gt;=0)),0,A117)</ns0:f>
        <ns0:v>0</ns0:v>
      </ns0:c>
    </ns0:row>
    <ns0:row r="118" ht="24" customHeight="1">
      <ns0:c r="A118" s="4" t="n">
        <ns0:v>114</ns0:v>
      </ns0:c>
      <ns0:c r="B118" s="12">
        <ns0:f>A118*('前提と出典'!$C$36+'前提と出典'!$C$38)</ns0:f>
        <ns0:v>79.8</ns0:v>
      </ns0:c>
      <ns0:c r="C118" s="12">
        <ns0:f>A118*('前提と出典'!$C$37+'前提と出典'!$C$38)</ns0:f>
        <ns0:v>68.39999999999999</ns0:v>
      </ns0:c>
      <ns0:c r="D118" s="16">
        <ns0:f>A118*('前提と出典'!$C$36*'契約別単価'!C5+'前提と出典'!$C$37*'契約別単価'!C6+'前提と出典'!$C$38*'契約別単価'!C7)</ns0:f>
        <ns0:v>820.2905027932961</ns0:v>
      </ns0:c>
      <ns0:c r="E118" s="16">
        <ns0:f>A118*('前提と出典'!$C$36*'契約別単価'!E5+'前提と出典'!$C$37*'契約別単価'!E6+'前提と出典'!$C$38*'契約別単価'!E7)</ns0:f>
        <ns0:v>220583.69086748973</ns0:v>
      </ns0:c>
      <ns0:c r="F118" s="16">
        <ns0:f>A118*('前提と出典'!$C$36*'契約別単価'!F5+'前提と出典'!$C$37*'契約別単価'!F6+'前提と出典'!$C$38*'契約別単価'!F7)</ns0:f>
        <ns0:v>86571.08468625662</ns0:v>
      </ns0:c>
      <ns0:c r="G118" s="16">
        <ns0:f>A118*('前提と出典'!$C$36*'契約別単価'!G5+'前提と出典'!$C$37*'契約別単価'!G6+'前提と出典'!$C$38*'契約別単価'!G7)</ns0:f>
        <ns0:v>226917.3184357542</ns0:v>
      </ns0:c>
      <ns0:c r="H118" s="16">
        <ns0:f>A118*('前提と出典'!$C$36*'契約別単価'!H5+'前提と出典'!$C$37*'契約別単価'!H6+'前提と出典'!$C$38*'契約別単価'!H7)</ns0:f>
        <ns0:v>78751.69029505066</ns0:v>
      </ns0:c>
      <ns0:c r="I118" s="16">
        <ns0:f>A118*('前提と出典'!$C$36*'契約別単価'!I5+'前提と出典'!$C$37*'契約別単価'!I6+'前提と出典'!$C$38*'契約別単価'!I7)</ns0:f>
        <ns0:v>4810.290502793296</ns0:v>
      </ns0:c>
      <ns0:c r="J118" s="16">
        <ns0:f>A118*('前提と出典'!$C$36*'契約別単価'!J5+'前提と出典'!$C$37*'契約別単価'!J6+'前提と出典'!$C$38*'契約別単価'!J7)</ns0:f>
        <ns0:v>11205.007982974492</ns0:v>
      </ns0:c>
      <ns0:c r="K118" s="16">
        <ns0:f>A118*('前提と出典'!$C$36*'契約別単価'!K5+'前提と出典'!$C$37*'契約別単価'!K6+'前提と出典'!$C$38*'契約別単価'!K7)</ns0:f>
        <ns0:v>48028.6033519553</ns0:v>
      </ns0:c>
      <ns0:c r="L118" s="16">
        <ns0:f>A118*('前提と出典'!$C$36*'契約別単価'!L5+'前提と出典'!$C$37*'契約別単価'!L6+'前提と出典'!$C$38*'契約別単価'!L7)</ns0:f>
        <ns0:v>39105.056343168355</ns0:v>
      </ns0:c>
      <ns0:c r="M118" s="16">
        <ns0:f>IF(('前提と出典'!$C$36+'前提と出典'!$C$38)=0,0,IF(B118&lt;=10,'前提と出典'!B73+'前提と出典'!C73,IF(B118&lt;=100,'前提と出典'!B74+'前提と出典'!C74,IF(B118&lt;=500,'前提と出典'!B75+'前提と出典'!C75,'前提と出典'!B76+'前提と出典'!C76))))</ns0:f>
        <ns0:v>20000</ns0:v>
      </ns0:c>
      <ns0:c r="N118" s="16">
        <ns0:f>IF(('前提と出典'!$C$37+'前提と出典'!$C$38)=0,0,IF(C118&lt;=10,'前提と出典'!D73+'前提と出典'!E73,IF(C118&lt;=100,'前提と出典'!D74+'前提と出典'!E74,IF(C118&lt;=500,'前提と出典'!D75+'前提と出典'!E75,'前提と出典'!D76+'前提と出典'!E76))))</ns0:f>
        <ns0:v>34510.9346263078</ns0:v>
      </ns0:c>
      <ns0:c r="O118" s="16">
        <ns0:f>IF('前提と出典'!$C$36+'前提と出典'!$C$38=0,0,'前提と出典'!$B$4*IF('前提と出典'!$B$20=0,MAX('前提と出典'!$B$6,D118*'前提と出典'!$B$5),'前提と出典'!$B$6+D118*'前提と出典'!$B$5))</ns0:f>
        <ns0:v>113200.08938547487</ns0:v>
      </ns0:c>
      <ns0:c r="P118" s="16">
        <ns0:f>(E118+G118)*(1-'前提と出典'!$B$7)-I118-K118-M118-O118</ns0:f>
        <ns0:v>245351.98972810374</ns0:v>
      </ns0:c>
      <ns0:c r="Q118" s="16">
        <ns0:f>(F118+H118)*(1-'前提と出典'!$B$7)-J118-L118-N118</ns0:f>
        <ns0:v>74550.15612952955</ns0:v>
      </ns0:c>
      <ns0:c r="R118" s="16">
        <ns0:f>P118-E118*'前提と出典'!$E$4</ns0:f>
        <ns0:v>179176.8824678568</ns0:v>
      </ns0:c>
      <ns0:c r="S118" s="16">
        <ns0:f>Q118-F118*'前提と出典'!$E$4</ns0:f>
        <ns0:v>48578.83072365258</ns0:v>
      </ns0:c>
      <ns0:c r="T118" s="7">
        <ns0:f>R118+S118</ns0:f>
        <ns0:v>227755.7131915094</ns0:v>
      </ns0:c>
      <ns0:c r="U118" s="16">
        <ns0:f>P118-E118*'前提と出典'!$E$5</ns0:f>
        <ns0:v>157118.51338110783</ns0:v>
      </ns0:c>
      <ns0:c r="V118" s="16">
        <ns0:f>Q118-F118*'前提と出典'!$E$5</ns0:f>
        <ns0:v>39921.7222550269</ns0:v>
      </ns0:c>
      <ns0:c r="W118" s="7">
        <ns0:f>U118+V118</ns0:f>
        <ns0:v>197040.23563613472</ns0:v>
      </ns0:c>
      <ns0:c r="X118" s="16">
        <ns0:f>P118-E118*'前提と出典'!$E$6</ns0:f>
        <ns0:v>135060.1442943589</ns0:v>
      </ns0:c>
      <ns0:c r="Y118" s="16">
        <ns0:f>Q118-F118*'前提と出典'!$E$6</ns0:f>
        <ns0:v>31264.61378640125</ns0:v>
      </ns0:c>
      <ns0:c r="Z118" s="7">
        <ns0:f>X118+Y118</ns0:f>
        <ns0:v>166324.75808076016</ns0:v>
      </ns0:c>
      <ns0:c r="AA118" s="7">
        <ns0:f>IF(T118&gt;=0,A118,1001)</ns0:f>
        <ns0:v>114</ns0:v>
      </ns0:c>
      <ns0:c r="AB118" s="7">
        <ns0:f>IF(T118&lt;0,A118,0)</ns0:f>
        <ns0:v>0</ns0:v>
      </ns0:c>
      <ns0:c r="AC118" s="16">
        <ns0:f>IF(AND(OR('前提と出典'!$C$36+'前提と出典'!$C$38=0,R118&gt;=0),OR('前提と出典'!$C$37+'前提と出典'!$C$38=0,S118&gt;=0)),0,A118)</ns0:f>
        <ns0:v>0</ns0:v>
      </ns0:c>
      <ns0:c r="AD118" s="7">
        <ns0:f>IF(W118&gt;=0,A118,1001)</ns0:f>
        <ns0:v>114</ns0:v>
      </ns0:c>
      <ns0:c r="AE118" s="7">
        <ns0:f>IF(W118&lt;0,A118,0)</ns0:f>
        <ns0:v>0</ns0:v>
      </ns0:c>
      <ns0:c r="AF118" s="16">
        <ns0:f>IF(AND(OR('前提と出典'!$C$36+'前提と出典'!$C$38=0,U118&gt;=0),OR('前提と出典'!$C$37+'前提と出典'!$C$38=0,V118&gt;=0)),0,A118)</ns0:f>
        <ns0:v>0</ns0:v>
      </ns0:c>
      <ns0:c r="AG118" s="7">
        <ns0:f>IF(Z118&gt;=0,A118,1001)</ns0:f>
        <ns0:v>114</ns0:v>
      </ns0:c>
      <ns0:c r="AH118" s="4">
        <ns0:f>IF(Z118&lt;0,A118,0)</ns0:f>
        <ns0:v>0</ns0:v>
      </ns0:c>
      <ns0:c r="AI118" s="12">
        <ns0:f>IF(AND(OR('前提と出典'!$C$36+'前提と出典'!$C$38=0,X118&gt;=0),OR('前提と出典'!$C$37+'前提と出典'!$C$38=0,Y118&gt;=0)),0,A118)</ns0:f>
        <ns0:v>0</ns0:v>
      </ns0:c>
    </ns0:row>
    <ns0:row r="119" ht="24" customHeight="1">
      <ns0:c r="A119" s="4" t="n">
        <ns0:v>115</ns0:v>
      </ns0:c>
      <ns0:c r="B119" s="12">
        <ns0:f>A119*('前提と出典'!$C$36+'前提と出典'!$C$38)</ns0:f>
        <ns0:v>80.5</ns0:v>
      </ns0:c>
      <ns0:c r="C119" s="12">
        <ns0:f>A119*('前提と出典'!$C$37+'前提と出典'!$C$38)</ns0:f>
        <ns0:v>69</ns0:v>
      </ns0:c>
      <ns0:c r="D119" s="16">
        <ns0:f>A119*('前提と出典'!$C$36*'契約別単価'!C5+'前提と出典'!$C$37*'契約別単価'!C6+'前提と出典'!$C$38*'契約別単価'!C7)</ns0:f>
        <ns0:v>827.4860335195531</ns0:v>
      </ns0:c>
      <ns0:c r="E119" s="16">
        <ns0:f>A119*('前提と出典'!$C$36*'契約別単価'!E5+'前提と出典'!$C$37*'契約別単価'!E6+'前提と出典'!$C$38*'契約別単価'!E7)</ns0:f>
        <ns0:v>222518.63552422207</ns0:v>
      </ns0:c>
      <ns0:c r="F119" s="16">
        <ns0:f>A119*('前提と出典'!$C$36*'契約別単価'!F5+'前提と出典'!$C$37*'契約別単価'!F6+'前提と出典'!$C$38*'契約別単価'!F7)</ns0:f>
        <ns0:v>87330.48016596063</ns0:v>
      </ns0:c>
      <ns0:c r="G119" s="16">
        <ns0:f>A119*('前提と出典'!$C$36*'契約別単価'!G5+'前提と出典'!$C$37*'契約別単価'!G6+'前提と出典'!$C$38*'契約別単価'!G7)</ns0:f>
        <ns0:v>228907.82122905026</ns0:v>
      </ns0:c>
      <ns0:c r="H119" s="16">
        <ns0:f>A119*('前提と出典'!$C$36*'契約別単価'!H5+'前提と出典'!$C$37*'契約別単価'!H6+'前提と出典'!$C$38*'契約別単価'!H7)</ns0:f>
        <ns0:v>79442.49459588443</ns0:v>
      </ns0:c>
      <ns0:c r="I119" s="16">
        <ns0:f>A119*('前提と出典'!$C$36*'契約別単価'!I5+'前提と出典'!$C$37*'契約別単価'!I6+'前提と出典'!$C$38*'契約別単価'!I7)</ns0:f>
        <ns0:v>4852.486033519553</ns0:v>
      </ns0:c>
      <ns0:c r="J119" s="16">
        <ns0:f>A119*('前提と出典'!$C$36*'契約別単価'!J5+'前提と出典'!$C$37*'契約別単価'!J6+'前提と出典'!$C$38*'契約別単価'!J7)</ns0:f>
        <ns0:v>11303.297526684795</ns0:v>
      </ns0:c>
      <ns0:c r="K119" s="16">
        <ns0:f>A119*('前提と出典'!$C$36*'契約別単価'!K5+'前提と出典'!$C$37*'契約別単価'!K6+'前提と出典'!$C$38*'契約別単価'!K7)</ns0:f>
        <ns0:v>48449.90689013035</ns0:v>
      </ns0:c>
      <ns0:c r="L119" s="16">
        <ns0:f>A119*('前提と出典'!$C$36*'契約別単価'!L5+'前提と出典'!$C$37*'契約別単価'!L6+'前提と出典'!$C$38*'契約別単価'!L7)</ns0:f>
        <ns0:v>39448.083153196145</ns0:v>
      </ns0:c>
      <ns0:c r="M119" s="16">
        <ns0:f>IF(('前提と出典'!$C$36+'前提と出典'!$C$38)=0,0,IF(B119&lt;=10,'前提と出典'!B73+'前提と出典'!C73,IF(B119&lt;=100,'前提と出典'!B74+'前提と出典'!C74,IF(B119&lt;=500,'前提と出典'!B75+'前提と出典'!C75,'前提と出典'!B76+'前提と出典'!C76))))</ns0:f>
        <ns0:v>20000</ns0:v>
      </ns0:c>
      <ns0:c r="N119" s="16">
        <ns0:f>IF(('前提と出典'!$C$37+'前提と出典'!$C$38)=0,0,IF(C119&lt;=10,'前提と出典'!D73+'前提と出典'!E73,IF(C119&lt;=100,'前提と出典'!D74+'前提と出典'!E74,IF(C119&lt;=500,'前提と出典'!D75+'前提と出典'!E75,'前提と出典'!D76+'前提と出典'!E76))))</ns0:f>
        <ns0:v>34510.9346263078</ns0:v>
      </ns0:c>
      <ns0:c r="O119" s="16">
        <ns0:f>IF('前提と出典'!$C$36+'前提と出典'!$C$38=0,0,'前提と出典'!$B$4*IF('前提と出典'!$B$20=0,MAX('前提と出典'!$B$6,D119*'前提と出典'!$B$5),'前提と出典'!$B$6+D119*'前提と出典'!$B$5))</ns0:f>
        <ns0:v>114193.07262569833</ns0:v>
      </ns0:c>
      <ns0:c r="P119" s="16">
        <ns0:f>(E119+G119)*(1-'前提と出典'!$B$7)-I119-K119-M119-O119</ns0:f>
        <ns0:v>247679.63876080624</ns0:v>
      </ns0:c>
      <ns0:c r="Q119" s="16">
        <ns0:f>(F119+H119)*(1-'前提と出典'!$B$7)-J119-L119-N119</ns0:f>
        <ns0:v>75506.83236422992</ns0:v>
      </ns0:c>
      <ns0:c r="R119" s="16">
        <ns0:f>P119-E119*'前提と出典'!$E$4</ns0:f>
        <ns0:v>180924.04810353962</ns0:v>
      </ns0:c>
      <ns0:c r="S119" s="16">
        <ns0:f>Q119-F119*'前提と出典'!$E$4</ns0:f>
        <ns0:v>49307.688314441744</ns0:v>
      </ns0:c>
      <ns0:c r="T119" s="7">
        <ns0:f>R119+S119</ns0:f>
        <ns0:v>230231.73641798136</ns0:v>
      </ns0:c>
      <ns0:c r="U119" s="16">
        <ns0:f>P119-E119*'前提と出典'!$E$5</ns0:f>
        <ns0:v>158672.18455111742</ns0:v>
      </ns0:c>
      <ns0:c r="V119" s="16">
        <ns0:f>Q119-F119*'前提と出典'!$E$5</ns0:f>
        <ns0:v>40574.64029784567</ns0:v>
      </ns0:c>
      <ns0:c r="W119" s="7">
        <ns0:f>U119+V119</ns0:f>
        <ns0:v>199246.8248489631</ns0:v>
      </ns0:c>
      <ns0:c r="X119" s="16">
        <ns0:f>P119-E119*'前提と出典'!$E$6</ns0:f>
        <ns0:v>136420.3209986952</ns0:v>
      </ns0:c>
      <ns0:c r="Y119" s="16">
        <ns0:f>Q119-F119*'前提と出典'!$E$6</ns0:f>
        <ns0:v>31841.592281249606</ns0:v>
      </ns0:c>
      <ns0:c r="Z119" s="7">
        <ns0:f>X119+Y119</ns0:f>
        <ns0:v>168261.91327994483</ns0:v>
      </ns0:c>
      <ns0:c r="AA119" s="7">
        <ns0:f>IF(T119&gt;=0,A119,1001)</ns0:f>
        <ns0:v>115</ns0:v>
      </ns0:c>
      <ns0:c r="AB119" s="7">
        <ns0:f>IF(T119&lt;0,A119,0)</ns0:f>
        <ns0:v>0</ns0:v>
      </ns0:c>
      <ns0:c r="AC119" s="16">
        <ns0:f>IF(AND(OR('前提と出典'!$C$36+'前提と出典'!$C$38=0,R119&gt;=0),OR('前提と出典'!$C$37+'前提と出典'!$C$38=0,S119&gt;=0)),0,A119)</ns0:f>
        <ns0:v>0</ns0:v>
      </ns0:c>
      <ns0:c r="AD119" s="7">
        <ns0:f>IF(W119&gt;=0,A119,1001)</ns0:f>
        <ns0:v>115</ns0:v>
      </ns0:c>
      <ns0:c r="AE119" s="7">
        <ns0:f>IF(W119&lt;0,A119,0)</ns0:f>
        <ns0:v>0</ns0:v>
      </ns0:c>
      <ns0:c r="AF119" s="16">
        <ns0:f>IF(AND(OR('前提と出典'!$C$36+'前提と出典'!$C$38=0,U119&gt;=0),OR('前提と出典'!$C$37+'前提と出典'!$C$38=0,V119&gt;=0)),0,A119)</ns0:f>
        <ns0:v>0</ns0:v>
      </ns0:c>
      <ns0:c r="AG119" s="7">
        <ns0:f>IF(Z119&gt;=0,A119,1001)</ns0:f>
        <ns0:v>115</ns0:v>
      </ns0:c>
      <ns0:c r="AH119" s="4">
        <ns0:f>IF(Z119&lt;0,A119,0)</ns0:f>
        <ns0:v>0</ns0:v>
      </ns0:c>
      <ns0:c r="AI119" s="12">
        <ns0:f>IF(AND(OR('前提と出典'!$C$36+'前提と出典'!$C$38=0,X119&gt;=0),OR('前提と出典'!$C$37+'前提と出典'!$C$38=0,Y119&gt;=0)),0,A119)</ns0:f>
        <ns0:v>0</ns0:v>
      </ns0:c>
    </ns0:row>
    <ns0:row r="120" ht="24" customHeight="1">
      <ns0:c r="A120" s="4" t="n">
        <ns0:v>116</ns0:v>
      </ns0:c>
      <ns0:c r="B120" s="12">
        <ns0:f>A120*('前提と出典'!$C$36+'前提と出典'!$C$38)</ns0:f>
        <ns0:v>81.19999999999999</ns0:v>
      </ns0:c>
      <ns0:c r="C120" s="12">
        <ns0:f>A120*('前提と出典'!$C$37+'前提と出典'!$C$38)</ns0:f>
        <ns0:v>69.6</ns0:v>
      </ns0:c>
      <ns0:c r="D120" s="16">
        <ns0:f>A120*('前提と出典'!$C$36*'契約別単価'!C5+'前提と出典'!$C$37*'契約別単価'!C6+'前提と出典'!$C$38*'契約別単価'!C7)</ns0:f>
        <ns0:v>834.68156424581</ns0:v>
      </ns0:c>
      <ns0:c r="E120" s="16">
        <ns0:f>A120*('前提と出典'!$C$36*'契約別単価'!E5+'前提と出典'!$C$37*'契約別単価'!E6+'前提と出典'!$C$38*'契約別単価'!E7)</ns0:f>
        <ns0:v>224453.58018095445</ns0:v>
      </ns0:c>
      <ns0:c r="F120" s="16">
        <ns0:f>A120*('前提と出典'!$C$36*'契約別単価'!F5+'前提と出典'!$C$37*'契約別単価'!F6+'前提と出典'!$C$38*'契約別単価'!F7)</ns0:f>
        <ns0:v>88089.87564566464</ns0:v>
      </ns0:c>
      <ns0:c r="G120" s="16">
        <ns0:f>A120*('前提と出典'!$C$36*'契約別単価'!G5+'前提と出典'!$C$37*'契約別単価'!G6+'前提と出典'!$C$38*'契約別単価'!G7)</ns0:f>
        <ns0:v>230898.32402234635</ns0:v>
      </ns0:c>
      <ns0:c r="H120" s="16">
        <ns0:f>A120*('前提と出典'!$C$36*'契約別単価'!H5+'前提と出典'!$C$37*'契約別単価'!H6+'前提と出典'!$C$38*'契約別単価'!H7)</ns0:f>
        <ns0:v>80133.29889671822</ns0:v>
      </ns0:c>
      <ns0:c r="I120" s="16">
        <ns0:f>A120*('前提と出典'!$C$36*'契約別単価'!I5+'前提と出典'!$C$37*'契約別単価'!I6+'前提と出典'!$C$38*'契約別単価'!I7)</ns0:f>
        <ns0:v>4894.68156424581</ns0:v>
      </ns0:c>
      <ns0:c r="J120" s="16">
        <ns0:f>A120*('前提と出典'!$C$36*'契約別単価'!J5+'前提と出典'!$C$37*'契約別単価'!J6+'前提と出典'!$C$38*'契約別単価'!J7)</ns0:f>
        <ns0:v>11401.587070395099</ns0:v>
      </ns0:c>
      <ns0:c r="K120" s="16">
        <ns0:f>A120*('前提と出典'!$C$36*'契約別単価'!K5+'前提と出典'!$C$37*'契約別単価'!K6+'前提と出典'!$C$38*'契約別単価'!K7)</ns0:f>
        <ns0:v>48871.2104283054</ns0:v>
      </ns0:c>
      <ns0:c r="L120" s="16">
        <ns0:f>A120*('前提と出典'!$C$36*'契約別単価'!L5+'前提と出典'!$C$37*'契約別単価'!L6+'前提と出典'!$C$38*'契約別単価'!L7)</ns0:f>
        <ns0:v>39791.10996322394</ns0:v>
      </ns0:c>
      <ns0:c r="M120" s="16">
        <ns0:f>IF(('前提と出典'!$C$36+'前提と出典'!$C$38)=0,0,IF(B120&lt;=10,'前提と出典'!B73+'前提と出典'!C73,IF(B120&lt;=100,'前提と出典'!B74+'前提と出典'!C74,IF(B120&lt;=500,'前提と出典'!B75+'前提と出典'!C75,'前提と出典'!B76+'前提と出典'!C76))))</ns0:f>
        <ns0:v>20000</ns0:v>
      </ns0:c>
      <ns0:c r="N120" s="16">
        <ns0:f>IF(('前提と出典'!$C$37+'前提と出典'!$C$38)=0,0,IF(C120&lt;=10,'前提と出典'!D73+'前提と出典'!E73,IF(C120&lt;=100,'前提と出典'!D74+'前提と出典'!E74,IF(C120&lt;=500,'前提と出典'!D75+'前提と出典'!E75,'前提と出典'!D76+'前提と出典'!E76))))</ns0:f>
        <ns0:v>34510.9346263078</ns0:v>
      </ns0:c>
      <ns0:c r="O120" s="16">
        <ns0:f>IF('前提と出典'!$C$36+'前提と出典'!$C$38=0,0,'前提と出典'!$B$4*IF('前提と出典'!$B$20=0,MAX('前提と出典'!$B$6,D120*'前提と出典'!$B$5),'前提と出典'!$B$6+D120*'前提と出典'!$B$5))</ns0:f>
        <ns0:v>115186.0558659218</ns0:v>
      </ns0:c>
      <ns0:c r="P120" s="16">
        <ns0:f>(E120+G120)*(1-'前提と出典'!$B$7)-I120-K120-M120-O120</ns0:f>
        <ns0:v>250007.28779350908</ns0:v>
      </ns0:c>
      <ns0:c r="Q120" s="16">
        <ns0:f>(F120+H120)*(1-'前提と出典'!$B$7)-J120-L120-N120</ns0:f>
        <ns0:v>76463.50859893023</ns0:v>
      </ns0:c>
      <ns0:c r="R120" s="16">
        <ns0:f>P120-E120*'前提と出典'!$E$4</ns0:f>
        <ns0:v>182671.21373922267</ns0:v>
      </ns0:c>
      <ns0:c r="S120" s="16">
        <ns0:f>Q120-F120*'前提と出典'!$E$4</ns0:f>
        <ns0:v>50036.545905230836</ns0:v>
      </ns0:c>
      <ns0:c r="T120" s="7">
        <ns0:f>R120+S120</ns0:f>
        <ns0:v>232707.7596444535</ns0:v>
      </ns0:c>
      <ns0:c r="U120" s="16">
        <ns0:f>P120-E120*'前提と出典'!$E$5</ns0:f>
        <ns0:v>160225.8557211273</ns0:v>
      </ns0:c>
      <ns0:c r="V120" s="16">
        <ns0:f>Q120-F120*'前提と出典'!$E$5</ns0:f>
        <ns0:v>41227.55834066438</ns0:v>
      </ns0:c>
      <ns0:c r="W120" s="7">
        <ns0:f>U120+V120</ns0:f>
        <ns0:v>201453.41406179167</ns0:v>
      </ns0:c>
      <ns0:c r="X120" s="16">
        <ns0:f>P120-E120*'前提と出典'!$E$6</ns0:f>
        <ns0:v>137780.4977030318</ns0:v>
      </ns0:c>
      <ns0:c r="Y120" s="16">
        <ns0:f>Q120-F120*'前提と出典'!$E$6</ns0:f>
        <ns0:v>32418.57077609792</ns0:v>
      </ns0:c>
      <ns0:c r="Z120" s="7">
        <ns0:f>X120+Y120</ns0:f>
        <ns0:v>170199.06847912972</ns0:v>
      </ns0:c>
      <ns0:c r="AA120" s="7">
        <ns0:f>IF(T120&gt;=0,A120,1001)</ns0:f>
        <ns0:v>116</ns0:v>
      </ns0:c>
      <ns0:c r="AB120" s="7">
        <ns0:f>IF(T120&lt;0,A120,0)</ns0:f>
        <ns0:v>0</ns0:v>
      </ns0:c>
      <ns0:c r="AC120" s="16">
        <ns0:f>IF(AND(OR('前提と出典'!$C$36+'前提と出典'!$C$38=0,R120&gt;=0),OR('前提と出典'!$C$37+'前提と出典'!$C$38=0,S120&gt;=0)),0,A120)</ns0:f>
        <ns0:v>0</ns0:v>
      </ns0:c>
      <ns0:c r="AD120" s="7">
        <ns0:f>IF(W120&gt;=0,A120,1001)</ns0:f>
        <ns0:v>116</ns0:v>
      </ns0:c>
      <ns0:c r="AE120" s="7">
        <ns0:f>IF(W120&lt;0,A120,0)</ns0:f>
        <ns0:v>0</ns0:v>
      </ns0:c>
      <ns0:c r="AF120" s="16">
        <ns0:f>IF(AND(OR('前提と出典'!$C$36+'前提と出典'!$C$38=0,U120&gt;=0),OR('前提と出典'!$C$37+'前提と出典'!$C$38=0,V120&gt;=0)),0,A120)</ns0:f>
        <ns0:v>0</ns0:v>
      </ns0:c>
      <ns0:c r="AG120" s="7">
        <ns0:f>IF(Z120&gt;=0,A120,1001)</ns0:f>
        <ns0:v>116</ns0:v>
      </ns0:c>
      <ns0:c r="AH120" s="4">
        <ns0:f>IF(Z120&lt;0,A120,0)</ns0:f>
        <ns0:v>0</ns0:v>
      </ns0:c>
      <ns0:c r="AI120" s="12">
        <ns0:f>IF(AND(OR('前提と出典'!$C$36+'前提と出典'!$C$38=0,X120&gt;=0),OR('前提と出典'!$C$37+'前提と出典'!$C$38=0,Y120&gt;=0)),0,A120)</ns0:f>
        <ns0:v>0</ns0:v>
      </ns0:c>
    </ns0:row>
    <ns0:row r="121" ht="24" customHeight="1">
      <ns0:c r="A121" s="4" t="n">
        <ns0:v>117</ns0:v>
      </ns0:c>
      <ns0:c r="B121" s="12">
        <ns0:f>A121*('前提と出典'!$C$36+'前提と出典'!$C$38)</ns0:f>
        <ns0:v>81.89999999999999</ns0:v>
      </ns0:c>
      <ns0:c r="C121" s="12">
        <ns0:f>A121*('前提と出典'!$C$37+'前提と出典'!$C$38)</ns0:f>
        <ns0:v>70.2</ns0:v>
      </ns0:c>
      <ns0:c r="D121" s="16">
        <ns0:f>A121*('前提と出典'!$C$36*'契約別単価'!C5+'前提と出典'!$C$37*'契約別単価'!C6+'前提と出典'!$C$38*'契約別単価'!C7)</ns0:f>
        <ns0:v>841.8770949720671</ns0:v>
      </ns0:c>
      <ns0:c r="E121" s="16">
        <ns0:f>A121*('前提と出典'!$C$36*'契約別単価'!E5+'前提と出典'!$C$37*'契約別単価'!E6+'前提と出典'!$C$38*'契約別単価'!E7)</ns0:f>
        <ns0:v>226388.52483768683</ns0:v>
      </ns0:c>
      <ns0:c r="F121" s="16">
        <ns0:f>A121*('前提と出典'!$C$36*'契約別単価'!F5+'前提と出典'!$C$37*'契約別単価'!F6+'前提と出典'!$C$38*'契約別単価'!F7)</ns0:f>
        <ns0:v>88849.27112536864</ns0:v>
      </ns0:c>
      <ns0:c r="G121" s="16">
        <ns0:f>A121*('前提と出典'!$C$36*'契約別単価'!G5+'前提と出典'!$C$37*'契約別単価'!G6+'前提と出典'!$C$38*'契約別単価'!G7)</ns0:f>
        <ns0:v>232888.82681564245</ns0:v>
      </ns0:c>
      <ns0:c r="H121" s="16">
        <ns0:f>A121*('前提と出典'!$C$36*'契約別単価'!H5+'前提と出典'!$C$37*'契約別単価'!H6+'前提と出典'!$C$38*'契約別単価'!H7)</ns0:f>
        <ns0:v>80824.10319755199</ns0:v>
      </ns0:c>
      <ns0:c r="I121" s="16">
        <ns0:f>A121*('前提と出典'!$C$36*'契約別単価'!I5+'前提と出典'!$C$37*'契約別単価'!I6+'前提と出典'!$C$38*'契約別単価'!I7)</ns0:f>
        <ns0:v>4936.8770949720665</ns0:v>
      </ns0:c>
      <ns0:c r="J121" s="16">
        <ns0:f>A121*('前提と出典'!$C$36*'契約別単価'!J5+'前提と出典'!$C$37*'契約別単価'!J6+'前提と出典'!$C$38*'契約別単価'!J7)</ns0:f>
        <ns0:v>11499.8766141054</ns0:v>
      </ns0:c>
      <ns0:c r="K121" s="16">
        <ns0:f>A121*('前提と出典'!$C$36*'契約別単価'!K5+'前提と出典'!$C$37*'契約別単価'!K6+'前提と出典'!$C$38*'契約別単価'!K7)</ns0:f>
        <ns0:v>49292.513966480445</ns0:v>
      </ns0:c>
      <ns0:c r="L121" s="16">
        <ns0:f>A121*('前提と出典'!$C$36*'契約別単価'!L5+'前提と出典'!$C$37*'契約別単価'!L6+'前提と出典'!$C$38*'契約別単価'!L7)</ns0:f>
        <ns0:v>40134.13677325173</ns0:v>
      </ns0:c>
      <ns0:c r="M121" s="16">
        <ns0:f>IF(('前提と出典'!$C$36+'前提と出典'!$C$38)=0,0,IF(B121&lt;=10,'前提と出典'!B73+'前提と出典'!C73,IF(B121&lt;=100,'前提と出典'!B74+'前提と出典'!C74,IF(B121&lt;=500,'前提と出典'!B75+'前提と出典'!C75,'前提と出典'!B76+'前提と出典'!C76))))</ns0:f>
        <ns0:v>20000</ns0:v>
      </ns0:c>
      <ns0:c r="N121" s="16">
        <ns0:f>IF(('前提と出典'!$C$37+'前提と出典'!$C$38)=0,0,IF(C121&lt;=10,'前提と出典'!D73+'前提と出典'!E73,IF(C121&lt;=100,'前提と出典'!D74+'前提と出典'!E74,IF(C121&lt;=500,'前提と出典'!D75+'前提と出典'!E75,'前提と出典'!D76+'前提と出典'!E76))))</ns0:f>
        <ns0:v>34510.9346263078</ns0:v>
      </ns0:c>
      <ns0:c r="O121" s="16">
        <ns0:f>IF('前提と出典'!$C$36+'前提と出典'!$C$38=0,0,'前提と出典'!$B$4*IF('前提と出典'!$B$20=0,MAX('前提と出典'!$B$6,D121*'前提と出典'!$B$5),'前提と出典'!$B$6+D121*'前提と出典'!$B$5))</ns0:f>
        <ns0:v>116179.03910614527</ns0:v>
      </ns0:c>
      <ns0:c r="P121" s="16">
        <ns0:f>(E121+G121)*(1-'前提と出典'!$B$7)-I121-K121-M121-O121</ns0:f>
        <ns0:v>252334.93682621163</ns0:v>
      </ns0:c>
      <ns0:c r="Q121" s="16">
        <ns0:f>(F121+H121)*(1-'前提と出典'!$B$7)-J121-L121-N121</ns0:f>
        <ns0:v>77420.18483363057</ns0:v>
      </ns0:c>
      <ns0:c r="R121" s="16">
        <ns0:f>P121-E121*'前提と出典'!$E$4</ns0:f>
        <ns0:v>184418.3793749056</ns0:v>
      </ns0:c>
      <ns0:c r="S121" s="16">
        <ns0:f>Q121-F121*'前提と出典'!$E$4</ns0:f>
        <ns0:v>50765.403496019986</ns0:v>
      </ns0:c>
      <ns0:c r="T121" s="7">
        <ns0:f>R121+S121</ns0:f>
        <ns0:v>235183.78287092558</ns0:v>
      </ns0:c>
      <ns0:c r="U121" s="16">
        <ns0:f>P121-E121*'前提と出典'!$E$5</ns0:f>
        <ns0:v>161779.5268911369</ns0:v>
      </ns0:c>
      <ns0:c r="V121" s="16">
        <ns0:f>Q121-F121*'前提と出典'!$E$5</ns0:f>
        <ns0:v>41880.4763834831</ns0:v>
      </ns0:c>
      <ns0:c r="W121" s="7">
        <ns0:f>U121+V121</ns0:f>
        <ns0:v>203660.00327462</ns0:v>
      </ns0:c>
      <ns0:c r="X121" s="16">
        <ns0:f>P121-E121*'前提と出典'!$E$6</ns0:f>
        <ns0:v>139140.67440736823</ns0:v>
      </ns0:c>
      <ns0:c r="Y121" s="16">
        <ns0:f>Q121-F121*'前提と出典'!$E$6</ns0:f>
        <ns0:v>32995.54927094625</ns0:v>
      </ns0:c>
      <ns0:c r="Z121" s="7">
        <ns0:f>X121+Y121</ns0:f>
        <ns0:v>172136.22367831448</ns0:v>
      </ns0:c>
      <ns0:c r="AA121" s="7">
        <ns0:f>IF(T121&gt;=0,A121,1001)</ns0:f>
        <ns0:v>117</ns0:v>
      </ns0:c>
      <ns0:c r="AB121" s="7">
        <ns0:f>IF(T121&lt;0,A121,0)</ns0:f>
        <ns0:v>0</ns0:v>
      </ns0:c>
      <ns0:c r="AC121" s="16">
        <ns0:f>IF(AND(OR('前提と出典'!$C$36+'前提と出典'!$C$38=0,R121&gt;=0),OR('前提と出典'!$C$37+'前提と出典'!$C$38=0,S121&gt;=0)),0,A121)</ns0:f>
        <ns0:v>0</ns0:v>
      </ns0:c>
      <ns0:c r="AD121" s="7">
        <ns0:f>IF(W121&gt;=0,A121,1001)</ns0:f>
        <ns0:v>117</ns0:v>
      </ns0:c>
      <ns0:c r="AE121" s="7">
        <ns0:f>IF(W121&lt;0,A121,0)</ns0:f>
        <ns0:v>0</ns0:v>
      </ns0:c>
      <ns0:c r="AF121" s="16">
        <ns0:f>IF(AND(OR('前提と出典'!$C$36+'前提と出典'!$C$38=0,U121&gt;=0),OR('前提と出典'!$C$37+'前提と出典'!$C$38=0,V121&gt;=0)),0,A121)</ns0:f>
        <ns0:v>0</ns0:v>
      </ns0:c>
      <ns0:c r="AG121" s="7">
        <ns0:f>IF(Z121&gt;=0,A121,1001)</ns0:f>
        <ns0:v>117</ns0:v>
      </ns0:c>
      <ns0:c r="AH121" s="4">
        <ns0:f>IF(Z121&lt;0,A121,0)</ns0:f>
        <ns0:v>0</ns0:v>
      </ns0:c>
      <ns0:c r="AI121" s="12">
        <ns0:f>IF(AND(OR('前提と出典'!$C$36+'前提と出典'!$C$38=0,X121&gt;=0),OR('前提と出典'!$C$37+'前提と出典'!$C$38=0,Y121&gt;=0)),0,A121)</ns0:f>
        <ns0:v>0</ns0:v>
      </ns0:c>
    </ns0:row>
    <ns0:row r="122" ht="24" customHeight="1">
      <ns0:c r="A122" s="4" t="n">
        <ns0:v>118</ns0:v>
      </ns0:c>
      <ns0:c r="B122" s="12">
        <ns0:f>A122*('前提と出典'!$C$36+'前提と出典'!$C$38)</ns0:f>
        <ns0:v>82.6</ns0:v>
      </ns0:c>
      <ns0:c r="C122" s="12">
        <ns0:f>A122*('前提と出典'!$C$37+'前提と出典'!$C$38)</ns0:f>
        <ns0:v>70.8</ns0:v>
      </ns0:c>
      <ns0:c r="D122" s="16">
        <ns0:f>A122*('前提と出典'!$C$36*'契約別単価'!C5+'前提と出典'!$C$37*'契約別単価'!C6+'前提と出典'!$C$38*'契約別単価'!C7)</ns0:f>
        <ns0:v>849.072625698324</ns0:v>
      </ns0:c>
      <ns0:c r="E122" s="16">
        <ns0:f>A122*('前提と出典'!$C$36*'契約別単価'!E5+'前提と出典'!$C$37*'契約別単価'!E6+'前提と出典'!$C$38*'契約別単価'!E7)</ns0:f>
        <ns0:v>228323.46949441917</ns0:v>
      </ns0:c>
      <ns0:c r="F122" s="16">
        <ns0:f>A122*('前提と出典'!$C$36*'契約別単価'!F5+'前提と出典'!$C$37*'契約別単価'!F6+'前提と出典'!$C$38*'契約別単価'!F7)</ns0:f>
        <ns0:v>89608.66660507265</ns0:v>
      </ns0:c>
      <ns0:c r="G122" s="16">
        <ns0:f>A122*('前提と出典'!$C$36*'契約別単価'!G5+'前提と出典'!$C$37*'契約別単価'!G6+'前提と出典'!$C$38*'契約別単価'!G7)</ns0:f>
        <ns0:v>234879.32960893854</ns0:v>
      </ns0:c>
      <ns0:c r="H122" s="16">
        <ns0:f>A122*('前提と出典'!$C$36*'契約別単価'!H5+'前提と出典'!$C$37*'契約別単価'!H6+'前提と出典'!$C$38*'契約別単価'!H7)</ns0:f>
        <ns0:v>81514.90749838577</ns0:v>
      </ns0:c>
      <ns0:c r="I122" s="16">
        <ns0:f>A122*('前提と出典'!$C$36*'契約別単価'!I5+'前提と出典'!$C$37*'契約別単価'!I6+'前提と出典'!$C$38*'契約別単価'!I7)</ns0:f>
        <ns0:v>4979.0726256983235</ns0:v>
      </ns0:c>
      <ns0:c r="J122" s="16">
        <ns0:f>A122*('前提と出典'!$C$36*'契約別単価'!J5+'前提と出典'!$C$37*'契約別単価'!J6+'前提と出典'!$C$38*'契約別単価'!J7)</ns0:f>
        <ns0:v>11598.166157815704</ns0:v>
      </ns0:c>
      <ns0:c r="K122" s="16">
        <ns0:f>A122*('前提と出典'!$C$36*'契約別単価'!K5+'前提と出典'!$C$37*'契約別単価'!K6+'前提と出典'!$C$38*'契約別単価'!K7)</ns0:f>
        <ns0:v>49713.81750465549</ns0:v>
      </ns0:c>
      <ns0:c r="L122" s="16">
        <ns0:f>A122*('前提と出典'!$C$36*'契約別単価'!L5+'前提と出典'!$C$37*'契約別単価'!L6+'前提と出典'!$C$38*'契約別単価'!L7)</ns0:f>
        <ns0:v>40477.16358327952</ns0:v>
      </ns0:c>
      <ns0:c r="M122" s="16">
        <ns0:f>IF(('前提と出典'!$C$36+'前提と出典'!$C$38)=0,0,IF(B122&lt;=10,'前提と出典'!B73+'前提と出典'!C73,IF(B122&lt;=100,'前提と出典'!B74+'前提と出典'!C74,IF(B122&lt;=500,'前提と出典'!B75+'前提と出典'!C75,'前提と出典'!B76+'前提と出典'!C76))))</ns0:f>
        <ns0:v>20000</ns0:v>
      </ns0:c>
      <ns0:c r="N122" s="16">
        <ns0:f>IF(('前提と出典'!$C$37+'前提と出典'!$C$38)=0,0,IF(C122&lt;=10,'前提と出典'!D73+'前提と出典'!E73,IF(C122&lt;=100,'前提と出典'!D74+'前提と出典'!E74,IF(C122&lt;=500,'前提と出典'!D75+'前提と出典'!E75,'前提と出典'!D76+'前提と出典'!E76))))</ns0:f>
        <ns0:v>34510.9346263078</ns0:v>
      </ns0:c>
      <ns0:c r="O122" s="16">
        <ns0:f>IF('前提と出典'!$C$36+'前提と出典'!$C$38=0,0,'前提と出典'!$B$4*IF('前提と出典'!$B$20=0,MAX('前提と出典'!$B$6,D122*'前提と出典'!$B$5),'前提と出典'!$B$6+D122*'前提と出典'!$B$5))</ns0:f>
        <ns0:v>117172.02234636871</ns0:v>
      </ns0:c>
      <ns0:c r="P122" s="16">
        <ns0:f>(E122+G122)*(1-'前提と出典'!$B$7)-I122-K122-M122-O122</ns0:f>
        <ns0:v>254662.58585891433</ns0:v>
      </ns0:c>
      <ns0:c r="Q122" s="16">
        <ns0:f>(F122+H122)*(1-'前提と出典'!$B$7)-J122-L122-N122</ns0:f>
        <ns0:v>78376.86106833091</ns0:v>
      </ns0:c>
      <ns0:c r="R122" s="16">
        <ns0:f>P122-E122*'前提と出典'!$E$4</ns0:f>
        <ns0:v>186165.54501058854</ns0:v>
      </ns0:c>
      <ns0:c r="S122" s="16">
        <ns0:f>Q122-F122*'前提と出典'!$E$4</ns0:f>
        <ns0:v>51494.261086809136</ns0:v>
      </ns0:c>
      <ns0:c r="T122" s="7">
        <ns0:f>R122+S122</ns0:f>
        <ns0:v>237659.80609739767</ns0:v>
      </ns0:c>
      <ns0:c r="U122" s="16">
        <ns0:f>P122-E122*'前提と出典'!$E$5</ns0:f>
        <ns0:v>163333.19806114666</ns0:v>
      </ns0:c>
      <ns0:c r="V122" s="16">
        <ns0:f>Q122-F122*'前提と出典'!$E$5</ns0:f>
        <ns0:v>42533.39442630186</ns0:v>
      </ns0:c>
      <ns0:c r="W122" s="7">
        <ns0:f>U122+V122</ns0:f>
        <ns0:v>205866.5924874485</ns0:v>
      </ns0:c>
      <ns0:c r="X122" s="16">
        <ns0:f>P122-E122*'前提と出典'!$E$6</ns0:f>
        <ns0:v>140500.85111170472</ns0:v>
      </ns0:c>
      <ns0:c r="Y122" s="16">
        <ns0:f>Q122-F122*'前提と出典'!$E$6</ns0:f>
        <ns0:v>33572.52776579458</ns0:v>
      </ns0:c>
      <ns0:c r="Z122" s="7">
        <ns0:f>X122+Y122</ns0:f>
        <ns0:v>174073.3788774993</ns0:v>
      </ns0:c>
      <ns0:c r="AA122" s="7">
        <ns0:f>IF(T122&gt;=0,A122,1001)</ns0:f>
        <ns0:v>118</ns0:v>
      </ns0:c>
      <ns0:c r="AB122" s="7">
        <ns0:f>IF(T122&lt;0,A122,0)</ns0:f>
        <ns0:v>0</ns0:v>
      </ns0:c>
      <ns0:c r="AC122" s="16">
        <ns0:f>IF(AND(OR('前提と出典'!$C$36+'前提と出典'!$C$38=0,R122&gt;=0),OR('前提と出典'!$C$37+'前提と出典'!$C$38=0,S122&gt;=0)),0,A122)</ns0:f>
        <ns0:v>0</ns0:v>
      </ns0:c>
      <ns0:c r="AD122" s="7">
        <ns0:f>IF(W122&gt;=0,A122,1001)</ns0:f>
        <ns0:v>118</ns0:v>
      </ns0:c>
      <ns0:c r="AE122" s="7">
        <ns0:f>IF(W122&lt;0,A122,0)</ns0:f>
        <ns0:v>0</ns0:v>
      </ns0:c>
      <ns0:c r="AF122" s="16">
        <ns0:f>IF(AND(OR('前提と出典'!$C$36+'前提と出典'!$C$38=0,U122&gt;=0),OR('前提と出典'!$C$37+'前提と出典'!$C$38=0,V122&gt;=0)),0,A122)</ns0:f>
        <ns0:v>0</ns0:v>
      </ns0:c>
      <ns0:c r="AG122" s="7">
        <ns0:f>IF(Z122&gt;=0,A122,1001)</ns0:f>
        <ns0:v>118</ns0:v>
      </ns0:c>
      <ns0:c r="AH122" s="4">
        <ns0:f>IF(Z122&lt;0,A122,0)</ns0:f>
        <ns0:v>0</ns0:v>
      </ns0:c>
      <ns0:c r="AI122" s="12">
        <ns0:f>IF(AND(OR('前提と出典'!$C$36+'前提と出典'!$C$38=0,X122&gt;=0),OR('前提と出典'!$C$37+'前提と出典'!$C$38=0,Y122&gt;=0)),0,A122)</ns0:f>
        <ns0:v>0</ns0:v>
      </ns0:c>
    </ns0:row>
    <ns0:row r="123" ht="24" customHeight="1">
      <ns0:c r="A123" s="4" t="n">
        <ns0:v>119</ns0:v>
      </ns0:c>
      <ns0:c r="B123" s="12">
        <ns0:f>A123*('前提と出典'!$C$36+'前提と出典'!$C$38)</ns0:f>
        <ns0:v>83.3</ns0:v>
      </ns0:c>
      <ns0:c r="C123" s="12">
        <ns0:f>A123*('前提と出典'!$C$37+'前提と出典'!$C$38)</ns0:f>
        <ns0:v>71.39999999999999</ns0:v>
      </ns0:c>
      <ns0:c r="D123" s="16">
        <ns0:f>A123*('前提と出典'!$C$36*'契約別単価'!C5+'前提と出典'!$C$37*'契約別単価'!C6+'前提と出典'!$C$38*'契約別単価'!C7)</ns0:f>
        <ns0:v>856.268156424581</ns0:v>
      </ns0:c>
      <ns0:c r="E123" s="16">
        <ns0:f>A123*('前提と出典'!$C$36*'契約別単価'!E5+'前提と出典'!$C$37*'契約別単価'!E6+'前提と出典'!$C$38*'契約別単価'!E7)</ns0:f>
        <ns0:v>230258.41415115155</ns0:v>
      </ns0:c>
      <ns0:c r="F123" s="16">
        <ns0:f>A123*('前提と出典'!$C$36*'契約別単価'!F5+'前提と出典'!$C$37*'契約別単価'!F6+'前提と出典'!$C$38*'契約別単価'!F7)</ns0:f>
        <ns0:v>90368.06208477665</ns0:v>
      </ns0:c>
      <ns0:c r="G123" s="16">
        <ns0:f>A123*('前提と出典'!$C$36*'契約別単価'!G5+'前提と出典'!$C$37*'契約別単価'!G6+'前提と出典'!$C$38*'契約別単価'!G7)</ns0:f>
        <ns0:v>236869.83240223464</ns0:v>
      </ns0:c>
      <ns0:c r="H123" s="16">
        <ns0:f>A123*('前提と出典'!$C$36*'契約別単価'!H5+'前提と出典'!$C$37*'契約別単価'!H6+'前提と出典'!$C$38*'契約別単価'!H7)</ns0:f>
        <ns0:v>82205.71179921954</ns0:v>
      </ns0:c>
      <ns0:c r="I123" s="16">
        <ns0:f>A123*('前提と出典'!$C$36*'契約別単価'!I5+'前提と出典'!$C$37*'契約別単価'!I6+'前提と出典'!$C$38*'契約別単価'!I7)</ns0:f>
        <ns0:v>5021.26815642458</ns0:v>
      </ns0:c>
      <ns0:c r="J123" s="16">
        <ns0:f>A123*('前提と出典'!$C$36*'契約別単価'!J5+'前提と出典'!$C$37*'契約別単価'!J6+'前提と出典'!$C$38*'契約別単価'!J7)</ns0:f>
        <ns0:v>11696.455701526005</ns0:v>
      </ns0:c>
      <ns0:c r="K123" s="16">
        <ns0:f>A123*('前提と出典'!$C$36*'契約別単価'!K5+'前提と出典'!$C$37*'契約別単価'!K6+'前提と出典'!$C$38*'契約別単価'!K7)</ns0:f>
        <ns0:v>50135.121042830535</ns0:v>
      </ns0:c>
      <ns0:c r="L123" s="16">
        <ns0:f>A123*('前提と出典'!$C$36*'契約別単価'!L5+'前提と出典'!$C$37*'契約別単価'!L6+'前提と出典'!$C$38*'契約別単価'!L7)</ns0:f>
        <ns0:v>40820.19039330732</ns0:v>
      </ns0:c>
      <ns0:c r="M123" s="16">
        <ns0:f>IF(('前提と出典'!$C$36+'前提と出典'!$C$38)=0,0,IF(B123&lt;=10,'前提と出典'!B73+'前提と出典'!C73,IF(B123&lt;=100,'前提と出典'!B74+'前提と出典'!C74,IF(B123&lt;=500,'前提と出典'!B75+'前提と出典'!C75,'前提と出典'!B76+'前提と出典'!C76))))</ns0:f>
        <ns0:v>20000</ns0:v>
      </ns0:c>
      <ns0:c r="N123" s="16">
        <ns0:f>IF(('前提と出典'!$C$37+'前提と出典'!$C$38)=0,0,IF(C123&lt;=10,'前提と出典'!D73+'前提と出典'!E73,IF(C123&lt;=100,'前提と出典'!D74+'前提と出典'!E74,IF(C123&lt;=500,'前提と出典'!D75+'前提と出典'!E75,'前提と出典'!D76+'前提と出典'!E76))))</ns0:f>
        <ns0:v>34510.9346263078</ns0:v>
      </ns0:c>
      <ns0:c r="O123" s="16">
        <ns0:f>IF('前提と出典'!$C$36+'前提と出典'!$C$38=0,0,'前提と出典'!$B$4*IF('前提と出典'!$B$20=0,MAX('前提と出典'!$B$6,D123*'前提と出典'!$B$5),'前提と出典'!$B$6+D123*'前提と出典'!$B$5))</ns0:f>
        <ns0:v>118165.00558659217</ns0:v>
      </ns0:c>
      <ns0:c r="P123" s="16">
        <ns0:f>(E123+G123)*(1-'前提と出典'!$B$7)-I123-K123-M123-O123</ns0:f>
        <ns0:v>256990.23489161703</ns0:v>
      </ns0:c>
      <ns0:c r="Q123" s="16">
        <ns0:f>(F123+H123)*(1-'前提と出典'!$B$7)-J123-L123-N123</ns0:f>
        <ns0:v>79333.53730303119</ns0:v>
      </ns0:c>
      <ns0:c r="R123" s="16">
        <ns0:f>P123-E123*'前提と出典'!$E$4</ns0:f>
        <ns0:v>187912.7106462716</ns0:v>
      </ns0:c>
      <ns0:c r="S123" s="16">
        <ns0:f>Q123-F123*'前提と出典'!$E$4</ns0:f>
        <ns0:v>52223.1186775982</ns0:v>
      </ns0:c>
      <ns0:c r="T123" s="7">
        <ns0:f>R123+S123</ns0:f>
        <ns0:v>240135.82932386978</ns0:v>
      </ns0:c>
      <ns0:c r="U123" s="16">
        <ns0:f>P123-E123*'前提と出典'!$E$5</ns0:f>
        <ns0:v>164886.86923115642</ns0:v>
      </ns0:c>
      <ns0:c r="V123" s="16">
        <ns0:f>Q123-F123*'前提と出典'!$E$5</ns0:f>
        <ns0:v>43186.31246912052</ns0:v>
      </ns0:c>
      <ns0:c r="W123" s="7">
        <ns0:f>U123+V123</ns0:f>
        <ns0:v>208073.18170027694</ns0:v>
      </ns0:c>
      <ns0:c r="X123" s="16">
        <ns0:f>P123-E123*'前提と出典'!$E$6</ns0:f>
        <ns0:v>141861.02781604126</ns0:v>
      </ns0:c>
      <ns0:c r="Y123" s="16">
        <ns0:f>Q123-F123*'前提と出典'!$E$6</ns0:f>
        <ns0:v>34149.50626064288</ns0:v>
      </ns0:c>
      <ns0:c r="Z123" s="7">
        <ns0:f>X123+Y123</ns0:f>
        <ns0:v>176010.53407668413</ns0:v>
      </ns0:c>
      <ns0:c r="AA123" s="7">
        <ns0:f>IF(T123&gt;=0,A123,1001)</ns0:f>
        <ns0:v>119</ns0:v>
      </ns0:c>
      <ns0:c r="AB123" s="7">
        <ns0:f>IF(T123&lt;0,A123,0)</ns0:f>
        <ns0:v>0</ns0:v>
      </ns0:c>
      <ns0:c r="AC123" s="16">
        <ns0:f>IF(AND(OR('前提と出典'!$C$36+'前提と出典'!$C$38=0,R123&gt;=0),OR('前提と出典'!$C$37+'前提と出典'!$C$38=0,S123&gt;=0)),0,A123)</ns0:f>
        <ns0:v>0</ns0:v>
      </ns0:c>
      <ns0:c r="AD123" s="7">
        <ns0:f>IF(W123&gt;=0,A123,1001)</ns0:f>
        <ns0:v>119</ns0:v>
      </ns0:c>
      <ns0:c r="AE123" s="7">
        <ns0:f>IF(W123&lt;0,A123,0)</ns0:f>
        <ns0:v>0</ns0:v>
      </ns0:c>
      <ns0:c r="AF123" s="16">
        <ns0:f>IF(AND(OR('前提と出典'!$C$36+'前提と出典'!$C$38=0,U123&gt;=0),OR('前提と出典'!$C$37+'前提と出典'!$C$38=0,V123&gt;=0)),0,A123)</ns0:f>
        <ns0:v>0</ns0:v>
      </ns0:c>
      <ns0:c r="AG123" s="7">
        <ns0:f>IF(Z123&gt;=0,A123,1001)</ns0:f>
        <ns0:v>119</ns0:v>
      </ns0:c>
      <ns0:c r="AH123" s="4">
        <ns0:f>IF(Z123&lt;0,A123,0)</ns0:f>
        <ns0:v>0</ns0:v>
      </ns0:c>
      <ns0:c r="AI123" s="12">
        <ns0:f>IF(AND(OR('前提と出典'!$C$36+'前提と出典'!$C$38=0,X123&gt;=0),OR('前提と出典'!$C$37+'前提と出典'!$C$38=0,Y123&gt;=0)),0,A123)</ns0:f>
        <ns0:v>0</ns0:v>
      </ns0:c>
    </ns0:row>
    <ns0:row r="124" ht="24" customHeight="1">
      <ns0:c r="A124" s="4" t="n">
        <ns0:v>120</ns0:v>
      </ns0:c>
      <ns0:c r="B124" s="12">
        <ns0:f>A124*('前提と出典'!$C$36+'前提と出典'!$C$38)</ns0:f>
        <ns0:v>84</ns0:v>
      </ns0:c>
      <ns0:c r="C124" s="12">
        <ns0:f>A124*('前提と出典'!$C$37+'前提と出典'!$C$38)</ns0:f>
        <ns0:v>72</ns0:v>
      </ns0:c>
      <ns0:c r="D124" s="16">
        <ns0:f>A124*('前提と出典'!$C$36*'契約別単価'!C5+'前提と出典'!$C$37*'契約別単価'!C6+'前提と出典'!$C$38*'契約別単価'!C7)</ns0:f>
        <ns0:v>863.463687150838</ns0:v>
      </ns0:c>
      <ns0:c r="E124" s="16">
        <ns0:f>A124*('前提と出典'!$C$36*'契約別単価'!E5+'前提と出典'!$C$37*'契約別単価'!E6+'前提と出典'!$C$38*'契約別単価'!E7)</ns0:f>
        <ns0:v>232193.35880788392</ns0:v>
      </ns0:c>
      <ns0:c r="F124" s="16">
        <ns0:f>A124*('前提と出典'!$C$36*'契約別単価'!F5+'前提と出典'!$C$37*'契約別単価'!F6+'前提と出典'!$C$38*'契約別単価'!F7)</ns0:f>
        <ns0:v>91127.45756448066</ns0:v>
      </ns0:c>
      <ns0:c r="G124" s="16">
        <ns0:f>A124*('前提と出典'!$C$36*'契約別単価'!G5+'前提と出典'!$C$37*'契約別単価'!G6+'前提と出典'!$C$38*'契約別単価'!G7)</ns0:f>
        <ns0:v>238860.33519553073</ns0:v>
      </ns0:c>
      <ns0:c r="H124" s="16">
        <ns0:f>A124*('前提と出典'!$C$36*'契約別単価'!H5+'前提と出典'!$C$37*'契約別単価'!H6+'前提と出典'!$C$38*'契約別単価'!H7)</ns0:f>
        <ns0:v>82896.51610005333</ns0:v>
      </ns0:c>
      <ns0:c r="I124" s="16">
        <ns0:f>A124*('前提と出典'!$C$36*'契約別単価'!I5+'前提と出典'!$C$37*'契約別単価'!I6+'前提と出典'!$C$38*'契約別単価'!I7)</ns0:f>
        <ns0:v>5063.463687150837</ns0:v>
      </ns0:c>
      <ns0:c r="J124" s="16">
        <ns0:f>A124*('前提と出典'!$C$36*'契約別単価'!J5+'前提と出典'!$C$37*'契約別単価'!J6+'前提と出典'!$C$38*'契約別単価'!J7)</ns0:f>
        <ns0:v>11794.745245236309</ns0:v>
      </ns0:c>
      <ns0:c r="K124" s="16">
        <ns0:f>A124*('前提と出典'!$C$36*'契約別単価'!K5+'前提と出典'!$C$37*'契約別単価'!K6+'前提と出典'!$C$38*'契約別単価'!K7)</ns0:f>
        <ns0:v>50556.42458100558</ns0:v>
      </ns0:c>
      <ns0:c r="L124" s="16">
        <ns0:f>A124*('前提と出典'!$C$36*'契約別単価'!L5+'前提と出典'!$C$37*'契約別単価'!L6+'前提と出典'!$C$38*'契約別単価'!L7)</ns0:f>
        <ns0:v>41163.21720333511</ns0:v>
      </ns0:c>
      <ns0:c r="M124" s="16">
        <ns0:f>IF(('前提と出典'!$C$36+'前提と出典'!$C$38)=0,0,IF(B124&lt;=10,'前提と出典'!B73+'前提と出典'!C73,IF(B124&lt;=100,'前提と出典'!B74+'前提と出典'!C74,IF(B124&lt;=500,'前提と出典'!B75+'前提と出典'!C75,'前提と出典'!B76+'前提と出典'!C76))))</ns0:f>
        <ns0:v>20000</ns0:v>
      </ns0:c>
      <ns0:c r="N124" s="16">
        <ns0:f>IF(('前提と出典'!$C$37+'前提と出典'!$C$38)=0,0,IF(C124&lt;=10,'前提と出典'!D73+'前提と出典'!E73,IF(C124&lt;=100,'前提と出典'!D74+'前提と出典'!E74,IF(C124&lt;=500,'前提と出典'!D75+'前提と出典'!E75,'前提と出典'!D76+'前提と出典'!E76))))</ns0:f>
        <ns0:v>34510.9346263078</ns0:v>
      </ns0:c>
      <ns0:c r="O124" s="16">
        <ns0:f>IF('前提と出典'!$C$36+'前提と出典'!$C$38=0,0,'前提と出典'!$B$4*IF('前提と出典'!$B$20=0,MAX('前提と出典'!$B$6,D124*'前提と出典'!$B$5),'前提と出典'!$B$6+D124*'前提と出典'!$B$5))</ns0:f>
        <ns0:v>119157.98882681565</ns0:v>
      </ns0:c>
      <ns0:c r="P124" s="16">
        <ns0:f>(E124+G124)*(1-'前提と出典'!$B$7)-I124-K124-M124-O124</ns0:f>
        <ns0:v>259317.8839243196</ns0:v>
      </ns0:c>
      <ns0:c r="Q124" s="16">
        <ns0:f>(F124+H124)*(1-'前提と出典'!$B$7)-J124-L124-N124</ns0:f>
        <ns0:v>80290.21353773156</ns0:v>
      </ns0:c>
      <ns0:c r="R124" s="16">
        <ns0:f>P124-E124*'前提と出典'!$E$4</ns0:f>
        <ns0:v>189659.87628195444</ns0:v>
      </ns0:c>
      <ns0:c r="S124" s="16">
        <ns0:f>Q124-F124*'前提と出典'!$E$4</ns0:f>
        <ns0:v>52951.97626838736</ns0:v>
      </ns0:c>
      <ns0:c r="T124" s="7">
        <ns0:f>R124+S124</ns0:f>
        <ns0:v>242611.8525503418</ns0:v>
      </ns0:c>
      <ns0:c r="U124" s="16">
        <ns0:f>P124-E124*'前提と出典'!$E$5</ns0:f>
        <ns0:v>166440.54040116604</ns0:v>
      </ns0:c>
      <ns0:c r="V124" s="16">
        <ns0:f>Q124-F124*'前提と出典'!$E$5</ns0:f>
        <ns0:v>43839.23051193929</ns0:v>
      </ns0:c>
      <ns0:c r="W124" s="7">
        <ns0:f>U124+V124</ns0:f>
        <ns0:v>210279.77091310534</ns0:v>
      </ns0:c>
      <ns0:c r="X124" s="16">
        <ns0:f>P124-E124*'前提と出典'!$E$6</ns0:f>
        <ns0:v>143221.20452037765</ns0:v>
      </ns0:c>
      <ns0:c r="Y124" s="16">
        <ns0:f>Q124-F124*'前提と出典'!$E$6</ns0:f>
        <ns0:v>34726.48475549122</ns0:v>
      </ns0:c>
      <ns0:c r="Z124" s="7">
        <ns0:f>X124+Y124</ns0:f>
        <ns0:v>177947.68927586888</ns0:v>
      </ns0:c>
      <ns0:c r="AA124" s="7">
        <ns0:f>IF(T124&gt;=0,A124,1001)</ns0:f>
        <ns0:v>120</ns0:v>
      </ns0:c>
      <ns0:c r="AB124" s="7">
        <ns0:f>IF(T124&lt;0,A124,0)</ns0:f>
        <ns0:v>0</ns0:v>
      </ns0:c>
      <ns0:c r="AC124" s="16">
        <ns0:f>IF(AND(OR('前提と出典'!$C$36+'前提と出典'!$C$38=0,R124&gt;=0),OR('前提と出典'!$C$37+'前提と出典'!$C$38=0,S124&gt;=0)),0,A124)</ns0:f>
        <ns0:v>0</ns0:v>
      </ns0:c>
      <ns0:c r="AD124" s="7">
        <ns0:f>IF(W124&gt;=0,A124,1001)</ns0:f>
        <ns0:v>120</ns0:v>
      </ns0:c>
      <ns0:c r="AE124" s="7">
        <ns0:f>IF(W124&lt;0,A124,0)</ns0:f>
        <ns0:v>0</ns0:v>
      </ns0:c>
      <ns0:c r="AF124" s="16">
        <ns0:f>IF(AND(OR('前提と出典'!$C$36+'前提と出典'!$C$38=0,U124&gt;=0),OR('前提と出典'!$C$37+'前提と出典'!$C$38=0,V124&gt;=0)),0,A124)</ns0:f>
        <ns0:v>0</ns0:v>
      </ns0:c>
      <ns0:c r="AG124" s="7">
        <ns0:f>IF(Z124&gt;=0,A124,1001)</ns0:f>
        <ns0:v>120</ns0:v>
      </ns0:c>
      <ns0:c r="AH124" s="4">
        <ns0:f>IF(Z124&lt;0,A124,0)</ns0:f>
        <ns0:v>0</ns0:v>
      </ns0:c>
      <ns0:c r="AI124" s="12">
        <ns0:f>IF(AND(OR('前提と出典'!$C$36+'前提と出典'!$C$38=0,X124&gt;=0),OR('前提と出典'!$C$37+'前提と出典'!$C$38=0,Y124&gt;=0)),0,A124)</ns0:f>
        <ns0:v>0</ns0:v>
      </ns0:c>
    </ns0:row>
    <ns0:row r="125" ht="24" customHeight="1">
      <ns0:c r="A125" s="4" t="n">
        <ns0:v>121</ns0:v>
      </ns0:c>
      <ns0:c r="B125" s="12">
        <ns0:f>A125*('前提と出典'!$C$36+'前提と出典'!$C$38)</ns0:f>
        <ns0:v>84.69999999999999</ns0:v>
      </ns0:c>
      <ns0:c r="C125" s="12">
        <ns0:f>A125*('前提と出典'!$C$37+'前提と出典'!$C$38)</ns0:f>
        <ns0:v>72.6</ns0:v>
      </ns0:c>
      <ns0:c r="D125" s="16">
        <ns0:f>A125*('前提と出典'!$C$36*'契約別単価'!C5+'前提と出典'!$C$37*'契約別単価'!C6+'前提と出典'!$C$38*'契約別単価'!C7)</ns0:f>
        <ns0:v>870.659217877095</ns0:v>
      </ns0:c>
      <ns0:c r="E125" s="16">
        <ns0:f>A125*('前提と出典'!$C$36*'契約別単価'!E5+'前提と出典'!$C$37*'契約別単価'!E6+'前提と出典'!$C$38*'契約別単価'!E7)</ns0:f>
        <ns0:v>234128.30346461627</ns0:v>
      </ns0:c>
      <ns0:c r="F125" s="16">
        <ns0:f>A125*('前提と出典'!$C$36*'契約別単価'!F5+'前提と出典'!$C$37*'契約別単価'!F6+'前提と出典'!$C$38*'契約別単価'!F7)</ns0:f>
        <ns0:v>91886.85304418467</ns0:v>
      </ns0:c>
      <ns0:c r="G125" s="16">
        <ns0:f>A125*('前提と出典'!$C$36*'契約別単価'!G5+'前提と出典'!$C$37*'契約別単価'!G6+'前提と出典'!$C$38*'契約別単価'!G7)</ns0:f>
        <ns0:v>240850.8379888268</ns0:v>
      </ns0:c>
      <ns0:c r="H125" s="16">
        <ns0:f>A125*('前提と出典'!$C$36*'契約別単価'!H5+'前提と出典'!$C$37*'契約別単価'!H6+'前提と出典'!$C$38*'契約別単価'!H7)</ns0:f>
        <ns0:v>83587.3204008871</ns0:v>
      </ns0:c>
      <ns0:c r="I125" s="16">
        <ns0:f>A125*('前提と出典'!$C$36*'契約別単価'!I5+'前提と出典'!$C$37*'契約別単価'!I6+'前提と出典'!$C$38*'契約別単価'!I7)</ns0:f>
        <ns0:v>5105.659217877094</ns0:v>
      </ns0:c>
      <ns0:c r="J125" s="16">
        <ns0:f>A125*('前提と出典'!$C$36*'契約別単価'!J5+'前提と出典'!$C$37*'契約別単価'!J6+'前提と出典'!$C$38*'契約別単価'!J7)</ns0:f>
        <ns0:v>11893.03478894661</ns0:v>
      </ns0:c>
      <ns0:c r="K125" s="16">
        <ns0:f>A125*('前提と出典'!$C$36*'契約別単価'!K5+'前提と出典'!$C$37*'契約別単価'!K6+'前提と出典'!$C$38*'契約別単価'!K7)</ns0:f>
        <ns0:v>50977.72811918063</ns0:v>
      </ns0:c>
      <ns0:c r="L125" s="16">
        <ns0:f>A125*('前提と出典'!$C$36*'契約別単価'!L5+'前提と出典'!$C$37*'契約別単価'!L6+'前提と出典'!$C$38*'契約別単価'!L7)</ns0:f>
        <ns0:v>41506.2440133629</ns0:v>
      </ns0:c>
      <ns0:c r="M125" s="16">
        <ns0:f>IF(('前提と出典'!$C$36+'前提と出典'!$C$38)=0,0,IF(B125&lt;=10,'前提と出典'!B73+'前提と出典'!C73,IF(B125&lt;=100,'前提と出典'!B74+'前提と出典'!C74,IF(B125&lt;=500,'前提と出典'!B75+'前提と出典'!C75,'前提と出典'!B76+'前提と出典'!C76))))</ns0:f>
        <ns0:v>20000</ns0:v>
      </ns0:c>
      <ns0:c r="N125" s="16">
        <ns0:f>IF(('前提と出典'!$C$37+'前提と出典'!$C$38)=0,0,IF(C125&lt;=10,'前提と出典'!D73+'前提と出典'!E73,IF(C125&lt;=100,'前提と出典'!D74+'前提と出典'!E74,IF(C125&lt;=500,'前提と出典'!D75+'前提と出典'!E75,'前提と出典'!D76+'前提と出典'!E76))))</ns0:f>
        <ns0:v>34510.9346263078</ns0:v>
      </ns0:c>
      <ns0:c r="O125" s="16">
        <ns0:f>IF('前提と出典'!$C$36+'前提と出典'!$C$38=0,0,'前提と出典'!$B$4*IF('前提と出典'!$B$20=0,MAX('前提と出典'!$B$6,D125*'前提と出典'!$B$5),'前提と出典'!$B$6+D125*'前提と出典'!$B$5))</ns0:f>
        <ns0:v>120150.97206703911</ns0:v>
      </ns0:c>
      <ns0:c r="P125" s="16">
        <ns0:f>(E125+G125)*(1-'前提と出典'!$B$7)-I125-K125-M125-O125</ns0:f>
        <ns0:v>261645.5329570223</ns0:v>
      </ns0:c>
      <ns0:c r="Q125" s="16">
        <ns0:f>(F125+H125)*(1-'前提と出典'!$B$7)-J125-L125-N125</ns0:f>
        <ns0:v>81246.88977243187</ns0:v>
      </ns0:c>
      <ns0:c r="R125" s="16">
        <ns0:f>P125-E125*'前提と出典'!$E$4</ns0:f>
        <ns0:v>191407.04191763746</ns0:v>
      </ns0:c>
      <ns0:c r="S125" s="16">
        <ns0:f>Q125-F125*'前提と出典'!$E$4</ns0:f>
        <ns0:v>53680.83385917647</ns0:v>
      </ns0:c>
      <ns0:c r="T125" s="7">
        <ns0:f>R125+S125</ns0:f>
        <ns0:v>245087.87577681392</ns0:v>
      </ns0:c>
      <ns0:c r="U125" s="16">
        <ns0:f>P125-E125*'前提と出典'!$E$5</ns0:f>
        <ns0:v>167994.21157117578</ns0:v>
      </ns0:c>
      <ns0:c r="V125" s="16">
        <ns0:f>Q125-F125*'前提と出典'!$E$5</ns0:f>
        <ns0:v>44492.148554758</ns0:v>
      </ns0:c>
      <ns0:c r="W125" s="7">
        <ns0:f>U125+V125</ns0:f>
        <ns0:v>212486.36012593377</ns0:v>
      </ns0:c>
      <ns0:c r="X125" s="16">
        <ns0:f>P125-E125*'前提と出典'!$E$6</ns0:f>
        <ns0:v>144581.38122471416</ns0:v>
      </ns0:c>
      <ns0:c r="Y125" s="16">
        <ns0:f>Q125-F125*'前提と出典'!$E$6</ns0:f>
        <ns0:v>35303.46325033953</ns0:v>
      </ns0:c>
      <ns0:c r="Z125" s="7">
        <ns0:f>X125+Y125</ns0:f>
        <ns0:v>179884.8444750537</ns0:v>
      </ns0:c>
      <ns0:c r="AA125" s="7">
        <ns0:f>IF(T125&gt;=0,A125,1001)</ns0:f>
        <ns0:v>121</ns0:v>
      </ns0:c>
      <ns0:c r="AB125" s="7">
        <ns0:f>IF(T125&lt;0,A125,0)</ns0:f>
        <ns0:v>0</ns0:v>
      </ns0:c>
      <ns0:c r="AC125" s="16">
        <ns0:f>IF(AND(OR('前提と出典'!$C$36+'前提と出典'!$C$38=0,R125&gt;=0),OR('前提と出典'!$C$37+'前提と出典'!$C$38=0,S125&gt;=0)),0,A125)</ns0:f>
        <ns0:v>0</ns0:v>
      </ns0:c>
      <ns0:c r="AD125" s="7">
        <ns0:f>IF(W125&gt;=0,A125,1001)</ns0:f>
        <ns0:v>121</ns0:v>
      </ns0:c>
      <ns0:c r="AE125" s="7">
        <ns0:f>IF(W125&lt;0,A125,0)</ns0:f>
        <ns0:v>0</ns0:v>
      </ns0:c>
      <ns0:c r="AF125" s="16">
        <ns0:f>IF(AND(OR('前提と出典'!$C$36+'前提と出典'!$C$38=0,U125&gt;=0),OR('前提と出典'!$C$37+'前提と出典'!$C$38=0,V125&gt;=0)),0,A125)</ns0:f>
        <ns0:v>0</ns0:v>
      </ns0:c>
      <ns0:c r="AG125" s="7">
        <ns0:f>IF(Z125&gt;=0,A125,1001)</ns0:f>
        <ns0:v>121</ns0:v>
      </ns0:c>
      <ns0:c r="AH125" s="4">
        <ns0:f>IF(Z125&lt;0,A125,0)</ns0:f>
        <ns0:v>0</ns0:v>
      </ns0:c>
      <ns0:c r="AI125" s="12">
        <ns0:f>IF(AND(OR('前提と出典'!$C$36+'前提と出典'!$C$38=0,X125&gt;=0),OR('前提と出典'!$C$37+'前提と出典'!$C$38=0,Y125&gt;=0)),0,A125)</ns0:f>
        <ns0:v>0</ns0:v>
      </ns0:c>
    </ns0:row>
    <ns0:row r="126" ht="24" customHeight="1">
      <ns0:c r="A126" s="4" t="n">
        <ns0:v>122</ns0:v>
      </ns0:c>
      <ns0:c r="B126" s="12">
        <ns0:f>A126*('前提と出典'!$C$36+'前提と出典'!$C$38)</ns0:f>
        <ns0:v>85.39999999999999</ns0:v>
      </ns0:c>
      <ns0:c r="C126" s="12">
        <ns0:f>A126*('前提と出典'!$C$37+'前提と出典'!$C$38)</ns0:f>
        <ns0:v>73.2</ns0:v>
      </ns0:c>
      <ns0:c r="D126" s="16">
        <ns0:f>A126*('前提と出典'!$C$36*'契約別単価'!C5+'前提と出典'!$C$37*'契約別単価'!C6+'前提と出典'!$C$38*'契約別単価'!C7)</ns0:f>
        <ns0:v>877.8547486033519</ns0:v>
      </ns0:c>
      <ns0:c r="E126" s="16">
        <ns0:f>A126*('前提と出典'!$C$36*'契約別単価'!E5+'前提と出典'!$C$37*'契約別単価'!E6+'前提と出典'!$C$38*'契約別単価'!E7)</ns0:f>
        <ns0:v>236063.24812134865</ns0:v>
      </ns0:c>
      <ns0:c r="F126" s="16">
        <ns0:f>A126*('前提と出典'!$C$36*'契約別単価'!F5+'前提と出典'!$C$37*'契約別単価'!F6+'前提と出典'!$C$38*'契約別単価'!F7)</ns0:f>
        <ns0:v>92646.24852388867</ns0:v>
      </ns0:c>
      <ns0:c r="G126" s="16">
        <ns0:f>A126*('前提と出典'!$C$36*'契約別単価'!G5+'前提と出典'!$C$37*'契約別単価'!G6+'前提と出典'!$C$38*'契約別単価'!G7)</ns0:f>
        <ns0:v>242841.3407821229</ns0:v>
      </ns0:c>
      <ns0:c r="H126" s="16">
        <ns0:f>A126*('前提と出典'!$C$36*'契約別単価'!H5+'前提と出典'!$C$37*'契約別単価'!H6+'前提と出典'!$C$38*'契約別単価'!H7)</ns0:f>
        <ns0:v>84278.12470172088</ns0:v>
      </ns0:c>
      <ns0:c r="I126" s="16">
        <ns0:f>A126*('前提と出典'!$C$36*'契約別単価'!I5+'前提と出典'!$C$37*'契約別単価'!I6+'前提と出典'!$C$38*'契約別単価'!I7)</ns0:f>
        <ns0:v>5147.854748603351</ns0:v>
      </ns0:c>
      <ns0:c r="J126" s="16">
        <ns0:f>A126*('前提と出典'!$C$36*'契約別単価'!J5+'前提と出典'!$C$37*'契約別単価'!J6+'前提と出典'!$C$38*'契約別単価'!J7)</ns0:f>
        <ns0:v>11991.324332656914</ns0:v>
      </ns0:c>
      <ns0:c r="K126" s="16">
        <ns0:f>A126*('前提と出典'!$C$36*'契約別単価'!K5+'前提と出典'!$C$37*'契約別単価'!K6+'前提と出典'!$C$38*'契約別単価'!K7)</ns0:f>
        <ns0:v>51399.03165735568</ns0:v>
      </ns0:c>
      <ns0:c r="L126" s="16">
        <ns0:f>A126*('前提と出典'!$C$36*'契約別単価'!L5+'前提と出典'!$C$37*'契約別単価'!L6+'前提と出典'!$C$38*'契約別単価'!L7)</ns0:f>
        <ns0:v>41849.270823390696</ns0:v>
      </ns0:c>
      <ns0:c r="M126" s="16">
        <ns0:f>IF(('前提と出典'!$C$36+'前提と出典'!$C$38)=0,0,IF(B126&lt;=10,'前提と出典'!B73+'前提と出典'!C73,IF(B126&lt;=100,'前提と出典'!B74+'前提と出典'!C74,IF(B126&lt;=500,'前提と出典'!B75+'前提と出典'!C75,'前提と出典'!B76+'前提と出典'!C76))))</ns0:f>
        <ns0:v>20000</ns0:v>
      </ns0:c>
      <ns0:c r="N126" s="16">
        <ns0:f>IF(('前提と出典'!$C$37+'前提と出典'!$C$38)=0,0,IF(C126&lt;=10,'前提と出典'!D73+'前提と出典'!E73,IF(C126&lt;=100,'前提と出典'!D74+'前提と出典'!E74,IF(C126&lt;=500,'前提と出典'!D75+'前提と出典'!E75,'前提と出典'!D76+'前提と出典'!E76))))</ns0:f>
        <ns0:v>34510.9346263078</ns0:v>
      </ns0:c>
      <ns0:c r="O126" s="16">
        <ns0:f>IF('前提と出典'!$C$36+'前提と出典'!$C$38=0,0,'前提と出典'!$B$4*IF('前提と出典'!$B$20=0,MAX('前提と出典'!$B$6,D126*'前提と出典'!$B$5),'前提と出典'!$B$6+D126*'前提と出典'!$B$5))</ns0:f>
        <ns0:v>121143.95530726257</ns0:v>
      </ns0:c>
      <ns0:c r="P126" s="16">
        <ns0:f>(E126+G126)*(1-'前提と出典'!$B$7)-I126-K126-M126-O126</ns0:f>
        <ns0:v>263973.181989725</ns0:v>
      </ns0:c>
      <ns0:c r="Q126" s="16">
        <ns0:f>(F126+H126)*(1-'前提と出典'!$B$7)-J126-L126-N126</ns0:f>
        <ns0:v>82203.5660071322</ns0:v>
      </ns0:c>
      <ns0:c r="R126" s="16">
        <ns0:f>P126-E126*'前提と出典'!$E$4</ns0:f>
        <ns0:v>193154.20755332036</ns0:v>
      </ns0:c>
      <ns0:c r="S126" s="16">
        <ns0:f>Q126-F126*'前提と出典'!$E$4</ns0:f>
        <ns0:v>54409.69144996559</ns0:v>
      </ns0:c>
      <ns0:c r="T126" s="7">
        <ns0:f>R126+S126</ns0:f>
        <ns0:v>247563.89900328594</ns0:v>
      </ns0:c>
      <ns0:c r="U126" s="16">
        <ns0:f>P126-E126*'前提と出典'!$E$5</ns0:f>
        <ns0:v>169547.88274118552</ns0:v>
      </ns0:c>
      <ns0:c r="V126" s="16">
        <ns0:f>Q126-F126*'前提と出典'!$E$5</ns0:f>
        <ns0:v>45145.066597576726</ns0:v>
      </ns0:c>
      <ns0:c r="W126" s="7">
        <ns0:f>U126+V126</ns0:f>
        <ns0:v>214692.94933876224</ns0:v>
      </ns0:c>
      <ns0:c r="X126" s="16">
        <ns0:f>P126-E126*'前提と出典'!$E$6</ns0:f>
        <ns0:v>145941.5579290506</ns0:v>
      </ns0:c>
      <ns0:c r="Y126" s="16">
        <ns0:f>Q126-F126*'前提と出典'!$E$6</ns0:f>
        <ns0:v>35880.44174518786</ns0:v>
      </ns0:c>
      <ns0:c r="Z126" s="7">
        <ns0:f>X126+Y126</ns0:f>
        <ns0:v>181821.99967423847</ns0:v>
      </ns0:c>
      <ns0:c r="AA126" s="7">
        <ns0:f>IF(T126&gt;=0,A126,1001)</ns0:f>
        <ns0:v>122</ns0:v>
      </ns0:c>
      <ns0:c r="AB126" s="7">
        <ns0:f>IF(T126&lt;0,A126,0)</ns0:f>
        <ns0:v>0</ns0:v>
      </ns0:c>
      <ns0:c r="AC126" s="16">
        <ns0:f>IF(AND(OR('前提と出典'!$C$36+'前提と出典'!$C$38=0,R126&gt;=0),OR('前提と出典'!$C$37+'前提と出典'!$C$38=0,S126&gt;=0)),0,A126)</ns0:f>
        <ns0:v>0</ns0:v>
      </ns0:c>
      <ns0:c r="AD126" s="7">
        <ns0:f>IF(W126&gt;=0,A126,1001)</ns0:f>
        <ns0:v>122</ns0:v>
      </ns0:c>
      <ns0:c r="AE126" s="7">
        <ns0:f>IF(W126&lt;0,A126,0)</ns0:f>
        <ns0:v>0</ns0:v>
      </ns0:c>
      <ns0:c r="AF126" s="16">
        <ns0:f>IF(AND(OR('前提と出典'!$C$36+'前提と出典'!$C$38=0,U126&gt;=0),OR('前提と出典'!$C$37+'前提と出典'!$C$38=0,V126&gt;=0)),0,A126)</ns0:f>
        <ns0:v>0</ns0:v>
      </ns0:c>
      <ns0:c r="AG126" s="7">
        <ns0:f>IF(Z126&gt;=0,A126,1001)</ns0:f>
        <ns0:v>122</ns0:v>
      </ns0:c>
      <ns0:c r="AH126" s="4">
        <ns0:f>IF(Z126&lt;0,A126,0)</ns0:f>
        <ns0:v>0</ns0:v>
      </ns0:c>
      <ns0:c r="AI126" s="12">
        <ns0:f>IF(AND(OR('前提と出典'!$C$36+'前提と出典'!$C$38=0,X126&gt;=0),OR('前提と出典'!$C$37+'前提と出典'!$C$38=0,Y126&gt;=0)),0,A126)</ns0:f>
        <ns0:v>0</ns0:v>
      </ns0:c>
    </ns0:row>
    <ns0:row r="127" ht="24" customHeight="1">
      <ns0:c r="A127" s="4" t="n">
        <ns0:v>123</ns0:v>
      </ns0:c>
      <ns0:c r="B127" s="12">
        <ns0:f>A127*('前提と出典'!$C$36+'前提と出典'!$C$38)</ns0:f>
        <ns0:v>86.1</ns0:v>
      </ns0:c>
      <ns0:c r="C127" s="12">
        <ns0:f>A127*('前提と出典'!$C$37+'前提と出典'!$C$38)</ns0:f>
        <ns0:v>73.8</ns0:v>
      </ns0:c>
      <ns0:c r="D127" s="16">
        <ns0:f>A127*('前提と出典'!$C$36*'契約別単価'!C5+'前提と出典'!$C$37*'契約別単価'!C6+'前提と出典'!$C$38*'契約別単価'!C7)</ns0:f>
        <ns0:v>885.0502793296089</ns0:v>
      </ns0:c>
      <ns0:c r="E127" s="16">
        <ns0:f>A127*('前提と出典'!$C$36*'契約別単価'!E5+'前提と出典'!$C$37*'契約別単価'!E6+'前提と出典'!$C$38*'契約別単価'!E7)</ns0:f>
        <ns0:v>237998.19277808102</ns0:v>
      </ns0:c>
      <ns0:c r="F127" s="16">
        <ns0:f>A127*('前提と出典'!$C$36*'契約別単価'!F5+'前提と出典'!$C$37*'契約別単価'!F6+'前提と出典'!$C$38*'契約別単価'!F7)</ns0:f>
        <ns0:v>93405.64400359268</ns0:v>
      </ns0:c>
      <ns0:c r="G127" s="16">
        <ns0:f>A127*('前提と出典'!$C$36*'契約別単価'!G5+'前提と出典'!$C$37*'契約別単価'!G6+'前提と出典'!$C$38*'契約別単価'!G7)</ns0:f>
        <ns0:v>244831.84357541898</ns0:v>
      </ns0:c>
      <ns0:c r="H127" s="16">
        <ns0:f>A127*('前提と出典'!$C$36*'契約別単価'!H5+'前提と出典'!$C$37*'契約別単価'!H6+'前提と出典'!$C$38*'契約別単価'!H7)</ns0:f>
        <ns0:v>84968.92900255465</ns0:v>
      </ns0:c>
      <ns0:c r="I127" s="16">
        <ns0:f>A127*('前提と出典'!$C$36*'契約別単価'!I5+'前提と出典'!$C$37*'契約別単価'!I6+'前提と出典'!$C$38*'契約別単価'!I7)</ns0:f>
        <ns0:v>5190.050279329608</ns0:v>
      </ns0:c>
      <ns0:c r="J127" s="16">
        <ns0:f>A127*('前提と出典'!$C$36*'契約別単価'!J5+'前提と出典'!$C$37*'契約別単価'!J6+'前提と出典'!$C$38*'契約別単価'!J7)</ns0:f>
        <ns0:v>12089.613876367215</ns0:v>
      </ns0:c>
      <ns0:c r="K127" s="16">
        <ns0:f>A127*('前提と出典'!$C$36*'契約別単価'!K5+'前提と出典'!$C$37*'契約別単価'!K6+'前提と出典'!$C$38*'契約別単価'!K7)</ns0:f>
        <ns0:v>51820.33519553072</ns0:v>
      </ns0:c>
      <ns0:c r="L127" s="16">
        <ns0:f>A127*('前提と出典'!$C$36*'契約別単価'!L5+'前提と出典'!$C$37*'契約別単価'!L6+'前提と出典'!$C$38*'契約別単価'!L7)</ns0:f>
        <ns0:v>42192.297633418486</ns0:v>
      </ns0:c>
      <ns0:c r="M127" s="16">
        <ns0:f>IF(('前提と出典'!$C$36+'前提と出典'!$C$38)=0,0,IF(B127&lt;=10,'前提と出典'!B73+'前提と出典'!C73,IF(B127&lt;=100,'前提と出典'!B74+'前提と出典'!C74,IF(B127&lt;=500,'前提と出典'!B75+'前提と出典'!C75,'前提と出典'!B76+'前提と出典'!C76))))</ns0:f>
        <ns0:v>20000</ns0:v>
      </ns0:c>
      <ns0:c r="N127" s="16">
        <ns0:f>IF(('前提と出典'!$C$37+'前提と出典'!$C$38)=0,0,IF(C127&lt;=10,'前提と出典'!D73+'前提と出典'!E73,IF(C127&lt;=100,'前提と出典'!D74+'前提と出典'!E74,IF(C127&lt;=500,'前提と出典'!D75+'前提と出典'!E75,'前提と出典'!D76+'前提と出典'!E76))))</ns0:f>
        <ns0:v>34510.9346263078</ns0:v>
      </ns0:c>
      <ns0:c r="O127" s="16">
        <ns0:f>IF('前提と出典'!$C$36+'前提と出典'!$C$38=0,0,'前提と出典'!$B$4*IF('前提と出典'!$B$20=0,MAX('前提と出典'!$B$6,D127*'前提と出典'!$B$5),'前提と出典'!$B$6+D127*'前提と出典'!$B$5))</ns0:f>
        <ns0:v>122136.93854748603</ns0:v>
      </ns0:c>
      <ns0:c r="P127" s="16">
        <ns0:f>(E127+G127)*(1-'前提と出典'!$B$7)-I127-K127-M127-O127</ns0:f>
        <ns0:v>266300.83102242765</ns0:v>
      </ns0:c>
      <ns0:c r="Q127" s="16">
        <ns0:f>(F127+H127)*(1-'前提と出典'!$B$7)-J127-L127-N127</ns0:f>
        <ns0:v>83160.24224183251</ns0:v>
      </ns0:c>
      <ns0:c r="R127" s="16">
        <ns0:f>P127-E127*'前提と出典'!$E$4</ns0:f>
        <ns0:v>194901.37318900332</ns0:v>
      </ns0:c>
      <ns0:c r="S127" s="16">
        <ns0:f>Q127-F127*'前提と出典'!$E$4</ns0:f>
        <ns0:v>55138.54904075471</ns0:v>
      </ns0:c>
      <ns0:c r="T127" s="7">
        <ns0:f>R127+S127</ns0:f>
        <ns0:v>250039.92222975803</ns0:v>
      </ns0:c>
      <ns0:c r="U127" s="16">
        <ns0:f>P127-E127*'前提と出典'!$E$5</ns0:f>
        <ns0:v>171101.55391119525</ns0:v>
      </ns0:c>
      <ns0:c r="V127" s="16">
        <ns0:f>Q127-F127*'前提と出典'!$E$5</ns0:f>
        <ns0:v>45797.98464039545</ns0:v>
      </ns0:c>
      <ns0:c r="W127" s="7">
        <ns0:f>U127+V127</ns0:f>
        <ns0:v>216899.5385515907</ns0:v>
      </ns0:c>
      <ns0:c r="X127" s="16">
        <ns0:f>P127-E127*'前提と出典'!$E$6</ns0:f>
        <ns0:v>147301.73463338712</ns0:v>
      </ns0:c>
      <ns0:c r="Y127" s="16">
        <ns0:f>Q127-F127*'前提と出典'!$E$6</ns0:f>
        <ns0:v>36457.42024003619</ns0:v>
      </ns0:c>
      <ns0:c r="Z127" s="7">
        <ns0:f>X127+Y127</ns0:f>
        <ns0:v>183759.1548734233</ns0:v>
      </ns0:c>
      <ns0:c r="AA127" s="7">
        <ns0:f>IF(T127&gt;=0,A127,1001)</ns0:f>
        <ns0:v>123</ns0:v>
      </ns0:c>
      <ns0:c r="AB127" s="7">
        <ns0:f>IF(T127&lt;0,A127,0)</ns0:f>
        <ns0:v>0</ns0:v>
      </ns0:c>
      <ns0:c r="AC127" s="16">
        <ns0:f>IF(AND(OR('前提と出典'!$C$36+'前提と出典'!$C$38=0,R127&gt;=0),OR('前提と出典'!$C$37+'前提と出典'!$C$38=0,S127&gt;=0)),0,A127)</ns0:f>
        <ns0:v>0</ns0:v>
      </ns0:c>
      <ns0:c r="AD127" s="7">
        <ns0:f>IF(W127&gt;=0,A127,1001)</ns0:f>
        <ns0:v>123</ns0:v>
      </ns0:c>
      <ns0:c r="AE127" s="7">
        <ns0:f>IF(W127&lt;0,A127,0)</ns0:f>
        <ns0:v>0</ns0:v>
      </ns0:c>
      <ns0:c r="AF127" s="16">
        <ns0:f>IF(AND(OR('前提と出典'!$C$36+'前提と出典'!$C$38=0,U127&gt;=0),OR('前提と出典'!$C$37+'前提と出典'!$C$38=0,V127&gt;=0)),0,A127)</ns0:f>
        <ns0:v>0</ns0:v>
      </ns0:c>
      <ns0:c r="AG127" s="7">
        <ns0:f>IF(Z127&gt;=0,A127,1001)</ns0:f>
        <ns0:v>123</ns0:v>
      </ns0:c>
      <ns0:c r="AH127" s="4">
        <ns0:f>IF(Z127&lt;0,A127,0)</ns0:f>
        <ns0:v>0</ns0:v>
      </ns0:c>
      <ns0:c r="AI127" s="12">
        <ns0:f>IF(AND(OR('前提と出典'!$C$36+'前提と出典'!$C$38=0,X127&gt;=0),OR('前提と出典'!$C$37+'前提と出典'!$C$38=0,Y127&gt;=0)),0,A127)</ns0:f>
        <ns0:v>0</ns0:v>
      </ns0:c>
    </ns0:row>
    <ns0:row r="128" ht="24" customHeight="1">
      <ns0:c r="A128" s="4" t="n">
        <ns0:v>124</ns0:v>
      </ns0:c>
      <ns0:c r="B128" s="12">
        <ns0:f>A128*('前提と出典'!$C$36+'前提と出典'!$C$38)</ns0:f>
        <ns0:v>86.8</ns0:v>
      </ns0:c>
      <ns0:c r="C128" s="12">
        <ns0:f>A128*('前提と出典'!$C$37+'前提と出典'!$C$38)</ns0:f>
        <ns0:v>74.39999999999999</ns0:v>
      </ns0:c>
      <ns0:c r="D128" s="16">
        <ns0:f>A128*('前提と出典'!$C$36*'契約別単価'!C5+'前提と出典'!$C$37*'契約別単価'!C6+'前提と出典'!$C$38*'契約別単価'!C7)</ns0:f>
        <ns0:v>892.245810055866</ns0:v>
      </ns0:c>
      <ns0:c r="E128" s="16">
        <ns0:f>A128*('前提と出典'!$C$36*'契約別単価'!E5+'前提と出典'!$C$37*'契約別単価'!E6+'前提と出典'!$C$38*'契約別単価'!E7)</ns0:f>
        <ns0:v>239933.13743481337</ns0:v>
      </ns0:c>
      <ns0:c r="F128" s="16">
        <ns0:f>A128*('前提と出典'!$C$36*'契約別単価'!F5+'前提と出典'!$C$37*'契約別単価'!F6+'前提と出典'!$C$38*'契約別単価'!F7)</ns0:f>
        <ns0:v>94165.03948329668</ns0:v>
      </ns0:c>
      <ns0:c r="G128" s="16">
        <ns0:f>A128*('前提と出典'!$C$36*'契約別単価'!G5+'前提と出典'!$C$37*'契約別単価'!G6+'前提と出典'!$C$38*'契約別単価'!G7)</ns0:f>
        <ns0:v>246822.34636871508</ns0:v>
      </ns0:c>
      <ns0:c r="H128" s="16">
        <ns0:f>A128*('前提と出典'!$C$36*'契約別単価'!H5+'前提と出典'!$C$37*'契約別単価'!H6+'前提と出典'!$C$38*'契約別単価'!H7)</ns0:f>
        <ns0:v>85659.73330338844</ns0:v>
      </ns0:c>
      <ns0:c r="I128" s="16">
        <ns0:f>A128*('前提と出典'!$C$36*'契約別単価'!I5+'前提と出典'!$C$37*'契約別単価'!I6+'前提と出典'!$C$38*'契約別単価'!I7)</ns0:f>
        <ns0:v>5232.245810055865</ns0:v>
      </ns0:c>
      <ns0:c r="J128" s="16">
        <ns0:f>A128*('前提と出典'!$C$36*'契約別単価'!J5+'前提と出典'!$C$37*'契約別単価'!J6+'前提と出典'!$C$38*'契約別単価'!J7)</ns0:f>
        <ns0:v>12187.903420077519</ns0:v>
      </ns0:c>
      <ns0:c r="K128" s="16">
        <ns0:f>A128*('前提と出典'!$C$36*'契約別単価'!K5+'前提と出典'!$C$37*'契約別単価'!K6+'前提と出典'!$C$38*'契約別単価'!K7)</ns0:f>
        <ns0:v>52241.63873370577</ns0:v>
      </ns0:c>
      <ns0:c r="L128" s="16">
        <ns0:f>A128*('前提と出典'!$C$36*'契約別単価'!L5+'前提と出典'!$C$37*'契約別単価'!L6+'前提と出典'!$C$38*'契約別単価'!L7)</ns0:f>
        <ns0:v>42535.32444344628</ns0:v>
      </ns0:c>
      <ns0:c r="M128" s="16">
        <ns0:f>IF(('前提と出典'!$C$36+'前提と出典'!$C$38)=0,0,IF(B128&lt;=10,'前提と出典'!B73+'前提と出典'!C73,IF(B128&lt;=100,'前提と出典'!B74+'前提と出典'!C74,IF(B128&lt;=500,'前提と出典'!B75+'前提と出典'!C75,'前提と出典'!B76+'前提と出典'!C76))))</ns0:f>
        <ns0:v>20000</ns0:v>
      </ns0:c>
      <ns0:c r="N128" s="16">
        <ns0:f>IF(('前提と出典'!$C$37+'前提と出典'!$C$38)=0,0,IF(C128&lt;=10,'前提と出典'!D73+'前提と出典'!E73,IF(C128&lt;=100,'前提と出典'!D74+'前提と出典'!E74,IF(C128&lt;=500,'前提と出典'!D75+'前提と出典'!E75,'前提と出典'!D76+'前提と出典'!E76))))</ns0:f>
        <ns0:v>34510.9346263078</ns0:v>
      </ns0:c>
      <ns0:c r="O128" s="16">
        <ns0:f>IF('前提と出典'!$C$36+'前提と出典'!$C$38=0,0,'前提と出典'!$B$4*IF('前提と出典'!$B$20=0,MAX('前提と出典'!$B$6,D128*'前提と出典'!$B$5),'前提と出典'!$B$6+D128*'前提と出典'!$B$5))</ns0:f>
        <ns0:v>123129.9217877095</ns0:v>
      </ns0:c>
      <ns0:c r="P128" s="16">
        <ns0:f>(E128+G128)*(1-'前提と出典'!$B$7)-I128-K128-M128-O128</ns0:f>
        <ns0:v>268628.4800551303</ns0:v>
      </ns0:c>
      <ns0:c r="Q128" s="16">
        <ns0:f>(F128+H128)*(1-'前提と出典'!$B$7)-J128-L128-N128</ns0:f>
        <ns0:v>84116.91847653284</ns0:v>
      </ns0:c>
      <ns0:c r="R128" s="16">
        <ns0:f>P128-E128*'前提と出典'!$E$4</ns0:f>
        <ns0:v>196648.53882468626</ns0:v>
      </ns0:c>
      <ns0:c r="S128" s="16">
        <ns0:f>Q128-F128*'前提と出典'!$E$4</ns0:f>
        <ns0:v>55867.40663154385</ns0:v>
      </ns0:c>
      <ns0:c r="T128" s="7">
        <ns0:f>R128+S128</ns0:f>
        <ns0:v>252515.9454562301</ns0:v>
      </ns0:c>
      <ns0:c r="U128" s="16">
        <ns0:f>P128-E128*'前提と出典'!$E$5</ns0:f>
        <ns0:v>172655.22508120496</ns0:v>
      </ns0:c>
      <ns0:c r="V128" s="16">
        <ns0:f>Q128-F128*'前提と出典'!$E$5</ns0:f>
        <ns0:v>46450.90268321416</ns0:v>
      </ns0:c>
      <ns0:c r="W128" s="7">
        <ns0:f>U128+V128</ns0:f>
        <ns0:v>219106.12776441913</ns0:v>
      </ns0:c>
      <ns0:c r="X128" s="16">
        <ns0:f>P128-E128*'前提と出典'!$E$6</ns0:f>
        <ns0:v>148661.91133772355</ns0:v>
      </ns0:c>
      <ns0:c r="Y128" s="16">
        <ns0:f>Q128-F128*'前提と出典'!$E$6</ns0:f>
        <ns0:v>37034.39873488452</ns0:v>
      </ns0:c>
      <ns0:c r="Z128" s="7">
        <ns0:f>X128+Y128</ns0:f>
        <ns0:v>185696.31007260806</ns0:v>
      </ns0:c>
      <ns0:c r="AA128" s="7">
        <ns0:f>IF(T128&gt;=0,A128,1001)</ns0:f>
        <ns0:v>124</ns0:v>
      </ns0:c>
      <ns0:c r="AB128" s="7">
        <ns0:f>IF(T128&lt;0,A128,0)</ns0:f>
        <ns0:v>0</ns0:v>
      </ns0:c>
      <ns0:c r="AC128" s="16">
        <ns0:f>IF(AND(OR('前提と出典'!$C$36+'前提と出典'!$C$38=0,R128&gt;=0),OR('前提と出典'!$C$37+'前提と出典'!$C$38=0,S128&gt;=0)),0,A128)</ns0:f>
        <ns0:v>0</ns0:v>
      </ns0:c>
      <ns0:c r="AD128" s="7">
        <ns0:f>IF(W128&gt;=0,A128,1001)</ns0:f>
        <ns0:v>124</ns0:v>
      </ns0:c>
      <ns0:c r="AE128" s="7">
        <ns0:f>IF(W128&lt;0,A128,0)</ns0:f>
        <ns0:v>0</ns0:v>
      </ns0:c>
      <ns0:c r="AF128" s="16">
        <ns0:f>IF(AND(OR('前提と出典'!$C$36+'前提と出典'!$C$38=0,U128&gt;=0),OR('前提と出典'!$C$37+'前提と出典'!$C$38=0,V128&gt;=0)),0,A128)</ns0:f>
        <ns0:v>0</ns0:v>
      </ns0:c>
      <ns0:c r="AG128" s="7">
        <ns0:f>IF(Z128&gt;=0,A128,1001)</ns0:f>
        <ns0:v>124</ns0:v>
      </ns0:c>
      <ns0:c r="AH128" s="4">
        <ns0:f>IF(Z128&lt;0,A128,0)</ns0:f>
        <ns0:v>0</ns0:v>
      </ns0:c>
      <ns0:c r="AI128" s="12">
        <ns0:f>IF(AND(OR('前提と出典'!$C$36+'前提と出典'!$C$38=0,X128&gt;=0),OR('前提と出典'!$C$37+'前提と出典'!$C$38=0,Y128&gt;=0)),0,A128)</ns0:f>
        <ns0:v>0</ns0:v>
      </ns0:c>
    </ns0:row>
    <ns0:row r="129" ht="24" customHeight="1">
      <ns0:c r="A129" s="4" t="n">
        <ns0:v>125</ns0:v>
      </ns0:c>
      <ns0:c r="B129" s="12">
        <ns0:f>A129*('前提と出典'!$C$36+'前提と出典'!$C$38)</ns0:f>
        <ns0:v>87.5</ns0:v>
      </ns0:c>
      <ns0:c r="C129" s="12">
        <ns0:f>A129*('前提と出典'!$C$37+'前提と出典'!$C$38)</ns0:f>
        <ns0:v>75</ns0:v>
      </ns0:c>
      <ns0:c r="D129" s="16">
        <ns0:f>A129*('前提と出典'!$C$36*'契約別単価'!C5+'前提と出典'!$C$37*'契約別単価'!C6+'前提と出典'!$C$38*'契約別単価'!C7)</ns0:f>
        <ns0:v>899.4413407821229</ns0:v>
      </ns0:c>
      <ns0:c r="E129" s="16">
        <ns0:f>A129*('前提と出典'!$C$36*'契約別単価'!E5+'前提と出典'!$C$37*'契約別単価'!E6+'前提と出典'!$C$38*'契約別単価'!E7)</ns0:f>
        <ns0:v>241868.08209154574</ns0:v>
      </ns0:c>
      <ns0:c r="F129" s="16">
        <ns0:f>A129*('前提と出典'!$C$36*'契約別単価'!F5+'前提と出典'!$C$37*'契約別単価'!F6+'前提と出典'!$C$38*'契約別単価'!F7)</ns0:f>
        <ns0:v>94924.43496300069</ns0:v>
      </ns0:c>
      <ns0:c r="G129" s="16">
        <ns0:f>A129*('前提と出典'!$C$36*'契約別単価'!G5+'前提と出典'!$C$37*'契約別単価'!G6+'前提と出典'!$C$38*'契約別単価'!G7)</ns0:f>
        <ns0:v>248812.84916201117</ns0:v>
      </ns0:c>
      <ns0:c r="H129" s="16">
        <ns0:f>A129*('前提と出典'!$C$36*'契約別単価'!H5+'前提と出典'!$C$37*'契約別単価'!H6+'前提と出典'!$C$38*'契約別単価'!H7)</ns0:f>
        <ns0:v>86350.5376042222</ns0:v>
      </ns0:c>
      <ns0:c r="I129" s="16">
        <ns0:f>A129*('前提と出典'!$C$36*'契約別単価'!I5+'前提と出典'!$C$37*'契約別単価'!I6+'前提と出典'!$C$38*'契約別単価'!I7)</ns0:f>
        <ns0:v>5274.441340782122</ns0:v>
      </ns0:c>
      <ns0:c r="J129" s="16">
        <ns0:f>A129*('前提と出典'!$C$36*'契約別単価'!J5+'前提と出典'!$C$37*'契約別単価'!J6+'前提と出典'!$C$38*'契約別単価'!J7)</ns0:f>
        <ns0:v>12286.19296378782</ns0:v>
      </ns0:c>
      <ns0:c r="K129" s="16">
        <ns0:f>A129*('前提と出典'!$C$36*'契約別単価'!K5+'前提と出典'!$C$37*'契約別単価'!K6+'前提と出典'!$C$38*'契約別単価'!K7)</ns0:f>
        <ns0:v>52662.94227188081</ns0:v>
      </ns0:c>
      <ns0:c r="L129" s="16">
        <ns0:f>A129*('前提と出典'!$C$36*'契約別単価'!L5+'前提と出典'!$C$37*'契約別単価'!L6+'前提と出典'!$C$38*'契約別単価'!L7)</ns0:f>
        <ns0:v>42878.35125347407</ns0:v>
      </ns0:c>
      <ns0:c r="M129" s="16">
        <ns0:f>IF(('前提と出典'!$C$36+'前提と出典'!$C$38)=0,0,IF(B129&lt;=10,'前提と出典'!B73+'前提と出典'!C73,IF(B129&lt;=100,'前提と出典'!B74+'前提と出典'!C74,IF(B129&lt;=500,'前提と出典'!B75+'前提と出典'!C75,'前提と出典'!B76+'前提と出典'!C76))))</ns0:f>
        <ns0:v>20000</ns0:v>
      </ns0:c>
      <ns0:c r="N129" s="16">
        <ns0:f>IF(('前提と出典'!$C$37+'前提と出典'!$C$38)=0,0,IF(C129&lt;=10,'前提と出典'!D73+'前提と出典'!E73,IF(C129&lt;=100,'前提と出典'!D74+'前提と出典'!E74,IF(C129&lt;=500,'前提と出典'!D75+'前提と出典'!E75,'前提と出典'!D76+'前提と出典'!E76))))</ns0:f>
        <ns0:v>34510.9346263078</ns0:v>
      </ns0:c>
      <ns0:c r="O129" s="16">
        <ns0:f>IF('前提と出典'!$C$36+'前提と出典'!$C$38=0,0,'前提と出典'!$B$4*IF('前提と出典'!$B$20=0,MAX('前提と出典'!$B$6,D129*'前提と出典'!$B$5),'前提と出典'!$B$6+D129*'前提と出典'!$B$5))</ns0:f>
        <ns0:v>124122.90502793297</ns0:v>
      </ns0:c>
      <ns0:c r="P129" s="16">
        <ns0:f>(E129+G129)*(1-'前提と出典'!$B$7)-I129-K129-M129-O129</ns0:f>
        <ns0:v>270956.129087833</ns0:v>
      </ns0:c>
      <ns0:c r="Q129" s="16">
        <ns0:f>(F129+H129)*(1-'前提と出典'!$B$7)-J129-L129-N129</ns0:f>
        <ns0:v>85073.59471123318</ns0:v>
      </ns0:c>
      <ns0:c r="R129" s="16">
        <ns0:f>P129-E129*'前提と出典'!$E$4</ns0:f>
        <ns0:v>198395.70446036925</ns0:v>
      </ns0:c>
      <ns0:c r="S129" s="16">
        <ns0:f>Q129-F129*'前提と出典'!$E$4</ns0:f>
        <ns0:v>56596.26422233295</ns0:v>
      </ns0:c>
      <ns0:c r="T129" s="7">
        <ns0:f>R129+S129</ns0:f>
        <ns0:v>254991.9686827022</ns0:v>
      </ns0:c>
      <ns0:c r="U129" s="16">
        <ns0:f>P129-E129*'前提と出典'!$E$5</ns0:f>
        <ns0:v>174208.89625121467</ns0:v>
      </ns0:c>
      <ns0:c r="V129" s="16">
        <ns0:f>Q129-F129*'前提と出典'!$E$5</ns0:f>
        <ns0:v>47103.8207260329</ns0:v>
      </ns0:c>
      <ns0:c r="W129" s="7">
        <ns0:f>U129+V129</ns0:f>
        <ns0:v>221312.71697724756</ns0:v>
      </ns0:c>
      <ns0:c r="X129" s="16">
        <ns0:f>P129-E129*'前提と出典'!$E$6</ns0:f>
        <ns0:v>150022.0880420601</ns0:v>
      </ns0:c>
      <ns0:c r="Y129" s="16">
        <ns0:f>Q129-F129*'前提と出典'!$E$6</ns0:f>
        <ns0:v>37611.37722973283</ns0:v>
      </ns0:c>
      <ns0:c r="Z129" s="7">
        <ns0:f>X129+Y129</ns0:f>
        <ns0:v>187633.46527179293</ns0:v>
      </ns0:c>
      <ns0:c r="AA129" s="7">
        <ns0:f>IF(T129&gt;=0,A129,1001)</ns0:f>
        <ns0:v>125</ns0:v>
      </ns0:c>
      <ns0:c r="AB129" s="7">
        <ns0:f>IF(T129&lt;0,A129,0)</ns0:f>
        <ns0:v>0</ns0:v>
      </ns0:c>
      <ns0:c r="AC129" s="16">
        <ns0:f>IF(AND(OR('前提と出典'!$C$36+'前提と出典'!$C$38=0,R129&gt;=0),OR('前提と出典'!$C$37+'前提と出典'!$C$38=0,S129&gt;=0)),0,A129)</ns0:f>
        <ns0:v>0</ns0:v>
      </ns0:c>
      <ns0:c r="AD129" s="7">
        <ns0:f>IF(W129&gt;=0,A129,1001)</ns0:f>
        <ns0:v>125</ns0:v>
      </ns0:c>
      <ns0:c r="AE129" s="7">
        <ns0:f>IF(W129&lt;0,A129,0)</ns0:f>
        <ns0:v>0</ns0:v>
      </ns0:c>
      <ns0:c r="AF129" s="16">
        <ns0:f>IF(AND(OR('前提と出典'!$C$36+'前提と出典'!$C$38=0,U129&gt;=0),OR('前提と出典'!$C$37+'前提と出典'!$C$38=0,V129&gt;=0)),0,A129)</ns0:f>
        <ns0:v>0</ns0:v>
      </ns0:c>
      <ns0:c r="AG129" s="7">
        <ns0:f>IF(Z129&gt;=0,A129,1001)</ns0:f>
        <ns0:v>125</ns0:v>
      </ns0:c>
      <ns0:c r="AH129" s="4">
        <ns0:f>IF(Z129&lt;0,A129,0)</ns0:f>
        <ns0:v>0</ns0:v>
      </ns0:c>
      <ns0:c r="AI129" s="12">
        <ns0:f>IF(AND(OR('前提と出典'!$C$36+'前提と出典'!$C$38=0,X129&gt;=0),OR('前提と出典'!$C$37+'前提と出典'!$C$38=0,Y129&gt;=0)),0,A129)</ns0:f>
        <ns0:v>0</ns0:v>
      </ns0:c>
    </ns0:row>
    <ns0:row r="130" ht="24" customHeight="1">
      <ns0:c r="A130" s="4" t="n">
        <ns0:v>126</ns0:v>
      </ns0:c>
      <ns0:c r="B130" s="12">
        <ns0:f>A130*('前提と出典'!$C$36+'前提と出典'!$C$38)</ns0:f>
        <ns0:v>88.19999999999999</ns0:v>
      </ns0:c>
      <ns0:c r="C130" s="12">
        <ns0:f>A130*('前提と出典'!$C$37+'前提と出典'!$C$38)</ns0:f>
        <ns0:v>75.6</ns0:v>
      </ns0:c>
      <ns0:c r="D130" s="16">
        <ns0:f>A130*('前提と出典'!$C$36*'契約別単価'!C5+'前提と出典'!$C$37*'契約別単価'!C6+'前提と出典'!$C$38*'契約別単価'!C7)</ns0:f>
        <ns0:v>906.6368715083798</ns0:v>
      </ns0:c>
      <ns0:c r="E130" s="16">
        <ns0:f>A130*('前提と出典'!$C$36*'契約別単価'!E5+'前提と出典'!$C$37*'契約別単価'!E6+'前提と出典'!$C$38*'契約別単価'!E7)</ns0:f>
        <ns0:v>243803.02674827812</ns0:v>
      </ns0:c>
      <ns0:c r="F130" s="16">
        <ns0:f>A130*('前提と出典'!$C$36*'契約別単価'!F5+'前提と出典'!$C$37*'契約別単価'!F6+'前提と出典'!$C$38*'契約別単価'!F7)</ns0:f>
        <ns0:v>95683.8304427047</ns0:v>
      </ns0:c>
      <ns0:c r="G130" s="16">
        <ns0:f>A130*('前提と出典'!$C$36*'契約別単価'!G5+'前提と出典'!$C$37*'契約別単価'!G6+'前提と出典'!$C$38*'契約別単価'!G7)</ns0:f>
        <ns0:v>250803.35195530724</ns0:v>
      </ns0:c>
      <ns0:c r="H130" s="16">
        <ns0:f>A130*('前提と出典'!$C$36*'契約別単価'!H5+'前提と出典'!$C$37*'契約別単価'!H6+'前提と出典'!$C$38*'契約別単価'!H7)</ns0:f>
        <ns0:v>87041.34190505599</ns0:v>
      </ns0:c>
      <ns0:c r="I130" s="16">
        <ns0:f>A130*('前提と出典'!$C$36*'契約別単価'!I5+'前提と出典'!$C$37*'契約別単価'!I6+'前提と出典'!$C$38*'契約別単価'!I7)</ns0:f>
        <ns0:v>5316.636871508379</ns0:v>
      </ns0:c>
      <ns0:c r="J130" s="16">
        <ns0:f>A130*('前提と出典'!$C$36*'契約別単価'!J5+'前提と出典'!$C$37*'契約別単価'!J6+'前提と出典'!$C$38*'契約別単価'!J7)</ns0:f>
        <ns0:v>12384.482507498124</ns0:v>
      </ns0:c>
      <ns0:c r="K130" s="16">
        <ns0:f>A130*('前提と出典'!$C$36*'契約別単価'!K5+'前提と出典'!$C$37*'契約別単価'!K6+'前提と出典'!$C$38*'契約別単価'!K7)</ns0:f>
        <ns0:v>53084.245810055865</ns0:v>
      </ns0:c>
      <ns0:c r="L130" s="16">
        <ns0:f>A130*('前提と出典'!$C$36*'契約別単価'!L5+'前提と出典'!$C$37*'契約別単価'!L6+'前提と出典'!$C$38*'契約別単価'!L7)</ns0:f>
        <ns0:v>43221.37806350186</ns0:v>
      </ns0:c>
      <ns0:c r="M130" s="16">
        <ns0:f>IF(('前提と出典'!$C$36+'前提と出典'!$C$38)=0,0,IF(B130&lt;=10,'前提と出典'!B73+'前提と出典'!C73,IF(B130&lt;=100,'前提と出典'!B74+'前提と出典'!C74,IF(B130&lt;=500,'前提と出典'!B75+'前提と出典'!C75,'前提と出典'!B76+'前提と出典'!C76))))</ns0:f>
        <ns0:v>20000</ns0:v>
      </ns0:c>
      <ns0:c r="N130" s="16">
        <ns0:f>IF(('前提と出典'!$C$37+'前提と出典'!$C$38)=0,0,IF(C130&lt;=10,'前提と出典'!D73+'前提と出典'!E73,IF(C130&lt;=100,'前提と出典'!D74+'前提と出典'!E74,IF(C130&lt;=500,'前提と出典'!D75+'前提と出典'!E75,'前提と出典'!D76+'前提と出典'!E76))))</ns0:f>
        <ns0:v>34510.9346263078</ns0:v>
      </ns0:c>
      <ns0:c r="O130" s="16">
        <ns0:f>IF('前提と出典'!$C$36+'前提と出典'!$C$38=0,0,'前提と出典'!$B$4*IF('前提と出典'!$B$20=0,MAX('前提と出典'!$B$6,D130*'前提と出典'!$B$5),'前提と出典'!$B$6+D130*'前提と出典'!$B$5))</ns0:f>
        <ns0:v>125115.88826815641</ns0:v>
      </ns0:c>
      <ns0:c r="P130" s="16">
        <ns0:f>(E130+G130)*(1-'前提と出典'!$B$7)-I130-K130-M130-O130</ns0:f>
        <ns0:v>273283.77812053566</ns0:v>
      </ns0:c>
      <ns0:c r="Q130" s="16">
        <ns0:f>(F130+H130)*(1-'前提と出典'!$B$7)-J130-L130-N130</ns0:f>
        <ns0:v>86030.27094593352</ns0:v>
      </ns0:c>
      <ns0:c r="R130" s="16">
        <ns0:f>P130-E130*'前提と出典'!$E$4</ns0:f>
        <ns0:v>200142.8700960522</ns0:v>
      </ns0:c>
      <ns0:c r="S130" s="16">
        <ns0:f>Q130-F130*'前提と出典'!$E$4</ns0:f>
        <ns0:v>57325.12181312212</ns0:v>
      </ns0:c>
      <ns0:c r="T130" s="7">
        <ns0:f>R130+S130</ns0:f>
        <ns0:v>257467.99190917434</ns0:v>
      </ns0:c>
      <ns0:c r="U130" s="16">
        <ns0:f>P130-E130*'前提と出典'!$E$5</ns0:f>
        <ns0:v>175762.5674212244</ns0:v>
      </ns0:c>
      <ns0:c r="V130" s="16">
        <ns0:f>Q130-F130*'前提と出典'!$E$5</ns0:f>
        <ns0:v>47756.73876885164</ns0:v>
      </ns0:c>
      <ns0:c r="W130" s="7">
        <ns0:f>U130+V130</ns0:f>
        <ns0:v>223519.30619007605</ns0:v>
      </ns0:c>
      <ns0:c r="X130" s="16">
        <ns0:f>P130-E130*'前提と出典'!$E$6</ns0:f>
        <ns0:v>151382.26474639654</ns0:v>
      </ns0:c>
      <ns0:c r="Y130" s="16">
        <ns0:f>Q130-F130*'前提と出典'!$E$6</ns0:f>
        <ns0:v>38188.355724581175</ns0:v>
      </ns0:c>
      <ns0:c r="Z130" s="7">
        <ns0:f>X130+Y130</ns0:f>
        <ns0:v>189570.6204709777</ns0:v>
      </ns0:c>
      <ns0:c r="AA130" s="7">
        <ns0:f>IF(T130&gt;=0,A130,1001)</ns0:f>
        <ns0:v>126</ns0:v>
      </ns0:c>
      <ns0:c r="AB130" s="7">
        <ns0:f>IF(T130&lt;0,A130,0)</ns0:f>
        <ns0:v>0</ns0:v>
      </ns0:c>
      <ns0:c r="AC130" s="16">
        <ns0:f>IF(AND(OR('前提と出典'!$C$36+'前提と出典'!$C$38=0,R130&gt;=0),OR('前提と出典'!$C$37+'前提と出典'!$C$38=0,S130&gt;=0)),0,A130)</ns0:f>
        <ns0:v>0</ns0:v>
      </ns0:c>
      <ns0:c r="AD130" s="7">
        <ns0:f>IF(W130&gt;=0,A130,1001)</ns0:f>
        <ns0:v>126</ns0:v>
      </ns0:c>
      <ns0:c r="AE130" s="7">
        <ns0:f>IF(W130&lt;0,A130,0)</ns0:f>
        <ns0:v>0</ns0:v>
      </ns0:c>
      <ns0:c r="AF130" s="16">
        <ns0:f>IF(AND(OR('前提と出典'!$C$36+'前提と出典'!$C$38=0,U130&gt;=0),OR('前提と出典'!$C$37+'前提と出典'!$C$38=0,V130&gt;=0)),0,A130)</ns0:f>
        <ns0:v>0</ns0:v>
      </ns0:c>
      <ns0:c r="AG130" s="7">
        <ns0:f>IF(Z130&gt;=0,A130,1001)</ns0:f>
        <ns0:v>126</ns0:v>
      </ns0:c>
      <ns0:c r="AH130" s="4">
        <ns0:f>IF(Z130&lt;0,A130,0)</ns0:f>
        <ns0:v>0</ns0:v>
      </ns0:c>
      <ns0:c r="AI130" s="12">
        <ns0:f>IF(AND(OR('前提と出典'!$C$36+'前提と出典'!$C$38=0,X130&gt;=0),OR('前提と出典'!$C$37+'前提と出典'!$C$38=0,Y130&gt;=0)),0,A130)</ns0:f>
        <ns0:v>0</ns0:v>
      </ns0:c>
    </ns0:row>
    <ns0:row r="131" ht="24" customHeight="1">
      <ns0:c r="A131" s="4" t="n">
        <ns0:v>127</ns0:v>
      </ns0:c>
      <ns0:c r="B131" s="12">
        <ns0:f>A131*('前提と出典'!$C$36+'前提と出典'!$C$38)</ns0:f>
        <ns0:v>88.89999999999999</ns0:v>
      </ns0:c>
      <ns0:c r="C131" s="12">
        <ns0:f>A131*('前提と出典'!$C$37+'前提と出典'!$C$38)</ns0:f>
        <ns0:v>76.2</ns0:v>
      </ns0:c>
      <ns0:c r="D131" s="16">
        <ns0:f>A131*('前提と出典'!$C$36*'契約別単価'!C5+'前提と出典'!$C$37*'契約別単価'!C6+'前提と出典'!$C$38*'契約別単価'!C7)</ns0:f>
        <ns0:v>913.8324022346369</ns0:v>
      </ns0:c>
      <ns0:c r="E131" s="16">
        <ns0:f>A131*('前提と出典'!$C$36*'契約別単価'!E5+'前提と出典'!$C$37*'契約別単価'!E6+'前提と出典'!$C$38*'契約別単価'!E7)</ns0:f>
        <ns0:v>245737.97140501047</ns0:v>
      </ns0:c>
      <ns0:c r="F131" s="16">
        <ns0:f>A131*('前提と出典'!$C$36*'契約別単価'!F5+'前提と出典'!$C$37*'契約別単価'!F6+'前提と出典'!$C$38*'契約別単価'!F7)</ns0:f>
        <ns0:v>96443.2259224087</ns0:v>
      </ns0:c>
      <ns0:c r="G131" s="16">
        <ns0:f>A131*('前提と出典'!$C$36*'契約別単価'!G5+'前提と出典'!$C$37*'契約別単価'!G6+'前提と出典'!$C$38*'契約別単価'!G7)</ns0:f>
        <ns0:v>252793.85474860333</ns0:v>
      </ns0:c>
      <ns0:c r="H131" s="16">
        <ns0:f>A131*('前提と出典'!$C$36*'契約別単価'!H5+'前提と出典'!$C$37*'契約別単価'!H6+'前提と出典'!$C$38*'契約別単価'!H7)</ns0:f>
        <ns0:v>87732.14620588976</ns0:v>
      </ns0:c>
      <ns0:c r="I131" s="16">
        <ns0:f>A131*('前提と出典'!$C$36*'契約別単価'!I5+'前提と出典'!$C$37*'契約別単価'!I6+'前提と出典'!$C$38*'契約別単価'!I7)</ns0:f>
        <ns0:v>5358.832402234636</ns0:v>
      </ns0:c>
      <ns0:c r="J131" s="16">
        <ns0:f>A131*('前提と出典'!$C$36*'契約別単価'!J5+'前提と出典'!$C$37*'契約別単価'!J6+'前提と出典'!$C$38*'契約別単価'!J7)</ns0:f>
        <ns0:v>12482.772051208425</ns0:v>
      </ns0:c>
      <ns0:c r="K131" s="16">
        <ns0:f>A131*('前提と出典'!$C$36*'契約別単価'!K5+'前提と出典'!$C$37*'契約別単価'!K6+'前提と出典'!$C$38*'契約別単価'!K7)</ns0:f>
        <ns0:v>53505.54934823091</ns0:v>
      </ns0:c>
      <ns0:c r="L131" s="16">
        <ns0:f>A131*('前提と出典'!$C$36*'契約別単価'!L5+'前提と出典'!$C$37*'契約別単価'!L6+'前提と出典'!$C$38*'契約別単価'!L7)</ns0:f>
        <ns0:v>43564.40487352966</ns0:v>
      </ns0:c>
      <ns0:c r="M131" s="16">
        <ns0:f>IF(('前提と出典'!$C$36+'前提と出典'!$C$38)=0,0,IF(B131&lt;=10,'前提と出典'!B73+'前提と出典'!C73,IF(B131&lt;=100,'前提と出典'!B74+'前提と出典'!C74,IF(B131&lt;=500,'前提と出典'!B75+'前提と出典'!C75,'前提と出典'!B76+'前提と出典'!C76))))</ns0:f>
        <ns0:v>20000</ns0:v>
      </ns0:c>
      <ns0:c r="N131" s="16">
        <ns0:f>IF(('前提と出典'!$C$37+'前提と出典'!$C$38)=0,0,IF(C131&lt;=10,'前提と出典'!D73+'前提と出典'!E73,IF(C131&lt;=100,'前提と出典'!D74+'前提と出典'!E74,IF(C131&lt;=500,'前提と出典'!D75+'前提と出典'!E75,'前提と出典'!D76+'前提と出典'!E76))))</ns0:f>
        <ns0:v>34510.9346263078</ns0:v>
      </ns0:c>
      <ns0:c r="O131" s="16">
        <ns0:f>IF('前提と出典'!$C$36+'前提と出典'!$C$38=0,0,'前提と出典'!$B$4*IF('前提と出典'!$B$20=0,MAX('前提と出典'!$B$6,D131*'前提と出典'!$B$5),'前提と出典'!$B$6+D131*'前提と出典'!$B$5))</ns0:f>
        <ns0:v>126108.87150837989</ns0:v>
      </ns0:c>
      <ns0:c r="P131" s="16">
        <ns0:f>(E131+G131)*(1-'前提と出典'!$B$7)-I131-K131-M131-O131</ns0:f>
        <ns0:v>275611.4271532382</ns0:v>
      </ns0:c>
      <ns0:c r="Q131" s="16">
        <ns0:f>(F131+H131)*(1-'前提と出典'!$B$7)-J131-L131-N131</ns0:f>
        <ns0:v>86986.94718063384</ns0:v>
      </ns0:c>
      <ns0:c r="R131" s="16">
        <ns0:f>P131-E131*'前提と出典'!$E$4</ns0:f>
        <ns0:v>201890.03573173512</ns0:v>
      </ns0:c>
      <ns0:c r="S131" s="16">
        <ns0:f>Q131-F131*'前提と出典'!$E$4</ns0:f>
        <ns0:v>58053.979403911224</ns0:v>
      </ns0:c>
      <ns0:c r="T131" s="7">
        <ns0:f>R131+S131</ns0:f>
        <ns0:v>259944.01513564633</ns0:v>
      </ns0:c>
      <ns0:c r="U131" s="16">
        <ns0:f>P131-E131*'前提と出典'!$E$5</ns0:f>
        <ns0:v>177316.23859123403</ns0:v>
      </ns0:c>
      <ns0:c r="V131" s="16">
        <ns0:f>Q131-F131*'前提と出典'!$E$5</ns0:f>
        <ns0:v>48409.65681167035</ns0:v>
      </ns0:c>
      <ns0:c r="W131" s="7">
        <ns0:f>U131+V131</ns0:f>
        <ns0:v>225725.89540290437</ns0:v>
      </ns0:c>
      <ns0:c r="X131" s="16">
        <ns0:f>P131-E131*'前提と出典'!$E$6</ns0:f>
        <ns0:v>152742.44145073305</ns0:v>
      </ns0:c>
      <ns0:c r="Y131" s="16">
        <ns0:f>Q131-F131*'前提と出典'!$E$6</ns0:f>
        <ns0:v>38765.334219429475</ns0:v>
      </ns0:c>
      <ns0:c r="Z131" s="7">
        <ns0:f>X131+Y131</ns0:f>
        <ns0:v>191507.77567016252</ns0:v>
      </ns0:c>
      <ns0:c r="AA131" s="7">
        <ns0:f>IF(T131&gt;=0,A131,1001)</ns0:f>
        <ns0:v>127</ns0:v>
      </ns0:c>
      <ns0:c r="AB131" s="7">
        <ns0:f>IF(T131&lt;0,A131,0)</ns0:f>
        <ns0:v>0</ns0:v>
      </ns0:c>
      <ns0:c r="AC131" s="16">
        <ns0:f>IF(AND(OR('前提と出典'!$C$36+'前提と出典'!$C$38=0,R131&gt;=0),OR('前提と出典'!$C$37+'前提と出典'!$C$38=0,S131&gt;=0)),0,A131)</ns0:f>
        <ns0:v>0</ns0:v>
      </ns0:c>
      <ns0:c r="AD131" s="7">
        <ns0:f>IF(W131&gt;=0,A131,1001)</ns0:f>
        <ns0:v>127</ns0:v>
      </ns0:c>
      <ns0:c r="AE131" s="7">
        <ns0:f>IF(W131&lt;0,A131,0)</ns0:f>
        <ns0:v>0</ns0:v>
      </ns0:c>
      <ns0:c r="AF131" s="16">
        <ns0:f>IF(AND(OR('前提と出典'!$C$36+'前提と出典'!$C$38=0,U131&gt;=0),OR('前提と出典'!$C$37+'前提と出典'!$C$38=0,V131&gt;=0)),0,A131)</ns0:f>
        <ns0:v>0</ns0:v>
      </ns0:c>
      <ns0:c r="AG131" s="7">
        <ns0:f>IF(Z131&gt;=0,A131,1001)</ns0:f>
        <ns0:v>127</ns0:v>
      </ns0:c>
      <ns0:c r="AH131" s="4">
        <ns0:f>IF(Z131&lt;0,A131,0)</ns0:f>
        <ns0:v>0</ns0:v>
      </ns0:c>
      <ns0:c r="AI131" s="12">
        <ns0:f>IF(AND(OR('前提と出典'!$C$36+'前提と出典'!$C$38=0,X131&gt;=0),OR('前提と出典'!$C$37+'前提と出典'!$C$38=0,Y131&gt;=0)),0,A131)</ns0:f>
        <ns0:v>0</ns0:v>
      </ns0:c>
    </ns0:row>
    <ns0:row r="132" ht="24" customHeight="1">
      <ns0:c r="A132" s="4" t="n">
        <ns0:v>128</ns0:v>
      </ns0:c>
      <ns0:c r="B132" s="12">
        <ns0:f>A132*('前提と出典'!$C$36+'前提と出典'!$C$38)</ns0:f>
        <ns0:v>89.6</ns0:v>
      </ns0:c>
      <ns0:c r="C132" s="12">
        <ns0:f>A132*('前提と出典'!$C$37+'前提と出典'!$C$38)</ns0:f>
        <ns0:v>76.8</ns0:v>
      </ns0:c>
      <ns0:c r="D132" s="16">
        <ns0:f>A132*('前提と出典'!$C$36*'契約別単価'!C5+'前提と出典'!$C$37*'契約別単価'!C6+'前提と出典'!$C$38*'契約別単価'!C7)</ns0:f>
        <ns0:v>921.0279329608938</ns0:v>
      </ns0:c>
      <ns0:c r="E132" s="16">
        <ns0:f>A132*('前提と出典'!$C$36*'契約別単価'!E5+'前提と出典'!$C$37*'契約別単価'!E6+'前提と出典'!$C$38*'契約別単価'!E7)</ns0:f>
        <ns0:v>247672.91606174284</ns0:v>
      </ns0:c>
      <ns0:c r="F132" s="16">
        <ns0:f>A132*('前提と出典'!$C$36*'契約別単価'!F5+'前提と出典'!$C$37*'契約別単価'!F6+'前提と出典'!$C$38*'契約別単価'!F7)</ns0:f>
        <ns0:v>97202.62140211271</ns0:v>
      </ns0:c>
      <ns0:c r="G132" s="16">
        <ns0:f>A132*('前提と出典'!$C$36*'契約別単価'!G5+'前提と出典'!$C$37*'契約別単価'!G6+'前提と出典'!$C$38*'契約別単価'!G7)</ns0:f>
        <ns0:v>254784.35754189943</ns0:v>
      </ns0:c>
      <ns0:c r="H132" s="16">
        <ns0:f>A132*('前提と出典'!$C$36*'契約別単価'!H5+'前提と出典'!$C$37*'契約別単価'!H6+'前提と出典'!$C$38*'契約別単価'!H7)</ns0:f>
        <ns0:v>88422.95050672354</ns0:v>
      </ns0:c>
      <ns0:c r="I132" s="16">
        <ns0:f>A132*('前提と出典'!$C$36*'契約別単価'!I5+'前提と出典'!$C$37*'契約別単価'!I6+'前提と出典'!$C$38*'契約別単価'!I7)</ns0:f>
        <ns0:v>5401.027932960893</ns0:v>
      </ns0:c>
      <ns0:c r="J132" s="16">
        <ns0:f>A132*('前提と出典'!$C$36*'契約別単価'!J5+'前提と出典'!$C$37*'契約別単価'!J6+'前提と出典'!$C$38*'契約別単価'!J7)</ns0:f>
        <ns0:v>12581.061594918729</ns0:v>
      </ns0:c>
      <ns0:c r="K132" s="16">
        <ns0:f>A132*('前提と出典'!$C$36*'契約別単価'!K5+'前提と出典'!$C$37*'契約別単価'!K6+'前提と出典'!$C$38*'契約別単価'!K7)</ns0:f>
        <ns0:v>53926.852886405955</ns0:v>
      </ns0:c>
      <ns0:c r="L132" s="16">
        <ns0:f>A132*('前提と出典'!$C$36*'契約別単価'!L5+'前提と出典'!$C$37*'契約別単価'!L6+'前提と出典'!$C$38*'契約別単価'!L7)</ns0:f>
        <ns0:v>43907.43168355745</ns0:v>
      </ns0:c>
      <ns0:c r="M132" s="16">
        <ns0:f>IF(('前提と出典'!$C$36+'前提と出典'!$C$38)=0,0,IF(B132&lt;=10,'前提と出典'!B73+'前提と出典'!C73,IF(B132&lt;=100,'前提と出典'!B74+'前提と出典'!C74,IF(B132&lt;=500,'前提と出典'!B75+'前提と出典'!C75,'前提と出典'!B76+'前提と出典'!C76))))</ns0:f>
        <ns0:v>20000</ns0:v>
      </ns0:c>
      <ns0:c r="N132" s="16">
        <ns0:f>IF(('前提と出典'!$C$37+'前提と出典'!$C$38)=0,0,IF(C132&lt;=10,'前提と出典'!D73+'前提と出典'!E73,IF(C132&lt;=100,'前提と出典'!D74+'前提と出典'!E74,IF(C132&lt;=500,'前提と出典'!D75+'前提と出典'!E75,'前提と出典'!D76+'前提と出典'!E76))))</ns0:f>
        <ns0:v>34510.9346263078</ns0:v>
      </ns0:c>
      <ns0:c r="O132" s="16">
        <ns0:f>IF('前提と出典'!$C$36+'前提と出典'!$C$38=0,0,'前提と出典'!$B$4*IF('前提と出典'!$B$20=0,MAX('前提と出典'!$B$6,D132*'前提と出典'!$B$5),'前提と出典'!$B$6+D132*'前提と出典'!$B$5))</ns0:f>
        <ns0:v>127101.85474860335</ns0:v>
      </ns0:c>
      <ns0:c r="P132" s="16">
        <ns0:f>(E132+G132)*(1-'前提と出典'!$B$7)-I132-K132-M132-O132</ns0:f>
        <ns0:v>277939.07618594094</ns0:v>
      </ns0:c>
      <ns0:c r="Q132" s="16">
        <ns0:f>(F132+H132)*(1-'前提と出典'!$B$7)-J132-L132-N132</ns0:f>
        <ns0:v>87943.62341533418</ns0:v>
      </ns0:c>
      <ns0:c r="R132" s="16">
        <ns0:f>P132-E132*'前提と出典'!$E$4</ns0:f>
        <ns0:v>203637.2013674181</ns0:v>
      </ns0:c>
      <ns0:c r="S132" s="16">
        <ns0:f>Q132-F132*'前提と出典'!$E$4</ns0:f>
        <ns0:v>58782.836994700374</ns0:v>
      </ns0:c>
      <ns0:c r="T132" s="7">
        <ns0:f>R132+S132</ns0:f>
        <ns0:v>262420.0383621185</ns0:v>
      </ns0:c>
      <ns0:c r="U132" s="16">
        <ns0:f>P132-E132*'前提と出典'!$E$5</ns0:f>
        <ns0:v>178869.9097612438</ns0:v>
      </ns0:c>
      <ns0:c r="V132" s="16">
        <ns0:f>Q132-F132*'前提と出典'!$E$5</ns0:f>
        <ns0:v>49062.5748544891</ns0:v>
      </ns0:c>
      <ns0:c r="W132" s="7">
        <ns0:f>U132+V132</ns0:f>
        <ns0:v>227932.4846157329</ns0:v>
      </ns0:c>
      <ns0:c r="X132" s="16">
        <ns0:f>P132-E132*'前提と出典'!$E$6</ns0:f>
        <ns0:v>154102.61815506953</ns0:v>
      </ns0:c>
      <ns0:c r="Y132" s="16">
        <ns0:f>Q132-F132*'前提と出典'!$E$6</ns0:f>
        <ns0:v>39342.3127142778</ns0:v>
      </ns0:c>
      <ns0:c r="Z132" s="7">
        <ns0:f>X132+Y132</ns0:f>
        <ns0:v>193444.93086934733</ns0:v>
      </ns0:c>
      <ns0:c r="AA132" s="7">
        <ns0:f>IF(T132&gt;=0,A132,1001)</ns0:f>
        <ns0:v>128</ns0:v>
      </ns0:c>
      <ns0:c r="AB132" s="7">
        <ns0:f>IF(T132&lt;0,A132,0)</ns0:f>
        <ns0:v>0</ns0:v>
      </ns0:c>
      <ns0:c r="AC132" s="16">
        <ns0:f>IF(AND(OR('前提と出典'!$C$36+'前提と出典'!$C$38=0,R132&gt;=0),OR('前提と出典'!$C$37+'前提と出典'!$C$38=0,S132&gt;=0)),0,A132)</ns0:f>
        <ns0:v>0</ns0:v>
      </ns0:c>
      <ns0:c r="AD132" s="7">
        <ns0:f>IF(W132&gt;=0,A132,1001)</ns0:f>
        <ns0:v>128</ns0:v>
      </ns0:c>
      <ns0:c r="AE132" s="7">
        <ns0:f>IF(W132&lt;0,A132,0)</ns0:f>
        <ns0:v>0</ns0:v>
      </ns0:c>
      <ns0:c r="AF132" s="16">
        <ns0:f>IF(AND(OR('前提と出典'!$C$36+'前提と出典'!$C$38=0,U132&gt;=0),OR('前提と出典'!$C$37+'前提と出典'!$C$38=0,V132&gt;=0)),0,A132)</ns0:f>
        <ns0:v>0</ns0:v>
      </ns0:c>
      <ns0:c r="AG132" s="7">
        <ns0:f>IF(Z132&gt;=0,A132,1001)</ns0:f>
        <ns0:v>128</ns0:v>
      </ns0:c>
      <ns0:c r="AH132" s="4">
        <ns0:f>IF(Z132&lt;0,A132,0)</ns0:f>
        <ns0:v>0</ns0:v>
      </ns0:c>
      <ns0:c r="AI132" s="12">
        <ns0:f>IF(AND(OR('前提と出典'!$C$36+'前提と出典'!$C$38=0,X132&gt;=0),OR('前提と出典'!$C$37+'前提と出典'!$C$38=0,Y132&gt;=0)),0,A132)</ns0:f>
        <ns0:v>0</ns0:v>
      </ns0:c>
    </ns0:row>
    <ns0:row r="133" ht="24" customHeight="1">
      <ns0:c r="A133" s="4" t="n">
        <ns0:v>129</ns0:v>
      </ns0:c>
      <ns0:c r="B133" s="12">
        <ns0:f>A133*('前提と出典'!$C$36+'前提と出典'!$C$38)</ns0:f>
        <ns0:v>90.3</ns0:v>
      </ns0:c>
      <ns0:c r="C133" s="12">
        <ns0:f>A133*('前提と出典'!$C$37+'前提と出典'!$C$38)</ns0:f>
        <ns0:v>77.39999999999999</ns0:v>
      </ns0:c>
      <ns0:c r="D133" s="16">
        <ns0:f>A133*('前提と出典'!$C$36*'契約別単価'!C5+'前提と出典'!$C$37*'契約別単価'!C6+'前提と出典'!$C$38*'契約別単価'!C7)</ns0:f>
        <ns0:v>928.2234636871508</ns0:v>
      </ns0:c>
      <ns0:c r="E133" s="16">
        <ns0:f>A133*('前提と出典'!$C$36*'契約別単価'!E5+'前提と出典'!$C$37*'契約別単価'!E6+'前提と出典'!$C$38*'契約別単価'!E7)</ns0:f>
        <ns0:v>249607.86071847522</ns0:v>
      </ns0:c>
      <ns0:c r="F133" s="16">
        <ns0:f>A133*('前提と出典'!$C$36*'契約別単価'!F5+'前提と出典'!$C$37*'契約別単価'!F6+'前提と出典'!$C$38*'契約別単価'!F7)</ns0:f>
        <ns0:v>97962.01688181671</ns0:v>
      </ns0:c>
      <ns0:c r="G133" s="16">
        <ns0:f>A133*('前提と出典'!$C$36*'契約別単価'!G5+'前提と出典'!$C$37*'契約別単価'!G6+'前提と出典'!$C$38*'契約別単価'!G7)</ns0:f>
        <ns0:v>256774.86033519552</ns0:v>
      </ns0:c>
      <ns0:c r="H133" s="16">
        <ns0:f>A133*('前提と出典'!$C$36*'契約別単価'!H5+'前提と出典'!$C$37*'契約別単価'!H6+'前提と出典'!$C$38*'契約別単価'!H7)</ns0:f>
        <ns0:v>89113.75480755733</ns0:v>
      </ns0:c>
      <ns0:c r="I133" s="16">
        <ns0:f>A133*('前提と出典'!$C$36*'契約別単価'!I5+'前提と出典'!$C$37*'契約別単価'!I6+'前提と出典'!$C$38*'契約別単価'!I7)</ns0:f>
        <ns0:v>5443.22346368715</ns0:v>
      </ns0:c>
      <ns0:c r="J133" s="16">
        <ns0:f>A133*('前提と出典'!$C$36*'契約別単価'!J5+'前提と出典'!$C$37*'契約別単価'!J6+'前提と出典'!$C$38*'契約別単価'!J7)</ns0:f>
        <ns0:v>12679.351138629032</ns0:v>
      </ns0:c>
      <ns0:c r="K133" s="16">
        <ns0:f>A133*('前提と出典'!$C$36*'契約別単価'!K5+'前提と出典'!$C$37*'契約別単価'!K6+'前提と出典'!$C$38*'契約別単価'!K7)</ns0:f>
        <ns0:v>54348.156424581</ns0:v>
      </ns0:c>
      <ns0:c r="L133" s="16">
        <ns0:f>A133*('前提と出典'!$C$36*'契約別単価'!L5+'前提と出典'!$C$37*'契約別単価'!L6+'前提と出典'!$C$38*'契約別単価'!L7)</ns0:f>
        <ns0:v>44250.45849358524</ns0:v>
      </ns0:c>
      <ns0:c r="M133" s="16">
        <ns0:f>IF(('前提と出典'!$C$36+'前提と出典'!$C$38)=0,0,IF(B133&lt;=10,'前提と出典'!B73+'前提と出典'!C73,IF(B133&lt;=100,'前提と出典'!B74+'前提と出典'!C74,IF(B133&lt;=500,'前提と出典'!B75+'前提と出典'!C75,'前提と出典'!B76+'前提と出典'!C76))))</ns0:f>
        <ns0:v>20000</ns0:v>
      </ns0:c>
      <ns0:c r="N133" s="16">
        <ns0:f>IF(('前提と出典'!$C$37+'前提と出典'!$C$38)=0,0,IF(C133&lt;=10,'前提と出典'!D73+'前提と出典'!E73,IF(C133&lt;=100,'前提と出典'!D74+'前提と出典'!E74,IF(C133&lt;=500,'前提と出典'!D75+'前提と出典'!E75,'前提と出典'!D76+'前提と出典'!E76))))</ns0:f>
        <ns0:v>34510.9346263078</ns0:v>
      </ns0:c>
      <ns0:c r="O133" s="16">
        <ns0:f>IF('前提と出典'!$C$36+'前提と出典'!$C$38=0,0,'前提と出典'!$B$4*IF('前提と出典'!$B$20=0,MAX('前提と出典'!$B$6,D133*'前提と出典'!$B$5),'前提と出典'!$B$6+D133*'前提と出典'!$B$5))</ns0:f>
        <ns0:v>128094.83798882681</ns0:v>
      </ns0:c>
      <ns0:c r="P133" s="16">
        <ns0:f>(E133+G133)*(1-'前提と出典'!$B$7)-I133-K133-M133-O133</ns0:f>
        <ns0:v>280266.7252186436</ns0:v>
      </ns0:c>
      <ns0:c r="Q133" s="16">
        <ns0:f>(F133+H133)*(1-'前提と出典'!$B$7)-J133-L133-N133</ns0:f>
        <ns0:v>88900.29965003452</ns0:v>
      </ns0:c>
      <ns0:c r="R133" s="16">
        <ns0:f>P133-E133*'前提と出典'!$E$4</ns0:f>
        <ns0:v>205384.36700310104</ns0:v>
      </ns0:c>
      <ns0:c r="S133" s="16">
        <ns0:f>Q133-F133*'前提と出典'!$E$4</ns0:f>
        <ns0:v>59511.69458548955</ns0:v>
      </ns0:c>
      <ns0:c r="T133" s="7">
        <ns0:f>R133+S133</ns0:f>
        <ns0:v>264896.0615885906</ns0:v>
      </ns0:c>
      <ns0:c r="U133" s="16">
        <ns0:f>P133-E133*'前提と出典'!$E$5</ns0:f>
        <ns0:v>180423.5809312535</ns0:v>
      </ns0:c>
      <ns0:c r="V133" s="16">
        <ns0:f>Q133-F133*'前提と出典'!$E$5</ns0:f>
        <ns0:v>49715.49289730783</ns0:v>
      </ns0:c>
      <ns0:c r="W133" s="7">
        <ns0:f>U133+V133</ns0:f>
        <ns0:v>230139.07382856132</ns0:v>
      </ns0:c>
      <ns0:c r="X133" s="16">
        <ns0:f>P133-E133*'前提と出典'!$E$6</ns0:f>
        <ns0:v>155462.794859406</ns0:v>
      </ns0:c>
      <ns0:c r="Y133" s="16">
        <ns0:f>Q133-F133*'前提と出典'!$E$6</ns0:f>
        <ns0:v>39919.29120912616</ns0:v>
      </ns0:c>
      <ns0:c r="Z133" s="7">
        <ns0:f>X133+Y133</ns0:f>
        <ns0:v>195382.08606853217</ns0:v>
      </ns0:c>
      <ns0:c r="AA133" s="7">
        <ns0:f>IF(T133&gt;=0,A133,1001)</ns0:f>
        <ns0:v>129</ns0:v>
      </ns0:c>
      <ns0:c r="AB133" s="7">
        <ns0:f>IF(T133&lt;0,A133,0)</ns0:f>
        <ns0:v>0</ns0:v>
      </ns0:c>
      <ns0:c r="AC133" s="16">
        <ns0:f>IF(AND(OR('前提と出典'!$C$36+'前提と出典'!$C$38=0,R133&gt;=0),OR('前提と出典'!$C$37+'前提と出典'!$C$38=0,S133&gt;=0)),0,A133)</ns0:f>
        <ns0:v>0</ns0:v>
      </ns0:c>
      <ns0:c r="AD133" s="7">
        <ns0:f>IF(W133&gt;=0,A133,1001)</ns0:f>
        <ns0:v>129</ns0:v>
      </ns0:c>
      <ns0:c r="AE133" s="7">
        <ns0:f>IF(W133&lt;0,A133,0)</ns0:f>
        <ns0:v>0</ns0:v>
      </ns0:c>
      <ns0:c r="AF133" s="16">
        <ns0:f>IF(AND(OR('前提と出典'!$C$36+'前提と出典'!$C$38=0,U133&gt;=0),OR('前提と出典'!$C$37+'前提と出典'!$C$38=0,V133&gt;=0)),0,A133)</ns0:f>
        <ns0:v>0</ns0:v>
      </ns0:c>
      <ns0:c r="AG133" s="7">
        <ns0:f>IF(Z133&gt;=0,A133,1001)</ns0:f>
        <ns0:v>129</ns0:v>
      </ns0:c>
      <ns0:c r="AH133" s="4">
        <ns0:f>IF(Z133&lt;0,A133,0)</ns0:f>
        <ns0:v>0</ns0:v>
      </ns0:c>
      <ns0:c r="AI133" s="12">
        <ns0:f>IF(AND(OR('前提と出典'!$C$36+'前提と出典'!$C$38=0,X133&gt;=0),OR('前提と出典'!$C$37+'前提と出典'!$C$38=0,Y133&gt;=0)),0,A133)</ns0:f>
        <ns0:v>0</ns0:v>
      </ns0:c>
    </ns0:row>
    <ns0:row r="134" ht="24" customHeight="1">
      <ns0:c r="A134" s="4" t="n">
        <ns0:v>130</ns0:v>
      </ns0:c>
      <ns0:c r="B134" s="12">
        <ns0:f>A134*('前提と出典'!$C$36+'前提と出典'!$C$38)</ns0:f>
        <ns0:v>91</ns0:v>
      </ns0:c>
      <ns0:c r="C134" s="12">
        <ns0:f>A134*('前提と出典'!$C$37+'前提と出典'!$C$38)</ns0:f>
        <ns0:v>78</ns0:v>
      </ns0:c>
      <ns0:c r="D134" s="16">
        <ns0:f>A134*('前提と出典'!$C$36*'契約別単価'!C5+'前提と出典'!$C$37*'契約別単価'!C6+'前提と出典'!$C$38*'契約別単価'!C7)</ns0:f>
        <ns0:v>935.4189944134079</ns0:v>
      </ns0:c>
      <ns0:c r="E134" s="16">
        <ns0:f>A134*('前提と出典'!$C$36*'契約別単価'!E5+'前提と出典'!$C$37*'契約別単価'!E6+'前提と出典'!$C$38*'契約別単価'!E7)</ns0:f>
        <ns0:v>251542.80537520756</ns0:v>
      </ns0:c>
      <ns0:c r="F134" s="16">
        <ns0:f>A134*('前提と出典'!$C$36*'契約別単価'!F5+'前提と出典'!$C$37*'契約別単価'!F6+'前提と出典'!$C$38*'契約別単価'!F7)</ns0:f>
        <ns0:v>98721.41236152072</ns0:v>
      </ns0:c>
      <ns0:c r="G134" s="16">
        <ns0:f>A134*('前提と出典'!$C$36*'契約別単価'!G5+'前提と出典'!$C$37*'契約別単価'!G6+'前提と出典'!$C$38*'契約別単価'!G7)</ns0:f>
        <ns0:v>258765.36312849162</ns0:v>
      </ns0:c>
      <ns0:c r="H134" s="16">
        <ns0:f>A134*('前提と出典'!$C$36*'契約別単価'!H5+'前提と出典'!$C$37*'契約別単価'!H6+'前提と出典'!$C$38*'契約別単価'!H7)</ns0:f>
        <ns0:v>89804.5591083911</ns0:v>
      </ns0:c>
      <ns0:c r="I134" s="16">
        <ns0:f>A134*('前提と出典'!$C$36*'契約別単価'!I5+'前提と出典'!$C$37*'契約別単価'!I6+'前提と出典'!$C$38*'契約別単価'!I7)</ns0:f>
        <ns0:v>5485.418994413407</ns0:v>
      </ns0:c>
      <ns0:c r="J134" s="16">
        <ns0:f>A134*('前提と出典'!$C$36*'契約別単価'!J5+'前提と出典'!$C$37*'契約別単価'!J6+'前提と出典'!$C$38*'契約別単価'!J7)</ns0:f>
        <ns0:v>12777.640682339334</ns0:v>
      </ns0:c>
      <ns0:c r="K134" s="16">
        <ns0:f>A134*('前提と出典'!$C$36*'契約別単価'!K5+'前提と出典'!$C$37*'契約別単価'!K6+'前提と出典'!$C$38*'契約別単価'!K7)</ns0:f>
        <ns0:v>54769.459962756046</ns0:v>
      </ns0:c>
      <ns0:c r="L134" s="16">
        <ns0:f>A134*('前提と出典'!$C$36*'契約別単価'!L5+'前提と出典'!$C$37*'契約別単価'!L6+'前提と出典'!$C$38*'契約別単価'!L7)</ns0:f>
        <ns0:v>44593.48530361304</ns0:v>
      </ns0:c>
      <ns0:c r="M134" s="16">
        <ns0:f>IF(('前提と出典'!$C$36+'前提と出典'!$C$38)=0,0,IF(B134&lt;=10,'前提と出典'!B73+'前提と出典'!C73,IF(B134&lt;=100,'前提と出典'!B74+'前提と出典'!C74,IF(B134&lt;=500,'前提と出典'!B75+'前提と出典'!C75,'前提と出典'!B76+'前提と出典'!C76))))</ns0:f>
        <ns0:v>20000</ns0:v>
      </ns0:c>
      <ns0:c r="N134" s="16">
        <ns0:f>IF(('前提と出典'!$C$37+'前提と出典'!$C$38)=0,0,IF(C134&lt;=10,'前提と出典'!D73+'前提と出典'!E73,IF(C134&lt;=100,'前提と出典'!D74+'前提と出典'!E74,IF(C134&lt;=500,'前提と出典'!D75+'前提と出典'!E75,'前提と出典'!D76+'前提と出典'!E76))))</ns0:f>
        <ns0:v>34510.9346263078</ns0:v>
      </ns0:c>
      <ns0:c r="O134" s="16">
        <ns0:f>IF('前提と出典'!$C$36+'前提と出典'!$C$38=0,0,'前提と出典'!$B$4*IF('前提と出典'!$B$20=0,MAX('前提と出典'!$B$6,D134*'前提と出典'!$B$5),'前提と出典'!$B$6+D134*'前提と出典'!$B$5))</ns0:f>
        <ns0:v>129087.82122905029</ns0:v>
      </ns0:c>
      <ns0:c r="P134" s="16">
        <ns0:f>(E134+G134)*(1-'前提と出典'!$B$7)-I134-K134-M134-O134</ns0:f>
        <ns0:v>282594.37425134634</ns0:v>
      </ns0:c>
      <ns0:c r="Q134" s="16">
        <ns0:f>(F134+H134)*(1-'前提と出典'!$B$7)-J134-L134-N134</ns0:f>
        <ns0:v>89856.97588473483</ns0:v>
      </ns0:c>
      <ns0:c r="R134" s="16">
        <ns0:f>P134-E134*'前提と出典'!$E$4</ns0:f>
        <ns0:v>207131.5326387841</ns0:v>
      </ns0:c>
      <ns0:c r="S134" s="16">
        <ns0:f>Q134-F134*'前提と出典'!$E$4</ns0:f>
        <ns0:v>60240.55217627859</ns0:v>
      </ns0:c>
      <ns0:c r="T134" s="7">
        <ns0:f>R134+S134</ns0:f>
        <ns0:v>267372.0848150627</ns0:v>
      </ns0:c>
      <ns0:c r="U134" s="16">
        <ns0:f>P134-E134*'前提と出典'!$E$5</ns0:f>
        <ns0:v>181977.25210126332</ns0:v>
      </ns0:c>
      <ns0:c r="V134" s="16">
        <ns0:f>Q134-F134*'前提と出典'!$E$5</ns0:f>
        <ns0:v>50368.41094012654</ns0:v>
      </ns0:c>
      <ns0:c r="W134" s="7">
        <ns0:f>U134+V134</ns0:f>
        <ns0:v>232345.66304138987</ns0:v>
      </ns0:c>
      <ns0:c r="X134" s="16">
        <ns0:f>P134-E134*'前提と出典'!$E$6</ns0:f>
        <ns0:v>156822.97156374255</ns0:v>
      </ns0:c>
      <ns0:c r="Y134" s="16">
        <ns0:f>Q134-F134*'前提と出典'!$E$6</ns0:f>
        <ns0:v>40496.269703974474</ns0:v>
      </ns0:c>
      <ns0:c r="Z134" s="7">
        <ns0:f>X134+Y134</ns0:f>
        <ns0:v>197319.24126771704</ns0:v>
      </ns0:c>
      <ns0:c r="AA134" s="7">
        <ns0:f>IF(T134&gt;=0,A134,1001)</ns0:f>
        <ns0:v>130</ns0:v>
      </ns0:c>
      <ns0:c r="AB134" s="7">
        <ns0:f>IF(T134&lt;0,A134,0)</ns0:f>
        <ns0:v>0</ns0:v>
      </ns0:c>
      <ns0:c r="AC134" s="16">
        <ns0:f>IF(AND(OR('前提と出典'!$C$36+'前提と出典'!$C$38=0,R134&gt;=0),OR('前提と出典'!$C$37+'前提と出典'!$C$38=0,S134&gt;=0)),0,A134)</ns0:f>
        <ns0:v>0</ns0:v>
      </ns0:c>
      <ns0:c r="AD134" s="7">
        <ns0:f>IF(W134&gt;=0,A134,1001)</ns0:f>
        <ns0:v>130</ns0:v>
      </ns0:c>
      <ns0:c r="AE134" s="7">
        <ns0:f>IF(W134&lt;0,A134,0)</ns0:f>
        <ns0:v>0</ns0:v>
      </ns0:c>
      <ns0:c r="AF134" s="16">
        <ns0:f>IF(AND(OR('前提と出典'!$C$36+'前提と出典'!$C$38=0,U134&gt;=0),OR('前提と出典'!$C$37+'前提と出典'!$C$38=0,V134&gt;=0)),0,A134)</ns0:f>
        <ns0:v>0</ns0:v>
      </ns0:c>
      <ns0:c r="AG134" s="7">
        <ns0:f>IF(Z134&gt;=0,A134,1001)</ns0:f>
        <ns0:v>130</ns0:v>
      </ns0:c>
      <ns0:c r="AH134" s="4">
        <ns0:f>IF(Z134&lt;0,A134,0)</ns0:f>
        <ns0:v>0</ns0:v>
      </ns0:c>
      <ns0:c r="AI134" s="12">
        <ns0:f>IF(AND(OR('前提と出典'!$C$36+'前提と出典'!$C$38=0,X134&gt;=0),OR('前提と出典'!$C$37+'前提と出典'!$C$38=0,Y134&gt;=0)),0,A134)</ns0:f>
        <ns0:v>0</ns0:v>
      </ns0:c>
    </ns0:row>
    <ns0:row r="135" ht="24" customHeight="1">
      <ns0:c r="A135" s="4" t="n">
        <ns0:v>131</ns0:v>
      </ns0:c>
      <ns0:c r="B135" s="12">
        <ns0:f>A135*('前提と出典'!$C$36+'前提と出典'!$C$38)</ns0:f>
        <ns0:v>91.69999999999999</ns0:v>
      </ns0:c>
      <ns0:c r="C135" s="12">
        <ns0:f>A135*('前提と出典'!$C$37+'前提と出典'!$C$38)</ns0:f>
        <ns0:v>78.6</ns0:v>
      </ns0:c>
      <ns0:c r="D135" s="16">
        <ns0:f>A135*('前提と出典'!$C$36*'契約別単価'!C5+'前提と出典'!$C$37*'契約別単価'!C6+'前提と出典'!$C$38*'契約別単価'!C7)</ns0:f>
        <ns0:v>942.6145251396648</ns0:v>
      </ns0:c>
      <ns0:c r="E135" s="16">
        <ns0:f>A135*('前提と出典'!$C$36*'契約別単価'!E5+'前提と出典'!$C$37*'契約別単価'!E6+'前提と出典'!$C$38*'契約別単価'!E7)</ns0:f>
        <ns0:v>253477.75003193994</ns0:v>
      </ns0:c>
      <ns0:c r="F135" s="16">
        <ns0:f>A135*('前提と出典'!$C$36*'契約別単価'!F5+'前提と出典'!$C$37*'契約別単価'!F6+'前提と出典'!$C$38*'契約別単価'!F7)</ns0:f>
        <ns0:v>99480.80784122473</ns0:v>
      </ns0:c>
      <ns0:c r="G135" s="16">
        <ns0:f>A135*('前提と出典'!$C$36*'契約別単価'!G5+'前提と出典'!$C$37*'契約別単価'!G6+'前提と出典'!$C$38*'契約別単価'!G7)</ns0:f>
        <ns0:v>260755.86592178768</ns0:v>
      </ns0:c>
      <ns0:c r="H135" s="16">
        <ns0:f>A135*('前提と出典'!$C$36*'契約別単価'!H5+'前提と出典'!$C$37*'契約別単価'!H6+'前提と出典'!$C$38*'契約別単価'!H7)</ns0:f>
        <ns0:v>90495.36340922488</ns0:v>
      </ns0:c>
      <ns0:c r="I135" s="16">
        <ns0:f>A135*('前提と出典'!$C$36*'契約別単価'!I5+'前提と出典'!$C$37*'契約別単価'!I6+'前提と出典'!$C$38*'契約別単価'!I7)</ns0:f>
        <ns0:v>5527.614525139664</ns0:v>
      </ns0:c>
      <ns0:c r="J135" s="16">
        <ns0:f>A135*('前提と出典'!$C$36*'契約別単価'!J5+'前提と出典'!$C$37*'契約別単価'!J6+'前提と出典'!$C$38*'契約別単価'!J7)</ns0:f>
        <ns0:v>12875.930226049637</ns0:v>
      </ns0:c>
      <ns0:c r="K135" s="16">
        <ns0:f>A135*('前提と出典'!$C$36*'契約別単価'!K5+'前提と出典'!$C$37*'契約別単価'!K6+'前提と出典'!$C$38*'契約別単価'!K7)</ns0:f>
        <ns0:v>55190.7635009311</ns0:v>
      </ns0:c>
      <ns0:c r="L135" s="16">
        <ns0:f>A135*('前提と出典'!$C$36*'契約別単価'!L5+'前提と出典'!$C$37*'契約別単価'!L6+'前提と出典'!$C$38*'契約別単価'!L7)</ns0:f>
        <ns0:v>44936.51211364083</ns0:v>
      </ns0:c>
      <ns0:c r="M135" s="16">
        <ns0:f>IF(('前提と出典'!$C$36+'前提と出典'!$C$38)=0,0,IF(B135&lt;=10,'前提と出典'!B73+'前提と出典'!C73,IF(B135&lt;=100,'前提と出典'!B74+'前提と出典'!C74,IF(B135&lt;=500,'前提と出典'!B75+'前提と出典'!C75,'前提と出典'!B76+'前提と出典'!C76))))</ns0:f>
        <ns0:v>20000</ns0:v>
      </ns0:c>
      <ns0:c r="N135" s="16">
        <ns0:f>IF(('前提と出典'!$C$37+'前提と出典'!$C$38)=0,0,IF(C135&lt;=10,'前提と出典'!D73+'前提と出典'!E73,IF(C135&lt;=100,'前提と出典'!D74+'前提と出典'!E74,IF(C135&lt;=500,'前提と出典'!D75+'前提と出典'!E75,'前提と出典'!D76+'前提と出典'!E76))))</ns0:f>
        <ns0:v>34510.9346263078</ns0:v>
      </ns0:c>
      <ns0:c r="O135" s="16">
        <ns0:f>IF('前提と出典'!$C$36+'前提と出典'!$C$38=0,0,'前提と出典'!$B$4*IF('前提と出典'!$B$20=0,MAX('前提と出典'!$B$6,D135*'前提と出典'!$B$5),'前提と出典'!$B$6+D135*'前提と出典'!$B$5))</ns0:f>
        <ns0:v>130080.80446927375</ns0:v>
      </ns0:c>
      <ns0:c r="P135" s="16">
        <ns0:f>(E135+G135)*(1-'前提と出典'!$B$7)-I135-K135-M135-O135</ns0:f>
        <ns0:v>284922.0232840489</ns0:v>
      </ns0:c>
      <ns0:c r="Q135" s="16">
        <ns0:f>(F135+H135)*(1-'前提と出典'!$B$7)-J135-L135-N135</ns0:f>
        <ns0:v>90813.65211943517</ns0:v>
      </ns0:c>
      <ns0:c r="R135" s="16">
        <ns0:f>P135-E135*'前提と出典'!$E$4</ns0:f>
        <ns0:v>208878.69827446694</ns0:v>
      </ns0:c>
      <ns0:c r="S135" s="16">
        <ns0:f>Q135-F135*'前提と出典'!$E$4</ns0:f>
        <ns0:v>60969.40976706775</ns0:v>
      </ns0:c>
      <ns0:c r="T135" s="7">
        <ns0:f>R135+S135</ns0:f>
        <ns0:v>269848.10804153467</ns0:v>
      </ns0:c>
      <ns0:c r="U135" s="16">
        <ns0:f>P135-E135*'前提と出典'!$E$5</ns0:f>
        <ns0:v>183530.92327127294</ns0:v>
      </ns0:c>
      <ns0:c r="V135" s="16">
        <ns0:f>Q135-F135*'前提と出典'!$E$5</ns0:f>
        <ns0:v>51021.32898294528</ns0:v>
      </ns0:c>
      <ns0:c r="W135" s="7">
        <ns0:f>U135+V135</ns0:f>
        <ns0:v>234552.2522542182</ns0:v>
      </ns0:c>
      <ns0:c r="X135" s="16">
        <ns0:f>P135-E135*'前提と出典'!$E$6</ns0:f>
        <ns0:v>158183.14826807895</ns0:v>
      </ns0:c>
      <ns0:c r="Y135" s="16">
        <ns0:f>Q135-F135*'前提と出典'!$E$6</ns0:f>
        <ns0:v>41073.24819882282</ns0:v>
      </ns0:c>
      <ns0:c r="Z135" s="7">
        <ns0:f>X135+Y135</ns0:f>
        <ns0:v>199256.39646690176</ns0:v>
      </ns0:c>
      <ns0:c r="AA135" s="7">
        <ns0:f>IF(T135&gt;=0,A135,1001)</ns0:f>
        <ns0:v>131</ns0:v>
      </ns0:c>
      <ns0:c r="AB135" s="7">
        <ns0:f>IF(T135&lt;0,A135,0)</ns0:f>
        <ns0:v>0</ns0:v>
      </ns0:c>
      <ns0:c r="AC135" s="16">
        <ns0:f>IF(AND(OR('前提と出典'!$C$36+'前提と出典'!$C$38=0,R135&gt;=0),OR('前提と出典'!$C$37+'前提と出典'!$C$38=0,S135&gt;=0)),0,A135)</ns0:f>
        <ns0:v>0</ns0:v>
      </ns0:c>
      <ns0:c r="AD135" s="7">
        <ns0:f>IF(W135&gt;=0,A135,1001)</ns0:f>
        <ns0:v>131</ns0:v>
      </ns0:c>
      <ns0:c r="AE135" s="7">
        <ns0:f>IF(W135&lt;0,A135,0)</ns0:f>
        <ns0:v>0</ns0:v>
      </ns0:c>
      <ns0:c r="AF135" s="16">
        <ns0:f>IF(AND(OR('前提と出典'!$C$36+'前提と出典'!$C$38=0,U135&gt;=0),OR('前提と出典'!$C$37+'前提と出典'!$C$38=0,V135&gt;=0)),0,A135)</ns0:f>
        <ns0:v>0</ns0:v>
      </ns0:c>
      <ns0:c r="AG135" s="7">
        <ns0:f>IF(Z135&gt;=0,A135,1001)</ns0:f>
        <ns0:v>131</ns0:v>
      </ns0:c>
      <ns0:c r="AH135" s="4">
        <ns0:f>IF(Z135&lt;0,A135,0)</ns0:f>
        <ns0:v>0</ns0:v>
      </ns0:c>
      <ns0:c r="AI135" s="12">
        <ns0:f>IF(AND(OR('前提と出典'!$C$36+'前提と出典'!$C$38=0,X135&gt;=0),OR('前提と出典'!$C$37+'前提と出典'!$C$38=0,Y135&gt;=0)),0,A135)</ns0:f>
        <ns0:v>0</ns0:v>
      </ns0:c>
    </ns0:row>
    <ns0:row r="136" ht="24" customHeight="1">
      <ns0:c r="A136" s="4" t="n">
        <ns0:v>132</ns0:v>
      </ns0:c>
      <ns0:c r="B136" s="12">
        <ns0:f>A136*('前提と出典'!$C$36+'前提と出典'!$C$38)</ns0:f>
        <ns0:v>92.39999999999999</ns0:v>
      </ns0:c>
      <ns0:c r="C136" s="12">
        <ns0:f>A136*('前提と出典'!$C$37+'前提と出典'!$C$38)</ns0:f>
        <ns0:v>79.2</ns0:v>
      </ns0:c>
      <ns0:c r="D136" s="16">
        <ns0:f>A136*('前提と出典'!$C$36*'契約別単価'!C5+'前提と出典'!$C$37*'契約別単価'!C6+'前提と出典'!$C$38*'契約別単価'!C7)</ns0:f>
        <ns0:v>949.8100558659218</ns0:v>
      </ns0:c>
      <ns0:c r="E136" s="16">
        <ns0:f>A136*('前提と出典'!$C$36*'契約別単価'!E5+'前提と出典'!$C$37*'契約別単価'!E6+'前提と出典'!$C$38*'契約別単価'!E7)</ns0:f>
        <ns0:v>255412.69468867232</ns0:v>
      </ns0:c>
      <ns0:c r="F136" s="16">
        <ns0:f>A136*('前提と出典'!$C$36*'契約別単価'!F5+'前提と出典'!$C$37*'契約別単価'!F6+'前提と出典'!$C$38*'契約別単価'!F7)</ns0:f>
        <ns0:v>100240.20332092873</ns0:v>
      </ns0:c>
      <ns0:c r="G136" s="16">
        <ns0:f>A136*('前提と出典'!$C$36*'契約別単価'!G5+'前提と出典'!$C$37*'契約別単価'!G6+'前提と出典'!$C$38*'契約別単価'!G7)</ns0:f>
        <ns0:v>262746.3687150838</ns0:v>
      </ns0:c>
      <ns0:c r="H136" s="16">
        <ns0:f>A136*('前提と出典'!$C$36*'契約別単価'!H5+'前提と出典'!$C$37*'契約別単価'!H6+'前提と出典'!$C$38*'契約別単価'!H7)</ns0:f>
        <ns0:v>91186.16771005865</ns0:v>
      </ns0:c>
      <ns0:c r="I136" s="16">
        <ns0:f>A136*('前提と出典'!$C$36*'契約別単価'!I5+'前提と出典'!$C$37*'契約別単価'!I6+'前提と出典'!$C$38*'契約別単価'!I7)</ns0:f>
        <ns0:v>5569.810055865921</ns0:v>
      </ns0:c>
      <ns0:c r="J136" s="16">
        <ns0:f>A136*('前提と出典'!$C$36*'契約別単価'!J5+'前提と出典'!$C$37*'契約別単価'!J6+'前提と出典'!$C$38*'契約別単価'!J7)</ns0:f>
        <ns0:v>12974.219769759939</ns0:v>
      </ns0:c>
      <ns0:c r="K136" s="16">
        <ns0:f>A136*('前提と出典'!$C$36*'契約別単価'!K5+'前提と出典'!$C$37*'契約別単価'!K6+'前提と出典'!$C$38*'契約別単価'!K7)</ns0:f>
        <ns0:v>55612.06703910614</ns0:v>
      </ns0:c>
      <ns0:c r="L136" s="16">
        <ns0:f>A136*('前提と出典'!$C$36*'契約別単価'!L5+'前提と出典'!$C$37*'契約別単価'!L6+'前提と出典'!$C$38*'契約別単価'!L7)</ns0:f>
        <ns0:v>45279.53892366862</ns0:v>
      </ns0:c>
      <ns0:c r="M136" s="16">
        <ns0:f>IF(('前提と出典'!$C$36+'前提と出典'!$C$38)=0,0,IF(B136&lt;=10,'前提と出典'!B73+'前提と出典'!C73,IF(B136&lt;=100,'前提と出典'!B74+'前提と出典'!C74,IF(B136&lt;=500,'前提と出典'!B75+'前提と出典'!C75,'前提と出典'!B76+'前提と出典'!C76))))</ns0:f>
        <ns0:v>20000</ns0:v>
      </ns0:c>
      <ns0:c r="N136" s="16">
        <ns0:f>IF(('前提と出典'!$C$37+'前提と出典'!$C$38)=0,0,IF(C136&lt;=10,'前提と出典'!D73+'前提と出典'!E73,IF(C136&lt;=100,'前提と出典'!D74+'前提と出典'!E74,IF(C136&lt;=500,'前提と出典'!D75+'前提と出典'!E75,'前提と出典'!D76+'前提と出典'!E76))))</ns0:f>
        <ns0:v>34510.9346263078</ns0:v>
      </ns0:c>
      <ns0:c r="O136" s="16">
        <ns0:f>IF('前提と出典'!$C$36+'前提と出典'!$C$38=0,0,'前提と出典'!$B$4*IF('前提と出典'!$B$20=0,MAX('前提と出典'!$B$6,D136*'前提と出典'!$B$5),'前提と出典'!$B$6+D136*'前提と出典'!$B$5))</ns0:f>
        <ns0:v>131073.7877094972</ns0:v>
      </ns0:c>
      <ns0:c r="P136" s="16">
        <ns0:f>(E136+G136)*(1-'前提と出典'!$B$7)-I136-K136-M136-O136</ns0:f>
        <ns0:v>287249.6723167516</ns0:v>
      </ns0:c>
      <ns0:c r="Q136" s="16">
        <ns0:f>(F136+H136)*(1-'前提と出典'!$B$7)-J136-L136-N136</ns0:f>
        <ns0:v>91770.32835413548</ns0:v>
      </ns0:c>
      <ns0:c r="R136" s="16">
        <ns0:f>P136-E136*'前提と出典'!$E$4</ns0:f>
        <ns0:v>210625.86391014996</ns0:v>
      </ns0:c>
      <ns0:c r="S136" s="16">
        <ns0:f>Q136-F136*'前提と出典'!$E$4</ns0:f>
        <ns0:v>61698.26735785686</ns0:v>
      </ns0:c>
      <ns0:c r="T136" s="7">
        <ns0:f>R136+S136</ns0:f>
        <ns0:v>272324.1312680068</ns0:v>
      </ns0:c>
      <ns0:c r="U136" s="16">
        <ns0:f>P136-E136*'前提と出典'!$E$5</ns0:f>
        <ns0:v>185084.59444128268</ns0:v>
      </ns0:c>
      <ns0:c r="V136" s="16">
        <ns0:f>Q136-F136*'前提と出典'!$E$5</ns0:f>
        <ns0:v>51674.24702576397</ns0:v>
      </ns0:c>
      <ns0:c r="W136" s="7">
        <ns0:f>U136+V136</ns0:f>
        <ns0:v>236758.84146704664</ns0:v>
      </ns0:c>
      <ns0:c r="X136" s="16">
        <ns0:f>P136-E136*'前提と出典'!$E$6</ns0:f>
        <ns0:v>159543.32497241546</ns0:v>
      </ns0:c>
      <ns0:c r="Y136" s="16">
        <ns0:f>Q136-F136*'前提と出典'!$E$6</ns0:f>
        <ns0:v>41650.22669367113</ns0:v>
      </ns0:c>
      <ns0:c r="Z136" s="7">
        <ns0:f>X136+Y136</ns0:f>
        <ns0:v>201193.5516660866</ns0:v>
      </ns0:c>
      <ns0:c r="AA136" s="7">
        <ns0:f>IF(T136&gt;=0,A136,1001)</ns0:f>
        <ns0:v>132</ns0:v>
      </ns0:c>
      <ns0:c r="AB136" s="7">
        <ns0:f>IF(T136&lt;0,A136,0)</ns0:f>
        <ns0:v>0</ns0:v>
      </ns0:c>
      <ns0:c r="AC136" s="16">
        <ns0:f>IF(AND(OR('前提と出典'!$C$36+'前提と出典'!$C$38=0,R136&gt;=0),OR('前提と出典'!$C$37+'前提と出典'!$C$38=0,S136&gt;=0)),0,A136)</ns0:f>
        <ns0:v>0</ns0:v>
      </ns0:c>
      <ns0:c r="AD136" s="7">
        <ns0:f>IF(W136&gt;=0,A136,1001)</ns0:f>
        <ns0:v>132</ns0:v>
      </ns0:c>
      <ns0:c r="AE136" s="7">
        <ns0:f>IF(W136&lt;0,A136,0)</ns0:f>
        <ns0:v>0</ns0:v>
      </ns0:c>
      <ns0:c r="AF136" s="16">
        <ns0:f>IF(AND(OR('前提と出典'!$C$36+'前提と出典'!$C$38=0,U136&gt;=0),OR('前提と出典'!$C$37+'前提と出典'!$C$38=0,V136&gt;=0)),0,A136)</ns0:f>
        <ns0:v>0</ns0:v>
      </ns0:c>
      <ns0:c r="AG136" s="7">
        <ns0:f>IF(Z136&gt;=0,A136,1001)</ns0:f>
        <ns0:v>132</ns0:v>
      </ns0:c>
      <ns0:c r="AH136" s="4">
        <ns0:f>IF(Z136&lt;0,A136,0)</ns0:f>
        <ns0:v>0</ns0:v>
      </ns0:c>
      <ns0:c r="AI136" s="12">
        <ns0:f>IF(AND(OR('前提と出典'!$C$36+'前提と出典'!$C$38=0,X136&gt;=0),OR('前提と出典'!$C$37+'前提と出典'!$C$38=0,Y136&gt;=0)),0,A136)</ns0:f>
        <ns0:v>0</ns0:v>
      </ns0:c>
    </ns0:row>
    <ns0:row r="137" ht="24" customHeight="1">
      <ns0:c r="A137" s="4" t="n">
        <ns0:v>133</ns0:v>
      </ns0:c>
      <ns0:c r="B137" s="12">
        <ns0:f>A137*('前提と出典'!$C$36+'前提と出典'!$C$38)</ns0:f>
        <ns0:v>93.1</ns0:v>
      </ns0:c>
      <ns0:c r="C137" s="12">
        <ns0:f>A137*('前提と出典'!$C$37+'前提と出典'!$C$38)</ns0:f>
        <ns0:v>79.8</ns0:v>
      </ns0:c>
      <ns0:c r="D137" s="16">
        <ns0:f>A137*('前提と出典'!$C$36*'契約別単価'!C5+'前提と出典'!$C$37*'契約別単価'!C6+'前提と出典'!$C$38*'契約別単価'!C7)</ns0:f>
        <ns0:v>957.0055865921788</ns0:v>
      </ns0:c>
      <ns0:c r="E137" s="16">
        <ns0:f>A137*('前提と出典'!$C$36*'契約別単価'!E5+'前提と出典'!$C$37*'契約別単価'!E6+'前提と出典'!$C$38*'契約別単価'!E7)</ns0:f>
        <ns0:v>257347.63934540466</ns0:v>
      </ns0:c>
      <ns0:c r="F137" s="16">
        <ns0:f>A137*('前提と出典'!$C$36*'契約別単価'!F5+'前提と出典'!$C$37*'契約別単価'!F6+'前提と出典'!$C$38*'契約別単価'!F7)</ns0:f>
        <ns0:v>100999.59880063274</ns0:v>
      </ns0:c>
      <ns0:c r="G137" s="16">
        <ns0:f>A137*('前提と出典'!$C$36*'契約別単価'!G5+'前提と出典'!$C$37*'契約別単価'!G6+'前提と出典'!$C$38*'契約別単価'!G7)</ns0:f>
        <ns0:v>264736.8715083799</ns0:v>
      </ns0:c>
      <ns0:c r="H137" s="16">
        <ns0:f>A137*('前提と出典'!$C$36*'契約別単価'!H5+'前提と出典'!$C$37*'契約別単価'!H6+'前提と出典'!$C$38*'契約別単価'!H7)</ns0:f>
        <ns0:v>91876.97201089244</ns0:v>
      </ns0:c>
      <ns0:c r="I137" s="16">
        <ns0:f>A137*('前提と出典'!$C$36*'契約別単価'!I5+'前提と出典'!$C$37*'契約別単価'!I6+'前提と出典'!$C$38*'契約別単価'!I7)</ns0:f>
        <ns0:v>5612.005586592178</ns0:v>
      </ns0:c>
      <ns0:c r="J137" s="16">
        <ns0:f>A137*('前提と出典'!$C$36*'契約別単価'!J5+'前提と出典'!$C$37*'契約別単価'!J6+'前提と出典'!$C$38*'契約別単価'!J7)</ns0:f>
        <ns0:v>13072.509313470242</ns0:v>
      </ns0:c>
      <ns0:c r="K137" s="16">
        <ns0:f>A137*('前提と出典'!$C$36*'契約別単価'!K5+'前提と出典'!$C$37*'契約別単価'!K6+'前提と出典'!$C$38*'契約別単価'!K7)</ns0:f>
        <ns0:v>56033.37057728119</ns0:v>
      </ns0:c>
      <ns0:c r="L137" s="16">
        <ns0:f>A137*('前提と出典'!$C$36*'契約別単価'!L5+'前提と出典'!$C$37*'契約別単価'!L6+'前提と出典'!$C$38*'契約別単価'!L7)</ns0:f>
        <ns0:v>45622.565733696414</ns0:v>
      </ns0:c>
      <ns0:c r="M137" s="16">
        <ns0:f>IF(('前提と出典'!$C$36+'前提と出典'!$C$38)=0,0,IF(B137&lt;=10,'前提と出典'!B73+'前提と出典'!C73,IF(B137&lt;=100,'前提と出典'!B74+'前提と出典'!C74,IF(B137&lt;=500,'前提と出典'!B75+'前提と出典'!C75,'前提と出典'!B76+'前提と出典'!C76))))</ns0:f>
        <ns0:v>20000</ns0:v>
      </ns0:c>
      <ns0:c r="N137" s="16">
        <ns0:f>IF(('前提と出典'!$C$37+'前提と出典'!$C$38)=0,0,IF(C137&lt;=10,'前提と出典'!D73+'前提と出典'!E73,IF(C137&lt;=100,'前提と出典'!D74+'前提と出典'!E74,IF(C137&lt;=500,'前提と出典'!D75+'前提と出典'!E75,'前提と出典'!D76+'前提と出典'!E76))))</ns0:f>
        <ns0:v>34510.9346263078</ns0:v>
      </ns0:c>
      <ns0:c r="O137" s="16">
        <ns0:f>IF('前提と出典'!$C$36+'前提と出典'!$C$38=0,0,'前提と出典'!$B$4*IF('前提と出典'!$B$20=0,MAX('前提と出典'!$B$6,D137*'前提と出典'!$B$5),'前提と出典'!$B$6+D137*'前提と出典'!$B$5))</ns0:f>
        <ns0:v>132066.77094972067</ns0:v>
      </ns0:c>
      <ns0:c r="P137" s="16">
        <ns0:f>(E137+G137)*(1-'前提と出典'!$B$7)-I137-K137-M137-O137</ns0:f>
        <ns0:v>289577.3213494542</ns0:v>
      </ns0:c>
      <ns0:c r="Q137" s="16">
        <ns0:f>(F137+H137)*(1-'前提と出典'!$B$7)-J137-L137-N137</ns0:f>
        <ns0:v>92727.00458883579</ns0:v>
      </ns0:c>
      <ns0:c r="R137" s="16">
        <ns0:f>P137-E137*'前提と出典'!$E$4</ns0:f>
        <ns0:v>212373.02954583286</ns0:v>
      </ns0:c>
      <ns0:c r="S137" s="16">
        <ns0:f>Q137-F137*'前提と出典'!$E$4</ns0:f>
        <ns0:v>62427.12494864598</ns0:v>
      </ns0:c>
      <ns0:c r="T137" s="7">
        <ns0:f>R137+S137</ns0:f>
        <ns0:v>274800.15449447883</ns0:v>
      </ns0:c>
      <ns0:c r="U137" s="16">
        <ns0:f>P137-E137*'前提と出典'!$E$5</ns0:f>
        <ns0:v>186638.26561129236</ns0:v>
      </ns0:c>
      <ns0:c r="V137" s="16">
        <ns0:f>Q137-F137*'前提と出典'!$E$5</ns0:f>
        <ns0:v>52327.1650685827</ns0:v>
      </ns0:c>
      <ns0:c r="W137" s="7">
        <ns0:f>U137+V137</ns0:f>
        <ns0:v>238965.43067987505</ns0:v>
      </ns0:c>
      <ns0:c r="X137" s="16">
        <ns0:f>P137-E137*'前提と出典'!$E$6</ns0:f>
        <ns0:v>160903.5016767519</ns0:v>
      </ns0:c>
      <ns0:c r="Y137" s="16">
        <ns0:f>Q137-F137*'前提と出典'!$E$6</ns0:f>
        <ns0:v>42227.205188519416</ns0:v>
      </ns0:c>
      <ns0:c r="Z137" s="7">
        <ns0:f>X137+Y137</ns0:f>
        <ns0:v>203130.70686527132</ns0:v>
      </ns0:c>
      <ns0:c r="AA137" s="7">
        <ns0:f>IF(T137&gt;=0,A137,1001)</ns0:f>
        <ns0:v>133</ns0:v>
      </ns0:c>
      <ns0:c r="AB137" s="7">
        <ns0:f>IF(T137&lt;0,A137,0)</ns0:f>
        <ns0:v>0</ns0:v>
      </ns0:c>
      <ns0:c r="AC137" s="16">
        <ns0:f>IF(AND(OR('前提と出典'!$C$36+'前提と出典'!$C$38=0,R137&gt;=0),OR('前提と出典'!$C$37+'前提と出典'!$C$38=0,S137&gt;=0)),0,A137)</ns0:f>
        <ns0:v>0</ns0:v>
      </ns0:c>
      <ns0:c r="AD137" s="7">
        <ns0:f>IF(W137&gt;=0,A137,1001)</ns0:f>
        <ns0:v>133</ns0:v>
      </ns0:c>
      <ns0:c r="AE137" s="7">
        <ns0:f>IF(W137&lt;0,A137,0)</ns0:f>
        <ns0:v>0</ns0:v>
      </ns0:c>
      <ns0:c r="AF137" s="16">
        <ns0:f>IF(AND(OR('前提と出典'!$C$36+'前提と出典'!$C$38=0,U137&gt;=0),OR('前提と出典'!$C$37+'前提と出典'!$C$38=0,V137&gt;=0)),0,A137)</ns0:f>
        <ns0:v>0</ns0:v>
      </ns0:c>
      <ns0:c r="AG137" s="7">
        <ns0:f>IF(Z137&gt;=0,A137,1001)</ns0:f>
        <ns0:v>133</ns0:v>
      </ns0:c>
      <ns0:c r="AH137" s="4">
        <ns0:f>IF(Z137&lt;0,A137,0)</ns0:f>
        <ns0:v>0</ns0:v>
      </ns0:c>
      <ns0:c r="AI137" s="12">
        <ns0:f>IF(AND(OR('前提と出典'!$C$36+'前提と出典'!$C$38=0,X137&gt;=0),OR('前提と出典'!$C$37+'前提と出典'!$C$38=0,Y137&gt;=0)),0,A137)</ns0:f>
        <ns0:v>0</ns0:v>
      </ns0:c>
    </ns0:row>
    <ns0:row r="138" ht="24" customHeight="1">
      <ns0:c r="A138" s="4" t="n">
        <ns0:v>134</ns0:v>
      </ns0:c>
      <ns0:c r="B138" s="12">
        <ns0:f>A138*('前提と出典'!$C$36+'前提と出典'!$C$38)</ns0:f>
        <ns0:v>93.8</ns0:v>
      </ns0:c>
      <ns0:c r="C138" s="12">
        <ns0:f>A138*('前提と出典'!$C$37+'前提と出典'!$C$38)</ns0:f>
        <ns0:v>80.39999999999999</ns0:v>
      </ns0:c>
      <ns0:c r="D138" s="16">
        <ns0:f>A138*('前提と出典'!$C$36*'契約別単価'!C5+'前提と出典'!$C$37*'契約別単価'!C6+'前提と出典'!$C$38*'契約別単価'!C7)</ns0:f>
        <ns0:v>964.2011173184358</ns0:v>
      </ns0:c>
      <ns0:c r="E138" s="16">
        <ns0:f>A138*('前提と出典'!$C$36*'契約別単価'!E5+'前提と出典'!$C$37*'契約別単価'!E6+'前提と出典'!$C$38*'契約別単価'!E7)</ns0:f>
        <ns0:v>259282.58400213704</ns0:v>
      </ns0:c>
      <ns0:c r="F138" s="16">
        <ns0:f>A138*('前提と出典'!$C$36*'契約別単価'!F5+'前提と出典'!$C$37*'契約別単価'!F6+'前提と出典'!$C$38*'契約別単価'!F7)</ns0:f>
        <ns0:v>101758.99428033674</ns0:v>
      </ns0:c>
      <ns0:c r="G138" s="16">
        <ns0:f>A138*('前提と出典'!$C$36*'契約別単価'!G5+'前提と出典'!$C$37*'契約別単価'!G6+'前提と出典'!$C$38*'契約別単価'!G7)</ns0:f>
        <ns0:v>266727.37430167594</ns0:v>
      </ns0:c>
      <ns0:c r="H138" s="16">
        <ns0:f>A138*('前提と出典'!$C$36*'契約別単価'!H5+'前提と出典'!$C$37*'契約別単価'!H6+'前提と出典'!$C$38*'契約別単価'!H7)</ns0:f>
        <ns0:v>92567.77631172621</ns0:v>
      </ns0:c>
      <ns0:c r="I138" s="16">
        <ns0:f>A138*('前提と出典'!$C$36*'契約別単価'!I5+'前提と出典'!$C$37*'契約別単価'!I6+'前提と出典'!$C$38*'契約別単価'!I7)</ns0:f>
        <ns0:v>5654.201117318435</ns0:v>
      </ns0:c>
      <ns0:c r="J138" s="16">
        <ns0:f>A138*('前提と出典'!$C$36*'契約別単価'!J5+'前提と出典'!$C$37*'契約別単価'!J6+'前提と出典'!$C$38*'契約別単価'!J7)</ns0:f>
        <ns0:v>13170.798857180544</ns0:v>
      </ns0:c>
      <ns0:c r="K138" s="16">
        <ns0:f>A138*('前提と出典'!$C$36*'契約別単価'!K5+'前提と出典'!$C$37*'契約別単価'!K6+'前提と出典'!$C$38*'契約別単価'!K7)</ns0:f>
        <ns0:v>56454.67411545623</ns0:v>
      </ns0:c>
      <ns0:c r="L138" s="16">
        <ns0:f>A138*('前提と出典'!$C$36*'契約別単価'!L5+'前提と出典'!$C$37*'契約別単価'!L6+'前提と出典'!$C$38*'契約別単価'!L7)</ns0:f>
        <ns0:v>45965.592543724204</ns0:v>
      </ns0:c>
      <ns0:c r="M138" s="16">
        <ns0:f>IF(('前提と出典'!$C$36+'前提と出典'!$C$38)=0,0,IF(B138&lt;=10,'前提と出典'!B73+'前提と出典'!C73,IF(B138&lt;=100,'前提と出典'!B74+'前提と出典'!C74,IF(B138&lt;=500,'前提と出典'!B75+'前提と出典'!C75,'前提と出典'!B76+'前提と出典'!C76))))</ns0:f>
        <ns0:v>20000</ns0:v>
      </ns0:c>
      <ns0:c r="N138" s="16">
        <ns0:f>IF(('前提と出典'!$C$37+'前提と出典'!$C$38)=0,0,IF(C138&lt;=10,'前提と出典'!D73+'前提と出典'!E73,IF(C138&lt;=100,'前提と出典'!D74+'前提と出典'!E74,IF(C138&lt;=500,'前提と出典'!D75+'前提と出典'!E75,'前提と出典'!D76+'前提と出典'!E76))))</ns0:f>
        <ns0:v>34510.9346263078</ns0:v>
      </ns0:c>
      <ns0:c r="O138" s="16">
        <ns0:f>IF('前提と出典'!$C$36+'前提と出典'!$C$38=0,0,'前提と出典'!$B$4*IF('前提と出典'!$B$20=0,MAX('前提と出典'!$B$6,D138*'前提と出典'!$B$5),'前提と出典'!$B$6+D138*'前提と出典'!$B$5))</ns0:f>
        <ns0:v>133059.75418994413</ns0:v>
      </ns0:c>
      <ns0:c r="P138" s="16">
        <ns0:f>(E138+G138)*(1-'前提と出典'!$B$7)-I138-K138-M138-O138</ns0:f>
        <ns0:v>291904.97038215696</ns0:v>
      </ns0:c>
      <ns0:c r="Q138" s="16">
        <ns0:f>(F138+H138)*(1-'前提と出典'!$B$7)-J138-L138-N138</ns0:f>
        <ns0:v>93683.68082353615</ns0:v>
      </ns0:c>
      <ns0:c r="R138" s="16">
        <ns0:f>P138-E138*'前提と出典'!$E$4</ns0:f>
        <ns0:v>214120.19518151582</ns0:v>
      </ns0:c>
      <ns0:c r="S138" s="16">
        <ns0:f>Q138-F138*'前提と出典'!$E$4</ns0:f>
        <ns0:v>63155.98253943513</ns0:v>
      </ns0:c>
      <ns0:c r="T138" s="7">
        <ns0:f>R138+S138</ns0:f>
        <ns0:v>277276.177720951</ns0:v>
      </ns0:c>
      <ns0:c r="U138" s="16">
        <ns0:f>P138-E138*'前提と出典'!$E$5</ns0:f>
        <ns0:v>188191.93678130215</ns0:v>
      </ns0:c>
      <ns0:c r="V138" s="16">
        <ns0:f>Q138-F138*'前提と出典'!$E$5</ns0:f>
        <ns0:v>52980.08311140145</ns0:v>
      </ns0:c>
      <ns0:c r="W138" s="7">
        <ns0:f>U138+V138</ns0:f>
        <ns0:v>241172.0198927036</ns0:v>
      </ns0:c>
      <ns0:c r="X138" s="16">
        <ns0:f>P138-E138*'前提と出典'!$E$6</ns0:f>
        <ns0:v>162263.67838108842</ns0:v>
      </ns0:c>
      <ns0:c r="Y138" s="16">
        <ns0:f>Q138-F138*'前提と出典'!$E$6</ns0:f>
        <ns0:v>42804.18368336777</ns0:v>
      </ns0:c>
      <ns0:c r="Z138" s="7">
        <ns0:f>X138+Y138</ns0:f>
        <ns0:v>205067.8620644562</ns0:v>
      </ns0:c>
      <ns0:c r="AA138" s="7">
        <ns0:f>IF(T138&gt;=0,A138,1001)</ns0:f>
        <ns0:v>134</ns0:v>
      </ns0:c>
      <ns0:c r="AB138" s="7">
        <ns0:f>IF(T138&lt;0,A138,0)</ns0:f>
        <ns0:v>0</ns0:v>
      </ns0:c>
      <ns0:c r="AC138" s="16">
        <ns0:f>IF(AND(OR('前提と出典'!$C$36+'前提と出典'!$C$38=0,R138&gt;=0),OR('前提と出典'!$C$37+'前提と出典'!$C$38=0,S138&gt;=0)),0,A138)</ns0:f>
        <ns0:v>0</ns0:v>
      </ns0:c>
      <ns0:c r="AD138" s="7">
        <ns0:f>IF(W138&gt;=0,A138,1001)</ns0:f>
        <ns0:v>134</ns0:v>
      </ns0:c>
      <ns0:c r="AE138" s="7">
        <ns0:f>IF(W138&lt;0,A138,0)</ns0:f>
        <ns0:v>0</ns0:v>
      </ns0:c>
      <ns0:c r="AF138" s="16">
        <ns0:f>IF(AND(OR('前提と出典'!$C$36+'前提と出典'!$C$38=0,U138&gt;=0),OR('前提と出典'!$C$37+'前提と出典'!$C$38=0,V138&gt;=0)),0,A138)</ns0:f>
        <ns0:v>0</ns0:v>
      </ns0:c>
      <ns0:c r="AG138" s="7">
        <ns0:f>IF(Z138&gt;=0,A138,1001)</ns0:f>
        <ns0:v>134</ns0:v>
      </ns0:c>
      <ns0:c r="AH138" s="4">
        <ns0:f>IF(Z138&lt;0,A138,0)</ns0:f>
        <ns0:v>0</ns0:v>
      </ns0:c>
      <ns0:c r="AI138" s="12">
        <ns0:f>IF(AND(OR('前提と出典'!$C$36+'前提と出典'!$C$38=0,X138&gt;=0),OR('前提と出典'!$C$37+'前提と出典'!$C$38=0,Y138&gt;=0)),0,A138)</ns0:f>
        <ns0:v>0</ns0:v>
      </ns0:c>
    </ns0:row>
    <ns0:row r="139" ht="24" customHeight="1">
      <ns0:c r="A139" s="4" t="n">
        <ns0:v>135</ns0:v>
      </ns0:c>
      <ns0:c r="B139" s="12">
        <ns0:f>A139*('前提と出典'!$C$36+'前提と出典'!$C$38)</ns0:f>
        <ns0:v>94.5</ns0:v>
      </ns0:c>
      <ns0:c r="C139" s="12">
        <ns0:f>A139*('前提と出典'!$C$37+'前提と出典'!$C$38)</ns0:f>
        <ns0:v>81</ns0:v>
      </ns0:c>
      <ns0:c r="D139" s="16">
        <ns0:f>A139*('前提と出典'!$C$36*'契約別単価'!C5+'前提と出典'!$C$37*'契約別単価'!C6+'前提と出典'!$C$38*'契約別単価'!C7)</ns0:f>
        <ns0:v>971.3966480446927</ns0:v>
      </ns0:c>
      <ns0:c r="E139" s="16">
        <ns0:f>A139*('前提と出典'!$C$36*'契約別単価'!E5+'前提と出典'!$C$37*'契約別単価'!E6+'前提と出典'!$C$38*'契約別単価'!E7)</ns0:f>
        <ns0:v>261217.5286588694</ns0:v>
      </ns0:c>
      <ns0:c r="F139" s="16">
        <ns0:f>A139*('前提と出典'!$C$36*'契約別単価'!F5+'前提と出典'!$C$37*'契約別単価'!F6+'前提と出典'!$C$38*'契約別単価'!F7)</ns0:f>
        <ns0:v>102518.38976004075</ns0:v>
      </ns0:c>
      <ns0:c r="G139" s="16">
        <ns0:f>A139*('前提と出典'!$C$36*'契約別単価'!G5+'前提と出典'!$C$37*'契約別単価'!G6+'前提と出典'!$C$38*'契約別単価'!G7)</ns0:f>
        <ns0:v>268717.87709497206</ns0:v>
      </ns0:c>
      <ns0:c r="H139" s="16">
        <ns0:f>A139*('前提と出典'!$C$36*'契約別単価'!H5+'前提と出典'!$C$37*'契約別単価'!H6+'前提と出典'!$C$38*'契約別単価'!H7)</ns0:f>
        <ns0:v>93258.58061255999</ns0:v>
      </ns0:c>
      <ns0:c r="I139" s="16">
        <ns0:f>A139*('前提と出典'!$C$36*'契約別単価'!I5+'前提と出典'!$C$37*'契約別単価'!I6+'前提と出典'!$C$38*'契約別単価'!I7)</ns0:f>
        <ns0:v>5696.396648044692</ns0:v>
      </ns0:c>
      <ns0:c r="J139" s="16">
        <ns0:f>A139*('前提と出典'!$C$36*'契約別単価'!J5+'前提と出典'!$C$37*'契約別単価'!J6+'前提と出典'!$C$38*'契約別単価'!J7)</ns0:f>
        <ns0:v>13269.088400890847</ns0:v>
      </ns0:c>
      <ns0:c r="K139" s="16">
        <ns0:f>A139*('前提と出典'!$C$36*'契約別単価'!K5+'前提と出典'!$C$37*'契約別単価'!K6+'前提と出典'!$C$38*'契約別単価'!K7)</ns0:f>
        <ns0:v>56875.97765363128</ns0:v>
      </ns0:c>
      <ns0:c r="L139" s="16">
        <ns0:f>A139*('前提と出典'!$C$36*'契約別単価'!L5+'前提と出典'!$C$37*'契約別単価'!L6+'前提と出典'!$C$38*'契約別単価'!L7)</ns0:f>
        <ns0:v>46308.619353752</ns0:v>
      </ns0:c>
      <ns0:c r="M139" s="16">
        <ns0:f>IF(('前提と出典'!$C$36+'前提と出典'!$C$38)=0,0,IF(B139&lt;=10,'前提と出典'!B73+'前提と出典'!C73,IF(B139&lt;=100,'前提と出典'!B74+'前提と出典'!C74,IF(B139&lt;=500,'前提と出典'!B75+'前提と出典'!C75,'前提と出典'!B76+'前提と出典'!C76))))</ns0:f>
        <ns0:v>20000</ns0:v>
      </ns0:c>
      <ns0:c r="N139" s="16">
        <ns0:f>IF(('前提と出典'!$C$37+'前提と出典'!$C$38)=0,0,IF(C139&lt;=10,'前提と出典'!D73+'前提と出典'!E73,IF(C139&lt;=100,'前提と出典'!D74+'前提と出典'!E74,IF(C139&lt;=500,'前提と出典'!D75+'前提と出典'!E75,'前提と出典'!D76+'前提と出典'!E76))))</ns0:f>
        <ns0:v>34510.9346263078</ns0:v>
      </ns0:c>
      <ns0:c r="O139" s="16">
        <ns0:f>IF('前提と出典'!$C$36+'前提と出典'!$C$38=0,0,'前提と出典'!$B$4*IF('前提と出典'!$B$20=0,MAX('前提と出典'!$B$6,D139*'前提と出典'!$B$5),'前提と出典'!$B$6+D139*'前提と出典'!$B$5))</ns0:f>
        <ns0:v>134052.7374301676</ns0:v>
      </ns0:c>
      <ns0:c r="P139" s="16">
        <ns0:f>(E139+G139)*(1-'前提と出典'!$B$7)-I139-K139-M139-O139</ns0:f>
        <ns0:v>294232.6194148597</ns0:v>
      </ns0:c>
      <ns0:c r="Q139" s="16">
        <ns0:f>(F139+H139)*(1-'前提と出典'!$B$7)-J139-L139-N139</ns0:f>
        <ns0:v>94640.35705823648</ns0:v>
      </ns0:c>
      <ns0:c r="R139" s="16">
        <ns0:f>P139-E139*'前提と出典'!$E$4</ns0:f>
        <ns0:v>215867.36081719885</ns0:v>
      </ns0:c>
      <ns0:c r="S139" s="16">
        <ns0:f>Q139-F139*'前提と出典'!$E$4</ns0:f>
        <ns0:v>63884.84013022425</ns0:v>
      </ns0:c>
      <ns0:c r="T139" s="7">
        <ns0:f>R139+S139</ns0:f>
        <ns0:v>279752.2009474231</ns0:v>
      </ns0:c>
      <ns0:c r="U139" s="16">
        <ns0:f>P139-E139*'前提と出典'!$E$5</ns0:f>
        <ns0:v>189745.6079513119</ns0:v>
      </ns0:c>
      <ns0:c r="V139" s="16">
        <ns0:f>Q139-F139*'前提と出典'!$E$5</ns0:f>
        <ns0:v>53633.001154220176</ns0:v>
      </ns0:c>
      <ns0:c r="W139" s="7">
        <ns0:f>U139+V139</ns0:f>
        <ns0:v>243378.60910553206</ns0:v>
      </ns0:c>
      <ns0:c r="X139" s="16">
        <ns0:f>P139-E139*'前提と出典'!$E$6</ns0:f>
        <ns0:v>163623.85508542493</ns0:v>
      </ns0:c>
      <ns0:c r="Y139" s="16">
        <ns0:f>Q139-F139*'前提と出典'!$E$6</ns0:f>
        <ns0:v>43381.1621782161</ns0:v>
      </ns0:c>
      <ns0:c r="Z139" s="7">
        <ns0:f>X139+Y139</ns0:f>
        <ns0:v>207005.01726364103</ns0:v>
      </ns0:c>
      <ns0:c r="AA139" s="7">
        <ns0:f>IF(T139&gt;=0,A139,1001)</ns0:f>
        <ns0:v>135</ns0:v>
      </ns0:c>
      <ns0:c r="AB139" s="7">
        <ns0:f>IF(T139&lt;0,A139,0)</ns0:f>
        <ns0:v>0</ns0:v>
      </ns0:c>
      <ns0:c r="AC139" s="16">
        <ns0:f>IF(AND(OR('前提と出典'!$C$36+'前提と出典'!$C$38=0,R139&gt;=0),OR('前提と出典'!$C$37+'前提と出典'!$C$38=0,S139&gt;=0)),0,A139)</ns0:f>
        <ns0:v>0</ns0:v>
      </ns0:c>
      <ns0:c r="AD139" s="7">
        <ns0:f>IF(W139&gt;=0,A139,1001)</ns0:f>
        <ns0:v>135</ns0:v>
      </ns0:c>
      <ns0:c r="AE139" s="7">
        <ns0:f>IF(W139&lt;0,A139,0)</ns0:f>
        <ns0:v>0</ns0:v>
      </ns0:c>
      <ns0:c r="AF139" s="16">
        <ns0:f>IF(AND(OR('前提と出典'!$C$36+'前提と出典'!$C$38=0,U139&gt;=0),OR('前提と出典'!$C$37+'前提と出典'!$C$38=0,V139&gt;=0)),0,A139)</ns0:f>
        <ns0:v>0</ns0:v>
      </ns0:c>
      <ns0:c r="AG139" s="7">
        <ns0:f>IF(Z139&gt;=0,A139,1001)</ns0:f>
        <ns0:v>135</ns0:v>
      </ns0:c>
      <ns0:c r="AH139" s="4">
        <ns0:f>IF(Z139&lt;0,A139,0)</ns0:f>
        <ns0:v>0</ns0:v>
      </ns0:c>
      <ns0:c r="AI139" s="12">
        <ns0:f>IF(AND(OR('前提と出典'!$C$36+'前提と出典'!$C$38=0,X139&gt;=0),OR('前提と出典'!$C$37+'前提と出典'!$C$38=0,Y139&gt;=0)),0,A139)</ns0:f>
        <ns0:v>0</ns0:v>
      </ns0:c>
    </ns0:row>
    <ns0:row r="140" ht="24" customHeight="1">
      <ns0:c r="A140" s="4" t="n">
        <ns0:v>136</ns0:v>
      </ns0:c>
      <ns0:c r="B140" s="12">
        <ns0:f>A140*('前提と出典'!$C$36+'前提と出典'!$C$38)</ns0:f>
        <ns0:v>95.19999999999999</ns0:v>
      </ns0:c>
      <ns0:c r="C140" s="12">
        <ns0:f>A140*('前提と出典'!$C$37+'前提と出典'!$C$38)</ns0:f>
        <ns0:v>81.6</ns0:v>
      </ns0:c>
      <ns0:c r="D140" s="16">
        <ns0:f>A140*('前提と出典'!$C$36*'契約別単価'!C5+'前提と出典'!$C$37*'契約別単価'!C6+'前提と出典'!$C$38*'契約別単価'!C7)</ns0:f>
        <ns0:v>978.5921787709497</ns0:v>
      </ns0:c>
      <ns0:c r="E140" s="16">
        <ns0:f>A140*('前提と出典'!$C$36*'契約別単価'!E5+'前提と出典'!$C$37*'契約別単価'!E6+'前提と出典'!$C$38*'契約別単価'!E7)</ns0:f>
        <ns0:v>263152.47331560176</ns0:v>
      </ns0:c>
      <ns0:c r="F140" s="16">
        <ns0:f>A140*('前提と出典'!$C$36*'契約別単価'!F5+'前提と出典'!$C$37*'契約別単価'!F6+'前提と出典'!$C$38*'契約別単価'!F7)</ns0:f>
        <ns0:v>103277.78523974476</ns0:v>
      </ns0:c>
      <ns0:c r="G140" s="16">
        <ns0:f>A140*('前提と出典'!$C$36*'契約別単価'!G5+'前提と出典'!$C$37*'契約別単価'!G6+'前提と出典'!$C$38*'契約別単価'!G7)</ns0:f>
        <ns0:v>270708.37988826813</ns0:v>
      </ns0:c>
      <ns0:c r="H140" s="16">
        <ns0:f>A140*('前提と出典'!$C$36*'契約別単価'!H5+'前提と出典'!$C$37*'契約別単価'!H6+'前提と出典'!$C$38*'契約別単価'!H7)</ns0:f>
        <ns0:v>93949.38491339376</ns0:v>
      </ns0:c>
      <ns0:c r="I140" s="16">
        <ns0:f>A140*('前提と出典'!$C$36*'契約別単価'!I5+'前提と出典'!$C$37*'契約別単価'!I6+'前提と出典'!$C$38*'契約別単価'!I7)</ns0:f>
        <ns0:v>5738.5921787709485</ns0:v>
      </ns0:c>
      <ns0:c r="J140" s="16">
        <ns0:f>A140*('前提と出典'!$C$36*'契約別単価'!J5+'前提と出典'!$C$37*'契約別単価'!J6+'前提と出典'!$C$38*'契約別単価'!J7)</ns0:f>
        <ns0:v>13367.377944601149</ns0:v>
      </ns0:c>
      <ns0:c r="K140" s="16">
        <ns0:f>A140*('前提と出典'!$C$36*'契約別単価'!K5+'前提と出典'!$C$37*'契約別単価'!K6+'前提と出典'!$C$38*'契約別単価'!K7)</ns0:f>
        <ns0:v>57297.28119180633</ns0:v>
      </ns0:c>
      <ns0:c r="L140" s="16">
        <ns0:f>A140*('前提と出典'!$C$36*'契約別単価'!L5+'前提と出典'!$C$37*'契約別単価'!L6+'前提と出典'!$C$38*'契約別単価'!L7)</ns0:f>
        <ns0:v>46651.64616377979</ns0:v>
      </ns0:c>
      <ns0:c r="M140" s="16">
        <ns0:f>IF(('前提と出典'!$C$36+'前提と出典'!$C$38)=0,0,IF(B140&lt;=10,'前提と出典'!B73+'前提と出典'!C73,IF(B140&lt;=100,'前提と出典'!B74+'前提と出典'!C74,IF(B140&lt;=500,'前提と出典'!B75+'前提と出典'!C75,'前提と出典'!B76+'前提と出典'!C76))))</ns0:f>
        <ns0:v>20000</ns0:v>
      </ns0:c>
      <ns0:c r="N140" s="16">
        <ns0:f>IF(('前提と出典'!$C$37+'前提と出典'!$C$38)=0,0,IF(C140&lt;=10,'前提と出典'!D73+'前提と出典'!E73,IF(C140&lt;=100,'前提と出典'!D74+'前提と出典'!E74,IF(C140&lt;=500,'前提と出典'!D75+'前提と出典'!E75,'前提と出典'!D76+'前提と出典'!E76))))</ns0:f>
        <ns0:v>34510.9346263078</ns0:v>
      </ns0:c>
      <ns0:c r="O140" s="16">
        <ns0:f>IF('前提と出典'!$C$36+'前提と出典'!$C$38=0,0,'前提と出典'!$B$4*IF('前提と出典'!$B$20=0,MAX('前提と出典'!$B$6,D140*'前提と出典'!$B$5),'前提と出典'!$B$6+D140*'前提と出典'!$B$5))</ns0:f>
        <ns0:v>135045.72067039105</ns0:v>
      </ns0:c>
      <ns0:c r="P140" s="16">
        <ns0:f>(E140+G140)*(1-'前提と出典'!$B$7)-I140-K140-M140-O140</ns0:f>
        <ns0:v>296560.2684475623</ns0:v>
      </ns0:c>
      <ns0:c r="Q140" s="16">
        <ns0:f>(F140+H140)*(1-'前提と出典'!$B$7)-J140-L140-N140</ns0:f>
        <ns0:v>95597.0332929368</ns0:v>
      </ns0:c>
      <ns0:c r="R140" s="16">
        <ns0:f>P140-E140*'前提と出典'!$E$4</ns0:f>
        <ns0:v>217614.52645288175</ns0:v>
      </ns0:c>
      <ns0:c r="S140" s="16">
        <ns0:f>Q140-F140*'前提と出典'!$E$4</ns0:f>
        <ns0:v>64613.697721013385</ns0:v>
      </ns0:c>
      <ns0:c r="T140" s="7">
        <ns0:f>R140+S140</ns0:f>
        <ns0:v>282228.22417389514</ns0:v>
      </ns0:c>
      <ns0:c r="U140" s="16">
        <ns0:f>P140-E140*'前提と出典'!$E$5</ns0:f>
        <ns0:v>191299.27912132157</ns0:v>
      </ns0:c>
      <ns0:c r="V140" s="16">
        <ns0:f>Q140-F140*'前提と出典'!$E$5</ns0:f>
        <ns0:v>54285.919197038886</ns0:v>
      </ns0:c>
      <ns0:c r="W140" s="7">
        <ns0:f>U140+V140</ns0:f>
        <ns0:v>245585.19831836046</ns0:v>
      </ns0:c>
      <ns0:c r="X140" s="16">
        <ns0:f>P140-E140*'前提と出典'!$E$6</ns0:f>
        <ns0:v>164984.03178976144</ns0:v>
      </ns0:c>
      <ns0:c r="Y140" s="16">
        <ns0:f>Q140-F140*'前提と出典'!$E$6</ns0:f>
        <ns0:v>43958.140673064416</ns0:v>
      </ns0:c>
      <ns0:c r="Z140" s="7">
        <ns0:f>X140+Y140</ns0:f>
        <ns0:v>208942.17246282587</ns0:v>
      </ns0:c>
      <ns0:c r="AA140" s="7">
        <ns0:f>IF(T140&gt;=0,A140,1001)</ns0:f>
        <ns0:v>136</ns0:v>
      </ns0:c>
      <ns0:c r="AB140" s="7">
        <ns0:f>IF(T140&lt;0,A140,0)</ns0:f>
        <ns0:v>0</ns0:v>
      </ns0:c>
      <ns0:c r="AC140" s="16">
        <ns0:f>IF(AND(OR('前提と出典'!$C$36+'前提と出典'!$C$38=0,R140&gt;=0),OR('前提と出典'!$C$37+'前提と出典'!$C$38=0,S140&gt;=0)),0,A140)</ns0:f>
        <ns0:v>0</ns0:v>
      </ns0:c>
      <ns0:c r="AD140" s="7">
        <ns0:f>IF(W140&gt;=0,A140,1001)</ns0:f>
        <ns0:v>136</ns0:v>
      </ns0:c>
      <ns0:c r="AE140" s="7">
        <ns0:f>IF(W140&lt;0,A140,0)</ns0:f>
        <ns0:v>0</ns0:v>
      </ns0:c>
      <ns0:c r="AF140" s="16">
        <ns0:f>IF(AND(OR('前提と出典'!$C$36+'前提と出典'!$C$38=0,U140&gt;=0),OR('前提と出典'!$C$37+'前提と出典'!$C$38=0,V140&gt;=0)),0,A140)</ns0:f>
        <ns0:v>0</ns0:v>
      </ns0:c>
      <ns0:c r="AG140" s="7">
        <ns0:f>IF(Z140&gt;=0,A140,1001)</ns0:f>
        <ns0:v>136</ns0:v>
      </ns0:c>
      <ns0:c r="AH140" s="4">
        <ns0:f>IF(Z140&lt;0,A140,0)</ns0:f>
        <ns0:v>0</ns0:v>
      </ns0:c>
      <ns0:c r="AI140" s="12">
        <ns0:f>IF(AND(OR('前提と出典'!$C$36+'前提と出典'!$C$38=0,X140&gt;=0),OR('前提と出典'!$C$37+'前提と出典'!$C$38=0,Y140&gt;=0)),0,A140)</ns0:f>
        <ns0:v>0</ns0:v>
      </ns0:c>
    </ns0:row>
    <ns0:row r="141" ht="24" customHeight="1">
      <ns0:c r="A141" s="4" t="n">
        <ns0:v>137</ns0:v>
      </ns0:c>
      <ns0:c r="B141" s="12">
        <ns0:f>A141*('前提と出典'!$C$36+'前提と出典'!$C$38)</ns0:f>
        <ns0:v>95.89999999999999</ns0:v>
      </ns0:c>
      <ns0:c r="C141" s="12">
        <ns0:f>A141*('前提と出典'!$C$37+'前提と出典'!$C$38)</ns0:f>
        <ns0:v>82.2</ns0:v>
      </ns0:c>
      <ns0:c r="D141" s="16">
        <ns0:f>A141*('前提と出典'!$C$36*'契約別単価'!C5+'前提と出典'!$C$37*'契約別単価'!C6+'前提と出典'!$C$38*'契約別単価'!C7)</ns0:f>
        <ns0:v>985.7877094972067</ns0:v>
      </ns0:c>
      <ns0:c r="E141" s="16">
        <ns0:f>A141*('前提と出典'!$C$36*'契約別単価'!E5+'前提と出典'!$C$37*'契約別単価'!E6+'前提と出典'!$C$38*'契約別単価'!E7)</ns0:f>
        <ns0:v>265087.41797233414</ns0:v>
      </ns0:c>
      <ns0:c r="F141" s="16">
        <ns0:f>A141*('前提と出典'!$C$36*'契約別単価'!F5+'前提と出典'!$C$37*'契約別単価'!F6+'前提と出典'!$C$38*'契約別単価'!F7)</ns0:f>
        <ns0:v>104037.18071944876</ns0:v>
      </ns0:c>
      <ns0:c r="G141" s="16">
        <ns0:f>A141*('前提と出典'!$C$36*'契約別単価'!G5+'前提と出典'!$C$37*'契約別単価'!G6+'前提と出典'!$C$38*'契約別単価'!G7)</ns0:f>
        <ns0:v>272698.88268156425</ns0:v>
      </ns0:c>
      <ns0:c r="H141" s="16">
        <ns0:f>A141*('前提と出典'!$C$36*'契約別単価'!H5+'前提と出典'!$C$37*'契約別単価'!H6+'前提と出典'!$C$38*'契約別単価'!H7)</ns0:f>
        <ns0:v>94640.18921422755</ns0:v>
      </ns0:c>
      <ns0:c r="I141" s="16">
        <ns0:f>A141*('前提と出典'!$C$36*'契約別単価'!I5+'前提と出典'!$C$37*'契約別単価'!I6+'前提と出典'!$C$38*'契約別単価'!I7)</ns0:f>
        <ns0:v>5780.7877094972055</ns0:v>
      </ns0:c>
      <ns0:c r="J141" s="16">
        <ns0:f>A141*('前提と出典'!$C$36*'契約別単価'!J5+'前提と出典'!$C$37*'契約別単価'!J6+'前提と出典'!$C$38*'契約別単価'!J7)</ns0:f>
        <ns0:v>13465.667488311452</ns0:v>
      </ns0:c>
      <ns0:c r="K141" s="16">
        <ns0:f>A141*('前提と出典'!$C$36*'契約別単価'!K5+'前提と出典'!$C$37*'契約別単価'!K6+'前提と出典'!$C$38*'契約別単価'!K7)</ns0:f>
        <ns0:v>57718.584729981376</ns0:v>
      </ns0:c>
      <ns0:c r="L141" s="16">
        <ns0:f>A141*('前提と出典'!$C$36*'契約別単価'!L5+'前提と出典'!$C$37*'契約別単価'!L6+'前提と出典'!$C$38*'契約別単価'!L7)</ns0:f>
        <ns0:v>46994.67297380758</ns0:v>
      </ns0:c>
      <ns0:c r="M141" s="16">
        <ns0:f>IF(('前提と出典'!$C$36+'前提と出典'!$C$38)=0,0,IF(B141&lt;=10,'前提と出典'!B73+'前提と出典'!C73,IF(B141&lt;=100,'前提と出典'!B74+'前提と出典'!C74,IF(B141&lt;=500,'前提と出典'!B75+'前提と出典'!C75,'前提と出典'!B76+'前提と出典'!C76))))</ns0:f>
        <ns0:v>20000</ns0:v>
      </ns0:c>
      <ns0:c r="N141" s="16">
        <ns0:f>IF(('前提と出典'!$C$37+'前提と出典'!$C$38)=0,0,IF(C141&lt;=10,'前提と出典'!D73+'前提と出典'!E73,IF(C141&lt;=100,'前提と出典'!D74+'前提と出典'!E74,IF(C141&lt;=500,'前提と出典'!D75+'前提と出典'!E75,'前提と出典'!D76+'前提と出典'!E76))))</ns0:f>
        <ns0:v>34510.9346263078</ns0:v>
      </ns0:c>
      <ns0:c r="O141" s="16">
        <ns0:f>IF('前提と出典'!$C$36+'前提と出典'!$C$38=0,0,'前提と出典'!$B$4*IF('前提と出典'!$B$20=0,MAX('前提と出典'!$B$6,D141*'前提と出典'!$B$5),'前提と出典'!$B$6+D141*'前提と出典'!$B$5))</ns0:f>
        <ns0:v>136038.70391061454</ns0:v>
      </ns0:c>
      <ns0:c r="P141" s="16">
        <ns0:f>(E141+G141)*(1-'前提と出典'!$B$7)-I141-K141-M141-O141</ns0:f>
        <ns0:v>298887.9174802649</ns0:v>
      </ns0:c>
      <ns0:c r="Q141" s="16">
        <ns0:f>(F141+H141)*(1-'前提と出典'!$B$7)-J141-L141-N141</ns0:f>
        <ns0:v>96553.70952763714</ns0:v>
      </ns0:c>
      <ns0:c r="R141" s="16">
        <ns0:f>P141-E141*'前提と出典'!$E$4</ns0:f>
        <ns0:v>219361.69208856468</ns0:v>
      </ns0:c>
      <ns0:c r="S141" s="16">
        <ns0:f>Q141-F141*'前提と出典'!$E$4</ns0:f>
        <ns0:v>65342.55531180252</ns0:v>
      </ns0:c>
      <ns0:c r="T141" s="7">
        <ns0:f>R141+S141</ns0:f>
        <ns0:v>284704.2474003672</ns0:v>
      </ns0:c>
      <ns0:c r="U141" s="16">
        <ns0:f>P141-E141*'前提と出典'!$E$5</ns0:f>
        <ns0:v>192852.95029133128</ns0:v>
      </ns0:c>
      <ns0:c r="V141" s="16">
        <ns0:f>Q141-F141*'前提と出典'!$E$5</ns0:f>
        <ns0:v>54938.837239857625</ns0:v>
      </ns0:c>
      <ns0:c r="W141" s="7">
        <ns0:f>U141+V141</ns0:f>
        <ns0:v>247791.7875311889</ns0:v>
      </ns0:c>
      <ns0:c r="X141" s="16">
        <ns0:f>P141-E141*'前提と出典'!$E$6</ns0:f>
        <ns0:v>166344.2084940978</ns0:v>
      </ns0:c>
      <ns0:c r="Y141" s="16">
        <ns0:f>Q141-F141*'前提と出典'!$E$6</ns0:f>
        <ns0:v>44535.11916791276</ns0:v>
      </ns0:c>
      <ns0:c r="Z141" s="7">
        <ns0:f>X141+Y141</ns0:f>
        <ns0:v>210879.32766201056</ns0:v>
      </ns0:c>
      <ns0:c r="AA141" s="7">
        <ns0:f>IF(T141&gt;=0,A141,1001)</ns0:f>
        <ns0:v>137</ns0:v>
      </ns0:c>
      <ns0:c r="AB141" s="7">
        <ns0:f>IF(T141&lt;0,A141,0)</ns0:f>
        <ns0:v>0</ns0:v>
      </ns0:c>
      <ns0:c r="AC141" s="16">
        <ns0:f>IF(AND(OR('前提と出典'!$C$36+'前提と出典'!$C$38=0,R141&gt;=0),OR('前提と出典'!$C$37+'前提と出典'!$C$38=0,S141&gt;=0)),0,A141)</ns0:f>
        <ns0:v>0</ns0:v>
      </ns0:c>
      <ns0:c r="AD141" s="7">
        <ns0:f>IF(W141&gt;=0,A141,1001)</ns0:f>
        <ns0:v>137</ns0:v>
      </ns0:c>
      <ns0:c r="AE141" s="7">
        <ns0:f>IF(W141&lt;0,A141,0)</ns0:f>
        <ns0:v>0</ns0:v>
      </ns0:c>
      <ns0:c r="AF141" s="16">
        <ns0:f>IF(AND(OR('前提と出典'!$C$36+'前提と出典'!$C$38=0,U141&gt;=0),OR('前提と出典'!$C$37+'前提と出典'!$C$38=0,V141&gt;=0)),0,A141)</ns0:f>
        <ns0:v>0</ns0:v>
      </ns0:c>
      <ns0:c r="AG141" s="7">
        <ns0:f>IF(Z141&gt;=0,A141,1001)</ns0:f>
        <ns0:v>137</ns0:v>
      </ns0:c>
      <ns0:c r="AH141" s="4">
        <ns0:f>IF(Z141&lt;0,A141,0)</ns0:f>
        <ns0:v>0</ns0:v>
      </ns0:c>
      <ns0:c r="AI141" s="12">
        <ns0:f>IF(AND(OR('前提と出典'!$C$36+'前提と出典'!$C$38=0,X141&gt;=0),OR('前提と出典'!$C$37+'前提と出典'!$C$38=0,Y141&gt;=0)),0,A141)</ns0:f>
        <ns0:v>0</ns0:v>
      </ns0:c>
    </ns0:row>
    <ns0:row r="142" ht="24" customHeight="1">
      <ns0:c r="A142" s="4" t="n">
        <ns0:v>138</ns0:v>
      </ns0:c>
      <ns0:c r="B142" s="12">
        <ns0:f>A142*('前提と出典'!$C$36+'前提と出典'!$C$38)</ns0:f>
        <ns0:v>96.6</ns0:v>
      </ns0:c>
      <ns0:c r="C142" s="12">
        <ns0:f>A142*('前提と出典'!$C$37+'前提と出典'!$C$38)</ns0:f>
        <ns0:v>82.8</ns0:v>
      </ns0:c>
      <ns0:c r="D142" s="16">
        <ns0:f>A142*('前提と出典'!$C$36*'契約別単価'!C5+'前提と出典'!$C$37*'契約別単価'!C6+'前提と出典'!$C$38*'契約別単価'!C7)</ns0:f>
        <ns0:v>992.9832402234637</ns0:v>
      </ns0:c>
      <ns0:c r="E142" s="16">
        <ns0:f>A142*('前提と出典'!$C$36*'契約別単価'!E5+'前提と出典'!$C$37*'契約別単価'!E6+'前提と出典'!$C$38*'契約別単価'!E7)</ns0:f>
        <ns0:v>267022.3626290665</ns0:v>
      </ns0:c>
      <ns0:c r="F142" s="16">
        <ns0:f>A142*('前提と出典'!$C$36*'契約別単価'!F5+'前提と出典'!$C$37*'契約別単価'!F6+'前提と出典'!$C$38*'契約別単価'!F7)</ns0:f>
        <ns0:v>104796.57619915277</ns0:v>
      </ns0:c>
      <ns0:c r="G142" s="16">
        <ns0:f>A142*('前提と出典'!$C$36*'契約別単価'!G5+'前提と出典'!$C$37*'契約別単価'!G6+'前提と出典'!$C$38*'契約別単価'!G7)</ns0:f>
        <ns0:v>274689.3854748603</ns0:v>
      </ns0:c>
      <ns0:c r="H142" s="16">
        <ns0:f>A142*('前提と出典'!$C$36*'契約別単価'!H5+'前提と出典'!$C$37*'契約別単価'!H6+'前提と出典'!$C$38*'契約別単価'!H7)</ns0:f>
        <ns0:v>95330.99351506132</ns0:v>
      </ns0:c>
      <ns0:c r="I142" s="16">
        <ns0:f>A142*('前提と出典'!$C$36*'契約別単価'!I5+'前提と出典'!$C$37*'契約別単価'!I6+'前提と出典'!$C$38*'契約別単価'!I7)</ns0:f>
        <ns0:v>5822.983240223462</ns0:v>
      </ns0:c>
      <ns0:c r="J142" s="16">
        <ns0:f>A142*('前提と出典'!$C$36*'契約別単価'!J5+'前提と出典'!$C$37*'契約別単価'!J6+'前提と出典'!$C$38*'契約別単価'!J7)</ns0:f>
        <ns0:v>13563.957032021754</ns0:v>
      </ns0:c>
      <ns0:c r="K142" s="16">
        <ns0:f>A142*('前提と出典'!$C$36*'契約別単価'!K5+'前提と出典'!$C$37*'契約別単価'!K6+'前提と出典'!$C$38*'契約別単価'!K7)</ns0:f>
        <ns0:v>58139.88826815642</ns0:v>
      </ns0:c>
      <ns0:c r="L142" s="16">
        <ns0:f>A142*('前提と出典'!$C$36*'契約別単価'!L5+'前提と出典'!$C$37*'契約別単価'!L6+'前提と出典'!$C$38*'契約別単価'!L7)</ns0:f>
        <ns0:v>47337.69978383538</ns0:v>
      </ns0:c>
      <ns0:c r="M142" s="16">
        <ns0:f>IF(('前提と出典'!$C$36+'前提と出典'!$C$38)=0,0,IF(B142&lt;=10,'前提と出典'!B73+'前提と出典'!C73,IF(B142&lt;=100,'前提と出典'!B74+'前提と出典'!C74,IF(B142&lt;=500,'前提と出典'!B75+'前提と出典'!C75,'前提と出典'!B76+'前提と出典'!C76))))</ns0:f>
        <ns0:v>20000</ns0:v>
      </ns0:c>
      <ns0:c r="N142" s="16">
        <ns0:f>IF(('前提と出典'!$C$37+'前提と出典'!$C$38)=0,0,IF(C142&lt;=10,'前提と出典'!D73+'前提と出典'!E73,IF(C142&lt;=100,'前提と出典'!D74+'前提と出典'!E74,IF(C142&lt;=500,'前提と出典'!D75+'前提と出典'!E75,'前提と出典'!D76+'前提と出典'!E76))))</ns0:f>
        <ns0:v>34510.9346263078</ns0:v>
      </ns0:c>
      <ns0:c r="O142" s="16">
        <ns0:f>IF('前提と出典'!$C$36+'前提と出典'!$C$38=0,0,'前提と出典'!$B$4*IF('前提と出典'!$B$20=0,MAX('前提と出典'!$B$6,D142*'前提と出典'!$B$5),'前提と出典'!$B$6+D142*'前提と出典'!$B$5))</ns0:f>
        <ns0:v>137031.687150838</ns0:v>
      </ns0:c>
      <ns0:c r="P142" s="16">
        <ns0:f>(E142+G142)*(1-'前提と出典'!$B$7)-I142-K142-M142-O142</ns0:f>
        <ns0:v>301215.56651296763</ns0:v>
      </ns0:c>
      <ns0:c r="Q142" s="16">
        <ns0:f>(F142+H142)*(1-'前提と出典'!$B$7)-J142-L142-N142</ns0:f>
        <ns0:v>97510.38576233742</ns0:v>
      </ns0:c>
      <ns0:c r="R142" s="16">
        <ns0:f>P142-E142*'前提と出典'!$E$4</ns0:f>
        <ns0:v>221108.85772424765</ns0:v>
      </ns0:c>
      <ns0:c r="S142" s="16">
        <ns0:f>Q142-F142*'前提と出典'!$E$4</ns0:f>
        <ns0:v>66071.41290259158</ns0:v>
      </ns0:c>
      <ns0:c r="T142" s="7">
        <ns0:f>R142+S142</ns0:f>
        <ns0:v>287180.27062683925</ns0:v>
      </ns0:c>
      <ns0:c r="U142" s="16">
        <ns0:f>P142-E142*'前提と出典'!$E$5</ns0:f>
        <ns0:v>194406.621461341</ns0:v>
      </ns0:c>
      <ns0:c r="V142" s="16">
        <ns0:f>Q142-F142*'前提と出典'!$E$5</ns0:f>
        <ns0:v>55591.75528267632</ns0:v>
      </ns0:c>
      <ns0:c r="W142" s="7">
        <ns0:f>U142+V142</ns0:f>
        <ns0:v>249998.37674401733</ns0:v>
      </ns0:c>
      <ns0:c r="X142" s="16">
        <ns0:f>P142-E142*'前提と出典'!$E$6</ns0:f>
        <ns0:v>167704.38519843438</ns0:v>
      </ns0:c>
      <ns0:c r="Y142" s="16">
        <ns0:f>Q142-F142*'前提と出典'!$E$6</ns0:f>
        <ns0:v>45112.09766276106</ns0:v>
      </ns0:c>
      <ns0:c r="Z142" s="7">
        <ns0:f>X142+Y142</ns0:f>
        <ns0:v>212816.48286119543</ns0:v>
      </ns0:c>
      <ns0:c r="AA142" s="7">
        <ns0:f>IF(T142&gt;=0,A142,1001)</ns0:f>
        <ns0:v>138</ns0:v>
      </ns0:c>
      <ns0:c r="AB142" s="7">
        <ns0:f>IF(T142&lt;0,A142,0)</ns0:f>
        <ns0:v>0</ns0:v>
      </ns0:c>
      <ns0:c r="AC142" s="16">
        <ns0:f>IF(AND(OR('前提と出典'!$C$36+'前提と出典'!$C$38=0,R142&gt;=0),OR('前提と出典'!$C$37+'前提と出典'!$C$38=0,S142&gt;=0)),0,A142)</ns0:f>
        <ns0:v>0</ns0:v>
      </ns0:c>
      <ns0:c r="AD142" s="7">
        <ns0:f>IF(W142&gt;=0,A142,1001)</ns0:f>
        <ns0:v>138</ns0:v>
      </ns0:c>
      <ns0:c r="AE142" s="7">
        <ns0:f>IF(W142&lt;0,A142,0)</ns0:f>
        <ns0:v>0</ns0:v>
      </ns0:c>
      <ns0:c r="AF142" s="16">
        <ns0:f>IF(AND(OR('前提と出典'!$C$36+'前提と出典'!$C$38=0,U142&gt;=0),OR('前提と出典'!$C$37+'前提と出典'!$C$38=0,V142&gt;=0)),0,A142)</ns0:f>
        <ns0:v>0</ns0:v>
      </ns0:c>
      <ns0:c r="AG142" s="7">
        <ns0:f>IF(Z142&gt;=0,A142,1001)</ns0:f>
        <ns0:v>138</ns0:v>
      </ns0:c>
      <ns0:c r="AH142" s="4">
        <ns0:f>IF(Z142&lt;0,A142,0)</ns0:f>
        <ns0:v>0</ns0:v>
      </ns0:c>
      <ns0:c r="AI142" s="12">
        <ns0:f>IF(AND(OR('前提と出典'!$C$36+'前提と出典'!$C$38=0,X142&gt;=0),OR('前提と出典'!$C$37+'前提と出典'!$C$38=0,Y142&gt;=0)),0,A142)</ns0:f>
        <ns0:v>0</ns0:v>
      </ns0:c>
    </ns0:row>
    <ns0:row r="143" ht="24" customHeight="1">
      <ns0:c r="A143" s="4" t="n">
        <ns0:v>139</ns0:v>
      </ns0:c>
      <ns0:c r="B143" s="12">
        <ns0:f>A143*('前提と出典'!$C$36+'前提と出典'!$C$38)</ns0:f>
        <ns0:v>97.3</ns0:v>
      </ns0:c>
      <ns0:c r="C143" s="12">
        <ns0:f>A143*('前提と出典'!$C$37+'前提と出典'!$C$38)</ns0:f>
        <ns0:v>83.39999999999999</ns0:v>
      </ns0:c>
      <ns0:c r="D143" s="16">
        <ns0:f>A143*('前提と出典'!$C$36*'契約別単価'!C5+'前提と出典'!$C$37*'契約別単価'!C6+'前提と出典'!$C$38*'契約別単価'!C7)</ns0:f>
        <ns0:v>1000.1787709497206</ns0:v>
      </ns0:c>
      <ns0:c r="E143" s="16">
        <ns0:f>A143*('前提と出典'!$C$36*'契約別単価'!E5+'前提と出典'!$C$37*'契約別単価'!E6+'前提と出典'!$C$38*'契約別単価'!E7)</ns0:f>
        <ns0:v>268957.3072857989</ns0:v>
      </ns0:c>
      <ns0:c r="F143" s="16">
        <ns0:f>A143*('前提と出典'!$C$36*'契約別単価'!F5+'前提と出典'!$C$37*'契約別単価'!F6+'前提と出典'!$C$38*'契約別単価'!F7)</ns0:f>
        <ns0:v>105555.97167885677</ns0:v>
      </ns0:c>
      <ns0:c r="G143" s="16">
        <ns0:f>A143*('前提と出典'!$C$36*'契約別単価'!G5+'前提と出典'!$C$37*'契約別単価'!G6+'前提と出典'!$C$38*'契約別単価'!G7)</ns0:f>
        <ns0:v>276679.8882681564</ns0:v>
      </ns0:c>
      <ns0:c r="H143" s="16">
        <ns0:f>A143*('前提と出典'!$C$36*'契約別単価'!H5+'前提と出典'!$C$37*'契約別単価'!H6+'前提と出典'!$C$38*'契約別単価'!H7)</ns0:f>
        <ns0:v>96021.7978158951</ns0:v>
      </ns0:c>
      <ns0:c r="I143" s="16">
        <ns0:f>A143*('前提と出典'!$C$36*'契約別単価'!I5+'前提と出典'!$C$37*'契約別単価'!I6+'前提と出典'!$C$38*'契約別単価'!I7)</ns0:f>
        <ns0:v>5865.178770949719</ns0:v>
      </ns0:c>
      <ns0:c r="J143" s="16">
        <ns0:f>A143*('前提と出典'!$C$36*'契約別単価'!J5+'前提と出典'!$C$37*'契約別単価'!J6+'前提と出典'!$C$38*'契約別単価'!J7)</ns0:f>
        <ns0:v>13662.246575732057</ns0:v>
      </ns0:c>
      <ns0:c r="K143" s="16">
        <ns0:f>A143*('前提と出典'!$C$36*'契約別単価'!K5+'前提と出典'!$C$37*'契約別単価'!K6+'前提と出典'!$C$38*'契約別単価'!K7)</ns0:f>
        <ns0:v>58561.191806331466</ns0:v>
      </ns0:c>
      <ns0:c r="L143" s="16">
        <ns0:f>A143*('前提と出典'!$C$36*'契約別単価'!L5+'前提と出典'!$C$37*'契約別単価'!L6+'前提と出典'!$C$38*'契約別単価'!L7)</ns0:f>
        <ns0:v>47680.72659386317</ns0:v>
      </ns0:c>
      <ns0:c r="M143" s="16">
        <ns0:f>IF(('前提と出典'!$C$36+'前提と出典'!$C$38)=0,0,IF(B143&lt;=10,'前提と出典'!B73+'前提と出典'!C73,IF(B143&lt;=100,'前提と出典'!B74+'前提と出典'!C74,IF(B143&lt;=500,'前提と出典'!B75+'前提と出典'!C75,'前提と出典'!B76+'前提と出典'!C76))))</ns0:f>
        <ns0:v>20000</ns0:v>
      </ns0:c>
      <ns0:c r="N143" s="16">
        <ns0:f>IF(('前提と出典'!$C$37+'前提と出典'!$C$38)=0,0,IF(C143&lt;=10,'前提と出典'!D73+'前提と出典'!E73,IF(C143&lt;=100,'前提と出典'!D74+'前提と出典'!E74,IF(C143&lt;=500,'前提と出典'!D75+'前提と出典'!E75,'前提と出典'!D76+'前提と出典'!E76))))</ns0:f>
        <ns0:v>34510.9346263078</ns0:v>
      </ns0:c>
      <ns0:c r="O143" s="16">
        <ns0:f>IF('前提と出典'!$C$36+'前提と出典'!$C$38=0,0,'前提と出典'!$B$4*IF('前提と出典'!$B$20=0,MAX('前提と出典'!$B$6,D143*'前提と出典'!$B$5),'前提と出典'!$B$6+D143*'前提と出典'!$B$5))</ns0:f>
        <ns0:v>138024.67039106143</ns0:v>
      </ns0:c>
      <ns0:c r="P143" s="16">
        <ns0:f>(E143+G143)*(1-'前提と出典'!$B$7)-I143-K143-M143-O143</ns0:f>
        <ns0:v>303543.21554567025</ns0:v>
      </ns0:c>
      <ns0:c r="Q143" s="16">
        <ns0:f>(F143+H143)*(1-'前提と出典'!$B$7)-J143-L143-N143</ns0:f>
        <ns0:v>98467.06199703779</ns0:v>
      </ns0:c>
      <ns0:c r="R143" s="16">
        <ns0:f>P143-E143*'前提と出典'!$E$4</ns0:f>
        <ns0:v>222856.02335993064</ns0:v>
      </ns0:c>
      <ns0:c r="S143" s="16">
        <ns0:f>Q143-F143*'前提と出典'!$E$4</ns0:f>
        <ns0:v>66800.27049338075</ns0:v>
      </ns0:c>
      <ns0:c r="T143" s="7">
        <ns0:f>R143+S143</ns0:f>
        <ns0:v>289656.2938533114</ns0:v>
      </ns0:c>
      <ns0:c r="U143" s="16">
        <ns0:f>P143-E143*'前提と出典'!$E$5</ns0:f>
        <ns0:v>195960.29263135072</ns0:v>
      </ns0:c>
      <ns0:c r="V143" s="16">
        <ns0:f>Q143-F143*'前提と出典'!$E$5</ns0:f>
        <ns0:v>56244.673325495074</ns0:v>
      </ns0:c>
      <ns0:c r="W143" s="7">
        <ns0:f>U143+V143</ns0:f>
        <ns0:v>252204.9659568458</ns0:v>
      </ns0:c>
      <ns0:c r="X143" s="16">
        <ns0:f>P143-E143*'前提と出典'!$E$6</ns0:f>
        <ns0:v>169064.5619027708</ns0:v>
      </ns0:c>
      <ns0:c r="Y143" s="16">
        <ns0:f>Q143-F143*'前提と出典'!$E$6</ns0:f>
        <ns0:v>45689.07615760939</ns0:v>
      </ns0:c>
      <ns0:c r="Z143" s="7">
        <ns0:f>X143+Y143</ns0:f>
        <ns0:v>214753.63806038018</ns0:v>
      </ns0:c>
      <ns0:c r="AA143" s="7">
        <ns0:f>IF(T143&gt;=0,A143,1001)</ns0:f>
        <ns0:v>139</ns0:v>
      </ns0:c>
      <ns0:c r="AB143" s="7">
        <ns0:f>IF(T143&lt;0,A143,0)</ns0:f>
        <ns0:v>0</ns0:v>
      </ns0:c>
      <ns0:c r="AC143" s="16">
        <ns0:f>IF(AND(OR('前提と出典'!$C$36+'前提と出典'!$C$38=0,R143&gt;=0),OR('前提と出典'!$C$37+'前提と出典'!$C$38=0,S143&gt;=0)),0,A143)</ns0:f>
        <ns0:v>0</ns0:v>
      </ns0:c>
      <ns0:c r="AD143" s="7">
        <ns0:f>IF(W143&gt;=0,A143,1001)</ns0:f>
        <ns0:v>139</ns0:v>
      </ns0:c>
      <ns0:c r="AE143" s="7">
        <ns0:f>IF(W143&lt;0,A143,0)</ns0:f>
        <ns0:v>0</ns0:v>
      </ns0:c>
      <ns0:c r="AF143" s="16">
        <ns0:f>IF(AND(OR('前提と出典'!$C$36+'前提と出典'!$C$38=0,U143&gt;=0),OR('前提と出典'!$C$37+'前提と出典'!$C$38=0,V143&gt;=0)),0,A143)</ns0:f>
        <ns0:v>0</ns0:v>
      </ns0:c>
      <ns0:c r="AG143" s="7">
        <ns0:f>IF(Z143&gt;=0,A143,1001)</ns0:f>
        <ns0:v>139</ns0:v>
      </ns0:c>
      <ns0:c r="AH143" s="4">
        <ns0:f>IF(Z143&lt;0,A143,0)</ns0:f>
        <ns0:v>0</ns0:v>
      </ns0:c>
      <ns0:c r="AI143" s="12">
        <ns0:f>IF(AND(OR('前提と出典'!$C$36+'前提と出典'!$C$38=0,X143&gt;=0),OR('前提と出典'!$C$37+'前提と出典'!$C$38=0,Y143&gt;=0)),0,A143)</ns0:f>
        <ns0:v>0</ns0:v>
      </ns0:c>
    </ns0:row>
    <ns0:row r="144" ht="24" customHeight="1">
      <ns0:c r="A144" s="4" t="n">
        <ns0:v>140</ns0:v>
      </ns0:c>
      <ns0:c r="B144" s="12">
        <ns0:f>A144*('前提と出典'!$C$36+'前提と出典'!$C$38)</ns0:f>
        <ns0:v>98</ns0:v>
      </ns0:c>
      <ns0:c r="C144" s="12">
        <ns0:f>A144*('前提と出典'!$C$37+'前提と出典'!$C$38)</ns0:f>
        <ns0:v>84</ns0:v>
      </ns0:c>
      <ns0:c r="D144" s="16">
        <ns0:f>A144*('前提と出典'!$C$36*'契約別単価'!C5+'前提と出典'!$C$37*'契約別単価'!C6+'前提と出典'!$C$38*'契約別単価'!C7)</ns0:f>
        <ns0:v>1007.3743016759777</ns0:v>
      </ns0:c>
      <ns0:c r="E144" s="16">
        <ns0:f>A144*('前提と出典'!$C$36*'契約別単価'!E5+'前提と出典'!$C$37*'契約別単価'!E6+'前提と出典'!$C$38*'契約別単価'!E7)</ns0:f>
        <ns0:v>270892.2519425312</ns0:v>
      </ns0:c>
      <ns0:c r="F144" s="16">
        <ns0:f>A144*('前提と出典'!$C$36*'契約別単価'!F5+'前提と出典'!$C$37*'契約別単価'!F6+'前提と出典'!$C$38*'契約別単価'!F7)</ns0:f>
        <ns0:v>106315.36715856078</ns0:v>
      </ns0:c>
      <ns0:c r="G144" s="16">
        <ns0:f>A144*('前提と出典'!$C$36*'契約別単価'!G5+'前提と出典'!$C$37*'契約別単価'!G6+'前提と出典'!$C$38*'契約別単価'!G7)</ns0:f>
        <ns0:v>278670.3910614525</ns0:v>
      </ns0:c>
      <ns0:c r="H144" s="16">
        <ns0:f>A144*('前提と出典'!$C$36*'契約別単価'!H5+'前提と出典'!$C$37*'契約別単価'!H6+'前提と出典'!$C$38*'契約別単価'!H7)</ns0:f>
        <ns0:v>96712.60211672887</ns0:v>
      </ns0:c>
      <ns0:c r="I144" s="16">
        <ns0:f>A144*('前提と出典'!$C$36*'契約別単価'!I5+'前提と出典'!$C$37*'契約別単価'!I6+'前提と出典'!$C$38*'契約別単価'!I7)</ns0:f>
        <ns0:v>5907.374301675976</ns0:v>
      </ns0:c>
      <ns0:c r="J144" s="16">
        <ns0:f>A144*('前提と出典'!$C$36*'契約別単価'!J5+'前提と出典'!$C$37*'契約別単価'!J6+'前提と出典'!$C$38*'契約別単価'!J7)</ns0:f>
        <ns0:v>13760.536119442359</ns0:v>
      </ns0:c>
      <ns0:c r="K144" s="16">
        <ns0:f>A144*('前提と出典'!$C$36*'契約別単価'!K5+'前提と出典'!$C$37*'契約別単価'!K6+'前提と出典'!$C$38*'契約別単価'!K7)</ns0:f>
        <ns0:v>58982.49534450651</ns0:v>
      </ns0:c>
      <ns0:c r="L144" s="16">
        <ns0:f>A144*('前提と出典'!$C$36*'契約別単価'!L5+'前提と出典'!$C$37*'契約別単価'!L6+'前提と出典'!$C$38*'契約別単価'!L7)</ns0:f>
        <ns0:v>48023.75340389096</ns0:v>
      </ns0:c>
      <ns0:c r="M144" s="16">
        <ns0:f>IF(('前提と出典'!$C$36+'前提と出典'!$C$38)=0,0,IF(B144&lt;=10,'前提と出典'!B73+'前提と出典'!C73,IF(B144&lt;=100,'前提と出典'!B74+'前提と出典'!C74,IF(B144&lt;=500,'前提と出典'!B75+'前提と出典'!C75,'前提と出典'!B76+'前提と出典'!C76))))</ns0:f>
        <ns0:v>20000</ns0:v>
      </ns0:c>
      <ns0:c r="N144" s="16">
        <ns0:f>IF(('前提と出典'!$C$37+'前提と出典'!$C$38)=0,0,IF(C144&lt;=10,'前提と出典'!D73+'前提と出典'!E73,IF(C144&lt;=100,'前提と出典'!D74+'前提と出典'!E74,IF(C144&lt;=500,'前提と出典'!D75+'前提と出典'!E75,'前提と出典'!D76+'前提と出典'!E76))))</ns0:f>
        <ns0:v>34510.9346263078</ns0:v>
      </ns0:c>
      <ns0:c r="O144" s="16">
        <ns0:f>IF('前提と出典'!$C$36+'前提と出典'!$C$38=0,0,'前提と出典'!$B$4*IF('前提と出典'!$B$20=0,MAX('前提と出典'!$B$6,D144*'前提と出典'!$B$5),'前提と出典'!$B$6+D144*'前提と出典'!$B$5))</ns0:f>
        <ns0:v>139017.65363128492</ns0:v>
      </ns0:c>
      <ns0:c r="P144" s="16">
        <ns0:f>(E144+G144)*(1-'前提と出典'!$B$7)-I144-K144-M144-O144</ns0:f>
        <ns0:v>305870.86457837286</ns0:v>
      </ns0:c>
      <ns0:c r="Q144" s="16">
        <ns0:f>(F144+H144)*(1-'前提と出典'!$B$7)-J144-L144-N144</ns0:f>
        <ns0:v>99423.73823173811</ns0:v>
      </ns0:c>
      <ns0:c r="R144" s="16">
        <ns0:f>P144-E144*'前提と出典'!$E$4</ns0:f>
        <ns0:v>224603.18899561345</ns0:v>
      </ns0:c>
      <ns0:c r="S144" s="16">
        <ns0:f>Q144-F144*'前提と出典'!$E$4</ns0:f>
        <ns0:v>67529.12808416988</ns0:v>
      </ns0:c>
      <ns0:c r="T144" s="7">
        <ns0:f>R144+S144</ns0:f>
        <ns0:v>292132.3170797833</ns0:v>
      </ns0:c>
      <ns0:c r="U144" s="16">
        <ns0:f>P144-E144*'前提と出典'!$E$5</ns0:f>
        <ns0:v>197513.96380136037</ns0:v>
      </ns0:c>
      <ns0:c r="V144" s="16">
        <ns0:f>Q144-F144*'前提と出典'!$E$5</ns0:f>
        <ns0:v>56897.5913683138</ns0:v>
      </ns0:c>
      <ns0:c r="W144" s="7">
        <ns0:f>U144+V144</ns0:f>
        <ns0:v>254411.55516967416</ns0:v>
      </ns0:c>
      <ns0:c r="X144" s="16">
        <ns0:f>P144-E144*'前提と出典'!$E$6</ns0:f>
        <ns0:v>170424.73860710723</ns0:v>
      </ns0:c>
      <ns0:c r="Y144" s="16">
        <ns0:f>Q144-F144*'前提と出典'!$E$6</ns0:f>
        <ns0:v>46266.054652457715</ns0:v>
      </ns0:c>
      <ns0:c r="Z144" s="7">
        <ns0:f>X144+Y144</ns0:f>
        <ns0:v>216690.79325956493</ns0:v>
      </ns0:c>
      <ns0:c r="AA144" s="7">
        <ns0:f>IF(T144&gt;=0,A144,1001)</ns0:f>
        <ns0:v>140</ns0:v>
      </ns0:c>
      <ns0:c r="AB144" s="7">
        <ns0:f>IF(T144&lt;0,A144,0)</ns0:f>
        <ns0:v>0</ns0:v>
      </ns0:c>
      <ns0:c r="AC144" s="16">
        <ns0:f>IF(AND(OR('前提と出典'!$C$36+'前提と出典'!$C$38=0,R144&gt;=0),OR('前提と出典'!$C$37+'前提と出典'!$C$38=0,S144&gt;=0)),0,A144)</ns0:f>
        <ns0:v>0</ns0:v>
      </ns0:c>
      <ns0:c r="AD144" s="7">
        <ns0:f>IF(W144&gt;=0,A144,1001)</ns0:f>
        <ns0:v>140</ns0:v>
      </ns0:c>
      <ns0:c r="AE144" s="7">
        <ns0:f>IF(W144&lt;0,A144,0)</ns0:f>
        <ns0:v>0</ns0:v>
      </ns0:c>
      <ns0:c r="AF144" s="16">
        <ns0:f>IF(AND(OR('前提と出典'!$C$36+'前提と出典'!$C$38=0,U144&gt;=0),OR('前提と出典'!$C$37+'前提と出典'!$C$38=0,V144&gt;=0)),0,A144)</ns0:f>
        <ns0:v>0</ns0:v>
      </ns0:c>
      <ns0:c r="AG144" s="7">
        <ns0:f>IF(Z144&gt;=0,A144,1001)</ns0:f>
        <ns0:v>140</ns0:v>
      </ns0:c>
      <ns0:c r="AH144" s="4">
        <ns0:f>IF(Z144&lt;0,A144,0)</ns0:f>
        <ns0:v>0</ns0:v>
      </ns0:c>
      <ns0:c r="AI144" s="12">
        <ns0:f>IF(AND(OR('前提と出典'!$C$36+'前提と出典'!$C$38=0,X144&gt;=0),OR('前提と出典'!$C$37+'前提と出典'!$C$38=0,Y144&gt;=0)),0,A144)</ns0:f>
        <ns0:v>0</ns0:v>
      </ns0:c>
    </ns0:row>
    <ns0:row r="145" ht="24" customHeight="1">
      <ns0:c r="A145" s="4" t="n">
        <ns0:v>141</ns0:v>
      </ns0:c>
      <ns0:c r="B145" s="12">
        <ns0:f>A145*('前提と出典'!$C$36+'前提と出典'!$C$38)</ns0:f>
        <ns0:v>98.69999999999999</ns0:v>
      </ns0:c>
      <ns0:c r="C145" s="12">
        <ns0:f>A145*('前提と出典'!$C$37+'前提と出典'!$C$38)</ns0:f>
        <ns0:v>84.6</ns0:v>
      </ns0:c>
      <ns0:c r="D145" s="16">
        <ns0:f>A145*('前提と出典'!$C$36*'契約別単価'!C5+'前提と出典'!$C$37*'契約別単価'!C6+'前提と出典'!$C$38*'契約別単価'!C7)</ns0:f>
        <ns0:v>1014.5698324022346</ns0:v>
      </ns0:c>
      <ns0:c r="E145" s="16">
        <ns0:f>A145*('前提と出典'!$C$36*'契約別単価'!E5+'前提と出典'!$C$37*'契約別単価'!E6+'前提と出典'!$C$38*'契約別単価'!E7)</ns0:f>
        <ns0:v>272827.1965992636</ns0:v>
      </ns0:c>
      <ns0:c r="F145" s="16">
        <ns0:f>A145*('前提と出典'!$C$36*'契約別単価'!F5+'前提と出典'!$C$37*'契約別単価'!F6+'前提と出典'!$C$38*'契約別単価'!F7)</ns0:f>
        <ns0:v>107074.76263826479</ns0:v>
      </ns0:c>
      <ns0:c r="G145" s="16">
        <ns0:f>A145*('前提と出典'!$C$36*'契約別単価'!G5+'前提と出典'!$C$37*'契約別単価'!G6+'前提と出典'!$C$38*'契約別単価'!G7)</ns0:f>
        <ns0:v>280660.8938547486</ns0:v>
      </ns0:c>
      <ns0:c r="H145" s="16">
        <ns0:f>A145*('前提と出典'!$C$36*'契約別単価'!H5+'前提と出典'!$C$37*'契約別単価'!H6+'前提と出典'!$C$38*'契約別単価'!H7)</ns0:f>
        <ns0:v>97403.40641756266</ns0:v>
      </ns0:c>
      <ns0:c r="I145" s="16">
        <ns0:f>A145*('前提と出典'!$C$36*'契約別単価'!I5+'前提と出典'!$C$37*'契約別単価'!I6+'前提と出典'!$C$38*'契約別単価'!I7)</ns0:f>
        <ns0:v>5949.569832402233</ns0:v>
      </ns0:c>
      <ns0:c r="J145" s="16">
        <ns0:f>A145*('前提と出典'!$C$36*'契約別単価'!J5+'前提と出典'!$C$37*'契約別単価'!J6+'前提と出典'!$C$38*'契約別単価'!J7)</ns0:f>
        <ns0:v>13858.825663152662</ns0:v>
      </ns0:c>
      <ns0:c r="K145" s="16">
        <ns0:f>A145*('前提と出典'!$C$36*'契約別単価'!K5+'前提と出典'!$C$37*'契約別単価'!K6+'前提と出典'!$C$38*'契約別単価'!K7)</ns0:f>
        <ns0:v>59403.79888268156</ns0:v>
      </ns0:c>
      <ns0:c r="L145" s="16">
        <ns0:f>A145*('前提と出典'!$C$36*'契約別単価'!L5+'前提と出典'!$C$37*'契約別単価'!L6+'前提と出典'!$C$38*'契約別単価'!L7)</ns0:f>
        <ns0:v>48366.780213918755</ns0:v>
      </ns0:c>
      <ns0:c r="M145" s="16">
        <ns0:f>IF(('前提と出典'!$C$36+'前提と出典'!$C$38)=0,0,IF(B145&lt;=10,'前提と出典'!B73+'前提と出典'!C73,IF(B145&lt;=100,'前提と出典'!B74+'前提と出典'!C74,IF(B145&lt;=500,'前提と出典'!B75+'前提と出典'!C75,'前提と出典'!B76+'前提と出典'!C76))))</ns0:f>
        <ns0:v>20000</ns0:v>
      </ns0:c>
      <ns0:c r="N145" s="16">
        <ns0:f>IF(('前提と出典'!$C$37+'前提と出典'!$C$38)=0,0,IF(C145&lt;=10,'前提と出典'!D73+'前提と出典'!E73,IF(C145&lt;=100,'前提と出典'!D74+'前提と出典'!E74,IF(C145&lt;=500,'前提と出典'!D75+'前提と出典'!E75,'前提と出典'!D76+'前提と出典'!E76))))</ns0:f>
        <ns0:v>34510.9346263078</ns0:v>
      </ns0:c>
      <ns0:c r="O145" s="16">
        <ns0:f>IF('前提と出典'!$C$36+'前提と出典'!$C$38=0,0,'前提と出典'!$B$4*IF('前提と出典'!$B$20=0,MAX('前提と出典'!$B$6,D145*'前提と出典'!$B$5),'前提と出典'!$B$6+D145*'前提と出典'!$B$5))</ns0:f>
        <ns0:v>140010.63687150838</ns0:v>
      </ns0:c>
      <ns0:c r="P145" s="16">
        <ns0:f>(E145+G145)*(1-'前提と出典'!$B$7)-I145-K145-M145-O145</ns0:f>
        <ns0:v>308198.5136110755</ns0:v>
      </ns0:c>
      <ns0:c r="Q145" s="16">
        <ns0:f>(F145+H145)*(1-'前提と出典'!$B$7)-J145-L145-N145</ns0:f>
        <ns0:v>100380.41446643841</ns0:v>
      </ns0:c>
      <ns0:c r="R145" s="16">
        <ns0:f>P145-E145*'前提と出典'!$E$4</ns0:f>
        <ns0:v>226350.35463129648</ns0:v>
      </ns0:c>
      <ns0:c r="S145" s="16">
        <ns0:f>Q145-F145*'前提と出典'!$E$4</ns0:f>
        <ns0:v>68257.98567495897</ns0:v>
      </ns0:c>
      <ns0:c r="T145" s="7">
        <ns0:f>R145+S145</ns0:f>
        <ns0:v>294608.34030625544</ns0:v>
      </ns0:c>
      <ns0:c r="U145" s="16">
        <ns0:f>P145-E145*'前提と出典'!$E$5</ns0:f>
        <ns0:v>199067.6349713701</ns0:v>
      </ns0:c>
      <ns0:c r="V145" s="16">
        <ns0:f>Q145-F145*'前提と出典'!$E$5</ns0:f>
        <ns0:v>57550.50941113248</ns0:v>
      </ns0:c>
      <ns0:c r="W145" s="7">
        <ns0:f>U145+V145</ns0:f>
        <ns0:v>256618.1443825026</ns0:v>
      </ns0:c>
      <ns0:c r="X145" s="16">
        <ns0:f>P145-E145*'前提と出典'!$E$6</ns0:f>
        <ns0:v>171784.91531144374</ns0:v>
      </ns0:c>
      <ns0:c r="Y145" s="16">
        <ns0:f>Q145-F145*'前提と出典'!$E$6</ns0:f>
        <ns0:v>46843.033147306014</ns0:v>
      </ns0:c>
      <ns0:c r="Z145" s="7">
        <ns0:f>X145+Y145</ns0:f>
        <ns0:v>218627.94845874974</ns0:v>
      </ns0:c>
      <ns0:c r="AA145" s="7">
        <ns0:f>IF(T145&gt;=0,A145,1001)</ns0:f>
        <ns0:v>141</ns0:v>
      </ns0:c>
      <ns0:c r="AB145" s="7">
        <ns0:f>IF(T145&lt;0,A145,0)</ns0:f>
        <ns0:v>0</ns0:v>
      </ns0:c>
      <ns0:c r="AC145" s="16">
        <ns0:f>IF(AND(OR('前提と出典'!$C$36+'前提と出典'!$C$38=0,R145&gt;=0),OR('前提と出典'!$C$37+'前提と出典'!$C$38=0,S145&gt;=0)),0,A145)</ns0:f>
        <ns0:v>0</ns0:v>
      </ns0:c>
      <ns0:c r="AD145" s="7">
        <ns0:f>IF(W145&gt;=0,A145,1001)</ns0:f>
        <ns0:v>141</ns0:v>
      </ns0:c>
      <ns0:c r="AE145" s="7">
        <ns0:f>IF(W145&lt;0,A145,0)</ns0:f>
        <ns0:v>0</ns0:v>
      </ns0:c>
      <ns0:c r="AF145" s="16">
        <ns0:f>IF(AND(OR('前提と出典'!$C$36+'前提と出典'!$C$38=0,U145&gt;=0),OR('前提と出典'!$C$37+'前提と出典'!$C$38=0,V145&gt;=0)),0,A145)</ns0:f>
        <ns0:v>0</ns0:v>
      </ns0:c>
      <ns0:c r="AG145" s="7">
        <ns0:f>IF(Z145&gt;=0,A145,1001)</ns0:f>
        <ns0:v>141</ns0:v>
      </ns0:c>
      <ns0:c r="AH145" s="4">
        <ns0:f>IF(Z145&lt;0,A145,0)</ns0:f>
        <ns0:v>0</ns0:v>
      </ns0:c>
      <ns0:c r="AI145" s="12">
        <ns0:f>IF(AND(OR('前提と出典'!$C$36+'前提と出典'!$C$38=0,X145&gt;=0),OR('前提と出典'!$C$37+'前提と出典'!$C$38=0,Y145&gt;=0)),0,A145)</ns0:f>
        <ns0:v>0</ns0:v>
      </ns0:c>
    </ns0:row>
    <ns0:row r="146" ht="24" customHeight="1">
      <ns0:c r="A146" s="4" t="n">
        <ns0:v>142</ns0:v>
      </ns0:c>
      <ns0:c r="B146" s="12">
        <ns0:f>A146*('前提と出典'!$C$36+'前提と出典'!$C$38)</ns0:f>
        <ns0:v>99.39999999999999</ns0:v>
      </ns0:c>
      <ns0:c r="C146" s="12">
        <ns0:f>A146*('前提と出典'!$C$37+'前提と出典'!$C$38)</ns0:f>
        <ns0:v>85.2</ns0:v>
      </ns0:c>
      <ns0:c r="D146" s="16">
        <ns0:f>A146*('前提と出典'!$C$36*'契約別単価'!C5+'前提と出典'!$C$37*'契約別単価'!C6+'前提と出典'!$C$38*'契約別単価'!C7)</ns0:f>
        <ns0:v>1021.7653631284916</ns0:v>
      </ns0:c>
      <ns0:c r="E146" s="16">
        <ns0:f>A146*('前提と出典'!$C$36*'契約別単価'!E5+'前提と出典'!$C$37*'契約別単価'!E6+'前提と出典'!$C$38*'契約別単価'!E7)</ns0:f>
        <ns0:v>274762.14125599596</ns0:v>
      </ns0:c>
      <ns0:c r="F146" s="16">
        <ns0:f>A146*('前提と出典'!$C$36*'契約別単価'!F5+'前提と出典'!$C$37*'契約別単価'!F6+'前提と出典'!$C$38*'契約別単価'!F7)</ns0:f>
        <ns0:v>107834.1581179688</ns0:v>
      </ns0:c>
      <ns0:c r="G146" s="16">
        <ns0:f>A146*('前提と出典'!$C$36*'契約別単価'!G5+'前提と出典'!$C$37*'契約別単価'!G6+'前提と出典'!$C$38*'契約別単価'!G7)</ns0:f>
        <ns0:v>282651.3966480447</ns0:v>
      </ns0:c>
      <ns0:c r="H146" s="16">
        <ns0:f>A146*('前提と出典'!$C$36*'契約別単価'!H5+'前提と出典'!$C$37*'契約別単価'!H6+'前提と出典'!$C$38*'契約別単価'!H7)</ns0:f>
        <ns0:v>98094.21071839643</ns0:v>
      </ns0:c>
      <ns0:c r="I146" s="16">
        <ns0:f>A146*('前提と出典'!$C$36*'契約別単価'!I5+'前提と出典'!$C$37*'契約別単価'!I6+'前提と出典'!$C$38*'契約別単価'!I7)</ns0:f>
        <ns0:v>5991.76536312849</ns0:v>
      </ns0:c>
      <ns0:c r="J146" s="16">
        <ns0:f>A146*('前提と出典'!$C$36*'契約別単価'!J5+'前提と出典'!$C$37*'契約別単価'!J6+'前提と出典'!$C$38*'契約別単価'!J7)</ns0:f>
        <ns0:v>13957.115206862965</ns0:v>
      </ns0:c>
      <ns0:c r="K146" s="16">
        <ns0:f>A146*('前提と出典'!$C$36*'契約別単価'!K5+'前提と出典'!$C$37*'契約別単価'!K6+'前提と出典'!$C$38*'契約別単価'!K7)</ns0:f>
        <ns0:v>59825.10242085661</ns0:v>
      </ns0:c>
      <ns0:c r="L146" s="16">
        <ns0:f>A146*('前提と出典'!$C$36*'契約別単価'!L5+'前提と出典'!$C$37*'契約別単価'!L6+'前提と出典'!$C$38*'契約別単価'!L7)</ns0:f>
        <ns0:v>48709.807023946545</ns0:v>
      </ns0:c>
      <ns0:c r="M146" s="16">
        <ns0:f>IF(('前提と出典'!$C$36+'前提と出典'!$C$38)=0,0,IF(B146&lt;=10,'前提と出典'!B73+'前提と出典'!C73,IF(B146&lt;=100,'前提と出典'!B74+'前提と出典'!C74,IF(B146&lt;=500,'前提と出典'!B75+'前提と出典'!C75,'前提と出典'!B76+'前提と出典'!C76))))</ns0:f>
        <ns0:v>20000</ns0:v>
      </ns0:c>
      <ns0:c r="N146" s="16">
        <ns0:f>IF(('前提と出典'!$C$37+'前提と出典'!$C$38)=0,0,IF(C146&lt;=10,'前提と出典'!D73+'前提と出典'!E73,IF(C146&lt;=100,'前提と出典'!D74+'前提と出典'!E74,IF(C146&lt;=500,'前提と出典'!D75+'前提と出典'!E75,'前提と出典'!D76+'前提と出典'!E76))))</ns0:f>
        <ns0:v>34510.9346263078</ns0:v>
      </ns0:c>
      <ns0:c r="O146" s="16">
        <ns0:f>IF('前提と出典'!$C$36+'前提と出典'!$C$38=0,0,'前提と出典'!$B$4*IF('前提と出典'!$B$20=0,MAX('前提と出典'!$B$6,D146*'前提と出典'!$B$5),'前提と出典'!$B$6+D146*'前提と出典'!$B$5))</ns0:f>
        <ns0:v>141003.62011173184</ns0:v>
      </ns0:c>
      <ns0:c r="P146" s="16">
        <ns0:f>(E146+G146)*(1-'前提と出典'!$B$7)-I146-K146-M146-O146</ns0:f>
        <ns0:v>310526.16264377825</ns0:v>
      </ns0:c>
      <ns0:c r="Q146" s="16">
        <ns0:f>(F146+H146)*(1-'前提と出典'!$B$7)-J146-L146-N146</ns0:f>
        <ns0:v>101337.0907011388</ns0:v>
      </ns0:c>
      <ns0:c r="R146" s="16">
        <ns0:f>P146-E146*'前提と出典'!$E$4</ns0:f>
        <ns0:v>228097.52026697944</ns0:v>
      </ns0:c>
      <ns0:c r="S146" s="16">
        <ns0:f>Q146-F146*'前提と出典'!$E$4</ns0:f>
        <ns0:v>68986.84326574812</ns0:v>
      </ns0:c>
      <ns0:c r="T146" s="7">
        <ns0:f>R146+S146</ns0:f>
        <ns0:v>297084.3635327276</ns0:v>
      </ns0:c>
      <ns0:c r="U146" s="16">
        <ns0:f>P146-E146*'前提と出典'!$E$5</ns0:f>
        <ns0:v>200621.30614137984</ns0:v>
      </ns0:c>
      <ns0:c r="V146" s="16">
        <ns0:f>Q146-F146*'前提と出典'!$E$5</ns0:f>
        <ns0:v>58203.42745395128</ns0:v>
      </ns0:c>
      <ns0:c r="W146" s="7">
        <ns0:f>U146+V146</ns0:f>
        <ns0:v>258824.7335953311</ns0:v>
      </ns0:c>
      <ns0:c r="X146" s="16">
        <ns0:f>P146-E146*'前提と出典'!$E$6</ns0:f>
        <ns0:v>173145.09201578025</ns0:v>
      </ns0:c>
      <ns0:c r="Y146" s="16">
        <ns0:f>Q146-F146*'前提と出典'!$E$6</ns0:f>
        <ns0:v>47420.011642154386</ns0:v>
      </ns0:c>
      <ns0:c r="Z146" s="7">
        <ns0:f>X146+Y146</ns0:f>
        <ns0:v>220565.10365793464</ns0:v>
      </ns0:c>
      <ns0:c r="AA146" s="7">
        <ns0:f>IF(T146&gt;=0,A146,1001)</ns0:f>
        <ns0:v>142</ns0:v>
      </ns0:c>
      <ns0:c r="AB146" s="7">
        <ns0:f>IF(T146&lt;0,A146,0)</ns0:f>
        <ns0:v>0</ns0:v>
      </ns0:c>
      <ns0:c r="AC146" s="16">
        <ns0:f>IF(AND(OR('前提と出典'!$C$36+'前提と出典'!$C$38=0,R146&gt;=0),OR('前提と出典'!$C$37+'前提と出典'!$C$38=0,S146&gt;=0)),0,A146)</ns0:f>
        <ns0:v>0</ns0:v>
      </ns0:c>
      <ns0:c r="AD146" s="7">
        <ns0:f>IF(W146&gt;=0,A146,1001)</ns0:f>
        <ns0:v>142</ns0:v>
      </ns0:c>
      <ns0:c r="AE146" s="7">
        <ns0:f>IF(W146&lt;0,A146,0)</ns0:f>
        <ns0:v>0</ns0:v>
      </ns0:c>
      <ns0:c r="AF146" s="16">
        <ns0:f>IF(AND(OR('前提と出典'!$C$36+'前提と出典'!$C$38=0,U146&gt;=0),OR('前提と出典'!$C$37+'前提と出典'!$C$38=0,V146&gt;=0)),0,A146)</ns0:f>
        <ns0:v>0</ns0:v>
      </ns0:c>
      <ns0:c r="AG146" s="7">
        <ns0:f>IF(Z146&gt;=0,A146,1001)</ns0:f>
        <ns0:v>142</ns0:v>
      </ns0:c>
      <ns0:c r="AH146" s="4">
        <ns0:f>IF(Z146&lt;0,A146,0)</ns0:f>
        <ns0:v>0</ns0:v>
      </ns0:c>
      <ns0:c r="AI146" s="12">
        <ns0:f>IF(AND(OR('前提と出典'!$C$36+'前提と出典'!$C$38=0,X146&gt;=0),OR('前提と出典'!$C$37+'前提と出典'!$C$38=0,Y146&gt;=0)),0,A146)</ns0:f>
        <ns0:v>0</ns0:v>
      </ns0:c>
    </ns0:row>
    <ns0:row r="147" ht="24" customHeight="1">
      <ns0:c r="A147" s="4" t="n">
        <ns0:v>143</ns0:v>
      </ns0:c>
      <ns0:c r="B147" s="12">
        <ns0:f>A147*('前提と出典'!$C$36+'前提と出典'!$C$38)</ns0:f>
        <ns0:v>100.1</ns0:v>
      </ns0:c>
      <ns0:c r="C147" s="12">
        <ns0:f>A147*('前提と出典'!$C$37+'前提と出典'!$C$38)</ns0:f>
        <ns0:v>85.8</ns0:v>
      </ns0:c>
      <ns0:c r="D147" s="16">
        <ns0:f>A147*('前提と出典'!$C$36*'契約別単価'!C5+'前提と出典'!$C$37*'契約別単価'!C6+'前提と出典'!$C$38*'契約別単価'!C7)</ns0:f>
        <ns0:v>1028.9608938547485</ns0:v>
      </ns0:c>
      <ns0:c r="E147" s="16">
        <ns0:f>A147*('前提と出典'!$C$36*'契約別単価'!E5+'前提と出典'!$C$37*'契約別単価'!E6+'前提と出典'!$C$38*'契約別単価'!E7)</ns0:f>
        <ns0:v>276697.08591272833</ns0:v>
      </ns0:c>
      <ns0:c r="F147" s="16">
        <ns0:f>A147*('前提と出典'!$C$36*'契約別単価'!F5+'前提と出典'!$C$37*'契約別単価'!F6+'前提と出典'!$C$38*'契約別単価'!F7)</ns0:f>
        <ns0:v>108593.5535976728</ns0:v>
      </ns0:c>
      <ns0:c r="G147" s="16">
        <ns0:f>A147*('前提と出典'!$C$36*'契約別単価'!G5+'前提と出典'!$C$37*'契約別単価'!G6+'前提と出典'!$C$38*'契約別単価'!G7)</ns0:f>
        <ns0:v>284641.89944134076</ns0:v>
      </ns0:c>
      <ns0:c r="H147" s="16">
        <ns0:f>A147*('前提と出典'!$C$36*'契約別単価'!H5+'前提と出典'!$C$37*'契約別単価'!H6+'前提と出典'!$C$38*'契約別単価'!H7)</ns0:f>
        <ns0:v>98785.01501923021</ns0:v>
      </ns0:c>
      <ns0:c r="I147" s="16">
        <ns0:f>A147*('前提と出典'!$C$36*'契約別単価'!I5+'前提と出典'!$C$37*'契約別単価'!I6+'前提と出典'!$C$38*'契約別単価'!I7)</ns0:f>
        <ns0:v>6033.960893854747</ns0:v>
      </ns0:c>
      <ns0:c r="J147" s="16">
        <ns0:f>A147*('前提と出典'!$C$36*'契約別単価'!J5+'前提と出典'!$C$37*'契約別単価'!J6+'前提と出典'!$C$38*'契約別単価'!J7)</ns0:f>
        <ns0:v>14055.404750573267</ns0:v>
      </ns0:c>
      <ns0:c r="K147" s="16">
        <ns0:f>A147*('前提と出典'!$C$36*'契約別単価'!K5+'前提と出典'!$C$37*'契約別単価'!K6+'前提と出典'!$C$38*'契約別単価'!K7)</ns0:f>
        <ns0:v>60246.405959031654</ns0:v>
      </ns0:c>
      <ns0:c r="L147" s="16">
        <ns0:f>A147*('前提と出典'!$C$36*'契約別単価'!L5+'前提と出典'!$C$37*'契約別単価'!L6+'前提と出典'!$C$38*'契約別単価'!L7)</ns0:f>
        <ns0:v>49052.83383397434</ns0:v>
      </ns0:c>
      <ns0:c r="M147" s="16">
        <ns0:f>IF(('前提と出典'!$C$36+'前提と出典'!$C$38)=0,0,IF(B147&lt;=10,'前提と出典'!B73+'前提と出典'!C73,IF(B147&lt;=100,'前提と出典'!B74+'前提と出典'!C74,IF(B147&lt;=500,'前提と出典'!B75+'前提と出典'!C75,'前提と出典'!B76+'前提と出典'!C76))))</ns0:f>
        <ns0:v>40000</ns0:v>
      </ns0:c>
      <ns0:c r="N147" s="16">
        <ns0:f>IF(('前提と出典'!$C$37+'前提と出典'!$C$38)=0,0,IF(C147&lt;=10,'前提と出典'!D73+'前提と出典'!E73,IF(C147&lt;=100,'前提と出典'!D74+'前提と出典'!E74,IF(C147&lt;=500,'前提と出典'!D75+'前提と出典'!E75,'前提と出典'!D76+'前提と出典'!E76))))</ns0:f>
        <ns0:v>34510.9346263078</ns0:v>
      </ns0:c>
      <ns0:c r="O147" s="16">
        <ns0:f>IF('前提と出典'!$C$36+'前提と出典'!$C$38=0,0,'前提と出典'!$B$4*IF('前提と出典'!$B$20=0,MAX('前提と出典'!$B$6,D147*'前提と出典'!$B$5),'前提と出典'!$B$6+D147*'前提と出典'!$B$5))</ns0:f>
        <ns0:v>141996.6033519553</ns0:v>
      </ns0:c>
      <ns0:c r="P147" s="16">
        <ns0:f>(E147+G147)*(1-'前提と出典'!$B$7)-I147-K147-M147-O147</ns0:f>
        <ns0:v>292853.811676481</ns0:v>
      </ns0:c>
      <ns0:c r="Q147" s="16">
        <ns0:f>(F147+H147)*(1-'前提と出典'!$B$7)-J147-L147-N147</ns0:f>
        <ns0:v>102293.76693583908</ns0:v>
      </ns0:c>
      <ns0:c r="R147" s="16">
        <ns0:f>P147-E147*'前提と出典'!$E$4</ns0:f>
        <ns0:v>209844.68590266252</ns0:v>
      </ns0:c>
      <ns0:c r="S147" s="16">
        <ns0:f>Q147-F147*'前提と出典'!$E$4</ns0:f>
        <ns0:v>69715.70085653724</ns0:v>
      </ns0:c>
      <ns0:c r="T147" s="7">
        <ns0:f>R147+S147</ns0:f>
        <ns0:v>279560.3867591998</ns0:v>
      </ns0:c>
      <ns0:c r="U147" s="16">
        <ns0:f>P147-E147*'前提と出典'!$E$5</ns0:f>
        <ns0:v>182174.97731138964</ns0:v>
      </ns0:c>
      <ns0:c r="V147" s="16">
        <ns0:f>Q147-F147*'前提と出典'!$E$5</ns0:f>
        <ns0:v>58856.34549676997</ns0:v>
      </ns0:c>
      <ns0:c r="W147" s="7">
        <ns0:f>U147+V147</ns0:f>
        <ns0:v>241031.3228081596</ns0:v>
      </ns0:c>
      <ns0:c r="X147" s="16">
        <ns0:f>P147-E147*'前提と出典'!$E$6</ns0:f>
        <ns0:v>154505.26872011682</ns0:v>
      </ns0:c>
      <ns0:c r="Y147" s="16">
        <ns0:f>Q147-F147*'前提と出典'!$E$6</ns0:f>
        <ns0:v>47996.9901370027</ns0:v>
      </ns0:c>
      <ns0:c r="Z147" s="7">
        <ns0:f>X147+Y147</ns0:f>
        <ns0:v>202502.2588571195</ns0:v>
      </ns0:c>
      <ns0:c r="AA147" s="7">
        <ns0:f>IF(T147&gt;=0,A147,1001)</ns0:f>
        <ns0:v>143</ns0:v>
      </ns0:c>
      <ns0:c r="AB147" s="7">
        <ns0:f>IF(T147&lt;0,A147,0)</ns0:f>
        <ns0:v>0</ns0:v>
      </ns0:c>
      <ns0:c r="AC147" s="16">
        <ns0:f>IF(AND(OR('前提と出典'!$C$36+'前提と出典'!$C$38=0,R147&gt;=0),OR('前提と出典'!$C$37+'前提と出典'!$C$38=0,S147&gt;=0)),0,A147)</ns0:f>
        <ns0:v>0</ns0:v>
      </ns0:c>
      <ns0:c r="AD147" s="7">
        <ns0:f>IF(W147&gt;=0,A147,1001)</ns0:f>
        <ns0:v>143</ns0:v>
      </ns0:c>
      <ns0:c r="AE147" s="7">
        <ns0:f>IF(W147&lt;0,A147,0)</ns0:f>
        <ns0:v>0</ns0:v>
      </ns0:c>
      <ns0:c r="AF147" s="16">
        <ns0:f>IF(AND(OR('前提と出典'!$C$36+'前提と出典'!$C$38=0,U147&gt;=0),OR('前提と出典'!$C$37+'前提と出典'!$C$38=0,V147&gt;=0)),0,A147)</ns0:f>
        <ns0:v>0</ns0:v>
      </ns0:c>
      <ns0:c r="AG147" s="7">
        <ns0:f>IF(Z147&gt;=0,A147,1001)</ns0:f>
        <ns0:v>143</ns0:v>
      </ns0:c>
      <ns0:c r="AH147" s="4">
        <ns0:f>IF(Z147&lt;0,A147,0)</ns0:f>
        <ns0:v>0</ns0:v>
      </ns0:c>
      <ns0:c r="AI147" s="12">
        <ns0:f>IF(AND(OR('前提と出典'!$C$36+'前提と出典'!$C$38=0,X147&gt;=0),OR('前提と出典'!$C$37+'前提と出典'!$C$38=0,Y147&gt;=0)),0,A147)</ns0:f>
        <ns0:v>0</ns0:v>
      </ns0:c>
    </ns0:row>
    <ns0:row r="148" ht="24" customHeight="1">
      <ns0:c r="A148" s="4" t="n">
        <ns0:v>144</ns0:v>
      </ns0:c>
      <ns0:c r="B148" s="12">
        <ns0:f>A148*('前提と出典'!$C$36+'前提と出典'!$C$38)</ns0:f>
        <ns0:v>100.8</ns0:v>
      </ns0:c>
      <ns0:c r="C148" s="12">
        <ns0:f>A148*('前提と出典'!$C$37+'前提と出典'!$C$38)</ns0:f>
        <ns0:v>86.39999999999999</ns0:v>
      </ns0:c>
      <ns0:c r="D148" s="16">
        <ns0:f>A148*('前提と出典'!$C$36*'契約別単価'!C5+'前提と出典'!$C$37*'契約別単価'!C6+'前提と出典'!$C$38*'契約別単価'!C7)</ns0:f>
        <ns0:v>1036.1564245810055</ns0:v>
      </ns0:c>
      <ns0:c r="E148" s="16">
        <ns0:f>A148*('前提と出典'!$C$36*'契約別単価'!E5+'前提と出典'!$C$37*'契約別単価'!E6+'前提と出典'!$C$38*'契約別単価'!E7)</ns0:f>
        <ns0:v>278632.0305694607</ns0:v>
      </ns0:c>
      <ns0:c r="F148" s="16">
        <ns0:f>A148*('前提と出典'!$C$36*'契約別単価'!F5+'前提と出典'!$C$37*'契約別単価'!F6+'前提と出典'!$C$38*'契約別単価'!F7)</ns0:f>
        <ns0:v>109352.9490773768</ns0:v>
      </ns0:c>
      <ns0:c r="G148" s="16">
        <ns0:f>A148*('前提と出典'!$C$36*'契約別単価'!G5+'前提と出典'!$C$37*'契約別単価'!G6+'前提と出典'!$C$38*'契約別単価'!G7)</ns0:f>
        <ns0:v>286632.40223463683</ns0:v>
      </ns0:c>
      <ns0:c r="H148" s="16">
        <ns0:f>A148*('前提と出典'!$C$36*'契約別単価'!H5+'前提と出典'!$C$37*'契約別単価'!H6+'前提と出典'!$C$38*'契約別単価'!H7)</ns0:f>
        <ns0:v>99475.81932006398</ns0:v>
      </ns0:c>
      <ns0:c r="I148" s="16">
        <ns0:f>A148*('前提と出典'!$C$36*'契約別単価'!I5+'前提と出典'!$C$37*'契約別単価'!I6+'前提と出典'!$C$38*'契約別単価'!I7)</ns0:f>
        <ns0:v>6076.156424581004</ns0:v>
      </ns0:c>
      <ns0:c r="J148" s="16">
        <ns0:f>A148*('前提と出典'!$C$36*'契約別単価'!J5+'前提と出典'!$C$37*'契約別単価'!J6+'前提と出典'!$C$38*'契約別単価'!J7)</ns0:f>
        <ns0:v>14153.69429428357</ns0:v>
      </ns0:c>
      <ns0:c r="K148" s="16">
        <ns0:f>A148*('前提と出典'!$C$36*'契約別単価'!K5+'前提と出典'!$C$37*'契約別単価'!K6+'前提と出典'!$C$38*'契約別単価'!K7)</ns0:f>
        <ns0:v>60667.7094972067</ns0:v>
      </ns0:c>
      <ns0:c r="L148" s="16">
        <ns0:f>A148*('前提と出典'!$C$36*'契約別単価'!L5+'前提と出典'!$C$37*'契約別単価'!L6+'前提と出典'!$C$38*'契約別単価'!L7)</ns0:f>
        <ns0:v>49395.86064400213</ns0:v>
      </ns0:c>
      <ns0:c r="M148" s="16">
        <ns0:f>IF(('前提と出典'!$C$36+'前提と出典'!$C$38)=0,0,IF(B148&lt;=10,'前提と出典'!B73+'前提と出典'!C73,IF(B148&lt;=100,'前提と出典'!B74+'前提と出典'!C74,IF(B148&lt;=500,'前提と出典'!B75+'前提と出典'!C75,'前提と出典'!B76+'前提と出典'!C76))))</ns0:f>
        <ns0:v>40000</ns0:v>
      </ns0:c>
      <ns0:c r="N148" s="16">
        <ns0:f>IF(('前提と出典'!$C$37+'前提と出典'!$C$38)=0,0,IF(C148&lt;=10,'前提と出典'!D73+'前提と出典'!E73,IF(C148&lt;=100,'前提と出典'!D74+'前提と出典'!E74,IF(C148&lt;=500,'前提と出典'!D75+'前提と出典'!E75,'前提と出典'!D76+'前提と出典'!E76))))</ns0:f>
        <ns0:v>34510.9346263078</ns0:v>
      </ns0:c>
      <ns0:c r="O148" s="16">
        <ns0:f>IF('前提と出典'!$C$36+'前提と出典'!$C$38=0,0,'前提と出典'!$B$4*IF('前提と出典'!$B$20=0,MAX('前提と出典'!$B$6,D148*'前提と出典'!$B$5),'前提と出典'!$B$6+D148*'前提と出典'!$B$5))</ns0:f>
        <ns0:v>142989.58659217876</ns0:v>
      </ns0:c>
      <ns0:c r="P148" s="16">
        <ns0:f>(E148+G148)*(1-'前提と出典'!$B$7)-I148-K148-M148-O148</ns0:f>
        <ns0:v>295181.4607091835</ns0:v>
      </ns0:c>
      <ns0:c r="Q148" s="16">
        <ns0:f>(F148+H148)*(1-'前提と出典'!$B$7)-J148-L148-N148</ns0:f>
        <ns0:v>103250.44317053942</ns0:v>
      </ns0:c>
      <ns0:c r="R148" s="16">
        <ns0:f>P148-E148*'前提と出典'!$E$4</ns0:f>
        <ns0:v>211591.85153834536</ns0:v>
      </ns0:c>
      <ns0:c r="S148" s="16">
        <ns0:f>Q148-F148*'前提と出典'!$E$4</ns0:f>
        <ns0:v>70444.55844732639</ns0:v>
      </ns0:c>
      <ns0:c r="T148" s="7">
        <ns0:f>R148+S148</ns0:f>
        <ns0:v>282036.40998567175</ns0:v>
      </ns0:c>
      <ns0:c r="U148" s="16">
        <ns0:f>P148-E148*'前提と出典'!$E$5</ns0:f>
        <ns0:v>183728.6484813992</ns0:v>
      </ns0:c>
      <ns0:c r="V148" s="16">
        <ns0:f>Q148-F148*'前提と出典'!$E$5</ns0:f>
        <ns0:v>59509.2635395887</ns0:v>
      </ns0:c>
      <ns0:c r="W148" s="7">
        <ns0:f>U148+V148</ns0:f>
        <ns0:v>243237.9120209879</ns0:v>
      </ns0:c>
      <ns0:c r="X148" s="16">
        <ns0:f>P148-E148*'前提と出典'!$E$6</ns0:f>
        <ns0:v>155865.44542445315</ns0:v>
      </ns0:c>
      <ns0:c r="Y148" s="16">
        <ns0:f>Q148-F148*'前提と出典'!$E$6</ns0:f>
        <ns0:v>48573.96863185103</ns0:v>
      </ns0:c>
      <ns0:c r="Z148" s="7">
        <ns0:f>X148+Y148</ns0:f>
        <ns0:v>204439.41405630417</ns0:v>
      </ns0:c>
      <ns0:c r="AA148" s="7">
        <ns0:f>IF(T148&gt;=0,A148,1001)</ns0:f>
        <ns0:v>144</ns0:v>
      </ns0:c>
      <ns0:c r="AB148" s="7">
        <ns0:f>IF(T148&lt;0,A148,0)</ns0:f>
        <ns0:v>0</ns0:v>
      </ns0:c>
      <ns0:c r="AC148" s="16">
        <ns0:f>IF(AND(OR('前提と出典'!$C$36+'前提と出典'!$C$38=0,R148&gt;=0),OR('前提と出典'!$C$37+'前提と出典'!$C$38=0,S148&gt;=0)),0,A148)</ns0:f>
        <ns0:v>0</ns0:v>
      </ns0:c>
      <ns0:c r="AD148" s="7">
        <ns0:f>IF(W148&gt;=0,A148,1001)</ns0:f>
        <ns0:v>144</ns0:v>
      </ns0:c>
      <ns0:c r="AE148" s="7">
        <ns0:f>IF(W148&lt;0,A148,0)</ns0:f>
        <ns0:v>0</ns0:v>
      </ns0:c>
      <ns0:c r="AF148" s="16">
        <ns0:f>IF(AND(OR('前提と出典'!$C$36+'前提と出典'!$C$38=0,U148&gt;=0),OR('前提と出典'!$C$37+'前提と出典'!$C$38=0,V148&gt;=0)),0,A148)</ns0:f>
        <ns0:v>0</ns0:v>
      </ns0:c>
      <ns0:c r="AG148" s="7">
        <ns0:f>IF(Z148&gt;=0,A148,1001)</ns0:f>
        <ns0:v>144</ns0:v>
      </ns0:c>
      <ns0:c r="AH148" s="4">
        <ns0:f>IF(Z148&lt;0,A148,0)</ns0:f>
        <ns0:v>0</ns0:v>
      </ns0:c>
      <ns0:c r="AI148" s="12">
        <ns0:f>IF(AND(OR('前提と出典'!$C$36+'前提と出典'!$C$38=0,X148&gt;=0),OR('前提と出典'!$C$37+'前提と出典'!$C$38=0,Y148&gt;=0)),0,A148)</ns0:f>
        <ns0:v>0</ns0:v>
      </ns0:c>
    </ns0:row>
    <ns0:row r="149" ht="24" customHeight="1">
      <ns0:c r="A149" s="4" t="n">
        <ns0:v>145</ns0:v>
      </ns0:c>
      <ns0:c r="B149" s="12">
        <ns0:f>A149*('前提と出典'!$C$36+'前提と出典'!$C$38)</ns0:f>
        <ns0:v>101.5</ns0:v>
      </ns0:c>
      <ns0:c r="C149" s="12">
        <ns0:f>A149*('前提と出典'!$C$37+'前提と出典'!$C$38)</ns0:f>
        <ns0:v>87</ns0:v>
      </ns0:c>
      <ns0:c r="D149" s="16">
        <ns0:f>A149*('前提と出典'!$C$36*'契約別単価'!C5+'前提と出典'!$C$37*'契約別単価'!C6+'前提と出典'!$C$38*'契約別単価'!C7)</ns0:f>
        <ns0:v>1043.3519553072626</ns0:v>
      </ns0:c>
      <ns0:c r="E149" s="16">
        <ns0:f>A149*('前提と出典'!$C$36*'契約別単価'!E5+'前提と出典'!$C$37*'契約別単価'!E6+'前提と出典'!$C$38*'契約別単価'!E7)</ns0:f>
        <ns0:v>280566.9752261931</ns0:v>
      </ns0:c>
      <ns0:c r="F149" s="16">
        <ns0:f>A149*('前提と出典'!$C$36*'契約別単価'!F5+'前提と出典'!$C$37*'契約別単価'!F6+'前提と出典'!$C$38*'契約別単価'!F7)</ns0:f>
        <ns0:v>110112.3445570808</ns0:v>
      </ns0:c>
      <ns0:c r="G149" s="16">
        <ns0:f>A149*('前提と出典'!$C$36*'契約別単価'!G5+'前提と出典'!$C$37*'契約別単価'!G6+'前提と出典'!$C$38*'契約別単価'!G7)</ns0:f>
        <ns0:v>288622.90502793295</ns0:v>
      </ns0:c>
      <ns0:c r="H149" s="16">
        <ns0:f>A149*('前提と出典'!$C$36*'契約別単価'!H5+'前提と出典'!$C$37*'契約別単価'!H6+'前提と出典'!$C$38*'契約別単価'!H7)</ns0:f>
        <ns0:v>100166.62362089776</ns0:v>
      </ns0:c>
      <ns0:c r="I149" s="16">
        <ns0:f>A149*('前提と出典'!$C$36*'契約別単価'!I5+'前提と出典'!$C$37*'契約別単価'!I6+'前提と出典'!$C$38*'契約別単価'!I7)</ns0:f>
        <ns0:v>6118.351955307262</ns0:v>
      </ns0:c>
      <ns0:c r="J149" s="16">
        <ns0:f>A149*('前提と出典'!$C$36*'契約別単価'!J5+'前提と出典'!$C$37*'契約別単価'!J6+'前提と出典'!$C$38*'契約別単価'!J7)</ns0:f>
        <ns0:v>14251.983837993872</ns0:v>
      </ns0:c>
      <ns0:c r="K149" s="16">
        <ns0:f>A149*('前提と出典'!$C$36*'契約別単価'!K5+'前提と出典'!$C$37*'契約別単価'!K6+'前提と出典'!$C$38*'契約別単価'!K7)</ns0:f>
        <ns0:v>61089.013035381744</ns0:v>
      </ns0:c>
      <ns0:c r="L149" s="16">
        <ns0:f>A149*('前提と出典'!$C$36*'契約別単価'!L5+'前提と出典'!$C$37*'契約別単価'!L6+'前提と出典'!$C$38*'契約別単価'!L7)</ns0:f>
        <ns0:v>49738.88745402992</ns0:v>
      </ns0:c>
      <ns0:c r="M149" s="16">
        <ns0:f>IF(('前提と出典'!$C$36+'前提と出典'!$C$38)=0,0,IF(B149&lt;=10,'前提と出典'!B73+'前提と出典'!C73,IF(B149&lt;=100,'前提と出典'!B74+'前提と出典'!C74,IF(B149&lt;=500,'前提と出典'!B75+'前提と出典'!C75,'前提と出典'!B76+'前提と出典'!C76))))</ns0:f>
        <ns0:v>40000</ns0:v>
      </ns0:c>
      <ns0:c r="N149" s="16">
        <ns0:f>IF(('前提と出典'!$C$37+'前提と出典'!$C$38)=0,0,IF(C149&lt;=10,'前提と出典'!D73+'前提と出典'!E73,IF(C149&lt;=100,'前提と出典'!D74+'前提と出典'!E74,IF(C149&lt;=500,'前提と出典'!D75+'前提と出典'!E75,'前提と出典'!D76+'前提と出典'!E76))))</ns0:f>
        <ns0:v>34510.9346263078</ns0:v>
      </ns0:c>
      <ns0:c r="O149" s="16">
        <ns0:f>IF('前提と出典'!$C$36+'前提と出典'!$C$38=0,0,'前提と出典'!$B$4*IF('前提と出典'!$B$20=0,MAX('前提と出典'!$B$6,D149*'前提と出典'!$B$5),'前提と出典'!$B$6+D149*'前提と出典'!$B$5))</ns0:f>
        <ns0:v>143982.56983240225</ns0:v>
      </ns0:c>
      <ns0:c r="P149" s="16">
        <ns0:f>(E149+G149)*(1-'前提と出典'!$B$7)-I149-K149-M149-O149</ns0:f>
        <ns0:v>297509.1097418863</ns0:v>
      </ns0:c>
      <ns0:c r="Q149" s="16">
        <ns0:f>(F149+H149)*(1-'前提と出典'!$B$7)-J149-L149-N149</ns0:f>
        <ns0:v>104207.11940523973</ns0:v>
      </ns0:c>
      <ns0:c r="R149" s="16">
        <ns0:f>P149-E149*'前提と出典'!$E$4</ns0:f>
        <ns0:v>213339.01717402835</ns0:v>
      </ns0:c>
      <ns0:c r="S149" s="16">
        <ns0:f>Q149-F149*'前提と出典'!$E$4</ns0:f>
        <ns0:v>71173.41603811551</ns0:v>
      </ns0:c>
      <ns0:c r="T149" s="7">
        <ns0:f>R149+S149</ns0:f>
        <ns0:v>284512.43321214383</ns0:v>
      </ns0:c>
      <ns0:c r="U149" s="16">
        <ns0:f>P149-E149*'前提と出典'!$E$5</ns0:f>
        <ns0:v>185282.31965140908</ns0:v>
      </ns0:c>
      <ns0:c r="V149" s="16">
        <ns0:f>Q149-F149*'前提と出典'!$E$5</ns0:f>
        <ns0:v>60162.18158240742</ns0:v>
      </ns0:c>
      <ns0:c r="W149" s="7">
        <ns0:f>U149+V149</ns0:f>
        <ns0:v>245444.5012338165</ns0:v>
      </ns0:c>
      <ns0:c r="X149" s="16">
        <ns0:f>P149-E149*'前提と出典'!$E$6</ns0:f>
        <ns0:v>157225.62212878975</ns0:v>
      </ns0:c>
      <ns0:c r="Y149" s="16">
        <ns0:f>Q149-F149*'前提と出典'!$E$6</ns0:f>
        <ns0:v>49150.94712669933</ns0:v>
      </ns0:c>
      <ns0:c r="Z149" s="7">
        <ns0:f>X149+Y149</ns0:f>
        <ns0:v>206376.56925548907</ns0:v>
      </ns0:c>
      <ns0:c r="AA149" s="7">
        <ns0:f>IF(T149&gt;=0,A149,1001)</ns0:f>
        <ns0:v>145</ns0:v>
      </ns0:c>
      <ns0:c r="AB149" s="7">
        <ns0:f>IF(T149&lt;0,A149,0)</ns0:f>
        <ns0:v>0</ns0:v>
      </ns0:c>
      <ns0:c r="AC149" s="16">
        <ns0:f>IF(AND(OR('前提と出典'!$C$36+'前提と出典'!$C$38=0,R149&gt;=0),OR('前提と出典'!$C$37+'前提と出典'!$C$38=0,S149&gt;=0)),0,A149)</ns0:f>
        <ns0:v>0</ns0:v>
      </ns0:c>
      <ns0:c r="AD149" s="7">
        <ns0:f>IF(W149&gt;=0,A149,1001)</ns0:f>
        <ns0:v>145</ns0:v>
      </ns0:c>
      <ns0:c r="AE149" s="7">
        <ns0:f>IF(W149&lt;0,A149,0)</ns0:f>
        <ns0:v>0</ns0:v>
      </ns0:c>
      <ns0:c r="AF149" s="16">
        <ns0:f>IF(AND(OR('前提と出典'!$C$36+'前提と出典'!$C$38=0,U149&gt;=0),OR('前提と出典'!$C$37+'前提と出典'!$C$38=0,V149&gt;=0)),0,A149)</ns0:f>
        <ns0:v>0</ns0:v>
      </ns0:c>
      <ns0:c r="AG149" s="7">
        <ns0:f>IF(Z149&gt;=0,A149,1001)</ns0:f>
        <ns0:v>145</ns0:v>
      </ns0:c>
      <ns0:c r="AH149" s="4">
        <ns0:f>IF(Z149&lt;0,A149,0)</ns0:f>
        <ns0:v>0</ns0:v>
      </ns0:c>
      <ns0:c r="AI149" s="12">
        <ns0:f>IF(AND(OR('前提と出典'!$C$36+'前提と出典'!$C$38=0,X149&gt;=0),OR('前提と出典'!$C$37+'前提と出典'!$C$38=0,Y149&gt;=0)),0,A149)</ns0:f>
        <ns0:v>0</ns0:v>
      </ns0:c>
    </ns0:row>
    <ns0:row r="150" ht="24" customHeight="1">
      <ns0:c r="A150" s="4" t="n">
        <ns0:v>146</ns0:v>
      </ns0:c>
      <ns0:c r="B150" s="12">
        <ns0:f>A150*('前提と出典'!$C$36+'前提と出典'!$C$38)</ns0:f>
        <ns0:v>102.19999999999999</ns0:v>
      </ns0:c>
      <ns0:c r="C150" s="12">
        <ns0:f>A150*('前提と出典'!$C$37+'前提と出典'!$C$38)</ns0:f>
        <ns0:v>87.6</ns0:v>
      </ns0:c>
      <ns0:c r="D150" s="16">
        <ns0:f>A150*('前提と出典'!$C$36*'契約別単価'!C5+'前提と出典'!$C$37*'契約別単価'!C6+'前提と出典'!$C$38*'契約別単価'!C7)</ns0:f>
        <ns0:v>1050.5474860335196</ns0:v>
      </ns0:c>
      <ns0:c r="E150" s="16">
        <ns0:f>A150*('前提と出典'!$C$36*'契約別単価'!E5+'前提と出典'!$C$37*'契約別単価'!E6+'前提と出典'!$C$38*'契約別単価'!E7)</ns0:f>
        <ns0:v>282501.9198829254</ns0:v>
      </ns0:c>
      <ns0:c r="F150" s="16">
        <ns0:f>A150*('前提と出典'!$C$36*'契約別単価'!F5+'前提と出典'!$C$37*'契約別単価'!F6+'前提と出典'!$C$38*'契約別単価'!F7)</ns0:f>
        <ns0:v>110871.7400367848</ns0:v>
      </ns0:c>
      <ns0:c r="G150" s="16">
        <ns0:f>A150*('前提と出典'!$C$36*'契約別単価'!G5+'前提と出典'!$C$37*'契約別単価'!G6+'前提と出典'!$C$38*'契約別単価'!G7)</ns0:f>
        <ns0:v>290613.407821229</ns0:v>
      </ns0:c>
      <ns0:c r="H150" s="16">
        <ns0:f>A150*('前提と出典'!$C$36*'契約別単価'!H5+'前提と出典'!$C$37*'契約別単価'!H6+'前提と出典'!$C$38*'契約別単価'!H7)</ns0:f>
        <ns0:v>100857.42792173155</ns0:v>
      </ns0:c>
      <ns0:c r="I150" s="16">
        <ns0:f>A150*('前提と出典'!$C$36*'契約別単価'!I5+'前提と出典'!$C$37*'契約別単価'!I6+'前提と出典'!$C$38*'契約別単価'!I7)</ns0:f>
        <ns0:v>6160.547486033519</ns0:v>
      </ns0:c>
      <ns0:c r="J150" s="16">
        <ns0:f>A150*('前提と出典'!$C$36*'契約別単価'!J5+'前提と出典'!$C$37*'契約別単価'!J6+'前提と出典'!$C$38*'契約別単価'!J7)</ns0:f>
        <ns0:v>14350.273381704175</ns0:v>
      </ns0:c>
      <ns0:c r="K150" s="16">
        <ns0:f>A150*('前提と出典'!$C$36*'契約別単価'!K5+'前提と出典'!$C$37*'契約別単価'!K6+'前提と出典'!$C$38*'契約別単価'!K7)</ns0:f>
        <ns0:v>61510.316573556796</ns0:v>
      </ns0:c>
      <ns0:c r="L150" s="16">
        <ns0:f>A150*('前提と出典'!$C$36*'契約別単価'!L5+'前提と出典'!$C$37*'契約別単価'!L6+'前提と出典'!$C$38*'契約別単価'!L7)</ns0:f>
        <ns0:v>50081.91426405772</ns0:v>
      </ns0:c>
      <ns0:c r="M150" s="16">
        <ns0:f>IF(('前提と出典'!$C$36+'前提と出典'!$C$38)=0,0,IF(B150&lt;=10,'前提と出典'!B73+'前提と出典'!C73,IF(B150&lt;=100,'前提と出典'!B74+'前提と出典'!C74,IF(B150&lt;=500,'前提と出典'!B75+'前提と出典'!C75,'前提と出典'!B76+'前提と出典'!C76))))</ns0:f>
        <ns0:v>40000</ns0:v>
      </ns0:c>
      <ns0:c r="N150" s="16">
        <ns0:f>IF(('前提と出典'!$C$37+'前提と出典'!$C$38)=0,0,IF(C150&lt;=10,'前提と出典'!D73+'前提と出典'!E73,IF(C150&lt;=100,'前提と出典'!D74+'前提と出典'!E74,IF(C150&lt;=500,'前提と出典'!D75+'前提と出典'!E75,'前提と出典'!D76+'前提と出典'!E76))))</ns0:f>
        <ns0:v>34510.9346263078</ns0:v>
      </ns0:c>
      <ns0:c r="O150" s="16">
        <ns0:f>IF('前提と出典'!$C$36+'前提と出典'!$C$38=0,0,'前提と出典'!$B$4*IF('前提と出典'!$B$20=0,MAX('前提と出典'!$B$6,D150*'前提と出典'!$B$5),'前提と出典'!$B$6+D150*'前提と出典'!$B$5))</ns0:f>
        <ns0:v>144975.5530726257</ns0:v>
      </ns0:c>
      <ns0:c r="P150" s="16">
        <ns0:f>(E150+G150)*(1-'前提と出典'!$B$7)-I150-K150-M150-O150</ns0:f>
        <ns0:v>299836.7587745888</ns0:v>
      </ns0:c>
      <ns0:c r="Q150" s="16">
        <ns0:f>(F150+H150)*(1-'前提と出典'!$B$7)-J150-L150-N150</ns0:f>
        <ns0:v>105163.79563994006</ns0:v>
      </ns0:c>
      <ns0:c r="R150" s="16">
        <ns0:f>P150-E150*'前提と出典'!$E$4</ns0:f>
        <ns0:v>215086.1828097112</ns0:v>
      </ns0:c>
      <ns0:c r="S150" s="16">
        <ns0:f>Q150-F150*'前提と出典'!$E$4</ns0:f>
        <ns0:v>71902.27362890463</ns0:v>
      </ns0:c>
      <ns0:c r="T150" s="7">
        <ns0:f>R150+S150</ns0:f>
        <ns0:v>286988.4564386158</ns0:v>
      </ns0:c>
      <ns0:c r="U150" s="16">
        <ns0:f>P150-E150*'前提と出典'!$E$5</ns0:f>
        <ns0:v>186835.99082141864</ns0:v>
      </ns0:c>
      <ns0:c r="V150" s="16">
        <ns0:f>Q150-F150*'前提と出典'!$E$5</ns0:f>
        <ns0:v>60815.09962522613</ns0:v>
      </ns0:c>
      <ns0:c r="W150" s="7">
        <ns0:f>U150+V150</ns0:f>
        <ns0:v>247651.09044664478</ns0:v>
      </ns0:c>
      <ns0:c r="X150" s="16">
        <ns0:f>P150-E150*'前提と出典'!$E$6</ns0:f>
        <ns0:v>158585.7988331261</ns0:v>
      </ns0:c>
      <ns0:c r="Y150" s="16">
        <ns0:f>Q150-F150*'前提と出典'!$E$6</ns0:f>
        <ns0:v>49727.92562154767</ns0:v>
      </ns0:c>
      <ns0:c r="Z150" s="7">
        <ns0:f>X150+Y150</ns0:f>
        <ns0:v>208313.72445467376</ns0:v>
      </ns0:c>
      <ns0:c r="AA150" s="7">
        <ns0:f>IF(T150&gt;=0,A150,1001)</ns0:f>
        <ns0:v>146</ns0:v>
      </ns0:c>
      <ns0:c r="AB150" s="7">
        <ns0:f>IF(T150&lt;0,A150,0)</ns0:f>
        <ns0:v>0</ns0:v>
      </ns0:c>
      <ns0:c r="AC150" s="16">
        <ns0:f>IF(AND(OR('前提と出典'!$C$36+'前提と出典'!$C$38=0,R150&gt;=0),OR('前提と出典'!$C$37+'前提と出典'!$C$38=0,S150&gt;=0)),0,A150)</ns0:f>
        <ns0:v>0</ns0:v>
      </ns0:c>
      <ns0:c r="AD150" s="7">
        <ns0:f>IF(W150&gt;=0,A150,1001)</ns0:f>
        <ns0:v>146</ns0:v>
      </ns0:c>
      <ns0:c r="AE150" s="7">
        <ns0:f>IF(W150&lt;0,A150,0)</ns0:f>
        <ns0:v>0</ns0:v>
      </ns0:c>
      <ns0:c r="AF150" s="16">
        <ns0:f>IF(AND(OR('前提と出典'!$C$36+'前提と出典'!$C$38=0,U150&gt;=0),OR('前提と出典'!$C$37+'前提と出典'!$C$38=0,V150&gt;=0)),0,A150)</ns0:f>
        <ns0:v>0</ns0:v>
      </ns0:c>
      <ns0:c r="AG150" s="7">
        <ns0:f>IF(Z150&gt;=0,A150,1001)</ns0:f>
        <ns0:v>146</ns0:v>
      </ns0:c>
      <ns0:c r="AH150" s="4">
        <ns0:f>IF(Z150&lt;0,A150,0)</ns0:f>
        <ns0:v>0</ns0:v>
      </ns0:c>
      <ns0:c r="AI150" s="12">
        <ns0:f>IF(AND(OR('前提と出典'!$C$36+'前提と出典'!$C$38=0,X150&gt;=0),OR('前提と出典'!$C$37+'前提と出典'!$C$38=0,Y150&gt;=0)),0,A150)</ns0:f>
        <ns0:v>0</ns0:v>
      </ns0:c>
    </ns0:row>
    <ns0:row r="151" ht="24" customHeight="1">
      <ns0:c r="A151" s="4" t="n">
        <ns0:v>147</ns0:v>
      </ns0:c>
      <ns0:c r="B151" s="12">
        <ns0:f>A151*('前提と出典'!$C$36+'前提と出典'!$C$38)</ns0:f>
        <ns0:v>102.89999999999999</ns0:v>
      </ns0:c>
      <ns0:c r="C151" s="12">
        <ns0:f>A151*('前提と出典'!$C$37+'前提と出典'!$C$38)</ns0:f>
        <ns0:v>88.2</ns0:v>
      </ns0:c>
      <ns0:c r="D151" s="16">
        <ns0:f>A151*('前提と出典'!$C$36*'契約別単価'!C5+'前提と出典'!$C$37*'契約別単価'!C6+'前提と出典'!$C$38*'契約別単価'!C7)</ns0:f>
        <ns0:v>1057.7430167597765</ns0:v>
      </ns0:c>
      <ns0:c r="E151" s="16">
        <ns0:f>A151*('前提と出典'!$C$36*'契約別単価'!E5+'前提と出典'!$C$37*'契約別単価'!E6+'前提と出典'!$C$38*'契約別単価'!E7)</ns0:f>
        <ns0:v>284436.8645396578</ns0:v>
      </ns0:c>
      <ns0:c r="F151" s="16">
        <ns0:f>A151*('前提と出典'!$C$36*'契約別単価'!F5+'前提と出典'!$C$37*'契約別単価'!F6+'前提と出典'!$C$38*'契約別単価'!F7)</ns0:f>
        <ns0:v>111631.13551648881</ns0:v>
      </ns0:c>
      <ns0:c r="G151" s="16">
        <ns0:f>A151*('前提と出典'!$C$36*'契約別単価'!G5+'前提と出典'!$C$37*'契約別単価'!G6+'前提と出典'!$C$38*'契約別単価'!G7)</ns0:f>
        <ns0:v>292603.91061452514</ns0:v>
      </ns0:c>
      <ns0:c r="H151" s="16">
        <ns0:f>A151*('前提と出典'!$C$36*'契約別単価'!H5+'前提と出典'!$C$37*'契約別単価'!H6+'前提と出典'!$C$38*'契約別単価'!H7)</ns0:f>
        <ns0:v>101548.23222256532</ns0:v>
      </ns0:c>
      <ns0:c r="I151" s="16">
        <ns0:f>A151*('前提と出典'!$C$36*'契約別単価'!I5+'前提と出典'!$C$37*'契約別単価'!I6+'前提と出典'!$C$38*'契約別単価'!I7)</ns0:f>
        <ns0:v>6202.743016759776</ns0:v>
      </ns0:c>
      <ns0:c r="J151" s="16">
        <ns0:f>A151*('前提と出典'!$C$36*'契約別単価'!J5+'前提と出典'!$C$37*'契約別単価'!J6+'前提と出典'!$C$38*'契約別単価'!J7)</ns0:f>
        <ns0:v>14448.562925414477</ns0:v>
      </ns0:c>
      <ns0:c r="K151" s="16">
        <ns0:f>A151*('前提と出典'!$C$36*'契約別単価'!K5+'前提と出典'!$C$37*'契約別単価'!K6+'前提と出典'!$C$38*'契約別単価'!K7)</ns0:f>
        <ns0:v>61931.62011173184</ns0:v>
      </ns0:c>
      <ns0:c r="L151" s="16">
        <ns0:f>A151*('前提と出典'!$C$36*'契約別単価'!L5+'前提と出典'!$C$37*'契約別単価'!L6+'前提と出典'!$C$38*'契約別単価'!L7)</ns0:f>
        <ns0:v>50424.94107408551</ns0:v>
      </ns0:c>
      <ns0:c r="M151" s="16">
        <ns0:f>IF(('前提と出典'!$C$36+'前提と出典'!$C$38)=0,0,IF(B151&lt;=10,'前提と出典'!B73+'前提と出典'!C73,IF(B151&lt;=100,'前提と出典'!B74+'前提と出典'!C74,IF(B151&lt;=500,'前提と出典'!B75+'前提と出典'!C75,'前提と出典'!B76+'前提と出典'!C76))))</ns0:f>
        <ns0:v>40000</ns0:v>
      </ns0:c>
      <ns0:c r="N151" s="16">
        <ns0:f>IF(('前提と出典'!$C$37+'前提と出典'!$C$38)=0,0,IF(C151&lt;=10,'前提と出典'!D73+'前提と出典'!E73,IF(C151&lt;=100,'前提と出典'!D74+'前提と出典'!E74,IF(C151&lt;=500,'前提と出典'!D75+'前提と出典'!E75,'前提と出典'!D76+'前提と出典'!E76))))</ns0:f>
        <ns0:v>34510.9346263078</ns0:v>
      </ns0:c>
      <ns0:c r="O151" s="16">
        <ns0:f>IF('前提と出典'!$C$36+'前提と出典'!$C$38=0,0,'前提と出典'!$B$4*IF('前提と出典'!$B$20=0,MAX('前提と出典'!$B$6,D151*'前提と出典'!$B$5),'前提と出典'!$B$6+D151*'前提と出典'!$B$5))</ns0:f>
        <ns0:v>145968.53631284917</ns0:v>
      </ns0:c>
      <ns0:c r="P151" s="16">
        <ns0:f>(E151+G151)*(1-'前提と出典'!$B$7)-I151-K151-M151-O151</ns0:f>
        <ns0:v>302164.40780729154</ns0:v>
      </ns0:c>
      <ns0:c r="Q151" s="16">
        <ns0:f>(F151+H151)*(1-'前提と出典'!$B$7)-J151-L151-N151</ns0:f>
        <ns0:v>106120.47187464043</ns0:v>
      </ns0:c>
      <ns0:c r="R151" s="16">
        <ns0:f>P151-E151*'前提と出典'!$E$4</ns0:f>
        <ns0:v>216833.34844539428</ns0:v>
      </ns0:c>
      <ns0:c r="S151" s="16">
        <ns0:f>Q151-F151*'前提と出典'!$E$4</ns0:f>
        <ns0:v>72631.13121969378</ns0:v>
      </ns0:c>
      <ns0:c r="T151" s="7">
        <ns0:f>R151+S151</ns0:f>
        <ns0:v>289464.47966508806</ns0:v>
      </ns0:c>
      <ns0:c r="U151" s="16">
        <ns0:f>P151-E151*'前提と出典'!$E$5</ns0:f>
        <ns0:v>188389.66199142844</ns0:v>
      </ns0:c>
      <ns0:c r="V151" s="16">
        <ns0:f>Q151-F151*'前提と出典'!$E$5</ns0:f>
        <ns0:v>61468.0176680449</ns0:v>
      </ns0:c>
      <ns0:c r="W151" s="7">
        <ns0:f>U151+V151</ns0:f>
        <ns0:v>249857.67965947333</ns0:v>
      </ns0:c>
      <ns0:c r="X151" s="16">
        <ns0:f>P151-E151*'前提と出典'!$E$6</ns0:f>
        <ns0:v>159945.9755374627</ns0:v>
      </ns0:c>
      <ns0:c r="Y151" s="16">
        <ns0:f>Q151-F151*'前提と出典'!$E$6</ns0:f>
        <ns0:v>50304.904116396014</ns0:v>
      </ns0:c>
      <ns0:c r="Z151" s="7">
        <ns0:f>X151+Y151</ns0:f>
        <ns0:v>210250.87965385872</ns0:v>
      </ns0:c>
      <ns0:c r="AA151" s="7">
        <ns0:f>IF(T151&gt;=0,A151,1001)</ns0:f>
        <ns0:v>147</ns0:v>
      </ns0:c>
      <ns0:c r="AB151" s="7">
        <ns0:f>IF(T151&lt;0,A151,0)</ns0:f>
        <ns0:v>0</ns0:v>
      </ns0:c>
      <ns0:c r="AC151" s="16">
        <ns0:f>IF(AND(OR('前提と出典'!$C$36+'前提と出典'!$C$38=0,R151&gt;=0),OR('前提と出典'!$C$37+'前提と出典'!$C$38=0,S151&gt;=0)),0,A151)</ns0:f>
        <ns0:v>0</ns0:v>
      </ns0:c>
      <ns0:c r="AD151" s="7">
        <ns0:f>IF(W151&gt;=0,A151,1001)</ns0:f>
        <ns0:v>147</ns0:v>
      </ns0:c>
      <ns0:c r="AE151" s="7">
        <ns0:f>IF(W151&lt;0,A151,0)</ns0:f>
        <ns0:v>0</ns0:v>
      </ns0:c>
      <ns0:c r="AF151" s="16">
        <ns0:f>IF(AND(OR('前提と出典'!$C$36+'前提と出典'!$C$38=0,U151&gt;=0),OR('前提と出典'!$C$37+'前提と出典'!$C$38=0,V151&gt;=0)),0,A151)</ns0:f>
        <ns0:v>0</ns0:v>
      </ns0:c>
      <ns0:c r="AG151" s="7">
        <ns0:f>IF(Z151&gt;=0,A151,1001)</ns0:f>
        <ns0:v>147</ns0:v>
      </ns0:c>
      <ns0:c r="AH151" s="4">
        <ns0:f>IF(Z151&lt;0,A151,0)</ns0:f>
        <ns0:v>0</ns0:v>
      </ns0:c>
      <ns0:c r="AI151" s="12">
        <ns0:f>IF(AND(OR('前提と出典'!$C$36+'前提と出典'!$C$38=0,X151&gt;=0),OR('前提と出典'!$C$37+'前提と出典'!$C$38=0,Y151&gt;=0)),0,A151)</ns0:f>
        <ns0:v>0</ns0:v>
      </ns0:c>
    </ns0:row>
    <ns0:row r="152" ht="24" customHeight="1">
      <ns0:c r="A152" s="4" t="n">
        <ns0:v>148</ns0:v>
      </ns0:c>
      <ns0:c r="B152" s="12">
        <ns0:f>A152*('前提と出典'!$C$36+'前提と出典'!$C$38)</ns0:f>
        <ns0:v>103.6</ns0:v>
      </ns0:c>
      <ns0:c r="C152" s="12">
        <ns0:f>A152*('前提と出典'!$C$37+'前提と出典'!$C$38)</ns0:f>
        <ns0:v>88.8</ns0:v>
      </ns0:c>
      <ns0:c r="D152" s="16">
        <ns0:f>A152*('前提と出典'!$C$36*'契約別単価'!C5+'前提と出典'!$C$37*'契約別単価'!C6+'前提と出典'!$C$38*'契約別単価'!C7)</ns0:f>
        <ns0:v>1064.9385474860335</ns0:v>
      </ns0:c>
      <ns0:c r="E152" s="16">
        <ns0:f>A152*('前提と出典'!$C$36*'契約別単価'!E5+'前提と出典'!$C$37*'契約別単価'!E6+'前提と出典'!$C$38*'契約別単価'!E7)</ns0:f>
        <ns0:v>286371.80919639015</ns0:v>
      </ns0:c>
      <ns0:c r="F152" s="16">
        <ns0:f>A152*('前提と出典'!$C$36*'契約別単価'!F5+'前提と出典'!$C$37*'契約別単価'!F6+'前提と出典'!$C$38*'契約別単価'!F7)</ns0:f>
        <ns0:v>112390.53099619281</ns0:v>
      </ns0:c>
      <ns0:c r="G152" s="16">
        <ns0:f>A152*('前提と出典'!$C$36*'契約別単価'!G5+'前提と出典'!$C$37*'契約別単価'!G6+'前提と出典'!$C$38*'契約別単価'!G7)</ns0:f>
        <ns0:v>294594.4134078212</ns0:v>
      </ns0:c>
      <ns0:c r="H152" s="16">
        <ns0:f>A152*('前提と出典'!$C$36*'契約別単価'!H5+'前提と出典'!$C$37*'契約別単価'!H6+'前提と出典'!$C$38*'契約別単価'!H7)</ns0:f>
        <ns0:v>102239.0365233991</ns0:v>
      </ns0:c>
      <ns0:c r="I152" s="16">
        <ns0:f>A152*('前提と出典'!$C$36*'契約別単価'!I5+'前提と出典'!$C$37*'契約別単価'!I6+'前提と出典'!$C$38*'契約別単価'!I7)</ns0:f>
        <ns0:v>6244.938547486033</ns0:v>
      </ns0:c>
      <ns0:c r="J152" s="16">
        <ns0:f>A152*('前提と出典'!$C$36*'契約別単価'!J5+'前提と出典'!$C$37*'契約別単価'!J6+'前提と出典'!$C$38*'契約別単価'!J7)</ns0:f>
        <ns0:v>14546.85246912478</ns0:v>
      </ns0:c>
      <ns0:c r="K152" s="16">
        <ns0:f>A152*('前提と出典'!$C$36*'契約別単価'!K5+'前提と出典'!$C$37*'契約別単価'!K6+'前提と出典'!$C$38*'契約別単価'!K7)</ns0:f>
        <ns0:v>62352.92364990689</ns0:v>
      </ns0:c>
      <ns0:c r="L152" s="16">
        <ns0:f>A152*('前提と出典'!$C$36*'契約別単価'!L5+'前提と出典'!$C$37*'契約別単価'!L6+'前提と出典'!$C$38*'契約別単価'!L7)</ns0:f>
        <ns0:v>50767.9678841133</ns0:v>
      </ns0:c>
      <ns0:c r="M152" s="16">
        <ns0:f>IF(('前提と出典'!$C$36+'前提と出典'!$C$38)=0,0,IF(B152&lt;=10,'前提と出典'!B73+'前提と出典'!C73,IF(B152&lt;=100,'前提と出典'!B74+'前提と出典'!C74,IF(B152&lt;=500,'前提と出典'!B75+'前提と出典'!C75,'前提と出典'!B76+'前提と出典'!C76))))</ns0:f>
        <ns0:v>40000</ns0:v>
      </ns0:c>
      <ns0:c r="N152" s="16">
        <ns0:f>IF(('前提と出典'!$C$37+'前提と出典'!$C$38)=0,0,IF(C152&lt;=10,'前提と出典'!D73+'前提と出典'!E73,IF(C152&lt;=100,'前提と出典'!D74+'前提と出典'!E74,IF(C152&lt;=500,'前提と出典'!D75+'前提と出典'!E75,'前提と出典'!D76+'前提と出典'!E76))))</ns0:f>
        <ns0:v>34510.9346263078</ns0:v>
      </ns0:c>
      <ns0:c r="O152" s="16">
        <ns0:f>IF('前提と出典'!$C$36+'前提と出典'!$C$38=0,0,'前提と出典'!$B$4*IF('前提と出典'!$B$20=0,MAX('前提と出典'!$B$6,D152*'前提と出典'!$B$5),'前提と出典'!$B$6+D152*'前提と出典'!$B$5))</ns0:f>
        <ns0:v>146961.51955307263</ns0:v>
      </ns0:c>
      <ns0:c r="P152" s="16">
        <ns0:f>(E152+G152)*(1-'前提と出典'!$B$7)-I152-K152-M152-O152</ns0:f>
        <ns0:v>304492.0568399943</ns0:v>
      </ns0:c>
      <ns0:c r="Q152" s="16">
        <ns0:f>(F152+H152)*(1-'前提と出典'!$B$7)-J152-L152-N152</ns0:f>
        <ns0:v>107077.14810934075</ns0:v>
      </ns0:c>
      <ns0:c r="R152" s="16">
        <ns0:f>P152-E152*'前提と出典'!$E$4</ns0:f>
        <ns0:v>218580.51408107724</ns0:v>
      </ns0:c>
      <ns0:c r="S152" s="16">
        <ns0:f>Q152-F152*'前提と出典'!$E$4</ns0:f>
        <ns0:v>73359.9888104829</ns0:v>
      </ns0:c>
      <ns0:c r="T152" s="7">
        <ns0:f>R152+S152</ns0:f>
        <ns0:v>291940.50289156014</ns0:v>
      </ns0:c>
      <ns0:c r="U152" s="16">
        <ns0:f>P152-E152*'前提と出典'!$E$5</ns0:f>
        <ns0:v>189943.33316143823</ns0:v>
      </ns0:c>
      <ns0:c r="V152" s="16">
        <ns0:f>Q152-F152*'前提と出典'!$E$5</ns0:f>
        <ns0:v>62120.93571086361</ns0:v>
      </ns0:c>
      <ns0:c r="W152" s="7">
        <ns0:f>U152+V152</ns0:f>
        <ns0:v>252064.26887230185</ns0:v>
      </ns0:c>
      <ns0:c r="X152" s="16">
        <ns0:f>P152-E152*'前提と出典'!$E$6</ns0:f>
        <ns0:v>161306.15224179917</ns0:v>
      </ns0:c>
      <ns0:c r="Y152" s="16">
        <ns0:f>Q152-F152*'前提と出典'!$E$6</ns0:f>
        <ns0:v>50881.88261124433</ns0:v>
      </ns0:c>
      <ns0:c r="Z152" s="7">
        <ns0:f>X152+Y152</ns0:f>
        <ns0:v>212188.0348530435</ns0:v>
      </ns0:c>
      <ns0:c r="AA152" s="7">
        <ns0:f>IF(T152&gt;=0,A152,1001)</ns0:f>
        <ns0:v>148</ns0:v>
      </ns0:c>
      <ns0:c r="AB152" s="7">
        <ns0:f>IF(T152&lt;0,A152,0)</ns0:f>
        <ns0:v>0</ns0:v>
      </ns0:c>
      <ns0:c r="AC152" s="16">
        <ns0:f>IF(AND(OR('前提と出典'!$C$36+'前提と出典'!$C$38=0,R152&gt;=0),OR('前提と出典'!$C$37+'前提と出典'!$C$38=0,S152&gt;=0)),0,A152)</ns0:f>
        <ns0:v>0</ns0:v>
      </ns0:c>
      <ns0:c r="AD152" s="7">
        <ns0:f>IF(W152&gt;=0,A152,1001)</ns0:f>
        <ns0:v>148</ns0:v>
      </ns0:c>
      <ns0:c r="AE152" s="7">
        <ns0:f>IF(W152&lt;0,A152,0)</ns0:f>
        <ns0:v>0</ns0:v>
      </ns0:c>
      <ns0:c r="AF152" s="16">
        <ns0:f>IF(AND(OR('前提と出典'!$C$36+'前提と出典'!$C$38=0,U152&gt;=0),OR('前提と出典'!$C$37+'前提と出典'!$C$38=0,V152&gt;=0)),0,A152)</ns0:f>
        <ns0:v>0</ns0:v>
      </ns0:c>
      <ns0:c r="AG152" s="7">
        <ns0:f>IF(Z152&gt;=0,A152,1001)</ns0:f>
        <ns0:v>148</ns0:v>
      </ns0:c>
      <ns0:c r="AH152" s="4">
        <ns0:f>IF(Z152&lt;0,A152,0)</ns0:f>
        <ns0:v>0</ns0:v>
      </ns0:c>
      <ns0:c r="AI152" s="12">
        <ns0:f>IF(AND(OR('前提と出典'!$C$36+'前提と出典'!$C$38=0,X152&gt;=0),OR('前提と出典'!$C$37+'前提と出典'!$C$38=0,Y152&gt;=0)),0,A152)</ns0:f>
        <ns0:v>0</ns0:v>
      </ns0:c>
    </ns0:row>
    <ns0:row r="153" ht="24" customHeight="1">
      <ns0:c r="A153" s="4" t="n">
        <ns0:v>149</ns0:v>
      </ns0:c>
      <ns0:c r="B153" s="12">
        <ns0:f>A153*('前提と出典'!$C$36+'前提と出典'!$C$38)</ns0:f>
        <ns0:v>104.3</ns0:v>
      </ns0:c>
      <ns0:c r="C153" s="12">
        <ns0:f>A153*('前提と出典'!$C$37+'前提と出典'!$C$38)</ns0:f>
        <ns0:v>89.39999999999999</ns0:v>
      </ns0:c>
      <ns0:c r="D153" s="16">
        <ns0:f>A153*('前提と出典'!$C$36*'契約別単価'!C5+'前提と出典'!$C$37*'契約別単価'!C6+'前提と出典'!$C$38*'契約別単価'!C7)</ns0:f>
        <ns0:v>1072.1340782122904</ns0:v>
      </ns0:c>
      <ns0:c r="E153" s="16">
        <ns0:f>A153*('前提と出典'!$C$36*'契約別単価'!E5+'前提と出典'!$C$37*'契約別単価'!E6+'前提と出典'!$C$38*'契約別単価'!E7)</ns0:f>
        <ns0:v>288306.75385312253</ns0:v>
      </ns0:c>
      <ns0:c r="F153" s="16">
        <ns0:f>A153*('前提と出典'!$C$36*'契約別単価'!F5+'前提と出典'!$C$37*'契約別単価'!F6+'前提と出典'!$C$38*'契約別単価'!F7)</ns0:f>
        <ns0:v>113149.92647589682</ns0:v>
      </ns0:c>
      <ns0:c r="G153" s="16">
        <ns0:f>A153*('前提と出典'!$C$36*'契約別単価'!G5+'前提と出典'!$C$37*'契約別単価'!G6+'前提と出典'!$C$38*'契約別単価'!G7)</ns0:f>
        <ns0:v>296584.91620111733</ns0:v>
      </ns0:c>
      <ns0:c r="H153" s="16">
        <ns0:f>A153*('前提と出典'!$C$36*'契約別単価'!H5+'前提と出典'!$C$37*'契約別単価'!H6+'前提と出典'!$C$38*'契約別単価'!H7)</ns0:f>
        <ns0:v>102929.84082423287</ns0:v>
      </ns0:c>
      <ns0:c r="I153" s="16">
        <ns0:f>A153*('前提と出典'!$C$36*'契約別単価'!I5+'前提と出典'!$C$37*'契約別単価'!I6+'前提と出典'!$C$38*'契約別単価'!I7)</ns0:f>
        <ns0:v>6287.13407821229</ns0:v>
      </ns0:c>
      <ns0:c r="J153" s="16">
        <ns0:f>A153*('前提と出典'!$C$36*'契約別単価'!J5+'前提と出典'!$C$37*'契約別単価'!J6+'前提と出典'!$C$38*'契約別単価'!J7)</ns0:f>
        <ns0:v>14645.142012835082</ns0:v>
      </ns0:c>
      <ns0:c r="K153" s="16">
        <ns0:f>A153*('前提と出典'!$C$36*'契約別単価'!K5+'前提と出典'!$C$37*'契約別単価'!K6+'前提と出典'!$C$38*'契約別単価'!K7)</ns0:f>
        <ns0:v>62774.22718808193</ns0:v>
      </ns0:c>
      <ns0:c r="L153" s="16">
        <ns0:f>A153*('前提と出典'!$C$36*'契約別単価'!L5+'前提と出典'!$C$37*'契約別単価'!L6+'前提と出典'!$C$38*'契約別単価'!L7)</ns0:f>
        <ns0:v>51110.994694141096</ns0:v>
      </ns0:c>
      <ns0:c r="M153" s="16">
        <ns0:f>IF(('前提と出典'!$C$36+'前提と出典'!$C$38)=0,0,IF(B153&lt;=10,'前提と出典'!B73+'前提と出典'!C73,IF(B153&lt;=100,'前提と出典'!B74+'前提と出典'!C74,IF(B153&lt;=500,'前提と出典'!B75+'前提と出典'!C75,'前提と出典'!B76+'前提と出典'!C76))))</ns0:f>
        <ns0:v>40000</ns0:v>
      </ns0:c>
      <ns0:c r="N153" s="16">
        <ns0:f>IF(('前提と出典'!$C$37+'前提と出典'!$C$38)=0,0,IF(C153&lt;=10,'前提と出典'!D73+'前提と出典'!E73,IF(C153&lt;=100,'前提と出典'!D74+'前提と出典'!E74,IF(C153&lt;=500,'前提と出典'!D75+'前提と出典'!E75,'前提と出典'!D76+'前提と出典'!E76))))</ns0:f>
        <ns0:v>34510.9346263078</ns0:v>
      </ns0:c>
      <ns0:c r="O153" s="16">
        <ns0:f>IF('前提と出典'!$C$36+'前提と出典'!$C$38=0,0,'前提と出典'!$B$4*IF('前提と出典'!$B$20=0,MAX('前提と出典'!$B$6,D153*'前提と出典'!$B$5),'前提と出典'!$B$6+D153*'前提と出典'!$B$5))</ns0:f>
        <ns0:v>147954.5027932961</ns0:v>
      </ns0:c>
      <ns0:c r="P153" s="16">
        <ns0:f>(E153+G153)*(1-'前提と出典'!$B$7)-I153-K153-M153-O153</ns0:f>
        <ns0:v>306819.70587269694</ns0:v>
      </ns0:c>
      <ns0:c r="Q153" s="16">
        <ns0:f>(F153+H153)*(1-'前提と出典'!$B$7)-J153-L153-N153</ns0:f>
        <ns0:v>108033.82434404109</ns0:v>
      </ns0:c>
      <ns0:c r="R153" s="16">
        <ns0:f>P153-E153*'前提と出典'!$E$4</ns0:f>
        <ns0:v>220327.67971676015</ns0:v>
      </ns0:c>
      <ns0:c r="S153" s="16">
        <ns0:f>Q153-F153*'前提と出典'!$E$4</ns0:f>
        <ns0:v>74088.84640127202</ns0:v>
      </ns0:c>
      <ns0:c r="T153" s="7">
        <ns0:f>R153+S153</ns0:f>
        <ns0:v>294416.52611803217</ns0:v>
      </ns0:c>
      <ns0:c r="U153" s="16">
        <ns0:f>P153-E153*'前提と出典'!$E$5</ns0:f>
        <ns0:v>191497.0043314479</ns0:v>
      </ns0:c>
      <ns0:c r="V153" s="16">
        <ns0:f>Q153-F153*'前提と出典'!$E$5</ns0:f>
        <ns0:v>62773.85375368235</ns0:v>
      </ns0:c>
      <ns0:c r="W153" s="7">
        <ns0:f>U153+V153</ns0:f>
        <ns0:v>254270.85808513025</ns0:v>
      </ns0:c>
      <ns0:c r="X153" s="16">
        <ns0:f>P153-E153*'前提と出典'!$E$6</ns0:f>
        <ns0:v>162666.32894613568</ns0:v>
      </ns0:c>
      <ns0:c r="Y153" s="16">
        <ns0:f>Q153-F153*'前提と出典'!$E$6</ns0:f>
        <ns0:v>51458.86110609264</ns0:v>
      </ns0:c>
      <ns0:c r="Z153" s="7">
        <ns0:f>X153+Y153</ns0:f>
        <ns0:v>214125.1900522283</ns0:v>
      </ns0:c>
      <ns0:c r="AA153" s="7">
        <ns0:f>IF(T153&gt;=0,A153,1001)</ns0:f>
        <ns0:v>149</ns0:v>
      </ns0:c>
      <ns0:c r="AB153" s="7">
        <ns0:f>IF(T153&lt;0,A153,0)</ns0:f>
        <ns0:v>0</ns0:v>
      </ns0:c>
      <ns0:c r="AC153" s="16">
        <ns0:f>IF(AND(OR('前提と出典'!$C$36+'前提と出典'!$C$38=0,R153&gt;=0),OR('前提と出典'!$C$37+'前提と出典'!$C$38=0,S153&gt;=0)),0,A153)</ns0:f>
        <ns0:v>0</ns0:v>
      </ns0:c>
      <ns0:c r="AD153" s="7">
        <ns0:f>IF(W153&gt;=0,A153,1001)</ns0:f>
        <ns0:v>149</ns0:v>
      </ns0:c>
      <ns0:c r="AE153" s="7">
        <ns0:f>IF(W153&lt;0,A153,0)</ns0:f>
        <ns0:v>0</ns0:v>
      </ns0:c>
      <ns0:c r="AF153" s="16">
        <ns0:f>IF(AND(OR('前提と出典'!$C$36+'前提と出典'!$C$38=0,U153&gt;=0),OR('前提と出典'!$C$37+'前提と出典'!$C$38=0,V153&gt;=0)),0,A153)</ns0:f>
        <ns0:v>0</ns0:v>
      </ns0:c>
      <ns0:c r="AG153" s="7">
        <ns0:f>IF(Z153&gt;=0,A153,1001)</ns0:f>
        <ns0:v>149</ns0:v>
      </ns0:c>
      <ns0:c r="AH153" s="4">
        <ns0:f>IF(Z153&lt;0,A153,0)</ns0:f>
        <ns0:v>0</ns0:v>
      </ns0:c>
      <ns0:c r="AI153" s="12">
        <ns0:f>IF(AND(OR('前提と出典'!$C$36+'前提と出典'!$C$38=0,X153&gt;=0),OR('前提と出典'!$C$37+'前提と出典'!$C$38=0,Y153&gt;=0)),0,A153)</ns0:f>
        <ns0:v>0</ns0:v>
      </ns0:c>
    </ns0:row>
    <ns0:row r="154" ht="24" customHeight="1">
      <ns0:c r="A154" s="4" t="n">
        <ns0:v>150</ns0:v>
      </ns0:c>
      <ns0:c r="B154" s="12">
        <ns0:f>A154*('前提と出典'!$C$36+'前提と出典'!$C$38)</ns0:f>
        <ns0:v>105</ns0:v>
      </ns0:c>
      <ns0:c r="C154" s="12">
        <ns0:f>A154*('前提と出典'!$C$37+'前提と出典'!$C$38)</ns0:f>
        <ns0:v>90</ns0:v>
      </ns0:c>
      <ns0:c r="D154" s="16">
        <ns0:f>A154*('前提と出典'!$C$36*'契約別単価'!C5+'前提と出典'!$C$37*'契約別単価'!C6+'前提と出典'!$C$38*'契約別単価'!C7)</ns0:f>
        <ns0:v>1079.3296089385474</ns0:v>
      </ns0:c>
      <ns0:c r="E154" s="16">
        <ns0:f>A154*('前提と出典'!$C$36*'契約別単価'!E5+'前提と出典'!$C$37*'契約別単価'!E6+'前提と出典'!$C$38*'契約別単価'!E7)</ns0:f>
        <ns0:v>290241.6985098549</ns0:v>
      </ns0:c>
      <ns0:c r="F154" s="16">
        <ns0:f>A154*('前提と出典'!$C$36*'契約別単価'!F5+'前提と出典'!$C$37*'契約別単価'!F6+'前提と出典'!$C$38*'契約別単価'!F7)</ns0:f>
        <ns0:v>113909.32195560083</ns0:v>
      </ns0:c>
      <ns0:c r="G154" s="16">
        <ns0:f>A154*('前提と出典'!$C$36*'契約別単価'!G5+'前提と出典'!$C$37*'契約別単価'!G6+'前提と出典'!$C$38*'契約別単価'!G7)</ns0:f>
        <ns0:v>298575.4189944134</ns0:v>
      </ns0:c>
      <ns0:c r="H154" s="16">
        <ns0:f>A154*('前提と出典'!$C$36*'契約別単価'!H5+'前提と出典'!$C$37*'契約別単価'!H6+'前提と出典'!$C$38*'契約別単価'!H7)</ns0:f>
        <ns0:v>103620.64512506666</ns0:v>
      </ns0:c>
      <ns0:c r="I154" s="16">
        <ns0:f>A154*('前提と出典'!$C$36*'契約別単価'!I5+'前提と出典'!$C$37*'契約別単価'!I6+'前提と出典'!$C$38*'契約別単価'!I7)</ns0:f>
        <ns0:v>6329.329608938547</ns0:v>
      </ns0:c>
      <ns0:c r="J154" s="16">
        <ns0:f>A154*('前提と出典'!$C$36*'契約別単価'!J5+'前提と出典'!$C$37*'契約別単価'!J6+'前提と出典'!$C$38*'契約別単価'!J7)</ns0:f>
        <ns0:v>14743.431556545385</ns0:v>
      </ns0:c>
      <ns0:c r="K154" s="16">
        <ns0:f>A154*('前提と出典'!$C$36*'契約別単価'!K5+'前提と出典'!$C$37*'契約別単価'!K6+'前提と出典'!$C$38*'契約別単価'!K7)</ns0:f>
        <ns0:v>63195.53072625698</ns0:v>
      </ns0:c>
      <ns0:c r="L154" s="16">
        <ns0:f>A154*('前提と出典'!$C$36*'契約別単価'!L5+'前提と出典'!$C$37*'契約別単価'!L6+'前提と出典'!$C$38*'契約別単価'!L7)</ns0:f>
        <ns0:v>51454.021504168886</ns0:v>
      </ns0:c>
      <ns0:c r="M154" s="16">
        <ns0:f>IF(('前提と出典'!$C$36+'前提と出典'!$C$38)=0,0,IF(B154&lt;=10,'前提と出典'!B73+'前提と出典'!C73,IF(B154&lt;=100,'前提と出典'!B74+'前提と出典'!C74,IF(B154&lt;=500,'前提と出典'!B75+'前提と出典'!C75,'前提と出典'!B76+'前提と出典'!C76))))</ns0:f>
        <ns0:v>40000</ns0:v>
      </ns0:c>
      <ns0:c r="N154" s="16">
        <ns0:f>IF(('前提と出典'!$C$37+'前提と出典'!$C$38)=0,0,IF(C154&lt;=10,'前提と出典'!D73+'前提と出典'!E73,IF(C154&lt;=100,'前提と出典'!D74+'前提と出典'!E74,IF(C154&lt;=500,'前提と出典'!D75+'前提と出典'!E75,'前提と出典'!D76+'前提と出典'!E76))))</ns0:f>
        <ns0:v>34510.9346263078</ns0:v>
      </ns0:c>
      <ns0:c r="O154" s="16">
        <ns0:f>IF('前提と出典'!$C$36+'前提と出典'!$C$38=0,0,'前提と出典'!$B$4*IF('前提と出典'!$B$20=0,MAX('前提と出典'!$B$6,D154*'前提と出典'!$B$5),'前提と出典'!$B$6+D154*'前提と出典'!$B$5))</ns0:f>
        <ns0:v>148947.48603351956</ns0:v>
      </ns0:c>
      <ns0:c r="P154" s="16">
        <ns0:f>(E154+G154)*(1-'前提と出典'!$B$7)-I154-K154-M154-O154</ns0:f>
        <ns0:v>309147.3549053996</ns0:v>
      </ns0:c>
      <ns0:c r="Q154" s="16">
        <ns0:f>(F154+H154)*(1-'前提と出典'!$B$7)-J154-L154-N154</ns0:f>
        <ns0:v>108990.5005787414</ns0:v>
      </ns0:c>
      <ns0:c r="R154" s="16">
        <ns0:f>P154-E154*'前提と出典'!$E$4</ns0:f>
        <ns0:v>222074.84535244317</ns0:v>
      </ns0:c>
      <ns0:c r="S154" s="16">
        <ns0:f>Q154-F154*'前提と出典'!$E$4</ns0:f>
        <ns0:v>74817.70399206114</ns0:v>
      </ns0:c>
      <ns0:c r="T154" s="7">
        <ns0:f>R154+S154</ns0:f>
        <ns0:v>296892.5493445043</ns0:v>
      </ns0:c>
      <ns0:c r="U154" s="16">
        <ns0:f>P154-E154*'前提と出典'!$E$5</ns0:f>
        <ns0:v>193050.67550145765</ns0:v>
      </ns0:c>
      <ns0:c r="V154" s="16">
        <ns0:f>Q154-F154*'前提と出典'!$E$5</ns0:f>
        <ns0:v>63426.771796501074</ns0:v>
      </ns0:c>
      <ns0:c r="W154" s="7">
        <ns0:f>U154+V154</ns0:f>
        <ns0:v>256477.44729795872</ns0:v>
      </ns0:c>
      <ns0:c r="X154" s="16">
        <ns0:f>P154-E154*'前提と出典'!$E$6</ns0:f>
        <ns0:v>164026.50565047213</ns0:v>
      </ns0:c>
      <ns0:c r="Y154" s="16">
        <ns0:f>Q154-F154*'前提と出典'!$E$6</ns0:f>
        <ns0:v>52035.839600941</ns0:v>
      </ns0:c>
      <ns0:c r="Z154" s="7">
        <ns0:f>X154+Y154</ns0:f>
        <ns0:v>216062.34525141312</ns0:v>
      </ns0:c>
      <ns0:c r="AA154" s="7">
        <ns0:f>IF(T154&gt;=0,A154,1001)</ns0:f>
        <ns0:v>150</ns0:v>
      </ns0:c>
      <ns0:c r="AB154" s="7">
        <ns0:f>IF(T154&lt;0,A154,0)</ns0:f>
        <ns0:v>0</ns0:v>
      </ns0:c>
      <ns0:c r="AC154" s="16">
        <ns0:f>IF(AND(OR('前提と出典'!$C$36+'前提と出典'!$C$38=0,R154&gt;=0),OR('前提と出典'!$C$37+'前提と出典'!$C$38=0,S154&gt;=0)),0,A154)</ns0:f>
        <ns0:v>0</ns0:v>
      </ns0:c>
      <ns0:c r="AD154" s="7">
        <ns0:f>IF(W154&gt;=0,A154,1001)</ns0:f>
        <ns0:v>150</ns0:v>
      </ns0:c>
      <ns0:c r="AE154" s="7">
        <ns0:f>IF(W154&lt;0,A154,0)</ns0:f>
        <ns0:v>0</ns0:v>
      </ns0:c>
      <ns0:c r="AF154" s="16">
        <ns0:f>IF(AND(OR('前提と出典'!$C$36+'前提と出典'!$C$38=0,U154&gt;=0),OR('前提と出典'!$C$37+'前提と出典'!$C$38=0,V154&gt;=0)),0,A154)</ns0:f>
        <ns0:v>0</ns0:v>
      </ns0:c>
      <ns0:c r="AG154" s="7">
        <ns0:f>IF(Z154&gt;=0,A154,1001)</ns0:f>
        <ns0:v>150</ns0:v>
      </ns0:c>
      <ns0:c r="AH154" s="4">
        <ns0:f>IF(Z154&lt;0,A154,0)</ns0:f>
        <ns0:v>0</ns0:v>
      </ns0:c>
      <ns0:c r="AI154" s="12">
        <ns0:f>IF(AND(OR('前提と出典'!$C$36+'前提と出典'!$C$38=0,X154&gt;=0),OR('前提と出典'!$C$37+'前提と出典'!$C$38=0,Y154&gt;=0)),0,A154)</ns0:f>
        <ns0:v>0</ns0:v>
      </ns0:c>
    </ns0:row>
    <ns0:row r="155" ht="24" customHeight="1">
      <ns0:c r="A155" s="4" t="n">
        <ns0:v>151</ns0:v>
      </ns0:c>
      <ns0:c r="B155" s="12">
        <ns0:f>A155*('前提と出典'!$C$36+'前提と出典'!$C$38)</ns0:f>
        <ns0:v>105.69999999999999</ns0:v>
      </ns0:c>
      <ns0:c r="C155" s="12">
        <ns0:f>A155*('前提と出典'!$C$37+'前提と出典'!$C$38)</ns0:f>
        <ns0:v>90.6</ns0:v>
      </ns0:c>
      <ns0:c r="D155" s="16">
        <ns0:f>A155*('前提と出典'!$C$36*'契約別単価'!C5+'前提と出典'!$C$37*'契約別単価'!C6+'前提と出典'!$C$38*'契約別単価'!C7)</ns0:f>
        <ns0:v>1086.5251396648046</ns0:v>
      </ns0:c>
      <ns0:c r="E155" s="16">
        <ns0:f>A155*('前提と出典'!$C$36*'契約別単価'!E5+'前提と出典'!$C$37*'契約別単価'!E6+'前提と出典'!$C$38*'契約別単価'!E7)</ns0:f>
        <ns0:v>292176.6431665873</ns0:v>
      </ns0:c>
      <ns0:c r="F155" s="16">
        <ns0:f>A155*('前提と出典'!$C$36*'契約別単価'!F5+'前提と出典'!$C$37*'契約別単価'!F6+'前提と出典'!$C$38*'契約別単価'!F7)</ns0:f>
        <ns0:v>114668.71743530483</ns0:v>
      </ns0:c>
      <ns0:c r="G155" s="16">
        <ns0:f>A155*('前提と出典'!$C$36*'契約別単価'!G5+'前提と出典'!$C$37*'契約別単価'!G6+'前提と出典'!$C$38*'契約別単価'!G7)</ns0:f>
        <ns0:v>300565.92178770946</ns0:v>
      </ns0:c>
      <ns0:c r="H155" s="16">
        <ns0:f>A155*('前提と出典'!$C$36*'契約別単価'!H5+'前提と出典'!$C$37*'契約別単価'!H6+'前提と出典'!$C$38*'契約別単価'!H7)</ns0:f>
        <ns0:v>104311.44942590043</ns0:v>
      </ns0:c>
      <ns0:c r="I155" s="16">
        <ns0:f>A155*('前提と出典'!$C$36*'契約別単価'!I5+'前提と出典'!$C$37*'契約別単価'!I6+'前提と出典'!$C$38*'契約別単価'!I7)</ns0:f>
        <ns0:v>6371.525139664804</ns0:v>
      </ns0:c>
      <ns0:c r="J155" s="16">
        <ns0:f>A155*('前提と出典'!$C$36*'契約別単価'!J5+'前提と出典'!$C$37*'契約別単価'!J6+'前提と出典'!$C$38*'契約別単価'!J7)</ns0:f>
        <ns0:v>14841.721100255687</ns0:v>
      </ns0:c>
      <ns0:c r="K155" s="16">
        <ns0:f>A155*('前提と出典'!$C$36*'契約別単価'!K5+'前提と出典'!$C$37*'契約別単価'!K6+'前提と出典'!$C$38*'契約別単価'!K7)</ns0:f>
        <ns0:v>63616.83426443202</ns0:v>
      </ns0:c>
      <ns0:c r="L155" s="16">
        <ns0:f>A155*('前提と出典'!$C$36*'契約別単価'!L5+'前提と出典'!$C$37*'契約別単価'!L6+'前提と出典'!$C$38*'契約別単価'!L7)</ns0:f>
        <ns0:v>51797.048314196676</ns0:v>
      </ns0:c>
      <ns0:c r="M155" s="16">
        <ns0:f>IF(('前提と出典'!$C$36+'前提と出典'!$C$38)=0,0,IF(B155&lt;=10,'前提と出典'!B73+'前提と出典'!C73,IF(B155&lt;=100,'前提と出典'!B74+'前提と出典'!C74,IF(B155&lt;=500,'前提と出典'!B75+'前提と出典'!C75,'前提と出典'!B76+'前提と出典'!C76))))</ns0:f>
        <ns0:v>40000</ns0:v>
      </ns0:c>
      <ns0:c r="N155" s="16">
        <ns0:f>IF(('前提と出典'!$C$37+'前提と出典'!$C$38)=0,0,IF(C155&lt;=10,'前提と出典'!D73+'前提と出典'!E73,IF(C155&lt;=100,'前提と出典'!D74+'前提と出典'!E74,IF(C155&lt;=500,'前提と出典'!D75+'前提と出典'!E75,'前提と出典'!D76+'前提と出典'!E76))))</ns0:f>
        <ns0:v>34510.9346263078</ns0:v>
      </ns0:c>
      <ns0:c r="O155" s="16">
        <ns0:f>IF('前提と出典'!$C$36+'前提と出典'!$C$38=0,0,'前提と出典'!$B$4*IF('前提と出典'!$B$20=0,MAX('前提と出典'!$B$6,D155*'前提と出典'!$B$5),'前提と出典'!$B$6+D155*'前提と出典'!$B$5))</ns0:f>
        <ns0:v>149940.46927374305</ns0:v>
      </ns0:c>
      <ns0:c r="P155" s="16">
        <ns0:f>(E155+G155)*(1-'前提と出典'!$B$7)-I155-K155-M155-O155</ns0:f>
        <ns0:v>311475.0039381021</ns0:v>
      </ns0:c>
      <ns0:c r="Q155" s="16">
        <ns0:f>(F155+H155)*(1-'前提と出典'!$B$7)-J155-L155-N155</ns0:f>
        <ns0:v>109947.1768134417</ns0:v>
      </ns0:c>
      <ns0:c r="R155" s="16">
        <ns0:f>P155-E155*'前提と出典'!$E$4</ns0:f>
        <ns0:v>223822.01098812593</ns0:v>
      </ns0:c>
      <ns0:c r="S155" s="16">
        <ns0:f>Q155-F155*'前提と出典'!$E$4</ns0:f>
        <ns0:v>75546.56158285026</ns0:v>
      </ns0:c>
      <ns0:c r="T155" s="7">
        <ns0:f>R155+S155</ns0:f>
        <ns0:v>299368.5725709762</ns0:v>
      </ns0:c>
      <ns0:c r="U155" s="16">
        <ns0:f>P155-E155*'前提と出典'!$E$5</ns0:f>
        <ns0:v>194604.34667146718</ns0:v>
      </ns0:c>
      <ns0:c r="V155" s="16">
        <ns0:f>Q155-F155*'前提と出典'!$E$5</ns0:f>
        <ns0:v>64079.68983931977</ns0:v>
      </ns0:c>
      <ns0:c r="W155" s="7">
        <ns0:f>U155+V155</ns0:f>
        <ns0:v>258684.03651078694</ns0:v>
      </ns0:c>
      <ns0:c r="X155" s="16">
        <ns0:f>P155-E155*'前提と出典'!$E$6</ns0:f>
        <ns0:v>165386.6823548085</ns0:v>
      </ns0:c>
      <ns0:c r="Y155" s="16">
        <ns0:f>Q155-F155*'前提と出典'!$E$6</ns0:f>
        <ns0:v>52612.81809578927</ns0:v>
      </ns0:c>
      <ns0:c r="Z155" s="7">
        <ns0:f>X155+Y155</ns0:f>
        <ns0:v>217999.50045059776</ns0:v>
      </ns0:c>
      <ns0:c r="AA155" s="7">
        <ns0:f>IF(T155&gt;=0,A155,1001)</ns0:f>
        <ns0:v>151</ns0:v>
      </ns0:c>
      <ns0:c r="AB155" s="7">
        <ns0:f>IF(T155&lt;0,A155,0)</ns0:f>
        <ns0:v>0</ns0:v>
      </ns0:c>
      <ns0:c r="AC155" s="16">
        <ns0:f>IF(AND(OR('前提と出典'!$C$36+'前提と出典'!$C$38=0,R155&gt;=0),OR('前提と出典'!$C$37+'前提と出典'!$C$38=0,S155&gt;=0)),0,A155)</ns0:f>
        <ns0:v>0</ns0:v>
      </ns0:c>
      <ns0:c r="AD155" s="7">
        <ns0:f>IF(W155&gt;=0,A155,1001)</ns0:f>
        <ns0:v>151</ns0:v>
      </ns0:c>
      <ns0:c r="AE155" s="7">
        <ns0:f>IF(W155&lt;0,A155,0)</ns0:f>
        <ns0:v>0</ns0:v>
      </ns0:c>
      <ns0:c r="AF155" s="16">
        <ns0:f>IF(AND(OR('前提と出典'!$C$36+'前提と出典'!$C$38=0,U155&gt;=0),OR('前提と出典'!$C$37+'前提と出典'!$C$38=0,V155&gt;=0)),0,A155)</ns0:f>
        <ns0:v>0</ns0:v>
      </ns0:c>
      <ns0:c r="AG155" s="7">
        <ns0:f>IF(Z155&gt;=0,A155,1001)</ns0:f>
        <ns0:v>151</ns0:v>
      </ns0:c>
      <ns0:c r="AH155" s="4">
        <ns0:f>IF(Z155&lt;0,A155,0)</ns0:f>
        <ns0:v>0</ns0:v>
      </ns0:c>
      <ns0:c r="AI155" s="12">
        <ns0:f>IF(AND(OR('前提と出典'!$C$36+'前提と出典'!$C$38=0,X155&gt;=0),OR('前提と出典'!$C$37+'前提と出典'!$C$38=0,Y155&gt;=0)),0,A155)</ns0:f>
        <ns0:v>0</ns0:v>
      </ns0:c>
    </ns0:row>
    <ns0:row r="156" ht="24" customHeight="1">
      <ns0:c r="A156" s="4" t="n">
        <ns0:v>152</ns0:v>
      </ns0:c>
      <ns0:c r="B156" s="12">
        <ns0:f>A156*('前提と出典'!$C$36+'前提と出典'!$C$38)</ns0:f>
        <ns0:v>106.39999999999999</ns0:v>
      </ns0:c>
      <ns0:c r="C156" s="12">
        <ns0:f>A156*('前提と出典'!$C$37+'前提と出典'!$C$38)</ns0:f>
        <ns0:v>91.2</ns0:v>
      </ns0:c>
      <ns0:c r="D156" s="16">
        <ns0:f>A156*('前提と出典'!$C$36*'契約別単価'!C5+'前提と出典'!$C$37*'契約別単価'!C6+'前提と出典'!$C$38*'契約別単価'!C7)</ns0:f>
        <ns0:v>1093.7206703910615</ns0:v>
      </ns0:c>
      <ns0:c r="E156" s="16">
        <ns0:f>A156*('前提と出典'!$C$36*'契約別単価'!E5+'前提と出典'!$C$37*'契約別単価'!E6+'前提と出典'!$C$38*'契約別単価'!E7)</ns0:f>
        <ns0:v>294111.5878233196</ns0:v>
      </ns0:c>
      <ns0:c r="F156" s="16">
        <ns0:f>A156*('前提と出典'!$C$36*'契約別単価'!F5+'前提と出典'!$C$37*'契約別単価'!F6+'前提と出典'!$C$38*'契約別単価'!F7)</ns0:f>
        <ns0:v>115428.11291500884</ns0:v>
      </ns0:c>
      <ns0:c r="G156" s="16">
        <ns0:f>A156*('前提と出典'!$C$36*'契約別単価'!G5+'前提と出典'!$C$37*'契約別単価'!G6+'前提と出典'!$C$38*'契約別単価'!G7)</ns0:f>
        <ns0:v>302556.4245810056</ns0:v>
      </ns0:c>
      <ns0:c r="H156" s="16">
        <ns0:f>A156*('前提と出典'!$C$36*'契約別単価'!H5+'前提と出典'!$C$37*'契約別単価'!H6+'前提と出典'!$C$38*'契約別単価'!H7)</ns0:f>
        <ns0:v>105002.25372673421</ns0:v>
      </ns0:c>
      <ns0:c r="I156" s="16">
        <ns0:f>A156*('前提と出典'!$C$36*'契約別単価'!I5+'前提と出典'!$C$37*'契約別単価'!I6+'前提と出典'!$C$38*'契約別単価'!I7)</ns0:f>
        <ns0:v>6413.720670391061</ns0:v>
      </ns0:c>
      <ns0:c r="J156" s="16">
        <ns0:f>A156*('前提と出典'!$C$36*'契約別単価'!J5+'前提と出典'!$C$37*'契約別単価'!J6+'前提と出典'!$C$38*'契約別単価'!J7)</ns0:f>
        <ns0:v>14940.01064396599</ns0:v>
      </ns0:c>
      <ns0:c r="K156" s="16">
        <ns0:f>A156*('前提と出典'!$C$36*'契約別単価'!K5+'前提と出典'!$C$37*'契約別単価'!K6+'前提と出典'!$C$38*'契約別単価'!K7)</ns0:f>
        <ns0:v>64038.137802607074</ns0:v>
      </ns0:c>
      <ns0:c r="L156" s="16">
        <ns0:f>A156*('前提と出典'!$C$36*'契約別単価'!L5+'前提と出典'!$C$37*'契約別単価'!L6+'前提と出典'!$C$38*'契約別単価'!L7)</ns0:f>
        <ns0:v>52140.07512422447</ns0:v>
      </ns0:c>
      <ns0:c r="M156" s="16">
        <ns0:f>IF(('前提と出典'!$C$36+'前提と出典'!$C$38)=0,0,IF(B156&lt;=10,'前提と出典'!B73+'前提と出典'!C73,IF(B156&lt;=100,'前提と出典'!B74+'前提と出典'!C74,IF(B156&lt;=500,'前提と出典'!B75+'前提と出典'!C75,'前提と出典'!B76+'前提と出典'!C76))))</ns0:f>
        <ns0:v>40000</ns0:v>
      </ns0:c>
      <ns0:c r="N156" s="16">
        <ns0:f>IF(('前提と出典'!$C$37+'前提と出典'!$C$38)=0,0,IF(C156&lt;=10,'前提と出典'!D73+'前提と出典'!E73,IF(C156&lt;=100,'前提と出典'!D74+'前提と出典'!E74,IF(C156&lt;=500,'前提と出典'!D75+'前提と出典'!E75,'前提と出典'!D76+'前提と出典'!E76))))</ns0:f>
        <ns0:v>34510.9346263078</ns0:v>
      </ns0:c>
      <ns0:c r="O156" s="16">
        <ns0:f>IF('前提と出典'!$C$36+'前提と出典'!$C$38=0,0,'前提と出典'!$B$4*IF('前提と出典'!$B$20=0,MAX('前提と出典'!$B$6,D156*'前提と出典'!$B$5),'前提と出典'!$B$6+D156*'前提と出典'!$B$5))</ns0:f>
        <ns0:v>150933.4525139665</ns0:v>
      </ns0:c>
      <ns0:c r="P156" s="16">
        <ns0:f>(E156+G156)*(1-'前提と出典'!$B$7)-I156-K156-M156-O156</ns0:f>
        <ns0:v>313802.6529708049</ns0:v>
      </ns0:c>
      <ns0:c r="Q156" s="16">
        <ns0:f>(F156+H156)*(1-'前提と出典'!$B$7)-J156-L156-N156</ns0:f>
        <ns0:v>110903.85304814203</ns0:v>
      </ns0:c>
      <ns0:c r="R156" s="16">
        <ns0:f>P156-E156*'前提と出典'!$E$4</ns0:f>
        <ns0:v>225569.176623809</ns0:v>
      </ns0:c>
      <ns0:c r="S156" s="16">
        <ns0:f>Q156-F156*'前提と出典'!$E$4</ns0:f>
        <ns0:v>76275.41917363935</ns0:v>
      </ns0:c>
      <ns0:c r="T156" s="7">
        <ns0:f>R156+S156</ns0:f>
        <ns0:v>301844.59579744836</ns0:v>
      </ns0:c>
      <ns0:c r="U156" s="16">
        <ns0:f>P156-E156*'前提と出典'!$E$5</ns0:f>
        <ns0:v>196158.01784147703</ns0:v>
      </ns0:c>
      <ns0:c r="V156" s="16">
        <ns0:f>Q156-F156*'前提と出典'!$E$5</ns0:f>
        <ns0:v>64732.607882138494</ns0:v>
      </ns0:c>
      <ns0:c r="W156" s="7">
        <ns0:f>U156+V156</ns0:f>
        <ns0:v>260890.62572361552</ns0:v>
      </ns0:c>
      <ns0:c r="X156" s="16">
        <ns0:f>P156-E156*'前提と出典'!$E$6</ns0:f>
        <ns0:v>166746.85905914506</ns0:v>
      </ns0:c>
      <ns0:c r="Y156" s="16">
        <ns0:f>Q156-F156*'前提と出典'!$E$6</ns0:f>
        <ns0:v>53189.7965906376</ns0:v>
      </ns0:c>
      <ns0:c r="Z156" s="7">
        <ns0:f>X156+Y156</ns0:f>
        <ns0:v>219936.65564978265</ns0:v>
      </ns0:c>
      <ns0:c r="AA156" s="7">
        <ns0:f>IF(T156&gt;=0,A156,1001)</ns0:f>
        <ns0:v>152</ns0:v>
      </ns0:c>
      <ns0:c r="AB156" s="7">
        <ns0:f>IF(T156&lt;0,A156,0)</ns0:f>
        <ns0:v>0</ns0:v>
      </ns0:c>
      <ns0:c r="AC156" s="16">
        <ns0:f>IF(AND(OR('前提と出典'!$C$36+'前提と出典'!$C$38=0,R156&gt;=0),OR('前提と出典'!$C$37+'前提と出典'!$C$38=0,S156&gt;=0)),0,A156)</ns0:f>
        <ns0:v>0</ns0:v>
      </ns0:c>
      <ns0:c r="AD156" s="7">
        <ns0:f>IF(W156&gt;=0,A156,1001)</ns0:f>
        <ns0:v>152</ns0:v>
      </ns0:c>
      <ns0:c r="AE156" s="7">
        <ns0:f>IF(W156&lt;0,A156,0)</ns0:f>
        <ns0:v>0</ns0:v>
      </ns0:c>
      <ns0:c r="AF156" s="16">
        <ns0:f>IF(AND(OR('前提と出典'!$C$36+'前提と出典'!$C$38=0,U156&gt;=0),OR('前提と出典'!$C$37+'前提と出典'!$C$38=0,V156&gt;=0)),0,A156)</ns0:f>
        <ns0:v>0</ns0:v>
      </ns0:c>
      <ns0:c r="AG156" s="7">
        <ns0:f>IF(Z156&gt;=0,A156,1001)</ns0:f>
        <ns0:v>152</ns0:v>
      </ns0:c>
      <ns0:c r="AH156" s="4">
        <ns0:f>IF(Z156&lt;0,A156,0)</ns0:f>
        <ns0:v>0</ns0:v>
      </ns0:c>
      <ns0:c r="AI156" s="12">
        <ns0:f>IF(AND(OR('前提と出典'!$C$36+'前提と出典'!$C$38=0,X156&gt;=0),OR('前提と出典'!$C$37+'前提と出典'!$C$38=0,Y156&gt;=0)),0,A156)</ns0:f>
        <ns0:v>0</ns0:v>
      </ns0:c>
    </ns0:row>
    <ns0:row r="157" ht="24" customHeight="1">
      <ns0:c r="A157" s="4" t="n">
        <ns0:v>153</ns0:v>
      </ns0:c>
      <ns0:c r="B157" s="12">
        <ns0:f>A157*('前提と出典'!$C$36+'前提と出典'!$C$38)</ns0:f>
        <ns0:v>107.1</ns0:v>
      </ns0:c>
      <ns0:c r="C157" s="12">
        <ns0:f>A157*('前提と出典'!$C$37+'前提と出典'!$C$38)</ns0:f>
        <ns0:v>91.8</ns0:v>
      </ns0:c>
      <ns0:c r="D157" s="16">
        <ns0:f>A157*('前提と出典'!$C$36*'契約別単価'!C5+'前提と出典'!$C$37*'契約別単価'!C6+'前提と出典'!$C$38*'契約別単価'!C7)</ns0:f>
        <ns0:v>1100.9162011173185</ns0:v>
      </ns0:c>
      <ns0:c r="E157" s="16">
        <ns0:f>A157*('前提と出典'!$C$36*'契約別単価'!E5+'前提と出典'!$C$37*'契約別単価'!E6+'前提と出典'!$C$38*'契約別単価'!E7)</ns0:f>
        <ns0:v>296046.532480052</ns0:v>
      </ns0:c>
      <ns0:c r="F157" s="16">
        <ns0:f>A157*('前提と出典'!$C$36*'契約別単価'!F5+'前提と出典'!$C$37*'契約別単価'!F6+'前提と出典'!$C$38*'契約別単価'!F7)</ns0:f>
        <ns0:v>116187.50839471284</ns0:v>
      </ns0:c>
      <ns0:c r="G157" s="16">
        <ns0:f>A157*('前提と出典'!$C$36*'契約別単価'!G5+'前提と出典'!$C$37*'契約別単価'!G6+'前提と出典'!$C$38*'契約別単価'!G7)</ns0:f>
        <ns0:v>304546.92737430165</ns0:v>
      </ns0:c>
      <ns0:c r="H157" s="16">
        <ns0:f>A157*('前提と出典'!$C$36*'契約別単価'!H5+'前提と出典'!$C$37*'契約別単価'!H6+'前提と出典'!$C$38*'契約別単価'!H7)</ns0:f>
        <ns0:v>105693.05802756798</ns0:v>
      </ns0:c>
      <ns0:c r="I157" s="16">
        <ns0:f>A157*('前提と出典'!$C$36*'契約別単価'!I5+'前提と出典'!$C$37*'契約別単価'!I6+'前提と出典'!$C$38*'契約別単価'!I7)</ns0:f>
        <ns0:v>6455.9162011173175</ns0:v>
      </ns0:c>
      <ns0:c r="J157" s="16">
        <ns0:f>A157*('前提と出典'!$C$36*'契約別単価'!J5+'前提と出典'!$C$37*'契約別単価'!J6+'前提と出典'!$C$38*'契約別単価'!J7)</ns0:f>
        <ns0:v>15038.300187676292</ns0:v>
      </ns0:c>
      <ns0:c r="K157" s="16">
        <ns0:f>A157*('前提と出典'!$C$36*'契約別単価'!K5+'前提と出典'!$C$37*'契約別単価'!K6+'前提と出典'!$C$38*'契約別単価'!K7)</ns0:f>
        <ns0:v>64459.44134078212</ns0:v>
      </ns0:c>
      <ns0:c r="L157" s="16">
        <ns0:f>A157*('前提と出典'!$C$36*'契約別単価'!L5+'前提と出典'!$C$37*'契約別単価'!L6+'前提と出典'!$C$38*'契約別単価'!L7)</ns0:f>
        <ns0:v>52483.10193425226</ns0:v>
      </ns0:c>
      <ns0:c r="M157" s="16">
        <ns0:f>IF(('前提と出典'!$C$36+'前提と出典'!$C$38)=0,0,IF(B157&lt;=10,'前提と出典'!B73+'前提と出典'!C73,IF(B157&lt;=100,'前提と出典'!B74+'前提と出典'!C74,IF(B157&lt;=500,'前提と出典'!B75+'前提と出典'!C75,'前提と出典'!B76+'前提と出典'!C76))))</ns0:f>
        <ns0:v>40000</ns0:v>
      </ns0:c>
      <ns0:c r="N157" s="16">
        <ns0:f>IF(('前提と出典'!$C$37+'前提と出典'!$C$38)=0,0,IF(C157&lt;=10,'前提と出典'!D73+'前提と出典'!E73,IF(C157&lt;=100,'前提と出典'!D74+'前提と出典'!E74,IF(C157&lt;=500,'前提と出典'!D75+'前提と出典'!E75,'前提と出典'!D76+'前提と出典'!E76))))</ns0:f>
        <ns0:v>34510.9346263078</ns0:v>
      </ns0:c>
      <ns0:c r="O157" s="16">
        <ns0:f>IF('前提と出典'!$C$36+'前提と出典'!$C$38=0,0,'前提と出典'!$B$4*IF('前提と出典'!$B$20=0,MAX('前提と出典'!$B$6,D157*'前提と出典'!$B$5),'前提と出典'!$B$6+D157*'前提と出典'!$B$5))</ns0:f>
        <ns0:v>151926.43575418997</ns0:v>
      </ns0:c>
      <ns0:c r="P157" s="16">
        <ns0:f>(E157+G157)*(1-'前提と出典'!$B$7)-I157-K157-M157-O157</ns0:f>
        <ns0:v>316130.30200350756</ns0:v>
      </ns0:c>
      <ns0:c r="Q157" s="16">
        <ns0:f>(F157+H157)*(1-'前提と出典'!$B$7)-J157-L157-N157</ns0:f>
        <ns0:v>111860.52928284236</ns0:v>
      </ns0:c>
      <ns0:c r="R157" s="16">
        <ns0:f>P157-E157*'前提と出典'!$E$4</ns0:f>
        <ns0:v>227316.34225949197</ns0:v>
      </ns0:c>
      <ns0:c r="S157" s="16">
        <ns0:f>Q157-F157*'前提と出典'!$E$4</ns0:f>
        <ns0:v>77004.2767644285</ns0:v>
      </ns0:c>
      <ns0:c r="T157" s="7">
        <ns0:f>R157+S157</ns0:f>
        <ns0:v>304320.6190239205</ns0:v>
      </ns0:c>
      <ns0:c r="U157" s="16">
        <ns0:f>P157-E157*'前提と出典'!$E$5</ns0:f>
        <ns0:v>197711.68901148677</ns0:v>
      </ns0:c>
      <ns0:c r="V157" s="16">
        <ns0:f>Q157-F157*'前提と出典'!$E$5</ns0:f>
        <ns0:v>65385.525924957205</ns0:v>
      </ns0:c>
      <ns0:c r="W157" s="7">
        <ns0:f>U157+V157</ns0:f>
        <ns0:v>263097.21493644395</ns0:v>
      </ns0:c>
      <ns0:c r="X157" s="16">
        <ns0:f>P157-E157*'前提と出典'!$E$6</ns0:f>
        <ns0:v>168107.03576348157</ns0:v>
      </ns0:c>
      <ns0:c r="Y157" s="16">
        <ns0:f>Q157-F157*'前提と出典'!$E$6</ns0:f>
        <ns0:v>53766.77508548591</ns0:v>
      </ns0:c>
      <ns0:c r="Z157" s="7">
        <ns0:f>X157+Y157</ns0:f>
        <ns0:v>221873.8108489675</ns0:v>
      </ns0:c>
      <ns0:c r="AA157" s="7">
        <ns0:f>IF(T157&gt;=0,A157,1001)</ns0:f>
        <ns0:v>153</ns0:v>
      </ns0:c>
      <ns0:c r="AB157" s="7">
        <ns0:f>IF(T157&lt;0,A157,0)</ns0:f>
        <ns0:v>0</ns0:v>
      </ns0:c>
      <ns0:c r="AC157" s="16">
        <ns0:f>IF(AND(OR('前提と出典'!$C$36+'前提と出典'!$C$38=0,R157&gt;=0),OR('前提と出典'!$C$37+'前提と出典'!$C$38=0,S157&gt;=0)),0,A157)</ns0:f>
        <ns0:v>0</ns0:v>
      </ns0:c>
      <ns0:c r="AD157" s="7">
        <ns0:f>IF(W157&gt;=0,A157,1001)</ns0:f>
        <ns0:v>153</ns0:v>
      </ns0:c>
      <ns0:c r="AE157" s="7">
        <ns0:f>IF(W157&lt;0,A157,0)</ns0:f>
        <ns0:v>0</ns0:v>
      </ns0:c>
      <ns0:c r="AF157" s="16">
        <ns0:f>IF(AND(OR('前提と出典'!$C$36+'前提と出典'!$C$38=0,U157&gt;=0),OR('前提と出典'!$C$37+'前提と出典'!$C$38=0,V157&gt;=0)),0,A157)</ns0:f>
        <ns0:v>0</ns0:v>
      </ns0:c>
      <ns0:c r="AG157" s="7">
        <ns0:f>IF(Z157&gt;=0,A157,1001)</ns0:f>
        <ns0:v>153</ns0:v>
      </ns0:c>
      <ns0:c r="AH157" s="4">
        <ns0:f>IF(Z157&lt;0,A157,0)</ns0:f>
        <ns0:v>0</ns0:v>
      </ns0:c>
      <ns0:c r="AI157" s="12">
        <ns0:f>IF(AND(OR('前提と出典'!$C$36+'前提と出典'!$C$38=0,X157&gt;=0),OR('前提と出典'!$C$37+'前提と出典'!$C$38=0,Y157&gt;=0)),0,A157)</ns0:f>
        <ns0:v>0</ns0:v>
      </ns0:c>
    </ns0:row>
    <ns0:row r="158" ht="24" customHeight="1">
      <ns0:c r="A158" s="4" t="n">
        <ns0:v>154</ns0:v>
      </ns0:c>
      <ns0:c r="B158" s="12">
        <ns0:f>A158*('前提と出典'!$C$36+'前提と出典'!$C$38)</ns0:f>
        <ns0:v>107.8</ns0:v>
      </ns0:c>
      <ns0:c r="C158" s="12">
        <ns0:f>A158*('前提と出典'!$C$37+'前提と出典'!$C$38)</ns0:f>
        <ns0:v>92.39999999999999</ns0:v>
      </ns0:c>
      <ns0:c r="D158" s="16">
        <ns0:f>A158*('前提と出典'!$C$36*'契約別単価'!C5+'前提と出典'!$C$37*'契約別単価'!C6+'前提と出典'!$C$38*'契約別単価'!C7)</ns0:f>
        <ns0:v>1108.1117318435754</ns0:v>
      </ns0:c>
      <ns0:c r="E158" s="16">
        <ns0:f>A158*('前提と出典'!$C$36*'契約別単価'!E5+'前提と出典'!$C$37*'契約別単価'!E6+'前提と出典'!$C$38*'契約別単価'!E7)</ns0:f>
        <ns0:v>297981.47713678435</ns0:v>
      </ns0:c>
      <ns0:c r="F158" s="16">
        <ns0:f>A158*('前提と出典'!$C$36*'契約別単価'!F5+'前提と出典'!$C$37*'契約別単価'!F6+'前提と出典'!$C$38*'契約別単価'!F7)</ns0:f>
        <ns0:v>116946.90387441685</ns0:v>
      </ns0:c>
      <ns0:c r="G158" s="16">
        <ns0:f>A158*('前提と出典'!$C$36*'契約別単価'!G5+'前提と出典'!$C$37*'契約別単価'!G6+'前提と出典'!$C$38*'契約別単価'!G7)</ns0:f>
        <ns0:v>306537.4301675978</ns0:v>
      </ns0:c>
      <ns0:c r="H158" s="16">
        <ns0:f>A158*('前提と出典'!$C$36*'契約別単価'!H5+'前提と出典'!$C$37*'契約別単価'!H6+'前提と出典'!$C$38*'契約別単価'!H7)</ns0:f>
        <ns0:v>106383.86232840177</ns0:v>
      </ns0:c>
      <ns0:c r="I158" s="16">
        <ns0:f>A158*('前提と出典'!$C$36*'契約別単価'!I5+'前提と出典'!$C$37*'契約別単価'!I6+'前提と出典'!$C$38*'契約別単価'!I7)</ns0:f>
        <ns0:v>6498.1117318435745</ns0:v>
      </ns0:c>
      <ns0:c r="J158" s="16">
        <ns0:f>A158*('前提と出典'!$C$36*'契約別単価'!J5+'前提と出典'!$C$37*'契約別単価'!J6+'前提と出典'!$C$38*'契約別単価'!J7)</ns0:f>
        <ns0:v>15136.589731386595</ns0:v>
      </ns0:c>
      <ns0:c r="K158" s="16">
        <ns0:f>A158*('前提と出典'!$C$36*'契約別単価'!K5+'前提と出典'!$C$37*'契約別単価'!K6+'前提と出典'!$C$38*'契約別単価'!K7)</ns0:f>
        <ns0:v>64880.744878957164</ns0:v>
      </ns0:c>
      <ns0:c r="L158" s="16">
        <ns0:f>A158*('前提と出典'!$C$36*'契約別単価'!L5+'前提と出典'!$C$37*'契約別単価'!L6+'前提と出典'!$C$38*'契約別単価'!L7)</ns0:f>
        <ns0:v>52826.12874428006</ns0:v>
      </ns0:c>
      <ns0:c r="M158" s="16">
        <ns0:f>IF(('前提と出典'!$C$36+'前提と出典'!$C$38)=0,0,IF(B158&lt;=10,'前提と出典'!B73+'前提と出典'!C73,IF(B158&lt;=100,'前提と出典'!B74+'前提と出典'!C74,IF(B158&lt;=500,'前提と出典'!B75+'前提と出典'!C75,'前提と出典'!B76+'前提と出典'!C76))))</ns0:f>
        <ns0:v>40000</ns0:v>
      </ns0:c>
      <ns0:c r="N158" s="16">
        <ns0:f>IF(('前提と出典'!$C$37+'前提と出典'!$C$38)=0,0,IF(C158&lt;=10,'前提と出典'!D73+'前提と出典'!E73,IF(C158&lt;=100,'前提と出典'!D74+'前提と出典'!E74,IF(C158&lt;=500,'前提と出典'!D75+'前提と出典'!E75,'前提と出典'!D76+'前提と出典'!E76))))</ns0:f>
        <ns0:v>34510.9346263078</ns0:v>
      </ns0:c>
      <ns0:c r="O158" s="16">
        <ns0:f>IF('前提と出典'!$C$36+'前提と出典'!$C$38=0,0,'前提と出典'!$B$4*IF('前提と出典'!$B$20=0,MAX('前提と出典'!$B$6,D158*'前提と出典'!$B$5),'前提と出典'!$B$6+D158*'前提と出典'!$B$5))</ns0:f>
        <ns0:v>152919.41899441343</ns0:v>
      </ns0:c>
      <ns0:c r="P158" s="16">
        <ns0:f>(E158+G158)*(1-'前提と出典'!$B$7)-I158-K158-M158-O158</ns0:f>
        <ns0:v>318457.9510362103</ns0:v>
      </ns0:c>
      <ns0:c r="Q158" s="16">
        <ns0:f>(F158+H158)*(1-'前提と出典'!$B$7)-J158-L158-N158</ns0:f>
        <ns0:v>112817.20551754265</ns0:v>
      </ns0:c>
      <ns0:c r="R158" s="16">
        <ns0:f>P158-E158*'前提と出典'!$E$4</ns0:f>
        <ns0:v>229063.507895175</ns0:v>
      </ns0:c>
      <ns0:c r="S158" s="16">
        <ns0:f>Q158-F158*'前提と出典'!$E$4</ns0:f>
        <ns0:v>77733.13435521763</ns0:v>
      </ns0:c>
      <ns0:c r="T158" s="7">
        <ns0:f>R158+S158</ns0:f>
        <ns0:v>306796.6422503926</ns0:v>
      </ns0:c>
      <ns0:c r="U158" s="16">
        <ns0:f>P158-E158*'前提と出典'!$E$5</ns0:f>
        <ns0:v>199265.3601814965</ns0:v>
      </ns0:c>
      <ns0:c r="V158" s="16">
        <ns0:f>Q158-F158*'前提と出典'!$E$5</ns0:f>
        <ns0:v>66038.44396777591</ns0:v>
      </ns0:c>
      <ns0:c r="W158" s="7">
        <ns0:f>U158+V158</ns0:f>
        <ns0:v>265303.8041492724</ns0:v>
      </ns0:c>
      <ns0:c r="X158" s="16">
        <ns0:f>P158-E158*'前提と出典'!$E$6</ns0:f>
        <ns0:v>169467.21246781808</ns0:v>
      </ns0:c>
      <ns0:c r="Y158" s="16">
        <ns0:f>Q158-F158*'前提と出典'!$E$6</ns0:f>
        <ns0:v>54343.753580334254</ns0:v>
      </ns0:c>
      <ns0:c r="Z158" s="7">
        <ns0:f>X158+Y158</ns0:f>
        <ns0:v>223810.96604815233</ns0:v>
      </ns0:c>
      <ns0:c r="AA158" s="7">
        <ns0:f>IF(T158&gt;=0,A158,1001)</ns0:f>
        <ns0:v>154</ns0:v>
      </ns0:c>
      <ns0:c r="AB158" s="7">
        <ns0:f>IF(T158&lt;0,A158,0)</ns0:f>
        <ns0:v>0</ns0:v>
      </ns0:c>
      <ns0:c r="AC158" s="16">
        <ns0:f>IF(AND(OR('前提と出典'!$C$36+'前提と出典'!$C$38=0,R158&gt;=0),OR('前提と出典'!$C$37+'前提と出典'!$C$38=0,S158&gt;=0)),0,A158)</ns0:f>
        <ns0:v>0</ns0:v>
      </ns0:c>
      <ns0:c r="AD158" s="7">
        <ns0:f>IF(W158&gt;=0,A158,1001)</ns0:f>
        <ns0:v>154</ns0:v>
      </ns0:c>
      <ns0:c r="AE158" s="7">
        <ns0:f>IF(W158&lt;0,A158,0)</ns0:f>
        <ns0:v>0</ns0:v>
      </ns0:c>
      <ns0:c r="AF158" s="16">
        <ns0:f>IF(AND(OR('前提と出典'!$C$36+'前提と出典'!$C$38=0,U158&gt;=0),OR('前提と出典'!$C$37+'前提と出典'!$C$38=0,V158&gt;=0)),0,A158)</ns0:f>
        <ns0:v>0</ns0:v>
      </ns0:c>
      <ns0:c r="AG158" s="7">
        <ns0:f>IF(Z158&gt;=0,A158,1001)</ns0:f>
        <ns0:v>154</ns0:v>
      </ns0:c>
      <ns0:c r="AH158" s="4">
        <ns0:f>IF(Z158&lt;0,A158,0)</ns0:f>
        <ns0:v>0</ns0:v>
      </ns0:c>
      <ns0:c r="AI158" s="12">
        <ns0:f>IF(AND(OR('前提と出典'!$C$36+'前提と出典'!$C$38=0,X158&gt;=0),OR('前提と出典'!$C$37+'前提と出典'!$C$38=0,Y158&gt;=0)),0,A158)</ns0:f>
        <ns0:v>0</ns0:v>
      </ns0:c>
    </ns0:row>
    <ns0:row r="159" ht="24" customHeight="1">
      <ns0:c r="A159" s="4" t="n">
        <ns0:v>155</ns0:v>
      </ns0:c>
      <ns0:c r="B159" s="12">
        <ns0:f>A159*('前提と出典'!$C$36+'前提と出典'!$C$38)</ns0:f>
        <ns0:v>108.5</ns0:v>
      </ns0:c>
      <ns0:c r="C159" s="12">
        <ns0:f>A159*('前提と出典'!$C$37+'前提と出典'!$C$38)</ns0:f>
        <ns0:v>93</ns0:v>
      </ns0:c>
      <ns0:c r="D159" s="16">
        <ns0:f>A159*('前提と出典'!$C$36*'契約別単価'!C5+'前提と出典'!$C$37*'契約別単価'!C6+'前提と出典'!$C$38*'契約別単価'!C7)</ns0:f>
        <ns0:v>1115.3072625698323</ns0:v>
      </ns0:c>
      <ns0:c r="E159" s="16">
        <ns0:f>A159*('前提と出典'!$C$36*'契約別単価'!E5+'前提と出典'!$C$37*'契約別単価'!E6+'前提と出典'!$C$38*'契約別単価'!E7)</ns0:f>
        <ns0:v>299916.4217935167</ns0:v>
      </ns0:c>
      <ns0:c r="F159" s="16">
        <ns0:f>A159*('前提と出典'!$C$36*'契約別単価'!F5+'前提と出典'!$C$37*'契約別単価'!F6+'前提と出典'!$C$38*'契約別単価'!F7)</ns0:f>
        <ns0:v>117706.29935412086</ns0:v>
      </ns0:c>
      <ns0:c r="G159" s="16">
        <ns0:f>A159*('前提と出典'!$C$36*'契約別単価'!G5+'前提と出典'!$C$37*'契約別単価'!G6+'前提と出典'!$C$38*'契約別単価'!G7)</ns0:f>
        <ns0:v>308527.93296089384</ns0:v>
      </ns0:c>
      <ns0:c r="H159" s="16">
        <ns0:f>A159*('前提と出典'!$C$36*'契約別単価'!H5+'前提と出典'!$C$37*'契約別単価'!H6+'前提と出典'!$C$38*'契約別単価'!H7)</ns0:f>
        <ns0:v>107074.66662923554</ns0:v>
      </ns0:c>
      <ns0:c r="I159" s="16">
        <ns0:f>A159*('前提と出典'!$C$36*'契約別単価'!I5+'前提と出典'!$C$37*'契約別単価'!I6+'前提と出典'!$C$38*'契約別単価'!I7)</ns0:f>
        <ns0:v>6540.307262569831</ns0:v>
      </ns0:c>
      <ns0:c r="J159" s="16">
        <ns0:f>A159*('前提と出典'!$C$36*'契約別単価'!J5+'前提と出典'!$C$37*'契約別単価'!J6+'前提と出典'!$C$38*'契約別単価'!J7)</ns0:f>
        <ns0:v>15234.879275096899</ns0:v>
      </ns0:c>
      <ns0:c r="K159" s="16">
        <ns0:f>A159*('前提と出典'!$C$36*'契約別単価'!K5+'前提と出典'!$C$37*'契約別単価'!K6+'前提と出典'!$C$38*'契約別単価'!K7)</ns0:f>
        <ns0:v>65302.04841713221</ns0:v>
      </ns0:c>
      <ns0:c r="L159" s="16">
        <ns0:f>A159*('前提と出典'!$C$36*'契約別単価'!L5+'前提と出典'!$C$37*'契約別単価'!L6+'前提と出典'!$C$38*'契約別単価'!L7)</ns0:f>
        <ns0:v>53169.15555430785</ns0:v>
      </ns0:c>
      <ns0:c r="M159" s="16">
        <ns0:f>IF(('前提と出典'!$C$36+'前提と出典'!$C$38)=0,0,IF(B159&lt;=10,'前提と出典'!B73+'前提と出典'!C73,IF(B159&lt;=100,'前提と出典'!B74+'前提と出典'!C74,IF(B159&lt;=500,'前提と出典'!B75+'前提と出典'!C75,'前提と出典'!B76+'前提と出典'!C76))))</ns0:f>
        <ns0:v>40000</ns0:v>
      </ns0:c>
      <ns0:c r="N159" s="16">
        <ns0:f>IF(('前提と出典'!$C$37+'前提と出典'!$C$38)=0,0,IF(C159&lt;=10,'前提と出典'!D73+'前提と出典'!E73,IF(C159&lt;=100,'前提と出典'!D74+'前提と出典'!E74,IF(C159&lt;=500,'前提と出典'!D75+'前提と出典'!E75,'前提と出典'!D76+'前提と出典'!E76))))</ns0:f>
        <ns0:v>34510.9346263078</ns0:v>
      </ns0:c>
      <ns0:c r="O159" s="16">
        <ns0:f>IF('前提と出典'!$C$36+'前提と出典'!$C$38=0,0,'前提と出典'!$B$4*IF('前提と出典'!$B$20=0,MAX('前提と出典'!$B$6,D159*'前提と出典'!$B$5),'前提と出典'!$B$6+D159*'前提と出典'!$B$5))</ns0:f>
        <ns0:v>153912.4022346369</ns0:v>
      </ns0:c>
      <ns0:c r="P159" s="16">
        <ns0:f>(E159+G159)*(1-'前提と出典'!$B$7)-I159-K159-M159-O159</ns0:f>
        <ns0:v>320785.60006891284</ns0:v>
      </ns0:c>
      <ns0:c r="Q159" s="16">
        <ns0:f>(F159+H159)*(1-'前提と出典'!$B$7)-J159-L159-N159</ns0:f>
        <ns0:v>113773.881752243</ns0:v>
      </ns0:c>
      <ns0:c r="R159" s="16">
        <ns0:f>P159-E159*'前提と出典'!$E$4</ns0:f>
        <ns0:v>230810.67353085784</ns0:v>
      </ns0:c>
      <ns0:c r="S159" s="16">
        <ns0:f>Q159-F159*'前提と出典'!$E$4</ns0:f>
        <ns0:v>78461.99194600675</ns0:v>
      </ns0:c>
      <ns0:c r="T159" s="7">
        <ns0:f>R159+S159</ns0:f>
        <ns0:v>309272.66547686455</ns0:v>
      </ns0:c>
      <ns0:c r="U159" s="16">
        <ns0:f>P159-E159*'前提と出典'!$E$5</ns0:f>
        <ns0:v>200819.03135150613</ns0:v>
      </ns0:c>
      <ns0:c r="V159" s="16">
        <ns0:f>Q159-F159*'前提と出典'!$E$5</ns0:f>
        <ns0:v>66691.36201059466</ns0:v>
      </ns0:c>
      <ns0:c r="W159" s="7">
        <ns0:f>U159+V159</ns0:f>
        <ns0:v>267510.3933621008</ns0:v>
      </ns0:c>
      <ns0:c r="X159" s="16">
        <ns0:f>P159-E159*'前提と出典'!$E$6</ns0:f>
        <ns0:v>170827.38917215448</ns0:v>
      </ns0:c>
      <ns0:c r="Y159" s="16">
        <ns0:f>Q159-F159*'前提と出典'!$E$6</ns0:f>
        <ns0:v>54920.73207518258</ns0:v>
      </ns0:c>
      <ns0:c r="Z159" s="7">
        <ns0:f>X159+Y159</ns0:f>
        <ns0:v>225748.12124733705</ns0:v>
      </ns0:c>
      <ns0:c r="AA159" s="7">
        <ns0:f>IF(T159&gt;=0,A159,1001)</ns0:f>
        <ns0:v>155</ns0:v>
      </ns0:c>
      <ns0:c r="AB159" s="7">
        <ns0:f>IF(T159&lt;0,A159,0)</ns0:f>
        <ns0:v>0</ns0:v>
      </ns0:c>
      <ns0:c r="AC159" s="16">
        <ns0:f>IF(AND(OR('前提と出典'!$C$36+'前提と出典'!$C$38=0,R159&gt;=0),OR('前提と出典'!$C$37+'前提と出典'!$C$38=0,S159&gt;=0)),0,A159)</ns0:f>
        <ns0:v>0</ns0:v>
      </ns0:c>
      <ns0:c r="AD159" s="7">
        <ns0:f>IF(W159&gt;=0,A159,1001)</ns0:f>
        <ns0:v>155</ns0:v>
      </ns0:c>
      <ns0:c r="AE159" s="7">
        <ns0:f>IF(W159&lt;0,A159,0)</ns0:f>
        <ns0:v>0</ns0:v>
      </ns0:c>
      <ns0:c r="AF159" s="16">
        <ns0:f>IF(AND(OR('前提と出典'!$C$36+'前提と出典'!$C$38=0,U159&gt;=0),OR('前提と出典'!$C$37+'前提と出典'!$C$38=0,V159&gt;=0)),0,A159)</ns0:f>
        <ns0:v>0</ns0:v>
      </ns0:c>
      <ns0:c r="AG159" s="7">
        <ns0:f>IF(Z159&gt;=0,A159,1001)</ns0:f>
        <ns0:v>155</ns0:v>
      </ns0:c>
      <ns0:c r="AH159" s="4">
        <ns0:f>IF(Z159&lt;0,A159,0)</ns0:f>
        <ns0:v>0</ns0:v>
      </ns0:c>
      <ns0:c r="AI159" s="12">
        <ns0:f>IF(AND(OR('前提と出典'!$C$36+'前提と出典'!$C$38=0,X159&gt;=0),OR('前提と出典'!$C$37+'前提と出典'!$C$38=0,Y159&gt;=0)),0,A159)</ns0:f>
        <ns0:v>0</ns0:v>
      </ns0:c>
    </ns0:row>
    <ns0:row r="160" ht="24" customHeight="1">
      <ns0:c r="A160" s="4" t="n">
        <ns0:v>156</ns0:v>
      </ns0:c>
      <ns0:c r="B160" s="12">
        <ns0:f>A160*('前提と出典'!$C$36+'前提と出典'!$C$38)</ns0:f>
        <ns0:v>109.19999999999999</ns0:v>
      </ns0:c>
      <ns0:c r="C160" s="12">
        <ns0:f>A160*('前提と出典'!$C$37+'前提と出典'!$C$38)</ns0:f>
        <ns0:v>93.6</ns0:v>
      </ns0:c>
      <ns0:c r="D160" s="16">
        <ns0:f>A160*('前提と出典'!$C$36*'契約別単価'!C5+'前提と出典'!$C$37*'契約別単価'!C6+'前提と出典'!$C$38*'契約別単価'!C7)</ns0:f>
        <ns0:v>1122.5027932960893</ns0:v>
      </ns0:c>
      <ns0:c r="E160" s="16">
        <ns0:f>A160*('前提と出典'!$C$36*'契約別単価'!E5+'前提と出典'!$C$37*'契約別単価'!E6+'前提と出典'!$C$38*'契約別単価'!E7)</ns0:f>
        <ns0:v>301851.3664502491</ns0:v>
      </ns0:c>
      <ns0:c r="F160" s="16">
        <ns0:f>A160*('前提と出典'!$C$36*'契約別単価'!F5+'前提と出典'!$C$37*'契約別単価'!F6+'前提と出典'!$C$38*'契約別単価'!F7)</ns0:f>
        <ns0:v>118465.69483382486</ns0:v>
      </ns0:c>
      <ns0:c r="G160" s="16">
        <ns0:f>A160*('前提と出典'!$C$36*'契約別単価'!G5+'前提と出典'!$C$37*'契約別単価'!G6+'前提と出典'!$C$38*'契約別単価'!G7)</ns0:f>
        <ns0:v>310518.4357541899</ns0:v>
      </ns0:c>
      <ns0:c r="H160" s="16">
        <ns0:f>A160*('前提と出典'!$C$36*'契約別単価'!H5+'前提と出典'!$C$37*'契約別単価'!H6+'前提と出典'!$C$38*'契約別単価'!H7)</ns0:f>
        <ns0:v>107765.47093006932</ns0:v>
      </ns0:c>
      <ns0:c r="I160" s="16">
        <ns0:f>A160*('前提と出典'!$C$36*'契約別単価'!I5+'前提と出典'!$C$37*'契約別単価'!I6+'前提と出典'!$C$38*'契約別単価'!I7)</ns0:f>
        <ns0:v>6582.502793296088</ns0:v>
      </ns0:c>
      <ns0:c r="J160" s="16">
        <ns0:f>A160*('前提と出典'!$C$36*'契約別単価'!J5+'前提と出典'!$C$37*'契約別単価'!J6+'前提と出典'!$C$38*'契約別単価'!J7)</ns0:f>
        <ns0:v>15333.1688188072</ns0:v>
      </ns0:c>
      <ns0:c r="K160" s="16">
        <ns0:f>A160*('前提と出典'!$C$36*'契約別単価'!K5+'前提と出典'!$C$37*'契約別単価'!K6+'前提と出典'!$C$38*'契約別単価'!K7)</ns0:f>
        <ns0:v>65723.35195530725</ns0:v>
      </ns0:c>
      <ns0:c r="L160" s="16">
        <ns0:f>A160*('前提と出典'!$C$36*'契約別単価'!L5+'前提と出典'!$C$37*'契約別単価'!L6+'前提と出典'!$C$38*'契約別単価'!L7)</ns0:f>
        <ns0:v>53512.18236433564</ns0:v>
      </ns0:c>
      <ns0:c r="M160" s="16">
        <ns0:f>IF(('前提と出典'!$C$36+'前提と出典'!$C$38)=0,0,IF(B160&lt;=10,'前提と出典'!B73+'前提と出典'!C73,IF(B160&lt;=100,'前提と出典'!B74+'前提と出典'!C74,IF(B160&lt;=500,'前提と出典'!B75+'前提と出典'!C75,'前提と出典'!B76+'前提と出典'!C76))))</ns0:f>
        <ns0:v>40000</ns0:v>
      </ns0:c>
      <ns0:c r="N160" s="16">
        <ns0:f>IF(('前提と出典'!$C$37+'前提と出典'!$C$38)=0,0,IF(C160&lt;=10,'前提と出典'!D73+'前提と出典'!E73,IF(C160&lt;=100,'前提と出典'!D74+'前提と出典'!E74,IF(C160&lt;=500,'前提と出典'!D75+'前提と出典'!E75,'前提と出典'!D76+'前提と出典'!E76))))</ns0:f>
        <ns0:v>34510.9346263078</ns0:v>
      </ns0:c>
      <ns0:c r="O160" s="16">
        <ns0:f>IF('前提と出典'!$C$36+'前提と出典'!$C$38=0,0,'前提と出典'!$B$4*IF('前提と出典'!$B$20=0,MAX('前提と出典'!$B$6,D160*'前提と出典'!$B$5),'前提と出典'!$B$6+D160*'前提と出典'!$B$5))</ns0:f>
        <ns0:v>154905.38547486032</ns0:v>
      </ns0:c>
      <ns0:c r="P160" s="16">
        <ns0:f>(E160+G160)*(1-'前提と出典'!$B$7)-I160-K160-M160-O160</ns0:f>
        <ns0:v>323113.2491016155</ns0:v>
      </ns0:c>
      <ns0:c r="Q160" s="16">
        <ns0:f>(F160+H160)*(1-'前提と出典'!$B$7)-J160-L160-N160</ns0:f>
        <ns0:v>114730.55798694334</ns0:v>
      </ns0:c>
      <ns0:c r="R160" s="16">
        <ns0:f>P160-E160*'前提と出典'!$E$4</ns0:f>
        <ns0:v>232557.83916654077</ns0:v>
      </ns0:c>
      <ns0:c r="S160" s="16">
        <ns0:f>Q160-F160*'前提と出典'!$E$4</ns0:f>
        <ns0:v>79190.8495367959</ns0:v>
      </ns0:c>
      <ns0:c r="T160" s="7">
        <ns0:f>R160+S160</ns0:f>
        <ns0:v>311748.68870333664</ns0:v>
      </ns0:c>
      <ns0:c r="U160" s="16">
        <ns0:f>P160-E160*'前提と出典'!$E$5</ns0:f>
        <ns0:v>202372.7025215159</ns0:v>
      </ns0:c>
      <ns0:c r="V160" s="16">
        <ns0:f>Q160-F160*'前提と出典'!$E$5</ns0:f>
        <ns0:v>67344.28005341339</ns0:v>
      </ns0:c>
      <ns0:c r="W160" s="7">
        <ns0:f>U160+V160</ns0:f>
        <ns0:v>269716.98257492925</ns0:v>
      </ns0:c>
      <ns0:c r="X160" s="16">
        <ns0:f>P160-E160*'前提と出典'!$E$6</ns0:f>
        <ns0:v>172187.56587649096</ns0:v>
      </ns0:c>
      <ns0:c r="Y160" s="16">
        <ns0:f>Q160-F160*'前提と出典'!$E$6</ns0:f>
        <ns0:v>55497.71057003091</ns0:v>
      </ns0:c>
      <ns0:c r="Z160" s="7">
        <ns0:f>X160+Y160</ns0:f>
        <ns0:v>227685.27644652186</ns0:v>
      </ns0:c>
      <ns0:c r="AA160" s="7">
        <ns0:f>IF(T160&gt;=0,A160,1001)</ns0:f>
        <ns0:v>156</ns0:v>
      </ns0:c>
      <ns0:c r="AB160" s="7">
        <ns0:f>IF(T160&lt;0,A160,0)</ns0:f>
        <ns0:v>0</ns0:v>
      </ns0:c>
      <ns0:c r="AC160" s="16">
        <ns0:f>IF(AND(OR('前提と出典'!$C$36+'前提と出典'!$C$38=0,R160&gt;=0),OR('前提と出典'!$C$37+'前提と出典'!$C$38=0,S160&gt;=0)),0,A160)</ns0:f>
        <ns0:v>0</ns0:v>
      </ns0:c>
      <ns0:c r="AD160" s="7">
        <ns0:f>IF(W160&gt;=0,A160,1001)</ns0:f>
        <ns0:v>156</ns0:v>
      </ns0:c>
      <ns0:c r="AE160" s="7">
        <ns0:f>IF(W160&lt;0,A160,0)</ns0:f>
        <ns0:v>0</ns0:v>
      </ns0:c>
      <ns0:c r="AF160" s="16">
        <ns0:f>IF(AND(OR('前提と出典'!$C$36+'前提と出典'!$C$38=0,U160&gt;=0),OR('前提と出典'!$C$37+'前提と出典'!$C$38=0,V160&gt;=0)),0,A160)</ns0:f>
        <ns0:v>0</ns0:v>
      </ns0:c>
      <ns0:c r="AG160" s="7">
        <ns0:f>IF(Z160&gt;=0,A160,1001)</ns0:f>
        <ns0:v>156</ns0:v>
      </ns0:c>
      <ns0:c r="AH160" s="4">
        <ns0:f>IF(Z160&lt;0,A160,0)</ns0:f>
        <ns0:v>0</ns0:v>
      </ns0:c>
      <ns0:c r="AI160" s="12">
        <ns0:f>IF(AND(OR('前提と出典'!$C$36+'前提と出典'!$C$38=0,X160&gt;=0),OR('前提と出典'!$C$37+'前提と出典'!$C$38=0,Y160&gt;=0)),0,A160)</ns0:f>
        <ns0:v>0</ns0:v>
      </ns0:c>
    </ns0:row>
    <ns0:row r="161" ht="24" customHeight="1">
      <ns0:c r="A161" s="4" t="n">
        <ns0:v>157</ns0:v>
      </ns0:c>
      <ns0:c r="B161" s="12">
        <ns0:f>A161*('前提と出典'!$C$36+'前提と出典'!$C$38)</ns0:f>
        <ns0:v>109.89999999999999</ns0:v>
      </ns0:c>
      <ns0:c r="C161" s="12">
        <ns0:f>A161*('前提と出典'!$C$37+'前提と出典'!$C$38)</ns0:f>
        <ns0:v>94.2</ns0:v>
      </ns0:c>
      <ns0:c r="D161" s="16">
        <ns0:f>A161*('前提と出典'!$C$36*'契約別単価'!C5+'前提と出典'!$C$37*'契約別単価'!C6+'前提と出典'!$C$38*'契約別単価'!C7)</ns0:f>
        <ns0:v>1129.6983240223465</ns0:v>
      </ns0:c>
      <ns0:c r="E161" s="16">
        <ns0:f>A161*('前提と出典'!$C$36*'契約別単価'!E5+'前提と出典'!$C$37*'契約別単価'!E6+'前提と出典'!$C$38*'契約別単価'!E7)</ns0:f>
        <ns0:v>303786.3111069815</ns0:v>
      </ns0:c>
      <ns0:c r="F161" s="16">
        <ns0:f>A161*('前提と出典'!$C$36*'契約別単価'!F5+'前提と出典'!$C$37*'契約別単価'!F6+'前提と出典'!$C$38*'契約別単価'!F7)</ns0:f>
        <ns0:v>119225.09031352887</ns0:v>
      </ns0:c>
      <ns0:c r="G161" s="16">
        <ns0:f>A161*('前提と出典'!$C$36*'契約別単価'!G5+'前提と出典'!$C$37*'契約別単価'!G6+'前提と出典'!$C$38*'契約別単価'!G7)</ns0:f>
        <ns0:v>312508.93854748603</ns0:v>
      </ns0:c>
      <ns0:c r="H161" s="16">
        <ns0:f>A161*('前提と出典'!$C$36*'契約別単価'!H5+'前提と出典'!$C$37*'契約別単価'!H6+'前提と出典'!$C$38*'契約別単価'!H7)</ns0:f>
        <ns0:v>108456.27523090309</ns0:v>
      </ns0:c>
      <ns0:c r="I161" s="16">
        <ns0:f>A161*('前提と出典'!$C$36*'契約別単価'!I5+'前提と出典'!$C$37*'契約別単価'!I6+'前提と出典'!$C$38*'契約別単価'!I7)</ns0:f>
        <ns0:v>6624.698324022345</ns0:v>
      </ns0:c>
      <ns0:c r="J161" s="16">
        <ns0:f>A161*('前提と出典'!$C$36*'契約別単価'!J5+'前提と出典'!$C$37*'契約別単価'!J6+'前提と出典'!$C$38*'契約別単価'!J7)</ns0:f>
        <ns0:v>15431.458362517504</ns0:v>
      </ns0:c>
      <ns0:c r="K161" s="16">
        <ns0:f>A161*('前提と出典'!$C$36*'契約別単価'!K5+'前提と出典'!$C$37*'契約別単価'!K6+'前提と出典'!$C$38*'契約別単価'!K7)</ns0:f>
        <ns0:v>66144.6554934823</ns0:v>
      </ns0:c>
      <ns0:c r="L161" s="16">
        <ns0:f>A161*('前提と出典'!$C$36*'契約別単価'!L5+'前提と出典'!$C$37*'契約別単価'!L6+'前提と出典'!$C$38*'契約別単価'!L7)</ns0:f>
        <ns0:v>53855.20917436344</ns0:v>
      </ns0:c>
      <ns0:c r="M161" s="16">
        <ns0:f>IF(('前提と出典'!$C$36+'前提と出典'!$C$38)=0,0,IF(B161&lt;=10,'前提と出典'!B73+'前提と出典'!C73,IF(B161&lt;=100,'前提と出典'!B74+'前提と出典'!C74,IF(B161&lt;=500,'前提と出典'!B75+'前提と出典'!C75,'前提と出典'!B76+'前提と出典'!C76))))</ns0:f>
        <ns0:v>40000</ns0:v>
      </ns0:c>
      <ns0:c r="N161" s="16">
        <ns0:f>IF(('前提と出典'!$C$37+'前提と出典'!$C$38)=0,0,IF(C161&lt;=10,'前提と出典'!D73+'前提と出典'!E73,IF(C161&lt;=100,'前提と出典'!D74+'前提と出典'!E74,IF(C161&lt;=500,'前提と出典'!D75+'前提と出典'!E75,'前提と出典'!D76+'前提と出典'!E76))))</ns0:f>
        <ns0:v>34510.9346263078</ns0:v>
      </ns0:c>
      <ns0:c r="O161" s="16">
        <ns0:f>IF('前提と出典'!$C$36+'前提と出典'!$C$38=0,0,'前提と出典'!$B$4*IF('前提と出典'!$B$20=0,MAX('前提と出典'!$B$6,D161*'前提と出典'!$B$5),'前提と出典'!$B$6+D161*'前提と出典'!$B$5))</ns0:f>
        <ns0:v>155898.36871508384</ns0:v>
      </ns0:c>
      <ns0:c r="P161" s="16">
        <ns0:f>(E161+G161)*(1-'前提と出典'!$B$7)-I161-K161-M161-O161</ns0:f>
        <ns0:v>325440.8981343182</ns0:v>
      </ns0:c>
      <ns0:c r="Q161" s="16">
        <ns0:f>(F161+H161)*(1-'前提と出典'!$B$7)-J161-L161-N161</ns0:f>
        <ns0:v>115687.23422164368</ns0:v>
      </ns0:c>
      <ns0:c r="R161" s="16">
        <ns0:f>P161-E161*'前提と出典'!$E$4</ns0:f>
        <ns0:v>234305.00480222373</ns0:v>
      </ns0:c>
      <ns0:c r="S161" s="16">
        <ns0:f>Q161-F161*'前提と出典'!$E$4</ns0:f>
        <ns0:v>79919.70712758502</ns0:v>
      </ns0:c>
      <ns0:c r="T161" s="7">
        <ns0:f>R161+S161</ns0:f>
        <ns0:v>314224.7119298087</ns0:v>
      </ns0:c>
      <ns0:c r="U161" s="16">
        <ns0:f>P161-E161*'前提と出典'!$E$5</ns0:f>
        <ns0:v>203926.37369152557</ns0:v>
      </ns0:c>
      <ns0:c r="V161" s="16">
        <ns0:f>Q161-F161*'前提と出典'!$E$5</ns0:f>
        <ns0:v>67997.19809623214</ns0:v>
      </ns0:c>
      <ns0:c r="W161" s="7">
        <ns0:f>U161+V161</ns0:f>
        <ns0:v>271923.5717877577</ns0:v>
      </ns0:c>
      <ns0:c r="X161" s="16">
        <ns0:f>P161-E161*'前提と出典'!$E$6</ns0:f>
        <ns0:v>173547.7425808274</ns0:v>
      </ns0:c>
      <ns0:c r="Y161" s="16">
        <ns0:f>Q161-F161*'前提と出典'!$E$6</ns0:f>
        <ns0:v>56074.68906487924</ns0:v>
      </ns0:c>
      <ns0:c r="Z161" s="7">
        <ns0:f>X161+Y161</ns0:f>
        <ns0:v>229622.43164570665</ns0:v>
      </ns0:c>
      <ns0:c r="AA161" s="7">
        <ns0:f>IF(T161&gt;=0,A161,1001)</ns0:f>
        <ns0:v>157</ns0:v>
      </ns0:c>
      <ns0:c r="AB161" s="7">
        <ns0:f>IF(T161&lt;0,A161,0)</ns0:f>
        <ns0:v>0</ns0:v>
      </ns0:c>
      <ns0:c r="AC161" s="16">
        <ns0:f>IF(AND(OR('前提と出典'!$C$36+'前提と出典'!$C$38=0,R161&gt;=0),OR('前提と出典'!$C$37+'前提と出典'!$C$38=0,S161&gt;=0)),0,A161)</ns0:f>
        <ns0:v>0</ns0:v>
      </ns0:c>
      <ns0:c r="AD161" s="7">
        <ns0:f>IF(W161&gt;=0,A161,1001)</ns0:f>
        <ns0:v>157</ns0:v>
      </ns0:c>
      <ns0:c r="AE161" s="7">
        <ns0:f>IF(W161&lt;0,A161,0)</ns0:f>
        <ns0:v>0</ns0:v>
      </ns0:c>
      <ns0:c r="AF161" s="16">
        <ns0:f>IF(AND(OR('前提と出典'!$C$36+'前提と出典'!$C$38=0,U161&gt;=0),OR('前提と出典'!$C$37+'前提と出典'!$C$38=0,V161&gt;=0)),0,A161)</ns0:f>
        <ns0:v>0</ns0:v>
      </ns0:c>
      <ns0:c r="AG161" s="7">
        <ns0:f>IF(Z161&gt;=0,A161,1001)</ns0:f>
        <ns0:v>157</ns0:v>
      </ns0:c>
      <ns0:c r="AH161" s="4">
        <ns0:f>IF(Z161&lt;0,A161,0)</ns0:f>
        <ns0:v>0</ns0:v>
      </ns0:c>
      <ns0:c r="AI161" s="12">
        <ns0:f>IF(AND(OR('前提と出典'!$C$36+'前提と出典'!$C$38=0,X161&gt;=0),OR('前提と出典'!$C$37+'前提と出典'!$C$38=0,Y161&gt;=0)),0,A161)</ns0:f>
        <ns0:v>0</ns0:v>
      </ns0:c>
    </ns0:row>
    <ns0:row r="162" ht="24" customHeight="1">
      <ns0:c r="A162" s="4" t="n">
        <ns0:v>158</ns0:v>
      </ns0:c>
      <ns0:c r="B162" s="12">
        <ns0:f>A162*('前提と出典'!$C$36+'前提と出典'!$C$38)</ns0:f>
        <ns0:v>110.6</ns0:v>
      </ns0:c>
      <ns0:c r="C162" s="12">
        <ns0:f>A162*('前提と出典'!$C$37+'前提と出典'!$C$38)</ns0:f>
        <ns0:v>94.8</ns0:v>
      </ns0:c>
      <ns0:c r="D162" s="16">
        <ns0:f>A162*('前提と出典'!$C$36*'契約別単価'!C5+'前提と出典'!$C$37*'契約別単価'!C6+'前提と出典'!$C$38*'契約別単価'!C7)</ns0:f>
        <ns0:v>1136.8938547486034</ns0:v>
      </ns0:c>
      <ns0:c r="E162" s="16">
        <ns0:f>A162*('前提と出典'!$C$36*'契約別単価'!E5+'前提と出典'!$C$37*'契約別単価'!E6+'前提と出典'!$C$38*'契約別単価'!E7)</ns0:f>
        <ns0:v>305721.2557637138</ns0:v>
      </ns0:c>
      <ns0:c r="F162" s="16">
        <ns0:f>A162*('前提と出典'!$C$36*'契約別単価'!F5+'前提と出典'!$C$37*'契約別単価'!F6+'前提と出典'!$C$38*'契約別単価'!F7)</ns0:f>
        <ns0:v>119984.48579323287</ns0:v>
      </ns0:c>
      <ns0:c r="G162" s="16">
        <ns0:f>A162*('前提と出典'!$C$36*'契約別単価'!G5+'前提と出典'!$C$37*'契約別単価'!G6+'前提と出典'!$C$38*'契約別単価'!G7)</ns0:f>
        <ns0:v>314499.4413407821</ns0:v>
      </ns0:c>
      <ns0:c r="H162" s="16">
        <ns0:f>A162*('前提と出典'!$C$36*'契約別単価'!H5+'前提と出典'!$C$37*'契約別単価'!H6+'前提と出典'!$C$38*'契約別単価'!H7)</ns0:f>
        <ns0:v>109147.07953173688</ns0:v>
      </ns0:c>
      <ns0:c r="I162" s="16">
        <ns0:f>A162*('前提と出典'!$C$36*'契約別単価'!I5+'前提と出典'!$C$37*'契約別単価'!I6+'前提と出典'!$C$38*'契約別単価'!I7)</ns0:f>
        <ns0:v>6666.893854748602</ns0:v>
      </ns0:c>
      <ns0:c r="J162" s="16">
        <ns0:f>A162*('前提と出典'!$C$36*'契約別単価'!J5+'前提と出典'!$C$37*'契約別単価'!J6+'前提と出典'!$C$38*'契約別単価'!J7)</ns0:f>
        <ns0:v>15529.747906227805</ns0:v>
      </ns0:c>
      <ns0:c r="K162" s="16">
        <ns0:f>A162*('前提と出典'!$C$36*'契約別単価'!K5+'前提と出典'!$C$37*'契約別単価'!K6+'前提と出典'!$C$38*'契約別単価'!K7)</ns0:f>
        <ns0:v>66565.95903165734</ns0:v>
      </ns0:c>
      <ns0:c r="L162" s="16">
        <ns0:f>A162*('前提と出典'!$C$36*'契約別単価'!L5+'前提と出典'!$C$37*'契約別単価'!L6+'前提と出典'!$C$38*'契約別単価'!L7)</ns0:f>
        <ns0:v>54198.23598439123</ns0:v>
      </ns0:c>
      <ns0:c r="M162" s="16">
        <ns0:f>IF(('前提と出典'!$C$36+'前提と出典'!$C$38)=0,0,IF(B162&lt;=10,'前提と出典'!B73+'前提と出典'!C73,IF(B162&lt;=100,'前提と出典'!B74+'前提と出典'!C74,IF(B162&lt;=500,'前提と出典'!B75+'前提と出典'!C75,'前提と出典'!B76+'前提と出典'!C76))))</ns0:f>
        <ns0:v>40000</ns0:v>
      </ns0:c>
      <ns0:c r="N162" s="16">
        <ns0:f>IF(('前提と出典'!$C$37+'前提と出典'!$C$38)=0,0,IF(C162&lt;=10,'前提と出典'!D73+'前提と出典'!E73,IF(C162&lt;=100,'前提と出典'!D74+'前提と出典'!E74,IF(C162&lt;=500,'前提と出典'!D75+'前提と出典'!E75,'前提と出典'!D76+'前提と出典'!E76))))</ns0:f>
        <ns0:v>34510.9346263078</ns0:v>
      </ns0:c>
      <ns0:c r="O162" s="16">
        <ns0:f>IF('前提と出典'!$C$36+'前提と出典'!$C$38=0,0,'前提と出典'!$B$4*IF('前提と出典'!$B$20=0,MAX('前提と出典'!$B$6,D162*'前提と出典'!$B$5),'前提と出典'!$B$6+D162*'前提と出典'!$B$5))</ns0:f>
        <ns0:v>156891.35195530727</ns0:v>
      </ns0:c>
      <ns0:c r="P162" s="16">
        <ns0:f>(E162+G162)*(1-'前提と出典'!$B$7)-I162-K162-M162-O162</ns0:f>
        <ns0:v>327768.54716702085</ns0:v>
      </ns0:c>
      <ns0:c r="Q162" s="16">
        <ns0:f>(F162+H162)*(1-'前提と出典'!$B$7)-J162-L162-N162</ns0:f>
        <ns0:v>116643.91045634405</ns0:v>
      </ns0:c>
      <ns0:c r="R162" s="16">
        <ns0:f>P162-E162*'前提と出典'!$E$4</ns0:f>
        <ns0:v>236052.17043790678</ns0:v>
      </ns0:c>
      <ns0:c r="S162" s="16">
        <ns0:f>Q162-F162*'前提と出典'!$E$4</ns0:f>
        <ns0:v>80648.5647183742</ns0:v>
      </ns0:c>
      <ns0:c r="T162" s="7">
        <ns0:f>R162+S162</ns0:f>
        <ns0:v>316700.735156281</ns0:v>
      </ns0:c>
      <ns0:c r="U162" s="16">
        <ns0:f>P162-E162*'前提と出典'!$E$5</ns0:f>
        <ns0:v>205480.04486153534</ns0:v>
      </ns0:c>
      <ns0:c r="V162" s="16">
        <ns0:f>Q162-F162*'前提と出典'!$E$5</ns0:f>
        <ns0:v>68650.1161390509</ns0:v>
      </ns0:c>
      <ns0:c r="W162" s="7">
        <ns0:f>U162+V162</ns0:f>
        <ns0:v>274130.16100058623</ns0:v>
      </ns0:c>
      <ns0:c r="X162" s="16">
        <ns0:f>P162-E162*'前提と出典'!$E$6</ns0:f>
        <ns0:v>174907.919285164</ns0:v>
      </ns0:c>
      <ns0:c r="Y162" s="16">
        <ns0:f>Q162-F162*'前提と出典'!$E$6</ns0:f>
        <ns0:v>56651.66755972761</ns0:v>
      </ns0:c>
      <ns0:c r="Z162" s="7">
        <ns0:f>X162+Y162</ns0:f>
        <ns0:v>231559.58684489163</ns0:v>
      </ns0:c>
      <ns0:c r="AA162" s="7">
        <ns0:f>IF(T162&gt;=0,A162,1001)</ns0:f>
        <ns0:v>158</ns0:v>
      </ns0:c>
      <ns0:c r="AB162" s="7">
        <ns0:f>IF(T162&lt;0,A162,0)</ns0:f>
        <ns0:v>0</ns0:v>
      </ns0:c>
      <ns0:c r="AC162" s="16">
        <ns0:f>IF(AND(OR('前提と出典'!$C$36+'前提と出典'!$C$38=0,R162&gt;=0),OR('前提と出典'!$C$37+'前提と出典'!$C$38=0,S162&gt;=0)),0,A162)</ns0:f>
        <ns0:v>0</ns0:v>
      </ns0:c>
      <ns0:c r="AD162" s="7">
        <ns0:f>IF(W162&gt;=0,A162,1001)</ns0:f>
        <ns0:v>158</ns0:v>
      </ns0:c>
      <ns0:c r="AE162" s="7">
        <ns0:f>IF(W162&lt;0,A162,0)</ns0:f>
        <ns0:v>0</ns0:v>
      </ns0:c>
      <ns0:c r="AF162" s="16">
        <ns0:f>IF(AND(OR('前提と出典'!$C$36+'前提と出典'!$C$38=0,U162&gt;=0),OR('前提と出典'!$C$37+'前提と出典'!$C$38=0,V162&gt;=0)),0,A162)</ns0:f>
        <ns0:v>0</ns0:v>
      </ns0:c>
      <ns0:c r="AG162" s="7">
        <ns0:f>IF(Z162&gt;=0,A162,1001)</ns0:f>
        <ns0:v>158</ns0:v>
      </ns0:c>
      <ns0:c r="AH162" s="4">
        <ns0:f>IF(Z162&lt;0,A162,0)</ns0:f>
        <ns0:v>0</ns0:v>
      </ns0:c>
      <ns0:c r="AI162" s="12">
        <ns0:f>IF(AND(OR('前提と出典'!$C$36+'前提と出典'!$C$38=0,X162&gt;=0),OR('前提と出典'!$C$37+'前提と出典'!$C$38=0,Y162&gt;=0)),0,A162)</ns0:f>
        <ns0:v>0</ns0:v>
      </ns0:c>
    </ns0:row>
    <ns0:row r="163" ht="24" customHeight="1">
      <ns0:c r="A163" s="4" t="n">
        <ns0:v>159</ns0:v>
      </ns0:c>
      <ns0:c r="B163" s="12">
        <ns0:f>A163*('前提と出典'!$C$36+'前提と出典'!$C$38)</ns0:f>
        <ns0:v>111.3</ns0:v>
      </ns0:c>
      <ns0:c r="C163" s="12">
        <ns0:f>A163*('前提と出典'!$C$37+'前提と出典'!$C$38)</ns0:f>
        <ns0:v>95.39999999999999</ns0:v>
      </ns0:c>
      <ns0:c r="D163" s="16">
        <ns0:f>A163*('前提と出典'!$C$36*'契約別単価'!C5+'前提と出典'!$C$37*'契約別単価'!C6+'前提と出典'!$C$38*'契約別単価'!C7)</ns0:f>
        <ns0:v>1144.0893854748604</ns0:v>
      </ns0:c>
      <ns0:c r="E163" s="16">
        <ns0:f>A163*('前提と出典'!$C$36*'契約別単価'!E5+'前提と出典'!$C$37*'契約別単価'!E6+'前提と出典'!$C$38*'契約別単価'!E7)</ns0:f>
        <ns0:v>307656.20042044617</ns0:v>
      </ns0:c>
      <ns0:c r="F163" s="16">
        <ns0:f>A163*('前提と出典'!$C$36*'契約別単価'!F5+'前提と出典'!$C$37*'契約別単価'!F6+'前提と出典'!$C$38*'契約別単価'!F7)</ns0:f>
        <ns0:v>120743.88127293688</ns0:v>
      </ns0:c>
      <ns0:c r="G163" s="16">
        <ns0:f>A163*('前提と出典'!$C$36*'契約別単価'!G5+'前提と出典'!$C$37*'契約別単価'!G6+'前提と出典'!$C$38*'契約別単価'!G7)</ns0:f>
        <ns0:v>316489.9441340782</ns0:v>
      </ns0:c>
      <ns0:c r="H163" s="16">
        <ns0:f>A163*('前提と出典'!$C$36*'契約別単価'!H5+'前提と出典'!$C$37*'契約別単価'!H6+'前提と出典'!$C$38*'契約別単価'!H7)</ns0:f>
        <ns0:v>109837.88383257065</ns0:v>
      </ns0:c>
      <ns0:c r="I163" s="16">
        <ns0:f>A163*('前提と出典'!$C$36*'契約別単価'!I5+'前提と出典'!$C$37*'契約別単価'!I6+'前提と出典'!$C$38*'契約別単価'!I7)</ns0:f>
        <ns0:v>6709.089385474859</ns0:v>
      </ns0:c>
      <ns0:c r="J163" s="16">
        <ns0:f>A163*('前提と出典'!$C$36*'契約別単価'!J5+'前提と出典'!$C$37*'契約別単価'!J6+'前提と出典'!$C$38*'契約別単価'!J7)</ns0:f>
        <ns0:v>15628.037449938109</ns0:v>
      </ns0:c>
      <ns0:c r="K163" s="16">
        <ns0:f>A163*('前提と出典'!$C$36*'契約別単価'!K5+'前提と出典'!$C$37*'契約別単価'!K6+'前提と出典'!$C$38*'契約別単価'!K7)</ns0:f>
        <ns0:v>66987.2625698324</ns0:v>
      </ns0:c>
      <ns0:c r="L163" s="16">
        <ns0:f>A163*('前提と出典'!$C$36*'契約別単価'!L5+'前提と出典'!$C$37*'契約別単価'!L6+'前提と出典'!$C$38*'契約別単価'!L7)</ns0:f>
        <ns0:v>54541.26279441902</ns0:v>
      </ns0:c>
      <ns0:c r="M163" s="16">
        <ns0:f>IF(('前提と出典'!$C$36+'前提と出典'!$C$38)=0,0,IF(B163&lt;=10,'前提と出典'!B73+'前提と出典'!C73,IF(B163&lt;=100,'前提と出典'!B74+'前提と出典'!C74,IF(B163&lt;=500,'前提と出典'!B75+'前提と出典'!C75,'前提と出典'!B76+'前提と出典'!C76))))</ns0:f>
        <ns0:v>40000</ns0:v>
      </ns0:c>
      <ns0:c r="N163" s="16">
        <ns0:f>IF(('前提と出典'!$C$37+'前提と出典'!$C$38)=0,0,IF(C163&lt;=10,'前提と出典'!D73+'前提と出典'!E73,IF(C163&lt;=100,'前提と出典'!D74+'前提と出典'!E74,IF(C163&lt;=500,'前提と出典'!D75+'前提と出典'!E75,'前提と出典'!D76+'前提と出典'!E76))))</ns0:f>
        <ns0:v>34510.9346263078</ns0:v>
      </ns0:c>
      <ns0:c r="O163" s="16">
        <ns0:f>IF('前提と出典'!$C$36+'前提と出典'!$C$38=0,0,'前提と出典'!$B$4*IF('前提と出典'!$B$20=0,MAX('前提と出典'!$B$6,D163*'前提と出典'!$B$5),'前提と出典'!$B$6+D163*'前提と出典'!$B$5))</ns0:f>
        <ns0:v>157884.33519553073</ns0:v>
      </ns0:c>
      <ns0:c r="P163" s="16">
        <ns0:f>(E163+G163)*(1-'前提と出典'!$B$7)-I163-K163-M163-O163</ns0:f>
        <ns0:v>330096.19619972364</ns0:v>
      </ns0:c>
      <ns0:c r="Q163" s="16">
        <ns0:f>(F163+H163)*(1-'前提と出典'!$B$7)-J163-L163-N163</ns0:f>
        <ns0:v>117600.58669104434</ns0:v>
      </ns0:c>
      <ns0:c r="R163" s="16">
        <ns0:f>P163-E163*'前提と出典'!$E$4</ns0:f>
        <ns0:v>237799.3360735897</ns0:v>
      </ns0:c>
      <ns0:c r="S163" s="16">
        <ns0:f>Q163-F163*'前提と出典'!$E$4</ns0:f>
        <ns0:v>81377.42230916326</ns0:v>
      </ns0:c>
      <ns0:c r="T163" s="7">
        <ns0:f>R163+S163</ns0:f>
        <ns0:v>319176.75838275295</ns0:v>
      </ns0:c>
      <ns0:c r="U163" s="16">
        <ns0:f>P163-E163*'前提と出典'!$E$5</ns0:f>
        <ns0:v>207033.71603154513</ns0:v>
      </ns0:c>
      <ns0:c r="V163" s="16">
        <ns0:f>Q163-F163*'前提と出典'!$E$5</ns0:f>
        <ns0:v>69303.03418186959</ns0:v>
      </ns0:c>
      <ns0:c r="W163" s="7">
        <ns0:f>U163+V163</ns0:f>
        <ns0:v>276336.7502134147</ns0:v>
      </ns0:c>
      <ns0:c r="X163" s="16">
        <ns0:f>P163-E163*'前提と出典'!$E$6</ns0:f>
        <ns0:v>176268.09598950046</ns0:v>
      </ns0:c>
      <ns0:c r="Y163" s="16">
        <ns0:f>Q163-F163*'前提と出典'!$E$6</ns0:f>
        <ns0:v>57228.6460545759</ns0:v>
      </ns0:c>
      <ns0:c r="Z163" s="7">
        <ns0:f>X163+Y163</ns0:f>
        <ns0:v>233496.74204407635</ns0:v>
      </ns0:c>
      <ns0:c r="AA163" s="7">
        <ns0:f>IF(T163&gt;=0,A163,1001)</ns0:f>
        <ns0:v>159</ns0:v>
      </ns0:c>
      <ns0:c r="AB163" s="7">
        <ns0:f>IF(T163&lt;0,A163,0)</ns0:f>
        <ns0:v>0</ns0:v>
      </ns0:c>
      <ns0:c r="AC163" s="16">
        <ns0:f>IF(AND(OR('前提と出典'!$C$36+'前提と出典'!$C$38=0,R163&gt;=0),OR('前提と出典'!$C$37+'前提と出典'!$C$38=0,S163&gt;=0)),0,A163)</ns0:f>
        <ns0:v>0</ns0:v>
      </ns0:c>
      <ns0:c r="AD163" s="7">
        <ns0:f>IF(W163&gt;=0,A163,1001)</ns0:f>
        <ns0:v>159</ns0:v>
      </ns0:c>
      <ns0:c r="AE163" s="7">
        <ns0:f>IF(W163&lt;0,A163,0)</ns0:f>
        <ns0:v>0</ns0:v>
      </ns0:c>
      <ns0:c r="AF163" s="16">
        <ns0:f>IF(AND(OR('前提と出典'!$C$36+'前提と出典'!$C$38=0,U163&gt;=0),OR('前提と出典'!$C$37+'前提と出典'!$C$38=0,V163&gt;=0)),0,A163)</ns0:f>
        <ns0:v>0</ns0:v>
      </ns0:c>
      <ns0:c r="AG163" s="7">
        <ns0:f>IF(Z163&gt;=0,A163,1001)</ns0:f>
        <ns0:v>159</ns0:v>
      </ns0:c>
      <ns0:c r="AH163" s="4">
        <ns0:f>IF(Z163&lt;0,A163,0)</ns0:f>
        <ns0:v>0</ns0:v>
      </ns0:c>
      <ns0:c r="AI163" s="12">
        <ns0:f>IF(AND(OR('前提と出典'!$C$36+'前提と出典'!$C$38=0,X163&gt;=0),OR('前提と出典'!$C$37+'前提と出典'!$C$38=0,Y163&gt;=0)),0,A163)</ns0:f>
        <ns0:v>0</ns0:v>
      </ns0:c>
    </ns0:row>
    <ns0:row r="164" ht="24" customHeight="1">
      <ns0:c r="A164" s="4" t="n">
        <ns0:v>160</ns0:v>
      </ns0:c>
      <ns0:c r="B164" s="12">
        <ns0:f>A164*('前提と出典'!$C$36+'前提と出典'!$C$38)</ns0:f>
        <ns0:v>112</ns0:v>
      </ns0:c>
      <ns0:c r="C164" s="12">
        <ns0:f>A164*('前提と出典'!$C$37+'前提と出典'!$C$38)</ns0:f>
        <ns0:v>96</ns0:v>
      </ns0:c>
      <ns0:c r="D164" s="16">
        <ns0:f>A164*('前提と出典'!$C$36*'契約別単価'!C5+'前提と出典'!$C$37*'契約別単価'!C6+'前提と出典'!$C$38*'契約別単価'!C7)</ns0:f>
        <ns0:v>1151.2849162011173</ns0:v>
      </ns0:c>
      <ns0:c r="E164" s="16">
        <ns0:f>A164*('前提と出典'!$C$36*'契約別単価'!E5+'前提と出典'!$C$37*'契約別単価'!E6+'前提と出典'!$C$38*'契約別単価'!E7)</ns0:f>
        <ns0:v>309591.14507717855</ns0:v>
      </ns0:c>
      <ns0:c r="F164" s="16">
        <ns0:f>A164*('前提と出典'!$C$36*'契約別単価'!F5+'前提と出典'!$C$37*'契約別単価'!F6+'前提と出典'!$C$38*'契約別単価'!F7)</ns0:f>
        <ns0:v>121503.27675264089</ns0:v>
      </ns0:c>
      <ns0:c r="G164" s="16">
        <ns0:f>A164*('前提と出典'!$C$36*'契約別単価'!G5+'前提と出典'!$C$37*'契約別単価'!G6+'前提と出典'!$C$38*'契約別単価'!G7)</ns0:f>
        <ns0:v>318480.4469273743</ns0:v>
      </ns0:c>
      <ns0:c r="H164" s="16">
        <ns0:f>A164*('前提と出典'!$C$36*'契約別単価'!H5+'前提と出典'!$C$37*'契約別単価'!H6+'前提と出典'!$C$38*'契約別単価'!H7)</ns0:f>
        <ns0:v>110528.68813340443</ns0:v>
      </ns0:c>
      <ns0:c r="I164" s="16">
        <ns0:f>A164*('前提と出典'!$C$36*'契約別単価'!I5+'前提と出典'!$C$37*'契約別単価'!I6+'前提と出典'!$C$38*'契約別単価'!I7)</ns0:f>
        <ns0:v>6751.284916201116</ns0:v>
      </ns0:c>
      <ns0:c r="J164" s="16">
        <ns0:f>A164*('前提と出典'!$C$36*'契約別単価'!J5+'前提と出典'!$C$37*'契約別単価'!J6+'前提と出典'!$C$38*'契約別単価'!J7)</ns0:f>
        <ns0:v>15726.32699364841</ns0:v>
      </ns0:c>
      <ns0:c r="K164" s="16">
        <ns0:f>A164*('前提と出典'!$C$36*'契約別単価'!K5+'前提と出典'!$C$37*'契約別単価'!K6+'前提と出典'!$C$38*'契約別単価'!K7)</ns0:f>
        <ns0:v>67408.56610800745</ns0:v>
      </ns0:c>
      <ns0:c r="L164" s="16">
        <ns0:f>A164*('前提と出典'!$C$36*'契約別単価'!L5+'前提と出典'!$C$37*'契約別単価'!L6+'前提と出典'!$C$38*'契約別単価'!L7)</ns0:f>
        <ns0:v>54884.289604446814</ns0:v>
      </ns0:c>
      <ns0:c r="M164" s="16">
        <ns0:f>IF(('前提と出典'!$C$36+'前提と出典'!$C$38)=0,0,IF(B164&lt;=10,'前提と出典'!B73+'前提と出典'!C73,IF(B164&lt;=100,'前提と出典'!B74+'前提と出典'!C74,IF(B164&lt;=500,'前提と出典'!B75+'前提と出典'!C75,'前提と出典'!B76+'前提と出典'!C76))))</ns0:f>
        <ns0:v>40000</ns0:v>
      </ns0:c>
      <ns0:c r="N164" s="16">
        <ns0:f>IF(('前提と出典'!$C$37+'前提と出典'!$C$38)=0,0,IF(C164&lt;=10,'前提と出典'!D73+'前提と出典'!E73,IF(C164&lt;=100,'前提と出典'!D74+'前提と出典'!E74,IF(C164&lt;=500,'前提と出典'!D75+'前提と出典'!E75,'前提と出典'!D76+'前提と出典'!E76))))</ns0:f>
        <ns0:v>34510.9346263078</ns0:v>
      </ns0:c>
      <ns0:c r="O164" s="16">
        <ns0:f>IF('前提と出典'!$C$36+'前提と出典'!$C$38=0,0,'前提と出典'!$B$4*IF('前提と出典'!$B$20=0,MAX('前提と出典'!$B$6,D164*'前提と出典'!$B$5),'前提と出典'!$B$6+D164*'前提と出典'!$B$5))</ns0:f>
        <ns0:v>158877.3184357542</ns0:v>
      </ns0:c>
      <ns0:c r="P164" s="16">
        <ns0:f>(E164+G164)*(1-'前提と出典'!$B$7)-I164-K164-M164-O164</ns0:f>
        <ns0:v>332423.8452324262</ns0:v>
      </ns0:c>
      <ns0:c r="Q164" s="16">
        <ns0:f>(F164+H164)*(1-'前提と出典'!$B$7)-J164-L164-N164</ns0:f>
        <ns0:v>118557.26292574467</ns0:v>
      </ns0:c>
      <ns0:c r="R164" s="16">
        <ns0:f>P164-E164*'前提と出典'!$E$4</ns0:f>
        <ns0:v>239546.5017092726</ns0:v>
      </ns0:c>
      <ns0:c r="S164" s="16">
        <ns0:f>Q164-F164*'前提と出典'!$E$4</ns0:f>
        <ns0:v>82106.27989995241</ns0:v>
      </ns0:c>
      <ns0:c r="T164" s="7">
        <ns0:f>R164+S164</ns0:f>
        <ns0:v>321652.78160922497</ns0:v>
      </ns0:c>
      <ns0:c r="U164" s="16">
        <ns0:f>P164-E164*'前提と出典'!$E$5</ns0:f>
        <ns0:v>208587.38720155475</ns0:v>
      </ns0:c>
      <ns0:c r="V164" s="16">
        <ns0:f>Q164-F164*'前提と出典'!$E$5</ns0:f>
        <ns0:v>69955.95222468831</ns0:v>
      </ns0:c>
      <ns0:c r="W164" s="7">
        <ns0:f>U164+V164</ns0:f>
        <ns0:v>278543.3394262431</ns0:v>
      </ns0:c>
      <ns0:c r="X164" s="16">
        <ns0:f>P164-E164*'前提と出典'!$E$6</ns0:f>
        <ns0:v>177628.27269383692</ns0:v>
      </ns0:c>
      <ns0:c r="Y164" s="16">
        <ns0:f>Q164-F164*'前提と出典'!$E$6</ns0:f>
        <ns0:v>57805.624549424225</ns0:v>
      </ns0:c>
      <ns0:c r="Z164" s="7">
        <ns0:f>X164+Y164</ns0:f>
        <ns0:v>235433.89724326113</ns0:v>
      </ns0:c>
      <ns0:c r="AA164" s="7">
        <ns0:f>IF(T164&gt;=0,A164,1001)</ns0:f>
        <ns0:v>160</ns0:v>
      </ns0:c>
      <ns0:c r="AB164" s="7">
        <ns0:f>IF(T164&lt;0,A164,0)</ns0:f>
        <ns0:v>0</ns0:v>
      </ns0:c>
      <ns0:c r="AC164" s="16">
        <ns0:f>IF(AND(OR('前提と出典'!$C$36+'前提と出典'!$C$38=0,R164&gt;=0),OR('前提と出典'!$C$37+'前提と出典'!$C$38=0,S164&gt;=0)),0,A164)</ns0:f>
        <ns0:v>0</ns0:v>
      </ns0:c>
      <ns0:c r="AD164" s="7">
        <ns0:f>IF(W164&gt;=0,A164,1001)</ns0:f>
        <ns0:v>160</ns0:v>
      </ns0:c>
      <ns0:c r="AE164" s="7">
        <ns0:f>IF(W164&lt;0,A164,0)</ns0:f>
        <ns0:v>0</ns0:v>
      </ns0:c>
      <ns0:c r="AF164" s="16">
        <ns0:f>IF(AND(OR('前提と出典'!$C$36+'前提と出典'!$C$38=0,U164&gt;=0),OR('前提と出典'!$C$37+'前提と出典'!$C$38=0,V164&gt;=0)),0,A164)</ns0:f>
        <ns0:v>0</ns0:v>
      </ns0:c>
      <ns0:c r="AG164" s="7">
        <ns0:f>IF(Z164&gt;=0,A164,1001)</ns0:f>
        <ns0:v>160</ns0:v>
      </ns0:c>
      <ns0:c r="AH164" s="4">
        <ns0:f>IF(Z164&lt;0,A164,0)</ns0:f>
        <ns0:v>0</ns0:v>
      </ns0:c>
      <ns0:c r="AI164" s="12">
        <ns0:f>IF(AND(OR('前提と出典'!$C$36+'前提と出典'!$C$38=0,X164&gt;=0),OR('前提と出典'!$C$37+'前提と出典'!$C$38=0,Y164&gt;=0)),0,A164)</ns0:f>
        <ns0:v>0</ns0:v>
      </ns0:c>
    </ns0:row>
    <ns0:row r="165" ht="24" customHeight="1">
      <ns0:c r="A165" s="4" t="n">
        <ns0:v>161</ns0:v>
      </ns0:c>
      <ns0:c r="B165" s="12">
        <ns0:f>A165*('前提と出典'!$C$36+'前提と出典'!$C$38)</ns0:f>
        <ns0:v>112.69999999999999</ns0:v>
      </ns0:c>
      <ns0:c r="C165" s="12">
        <ns0:f>A165*('前提と出典'!$C$37+'前提と出典'!$C$38)</ns0:f>
        <ns0:v>96.6</ns0:v>
      </ns0:c>
      <ns0:c r="D165" s="16">
        <ns0:f>A165*('前提と出典'!$C$36*'契約別単価'!C5+'前提と出典'!$C$37*'契約別単価'!C6+'前提と出典'!$C$38*'契約別単価'!C7)</ns0:f>
        <ns0:v>1158.4804469273743</ns0:v>
      </ns0:c>
      <ns0:c r="E165" s="16">
        <ns0:f>A165*('前提と出典'!$C$36*'契約別単価'!E5+'前提と出典'!$C$37*'契約別単価'!E6+'前提と出典'!$C$38*'契約別単価'!E7)</ns0:f>
        <ns0:v>311526.0897339109</ns0:v>
      </ns0:c>
      <ns0:c r="F165" s="16">
        <ns0:f>A165*('前提と出典'!$C$36*'契約別単価'!F5+'前提と出典'!$C$37*'契約別単価'!F6+'前提と出典'!$C$38*'契約別単価'!F7)</ns0:f>
        <ns0:v>122262.67223234489</ns0:v>
      </ns0:c>
      <ns0:c r="G165" s="16">
        <ns0:f>A165*('前提と出典'!$C$36*'契約別単価'!G5+'前提と出典'!$C$37*'契約別単価'!G6+'前提と出典'!$C$38*'契約別単価'!G7)</ns0:f>
        <ns0:v>320470.94972067035</ns0:v>
      </ns0:c>
      <ns0:c r="H165" s="16">
        <ns0:f>A165*('前提と出典'!$C$36*'契約別単価'!H5+'前提と出典'!$C$37*'契約別単価'!H6+'前提と出典'!$C$38*'契約別単価'!H7)</ns0:f>
        <ns0:v>111219.49243423821</ns0:v>
      </ns0:c>
      <ns0:c r="I165" s="16">
        <ns0:f>A165*('前提と出典'!$C$36*'契約別単価'!I5+'前提と出典'!$C$37*'契約別単価'!I6+'前提と出典'!$C$38*'契約別単価'!I7)</ns0:f>
        <ns0:v>6793.480446927373</ns0:v>
      </ns0:c>
      <ns0:c r="J165" s="16">
        <ns0:f>A165*('前提と出典'!$C$36*'契約別単価'!J5+'前提と出典'!$C$37*'契約別単価'!J6+'前提と出典'!$C$38*'契約別単価'!J7)</ns0:f>
        <ns0:v>15824.616537358714</ns0:v>
      </ns0:c>
      <ns0:c r="K165" s="16">
        <ns0:f>A165*('前提と出典'!$C$36*'契約別単価'!K5+'前提と出典'!$C$37*'契約別単価'!K6+'前提と出典'!$C$38*'契約別単価'!K7)</ns0:f>
        <ns0:v>67829.86964618249</ns0:v>
      </ns0:c>
      <ns0:c r="L165" s="16">
        <ns0:f>A165*('前提と出典'!$C$36*'契約別単価'!L5+'前提と出典'!$C$37*'契約別単価'!L6+'前提と出典'!$C$38*'契約別単価'!L7)</ns0:f>
        <ns0:v>55227.316414474604</ns0:v>
      </ns0:c>
      <ns0:c r="M165" s="16">
        <ns0:f>IF(('前提と出典'!$C$36+'前提と出典'!$C$38)=0,0,IF(B165&lt;=10,'前提と出典'!B73+'前提と出典'!C73,IF(B165&lt;=100,'前提と出典'!B74+'前提と出典'!C74,IF(B165&lt;=500,'前提と出典'!B75+'前提と出典'!C75,'前提と出典'!B76+'前提と出典'!C76))))</ns0:f>
        <ns0:v>40000</ns0:v>
      </ns0:c>
      <ns0:c r="N165" s="16">
        <ns0:f>IF(('前提と出典'!$C$37+'前提と出典'!$C$38)=0,0,IF(C165&lt;=10,'前提と出典'!D73+'前提と出典'!E73,IF(C165&lt;=100,'前提と出典'!D74+'前提と出典'!E74,IF(C165&lt;=500,'前提と出典'!D75+'前提と出典'!E75,'前提と出典'!D76+'前提と出典'!E76))))</ns0:f>
        <ns0:v>34510.9346263078</ns0:v>
      </ns0:c>
      <ns0:c r="O165" s="16">
        <ns0:f>IF('前提と出典'!$C$36+'前提と出典'!$C$38=0,0,'前提と出典'!$B$4*IF('前提と出典'!$B$20=0,MAX('前提と出典'!$B$6,D165*'前提と出典'!$B$5),'前提と出典'!$B$6+D165*'前提と出典'!$B$5))</ns0:f>
        <ns0:v>159870.30167597765</ns0:v>
      </ns0:c>
      <ns0:c r="P165" s="16">
        <ns0:f>(E165+G165)*(1-'前提と出典'!$B$7)-I165-K165-M165-O165</ns0:f>
        <ns0:v>334751.49426512874</ns0:v>
      </ns0:c>
      <ns0:c r="Q165" s="16">
        <ns0:f>(F165+H165)*(1-'前提と出典'!$B$7)-J165-L165-N165</ns0:f>
        <ns0:v>119513.93916044504</ns0:v>
      </ns0:c>
      <ns0:c r="R165" s="16">
        <ns0:f>P165-E165*'前提と出典'!$E$4</ns0:f>
        <ns0:v>241293.6673449555</ns0:v>
      </ns0:c>
      <ns0:c r="S165" s="16">
        <ns0:f>Q165-F165*'前提と出典'!$E$4</ns0:f>
        <ns0:v>82835.13749074153</ns0:v>
      </ns0:c>
      <ns0:c r="T165" s="7">
        <ns0:f>R165+S165</ns0:f>
        <ns0:v>324128.80483569705</ns0:v>
      </ns0:c>
      <ns0:c r="U165" s="16">
        <ns0:f>P165-E165*'前提と出典'!$E$5</ns0:f>
        <ns0:v>210141.05837156437</ns0:v>
      </ns0:c>
      <ns0:c r="V165" s="16">
        <ns0:f>Q165-F165*'前提と出典'!$E$5</ns0:f>
        <ns0:v>70608.87026750707</ns0:v>
      </ns0:c>
      <ns0:c r="W165" s="7">
        <ns0:f>U165+V165</ns0:f>
        <ns0:v>280749.9286390714</ns0:v>
      </ns0:c>
      <ns0:c r="X165" s="16">
        <ns0:f>P165-E165*'前提と出典'!$E$6</ns0:f>
        <ns0:v>178988.44939817325</ns0:v>
      </ns0:c>
      <ns0:c r="Y165" s="16">
        <ns0:f>Q165-F165*'前提と出典'!$E$6</ns0:f>
        <ns0:v>58382.60304427261</ns0:v>
      </ns0:c>
      <ns0:c r="Z165" s="7">
        <ns0:f>X165+Y165</ns0:f>
        <ns0:v>237371.05244244586</ns0:v>
      </ns0:c>
      <ns0:c r="AA165" s="7">
        <ns0:f>IF(T165&gt;=0,A165,1001)</ns0:f>
        <ns0:v>161</ns0:v>
      </ns0:c>
      <ns0:c r="AB165" s="7">
        <ns0:f>IF(T165&lt;0,A165,0)</ns0:f>
        <ns0:v>0</ns0:v>
      </ns0:c>
      <ns0:c r="AC165" s="16">
        <ns0:f>IF(AND(OR('前提と出典'!$C$36+'前提と出典'!$C$38=0,R165&gt;=0),OR('前提と出典'!$C$37+'前提と出典'!$C$38=0,S165&gt;=0)),0,A165)</ns0:f>
        <ns0:v>0</ns0:v>
      </ns0:c>
      <ns0:c r="AD165" s="7">
        <ns0:f>IF(W165&gt;=0,A165,1001)</ns0:f>
        <ns0:v>161</ns0:v>
      </ns0:c>
      <ns0:c r="AE165" s="7">
        <ns0:f>IF(W165&lt;0,A165,0)</ns0:f>
        <ns0:v>0</ns0:v>
      </ns0:c>
      <ns0:c r="AF165" s="16">
        <ns0:f>IF(AND(OR('前提と出典'!$C$36+'前提と出典'!$C$38=0,U165&gt;=0),OR('前提と出典'!$C$37+'前提と出典'!$C$38=0,V165&gt;=0)),0,A165)</ns0:f>
        <ns0:v>0</ns0:v>
      </ns0:c>
      <ns0:c r="AG165" s="7">
        <ns0:f>IF(Z165&gt;=0,A165,1001)</ns0:f>
        <ns0:v>161</ns0:v>
      </ns0:c>
      <ns0:c r="AH165" s="4">
        <ns0:f>IF(Z165&lt;0,A165,0)</ns0:f>
        <ns0:v>0</ns0:v>
      </ns0:c>
      <ns0:c r="AI165" s="12">
        <ns0:f>IF(AND(OR('前提と出典'!$C$36+'前提と出典'!$C$38=0,X165&gt;=0),OR('前提と出典'!$C$37+'前提と出典'!$C$38=0,Y165&gt;=0)),0,A165)</ns0:f>
        <ns0:v>0</ns0:v>
      </ns0:c>
    </ns0:row>
    <ns0:row r="166" ht="24" customHeight="1">
      <ns0:c r="A166" s="4" t="n">
        <ns0:v>162</ns0:v>
      </ns0:c>
      <ns0:c r="B166" s="12">
        <ns0:f>A166*('前提と出典'!$C$36+'前提と出典'!$C$38)</ns0:f>
        <ns0:v>113.39999999999999</ns0:v>
      </ns0:c>
      <ns0:c r="C166" s="12">
        <ns0:f>A166*('前提と出典'!$C$37+'前提と出典'!$C$38)</ns0:f>
        <ns0:v>97.2</ns0:v>
      </ns0:c>
      <ns0:c r="D166" s="16">
        <ns0:f>A166*('前提と出典'!$C$36*'契約別単価'!C5+'前提と出典'!$C$37*'契約別単価'!C6+'前提と出典'!$C$38*'契約別単価'!C7)</ns0:f>
        <ns0:v>1165.6759776536312</ns0:v>
      </ns0:c>
      <ns0:c r="E166" s="16">
        <ns0:f>A166*('前提と出典'!$C$36*'契約別単価'!E5+'前提と出典'!$C$37*'契約別単価'!E6+'前提と出典'!$C$38*'契約別単価'!E7)</ns0:f>
        <ns0:v>313461.0343906433</ns0:v>
      </ns0:c>
      <ns0:c r="F166" s="16">
        <ns0:f>A166*('前提と出典'!$C$36*'契約別単価'!F5+'前提と出典'!$C$37*'契約別単価'!F6+'前提と出典'!$C$38*'契約別単価'!F7)</ns0:f>
        <ns0:v>123022.0677120489</ns0:v>
      </ns0:c>
      <ns0:c r="G166" s="16">
        <ns0:f>A166*('前提と出典'!$C$36*'契約別単価'!G5+'前提と出典'!$C$37*'契約別単価'!G6+'前提と出典'!$C$38*'契約別単価'!G7)</ns0:f>
        <ns0:v>322461.4525139665</ns0:v>
      </ns0:c>
      <ns0:c r="H166" s="16">
        <ns0:f>A166*('前提と出典'!$C$36*'契約別単価'!H5+'前提と出典'!$C$37*'契約別単価'!H6+'前提と出典'!$C$38*'契約別単価'!H7)</ns0:f>
        <ns0:v>111910.29673507198</ns0:v>
      </ns0:c>
      <ns0:c r="I166" s="16">
        <ns0:f>A166*('前提と出典'!$C$36*'契約別単価'!I5+'前提と出典'!$C$37*'契約別単価'!I6+'前提と出典'!$C$38*'契約別単価'!I7)</ns0:f>
        <ns0:v>6835.67597765363</ns0:v>
      </ns0:c>
      <ns0:c r="J166" s="16">
        <ns0:f>A166*('前提と出典'!$C$36*'契約別単価'!J5+'前提と出典'!$C$37*'契約別単価'!J6+'前提と出典'!$C$38*'契約別単価'!J7)</ns0:f>
        <ns0:v>15922.906081069015</ns0:v>
      </ns0:c>
      <ns0:c r="K166" s="16">
        <ns0:f>A166*('前提と出典'!$C$36*'契約別単価'!K5+'前提と出典'!$C$37*'契約別単価'!K6+'前提と出典'!$C$38*'契約別単価'!K7)</ns0:f>
        <ns0:v>68251.17318435754</ns0:v>
      </ns0:c>
      <ns0:c r="L166" s="16">
        <ns0:f>A166*('前提と出典'!$C$36*'契約別単価'!L5+'前提と出典'!$C$37*'契約別単価'!L6+'前提と出典'!$C$38*'契約別単価'!L7)</ns0:f>
        <ns0:v>55570.343224502394</ns0:v>
      </ns0:c>
      <ns0:c r="M166" s="16">
        <ns0:f>IF(('前提と出典'!$C$36+'前提と出典'!$C$38)=0,0,IF(B166&lt;=10,'前提と出典'!B73+'前提と出典'!C73,IF(B166&lt;=100,'前提と出典'!B74+'前提と出典'!C74,IF(B166&lt;=500,'前提と出典'!B75+'前提と出典'!C75,'前提と出典'!B76+'前提と出典'!C76))))</ns0:f>
        <ns0:v>40000</ns0:v>
      </ns0:c>
      <ns0:c r="N166" s="16">
        <ns0:f>IF(('前提と出典'!$C$37+'前提と出典'!$C$38)=0,0,IF(C166&lt;=10,'前提と出典'!D73+'前提と出典'!E73,IF(C166&lt;=100,'前提と出典'!D74+'前提と出典'!E74,IF(C166&lt;=500,'前提と出典'!D75+'前提と出典'!E75,'前提と出典'!D76+'前提と出典'!E76))))</ns0:f>
        <ns0:v>34510.9346263078</ns0:v>
      </ns0:c>
      <ns0:c r="O166" s="16">
        <ns0:f>IF('前提と出典'!$C$36+'前提と出典'!$C$38=0,0,'前提と出典'!$B$4*IF('前提と出典'!$B$20=0,MAX('前提と出典'!$B$6,D166*'前提と出典'!$B$5),'前提と出典'!$B$6+D166*'前提と出典'!$B$5))</ns0:f>
        <ns0:v>160863.2849162011</ns0:v>
      </ns0:c>
      <ns0:c r="P166" s="16">
        <ns0:f>(E166+G166)*(1-'前提と出典'!$B$7)-I166-K166-M166-O166</ns0:f>
        <ns0:v>337079.1432978315</ns0:v>
      </ns0:c>
      <ns0:c r="Q166" s="16">
        <ns0:f>(F166+H166)*(1-'前提と出典'!$B$7)-J166-L166-N166</ns0:f>
        <ns0:v>120470.61539514529</ns0:v>
      </ns0:c>
      <ns0:c r="R166" s="16">
        <ns0:f>P166-E166*'前提と出典'!$E$4</ns0:f>
        <ns0:v>243040.83298063857</ns0:v>
      </ns0:c>
      <ns0:c r="S166" s="16">
        <ns0:f>Q166-F166*'前提と出典'!$E$4</ns0:f>
        <ns0:v>83563.99508153062</ns0:v>
      </ns0:c>
      <ns0:c r="T166" s="7">
        <ns0:f>R166+S166</ns0:f>
        <ns0:v>326604.8280621692</ns0:v>
      </ns0:c>
      <ns0:c r="U166" s="16">
        <ns0:f>P166-E166*'前提と出典'!$E$5</ns0:f>
        <ns0:v>211694.72954157417</ns0:v>
      </ns0:c>
      <ns0:c r="V166" s="16">
        <ns0:f>Q166-F166*'前提と出典'!$E$5</ns0:f>
        <ns0:v>71261.78831032573</ns0:v>
      </ns0:c>
      <ns0:c r="W166" s="7">
        <ns0:f>U166+V166</ns0:f>
        <ns0:v>282956.5178518999</ns0:v>
      </ns0:c>
      <ns0:c r="X166" s="16">
        <ns0:f>P166-E166*'前提と出典'!$E$6</ns0:f>
        <ns0:v>180348.62610250988</ns0:v>
      </ns0:c>
      <ns0:c r="Y166" s="16">
        <ns0:f>Q166-F166*'前提と出典'!$E$6</ns0:f>
        <ns0:v>58959.58153912085</ns0:v>
      </ns0:c>
      <ns0:c r="Z166" s="7">
        <ns0:f>X166+Y166</ns0:f>
        <ns0:v>239308.20764163072</ns0:v>
      </ns0:c>
      <ns0:c r="AA166" s="7">
        <ns0:f>IF(T166&gt;=0,A166,1001)</ns0:f>
        <ns0:v>162</ns0:v>
      </ns0:c>
      <ns0:c r="AB166" s="7">
        <ns0:f>IF(T166&lt;0,A166,0)</ns0:f>
        <ns0:v>0</ns0:v>
      </ns0:c>
      <ns0:c r="AC166" s="16">
        <ns0:f>IF(AND(OR('前提と出典'!$C$36+'前提と出典'!$C$38=0,R166&gt;=0),OR('前提と出典'!$C$37+'前提と出典'!$C$38=0,S166&gt;=0)),0,A166)</ns0:f>
        <ns0:v>0</ns0:v>
      </ns0:c>
      <ns0:c r="AD166" s="7">
        <ns0:f>IF(W166&gt;=0,A166,1001)</ns0:f>
        <ns0:v>162</ns0:v>
      </ns0:c>
      <ns0:c r="AE166" s="7">
        <ns0:f>IF(W166&lt;0,A166,0)</ns0:f>
        <ns0:v>0</ns0:v>
      </ns0:c>
      <ns0:c r="AF166" s="16">
        <ns0:f>IF(AND(OR('前提と出典'!$C$36+'前提と出典'!$C$38=0,U166&gt;=0),OR('前提と出典'!$C$37+'前提と出典'!$C$38=0,V166&gt;=0)),0,A166)</ns0:f>
        <ns0:v>0</ns0:v>
      </ns0:c>
      <ns0:c r="AG166" s="7">
        <ns0:f>IF(Z166&gt;=0,A166,1001)</ns0:f>
        <ns0:v>162</ns0:v>
      </ns0:c>
      <ns0:c r="AH166" s="4">
        <ns0:f>IF(Z166&lt;0,A166,0)</ns0:f>
        <ns0:v>0</ns0:v>
      </ns0:c>
      <ns0:c r="AI166" s="12">
        <ns0:f>IF(AND(OR('前提と出典'!$C$36+'前提と出典'!$C$38=0,X166&gt;=0),OR('前提と出典'!$C$37+'前提と出典'!$C$38=0,Y166&gt;=0)),0,A166)</ns0:f>
        <ns0:v>0</ns0:v>
      </ns0:c>
    </ns0:row>
    <ns0:row r="167" ht="24" customHeight="1">
      <ns0:c r="A167" s="4" t="n">
        <ns0:v>163</ns0:v>
      </ns0:c>
      <ns0:c r="B167" s="12">
        <ns0:f>A167*('前提と出典'!$C$36+'前提と出典'!$C$38)</ns0:f>
        <ns0:v>114.1</ns0:v>
      </ns0:c>
      <ns0:c r="C167" s="12">
        <ns0:f>A167*('前提と出典'!$C$37+'前提と出典'!$C$38)</ns0:f>
        <ns0:v>97.8</ns0:v>
      </ns0:c>
      <ns0:c r="D167" s="16">
        <ns0:f>A167*('前提と出典'!$C$36*'契約別単価'!C5+'前提と出典'!$C$37*'契約別単価'!C6+'前提と出典'!$C$38*'契約別単価'!C7)</ns0:f>
        <ns0:v>1172.8715083798882</ns0:v>
      </ns0:c>
      <ns0:c r="E167" s="16">
        <ns0:f>A167*('前提と出典'!$C$36*'契約別単価'!E5+'前提と出典'!$C$37*'契約別単価'!E6+'前提と出典'!$C$38*'契約別単価'!E7)</ns0:f>
        <ns0:v>315395.9790473757</ns0:v>
      </ns0:c>
      <ns0:c r="F167" s="16">
        <ns0:f>A167*('前提と出典'!$C$36*'契約別単価'!F5+'前提と出典'!$C$37*'契約別単価'!F6+'前提と出典'!$C$38*'契約別単価'!F7)</ns0:f>
        <ns0:v>123781.4631917529</ns0:v>
      </ns0:c>
      <ns0:c r="G167" s="16">
        <ns0:f>A167*('前提と出典'!$C$36*'契約別単価'!G5+'前提と出典'!$C$37*'契約別単価'!G6+'前提と出典'!$C$38*'契約別単価'!G7)</ns0:f>
        <ns0:v>324451.95530726254</ns0:v>
      </ns0:c>
      <ns0:c r="H167" s="16">
        <ns0:f>A167*('前提と出典'!$C$36*'契約別単価'!H5+'前提と出典'!$C$37*'契約別単価'!H6+'前提と出典'!$C$38*'契約別単価'!H7)</ns0:f>
        <ns0:v>112601.10103590577</ns0:v>
      </ns0:c>
      <ns0:c r="I167" s="16">
        <ns0:f>A167*('前提と出典'!$C$36*'契約別単価'!I5+'前提と出典'!$C$37*'契約別単価'!I6+'前提と出典'!$C$38*'契約別単価'!I7)</ns0:f>
        <ns0:v>6877.871508379887</ns0:v>
      </ns0:c>
      <ns0:c r="J167" s="16">
        <ns0:f>A167*('前提と出典'!$C$36*'契約別単価'!J5+'前提と出典'!$C$37*'契約別単価'!J6+'前提と出典'!$C$38*'契約別単価'!J7)</ns0:f>
        <ns0:v>16021.195624779319</ns0:v>
      </ns0:c>
      <ns0:c r="K167" s="16">
        <ns0:f>A167*('前提と出典'!$C$36*'契約別単価'!K5+'前提と出典'!$C$37*'契約別単価'!K6+'前提と出典'!$C$38*'契約別単価'!K7)</ns0:f>
        <ns0:v>68672.47672253258</ns0:v>
      </ns0:c>
      <ns0:c r="L167" s="16">
        <ns0:f>A167*('前提と出典'!$C$36*'契約別単価'!L5+'前提と出典'!$C$37*'契約別単価'!L6+'前提と出典'!$C$38*'契約別単価'!L7)</ns0:f>
        <ns0:v>55913.37003453019</ns0:v>
      </ns0:c>
      <ns0:c r="M167" s="16">
        <ns0:f>IF(('前提と出典'!$C$36+'前提と出典'!$C$38)=0,0,IF(B167&lt;=10,'前提と出典'!B73+'前提と出典'!C73,IF(B167&lt;=100,'前提と出典'!B74+'前提と出典'!C74,IF(B167&lt;=500,'前提と出典'!B75+'前提と出典'!C75,'前提と出典'!B76+'前提と出典'!C76))))</ns0:f>
        <ns0:v>40000</ns0:v>
      </ns0:c>
      <ns0:c r="N167" s="16">
        <ns0:f>IF(('前提と出典'!$C$37+'前提と出典'!$C$38)=0,0,IF(C167&lt;=10,'前提と出典'!D73+'前提と出典'!E73,IF(C167&lt;=100,'前提と出典'!D74+'前提と出典'!E74,IF(C167&lt;=500,'前提と出典'!D75+'前提と出典'!E75,'前提と出典'!D76+'前提と出典'!E76))))</ns0:f>
        <ns0:v>34510.9346263078</ns0:v>
      </ns0:c>
      <ns0:c r="O167" s="16">
        <ns0:f>IF('前提と出典'!$C$36+'前提と出典'!$C$38=0,0,'前提と出典'!$B$4*IF('前提と出典'!$B$20=0,MAX('前提と出典'!$B$6,D167*'前提と出典'!$B$5),'前提と出典'!$B$6+D167*'前提と出典'!$B$5))</ns0:f>
        <ns0:v>161856.26815642457</ns0:v>
      </ns0:c>
      <ns0:c r="P167" s="16">
        <ns0:f>(E167+G167)*(1-'前提と出典'!$B$7)-I167-K167-M167-O167</ns0:f>
        <ns0:v>339406.7923305342</ns0:v>
      </ns0:c>
      <ns0:c r="Q167" s="16">
        <ns0:f>(F167+H167)*(1-'前提と出典'!$B$7)-J167-L167-N167</ns0:f>
        <ns0:v>121427.29162984565</ns0:v>
      </ns0:c>
      <ns0:c r="R167" s="16">
        <ns0:f>P167-E167*'前提と出典'!$E$4</ns0:f>
        <ns0:v>244787.99861632148</ns0:v>
      </ns0:c>
      <ns0:c r="S167" s="16">
        <ns0:f>Q167-F167*'前提と出典'!$E$4</ns0:f>
        <ns0:v>84292.85267231977</ns0:v>
      </ns0:c>
      <ns0:c r="T167" s="7">
        <ns0:f>R167+S167</ns0:f>
        <ns0:v>329080.8512886412</ns0:v>
      </ns0:c>
      <ns0:c r="U167" s="16">
        <ns0:f>P167-E167*'前提と出典'!$E$5</ns0:f>
        <ns0:v>213248.4007115839</ns0:v>
      </ns0:c>
      <ns0:c r="V167" s="16">
        <ns0:f>Q167-F167*'前提と出典'!$E$5</ns0:f>
        <ns0:v>71914.70635314449</ns0:v>
      </ns0:c>
      <ns0:c r="W167" s="7">
        <ns0:f>U167+V167</ns0:f>
        <ns0:v>285163.1070647284</ns0:v>
      </ns0:c>
      <ns0:c r="X167" s="16">
        <ns0:f>P167-E167*'前提と出典'!$E$6</ns0:f>
        <ns0:v>181708.80280684633</ns0:v>
      </ns0:c>
      <ns0:c r="Y167" s="16">
        <ns0:f>Q167-F167*'前提と出典'!$E$6</ns0:f>
        <ns0:v>59536.560033969196</ns0:v>
      </ns0:c>
      <ns0:c r="Z167" s="7">
        <ns0:f>X167+Y167</ns0:f>
        <ns0:v>241245.36284081553</ns0:v>
      </ns0:c>
      <ns0:c r="AA167" s="7">
        <ns0:f>IF(T167&gt;=0,A167,1001)</ns0:f>
        <ns0:v>163</ns0:v>
      </ns0:c>
      <ns0:c r="AB167" s="7">
        <ns0:f>IF(T167&lt;0,A167,0)</ns0:f>
        <ns0:v>0</ns0:v>
      </ns0:c>
      <ns0:c r="AC167" s="16">
        <ns0:f>IF(AND(OR('前提と出典'!$C$36+'前提と出典'!$C$38=0,R167&gt;=0),OR('前提と出典'!$C$37+'前提と出典'!$C$38=0,S167&gt;=0)),0,A167)</ns0:f>
        <ns0:v>0</ns0:v>
      </ns0:c>
      <ns0:c r="AD167" s="7">
        <ns0:f>IF(W167&gt;=0,A167,1001)</ns0:f>
        <ns0:v>163</ns0:v>
      </ns0:c>
      <ns0:c r="AE167" s="7">
        <ns0:f>IF(W167&lt;0,A167,0)</ns0:f>
        <ns0:v>0</ns0:v>
      </ns0:c>
      <ns0:c r="AF167" s="16">
        <ns0:f>IF(AND(OR('前提と出典'!$C$36+'前提と出典'!$C$38=0,U167&gt;=0),OR('前提と出典'!$C$37+'前提と出典'!$C$38=0,V167&gt;=0)),0,A167)</ns0:f>
        <ns0:v>0</ns0:v>
      </ns0:c>
      <ns0:c r="AG167" s="7">
        <ns0:f>IF(Z167&gt;=0,A167,1001)</ns0:f>
        <ns0:v>163</ns0:v>
      </ns0:c>
      <ns0:c r="AH167" s="4">
        <ns0:f>IF(Z167&lt;0,A167,0)</ns0:f>
        <ns0:v>0</ns0:v>
      </ns0:c>
      <ns0:c r="AI167" s="12">
        <ns0:f>IF(AND(OR('前提と出典'!$C$36+'前提と出典'!$C$38=0,X167&gt;=0),OR('前提と出典'!$C$37+'前提と出典'!$C$38=0,Y167&gt;=0)),0,A167)</ns0:f>
        <ns0:v>0</ns0:v>
      </ns0:c>
    </ns0:row>
    <ns0:row r="168" ht="24" customHeight="1">
      <ns0:c r="A168" s="4" t="n">
        <ns0:v>164</ns0:v>
      </ns0:c>
      <ns0:c r="B168" s="12">
        <ns0:f>A168*('前提と出典'!$C$36+'前提と出典'!$C$38)</ns0:f>
        <ns0:v>114.8</ns0:v>
      </ns0:c>
      <ns0:c r="C168" s="12">
        <ns0:f>A168*('前提と出典'!$C$37+'前提と出典'!$C$38)</ns0:f>
        <ns0:v>98.39999999999999</ns0:v>
      </ns0:c>
      <ns0:c r="D168" s="16">
        <ns0:f>A168*('前提と出典'!$C$36*'契約別単価'!C5+'前提と出典'!$C$37*'契約別単価'!C6+'前提と出典'!$C$38*'契約別単価'!C7)</ns0:f>
        <ns0:v>1180.0670391061453</ns0:v>
      </ns0:c>
      <ns0:c r="E168" s="16">
        <ns0:f>A168*('前提と出典'!$C$36*'契約別単価'!E5+'前提と出典'!$C$37*'契約別単価'!E6+'前提と出典'!$C$38*'契約別単価'!E7)</ns0:f>
        <ns0:v>317330.923704108</ns0:v>
      </ns0:c>
      <ns0:c r="F168" s="16">
        <ns0:f>A168*('前提と出典'!$C$36*'契約別単価'!F5+'前提と出典'!$C$37*'契約別単価'!F6+'前提と出典'!$C$38*'契約別単価'!F7)</ns0:f>
        <ns0:v>124540.85867145691</ns0:v>
      </ns0:c>
      <ns0:c r="G168" s="16">
        <ns0:f>A168*('前提と出典'!$C$36*'契約別単価'!G5+'前提と出典'!$C$37*'契約別単価'!G6+'前提と出典'!$C$38*'契約別単価'!G7)</ns0:f>
        <ns0:v>326442.45810055867</ns0:v>
      </ns0:c>
      <ns0:c r="H168" s="16">
        <ns0:f>A168*('前提と出典'!$C$36*'契約別単価'!H5+'前提と出典'!$C$37*'契約別単価'!H6+'前提と出典'!$C$38*'契約別単価'!H7)</ns0:f>
        <ns0:v>113291.90533673954</ns0:v>
      </ns0:c>
      <ns0:c r="I168" s="16">
        <ns0:f>A168*('前提と出典'!$C$36*'契約別単価'!I5+'前提と出典'!$C$37*'契約別単価'!I6+'前提と出典'!$C$38*'契約別単価'!I7)</ns0:f>
        <ns0:v>6920.067039106144</ns0:v>
      </ns0:c>
      <ns0:c r="J168" s="16">
        <ns0:f>A168*('前提と出典'!$C$36*'契約別単価'!J5+'前提と出典'!$C$37*'契約別単価'!J6+'前提と出典'!$C$38*'契約別単価'!J7)</ns0:f>
        <ns0:v>16119.48516848962</ns0:v>
      </ns0:c>
      <ns0:c r="K168" s="16">
        <ns0:f>A168*('前提と出典'!$C$36*'契約別単価'!K5+'前提と出典'!$C$37*'契約別単価'!K6+'前提と出典'!$C$38*'契約別単価'!K7)</ns0:f>
        <ns0:v>69093.78026070763</ns0:v>
      </ns0:c>
      <ns0:c r="L168" s="16">
        <ns0:f>A168*('前提と出典'!$C$36*'契約別単価'!L5+'前提と出典'!$C$37*'契約別単価'!L6+'前提と出典'!$C$38*'契約別単価'!L7)</ns0:f>
        <ns0:v>56256.39684455798</ns0:v>
      </ns0:c>
      <ns0:c r="M168" s="16">
        <ns0:f>IF(('前提と出典'!$C$36+'前提と出典'!$C$38)=0,0,IF(B168&lt;=10,'前提と出典'!B73+'前提と出典'!C73,IF(B168&lt;=100,'前提と出典'!B74+'前提と出典'!C74,IF(B168&lt;=500,'前提と出典'!B75+'前提と出典'!C75,'前提と出典'!B76+'前提と出典'!C76))))</ns0:f>
        <ns0:v>40000</ns0:v>
      </ns0:c>
      <ns0:c r="N168" s="16">
        <ns0:f>IF(('前提と出典'!$C$37+'前提と出典'!$C$38)=0,0,IF(C168&lt;=10,'前提と出典'!D73+'前提と出典'!E73,IF(C168&lt;=100,'前提と出典'!D74+'前提と出典'!E74,IF(C168&lt;=500,'前提と出典'!D75+'前提と出典'!E75,'前提と出典'!D76+'前提と出典'!E76))))</ns0:f>
        <ns0:v>34510.9346263078</ns0:v>
      </ns0:c>
      <ns0:c r="O168" s="16">
        <ns0:f>IF('前提と出典'!$C$36+'前提と出典'!$C$38=0,0,'前提と出典'!$B$4*IF('前提と出典'!$B$20=0,MAX('前提と出典'!$B$6,D168*'前提と出典'!$B$5),'前提と出典'!$B$6+D168*'前提と出典'!$B$5))</ns0:f>
        <ns0:v>162849.25139664806</ns0:v>
      </ns0:c>
      <ns0:c r="P168" s="16">
        <ns0:f>(E168+G168)*(1-'前提と出典'!$B$7)-I168-K168-M168-O168</ns0:f>
        <ns0:v>341734.4413632369</ns0:v>
      </ns0:c>
      <ns0:c r="Q168" s="16">
        <ns0:f>(F168+H168)*(1-'前提と出典'!$B$7)-J168-L168-N168</ns0:f>
        <ns0:v>122383.96786454598</ns0:v>
      </ns0:c>
      <ns0:c r="R168" s="16">
        <ns0:f>P168-E168*'前提と出典'!$E$4</ns0:f>
        <ns0:v>246535.16425200453</ns0:v>
      </ns0:c>
      <ns0:c r="S168" s="16">
        <ns0:f>Q168-F168*'前提と出典'!$E$4</ns0:f>
        <ns0:v>85021.7102631089</ns0:v>
      </ns0:c>
      <ns0:c r="T168" s="7">
        <ns0:f>R168+S168</ns0:f>
        <ns0:v>331556.8745151134</ns0:v>
      </ns0:c>
      <ns0:c r="U168" s="16">
        <ns0:f>P168-E168*'前提と出典'!$E$5</ns0:f>
        <ns0:v>214802.07188159373</ns0:v>
      </ns0:c>
      <ns0:c r="V168" s="16">
        <ns0:f>Q168-F168*'前提と出典'!$E$5</ns0:f>
        <ns0:v>72567.62439596321</ns0:v>
      </ns0:c>
      <ns0:c r="W168" s="7">
        <ns0:f>U168+V168</ns0:f>
        <ns0:v>287369.69627755694</ns0:v>
      </ns0:c>
      <ns0:c r="X168" s="16">
        <ns0:f>P168-E168*'前提と出典'!$E$6</ns0:f>
        <ns0:v>183068.97951118293</ns0:v>
      </ns0:c>
      <ns0:c r="Y168" s="16">
        <ns0:f>Q168-F168*'前提と出典'!$E$6</ns0:f>
        <ns0:v>60113.53852881751</ns0:v>
      </ns0:c>
      <ns0:c r="Z168" s="7">
        <ns0:f>X168+Y168</ns0:f>
        <ns0:v>243182.51804000043</ns0:v>
      </ns0:c>
      <ns0:c r="AA168" s="7">
        <ns0:f>IF(T168&gt;=0,A168,1001)</ns0:f>
        <ns0:v>164</ns0:v>
      </ns0:c>
      <ns0:c r="AB168" s="7">
        <ns0:f>IF(T168&lt;0,A168,0)</ns0:f>
        <ns0:v>0</ns0:v>
      </ns0:c>
      <ns0:c r="AC168" s="16">
        <ns0:f>IF(AND(OR('前提と出典'!$C$36+'前提と出典'!$C$38=0,R168&gt;=0),OR('前提と出典'!$C$37+'前提と出典'!$C$38=0,S168&gt;=0)),0,A168)</ns0:f>
        <ns0:v>0</ns0:v>
      </ns0:c>
      <ns0:c r="AD168" s="7">
        <ns0:f>IF(W168&gt;=0,A168,1001)</ns0:f>
        <ns0:v>164</ns0:v>
      </ns0:c>
      <ns0:c r="AE168" s="7">
        <ns0:f>IF(W168&lt;0,A168,0)</ns0:f>
        <ns0:v>0</ns0:v>
      </ns0:c>
      <ns0:c r="AF168" s="16">
        <ns0:f>IF(AND(OR('前提と出典'!$C$36+'前提と出典'!$C$38=0,U168&gt;=0),OR('前提と出典'!$C$37+'前提と出典'!$C$38=0,V168&gt;=0)),0,A168)</ns0:f>
        <ns0:v>0</ns0:v>
      </ns0:c>
      <ns0:c r="AG168" s="7">
        <ns0:f>IF(Z168&gt;=0,A168,1001)</ns0:f>
        <ns0:v>164</ns0:v>
      </ns0:c>
      <ns0:c r="AH168" s="4">
        <ns0:f>IF(Z168&lt;0,A168,0)</ns0:f>
        <ns0:v>0</ns0:v>
      </ns0:c>
      <ns0:c r="AI168" s="12">
        <ns0:f>IF(AND(OR('前提と出典'!$C$36+'前提と出典'!$C$38=0,X168&gt;=0),OR('前提と出典'!$C$37+'前提と出典'!$C$38=0,Y168&gt;=0)),0,A168)</ns0:f>
        <ns0:v>0</ns0:v>
      </ns0:c>
    </ns0:row>
    <ns0:row r="169" ht="24" customHeight="1">
      <ns0:c r="A169" s="4" t="n">
        <ns0:v>165</ns0:v>
      </ns0:c>
      <ns0:c r="B169" s="12">
        <ns0:f>A169*('前提と出典'!$C$36+'前提と出典'!$C$38)</ns0:f>
        <ns0:v>115.49999999999999</ns0:v>
      </ns0:c>
      <ns0:c r="C169" s="12">
        <ns0:f>A169*('前提と出典'!$C$37+'前提と出典'!$C$38)</ns0:f>
        <ns0:v>99</ns0:v>
      </ns0:c>
      <ns0:c r="D169" s="16">
        <ns0:f>A169*('前提と出典'!$C$36*'契約別単価'!C5+'前提と出典'!$C$37*'契約別単価'!C6+'前提と出典'!$C$38*'契約別単価'!C7)</ns0:f>
        <ns0:v>1187.2625698324023</ns0:v>
      </ns0:c>
      <ns0:c r="E169" s="16">
        <ns0:f>A169*('前提と出典'!$C$36*'契約別単価'!E5+'前提と出典'!$C$37*'契約別単価'!E6+'前提と出典'!$C$38*'契約別単価'!E7)</ns0:f>
        <ns0:v>319265.86836084037</ns0:v>
      </ns0:c>
      <ns0:c r="F169" s="16">
        <ns0:f>A169*('前提と出典'!$C$36*'契約別単価'!F5+'前提と出典'!$C$37*'契約別単価'!F6+'前提と出典'!$C$38*'契約別単価'!F7)</ns0:f>
        <ns0:v>125300.25415116092</ns0:v>
      </ns0:c>
      <ns0:c r="G169" s="16">
        <ns0:f>A169*('前提と出典'!$C$36*'契約別単価'!G5+'前提と出典'!$C$37*'契約別単価'!G6+'前提と出典'!$C$38*'契約別単価'!G7)</ns0:f>
        <ns0:v>328432.96089385473</ns0:v>
      </ns0:c>
      <ns0:c r="H169" s="16">
        <ns0:f>A169*('前提と出典'!$C$36*'契約別単価'!H5+'前提と出典'!$C$37*'契約別単価'!H6+'前提と出典'!$C$38*'契約別単価'!H7)</ns0:f>
        <ns0:v>113982.70963757332</ns0:v>
      </ns0:c>
      <ns0:c r="I169" s="16">
        <ns0:f>A169*('前提と出典'!$C$36*'契約別単価'!I5+'前提と出典'!$C$37*'契約別単価'!I6+'前提と出典'!$C$38*'契約別単価'!I7)</ns0:f>
        <ns0:v>6962.262569832401</ns0:v>
      </ns0:c>
      <ns0:c r="J169" s="16">
        <ns0:f>A169*('前提と出典'!$C$36*'契約別単価'!J5+'前提と出典'!$C$37*'契約別単価'!J6+'前提と出典'!$C$38*'契約別単価'!J7)</ns0:f>
        <ns0:v>16217.774712199924</ns0:v>
      </ns0:c>
      <ns0:c r="K169" s="16">
        <ns0:f>A169*('前提と出典'!$C$36*'契約別単価'!K5+'前提と出典'!$C$37*'契約別単価'!K6+'前提と出典'!$C$38*'契約別単価'!K7)</ns0:f>
        <ns0:v>69515.08379888268</ns0:v>
      </ns0:c>
      <ns0:c r="L169" s="16">
        <ns0:f>A169*('前提と出典'!$C$36*'契約別単価'!L5+'前提と出典'!$C$37*'契約別単価'!L6+'前提と出典'!$C$38*'契約別単価'!L7)</ns0:f>
        <ns0:v>56599.42365458578</ns0:v>
      </ns0:c>
      <ns0:c r="M169" s="16">
        <ns0:f>IF(('前提と出典'!$C$36+'前提と出典'!$C$38)=0,0,IF(B169&lt;=10,'前提と出典'!B73+'前提と出典'!C73,IF(B169&lt;=100,'前提と出典'!B74+'前提と出典'!C74,IF(B169&lt;=500,'前提と出典'!B75+'前提と出典'!C75,'前提と出典'!B76+'前提と出典'!C76))))</ns0:f>
        <ns0:v>40000</ns0:v>
      </ns0:c>
      <ns0:c r="N169" s="16">
        <ns0:f>IF(('前提と出典'!$C$37+'前提と出典'!$C$38)=0,0,IF(C169&lt;=10,'前提と出典'!D73+'前提と出典'!E73,IF(C169&lt;=100,'前提と出典'!D74+'前提と出典'!E74,IF(C169&lt;=500,'前提と出典'!D75+'前提と出典'!E75,'前提と出典'!D76+'前提と出典'!E76))))</ns0:f>
        <ns0:v>34510.9346263078</ns0:v>
      </ns0:c>
      <ns0:c r="O169" s="16">
        <ns0:f>IF('前提と出典'!$C$36+'前提と出典'!$C$38=0,0,'前提と出典'!$B$4*IF('前提と出典'!$B$20=0,MAX('前提と出典'!$B$6,D169*'前提と出典'!$B$5),'前提と出典'!$B$6+D169*'前提と出典'!$B$5))</ns0:f>
        <ns0:v>163842.23463687152</ns0:v>
      </ns0:c>
      <ns0:c r="P169" s="16">
        <ns0:f>(E169+G169)*(1-'前提と出典'!$B$7)-I169-K169-M169-O169</ns0:f>
        <ns0:v>344062.09039593954</ns0:v>
      </ns0:c>
      <ns0:c r="Q169" s="16">
        <ns0:f>(F169+H169)*(1-'前提と出典'!$B$7)-J169-L169-N169</ns0:f>
        <ns0:v>123340.64409924627</ns0:v>
      </ns0:c>
      <ns0:c r="R169" s="16">
        <ns0:f>P169-E169*'前提と出典'!$E$4</ns0:f>
        <ns0:v>248282.32988768743</ns0:v>
      </ns0:c>
      <ns0:c r="S169" s="16">
        <ns0:f>Q169-F169*'前提と出典'!$E$4</ns0:f>
        <ns0:v>85750.56785389801</ns0:v>
      </ns0:c>
      <ns0:c r="T169" s="7">
        <ns0:f>R169+S169</ns0:f>
        <ns0:v>334032.89774158545</ns0:v>
      </ns0:c>
      <ns0:c r="U169" s="16">
        <ns0:f>P169-E169*'前提と出典'!$E$5</ns0:f>
        <ns0:v>216355.74305160335</ns0:v>
      </ns0:c>
      <ns0:c r="V169" s="16">
        <ns0:f>Q169-F169*'前提と出典'!$E$5</ns0:f>
        <ns0:v>73220.54243878191</ns0:v>
      </ns0:c>
      <ns0:c r="W169" s="7">
        <ns0:f>U169+V169</ns0:f>
        <ns0:v>289576.28549038526</ns0:v>
      </ns0:c>
      <ns0:c r="X169" s="16">
        <ns0:f>P169-E169*'前提と出典'!$E$6</ns0:f>
        <ns0:v>184429.15621551932</ns0:v>
      </ns0:c>
      <ns0:c r="Y169" s="16">
        <ns0:f>Q169-F169*'前提と出典'!$E$6</ns0:f>
        <ns0:v>60690.51702366581</ns0:v>
      </ns0:c>
      <ns0:c r="Z169" s="7">
        <ns0:f>X169+Y169</ns0:f>
        <ns0:v>245119.67323918513</ns0:v>
      </ns0:c>
      <ns0:c r="AA169" s="7">
        <ns0:f>IF(T169&gt;=0,A169,1001)</ns0:f>
        <ns0:v>165</ns0:v>
      </ns0:c>
      <ns0:c r="AB169" s="7">
        <ns0:f>IF(T169&lt;0,A169,0)</ns0:f>
        <ns0:v>0</ns0:v>
      </ns0:c>
      <ns0:c r="AC169" s="16">
        <ns0:f>IF(AND(OR('前提と出典'!$C$36+'前提と出典'!$C$38=0,R169&gt;=0),OR('前提と出典'!$C$37+'前提と出典'!$C$38=0,S169&gt;=0)),0,A169)</ns0:f>
        <ns0:v>0</ns0:v>
      </ns0:c>
      <ns0:c r="AD169" s="7">
        <ns0:f>IF(W169&gt;=0,A169,1001)</ns0:f>
        <ns0:v>165</ns0:v>
      </ns0:c>
      <ns0:c r="AE169" s="7">
        <ns0:f>IF(W169&lt;0,A169,0)</ns0:f>
        <ns0:v>0</ns0:v>
      </ns0:c>
      <ns0:c r="AF169" s="16">
        <ns0:f>IF(AND(OR('前提と出典'!$C$36+'前提と出典'!$C$38=0,U169&gt;=0),OR('前提と出典'!$C$37+'前提と出典'!$C$38=0,V169&gt;=0)),0,A169)</ns0:f>
        <ns0:v>0</ns0:v>
      </ns0:c>
      <ns0:c r="AG169" s="7">
        <ns0:f>IF(Z169&gt;=0,A169,1001)</ns0:f>
        <ns0:v>165</ns0:v>
      </ns0:c>
      <ns0:c r="AH169" s="4">
        <ns0:f>IF(Z169&lt;0,A169,0)</ns0:f>
        <ns0:v>0</ns0:v>
      </ns0:c>
      <ns0:c r="AI169" s="12">
        <ns0:f>IF(AND(OR('前提と出典'!$C$36+'前提と出典'!$C$38=0,X169&gt;=0),OR('前提と出典'!$C$37+'前提と出典'!$C$38=0,Y169&gt;=0)),0,A169)</ns0:f>
        <ns0:v>0</ns0:v>
      </ns0:c>
    </ns0:row>
    <ns0:row r="170" ht="24" customHeight="1">
      <ns0:c r="A170" s="4" t="n">
        <ns0:v>166</ns0:v>
      </ns0:c>
      <ns0:c r="B170" s="12">
        <ns0:f>A170*('前提と出典'!$C$36+'前提と出典'!$C$38)</ns0:f>
        <ns0:v>116.19999999999999</ns0:v>
      </ns0:c>
      <ns0:c r="C170" s="12">
        <ns0:f>A170*('前提と出典'!$C$37+'前提と出典'!$C$38)</ns0:f>
        <ns0:v>99.6</ns0:v>
      </ns0:c>
      <ns0:c r="D170" s="16">
        <ns0:f>A170*('前提と出典'!$C$36*'契約別単価'!C5+'前提と出典'!$C$37*'契約別単価'!C6+'前提と出典'!$C$38*'契約別単価'!C7)</ns0:f>
        <ns0:v>1194.4581005586592</ns0:v>
      </ns0:c>
      <ns0:c r="E170" s="16">
        <ns0:f>A170*('前提と出典'!$C$36*'契約別単価'!E5+'前提と出典'!$C$37*'契約別単価'!E6+'前提と出典'!$C$38*'契約別単価'!E7)</ns0:f>
        <ns0:v>321200.81301757274</ns0:v>
      </ns0:c>
      <ns0:c r="F170" s="16">
        <ns0:f>A170*('前提と出典'!$C$36*'契約別単価'!F5+'前提と出典'!$C$37*'契約別単価'!F6+'前提と出典'!$C$38*'契約別単価'!F7)</ns0:f>
        <ns0:v>126059.64963086492</ns0:v>
      </ns0:c>
      <ns0:c r="G170" s="16">
        <ns0:f>A170*('前提と出典'!$C$36*'契約別単価'!G5+'前提と出典'!$C$37*'契約別単価'!G6+'前提と出典'!$C$38*'契約別単価'!G7)</ns0:f>
        <ns0:v>330423.4636871508</ns0:v>
      </ns0:c>
      <ns0:c r="H170" s="16">
        <ns0:f>A170*('前提と出典'!$C$36*'契約別単価'!H5+'前提と出典'!$C$37*'契約別単価'!H6+'前提と出典'!$C$38*'契約別単価'!H7)</ns0:f>
        <ns0:v>114673.5139384071</ns0:v>
      </ns0:c>
      <ns0:c r="I170" s="16">
        <ns0:f>A170*('前提と出典'!$C$36*'契約別単価'!I5+'前提と出典'!$C$37*'契約別単価'!I6+'前提と出典'!$C$38*'契約別単価'!I7)</ns0:f>
        <ns0:v>7004.458100558658</ns0:v>
      </ns0:c>
      <ns0:c r="J170" s="16">
        <ns0:f>A170*('前提と出典'!$C$36*'契約別単価'!J5+'前提と出典'!$C$37*'契約別単価'!J6+'前提と出典'!$C$38*'契約別単価'!J7)</ns0:f>
        <ns0:v>16316.064255910225</ns0:v>
      </ns0:c>
      <ns0:c r="K170" s="16">
        <ns0:f>A170*('前提と出典'!$C$36*'契約別単価'!K5+'前提と出典'!$C$37*'契約別単価'!K6+'前提と出典'!$C$38*'契約別単価'!K7)</ns0:f>
        <ns0:v>69936.38733705772</ns0:v>
      </ns0:c>
      <ns0:c r="L170" s="16">
        <ns0:f>A170*('前提と出典'!$C$36*'契約別単価'!L5+'前提と出典'!$C$37*'契約別単価'!L6+'前提と出典'!$C$38*'契約別単価'!L7)</ns0:f>
        <ns0:v>56942.45046461357</ns0:v>
      </ns0:c>
      <ns0:c r="M170" s="16">
        <ns0:f>IF(('前提と出典'!$C$36+'前提と出典'!$C$38)=0,0,IF(B170&lt;=10,'前提と出典'!B73+'前提と出典'!C73,IF(B170&lt;=100,'前提と出典'!B74+'前提と出典'!C74,IF(B170&lt;=500,'前提と出典'!B75+'前提と出典'!C75,'前提と出典'!B76+'前提と出典'!C76))))</ns0:f>
        <ns0:v>40000</ns0:v>
      </ns0:c>
      <ns0:c r="N170" s="16">
        <ns0:f>IF(('前提と出典'!$C$37+'前提と出典'!$C$38)=0,0,IF(C170&lt;=10,'前提と出典'!D73+'前提と出典'!E73,IF(C170&lt;=100,'前提と出典'!D74+'前提と出典'!E74,IF(C170&lt;=500,'前提と出典'!D75+'前提と出典'!E75,'前提と出典'!D76+'前提と出典'!E76))))</ns0:f>
        <ns0:v>34510.9346263078</ns0:v>
      </ns0:c>
      <ns0:c r="O170" s="16">
        <ns0:f>IF('前提と出典'!$C$36+'前提と出典'!$C$38=0,0,'前提と出典'!$B$4*IF('前提と出典'!$B$20=0,MAX('前提と出典'!$B$6,D170*'前提と出典'!$B$5),'前提と出典'!$B$6+D170*'前提と出典'!$B$5))</ns0:f>
        <ns0:v>164835.21787709495</ns0:v>
      </ns0:c>
      <ns0:c r="P170" s="16">
        <ns0:f>(E170+G170)*(1-'前提と出典'!$B$7)-I170-K170-M170-O170</ns0:f>
        <ns0:v>346389.73942864203</ns0:v>
      </ns0:c>
      <ns0:c r="Q170" s="16">
        <ns0:f>(F170+H170)*(1-'前提と出典'!$B$7)-J170-L170-N170</ns0:f>
        <ns0:v>124297.32033394664</ns0:v>
      </ns0:c>
      <ns0:c r="R170" s="16">
        <ns0:f>P170-E170*'前提と出典'!$E$4</ns0:f>
        <ns0:v>250029.49552337025</ns0:v>
      </ns0:c>
      <ns0:c r="S170" s="16">
        <ns0:f>Q170-F170*'前提と出典'!$E$4</ns0:f>
        <ns0:v>86479.42544468716</ns0:v>
      </ns0:c>
      <ns0:c r="T170" s="7">
        <ns0:f>R170+S170</ns0:f>
        <ns0:v>336508.9209680574</ns0:v>
      </ns0:c>
      <ns0:c r="U170" s="16">
        <ns0:f>P170-E170*'前提と出典'!$E$5</ns0:f>
        <ns0:v>217909.41422161294</ns0:v>
      </ns0:c>
      <ns0:c r="V170" s="16">
        <ns0:f>Q170-F170*'前提と出典'!$E$5</ns0:f>
        <ns0:v>73873.46048160066</ns0:v>
      </ns0:c>
      <ns0:c r="W170" s="7">
        <ns0:f>U170+V170</ns0:f>
        <ns0:v>291782.8747032136</ns0:v>
      </ns0:c>
      <ns0:c r="X170" s="16">
        <ns0:f>P170-E170*'前提と出典'!$E$6</ns0:f>
        <ns0:v>185789.3329198557</ns0:v>
      </ns0:c>
      <ns0:c r="Y170" s="16">
        <ns0:f>Q170-F170*'前提と出典'!$E$6</ns0:f>
        <ns0:v>61267.495518514195</ns0:v>
      </ns0:c>
      <ns0:c r="Z170" s="7">
        <ns0:f>X170+Y170</ns0:f>
        <ns0:v>247056.82843836988</ns0:v>
      </ns0:c>
      <ns0:c r="AA170" s="7">
        <ns0:f>IF(T170&gt;=0,A170,1001)</ns0:f>
        <ns0:v>166</ns0:v>
      </ns0:c>
      <ns0:c r="AB170" s="7">
        <ns0:f>IF(T170&lt;0,A170,0)</ns0:f>
        <ns0:v>0</ns0:v>
      </ns0:c>
      <ns0:c r="AC170" s="16">
        <ns0:f>IF(AND(OR('前提と出典'!$C$36+'前提と出典'!$C$38=0,R170&gt;=0),OR('前提と出典'!$C$37+'前提と出典'!$C$38=0,S170&gt;=0)),0,A170)</ns0:f>
        <ns0:v>0</ns0:v>
      </ns0:c>
      <ns0:c r="AD170" s="7">
        <ns0:f>IF(W170&gt;=0,A170,1001)</ns0:f>
        <ns0:v>166</ns0:v>
      </ns0:c>
      <ns0:c r="AE170" s="7">
        <ns0:f>IF(W170&lt;0,A170,0)</ns0:f>
        <ns0:v>0</ns0:v>
      </ns0:c>
      <ns0:c r="AF170" s="16">
        <ns0:f>IF(AND(OR('前提と出典'!$C$36+'前提と出典'!$C$38=0,U170&gt;=0),OR('前提と出典'!$C$37+'前提と出典'!$C$38=0,V170&gt;=0)),0,A170)</ns0:f>
        <ns0:v>0</ns0:v>
      </ns0:c>
      <ns0:c r="AG170" s="7">
        <ns0:f>IF(Z170&gt;=0,A170,1001)</ns0:f>
        <ns0:v>166</ns0:v>
      </ns0:c>
      <ns0:c r="AH170" s="4">
        <ns0:f>IF(Z170&lt;0,A170,0)</ns0:f>
        <ns0:v>0</ns0:v>
      </ns0:c>
      <ns0:c r="AI170" s="12">
        <ns0:f>IF(AND(OR('前提と出典'!$C$36+'前提と出典'!$C$38=0,X170&gt;=0),OR('前提と出典'!$C$37+'前提と出典'!$C$38=0,Y170&gt;=0)),0,A170)</ns0:f>
        <ns0:v>0</ns0:v>
      </ns0:c>
    </ns0:row>
    <ns0:row r="171" ht="24" customHeight="1">
      <ns0:c r="A171" s="4" t="n">
        <ns0:v>167</ns0:v>
      </ns0:c>
      <ns0:c r="B171" s="12">
        <ns0:f>A171*('前提と出典'!$C$36+'前提と出典'!$C$38)</ns0:f>
        <ns0:v>116.89999999999999</ns0:v>
      </ns0:c>
      <ns0:c r="C171" s="12">
        <ns0:f>A171*('前提と出典'!$C$37+'前提と出典'!$C$38)</ns0:f>
        <ns0:v>100.2</ns0:v>
      </ns0:c>
      <ns0:c r="D171" s="16">
        <ns0:f>A171*('前提と出典'!$C$36*'契約別単価'!C5+'前提と出典'!$C$37*'契約別単価'!C6+'前提と出典'!$C$38*'契約別単価'!C7)</ns0:f>
        <ns0:v>1201.6536312849162</ns0:v>
      </ns0:c>
      <ns0:c r="E171" s="16">
        <ns0:f>A171*('前提と出典'!$C$36*'契約別単価'!E5+'前提と出典'!$C$37*'契約別単価'!E6+'前提と出典'!$C$38*'契約別単価'!E7)</ns0:f>
        <ns0:v>323135.7576743051</ns0:v>
      </ns0:c>
      <ns0:c r="F171" s="16">
        <ns0:f>A171*('前提と出典'!$C$36*'契約別単価'!F5+'前提と出典'!$C$37*'契約別単価'!F6+'前提と出典'!$C$38*'契約別単価'!F7)</ns0:f>
        <ns0:v>126819.04511056893</ns0:v>
      </ns0:c>
      <ns0:c r="G171" s="16">
        <ns0:f>A171*('前提と出典'!$C$36*'契約別単価'!G5+'前提と出典'!$C$37*'契約別単価'!G6+'前提と出典'!$C$38*'契約別単価'!G7)</ns0:f>
        <ns0:v>332413.9664804469</ns0:v>
      </ns0:c>
      <ns0:c r="H171" s="16">
        <ns0:f>A171*('前提と出典'!$C$36*'契約別単価'!H5+'前提と出典'!$C$37*'契約別単価'!H6+'前提と出典'!$C$38*'契約別単価'!H7)</ns0:f>
        <ns0:v>115364.31823924088</ns0:v>
      </ns0:c>
      <ns0:c r="I171" s="16">
        <ns0:f>A171*('前提と出典'!$C$36*'契約別単価'!I5+'前提と出典'!$C$37*'契約別単価'!I6+'前提と出典'!$C$38*'契約別単価'!I7)</ns0:f>
        <ns0:v>7046.653631284915</ns0:v>
      </ns0:c>
      <ns0:c r="J171" s="16">
        <ns0:f>A171*('前提と出典'!$C$36*'契約別単価'!J5+'前提と出典'!$C$37*'契約別単価'!J6+'前提と出典'!$C$38*'契約別単価'!J7)</ns0:f>
        <ns0:v>16414.35379962053</ns0:v>
      </ns0:c>
      <ns0:c r="K171" s="16">
        <ns0:f>A171*('前提と出典'!$C$36*'契約別単価'!K5+'前提と出典'!$C$37*'契約別単価'!K6+'前提と出典'!$C$38*'契約別単価'!K7)</ns0:f>
        <ns0:v>70357.69087523277</ns0:v>
      </ns0:c>
      <ns0:c r="L171" s="16">
        <ns0:f>A171*('前提と出典'!$C$36*'契約別単価'!L5+'前提と出典'!$C$37*'契約別単価'!L6+'前提と出典'!$C$38*'契約別単価'!L7)</ns0:f>
        <ns0:v>57285.47727464136</ns0:v>
      </ns0:c>
      <ns0:c r="M171" s="16">
        <ns0:f>IF(('前提と出典'!$C$36+'前提と出典'!$C$38)=0,0,IF(B171&lt;=10,'前提と出典'!B73+'前提と出典'!C73,IF(B171&lt;=100,'前提と出典'!B74+'前提と出典'!C74,IF(B171&lt;=500,'前提と出典'!B75+'前提と出典'!C75,'前提と出典'!B76+'前提と出典'!C76))))</ns0:f>
        <ns0:v>40000</ns0:v>
      </ns0:c>
      <ns0:c r="N171" s="16">
        <ns0:f>IF(('前提と出典'!$C$37+'前提と出典'!$C$38)=0,0,IF(C171&lt;=10,'前提と出典'!D73+'前提と出典'!E73,IF(C171&lt;=100,'前提と出典'!D74+'前提と出典'!E74,IF(C171&lt;=500,'前提と出典'!D75+'前提と出典'!E75,'前提と出典'!D76+'前提と出典'!E76))))</ns0:f>
        <ns0:v>56510.9346263078</ns0:v>
      </ns0:c>
      <ns0:c r="O171" s="16">
        <ns0:f>IF('前提と出典'!$C$36+'前提と出典'!$C$38=0,0,'前提と出典'!$B$4*IF('前提と出典'!$B$20=0,MAX('前提と出典'!$B$6,D171*'前提と出典'!$B$5),'前提と出典'!$B$6+D171*'前提と出典'!$B$5))</ns0:f>
        <ns0:v>165828.20111731844</ns0:v>
      </ns0:c>
      <ns0:c r="P171" s="16">
        <ns0:f>(E171+G171)*(1-'前提と出典'!$B$7)-I171-K171-M171-O171</ns0:f>
        <ns0:v>348717.3884613448</ns0:v>
      </ns0:c>
      <ns0:c r="Q171" s="16">
        <ns0:f>(F171+H171)*(1-'前提と出典'!$B$7)-J171-L171-N171</ns0:f>
        <ns0:v>103253.99656864697</ns0:v>
      </ns0:c>
      <ns0:c r="R171" s="16">
        <ns0:f>P171-E171*'前提と出典'!$E$4</ns0:f>
        <ns0:v>251776.66115905312</ns0:v>
      </ns0:c>
      <ns0:c r="S171" s="16">
        <ns0:f>Q171-F171*'前提と出典'!$E$4</ns0:f>
        <ns0:v>65208.28303547629</ns0:v>
      </ns0:c>
      <ns0:c r="T171" s="7">
        <ns0:f>R171+S171</ns0:f>
        <ns0:v>316984.94419452944</ns0:v>
      </ns0:c>
      <ns0:c r="U171" s="16">
        <ns0:f>P171-E171*'前提と出典'!$E$5</ns0:f>
        <ns0:v>219463.08539162276</ns0:v>
      </ns0:c>
      <ns0:c r="V171" s="16">
        <ns0:f>Q171-F171*'前提と出典'!$E$5</ns0:f>
        <ns0:v>52526.37852441939</ns0:v>
      </ns0:c>
      <ns0:c r="W171" s="7">
        <ns0:f>U171+V171</ns0:f>
        <ns0:v>271989.4639160422</ns0:v>
      </ns0:c>
      <ns0:c r="X171" s="16">
        <ns0:f>P171-E171*'前提と出典'!$E$6</ns0:f>
        <ns0:v>187149.5096241923</ns0:v>
      </ns0:c>
      <ns0:c r="Y171" s="16">
        <ns0:f>Q171-F171*'前提と出典'!$E$6</ns0:f>
        <ns0:v>39844.474013362495</ns0:v>
      </ns0:c>
      <ns0:c r="Z171" s="7">
        <ns0:f>X171+Y171</ns0:f>
        <ns0:v>226993.98363755477</ns0:v>
      </ns0:c>
      <ns0:c r="AA171" s="7">
        <ns0:f>IF(T171&gt;=0,A171,1001)</ns0:f>
        <ns0:v>167</ns0:v>
      </ns0:c>
      <ns0:c r="AB171" s="7">
        <ns0:f>IF(T171&lt;0,A171,0)</ns0:f>
        <ns0:v>0</ns0:v>
      </ns0:c>
      <ns0:c r="AC171" s="16">
        <ns0:f>IF(AND(OR('前提と出典'!$C$36+'前提と出典'!$C$38=0,R171&gt;=0),OR('前提と出典'!$C$37+'前提と出典'!$C$38=0,S171&gt;=0)),0,A171)</ns0:f>
        <ns0:v>0</ns0:v>
      </ns0:c>
      <ns0:c r="AD171" s="7">
        <ns0:f>IF(W171&gt;=0,A171,1001)</ns0:f>
        <ns0:v>167</ns0:v>
      </ns0:c>
      <ns0:c r="AE171" s="7">
        <ns0:f>IF(W171&lt;0,A171,0)</ns0:f>
        <ns0:v>0</ns0:v>
      </ns0:c>
      <ns0:c r="AF171" s="16">
        <ns0:f>IF(AND(OR('前提と出典'!$C$36+'前提と出典'!$C$38=0,U171&gt;=0),OR('前提と出典'!$C$37+'前提と出典'!$C$38=0,V171&gt;=0)),0,A171)</ns0:f>
        <ns0:v>0</ns0:v>
      </ns0:c>
      <ns0:c r="AG171" s="7">
        <ns0:f>IF(Z171&gt;=0,A171,1001)</ns0:f>
        <ns0:v>167</ns0:v>
      </ns0:c>
      <ns0:c r="AH171" s="4">
        <ns0:f>IF(Z171&lt;0,A171,0)</ns0:f>
        <ns0:v>0</ns0:v>
      </ns0:c>
      <ns0:c r="AI171" s="12">
        <ns0:f>IF(AND(OR('前提と出典'!$C$36+'前提と出典'!$C$38=0,X171&gt;=0),OR('前提と出典'!$C$37+'前提と出典'!$C$38=0,Y171&gt;=0)),0,A171)</ns0:f>
        <ns0:v>0</ns0:v>
      </ns0:c>
    </ns0:row>
    <ns0:row r="172" ht="24" customHeight="1">
      <ns0:c r="A172" s="4" t="n">
        <ns0:v>168</ns0:v>
      </ns0:c>
      <ns0:c r="B172" s="12">
        <ns0:f>A172*('前提と出典'!$C$36+'前提と出典'!$C$38)</ns0:f>
        <ns0:v>117.6</ns0:v>
      </ns0:c>
      <ns0:c r="C172" s="12">
        <ns0:f>A172*('前提と出典'!$C$37+'前提と出典'!$C$38)</ns0:f>
        <ns0:v>100.8</ns0:v>
      </ns0:c>
      <ns0:c r="D172" s="16">
        <ns0:f>A172*('前提と出典'!$C$36*'契約別単価'!C5+'前提と出典'!$C$37*'契約別単価'!C6+'前提と出典'!$C$38*'契約別単価'!C7)</ns0:f>
        <ns0:v>1208.8491620111731</ns0:v>
      </ns0:c>
      <ns0:c r="E172" s="16">
        <ns0:f>A172*('前提と出典'!$C$36*'契約別単価'!E5+'前提と出典'!$C$37*'契約別単価'!E6+'前提と出典'!$C$38*'契約別単価'!E7)</ns0:f>
        <ns0:v>325070.7023310375</ns0:v>
      </ns0:c>
      <ns0:c r="F172" s="16">
        <ns0:f>A172*('前提と出典'!$C$36*'契約別単価'!F5+'前提と出典'!$C$37*'契約別単価'!F6+'前提と出典'!$C$38*'契約別単価'!F7)</ns0:f>
        <ns0:v>127578.44059027293</ns0:v>
      </ns0:c>
      <ns0:c r="G172" s="16">
        <ns0:f>A172*('前提と出典'!$C$36*'契約別単価'!G5+'前提と出典'!$C$37*'契約別単価'!G6+'前提と出典'!$C$38*'契約別単価'!G7)</ns0:f>
        <ns0:v>334404.469273743</ns0:v>
      </ns0:c>
      <ns0:c r="H172" s="16">
        <ns0:f>A172*('前提と出典'!$C$36*'契約別単価'!H5+'前提と出典'!$C$37*'契約別単価'!H6+'前提と出典'!$C$38*'契約別単価'!H7)</ns0:f>
        <ns0:v>116055.12254007465</ns0:v>
      </ns0:c>
      <ns0:c r="I172" s="16">
        <ns0:f>A172*('前提と出典'!$C$36*'契約別単価'!I5+'前提と出典'!$C$37*'契約別単価'!I6+'前提と出典'!$C$38*'契約別単価'!I7)</ns0:f>
        <ns0:v>7088.849162011172</ns0:v>
      </ns0:c>
      <ns0:c r="J172" s="16">
        <ns0:f>A172*('前提と出典'!$C$36*'契約別単価'!J5+'前提と出典'!$C$37*'契約別単価'!J6+'前提と出典'!$C$38*'契約別単価'!J7)</ns0:f>
        <ns0:v>16512.64334333083</ns0:v>
      </ns0:c>
      <ns0:c r="K172" s="16">
        <ns0:f>A172*('前提と出典'!$C$36*'契約別単価'!K5+'前提と出典'!$C$37*'契約別単価'!K6+'前提と出典'!$C$38*'契約別単価'!K7)</ns0:f>
        <ns0:v>70778.99441340781</ns0:v>
      </ns0:c>
      <ns0:c r="L172" s="16">
        <ns0:f>A172*('前提と出典'!$C$36*'契約別単価'!L5+'前提と出典'!$C$37*'契約別単価'!L6+'前提と出典'!$C$38*'契約別単価'!L7)</ns0:f>
        <ns0:v>57628.504084669155</ns0:v>
      </ns0:c>
      <ns0:c r="M172" s="16">
        <ns0:f>IF(('前提と出典'!$C$36+'前提と出典'!$C$38)=0,0,IF(B172&lt;=10,'前提と出典'!B73+'前提と出典'!C73,IF(B172&lt;=100,'前提と出典'!B74+'前提と出典'!C74,IF(B172&lt;=500,'前提と出典'!B75+'前提と出典'!C75,'前提と出典'!B76+'前提と出典'!C76))))</ns0:f>
        <ns0:v>40000</ns0:v>
      </ns0:c>
      <ns0:c r="N172" s="16">
        <ns0:f>IF(('前提と出典'!$C$37+'前提と出典'!$C$38)=0,0,IF(C172&lt;=10,'前提と出典'!D73+'前提と出典'!E73,IF(C172&lt;=100,'前提と出典'!D74+'前提と出典'!E74,IF(C172&lt;=500,'前提と出典'!D75+'前提と出典'!E75,'前提と出典'!D76+'前提と出典'!E76))))</ns0:f>
        <ns0:v>56510.9346263078</ns0:v>
      </ns0:c>
      <ns0:c r="O172" s="16">
        <ns0:f>IF('前提と出典'!$C$36+'前提と出典'!$C$38=0,0,'前提と出典'!$B$4*IF('前提と出典'!$B$20=0,MAX('前提と出典'!$B$6,D172*'前提と出典'!$B$5),'前提と出典'!$B$6+D172*'前提と出典'!$B$5))</ns0:f>
        <ns0:v>166821.18435754188</ns0:v>
      </ns0:c>
      <ns0:c r="P172" s="16">
        <ns0:f>(E172+G172)*(1-'前提と出典'!$B$7)-I172-K172-M172-O172</ns0:f>
        <ns0:v>351045.0374940475</ns0:v>
      </ns0:c>
      <ns0:c r="Q172" s="16">
        <ns0:f>(F172+H172)*(1-'前提と出典'!$B$7)-J172-L172-N172</ns0:f>
        <ns0:v>104210.67280334729</ns0:v>
      </ns0:c>
      <ns0:c r="R172" s="16">
        <ns0:f>P172-E172*'前提と出典'!$E$4</ns0:f>
        <ns0:v>253523.82679473635</ns0:v>
      </ns0:c>
      <ns0:c r="S172" s="16">
        <ns0:f>Q172-F172*'前提と出典'!$E$4</ns0:f>
        <ns0:v>65937.1406262654</ns0:v>
      </ns0:c>
      <ns0:c r="T172" s="7">
        <ns0:f>R172+S172</ns0:f>
        <ns0:v>319460.96742100175</ns0:v>
      </ns0:c>
      <ns0:c r="U172" s="16">
        <ns0:f>P172-E172*'前提と出典'!$E$5</ns0:f>
        <ns0:v>221016.75656163247</ns0:v>
      </ns0:c>
      <ns0:c r="V172" s="16">
        <ns0:f>Q172-F172*'前提と出典'!$E$5</ns0:f>
        <ns0:v>53179.2965672381</ns0:v>
      </ns0:c>
      <ns0:c r="W172" s="7">
        <ns0:f>U172+V172</ns0:f>
        <ns0:v>274196.05312887055</ns0:v>
      </ns0:c>
      <ns0:c r="X172" s="16">
        <ns0:f>P172-E172*'前提と出典'!$E$6</ns0:f>
        <ns0:v>188509.68632852877</ns0:v>
      </ns0:c>
      <ns0:c r="Y172" s="16">
        <ns0:f>Q172-F172*'前提と出典'!$E$6</ns0:f>
        <ns0:v>40421.45250821081</ns0:v>
      </ns0:c>
      <ns0:c r="Z172" s="7">
        <ns0:f>X172+Y172</ns0:f>
        <ns0:v>228931.13883673958</ns0:v>
      </ns0:c>
      <ns0:c r="AA172" s="7">
        <ns0:f>IF(T172&gt;=0,A172,1001)</ns0:f>
        <ns0:v>168</ns0:v>
      </ns0:c>
      <ns0:c r="AB172" s="7">
        <ns0:f>IF(T172&lt;0,A172,0)</ns0:f>
        <ns0:v>0</ns0:v>
      </ns0:c>
      <ns0:c r="AC172" s="16">
        <ns0:f>IF(AND(OR('前提と出典'!$C$36+'前提と出典'!$C$38=0,R172&gt;=0),OR('前提と出典'!$C$37+'前提と出典'!$C$38=0,S172&gt;=0)),0,A172)</ns0:f>
        <ns0:v>0</ns0:v>
      </ns0:c>
      <ns0:c r="AD172" s="7">
        <ns0:f>IF(W172&gt;=0,A172,1001)</ns0:f>
        <ns0:v>168</ns0:v>
      </ns0:c>
      <ns0:c r="AE172" s="7">
        <ns0:f>IF(W172&lt;0,A172,0)</ns0:f>
        <ns0:v>0</ns0:v>
      </ns0:c>
      <ns0:c r="AF172" s="16">
        <ns0:f>IF(AND(OR('前提と出典'!$C$36+'前提と出典'!$C$38=0,U172&gt;=0),OR('前提と出典'!$C$37+'前提と出典'!$C$38=0,V172&gt;=0)),0,A172)</ns0:f>
        <ns0:v>0</ns0:v>
      </ns0:c>
      <ns0:c r="AG172" s="7">
        <ns0:f>IF(Z172&gt;=0,A172,1001)</ns0:f>
        <ns0:v>168</ns0:v>
      </ns0:c>
      <ns0:c r="AH172" s="4">
        <ns0:f>IF(Z172&lt;0,A172,0)</ns0:f>
        <ns0:v>0</ns0:v>
      </ns0:c>
      <ns0:c r="AI172" s="12">
        <ns0:f>IF(AND(OR('前提と出典'!$C$36+'前提と出典'!$C$38=0,X172&gt;=0),OR('前提と出典'!$C$37+'前提と出典'!$C$38=0,Y172&gt;=0)),0,A172)</ns0:f>
        <ns0:v>0</ns0:v>
      </ns0:c>
    </ns0:row>
    <ns0:row r="173" ht="24" customHeight="1">
      <ns0:c r="A173" s="4" t="n">
        <ns0:v>169</ns0:v>
      </ns0:c>
      <ns0:c r="B173" s="12">
        <ns0:f>A173*('前提と出典'!$C$36+'前提と出典'!$C$38)</ns0:f>
        <ns0:v>118.3</ns0:v>
      </ns0:c>
      <ns0:c r="C173" s="12">
        <ns0:f>A173*('前提と出典'!$C$37+'前提と出典'!$C$38)</ns0:f>
        <ns0:v>101.39999999999999</ns0:v>
      </ns0:c>
      <ns0:c r="D173" s="16">
        <ns0:f>A173*('前提と出典'!$C$36*'契約別単価'!C5+'前提と出典'!$C$37*'契約別単価'!C6+'前提と出典'!$C$38*'契約別単価'!C7)</ns0:f>
        <ns0:v>1216.04469273743</ns0:v>
      </ns0:c>
      <ns0:c r="E173" s="16">
        <ns0:f>A173*('前提と出典'!$C$36*'契約別単価'!E5+'前提と出典'!$C$37*'契約別単価'!E6+'前提と出典'!$C$38*'契約別単価'!E7)</ns0:f>
        <ns0:v>327005.64698776987</ns0:v>
      </ns0:c>
      <ns0:c r="F173" s="16">
        <ns0:f>A173*('前提と出典'!$C$36*'契約別単価'!F5+'前提と出典'!$C$37*'契約別単価'!F6+'前提と出典'!$C$38*'契約別単価'!F7)</ns0:f>
        <ns0:v>128337.83606997694</ns0:v>
      </ns0:c>
      <ns0:c r="G173" s="16">
        <ns0:f>A173*('前提と出典'!$C$36*'契約別単価'!G5+'前提と出典'!$C$37*'契約別単価'!G6+'前提と出典'!$C$38*'契約別単価'!G7)</ns0:f>
        <ns0:v>336394.9720670391</ns0:v>
      </ns0:c>
      <ns0:c r="H173" s="16">
        <ns0:f>A173*('前提と出典'!$C$36*'契約別単価'!H5+'前提と出典'!$C$37*'契約別単価'!H6+'前提と出典'!$C$38*'契約別単価'!H7)</ns0:f>
        <ns0:v>116745.92684090843</ns0:v>
      </ns0:c>
      <ns0:c r="I173" s="16">
        <ns0:f>A173*('前提と出典'!$C$36*'契約別単価'!I5+'前提と出典'!$C$37*'契約別単価'!I6+'前提と出典'!$C$38*'契約別単価'!I7)</ns0:f>
        <ns0:v>7131.044692737429</ns0:v>
      </ns0:c>
      <ns0:c r="J173" s="16">
        <ns0:f>A173*('前提と出典'!$C$36*'契約別単価'!J5+'前提と出典'!$C$37*'契約別単価'!J6+'前提と出典'!$C$38*'契約別単価'!J7)</ns0:f>
        <ns0:v>16610.932887041134</ns0:v>
      </ns0:c>
      <ns0:c r="K173" s="16">
        <ns0:f>A173*('前提と出典'!$C$36*'契約別単価'!K5+'前提と出典'!$C$37*'契約別単価'!K6+'前提と出典'!$C$38*'契約別単価'!K7)</ns0:f>
        <ns0:v>71200.29795158286</ns0:v>
      </ns0:c>
      <ns0:c r="L173" s="16">
        <ns0:f>A173*('前提と出典'!$C$36*'契約別単価'!L5+'前提と出典'!$C$37*'契約別単価'!L6+'前提と出典'!$C$38*'契約別単価'!L7)</ns0:f>
        <ns0:v>57971.530894696945</ns0:v>
      </ns0:c>
      <ns0:c r="M173" s="16">
        <ns0:f>IF(('前提と出典'!$C$36+'前提と出典'!$C$38)=0,0,IF(B173&lt;=10,'前提と出典'!B73+'前提と出典'!C73,IF(B173&lt;=100,'前提と出典'!B74+'前提と出典'!C74,IF(B173&lt;=500,'前提と出典'!B75+'前提と出典'!C75,'前提と出典'!B76+'前提と出典'!C76))))</ns0:f>
        <ns0:v>40000</ns0:v>
      </ns0:c>
      <ns0:c r="N173" s="16">
        <ns0:f>IF(('前提と出典'!$C$37+'前提と出典'!$C$38)=0,0,IF(C173&lt;=10,'前提と出典'!D73+'前提と出典'!E73,IF(C173&lt;=100,'前提と出典'!D74+'前提と出典'!E74,IF(C173&lt;=500,'前提と出典'!D75+'前提と出典'!E75,'前提と出典'!D76+'前提と出典'!E76))))</ns0:f>
        <ns0:v>56510.9346263078</ns0:v>
      </ns0:c>
      <ns0:c r="O173" s="16">
        <ns0:f>IF('前提と出典'!$C$36+'前提と出典'!$C$38=0,0,'前提と出典'!$B$4*IF('前提と出典'!$B$20=0,MAX('前提と出典'!$B$6,D173*'前提と出典'!$B$5),'前提と出典'!$B$6+D173*'前提と出典'!$B$5))</ns0:f>
        <ns0:v>167814.16759776536</ns0:v>
      </ns0:c>
      <ns0:c r="P173" s="16">
        <ns0:f>(E173+G173)*(1-'前提と出典'!$B$7)-I173-K173-M173-O173</ns0:f>
        <ns0:v>353372.6865267502</ns0:v>
      </ns0:c>
      <ns0:c r="Q173" s="16">
        <ns0:f>(F173+H173)*(1-'前提と出典'!$B$7)-J173-L173-N173</ns0:f>
        <ns0:v>105167.34903804766</ns0:v>
      </ns0:c>
      <ns0:c r="R173" s="16">
        <ns0:f>P173-E173*'前提と出典'!$E$4</ns0:f>
        <ns0:v>255270.99243041922</ns0:v>
      </ns0:c>
      <ns0:c r="S173" s="16">
        <ns0:f>Q173-F173*'前提と出典'!$E$4</ns0:f>
        <ns0:v>66665.99821705456</ns0:v>
      </ns0:c>
      <ns0:c r="T173" s="7">
        <ns0:f>R173+S173</ns0:f>
        <ns0:v>321936.9906474738</ns0:v>
      </ns0:c>
      <ns0:c r="U173" s="16">
        <ns0:f>P173-E173*'前提と出典'!$E$5</ns0:f>
        <ns0:v>222570.4277316423</ns0:v>
      </ns0:c>
      <ns0:c r="V173" s="16">
        <ns0:f>Q173-F173*'前提と出典'!$E$5</ns0:f>
        <ns0:v>53832.21461005687</ns0:v>
      </ns0:c>
      <ns0:c r="W173" s="7">
        <ns0:f>U173+V173</ns0:f>
        <ns0:v>276402.64234169916</ns0:v>
      </ns0:c>
      <ns0:c r="X173" s="16">
        <ns0:f>P173-E173*'前提と出典'!$E$6</ns0:f>
        <ns0:v>189869.86303286525</ns0:v>
      </ns0:c>
      <ns0:c r="Y173" s="16">
        <ns0:f>Q173-F173*'前提と出典'!$E$6</ns0:f>
        <ns0:v>40998.43100305918</ns0:v>
      </ns0:c>
      <ns0:c r="Z173" s="7">
        <ns0:f>X173+Y173</ns0:f>
        <ns0:v>230868.29403592442</ns0:v>
      </ns0:c>
      <ns0:c r="AA173" s="7">
        <ns0:f>IF(T173&gt;=0,A173,1001)</ns0:f>
        <ns0:v>169</ns0:v>
      </ns0:c>
      <ns0:c r="AB173" s="7">
        <ns0:f>IF(T173&lt;0,A173,0)</ns0:f>
        <ns0:v>0</ns0:v>
      </ns0:c>
      <ns0:c r="AC173" s="16">
        <ns0:f>IF(AND(OR('前提と出典'!$C$36+'前提と出典'!$C$38=0,R173&gt;=0),OR('前提と出典'!$C$37+'前提と出典'!$C$38=0,S173&gt;=0)),0,A173)</ns0:f>
        <ns0:v>0</ns0:v>
      </ns0:c>
      <ns0:c r="AD173" s="7">
        <ns0:f>IF(W173&gt;=0,A173,1001)</ns0:f>
        <ns0:v>169</ns0:v>
      </ns0:c>
      <ns0:c r="AE173" s="7">
        <ns0:f>IF(W173&lt;0,A173,0)</ns0:f>
        <ns0:v>0</ns0:v>
      </ns0:c>
      <ns0:c r="AF173" s="16">
        <ns0:f>IF(AND(OR('前提と出典'!$C$36+'前提と出典'!$C$38=0,U173&gt;=0),OR('前提と出典'!$C$37+'前提と出典'!$C$38=0,V173&gt;=0)),0,A173)</ns0:f>
        <ns0:v>0</ns0:v>
      </ns0:c>
      <ns0:c r="AG173" s="7">
        <ns0:f>IF(Z173&gt;=0,A173,1001)</ns0:f>
        <ns0:v>169</ns0:v>
      </ns0:c>
      <ns0:c r="AH173" s="4">
        <ns0:f>IF(Z173&lt;0,A173,0)</ns0:f>
        <ns0:v>0</ns0:v>
      </ns0:c>
      <ns0:c r="AI173" s="12">
        <ns0:f>IF(AND(OR('前提と出典'!$C$36+'前提と出典'!$C$38=0,X173&gt;=0),OR('前提と出典'!$C$37+'前提と出典'!$C$38=0,Y173&gt;=0)),0,A173)</ns0:f>
        <ns0:v>0</ns0:v>
      </ns0:c>
    </ns0:row>
    <ns0:row r="174" ht="24" customHeight="1">
      <ns0:c r="A174" s="4" t="n">
        <ns0:v>170</ns0:v>
      </ns0:c>
      <ns0:c r="B174" s="12">
        <ns0:f>A174*('前提と出典'!$C$36+'前提と出典'!$C$38)</ns0:f>
        <ns0:v>118.99999999999999</ns0:v>
      </ns0:c>
      <ns0:c r="C174" s="12">
        <ns0:f>A174*('前提と出典'!$C$37+'前提と出典'!$C$38)</ns0:f>
        <ns0:v>102</ns0:v>
      </ns0:c>
      <ns0:c r="D174" s="16">
        <ns0:f>A174*('前提と出典'!$C$36*'契約別単価'!C5+'前提と出典'!$C$37*'契約別単価'!C6+'前提と出典'!$C$38*'契約別単価'!C7)</ns0:f>
        <ns0:v>1223.2402234636872</ns0:v>
      </ns0:c>
      <ns0:c r="E174" s="16">
        <ns0:f>A174*('前提と出典'!$C$36*'契約別単価'!E5+'前提と出典'!$C$37*'契約別単価'!E6+'前提と出典'!$C$38*'契約別単価'!E7)</ns0:f>
        <ns0:v>328940.5916445022</ns0:v>
      </ns0:c>
      <ns0:c r="F174" s="16">
        <ns0:f>A174*('前提と出典'!$C$36*'契約別単価'!F5+'前提と出典'!$C$37*'契約別単価'!F6+'前提と出典'!$C$38*'契約別単価'!F7)</ns0:f>
        <ns0:v>129097.23154968095</ns0:v>
      </ns0:c>
      <ns0:c r="G174" s="16">
        <ns0:f>A174*('前提と出典'!$C$36*'契約別単価'!G5+'前提と出典'!$C$37*'契約別単価'!G6+'前提と出典'!$C$38*'契約別単価'!G7)</ns0:f>
        <ns0:v>338385.4748603352</ns0:v>
      </ns0:c>
      <ns0:c r="H174" s="16">
        <ns0:f>A174*('前提と出典'!$C$36*'契約別単価'!H5+'前提と出典'!$C$37*'契約別単価'!H6+'前提と出典'!$C$38*'契約別単価'!H7)</ns0:f>
        <ns0:v>117436.7311417422</ns0:v>
      </ns0:c>
      <ns0:c r="I174" s="16">
        <ns0:f>A174*('前提と出典'!$C$36*'契約別単価'!I5+'前提と出典'!$C$37*'契約別単価'!I6+'前提と出典'!$C$38*'契約別単価'!I7)</ns0:f>
        <ns0:v>7173.240223463686</ns0:v>
      </ns0:c>
      <ns0:c r="J174" s="16">
        <ns0:f>A174*('前提と出典'!$C$36*'契約別単価'!J5+'前提と出典'!$C$37*'契約別単価'!J6+'前提と出典'!$C$38*'契約別単価'!J7)</ns0:f>
        <ns0:v>16709.222430751437</ns0:v>
      </ns0:c>
      <ns0:c r="K174" s="16">
        <ns0:f>A174*('前提と出典'!$C$36*'契約別単価'!K5+'前提と出典'!$C$37*'契約別単価'!K6+'前提と出典'!$C$38*'契約別単価'!K7)</ns0:f>
        <ns0:v>71621.60148975792</ns0:v>
      </ns0:c>
      <ns0:c r="L174" s="16">
        <ns0:f>A174*('前提と出典'!$C$36*'契約別単価'!L5+'前提と出典'!$C$37*'契約別単価'!L6+'前提と出典'!$C$38*'契約別単価'!L7)</ns0:f>
        <ns0:v>58314.557704724735</ns0:v>
      </ns0:c>
      <ns0:c r="M174" s="16">
        <ns0:f>IF(('前提と出典'!$C$36+'前提と出典'!$C$38)=0,0,IF(B174&lt;=10,'前提と出典'!B73+'前提と出典'!C73,IF(B174&lt;=100,'前提と出典'!B74+'前提と出典'!C74,IF(B174&lt;=500,'前提と出典'!B75+'前提と出典'!C75,'前提と出典'!B76+'前提と出典'!C76))))</ns0:f>
        <ns0:v>40000</ns0:v>
      </ns0:c>
      <ns0:c r="N174" s="16">
        <ns0:f>IF(('前提と出典'!$C$37+'前提と出典'!$C$38)=0,0,IF(C174&lt;=10,'前提と出典'!D73+'前提と出典'!E73,IF(C174&lt;=100,'前提と出典'!D74+'前提と出典'!E74,IF(C174&lt;=500,'前提と出典'!D75+'前提と出典'!E75,'前提と出典'!D76+'前提と出典'!E76))))</ns0:f>
        <ns0:v>56510.9346263078</ns0:v>
      </ns0:c>
      <ns0:c r="O174" s="16">
        <ns0:f>IF('前提と出典'!$C$36+'前提と出典'!$C$38=0,0,'前提と出典'!$B$4*IF('前提と出典'!$B$20=0,MAX('前提と出典'!$B$6,D174*'前提と出典'!$B$5),'前提と出典'!$B$6+D174*'前提と出典'!$B$5))</ns0:f>
        <ns0:v>168807.15083798883</ns0:v>
      </ns0:c>
      <ns0:c r="P174" s="16">
        <ns0:f>(E174+G174)*(1-'前提と出典'!$B$7)-I174-K174-M174-O174</ns0:f>
        <ns0:v>355700.33555945277</ns0:v>
      </ns0:c>
      <ns0:c r="Q174" s="16">
        <ns0:f>(F174+H174)*(1-'前提と出典'!$B$7)-J174-L174-N174</ns0:f>
        <ns0:v>106124.02527274794</ns0:v>
      </ns0:c>
      <ns0:c r="R174" s="16">
        <ns0:f>P174-E174*'前提と出典'!$E$4</ns0:f>
        <ns0:v>257018.15806610207</ns0:v>
      </ns0:c>
      <ns0:c r="S174" s="16">
        <ns0:f>Q174-F174*'前提と出典'!$E$4</ns0:f>
        <ns0:v>67394.85580784365</ns0:v>
      </ns0:c>
      <ns0:c r="T174" s="7">
        <ns0:f>R174+S174</ns0:f>
        <ns0:v>324413.0138739457</ns0:v>
      </ns0:c>
      <ns0:c r="U174" s="16">
        <ns0:f>P174-E174*'前提と出典'!$E$5</ns0:f>
        <ns0:v>224124.09890165192</ns0:v>
      </ns0:c>
      <ns0:c r="V174" s="16">
        <ns0:f>Q174-F174*'前提と出典'!$E$5</ns0:f>
        <ns0:v>54485.13265287555</ns0:v>
      </ns0:c>
      <ns0:c r="W174" s="7">
        <ns0:f>U174+V174</ns0:f>
        <ns0:v>278609.2315545275</ns0:v>
      </ns0:c>
      <ns0:c r="X174" s="16">
        <ns0:f>P174-E174*'前提と出典'!$E$6</ns0:f>
        <ns0:v>191230.03973720165</ns0:v>
      </ns0:c>
      <ns0:c r="Y174" s="16">
        <ns0:f>Q174-F174*'前提と出典'!$E$6</ns0:f>
        <ns0:v>41575.409497907465</ns0:v>
      </ns0:c>
      <ns0:c r="Z174" s="7">
        <ns0:f>X174+Y174</ns0:f>
        <ns0:v>232805.44923510912</ns0:v>
      </ns0:c>
      <ns0:c r="AA174" s="7">
        <ns0:f>IF(T174&gt;=0,A174,1001)</ns0:f>
        <ns0:v>170</ns0:v>
      </ns0:c>
      <ns0:c r="AB174" s="7">
        <ns0:f>IF(T174&lt;0,A174,0)</ns0:f>
        <ns0:v>0</ns0:v>
      </ns0:c>
      <ns0:c r="AC174" s="16">
        <ns0:f>IF(AND(OR('前提と出典'!$C$36+'前提と出典'!$C$38=0,R174&gt;=0),OR('前提と出典'!$C$37+'前提と出典'!$C$38=0,S174&gt;=0)),0,A174)</ns0:f>
        <ns0:v>0</ns0:v>
      </ns0:c>
      <ns0:c r="AD174" s="7">
        <ns0:f>IF(W174&gt;=0,A174,1001)</ns0:f>
        <ns0:v>170</ns0:v>
      </ns0:c>
      <ns0:c r="AE174" s="7">
        <ns0:f>IF(W174&lt;0,A174,0)</ns0:f>
        <ns0:v>0</ns0:v>
      </ns0:c>
      <ns0:c r="AF174" s="16">
        <ns0:f>IF(AND(OR('前提と出典'!$C$36+'前提と出典'!$C$38=0,U174&gt;=0),OR('前提と出典'!$C$37+'前提と出典'!$C$38=0,V174&gt;=0)),0,A174)</ns0:f>
        <ns0:v>0</ns0:v>
      </ns0:c>
      <ns0:c r="AG174" s="7">
        <ns0:f>IF(Z174&gt;=0,A174,1001)</ns0:f>
        <ns0:v>170</ns0:v>
      </ns0:c>
      <ns0:c r="AH174" s="4">
        <ns0:f>IF(Z174&lt;0,A174,0)</ns0:f>
        <ns0:v>0</ns0:v>
      </ns0:c>
      <ns0:c r="AI174" s="12">
        <ns0:f>IF(AND(OR('前提と出典'!$C$36+'前提と出典'!$C$38=0,X174&gt;=0),OR('前提と出典'!$C$37+'前提と出典'!$C$38=0,Y174&gt;=0)),0,A174)</ns0:f>
        <ns0:v>0</ns0:v>
      </ns0:c>
    </ns0:row>
    <ns0:row r="175" ht="24" customHeight="1">
      <ns0:c r="A175" s="4" t="n">
        <ns0:v>171</ns0:v>
      </ns0:c>
      <ns0:c r="B175" s="12">
        <ns0:f>A175*('前提と出典'!$C$36+'前提と出典'!$C$38)</ns0:f>
        <ns0:v>119.69999999999999</ns0:v>
      </ns0:c>
      <ns0:c r="C175" s="12">
        <ns0:f>A175*('前提と出典'!$C$37+'前提と出典'!$C$38)</ns0:f>
        <ns0:v>102.6</ns0:v>
      </ns0:c>
      <ns0:c r="D175" s="16">
        <ns0:f>A175*('前提と出典'!$C$36*'契約別単価'!C5+'前提と出典'!$C$37*'契約別単価'!C6+'前提と出典'!$C$38*'契約別単価'!C7)</ns0:f>
        <ns0:v>1230.4357541899442</ns0:v>
      </ns0:c>
      <ns0:c r="E175" s="16">
        <ns0:f>A175*('前提と出典'!$C$36*'契約別単価'!E5+'前提と出典'!$C$37*'契約別単価'!E6+'前提と出典'!$C$38*'契約別単価'!E7)</ns0:f>
        <ns0:v>330875.53630123456</ns0:v>
      </ns0:c>
      <ns0:c r="F175" s="16">
        <ns0:f>A175*('前提と出典'!$C$36*'契約別単価'!F5+'前提と出典'!$C$37*'契約別単価'!F6+'前提と出典'!$C$38*'契約別単価'!F7)</ns0:f>
        <ns0:v>129856.62702938495</ns0:v>
      </ns0:c>
      <ns0:c r="G175" s="16">
        <ns0:f>A175*('前提と出典'!$C$36*'契約別単価'!G5+'前提と出典'!$C$37*'契約別単価'!G6+'前提と出典'!$C$38*'契約別単価'!G7)</ns0:f>
        <ns0:v>340375.97765363124</ns0:v>
      </ns0:c>
      <ns0:c r="H175" s="16">
        <ns0:f>A175*('前提と出典'!$C$36*'契約別単価'!H5+'前提と出典'!$C$37*'契約別単価'!H6+'前提と出典'!$C$38*'契約別単価'!H7)</ns0:f>
        <ns0:v>118127.53544257599</ns0:v>
      </ns0:c>
      <ns0:c r="I175" s="16">
        <ns0:f>A175*('前提と出典'!$C$36*'契約別単価'!I5+'前提と出典'!$C$37*'契約別単価'!I6+'前提と出典'!$C$38*'契約別単価'!I7)</ns0:f>
        <ns0:v>7215.435754189943</ns0:v>
      </ns0:c>
      <ns0:c r="J175" s="16">
        <ns0:f>A175*('前提と出典'!$C$36*'契約別単価'!J5+'前提と出典'!$C$37*'契約別単価'!J6+'前提と出典'!$C$38*'契約別単価'!J7)</ns0:f>
        <ns0:v>16807.51197446174</ns0:v>
      </ns0:c>
      <ns0:c r="K175" s="16">
        <ns0:f>A175*('前提と出典'!$C$36*'契約別単価'!K5+'前提と出典'!$C$37*'契約別単価'!K6+'前提と出典'!$C$38*'契約別単価'!K7)</ns0:f>
        <ns0:v>72042.90502793295</ns0:v>
      </ns0:c>
      <ns0:c r="L175" s="16">
        <ns0:f>A175*('前提と出典'!$C$36*'契約別単価'!L5+'前提と出典'!$C$37*'契約別単価'!L6+'前提と出典'!$C$38*'契約別単価'!L7)</ns0:f>
        <ns0:v>58657.58451475253</ns0:v>
      </ns0:c>
      <ns0:c r="M175" s="16">
        <ns0:f>IF(('前提と出典'!$C$36+'前提と出典'!$C$38)=0,0,IF(B175&lt;=10,'前提と出典'!B73+'前提と出典'!C73,IF(B175&lt;=100,'前提と出典'!B74+'前提と出典'!C74,IF(B175&lt;=500,'前提と出典'!B75+'前提と出典'!C75,'前提と出典'!B76+'前提と出典'!C76))))</ns0:f>
        <ns0:v>40000</ns0:v>
      </ns0:c>
      <ns0:c r="N175" s="16">
        <ns0:f>IF(('前提と出典'!$C$37+'前提と出典'!$C$38)=0,0,IF(C175&lt;=10,'前提と出典'!D73+'前提と出典'!E73,IF(C175&lt;=100,'前提と出典'!D74+'前提と出典'!E74,IF(C175&lt;=500,'前提と出典'!D75+'前提と出典'!E75,'前提と出典'!D76+'前提と出典'!E76))))</ns0:f>
        <ns0:v>56510.9346263078</ns0:v>
      </ns0:c>
      <ns0:c r="O175" s="16">
        <ns0:f>IF('前提と出典'!$C$36+'前提と出典'!$C$38=0,0,'前提と出典'!$B$4*IF('前提と出典'!$B$20=0,MAX('前提と出典'!$B$6,D175*'前提と出典'!$B$5),'前提と出典'!$B$6+D175*'前提と出典'!$B$5))</ns0:f>
        <ns0:v>169800.13407821232</ns0:v>
      </ns0:c>
      <ns0:c r="P175" s="16">
        <ns0:f>(E175+G175)*(1-'前提と出典'!$B$7)-I175-K175-M175-O175</ns0:f>
        <ns0:v>358027.9845921553</ns0:v>
      </ns0:c>
      <ns0:c r="Q175" s="16">
        <ns0:f>(F175+H175)*(1-'前提と出典'!$B$7)-J175-L175-N175</ns0:f>
        <ns0:v>107080.7015074483</ns0:v>
      </ns0:c>
      <ns0:c r="R175" s="16">
        <ns0:f>P175-E175*'前提と出典'!$E$4</ns0:f>
        <ns0:v>258765.32370178495</ns0:v>
      </ns0:c>
      <ns0:c r="S175" s="16">
        <ns0:f>Q175-F175*'前提と出典'!$E$4</ns0:f>
        <ns0:v>68123.7133986328</ns0:v>
      </ns0:c>
      <ns0:c r="T175" s="7">
        <ns0:f>R175+S175</ns0:f>
        <ns0:v>326889.0371004178</ns0:v>
      </ns0:c>
      <ns0:c r="U175" s="16">
        <ns0:f>P175-E175*'前提と出典'!$E$5</ns0:f>
        <ns0:v>225677.77007166145</ns0:v>
      </ns0:c>
      <ns0:c r="V175" s="16">
        <ns0:f>Q175-F175*'前提と出典'!$E$5</ns0:f>
        <ns0:v>55138.05069569432</ns0:v>
      </ns0:c>
      <ns0:c r="W175" s="7">
        <ns0:f>U175+V175</ns0:f>
        <ns0:v>280815.8207673558</ns0:v>
      </ns0:c>
      <ns0:c r="X175" s="16">
        <ns0:f>P175-E175*'前提と出典'!$E$6</ns0:f>
        <ns0:v>192590.21644153807</ns0:v>
      </ns0:c>
      <ns0:c r="Y175" s="16">
        <ns0:f>Q175-F175*'前提と出典'!$E$6</ns0:f>
        <ns0:v>42152.38799275584</ns0:v>
      </ns0:c>
      <ns0:c r="Z175" s="7">
        <ns0:f>X175+Y175</ns0:f>
        <ns0:v>234742.6044342939</ns0:v>
      </ns0:c>
      <ns0:c r="AA175" s="7">
        <ns0:f>IF(T175&gt;=0,A175,1001)</ns0:f>
        <ns0:v>171</ns0:v>
      </ns0:c>
      <ns0:c r="AB175" s="7">
        <ns0:f>IF(T175&lt;0,A175,0)</ns0:f>
        <ns0:v>0</ns0:v>
      </ns0:c>
      <ns0:c r="AC175" s="16">
        <ns0:f>IF(AND(OR('前提と出典'!$C$36+'前提と出典'!$C$38=0,R175&gt;=0),OR('前提と出典'!$C$37+'前提と出典'!$C$38=0,S175&gt;=0)),0,A175)</ns0:f>
        <ns0:v>0</ns0:v>
      </ns0:c>
      <ns0:c r="AD175" s="7">
        <ns0:f>IF(W175&gt;=0,A175,1001)</ns0:f>
        <ns0:v>171</ns0:v>
      </ns0:c>
      <ns0:c r="AE175" s="7">
        <ns0:f>IF(W175&lt;0,A175,0)</ns0:f>
        <ns0:v>0</ns0:v>
      </ns0:c>
      <ns0:c r="AF175" s="16">
        <ns0:f>IF(AND(OR('前提と出典'!$C$36+'前提と出典'!$C$38=0,U175&gt;=0),OR('前提と出典'!$C$37+'前提と出典'!$C$38=0,V175&gt;=0)),0,A175)</ns0:f>
        <ns0:v>0</ns0:v>
      </ns0:c>
      <ns0:c r="AG175" s="7">
        <ns0:f>IF(Z175&gt;=0,A175,1001)</ns0:f>
        <ns0:v>171</ns0:v>
      </ns0:c>
      <ns0:c r="AH175" s="4">
        <ns0:f>IF(Z175&lt;0,A175,0)</ns0:f>
        <ns0:v>0</ns0:v>
      </ns0:c>
      <ns0:c r="AI175" s="12">
        <ns0:f>IF(AND(OR('前提と出典'!$C$36+'前提と出典'!$C$38=0,X175&gt;=0),OR('前提と出典'!$C$37+'前提と出典'!$C$38=0,Y175&gt;=0)),0,A175)</ns0:f>
        <ns0:v>0</ns0:v>
      </ns0:c>
    </ns0:row>
    <ns0:row r="176" ht="24" customHeight="1">
      <ns0:c r="A176" s="4" t="n">
        <ns0:v>172</ns0:v>
      </ns0:c>
      <ns0:c r="B176" s="12">
        <ns0:f>A176*('前提と出典'!$C$36+'前提と出典'!$C$38)</ns0:f>
        <ns0:v>120.39999999999999</ns0:v>
      </ns0:c>
      <ns0:c r="C176" s="12">
        <ns0:f>A176*('前提と出典'!$C$37+'前提と出典'!$C$38)</ns0:f>
        <ns0:v>103.2</ns0:v>
      </ns0:c>
      <ns0:c r="D176" s="16">
        <ns0:f>A176*('前提と出典'!$C$36*'契約別単価'!C5+'前提と出典'!$C$37*'契約別単価'!C6+'前提と出典'!$C$38*'契約別単価'!C7)</ns0:f>
        <ns0:v>1237.6312849162011</ns0:v>
      </ns0:c>
      <ns0:c r="E176" s="16">
        <ns0:f>A176*('前提と出典'!$C$36*'契約別単価'!E5+'前提と出典'!$C$37*'契約別単価'!E6+'前提と出典'!$C$38*'契約別単価'!E7)</ns0:f>
        <ns0:v>332810.48095796694</ns0:v>
      </ns0:c>
      <ns0:c r="F176" s="16">
        <ns0:f>A176*('前提と出典'!$C$36*'契約別単価'!F5+'前提と出典'!$C$37*'契約別単価'!F6+'前提と出典'!$C$38*'契約別単価'!F7)</ns0:f>
        <ns0:v>130616.02250908896</ns0:v>
      </ns0:c>
      <ns0:c r="G176" s="16">
        <ns0:f>A176*('前提と出典'!$C$36*'契約別単価'!G5+'前提と出典'!$C$37*'契約別単価'!G6+'前提と出典'!$C$38*'契約別単価'!G7)</ns0:f>
        <ns0:v>342366.48044692737</ns0:v>
      </ns0:c>
      <ns0:c r="H176" s="16">
        <ns0:f>A176*('前提と出典'!$C$36*'契約別単価'!H5+'前提と出典'!$C$37*'契約別単価'!H6+'前提と出典'!$C$38*'契約別単価'!H7)</ns0:f>
        <ns0:v>118818.33974340976</ns0:v>
      </ns0:c>
      <ns0:c r="I176" s="16">
        <ns0:f>A176*('前提と出典'!$C$36*'契約別単価'!I5+'前提と出典'!$C$37*'契約別単価'!I6+'前提と出典'!$C$38*'契約別単価'!I7)</ns0:f>
        <ns0:v>7257.6312849162</ns0:v>
      </ns0:c>
      <ns0:c r="J176" s="16">
        <ns0:f>A176*('前提と出典'!$C$36*'契約別単価'!J5+'前提と出典'!$C$37*'契約別単価'!J6+'前提と出典'!$C$38*'契約別単価'!J7)</ns0:f>
        <ns0:v>16905.80151817204</ns0:v>
      </ns0:c>
      <ns0:c r="K176" s="16">
        <ns0:f>A176*('前提と出典'!$C$36*'契約別単価'!K5+'前提と出典'!$C$37*'契約別単価'!K6+'前提と出典'!$C$38*'契約別単価'!K7)</ns0:f>
        <ns0:v>72464.208566108</ns0:v>
      </ns0:c>
      <ns0:c r="L176" s="16">
        <ns0:f>A176*('前提と出典'!$C$36*'契約別単価'!L5+'前提と出典'!$C$37*'契約別単価'!L6+'前提と出典'!$C$38*'契約別単価'!L7)</ns0:f>
        <ns0:v>59000.61132478032</ns0:v>
      </ns0:c>
      <ns0:c r="M176" s="16">
        <ns0:f>IF(('前提と出典'!$C$36+'前提と出典'!$C$38)=0,0,IF(B176&lt;=10,'前提と出典'!B73+'前提と出典'!C73,IF(B176&lt;=100,'前提と出典'!B74+'前提と出典'!C74,IF(B176&lt;=500,'前提と出典'!B75+'前提と出典'!C75,'前提と出典'!B76+'前提と出典'!C76))))</ns0:f>
        <ns0:v>40000</ns0:v>
      </ns0:c>
      <ns0:c r="N176" s="16">
        <ns0:f>IF(('前提と出典'!$C$37+'前提と出典'!$C$38)=0,0,IF(C176&lt;=10,'前提と出典'!D73+'前提と出典'!E73,IF(C176&lt;=100,'前提と出典'!D74+'前提と出典'!E74,IF(C176&lt;=500,'前提と出典'!D75+'前提と出典'!E75,'前提と出典'!D76+'前提と出典'!E76))))</ns0:f>
        <ns0:v>56510.9346263078</ns0:v>
      </ns0:c>
      <ns0:c r="O176" s="16">
        <ns0:f>IF('前提と出典'!$C$36+'前提と出典'!$C$38=0,0,'前提と出典'!$B$4*IF('前提と出典'!$B$20=0,MAX('前提と出典'!$B$6,D176*'前提と出典'!$B$5),'前提と出典'!$B$6+D176*'前提と出典'!$B$5))</ns0:f>
        <ns0:v>170793.11731843575</ns0:v>
      </ns0:c>
      <ns0:c r="P176" s="16">
        <ns0:f>(E176+G176)*(1-'前提と出典'!$B$7)-I176-K176-M176-O176</ns0:f>
        <ns0:v>360355.6336248581</ns0:v>
      </ns0:c>
      <ns0:c r="Q176" s="16">
        <ns0:f>(F176+H176)*(1-'前提と出典'!$B$7)-J176-L176-N176</ns0:f>
        <ns0:v>108037.3777421486</ns0:v>
      </ns0:c>
      <ns0:c r="R176" s="16">
        <ns0:f>P176-E176*'前提と出典'!$E$4</ns0:f>
        <ns0:v>260512.489337468</ns0:v>
      </ns0:c>
      <ns0:c r="S176" s="16">
        <ns0:f>Q176-F176*'前提と出典'!$E$4</ns0:f>
        <ns0:v>68852.57098942192</ns0:v>
      </ns0:c>
      <ns0:c r="T176" s="7">
        <ns0:f>R176+S176</ns0:f>
        <ns0:v>329365.0603268899</ns0:v>
      </ns0:c>
      <ns0:c r="U176" s="16">
        <ns0:f>P176-E176*'前提と出典'!$E$5</ns0:f>
        <ns0:v>227231.44124167133</ns0:v>
      </ns0:c>
      <ns0:c r="V176" s="16">
        <ns0:f>Q176-F176*'前提と出典'!$E$5</ns0:f>
        <ns0:v>55790.96873851302</ns0:v>
      </ns0:c>
      <ns0:c r="W176" s="7">
        <ns0:f>U176+V176</ns0:f>
        <ns0:v>283022.40998018434</ns0:v>
      </ns0:c>
      <ns0:c r="X176" s="16">
        <ns0:f>P176-E176*'前提と出典'!$E$6</ns0:f>
        <ns0:v>193950.3931458746</ns0:v>
      </ns0:c>
      <ns0:c r="Y176" s="16">
        <ns0:f>Q176-F176*'前提と出典'!$E$6</ns0:f>
        <ns0:v>42729.36648760411</ns0:v>
      </ns0:c>
      <ns0:c r="Z176" s="7">
        <ns0:f>X176+Y176</ns0:f>
        <ns0:v>236679.7596334787</ns0:v>
      </ns0:c>
      <ns0:c r="AA176" s="7">
        <ns0:f>IF(T176&gt;=0,A176,1001)</ns0:f>
        <ns0:v>172</ns0:v>
      </ns0:c>
      <ns0:c r="AB176" s="7">
        <ns0:f>IF(T176&lt;0,A176,0)</ns0:f>
        <ns0:v>0</ns0:v>
      </ns0:c>
      <ns0:c r="AC176" s="16">
        <ns0:f>IF(AND(OR('前提と出典'!$C$36+'前提と出典'!$C$38=0,R176&gt;=0),OR('前提と出典'!$C$37+'前提と出典'!$C$38=0,S176&gt;=0)),0,A176)</ns0:f>
        <ns0:v>0</ns0:v>
      </ns0:c>
      <ns0:c r="AD176" s="7">
        <ns0:f>IF(W176&gt;=0,A176,1001)</ns0:f>
        <ns0:v>172</ns0:v>
      </ns0:c>
      <ns0:c r="AE176" s="7">
        <ns0:f>IF(W176&lt;0,A176,0)</ns0:f>
        <ns0:v>0</ns0:v>
      </ns0:c>
      <ns0:c r="AF176" s="16">
        <ns0:f>IF(AND(OR('前提と出典'!$C$36+'前提と出典'!$C$38=0,U176&gt;=0),OR('前提と出典'!$C$37+'前提と出典'!$C$38=0,V176&gt;=0)),0,A176)</ns0:f>
        <ns0:v>0</ns0:v>
      </ns0:c>
      <ns0:c r="AG176" s="7">
        <ns0:f>IF(Z176&gt;=0,A176,1001)</ns0:f>
        <ns0:v>172</ns0:v>
      </ns0:c>
      <ns0:c r="AH176" s="4">
        <ns0:f>IF(Z176&lt;0,A176,0)</ns0:f>
        <ns0:v>0</ns0:v>
      </ns0:c>
      <ns0:c r="AI176" s="12">
        <ns0:f>IF(AND(OR('前提と出典'!$C$36+'前提と出典'!$C$38=0,X176&gt;=0),OR('前提と出典'!$C$37+'前提と出典'!$C$38=0,Y176&gt;=0)),0,A176)</ns0:f>
        <ns0:v>0</ns0:v>
      </ns0:c>
    </ns0:row>
    <ns0:row r="177" ht="24" customHeight="1">
      <ns0:c r="A177" s="4" t="n">
        <ns0:v>173</ns0:v>
      </ns0:c>
      <ns0:c r="B177" s="12">
        <ns0:f>A177*('前提と出典'!$C$36+'前提と出典'!$C$38)</ns0:f>
        <ns0:v>121.1</ns0:v>
      </ns0:c>
      <ns0:c r="C177" s="12">
        <ns0:f>A177*('前提と出典'!$C$37+'前提と出典'!$C$38)</ns0:f>
        <ns0:v>103.8</ns0:v>
      </ns0:c>
      <ns0:c r="D177" s="16">
        <ns0:f>A177*('前提と出典'!$C$36*'契約別単価'!C5+'前提と出典'!$C$37*'契約別単価'!C6+'前提と出典'!$C$38*'契約別単価'!C7)</ns0:f>
        <ns0:v>1244.826815642458</ns0:v>
      </ns0:c>
      <ns0:c r="E177" s="16">
        <ns0:f>A177*('前提と出典'!$C$36*'契約別単価'!E5+'前提と出典'!$C$37*'契約別単価'!E6+'前提と出典'!$C$38*'契約別単価'!E7)</ns0:f>
        <ns0:v>334745.4256146993</ns0:v>
      </ns0:c>
      <ns0:c r="F177" s="16">
        <ns0:f>A177*('前提と出典'!$C$36*'契約別単価'!F5+'前提と出典'!$C$37*'契約別単価'!F6+'前提と出典'!$C$38*'契約別単価'!F7)</ns0:f>
        <ns0:v>131375.41798879296</ns0:v>
      </ns0:c>
      <ns0:c r="G177" s="16">
        <ns0:f>A177*('前提と出典'!$C$36*'契約別単価'!G5+'前提と出典'!$C$37*'契約別単価'!G6+'前提と出典'!$C$38*'契約別単価'!G7)</ns0:f>
        <ns0:v>344356.98324022343</ns0:v>
      </ns0:c>
      <ns0:c r="H177" s="16">
        <ns0:f>A177*('前提と出典'!$C$36*'契約別単価'!H5+'前提と出典'!$C$37*'契約別単価'!H6+'前提と出典'!$C$38*'契約別単価'!H7)</ns0:f>
        <ns0:v>119509.14404424354</ns0:v>
      </ns0:c>
      <ns0:c r="I177" s="16">
        <ns0:f>A177*('前提と出典'!$C$36*'契約別単価'!I5+'前提と出典'!$C$37*'契約別単価'!I6+'前提と出典'!$C$38*'契約別単価'!I7)</ns0:f>
        <ns0:v>7299.8268156424565</ns0:v>
      </ns0:c>
      <ns0:c r="J177" s="16">
        <ns0:f>A177*('前提と出典'!$C$36*'契約別単価'!J5+'前提と出典'!$C$37*'契約別単価'!J6+'前提と出典'!$C$38*'契約別単価'!J7)</ns0:f>
        <ns0:v>17004.091061882344</ns0:v>
      </ns0:c>
      <ns0:c r="K177" s="16">
        <ns0:f>A177*('前提と出典'!$C$36*'契約別単価'!K5+'前提と出典'!$C$37*'契約別単価'!K6+'前提と出典'!$C$38*'契約別単価'!K7)</ns0:f>
        <ns0:v>72885.51210428304</ns0:v>
      </ns0:c>
      <ns0:c r="L177" s="16">
        <ns0:f>A177*('前提と出典'!$C$36*'契約別単価'!L5+'前提と出典'!$C$37*'契約別単価'!L6+'前提と出典'!$C$38*'契約別単価'!L7)</ns0:f>
        <ns0:v>59343.63813480812</ns0:v>
      </ns0:c>
      <ns0:c r="M177" s="16">
        <ns0:f>IF(('前提と出典'!$C$36+'前提と出典'!$C$38)=0,0,IF(B177&lt;=10,'前提と出典'!B73+'前提と出典'!C73,IF(B177&lt;=100,'前提と出典'!B74+'前提と出典'!C74,IF(B177&lt;=500,'前提と出典'!B75+'前提と出典'!C75,'前提と出典'!B76+'前提と出典'!C76))))</ns0:f>
        <ns0:v>40000</ns0:v>
      </ns0:c>
      <ns0:c r="N177" s="16">
        <ns0:f>IF(('前提と出典'!$C$37+'前提と出典'!$C$38)=0,0,IF(C177&lt;=10,'前提と出典'!D73+'前提と出典'!E73,IF(C177&lt;=100,'前提と出典'!D74+'前提と出典'!E74,IF(C177&lt;=500,'前提と出典'!D75+'前提と出典'!E75,'前提と出典'!D76+'前提と出典'!E76))))</ns0:f>
        <ns0:v>56510.9346263078</ns0:v>
      </ns0:c>
      <ns0:c r="O177" s="16">
        <ns0:f>IF('前提と出典'!$C$36+'前提と出典'!$C$38=0,0,'前提と出典'!$B$4*IF('前提と出典'!$B$20=0,MAX('前提と出典'!$B$6,D177*'前提と出典'!$B$5),'前提と出典'!$B$6+D177*'前提と出典'!$B$5))</ns0:f>
        <ns0:v>171786.10055865924</ns0:v>
      </ns0:c>
      <ns0:c r="P177" s="16">
        <ns0:f>(E177+G177)*(1-'前提と出典'!$B$7)-I177-K177-M177-O177</ns0:f>
        <ns0:v>362683.2826575607</ns0:v>
      </ns0:c>
      <ns0:c r="Q177" s="16">
        <ns0:f>(F177+H177)*(1-'前提と出典'!$B$7)-J177-L177-N177</ns0:f>
        <ns0:v>108994.05397684893</ns0:v>
      </ns0:c>
      <ns0:c r="R177" s="16">
        <ns0:f>P177-E177*'前提と出典'!$E$4</ns0:f>
        <ns0:v>262259.65497315116</ns0:v>
      </ns0:c>
      <ns0:c r="S177" s="16">
        <ns0:f>Q177-F177*'前提と出典'!$E$4</ns0:f>
        <ns0:v>69581.42858021104</ns0:v>
      </ns0:c>
      <ns0:c r="T177" s="7">
        <ns0:f>R177+S177</ns0:f>
        <ns0:v>331841.0835533622</ns0:v>
      </ns0:c>
      <ns0:c r="U177" s="16">
        <ns0:f>P177-E177*'前提と出典'!$E$5</ns0:f>
        <ns0:v>228785.11241168098</ns0:v>
      </ns0:c>
      <ns0:c r="V177" s="16">
        <ns0:f>Q177-F177*'前提と出典'!$E$5</ns0:f>
        <ns0:v>56443.88678133173</ns0:v>
      </ns0:c>
      <ns0:c r="W177" s="7">
        <ns0:f>U177+V177</ns0:f>
        <ns0:v>285228.9991930127</ns0:v>
      </ns0:c>
      <ns0:c r="X177" s="16">
        <ns0:f>P177-E177*'前提と出典'!$E$6</ns0:f>
        <ns0:v>195310.56985021115</ns0:v>
      </ns0:c>
      <ns0:c r="Y177" s="16">
        <ns0:f>Q177-F177*'前提と出典'!$E$6</ns0:f>
        <ns0:v>43306.34498245242</ns0:v>
      </ns0:c>
      <ns0:c r="Z177" s="7">
        <ns0:f>X177+Y177</ns0:f>
        <ns0:v>238616.91483266358</ns0:v>
      </ns0:c>
      <ns0:c r="AA177" s="7">
        <ns0:f>IF(T177&gt;=0,A177,1001)</ns0:f>
        <ns0:v>173</ns0:v>
      </ns0:c>
      <ns0:c r="AB177" s="7">
        <ns0:f>IF(T177&lt;0,A177,0)</ns0:f>
        <ns0:v>0</ns0:v>
      </ns0:c>
      <ns0:c r="AC177" s="16">
        <ns0:f>IF(AND(OR('前提と出典'!$C$36+'前提と出典'!$C$38=0,R177&gt;=0),OR('前提と出典'!$C$37+'前提と出典'!$C$38=0,S177&gt;=0)),0,A177)</ns0:f>
        <ns0:v>0</ns0:v>
      </ns0:c>
      <ns0:c r="AD177" s="7">
        <ns0:f>IF(W177&gt;=0,A177,1001)</ns0:f>
        <ns0:v>173</ns0:v>
      </ns0:c>
      <ns0:c r="AE177" s="7">
        <ns0:f>IF(W177&lt;0,A177,0)</ns0:f>
        <ns0:v>0</ns0:v>
      </ns0:c>
      <ns0:c r="AF177" s="16">
        <ns0:f>IF(AND(OR('前提と出典'!$C$36+'前提と出典'!$C$38=0,U177&gt;=0),OR('前提と出典'!$C$37+'前提と出典'!$C$38=0,V177&gt;=0)),0,A177)</ns0:f>
        <ns0:v>0</ns0:v>
      </ns0:c>
      <ns0:c r="AG177" s="7">
        <ns0:f>IF(Z177&gt;=0,A177,1001)</ns0:f>
        <ns0:v>173</ns0:v>
      </ns0:c>
      <ns0:c r="AH177" s="4">
        <ns0:f>IF(Z177&lt;0,A177,0)</ns0:f>
        <ns0:v>0</ns0:v>
      </ns0:c>
      <ns0:c r="AI177" s="12">
        <ns0:f>IF(AND(OR('前提と出典'!$C$36+'前提と出典'!$C$38=0,X177&gt;=0),OR('前提と出典'!$C$37+'前提と出典'!$C$38=0,Y177&gt;=0)),0,A177)</ns0:f>
        <ns0:v>0</ns0:v>
      </ns0:c>
    </ns0:row>
    <ns0:row r="178" ht="24" customHeight="1">
      <ns0:c r="A178" s="4" t="n">
        <ns0:v>174</ns0:v>
      </ns0:c>
      <ns0:c r="B178" s="12">
        <ns0:f>A178*('前提と出典'!$C$36+'前提と出典'!$C$38)</ns0:f>
        <ns0:v>121.8</ns0:v>
      </ns0:c>
      <ns0:c r="C178" s="12">
        <ns0:f>A178*('前提と出典'!$C$37+'前提と出典'!$C$38)</ns0:f>
        <ns0:v>104.39999999999999</ns0:v>
      </ns0:c>
      <ns0:c r="D178" s="16">
        <ns0:f>A178*('前提と出典'!$C$36*'契約別単価'!C5+'前提と出典'!$C$37*'契約別単価'!C6+'前提と出典'!$C$38*'契約別単価'!C7)</ns0:f>
        <ns0:v>1252.022346368715</ns0:v>
      </ns0:c>
      <ns0:c r="E178" s="16">
        <ns0:f>A178*('前提と出典'!$C$36*'契約別単価'!E5+'前提と出典'!$C$37*'契約別単価'!E6+'前提と出典'!$C$38*'契約別単価'!E7)</ns0:f>
        <ns0:v>336680.3702714317</ns0:v>
      </ns0:c>
      <ns0:c r="F178" s="16">
        <ns0:f>A178*('前提と出典'!$C$36*'契約別単価'!F5+'前提と出典'!$C$37*'契約別単価'!F6+'前提と出典'!$C$38*'契約別単価'!F7)</ns0:f>
        <ns0:v>132134.81346849696</ns0:v>
      </ns0:c>
      <ns0:c r="G178" s="16">
        <ns0:f>A178*('前提と出典'!$C$36*'契約別単価'!G5+'前提と出典'!$C$37*'契約別単価'!G6+'前提と出典'!$C$38*'契約別単価'!G7)</ns0:f>
        <ns0:v>346347.48603351956</ns0:v>
      </ns0:c>
      <ns0:c r="H178" s="16">
        <ns0:f>A178*('前提と出典'!$C$36*'契約別単価'!H5+'前提と出典'!$C$37*'契約別単価'!H6+'前提と出典'!$C$38*'契約別単価'!H7)</ns0:f>
        <ns0:v>120199.94834507731</ns0:v>
      </ns0:c>
      <ns0:c r="I178" s="16">
        <ns0:f>A178*('前提と出典'!$C$36*'契約別単価'!I5+'前提と出典'!$C$37*'契約別単価'!I6+'前提と出典'!$C$38*'契約別単価'!I7)</ns0:f>
        <ns0:v>7342.022346368713</ns0:v>
      </ns0:c>
      <ns0:c r="J178" s="16">
        <ns0:f>A178*('前提と出典'!$C$36*'契約別単価'!J5+'前提と出典'!$C$37*'契約別単価'!J6+'前提と出典'!$C$38*'契約別単価'!J7)</ns0:f>
        <ns0:v>17102.380605592647</ns0:v>
      </ns0:c>
      <ns0:c r="K178" s="16">
        <ns0:f>A178*('前提と出典'!$C$36*'契約別単価'!K5+'前提と出典'!$C$37*'契約別単価'!K6+'前提と出典'!$C$38*'契約別単価'!K7)</ns0:f>
        <ns0:v>73306.8156424581</ns0:v>
      </ns0:c>
      <ns0:c r="L178" s="16">
        <ns0:f>A178*('前提と出典'!$C$36*'契約別単価'!L5+'前提と出典'!$C$37*'契約別単価'!L6+'前提と出典'!$C$38*'契約別単価'!L7)</ns0:f>
        <ns0:v>59686.66494483591</ns0:v>
      </ns0:c>
      <ns0:c r="M178" s="16">
        <ns0:f>IF(('前提と出典'!$C$36+'前提と出典'!$C$38)=0,0,IF(B178&lt;=10,'前提と出典'!B73+'前提と出典'!C73,IF(B178&lt;=100,'前提と出典'!B74+'前提と出典'!C74,IF(B178&lt;=500,'前提と出典'!B75+'前提と出典'!C75,'前提と出典'!B76+'前提と出典'!C76))))</ns0:f>
        <ns0:v>40000</ns0:v>
      </ns0:c>
      <ns0:c r="N178" s="16">
        <ns0:f>IF(('前提と出典'!$C$37+'前提と出典'!$C$38)=0,0,IF(C178&lt;=10,'前提と出典'!D73+'前提と出典'!E73,IF(C178&lt;=100,'前提と出典'!D74+'前提と出典'!E74,IF(C178&lt;=500,'前提と出典'!D75+'前提と出典'!E75,'前提と出典'!D76+'前提と出典'!E76))))</ns0:f>
        <ns0:v>56510.9346263078</ns0:v>
      </ns0:c>
      <ns0:c r="O178" s="16">
        <ns0:f>IF('前提と出典'!$C$36+'前提と出典'!$C$38=0,0,'前提と出典'!$B$4*IF('前提と出典'!$B$20=0,MAX('前提と出典'!$B$6,D178*'前提と出典'!$B$5),'前提と出典'!$B$6+D178*'前提と出典'!$B$5))</ns0:f>
        <ns0:v>172779.0837988827</ns0:v>
      </ns0:c>
      <ns0:c r="P178" s="16">
        <ns0:f>(E178+G178)*(1-'前提と出典'!$B$7)-I178-K178-M178-O178</ns0:f>
        <ns0:v>365010.9316902635</ns0:v>
      </ns0:c>
      <ns0:c r="Q178" s="16">
        <ns0:f>(F178+H178)*(1-'前提と出典'!$B$7)-J178-L178-N178</ns0:f>
        <ns0:v>109950.73021154925</ns0:v>
      </ns0:c>
      <ns0:c r="R178" s="16">
        <ns0:f>P178-E178*'前提と出典'!$E$4</ns0:f>
        <ns0:v>264006.8206088339</ns0:v>
      </ns0:c>
      <ns0:c r="S178" s="16">
        <ns0:f>Q178-F178*'前提と出典'!$E$4</ns0:f>
        <ns0:v>70310.28617100016</ns0:v>
      </ns0:c>
      <ns0:c r="T178" s="7">
        <ns0:f>R178+S178</ns0:f>
        <ns0:v>334317.1067798341</ns0:v>
      </ns0:c>
      <ns0:c r="U178" s="16">
        <ns0:f>P178-E178*'前提と出典'!$E$5</ns0:f>
        <ns0:v>230338.78358169083</ns0:v>
      </ns0:c>
      <ns0:c r="V178" s="16">
        <ns0:f>Q178-F178*'前提と出典'!$E$5</ns0:f>
        <ns0:v>57096.804824150466</ns0:v>
      </ns0:c>
      <ns0:c r="W178" s="7">
        <ns0:f>U178+V178</ns0:f>
        <ns0:v>287435.5884058413</ns0:v>
      </ns0:c>
      <ns0:c r="X178" s="16">
        <ns0:f>P178-E178*'前提と出典'!$E$6</ns0:f>
        <ns0:v>196670.74655454766</ns0:v>
      </ns0:c>
      <ns0:c r="Y178" s="16">
        <ns0:f>Q178-F178*'前提と出典'!$E$6</ns0:f>
        <ns0:v>43883.323477300764</ns0:v>
      </ns0:c>
      <ns0:c r="Z178" s="7">
        <ns0:f>X178+Y178</ns0:f>
        <ns0:v>240554.07003184842</ns0:v>
      </ns0:c>
      <ns0:c r="AA178" s="7">
        <ns0:f>IF(T178&gt;=0,A178,1001)</ns0:f>
        <ns0:v>174</ns0:v>
      </ns0:c>
      <ns0:c r="AB178" s="7">
        <ns0:f>IF(T178&lt;0,A178,0)</ns0:f>
        <ns0:v>0</ns0:v>
      </ns0:c>
      <ns0:c r="AC178" s="16">
        <ns0:f>IF(AND(OR('前提と出典'!$C$36+'前提と出典'!$C$38=0,R178&gt;=0),OR('前提と出典'!$C$37+'前提と出典'!$C$38=0,S178&gt;=0)),0,A178)</ns0:f>
        <ns0:v>0</ns0:v>
      </ns0:c>
      <ns0:c r="AD178" s="7">
        <ns0:f>IF(W178&gt;=0,A178,1001)</ns0:f>
        <ns0:v>174</ns0:v>
      </ns0:c>
      <ns0:c r="AE178" s="7">
        <ns0:f>IF(W178&lt;0,A178,0)</ns0:f>
        <ns0:v>0</ns0:v>
      </ns0:c>
      <ns0:c r="AF178" s="16">
        <ns0:f>IF(AND(OR('前提と出典'!$C$36+'前提と出典'!$C$38=0,U178&gt;=0),OR('前提と出典'!$C$37+'前提と出典'!$C$38=0,V178&gt;=0)),0,A178)</ns0:f>
        <ns0:v>0</ns0:v>
      </ns0:c>
      <ns0:c r="AG178" s="7">
        <ns0:f>IF(Z178&gt;=0,A178,1001)</ns0:f>
        <ns0:v>174</ns0:v>
      </ns0:c>
      <ns0:c r="AH178" s="4">
        <ns0:f>IF(Z178&lt;0,A178,0)</ns0:f>
        <ns0:v>0</ns0:v>
      </ns0:c>
      <ns0:c r="AI178" s="12">
        <ns0:f>IF(AND(OR('前提と出典'!$C$36+'前提と出典'!$C$38=0,X178&gt;=0),OR('前提と出典'!$C$37+'前提と出典'!$C$38=0,Y178&gt;=0)),0,A178)</ns0:f>
        <ns0:v>0</ns0:v>
      </ns0:c>
    </ns0:row>
    <ns0:row r="179" ht="24" customHeight="1">
      <ns0:c r="A179" s="4" t="n">
        <ns0:v>175</ns0:v>
      </ns0:c>
      <ns0:c r="B179" s="12">
        <ns0:f>A179*('前提と出典'!$C$36+'前提と出典'!$C$38)</ns0:f>
        <ns0:v>122.49999999999999</ns0:v>
      </ns0:c>
      <ns0:c r="C179" s="12">
        <ns0:f>A179*('前提と出典'!$C$37+'前提と出典'!$C$38)</ns0:f>
        <ns0:v>105</ns0:v>
      </ns0:c>
      <ns0:c r="D179" s="16">
        <ns0:f>A179*('前提と出典'!$C$36*'契約別単価'!C5+'前提と出典'!$C$37*'契約別単価'!C6+'前提と出典'!$C$38*'契約別単価'!C7)</ns0:f>
        <ns0:v>1259.217877094972</ns0:v>
      </ns0:c>
      <ns0:c r="E179" s="16">
        <ns0:f>A179*('前提と出典'!$C$36*'契約別単価'!E5+'前提と出典'!$C$37*'契約別単価'!E6+'前提と出典'!$C$38*'契約別単価'!E7)</ns0:f>
        <ns0:v>338615.31492816407</ns0:v>
      </ns0:c>
      <ns0:c r="F179" s="16">
        <ns0:f>A179*('前提と出典'!$C$36*'契約別単価'!F5+'前提と出典'!$C$37*'契約別単価'!F6+'前提と出典'!$C$38*'契約別単価'!F7)</ns0:f>
        <ns0:v>132894.20894820098</ns0:v>
      </ns0:c>
      <ns0:c r="G179" s="16">
        <ns0:f>A179*('前提と出典'!$C$36*'契約別単価'!G5+'前提と出典'!$C$37*'契約別単価'!G6+'前提と出典'!$C$38*'契約別単価'!G7)</ns0:f>
        <ns0:v>348337.9888268156</ns0:v>
      </ns0:c>
      <ns0:c r="H179" s="16">
        <ns0:f>A179*('前提と出典'!$C$36*'契約別単価'!H5+'前提と出典'!$C$37*'契約別単価'!H6+'前提と出典'!$C$38*'契約別単価'!H7)</ns0:f>
        <ns0:v>120890.7526459111</ns0:v>
      </ns0:c>
      <ns0:c r="I179" s="16">
        <ns0:f>A179*('前提と出典'!$C$36*'契約別単価'!I5+'前提と出典'!$C$37*'契約別単価'!I6+'前提と出典'!$C$38*'契約別単価'!I7)</ns0:f>
        <ns0:v>7384.21787709497</ns0:v>
      </ns0:c>
      <ns0:c r="J179" s="16">
        <ns0:f>A179*('前提と出典'!$C$36*'契約別単価'!J5+'前提と出典'!$C$37*'契約別単価'!J6+'前提と出典'!$C$38*'契約別単価'!J7)</ns0:f>
        <ns0:v>17200.67014930295</ns0:v>
      </ns0:c>
      <ns0:c r="K179" s="16">
        <ns0:f>A179*('前提と出典'!$C$36*'契約別単価'!K5+'前提と出典'!$C$37*'契約別単価'!K6+'前提と出典'!$C$38*'契約別単価'!K7)</ns0:f>
        <ns0:v>73728.11918063315</ns0:v>
      </ns0:c>
      <ns0:c r="L179" s="16">
        <ns0:f>A179*('前提と出典'!$C$36*'契約別単価'!L5+'前提と出典'!$C$37*'契約別単価'!L6+'前提と出典'!$C$38*'契約別単価'!L7)</ns0:f>
        <ns0:v>60029.6917548637</ns0:v>
      </ns0:c>
      <ns0:c r="M179" s="16">
        <ns0:f>IF(('前提と出典'!$C$36+'前提と出典'!$C$38)=0,0,IF(B179&lt;=10,'前提と出典'!B73+'前提と出典'!C73,IF(B179&lt;=100,'前提と出典'!B74+'前提と出典'!C74,IF(B179&lt;=500,'前提と出典'!B75+'前提と出典'!C75,'前提と出典'!B76+'前提と出典'!C76))))</ns0:f>
        <ns0:v>40000</ns0:v>
      </ns0:c>
      <ns0:c r="N179" s="16">
        <ns0:f>IF(('前提と出典'!$C$37+'前提と出典'!$C$38)=0,0,IF(C179&lt;=10,'前提と出典'!D73+'前提と出典'!E73,IF(C179&lt;=100,'前提と出典'!D74+'前提と出典'!E74,IF(C179&lt;=500,'前提と出典'!D75+'前提と出典'!E75,'前提と出典'!D76+'前提と出典'!E76))))</ns0:f>
        <ns0:v>56510.9346263078</ns0:v>
      </ns0:c>
      <ns0:c r="O179" s="16">
        <ns0:f>IF('前提と出典'!$C$36+'前提と出典'!$C$38=0,0,'前提と出典'!$B$4*IF('前提と出典'!$B$20=0,MAX('前提と出典'!$B$6,D179*'前提と出典'!$B$5),'前提と出典'!$B$6+D179*'前提と出典'!$B$5))</ns0:f>
        <ns0:v>173772.06703910613</ns0:v>
      </ns0:c>
      <ns0:c r="P179" s="16">
        <ns0:f>(E179+G179)*(1-'前提と出典'!$B$7)-I179-K179-M179-O179</ns0:f>
        <ns0:v>367338.58072296623</ns0:v>
      </ns0:c>
      <ns0:c r="Q179" s="16">
        <ns0:f>(F179+H179)*(1-'前提と出典'!$B$7)-J179-L179-N179</ns0:f>
        <ns0:v>110907.4064462496</ns0:v>
      </ns0:c>
      <ns0:c r="R179" s="16">
        <ns0:f>P179-E179*'前提と出典'!$E$4</ns0:f>
        <ns0:v>265753.98624451703</ns0:v>
      </ns0:c>
      <ns0:c r="S179" s="16">
        <ns0:f>Q179-F179*'前提と出典'!$E$4</ns0:f>
        <ns0:v>71039.14376178931</ns0:v>
      </ns0:c>
      <ns0:c r="T179" s="7">
        <ns0:f>R179+S179</ns0:f>
        <ns0:v>336793.13000630634</ns0:v>
      </ns0:c>
      <ns0:c r="U179" s="16">
        <ns0:f>P179-E179*'前提と出典'!$E$5</ns0:f>
        <ns0:v>231892.4547517006</ns0:v>
      </ns0:c>
      <ns0:c r="V179" s="16">
        <ns0:f>Q179-F179*'前提と出典'!$E$5</ns0:f>
        <ns0:v>57749.722866969205</ns0:v>
      </ns0:c>
      <ns0:c r="W179" s="7">
        <ns0:f>U179+V179</ns0:f>
        <ns0:v>289642.1776186698</ns0:v>
      </ns0:c>
      <ns0:c r="X179" s="16">
        <ns0:f>P179-E179*'前提と出典'!$E$6</ns0:f>
        <ns0:v>198030.9232588842</ns0:v>
      </ns0:c>
      <ns0:c r="Y179" s="16">
        <ns0:f>Q179-F179*'前提と出典'!$E$6</ns0:f>
        <ns0:v>44460.30197214911</ns0:v>
      </ns0:c>
      <ns0:c r="Z179" s="7">
        <ns0:f>X179+Y179</ns0:f>
        <ns0:v>242491.2252310333</ns0:v>
      </ns0:c>
      <ns0:c r="AA179" s="7">
        <ns0:f>IF(T179&gt;=0,A179,1001)</ns0:f>
        <ns0:v>175</ns0:v>
      </ns0:c>
      <ns0:c r="AB179" s="7">
        <ns0:f>IF(T179&lt;0,A179,0)</ns0:f>
        <ns0:v>0</ns0:v>
      </ns0:c>
      <ns0:c r="AC179" s="16">
        <ns0:f>IF(AND(OR('前提と出典'!$C$36+'前提と出典'!$C$38=0,R179&gt;=0),OR('前提と出典'!$C$37+'前提と出典'!$C$38=0,S179&gt;=0)),0,A179)</ns0:f>
        <ns0:v>0</ns0:v>
      </ns0:c>
      <ns0:c r="AD179" s="7">
        <ns0:f>IF(W179&gt;=0,A179,1001)</ns0:f>
        <ns0:v>175</ns0:v>
      </ns0:c>
      <ns0:c r="AE179" s="7">
        <ns0:f>IF(W179&lt;0,A179,0)</ns0:f>
        <ns0:v>0</ns0:v>
      </ns0:c>
      <ns0:c r="AF179" s="16">
        <ns0:f>IF(AND(OR('前提と出典'!$C$36+'前提と出典'!$C$38=0,U179&gt;=0),OR('前提と出典'!$C$37+'前提と出典'!$C$38=0,V179&gt;=0)),0,A179)</ns0:f>
        <ns0:v>0</ns0:v>
      </ns0:c>
      <ns0:c r="AG179" s="7">
        <ns0:f>IF(Z179&gt;=0,A179,1001)</ns0:f>
        <ns0:v>175</ns0:v>
      </ns0:c>
      <ns0:c r="AH179" s="4">
        <ns0:f>IF(Z179&lt;0,A179,0)</ns0:f>
        <ns0:v>0</ns0:v>
      </ns0:c>
      <ns0:c r="AI179" s="12">
        <ns0:f>IF(AND(OR('前提と出典'!$C$36+'前提と出典'!$C$38=0,X179&gt;=0),OR('前提と出典'!$C$37+'前提と出典'!$C$38=0,Y179&gt;=0)),0,A179)</ns0:f>
        <ns0:v>0</ns0:v>
      </ns0:c>
    </ns0:row>
    <ns0:row r="180" ht="24" customHeight="1">
      <ns0:c r="A180" s="4" t="n">
        <ns0:v>176</ns0:v>
      </ns0:c>
      <ns0:c r="B180" s="12">
        <ns0:f>A180*('前提と出典'!$C$36+'前提と出典'!$C$38)</ns0:f>
        <ns0:v>123.19999999999999</ns0:v>
      </ns0:c>
      <ns0:c r="C180" s="12">
        <ns0:f>A180*('前提と出典'!$C$37+'前提と出典'!$C$38)</ns0:f>
        <ns0:v>105.6</ns0:v>
      </ns0:c>
      <ns0:c r="D180" s="16">
        <ns0:f>A180*('前提と出典'!$C$36*'契約別単価'!C5+'前提と出典'!$C$37*'契約別単価'!C6+'前提と出典'!$C$38*'契約別単価'!C7)</ns0:f>
        <ns0:v>1266.4134078212292</ns0:v>
      </ns0:c>
      <ns0:c r="E180" s="16">
        <ns0:f>A180*('前提と出典'!$C$36*'契約別単価'!E5+'前提と出典'!$C$37*'契約別単価'!E6+'前提と出典'!$C$38*'契約別単価'!E7)</ns0:f>
        <ns0:v>340550.2595848964</ns0:v>
      </ns0:c>
      <ns0:c r="F180" s="16">
        <ns0:f>A180*('前提と出典'!$C$36*'契約別単価'!F5+'前提と出典'!$C$37*'契約別単価'!F6+'前提と出典'!$C$38*'契約別単価'!F7)</ns0:f>
        <ns0:v>133653.60442790497</ns0:v>
      </ns0:c>
      <ns0:c r="G180" s="16">
        <ns0:f>A180*('前提と出典'!$C$36*'契約別単価'!G5+'前提と出典'!$C$37*'契約別単価'!G6+'前提と出典'!$C$38*'契約別単価'!G7)</ns0:f>
        <ns0:v>350328.49162011174</ns0:v>
      </ns0:c>
      <ns0:c r="H180" s="16">
        <ns0:f>A180*('前提と出典'!$C$36*'契約別単価'!H5+'前提と出典'!$C$37*'契約別単価'!H6+'前提と出典'!$C$38*'契約別単価'!H7)</ns0:f>
        <ns0:v>121581.55694674488</ns0:v>
      </ns0:c>
      <ns0:c r="I180" s="16">
        <ns0:f>A180*('前提と出典'!$C$36*'契約別単価'!I5+'前提と出典'!$C$37*'契約別単価'!I6+'前提と出典'!$C$38*'契約別単価'!I7)</ns0:f>
        <ns0:v>7426.413407821228</ns0:v>
      </ns0:c>
      <ns0:c r="J180" s="16">
        <ns0:f>A180*('前提と出典'!$C$36*'契約別単価'!J5+'前提と出典'!$C$37*'契約別単価'!J6+'前提と出典'!$C$38*'契約別単価'!J7)</ns0:f>
        <ns0:v>17298.95969301325</ns0:v>
      </ns0:c>
      <ns0:c r="K180" s="16">
        <ns0:f>A180*('前提と出典'!$C$36*'契約別単価'!K5+'前提と出典'!$C$37*'契約別単価'!K6+'前提と出典'!$C$38*'契約別単価'!K7)</ns0:f>
        <ns0:v>74149.42271880819</ns0:v>
      </ns0:c>
      <ns0:c r="L180" s="16">
        <ns0:f>A180*('前提と出典'!$C$36*'契約別単価'!L5+'前提と出典'!$C$37*'契約別単価'!L6+'前提と出典'!$C$38*'契約別単価'!L7)</ns0:f>
        <ns0:v>60372.7185648915</ns0:v>
      </ns0:c>
      <ns0:c r="M180" s="16">
        <ns0:f>IF(('前提と出典'!$C$36+'前提と出典'!$C$38)=0,0,IF(B180&lt;=10,'前提と出典'!B73+'前提と出典'!C73,IF(B180&lt;=100,'前提と出典'!B74+'前提と出典'!C74,IF(B180&lt;=500,'前提と出典'!B75+'前提と出典'!C75,'前提と出典'!B76+'前提と出典'!C76))))</ns0:f>
        <ns0:v>40000</ns0:v>
      </ns0:c>
      <ns0:c r="N180" s="16">
        <ns0:f>IF(('前提と出典'!$C$37+'前提と出典'!$C$38)=0,0,IF(C180&lt;=10,'前提と出典'!D73+'前提と出典'!E73,IF(C180&lt;=100,'前提と出典'!D74+'前提と出典'!E74,IF(C180&lt;=500,'前提と出典'!D75+'前提と出典'!E75,'前提と出典'!D76+'前提と出典'!E76))))</ns0:f>
        <ns0:v>56510.9346263078</ns0:v>
      </ns0:c>
      <ns0:c r="O180" s="16">
        <ns0:f>IF('前提と出典'!$C$36+'前提と出典'!$C$38=0,0,'前提と出典'!$B$4*IF('前提と出典'!$B$20=0,MAX('前提と出典'!$B$6,D180*'前提と出典'!$B$5),'前提と出典'!$B$6+D180*'前提と出典'!$B$5))</ns0:f>
        <ns0:v>174765.05027932965</ns0:v>
      </ns0:c>
      <ns0:c r="P180" s="16">
        <ns0:f>(E180+G180)*(1-'前提と出典'!$B$7)-I180-K180-M180-O180</ns0:f>
        <ns0:v>369666.2297556687</ns0:v>
      </ns0:c>
      <ns0:c r="Q180" s="16">
        <ns0:f>(F180+H180)*(1-'前提と出典'!$B$7)-J180-L180-N180</ns0:f>
        <ns0:v>111864.08268094994</ns0:v>
      </ns0:c>
      <ns0:c r="R180" s="16">
        <ns0:f>P180-E180*'前提と出典'!$E$4</ns0:f>
        <ns0:v>267501.1518801999</ns0:v>
      </ns0:c>
      <ns0:c r="S180" s="16">
        <ns0:f>Q180-F180*'前提と出典'!$E$4</ns0:f>
        <ns0:v>71768.00135257843</ns0:v>
      </ns0:c>
      <ns0:c r="T180" s="7">
        <ns0:f>R180+S180</ns0:f>
        <ns0:v>339269.1532327783</ns0:v>
      </ns0:c>
      <ns0:c r="U180" s="16">
        <ns0:f>P180-E180*'前提と出典'!$E$5</ns0:f>
        <ns0:v>233446.12592171016</ns0:v>
      </ns0:c>
      <ns0:c r="V180" s="16">
        <ns0:f>Q180-F180*'前提と出典'!$E$5</ns0:f>
        <ns0:v>58402.640909787944</ns0:v>
      </ns0:c>
      <ns0:c r="W180" s="7">
        <ns0:f>U180+V180</ns0:f>
        <ns0:v>291848.7668314981</ns0:v>
      </ns0:c>
      <ns0:c r="X180" s="16">
        <ns0:f>P180-E180*'前提と出典'!$E$6</ns0:f>
        <ns0:v>199391.0999632206</ns0:v>
      </ns0:c>
      <ns0:c r="Y180" s="16">
        <ns0:f>Q180-F180*'前提と出典'!$E$6</ns0:f>
        <ns0:v>45037.28046699745</ns0:v>
      </ns0:c>
      <ns0:c r="Z180" s="7">
        <ns0:f>X180+Y180</ns0:f>
        <ns0:v>244428.38043021804</ns0:v>
      </ns0:c>
      <ns0:c r="AA180" s="7">
        <ns0:f>IF(T180&gt;=0,A180,1001)</ns0:f>
        <ns0:v>176</ns0:v>
      </ns0:c>
      <ns0:c r="AB180" s="7">
        <ns0:f>IF(T180&lt;0,A180,0)</ns0:f>
        <ns0:v>0</ns0:v>
      </ns0:c>
      <ns0:c r="AC180" s="16">
        <ns0:f>IF(AND(OR('前提と出典'!$C$36+'前提と出典'!$C$38=0,R180&gt;=0),OR('前提と出典'!$C$37+'前提と出典'!$C$38=0,S180&gt;=0)),0,A180)</ns0:f>
        <ns0:v>0</ns0:v>
      </ns0:c>
      <ns0:c r="AD180" s="7">
        <ns0:f>IF(W180&gt;=0,A180,1001)</ns0:f>
        <ns0:v>176</ns0:v>
      </ns0:c>
      <ns0:c r="AE180" s="7">
        <ns0:f>IF(W180&lt;0,A180,0)</ns0:f>
        <ns0:v>0</ns0:v>
      </ns0:c>
      <ns0:c r="AF180" s="16">
        <ns0:f>IF(AND(OR('前提と出典'!$C$36+'前提と出典'!$C$38=0,U180&gt;=0),OR('前提と出典'!$C$37+'前提と出典'!$C$38=0,V180&gt;=0)),0,A180)</ns0:f>
        <ns0:v>0</ns0:v>
      </ns0:c>
      <ns0:c r="AG180" s="7">
        <ns0:f>IF(Z180&gt;=0,A180,1001)</ns0:f>
        <ns0:v>176</ns0:v>
      </ns0:c>
      <ns0:c r="AH180" s="4">
        <ns0:f>IF(Z180&lt;0,A180,0)</ns0:f>
        <ns0:v>0</ns0:v>
      </ns0:c>
      <ns0:c r="AI180" s="12">
        <ns0:f>IF(AND(OR('前提と出典'!$C$36+'前提と出典'!$C$38=0,X180&gt;=0),OR('前提と出典'!$C$37+'前提と出典'!$C$38=0,Y180&gt;=0)),0,A180)</ns0:f>
        <ns0:v>0</ns0:v>
      </ns0:c>
    </ns0:row>
    <ns0:row r="181" ht="24" customHeight="1">
      <ns0:c r="A181" s="4" t="n">
        <ns0:v>177</ns0:v>
      </ns0:c>
      <ns0:c r="B181" s="12">
        <ns0:f>A181*('前提と出典'!$C$36+'前提と出典'!$C$38)</ns0:f>
        <ns0:v>123.89999999999999</ns0:v>
      </ns0:c>
      <ns0:c r="C181" s="12">
        <ns0:f>A181*('前提と出典'!$C$37+'前提と出典'!$C$38)</ns0:f>
        <ns0:v>106.2</ns0:v>
      </ns0:c>
      <ns0:c r="D181" s="16">
        <ns0:f>A181*('前提と出典'!$C$36*'契約別単価'!C5+'前提と出典'!$C$37*'契約別単価'!C6+'前提と出典'!$C$38*'契約別単価'!C7)</ns0:f>
        <ns0:v>1273.608938547486</ns0:v>
      </ns0:c>
      <ns0:c r="E181" s="16">
        <ns0:f>A181*('前提と出典'!$C$36*'契約別単価'!E5+'前提と出典'!$C$37*'契約別単価'!E6+'前提と出典'!$C$38*'契約別単価'!E7)</ns0:f>
        <ns0:v>342485.20424162876</ns0:v>
      </ns0:c>
      <ns0:c r="F181" s="16">
        <ns0:f>A181*('前提と出典'!$C$36*'契約別単価'!F5+'前提と出典'!$C$37*'契約別単価'!F6+'前提と出典'!$C$38*'契約別単価'!F7)</ns0:f>
        <ns0:v>134412.999907609</ns0:v>
      </ns0:c>
      <ns0:c r="G181" s="16">
        <ns0:f>A181*('前提と出典'!$C$36*'契約別単価'!G5+'前提と出典'!$C$37*'契約別単価'!G6+'前提と出典'!$C$38*'契約別単価'!G7)</ns0:f>
        <ns0:v>352318.9944134078</ns0:v>
      </ns0:c>
      <ns0:c r="H181" s="16">
        <ns0:f>A181*('前提と出典'!$C$36*'契約別単価'!H5+'前提と出典'!$C$37*'契約別単価'!H6+'前提と出典'!$C$38*'契約別単価'!H7)</ns0:f>
        <ns0:v>122272.36124757865</ns0:v>
      </ns0:c>
      <ns0:c r="I181" s="16">
        <ns0:f>A181*('前提と出典'!$C$36*'契約別単価'!I5+'前提と出典'!$C$37*'契約別単価'!I6+'前提と出典'!$C$38*'契約別単価'!I7)</ns0:f>
        <ns0:v>7468.608938547485</ns0:v>
      </ns0:c>
      <ns0:c r="J181" s="16">
        <ns0:f>A181*('前提と出典'!$C$36*'契約別単価'!J5+'前提と出典'!$C$37*'契約別単価'!J6+'前提と出典'!$C$38*'契約別単価'!J7)</ns0:f>
        <ns0:v>17397.249236723554</ns0:v>
      </ns0:c>
      <ns0:c r="K181" s="16">
        <ns0:f>A181*('前提と出典'!$C$36*'契約別単価'!K5+'前提と出典'!$C$37*'契約別単価'!K6+'前提と出典'!$C$38*'契約別単価'!K7)</ns0:f>
        <ns0:v>74570.72625698324</ns0:v>
      </ns0:c>
      <ns0:c r="L181" s="16">
        <ns0:f>A181*('前提と出典'!$C$36*'契約別単価'!L5+'前提と出典'!$C$37*'契約別単価'!L6+'前提と出典'!$C$38*'契約別単価'!L7)</ns0:f>
        <ns0:v>60715.74537491929</ns0:v>
      </ns0:c>
      <ns0:c r="M181" s="16">
        <ns0:f>IF(('前提と出典'!$C$36+'前提と出典'!$C$38)=0,0,IF(B181&lt;=10,'前提と出典'!B73+'前提と出典'!C73,IF(B181&lt;=100,'前提と出典'!B74+'前提と出典'!C74,IF(B181&lt;=500,'前提と出典'!B75+'前提と出典'!C75,'前提と出典'!B76+'前提と出典'!C76))))</ns0:f>
        <ns0:v>40000</ns0:v>
      </ns0:c>
      <ns0:c r="N181" s="16">
        <ns0:f>IF(('前提と出典'!$C$37+'前提と出典'!$C$38)=0,0,IF(C181&lt;=10,'前提と出典'!D73+'前提と出典'!E73,IF(C181&lt;=100,'前提と出典'!D74+'前提と出典'!E74,IF(C181&lt;=500,'前提と出典'!D75+'前提と出典'!E75,'前提と出典'!D76+'前提と出典'!E76))))</ns0:f>
        <ns0:v>56510.9346263078</ns0:v>
      </ns0:c>
      <ns0:c r="O181" s="16">
        <ns0:f>IF('前提と出典'!$C$36+'前提と出典'!$C$38=0,0,'前提と出典'!$B$4*IF('前提と出典'!$B$20=0,MAX('前提と出典'!$B$6,D181*'前提と出典'!$B$5),'前提と出典'!$B$6+D181*'前提と出典'!$B$5))</ns0:f>
        <ns0:v>175758.03351955308</ns0:v>
      </ns0:c>
      <ns0:c r="P181" s="16">
        <ns0:f>(E181+G181)*(1-'前提と出典'!$B$7)-I181-K181-M181-O181</ns0:f>
        <ns0:v>371993.87878837134</ns0:v>
      </ns0:c>
      <ns0:c r="Q181" s="16">
        <ns0:f>(F181+H181)*(1-'前提と出典'!$B$7)-J181-L181-N181</ns0:f>
        <ns0:v>112820.75891565027</ns0:v>
      </ns0:c>
      <ns0:c r="R181" s="16">
        <ns0:f>P181-E181*'前提と出典'!$E$4</ns0:f>
        <ns0:v>269248.3175158827</ns0:v>
      </ns0:c>
      <ns0:c r="S181" s="16">
        <ns0:f>Q181-F181*'前提と出典'!$E$4</ns0:f>
        <ns0:v>72496.85894336755</ns0:v>
      </ns0:c>
      <ns0:c r="T181" s="7">
        <ns0:f>R181+S181</ns0:f>
        <ns0:v>341745.1764592503</ns0:v>
      </ns0:c>
      <ns0:c r="U181" s="16">
        <ns0:f>P181-E181*'前提と出典'!$E$5</ns0:f>
        <ns0:v>234999.79709171987</ns0:v>
      </ns0:c>
      <ns0:c r="V181" s="16">
        <ns0:f>Q181-F181*'前提と出典'!$E$5</ns0:f>
        <ns0:v>59055.55895260667</ns0:v>
      </ns0:c>
      <ns0:c r="W181" s="7">
        <ns0:f>U181+V181</ns0:f>
        <ns0:v>294055.35604432656</ns0:v>
      </ns0:c>
      <ns0:c r="X181" s="16">
        <ns0:f>P181-E181*'前提と出典'!$E$6</ns0:f>
        <ns0:v>200751.27666755702</ns0:v>
      </ns0:c>
      <ns0:c r="Y181" s="16">
        <ns0:f>Q181-F181*'前提と出典'!$E$6</ns0:f>
        <ns0:v>45614.25896184578</ns0:v>
      </ns0:c>
      <ns0:c r="Z181" s="7">
        <ns0:f>X181+Y181</ns0:f>
        <ns0:v>246365.5356294028</ns0:v>
      </ns0:c>
      <ns0:c r="AA181" s="7">
        <ns0:f>IF(T181&gt;=0,A181,1001)</ns0:f>
        <ns0:v>177</ns0:v>
      </ns0:c>
      <ns0:c r="AB181" s="7">
        <ns0:f>IF(T181&lt;0,A181,0)</ns0:f>
        <ns0:v>0</ns0:v>
      </ns0:c>
      <ns0:c r="AC181" s="16">
        <ns0:f>IF(AND(OR('前提と出典'!$C$36+'前提と出典'!$C$38=0,R181&gt;=0),OR('前提と出典'!$C$37+'前提と出典'!$C$38=0,S181&gt;=0)),0,A181)</ns0:f>
        <ns0:v>0</ns0:v>
      </ns0:c>
      <ns0:c r="AD181" s="7">
        <ns0:f>IF(W181&gt;=0,A181,1001)</ns0:f>
        <ns0:v>177</ns0:v>
      </ns0:c>
      <ns0:c r="AE181" s="7">
        <ns0:f>IF(W181&lt;0,A181,0)</ns0:f>
        <ns0:v>0</ns0:v>
      </ns0:c>
      <ns0:c r="AF181" s="16">
        <ns0:f>IF(AND(OR('前提と出典'!$C$36+'前提と出典'!$C$38=0,U181&gt;=0),OR('前提と出典'!$C$37+'前提と出典'!$C$38=0,V181&gt;=0)),0,A181)</ns0:f>
        <ns0:v>0</ns0:v>
      </ns0:c>
      <ns0:c r="AG181" s="7">
        <ns0:f>IF(Z181&gt;=0,A181,1001)</ns0:f>
        <ns0:v>177</ns0:v>
      </ns0:c>
      <ns0:c r="AH181" s="4">
        <ns0:f>IF(Z181&lt;0,A181,0)</ns0:f>
        <ns0:v>0</ns0:v>
      </ns0:c>
      <ns0:c r="AI181" s="12">
        <ns0:f>IF(AND(OR('前提と出典'!$C$36+'前提と出典'!$C$38=0,X181&gt;=0),OR('前提と出典'!$C$37+'前提と出典'!$C$38=0,Y181&gt;=0)),0,A181)</ns0:f>
        <ns0:v>0</ns0:v>
      </ns0:c>
    </ns0:row>
    <ns0:row r="182" ht="24" customHeight="1">
      <ns0:c r="A182" s="4" t="n">
        <ns0:v>178</ns0:v>
      </ns0:c>
      <ns0:c r="B182" s="12">
        <ns0:f>A182*('前提と出典'!$C$36+'前提と出典'!$C$38)</ns0:f>
        <ns0:v>124.6</ns0:v>
      </ns0:c>
      <ns0:c r="C182" s="12">
        <ns0:f>A182*('前提と出典'!$C$37+'前提と出典'!$C$38)</ns0:f>
        <ns0:v>106.8</ns0:v>
      </ns0:c>
      <ns0:c r="D182" s="16">
        <ns0:f>A182*('前提と出典'!$C$36*'契約別単価'!C5+'前提と出典'!$C$37*'契約別単価'!C6+'前提と出典'!$C$38*'契約別単価'!C7)</ns0:f>
        <ns0:v>1280.804469273743</ns0:v>
      </ns0:c>
      <ns0:c r="E182" s="16">
        <ns0:f>A182*('前提と出典'!$C$36*'契約別単価'!E5+'前提と出典'!$C$37*'契約別単価'!E6+'前提と出典'!$C$38*'契約別単価'!E7)</ns0:f>
        <ns0:v>344420.14889836113</ns0:v>
      </ns0:c>
      <ns0:c r="F182" s="16">
        <ns0:f>A182*('前提と出典'!$C$36*'契約別単価'!F5+'前提と出典'!$C$37*'契約別単価'!F6+'前提と出典'!$C$38*'契約別単価'!F7)</ns0:f>
        <ns0:v>135172.39538731298</ns0:v>
      </ns0:c>
      <ns0:c r="G182" s="16">
        <ns0:f>A182*('前提と出典'!$C$36*'契約別単価'!G5+'前提と出典'!$C$37*'契約別単価'!G6+'前提と出典'!$C$38*'契約別単価'!G7)</ns0:f>
        <ns0:v>354309.4972067039</ns0:v>
      </ns0:c>
      <ns0:c r="H182" s="16">
        <ns0:f>A182*('前提と出典'!$C$36*'契約別単価'!H5+'前提と出典'!$C$37*'契約別単価'!H6+'前提と出典'!$C$38*'契約別単価'!H7)</ns0:f>
        <ns0:v>122963.16554841243</ns0:v>
      </ns0:c>
      <ns0:c r="I182" s="16">
        <ns0:f>A182*('前提と出典'!$C$36*'契約別単価'!I5+'前提と出典'!$C$37*'契約別単価'!I6+'前提と出典'!$C$38*'契約別単価'!I7)</ns0:f>
        <ns0:v>7510.804469273742</ns0:v>
      </ns0:c>
      <ns0:c r="J182" s="16">
        <ns0:f>A182*('前提と出典'!$C$36*'契約別単価'!J5+'前提と出典'!$C$37*'契約別単価'!J6+'前提と出典'!$C$38*'契約別単価'!J7)</ns0:f>
        <ns0:v>17495.538780433857</ns0:v>
      </ns0:c>
      <ns0:c r="K182" s="16">
        <ns0:f>A182*('前提と出典'!$C$36*'契約別単価'!K5+'前提と出典'!$C$37*'契約別単価'!K6+'前提と出典'!$C$38*'契約別単価'!K7)</ns0:f>
        <ns0:v>74992.02979515828</ns0:v>
      </ns0:c>
      <ns0:c r="L182" s="16">
        <ns0:f>A182*('前提と出典'!$C$36*'契約別単価'!L5+'前提と出典'!$C$37*'契約別単価'!L6+'前提と出典'!$C$38*'契約別単価'!L7)</ns0:f>
        <ns0:v>61058.772184947076</ns0:v>
      </ns0:c>
      <ns0:c r="M182" s="16">
        <ns0:f>IF(('前提と出典'!$C$36+'前提と出典'!$C$38)=0,0,IF(B182&lt;=10,'前提と出典'!B73+'前提と出典'!C73,IF(B182&lt;=100,'前提と出典'!B74+'前提と出典'!C74,IF(B182&lt;=500,'前提と出典'!B75+'前提と出典'!C75,'前提と出典'!B76+'前提と出典'!C76))))</ns0:f>
        <ns0:v>40000</ns0:v>
      </ns0:c>
      <ns0:c r="N182" s="16">
        <ns0:f>IF(('前提と出典'!$C$37+'前提と出典'!$C$38)=0,0,IF(C182&lt;=10,'前提と出典'!D73+'前提と出典'!E73,IF(C182&lt;=100,'前提と出典'!D74+'前提と出典'!E74,IF(C182&lt;=500,'前提と出典'!D75+'前提と出典'!E75,'前提と出典'!D76+'前提と出典'!E76))))</ns0:f>
        <ns0:v>56510.9346263078</ns0:v>
      </ns0:c>
      <ns0:c r="O182" s="16">
        <ns0:f>IF('前提と出典'!$C$36+'前提と出典'!$C$38=0,0,'前提と出典'!$B$4*IF('前提と出典'!$B$20=0,MAX('前提と出典'!$B$6,D182*'前提と出典'!$B$5),'前提と出典'!$B$6+D182*'前提と出典'!$B$5))</ns0:f>
        <ns0:v>176751.01675977657</ns0:v>
      </ns0:c>
      <ns0:c r="P182" s="16">
        <ns0:f>(E182+G182)*(1-'前提と出典'!$B$7)-I182-K182-M182-O182</ns0:f>
        <ns0:v>374321.5278210741</ns0:v>
      </ns0:c>
      <ns0:c r="Q182" s="16">
        <ns0:f>(F182+H182)*(1-'前提と出典'!$B$7)-J182-L182-N182</ns0:f>
        <ns0:v>113777.43515035056</ns0:v>
      </ns0:c>
      <ns0:c r="R182" s="16">
        <ns0:f>P182-E182*'前提と出典'!$E$4</ns0:f>
        <ns0:v>270995.4831515657</ns0:v>
      </ns0:c>
      <ns0:c r="S182" s="16">
        <ns0:f>Q182-F182*'前提と出典'!$E$4</ns0:f>
        <ns0:v>73225.71653415667</ns0:v>
      </ns0:c>
      <ns0:c r="T182" s="7">
        <ns0:f>R182+S182</ns0:f>
        <ns0:v>344221.19968572236</ns0:v>
      </ns0:c>
      <ns0:c r="U182" s="16">
        <ns0:f>P182-E182*'前提と出典'!$E$5</ns0:f>
        <ns0:v>236553.46826172963</ns0:v>
      </ns0:c>
      <ns0:c r="V182" s="16">
        <ns0:f>Q182-F182*'前提と出典'!$E$5</ns0:f>
        <ns0:v>59708.476995425364</ns0:v>
      </ns0:c>
      <ns0:c r="W182" s="7">
        <ns0:f>U182+V182</ns0:f>
        <ns0:v>296261.945257155</ns0:v>
      </ns0:c>
      <ns0:c r="X182" s="16">
        <ns0:f>P182-E182*'前提と出典'!$E$6</ns0:f>
        <ns0:v>202111.45337189344</ns0:v>
      </ns0:c>
      <ns0:c r="Y182" s="16">
        <ns0:f>Q182-F182*'前提と出典'!$E$6</ns0:f>
        <ns0:v>46191.23745669408</ns0:v>
      </ns0:c>
      <ns0:c r="Z182" s="7">
        <ns0:f>X182+Y182</ns0:f>
        <ns0:v>248302.6908285875</ns0:v>
      </ns0:c>
      <ns0:c r="AA182" s="7">
        <ns0:f>IF(T182&gt;=0,A182,1001)</ns0:f>
        <ns0:v>178</ns0:v>
      </ns0:c>
      <ns0:c r="AB182" s="7">
        <ns0:f>IF(T182&lt;0,A182,0)</ns0:f>
        <ns0:v>0</ns0:v>
      </ns0:c>
      <ns0:c r="AC182" s="16">
        <ns0:f>IF(AND(OR('前提と出典'!$C$36+'前提と出典'!$C$38=0,R182&gt;=0),OR('前提と出典'!$C$37+'前提と出典'!$C$38=0,S182&gt;=0)),0,A182)</ns0:f>
        <ns0:v>0</ns0:v>
      </ns0:c>
      <ns0:c r="AD182" s="7">
        <ns0:f>IF(W182&gt;=0,A182,1001)</ns0:f>
        <ns0:v>178</ns0:v>
      </ns0:c>
      <ns0:c r="AE182" s="7">
        <ns0:f>IF(W182&lt;0,A182,0)</ns0:f>
        <ns0:v>0</ns0:v>
      </ns0:c>
      <ns0:c r="AF182" s="16">
        <ns0:f>IF(AND(OR('前提と出典'!$C$36+'前提と出典'!$C$38=0,U182&gt;=0),OR('前提と出典'!$C$37+'前提と出典'!$C$38=0,V182&gt;=0)),0,A182)</ns0:f>
        <ns0:v>0</ns0:v>
      </ns0:c>
      <ns0:c r="AG182" s="7">
        <ns0:f>IF(Z182&gt;=0,A182,1001)</ns0:f>
        <ns0:v>178</ns0:v>
      </ns0:c>
      <ns0:c r="AH182" s="4">
        <ns0:f>IF(Z182&lt;0,A182,0)</ns0:f>
        <ns0:v>0</ns0:v>
      </ns0:c>
      <ns0:c r="AI182" s="12">
        <ns0:f>IF(AND(OR('前提と出典'!$C$36+'前提と出典'!$C$38=0,X182&gt;=0),OR('前提と出典'!$C$37+'前提と出典'!$C$38=0,Y182&gt;=0)),0,A182)</ns0:f>
        <ns0:v>0</ns0:v>
      </ns0:c>
    </ns0:row>
    <ns0:row r="183" ht="24" customHeight="1">
      <ns0:c r="A183" s="4" t="n">
        <ns0:v>179</ns0:v>
      </ns0:c>
      <ns0:c r="B183" s="12">
        <ns0:f>A183*('前提と出典'!$C$36+'前提と出典'!$C$38)</ns0:f>
        <ns0:v>125.3</ns0:v>
      </ns0:c>
      <ns0:c r="C183" s="12">
        <ns0:f>A183*('前提と出典'!$C$37+'前提と出典'!$C$38)</ns0:f>
        <ns0:v>107.39999999999999</ns0:v>
      </ns0:c>
      <ns0:c r="D183" s="16">
        <ns0:f>A183*('前提と出典'!$C$36*'契約別単価'!C5+'前提と出典'!$C$37*'契約別単価'!C6+'前提と出典'!$C$38*'契約別単価'!C7)</ns0:f>
        <ns0:v>1288</ns0:v>
      </ns0:c>
      <ns0:c r="E183" s="16">
        <ns0:f>A183*('前提と出典'!$C$36*'契約別単価'!E5+'前提と出典'!$C$37*'契約別単価'!E6+'前提と出典'!$C$38*'契約別単価'!E7)</ns0:f>
        <ns0:v>346355.0935550935</ns0:v>
      </ns0:c>
      <ns0:c r="F183" s="16">
        <ns0:f>A183*('前提と出典'!$C$36*'契約別単価'!F5+'前提と出典'!$C$37*'契約別単価'!F6+'前提と出典'!$C$38*'契約別単価'!F7)</ns0:f>
        <ns0:v>135931.790867017</ns0:v>
      </ns0:c>
      <ns0:c r="G183" s="16">
        <ns0:f>A183*('前提と出典'!$C$36*'契約別単価'!G5+'前提と出典'!$C$37*'契約別単価'!G6+'前提と出典'!$C$38*'契約別単価'!G7)</ns0:f>
        <ns0:v>356300</ns0:v>
      </ns0:c>
      <ns0:c r="H183" s="16">
        <ns0:f>A183*('前提と出典'!$C$36*'契約別単価'!H5+'前提と出典'!$C$37*'契約別単価'!H6+'前提と出典'!$C$38*'契約別単価'!H7)</ns0:f>
        <ns0:v>123653.9698492462</ns0:v>
      </ns0:c>
      <ns0:c r="I183" s="16">
        <ns0:f>A183*('前提と出典'!$C$36*'契約別単価'!I5+'前提と出典'!$C$37*'契約別単価'!I6+'前提と出典'!$C$38*'契約別単価'!I7)</ns0:f>
        <ns0:v>7552.999999999999</ns0:v>
      </ns0:c>
      <ns0:c r="J183" s="16">
        <ns0:f>A183*('前提と出典'!$C$36*'契約別単価'!J5+'前提と出典'!$C$37*'契約別単価'!J6+'前提と出典'!$C$38*'契約別単価'!J7)</ns0:f>
        <ns0:v>17593.82832414416</ns0:v>
      </ns0:c>
      <ns0:c r="K183" s="16">
        <ns0:f>A183*('前提と出典'!$C$36*'契約別単価'!K5+'前提と出典'!$C$37*'契約別単価'!K6+'前提と出典'!$C$38*'契約別単価'!K7)</ns0:f>
        <ns0:v>75413.33333333333</ns0:v>
      </ns0:c>
      <ns0:c r="L183" s="16">
        <ns0:f>A183*('前提と出典'!$C$36*'契約別単価'!L5+'前提と出典'!$C$37*'契約別単価'!L6+'前提と出典'!$C$38*'契約別単価'!L7)</ns0:f>
        <ns0:v>61401.79899497487</ns0:v>
      </ns0:c>
      <ns0:c r="M183" s="16">
        <ns0:f>IF(('前提と出典'!$C$36+'前提と出典'!$C$38)=0,0,IF(B183&lt;=10,'前提と出典'!B73+'前提と出典'!C73,IF(B183&lt;=100,'前提と出典'!B74+'前提と出典'!C74,IF(B183&lt;=500,'前提と出典'!B75+'前提と出典'!C75,'前提と出典'!B76+'前提と出典'!C76))))</ns0:f>
        <ns0:v>40000</ns0:v>
      </ns0:c>
      <ns0:c r="N183" s="16">
        <ns0:f>IF(('前提と出典'!$C$37+'前提と出典'!$C$38)=0,0,IF(C183&lt;=10,'前提と出典'!D73+'前提と出典'!E73,IF(C183&lt;=100,'前提と出典'!D74+'前提と出典'!E74,IF(C183&lt;=500,'前提と出典'!D75+'前提と出典'!E75,'前提と出典'!D76+'前提と出典'!E76))))</ns0:f>
        <ns0:v>56510.9346263078</ns0:v>
      </ns0:c>
      <ns0:c r="O183" s="16">
        <ns0:f>IF('前提と出典'!$C$36+'前提と出典'!$C$38=0,0,'前提と出典'!$B$4*IF('前提と出典'!$B$20=0,MAX('前提と出典'!$B$6,D183*'前提と出典'!$B$5),'前提と出典'!$B$6+D183*'前提と出典'!$B$5))</ns0:f>
        <ns0:v>177744</ns0:v>
      </ns0:c>
      <ns0:c r="P183" s="16">
        <ns0:f>(E183+G183)*(1-'前提と出典'!$B$7)-I183-K183-M183-O183</ns0:f>
        <ns0:v>376649.1768537768</ns0:v>
      </ns0:c>
      <ns0:c r="Q183" s="16">
        <ns0:f>(F183+H183)*(1-'前提と出典'!$B$7)-J183-L183-N183</ns0:f>
        <ns0:v>114734.11138505093</ns0:v>
      </ns0:c>
      <ns0:c r="R183" s="16">
        <ns0:f>P183-E183*'前提と出典'!$E$4</ns0:f>
        <ns0:v>272742.6487872488</ns0:v>
      </ns0:c>
      <ns0:c r="S183" s="16">
        <ns0:f>Q183-F183*'前提と出典'!$E$4</ns0:f>
        <ns0:v>73954.5741249458</ns0:v>
      </ns0:c>
      <ns0:c r="T183" s="7">
        <ns0:f>R183+S183</ns0:f>
        <ns0:v>346697.2229121946</ns0:v>
      </ns0:c>
      <ns0:c r="U183" s="16">
        <ns0:f>P183-E183*'前提と出典'!$E$5</ns0:f>
        <ns0:v>238107.1394317394</ns0:v>
      </ns0:c>
      <ns0:c r="V183" s="16">
        <ns0:f>Q183-F183*'前提と出典'!$E$5</ns0:f>
        <ns0:v>60361.39503824412</ns0:v>
      </ns0:c>
      <ns0:c r="W183" s="7">
        <ns0:f>U183+V183</ns0:f>
        <ns0:v>298468.53446998354</ns0:v>
      </ns0:c>
      <ns0:c r="X183" s="16">
        <ns0:f>P183-E183*'前提と出典'!$E$6</ns0:f>
        <ns0:v>203471.6300762301</ns0:v>
      </ns0:c>
      <ns0:c r="Y183" s="16">
        <ns0:f>Q183-F183*'前提と出典'!$E$6</ns0:f>
        <ns0:v>46768.21595154241</ns0:v>
      </ns0:c>
      <ns0:c r="Z183" s="7">
        <ns0:f>X183+Y183</ns0:f>
        <ns0:v>250239.8460277725</ns0:v>
      </ns0:c>
      <ns0:c r="AA183" s="7">
        <ns0:f>IF(T183&gt;=0,A183,1001)</ns0:f>
        <ns0:v>179</ns0:v>
      </ns0:c>
      <ns0:c r="AB183" s="7">
        <ns0:f>IF(T183&lt;0,A183,0)</ns0:f>
        <ns0:v>0</ns0:v>
      </ns0:c>
      <ns0:c r="AC183" s="16">
        <ns0:f>IF(AND(OR('前提と出典'!$C$36+'前提と出典'!$C$38=0,R183&gt;=0),OR('前提と出典'!$C$37+'前提と出典'!$C$38=0,S183&gt;=0)),0,A183)</ns0:f>
        <ns0:v>0</ns0:v>
      </ns0:c>
      <ns0:c r="AD183" s="7">
        <ns0:f>IF(W183&gt;=0,A183,1001)</ns0:f>
        <ns0:v>179</ns0:v>
      </ns0:c>
      <ns0:c r="AE183" s="7">
        <ns0:f>IF(W183&lt;0,A183,0)</ns0:f>
        <ns0:v>0</ns0:v>
      </ns0:c>
      <ns0:c r="AF183" s="16">
        <ns0:f>IF(AND(OR('前提と出典'!$C$36+'前提と出典'!$C$38=0,U183&gt;=0),OR('前提と出典'!$C$37+'前提と出典'!$C$38=0,V183&gt;=0)),0,A183)</ns0:f>
        <ns0:v>0</ns0:v>
      </ns0:c>
      <ns0:c r="AG183" s="7">
        <ns0:f>IF(Z183&gt;=0,A183,1001)</ns0:f>
        <ns0:v>179</ns0:v>
      </ns0:c>
      <ns0:c r="AH183" s="4">
        <ns0:f>IF(Z183&lt;0,A183,0)</ns0:f>
        <ns0:v>0</ns0:v>
      </ns0:c>
      <ns0:c r="AI183" s="12">
        <ns0:f>IF(AND(OR('前提と出典'!$C$36+'前提と出典'!$C$38=0,X183&gt;=0),OR('前提と出典'!$C$37+'前提と出典'!$C$38=0,Y183&gt;=0)),0,A183)</ns0:f>
        <ns0:v>0</ns0:v>
      </ns0:c>
    </ns0:row>
    <ns0:row r="184" ht="24" customHeight="1">
      <ns0:c r="A184" s="4" t="n">
        <ns0:v>180</ns0:v>
      </ns0:c>
      <ns0:c r="B184" s="12">
        <ns0:f>A184*('前提と出典'!$C$36+'前提と出典'!$C$38)</ns0:f>
        <ns0:v>125.99999999999999</ns0:v>
      </ns0:c>
      <ns0:c r="C184" s="12">
        <ns0:f>A184*('前提と出典'!$C$37+'前提と出典'!$C$38)</ns0:f>
        <ns0:v>108</ns0:v>
      </ns0:c>
      <ns0:c r="D184" s="16">
        <ns0:f>A184*('前提と出典'!$C$36*'契約別単価'!C5+'前提と出典'!$C$37*'契約別単価'!C6+'前提と出典'!$C$38*'契約別単価'!C7)</ns0:f>
        <ns0:v>1295.195530726257</ns0:v>
      </ns0:c>
      <ns0:c r="E184" s="16">
        <ns0:f>A184*('前提と出典'!$C$36*'契約別単価'!E5+'前提と出典'!$C$37*'契約別単価'!E6+'前提と出典'!$C$38*'契約別単価'!E7)</ns0:f>
        <ns0:v>348290.0382118259</ns0:v>
      </ns0:c>
      <ns0:c r="F184" s="16">
        <ns0:f>A184*('前提と出典'!$C$36*'契約別単価'!F5+'前提と出典'!$C$37*'契約別単価'!F6+'前提と出典'!$C$38*'契約別単価'!F7)</ns0:f>
        <ns0:v>136691.186346721</ns0:v>
      </ns0:c>
      <ns0:c r="G184" s="16">
        <ns0:f>A184*('前提と出典'!$C$36*'契約別単価'!G5+'前提と出典'!$C$37*'契約別単価'!G6+'前提と出典'!$C$38*'契約別単価'!G7)</ns0:f>
        <ns0:v>358290.50279329607</ns0:v>
      </ns0:c>
      <ns0:c r="H184" s="16">
        <ns0:f>A184*('前提と出典'!$C$36*'契約別単価'!H5+'前提と出典'!$C$37*'契約別単価'!H6+'前提と出典'!$C$38*'契約別単価'!H7)</ns0:f>
        <ns0:v>124344.77415007999</ns0:v>
      </ns0:c>
      <ns0:c r="I184" s="16">
        <ns0:f>A184*('前提と出典'!$C$36*'契約別単価'!I5+'前提と出典'!$C$37*'契約別単価'!I6+'前提と出典'!$C$38*'契約別単価'!I7)</ns0:f>
        <ns0:v>7595.195530726256</ns0:v>
      </ns0:c>
      <ns0:c r="J184" s="16">
        <ns0:f>A184*('前提と出典'!$C$36*'契約別単価'!J5+'前提と出典'!$C$37*'契約別単価'!J6+'前提と出典'!$C$38*'契約別単価'!J7)</ns0:f>
        <ns0:v>17692.117867854464</ns0:v>
      </ns0:c>
      <ns0:c r="K184" s="16">
        <ns0:f>A184*('前提と出典'!$C$36*'契約別単価'!K5+'前提と出典'!$C$37*'契約別単価'!K6+'前提と出典'!$C$38*'契約別単価'!K7)</ns0:f>
        <ns0:v>75834.63687150838</ns0:v>
      </ns0:c>
      <ns0:c r="L184" s="16">
        <ns0:f>A184*('前提と出典'!$C$36*'契約別単価'!L5+'前提と出典'!$C$37*'契約別単価'!L6+'前提と出典'!$C$38*'契約別単価'!L7)</ns0:f>
        <ns0:v>61744.82580500266</ns0:v>
      </ns0:c>
      <ns0:c r="M184" s="16">
        <ns0:f>IF(('前提と出典'!$C$36+'前提と出典'!$C$38)=0,0,IF(B184&lt;=10,'前提と出典'!B73+'前提と出典'!C73,IF(B184&lt;=100,'前提と出典'!B74+'前提と出典'!C74,IF(B184&lt;=500,'前提と出典'!B75+'前提と出典'!C75,'前提と出典'!B76+'前提と出典'!C76))))</ns0:f>
        <ns0:v>40000</ns0:v>
      </ns0:c>
      <ns0:c r="N184" s="16">
        <ns0:f>IF(('前提と出典'!$C$37+'前提と出典'!$C$38)=0,0,IF(C184&lt;=10,'前提と出典'!D73+'前提と出典'!E73,IF(C184&lt;=100,'前提と出典'!D74+'前提と出典'!E74,IF(C184&lt;=500,'前提と出典'!D75+'前提と出典'!E75,'前提と出典'!D76+'前提と出典'!E76))))</ns0:f>
        <ns0:v>56510.9346263078</ns0:v>
      </ns0:c>
      <ns0:c r="O184" s="16">
        <ns0:f>IF('前提と出典'!$C$36+'前提と出典'!$C$38=0,0,'前提と出典'!$B$4*IF('前提と出典'!$B$20=0,MAX('前提と出典'!$B$6,D184*'前提と出典'!$B$5),'前提と出典'!$B$6+D184*'前提と出典'!$B$5))</ns0:f>
        <ns0:v>178736.9832402235</ns0:v>
      </ns0:c>
      <ns0:c r="P184" s="16">
        <ns0:f>(E184+G184)*(1-'前提と出典'!$B$7)-I184-K184-M184-O184</ns0:f>
        <ns0:v>378976.8258864795</ns0:v>
      </ns0:c>
      <ns0:c r="Q184" s="16">
        <ns0:f>(F184+H184)*(1-'前提と出典'!$B$7)-J184-L184-N184</ns0:f>
        <ns0:v>115690.78761975124</ns0:v>
      </ns0:c>
      <ns0:c r="R184" s="16">
        <ns0:f>P184-E184*'前提と出典'!$E$4</ns0:f>
        <ns0:v>274489.8144229317</ns0:v>
      </ns0:c>
      <ns0:c r="S184" s="16">
        <ns0:f>Q184-F184*'前提と出典'!$E$4</ns0:f>
        <ns0:v>74683.43171573494</ns0:v>
      </ns0:c>
      <ns0:c r="T184" s="7">
        <ns0:f>R184+S184</ns0:f>
        <ns0:v>349173.24613866664</ns0:v>
      </ns0:c>
      <ns0:c r="U184" s="16">
        <ns0:f>P184-E184*'前提と出典'!$E$5</ns0:f>
        <ns0:v>239660.81060174917</ns0:v>
      </ns0:c>
      <ns0:c r="V184" s="16">
        <ns0:f>Q184-F184*'前提と出典'!$E$5</ns0:f>
        <ns0:v>61014.31308106283</ns0:v>
      </ns0:c>
      <ns0:c r="W184" s="7">
        <ns0:f>U184+V184</ns0:f>
        <ns0:v>300675.123682812</ns0:v>
      </ns0:c>
      <ns0:c r="X184" s="16">
        <ns0:f>P184-E184*'前提と出典'!$E$6</ns0:f>
        <ns0:v>204831.80678056658</ns0:v>
      </ns0:c>
      <ns0:c r="Y184" s="16">
        <ns0:f>Q184-F184*'前提と出典'!$E$6</ns0:f>
        <ns0:v>47345.19444639075</ns0:v>
      </ns0:c>
      <ns0:c r="Z184" s="7">
        <ns0:f>X184+Y184</ns0:f>
        <ns0:v>252177.00122695733</ns0:v>
      </ns0:c>
      <ns0:c r="AA184" s="7">
        <ns0:f>IF(T184&gt;=0,A184,1001)</ns0:f>
        <ns0:v>180</ns0:v>
      </ns0:c>
      <ns0:c r="AB184" s="7">
        <ns0:f>IF(T184&lt;0,A184,0)</ns0:f>
        <ns0:v>0</ns0:v>
      </ns0:c>
      <ns0:c r="AC184" s="16">
        <ns0:f>IF(AND(OR('前提と出典'!$C$36+'前提と出典'!$C$38=0,R184&gt;=0),OR('前提と出典'!$C$37+'前提と出典'!$C$38=0,S184&gt;=0)),0,A184)</ns0:f>
        <ns0:v>0</ns0:v>
      </ns0:c>
      <ns0:c r="AD184" s="7">
        <ns0:f>IF(W184&gt;=0,A184,1001)</ns0:f>
        <ns0:v>180</ns0:v>
      </ns0:c>
      <ns0:c r="AE184" s="7">
        <ns0:f>IF(W184&lt;0,A184,0)</ns0:f>
        <ns0:v>0</ns0:v>
      </ns0:c>
      <ns0:c r="AF184" s="16">
        <ns0:f>IF(AND(OR('前提と出典'!$C$36+'前提と出典'!$C$38=0,U184&gt;=0),OR('前提と出典'!$C$37+'前提と出典'!$C$38=0,V184&gt;=0)),0,A184)</ns0:f>
        <ns0:v>0</ns0:v>
      </ns0:c>
      <ns0:c r="AG184" s="7">
        <ns0:f>IF(Z184&gt;=0,A184,1001)</ns0:f>
        <ns0:v>180</ns0:v>
      </ns0:c>
      <ns0:c r="AH184" s="4">
        <ns0:f>IF(Z184&lt;0,A184,0)</ns0:f>
        <ns0:v>0</ns0:v>
      </ns0:c>
      <ns0:c r="AI184" s="12">
        <ns0:f>IF(AND(OR('前提と出典'!$C$36+'前提と出典'!$C$38=0,X184&gt;=0),OR('前提と出典'!$C$37+'前提と出典'!$C$38=0,Y184&gt;=0)),0,A184)</ns0:f>
        <ns0:v>0</ns0:v>
      </ns0:c>
    </ns0:row>
    <ns0:row r="185" ht="24" customHeight="1">
      <ns0:c r="A185" s="4" t="n">
        <ns0:v>181</ns0:v>
      </ns0:c>
      <ns0:c r="B185" s="12">
        <ns0:f>A185*('前提と出典'!$C$36+'前提と出典'!$C$38)</ns0:f>
        <ns0:v>126.69999999999999</ns0:v>
      </ns0:c>
      <ns0:c r="C185" s="12">
        <ns0:f>A185*('前提と出典'!$C$37+'前提と出典'!$C$38)</ns0:f>
        <ns0:v>108.6</ns0:v>
      </ns0:c>
      <ns0:c r="D185" s="16">
        <ns0:f>A185*('前提と出典'!$C$36*'契約別単価'!C5+'前提と出典'!$C$37*'契約別単価'!C6+'前提と出典'!$C$38*'契約別単価'!C7)</ns0:f>
        <ns0:v>1302.391061452514</ns0:v>
      </ns0:c>
      <ns0:c r="E185" s="16">
        <ns0:f>A185*('前提と出典'!$C$36*'契約別単価'!E5+'前提と出典'!$C$37*'契約別単価'!E6+'前提と出典'!$C$38*'契約別単価'!E7)</ns0:f>
        <ns0:v>350224.98286855826</ns0:v>
      </ns0:c>
      <ns0:c r="F185" s="16">
        <ns0:f>A185*('前提と出典'!$C$36*'契約別単価'!F5+'前提と出典'!$C$37*'契約別単価'!F6+'前提と出典'!$C$38*'契約別単価'!F7)</ns0:f>
        <ns0:v>137450.581826425</ns0:v>
      </ns0:c>
      <ns0:c r="G185" s="16">
        <ns0:f>A185*('前提と出典'!$C$36*'契約別単価'!G5+'前提と出典'!$C$37*'契約別単価'!G6+'前提と出典'!$C$38*'契約別単価'!G7)</ns0:f>
        <ns0:v>360281.0055865922</ns0:v>
      </ns0:c>
      <ns0:c r="H185" s="16">
        <ns0:f>A185*('前提と出典'!$C$36*'契約別単価'!H5+'前提と出典'!$C$37*'契約別単価'!H6+'前提と出典'!$C$38*'契約別単価'!H7)</ns0:f>
        <ns0:v>125035.57845091376</ns0:v>
      </ns0:c>
      <ns0:c r="I185" s="16">
        <ns0:f>A185*('前提と出典'!$C$36*'契約別単価'!I5+'前提と出典'!$C$37*'契約別単価'!I6+'前提と出典'!$C$38*'契約別単価'!I7)</ns0:f>
        <ns0:v>7637.391061452513</ns0:v>
      </ns0:c>
      <ns0:c r="J185" s="16">
        <ns0:f>A185*('前提と出典'!$C$36*'契約別単価'!J5+'前提と出典'!$C$37*'契約別単価'!J6+'前提と出典'!$C$38*'契約別単価'!J7)</ns0:f>
        <ns0:v>17790.407411564764</ns0:v>
      </ns0:c>
      <ns0:c r="K185" s="16">
        <ns0:f>A185*('前提と出典'!$C$36*'契約別単価'!K5+'前提と出典'!$C$37*'契約別単価'!K6+'前提と出典'!$C$38*'契約別単価'!K7)</ns0:f>
        <ns0:v>76255.94040968342</ns0:v>
      </ns0:c>
      <ns0:c r="L185" s="16">
        <ns0:f>A185*('前提と出典'!$C$36*'契約別単価'!L5+'前提と出典'!$C$37*'契約別単価'!L6+'前提と出典'!$C$38*'契約別単価'!L7)</ns0:f>
        <ns0:v>62087.85261503045</ns0:v>
      </ns0:c>
      <ns0:c r="M185" s="16">
        <ns0:f>IF(('前提と出典'!$C$36+'前提と出典'!$C$38)=0,0,IF(B185&lt;=10,'前提と出典'!B73+'前提と出典'!C73,IF(B185&lt;=100,'前提と出典'!B74+'前提と出典'!C74,IF(B185&lt;=500,'前提と出典'!B75+'前提と出典'!C75,'前提と出典'!B76+'前提と出典'!C76))))</ns0:f>
        <ns0:v>40000</ns0:v>
      </ns0:c>
      <ns0:c r="N185" s="16">
        <ns0:f>IF(('前提と出典'!$C$37+'前提と出典'!$C$38)=0,0,IF(C185&lt;=10,'前提と出典'!D73+'前提と出典'!E73,IF(C185&lt;=100,'前提と出典'!D74+'前提と出典'!E74,IF(C185&lt;=500,'前提と出典'!D75+'前提と出典'!E75,'前提と出典'!D76+'前提と出典'!E76))))</ns0:f>
        <ns0:v>56510.9346263078</ns0:v>
      </ns0:c>
      <ns0:c r="O185" s="16">
        <ns0:f>IF('前提と出典'!$C$36+'前提と出典'!$C$38=0,0,'前提と出典'!$B$4*IF('前提と出典'!$B$20=0,MAX('前提と出典'!$B$6,D185*'前提と出典'!$B$5),'前提と出典'!$B$6+D185*'前提と出典'!$B$5))</ns0:f>
        <ns0:v>179729.96648044692</ns0:v>
      </ns0:c>
      <ns0:c r="P185" s="16">
        <ns0:f>(E185+G185)*(1-'前提と出典'!$B$7)-I185-K185-M185-O185</ns0:f>
        <ns0:v>381304.47491918225</ns0:v>
      </ns0:c>
      <ns0:c r="Q185" s="16">
        <ns0:f>(F185+H185)*(1-'前提と出典'!$B$7)-J185-L185-N185</ns0:f>
        <ns0:v>116647.46385445155</ns0:v>
      </ns0:c>
      <ns0:c r="R185" s="16">
        <ns0:f>P185-E185*'前提と出典'!$E$4</ns0:f>
        <ns0:v>276236.9800586147</ns0:v>
      </ns0:c>
      <ns0:c r="S185" s="16">
        <ns0:f>Q185-F185*'前提と出典'!$E$4</ns0:f>
        <ns0:v>75412.28930652404</ns0:v>
      </ns0:c>
      <ns0:c r="T185" s="7">
        <ns0:f>R185+S185</ns0:f>
        <ns0:v>351649.2693651387</ns0:v>
      </ns0:c>
      <ns0:c r="U185" s="16">
        <ns0:f>P185-E185*'前提と出典'!$E$5</ns0:f>
        <ns0:v>241214.48177175893</ns0:v>
      </ns0:c>
      <ns0:c r="V185" s="16">
        <ns0:f>Q185-F185*'前提と出典'!$E$5</ns0:f>
        <ns0:v>61667.23112388154</ns0:v>
      </ns0:c>
      <ns0:c r="W185" s="7">
        <ns0:f>U185+V185</ns0:f>
        <ns0:v>302881.71289564046</ns0:v>
      </ns0:c>
      <ns0:c r="X185" s="16">
        <ns0:f>P185-E185*'前提と出典'!$E$6</ns0:f>
        <ns0:v>206191.98348490306</ns0:v>
      </ns0:c>
      <ns0:c r="Y185" s="16">
        <ns0:f>Q185-F185*'前提と出典'!$E$6</ns0:f>
        <ns0:v>47922.172941239034</ns0:v>
      </ns0:c>
      <ns0:c r="Z185" s="7">
        <ns0:f>X185+Y185</ns0:f>
        <ns0:v>254114.1564261421</ns0:v>
      </ns0:c>
      <ns0:c r="AA185" s="7">
        <ns0:f>IF(T185&gt;=0,A185,1001)</ns0:f>
        <ns0:v>181</ns0:v>
      </ns0:c>
      <ns0:c r="AB185" s="7">
        <ns0:f>IF(T185&lt;0,A185,0)</ns0:f>
        <ns0:v>0</ns0:v>
      </ns0:c>
      <ns0:c r="AC185" s="16">
        <ns0:f>IF(AND(OR('前提と出典'!$C$36+'前提と出典'!$C$38=0,R185&gt;=0),OR('前提と出典'!$C$37+'前提と出典'!$C$38=0,S185&gt;=0)),0,A185)</ns0:f>
        <ns0:v>0</ns0:v>
      </ns0:c>
      <ns0:c r="AD185" s="7">
        <ns0:f>IF(W185&gt;=0,A185,1001)</ns0:f>
        <ns0:v>181</ns0:v>
      </ns0:c>
      <ns0:c r="AE185" s="7">
        <ns0:f>IF(W185&lt;0,A185,0)</ns0:f>
        <ns0:v>0</ns0:v>
      </ns0:c>
      <ns0:c r="AF185" s="16">
        <ns0:f>IF(AND(OR('前提と出典'!$C$36+'前提と出典'!$C$38=0,U185&gt;=0),OR('前提と出典'!$C$37+'前提と出典'!$C$38=0,V185&gt;=0)),0,A185)</ns0:f>
        <ns0:v>0</ns0:v>
      </ns0:c>
      <ns0:c r="AG185" s="7">
        <ns0:f>IF(Z185&gt;=0,A185,1001)</ns0:f>
        <ns0:v>181</ns0:v>
      </ns0:c>
      <ns0:c r="AH185" s="4">
        <ns0:f>IF(Z185&lt;0,A185,0)</ns0:f>
        <ns0:v>0</ns0:v>
      </ns0:c>
      <ns0:c r="AI185" s="12">
        <ns0:f>IF(AND(OR('前提と出典'!$C$36+'前提と出典'!$C$38=0,X185&gt;=0),OR('前提と出典'!$C$37+'前提と出典'!$C$38=0,Y185&gt;=0)),0,A185)</ns0:f>
        <ns0:v>0</ns0:v>
      </ns0:c>
    </ns0:row>
    <ns0:row r="186" ht="24" customHeight="1">
      <ns0:c r="A186" s="4" t="n">
        <ns0:v>182</ns0:v>
      </ns0:c>
      <ns0:c r="B186" s="12">
        <ns0:f>A186*('前提と出典'!$C$36+'前提と出典'!$C$38)</ns0:f>
        <ns0:v>127.39999999999999</ns0:v>
      </ns0:c>
      <ns0:c r="C186" s="12">
        <ns0:f>A186*('前提と出典'!$C$37+'前提と出典'!$C$38)</ns0:f>
        <ns0:v>109.2</ns0:v>
      </ns0:c>
      <ns0:c r="D186" s="16">
        <ns0:f>A186*('前提と出典'!$C$36*'契約別単価'!C5+'前提と出典'!$C$37*'契約別単価'!C6+'前提と出典'!$C$38*'契約別単価'!C7)</ns0:f>
        <ns0:v>1309.5865921787708</ns0:v>
      </ns0:c>
      <ns0:c r="E186" s="16">
        <ns0:f>A186*('前提と出典'!$C$36*'契約別単価'!E5+'前提と出典'!$C$37*'契約別単価'!E6+'前提と出典'!$C$38*'契約別単価'!E7)</ns0:f>
        <ns0:v>352159.9275252906</ns0:v>
      </ns0:c>
      <ns0:c r="F186" s="16">
        <ns0:f>A186*('前提と出典'!$C$36*'契約別単価'!F5+'前提と出典'!$C$37*'契約別単価'!F6+'前提と出典'!$C$38*'契約別単価'!F7)</ns0:f>
        <ns0:v>138209.977306129</ns0:v>
      </ns0:c>
      <ns0:c r="G186" s="16">
        <ns0:f>A186*('前提と出典'!$C$36*'契約別単価'!G5+'前提と出典'!$C$37*'契約別単価'!G6+'前提と出典'!$C$38*'契約別単価'!G7)</ns0:f>
        <ns0:v>362271.50837988826</ns0:v>
      </ns0:c>
      <ns0:c r="H186" s="16">
        <ns0:f>A186*('前提と出典'!$C$36*'契約別単価'!H5+'前提と出典'!$C$37*'契約別単価'!H6+'前提と出典'!$C$38*'契約別単価'!H7)</ns0:f>
        <ns0:v>125726.38275174754</ns0:v>
      </ns0:c>
      <ns0:c r="I186" s="16">
        <ns0:f>A186*('前提と出典'!$C$36*'契約別単価'!I5+'前提と出典'!$C$37*'契約別単価'!I6+'前提と出典'!$C$38*'契約別単価'!I7)</ns0:f>
        <ns0:v>7679.58659217877</ns0:v>
      </ns0:c>
      <ns0:c r="J186" s="16">
        <ns0:f>A186*('前提と出典'!$C$36*'契約別単価'!J5+'前提と出典'!$C$37*'契約別単価'!J6+'前提と出典'!$C$38*'契約別単価'!J7)</ns0:f>
        <ns0:v>17888.696955275067</ns0:v>
      </ns0:c>
      <ns0:c r="K186" s="16">
        <ns0:f>A186*('前提と出典'!$C$36*'契約別単価'!K5+'前提と出典'!$C$37*'契約別単価'!K6+'前提と出典'!$C$38*'契約別単価'!K7)</ns0:f>
        <ns0:v>76677.24394785847</ns0:v>
      </ns0:c>
      <ns0:c r="L186" s="16">
        <ns0:f>A186*('前提と出典'!$C$36*'契約別単価'!L5+'前提と出典'!$C$37*'契約別単価'!L6+'前提と出典'!$C$38*'契約別単価'!L7)</ns0:f>
        <ns0:v>62430.87942505825</ns0:v>
      </ns0:c>
      <ns0:c r="M186" s="16">
        <ns0:f>IF(('前提と出典'!$C$36+'前提と出典'!$C$38)=0,0,IF(B186&lt;=10,'前提と出典'!B73+'前提と出典'!C73,IF(B186&lt;=100,'前提と出典'!B74+'前提と出典'!C74,IF(B186&lt;=500,'前提と出典'!B75+'前提と出典'!C75,'前提と出典'!B76+'前提と出典'!C76))))</ns0:f>
        <ns0:v>40000</ns0:v>
      </ns0:c>
      <ns0:c r="N186" s="16">
        <ns0:f>IF(('前提と出典'!$C$37+'前提と出典'!$C$38)=0,0,IF(C186&lt;=10,'前提と出典'!D73+'前提と出典'!E73,IF(C186&lt;=100,'前提と出典'!D74+'前提と出典'!E74,IF(C186&lt;=500,'前提と出典'!D75+'前提と出典'!E75,'前提と出典'!D76+'前提と出典'!E76))))</ns0:f>
        <ns0:v>56510.9346263078</ns0:v>
      </ns0:c>
      <ns0:c r="O186" s="16">
        <ns0:f>IF('前提と出典'!$C$36+'前提と出典'!$C$38=0,0,'前提と出典'!$B$4*IF('前提と出典'!$B$20=0,MAX('前提と出典'!$B$6,D186*'前提と出典'!$B$5),'前提と出典'!$B$6+D186*'前提と出典'!$B$5))</ns0:f>
        <ns0:v>180722.9497206704</ns0:v>
      </ns0:c>
      <ns0:c r="P186" s="16">
        <ns0:f>(E186+G186)*(1-'前提と出典'!$B$7)-I186-K186-M186-O186</ns0:f>
        <ns0:v>383632.12395188457</ns0:v>
      </ns0:c>
      <ns0:c r="Q186" s="16">
        <ns0:f>(F186+H186)*(1-'前提と出典'!$B$7)-J186-L186-N186</ns0:f>
        <ns0:v>117604.14008915186</ns0:v>
      </ns0:c>
      <ns0:c r="R186" s="16">
        <ns0:f>P186-E186*'前提と出典'!$E$4</ns0:f>
        <ns0:v>277984.14569429745</ns0:v>
      </ns0:c>
      <ns0:c r="S186" s="16">
        <ns0:f>Q186-F186*'前提と出典'!$E$4</ns0:f>
        <ns0:v>76141.14689731319</ns0:v>
      </ns0:c>
      <ns0:c r="T186" s="7">
        <ns0:f>R186+S186</ns0:f>
        <ns0:v>354125.29259161063</ns0:v>
      </ns0:c>
      <ns0:c r="U186" s="16">
        <ns0:f>P186-E186*'前提と出典'!$E$5</ns0:f>
        <ns0:v>242768.15294176835</ns0:v>
      </ns0:c>
      <ns0:c r="V186" s="16">
        <ns0:f>Q186-F186*'前提と出典'!$E$5</ns0:f>
        <ns0:v>62320.14916670026</ns0:v>
      </ns0:c>
      <ns0:c r="W186" s="7">
        <ns0:f>U186+V186</ns0:f>
        <ns0:v>305088.3021084686</ns0:v>
      </ns0:c>
      <ns0:c r="X186" s="16">
        <ns0:f>P186-E186*'前提と出典'!$E$6</ns0:f>
        <ns0:v>207552.16018923942</ns0:v>
      </ns0:c>
      <ns0:c r="Y186" s="16">
        <ns0:f>Q186-F186*'前提と出典'!$E$6</ns0:f>
        <ns0:v>48499.15143608739</ns0:v>
      </ns0:c>
      <ns0:c r="Z186" s="7">
        <ns0:f>X186+Y186</ns0:f>
        <ns0:v>256051.3116253268</ns0:v>
      </ns0:c>
      <ns0:c r="AA186" s="7">
        <ns0:f>IF(T186&gt;=0,A186,1001)</ns0:f>
        <ns0:v>182</ns0:v>
      </ns0:c>
      <ns0:c r="AB186" s="7">
        <ns0:f>IF(T186&lt;0,A186,0)</ns0:f>
        <ns0:v>0</ns0:v>
      </ns0:c>
      <ns0:c r="AC186" s="16">
        <ns0:f>IF(AND(OR('前提と出典'!$C$36+'前提と出典'!$C$38=0,R186&gt;=0),OR('前提と出典'!$C$37+'前提と出典'!$C$38=0,S186&gt;=0)),0,A186)</ns0:f>
        <ns0:v>0</ns0:v>
      </ns0:c>
      <ns0:c r="AD186" s="7">
        <ns0:f>IF(W186&gt;=0,A186,1001)</ns0:f>
        <ns0:v>182</ns0:v>
      </ns0:c>
      <ns0:c r="AE186" s="7">
        <ns0:f>IF(W186&lt;0,A186,0)</ns0:f>
        <ns0:v>0</ns0:v>
      </ns0:c>
      <ns0:c r="AF186" s="16">
        <ns0:f>IF(AND(OR('前提と出典'!$C$36+'前提と出典'!$C$38=0,U186&gt;=0),OR('前提と出典'!$C$37+'前提と出典'!$C$38=0,V186&gt;=0)),0,A186)</ns0:f>
        <ns0:v>0</ns0:v>
      </ns0:c>
      <ns0:c r="AG186" s="7">
        <ns0:f>IF(Z186&gt;=0,A186,1001)</ns0:f>
        <ns0:v>182</ns0:v>
      </ns0:c>
      <ns0:c r="AH186" s="4">
        <ns0:f>IF(Z186&lt;0,A186,0)</ns0:f>
        <ns0:v>0</ns0:v>
      </ns0:c>
      <ns0:c r="AI186" s="12">
        <ns0:f>IF(AND(OR('前提と出典'!$C$36+'前提と出典'!$C$38=0,X186&gt;=0),OR('前提と出典'!$C$37+'前提と出典'!$C$38=0,Y186&gt;=0)),0,A186)</ns0:f>
        <ns0:v>0</ns0:v>
      </ns0:c>
    </ns0:row>
    <ns0:row r="187" ht="24" customHeight="1">
      <ns0:c r="A187" s="4" t="n">
        <ns0:v>183</ns0:v>
      </ns0:c>
      <ns0:c r="B187" s="12">
        <ns0:f>A187*('前提と出典'!$C$36+'前提と出典'!$C$38)</ns0:f>
        <ns0:v>128.1</ns0:v>
      </ns0:c>
      <ns0:c r="C187" s="12">
        <ns0:f>A187*('前提と出典'!$C$37+'前提と出典'!$C$38)</ns0:f>
        <ns0:v>109.8</ns0:v>
      </ns0:c>
      <ns0:c r="D187" s="16">
        <ns0:f>A187*('前提と出典'!$C$36*'契約別単価'!C5+'前提と出典'!$C$37*'契約別単価'!C6+'前提と出典'!$C$38*'契約別単価'!C7)</ns0:f>
        <ns0:v>1316.782122905028</ns0:v>
      </ns0:c>
      <ns0:c r="E187" s="16">
        <ns0:f>A187*('前提と出典'!$C$36*'契約別単価'!E5+'前提と出典'!$C$37*'契約別単価'!E6+'前提と出典'!$C$38*'契約別単価'!E7)</ns0:f>
        <ns0:v>354094.87218202295</ns0:v>
      </ns0:c>
      <ns0:c r="F187" s="16">
        <ns0:f>A187*('前提と出典'!$C$36*'契約別単価'!F5+'前提と出典'!$C$37*'契約別単価'!F6+'前提と出典'!$C$38*'契約別単価'!F7)</ns0:f>
        <ns0:v>138969.37278583302</ns0:v>
      </ns0:c>
      <ns0:c r="G187" s="16">
        <ns0:f>A187*('前提と出典'!$C$36*'契約別単価'!G5+'前提と出典'!$C$37*'契約別単価'!G6+'前提と出典'!$C$38*'契約別単価'!G7)</ns0:f>
        <ns0:v>364262.0111731843</ns0:v>
      </ns0:c>
      <ns0:c r="H187" s="16">
        <ns0:f>A187*('前提と出典'!$C$36*'契約別単価'!H5+'前提と出典'!$C$37*'契約別単価'!H6+'前提と出典'!$C$38*'契約別単価'!H7)</ns0:f>
        <ns0:v>126417.18705258131</ns0:v>
      </ns0:c>
      <ns0:c r="I187" s="16">
        <ns0:f>A187*('前提と出典'!$C$36*'契約別単価'!I5+'前提と出典'!$C$37*'契約別単価'!I6+'前提と出典'!$C$38*'契約別単価'!I7)</ns0:f>
        <ns0:v>7721.782122905027</ns0:v>
      </ns0:c>
      <ns0:c r="J187" s="16">
        <ns0:f>A187*('前提と出典'!$C$36*'契約別単価'!J5+'前提と出典'!$C$37*'契約別単価'!J6+'前提と出典'!$C$38*'契約別単価'!J7)</ns0:f>
        <ns0:v>17986.98649898537</ns0:v>
      </ns0:c>
      <ns0:c r="K187" s="16">
        <ns0:f>A187*('前提と出典'!$C$36*'契約別単価'!K5+'前提と出典'!$C$37*'契約別単価'!K6+'前提と出典'!$C$38*'契約別単価'!K7)</ns0:f>
        <ns0:v>77098.54748603351</ns0:v>
      </ns0:c>
      <ns0:c r="L187" s="16">
        <ns0:f>A187*('前提と出典'!$C$36*'契約別単価'!L5+'前提と出典'!$C$37*'契約別単価'!L6+'前提と出典'!$C$38*'契約別単価'!L7)</ns0:f>
        <ns0:v>62773.90623508604</ns0:v>
      </ns0:c>
      <ns0:c r="M187" s="16">
        <ns0:f>IF(('前提と出典'!$C$36+'前提と出典'!$C$38)=0,0,IF(B187&lt;=10,'前提と出典'!B73+'前提と出典'!C73,IF(B187&lt;=100,'前提と出典'!B74+'前提と出典'!C74,IF(B187&lt;=500,'前提と出典'!B75+'前提と出典'!C75,'前提と出典'!B76+'前提と出典'!C76))))</ns0:f>
        <ns0:v>40000</ns0:v>
      </ns0:c>
      <ns0:c r="N187" s="16">
        <ns0:f>IF(('前提と出典'!$C$37+'前提と出典'!$C$38)=0,0,IF(C187&lt;=10,'前提と出典'!D73+'前提と出典'!E73,IF(C187&lt;=100,'前提と出典'!D74+'前提と出典'!E74,IF(C187&lt;=500,'前提と出典'!D75+'前提と出典'!E75,'前提と出典'!D76+'前提と出典'!E76))))</ns0:f>
        <ns0:v>56510.9346263078</ns0:v>
      </ns0:c>
      <ns0:c r="O187" s="16">
        <ns0:f>IF('前提と出典'!$C$36+'前提と出典'!$C$38=0,0,'前提と出典'!$B$4*IF('前提と出典'!$B$20=0,MAX('前提と出典'!$B$6,D187*'前提と出典'!$B$5),'前提と出典'!$B$6+D187*'前提と出典'!$B$5))</ns0:f>
        <ns0:v>181715.93296089387</ns0:v>
      </ns0:c>
      <ns0:c r="P187" s="16">
        <ns0:f>(E187+G187)*(1-'前提と出典'!$B$7)-I187-K187-M187-O187</ns0:f>
        <ns0:v>385959.7729845875</ns0:v>
      </ns0:c>
      <ns0:c r="Q187" s="16">
        <ns0:f>(F187+H187)*(1-'前提と出典'!$B$7)-J187-L187-N187</ns0:f>
        <ns0:v>118560.81632385217</ns0:v>
      </ns0:c>
      <ns0:c r="R187" s="16">
        <ns0:f>P187-E187*'前提と出典'!$E$4</ns0:f>
        <ns0:v>279731.3113299806</ns0:v>
      </ns0:c>
      <ns0:c r="S187" s="16">
        <ns0:f>Q187-F187*'前提と出典'!$E$4</ns0:f>
        <ns0:v>76870.00448810228</ns0:v>
      </ns0:c>
      <ns0:c r="T187" s="7">
        <ns0:f>R187+S187</ns0:f>
        <ns0:v>356601.3158180829</ns0:v>
      </ns0:c>
      <ns0:c r="U187" s="16">
        <ns0:f>P187-E187*'前提と出典'!$E$5</ns0:f>
        <ns0:v>244321.82411177826</ns0:v>
      </ns0:c>
      <ns0:c r="V187" s="16">
        <ns0:f>Q187-F187*'前提と出典'!$E$5</ns0:f>
        <ns0:v>62973.06720951896</ns0:v>
      </ns0:c>
      <ns0:c r="W187" s="7">
        <ns0:f>U187+V187</ns0:f>
        <ns0:v>307294.8913212972</ns0:v>
      </ns0:c>
      <ns0:c r="X187" s="16">
        <ns0:f>P187-E187*'前提と出典'!$E$6</ns0:f>
        <ns0:v>208912.33689357588</ns0:v>
      </ns0:c>
      <ns0:c r="Y187" s="16">
        <ns0:f>Q187-F187*'前提と出典'!$E$6</ns0:f>
        <ns0:v>49076.12993093566</ns0:v>
      </ns0:c>
      <ns0:c r="Z187" s="7">
        <ns0:f>X187+Y187</ns0:f>
        <ns0:v>257988.46682451153</ns0:v>
      </ns0:c>
      <ns0:c r="AA187" s="7">
        <ns0:f>IF(T187&gt;=0,A187,1001)</ns0:f>
        <ns0:v>183</ns0:v>
      </ns0:c>
      <ns0:c r="AB187" s="7">
        <ns0:f>IF(T187&lt;0,A187,0)</ns0:f>
        <ns0:v>0</ns0:v>
      </ns0:c>
      <ns0:c r="AC187" s="16">
        <ns0:f>IF(AND(OR('前提と出典'!$C$36+'前提と出典'!$C$38=0,R187&gt;=0),OR('前提と出典'!$C$37+'前提と出典'!$C$38=0,S187&gt;=0)),0,A187)</ns0:f>
        <ns0:v>0</ns0:v>
      </ns0:c>
      <ns0:c r="AD187" s="7">
        <ns0:f>IF(W187&gt;=0,A187,1001)</ns0:f>
        <ns0:v>183</ns0:v>
      </ns0:c>
      <ns0:c r="AE187" s="7">
        <ns0:f>IF(W187&lt;0,A187,0)</ns0:f>
        <ns0:v>0</ns0:v>
      </ns0:c>
      <ns0:c r="AF187" s="16">
        <ns0:f>IF(AND(OR('前提と出典'!$C$36+'前提と出典'!$C$38=0,U187&gt;=0),OR('前提と出典'!$C$37+'前提と出典'!$C$38=0,V187&gt;=0)),0,A187)</ns0:f>
        <ns0:v>0</ns0:v>
      </ns0:c>
      <ns0:c r="AG187" s="7">
        <ns0:f>IF(Z187&gt;=0,A187,1001)</ns0:f>
        <ns0:v>183</ns0:v>
      </ns0:c>
      <ns0:c r="AH187" s="4">
        <ns0:f>IF(Z187&lt;0,A187,0)</ns0:f>
        <ns0:v>0</ns0:v>
      </ns0:c>
      <ns0:c r="AI187" s="12">
        <ns0:f>IF(AND(OR('前提と出典'!$C$36+'前提と出典'!$C$38=0,X187&gt;=0),OR('前提と出典'!$C$37+'前提と出典'!$C$38=0,Y187&gt;=0)),0,A187)</ns0:f>
        <ns0:v>0</ns0:v>
      </ns0:c>
    </ns0:row>
    <ns0:row r="188" ht="24" customHeight="1">
      <ns0:c r="A188" s="4" t="n">
        <ns0:v>184</ns0:v>
      </ns0:c>
      <ns0:c r="B188" s="12">
        <ns0:f>A188*('前提と出典'!$C$36+'前提と出典'!$C$38)</ns0:f>
        <ns0:v>128.79999999999998</ns0:v>
      </ns0:c>
      <ns0:c r="C188" s="12">
        <ns0:f>A188*('前提と出典'!$C$37+'前提と出典'!$C$38)</ns0:f>
        <ns0:v>110.39999999999999</ns0:v>
      </ns0:c>
      <ns0:c r="D188" s="16">
        <ns0:f>A188*('前提と出典'!$C$36*'契約別単価'!C5+'前提と出典'!$C$37*'契約別単価'!C6+'前提と出典'!$C$38*'契約別単価'!C7)</ns0:f>
        <ns0:v>1323.977653631285</ns0:v>
      </ns0:c>
      <ns0:c r="E188" s="16">
        <ns0:f>A188*('前提と出典'!$C$36*'契約別単価'!E5+'前提と出典'!$C$37*'契約別単価'!E6+'前提と出典'!$C$38*'契約別単価'!E7)</ns0:f>
        <ns0:v>356029.81683875533</ns0:v>
      </ns0:c>
      <ns0:c r="F188" s="16">
        <ns0:f>A188*('前提と出典'!$C$36*'契約別単価'!F5+'前提と出典'!$C$37*'契約別単価'!F6+'前提と出典'!$C$38*'契約別単価'!F7)</ns0:f>
        <ns0:v>139728.76826553702</ns0:v>
      </ns0:c>
      <ns0:c r="G188" s="16">
        <ns0:f>A188*('前提と出典'!$C$36*'契約別単価'!G5+'前提と出典'!$C$37*'契約別単価'!G6+'前提と出典'!$C$38*'契約別単価'!G7)</ns0:f>
        <ns0:v>366252.51396648044</ns0:v>
      </ns0:c>
      <ns0:c r="H188" s="16">
        <ns0:f>A188*('前提と出典'!$C$36*'契約別単価'!H5+'前提と出典'!$C$37*'契約別単価'!H6+'前提と出典'!$C$38*'契約別単価'!H7)</ns0:f>
        <ns0:v>127107.9913534151</ns0:v>
      </ns0:c>
      <ns0:c r="I188" s="16">
        <ns0:f>A188*('前提と出典'!$C$36*'契約別単価'!I5+'前提と出典'!$C$37*'契約別単価'!I6+'前提と出典'!$C$38*'契約別単価'!I7)</ns0:f>
        <ns0:v>7763.977653631284</ns0:v>
      </ns0:c>
      <ns0:c r="J188" s="16">
        <ns0:f>A188*('前提と出典'!$C$36*'契約別単価'!J5+'前提と出典'!$C$37*'契約別単価'!J6+'前提と出典'!$C$38*'契約別単価'!J7)</ns0:f>
        <ns0:v>18085.276042695674</ns0:v>
      </ns0:c>
      <ns0:c r="K188" s="16">
        <ns0:f>A188*('前提と出典'!$C$36*'契約別単価'!K5+'前提と出典'!$C$37*'契約別単価'!K6+'前提と出典'!$C$38*'契約別単価'!K7)</ns0:f>
        <ns0:v>77519.85102420856</ns0:v>
      </ns0:c>
      <ns0:c r="L188" s="16">
        <ns0:f>A188*('前提と出典'!$C$36*'契約別単価'!L5+'前提と出典'!$C$37*'契約別単価'!L6+'前提と出典'!$C$38*'契約別単価'!L7)</ns0:f>
        <ns0:v>63116.93304511384</ns0:v>
      </ns0:c>
      <ns0:c r="M188" s="16">
        <ns0:f>IF(('前提と出典'!$C$36+'前提と出典'!$C$38)=0,0,IF(B188&lt;=10,'前提と出典'!B73+'前提と出典'!C73,IF(B188&lt;=100,'前提と出典'!B74+'前提と出典'!C74,IF(B188&lt;=500,'前提と出典'!B75+'前提と出典'!C75,'前提と出典'!B76+'前提と出典'!C76))))</ns0:f>
        <ns0:v>40000</ns0:v>
      </ns0:c>
      <ns0:c r="N188" s="16">
        <ns0:f>IF(('前提と出典'!$C$37+'前提と出典'!$C$38)=0,0,IF(C188&lt;=10,'前提と出典'!D73+'前提と出典'!E73,IF(C188&lt;=100,'前提と出典'!D74+'前提と出典'!E74,IF(C188&lt;=500,'前提と出典'!D75+'前提と出典'!E75,'前提と出典'!D76+'前提と出典'!E76))))</ns0:f>
        <ns0:v>56510.9346263078</ns0:v>
      </ns0:c>
      <ns0:c r="O188" s="16">
        <ns0:f>IF('前提と出典'!$C$36+'前提と出典'!$C$38=0,0,'前提と出典'!$B$4*IF('前提と出典'!$B$20=0,MAX('前提と出典'!$B$6,D188*'前提と出典'!$B$5),'前提と出典'!$B$6+D188*'前提と出典'!$B$5))</ns0:f>
        <ns0:v>182708.91620111736</ns0:v>
      </ns0:c>
      <ns0:c r="P188" s="16">
        <ns0:f>(E188+G188)*(1-'前提と出典'!$B$7)-I188-K188-M188-O188</ns0:f>
        <ns0:v>388287.42201729</ns0:v>
      </ns0:c>
      <ns0:c r="Q188" s="16">
        <ns0:f>(F188+H188)*(1-'前提と出典'!$B$7)-J188-L188-N188</ns0:f>
        <ns0:v>119517.49255855252</ns0:v>
      </ns0:c>
      <ns0:c r="R188" s="16">
        <ns0:f>P188-E188*'前提と出典'!$E$4</ns0:f>
        <ns0:v>281478.4769656636</ns0:v>
      </ns0:c>
      <ns0:c r="S188" s="16">
        <ns0:f>Q188-F188*'前提と出典'!$E$4</ns0:f>
        <ns0:v>77598.8620788914</ns0:v>
      </ns0:c>
      <ns0:c r="T188" s="7">
        <ns0:f>R188+S188</ns0:f>
        <ns0:v>359077.339044555</ns0:v>
      </ns0:c>
      <ns0:c r="U188" s="16">
        <ns0:f>P188-E188*'前提と出典'!$E$5</ns0:f>
        <ns0:v>245875.4952817879</ns0:v>
      </ns0:c>
      <ns0:c r="V188" s="16">
        <ns0:f>Q188-F188*'前提と出典'!$E$5</ns0:f>
        <ns0:v>63625.98525233771</ns0:v>
      </ns0:c>
      <ns0:c r="W188" s="7">
        <ns0:f>U188+V188</ns0:f>
        <ns0:v>309501.48053412564</ns0:v>
      </ns0:c>
      <ns0:c r="X188" s="16">
        <ns0:f>P188-E188*'前提と出典'!$E$6</ns0:f>
        <ns0:v>210272.51359791248</ns0:v>
      </ns0:c>
      <ns0:c r="Y188" s="16">
        <ns0:f>Q188-F188*'前提と出典'!$E$6</ns0:f>
        <ns0:v>49653.10842578402</ns0:v>
      </ns0:c>
      <ns0:c r="Z188" s="7">
        <ns0:f>X188+Y188</ns0:f>
        <ns0:v>259925.6220236965</ns0:v>
      </ns0:c>
      <ns0:c r="AA188" s="7">
        <ns0:f>IF(T188&gt;=0,A188,1001)</ns0:f>
        <ns0:v>184</ns0:v>
      </ns0:c>
      <ns0:c r="AB188" s="7">
        <ns0:f>IF(T188&lt;0,A188,0)</ns0:f>
        <ns0:v>0</ns0:v>
      </ns0:c>
      <ns0:c r="AC188" s="16">
        <ns0:f>IF(AND(OR('前提と出典'!$C$36+'前提と出典'!$C$38=0,R188&gt;=0),OR('前提と出典'!$C$37+'前提と出典'!$C$38=0,S188&gt;=0)),0,A188)</ns0:f>
        <ns0:v>0</ns0:v>
      </ns0:c>
      <ns0:c r="AD188" s="7">
        <ns0:f>IF(W188&gt;=0,A188,1001)</ns0:f>
        <ns0:v>184</ns0:v>
      </ns0:c>
      <ns0:c r="AE188" s="7">
        <ns0:f>IF(W188&lt;0,A188,0)</ns0:f>
        <ns0:v>0</ns0:v>
      </ns0:c>
      <ns0:c r="AF188" s="16">
        <ns0:f>IF(AND(OR('前提と出典'!$C$36+'前提と出典'!$C$38=0,U188&gt;=0),OR('前提と出典'!$C$37+'前提と出典'!$C$38=0,V188&gt;=0)),0,A188)</ns0:f>
        <ns0:v>0</ns0:v>
      </ns0:c>
      <ns0:c r="AG188" s="7">
        <ns0:f>IF(Z188&gt;=0,A188,1001)</ns0:f>
        <ns0:v>184</ns0:v>
      </ns0:c>
      <ns0:c r="AH188" s="4">
        <ns0:f>IF(Z188&lt;0,A188,0)</ns0:f>
        <ns0:v>0</ns0:v>
      </ns0:c>
      <ns0:c r="AI188" s="12">
        <ns0:f>IF(AND(OR('前提と出典'!$C$36+'前提と出典'!$C$38=0,X188&gt;=0),OR('前提と出典'!$C$37+'前提と出典'!$C$38=0,Y188&gt;=0)),0,A188)</ns0:f>
        <ns0:v>0</ns0:v>
      </ns0:c>
    </ns0:row>
    <ns0:row r="189" ht="24" customHeight="1">
      <ns0:c r="A189" s="4" t="n">
        <ns0:v>185</ns0:v>
      </ns0:c>
      <ns0:c r="B189" s="12">
        <ns0:f>A189*('前提と出典'!$C$36+'前提と出典'!$C$38)</ns0:f>
        <ns0:v>129.5</ns0:v>
      </ns0:c>
      <ns0:c r="C189" s="12">
        <ns0:f>A189*('前提と出典'!$C$37+'前提と出典'!$C$38)</ns0:f>
        <ns0:v>111</ns0:v>
      </ns0:c>
      <ns0:c r="D189" s="16">
        <ns0:f>A189*('前提と出典'!$C$36*'契約別単価'!C5+'前提と出典'!$C$37*'契約別単価'!C6+'前提と出典'!$C$38*'契約別単価'!C7)</ns0:f>
        <ns0:v>1331.173184357542</ns0:v>
      </ns0:c>
      <ns0:c r="E189" s="16">
        <ns0:f>A189*('前提と出典'!$C$36*'契約別単価'!E5+'前提と出典'!$C$37*'契約別単価'!E6+'前提と出典'!$C$38*'契約別単価'!E7)</ns0:f>
        <ns0:v>357964.7614954877</ns0:v>
      </ns0:c>
      <ns0:c r="F189" s="16">
        <ns0:f>A189*('前提と出典'!$C$36*'契約別単価'!F5+'前提と出典'!$C$37*'契約別単価'!F6+'前提と出典'!$C$38*'契約別単価'!F7)</ns0:f>
        <ns0:v>140488.16374524104</ns0:v>
      </ns0:c>
      <ns0:c r="G189" s="16">
        <ns0:f>A189*('前提と出典'!$C$36*'契約別単価'!G5+'前提と出典'!$C$37*'契約別単価'!G6+'前提と出典'!$C$38*'契約別単価'!G7)</ns0:f>
        <ns0:v>368243.0167597765</ns0:v>
      </ns0:c>
      <ns0:c r="H189" s="16">
        <ns0:f>A189*('前提と出典'!$C$36*'契約別単価'!H5+'前提と出典'!$C$37*'契約別単価'!H6+'前提と出典'!$C$38*'契約別単価'!H7)</ns0:f>
        <ns0:v>127798.79565424887</ns0:v>
      </ns0:c>
      <ns0:c r="I189" s="16">
        <ns0:f>A189*('前提と出典'!$C$36*'契約別単価'!I5+'前提と出典'!$C$37*'契約別単価'!I6+'前提と出典'!$C$38*'契約別単価'!I7)</ns0:f>
        <ns0:v>7806.173184357541</ns0:v>
      </ns0:c>
      <ns0:c r="J189" s="16">
        <ns0:f>A189*('前提と出典'!$C$36*'契約別単価'!J5+'前提と出典'!$C$37*'契約別単価'!J6+'前提と出典'!$C$38*'契約別単価'!J7)</ns0:f>
        <ns0:v>18183.565586405974</ns0:v>
      </ns0:c>
      <ns0:c r="K189" s="16">
        <ns0:f>A189*('前提と出典'!$C$36*'契約別単価'!K5+'前提と出典'!$C$37*'契約別単価'!K6+'前提と出典'!$C$38*'契約別単価'!K7)</ns0:f>
        <ns0:v>77941.15456238361</ns0:v>
      </ns0:c>
      <ns0:c r="L189" s="16">
        <ns0:f>A189*('前提と出典'!$C$36*'契約別単価'!L5+'前提と出典'!$C$37*'契約別単価'!L6+'前提と出典'!$C$38*'契約別単価'!L7)</ns0:f>
        <ns0:v>63459.95985514163</ns0:v>
      </ns0:c>
      <ns0:c r="M189" s="16">
        <ns0:f>IF(('前提と出典'!$C$36+'前提と出典'!$C$38)=0,0,IF(B189&lt;=10,'前提と出典'!B73+'前提と出典'!C73,IF(B189&lt;=100,'前提と出典'!B74+'前提と出典'!C74,IF(B189&lt;=500,'前提と出典'!B75+'前提と出典'!C75,'前提と出典'!B76+'前提と出典'!C76))))</ns0:f>
        <ns0:v>40000</ns0:v>
      </ns0:c>
      <ns0:c r="N189" s="16">
        <ns0:f>IF(('前提と出典'!$C$37+'前提と出典'!$C$38)=0,0,IF(C189&lt;=10,'前提と出典'!D73+'前提と出典'!E73,IF(C189&lt;=100,'前提と出典'!D74+'前提と出典'!E74,IF(C189&lt;=500,'前提と出典'!D75+'前提と出典'!E75,'前提と出典'!D76+'前提と出典'!E76))))</ns0:f>
        <ns0:v>56510.9346263078</ns0:v>
      </ns0:c>
      <ns0:c r="O189" s="16">
        <ns0:f>IF('前提と出典'!$C$36+'前提と出典'!$C$38=0,0,'前提と出典'!$B$4*IF('前提と出典'!$B$20=0,MAX('前提と出典'!$B$6,D189*'前提と出典'!$B$5),'前提と出典'!$B$6+D189*'前提と出典'!$B$5))</ns0:f>
        <ns0:v>183701.8994413408</ns0:v>
      </ns0:c>
      <ns0:c r="P189" s="16">
        <ns0:f>(E189+G189)*(1-'前提と出典'!$B$7)-I189-K189-M189-O189</ns0:f>
        <ns0:v>390615.07104999275</ns0:v>
      </ns0:c>
      <ns0:c r="Q189" s="16">
        <ns0:f>(F189+H189)*(1-'前提と出典'!$B$7)-J189-L189-N189</ns0:f>
        <ns0:v>120474.16879325287</ns0:v>
      </ns0:c>
      <ns0:c r="R189" s="16">
        <ns0:f>P189-E189*'前提と出典'!$E$4</ns0:f>
        <ns0:v>283225.6426013465</ns0:v>
      </ns0:c>
      <ns0:c r="S189" s="16">
        <ns0:f>Q189-F189*'前提と出典'!$E$4</ns0:f>
        <ns0:v>78327.71966968052</ns0:v>
      </ns0:c>
      <ns0:c r="T189" s="7">
        <ns0:f>R189+S189</ns0:f>
        <ns0:v>361553.362271027</ns0:v>
      </ns0:c>
      <ns0:c r="U189" s="16">
        <ns0:f>P189-E189*'前提と出典'!$E$5</ns0:f>
        <ns0:v>247429.16645179768</ns0:v>
      </ns0:c>
      <ns0:c r="V189" s="16">
        <ns0:f>Q189-F189*'前提と出典'!$E$5</ns0:f>
        <ns0:v>64278.90329515645</ns0:v>
      </ns0:c>
      <ns0:c r="W189" s="7">
        <ns0:f>U189+V189</ns0:f>
        <ns0:v>311708.06974695413</ns0:v>
      </ns0:c>
      <ns0:c r="X189" s="16">
        <ns0:f>P189-E189*'前提と出典'!$E$6</ns0:f>
        <ns0:v>211632.69030224896</ns0:v>
      </ns0:c>
      <ns0:c r="Y189" s="16">
        <ns0:f>Q189-F189*'前提と出典'!$E$6</ns0:f>
        <ns0:v>50230.08692063236</ns0:v>
      </ns0:c>
      <ns0:c r="Z189" s="7">
        <ns0:f>X189+Y189</ns0:f>
        <ns0:v>261862.77722288133</ns0:v>
      </ns0:c>
      <ns0:c r="AA189" s="7">
        <ns0:f>IF(T189&gt;=0,A189,1001)</ns0:f>
        <ns0:v>185</ns0:v>
      </ns0:c>
      <ns0:c r="AB189" s="7">
        <ns0:f>IF(T189&lt;0,A189,0)</ns0:f>
        <ns0:v>0</ns0:v>
      </ns0:c>
      <ns0:c r="AC189" s="16">
        <ns0:f>IF(AND(OR('前提と出典'!$C$36+'前提と出典'!$C$38=0,R189&gt;=0),OR('前提と出典'!$C$37+'前提と出典'!$C$38=0,S189&gt;=0)),0,A189)</ns0:f>
        <ns0:v>0</ns0:v>
      </ns0:c>
      <ns0:c r="AD189" s="7">
        <ns0:f>IF(W189&gt;=0,A189,1001)</ns0:f>
        <ns0:v>185</ns0:v>
      </ns0:c>
      <ns0:c r="AE189" s="7">
        <ns0:f>IF(W189&lt;0,A189,0)</ns0:f>
        <ns0:v>0</ns0:v>
      </ns0:c>
      <ns0:c r="AF189" s="16">
        <ns0:f>IF(AND(OR('前提と出典'!$C$36+'前提と出典'!$C$38=0,U189&gt;=0),OR('前提と出典'!$C$37+'前提と出典'!$C$38=0,V189&gt;=0)),0,A189)</ns0:f>
        <ns0:v>0</ns0:v>
      </ns0:c>
      <ns0:c r="AG189" s="7">
        <ns0:f>IF(Z189&gt;=0,A189,1001)</ns0:f>
        <ns0:v>185</ns0:v>
      </ns0:c>
      <ns0:c r="AH189" s="4">
        <ns0:f>IF(Z189&lt;0,A189,0)</ns0:f>
        <ns0:v>0</ns0:v>
      </ns0:c>
      <ns0:c r="AI189" s="12">
        <ns0:f>IF(AND(OR('前提と出典'!$C$36+'前提と出典'!$C$38=0,X189&gt;=0),OR('前提と出典'!$C$37+'前提と出典'!$C$38=0,Y189&gt;=0)),0,A189)</ns0:f>
        <ns0:v>0</ns0:v>
      </ns0:c>
    </ns0:row>
    <ns0:row r="190" ht="24" customHeight="1">
      <ns0:c r="A190" s="4" t="n">
        <ns0:v>186</ns0:v>
      </ns0:c>
      <ns0:c r="B190" s="12">
        <ns0:f>A190*('前提と出典'!$C$36+'前提と出典'!$C$38)</ns0:f>
        <ns0:v>130.2</ns0:v>
      </ns0:c>
      <ns0:c r="C190" s="12">
        <ns0:f>A190*('前提と出典'!$C$37+'前提と出典'!$C$38)</ns0:f>
        <ns0:v>111.6</ns0:v>
      </ns0:c>
      <ns0:c r="D190" s="16">
        <ns0:f>A190*('前提と出典'!$C$36*'契約別単価'!C5+'前提と出典'!$C$37*'契約別単価'!C6+'前提と出典'!$C$38*'契約別単価'!C7)</ns0:f>
        <ns0:v>1338.3687150837989</ns0:v>
      </ns0:c>
      <ns0:c r="E190" s="16">
        <ns0:f>A190*('前提と出典'!$C$36*'契約別単価'!E5+'前提と出典'!$C$37*'契約別単価'!E6+'前提と出典'!$C$38*'契約別単価'!E7)</ns0:f>
        <ns0:v>359899.7061522201</ns0:v>
      </ns0:c>
      <ns0:c r="F190" s="16">
        <ns0:f>A190*('前提と出典'!$C$36*'契約別単価'!F5+'前提と出典'!$C$37*'契約別単価'!F6+'前提と出典'!$C$38*'契約別単価'!F7)</ns0:f>
        <ns0:v>141247.55922494503</ns0:v>
      </ns0:c>
      <ns0:c r="G190" s="16">
        <ns0:f>A190*('前提と出典'!$C$36*'契約別単価'!G5+'前提と出典'!$C$37*'契約別単価'!G6+'前提と出典'!$C$38*'契約別単価'!G7)</ns0:f>
        <ns0:v>370233.51955307263</ns0:v>
      </ns0:c>
      <ns0:c r="H190" s="16">
        <ns0:f>A190*('前提と出典'!$C$36*'契約別単価'!H5+'前提と出典'!$C$37*'契約別単価'!H6+'前提と出典'!$C$38*'契約別単価'!H7)</ns0:f>
        <ns0:v>128489.59995508265</ns0:v>
      </ns0:c>
      <ns0:c r="I190" s="16">
        <ns0:f>A190*('前提と出典'!$C$36*'契約別単価'!I5+'前提と出典'!$C$37*'契約別単価'!I6+'前提と出典'!$C$38*'契約別単価'!I7)</ns0:f>
        <ns0:v>7848.368715083798</ns0:v>
      </ns0:c>
      <ns0:c r="J190" s="16">
        <ns0:f>A190*('前提と出典'!$C$36*'契約別単価'!J5+'前提と出典'!$C$37*'契約別単価'!J6+'前提と出典'!$C$38*'契約別単価'!J7)</ns0:f>
        <ns0:v>18281.855130116277</ns0:v>
      </ns0:c>
      <ns0:c r="K190" s="16">
        <ns0:f>A190*('前提と出典'!$C$36*'契約別単価'!K5+'前提と出典'!$C$37*'契約別単価'!K6+'前提と出典'!$C$38*'契約別単価'!K7)</ns0:f>
        <ns0:v>78362.45810055865</ns0:v>
      </ns0:c>
      <ns0:c r="L190" s="16">
        <ns0:f>A190*('前提と出典'!$C$36*'契約別単価'!L5+'前提と出典'!$C$37*'契約別単価'!L6+'前提と出典'!$C$38*'契約別単価'!L7)</ns0:f>
        <ns0:v>63802.98666516942</ns0:v>
      </ns0:c>
      <ns0:c r="M190" s="16">
        <ns0:f>IF(('前提と出典'!$C$36+'前提と出典'!$C$38)=0,0,IF(B190&lt;=10,'前提と出典'!B73+'前提と出典'!C73,IF(B190&lt;=100,'前提と出典'!B74+'前提と出典'!C74,IF(B190&lt;=500,'前提と出典'!B75+'前提と出典'!C75,'前提と出典'!B76+'前提と出典'!C76))))</ns0:f>
        <ns0:v>40000</ns0:v>
      </ns0:c>
      <ns0:c r="N190" s="16">
        <ns0:f>IF(('前提と出典'!$C$37+'前提と出典'!$C$38)=0,0,IF(C190&lt;=10,'前提と出典'!D73+'前提と出典'!E73,IF(C190&lt;=100,'前提と出典'!D74+'前提と出典'!E74,IF(C190&lt;=500,'前提と出典'!D75+'前提と出典'!E75,'前提と出典'!D76+'前提と出典'!E76))))</ns0:f>
        <ns0:v>56510.9346263078</ns0:v>
      </ns0:c>
      <ns0:c r="O190" s="16">
        <ns0:f>IF('前提と出典'!$C$36+'前提と出典'!$C$38=0,0,'前提と出典'!$B$4*IF('前提と出典'!$B$20=0,MAX('前提と出典'!$B$6,D190*'前提と出典'!$B$5),'前提と出典'!$B$6+D190*'前提と出典'!$B$5))</ns0:f>
        <ns0:v>184694.88268156425</ns0:v>
      </ns0:c>
      <ns0:c r="P190" s="16">
        <ns0:f>(E190+G190)*(1-'前提と出典'!$B$7)-I190-K190-M190-O190</ns0:f>
        <ns0:v>392942.7200826955</ns0:v>
      </ns0:c>
      <ns0:c r="Q190" s="16">
        <ns0:f>(F190+H190)*(1-'前提と出典'!$B$7)-J190-L190-N190</ns0:f>
        <ns0:v>121430.84502795318</ns0:v>
      </ns0:c>
      <ns0:c r="R190" s="16">
        <ns0:f>P190-E190*'前提と出典'!$E$4</ns0:f>
        <ns0:v>284972.8082370295</ns0:v>
      </ns0:c>
      <ns0:c r="S190" s="16">
        <ns0:f>Q190-F190*'前提と出典'!$E$4</ns0:f>
        <ns0:v>79056.57726046967</ns0:v>
      </ns0:c>
      <ns0:c r="T190" s="7">
        <ns0:f>R190+S190</ns0:f>
        <ns0:v>364029.38549749914</ns0:v>
      </ns0:c>
      <ns0:c r="U190" s="16">
        <ns0:f>P190-E190*'前提と出典'!$E$5</ns0:f>
        <ns0:v>248982.83762180747</ns0:v>
      </ns0:c>
      <ns0:c r="V190" s="16">
        <ns0:f>Q190-F190*'前提と出典'!$E$5</ns0:f>
        <ns0:v>64931.82133797516</ns0:v>
      </ns0:c>
      <ns0:c r="W190" s="7">
        <ns0:f>U190+V190</ns0:f>
        <ns0:v>313914.6589597826</ns0:v>
      </ns0:c>
      <ns0:c r="X190" s="16">
        <ns0:f>P190-E190*'前提と出典'!$E$6</ns0:f>
        <ns0:v>212992.86700658547</ns0:v>
      </ns0:c>
      <ns0:c r="Y190" s="16">
        <ns0:f>Q190-F190*'前提と出典'!$E$6</ns0:f>
        <ns0:v>50807.06541548065</ns0:v>
      </ns0:c>
      <ns0:c r="Z190" s="7">
        <ns0:f>X190+Y190</ns0:f>
        <ns0:v>263799.9324220661</ns0:v>
      </ns0:c>
      <ns0:c r="AA190" s="7">
        <ns0:f>IF(T190&gt;=0,A190,1001)</ns0:f>
        <ns0:v>186</ns0:v>
      </ns0:c>
      <ns0:c r="AB190" s="7">
        <ns0:f>IF(T190&lt;0,A190,0)</ns0:f>
        <ns0:v>0</ns0:v>
      </ns0:c>
      <ns0:c r="AC190" s="16">
        <ns0:f>IF(AND(OR('前提と出典'!$C$36+'前提と出典'!$C$38=0,R190&gt;=0),OR('前提と出典'!$C$37+'前提と出典'!$C$38=0,S190&gt;=0)),0,A190)</ns0:f>
        <ns0:v>0</ns0:v>
      </ns0:c>
      <ns0:c r="AD190" s="7">
        <ns0:f>IF(W190&gt;=0,A190,1001)</ns0:f>
        <ns0:v>186</ns0:v>
      </ns0:c>
      <ns0:c r="AE190" s="7">
        <ns0:f>IF(W190&lt;0,A190,0)</ns0:f>
        <ns0:v>0</ns0:v>
      </ns0:c>
      <ns0:c r="AF190" s="16">
        <ns0:f>IF(AND(OR('前提と出典'!$C$36+'前提と出典'!$C$38=0,U190&gt;=0),OR('前提と出典'!$C$37+'前提と出典'!$C$38=0,V190&gt;=0)),0,A190)</ns0:f>
        <ns0:v>0</ns0:v>
      </ns0:c>
      <ns0:c r="AG190" s="7">
        <ns0:f>IF(Z190&gt;=0,A190,1001)</ns0:f>
        <ns0:v>186</ns0:v>
      </ns0:c>
      <ns0:c r="AH190" s="4">
        <ns0:f>IF(Z190&lt;0,A190,0)</ns0:f>
        <ns0:v>0</ns0:v>
      </ns0:c>
      <ns0:c r="AI190" s="12">
        <ns0:f>IF(AND(OR('前提と出典'!$C$36+'前提と出典'!$C$38=0,X190&gt;=0),OR('前提と出典'!$C$37+'前提と出典'!$C$38=0,Y190&gt;=0)),0,A190)</ns0:f>
        <ns0:v>0</ns0:v>
      </ns0:c>
    </ns0:row>
    <ns0:row r="191" ht="24" customHeight="1">
      <ns0:c r="A191" s="4" t="n">
        <ns0:v>187</ns0:v>
      </ns0:c>
      <ns0:c r="B191" s="12">
        <ns0:f>A191*('前提と出典'!$C$36+'前提と出典'!$C$38)</ns0:f>
        <ns0:v>130.9</ns0:v>
      </ns0:c>
      <ns0:c r="C191" s="12">
        <ns0:f>A191*('前提と出典'!$C$37+'前提と出典'!$C$38)</ns0:f>
        <ns0:v>112.2</ns0:v>
      </ns0:c>
      <ns0:c r="D191" s="16">
        <ns0:f>A191*('前提と出典'!$C$36*'契約別単価'!C5+'前提と出典'!$C$37*'契約別単価'!C6+'前提と出典'!$C$38*'契約別単価'!C7)</ns0:f>
        <ns0:v>1345.5642458100558</ns0:v>
      </ns0:c>
      <ns0:c r="E191" s="16">
        <ns0:f>A191*('前提と出典'!$C$36*'契約別単価'!E5+'前提と出典'!$C$37*'契約別単価'!E6+'前提と出典'!$C$38*'契約別単価'!E7)</ns0:f>
        <ns0:v>361834.65080895246</ns0:v>
      </ns0:c>
      <ns0:c r="F191" s="16">
        <ns0:f>A191*('前提と出典'!$C$36*'契約別単価'!F5+'前提と出典'!$C$37*'契約別単価'!F6+'前提と出典'!$C$38*'契約別単価'!F7)</ns0:f>
        <ns0:v>142006.95470464905</ns0:v>
      </ns0:c>
      <ns0:c r="G191" s="16">
        <ns0:f>A191*('前提と出典'!$C$36*'契約別単価'!G5+'前提と出典'!$C$37*'契約別単価'!G6+'前提と出典'!$C$38*'契約別単価'!G7)</ns0:f>
        <ns0:v>372224.0223463687</ns0:v>
      </ns0:c>
      <ns0:c r="H191" s="16">
        <ns0:f>A191*('前提と出典'!$C$36*'契約別単価'!H5+'前提と出典'!$C$37*'契約別単価'!H6+'前提と出典'!$C$38*'契約別単価'!H7)</ns0:f>
        <ns0:v>129180.40425591642</ns0:v>
      </ns0:c>
      <ns0:c r="I191" s="16">
        <ns0:f>A191*('前提と出典'!$C$36*'契約別単価'!I5+'前提と出典'!$C$37*'契約別単価'!I6+'前提と出典'!$C$38*'契約別単価'!I7)</ns0:f>
        <ns0:v>7890.564245810055</ns0:v>
      </ns0:c>
      <ns0:c r="J191" s="16">
        <ns0:f>A191*('前提と出典'!$C$36*'契約別単価'!J5+'前提と出典'!$C$37*'契約別単価'!J6+'前提と出典'!$C$38*'契約別単価'!J7)</ns0:f>
        <ns0:v>18380.14467382658</ns0:v>
      </ns0:c>
      <ns0:c r="K191" s="16">
        <ns0:f>A191*('前提と出典'!$C$36*'契約別単価'!K5+'前提と出典'!$C$37*'契約別単価'!K6+'前提と出典'!$C$38*'契約別単価'!K7)</ns0:f>
        <ns0:v>78783.7616387337</ns0:v>
      </ns0:c>
      <ns0:c r="L191" s="16">
        <ns0:f>A191*('前提と出典'!$C$36*'契約別単価'!L5+'前提と出典'!$C$37*'契約別単価'!L6+'前提と出典'!$C$38*'契約別単価'!L7)</ns0:f>
        <ns0:v>64146.013475197215</ns0:v>
      </ns0:c>
      <ns0:c r="M191" s="16">
        <ns0:f>IF(('前提と出典'!$C$36+'前提と出典'!$C$38)=0,0,IF(B191&lt;=10,'前提と出典'!B73+'前提と出典'!C73,IF(B191&lt;=100,'前提と出典'!B74+'前提と出典'!C74,IF(B191&lt;=500,'前提と出典'!B75+'前提と出典'!C75,'前提と出典'!B76+'前提と出典'!C76))))</ns0:f>
        <ns0:v>40000</ns0:v>
      </ns0:c>
      <ns0:c r="N191" s="16">
        <ns0:f>IF(('前提と出典'!$C$37+'前提と出典'!$C$38)=0,0,IF(C191&lt;=10,'前提と出典'!D73+'前提と出典'!E73,IF(C191&lt;=100,'前提と出典'!D74+'前提と出典'!E74,IF(C191&lt;=500,'前提と出典'!D75+'前提と出典'!E75,'前提と出典'!D76+'前提と出典'!E76))))</ns0:f>
        <ns0:v>56510.9346263078</ns0:v>
      </ns0:c>
      <ns0:c r="O191" s="16">
        <ns0:f>IF('前提と出典'!$C$36+'前提と出典'!$C$38=0,0,'前提と出典'!$B$4*IF('前提と出典'!$B$20=0,MAX('前提と出典'!$B$6,D191*'前提と出典'!$B$5),'前提と出典'!$B$6+D191*'前提と出典'!$B$5))</ns0:f>
        <ns0:v>185687.8659217877</ns0:v>
      </ns0:c>
      <ns0:c r="P191" s="16">
        <ns0:f>(E191+G191)*(1-'前提と出典'!$B$7)-I191-K191-M191-O191</ns0:f>
        <ns0:v>395270.3691153981</ns0:v>
      </ns0:c>
      <ns0:c r="Q191" s="16">
        <ns0:f>(F191+H191)*(1-'前提と出典'!$B$7)-J191-L191-N191</ns0:f>
        <ns0:v>122387.52126265352</ns0:v>
      </ns0:c>
      <ns0:c r="R191" s="16">
        <ns0:f>P191-E191*'前提と出典'!$E$4</ns0:f>
        <ns0:v>286719.97387271246</ns0:v>
      </ns0:c>
      <ns0:c r="S191" s="16">
        <ns0:f>Q191-F191*'前提と出典'!$E$4</ns0:f>
        <ns0:v>79785.43485125882</ns0:v>
      </ns0:c>
      <ns0:c r="T191" s="7">
        <ns0:f>R191+S191</ns0:f>
        <ns0:v>366505.4087239713</ns0:v>
      </ns0:c>
      <ns0:c r="U191" s="16">
        <ns0:f>P191-E191*'前提と出典'!$E$5</ns0:f>
        <ns0:v>250536.5087918171</ns0:v>
      </ns0:c>
      <ns0:c r="V191" s="16">
        <ns0:f>Q191-F191*'前提と出典'!$E$5</ns0:f>
        <ns0:v>65584.73938079391</ns0:v>
      </ns0:c>
      <ns0:c r="W191" s="7">
        <ns0:f>U191+V191</ns0:f>
        <ns0:v>316121.248172611</ns0:v>
      </ns0:c>
      <ns0:c r="X191" s="16">
        <ns0:f>P191-E191*'前提と出典'!$E$6</ns0:f>
        <ns0:v>214353.04371092186</ns0:v>
      </ns0:c>
      <ns0:c r="Y191" s="16">
        <ns0:f>Q191-F191*'前提と出典'!$E$6</ns0:f>
        <ns0:v>51384.043910329005</ns0:v>
      </ns0:c>
      <ns0:c r="Z191" s="7">
        <ns0:f>X191+Y191</ns0:f>
        <ns0:v>265737.0876212509</ns0:v>
      </ns0:c>
      <ns0:c r="AA191" s="7">
        <ns0:f>IF(T191&gt;=0,A191,1001)</ns0:f>
        <ns0:v>187</ns0:v>
      </ns0:c>
      <ns0:c r="AB191" s="7">
        <ns0:f>IF(T191&lt;0,A191,0)</ns0:f>
        <ns0:v>0</ns0:v>
      </ns0:c>
      <ns0:c r="AC191" s="16">
        <ns0:f>IF(AND(OR('前提と出典'!$C$36+'前提と出典'!$C$38=0,R191&gt;=0),OR('前提と出典'!$C$37+'前提と出典'!$C$38=0,S191&gt;=0)),0,A191)</ns0:f>
        <ns0:v>0</ns0:v>
      </ns0:c>
      <ns0:c r="AD191" s="7">
        <ns0:f>IF(W191&gt;=0,A191,1001)</ns0:f>
        <ns0:v>187</ns0:v>
      </ns0:c>
      <ns0:c r="AE191" s="7">
        <ns0:f>IF(W191&lt;0,A191,0)</ns0:f>
        <ns0:v>0</ns0:v>
      </ns0:c>
      <ns0:c r="AF191" s="16">
        <ns0:f>IF(AND(OR('前提と出典'!$C$36+'前提と出典'!$C$38=0,U191&gt;=0),OR('前提と出典'!$C$37+'前提と出典'!$C$38=0,V191&gt;=0)),0,A191)</ns0:f>
        <ns0:v>0</ns0:v>
      </ns0:c>
      <ns0:c r="AG191" s="7">
        <ns0:f>IF(Z191&gt;=0,A191,1001)</ns0:f>
        <ns0:v>187</ns0:v>
      </ns0:c>
      <ns0:c r="AH191" s="4">
        <ns0:f>IF(Z191&lt;0,A191,0)</ns0:f>
        <ns0:v>0</ns0:v>
      </ns0:c>
      <ns0:c r="AI191" s="12">
        <ns0:f>IF(AND(OR('前提と出典'!$C$36+'前提と出典'!$C$38=0,X191&gt;=0),OR('前提と出典'!$C$37+'前提と出典'!$C$38=0,Y191&gt;=0)),0,A191)</ns0:f>
        <ns0:v>0</ns0:v>
      </ns0:c>
    </ns0:row>
    <ns0:row r="192" ht="24" customHeight="1">
      <ns0:c r="A192" s="4" t="n">
        <ns0:v>188</ns0:v>
      </ns0:c>
      <ns0:c r="B192" s="12">
        <ns0:f>A192*('前提と出典'!$C$36+'前提と出典'!$C$38)</ns0:f>
        <ns0:v>131.6</ns0:v>
      </ns0:c>
      <ns0:c r="C192" s="12">
        <ns0:f>A192*('前提と出典'!$C$37+'前提と出典'!$C$38)</ns0:f>
        <ns0:v>112.8</ns0:v>
      </ns0:c>
      <ns0:c r="D192" s="16">
        <ns0:f>A192*('前提と出典'!$C$36*'契約別単価'!C5+'前提と出典'!$C$37*'契約別単価'!C6+'前提と出典'!$C$38*'契約別単価'!C7)</ns0:f>
        <ns0:v>1352.7597765363128</ns0:v>
      </ns0:c>
      <ns0:c r="E192" s="16">
        <ns0:f>A192*('前提と出典'!$C$36*'契約別単価'!E5+'前提と出典'!$C$37*'契約別単価'!E6+'前提と出典'!$C$38*'契約別単価'!E7)</ns0:f>
        <ns0:v>363769.5954656848</ns0:v>
      </ns0:c>
      <ns0:c r="F192" s="16">
        <ns0:f>A192*('前提と出典'!$C$36*'契約別単価'!F5+'前提と出典'!$C$37*'契約別単価'!F6+'前提と出典'!$C$38*'契約別単価'!F7)</ns0:f>
        <ns0:v>142766.35018435304</ns0:v>
      </ns0:c>
      <ns0:c r="G192" s="16">
        <ns0:f>A192*('前提と出典'!$C$36*'契約別単価'!G5+'前提と出典'!$C$37*'契約別単価'!G6+'前提と出典'!$C$38*'契約別単価'!G7)</ns0:f>
        <ns0:v>374214.52513966477</ns0:v>
      </ns0:c>
      <ns0:c r="H192" s="16">
        <ns0:f>A192*('前提と出典'!$C$36*'契約別単価'!H5+'前提と出典'!$C$37*'契約別単価'!H6+'前提と出典'!$C$38*'契約別単価'!H7)</ns0:f>
        <ns0:v>129871.2085567502</ns0:v>
      </ns0:c>
      <ns0:c r="I192" s="16">
        <ns0:f>A192*('前提と出典'!$C$36*'契約別単価'!I5+'前提と出典'!$C$37*'契約別単価'!I6+'前提と出典'!$C$38*'契約別単価'!I7)</ns0:f>
        <ns0:v>7932.759776536312</ns0:v>
      </ns0:c>
      <ns0:c r="J192" s="16">
        <ns0:f>A192*('前提と出典'!$C$36*'契約別単価'!J5+'前提と出典'!$C$37*'契約別単価'!J6+'前提と出典'!$C$38*'契約別単価'!J7)</ns0:f>
        <ns0:v>18478.434217536884</ns0:v>
      </ns0:c>
      <ns0:c r="K192" s="16">
        <ns0:f>A192*('前提と出典'!$C$36*'契約別単価'!K5+'前提と出典'!$C$37*'契約別単価'!K6+'前提と出典'!$C$38*'契約別単価'!K7)</ns0:f>
        <ns0:v>79205.06517690874</ns0:v>
      </ns0:c>
      <ns0:c r="L192" s="16">
        <ns0:f>A192*('前提と出典'!$C$36*'契約別単価'!L5+'前提と出典'!$C$37*'契約別単価'!L6+'前提と出典'!$C$38*'契約別単価'!L7)</ns0:f>
        <ns0:v>64489.040285225004</ns0:v>
      </ns0:c>
      <ns0:c r="M192" s="16">
        <ns0:f>IF(('前提と出典'!$C$36+'前提と出典'!$C$38)=0,0,IF(B192&lt;=10,'前提と出典'!B73+'前提と出典'!C73,IF(B192&lt;=100,'前提と出典'!B74+'前提と出典'!C74,IF(B192&lt;=500,'前提と出典'!B75+'前提と出典'!C75,'前提と出典'!B76+'前提と出典'!C76))))</ns0:f>
        <ns0:v>40000</ns0:v>
      </ns0:c>
      <ns0:c r="N192" s="16">
        <ns0:f>IF(('前提と出典'!$C$37+'前提と出典'!$C$38)=0,0,IF(C192&lt;=10,'前提と出典'!D73+'前提と出典'!E73,IF(C192&lt;=100,'前提と出典'!D74+'前提と出典'!E74,IF(C192&lt;=500,'前提と出典'!D75+'前提と出典'!E75,'前提と出典'!D76+'前提と出典'!E76))))</ns0:f>
        <ns0:v>56510.9346263078</ns0:v>
      </ns0:c>
      <ns0:c r="O192" s="16">
        <ns0:f>IF('前提と出典'!$C$36+'前提と出典'!$C$38=0,0,'前提と出典'!$B$4*IF('前提と出典'!$B$20=0,MAX('前提と出典'!$B$6,D192*'前提と出典'!$B$5),'前提と出典'!$B$6+D192*'前提と出典'!$B$5))</ns0:f>
        <ns0:v>186680.84916201117</ns0:v>
      </ns0:c>
      <ns0:c r="P192" s="16">
        <ns0:f>(E192+G192)*(1-'前提と出典'!$B$7)-I192-K192-M192-O192</ns0:f>
        <ns0:v>397598.0181481008</ns0:v>
      </ns0:c>
      <ns0:c r="Q192" s="16">
        <ns0:f>(F192+H192)*(1-'前提と出典'!$B$7)-J192-L192-N192</ns0:f>
        <ns0:v>123344.19749735389</ns0:v>
      </ns0:c>
      <ns0:c r="R192" s="16">
        <ns0:f>P192-E192*'前提と出典'!$E$4</ns0:f>
        <ns0:v>288467.13950839534</ns0:v>
      </ns0:c>
      <ns0:c r="S192" s="16">
        <ns0:f>Q192-F192*'前提と出典'!$E$4</ns0:f>
        <ns0:v>80514.29244204797</ns0:v>
      </ns0:c>
      <ns0:c r="T192" s="7">
        <ns0:f>R192+S192</ns0:f>
        <ns0:v>368981.4319504433</ns0:v>
      </ns0:c>
      <ns0:c r="U192" s="16">
        <ns0:f>P192-E192*'前提と出典'!$E$5</ns0:f>
        <ns0:v>252090.17996182689</ns0:v>
      </ns0:c>
      <ns0:c r="V192" s="16">
        <ns0:f>Q192-F192*'前提と出典'!$E$5</ns0:f>
        <ns0:v>66237.65742361266</ns0:v>
      </ns0:c>
      <ns0:c r="W192" s="7">
        <ns0:f>U192+V192</ns0:f>
        <ns0:v>318327.83738543955</ns0:v>
      </ns0:c>
      <ns0:c r="X192" s="16">
        <ns0:f>P192-E192*'前提と出典'!$E$6</ns0:f>
        <ns0:v>215713.22041525837</ns0:v>
      </ns0:c>
      <ns0:c r="Y192" s="16">
        <ns0:f>Q192-F192*'前提と出典'!$E$6</ns0:f>
        <ns0:v>51961.02240517736</ns0:v>
      </ns0:c>
      <ns0:c r="Z192" s="7">
        <ns0:f>X192+Y192</ns0:f>
        <ns0:v>267674.2428204357</ns0:v>
      </ns0:c>
      <ns0:c r="AA192" s="7">
        <ns0:f>IF(T192&gt;=0,A192,1001)</ns0:f>
        <ns0:v>188</ns0:v>
      </ns0:c>
      <ns0:c r="AB192" s="7">
        <ns0:f>IF(T192&lt;0,A192,0)</ns0:f>
        <ns0:v>0</ns0:v>
      </ns0:c>
      <ns0:c r="AC192" s="16">
        <ns0:f>IF(AND(OR('前提と出典'!$C$36+'前提と出典'!$C$38=0,R192&gt;=0),OR('前提と出典'!$C$37+'前提と出典'!$C$38=0,S192&gt;=0)),0,A192)</ns0:f>
        <ns0:v>0</ns0:v>
      </ns0:c>
      <ns0:c r="AD192" s="7">
        <ns0:f>IF(W192&gt;=0,A192,1001)</ns0:f>
        <ns0:v>188</ns0:v>
      </ns0:c>
      <ns0:c r="AE192" s="7">
        <ns0:f>IF(W192&lt;0,A192,0)</ns0:f>
        <ns0:v>0</ns0:v>
      </ns0:c>
      <ns0:c r="AF192" s="16">
        <ns0:f>IF(AND(OR('前提と出典'!$C$36+'前提と出典'!$C$38=0,U192&gt;=0),OR('前提と出典'!$C$37+'前提と出典'!$C$38=0,V192&gt;=0)),0,A192)</ns0:f>
        <ns0:v>0</ns0:v>
      </ns0:c>
      <ns0:c r="AG192" s="7">
        <ns0:f>IF(Z192&gt;=0,A192,1001)</ns0:f>
        <ns0:v>188</ns0:v>
      </ns0:c>
      <ns0:c r="AH192" s="4">
        <ns0:f>IF(Z192&lt;0,A192,0)</ns0:f>
        <ns0:v>0</ns0:v>
      </ns0:c>
      <ns0:c r="AI192" s="12">
        <ns0:f>IF(AND(OR('前提と出典'!$C$36+'前提と出典'!$C$38=0,X192&gt;=0),OR('前提と出典'!$C$37+'前提と出典'!$C$38=0,Y192&gt;=0)),0,A192)</ns0:f>
        <ns0:v>0</ns0:v>
      </ns0:c>
    </ns0:row>
    <ns0:row r="193" ht="24" customHeight="1">
      <ns0:c r="A193" s="4" t="n">
        <ns0:v>189</ns0:v>
      </ns0:c>
      <ns0:c r="B193" s="12">
        <ns0:f>A193*('前提と出典'!$C$36+'前提と出典'!$C$38)</ns0:f>
        <ns0:v>132.29999999999998</ns0:v>
      </ns0:c>
      <ns0:c r="C193" s="12">
        <ns0:f>A193*('前提と出典'!$C$37+'前提と出典'!$C$38)</ns0:f>
        <ns0:v>113.39999999999999</ns0:v>
      </ns0:c>
      <ns0:c r="D193" s="16">
        <ns0:f>A193*('前提と出典'!$C$36*'契約別単価'!C5+'前提と出典'!$C$37*'契約別単価'!C6+'前提と出典'!$C$38*'契約別単価'!C7)</ns0:f>
        <ns0:v>1359.95530726257</ns0:v>
      </ns0:c>
      <ns0:c r="E193" s="16">
        <ns0:f>A193*('前提と出典'!$C$36*'契約別単価'!E5+'前提と出典'!$C$37*'契約別単価'!E6+'前提と出典'!$C$38*'契約別単価'!E7)</ns0:f>
        <ns0:v>365704.54012241715</ns0:v>
      </ns0:c>
      <ns0:c r="F193" s="16">
        <ns0:f>A193*('前提と出典'!$C$36*'契約別単価'!F5+'前提と出典'!$C$37*'契約別単価'!F6+'前提と出典'!$C$38*'契約別単価'!F7)</ns0:f>
        <ns0:v>143525.74566405706</ns0:v>
      </ns0:c>
      <ns0:c r="G193" s="16">
        <ns0:f>A193*('前提と出典'!$C$36*'契約別単価'!G5+'前提と出典'!$C$37*'契約別単価'!G6+'前提と出典'!$C$38*'契約別単価'!G7)</ns0:f>
        <ns0:v>376205.0279329609</ns0:v>
      </ns0:c>
      <ns0:c r="H193" s="16">
        <ns0:f>A193*('前提と出典'!$C$36*'契約別単価'!H5+'前提と出典'!$C$37*'契約別単価'!H6+'前提と出典'!$C$38*'契約別単価'!H7)</ns0:f>
        <ns0:v>130562.01285758398</ns0:v>
      </ns0:c>
      <ns0:c r="I193" s="16">
        <ns0:f>A193*('前提と出典'!$C$36*'契約別単価'!I5+'前提と出典'!$C$37*'契約別単価'!I6+'前提と出典'!$C$38*'契約別単価'!I7)</ns0:f>
        <ns0:v>7974.955307262569</ns0:v>
      </ns0:c>
      <ns0:c r="J193" s="16">
        <ns0:f>A193*('前提と出典'!$C$36*'契約別単価'!J5+'前提と出典'!$C$37*'契約別単価'!J6+'前提と出典'!$C$38*'契約別単価'!J7)</ns0:f>
        <ns0:v>18576.723761247184</ns0:v>
      </ns0:c>
      <ns0:c r="K193" s="16">
        <ns0:f>A193*('前提と出典'!$C$36*'契約別単価'!K5+'前提と出典'!$C$37*'契約別単価'!K6+'前提と出典'!$C$38*'契約別単価'!K7)</ns0:f>
        <ns0:v>79626.3687150838</ns0:v>
      </ns0:c>
      <ns0:c r="L193" s="16">
        <ns0:f>A193*('前提と出典'!$C$36*'契約別単価'!L5+'前提と出典'!$C$37*'契約別単価'!L6+'前提と出典'!$C$38*'契約別単価'!L7)</ns0:f>
        <ns0:v>64832.067095252794</ns0:v>
      </ns0:c>
      <ns0:c r="M193" s="16">
        <ns0:f>IF(('前提と出典'!$C$36+'前提と出典'!$C$38)=0,0,IF(B193&lt;=10,'前提と出典'!B73+'前提と出典'!C73,IF(B193&lt;=100,'前提と出典'!B74+'前提と出典'!C74,IF(B193&lt;=500,'前提と出典'!B75+'前提と出典'!C75,'前提と出典'!B76+'前提と出典'!C76))))</ns0:f>
        <ns0:v>40000</ns0:v>
      </ns0:c>
      <ns0:c r="N193" s="16">
        <ns0:f>IF(('前提と出典'!$C$37+'前提と出典'!$C$38)=0,0,IF(C193&lt;=10,'前提と出典'!D73+'前提と出典'!E73,IF(C193&lt;=100,'前提と出典'!D74+'前提と出典'!E74,IF(C193&lt;=500,'前提と出典'!D75+'前提と出典'!E75,'前提と出典'!D76+'前提と出典'!E76))))</ns0:f>
        <ns0:v>56510.9346263078</ns0:v>
      </ns0:c>
      <ns0:c r="O193" s="16">
        <ns0:f>IF('前提と出典'!$C$36+'前提と出典'!$C$38=0,0,'前提と出典'!$B$4*IF('前提と出典'!$B$20=0,MAX('前提と出典'!$B$6,D193*'前提と出典'!$B$5),'前提と出典'!$B$6+D193*'前提と出典'!$B$5))</ns0:f>
        <ns0:v>187673.83240223466</ns0:v>
      </ns0:c>
      <ns0:c r="P193" s="16">
        <ns0:f>(E193+G193)*(1-'前提と出典'!$B$7)-I193-K193-M193-O193</ns0:f>
        <ns0:v>399925.6671808034</ns0:v>
      </ns0:c>
      <ns0:c r="Q193" s="16">
        <ns0:f>(F193+H193)*(1-'前提と出典'!$B$7)-J193-L193-N193</ns0:f>
        <ns0:v>124300.87373205418</ns0:v>
      </ns0:c>
      <ns0:c r="R193" s="16">
        <ns0:f>P193-E193*'前提と出典'!$E$4</ns0:f>
        <ns0:v>290214.3051440782</ns0:v>
      </ns0:c>
      <ns0:c r="S193" s="16">
        <ns0:f>Q193-F193*'前提と出典'!$E$4</ns0:f>
        <ns0:v>81243.15003283706</ns0:v>
      </ns0:c>
      <ns0:c r="T193" s="7">
        <ns0:f>R193+S193</ns0:f>
        <ns0:v>371457.4551769153</ns0:v>
      </ns0:c>
      <ns0:c r="U193" s="16">
        <ns0:f>P193-E193*'前提と出典'!$E$5</ns0:f>
        <ns0:v>253643.85113183653</ns0:v>
      </ns0:c>
      <ns0:c r="V193" s="16">
        <ns0:f>Q193-F193*'前提と出典'!$E$5</ns0:f>
        <ns0:v>66890.57546643136</ns0:v>
      </ns0:c>
      <ns0:c r="W193" s="7">
        <ns0:f>U193+V193</ns0:f>
        <ns0:v>320534.42659826786</ns0:v>
      </ns0:c>
      <ns0:c r="X193" s="16">
        <ns0:f>P193-E193*'前提と出典'!$E$6</ns0:f>
        <ns0:v>217073.39711959474</ns0:v>
      </ns0:c>
      <ns0:c r="Y193" s="16">
        <ns0:f>Q193-F193*'前提と出典'!$E$6</ns0:f>
        <ns0:v>52538.00090002563</ns0:v>
      </ns0:c>
      <ns0:c r="Z193" s="7">
        <ns0:f>X193+Y193</ns0:f>
        <ns0:v>269611.3980196204</ns0:v>
      </ns0:c>
      <ns0:c r="AA193" s="7">
        <ns0:f>IF(T193&gt;=0,A193,1001)</ns0:f>
        <ns0:v>189</ns0:v>
      </ns0:c>
      <ns0:c r="AB193" s="7">
        <ns0:f>IF(T193&lt;0,A193,0)</ns0:f>
        <ns0:v>0</ns0:v>
      </ns0:c>
      <ns0:c r="AC193" s="16">
        <ns0:f>IF(AND(OR('前提と出典'!$C$36+'前提と出典'!$C$38=0,R193&gt;=0),OR('前提と出典'!$C$37+'前提と出典'!$C$38=0,S193&gt;=0)),0,A193)</ns0:f>
        <ns0:v>0</ns0:v>
      </ns0:c>
      <ns0:c r="AD193" s="7">
        <ns0:f>IF(W193&gt;=0,A193,1001)</ns0:f>
        <ns0:v>189</ns0:v>
      </ns0:c>
      <ns0:c r="AE193" s="7">
        <ns0:f>IF(W193&lt;0,A193,0)</ns0:f>
        <ns0:v>0</ns0:v>
      </ns0:c>
      <ns0:c r="AF193" s="16">
        <ns0:f>IF(AND(OR('前提と出典'!$C$36+'前提と出典'!$C$38=0,U193&gt;=0),OR('前提と出典'!$C$37+'前提と出典'!$C$38=0,V193&gt;=0)),0,A193)</ns0:f>
        <ns0:v>0</ns0:v>
      </ns0:c>
      <ns0:c r="AG193" s="7">
        <ns0:f>IF(Z193&gt;=0,A193,1001)</ns0:f>
        <ns0:v>189</ns0:v>
      </ns0:c>
      <ns0:c r="AH193" s="4">
        <ns0:f>IF(Z193&lt;0,A193,0)</ns0:f>
        <ns0:v>0</ns0:v>
      </ns0:c>
      <ns0:c r="AI193" s="12">
        <ns0:f>IF(AND(OR('前提と出典'!$C$36+'前提と出典'!$C$38=0,X193&gt;=0),OR('前提と出典'!$C$37+'前提と出典'!$C$38=0,Y193&gt;=0)),0,A193)</ns0:f>
        <ns0:v>0</ns0:v>
      </ns0:c>
    </ns0:row>
    <ns0:row r="194" ht="24" customHeight="1">
      <ns0:c r="A194" s="4" t="n">
        <ns0:v>190</ns0:v>
      </ns0:c>
      <ns0:c r="B194" s="12">
        <ns0:f>A194*('前提と出典'!$C$36+'前提と出典'!$C$38)</ns0:f>
        <ns0:v>133</ns0:v>
      </ns0:c>
      <ns0:c r="C194" s="12">
        <ns0:f>A194*('前提と出典'!$C$37+'前提と出典'!$C$38)</ns0:f>
        <ns0:v>114</ns0:v>
      </ns0:c>
      <ns0:c r="D194" s="16">
        <ns0:f>A194*('前提と出典'!$C$36*'契約別単価'!C5+'前提と出典'!$C$37*'契約別単価'!C6+'前提と出典'!$C$38*'契約別単価'!C7)</ns0:f>
        <ns0:v>1367.1508379888269</ns0:v>
      </ns0:c>
      <ns0:c r="E194" s="16">
        <ns0:f>A194*('前提と出典'!$C$36*'契約別単価'!E5+'前提と出典'!$C$37*'契約別単価'!E6+'前提と出典'!$C$38*'契約別単価'!E7)</ns0:f>
        <ns0:v>367639.4847791495</ns0:v>
      </ns0:c>
      <ns0:c r="F194" s="16">
        <ns0:f>A194*('前提と出典'!$C$36*'契約別単価'!F5+'前提と出典'!$C$37*'契約別単価'!F6+'前提と出典'!$C$38*'契約別単価'!F7)</ns0:f>
        <ns0:v>144285.14114376105</ns0:v>
      </ns0:c>
      <ns0:c r="G194" s="16">
        <ns0:f>A194*('前提と出典'!$C$36*'契約別単価'!G5+'前提と出典'!$C$37*'契約別単価'!G6+'前提と出典'!$C$38*'契約別単価'!G7)</ns0:f>
        <ns0:v>378195.53072625695</ns0:v>
      </ns0:c>
      <ns0:c r="H194" s="16">
        <ns0:f>A194*('前提と出典'!$C$36*'契約別単価'!H5+'前提と出典'!$C$37*'契約別単価'!H6+'前提と出典'!$C$38*'契約別単価'!H7)</ns0:f>
        <ns0:v>131252.81715841775</ns0:v>
      </ns0:c>
      <ns0:c r="I194" s="16">
        <ns0:f>A194*('前提と出典'!$C$36*'契約別単価'!I5+'前提と出典'!$C$37*'契約別単価'!I6+'前提と出典'!$C$38*'契約別単価'!I7)</ns0:f>
        <ns0:v>8017.1508379888255</ns0:v>
      </ns0:c>
      <ns0:c r="J194" s="16">
        <ns0:f>A194*('前提と出典'!$C$36*'契約別単価'!J5+'前提と出典'!$C$37*'契約別単価'!J6+'前提と出典'!$C$38*'契約別単価'!J7)</ns0:f>
        <ns0:v>18675.013304957487</ns0:v>
      </ns0:c>
      <ns0:c r="K194" s="16">
        <ns0:f>A194*('前提と出典'!$C$36*'契約別単価'!K5+'前提と出典'!$C$37*'契約別単価'!K6+'前提と出典'!$C$38*'契約別単価'!K7)</ns0:f>
        <ns0:v>80047.67225325885</ns0:v>
      </ns0:c>
      <ns0:c r="L194" s="16">
        <ns0:f>A194*('前提と出典'!$C$36*'契約別単価'!L5+'前提と出典'!$C$37*'契約別単価'!L6+'前提と出典'!$C$38*'契約別単価'!L7)</ns0:f>
        <ns0:v>65175.09390528059</ns0:v>
      </ns0:c>
      <ns0:c r="M194" s="16">
        <ns0:f>IF(('前提と出典'!$C$36+'前提と出典'!$C$38)=0,0,IF(B194&lt;=10,'前提と出典'!B73+'前提と出典'!C73,IF(B194&lt;=100,'前提と出典'!B74+'前提と出典'!C74,IF(B194&lt;=500,'前提と出典'!B75+'前提と出典'!C75,'前提と出典'!B76+'前提と出典'!C76))))</ns0:f>
        <ns0:v>40000</ns0:v>
      </ns0:c>
      <ns0:c r="N194" s="16">
        <ns0:f>IF(('前提と出典'!$C$37+'前提と出典'!$C$38)=0,0,IF(C194&lt;=10,'前提と出典'!D73+'前提と出典'!E73,IF(C194&lt;=100,'前提と出典'!D74+'前提と出典'!E74,IF(C194&lt;=500,'前提と出典'!D75+'前提と出典'!E75,'前提と出典'!D76+'前提と出典'!E76))))</ns0:f>
        <ns0:v>56510.9346263078</ns0:v>
      </ns0:c>
      <ns0:c r="O194" s="16">
        <ns0:f>IF('前提と出典'!$C$36+'前提と出典'!$C$38=0,0,'前提と出典'!$B$4*IF('前提と出典'!$B$20=0,MAX('前提と出典'!$B$6,D194*'前提と出典'!$B$5),'前提と出典'!$B$6+D194*'前提と出典'!$B$5))</ns0:f>
        <ns0:v>188666.81564245812</ns0:v>
      </ns0:c>
      <ns0:c r="P194" s="16">
        <ns0:f>(E194+G194)*(1-'前提と出典'!$B$7)-I194-K194-M194-O194</ns0:f>
        <ns0:v>402253.31621350604</ns0:v>
      </ns0:c>
      <ns0:c r="Q194" s="16">
        <ns0:f>(F194+H194)*(1-'前提と出典'!$B$7)-J194-L194-N194</ns0:f>
        <ns0:v>125257.54996675448</ns0:v>
      </ns0:c>
      <ns0:c r="R194" s="16">
        <ns0:f>P194-E194*'前提と出典'!$E$4</ns0:f>
        <ns0:v>291961.4707797612</ns0:v>
      </ns0:c>
      <ns0:c r="S194" s="16">
        <ns0:f>Q194-F194*'前提と出典'!$E$4</ns0:f>
        <ns0:v>81972.00762362615</ns0:v>
      </ns0:c>
      <ns0:c r="T194" s="7">
        <ns0:f>R194+S194</ns0:f>
        <ns0:v>373933.47840338736</ns0:v>
      </ns0:c>
      <ns0:c r="U194" s="16">
        <ns0:f>P194-E194*'前提と出典'!$E$5</ns0:f>
        <ns0:v>255197.5223018462</ns0:v>
      </ns0:c>
      <ns0:c r="V194" s="16">
        <ns0:f>Q194-F194*'前提と出典'!$E$5</ns0:f>
        <ns0:v>67543.49350925005</ns0:v>
      </ns0:c>
      <ns0:c r="W194" s="7">
        <ns0:f>U194+V194</ns0:f>
        <ns0:v>322741.0158110963</ns0:v>
      </ns0:c>
      <ns0:c r="X194" s="16">
        <ns0:f>P194-E194*'前提と出典'!$E$6</ns0:f>
        <ns0:v>218433.5738239313</ns0:v>
      </ns0:c>
      <ns0:c r="Y194" s="16">
        <ns0:f>Q194-F194*'前提と出典'!$E$6</ns0:f>
        <ns0:v>53114.979394873946</ns0:v>
      </ns0:c>
      <ns0:c r="Z194" s="7">
        <ns0:f>X194+Y194</ns0:f>
        <ns0:v>271548.55321880523</ns0:v>
      </ns0:c>
      <ns0:c r="AA194" s="7">
        <ns0:f>IF(T194&gt;=0,A194,1001)</ns0:f>
        <ns0:v>190</ns0:v>
      </ns0:c>
      <ns0:c r="AB194" s="7">
        <ns0:f>IF(T194&lt;0,A194,0)</ns0:f>
        <ns0:v>0</ns0:v>
      </ns0:c>
      <ns0:c r="AC194" s="16">
        <ns0:f>IF(AND(OR('前提と出典'!$C$36+'前提と出典'!$C$38=0,R194&gt;=0),OR('前提と出典'!$C$37+'前提と出典'!$C$38=0,S194&gt;=0)),0,A194)</ns0:f>
        <ns0:v>0</ns0:v>
      </ns0:c>
      <ns0:c r="AD194" s="7">
        <ns0:f>IF(W194&gt;=0,A194,1001)</ns0:f>
        <ns0:v>190</ns0:v>
      </ns0:c>
      <ns0:c r="AE194" s="7">
        <ns0:f>IF(W194&lt;0,A194,0)</ns0:f>
        <ns0:v>0</ns0:v>
      </ns0:c>
      <ns0:c r="AF194" s="16">
        <ns0:f>IF(AND(OR('前提と出典'!$C$36+'前提と出典'!$C$38=0,U194&gt;=0),OR('前提と出典'!$C$37+'前提と出典'!$C$38=0,V194&gt;=0)),0,A194)</ns0:f>
        <ns0:v>0</ns0:v>
      </ns0:c>
      <ns0:c r="AG194" s="7">
        <ns0:f>IF(Z194&gt;=0,A194,1001)</ns0:f>
        <ns0:v>190</ns0:v>
      </ns0:c>
      <ns0:c r="AH194" s="4">
        <ns0:f>IF(Z194&lt;0,A194,0)</ns0:f>
        <ns0:v>0</ns0:v>
      </ns0:c>
      <ns0:c r="AI194" s="12">
        <ns0:f>IF(AND(OR('前提と出典'!$C$36+'前提と出典'!$C$38=0,X194&gt;=0),OR('前提と出典'!$C$37+'前提と出典'!$C$38=0,Y194&gt;=0)),0,A194)</ns0:f>
        <ns0:v>0</ns0:v>
      </ns0:c>
    </ns0:row>
    <ns0:row r="195" ht="24" customHeight="1">
      <ns0:c r="A195" s="4" t="n">
        <ns0:v>191</ns0:v>
      </ns0:c>
      <ns0:c r="B195" s="12">
        <ns0:f>A195*('前提と出典'!$C$36+'前提と出典'!$C$38)</ns0:f>
        <ns0:v>133.7</ns0:v>
      </ns0:c>
      <ns0:c r="C195" s="12">
        <ns0:f>A195*('前提と出典'!$C$37+'前提と出典'!$C$38)</ns0:f>
        <ns0:v>114.6</ns0:v>
      </ns0:c>
      <ns0:c r="D195" s="16">
        <ns0:f>A195*('前提と出典'!$C$36*'契約別単価'!C5+'前提と出典'!$C$37*'契約別単価'!C6+'前提と出典'!$C$38*'契約別単価'!C7)</ns0:f>
        <ns0:v>1374.3463687150838</ns0:v>
      </ns0:c>
      <ns0:c r="E195" s="16">
        <ns0:f>A195*('前提と出典'!$C$36*'契約別単価'!E5+'前提と出典'!$C$37*'契約別単価'!E6+'前提と出典'!$C$38*'契約別単価'!E7)</ns0:f>
        <ns0:v>369574.4294358819</ns0:v>
      </ns0:c>
      <ns0:c r="F195" s="16">
        <ns0:f>A195*('前提と出典'!$C$36*'契約別単価'!F5+'前提と出典'!$C$37*'契約別単価'!F6+'前提と出典'!$C$38*'契約別単価'!F7)</ns0:f>
        <ns0:v>145044.53662346507</ns0:v>
      </ns0:c>
      <ns0:c r="G195" s="16">
        <ns0:f>A195*('前提と出典'!$C$36*'契約別単価'!G5+'前提と出典'!$C$37*'契約別単価'!G6+'前提と出典'!$C$38*'契約別単価'!G7)</ns0:f>
        <ns0:v>380186.0335195531</ns0:v>
      </ns0:c>
      <ns0:c r="H195" s="16">
        <ns0:f>A195*('前提と出典'!$C$36*'契約別単価'!H5+'前提と出典'!$C$37*'契約別単価'!H6+'前提と出典'!$C$38*'契約別単価'!H7)</ns0:f>
        <ns0:v>131943.62145925153</ns0:v>
      </ns0:c>
      <ns0:c r="I195" s="16">
        <ns0:f>A195*('前提と出典'!$C$36*'契約別単価'!I5+'前提と出典'!$C$37*'契約別単価'!I6+'前提と出典'!$C$38*'契約別単価'!I7)</ns0:f>
        <ns0:v>8059.3463687150825</ns0:v>
      </ns0:c>
      <ns0:c r="J195" s="16">
        <ns0:f>A195*('前提と出典'!$C$36*'契約別単価'!J5+'前提と出典'!$C$37*'契約別単価'!J6+'前提と出典'!$C$38*'契約別単価'!J7)</ns0:f>
        <ns0:v>18773.30284866779</ns0:v>
      </ns0:c>
      <ns0:c r="K195" s="16">
        <ns0:f>A195*('前提と出典'!$C$36*'契約別単価'!K5+'前提と出典'!$C$37*'契約別単価'!K6+'前提と出典'!$C$38*'契約別単価'!K7)</ns0:f>
        <ns0:v>80468.97579143388</ns0:v>
      </ns0:c>
      <ns0:c r="L195" s="16">
        <ns0:f>A195*('前提と出典'!$C$36*'契約別単価'!L5+'前提と出典'!$C$37*'契約別単価'!L6+'前提と出典'!$C$38*'契約別単価'!L7)</ns0:f>
        <ns0:v>65518.12071530838</ns0:v>
      </ns0:c>
      <ns0:c r="M195" s="16">
        <ns0:f>IF(('前提と出典'!$C$36+'前提と出典'!$C$38)=0,0,IF(B195&lt;=10,'前提と出典'!B73+'前提と出典'!C73,IF(B195&lt;=100,'前提と出典'!B74+'前提と出典'!C74,IF(B195&lt;=500,'前提と出典'!B75+'前提と出典'!C75,'前提と出典'!B76+'前提と出典'!C76))))</ns0:f>
        <ns0:v>40000</ns0:v>
      </ns0:c>
      <ns0:c r="N195" s="16">
        <ns0:f>IF(('前提と出典'!$C$37+'前提と出典'!$C$38)=0,0,IF(C195&lt;=10,'前提と出典'!D73+'前提と出典'!E73,IF(C195&lt;=100,'前提と出典'!D74+'前提と出典'!E74,IF(C195&lt;=500,'前提と出典'!D75+'前提と出典'!E75,'前提と出典'!D76+'前提と出典'!E76))))</ns0:f>
        <ns0:v>56510.9346263078</ns0:v>
      </ns0:c>
      <ns0:c r="O195" s="16">
        <ns0:f>IF('前提と出典'!$C$36+'前提と出典'!$C$38=0,0,'前提と出典'!$B$4*IF('前提と出典'!$B$20=0,MAX('前提と出典'!$B$6,D195*'前提と出典'!$B$5),'前提と出典'!$B$6+D195*'前提と出典'!$B$5))</ns0:f>
        <ns0:v>189659.79888268159</ns0:v>
      </ns0:c>
      <ns0:c r="P195" s="16">
        <ns0:f>(E195+G195)*(1-'前提と出典'!$B$7)-I195-K195-M195-O195</ns0:f>
        <ns0:v>404580.9652462088</ns0:v>
      </ns0:c>
      <ns0:c r="Q195" s="16">
        <ns0:f>(F195+H195)*(1-'前提と出典'!$B$7)-J195-L195-N195</ns0:f>
        <ns0:v>126214.22620145488</ns0:v>
      </ns0:c>
      <ns0:c r="R195" s="16">
        <ns0:f>P195-E195*'前提と出典'!$E$4</ns0:f>
        <ns0:v>293708.6364154442</ns0:v>
      </ns0:c>
      <ns0:c r="S195" s="16">
        <ns0:f>Q195-F195*'前提と出典'!$E$4</ns0:f>
        <ns0:v>82700.86521441536</ns0:v>
      </ns0:c>
      <ns0:c r="T195" s="7">
        <ns0:f>R195+S195</ns0:f>
        <ns0:v>376409.50162985956</ns0:v>
      </ns0:c>
      <ns0:c r="U195" s="16">
        <ns0:f>P195-E195*'前提と出典'!$E$5</ns0:f>
        <ns0:v>256751.19347185607</ns0:v>
      </ns0:c>
      <ns0:c r="V195" s="16">
        <ns0:f>Q195-F195*'前提と出典'!$E$5</ns0:f>
        <ns0:v>68196.41155206884</ns0:v>
      </ns0:c>
      <ns0:c r="W195" s="7">
        <ns0:f>U195+V195</ns0:f>
        <ns0:v>324947.6050239249</ns0:v>
      </ns0:c>
      <ns0:c r="X195" s="16">
        <ns0:f>P195-E195*'前提と出典'!$E$6</ns0:f>
        <ns0:v>219793.75052826793</ns0:v>
      </ns0:c>
      <ns0:c r="Y195" s="16">
        <ns0:f>Q195-F195*'前提と出典'!$E$6</ns0:f>
        <ns0:v>53691.95788972235</ns0:v>
      </ns0:c>
      <ns0:c r="Z195" s="7">
        <ns0:f>X195+Y195</ns0:f>
        <ns0:v>273485.7084179903</ns0:v>
      </ns0:c>
      <ns0:c r="AA195" s="7">
        <ns0:f>IF(T195&gt;=0,A195,1001)</ns0:f>
        <ns0:v>191</ns0:v>
      </ns0:c>
      <ns0:c r="AB195" s="7">
        <ns0:f>IF(T195&lt;0,A195,0)</ns0:f>
        <ns0:v>0</ns0:v>
      </ns0:c>
      <ns0:c r="AC195" s="16">
        <ns0:f>IF(AND(OR('前提と出典'!$C$36+'前提と出典'!$C$38=0,R195&gt;=0),OR('前提と出典'!$C$37+'前提と出典'!$C$38=0,S195&gt;=0)),0,A195)</ns0:f>
        <ns0:v>0</ns0:v>
      </ns0:c>
      <ns0:c r="AD195" s="7">
        <ns0:f>IF(W195&gt;=0,A195,1001)</ns0:f>
        <ns0:v>191</ns0:v>
      </ns0:c>
      <ns0:c r="AE195" s="7">
        <ns0:f>IF(W195&lt;0,A195,0)</ns0:f>
        <ns0:v>0</ns0:v>
      </ns0:c>
      <ns0:c r="AF195" s="16">
        <ns0:f>IF(AND(OR('前提と出典'!$C$36+'前提と出典'!$C$38=0,U195&gt;=0),OR('前提と出典'!$C$37+'前提と出典'!$C$38=0,V195&gt;=0)),0,A195)</ns0:f>
        <ns0:v>0</ns0:v>
      </ns0:c>
      <ns0:c r="AG195" s="7">
        <ns0:f>IF(Z195&gt;=0,A195,1001)</ns0:f>
        <ns0:v>191</ns0:v>
      </ns0:c>
      <ns0:c r="AH195" s="4">
        <ns0:f>IF(Z195&lt;0,A195,0)</ns0:f>
        <ns0:v>0</ns0:v>
      </ns0:c>
      <ns0:c r="AI195" s="12">
        <ns0:f>IF(AND(OR('前提と出典'!$C$36+'前提と出典'!$C$38=0,X195&gt;=0),OR('前提と出典'!$C$37+'前提と出典'!$C$38=0,Y195&gt;=0)),0,A195)</ns0:f>
        <ns0:v>0</ns0:v>
      </ns0:c>
    </ns0:row>
    <ns0:row r="196" ht="24" customHeight="1">
      <ns0:c r="A196" s="4" t="n">
        <ns0:v>192</ns0:v>
      </ns0:c>
      <ns0:c r="B196" s="12">
        <ns0:f>A196*('前提と出典'!$C$36+'前提と出典'!$C$38)</ns0:f>
        <ns0:v>134.39999999999998</ns0:v>
      </ns0:c>
      <ns0:c r="C196" s="12">
        <ns0:f>A196*('前提と出典'!$C$37+'前提と出典'!$C$38)</ns0:f>
        <ns0:v>115.19999999999999</ns0:v>
      </ns0:c>
      <ns0:c r="D196" s="16">
        <ns0:f>A196*('前提と出典'!$C$36*'契約別単価'!C5+'前提と出典'!$C$37*'契約別単価'!C6+'前提と出典'!$C$38*'契約別単価'!C7)</ns0:f>
        <ns0:v>1381.5418994413408</ns0:v>
      </ns0:c>
      <ns0:c r="E196" s="16">
        <ns0:f>A196*('前提と出典'!$C$36*'契約別単価'!E5+'前提と出典'!$C$37*'契約別単価'!E6+'前提と出典'!$C$38*'契約別単価'!E7)</ns0:f>
        <ns0:v>371509.3740926143</ns0:v>
      </ns0:c>
      <ns0:c r="F196" s="16">
        <ns0:f>A196*('前提と出典'!$C$36*'契約別単価'!F5+'前提と出典'!$C$37*'契約別単価'!F6+'前提と出典'!$C$38*'契約別単価'!F7)</ns0:f>
        <ns0:v>145803.93210316906</ns0:v>
      </ns0:c>
      <ns0:c r="G196" s="16">
        <ns0:f>A196*('前提と出典'!$C$36*'契約別単価'!G5+'前提と出典'!$C$37*'契約別単価'!G6+'前提と出典'!$C$38*'契約別単価'!G7)</ns0:f>
        <ns0:v>382176.53631284914</ns0:v>
      </ns0:c>
      <ns0:c r="H196" s="16">
        <ns0:f>A196*('前提と出典'!$C$36*'契約別単価'!H5+'前提と出典'!$C$37*'契約別単価'!H6+'前提と出典'!$C$38*'契約別単価'!H7)</ns0:f>
        <ns0:v>132634.42576008532</ns0:v>
      </ns0:c>
      <ns0:c r="I196" s="16">
        <ns0:f>A196*('前提と出典'!$C$36*'契約別単価'!I5+'前提と出典'!$C$37*'契約別単価'!I6+'前提と出典'!$C$38*'契約別単価'!I7)</ns0:f>
        <ns0:v>8101.541899441339</ns0:v>
      </ns0:c>
      <ns0:c r="J196" s="16">
        <ns0:f>A196*('前提と出典'!$C$36*'契約別単価'!J5+'前提と出典'!$C$37*'契約別単価'!J6+'前提と出典'!$C$38*'契約別単価'!J7)</ns0:f>
        <ns0:v>18871.592392378094</ns0:v>
      </ns0:c>
      <ns0:c r="K196" s="16">
        <ns0:f>A196*('前提と出典'!$C$36*'契約別単価'!K5+'前提と出典'!$C$37*'契約別単価'!K6+'前提と出典'!$C$38*'契約別単価'!K7)</ns0:f>
        <ns0:v>80890.27932960894</ns0:v>
      </ns0:c>
      <ns0:c r="L196" s="16">
        <ns0:f>A196*('前提と出典'!$C$36*'契約別単価'!L5+'前提と出典'!$C$37*'契約別単価'!L6+'前提と出典'!$C$38*'契約別単価'!L7)</ns0:f>
        <ns0:v>65861.14752533617</ns0:v>
      </ns0:c>
      <ns0:c r="M196" s="16">
        <ns0:f>IF(('前提と出典'!$C$36+'前提と出典'!$C$38)=0,0,IF(B196&lt;=10,'前提と出典'!B73+'前提と出典'!C73,IF(B196&lt;=100,'前提と出典'!B74+'前提と出典'!C74,IF(B196&lt;=500,'前提と出典'!B75+'前提と出典'!C75,'前提と出典'!B76+'前提と出典'!C76))))</ns0:f>
        <ns0:v>40000</ns0:v>
      </ns0:c>
      <ns0:c r="N196" s="16">
        <ns0:f>IF(('前提と出典'!$C$37+'前提と出典'!$C$38)=0,0,IF(C196&lt;=10,'前提と出典'!D73+'前提と出典'!E73,IF(C196&lt;=100,'前提と出典'!D74+'前提と出典'!E74,IF(C196&lt;=500,'前提と出典'!D75+'前提と出典'!E75,'前提と出典'!D76+'前提と出典'!E76))))</ns0:f>
        <ns0:v>56510.9346263078</ns0:v>
      </ns0:c>
      <ns0:c r="O196" s="16">
        <ns0:f>IF('前提と出典'!$C$36+'前提と出典'!$C$38=0,0,'前提と出典'!$B$4*IF('前提と出典'!$B$20=0,MAX('前提と出典'!$B$6,D196*'前提と出典'!$B$5),'前提と出典'!$B$6+D196*'前提と出典'!$B$5))</ns0:f>
        <ns0:v>190652.78212290505</ns0:v>
      </ns0:c>
      <ns0:c r="P196" s="16">
        <ns0:f>(E196+G196)*(1-'前提と出典'!$B$7)-I196-K196-M196-O196</ns0:f>
        <ns0:v>406908.6142789114</ns0:v>
      </ns0:c>
      <ns0:c r="Q196" s="16">
        <ns0:f>(F196+H196)*(1-'前提と出典'!$B$7)-J196-L196-N196</ns0:f>
        <ns0:v>127170.90243615516</ns0:v>
      </ns0:c>
      <ns0:c r="R196" s="16">
        <ns0:f>P196-E196*'前提と出典'!$E$4</ns0:f>
        <ns0:v>295455.8020511272</ns0:v>
      </ns0:c>
      <ns0:c r="S196" s="16">
        <ns0:f>Q196-F196*'前提と出典'!$E$4</ns0:f>
        <ns0:v>83429.7228052044</ns0:v>
      </ns0:c>
      <ns0:c r="T196" s="7">
        <ns0:f>R196+S196</ns0:f>
        <ns0:v>378885.5248563316</ns0:v>
      </ns0:c>
      <ns0:c r="U196" s="16">
        <ns0:f>P196-E196*'前提と出典'!$E$5</ns0:f>
        <ns0:v>258304.86464186563</ns0:v>
      </ns0:c>
      <ns0:c r="V196" s="16">
        <ns0:f>Q196-F196*'前提と出典'!$E$5</ns0:f>
        <ns0:v>68849.32959488753</ns0:v>
      </ns0:c>
      <ns0:c r="W196" s="7">
        <ns0:f>U196+V196</ns0:f>
        <ns0:v>327154.19423675316</ns0:v>
      </ns0:c>
      <ns0:c r="X196" s="16">
        <ns0:f>P196-E196*'前提と出典'!$E$6</ns0:f>
        <ns0:v>221153.92723260415</ns0:v>
      </ns0:c>
      <ns0:c r="Y196" s="16">
        <ns0:f>Q196-F196*'前提と出典'!$E$6</ns0:f>
        <ns0:v>54268.93638457063</ns0:v>
      </ns0:c>
      <ns0:c r="Z196" s="7">
        <ns0:f>X196+Y196</ns0:f>
        <ns0:v>275422.8636171748</ns0:v>
      </ns0:c>
      <ns0:c r="AA196" s="7">
        <ns0:f>IF(T196&gt;=0,A196,1001)</ns0:f>
        <ns0:v>192</ns0:v>
      </ns0:c>
      <ns0:c r="AB196" s="7">
        <ns0:f>IF(T196&lt;0,A196,0)</ns0:f>
        <ns0:v>0</ns0:v>
      </ns0:c>
      <ns0:c r="AC196" s="16">
        <ns0:f>IF(AND(OR('前提と出典'!$C$36+'前提と出典'!$C$38=0,R196&gt;=0),OR('前提と出典'!$C$37+'前提と出典'!$C$38=0,S196&gt;=0)),0,A196)</ns0:f>
        <ns0:v>0</ns0:v>
      </ns0:c>
      <ns0:c r="AD196" s="7">
        <ns0:f>IF(W196&gt;=0,A196,1001)</ns0:f>
        <ns0:v>192</ns0:v>
      </ns0:c>
      <ns0:c r="AE196" s="7">
        <ns0:f>IF(W196&lt;0,A196,0)</ns0:f>
        <ns0:v>0</ns0:v>
      </ns0:c>
      <ns0:c r="AF196" s="16">
        <ns0:f>IF(AND(OR('前提と出典'!$C$36+'前提と出典'!$C$38=0,U196&gt;=0),OR('前提と出典'!$C$37+'前提と出典'!$C$38=0,V196&gt;=0)),0,A196)</ns0:f>
        <ns0:v>0</ns0:v>
      </ns0:c>
      <ns0:c r="AG196" s="7">
        <ns0:f>IF(Z196&gt;=0,A196,1001)</ns0:f>
        <ns0:v>192</ns0:v>
      </ns0:c>
      <ns0:c r="AH196" s="4">
        <ns0:f>IF(Z196&lt;0,A196,0)</ns0:f>
        <ns0:v>0</ns0:v>
      </ns0:c>
      <ns0:c r="AI196" s="12">
        <ns0:f>IF(AND(OR('前提と出典'!$C$36+'前提と出典'!$C$38=0,X196&gt;=0),OR('前提と出典'!$C$37+'前提と出典'!$C$38=0,Y196&gt;=0)),0,A196)</ns0:f>
        <ns0:v>0</ns0:v>
      </ns0:c>
    </ns0:row>
    <ns0:row r="197" ht="24" customHeight="1">
      <ns0:c r="A197" s="4" t="n">
        <ns0:v>193</ns0:v>
      </ns0:c>
      <ns0:c r="B197" s="12">
        <ns0:f>A197*('前提と出典'!$C$36+'前提と出典'!$C$38)</ns0:f>
        <ns0:v>135.1</ns0:v>
      </ns0:c>
      <ns0:c r="C197" s="12">
        <ns0:f>A197*('前提と出典'!$C$37+'前提と出典'!$C$38)</ns0:f>
        <ns0:v>115.8</ns0:v>
      </ns0:c>
      <ns0:c r="D197" s="16">
        <ns0:f>A197*('前提と出典'!$C$36*'契約別単価'!C5+'前提と出典'!$C$37*'契約別単価'!C6+'前提と出典'!$C$38*'契約別単価'!C7)</ns0:f>
        <ns0:v>1388.7374301675977</ns0:v>
      </ns0:c>
      <ns0:c r="E197" s="16">
        <ns0:f>A197*('前提と出典'!$C$36*'契約別単価'!E5+'前提と出典'!$C$37*'契約別単価'!E6+'前提と出典'!$C$38*'契約別単価'!E7)</ns0:f>
        <ns0:v>373444.31874934665</ns0:v>
      </ns0:c>
      <ns0:c r="F197" s="16">
        <ns0:f>A197*('前提と出典'!$C$36*'契約別単価'!F5+'前提と出典'!$C$37*'契約別単価'!F6+'前提と出典'!$C$38*'契約別単価'!F7)</ns0:f>
        <ns0:v>146563.32758287305</ns0:v>
      </ns0:c>
      <ns0:c r="G197" s="16">
        <ns0:f>A197*('前提と出典'!$C$36*'契約別単価'!G5+'前提と出典'!$C$37*'契約別単価'!G6+'前提と出典'!$C$38*'契約別単価'!G7)</ns0:f>
        <ns0:v>384167.0391061452</ns0:v>
      </ns0:c>
      <ns0:c r="H197" s="16">
        <ns0:f>A197*('前提と出典'!$C$36*'契約別単価'!H5+'前提と出典'!$C$37*'契約別単価'!H6+'前提と出典'!$C$38*'契約別単価'!H7)</ns0:f>
        <ns0:v>133325.2300609191</ns0:v>
      </ns0:c>
      <ns0:c r="I197" s="16">
        <ns0:f>A197*('前提と出典'!$C$36*'契約別単価'!I5+'前提と出典'!$C$37*'契約別単価'!I6+'前提と出典'!$C$38*'契約別単価'!I7)</ns0:f>
        <ns0:v>8143.737430167596</ns0:v>
      </ns0:c>
      <ns0:c r="J197" s="16">
        <ns0:f>A197*('前提と出典'!$C$36*'契約別単価'!J5+'前提と出典'!$C$37*'契約別単価'!J6+'前提と出典'!$C$38*'契約別単価'!J7)</ns0:f>
        <ns0:v>18969.881936088397</ns0:v>
      </ns0:c>
      <ns0:c r="K197" s="16">
        <ns0:f>A197*('前提と出典'!$C$36*'契約別単価'!K5+'前提と出典'!$C$37*'契約別単価'!K6+'前提と出典'!$C$38*'契約別単価'!K7)</ns0:f>
        <ns0:v>81311.58286778397</ns0:v>
      </ns0:c>
      <ns0:c r="L197" s="16">
        <ns0:f>A197*('前提と出典'!$C$36*'契約別単価'!L5+'前提と出典'!$C$37*'契約別単価'!L6+'前提と出典'!$C$38*'契約別単価'!L7)</ns0:f>
        <ns0:v>66204.17433536396</ns0:v>
      </ns0:c>
      <ns0:c r="M197" s="16">
        <ns0:f>IF(('前提と出典'!$C$36+'前提と出典'!$C$38)=0,0,IF(B197&lt;=10,'前提と出典'!B73+'前提と出典'!C73,IF(B197&lt;=100,'前提と出典'!B74+'前提と出典'!C74,IF(B197&lt;=500,'前提と出典'!B75+'前提と出典'!C75,'前提と出典'!B76+'前提と出典'!C76))))</ns0:f>
        <ns0:v>40000</ns0:v>
      </ns0:c>
      <ns0:c r="N197" s="16">
        <ns0:f>IF(('前提と出典'!$C$37+'前提と出典'!$C$38)=0,0,IF(C197&lt;=10,'前提と出典'!D73+'前提と出典'!E73,IF(C197&lt;=100,'前提と出典'!D74+'前提と出典'!E74,IF(C197&lt;=500,'前提と出典'!D75+'前提と出典'!E75,'前提と出典'!D76+'前提と出典'!E76))))</ns0:f>
        <ns0:v>56510.9346263078</ns0:v>
      </ns0:c>
      <ns0:c r="O197" s="16">
        <ns0:f>IF('前提と出典'!$C$36+'前提と出典'!$C$38=0,0,'前提と出典'!$B$4*IF('前提と出典'!$B$20=0,MAX('前提と出典'!$B$6,D197*'前提と出典'!$B$5),'前提と出典'!$B$6+D197*'前提と出典'!$B$5))</ns0:f>
        <ns0:v>191645.76536312848</ns0:v>
      </ns0:c>
      <ns0:c r="P197" s="16">
        <ns0:f>(E197+G197)*(1-'前提と出典'!$B$7)-I197-K197-M197-O197</ns0:f>
        <ns0:v>409236.26331161405</ns0:v>
      </ns0:c>
      <ns0:c r="Q197" s="16">
        <ns0:f>(F197+H197)*(1-'前提と出典'!$B$7)-J197-L197-N197</ns0:f>
        <ns0:v>128127.57867085545</ns0:v>
      </ns0:c>
      <ns0:c r="R197" s="16">
        <ns0:f>P197-E197*'前提と出典'!$E$4</ns0:f>
        <ns0:v>297202.96768681007</ns0:v>
      </ns0:c>
      <ns0:c r="S197" s="16">
        <ns0:f>Q197-F197*'前提と出典'!$E$4</ns0:f>
        <ns0:v>84158.58039599351</ns0:v>
      </ns0:c>
      <ns0:c r="T197" s="7">
        <ns0:f>R197+S197</ns0:f>
        <ns0:v>381361.5480828036</ns0:v>
      </ns0:c>
      <ns0:c r="U197" s="16">
        <ns0:f>P197-E197*'前提と出典'!$E$5</ns0:f>
        <ns0:v>259858.5358118754</ns0:v>
      </ns0:c>
      <ns0:c r="V197" s="16">
        <ns0:f>Q197-F197*'前提と出典'!$E$5</ns0:f>
        <ns0:v>69502.24763770623</ns0:v>
      </ns0:c>
      <ns0:c r="W197" s="7">
        <ns0:f>U197+V197</ns0:f>
        <ns0:v>329360.7834495816</ns0:v>
      </ns0:c>
      <ns0:c r="X197" s="16">
        <ns0:f>P197-E197*'前提と出典'!$E$6</ns0:f>
        <ns0:v>222514.1039369407</ns0:v>
      </ns0:c>
      <ns0:c r="Y197" s="16">
        <ns0:f>Q197-F197*'前提と出典'!$E$6</ns0:f>
        <ns0:v>54845.91487941892</ns0:v>
      </ns0:c>
      <ns0:c r="Z197" s="7">
        <ns0:f>X197+Y197</ns0:f>
        <ns0:v>277360.01881635963</ns0:v>
      </ns0:c>
      <ns0:c r="AA197" s="7">
        <ns0:f>IF(T197&gt;=0,A197,1001)</ns0:f>
        <ns0:v>193</ns0:v>
      </ns0:c>
      <ns0:c r="AB197" s="7">
        <ns0:f>IF(T197&lt;0,A197,0)</ns0:f>
        <ns0:v>0</ns0:v>
      </ns0:c>
      <ns0:c r="AC197" s="16">
        <ns0:f>IF(AND(OR('前提と出典'!$C$36+'前提と出典'!$C$38=0,R197&gt;=0),OR('前提と出典'!$C$37+'前提と出典'!$C$38=0,S197&gt;=0)),0,A197)</ns0:f>
        <ns0:v>0</ns0:v>
      </ns0:c>
      <ns0:c r="AD197" s="7">
        <ns0:f>IF(W197&gt;=0,A197,1001)</ns0:f>
        <ns0:v>193</ns0:v>
      </ns0:c>
      <ns0:c r="AE197" s="7">
        <ns0:f>IF(W197&lt;0,A197,0)</ns0:f>
        <ns0:v>0</ns0:v>
      </ns0:c>
      <ns0:c r="AF197" s="16">
        <ns0:f>IF(AND(OR('前提と出典'!$C$36+'前提と出典'!$C$38=0,U197&gt;=0),OR('前提と出典'!$C$37+'前提と出典'!$C$38=0,V197&gt;=0)),0,A197)</ns0:f>
        <ns0:v>0</ns0:v>
      </ns0:c>
      <ns0:c r="AG197" s="7">
        <ns0:f>IF(Z197&gt;=0,A197,1001)</ns0:f>
        <ns0:v>193</ns0:v>
      </ns0:c>
      <ns0:c r="AH197" s="4">
        <ns0:f>IF(Z197&lt;0,A197,0)</ns0:f>
        <ns0:v>0</ns0:v>
      </ns0:c>
      <ns0:c r="AI197" s="12">
        <ns0:f>IF(AND(OR('前提と出典'!$C$36+'前提と出典'!$C$38=0,X197&gt;=0),OR('前提と出典'!$C$37+'前提と出典'!$C$38=0,Y197&gt;=0)),0,A197)</ns0:f>
        <ns0:v>0</ns0:v>
      </ns0:c>
    </ns0:row>
    <ns0:row r="198" ht="24" customHeight="1">
      <ns0:c r="A198" s="4" t="n">
        <ns0:v>194</ns0:v>
      </ns0:c>
      <ns0:c r="B198" s="12">
        <ns0:f>A198*('前提と出典'!$C$36+'前提と出典'!$C$38)</ns0:f>
        <ns0:v>135.79999999999998</ns0:v>
      </ns0:c>
      <ns0:c r="C198" s="12">
        <ns0:f>A198*('前提と出典'!$C$37+'前提と出典'!$C$38)</ns0:f>
        <ns0:v>116.39999999999999</ns0:v>
      </ns0:c>
      <ns0:c r="D198" s="16">
        <ns0:f>A198*('前提と出典'!$C$36*'契約別単価'!C5+'前提と出典'!$C$37*'契約別単価'!C6+'前提と出典'!$C$38*'契約別単価'!C7)</ns0:f>
        <ns0:v>1395.9329608938547</ns0:v>
      </ns0:c>
      <ns0:c r="E198" s="16">
        <ns0:f>A198*('前提と出典'!$C$36*'契約別単価'!E5+'前提と出典'!$C$37*'契約別単価'!E6+'前提と出典'!$C$38*'契約別単価'!E7)</ns0:f>
        <ns0:v>375379.263406079</ns0:v>
      </ns0:c>
      <ns0:c r="F198" s="16">
        <ns0:f>A198*('前提と出典'!$C$36*'契約別単価'!F5+'前提と出典'!$C$37*'契約別単価'!F6+'前提と出典'!$C$38*'契約別単価'!F7)</ns0:f>
        <ns0:v>147322.72306257708</ns0:v>
      </ns0:c>
      <ns0:c r="G198" s="16">
        <ns0:f>A198*('前提と出典'!$C$36*'契約別単価'!G5+'前提と出典'!$C$37*'契約別単価'!G6+'前提と出典'!$C$38*'契約別単価'!G7)</ns0:f>
        <ns0:v>386157.54189944133</ns0:v>
      </ns0:c>
      <ns0:c r="H198" s="16">
        <ns0:f>A198*('前提と出典'!$C$36*'契約別単価'!H5+'前提と出典'!$C$37*'契約別単価'!H6+'前提と出典'!$C$38*'契約別単価'!H7)</ns0:f>
        <ns0:v>134016.03436175289</ns0:v>
      </ns0:c>
      <ns0:c r="I198" s="16">
        <ns0:f>A198*('前提と出典'!$C$36*'契約別単価'!I5+'前提と出典'!$C$37*'契約別単価'!I6+'前提と出典'!$C$38*'契約別単価'!I7)</ns0:f>
        <ns0:v>8185.932960893853</ns0:v>
      </ns0:c>
      <ns0:c r="J198" s="16">
        <ns0:f>A198*('前提と出典'!$C$36*'契約別単価'!J5+'前提と出典'!$C$37*'契約別単価'!J6+'前提と出典'!$C$38*'契約別単価'!J7)</ns0:f>
        <ns0:v>19068.171479798697</ns0:v>
      </ns0:c>
      <ns0:c r="K198" s="16">
        <ns0:f>A198*('前提と出典'!$C$36*'契約別単価'!K5+'前提と出典'!$C$37*'契約別単価'!K6+'前提と出典'!$C$38*'契約別単価'!K7)</ns0:f>
        <ns0:v>81732.88640595903</ns0:v>
      </ns0:c>
      <ns0:c r="L198" s="16">
        <ns0:f>A198*('前提と出典'!$C$36*'契約別単価'!L5+'前提と出典'!$C$37*'契約別単価'!L6+'前提と出典'!$C$38*'契約別単価'!L7)</ns0:f>
        <ns0:v>66547.20114539177</ns0:v>
      </ns0:c>
      <ns0:c r="M198" s="16">
        <ns0:f>IF(('前提と出典'!$C$36+'前提と出典'!$C$38)=0,0,IF(B198&lt;=10,'前提と出典'!B73+'前提と出典'!C73,IF(B198&lt;=100,'前提と出典'!B74+'前提と出典'!C74,IF(B198&lt;=500,'前提と出典'!B75+'前提と出典'!C75,'前提と出典'!B76+'前提と出典'!C76))))</ns0:f>
        <ns0:v>40000</ns0:v>
      </ns0:c>
      <ns0:c r="N198" s="16">
        <ns0:f>IF(('前提と出典'!$C$37+'前提と出典'!$C$38)=0,0,IF(C198&lt;=10,'前提と出典'!D73+'前提と出典'!E73,IF(C198&lt;=100,'前提と出典'!D74+'前提と出典'!E74,IF(C198&lt;=500,'前提と出典'!D75+'前提と出典'!E75,'前提と出典'!D76+'前提と出典'!E76))))</ns0:f>
        <ns0:v>56510.9346263078</ns0:v>
      </ns0:c>
      <ns0:c r="O198" s="16">
        <ns0:f>IF('前提と出典'!$C$36+'前提と出典'!$C$38=0,0,'前提と出典'!$B$4*IF('前提と出典'!$B$20=0,MAX('前提と出典'!$B$6,D198*'前提と出典'!$B$5),'前提と出典'!$B$6+D198*'前提と出典'!$B$5))</ns0:f>
        <ns0:v>192638.74860335197</ns0:v>
      </ns0:c>
      <ns0:c r="P198" s="16">
        <ns0:f>(E198+G198)*(1-'前提と出典'!$B$7)-I198-K198-M198-O198</ns0:f>
        <ns0:v>411563.9123443167</ns0:v>
      </ns0:c>
      <ns0:c r="Q198" s="16">
        <ns0:f>(F198+H198)*(1-'前提と出典'!$B$7)-J198-L198-N198</ns0:f>
        <ns0:v>129084.25490555583</ns0:v>
      </ns0:c>
      <ns0:c r="R198" s="16">
        <ns0:f>P198-E198*'前提と出典'!$E$4</ns0:f>
        <ns0:v>298950.13332249306</ns0:v>
      </ns0:c>
      <ns0:c r="S198" s="16">
        <ns0:f>Q198-F198*'前提と出典'!$E$4</ns0:f>
        <ns0:v>84887.43798678272</ns0:v>
      </ns0:c>
      <ns0:c r="T198" s="7">
        <ns0:f>R198+S198</ns0:f>
        <ns0:v>383837.5713092758</ns0:v>
      </ns0:c>
      <ns0:c r="U198" s="16">
        <ns0:f>P198-E198*'前提と出典'!$E$5</ns0:f>
        <ns0:v>261412.20698188516</ns0:v>
      </ns0:c>
      <ns0:c r="V198" s="16">
        <ns0:f>Q198-F198*'前提と出典'!$E$5</ns0:f>
        <ns0:v>70155.16568052501</ns0:v>
      </ns0:c>
      <ns0:c r="W198" s="7">
        <ns0:f>U198+V198</ns0:f>
        <ns0:v>331567.37266241014</ns0:v>
      </ns0:c>
      <ns0:c r="X198" s="16">
        <ns0:f>P198-E198*'前提と出典'!$E$6</ns0:f>
        <ns0:v>223874.28064127723</ns0:v>
      </ns0:c>
      <ns0:c r="Y198" s="16">
        <ns0:f>Q198-F198*'前提と出典'!$E$6</ns0:f>
        <ns0:v>55422.8933742673</ns0:v>
      </ns0:c>
      <ns0:c r="Z198" s="7">
        <ns0:f>X198+Y198</ns0:f>
        <ns0:v>279297.17401554453</ns0:v>
      </ns0:c>
      <ns0:c r="AA198" s="7">
        <ns0:f>IF(T198&gt;=0,A198,1001)</ns0:f>
        <ns0:v>194</ns0:v>
      </ns0:c>
      <ns0:c r="AB198" s="7">
        <ns0:f>IF(T198&lt;0,A198,0)</ns0:f>
        <ns0:v>0</ns0:v>
      </ns0:c>
      <ns0:c r="AC198" s="16">
        <ns0:f>IF(AND(OR('前提と出典'!$C$36+'前提と出典'!$C$38=0,R198&gt;=0),OR('前提と出典'!$C$37+'前提と出典'!$C$38=0,S198&gt;=0)),0,A198)</ns0:f>
        <ns0:v>0</ns0:v>
      </ns0:c>
      <ns0:c r="AD198" s="7">
        <ns0:f>IF(W198&gt;=0,A198,1001)</ns0:f>
        <ns0:v>194</ns0:v>
      </ns0:c>
      <ns0:c r="AE198" s="7">
        <ns0:f>IF(W198&lt;0,A198,0)</ns0:f>
        <ns0:v>0</ns0:v>
      </ns0:c>
      <ns0:c r="AF198" s="16">
        <ns0:f>IF(AND(OR('前提と出典'!$C$36+'前提と出典'!$C$38=0,U198&gt;=0),OR('前提と出典'!$C$37+'前提と出典'!$C$38=0,V198&gt;=0)),0,A198)</ns0:f>
        <ns0:v>0</ns0:v>
      </ns0:c>
      <ns0:c r="AG198" s="7">
        <ns0:f>IF(Z198&gt;=0,A198,1001)</ns0:f>
        <ns0:v>194</ns0:v>
      </ns0:c>
      <ns0:c r="AH198" s="4">
        <ns0:f>IF(Z198&lt;0,A198,0)</ns0:f>
        <ns0:v>0</ns0:v>
      </ns0:c>
      <ns0:c r="AI198" s="12">
        <ns0:f>IF(AND(OR('前提と出典'!$C$36+'前提と出典'!$C$38=0,X198&gt;=0),OR('前提と出典'!$C$37+'前提と出典'!$C$38=0,Y198&gt;=0)),0,A198)</ns0:f>
        <ns0:v>0</ns0:v>
      </ns0:c>
    </ns0:row>
    <ns0:row r="199" ht="24" customHeight="1">
      <ns0:c r="A199" s="4" t="n">
        <ns0:v>195</ns0:v>
      </ns0:c>
      <ns0:c r="B199" s="12">
        <ns0:f>A199*('前提と出典'!$C$36+'前提と出典'!$C$38)</ns0:f>
        <ns0:v>136.5</ns0:v>
      </ns0:c>
      <ns0:c r="C199" s="12">
        <ns0:f>A199*('前提と出典'!$C$37+'前提と出典'!$C$38)</ns0:f>
        <ns0:v>117</ns0:v>
      </ns0:c>
      <ns0:c r="D199" s="16">
        <ns0:f>A199*('前提と出典'!$C$36*'契約別単価'!C5+'前提と出典'!$C$37*'契約別単価'!C6+'前提と出典'!$C$38*'契約別単価'!C7)</ns0:f>
        <ns0:v>1403.1284916201116</ns0:v>
      </ns0:c>
      <ns0:c r="E199" s="16">
        <ns0:f>A199*('前提と出典'!$C$36*'契約別単価'!E5+'前提と出典'!$C$37*'契約別単価'!E6+'前提と出典'!$C$38*'契約別単価'!E7)</ns0:f>
        <ns0:v>377314.20806281135</ns0:v>
      </ns0:c>
      <ns0:c r="F199" s="16">
        <ns0:f>A199*('前提と出典'!$C$36*'契約別単価'!F5+'前提と出典'!$C$37*'契約別単価'!F6+'前提と出典'!$C$38*'契約別単価'!F7)</ns0:f>
        <ns0:v>148082.11854228107</ns0:v>
      </ns0:c>
      <ns0:c r="G199" s="16">
        <ns0:f>A199*('前提と出典'!$C$36*'契約別単価'!G5+'前提と出典'!$C$37*'契約別単価'!G6+'前提と出典'!$C$38*'契約別単価'!G7)</ns0:f>
        <ns0:v>388148.0446927374</ns0:v>
      </ns0:c>
      <ns0:c r="H199" s="16">
        <ns0:f>A199*('前提と出典'!$C$36*'契約別単価'!H5+'前提と出典'!$C$37*'契約別単価'!H6+'前提と出典'!$C$38*'契約別単価'!H7)</ns0:f>
        <ns0:v>134706.83866258664</ns0:v>
      </ns0:c>
      <ns0:c r="I199" s="16">
        <ns0:f>A199*('前提と出典'!$C$36*'契約別単価'!I5+'前提と出典'!$C$37*'契約別単価'!I6+'前提と出典'!$C$38*'契約別単価'!I7)</ns0:f>
        <ns0:v>8228.128491620111</ns0:v>
      </ns0:c>
      <ns0:c r="J199" s="16">
        <ns0:f>A199*('前提と出典'!$C$36*'契約別単価'!J5+'前提と出典'!$C$37*'契約別単価'!J6+'前提と出典'!$C$38*'契約別単価'!J7)</ns0:f>
        <ns0:v>19166.461023509</ns0:v>
      </ns0:c>
      <ns0:c r="K199" s="16">
        <ns0:f>A199*('前提と出典'!$C$36*'契約別単価'!K5+'前提と出典'!$C$37*'契約別単価'!K6+'前提と出典'!$C$38*'契約別単価'!K7)</ns0:f>
        <ns0:v>82154.18994413408</ns0:v>
      </ns0:c>
      <ns0:c r="L199" s="16">
        <ns0:f>A199*('前提と出典'!$C$36*'契約別単価'!L5+'前提と出典'!$C$37*'契約別単価'!L6+'前提と出典'!$C$38*'契約別単価'!L7)</ns0:f>
        <ns0:v>66890.22795541956</ns0:v>
      </ns0:c>
      <ns0:c r="M199" s="16">
        <ns0:f>IF(('前提と出典'!$C$36+'前提と出典'!$C$38)=0,0,IF(B199&lt;=10,'前提と出典'!B73+'前提と出典'!C73,IF(B199&lt;=100,'前提と出典'!B74+'前提と出典'!C74,IF(B199&lt;=500,'前提と出典'!B75+'前提と出典'!C75,'前提と出典'!B76+'前提と出典'!C76))))</ns0:f>
        <ns0:v>40000</ns0:v>
      </ns0:c>
      <ns0:c r="N199" s="16">
        <ns0:f>IF(('前提と出典'!$C$37+'前提と出典'!$C$38)=0,0,IF(C199&lt;=10,'前提と出典'!D73+'前提と出典'!E73,IF(C199&lt;=100,'前提と出典'!D74+'前提と出典'!E74,IF(C199&lt;=500,'前提と出典'!D75+'前提と出典'!E75,'前提と出典'!D76+'前提と出典'!E76))))</ns0:f>
        <ns0:v>56510.9346263078</ns0:v>
      </ns0:c>
      <ns0:c r="O199" s="16">
        <ns0:f>IF('前提と出典'!$C$36+'前提と出典'!$C$38=0,0,'前提と出典'!$B$4*IF('前提と出典'!$B$20=0,MAX('前提と出典'!$B$6,D199*'前提と出典'!$B$5),'前提と出典'!$B$6+D199*'前提と出典'!$B$5))</ns0:f>
        <ns0:v>193631.7318435754</ns0:v>
      </ns0:c>
      <ns0:c r="P199" s="16">
        <ns0:f>(E199+G199)*(1-'前提と出典'!$B$7)-I199-K199-M199-O199</ns0:f>
        <ns0:v>413891.56137701945</ns0:v>
      </ns0:c>
      <ns0:c r="Q199" s="16">
        <ns0:f>(F199+H199)*(1-'前提と出典'!$B$7)-J199-L199-N199</ns0:f>
        <ns0:v>130040.93114025614</ns0:v>
      </ns0:c>
      <ns0:c r="R199" s="16">
        <ns0:f>P199-E199*'前提と出典'!$E$4</ns0:f>
        <ns0:v>300697.29895817616</ns0:v>
      </ns0:c>
      <ns0:c r="S199" s="16">
        <ns0:f>Q199-F199*'前提と出典'!$E$4</ns0:f>
        <ns0:v>85616.29557757179</ns0:v>
      </ns0:c>
      <ns0:c r="T199" s="7">
        <ns0:f>R199+S199</ns0:f>
        <ns0:v>386313.59453574795</ns0:v>
      </ns0:c>
      <ns0:c r="U199" s="16">
        <ns0:f>P199-E199*'前提と出典'!$E$5</ns0:f>
        <ns0:v>262965.8781518949</ns0:v>
      </ns0:c>
      <ns0:c r="V199" s="16">
        <ns0:f>Q199-F199*'前提と出典'!$E$5</ns0:f>
        <ns0:v>70808.0837233437</ns0:v>
      </ns0:c>
      <ns0:c r="W199" s="7">
        <ns0:f>U199+V199</ns0:f>
        <ns0:v>333773.9618752386</ns0:v>
      </ns0:c>
      <ns0:c r="X199" s="16">
        <ns0:f>P199-E199*'前提と出典'!$E$6</ns0:f>
        <ns0:v>225234.45734561383</ns0:v>
      </ns0:c>
      <ns0:c r="Y199" s="16">
        <ns0:f>Q199-F199*'前提と出典'!$E$6</ns0:f>
        <ns0:v>55999.87186911559</ns0:v>
      </ns0:c>
      <ns0:c r="Z199" s="7">
        <ns0:f>X199+Y199</ns0:f>
        <ns0:v>281234.3292147294</ns0:v>
      </ns0:c>
      <ns0:c r="AA199" s="7">
        <ns0:f>IF(T199&gt;=0,A199,1001)</ns0:f>
        <ns0:v>195</ns0:v>
      </ns0:c>
      <ns0:c r="AB199" s="7">
        <ns0:f>IF(T199&lt;0,A199,0)</ns0:f>
        <ns0:v>0</ns0:v>
      </ns0:c>
      <ns0:c r="AC199" s="16">
        <ns0:f>IF(AND(OR('前提と出典'!$C$36+'前提と出典'!$C$38=0,R199&gt;=0),OR('前提と出典'!$C$37+'前提と出典'!$C$38=0,S199&gt;=0)),0,A199)</ns0:f>
        <ns0:v>0</ns0:v>
      </ns0:c>
      <ns0:c r="AD199" s="7">
        <ns0:f>IF(W199&gt;=0,A199,1001)</ns0:f>
        <ns0:v>195</ns0:v>
      </ns0:c>
      <ns0:c r="AE199" s="7">
        <ns0:f>IF(W199&lt;0,A199,0)</ns0:f>
        <ns0:v>0</ns0:v>
      </ns0:c>
      <ns0:c r="AF199" s="16">
        <ns0:f>IF(AND(OR('前提と出典'!$C$36+'前提と出典'!$C$38=0,U199&gt;=0),OR('前提と出典'!$C$37+'前提と出典'!$C$38=0,V199&gt;=0)),0,A199)</ns0:f>
        <ns0:v>0</ns0:v>
      </ns0:c>
      <ns0:c r="AG199" s="7">
        <ns0:f>IF(Z199&gt;=0,A199,1001)</ns0:f>
        <ns0:v>195</ns0:v>
      </ns0:c>
      <ns0:c r="AH199" s="4">
        <ns0:f>IF(Z199&lt;0,A199,0)</ns0:f>
        <ns0:v>0</ns0:v>
      </ns0:c>
      <ns0:c r="AI199" s="12">
        <ns0:f>IF(AND(OR('前提と出典'!$C$36+'前提と出典'!$C$38=0,X199&gt;=0),OR('前提と出典'!$C$37+'前提と出典'!$C$38=0,Y199&gt;=0)),0,A199)</ns0:f>
        <ns0:v>0</ns0:v>
      </ns0:c>
    </ns0:row>
    <ns0:row r="200" ht="24" customHeight="1">
      <ns0:c r="A200" s="4" t="n">
        <ns0:v>196</ns0:v>
      </ns0:c>
      <ns0:c r="B200" s="12">
        <ns0:f>A200*('前提と出典'!$C$36+'前提と出典'!$C$38)</ns0:f>
        <ns0:v>137.2</ns0:v>
      </ns0:c>
      <ns0:c r="C200" s="12">
        <ns0:f>A200*('前提と出典'!$C$37+'前提と出典'!$C$38)</ns0:f>
        <ns0:v>117.6</ns0:v>
      </ns0:c>
      <ns0:c r="D200" s="16">
        <ns0:f>A200*('前提と出典'!$C$36*'契約別単価'!C5+'前提と出典'!$C$37*'契約別単価'!C6+'前提と出典'!$C$38*'契約別単価'!C7)</ns0:f>
        <ns0:v>1410.3240223463688</ns0:v>
      </ns0:c>
      <ns0:c r="E200" s="16">
        <ns0:f>A200*('前提と出典'!$C$36*'契約別単価'!E5+'前提と出典'!$C$37*'契約別単価'!E6+'前提と出典'!$C$38*'契約別単価'!E7)</ns0:f>
        <ns0:v>379249.1527195437</ns0:v>
      </ns0:c>
      <ns0:c r="F200" s="16">
        <ns0:f>A200*('前提と出典'!$C$36*'契約別単価'!F5+'前提と出典'!$C$37*'契約別単価'!F6+'前提と出典'!$C$38*'契約別単価'!F7)</ns0:f>
        <ns0:v>148841.5140219851</ns0:v>
      </ns0:c>
      <ns0:c r="G200" s="16">
        <ns0:f>A200*('前提と出典'!$C$36*'契約別単価'!G5+'前提と出典'!$C$37*'契約別単価'!G6+'前提と出典'!$C$38*'契約別単価'!G7)</ns0:f>
        <ns0:v>390138.5474860335</ns0:v>
      </ns0:c>
      <ns0:c r="H200" s="16">
        <ns0:f>A200*('前提と出典'!$C$36*'契約別単価'!H5+'前提と出典'!$C$37*'契約別単価'!H6+'前提と出典'!$C$38*'契約別単価'!H7)</ns0:f>
        <ns0:v>135397.64296342043</ns0:v>
      </ns0:c>
      <ns0:c r="I200" s="16">
        <ns0:f>A200*('前提と出典'!$C$36*'契約別単価'!I5+'前提と出典'!$C$37*'契約別単価'!I6+'前提と出典'!$C$38*'契約別単価'!I7)</ns0:f>
        <ns0:v>8270.324022346367</ns0:v>
      </ns0:c>
      <ns0:c r="J200" s="16">
        <ns0:f>A200*('前提と出典'!$C$36*'契約別単価'!J5+'前提と出典'!$C$37*'契約別単価'!J6+'前提と出典'!$C$38*'契約別単価'!J7)</ns0:f>
        <ns0:v>19264.750567219304</ns0:v>
      </ns0:c>
      <ns0:c r="K200" s="16">
        <ns0:f>A200*('前提と出典'!$C$36*'契約別単価'!K5+'前提と出典'!$C$37*'契約別単価'!K6+'前提と出典'!$C$38*'契約別単価'!K7)</ns0:f>
        <ns0:v>82575.49348230912</ns0:v>
      </ns0:c>
      <ns0:c r="L200" s="16">
        <ns0:f>A200*('前提と出典'!$C$36*'契約別単価'!L5+'前提と出典'!$C$37*'契約別単価'!L6+'前提と出典'!$C$38*'契約別単価'!L7)</ns0:f>
        <ns0:v>67233.25476544735</ns0:v>
      </ns0:c>
      <ns0:c r="M200" s="16">
        <ns0:f>IF(('前提と出典'!$C$36+'前提と出典'!$C$38)=0,0,IF(B200&lt;=10,'前提と出典'!B73+'前提と出典'!C73,IF(B200&lt;=100,'前提と出典'!B74+'前提と出典'!C74,IF(B200&lt;=500,'前提と出典'!B75+'前提と出典'!C75,'前提と出典'!B76+'前提と出典'!C76))))</ns0:f>
        <ns0:v>40000</ns0:v>
      </ns0:c>
      <ns0:c r="N200" s="16">
        <ns0:f>IF(('前提と出典'!$C$37+'前提と出典'!$C$38)=0,0,IF(C200&lt;=10,'前提と出典'!D73+'前提と出典'!E73,IF(C200&lt;=100,'前提と出典'!D74+'前提と出典'!E74,IF(C200&lt;=500,'前提と出典'!D75+'前提と出典'!E75,'前提と出典'!D76+'前提と出典'!E76))))</ns0:f>
        <ns0:v>56510.9346263078</ns0:v>
      </ns0:c>
      <ns0:c r="O200" s="16">
        <ns0:f>IF('前提と出典'!$C$36+'前提と出典'!$C$38=0,0,'前提と出典'!$B$4*IF('前提と出典'!$B$20=0,MAX('前提と出典'!$B$6,D200*'前提と出典'!$B$5),'前提と出典'!$B$6+D200*'前提と出典'!$B$5))</ns0:f>
        <ns0:v>194624.71508379892</ns0:v>
      </ns0:c>
      <ns0:c r="P200" s="16">
        <ns0:f>(E200+G200)*(1-'前提と出典'!$B$7)-I200-K200-M200-O200</ns0:f>
        <ns0:v>416219.21040972206</ns0:v>
      </ns0:c>
      <ns0:c r="Q200" s="16">
        <ns0:f>(F200+H200)*(1-'前提と出典'!$B$7)-J200-L200-N200</ns0:f>
        <ns0:v>130997.60737495644</ns0:v>
      </ns0:c>
      <ns0:c r="R200" s="16">
        <ns0:f>P200-E200*'前提と出典'!$E$4</ns0:f>
        <ns0:v>302444.46459385887</ns0:v>
      </ns0:c>
      <ns0:c r="S200" s="16">
        <ns0:f>Q200-F200*'前提と出典'!$E$4</ns0:f>
        <ns0:v>86345.1531683609</ns0:v>
      </ns0:c>
      <ns0:c r="T200" s="7">
        <ns0:f>R200+S200</ns0:f>
        <ns0:v>388789.61776221974</ns0:v>
      </ns0:c>
      <ns0:c r="U200" s="16">
        <ns0:f>P200-E200*'前提と出典'!$E$5</ns0:f>
        <ns0:v>264519.54932190455</ns0:v>
      </ns0:c>
      <ns0:c r="V200" s="16">
        <ns0:f>Q200-F200*'前提と出典'!$E$5</ns0:f>
        <ns0:v>71461.0017661624</ns0:v>
      </ns0:c>
      <ns0:c r="W200" s="7">
        <ns0:f>U200+V200</ns0:f>
        <ns0:v>335980.55108806695</ns0:v>
      </ns0:c>
      <ns0:c r="X200" s="16">
        <ns0:f>P200-E200*'前提と出典'!$E$6</ns0:f>
        <ns0:v>226594.63404995017</ns0:v>
      </ns0:c>
      <ns0:c r="Y200" s="16">
        <ns0:f>Q200-F200*'前提と出典'!$E$6</ns0:f>
        <ns0:v>56576.85036396387</ns0:v>
      </ns0:c>
      <ns0:c r="Z200" s="7">
        <ns0:f>X200+Y200</ns0:f>
        <ns0:v>283171.48441391403</ns0:v>
      </ns0:c>
      <ns0:c r="AA200" s="7">
        <ns0:f>IF(T200&gt;=0,A200,1001)</ns0:f>
        <ns0:v>196</ns0:v>
      </ns0:c>
      <ns0:c r="AB200" s="7">
        <ns0:f>IF(T200&lt;0,A200,0)</ns0:f>
        <ns0:v>0</ns0:v>
      </ns0:c>
      <ns0:c r="AC200" s="16">
        <ns0:f>IF(AND(OR('前提と出典'!$C$36+'前提と出典'!$C$38=0,R200&gt;=0),OR('前提と出典'!$C$37+'前提と出典'!$C$38=0,S200&gt;=0)),0,A200)</ns0:f>
        <ns0:v>0</ns0:v>
      </ns0:c>
      <ns0:c r="AD200" s="7">
        <ns0:f>IF(W200&gt;=0,A200,1001)</ns0:f>
        <ns0:v>196</ns0:v>
      </ns0:c>
      <ns0:c r="AE200" s="7">
        <ns0:f>IF(W200&lt;0,A200,0)</ns0:f>
        <ns0:v>0</ns0:v>
      </ns0:c>
      <ns0:c r="AF200" s="16">
        <ns0:f>IF(AND(OR('前提と出典'!$C$36+'前提と出典'!$C$38=0,U200&gt;=0),OR('前提と出典'!$C$37+'前提と出典'!$C$38=0,V200&gt;=0)),0,A200)</ns0:f>
        <ns0:v>0</ns0:v>
      </ns0:c>
      <ns0:c r="AG200" s="7">
        <ns0:f>IF(Z200&gt;=0,A200,1001)</ns0:f>
        <ns0:v>196</ns0:v>
      </ns0:c>
      <ns0:c r="AH200" s="4">
        <ns0:f>IF(Z200&lt;0,A200,0)</ns0:f>
        <ns0:v>0</ns0:v>
      </ns0:c>
      <ns0:c r="AI200" s="12">
        <ns0:f>IF(AND(OR('前提と出典'!$C$36+'前提と出典'!$C$38=0,X200&gt;=0),OR('前提と出典'!$C$37+'前提と出典'!$C$38=0,Y200&gt;=0)),0,A200)</ns0:f>
        <ns0:v>0</ns0:v>
      </ns0:c>
    </ns0:row>
    <ns0:row r="201" ht="24" customHeight="1">
      <ns0:c r="A201" s="4" t="n">
        <ns0:v>197</ns0:v>
      </ns0:c>
      <ns0:c r="B201" s="12">
        <ns0:f>A201*('前提と出典'!$C$36+'前提と出典'!$C$38)</ns0:f>
        <ns0:v>137.89999999999998</ns0:v>
      </ns0:c>
      <ns0:c r="C201" s="12">
        <ns0:f>A201*('前提と出典'!$C$37+'前提と出典'!$C$38)</ns0:f>
        <ns0:v>118.19999999999999</ns0:v>
      </ns0:c>
      <ns0:c r="D201" s="16">
        <ns0:f>A201*('前提と出典'!$C$36*'契約別単価'!C5+'前提と出典'!$C$37*'契約別単価'!C6+'前提と出典'!$C$38*'契約別単価'!C7)</ns0:f>
        <ns0:v>1417.5195530726257</ns0:v>
      </ns0:c>
      <ns0:c r="E201" s="16">
        <ns0:f>A201*('前提と出典'!$C$36*'契約別単価'!E5+'前提と出典'!$C$37*'契約別単価'!E6+'前提と出典'!$C$38*'契約別単価'!E7)</ns0:f>
        <ns0:v>381184.0973762761</ns0:v>
      </ns0:c>
      <ns0:c r="F201" s="16">
        <ns0:f>A201*('前提と出典'!$C$36*'契約別単価'!F5+'前提と出典'!$C$37*'契約別単価'!F6+'前提と出典'!$C$38*'契約別単価'!F7)</ns0:f>
        <ns0:v>149600.90950168908</ns0:v>
      </ns0:c>
      <ns0:c r="G201" s="16">
        <ns0:f>A201*('前提と出典'!$C$36*'契約別単価'!G5+'前提と出典'!$C$37*'契約別単価'!G6+'前提と出典'!$C$38*'契約別単価'!G7)</ns0:f>
        <ns0:v>392129.0502793296</ns0:v>
      </ns0:c>
      <ns0:c r="H201" s="16">
        <ns0:f>A201*('前提と出典'!$C$36*'契約別単価'!H5+'前提と出典'!$C$37*'契約別単価'!H6+'前提と出典'!$C$38*'契約別単価'!H7)</ns0:f>
        <ns0:v>136088.4472642542</ns0:v>
      </ns0:c>
      <ns0:c r="I201" s="16">
        <ns0:f>A201*('前提と出典'!$C$36*'契約別単価'!I5+'前提と出典'!$C$37*'契約別単価'!I6+'前提と出典'!$C$38*'契約別単価'!I7)</ns0:f>
        <ns0:v>8312.519553072625</ns0:v>
      </ns0:c>
      <ns0:c r="J201" s="16">
        <ns0:f>A201*('前提と出典'!$C$36*'契約別単価'!J5+'前提と出典'!$C$37*'契約別単価'!J6+'前提と出典'!$C$38*'契約別単価'!J7)</ns0:f>
        <ns0:v>19363.040110929607</ns0:v>
      </ns0:c>
      <ns0:c r="K201" s="16">
        <ns0:f>A201*('前提と出典'!$C$36*'契約別単価'!K5+'前提と出典'!$C$37*'契約別単価'!K6+'前提と出典'!$C$38*'契約別単価'!K7)</ns0:f>
        <ns0:v>82996.79702048417</ns0:v>
      </ns0:c>
      <ns0:c r="L201" s="16">
        <ns0:f>A201*('前提と出典'!$C$36*'契約別単価'!L5+'前提と出典'!$C$37*'契約別単価'!L6+'前提と出典'!$C$38*'契約別単価'!L7)</ns0:f>
        <ns0:v>67576.28157547514</ns0:v>
      </ns0:c>
      <ns0:c r="M201" s="16">
        <ns0:f>IF(('前提と出典'!$C$36+'前提と出典'!$C$38)=0,0,IF(B201&lt;=10,'前提と出典'!B73+'前提と出典'!C73,IF(B201&lt;=100,'前提と出典'!B74+'前提と出典'!C74,IF(B201&lt;=500,'前提と出典'!B75+'前提と出典'!C75,'前提と出典'!B76+'前提と出典'!C76))))</ns0:f>
        <ns0:v>40000</ns0:v>
      </ns0:c>
      <ns0:c r="N201" s="16">
        <ns0:f>IF(('前提と出典'!$C$37+'前提と出典'!$C$38)=0,0,IF(C201&lt;=10,'前提と出典'!D73+'前提と出典'!E73,IF(C201&lt;=100,'前提と出典'!D74+'前提と出典'!E74,IF(C201&lt;=500,'前提と出典'!D75+'前提と出典'!E75,'前提と出典'!D76+'前提と出典'!E76))))</ns0:f>
        <ns0:v>56510.9346263078</ns0:v>
      </ns0:c>
      <ns0:c r="O201" s="16">
        <ns0:f>IF('前提と出典'!$C$36+'前提と出典'!$C$38=0,0,'前提と出典'!$B$4*IF('前提と出典'!$B$20=0,MAX('前提と出典'!$B$6,D201*'前提と出典'!$B$5),'前提と出典'!$B$6+D201*'前提と出典'!$B$5))</ns0:f>
        <ns0:v>195617.69832402235</ns0:v>
      </ns0:c>
      <ns0:c r="P201" s="16">
        <ns0:f>(E201+G201)*(1-'前提と出典'!$B$7)-I201-K201-M201-O201</ns0:f>
        <ns0:v>418546.85944242484</ns0:v>
      </ns0:c>
      <ns0:c r="Q201" s="16">
        <ns0:f>(F201+H201)*(1-'前提と出典'!$B$7)-J201-L201-N201</ns0:f>
        <ns0:v>131954.2836096568</ns0:v>
      </ns0:c>
      <ns0:c r="R201" s="16">
        <ns0:f>P201-E201*'前提と出典'!$E$4</ns0:f>
        <ns0:v>304191.63022954203</ns0:v>
      </ns0:c>
      <ns0:c r="S201" s="16">
        <ns0:f>Q201-F201*'前提と出典'!$E$4</ns0:f>
        <ns0:v>87074.01075915009</ns0:v>
      </ns0:c>
      <ns0:c r="T201" s="7">
        <ns0:f>R201+S201</ns0:f>
        <ns0:v>391265.6409886921</ns0:v>
      </ns0:c>
      <ns0:c r="U201" s="16">
        <ns0:f>P201-E201*'前提と出典'!$E$5</ns0:f>
        <ns0:v>266073.22049191437</ns0:v>
      </ns0:c>
      <ns0:c r="V201" s="16">
        <ns0:f>Q201-F201*'前提と出典'!$E$5</ns0:f>
        <ns0:v>72113.91980898115</ns0:v>
      </ns0:c>
      <ns0:c r="W201" s="7">
        <ns0:f>U201+V201</ns0:f>
        <ns0:v>338187.14030089555</ns0:v>
      </ns0:c>
      <ns0:c r="X201" s="16">
        <ns0:f>P201-E201*'前提と出典'!$E$6</ns0:f>
        <ns0:v>227954.81075428677</ns0:v>
      </ns0:c>
      <ns0:c r="Y201" s="16">
        <ns0:f>Q201-F201*'前提と出典'!$E$6</ns0:f>
        <ns0:v>57153.828858812245</ns0:v>
      </ns0:c>
      <ns0:c r="Z201" s="7">
        <ns0:f>X201+Y201</ns0:f>
        <ns0:v>285108.639613099</ns0:v>
      </ns0:c>
      <ns0:c r="AA201" s="7">
        <ns0:f>IF(T201&gt;=0,A201,1001)</ns0:f>
        <ns0:v>197</ns0:v>
      </ns0:c>
      <ns0:c r="AB201" s="7">
        <ns0:f>IF(T201&lt;0,A201,0)</ns0:f>
        <ns0:v>0</ns0:v>
      </ns0:c>
      <ns0:c r="AC201" s="16">
        <ns0:f>IF(AND(OR('前提と出典'!$C$36+'前提と出典'!$C$38=0,R201&gt;=0),OR('前提と出典'!$C$37+'前提と出典'!$C$38=0,S201&gt;=0)),0,A201)</ns0:f>
        <ns0:v>0</ns0:v>
      </ns0:c>
      <ns0:c r="AD201" s="7">
        <ns0:f>IF(W201&gt;=0,A201,1001)</ns0:f>
        <ns0:v>197</ns0:v>
      </ns0:c>
      <ns0:c r="AE201" s="7">
        <ns0:f>IF(W201&lt;0,A201,0)</ns0:f>
        <ns0:v>0</ns0:v>
      </ns0:c>
      <ns0:c r="AF201" s="16">
        <ns0:f>IF(AND(OR('前提と出典'!$C$36+'前提と出典'!$C$38=0,U201&gt;=0),OR('前提と出典'!$C$37+'前提と出典'!$C$38=0,V201&gt;=0)),0,A201)</ns0:f>
        <ns0:v>0</ns0:v>
      </ns0:c>
      <ns0:c r="AG201" s="7">
        <ns0:f>IF(Z201&gt;=0,A201,1001)</ns0:f>
        <ns0:v>197</ns0:v>
      </ns0:c>
      <ns0:c r="AH201" s="4">
        <ns0:f>IF(Z201&lt;0,A201,0)</ns0:f>
        <ns0:v>0</ns0:v>
      </ns0:c>
      <ns0:c r="AI201" s="12">
        <ns0:f>IF(AND(OR('前提と出典'!$C$36+'前提と出典'!$C$38=0,X201&gt;=0),OR('前提と出典'!$C$37+'前提と出典'!$C$38=0,Y201&gt;=0)),0,A201)</ns0:f>
        <ns0:v>0</ns0:v>
      </ns0:c>
    </ns0:row>
    <ns0:row r="202" ht="24" customHeight="1">
      <ns0:c r="A202" s="4" t="n">
        <ns0:v>198</ns0:v>
      </ns0:c>
      <ns0:c r="B202" s="12">
        <ns0:f>A202*('前提と出典'!$C$36+'前提と出典'!$C$38)</ns0:f>
        <ns0:v>138.6</ns0:v>
      </ns0:c>
      <ns0:c r="C202" s="12">
        <ns0:f>A202*('前提と出典'!$C$37+'前提と出典'!$C$38)</ns0:f>
        <ns0:v>118.8</ns0:v>
      </ns0:c>
      <ns0:c r="D202" s="16">
        <ns0:f>A202*('前提と出典'!$C$36*'契約別単価'!C5+'前提と出典'!$C$37*'契約別単価'!C6+'前提と出典'!$C$38*'契約別単価'!C7)</ns0:f>
        <ns0:v>1424.7150837988827</ns0:v>
      </ns0:c>
      <ns0:c r="E202" s="16">
        <ns0:f>A202*('前提と出典'!$C$36*'契約別単価'!E5+'前提と出典'!$C$37*'契約別単価'!E6+'前提と出典'!$C$38*'契約別単価'!E7)</ns0:f>
        <ns0:v>383119.0420330085</ns0:v>
      </ns0:c>
      <ns0:c r="F202" s="16">
        <ns0:f>A202*('前提と出典'!$C$36*'契約別単価'!F5+'前提と出典'!$C$37*'契約別単価'!F6+'前提と出典'!$C$38*'契約別単価'!F7)</ns0:f>
        <ns0:v>150360.3049813931</ns0:v>
      </ns0:c>
      <ns0:c r="G202" s="16">
        <ns0:f>A202*('前提と出典'!$C$36*'契約別単価'!G5+'前提と出典'!$C$37*'契約別単価'!G6+'前提と出典'!$C$38*'契約別単価'!G7)</ns0:f>
        <ns0:v>394119.55307262565</ns0:v>
      </ns0:c>
      <ns0:c r="H202" s="16">
        <ns0:f>A202*('前提と出典'!$C$36*'契約別単価'!H5+'前提と出典'!$C$37*'契約別単価'!H6+'前提と出典'!$C$38*'契約別単価'!H7)</ns0:f>
        <ns0:v>136779.251565088</ns0:v>
      </ns0:c>
      <ns0:c r="I202" s="16">
        <ns0:f>A202*('前提と出典'!$C$36*'契約別単価'!I5+'前提と出典'!$C$37*'契約別単価'!I6+'前提と出典'!$C$38*'契約別単価'!I7)</ns0:f>
        <ns0:v>8354.715083798881</ns0:v>
      </ns0:c>
      <ns0:c r="J202" s="16">
        <ns0:f>A202*('前提と出典'!$C$36*'契約別単価'!J5+'前提と出典'!$C$37*'契約別単価'!J6+'前提と出典'!$C$38*'契約別単価'!J7)</ns0:f>
        <ns0:v>19461.329654639907</ns0:v>
      </ns0:c>
      <ns0:c r="K202" s="16">
        <ns0:f>A202*('前提と出典'!$C$36*'契約別単価'!K5+'前提と出典'!$C$37*'契約別単価'!K6+'前提と出典'!$C$38*'契約別単価'!K7)</ns0:f>
        <ns0:v>83418.10055865921</ns0:v>
      </ns0:c>
      <ns0:c r="L202" s="16">
        <ns0:f>A202*('前提と出典'!$C$36*'契約別単価'!L5+'前提と出典'!$C$37*'契約別単価'!L6+'前提と出典'!$C$38*'契約別単価'!L7)</ns0:f>
        <ns0:v>67919.30838550293</ns0:v>
      </ns0:c>
      <ns0:c r="M202" s="16">
        <ns0:f>IF(('前提と出典'!$C$36+'前提と出典'!$C$38)=0,0,IF(B202&lt;=10,'前提と出典'!B73+'前提と出典'!C73,IF(B202&lt;=100,'前提と出典'!B74+'前提と出典'!C74,IF(B202&lt;=500,'前提と出典'!B75+'前提と出典'!C75,'前提と出典'!B76+'前提と出典'!C76))))</ns0:f>
        <ns0:v>40000</ns0:v>
      </ns0:c>
      <ns0:c r="N202" s="16">
        <ns0:f>IF(('前提と出典'!$C$37+'前提と出典'!$C$38)=0,0,IF(C202&lt;=10,'前提と出典'!D73+'前提と出典'!E73,IF(C202&lt;=100,'前提と出典'!D74+'前提と出典'!E74,IF(C202&lt;=500,'前提と出典'!D75+'前提と出典'!E75,'前提と出典'!D76+'前提と出典'!E76))))</ns0:f>
        <ns0:v>56510.9346263078</ns0:v>
      </ns0:c>
      <ns0:c r="O202" s="16">
        <ns0:f>IF('前提と出典'!$C$36+'前提と出典'!$C$38=0,0,'前提と出典'!$B$4*IF('前提と出典'!$B$20=0,MAX('前提と出典'!$B$6,D202*'前提と出典'!$B$5),'前提と出典'!$B$6+D202*'前提と出典'!$B$5))</ns0:f>
        <ns0:v>196610.68156424584</ns0:v>
      </ns0:c>
      <ns0:c r="P202" s="16">
        <ns0:f>(E202+G202)*(1-'前提と出典'!$B$7)-I202-K202-M202-O202</ns0:f>
        <ns0:v>420874.5084751274</ns0:v>
      </ns0:c>
      <ns0:c r="Q202" s="16">
        <ns0:f>(F202+H202)*(1-'前提と出典'!$B$7)-J202-L202-N202</ns0:f>
        <ns0:v>132910.95984435713</ns0:v>
      </ns0:c>
      <ns0:c r="R202" s="16">
        <ns0:f>P202-E202*'前提と出典'!$E$4</ns0:f>
        <ns0:v>305938.7958652249</ns0:v>
      </ns0:c>
      <ns0:c r="S202" s="16">
        <ns0:f>Q202-F202*'前提と出典'!$E$4</ns0:f>
        <ns0:v>87802.8683499392</ns0:v>
      </ns0:c>
      <ns0:c r="T202" s="7">
        <ns0:f>R202+S202</ns0:f>
        <ns0:v>393741.66421516414</ns0:v>
      </ns0:c>
      <ns0:c r="U202" s="16">
        <ns0:f>P202-E202*'前提と出典'!$E$5</ns0:f>
        <ns0:v>267626.89166192396</ns0:v>
      </ns0:c>
      <ns0:c r="V202" s="16">
        <ns0:f>Q202-F202*'前提と出典'!$E$5</ns0:f>
        <ns0:v>72766.83785179988</ns0:v>
      </ns0:c>
      <ns0:c r="W202" s="7">
        <ns0:f>U202+V202</ns0:f>
        <ns0:v>340393.72951372387</ns0:v>
      </ns0:c>
      <ns0:c r="X202" s="16">
        <ns0:f>P202-E202*'前提と出典'!$E$6</ns0:f>
        <ns0:v>229314.98745862313</ns0:v>
      </ns0:c>
      <ns0:c r="Y202" s="16">
        <ns0:f>Q202-F202*'前提と出典'!$E$6</ns0:f>
        <ns0:v>57730.80735366059</ns0:v>
      </ns0:c>
      <ns0:c r="Z202" s="7">
        <ns0:f>X202+Y202</ns0:f>
        <ns0:v>287045.7948122837</ns0:v>
      </ns0:c>
      <ns0:c r="AA202" s="7">
        <ns0:f>IF(T202&gt;=0,A202,1001)</ns0:f>
        <ns0:v>198</ns0:v>
      </ns0:c>
      <ns0:c r="AB202" s="7">
        <ns0:f>IF(T202&lt;0,A202,0)</ns0:f>
        <ns0:v>0</ns0:v>
      </ns0:c>
      <ns0:c r="AC202" s="16">
        <ns0:f>IF(AND(OR('前提と出典'!$C$36+'前提と出典'!$C$38=0,R202&gt;=0),OR('前提と出典'!$C$37+'前提と出典'!$C$38=0,S202&gt;=0)),0,A202)</ns0:f>
        <ns0:v>0</ns0:v>
      </ns0:c>
      <ns0:c r="AD202" s="7">
        <ns0:f>IF(W202&gt;=0,A202,1001)</ns0:f>
        <ns0:v>198</ns0:v>
      </ns0:c>
      <ns0:c r="AE202" s="7">
        <ns0:f>IF(W202&lt;0,A202,0)</ns0:f>
        <ns0:v>0</ns0:v>
      </ns0:c>
      <ns0:c r="AF202" s="16">
        <ns0:f>IF(AND(OR('前提と出典'!$C$36+'前提と出典'!$C$38=0,U202&gt;=0),OR('前提と出典'!$C$37+'前提と出典'!$C$38=0,V202&gt;=0)),0,A202)</ns0:f>
        <ns0:v>0</ns0:v>
      </ns0:c>
      <ns0:c r="AG202" s="7">
        <ns0:f>IF(Z202&gt;=0,A202,1001)</ns0:f>
        <ns0:v>198</ns0:v>
      </ns0:c>
      <ns0:c r="AH202" s="4">
        <ns0:f>IF(Z202&lt;0,A202,0)</ns0:f>
        <ns0:v>0</ns0:v>
      </ns0:c>
      <ns0:c r="AI202" s="12">
        <ns0:f>IF(AND(OR('前提と出典'!$C$36+'前提と出典'!$C$38=0,X202&gt;=0),OR('前提と出典'!$C$37+'前提と出典'!$C$38=0,Y202&gt;=0)),0,A202)</ns0:f>
        <ns0:v>0</ns0:v>
      </ns0:c>
    </ns0:row>
    <ns0:row r="203" ht="24" customHeight="1">
      <ns0:c r="A203" s="4" t="n">
        <ns0:v>199</ns0:v>
      </ns0:c>
      <ns0:c r="B203" s="12">
        <ns0:f>A203*('前提と出典'!$C$36+'前提と出典'!$C$38)</ns0:f>
        <ns0:v>139.29999999999998</ns0:v>
      </ns0:c>
      <ns0:c r="C203" s="12">
        <ns0:f>A203*('前提と出典'!$C$37+'前提と出典'!$C$38)</ns0:f>
        <ns0:v>119.39999999999999</ns0:v>
      </ns0:c>
      <ns0:c r="D203" s="16">
        <ns0:f>A203*('前提と出典'!$C$36*'契約別単価'!C5+'前提と出典'!$C$37*'契約別単価'!C6+'前提と出典'!$C$38*'契約別単価'!C7)</ns0:f>
        <ns0:v>1431.9106145251396</ns0:v>
      </ns0:c>
      <ns0:c r="E203" s="16">
        <ns0:f>A203*('前提と出典'!$C$36*'契約別単価'!E5+'前提と出典'!$C$37*'契約別単価'!E6+'前提と出典'!$C$38*'契約別単価'!E7)</ns0:f>
        <ns0:v>385053.98668974085</ns0:v>
      </ns0:c>
      <ns0:c r="F203" s="16">
        <ns0:f>A203*('前提と出典'!$C$36*'契約別単価'!F5+'前提と出典'!$C$37*'契約別単価'!F6+'前提と出典'!$C$38*'契約別単価'!F7)</ns0:f>
        <ns0:v>151119.7004610971</ns0:v>
      </ns0:c>
      <ns0:c r="G203" s="16">
        <ns0:f>A203*('前提と出典'!$C$36*'契約別単価'!G5+'前提と出典'!$C$37*'契約別単価'!G6+'前提と出典'!$C$38*'契約別単価'!G7)</ns0:f>
        <ns0:v>396110.0558659218</ns0:v>
      </ns0:c>
      <ns0:c r="H203" s="16">
        <ns0:f>A203*('前提と出典'!$C$36*'契約別単価'!H5+'前提と出典'!$C$37*'契約別単価'!H6+'前提と出典'!$C$38*'契約別単価'!H7)</ns0:f>
        <ns0:v>137470.05586592175</ns0:v>
      </ns0:c>
      <ns0:c r="I203" s="16">
        <ns0:f>A203*('前提と出典'!$C$36*'契約別単価'!I5+'前提と出典'!$C$37*'契約別単価'!I6+'前提と出典'!$C$38*'契約別単価'!I7)</ns0:f>
        <ns0:v>8396.910614525139</ns0:v>
      </ns0:c>
      <ns0:c r="J203" s="16">
        <ns0:f>A203*('前提と出典'!$C$36*'契約別単価'!J5+'前提と出典'!$C$37*'契約別単価'!J6+'前提と出典'!$C$38*'契約別単価'!J7)</ns0:f>
        <ns0:v>19559.61919835021</ns0:v>
      </ns0:c>
      <ns0:c r="K203" s="16">
        <ns0:f>A203*('前提と出典'!$C$36*'契約別単価'!K5+'前提と出典'!$C$37*'契約別単価'!K6+'前提と出典'!$C$38*'契約別単価'!K7)</ns0:f>
        <ns0:v>83839.40409683426</ns0:v>
      </ns0:c>
      <ns0:c r="L203" s="16">
        <ns0:f>A203*('前提と出典'!$C$36*'契約別単価'!L5+'前提と出典'!$C$37*'契約別単価'!L6+'前提と出典'!$C$38*'契約別単価'!L7)</ns0:f>
        <ns0:v>68262.33519553073</ns0:v>
      </ns0:c>
      <ns0:c r="M203" s="16">
        <ns0:f>IF(('前提と出典'!$C$36+'前提と出典'!$C$38)=0,0,IF(B203&lt;=10,'前提と出典'!B73+'前提と出典'!C73,IF(B203&lt;=100,'前提と出典'!B74+'前提と出典'!C74,IF(B203&lt;=500,'前提と出典'!B75+'前提と出典'!C75,'前提と出典'!B76+'前提と出典'!C76))))</ns0:f>
        <ns0:v>40000</ns0:v>
      </ns0:c>
      <ns0:c r="N203" s="16">
        <ns0:f>IF(('前提と出典'!$C$37+'前提と出典'!$C$38)=0,0,IF(C203&lt;=10,'前提と出典'!D73+'前提と出典'!E73,IF(C203&lt;=100,'前提と出典'!D74+'前提と出典'!E74,IF(C203&lt;=500,'前提と出典'!D75+'前提と出典'!E75,'前提と出典'!D76+'前提と出典'!E76))))</ns0:f>
        <ns0:v>56510.9346263078</ns0:v>
      </ns0:c>
      <ns0:c r="O203" s="16">
        <ns0:f>IF('前提と出典'!$C$36+'前提と出典'!$C$38=0,0,'前提と出典'!$B$4*IF('前提と出典'!$B$20=0,MAX('前提と出典'!$B$6,D203*'前提と出典'!$B$5),'前提と出典'!$B$6+D203*'前提と出典'!$B$5))</ns0:f>
        <ns0:v>197603.66480446927</ns0:v>
      </ns0:c>
      <ns0:c r="P203" s="16">
        <ns0:f>(E203+G203)*(1-'前提と出典'!$B$7)-I203-K203-M203-O203</ns0:f>
        <ns0:v>423202.1575078301</ns0:v>
      </ns0:c>
      <ns0:c r="Q203" s="16">
        <ns0:f>(F203+H203)*(1-'前提と出典'!$B$7)-J203-L203-N203</ns0:f>
        <ns0:v>133867.6360790574</ns0:v>
      </ns0:c>
      <ns0:c r="R203" s="16">
        <ns0:f>P203-E203*'前提と出典'!$E$4</ns0:f>
        <ns0:v>307685.96150090784</ns0:v>
      </ns0:c>
      <ns0:c r="S203" s="16">
        <ns0:f>Q203-F203*'前提と出典'!$E$4</ns0:f>
        <ns0:v>88531.72594072827</ns0:v>
      </ns0:c>
      <ns0:c r="T203" s="7">
        <ns0:f>R203+S203</ns0:f>
        <ns0:v>396217.6874416361</ns0:v>
      </ns0:c>
      <ns0:c r="U203" s="16">
        <ns0:f>P203-E203*'前提と出典'!$E$5</ns0:f>
        <ns0:v>269180.5628319338</ns0:v>
      </ns0:c>
      <ns0:c r="V203" s="16">
        <ns0:f>Q203-F203*'前提と出典'!$E$5</ns0:f>
        <ns0:v>73419.75589461857</ns0:v>
      </ns0:c>
      <ns0:c r="W203" s="7">
        <ns0:f>U203+V203</ns0:f>
        <ns0:v>342600.31872655236</ns0:v>
      </ns0:c>
      <ns0:c r="X203" s="16">
        <ns0:f>P203-E203*'前提と出典'!$E$6</ns0:f>
        <ns0:v>230675.16416295973</ns0:v>
      </ns0:c>
      <ns0:c r="Y203" s="16">
        <ns0:f>Q203-F203*'前提と出典'!$E$6</ns0:f>
        <ns0:v>58307.78584850889</ns0:v>
      </ns0:c>
      <ns0:c r="Z203" s="7">
        <ns0:f>X203+Y203</ns0:f>
        <ns0:v>288982.9500114686</ns0:v>
      </ns0:c>
      <ns0:c r="AA203" s="7">
        <ns0:f>IF(T203&gt;=0,A203,1001)</ns0:f>
        <ns0:v>199</ns0:v>
      </ns0:c>
      <ns0:c r="AB203" s="7">
        <ns0:f>IF(T203&lt;0,A203,0)</ns0:f>
        <ns0:v>0</ns0:v>
      </ns0:c>
      <ns0:c r="AC203" s="16">
        <ns0:f>IF(AND(OR('前提と出典'!$C$36+'前提と出典'!$C$38=0,R203&gt;=0),OR('前提と出典'!$C$37+'前提と出典'!$C$38=0,S203&gt;=0)),0,A203)</ns0:f>
        <ns0:v>0</ns0:v>
      </ns0:c>
      <ns0:c r="AD203" s="7">
        <ns0:f>IF(W203&gt;=0,A203,1001)</ns0:f>
        <ns0:v>199</ns0:v>
      </ns0:c>
      <ns0:c r="AE203" s="7">
        <ns0:f>IF(W203&lt;0,A203,0)</ns0:f>
        <ns0:v>0</ns0:v>
      </ns0:c>
      <ns0:c r="AF203" s="16">
        <ns0:f>IF(AND(OR('前提と出典'!$C$36+'前提と出典'!$C$38=0,U203&gt;=0),OR('前提と出典'!$C$37+'前提と出典'!$C$38=0,V203&gt;=0)),0,A203)</ns0:f>
        <ns0:v>0</ns0:v>
      </ns0:c>
      <ns0:c r="AG203" s="7">
        <ns0:f>IF(Z203&gt;=0,A203,1001)</ns0:f>
        <ns0:v>199</ns0:v>
      </ns0:c>
      <ns0:c r="AH203" s="4">
        <ns0:f>IF(Z203&lt;0,A203,0)</ns0:f>
        <ns0:v>0</ns0:v>
      </ns0:c>
      <ns0:c r="AI203" s="12">
        <ns0:f>IF(AND(OR('前提と出典'!$C$36+'前提と出典'!$C$38=0,X203&gt;=0),OR('前提と出典'!$C$37+'前提と出典'!$C$38=0,Y203&gt;=0)),0,A203)</ns0:f>
        <ns0:v>0</ns0:v>
      </ns0:c>
    </ns0:row>
    <ns0:row r="204" ht="24" customHeight="1">
      <ns0:c r="A204" s="4" t="n">
        <ns0:v>200</ns0:v>
      </ns0:c>
      <ns0:c r="B204" s="12">
        <ns0:f>A204*('前提と出典'!$C$36+'前提と出典'!$C$38)</ns0:f>
        <ns0:v>140</ns0:v>
      </ns0:c>
      <ns0:c r="C204" s="12">
        <ns0:f>A204*('前提と出典'!$C$37+'前提と出典'!$C$38)</ns0:f>
        <ns0:v>120</ns0:v>
      </ns0:c>
      <ns0:c r="D204" s="16">
        <ns0:f>A204*('前提と出典'!$C$36*'契約別単価'!C5+'前提と出典'!$C$37*'契約別単価'!C6+'前提と出典'!$C$38*'契約別単価'!C7)</ns0:f>
        <ns0:v>1439.1061452513966</ns0:v>
      </ns0:c>
      <ns0:c r="E204" s="16">
        <ns0:f>A204*('前提と出典'!$C$36*'契約別単価'!E5+'前提と出典'!$C$37*'契約別単価'!E6+'前提と出典'!$C$38*'契約別単価'!E7)</ns0:f>
        <ns0:v>386988.93134647317</ns0:v>
      </ns0:c>
      <ns0:c r="F204" s="16">
        <ns0:f>A204*('前提と出典'!$C$36*'契約別単価'!F5+'前提と出典'!$C$37*'契約別単価'!F6+'前提と出典'!$C$38*'契約別単価'!F7)</ns0:f>
        <ns0:v>151879.0959408011</ns0:v>
      </ns0:c>
      <ns0:c r="G204" s="16">
        <ns0:f>A204*('前提と出典'!$C$36*'契約別単価'!G5+'前提と出典'!$C$37*'契約別単価'!G6+'前提と出典'!$C$38*'契約別単価'!G7)</ns0:f>
        <ns0:v>398100.55865921784</ns0:v>
      </ns0:c>
      <ns0:c r="H204" s="16">
        <ns0:f>A204*('前提と出典'!$C$36*'契約別単価'!H5+'前提と出典'!$C$37*'契約別単価'!H6+'前提と出典'!$C$38*'契約別単価'!H7)</ns0:f>
        <ns0:v>138160.86016675553</ns0:v>
      </ns0:c>
      <ns0:c r="I204" s="16">
        <ns0:f>A204*('前提と出典'!$C$36*'契約別単価'!I5+'前提と出典'!$C$37*'契約別単価'!I6+'前提と出典'!$C$38*'契約別単価'!I7)</ns0:f>
        <ns0:v>8439.106145251395</ns0:v>
      </ns0:c>
      <ns0:c r="J204" s="16">
        <ns0:f>A204*('前提と出典'!$C$36*'契約別単価'!J5+'前提と出典'!$C$37*'契約別単価'!J6+'前提と出典'!$C$38*'契約別単価'!J7)</ns0:f>
        <ns0:v>19657.908742060514</ns0:v>
      </ns0:c>
      <ns0:c r="K204" s="16">
        <ns0:f>A204*('前提と出典'!$C$36*'契約別単価'!K5+'前提と出典'!$C$37*'契約別単価'!K6+'前提と出典'!$C$38*'契約別単価'!K7)</ns0:f>
        <ns0:v>84260.70763500931</ns0:v>
      </ns0:c>
      <ns0:c r="L204" s="16">
        <ns0:f>A204*('前提と出典'!$C$36*'契約別単価'!L5+'前提と出典'!$C$37*'契約別単価'!L6+'前提と出典'!$C$38*'契約別単価'!L7)</ns0:f>
        <ns0:v>68605.36200555852</ns0:v>
      </ns0:c>
      <ns0:c r="M204" s="16">
        <ns0:f>IF(('前提と出典'!$C$36+'前提と出典'!$C$38)=0,0,IF(B204&lt;=10,'前提と出典'!B73+'前提と出典'!C73,IF(B204&lt;=100,'前提と出典'!B74+'前提と出典'!C74,IF(B204&lt;=500,'前提と出典'!B75+'前提と出典'!C75,'前提と出典'!B76+'前提と出典'!C76))))</ns0:f>
        <ns0:v>40000</ns0:v>
      </ns0:c>
      <ns0:c r="N204" s="16">
        <ns0:f>IF(('前提と出典'!$C$37+'前提と出典'!$C$38)=0,0,IF(C204&lt;=10,'前提と出典'!D73+'前提と出典'!E73,IF(C204&lt;=100,'前提と出典'!D74+'前提と出典'!E74,IF(C204&lt;=500,'前提と出典'!D75+'前提と出典'!E75,'前提と出典'!D76+'前提と出典'!E76))))</ns0:f>
        <ns0:v>56510.9346263078</ns0:v>
      </ns0:c>
      <ns0:c r="O204" s="16">
        <ns0:f>IF('前提と出典'!$C$36+'前提と出典'!$C$38=0,0,'前提と出典'!$B$4*IF('前提と出典'!$B$20=0,MAX('前提と出典'!$B$6,D204*'前提と出典'!$B$5),'前提と出典'!$B$6+D204*'前提と出典'!$B$5))</ns0:f>
        <ns0:v>198596.64804469273</ns0:v>
      </ns0:c>
      <ns0:c r="P204" s="16">
        <ns0:f>(E204+G204)*(1-'前提と出典'!$B$7)-I204-K204-M204-O204</ns0:f>
        <ns0:v>425529.80654053274</ns0:v>
      </ns0:c>
      <ns0:c r="Q204" s="16">
        <ns0:f>(F204+H204)*(1-'前提と出典'!$B$7)-J204-L204-N204</ns0:f>
        <ns0:v>134824.31231375778</ns0:v>
      </ns0:c>
      <ns0:c r="R204" s="16">
        <ns0:f>P204-E204*'前提と出典'!$E$4</ns0:f>
        <ns0:v>309433.1271365908</ns0:v>
      </ns0:c>
      <ns0:c r="S204" s="16">
        <ns0:f>Q204-F204*'前提と出典'!$E$4</ns0:f>
        <ns0:v>89260.58353151742</ns0:v>
      </ns0:c>
      <ns0:c r="T204" s="7">
        <ns0:f>R204+S204</ns0:f>
        <ns0:v>398693.7106681082</ns0:v>
      </ns0:c>
      <ns0:c r="U204" s="16">
        <ns0:f>P204-E204*'前提と出典'!$E$5</ns0:f>
        <ns0:v>270734.2340019435</ns0:v>
      </ns0:c>
      <ns0:c r="V204" s="16">
        <ns0:f>Q204-F204*'前提と出典'!$E$5</ns0:f>
        <ns0:v>74072.67393743733</ns0:v>
      </ns0:c>
      <ns0:c r="W204" s="7">
        <ns0:f>U204+V204</ns0:f>
        <ns0:v>344806.90793938085</ns0:v>
      </ns0:c>
      <ns0:c r="X204" s="16">
        <ns0:f>P204-E204*'前提と出典'!$E$6</ns0:f>
        <ns0:v>232035.34086729606</ns0:v>
      </ns0:c>
      <ns0:c r="Y204" s="16">
        <ns0:f>Q204-F204*'前提と出典'!$E$6</ns0:f>
        <ns0:v>58884.76434335723</ns0:v>
      </ns0:c>
      <ns0:c r="Z204" s="7">
        <ns0:f>X204+Y204</ns0:f>
        <ns0:v>290920.1052106533</ns0:v>
      </ns0:c>
      <ns0:c r="AA204" s="7">
        <ns0:f>IF(T204&gt;=0,A204,1001)</ns0:f>
        <ns0:v>200</ns0:v>
      </ns0:c>
      <ns0:c r="AB204" s="7">
        <ns0:f>IF(T204&lt;0,A204,0)</ns0:f>
        <ns0:v>0</ns0:v>
      </ns0:c>
      <ns0:c r="AC204" s="16">
        <ns0:f>IF(AND(OR('前提と出典'!$C$36+'前提と出典'!$C$38=0,R204&gt;=0),OR('前提と出典'!$C$37+'前提と出典'!$C$38=0,S204&gt;=0)),0,A204)</ns0:f>
        <ns0:v>0</ns0:v>
      </ns0:c>
      <ns0:c r="AD204" s="7">
        <ns0:f>IF(W204&gt;=0,A204,1001)</ns0:f>
        <ns0:v>200</ns0:v>
      </ns0:c>
      <ns0:c r="AE204" s="7">
        <ns0:f>IF(W204&lt;0,A204,0)</ns0:f>
        <ns0:v>0</ns0:v>
      </ns0:c>
      <ns0:c r="AF204" s="16">
        <ns0:f>IF(AND(OR('前提と出典'!$C$36+'前提と出典'!$C$38=0,U204&gt;=0),OR('前提と出典'!$C$37+'前提と出典'!$C$38=0,V204&gt;=0)),0,A204)</ns0:f>
        <ns0:v>0</ns0:v>
      </ns0:c>
      <ns0:c r="AG204" s="7">
        <ns0:f>IF(Z204&gt;=0,A204,1001)</ns0:f>
        <ns0:v>200</ns0:v>
      </ns0:c>
      <ns0:c r="AH204" s="4">
        <ns0:f>IF(Z204&lt;0,A204,0)</ns0:f>
        <ns0:v>0</ns0:v>
      </ns0:c>
      <ns0:c r="AI204" s="12">
        <ns0:f>IF(AND(OR('前提と出典'!$C$36+'前提と出典'!$C$38=0,X204&gt;=0),OR('前提と出典'!$C$37+'前提と出典'!$C$38=0,Y204&gt;=0)),0,A204)</ns0:f>
        <ns0:v>0</ns0:v>
      </ns0:c>
    </ns0:row>
    <ns0:row r="205" ht="24" customHeight="1">
      <ns0:c r="A205" s="4" t="n">
        <ns0:v>201</ns0:v>
      </ns0:c>
      <ns0:c r="B205" s="12">
        <ns0:f>A205*('前提と出典'!$C$36+'前提と出典'!$C$38)</ns0:f>
        <ns0:v>140.7</ns0:v>
      </ns0:c>
      <ns0:c r="C205" s="12">
        <ns0:f>A205*('前提と出典'!$C$37+'前提と出典'!$C$38)</ns0:f>
        <ns0:v>120.6</ns0:v>
      </ns0:c>
      <ns0:c r="D205" s="16">
        <ns0:f>A205*('前提と出典'!$C$36*'契約別単価'!C5+'前提と出典'!$C$37*'契約別単価'!C6+'前提と出典'!$C$38*'契約別単価'!C7)</ns0:f>
        <ns0:v>1446.3016759776535</ns0:v>
      </ns0:c>
      <ns0:c r="E205" s="16">
        <ns0:f>A205*('前提と出典'!$C$36*'契約別単価'!E5+'前提と出典'!$C$37*'契約別単価'!E6+'前提と出典'!$C$38*'契約別単価'!E7)</ns0:f>
        <ns0:v>388923.87600320554</ns0:v>
      </ns0:c>
      <ns0:c r="F205" s="16">
        <ns0:f>A205*('前提と出典'!$C$36*'契約別単価'!F5+'前提と出典'!$C$37*'契約別単価'!F6+'前提と出典'!$C$38*'契約別単価'!F7)</ns0:f>
        <ns0:v>152638.4914205051</ns0:v>
      </ns0:c>
      <ns0:c r="G205" s="16">
        <ns0:f>A205*('前提と出典'!$C$36*'契約別単価'!G5+'前提と出典'!$C$37*'契約別単価'!G6+'前提と出典'!$C$38*'契約別単価'!G7)</ns0:f>
        <ns0:v>400091.06145251397</ns0:v>
      </ns0:c>
      <ns0:c r="H205" s="16">
        <ns0:f>A205*('前提と出典'!$C$36*'契約別単価'!H5+'前提と出典'!$C$37*'契約別単価'!H6+'前提と出典'!$C$38*'契約別単価'!H7)</ns0:f>
        <ns0:v>138851.66446758932</ns0:v>
      </ns0:c>
      <ns0:c r="I205" s="16">
        <ns0:f>A205*('前提と出典'!$C$36*'契約別単価'!I5+'前提と出典'!$C$37*'契約別単価'!I6+'前提と出典'!$C$38*'契約別単価'!I7)</ns0:f>
        <ns0:v>8481.301675977653</ns0:v>
      </ns0:c>
      <ns0:c r="J205" s="16">
        <ns0:f>A205*('前提と出典'!$C$36*'契約別単価'!J5+'前提と出典'!$C$37*'契約別単価'!J6+'前提と出典'!$C$38*'契約別単価'!J7)</ns0:f>
        <ns0:v>19756.198285770817</ns0:v>
      </ns0:c>
      <ns0:c r="K205" s="16">
        <ns0:f>A205*('前提と出典'!$C$36*'契約別単価'!K5+'前提と出典'!$C$37*'契約別単価'!K6+'前提と出典'!$C$38*'契約別単価'!K7)</ns0:f>
        <ns0:v>84682.01117318435</ns0:v>
      </ns0:c>
      <ns0:c r="L205" s="16">
        <ns0:f>A205*('前提と出典'!$C$36*'契約別単価'!L5+'前提と出典'!$C$37*'契約別単価'!L6+'前提と出典'!$C$38*'契約別単価'!L7)</ns0:f>
        <ns0:v>68948.38881558631</ns0:v>
      </ns0:c>
      <ns0:c r="M205" s="16">
        <ns0:f>IF(('前提と出典'!$C$36+'前提と出典'!$C$38)=0,0,IF(B205&lt;=10,'前提と出典'!B73+'前提と出典'!C73,IF(B205&lt;=100,'前提と出典'!B74+'前提と出典'!C74,IF(B205&lt;=500,'前提と出典'!B75+'前提と出典'!C75,'前提と出典'!B76+'前提と出典'!C76))))</ns0:f>
        <ns0:v>40000</ns0:v>
      </ns0:c>
      <ns0:c r="N205" s="16">
        <ns0:f>IF(('前提と出典'!$C$37+'前提と出典'!$C$38)=0,0,IF(C205&lt;=10,'前提と出典'!D73+'前提と出典'!E73,IF(C205&lt;=100,'前提と出典'!D74+'前提と出典'!E74,IF(C205&lt;=500,'前提と出典'!D75+'前提と出典'!E75,'前提と出典'!D76+'前提と出典'!E76))))</ns0:f>
        <ns0:v>56510.9346263078</ns0:v>
      </ns0:c>
      <ns0:c r="O205" s="16">
        <ns0:f>IF('前提と出典'!$C$36+'前提と出典'!$C$38=0,0,'前提と出典'!$B$4*IF('前提と出典'!$B$20=0,MAX('前提と出典'!$B$6,D205*'前提と出典'!$B$5),'前提と出典'!$B$6+D205*'前提と出典'!$B$5))</ns0:f>
        <ns0:v>199589.6312849162</ns0:v>
      </ns0:c>
      <ns0:c r="P205" s="16">
        <ns0:f>(E205+G205)*(1-'前提と出典'!$B$7)-I205-K205-M205-O205</ns0:f>
        <ns0:v>427857.4555732354</ns0:v>
      </ns0:c>
      <ns0:c r="Q205" s="16">
        <ns0:f>(F205+H205)*(1-'前提と出典'!$B$7)-J205-L205-N205</ns0:f>
        <ns0:v>135780.98854845812</ns0:v>
      </ns0:c>
      <ns0:c r="R205" s="16">
        <ns0:f>P205-E205*'前提と出典'!$E$4</ns0:f>
        <ns0:v>311180.29277227377</ns0:v>
      </ns0:c>
      <ns0:c r="S205" s="16">
        <ns0:f>Q205-F205*'前提と出典'!$E$4</ns0:f>
        <ns0:v>89989.4411223066</ns0:v>
      </ns0:c>
      <ns0:c r="T205" s="7">
        <ns0:f>R205+S205</ns0:f>
        <ns0:v>401169.7338945804</ns0:v>
      </ns0:c>
      <ns0:c r="U205" s="16">
        <ns0:f>P205-E205*'前提と出典'!$E$5</ns0:f>
        <ns0:v>272287.90517195314</ns0:v>
      </ns0:c>
      <ns0:c r="V205" s="16">
        <ns0:f>Q205-F205*'前提と出典'!$E$5</ns0:f>
        <ns0:v>74725.59198025608</ns0:v>
      </ns0:c>
      <ns0:c r="W205" s="7">
        <ns0:f>U205+V205</ns0:f>
        <ns0:v>347013.4971522092</ns0:v>
      </ns0:c>
      <ns0:c r="X205" s="16">
        <ns0:f>P205-E205*'前提と出典'!$E$6</ns0:f>
        <ns0:v>233395.51757163263</ns0:v>
      </ns0:c>
      <ns0:c r="Y205" s="16">
        <ns0:f>Q205-F205*'前提と出典'!$E$6</ns0:f>
        <ns0:v>59461.74283820557</ns0:v>
      </ns0:c>
      <ns0:c r="Z205" s="7">
        <ns0:f>X205+Y205</ns0:f>
        <ns0:v>292857.2604098382</ns0:v>
      </ns0:c>
      <ns0:c r="AA205" s="7">
        <ns0:f>IF(T205&gt;=0,A205,1001)</ns0:f>
        <ns0:v>201</ns0:v>
      </ns0:c>
      <ns0:c r="AB205" s="7">
        <ns0:f>IF(T205&lt;0,A205,0)</ns0:f>
        <ns0:v>0</ns0:v>
      </ns0:c>
      <ns0:c r="AC205" s="16">
        <ns0:f>IF(AND(OR('前提と出典'!$C$36+'前提と出典'!$C$38=0,R205&gt;=0),OR('前提と出典'!$C$37+'前提と出典'!$C$38=0,S205&gt;=0)),0,A205)</ns0:f>
        <ns0:v>0</ns0:v>
      </ns0:c>
      <ns0:c r="AD205" s="7">
        <ns0:f>IF(W205&gt;=0,A205,1001)</ns0:f>
        <ns0:v>201</ns0:v>
      </ns0:c>
      <ns0:c r="AE205" s="7">
        <ns0:f>IF(W205&lt;0,A205,0)</ns0:f>
        <ns0:v>0</ns0:v>
      </ns0:c>
      <ns0:c r="AF205" s="16">
        <ns0:f>IF(AND(OR('前提と出典'!$C$36+'前提と出典'!$C$38=0,U205&gt;=0),OR('前提と出典'!$C$37+'前提と出典'!$C$38=0,V205&gt;=0)),0,A205)</ns0:f>
        <ns0:v>0</ns0:v>
      </ns0:c>
      <ns0:c r="AG205" s="7">
        <ns0:f>IF(Z205&gt;=0,A205,1001)</ns0:f>
        <ns0:v>201</ns0:v>
      </ns0:c>
      <ns0:c r="AH205" s="4">
        <ns0:f>IF(Z205&lt;0,A205,0)</ns0:f>
        <ns0:v>0</ns0:v>
      </ns0:c>
      <ns0:c r="AI205" s="12">
        <ns0:f>IF(AND(OR('前提と出典'!$C$36+'前提と出典'!$C$38=0,X205&gt;=0),OR('前提と出典'!$C$37+'前提と出典'!$C$38=0,Y205&gt;=0)),0,A205)</ns0:f>
        <ns0:v>0</ns0:v>
      </ns0:c>
    </ns0:row>
    <ns0:row r="206" ht="24" customHeight="1">
      <ns0:c r="A206" s="4" t="n">
        <ns0:v>202</ns0:v>
      </ns0:c>
      <ns0:c r="B206" s="12">
        <ns0:f>A206*('前提と出典'!$C$36+'前提と出典'!$C$38)</ns0:f>
        <ns0:v>141.39999999999998</ns0:v>
      </ns0:c>
      <ns0:c r="C206" s="12">
        <ns0:f>A206*('前提と出典'!$C$37+'前提と出典'!$C$38)</ns0:f>
        <ns0:v>121.19999999999999</ns0:v>
      </ns0:c>
      <ns0:c r="D206" s="16">
        <ns0:f>A206*('前提と出典'!$C$36*'契約別単価'!C5+'前提と出典'!$C$37*'契約別単価'!C6+'前提と出典'!$C$38*'契約別単価'!C7)</ns0:f>
        <ns0:v>1453.4972067039107</ns0:v>
      </ns0:c>
      <ns0:c r="E206" s="16">
        <ns0:f>A206*('前提と出典'!$C$36*'契約別単価'!E5+'前提と出典'!$C$37*'契約別単価'!E6+'前提と出典'!$C$38*'契約別単価'!E7)</ns0:f>
        <ns0:v>390858.8206599379</ns0:v>
      </ns0:c>
      <ns0:c r="F206" s="16">
        <ns0:f>A206*('前提と出典'!$C$36*'契約別単価'!F5+'前提と出典'!$C$37*'契約別単価'!F6+'前提と出典'!$C$38*'契約別単価'!F7)</ns0:f>
        <ns0:v>153397.88690020912</ns0:v>
      </ns0:c>
      <ns0:c r="G206" s="16">
        <ns0:f>A206*('前提と出典'!$C$36*'契約別単価'!G5+'前提と出典'!$C$37*'契約別単価'!G6+'前提と出典'!$C$38*'契約別単価'!G7)</ns0:f>
        <ns0:v>402081.56424581003</ns0:v>
      </ns0:c>
      <ns0:c r="H206" s="16">
        <ns0:f>A206*('前提と出典'!$C$36*'契約別単価'!H5+'前提と出典'!$C$37*'契約別単価'!H6+'前提と出典'!$C$38*'契約別単価'!H7)</ns0:f>
        <ns0:v>139542.4687684231</ns0:v>
      </ns0:c>
      <ns0:c r="I206" s="16">
        <ns0:f>A206*('前提と出典'!$C$36*'契約別単価'!I5+'前提と出典'!$C$37*'契約別単価'!I6+'前提と出典'!$C$38*'契約別単価'!I7)</ns0:f>
        <ns0:v>8523.497206703909</ns0:v>
      </ns0:c>
      <ns0:c r="J206" s="16">
        <ns0:f>A206*('前提と出典'!$C$36*'契約別単価'!J5+'前提と出典'!$C$37*'契約別単価'!J6+'前提と出典'!$C$38*'契約別単価'!J7)</ns0:f>
        <ns0:v>19854.487829481117</ns0:v>
      </ns0:c>
      <ns0:c r="K206" s="16">
        <ns0:f>A206*('前提と出典'!$C$36*'契約別単価'!K5+'前提と出典'!$C$37*'契約別単価'!K6+'前提と出典'!$C$38*'契約別単価'!K7)</ns0:f>
        <ns0:v>85103.3147113594</ns0:v>
      </ns0:c>
      <ns0:c r="L206" s="16">
        <ns0:f>A206*('前提と出典'!$C$36*'契約別単価'!L5+'前提と出典'!$C$37*'契約別単価'!L6+'前提と出典'!$C$38*'契約別単価'!L7)</ns0:f>
        <ns0:v>69291.4156256141</ns0:v>
      </ns0:c>
      <ns0:c r="M206" s="16">
        <ns0:f>IF(('前提と出典'!$C$36+'前提と出典'!$C$38)=0,0,IF(B206&lt;=10,'前提と出典'!B73+'前提と出典'!C73,IF(B206&lt;=100,'前提と出典'!B74+'前提と出典'!C74,IF(B206&lt;=500,'前提と出典'!B75+'前提と出典'!C75,'前提と出典'!B76+'前提と出典'!C76))))</ns0:f>
        <ns0:v>40000</ns0:v>
      </ns0:c>
      <ns0:c r="N206" s="16">
        <ns0:f>IF(('前提と出典'!$C$37+'前提と出典'!$C$38)=0,0,IF(C206&lt;=10,'前提と出典'!D73+'前提と出典'!E73,IF(C206&lt;=100,'前提と出典'!D74+'前提と出典'!E74,IF(C206&lt;=500,'前提と出典'!D75+'前提と出典'!E75,'前提と出典'!D76+'前提と出典'!E76))))</ns0:f>
        <ns0:v>56510.9346263078</ns0:v>
      </ns0:c>
      <ns0:c r="O206" s="16">
        <ns0:f>IF('前提と出典'!$C$36+'前提と出典'!$C$38=0,0,'前提と出典'!$B$4*IF('前提と出典'!$B$20=0,MAX('前提と出典'!$B$6,D206*'前提と出典'!$B$5),'前提と出典'!$B$6+D206*'前提と出典'!$B$5))</ns0:f>
        <ns0:v>200582.61452513968</ns0:v>
      </ns0:c>
      <ns0:c r="P206" s="16">
        <ns0:f>(E206+G206)*(1-'前提と出典'!$B$7)-I206-K206-M206-O206</ns0:f>
        <ns0:v>430185.10460593813</ns0:v>
      </ns0:c>
      <ns0:c r="Q206" s="16">
        <ns0:f>(F206+H206)*(1-'前提と出典'!$B$7)-J206-L206-N206</ns0:f>
        <ns0:v>136737.66478315846</ns0:v>
      </ns0:c>
      <ns0:c r="R206" s="16">
        <ns0:f>P206-E206*'前提と出典'!$E$4</ns0:f>
        <ns0:v>312927.45840795676</ns0:v>
      </ns0:c>
      <ns0:c r="S206" s="16">
        <ns0:f>Q206-F206*'前提と出典'!$E$4</ns0:f>
        <ns0:v>90718.29871309572</ns0:v>
      </ns0:c>
      <ns0:c r="T206" s="7">
        <ns0:f>R206+S206</ns0:f>
        <ns0:v>403645.7571210525</ns0:v>
      </ns0:c>
      <ns0:c r="U206" s="16">
        <ns0:f>P206-E206*'前提と出典'!$E$5</ns0:f>
        <ns0:v>273841.57634196297</ns0:v>
      </ns0:c>
      <ns0:c r="V206" s="16">
        <ns0:f>Q206-F206*'前提と出典'!$E$5</ns0:f>
        <ns0:v>75378.5100230748</ns0:v>
      </ns0:c>
      <ns0:c r="W206" s="7">
        <ns0:f>U206+V206</ns0:f>
        <ns0:v>349220.0863650378</ns0:v>
      </ns0:c>
      <ns0:c r="X206" s="16">
        <ns0:f>P206-E206*'前提と出典'!$E$6</ns0:f>
        <ns0:v>234755.69427596912</ns0:v>
      </ns0:c>
      <ns0:c r="Y206" s="16">
        <ns0:f>Q206-F206*'前提と出典'!$E$6</ns0:f>
        <ns0:v>60038.72133305389</ns0:v>
      </ns0:c>
      <ns0:c r="Z206" s="7">
        <ns0:f>X206+Y206</ns0:f>
        <ns0:v>294794.415609023</ns0:v>
      </ns0:c>
      <ns0:c r="AA206" s="7">
        <ns0:f>IF(T206&gt;=0,A206,1001)</ns0:f>
        <ns0:v>202</ns0:v>
      </ns0:c>
      <ns0:c r="AB206" s="7">
        <ns0:f>IF(T206&lt;0,A206,0)</ns0:f>
        <ns0:v>0</ns0:v>
      </ns0:c>
      <ns0:c r="AC206" s="16">
        <ns0:f>IF(AND(OR('前提と出典'!$C$36+'前提と出典'!$C$38=0,R206&gt;=0),OR('前提と出典'!$C$37+'前提と出典'!$C$38=0,S206&gt;=0)),0,A206)</ns0:f>
        <ns0:v>0</ns0:v>
      </ns0:c>
      <ns0:c r="AD206" s="7">
        <ns0:f>IF(W206&gt;=0,A206,1001)</ns0:f>
        <ns0:v>202</ns0:v>
      </ns0:c>
      <ns0:c r="AE206" s="7">
        <ns0:f>IF(W206&lt;0,A206,0)</ns0:f>
        <ns0:v>0</ns0:v>
      </ns0:c>
      <ns0:c r="AF206" s="16">
        <ns0:f>IF(AND(OR('前提と出典'!$C$36+'前提と出典'!$C$38=0,U206&gt;=0),OR('前提と出典'!$C$37+'前提と出典'!$C$38=0,V206&gt;=0)),0,A206)</ns0:f>
        <ns0:v>0</ns0:v>
      </ns0:c>
      <ns0:c r="AG206" s="7">
        <ns0:f>IF(Z206&gt;=0,A206,1001)</ns0:f>
        <ns0:v>202</ns0:v>
      </ns0:c>
      <ns0:c r="AH206" s="4">
        <ns0:f>IF(Z206&lt;0,A206,0)</ns0:f>
        <ns0:v>0</ns0:v>
      </ns0:c>
      <ns0:c r="AI206" s="12">
        <ns0:f>IF(AND(OR('前提と出典'!$C$36+'前提と出典'!$C$38=0,X206&gt;=0),OR('前提と出典'!$C$37+'前提と出典'!$C$38=0,Y206&gt;=0)),0,A206)</ns0:f>
        <ns0:v>0</ns0:v>
      </ns0:c>
    </ns0:row>
    <ns0:row r="207" ht="24" customHeight="1">
      <ns0:c r="A207" s="4" t="n">
        <ns0:v>203</ns0:v>
      </ns0:c>
      <ns0:c r="B207" s="12">
        <ns0:f>A207*('前提と出典'!$C$36+'前提と出典'!$C$38)</ns0:f>
        <ns0:v>142.1</ns0:v>
      </ns0:c>
      <ns0:c r="C207" s="12">
        <ns0:f>A207*('前提と出典'!$C$37+'前提と出典'!$C$38)</ns0:f>
        <ns0:v>121.8</ns0:v>
      </ns0:c>
      <ns0:c r="D207" s="16">
        <ns0:f>A207*('前提と出典'!$C$36*'契約別単価'!C5+'前提と出典'!$C$37*'契約別単価'!C6+'前提と出典'!$C$38*'契約別単価'!C7)</ns0:f>
        <ns0:v>1460.6927374301677</ns0:v>
      </ns0:c>
      <ns0:c r="E207" s="16">
        <ns0:f>A207*('前提と出典'!$C$36*'契約別単価'!E5+'前提と出典'!$C$37*'契約別単価'!E6+'前提と出典'!$C$38*'契約別単価'!E7)</ns0:f>
        <ns0:v>392793.7653166703</ns0:v>
      </ns0:c>
      <ns0:c r="F207" s="16">
        <ns0:f>A207*('前提と出典'!$C$36*'契約別単価'!F5+'前提と出典'!$C$37*'契約別単価'!F6+'前提と出典'!$C$38*'契約別単価'!F7)</ns0:f>
        <ns0:v>154157.28237991311</ns0:v>
      </ns0:c>
      <ns0:c r="G207" s="16">
        <ns0:f>A207*('前提と出典'!$C$36*'契約別単価'!G5+'前提と出典'!$C$37*'契約別単価'!G6+'前提と出典'!$C$38*'契約別単価'!G7)</ns0:f>
        <ns0:v>404072.0670391061</ns0:v>
      </ns0:c>
      <ns0:c r="H207" s="16">
        <ns0:f>A207*('前提と出典'!$C$36*'契約別単価'!H5+'前提と出典'!$C$37*'契約別単価'!H6+'前提と出典'!$C$38*'契約別単価'!H7)</ns0:f>
        <ns0:v>140233.27306925686</ns0:v>
      </ns0:c>
      <ns0:c r="I207" s="16">
        <ns0:f>A207*('前提と出典'!$C$36*'契約別単価'!I5+'前提と出典'!$C$37*'契約別単価'!I6+'前提と出典'!$C$38*'契約別単価'!I7)</ns0:f>
        <ns0:v>8565.692737430167</ns0:v>
      </ns0:c>
      <ns0:c r="J207" s="16">
        <ns0:f>A207*('前提と出典'!$C$36*'契約別単価'!J5+'前提と出典'!$C$37*'契約別単価'!J6+'前提と出典'!$C$38*'契約別単価'!J7)</ns0:f>
        <ns0:v>19952.77737319142</ns0:v>
      </ns0:c>
      <ns0:c r="K207" s="16">
        <ns0:f>A207*('前提と出典'!$C$36*'契約別単価'!K5+'前提と出典'!$C$37*'契約別単価'!K6+'前提と出典'!$C$38*'契約別単価'!K7)</ns0:f>
        <ns0:v>85524.61824953444</ns0:v>
      </ns0:c>
      <ns0:c r="L207" s="16">
        <ns0:f>A207*('前提と出典'!$C$36*'契約別単価'!L5+'前提と出典'!$C$37*'契約別単価'!L6+'前提と出典'!$C$38*'契約別単価'!L7)</ns0:f>
        <ns0:v>69634.44243564189</ns0:v>
      </ns0:c>
      <ns0:c r="M207" s="16">
        <ns0:f>IF(('前提と出典'!$C$36+'前提と出典'!$C$38)=0,0,IF(B207&lt;=10,'前提と出典'!B73+'前提と出典'!C73,IF(B207&lt;=100,'前提と出典'!B74+'前提と出典'!C74,IF(B207&lt;=500,'前提と出典'!B75+'前提と出典'!C75,'前提と出典'!B76+'前提と出典'!C76))))</ns0:f>
        <ns0:v>40000</ns0:v>
      </ns0:c>
      <ns0:c r="N207" s="16">
        <ns0:f>IF(('前提と出典'!$C$37+'前提と出典'!$C$38)=0,0,IF(C207&lt;=10,'前提と出典'!D73+'前提と出典'!E73,IF(C207&lt;=100,'前提と出典'!D74+'前提と出典'!E74,IF(C207&lt;=500,'前提と出典'!D75+'前提と出典'!E75,'前提と出典'!D76+'前提と出典'!E76))))</ns0:f>
        <ns0:v>56510.9346263078</ns0:v>
      </ns0:c>
      <ns0:c r="O207" s="16">
        <ns0:f>IF('前提と出典'!$C$36+'前提と出典'!$C$38=0,0,'前提と出典'!$B$4*IF('前提と出典'!$B$20=0,MAX('前提と出典'!$B$6,D207*'前提と出典'!$B$5),'前提と出典'!$B$6+D207*'前提と出典'!$B$5))</ns0:f>
        <ns0:v>201575.59776536314</ns0:v>
      </ns0:c>
      <ns0:c r="P207" s="16">
        <ns0:f>(E207+G207)*(1-'前提と出典'!$B$7)-I207-K207-M207-O207</ns0:f>
        <ns0:v>432512.7536386407</ns0:v>
      </ns0:c>
      <ns0:c r="Q207" s="16">
        <ns0:f>(F207+H207)*(1-'前提と出典'!$B$7)-J207-L207-N207</ns0:f>
        <ns0:v>137694.3410178587</ns0:v>
      </ns0:c>
      <ns0:c r="R207" s="16">
        <ns0:f>P207-E207*'前提と出典'!$E$4</ns0:f>
        <ns0:v>314674.6240436395</ns0:v>
      </ns0:c>
      <ns0:c r="S207" s="16">
        <ns0:f>Q207-F207*'前提と出典'!$E$4</ns0:f>
        <ns0:v>91447.15630388481</ns0:v>
      </ns0:c>
      <ns0:c r="T207" s="7">
        <ns0:f>R207+S207</ns0:f>
        <ns0:v>406121.7803475243</ns0:v>
      </ns0:c>
      <ns0:c r="U207" s="16">
        <ns0:f>P207-E207*'前提と出典'!$E$5</ns0:f>
        <ns0:v>275395.24751197256</ns0:v>
      </ns0:c>
      <ns0:c r="V207" s="16">
        <ns0:f>Q207-F207*'前提と出典'!$E$5</ns0:f>
        <ns0:v>76031.42806589347</ns0:v>
      </ns0:c>
      <ns0:c r="W207" s="7">
        <ns0:f>U207+V207</ns0:f>
        <ns0:v>351426.67557786603</ns0:v>
      </ns0:c>
      <ns0:c r="X207" s="16">
        <ns0:f>P207-E207*'前提と出典'!$E$6</ns0:f>
        <ns0:v>236115.87098030545</ns0:v>
      </ns0:c>
      <ns0:c r="Y207" s="16">
        <ns0:f>Q207-F207*'前提と出典'!$E$6</ns0:f>
        <ns0:v>60615.69982790214</ns0:v>
      </ns0:c>
      <ns0:c r="Z207" s="7">
        <ns0:f>X207+Y207</ns0:f>
        <ns0:v>296731.5708082076</ns0:v>
      </ns0:c>
      <ns0:c r="AA207" s="7">
        <ns0:f>IF(T207&gt;=0,A207,1001)</ns0:f>
        <ns0:v>203</ns0:v>
      </ns0:c>
      <ns0:c r="AB207" s="7">
        <ns0:f>IF(T207&lt;0,A207,0)</ns0:f>
        <ns0:v>0</ns0:v>
      </ns0:c>
      <ns0:c r="AC207" s="16">
        <ns0:f>IF(AND(OR('前提と出典'!$C$36+'前提と出典'!$C$38=0,R207&gt;=0),OR('前提と出典'!$C$37+'前提と出典'!$C$38=0,S207&gt;=0)),0,A207)</ns0:f>
        <ns0:v>0</ns0:v>
      </ns0:c>
      <ns0:c r="AD207" s="7">
        <ns0:f>IF(W207&gt;=0,A207,1001)</ns0:f>
        <ns0:v>203</ns0:v>
      </ns0:c>
      <ns0:c r="AE207" s="7">
        <ns0:f>IF(W207&lt;0,A207,0)</ns0:f>
        <ns0:v>0</ns0:v>
      </ns0:c>
      <ns0:c r="AF207" s="16">
        <ns0:f>IF(AND(OR('前提と出典'!$C$36+'前提と出典'!$C$38=0,U207&gt;=0),OR('前提と出典'!$C$37+'前提と出典'!$C$38=0,V207&gt;=0)),0,A207)</ns0:f>
        <ns0:v>0</ns0:v>
      </ns0:c>
      <ns0:c r="AG207" s="7">
        <ns0:f>IF(Z207&gt;=0,A207,1001)</ns0:f>
        <ns0:v>203</ns0:v>
      </ns0:c>
      <ns0:c r="AH207" s="4">
        <ns0:f>IF(Z207&lt;0,A207,0)</ns0:f>
        <ns0:v>0</ns0:v>
      </ns0:c>
      <ns0:c r="AI207" s="12">
        <ns0:f>IF(AND(OR('前提と出典'!$C$36+'前提と出典'!$C$38=0,X207&gt;=0),OR('前提と出典'!$C$37+'前提と出典'!$C$38=0,Y207&gt;=0)),0,A207)</ns0:f>
        <ns0:v>0</ns0:v>
      </ns0:c>
    </ns0:row>
    <ns0:row r="208" ht="24" customHeight="1">
      <ns0:c r="A208" s="4" t="n">
        <ns0:v>204</ns0:v>
      </ns0:c>
      <ns0:c r="B208" s="12">
        <ns0:f>A208*('前提と出典'!$C$36+'前提と出典'!$C$38)</ns0:f>
        <ns0:v>142.79999999999998</ns0:v>
      </ns0:c>
      <ns0:c r="C208" s="12">
        <ns0:f>A208*('前提と出典'!$C$37+'前提と出典'!$C$38)</ns0:f>
        <ns0:v>122.39999999999999</ns0:v>
      </ns0:c>
      <ns0:c r="D208" s="16">
        <ns0:f>A208*('前提と出典'!$C$36*'契約別単価'!C5+'前提と出典'!$C$37*'契約別単価'!C6+'前提と出典'!$C$38*'契約別単価'!C7)</ns0:f>
        <ns0:v>1467.8882681564246</ns0:v>
      </ns0:c>
      <ns0:c r="E208" s="16">
        <ns0:f>A208*('前提と出典'!$C$36*'契約別単価'!E5+'前提と出典'!$C$37*'契約別単価'!E6+'前提と出典'!$C$38*'契約別単価'!E7)</ns0:f>
        <ns0:v>394728.70997340267</ns0:v>
      </ns0:c>
      <ns0:c r="F208" s="16">
        <ns0:f>A208*('前提と出典'!$C$36*'契約別単価'!F5+'前提と出典'!$C$37*'契約別単価'!F6+'前提と出典'!$C$38*'契約別単価'!F7)</ns0:f>
        <ns0:v>154916.67785961714</ns0:v>
      </ns0:c>
      <ns0:c r="G208" s="16">
        <ns0:f>A208*('前提と出典'!$C$36*'契約別単価'!G5+'前提と出典'!$C$37*'契約別単価'!G6+'前提と出典'!$C$38*'契約別単価'!G7)</ns0:f>
        <ns0:v>406062.5698324022</ns0:v>
      </ns0:c>
      <ns0:c r="H208" s="16">
        <ns0:f>A208*('前提と出典'!$C$36*'契約別単価'!H5+'前提と出典'!$C$37*'契約別単価'!H6+'前提と出典'!$C$38*'契約別単価'!H7)</ns0:f>
        <ns0:v>140924.07737009064</ns0:v>
      </ns0:c>
      <ns0:c r="I208" s="16">
        <ns0:f>A208*('前提と出典'!$C$36*'契約別単価'!I5+'前提と出典'!$C$37*'契約別単価'!I6+'前提と出典'!$C$38*'契約別単価'!I7)</ns0:f>
        <ns0:v>8607.888268156423</ns0:v>
      </ns0:c>
      <ns0:c r="J208" s="16">
        <ns0:f>A208*('前提と出典'!$C$36*'契約別単価'!J5+'前提と出典'!$C$37*'契約別単価'!J6+'前提と出典'!$C$38*'契約別単価'!J7)</ns0:f>
        <ns0:v>20051.066916901724</ns0:v>
      </ns0:c>
      <ns0:c r="K208" s="16">
        <ns0:f>A208*('前提と出典'!$C$36*'契約別単価'!K5+'前提と出典'!$C$37*'契約別単価'!K6+'前提と出典'!$C$38*'契約別単価'!K7)</ns0:f>
        <ns0:v>85945.92178770949</ns0:v>
      </ns0:c>
      <ns0:c r="L208" s="16">
        <ns0:f>A208*('前提と出典'!$C$36*'契約別単価'!L5+'前提と出典'!$C$37*'契約別単価'!L6+'前提と出典'!$C$38*'契約別単価'!L7)</ns0:f>
        <ns0:v>69977.46924566968</ns0:v>
      </ns0:c>
      <ns0:c r="M208" s="16">
        <ns0:f>IF(('前提と出典'!$C$36+'前提と出典'!$C$38)=0,0,IF(B208&lt;=10,'前提と出典'!B73+'前提と出典'!C73,IF(B208&lt;=100,'前提と出典'!B74+'前提と出典'!C74,IF(B208&lt;=500,'前提と出典'!B75+'前提と出典'!C75,'前提と出典'!B76+'前提と出典'!C76))))</ns0:f>
        <ns0:v>40000</ns0:v>
      </ns0:c>
      <ns0:c r="N208" s="16">
        <ns0:f>IF(('前提と出典'!$C$37+'前提と出典'!$C$38)=0,0,IF(C208&lt;=10,'前提と出典'!D73+'前提と出典'!E73,IF(C208&lt;=100,'前提と出典'!D74+'前提と出典'!E74,IF(C208&lt;=500,'前提と出典'!D75+'前提と出典'!E75,'前提と出典'!D76+'前提と出典'!E76))))</ns0:f>
        <ns0:v>56510.9346263078</ns0:v>
      </ns0:c>
      <ns0:c r="O208" s="16">
        <ns0:f>IF('前提と出典'!$C$36+'前提と出典'!$C$38=0,0,'前提と出典'!$B$4*IF('前提と出典'!$B$20=0,MAX('前提と出典'!$B$6,D208*'前提と出典'!$B$5),'前提と出典'!$B$6+D208*'前提と出典'!$B$5))</ns0:f>
        <ns0:v>202568.5810055866</ns0:v>
      </ns0:c>
      <ns0:c r="P208" s="16">
        <ns0:f>(E208+G208)*(1-'前提と出典'!$B$7)-I208-K208-M208-O208</ns0:f>
        <ns0:v>434840.40267134336</ns0:v>
      </ns0:c>
      <ns0:c r="Q208" s="16">
        <ns0:f>(F208+H208)*(1-'前提と出典'!$B$7)-J208-L208-N208</ns0:f>
        <ns0:v>138651.0172525591</ns0:v>
      </ns0:c>
      <ns0:c r="R208" s="16">
        <ns0:f>P208-E208*'前提と出典'!$E$4</ns0:f>
        <ns0:v>316421.78967932257</ns0:v>
      </ns0:c>
      <ns0:c r="S208" s="16">
        <ns0:f>Q208-F208*'前提と出典'!$E$4</ns0:f>
        <ns0:v>92176.01389467396</ns0:v>
      </ns0:c>
      <ns0:c r="T208" s="7">
        <ns0:f>R208+S208</ns0:f>
        <ns0:v>408597.8035739965</ns0:v>
      </ns0:c>
      <ns0:c r="U208" s="16">
        <ns0:f>P208-E208*'前提と出典'!$E$5</ns0:f>
        <ns0:v>276948.91868198226</ns0:v>
      </ns0:c>
      <ns0:c r="V208" s="16">
        <ns0:f>Q208-F208*'前提と出典'!$E$5</ns0:f>
        <ns0:v>76684.34610871226</ns0:v>
      </ns0:c>
      <ns0:c r="W208" s="7">
        <ns0:f>U208+V208</ns0:f>
        <ns0:v>353633.2647906945</ns0:v>
      </ns0:c>
      <ns0:c r="X208" s="16">
        <ns0:f>P208-E208*'前提と出典'!$E$6</ns0:f>
        <ns0:v>237476.04768464196</ns0:v>
      </ns0:c>
      <ns0:c r="Y208" s="16">
        <ns0:f>Q208-F208*'前提と出典'!$E$6</ns0:f>
        <ns0:v>61192.678322750544</ns0:v>
      </ns0:c>
      <ns0:c r="Z208" s="7">
        <ns0:f>X208+Y208</ns0:f>
        <ns0:v>298668.7260073925</ns0:v>
      </ns0:c>
      <ns0:c r="AA208" s="7">
        <ns0:f>IF(T208&gt;=0,A208,1001)</ns0:f>
        <ns0:v>204</ns0:v>
      </ns0:c>
      <ns0:c r="AB208" s="7">
        <ns0:f>IF(T208&lt;0,A208,0)</ns0:f>
        <ns0:v>0</ns0:v>
      </ns0:c>
      <ns0:c r="AC208" s="16">
        <ns0:f>IF(AND(OR('前提と出典'!$C$36+'前提と出典'!$C$38=0,R208&gt;=0),OR('前提と出典'!$C$37+'前提と出典'!$C$38=0,S208&gt;=0)),0,A208)</ns0:f>
        <ns0:v>0</ns0:v>
      </ns0:c>
      <ns0:c r="AD208" s="7">
        <ns0:f>IF(W208&gt;=0,A208,1001)</ns0:f>
        <ns0:v>204</ns0:v>
      </ns0:c>
      <ns0:c r="AE208" s="7">
        <ns0:f>IF(W208&lt;0,A208,0)</ns0:f>
        <ns0:v>0</ns0:v>
      </ns0:c>
      <ns0:c r="AF208" s="16">
        <ns0:f>IF(AND(OR('前提と出典'!$C$36+'前提と出典'!$C$38=0,U208&gt;=0),OR('前提と出典'!$C$37+'前提と出典'!$C$38=0,V208&gt;=0)),0,A208)</ns0:f>
        <ns0:v>0</ns0:v>
      </ns0:c>
      <ns0:c r="AG208" s="7">
        <ns0:f>IF(Z208&gt;=0,A208,1001)</ns0:f>
        <ns0:v>204</ns0:v>
      </ns0:c>
      <ns0:c r="AH208" s="4">
        <ns0:f>IF(Z208&lt;0,A208,0)</ns0:f>
        <ns0:v>0</ns0:v>
      </ns0:c>
      <ns0:c r="AI208" s="12">
        <ns0:f>IF(AND(OR('前提と出典'!$C$36+'前提と出典'!$C$38=0,X208&gt;=0),OR('前提と出典'!$C$37+'前提と出典'!$C$38=0,Y208&gt;=0)),0,A208)</ns0:f>
        <ns0:v>0</ns0:v>
      </ns0:c>
    </ns0:row>
    <ns0:row r="209" ht="24" customHeight="1">
      <ns0:c r="A209" s="4" t="n">
        <ns0:v>205</ns0:v>
      </ns0:c>
      <ns0:c r="B209" s="12">
        <ns0:f>A209*('前提と出典'!$C$36+'前提と出典'!$C$38)</ns0:f>
        <ns0:v>143.5</ns0:v>
      </ns0:c>
      <ns0:c r="C209" s="12">
        <ns0:f>A209*('前提と出典'!$C$37+'前提と出典'!$C$38)</ns0:f>
        <ns0:v>123</ns0:v>
      </ns0:c>
      <ns0:c r="D209" s="16">
        <ns0:f>A209*('前提と出典'!$C$36*'契約別単価'!C5+'前提と出典'!$C$37*'契約別単価'!C6+'前提と出典'!$C$38*'契約別単価'!C7)</ns0:f>
        <ns0:v>1475.0837988826815</ns0:v>
      </ns0:c>
      <ns0:c r="E209" s="16">
        <ns0:f>A209*('前提と出典'!$C$36*'契約別単価'!E5+'前提と出典'!$C$37*'契約別単価'!E6+'前提と出典'!$C$38*'契約別単価'!E7)</ns0:f>
        <ns0:v>396663.65463013505</ns0:v>
      </ns0:c>
      <ns0:c r="F209" s="16">
        <ns0:f>A209*('前提と出典'!$C$36*'契約別単価'!F5+'前提と出典'!$C$37*'契約別単価'!F6+'前提と出典'!$C$38*'契約別単価'!F7)</ns0:f>
        <ns0:v>155676.07333932113</ns0:v>
      </ns0:c>
      <ns0:c r="G209" s="16">
        <ns0:f>A209*('前提と出典'!$C$36*'契約別単価'!G5+'前提と出典'!$C$37*'契約別単価'!G6+'前提と出典'!$C$38*'契約別単価'!G7)</ns0:f>
        <ns0:v>408053.0726256983</ns0:v>
      </ns0:c>
      <ns0:c r="H209" s="16">
        <ns0:f>A209*('前提と出典'!$C$36*'契約別単価'!H5+'前提と出典'!$C$37*'契約別単価'!H6+'前提と出典'!$C$38*'契約別単価'!H7)</ns0:f>
        <ns0:v>141614.88167092443</ns0:v>
      </ns0:c>
      <ns0:c r="I209" s="16">
        <ns0:f>A209*('前提と出典'!$C$36*'契約別単価'!I5+'前提と出典'!$C$37*'契約別単価'!I6+'前提と出典'!$C$38*'契約別単価'!I7)</ns0:f>
        <ns0:v>8650.08379888268</ns0:v>
      </ns0:c>
      <ns0:c r="J209" s="16">
        <ns0:f>A209*('前提と出典'!$C$36*'契約別単価'!J5+'前提と出典'!$C$37*'契約別単価'!J6+'前提と出典'!$C$38*'契約別単価'!J7)</ns0:f>
        <ns0:v>20149.356460612027</ns0:v>
      </ns0:c>
      <ns0:c r="K209" s="16">
        <ns0:f>A209*('前提と出典'!$C$36*'契約別単価'!K5+'前提と出典'!$C$37*'契約別単価'!K6+'前提と出典'!$C$38*'契約別単価'!K7)</ns0:f>
        <ns0:v>86367.22532588454</ns0:v>
      </ns0:c>
      <ns0:c r="L209" s="16">
        <ns0:f>A209*('前提と出典'!$C$36*'契約別単価'!L5+'前提と出典'!$C$37*'契約別単価'!L6+'前提と出典'!$C$38*'契約別単価'!L7)</ns0:f>
        <ns0:v>70320.49605569748</ns0:v>
      </ns0:c>
      <ns0:c r="M209" s="16">
        <ns0:f>IF(('前提と出典'!$C$36+'前提と出典'!$C$38)=0,0,IF(B209&lt;=10,'前提と出典'!B73+'前提と出典'!C73,IF(B209&lt;=100,'前提と出典'!B74+'前提と出典'!C74,IF(B209&lt;=500,'前提と出典'!B75+'前提と出典'!C75,'前提と出典'!B76+'前提と出典'!C76))))</ns0:f>
        <ns0:v>40000</ns0:v>
      </ns0:c>
      <ns0:c r="N209" s="16">
        <ns0:f>IF(('前提と出典'!$C$37+'前提と出典'!$C$38)=0,0,IF(C209&lt;=10,'前提と出典'!D73+'前提と出典'!E73,IF(C209&lt;=100,'前提と出典'!D74+'前提と出典'!E74,IF(C209&lt;=500,'前提と出典'!D75+'前提と出典'!E75,'前提と出典'!D76+'前提と出典'!E76))))</ns0:f>
        <ns0:v>56510.9346263078</ns0:v>
      </ns0:c>
      <ns0:c r="O209" s="16">
        <ns0:f>IF('前提と出典'!$C$36+'前提と出典'!$C$38=0,0,'前提と出典'!$B$4*IF('前提と出典'!$B$20=0,MAX('前提と出典'!$B$6,D209*'前提と出典'!$B$5),'前提と出典'!$B$6+D209*'前提と出典'!$B$5))</ns0:f>
        <ns0:v>203561.56424581006</ns0:v>
      </ns0:c>
      <ns0:c r="P209" s="16">
        <ns0:f>(E209+G209)*(1-'前提と出典'!$B$7)-I209-K209-M209-O209</ns0:f>
        <ns0:v>437168.0517040461</ns0:v>
      </ns0:c>
      <ns0:c r="Q209" s="16">
        <ns0:f>(F209+H209)*(1-'前提と出典'!$B$7)-J209-L209-N209</ns0:f>
        <ns0:v>139607.69348725938</ns0:v>
      </ns0:c>
      <ns0:c r="R209" s="16">
        <ns0:f>P209-E209*'前提と出典'!$E$4</ns0:f>
        <ns0:v>318168.9553150056</ns0:v>
      </ns0:c>
      <ns0:c r="S209" s="16">
        <ns0:f>Q209-F209*'前提と出典'!$E$4</ns0:f>
        <ns0:v>92904.87148546305</ns0:v>
      </ns0:c>
      <ns0:c r="T209" s="7">
        <ns0:f>R209+S209</ns0:f>
        <ns0:v>411073.82680046867</ns0:v>
      </ns0:c>
      <ns0:c r="U209" s="16">
        <ns0:f>P209-E209*'前提と出典'!$E$5</ns0:f>
        <ns0:v>278502.5898519921</ns0:v>
      </ns0:c>
      <ns0:c r="V209" s="16">
        <ns0:f>Q209-F209*'前提と出典'!$E$5</ns0:f>
        <ns0:v>77337.26415153092</ns0:v>
      </ns0:c>
      <ns0:c r="W209" s="7">
        <ns0:f>U209+V209</ns0:f>
        <ns0:v>355839.854003523</ns0:v>
      </ns0:c>
      <ns0:c r="X209" s="16">
        <ns0:f>P209-E209*'前提と出典'!$E$6</ns0:f>
        <ns0:v>238836.22438897853</ns0:v>
      </ns0:c>
      <ns0:c r="Y209" s="16">
        <ns0:f>Q209-F209*'前提と出典'!$E$6</ns0:f>
        <ns0:v>61769.65681759884</ns0:v>
      </ns0:c>
      <ns0:c r="Z209" s="7">
        <ns0:f>X209+Y209</ns0:f>
        <ns0:v>300605.88120657735</ns0:v>
      </ns0:c>
      <ns0:c r="AA209" s="7">
        <ns0:f>IF(T209&gt;=0,A209,1001)</ns0:f>
        <ns0:v>205</ns0:v>
      </ns0:c>
      <ns0:c r="AB209" s="7">
        <ns0:f>IF(T209&lt;0,A209,0)</ns0:f>
        <ns0:v>0</ns0:v>
      </ns0:c>
      <ns0:c r="AC209" s="16">
        <ns0:f>IF(AND(OR('前提と出典'!$C$36+'前提と出典'!$C$38=0,R209&gt;=0),OR('前提と出典'!$C$37+'前提と出典'!$C$38=0,S209&gt;=0)),0,A209)</ns0:f>
        <ns0:v>0</ns0:v>
      </ns0:c>
      <ns0:c r="AD209" s="7">
        <ns0:f>IF(W209&gt;=0,A209,1001)</ns0:f>
        <ns0:v>205</ns0:v>
      </ns0:c>
      <ns0:c r="AE209" s="7">
        <ns0:f>IF(W209&lt;0,A209,0)</ns0:f>
        <ns0:v>0</ns0:v>
      </ns0:c>
      <ns0:c r="AF209" s="16">
        <ns0:f>IF(AND(OR('前提と出典'!$C$36+'前提と出典'!$C$38=0,U209&gt;=0),OR('前提と出典'!$C$37+'前提と出典'!$C$38=0,V209&gt;=0)),0,A209)</ns0:f>
        <ns0:v>0</ns0:v>
      </ns0:c>
      <ns0:c r="AG209" s="7">
        <ns0:f>IF(Z209&gt;=0,A209,1001)</ns0:f>
        <ns0:v>205</ns0:v>
      </ns0:c>
      <ns0:c r="AH209" s="4">
        <ns0:f>IF(Z209&lt;0,A209,0)</ns0:f>
        <ns0:v>0</ns0:v>
      </ns0:c>
      <ns0:c r="AI209" s="12">
        <ns0:f>IF(AND(OR('前提と出典'!$C$36+'前提と出典'!$C$38=0,X209&gt;=0),OR('前提と出典'!$C$37+'前提と出典'!$C$38=0,Y209&gt;=0)),0,A209)</ns0:f>
        <ns0:v>0</ns0:v>
      </ns0:c>
    </ns0:row>
    <ns0:row r="210" ht="24" customHeight="1">
      <ns0:c r="A210" s="4" t="n">
        <ns0:v>206</ns0:v>
      </ns0:c>
      <ns0:c r="B210" s="12">
        <ns0:f>A210*('前提と出典'!$C$36+'前提と出典'!$C$38)</ns0:f>
        <ns0:v>144.2</ns0:v>
      </ns0:c>
      <ns0:c r="C210" s="12">
        <ns0:f>A210*('前提と出典'!$C$37+'前提と出典'!$C$38)</ns0:f>
        <ns0:v>123.6</ns0:v>
      </ns0:c>
      <ns0:c r="D210" s="16">
        <ns0:f>A210*('前提と出典'!$C$36*'契約別単価'!C5+'前提と出典'!$C$37*'契約別単価'!C6+'前提と出典'!$C$38*'契約別単価'!C7)</ns0:f>
        <ns0:v>1482.2793296089385</ns0:v>
      </ns0:c>
      <ns0:c r="E210" s="16">
        <ns0:f>A210*('前提と出典'!$C$36*'契約別単価'!E5+'前提と出典'!$C$37*'契約別単価'!E6+'前提と出典'!$C$38*'契約別単価'!E7)</ns0:f>
        <ns0:v>398598.59928686736</ns0:v>
      </ns0:c>
      <ns0:c r="F210" s="16">
        <ns0:f>A210*('前提と出典'!$C$36*'契約別単価'!F5+'前提と出典'!$C$37*'契約別単価'!F6+'前提と出典'!$C$38*'契約別単価'!F7)</ns0:f>
        <ns0:v>156435.46881902515</ns0:v>
      </ns0:c>
      <ns0:c r="G210" s="16">
        <ns0:f>A210*('前提と出典'!$C$36*'契約別単価'!G5+'前提と出典'!$C$37*'契約別単価'!G6+'前提と出典'!$C$38*'契約別単価'!G7)</ns0:f>
        <ns0:v>410043.5754189944</ns0:v>
      </ns0:c>
      <ns0:c r="H210" s="16">
        <ns0:f>A210*('前提と出典'!$C$36*'契約別単価'!H5+'前提と出典'!$C$37*'契約別単価'!H6+'前提と出典'!$C$38*'契約別単価'!H7)</ns0:f>
        <ns0:v>142305.6859717582</ns0:v>
      </ns0:c>
      <ns0:c r="I210" s="16">
        <ns0:f>A210*('前提と出典'!$C$36*'契約別単価'!I5+'前提と出典'!$C$37*'契約別単価'!I6+'前提と出典'!$C$38*'契約別単価'!I7)</ns0:f>
        <ns0:v>8692.279329608937</ns0:v>
      </ns0:c>
      <ns0:c r="J210" s="16">
        <ns0:f>A210*('前提と出典'!$C$36*'契約別単価'!J5+'前提と出典'!$C$37*'契約別単価'!J6+'前提と出典'!$C$38*'契約別単価'!J7)</ns0:f>
        <ns0:v>20247.64600432233</ns0:v>
      </ns0:c>
      <ns0:c r="K210" s="16">
        <ns0:f>A210*('前提と出典'!$C$36*'契約別単価'!K5+'前提と出典'!$C$37*'契約別単価'!K6+'前提と出典'!$C$38*'契約別単価'!K7)</ns0:f>
        <ns0:v>86788.52886405958</ns0:v>
      </ns0:c>
      <ns0:c r="L210" s="16">
        <ns0:f>A210*('前提と出典'!$C$36*'契約別単価'!L5+'前提と出典'!$C$37*'契約別単価'!L6+'前提と出典'!$C$38*'契約別単価'!L7)</ns0:f>
        <ns0:v>70663.52286572527</ns0:v>
      </ns0:c>
      <ns0:c r="M210" s="16">
        <ns0:f>IF(('前提と出典'!$C$36+'前提と出典'!$C$38)=0,0,IF(B210&lt;=10,'前提と出典'!B73+'前提と出典'!C73,IF(B210&lt;=100,'前提と出典'!B74+'前提と出典'!C74,IF(B210&lt;=500,'前提と出典'!B75+'前提と出典'!C75,'前提と出典'!B76+'前提と出典'!C76))))</ns0:f>
        <ns0:v>40000</ns0:v>
      </ns0:c>
      <ns0:c r="N210" s="16">
        <ns0:f>IF(('前提と出典'!$C$37+'前提と出典'!$C$38)=0,0,IF(C210&lt;=10,'前提と出典'!D73+'前提と出典'!E73,IF(C210&lt;=100,'前提と出典'!D74+'前提と出典'!E74,IF(C210&lt;=500,'前提と出典'!D75+'前提と出典'!E75,'前提と出典'!D76+'前提と出典'!E76))))</ns0:f>
        <ns0:v>56510.9346263078</ns0:v>
      </ns0:c>
      <ns0:c r="O210" s="16">
        <ns0:f>IF('前提と出典'!$C$36+'前提と出典'!$C$38=0,0,'前提と出典'!$B$4*IF('前提と出典'!$B$20=0,MAX('前提と出典'!$B$6,D210*'前提と出典'!$B$5),'前提と出典'!$B$6+D210*'前提と出典'!$B$5))</ns0:f>
        <ns0:v>204554.54748603352</ns0:v>
      </ns0:c>
      <ns0:c r="P210" s="16">
        <ns0:f>(E210+G210)*(1-'前提と出典'!$B$7)-I210-K210-M210-O210</ns0:f>
        <ns0:v>439495.7007367487</ns0:v>
      </ns0:c>
      <ns0:c r="Q210" s="16">
        <ns0:f>(F210+H210)*(1-'前提と出典'!$B$7)-J210-L210-N210</ns0:f>
        <ns0:v>140564.36972195975</ns0:v>
      </ns0:c>
      <ns0:c r="R210" s="16">
        <ns0:f>P210-E210*'前提と出典'!$E$4</ns0:f>
        <ns0:v>319916.1209506886</ns0:v>
      </ns0:c>
      <ns0:c r="S210" s="16">
        <ns0:f>Q210-F210*'前提と出典'!$E$4</ns0:f>
        <ns0:v>93633.7290762522</ns0:v>
      </ns0:c>
      <ns0:c r="T210" s="7">
        <ns0:f>R210+S210</ns0:f>
        <ns0:v>413549.8500269408</ns0:v>
      </ns0:c>
      <ns0:c r="U210" s="16">
        <ns0:f>P210-E210*'前提と出典'!$E$5</ns0:f>
        <ns0:v>280056.26102200174</ns0:v>
      </ns0:c>
      <ns0:c r="V210" s="16">
        <ns0:f>Q210-F210*'前提と出典'!$E$5</ns0:f>
        <ns0:v>77990.1821943497</ns0:v>
      </ns0:c>
      <ns0:c r="W210" s="7">
        <ns0:f>U210+V210</ns0:f>
        <ns0:v>358046.44321635144</ns0:v>
      </ns0:c>
      <ns0:c r="X210" s="16">
        <ns0:f>P210-E210*'前提と出典'!$E$6</ns0:f>
        <ns0:v>240196.4010933151</ns0:v>
      </ns0:c>
      <ns0:c r="Y210" s="16">
        <ns0:f>Q210-F210*'前提と出典'!$E$6</ns0:f>
        <ns0:v>62346.635312447186</ns0:v>
      </ns0:c>
      <ns0:c r="Z210" s="7">
        <ns0:f>X210+Y210</ns0:f>
        <ns0:v>302543.0364057623</ns0:v>
      </ns0:c>
      <ns0:c r="AA210" s="7">
        <ns0:f>IF(T210&gt;=0,A210,1001)</ns0:f>
        <ns0:v>206</ns0:v>
      </ns0:c>
      <ns0:c r="AB210" s="7">
        <ns0:f>IF(T210&lt;0,A210,0)</ns0:f>
        <ns0:v>0</ns0:v>
      </ns0:c>
      <ns0:c r="AC210" s="16">
        <ns0:f>IF(AND(OR('前提と出典'!$C$36+'前提と出典'!$C$38=0,R210&gt;=0),OR('前提と出典'!$C$37+'前提と出典'!$C$38=0,S210&gt;=0)),0,A210)</ns0:f>
        <ns0:v>0</ns0:v>
      </ns0:c>
      <ns0:c r="AD210" s="7">
        <ns0:f>IF(W210&gt;=0,A210,1001)</ns0:f>
        <ns0:v>206</ns0:v>
      </ns0:c>
      <ns0:c r="AE210" s="7">
        <ns0:f>IF(W210&lt;0,A210,0)</ns0:f>
        <ns0:v>0</ns0:v>
      </ns0:c>
      <ns0:c r="AF210" s="16">
        <ns0:f>IF(AND(OR('前提と出典'!$C$36+'前提と出典'!$C$38=0,U210&gt;=0),OR('前提と出典'!$C$37+'前提と出典'!$C$38=0,V210&gt;=0)),0,A210)</ns0:f>
        <ns0:v>0</ns0:v>
      </ns0:c>
      <ns0:c r="AG210" s="7">
        <ns0:f>IF(Z210&gt;=0,A210,1001)</ns0:f>
        <ns0:v>206</ns0:v>
      </ns0:c>
      <ns0:c r="AH210" s="4">
        <ns0:f>IF(Z210&lt;0,A210,0)</ns0:f>
        <ns0:v>0</ns0:v>
      </ns0:c>
      <ns0:c r="AI210" s="12">
        <ns0:f>IF(AND(OR('前提と出典'!$C$36+'前提と出典'!$C$38=0,X210&gt;=0),OR('前提と出典'!$C$37+'前提と出典'!$C$38=0,Y210&gt;=0)),0,A210)</ns0:f>
        <ns0:v>0</ns0:v>
      </ns0:c>
    </ns0:row>
    <ns0:row r="211" ht="24" customHeight="1">
      <ns0:c r="A211" s="4" t="n">
        <ns0:v>207</ns0:v>
      </ns0:c>
      <ns0:c r="B211" s="12">
        <ns0:f>A211*('前提と出典'!$C$36+'前提と出典'!$C$38)</ns0:f>
        <ns0:v>144.89999999999998</ns0:v>
      </ns0:c>
      <ns0:c r="C211" s="12">
        <ns0:f>A211*('前提と出典'!$C$37+'前提と出典'!$C$38)</ns0:f>
        <ns0:v>124.19999999999999</ns0:v>
      </ns0:c>
      <ns0:c r="D211" s="16">
        <ns0:f>A211*('前提と出典'!$C$36*'契約別単価'!C5+'前提と出典'!$C$37*'契約別単価'!C6+'前提と出典'!$C$38*'契約別単価'!C7)</ns0:f>
        <ns0:v>1489.4748603351954</ns0:v>
      </ns0:c>
      <ns0:c r="E211" s="16">
        <ns0:f>A211*('前提と出典'!$C$36*'契約別単価'!E5+'前提と出典'!$C$37*'契約別単価'!E6+'前提と出典'!$C$38*'契約別単価'!E7)</ns0:f>
        <ns0:v>400533.54394359974</ns0:v>
      </ns0:c>
      <ns0:c r="F211" s="16">
        <ns0:f>A211*('前提と出典'!$C$36*'契約別単価'!F5+'前提と出典'!$C$37*'契約別単価'!F6+'前提と出典'!$C$38*'契約別単価'!F7)</ns0:f>
        <ns0:v>157194.86429872914</ns0:v>
      </ns0:c>
      <ns0:c r="G211" s="16">
        <ns0:f>A211*('前提と出典'!$C$36*'契約別単価'!G5+'前提と出典'!$C$37*'契約別単価'!G6+'前提と出典'!$C$38*'契約別単価'!G7)</ns0:f>
        <ns0:v>412034.0782122905</ns0:v>
      </ns0:c>
      <ns0:c r="H211" s="16">
        <ns0:f>A211*('前提と出典'!$C$36*'契約別単価'!H5+'前提と出典'!$C$37*'契約別単価'!H6+'前提と出典'!$C$38*'契約別単価'!H7)</ns0:f>
        <ns0:v>142996.49027259197</ns0:v>
      </ns0:c>
      <ns0:c r="I211" s="16">
        <ns0:f>A211*('前提と出典'!$C$36*'契約別単価'!I5+'前提と出典'!$C$37*'契約別単価'!I6+'前提と出典'!$C$38*'契約別単価'!I7)</ns0:f>
        <ns0:v>8734.474860335195</ns0:v>
      </ns0:c>
      <ns0:c r="J211" s="16">
        <ns0:f>A211*('前提と出典'!$C$36*'契約別単価'!J5+'前提と出典'!$C$37*'契約別単価'!J6+'前提と出典'!$C$38*'契約別単価'!J7)</ns0:f>
        <ns0:v>20345.93554803263</ns0:v>
      </ns0:c>
      <ns0:c r="K211" s="16">
        <ns0:f>A211*('前提と出典'!$C$36*'契約別単価'!K5+'前提と出典'!$C$37*'契約別単価'!K6+'前提と出典'!$C$38*'契約別単価'!K7)</ns0:f>
        <ns0:v>87209.83240223464</ns0:v>
      </ns0:c>
      <ns0:c r="L211" s="16">
        <ns0:f>A211*('前提と出典'!$C$36*'契約別単価'!L5+'前提と出典'!$C$37*'契約別単価'!L6+'前提と出典'!$C$38*'契約別単価'!L7)</ns0:f>
        <ns0:v>71006.54967575306</ns0:v>
      </ns0:c>
      <ns0:c r="M211" s="16">
        <ns0:f>IF(('前提と出典'!$C$36+'前提と出典'!$C$38)=0,0,IF(B211&lt;=10,'前提と出典'!B73+'前提と出典'!C73,IF(B211&lt;=100,'前提と出典'!B74+'前提と出典'!C74,IF(B211&lt;=500,'前提と出典'!B75+'前提と出典'!C75,'前提と出典'!B76+'前提と出典'!C76))))</ns0:f>
        <ns0:v>40000</ns0:v>
      </ns0:c>
      <ns0:c r="N211" s="16">
        <ns0:f>IF(('前提と出典'!$C$37+'前提と出典'!$C$38)=0,0,IF(C211&lt;=10,'前提と出典'!D73+'前提と出典'!E73,IF(C211&lt;=100,'前提と出典'!D74+'前提と出典'!E74,IF(C211&lt;=500,'前提と出典'!D75+'前提と出典'!E75,'前提と出典'!D76+'前提と出典'!E76))))</ns0:f>
        <ns0:v>56510.9346263078</ns0:v>
      </ns0:c>
      <ns0:c r="O211" s="16">
        <ns0:f>IF('前提と出典'!$C$36+'前提と出典'!$C$38=0,0,'前提と出典'!$B$4*IF('前提と出典'!$B$20=0,MAX('前提と出典'!$B$6,D211*'前提と出典'!$B$5),'前提と出典'!$B$6+D211*'前提と出典'!$B$5))</ns0:f>
        <ns0:v>205547.53072625695</ns0:v>
      </ns0:c>
      <ns0:c r="P211" s="16">
        <ns0:f>(E211+G211)*(1-'前提と出典'!$B$7)-I211-K211-M211-O211</ns0:f>
        <ns0:v>441823.34976945136</ns0:v>
      </ns0:c>
      <ns0:c r="Q211" s="16">
        <ns0:f>(F211+H211)*(1-'前提と出典'!$B$7)-J211-L211-N211</ns0:f>
        <ns0:v>141521.04595666003</ns0:v>
      </ns0:c>
      <ns0:c r="R211" s="16">
        <ns0:f>P211-E211*'前提と出典'!$E$4</ns0:f>
        <ns0:v>321663.2865863714</ns0:v>
      </ns0:c>
      <ns0:c r="S211" s="16">
        <ns0:f>Q211-F211*'前提と出典'!$E$4</ns0:f>
        <ns0:v>94362.5866670413</ns0:v>
      </ns0:c>
      <ns0:c r="T211" s="7">
        <ns0:f>R211+S211</ns0:f>
        <ns0:v>416025.8732534127</ns0:v>
      </ns0:c>
      <ns0:c r="U211" s="16">
        <ns0:f>P211-E211*'前提と出典'!$E$5</ns0:f>
        <ns0:v>281609.93219201145</ns0:v>
      </ns0:c>
      <ns0:c r="V211" s="16">
        <ns0:f>Q211-F211*'前提と出典'!$E$5</ns0:f>
        <ns0:v>78643.10023716837</ns0:v>
      </ns0:c>
      <ns0:c r="W211" s="7">
        <ns0:f>U211+V211</ns0:f>
        <ns0:v>360253.0324291798</ns0:v>
      </ns0:c>
      <ns0:c r="X211" s="16">
        <ns0:f>P211-E211*'前提と出典'!$E$6</ns0:f>
        <ns0:v>241556.57779765147</ns0:v>
      </ns0:c>
      <ns0:c r="Y211" s="16">
        <ns0:f>Q211-F211*'前提と出典'!$E$6</ns0:f>
        <ns0:v>62923.6138072955</ns0:v>
      </ns0:c>
      <ns0:c r="Z211" s="7">
        <ns0:f>X211+Y211</ns0:f>
        <ns0:v>304480.191604947</ns0:v>
      </ns0:c>
      <ns0:c r="AA211" s="7">
        <ns0:f>IF(T211&gt;=0,A211,1001)</ns0:f>
        <ns0:v>207</ns0:v>
      </ns0:c>
      <ns0:c r="AB211" s="7">
        <ns0:f>IF(T211&lt;0,A211,0)</ns0:f>
        <ns0:v>0</ns0:v>
      </ns0:c>
      <ns0:c r="AC211" s="16">
        <ns0:f>IF(AND(OR('前提と出典'!$C$36+'前提と出典'!$C$38=0,R211&gt;=0),OR('前提と出典'!$C$37+'前提と出典'!$C$38=0,S211&gt;=0)),0,A211)</ns0:f>
        <ns0:v>0</ns0:v>
      </ns0:c>
      <ns0:c r="AD211" s="7">
        <ns0:f>IF(W211&gt;=0,A211,1001)</ns0:f>
        <ns0:v>207</ns0:v>
      </ns0:c>
      <ns0:c r="AE211" s="7">
        <ns0:f>IF(W211&lt;0,A211,0)</ns0:f>
        <ns0:v>0</ns0:v>
      </ns0:c>
      <ns0:c r="AF211" s="16">
        <ns0:f>IF(AND(OR('前提と出典'!$C$36+'前提と出典'!$C$38=0,U211&gt;=0),OR('前提と出典'!$C$37+'前提と出典'!$C$38=0,V211&gt;=0)),0,A211)</ns0:f>
        <ns0:v>0</ns0:v>
      </ns0:c>
      <ns0:c r="AG211" s="7">
        <ns0:f>IF(Z211&gt;=0,A211,1001)</ns0:f>
        <ns0:v>207</ns0:v>
      </ns0:c>
      <ns0:c r="AH211" s="4">
        <ns0:f>IF(Z211&lt;0,A211,0)</ns0:f>
        <ns0:v>0</ns0:v>
      </ns0:c>
      <ns0:c r="AI211" s="12">
        <ns0:f>IF(AND(OR('前提と出典'!$C$36+'前提と出典'!$C$38=0,X211&gt;=0),OR('前提と出典'!$C$37+'前提と出典'!$C$38=0,Y211&gt;=0)),0,A211)</ns0:f>
        <ns0:v>0</ns0:v>
      </ns0:c>
    </ns0:row>
    <ns0:row r="212" ht="24" customHeight="1">
      <ns0:c r="A212" s="4" t="n">
        <ns0:v>208</ns0:v>
      </ns0:c>
      <ns0:c r="B212" s="12">
        <ns0:f>A212*('前提と出典'!$C$36+'前提と出典'!$C$38)</ns0:f>
        <ns0:v>145.6</ns0:v>
      </ns0:c>
      <ns0:c r="C212" s="12">
        <ns0:f>A212*('前提と出典'!$C$37+'前提と出典'!$C$38)</ns0:f>
        <ns0:v>124.8</ns0:v>
      </ns0:c>
      <ns0:c r="D212" s="16">
        <ns0:f>A212*('前提と出典'!$C$36*'契約別単価'!C5+'前提と出典'!$C$37*'契約別単価'!C6+'前提と出典'!$C$38*'契約別単価'!C7)</ns0:f>
        <ns0:v>1496.6703910614524</ns0:v>
      </ns0:c>
      <ns0:c r="E212" s="16">
        <ns0:f>A212*('前提と出典'!$C$36*'契約別単価'!E5+'前提と出典'!$C$37*'契約別単価'!E6+'前提と出典'!$C$38*'契約別単価'!E7)</ns0:f>
        <ns0:v>402468.4886003321</ns0:v>
      </ns0:c>
      <ns0:c r="F212" s="16">
        <ns0:f>A212*('前提と出典'!$C$36*'契約別単価'!F5+'前提と出典'!$C$37*'契約別単価'!F6+'前提と出典'!$C$38*'契約別単価'!F7)</ns0:f>
        <ns0:v>157954.25977843316</ns0:v>
      </ns0:c>
      <ns0:c r="G212" s="16">
        <ns0:f>A212*('前提と出典'!$C$36*'契約別単価'!G5+'前提と出典'!$C$37*'契約別単価'!G6+'前提と出典'!$C$38*'契約別単価'!G7)</ns0:f>
        <ns0:v>414024.58100558654</ns0:v>
      </ns0:c>
      <ns0:c r="H212" s="16">
        <ns0:f>A212*('前提と出典'!$C$36*'契約別単価'!H5+'前提と出典'!$C$37*'契約別単価'!H6+'前提と出典'!$C$38*'契約別単価'!H7)</ns0:f>
        <ns0:v>143687.29457342575</ns0:v>
      </ns0:c>
      <ns0:c r="I212" s="16">
        <ns0:f>A212*('前提と出典'!$C$36*'契約別単価'!I5+'前提と出典'!$C$37*'契約別単価'!I6+'前提と出典'!$C$38*'契約別単価'!I7)</ns0:f>
        <ns0:v>8776.67039106145</ns0:v>
      </ns0:c>
      <ns0:c r="J212" s="16">
        <ns0:f>A212*('前提と出典'!$C$36*'契約別単価'!J5+'前提と出典'!$C$37*'契約別単価'!J6+'前提と出典'!$C$38*'契約別単価'!J7)</ns0:f>
        <ns0:v>20444.225091742934</ns0:v>
      </ns0:c>
      <ns0:c r="K212" s="16">
        <ns0:f>A212*('前提と出典'!$C$36*'契約別単価'!K5+'前提と出典'!$C$37*'契約別単価'!K6+'前提と出典'!$C$38*'契約別単価'!K7)</ns0:f>
        <ns0:v>87631.13594040967</ns0:v>
      </ns0:c>
      <ns0:c r="L212" s="16">
        <ns0:f>A212*('前提と出典'!$C$36*'契約別単価'!L5+'前提と出典'!$C$37*'契約別単価'!L6+'前提と出典'!$C$38*'契約別単価'!L7)</ns0:f>
        <ns0:v>71349.57648578085</ns0:v>
      </ns0:c>
      <ns0:c r="M212" s="16">
        <ns0:f>IF(('前提と出典'!$C$36+'前提と出典'!$C$38)=0,0,IF(B212&lt;=10,'前提と出典'!B73+'前提と出典'!C73,IF(B212&lt;=100,'前提と出典'!B74+'前提と出典'!C74,IF(B212&lt;=500,'前提と出典'!B75+'前提と出典'!C75,'前提と出典'!B76+'前提と出典'!C76))))</ns0:f>
        <ns0:v>40000</ns0:v>
      </ns0:c>
      <ns0:c r="N212" s="16">
        <ns0:f>IF(('前提と出典'!$C$37+'前提と出典'!$C$38)=0,0,IF(C212&lt;=10,'前提と出典'!D73+'前提と出典'!E73,IF(C212&lt;=100,'前提と出典'!D74+'前提と出典'!E74,IF(C212&lt;=500,'前提と出典'!D75+'前提と出典'!E75,'前提と出典'!D76+'前提と出典'!E76))))</ns0:f>
        <ns0:v>56510.9346263078</ns0:v>
      </ns0:c>
      <ns0:c r="O212" s="16">
        <ns0:f>IF('前提と出典'!$C$36+'前提と出典'!$C$38=0,0,'前提と出典'!$B$4*IF('前提と出典'!$B$20=0,MAX('前提と出典'!$B$6,D212*'前提と出典'!$B$5),'前提と出典'!$B$6+D212*'前提と出典'!$B$5))</ns0:f>
        <ns0:v>206540.51396648044</ns0:v>
      </ns0:c>
      <ns0:c r="P212" s="16">
        <ns0:f>(E212+G212)*(1-'前提と出典'!$B$7)-I212-K212-M212-O212</ns0:f>
        <ns0:v>444150.998802154</ns0:v>
      </ns0:c>
      <ns0:c r="Q212" s="16">
        <ns0:f>(F212+H212)*(1-'前提と出典'!$B$7)-J212-L212-N212</ns0:f>
        <ns0:v>142477.7221913604</ns0:v>
      </ns0:c>
      <ns0:c r="R212" s="16">
        <ns0:f>P212-E212*'前提と出典'!$E$4</ns0:f>
        <ns0:v>323410.4522220544</ns0:v>
      </ns0:c>
      <ns0:c r="S212" s="16">
        <ns0:f>Q212-F212*'前提と出典'!$E$4</ns0:f>
        <ns0:v>95091.44425783044</ns0:v>
      </ns0:c>
      <ns0:c r="T212" s="7">
        <ns0:f>R212+S212</ns0:f>
        <ns0:v>418501.89647988486</ns0:v>
      </ns0:c>
      <ns0:c r="U212" s="16">
        <ns0:f>P212-E212*'前提と出典'!$E$5</ns0:f>
        <ns0:v>283163.6033620211</ns0:v>
      </ns0:c>
      <ns0:c r="V212" s="16">
        <ns0:f>Q212-F212*'前提と出典'!$E$5</ns0:f>
        <ns0:v>79296.01827998713</ns0:v>
      </ns0:c>
      <ns0:c r="W212" s="7">
        <ns0:f>U212+V212</ns0:f>
        <ns0:v>362459.6216420082</ns0:v>
      </ns0:c>
      <ns0:c r="X212" s="16">
        <ns0:f>P212-E212*'前提と出典'!$E$6</ns0:f>
        <ns0:v>242916.75450198795</ns0:v>
      </ns0:c>
      <ns0:c r="Y212" s="16">
        <ns0:f>Q212-F212*'前提と出典'!$E$6</ns0:f>
        <ns0:v>63500.59230214384</ns0:v>
      </ns0:c>
      <ns0:c r="Z212" s="7">
        <ns0:f>X212+Y212</ns0:f>
        <ns0:v>306417.3468041318</ns0:v>
      </ns0:c>
      <ns0:c r="AA212" s="7">
        <ns0:f>IF(T212&gt;=0,A212,1001)</ns0:f>
        <ns0:v>208</ns0:v>
      </ns0:c>
      <ns0:c r="AB212" s="7">
        <ns0:f>IF(T212&lt;0,A212,0)</ns0:f>
        <ns0:v>0</ns0:v>
      </ns0:c>
      <ns0:c r="AC212" s="16">
        <ns0:f>IF(AND(OR('前提と出典'!$C$36+'前提と出典'!$C$38=0,R212&gt;=0),OR('前提と出典'!$C$37+'前提と出典'!$C$38=0,S212&gt;=0)),0,A212)</ns0:f>
        <ns0:v>0</ns0:v>
      </ns0:c>
      <ns0:c r="AD212" s="7">
        <ns0:f>IF(W212&gt;=0,A212,1001)</ns0:f>
        <ns0:v>208</ns0:v>
      </ns0:c>
      <ns0:c r="AE212" s="7">
        <ns0:f>IF(W212&lt;0,A212,0)</ns0:f>
        <ns0:v>0</ns0:v>
      </ns0:c>
      <ns0:c r="AF212" s="16">
        <ns0:f>IF(AND(OR('前提と出典'!$C$36+'前提と出典'!$C$38=0,U212&gt;=0),OR('前提と出典'!$C$37+'前提と出典'!$C$38=0,V212&gt;=0)),0,A212)</ns0:f>
        <ns0:v>0</ns0:v>
      </ns0:c>
      <ns0:c r="AG212" s="7">
        <ns0:f>IF(Z212&gt;=0,A212,1001)</ns0:f>
        <ns0:v>208</ns0:v>
      </ns0:c>
      <ns0:c r="AH212" s="4">
        <ns0:f>IF(Z212&lt;0,A212,0)</ns0:f>
        <ns0:v>0</ns0:v>
      </ns0:c>
      <ns0:c r="AI212" s="12">
        <ns0:f>IF(AND(OR('前提と出典'!$C$36+'前提と出典'!$C$38=0,X212&gt;=0),OR('前提と出典'!$C$37+'前提と出典'!$C$38=0,Y212&gt;=0)),0,A212)</ns0:f>
        <ns0:v>0</ns0:v>
      </ns0:c>
    </ns0:row>
    <ns0:row r="213" ht="24" customHeight="1">
      <ns0:c r="A213" s="4" t="n">
        <ns0:v>209</ns0:v>
      </ns0:c>
      <ns0:c r="B213" s="12">
        <ns0:f>A213*('前提と出典'!$C$36+'前提と出典'!$C$38)</ns0:f>
        <ns0:v>146.29999999999998</ns0:v>
      </ns0:c>
      <ns0:c r="C213" s="12">
        <ns0:f>A213*('前提と出典'!$C$37+'前提と出典'!$C$38)</ns0:f>
        <ns0:v>125.39999999999999</ns0:v>
      </ns0:c>
      <ns0:c r="D213" s="16">
        <ns0:f>A213*('前提と出典'!$C$36*'契約別単価'!C5+'前提と出典'!$C$37*'契約別単価'!C6+'前提と出典'!$C$38*'契約別単価'!C7)</ns0:f>
        <ns0:v>1503.8659217877096</ns0:v>
      </ns0:c>
      <ns0:c r="E213" s="16">
        <ns0:f>A213*('前提と出典'!$C$36*'契約別単価'!E5+'前提と出典'!$C$37*'契約別単価'!E6+'前提と出典'!$C$38*'契約別単価'!E7)</ns0:f>
        <ns0:v>404403.4332570645</ns0:v>
      </ns0:c>
      <ns0:c r="F213" s="16">
        <ns0:f>A213*('前提と出典'!$C$36*'契約別単価'!F5+'前提と出典'!$C$37*'契約別単価'!F6+'前提と出典'!$C$38*'契約別単価'!F7)</ns0:f>
        <ns0:v>158713.65525813715</ns0:v>
      </ns0:c>
      <ns0:c r="G213" s="16">
        <ns0:f>A213*('前提と出典'!$C$36*'契約別単価'!G5+'前提と出典'!$C$37*'契約別単価'!G6+'前提と出典'!$C$38*'契約別単価'!G7)</ns0:f>
        <ns0:v>416015.08379888267</ns0:v>
      </ns0:c>
      <ns0:c r="H213" s="16">
        <ns0:f>A213*('前提と出典'!$C$36*'契約別単価'!H5+'前提と出典'!$C$37*'契約別単価'!H6+'前提と出典'!$C$38*'契約別単価'!H7)</ns0:f>
        <ns0:v>144378.09887425954</ns0:v>
      </ns0:c>
      <ns0:c r="I213" s="16">
        <ns0:f>A213*('前提と出典'!$C$36*'契約別単価'!I5+'前提と出典'!$C$37*'契約別単価'!I6+'前提と出典'!$C$38*'契約別単価'!I7)</ns0:f>
        <ns0:v>8818.865921787708</ns0:v>
      </ns0:c>
      <ns0:c r="J213" s="16">
        <ns0:f>A213*('前提と出典'!$C$36*'契約別単価'!J5+'前提と出典'!$C$37*'契約別単価'!J6+'前提と出典'!$C$38*'契約別単価'!J7)</ns0:f>
        <ns0:v>20542.514635453237</ns0:v>
      </ns0:c>
      <ns0:c r="K213" s="16">
        <ns0:f>A213*('前提と出典'!$C$36*'契約別単価'!K5+'前提と出典'!$C$37*'契約別単価'!K6+'前提と出典'!$C$38*'契約別単価'!K7)</ns0:f>
        <ns0:v>88052.43947858473</ns0:v>
      </ns0:c>
      <ns0:c r="L213" s="16">
        <ns0:f>A213*('前提と出典'!$C$36*'契約別単価'!L5+'前提と出典'!$C$37*'契約別単価'!L6+'前提と出典'!$C$38*'契約別単価'!L7)</ns0:f>
        <ns0:v>71692.60329580864</ns0:v>
      </ns0:c>
      <ns0:c r="M213" s="16">
        <ns0:f>IF(('前提と出典'!$C$36+'前提と出典'!$C$38)=0,0,IF(B213&lt;=10,'前提と出典'!B73+'前提と出典'!C73,IF(B213&lt;=100,'前提と出典'!B74+'前提と出典'!C74,IF(B213&lt;=500,'前提と出典'!B75+'前提と出典'!C75,'前提と出典'!B76+'前提と出典'!C76))))</ns0:f>
        <ns0:v>40000</ns0:v>
      </ns0:c>
      <ns0:c r="N213" s="16">
        <ns0:f>IF(('前提と出典'!$C$37+'前提と出典'!$C$38)=0,0,IF(C213&lt;=10,'前提と出典'!D73+'前提と出典'!E73,IF(C213&lt;=100,'前提と出典'!D74+'前提と出典'!E74,IF(C213&lt;=500,'前提と出典'!D75+'前提と出典'!E75,'前提と出典'!D76+'前提と出典'!E76))))</ns0:f>
        <ns0:v>56510.9346263078</ns0:v>
      </ns0:c>
      <ns0:c r="O213" s="16">
        <ns0:f>IF('前提と出典'!$C$36+'前提と出典'!$C$38=0,0,'前提と出典'!$B$4*IF('前提と出典'!$B$20=0,MAX('前提と出典'!$B$6,D213*'前提と出典'!$B$5),'前提と出典'!$B$6+D213*'前提と出典'!$B$5))</ns0:f>
        <ns0:v>207533.4972067039</ns0:v>
      </ns0:c>
      <ns0:c r="P213" s="16">
        <ns0:f>(E213+G213)*(1-'前提と出典'!$B$7)-I213-K213-M213-O213</ns0:f>
        <ns0:v>446478.64783485676</ns0:v>
      </ns0:c>
      <ns0:c r="Q213" s="16">
        <ns0:f>(F213+H213)*(1-'前提と出典'!$B$7)-J213-L213-N213</ns0:f>
        <ns0:v>143434.39842606068</ns0:v>
      </ns0:c>
      <ns0:c r="R213" s="16">
        <ns0:f>P213-E213*'前提と出典'!$E$4</ns0:f>
        <ns0:v>325157.61785773747</ns0:v>
      </ns0:c>
      <ns0:c r="S213" s="16">
        <ns0:f>Q213-F213*'前提と出典'!$E$4</ns0:f>
        <ns0:v>95820.30184861954</ns0:v>
      </ns0:c>
      <ns0:c r="T213" s="7">
        <ns0:f>R213+S213</ns0:f>
        <ns0:v>420977.919706357</ns0:v>
      </ns0:c>
      <ns0:c r="U213" s="16">
        <ns0:f>P213-E213*'前提と出典'!$E$5</ns0:f>
        <ns0:v>284717.2745320309</ns0:v>
      </ns0:c>
      <ns0:c r="V213" s="16">
        <ns0:f>Q213-F213*'前提と出典'!$E$5</ns0:f>
        <ns0:v>79948.93632280582</ns0:v>
      </ns0:c>
      <ns0:c r="W213" s="7">
        <ns0:f>U213+V213</ns0:f>
        <ns0:v>364666.21085483674</ns0:v>
      </ns0:c>
      <ns0:c r="X213" s="16">
        <ns0:f>P213-E213*'前提と出典'!$E$6</ns0:f>
        <ns0:v>244276.9312063244</ns0:v>
      </ns0:c>
      <ns0:c r="Y213" s="16">
        <ns0:f>Q213-F213*'前提と出典'!$E$6</ns0:f>
        <ns0:v>64077.57079699213</ns0:v>
      </ns0:c>
      <ns0:c r="Z213" s="7">
        <ns0:f>X213+Y213</ns0:f>
        <ns0:v>308354.50200331653</ns0:v>
      </ns0:c>
      <ns0:c r="AA213" s="7">
        <ns0:f>IF(T213&gt;=0,A213,1001)</ns0:f>
        <ns0:v>209</ns0:v>
      </ns0:c>
      <ns0:c r="AB213" s="7">
        <ns0:f>IF(T213&lt;0,A213,0)</ns0:f>
        <ns0:v>0</ns0:v>
      </ns0:c>
      <ns0:c r="AC213" s="16">
        <ns0:f>IF(AND(OR('前提と出典'!$C$36+'前提と出典'!$C$38=0,R213&gt;=0),OR('前提と出典'!$C$37+'前提と出典'!$C$38=0,S213&gt;=0)),0,A213)</ns0:f>
        <ns0:v>0</ns0:v>
      </ns0:c>
      <ns0:c r="AD213" s="7">
        <ns0:f>IF(W213&gt;=0,A213,1001)</ns0:f>
        <ns0:v>209</ns0:v>
      </ns0:c>
      <ns0:c r="AE213" s="7">
        <ns0:f>IF(W213&lt;0,A213,0)</ns0:f>
        <ns0:v>0</ns0:v>
      </ns0:c>
      <ns0:c r="AF213" s="16">
        <ns0:f>IF(AND(OR('前提と出典'!$C$36+'前提と出典'!$C$38=0,U213&gt;=0),OR('前提と出典'!$C$37+'前提と出典'!$C$38=0,V213&gt;=0)),0,A213)</ns0:f>
        <ns0:v>0</ns0:v>
      </ns0:c>
      <ns0:c r="AG213" s="7">
        <ns0:f>IF(Z213&gt;=0,A213,1001)</ns0:f>
        <ns0:v>209</ns0:v>
      </ns0:c>
      <ns0:c r="AH213" s="4">
        <ns0:f>IF(Z213&lt;0,A213,0)</ns0:f>
        <ns0:v>0</ns0:v>
      </ns0:c>
      <ns0:c r="AI213" s="12">
        <ns0:f>IF(AND(OR('前提と出典'!$C$36+'前提と出典'!$C$38=0,X213&gt;=0),OR('前提と出典'!$C$37+'前提と出典'!$C$38=0,Y213&gt;=0)),0,A213)</ns0:f>
        <ns0:v>0</ns0:v>
      </ns0:c>
    </ns0:row>
    <ns0:row r="214" ht="24" customHeight="1">
      <ns0:c r="A214" s="4" t="n">
        <ns0:v>210</ns0:v>
      </ns0:c>
      <ns0:c r="B214" s="12">
        <ns0:f>A214*('前提と出典'!$C$36+'前提と出典'!$C$38)</ns0:f>
        <ns0:v>147</ns0:v>
      </ns0:c>
      <ns0:c r="C214" s="12">
        <ns0:f>A214*('前提と出典'!$C$37+'前提と出典'!$C$38)</ns0:f>
        <ns0:v>126</ns0:v>
      </ns0:c>
      <ns0:c r="D214" s="16">
        <ns0:f>A214*('前提と出典'!$C$36*'契約別単価'!C5+'前提と出典'!$C$37*'契約別単価'!C6+'前提と出典'!$C$38*'契約別単価'!C7)</ns0:f>
        <ns0:v>1511.0614525139665</ns0:v>
      </ns0:c>
      <ns0:c r="E214" s="16">
        <ns0:f>A214*('前提と出典'!$C$36*'契約別単価'!E5+'前提と出典'!$C$37*'契約別単価'!E6+'前提と出典'!$C$38*'契約別単価'!E7)</ns0:f>
        <ns0:v>406338.37791379687</ns0:v>
      </ns0:c>
      <ns0:c r="F214" s="16">
        <ns0:f>A214*('前提と出典'!$C$36*'契約別単価'!F5+'前提と出典'!$C$37*'契約別単価'!F6+'前提と出典'!$C$38*'契約別単価'!F7)</ns0:f>
        <ns0:v>159473.05073784117</ns0:v>
      </ns0:c>
      <ns0:c r="G214" s="16">
        <ns0:f>A214*('前提と出典'!$C$36*'契約別単価'!G5+'前提と出典'!$C$37*'契約別単価'!G6+'前提と出典'!$C$38*'契約別単価'!G7)</ns0:f>
        <ns0:v>418005.58659217873</ns0:v>
      </ns0:c>
      <ns0:c r="H214" s="16">
        <ns0:f>A214*('前提と出典'!$C$36*'契約別単価'!H5+'前提と出典'!$C$37*'契約別単価'!H6+'前提と出典'!$C$38*'契約別単価'!H7)</ns0:f>
        <ns0:v>145068.90317509332</ns0:v>
      </ns0:c>
      <ns0:c r="I214" s="16">
        <ns0:f>A214*('前提と出典'!$C$36*'契約別単価'!I5+'前提と出典'!$C$37*'契約別単価'!I6+'前提と出典'!$C$38*'契約別単価'!I7)</ns0:f>
        <ns0:v>8861.061452513964</ns0:v>
      </ns0:c>
      <ns0:c r="J214" s="16">
        <ns0:f>A214*('前提と出典'!$C$36*'契約別単価'!J5+'前提と出典'!$C$37*'契約別単価'!J6+'前提と出典'!$C$38*'契約別単価'!J7)</ns0:f>
        <ns0:v>20640.80417916354</ns0:v>
      </ns0:c>
      <ns0:c r="K214" s="16">
        <ns0:f>A214*('前提と出典'!$C$36*'契約別単価'!K5+'前提と出典'!$C$37*'契約別単価'!K6+'前提と出典'!$C$38*'契約別単価'!K7)</ns0:f>
        <ns0:v>88473.74301675978</ns0:v>
      </ns0:c>
      <ns0:c r="L214" s="16">
        <ns0:f>A214*('前提と出典'!$C$36*'契約別単価'!L5+'前提と出典'!$C$37*'契約別単価'!L6+'前提と出典'!$C$38*'契約別単価'!L7)</ns0:f>
        <ns0:v>72035.63010583645</ns0:v>
      </ns0:c>
      <ns0:c r="M214" s="16">
        <ns0:f>IF(('前提と出典'!$C$36+'前提と出典'!$C$38)=0,0,IF(B214&lt;=10,'前提と出典'!B73+'前提と出典'!C73,IF(B214&lt;=100,'前提と出典'!B74+'前提と出典'!C74,IF(B214&lt;=500,'前提と出典'!B75+'前提と出典'!C75,'前提と出典'!B76+'前提と出典'!C76))))</ns0:f>
        <ns0:v>40000</ns0:v>
      </ns0:c>
      <ns0:c r="N214" s="16">
        <ns0:f>IF(('前提と出典'!$C$37+'前提と出典'!$C$38)=0,0,IF(C214&lt;=10,'前提と出典'!D73+'前提と出典'!E73,IF(C214&lt;=100,'前提と出典'!D74+'前提と出典'!E74,IF(C214&lt;=500,'前提と出典'!D75+'前提と出典'!E75,'前提と出典'!D76+'前提と出典'!E76))))</ns0:f>
        <ns0:v>56510.9346263078</ns0:v>
      </ns0:c>
      <ns0:c r="O214" s="16">
        <ns0:f>IF('前提と出典'!$C$36+'前提と出典'!$C$38=0,0,'前提と出典'!$B$4*IF('前提と出典'!$B$20=0,MAX('前提と出典'!$B$6,D214*'前提と出典'!$B$5),'前提と出典'!$B$6+D214*'前提と出典'!$B$5))</ns0:f>
        <ns0:v>208526.4804469274</ns0:v>
      </ns0:c>
      <ns0:c r="P214" s="16">
        <ns0:f>(E214+G214)*(1-'前提と出典'!$B$7)-I214-K214-M214-O214</ns0:f>
        <ns0:v>448806.29686755943</ns0:v>
      </ns0:c>
      <ns0:c r="Q214" s="16">
        <ns0:f>(F214+H214)*(1-'前提と出典'!$B$7)-J214-L214-N214</ns0:f>
        <ns0:v>144391.07466076108</ns0:v>
      </ns0:c>
      <ns0:c r="R214" s="16">
        <ns0:f>P214-E214*'前提と出典'!$E$4</ns0:f>
        <ns0:v>326904.78349342034</ns0:v>
      </ns0:c>
      <ns0:c r="S214" s="16">
        <ns0:f>Q214-F214*'前提と出典'!$E$4</ns0:f>
        <ns0:v>96549.15943940874</ns0:v>
      </ns0:c>
      <ns0:c r="T214" s="7">
        <ns0:f>R214+S214</ns0:f>
        <ns0:v>423453.9429328291</ns0:v>
      </ns0:c>
      <ns0:c r="U214" s="16">
        <ns0:f>P214-E214*'前提と出典'!$E$5</ns0:f>
        <ns0:v>286270.9457020407</ns0:v>
      </ns0:c>
      <ns0:c r="V214" s="16">
        <ns0:f>Q214-F214*'前提と出典'!$E$5</ns0:f>
        <ns0:v>80601.8543656246</ns0:v>
      </ns0:c>
      <ns0:c r="W214" s="7">
        <ns0:f>U214+V214</ns0:f>
        <ns0:v>366872.8000676653</ns0:v>
      </ns0:c>
      <ns0:c r="X214" s="16">
        <ns0:f>P214-E214*'前提と出典'!$E$6</ns0:f>
        <ns0:v>245637.107910661</ns0:v>
      </ns0:c>
      <ns0:c r="Y214" s="16">
        <ns0:f>Q214-F214*'前提と出典'!$E$6</ns0:f>
        <ns0:v>64654.549291840514</ns0:v>
      </ns0:c>
      <ns0:c r="Z214" s="7">
        <ns0:f>X214+Y214</ns0:f>
        <ns0:v>310291.6572025015</ns0:v>
      </ns0:c>
      <ns0:c r="AA214" s="7">
        <ns0:f>IF(T214&gt;=0,A214,1001)</ns0:f>
        <ns0:v>210</ns0:v>
      </ns0:c>
      <ns0:c r="AB214" s="7">
        <ns0:f>IF(T214&lt;0,A214,0)</ns0:f>
        <ns0:v>0</ns0:v>
      </ns0:c>
      <ns0:c r="AC214" s="16">
        <ns0:f>IF(AND(OR('前提と出典'!$C$36+'前提と出典'!$C$38=0,R214&gt;=0),OR('前提と出典'!$C$37+'前提と出典'!$C$38=0,S214&gt;=0)),0,A214)</ns0:f>
        <ns0:v>0</ns0:v>
      </ns0:c>
      <ns0:c r="AD214" s="7">
        <ns0:f>IF(W214&gt;=0,A214,1001)</ns0:f>
        <ns0:v>210</ns0:v>
      </ns0:c>
      <ns0:c r="AE214" s="7">
        <ns0:f>IF(W214&lt;0,A214,0)</ns0:f>
        <ns0:v>0</ns0:v>
      </ns0:c>
      <ns0:c r="AF214" s="16">
        <ns0:f>IF(AND(OR('前提と出典'!$C$36+'前提と出典'!$C$38=0,U214&gt;=0),OR('前提と出典'!$C$37+'前提と出典'!$C$38=0,V214&gt;=0)),0,A214)</ns0:f>
        <ns0:v>0</ns0:v>
      </ns0:c>
      <ns0:c r="AG214" s="7">
        <ns0:f>IF(Z214&gt;=0,A214,1001)</ns0:f>
        <ns0:v>210</ns0:v>
      </ns0:c>
      <ns0:c r="AH214" s="4">
        <ns0:f>IF(Z214&lt;0,A214,0)</ns0:f>
        <ns0:v>0</ns0:v>
      </ns0:c>
      <ns0:c r="AI214" s="12">
        <ns0:f>IF(AND(OR('前提と出典'!$C$36+'前提と出典'!$C$38=0,X214&gt;=0),OR('前提と出典'!$C$37+'前提と出典'!$C$38=0,Y214&gt;=0)),0,A214)</ns0:f>
        <ns0:v>0</ns0:v>
      </ns0:c>
    </ns0:row>
    <ns0:row r="215" ht="24" customHeight="1">
      <ns0:c r="A215" s="4" t="n">
        <ns0:v>211</ns0:v>
      </ns0:c>
      <ns0:c r="B215" s="12">
        <ns0:f>A215*('前提と出典'!$C$36+'前提と出典'!$C$38)</ns0:f>
        <ns0:v>147.7</ns0:v>
      </ns0:c>
      <ns0:c r="C215" s="12">
        <ns0:f>A215*('前提と出典'!$C$37+'前提と出典'!$C$38)</ns0:f>
        <ns0:v>126.6</ns0:v>
      </ns0:c>
      <ns0:c r="D215" s="16">
        <ns0:f>A215*('前提と出典'!$C$36*'契約別単価'!C5+'前提と出典'!$C$37*'契約別単価'!C6+'前提と出典'!$C$38*'契約別単価'!C7)</ns0:f>
        <ns0:v>1518.2569832402235</ns0:v>
      </ns0:c>
      <ns0:c r="E215" s="16">
        <ns0:f>A215*('前提と出典'!$C$36*'契約別単価'!E5+'前提と出典'!$C$37*'契約別単価'!E6+'前提と出典'!$C$38*'契約別単価'!E7)</ns0:f>
        <ns0:v>408273.32257052924</ns0:v>
      </ns0:c>
      <ns0:c r="F215" s="16">
        <ns0:f>A215*('前提と出典'!$C$36*'契約別単価'!F5+'前提と出典'!$C$37*'契約別単価'!F6+'前提と出典'!$C$38*'契約別単価'!F7)</ns0:f>
        <ns0:v>160232.44621754516</ns0:v>
      </ns0:c>
      <ns0:c r="G215" s="16">
        <ns0:f>A215*('前提と出典'!$C$36*'契約別単価'!G5+'前提と出典'!$C$37*'契約別単価'!G6+'前提と出典'!$C$38*'契約別単価'!G7)</ns0:f>
        <ns0:v>419996.08938547486</ns0:v>
      </ns0:c>
      <ns0:c r="H215" s="16">
        <ns0:f>A215*('前提と出典'!$C$36*'契約別単価'!H5+'前提と出典'!$C$37*'契約別単価'!H6+'前提と出典'!$C$38*'契約別単価'!H7)</ns0:f>
        <ns0:v>145759.7074759271</ns0:v>
      </ns0:c>
      <ns0:c r="I215" s="16">
        <ns0:f>A215*('前提と出典'!$C$36*'契約別単価'!I5+'前提と出典'!$C$37*'契約別単価'!I6+'前提と出典'!$C$38*'契約別単価'!I7)</ns0:f>
        <ns0:v>8903.256983240222</ns0:v>
      </ns0:c>
      <ns0:c r="J215" s="16">
        <ns0:f>A215*('前提と出典'!$C$36*'契約別単価'!J5+'前提と出典'!$C$37*'契約別単価'!J6+'前提と出典'!$C$38*'契約別単価'!J7)</ns0:f>
        <ns0:v>20739.09372287384</ns0:v>
      </ns0:c>
      <ns0:c r="K215" s="16">
        <ns0:f>A215*('前提と出典'!$C$36*'契約別単価'!K5+'前提と出典'!$C$37*'契約別単価'!K6+'前提と出典'!$C$38*'契約別単価'!K7)</ns0:f>
        <ns0:v>88895.04655493482</ns0:v>
      </ns0:c>
      <ns0:c r="L215" s="16">
        <ns0:f>A215*('前提と出典'!$C$36*'契約別単価'!L5+'前提と出典'!$C$37*'契約別単価'!L6+'前提と出典'!$C$38*'契約別単価'!L7)</ns0:f>
        <ns0:v>72378.65691586424</ns0:v>
      </ns0:c>
      <ns0:c r="M215" s="16">
        <ns0:f>IF(('前提と出典'!$C$36+'前提と出典'!$C$38)=0,0,IF(B215&lt;=10,'前提と出典'!B73+'前提と出典'!C73,IF(B215&lt;=100,'前提と出典'!B74+'前提と出典'!C74,IF(B215&lt;=500,'前提と出典'!B75+'前提と出典'!C75,'前提と出典'!B76+'前提と出典'!C76))))</ns0:f>
        <ns0:v>40000</ns0:v>
      </ns0:c>
      <ns0:c r="N215" s="16">
        <ns0:f>IF(('前提と出典'!$C$37+'前提と出典'!$C$38)=0,0,IF(C215&lt;=10,'前提と出典'!D73+'前提と出典'!E73,IF(C215&lt;=100,'前提と出典'!D74+'前提と出典'!E74,IF(C215&lt;=500,'前提と出典'!D75+'前提と出典'!E75,'前提と出典'!D76+'前提と出典'!E76))))</ns0:f>
        <ns0:v>56510.9346263078</ns0:v>
      </ns0:c>
      <ns0:c r="O215" s="16">
        <ns0:f>IF('前提と出典'!$C$36+'前提と出典'!$C$38=0,0,'前提と出典'!$B$4*IF('前提と出典'!$B$20=0,MAX('前提と出典'!$B$6,D215*'前提と出典'!$B$5),'前提と出典'!$B$6+D215*'前提と出典'!$B$5))</ns0:f>
        <ns0:v>209519.46368715083</ns0:v>
      </ns0:c>
      <ns0:c r="P215" s="16">
        <ns0:f>(E215+G215)*(1-'前提と出典'!$B$7)-I215-K215-M215-O215</ns0:f>
        <ns0:v>451133.9459002619</ns0:v>
      </ns0:c>
      <ns0:c r="Q215" s="16">
        <ns0:f>(F215+H215)*(1-'前提と出典'!$B$7)-J215-L215-N215</ns0:f>
        <ns0:v>145347.7508954614</ns0:v>
      </ns0:c>
      <ns0:c r="R215" s="16">
        <ns0:f>P215-E215*'前提と出典'!$E$4</ns0:f>
        <ns0:v>328651.9491291032</ns0:v>
      </ns0:c>
      <ns0:c r="S215" s="16">
        <ns0:f>Q215-F215*'前提と出典'!$E$4</ns0:f>
        <ns0:v>97278.01703019784</ns0:v>
      </ns0:c>
      <ns0:c r="T215" s="7">
        <ns0:f>R215+S215</ns0:f>
        <ns0:v>425929.96615930105</ns0:v>
      </ns0:c>
      <ns0:c r="U215" s="16">
        <ns0:f>P215-E215*'前提と出典'!$E$5</ns0:f>
        <ns0:v>287824.6168720502</ns0:v>
      </ns0:c>
      <ns0:c r="V215" s="16">
        <ns0:f>Q215-F215*'前提と出典'!$E$5</ns0:f>
        <ns0:v>81254.77240844333</ns0:v>
      </ns0:c>
      <ns0:c r="W215" s="7">
        <ns0:f>U215+V215</ns0:f>
        <ns0:v>369079.38928049355</ns0:v>
      </ns0:c>
      <ns0:c r="X215" s="16">
        <ns0:f>P215-E215*'前提と出典'!$E$6</ns0:f>
        <ns0:v>246997.28461499736</ns0:v>
      </ns0:c>
      <ns0:c r="Y215" s="16">
        <ns0:f>Q215-F215*'前提と出典'!$E$6</ns0:f>
        <ns0:v>65231.5277866888</ns0:v>
      </ns0:c>
      <ns0:c r="Z215" s="7">
        <ns0:f>X215+Y215</ns0:f>
        <ns0:v>312228.81240168615</ns0:v>
      </ns0:c>
      <ns0:c r="AA215" s="7">
        <ns0:f>IF(T215&gt;=0,A215,1001)</ns0:f>
        <ns0:v>211</ns0:v>
      </ns0:c>
      <ns0:c r="AB215" s="7">
        <ns0:f>IF(T215&lt;0,A215,0)</ns0:f>
        <ns0:v>0</ns0:v>
      </ns0:c>
      <ns0:c r="AC215" s="16">
        <ns0:f>IF(AND(OR('前提と出典'!$C$36+'前提と出典'!$C$38=0,R215&gt;=0),OR('前提と出典'!$C$37+'前提と出典'!$C$38=0,S215&gt;=0)),0,A215)</ns0:f>
        <ns0:v>0</ns0:v>
      </ns0:c>
      <ns0:c r="AD215" s="7">
        <ns0:f>IF(W215&gt;=0,A215,1001)</ns0:f>
        <ns0:v>211</ns0:v>
      </ns0:c>
      <ns0:c r="AE215" s="7">
        <ns0:f>IF(W215&lt;0,A215,0)</ns0:f>
        <ns0:v>0</ns0:v>
      </ns0:c>
      <ns0:c r="AF215" s="16">
        <ns0:f>IF(AND(OR('前提と出典'!$C$36+'前提と出典'!$C$38=0,U215&gt;=0),OR('前提と出典'!$C$37+'前提と出典'!$C$38=0,V215&gt;=0)),0,A215)</ns0:f>
        <ns0:v>0</ns0:v>
      </ns0:c>
      <ns0:c r="AG215" s="7">
        <ns0:f>IF(Z215&gt;=0,A215,1001)</ns0:f>
        <ns0:v>211</ns0:v>
      </ns0:c>
      <ns0:c r="AH215" s="4">
        <ns0:f>IF(Z215&lt;0,A215,0)</ns0:f>
        <ns0:v>0</ns0:v>
      </ns0:c>
      <ns0:c r="AI215" s="12">
        <ns0:f>IF(AND(OR('前提と出典'!$C$36+'前提と出典'!$C$38=0,X215&gt;=0),OR('前提と出典'!$C$37+'前提と出典'!$C$38=0,Y215&gt;=0)),0,A215)</ns0:f>
        <ns0:v>0</ns0:v>
      </ns0:c>
    </ns0:row>
    <ns0:row r="216" ht="24" customHeight="1">
      <ns0:c r="A216" s="4" t="n">
        <ns0:v>212</ns0:v>
      </ns0:c>
      <ns0:c r="B216" s="12">
        <ns0:f>A216*('前提と出典'!$C$36+'前提と出典'!$C$38)</ns0:f>
        <ns0:v>148.39999999999998</ns0:v>
      </ns0:c>
      <ns0:c r="C216" s="12">
        <ns0:f>A216*('前提と出典'!$C$37+'前提と出典'!$C$38)</ns0:f>
        <ns0:v>127.19999999999999</ns0:v>
      </ns0:c>
      <ns0:c r="D216" s="16">
        <ns0:f>A216*('前提と出典'!$C$36*'契約別単価'!C5+'前提と出典'!$C$37*'契約別単価'!C6+'前提と出典'!$C$38*'契約別単価'!C7)</ns0:f>
        <ns0:v>1525.4525139664804</ns0:v>
      </ns0:c>
      <ns0:c r="E216" s="16">
        <ns0:f>A216*('前提と出典'!$C$36*'契約別単価'!E5+'前提と出典'!$C$37*'契約別単価'!E6+'前提と出典'!$C$38*'契約別単価'!E7)</ns0:f>
        <ns0:v>410208.26722726156</ns0:v>
      </ns0:c>
      <ns0:c r="F216" s="16">
        <ns0:f>A216*('前提と出典'!$C$36*'契約別単価'!F5+'前提と出典'!$C$37*'契約別単価'!F6+'前提と出典'!$C$38*'契約別単価'!F7)</ns0:f>
        <ns0:v>160991.84169724918</ns0:v>
      </ns0:c>
      <ns0:c r="G216" s="16">
        <ns0:f>A216*('前提と出典'!$C$36*'契約別単価'!G5+'前提と出典'!$C$37*'契約別単価'!G6+'前提と出典'!$C$38*'契約別単価'!G7)</ns0:f>
        <ns0:v>421986.5921787709</ns0:v>
      </ns0:c>
      <ns0:c r="H216" s="16">
        <ns0:f>A216*('前提と出典'!$C$36*'契約別単価'!H5+'前提と出典'!$C$37*'契約別単価'!H6+'前提と出典'!$C$38*'契約別単価'!H7)</ns0:f>
        <ns0:v>146450.51177676086</ns0:v>
      </ns0:c>
      <ns0:c r="I216" s="16">
        <ns0:f>A216*('前提と出典'!$C$36*'契約別単価'!I5+'前提と出典'!$C$37*'契約別単価'!I6+'前提と出典'!$C$38*'契約別単価'!I7)</ns0:f>
        <ns0:v>8945.452513966478</ns0:v>
      </ns0:c>
      <ns0:c r="J216" s="16">
        <ns0:f>A216*('前提と出典'!$C$36*'契約別単価'!J5+'前提と出典'!$C$37*'契約別単価'!J6+'前提と出典'!$C$38*'契約別単価'!J7)</ns0:f>
        <ns0:v>20837.383266584144</ns0:v>
      </ns0:c>
      <ns0:c r="K216" s="16">
        <ns0:f>A216*('前提と出典'!$C$36*'契約別単価'!K5+'前提と出典'!$C$37*'契約別単価'!K6+'前提と出典'!$C$38*'契約別単価'!K7)</ns0:f>
        <ns0:v>89316.35009310987</ns0:v>
      </ns0:c>
      <ns0:c r="L216" s="16">
        <ns0:f>A216*('前提と出典'!$C$36*'契約別単価'!L5+'前提と出典'!$C$37*'契約別単価'!L6+'前提と出典'!$C$38*'契約別単価'!L7)</ns0:f>
        <ns0:v>72721.68372589203</ns0:v>
      </ns0:c>
      <ns0:c r="M216" s="16">
        <ns0:f>IF(('前提と出典'!$C$36+'前提と出典'!$C$38)=0,0,IF(B216&lt;=10,'前提と出典'!B73+'前提と出典'!C73,IF(B216&lt;=100,'前提と出典'!B74+'前提と出典'!C74,IF(B216&lt;=500,'前提と出典'!B75+'前提と出典'!C75,'前提と出典'!B76+'前提と出典'!C76))))</ns0:f>
        <ns0:v>40000</ns0:v>
      </ns0:c>
      <ns0:c r="N216" s="16">
        <ns0:f>IF(('前提と出典'!$C$37+'前提と出典'!$C$38)=0,0,IF(C216&lt;=10,'前提と出典'!D73+'前提と出典'!E73,IF(C216&lt;=100,'前提と出典'!D74+'前提と出典'!E74,IF(C216&lt;=500,'前提と出典'!D75+'前提と出典'!E75,'前提と出典'!D76+'前提と出典'!E76))))</ns0:f>
        <ns0:v>56510.9346263078</ns0:v>
      </ns0:c>
      <ns0:c r="O216" s="16">
        <ns0:f>IF('前提と出典'!$C$36+'前提と出典'!$C$38=0,0,'前提と出典'!$B$4*IF('前提と出典'!$B$20=0,MAX('前提と出典'!$B$6,D216*'前提と出典'!$B$5),'前提と出典'!$B$6+D216*'前提と出典'!$B$5))</ns0:f>
        <ns0:v>210512.44692737432</ns0:v>
      </ns0:c>
      <ns0:c r="P216" s="16">
        <ns0:f>(E216+G216)*(1-'前提と出典'!$B$7)-I216-K216-M216-O216</ns0:f>
        <ns0:v>453461.59493296465</ns0:v>
      </ns0:c>
      <ns0:c r="Q216" s="16">
        <ns0:f>(F216+H216)*(1-'前提と出典'!$B$7)-J216-L216-N216</ns0:f>
        <ns0:v>146304.42713016167</ns0:v>
      </ns0:c>
      <ns0:c r="R216" s="16">
        <ns0:f>P216-E216*'前提と出典'!$E$4</ns0:f>
        <ns0:v>330399.1147647862</ns0:v>
      </ns0:c>
      <ns0:c r="S216" s="16">
        <ns0:f>Q216-F216*'前提と出典'!$E$4</ns0:f>
        <ns0:v>98006.87462098693</ns0:v>
      </ns0:c>
      <ns0:c r="T216" s="7">
        <ns0:f>R216+S216</ns0:f>
        <ns0:v>428405.98938577314</ns0:v>
      </ns0:c>
      <ns0:c r="U216" s="16">
        <ns0:f>P216-E216*'前提と出典'!$E$5</ns0:f>
        <ns0:v>289378.28804206</ns0:v>
      </ns0:c>
      <ns0:c r="V216" s="16">
        <ns0:f>Q216-F216*'前提と出典'!$E$5</ns0:f>
        <ns0:v>81907.690451262</ns0:v>
      </ns0:c>
      <ns0:c r="W216" s="7">
        <ns0:f>U216+V216</ns0:f>
        <ns0:v>371285.978493322</ns0:v>
      </ns0:c>
      <ns0:c r="X216" s="16">
        <ns0:f>P216-E216*'前提と出典'!$E$6</ns0:f>
        <ns0:v>248357.4613193339</ns0:v>
      </ns0:c>
      <ns0:c r="Y216" s="16">
        <ns0:f>Q216-F216*'前提と出典'!$E$6</ns0:f>
        <ns0:v>65808.50628153709</ns0:v>
      </ns0:c>
      <ns0:c r="Z216" s="7">
        <ns0:f>X216+Y216</ns0:f>
        <ns0:v>314165.967600871</ns0:v>
      </ns0:c>
      <ns0:c r="AA216" s="7">
        <ns0:f>IF(T216&gt;=0,A216,1001)</ns0:f>
        <ns0:v>212</ns0:v>
      </ns0:c>
      <ns0:c r="AB216" s="7">
        <ns0:f>IF(T216&lt;0,A216,0)</ns0:f>
        <ns0:v>0</ns0:v>
      </ns0:c>
      <ns0:c r="AC216" s="16">
        <ns0:f>IF(AND(OR('前提と出典'!$C$36+'前提と出典'!$C$38=0,R216&gt;=0),OR('前提と出典'!$C$37+'前提と出典'!$C$38=0,S216&gt;=0)),0,A216)</ns0:f>
        <ns0:v>0</ns0:v>
      </ns0:c>
      <ns0:c r="AD216" s="7">
        <ns0:f>IF(W216&gt;=0,A216,1001)</ns0:f>
        <ns0:v>212</ns0:v>
      </ns0:c>
      <ns0:c r="AE216" s="7">
        <ns0:f>IF(W216&lt;0,A216,0)</ns0:f>
        <ns0:v>0</ns0:v>
      </ns0:c>
      <ns0:c r="AF216" s="16">
        <ns0:f>IF(AND(OR('前提と出典'!$C$36+'前提と出典'!$C$38=0,U216&gt;=0),OR('前提と出典'!$C$37+'前提と出典'!$C$38=0,V216&gt;=0)),0,A216)</ns0:f>
        <ns0:v>0</ns0:v>
      </ns0:c>
      <ns0:c r="AG216" s="7">
        <ns0:f>IF(Z216&gt;=0,A216,1001)</ns0:f>
        <ns0:v>212</ns0:v>
      </ns0:c>
      <ns0:c r="AH216" s="4">
        <ns0:f>IF(Z216&lt;0,A216,0)</ns0:f>
        <ns0:v>0</ns0:v>
      </ns0:c>
      <ns0:c r="AI216" s="12">
        <ns0:f>IF(AND(OR('前提と出典'!$C$36+'前提と出典'!$C$38=0,X216&gt;=0),OR('前提と出典'!$C$37+'前提と出典'!$C$38=0,Y216&gt;=0)),0,A216)</ns0:f>
        <ns0:v>0</ns0:v>
      </ns0:c>
    </ns0:row>
    <ns0:row r="217" ht="24" customHeight="1">
      <ns0:c r="A217" s="4" t="n">
        <ns0:v>213</ns0:v>
      </ns0:c>
      <ns0:c r="B217" s="12">
        <ns0:f>A217*('前提と出典'!$C$36+'前提と出典'!$C$38)</ns0:f>
        <ns0:v>149.1</ns0:v>
      </ns0:c>
      <ns0:c r="C217" s="12">
        <ns0:f>A217*('前提と出典'!$C$37+'前提と出典'!$C$38)</ns0:f>
        <ns0:v>127.8</ns0:v>
      </ns0:c>
      <ns0:c r="D217" s="16">
        <ns0:f>A217*('前提と出典'!$C$36*'契約別単価'!C5+'前提と出典'!$C$37*'契約別単価'!C6+'前提と出典'!$C$38*'契約別単価'!C7)</ns0:f>
        <ns0:v>1532.6480446927374</ns0:v>
      </ns0:c>
      <ns0:c r="E217" s="16">
        <ns0:f>A217*('前提と出典'!$C$36*'契約別単価'!E5+'前提と出典'!$C$37*'契約別単価'!E6+'前提と出典'!$C$38*'契約別単価'!E7)</ns0:f>
        <ns0:v>412143.21188399394</ns0:v>
      </ns0:c>
      <ns0:c r="F217" s="16">
        <ns0:f>A217*('前提と出典'!$C$36*'契約別単価'!F5+'前提と出典'!$C$37*'契約別単価'!F6+'前提と出典'!$C$38*'契約別単価'!F7)</ns0:f>
        <ns0:v>161751.23717695317</ns0:v>
      </ns0:c>
      <ns0:c r="G217" s="16">
        <ns0:f>A217*('前提と出典'!$C$36*'契約別単価'!G5+'前提と出典'!$C$37*'契約別単価'!G6+'前提と出典'!$C$38*'契約別単価'!G7)</ns0:f>
        <ns0:v>423977.09497206705</ns0:v>
      </ns0:c>
      <ns0:c r="H217" s="16">
        <ns0:f>A217*('前提と出典'!$C$36*'契約別単価'!H5+'前提と出典'!$C$37*'契約別単価'!H6+'前提と出典'!$C$38*'契約別単価'!H7)</ns0:f>
        <ns0:v>147141.31607759465</ns0:v>
      </ns0:c>
      <ns0:c r="I217" s="16">
        <ns0:f>A217*('前提と出典'!$C$36*'契約別単価'!I5+'前提と出典'!$C$37*'契約別単価'!I6+'前提と出典'!$C$38*'契約別単価'!I7)</ns0:f>
        <ns0:v>8987.648044692736</ns0:v>
      </ns0:c>
      <ns0:c r="J217" s="16">
        <ns0:f>A217*('前提と出典'!$C$36*'契約別単価'!J5+'前提と出典'!$C$37*'契約別単価'!J6+'前提と出典'!$C$38*'契約別単価'!J7)</ns0:f>
        <ns0:v>20935.672810294447</ns0:v>
      </ns0:c>
      <ns0:c r="K217" s="16">
        <ns0:f>A217*('前提と出典'!$C$36*'契約別単価'!K5+'前提と出典'!$C$37*'契約別単価'!K6+'前提と出典'!$C$38*'契約別単価'!K7)</ns0:f>
        <ns0:v>89737.6536312849</ns0:v>
      </ns0:c>
      <ns0:c r="L217" s="16">
        <ns0:f>A217*('前提と出典'!$C$36*'契約別単価'!L5+'前提と出典'!$C$37*'契約別単価'!L6+'前提と出典'!$C$38*'契約別単価'!L7)</ns0:f>
        <ns0:v>73064.71053591982</ns0:v>
      </ns0:c>
      <ns0:c r="M217" s="16">
        <ns0:f>IF(('前提と出典'!$C$36+'前提と出典'!$C$38)=0,0,IF(B217&lt;=10,'前提と出典'!B73+'前提と出典'!C73,IF(B217&lt;=100,'前提と出典'!B74+'前提と出典'!C74,IF(B217&lt;=500,'前提と出典'!B75+'前提と出典'!C75,'前提と出典'!B76+'前提と出典'!C76))))</ns0:f>
        <ns0:v>40000</ns0:v>
      </ns0:c>
      <ns0:c r="N217" s="16">
        <ns0:f>IF(('前提と出典'!$C$37+'前提と出典'!$C$38)=0,0,IF(C217&lt;=10,'前提と出典'!D73+'前提と出典'!E73,IF(C217&lt;=100,'前提と出典'!D74+'前提と出典'!E74,IF(C217&lt;=500,'前提と出典'!D75+'前提と出典'!E75,'前提と出典'!D76+'前提と出典'!E76))))</ns0:f>
        <ns0:v>56510.9346263078</ns0:v>
      </ns0:c>
      <ns0:c r="O217" s="16">
        <ns0:f>IF('前提と出典'!$C$36+'前提と出典'!$C$38=0,0,'前提と出典'!$B$4*IF('前提と出典'!$B$20=0,MAX('前提と出典'!$B$6,D217*'前提と出典'!$B$5),'前提と出典'!$B$6+D217*'前提と出典'!$B$5))</ns0:f>
        <ns0:v>211505.43016759775</ns0:v>
      </ns0:c>
      <ns0:c r="P217" s="16">
        <ns0:f>(E217+G217)*(1-'前提と出典'!$B$7)-I217-K217-M217-O217</ns0:f>
        <ns0:v>455789.24396566744</ns0:v>
      </ns0:c>
      <ns0:c r="Q217" s="16">
        <ns0:f>(F217+H217)*(1-'前提と出典'!$B$7)-J217-L217-N217</ns0:f>
        <ns0:v>147261.10336486204</ns0:v>
      </ns0:c>
      <ns0:c r="R217" s="16">
        <ns0:f>P217-E217*'前提と出典'!$E$4</ns0:f>
        <ns0:v>332146.2804004693</ns0:v>
      </ns0:c>
      <ns0:c r="S217" s="16">
        <ns0:f>Q217-F217*'前提と出典'!$E$4</ns0:f>
        <ns0:v>98735.73221177608</ns0:v>
      </ns0:c>
      <ns0:c r="T217" s="7">
        <ns0:f>R217+S217</ns0:f>
        <ns0:v>430882.0126122454</ns0:v>
      </ns0:c>
      <ns0:c r="U217" s="16">
        <ns0:f>P217-E217*'前提と出典'!$E$5</ns0:f>
        <ns0:v>290931.95921206987</ns0:v>
      </ns0:c>
      <ns0:c r="V217" s="16">
        <ns0:f>Q217-F217*'前提と出典'!$E$5</ns0:f>
        <ns0:v>82560.60849408078</ns0:v>
      </ns0:c>
      <ns0:c r="W217" s="7">
        <ns0:f>U217+V217</ns0:f>
        <ns0:v>373492.56770615064</ns0:v>
      </ns0:c>
      <ns0:c r="X217" s="16">
        <ns0:f>P217-E217*'前提と出典'!$E$6</ns0:f>
        <ns0:v>249717.63802367044</ns0:v>
      </ns0:c>
      <ns0:c r="Y217" s="16">
        <ns0:f>Q217-F217*'前提と出典'!$E$6</ns0:f>
        <ns0:v>66385.48477638542</ns0:v>
      </ns0:c>
      <ns0:c r="Z217" s="7">
        <ns0:f>X217+Y217</ns0:f>
        <ns0:v>316103.1228000559</ns0:v>
      </ns0:c>
      <ns0:c r="AA217" s="7">
        <ns0:f>IF(T217&gt;=0,A217,1001)</ns0:f>
        <ns0:v>213</ns0:v>
      </ns0:c>
      <ns0:c r="AB217" s="7">
        <ns0:f>IF(T217&lt;0,A217,0)</ns0:f>
        <ns0:v>0</ns0:v>
      </ns0:c>
      <ns0:c r="AC217" s="16">
        <ns0:f>IF(AND(OR('前提と出典'!$C$36+'前提と出典'!$C$38=0,R217&gt;=0),OR('前提と出典'!$C$37+'前提と出典'!$C$38=0,S217&gt;=0)),0,A217)</ns0:f>
        <ns0:v>0</ns0:v>
      </ns0:c>
      <ns0:c r="AD217" s="7">
        <ns0:f>IF(W217&gt;=0,A217,1001)</ns0:f>
        <ns0:v>213</ns0:v>
      </ns0:c>
      <ns0:c r="AE217" s="7">
        <ns0:f>IF(W217&lt;0,A217,0)</ns0:f>
        <ns0:v>0</ns0:v>
      </ns0:c>
      <ns0:c r="AF217" s="16">
        <ns0:f>IF(AND(OR('前提と出典'!$C$36+'前提と出典'!$C$38=0,U217&gt;=0),OR('前提と出典'!$C$37+'前提と出典'!$C$38=0,V217&gt;=0)),0,A217)</ns0:f>
        <ns0:v>0</ns0:v>
      </ns0:c>
      <ns0:c r="AG217" s="7">
        <ns0:f>IF(Z217&gt;=0,A217,1001)</ns0:f>
        <ns0:v>213</ns0:v>
      </ns0:c>
      <ns0:c r="AH217" s="4">
        <ns0:f>IF(Z217&lt;0,A217,0)</ns0:f>
        <ns0:v>0</ns0:v>
      </ns0:c>
      <ns0:c r="AI217" s="12">
        <ns0:f>IF(AND(OR('前提と出典'!$C$36+'前提と出典'!$C$38=0,X217&gt;=0),OR('前提と出典'!$C$37+'前提と出典'!$C$38=0,Y217&gt;=0)),0,A217)</ns0:f>
        <ns0:v>0</ns0:v>
      </ns0:c>
    </ns0:row>
    <ns0:row r="218" ht="24" customHeight="1">
      <ns0:c r="A218" s="4" t="n">
        <ns0:v>214</ns0:v>
      </ns0:c>
      <ns0:c r="B218" s="12">
        <ns0:f>A218*('前提と出典'!$C$36+'前提と出典'!$C$38)</ns0:f>
        <ns0:v>149.79999999999998</ns0:v>
      </ns0:c>
      <ns0:c r="C218" s="12">
        <ns0:f>A218*('前提と出典'!$C$37+'前提と出典'!$C$38)</ns0:f>
        <ns0:v>128.4</ns0:v>
      </ns0:c>
      <ns0:c r="D218" s="16">
        <ns0:f>A218*('前提と出典'!$C$36*'契約別単価'!C5+'前提と出典'!$C$37*'契約別単価'!C6+'前提と出典'!$C$38*'契約別単価'!C7)</ns0:f>
        <ns0:v>1539.8435754189943</ns0:v>
      </ns0:c>
      <ns0:c r="E218" s="16">
        <ns0:f>A218*('前提と出典'!$C$36*'契約別単価'!E5+'前提と出典'!$C$37*'契約別単価'!E6+'前提と出典'!$C$38*'契約別単価'!E7)</ns0:f>
        <ns0:v>414078.1565407263</ns0:v>
      </ns0:c>
      <ns0:c r="F218" s="16">
        <ns0:f>A218*('前提と出典'!$C$36*'契約別単価'!F5+'前提と出典'!$C$37*'契約別単価'!F6+'前提と出典'!$C$38*'契約別単価'!F7)</ns0:f>
        <ns0:v>162510.6326566572</ns0:v>
      </ns0:c>
      <ns0:c r="G218" s="16">
        <ns0:f>A218*('前提と出典'!$C$36*'契約別単価'!G5+'前提と出典'!$C$37*'契約別単価'!G6+'前提と出典'!$C$38*'契約別単価'!G7)</ns0:f>
        <ns0:v>425967.5977653631</ns0:v>
      </ns0:c>
      <ns0:c r="H218" s="16">
        <ns0:f>A218*('前提と出典'!$C$36*'契約別単価'!H5+'前提と出典'!$C$37*'契約別単価'!H6+'前提と出典'!$C$38*'契約別単価'!H7)</ns0:f>
        <ns0:v>147832.12037842843</ns0:v>
      </ns0:c>
      <ns0:c r="I218" s="16">
        <ns0:f>A218*('前提と出典'!$C$36*'契約別単価'!I5+'前提と出典'!$C$37*'契約別単価'!I6+'前提と出典'!$C$38*'契約別単価'!I7)</ns0:f>
        <ns0:v>9029.843575418992</ns0:v>
      </ns0:c>
      <ns0:c r="J218" s="16">
        <ns0:f>A218*('前提と出典'!$C$36*'契約別単価'!J5+'前提と出典'!$C$37*'契約別単価'!J6+'前提と出典'!$C$38*'契約別単価'!J7)</ns0:f>
        <ns0:v>21033.96235400475</ns0:v>
      </ns0:c>
      <ns0:c r="K218" s="16">
        <ns0:f>A218*('前提と出典'!$C$36*'契約別単価'!K5+'前提と出典'!$C$37*'契約別単価'!K6+'前提と出典'!$C$38*'契約別単価'!K7)</ns0:f>
        <ns0:v>90158.95716945996</ns0:v>
      </ns0:c>
      <ns0:c r="L218" s="16">
        <ns0:f>A218*('前提と出典'!$C$36*'契約別単価'!L5+'前提と出典'!$C$37*'契約別単価'!L6+'前提と出典'!$C$38*'契約別単価'!L7)</ns0:f>
        <ns0:v>73407.73734594761</ns0:v>
      </ns0:c>
      <ns0:c r="M218" s="16">
        <ns0:f>IF(('前提と出典'!$C$36+'前提と出典'!$C$38)=0,0,IF(B218&lt;=10,'前提と出典'!B73+'前提と出典'!C73,IF(B218&lt;=100,'前提と出典'!B74+'前提と出典'!C74,IF(B218&lt;=500,'前提と出典'!B75+'前提と出典'!C75,'前提と出典'!B76+'前提と出典'!C76))))</ns0:f>
        <ns0:v>40000</ns0:v>
      </ns0:c>
      <ns0:c r="N218" s="16">
        <ns0:f>IF(('前提と出典'!$C$37+'前提と出典'!$C$38)=0,0,IF(C218&lt;=10,'前提と出典'!D73+'前提と出典'!E73,IF(C218&lt;=100,'前提と出典'!D74+'前提と出典'!E74,IF(C218&lt;=500,'前提と出典'!D75+'前提と出典'!E75,'前提と出典'!D76+'前提と出典'!E76))))</ns0:f>
        <ns0:v>56510.9346263078</ns0:v>
      </ns0:c>
      <ns0:c r="O218" s="16">
        <ns0:f>IF('前提と出典'!$C$36+'前提と出典'!$C$38=0,0,'前提と出典'!$B$4*IF('前提と出典'!$B$20=0,MAX('前提と出典'!$B$6,D218*'前提と出典'!$B$5),'前提と出典'!$B$6+D218*'前提と出典'!$B$5))</ns0:f>
        <ns0:v>212498.41340782124</ns0:v>
      </ns0:c>
      <ns0:c r="P218" s="16">
        <ns0:f>(E218+G218)*(1-'前提と出典'!$B$7)-I218-K218-M218-O218</ns0:f>
        <ns0:v>458116.89299836993</ns0:v>
      </ns0:c>
      <ns0:c r="Q218" s="16">
        <ns0:f>(F218+H218)*(1-'前提と出典'!$B$7)-J218-L218-N218</ns0:f>
        <ns0:v>148217.77959956237</ns0:v>
      </ns0:c>
      <ns0:c r="R218" s="16">
        <ns0:f>P218-E218*'前提と出典'!$E$4</ns0:f>
        <ns0:v>333893.4460361521</ns0:v>
      </ns0:c>
      <ns0:c r="S218" s="16">
        <ns0:f>Q218-F218*'前提と出典'!$E$4</ns0:f>
        <ns0:v>99464.58980256523</ns0:v>
      </ns0:c>
      <ns0:c r="T218" s="7">
        <ns0:f>R218+S218</ns0:f>
        <ns0:v>433358.0358387173</ns0:v>
      </ns0:c>
      <ns0:c r="U218" s="16">
        <ns0:f>P218-E218*'前提と出典'!$E$5</ns0:f>
        <ns0:v>292485.6303820794</ns0:v>
      </ns0:c>
      <ns0:c r="V218" s="16">
        <ns0:f>Q218-F218*'前提と出典'!$E$5</ns0:f>
        <ns0:v>83213.5265368995</ns0:v>
      </ns0:c>
      <ns0:c r="W218" s="7">
        <ns0:f>U218+V218</ns0:f>
        <ns0:v>375699.1569189789</ns0:v>
      </ns0:c>
      <ns0:c r="X218" s="16">
        <ns0:f>P218-E218*'前提と出典'!$E$6</ns0:f>
        <ns0:v>251077.81472800675</ns0:v>
      </ns0:c>
      <ns0:c r="Y218" s="16">
        <ns0:f>Q218-F218*'前提と出典'!$E$6</ns0:f>
        <ns0:v>66962.46327123378</ns0:v>
      </ns0:c>
      <ns0:c r="Z218" s="7">
        <ns0:f>X218+Y218</ns0:f>
        <ns0:v>318040.27799924056</ns0:v>
      </ns0:c>
      <ns0:c r="AA218" s="7">
        <ns0:f>IF(T218&gt;=0,A218,1001)</ns0:f>
        <ns0:v>214</ns0:v>
      </ns0:c>
      <ns0:c r="AB218" s="7">
        <ns0:f>IF(T218&lt;0,A218,0)</ns0:f>
        <ns0:v>0</ns0:v>
      </ns0:c>
      <ns0:c r="AC218" s="16">
        <ns0:f>IF(AND(OR('前提と出典'!$C$36+'前提と出典'!$C$38=0,R218&gt;=0),OR('前提と出典'!$C$37+'前提と出典'!$C$38=0,S218&gt;=0)),0,A218)</ns0:f>
        <ns0:v>0</ns0:v>
      </ns0:c>
      <ns0:c r="AD218" s="7">
        <ns0:f>IF(W218&gt;=0,A218,1001)</ns0:f>
        <ns0:v>214</ns0:v>
      </ns0:c>
      <ns0:c r="AE218" s="7">
        <ns0:f>IF(W218&lt;0,A218,0)</ns0:f>
        <ns0:v>0</ns0:v>
      </ns0:c>
      <ns0:c r="AF218" s="16">
        <ns0:f>IF(AND(OR('前提と出典'!$C$36+'前提と出典'!$C$38=0,U218&gt;=0),OR('前提と出典'!$C$37+'前提と出典'!$C$38=0,V218&gt;=0)),0,A218)</ns0:f>
        <ns0:v>0</ns0:v>
      </ns0:c>
      <ns0:c r="AG218" s="7">
        <ns0:f>IF(Z218&gt;=0,A218,1001)</ns0:f>
        <ns0:v>214</ns0:v>
      </ns0:c>
      <ns0:c r="AH218" s="4">
        <ns0:f>IF(Z218&lt;0,A218,0)</ns0:f>
        <ns0:v>0</ns0:v>
      </ns0:c>
      <ns0:c r="AI218" s="12">
        <ns0:f>IF(AND(OR('前提と出典'!$C$36+'前提と出典'!$C$38=0,X218&gt;=0),OR('前提と出典'!$C$37+'前提と出典'!$C$38=0,Y218&gt;=0)),0,A218)</ns0:f>
        <ns0:v>0</ns0:v>
      </ns0:c>
    </ns0:row>
    <ns0:row r="219" ht="24" customHeight="1">
      <ns0:c r="A219" s="4" t="n">
        <ns0:v>215</ns0:v>
      </ns0:c>
      <ns0:c r="B219" s="12">
        <ns0:f>A219*('前提と出典'!$C$36+'前提と出典'!$C$38)</ns0:f>
        <ns0:v>150.5</ns0:v>
      </ns0:c>
      <ns0:c r="C219" s="12">
        <ns0:f>A219*('前提と出典'!$C$37+'前提と出典'!$C$38)</ns0:f>
        <ns0:v>129</ns0:v>
      </ns0:c>
      <ns0:c r="D219" s="16">
        <ns0:f>A219*('前提と出典'!$C$36*'契約別単価'!C5+'前提と出典'!$C$37*'契約別単価'!C6+'前提と出典'!$C$38*'契約別単価'!C7)</ns0:f>
        <ns0:v>1547.0391061452515</ns0:v>
      </ns0:c>
      <ns0:c r="E219" s="16">
        <ns0:f>A219*('前提と出典'!$C$36*'契約別単価'!E5+'前提と出典'!$C$37*'契約別単価'!E6+'前提と出典'!$C$38*'契約別単価'!E7)</ns0:f>
        <ns0:v>416013.1011974587</ns0:v>
      </ns0:c>
      <ns0:c r="F219" s="16">
        <ns0:f>A219*('前提と出典'!$C$36*'契約別単価'!F5+'前提と出典'!$C$37*'契約別単価'!F6+'前提と出典'!$C$38*'契約別単価'!F7)</ns0:f>
        <ns0:v>163270.0281363612</ns0:v>
      </ns0:c>
      <ns0:c r="G219" s="16">
        <ns0:f>A219*('前提と出典'!$C$36*'契約別単価'!G5+'前提と出典'!$C$37*'契約別単価'!G6+'前提と出典'!$C$38*'契約別単価'!G7)</ns0:f>
        <ns0:v>427958.1005586592</ns0:v>
      </ns0:c>
      <ns0:c r="H219" s="16">
        <ns0:f>A219*('前提と出典'!$C$36*'契約別単価'!H5+'前提と出典'!$C$37*'契約別単価'!H6+'前提と出典'!$C$38*'契約別単価'!H7)</ns0:f>
        <ns0:v>148522.9246792622</ns0:v>
      </ns0:c>
      <ns0:c r="I219" s="16">
        <ns0:f>A219*('前提と出典'!$C$36*'契約別単価'!I5+'前提と出典'!$C$37*'契約別単価'!I6+'前提と出典'!$C$38*'契約別単価'!I7)</ns0:f>
        <ns0:v>9072.03910614525</ns0:v>
      </ns0:c>
      <ns0:c r="J219" s="16">
        <ns0:f>A219*('前提と出典'!$C$36*'契約別単価'!J5+'前提と出典'!$C$37*'契約別単価'!J6+'前提と出典'!$C$38*'契約別単価'!J7)</ns0:f>
        <ns0:v>21132.25189771505</ns0:v>
      </ns0:c>
      <ns0:c r="K219" s="16">
        <ns0:f>A219*('前提と出典'!$C$36*'契約別単価'!K5+'前提と出典'!$C$37*'契約別単価'!K6+'前提と出典'!$C$38*'契約別単価'!K7)</ns0:f>
        <ns0:v>90580.260707635</ns0:v>
      </ns0:c>
      <ns0:c r="L219" s="16">
        <ns0:f>A219*('前提と出典'!$C$36*'契約別単価'!L5+'前提と出典'!$C$37*'契約別単価'!L6+'前提と出典'!$C$38*'契約別単価'!L7)</ns0:f>
        <ns0:v>73750.7641559754</ns0:v>
      </ns0:c>
      <ns0:c r="M219" s="16">
        <ns0:f>IF(('前提と出典'!$C$36+'前提と出典'!$C$38)=0,0,IF(B219&lt;=10,'前提と出典'!B73+'前提と出典'!C73,IF(B219&lt;=100,'前提と出典'!B74+'前提と出典'!C74,IF(B219&lt;=500,'前提と出典'!B75+'前提と出典'!C75,'前提と出典'!B76+'前提と出典'!C76))))</ns0:f>
        <ns0:v>40000</ns0:v>
      </ns0:c>
      <ns0:c r="N219" s="16">
        <ns0:f>IF(('前提と出典'!$C$37+'前提と出典'!$C$38)=0,0,IF(C219&lt;=10,'前提と出典'!D73+'前提と出典'!E73,IF(C219&lt;=100,'前提と出典'!D74+'前提と出典'!E74,IF(C219&lt;=500,'前提と出典'!D75+'前提と出典'!E75,'前提と出典'!D76+'前提と出典'!E76))))</ns0:f>
        <ns0:v>56510.9346263078</ns0:v>
      </ns0:c>
      <ns0:c r="O219" s="16">
        <ns0:f>IF('前提と出典'!$C$36+'前提と出典'!$C$38=0,0,'前提と出典'!$B$4*IF('前提と出典'!$B$20=0,MAX('前提と出典'!$B$6,D219*'前提と出典'!$B$5),'前提と出典'!$B$6+D219*'前提と出典'!$B$5))</ns0:f>
        <ns0:v>213491.3966480447</ns0:v>
      </ns0:c>
      <ns0:c r="P219" s="16">
        <ns0:f>(E219+G219)*(1-'前提と出典'!$B$7)-I219-K219-M219-O219</ns0:f>
        <ns0:v>460444.54203107266</ns0:v>
      </ns0:c>
      <ns0:c r="Q219" s="16">
        <ns0:f>(F219+H219)*(1-'前提と出典'!$B$7)-J219-L219-N219</ns0:f>
        <ns0:v>149174.45583426266</ns0:v>
      </ns0:c>
      <ns0:c r="R219" s="16">
        <ns0:f>P219-E219*'前提と出典'!$E$4</ns0:f>
        <ns0:v>335640.61167183507</ns0:v>
      </ns0:c>
      <ns0:c r="S219" s="16">
        <ns0:f>Q219-F219*'前提と出典'!$E$4</ns0:f>
        <ns0:v>100193.44739335432</ns0:v>
      </ns0:c>
      <ns0:c r="T219" s="7">
        <ns0:f>R219+S219</ns0:f>
        <ns0:v>435834.0590651894</ns0:v>
      </ns0:c>
      <ns0:c r="U219" s="16">
        <ns0:f>P219-E219*'前提と出典'!$E$5</ns0:f>
        <ns0:v>294039.30155208916</ns0:v>
      </ns0:c>
      <ns0:c r="V219" s="16">
        <ns0:f>Q219-F219*'前提と出典'!$E$5</ns0:f>
        <ns0:v>83866.44457971817</ns0:v>
      </ns0:c>
      <ns0:c r="W219" s="7">
        <ns0:f>U219+V219</ns0:f>
        <ns0:v>377905.74613180733</ns0:v>
      </ns0:c>
      <ns0:c r="X219" s="16">
        <ns0:f>P219-E219*'前提と出典'!$E$6</ns0:f>
        <ns0:v>252437.99143234326</ns0:v>
      </ns0:c>
      <ns0:c r="Y219" s="16">
        <ns0:f>Q219-F219*'前提と出典'!$E$6</ns0:f>
        <ns0:v>67539.44176608208</ns0:v>
      </ns0:c>
      <ns0:c r="Z219" s="7">
        <ns0:f>X219+Y219</ns0:f>
        <ns0:v>319977.43319842534</ns0:v>
      </ns0:c>
      <ns0:c r="AA219" s="7">
        <ns0:f>IF(T219&gt;=0,A219,1001)</ns0:f>
        <ns0:v>215</ns0:v>
      </ns0:c>
      <ns0:c r="AB219" s="7">
        <ns0:f>IF(T219&lt;0,A219,0)</ns0:f>
        <ns0:v>0</ns0:v>
      </ns0:c>
      <ns0:c r="AC219" s="16">
        <ns0:f>IF(AND(OR('前提と出典'!$C$36+'前提と出典'!$C$38=0,R219&gt;=0),OR('前提と出典'!$C$37+'前提と出典'!$C$38=0,S219&gt;=0)),0,A219)</ns0:f>
        <ns0:v>0</ns0:v>
      </ns0:c>
      <ns0:c r="AD219" s="7">
        <ns0:f>IF(W219&gt;=0,A219,1001)</ns0:f>
        <ns0:v>215</ns0:v>
      </ns0:c>
      <ns0:c r="AE219" s="7">
        <ns0:f>IF(W219&lt;0,A219,0)</ns0:f>
        <ns0:v>0</ns0:v>
      </ns0:c>
      <ns0:c r="AF219" s="16">
        <ns0:f>IF(AND(OR('前提と出典'!$C$36+'前提と出典'!$C$38=0,U219&gt;=0),OR('前提と出典'!$C$37+'前提と出典'!$C$38=0,V219&gt;=0)),0,A219)</ns0:f>
        <ns0:v>0</ns0:v>
      </ns0:c>
      <ns0:c r="AG219" s="7">
        <ns0:f>IF(Z219&gt;=0,A219,1001)</ns0:f>
        <ns0:v>215</ns0:v>
      </ns0:c>
      <ns0:c r="AH219" s="4">
        <ns0:f>IF(Z219&lt;0,A219,0)</ns0:f>
        <ns0:v>0</ns0:v>
      </ns0:c>
      <ns0:c r="AI219" s="12">
        <ns0:f>IF(AND(OR('前提と出典'!$C$36+'前提と出典'!$C$38=0,X219&gt;=0),OR('前提と出典'!$C$37+'前提と出典'!$C$38=0,Y219&gt;=0)),0,A219)</ns0:f>
        <ns0:v>0</ns0:v>
      </ns0:c>
    </ns0:row>
    <ns0:row r="220" ht="24" customHeight="1">
      <ns0:c r="A220" s="4" t="n">
        <ns0:v>216</ns0:v>
      </ns0:c>
      <ns0:c r="B220" s="12">
        <ns0:f>A220*('前提と出典'!$C$36+'前提と出典'!$C$38)</ns0:f>
        <ns0:v>151.2</ns0:v>
      </ns0:c>
      <ns0:c r="C220" s="12">
        <ns0:f>A220*('前提と出典'!$C$37+'前提と出典'!$C$38)</ns0:f>
        <ns0:v>129.6</ns0:v>
      </ns0:c>
      <ns0:c r="D220" s="16">
        <ns0:f>A220*('前提と出典'!$C$36*'契約別単価'!C5+'前提と出典'!$C$37*'契約別単価'!C6+'前提と出典'!$C$38*'契約別単価'!C7)</ns0:f>
        <ns0:v>1554.2346368715084</ns0:v>
      </ns0:c>
      <ns0:c r="E220" s="16">
        <ns0:f>A220*('前提と出典'!$C$36*'契約別単価'!E5+'前提と出典'!$C$37*'契約別単価'!E6+'前提と出典'!$C$38*'契約別単価'!E7)</ns0:f>
        <ns0:v>417948.04585419106</ns0:v>
      </ns0:c>
      <ns0:c r="F220" s="16">
        <ns0:f>A220*('前提と出典'!$C$36*'契約別単価'!F5+'前提と出典'!$C$37*'契約別単価'!F6+'前提と出典'!$C$38*'契約別単価'!F7)</ns0:f>
        <ns0:v>164029.4236160652</ns0:v>
      </ns0:c>
      <ns0:c r="G220" s="16">
        <ns0:f>A220*('前提と出典'!$C$36*'契約別単価'!G5+'前提と出典'!$C$37*'契約別単価'!G6+'前提と出典'!$C$38*'契約別単価'!G7)</ns0:f>
        <ns0:v>429948.6033519553</ns0:v>
      </ns0:c>
      <ns0:c r="H220" s="16">
        <ns0:f>A220*('前提と出典'!$C$36*'契約別単価'!H5+'前提と出典'!$C$37*'契約別単価'!H6+'前提と出典'!$C$38*'契約別単価'!H7)</ns0:f>
        <ns0:v>149213.72898009597</ns0:v>
      </ns0:c>
      <ns0:c r="I220" s="16">
        <ns0:f>A220*('前提と出典'!$C$36*'契約別単価'!I5+'前提と出典'!$C$37*'契約別単価'!I6+'前提と出典'!$C$38*'契約別単価'!I7)</ns0:f>
        <ns0:v>9114.234636871506</ns0:v>
      </ns0:c>
      <ns0:c r="J220" s="16">
        <ns0:f>A220*('前提と出典'!$C$36*'契約別単価'!J5+'前提と出典'!$C$37*'契約別単価'!J6+'前提と出典'!$C$38*'契約別単価'!J7)</ns0:f>
        <ns0:v>21230.541441425354</ns0:v>
      </ns0:c>
      <ns0:c r="K220" s="16">
        <ns0:f>A220*('前提と出典'!$C$36*'契約別単価'!K5+'前提と出典'!$C$37*'契約別単価'!K6+'前提と出典'!$C$38*'契約別単価'!K7)</ns0:f>
        <ns0:v>91001.56424581005</ns0:v>
      </ns0:c>
      <ns0:c r="L220" s="16">
        <ns0:f>A220*('前提と出典'!$C$36*'契約別単価'!L5+'前提と出典'!$C$37*'契約別単価'!L6+'前提と出典'!$C$38*'契約別単価'!L7)</ns0:f>
        <ns0:v>74093.7909660032</ns0:v>
      </ns0:c>
      <ns0:c r="M220" s="16">
        <ns0:f>IF(('前提と出典'!$C$36+'前提と出典'!$C$38)=0,0,IF(B220&lt;=10,'前提と出典'!B73+'前提と出典'!C73,IF(B220&lt;=100,'前提と出典'!B74+'前提と出典'!C74,IF(B220&lt;=500,'前提と出典'!B75+'前提と出典'!C75,'前提と出典'!B76+'前提と出典'!C76))))</ns0:f>
        <ns0:v>40000</ns0:v>
      </ns0:c>
      <ns0:c r="N220" s="16">
        <ns0:f>IF(('前提と出典'!$C$37+'前提と出典'!$C$38)=0,0,IF(C220&lt;=10,'前提と出典'!D73+'前提と出典'!E73,IF(C220&lt;=100,'前提と出典'!D74+'前提と出典'!E74,IF(C220&lt;=500,'前提と出典'!D75+'前提と出典'!E75,'前提と出典'!D76+'前提と出典'!E76))))</ns0:f>
        <ns0:v>56510.9346263078</ns0:v>
      </ns0:c>
      <ns0:c r="O220" s="16">
        <ns0:f>IF('前提と出典'!$C$36+'前提と出典'!$C$38=0,0,'前提と出典'!$B$4*IF('前提と出典'!$B$20=0,MAX('前提と出典'!$B$6,D220*'前提と出典'!$B$5),'前提と出典'!$B$6+D220*'前提と出典'!$B$5))</ns0:f>
        <ns0:v>214484.3798882682</ns0:v>
      </ns0:c>
      <ns0:c r="P220" s="16">
        <ns0:f>(E220+G220)*(1-'前提と出典'!$B$7)-I220-K220-M220-O220</ns0:f>
        <ns0:v>462772.19106377533</ns0:v>
      </ns0:c>
      <ns0:c r="Q220" s="16">
        <ns0:f>(F220+H220)*(1-'前提と出典'!$B$7)-J220-L220-N220</ns0:f>
        <ns0:v>150131.13206896302</ns0:v>
      </ns0:c>
      <ns0:c r="R220" s="16">
        <ns0:f>P220-E220*'前提と出典'!$E$4</ns0:f>
        <ns0:v>337387.77730751806</ns0:v>
      </ns0:c>
      <ns0:c r="S220" s="16">
        <ns0:f>Q220-F220*'前提と出典'!$E$4</ns0:f>
        <ns0:v>100922.30498414344</ns0:v>
      </ns0:c>
      <ns0:c r="T220" s="7">
        <ns0:f>R220+S220</ns0:f>
        <ns0:v>438310.0822916615</ns0:v>
      </ns0:c>
      <ns0:c r="U220" s="16">
        <ns0:f>P220-E220*'前提と出典'!$E$5</ns0:f>
        <ns0:v>295592.97272209893</ns0:v>
      </ns0:c>
      <ns0:c r="V220" s="16">
        <ns0:f>Q220-F220*'前提と出典'!$E$5</ns0:f>
        <ns0:v>84519.36262253692</ns0:v>
      </ns0:c>
      <ns0:c r="W220" s="7">
        <ns0:f>U220+V220</ns0:f>
        <ns0:v>380112.3353446359</ns0:v>
      </ns0:c>
      <ns0:c r="X220" s="16">
        <ns0:f>P220-E220*'前提と出典'!$E$6</ns0:f>
        <ns0:v>253798.1681366798</ns0:v>
      </ns0:c>
      <ns0:c r="Y220" s="16">
        <ns0:f>Q220-F220*'前提と出典'!$E$6</ns0:f>
        <ns0:v>68116.4202609304</ns0:v>
      </ns0:c>
      <ns0:c r="Z220" s="7">
        <ns0:f>X220+Y220</ns0:f>
        <ns0:v>321914.58839761023</ns0:v>
      </ns0:c>
      <ns0:c r="AA220" s="7">
        <ns0:f>IF(T220&gt;=0,A220,1001)</ns0:f>
        <ns0:v>216</ns0:v>
      </ns0:c>
      <ns0:c r="AB220" s="7">
        <ns0:f>IF(T220&lt;0,A220,0)</ns0:f>
        <ns0:v>0</ns0:v>
      </ns0:c>
      <ns0:c r="AC220" s="16">
        <ns0:f>IF(AND(OR('前提と出典'!$C$36+'前提と出典'!$C$38=0,R220&gt;=0),OR('前提と出典'!$C$37+'前提と出典'!$C$38=0,S220&gt;=0)),0,A220)</ns0:f>
        <ns0:v>0</ns0:v>
      </ns0:c>
      <ns0:c r="AD220" s="7">
        <ns0:f>IF(W220&gt;=0,A220,1001)</ns0:f>
        <ns0:v>216</ns0:v>
      </ns0:c>
      <ns0:c r="AE220" s="7">
        <ns0:f>IF(W220&lt;0,A220,0)</ns0:f>
        <ns0:v>0</ns0:v>
      </ns0:c>
      <ns0:c r="AF220" s="16">
        <ns0:f>IF(AND(OR('前提と出典'!$C$36+'前提と出典'!$C$38=0,U220&gt;=0),OR('前提と出典'!$C$37+'前提と出典'!$C$38=0,V220&gt;=0)),0,A220)</ns0:f>
        <ns0:v>0</ns0:v>
      </ns0:c>
      <ns0:c r="AG220" s="7">
        <ns0:f>IF(Z220&gt;=0,A220,1001)</ns0:f>
        <ns0:v>216</ns0:v>
      </ns0:c>
      <ns0:c r="AH220" s="4">
        <ns0:f>IF(Z220&lt;0,A220,0)</ns0:f>
        <ns0:v>0</ns0:v>
      </ns0:c>
      <ns0:c r="AI220" s="12">
        <ns0:f>IF(AND(OR('前提と出典'!$C$36+'前提と出典'!$C$38=0,X220&gt;=0),OR('前提と出典'!$C$37+'前提と出典'!$C$38=0,Y220&gt;=0)),0,A220)</ns0:f>
        <ns0:v>0</ns0:v>
      </ns0:c>
    </ns0:row>
    <ns0:row r="221" ht="24" customHeight="1">
      <ns0:c r="A221" s="4" t="n">
        <ns0:v>217</ns0:v>
      </ns0:c>
      <ns0:c r="B221" s="12">
        <ns0:f>A221*('前提と出典'!$C$36+'前提と出典'!$C$38)</ns0:f>
        <ns0:v>151.89999999999998</ns0:v>
      </ns0:c>
      <ns0:c r="C221" s="12">
        <ns0:f>A221*('前提と出典'!$C$37+'前提と出典'!$C$38)</ns0:f>
        <ns0:v>130.2</ns0:v>
      </ns0:c>
      <ns0:c r="D221" s="16">
        <ns0:f>A221*('前提と出典'!$C$36*'契約別単価'!C5+'前提と出典'!$C$37*'契約別単価'!C6+'前提と出典'!$C$38*'契約別単価'!C7)</ns0:f>
        <ns0:v>1561.4301675977654</ns0:v>
      </ns0:c>
      <ns0:c r="E221" s="16">
        <ns0:f>A221*('前提と出典'!$C$36*'契約別単価'!E5+'前提と出典'!$C$37*'契約別単価'!E6+'前提と出典'!$C$38*'契約別単価'!E7)</ns0:f>
        <ns0:v>419882.99051092344</ns0:v>
      </ns0:c>
      <ns0:c r="F221" s="16">
        <ns0:f>A221*('前提と出典'!$C$36*'契約別単価'!F5+'前提と出典'!$C$37*'契約別単価'!F6+'前提と出典'!$C$38*'契約別単価'!F7)</ns0:f>
        <ns0:v>164788.8190957692</ns0:v>
      </ns0:c>
      <ns0:c r="G221" s="16">
        <ns0:f>A221*('前提と出典'!$C$36*'契約別単価'!G5+'前提と出典'!$C$37*'契約別単価'!G6+'前提と出典'!$C$38*'契約別単価'!G7)</ns0:f>
        <ns0:v>431939.10614525137</ns0:v>
      </ns0:c>
      <ns0:c r="H221" s="16">
        <ns0:f>A221*('前提と出典'!$C$36*'契約別単価'!H5+'前提と出典'!$C$37*'契約別単価'!H6+'前提と出典'!$C$38*'契約別単価'!H7)</ns0:f>
        <ns0:v>149904.53328092975</ns0:v>
      </ns0:c>
      <ns0:c r="I221" s="16">
        <ns0:f>A221*('前提と出典'!$C$36*'契約別単価'!I5+'前提と出典'!$C$37*'契約別単価'!I6+'前提と出典'!$C$38*'契約別単価'!I7)</ns0:f>
        <ns0:v>9156.430167597764</ns0:v>
      </ns0:c>
      <ns0:c r="J221" s="16">
        <ns0:f>A221*('前提と出典'!$C$36*'契約別単価'!J5+'前提と出典'!$C$37*'契約別単価'!J6+'前提と出典'!$C$38*'契約別単価'!J7)</ns0:f>
        <ns0:v>21328.830985135657</ns0:v>
      </ns0:c>
      <ns0:c r="K221" s="16">
        <ns0:f>A221*('前提と出典'!$C$36*'契約別単価'!K5+'前提と出典'!$C$37*'契約別単価'!K6+'前提と出典'!$C$38*'契約別単価'!K7)</ns0:f>
        <ns0:v>91422.8677839851</ns0:v>
      </ns0:c>
      <ns0:c r="L221" s="16">
        <ns0:f>A221*('前提と出典'!$C$36*'契約別単価'!L5+'前提と出典'!$C$37*'契約別単価'!L6+'前提と出典'!$C$38*'契約別単価'!L7)</ns0:f>
        <ns0:v>74436.81777603099</ns0:v>
      </ns0:c>
      <ns0:c r="M221" s="16">
        <ns0:f>IF(('前提と出典'!$C$36+'前提と出典'!$C$38)=0,0,IF(B221&lt;=10,'前提と出典'!B73+'前提と出典'!C73,IF(B221&lt;=100,'前提と出典'!B74+'前提と出典'!C74,IF(B221&lt;=500,'前提と出典'!B75+'前提と出典'!C75,'前提と出典'!B76+'前提と出典'!C76))))</ns0:f>
        <ns0:v>40000</ns0:v>
      </ns0:c>
      <ns0:c r="N221" s="16">
        <ns0:f>IF(('前提と出典'!$C$37+'前提と出典'!$C$38)=0,0,IF(C221&lt;=10,'前提と出典'!D73+'前提と出典'!E73,IF(C221&lt;=100,'前提と出典'!D74+'前提と出典'!E74,IF(C221&lt;=500,'前提と出典'!D75+'前提と出典'!E75,'前提と出典'!D76+'前提と出典'!E76))))</ns0:f>
        <ns0:v>56510.9346263078</ns0:v>
      </ns0:c>
      <ns0:c r="O221" s="16">
        <ns0:f>IF('前提と出典'!$C$36+'前提と出典'!$C$38=0,0,'前提と出典'!$B$4*IF('前提と出典'!$B$20=0,MAX('前提と出典'!$B$6,D221*'前提と出典'!$B$5),'前提と出典'!$B$6+D221*'前提と出典'!$B$5))</ns0:f>
        <ns0:v>215477.36312849162</ns0:v>
      </ns0:c>
      <ns0:c r="P221" s="16">
        <ns0:f>(E221+G221)*(1-'前提と出典'!$B$7)-I221-K221-M221-O221</ns0:f>
        <ns0:v>465099.8400964781</ns0:v>
      </ns0:c>
      <ns0:c r="Q221" s="16">
        <ns0:f>(F221+H221)*(1-'前提と出典'!$B$7)-J221-L221-N221</ns0:f>
        <ns0:v>151087.80830366336</ns0:v>
      </ns0:c>
      <ns0:c r="R221" s="16">
        <ns0:f>P221-E221*'前提と出典'!$E$4</ns0:f>
        <ns0:v>339134.9429432011</ns0:v>
      </ns0:c>
      <ns0:c r="S221" s="16">
        <ns0:f>Q221-F221*'前提と出典'!$E$4</ns0:f>
        <ns0:v>101651.16257493262</ns0:v>
      </ns0:c>
      <ns0:c r="T221" s="7">
        <ns0:f>R221+S221</ns0:f>
        <ns0:v>440786.1055181337</ns0:v>
      </ns0:c>
      <ns0:c r="U221" s="16">
        <ns0:f>P221-E221*'前提と出典'!$E$5</ns0:f>
        <ns0:v>297146.64389210875</ns0:v>
      </ns0:c>
      <ns0:c r="V221" s="16">
        <ns0:f>Q221-F221*'前提と出典'!$E$5</ns0:f>
        <ns0:v>85172.28066535568</ns0:v>
      </ns0:c>
      <ns0:c r="W221" s="7">
        <ns0:f>U221+V221</ns0:f>
        <ns0:v>382318.92455746443</ns0:v>
      </ns0:c>
      <ns0:c r="X221" s="16">
        <ns0:f>P221-E221*'前提と出典'!$E$6</ns0:f>
        <ns0:v>255158.34484101651</ns0:v>
      </ns0:c>
      <ns0:c r="Y221" s="16">
        <ns0:f>Q221-F221*'前提と出典'!$E$6</ns0:f>
        <ns0:v>68693.39875577879</ns0:v>
      </ns0:c>
      <ns0:c r="Z221" s="7">
        <ns0:f>X221+Y221</ns0:f>
        <ns0:v>323851.7435967953</ns0:v>
      </ns0:c>
      <ns0:c r="AA221" s="7">
        <ns0:f>IF(T221&gt;=0,A221,1001)</ns0:f>
        <ns0:v>217</ns0:v>
      </ns0:c>
      <ns0:c r="AB221" s="7">
        <ns0:f>IF(T221&lt;0,A221,0)</ns0:f>
        <ns0:v>0</ns0:v>
      </ns0:c>
      <ns0:c r="AC221" s="16">
        <ns0:f>IF(AND(OR('前提と出典'!$C$36+'前提と出典'!$C$38=0,R221&gt;=0),OR('前提と出典'!$C$37+'前提と出典'!$C$38=0,S221&gt;=0)),0,A221)</ns0:f>
        <ns0:v>0</ns0:v>
      </ns0:c>
      <ns0:c r="AD221" s="7">
        <ns0:f>IF(W221&gt;=0,A221,1001)</ns0:f>
        <ns0:v>217</ns0:v>
      </ns0:c>
      <ns0:c r="AE221" s="7">
        <ns0:f>IF(W221&lt;0,A221,0)</ns0:f>
        <ns0:v>0</ns0:v>
      </ns0:c>
      <ns0:c r="AF221" s="16">
        <ns0:f>IF(AND(OR('前提と出典'!$C$36+'前提と出典'!$C$38=0,U221&gt;=0),OR('前提と出典'!$C$37+'前提と出典'!$C$38=0,V221&gt;=0)),0,A221)</ns0:f>
        <ns0:v>0</ns0:v>
      </ns0:c>
      <ns0:c r="AG221" s="7">
        <ns0:f>IF(Z221&gt;=0,A221,1001)</ns0:f>
        <ns0:v>217</ns0:v>
      </ns0:c>
      <ns0:c r="AH221" s="4">
        <ns0:f>IF(Z221&lt;0,A221,0)</ns0:f>
        <ns0:v>0</ns0:v>
      </ns0:c>
      <ns0:c r="AI221" s="12">
        <ns0:f>IF(AND(OR('前提と出典'!$C$36+'前提と出典'!$C$38=0,X221&gt;=0),OR('前提と出典'!$C$37+'前提と出典'!$C$38=0,Y221&gt;=0)),0,A221)</ns0:f>
        <ns0:v>0</ns0:v>
      </ns0:c>
    </ns0:row>
    <ns0:row r="222" ht="24" customHeight="1">
      <ns0:c r="A222" s="4" t="n">
        <ns0:v>218</ns0:v>
      </ns0:c>
      <ns0:c r="B222" s="12">
        <ns0:f>A222*('前提と出典'!$C$36+'前提と出典'!$C$38)</ns0:f>
        <ns0:v>152.6</ns0:v>
      </ns0:c>
      <ns0:c r="C222" s="12">
        <ns0:f>A222*('前提と出典'!$C$37+'前提と出典'!$C$38)</ns0:f>
        <ns0:v>130.79999999999998</ns0:v>
      </ns0:c>
      <ns0:c r="D222" s="16">
        <ns0:f>A222*('前提と出典'!$C$36*'契約別単価'!C5+'前提と出典'!$C$37*'契約別単価'!C6+'前提と出典'!$C$38*'契約別単価'!C7)</ns0:f>
        <ns0:v>1568.6256983240223</ns0:v>
      </ns0:c>
      <ns0:c r="E222" s="16">
        <ns0:f>A222*('前提と出典'!$C$36*'契約別単価'!E5+'前提と出典'!$C$37*'契約別単価'!E6+'前提と出典'!$C$38*'契約別単価'!E7)</ns0:f>
        <ns0:v>421817.93516765576</ns0:v>
      </ns0:c>
      <ns0:c r="F222" s="16">
        <ns0:f>A222*('前提と出典'!$C$36*'契約別単価'!F5+'前提と出典'!$C$37*'契約別単価'!F6+'前提と出典'!$C$38*'契約別単価'!F7)</ns0:f>
        <ns0:v>165548.21457547322</ns0:v>
      </ns0:c>
      <ns0:c r="G222" s="16">
        <ns0:f>A222*('前提と出典'!$C$36*'契約別単価'!G5+'前提と出典'!$C$37*'契約別単価'!G6+'前提と出典'!$C$38*'契約別単価'!G7)</ns0:f>
        <ns0:v>433929.6089385475</ns0:v>
      </ns0:c>
      <ns0:c r="H222" s="16">
        <ns0:f>A222*('前提と出典'!$C$36*'契約別単価'!H5+'前提と出典'!$C$37*'契約別単価'!H6+'前提と出典'!$C$38*'契約別単価'!H7)</ns0:f>
        <ns0:v>150595.33758176354</ns0:v>
      </ns0:c>
      <ns0:c r="I222" s="16">
        <ns0:f>A222*('前提と出典'!$C$36*'契約別単価'!I5+'前提と出典'!$C$37*'契約別単価'!I6+'前提と出典'!$C$38*'契約別単価'!I7)</ns0:f>
        <ns0:v>9198.62569832402</ns0:v>
      </ns0:c>
      <ns0:c r="J222" s="16">
        <ns0:f>A222*('前提と出典'!$C$36*'契約別単価'!J5+'前提と出典'!$C$37*'契約別単価'!J6+'前提と出典'!$C$38*'契約別単価'!J7)</ns0:f>
        <ns0:v>21427.12052884596</ns0:v>
      </ns0:c>
      <ns0:c r="K222" s="16">
        <ns0:f>A222*('前提と出典'!$C$36*'契約別単価'!K5+'前提と出典'!$C$37*'契約別単価'!K6+'前提と出典'!$C$38*'契約別単価'!K7)</ns0:f>
        <ns0:v>91844.17132216014</ns0:v>
      </ns0:c>
      <ns0:c r="L222" s="16">
        <ns0:f>A222*('前提と出典'!$C$36*'契約別単価'!L5+'前提と出典'!$C$37*'契約別単価'!L6+'前提と出典'!$C$38*'契約別単価'!L7)</ns0:f>
        <ns0:v>74779.84458605878</ns0:v>
      </ns0:c>
      <ns0:c r="M222" s="16">
        <ns0:f>IF(('前提と出典'!$C$36+'前提と出典'!$C$38)=0,0,IF(B222&lt;=10,'前提と出典'!B73+'前提と出典'!C73,IF(B222&lt;=100,'前提と出典'!B74+'前提と出典'!C74,IF(B222&lt;=500,'前提と出典'!B75+'前提と出典'!C75,'前提と出典'!B76+'前提と出典'!C76))))</ns0:f>
        <ns0:v>40000</ns0:v>
      </ns0:c>
      <ns0:c r="N222" s="16">
        <ns0:f>IF(('前提と出典'!$C$37+'前提と出典'!$C$38)=0,0,IF(C222&lt;=10,'前提と出典'!D73+'前提と出典'!E73,IF(C222&lt;=100,'前提と出典'!D74+'前提と出典'!E74,IF(C222&lt;=500,'前提と出典'!D75+'前提と出典'!E75,'前提と出典'!D76+'前提と出典'!E76))))</ns0:f>
        <ns0:v>56510.9346263078</ns0:v>
      </ns0:c>
      <ns0:c r="O222" s="16">
        <ns0:f>IF('前提と出典'!$C$36+'前提と出典'!$C$38=0,0,'前提と出典'!$B$4*IF('前提と出典'!$B$20=0,MAX('前提と出典'!$B$6,D222*'前提と出典'!$B$5),'前提と出典'!$B$6+D222*'前提と出典'!$B$5))</ns0:f>
        <ns0:v>216470.34636871508</ns0:v>
      </ns0:c>
      <ns0:c r="P222" s="16">
        <ns0:f>(E222+G222)*(1-'前提と出典'!$B$7)-I222-K222-M222-O222</ns0:f>
        <ns0:v>467427.48912918067</ns0:v>
      </ns0:c>
      <ns0:c r="Q222" s="16">
        <ns0:f>(F222+H222)*(1-'前提と出典'!$B$7)-J222-L222-N222</ns0:f>
        <ns0:v>152044.48453836364</ns0:v>
      </ns0:c>
      <ns0:c r="R222" s="16">
        <ns0:f>P222-E222*'前提と出典'!$E$4</ns0:f>
        <ns0:v>340882.1085788839</ns0:v>
      </ns0:c>
      <ns0:c r="S222" s="16">
        <ns0:f>Q222-F222*'前提と出典'!$E$4</ns0:f>
        <ns0:v>102380.02016572168</ns0:v>
      </ns0:c>
      <ns0:c r="T222" s="7">
        <ns0:f>R222+S222</ns0:f>
        <ns0:v>443262.1287446056</ns0:v>
      </ns0:c>
      <ns0:c r="U222" s="16">
        <ns0:f>P222-E222*'前提と出典'!$E$5</ns0:f>
        <ns0:v>298700.31506211834</ns0:v>
      </ns0:c>
      <ns0:c r="V222" s="16">
        <ns0:f>Q222-F222*'前提と出典'!$E$5</ns0:f>
        <ns0:v>85825.19870817437</ns0:v>
      </ns0:c>
      <ns0:c r="W222" s="7">
        <ns0:f>U222+V222</ns0:f>
        <ns0:v>384525.51377029275</ns0:v>
      </ns0:c>
      <ns0:c r="X222" s="16">
        <ns0:f>P222-E222*'前提と出典'!$E$6</ns0:f>
        <ns0:v>256518.52154535273</ns0:v>
      </ns0:c>
      <ns0:c r="Y222" s="16">
        <ns0:f>Q222-F222*'前提と出典'!$E$6</ns0:f>
        <ns0:v>69270.37725062706</ns0:v>
      </ns0:c>
      <ns0:c r="Z222" s="7">
        <ns0:f>X222+Y222</ns0:f>
        <ns0:v>325788.8987959798</ns0:v>
      </ns0:c>
      <ns0:c r="AA222" s="7">
        <ns0:f>IF(T222&gt;=0,A222,1001)</ns0:f>
        <ns0:v>218</ns0:v>
      </ns0:c>
      <ns0:c r="AB222" s="7">
        <ns0:f>IF(T222&lt;0,A222,0)</ns0:f>
        <ns0:v>0</ns0:v>
      </ns0:c>
      <ns0:c r="AC222" s="16">
        <ns0:f>IF(AND(OR('前提と出典'!$C$36+'前提と出典'!$C$38=0,R222&gt;=0),OR('前提と出典'!$C$37+'前提と出典'!$C$38=0,S222&gt;=0)),0,A222)</ns0:f>
        <ns0:v>0</ns0:v>
      </ns0:c>
      <ns0:c r="AD222" s="7">
        <ns0:f>IF(W222&gt;=0,A222,1001)</ns0:f>
        <ns0:v>218</ns0:v>
      </ns0:c>
      <ns0:c r="AE222" s="7">
        <ns0:f>IF(W222&lt;0,A222,0)</ns0:f>
        <ns0:v>0</ns0:v>
      </ns0:c>
      <ns0:c r="AF222" s="16">
        <ns0:f>IF(AND(OR('前提と出典'!$C$36+'前提と出典'!$C$38=0,U222&gt;=0),OR('前提と出典'!$C$37+'前提と出典'!$C$38=0,V222&gt;=0)),0,A222)</ns0:f>
        <ns0:v>0</ns0:v>
      </ns0:c>
      <ns0:c r="AG222" s="7">
        <ns0:f>IF(Z222&gt;=0,A222,1001)</ns0:f>
        <ns0:v>218</ns0:v>
      </ns0:c>
      <ns0:c r="AH222" s="4">
        <ns0:f>IF(Z222&lt;0,A222,0)</ns0:f>
        <ns0:v>0</ns0:v>
      </ns0:c>
      <ns0:c r="AI222" s="12">
        <ns0:f>IF(AND(OR('前提と出典'!$C$36+'前提と出典'!$C$38=0,X222&gt;=0),OR('前提と出典'!$C$37+'前提と出典'!$C$38=0,Y222&gt;=0)),0,A222)</ns0:f>
        <ns0:v>0</ns0:v>
      </ns0:c>
    </ns0:row>
    <ns0:row r="223" ht="24" customHeight="1">
      <ns0:c r="A223" s="4" t="n">
        <ns0:v>219</ns0:v>
      </ns0:c>
      <ns0:c r="B223" s="12">
        <ns0:f>A223*('前提と出典'!$C$36+'前提と出典'!$C$38)</ns0:f>
        <ns0:v>153.29999999999998</ns0:v>
      </ns0:c>
      <ns0:c r="C223" s="12">
        <ns0:f>A223*('前提と出典'!$C$37+'前提と出典'!$C$38)</ns0:f>
        <ns0:v>131.4</ns0:v>
      </ns0:c>
      <ns0:c r="D223" s="16">
        <ns0:f>A223*('前提と出典'!$C$36*'契約別単価'!C5+'前提と出典'!$C$37*'契約別単価'!C6+'前提と出典'!$C$38*'契約別単価'!C7)</ns0:f>
        <ns0:v>1575.8212290502793</ns0:v>
      </ns0:c>
      <ns0:c r="E223" s="16">
        <ns0:f>A223*('前提と出典'!$C$36*'契約別単価'!E5+'前提と出典'!$C$37*'契約別単価'!E6+'前提と出典'!$C$38*'契約別単価'!E7)</ns0:f>
        <ns0:v>423752.87982438813</ns0:v>
      </ns0:c>
      <ns0:c r="F223" s="16">
        <ns0:f>A223*('前提と出典'!$C$36*'契約別単価'!F5+'前提と出典'!$C$37*'契約別単価'!F6+'前提と出典'!$C$38*'契約別単価'!F7)</ns0:f>
        <ns0:v>166307.6100551772</ns0:v>
      </ns0:c>
      <ns0:c r="G223" s="16">
        <ns0:f>A223*('前提と出典'!$C$36*'契約別単価'!G5+'前提と出典'!$C$37*'契約別単価'!G6+'前提と出典'!$C$38*'契約別単価'!G7)</ns0:f>
        <ns0:v>435920.11173184356</ns0:v>
      </ns0:c>
      <ns0:c r="H223" s="16">
        <ns0:f>A223*('前提と出典'!$C$36*'契約別単価'!H5+'前提と出典'!$C$37*'契約別単価'!H6+'前提と出典'!$C$38*'契約別単価'!H7)</ns0:f>
        <ns0:v>151286.14188259732</ns0:v>
      </ns0:c>
      <ns0:c r="I223" s="16">
        <ns0:f>A223*('前提と出典'!$C$36*'契約別単価'!I5+'前提と出典'!$C$37*'契約別単価'!I6+'前提と出典'!$C$38*'契約別単価'!I7)</ns0:f>
        <ns0:v>9240.821229050278</ns0:v>
      </ns0:c>
      <ns0:c r="J223" s="16">
        <ns0:f>A223*('前提と出典'!$C$36*'契約別単価'!J5+'前提と出典'!$C$37*'契約別単価'!J6+'前提と出典'!$C$38*'契約別単価'!J7)</ns0:f>
        <ns0:v>21525.410072556264</ns0:v>
      </ns0:c>
      <ns0:c r="K223" s="16">
        <ns0:f>A223*('前提と出典'!$C$36*'契約別単価'!K5+'前提と出典'!$C$37*'契約別単価'!K6+'前提と出典'!$C$38*'契約別単価'!K7)</ns0:f>
        <ns0:v>92265.47486033519</ns0:v>
      </ns0:c>
      <ns0:c r="L223" s="16">
        <ns0:f>A223*('前提と出典'!$C$36*'契約別単価'!L5+'前提と出典'!$C$37*'契約別単価'!L6+'前提と出典'!$C$38*'契約別単価'!L7)</ns0:f>
        <ns0:v>75122.87139608657</ns0:v>
      </ns0:c>
      <ns0:c r="M223" s="16">
        <ns0:f>IF(('前提と出典'!$C$36+'前提と出典'!$C$38)=0,0,IF(B223&lt;=10,'前提と出典'!B73+'前提と出典'!C73,IF(B223&lt;=100,'前提と出典'!B74+'前提と出典'!C74,IF(B223&lt;=500,'前提と出典'!B75+'前提と出典'!C75,'前提と出典'!B76+'前提と出典'!C76))))</ns0:f>
        <ns0:v>40000</ns0:v>
      </ns0:c>
      <ns0:c r="N223" s="16">
        <ns0:f>IF(('前提と出典'!$C$37+'前提と出典'!$C$38)=0,0,IF(C223&lt;=10,'前提と出典'!D73+'前提と出典'!E73,IF(C223&lt;=100,'前提と出典'!D74+'前提と出典'!E74,IF(C223&lt;=500,'前提と出典'!D75+'前提と出典'!E75,'前提と出典'!D76+'前提と出典'!E76))))</ns0:f>
        <ns0:v>56510.9346263078</ns0:v>
      </ns0:c>
      <ns0:c r="O223" s="16">
        <ns0:f>IF('前提と出典'!$C$36+'前提と出典'!$C$38=0,0,'前提と出典'!$B$4*IF('前提と出典'!$B$20=0,MAX('前提と出典'!$B$6,D223*'前提と出典'!$B$5),'前提と出典'!$B$6+D223*'前提と出典'!$B$5))</ns0:f>
        <ns0:v>217463.32960893854</ns0:v>
      </ns0:c>
      <ns0:c r="P223" s="16">
        <ns0:f>(E223+G223)*(1-'前提と出典'!$B$7)-I223-K223-M223-O223</ns0:f>
        <ns0:v>469755.1381618832</ns0:v>
      </ns0:c>
      <ns0:c r="Q223" s="16">
        <ns0:f>(F223+H223)*(1-'前提と出典'!$B$7)-J223-L223-N223</ns0:f>
        <ns0:v>153001.160773064</ns0:v>
      </ns0:c>
      <ns0:c r="R223" s="16">
        <ns0:f>P223-E223*'前提と出典'!$E$4</ns0:f>
        <ns0:v>342629.2742145668</ns0:v>
      </ns0:c>
      <ns0:c r="S223" s="16">
        <ns0:f>Q223-F223*'前提と出典'!$E$4</ns0:f>
        <ns0:v>103108.87775651086</ns0:v>
      </ns0:c>
      <ns0:c r="T223" s="7">
        <ns0:f>R223+S223</ns0:f>
        <ns0:v>445738.15197107766</ns0:v>
      </ns0:c>
      <ns0:c r="U223" s="16">
        <ns0:f>P223-E223*'前提と出典'!$E$5</ns0:f>
        <ns0:v>300253.986232128</ns0:v>
      </ns0:c>
      <ns0:c r="V223" s="16">
        <ns0:f>Q223-F223*'前提と出典'!$E$5</ns0:f>
        <ns0:v>86478.11675099313</ns0:v>
      </ns0:c>
      <ns0:c r="W223" s="7">
        <ns0:f>U223+V223</ns0:f>
        <ns0:v>386732.1029831211</ns0:v>
      </ns0:c>
      <ns0:c r="X223" s="16">
        <ns0:f>P223-E223*'前提と出典'!$E$6</ns0:f>
        <ns0:v>257878.69824968925</ns0:v>
      </ns0:c>
      <ns0:c r="Y223" s="16">
        <ns0:f>Q223-F223*'前提と出典'!$E$6</ns0:f>
        <ns0:v>69847.35574547542</ns0:v>
      </ns0:c>
      <ns0:c r="Z223" s="7">
        <ns0:f>X223+Y223</ns0:f>
        <ns0:v>327726.0539951647</ns0:v>
      </ns0:c>
      <ns0:c r="AA223" s="7">
        <ns0:f>IF(T223&gt;=0,A223,1001)</ns0:f>
        <ns0:v>219</ns0:v>
      </ns0:c>
      <ns0:c r="AB223" s="7">
        <ns0:f>IF(T223&lt;0,A223,0)</ns0:f>
        <ns0:v>0</ns0:v>
      </ns0:c>
      <ns0:c r="AC223" s="16">
        <ns0:f>IF(AND(OR('前提と出典'!$C$36+'前提と出典'!$C$38=0,R223&gt;=0),OR('前提と出典'!$C$37+'前提と出典'!$C$38=0,S223&gt;=0)),0,A223)</ns0:f>
        <ns0:v>0</ns0:v>
      </ns0:c>
      <ns0:c r="AD223" s="7">
        <ns0:f>IF(W223&gt;=0,A223,1001)</ns0:f>
        <ns0:v>219</ns0:v>
      </ns0:c>
      <ns0:c r="AE223" s="7">
        <ns0:f>IF(W223&lt;0,A223,0)</ns0:f>
        <ns0:v>0</ns0:v>
      </ns0:c>
      <ns0:c r="AF223" s="16">
        <ns0:f>IF(AND(OR('前提と出典'!$C$36+'前提と出典'!$C$38=0,U223&gt;=0),OR('前提と出典'!$C$37+'前提と出典'!$C$38=0,V223&gt;=0)),0,A223)</ns0:f>
        <ns0:v>0</ns0:v>
      </ns0:c>
      <ns0:c r="AG223" s="7">
        <ns0:f>IF(Z223&gt;=0,A223,1001)</ns0:f>
        <ns0:v>219</ns0:v>
      </ns0:c>
      <ns0:c r="AH223" s="4">
        <ns0:f>IF(Z223&lt;0,A223,0)</ns0:f>
        <ns0:v>0</ns0:v>
      </ns0:c>
      <ns0:c r="AI223" s="12">
        <ns0:f>IF(AND(OR('前提と出典'!$C$36+'前提と出典'!$C$38=0,X223&gt;=0),OR('前提と出典'!$C$37+'前提と出典'!$C$38=0,Y223&gt;=0)),0,A223)</ns0:f>
        <ns0:v>0</ns0:v>
      </ns0:c>
    </ns0:row>
    <ns0:row r="224" ht="24" customHeight="1">
      <ns0:c r="A224" s="4" t="n">
        <ns0:v>220</ns0:v>
      </ns0:c>
      <ns0:c r="B224" s="12">
        <ns0:f>A224*('前提と出典'!$C$36+'前提と出典'!$C$38)</ns0:f>
        <ns0:v>154</ns0:v>
      </ns0:c>
      <ns0:c r="C224" s="12">
        <ns0:f>A224*('前提と出典'!$C$37+'前提と出典'!$C$38)</ns0:f>
        <ns0:v>132</ns0:v>
      </ns0:c>
      <ns0:c r="D224" s="16">
        <ns0:f>A224*('前提と出典'!$C$36*'契約別単価'!C5+'前提と出典'!$C$37*'契約別単価'!C6+'前提と出典'!$C$38*'契約別単価'!C7)</ns0:f>
        <ns0:v>1583.0167597765362</ns0:v>
      </ns0:c>
      <ns0:c r="E224" s="16">
        <ns0:f>A224*('前提と出典'!$C$36*'契約別単価'!E5+'前提と出典'!$C$37*'契約別単価'!E6+'前提と出典'!$C$38*'契約別単価'!E7)</ns0:f>
        <ns0:v>425687.8244811205</ns0:v>
      </ns0:c>
      <ns0:c r="F224" s="16">
        <ns0:f>A224*('前提と出典'!$C$36*'契約別単価'!F5+'前提と出典'!$C$37*'契約別単価'!F6+'前提と出典'!$C$38*'契約別単価'!F7)</ns0:f>
        <ns0:v>167067.00553488123</ns0:v>
      </ns0:c>
      <ns0:c r="G224" s="16">
        <ns0:f>A224*('前提と出典'!$C$36*'契約別単価'!G5+'前提と出典'!$C$37*'契約別単価'!G6+'前提と出典'!$C$38*'契約別単価'!G7)</ns0:f>
        <ns0:v>437910.6145251396</ns0:v>
      </ns0:c>
      <ns0:c r="H224" s="16">
        <ns0:f>A224*('前提と出典'!$C$36*'契約別単価'!H5+'前提と出典'!$C$37*'契約別単価'!H6+'前提と出典'!$C$38*'契約別単価'!H7)</ns0:f>
        <ns0:v>151976.94618343108</ns0:v>
      </ns0:c>
      <ns0:c r="I224" s="16">
        <ns0:f>A224*('前提と出典'!$C$36*'契約別単価'!I5+'前提と出典'!$C$37*'契約別単価'!I6+'前提と出典'!$C$38*'契約別単価'!I7)</ns0:f>
        <ns0:v>9283.016759776534</ns0:v>
      </ns0:c>
      <ns0:c r="J224" s="16">
        <ns0:f>A224*('前提と出典'!$C$36*'契約別単価'!J5+'前提と出典'!$C$37*'契約別単価'!J6+'前提と出典'!$C$38*'契約別単価'!J7)</ns0:f>
        <ns0:v>21623.699616266564</ns0:v>
      </ns0:c>
      <ns0:c r="K224" s="16">
        <ns0:f>A224*('前提と出典'!$C$36*'契約別単価'!K5+'前提と出典'!$C$37*'契約別単価'!K6+'前提と出典'!$C$38*'契約別単価'!K7)</ns0:f>
        <ns0:v>92686.77839851023</ns0:v>
      </ns0:c>
      <ns0:c r="L224" s="16">
        <ns0:f>A224*('前提と出典'!$C$36*'契約別単価'!L5+'前提と出典'!$C$37*'契約別単価'!L6+'前提と出典'!$C$38*'契約別単価'!L7)</ns0:f>
        <ns0:v>75465.89820611436</ns0:v>
      </ns0:c>
      <ns0:c r="M224" s="16">
        <ns0:f>IF(('前提と出典'!$C$36+'前提と出典'!$C$38)=0,0,IF(B224&lt;=10,'前提と出典'!B73+'前提と出典'!C73,IF(B224&lt;=100,'前提と出典'!B74+'前提と出典'!C74,IF(B224&lt;=500,'前提と出典'!B75+'前提と出典'!C75,'前提と出典'!B76+'前提と出典'!C76))))</ns0:f>
        <ns0:v>40000</ns0:v>
      </ns0:c>
      <ns0:c r="N224" s="16">
        <ns0:f>IF(('前提と出典'!$C$37+'前提と出典'!$C$38)=0,0,IF(C224&lt;=10,'前提と出典'!D73+'前提と出典'!E73,IF(C224&lt;=100,'前提と出典'!D74+'前提と出典'!E74,IF(C224&lt;=500,'前提と出典'!D75+'前提と出典'!E75,'前提と出典'!D76+'前提と出典'!E76))))</ns0:f>
        <ns0:v>56510.9346263078</ns0:v>
      </ns0:c>
      <ns0:c r="O224" s="16">
        <ns0:f>IF('前提と出典'!$C$36+'前提と出典'!$C$38=0,0,'前提と出典'!$B$4*IF('前提と出典'!$B$20=0,MAX('前提と出典'!$B$6,D224*'前提と出典'!$B$5),'前提と出典'!$B$6+D224*'前提と出典'!$B$5))</ns0:f>
        <ns0:v>218456.312849162</ns0:v>
      </ns0:c>
      <ns0:c r="P224" s="16">
        <ns0:f>(E224+G224)*(1-'前提と出典'!$B$7)-I224-K224-M224-O224</ns0:f>
        <ns0:v>472082.787194586</ns0:v>
      </ns0:c>
      <ns0:c r="Q224" s="16">
        <ns0:f>(F224+H224)*(1-'前提と出典'!$B$7)-J224-L224-N224</ns0:f>
        <ns0:v>153957.83700776438</ns0:v>
      </ns0:c>
      <ns0:c r="R224" s="16">
        <ns0:f>P224-E224*'前提と出典'!$E$4</ns0:f>
        <ns0:v>344376.4398502499</ns0:v>
      </ns0:c>
      <ns0:c r="S224" s="16">
        <ns0:f>Q224-F224*'前提と出典'!$E$4</ns0:f>
        <ns0:v>103837.73534730001</ns0:v>
      </ns0:c>
      <ns0:c r="T224" s="7">
        <ns0:f>R224+S224</ns0:f>
        <ns0:v>448214.1751975499</ns0:v>
      </ns0:c>
      <ns0:c r="U224" s="16">
        <ns0:f>P224-E224*'前提と出典'!$E$5</ns0:f>
        <ns0:v>301807.65740213776</ns0:v>
      </ns0:c>
      <ns0:c r="V224" s="16">
        <ns0:f>Q224-F224*'前提と出典'!$E$5</ns0:f>
        <ns0:v>87131.03479381188</ns0:v>
      </ns0:c>
      <ns0:c r="W224" s="7">
        <ns0:f>U224+V224</ns0:f>
        <ns0:v>388938.6921959496</ns0:v>
      </ns0:c>
      <ns0:c r="X224" s="16">
        <ns0:f>P224-E224*'前提と出典'!$E$6</ns0:f>
        <ns0:v>259238.8749540257</ns0:v>
      </ns0:c>
      <ns0:c r="Y224" s="16">
        <ns0:f>Q224-F224*'前提と出典'!$E$6</ns0:f>
        <ns0:v>70424.33424032375</ns0:v>
      </ns0:c>
      <ns0:c r="Z224" s="7">
        <ns0:f>X224+Y224</ns0:f>
        <ns0:v>329663.2091943495</ns0:v>
      </ns0:c>
      <ns0:c r="AA224" s="7">
        <ns0:f>IF(T224&gt;=0,A224,1001)</ns0:f>
        <ns0:v>220</ns0:v>
      </ns0:c>
      <ns0:c r="AB224" s="7">
        <ns0:f>IF(T224&lt;0,A224,0)</ns0:f>
        <ns0:v>0</ns0:v>
      </ns0:c>
      <ns0:c r="AC224" s="16">
        <ns0:f>IF(AND(OR('前提と出典'!$C$36+'前提と出典'!$C$38=0,R224&gt;=0),OR('前提と出典'!$C$37+'前提と出典'!$C$38=0,S224&gt;=0)),0,A224)</ns0:f>
        <ns0:v>0</ns0:v>
      </ns0:c>
      <ns0:c r="AD224" s="7">
        <ns0:f>IF(W224&gt;=0,A224,1001)</ns0:f>
        <ns0:v>220</ns0:v>
      </ns0:c>
      <ns0:c r="AE224" s="7">
        <ns0:f>IF(W224&lt;0,A224,0)</ns0:f>
        <ns0:v>0</ns0:v>
      </ns0:c>
      <ns0:c r="AF224" s="16">
        <ns0:f>IF(AND(OR('前提と出典'!$C$36+'前提と出典'!$C$38=0,U224&gt;=0),OR('前提と出典'!$C$37+'前提と出典'!$C$38=0,V224&gt;=0)),0,A224)</ns0:f>
        <ns0:v>0</ns0:v>
      </ns0:c>
      <ns0:c r="AG224" s="7">
        <ns0:f>IF(Z224&gt;=0,A224,1001)</ns0:f>
        <ns0:v>220</ns0:v>
      </ns0:c>
      <ns0:c r="AH224" s="4">
        <ns0:f>IF(Z224&lt;0,A224,0)</ns0:f>
        <ns0:v>0</ns0:v>
      </ns0:c>
      <ns0:c r="AI224" s="12">
        <ns0:f>IF(AND(OR('前提と出典'!$C$36+'前提と出典'!$C$38=0,X224&gt;=0),OR('前提と出典'!$C$37+'前提と出典'!$C$38=0,Y224&gt;=0)),0,A224)</ns0:f>
        <ns0:v>0</ns0:v>
      </ns0:c>
    </ns0:row>
    <ns0:row r="225" ht="24" customHeight="1">
      <ns0:c r="A225" s="4" t="n">
        <ns0:v>221</ns0:v>
      </ns0:c>
      <ns0:c r="B225" s="12">
        <ns0:f>A225*('前提と出典'!$C$36+'前提と出典'!$C$38)</ns0:f>
        <ns0:v>154.7</ns0:v>
      </ns0:c>
      <ns0:c r="C225" s="12">
        <ns0:f>A225*('前提と出典'!$C$37+'前提と出典'!$C$38)</ns0:f>
        <ns0:v>132.6</ns0:v>
      </ns0:c>
      <ns0:c r="D225" s="16">
        <ns0:f>A225*('前提と出典'!$C$36*'契約別単価'!C5+'前提と出典'!$C$37*'契約別単価'!C6+'前提と出典'!$C$38*'契約別単価'!C7)</ns0:f>
        <ns0:v>1590.2122905027934</ns0:v>
      </ns0:c>
      <ns0:c r="E225" s="16">
        <ns0:f>A225*('前提と出典'!$C$36*'契約別単価'!E5+'前提と出典'!$C$37*'契約別単価'!E6+'前提と出典'!$C$38*'契約別単価'!E7)</ns0:f>
        <ns0:v>427622.7691378529</ns0:v>
      </ns0:c>
      <ns0:c r="F225" s="16">
        <ns0:f>A225*('前提と出典'!$C$36*'契約別単価'!F5+'前提と出典'!$C$37*'契約別単価'!F6+'前提と出典'!$C$38*'契約別単価'!F7)</ns0:f>
        <ns0:v>167826.40101458522</ns0:v>
      </ns0:c>
      <ns0:c r="G225" s="16">
        <ns0:f>A225*('前提と出典'!$C$36*'契約別単価'!G5+'前提と出典'!$C$37*'契約別単価'!G6+'前提と出典'!$C$38*'契約別単価'!G7)</ns0:f>
        <ns0:v>439901.11731843575</ns0:v>
      </ns0:c>
      <ns0:c r="H225" s="16">
        <ns0:f>A225*('前提と出典'!$C$36*'契約別単価'!H5+'前提と出典'!$C$37*'契約別単価'!H6+'前提と出典'!$C$38*'契約別単価'!H7)</ns0:f>
        <ns0:v>152667.75048426486</ns0:v>
      </ns0:c>
      <ns0:c r="I225" s="16">
        <ns0:f>A225*('前提と出典'!$C$36*'契約別単価'!I5+'前提と出典'!$C$37*'契約別単価'!I6+'前提と出典'!$C$38*'契約別単価'!I7)</ns0:f>
        <ns0:v>9325.212290502792</ns0:v>
      </ns0:c>
      <ns0:c r="J225" s="16">
        <ns0:f>A225*('前提と出典'!$C$36*'契約別単価'!J5+'前提と出典'!$C$37*'契約別単価'!J6+'前提と出典'!$C$38*'契約別単価'!J7)</ns0:f>
        <ns0:v>21721.989159976867</ns0:v>
      </ns0:c>
      <ns0:c r="K225" s="16">
        <ns0:f>A225*('前提と出典'!$C$36*'契約別単価'!K5+'前提と出典'!$C$37*'契約別単価'!K6+'前提と出典'!$C$38*'契約別単価'!K7)</ns0:f>
        <ns0:v>93108.08193668528</ns0:v>
      </ns0:c>
      <ns0:c r="L225" s="16">
        <ns0:f>A225*('前提と出典'!$C$36*'契約別単価'!L5+'前提と出典'!$C$37*'契約別単価'!L6+'前提と出典'!$C$38*'契約別単価'!L7)</ns0:f>
        <ns0:v>75808.92501614217</ns0:v>
      </ns0:c>
      <ns0:c r="M225" s="16">
        <ns0:f>IF(('前提と出典'!$C$36+'前提と出典'!$C$38)=0,0,IF(B225&lt;=10,'前提と出典'!B73+'前提と出典'!C73,IF(B225&lt;=100,'前提と出典'!B74+'前提と出典'!C74,IF(B225&lt;=500,'前提と出典'!B75+'前提と出典'!C75,'前提と出典'!B76+'前提と出典'!C76))))</ns0:f>
        <ns0:v>40000</ns0:v>
      </ns0:c>
      <ns0:c r="N225" s="16">
        <ns0:f>IF(('前提と出典'!$C$37+'前提と出典'!$C$38)=0,0,IF(C225&lt;=10,'前提と出典'!D73+'前提と出典'!E73,IF(C225&lt;=100,'前提と出典'!D74+'前提と出典'!E74,IF(C225&lt;=500,'前提と出典'!D75+'前提と出典'!E75,'前提と出典'!D76+'前提と出典'!E76))))</ns0:f>
        <ns0:v>56510.9346263078</ns0:v>
      </ns0:c>
      <ns0:c r="O225" s="16">
        <ns0:f>IF('前提と出典'!$C$36+'前提と出典'!$C$38=0,0,'前提と出典'!$B$4*IF('前提と出典'!$B$20=0,MAX('前提と出典'!$B$6,D225*'前提と出典'!$B$5),'前提と出典'!$B$6+D225*'前提と出典'!$B$5))</ns0:f>
        <ns0:v>219449.2960893855</ns0:v>
      </ns0:c>
      <ns0:c r="P225" s="16">
        <ns0:f>(E225+G225)*(1-'前提と出典'!$B$7)-I225-K225-M225-O225</ns0:f>
        <ns0:v>474410.4362272887</ns0:v>
      </ns0:c>
      <ns0:c r="Q225" s="16">
        <ns0:f>(F225+H225)*(1-'前提と出典'!$B$7)-J225-L225-N225</ns0:f>
        <ns0:v>154914.51324246463</ns0:v>
      </ns0:c>
      <ns0:c r="R225" s="16">
        <ns0:f>P225-E225*'前提と出典'!$E$4</ns0:f>
        <ns0:v>346123.6054859328</ns0:v>
      </ns0:c>
      <ns0:c r="S225" s="16">
        <ns0:f>Q225-F225*'前提と出典'!$E$4</ns0:f>
        <ns0:v>104566.59293808907</ns0:v>
      </ns0:c>
      <ns0:c r="T225" s="7">
        <ns0:f>R225+S225</ns0:f>
        <ns0:v>450690.19842402183</ns0:v>
      </ns0:c>
      <ns0:c r="U225" s="16">
        <ns0:f>P225-E225*'前提と出典'!$E$5</ns0:f>
        <ns0:v>303361.3285721475</ns0:v>
      </ns0:c>
      <ns0:c r="V225" s="16">
        <ns0:f>Q225-F225*'前提と出典'!$E$5</ns0:f>
        <ns0:v>87783.95283663055</ns0:v>
      </ns0:c>
      <ns0:c r="W225" s="7">
        <ns0:f>U225+V225</ns0:f>
        <ns0:v>391145.28140877804</ns0:v>
      </ns0:c>
      <ns0:c r="X225" s="16">
        <ns0:f>P225-E225*'前提と出典'!$E$6</ns0:f>
        <ns0:v>260599.0516583623</ns0:v>
      </ns0:c>
      <ns0:c r="Y225" s="16">
        <ns0:f>Q225-F225*'前提と出典'!$E$6</ns0:f>
        <ns0:v>71001.31273517205</ns0:v>
      </ns0:c>
      <ns0:c r="Z225" s="7">
        <ns0:f>X225+Y225</ns0:f>
        <ns0:v>331600.3643935344</ns0:v>
      </ns0:c>
      <ns0:c r="AA225" s="7">
        <ns0:f>IF(T225&gt;=0,A225,1001)</ns0:f>
        <ns0:v>221</ns0:v>
      </ns0:c>
      <ns0:c r="AB225" s="7">
        <ns0:f>IF(T225&lt;0,A225,0)</ns0:f>
        <ns0:v>0</ns0:v>
      </ns0:c>
      <ns0:c r="AC225" s="16">
        <ns0:f>IF(AND(OR('前提と出典'!$C$36+'前提と出典'!$C$38=0,R225&gt;=0),OR('前提と出典'!$C$37+'前提と出典'!$C$38=0,S225&gt;=0)),0,A225)</ns0:f>
        <ns0:v>0</ns0:v>
      </ns0:c>
      <ns0:c r="AD225" s="7">
        <ns0:f>IF(W225&gt;=0,A225,1001)</ns0:f>
        <ns0:v>221</ns0:v>
      </ns0:c>
      <ns0:c r="AE225" s="7">
        <ns0:f>IF(W225&lt;0,A225,0)</ns0:f>
        <ns0:v>0</ns0:v>
      </ns0:c>
      <ns0:c r="AF225" s="16">
        <ns0:f>IF(AND(OR('前提と出典'!$C$36+'前提と出典'!$C$38=0,U225&gt;=0),OR('前提と出典'!$C$37+'前提と出典'!$C$38=0,V225&gt;=0)),0,A225)</ns0:f>
        <ns0:v>0</ns0:v>
      </ns0:c>
      <ns0:c r="AG225" s="7">
        <ns0:f>IF(Z225&gt;=0,A225,1001)</ns0:f>
        <ns0:v>221</ns0:v>
      </ns0:c>
      <ns0:c r="AH225" s="4">
        <ns0:f>IF(Z225&lt;0,A225,0)</ns0:f>
        <ns0:v>0</ns0:v>
      </ns0:c>
      <ns0:c r="AI225" s="12">
        <ns0:f>IF(AND(OR('前提と出典'!$C$36+'前提と出典'!$C$38=0,X225&gt;=0),OR('前提と出典'!$C$37+'前提と出典'!$C$38=0,Y225&gt;=0)),0,A225)</ns0:f>
        <ns0:v>0</ns0:v>
      </ns0:c>
    </ns0:row>
    <ns0:row r="226" ht="24" customHeight="1">
      <ns0:c r="A226" s="4" t="n">
        <ns0:v>222</ns0:v>
      </ns0:c>
      <ns0:c r="B226" s="12">
        <ns0:f>A226*('前提と出典'!$C$36+'前提と出典'!$C$38)</ns0:f>
        <ns0:v>155.39999999999998</ns0:v>
      </ns0:c>
      <ns0:c r="C226" s="12">
        <ns0:f>A226*('前提と出典'!$C$37+'前提と出典'!$C$38)</ns0:f>
        <ns0:v>133.2</ns0:v>
      </ns0:c>
      <ns0:c r="D226" s="16">
        <ns0:f>A226*('前提と出典'!$C$36*'契約別単価'!C5+'前提と出典'!$C$37*'契約別単価'!C6+'前提と出典'!$C$38*'契約別単価'!C7)</ns0:f>
        <ns0:v>1597.4078212290503</ns0:v>
      </ns0:c>
      <ns0:c r="E226" s="16">
        <ns0:f>A226*('前提と出典'!$C$36*'契約別単価'!E5+'前提と出典'!$C$37*'契約別単価'!E6+'前提と出典'!$C$38*'契約別単価'!E7)</ns0:f>
        <ns0:v>429557.71379458526</ns0:v>
      </ns0:c>
      <ns0:c r="F226" s="16">
        <ns0:f>A226*('前提と出典'!$C$36*'契約別単価'!F5+'前提と出典'!$C$37*'契約別単価'!F6+'前提と出典'!$C$38*'契約別単価'!F7)</ns0:f>
        <ns0:v>168585.79649428924</ns0:v>
      </ns0:c>
      <ns0:c r="G226" s="16">
        <ns0:f>A226*('前提と出典'!$C$36*'契約別単価'!G5+'前提と出典'!$C$37*'契約別単価'!G6+'前提と出典'!$C$38*'契約別単価'!G7)</ns0:f>
        <ns0:v>441891.6201117318</ns0:v>
      </ns0:c>
      <ns0:c r="H226" s="16">
        <ns0:f>A226*('前提と出典'!$C$36*'契約別単価'!H5+'前提と出典'!$C$37*'契約別単価'!H6+'前提と出典'!$C$38*'契約別単価'!H7)</ns0:f>
        <ns0:v>153358.55478509865</ns0:v>
      </ns0:c>
      <ns0:c r="I226" s="16">
        <ns0:f>A226*('前提と出典'!$C$36*'契約別単価'!I5+'前提と出典'!$C$37*'契約別単価'!I6+'前提と出典'!$C$38*'契約別単価'!I7)</ns0:f>
        <ns0:v>9367.407821229048</ns0:v>
      </ns0:c>
      <ns0:c r="J226" s="16">
        <ns0:f>A226*('前提と出典'!$C$36*'契約別単価'!J5+'前提と出典'!$C$37*'契約別単価'!J6+'前提と出典'!$C$38*'契約別単価'!J7)</ns0:f>
        <ns0:v>21820.27870368717</ns0:v>
      </ns0:c>
      <ns0:c r="K226" s="16">
        <ns0:f>A226*('前提と出典'!$C$36*'契約別単価'!K5+'前提と出典'!$C$37*'契約別単価'!K6+'前提と出典'!$C$38*'契約別単価'!K7)</ns0:f>
        <ns0:v>93529.38547486033</ns0:v>
      </ns0:c>
      <ns0:c r="L226" s="16">
        <ns0:f>A226*('前提と出典'!$C$36*'契約別単価'!L5+'前提と出典'!$C$37*'契約別単価'!L6+'前提と出典'!$C$38*'契約別単価'!L7)</ns0:f>
        <ns0:v>76151.95182616996</ns0:v>
      </ns0:c>
      <ns0:c r="M226" s="16">
        <ns0:f>IF(('前提と出典'!$C$36+'前提と出典'!$C$38)=0,0,IF(B226&lt;=10,'前提と出典'!B73+'前提と出典'!C73,IF(B226&lt;=100,'前提と出典'!B74+'前提と出典'!C74,IF(B226&lt;=500,'前提と出典'!B75+'前提と出典'!C75,'前提と出典'!B76+'前提と出典'!C76))))</ns0:f>
        <ns0:v>40000</ns0:v>
      </ns0:c>
      <ns0:c r="N226" s="16">
        <ns0:f>IF(('前提と出典'!$C$37+'前提と出典'!$C$38)=0,0,IF(C226&lt;=10,'前提と出典'!D73+'前提と出典'!E73,IF(C226&lt;=100,'前提と出典'!D74+'前提と出典'!E74,IF(C226&lt;=500,'前提と出典'!D75+'前提と出典'!E75,'前提と出典'!D76+'前提と出典'!E76))))</ns0:f>
        <ns0:v>56510.9346263078</ns0:v>
      </ns0:c>
      <ns0:c r="O226" s="16">
        <ns0:f>IF('前提と出典'!$C$36+'前提と出典'!$C$38=0,0,'前提と出典'!$B$4*IF('前提と出典'!$B$20=0,MAX('前提と出典'!$B$6,D226*'前提と出典'!$B$5),'前提と出典'!$B$6+D226*'前提と出典'!$B$5))</ns0:f>
        <ns0:v>220442.27932960895</ns0:v>
      </ns0:c>
      <ns0:c r="P226" s="16">
        <ns0:f>(E226+G226)*(1-'前提と出典'!$B$7)-I226-K226-M226-O226</ns0:f>
        <ns0:v>476738.08525999135</ns0:v>
      </ns0:c>
      <ns0:c r="Q226" s="16">
        <ns0:f>(F226+H226)*(1-'前提と出典'!$B$7)-J226-L226-N226</ns0:f>
        <ns0:v>155871.189477165</ns0:v>
      </ns0:c>
      <ns0:c r="R226" s="16">
        <ns0:f>P226-E226*'前提と出典'!$E$4</ns0:f>
        <ns0:v>347870.77112161583</ns0:v>
      </ns0:c>
      <ns0:c r="S226" s="16">
        <ns0:f>Q226-F226*'前提と出典'!$E$4</ns0:f>
        <ns0:v>105295.4505288782</ns0:v>
      </ns0:c>
      <ns0:c r="T226" s="7">
        <ns0:f>R226+S226</ns0:f>
        <ns0:v>453166.22165049403</ns0:v>
      </ns0:c>
      <ns0:c r="U226" s="16">
        <ns0:f>P226-E226*'前提と出典'!$E$5</ns0:f>
        <ns0:v>304914.99974215723</ns0:v>
      </ns0:c>
      <ns0:c r="V226" s="16">
        <ns0:f>Q226-F226*'前提と出典'!$E$5</ns0:f>
        <ns0:v>88436.8708794493</ns0:v>
      </ns0:c>
      <ns0:c r="W226" s="7">
        <ns0:f>U226+V226</ns0:f>
        <ns0:v>393351.87062160653</ns0:v>
      </ns0:c>
      <ns0:c r="X226" s="16">
        <ns0:f>P226-E226*'前提と出典'!$E$6</ns0:f>
        <ns0:v>261959.22836269875</ns0:v>
      </ns0:c>
      <ns0:c r="Y226" s="16">
        <ns0:f>Q226-F226*'前提と出典'!$E$6</ns0:f>
        <ns0:v>71578.2912300204</ns0:v>
      </ns0:c>
      <ns0:c r="Z226" s="7">
        <ns0:f>X226+Y226</ns0:f>
        <ns0:v>333537.51959271915</ns0:v>
      </ns0:c>
      <ns0:c r="AA226" s="7">
        <ns0:f>IF(T226&gt;=0,A226,1001)</ns0:f>
        <ns0:v>222</ns0:v>
      </ns0:c>
      <ns0:c r="AB226" s="7">
        <ns0:f>IF(T226&lt;0,A226,0)</ns0:f>
        <ns0:v>0</ns0:v>
      </ns0:c>
      <ns0:c r="AC226" s="16">
        <ns0:f>IF(AND(OR('前提と出典'!$C$36+'前提と出典'!$C$38=0,R226&gt;=0),OR('前提と出典'!$C$37+'前提と出典'!$C$38=0,S226&gt;=0)),0,A226)</ns0:f>
        <ns0:v>0</ns0:v>
      </ns0:c>
      <ns0:c r="AD226" s="7">
        <ns0:f>IF(W226&gt;=0,A226,1001)</ns0:f>
        <ns0:v>222</ns0:v>
      </ns0:c>
      <ns0:c r="AE226" s="7">
        <ns0:f>IF(W226&lt;0,A226,0)</ns0:f>
        <ns0:v>0</ns0:v>
      </ns0:c>
      <ns0:c r="AF226" s="16">
        <ns0:f>IF(AND(OR('前提と出典'!$C$36+'前提と出典'!$C$38=0,U226&gt;=0),OR('前提と出典'!$C$37+'前提と出典'!$C$38=0,V226&gt;=0)),0,A226)</ns0:f>
        <ns0:v>0</ns0:v>
      </ns0:c>
      <ns0:c r="AG226" s="7">
        <ns0:f>IF(Z226&gt;=0,A226,1001)</ns0:f>
        <ns0:v>222</ns0:v>
      </ns0:c>
      <ns0:c r="AH226" s="4">
        <ns0:f>IF(Z226&lt;0,A226,0)</ns0:f>
        <ns0:v>0</ns0:v>
      </ns0:c>
      <ns0:c r="AI226" s="12">
        <ns0:f>IF(AND(OR('前提と出典'!$C$36+'前提と出典'!$C$38=0,X226&gt;=0),OR('前提と出典'!$C$37+'前提と出典'!$C$38=0,Y226&gt;=0)),0,A226)</ns0:f>
        <ns0:v>0</ns0:v>
      </ns0:c>
    </ns0:row>
    <ns0:row r="227" ht="24" customHeight="1">
      <ns0:c r="A227" s="4" t="n">
        <ns0:v>223</ns0:v>
      </ns0:c>
      <ns0:c r="B227" s="12">
        <ns0:f>A227*('前提と出典'!$C$36+'前提と出典'!$C$38)</ns0:f>
        <ns0:v>156.1</ns0:v>
      </ns0:c>
      <ns0:c r="C227" s="12">
        <ns0:f>A227*('前提と出典'!$C$37+'前提と出典'!$C$38)</ns0:f>
        <ns0:v>133.79999999999998</ns0:v>
      </ns0:c>
      <ns0:c r="D227" s="16">
        <ns0:f>A227*('前提と出典'!$C$36*'契約別単価'!C5+'前提と出典'!$C$37*'契約別単価'!C6+'前提と出典'!$C$38*'契約別単価'!C7)</ns0:f>
        <ns0:v>1604.6033519553073</ns0:v>
      </ns0:c>
      <ns0:c r="E227" s="16">
        <ns0:f>A227*('前提と出典'!$C$36*'契約別単価'!E5+'前提と出典'!$C$37*'契約別単価'!E6+'前提と出典'!$C$38*'契約別単価'!E7)</ns0:f>
        <ns0:v>431492.65845131763</ns0:v>
      </ns0:c>
      <ns0:c r="F227" s="16">
        <ns0:f>A227*('前提と出典'!$C$36*'契約別単価'!F5+'前提と出典'!$C$37*'契約別単価'!F6+'前提と出典'!$C$38*'契約別単価'!F7)</ns0:f>
        <ns0:v>169345.19197399323</ns0:v>
      </ns0:c>
      <ns0:c r="G227" s="16">
        <ns0:f>A227*('前提と出典'!$C$36*'契約別単価'!G5+'前提と出典'!$C$37*'契約別単価'!G6+'前提と出典'!$C$38*'契約別単価'!G7)</ns0:f>
        <ns0:v>443882.12290502794</ns0:v>
      </ns0:c>
      <ns0:c r="H227" s="16">
        <ns0:f>A227*('前提と出典'!$C$36*'契約別単価'!H5+'前提と出典'!$C$37*'契約別単価'!H6+'前提と出典'!$C$38*'契約別単価'!H7)</ns0:f>
        <ns0:v>154049.35908593243</ns0:v>
      </ns0:c>
      <ns0:c r="I227" s="16">
        <ns0:f>A227*('前提と出典'!$C$36*'契約別単価'!I5+'前提と出典'!$C$37*'契約別単価'!I6+'前提と出典'!$C$38*'契約別単価'!I7)</ns0:f>
        <ns0:v>9409.603351955306</ns0:v>
      </ns0:c>
      <ns0:c r="J227" s="16">
        <ns0:f>A227*('前提と出典'!$C$36*'契約別単価'!J5+'前提と出典'!$C$37*'契約別単価'!J6+'前提と出典'!$C$38*'契約別単価'!J7)</ns0:f>
        <ns0:v>21918.568247397474</ns0:v>
      </ns0:c>
      <ns0:c r="K227" s="16">
        <ns0:f>A227*('前提と出典'!$C$36*'契約別単価'!K5+'前提と出典'!$C$37*'契約別単価'!K6+'前提と出典'!$C$38*'契約別単価'!K7)</ns0:f>
        <ns0:v>93950.68901303537</ns0:v>
      </ns0:c>
      <ns0:c r="L227" s="16">
        <ns0:f>A227*('前提と出典'!$C$36*'契約別単価'!L5+'前提と出典'!$C$37*'契約別単価'!L6+'前提と出典'!$C$38*'契約別単価'!L7)</ns0:f>
        <ns0:v>76494.97863619775</ns0:v>
      </ns0:c>
      <ns0:c r="M227" s="16">
        <ns0:f>IF(('前提と出典'!$C$36+'前提と出典'!$C$38)=0,0,IF(B227&lt;=10,'前提と出典'!B73+'前提と出典'!C73,IF(B227&lt;=100,'前提と出典'!B74+'前提と出典'!C74,IF(B227&lt;=500,'前提と出典'!B75+'前提と出典'!C75,'前提と出典'!B76+'前提と出典'!C76))))</ns0:f>
        <ns0:v>40000</ns0:v>
      </ns0:c>
      <ns0:c r="N227" s="16">
        <ns0:f>IF(('前提と出典'!$C$37+'前提と出典'!$C$38)=0,0,IF(C227&lt;=10,'前提と出典'!D73+'前提と出典'!E73,IF(C227&lt;=100,'前提と出典'!D74+'前提と出典'!E74,IF(C227&lt;=500,'前提と出典'!D75+'前提と出典'!E75,'前提と出典'!D76+'前提と出典'!E76))))</ns0:f>
        <ns0:v>56510.9346263078</ns0:v>
      </ns0:c>
      <ns0:c r="O227" s="16">
        <ns0:f>IF('前提と出典'!$C$36+'前提と出典'!$C$38=0,0,'前提と出典'!$B$4*IF('前提と出典'!$B$20=0,MAX('前提と出典'!$B$6,D227*'前提と出典'!$B$5),'前提と出典'!$B$6+D227*'前提と出典'!$B$5))</ns0:f>
        <ns0:v>221435.2625698324</ns0:v>
      </ns0:c>
      <ns0:c r="P227" s="16">
        <ns0:f>(E227+G227)*(1-'前提と出典'!$B$7)-I227-K227-M227-O227</ns0:f>
        <ns0:v>479065.73429269413</ns0:v>
      </ns0:c>
      <ns0:c r="Q227" s="16">
        <ns0:f>(F227+H227)*(1-'前提と出典'!$B$7)-J227-L227-N227</ns0:f>
        <ns0:v>156827.86571186536</ns0:v>
      </ns0:c>
      <ns0:c r="R227" s="16">
        <ns0:f>P227-E227*'前提と出典'!$E$4</ns0:f>
        <ns0:v>349617.9367572989</ns0:v>
      </ns0:c>
      <ns0:c r="S227" s="16">
        <ns0:f>Q227-F227*'前提と出典'!$E$4</ns0:f>
        <ns0:v>106024.3081196674</ns0:v>
      </ns0:c>
      <ns0:c r="T227" s="7">
        <ns0:f>R227+S227</ns0:f>
        <ns0:v>455642.2448769663</ns0:v>
      </ns0:c>
      <ns0:c r="U227" s="16">
        <ns0:f>P227-E227*'前提と出典'!$E$5</ns0:f>
        <ns0:v>306468.67091216706</ns0:v>
      </ns0:c>
      <ns0:c r="V227" s="16">
        <ns0:f>Q227-F227*'前提と出典'!$E$5</ns0:f>
        <ns0:v>89089.78892226808</ns0:v>
      </ns0:c>
      <ns0:c r="W227" s="7">
        <ns0:f>U227+V227</ns0:f>
        <ns0:v>395558.45983443514</ns0:v>
      </ns0:c>
      <ns0:c r="X227" s="16">
        <ns0:f>P227-E227*'前提と出典'!$E$6</ns0:f>
        <ns0:v>263319.40506703535</ns0:v>
      </ns0:c>
      <ns0:c r="Y227" s="16">
        <ns0:f>Q227-F227*'前提と出典'!$E$6</ns0:f>
        <ns0:v>72155.26972486876</ns0:v>
      </ns0:c>
      <ns0:c r="Z227" s="7">
        <ns0:f>X227+Y227</ns0:f>
        <ns0:v>335474.6747919041</ns0:v>
      </ns0:c>
      <ns0:c r="AA227" s="7">
        <ns0:f>IF(T227&gt;=0,A227,1001)</ns0:f>
        <ns0:v>223</ns0:v>
      </ns0:c>
      <ns0:c r="AB227" s="7">
        <ns0:f>IF(T227&lt;0,A227,0)</ns0:f>
        <ns0:v>0</ns0:v>
      </ns0:c>
      <ns0:c r="AC227" s="16">
        <ns0:f>IF(AND(OR('前提と出典'!$C$36+'前提と出典'!$C$38=0,R227&gt;=0),OR('前提と出典'!$C$37+'前提と出典'!$C$38=0,S227&gt;=0)),0,A227)</ns0:f>
        <ns0:v>0</ns0:v>
      </ns0:c>
      <ns0:c r="AD227" s="7">
        <ns0:f>IF(W227&gt;=0,A227,1001)</ns0:f>
        <ns0:v>223</ns0:v>
      </ns0:c>
      <ns0:c r="AE227" s="7">
        <ns0:f>IF(W227&lt;0,A227,0)</ns0:f>
        <ns0:v>0</ns0:v>
      </ns0:c>
      <ns0:c r="AF227" s="16">
        <ns0:f>IF(AND(OR('前提と出典'!$C$36+'前提と出典'!$C$38=0,U227&gt;=0),OR('前提と出典'!$C$37+'前提と出典'!$C$38=0,V227&gt;=0)),0,A227)</ns0:f>
        <ns0:v>0</ns0:v>
      </ns0:c>
      <ns0:c r="AG227" s="7">
        <ns0:f>IF(Z227&gt;=0,A227,1001)</ns0:f>
        <ns0:v>223</ns0:v>
      </ns0:c>
      <ns0:c r="AH227" s="4">
        <ns0:f>IF(Z227&lt;0,A227,0)</ns0:f>
        <ns0:v>0</ns0:v>
      </ns0:c>
      <ns0:c r="AI227" s="12">
        <ns0:f>IF(AND(OR('前提と出典'!$C$36+'前提と出典'!$C$38=0,X227&gt;=0),OR('前提と出典'!$C$37+'前提と出典'!$C$38=0,Y227&gt;=0)),0,A227)</ns0:f>
        <ns0:v>0</ns0:v>
      </ns0:c>
    </ns0:row>
    <ns0:row r="228" ht="24" customHeight="1">
      <ns0:c r="A228" s="4" t="n">
        <ns0:v>224</ns0:v>
      </ns0:c>
      <ns0:c r="B228" s="12">
        <ns0:f>A228*('前提と出典'!$C$36+'前提と出典'!$C$38)</ns0:f>
        <ns0:v>156.79999999999998</ns0:v>
      </ns0:c>
      <ns0:c r="C228" s="12">
        <ns0:f>A228*('前提と出典'!$C$37+'前提と出典'!$C$38)</ns0:f>
        <ns0:v>134.4</ns0:v>
      </ns0:c>
      <ns0:c r="D228" s="16">
        <ns0:f>A228*('前提と出典'!$C$36*'契約別単価'!C5+'前提と出典'!$C$37*'契約別単価'!C6+'前提と出典'!$C$38*'契約別単価'!C7)</ns0:f>
        <ns0:v>1611.7988826815642</ns0:v>
      </ns0:c>
      <ns0:c r="E228" s="16">
        <ns0:f>A228*('前提と出典'!$C$36*'契約別単価'!E5+'前提と出典'!$C$37*'契約別単価'!E6+'前提と出典'!$C$38*'契約別単価'!E7)</ns0:f>
        <ns0:v>433427.60310804995</ns0:v>
      </ns0:c>
      <ns0:c r="F228" s="16">
        <ns0:f>A228*('前提と出典'!$C$36*'契約別単価'!F5+'前提と出典'!$C$37*'契約別単価'!F6+'前提と出典'!$C$38*'契約別単価'!F7)</ns0:f>
        <ns0:v>170104.58745369723</ns0:v>
      </ns0:c>
      <ns0:c r="G228" s="16">
        <ns0:f>A228*('前提と出典'!$C$36*'契約別単価'!G5+'前提と出典'!$C$37*'契約別単価'!G6+'前提と出典'!$C$38*'契約別単価'!G7)</ns0:f>
        <ns0:v>445872.625698324</ns0:v>
      </ns0:c>
      <ns0:c r="H228" s="16">
        <ns0:f>A228*('前提と出典'!$C$36*'契約別単価'!H5+'前提と出典'!$C$37*'契約別単価'!H6+'前提と出典'!$C$38*'契約別単価'!H7)</ns0:f>
        <ns0:v>154740.16338676622</ns0:v>
      </ns0:c>
      <ns0:c r="I228" s="16">
        <ns0:f>A228*('前提と出典'!$C$36*'契約別単価'!I5+'前提と出典'!$C$37*'契約別単価'!I6+'前提と出典'!$C$38*'契約別単価'!I7)</ns0:f>
        <ns0:v>9451.798882681564</ns0:v>
      </ns0:c>
      <ns0:c r="J228" s="16">
        <ns0:f>A228*('前提と出典'!$C$36*'契約別単価'!J5+'前提と出典'!$C$37*'契約別単価'!J6+'前提と出典'!$C$38*'契約別単価'!J7)</ns0:f>
        <ns0:v>22016.857791107774</ns0:v>
      </ns0:c>
      <ns0:c r="K228" s="16">
        <ns0:f>A228*('前提と出典'!$C$36*'契約別単価'!K5+'前提と出典'!$C$37*'契約別単価'!K6+'前提と出典'!$C$38*'契約別単価'!K7)</ns0:f>
        <ns0:v>94371.99255121042</ns0:v>
      </ns0:c>
      <ns0:c r="L228" s="16">
        <ns0:f>A228*('前提と出典'!$C$36*'契約別単価'!L5+'前提と出典'!$C$37*'契約別単価'!L6+'前提と出典'!$C$38*'契約別単価'!L7)</ns0:f>
        <ns0:v>76838.00544622554</ns0:v>
      </ns0:c>
      <ns0:c r="M228" s="16">
        <ns0:f>IF(('前提と出典'!$C$36+'前提と出典'!$C$38)=0,0,IF(B228&lt;=10,'前提と出典'!B73+'前提と出典'!C73,IF(B228&lt;=100,'前提と出典'!B74+'前提と出典'!C74,IF(B228&lt;=500,'前提と出典'!B75+'前提と出典'!C75,'前提と出典'!B76+'前提と出典'!C76))))</ns0:f>
        <ns0:v>40000</ns0:v>
      </ns0:c>
      <ns0:c r="N228" s="16">
        <ns0:f>IF(('前提と出典'!$C$37+'前提と出典'!$C$38)=0,0,IF(C228&lt;=10,'前提と出典'!D73+'前提と出典'!E73,IF(C228&lt;=100,'前提と出典'!D74+'前提と出典'!E74,IF(C228&lt;=500,'前提と出典'!D75+'前提と出典'!E75,'前提と出典'!D76+'前提と出典'!E76))))</ns0:f>
        <ns0:v>56510.9346263078</ns0:v>
      </ns0:c>
      <ns0:c r="O228" s="16">
        <ns0:f>IF('前提と出典'!$C$36+'前提と出典'!$C$38=0,0,'前提と出典'!$B$4*IF('前提と出典'!$B$20=0,MAX('前提と出典'!$B$6,D228*'前提と出典'!$B$5),'前提と出典'!$B$6+D228*'前提と出典'!$B$5))</ns0:f>
        <ns0:v>222428.24581005587</ns0:v>
      </ns0:c>
      <ns0:c r="P228" s="16">
        <ns0:f>(E228+G228)*(1-'前提と出典'!$B$7)-I228-K228-M228-O228</ns0:f>
        <ns0:v>481393.3833253966</ns0:v>
      </ns0:c>
      <ns0:c r="Q228" s="16">
        <ns0:f>(F228+H228)*(1-'前提と出典'!$B$7)-J228-L228-N228</ns0:f>
        <ns0:v>157784.54194656565</ns0:v>
      </ns0:c>
      <ns0:c r="R228" s="16">
        <ns0:f>P228-E228*'前提と出典'!$E$4</ns0:f>
        <ns0:v>351365.1023929815</ns0:v>
      </ns0:c>
      <ns0:c r="S228" s="16">
        <ns0:f>Q228-F228*'前提と出典'!$E$4</ns0:f>
        <ns0:v>106753.1657104565</ns0:v>
      </ns0:c>
      <ns0:c r="T228" s="7">
        <ns0:f>R228+S228</ns0:f>
        <ns0:v>458118.268103438</ns0:v>
      </ns0:c>
      <ns0:c r="U228" s="16">
        <ns0:f>P228-E228*'前提と出典'!$E$5</ns0:f>
        <ns0:v>308022.3420821766</ns0:v>
      </ns0:c>
      <ns0:c r="V228" s="16">
        <ns0:f>Q228-F228*'前提と出典'!$E$5</ns0:f>
        <ns0:v>89742.70696508675</ns0:v>
      </ns0:c>
      <ns0:c r="W228" s="7">
        <ns0:f>U228+V228</ns0:f>
        <ns0:v>397765.04904726334</ns0:v>
      </ns0:c>
      <ns0:c r="X228" s="16">
        <ns0:f>P228-E228*'前提と出典'!$E$6</ns0:f>
        <ns0:v>264679.58177137165</ns0:v>
      </ns0:c>
      <ns0:c r="Y228" s="16">
        <ns0:f>Q228-F228*'前提と出典'!$E$6</ns0:f>
        <ns0:v>72732.24821971706</ns0:v>
      </ns0:c>
      <ns0:c r="Z228" s="7">
        <ns0:f>X228+Y228</ns0:f>
        <ns0:v>337411.8299910887</ns0:v>
      </ns0:c>
      <ns0:c r="AA228" s="7">
        <ns0:f>IF(T228&gt;=0,A228,1001)</ns0:f>
        <ns0:v>224</ns0:v>
      </ns0:c>
      <ns0:c r="AB228" s="7">
        <ns0:f>IF(T228&lt;0,A228,0)</ns0:f>
        <ns0:v>0</ns0:v>
      </ns0:c>
      <ns0:c r="AC228" s="16">
        <ns0:f>IF(AND(OR('前提と出典'!$C$36+'前提と出典'!$C$38=0,R228&gt;=0),OR('前提と出典'!$C$37+'前提と出典'!$C$38=0,S228&gt;=0)),0,A228)</ns0:f>
        <ns0:v>0</ns0:v>
      </ns0:c>
      <ns0:c r="AD228" s="7">
        <ns0:f>IF(W228&gt;=0,A228,1001)</ns0:f>
        <ns0:v>224</ns0:v>
      </ns0:c>
      <ns0:c r="AE228" s="7">
        <ns0:f>IF(W228&lt;0,A228,0)</ns0:f>
        <ns0:v>0</ns0:v>
      </ns0:c>
      <ns0:c r="AF228" s="16">
        <ns0:f>IF(AND(OR('前提と出典'!$C$36+'前提と出典'!$C$38=0,U228&gt;=0),OR('前提と出典'!$C$37+'前提と出典'!$C$38=0,V228&gt;=0)),0,A228)</ns0:f>
        <ns0:v>0</ns0:v>
      </ns0:c>
      <ns0:c r="AG228" s="7">
        <ns0:f>IF(Z228&gt;=0,A228,1001)</ns0:f>
        <ns0:v>224</ns0:v>
      </ns0:c>
      <ns0:c r="AH228" s="4">
        <ns0:f>IF(Z228&lt;0,A228,0)</ns0:f>
        <ns0:v>0</ns0:v>
      </ns0:c>
      <ns0:c r="AI228" s="12">
        <ns0:f>IF(AND(OR('前提と出典'!$C$36+'前提と出典'!$C$38=0,X228&gt;=0),OR('前提と出典'!$C$37+'前提と出典'!$C$38=0,Y228&gt;=0)),0,A228)</ns0:f>
        <ns0:v>0</ns0:v>
      </ns0:c>
    </ns0:row>
    <ns0:row r="229" ht="24" customHeight="1">
      <ns0:c r="A229" s="4" t="n">
        <ns0:v>225</ns0:v>
      </ns0:c>
      <ns0:c r="B229" s="12">
        <ns0:f>A229*('前提と出典'!$C$36+'前提と出典'!$C$38)</ns0:f>
        <ns0:v>157.5</ns0:v>
      </ns0:c>
      <ns0:c r="C229" s="12">
        <ns0:f>A229*('前提と出典'!$C$37+'前提と出典'!$C$38)</ns0:f>
        <ns0:v>135</ns0:v>
      </ns0:c>
      <ns0:c r="D229" s="16">
        <ns0:f>A229*('前提と出典'!$C$36*'契約別単価'!C5+'前提と出典'!$C$37*'契約別単価'!C6+'前提と出典'!$C$38*'契約別単価'!C7)</ns0:f>
        <ns0:v>1618.9944134078212</ns0:v>
      </ns0:c>
      <ns0:c r="E229" s="16">
        <ns0:f>A229*('前提と出典'!$C$36*'契約別単価'!E5+'前提と出典'!$C$37*'契約別単価'!E6+'前提と出典'!$C$38*'契約別単価'!E7)</ns0:f>
        <ns0:v>435362.5477647823</ns0:v>
      </ns0:c>
      <ns0:c r="F229" s="16">
        <ns0:f>A229*('前提と出典'!$C$36*'契約別単価'!F5+'前提と出典'!$C$37*'契約別単価'!F6+'前提と出典'!$C$38*'契約別単価'!F7)</ns0:f>
        <ns0:v>170863.98293340125</ns0:v>
      </ns0:c>
      <ns0:c r="G229" s="16">
        <ns0:f>A229*('前提と出典'!$C$36*'契約別単価'!G5+'前提と出典'!$C$37*'契約別単価'!G6+'前提と出典'!$C$38*'契約別単価'!G7)</ns0:f>
        <ns0:v>447863.12849162007</ns0:v>
      </ns0:c>
      <ns0:c r="H229" s="16">
        <ns0:f>A229*('前提と出典'!$C$36*'契約別単価'!H5+'前提と出典'!$C$37*'契約別単価'!H6+'前提と出典'!$C$38*'契約別単価'!H7)</ns0:f>
        <ns0:v>155430.96768759997</ns0:v>
      </ns0:c>
      <ns0:c r="I229" s="16">
        <ns0:f>A229*('前提と出典'!$C$36*'契約別単価'!I5+'前提と出典'!$C$37*'契約別単価'!I6+'前提と出典'!$C$38*'契約別単価'!I7)</ns0:f>
        <ns0:v>9493.99441340782</ns0:v>
      </ns0:c>
      <ns0:c r="J229" s="16">
        <ns0:f>A229*('前提と出典'!$C$36*'契約別単価'!J5+'前提と出典'!$C$37*'契約別単価'!J6+'前提と出典'!$C$38*'契約別単価'!J7)</ns0:f>
        <ns0:v>22115.147334818077</ns0:v>
      </ns0:c>
      <ns0:c r="K229" s="16">
        <ns0:f>A229*('前提と出典'!$C$36*'契約別単価'!K5+'前提と出典'!$C$37*'契約別単価'!K6+'前提と出典'!$C$38*'契約別単価'!K7)</ns0:f>
        <ns0:v>94793.29608938546</ns0:v>
      </ns0:c>
      <ns0:c r="L229" s="16">
        <ns0:f>A229*('前提と出典'!$C$36*'契約別単価'!L5+'前提と出典'!$C$37*'契約別単価'!L6+'前提と出典'!$C$38*'契約別単価'!L7)</ns0:f>
        <ns0:v>77181.03225625333</ns0:v>
      </ns0:c>
      <ns0:c r="M229" s="16">
        <ns0:f>IF(('前提と出典'!$C$36+'前提と出典'!$C$38)=0,0,IF(B229&lt;=10,'前提と出典'!B73+'前提と出典'!C73,IF(B229&lt;=100,'前提と出典'!B74+'前提と出典'!C74,IF(B229&lt;=500,'前提と出典'!B75+'前提と出典'!C75,'前提と出典'!B76+'前提と出典'!C76))))</ns0:f>
        <ns0:v>40000</ns0:v>
      </ns0:c>
      <ns0:c r="N229" s="16">
        <ns0:f>IF(('前提と出典'!$C$37+'前提と出典'!$C$38)=0,0,IF(C229&lt;=10,'前提と出典'!D73+'前提と出典'!E73,IF(C229&lt;=100,'前提と出典'!D74+'前提と出典'!E74,IF(C229&lt;=500,'前提と出典'!D75+'前提と出典'!E75,'前提と出典'!D76+'前提と出典'!E76))))</ns0:f>
        <ns0:v>56510.9346263078</ns0:v>
      </ns0:c>
      <ns0:c r="O229" s="16">
        <ns0:f>IF('前提と出典'!$C$36+'前提と出典'!$C$38=0,0,'前提と出典'!$B$4*IF('前提と出典'!$B$20=0,MAX('前提と出典'!$B$6,D229*'前提と出典'!$B$5),'前提と出典'!$B$6+D229*'前提と出典'!$B$5))</ns0:f>
        <ns0:v>223421.2290502793</ns0:v>
      </ns0:c>
      <ns0:c r="P229" s="16">
        <ns0:f>(E229+G229)*(1-'前提と出典'!$B$7)-I229-K229-M229-O229</ns0:f>
        <ns0:v>483721.03235809936</ns0:v>
      </ns0:c>
      <ns0:c r="Q229" s="16">
        <ns0:f>(F229+H229)*(1-'前提と出典'!$B$7)-J229-L229-N229</ns0:f>
        <ns0:v>158741.21818126593</ns0:v>
      </ns0:c>
      <ns0:c r="R229" s="16">
        <ns0:f>P229-E229*'前提と出典'!$E$4</ns0:f>
        <ns0:v>353112.26802866446</ns0:v>
      </ns0:c>
      <ns0:c r="S229" s="16">
        <ns0:f>Q229-F229*'前提と出典'!$E$4</ns0:f>
        <ns0:v>107482.02330124556</ns0:v>
      </ns0:c>
      <ns0:c r="T229" s="7">
        <ns0:f>R229+S229</ns0:f>
        <ns0:v>460594.29132991005</ns0:v>
      </ns0:c>
      <ns0:c r="U229" s="16">
        <ns0:f>P229-E229*'前提と出典'!$E$5</ns0:f>
        <ns0:v>309576.0132521864</ns0:v>
      </ns0:c>
      <ns0:c r="V229" s="16">
        <ns0:f>Q229-F229*'前提と出典'!$E$5</ns0:f>
        <ns0:v>90395.62500790542</ns0:v>
      </ns0:c>
      <ns0:c r="W229" s="7">
        <ns0:f>U229+V229</ns0:f>
        <ns0:v>399971.63826009183</ns0:v>
      </ns0:c>
      <ns0:c r="X229" s="16">
        <ns0:f>P229-E229*'前提と出典'!$E$6</ns0:f>
        <ns0:v>266039.75847570813</ns0:v>
      </ns0:c>
      <ns0:c r="Y229" s="16">
        <ns0:f>Q229-F229*'前提と出典'!$E$6</ns0:f>
        <ns0:v>73309.2267145653</ns0:v>
      </ns0:c>
      <ns0:c r="Z229" s="7">
        <ns0:f>X229+Y229</ns0:f>
        <ns0:v>339348.98519027344</ns0:v>
      </ns0:c>
      <ns0:c r="AA229" s="7">
        <ns0:f>IF(T229&gt;=0,A229,1001)</ns0:f>
        <ns0:v>225</ns0:v>
      </ns0:c>
      <ns0:c r="AB229" s="7">
        <ns0:f>IF(T229&lt;0,A229,0)</ns0:f>
        <ns0:v>0</ns0:v>
      </ns0:c>
      <ns0:c r="AC229" s="16">
        <ns0:f>IF(AND(OR('前提と出典'!$C$36+'前提と出典'!$C$38=0,R229&gt;=0),OR('前提と出典'!$C$37+'前提と出典'!$C$38=0,S229&gt;=0)),0,A229)</ns0:f>
        <ns0:v>0</ns0:v>
      </ns0:c>
      <ns0:c r="AD229" s="7">
        <ns0:f>IF(W229&gt;=0,A229,1001)</ns0:f>
        <ns0:v>225</ns0:v>
      </ns0:c>
      <ns0:c r="AE229" s="7">
        <ns0:f>IF(W229&lt;0,A229,0)</ns0:f>
        <ns0:v>0</ns0:v>
      </ns0:c>
      <ns0:c r="AF229" s="16">
        <ns0:f>IF(AND(OR('前提と出典'!$C$36+'前提と出典'!$C$38=0,U229&gt;=0),OR('前提と出典'!$C$37+'前提と出典'!$C$38=0,V229&gt;=0)),0,A229)</ns0:f>
        <ns0:v>0</ns0:v>
      </ns0:c>
      <ns0:c r="AG229" s="7">
        <ns0:f>IF(Z229&gt;=0,A229,1001)</ns0:f>
        <ns0:v>225</ns0:v>
      </ns0:c>
      <ns0:c r="AH229" s="4">
        <ns0:f>IF(Z229&lt;0,A229,0)</ns0:f>
        <ns0:v>0</ns0:v>
      </ns0:c>
      <ns0:c r="AI229" s="12">
        <ns0:f>IF(AND(OR('前提と出典'!$C$36+'前提と出典'!$C$38=0,X229&gt;=0),OR('前提と出典'!$C$37+'前提と出典'!$C$38=0,Y229&gt;=0)),0,A229)</ns0:f>
        <ns0:v>0</ns0:v>
      </ns0:c>
    </ns0:row>
    <ns0:row r="230" ht="24" customHeight="1">
      <ns0:c r="A230" s="4" t="n">
        <ns0:v>226</ns0:v>
      </ns0:c>
      <ns0:c r="B230" s="12">
        <ns0:f>A230*('前提と出典'!$C$36+'前提と出典'!$C$38)</ns0:f>
        <ns0:v>158.2</ns0:v>
      </ns0:c>
      <ns0:c r="C230" s="12">
        <ns0:f>A230*('前提と出典'!$C$37+'前提と出典'!$C$38)</ns0:f>
        <ns0:v>135.6</ns0:v>
      </ns0:c>
      <ns0:c r="D230" s="16">
        <ns0:f>A230*('前提と出典'!$C$36*'契約別単価'!C5+'前提と出典'!$C$37*'契約別単価'!C6+'前提と出典'!$C$38*'契約別単価'!C7)</ns0:f>
        <ns0:v>1626.1899441340781</ns0:v>
      </ns0:c>
      <ns0:c r="E230" s="16">
        <ns0:f>A230*('前提と出典'!$C$36*'契約別単価'!E5+'前提と出典'!$C$37*'契約別単価'!E6+'前提と出典'!$C$38*'契約別単価'!E7)</ns0:f>
        <ns0:v>437297.4924215147</ns0:v>
      </ns0:c>
      <ns0:c r="F230" s="16">
        <ns0:f>A230*('前提と出典'!$C$36*'契約別単価'!F5+'前提と出典'!$C$37*'契約別単価'!F6+'前提と出典'!$C$38*'契約別単価'!F7)</ns0:f>
        <ns0:v>171623.37841310524</ns0:v>
      </ns0:c>
      <ns0:c r="G230" s="16">
        <ns0:f>A230*('前提と出典'!$C$36*'契約別単価'!G5+'前提と出典'!$C$37*'契約別単価'!G6+'前提と出典'!$C$38*'契約別単価'!G7)</ns0:f>
        <ns0:v>449853.6312849162</ns0:v>
      </ns0:c>
      <ns0:c r="H230" s="16">
        <ns0:f>A230*('前提と出典'!$C$36*'契約別単価'!H5+'前提と出典'!$C$37*'契約別単価'!H6+'前提と出典'!$C$38*'契約別単価'!H7)</ns0:f>
        <ns0:v>156121.77198843376</ns0:v>
      </ns0:c>
      <ns0:c r="I230" s="16">
        <ns0:f>A230*('前提と出典'!$C$36*'契約別単価'!I5+'前提と出典'!$C$37*'契約別単価'!I6+'前提と出典'!$C$38*'契約別単価'!I7)</ns0:f>
        <ns0:v>9536.189944134077</ns0:v>
      </ns0:c>
      <ns0:c r="J230" s="16">
        <ns0:f>A230*('前提と出典'!$C$36*'契約別単価'!J5+'前提と出典'!$C$37*'契約別単価'!J6+'前提と出典'!$C$38*'契約別単価'!J7)</ns0:f>
        <ns0:v>22213.43687852838</ns0:v>
      </ns0:c>
      <ns0:c r="K230" s="16">
        <ns0:f>A230*('前提と出典'!$C$36*'契約別単価'!K5+'前提と出典'!$C$37*'契約別単価'!K6+'前提と出典'!$C$38*'契約別単価'!K7)</ns0:f>
        <ns0:v>95214.59962756051</ns0:v>
      </ns0:c>
      <ns0:c r="L230" s="16">
        <ns0:f>A230*('前提と出典'!$C$36*'契約別単価'!L5+'前提と出典'!$C$37*'契約別単価'!L6+'前提と出典'!$C$38*'契約別単価'!L7)</ns0:f>
        <ns0:v>77524.05906628112</ns0:v>
      </ns0:c>
      <ns0:c r="M230" s="16">
        <ns0:f>IF(('前提と出典'!$C$36+'前提と出典'!$C$38)=0,0,IF(B230&lt;=10,'前提と出典'!B73+'前提と出典'!C73,IF(B230&lt;=100,'前提と出典'!B74+'前提と出典'!C74,IF(B230&lt;=500,'前提と出典'!B75+'前提と出典'!C75,'前提と出典'!B76+'前提と出典'!C76))))</ns0:f>
        <ns0:v>40000</ns0:v>
      </ns0:c>
      <ns0:c r="N230" s="16">
        <ns0:f>IF(('前提と出典'!$C$37+'前提と出典'!$C$38)=0,0,IF(C230&lt;=10,'前提と出典'!D73+'前提と出典'!E73,IF(C230&lt;=100,'前提と出典'!D74+'前提と出典'!E74,IF(C230&lt;=500,'前提と出典'!D75+'前提と出典'!E75,'前提と出典'!D76+'前提と出典'!E76))))</ns0:f>
        <ns0:v>56510.9346263078</ns0:v>
      </ns0:c>
      <ns0:c r="O230" s="16">
        <ns0:f>IF('前提と出典'!$C$36+'前提と出典'!$C$38=0,0,'前提と出典'!$B$4*IF('前提と出典'!$B$20=0,MAX('前提と出典'!$B$6,D230*'前提と出典'!$B$5),'前提と出典'!$B$6+D230*'前提と出典'!$B$5))</ns0:f>
        <ns0:v>224414.2122905028</ns0:v>
      </ns0:c>
      <ns0:c r="P230" s="16">
        <ns0:f>(E230+G230)*(1-'前提と出典'!$B$7)-I230-K230-M230-O230</ns0:f>
        <ns0:v>486048.6813908021</ns0:v>
      </ns0:c>
      <ns0:c r="Q230" s="16">
        <ns0:f>(F230+H230)*(1-'前提と出典'!$B$7)-J230-L230-N230</ns0:f>
        <ns0:v>159697.8944159663</ns0:v>
      </ns0:c>
      <ns0:c r="R230" s="16">
        <ns0:f>P230-E230*'前提と出典'!$E$4</ns0:f>
        <ns0:v>354859.43366434757</ns0:v>
      </ns0:c>
      <ns0:c r="S230" s="16">
        <ns0:f>Q230-F230*'前提と出典'!$E$4</ns0:f>
        <ns0:v>108210.88089203474</ns0:v>
      </ns0:c>
      <ns0:c r="T230" s="7">
        <ns0:f>R230+S230</ns0:f>
        <ns0:v>463070.3145563823</ns0:v>
      </ns0:c>
      <ns0:c r="U230" s="16">
        <ns0:f>P230-E230*'前提と出典'!$E$5</ns0:f>
        <ns0:v>311129.6844221962</ns0:v>
      </ns0:c>
      <ns0:c r="V230" s="16">
        <ns0:f>Q230-F230*'前提と出典'!$E$5</ns0:f>
        <ns0:v>91048.5430507242</ns0:v>
      </ns0:c>
      <ns0:c r="W230" s="7">
        <ns0:f>U230+V230</ns0:f>
        <ns0:v>402178.2274729204</ns0:v>
      </ns0:c>
      <ns0:c r="X230" s="16">
        <ns0:f>P230-E230*'前提と出典'!$E$6</ns0:f>
        <ns0:v>267399.93518004456</ns0:v>
      </ns0:c>
      <ns0:c r="Y230" s="16">
        <ns0:f>Q230-F230*'前提と出典'!$E$6</ns0:f>
        <ns0:v>73886.20520941366</ns0:v>
      </ns0:c>
      <ns0:c r="Z230" s="7">
        <ns0:f>X230+Y230</ns0:f>
        <ns0:v>341286.1403894582</ns0:v>
      </ns0:c>
      <ns0:c r="AA230" s="7">
        <ns0:f>IF(T230&gt;=0,A230,1001)</ns0:f>
        <ns0:v>226</ns0:v>
      </ns0:c>
      <ns0:c r="AB230" s="7">
        <ns0:f>IF(T230&lt;0,A230,0)</ns0:f>
        <ns0:v>0</ns0:v>
      </ns0:c>
      <ns0:c r="AC230" s="16">
        <ns0:f>IF(AND(OR('前提と出典'!$C$36+'前提と出典'!$C$38=0,R230&gt;=0),OR('前提と出典'!$C$37+'前提と出典'!$C$38=0,S230&gt;=0)),0,A230)</ns0:f>
        <ns0:v>0</ns0:v>
      </ns0:c>
      <ns0:c r="AD230" s="7">
        <ns0:f>IF(W230&gt;=0,A230,1001)</ns0:f>
        <ns0:v>226</ns0:v>
      </ns0:c>
      <ns0:c r="AE230" s="7">
        <ns0:f>IF(W230&lt;0,A230,0)</ns0:f>
        <ns0:v>0</ns0:v>
      </ns0:c>
      <ns0:c r="AF230" s="16">
        <ns0:f>IF(AND(OR('前提と出典'!$C$36+'前提と出典'!$C$38=0,U230&gt;=0),OR('前提と出典'!$C$37+'前提と出典'!$C$38=0,V230&gt;=0)),0,A230)</ns0:f>
        <ns0:v>0</ns0:v>
      </ns0:c>
      <ns0:c r="AG230" s="7">
        <ns0:f>IF(Z230&gt;=0,A230,1001)</ns0:f>
        <ns0:v>226</ns0:v>
      </ns0:c>
      <ns0:c r="AH230" s="4">
        <ns0:f>IF(Z230&lt;0,A230,0)</ns0:f>
        <ns0:v>0</ns0:v>
      </ns0:c>
      <ns0:c r="AI230" s="12">
        <ns0:f>IF(AND(OR('前提と出典'!$C$36+'前提と出典'!$C$38=0,X230&gt;=0),OR('前提と出典'!$C$37+'前提と出典'!$C$38=0,Y230&gt;=0)),0,A230)</ns0:f>
        <ns0:v>0</ns0:v>
      </ns0:c>
    </ns0:row>
    <ns0:row r="231" ht="24" customHeight="1">
      <ns0:c r="A231" s="4" t="n">
        <ns0:v>227</ns0:v>
      </ns0:c>
      <ns0:c r="B231" s="12">
        <ns0:f>A231*('前提と出典'!$C$36+'前提と出典'!$C$38)</ns0:f>
        <ns0:v>158.89999999999998</ns0:v>
      </ns0:c>
      <ns0:c r="C231" s="12">
        <ns0:f>A231*('前提と出典'!$C$37+'前提と出典'!$C$38)</ns0:f>
        <ns0:v>136.2</ns0:v>
      </ns0:c>
      <ns0:c r="D231" s="16">
        <ns0:f>A231*('前提と出典'!$C$36*'契約別単価'!C5+'前提と出典'!$C$37*'契約別単価'!C6+'前提と出典'!$C$38*'契約別単価'!C7)</ns0:f>
        <ns0:v>1633.385474860335</ns0:v>
      </ns0:c>
      <ns0:c r="E231" s="16">
        <ns0:f>A231*('前提と出典'!$C$36*'契約別単価'!E5+'前提と出典'!$C$37*'契約別単価'!E6+'前提と出典'!$C$38*'契約別単価'!E7)</ns0:f>
        <ns0:v>439232.4370782471</ns0:v>
      </ns0:c>
      <ns0:c r="F231" s="16">
        <ns0:f>A231*('前提と出典'!$C$36*'契約別単価'!F5+'前提と出典'!$C$37*'契約別単価'!F6+'前提と出典'!$C$38*'契約別単価'!F7)</ns0:f>
        <ns0:v>172382.77389280926</ns0:v>
      </ns0:c>
      <ns0:c r="G231" s="16">
        <ns0:f>A231*('前提と出典'!$C$36*'契約別単価'!G5+'前提と出典'!$C$37*'契約別単価'!G6+'前提と出典'!$C$38*'契約別単価'!G7)</ns0:f>
        <ns0:v>451844.13407821226</ns0:v>
      </ns0:c>
      <ns0:c r="H231" s="16">
        <ns0:f>A231*('前提と出典'!$C$36*'契約別単価'!H5+'前提と出典'!$C$37*'契約別単価'!H6+'前提と出典'!$C$38*'契約別単価'!H7)</ns0:f>
        <ns0:v>156812.57628926754</ns0:v>
      </ns0:c>
      <ns0:c r="I231" s="16">
        <ns0:f>A231*('前提と出典'!$C$36*'契約別単価'!I5+'前提と出典'!$C$37*'契約別単価'!I6+'前提と出典'!$C$38*'契約別単価'!I7)</ns0:f>
        <ns0:v>9578.385474860333</ns0:v>
      </ns0:c>
      <ns0:c r="J231" s="16">
        <ns0:f>A231*('前提と出典'!$C$36*'契約別単価'!J5+'前提と出典'!$C$37*'契約別単価'!J6+'前提と出典'!$C$38*'契約別単価'!J7)</ns0:f>
        <ns0:v>22311.726422238684</ns0:v>
      </ns0:c>
      <ns0:c r="K231" s="16">
        <ns0:f>A231*('前提と出典'!$C$36*'契約別単価'!K5+'前提と出典'!$C$37*'契約別単価'!K6+'前提と出典'!$C$38*'契約別単価'!K7)</ns0:f>
        <ns0:v>95635.90316573557</ns0:v>
      </ns0:c>
      <ns0:c r="L231" s="16">
        <ns0:f>A231*('前提と出典'!$C$36*'契約別単価'!L5+'前提と出典'!$C$37*'契約別単価'!L6+'前提と出典'!$C$38*'契約別単価'!L7)</ns0:f>
        <ns0:v>77867.08587630892</ns0:v>
      </ns0:c>
      <ns0:c r="M231" s="16">
        <ns0:f>IF(('前提と出典'!$C$36+'前提と出典'!$C$38)=0,0,IF(B231&lt;=10,'前提と出典'!B73+'前提と出典'!C73,IF(B231&lt;=100,'前提と出典'!B74+'前提と出典'!C74,IF(B231&lt;=500,'前提と出典'!B75+'前提と出典'!C75,'前提と出典'!B76+'前提と出典'!C76))))</ns0:f>
        <ns0:v>40000</ns0:v>
      </ns0:c>
      <ns0:c r="N231" s="16">
        <ns0:f>IF(('前提と出典'!$C$37+'前提と出典'!$C$38)=0,0,IF(C231&lt;=10,'前提と出典'!D73+'前提と出典'!E73,IF(C231&lt;=100,'前提と出典'!D74+'前提と出典'!E74,IF(C231&lt;=500,'前提と出典'!D75+'前提と出典'!E75,'前提と出典'!D76+'前提と出典'!E76))))</ns0:f>
        <ns0:v>56510.9346263078</ns0:v>
      </ns0:c>
      <ns0:c r="O231" s="16">
        <ns0:f>IF('前提と出典'!$C$36+'前提と出典'!$C$38=0,0,'前提と出典'!$B$4*IF('前提と出典'!$B$20=0,MAX('前提と出典'!$B$6,D231*'前提と出典'!$B$5),'前提と出典'!$B$6+D231*'前提と出典'!$B$5))</ns0:f>
        <ns0:v>225407.19553072625</ns0:v>
      </ns0:c>
      <ns0:c r="P231" s="16">
        <ns0:f>(E231+G231)*(1-'前提と出典'!$B$7)-I231-K231-M231-O231</ns0:f>
        <ns0:v>488376.3304235048</ns0:v>
      </ns0:c>
      <ns0:c r="Q231" s="16">
        <ns0:f>(F231+H231)*(1-'前提と出典'!$B$7)-J231-L231-N231</ns0:f>
        <ns0:v>160654.57065066663</ns0:v>
      </ns0:c>
      <ns0:c r="R231" s="16">
        <ns0:f>P231-E231*'前提と出典'!$E$4</ns0:f>
        <ns0:v>356606.59930003074</ns0:v>
      </ns0:c>
      <ns0:c r="S231" s="16">
        <ns0:f>Q231-F231*'前提と出典'!$E$4</ns0:f>
        <ns0:v>108939.73848282389</ns0:v>
      </ns0:c>
      <ns0:c r="T231" s="7">
        <ns0:f>R231+S231</ns0:f>
        <ns0:v>465546.3377828546</ns0:v>
      </ns0:c>
      <ns0:c r="U231" s="16">
        <ns0:f>P231-E231*'前提と出典'!$E$5</ns0:f>
        <ns0:v>312683.355592206</ns0:v>
      </ns0:c>
      <ns0:c r="V231" s="16">
        <ns0:f>Q231-F231*'前提と出典'!$E$5</ns0:f>
        <ns0:v>91701.46109354292</ns0:v>
      </ns0:c>
      <ns0:c r="W231" s="7">
        <ns0:f>U231+V231</ns0:f>
        <ns0:v>404384.8166857489</ns0:v>
      </ns0:c>
      <ns0:c r="X231" s="16">
        <ns0:f>P231-E231*'前提と出典'!$E$6</ns0:f>
        <ns0:v>268760.1118843813</ns0:v>
      </ns0:c>
      <ns0:c r="Y231" s="16">
        <ns0:f>Q231-F231*'前提と出典'!$E$6</ns0:f>
        <ns0:v>74463.18370426199</ns0:v>
      </ns0:c>
      <ns0:c r="Z231" s="7">
        <ns0:f>X231+Y231</ns0:f>
        <ns0:v>343223.2955886433</ns0:v>
      </ns0:c>
      <ns0:c r="AA231" s="7">
        <ns0:f>IF(T231&gt;=0,A231,1001)</ns0:f>
        <ns0:v>227</ns0:v>
      </ns0:c>
      <ns0:c r="AB231" s="7">
        <ns0:f>IF(T231&lt;0,A231,0)</ns0:f>
        <ns0:v>0</ns0:v>
      </ns0:c>
      <ns0:c r="AC231" s="16">
        <ns0:f>IF(AND(OR('前提と出典'!$C$36+'前提と出典'!$C$38=0,R231&gt;=0),OR('前提と出典'!$C$37+'前提と出典'!$C$38=0,S231&gt;=0)),0,A231)</ns0:f>
        <ns0:v>0</ns0:v>
      </ns0:c>
      <ns0:c r="AD231" s="7">
        <ns0:f>IF(W231&gt;=0,A231,1001)</ns0:f>
        <ns0:v>227</ns0:v>
      </ns0:c>
      <ns0:c r="AE231" s="7">
        <ns0:f>IF(W231&lt;0,A231,0)</ns0:f>
        <ns0:v>0</ns0:v>
      </ns0:c>
      <ns0:c r="AF231" s="16">
        <ns0:f>IF(AND(OR('前提と出典'!$C$36+'前提と出典'!$C$38=0,U231&gt;=0),OR('前提と出典'!$C$37+'前提と出典'!$C$38=0,V231&gt;=0)),0,A231)</ns0:f>
        <ns0:v>0</ns0:v>
      </ns0:c>
      <ns0:c r="AG231" s="7">
        <ns0:f>IF(Z231&gt;=0,A231,1001)</ns0:f>
        <ns0:v>227</ns0:v>
      </ns0:c>
      <ns0:c r="AH231" s="4">
        <ns0:f>IF(Z231&lt;0,A231,0)</ns0:f>
        <ns0:v>0</ns0:v>
      </ns0:c>
      <ns0:c r="AI231" s="12">
        <ns0:f>IF(AND(OR('前提と出典'!$C$36+'前提と出典'!$C$38=0,X231&gt;=0),OR('前提と出典'!$C$37+'前提と出典'!$C$38=0,Y231&gt;=0)),0,A231)</ns0:f>
        <ns0:v>0</ns0:v>
      </ns0:c>
    </ns0:row>
    <ns0:row r="232" ht="24" customHeight="1">
      <ns0:c r="A232" s="4" t="n">
        <ns0:v>228</ns0:v>
      </ns0:c>
      <ns0:c r="B232" s="12">
        <ns0:f>A232*('前提と出典'!$C$36+'前提と出典'!$C$38)</ns0:f>
        <ns0:v>159.6</ns0:v>
      </ns0:c>
      <ns0:c r="C232" s="12">
        <ns0:f>A232*('前提と出典'!$C$37+'前提と出典'!$C$38)</ns0:f>
        <ns0:v>136.79999999999998</ns0:v>
      </ns0:c>
      <ns0:c r="D232" s="16">
        <ns0:f>A232*('前提と出典'!$C$36*'契約別単価'!C5+'前提と出典'!$C$37*'契約別単価'!C6+'前提と出典'!$C$38*'契約別単価'!C7)</ns0:f>
        <ns0:v>1640.5810055865923</ns0:v>
      </ns0:c>
      <ns0:c r="E232" s="16">
        <ns0:f>A232*('前提と出典'!$C$36*'契約別単価'!E5+'前提と出典'!$C$37*'契約別単価'!E6+'前提と出典'!$C$38*'契約別単価'!E7)</ns0:f>
        <ns0:v>441167.38173497946</ns0:v>
      </ns0:c>
      <ns0:c r="F232" s="16">
        <ns0:f>A232*('前提と出典'!$C$36*'契約別単価'!F5+'前提と出典'!$C$37*'契約別単価'!F6+'前提と出典'!$C$38*'契約別単価'!F7)</ns0:f>
        <ns0:v>173142.16937251325</ns0:v>
      </ns0:c>
      <ns0:c r="G232" s="16">
        <ns0:f>A232*('前提と出典'!$C$36*'契約別単価'!G5+'前提と出典'!$C$37*'契約別単価'!G6+'前提と出典'!$C$38*'契約別単価'!G7)</ns0:f>
        <ns0:v>453834.6368715084</ns0:v>
      </ns0:c>
      <ns0:c r="H232" s="16">
        <ns0:f>A232*('前提と出典'!$C$36*'契約別単価'!H5+'前提と出典'!$C$37*'契約別単価'!H6+'前提と出典'!$C$38*'契約別単価'!H7)</ns0:f>
        <ns0:v>157503.38059010133</ns0:v>
      </ns0:c>
      <ns0:c r="I232" s="16">
        <ns0:f>A232*('前提と出典'!$C$36*'契約別単価'!I5+'前提と出典'!$C$37*'契約別単価'!I6+'前提と出典'!$C$38*'契約別単価'!I7)</ns0:f>
        <ns0:v>9620.581005586591</ns0:v>
      </ns0:c>
      <ns0:c r="J232" s="16">
        <ns0:f>A232*('前提と出典'!$C$36*'契約別単価'!J5+'前提と出典'!$C$37*'契約別単価'!J6+'前提と出典'!$C$38*'契約別単価'!J7)</ns0:f>
        <ns0:v>22410.015965948984</ns0:v>
      </ns0:c>
      <ns0:c r="K232" s="16">
        <ns0:f>A232*('前提と出典'!$C$36*'契約別単価'!K5+'前提と出典'!$C$37*'契約別単価'!K6+'前提と出典'!$C$38*'契約別単価'!K7)</ns0:f>
        <ns0:v>96057.2067039106</ns0:v>
      </ns0:c>
      <ns0:c r="L232" s="16">
        <ns0:f>A232*('前提と出典'!$C$36*'契約別単価'!L5+'前提と出典'!$C$37*'契約別単価'!L6+'前提と出典'!$C$38*'契約別単価'!L7)</ns0:f>
        <ns0:v>78210.11268633671</ns0:v>
      </ns0:c>
      <ns0:c r="M232" s="16">
        <ns0:f>IF(('前提と出典'!$C$36+'前提と出典'!$C$38)=0,0,IF(B232&lt;=10,'前提と出典'!B73+'前提と出典'!C73,IF(B232&lt;=100,'前提と出典'!B74+'前提と出典'!C74,IF(B232&lt;=500,'前提と出典'!B75+'前提と出典'!C75,'前提と出典'!B76+'前提と出典'!C76))))</ns0:f>
        <ns0:v>40000</ns0:v>
      </ns0:c>
      <ns0:c r="N232" s="16">
        <ns0:f>IF(('前提と出典'!$C$37+'前提と出典'!$C$38)=0,0,IF(C232&lt;=10,'前提と出典'!D73+'前提と出典'!E73,IF(C232&lt;=100,'前提と出典'!D74+'前提と出典'!E74,IF(C232&lt;=500,'前提と出典'!D75+'前提と出典'!E75,'前提と出典'!D76+'前提と出典'!E76))))</ns0:f>
        <ns0:v>56510.9346263078</ns0:v>
      </ns0:c>
      <ns0:c r="O232" s="16">
        <ns0:f>IF('前提と出典'!$C$36+'前提と出典'!$C$38=0,0,'前提と出典'!$B$4*IF('前提と出典'!$B$20=0,MAX('前提と出典'!$B$6,D232*'前提と出典'!$B$5),'前提と出典'!$B$6+D232*'前提と出典'!$B$5))</ns0:f>
        <ns0:v>226400.17877094974</ns0:v>
      </ns0:c>
      <ns0:c r="P232" s="16">
        <ns0:f>(E232+G232)*(1-'前提と出典'!$B$7)-I232-K232-M232-O232</ns0:f>
        <ns0:v>490703.9794562075</ns0:v>
      </ns0:c>
      <ns0:c r="Q232" s="16">
        <ns0:f>(F232+H232)*(1-'前提と出典'!$B$7)-J232-L232-N232</ns0:f>
        <ns0:v>161611.2468853669</ns0:v>
      </ns0:c>
      <ns0:c r="R232" s="16">
        <ns0:f>P232-E232*'前提と出典'!$E$4</ns0:f>
        <ns0:v>358353.7649357136</ns0:v>
      </ns0:c>
      <ns0:c r="S232" s="16">
        <ns0:f>Q232-F232*'前提と出典'!$E$4</ns0:f>
        <ns0:v>109668.59607361295</ns0:v>
      </ns0:c>
      <ns0:c r="T232" s="7">
        <ns0:f>R232+S232</ns0:f>
        <ns0:v>468022.36100932653</ns0:v>
      </ns0:c>
      <ns0:c r="U232" s="16">
        <ns0:f>P232-E232*'前提と出典'!$E$5</ns0:f>
        <ns0:v>314237.02676221565</ns0:v>
      </ns0:c>
      <ns0:c r="V232" s="16">
        <ns0:f>Q232-F232*'前提と出典'!$E$5</ns0:f>
        <ns0:v>92354.37913636159</ns0:v>
      </ns0:c>
      <ns0:c r="W232" s="7">
        <ns0:f>U232+V232</ns0:f>
        <ns0:v>406591.40589857724</ns0:v>
      </ns0:c>
      <ns0:c r="X232" s="16">
        <ns0:f>P232-E232*'前提と出典'!$E$6</ns0:f>
        <ns0:v>270120.2885887178</ns0:v>
      </ns0:c>
      <ns0:c r="Y232" s="16">
        <ns0:f>Q232-F232*'前提と出典'!$E$6</ns0:f>
        <ns0:v>75040.16219911029</ns0:v>
      </ns0:c>
      <ns0:c r="Z232" s="7">
        <ns0:f>X232+Y232</ns0:f>
        <ns0:v>345160.4507878281</ns0:v>
      </ns0:c>
      <ns0:c r="AA232" s="7">
        <ns0:f>IF(T232&gt;=0,A232,1001)</ns0:f>
        <ns0:v>228</ns0:v>
      </ns0:c>
      <ns0:c r="AB232" s="7">
        <ns0:f>IF(T232&lt;0,A232,0)</ns0:f>
        <ns0:v>0</ns0:v>
      </ns0:c>
      <ns0:c r="AC232" s="16">
        <ns0:f>IF(AND(OR('前提と出典'!$C$36+'前提と出典'!$C$38=0,R232&gt;=0),OR('前提と出典'!$C$37+'前提と出典'!$C$38=0,S232&gt;=0)),0,A232)</ns0:f>
        <ns0:v>0</ns0:v>
      </ns0:c>
      <ns0:c r="AD232" s="7">
        <ns0:f>IF(W232&gt;=0,A232,1001)</ns0:f>
        <ns0:v>228</ns0:v>
      </ns0:c>
      <ns0:c r="AE232" s="7">
        <ns0:f>IF(W232&lt;0,A232,0)</ns0:f>
        <ns0:v>0</ns0:v>
      </ns0:c>
      <ns0:c r="AF232" s="16">
        <ns0:f>IF(AND(OR('前提と出典'!$C$36+'前提と出典'!$C$38=0,U232&gt;=0),OR('前提と出典'!$C$37+'前提と出典'!$C$38=0,V232&gt;=0)),0,A232)</ns0:f>
        <ns0:v>0</ns0:v>
      </ns0:c>
      <ns0:c r="AG232" s="7">
        <ns0:f>IF(Z232&gt;=0,A232,1001)</ns0:f>
        <ns0:v>228</ns0:v>
      </ns0:c>
      <ns0:c r="AH232" s="4">
        <ns0:f>IF(Z232&lt;0,A232,0)</ns0:f>
        <ns0:v>0</ns0:v>
      </ns0:c>
      <ns0:c r="AI232" s="12">
        <ns0:f>IF(AND(OR('前提と出典'!$C$36+'前提と出典'!$C$38=0,X232&gt;=0),OR('前提と出典'!$C$37+'前提と出典'!$C$38=0,Y232&gt;=0)),0,A232)</ns0:f>
        <ns0:v>0</ns0:v>
      </ns0:c>
    </ns0:row>
    <ns0:row r="233" ht="24" customHeight="1">
      <ns0:c r="A233" s="4" t="n">
        <ns0:v>229</ns0:v>
      </ns0:c>
      <ns0:c r="B233" s="12">
        <ns0:f>A233*('前提と出典'!$C$36+'前提と出典'!$C$38)</ns0:f>
        <ns0:v>160.29999999999998</ns0:v>
      </ns0:c>
      <ns0:c r="C233" s="12">
        <ns0:f>A233*('前提と出典'!$C$37+'前提と出典'!$C$38)</ns0:f>
        <ns0:v>137.4</ns0:v>
      </ns0:c>
      <ns0:c r="D233" s="16">
        <ns0:f>A233*('前提と出典'!$C$36*'契約別単価'!C5+'前提と出典'!$C$37*'契約別単価'!C6+'前提と出典'!$C$38*'契約別単価'!C7)</ns0:f>
        <ns0:v>1647.7765363128492</ns0:v>
      </ns0:c>
      <ns0:c r="E233" s="16">
        <ns0:f>A233*('前提と出典'!$C$36*'契約別単価'!E5+'前提と出典'!$C$37*'契約別単価'!E6+'前提と出典'!$C$38*'契約別単価'!E7)</ns0:f>
        <ns0:v>443102.32639171183</ns0:v>
      </ns0:c>
      <ns0:c r="F233" s="16">
        <ns0:f>A233*('前提と出典'!$C$36*'契約別単価'!F5+'前提と出典'!$C$37*'契約別単価'!F6+'前提と出典'!$C$38*'契約別単価'!F7)</ns0:f>
        <ns0:v>173901.56485221727</ns0:v>
      </ns0:c>
      <ns0:c r="G233" s="16">
        <ns0:f>A233*('前提と出典'!$C$36*'契約別単価'!G5+'前提と出典'!$C$37*'契約別単価'!G6+'前提と出典'!$C$38*'契約別単価'!G7)</ns0:f>
        <ns0:v>455825.13966480445</ns0:v>
      </ns0:c>
      <ns0:c r="H233" s="16">
        <ns0:f>A233*('前提と出典'!$C$36*'契約別単価'!H5+'前提と出典'!$C$37*'契約別単価'!H6+'前提と出典'!$C$38*'契約別単価'!H7)</ns0:f>
        <ns0:v>158194.18489093508</ns0:v>
      </ns0:c>
      <ns0:c r="I233" s="16">
        <ns0:f>A233*('前提と出典'!$C$36*'契約別単価'!I5+'前提と出典'!$C$37*'契約別単価'!I6+'前提と出典'!$C$38*'契約別単価'!I7)</ns0:f>
        <ns0:v>9662.776536312847</ns0:v>
      </ns0:c>
      <ns0:c r="J233" s="16">
        <ns0:f>A233*('前提と出典'!$C$36*'契約別単価'!J5+'前提と出典'!$C$37*'契約別単価'!J6+'前提と出典'!$C$38*'契約別単価'!J7)</ns0:f>
        <ns0:v>22508.305509659287</ns0:v>
      </ns0:c>
      <ns0:c r="K233" s="16">
        <ns0:f>A233*('前提と出典'!$C$36*'契約別単価'!K5+'前提と出典'!$C$37*'契約別単価'!K6+'前提と出典'!$C$38*'契約別単価'!K7)</ns0:f>
        <ns0:v>96478.51024208566</ns0:v>
      </ns0:c>
      <ns0:c r="L233" s="16">
        <ns0:f>A233*('前提と出典'!$C$36*'契約別単価'!L5+'前提と出典'!$C$37*'契約別単価'!L6+'前提と出典'!$C$38*'契約別単価'!L7)</ns0:f>
        <ns0:v>78553.1394963645</ns0:v>
      </ns0:c>
      <ns0:c r="M233" s="16">
        <ns0:f>IF(('前提と出典'!$C$36+'前提と出典'!$C$38)=0,0,IF(B233&lt;=10,'前提と出典'!B73+'前提と出典'!C73,IF(B233&lt;=100,'前提と出典'!B74+'前提と出典'!C74,IF(B233&lt;=500,'前提と出典'!B75+'前提と出典'!C75,'前提と出典'!B76+'前提と出典'!C76))))</ns0:f>
        <ns0:v>40000</ns0:v>
      </ns0:c>
      <ns0:c r="N233" s="16">
        <ns0:f>IF(('前提と出典'!$C$37+'前提と出典'!$C$38)=0,0,IF(C233&lt;=10,'前提と出典'!D73+'前提と出典'!E73,IF(C233&lt;=100,'前提と出典'!D74+'前提と出典'!E74,IF(C233&lt;=500,'前提と出典'!D75+'前提と出典'!E75,'前提と出典'!D76+'前提と出典'!E76))))</ns0:f>
        <ns0:v>56510.9346263078</ns0:v>
      </ns0:c>
      <ns0:c r="O233" s="16">
        <ns0:f>IF('前提と出典'!$C$36+'前提と出典'!$C$38=0,0,'前提と出典'!$B$4*IF('前提と出典'!$B$20=0,MAX('前提と出典'!$B$6,D233*'前提と出典'!$B$5),'前提と出典'!$B$6+D233*'前提と出典'!$B$5))</ns0:f>
        <ns0:v>227393.16201117318</ns0:v>
      </ns0:c>
      <ns0:c r="P233" s="16">
        <ns0:f>(E233+G233)*(1-'前提と出典'!$B$7)-I233-K233-M233-O233</ns0:f>
        <ns0:v>493031.6284889099</ns0:v>
      </ns0:c>
      <ns0:c r="Q233" s="16">
        <ns0:f>(F233+H233)*(1-'前提と出典'!$B$7)-J233-L233-N233</ns0:f>
        <ns0:v>162567.92312006728</ns0:v>
      </ns0:c>
      <ns0:c r="R233" s="16">
        <ns0:f>P233-E233*'前提と出典'!$E$4</ns0:f>
        <ns0:v>360100.93057139637</ns0:v>
      </ns0:c>
      <ns0:c r="S233" s="16">
        <ns0:f>Q233-F233*'前提と出典'!$E$4</ns0:f>
        <ns0:v>110397.45366440213</ns0:v>
      </ns0:c>
      <ns0:c r="T233" s="7">
        <ns0:f>R233+S233</ns0:f>
        <ns0:v>470498.3842357985</ns0:v>
      </ns0:c>
      <ns0:c r="U233" s="16">
        <ns0:f>P233-E233*'前提と出典'!$E$5</ns0:f>
        <ns0:v>315790.6979322252</ns0:v>
      </ns0:c>
      <ns0:c r="V233" s="16">
        <ns0:f>Q233-F233*'前提と出典'!$E$5</ns0:f>
        <ns0:v>93007.29717918037</ns0:v>
      </ns0:c>
      <ns0:c r="W233" s="7">
        <ns0:f>U233+V233</ns0:f>
        <ns0:v>408797.99511140556</ns0:v>
      </ns0:c>
      <ns0:c r="X233" s="16">
        <ns0:f>P233-E233*'前提と出典'!$E$6</ns0:f>
        <ns0:v>271480.465293054</ns0:v>
      </ns0:c>
      <ns0:c r="Y233" s="16">
        <ns0:f>Q233-F233*'前提と出典'!$E$6</ns0:f>
        <ns0:v>75617.14069395862</ns0:v>
      </ns0:c>
      <ns0:c r="Z233" s="7">
        <ns0:f>X233+Y233</ns0:f>
        <ns0:v>347097.6059870126</ns0:v>
      </ns0:c>
      <ns0:c r="AA233" s="7">
        <ns0:f>IF(T233&gt;=0,A233,1001)</ns0:f>
        <ns0:v>229</ns0:v>
      </ns0:c>
      <ns0:c r="AB233" s="7">
        <ns0:f>IF(T233&lt;0,A233,0)</ns0:f>
        <ns0:v>0</ns0:v>
      </ns0:c>
      <ns0:c r="AC233" s="16">
        <ns0:f>IF(AND(OR('前提と出典'!$C$36+'前提と出典'!$C$38=0,R233&gt;=0),OR('前提と出典'!$C$37+'前提と出典'!$C$38=0,S233&gt;=0)),0,A233)</ns0:f>
        <ns0:v>0</ns0:v>
      </ns0:c>
      <ns0:c r="AD233" s="7">
        <ns0:f>IF(W233&gt;=0,A233,1001)</ns0:f>
        <ns0:v>229</ns0:v>
      </ns0:c>
      <ns0:c r="AE233" s="7">
        <ns0:f>IF(W233&lt;0,A233,0)</ns0:f>
        <ns0:v>0</ns0:v>
      </ns0:c>
      <ns0:c r="AF233" s="16">
        <ns0:f>IF(AND(OR('前提と出典'!$C$36+'前提と出典'!$C$38=0,U233&gt;=0),OR('前提と出典'!$C$37+'前提と出典'!$C$38=0,V233&gt;=0)),0,A233)</ns0:f>
        <ns0:v>0</ns0:v>
      </ns0:c>
      <ns0:c r="AG233" s="7">
        <ns0:f>IF(Z233&gt;=0,A233,1001)</ns0:f>
        <ns0:v>229</ns0:v>
      </ns0:c>
      <ns0:c r="AH233" s="4">
        <ns0:f>IF(Z233&lt;0,A233,0)</ns0:f>
        <ns0:v>0</ns0:v>
      </ns0:c>
      <ns0:c r="AI233" s="12">
        <ns0:f>IF(AND(OR('前提と出典'!$C$36+'前提と出典'!$C$38=0,X233&gt;=0),OR('前提と出典'!$C$37+'前提と出典'!$C$38=0,Y233&gt;=0)),0,A233)</ns0:f>
        <ns0:v>0</ns0:v>
      </ns0:c>
    </ns0:row>
    <ns0:row r="234" ht="24" customHeight="1">
      <ns0:c r="A234" s="4" t="n">
        <ns0:v>230</ns0:v>
      </ns0:c>
      <ns0:c r="B234" s="12">
        <ns0:f>A234*('前提と出典'!$C$36+'前提と出典'!$C$38)</ns0:f>
        <ns0:v>161</ns0:v>
      </ns0:c>
      <ns0:c r="C234" s="12">
        <ns0:f>A234*('前提と出典'!$C$37+'前提と出典'!$C$38)</ns0:f>
        <ns0:v>138</ns0:v>
      </ns0:c>
      <ns0:c r="D234" s="16">
        <ns0:f>A234*('前提と出典'!$C$36*'契約別単価'!C5+'前提と出典'!$C$37*'契約別単価'!C6+'前提と出典'!$C$38*'契約別単価'!C7)</ns0:f>
        <ns0:v>1654.9720670391062</ns0:v>
      </ns0:c>
      <ns0:c r="E234" s="16">
        <ns0:f>A234*('前提と出典'!$C$36*'契約別単価'!E5+'前提と出典'!$C$37*'契約別単価'!E6+'前提と出典'!$C$38*'契約別単価'!E7)</ns0:f>
        <ns0:v>445037.27104844415</ns0:v>
      </ns0:c>
      <ns0:c r="F234" s="16">
        <ns0:f>A234*('前提と出典'!$C$36*'契約別単価'!F5+'前提と出典'!$C$37*'契約別単価'!F6+'前提と出典'!$C$38*'契約別単価'!F7)</ns0:f>
        <ns0:v>174660.96033192126</ns0:v>
      </ns0:c>
      <ns0:c r="G234" s="16">
        <ns0:f>A234*('前提と出典'!$C$36*'契約別単価'!G5+'前提と出典'!$C$37*'契約別単価'!G6+'前提と出典'!$C$38*'契約別単価'!G7)</ns0:f>
        <ns0:v>457815.6424581005</ns0:v>
      </ns0:c>
      <ns0:c r="H234" s="16">
        <ns0:f>A234*('前提と出典'!$C$36*'契約別単価'!H5+'前提と出典'!$C$37*'契約別単価'!H6+'前提と出典'!$C$38*'契約別単価'!H7)</ns0:f>
        <ns0:v>158884.98919176887</ns0:v>
      </ns0:c>
      <ns0:c r="I234" s="16">
        <ns0:f>A234*('前提と出典'!$C$36*'契約別単価'!I5+'前提と出典'!$C$37*'契約別単価'!I6+'前提と出典'!$C$38*'契約別単価'!I7)</ns0:f>
        <ns0:v>9704.972067039105</ns0:v>
      </ns0:c>
      <ns0:c r="J234" s="16">
        <ns0:f>A234*('前提と出典'!$C$36*'契約別単価'!J5+'前提と出典'!$C$37*'契約別単価'!J6+'前提と出典'!$C$38*'契約別単価'!J7)</ns0:f>
        <ns0:v>22606.59505336959</ns0:v>
      </ns0:c>
      <ns0:c r="K234" s="16">
        <ns0:f>A234*('前提と出典'!$C$36*'契約別単価'!K5+'前提と出典'!$C$37*'契約別単価'!K6+'前提と出典'!$C$38*'契約別単価'!K7)</ns0:f>
        <ns0:v>96899.8137802607</ns0:v>
      </ns0:c>
      <ns0:c r="L234" s="16">
        <ns0:f>A234*('前提と出典'!$C$36*'契約別単価'!L5+'前提と出典'!$C$37*'契約別単価'!L6+'前提と出典'!$C$38*'契約別単価'!L7)</ns0:f>
        <ns0:v>78896.16630639229</ns0:v>
      </ns0:c>
      <ns0:c r="M234" s="16">
        <ns0:f>IF(('前提と出典'!$C$36+'前提と出典'!$C$38)=0,0,IF(B234&lt;=10,'前提と出典'!B73+'前提と出典'!C73,IF(B234&lt;=100,'前提と出典'!B74+'前提と出典'!C74,IF(B234&lt;=500,'前提と出典'!B75+'前提と出典'!C75,'前提と出典'!B76+'前提と出典'!C76))))</ns0:f>
        <ns0:v>40000</ns0:v>
      </ns0:c>
      <ns0:c r="N234" s="16">
        <ns0:f>IF(('前提と出典'!$C$37+'前提と出典'!$C$38)=0,0,IF(C234&lt;=10,'前提と出典'!D73+'前提と出典'!E73,IF(C234&lt;=100,'前提と出典'!D74+'前提と出典'!E74,IF(C234&lt;=500,'前提と出典'!D75+'前提と出典'!E75,'前提と出典'!D76+'前提と出典'!E76))))</ns0:f>
        <ns0:v>56510.9346263078</ns0:v>
      </ns0:c>
      <ns0:c r="O234" s="16">
        <ns0:f>IF('前提と出典'!$C$36+'前提と出典'!$C$38=0,0,'前提と出典'!$B$4*IF('前提と出典'!$B$20=0,MAX('前提と出典'!$B$6,D234*'前提と出典'!$B$5),'前提と出典'!$B$6+D234*'前提と出典'!$B$5))</ns0:f>
        <ns0:v>228386.14525139667</ns0:v>
      </ns0:c>
      <ns0:c r="P234" s="16">
        <ns0:f>(E234+G234)*(1-'前提と出典'!$B$7)-I234-K234-M234-O234</ns0:f>
        <ns0:v>495359.2775216125</ns0:v>
      </ns0:c>
      <ns0:c r="Q234" s="16">
        <ns0:f>(F234+H234)*(1-'前提と出典'!$B$7)-J234-L234-N234</ns0:f>
        <ns0:v>163524.59935476765</ns0:v>
      </ns0:c>
      <ns0:c r="R234" s="16">
        <ns0:f>P234-E234*'前提と出典'!$E$4</ns0:f>
        <ns0:v>361848.09620707924</ns0:v>
      </ns0:c>
      <ns0:c r="S234" s="16">
        <ns0:f>Q234-F234*'前提と出典'!$E$4</ns0:f>
        <ns0:v>111126.31125519128</ns0:v>
      </ns0:c>
      <ns0:c r="T234" s="7">
        <ns0:f>R234+S234</ns0:f>
        <ns0:v>472974.4074622705</ns0:v>
      </ns0:c>
      <ns0:c r="U234" s="16">
        <ns0:f>P234-E234*'前提と出典'!$E$5</ns0:f>
        <ns0:v>317344.36910223484</ns0:v>
      </ns0:c>
      <ns0:c r="V234" s="16">
        <ns0:f>Q234-F234*'前提と出典'!$E$5</ns0:f>
        <ns0:v>93660.21522199913</ns0:v>
      </ns0:c>
      <ns0:c r="W234" s="7">
        <ns0:f>U234+V234</ns0:f>
        <ns0:v>411004.58432423393</ns0:v>
      </ns0:c>
      <ns0:c r="X234" s="16">
        <ns0:f>P234-E234*'前提と出典'!$E$6</ns0:f>
        <ns0:v>272840.6419973904</ns0:v>
      </ns0:c>
      <ns0:c r="Y234" s="16">
        <ns0:f>Q234-F234*'前提と出典'!$E$6</ns0:f>
        <ns0:v>76194.119188807</ns0:v>
      </ns0:c>
      <ns0:c r="Z234" s="7">
        <ns0:f>X234+Y234</ns0:f>
        <ns0:v>349034.7611861974</ns0:v>
      </ns0:c>
      <ns0:c r="AA234" s="7">
        <ns0:f>IF(T234&gt;=0,A234,1001)</ns0:f>
        <ns0:v>230</ns0:v>
      </ns0:c>
      <ns0:c r="AB234" s="7">
        <ns0:f>IF(T234&lt;0,A234,0)</ns0:f>
        <ns0:v>0</ns0:v>
      </ns0:c>
      <ns0:c r="AC234" s="16">
        <ns0:f>IF(AND(OR('前提と出典'!$C$36+'前提と出典'!$C$38=0,R234&gt;=0),OR('前提と出典'!$C$37+'前提と出典'!$C$38=0,S234&gt;=0)),0,A234)</ns0:f>
        <ns0:v>0</ns0:v>
      </ns0:c>
      <ns0:c r="AD234" s="7">
        <ns0:f>IF(W234&gt;=0,A234,1001)</ns0:f>
        <ns0:v>230</ns0:v>
      </ns0:c>
      <ns0:c r="AE234" s="7">
        <ns0:f>IF(W234&lt;0,A234,0)</ns0:f>
        <ns0:v>0</ns0:v>
      </ns0:c>
      <ns0:c r="AF234" s="16">
        <ns0:f>IF(AND(OR('前提と出典'!$C$36+'前提と出典'!$C$38=0,U234&gt;=0),OR('前提と出典'!$C$37+'前提と出典'!$C$38=0,V234&gt;=0)),0,A234)</ns0:f>
        <ns0:v>0</ns0:v>
      </ns0:c>
      <ns0:c r="AG234" s="7">
        <ns0:f>IF(Z234&gt;=0,A234,1001)</ns0:f>
        <ns0:v>230</ns0:v>
      </ns0:c>
      <ns0:c r="AH234" s="4">
        <ns0:f>IF(Z234&lt;0,A234,0)</ns0:f>
        <ns0:v>0</ns0:v>
      </ns0:c>
      <ns0:c r="AI234" s="12">
        <ns0:f>IF(AND(OR('前提と出典'!$C$36+'前提と出典'!$C$38=0,X234&gt;=0),OR('前提と出典'!$C$37+'前提と出典'!$C$38=0,Y234&gt;=0)),0,A234)</ns0:f>
        <ns0:v>0</ns0:v>
      </ns0:c>
    </ns0:row>
    <ns0:row r="235" ht="24" customHeight="1">
      <ns0:c r="A235" s="4" t="n">
        <ns0:v>231</ns0:v>
      </ns0:c>
      <ns0:c r="B235" s="12">
        <ns0:f>A235*('前提と出典'!$C$36+'前提と出典'!$C$38)</ns0:f>
        <ns0:v>161.7</ns0:v>
      </ns0:c>
      <ns0:c r="C235" s="12">
        <ns0:f>A235*('前提と出典'!$C$37+'前提と出典'!$C$38)</ns0:f>
        <ns0:v>138.6</ns0:v>
      </ns0:c>
      <ns0:c r="D235" s="16">
        <ns0:f>A235*('前提と出典'!$C$36*'契約別単価'!C5+'前提と出典'!$C$37*'契約別単価'!C6+'前提と出典'!$C$38*'契約別単価'!C7)</ns0:f>
        <ns0:v>1662.167597765363</ns0:v>
      </ns0:c>
      <ns0:c r="E235" s="16">
        <ns0:f>A235*('前提と出典'!$C$36*'契約別単価'!E5+'前提と出典'!$C$37*'契約別単価'!E6+'前提と出典'!$C$38*'契約別単価'!E7)</ns0:f>
        <ns0:v>446972.2157051765</ns0:v>
      </ns0:c>
      <ns0:c r="F235" s="16">
        <ns0:f>A235*('前提と出典'!$C$36*'契約別単価'!F5+'前提と出典'!$C$37*'契約別単価'!F6+'前提と出典'!$C$38*'契約別単価'!F7)</ns0:f>
        <ns0:v>175420.35581162528</ns0:v>
      </ns0:c>
      <ns0:c r="G235" s="16">
        <ns0:f>A235*('前提と出典'!$C$36*'契約別単価'!G5+'前提と出典'!$C$37*'契約別単価'!G6+'前提と出典'!$C$38*'契約別単価'!G7)</ns0:f>
        <ns0:v>459806.14525139664</ns0:v>
      </ns0:c>
      <ns0:c r="H235" s="16">
        <ns0:f>A235*('前提と出典'!$C$36*'契約別単価'!H5+'前提と出典'!$C$37*'契約別単価'!H6+'前提と出典'!$C$38*'契約別単価'!H7)</ns0:f>
        <ns0:v>159575.79349260265</ns0:v>
      </ns0:c>
      <ns0:c r="I235" s="16">
        <ns0:f>A235*('前提と出典'!$C$36*'契約別単価'!I5+'前提と出典'!$C$37*'契約別単価'!I6+'前提と出典'!$C$38*'契約別単価'!I7)</ns0:f>
        <ns0:v>9747.167597765361</ns0:v>
      </ns0:c>
      <ns0:c r="J235" s="16">
        <ns0:f>A235*('前提と出典'!$C$36*'契約別単価'!J5+'前提と出典'!$C$37*'契約別単価'!J6+'前提と出典'!$C$38*'契約別単価'!J7)</ns0:f>
        <ns0:v>22704.884597079894</ns0:v>
      </ns0:c>
      <ns0:c r="K235" s="16">
        <ns0:f>A235*('前提と出典'!$C$36*'契約別単価'!K5+'前提と出典'!$C$37*'契約別単価'!K6+'前提と出典'!$C$38*'契約別単価'!K7)</ns0:f>
        <ns0:v>97321.11731843575</ns0:v>
      </ns0:c>
      <ns0:c r="L235" s="16">
        <ns0:f>A235*('前提と出典'!$C$36*'契約別単価'!L5+'前提と出典'!$C$37*'契約別単価'!L6+'前提と出典'!$C$38*'契約別単価'!L7)</ns0:f>
        <ns0:v>79239.19311642008</ns0:v>
      </ns0:c>
      <ns0:c r="M235" s="16">
        <ns0:f>IF(('前提と出典'!$C$36+'前提と出典'!$C$38)=0,0,IF(B235&lt;=10,'前提と出典'!B73+'前提と出典'!C73,IF(B235&lt;=100,'前提と出典'!B74+'前提と出典'!C74,IF(B235&lt;=500,'前提と出典'!B75+'前提と出典'!C75,'前提と出典'!B76+'前提と出典'!C76))))</ns0:f>
        <ns0:v>40000</ns0:v>
      </ns0:c>
      <ns0:c r="N235" s="16">
        <ns0:f>IF(('前提と出典'!$C$37+'前提と出典'!$C$38)=0,0,IF(C235&lt;=10,'前提と出典'!D73+'前提と出典'!E73,IF(C235&lt;=100,'前提と出典'!D74+'前提と出典'!E74,IF(C235&lt;=500,'前提と出典'!D75+'前提と出典'!E75,'前提と出典'!D76+'前提と出典'!E76))))</ns0:f>
        <ns0:v>56510.9346263078</ns0:v>
      </ns0:c>
      <ns0:c r="O235" s="16">
        <ns0:f>IF('前提と出典'!$C$36+'前提と出典'!$C$38=0,0,'前提と出典'!$B$4*IF('前提と出典'!$B$20=0,MAX('前提と出典'!$B$6,D235*'前提と出典'!$B$5),'前提と出典'!$B$6+D235*'前提と出典'!$B$5))</ns0:f>
        <ns0:v>229379.12849162013</ns0:v>
      </ns0:c>
      <ns0:c r="P235" s="16">
        <ns0:f>(E235+G235)*(1-'前提と出典'!$B$7)-I235-K235-M235-O235</ns0:f>
        <ns0:v>497686.92655431526</ns0:v>
      </ns0:c>
      <ns0:c r="Q235" s="16">
        <ns0:f>(F235+H235)*(1-'前提と出典'!$B$7)-J235-L235-N235</ns0:f>
        <ns0:v>164481.27558946796</ns0:v>
      </ns0:c>
      <ns0:c r="R235" s="16">
        <ns0:f>P235-E235*'前提と出典'!$E$4</ns0:f>
        <ns0:v>363595.2618427625</ns0:v>
      </ns0:c>
      <ns0:c r="S235" s="16">
        <ns0:f>Q235-F235*'前提と出典'!$E$4</ns0:f>
        <ns0:v>111855.16884598037</ns0:v>
      </ns0:c>
      <ns0:c r="T235" s="7">
        <ns0:f>R235+S235</ns0:f>
        <ns0:v>475450.4306887429</ns0:v>
      </ns0:c>
      <ns0:c r="U235" s="16">
        <ns0:f>P235-E235*'前提と出典'!$E$5</ns0:f>
        <ns0:v>318898.04027224466</ns0:v>
      </ns0:c>
      <ns0:c r="V235" s="16">
        <ns0:f>Q235-F235*'前提と出典'!$E$5</ns0:f>
        <ns0:v>94313.13326481782</ns0:v>
      </ns0:c>
      <ns0:c r="W235" s="7">
        <ns0:f>U235+V235</ns0:f>
        <ns0:v>413211.1735370625</ns0:v>
      </ns0:c>
      <ns0:c r="X235" s="16">
        <ns0:f>P235-E235*'前提と出典'!$E$6</ns0:f>
        <ns0:v>274200.818701727</ns0:v>
      </ns0:c>
      <ns0:c r="Y235" s="16">
        <ns0:f>Q235-F235*'前提と出典'!$E$6</ns0:f>
        <ns0:v>76771.09768365533</ns0:v>
      </ns0:c>
      <ns0:c r="Z235" s="7">
        <ns0:f>X235+Y235</ns0:f>
        <ns0:v>350971.91638538236</ns0:v>
      </ns0:c>
      <ns0:c r="AA235" s="7">
        <ns0:f>IF(T235&gt;=0,A235,1001)</ns0:f>
        <ns0:v>231</ns0:v>
      </ns0:c>
      <ns0:c r="AB235" s="7">
        <ns0:f>IF(T235&lt;0,A235,0)</ns0:f>
        <ns0:v>0</ns0:v>
      </ns0:c>
      <ns0:c r="AC235" s="16">
        <ns0:f>IF(AND(OR('前提と出典'!$C$36+'前提と出典'!$C$38=0,R235&gt;=0),OR('前提と出典'!$C$37+'前提と出典'!$C$38=0,S235&gt;=0)),0,A235)</ns0:f>
        <ns0:v>0</ns0:v>
      </ns0:c>
      <ns0:c r="AD235" s="7">
        <ns0:f>IF(W235&gt;=0,A235,1001)</ns0:f>
        <ns0:v>231</ns0:v>
      </ns0:c>
      <ns0:c r="AE235" s="7">
        <ns0:f>IF(W235&lt;0,A235,0)</ns0:f>
        <ns0:v>0</ns0:v>
      </ns0:c>
      <ns0:c r="AF235" s="16">
        <ns0:f>IF(AND(OR('前提と出典'!$C$36+'前提と出典'!$C$38=0,U235&gt;=0),OR('前提と出典'!$C$37+'前提と出典'!$C$38=0,V235&gt;=0)),0,A235)</ns0:f>
        <ns0:v>0</ns0:v>
      </ns0:c>
      <ns0:c r="AG235" s="7">
        <ns0:f>IF(Z235&gt;=0,A235,1001)</ns0:f>
        <ns0:v>231</ns0:v>
      </ns0:c>
      <ns0:c r="AH235" s="4">
        <ns0:f>IF(Z235&lt;0,A235,0)</ns0:f>
        <ns0:v>0</ns0:v>
      </ns0:c>
      <ns0:c r="AI235" s="12">
        <ns0:f>IF(AND(OR('前提と出典'!$C$36+'前提と出典'!$C$38=0,X235&gt;=0),OR('前提と出典'!$C$37+'前提と出典'!$C$38=0,Y235&gt;=0)),0,A235)</ns0:f>
        <ns0:v>0</ns0:v>
      </ns0:c>
    </ns0:row>
    <ns0:row r="236" ht="24" customHeight="1">
      <ns0:c r="A236" s="4" t="n">
        <ns0:v>232</ns0:v>
      </ns0:c>
      <ns0:c r="B236" s="12">
        <ns0:f>A236*('前提と出典'!$C$36+'前提と出典'!$C$38)</ns0:f>
        <ns0:v>162.39999999999998</ns0:v>
      </ns0:c>
      <ns0:c r="C236" s="12">
        <ns0:f>A236*('前提と出典'!$C$37+'前提と出典'!$C$38)</ns0:f>
        <ns0:v>139.2</ns0:v>
      </ns0:c>
      <ns0:c r="D236" s="16">
        <ns0:f>A236*('前提と出典'!$C$36*'契約別単価'!C5+'前提と出典'!$C$37*'契約別単価'!C6+'前提と出典'!$C$38*'契約別単価'!C7)</ns0:f>
        <ns0:v>1669.36312849162</ns0:v>
      </ns0:c>
      <ns0:c r="E236" s="16">
        <ns0:f>A236*('前提と出典'!$C$36*'契約別単価'!E5+'前提と出典'!$C$37*'契約別単価'!E6+'前提と出典'!$C$38*'契約別単価'!E7)</ns0:f>
        <ns0:v>448907.1603619089</ns0:v>
      </ns0:c>
      <ns0:c r="F236" s="16">
        <ns0:f>A236*('前提と出典'!$C$36*'契約別単価'!F5+'前提と出典'!$C$37*'契約別単価'!F6+'前提と出典'!$C$38*'契約別単価'!F7)</ns0:f>
        <ns0:v>176179.75129132927</ns0:v>
      </ns0:c>
      <ns0:c r="G236" s="16">
        <ns0:f>A236*('前提と出典'!$C$36*'契約別単価'!G5+'前提と出典'!$C$37*'契約別単価'!G6+'前提と出典'!$C$38*'契約別単価'!G7)</ns0:f>
        <ns0:v>461796.6480446927</ns0:v>
      </ns0:c>
      <ns0:c r="H236" s="16">
        <ns0:f>A236*('前提と出典'!$C$36*'契約別単価'!H5+'前提と出典'!$C$37*'契約別単価'!H6+'前提と出典'!$C$38*'契約別単価'!H7)</ns0:f>
        <ns0:v>160266.59779343643</ns0:v>
      </ns0:c>
      <ns0:c r="I236" s="16">
        <ns0:f>A236*('前提と出典'!$C$36*'契約別単価'!I5+'前提と出典'!$C$37*'契約別単価'!I6+'前提と出典'!$C$38*'契約別単価'!I7)</ns0:f>
        <ns0:v>9789.36312849162</ns0:v>
      </ns0:c>
      <ns0:c r="J236" s="16">
        <ns0:f>A236*('前提と出典'!$C$36*'契約別単価'!J5+'前提と出典'!$C$37*'契約別単価'!J6+'前提と出典'!$C$38*'契約別単価'!J7)</ns0:f>
        <ns0:v>22803.174140790197</ns0:v>
      </ns0:c>
      <ns0:c r="K236" s="16">
        <ns0:f>A236*('前提と出典'!$C$36*'契約別単価'!K5+'前提と出典'!$C$37*'契約別単価'!K6+'前提と出典'!$C$38*'契約別単価'!K7)</ns0:f>
        <ns0:v>97742.4208566108</ns0:v>
      </ns0:c>
      <ns0:c r="L236" s="16">
        <ns0:f>A236*('前提と出典'!$C$36*'契約別単価'!L5+'前提と出典'!$C$37*'契約別単価'!L6+'前提と出典'!$C$38*'契約別単価'!L7)</ns0:f>
        <ns0:v>79582.21992644788</ns0:v>
      </ns0:c>
      <ns0:c r="M236" s="16">
        <ns0:f>IF(('前提と出典'!$C$36+'前提と出典'!$C$38)=0,0,IF(B236&lt;=10,'前提と出典'!B73+'前提と出典'!C73,IF(B236&lt;=100,'前提と出典'!B74+'前提と出典'!C74,IF(B236&lt;=500,'前提と出典'!B75+'前提と出典'!C75,'前提と出典'!B76+'前提と出典'!C76))))</ns0:f>
        <ns0:v>40000</ns0:v>
      </ns0:c>
      <ns0:c r="N236" s="16">
        <ns0:f>IF(('前提と出典'!$C$37+'前提と出典'!$C$38)=0,0,IF(C236&lt;=10,'前提と出典'!D73+'前提と出典'!E73,IF(C236&lt;=100,'前提と出典'!D74+'前提と出典'!E74,IF(C236&lt;=500,'前提と出典'!D75+'前提と出典'!E75,'前提と出典'!D76+'前提と出典'!E76))))</ns0:f>
        <ns0:v>56510.9346263078</ns0:v>
      </ns0:c>
      <ns0:c r="O236" s="16">
        <ns0:f>IF('前提と出典'!$C$36+'前提と出典'!$C$38=0,0,'前提と出典'!$B$4*IF('前提と出典'!$B$20=0,MAX('前提と出典'!$B$6,D236*'前提と出典'!$B$5),'前提と出典'!$B$6+D236*'前提と出典'!$B$5))</ns0:f>
        <ns0:v>230372.1117318436</ns0:v>
      </ns0:c>
      <ns0:c r="P236" s="16">
        <ns0:f>(E236+G236)*(1-'前提と出典'!$B$7)-I236-K236-M236-O236</ns0:f>
        <ns0:v>500014.57558701816</ns0:v>
      </ns0:c>
      <ns0:c r="Q236" s="16">
        <ns0:f>(F236+H236)*(1-'前提と出典'!$B$7)-J236-L236-N236</ns0:f>
        <ns0:v>165437.95182416827</ns0:v>
      </ns0:c>
      <ns0:c r="R236" s="16">
        <ns0:f>P236-E236*'前提と出典'!$E$4</ns0:f>
        <ns0:v>365342.42747844534</ns0:v>
      </ns0:c>
      <ns0:c r="S236" s="16">
        <ns0:f>Q236-F236*'前提と出典'!$E$4</ns0:f>
        <ns0:v>112584.02643676946</ns0:v>
      </ns0:c>
      <ns0:c r="T236" s="7">
        <ns0:f>R236+S236</ns0:f>
        <ns0:v>477926.4539152148</ns0:v>
      </ns0:c>
      <ns0:c r="U236" s="16">
        <ns0:f>P236-E236*'前提と出典'!$E$5</ns0:f>
        <ns0:v>320451.7114422546</ns0:v>
      </ns0:c>
      <ns0:c r="V236" s="16">
        <ns0:f>Q236-F236*'前提と出典'!$E$5</ns0:f>
        <ns0:v>94966.05130763655</ns0:v>
      </ns0:c>
      <ns0:c r="W236" s="7">
        <ns0:f>U236+V236</ns0:f>
        <ns0:v>415417.76274989115</ns0:v>
      </ns0:c>
      <ns0:c r="X236" s="16">
        <ns0:f>P236-E236*'前提と出典'!$E$6</ns0:f>
        <ns0:v>275560.9954060636</ns0:v>
      </ns0:c>
      <ns0:c r="Y236" s="16">
        <ns0:f>Q236-F236*'前提と出典'!$E$6</ns0:f>
        <ns0:v>77348.07617850363</ns0:v>
      </ns0:c>
      <ns0:c r="Z236" s="7">
        <ns0:f>X236+Y236</ns0:f>
        <ns0:v>352909.07158456725</ns0:v>
      </ns0:c>
      <ns0:c r="AA236" s="7">
        <ns0:f>IF(T236&gt;=0,A236,1001)</ns0:f>
        <ns0:v>232</ns0:v>
      </ns0:c>
      <ns0:c r="AB236" s="7">
        <ns0:f>IF(T236&lt;0,A236,0)</ns0:f>
        <ns0:v>0</ns0:v>
      </ns0:c>
      <ns0:c r="AC236" s="16">
        <ns0:f>IF(AND(OR('前提と出典'!$C$36+'前提と出典'!$C$38=0,R236&gt;=0),OR('前提と出典'!$C$37+'前提と出典'!$C$38=0,S236&gt;=0)),0,A236)</ns0:f>
        <ns0:v>0</ns0:v>
      </ns0:c>
      <ns0:c r="AD236" s="7">
        <ns0:f>IF(W236&gt;=0,A236,1001)</ns0:f>
        <ns0:v>232</ns0:v>
      </ns0:c>
      <ns0:c r="AE236" s="7">
        <ns0:f>IF(W236&lt;0,A236,0)</ns0:f>
        <ns0:v>0</ns0:v>
      </ns0:c>
      <ns0:c r="AF236" s="16">
        <ns0:f>IF(AND(OR('前提と出典'!$C$36+'前提と出典'!$C$38=0,U236&gt;=0),OR('前提と出典'!$C$37+'前提と出典'!$C$38=0,V236&gt;=0)),0,A236)</ns0:f>
        <ns0:v>0</ns0:v>
      </ns0:c>
      <ns0:c r="AG236" s="7">
        <ns0:f>IF(Z236&gt;=0,A236,1001)</ns0:f>
        <ns0:v>232</ns0:v>
      </ns0:c>
      <ns0:c r="AH236" s="4">
        <ns0:f>IF(Z236&lt;0,A236,0)</ns0:f>
        <ns0:v>0</ns0:v>
      </ns0:c>
      <ns0:c r="AI236" s="12">
        <ns0:f>IF(AND(OR('前提と出典'!$C$36+'前提と出典'!$C$38=0,X236&gt;=0),OR('前提と出典'!$C$37+'前提と出典'!$C$38=0,Y236&gt;=0)),0,A236)</ns0:f>
        <ns0:v>0</ns0:v>
      </ns0:c>
    </ns0:row>
    <ns0:row r="237" ht="24" customHeight="1">
      <ns0:c r="A237" s="4" t="n">
        <ns0:v>233</ns0:v>
      </ns0:c>
      <ns0:c r="B237" s="12">
        <ns0:f>A237*('前提と出典'!$C$36+'前提と出典'!$C$38)</ns0:f>
        <ns0:v>163.1</ns0:v>
      </ns0:c>
      <ns0:c r="C237" s="12">
        <ns0:f>A237*('前提と出典'!$C$37+'前提と出典'!$C$38)</ns0:f>
        <ns0:v>139.79999999999998</ns0:v>
      </ns0:c>
      <ns0:c r="D237" s="16">
        <ns0:f>A237*('前提と出典'!$C$36*'契約別単価'!C5+'前提と出典'!$C$37*'契約別単価'!C6+'前提と出典'!$C$38*'契約別単価'!C7)</ns0:f>
        <ns0:v>1676.558659217877</ns0:v>
      </ns0:c>
      <ns0:c r="E237" s="16">
        <ns0:f>A237*('前提と出典'!$C$36*'契約別単価'!E5+'前提と出典'!$C$37*'契約別単価'!E6+'前提と出典'!$C$38*'契約別単価'!E7)</ns0:f>
        <ns0:v>450842.1050186413</ns0:v>
      </ns0:c>
      <ns0:c r="F237" s="16">
        <ns0:f>A237*('前提と出典'!$C$36*'契約別単価'!F5+'前提と出典'!$C$37*'契約別単価'!F6+'前提と出典'!$C$38*'契約別単価'!F7)</ns0:f>
        <ns0:v>176939.1467710333</ns0:v>
      </ns0:c>
      <ns0:c r="G237" s="16">
        <ns0:f>A237*('前提と出典'!$C$36*'契約別単価'!G5+'前提と出典'!$C$37*'契約別単価'!G6+'前提と出典'!$C$38*'契約別単価'!G7)</ns0:f>
        <ns0:v>463787.1508379888</ns0:v>
      </ns0:c>
      <ns0:c r="H237" s="16">
        <ns0:f>A237*('前提と出典'!$C$36*'契約別単価'!H5+'前提と出典'!$C$37*'契約別単価'!H6+'前提と出典'!$C$38*'契約別単価'!H7)</ns0:f>
        <ns0:v>160957.4020942702</ns0:v>
      </ns0:c>
      <ns0:c r="I237" s="16">
        <ns0:f>A237*('前提と出典'!$C$36*'契約別単価'!I5+'前提と出典'!$C$37*'契約別単価'!I6+'前提と出典'!$C$38*'契約別単価'!I7)</ns0:f>
        <ns0:v>9831.558659217875</ns0:v>
      </ns0:c>
      <ns0:c r="J237" s="16">
        <ns0:f>A237*('前提と出典'!$C$36*'契約別単価'!J5+'前提と出典'!$C$37*'契約別単価'!J6+'前提と出典'!$C$38*'契約別単価'!J7)</ns0:f>
        <ns0:v>22901.463684500497</ns0:v>
      </ns0:c>
      <ns0:c r="K237" s="16">
        <ns0:f>A237*('前提と出典'!$C$36*'契約別単価'!K5+'前提と出典'!$C$37*'契約別単価'!K6+'前提と出典'!$C$38*'契約別単価'!K7)</ns0:f>
        <ns0:v>98163.72439478584</ns0:v>
      </ns0:c>
      <ns0:c r="L237" s="16">
        <ns0:f>A237*('前提と出典'!$C$36*'契約別単価'!L5+'前提と出典'!$C$37*'契約別単価'!L6+'前提と出典'!$C$38*'契約別単価'!L7)</ns0:f>
        <ns0:v>79925.24673647567</ns0:v>
      </ns0:c>
      <ns0:c r="M237" s="16">
        <ns0:f>IF(('前提と出典'!$C$36+'前提と出典'!$C$38)=0,0,IF(B237&lt;=10,'前提と出典'!B73+'前提と出典'!C73,IF(B237&lt;=100,'前提と出典'!B74+'前提と出典'!C74,IF(B237&lt;=500,'前提と出典'!B75+'前提と出典'!C75,'前提と出典'!B76+'前提と出典'!C76))))</ns0:f>
        <ns0:v>40000</ns0:v>
      </ns0:c>
      <ns0:c r="N237" s="16">
        <ns0:f>IF(('前提と出典'!$C$37+'前提と出典'!$C$38)=0,0,IF(C237&lt;=10,'前提と出典'!D73+'前提と出典'!E73,IF(C237&lt;=100,'前提と出典'!D74+'前提と出典'!E74,IF(C237&lt;=500,'前提と出典'!D75+'前提と出典'!E75,'前提と出典'!D76+'前提と出典'!E76))))</ns0:f>
        <ns0:v>56510.9346263078</ns0:v>
      </ns0:c>
      <ns0:c r="O237" s="16">
        <ns0:f>IF('前提と出典'!$C$36+'前提と出典'!$C$38=0,0,'前提と出典'!$B$4*IF('前提と出典'!$B$20=0,MAX('前提と出典'!$B$6,D237*'前提と出典'!$B$5),'前提と出典'!$B$6+D237*'前提と出典'!$B$5))</ns0:f>
        <ns0:v>231365.09497206705</ns0:v>
      </ns0:c>
      <ns0:c r="P237" s="16">
        <ns0:f>(E237+G237)*(1-'前提と出典'!$B$7)-I237-K237-M237-O237</ns0:f>
        <ns0:v>502342.22461972066</ns0:v>
      </ns0:c>
      <ns0:c r="Q237" s="16">
        <ns0:f>(F237+H237)*(1-'前提と出典'!$B$7)-J237-L237-N237</ns0:f>
        <ns0:v>166394.62805886863</ns0:v>
      </ns0:c>
      <ns0:c r="R237" s="16">
        <ns0:f>P237-E237*'前提と出典'!$E$4</ns0:f>
        <ns0:v>367089.59311412834</ns0:v>
      </ns0:c>
      <ns0:c r="S237" s="16">
        <ns0:f>Q237-F237*'前提と出典'!$E$4</ns0:f>
        <ns0:v>113312.88402755867</ns0:v>
      </ns0:c>
      <ns0:c r="T237" s="7">
        <ns0:f>R237+S237</ns0:f>
        <ns0:v>480402.477141687</ns0:v>
      </ns0:c>
      <ns0:c r="U237" s="16">
        <ns0:f>P237-E237*'前提と出典'!$E$5</ns0:f>
        <ns0:v>322005.38261226413</ns0:v>
      </ns0:c>
      <ns0:c r="V237" s="16">
        <ns0:f>Q237-F237*'前提と出典'!$E$5</ns0:f>
        <ns0:v>95618.96935045533</ns0:v>
      </ns0:c>
      <ns0:c r="W237" s="7">
        <ns0:f>U237+V237</ns0:f>
        <ns0:v>417624.35196271946</ns0:v>
      </ns0:c>
      <ns0:c r="X237" s="16">
        <ns0:f>P237-E237*'前提と出典'!$E$6</ns0:f>
        <ns0:v>276921.17211040005</ns0:v>
      </ns0:c>
      <ns0:c r="Y237" s="16">
        <ns0:f>Q237-F237*'前提と出典'!$E$6</ns0:f>
        <ns0:v>77925.05467335199</ns0:v>
      </ns0:c>
      <ns0:c r="Z237" s="7">
        <ns0:f>X237+Y237</ns0:f>
        <ns0:v>354846.22678375203</ns0:v>
      </ns0:c>
      <ns0:c r="AA237" s="7">
        <ns0:f>IF(T237&gt;=0,A237,1001)</ns0:f>
        <ns0:v>233</ns0:v>
      </ns0:c>
      <ns0:c r="AB237" s="7">
        <ns0:f>IF(T237&lt;0,A237,0)</ns0:f>
        <ns0:v>0</ns0:v>
      </ns0:c>
      <ns0:c r="AC237" s="16">
        <ns0:f>IF(AND(OR('前提と出典'!$C$36+'前提と出典'!$C$38=0,R237&gt;=0),OR('前提と出典'!$C$37+'前提と出典'!$C$38=0,S237&gt;=0)),0,A237)</ns0:f>
        <ns0:v>0</ns0:v>
      </ns0:c>
      <ns0:c r="AD237" s="7">
        <ns0:f>IF(W237&gt;=0,A237,1001)</ns0:f>
        <ns0:v>233</ns0:v>
      </ns0:c>
      <ns0:c r="AE237" s="7">
        <ns0:f>IF(W237&lt;0,A237,0)</ns0:f>
        <ns0:v>0</ns0:v>
      </ns0:c>
      <ns0:c r="AF237" s="16">
        <ns0:f>IF(AND(OR('前提と出典'!$C$36+'前提と出典'!$C$38=0,U237&gt;=0),OR('前提と出典'!$C$37+'前提と出典'!$C$38=0,V237&gt;=0)),0,A237)</ns0:f>
        <ns0:v>0</ns0:v>
      </ns0:c>
      <ns0:c r="AG237" s="7">
        <ns0:f>IF(Z237&gt;=0,A237,1001)</ns0:f>
        <ns0:v>233</ns0:v>
      </ns0:c>
      <ns0:c r="AH237" s="4">
        <ns0:f>IF(Z237&lt;0,A237,0)</ns0:f>
        <ns0:v>0</ns0:v>
      </ns0:c>
      <ns0:c r="AI237" s="12">
        <ns0:f>IF(AND(OR('前提と出典'!$C$36+'前提と出典'!$C$38=0,X237&gt;=0),OR('前提と出典'!$C$37+'前提と出典'!$C$38=0,Y237&gt;=0)),0,A237)</ns0:f>
        <ns0:v>0</ns0:v>
      </ns0:c>
    </ns0:row>
    <ns0:row r="238" ht="24" customHeight="1">
      <ns0:c r="A238" s="4" t="n">
        <ns0:v>234</ns0:v>
      </ns0:c>
      <ns0:c r="B238" s="12">
        <ns0:f>A238*('前提と出典'!$C$36+'前提と出典'!$C$38)</ns0:f>
        <ns0:v>163.79999999999998</ns0:v>
      </ns0:c>
      <ns0:c r="C238" s="12">
        <ns0:f>A238*('前提と出典'!$C$37+'前提と出典'!$C$38)</ns0:f>
        <ns0:v>140.4</ns0:v>
      </ns0:c>
      <ns0:c r="D238" s="16">
        <ns0:f>A238*('前提と出典'!$C$36*'契約別単価'!C5+'前提と出典'!$C$37*'契約別単価'!C6+'前提と出典'!$C$38*'契約別単価'!C7)</ns0:f>
        <ns0:v>1683.7541899441342</ns0:v>
      </ns0:c>
      <ns0:c r="E238" s="16">
        <ns0:f>A238*('前提と出典'!$C$36*'契約別単価'!E5+'前提と出典'!$C$37*'契約別単価'!E6+'前提と出典'!$C$38*'契約別単価'!E7)</ns0:f>
        <ns0:v>452777.04967537365</ns0:v>
      </ns0:c>
      <ns0:c r="F238" s="16">
        <ns0:f>A238*('前提と出典'!$C$36*'契約別単価'!F5+'前提と出典'!$C$37*'契約別単価'!F6+'前提と出典'!$C$38*'契約別単価'!F7)</ns0:f>
        <ns0:v>177698.5422507373</ns0:v>
      </ns0:c>
      <ns0:c r="G238" s="16">
        <ns0:f>A238*('前提と出典'!$C$36*'契約別単価'!G5+'前提と出典'!$C$37*'契約別単価'!G6+'前提と出典'!$C$38*'契約別単価'!G7)</ns0:f>
        <ns0:v>465777.6536312849</ns0:v>
      </ns0:c>
      <ns0:c r="H238" s="16">
        <ns0:f>A238*('前提と出典'!$C$36*'契約別単価'!H5+'前提と出典'!$C$37*'契約別単価'!H6+'前提と出典'!$C$38*'契約別単価'!H7)</ns0:f>
        <ns0:v>161648.20639510397</ns0:v>
      </ns0:c>
      <ns0:c r="I238" s="16">
        <ns0:f>A238*('前提と出典'!$C$36*'契約別単価'!I5+'前提と出典'!$C$37*'契約別単価'!I6+'前提と出典'!$C$38*'契約別単価'!I7)</ns0:f>
        <ns0:v>9873.754189944133</ns0:v>
      </ns0:c>
      <ns0:c r="J238" s="16">
        <ns0:f>A238*('前提と出典'!$C$36*'契約別単価'!J5+'前提と出典'!$C$37*'契約別単価'!J6+'前提と出典'!$C$38*'契約別単価'!J7)</ns0:f>
        <ns0:v>22999.7532282108</ns0:v>
      </ns0:c>
      <ns0:c r="K238" s="16">
        <ns0:f>A238*('前提と出典'!$C$36*'契約別単価'!K5+'前提と出典'!$C$37*'契約別単価'!K6+'前提と出典'!$C$38*'契約別単価'!K7)</ns0:f>
        <ns0:v>98585.02793296089</ns0:v>
      </ns0:c>
      <ns0:c r="L238" s="16">
        <ns0:f>A238*('前提と出典'!$C$36*'契約別単価'!L5+'前提と出典'!$C$37*'契約別単価'!L6+'前提と出典'!$C$38*'契約別単価'!L7)</ns0:f>
        <ns0:v>80268.27354650346</ns0:v>
      </ns0:c>
      <ns0:c r="M238" s="16">
        <ns0:f>IF(('前提と出典'!$C$36+'前提と出典'!$C$38)=0,0,IF(B238&lt;=10,'前提と出典'!B73+'前提と出典'!C73,IF(B238&lt;=100,'前提と出典'!B74+'前提と出典'!C74,IF(B238&lt;=500,'前提と出典'!B75+'前提と出典'!C75,'前提と出典'!B76+'前提と出典'!C76))))</ns0:f>
        <ns0:v>40000</ns0:v>
      </ns0:c>
      <ns0:c r="N238" s="16">
        <ns0:f>IF(('前提と出典'!$C$37+'前提と出典'!$C$38)=0,0,IF(C238&lt;=10,'前提と出典'!D73+'前提と出典'!E73,IF(C238&lt;=100,'前提と出典'!D74+'前提と出典'!E74,IF(C238&lt;=500,'前提と出典'!D75+'前提と出典'!E75,'前提と出典'!D76+'前提と出典'!E76))))</ns0:f>
        <ns0:v>56510.9346263078</ns0:v>
      </ns0:c>
      <ns0:c r="O238" s="16">
        <ns0:f>IF('前提と出典'!$C$36+'前提と出典'!$C$38=0,0,'前提と出典'!$B$4*IF('前提と出典'!$B$20=0,MAX('前提と出典'!$B$6,D238*'前提と出典'!$B$5),'前提と出典'!$B$6+D238*'前提と出典'!$B$5))</ns0:f>
        <ns0:v>232358.07821229054</ns0:v>
      </ns0:c>
      <ns0:c r="P238" s="16">
        <ns0:f>(E238+G238)*(1-'前提と出典'!$B$7)-I238-K238-M238-O238</ns0:f>
        <ns0:v>504669.87365242327</ns0:v>
      </ns0:c>
      <ns0:c r="Q238" s="16">
        <ns0:f>(F238+H238)*(1-'前提と出典'!$B$7)-J238-L238-N238</ns0:f>
        <ns0:v>167351.30429356892</ns0:v>
      </ns0:c>
      <ns0:c r="R238" s="16">
        <ns0:f>P238-E238*'前提と出典'!$E$4</ns0:f>
        <ns0:v>368836.7587498112</ns0:v>
      </ns0:c>
      <ns0:c r="S238" s="16">
        <ns0:f>Q238-F238*'前提と出典'!$E$4</ns0:f>
        <ns0:v>114041.74161834776</ns0:v>
      </ns0:c>
      <ns0:c r="T238" s="7">
        <ns0:f>R238+S238</ns0:f>
        <ns0:v>482878.500368159</ns0:v>
      </ns0:c>
      <ns0:c r="U238" s="16">
        <ns0:f>P238-E238*'前提と出典'!$E$5</ns0:f>
        <ns0:v>323559.0537822738</ns0:v>
      </ns0:c>
      <ns0:c r="V238" s="16">
        <ns0:f>Q238-F238*'前提と出典'!$E$5</ns0:f>
        <ns0:v>96271.887393274</ns0:v>
      </ns0:c>
      <ns0:c r="W238" s="7">
        <ns0:f>U238+V238</ns0:f>
        <ns0:v>419830.9411755478</ns0:v>
      </ns0:c>
      <ns0:c r="X238" s="16">
        <ns0:f>P238-E238*'前提と出典'!$E$6</ns0:f>
        <ns0:v>278281.34881473647</ns0:v>
      </ns0:c>
      <ns0:c r="Y238" s="16">
        <ns0:f>Q238-F238*'前提と出典'!$E$6</ns0:f>
        <ns0:v>78502.03316820029</ns0:v>
      </ns0:c>
      <ns0:c r="Z238" s="7">
        <ns0:f>X238+Y238</ns0:f>
        <ns0:v>356783.38198293676</ns0:v>
      </ns0:c>
      <ns0:c r="AA238" s="7">
        <ns0:f>IF(T238&gt;=0,A238,1001)</ns0:f>
        <ns0:v>234</ns0:v>
      </ns0:c>
      <ns0:c r="AB238" s="7">
        <ns0:f>IF(T238&lt;0,A238,0)</ns0:f>
        <ns0:v>0</ns0:v>
      </ns0:c>
      <ns0:c r="AC238" s="16">
        <ns0:f>IF(AND(OR('前提と出典'!$C$36+'前提と出典'!$C$38=0,R238&gt;=0),OR('前提と出典'!$C$37+'前提と出典'!$C$38=0,S238&gt;=0)),0,A238)</ns0:f>
        <ns0:v>0</ns0:v>
      </ns0:c>
      <ns0:c r="AD238" s="7">
        <ns0:f>IF(W238&gt;=0,A238,1001)</ns0:f>
        <ns0:v>234</ns0:v>
      </ns0:c>
      <ns0:c r="AE238" s="7">
        <ns0:f>IF(W238&lt;0,A238,0)</ns0:f>
        <ns0:v>0</ns0:v>
      </ns0:c>
      <ns0:c r="AF238" s="16">
        <ns0:f>IF(AND(OR('前提と出典'!$C$36+'前提と出典'!$C$38=0,U238&gt;=0),OR('前提と出典'!$C$37+'前提と出典'!$C$38=0,V238&gt;=0)),0,A238)</ns0:f>
        <ns0:v>0</ns0:v>
      </ns0:c>
      <ns0:c r="AG238" s="7">
        <ns0:f>IF(Z238&gt;=0,A238,1001)</ns0:f>
        <ns0:v>234</ns0:v>
      </ns0:c>
      <ns0:c r="AH238" s="4">
        <ns0:f>IF(Z238&lt;0,A238,0)</ns0:f>
        <ns0:v>0</ns0:v>
      </ns0:c>
      <ns0:c r="AI238" s="12">
        <ns0:f>IF(AND(OR('前提と出典'!$C$36+'前提と出典'!$C$38=0,X238&gt;=0),OR('前提と出典'!$C$37+'前提と出典'!$C$38=0,Y238&gt;=0)),0,A238)</ns0:f>
        <ns0:v>0</ns0:v>
      </ns0:c>
    </ns0:row>
    <ns0:row r="239" ht="24" customHeight="1">
      <ns0:c r="A239" s="4" t="n">
        <ns0:v>235</ns0:v>
      </ns0:c>
      <ns0:c r="B239" s="12">
        <ns0:f>A239*('前提と出典'!$C$36+'前提と出典'!$C$38)</ns0:f>
        <ns0:v>164.5</ns0:v>
      </ns0:c>
      <ns0:c r="C239" s="12">
        <ns0:f>A239*('前提と出典'!$C$37+'前提と出典'!$C$38)</ns0:f>
        <ns0:v>141</ns0:v>
      </ns0:c>
      <ns0:c r="D239" s="16">
        <ns0:f>A239*('前提と出典'!$C$36*'契約別単価'!C5+'前提と出典'!$C$37*'契約別単価'!C6+'前提と出典'!$C$38*'契約別単価'!C7)</ns0:f>
        <ns0:v>1690.9497206703911</ns0:v>
      </ns0:c>
      <ns0:c r="E239" s="16">
        <ns0:f>A239*('前提と出典'!$C$36*'契約別単価'!E5+'前提と出典'!$C$37*'契約別単価'!E6+'前提と出典'!$C$38*'契約別単価'!E7)</ns0:f>
        <ns0:v>454711.994332106</ns0:v>
      </ns0:c>
      <ns0:c r="F239" s="16">
        <ns0:f>A239*('前提と出典'!$C$36*'契約別単価'!F5+'前提と出典'!$C$37*'契約別単価'!F6+'前提と出典'!$C$38*'契約別単価'!F7)</ns0:f>
        <ns0:v>178457.9377304413</ns0:v>
      </ns0:c>
      <ns0:c r="G239" s="16">
        <ns0:f>A239*('前提と出典'!$C$36*'契約別単価'!G5+'前提と出典'!$C$37*'契約別単価'!G6+'前提と出典'!$C$38*'契約別単価'!G7)</ns0:f>
        <ns0:v>467768.15642458096</ns0:v>
      </ns0:c>
      <ns0:c r="H239" s="16">
        <ns0:f>A239*('前提と出典'!$C$36*'契約別単価'!H5+'前提と出典'!$C$37*'契約別単価'!H6+'前提と出典'!$C$38*'契約別単価'!H7)</ns0:f>
        <ns0:v>162339.01069593776</ns0:v>
      </ns0:c>
      <ns0:c r="I239" s="16">
        <ns0:f>A239*('前提と出典'!$C$36*'契約別単価'!I5+'前提と出典'!$C$37*'契約別単価'!I6+'前提と出典'!$C$38*'契約別単価'!I7)</ns0:f>
        <ns0:v>9915.949720670389</ns0:v>
      </ns0:c>
      <ns0:c r="J239" s="16">
        <ns0:f>A239*('前提と出典'!$C$36*'契約別単価'!J5+'前提と出典'!$C$37*'契約別単価'!J6+'前提と出典'!$C$38*'契約別単価'!J7)</ns0:f>
        <ns0:v>23098.042771921104</ns0:v>
      </ns0:c>
      <ns0:c r="K239" s="16">
        <ns0:f>A239*('前提と出典'!$C$36*'契約別単価'!K5+'前提と出典'!$C$37*'契約別単価'!K6+'前提と出典'!$C$38*'契約別単価'!K7)</ns0:f>
        <ns0:v>99006.33147113593</ns0:v>
      </ns0:c>
      <ns0:c r="L239" s="16">
        <ns0:f>A239*('前提と出典'!$C$36*'契約別単価'!L5+'前提と出典'!$C$37*'契約別単価'!L6+'前提と出典'!$C$38*'契約別単価'!L7)</ns0:f>
        <ns0:v>80611.30035653125</ns0:v>
      </ns0:c>
      <ns0:c r="M239" s="16">
        <ns0:f>IF(('前提と出典'!$C$36+'前提と出典'!$C$38)=0,0,IF(B239&lt;=10,'前提と出典'!B73+'前提と出典'!C73,IF(B239&lt;=100,'前提と出典'!B74+'前提と出典'!C74,IF(B239&lt;=500,'前提と出典'!B75+'前提と出典'!C75,'前提と出典'!B76+'前提と出典'!C76))))</ns0:f>
        <ns0:v>40000</ns0:v>
      </ns0:c>
      <ns0:c r="N239" s="16">
        <ns0:f>IF(('前提と出典'!$C$37+'前提と出典'!$C$38)=0,0,IF(C239&lt;=10,'前提と出典'!D73+'前提と出典'!E73,IF(C239&lt;=100,'前提と出典'!D74+'前提と出典'!E74,IF(C239&lt;=500,'前提と出典'!D75+'前提と出典'!E75,'前提と出典'!D76+'前提と出典'!E76))))</ns0:f>
        <ns0:v>56510.9346263078</ns0:v>
      </ns0:c>
      <ns0:c r="O239" s="16">
        <ns0:f>IF('前提と出典'!$C$36+'前提と出典'!$C$38=0,0,'前提と出典'!$B$4*IF('前提と出典'!$B$20=0,MAX('前提と出典'!$B$6,D239*'前提と出典'!$B$5),'前提と出典'!$B$6+D239*'前提と出典'!$B$5))</ns0:f>
        <ns0:v>233351.061452514</ns0:v>
      </ns0:c>
      <ns0:c r="P239" s="16">
        <ns0:f>(E239+G239)*(1-'前提と出典'!$B$7)-I239-K239-M239-O239</ns0:f>
        <ns0:v>506997.5226851258</ns0:v>
      </ns0:c>
      <ns0:c r="Q239" s="16">
        <ns0:f>(F239+H239)*(1-'前提と出典'!$B$7)-J239-L239-N239</ns0:f>
        <ns0:v>168307.98052826925</ns0:v>
      </ns0:c>
      <ns0:c r="R239" s="16">
        <ns0:f>P239-E239*'前提と出典'!$E$4</ns0:f>
        <ns0:v>370583.92438549397</ns0:v>
      </ns0:c>
      <ns0:c r="S239" s="16">
        <ns0:f>Q239-F239*'前提と出典'!$E$4</ns0:f>
        <ns0:v>114770.59920913685</ns0:v>
      </ns0:c>
      <ns0:c r="T239" s="7">
        <ns0:f>R239+S239</ns0:f>
        <ns0:v>485354.5235946308</ns0:v>
      </ns0:c>
      <ns0:c r="U239" s="16">
        <ns0:f>P239-E239*'前提と出典'!$E$5</ns0:f>
        <ns0:v>325112.72495228343</ns0:v>
      </ns0:c>
      <ns0:c r="V239" s="16">
        <ns0:f>Q239-F239*'前提と出典'!$E$5</ns0:f>
        <ns0:v>96924.80543609272</ns0:v>
      </ns0:c>
      <ns0:c r="W239" s="7">
        <ns0:f>U239+V239</ns0:f>
        <ns0:v>422037.53038837615</ns0:v>
      </ns0:c>
      <ns0:c r="X239" s="16">
        <ns0:f>P239-E239*'前提と出典'!$E$6</ns0:f>
        <ns0:v>279641.5255190728</ns0:v>
      </ns0:c>
      <ns0:c r="Y239" s="16">
        <ns0:f>Q239-F239*'前提と出典'!$E$6</ns0:f>
        <ns0:v>79079.01166304859</ns0:v>
      </ns0:c>
      <ns0:c r="Z239" s="7">
        <ns0:f>X239+Y239</ns0:f>
        <ns0:v>358720.53718212136</ns0:v>
      </ns0:c>
      <ns0:c r="AA239" s="7">
        <ns0:f>IF(T239&gt;=0,A239,1001)</ns0:f>
        <ns0:v>235</ns0:v>
      </ns0:c>
      <ns0:c r="AB239" s="7">
        <ns0:f>IF(T239&lt;0,A239,0)</ns0:f>
        <ns0:v>0</ns0:v>
      </ns0:c>
      <ns0:c r="AC239" s="16">
        <ns0:f>IF(AND(OR('前提と出典'!$C$36+'前提と出典'!$C$38=0,R239&gt;=0),OR('前提と出典'!$C$37+'前提と出典'!$C$38=0,S239&gt;=0)),0,A239)</ns0:f>
        <ns0:v>0</ns0:v>
      </ns0:c>
      <ns0:c r="AD239" s="7">
        <ns0:f>IF(W239&gt;=0,A239,1001)</ns0:f>
        <ns0:v>235</ns0:v>
      </ns0:c>
      <ns0:c r="AE239" s="7">
        <ns0:f>IF(W239&lt;0,A239,0)</ns0:f>
        <ns0:v>0</ns0:v>
      </ns0:c>
      <ns0:c r="AF239" s="16">
        <ns0:f>IF(AND(OR('前提と出典'!$C$36+'前提と出典'!$C$38=0,U239&gt;=0),OR('前提と出典'!$C$37+'前提と出典'!$C$38=0,V239&gt;=0)),0,A239)</ns0:f>
        <ns0:v>0</ns0:v>
      </ns0:c>
      <ns0:c r="AG239" s="7">
        <ns0:f>IF(Z239&gt;=0,A239,1001)</ns0:f>
        <ns0:v>235</ns0:v>
      </ns0:c>
      <ns0:c r="AH239" s="4">
        <ns0:f>IF(Z239&lt;0,A239,0)</ns0:f>
        <ns0:v>0</ns0:v>
      </ns0:c>
      <ns0:c r="AI239" s="12">
        <ns0:f>IF(AND(OR('前提と出典'!$C$36+'前提と出典'!$C$38=0,X239&gt;=0),OR('前提と出典'!$C$37+'前提と出典'!$C$38=0,Y239&gt;=0)),0,A239)</ns0:f>
        <ns0:v>0</ns0:v>
      </ns0:c>
    </ns0:row>
    <ns0:row r="240" ht="24" customHeight="1">
      <ns0:c r="A240" s="4" t="n">
        <ns0:v>236</ns0:v>
      </ns0:c>
      <ns0:c r="B240" s="12">
        <ns0:f>A240*('前提と出典'!$C$36+'前提と出典'!$C$38)</ns0:f>
        <ns0:v>165.2</ns0:v>
      </ns0:c>
      <ns0:c r="C240" s="12">
        <ns0:f>A240*('前提と出典'!$C$37+'前提と出典'!$C$38)</ns0:f>
        <ns0:v>141.6</ns0:v>
      </ns0:c>
      <ns0:c r="D240" s="16">
        <ns0:f>A240*('前提と出典'!$C$36*'契約別単価'!C5+'前提と出典'!$C$37*'契約別単価'!C6+'前提と出典'!$C$38*'契約別単価'!C7)</ns0:f>
        <ns0:v>1698.145251396648</ns0:v>
      </ns0:c>
      <ns0:c r="E240" s="16">
        <ns0:f>A240*('前提と出典'!$C$36*'契約別単価'!E5+'前提と出典'!$C$37*'契約別単価'!E6+'前提と出典'!$C$38*'契約別単価'!E7)</ns0:f>
        <ns0:v>456646.93898883834</ns0:v>
      </ns0:c>
      <ns0:c r="F240" s="16">
        <ns0:f>A240*('前提と出典'!$C$36*'契約別単価'!F5+'前提と出典'!$C$37*'契約別単価'!F6+'前提と出典'!$C$38*'契約別単価'!F7)</ns0:f>
        <ns0:v>179217.3332101453</ns0:v>
      </ns0:c>
      <ns0:c r="G240" s="16">
        <ns0:f>A240*('前提と出典'!$C$36*'契約別単価'!G5+'前提と出典'!$C$37*'契約別単価'!G6+'前提と出典'!$C$38*'契約別単価'!G7)</ns0:f>
        <ns0:v>469758.6592178771</ns0:v>
      </ns0:c>
      <ns0:c r="H240" s="16">
        <ns0:f>A240*('前提と出典'!$C$36*'契約別単価'!H5+'前提と出典'!$C$37*'契約別単価'!H6+'前提と出典'!$C$38*'契約別単価'!H7)</ns0:f>
        <ns0:v>163029.81499677154</ns0:v>
      </ns0:c>
      <ns0:c r="I240" s="16">
        <ns0:f>A240*('前提と出典'!$C$36*'契約別単価'!I5+'前提と出典'!$C$37*'契約別単価'!I6+'前提と出典'!$C$38*'契約別単価'!I7)</ns0:f>
        <ns0:v>9958.145251396647</ns0:v>
      </ns0:c>
      <ns0:c r="J240" s="16">
        <ns0:f>A240*('前提と出典'!$C$36*'契約別単価'!J5+'前提と出典'!$C$37*'契約別単価'!J6+'前提と出典'!$C$38*'契約別単価'!J7)</ns0:f>
        <ns0:v>23196.332315631407</ns0:v>
      </ns0:c>
      <ns0:c r="K240" s="16">
        <ns0:f>A240*('前提と出典'!$C$36*'契約別単価'!K5+'前提と出典'!$C$37*'契約別単価'!K6+'前提と出典'!$C$38*'契約別単価'!K7)</ns0:f>
        <ns0:v>99427.63500931098</ns0:v>
      </ns0:c>
      <ns0:c r="L240" s="16">
        <ns0:f>A240*('前提と出典'!$C$36*'契約別単価'!L5+'前提と出典'!$C$37*'契約別単価'!L6+'前提と出典'!$C$38*'契約別単価'!L7)</ns0:f>
        <ns0:v>80954.32716655904</ns0:v>
      </ns0:c>
      <ns0:c r="M240" s="16">
        <ns0:f>IF(('前提と出典'!$C$36+'前提と出典'!$C$38)=0,0,IF(B240&lt;=10,'前提と出典'!B73+'前提と出典'!C73,IF(B240&lt;=100,'前提と出典'!B74+'前提と出典'!C74,IF(B240&lt;=500,'前提と出典'!B75+'前提と出典'!C75,'前提と出典'!B76+'前提と出典'!C76))))</ns0:f>
        <ns0:v>40000</ns0:v>
      </ns0:c>
      <ns0:c r="N240" s="16">
        <ns0:f>IF(('前提と出典'!$C$37+'前提と出典'!$C$38)=0,0,IF(C240&lt;=10,'前提と出典'!D73+'前提と出典'!E73,IF(C240&lt;=100,'前提と出典'!D74+'前提と出典'!E74,IF(C240&lt;=500,'前提と出典'!D75+'前提と出典'!E75,'前提と出典'!D76+'前提と出典'!E76))))</ns0:f>
        <ns0:v>56510.9346263078</ns0:v>
      </ns0:c>
      <ns0:c r="O240" s="16">
        <ns0:f>IF('前提と出典'!$C$36+'前提と出典'!$C$38=0,0,'前提と出典'!$B$4*IF('前提と出典'!$B$20=0,MAX('前提と出典'!$B$6,D240*'前提と出典'!$B$5),'前提と出典'!$B$6+D240*'前提と出典'!$B$5))</ns0:f>
        <ns0:v>234344.04469273743</ns0:v>
      </ns0:c>
      <ns0:c r="P240" s="16">
        <ns0:f>(E240+G240)*(1-'前提と出典'!$B$7)-I240-K240-M240-O240</ns0:f>
        <ns0:v>509325.17171782866</ns0:v>
      </ns0:c>
      <ns0:c r="Q240" s="16">
        <ns0:f>(F240+H240)*(1-'前提と出典'!$B$7)-J240-L240-N240</ns0:f>
        <ns0:v>169264.65676296962</ns0:v>
      </ns0:c>
      <ns0:c r="R240" s="16">
        <ns0:f>P240-E240*'前提と出典'!$E$4</ns0:f>
        <ns0:v>372331.0900211771</ns0:v>
      </ns0:c>
      <ns0:c r="S240" s="16">
        <ns0:f>Q240-F240*'前提と出典'!$E$4</ns0:f>
        <ns0:v>115499.45679992606</ns0:v>
      </ns0:c>
      <ns0:c r="T240" s="7">
        <ns0:f>R240+S240</ns0:f>
        <ns0:v>487830.54682110314</ns0:v>
      </ns0:c>
      <ns0:c r="U240" s="16">
        <ns0:f>P240-E240*'前提と出典'!$E$5</ns0:f>
        <ns0:v>326666.3961222933</ns0:v>
      </ns0:c>
      <ns0:c r="V240" s="16">
        <ns0:f>Q240-F240*'前提と出典'!$E$5</ns0:f>
        <ns0:v>97577.7234789115</ns0:v>
      </ns0:c>
      <ns0:c r="W240" s="7">
        <ns0:f>U240+V240</ns0:f>
        <ns0:v>424244.1196012048</ns0:v>
      </ns0:c>
      <ns0:c r="X240" s="16">
        <ns0:f>P240-E240*'前提と出典'!$E$6</ns0:f>
        <ns0:v>281001.70222340943</ns0:v>
      </ns0:c>
      <ns0:c r="Y240" s="16">
        <ns0:f>Q240-F240*'前提と出典'!$E$6</ns0:f>
        <ns0:v>79655.99015789694</ns0:v>
      </ns0:c>
      <ns0:c r="Z240" s="7">
        <ns0:f>X240+Y240</ns0:f>
        <ns0:v>360657.6923813064</ns0:v>
      </ns0:c>
      <ns0:c r="AA240" s="7">
        <ns0:f>IF(T240&gt;=0,A240,1001)</ns0:f>
        <ns0:v>236</ns0:v>
      </ns0:c>
      <ns0:c r="AB240" s="7">
        <ns0:f>IF(T240&lt;0,A240,0)</ns0:f>
        <ns0:v>0</ns0:v>
      </ns0:c>
      <ns0:c r="AC240" s="16">
        <ns0:f>IF(AND(OR('前提と出典'!$C$36+'前提と出典'!$C$38=0,R240&gt;=0),OR('前提と出典'!$C$37+'前提と出典'!$C$38=0,S240&gt;=0)),0,A240)</ns0:f>
        <ns0:v>0</ns0:v>
      </ns0:c>
      <ns0:c r="AD240" s="7">
        <ns0:f>IF(W240&gt;=0,A240,1001)</ns0:f>
        <ns0:v>236</ns0:v>
      </ns0:c>
      <ns0:c r="AE240" s="7">
        <ns0:f>IF(W240&lt;0,A240,0)</ns0:f>
        <ns0:v>0</ns0:v>
      </ns0:c>
      <ns0:c r="AF240" s="16">
        <ns0:f>IF(AND(OR('前提と出典'!$C$36+'前提と出典'!$C$38=0,U240&gt;=0),OR('前提と出典'!$C$37+'前提と出典'!$C$38=0,V240&gt;=0)),0,A240)</ns0:f>
        <ns0:v>0</ns0:v>
      </ns0:c>
      <ns0:c r="AG240" s="7">
        <ns0:f>IF(Z240&gt;=0,A240,1001)</ns0:f>
        <ns0:v>236</ns0:v>
      </ns0:c>
      <ns0:c r="AH240" s="4">
        <ns0:f>IF(Z240&lt;0,A240,0)</ns0:f>
        <ns0:v>0</ns0:v>
      </ns0:c>
      <ns0:c r="AI240" s="12">
        <ns0:f>IF(AND(OR('前提と出典'!$C$36+'前提と出典'!$C$38=0,X240&gt;=0),OR('前提と出典'!$C$37+'前提と出典'!$C$38=0,Y240&gt;=0)),0,A240)</ns0:f>
        <ns0:v>0</ns0:v>
      </ns0:c>
    </ns0:row>
    <ns0:row r="241" ht="24" customHeight="1">
      <ns0:c r="A241" s="4" t="n">
        <ns0:v>237</ns0:v>
      </ns0:c>
      <ns0:c r="B241" s="12">
        <ns0:f>A241*('前提と出典'!$C$36+'前提と出典'!$C$38)</ns0:f>
        <ns0:v>165.89999999999998</ns0:v>
      </ns0:c>
      <ns0:c r="C241" s="12">
        <ns0:f>A241*('前提と出典'!$C$37+'前提と出典'!$C$38)</ns0:f>
        <ns0:v>142.2</ns0:v>
      </ns0:c>
      <ns0:c r="D241" s="16">
        <ns0:f>A241*('前提と出典'!$C$36*'契約別単価'!C5+'前提と出典'!$C$37*'契約別単価'!C6+'前提と出典'!$C$38*'契約別単価'!C7)</ns0:f>
        <ns0:v>1705.340782122905</ns0:v>
      </ns0:c>
      <ns0:c r="E241" s="16">
        <ns0:f>A241*('前提と出典'!$C$36*'契約別単価'!E5+'前提と出典'!$C$37*'契約別単価'!E6+'前提と出典'!$C$38*'契約別単価'!E7)</ns0:f>
        <ns0:v>458581.8836455707</ns0:v>
      </ns0:c>
      <ns0:c r="F241" s="16">
        <ns0:f>A241*('前提と出典'!$C$36*'契約別単価'!F5+'前提と出典'!$C$37*'契約別単価'!F6+'前提と出典'!$C$38*'契約別単価'!F7)</ns0:f>
        <ns0:v>179976.72868984932</ns0:v>
      </ns0:c>
      <ns0:c r="G241" s="16">
        <ns0:f>A241*('前提と出典'!$C$36*'契約別単価'!G5+'前提と出典'!$C$37*'契約別単価'!G6+'前提と出典'!$C$38*'契約別単価'!G7)</ns0:f>
        <ns0:v>471749.16201117315</ns0:v>
      </ns0:c>
      <ns0:c r="H241" s="16">
        <ns0:f>A241*('前提と出典'!$C$36*'契約別単価'!H5+'前提と出典'!$C$37*'契約別単価'!H6+'前提と出典'!$C$38*'契約別単価'!H7)</ns0:f>
        <ns0:v>163720.6192976053</ns0:v>
      </ns0:c>
      <ns0:c r="I241" s="16">
        <ns0:f>A241*('前提と出典'!$C$36*'契約別単価'!I5+'前提と出典'!$C$37*'契約別単価'!I6+'前提と出典'!$C$38*'契約別単価'!I7)</ns0:f>
        <ns0:v>10000.340782122903</ns0:v>
      </ns0:c>
      <ns0:c r="J241" s="16">
        <ns0:f>A241*('前提と出典'!$C$36*'契約別単価'!J5+'前提と出典'!$C$37*'契約別単価'!J6+'前提と出典'!$C$38*'契約別単価'!J7)</ns0:f>
        <ns0:v>23294.621859341707</ns0:v>
      </ns0:c>
      <ns0:c r="K241" s="16">
        <ns0:f>A241*('前提と出典'!$C$36*'契約別単価'!K5+'前提と出典'!$C$37*'契約別単価'!K6+'前提と出典'!$C$38*'契約別単価'!K7)</ns0:f>
        <ns0:v>99848.93854748603</ns0:v>
      </ns0:c>
      <ns0:c r="L241" s="16">
        <ns0:f>A241*('前提と出典'!$C$36*'契約別単価'!L5+'前提と出典'!$C$37*'契約別単価'!L6+'前提と出典'!$C$38*'契約別単価'!L7)</ns0:f>
        <ns0:v>81297.35397658685</ns0:v>
      </ns0:c>
      <ns0:c r="M241" s="16">
        <ns0:f>IF(('前提と出典'!$C$36+'前提と出典'!$C$38)=0,0,IF(B241&lt;=10,'前提と出典'!B73+'前提と出典'!C73,IF(B241&lt;=100,'前提と出典'!B74+'前提と出典'!C74,IF(B241&lt;=500,'前提と出典'!B75+'前提と出典'!C75,'前提と出典'!B76+'前提と出典'!C76))))</ns0:f>
        <ns0:v>40000</ns0:v>
      </ns0:c>
      <ns0:c r="N241" s="16">
        <ns0:f>IF(('前提と出典'!$C$37+'前提と出典'!$C$38)=0,0,IF(C241&lt;=10,'前提と出典'!D73+'前提と出典'!E73,IF(C241&lt;=100,'前提と出典'!D74+'前提と出典'!E74,IF(C241&lt;=500,'前提と出典'!D75+'前提と出典'!E75,'前提と出典'!D76+'前提と出典'!E76))))</ns0:f>
        <ns0:v>56510.9346263078</ns0:v>
      </ns0:c>
      <ns0:c r="O241" s="16">
        <ns0:f>IF('前提と出典'!$C$36+'前提と出典'!$C$38=0,0,'前提と出典'!$B$4*IF('前提と出典'!$B$20=0,MAX('前提と出典'!$B$6,D241*'前提と出典'!$B$5),'前提と出典'!$B$6+D241*'前提と出典'!$B$5))</ns0:f>
        <ns0:v>235337.02793296092</ns0:v>
      </ns0:c>
      <ns0:c r="P241" s="16">
        <ns0:f>(E241+G241)*(1-'前提と出典'!$B$7)-I241-K241-M241-O241</ns0:f>
        <ns0:v>511652.8207505313</ns0:v>
      </ns0:c>
      <ns0:c r="Q241" s="16">
        <ns0:f>(F241+H241)*(1-'前提と出典'!$B$7)-J241-L241-N241</ns0:f>
        <ns0:v>170221.3329976699</ns0:v>
      </ns0:c>
      <ns0:c r="R241" s="16">
        <ns0:f>P241-E241*'前提と出典'!$E$4</ns0:f>
        <ns0:v>374078.2556568602</ns0:v>
      </ns0:c>
      <ns0:c r="S241" s="16">
        <ns0:f>Q241-F241*'前提と出典'!$E$4</ns0:f>
        <ns0:v>116228.3143907151</ns0:v>
      </ns0:c>
      <ns0:c r="T241" s="7">
        <ns0:f>R241+S241</ns0:f>
        <ns0:v>490306.5700475753</ns0:v>
      </ns0:c>
      <ns0:c r="U241" s="16">
        <ns0:f>P241-E241*'前提と出典'!$E$5</ns0:f>
        <ns0:v>328220.06729230296</ns0:v>
      </ns0:c>
      <ns0:c r="V241" s="16">
        <ns0:f>Q241-F241*'前提と出典'!$E$5</ns0:f>
        <ns0:v>98230.64152173017</ns0:v>
      </ns0:c>
      <ns0:c r="W241" s="7">
        <ns0:f>U241+V241</ns0:f>
        <ns0:v>426450.70881403313</ns0:v>
      </ns0:c>
      <ns0:c r="X241" s="16">
        <ns0:f>P241-E241*'前提と出典'!$E$6</ns0:f>
        <ns0:v>282361.878927746</ns0:v>
      </ns0:c>
      <ns0:c r="Y241" s="16">
        <ns0:f>Q241-F241*'前提と出典'!$E$6</ns0:f>
        <ns0:v>80232.96865274524</ns0:v>
      </ns0:c>
      <ns0:c r="Z241" s="7">
        <ns0:f>X241+Y241</ns0:f>
        <ns0:v>362594.8475804912</ns0:v>
      </ns0:c>
      <ns0:c r="AA241" s="7">
        <ns0:f>IF(T241&gt;=0,A241,1001)</ns0:f>
        <ns0:v>237</ns0:v>
      </ns0:c>
      <ns0:c r="AB241" s="7">
        <ns0:f>IF(T241&lt;0,A241,0)</ns0:f>
        <ns0:v>0</ns0:v>
      </ns0:c>
      <ns0:c r="AC241" s="16">
        <ns0:f>IF(AND(OR('前提と出典'!$C$36+'前提と出典'!$C$38=0,R241&gt;=0),OR('前提と出典'!$C$37+'前提と出典'!$C$38=0,S241&gt;=0)),0,A241)</ns0:f>
        <ns0:v>0</ns0:v>
      </ns0:c>
      <ns0:c r="AD241" s="7">
        <ns0:f>IF(W241&gt;=0,A241,1001)</ns0:f>
        <ns0:v>237</ns0:v>
      </ns0:c>
      <ns0:c r="AE241" s="7">
        <ns0:f>IF(W241&lt;0,A241,0)</ns0:f>
        <ns0:v>0</ns0:v>
      </ns0:c>
      <ns0:c r="AF241" s="16">
        <ns0:f>IF(AND(OR('前提と出典'!$C$36+'前提と出典'!$C$38=0,U241&gt;=0),OR('前提と出典'!$C$37+'前提と出典'!$C$38=0,V241&gt;=0)),0,A241)</ns0:f>
        <ns0:v>0</ns0:v>
      </ns0:c>
      <ns0:c r="AG241" s="7">
        <ns0:f>IF(Z241&gt;=0,A241,1001)</ns0:f>
        <ns0:v>237</ns0:v>
      </ns0:c>
      <ns0:c r="AH241" s="4">
        <ns0:f>IF(Z241&lt;0,A241,0)</ns0:f>
        <ns0:v>0</ns0:v>
      </ns0:c>
      <ns0:c r="AI241" s="12">
        <ns0:f>IF(AND(OR('前提と出典'!$C$36+'前提と出典'!$C$38=0,X241&gt;=0),OR('前提と出典'!$C$37+'前提と出典'!$C$38=0,Y241&gt;=0)),0,A241)</ns0:f>
        <ns0:v>0</ns0:v>
      </ns0:c>
    </ns0:row>
    <ns0:row r="242" ht="24" customHeight="1">
      <ns0:c r="A242" s="4" t="n">
        <ns0:v>238</ns0:v>
      </ns0:c>
      <ns0:c r="B242" s="12">
        <ns0:f>A242*('前提と出典'!$C$36+'前提と出典'!$C$38)</ns0:f>
        <ns0:v>166.6</ns0:v>
      </ns0:c>
      <ns0:c r="C242" s="12">
        <ns0:f>A242*('前提と出典'!$C$37+'前提と出典'!$C$38)</ns0:f>
        <ns0:v>142.79999999999998</ns0:v>
      </ns0:c>
      <ns0:c r="D242" s="16">
        <ns0:f>A242*('前提と出典'!$C$36*'契約別単価'!C5+'前提と出典'!$C$37*'契約別単価'!C6+'前提と出典'!$C$38*'契約別単価'!C7)</ns0:f>
        <ns0:v>1712.536312849162</ns0:v>
      </ns0:c>
      <ns0:c r="E242" s="16">
        <ns0:f>A242*('前提と出典'!$C$36*'契約別単価'!E5+'前提と出典'!$C$37*'契約別単価'!E6+'前提と出典'!$C$38*'契約別単価'!E7)</ns0:f>
        <ns0:v>460516.8283023031</ns0:v>
      </ns0:c>
      <ns0:c r="F242" s="16">
        <ns0:f>A242*('前提と出典'!$C$36*'契約別単価'!F5+'前提と出典'!$C$37*'契約別単価'!F6+'前提と出典'!$C$38*'契約別単価'!F7)</ns0:f>
        <ns0:v>180736.1241695533</ns0:v>
      </ns0:c>
      <ns0:c r="G242" s="16">
        <ns0:f>A242*('前提と出典'!$C$36*'契約別単価'!G5+'前提と出典'!$C$37*'契約別単価'!G6+'前提と出典'!$C$38*'契約別単価'!G7)</ns0:f>
        <ns0:v>473739.66480446927</ns0:v>
      </ns0:c>
      <ns0:c r="H242" s="16">
        <ns0:f>A242*('前提と出典'!$C$36*'契約別単価'!H5+'前提と出典'!$C$37*'契約別単価'!H6+'前提と出典'!$C$38*'契約別単価'!H7)</ns0:f>
        <ns0:v>164411.42359843908</ns0:v>
      </ns0:c>
      <ns0:c r="I242" s="16">
        <ns0:f>A242*('前提と出典'!$C$36*'契約別単価'!I5+'前提と出典'!$C$37*'契約別単価'!I6+'前提と出典'!$C$38*'契約別単価'!I7)</ns0:f>
        <ns0:v>10042.53631284916</ns0:v>
      </ns0:c>
      <ns0:c r="J242" s="16">
        <ns0:f>A242*('前提と出典'!$C$36*'契約別単価'!J5+'前提と出典'!$C$37*'契約別単価'!J6+'前提と出典'!$C$38*'契約別単価'!J7)</ns0:f>
        <ns0:v>23392.91140305201</ns0:v>
      </ns0:c>
      <ns0:c r="K242" s="16">
        <ns0:f>A242*('前提と出典'!$C$36*'契約別単価'!K5+'前提と出典'!$C$37*'契約別単価'!K6+'前提と出典'!$C$38*'契約別単価'!K7)</ns0:f>
        <ns0:v>100270.24208566107</ns0:v>
      </ns0:c>
      <ns0:c r="L242" s="16">
        <ns0:f>A242*('前提と出典'!$C$36*'契約別単価'!L5+'前提と出典'!$C$37*'契約別単価'!L6+'前提と出典'!$C$38*'契約別単価'!L7)</ns0:f>
        <ns0:v>81640.38078661464</ns0:v>
      </ns0:c>
      <ns0:c r="M242" s="16">
        <ns0:f>IF(('前提と出典'!$C$36+'前提と出典'!$C$38)=0,0,IF(B242&lt;=10,'前提と出典'!B73+'前提と出典'!C73,IF(B242&lt;=100,'前提と出典'!B74+'前提と出典'!C74,IF(B242&lt;=500,'前提と出典'!B75+'前提と出典'!C75,'前提と出典'!B76+'前提と出典'!C76))))</ns0:f>
        <ns0:v>40000</ns0:v>
      </ns0:c>
      <ns0:c r="N242" s="16">
        <ns0:f>IF(('前提と出典'!$C$37+'前提と出典'!$C$38)=0,0,IF(C242&lt;=10,'前提と出典'!D73+'前提と出典'!E73,IF(C242&lt;=100,'前提と出典'!D74+'前提と出典'!E74,IF(C242&lt;=500,'前提と出典'!D75+'前提と出典'!E75,'前提と出典'!D76+'前提と出典'!E76))))</ns0:f>
        <ns0:v>56510.9346263078</ns0:v>
      </ns0:c>
      <ns0:c r="O242" s="16">
        <ns0:f>IF('前提と出典'!$C$36+'前提と出典'!$C$38=0,0,'前提と出典'!$B$4*IF('前提と出典'!$B$20=0,MAX('前提と出典'!$B$6,D242*'前提と出典'!$B$5),'前提と出典'!$B$6+D242*'前提と出典'!$B$5))</ns0:f>
        <ns0:v>236330.01117318435</ns0:v>
      </ns0:c>
      <ns0:c r="P242" s="16">
        <ns0:f>(E242+G242)*(1-'前提と出典'!$B$7)-I242-K242-M242-O242</ns0:f>
        <ns0:v>513980.46978323406</ns0:v>
      </ns0:c>
      <ns0:c r="Q242" s="16">
        <ns0:f>(F242+H242)*(1-'前提と出典'!$B$7)-J242-L242-N242</ns0:f>
        <ns0:v>171178.00923237018</ns0:v>
      </ns0:c>
      <ns0:c r="R242" s="16">
        <ns0:f>P242-E242*'前提と出典'!$E$4</ns0:f>
        <ns0:v>375825.4212925432</ns0:v>
      </ns0:c>
      <ns0:c r="S242" s="16">
        <ns0:f>Q242-F242*'前提と出典'!$E$4</ns0:f>
        <ns0:v>116957.17198150419</ns0:v>
      </ns0:c>
      <ns0:c r="T242" s="7">
        <ns0:f>R242+S242</ns0:f>
        <ns0:v>492782.59327404737</ns0:v>
      </ns0:c>
      <ns0:c r="U242" s="16">
        <ns0:f>P242-E242*'前提と出典'!$E$5</ns0:f>
        <ns0:v>329773.73846231285</ns0:v>
      </ns0:c>
      <ns0:c r="V242" s="16">
        <ns0:f>Q242-F242*'前提と出典'!$E$5</ns0:f>
        <ns0:v>98883.55956454884</ns0:v>
      </ns0:c>
      <ns0:c r="W242" s="7">
        <ns0:f>U242+V242</ns0:f>
        <ns0:v>428657.2980268617</ns0:v>
      </ns0:c>
      <ns0:c r="X242" s="16">
        <ns0:f>P242-E242*'前提と出典'!$E$6</ns0:f>
        <ns0:v>283722.0556320825</ns0:v>
      </ns0:c>
      <ns0:c r="Y242" s="16">
        <ns0:f>Q242-F242*'前提と出典'!$E$6</ns0:f>
        <ns0:v>80809.94714759354</ns0:v>
      </ns0:c>
      <ns0:c r="Z242" s="7">
        <ns0:f>X242+Y242</ns0:f>
        <ns0:v>364532.00277967606</ns0:v>
      </ns0:c>
      <ns0:c r="AA242" s="7">
        <ns0:f>IF(T242&gt;=0,A242,1001)</ns0:f>
        <ns0:v>238</ns0:v>
      </ns0:c>
      <ns0:c r="AB242" s="7">
        <ns0:f>IF(T242&lt;0,A242,0)</ns0:f>
        <ns0:v>0</ns0:v>
      </ns0:c>
      <ns0:c r="AC242" s="16">
        <ns0:f>IF(AND(OR('前提と出典'!$C$36+'前提と出典'!$C$38=0,R242&gt;=0),OR('前提と出典'!$C$37+'前提と出典'!$C$38=0,S242&gt;=0)),0,A242)</ns0:f>
        <ns0:v>0</ns0:v>
      </ns0:c>
      <ns0:c r="AD242" s="7">
        <ns0:f>IF(W242&gt;=0,A242,1001)</ns0:f>
        <ns0:v>238</ns0:v>
      </ns0:c>
      <ns0:c r="AE242" s="7">
        <ns0:f>IF(W242&lt;0,A242,0)</ns0:f>
        <ns0:v>0</ns0:v>
      </ns0:c>
      <ns0:c r="AF242" s="16">
        <ns0:f>IF(AND(OR('前提と出典'!$C$36+'前提と出典'!$C$38=0,U242&gt;=0),OR('前提と出典'!$C$37+'前提と出典'!$C$38=0,V242&gt;=0)),0,A242)</ns0:f>
        <ns0:v>0</ns0:v>
      </ns0:c>
      <ns0:c r="AG242" s="7">
        <ns0:f>IF(Z242&gt;=0,A242,1001)</ns0:f>
        <ns0:v>238</ns0:v>
      </ns0:c>
      <ns0:c r="AH242" s="4">
        <ns0:f>IF(Z242&lt;0,A242,0)</ns0:f>
        <ns0:v>0</ns0:v>
      </ns0:c>
      <ns0:c r="AI242" s="12">
        <ns0:f>IF(AND(OR('前提と出典'!$C$36+'前提と出典'!$C$38=0,X242&gt;=0),OR('前提と出典'!$C$37+'前提と出典'!$C$38=0,Y242&gt;=0)),0,A242)</ns0:f>
        <ns0:v>0</ns0:v>
      </ns0:c>
    </ns0:row>
    <ns0:row r="243" ht="24" customHeight="1">
      <ns0:c r="A243" s="4" t="n">
        <ns0:v>239</ns0:v>
      </ns0:c>
      <ns0:c r="B243" s="12">
        <ns0:f>A243*('前提と出典'!$C$36+'前提と出典'!$C$38)</ns0:f>
        <ns0:v>167.29999999999998</ns0:v>
      </ns0:c>
      <ns0:c r="C243" s="12">
        <ns0:f>A243*('前提と出典'!$C$37+'前提と出典'!$C$38)</ns0:f>
        <ns0:v>143.4</ns0:v>
      </ns0:c>
      <ns0:c r="D243" s="16">
        <ns0:f>A243*('前提と出典'!$C$36*'契約別単価'!C5+'前提と出典'!$C$37*'契約別単価'!C6+'前提と出典'!$C$38*'契約別単価'!C7)</ns0:f>
        <ns0:v>1719.731843575419</ns0:v>
      </ns0:c>
      <ns0:c r="E243" s="16">
        <ns0:f>A243*('前提と出典'!$C$36*'契約別単価'!E5+'前提と出典'!$C$37*'契約別単価'!E6+'前提と出典'!$C$38*'契約別単価'!E7)</ns0:f>
        <ns0:v>462451.7729590355</ns0:v>
      </ns0:c>
      <ns0:c r="F243" s="16">
        <ns0:f>A243*('前提と出典'!$C$36*'契約別単価'!F5+'前提と出典'!$C$37*'契約別単価'!F6+'前提と出典'!$C$38*'契約別単価'!F7)</ns0:f>
        <ns0:v>181495.51964925733</ns0:v>
      </ns0:c>
      <ns0:c r="G243" s="16">
        <ns0:f>A243*('前提と出典'!$C$36*'契約別単価'!G5+'前提と出典'!$C$37*'契約別単価'!G6+'前提と出典'!$C$38*'契約別単価'!G7)</ns0:f>
        <ns0:v>475730.16759776534</ns0:v>
      </ns0:c>
      <ns0:c r="H243" s="16">
        <ns0:f>A243*('前提と出典'!$C$36*'契約別単価'!H5+'前提と出典'!$C$37*'契約別単価'!H6+'前提と出典'!$C$38*'契約別単価'!H7)</ns0:f>
        <ns0:v>165102.22789927287</ns0:v>
      </ns0:c>
      <ns0:c r="I243" s="16">
        <ns0:f>A243*('前提と出典'!$C$36*'契約別単価'!I5+'前提と出典'!$C$37*'契約別単価'!I6+'前提と出典'!$C$38*'契約別単価'!I7)</ns0:f>
        <ns0:v>10084.731843575417</ns0:v>
      </ns0:c>
      <ns0:c r="J243" s="16">
        <ns0:f>A243*('前提と出典'!$C$36*'契約別単価'!J5+'前提と出典'!$C$37*'契約別単価'!J6+'前提と出典'!$C$38*'契約別単価'!J7)</ns0:f>
        <ns0:v>23491.200946762314</ns0:v>
      </ns0:c>
      <ns0:c r="K243" s="16">
        <ns0:f>A243*('前提と出典'!$C$36*'契約別単価'!K5+'前提と出典'!$C$37*'契約別単価'!K6+'前提と出典'!$C$38*'契約別単価'!K7)</ns0:f>
        <ns0:v>100691.54562383612</ns0:v>
      </ns0:c>
      <ns0:c r="L243" s="16">
        <ns0:f>A243*('前提と出典'!$C$36*'契約別単価'!L5+'前提と出典'!$C$37*'契約別単価'!L6+'前提と出典'!$C$38*'契約別単価'!L7)</ns0:f>
        <ns0:v>81983.40759664243</ns0:v>
      </ns0:c>
      <ns0:c r="M243" s="16">
        <ns0:f>IF(('前提と出典'!$C$36+'前提と出典'!$C$38)=0,0,IF(B243&lt;=10,'前提と出典'!B73+'前提と出典'!C73,IF(B243&lt;=100,'前提と出典'!B74+'前提と出典'!C74,IF(B243&lt;=500,'前提と出典'!B75+'前提と出典'!C75,'前提と出典'!B76+'前提と出典'!C76))))</ns0:f>
        <ns0:v>40000</ns0:v>
      </ns0:c>
      <ns0:c r="N243" s="16">
        <ns0:f>IF(('前提と出典'!$C$37+'前提と出典'!$C$38)=0,0,IF(C243&lt;=10,'前提と出典'!D73+'前提と出典'!E73,IF(C243&lt;=100,'前提と出典'!D74+'前提と出典'!E74,IF(C243&lt;=500,'前提と出典'!D75+'前提と出典'!E75,'前提と出典'!D76+'前提と出典'!E76))))</ns0:f>
        <ns0:v>56510.9346263078</ns0:v>
      </ns0:c>
      <ns0:c r="O243" s="16">
        <ns0:f>IF('前提と出典'!$C$36+'前提と出典'!$C$38=0,0,'前提と出典'!$B$4*IF('前提と出典'!$B$20=0,MAX('前提と出典'!$B$6,D243*'前提と出典'!$B$5),'前提と出典'!$B$6+D243*'前提と出典'!$B$5))</ns0:f>
        <ns0:v>237322.99441340784</ns0:v>
      </ns0:c>
      <ns0:c r="P243" s="16">
        <ns0:f>(E243+G243)*(1-'前提と出典'!$B$7)-I243-K243-M243-O243</ns0:f>
        <ns0:v>516308.1188159366</ns0:v>
      </ns0:c>
      <ns0:c r="Q243" s="16">
        <ns0:f>(F243+H243)*(1-'前提と出典'!$B$7)-J243-L243-N243</ns0:f>
        <ns0:v>172134.6854670706</ns0:v>
      </ns0:c>
      <ns0:c r="R243" s="16">
        <ns0:f>P243-E243*'前提と出典'!$E$4</ns0:f>
        <ns0:v>377572.58692822594</ns0:v>
      </ns0:c>
      <ns0:c r="S243" s="16">
        <ns0:f>Q243-F243*'前提と出典'!$E$4</ns0:f>
        <ns0:v>117686.0295722934</ns0:v>
      </ns0:c>
      <ns0:c r="T243" s="7">
        <ns0:f>R243+S243</ns0:f>
        <ns0:v>495258.61650051933</ns0:v>
      </ns0:c>
      <ns0:c r="U243" s="16">
        <ns0:f>P243-E243*'前提と出典'!$E$5</ns0:f>
        <ns0:v>331327.4096323224</ns0:v>
      </ns0:c>
      <ns0:c r="V243" s="16">
        <ns0:f>Q243-F243*'前提と出典'!$E$5</ns0:f>
        <ns0:v>99536.47760736768</ns0:v>
      </ns0:c>
      <ns0:c r="W243" s="7">
        <ns0:f>U243+V243</ns0:f>
        <ns0:v>430863.88723969006</ns0:v>
      </ns0:c>
      <ns0:c r="X243" s="16">
        <ns0:f>P243-E243*'前提と出典'!$E$6</ns0:f>
        <ns0:v>285082.2323364188</ns0:v>
      </ns0:c>
      <ns0:c r="Y243" s="16">
        <ns0:f>Q243-F243*'前提と出典'!$E$6</ns0:f>
        <ns0:v>81386.92564244196</ns0:v>
      </ns0:c>
      <ns0:c r="Z243" s="7">
        <ns0:f>X243+Y243</ns0:f>
        <ns0:v>366469.1579788608</ns0:v>
      </ns0:c>
      <ns0:c r="AA243" s="7">
        <ns0:f>IF(T243&gt;=0,A243,1001)</ns0:f>
        <ns0:v>239</ns0:v>
      </ns0:c>
      <ns0:c r="AB243" s="7">
        <ns0:f>IF(T243&lt;0,A243,0)</ns0:f>
        <ns0:v>0</ns0:v>
      </ns0:c>
      <ns0:c r="AC243" s="16">
        <ns0:f>IF(AND(OR('前提と出典'!$C$36+'前提と出典'!$C$38=0,R243&gt;=0),OR('前提と出典'!$C$37+'前提と出典'!$C$38=0,S243&gt;=0)),0,A243)</ns0:f>
        <ns0:v>0</ns0:v>
      </ns0:c>
      <ns0:c r="AD243" s="7">
        <ns0:f>IF(W243&gt;=0,A243,1001)</ns0:f>
        <ns0:v>239</ns0:v>
      </ns0:c>
      <ns0:c r="AE243" s="7">
        <ns0:f>IF(W243&lt;0,A243,0)</ns0:f>
        <ns0:v>0</ns0:v>
      </ns0:c>
      <ns0:c r="AF243" s="16">
        <ns0:f>IF(AND(OR('前提と出典'!$C$36+'前提と出典'!$C$38=0,U243&gt;=0),OR('前提と出典'!$C$37+'前提と出典'!$C$38=0,V243&gt;=0)),0,A243)</ns0:f>
        <ns0:v>0</ns0:v>
      </ns0:c>
      <ns0:c r="AG243" s="7">
        <ns0:f>IF(Z243&gt;=0,A243,1001)</ns0:f>
        <ns0:v>239</ns0:v>
      </ns0:c>
      <ns0:c r="AH243" s="4">
        <ns0:f>IF(Z243&lt;0,A243,0)</ns0:f>
        <ns0:v>0</ns0:v>
      </ns0:c>
      <ns0:c r="AI243" s="12">
        <ns0:f>IF(AND(OR('前提と出典'!$C$36+'前提と出典'!$C$38=0,X243&gt;=0),OR('前提と出典'!$C$37+'前提と出典'!$C$38=0,Y243&gt;=0)),0,A243)</ns0:f>
        <ns0:v>0</ns0:v>
      </ns0:c>
    </ns0:row>
    <ns0:row r="244" ht="24" customHeight="1">
      <ns0:c r="A244" s="4" t="n">
        <ns0:v>240</ns0:v>
      </ns0:c>
      <ns0:c r="B244" s="12">
        <ns0:f>A244*('前提と出典'!$C$36+'前提と出典'!$C$38)</ns0:f>
        <ns0:v>168</ns0:v>
      </ns0:c>
      <ns0:c r="C244" s="12">
        <ns0:f>A244*('前提と出典'!$C$37+'前提と出典'!$C$38)</ns0:f>
        <ns0:v>144</ns0:v>
      </ns0:c>
      <ns0:c r="D244" s="16">
        <ns0:f>A244*('前提と出典'!$C$36*'契約別単価'!C5+'前提と出典'!$C$37*'契約別単価'!C6+'前提と出典'!$C$38*'契約別単価'!C7)</ns0:f>
        <ns0:v>1726.927374301676</ns0:v>
      </ns0:c>
      <ns0:c r="E244" s="16">
        <ns0:f>A244*('前提と出典'!$C$36*'契約別単価'!E5+'前提と出典'!$C$37*'契約別単価'!E6+'前提と出典'!$C$38*'契約別単価'!E7)</ns0:f>
        <ns0:v>464386.71761576785</ns0:v>
      </ns0:c>
      <ns0:c r="F244" s="16">
        <ns0:f>A244*('前提と出典'!$C$36*'契約別単価'!F5+'前提と出典'!$C$37*'契約別単価'!F6+'前提と出典'!$C$38*'契約別単価'!F7)</ns0:f>
        <ns0:v>182254.91512896132</ns0:v>
      </ns0:c>
      <ns0:c r="G244" s="16">
        <ns0:f>A244*('前提と出典'!$C$36*'契約別単価'!G5+'前提と出典'!$C$37*'契約別単価'!G6+'前提と出典'!$C$38*'契約別単価'!G7)</ns0:f>
        <ns0:v>477720.67039106146</ns0:v>
      </ns0:c>
      <ns0:c r="H244" s="16">
        <ns0:f>A244*('前提と出典'!$C$36*'契約別単価'!H5+'前提と出典'!$C$37*'契約別単価'!H6+'前提と出典'!$C$38*'契約別単価'!H7)</ns0:f>
        <ns0:v>165793.03220010665</ns0:v>
      </ns0:c>
      <ns0:c r="I244" s="16">
        <ns0:f>A244*('前提と出典'!$C$36*'契約別単価'!I5+'前提と出典'!$C$37*'契約別単価'!I6+'前提と出典'!$C$38*'契約別単価'!I7)</ns0:f>
        <ns0:v>10126.927374301675</ns0:v>
      </ns0:c>
      <ns0:c r="J244" s="16">
        <ns0:f>A244*('前提と出典'!$C$36*'契約別単価'!J5+'前提と出典'!$C$37*'契約別単価'!J6+'前提と出典'!$C$38*'契約別単価'!J7)</ns0:f>
        <ns0:v>23589.490490472617</ns0:v>
      </ns0:c>
      <ns0:c r="K244" s="16">
        <ns0:f>A244*('前提と出典'!$C$36*'契約別単価'!K5+'前提と出典'!$C$37*'契約別単価'!K6+'前提と出典'!$C$38*'契約別単価'!K7)</ns0:f>
        <ns0:v>101112.84916201116</ns0:v>
      </ns0:c>
      <ns0:c r="L244" s="16">
        <ns0:f>A244*('前提と出典'!$C$36*'契約別単価'!L5+'前提と出典'!$C$37*'契約別単価'!L6+'前提と出典'!$C$38*'契約別単価'!L7)</ns0:f>
        <ns0:v>82326.43440667022</ns0:v>
      </ns0:c>
      <ns0:c r="M244" s="16">
        <ns0:f>IF(('前提と出典'!$C$36+'前提と出典'!$C$38)=0,0,IF(B244&lt;=10,'前提と出典'!B73+'前提と出典'!C73,IF(B244&lt;=100,'前提と出典'!B74+'前提と出典'!C74,IF(B244&lt;=500,'前提と出典'!B75+'前提と出典'!C75,'前提と出典'!B76+'前提と出典'!C76))))</ns0:f>
        <ns0:v>40000</ns0:v>
      </ns0:c>
      <ns0:c r="N244" s="16">
        <ns0:f>IF(('前提と出典'!$C$37+'前提と出典'!$C$38)=0,0,IF(C244&lt;=10,'前提と出典'!D73+'前提と出典'!E73,IF(C244&lt;=100,'前提と出典'!D74+'前提と出典'!E74,IF(C244&lt;=500,'前提と出典'!D75+'前提と出典'!E75,'前提と出典'!D76+'前提と出典'!E76))))</ns0:f>
        <ns0:v>56510.9346263078</ns0:v>
      </ns0:c>
      <ns0:c r="O244" s="16">
        <ns0:f>IF('前提と出典'!$C$36+'前提と出典'!$C$38=0,0,'前提と出典'!$B$4*IF('前提と出典'!$B$20=0,MAX('前提と出典'!$B$6,D244*'前提と出典'!$B$5),'前提と出典'!$B$6+D244*'前提と出典'!$B$5))</ns0:f>
        <ns0:v>238315.9776536313</ns0:v>
      </ns0:c>
      <ns0:c r="P244" s="16">
        <ns0:f>(E244+G244)*(1-'前提と出典'!$B$7)-I244-K244-M244-O244</ns0:f>
        <ns0:v>518635.7678486392</ns0:v>
      </ns0:c>
      <ns0:c r="Q244" s="16">
        <ns0:f>(F244+H244)*(1-'前提と出典'!$B$7)-J244-L244-N244</ns0:f>
        <ns0:v>173091.36170177092</ns0:v>
      </ns0:c>
      <ns0:c r="R244" s="16">
        <ns0:f>P244-E244*'前提と出典'!$E$4</ns0:f>
        <ns0:v>379319.75256390887</ns0:v>
      </ns0:c>
      <ns0:c r="S244" s="16">
        <ns0:f>Q244-F244*'前提と出典'!$E$4</ns0:f>
        <ns0:v>118414.88716308252</ns0:v>
      </ns0:c>
      <ns0:c r="T244" s="7">
        <ns0:f>R244+S244</ns0:f>
        <ns0:v>497734.6397269914</ns0:v>
      </ns0:c>
      <ns0:c r="U244" s="16">
        <ns0:f>P244-E244*'前提と出典'!$E$5</ns0:f>
        <ns0:v>332881.0808023321</ns0:v>
      </ns0:c>
      <ns0:c r="V244" s="16">
        <ns0:f>Q244-F244*'前提と出典'!$E$5</ns0:f>
        <ns0:v>100189.39565018637</ns0:v>
      </ns0:c>
      <ns0:c r="W244" s="7">
        <ns0:f>U244+V244</ns0:f>
        <ns0:v>433070.4764525185</ns0:v>
      </ns0:c>
      <ns0:c r="X244" s="16">
        <ns0:f>P244-E244*'前提と出典'!$E$6</ns0:f>
        <ns0:v>286442.4090407553</ns0:v>
      </ns0:c>
      <ns0:c r="Y244" s="16">
        <ns0:f>Q244-F244*'前提と出典'!$E$6</ns0:f>
        <ns0:v>81963.90413729023</ns0:v>
      </ns0:c>
      <ns0:c r="Z244" s="7">
        <ns0:f>X244+Y244</ns0:f>
        <ns0:v>368406.31317804556</ns0:v>
      </ns0:c>
      <ns0:c r="AA244" s="7">
        <ns0:f>IF(T244&gt;=0,A244,1001)</ns0:f>
        <ns0:v>240</ns0:v>
      </ns0:c>
      <ns0:c r="AB244" s="7">
        <ns0:f>IF(T244&lt;0,A244,0)</ns0:f>
        <ns0:v>0</ns0:v>
      </ns0:c>
      <ns0:c r="AC244" s="16">
        <ns0:f>IF(AND(OR('前提と出典'!$C$36+'前提と出典'!$C$38=0,R244&gt;=0),OR('前提と出典'!$C$37+'前提と出典'!$C$38=0,S244&gt;=0)),0,A244)</ns0:f>
        <ns0:v>0</ns0:v>
      </ns0:c>
      <ns0:c r="AD244" s="7">
        <ns0:f>IF(W244&gt;=0,A244,1001)</ns0:f>
        <ns0:v>240</ns0:v>
      </ns0:c>
      <ns0:c r="AE244" s="7">
        <ns0:f>IF(W244&lt;0,A244,0)</ns0:f>
        <ns0:v>0</ns0:v>
      </ns0:c>
      <ns0:c r="AF244" s="16">
        <ns0:f>IF(AND(OR('前提と出典'!$C$36+'前提と出典'!$C$38=0,U244&gt;=0),OR('前提と出典'!$C$37+'前提と出典'!$C$38=0,V244&gt;=0)),0,A244)</ns0:f>
        <ns0:v>0</ns0:v>
      </ns0:c>
      <ns0:c r="AG244" s="7">
        <ns0:f>IF(Z244&gt;=0,A244,1001)</ns0:f>
        <ns0:v>240</ns0:v>
      </ns0:c>
      <ns0:c r="AH244" s="4">
        <ns0:f>IF(Z244&lt;0,A244,0)</ns0:f>
        <ns0:v>0</ns0:v>
      </ns0:c>
      <ns0:c r="AI244" s="12">
        <ns0:f>IF(AND(OR('前提と出典'!$C$36+'前提と出典'!$C$38=0,X244&gt;=0),OR('前提と出典'!$C$37+'前提と出典'!$C$38=0,Y244&gt;=0)),0,A244)</ns0:f>
        <ns0:v>0</ns0:v>
      </ns0:c>
    </ns0:row>
    <ns0:row r="245" ht="24" customHeight="1">
      <ns0:c r="A245" s="4" t="n">
        <ns0:v>241</ns0:v>
      </ns0:c>
      <ns0:c r="B245" s="12">
        <ns0:f>A245*('前提と出典'!$C$36+'前提と出典'!$C$38)</ns0:f>
        <ns0:v>168.7</ns0:v>
      </ns0:c>
      <ns0:c r="C245" s="12">
        <ns0:f>A245*('前提と出典'!$C$37+'前提と出典'!$C$38)</ns0:f>
        <ns0:v>144.6</ns0:v>
      </ns0:c>
      <ns0:c r="D245" s="16">
        <ns0:f>A245*('前提と出典'!$C$36*'契約別単価'!C5+'前提と出典'!$C$37*'契約別単価'!C6+'前提と出典'!$C$38*'契約別単価'!C7)</ns0:f>
        <ns0:v>1734.122905027933</ns0:v>
      </ns0:c>
      <ns0:c r="E245" s="16">
        <ns0:f>A245*('前提と出典'!$C$36*'契約別単価'!E5+'前提と出典'!$C$37*'契約別単価'!E6+'前提と出典'!$C$38*'契約別単価'!E7)</ns0:f>
        <ns0:v>466321.6622725002</ns0:v>
      </ns0:c>
      <ns0:c r="F245" s="16">
        <ns0:f>A245*('前提と出典'!$C$36*'契約別単価'!F5+'前提と出典'!$C$37*'契約別単価'!F6+'前提と出典'!$C$38*'契約別単価'!F7)</ns0:f>
        <ns0:v>183014.31060866534</ns0:v>
      </ns0:c>
      <ns0:c r="G245" s="16">
        <ns0:f>A245*('前提と出典'!$C$36*'契約別単価'!G5+'前提と出典'!$C$37*'契約別単価'!G6+'前提と出典'!$C$38*'契約別単価'!G7)</ns0:f>
        <ns0:v>479711.1731843575</ns0:v>
      </ns0:c>
      <ns0:c r="H245" s="16">
        <ns0:f>A245*('前提と出典'!$C$36*'契約別単価'!H5+'前提と出典'!$C$37*'契約別単価'!H6+'前提と出典'!$C$38*'契約別単価'!H7)</ns0:f>
        <ns0:v>166483.83650094044</ns0:v>
      </ns0:c>
      <ns0:c r="I245" s="16">
        <ns0:f>A245*('前提と出典'!$C$36*'契約別単価'!I5+'前提と出典'!$C$37*'契約別単価'!I6+'前提と出典'!$C$38*'契約別単価'!I7)</ns0:f>
        <ns0:v>10169.12290502793</ns0:v>
      </ns0:c>
      <ns0:c r="J245" s="16">
        <ns0:f>A245*('前提と出典'!$C$36*'契約別単価'!J5+'前提と出典'!$C$37*'契約別単価'!J6+'前提と出典'!$C$38*'契約別単価'!J7)</ns0:f>
        <ns0:v>23687.780034182917</ns0:v>
      </ns0:c>
      <ns0:c r="K245" s="16">
        <ns0:f>A245*('前提と出典'!$C$36*'契約別単価'!K5+'前提と出典'!$C$37*'契約別単価'!K6+'前提と出典'!$C$38*'契約別単価'!K7)</ns0:f>
        <ns0:v>101534.15270018621</ns0:v>
      </ns0:c>
      <ns0:c r="L245" s="16">
        <ns0:f>A245*('前提と出典'!$C$36*'契約別単価'!L5+'前提と出典'!$C$37*'契約別単価'!L6+'前提と出典'!$C$38*'契約別単価'!L7)</ns0:f>
        <ns0:v>82669.46121669801</ns0:v>
      </ns0:c>
      <ns0:c r="M245" s="16">
        <ns0:f>IF(('前提と出典'!$C$36+'前提と出典'!$C$38)=0,0,IF(B245&lt;=10,'前提と出典'!B73+'前提と出典'!C73,IF(B245&lt;=100,'前提と出典'!B74+'前提と出典'!C74,IF(B245&lt;=500,'前提と出典'!B75+'前提と出典'!C75,'前提と出典'!B76+'前提と出典'!C76))))</ns0:f>
        <ns0:v>40000</ns0:v>
      </ns0:c>
      <ns0:c r="N245" s="16">
        <ns0:f>IF(('前提と出典'!$C$37+'前提と出典'!$C$38)=0,0,IF(C245&lt;=10,'前提と出典'!D73+'前提と出典'!E73,IF(C245&lt;=100,'前提と出典'!D74+'前提と出典'!E74,IF(C245&lt;=500,'前提と出典'!D75+'前提と出典'!E75,'前提と出典'!D76+'前提と出典'!E76))))</ns0:f>
        <ns0:v>56510.9346263078</ns0:v>
      </ns0:c>
      <ns0:c r="O245" s="16">
        <ns0:f>IF('前提と出典'!$C$36+'前提と出典'!$C$38=0,0,'前提と出典'!$B$4*IF('前提と出典'!$B$20=0,MAX('前提と出典'!$B$6,D245*'前提と出典'!$B$5),'前提と出典'!$B$6+D245*'前提と出典'!$B$5))</ns0:f>
        <ns0:v>239308.9608938548</ns0:v>
      </ns0:c>
      <ns0:c r="P245" s="16">
        <ns0:f>(E245+G245)*(1-'前提と出典'!$B$7)-I245-K245-M245-O245</ns0:f>
        <ns0:v>520963.41688134195</ns0:v>
      </ns0:c>
      <ns0:c r="Q245" s="16">
        <ns0:f>(F245+H245)*(1-'前提と出典'!$B$7)-J245-L245-N245</ns0:f>
        <ns0:v>174048.03793647123</ns0:v>
      </ns0:c>
      <ns0:c r="R245" s="16">
        <ns0:f>P245-E245*'前提と出典'!$E$4</ns0:f>
        <ns0:v>381066.91819959186</ns0:v>
      </ns0:c>
      <ns0:c r="S245" s="16">
        <ns0:f>Q245-F245*'前提と出典'!$E$4</ns0:f>
        <ns0:v>119143.74475387164</ns0:v>
      </ns0:c>
      <ns0:c r="T245" s="7">
        <ns0:f>R245+S245</ns0:f>
        <ns0:v>500210.6629534635</ns0:v>
      </ns0:c>
      <ns0:c r="U245" s="16">
        <ns0:f>P245-E245*'前提と出典'!$E$5</ns0:f>
        <ns0:v>334434.75197234185</ns0:v>
      </ns0:c>
      <ns0:c r="V245" s="16">
        <ns0:f>Q245-F245*'前提と出典'!$E$5</ns0:f>
        <ns0:v>100842.31369300507</ns0:v>
      </ns0:c>
      <ns0:c r="W245" s="7">
        <ns0:f>U245+V245</ns0:f>
        <ns0:v>435277.0656653469</ns0:v>
      </ns0:c>
      <ns0:c r="X245" s="16">
        <ns0:f>P245-E245*'前提と出典'!$E$6</ns0:f>
        <ns0:v>287802.5857450917</ns0:v>
      </ns0:c>
      <ns0:c r="Y245" s="16">
        <ns0:f>Q245-F245*'前提と出典'!$E$6</ns0:f>
        <ns0:v>82540.88263213856</ns0:v>
      </ns0:c>
      <ns0:c r="Z245" s="7">
        <ns0:f>X245+Y245</ns0:f>
        <ns0:v>370343.4683772303</ns0:v>
      </ns0:c>
      <ns0:c r="AA245" s="7">
        <ns0:f>IF(T245&gt;=0,A245,1001)</ns0:f>
        <ns0:v>241</ns0:v>
      </ns0:c>
      <ns0:c r="AB245" s="7">
        <ns0:f>IF(T245&lt;0,A245,0)</ns0:f>
        <ns0:v>0</ns0:v>
      </ns0:c>
      <ns0:c r="AC245" s="16">
        <ns0:f>IF(AND(OR('前提と出典'!$C$36+'前提と出典'!$C$38=0,R245&gt;=0),OR('前提と出典'!$C$37+'前提と出典'!$C$38=0,S245&gt;=0)),0,A245)</ns0:f>
        <ns0:v>0</ns0:v>
      </ns0:c>
      <ns0:c r="AD245" s="7">
        <ns0:f>IF(W245&gt;=0,A245,1001)</ns0:f>
        <ns0:v>241</ns0:v>
      </ns0:c>
      <ns0:c r="AE245" s="7">
        <ns0:f>IF(W245&lt;0,A245,0)</ns0:f>
        <ns0:v>0</ns0:v>
      </ns0:c>
      <ns0:c r="AF245" s="16">
        <ns0:f>IF(AND(OR('前提と出典'!$C$36+'前提と出典'!$C$38=0,U245&gt;=0),OR('前提と出典'!$C$37+'前提と出典'!$C$38=0,V245&gt;=0)),0,A245)</ns0:f>
        <ns0:v>0</ns0:v>
      </ns0:c>
      <ns0:c r="AG245" s="7">
        <ns0:f>IF(Z245&gt;=0,A245,1001)</ns0:f>
        <ns0:v>241</ns0:v>
      </ns0:c>
      <ns0:c r="AH245" s="4">
        <ns0:f>IF(Z245&lt;0,A245,0)</ns0:f>
        <ns0:v>0</ns0:v>
      </ns0:c>
      <ns0:c r="AI245" s="12">
        <ns0:f>IF(AND(OR('前提と出典'!$C$36+'前提と出典'!$C$38=0,X245&gt;=0),OR('前提と出典'!$C$37+'前提と出典'!$C$38=0,Y245&gt;=0)),0,A245)</ns0:f>
        <ns0:v>0</ns0:v>
      </ns0:c>
    </ns0:row>
    <ns0:row r="246" ht="24" customHeight="1">
      <ns0:c r="A246" s="4" t="n">
        <ns0:v>242</ns0:v>
      </ns0:c>
      <ns0:c r="B246" s="12">
        <ns0:f>A246*('前提と出典'!$C$36+'前提と出典'!$C$38)</ns0:f>
        <ns0:v>169.39999999999998</ns0:v>
      </ns0:c>
      <ns0:c r="C246" s="12">
        <ns0:f>A246*('前提と出典'!$C$37+'前提と出典'!$C$38)</ns0:f>
        <ns0:v>145.2</ns0:v>
      </ns0:c>
      <ns0:c r="D246" s="16">
        <ns0:f>A246*('前提と出典'!$C$36*'契約別単価'!C5+'前提と出典'!$C$37*'契約別単価'!C6+'前提と出典'!$C$38*'契約別単価'!C7)</ns0:f>
        <ns0:v>1741.31843575419</ns0:v>
      </ns0:c>
      <ns0:c r="E246" s="16">
        <ns0:f>A246*('前提と出典'!$C$36*'契約別単価'!E5+'前提と出典'!$C$37*'契約別単価'!E6+'前提と出典'!$C$38*'契約別単価'!E7)</ns0:f>
        <ns0:v>468256.60692923254</ns0:v>
      </ns0:c>
      <ns0:c r="F246" s="16">
        <ns0:f>A246*('前提と出典'!$C$36*'契約別単価'!F5+'前提と出典'!$C$37*'契約別単価'!F6+'前提と出典'!$C$38*'契約別単価'!F7)</ns0:f>
        <ns0:v>183773.70608836933</ns0:v>
      </ns0:c>
      <ns0:c r="G246" s="16">
        <ns0:f>A246*('前提と出典'!$C$36*'契約別単価'!G5+'前提と出典'!$C$37*'契約別単価'!G6+'前提と出典'!$C$38*'契約別単価'!G7)</ns0:f>
        <ns0:v>481701.6759776536</ns0:v>
      </ns0:c>
      <ns0:c r="H246" s="16">
        <ns0:f>A246*('前提と出典'!$C$36*'契約別単価'!H5+'前提と出典'!$C$37*'契約別単価'!H6+'前提と出典'!$C$38*'契約別単価'!H7)</ns0:f>
        <ns0:v>167174.6408017742</ns0:v>
      </ns0:c>
      <ns0:c r="I246" s="16">
        <ns0:f>A246*('前提と出典'!$C$36*'契約別単価'!I5+'前提と出典'!$C$37*'契約別単価'!I6+'前提と出典'!$C$38*'契約別単価'!I7)</ns0:f>
        <ns0:v>10211.318435754189</ns0:v>
      </ns0:c>
      <ns0:c r="J246" s="16">
        <ns0:f>A246*('前提と出典'!$C$36*'契約別単価'!J5+'前提と出典'!$C$37*'契約別単価'!J6+'前提と出典'!$C$38*'契約別単価'!J7)</ns0:f>
        <ns0:v>23786.06957789322</ns0:v>
      </ns0:c>
      <ns0:c r="K246" s="16">
        <ns0:f>A246*('前提と出典'!$C$36*'契約別単価'!K5+'前提と出典'!$C$37*'契約別単価'!K6+'前提と出典'!$C$38*'契約別単価'!K7)</ns0:f>
        <ns0:v>101955.45623836126</ns0:v>
      </ns0:c>
      <ns0:c r="L246" s="16">
        <ns0:f>A246*('前提と出典'!$C$36*'契約別単価'!L5+'前提と出典'!$C$37*'契約別単価'!L6+'前提と出典'!$C$38*'契約別単価'!L7)</ns0:f>
        <ns0:v>83012.4880267258</ns0:v>
      </ns0:c>
      <ns0:c r="M246" s="16">
        <ns0:f>IF(('前提と出典'!$C$36+'前提と出典'!$C$38)=0,0,IF(B246&lt;=10,'前提と出典'!B73+'前提と出典'!C73,IF(B246&lt;=100,'前提と出典'!B74+'前提と出典'!C74,IF(B246&lt;=500,'前提と出典'!B75+'前提と出典'!C75,'前提と出典'!B76+'前提と出典'!C76))))</ns0:f>
        <ns0:v>40000</ns0:v>
      </ns0:c>
      <ns0:c r="N246" s="16">
        <ns0:f>IF(('前提と出典'!$C$37+'前提と出典'!$C$38)=0,0,IF(C246&lt;=10,'前提と出典'!D73+'前提と出典'!E73,IF(C246&lt;=100,'前提と出典'!D74+'前提と出典'!E74,IF(C246&lt;=500,'前提と出典'!D75+'前提と出典'!E75,'前提と出典'!D76+'前提と出典'!E76))))</ns0:f>
        <ns0:v>56510.9346263078</ns0:v>
      </ns0:c>
      <ns0:c r="O246" s="16">
        <ns0:f>IF('前提と出典'!$C$36+'前提と出典'!$C$38=0,0,'前提と出典'!$B$4*IF('前提と出典'!$B$20=0,MAX('前提と出典'!$B$6,D246*'前提と出典'!$B$5),'前提と出典'!$B$6+D246*'前提と出典'!$B$5))</ns0:f>
        <ns0:v>240301.94413407822</ns0:v>
      </ns0:c>
      <ns0:c r="P246" s="16">
        <ns0:f>(E246+G246)*(1-'前提と出典'!$B$7)-I246-K246-M246-O246</ns0:f>
        <ns0:v>523291.0659140446</ns0:v>
      </ns0:c>
      <ns0:c r="Q246" s="16">
        <ns0:f>(F246+H246)*(1-'前提と出典'!$B$7)-J246-L246-N246</ns0:f>
        <ns0:v>175004.71417117154</ns0:v>
      </ns0:c>
      <ns0:c r="R246" s="16">
        <ns0:f>P246-E246*'前提と出典'!$E$4</ns0:f>
        <ns0:v>382814.0838352749</ns0:v>
      </ns0:c>
      <ns0:c r="S246" s="16">
        <ns0:f>Q246-F246*'前提と出典'!$E$4</ns0:f>
        <ns0:v>119872.60234466073</ns0:v>
      </ns0:c>
      <ns0:c r="T246" s="7">
        <ns0:f>R246+S246</ns0:f>
        <ns0:v>502686.68617993564</ns0:v>
      </ns0:c>
      <ns0:c r="U246" s="16">
        <ns0:f>P246-E246*'前提と出典'!$E$5</ns0:f>
        <ns0:v>335988.42314235156</ns0:v>
      </ns0:c>
      <ns0:c r="V246" s="16">
        <ns0:f>Q246-F246*'前提と出典'!$E$5</ns0:f>
        <ns0:v>101495.23173582379</ns0:v>
      </ns0:c>
      <ns0:c r="W246" s="7">
        <ns0:f>U246+V246</ns0:f>
        <ns0:v>437483.65487817535</ns0:v>
      </ns0:c>
      <ns0:c r="X246" s="16">
        <ns0:f>P246-E246*'前提と出典'!$E$6</ns0:f>
        <ns0:v>289162.7624494283</ns0:v>
      </ns0:c>
      <ns0:c r="Y246" s="16">
        <ns0:f>Q246-F246*'前提と出典'!$E$6</ns0:f>
        <ns0:v>83117.86112698686</ns0:v>
      </ns0:c>
      <ns0:c r="Z246" s="7">
        <ns0:f>X246+Y246</ns0:f>
        <ns0:v>372280.6235764152</ns0:v>
      </ns0:c>
      <ns0:c r="AA246" s="7">
        <ns0:f>IF(T246&gt;=0,A246,1001)</ns0:f>
        <ns0:v>242</ns0:v>
      </ns0:c>
      <ns0:c r="AB246" s="7">
        <ns0:f>IF(T246&lt;0,A246,0)</ns0:f>
        <ns0:v>0</ns0:v>
      </ns0:c>
      <ns0:c r="AC246" s="16">
        <ns0:f>IF(AND(OR('前提と出典'!$C$36+'前提と出典'!$C$38=0,R246&gt;=0),OR('前提と出典'!$C$37+'前提と出典'!$C$38=0,S246&gt;=0)),0,A246)</ns0:f>
        <ns0:v>0</ns0:v>
      </ns0:c>
      <ns0:c r="AD246" s="7">
        <ns0:f>IF(W246&gt;=0,A246,1001)</ns0:f>
        <ns0:v>242</ns0:v>
      </ns0:c>
      <ns0:c r="AE246" s="7">
        <ns0:f>IF(W246&lt;0,A246,0)</ns0:f>
        <ns0:v>0</ns0:v>
      </ns0:c>
      <ns0:c r="AF246" s="16">
        <ns0:f>IF(AND(OR('前提と出典'!$C$36+'前提と出典'!$C$38=0,U246&gt;=0),OR('前提と出典'!$C$37+'前提と出典'!$C$38=0,V246&gt;=0)),0,A246)</ns0:f>
        <ns0:v>0</ns0:v>
      </ns0:c>
      <ns0:c r="AG246" s="7">
        <ns0:f>IF(Z246&gt;=0,A246,1001)</ns0:f>
        <ns0:v>242</ns0:v>
      </ns0:c>
      <ns0:c r="AH246" s="4">
        <ns0:f>IF(Z246&lt;0,A246,0)</ns0:f>
        <ns0:v>0</ns0:v>
      </ns0:c>
      <ns0:c r="AI246" s="12">
        <ns0:f>IF(AND(OR('前提と出典'!$C$36+'前提と出典'!$C$38=0,X246&gt;=0),OR('前提と出典'!$C$37+'前提と出典'!$C$38=0,Y246&gt;=0)),0,A246)</ns0:f>
        <ns0:v>0</ns0:v>
      </ns0:c>
    </ns0:row>
    <ns0:row r="247" ht="24" customHeight="1">
      <ns0:c r="A247" s="4" t="n">
        <ns0:v>243</ns0:v>
      </ns0:c>
      <ns0:c r="B247" s="12">
        <ns0:f>A247*('前提と出典'!$C$36+'前提と出典'!$C$38)</ns0:f>
        <ns0:v>170.1</ns0:v>
      </ns0:c>
      <ns0:c r="C247" s="12">
        <ns0:f>A247*('前提と出典'!$C$37+'前提と出典'!$C$38)</ns0:f>
        <ns0:v>145.79999999999998</ns0:v>
      </ns0:c>
      <ns0:c r="D247" s="16">
        <ns0:f>A247*('前提と出典'!$C$36*'契約別単価'!C5+'前提と出典'!$C$37*'契約別単価'!C6+'前提と出典'!$C$38*'契約別単価'!C7)</ns0:f>
        <ns0:v>1748.513966480447</ns0:v>
      </ns0:c>
      <ns0:c r="E247" s="16">
        <ns0:f>A247*('前提と出典'!$C$36*'契約別単価'!E5+'前提と出典'!$C$37*'契約別単価'!E6+'前提と出典'!$C$38*'契約別単価'!E7)</ns0:f>
        <ns0:v>470191.5515859649</ns0:v>
      </ns0:c>
      <ns0:c r="F247" s="16">
        <ns0:f>A247*('前提と出典'!$C$36*'契約別単価'!F5+'前提と出典'!$C$37*'契約別単価'!F6+'前提と出典'!$C$38*'契約別単価'!F7)</ns0:f>
        <ns0:v>184533.10156807335</ns0:v>
      </ns0:c>
      <ns0:c r="G247" s="16">
        <ns0:f>A247*('前提と出典'!$C$36*'契約別単価'!G5+'前提と出典'!$C$37*'契約別単価'!G6+'前提と出典'!$C$38*'契約別単価'!G7)</ns0:f>
        <ns0:v>483692.1787709497</ns0:v>
      </ns0:c>
      <ns0:c r="H247" s="16">
        <ns0:f>A247*('前提と出典'!$C$36*'契約別単価'!H5+'前提と出典'!$C$37*'契約別単価'!H6+'前提と出典'!$C$38*'契約別単価'!H7)</ns0:f>
        <ns0:v>167865.44510260798</ns0:v>
      </ns0:c>
      <ns0:c r="I247" s="16">
        <ns0:f>A247*('前提と出典'!$C$36*'契約別単価'!I5+'前提と出典'!$C$37*'契約別単価'!I6+'前提と出典'!$C$38*'契約別単価'!I7)</ns0:f>
        <ns0:v>10253.513966480445</ns0:v>
      </ns0:c>
      <ns0:c r="J247" s="16">
        <ns0:f>A247*('前提と出典'!$C$36*'契約別単価'!J5+'前提と出典'!$C$37*'契約別単価'!J6+'前提と出典'!$C$38*'契約別単価'!J7)</ns0:f>
        <ns0:v>23884.359121603524</ns0:v>
      </ns0:c>
      <ns0:c r="K247" s="16">
        <ns0:f>A247*('前提と出典'!$C$36*'契約別単価'!K5+'前提と出典'!$C$37*'契約別単価'!K6+'前提と出典'!$C$38*'契約別単価'!K7)</ns0:f>
        <ns0:v>102376.7597765363</ns0:v>
      </ns0:c>
      <ns0:c r="L247" s="16">
        <ns0:f>A247*('前提と出典'!$C$36*'契約別単価'!L5+'前提と出典'!$C$37*'契約別単価'!L6+'前提と出典'!$C$38*'契約別単価'!L7)</ns0:f>
        <ns0:v>83355.5148367536</ns0:v>
      </ns0:c>
      <ns0:c r="M247" s="16">
        <ns0:f>IF(('前提と出典'!$C$36+'前提と出典'!$C$38)=0,0,IF(B247&lt;=10,'前提と出典'!B73+'前提と出典'!C73,IF(B247&lt;=100,'前提と出典'!B74+'前提と出典'!C74,IF(B247&lt;=500,'前提と出典'!B75+'前提と出典'!C75,'前提と出典'!B76+'前提と出典'!C76))))</ns0:f>
        <ns0:v>40000</ns0:v>
      </ns0:c>
      <ns0:c r="N247" s="16">
        <ns0:f>IF(('前提と出典'!$C$37+'前提と出典'!$C$38)=0,0,IF(C247&lt;=10,'前提と出典'!D73+'前提と出典'!E73,IF(C247&lt;=100,'前提と出典'!D74+'前提と出典'!E74,IF(C247&lt;=500,'前提と出典'!D75+'前提と出典'!E75,'前提と出典'!D76+'前提と出典'!E76))))</ns0:f>
        <ns0:v>56510.9346263078</ns0:v>
      </ns0:c>
      <ns0:c r="O247" s="16">
        <ns0:f>IF('前提と出典'!$C$36+'前提と出典'!$C$38=0,0,'前提と出典'!$B$4*IF('前提と出典'!$B$20=0,MAX('前提と出典'!$B$6,D247*'前提と出典'!$B$5),'前提と出典'!$B$6+D247*'前提と出典'!$B$5))</ns0:f>
        <ns0:v>241294.9273743017</ns0:v>
      </ns0:c>
      <ns0:c r="P247" s="16">
        <ns0:f>(E247+G247)*(1-'前提と出典'!$B$7)-I247-K247-M247-O247</ns0:f>
        <ns0:v>525618.7149467473</ns0:v>
      </ns0:c>
      <ns0:c r="Q247" s="16">
        <ns0:f>(F247+H247)*(1-'前提と出典'!$B$7)-J247-L247-N247</ns0:f>
        <ns0:v>175961.3904058719</ns0:v>
      </ns0:c>
      <ns0:c r="R247" s="16">
        <ns0:f>P247-E247*'前提と出典'!$E$4</ns0:f>
        <ns0:v>384561.2494709579</ns0:v>
      </ns0:c>
      <ns0:c r="S247" s="16">
        <ns0:f>Q247-F247*'前提と出典'!$E$4</ns0:f>
        <ns0:v>120601.45993544985</ns0:v>
      </ns0:c>
      <ns0:c r="T247" s="7">
        <ns0:f>R247+S247</ns0:f>
        <ns0:v>505162.7094064078</ns0:v>
      </ns0:c>
      <ns0:c r="U247" s="16">
        <ns0:f>P247-E247*'前提と出典'!$E$5</ns0:f>
        <ns0:v>337542.0943123613</ns0:v>
      </ns0:c>
      <ns0:c r="V247" s="16">
        <ns0:f>Q247-F247*'前提と出典'!$E$5</ns0:f>
        <ns0:v>102148.14977864255</ns0:v>
      </ns0:c>
      <ns0:c r="W247" s="7">
        <ns0:f>U247+V247</ns0:f>
        <ns0:v>439690.2440910039</ns0:v>
      </ns0:c>
      <ns0:c r="X247" s="16">
        <ns0:f>P247-E247*'前提と出典'!$E$6</ns0:f>
        <ns0:v>290522.939153765</ns0:v>
      </ns0:c>
      <ns0:c r="Y247" s="16">
        <ns0:f>Q247-F247*'前提と出典'!$E$6</ns0:f>
        <ns0:v>83694.83962183518</ns0:v>
      </ns0:c>
      <ns0:c r="Z247" s="7">
        <ns0:f>X247+Y247</ns0:f>
        <ns0:v>374217.77877560013</ns0:v>
      </ns0:c>
      <ns0:c r="AA247" s="7">
        <ns0:f>IF(T247&gt;=0,A247,1001)</ns0:f>
        <ns0:v>243</ns0:v>
      </ns0:c>
      <ns0:c r="AB247" s="7">
        <ns0:f>IF(T247&lt;0,A247,0)</ns0:f>
        <ns0:v>0</ns0:v>
      </ns0:c>
      <ns0:c r="AC247" s="16">
        <ns0:f>IF(AND(OR('前提と出典'!$C$36+'前提と出典'!$C$38=0,R247&gt;=0),OR('前提と出典'!$C$37+'前提と出典'!$C$38=0,S247&gt;=0)),0,A247)</ns0:f>
        <ns0:v>0</ns0:v>
      </ns0:c>
      <ns0:c r="AD247" s="7">
        <ns0:f>IF(W247&gt;=0,A247,1001)</ns0:f>
        <ns0:v>243</ns0:v>
      </ns0:c>
      <ns0:c r="AE247" s="7">
        <ns0:f>IF(W247&lt;0,A247,0)</ns0:f>
        <ns0:v>0</ns0:v>
      </ns0:c>
      <ns0:c r="AF247" s="16">
        <ns0:f>IF(AND(OR('前提と出典'!$C$36+'前提と出典'!$C$38=0,U247&gt;=0),OR('前提と出典'!$C$37+'前提と出典'!$C$38=0,V247&gt;=0)),0,A247)</ns0:f>
        <ns0:v>0</ns0:v>
      </ns0:c>
      <ns0:c r="AG247" s="7">
        <ns0:f>IF(Z247&gt;=0,A247,1001)</ns0:f>
        <ns0:v>243</ns0:v>
      </ns0:c>
      <ns0:c r="AH247" s="4">
        <ns0:f>IF(Z247&lt;0,A247,0)</ns0:f>
        <ns0:v>0</ns0:v>
      </ns0:c>
      <ns0:c r="AI247" s="12">
        <ns0:f>IF(AND(OR('前提と出典'!$C$36+'前提と出典'!$C$38=0,X247&gt;=0),OR('前提と出典'!$C$37+'前提と出典'!$C$38=0,Y247&gt;=0)),0,A247)</ns0:f>
        <ns0:v>0</ns0:v>
      </ns0:c>
    </ns0:row>
    <ns0:row r="248" ht="24" customHeight="1">
      <ns0:c r="A248" s="4" t="n">
        <ns0:v>244</ns0:v>
      </ns0:c>
      <ns0:c r="B248" s="12">
        <ns0:f>A248*('前提と出典'!$C$36+'前提と出典'!$C$38)</ns0:f>
        <ns0:v>170.79999999999998</ns0:v>
      </ns0:c>
      <ns0:c r="C248" s="12">
        <ns0:f>A248*('前提と出典'!$C$37+'前提と出典'!$C$38)</ns0:f>
        <ns0:v>146.4</ns0:v>
      </ns0:c>
      <ns0:c r="D248" s="16">
        <ns0:f>A248*('前提と出典'!$C$36*'契約別単価'!C5+'前提と出典'!$C$37*'契約別単価'!C6+'前提と出典'!$C$38*'契約別単価'!C7)</ns0:f>
        <ns0:v>1755.7094972067039</ns0:v>
      </ns0:c>
      <ns0:c r="E248" s="16">
        <ns0:f>A248*('前提と出典'!$C$36*'契約別単価'!E5+'前提と出典'!$C$37*'契約別単価'!E6+'前提と出典'!$C$38*'契約別単価'!E7)</ns0:f>
        <ns0:v>472126.4962426973</ns0:v>
      </ns0:c>
      <ns0:c r="F248" s="16">
        <ns0:f>A248*('前提と出典'!$C$36*'契約別単価'!F5+'前提と出典'!$C$37*'契約別単価'!F6+'前提と出典'!$C$38*'契約別単価'!F7)</ns0:f>
        <ns0:v>185292.49704777735</ns0:v>
      </ns0:c>
      <ns0:c r="G248" s="16">
        <ns0:f>A248*('前提と出典'!$C$36*'契約別単価'!G5+'前提と出典'!$C$37*'契約別単価'!G6+'前提と出典'!$C$38*'契約別単価'!G7)</ns0:f>
        <ns0:v>485682.6815642458</ns0:v>
      </ns0:c>
      <ns0:c r="H248" s="16">
        <ns0:f>A248*('前提と出典'!$C$36*'契約別単価'!H5+'前提と出典'!$C$37*'契約別単価'!H6+'前提と出典'!$C$38*'契約別単価'!H7)</ns0:f>
        <ns0:v>168556.24940344176</ns0:v>
      </ns0:c>
      <ns0:c r="I248" s="16">
        <ns0:f>A248*('前提と出典'!$C$36*'契約別単価'!I5+'前提と出典'!$C$37*'契約別単価'!I6+'前提と出典'!$C$38*'契約別単価'!I7)</ns0:f>
        <ns0:v>10295.709497206703</ns0:v>
      </ns0:c>
      <ns0:c r="J248" s="16">
        <ns0:f>A248*('前提と出典'!$C$36*'契約別単価'!J5+'前提と出典'!$C$37*'契約別単価'!J6+'前提と出典'!$C$38*'契約別単価'!J7)</ns0:f>
        <ns0:v>23982.648665313827</ns0:v>
      </ns0:c>
      <ns0:c r="K248" s="16">
        <ns0:f>A248*('前提と出典'!$C$36*'契約別単価'!K5+'前提と出典'!$C$37*'契約別単価'!K6+'前提と出典'!$C$38*'契約別単価'!K7)</ns0:f>
        <ns0:v>102798.06331471135</ns0:v>
      </ns0:c>
      <ns0:c r="L248" s="16">
        <ns0:f>A248*('前提と出典'!$C$36*'契約別単価'!L5+'前提と出典'!$C$37*'契約別単価'!L6+'前提と出典'!$C$38*'契約別単価'!L7)</ns0:f>
        <ns0:v>83698.54164678139</ns0:v>
      </ns0:c>
      <ns0:c r="M248" s="16">
        <ns0:f>IF(('前提と出典'!$C$36+'前提と出典'!$C$38)=0,0,IF(B248&lt;=10,'前提と出典'!B73+'前提と出典'!C73,IF(B248&lt;=100,'前提と出典'!B74+'前提と出典'!C74,IF(B248&lt;=500,'前提と出典'!B75+'前提と出典'!C75,'前提と出典'!B76+'前提と出典'!C76))))</ns0:f>
        <ns0:v>40000</ns0:v>
      </ns0:c>
      <ns0:c r="N248" s="16">
        <ns0:f>IF(('前提と出典'!$C$37+'前提と出典'!$C$38)=0,0,IF(C248&lt;=10,'前提と出典'!D73+'前提と出典'!E73,IF(C248&lt;=100,'前提と出典'!D74+'前提と出典'!E74,IF(C248&lt;=500,'前提と出典'!D75+'前提と出典'!E75,'前提と出典'!D76+'前提と出典'!E76))))</ns0:f>
        <ns0:v>56510.9346263078</ns0:v>
      </ns0:c>
      <ns0:c r="O248" s="16">
        <ns0:f>IF('前提と出典'!$C$36+'前提と出典'!$C$38=0,0,'前提と出典'!$B$4*IF('前提と出典'!$B$20=0,MAX('前提と出典'!$B$6,D248*'前提と出典'!$B$5),'前提と出典'!$B$6+D248*'前提と出典'!$B$5))</ns0:f>
        <ns0:v>242287.91061452514</ns0:v>
      </ns0:c>
      <ns0:c r="P248" s="16">
        <ns0:f>(E248+G248)*(1-'前提と出典'!$B$7)-I248-K248-M248-O248</ns0:f>
        <ns0:v>527946.36397945</ns0:v>
      </ns0:c>
      <ns0:c r="Q248" s="16">
        <ns0:f>(F248+H248)*(1-'前提と出典'!$B$7)-J248-L248-N248</ns0:f>
        <ns0:v>176918.0666405722</ns0:v>
      </ns0:c>
      <ns0:c r="R248" s="16">
        <ns0:f>P248-E248*'前提と出典'!$E$4</ns0:f>
        <ns0:v>386308.4151066407</ns0:v>
      </ns0:c>
      <ns0:c r="S248" s="16">
        <ns0:f>Q248-F248*'前提と出典'!$E$4</ns0:f>
        <ns0:v>121330.31752623897</ns0:v>
      </ns0:c>
      <ns0:c r="T248" s="7">
        <ns0:f>R248+S248</ns0:f>
        <ns0:v>507638.7326328797</ns0:v>
      </ns0:c>
      <ns0:c r="U248" s="16">
        <ns0:f>P248-E248*'前提と出典'!$E$5</ns0:f>
        <ns0:v>339095.76548237103</ns0:v>
      </ns0:c>
      <ns0:c r="V248" s="16">
        <ns0:f>Q248-F248*'前提と出典'!$E$5</ns0:f>
        <ns0:v>102801.06782146124</ns0:v>
      </ns0:c>
      <ns0:c r="W248" s="7">
        <ns0:f>U248+V248</ns0:f>
        <ns0:v>441896.8333038323</ns0:v>
      </ns0:c>
      <ns0:c r="X248" s="16">
        <ns0:f>P248-E248*'前提と出典'!$E$6</ns0:f>
        <ns0:v>291883.1158581012</ns0:v>
      </ns0:c>
      <ns0:c r="Y248" s="16">
        <ns0:f>Q248-F248*'前提と出典'!$E$6</ns0:f>
        <ns0:v>84271.81811668351</ns0:v>
      </ns0:c>
      <ns0:c r="Z248" s="7">
        <ns0:f>X248+Y248</ns0:f>
        <ns0:v>376154.93397478474</ns0:v>
      </ns0:c>
      <ns0:c r="AA248" s="7">
        <ns0:f>IF(T248&gt;=0,A248,1001)</ns0:f>
        <ns0:v>244</ns0:v>
      </ns0:c>
      <ns0:c r="AB248" s="7">
        <ns0:f>IF(T248&lt;0,A248,0)</ns0:f>
        <ns0:v>0</ns0:v>
      </ns0:c>
      <ns0:c r="AC248" s="16">
        <ns0:f>IF(AND(OR('前提と出典'!$C$36+'前提と出典'!$C$38=0,R248&gt;=0),OR('前提と出典'!$C$37+'前提と出典'!$C$38=0,S248&gt;=0)),0,A248)</ns0:f>
        <ns0:v>0</ns0:v>
      </ns0:c>
      <ns0:c r="AD248" s="7">
        <ns0:f>IF(W248&gt;=0,A248,1001)</ns0:f>
        <ns0:v>244</ns0:v>
      </ns0:c>
      <ns0:c r="AE248" s="7">
        <ns0:f>IF(W248&lt;0,A248,0)</ns0:f>
        <ns0:v>0</ns0:v>
      </ns0:c>
      <ns0:c r="AF248" s="16">
        <ns0:f>IF(AND(OR('前提と出典'!$C$36+'前提と出典'!$C$38=0,U248&gt;=0),OR('前提と出典'!$C$37+'前提と出典'!$C$38=0,V248&gt;=0)),0,A248)</ns0:f>
        <ns0:v>0</ns0:v>
      </ns0:c>
      <ns0:c r="AG248" s="7">
        <ns0:f>IF(Z248&gt;=0,A248,1001)</ns0:f>
        <ns0:v>244</ns0:v>
      </ns0:c>
      <ns0:c r="AH248" s="4">
        <ns0:f>IF(Z248&lt;0,A248,0)</ns0:f>
        <ns0:v>0</ns0:v>
      </ns0:c>
      <ns0:c r="AI248" s="12">
        <ns0:f>IF(AND(OR('前提と出典'!$C$36+'前提と出典'!$C$38=0,X248&gt;=0),OR('前提と出典'!$C$37+'前提と出典'!$C$38=0,Y248&gt;=0)),0,A248)</ns0:f>
        <ns0:v>0</ns0:v>
      </ns0:c>
    </ns0:row>
    <ns0:row r="249" ht="24" customHeight="1">
      <ns0:c r="A249" s="4" t="n">
        <ns0:v>245</ns0:v>
      </ns0:c>
      <ns0:c r="B249" s="12">
        <ns0:f>A249*('前提と出典'!$C$36+'前提と出典'!$C$38)</ns0:f>
        <ns0:v>171.5</ns0:v>
      </ns0:c>
      <ns0:c r="C249" s="12">
        <ns0:f>A249*('前提と出典'!$C$37+'前提と出典'!$C$38)</ns0:f>
        <ns0:v>147</ns0:v>
      </ns0:c>
      <ns0:c r="D249" s="16">
        <ns0:f>A249*('前提と出典'!$C$36*'契約別単価'!C5+'前提と出典'!$C$37*'契約別単価'!C6+'前提と出典'!$C$38*'契約別単価'!C7)</ns0:f>
        <ns0:v>1762.9050279329608</ns0:v>
      </ns0:c>
      <ns0:c r="E249" s="16">
        <ns0:f>A249*('前提と出典'!$C$36*'契約別単価'!E5+'前提と出典'!$C$37*'契約別単価'!E6+'前提と出典'!$C$38*'契約別単価'!E7)</ns0:f>
        <ns0:v>474061.44089942967</ns0:v>
      </ns0:c>
      <ns0:c r="F249" s="16">
        <ns0:f>A249*('前提と出典'!$C$36*'契約別単価'!F5+'前提と出典'!$C$37*'契約別単価'!F6+'前提と出典'!$C$38*'契約別単価'!F7)</ns0:f>
        <ns0:v>186051.89252748137</ns0:v>
      </ns0:c>
      <ns0:c r="G249" s="16">
        <ns0:f>A249*('前提と出典'!$C$36*'契約別単価'!G5+'前提と出典'!$C$37*'契約別単価'!G6+'前提と出典'!$C$38*'契約別単価'!G7)</ns0:f>
        <ns0:v>487673.1843575419</ns0:v>
      </ns0:c>
      <ns0:c r="H249" s="16">
        <ns0:f>A249*('前提と出典'!$C$36*'契約別単価'!H5+'前提と出典'!$C$37*'契約別単価'!H6+'前提と出典'!$C$38*'契約別単価'!H7)</ns0:f>
        <ns0:v>169247.05370427555</ns0:v>
      </ns0:c>
      <ns0:c r="I249" s="16">
        <ns0:f>A249*('前提と出典'!$C$36*'契約別単価'!I5+'前提と出典'!$C$37*'契約別単価'!I6+'前提と出典'!$C$38*'契約別単価'!I7)</ns0:f>
        <ns0:v>10337.905027932959</ns0:v>
      </ns0:c>
      <ns0:c r="J249" s="16">
        <ns0:f>A249*('前提と出典'!$C$36*'契約別単価'!J5+'前提と出典'!$C$37*'契約別単価'!J6+'前提と出典'!$C$38*'契約別単価'!J7)</ns0:f>
        <ns0:v>24080.93820902413</ns0:v>
      </ns0:c>
      <ns0:c r="K249" s="16">
        <ns0:f>A249*('前提と出典'!$C$36*'契約別単価'!K5+'前提と出典'!$C$37*'契約別単価'!K6+'前提と出典'!$C$38*'契約別単価'!K7)</ns0:f>
        <ns0:v>103219.3668528864</ns0:v>
      </ns0:c>
      <ns0:c r="L249" s="16">
        <ns0:f>A249*('前提と出典'!$C$36*'契約別単価'!L5+'前提と出典'!$C$37*'契約別単価'!L6+'前提と出典'!$C$38*'契約別単価'!L7)</ns0:f>
        <ns0:v>84041.56845680918</ns0:v>
      </ns0:c>
      <ns0:c r="M249" s="16">
        <ns0:f>IF(('前提と出典'!$C$36+'前提と出典'!$C$38)=0,0,IF(B249&lt;=10,'前提と出典'!B73+'前提と出典'!C73,IF(B249&lt;=100,'前提と出典'!B74+'前提と出典'!C74,IF(B249&lt;=500,'前提と出典'!B75+'前提と出典'!C75,'前提と出典'!B76+'前提と出典'!C76))))</ns0:f>
        <ns0:v>40000</ns0:v>
      </ns0:c>
      <ns0:c r="N249" s="16">
        <ns0:f>IF(('前提と出典'!$C$37+'前提と出典'!$C$38)=0,0,IF(C249&lt;=10,'前提と出典'!D73+'前提と出典'!E73,IF(C249&lt;=100,'前提と出典'!D74+'前提と出典'!E74,IF(C249&lt;=500,'前提と出典'!D75+'前提と出典'!E75,'前提と出典'!D76+'前提と出典'!E76))))</ns0:f>
        <ns0:v>56510.9346263078</ns0:v>
      </ns0:c>
      <ns0:c r="O249" s="16">
        <ns0:f>IF('前提と出典'!$C$36+'前提と出典'!$C$38=0,0,'前提と出典'!$B$4*IF('前提と出典'!$B$20=0,MAX('前提と出典'!$B$6,D249*'前提と出典'!$B$5),'前提と出典'!$B$6+D249*'前提と出典'!$B$5))</ns0:f>
        <ns0:v>243280.8938547486</ns0:v>
      </ns0:c>
      <ns0:c r="P249" s="16">
        <ns0:f>(E249+G249)*(1-'前提と出典'!$B$7)-I249-K249-M249-O249</ns0:f>
        <ns0:v>530274.0130121526</ns0:v>
      </ns0:c>
      <ns0:c r="Q249" s="16">
        <ns0:f>(F249+H249)*(1-'前提と出典'!$B$7)-J249-L249-N249</ns0:f>
        <ns0:v>177874.74287527252</ns0:v>
      </ns0:c>
      <ns0:c r="R249" s="16">
        <ns0:f>P249-E249*'前提と出典'!$E$4</ns0:f>
        <ns0:v>388055.5807423238</ns0:v>
      </ns0:c>
      <ns0:c r="S249" s="16">
        <ns0:f>Q249-F249*'前提と出典'!$E$4</ns0:f>
        <ns0:v>122059.17511702815</ns0:v>
      </ns0:c>
      <ns0:c r="T249" s="7">
        <ns0:f>R249+S249</ns0:f>
        <ns0:v>510114.75585935195</ns0:v>
      </ns0:c>
      <ns0:c r="U249" s="16">
        <ns0:f>P249-E249*'前提と出典'!$E$5</ns0:f>
        <ns0:v>340649.43665238074</ns0:v>
      </ns0:c>
      <ns0:c r="V249" s="16">
        <ns0:f>Q249-F249*'前提と出典'!$E$5</ns0:f>
        <ns0:v>103453.98586428</ns0:v>
      </ns0:c>
      <ns0:c r="W249" s="7">
        <ns0:f>U249+V249</ns0:f>
        <ns0:v>444103.42251666076</ns0:v>
      </ns0:c>
      <ns0:c r="X249" s="16">
        <ns0:f>P249-E249*'前提と出典'!$E$6</ns0:f>
        <ns0:v>293243.2925624378</ns0:v>
      </ns0:c>
      <ns0:c r="Y249" s="16">
        <ns0:f>Q249-F249*'前提と出典'!$E$6</ns0:f>
        <ns0:v>84848.7966115319</ns0:v>
      </ns0:c>
      <ns0:c r="Z249" s="7">
        <ns0:f>X249+Y249</ns0:f>
        <ns0:v>378092.0891739697</ns0:v>
      </ns0:c>
      <ns0:c r="AA249" s="7">
        <ns0:f>IF(T249&gt;=0,A249,1001)</ns0:f>
        <ns0:v>245</ns0:v>
      </ns0:c>
      <ns0:c r="AB249" s="7">
        <ns0:f>IF(T249&lt;0,A249,0)</ns0:f>
        <ns0:v>0</ns0:v>
      </ns0:c>
      <ns0:c r="AC249" s="16">
        <ns0:f>IF(AND(OR('前提と出典'!$C$36+'前提と出典'!$C$38=0,R249&gt;=0),OR('前提と出典'!$C$37+'前提と出典'!$C$38=0,S249&gt;=0)),0,A249)</ns0:f>
        <ns0:v>0</ns0:v>
      </ns0:c>
      <ns0:c r="AD249" s="7">
        <ns0:f>IF(W249&gt;=0,A249,1001)</ns0:f>
        <ns0:v>245</ns0:v>
      </ns0:c>
      <ns0:c r="AE249" s="7">
        <ns0:f>IF(W249&lt;0,A249,0)</ns0:f>
        <ns0:v>0</ns0:v>
      </ns0:c>
      <ns0:c r="AF249" s="16">
        <ns0:f>IF(AND(OR('前提と出典'!$C$36+'前提と出典'!$C$38=0,U249&gt;=0),OR('前提と出典'!$C$37+'前提と出典'!$C$38=0,V249&gt;=0)),0,A249)</ns0:f>
        <ns0:v>0</ns0:v>
      </ns0:c>
      <ns0:c r="AG249" s="7">
        <ns0:f>IF(Z249&gt;=0,A249,1001)</ns0:f>
        <ns0:v>245</ns0:v>
      </ns0:c>
      <ns0:c r="AH249" s="4">
        <ns0:f>IF(Z249&lt;0,A249,0)</ns0:f>
        <ns0:v>0</ns0:v>
      </ns0:c>
      <ns0:c r="AI249" s="12">
        <ns0:f>IF(AND(OR('前提と出典'!$C$36+'前提と出典'!$C$38=0,X249&gt;=0),OR('前提と出典'!$C$37+'前提と出典'!$C$38=0,Y249&gt;=0)),0,A249)</ns0:f>
        <ns0:v>0</ns0:v>
      </ns0:c>
    </ns0:row>
    <ns0:row r="250" ht="24" customHeight="1">
      <ns0:c r="A250" s="4" t="n">
        <ns0:v>246</ns0:v>
      </ns0:c>
      <ns0:c r="B250" s="12">
        <ns0:f>A250*('前提と出典'!$C$36+'前提と出典'!$C$38)</ns0:f>
        <ns0:v>172.2</ns0:v>
      </ns0:c>
      <ns0:c r="C250" s="12">
        <ns0:f>A250*('前提と出典'!$C$37+'前提と出典'!$C$38)</ns0:f>
        <ns0:v>147.6</ns0:v>
      </ns0:c>
      <ns0:c r="D250" s="16">
        <ns0:f>A250*('前提と出典'!$C$36*'契約別単価'!C5+'前提と出典'!$C$37*'契約別単価'!C6+'前提と出典'!$C$38*'契約別単価'!C7)</ns0:f>
        <ns0:v>1770.1005586592178</ns0:v>
      </ns0:c>
      <ns0:c r="E250" s="16">
        <ns0:f>A250*('前提と出典'!$C$36*'契約別単価'!E5+'前提と出典'!$C$37*'契約別単価'!E6+'前提と出典'!$C$38*'契約別単価'!E7)</ns0:f>
        <ns0:v>475996.38555616204</ns0:v>
      </ns0:c>
      <ns0:c r="F250" s="16">
        <ns0:f>A250*('前提と出典'!$C$36*'契約別単価'!F5+'前提と出典'!$C$37*'契約別単価'!F6+'前提と出典'!$C$38*'契約別単価'!F7)</ns0:f>
        <ns0:v>186811.28800718536</ns0:v>
      </ns0:c>
      <ns0:c r="G250" s="16">
        <ns0:f>A250*('前提と出典'!$C$36*'契約別単価'!G5+'前提と出典'!$C$37*'契約別単価'!G6+'前提と出典'!$C$38*'契約別単価'!G7)</ns0:f>
        <ns0:v>489663.68715083797</ns0:v>
      </ns0:c>
      <ns0:c r="H250" s="16">
        <ns0:f>A250*('前提と出典'!$C$36*'契約別単価'!H5+'前提と出典'!$C$37*'契約別単価'!H6+'前提と出典'!$C$38*'契約別単価'!H7)</ns0:f>
        <ns0:v>169937.8580051093</ns0:v>
      </ns0:c>
      <ns0:c r="I250" s="16">
        <ns0:f>A250*('前提と出典'!$C$36*'契約別単価'!I5+'前提と出典'!$C$37*'契約別単価'!I6+'前提と出典'!$C$38*'契約別単価'!I7)</ns0:f>
        <ns0:v>10380.100558659216</ns0:v>
      </ns0:c>
      <ns0:c r="J250" s="16">
        <ns0:f>A250*('前提と出典'!$C$36*'契約別単価'!J5+'前提と出典'!$C$37*'契約別単価'!J6+'前提と出典'!$C$38*'契約別単価'!J7)</ns0:f>
        <ns0:v>24179.22775273443</ns0:v>
      </ns0:c>
      <ns0:c r="K250" s="16">
        <ns0:f>A250*('前提と出典'!$C$36*'契約別単価'!K5+'前提と出典'!$C$37*'契約別単価'!K6+'前提と出典'!$C$38*'契約別単価'!K7)</ns0:f>
        <ns0:v>103640.67039106145</ns0:v>
      </ns0:c>
      <ns0:c r="L250" s="16">
        <ns0:f>A250*('前提と出典'!$C$36*'契約別単価'!L5+'前提と出典'!$C$37*'契約別単価'!L6+'前提と出典'!$C$38*'契約別単価'!L7)</ns0:f>
        <ns0:v>84384.59526683697</ns0:v>
      </ns0:c>
      <ns0:c r="M250" s="16">
        <ns0:f>IF(('前提と出典'!$C$36+'前提と出典'!$C$38)=0,0,IF(B250&lt;=10,'前提と出典'!B73+'前提と出典'!C73,IF(B250&lt;=100,'前提と出典'!B74+'前提と出典'!C74,IF(B250&lt;=500,'前提と出典'!B75+'前提と出典'!C75,'前提と出典'!B76+'前提と出典'!C76))))</ns0:f>
        <ns0:v>40000</ns0:v>
      </ns0:c>
      <ns0:c r="N250" s="16">
        <ns0:f>IF(('前提と出典'!$C$37+'前提と出典'!$C$38)=0,0,IF(C250&lt;=10,'前提と出典'!D73+'前提と出典'!E73,IF(C250&lt;=100,'前提と出典'!D74+'前提と出典'!E74,IF(C250&lt;=500,'前提と出典'!D75+'前提と出典'!E75,'前提と出典'!D76+'前提と出典'!E76))))</ns0:f>
        <ns0:v>56510.9346263078</ns0:v>
      </ns0:c>
      <ns0:c r="O250" s="16">
        <ns0:f>IF('前提と出典'!$C$36+'前提と出典'!$C$38=0,0,'前提と出典'!$B$4*IF('前提と出典'!$B$20=0,MAX('前提と出典'!$B$6,D250*'前提と出典'!$B$5),'前提と出典'!$B$6+D250*'前提と出典'!$B$5))</ns0:f>
        <ns0:v>244273.87709497206</ns0:v>
      </ns0:c>
      <ns0:c r="P250" s="16">
        <ns0:f>(E250+G250)*(1-'前提と出典'!$B$7)-I250-K250-M250-O250</ns0:f>
        <ns0:v>532601.6620448553</ns0:v>
      </ns0:c>
      <ns0:c r="Q250" s="16">
        <ns0:f>(F250+H250)*(1-'前提と出典'!$B$7)-J250-L250-N250</ns0:f>
        <ns0:v>178831.41910997283</ns0:v>
      </ns0:c>
      <ns0:c r="R250" s="16">
        <ns0:f>P250-E250*'前提と出典'!$E$4</ns0:f>
        <ns0:v>389802.74637800665</ns0:v>
      </ns0:c>
      <ns0:c r="S250" s="16">
        <ns0:f>Q250-F250*'前提と出典'!$E$4</ns0:f>
        <ns0:v>122788.03270781721</ns0:v>
      </ns0:c>
      <ns0:c r="T250" s="7">
        <ns0:f>R250+S250</ns0:f>
        <ns0:v>512590.77908582386</ns0:v>
      </ns0:c>
      <ns0:c r="U250" s="16">
        <ns0:f>P250-E250*'前提と出典'!$E$5</ns0:f>
        <ns0:v>342203.1078223905</ns0:v>
      </ns0:c>
      <ns0:c r="V250" s="16">
        <ns0:f>Q250-F250*'前提と出典'!$E$5</ns0:f>
        <ns0:v>104106.90390709869</ns0:v>
      </ns0:c>
      <ns0:c r="W250" s="7">
        <ns0:f>U250+V250</ns0:f>
        <ns0:v>446310.0117294892</ns0:v>
      </ns0:c>
      <ns0:c r="X250" s="16">
        <ns0:f>P250-E250*'前提と出典'!$E$6</ns0:f>
        <ns0:v>294603.46926677425</ns0:v>
      </ns0:c>
      <ns0:c r="Y250" s="16">
        <ns0:f>Q250-F250*'前提と出典'!$E$6</ns0:f>
        <ns0:v>85425.77510638017</ns0:v>
      </ns0:c>
      <ns0:c r="Z250" s="7">
        <ns0:f>X250+Y250</ns0:f>
        <ns0:v>380029.2443731544</ns0:v>
      </ns0:c>
      <ns0:c r="AA250" s="7">
        <ns0:f>IF(T250&gt;=0,A250,1001)</ns0:f>
        <ns0:v>246</ns0:v>
      </ns0:c>
      <ns0:c r="AB250" s="7">
        <ns0:f>IF(T250&lt;0,A250,0)</ns0:f>
        <ns0:v>0</ns0:v>
      </ns0:c>
      <ns0:c r="AC250" s="16">
        <ns0:f>IF(AND(OR('前提と出典'!$C$36+'前提と出典'!$C$38=0,R250&gt;=0),OR('前提と出典'!$C$37+'前提と出典'!$C$38=0,S250&gt;=0)),0,A250)</ns0:f>
        <ns0:v>0</ns0:v>
      </ns0:c>
      <ns0:c r="AD250" s="7">
        <ns0:f>IF(W250&gt;=0,A250,1001)</ns0:f>
        <ns0:v>246</ns0:v>
      </ns0:c>
      <ns0:c r="AE250" s="7">
        <ns0:f>IF(W250&lt;0,A250,0)</ns0:f>
        <ns0:v>0</ns0:v>
      </ns0:c>
      <ns0:c r="AF250" s="16">
        <ns0:f>IF(AND(OR('前提と出典'!$C$36+'前提と出典'!$C$38=0,U250&gt;=0),OR('前提と出典'!$C$37+'前提と出典'!$C$38=0,V250&gt;=0)),0,A250)</ns0:f>
        <ns0:v>0</ns0:v>
      </ns0:c>
      <ns0:c r="AG250" s="7">
        <ns0:f>IF(Z250&gt;=0,A250,1001)</ns0:f>
        <ns0:v>246</ns0:v>
      </ns0:c>
      <ns0:c r="AH250" s="4">
        <ns0:f>IF(Z250&lt;0,A250,0)</ns0:f>
        <ns0:v>0</ns0:v>
      </ns0:c>
      <ns0:c r="AI250" s="12">
        <ns0:f>IF(AND(OR('前提と出典'!$C$36+'前提と出典'!$C$38=0,X250&gt;=0),OR('前提と出典'!$C$37+'前提と出典'!$C$38=0,Y250&gt;=0)),0,A250)</ns0:f>
        <ns0:v>0</ns0:v>
      </ns0:c>
    </ns0:row>
    <ns0:row r="251" ht="24" customHeight="1">
      <ns0:c r="A251" s="4" t="n">
        <ns0:v>247</ns0:v>
      </ns0:c>
      <ns0:c r="B251" s="12">
        <ns0:f>A251*('前提と出典'!$C$36+'前提と出典'!$C$38)</ns0:f>
        <ns0:v>172.89999999999998</ns0:v>
      </ns0:c>
      <ns0:c r="C251" s="12">
        <ns0:f>A251*('前提と出典'!$C$37+'前提と出典'!$C$38)</ns0:f>
        <ns0:v>148.2</ns0:v>
      </ns0:c>
      <ns0:c r="D251" s="16">
        <ns0:f>A251*('前提と出典'!$C$36*'契約別単価'!C5+'前提と出典'!$C$37*'契約別単価'!C6+'前提と出典'!$C$38*'契約別単価'!C7)</ns0:f>
        <ns0:v>1777.296089385475</ns0:v>
      </ns0:c>
      <ns0:c r="E251" s="16">
        <ns0:f>A251*('前提と出典'!$C$36*'契約別単価'!E5+'前提と出典'!$C$37*'契約別単価'!E6+'前提と出典'!$C$38*'契約別単価'!E7)</ns0:f>
        <ns0:v>477931.3302128944</ns0:v>
      </ns0:c>
      <ns0:c r="F251" s="16">
        <ns0:f>A251*('前提と出典'!$C$36*'契約別単価'!F5+'前提と出典'!$C$37*'契約別単価'!F6+'前提と出典'!$C$38*'契約別単価'!F7)</ns0:f>
        <ns0:v>187570.68348688938</ns0:v>
      </ns0:c>
      <ns0:c r="G251" s="16">
        <ns0:f>A251*('前提と出典'!$C$36*'契約別単価'!G5+'前提と出典'!$C$37*'契約別単価'!G6+'前提と出典'!$C$38*'契約別単価'!G7)</ns0:f>
        <ns0:v>491654.18994413404</ns0:v>
      </ns0:c>
      <ns0:c r="H251" s="16">
        <ns0:f>A251*('前提と出典'!$C$36*'契約別単価'!H5+'前提と出典'!$C$37*'契約別単価'!H6+'前提と出典'!$C$38*'契約別単価'!H7)</ns0:f>
        <ns0:v>170628.6623059431</ns0:v>
      </ns0:c>
      <ns0:c r="I251" s="16">
        <ns0:f>A251*('前提と出典'!$C$36*'契約別単価'!I5+'前提と出典'!$C$37*'契約別単価'!I6+'前提と出典'!$C$38*'契約別単価'!I7)</ns0:f>
        <ns0:v>10422.296089385472</ns0:v>
      </ns0:c>
      <ns0:c r="J251" s="16">
        <ns0:f>A251*('前提と出典'!$C$36*'契約別単価'!J5+'前提と出典'!$C$37*'契約別単価'!J6+'前提と出典'!$C$38*'契約別単価'!J7)</ns0:f>
        <ns0:v>24277.517296444734</ns0:v>
      </ns0:c>
      <ns0:c r="K251" s="16">
        <ns0:f>A251*('前提と出典'!$C$36*'契約別単価'!K5+'前提と出典'!$C$37*'契約別単価'!K6+'前提と出典'!$C$38*'契約別単価'!K7)</ns0:f>
        <ns0:v>104061.9739292365</ns0:v>
      </ns0:c>
      <ns0:c r="L251" s="16">
        <ns0:f>A251*('前提と出典'!$C$36*'契約別単価'!L5+'前提と出典'!$C$37*'契約別単価'!L6+'前提と出典'!$C$38*'契約別単価'!L7)</ns0:f>
        <ns0:v>84727.62207686476</ns0:v>
      </ns0:c>
      <ns0:c r="M251" s="16">
        <ns0:f>IF(('前提と出典'!$C$36+'前提と出典'!$C$38)=0,0,IF(B251&lt;=10,'前提と出典'!B73+'前提と出典'!C73,IF(B251&lt;=100,'前提と出典'!B74+'前提と出典'!C74,IF(B251&lt;=500,'前提と出典'!B75+'前提と出典'!C75,'前提と出典'!B76+'前提と出典'!C76))))</ns0:f>
        <ns0:v>40000</ns0:v>
      </ns0:c>
      <ns0:c r="N251" s="16">
        <ns0:f>IF(('前提と出典'!$C$37+'前提と出典'!$C$38)=0,0,IF(C251&lt;=10,'前提と出典'!D73+'前提と出典'!E73,IF(C251&lt;=100,'前提と出典'!D74+'前提と出典'!E74,IF(C251&lt;=500,'前提と出典'!D75+'前提と出典'!E75,'前提と出典'!D76+'前提と出典'!E76))))</ns0:f>
        <ns0:v>56510.9346263078</ns0:v>
      </ns0:c>
      <ns0:c r="O251" s="16">
        <ns0:f>IF('前提と出典'!$C$36+'前提と出典'!$C$38=0,0,'前提と出典'!$B$4*IF('前提と出典'!$B$20=0,MAX('前提と出典'!$B$6,D251*'前提と出典'!$B$5),'前提と出典'!$B$6+D251*'前提と出典'!$B$5))</ns0:f>
        <ns0:v>245266.86033519555</ns0:v>
      </ns0:c>
      <ns0:c r="P251" s="16">
        <ns0:f>(E251+G251)*(1-'前提と出典'!$B$7)-I251-K251-M251-O251</ns0:f>
        <ns0:v>534929.3110775579</ns0:v>
      </ns0:c>
      <ns0:c r="Q251" s="16">
        <ns0:f>(F251+H251)*(1-'前提と出典'!$B$7)-J251-L251-N251</ns0:f>
        <ns0:v>179788.09534467311</ns0:v>
      </ns0:c>
      <ns0:c r="R251" s="16">
        <ns0:f>P251-E251*'前提と出典'!$E$4</ns0:f>
        <ns0:v>391549.9120136895</ns0:v>
      </ns0:c>
      <ns0:c r="S251" s="16">
        <ns0:f>Q251-F251*'前提と出典'!$E$4</ns0:f>
        <ns0:v>123516.89029860636</ns0:v>
      </ns0:c>
      <ns0:c r="T251" s="7">
        <ns0:f>R251+S251</ns0:f>
        <ns0:v>515066.8023122959</ns0:v>
      </ns0:c>
      <ns0:c r="U251" s="16">
        <ns0:f>P251-E251*'前提と出典'!$E$5</ns0:f>
        <ns0:v>343756.77899240004</ns0:v>
      </ns0:c>
      <ns0:c r="V251" s="16">
        <ns0:f>Q251-F251*'前提と出典'!$E$5</ns0:f>
        <ns0:v>104759.82194991736</ns0:v>
      </ns0:c>
      <ns0:c r="W251" s="7">
        <ns0:f>U251+V251</ns0:f>
        <ns0:v>448516.6009423174</ns0:v>
      </ns0:c>
      <ns0:c r="X251" s="16">
        <ns0:f>P251-E251*'前提と出典'!$E$6</ns0:f>
        <ns0:v>295963.6459711107</ns0:v>
      </ns0:c>
      <ns0:c r="Y251" s="16">
        <ns0:f>Q251-F251*'前提と出典'!$E$6</ns0:f>
        <ns0:v>86002.7536012285</ns0:v>
      </ns0:c>
      <ns0:c r="Z251" s="7">
        <ns0:f>X251+Y251</ns0:f>
        <ns0:v>381966.39957233914</ns0:v>
      </ns0:c>
      <ns0:c r="AA251" s="7">
        <ns0:f>IF(T251&gt;=0,A251,1001)</ns0:f>
        <ns0:v>247</ns0:v>
      </ns0:c>
      <ns0:c r="AB251" s="7">
        <ns0:f>IF(T251&lt;0,A251,0)</ns0:f>
        <ns0:v>0</ns0:v>
      </ns0:c>
      <ns0:c r="AC251" s="16">
        <ns0:f>IF(AND(OR('前提と出典'!$C$36+'前提と出典'!$C$38=0,R251&gt;=0),OR('前提と出典'!$C$37+'前提と出典'!$C$38=0,S251&gt;=0)),0,A251)</ns0:f>
        <ns0:v>0</ns0:v>
      </ns0:c>
      <ns0:c r="AD251" s="7">
        <ns0:f>IF(W251&gt;=0,A251,1001)</ns0:f>
        <ns0:v>247</ns0:v>
      </ns0:c>
      <ns0:c r="AE251" s="7">
        <ns0:f>IF(W251&lt;0,A251,0)</ns0:f>
        <ns0:v>0</ns0:v>
      </ns0:c>
      <ns0:c r="AF251" s="16">
        <ns0:f>IF(AND(OR('前提と出典'!$C$36+'前提と出典'!$C$38=0,U251&gt;=0),OR('前提と出典'!$C$37+'前提と出典'!$C$38=0,V251&gt;=0)),0,A251)</ns0:f>
        <ns0:v>0</ns0:v>
      </ns0:c>
      <ns0:c r="AG251" s="7">
        <ns0:f>IF(Z251&gt;=0,A251,1001)</ns0:f>
        <ns0:v>247</ns0:v>
      </ns0:c>
      <ns0:c r="AH251" s="4">
        <ns0:f>IF(Z251&lt;0,A251,0)</ns0:f>
        <ns0:v>0</ns0:v>
      </ns0:c>
      <ns0:c r="AI251" s="12">
        <ns0:f>IF(AND(OR('前提と出典'!$C$36+'前提と出典'!$C$38=0,X251&gt;=0),OR('前提と出典'!$C$37+'前提と出典'!$C$38=0,Y251&gt;=0)),0,A251)</ns0:f>
        <ns0:v>0</ns0:v>
      </ns0:c>
    </ns0:row>
    <ns0:row r="252" ht="24" customHeight="1">
      <ns0:c r="A252" s="4" t="n">
        <ns0:v>248</ns0:v>
      </ns0:c>
      <ns0:c r="B252" s="12">
        <ns0:f>A252*('前提と出典'!$C$36+'前提と出典'!$C$38)</ns0:f>
        <ns0:v>173.6</ns0:v>
      </ns0:c>
      <ns0:c r="C252" s="12">
        <ns0:f>A252*('前提と出典'!$C$37+'前提と出典'!$C$38)</ns0:f>
        <ns0:v>148.79999999999998</ns0:v>
      </ns0:c>
      <ns0:c r="D252" s="16">
        <ns0:f>A252*('前提と出典'!$C$36*'契約別単価'!C5+'前提と出典'!$C$37*'契約別単価'!C6+'前提と出典'!$C$38*'契約別単価'!C7)</ns0:f>
        <ns0:v>1784.491620111732</ns0:v>
      </ns0:c>
      <ns0:c r="E252" s="16">
        <ns0:f>A252*('前提と出典'!$C$36*'契約別単価'!E5+'前提と出典'!$C$37*'契約別単価'!E6+'前提と出典'!$C$38*'契約別単価'!E7)</ns0:f>
        <ns0:v>479866.27486962674</ns0:v>
      </ns0:c>
      <ns0:c r="F252" s="16">
        <ns0:f>A252*('前提と出典'!$C$36*'契約別単価'!F5+'前提と出典'!$C$37*'契約別単価'!F6+'前提と出典'!$C$38*'契約別単価'!F7)</ns0:f>
        <ns0:v>188330.07896659337</ns0:v>
      </ns0:c>
      <ns0:c r="G252" s="16">
        <ns0:f>A252*('前提と出典'!$C$36*'契約別単価'!G5+'前提と出典'!$C$37*'契約別単価'!G6+'前提と出典'!$C$38*'契約別単価'!G7)</ns0:f>
        <ns0:v>493644.69273743016</ns0:v>
      </ns0:c>
      <ns0:c r="H252" s="16">
        <ns0:f>A252*('前提と出典'!$C$36*'契約別単価'!H5+'前提と出典'!$C$37*'契約別単価'!H6+'前提と出典'!$C$38*'契約別単価'!H7)</ns0:f>
        <ns0:v>171319.46660677687</ns0:v>
      </ns0:c>
      <ns0:c r="I252" s="16">
        <ns0:f>A252*('前提と出典'!$C$36*'契約別単価'!I5+'前提と出典'!$C$37*'契約別単価'!I6+'前提と出典'!$C$38*'契約別単価'!I7)</ns0:f>
        <ns0:v>10464.49162011173</ns0:v>
      </ns0:c>
      <ns0:c r="J252" s="16">
        <ns0:f>A252*('前提と出典'!$C$36*'契約別単価'!J5+'前提と出典'!$C$37*'契約別単価'!J6+'前提と出典'!$C$38*'契約別単価'!J7)</ns0:f>
        <ns0:v>24375.806840155037</ns0:v>
      </ns0:c>
      <ns0:c r="K252" s="16">
        <ns0:f>A252*('前提と出典'!$C$36*'契約別単価'!K5+'前提と出典'!$C$37*'契約別単価'!K6+'前提と出典'!$C$38*'契約別単価'!K7)</ns0:f>
        <ns0:v>104483.27746741154</ns0:v>
      </ns0:c>
      <ns0:c r="L252" s="16">
        <ns0:f>A252*('前提と出典'!$C$36*'契約別単価'!L5+'前提と出典'!$C$37*'契約別単価'!L6+'前提と出典'!$C$38*'契約別単価'!L7)</ns0:f>
        <ns0:v>85070.64888689257</ns0:v>
      </ns0:c>
      <ns0:c r="M252" s="16">
        <ns0:f>IF(('前提と出典'!$C$36+'前提と出典'!$C$38)=0,0,IF(B252&lt;=10,'前提と出典'!B73+'前提と出典'!C73,IF(B252&lt;=100,'前提と出典'!B74+'前提と出典'!C74,IF(B252&lt;=500,'前提と出典'!B75+'前提と出典'!C75,'前提と出典'!B76+'前提と出典'!C76))))</ns0:f>
        <ns0:v>40000</ns0:v>
      </ns0:c>
      <ns0:c r="N252" s="16">
        <ns0:f>IF(('前提と出典'!$C$37+'前提と出典'!$C$38)=0,0,IF(C252&lt;=10,'前提と出典'!D73+'前提と出典'!E73,IF(C252&lt;=100,'前提と出典'!D74+'前提と出典'!E74,IF(C252&lt;=500,'前提と出典'!D75+'前提と出典'!E75,'前提と出典'!D76+'前提と出典'!E76))))</ns0:f>
        <ns0:v>56510.9346263078</ns0:v>
      </ns0:c>
      <ns0:c r="O252" s="16">
        <ns0:f>IF('前提と出典'!$C$36+'前提と出典'!$C$38=0,0,'前提と出典'!$B$4*IF('前提と出典'!$B$20=0,MAX('前提と出典'!$B$6,D252*'前提と出典'!$B$5),'前提と出典'!$B$6+D252*'前提と出典'!$B$5))</ns0:f>
        <ns0:v>246259.843575419</ns0:v>
      </ns0:c>
      <ns0:c r="P252" s="16">
        <ns0:f>(E252+G252)*(1-'前提と出典'!$B$7)-I252-K252-M252-O252</ns0:f>
        <ns0:v>537256.9601102606</ns0:v>
      </ns0:c>
      <ns0:c r="Q252" s="16">
        <ns0:f>(F252+H252)*(1-'前提と出典'!$B$7)-J252-L252-N252</ns0:f>
        <ns0:v>180744.77157937345</ns0:v>
      </ns0:c>
      <ns0:c r="R252" s="16">
        <ns0:f>P252-E252*'前提と出典'!$E$4</ns0:f>
        <ns0:v>393297.0776493725</ns0:v>
      </ns0:c>
      <ns0:c r="S252" s="16">
        <ns0:f>Q252-F252*'前提と出典'!$E$4</ns0:f>
        <ns0:v>124245.74788939548</ns0:v>
      </ns0:c>
      <ns0:c r="T252" s="7">
        <ns0:f>R252+S252</ns0:f>
        <ns0:v>517542.82553876797</ns0:v>
      </ns0:c>
      <ns0:c r="U252" s="16">
        <ns0:f>P252-E252*'前提と出典'!$E$5</ns0:f>
        <ns0:v>345310.4501624099</ns0:v>
      </ns0:c>
      <ns0:c r="V252" s="16">
        <ns0:f>Q252-F252*'前提と出典'!$E$5</ns0:f>
        <ns0:v>105412.73999273611</ns0:v>
      </ns0:c>
      <ns0:c r="W252" s="7">
        <ns0:f>U252+V252</ns0:f>
        <ns0:v>450723.19015514606</ns0:v>
      </ns0:c>
      <ns0:c r="X252" s="16">
        <ns0:f>P252-E252*'前提と出典'!$E$6</ns0:f>
        <ns0:v>297323.8226754471</ns0:v>
      </ns0:c>
      <ns0:c r="Y252" s="16">
        <ns0:f>Q252-F252*'前提と出典'!$E$6</ns0:f>
        <ns0:v>86579.73209607683</ns0:v>
      </ns0:c>
      <ns0:c r="Z252" s="7">
        <ns0:f>X252+Y252</ns0:f>
        <ns0:v>383903.5547715239</ns0:v>
      </ns0:c>
      <ns0:c r="AA252" s="7">
        <ns0:f>IF(T252&gt;=0,A252,1001)</ns0:f>
        <ns0:v>248</ns0:v>
      </ns0:c>
      <ns0:c r="AB252" s="7">
        <ns0:f>IF(T252&lt;0,A252,0)</ns0:f>
        <ns0:v>0</ns0:v>
      </ns0:c>
      <ns0:c r="AC252" s="16">
        <ns0:f>IF(AND(OR('前提と出典'!$C$36+'前提と出典'!$C$38=0,R252&gt;=0),OR('前提と出典'!$C$37+'前提と出典'!$C$38=0,S252&gt;=0)),0,A252)</ns0:f>
        <ns0:v>0</ns0:v>
      </ns0:c>
      <ns0:c r="AD252" s="7">
        <ns0:f>IF(W252&gt;=0,A252,1001)</ns0:f>
        <ns0:v>248</ns0:v>
      </ns0:c>
      <ns0:c r="AE252" s="7">
        <ns0:f>IF(W252&lt;0,A252,0)</ns0:f>
        <ns0:v>0</ns0:v>
      </ns0:c>
      <ns0:c r="AF252" s="16">
        <ns0:f>IF(AND(OR('前提と出典'!$C$36+'前提と出典'!$C$38=0,U252&gt;=0),OR('前提と出典'!$C$37+'前提と出典'!$C$38=0,V252&gt;=0)),0,A252)</ns0:f>
        <ns0:v>0</ns0:v>
      </ns0:c>
      <ns0:c r="AG252" s="7">
        <ns0:f>IF(Z252&gt;=0,A252,1001)</ns0:f>
        <ns0:v>248</ns0:v>
      </ns0:c>
      <ns0:c r="AH252" s="4">
        <ns0:f>IF(Z252&lt;0,A252,0)</ns0:f>
        <ns0:v>0</ns0:v>
      </ns0:c>
      <ns0:c r="AI252" s="12">
        <ns0:f>IF(AND(OR('前提と出典'!$C$36+'前提と出典'!$C$38=0,X252&gt;=0),OR('前提と出典'!$C$37+'前提と出典'!$C$38=0,Y252&gt;=0)),0,A252)</ns0:f>
        <ns0:v>0</ns0:v>
      </ns0:c>
    </ns0:row>
    <ns0:row r="253" ht="24" customHeight="1">
      <ns0:c r="A253" s="4" t="n">
        <ns0:v>249</ns0:v>
      </ns0:c>
      <ns0:c r="B253" s="12">
        <ns0:f>A253*('前提と出典'!$C$36+'前提と出典'!$C$38)</ns0:f>
        <ns0:v>174.29999999999998</ns0:v>
      </ns0:c>
      <ns0:c r="C253" s="12">
        <ns0:f>A253*('前提と出典'!$C$37+'前提と出典'!$C$38)</ns0:f>
        <ns0:v>149.4</ns0:v>
      </ns0:c>
      <ns0:c r="D253" s="16">
        <ns0:f>A253*('前提と出典'!$C$36*'契約別単価'!C5+'前提と出典'!$C$37*'契約別単価'!C6+'前提と出典'!$C$38*'契約別単価'!C7)</ns0:f>
        <ns0:v>1791.6871508379888</ns0:v>
      </ns0:c>
      <ns0:c r="E253" s="16">
        <ns0:f>A253*('前提と出典'!$C$36*'契約別単価'!E5+'前提と出典'!$C$37*'契約別単価'!E6+'前提と出典'!$C$38*'契約別単価'!E7)</ns0:f>
        <ns0:v>481801.2195263591</ns0:v>
      </ns0:c>
      <ns0:c r="F253" s="16">
        <ns0:f>A253*('前提と出典'!$C$36*'契約別単価'!F5+'前提と出典'!$C$37*'契約別単価'!F6+'前提と出典'!$C$38*'契約別単価'!F7)</ns0:f>
        <ns0:v>189089.4744462974</ns0:v>
      </ns0:c>
      <ns0:c r="G253" s="16">
        <ns0:f>A253*('前提と出典'!$C$36*'契約別単価'!G5+'前提と出典'!$C$37*'契約別単価'!G6+'前提と出典'!$C$38*'契約別単価'!G7)</ns0:f>
        <ns0:v>495635.1955307262</ns0:v>
      </ns0:c>
      <ns0:c r="H253" s="16">
        <ns0:f>A253*('前提と出典'!$C$36*'契約別単価'!H5+'前提と出典'!$C$37*'契約別単価'!H6+'前提と出典'!$C$38*'契約別単価'!H7)</ns0:f>
        <ns0:v>172010.27090761065</ns0:v>
      </ns0:c>
      <ns0:c r="I253" s="16">
        <ns0:f>A253*('前提と出典'!$C$36*'契約別単価'!I5+'前提と出典'!$C$37*'契約別単価'!I6+'前提と出典'!$C$38*'契約別単価'!I7)</ns0:f>
        <ns0:v>10506.687150837986</ns0:v>
      </ns0:c>
      <ns0:c r="J253" s="16">
        <ns0:f>A253*('前提と出典'!$C$36*'契約別単価'!J5+'前提と出典'!$C$37*'契約別単価'!J6+'前提と出典'!$C$38*'契約別単価'!J7)</ns0:f>
        <ns0:v>24474.09638386534</ns0:v>
      </ns0:c>
      <ns0:c r="K253" s="16">
        <ns0:f>A253*('前提と出典'!$C$36*'契約別単価'!K5+'前提と出典'!$C$37*'契約別単価'!K6+'前提と出典'!$C$38*'契約別単価'!K7)</ns0:f>
        <ns0:v>104904.58100558659</ns0:v>
      </ns0:c>
      <ns0:c r="L253" s="16">
        <ns0:f>A253*('前提と出典'!$C$36*'契約別単価'!L5+'前提と出典'!$C$37*'契約別単価'!L6+'前提と出典'!$C$38*'契約別単価'!L7)</ns0:f>
        <ns0:v>85413.67569692036</ns0:v>
      </ns0:c>
      <ns0:c r="M253" s="16">
        <ns0:f>IF(('前提と出典'!$C$36+'前提と出典'!$C$38)=0,0,IF(B253&lt;=10,'前提と出典'!B73+'前提と出典'!C73,IF(B253&lt;=100,'前提と出典'!B74+'前提と出典'!C74,IF(B253&lt;=500,'前提と出典'!B75+'前提と出典'!C75,'前提と出典'!B76+'前提と出典'!C76))))</ns0:f>
        <ns0:v>40000</ns0:v>
      </ns0:c>
      <ns0:c r="N253" s="16">
        <ns0:f>IF(('前提と出典'!$C$37+'前提と出典'!$C$38)=0,0,IF(C253&lt;=10,'前提と出典'!D73+'前提と出典'!E73,IF(C253&lt;=100,'前提と出典'!D74+'前提と出典'!E74,IF(C253&lt;=500,'前提と出典'!D75+'前提と出典'!E75,'前提と出典'!D76+'前提と出典'!E76))))</ns0:f>
        <ns0:v>56510.9346263078</ns0:v>
      </ns0:c>
      <ns0:c r="O253" s="16">
        <ns0:f>IF('前提と出典'!$C$36+'前提と出典'!$C$38=0,0,'前提と出典'!$B$4*IF('前提と出典'!$B$20=0,MAX('前提と出典'!$B$6,D253*'前提と出典'!$B$5),'前提と出典'!$B$6+D253*'前提と出典'!$B$5))</ns0:f>
        <ns0:v>247252.82681564247</ns0:v>
      </ns0:c>
      <ns0:c r="P253" s="16">
        <ns0:f>(E253+G253)*(1-'前提と出典'!$B$7)-I253-K253-M253-O253</ns0:f>
        <ns0:v>539584.6091429633</ns0:v>
      </ns0:c>
      <ns0:c r="Q253" s="16">
        <ns0:f>(F253+H253)*(1-'前提と出典'!$B$7)-J253-L253-N253</ns0:f>
        <ns0:v>181701.44781407382</ns0:v>
      </ns0:c>
      <ns0:c r="R253" s="16">
        <ns0:f>P253-E253*'前提と出典'!$E$4</ns0:f>
        <ns0:v>395044.24328505556</ns0:v>
      </ns0:c>
      <ns0:c r="S253" s="16">
        <ns0:f>Q253-F253*'前提と出典'!$E$4</ns0:f>
        <ns0:v>124974.6054801846</ns0:v>
      </ns0:c>
      <ns0:c r="T253" s="7">
        <ns0:f>R253+S253</ns0:f>
        <ns0:v>520018.84876524017</ns0:v>
      </ns0:c>
      <ns0:c r="U253" s="16">
        <ns0:f>P253-E253*'前提と出典'!$E$5</ns0:f>
        <ns0:v>346864.1213324196</ns0:v>
      </ns0:c>
      <ns0:c r="V253" s="16">
        <ns0:f>Q253-F253*'前提と出典'!$E$5</ns0:f>
        <ns0:v>106065.65803555486</ns0:v>
      </ns0:c>
      <ns0:c r="W253" s="7">
        <ns0:f>U253+V253</ns0:f>
        <ns0:v>452929.7793679745</ns0:v>
      </ns0:c>
      <ns0:c r="X253" s="16">
        <ns0:f>P253-E253*'前提と出典'!$E$6</ns0:f>
        <ns0:v>298683.9993797837</ns0:v>
      </ns0:c>
      <ns0:c r="Y253" s="16">
        <ns0:f>Q253-F253*'前提と出典'!$E$6</ns0:f>
        <ns0:v>87156.71059092518</ns0:v>
      </ns0:c>
      <ns0:c r="Z253" s="7">
        <ns0:f>X253+Y253</ns0:f>
        <ns0:v>385840.7099707089</ns0:v>
      </ns0:c>
      <ns0:c r="AA253" s="7">
        <ns0:f>IF(T253&gt;=0,A253,1001)</ns0:f>
        <ns0:v>249</ns0:v>
      </ns0:c>
      <ns0:c r="AB253" s="7">
        <ns0:f>IF(T253&lt;0,A253,0)</ns0:f>
        <ns0:v>0</ns0:v>
      </ns0:c>
      <ns0:c r="AC253" s="16">
        <ns0:f>IF(AND(OR('前提と出典'!$C$36+'前提と出典'!$C$38=0,R253&gt;=0),OR('前提と出典'!$C$37+'前提と出典'!$C$38=0,S253&gt;=0)),0,A253)</ns0:f>
        <ns0:v>0</ns0:v>
      </ns0:c>
      <ns0:c r="AD253" s="7">
        <ns0:f>IF(W253&gt;=0,A253,1001)</ns0:f>
        <ns0:v>249</ns0:v>
      </ns0:c>
      <ns0:c r="AE253" s="7">
        <ns0:f>IF(W253&lt;0,A253,0)</ns0:f>
        <ns0:v>0</ns0:v>
      </ns0:c>
      <ns0:c r="AF253" s="16">
        <ns0:f>IF(AND(OR('前提と出典'!$C$36+'前提と出典'!$C$38=0,U253&gt;=0),OR('前提と出典'!$C$37+'前提と出典'!$C$38=0,V253&gt;=0)),0,A253)</ns0:f>
        <ns0:v>0</ns0:v>
      </ns0:c>
      <ns0:c r="AG253" s="7">
        <ns0:f>IF(Z253&gt;=0,A253,1001)</ns0:f>
        <ns0:v>249</ns0:v>
      </ns0:c>
      <ns0:c r="AH253" s="4">
        <ns0:f>IF(Z253&lt;0,A253,0)</ns0:f>
        <ns0:v>0</ns0:v>
      </ns0:c>
      <ns0:c r="AI253" s="12">
        <ns0:f>IF(AND(OR('前提と出典'!$C$36+'前提と出典'!$C$38=0,X253&gt;=0),OR('前提と出典'!$C$37+'前提と出典'!$C$38=0,Y253&gt;=0)),0,A253)</ns0:f>
        <ns0:v>0</ns0:v>
      </ns0:c>
    </ns0:row>
    <ns0:row r="254" ht="24" customHeight="1">
      <ns0:c r="A254" s="4" t="n">
        <ns0:v>250</ns0:v>
      </ns0:c>
      <ns0:c r="B254" s="12">
        <ns0:f>A254*('前提と出典'!$C$36+'前提と出典'!$C$38)</ns0:f>
        <ns0:v>175</ns0:v>
      </ns0:c>
      <ns0:c r="C254" s="12">
        <ns0:f>A254*('前提と出典'!$C$37+'前提と出典'!$C$38)</ns0:f>
        <ns0:v>150</ns0:v>
      </ns0:c>
      <ns0:c r="D254" s="16">
        <ns0:f>A254*('前提と出典'!$C$36*'契約別単価'!C5+'前提と出典'!$C$37*'契約別単価'!C6+'前提と出典'!$C$38*'契約別単価'!C7)</ns0:f>
        <ns0:v>1798.8826815642458</ns0:v>
      </ns0:c>
      <ns0:c r="E254" s="16">
        <ns0:f>A254*('前提と出典'!$C$36*'契約別単価'!E5+'前提と出典'!$C$37*'契約別単価'!E6+'前提と出典'!$C$38*'契約別単価'!E7)</ns0:f>
        <ns0:v>483736.1641830915</ns0:v>
      </ns0:c>
      <ns0:c r="F254" s="16">
        <ns0:f>A254*('前提と出典'!$C$36*'契約別単価'!F5+'前提と出典'!$C$37*'契約別単価'!F6+'前提と出典'!$C$38*'契約別単価'!F7)</ns0:f>
        <ns0:v>189848.86992600138</ns0:v>
      </ns0:c>
      <ns0:c r="G254" s="16">
        <ns0:f>A254*('前提と出典'!$C$36*'契約別単価'!G5+'前提と出典'!$C$37*'契約別単価'!G6+'前提と出典'!$C$38*'契約別単価'!G7)</ns0:f>
        <ns0:v>497625.69832402235</ns0:v>
      </ns0:c>
      <ns0:c r="H254" s="16">
        <ns0:f>A254*('前提と出典'!$C$36*'契約別単価'!H5+'前提と出典'!$C$37*'契約別単価'!H6+'前提と出典'!$C$38*'契約別単価'!H7)</ns0:f>
        <ns0:v>172701.0752084444</ns0:v>
      </ns0:c>
      <ns0:c r="I254" s="16">
        <ns0:f>A254*('前提と出典'!$C$36*'契約別単価'!I5+'前提と出典'!$C$37*'契約別単価'!I6+'前提と出典'!$C$38*'契約別単価'!I7)</ns0:f>
        <ns0:v>10548.882681564244</ns0:v>
      </ns0:c>
      <ns0:c r="J254" s="16">
        <ns0:f>A254*('前提と出典'!$C$36*'契約別単価'!J5+'前提と出典'!$C$37*'契約別単価'!J6+'前提と出典'!$C$38*'契約別単価'!J7)</ns0:f>
        <ns0:v>24572.38592757564</ns0:v>
      </ns0:c>
      <ns0:c r="K254" s="16">
        <ns0:f>A254*('前提と出典'!$C$36*'契約別単価'!K5+'前提と出典'!$C$37*'契約別単価'!K6+'前提と出典'!$C$38*'契約別単価'!K7)</ns0:f>
        <ns0:v>105325.88454376163</ns0:v>
      </ns0:c>
      <ns0:c r="L254" s="16">
        <ns0:f>A254*('前提と出典'!$C$36*'契約別単価'!L5+'前提と出典'!$C$37*'契約別単価'!L6+'前提と出典'!$C$38*'契約別単価'!L7)</ns0:f>
        <ns0:v>85756.70250694815</ns0:v>
      </ns0:c>
      <ns0:c r="M254" s="16">
        <ns0:f>IF(('前提と出典'!$C$36+'前提と出典'!$C$38)=0,0,IF(B254&lt;=10,'前提と出典'!B73+'前提と出典'!C73,IF(B254&lt;=100,'前提と出典'!B74+'前提と出典'!C74,IF(B254&lt;=500,'前提と出典'!B75+'前提と出典'!C75,'前提と出典'!B76+'前提と出典'!C76))))</ns0:f>
        <ns0:v>40000</ns0:v>
      </ns0:c>
      <ns0:c r="N254" s="16">
        <ns0:f>IF(('前提と出典'!$C$37+'前提と出典'!$C$38)=0,0,IF(C254&lt;=10,'前提と出典'!D73+'前提と出典'!E73,IF(C254&lt;=100,'前提と出典'!D74+'前提と出典'!E74,IF(C254&lt;=500,'前提と出典'!D75+'前提と出典'!E75,'前提と出典'!D76+'前提と出典'!E76))))</ns0:f>
        <ns0:v>56510.9346263078</ns0:v>
      </ns0:c>
      <ns0:c r="O254" s="16">
        <ns0:f>IF('前提と出典'!$C$36+'前提と出典'!$C$38=0,0,'前提と出典'!$B$4*IF('前提と出典'!$B$20=0,MAX('前提と出典'!$B$6,D254*'前提と出典'!$B$5),'前提と出典'!$B$6+D254*'前提と出典'!$B$5))</ns0:f>
        <ns0:v>248245.81005586594</ns0:v>
      </ns0:c>
      <ns0:c r="P254" s="16">
        <ns0:f>(E254+G254)*(1-'前提と出典'!$B$7)-I254-K254-M254-O254</ns0:f>
        <ns0:v>541912.258175666</ns0:v>
      </ns0:c>
      <ns0:c r="Q254" s="16">
        <ns0:f>(F254+H254)*(1-'前提と出典'!$B$7)-J254-L254-N254</ns0:f>
        <ns0:v>182658.12404877413</ns0:v>
      </ns0:c>
      <ns0:c r="R254" s="16">
        <ns0:f>P254-E254*'前提と出典'!$E$4</ns0:f>
        <ns0:v>396791.4089207385</ns0:v>
      </ns0:c>
      <ns0:c r="S254" s="16">
        <ns0:f>Q254-F254*'前提と出典'!$E$4</ns0:f>
        <ns0:v>125703.4630709737</ns0:v>
      </ns0:c>
      <ns0:c r="T254" s="7">
        <ns0:f>R254+S254</ns0:f>
        <ns0:v>522494.8719917122</ns0:v>
      </ns0:c>
      <ns0:c r="U254" s="16">
        <ns0:f>P254-E254*'前提と出典'!$E$5</ns0:f>
        <ns0:v>348417.79250242934</ns0:v>
      </ns0:c>
      <ns0:c r="V254" s="16">
        <ns0:f>Q254-F254*'前提と出典'!$E$5</ns0:f>
        <ns0:v>106718.57607837359</ns0:v>
      </ns0:c>
      <ns0:c r="W254" s="7">
        <ns0:f>U254+V254</ns0:f>
        <ns0:v>455136.3685808029</ns0:v>
      </ns0:c>
      <ns0:c r="X254" s="16">
        <ns0:f>P254-E254*'前提と出典'!$E$6</ns0:f>
        <ns0:v>300044.1760841202</ns0:v>
      </ns0:c>
      <ns0:c r="Y254" s="16">
        <ns0:f>Q254-F254*'前提と出典'!$E$6</ns0:f>
        <ns0:v>87733.68908577345</ns0:v>
      </ns0:c>
      <ns0:c r="Z254" s="7">
        <ns0:f>X254+Y254</ns0:f>
        <ns0:v>387777.8651698936</ns0:v>
      </ns0:c>
      <ns0:c r="AA254" s="7">
        <ns0:f>IF(T254&gt;=0,A254,1001)</ns0:f>
        <ns0:v>250</ns0:v>
      </ns0:c>
      <ns0:c r="AB254" s="7">
        <ns0:f>IF(T254&lt;0,A254,0)</ns0:f>
        <ns0:v>0</ns0:v>
      </ns0:c>
      <ns0:c r="AC254" s="16">
        <ns0:f>IF(AND(OR('前提と出典'!$C$36+'前提と出典'!$C$38=0,R254&gt;=0),OR('前提と出典'!$C$37+'前提と出典'!$C$38=0,S254&gt;=0)),0,A254)</ns0:f>
        <ns0:v>0</ns0:v>
      </ns0:c>
      <ns0:c r="AD254" s="7">
        <ns0:f>IF(W254&gt;=0,A254,1001)</ns0:f>
        <ns0:v>250</ns0:v>
      </ns0:c>
      <ns0:c r="AE254" s="7">
        <ns0:f>IF(W254&lt;0,A254,0)</ns0:f>
        <ns0:v>0</ns0:v>
      </ns0:c>
      <ns0:c r="AF254" s="16">
        <ns0:f>IF(AND(OR('前提と出典'!$C$36+'前提と出典'!$C$38=0,U254&gt;=0),OR('前提と出典'!$C$37+'前提と出典'!$C$38=0,V254&gt;=0)),0,A254)</ns0:f>
        <ns0:v>0</ns0:v>
      </ns0:c>
      <ns0:c r="AG254" s="7">
        <ns0:f>IF(Z254&gt;=0,A254,1001)</ns0:f>
        <ns0:v>250</ns0:v>
      </ns0:c>
      <ns0:c r="AH254" s="4">
        <ns0:f>IF(Z254&lt;0,A254,0)</ns0:f>
        <ns0:v>0</ns0:v>
      </ns0:c>
      <ns0:c r="AI254" s="12">
        <ns0:f>IF(AND(OR('前提と出典'!$C$36+'前提と出典'!$C$38=0,X254&gt;=0),OR('前提と出典'!$C$37+'前提と出典'!$C$38=0,Y254&gt;=0)),0,A254)</ns0:f>
        <ns0:v>0</ns0:v>
      </ns0:c>
    </ns0:row>
    <ns0:row r="255" ht="24" customHeight="1">
      <ns0:c r="A255" s="4" t="n">
        <ns0:v>251</ns0:v>
      </ns0:c>
      <ns0:c r="B255" s="12">
        <ns0:f>A255*('前提と出典'!$C$36+'前提と出典'!$C$38)</ns0:f>
        <ns0:v>175.7</ns0:v>
      </ns0:c>
      <ns0:c r="C255" s="12">
        <ns0:f>A255*('前提と出典'!$C$37+'前提と出典'!$C$38)</ns0:f>
        <ns0:v>150.6</ns0:v>
      </ns0:c>
      <ns0:c r="D255" s="16">
        <ns0:f>A255*('前提と出典'!$C$36*'契約別単価'!C5+'前提と出典'!$C$37*'契約別単価'!C6+'前提と出典'!$C$38*'契約別単価'!C7)</ns0:f>
        <ns0:v>1806.0782122905027</ns0:v>
      </ns0:c>
      <ns0:c r="E255" s="16">
        <ns0:f>A255*('前提と出典'!$C$36*'契約別単価'!E5+'前提と出典'!$C$37*'契約別単価'!E6+'前提と出典'!$C$38*'契約別単価'!E7)</ns0:f>
        <ns0:v>485671.10883982386</ns0:v>
      </ns0:c>
      <ns0:c r="F255" s="16">
        <ns0:f>A255*('前提と出典'!$C$36*'契約別単価'!F5+'前提と出典'!$C$37*'契約別単価'!F6+'前提と出典'!$C$38*'契約別単価'!F7)</ns0:f>
        <ns0:v>190608.2654057054</ns0:v>
      </ns0:c>
      <ns0:c r="G255" s="16">
        <ns0:f>A255*('前提と出典'!$C$36*'契約別単価'!G5+'前提と出典'!$C$37*'契約別単価'!G6+'前提と出典'!$C$38*'契約別単価'!G7)</ns0:f>
        <ns0:v>499616.2011173184</ns0:v>
      </ns0:c>
      <ns0:c r="H255" s="16">
        <ns0:f>A255*('前提と出典'!$C$36*'契約別単価'!H5+'前提と出典'!$C$37*'契約別単価'!H6+'前提と出典'!$C$38*'契約別単価'!H7)</ns0:f>
        <ns0:v>173391.8795092782</ns0:v>
      </ns0:c>
      <ns0:c r="I255" s="16">
        <ns0:f>A255*('前提と出典'!$C$36*'契約別単価'!I5+'前提と出典'!$C$37*'契約別単価'!I6+'前提と出典'!$C$38*'契約別単価'!I7)</ns0:f>
        <ns0:v>10591.0782122905</ns0:v>
      </ns0:c>
      <ns0:c r="J255" s="16">
        <ns0:f>A255*('前提と出典'!$C$36*'契約別単価'!J5+'前提と出典'!$C$37*'契約別単価'!J6+'前提と出典'!$C$38*'契約別単価'!J7)</ns0:f>
        <ns0:v>24670.675471285944</ns0:v>
      </ns0:c>
      <ns0:c r="K255" s="16">
        <ns0:f>A255*('前提と出典'!$C$36*'契約別単価'!K5+'前提と出典'!$C$37*'契約別単価'!K6+'前提と出典'!$C$38*'契約別単価'!K7)</ns0:f>
        <ns0:v>105747.18808193668</ns0:v>
      </ns0:c>
      <ns0:c r="L255" s="16">
        <ns0:f>A255*('前提と出典'!$C$36*'契約別単価'!L5+'前提と出典'!$C$37*'契約別単価'!L6+'前提と出典'!$C$38*'契約別単価'!L7)</ns0:f>
        <ns0:v>86099.72931697594</ns0:v>
      </ns0:c>
      <ns0:c r="M255" s="16">
        <ns0:f>IF(('前提と出典'!$C$36+'前提と出典'!$C$38)=0,0,IF(B255&lt;=10,'前提と出典'!B73+'前提と出典'!C73,IF(B255&lt;=100,'前提と出典'!B74+'前提と出典'!C74,IF(B255&lt;=500,'前提と出典'!B75+'前提と出典'!C75,'前提と出典'!B76+'前提と出典'!C76))))</ns0:f>
        <ns0:v>40000</ns0:v>
      </ns0:c>
      <ns0:c r="N255" s="16">
        <ns0:f>IF(('前提と出典'!$C$37+'前提と出典'!$C$38)=0,0,IF(C255&lt;=10,'前提と出典'!D73+'前提と出典'!E73,IF(C255&lt;=100,'前提と出典'!D74+'前提と出典'!E74,IF(C255&lt;=500,'前提と出典'!D75+'前提と出典'!E75,'前提と出典'!D76+'前提と出典'!E76))))</ns0:f>
        <ns0:v>56510.9346263078</ns0:v>
      </ns0:c>
      <ns0:c r="O255" s="16">
        <ns0:f>IF('前提と出典'!$C$36+'前提と出典'!$C$38=0,0,'前提と出典'!$B$4*IF('前提と出典'!$B$20=0,MAX('前提と出典'!$B$6,D255*'前提と出典'!$B$5),'前提と出典'!$B$6+D255*'前提と出典'!$B$5))</ns0:f>
        <ns0:v>249238.7932960894</ns0:v>
      </ns0:c>
      <ns0:c r="P255" s="16">
        <ns0:f>(E255+G255)*(1-'前提と出典'!$B$7)-I255-K255-M255-O255</ns0:f>
        <ns0:v>544239.9072083685</ns0:v>
      </ns0:c>
      <ns0:c r="Q255" s="16">
        <ns0:f>(F255+H255)*(1-'前提と出典'!$B$7)-J255-L255-N255</ns0:f>
        <ns0:v>183614.8002834745</ns0:v>
      </ns0:c>
      <ns0:c r="R255" s="16">
        <ns0:f>P255-E255*'前提と出典'!$E$4</ns0:f>
        <ns0:v>398538.5745564214</ns0:v>
      </ns0:c>
      <ns0:c r="S255" s="16">
        <ns0:f>Q255-F255*'前提と出典'!$E$4</ns0:f>
        <ns0:v>126432.3206617629</ns0:v>
      </ns0:c>
      <ns0:c r="T255" s="7">
        <ns0:f>R255+S255</ns0:f>
        <ns0:v>524970.8952181842</ns0:v>
      </ns0:c>
      <ns0:c r="U255" s="16">
        <ns0:f>P255-E255*'前提と出典'!$E$5</ns0:f>
        <ns0:v>349971.463672439</ns0:v>
      </ns0:c>
      <ns0:c r="V255" s="16">
        <ns0:f>Q255-F255*'前提と出典'!$E$5</ns0:f>
        <ns0:v>107371.49412119231</ns0:v>
      </ns0:c>
      <ns0:c r="W255" s="7">
        <ns0:f>U255+V255</ns0:f>
        <ns0:v>457342.9577936313</ns0:v>
      </ns0:c>
      <ns0:c r="X255" s="16">
        <ns0:f>P255-E255*'前提と出典'!$E$6</ns0:f>
        <ns0:v>301404.3527884566</ns0:v>
      </ns0:c>
      <ns0:c r="Y255" s="16">
        <ns0:f>Q255-F255*'前提と出典'!$E$6</ns0:f>
        <ns0:v>88310.66758062178</ns0:v>
      </ns0:c>
      <ns0:c r="Z255" s="7">
        <ns0:f>X255+Y255</ns0:f>
        <ns0:v>389715.0203690784</ns0:v>
      </ns0:c>
      <ns0:c r="AA255" s="7">
        <ns0:f>IF(T255&gt;=0,A255,1001)</ns0:f>
        <ns0:v>251</ns0:v>
      </ns0:c>
      <ns0:c r="AB255" s="7">
        <ns0:f>IF(T255&lt;0,A255,0)</ns0:f>
        <ns0:v>0</ns0:v>
      </ns0:c>
      <ns0:c r="AC255" s="16">
        <ns0:f>IF(AND(OR('前提と出典'!$C$36+'前提と出典'!$C$38=0,R255&gt;=0),OR('前提と出典'!$C$37+'前提と出典'!$C$38=0,S255&gt;=0)),0,A255)</ns0:f>
        <ns0:v>0</ns0:v>
      </ns0:c>
      <ns0:c r="AD255" s="7">
        <ns0:f>IF(W255&gt;=0,A255,1001)</ns0:f>
        <ns0:v>251</ns0:v>
      </ns0:c>
      <ns0:c r="AE255" s="7">
        <ns0:f>IF(W255&lt;0,A255,0)</ns0:f>
        <ns0:v>0</ns0:v>
      </ns0:c>
      <ns0:c r="AF255" s="16">
        <ns0:f>IF(AND(OR('前提と出典'!$C$36+'前提と出典'!$C$38=0,U255&gt;=0),OR('前提と出典'!$C$37+'前提と出典'!$C$38=0,V255&gt;=0)),0,A255)</ns0:f>
        <ns0:v>0</ns0:v>
      </ns0:c>
      <ns0:c r="AG255" s="7">
        <ns0:f>IF(Z255&gt;=0,A255,1001)</ns0:f>
        <ns0:v>251</ns0:v>
      </ns0:c>
      <ns0:c r="AH255" s="4">
        <ns0:f>IF(Z255&lt;0,A255,0)</ns0:f>
        <ns0:v>0</ns0:v>
      </ns0:c>
      <ns0:c r="AI255" s="12">
        <ns0:f>IF(AND(OR('前提と出典'!$C$36+'前提と出典'!$C$38=0,X255&gt;=0),OR('前提と出典'!$C$37+'前提と出典'!$C$38=0,Y255&gt;=0)),0,A255)</ns0:f>
        <ns0:v>0</ns0:v>
      </ns0:c>
    </ns0:row>
    <ns0:row r="256" ht="24" customHeight="1">
      <ns0:c r="A256" s="4" t="n">
        <ns0:v>252</ns0:v>
      </ns0:c>
      <ns0:c r="B256" s="12">
        <ns0:f>A256*('前提と出典'!$C$36+'前提と出典'!$C$38)</ns0:f>
        <ns0:v>176.39999999999998</ns0:v>
      </ns0:c>
      <ns0:c r="C256" s="12">
        <ns0:f>A256*('前提と出典'!$C$37+'前提と出典'!$C$38)</ns0:f>
        <ns0:v>151.2</ns0:v>
      </ns0:c>
      <ns0:c r="D256" s="16">
        <ns0:f>A256*('前提と出典'!$C$36*'契約別単価'!C5+'前提と出典'!$C$37*'契約別単価'!C6+'前提と出典'!$C$38*'契約別単価'!C7)</ns0:f>
        <ns0:v>1813.2737430167597</ns0:v>
      </ns0:c>
      <ns0:c r="E256" s="16">
        <ns0:f>A256*('前提と出典'!$C$36*'契約別単価'!E5+'前提と出典'!$C$37*'契約別単価'!E6+'前提と出典'!$C$38*'契約別単価'!E7)</ns0:f>
        <ns0:v>487606.05349655624</ns0:v>
      </ns0:c>
      <ns0:c r="F256" s="16">
        <ns0:f>A256*('前提と出典'!$C$36*'契約別単価'!F5+'前提と出典'!$C$37*'契約別単価'!F6+'前提と出典'!$C$38*'契約別単価'!F7)</ns0:f>
        <ns0:v>191367.6608854094</ns0:v>
      </ns0:c>
      <ns0:c r="G256" s="16">
        <ns0:f>A256*('前提と出典'!$C$36*'契約別単価'!G5+'前提と出典'!$C$37*'契約別単価'!G6+'前提と出典'!$C$38*'契約別単価'!G7)</ns0:f>
        <ns0:v>501606.7039106145</ns0:v>
      </ns0:c>
      <ns0:c r="H256" s="16">
        <ns0:f>A256*('前提と出典'!$C$36*'契約別単価'!H5+'前提と出典'!$C$37*'契約別単価'!H6+'前提と出典'!$C$38*'契約別単価'!H7)</ns0:f>
        <ns0:v>174082.68381011198</ns0:v>
      </ns0:c>
      <ns0:c r="I256" s="16">
        <ns0:f>A256*('前提と出典'!$C$36*'契約別単価'!I5+'前提と出典'!$C$37*'契約別単価'!I6+'前提と出典'!$C$38*'契約別単価'!I7)</ns0:f>
        <ns0:v>10633.273743016758</ns0:v>
      </ns0:c>
      <ns0:c r="J256" s="16">
        <ns0:f>A256*('前提と出典'!$C$36*'契約別単価'!J5+'前提と出典'!$C$37*'契約別単価'!J6+'前提と出典'!$C$38*'契約別単価'!J7)</ns0:f>
        <ns0:v>24768.965014996247</ns0:v>
      </ns0:c>
      <ns0:c r="K256" s="16">
        <ns0:f>A256*('前提と出典'!$C$36*'契約別単価'!K5+'前提と出典'!$C$37*'契約別単価'!K6+'前提と出典'!$C$38*'契約別単価'!K7)</ns0:f>
        <ns0:v>106168.49162011173</ns0:v>
      </ns0:c>
      <ns0:c r="L256" s="16">
        <ns0:f>A256*('前提と出典'!$C$36*'契約別単価'!L5+'前提と出典'!$C$37*'契約別単価'!L6+'前提と出典'!$C$38*'契約別単価'!L7)</ns0:f>
        <ns0:v>86442.75612700373</ns0:v>
      </ns0:c>
      <ns0:c r="M256" s="16">
        <ns0:f>IF(('前提と出典'!$C$36+'前提と出典'!$C$38)=0,0,IF(B256&lt;=10,'前提と出典'!B73+'前提と出典'!C73,IF(B256&lt;=100,'前提と出典'!B74+'前提と出典'!C74,IF(B256&lt;=500,'前提と出典'!B75+'前提と出典'!C75,'前提と出典'!B76+'前提と出典'!C76))))</ns0:f>
        <ns0:v>40000</ns0:v>
      </ns0:c>
      <ns0:c r="N256" s="16">
        <ns0:f>IF(('前提と出典'!$C$37+'前提と出典'!$C$38)=0,0,IF(C256&lt;=10,'前提と出典'!D73+'前提と出典'!E73,IF(C256&lt;=100,'前提と出典'!D74+'前提と出典'!E74,IF(C256&lt;=500,'前提と出典'!D75+'前提と出典'!E75,'前提と出典'!D76+'前提と出典'!E76))))</ns0:f>
        <ns0:v>56510.9346263078</ns0:v>
      </ns0:c>
      <ns0:c r="O256" s="16">
        <ns0:f>IF('前提と出典'!$C$36+'前提と出典'!$C$38=0,0,'前提と出典'!$B$4*IF('前提と出典'!$B$20=0,MAX('前提と出典'!$B$6,D256*'前提と出典'!$B$5),'前提と出典'!$B$6+D256*'前提と出典'!$B$5))</ns0:f>
        <ns0:v>250231.77653631283</ns0:v>
      </ns0:c>
      <ns0:c r="P256" s="16">
        <ns0:f>(E256+G256)*(1-'前提と出典'!$B$7)-I256-K256-M256-O256</ns0:f>
        <ns0:v>546567.5562410713</ns0:v>
      </ns0:c>
      <ns0:c r="Q256" s="16">
        <ns0:f>(F256+H256)*(1-'前提と出典'!$B$7)-J256-L256-N256</ns0:f>
        <ns0:v>184571.4765181748</ns0:v>
      </ns0:c>
      <ns0:c r="R256" s="16">
        <ns0:f>P256-E256*'前提と出典'!$E$4</ns0:f>
        <ns0:v>400285.7401921044</ns0:v>
      </ns0:c>
      <ns0:c r="S256" s="16">
        <ns0:f>Q256-F256*'前提と出典'!$E$4</ns0:f>
        <ns0:v>127161.17825255202</ns0:v>
      </ns0:c>
      <ns0:c r="T256" s="7">
        <ns0:f>R256+S256</ns0:f>
        <ns0:v>527446.9184446564</ns0:v>
      </ns0:c>
      <ns0:c r="U256" s="16">
        <ns0:f>P256-E256*'前提と出典'!$E$5</ns0:f>
        <ns0:v>351525.1348424488</ns0:v>
      </ns0:c>
      <ns0:c r="V256" s="16">
        <ns0:f>Q256-F256*'前提と出典'!$E$5</ns0:f>
        <ns0:v>108024.41216401107</ns0:v>
      </ns0:c>
      <ns0:c r="W256" s="7">
        <ns0:f>U256+V256</ns0:f>
        <ns0:v>459549.5470064599</ns0:v>
      </ns0:c>
      <ns0:c r="X256" s="16">
        <ns0:f>P256-E256*'前提と出典'!$E$6</ns0:f>
        <ns0:v>302764.5294927931</ns0:v>
      </ns0:c>
      <ns0:c r="Y256" s="16">
        <ns0:f>Q256-F256*'前提と出典'!$E$6</ns0:f>
        <ns0:v>88887.64607547014</ns0:v>
      </ns0:c>
      <ns0:c r="Z256" s="7">
        <ns0:f>X256+Y256</ns0:f>
        <ns0:v>391652.1755682632</ns0:v>
      </ns0:c>
      <ns0:c r="AA256" s="7">
        <ns0:f>IF(T256&gt;=0,A256,1001)</ns0:f>
        <ns0:v>252</ns0:v>
      </ns0:c>
      <ns0:c r="AB256" s="7">
        <ns0:f>IF(T256&lt;0,A256,0)</ns0:f>
        <ns0:v>0</ns0:v>
      </ns0:c>
      <ns0:c r="AC256" s="16">
        <ns0:f>IF(AND(OR('前提と出典'!$C$36+'前提と出典'!$C$38=0,R256&gt;=0),OR('前提と出典'!$C$37+'前提と出典'!$C$38=0,S256&gt;=0)),0,A256)</ns0:f>
        <ns0:v>0</ns0:v>
      </ns0:c>
      <ns0:c r="AD256" s="7">
        <ns0:f>IF(W256&gt;=0,A256,1001)</ns0:f>
        <ns0:v>252</ns0:v>
      </ns0:c>
      <ns0:c r="AE256" s="7">
        <ns0:f>IF(W256&lt;0,A256,0)</ns0:f>
        <ns0:v>0</ns0:v>
      </ns0:c>
      <ns0:c r="AF256" s="16">
        <ns0:f>IF(AND(OR('前提と出典'!$C$36+'前提と出典'!$C$38=0,U256&gt;=0),OR('前提と出典'!$C$37+'前提と出典'!$C$38=0,V256&gt;=0)),0,A256)</ns0:f>
        <ns0:v>0</ns0:v>
      </ns0:c>
      <ns0:c r="AG256" s="7">
        <ns0:f>IF(Z256&gt;=0,A256,1001)</ns0:f>
        <ns0:v>252</ns0:v>
      </ns0:c>
      <ns0:c r="AH256" s="4">
        <ns0:f>IF(Z256&lt;0,A256,0)</ns0:f>
        <ns0:v>0</ns0:v>
      </ns0:c>
      <ns0:c r="AI256" s="12">
        <ns0:f>IF(AND(OR('前提と出典'!$C$36+'前提と出典'!$C$38=0,X256&gt;=0),OR('前提と出典'!$C$37+'前提と出典'!$C$38=0,Y256&gt;=0)),0,A256)</ns0:f>
        <ns0:v>0</ns0:v>
      </ns0:c>
    </ns0:row>
    <ns0:row r="257" ht="24" customHeight="1">
      <ns0:c r="A257" s="4" t="n">
        <ns0:v>253</ns0:v>
      </ns0:c>
      <ns0:c r="B257" s="12">
        <ns0:f>A257*('前提と出典'!$C$36+'前提と出典'!$C$38)</ns0:f>
        <ns0:v>177.1</ns0:v>
      </ns0:c>
      <ns0:c r="C257" s="12">
        <ns0:f>A257*('前提と出典'!$C$37+'前提と出典'!$C$38)</ns0:f>
        <ns0:v>151.79999999999998</ns0:v>
      </ns0:c>
      <ns0:c r="D257" s="16">
        <ns0:f>A257*('前提と出典'!$C$36*'契約別単価'!C5+'前提と出典'!$C$37*'契約別単価'!C6+'前提と出典'!$C$38*'契約別単価'!C7)</ns0:f>
        <ns0:v>1820.4692737430169</ns0:v>
      </ns0:c>
      <ns0:c r="E257" s="16">
        <ns0:f>A257*('前提と出典'!$C$36*'契約別単価'!E5+'前提と出典'!$C$37*'契約別単価'!E6+'前提と出典'!$C$38*'契約別単価'!E7)</ns0:f>
        <ns0:v>489540.9981532886</ns0:v>
      </ns0:c>
      <ns0:c r="F257" s="16">
        <ns0:f>A257*('前提と出典'!$C$36*'契約別単価'!F5+'前提と出典'!$C$37*'契約別単価'!F6+'前提と出典'!$C$38*'契約別単価'!F7)</ns0:f>
        <ns0:v>192127.0563651134</ns0:v>
      </ns0:c>
      <ns0:c r="G257" s="16">
        <ns0:f>A257*('前提と出典'!$C$36*'契約別単価'!G5+'前提と出典'!$C$37*'契約別単価'!G6+'前提と出典'!$C$38*'契約別単価'!G7)</ns0:f>
        <ns0:v>503597.2067039106</ns0:v>
      </ns0:c>
      <ns0:c r="H257" s="16">
        <ns0:f>A257*('前提と出典'!$C$36*'契約別単価'!H5+'前提と出典'!$C$37*'契約別単価'!H6+'前提と出典'!$C$38*'契約別単価'!H7)</ns0:f>
        <ns0:v>174773.48811094576</ns0:v>
      </ns0:c>
      <ns0:c r="I257" s="16">
        <ns0:f>A257*('前提と出典'!$C$36*'契約別単価'!I5+'前提と出典'!$C$37*'契約別単価'!I6+'前提と出典'!$C$38*'契約別単価'!I7)</ns0:f>
        <ns0:v>10675.469273743014</ns0:v>
      </ns0:c>
      <ns0:c r="J257" s="16">
        <ns0:f>A257*('前提と出典'!$C$36*'契約別単価'!J5+'前提と出典'!$C$37*'契約別単価'!J6+'前提と出典'!$C$38*'契約別単価'!J7)</ns0:f>
        <ns0:v>24867.25455870655</ns0:v>
      </ns0:c>
      <ns0:c r="K257" s="16">
        <ns0:f>A257*('前提と出典'!$C$36*'契約別単価'!K5+'前提と出典'!$C$37*'契約別単価'!K6+'前提と出典'!$C$38*'契約別単価'!K7)</ns0:f>
        <ns0:v>106589.79515828677</ns0:v>
      </ns0:c>
      <ns0:c r="L257" s="16">
        <ns0:f>A257*('前提と出典'!$C$36*'契約別単価'!L5+'前提と出典'!$C$37*'契約別単価'!L6+'前提と出典'!$C$38*'契約別単価'!L7)</ns0:f>
        <ns0:v>86785.78293703152</ns0:v>
      </ns0:c>
      <ns0:c r="M257" s="16">
        <ns0:f>IF(('前提と出典'!$C$36+'前提と出典'!$C$38)=0,0,IF(B257&lt;=10,'前提と出典'!B73+'前提と出典'!C73,IF(B257&lt;=100,'前提と出典'!B74+'前提と出典'!C74,IF(B257&lt;=500,'前提と出典'!B75+'前提と出典'!C75,'前提と出典'!B76+'前提と出典'!C76))))</ns0:f>
        <ns0:v>40000</ns0:v>
      </ns0:c>
      <ns0:c r="N257" s="16">
        <ns0:f>IF(('前提と出典'!$C$37+'前提と出典'!$C$38)=0,0,IF(C257&lt;=10,'前提と出典'!D73+'前提と出典'!E73,IF(C257&lt;=100,'前提と出典'!D74+'前提と出典'!E74,IF(C257&lt;=500,'前提と出典'!D75+'前提と出典'!E75,'前提と出典'!D76+'前提と出典'!E76))))</ns0:f>
        <ns0:v>56510.9346263078</ns0:v>
      </ns0:c>
      <ns0:c r="O257" s="16">
        <ns0:f>IF('前提と出典'!$C$36+'前提と出典'!$C$38=0,0,'前提と出典'!$B$4*IF('前提と出典'!$B$20=0,MAX('前提と出典'!$B$6,D257*'前提と出典'!$B$5),'前提と出典'!$B$6+D257*'前提と出典'!$B$5))</ns0:f>
        <ns0:v>251224.75977653635</ns0:v>
      </ns0:c>
      <ns0:c r="P257" s="16">
        <ns0:f>(E257+G257)*(1-'前提と出典'!$B$7)-I257-K257-M257-O257</ns0:f>
        <ns0:v>548895.2052737739</ns0:v>
      </ns0:c>
      <ns0:c r="Q257" s="16">
        <ns0:f>(F257+H257)*(1-'前提と出典'!$B$7)-J257-L257-N257</ns0:f>
        <ns0:v>185528.15275287512</ns0:v>
      </ns0:c>
      <ns0:c r="R257" s="16">
        <ns0:f>P257-E257*'前提と出典'!$E$4</ns0:f>
        <ns0:v>402032.90582778736</ns0:v>
      </ns0:c>
      <ns0:c r="S257" s="16">
        <ns0:f>Q257-F257*'前提と出典'!$E$4</ns0:f>
        <ns0:v>127890.03584334109</ns0:v>
      </ns0:c>
      <ns0:c r="T257" s="7">
        <ns0:f>R257+S257</ns0:f>
        <ns0:v>529922.9416711284</ns0:v>
      </ns0:c>
      <ns0:c r="U257" s="16">
        <ns0:f>P257-E257*'前提と出典'!$E$5</ns0:f>
        <ns0:v>353078.8060124584</ns0:v>
      </ns0:c>
      <ns0:c r="V257" s="16">
        <ns0:f>Q257-F257*'前提と出典'!$E$5</ns0:f>
        <ns0:v>108677.33020682976</ns0:v>
      </ns0:c>
      <ns0:c r="W257" s="7">
        <ns0:f>U257+V257</ns0:f>
        <ns0:v>461756.13621928816</ns0:v>
      </ns0:c>
      <ns0:c r="X257" s="16">
        <ns0:f>P257-E257*'前提と出典'!$E$6</ns0:f>
        <ns0:v>304124.70619712956</ns0:v>
      </ns0:c>
      <ns0:c r="Y257" s="16">
        <ns0:f>Q257-F257*'前提と出典'!$E$6</ns0:f>
        <ns0:v>89464.62457031844</ns0:v>
      </ns0:c>
      <ns0:c r="Z257" s="7">
        <ns0:f>X257+Y257</ns0:f>
        <ns0:v>393589.330767448</ns0:v>
      </ns0:c>
      <ns0:c r="AA257" s="7">
        <ns0:f>IF(T257&gt;=0,A257,1001)</ns0:f>
        <ns0:v>253</ns0:v>
      </ns0:c>
      <ns0:c r="AB257" s="7">
        <ns0:f>IF(T257&lt;0,A257,0)</ns0:f>
        <ns0:v>0</ns0:v>
      </ns0:c>
      <ns0:c r="AC257" s="16">
        <ns0:f>IF(AND(OR('前提と出典'!$C$36+'前提と出典'!$C$38=0,R257&gt;=0),OR('前提と出典'!$C$37+'前提と出典'!$C$38=0,S257&gt;=0)),0,A257)</ns0:f>
        <ns0:v>0</ns0:v>
      </ns0:c>
      <ns0:c r="AD257" s="7">
        <ns0:f>IF(W257&gt;=0,A257,1001)</ns0:f>
        <ns0:v>253</ns0:v>
      </ns0:c>
      <ns0:c r="AE257" s="7">
        <ns0:f>IF(W257&lt;0,A257,0)</ns0:f>
        <ns0:v>0</ns0:v>
      </ns0:c>
      <ns0:c r="AF257" s="16">
        <ns0:f>IF(AND(OR('前提と出典'!$C$36+'前提と出典'!$C$38=0,U257&gt;=0),OR('前提と出典'!$C$37+'前提と出典'!$C$38=0,V257&gt;=0)),0,A257)</ns0:f>
        <ns0:v>0</ns0:v>
      </ns0:c>
      <ns0:c r="AG257" s="7">
        <ns0:f>IF(Z257&gt;=0,A257,1001)</ns0:f>
        <ns0:v>253</ns0:v>
      </ns0:c>
      <ns0:c r="AH257" s="4">
        <ns0:f>IF(Z257&lt;0,A257,0)</ns0:f>
        <ns0:v>0</ns0:v>
      </ns0:c>
      <ns0:c r="AI257" s="12">
        <ns0:f>IF(AND(OR('前提と出典'!$C$36+'前提と出典'!$C$38=0,X257&gt;=0),OR('前提と出典'!$C$37+'前提と出典'!$C$38=0,Y257&gt;=0)),0,A257)</ns0:f>
        <ns0:v>0</ns0:v>
      </ns0:c>
    </ns0:row>
    <ns0:row r="258" ht="24" customHeight="1">
      <ns0:c r="A258" s="4" t="n">
        <ns0:v>254</ns0:v>
      </ns0:c>
      <ns0:c r="B258" s="12">
        <ns0:f>A258*('前提と出典'!$C$36+'前提と出典'!$C$38)</ns0:f>
        <ns0:v>177.79999999999998</ns0:v>
      </ns0:c>
      <ns0:c r="C258" s="12">
        <ns0:f>A258*('前提と出典'!$C$37+'前提と出典'!$C$38)</ns0:f>
        <ns0:v>152.4</ns0:v>
      </ns0:c>
      <ns0:c r="D258" s="16">
        <ns0:f>A258*('前提と出典'!$C$36*'契約別単価'!C5+'前提と出典'!$C$37*'契約別単価'!C6+'前提と出典'!$C$38*'契約別単価'!C7)</ns0:f>
        <ns0:v>1827.6648044692738</ns0:v>
      </ns0:c>
      <ns0:c r="E258" s="16">
        <ns0:f>A258*('前提と出典'!$C$36*'契約別単価'!E5+'前提と出典'!$C$37*'契約別単価'!E6+'前提と出典'!$C$38*'契約別単価'!E7)</ns0:f>
        <ns0:v>491475.94281002093</ns0:v>
      </ns0:c>
      <ns0:c r="F258" s="16">
        <ns0:f>A258*('前提と出典'!$C$36*'契約別単価'!F5+'前提と出典'!$C$37*'契約別単価'!F6+'前提と出典'!$C$38*'契約別単価'!F7)</ns0:f>
        <ns0:v>192886.4518448174</ns0:v>
      </ns0:c>
      <ns0:c r="G258" s="16">
        <ns0:f>A258*('前提と出典'!$C$36*'契約別単価'!G5+'前提と出典'!$C$37*'契約別単価'!G6+'前提と出典'!$C$38*'契約別単価'!G7)</ns0:f>
        <ns0:v>505587.70949720667</ns0:v>
      </ns0:c>
      <ns0:c r="H258" s="16">
        <ns0:f>A258*('前提と出典'!$C$36*'契約別単価'!H5+'前提と出典'!$C$37*'契約別単価'!H6+'前提と出典'!$C$38*'契約別単価'!H7)</ns0:f>
        <ns0:v>175464.29241177952</ns0:v>
      </ns0:c>
      <ns0:c r="I258" s="16">
        <ns0:f>A258*('前提と出典'!$C$36*'契約別単価'!I5+'前提と出典'!$C$37*'契約別単価'!I6+'前提と出典'!$C$38*'契約別単価'!I7)</ns0:f>
        <ns0:v>10717.664804469272</ns0:v>
      </ns0:c>
      <ns0:c r="J258" s="16">
        <ns0:f>A258*('前提と出典'!$C$36*'契約別単価'!J5+'前提と出典'!$C$37*'契約別単価'!J6+'前提と出典'!$C$38*'契約別単価'!J7)</ns0:f>
        <ns0:v>24965.54410241685</ns0:v>
      </ns0:c>
      <ns0:c r="K258" s="16">
        <ns0:f>A258*('前提と出典'!$C$36*'契約別単価'!K5+'前提と出典'!$C$37*'契約別単価'!K6+'前提と出典'!$C$38*'契約別単価'!K7)</ns0:f>
        <ns0:v>107011.09869646182</ns0:v>
      </ns0:c>
      <ns0:c r="L258" s="16">
        <ns0:f>A258*('前提と出典'!$C$36*'契約別単価'!L5+'前提と出典'!$C$37*'契約別単価'!L6+'前提と出典'!$C$38*'契約別単価'!L7)</ns0:f>
        <ns0:v>87128.80974705932</ns0:v>
      </ns0:c>
      <ns0:c r="M258" s="16">
        <ns0:f>IF(('前提と出典'!$C$36+'前提と出典'!$C$38)=0,0,IF(B258&lt;=10,'前提と出典'!B73+'前提と出典'!C73,IF(B258&lt;=100,'前提と出典'!B74+'前提と出典'!C74,IF(B258&lt;=500,'前提と出典'!B75+'前提と出典'!C75,'前提と出典'!B76+'前提と出典'!C76))))</ns0:f>
        <ns0:v>40000</ns0:v>
      </ns0:c>
      <ns0:c r="N258" s="16">
        <ns0:f>IF(('前提と出典'!$C$37+'前提と出典'!$C$38)=0,0,IF(C258&lt;=10,'前提と出典'!D73+'前提と出典'!E73,IF(C258&lt;=100,'前提と出典'!D74+'前提と出典'!E74,IF(C258&lt;=500,'前提と出典'!D75+'前提と出典'!E75,'前提と出典'!D76+'前提と出典'!E76))))</ns0:f>
        <ns0:v>56510.9346263078</ns0:v>
      </ns0:c>
      <ns0:c r="O258" s="16">
        <ns0:f>IF('前提と出典'!$C$36+'前提と出典'!$C$38=0,0,'前提と出典'!$B$4*IF('前提と出典'!$B$20=0,MAX('前提と出典'!$B$6,D258*'前提と出典'!$B$5),'前提と出典'!$B$6+D258*'前提と出典'!$B$5))</ns0:f>
        <ns0:v>252217.74301675978</ns0:v>
      </ns0:c>
      <ns0:c r="P258" s="16">
        <ns0:f>(E258+G258)*(1-'前提と出典'!$B$7)-I258-K258-M258-O258</ns0:f>
        <ns0:v>551222.8543064764</ns0:v>
      </ns0:c>
      <ns0:c r="Q258" s="16">
        <ns0:f>(F258+H258)*(1-'前提と出典'!$B$7)-J258-L258-N258</ns0:f>
        <ns0:v>186484.82898757546</ns0:v>
      </ns0:c>
      <ns0:c r="R258" s="16">
        <ns0:f>P258-E258*'前提と出典'!$E$4</ns0:f>
        <ns0:v>403780.07146347023</ns0:v>
      </ns0:c>
      <ns0:c r="S258" s="16">
        <ns0:f>Q258-F258*'前提と出典'!$E$4</ns0:f>
        <ns0:v>128618.89343413024</ns0:v>
      </ns0:c>
      <ns0:c r="T258" s="7">
        <ns0:f>R258+S258</ns0:f>
        <ns0:v>532398.9648976005</ns0:v>
      </ns0:c>
      <ns0:c r="U258" s="16">
        <ns0:f>P258-E258*'前提と出典'!$E$5</ns0:f>
        <ns0:v>354632.47718246805</ns0:v>
      </ns0:c>
      <ns0:c r="V258" s="16">
        <ns0:f>Q258-F258*'前提と出典'!$E$5</ns0:f>
        <ns0:v>109330.24824964849</ns0:v>
      </ns0:c>
      <ns0:c r="W258" s="7">
        <ns0:f>U258+V258</ns0:f>
        <ns0:v>463962.72543211654</ns0:v>
      </ns0:c>
      <ns0:c r="X258" s="16">
        <ns0:f>P258-E258*'前提と出典'!$E$6</ns0:f>
        <ns0:v>305484.8829014661</ns0:v>
      </ns0:c>
      <ns0:c r="Y258" s="16">
        <ns0:f>Q258-F258*'前提と出典'!$E$6</ns0:f>
        <ns0:v>90041.60306516674</ns0:v>
      </ns0:c>
      <ns0:c r="Z258" s="7">
        <ns0:f>X258+Y258</ns0:f>
        <ns0:v>395526.48596663284</ns0:v>
      </ns0:c>
      <ns0:c r="AA258" s="7">
        <ns0:f>IF(T258&gt;=0,A258,1001)</ns0:f>
        <ns0:v>254</ns0:v>
      </ns0:c>
      <ns0:c r="AB258" s="7">
        <ns0:f>IF(T258&lt;0,A258,0)</ns0:f>
        <ns0:v>0</ns0:v>
      </ns0:c>
      <ns0:c r="AC258" s="16">
        <ns0:f>IF(AND(OR('前提と出典'!$C$36+'前提と出典'!$C$38=0,R258&gt;=0),OR('前提と出典'!$C$37+'前提と出典'!$C$38=0,S258&gt;=0)),0,A258)</ns0:f>
        <ns0:v>0</ns0:v>
      </ns0:c>
      <ns0:c r="AD258" s="7">
        <ns0:f>IF(W258&gt;=0,A258,1001)</ns0:f>
        <ns0:v>254</ns0:v>
      </ns0:c>
      <ns0:c r="AE258" s="7">
        <ns0:f>IF(W258&lt;0,A258,0)</ns0:f>
        <ns0:v>0</ns0:v>
      </ns0:c>
      <ns0:c r="AF258" s="16">
        <ns0:f>IF(AND(OR('前提と出典'!$C$36+'前提と出典'!$C$38=0,U258&gt;=0),OR('前提と出典'!$C$37+'前提と出典'!$C$38=0,V258&gt;=0)),0,A258)</ns0:f>
        <ns0:v>0</ns0:v>
      </ns0:c>
      <ns0:c r="AG258" s="7">
        <ns0:f>IF(Z258&gt;=0,A258,1001)</ns0:f>
        <ns0:v>254</ns0:v>
      </ns0:c>
      <ns0:c r="AH258" s="4">
        <ns0:f>IF(Z258&lt;0,A258,0)</ns0:f>
        <ns0:v>0</ns0:v>
      </ns0:c>
      <ns0:c r="AI258" s="12">
        <ns0:f>IF(AND(OR('前提と出典'!$C$36+'前提と出典'!$C$38=0,X258&gt;=0),OR('前提と出典'!$C$37+'前提と出典'!$C$38=0,Y258&gt;=0)),0,A258)</ns0:f>
        <ns0:v>0</ns0:v>
      </ns0:c>
    </ns0:row>
    <ns0:row r="259" ht="24" customHeight="1">
      <ns0:c r="A259" s="4" t="n">
        <ns0:v>255</ns0:v>
      </ns0:c>
      <ns0:c r="B259" s="12">
        <ns0:f>A259*('前提と出典'!$C$36+'前提と出典'!$C$38)</ns0:f>
        <ns0:v>178.5</ns0:v>
      </ns0:c>
      <ns0:c r="C259" s="12">
        <ns0:f>A259*('前提と出典'!$C$37+'前提と出典'!$C$38)</ns0:f>
        <ns0:v>153</ns0:v>
      </ns0:c>
      <ns0:c r="D259" s="16">
        <ns0:f>A259*('前提と出典'!$C$36*'契約別単価'!C5+'前提と出典'!$C$37*'契約別単価'!C6+'前提と出典'!$C$38*'契約別単価'!C7)</ns0:f>
        <ns0:v>1834.8603351955308</ns0:v>
      </ns0:c>
      <ns0:c r="E259" s="16">
        <ns0:f>A259*('前提と出典'!$C$36*'契約別単価'!E5+'前提と出典'!$C$37*'契約別単価'!E6+'前提と出典'!$C$38*'契約別単価'!E7)</ns0:f>
        <ns0:v>493410.8874667533</ns0:v>
      </ns0:c>
      <ns0:c r="F259" s="16">
        <ns0:f>A259*('前提と出典'!$C$36*'契約別単価'!F5+'前提と出典'!$C$37*'契約別単価'!F6+'前提と出典'!$C$38*'契約別単価'!F7)</ns0:f>
        <ns0:v>193645.84732452143</ns0:v>
      </ns0:c>
      <ns0:c r="G259" s="16">
        <ns0:f>A259*('前提と出典'!$C$36*'契約別単価'!G5+'前提と出典'!$C$37*'契約別単価'!G6+'前提と出典'!$C$38*'契約別単価'!G7)</ns0:f>
        <ns0:v>507578.2122905028</ns0:v>
      </ns0:c>
      <ns0:c r="H259" s="16">
        <ns0:f>A259*('前提と出典'!$C$36*'契約別単価'!H5+'前提と出典'!$C$37*'契約別単価'!H6+'前提と出典'!$C$38*'契約別単価'!H7)</ns0:f>
        <ns0:v>176155.0967126133</ns0:v>
      </ns0:c>
      <ns0:c r="I259" s="16">
        <ns0:f>A259*('前提と出典'!$C$36*'契約別単価'!I5+'前提と出典'!$C$37*'契約別単価'!I6+'前提と出典'!$C$38*'契約別単価'!I7)</ns0:f>
        <ns0:v>10759.860335195528</ns0:v>
      </ns0:c>
      <ns0:c r="J259" s="16">
        <ns0:f>A259*('前提と出典'!$C$36*'契約別単価'!J5+'前提と出典'!$C$37*'契約別単価'!J6+'前提と出典'!$C$38*'契約別単価'!J7)</ns0:f>
        <ns0:v>25063.833646127154</ns0:v>
      </ns0:c>
      <ns0:c r="K259" s="16">
        <ns0:f>A259*('前提と出典'!$C$36*'契約別単価'!K5+'前提と出典'!$C$37*'契約別単価'!K6+'前提と出典'!$C$38*'契約別単価'!K7)</ns0:f>
        <ns0:v>107432.40223463686</ns0:v>
      </ns0:c>
      <ns0:c r="L259" s="16">
        <ns0:f>A259*('前提と出典'!$C$36*'契約別単価'!L5+'前提と出典'!$C$37*'契約別単価'!L6+'前提と出典'!$C$38*'契約別単価'!L7)</ns0:f>
        <ns0:v>87471.83655708711</ns0:v>
      </ns0:c>
      <ns0:c r="M259" s="16">
        <ns0:f>IF(('前提と出典'!$C$36+'前提と出典'!$C$38)=0,0,IF(B259&lt;=10,'前提と出典'!B73+'前提と出典'!C73,IF(B259&lt;=100,'前提と出典'!B74+'前提と出典'!C74,IF(B259&lt;=500,'前提と出典'!B75+'前提と出典'!C75,'前提と出典'!B76+'前提と出典'!C76))))</ns0:f>
        <ns0:v>40000</ns0:v>
      </ns0:c>
      <ns0:c r="N259" s="16">
        <ns0:f>IF(('前提と出典'!$C$37+'前提と出典'!$C$38)=0,0,IF(C259&lt;=10,'前提と出典'!D73+'前提と出典'!E73,IF(C259&lt;=100,'前提と出典'!D74+'前提と出典'!E74,IF(C259&lt;=500,'前提と出典'!D75+'前提と出典'!E75,'前提と出典'!D76+'前提と出典'!E76))))</ns0:f>
        <ns0:v>56510.9346263078</ns0:v>
      </ns0:c>
      <ns0:c r="O259" s="16">
        <ns0:f>IF('前提と出典'!$C$36+'前提と出典'!$C$38=0,0,'前提と出典'!$B$4*IF('前提と出典'!$B$20=0,MAX('前提と出典'!$B$6,D259*'前提と出典'!$B$5),'前提と出典'!$B$6+D259*'前提と出典'!$B$5))</ns0:f>
        <ns0:v>253210.72625698327</ns0:v>
      </ns0:c>
      <ns0:c r="P259" s="16">
        <ns0:f>(E259+G259)*(1-'前提と出典'!$B$7)-I259-K259-M259-O259</ns0:f>
        <ns0:v>553550.5033391793</ns0:v>
      </ns0:c>
      <ns0:c r="Q259" s="16">
        <ns0:f>(F259+H259)*(1-'前提と出典'!$B$7)-J259-L259-N259</ns0:f>
        <ns0:v>187441.50522227585</ns0:v>
      </ns0:c>
      <ns0:c r="R259" s="16">
        <ns0:f>P259-E259*'前提と出典'!$E$4</ns0:f>
        <ns0:v>405527.23709915334</ns0:v>
      </ns0:c>
      <ns0:c r="S259" s="16">
        <ns0:f>Q259-F259*'前提と出典'!$E$4</ns0:f>
        <ns0:v>129347.75102491947</ns0:v>
      </ns0:c>
      <ns0:c r="T259" s="7">
        <ns0:f>R259+S259</ns0:f>
        <ns0:v>534874.9881240728</ns0:v>
      </ns0:c>
      <ns0:c r="U259" s="16">
        <ns0:f>P259-E259*'前提と出典'!$E$5</ns0:f>
        <ns0:v>356186.14835247805</ns0:v>
      </ns0:c>
      <ns0:c r="V259" s="16">
        <ns0:f>Q259-F259*'前提と出典'!$E$5</ns0:f>
        <ns0:v>109983.1662924673</ns0:v>
      </ns0:c>
      <ns0:c r="W259" s="7">
        <ns0:f>U259+V259</ns0:f>
        <ns0:v>466169.3146449453</ns0:v>
      </ns0:c>
      <ns0:c r="X259" s="16">
        <ns0:f>P259-E259*'前提と出典'!$E$6</ns0:f>
        <ns0:v>306845.0596058025</ns0:v>
      </ns0:c>
      <ns0:c r="Y259" s="16">
        <ns0:f>Q259-F259*'前提と出典'!$E$6</ns0:f>
        <ns0:v>90618.58156001513</ns0:v>
      </ns0:c>
      <ns0:c r="Z259" s="7">
        <ns0:f>X259+Y259</ns0:f>
        <ns0:v>397463.6411658176</ns0:v>
      </ns0:c>
      <ns0:c r="AA259" s="7">
        <ns0:f>IF(T259&gt;=0,A259,1001)</ns0:f>
        <ns0:v>255</ns0:v>
      </ns0:c>
      <ns0:c r="AB259" s="7">
        <ns0:f>IF(T259&lt;0,A259,0)</ns0:f>
        <ns0:v>0</ns0:v>
      </ns0:c>
      <ns0:c r="AC259" s="16">
        <ns0:f>IF(AND(OR('前提と出典'!$C$36+'前提と出典'!$C$38=0,R259&gt;=0),OR('前提と出典'!$C$37+'前提と出典'!$C$38=0,S259&gt;=0)),0,A259)</ns0:f>
        <ns0:v>0</ns0:v>
      </ns0:c>
      <ns0:c r="AD259" s="7">
        <ns0:f>IF(W259&gt;=0,A259,1001)</ns0:f>
        <ns0:v>255</ns0:v>
      </ns0:c>
      <ns0:c r="AE259" s="7">
        <ns0:f>IF(W259&lt;0,A259,0)</ns0:f>
        <ns0:v>0</ns0:v>
      </ns0:c>
      <ns0:c r="AF259" s="16">
        <ns0:f>IF(AND(OR('前提と出典'!$C$36+'前提と出典'!$C$38=0,U259&gt;=0),OR('前提と出典'!$C$37+'前提と出典'!$C$38=0,V259&gt;=0)),0,A259)</ns0:f>
        <ns0:v>0</ns0:v>
      </ns0:c>
      <ns0:c r="AG259" s="7">
        <ns0:f>IF(Z259&gt;=0,A259,1001)</ns0:f>
        <ns0:v>255</ns0:v>
      </ns0:c>
      <ns0:c r="AH259" s="4">
        <ns0:f>IF(Z259&lt;0,A259,0)</ns0:f>
        <ns0:v>0</ns0:v>
      </ns0:c>
      <ns0:c r="AI259" s="12">
        <ns0:f>IF(AND(OR('前提と出典'!$C$36+'前提と出典'!$C$38=0,X259&gt;=0),OR('前提と出典'!$C$37+'前提と出典'!$C$38=0,Y259&gt;=0)),0,A259)</ns0:f>
        <ns0:v>0</ns0:v>
      </ns0:c>
    </ns0:row>
    <ns0:row r="260" ht="24" customHeight="1">
      <ns0:c r="A260" s="4" t="n">
        <ns0:v>256</ns0:v>
      </ns0:c>
      <ns0:c r="B260" s="12">
        <ns0:f>A260*('前提と出典'!$C$36+'前提と出典'!$C$38)</ns0:f>
        <ns0:v>179.2</ns0:v>
      </ns0:c>
      <ns0:c r="C260" s="12">
        <ns0:f>A260*('前提と出典'!$C$37+'前提と出典'!$C$38)</ns0:f>
        <ns0:v>153.6</ns0:v>
      </ns0:c>
      <ns0:c r="D260" s="16">
        <ns0:f>A260*('前提と出典'!$C$36*'契約別単価'!C5+'前提と出典'!$C$37*'契約別単価'!C6+'前提と出典'!$C$38*'契約別単価'!C7)</ns0:f>
        <ns0:v>1842.0558659217877</ns0:v>
      </ns0:c>
      <ns0:c r="E260" s="16">
        <ns0:f>A260*('前提と出典'!$C$36*'契約別単価'!E5+'前提と出典'!$C$37*'契約別単価'!E6+'前提と出典'!$C$38*'契約別単価'!E7)</ns0:f>
        <ns0:v>495345.8321234857</ns0:v>
      </ns0:c>
      <ns0:c r="F260" s="16">
        <ns0:f>A260*('前提と出典'!$C$36*'契約別単価'!F5+'前提と出典'!$C$37*'契約別単価'!F6+'前提と出典'!$C$38*'契約別単価'!F7)</ns0:f>
        <ns0:v>194405.24280422542</ns0:v>
      </ns0:c>
      <ns0:c r="G260" s="16">
        <ns0:f>A260*('前提と出典'!$C$36*'契約別単価'!G5+'前提と出典'!$C$37*'契約別単価'!G6+'前提と出典'!$C$38*'契約別単価'!G7)</ns0:f>
        <ns0:v>509568.71508379886</ns0:v>
      </ns0:c>
      <ns0:c r="H260" s="16">
        <ns0:f>A260*('前提と出典'!$C$36*'契約別単価'!H5+'前提と出典'!$C$37*'契約別単価'!H6+'前提と出典'!$C$38*'契約別単価'!H7)</ns0:f>
        <ns0:v>176845.9010134471</ns0:v>
      </ns0:c>
      <ns0:c r="I260" s="16">
        <ns0:f>A260*('前提と出典'!$C$36*'契約別単価'!I5+'前提と出典'!$C$37*'契約別単価'!I6+'前提と出典'!$C$38*'契約別単価'!I7)</ns0:f>
        <ns0:v>10802.055865921786</ns0:v>
      </ns0:c>
      <ns0:c r="J260" s="16">
        <ns0:f>A260*('前提と出典'!$C$36*'契約別単価'!J5+'前提と出典'!$C$37*'契約別単価'!J6+'前提と出典'!$C$38*'契約別単価'!J7)</ns0:f>
        <ns0:v>25162.123189837457</ns0:v>
      </ns0:c>
      <ns0:c r="K260" s="16">
        <ns0:f>A260*('前提と出典'!$C$36*'契約別単価'!K5+'前提と出典'!$C$37*'契約別単価'!K6+'前提と出典'!$C$38*'契約別単価'!K7)</ns0:f>
        <ns0:v>107853.70577281191</ns0:v>
      </ns0:c>
      <ns0:c r="L260" s="16">
        <ns0:f>A260*('前提と出典'!$C$36*'契約別単価'!L5+'前提と出典'!$C$37*'契約別単価'!L6+'前提と出典'!$C$38*'契約別単価'!L7)</ns0:f>
        <ns0:v>87814.8633671149</ns0:v>
      </ns0:c>
      <ns0:c r="M260" s="16">
        <ns0:f>IF(('前提と出典'!$C$36+'前提と出典'!$C$38)=0,0,IF(B260&lt;=10,'前提と出典'!B73+'前提と出典'!C73,IF(B260&lt;=100,'前提と出典'!B74+'前提と出典'!C74,IF(B260&lt;=500,'前提と出典'!B75+'前提と出典'!C75,'前提と出典'!B76+'前提と出典'!C76))))</ns0:f>
        <ns0:v>40000</ns0:v>
      </ns0:c>
      <ns0:c r="N260" s="16">
        <ns0:f>IF(('前提と出典'!$C$37+'前提と出典'!$C$38)=0,0,IF(C260&lt;=10,'前提と出典'!D73+'前提と出典'!E73,IF(C260&lt;=100,'前提と出典'!D74+'前提と出典'!E74,IF(C260&lt;=500,'前提と出典'!D75+'前提と出典'!E75,'前提と出典'!D76+'前提と出典'!E76))))</ns0:f>
        <ns0:v>56510.9346263078</ns0:v>
      </ns0:c>
      <ns0:c r="O260" s="16">
        <ns0:f>IF('前提と出典'!$C$36+'前提と出典'!$C$38=0,0,'前提と出典'!$B$4*IF('前提と出典'!$B$20=0,MAX('前提と出典'!$B$6,D260*'前提と出典'!$B$5),'前提と出典'!$B$6+D260*'前提と出典'!$B$5))</ns0:f>
        <ns0:v>254203.7094972067</ns0:v>
      </ns0:c>
      <ns0:c r="P260" s="16">
        <ns0:f>(E260+G260)*(1-'前提と出典'!$B$7)-I260-K260-M260-O260</ns0:f>
        <ns0:v>555878.1523718819</ns0:v>
      </ns0:c>
      <ns0:c r="Q260" s="16">
        <ns0:f>(F260+H260)*(1-'前提と出典'!$B$7)-J260-L260-N260</ns0:f>
        <ns0:v>188398.18145697616</ns0:v>
      </ns0:c>
      <ns0:c r="R260" s="16">
        <ns0:f>P260-E260*'前提と出典'!$E$4</ns0:f>
        <ns0:v>407274.4027348362</ns0:v>
      </ns0:c>
      <ns0:c r="S260" s="16">
        <ns0:f>Q260-F260*'前提と出典'!$E$4</ns0:f>
        <ns0:v>130076.60861570854</ns0:v>
      </ns0:c>
      <ns0:c r="T260" s="7">
        <ns0:f>R260+S260</ns0:f>
        <ns0:v>537351.0113505448</ns0:v>
      </ns0:c>
      <ns0:c r="U260" s="16">
        <ns0:f>P260-E260*'前提と出典'!$E$5</ns0:f>
        <ns0:v>357739.8195224876</ns0:v>
      </ns0:c>
      <ns0:c r="V260" s="16">
        <ns0:f>Q260-F260*'前提と出典'!$E$5</ns0:f>
        <ns0:v>110636.084335286</ns0:v>
      </ns0:c>
      <ns0:c r="W260" s="7">
        <ns0:f>U260+V260</ns0:f>
        <ns0:v>468375.9038577736</ns0:v>
      </ns0:c>
      <ns0:c r="X260" s="16">
        <ns0:f>P260-E260*'前提と出典'!$E$6</ns0:f>
        <ns0:v>308205.23631013907</ns0:v>
      </ns0:c>
      <ns0:c r="Y260" s="16">
        <ns0:f>Q260-F260*'前提と出典'!$E$6</ns0:f>
        <ns0:v>91195.5600548634</ns0:v>
      </ns0:c>
      <ns0:c r="Z260" s="7">
        <ns0:f>X260+Y260</ns0:f>
        <ns0:v>399400.79636500246</ns0:v>
      </ns0:c>
      <ns0:c r="AA260" s="7">
        <ns0:f>IF(T260&gt;=0,A260,1001)</ns0:f>
        <ns0:v>256</ns0:v>
      </ns0:c>
      <ns0:c r="AB260" s="7">
        <ns0:f>IF(T260&lt;0,A260,0)</ns0:f>
        <ns0:v>0</ns0:v>
      </ns0:c>
      <ns0:c r="AC260" s="16">
        <ns0:f>IF(AND(OR('前提と出典'!$C$36+'前提と出典'!$C$38=0,R260&gt;=0),OR('前提と出典'!$C$37+'前提と出典'!$C$38=0,S260&gt;=0)),0,A260)</ns0:f>
        <ns0:v>0</ns0:v>
      </ns0:c>
      <ns0:c r="AD260" s="7">
        <ns0:f>IF(W260&gt;=0,A260,1001)</ns0:f>
        <ns0:v>256</ns0:v>
      </ns0:c>
      <ns0:c r="AE260" s="7">
        <ns0:f>IF(W260&lt;0,A260,0)</ns0:f>
        <ns0:v>0</ns0:v>
      </ns0:c>
      <ns0:c r="AF260" s="16">
        <ns0:f>IF(AND(OR('前提と出典'!$C$36+'前提と出典'!$C$38=0,U260&gt;=0),OR('前提と出典'!$C$37+'前提と出典'!$C$38=0,V260&gt;=0)),0,A260)</ns0:f>
        <ns0:v>0</ns0:v>
      </ns0:c>
      <ns0:c r="AG260" s="7">
        <ns0:f>IF(Z260&gt;=0,A260,1001)</ns0:f>
        <ns0:v>256</ns0:v>
      </ns0:c>
      <ns0:c r="AH260" s="4">
        <ns0:f>IF(Z260&lt;0,A260,0)</ns0:f>
        <ns0:v>0</ns0:v>
      </ns0:c>
      <ns0:c r="AI260" s="12">
        <ns0:f>IF(AND(OR('前提と出典'!$C$36+'前提と出典'!$C$38=0,X260&gt;=0),OR('前提と出典'!$C$37+'前提と出典'!$C$38=0,Y260&gt;=0)),0,A260)</ns0:f>
        <ns0:v>0</ns0:v>
      </ns0:c>
    </ns0:row>
    <ns0:row r="261" ht="24" customHeight="1">
      <ns0:c r="A261" s="4" t="n">
        <ns0:v>257</ns0:v>
      </ns0:c>
      <ns0:c r="B261" s="12">
        <ns0:f>A261*('前提と出典'!$C$36+'前提と出典'!$C$38)</ns0:f>
        <ns0:v>179.89999999999998</ns0:v>
      </ns0:c>
      <ns0:c r="C261" s="12">
        <ns0:f>A261*('前提と出典'!$C$37+'前提と出典'!$C$38)</ns0:f>
        <ns0:v>154.2</ns0:v>
      </ns0:c>
      <ns0:c r="D261" s="16">
        <ns0:f>A261*('前提と出典'!$C$36*'契約別単価'!C5+'前提と出典'!$C$37*'契約別単価'!C6+'前提と出典'!$C$38*'契約別単価'!C7)</ns0:f>
        <ns0:v>1849.2513966480446</ns0:v>
      </ns0:c>
      <ns0:c r="E261" s="16">
        <ns0:f>A261*('前提と出典'!$C$36*'契約別単価'!E5+'前提と出典'!$C$37*'契約別単価'!E6+'前提と出典'!$C$38*'契約別単価'!E7)</ns0:f>
        <ns0:v>497280.77678021806</ns0:v>
      </ns0:c>
      <ns0:c r="F261" s="16">
        <ns0:f>A261*('前提と出典'!$C$36*'契約別単価'!F5+'前提と出典'!$C$37*'契約別単価'!F6+'前提と出典'!$C$38*'契約別単価'!F7)</ns0:f>
        <ns0:v>195164.6382839294</ns0:v>
      </ns0:c>
      <ns0:c r="G261" s="16">
        <ns0:f>A261*('前提と出典'!$C$36*'契約別単価'!G5+'前提と出典'!$C$37*'契約別単価'!G6+'前提と出典'!$C$38*'契約別単価'!G7)</ns0:f>
        <ns0:v>511559.2178770949</ns0:v>
      </ns0:c>
      <ns0:c r="H261" s="16">
        <ns0:f>A261*('前提と出典'!$C$36*'契約別単価'!H5+'前提と出典'!$C$37*'契約別単価'!H6+'前提と出典'!$C$38*'契約別単価'!H7)</ns0:f>
        <ns0:v>177536.70531428087</ns0:v>
      </ns0:c>
      <ns0:c r="I261" s="16">
        <ns0:f>A261*('前提と出典'!$C$36*'契約別単価'!I5+'前提と出典'!$C$37*'契約別単価'!I6+'前提と出典'!$C$38*'契約別単価'!I7)</ns0:f>
        <ns0:v>10844.251396648044</ns0:v>
      </ns0:c>
      <ns0:c r="J261" s="16">
        <ns0:f>A261*('前提と出典'!$C$36*'契約別単価'!J5+'前提と出典'!$C$37*'契約別単価'!J6+'前提と出典'!$C$38*'契約別単価'!J7)</ns0:f>
        <ns0:v>25260.41273354776</ns0:v>
      </ns0:c>
      <ns0:c r="K261" s="16">
        <ns0:f>A261*('前提と出典'!$C$36*'契約別単価'!K5+'前提と出典'!$C$37*'契約別単価'!K6+'前提と出典'!$C$38*'契約別単価'!K7)</ns0:f>
        <ns0:v>108275.00931098696</ns0:v>
      </ns0:c>
      <ns0:c r="L261" s="16">
        <ns0:f>A261*('前提と出典'!$C$36*'契約別単価'!L5+'前提と出典'!$C$37*'契約別単価'!L6+'前提と出典'!$C$38*'契約別単価'!L7)</ns0:f>
        <ns0:v>88157.89017714269</ns0:v>
      </ns0:c>
      <ns0:c r="M261" s="16">
        <ns0:f>IF(('前提と出典'!$C$36+'前提と出典'!$C$38)=0,0,IF(B261&lt;=10,'前提と出典'!B73+'前提と出典'!C73,IF(B261&lt;=100,'前提と出典'!B74+'前提と出典'!C74,IF(B261&lt;=500,'前提と出典'!B75+'前提と出典'!C75,'前提と出典'!B76+'前提と出典'!C76))))</ns0:f>
        <ns0:v>40000</ns0:v>
      </ns0:c>
      <ns0:c r="N261" s="16">
        <ns0:f>IF(('前提と出典'!$C$37+'前提と出典'!$C$38)=0,0,IF(C261&lt;=10,'前提と出典'!D73+'前提と出典'!E73,IF(C261&lt;=100,'前提と出典'!D74+'前提と出典'!E74,IF(C261&lt;=500,'前提と出典'!D75+'前提と出典'!E75,'前提と出典'!D76+'前提と出典'!E76))))</ns0:f>
        <ns0:v>56510.9346263078</ns0:v>
      </ns0:c>
      <ns0:c r="O261" s="16">
        <ns0:f>IF('前提と出典'!$C$36+'前提と出典'!$C$38=0,0,'前提と出典'!$B$4*IF('前提と出典'!$B$20=0,MAX('前提と出典'!$B$6,D261*'前提と出典'!$B$5),'前提と出典'!$B$6+D261*'前提と出典'!$B$5))</ns0:f>
        <ns0:v>255196.6927374302</ns0:v>
      </ns0:c>
      <ns0:c r="P261" s="16">
        <ns0:f>(E261+G261)*(1-'前提と出典'!$B$7)-I261-K261-M261-O261</ns0:f>
        <ns0:v>558205.8014045845</ns0:v>
      </ns0:c>
      <ns0:c r="Q261" s="16">
        <ns0:f>(F261+H261)*(1-'前提と出典'!$B$7)-J261-L261-N261</ns0:f>
        <ns0:v>189354.85769167647</ns0:v>
      </ns0:c>
      <ns0:c r="R261" s="16">
        <ns0:f>P261-E261*'前提と出典'!$E$4</ns0:f>
        <ns0:v>409021.5683705191</ns0:v>
      </ns0:c>
      <ns0:c r="S261" s="16">
        <ns0:f>Q261-F261*'前提と出典'!$E$4</ns0:f>
        <ns0:v>130805.46620649763</ns0:v>
      </ns0:c>
      <ns0:c r="T261" s="7">
        <ns0:f>R261+S261</ns0:f>
        <ns0:v>539827.0345770167</ns0:v>
      </ns0:c>
      <ns0:c r="U261" s="16">
        <ns0:f>P261-E261*'前提と出典'!$E$5</ns0:f>
        <ns0:v>359293.49069249735</ns0:v>
      </ns0:c>
      <ns0:c r="V261" s="16">
        <ns0:f>Q261-F261*'前提と出典'!$E$5</ns0:f>
        <ns0:v>111289.00237810469</ns0:v>
      </ns0:c>
      <ns0:c r="W261" s="7">
        <ns0:f>U261+V261</ns0:f>
        <ns0:v>470582.49307060207</ns0:v>
      </ns0:c>
      <ns0:c r="X261" s="16">
        <ns0:f>P261-E261*'前提と出典'!$E$6</ns0:f>
        <ns0:v>309565.4130144755</ns0:v>
      </ns0:c>
      <ns0:c r="Y261" s="16">
        <ns0:f>Q261-F261*'前提と出典'!$E$6</ns0:f>
        <ns0:v>91772.5385497117</ns0:v>
      </ns0:c>
      <ns0:c r="Z261" s="7">
        <ns0:f>X261+Y261</ns0:f>
        <ns0:v>401337.9515641872</ns0:v>
      </ns0:c>
      <ns0:c r="AA261" s="7">
        <ns0:f>IF(T261&gt;=0,A261,1001)</ns0:f>
        <ns0:v>257</ns0:v>
      </ns0:c>
      <ns0:c r="AB261" s="7">
        <ns0:f>IF(T261&lt;0,A261,0)</ns0:f>
        <ns0:v>0</ns0:v>
      </ns0:c>
      <ns0:c r="AC261" s="16">
        <ns0:f>IF(AND(OR('前提と出典'!$C$36+'前提と出典'!$C$38=0,R261&gt;=0),OR('前提と出典'!$C$37+'前提と出典'!$C$38=0,S261&gt;=0)),0,A261)</ns0:f>
        <ns0:v>0</ns0:v>
      </ns0:c>
      <ns0:c r="AD261" s="7">
        <ns0:f>IF(W261&gt;=0,A261,1001)</ns0:f>
        <ns0:v>257</ns0:v>
      </ns0:c>
      <ns0:c r="AE261" s="7">
        <ns0:f>IF(W261&lt;0,A261,0)</ns0:f>
        <ns0:v>0</ns0:v>
      </ns0:c>
      <ns0:c r="AF261" s="16">
        <ns0:f>IF(AND(OR('前提と出典'!$C$36+'前提と出典'!$C$38=0,U261&gt;=0),OR('前提と出典'!$C$37+'前提と出典'!$C$38=0,V261&gt;=0)),0,A261)</ns0:f>
        <ns0:v>0</ns0:v>
      </ns0:c>
      <ns0:c r="AG261" s="7">
        <ns0:f>IF(Z261&gt;=0,A261,1001)</ns0:f>
        <ns0:v>257</ns0:v>
      </ns0:c>
      <ns0:c r="AH261" s="4">
        <ns0:f>IF(Z261&lt;0,A261,0)</ns0:f>
        <ns0:v>0</ns0:v>
      </ns0:c>
      <ns0:c r="AI261" s="12">
        <ns0:f>IF(AND(OR('前提と出典'!$C$36+'前提と出典'!$C$38=0,X261&gt;=0),OR('前提と出典'!$C$37+'前提と出典'!$C$38=0,Y261&gt;=0)),0,A261)</ns0:f>
        <ns0:v>0</ns0:v>
      </ns0:c>
    </ns0:row>
    <ns0:row r="262" ht="24" customHeight="1">
      <ns0:c r="A262" s="4" t="n">
        <ns0:v>258</ns0:v>
      </ns0:c>
      <ns0:c r="B262" s="12">
        <ns0:f>A262*('前提と出典'!$C$36+'前提と出典'!$C$38)</ns0:f>
        <ns0:v>180.6</ns0:v>
      </ns0:c>
      <ns0:c r="C262" s="12">
        <ns0:f>A262*('前提と出典'!$C$37+'前提と出典'!$C$38)</ns0:f>
        <ns0:v>154.79999999999998</ns0:v>
      </ns0:c>
      <ns0:c r="D262" s="16">
        <ns0:f>A262*('前提と出典'!$C$36*'契約別単価'!C5+'前提と出典'!$C$37*'契約別単価'!C6+'前提と出典'!$C$38*'契約別単価'!C7)</ns0:f>
        <ns0:v>1856.4469273743016</ns0:v>
      </ns0:c>
      <ns0:c r="E262" s="16">
        <ns0:f>A262*('前提と出典'!$C$36*'契約別単価'!E5+'前提と出典'!$C$37*'契約別単価'!E6+'前提と出典'!$C$38*'契約別単価'!E7)</ns0:f>
        <ns0:v>499215.72143695044</ns0:v>
      </ns0:c>
      <ns0:c r="F262" s="16">
        <ns0:f>A262*('前提と出典'!$C$36*'契約別単価'!F5+'前提と出典'!$C$37*'契約別単価'!F6+'前提と出典'!$C$38*'契約別単価'!F7)</ns0:f>
        <ns0:v>195924.03376363343</ns0:v>
      </ns0:c>
      <ns0:c r="G262" s="16">
        <ns0:f>A262*('前提と出典'!$C$36*'契約別単価'!G5+'前提と出典'!$C$37*'契約別単価'!G6+'前提と出典'!$C$38*'契約別単価'!G7)</ns0:f>
        <ns0:v>513549.72067039105</ns0:v>
      </ns0:c>
      <ns0:c r="H262" s="16">
        <ns0:f>A262*('前提と出典'!$C$36*'契約別単価'!H5+'前提と出典'!$C$37*'契約別単価'!H6+'前提と出典'!$C$38*'契約別単価'!H7)</ns0:f>
        <ns0:v>178227.50961511466</ns0:v>
      </ns0:c>
      <ns0:c r="I262" s="16">
        <ns0:f>A262*('前提と出典'!$C$36*'契約別単価'!I5+'前提と出典'!$C$37*'契約別単価'!I6+'前提と出典'!$C$38*'契約別単価'!I7)</ns0:f>
        <ns0:v>10886.4469273743</ns0:v>
      </ns0:c>
      <ns0:c r="J262" s="16">
        <ns0:f>A262*('前提と出典'!$C$36*'契約別単価'!J5+'前提と出典'!$C$37*'契約別単価'!J6+'前提と出典'!$C$38*'契約別単価'!J7)</ns0:f>
        <ns0:v>25358.702277258064</ns0:v>
      </ns0:c>
      <ns0:c r="K262" s="16">
        <ns0:f>A262*('前提と出典'!$C$36*'契約別単価'!K5+'前提と出典'!$C$37*'契約別単価'!K6+'前提と出典'!$C$38*'契約別単価'!K7)</ns0:f>
        <ns0:v>108696.312849162</ns0:v>
      </ns0:c>
      <ns0:c r="L262" s="16">
        <ns0:f>A262*('前提と出典'!$C$36*'契約別単価'!L5+'前提と出典'!$C$37*'契約別単価'!L6+'前提と出典'!$C$38*'契約別単価'!L7)</ns0:f>
        <ns0:v>88500.91698717048</ns0:v>
      </ns0:c>
      <ns0:c r="M262" s="16">
        <ns0:f>IF(('前提と出典'!$C$36+'前提と出典'!$C$38)=0,0,IF(B262&lt;=10,'前提と出典'!B73+'前提と出典'!C73,IF(B262&lt;=100,'前提と出典'!B74+'前提と出典'!C74,IF(B262&lt;=500,'前提と出典'!B75+'前提と出典'!C75,'前提と出典'!B76+'前提と出典'!C76))))</ns0:f>
        <ns0:v>40000</ns0:v>
      </ns0:c>
      <ns0:c r="N262" s="16">
        <ns0:f>IF(('前提と出典'!$C$37+'前提と出典'!$C$38)=0,0,IF(C262&lt;=10,'前提と出典'!D73+'前提と出典'!E73,IF(C262&lt;=100,'前提と出典'!D74+'前提と出典'!E74,IF(C262&lt;=500,'前提と出典'!D75+'前提と出典'!E75,'前提と出典'!D76+'前提と出典'!E76))))</ns0:f>
        <ns0:v>56510.9346263078</ns0:v>
      </ns0:c>
      <ns0:c r="O262" s="16">
        <ns0:f>IF('前提と出典'!$C$36+'前提と出典'!$C$38=0,0,'前提と出典'!$B$4*IF('前提と出典'!$B$20=0,MAX('前提と出典'!$B$6,D262*'前提と出典'!$B$5),'前提と出典'!$B$6+D262*'前提と出典'!$B$5))</ns0:f>
        <ns0:v>256189.67597765362</ns0:v>
      </ns0:c>
      <ns0:c r="P262" s="16">
        <ns0:f>(E262+G262)*(1-'前提と出典'!$B$7)-I262-K262-M262-O262</ns0:f>
        <ns0:v>560533.4504372872</ns0:v>
      </ns0:c>
      <ns0:c r="Q262" s="16">
        <ns0:f>(F262+H262)*(1-'前提と出典'!$B$7)-J262-L262-N262</ns0:f>
        <ns0:v>190311.53392637684</ns0:v>
      </ns0:c>
      <ns0:c r="R262" s="16">
        <ns0:f>P262-E262*'前提と出典'!$E$4</ns0:f>
        <ns0:v>410768.7340062021</ns0:v>
      </ns0:c>
      <ns0:c r="S262" s="16">
        <ns0:f>Q262-F262*'前提と出典'!$E$4</ns0:f>
        <ns0:v>131534.3237972869</ns0:v>
      </ns0:c>
      <ns0:c r="T262" s="7">
        <ns0:f>R262+S262</ns0:f>
        <ns0:v>542303.057803489</ns0:v>
      </ns0:c>
      <ns0:c r="U262" s="16">
        <ns0:f>P262-E262*'前提と出典'!$E$5</ns0:f>
        <ns0:v>360847.161862507</ns0:v>
      </ns0:c>
      <ns0:c r="V262" s="16">
        <ns0:f>Q262-F262*'前提と出典'!$E$5</ns0:f>
        <ns0:v>111941.92042092344</ns0:v>
      </ns0:c>
      <ns0:c r="W262" s="7">
        <ns0:f>U262+V262</ns0:f>
        <ns0:v>472789.08228343044</ns0:v>
      </ns0:c>
      <ns0:c r="X262" s="16">
        <ns0:f>P262-E262*'前提と出典'!$E$6</ns0:f>
        <ns0:v>310925.589718812</ns0:v>
      </ns0:c>
      <ns0:c r="Y262" s="16">
        <ns0:f>Q262-F262*'前提と出典'!$E$6</ns0:f>
        <ns0:v>92349.51704456011</ns0:v>
      </ns0:c>
      <ns0:c r="Z262" s="7">
        <ns0:f>X262+Y262</ns0:f>
        <ns0:v>403275.10676337214</ns0:v>
      </ns0:c>
      <ns0:c r="AA262" s="7">
        <ns0:f>IF(T262&gt;=0,A262,1001)</ns0:f>
        <ns0:v>258</ns0:v>
      </ns0:c>
      <ns0:c r="AB262" s="7">
        <ns0:f>IF(T262&lt;0,A262,0)</ns0:f>
        <ns0:v>0</ns0:v>
      </ns0:c>
      <ns0:c r="AC262" s="16">
        <ns0:f>IF(AND(OR('前提と出典'!$C$36+'前提と出典'!$C$38=0,R262&gt;=0),OR('前提と出典'!$C$37+'前提と出典'!$C$38=0,S262&gt;=0)),0,A262)</ns0:f>
        <ns0:v>0</ns0:v>
      </ns0:c>
      <ns0:c r="AD262" s="7">
        <ns0:f>IF(W262&gt;=0,A262,1001)</ns0:f>
        <ns0:v>258</ns0:v>
      </ns0:c>
      <ns0:c r="AE262" s="7">
        <ns0:f>IF(W262&lt;0,A262,0)</ns0:f>
        <ns0:v>0</ns0:v>
      </ns0:c>
      <ns0:c r="AF262" s="16">
        <ns0:f>IF(AND(OR('前提と出典'!$C$36+'前提と出典'!$C$38=0,U262&gt;=0),OR('前提と出典'!$C$37+'前提と出典'!$C$38=0,V262&gt;=0)),0,A262)</ns0:f>
        <ns0:v>0</ns0:v>
      </ns0:c>
      <ns0:c r="AG262" s="7">
        <ns0:f>IF(Z262&gt;=0,A262,1001)</ns0:f>
        <ns0:v>258</ns0:v>
      </ns0:c>
      <ns0:c r="AH262" s="4">
        <ns0:f>IF(Z262&lt;0,A262,0)</ns0:f>
        <ns0:v>0</ns0:v>
      </ns0:c>
      <ns0:c r="AI262" s="12">
        <ns0:f>IF(AND(OR('前提と出典'!$C$36+'前提と出典'!$C$38=0,X262&gt;=0),OR('前提と出典'!$C$37+'前提と出典'!$C$38=0,Y262&gt;=0)),0,A262)</ns0:f>
        <ns0:v>0</ns0:v>
      </ns0:c>
    </ns0:row>
    <ns0:row r="263" ht="24" customHeight="1">
      <ns0:c r="A263" s="4" t="n">
        <ns0:v>259</ns0:v>
      </ns0:c>
      <ns0:c r="B263" s="12">
        <ns0:f>A263*('前提と出典'!$C$36+'前提と出典'!$C$38)</ns0:f>
        <ns0:v>181.29999999999998</ns0:v>
      </ns0:c>
      <ns0:c r="C263" s="12">
        <ns0:f>A263*('前提と出典'!$C$37+'前提と出典'!$C$38)</ns0:f>
        <ns0:v>155.4</ns0:v>
      </ns0:c>
      <ns0:c r="D263" s="16">
        <ns0:f>A263*('前提と出典'!$C$36*'契約別単価'!C5+'前提と出典'!$C$37*'契約別単価'!C6+'前提と出典'!$C$38*'契約別単価'!C7)</ns0:f>
        <ns0:v>1863.6424581005585</ns0:v>
      </ns0:c>
      <ns0:c r="E263" s="16">
        <ns0:f>A263*('前提と出典'!$C$36*'契約別単価'!E5+'前提と出典'!$C$37*'契約別単価'!E6+'前提と出典'!$C$38*'契約別単価'!E7)</ns0:f>
        <ns0:v>501150.66609368275</ns0:v>
      </ns0:c>
      <ns0:c r="F263" s="16">
        <ns0:f>A263*('前提と出典'!$C$36*'契約別単価'!F5+'前提と出典'!$C$37*'契約別単価'!F6+'前提と出典'!$C$38*'契約別単価'!F7)</ns0:f>
        <ns0:v>196683.42924333742</ns0:v>
      </ns0:c>
      <ns0:c r="G263" s="16">
        <ns0:f>A263*('前提と出典'!$C$36*'契約別単価'!G5+'前提と出典'!$C$37*'契約別単価'!G6+'前提と出典'!$C$38*'契約別単価'!G7)</ns0:f>
        <ns0:v>515540.2234636871</ns0:v>
      </ns0:c>
      <ns0:c r="H263" s="16">
        <ns0:f>A263*('前提と出典'!$C$36*'契約別単価'!H5+'前提と出典'!$C$37*'契約別単価'!H6+'前提と出典'!$C$38*'契約別単価'!H7)</ns0:f>
        <ns0:v>178918.3139159484</ns0:v>
      </ns0:c>
      <ns0:c r="I263" s="16">
        <ns0:f>A263*('前提と出典'!$C$36*'契約別単価'!I5+'前提と出典'!$C$37*'契約別単価'!I6+'前提と出典'!$C$38*'契約別単価'!I7)</ns0:f>
        <ns0:v>10928.642458100558</ns0:v>
      </ns0:c>
      <ns0:c r="J263" s="16">
        <ns0:f>A263*('前提と出典'!$C$36*'契約別単価'!J5+'前提と出典'!$C$37*'契約別単価'!J6+'前提と出典'!$C$38*'契約別単価'!J7)</ns0:f>
        <ns0:v>25456.991820968364</ns0:v>
      </ns0:c>
      <ns0:c r="K263" s="16">
        <ns0:f>A263*('前提と出典'!$C$36*'契約別単価'!K5+'前提と出典'!$C$37*'契約別単価'!K6+'前提と出典'!$C$38*'契約別単価'!K7)</ns0:f>
        <ns0:v>109117.61638733705</ns0:v>
      </ns0:c>
      <ns0:c r="L263" s="16">
        <ns0:f>A263*('前提と出典'!$C$36*'契約別単価'!L5+'前提と出典'!$C$37*'契約別単価'!L6+'前提と出典'!$C$38*'契約別単価'!L7)</ns0:f>
        <ns0:v>88843.94379719828</ns0:v>
      </ns0:c>
      <ns0:c r="M263" s="16">
        <ns0:f>IF(('前提と出典'!$C$36+'前提と出典'!$C$38)=0,0,IF(B263&lt;=10,'前提と出典'!B73+'前提と出典'!C73,IF(B263&lt;=100,'前提と出典'!B74+'前提と出典'!C74,IF(B263&lt;=500,'前提と出典'!B75+'前提と出典'!C75,'前提と出典'!B76+'前提と出典'!C76))))</ns0:f>
        <ns0:v>40000</ns0:v>
      </ns0:c>
      <ns0:c r="N263" s="16">
        <ns0:f>IF(('前提と出典'!$C$37+'前提と出典'!$C$38)=0,0,IF(C263&lt;=10,'前提と出典'!D73+'前提と出典'!E73,IF(C263&lt;=100,'前提と出典'!D74+'前提と出典'!E74,IF(C263&lt;=500,'前提と出典'!D75+'前提と出典'!E75,'前提と出典'!D76+'前提と出典'!E76))))</ns0:f>
        <ns0:v>56510.9346263078</ns0:v>
      </ns0:c>
      <ns0:c r="O263" s="16">
        <ns0:f>IF('前提と出典'!$C$36+'前提と出典'!$C$38=0,0,'前提と出典'!$B$4*IF('前提と出典'!$B$20=0,MAX('前提と出典'!$B$6,D263*'前提と出典'!$B$5),'前提と出典'!$B$6+D263*'前提と出典'!$B$5))</ns0:f>
        <ns0:v>257182.6592178771</ns0:v>
      </ns0:c>
      <ns0:c r="P263" s="16">
        <ns0:f>(E263+G263)*(1-'前提と出典'!$B$7)-I263-K263-M263-O263</ns0:f>
        <ns0:v>562861.0994699898</ns0:v>
      </ns0:c>
      <ns0:c r="Q263" s="16">
        <ns0:f>(F263+H263)*(1-'前提と出典'!$B$7)-J263-L263-N263</ns0:f>
        <ns0:v>191268.21016107715</ns0:v>
      </ns0:c>
      <ns0:c r="R263" s="16">
        <ns0:f>P263-E263*'前提と出典'!$E$4</ns0:f>
        <ns0:v>412515.89964188496</ns0:v>
      </ns0:c>
      <ns0:c r="S263" s="16">
        <ns0:f>Q263-F263*'前提と出典'!$E$4</ns0:f>
        <ns0:v>132263.18138807593</ns0:v>
      </ns0:c>
      <ns0:c r="T263" s="7">
        <ns0:f>R263+S263</ns0:f>
        <ns0:v>544779.0810299609</ns0:v>
      </ns0:c>
      <ns0:c r="U263" s="16">
        <ns0:f>P263-E263*'前提と出典'!$E$5</ns0:f>
        <ns0:v>362400.83303251665</ns0:v>
      </ns0:c>
      <ns0:c r="V263" s="16">
        <ns0:f>Q263-F263*'前提と出典'!$E$5</ns0:f>
        <ns0:v>112594.83846374217</ns0:v>
      </ns0:c>
      <ns0:c r="W263" s="7">
        <ns0:f>U263+V263</ns0:f>
        <ns0:v>474995.6714962588</ns0:v>
      </ns0:c>
      <ns0:c r="X263" s="16">
        <ns0:f>P263-E263*'前提と出典'!$E$6</ns0:f>
        <ns0:v>312285.76642314845</ns0:v>
      </ns0:c>
      <ns0:c r="Y263" s="16">
        <ns0:f>Q263-F263*'前提と出典'!$E$6</ns0:f>
        <ns0:v>92926.49553940847</ns0:v>
      </ns0:c>
      <ns0:c r="Z263" s="7">
        <ns0:f>X263+Y263</ns0:f>
        <ns0:v>405212.2619625569</ns0:v>
      </ns0:c>
      <ns0:c r="AA263" s="7">
        <ns0:f>IF(T263&gt;=0,A263,1001)</ns0:f>
        <ns0:v>259</ns0:v>
      </ns0:c>
      <ns0:c r="AB263" s="7">
        <ns0:f>IF(T263&lt;0,A263,0)</ns0:f>
        <ns0:v>0</ns0:v>
      </ns0:c>
      <ns0:c r="AC263" s="16">
        <ns0:f>IF(AND(OR('前提と出典'!$C$36+'前提と出典'!$C$38=0,R263&gt;=0),OR('前提と出典'!$C$37+'前提と出典'!$C$38=0,S263&gt;=0)),0,A263)</ns0:f>
        <ns0:v>0</ns0:v>
      </ns0:c>
      <ns0:c r="AD263" s="7">
        <ns0:f>IF(W263&gt;=0,A263,1001)</ns0:f>
        <ns0:v>259</ns0:v>
      </ns0:c>
      <ns0:c r="AE263" s="7">
        <ns0:f>IF(W263&lt;0,A263,0)</ns0:f>
        <ns0:v>0</ns0:v>
      </ns0:c>
      <ns0:c r="AF263" s="16">
        <ns0:f>IF(AND(OR('前提と出典'!$C$36+'前提と出典'!$C$38=0,U263&gt;=0),OR('前提と出典'!$C$37+'前提と出典'!$C$38=0,V263&gt;=0)),0,A263)</ns0:f>
        <ns0:v>0</ns0:v>
      </ns0:c>
      <ns0:c r="AG263" s="7">
        <ns0:f>IF(Z263&gt;=0,A263,1001)</ns0:f>
        <ns0:v>259</ns0:v>
      </ns0:c>
      <ns0:c r="AH263" s="4">
        <ns0:f>IF(Z263&lt;0,A263,0)</ns0:f>
        <ns0:v>0</ns0:v>
      </ns0:c>
      <ns0:c r="AI263" s="12">
        <ns0:f>IF(AND(OR('前提と出典'!$C$36+'前提と出典'!$C$38=0,X263&gt;=0),OR('前提と出典'!$C$37+'前提と出典'!$C$38=0,Y263&gt;=0)),0,A263)</ns0:f>
        <ns0:v>0</ns0:v>
      </ns0:c>
    </ns0:row>
    <ns0:row r="264" ht="24" customHeight="1">
      <ns0:c r="A264" s="4" t="n">
        <ns0:v>260</ns0:v>
      </ns0:c>
      <ns0:c r="B264" s="12">
        <ns0:f>A264*('前提と出典'!$C$36+'前提と出典'!$C$38)</ns0:f>
        <ns0:v>182</ns0:v>
      </ns0:c>
      <ns0:c r="C264" s="12">
        <ns0:f>A264*('前提と出典'!$C$37+'前提と出典'!$C$38)</ns0:f>
        <ns0:v>156</ns0:v>
      </ns0:c>
      <ns0:c r="D264" s="16">
        <ns0:f>A264*('前提と出典'!$C$36*'契約別単価'!C5+'前提と出典'!$C$37*'契約別単価'!C6+'前提と出典'!$C$38*'契約別単価'!C7)</ns0:f>
        <ns0:v>1870.8379888268157</ns0:v>
      </ns0:c>
      <ns0:c r="E264" s="16">
        <ns0:f>A264*('前提と出典'!$C$36*'契約別単価'!E5+'前提と出典'!$C$37*'契約別単価'!E6+'前提と出典'!$C$38*'契約別単価'!E7)</ns0:f>
        <ns0:v>503085.61075041513</ns0:v>
      </ns0:c>
      <ns0:c r="F264" s="16">
        <ns0:f>A264*('前提と出典'!$C$36*'契約別単価'!F5+'前提と出典'!$C$37*'契約別単価'!F6+'前提と出典'!$C$38*'契約別単価'!F7)</ns0:f>
        <ns0:v>197442.82472304144</ns0:v>
      </ns0:c>
      <ns0:c r="G264" s="16">
        <ns0:f>A264*('前提と出典'!$C$36*'契約別単価'!G5+'前提と出典'!$C$37*'契約別単価'!G6+'前提と出典'!$C$38*'契約別単価'!G7)</ns0:f>
        <ns0:v>517530.72625698324</ns0:v>
      </ns0:c>
      <ns0:c r="H264" s="16">
        <ns0:f>A264*('前提と出典'!$C$36*'契約別単価'!H5+'前提と出典'!$C$37*'契約別単価'!H6+'前提と出典'!$C$38*'契約別単価'!H7)</ns0:f>
        <ns0:v>179609.1182167822</ns0:v>
      </ns0:c>
      <ns0:c r="I264" s="16">
        <ns0:f>A264*('前提と出典'!$C$36*'契約別単価'!I5+'前提と出典'!$C$37*'契約別単価'!I6+'前提と出典'!$C$38*'契約別単価'!I7)</ns0:f>
        <ns0:v>10970.837988826814</ns0:v>
      </ns0:c>
      <ns0:c r="J264" s="16">
        <ns0:f>A264*('前提と出典'!$C$36*'契約別単価'!J5+'前提と出典'!$C$37*'契約別単価'!J6+'前提と出典'!$C$38*'契約別単価'!J7)</ns0:f>
        <ns0:v>25555.281364678667</ns0:v>
      </ns0:c>
      <ns0:c r="K264" s="16">
        <ns0:f>A264*('前提と出典'!$C$36*'契約別単価'!K5+'前提と出典'!$C$37*'契約別単価'!K6+'前提と出典'!$C$38*'契約別単価'!K7)</ns0:f>
        <ns0:v>109538.91992551209</ns0:v>
      </ns0:c>
      <ns0:c r="L264" s="16">
        <ns0:f>A264*('前提と出典'!$C$36*'契約別単価'!L5+'前提と出典'!$C$37*'契約別単価'!L6+'前提と出典'!$C$38*'契約別単価'!L7)</ns0:f>
        <ns0:v>89186.97060722607</ns0:v>
      </ns0:c>
      <ns0:c r="M264" s="16">
        <ns0:f>IF(('前提と出典'!$C$36+'前提と出典'!$C$38)=0,0,IF(B264&lt;=10,'前提と出典'!B73+'前提と出典'!C73,IF(B264&lt;=100,'前提と出典'!B74+'前提と出典'!C74,IF(B264&lt;=500,'前提と出典'!B75+'前提と出典'!C75,'前提と出典'!B76+'前提と出典'!C76))))</ns0:f>
        <ns0:v>40000</ns0:v>
      </ns0:c>
      <ns0:c r="N264" s="16">
        <ns0:f>IF(('前提と出典'!$C$37+'前提と出典'!$C$38)=0,0,IF(C264&lt;=10,'前提と出典'!D73+'前提と出典'!E73,IF(C264&lt;=100,'前提と出典'!D74+'前提と出典'!E74,IF(C264&lt;=500,'前提と出典'!D75+'前提と出典'!E75,'前提と出典'!D76+'前提と出典'!E76))))</ns0:f>
        <ns0:v>56510.9346263078</ns0:v>
      </ns0:c>
      <ns0:c r="O264" s="16">
        <ns0:f>IF('前提と出典'!$C$36+'前提と出典'!$C$38=0,0,'前提と出典'!$B$4*IF('前提と出典'!$B$20=0,MAX('前提と出典'!$B$6,D264*'前提と出典'!$B$5),'前提と出典'!$B$6+D264*'前提と出典'!$B$5))</ns0:f>
        <ns0:v>258175.64245810057</ns0:v>
      </ns0:c>
      <ns0:c r="P264" s="16">
        <ns0:f>(E264+G264)*(1-'前提と出典'!$B$7)-I264-K264-M264-O264</ns0:f>
        <ns0:v>565188.7485026927</ns0:v>
      </ns0:c>
      <ns0:c r="Q264" s="16">
        <ns0:f>(F264+H264)*(1-'前提と出典'!$B$7)-J264-L264-N264</ns0:f>
        <ns0:v>192224.88639577746</ns0:v>
      </ns0:c>
      <ns0:c r="R264" s="16">
        <ns0:f>P264-E264*'前提と出典'!$E$4</ns0:f>
        <ns0:v>414263.0652775682</ns0:v>
      </ns0:c>
      <ns0:c r="S264" s="16">
        <ns0:f>Q264-F264*'前提と出典'!$E$4</ns0:f>
        <ns0:v>132992.03897886496</ns0:v>
      </ns0:c>
      <ns0:c r="T264" s="7">
        <ns0:f>R264+S264</ns0:f>
        <ns0:v>547255.1042564332</ns0:v>
      </ns0:c>
      <ns0:c r="U264" s="16">
        <ns0:f>P264-E264*'前提と出典'!$E$5</ns0:f>
        <ns0:v>363954.50420252664</ns0:v>
      </ns0:c>
      <ns0:c r="V264" s="16">
        <ns0:f>Q264-F264*'前提と出典'!$E$5</ns0:f>
        <ns0:v>113247.75650656087</ns0:v>
      </ns0:c>
      <ns0:c r="W264" s="7">
        <ns0:f>U264+V264</ns0:f>
        <ns0:v>477202.2607090875</ns0:v>
      </ns0:c>
      <ns0:c r="X264" s="16">
        <ns0:f>P264-E264*'前提と出典'!$E$6</ns0:f>
        <ns0:v>313645.9431274851</ns0:v>
      </ns0:c>
      <ns0:c r="Y264" s="16">
        <ns0:f>Q264-F264*'前提と出典'!$E$6</ns0:f>
        <ns0:v>93503.47403425674</ns0:v>
      </ns0:c>
      <ns0:c r="Z264" s="7">
        <ns0:f>X264+Y264</ns0:f>
        <ns0:v>407149.4171617419</ns0:v>
      </ns0:c>
      <ns0:c r="AA264" s="7">
        <ns0:f>IF(T264&gt;=0,A264,1001)</ns0:f>
        <ns0:v>260</ns0:v>
      </ns0:c>
      <ns0:c r="AB264" s="7">
        <ns0:f>IF(T264&lt;0,A264,0)</ns0:f>
        <ns0:v>0</ns0:v>
      </ns0:c>
      <ns0:c r="AC264" s="16">
        <ns0:f>IF(AND(OR('前提と出典'!$C$36+'前提と出典'!$C$38=0,R264&gt;=0),OR('前提と出典'!$C$37+'前提と出典'!$C$38=0,S264&gt;=0)),0,A264)</ns0:f>
        <ns0:v>0</ns0:v>
      </ns0:c>
      <ns0:c r="AD264" s="7">
        <ns0:f>IF(W264&gt;=0,A264,1001)</ns0:f>
        <ns0:v>260</ns0:v>
      </ns0:c>
      <ns0:c r="AE264" s="7">
        <ns0:f>IF(W264&lt;0,A264,0)</ns0:f>
        <ns0:v>0</ns0:v>
      </ns0:c>
      <ns0:c r="AF264" s="16">
        <ns0:f>IF(AND(OR('前提と出典'!$C$36+'前提と出典'!$C$38=0,U264&gt;=0),OR('前提と出典'!$C$37+'前提と出典'!$C$38=0,V264&gt;=0)),0,A264)</ns0:f>
        <ns0:v>0</ns0:v>
      </ns0:c>
      <ns0:c r="AG264" s="7">
        <ns0:f>IF(Z264&gt;=0,A264,1001)</ns0:f>
        <ns0:v>260</ns0:v>
      </ns0:c>
      <ns0:c r="AH264" s="4">
        <ns0:f>IF(Z264&lt;0,A264,0)</ns0:f>
        <ns0:v>0</ns0:v>
      </ns0:c>
      <ns0:c r="AI264" s="12">
        <ns0:f>IF(AND(OR('前提と出典'!$C$36+'前提と出典'!$C$38=0,X264&gt;=0),OR('前提と出典'!$C$37+'前提と出典'!$C$38=0,Y264&gt;=0)),0,A264)</ns0:f>
        <ns0:v>0</ns0:v>
      </ns0:c>
    </ns0:row>
    <ns0:row r="265" ht="24" customHeight="1">
      <ns0:c r="A265" s="4" t="n">
        <ns0:v>261</ns0:v>
      </ns0:c>
      <ns0:c r="B265" s="12">
        <ns0:f>A265*('前提と出典'!$C$36+'前提と出典'!$C$38)</ns0:f>
        <ns0:v>182.7</ns0:v>
      </ns0:c>
      <ns0:c r="C265" s="12">
        <ns0:f>A265*('前提と出典'!$C$37+'前提と出典'!$C$38)</ns0:f>
        <ns0:v>156.6</ns0:v>
      </ns0:c>
      <ns0:c r="D265" s="16">
        <ns0:f>A265*('前提と出典'!$C$36*'契約別単価'!C5+'前提と出典'!$C$37*'契約別単価'!C6+'前提と出典'!$C$38*'契約別単価'!C7)</ns0:f>
        <ns0:v>1878.0335195530727</ns0:v>
      </ns0:c>
      <ns0:c r="E265" s="16">
        <ns0:f>A265*('前提と出典'!$C$36*'契約別単価'!E5+'前提と出典'!$C$37*'契約別単価'!E6+'前提と出典'!$C$38*'契約別単価'!E7)</ns0:f>
        <ns0:v>505020.5554071475</ns0:v>
      </ns0:c>
      <ns0:c r="F265" s="16">
        <ns0:f>A265*('前提と出典'!$C$36*'契約別単価'!F5+'前提と出典'!$C$37*'契約別単価'!F6+'前提と出典'!$C$38*'契約別単価'!F7)</ns0:f>
        <ns0:v>198202.22020274543</ns0:v>
      </ns0:c>
      <ns0:c r="G265" s="16">
        <ns0:f>A265*('前提と出典'!$C$36*'契約別単価'!G5+'前提と出典'!$C$37*'契約別単価'!G6+'前提と出典'!$C$38*'契約別単価'!G7)</ns0:f>
        <ns0:v>519521.2290502793</ns0:v>
      </ns0:c>
      <ns0:c r="H265" s="16">
        <ns0:f>A265*('前提と出典'!$C$36*'契約別単価'!H5+'前提と出典'!$C$37*'契約別単価'!H6+'前提と出典'!$C$38*'契約別単価'!H7)</ns0:f>
        <ns0:v>180299.92251761598</ns0:v>
      </ns0:c>
      <ns0:c r="I265" s="16">
        <ns0:f>A265*('前提と出典'!$C$36*'契約別単価'!I5+'前提と出典'!$C$37*'契約別単価'!I6+'前提と出典'!$C$38*'契約別単価'!I7)</ns0:f>
        <ns0:v>11013.033519553072</ns0:v>
      </ns0:c>
      <ns0:c r="J265" s="16">
        <ns0:f>A265*('前提と出典'!$C$36*'契約別単価'!J5+'前提と出典'!$C$37*'契約別単価'!J6+'前提と出典'!$C$38*'契約別単価'!J7)</ns0:f>
        <ns0:v>25653.57090838897</ns0:v>
      </ns0:c>
      <ns0:c r="K265" s="16">
        <ns0:f>A265*('前提と出典'!$C$36*'契約別単価'!K5+'前提と出典'!$C$37*'契約別単価'!K6+'前提と出典'!$C$38*'契約別単価'!K7)</ns0:f>
        <ns0:v>109960.22346368714</ns0:v>
      </ns0:c>
      <ns0:c r="L265" s="16">
        <ns0:f>A265*('前提と出典'!$C$36*'契約別単価'!L5+'前提と出典'!$C$37*'契約別単価'!L6+'前提と出典'!$C$38*'契約別単価'!L7)</ns0:f>
        <ns0:v>89529.99741725386</ns0:v>
      </ns0:c>
      <ns0:c r="M265" s="16">
        <ns0:f>IF(('前提と出典'!$C$36+'前提と出典'!$C$38)=0,0,IF(B265&lt;=10,'前提と出典'!B73+'前提と出典'!C73,IF(B265&lt;=100,'前提と出典'!B74+'前提と出典'!C74,IF(B265&lt;=500,'前提と出典'!B75+'前提と出典'!C75,'前提と出典'!B76+'前提と出典'!C76))))</ns0:f>
        <ns0:v>40000</ns0:v>
      </ns0:c>
      <ns0:c r="N265" s="16">
        <ns0:f>IF(('前提と出典'!$C$37+'前提と出典'!$C$38)=0,0,IF(C265&lt;=10,'前提と出典'!D73+'前提と出典'!E73,IF(C265&lt;=100,'前提と出典'!D74+'前提と出典'!E74,IF(C265&lt;=500,'前提と出典'!D75+'前提と出典'!E75,'前提と出典'!D76+'前提と出典'!E76))))</ns0:f>
        <ns0:v>56510.9346263078</ns0:v>
      </ns0:c>
      <ns0:c r="O265" s="16">
        <ns0:f>IF('前提と出典'!$C$36+'前提と出典'!$C$38=0,0,'前提と出典'!$B$4*IF('前提と出典'!$B$20=0,MAX('前提と出典'!$B$6,D265*'前提と出典'!$B$5),'前提と出典'!$B$6+D265*'前提と出典'!$B$5))</ns0:f>
        <ns0:v>259168.62569832406</ns0:v>
      </ns0:c>
      <ns0:c r="P265" s="16">
        <ns0:f>(E265+G265)*(1-'前提と出典'!$B$7)-I265-K265-M265-O265</ns0:f>
        <ns0:v>567516.3975353952</ns0:v>
      </ns0:c>
      <ns0:c r="Q265" s="16">
        <ns0:f>(F265+H265)*(1-'前提と出典'!$B$7)-J265-L265-N265</ns0:f>
        <ns0:v>193181.5626304778</ns0:v>
      </ns0:c>
      <ns0:c r="R265" s="16">
        <ns0:f>P265-E265*'前提と出典'!$E$4</ns0:f>
        <ns0:v>416010.23091325094</ns0:v>
      </ns0:c>
      <ns0:c r="S265" s="16">
        <ns0:f>Q265-F265*'前提と出典'!$E$4</ns0:f>
        <ns0:v>133720.8965696541</ns0:v>
      </ns0:c>
      <ns0:c r="T265" s="7">
        <ns0:f>R265+S265</ns0:f>
        <ns0:v>549731.127482905</ns0:v>
      </ns0:c>
      <ns0:c r="U265" s="16">
        <ns0:f>P265-E265*'前提と出典'!$E$5</ns0:f>
        <ns0:v>365508.1753725362</ns0:v>
      </ns0:c>
      <ns0:c r="V265" s="16">
        <ns0:f>Q265-F265*'前提と出典'!$E$5</ns0:f>
        <ns0:v>113900.67454937962</ns0:v>
      </ns0:c>
      <ns0:c r="W265" s="7">
        <ns0:f>U265+V265</ns0:f>
        <ns0:v>479408.8499219158</ns0:v>
      </ns0:c>
      <ns0:c r="X265" s="16">
        <ns0:f>P265-E265*'前提と出典'!$E$6</ns0:f>
        <ns0:v>315006.11983182153</ns0:v>
      </ns0:c>
      <ns0:c r="Y265" s="16">
        <ns0:f>Q265-F265*'前提と出典'!$E$6</ns0:f>
        <ns0:v>94080.45252910507</ns0:v>
      </ns0:c>
      <ns0:c r="Z265" s="7">
        <ns0:f>X265+Y265</ns0:f>
        <ns0:v>409086.5723609266</ns0:v>
      </ns0:c>
      <ns0:c r="AA265" s="7">
        <ns0:f>IF(T265&gt;=0,A265,1001)</ns0:f>
        <ns0:v>261</ns0:v>
      </ns0:c>
      <ns0:c r="AB265" s="7">
        <ns0:f>IF(T265&lt;0,A265,0)</ns0:f>
        <ns0:v>0</ns0:v>
      </ns0:c>
      <ns0:c r="AC265" s="16">
        <ns0:f>IF(AND(OR('前提と出典'!$C$36+'前提と出典'!$C$38=0,R265&gt;=0),OR('前提と出典'!$C$37+'前提と出典'!$C$38=0,S265&gt;=0)),0,A265)</ns0:f>
        <ns0:v>0</ns0:v>
      </ns0:c>
      <ns0:c r="AD265" s="7">
        <ns0:f>IF(W265&gt;=0,A265,1001)</ns0:f>
        <ns0:v>261</ns0:v>
      </ns0:c>
      <ns0:c r="AE265" s="7">
        <ns0:f>IF(W265&lt;0,A265,0)</ns0:f>
        <ns0:v>0</ns0:v>
      </ns0:c>
      <ns0:c r="AF265" s="16">
        <ns0:f>IF(AND(OR('前提と出典'!$C$36+'前提と出典'!$C$38=0,U265&gt;=0),OR('前提と出典'!$C$37+'前提と出典'!$C$38=0,V265&gt;=0)),0,A265)</ns0:f>
        <ns0:v>0</ns0:v>
      </ns0:c>
      <ns0:c r="AG265" s="7">
        <ns0:f>IF(Z265&gt;=0,A265,1001)</ns0:f>
        <ns0:v>261</ns0:v>
      </ns0:c>
      <ns0:c r="AH265" s="4">
        <ns0:f>IF(Z265&lt;0,A265,0)</ns0:f>
        <ns0:v>0</ns0:v>
      </ns0:c>
      <ns0:c r="AI265" s="12">
        <ns0:f>IF(AND(OR('前提と出典'!$C$36+'前提と出典'!$C$38=0,X265&gt;=0),OR('前提と出典'!$C$37+'前提と出典'!$C$38=0,Y265&gt;=0)),0,A265)</ns0:f>
        <ns0:v>0</ns0:v>
      </ns0:c>
    </ns0:row>
    <ns0:row r="266" ht="24" customHeight="1">
      <ns0:c r="A266" s="4" t="n">
        <ns0:v>262</ns0:v>
      </ns0:c>
      <ns0:c r="B266" s="12">
        <ns0:f>A266*('前提と出典'!$C$36+'前提と出典'!$C$38)</ns0:f>
        <ns0:v>183.39999999999998</ns0:v>
      </ns0:c>
      <ns0:c r="C266" s="12">
        <ns0:f>A266*('前提と出典'!$C$37+'前提と出典'!$C$38)</ns0:f>
        <ns0:v>157.2</ns0:v>
      </ns0:c>
      <ns0:c r="D266" s="16">
        <ns0:f>A266*('前提と出典'!$C$36*'契約別単価'!C5+'前提と出典'!$C$37*'契約別単価'!C6+'前提と出典'!$C$38*'契約別単価'!C7)</ns0:f>
        <ns0:v>1885.2290502793296</ns0:v>
      </ns0:c>
      <ns0:c r="E266" s="16">
        <ns0:f>A266*('前提と出典'!$C$36*'契約別単価'!E5+'前提と出典'!$C$37*'契約別単価'!E6+'前提と出典'!$C$38*'契約別単価'!E7)</ns0:f>
        <ns0:v>506955.5000638799</ns0:v>
      </ns0:c>
      <ns0:c r="F266" s="16">
        <ns0:f>A266*('前提と出典'!$C$36*'契約別単価'!F5+'前提と出典'!$C$37*'契約別単価'!F6+'前提と出典'!$C$38*'契約別単価'!F7)</ns0:f>
        <ns0:v>198961.61568244945</ns0:v>
      </ns0:c>
      <ns0:c r="G266" s="16">
        <ns0:f>A266*('前提と出典'!$C$36*'契約別単価'!G5+'前提と出典'!$C$37*'契約別単価'!G6+'前提と出典'!$C$38*'契約別単価'!G7)</ns0:f>
        <ns0:v>521511.73184357537</ns0:v>
      </ns0:c>
      <ns0:c r="H266" s="16">
        <ns0:f>A266*('前提と出典'!$C$36*'契約別単価'!H5+'前提と出典'!$C$37*'契約別単価'!H6+'前提と出典'!$C$38*'契約別単価'!H7)</ns0:f>
        <ns0:v>180990.72681844977</ns0:v>
      </ns0:c>
      <ns0:c r="I266" s="16">
        <ns0:f>A266*('前提と出典'!$C$36*'契約別単価'!I5+'前提と出典'!$C$37*'契約別単価'!I6+'前提と出典'!$C$38*'契約別単価'!I7)</ns0:f>
        <ns0:v>11055.229050279328</ns0:v>
      </ns0:c>
      <ns0:c r="J266" s="16">
        <ns0:f>A266*('前提と出典'!$C$36*'契約別単価'!J5+'前提と出典'!$C$37*'契約別単価'!J6+'前提と出典'!$C$38*'契約別単価'!J7)</ns0:f>
        <ns0:v>25751.860452099274</ns0:v>
      </ns0:c>
      <ns0:c r="K266" s="16">
        <ns0:f>A266*('前提と出典'!$C$36*'契約別単価'!K5+'前提と出典'!$C$37*'契約別単価'!K6+'前提と出典'!$C$38*'契約別単価'!K7)</ns0:f>
        <ns0:v>110381.5270018622</ns0:v>
      </ns0:c>
      <ns0:c r="L266" s="16">
        <ns0:f>A266*('前提と出典'!$C$36*'契約別単価'!L5+'前提と出典'!$C$37*'契約別単価'!L6+'前提と出典'!$C$38*'契約別単価'!L7)</ns0:f>
        <ns0:v>89873.02422728165</ns0:v>
      </ns0:c>
      <ns0:c r="M266" s="16">
        <ns0:f>IF(('前提と出典'!$C$36+'前提と出典'!$C$38)=0,0,IF(B266&lt;=10,'前提と出典'!B73+'前提と出典'!C73,IF(B266&lt;=100,'前提と出典'!B74+'前提と出典'!C74,IF(B266&lt;=500,'前提と出典'!B75+'前提と出典'!C75,'前提と出典'!B76+'前提と出典'!C76))))</ns0:f>
        <ns0:v>40000</ns0:v>
      </ns0:c>
      <ns0:c r="N266" s="16">
        <ns0:f>IF(('前提と出典'!$C$37+'前提と出典'!$C$38)=0,0,IF(C266&lt;=10,'前提と出典'!D73+'前提と出典'!E73,IF(C266&lt;=100,'前提と出典'!D74+'前提と出典'!E74,IF(C266&lt;=500,'前提と出典'!D75+'前提と出典'!E75,'前提と出典'!D76+'前提と出典'!E76))))</ns0:f>
        <ns0:v>56510.9346263078</ns0:v>
      </ns0:c>
      <ns0:c r="O266" s="16">
        <ns0:f>IF('前提と出典'!$C$36+'前提と出典'!$C$38=0,0,'前提と出典'!$B$4*IF('前提と出典'!$B$20=0,MAX('前提と出典'!$B$6,D266*'前提と出典'!$B$5),'前提と出典'!$B$6+D266*'前提と出典'!$B$5))</ns0:f>
        <ns0:v>260161.6089385475</ns0:v>
      </ns0:c>
      <ns0:c r="P266" s="16">
        <ns0:f>(E266+G266)*(1-'前提と出典'!$B$7)-I266-K266-M266-O266</ns0:f>
        <ns0:v>569844.0465680978</ns0:v>
      </ns0:c>
      <ns0:c r="Q266" s="16">
        <ns0:f>(F266+H266)*(1-'前提と出典'!$B$7)-J266-L266-N266</ns0:f>
        <ns0:v>194138.23886517814</ns0:v>
      </ns0:c>
      <ns0:c r="R266" s="16">
        <ns0:f>P266-E266*'前提と出典'!$E$4</ns0:f>
        <ns0:v>417757.3965489339</ns0:v>
      </ns0:c>
      <ns0:c r="S266" s="16">
        <ns0:f>Q266-F266*'前提と出典'!$E$4</ns0:f>
        <ns0:v>134449.7541604433</ns0:v>
      </ns0:c>
      <ns0:c r="T266" s="7">
        <ns0:f>R266+S266</ns0:f>
        <ns0:v>552207.1507093771</ns0:v>
      </ns0:c>
      <ns0:c r="U266" s="16">
        <ns0:f>P266-E266*'前提と出典'!$E$5</ns0:f>
        <ns0:v>367061.8465425459</ns0:v>
      </ns0:c>
      <ns0:c r="V266" s="16">
        <ns0:f>Q266-F266*'前提と出典'!$E$5</ns0:f>
        <ns0:v>114553.59259219834</ns0:v>
      </ns0:c>
      <ns0:c r="W266" s="7">
        <ns0:f>U266+V266</ns0:f>
        <ns0:v>481615.4391347442</ns0:v>
      </ns0:c>
      <ns0:c r="X266" s="16">
        <ns0:f>P266-E266*'前提と出典'!$E$6</ns0:f>
        <ns0:v>316366.2965361579</ns0:v>
      </ns0:c>
      <ns0:c r="Y266" s="16">
        <ns0:f>Q266-F266*'前提と出典'!$E$6</ns0:f>
        <ns0:v>94657.43102395342</ns0:v>
      </ns0:c>
      <ns0:c r="Z266" s="7">
        <ns0:f>X266+Y266</ns0:f>
        <ns0:v>411023.7275601113</ns0:v>
      </ns0:c>
      <ns0:c r="AA266" s="7">
        <ns0:f>IF(T266&gt;=0,A266,1001)</ns0:f>
        <ns0:v>262</ns0:v>
      </ns0:c>
      <ns0:c r="AB266" s="7">
        <ns0:f>IF(T266&lt;0,A266,0)</ns0:f>
        <ns0:v>0</ns0:v>
      </ns0:c>
      <ns0:c r="AC266" s="16">
        <ns0:f>IF(AND(OR('前提と出典'!$C$36+'前提と出典'!$C$38=0,R266&gt;=0),OR('前提と出典'!$C$37+'前提と出典'!$C$38=0,S266&gt;=0)),0,A266)</ns0:f>
        <ns0:v>0</ns0:v>
      </ns0:c>
      <ns0:c r="AD266" s="7">
        <ns0:f>IF(W266&gt;=0,A266,1001)</ns0:f>
        <ns0:v>262</ns0:v>
      </ns0:c>
      <ns0:c r="AE266" s="7">
        <ns0:f>IF(W266&lt;0,A266,0)</ns0:f>
        <ns0:v>0</ns0:v>
      </ns0:c>
      <ns0:c r="AF266" s="16">
        <ns0:f>IF(AND(OR('前提と出典'!$C$36+'前提と出典'!$C$38=0,U266&gt;=0),OR('前提と出典'!$C$37+'前提と出典'!$C$38=0,V266&gt;=0)),0,A266)</ns0:f>
        <ns0:v>0</ns0:v>
      </ns0:c>
      <ns0:c r="AG266" s="7">
        <ns0:f>IF(Z266&gt;=0,A266,1001)</ns0:f>
        <ns0:v>262</ns0:v>
      </ns0:c>
      <ns0:c r="AH266" s="4">
        <ns0:f>IF(Z266&lt;0,A266,0)</ns0:f>
        <ns0:v>0</ns0:v>
      </ns0:c>
      <ns0:c r="AI266" s="12">
        <ns0:f>IF(AND(OR('前提と出典'!$C$36+'前提と出典'!$C$38=0,X266&gt;=0),OR('前提と出典'!$C$37+'前提と出典'!$C$38=0,Y266&gt;=0)),0,A266)</ns0:f>
        <ns0:v>0</ns0:v>
      </ns0:c>
    </ns0:row>
    <ns0:row r="267" ht="24" customHeight="1">
      <ns0:c r="A267" s="4" t="n">
        <ns0:v>263</ns0:v>
      </ns0:c>
      <ns0:c r="B267" s="12">
        <ns0:f>A267*('前提と出典'!$C$36+'前提と出典'!$C$38)</ns0:f>
        <ns0:v>184.1</ns0:v>
      </ns0:c>
      <ns0:c r="C267" s="12">
        <ns0:f>A267*('前提と出典'!$C$37+'前提と出典'!$C$38)</ns0:f>
        <ns0:v>157.79999999999998</ns0:v>
      </ns0:c>
      <ns0:c r="D267" s="16">
        <ns0:f>A267*('前提と出典'!$C$36*'契約別単価'!C5+'前提と出典'!$C$37*'契約別単価'!C6+'前提と出典'!$C$38*'契約別単価'!C7)</ns0:f>
        <ns0:v>1892.4245810055866</ns0:v>
      </ns0:c>
      <ns0:c r="E267" s="16">
        <ns0:f>A267*('前提と出典'!$C$36*'契約別単価'!E5+'前提と出典'!$C$37*'契約別単価'!E6+'前提と出典'!$C$38*'契約別単価'!E7)</ns0:f>
        <ns0:v>508890.44472061226</ns0:v>
      </ns0:c>
      <ns0:c r="F267" s="16">
        <ns0:f>A267*('前提と出典'!$C$36*'契約別単価'!F5+'前提と出典'!$C$37*'契約別単価'!F6+'前提と出典'!$C$38*'契約別単価'!F7)</ns0:f>
        <ns0:v>199721.01116215345</ns0:v>
      </ns0:c>
      <ns0:c r="G267" s="16">
        <ns0:f>A267*('前提と出典'!$C$36*'契約別単価'!G5+'前提と出典'!$C$37*'契約別単価'!G6+'前提と出典'!$C$38*'契約別単価'!G7)</ns0:f>
        <ns0:v>523502.2346368715</ns0:v>
      </ns0:c>
      <ns0:c r="H267" s="16">
        <ns0:f>A267*('前提と出典'!$C$36*'契約別単価'!H5+'前提と出典'!$C$37*'契約別単価'!H6+'前提と出典'!$C$38*'契約別単価'!H7)</ns0:f>
        <ns0:v>181681.53111928352</ns0:v>
      </ns0:c>
      <ns0:c r="I267" s="16">
        <ns0:f>A267*('前提と出典'!$C$36*'契約別単価'!I5+'前提と出典'!$C$37*'契約別単価'!I6+'前提と出典'!$C$38*'契約別単価'!I7)</ns0:f>
        <ns0:v>11097.424581005585</ns0:v>
      </ns0:c>
      <ns0:c r="J267" s="16">
        <ns0:f>A267*('前提と出典'!$C$36*'契約別単価'!J5+'前提と出典'!$C$37*'契約別単価'!J6+'前提と出典'!$C$38*'契約別単価'!J7)</ns0:f>
        <ns0:v>25850.149995809574</ns0:v>
      </ns0:c>
      <ns0:c r="K267" s="16">
        <ns0:f>A267*('前提と出典'!$C$36*'契約別単価'!K5+'前提と出典'!$C$37*'契約別単価'!K6+'前提と出典'!$C$38*'契約別単価'!K7)</ns0:f>
        <ns0:v>110802.83054003723</ns0:v>
      </ns0:c>
      <ns0:c r="L267" s="16">
        <ns0:f>A267*('前提と出典'!$C$36*'契約別単価'!L5+'前提と出典'!$C$37*'契約別単価'!L6+'前提と出典'!$C$38*'契約別単価'!L7)</ns0:f>
        <ns0:v>90216.05103730944</ns0:v>
      </ns0:c>
      <ns0:c r="M267" s="16">
        <ns0:f>IF(('前提と出典'!$C$36+'前提と出典'!$C$38)=0,0,IF(B267&lt;=10,'前提と出典'!B73+'前提と出典'!C73,IF(B267&lt;=100,'前提と出典'!B74+'前提と出典'!C74,IF(B267&lt;=500,'前提と出典'!B75+'前提と出典'!C75,'前提と出典'!B76+'前提と出典'!C76))))</ns0:f>
        <ns0:v>40000</ns0:v>
      </ns0:c>
      <ns0:c r="N267" s="16">
        <ns0:f>IF(('前提と出典'!$C$37+'前提と出典'!$C$38)=0,0,IF(C267&lt;=10,'前提と出典'!D73+'前提と出典'!E73,IF(C267&lt;=100,'前提と出典'!D74+'前提と出典'!E74,IF(C267&lt;=500,'前提と出典'!D75+'前提と出典'!E75,'前提と出典'!D76+'前提と出典'!E76))))</ns0:f>
        <ns0:v>56510.9346263078</ns0:v>
      </ns0:c>
      <ns0:c r="O267" s="16">
        <ns0:f>IF('前提と出典'!$C$36+'前提と出典'!$C$38=0,0,'前提と出典'!$B$4*IF('前提と出典'!$B$20=0,MAX('前提と出典'!$B$6,D267*'前提と出典'!$B$5),'前提と出典'!$B$6+D267*'前提と出典'!$B$5))</ns0:f>
        <ns0:v>261154.59217877095</ns0:v>
      </ns0:c>
      <ns0:c r="P267" s="16">
        <ns0:f>(E267+G267)*(1-'前提と出典'!$B$7)-I267-K267-M267-O267</ns0:f>
        <ns0:v>572171.6956008007</ns0:v>
      </ns0:c>
      <ns0:c r="Q267" s="16">
        <ns0:f>(F267+H267)*(1-'前提と出典'!$B$7)-J267-L267-N267</ns0:f>
        <ns0:v>195094.91509987845</ns0:v>
      </ns0:c>
      <ns0:c r="R267" s="16">
        <ns0:f>P267-E267*'前提と出典'!$E$4</ns0:f>
        <ns0:v>419504.5621846169</ns0:v>
      </ns0:c>
      <ns0:c r="S267" s="16">
        <ns0:f>Q267-F267*'前提と出典'!$E$4</ns0:f>
        <ns0:v>135178.61175123235</ns0:v>
      </ns0:c>
      <ns0:c r="T267" s="7">
        <ns0:f>R267+S267</ns0:f>
        <ns0:v>554683.1739358492</ns0:v>
      </ns0:c>
      <ns0:c r="U267" s="16">
        <ns0:f>P267-E267*'前提と出典'!$E$5</ns0:f>
        <ns0:v>368615.5177125557</ns0:v>
      </ns0:c>
      <ns0:c r="V267" s="16">
        <ns0:f>Q267-F267*'前提と出典'!$E$5</ns0:f>
        <ns0:v>115206.51063501707</ns0:v>
      </ns0:c>
      <ns0:c r="W267" s="7">
        <ns0:f>U267+V267</ns0:f>
        <ns0:v>483822.0283475728</ns0:v>
      </ns0:c>
      <ns0:c r="X267" s="16">
        <ns0:f>P267-E267*'前提と出典'!$E$6</ns0:f>
        <ns0:v>317726.4732404944</ns0:v>
      </ns0:c>
      <ns0:c r="Y267" s="16">
        <ns0:f>Q267-F267*'前提と出典'!$E$6</ns0:f>
        <ns0:v>95234.40951880172</ns0:v>
      </ns0:c>
      <ns0:c r="Z267" s="7">
        <ns0:f>X267+Y267</ns0:f>
        <ns0:v>412960.8827592961</ns0:v>
      </ns0:c>
      <ns0:c r="AA267" s="7">
        <ns0:f>IF(T267&gt;=0,A267,1001)</ns0:f>
        <ns0:v>263</ns0:v>
      </ns0:c>
      <ns0:c r="AB267" s="7">
        <ns0:f>IF(T267&lt;0,A267,0)</ns0:f>
        <ns0:v>0</ns0:v>
      </ns0:c>
      <ns0:c r="AC267" s="16">
        <ns0:f>IF(AND(OR('前提と出典'!$C$36+'前提と出典'!$C$38=0,R267&gt;=0),OR('前提と出典'!$C$37+'前提と出典'!$C$38=0,S267&gt;=0)),0,A267)</ns0:f>
        <ns0:v>0</ns0:v>
      </ns0:c>
      <ns0:c r="AD267" s="7">
        <ns0:f>IF(W267&gt;=0,A267,1001)</ns0:f>
        <ns0:v>263</ns0:v>
      </ns0:c>
      <ns0:c r="AE267" s="7">
        <ns0:f>IF(W267&lt;0,A267,0)</ns0:f>
        <ns0:v>0</ns0:v>
      </ns0:c>
      <ns0:c r="AF267" s="16">
        <ns0:f>IF(AND(OR('前提と出典'!$C$36+'前提と出典'!$C$38=0,U267&gt;=0),OR('前提と出典'!$C$37+'前提と出典'!$C$38=0,V267&gt;=0)),0,A267)</ns0:f>
        <ns0:v>0</ns0:v>
      </ns0:c>
      <ns0:c r="AG267" s="7">
        <ns0:f>IF(Z267&gt;=0,A267,1001)</ns0:f>
        <ns0:v>263</ns0:v>
      </ns0:c>
      <ns0:c r="AH267" s="4">
        <ns0:f>IF(Z267&lt;0,A267,0)</ns0:f>
        <ns0:v>0</ns0:v>
      </ns0:c>
      <ns0:c r="AI267" s="12">
        <ns0:f>IF(AND(OR('前提と出典'!$C$36+'前提と出典'!$C$38=0,X267&gt;=0),OR('前提と出典'!$C$37+'前提と出典'!$C$38=0,Y267&gt;=0)),0,A267)</ns0:f>
        <ns0:v>0</ns0:v>
      </ns0:c>
    </ns0:row>
    <ns0:row r="268" ht="24" customHeight="1">
      <ns0:c r="A268" s="4" t="n">
        <ns0:v>264</ns0:v>
      </ns0:c>
      <ns0:c r="B268" s="12">
        <ns0:f>A268*('前提と出典'!$C$36+'前提と出典'!$C$38)</ns0:f>
        <ns0:v>184.79999999999998</ns0:v>
      </ns0:c>
      <ns0:c r="C268" s="12">
        <ns0:f>A268*('前提と出典'!$C$37+'前提と出典'!$C$38)</ns0:f>
        <ns0:v>158.4</ns0:v>
      </ns0:c>
      <ns0:c r="D268" s="16">
        <ns0:f>A268*('前提と出典'!$C$36*'契約別単価'!C5+'前提と出典'!$C$37*'契約別単価'!C6+'前提と出典'!$C$38*'契約別単価'!C7)</ns0:f>
        <ns0:v>1899.6201117318435</ns0:v>
      </ns0:c>
      <ns0:c r="E268" s="16">
        <ns0:f>A268*('前提と出典'!$C$36*'契約別単価'!E5+'前提と出典'!$C$37*'契約別単価'!E6+'前提と出典'!$C$38*'契約別単価'!E7)</ns0:f>
        <ns0:v>510825.38937734463</ns0:v>
      </ns0:c>
      <ns0:c r="F268" s="16">
        <ns0:f>A268*('前提と出典'!$C$36*'契約別単価'!F5+'前提と出典'!$C$37*'契約別単価'!F6+'前提と出典'!$C$38*'契約別単価'!F7)</ns0:f>
        <ns0:v>200480.40664185747</ns0:v>
      </ns0:c>
      <ns0:c r="G268" s="16">
        <ns0:f>A268*('前提と出典'!$C$36*'契約別単価'!G5+'前提と出典'!$C$37*'契約別単価'!G6+'前提と出典'!$C$38*'契約別単価'!G7)</ns0:f>
        <ns0:v>525492.7374301676</ns0:v>
      </ns0:c>
      <ns0:c r="H268" s="16">
        <ns0:f>A268*('前提と出典'!$C$36*'契約別単価'!H5+'前提と出典'!$C$37*'契約別単価'!H6+'前提と出典'!$C$38*'契約別単価'!H7)</ns0:f>
        <ns0:v>182372.3354201173</ns0:v>
      </ns0:c>
      <ns0:c r="I268" s="16">
        <ns0:f>A268*('前提と出典'!$C$36*'契約別単価'!I5+'前提と出典'!$C$37*'契約別単価'!I6+'前提と出典'!$C$38*'契約別単価'!I7)</ns0:f>
        <ns0:v>11139.620111731841</ns0:v>
      </ns0:c>
      <ns0:c r="J268" s="16">
        <ns0:f>A268*('前提と出典'!$C$36*'契約別単価'!J5+'前提と出典'!$C$37*'契約別単価'!J6+'前提と出典'!$C$38*'契約別単価'!J7)</ns0:f>
        <ns0:v>25948.439539519877</ns0:v>
      </ns0:c>
      <ns0:c r="K268" s="16">
        <ns0:f>A268*('前提と出典'!$C$36*'契約別単価'!K5+'前提と出典'!$C$37*'契約別単価'!K6+'前提と出典'!$C$38*'契約別単価'!K7)</ns0:f>
        <ns0:v>111224.13407821229</ns0:v>
      </ns0:c>
      <ns0:c r="L268" s="16">
        <ns0:f>A268*('前提と出典'!$C$36*'契約別単価'!L5+'前提と出典'!$C$37*'契約別単価'!L6+'前提と出典'!$C$38*'契約別単価'!L7)</ns0:f>
        <ns0:v>90559.07784733723</ns0:v>
      </ns0:c>
      <ns0:c r="M268" s="16">
        <ns0:f>IF(('前提と出典'!$C$36+'前提と出典'!$C$38)=0,0,IF(B268&lt;=10,'前提と出典'!B73+'前提と出典'!C73,IF(B268&lt;=100,'前提と出典'!B74+'前提と出典'!C74,IF(B268&lt;=500,'前提と出典'!B75+'前提と出典'!C75,'前提と出典'!B76+'前提と出典'!C76))))</ns0:f>
        <ns0:v>40000</ns0:v>
      </ns0:c>
      <ns0:c r="N268" s="16">
        <ns0:f>IF(('前提と出典'!$C$37+'前提と出典'!$C$38)=0,0,IF(C268&lt;=10,'前提と出典'!D73+'前提と出典'!E73,IF(C268&lt;=100,'前提と出典'!D74+'前提と出典'!E74,IF(C268&lt;=500,'前提と出典'!D75+'前提と出典'!E75,'前提と出典'!D76+'前提と出典'!E76))))</ns0:f>
        <ns0:v>56510.9346263078</ns0:v>
      </ns0:c>
      <ns0:c r="O268" s="16">
        <ns0:f>IF('前提と出典'!$C$36+'前提と出典'!$C$38=0,0,'前提と出典'!$B$4*IF('前提と出典'!$B$20=0,MAX('前提と出典'!$B$6,D268*'前提と出典'!$B$5),'前提と出典'!$B$6+D268*'前提と出典'!$B$5))</ns0:f>
        <ns0:v>262147.5754189944</ns0:v>
      </ns0:c>
      <ns0:c r="P268" s="16">
        <ns0:f>(E268+G268)*(1-'前提と出典'!$B$7)-I268-K268-M268-O268</ns0:f>
        <ns0:v>574499.3446335032</ns0:v>
      </ns0:c>
      <ns0:c r="Q268" s="16">
        <ns0:f>(F268+H268)*(1-'前提と出典'!$B$7)-J268-L268-N268</ns0:f>
        <ns0:v>196051.59133457873</ns0:v>
      </ns0:c>
      <ns0:c r="R268" s="16">
        <ns0:f>P268-E268*'前提と出典'!$E$4</ns0:f>
        <ns0:v>421251.7278202999</ns0:v>
      </ns0:c>
      <ns0:c r="S268" s="16">
        <ns0:f>Q268-F268*'前提と出典'!$E$4</ns0:f>
        <ns0:v>135907.4693420215</ns0:v>
      </ns0:c>
      <ns0:c r="T268" s="7">
        <ns0:f>R268+S268</ns0:f>
        <ns0:v>557159.1971623214</ns0:v>
      </ns0:c>
      <ns0:c r="U268" s="16">
        <ns0:f>P268-E268*'前提と出典'!$E$5</ns0:f>
        <ns0:v>370169.18888256536</ns0:v>
      </ns0:c>
      <ns0:c r="V268" s="16">
        <ns0:f>Q268-F268*'前提と出典'!$E$5</ns0:f>
        <ns0:v>115859.42867783573</ns0:v>
      </ns0:c>
      <ns0:c r="W268" s="7">
        <ns0:f>U268+V268</ns0:f>
        <ns0:v>486028.6175604011</ns0:v>
      </ns0:c>
      <ns0:c r="X268" s="16">
        <ns0:f>P268-E268*'前提と出典'!$E$6</ns0:f>
        <ns0:v>319086.6499448309</ns0:v>
      </ns0:c>
      <ns0:c r="Y268" s="16">
        <ns0:f>Q268-F268*'前提と出典'!$E$6</ns0:f>
        <ns0:v>95811.38801365005</ns0:v>
      </ns0:c>
      <ns0:c r="Z268" s="7">
        <ns0:f>X268+Y268</ns0:f>
        <ns0:v>414898.037958481</ns0:v>
      </ns0:c>
      <ns0:c r="AA268" s="7">
        <ns0:f>IF(T268&gt;=0,A268,1001)</ns0:f>
        <ns0:v>264</ns0:v>
      </ns0:c>
      <ns0:c r="AB268" s="7">
        <ns0:f>IF(T268&lt;0,A268,0)</ns0:f>
        <ns0:v>0</ns0:v>
      </ns0:c>
      <ns0:c r="AC268" s="16">
        <ns0:f>IF(AND(OR('前提と出典'!$C$36+'前提と出典'!$C$38=0,R268&gt;=0),OR('前提と出典'!$C$37+'前提と出典'!$C$38=0,S268&gt;=0)),0,A268)</ns0:f>
        <ns0:v>0</ns0:v>
      </ns0:c>
      <ns0:c r="AD268" s="7">
        <ns0:f>IF(W268&gt;=0,A268,1001)</ns0:f>
        <ns0:v>264</ns0:v>
      </ns0:c>
      <ns0:c r="AE268" s="7">
        <ns0:f>IF(W268&lt;0,A268,0)</ns0:f>
        <ns0:v>0</ns0:v>
      </ns0:c>
      <ns0:c r="AF268" s="16">
        <ns0:f>IF(AND(OR('前提と出典'!$C$36+'前提と出典'!$C$38=0,U268&gt;=0),OR('前提と出典'!$C$37+'前提と出典'!$C$38=0,V268&gt;=0)),0,A268)</ns0:f>
        <ns0:v>0</ns0:v>
      </ns0:c>
      <ns0:c r="AG268" s="7">
        <ns0:f>IF(Z268&gt;=0,A268,1001)</ns0:f>
        <ns0:v>264</ns0:v>
      </ns0:c>
      <ns0:c r="AH268" s="4">
        <ns0:f>IF(Z268&lt;0,A268,0)</ns0:f>
        <ns0:v>0</ns0:v>
      </ns0:c>
      <ns0:c r="AI268" s="12">
        <ns0:f>IF(AND(OR('前提と出典'!$C$36+'前提と出典'!$C$38=0,X268&gt;=0),OR('前提と出典'!$C$37+'前提と出典'!$C$38=0,Y268&gt;=0)),0,A268)</ns0:f>
        <ns0:v>0</ns0:v>
      </ns0:c>
    </ns0:row>
    <ns0:row r="269" ht="24" customHeight="1">
      <ns0:c r="A269" s="4" t="n">
        <ns0:v>265</ns0:v>
      </ns0:c>
      <ns0:c r="B269" s="12">
        <ns0:f>A269*('前提と出典'!$C$36+'前提と出典'!$C$38)</ns0:f>
        <ns0:v>185.5</ns0:v>
      </ns0:c>
      <ns0:c r="C269" s="12">
        <ns0:f>A269*('前提と出典'!$C$37+'前提と出典'!$C$38)</ns0:f>
        <ns0:v>159</ns0:v>
      </ns0:c>
      <ns0:c r="D269" s="16">
        <ns0:f>A269*('前提と出典'!$C$36*'契約別単価'!C5+'前提と出典'!$C$37*'契約別単価'!C6+'前提と出典'!$C$38*'契約別単価'!C7)</ns0:f>
        <ns0:v>1906.8156424581005</ns0:v>
      </ns0:c>
      <ns0:c r="E269" s="16">
        <ns0:f>A269*('前提と出典'!$C$36*'契約別単価'!E5+'前提と出典'!$C$37*'契約別単価'!E6+'前提と出典'!$C$38*'契約別単価'!E7)</ns0:f>
        <ns0:v>512760.33403407695</ns0:v>
      </ns0:c>
      <ns0:c r="F269" s="16">
        <ns0:f>A269*('前提と出典'!$C$36*'契約別単価'!F5+'前提と出典'!$C$37*'契約別単価'!F6+'前提と出典'!$C$38*'契約別単価'!F7)</ns0:f>
        <ns0:v>201239.80212156146</ns0:v>
      </ns0:c>
      <ns0:c r="G269" s="16">
        <ns0:f>A269*('前提と出典'!$C$36*'契約別単価'!G5+'前提と出典'!$C$37*'契約別単価'!G6+'前提と出典'!$C$38*'契約別単価'!G7)</ns0:f>
        <ns0:v>527483.2402234636</ns0:v>
      </ns0:c>
      <ns0:c r="H269" s="16">
        <ns0:f>A269*('前提と出典'!$C$36*'契約別単価'!H5+'前提と出典'!$C$37*'契約別単価'!H6+'前提と出典'!$C$38*'契約別単価'!H7)</ns0:f>
        <ns0:v>183063.1397209511</ns0:v>
      </ns0:c>
      <ns0:c r="I269" s="16">
        <ns0:f>A269*('前提と出典'!$C$36*'契約別単価'!I5+'前提と出典'!$C$37*'契約別単価'!I6+'前提と出典'!$C$38*'契約別単価'!I7)</ns0:f>
        <ns0:v>11181.8156424581</ns0:v>
      </ns0:c>
      <ns0:c r="J269" s="16">
        <ns0:f>A269*('前提と出典'!$C$36*'契約別単価'!J5+'前提と出典'!$C$37*'契約別単価'!J6+'前提と出典'!$C$38*'契約別単価'!J7)</ns0:f>
        <ns0:v>26046.72908323018</ns0:v>
      </ns0:c>
      <ns0:c r="K269" s="16">
        <ns0:f>A269*('前提と出典'!$C$36*'契約別単価'!K5+'前提と出典'!$C$37*'契約別単価'!K6+'前提と出典'!$C$38*'契約別単価'!K7)</ns0:f>
        <ns0:v>111645.43761638732</ns0:v>
      </ns0:c>
      <ns0:c r="L269" s="16">
        <ns0:f>A269*('前提と出典'!$C$36*'契約別単価'!L5+'前提と出典'!$C$37*'契約別単価'!L6+'前提と出典'!$C$38*'契約別単価'!L7)</ns0:f>
        <ns0:v>90902.10465736504</ns0:v>
      </ns0:c>
      <ns0:c r="M269" s="16">
        <ns0:f>IF(('前提と出典'!$C$36+'前提と出典'!$C$38)=0,0,IF(B269&lt;=10,'前提と出典'!B73+'前提と出典'!C73,IF(B269&lt;=100,'前提と出典'!B74+'前提と出典'!C74,IF(B269&lt;=500,'前提と出典'!B75+'前提と出典'!C75,'前提と出典'!B76+'前提と出典'!C76))))</ns0:f>
        <ns0:v>40000</ns0:v>
      </ns0:c>
      <ns0:c r="N269" s="16">
        <ns0:f>IF(('前提と出典'!$C$37+'前提と出典'!$C$38)=0,0,IF(C269&lt;=10,'前提と出典'!D73+'前提と出典'!E73,IF(C269&lt;=100,'前提と出典'!D74+'前提と出典'!E74,IF(C269&lt;=500,'前提と出典'!D75+'前提と出典'!E75,'前提と出典'!D76+'前提と出典'!E76))))</ns0:f>
        <ns0:v>56510.9346263078</ns0:v>
      </ns0:c>
      <ns0:c r="O269" s="16">
        <ns0:f>IF('前提と出典'!$C$36+'前提と出典'!$C$38=0,0,'前提と出典'!$B$4*IF('前提と出典'!$B$20=0,MAX('前提と出典'!$B$6,D269*'前提と出典'!$B$5),'前提と出典'!$B$6+D269*'前提と出典'!$B$5))</ns0:f>
        <ns0:v>263140.5586592179</ns0:v>
      </ns0:c>
      <ns0:c r="P269" s="16">
        <ns0:f>(E269+G269)*(1-'前提と出典'!$B$7)-I269-K269-M269-O269</ns0:f>
        <ns0:v>576826.9936662058</ns0:v>
      </ns0:c>
      <ns0:c r="Q269" s="16">
        <ns0:f>(F269+H269)*(1-'前提と出典'!$B$7)-J269-L269-N269</ns0:f>
        <ns0:v>197008.26756927907</ns0:v>
      </ns0:c>
      <ns0:c r="R269" s="16">
        <ns0:f>P269-E269*'前提と出典'!$E$4</ns0:f>
        <ns0:v>422998.89345598256</ns0:v>
      </ns0:c>
      <ns0:c r="S269" s="16">
        <ns0:f>Q269-F269*'前提と出典'!$E$4</ns0:f>
        <ns0:v>136636.32693281068</ns0:v>
      </ns0:c>
      <ns0:c r="T269" s="7">
        <ns0:f>R269+S269</ns0:f>
        <ns0:v>559635.2203887933</ns0:v>
      </ns0:c>
      <ns0:c r="U269" s="16">
        <ns0:f>P269-E269*'前提と出典'!$E$5</ns0:f>
        <ns0:v>371722.860052575</ns0:v>
      </ns0:c>
      <ns0:c r="V269" s="16">
        <ns0:f>Q269-F269*'前提と出典'!$E$5</ns0:f>
        <ns0:v>116512.34672065449</ns0:v>
      </ns0:c>
      <ns0:c r="W269" s="7">
        <ns0:f>U269+V269</ns0:f>
        <ns0:v>488235.2067732295</ns0:v>
      </ns0:c>
      <ns0:c r="X269" s="16">
        <ns0:f>P269-E269*'前提と出典'!$E$6</ns0:f>
        <ns0:v>320446.8266491672</ns0:v>
      </ns0:c>
      <ns0:c r="Y269" s="16">
        <ns0:f>Q269-F269*'前提と出典'!$E$6</ns0:f>
        <ns0:v>96388.36650849835</ns0:v>
      </ns0:c>
      <ns0:c r="Z269" s="7">
        <ns0:f>X269+Y269</ns0:f>
        <ns0:v>416835.19315766555</ns0:v>
      </ns0:c>
      <ns0:c r="AA269" s="7">
        <ns0:f>IF(T269&gt;=0,A269,1001)</ns0:f>
        <ns0:v>265</ns0:v>
      </ns0:c>
      <ns0:c r="AB269" s="7">
        <ns0:f>IF(T269&lt;0,A269,0)</ns0:f>
        <ns0:v>0</ns0:v>
      </ns0:c>
      <ns0:c r="AC269" s="16">
        <ns0:f>IF(AND(OR('前提と出典'!$C$36+'前提と出典'!$C$38=0,R269&gt;=0),OR('前提と出典'!$C$37+'前提と出典'!$C$38=0,S269&gt;=0)),0,A269)</ns0:f>
        <ns0:v>0</ns0:v>
      </ns0:c>
      <ns0:c r="AD269" s="7">
        <ns0:f>IF(W269&gt;=0,A269,1001)</ns0:f>
        <ns0:v>265</ns0:v>
      </ns0:c>
      <ns0:c r="AE269" s="7">
        <ns0:f>IF(W269&lt;0,A269,0)</ns0:f>
        <ns0:v>0</ns0:v>
      </ns0:c>
      <ns0:c r="AF269" s="16">
        <ns0:f>IF(AND(OR('前提と出典'!$C$36+'前提と出典'!$C$38=0,U269&gt;=0),OR('前提と出典'!$C$37+'前提と出典'!$C$38=0,V269&gt;=0)),0,A269)</ns0:f>
        <ns0:v>0</ns0:v>
      </ns0:c>
      <ns0:c r="AG269" s="7">
        <ns0:f>IF(Z269&gt;=0,A269,1001)</ns0:f>
        <ns0:v>265</ns0:v>
      </ns0:c>
      <ns0:c r="AH269" s="4">
        <ns0:f>IF(Z269&lt;0,A269,0)</ns0:f>
        <ns0:v>0</ns0:v>
      </ns0:c>
      <ns0:c r="AI269" s="12">
        <ns0:f>IF(AND(OR('前提と出典'!$C$36+'前提と出典'!$C$38=0,X269&gt;=0),OR('前提と出典'!$C$37+'前提と出典'!$C$38=0,Y269&gt;=0)),0,A269)</ns0:f>
        <ns0:v>0</ns0:v>
      </ns0:c>
    </ns0:row>
    <ns0:row r="270" ht="24" customHeight="1">
      <ns0:c r="A270" s="4" t="n">
        <ns0:v>266</ns0:v>
      </ns0:c>
      <ns0:c r="B270" s="12">
        <ns0:f>A270*('前提と出典'!$C$36+'前提と出典'!$C$38)</ns0:f>
        <ns0:v>186.2</ns0:v>
      </ns0:c>
      <ns0:c r="C270" s="12">
        <ns0:f>A270*('前提と出典'!$C$37+'前提と出典'!$C$38)</ns0:f>
        <ns0:v>159.6</ns0:v>
      </ns0:c>
      <ns0:c r="D270" s="16">
        <ns0:f>A270*('前提と出典'!$C$36*'契約別単価'!C5+'前提と出典'!$C$37*'契約別単価'!C6+'前提と出典'!$C$38*'契約別単価'!C7)</ns0:f>
        <ns0:v>1914.0111731843576</ns0:v>
      </ns0:c>
      <ns0:c r="E270" s="16">
        <ns0:f>A270*('前提と出典'!$C$36*'契約別単価'!E5+'前提と出典'!$C$37*'契約別単価'!E6+'前提と出典'!$C$38*'契約別単価'!E7)</ns0:f>
        <ns0:v>514695.2786908093</ns0:v>
      </ns0:c>
      <ns0:c r="F270" s="16">
        <ns0:f>A270*('前提と出典'!$C$36*'契約別単価'!F5+'前提と出典'!$C$37*'契約別単価'!F6+'前提と出典'!$C$38*'契約別単価'!F7)</ns0:f>
        <ns0:v>201999.19760126548</ns0:v>
      </ns0:c>
      <ns0:c r="G270" s="16">
        <ns0:f>A270*('前提と出典'!$C$36*'契約別単価'!G5+'前提と出典'!$C$37*'契約別単価'!G6+'前提と出典'!$C$38*'契約別単価'!G7)</ns0:f>
        <ns0:v>529473.7430167597</ns0:v>
      </ns0:c>
      <ns0:c r="H270" s="16">
        <ns0:f>A270*('前提と出典'!$C$36*'契約別単価'!H5+'前提と出典'!$C$37*'契約別単価'!H6+'前提と出典'!$C$38*'契約別単価'!H7)</ns0:f>
        <ns0:v>183753.94402178488</ns0:v>
      </ns0:c>
      <ns0:c r="I270" s="16">
        <ns0:f>A270*('前提と出典'!$C$36*'契約別単価'!I5+'前提と出典'!$C$37*'契約別単価'!I6+'前提と出典'!$C$38*'契約別単価'!I7)</ns0:f>
        <ns0:v>11224.011173184355</ns0:v>
      </ns0:c>
      <ns0:c r="J270" s="16">
        <ns0:f>A270*('前提と出典'!$C$36*'契約別単価'!J5+'前提と出典'!$C$37*'契約別単価'!J6+'前提と出典'!$C$38*'契約別単価'!J7)</ns0:f>
        <ns0:v>26145.018626940484</ns0:v>
      </ns0:c>
      <ns0:c r="K270" s="16">
        <ns0:f>A270*('前提と出典'!$C$36*'契約別単価'!K5+'前提と出典'!$C$37*'契約別単価'!K6+'前提と出典'!$C$38*'契約別単価'!K7)</ns0:f>
        <ns0:v>112066.74115456238</ns0:v>
      </ns0:c>
      <ns0:c r="L270" s="16">
        <ns0:f>A270*('前提と出典'!$C$36*'契約別単価'!L5+'前提と出典'!$C$37*'契約別単価'!L6+'前提と出典'!$C$38*'契約別単価'!L7)</ns0:f>
        <ns0:v>91245.13146739283</ns0:v>
      </ns0:c>
      <ns0:c r="M270" s="16">
        <ns0:f>IF(('前提と出典'!$C$36+'前提と出典'!$C$38)=0,0,IF(B270&lt;=10,'前提と出典'!B73+'前提と出典'!C73,IF(B270&lt;=100,'前提と出典'!B74+'前提と出典'!C74,IF(B270&lt;=500,'前提と出典'!B75+'前提と出典'!C75,'前提と出典'!B76+'前提と出典'!C76))))</ns0:f>
        <ns0:v>40000</ns0:v>
      </ns0:c>
      <ns0:c r="N270" s="16">
        <ns0:f>IF(('前提と出典'!$C$37+'前提と出典'!$C$38)=0,0,IF(C270&lt;=10,'前提と出典'!D73+'前提と出典'!E73,IF(C270&lt;=100,'前提と出典'!D74+'前提と出典'!E74,IF(C270&lt;=500,'前提と出典'!D75+'前提と出典'!E75,'前提と出典'!D76+'前提と出典'!E76))))</ns0:f>
        <ns0:v>56510.9346263078</ns0:v>
      </ns0:c>
      <ns0:c r="O270" s="16">
        <ns0:f>IF('前提と出典'!$C$36+'前提と出典'!$C$38=0,0,'前提と出典'!$B$4*IF('前提と出典'!$B$20=0,MAX('前提と出典'!$B$6,D270*'前提と出典'!$B$5),'前提と出典'!$B$6+D270*'前提と出典'!$B$5))</ns0:f>
        <ns0:v>264133.54189944133</ns0:v>
      </ns0:c>
      <ns0:c r="P270" s="16">
        <ns0:f>(E270+G270)*(1-'前提と出典'!$B$7)-I270-K270-M270-O270</ns0:f>
        <ns0:v>579154.6426989085</ns0:v>
      </ns0:c>
      <ns0:c r="Q270" s="16">
        <ns0:f>(F270+H270)*(1-'前提と出典'!$B$7)-J270-L270-N270</ns0:f>
        <ns0:v>197964.94380397937</ns0:v>
      </ns0:c>
      <ns0:c r="R270" s="16">
        <ns0:f>P270-E270*'前提と出典'!$E$4</ns0:f>
        <ns0:v>424746.0590916657</ns0:v>
      </ns0:c>
      <ns0:c r="S270" s="16">
        <ns0:f>Q270-F270*'前提と出典'!$E$4</ns0:f>
        <ns0:v>137365.18452359975</ns0:v>
      </ns0:c>
      <ns0:c r="T270" s="7">
        <ns0:f>R270+S270</ns0:f>
        <ns0:v>562111.2436152655</ns0:v>
      </ns0:c>
      <ns0:c r="U270" s="16">
        <ns0:f>P270-E270*'前提と出典'!$E$5</ns0:f>
        <ns0:v>373276.5312225847</ns0:v>
      </ns0:c>
      <ns0:c r="V270" s="16">
        <ns0:f>Q270-F270*'前提と出典'!$E$5</ns0:f>
        <ns0:v>117165.26476347318</ns0:v>
      </ns0:c>
      <ns0:c r="W270" s="7">
        <ns0:f>U270+V270</ns0:f>
        <ns0:v>490441.7959860579</ns0:v>
      </ns0:c>
      <ns0:c r="X270" s="16">
        <ns0:f>P270-E270*'前提と出典'!$E$6</ns0:f>
        <ns0:v>321807.0033535038</ns0:v>
      </ns0:c>
      <ns0:c r="Y270" s="16">
        <ns0:f>Q270-F270*'前提と出典'!$E$6</ns0:f>
        <ns0:v>96965.34500334662</ns0:v>
      </ns0:c>
      <ns0:c r="Z270" s="7">
        <ns0:f>X270+Y270</ns0:f>
        <ns0:v>418772.34835685045</ns0:v>
      </ns0:c>
      <ns0:c r="AA270" s="7">
        <ns0:f>IF(T270&gt;=0,A270,1001)</ns0:f>
        <ns0:v>266</ns0:v>
      </ns0:c>
      <ns0:c r="AB270" s="7">
        <ns0:f>IF(T270&lt;0,A270,0)</ns0:f>
        <ns0:v>0</ns0:v>
      </ns0:c>
      <ns0:c r="AC270" s="16">
        <ns0:f>IF(AND(OR('前提と出典'!$C$36+'前提と出典'!$C$38=0,R270&gt;=0),OR('前提と出典'!$C$37+'前提と出典'!$C$38=0,S270&gt;=0)),0,A270)</ns0:f>
        <ns0:v>0</ns0:v>
      </ns0:c>
      <ns0:c r="AD270" s="7">
        <ns0:f>IF(W270&gt;=0,A270,1001)</ns0:f>
        <ns0:v>266</ns0:v>
      </ns0:c>
      <ns0:c r="AE270" s="7">
        <ns0:f>IF(W270&lt;0,A270,0)</ns0:f>
        <ns0:v>0</ns0:v>
      </ns0:c>
      <ns0:c r="AF270" s="16">
        <ns0:f>IF(AND(OR('前提と出典'!$C$36+'前提と出典'!$C$38=0,U270&gt;=0),OR('前提と出典'!$C$37+'前提と出典'!$C$38=0,V270&gt;=0)),0,A270)</ns0:f>
        <ns0:v>0</ns0:v>
      </ns0:c>
      <ns0:c r="AG270" s="7">
        <ns0:f>IF(Z270&gt;=0,A270,1001)</ns0:f>
        <ns0:v>266</ns0:v>
      </ns0:c>
      <ns0:c r="AH270" s="4">
        <ns0:f>IF(Z270&lt;0,A270,0)</ns0:f>
        <ns0:v>0</ns0:v>
      </ns0:c>
      <ns0:c r="AI270" s="12">
        <ns0:f>IF(AND(OR('前提と出典'!$C$36+'前提と出典'!$C$38=0,X270&gt;=0),OR('前提と出典'!$C$37+'前提と出典'!$C$38=0,Y270&gt;=0)),0,A270)</ns0:f>
        <ns0:v>0</ns0:v>
      </ns0:c>
    </ns0:row>
    <ns0:row r="271" ht="24" customHeight="1">
      <ns0:c r="A271" s="4" t="n">
        <ns0:v>267</ns0:v>
      </ns0:c>
      <ns0:c r="B271" s="12">
        <ns0:f>A271*('前提と出典'!$C$36+'前提と出典'!$C$38)</ns0:f>
        <ns0:v>186.89999999999998</ns0:v>
      </ns0:c>
      <ns0:c r="C271" s="12">
        <ns0:f>A271*('前提と出典'!$C$37+'前提と出典'!$C$38)</ns0:f>
        <ns0:v>160.2</ns0:v>
      </ns0:c>
      <ns0:c r="D271" s="16">
        <ns0:f>A271*('前提と出典'!$C$36*'契約別単価'!C5+'前提と出典'!$C$37*'契約別単価'!C6+'前提と出典'!$C$38*'契約別単価'!C7)</ns0:f>
        <ns0:v>1921.2067039106146</ns0:v>
      </ns0:c>
      <ns0:c r="E271" s="16">
        <ns0:f>A271*('前提と出典'!$C$36*'契約別単価'!E5+'前提と出典'!$C$37*'契約別単価'!E6+'前提と出典'!$C$38*'契約別単価'!E7)</ns0:f>
        <ns0:v>516630.2233475417</ns0:v>
      </ns0:c>
      <ns0:c r="F271" s="16">
        <ns0:f>A271*('前提と出典'!$C$36*'契約別単価'!F5+'前提と出典'!$C$37*'契約別単価'!F6+'前提と出典'!$C$38*'契約別単価'!F7)</ns0:f>
        <ns0:v>202758.59308096947</ns0:v>
      </ns0:c>
      <ns0:c r="G271" s="16">
        <ns0:f>A271*('前提と出典'!$C$36*'契約別単価'!G5+'前提と出典'!$C$37*'契約別単価'!G6+'前提と出典'!$C$38*'契約別単価'!G7)</ns0:f>
        <ns0:v>531464.2458100559</ns0:v>
      </ns0:c>
      <ns0:c r="H271" s="16">
        <ns0:f>A271*('前提と出典'!$C$36*'契約別単価'!H5+'前提と出典'!$C$37*'契約別単価'!H6+'前提と出典'!$C$38*'契約別単価'!H7)</ns0:f>
        <ns0:v>184444.74832261863</ns0:v>
      </ns0:c>
      <ns0:c r="I271" s="16">
        <ns0:f>A271*('前提と出典'!$C$36*'契約別単価'!I5+'前提と出典'!$C$37*'契約別単価'!I6+'前提と出典'!$C$38*'契約別単価'!I7)</ns0:f>
        <ns0:v>11266.206703910613</ns0:v>
      </ns0:c>
      <ns0:c r="J271" s="16">
        <ns0:f>A271*('前提と出典'!$C$36*'契約別単価'!J5+'前提と出典'!$C$37*'契約別単価'!J6+'前提と出典'!$C$38*'契約別単価'!J7)</ns0:f>
        <ns0:v>26243.308170650784</ns0:v>
      </ns0:c>
      <ns0:c r="K271" s="16">
        <ns0:f>A271*('前提と出典'!$C$36*'契約別単価'!K5+'前提と出典'!$C$37*'契約別単価'!K6+'前提と出典'!$C$38*'契約別単価'!K7)</ns0:f>
        <ns0:v>112488.04469273743</ns0:v>
      </ns0:c>
      <ns0:c r="L271" s="16">
        <ns0:f>A271*('前提と出典'!$C$36*'契約別単価'!L5+'前提と出典'!$C$37*'契約別単価'!L6+'前提と出典'!$C$38*'契約別単価'!L7)</ns0:f>
        <ns0:v>91588.15827742062</ns0:v>
      </ns0:c>
      <ns0:c r="M271" s="16">
        <ns0:f>IF(('前提と出典'!$C$36+'前提と出典'!$C$38)=0,0,IF(B271&lt;=10,'前提と出典'!B73+'前提と出典'!C73,IF(B271&lt;=100,'前提と出典'!B74+'前提と出典'!C74,IF(B271&lt;=500,'前提と出典'!B75+'前提と出典'!C75,'前提と出典'!B76+'前提と出典'!C76))))</ns0:f>
        <ns0:v>40000</ns0:v>
      </ns0:c>
      <ns0:c r="N271" s="16">
        <ns0:f>IF(('前提と出典'!$C$37+'前提と出典'!$C$38)=0,0,IF(C271&lt;=10,'前提と出典'!D73+'前提と出典'!E73,IF(C271&lt;=100,'前提と出典'!D74+'前提と出典'!E74,IF(C271&lt;=500,'前提と出典'!D75+'前提と出典'!E75,'前提と出典'!D76+'前提と出典'!E76))))</ns0:f>
        <ns0:v>56510.9346263078</ns0:v>
      </ns0:c>
      <ns0:c r="O271" s="16">
        <ns0:f>IF('前提と出典'!$C$36+'前提と出典'!$C$38=0,0,'前提と出典'!$B$4*IF('前提と出典'!$B$20=0,MAX('前提と出典'!$B$6,D271*'前提と出典'!$B$5),'前提と出典'!$B$6+D271*'前提と出典'!$B$5))</ns0:f>
        <ns0:v>265126.5251396648</ns0:v>
      </ns0:c>
      <ns0:c r="P271" s="16">
        <ns0:f>(E271+G271)*(1-'前提と出典'!$B$7)-I271-K271-M271-O271</ns0:f>
        <ns0:v>581482.2917316111</ns0:v>
      </ns0:c>
      <ns0:c r="Q271" s="16">
        <ns0:f>(F271+H271)*(1-'前提と出典'!$B$7)-J271-L271-N271</ns0:f>
        <ns0:v>198921.62003867968</ns0:v>
      </ns0:c>
      <ns0:c r="R271" s="16">
        <ns0:f>P271-E271*'前提と出典'!$E$4</ns0:f>
        <ns0:v>426493.2247273487</ns0:v>
      </ns0:c>
      <ns0:c r="S271" s="16">
        <ns0:f>Q271-F271*'前提と出典'!$E$4</ns0:f>
        <ns0:v>138094.04211438884</ns0:v>
      </ns0:c>
      <ns0:c r="T271" s="7">
        <ns0:f>R271+S271</ns0:f>
        <ns0:v>564587.2668417376</ns0:v>
      </ns0:c>
      <ns0:c r="U271" s="16">
        <ns0:f>P271-E271*'前提と出典'!$E$5</ns0:f>
        <ns0:v>374830.2023925945</ns0:v>
      </ns0:c>
      <ns0:c r="V271" s="16">
        <ns0:f>Q271-F271*'前提と出典'!$E$5</ns0:f>
        <ns0:v>117818.18280629191</ns0:v>
      </ns0:c>
      <ns0:c r="W271" s="7">
        <ns0:f>U271+V271</ns0:f>
        <ns0:v>492648.3851988864</ns0:v>
      </ns0:c>
      <ns0:c r="X271" s="16">
        <ns0:f>P271-E271*'前提と出典'!$E$6</ns0:f>
        <ns0:v>323167.18005784036</ns0:v>
      </ns0:c>
      <ns0:c r="Y271" s="16">
        <ns0:f>Q271-F271*'前提と出典'!$E$6</ns0:f>
        <ns0:v>97542.32349819492</ns0:v>
      </ns0:c>
      <ns0:c r="Z271" s="7">
        <ns0:f>X271+Y271</ns0:f>
        <ns0:v>420709.5035560353</ns0:v>
      </ns0:c>
      <ns0:c r="AA271" s="7">
        <ns0:f>IF(T271&gt;=0,A271,1001)</ns0:f>
        <ns0:v>267</ns0:v>
      </ns0:c>
      <ns0:c r="AB271" s="7">
        <ns0:f>IF(T271&lt;0,A271,0)</ns0:f>
        <ns0:v>0</ns0:v>
      </ns0:c>
      <ns0:c r="AC271" s="16">
        <ns0:f>IF(AND(OR('前提と出典'!$C$36+'前提と出典'!$C$38=0,R271&gt;=0),OR('前提と出典'!$C$37+'前提と出典'!$C$38=0,S271&gt;=0)),0,A271)</ns0:f>
        <ns0:v>0</ns0:v>
      </ns0:c>
      <ns0:c r="AD271" s="7">
        <ns0:f>IF(W271&gt;=0,A271,1001)</ns0:f>
        <ns0:v>267</ns0:v>
      </ns0:c>
      <ns0:c r="AE271" s="7">
        <ns0:f>IF(W271&lt;0,A271,0)</ns0:f>
        <ns0:v>0</ns0:v>
      </ns0:c>
      <ns0:c r="AF271" s="16">
        <ns0:f>IF(AND(OR('前提と出典'!$C$36+'前提と出典'!$C$38=0,U271&gt;=0),OR('前提と出典'!$C$37+'前提と出典'!$C$38=0,V271&gt;=0)),0,A271)</ns0:f>
        <ns0:v>0</ns0:v>
      </ns0:c>
      <ns0:c r="AG271" s="7">
        <ns0:f>IF(Z271&gt;=0,A271,1001)</ns0:f>
        <ns0:v>267</ns0:v>
      </ns0:c>
      <ns0:c r="AH271" s="4">
        <ns0:f>IF(Z271&lt;0,A271,0)</ns0:f>
        <ns0:v>0</ns0:v>
      </ns0:c>
      <ns0:c r="AI271" s="12">
        <ns0:f>IF(AND(OR('前提と出典'!$C$36+'前提と出典'!$C$38=0,X271&gt;=0),OR('前提と出典'!$C$37+'前提と出典'!$C$38=0,Y271&gt;=0)),0,A271)</ns0:f>
        <ns0:v>0</ns0:v>
      </ns0:c>
    </ns0:row>
    <ns0:row r="272" ht="24" customHeight="1">
      <ns0:c r="A272" s="4" t="n">
        <ns0:v>268</ns0:v>
      </ns0:c>
      <ns0:c r="B272" s="12">
        <ns0:f>A272*('前提と出典'!$C$36+'前提と出典'!$C$38)</ns0:f>
        <ns0:v>187.6</ns0:v>
      </ns0:c>
      <ns0:c r="C272" s="12">
        <ns0:f>A272*('前提と出典'!$C$37+'前提と出典'!$C$38)</ns0:f>
        <ns0:v>160.79999999999998</ns0:v>
      </ns0:c>
      <ns0:c r="D272" s="16">
        <ns0:f>A272*('前提と出典'!$C$36*'契約別単価'!C5+'前提と出典'!$C$37*'契約別単価'!C6+'前提と出典'!$C$38*'契約別単価'!C7)</ns0:f>
        <ns0:v>1928.4022346368715</ns0:v>
      </ns0:c>
      <ns0:c r="E272" s="16">
        <ns0:f>A272*('前提と出典'!$C$36*'契約別単価'!E5+'前提と出典'!$C$37*'契約別単価'!E6+'前提と出典'!$C$38*'契約別単価'!E7)</ns0:f>
        <ns0:v>518565.1680042741</ns0:v>
      </ns0:c>
      <ns0:c r="F272" s="16">
        <ns0:f>A272*('前提と出典'!$C$36*'契約別単価'!F5+'前提と出典'!$C$37*'契約別単価'!F6+'前提と出典'!$C$38*'契約別単価'!F7)</ns0:f>
        <ns0:v>203517.9885606735</ns0:v>
      </ns0:c>
      <ns0:c r="G272" s="16">
        <ns0:f>A272*('前提と出典'!$C$36*'契約別単価'!G5+'前提と出典'!$C$37*'契約別単価'!G6+'前提と出典'!$C$38*'契約別単価'!G7)</ns0:f>
        <ns0:v>533454.7486033519</ns0:v>
      </ns0:c>
      <ns0:c r="H272" s="16">
        <ns0:f>A272*('前提と出典'!$C$36*'契約別単価'!H5+'前提と出典'!$C$37*'契約別単価'!H6+'前提と出典'!$C$38*'契約別単価'!H7)</ns0:f>
        <ns0:v>185135.55262345241</ns0:v>
      </ns0:c>
      <ns0:c r="I272" s="16">
        <ns0:f>A272*('前提と出典'!$C$36*'契約別単価'!I5+'前提と出典'!$C$37*'契約別単価'!I6+'前提と出典'!$C$38*'契約別単価'!I7)</ns0:f>
        <ns0:v>11308.40223463687</ns0:v>
      </ns0:c>
      <ns0:c r="J272" s="16">
        <ns0:f>A272*('前提と出典'!$C$36*'契約別単価'!J5+'前提と出典'!$C$37*'契約別単価'!J6+'前提と出典'!$C$38*'契約別単価'!J7)</ns0:f>
        <ns0:v>26341.597714361087</ns0:v>
      </ns0:c>
      <ns0:c r="K272" s="16">
        <ns0:f>A272*('前提と出典'!$C$36*'契約別単価'!K5+'前提と出典'!$C$37*'契約別単価'!K6+'前提と出典'!$C$38*'契約別単価'!K7)</ns0:f>
        <ns0:v>112909.34823091247</ns0:v>
      </ns0:c>
      <ns0:c r="L272" s="16">
        <ns0:f>A272*('前提と出典'!$C$36*'契約別単価'!L5+'前提と出典'!$C$37*'契約別単価'!L6+'前提と出典'!$C$38*'契約別単価'!L7)</ns0:f>
        <ns0:v>91931.18508744841</ns0:v>
      </ns0:c>
      <ns0:c r="M272" s="16">
        <ns0:f>IF(('前提と出典'!$C$36+'前提と出典'!$C$38)=0,0,IF(B272&lt;=10,'前提と出典'!B73+'前提と出典'!C73,IF(B272&lt;=100,'前提と出典'!B74+'前提と出典'!C74,IF(B272&lt;=500,'前提と出典'!B75+'前提と出典'!C75,'前提と出典'!B76+'前提と出典'!C76))))</ns0:f>
        <ns0:v>40000</ns0:v>
      </ns0:c>
      <ns0:c r="N272" s="16">
        <ns0:f>IF(('前提と出典'!$C$37+'前提と出典'!$C$38)=0,0,IF(C272&lt;=10,'前提と出典'!D73+'前提と出典'!E73,IF(C272&lt;=100,'前提と出典'!D74+'前提と出典'!E74,IF(C272&lt;=500,'前提と出典'!D75+'前提と出典'!E75,'前提と出典'!D76+'前提と出典'!E76))))</ns0:f>
        <ns0:v>56510.9346263078</ns0:v>
      </ns0:c>
      <ns0:c r="O272" s="16">
        <ns0:f>IF('前提と出典'!$C$36+'前提と出典'!$C$38=0,0,'前提と出典'!$B$4*IF('前提と出典'!$B$20=0,MAX('前提と出典'!$B$6,D272*'前提と出典'!$B$5),'前提と出典'!$B$6+D272*'前提と出典'!$B$5))</ns0:f>
        <ns0:v>266119.50837988826</ns0:v>
      </ns0:c>
      <ns0:c r="P272" s="16">
        <ns0:f>(E272+G272)*(1-'前提と出典'!$B$7)-I272-K272-M272-O272</ns0:f>
        <ns0:v>583809.9407643139</ns0:v>
      </ns0:c>
      <ns0:c r="Q272" s="16">
        <ns0:f>(F272+H272)*(1-'前提と出典'!$B$7)-J272-L272-N272</ns0:f>
        <ns0:v>199878.2962733801</ns0:v>
      </ns0:c>
      <ns0:c r="R272" s="16">
        <ns0:f>P272-E272*'前提と出典'!$E$4</ns0:f>
        <ns0:v>428240.39036303165</ns0:v>
      </ns0:c>
      <ns0:c r="S272" s="16">
        <ns0:f>Q272-F272*'前提と出典'!$E$4</ns0:f>
        <ns0:v>138822.89970517805</ns0:v>
      </ns0:c>
      <ns0:c r="T272" s="7">
        <ns0:f>R272+S272</ns0:f>
        <ns0:v>567063.2900682096</ns0:v>
      </ns0:c>
      <ns0:c r="U272" s="16">
        <ns0:f>P272-E272*'前提と出典'!$E$5</ns0:f>
        <ns0:v>376383.8735626043</ns0:v>
      </ns0:c>
      <ns0:c r="V272" s="16">
        <ns0:f>Q272-F272*'前提と出典'!$E$5</ns0:f>
        <ns0:v>118471.10084911069</ns0:v>
      </ns0:c>
      <ns0:c r="W272" s="7">
        <ns0:f>U272+V272</ns0:f>
        <ns0:v>494854.974411715</ns0:v>
      </ns0:c>
      <ns0:c r="X272" s="16">
        <ns0:f>P272-E272*'前提と出典'!$E$6</ns0:f>
        <ns0:v>324527.35676217685</ns0:v>
      </ns0:c>
      <ns0:c r="Y272" s="16">
        <ns0:f>Q272-F272*'前提と出典'!$E$6</ns0:f>
        <ns0:v>98119.30199304334</ns0:v>
      </ns0:c>
      <ns0:c r="Z272" s="7">
        <ns0:f>X272+Y272</ns0:f>
        <ns0:v>422646.6587552202</ns0:v>
      </ns0:c>
      <ns0:c r="AA272" s="7">
        <ns0:f>IF(T272&gt;=0,A272,1001)</ns0:f>
        <ns0:v>268</ns0:v>
      </ns0:c>
      <ns0:c r="AB272" s="7">
        <ns0:f>IF(T272&lt;0,A272,0)</ns0:f>
        <ns0:v>0</ns0:v>
      </ns0:c>
      <ns0:c r="AC272" s="16">
        <ns0:f>IF(AND(OR('前提と出典'!$C$36+'前提と出典'!$C$38=0,R272&gt;=0),OR('前提と出典'!$C$37+'前提と出典'!$C$38=0,S272&gt;=0)),0,A272)</ns0:f>
        <ns0:v>0</ns0:v>
      </ns0:c>
      <ns0:c r="AD272" s="7">
        <ns0:f>IF(W272&gt;=0,A272,1001)</ns0:f>
        <ns0:v>268</ns0:v>
      </ns0:c>
      <ns0:c r="AE272" s="7">
        <ns0:f>IF(W272&lt;0,A272,0)</ns0:f>
        <ns0:v>0</ns0:v>
      </ns0:c>
      <ns0:c r="AF272" s="16">
        <ns0:f>IF(AND(OR('前提と出典'!$C$36+'前提と出典'!$C$38=0,U272&gt;=0),OR('前提と出典'!$C$37+'前提と出典'!$C$38=0,V272&gt;=0)),0,A272)</ns0:f>
        <ns0:v>0</ns0:v>
      </ns0:c>
      <ns0:c r="AG272" s="7">
        <ns0:f>IF(Z272&gt;=0,A272,1001)</ns0:f>
        <ns0:v>268</ns0:v>
      </ns0:c>
      <ns0:c r="AH272" s="4">
        <ns0:f>IF(Z272&lt;0,A272,0)</ns0:f>
        <ns0:v>0</ns0:v>
      </ns0:c>
      <ns0:c r="AI272" s="12">
        <ns0:f>IF(AND(OR('前提と出典'!$C$36+'前提と出典'!$C$38=0,X272&gt;=0),OR('前提と出典'!$C$37+'前提と出典'!$C$38=0,Y272&gt;=0)),0,A272)</ns0:f>
        <ns0:v>0</ns0:v>
      </ns0:c>
    </ns0:row>
    <ns0:row r="273" ht="24" customHeight="1">
      <ns0:c r="A273" s="4" t="n">
        <ns0:v>269</ns0:v>
      </ns0:c>
      <ns0:c r="B273" s="12">
        <ns0:f>A273*('前提と出典'!$C$36+'前提と出典'!$C$38)</ns0:f>
        <ns0:v>188.29999999999998</ns0:v>
      </ns0:c>
      <ns0:c r="C273" s="12">
        <ns0:f>A273*('前提と出典'!$C$37+'前提と出典'!$C$38)</ns0:f>
        <ns0:v>161.4</ns0:v>
      </ns0:c>
      <ns0:c r="D273" s="16">
        <ns0:f>A273*('前提と出典'!$C$36*'契約別単価'!C5+'前提と出典'!$C$37*'契約別単価'!C6+'前提と出典'!$C$38*'契約別単価'!C7)</ns0:f>
        <ns0:v>1935.5977653631285</ns0:v>
      </ns0:c>
      <ns0:c r="E273" s="16">
        <ns0:f>A273*('前提と出典'!$C$36*'契約別単価'!E5+'前提と出典'!$C$37*'契約別単価'!E6+'前提と出典'!$C$38*'契約別単価'!E7)</ns0:f>
        <ns0:v>520500.11266100645</ns0:v>
      </ns0:c>
      <ns0:c r="F273" s="16">
        <ns0:f>A273*('前提と出典'!$C$36*'契約別単価'!F5+'前提と出典'!$C$37*'契約別単価'!F6+'前提と出典'!$C$38*'契約別単価'!F7)</ns0:f>
        <ns0:v>204277.38404037748</ns0:v>
      </ns0:c>
      <ns0:c r="G273" s="16">
        <ns0:f>A273*('前提と出典'!$C$36*'契約別単価'!G5+'前提と出典'!$C$37*'契約別単価'!G6+'前提と出典'!$C$38*'契約別単価'!G7)</ns0:f>
        <ns0:v>535445.251396648</ns0:v>
      </ns0:c>
      <ns0:c r="H273" s="16">
        <ns0:f>A273*('前提と出典'!$C$36*'契約別単価'!H5+'前提と出典'!$C$37*'契約別単価'!H6+'前提と出典'!$C$38*'契約別単価'!H7)</ns0:f>
        <ns0:v>185826.3569242862</ns0:v>
      </ns0:c>
      <ns0:c r="I273" s="16">
        <ns0:f>A273*('前提と出典'!$C$36*'契約別単価'!I5+'前提と出典'!$C$37*'契約別単価'!I6+'前提と出典'!$C$38*'契約別単価'!I7)</ns0:f>
        <ns0:v>11350.597765363127</ns0:v>
      </ns0:c>
      <ns0:c r="J273" s="16">
        <ns0:f>A273*('前提と出典'!$C$36*'契約別単価'!J5+'前提と出典'!$C$37*'契約別単価'!J6+'前提と出典'!$C$38*'契約別単価'!J7)</ns0:f>
        <ns0:v>26439.88725807139</ns0:v>
      </ns0:c>
      <ns0:c r="K273" s="16">
        <ns0:f>A273*('前提と出典'!$C$36*'契約別単価'!K5+'前提と出典'!$C$37*'契約別単価'!K6+'前提と出典'!$C$38*'契約別単価'!K7)</ns0:f>
        <ns0:v>113330.65176908752</ns0:v>
      </ns0:c>
      <ns0:c r="L273" s="16">
        <ns0:f>A273*('前提と出典'!$C$36*'契約別単価'!L5+'前提と出典'!$C$37*'契約別単価'!L6+'前提と出典'!$C$38*'契約別単価'!L7)</ns0:f>
        <ns0:v>92274.2118974762</ns0:v>
      </ns0:c>
      <ns0:c r="M273" s="16">
        <ns0:f>IF(('前提と出典'!$C$36+'前提と出典'!$C$38)=0,0,IF(B273&lt;=10,'前提と出典'!B73+'前提と出典'!C73,IF(B273&lt;=100,'前提と出典'!B74+'前提と出典'!C74,IF(B273&lt;=500,'前提と出典'!B75+'前提と出典'!C75,'前提と出典'!B76+'前提と出典'!C76))))</ns0:f>
        <ns0:v>40000</ns0:v>
      </ns0:c>
      <ns0:c r="N273" s="16">
        <ns0:f>IF(('前提と出典'!$C$37+'前提と出典'!$C$38)=0,0,IF(C273&lt;=10,'前提と出典'!D73+'前提と出典'!E73,IF(C273&lt;=100,'前提と出典'!D74+'前提と出典'!E74,IF(C273&lt;=500,'前提と出典'!D75+'前提と出典'!E75,'前提と出典'!D76+'前提と出典'!E76))))</ns0:f>
        <ns0:v>56510.9346263078</ns0:v>
      </ns0:c>
      <ns0:c r="O273" s="16">
        <ns0:f>IF('前提と出典'!$C$36+'前提と出典'!$C$38=0,0,'前提と出典'!$B$4*IF('前提と出典'!$B$20=0,MAX('前提と出典'!$B$6,D273*'前提と出典'!$B$5),'前提と出典'!$B$6+D273*'前提と出典'!$B$5))</ns0:f>
        <ns0:v>267112.49162011174</ns0:v>
      </ns0:c>
      <ns0:c r="P273" s="16">
        <ns0:f>(E273+G273)*(1-'前提と出典'!$B$7)-I273-K273-M273-O273</ns0:f>
        <ns0:v>586137.5897970165</ns0:v>
      </ns0:c>
      <ns0:c r="Q273" s="16">
        <ns0:f>(F273+H273)*(1-'前提と出典'!$B$7)-J273-L273-N273</ns0:f>
        <ns0:v>200834.9725080804</ns0:v>
      </ns0:c>
      <ns0:c r="R273" s="16">
        <ns0:f>P273-E273*'前提と出典'!$E$4</ns0:f>
        <ns0:v>429987.5559987145</ns0:v>
      </ns0:c>
      <ns0:c r="S273" s="16">
        <ns0:f>Q273-F273*'前提と出典'!$E$4</ns0:f>
        <ns0:v>139551.75729596717</ns0:v>
      </ns0:c>
      <ns0:c r="T273" s="7">
        <ns0:f>R273+S273</ns0:f>
        <ns0:v>569539.3132946817</ns0:v>
      </ns0:c>
      <ns0:c r="U273" s="16">
        <ns0:f>P273-E273*'前提と出典'!$E$5</ns0:f>
        <ns0:v>377937.54473261384</ns0:v>
      </ns0:c>
      <ns0:c r="V273" s="16">
        <ns0:f>Q273-F273*'前提と出典'!$E$5</ns0:f>
        <ns0:v>119124.01889192939</ns0:v>
      </ns0:c>
      <ns0:c r="W273" s="7">
        <ns0:f>U273+V273</ns0:f>
        <ns0:v>497061.56362454325</ns0:v>
      </ns0:c>
      <ns0:c r="X273" s="16">
        <ns0:f>P273-E273*'前提と出典'!$E$6</ns0:f>
        <ns0:v>325887.53346651327</ns0:v>
      </ns0:c>
      <ns0:c r="Y273" s="16">
        <ns0:f>Q273-F273*'前提と出典'!$E$6</ns0:f>
        <ns0:v>98696.28048789166</ns0:v>
      </ns0:c>
      <ns0:c r="Z273" s="7">
        <ns0:f>X273+Y273</ns0:f>
        <ns0:v>424583.8139544049</ns0:v>
      </ns0:c>
      <ns0:c r="AA273" s="7">
        <ns0:f>IF(T273&gt;=0,A273,1001)</ns0:f>
        <ns0:v>269</ns0:v>
      </ns0:c>
      <ns0:c r="AB273" s="7">
        <ns0:f>IF(T273&lt;0,A273,0)</ns0:f>
        <ns0:v>0</ns0:v>
      </ns0:c>
      <ns0:c r="AC273" s="16">
        <ns0:f>IF(AND(OR('前提と出典'!$C$36+'前提と出典'!$C$38=0,R273&gt;=0),OR('前提と出典'!$C$37+'前提と出典'!$C$38=0,S273&gt;=0)),0,A273)</ns0:f>
        <ns0:v>0</ns0:v>
      </ns0:c>
      <ns0:c r="AD273" s="7">
        <ns0:f>IF(W273&gt;=0,A273,1001)</ns0:f>
        <ns0:v>269</ns0:v>
      </ns0:c>
      <ns0:c r="AE273" s="7">
        <ns0:f>IF(W273&lt;0,A273,0)</ns0:f>
        <ns0:v>0</ns0:v>
      </ns0:c>
      <ns0:c r="AF273" s="16">
        <ns0:f>IF(AND(OR('前提と出典'!$C$36+'前提と出典'!$C$38=0,U273&gt;=0),OR('前提と出典'!$C$37+'前提と出典'!$C$38=0,V273&gt;=0)),0,A273)</ns0:f>
        <ns0:v>0</ns0:v>
      </ns0:c>
      <ns0:c r="AG273" s="7">
        <ns0:f>IF(Z273&gt;=0,A273,1001)</ns0:f>
        <ns0:v>269</ns0:v>
      </ns0:c>
      <ns0:c r="AH273" s="4">
        <ns0:f>IF(Z273&lt;0,A273,0)</ns0:f>
        <ns0:v>0</ns0:v>
      </ns0:c>
      <ns0:c r="AI273" s="12">
        <ns0:f>IF(AND(OR('前提と出典'!$C$36+'前提と出典'!$C$38=0,X273&gt;=0),OR('前提と出典'!$C$37+'前提と出典'!$C$38=0,Y273&gt;=0)),0,A273)</ns0:f>
        <ns0:v>0</ns0:v>
      </ns0:c>
    </ns0:row>
    <ns0:row r="274" ht="24" customHeight="1">
      <ns0:c r="A274" s="4" t="n">
        <ns0:v>270</ns0:v>
      </ns0:c>
      <ns0:c r="B274" s="12">
        <ns0:f>A274*('前提と出典'!$C$36+'前提と出典'!$C$38)</ns0:f>
        <ns0:v>189</ns0:v>
      </ns0:c>
      <ns0:c r="C274" s="12">
        <ns0:f>A274*('前提と出典'!$C$37+'前提と出典'!$C$38)</ns0:f>
        <ns0:v>162</ns0:v>
      </ns0:c>
      <ns0:c r="D274" s="16">
        <ns0:f>A274*('前提と出典'!$C$36*'契約別単価'!C5+'前提と出典'!$C$37*'契約別単価'!C6+'前提と出典'!$C$38*'契約別単価'!C7)</ns0:f>
        <ns0:v>1942.7932960893854</ns0:v>
      </ns0:c>
      <ns0:c r="E274" s="16">
        <ns0:f>A274*('前提と出典'!$C$36*'契約別単価'!E5+'前提と出典'!$C$37*'契約別単価'!E6+'前提と出典'!$C$38*'契約別単価'!E7)</ns0:f>
        <ns0:v>522435.0573177388</ns0:v>
      </ns0:c>
      <ns0:c r="F274" s="16">
        <ns0:f>A274*('前提と出典'!$C$36*'契約別単価'!F5+'前提と出典'!$C$37*'契約別単価'!F6+'前提と出典'!$C$38*'契約別単価'!F7)</ns0:f>
        <ns0:v>205036.7795200815</ns0:v>
      </ns0:c>
      <ns0:c r="G274" s="16">
        <ns0:f>A274*('前提と出典'!$C$36*'契約別単価'!G5+'前提と出典'!$C$37*'契約別単価'!G6+'前提と出典'!$C$38*'契約別単価'!G7)</ns0:f>
        <ns0:v>537435.7541899441</ns0:v>
      </ns0:c>
      <ns0:c r="H274" s="16">
        <ns0:f>A274*('前提と出典'!$C$36*'契約別単価'!H5+'前提と出典'!$C$37*'契約別単価'!H6+'前提と出典'!$C$38*'契約別単価'!H7)</ns0:f>
        <ns0:v>186517.16122511998</ns0:v>
      </ns0:c>
      <ns0:c r="I274" s="16">
        <ns0:f>A274*('前提と出典'!$C$36*'契約別単価'!I5+'前提と出典'!$C$37*'契約別単価'!I6+'前提と出典'!$C$38*'契約別単価'!I7)</ns0:f>
        <ns0:v>11392.793296089383</ns0:v>
      </ns0:c>
      <ns0:c r="J274" s="16">
        <ns0:f>A274*('前提と出典'!$C$36*'契約別単価'!J5+'前提と出典'!$C$37*'契約別単価'!J6+'前提と出典'!$C$38*'契約別単価'!J7)</ns0:f>
        <ns0:v>26538.176801781694</ns0:v>
      </ns0:c>
      <ns0:c r="K274" s="16">
        <ns0:f>A274*('前提と出典'!$C$36*'契約別単価'!K5+'前提と出典'!$C$37*'契約別単価'!K6+'前提と出典'!$C$38*'契約別単価'!K7)</ns0:f>
        <ns0:v>113751.95530726256</ns0:v>
      </ns0:c>
      <ns0:c r="L274" s="16">
        <ns0:f>A274*('前提と出典'!$C$36*'契約別単価'!L5+'前提と出典'!$C$37*'契約別単価'!L6+'前提と出典'!$C$38*'契約別単価'!L7)</ns0:f>
        <ns0:v>92617.238707504</ns0:v>
      </ns0:c>
      <ns0:c r="M274" s="16">
        <ns0:f>IF(('前提と出典'!$C$36+'前提と出典'!$C$38)=0,0,IF(B274&lt;=10,'前提と出典'!B73+'前提と出典'!C73,IF(B274&lt;=100,'前提と出典'!B74+'前提と出典'!C74,IF(B274&lt;=500,'前提と出典'!B75+'前提と出典'!C75,'前提と出典'!B76+'前提と出典'!C76))))</ns0:f>
        <ns0:v>40000</ns0:v>
      </ns0:c>
      <ns0:c r="N274" s="16">
        <ns0:f>IF(('前提と出典'!$C$37+'前提と出典'!$C$38)=0,0,IF(C274&lt;=10,'前提と出典'!D73+'前提と出典'!E73,IF(C274&lt;=100,'前提と出典'!D74+'前提と出典'!E74,IF(C274&lt;=500,'前提と出典'!D75+'前提と出典'!E75,'前提と出典'!D76+'前提と出典'!E76))))</ns0:f>
        <ns0:v>56510.9346263078</ns0:v>
      </ns0:c>
      <ns0:c r="O274" s="16">
        <ns0:f>IF('前提と出典'!$C$36+'前提と出典'!$C$38=0,0,'前提と出典'!$B$4*IF('前提と出典'!$B$20=0,MAX('前提と出典'!$B$6,D274*'前提と出典'!$B$5),'前提と出典'!$B$6+D274*'前提と出典'!$B$5))</ns0:f>
        <ns0:v>268105.4748603352</ns0:v>
      </ns0:c>
      <ns0:c r="P274" s="16">
        <ns0:f>(E274+G274)*(1-'前提と出典'!$B$7)-I274-K274-M274-O274</ns0:f>
        <ns0:v>588465.2388297194</ns0:v>
      </ns0:c>
      <ns0:c r="Q274" s="16">
        <ns0:f>(F274+H274)*(1-'前提と出典'!$B$7)-J274-L274-N274</ns0:f>
        <ns0:v>201791.64874278073</ns0:v>
      </ns0:c>
      <ns0:c r="R274" s="16">
        <ns0:f>P274-E274*'前提と出典'!$E$4</ns0:f>
        <ns0:v>431734.7216343977</ns0:v>
      </ns0:c>
      <ns0:c r="S274" s="16">
        <ns0:f>Q274-F274*'前提と出典'!$E$4</ns0:f>
        <ns0:v>140280.6148867563</ns0:v>
      </ns0:c>
      <ns0:c r="T274" s="7">
        <ns0:f>R274+S274</ns0:f>
        <ns0:v>572015.336521154</ns0:v>
      </ns0:c>
      <ns0:c r="U274" s="16">
        <ns0:f>P274-E274*'前提と出典'!$E$5</ns0:f>
        <ns0:v>379491.2159026238</ns0:v>
      </ns0:c>
      <ns0:c r="V274" s="16">
        <ns0:f>Q274-F274*'前提と出典'!$E$5</ns0:f>
        <ns0:v>119776.93693474814</ns0:v>
      </ns0:c>
      <ns0:c r="W274" s="7">
        <ns0:f>U274+V274</ns0:f>
        <ns0:v>499268.1528373719</ns0:v>
      </ns0:c>
      <ns0:c r="X274" s="16">
        <ns0:f>P274-E274*'前提と出典'!$E$6</ns0:f>
        <ns0:v>327247.71017084987</ns0:v>
      </ns0:c>
      <ns0:c r="Y274" s="16">
        <ns0:f>Q274-F274*'前提と出典'!$E$6</ns0:f>
        <ns0:v>99273.25898274</ns0:v>
      </ns0:c>
      <ns0:c r="Z274" s="7">
        <ns0:f>X274+Y274</ns0:f>
        <ns0:v>426520.96915358986</ns0:v>
      </ns0:c>
      <ns0:c r="AA274" s="7">
        <ns0:f>IF(T274&gt;=0,A274,1001)</ns0:f>
        <ns0:v>270</ns0:v>
      </ns0:c>
      <ns0:c r="AB274" s="7">
        <ns0:f>IF(T274&lt;0,A274,0)</ns0:f>
        <ns0:v>0</ns0:v>
      </ns0:c>
      <ns0:c r="AC274" s="16">
        <ns0:f>IF(AND(OR('前提と出典'!$C$36+'前提と出典'!$C$38=0,R274&gt;=0),OR('前提と出典'!$C$37+'前提と出典'!$C$38=0,S274&gt;=0)),0,A274)</ns0:f>
        <ns0:v>0</ns0:v>
      </ns0:c>
      <ns0:c r="AD274" s="7">
        <ns0:f>IF(W274&gt;=0,A274,1001)</ns0:f>
        <ns0:v>270</ns0:v>
      </ns0:c>
      <ns0:c r="AE274" s="7">
        <ns0:f>IF(W274&lt;0,A274,0)</ns0:f>
        <ns0:v>0</ns0:v>
      </ns0:c>
      <ns0:c r="AF274" s="16">
        <ns0:f>IF(AND(OR('前提と出典'!$C$36+'前提と出典'!$C$38=0,U274&gt;=0),OR('前提と出典'!$C$37+'前提と出典'!$C$38=0,V274&gt;=0)),0,A274)</ns0:f>
        <ns0:v>0</ns0:v>
      </ns0:c>
      <ns0:c r="AG274" s="7">
        <ns0:f>IF(Z274&gt;=0,A274,1001)</ns0:f>
        <ns0:v>270</ns0:v>
      </ns0:c>
      <ns0:c r="AH274" s="4">
        <ns0:f>IF(Z274&lt;0,A274,0)</ns0:f>
        <ns0:v>0</ns0:v>
      </ns0:c>
      <ns0:c r="AI274" s="12">
        <ns0:f>IF(AND(OR('前提と出典'!$C$36+'前提と出典'!$C$38=0,X274&gt;=0),OR('前提と出典'!$C$37+'前提と出典'!$C$38=0,Y274&gt;=0)),0,A274)</ns0:f>
        <ns0:v>0</ns0:v>
      </ns0:c>
    </ns0:row>
    <ns0:row r="275" ht="24" customHeight="1">
      <ns0:c r="A275" s="4" t="n">
        <ns0:v>271</ns0:v>
      </ns0:c>
      <ns0:c r="B275" s="12">
        <ns0:f>A275*('前提と出典'!$C$36+'前提と出典'!$C$38)</ns0:f>
        <ns0:v>189.7</ns0:v>
      </ns0:c>
      <ns0:c r="C275" s="12">
        <ns0:f>A275*('前提と出典'!$C$37+'前提と出典'!$C$38)</ns0:f>
        <ns0:v>162.6</ns0:v>
      </ns0:c>
      <ns0:c r="D275" s="16">
        <ns0:f>A275*('前提と出典'!$C$36*'契約別単価'!C5+'前提と出典'!$C$37*'契約別単価'!C6+'前提と出典'!$C$38*'契約別単価'!C7)</ns0:f>
        <ns0:v>1949.9888268156424</ns0:v>
      </ns0:c>
      <ns0:c r="E275" s="16">
        <ns0:f>A275*('前提と出典'!$C$36*'契約別単価'!E5+'前提と出典'!$C$37*'契約別単価'!E6+'前提と出典'!$C$38*'契約別単価'!E7)</ns0:f>
        <ns0:v>524370.0019744711</ns0:v>
      </ns0:c>
      <ns0:c r="F275" s="16">
        <ns0:f>A275*('前提と出典'!$C$36*'契約別単価'!F5+'前提と出典'!$C$37*'契約別単価'!F6+'前提と出典'!$C$38*'契約別単価'!F7)</ns0:f>
        <ns0:v>205796.1749997855</ns0:v>
      </ns0:c>
      <ns0:c r="G275" s="16">
        <ns0:f>A275*('前提と出典'!$C$36*'契約別単価'!G5+'前提と出典'!$C$37*'契約別単価'!G6+'前提と出典'!$C$38*'契約別単価'!G7)</ns0:f>
        <ns0:v>539426.2569832403</ns0:v>
      </ns0:c>
      <ns0:c r="H275" s="16">
        <ns0:f>A275*('前提と出典'!$C$36*'契約別単価'!H5+'前提と出典'!$C$37*'契約別単価'!H6+'前提と出典'!$C$38*'契約別単価'!H7)</ns0:f>
        <ns0:v>187207.96552595374</ns0:v>
      </ns0:c>
      <ns0:c r="I275" s="16">
        <ns0:f>A275*('前提と出典'!$C$36*'契約別単価'!I5+'前提と出典'!$C$37*'契約別単価'!I6+'前提と出典'!$C$38*'契約別単価'!I7)</ns0:f>
        <ns0:v>11434.988826815641</ns0:v>
      </ns0:c>
      <ns0:c r="J275" s="16">
        <ns0:f>A275*('前提と出典'!$C$36*'契約別単価'!J5+'前提と出典'!$C$37*'契約別単価'!J6+'前提と出典'!$C$38*'契約別単価'!J7)</ns0:f>
        <ns0:v>26636.466345491997</ns0:v>
      </ns0:c>
      <ns0:c r="K275" s="16">
        <ns0:f>A275*('前提と出典'!$C$36*'契約別単価'!K5+'前提と出典'!$C$37*'契約別単価'!K6+'前提と出典'!$C$38*'契約別単価'!K7)</ns0:f>
        <ns0:v>114173.25884543761</ns0:v>
      </ns0:c>
      <ns0:c r="L275" s="16">
        <ns0:f>A275*('前提と出典'!$C$36*'契約別単価'!L5+'前提と出典'!$C$37*'契約別単価'!L6+'前提と出典'!$C$38*'契約別単価'!L7)</ns0:f>
        <ns0:v>92960.26551753179</ns0:v>
      </ns0:c>
      <ns0:c r="M275" s="16">
        <ns0:f>IF(('前提と出典'!$C$36+'前提と出典'!$C$38)=0,0,IF(B275&lt;=10,'前提と出典'!B73+'前提と出典'!C73,IF(B275&lt;=100,'前提と出典'!B74+'前提と出典'!C74,IF(B275&lt;=500,'前提と出典'!B75+'前提と出典'!C75,'前提と出典'!B76+'前提と出典'!C76))))</ns0:f>
        <ns0:v>40000</ns0:v>
      </ns0:c>
      <ns0:c r="N275" s="16">
        <ns0:f>IF(('前提と出典'!$C$37+'前提と出典'!$C$38)=0,0,IF(C275&lt;=10,'前提と出典'!D73+'前提と出典'!E73,IF(C275&lt;=100,'前提と出典'!D74+'前提と出典'!E74,IF(C275&lt;=500,'前提と出典'!D75+'前提と出典'!E75,'前提と出典'!D76+'前提と出典'!E76))))</ns0:f>
        <ns0:v>56510.9346263078</ns0:v>
      </ns0:c>
      <ns0:c r="O275" s="16">
        <ns0:f>IF('前提と出典'!$C$36+'前提と出典'!$C$38=0,0,'前提と出典'!$B$4*IF('前提と出典'!$B$20=0,MAX('前提と出典'!$B$6,D275*'前提と出典'!$B$5),'前提と出典'!$B$6+D275*'前提と出典'!$B$5))</ns0:f>
        <ns0:v>269098.45810055867</ns0:v>
      </ns0:c>
      <ns0:c r="P275" s="16">
        <ns0:f>(E275+G275)*(1-'前提と出典'!$B$7)-I275-K275-M275-O275</ns0:f>
        <ns0:v>590792.887862422</ns0:v>
      </ns0:c>
      <ns0:c r="Q275" s="16">
        <ns0:f>(F275+H275)*(1-'前提と出典'!$B$7)-J275-L275-N275</ns0:f>
        <ns0:v>202748.324977481</ns0:v>
      </ns0:c>
      <ns0:c r="R275" s="16">
        <ns0:f>P275-E275*'前提と出典'!$E$4</ns0:f>
        <ns0:v>433481.8872700807</ns0:v>
      </ns0:c>
      <ns0:c r="S275" s="16">
        <ns0:f>Q275-F275*'前提と出典'!$E$4</ns0:f>
        <ns0:v>141009.47247754538</ns0:v>
      </ns0:c>
      <ns0:c r="T275" s="7">
        <ns0:f>R275+S275</ns0:f>
        <ns0:v>574491.3597476261</ns0:v>
      </ns0:c>
      <ns0:c r="U275" s="16">
        <ns0:f>P275-E275*'前提と出典'!$E$5</ns0:f>
        <ns0:v>381044.88707263354</ns0:v>
      </ns0:c>
      <ns0:c r="V275" s="16">
        <ns0:f>Q275-F275*'前提と出典'!$E$5</ns0:f>
        <ns0:v>120429.8549775668</ns0:v>
      </ns0:c>
      <ns0:c r="W275" s="7">
        <ns0:f>U275+V275</ns0:f>
        <ns0:v>501474.74205020035</ns0:v>
      </ns0:c>
      <ns0:c r="X275" s="16">
        <ns0:f>P275-E275*'前提と出典'!$E$6</ns0:f>
        <ns0:v>328607.8868751864</ns0:v>
      </ns0:c>
      <ns0:c r="Y275" s="16">
        <ns0:f>Q275-F275*'前提と出典'!$E$6</ns0:f>
        <ns0:v>99850.23747758829</ns0:v>
      </ns0:c>
      <ns0:c r="Z275" s="7">
        <ns0:f>X275+Y275</ns0:f>
        <ns0:v>428458.1243527747</ns0:v>
      </ns0:c>
      <ns0:c r="AA275" s="7">
        <ns0:f>IF(T275&gt;=0,A275,1001)</ns0:f>
        <ns0:v>271</ns0:v>
      </ns0:c>
      <ns0:c r="AB275" s="7">
        <ns0:f>IF(T275&lt;0,A275,0)</ns0:f>
        <ns0:v>0</ns0:v>
      </ns0:c>
      <ns0:c r="AC275" s="16">
        <ns0:f>IF(AND(OR('前提と出典'!$C$36+'前提と出典'!$C$38=0,R275&gt;=0),OR('前提と出典'!$C$37+'前提と出典'!$C$38=0,S275&gt;=0)),0,A275)</ns0:f>
        <ns0:v>0</ns0:v>
      </ns0:c>
      <ns0:c r="AD275" s="7">
        <ns0:f>IF(W275&gt;=0,A275,1001)</ns0:f>
        <ns0:v>271</ns0:v>
      </ns0:c>
      <ns0:c r="AE275" s="7">
        <ns0:f>IF(W275&lt;0,A275,0)</ns0:f>
        <ns0:v>0</ns0:v>
      </ns0:c>
      <ns0:c r="AF275" s="16">
        <ns0:f>IF(AND(OR('前提と出典'!$C$36+'前提と出典'!$C$38=0,U275&gt;=0),OR('前提と出典'!$C$37+'前提と出典'!$C$38=0,V275&gt;=0)),0,A275)</ns0:f>
        <ns0:v>0</ns0:v>
      </ns0:c>
      <ns0:c r="AG275" s="7">
        <ns0:f>IF(Z275&gt;=0,A275,1001)</ns0:f>
        <ns0:v>271</ns0:v>
      </ns0:c>
      <ns0:c r="AH275" s="4">
        <ns0:f>IF(Z275&lt;0,A275,0)</ns0:f>
        <ns0:v>0</ns0:v>
      </ns0:c>
      <ns0:c r="AI275" s="12">
        <ns0:f>IF(AND(OR('前提と出典'!$C$36+'前提と出典'!$C$38=0,X275&gt;=0),OR('前提と出典'!$C$37+'前提と出典'!$C$38=0,Y275&gt;=0)),0,A275)</ns0:f>
        <ns0:v>0</ns0:v>
      </ns0:c>
    </ns0:row>
    <ns0:row r="276" ht="24" customHeight="1">
      <ns0:c r="A276" s="4" t="n">
        <ns0:v>272</ns0:v>
      </ns0:c>
      <ns0:c r="B276" s="12">
        <ns0:f>A276*('前提と出典'!$C$36+'前提と出典'!$C$38)</ns0:f>
        <ns0:v>190.39999999999998</ns0:v>
      </ns0:c>
      <ns0:c r="C276" s="12">
        <ns0:f>A276*('前提と出典'!$C$37+'前提と出典'!$C$38)</ns0:f>
        <ns0:v>163.2</ns0:v>
      </ns0:c>
      <ns0:c r="D276" s="16">
        <ns0:f>A276*('前提と出典'!$C$36*'契約別単価'!C5+'前提と出典'!$C$37*'契約別単価'!C6+'前提と出典'!$C$38*'契約別単価'!C7)</ns0:f>
        <ns0:v>1957.1843575418993</ns0:v>
      </ns0:c>
      <ns0:c r="E276" s="16">
        <ns0:f>A276*('前提と出典'!$C$36*'契約別単価'!E5+'前提と出典'!$C$37*'契約別単価'!E6+'前提と出典'!$C$38*'契約別単価'!E7)</ns0:f>
        <ns0:v>526304.9466312035</ns0:v>
      </ns0:c>
      <ns0:c r="F276" s="16">
        <ns0:f>A276*('前提と出典'!$C$36*'契約別単価'!F5+'前提と出典'!$C$37*'契約別単価'!F6+'前提と出典'!$C$38*'契約別単価'!F7)</ns0:f>
        <ns0:v>206555.5704794895</ns0:v>
      </ns0:c>
      <ns0:c r="G276" s="16">
        <ns0:f>A276*('前提と出典'!$C$36*'契約別単価'!G5+'前提と出典'!$C$37*'契約別単価'!G6+'前提と出典'!$C$38*'契約別単価'!G7)</ns0:f>
        <ns0:v>541416.7597765363</ns0:v>
      </ns0:c>
      <ns0:c r="H276" s="16">
        <ns0:f>A276*('前提と出典'!$C$36*'契約別単価'!H5+'前提と出典'!$C$37*'契約別単価'!H6+'前提と出典'!$C$38*'契約別単価'!H7)</ns0:f>
        <ns0:v>187898.76982678752</ns0:v>
      </ns0:c>
      <ns0:c r="I276" s="16">
        <ns0:f>A276*('前提と出典'!$C$36*'契約別単価'!I5+'前提と出典'!$C$37*'契約別単価'!I6+'前提と出典'!$C$38*'契約別単価'!I7)</ns0:f>
        <ns0:v>11477.184357541897</ns0:v>
      </ns0:c>
      <ns0:c r="J276" s="16">
        <ns0:f>A276*('前提と出典'!$C$36*'契約別単価'!J5+'前提と出典'!$C$37*'契約別単価'!J6+'前提と出典'!$C$38*'契約別単価'!J7)</ns0:f>
        <ns0:v>26734.755889202297</ns0:v>
      </ns0:c>
      <ns0:c r="K276" s="16">
        <ns0:f>A276*('前提と出典'!$C$36*'契約別単価'!K5+'前提と出典'!$C$37*'契約別単価'!K6+'前提と出典'!$C$38*'契約別単価'!K7)</ns0:f>
        <ns0:v>114594.56238361266</ns0:v>
      </ns0:c>
      <ns0:c r="L276" s="16">
        <ns0:f>A276*('前提と出典'!$C$36*'契約別単価'!L5+'前提と出典'!$C$37*'契約別単価'!L6+'前提と出典'!$C$38*'契約別単価'!L7)</ns0:f>
        <ns0:v>93303.29232755958</ns0:v>
      </ns0:c>
      <ns0:c r="M276" s="16">
        <ns0:f>IF(('前提と出典'!$C$36+'前提と出典'!$C$38)=0,0,IF(B276&lt;=10,'前提と出典'!B73+'前提と出典'!C73,IF(B276&lt;=100,'前提と出典'!B74+'前提と出典'!C74,IF(B276&lt;=500,'前提と出典'!B75+'前提と出典'!C75,'前提と出典'!B76+'前提と出典'!C76))))</ns0:f>
        <ns0:v>40000</ns0:v>
      </ns0:c>
      <ns0:c r="N276" s="16">
        <ns0:f>IF(('前提と出典'!$C$37+'前提と出典'!$C$38)=0,0,IF(C276&lt;=10,'前提と出典'!D73+'前提と出典'!E73,IF(C276&lt;=100,'前提と出典'!D74+'前提と出典'!E74,IF(C276&lt;=500,'前提と出典'!D75+'前提と出典'!E75,'前提と出典'!D76+'前提と出典'!E76))))</ns0:f>
        <ns0:v>56510.9346263078</ns0:v>
      </ns0:c>
      <ns0:c r="O276" s="16">
        <ns0:f>IF('前提と出典'!$C$36+'前提と出典'!$C$38=0,0,'前提と出典'!$B$4*IF('前提と出典'!$B$20=0,MAX('前提と出典'!$B$6,D276*'前提と出典'!$B$5),'前提と出典'!$B$6+D276*'前提と出典'!$B$5))</ns0:f>
        <ns0:v>270091.4413407821</ns0:v>
      </ns0:c>
      <ns0:c r="P276" s="16">
        <ns0:f>(E276+G276)*(1-'前提と出典'!$B$7)-I276-K276-M276-O276</ns0:f>
        <ns0:v>593120.5368951246</ns0:v>
      </ns0:c>
      <ns0:c r="Q276" s="16">
        <ns0:f>(F276+H276)*(1-'前提と出典'!$B$7)-J276-L276-N276</ns0:f>
        <ns0:v>203705.00121218138</ns0:v>
      </ns0:c>
      <ns0:c r="R276" s="16">
        <ns0:f>P276-E276*'前提と出典'!$E$4</ns0:f>
        <ns0:v>435229.0529057635</ns0:v>
      </ns0:c>
      <ns0:c r="S276" s="16">
        <ns0:f>Q276-F276*'前提と出典'!$E$4</ns0:f>
        <ns0:v>141738.33006833456</ns0:v>
      </ns0:c>
      <ns0:c r="T276" s="7">
        <ns0:f>R276+S276</ns0:f>
        <ns0:v>576967.3829740981</ns0:v>
      </ns0:c>
      <ns0:c r="U276" s="16">
        <ns0:f>P276-E276*'前提と出典'!$E$5</ns0:f>
        <ns0:v>382598.55824264314</ns0:v>
      </ns0:c>
      <ns0:c r="V276" s="16">
        <ns0:f>Q276-F276*'前提と出典'!$E$5</ns0:f>
        <ns0:v>121082.77302038556</ns0:v>
      </ns0:c>
      <ns0:c r="W276" s="7">
        <ns0:f>U276+V276</ns0:f>
        <ns0:v>503681.33126302867</ns0:v>
      </ns0:c>
      <ns0:c r="X276" s="16">
        <ns0:f>P276-E276*'前提と出典'!$E$6</ns0:f>
        <ns0:v>329968.0635795229</ns0:v>
      </ns0:c>
      <ns0:c r="Y276" s="16">
        <ns0:f>Q276-F276*'前提と出典'!$E$6</ns0:f>
        <ns0:v>100427.21597243662</ns0:v>
      </ns0:c>
      <ns0:c r="Z276" s="7">
        <ns0:f>X276+Y276</ns0:f>
        <ns0:v>430395.2795519595</ns0:v>
      </ns0:c>
      <ns0:c r="AA276" s="7">
        <ns0:f>IF(T276&gt;=0,A276,1001)</ns0:f>
        <ns0:v>272</ns0:v>
      </ns0:c>
      <ns0:c r="AB276" s="7">
        <ns0:f>IF(T276&lt;0,A276,0)</ns0:f>
        <ns0:v>0</ns0:v>
      </ns0:c>
      <ns0:c r="AC276" s="16">
        <ns0:f>IF(AND(OR('前提と出典'!$C$36+'前提と出典'!$C$38=0,R276&gt;=0),OR('前提と出典'!$C$37+'前提と出典'!$C$38=0,S276&gt;=0)),0,A276)</ns0:f>
        <ns0:v>0</ns0:v>
      </ns0:c>
      <ns0:c r="AD276" s="7">
        <ns0:f>IF(W276&gt;=0,A276,1001)</ns0:f>
        <ns0:v>272</ns0:v>
      </ns0:c>
      <ns0:c r="AE276" s="7">
        <ns0:f>IF(W276&lt;0,A276,0)</ns0:f>
        <ns0:v>0</ns0:v>
      </ns0:c>
      <ns0:c r="AF276" s="16">
        <ns0:f>IF(AND(OR('前提と出典'!$C$36+'前提と出典'!$C$38=0,U276&gt;=0),OR('前提と出典'!$C$37+'前提と出典'!$C$38=0,V276&gt;=0)),0,A276)</ns0:f>
        <ns0:v>0</ns0:v>
      </ns0:c>
      <ns0:c r="AG276" s="7">
        <ns0:f>IF(Z276&gt;=0,A276,1001)</ns0:f>
        <ns0:v>272</ns0:v>
      </ns0:c>
      <ns0:c r="AH276" s="4">
        <ns0:f>IF(Z276&lt;0,A276,0)</ns0:f>
        <ns0:v>0</ns0:v>
      </ns0:c>
      <ns0:c r="AI276" s="12">
        <ns0:f>IF(AND(OR('前提と出典'!$C$36+'前提と出典'!$C$38=0,X276&gt;=0),OR('前提と出典'!$C$37+'前提と出典'!$C$38=0,Y276&gt;=0)),0,A276)</ns0:f>
        <ns0:v>0</ns0:v>
      </ns0:c>
    </ns0:row>
    <ns0:row r="277" ht="24" customHeight="1">
      <ns0:c r="A277" s="4" t="n">
        <ns0:v>273</ns0:v>
      </ns0:c>
      <ns0:c r="B277" s="12">
        <ns0:f>A277*('前提と出典'!$C$36+'前提と出典'!$C$38)</ns0:f>
        <ns0:v>191.1</ns0:v>
      </ns0:c>
      <ns0:c r="C277" s="12">
        <ns0:f>A277*('前提と出典'!$C$37+'前提と出典'!$C$38)</ns0:f>
        <ns0:v>163.79999999999998</ns0:v>
      </ns0:c>
      <ns0:c r="D277" s="16">
        <ns0:f>A277*('前提と出典'!$C$36*'契約別単価'!C5+'前提と出典'!$C$37*'契約別単価'!C6+'前提と出典'!$C$38*'契約別単価'!C7)</ns0:f>
        <ns0:v>1964.3798882681565</ns0:v>
      </ns0:c>
      <ns0:c r="E277" s="16">
        <ns0:f>A277*('前提と出典'!$C$36*'契約別単価'!E5+'前提と出典'!$C$37*'契約別単価'!E6+'前提と出典'!$C$38*'契約別単価'!E7)</ns0:f>
        <ns0:v>528239.8912879359</ns0:v>
      </ns0:c>
      <ns0:c r="F277" s="16">
        <ns0:f>A277*('前提と出典'!$C$36*'契約別単価'!F5+'前提と出典'!$C$37*'契約別単価'!F6+'前提と出典'!$C$38*'契約別単価'!F7)</ns0:f>
        <ns0:v>207314.9659591935</ns0:v>
      </ns0:c>
      <ns0:c r="G277" s="16">
        <ns0:f>A277*('前提と出典'!$C$36*'契約別単価'!G5+'前提と出典'!$C$37*'契約別単価'!G6+'前提と出典'!$C$38*'契約別単価'!G7)</ns0:f>
        <ns0:v>543407.2625698324</ns0:v>
      </ns0:c>
      <ns0:c r="H277" s="16">
        <ns0:f>A277*('前提と出典'!$C$36*'契約別単価'!H5+'前提と出典'!$C$37*'契約別単価'!H6+'前提と出典'!$C$38*'契約別単価'!H7)</ns0:f>
        <ns0:v>188589.5741276213</ns0:v>
      </ns0:c>
      <ns0:c r="I277" s="16">
        <ns0:f>A277*('前提と出典'!$C$36*'契約別単価'!I5+'前提と出典'!$C$37*'契約別単価'!I6+'前提と出典'!$C$38*'契約別単価'!I7)</ns0:f>
        <ns0:v>11519.379888268155</ns0:v>
      </ns0:c>
      <ns0:c r="J277" s="16">
        <ns0:f>A277*('前提と出典'!$C$36*'契約別単価'!J5+'前提と出典'!$C$37*'契約別単価'!J6+'前提と出典'!$C$38*'契約別単価'!J7)</ns0:f>
        <ns0:v>26833.0454329126</ns0:v>
      </ns0:c>
      <ns0:c r="K277" s="16">
        <ns0:f>A277*('前提と出典'!$C$36*'契約別単価'!K5+'前提と出典'!$C$37*'契約別単価'!K6+'前提と出典'!$C$38*'契約別単価'!K7)</ns0:f>
        <ns0:v>115015.8659217877</ns0:v>
      </ns0:c>
      <ns0:c r="L277" s="16">
        <ns0:f>A277*('前提と出典'!$C$36*'契約別単価'!L5+'前提と出典'!$C$37*'契約別単価'!L6+'前提と出典'!$C$38*'契約別単価'!L7)</ns0:f>
        <ns0:v>93646.31913758737</ns0:v>
      </ns0:c>
      <ns0:c r="M277" s="16">
        <ns0:f>IF(('前提と出典'!$C$36+'前提と出典'!$C$38)=0,0,IF(B277&lt;=10,'前提と出典'!B73+'前提と出典'!C73,IF(B277&lt;=100,'前提と出典'!B74+'前提と出典'!C74,IF(B277&lt;=500,'前提と出典'!B75+'前提と出典'!C75,'前提と出典'!B76+'前提と出典'!C76))))</ns0:f>
        <ns0:v>40000</ns0:v>
      </ns0:c>
      <ns0:c r="N277" s="16">
        <ns0:f>IF(('前提と出典'!$C$37+'前提と出典'!$C$38)=0,0,IF(C277&lt;=10,'前提と出典'!D73+'前提と出典'!E73,IF(C277&lt;=100,'前提と出典'!D74+'前提と出典'!E74,IF(C277&lt;=500,'前提と出典'!D75+'前提と出典'!E75,'前提と出典'!D76+'前提と出典'!E76))))</ns0:f>
        <ns0:v>56510.9346263078</ns0:v>
      </ns0:c>
      <ns0:c r="O277" s="16">
        <ns0:f>IF('前提と出典'!$C$36+'前提と出典'!$C$38=0,0,'前提と出典'!$B$4*IF('前提と出典'!$B$20=0,MAX('前提と出典'!$B$6,D277*'前提と出典'!$B$5),'前提と出典'!$B$6+D277*'前提と出典'!$B$5))</ns0:f>
        <ns0:v>271084.4245810056</ns0:v>
      </ns0:c>
      <ns0:c r="P277" s="16">
        <ns0:f>(E277+G277)*(1-'前提と出典'!$B$7)-I277-K277-M277-O277</ns0:f>
        <ns0:v>595448.1859278271</ns0:v>
      </ns0:c>
      <ns0:c r="Q277" s="16">
        <ns0:f>(F277+H277)*(1-'前提と出典'!$B$7)-J277-L277-N277</ns0:f>
        <ns0:v>204661.67744688166</ns0:v>
      </ns0:c>
      <ns0:c r="R277" s="16">
        <ns0:f>P277-E277*'前提と出典'!$E$4</ns0:f>
        <ns0:v>436976.2185414464</ns0:v>
      </ns0:c>
      <ns0:c r="S277" s="16">
        <ns0:f>Q277-F277*'前提と出典'!$E$4</ns0:f>
        <ns0:v>142467.18765912362</ns0:v>
      </ns0:c>
      <ns0:c r="T277" s="7">
        <ns0:f>R277+S277</ns0:f>
        <ns0:v>579443.40620057</ns0:v>
      </ns0:c>
      <ns0:c r="U277" s="16">
        <ns0:f>P277-E277*'前提と出典'!$E$5</ns0:f>
        <ns0:v>384152.2294126528</ns0:v>
      </ns0:c>
      <ns0:c r="V277" s="16">
        <ns0:f>Q277-F277*'前提と出典'!$E$5</ns0:f>
        <ns0:v>121735.69106320426</ns0:v>
      </ns0:c>
      <ns0:c r="W277" s="7">
        <ns0:f>U277+V277</ns0:f>
        <ns0:v>505887.92047585704</ns0:v>
      </ns0:c>
      <ns0:c r="X277" s="16">
        <ns0:f>P277-E277*'前提と出典'!$E$6</ns0:f>
        <ns0:v>331328.2402838592</ns0:v>
      </ns0:c>
      <ns0:c r="Y277" s="16">
        <ns0:f>Q277-F277*'前提と出典'!$E$6</ns0:f>
        <ns0:v>101004.19446728489</ns0:v>
      </ns0:c>
      <ns0:c r="Z277" s="7">
        <ns0:f>X277+Y277</ns0:f>
        <ns0:v>432332.4347511441</ns0:v>
      </ns0:c>
      <ns0:c r="AA277" s="7">
        <ns0:f>IF(T277&gt;=0,A277,1001)</ns0:f>
        <ns0:v>273</ns0:v>
      </ns0:c>
      <ns0:c r="AB277" s="7">
        <ns0:f>IF(T277&lt;0,A277,0)</ns0:f>
        <ns0:v>0</ns0:v>
      </ns0:c>
      <ns0:c r="AC277" s="16">
        <ns0:f>IF(AND(OR('前提と出典'!$C$36+'前提と出典'!$C$38=0,R277&gt;=0),OR('前提と出典'!$C$37+'前提と出典'!$C$38=0,S277&gt;=0)),0,A277)</ns0:f>
        <ns0:v>0</ns0:v>
      </ns0:c>
      <ns0:c r="AD277" s="7">
        <ns0:f>IF(W277&gt;=0,A277,1001)</ns0:f>
        <ns0:v>273</ns0:v>
      </ns0:c>
      <ns0:c r="AE277" s="7">
        <ns0:f>IF(W277&lt;0,A277,0)</ns0:f>
        <ns0:v>0</ns0:v>
      </ns0:c>
      <ns0:c r="AF277" s="16">
        <ns0:f>IF(AND(OR('前提と出典'!$C$36+'前提と出典'!$C$38=0,U277&gt;=0),OR('前提と出典'!$C$37+'前提と出典'!$C$38=0,V277&gt;=0)),0,A277)</ns0:f>
        <ns0:v>0</ns0:v>
      </ns0:c>
      <ns0:c r="AG277" s="7">
        <ns0:f>IF(Z277&gt;=0,A277,1001)</ns0:f>
        <ns0:v>273</ns0:v>
      </ns0:c>
      <ns0:c r="AH277" s="4">
        <ns0:f>IF(Z277&lt;0,A277,0)</ns0:f>
        <ns0:v>0</ns0:v>
      </ns0:c>
      <ns0:c r="AI277" s="12">
        <ns0:f>IF(AND(OR('前提と出典'!$C$36+'前提と出典'!$C$38=0,X277&gt;=0),OR('前提と出典'!$C$37+'前提と出典'!$C$38=0,Y277&gt;=0)),0,A277)</ns0:f>
        <ns0:v>0</ns0:v>
      </ns0:c>
    </ns0:row>
    <ns0:row r="278" ht="24" customHeight="1">
      <ns0:c r="A278" s="4" t="n">
        <ns0:v>274</ns0:v>
      </ns0:c>
      <ns0:c r="B278" s="12">
        <ns0:f>A278*('前提と出典'!$C$36+'前提と出典'!$C$38)</ns0:f>
        <ns0:v>191.79999999999998</ns0:v>
      </ns0:c>
      <ns0:c r="C278" s="12">
        <ns0:f>A278*('前提と出典'!$C$37+'前提と出典'!$C$38)</ns0:f>
        <ns0:v>164.4</ns0:v>
      </ns0:c>
      <ns0:c r="D278" s="16">
        <ns0:f>A278*('前提と出典'!$C$36*'契約別単価'!C5+'前提と出典'!$C$37*'契約別単価'!C6+'前提と出典'!$C$38*'契約別単価'!C7)</ns0:f>
        <ns0:v>1971.5754189944134</ns0:v>
      </ns0:c>
      <ns0:c r="E278" s="16">
        <ns0:f>A278*('前提と出典'!$C$36*'契約別単価'!E5+'前提と出典'!$C$37*'契約別単価'!E6+'前提と出典'!$C$38*'契約別単価'!E7)</ns0:f>
        <ns0:v>530174.8359446683</ns0:v>
      </ns0:c>
      <ns0:c r="F278" s="16">
        <ns0:f>A278*('前提と出典'!$C$36*'契約別単価'!F5+'前提と出典'!$C$37*'契約別単価'!F6+'前提と出典'!$C$38*'契約別単価'!F7)</ns0:f>
        <ns0:v>208074.36143889753</ns0:v>
      </ns0:c>
      <ns0:c r="G278" s="16">
        <ns0:f>A278*('前提と出典'!$C$36*'契約別単価'!G5+'前提と出典'!$C$37*'契約別単価'!G6+'前提と出典'!$C$38*'契約別単価'!G7)</ns0:f>
        <ns0:v>545397.7653631285</ns0:v>
      </ns0:c>
      <ns0:c r="H278" s="16">
        <ns0:f>A278*('前提と出典'!$C$36*'契約別単価'!H5+'前提と出典'!$C$37*'契約別単価'!H6+'前提と出典'!$C$38*'契約別単価'!H7)</ns0:f>
        <ns0:v>189280.3784284551</ns0:v>
      </ns0:c>
      <ns0:c r="I278" s="16">
        <ns0:f>A278*('前提と出典'!$C$36*'契約別単価'!I5+'前提と出典'!$C$37*'契約別単価'!I6+'前提と出典'!$C$38*'契約別単価'!I7)</ns0:f>
        <ns0:v>11561.575418994411</ns0:v>
      </ns0:c>
      <ns0:c r="J278" s="16">
        <ns0:f>A278*('前提と出典'!$C$36*'契約別単価'!J5+'前提と出典'!$C$37*'契約別単価'!J6+'前提と出典'!$C$38*'契約別単価'!J7)</ns0:f>
        <ns0:v>26931.334976622904</ns0:v>
      </ns0:c>
      <ns0:c r="K278" s="16">
        <ns0:f>A278*('前提と出典'!$C$36*'契約別単価'!K5+'前提と出典'!$C$37*'契約別単価'!K6+'前提と出典'!$C$38*'契約別単価'!K7)</ns0:f>
        <ns0:v>115437.16945996275</ns0:v>
      </ns0:c>
      <ns0:c r="L278" s="16">
        <ns0:f>A278*('前提と出典'!$C$36*'契約別単価'!L5+'前提と出典'!$C$37*'契約別単価'!L6+'前提と出典'!$C$38*'契約別単価'!L7)</ns0:f>
        <ns0:v>93989.34594761516</ns0:v>
      </ns0:c>
      <ns0:c r="M278" s="16">
        <ns0:f>IF(('前提と出典'!$C$36+'前提と出典'!$C$38)=0,0,IF(B278&lt;=10,'前提と出典'!B73+'前提と出典'!C73,IF(B278&lt;=100,'前提と出典'!B74+'前提と出典'!C74,IF(B278&lt;=500,'前提と出典'!B75+'前提と出典'!C75,'前提と出典'!B76+'前提と出典'!C76))))</ns0:f>
        <ns0:v>40000</ns0:v>
      </ns0:c>
      <ns0:c r="N278" s="16">
        <ns0:f>IF(('前提と出典'!$C$37+'前提と出典'!$C$38)=0,0,IF(C278&lt;=10,'前提と出典'!D73+'前提と出典'!E73,IF(C278&lt;=100,'前提と出典'!D74+'前提と出典'!E74,IF(C278&lt;=500,'前提と出典'!D75+'前提と出典'!E75,'前提と出典'!D76+'前提と出典'!E76))))</ns0:f>
        <ns0:v>56510.9346263078</ns0:v>
      </ns0:c>
      <ns0:c r="O278" s="16">
        <ns0:f>IF('前提と出典'!$C$36+'前提と出典'!$C$38=0,0,'前提と出典'!$B$4*IF('前提と出典'!$B$20=0,MAX('前提と出典'!$B$6,D278*'前提と出典'!$B$5),'前提と出典'!$B$6+D278*'前提と出典'!$B$5))</ns0:f>
        <ns0:v>272077.4078212291</ns0:v>
      </ns0:c>
      <ns0:c r="P278" s="16">
        <ns0:f>(E278+G278)*(1-'前提と出典'!$B$7)-I278-K278-M278-O278</ns0:f>
        <ns0:v>597775.8349605298</ns0:v>
      </ns0:c>
      <ns0:c r="Q278" s="16">
        <ns0:f>(F278+H278)*(1-'前提と出典'!$B$7)-J278-L278-N278</ns0:f>
        <ns0:v>205618.35368158206</ns0:v>
      </ns0:c>
      <ns0:c r="R278" s="16">
        <ns0:f>P278-E278*'前提と出典'!$E$4</ns0:f>
        <ns0:v>438723.38417712937</ns0:v>
      </ns0:c>
      <ns0:c r="S278" s="16">
        <ns0:f>Q278-F278*'前提と出典'!$E$4</ns0:f>
        <ns0:v>143196.04524991283</ns0:v>
      </ns0:c>
      <ns0:c r="T278" s="7">
        <ns0:f>R278+S278</ns0:f>
        <ns0:v>581919.4294270421</ns0:v>
      </ns0:c>
      <ns0:c r="U278" s="16">
        <ns0:f>P278-E278*'前提と出典'!$E$5</ns0:f>
        <ns0:v>385705.90058266255</ns0:v>
      </ns0:c>
      <ns0:c r="V278" s="16">
        <ns0:f>Q278-F278*'前提と出典'!$E$5</ns0:f>
        <ns0:v>122388.60910602304</ns0:v>
      </ns0:c>
      <ns0:c r="W278" s="7">
        <ns0:f>U278+V278</ns0:f>
        <ns0:v>508094.5096886856</ns0:v>
      </ns0:c>
      <ns0:c r="X278" s="16">
        <ns0:f>P278-E278*'前提と出典'!$E$6</ns0:f>
        <ns0:v>332688.4169881956</ns0:v>
      </ns0:c>
      <ns0:c r="Y278" s="16">
        <ns0:f>Q278-F278*'前提と出典'!$E$6</ns0:f>
        <ns0:v>101581.1729621333</ns0:v>
      </ns0:c>
      <ns0:c r="Z278" s="7">
        <ns0:f>X278+Y278</ns0:f>
        <ns0:v>434269.5899503289</ns0:v>
      </ns0:c>
      <ns0:c r="AA278" s="7">
        <ns0:f>IF(T278&gt;=0,A278,1001)</ns0:f>
        <ns0:v>274</ns0:v>
      </ns0:c>
      <ns0:c r="AB278" s="7">
        <ns0:f>IF(T278&lt;0,A278,0)</ns0:f>
        <ns0:v>0</ns0:v>
      </ns0:c>
      <ns0:c r="AC278" s="16">
        <ns0:f>IF(AND(OR('前提と出典'!$C$36+'前提と出典'!$C$38=0,R278&gt;=0),OR('前提と出典'!$C$37+'前提と出典'!$C$38=0,S278&gt;=0)),0,A278)</ns0:f>
        <ns0:v>0</ns0:v>
      </ns0:c>
      <ns0:c r="AD278" s="7">
        <ns0:f>IF(W278&gt;=0,A278,1001)</ns0:f>
        <ns0:v>274</ns0:v>
      </ns0:c>
      <ns0:c r="AE278" s="7">
        <ns0:f>IF(W278&lt;0,A278,0)</ns0:f>
        <ns0:v>0</ns0:v>
      </ns0:c>
      <ns0:c r="AF278" s="16">
        <ns0:f>IF(AND(OR('前提と出典'!$C$36+'前提と出典'!$C$38=0,U278&gt;=0),OR('前提と出典'!$C$37+'前提と出典'!$C$38=0,V278&gt;=0)),0,A278)</ns0:f>
        <ns0:v>0</ns0:v>
      </ns0:c>
      <ns0:c r="AG278" s="7">
        <ns0:f>IF(Z278&gt;=0,A278,1001)</ns0:f>
        <ns0:v>274</ns0:v>
      </ns0:c>
      <ns0:c r="AH278" s="4">
        <ns0:f>IF(Z278&lt;0,A278,0)</ns0:f>
        <ns0:v>0</ns0:v>
      </ns0:c>
      <ns0:c r="AI278" s="12">
        <ns0:f>IF(AND(OR('前提と出典'!$C$36+'前提と出典'!$C$38=0,X278&gt;=0),OR('前提と出典'!$C$37+'前提と出典'!$C$38=0,Y278&gt;=0)),0,A278)</ns0:f>
        <ns0:v>0</ns0:v>
      </ns0:c>
    </ns0:row>
    <ns0:row r="279" ht="24" customHeight="1">
      <ns0:c r="A279" s="4" t="n">
        <ns0:v>275</ns0:v>
      </ns0:c>
      <ns0:c r="B279" s="12">
        <ns0:f>A279*('前提と出典'!$C$36+'前提と出典'!$C$38)</ns0:f>
        <ns0:v>192.5</ns0:v>
      </ns0:c>
      <ns0:c r="C279" s="12">
        <ns0:f>A279*('前提と出典'!$C$37+'前提と出典'!$C$38)</ns0:f>
        <ns0:v>165</ns0:v>
      </ns0:c>
      <ns0:c r="D279" s="16">
        <ns0:f>A279*('前提と出典'!$C$36*'契約別単価'!C5+'前提と出典'!$C$37*'契約別単価'!C6+'前提と出典'!$C$38*'契約別単価'!C7)</ns0:f>
        <ns0:v>1978.7709497206704</ns0:v>
      </ns0:c>
      <ns0:c r="E279" s="16">
        <ns0:f>A279*('前提と出典'!$C$36*'契約別単価'!E5+'前提と出典'!$C$37*'契約別単価'!E6+'前提と出典'!$C$38*'契約別単価'!E7)</ns0:f>
        <ns0:v>532109.7806014006</ns0:v>
      </ns0:c>
      <ns0:c r="F279" s="16">
        <ns0:f>A279*('前提と出典'!$C$36*'契約別単価'!F5+'前提と出典'!$C$37*'契約別単価'!F6+'前提と出典'!$C$38*'契約別単価'!F7)</ns0:f>
        <ns0:v>208833.75691860152</ns0:v>
      </ns0:c>
      <ns0:c r="G279" s="16">
        <ns0:f>A279*('前提と出典'!$C$36*'契約別単価'!G5+'前提と出典'!$C$37*'契約別単価'!G6+'前提と出典'!$C$38*'契約別単価'!G7)</ns0:f>
        <ns0:v>547388.2681564245</ns0:v>
      </ns0:c>
      <ns0:c r="H279" s="16">
        <ns0:f>A279*('前提と出典'!$C$36*'契約別単価'!H5+'前提と出典'!$C$37*'契約別単価'!H6+'前提と出典'!$C$38*'契約別単価'!H7)</ns0:f>
        <ns0:v>189971.18272928888</ns0:v>
      </ns0:c>
      <ns0:c r="I279" s="16">
        <ns0:f>A279*('前提と出典'!$C$36*'契約別単価'!I5+'前提と出典'!$C$37*'契約別単価'!I6+'前提と出典'!$C$38*'契約別単価'!I7)</ns0:f>
        <ns0:v>11603.770949720669</ns0:v>
      </ns0:c>
      <ns0:c r="J279" s="16">
        <ns0:f>A279*('前提と出典'!$C$36*'契約別単価'!J5+'前提と出典'!$C$37*'契約別単価'!J6+'前提と出典'!$C$38*'契約別単価'!J7)</ns0:f>
        <ns0:v>27029.624520333207</ns0:v>
      </ns0:c>
      <ns0:c r="K279" s="16">
        <ns0:f>A279*('前提と出典'!$C$36*'契約別単価'!K5+'前提と出典'!$C$37*'契約別単価'!K6+'前提と出典'!$C$38*'契約別単価'!K7)</ns0:f>
        <ns0:v>115858.47299813779</ns0:v>
      </ns0:c>
      <ns0:c r="L279" s="16">
        <ns0:f>A279*('前提と出典'!$C$36*'契約別単価'!L5+'前提と出典'!$C$37*'契約別単価'!L6+'前提と出典'!$C$38*'契約別単価'!L7)</ns0:f>
        <ns0:v>94332.37275764295</ns0:v>
      </ns0:c>
      <ns0:c r="M279" s="16">
        <ns0:f>IF(('前提と出典'!$C$36+'前提と出典'!$C$38)=0,0,IF(B279&lt;=10,'前提と出典'!B73+'前提と出典'!C73,IF(B279&lt;=100,'前提と出典'!B74+'前提と出典'!C74,IF(B279&lt;=500,'前提と出典'!B75+'前提と出典'!C75,'前提と出典'!B76+'前提と出典'!C76))))</ns0:f>
        <ns0:v>40000</ns0:v>
      </ns0:c>
      <ns0:c r="N279" s="16">
        <ns0:f>IF(('前提と出典'!$C$37+'前提と出典'!$C$38)=0,0,IF(C279&lt;=10,'前提と出典'!D73+'前提と出典'!E73,IF(C279&lt;=100,'前提と出典'!D74+'前提と出典'!E74,IF(C279&lt;=500,'前提と出典'!D75+'前提と出典'!E75,'前提と出典'!D76+'前提と出典'!E76))))</ns0:f>
        <ns0:v>56510.9346263078</ns0:v>
      </ns0:c>
      <ns0:c r="O279" s="16">
        <ns0:f>IF('前提と出典'!$C$36+'前提と出典'!$C$38=0,0,'前提と出典'!$B$4*IF('前提と出典'!$B$20=0,MAX('前提と出典'!$B$6,D279*'前提と出典'!$B$5),'前提と出典'!$B$6+D279*'前提と出典'!$B$5))</ns0:f>
        <ns0:v>273070.3910614525</ns0:v>
      </ns0:c>
      <ns0:c r="P279" s="16">
        <ns0:f>(E279+G279)*(1-'前提と出典'!$B$7)-I279-K279-M279-O279</ns0:f>
        <ns0:v>600103.4839932325</ns0:v>
      </ns0:c>
      <ns0:c r="Q279" s="16">
        <ns0:f>(F279+H279)*(1-'前提と出典'!$B$7)-J279-L279-N279</ns0:f>
        <ns0:v>206575.0299162824</ns0:v>
      </ns0:c>
      <ns0:c r="R279" s="16">
        <ns0:f>P279-E279*'前提と出典'!$E$4</ns0:f>
        <ns0:v>440470.5498128123</ns0:v>
      </ns0:c>
      <ns0:c r="S279" s="16">
        <ns0:f>Q279-F279*'前提と出典'!$E$4</ns0:f>
        <ns0:v>143924.90284070192</ns0:v>
      </ns0:c>
      <ns0:c r="T279" s="7">
        <ns0:f>R279+S279</ns0:f>
        <ns0:v>584395.4526535142</ns0:v>
      </ns0:c>
      <ns0:c r="U279" s="16">
        <ns0:f>P279-E279*'前提と出典'!$E$5</ns0:f>
        <ns0:v>387259.57175267214</ns0:v>
      </ns0:c>
      <ns0:c r="V279" s="16">
        <ns0:f>Q279-F279*'前提と出典'!$E$5</ns0:f>
        <ns0:v>123041.52714884176</ns0:v>
      </ns0:c>
      <ns0:c r="W279" s="7">
        <ns0:f>U279+V279</ns0:f>
        <ns0:v>510301.0989015139</ns0:v>
      </ns0:c>
      <ns0:c r="X279" s="16">
        <ns0:f>P279-E279*'前提と出典'!$E$6</ns0:f>
        <ns0:v>334048.5936925321</ns0:v>
      </ns0:c>
      <ns0:c r="Y279" s="16">
        <ns0:f>Q279-F279*'前提と出典'!$E$6</ns0:f>
        <ns0:v>102158.15145698166</ns0:v>
      </ns0:c>
      <ns0:c r="Z279" s="7">
        <ns0:f>X279+Y279</ns0:f>
        <ns0:v>436206.74514951376</ns0:v>
      </ns0:c>
      <ns0:c r="AA279" s="7">
        <ns0:f>IF(T279&gt;=0,A279,1001)</ns0:f>
        <ns0:v>275</ns0:v>
      </ns0:c>
      <ns0:c r="AB279" s="7">
        <ns0:f>IF(T279&lt;0,A279,0)</ns0:f>
        <ns0:v>0</ns0:v>
      </ns0:c>
      <ns0:c r="AC279" s="16">
        <ns0:f>IF(AND(OR('前提と出典'!$C$36+'前提と出典'!$C$38=0,R279&gt;=0),OR('前提と出典'!$C$37+'前提と出典'!$C$38=0,S279&gt;=0)),0,A279)</ns0:f>
        <ns0:v>0</ns0:v>
      </ns0:c>
      <ns0:c r="AD279" s="7">
        <ns0:f>IF(W279&gt;=0,A279,1001)</ns0:f>
        <ns0:v>275</ns0:v>
      </ns0:c>
      <ns0:c r="AE279" s="7">
        <ns0:f>IF(W279&lt;0,A279,0)</ns0:f>
        <ns0:v>0</ns0:v>
      </ns0:c>
      <ns0:c r="AF279" s="16">
        <ns0:f>IF(AND(OR('前提と出典'!$C$36+'前提と出典'!$C$38=0,U279&gt;=0),OR('前提と出典'!$C$37+'前提と出典'!$C$38=0,V279&gt;=0)),0,A279)</ns0:f>
        <ns0:v>0</ns0:v>
      </ns0:c>
      <ns0:c r="AG279" s="7">
        <ns0:f>IF(Z279&gt;=0,A279,1001)</ns0:f>
        <ns0:v>275</ns0:v>
      </ns0:c>
      <ns0:c r="AH279" s="4">
        <ns0:f>IF(Z279&lt;0,A279,0)</ns0:f>
        <ns0:v>0</ns0:v>
      </ns0:c>
      <ns0:c r="AI279" s="12">
        <ns0:f>IF(AND(OR('前提と出典'!$C$36+'前提と出典'!$C$38=0,X279&gt;=0),OR('前提と出典'!$C$37+'前提と出典'!$C$38=0,Y279&gt;=0)),0,A279)</ns0:f>
        <ns0:v>0</ns0:v>
      </ns0:c>
    </ns0:row>
    <ns0:row r="280" ht="24" customHeight="1">
      <ns0:c r="A280" s="4" t="n">
        <ns0:v>276</ns0:v>
      </ns0:c>
      <ns0:c r="B280" s="12">
        <ns0:f>A280*('前提と出典'!$C$36+'前提と出典'!$C$38)</ns0:f>
        <ns0:v>193.2</ns0:v>
      </ns0:c>
      <ns0:c r="C280" s="12">
        <ns0:f>A280*('前提と出典'!$C$37+'前提と出典'!$C$38)</ns0:f>
        <ns0:v>165.6</ns0:v>
      </ns0:c>
      <ns0:c r="D280" s="16">
        <ns0:f>A280*('前提と出典'!$C$36*'契約別単価'!C5+'前提と出典'!$C$37*'契約別単価'!C6+'前提と出典'!$C$38*'契約別単価'!C7)</ns0:f>
        <ns0:v>1985.9664804469273</ns0:v>
      </ns0:c>
      <ns0:c r="E280" s="16">
        <ns0:f>A280*('前提と出典'!$C$36*'契約別単価'!E5+'前提と出典'!$C$37*'契約別単価'!E6+'前提と出典'!$C$38*'契約別単価'!E7)</ns0:f>
        <ns0:v>534044.725258133</ns0:v>
      </ns0:c>
      <ns0:c r="F280" s="16">
        <ns0:f>A280*('前提と出典'!$C$36*'契約別単価'!F5+'前提と出典'!$C$37*'契約別単価'!F6+'前提と出典'!$C$38*'契約別単価'!F7)</ns0:f>
        <ns0:v>209593.15239830554</ns0:v>
      </ns0:c>
      <ns0:c r="G280" s="16">
        <ns0:f>A280*('前提と出典'!$C$36*'契約別単価'!G5+'前提と出典'!$C$37*'契約別単価'!G6+'前提と出典'!$C$38*'契約別単価'!G7)</ns0:f>
        <ns0:v>549378.7709497206</ns0:v>
      </ns0:c>
      <ns0:c r="H280" s="16">
        <ns0:f>A280*('前提と出典'!$C$36*'契約別単価'!H5+'前提と出典'!$C$37*'契約別単価'!H6+'前提と出典'!$C$38*'契約別単価'!H7)</ns0:f>
        <ns0:v>190661.98703012263</ns0:v>
      </ns0:c>
      <ns0:c r="I280" s="16">
        <ns0:f>A280*('前提と出典'!$C$36*'契約別単価'!I5+'前提と出典'!$C$37*'契約別単価'!I6+'前提と出典'!$C$38*'契約別単価'!I7)</ns0:f>
        <ns0:v>11645.966480446925</ns0:v>
      </ns0:c>
      <ns0:c r="J280" s="16">
        <ns0:f>A280*('前提と出典'!$C$36*'契約別単価'!J5+'前提と出典'!$C$37*'契約別単価'!J6+'前提と出典'!$C$38*'契約別単価'!J7)</ns0:f>
        <ns0:v>27127.914064043507</ns0:v>
      </ns0:c>
      <ns0:c r="K280" s="16">
        <ns0:f>A280*('前提と出典'!$C$36*'契約別単価'!K5+'前提と出典'!$C$37*'契約別単価'!K6+'前提と出典'!$C$38*'契約別単価'!K7)</ns0:f>
        <ns0:v>116279.77653631284</ns0:v>
      </ns0:c>
      <ns0:c r="L280" s="16">
        <ns0:f>A280*('前提と出典'!$C$36*'契約別単価'!L5+'前提と出典'!$C$37*'契約別単価'!L6+'前提と出典'!$C$38*'契約別単価'!L7)</ns0:f>
        <ns0:v>94675.39956767076</ns0:v>
      </ns0:c>
      <ns0:c r="M280" s="16">
        <ns0:f>IF(('前提と出典'!$C$36+'前提と出典'!$C$38)=0,0,IF(B280&lt;=10,'前提と出典'!B73+'前提と出典'!C73,IF(B280&lt;=100,'前提と出典'!B74+'前提と出典'!C74,IF(B280&lt;=500,'前提と出典'!B75+'前提と出典'!C75,'前提と出典'!B76+'前提と出典'!C76))))</ns0:f>
        <ns0:v>40000</ns0:v>
      </ns0:c>
      <ns0:c r="N280" s="16">
        <ns0:f>IF(('前提と出典'!$C$37+'前提と出典'!$C$38)=0,0,IF(C280&lt;=10,'前提と出典'!D73+'前提と出典'!E73,IF(C280&lt;=100,'前提と出典'!D74+'前提と出典'!E74,IF(C280&lt;=500,'前提と出典'!D75+'前提と出典'!E75,'前提と出典'!D76+'前提と出典'!E76))))</ns0:f>
        <ns0:v>56510.9346263078</ns0:v>
      </ns0:c>
      <ns0:c r="O280" s="16">
        <ns0:f>IF('前提と出典'!$C$36+'前提と出典'!$C$38=0,0,'前提と出典'!$B$4*IF('前提と出典'!$B$20=0,MAX('前提と出典'!$B$6,D280*'前提と出典'!$B$5),'前提と出典'!$B$6+D280*'前提と出典'!$B$5))</ns0:f>
        <ns0:v>274063.374301676</ns0:v>
      </ns0:c>
      <ns0:c r="P280" s="16">
        <ns0:f>(E280+G280)*(1-'前提と出典'!$B$7)-I280-K280-M280-O280</ns0:f>
        <ns0:v>602431.1330259353</ns0:v>
      </ns0:c>
      <ns0:c r="Q280" s="16">
        <ns0:f>(F280+H280)*(1-'前提と出典'!$B$7)-J280-L280-N280</ns0:f>
        <ns0:v>207531.70615098265</ns0:v>
      </ns0:c>
      <ns0:c r="R280" s="16">
        <ns0:f>P280-E280*'前提と出典'!$E$4</ns0:f>
        <ns0:v>442217.7154484953</ns0:v>
      </ns0:c>
      <ns0:c r="S280" s="16">
        <ns0:f>Q280-F280*'前提と出典'!$E$4</ns0:f>
        <ns0:v>144653.76043149095</ns0:v>
      </ns0:c>
      <ns0:c r="T280" s="7">
        <ns0:f>R280+S280</ns0:f>
        <ns0:v>586871.4758799863</ns0:v>
      </ns0:c>
      <ns0:c r="U280" s="16">
        <ns0:f>P280-E280*'前提と出典'!$E$5</ns0:f>
        <ns0:v>388813.242922682</ns0:v>
      </ns0:c>
      <ns0:c r="V280" s="16">
        <ns0:f>Q280-F280*'前提と出典'!$E$5</ns0:f>
        <ns0:v>123694.44519166043</ns0:v>
      </ns0:c>
      <ns0:c r="W280" s="7">
        <ns0:f>U280+V280</ns0:f>
        <ns0:v>512507.68811434245</ns0:v>
      </ns0:c>
      <ns0:c r="X280" s="16">
        <ns0:f>P280-E280*'前提と出典'!$E$6</ns0:f>
        <ns0:v>335408.77039686876</ns0:v>
      </ns0:c>
      <ns0:c r="Y280" s="16">
        <ns0:f>Q280-F280*'前提と出典'!$E$6</ns0:f>
        <ns0:v>102735.1299518299</ns0:v>
      </ns0:c>
      <ns0:c r="Z280" s="7">
        <ns0:f>X280+Y280</ns0:f>
        <ns0:v>438143.90034869866</ns0:v>
      </ns0:c>
      <ns0:c r="AA280" s="7">
        <ns0:f>IF(T280&gt;=0,A280,1001)</ns0:f>
        <ns0:v>276</ns0:v>
      </ns0:c>
      <ns0:c r="AB280" s="7">
        <ns0:f>IF(T280&lt;0,A280,0)</ns0:f>
        <ns0:v>0</ns0:v>
      </ns0:c>
      <ns0:c r="AC280" s="16">
        <ns0:f>IF(AND(OR('前提と出典'!$C$36+'前提と出典'!$C$38=0,R280&gt;=0),OR('前提と出典'!$C$37+'前提と出典'!$C$38=0,S280&gt;=0)),0,A280)</ns0:f>
        <ns0:v>0</ns0:v>
      </ns0:c>
      <ns0:c r="AD280" s="7">
        <ns0:f>IF(W280&gt;=0,A280,1001)</ns0:f>
        <ns0:v>276</ns0:v>
      </ns0:c>
      <ns0:c r="AE280" s="7">
        <ns0:f>IF(W280&lt;0,A280,0)</ns0:f>
        <ns0:v>0</ns0:v>
      </ns0:c>
      <ns0:c r="AF280" s="16">
        <ns0:f>IF(AND(OR('前提と出典'!$C$36+'前提と出典'!$C$38=0,U280&gt;=0),OR('前提と出典'!$C$37+'前提と出典'!$C$38=0,V280&gt;=0)),0,A280)</ns0:f>
        <ns0:v>0</ns0:v>
      </ns0:c>
      <ns0:c r="AG280" s="7">
        <ns0:f>IF(Z280&gt;=0,A280,1001)</ns0:f>
        <ns0:v>276</ns0:v>
      </ns0:c>
      <ns0:c r="AH280" s="4">
        <ns0:f>IF(Z280&lt;0,A280,0)</ns0:f>
        <ns0:v>0</ns0:v>
      </ns0:c>
      <ns0:c r="AI280" s="12">
        <ns0:f>IF(AND(OR('前提と出典'!$C$36+'前提と出典'!$C$38=0,X280&gt;=0),OR('前提と出典'!$C$37+'前提と出典'!$C$38=0,Y280&gt;=0)),0,A280)</ns0:f>
        <ns0:v>0</ns0:v>
      </ns0:c>
    </ns0:row>
    <ns0:row r="281" ht="24" customHeight="1">
      <ns0:c r="A281" s="4" t="n">
        <ns0:v>277</ns0:v>
      </ns0:c>
      <ns0:c r="B281" s="12">
        <ns0:f>A281*('前提と出典'!$C$36+'前提と出典'!$C$38)</ns0:f>
        <ns0:v>193.89999999999998</ns0:v>
      </ns0:c>
      <ns0:c r="C281" s="12">
        <ns0:f>A281*('前提と出典'!$C$37+'前提と出典'!$C$38)</ns0:f>
        <ns0:v>166.2</ns0:v>
      </ns0:c>
      <ns0:c r="D281" s="16">
        <ns0:f>A281*('前提と出典'!$C$36*'契約別単価'!C5+'前提と出典'!$C$37*'契約別単価'!C6+'前提と出典'!$C$38*'契約別単価'!C7)</ns0:f>
        <ns0:v>1993.1620111731843</ns0:v>
      </ns0:c>
      <ns0:c r="E281" s="16">
        <ns0:f>A281*('前提と出典'!$C$36*'契約別単価'!E5+'前提と出典'!$C$37*'契約別単価'!E6+'前提と出典'!$C$38*'契約別単価'!E7)</ns0:f>
        <ns0:v>535979.6699148654</ns0:v>
      </ns0:c>
      <ns0:c r="F281" s="16">
        <ns0:f>A281*('前提と出典'!$C$36*'契約別単価'!F5+'前提と出典'!$C$37*'契約別単価'!F6+'前提と出典'!$C$38*'契約別単価'!F7)</ns0:f>
        <ns0:v>210352.54787800953</ns0:v>
      </ns0:c>
      <ns0:c r="G281" s="16">
        <ns0:f>A281*('前提と出典'!$C$36*'契約別単価'!G5+'前提と出典'!$C$37*'契約別単価'!G6+'前提と出典'!$C$38*'契約別単価'!G7)</ns0:f>
        <ns0:v>551369.2737430168</ns0:v>
      </ns0:c>
      <ns0:c r="H281" s="16">
        <ns0:f>A281*('前提と出典'!$C$36*'契約別単価'!H5+'前提と出典'!$C$37*'契約別単価'!H6+'前提と出典'!$C$38*'契約別単価'!H7)</ns0:f>
        <ns0:v>191352.79133095642</ns0:v>
      </ns0:c>
      <ns0:c r="I281" s="16">
        <ns0:f>A281*('前提と出典'!$C$36*'契約別単価'!I5+'前提と出典'!$C$37*'契約別単価'!I6+'前提と出典'!$C$38*'契約別単価'!I7)</ns0:f>
        <ns0:v>11688.162011173183</ns0:v>
      </ns0:c>
      <ns0:c r="J281" s="16">
        <ns0:f>A281*('前提と出典'!$C$36*'契約別単価'!J5+'前提と出典'!$C$37*'契約別単価'!J6+'前提と出典'!$C$38*'契約別単価'!J7)</ns0:f>
        <ns0:v>27226.20360775381</ns0:v>
      </ns0:c>
      <ns0:c r="K281" s="16">
        <ns0:f>A281*('前提と出典'!$C$36*'契約別単価'!K5+'前提と出典'!$C$37*'契約別単価'!K6+'前提と出典'!$C$38*'契約別単価'!K7)</ns0:f>
        <ns0:v>116701.0800744879</ns0:v>
      </ns0:c>
      <ns0:c r="L281" s="16">
        <ns0:f>A281*('前提と出典'!$C$36*'契約別単価'!L5+'前提と出典'!$C$37*'契約別単価'!L6+'前提と出典'!$C$38*'契約別単価'!L7)</ns0:f>
        <ns0:v>95018.42637769855</ns0:v>
      </ns0:c>
      <ns0:c r="M281" s="16">
        <ns0:f>IF(('前提と出典'!$C$36+'前提と出典'!$C$38)=0,0,IF(B281&lt;=10,'前提と出典'!B73+'前提と出典'!C73,IF(B281&lt;=100,'前提と出典'!B74+'前提と出典'!C74,IF(B281&lt;=500,'前提と出典'!B75+'前提と出典'!C75,'前提と出典'!B76+'前提と出典'!C76))))</ns0:f>
        <ns0:v>40000</ns0:v>
      </ns0:c>
      <ns0:c r="N281" s="16">
        <ns0:f>IF(('前提と出典'!$C$37+'前提と出典'!$C$38)=0,0,IF(C281&lt;=10,'前提と出典'!D73+'前提と出典'!E73,IF(C281&lt;=100,'前提と出典'!D74+'前提と出典'!E74,IF(C281&lt;=500,'前提と出典'!D75+'前提と出典'!E75,'前提と出典'!D76+'前提と出典'!E76))))</ns0:f>
        <ns0:v>56510.9346263078</ns0:v>
      </ns0:c>
      <ns0:c r="O281" s="16">
        <ns0:f>IF('前提と出典'!$C$36+'前提と出典'!$C$38=0,0,'前提と出典'!$B$4*IF('前提と出典'!$B$20=0,MAX('前提と出典'!$B$6,D281*'前提と出典'!$B$5),'前提と出典'!$B$6+D281*'前提と出典'!$B$5))</ns0:f>
        <ns0:v>275056.35754189943</ns0:v>
      </ns0:c>
      <ns0:c r="P281" s="16">
        <ns0:f>(E281+G281)*(1-'前提と出典'!$B$7)-I281-K281-M281-O281</ns0:f>
        <ns0:v>604758.7820586378</ns0:v>
      </ns0:c>
      <ns0:c r="Q281" s="16">
        <ns0:f>(F281+H281)*(1-'前提と出典'!$B$7)-J281-L281-N281</ns0:f>
        <ns0:v>208488.382385683</ns0:v>
      </ns0:c>
      <ns0:c r="R281" s="16">
        <ns0:f>P281-E281*'前提と出典'!$E$4</ns0:f>
        <ns0:v>443964.8810841781</ns0:v>
      </ns0:c>
      <ns0:c r="S281" s="16">
        <ns0:f>Q281-F281*'前提と出典'!$E$4</ns0:f>
        <ns0:v>145382.61802228016</ns0:v>
      </ns0:c>
      <ns0:c r="T281" s="7">
        <ns0:f>R281+S281</ns0:f>
        <ns0:v>589347.4991064583</ns0:v>
      </ns0:c>
      <ns0:c r="U281" s="16">
        <ns0:f>P281-E281*'前提と出典'!$E$5</ns0:f>
        <ns0:v>390366.9140926916</ns0:v>
      </ns0:c>
      <ns0:c r="V281" s="16">
        <ns0:f>Q281-F281*'前提と出典'!$E$5</ns0:f>
        <ns0:v>124347.36323447921</ns0:v>
      </ns0:c>
      <ns0:c r="W281" s="7">
        <ns0:f>U281+V281</ns0:f>
        <ns0:v>514714.2773271708</ns0:v>
      </ns0:c>
      <ns0:c r="X281" s="16">
        <ns0:f>P281-E281*'前提と出典'!$E$6</ns0:f>
        <ns0:v>336768.9471012051</ns0:v>
      </ns0:c>
      <ns0:c r="Y281" s="16">
        <ns0:f>Q281-F281*'前提と出典'!$E$6</ns0:f>
        <ns0:v>103312.10844667823</ns0:v>
      </ns0:c>
      <ns0:c r="Z281" s="7">
        <ns0:f>X281+Y281</ns0:f>
        <ns0:v>440081.0555478834</ns0:v>
      </ns0:c>
      <ns0:c r="AA281" s="7">
        <ns0:f>IF(T281&gt;=0,A281,1001)</ns0:f>
        <ns0:v>277</ns0:v>
      </ns0:c>
      <ns0:c r="AB281" s="7">
        <ns0:f>IF(T281&lt;0,A281,0)</ns0:f>
        <ns0:v>0</ns0:v>
      </ns0:c>
      <ns0:c r="AC281" s="16">
        <ns0:f>IF(AND(OR('前提と出典'!$C$36+'前提と出典'!$C$38=0,R281&gt;=0),OR('前提と出典'!$C$37+'前提と出典'!$C$38=0,S281&gt;=0)),0,A281)</ns0:f>
        <ns0:v>0</ns0:v>
      </ns0:c>
      <ns0:c r="AD281" s="7">
        <ns0:f>IF(W281&gt;=0,A281,1001)</ns0:f>
        <ns0:v>277</ns0:v>
      </ns0:c>
      <ns0:c r="AE281" s="7">
        <ns0:f>IF(W281&lt;0,A281,0)</ns0:f>
        <ns0:v>0</ns0:v>
      </ns0:c>
      <ns0:c r="AF281" s="16">
        <ns0:f>IF(AND(OR('前提と出典'!$C$36+'前提と出典'!$C$38=0,U281&gt;=0),OR('前提と出典'!$C$37+'前提と出典'!$C$38=0,V281&gt;=0)),0,A281)</ns0:f>
        <ns0:v>0</ns0:v>
      </ns0:c>
      <ns0:c r="AG281" s="7">
        <ns0:f>IF(Z281&gt;=0,A281,1001)</ns0:f>
        <ns0:v>277</ns0:v>
      </ns0:c>
      <ns0:c r="AH281" s="4">
        <ns0:f>IF(Z281&lt;0,A281,0)</ns0:f>
        <ns0:v>0</ns0:v>
      </ns0:c>
      <ns0:c r="AI281" s="12">
        <ns0:f>IF(AND(OR('前提と出典'!$C$36+'前提と出典'!$C$38=0,X281&gt;=0),OR('前提と出典'!$C$37+'前提と出典'!$C$38=0,Y281&gt;=0)),0,A281)</ns0:f>
        <ns0:v>0</ns0:v>
      </ns0:c>
    </ns0:row>
    <ns0:row r="282" ht="24" customHeight="1">
      <ns0:c r="A282" s="4" t="n">
        <ns0:v>278</ns0:v>
      </ns0:c>
      <ns0:c r="B282" s="12">
        <ns0:f>A282*('前提と出典'!$C$36+'前提と出典'!$C$38)</ns0:f>
        <ns0:v>194.6</ns0:v>
      </ns0:c>
      <ns0:c r="C282" s="12">
        <ns0:f>A282*('前提と出典'!$C$37+'前提と出典'!$C$38)</ns0:f>
        <ns0:v>166.79999999999998</ns0:v>
      </ns0:c>
      <ns0:c r="D282" s="16">
        <ns0:f>A282*('前提と出典'!$C$36*'契約別単価'!C5+'前提と出典'!$C$37*'契約別単価'!C6+'前提と出典'!$C$38*'契約別単価'!C7)</ns0:f>
        <ns0:v>2000.3575418994412</ns0:v>
      </ns0:c>
      <ns0:c r="E282" s="16">
        <ns0:f>A282*('前提と出典'!$C$36*'契約別単価'!E5+'前提と出典'!$C$37*'契約別単価'!E6+'前提と出典'!$C$38*'契約別単価'!E7)</ns0:f>
        <ns0:v>537914.6145715978</ns0:v>
      </ns0:c>
      <ns0:c r="F282" s="16">
        <ns0:f>A282*('前提と出典'!$C$36*'契約別単価'!F5+'前提と出典'!$C$37*'契約別単価'!F6+'前提と出典'!$C$38*'契約別単価'!F7)</ns0:f>
        <ns0:v>211111.94335771355</ns0:v>
      </ns0:c>
      <ns0:c r="G282" s="16">
        <ns0:f>A282*('前提と出典'!$C$36*'契約別単価'!G5+'前提と出典'!$C$37*'契約別単価'!G6+'前提と出典'!$C$38*'契約別単価'!G7)</ns0:f>
        <ns0:v>553359.7765363128</ns0:v>
      </ns0:c>
      <ns0:c r="H282" s="16">
        <ns0:f>A282*('前提と出典'!$C$36*'契約別単価'!H5+'前提と出典'!$C$37*'契約別単価'!H6+'前提と出典'!$C$38*'契約別単価'!H7)</ns0:f>
        <ns0:v>192043.5956317902</ns0:v>
      </ns0:c>
      <ns0:c r="I282" s="16">
        <ns0:f>A282*('前提と出典'!$C$36*'契約別単価'!I5+'前提と出典'!$C$37*'契約別単価'!I6+'前提と出典'!$C$38*'契約別単価'!I7)</ns0:f>
        <ns0:v>11730.357541899439</ns0:v>
      </ns0:c>
      <ns0:c r="J282" s="16">
        <ns0:f>A282*('前提と出典'!$C$36*'契約別単価'!J5+'前提と出典'!$C$37*'契約別単価'!J6+'前提と出典'!$C$38*'契約別単価'!J7)</ns0:f>
        <ns0:v>27324.493151464114</ns0:v>
      </ns0:c>
      <ns0:c r="K282" s="16">
        <ns0:f>A282*('前提と出典'!$C$36*'契約別単価'!K5+'前提と出典'!$C$37*'契約別単価'!K6+'前提と出典'!$C$38*'契約別単価'!K7)</ns0:f>
        <ns0:v>117122.38361266293</ns0:v>
      </ns0:c>
      <ns0:c r="L282" s="16">
        <ns0:f>A282*('前提と出典'!$C$36*'契約別単価'!L5+'前提と出典'!$C$37*'契約別単価'!L6+'前提と出典'!$C$38*'契約別単価'!L7)</ns0:f>
        <ns0:v>95361.45318772634</ns0:v>
      </ns0:c>
      <ns0:c r="M282" s="16">
        <ns0:f>IF(('前提と出典'!$C$36+'前提と出典'!$C$38)=0,0,IF(B282&lt;=10,'前提と出典'!B73+'前提と出典'!C73,IF(B282&lt;=100,'前提と出典'!B74+'前提と出典'!C74,IF(B282&lt;=500,'前提と出典'!B75+'前提と出典'!C75,'前提と出典'!B76+'前提と出典'!C76))))</ns0:f>
        <ns0:v>40000</ns0:v>
      </ns0:c>
      <ns0:c r="N282" s="16">
        <ns0:f>IF(('前提と出典'!$C$37+'前提と出典'!$C$38)=0,0,IF(C282&lt;=10,'前提と出典'!D73+'前提と出典'!E73,IF(C282&lt;=100,'前提と出典'!D74+'前提と出典'!E74,IF(C282&lt;=500,'前提と出典'!D75+'前提と出典'!E75,'前提と出典'!D76+'前提と出典'!E76))))</ns0:f>
        <ns0:v>56510.9346263078</ns0:v>
      </ns0:c>
      <ns0:c r="O282" s="16">
        <ns0:f>IF('前提と出典'!$C$36+'前提と出典'!$C$38=0,0,'前提と出典'!$B$4*IF('前提と出典'!$B$20=0,MAX('前提と出典'!$B$6,D282*'前提と出典'!$B$5),'前提と出典'!$B$6+D282*'前提と出典'!$B$5))</ns0:f>
        <ns0:v>276049.34078212286</ns0:v>
      </ns0:c>
      <ns0:c r="P282" s="16">
        <ns0:f>(E282+G282)*(1-'前提と出典'!$B$7)-I282-K282-M282-O282</ns0:f>
        <ns0:v>607086.4310913405</ns0:v>
      </ns0:c>
      <ns0:c r="Q282" s="16">
        <ns0:f>(F282+H282)*(1-'前提と出典'!$B$7)-J282-L282-N282</ns0:f>
        <ns0:v>209445.05862038338</ns0:v>
      </ns0:c>
      <ns0:c r="R282" s="16">
        <ns0:f>P282-E282*'前提と出典'!$E$4</ns0:f>
        <ns0:v>445712.0467198613</ns0:v>
      </ns0:c>
      <ns0:c r="S282" s="16">
        <ns0:f>Q282-F282*'前提と出典'!$E$4</ns0:f>
        <ns0:v>146111.4756130693</ns0:v>
      </ns0:c>
      <ns0:c r="T282" s="7">
        <ns0:f>R282+S282</ns0:f>
        <ns0:v>591823.5223329306</ns0:v>
      </ns0:c>
      <ns0:c r="U282" s="16">
        <ns0:f>P282-E282*'前提と出典'!$E$5</ns0:f>
        <ns0:v>391920.58526270144</ns0:v>
      </ns0:c>
      <ns0:c r="V282" s="16">
        <ns0:f>Q282-F282*'前提と出典'!$E$5</ns0:f>
        <ns0:v>125000.28127729794</ns0:v>
      </ns0:c>
      <ns0:c r="W282" s="7">
        <ns0:f>U282+V282</ns0:f>
        <ns0:v>516920.8665399994</ns0:v>
      </ns0:c>
      <ns0:c r="X282" s="16">
        <ns0:f>P282-E282*'前提と出典'!$E$6</ns0:f>
        <ns0:v>338129.1238055416</ns0:v>
      </ns0:c>
      <ns0:c r="Y282" s="16">
        <ns0:f>Q282-F282*'前提と出典'!$E$6</ns0:f>
        <ns0:v>103889.08694152656</ns0:v>
      </ns0:c>
      <ns0:c r="Z282" s="7">
        <ns0:f>X282+Y282</ns0:f>
        <ns0:v>442018.21074706817</ns0:v>
      </ns0:c>
      <ns0:c r="AA282" s="7">
        <ns0:f>IF(T282&gt;=0,A282,1001)</ns0:f>
        <ns0:v>278</ns0:v>
      </ns0:c>
      <ns0:c r="AB282" s="7">
        <ns0:f>IF(T282&lt;0,A282,0)</ns0:f>
        <ns0:v>0</ns0:v>
      </ns0:c>
      <ns0:c r="AC282" s="16">
        <ns0:f>IF(AND(OR('前提と出典'!$C$36+'前提と出典'!$C$38=0,R282&gt;=0),OR('前提と出典'!$C$37+'前提と出典'!$C$38=0,S282&gt;=0)),0,A282)</ns0:f>
        <ns0:v>0</ns0:v>
      </ns0:c>
      <ns0:c r="AD282" s="7">
        <ns0:f>IF(W282&gt;=0,A282,1001)</ns0:f>
        <ns0:v>278</ns0:v>
      </ns0:c>
      <ns0:c r="AE282" s="7">
        <ns0:f>IF(W282&lt;0,A282,0)</ns0:f>
        <ns0:v>0</ns0:v>
      </ns0:c>
      <ns0:c r="AF282" s="16">
        <ns0:f>IF(AND(OR('前提と出典'!$C$36+'前提と出典'!$C$38=0,U282&gt;=0),OR('前提と出典'!$C$37+'前提と出典'!$C$38=0,V282&gt;=0)),0,A282)</ns0:f>
        <ns0:v>0</ns0:v>
      </ns0:c>
      <ns0:c r="AG282" s="7">
        <ns0:f>IF(Z282&gt;=0,A282,1001)</ns0:f>
        <ns0:v>278</ns0:v>
      </ns0:c>
      <ns0:c r="AH282" s="4">
        <ns0:f>IF(Z282&lt;0,A282,0)</ns0:f>
        <ns0:v>0</ns0:v>
      </ns0:c>
      <ns0:c r="AI282" s="12">
        <ns0:f>IF(AND(OR('前提と出典'!$C$36+'前提と出典'!$C$38=0,X282&gt;=0),OR('前提と出典'!$C$37+'前提と出典'!$C$38=0,Y282&gt;=0)),0,A282)</ns0:f>
        <ns0:v>0</ns0:v>
      </ns0:c>
    </ns0:row>
    <ns0:row r="283" ht="24" customHeight="1">
      <ns0:c r="A283" s="4" t="n">
        <ns0:v>279</ns0:v>
      </ns0:c>
      <ns0:c r="B283" s="12">
        <ns0:f>A283*('前提と出典'!$C$36+'前提と出典'!$C$38)</ns0:f>
        <ns0:v>195.29999999999998</ns0:v>
      </ns0:c>
      <ns0:c r="C283" s="12">
        <ns0:f>A283*('前提と出典'!$C$37+'前提と出典'!$C$38)</ns0:f>
        <ns0:v>167.4</ns0:v>
      </ns0:c>
      <ns0:c r="D283" s="16">
        <ns0:f>A283*('前提と出典'!$C$36*'契約別単価'!C5+'前提と出典'!$C$37*'契約別単価'!C6+'前提と出典'!$C$38*'契約別単価'!C7)</ns0:f>
        <ns0:v>2007.5530726256984</ns0:v>
      </ns0:c>
      <ns0:c r="E283" s="16">
        <ns0:f>A283*('前提と出典'!$C$36*'契約別単価'!E5+'前提と出典'!$C$37*'契約別単価'!E6+'前提と出典'!$C$38*'契約別単価'!E7)</ns0:f>
        <ns0:v>539849.5592283302</ns0:v>
      </ns0:c>
      <ns0:c r="F283" s="16">
        <ns0:f>A283*('前提と出典'!$C$36*'契約別単価'!F5+'前提と出典'!$C$37*'契約別単価'!F6+'前提と出典'!$C$38*'契約別単価'!F7)</ns0:f>
        <ns0:v>211871.33883741754</ns0:v>
      </ns0:c>
      <ns0:c r="G283" s="16">
        <ns0:f>A283*('前提と出典'!$C$36*'契約別単価'!G5+'前提と出典'!$C$37*'契約別単価'!G6+'前提と出典'!$C$38*'契約別単価'!G7)</ns0:f>
        <ns0:v>555350.2793296089</ns0:v>
      </ns0:c>
      <ns0:c r="H283" s="16">
        <ns0:f>A283*('前提と出典'!$C$36*'契約別単価'!H5+'前提と出典'!$C$37*'契約別単価'!H6+'前提と出典'!$C$38*'契約別単価'!H7)</ns0:f>
        <ns0:v>192734.399932624</ns0:v>
      </ns0:c>
      <ns0:c r="I283" s="16">
        <ns0:f>A283*('前提と出典'!$C$36*'契約別単価'!I5+'前提と出典'!$C$37*'契約別単価'!I6+'前提と出典'!$C$38*'契約別単価'!I7)</ns0:f>
        <ns0:v>11772.553072625697</ns0:v>
      </ns0:c>
      <ns0:c r="J283" s="16">
        <ns0:f>A283*('前提と出典'!$C$36*'契約別単価'!J5+'前提と出典'!$C$37*'契約別単価'!J6+'前提と出典'!$C$38*'契約別単価'!J7)</ns0:f>
        <ns0:v>27422.782695174417</ns0:v>
      </ns0:c>
      <ns0:c r="K283" s="16">
        <ns0:f>A283*('前提と出典'!$C$36*'契約別単価'!K5+'前提と出典'!$C$37*'契約別単価'!K6+'前提と出典'!$C$38*'契約別単価'!K7)</ns0:f>
        <ns0:v>117543.68715083798</ns0:v>
      </ns0:c>
      <ns0:c r="L283" s="16">
        <ns0:f>A283*('前提と出典'!$C$36*'契約別単価'!L5+'前提と出典'!$C$37*'契約別単価'!L6+'前提と出典'!$C$38*'契約別単価'!L7)</ns0:f>
        <ns0:v>95704.47999775413</ns0:v>
      </ns0:c>
      <ns0:c r="M283" s="16">
        <ns0:f>IF(('前提と出典'!$C$36+'前提と出典'!$C$38)=0,0,IF(B283&lt;=10,'前提と出典'!B73+'前提と出典'!C73,IF(B283&lt;=100,'前提と出典'!B74+'前提と出典'!C74,IF(B283&lt;=500,'前提と出典'!B75+'前提と出典'!C75,'前提と出典'!B76+'前提と出典'!C76))))</ns0:f>
        <ns0:v>40000</ns0:v>
      </ns0:c>
      <ns0:c r="N283" s="16">
        <ns0:f>IF(('前提と出典'!$C$37+'前提と出典'!$C$38)=0,0,IF(C283&lt;=10,'前提と出典'!D73+'前提と出典'!E73,IF(C283&lt;=100,'前提と出典'!D74+'前提と出典'!E74,IF(C283&lt;=500,'前提と出典'!D75+'前提と出典'!E75,'前提と出典'!D76+'前提と出典'!E76))))</ns0:f>
        <ns0:v>56510.9346263078</ns0:v>
      </ns0:c>
      <ns0:c r="O283" s="16">
        <ns0:f>IF('前提と出典'!$C$36+'前提と出典'!$C$38=0,0,'前提と出典'!$B$4*IF('前提と出典'!$B$20=0,MAX('前提と出典'!$B$6,D283*'前提と出典'!$B$5),'前提と出典'!$B$6+D283*'前提と出典'!$B$5))</ns0:f>
        <ns0:v>277042.3240223464</ns0:v>
      </ns0:c>
      <ns0:c r="P283" s="16">
        <ns0:f>(E283+G283)*(1-'前提と出典'!$B$7)-I283-K283-M283-O283</ns0:f>
        <ns0:v>609414.0801240432</ns0:v>
      </ns0:c>
      <ns0:c r="Q283" s="16">
        <ns0:f>(F283+H283)*(1-'前提と出典'!$B$7)-J283-L283-N283</ns0:f>
        <ns0:v>210401.73485508366</ns0:v>
      </ns0:c>
      <ns0:c r="R283" s="16">
        <ns0:f>P283-E283*'前提と出典'!$E$4</ns0:f>
        <ns0:v>447459.2123555441</ns0:v>
      </ns0:c>
      <ns0:c r="S283" s="16">
        <ns0:f>Q283-F283*'前提と出典'!$E$4</ns0:f>
        <ns0:v>146840.33320385838</ns0:v>
      </ns0:c>
      <ns0:c r="T283" s="7">
        <ns0:f>R283+S283</ns0:f>
        <ns0:v>594299.5455594024</ns0:v>
      </ns0:c>
      <ns0:c r="U283" s="16">
        <ns0:f>P283-E283*'前提と出典'!$E$5</ns0:f>
        <ns0:v>393474.25643271115</ns0:v>
      </ns0:c>
      <ns0:c r="V283" s="16">
        <ns0:f>Q283-F283*'前提と出典'!$E$5</ns0:f>
        <ns0:v>125653.19932011663</ns0:v>
      </ns0:c>
      <ns0:c r="W283" s="7">
        <ns0:f>U283+V283</ns0:f>
        <ns0:v>519127.4557528278</ns0:v>
      </ns0:c>
      <ns0:c r="X283" s="16">
        <ns0:f>P283-E283*'前提と出典'!$E$6</ns0:f>
        <ns0:v>339489.3005098781</ns0:v>
      </ns0:c>
      <ns0:c r="Y283" s="16">
        <ns0:f>Q283-F283*'前提と出典'!$E$6</ns0:f>
        <ns0:v>104466.06543637486</ns0:v>
      </ns0:c>
      <ns0:c r="Z283" s="7">
        <ns0:f>X283+Y283</ns0:f>
        <ns0:v>443955.36594625295</ns0:v>
      </ns0:c>
      <ns0:c r="AA283" s="7">
        <ns0:f>IF(T283&gt;=0,A283,1001)</ns0:f>
        <ns0:v>279</ns0:v>
      </ns0:c>
      <ns0:c r="AB283" s="7">
        <ns0:f>IF(T283&lt;0,A283,0)</ns0:f>
        <ns0:v>0</ns0:v>
      </ns0:c>
      <ns0:c r="AC283" s="16">
        <ns0:f>IF(AND(OR('前提と出典'!$C$36+'前提と出典'!$C$38=0,R283&gt;=0),OR('前提と出典'!$C$37+'前提と出典'!$C$38=0,S283&gt;=0)),0,A283)</ns0:f>
        <ns0:v>0</ns0:v>
      </ns0:c>
      <ns0:c r="AD283" s="7">
        <ns0:f>IF(W283&gt;=0,A283,1001)</ns0:f>
        <ns0:v>279</ns0:v>
      </ns0:c>
      <ns0:c r="AE283" s="7">
        <ns0:f>IF(W283&lt;0,A283,0)</ns0:f>
        <ns0:v>0</ns0:v>
      </ns0:c>
      <ns0:c r="AF283" s="16">
        <ns0:f>IF(AND(OR('前提と出典'!$C$36+'前提と出典'!$C$38=0,U283&gt;=0),OR('前提と出典'!$C$37+'前提と出典'!$C$38=0,V283&gt;=0)),0,A283)</ns0:f>
        <ns0:v>0</ns0:v>
      </ns0:c>
      <ns0:c r="AG283" s="7">
        <ns0:f>IF(Z283&gt;=0,A283,1001)</ns0:f>
        <ns0:v>279</ns0:v>
      </ns0:c>
      <ns0:c r="AH283" s="4">
        <ns0:f>IF(Z283&lt;0,A283,0)</ns0:f>
        <ns0:v>0</ns0:v>
      </ns0:c>
      <ns0:c r="AI283" s="12">
        <ns0:f>IF(AND(OR('前提と出典'!$C$36+'前提と出典'!$C$38=0,X283&gt;=0),OR('前提と出典'!$C$37+'前提と出典'!$C$38=0,Y283&gt;=0)),0,A283)</ns0:f>
        <ns0:v>0</ns0:v>
      </ns0:c>
    </ns0:row>
    <ns0:row r="284" ht="24" customHeight="1">
      <ns0:c r="A284" s="4" t="n">
        <ns0:v>280</ns0:v>
      </ns0:c>
      <ns0:c r="B284" s="12">
        <ns0:f>A284*('前提と出典'!$C$36+'前提と出典'!$C$38)</ns0:f>
        <ns0:v>196</ns0:v>
      </ns0:c>
      <ns0:c r="C284" s="12">
        <ns0:f>A284*('前提と出典'!$C$37+'前提と出典'!$C$38)</ns0:f>
        <ns0:v>168</ns0:v>
      </ns0:c>
      <ns0:c r="D284" s="16">
        <ns0:f>A284*('前提と出典'!$C$36*'契約別単価'!C5+'前提と出典'!$C$37*'契約別単価'!C6+'前提と出典'!$C$38*'契約別単価'!C7)</ns0:f>
        <ns0:v>2014.7486033519554</ns0:v>
      </ns0:c>
      <ns0:c r="E284" s="16">
        <ns0:f>A284*('前提と出典'!$C$36*'契約別単価'!E5+'前提と出典'!$C$37*'契約別単価'!E6+'前提と出典'!$C$38*'契約別単価'!E7)</ns0:f>
        <ns0:v>541784.5038850624</ns0:v>
      </ns0:c>
      <ns0:c r="F284" s="16">
        <ns0:f>A284*('前提と出典'!$C$36*'契約別単価'!F5+'前提と出典'!$C$37*'契約別単価'!F6+'前提と出典'!$C$38*'契約別単価'!F7)</ns0:f>
        <ns0:v>212630.73431712156</ns0:v>
      </ns0:c>
      <ns0:c r="G284" s="16">
        <ns0:f>A284*('前提と出典'!$C$36*'契約別単価'!G5+'前提と出典'!$C$37*'契約別単価'!G6+'前提と出典'!$C$38*'契約別単価'!G7)</ns0:f>
        <ns0:v>557340.782122905</ns0:v>
      </ns0:c>
      <ns0:c r="H284" s="16">
        <ns0:f>A284*('前提と出典'!$C$36*'契約別単価'!H5+'前提と出典'!$C$37*'契約別単価'!H6+'前提と出典'!$C$38*'契約別単価'!H7)</ns0:f>
        <ns0:v>193425.20423345774</ns0:v>
      </ns0:c>
      <ns0:c r="I284" s="16">
        <ns0:f>A284*('前提と出典'!$C$36*'契約別単価'!I5+'前提と出典'!$C$37*'契約別単価'!I6+'前提と出典'!$C$38*'契約別単価'!I7)</ns0:f>
        <ns0:v>11814.748603351953</ns0:v>
      </ns0:c>
      <ns0:c r="J284" s="16">
        <ns0:f>A284*('前提と出典'!$C$36*'契約別単価'!J5+'前提と出典'!$C$37*'契約別単価'!J6+'前提と出典'!$C$38*'契約別単価'!J7)</ns0:f>
        <ns0:v>27521.072238884717</ns0:v>
      </ns0:c>
      <ns0:c r="K284" s="16">
        <ns0:f>A284*('前提と出典'!$C$36*'契約別単価'!K5+'前提と出典'!$C$37*'契約別単価'!K6+'前提と出典'!$C$38*'契約別単価'!K7)</ns0:f>
        <ns0:v>117964.99068901302</ns0:v>
      </ns0:c>
      <ns0:c r="L284" s="16">
        <ns0:f>A284*('前提と出典'!$C$36*'契約別単価'!L5+'前提と出典'!$C$37*'契約別単価'!L6+'前提と出典'!$C$38*'契約別単価'!L7)</ns0:f>
        <ns0:v>96047.50680778192</ns0:v>
      </ns0:c>
      <ns0:c r="M284" s="16">
        <ns0:f>IF(('前提と出典'!$C$36+'前提と出典'!$C$38)=0,0,IF(B284&lt;=10,'前提と出典'!B73+'前提と出典'!C73,IF(B284&lt;=100,'前提と出典'!B74+'前提と出典'!C74,IF(B284&lt;=500,'前提と出典'!B75+'前提と出典'!C75,'前提と出典'!B76+'前提と出典'!C76))))</ns0:f>
        <ns0:v>40000</ns0:v>
      </ns0:c>
      <ns0:c r="N284" s="16">
        <ns0:f>IF(('前提と出典'!$C$37+'前提と出典'!$C$38)=0,0,IF(C284&lt;=10,'前提と出典'!D73+'前提と出典'!E73,IF(C284&lt;=100,'前提と出典'!D74+'前提と出典'!E74,IF(C284&lt;=500,'前提と出典'!D75+'前提と出典'!E75,'前提と出典'!D76+'前提と出典'!E76))))</ns0:f>
        <ns0:v>56510.9346263078</ns0:v>
      </ns0:c>
      <ns0:c r="O284" s="16">
        <ns0:f>IF('前提と出典'!$C$36+'前提と出典'!$C$38=0,0,'前提と出典'!$B$4*IF('前提と出典'!$B$20=0,MAX('前提と出典'!$B$6,D284*'前提と出典'!$B$5),'前提と出典'!$B$6+D284*'前提と出典'!$B$5))</ns0:f>
        <ns0:v>278035.30726256984</ns0:v>
      </ns0:c>
      <ns0:c r="P284" s="16">
        <ns0:f>(E284+G284)*(1-'前提と出典'!$B$7)-I284-K284-M284-O284</ns0:f>
        <ns0:v>611741.7291567457</ns0:v>
      </ns0:c>
      <ns0:c r="Q284" s="16">
        <ns0:f>(F284+H284)*(1-'前提と出典'!$B$7)-J284-L284-N284</ns0:f>
        <ns0:v>211358.411089784</ns0:v>
      </ns0:c>
      <ns0:c r="R284" s="16">
        <ns0:f>P284-E284*'前提と出典'!$E$4</ns0:f>
        <ns0:v>449206.3779912269</ns0:v>
      </ns0:c>
      <ns0:c r="S284" s="16">
        <ns0:f>Q284-F284*'前提と出典'!$E$4</ns0:f>
        <ns0:v>147569.19079464755</ns0:v>
      </ns0:c>
      <ns0:c r="T284" s="7">
        <ns0:f>R284+S284</ns0:f>
        <ns0:v>596775.5687858744</ns0:v>
      </ns0:c>
      <ns0:c r="U284" s="16">
        <ns0:f>P284-E284*'前提と出典'!$E$5</ns0:f>
        <ns0:v>395027.92760272074</ns0:v>
      </ns0:c>
      <ns0:c r="V284" s="16">
        <ns0:f>Q284-F284*'前提と出典'!$E$5</ns0:f>
        <ns0:v>126306.11736293539</ns0:v>
      </ns0:c>
      <ns0:c r="W284" s="7">
        <ns0:f>U284+V284</ns0:f>
        <ns0:v>521334.0449656561</ns0:v>
      </ns0:c>
      <ns0:c r="X284" s="16">
        <ns0:f>P284-E284*'前提と出典'!$E$6</ns0:f>
        <ns0:v>340849.47721421445</ns0:v>
      </ns0:c>
      <ns0:c r="Y284" s="16">
        <ns0:f>Q284-F284*'前提と出典'!$E$6</ns0:f>
        <ns0:v>105043.04393122322</ns0:v>
      </ns0:c>
      <ns0:c r="Z284" s="7">
        <ns0:f>X284+Y284</ns0:f>
        <ns0:v>445892.52114543767</ns0:v>
      </ns0:c>
      <ns0:c r="AA284" s="7">
        <ns0:f>IF(T284&gt;=0,A284,1001)</ns0:f>
        <ns0:v>280</ns0:v>
      </ns0:c>
      <ns0:c r="AB284" s="7">
        <ns0:f>IF(T284&lt;0,A284,0)</ns0:f>
        <ns0:v>0</ns0:v>
      </ns0:c>
      <ns0:c r="AC284" s="16">
        <ns0:f>IF(AND(OR('前提と出典'!$C$36+'前提と出典'!$C$38=0,R284&gt;=0),OR('前提と出典'!$C$37+'前提と出典'!$C$38=0,S284&gt;=0)),0,A284)</ns0:f>
        <ns0:v>0</ns0:v>
      </ns0:c>
      <ns0:c r="AD284" s="7">
        <ns0:f>IF(W284&gt;=0,A284,1001)</ns0:f>
        <ns0:v>280</ns0:v>
      </ns0:c>
      <ns0:c r="AE284" s="7">
        <ns0:f>IF(W284&lt;0,A284,0)</ns0:f>
        <ns0:v>0</ns0:v>
      </ns0:c>
      <ns0:c r="AF284" s="16">
        <ns0:f>IF(AND(OR('前提と出典'!$C$36+'前提と出典'!$C$38=0,U284&gt;=0),OR('前提と出典'!$C$37+'前提と出典'!$C$38=0,V284&gt;=0)),0,A284)</ns0:f>
        <ns0:v>0</ns0:v>
      </ns0:c>
      <ns0:c r="AG284" s="7">
        <ns0:f>IF(Z284&gt;=0,A284,1001)</ns0:f>
        <ns0:v>280</ns0:v>
      </ns0:c>
      <ns0:c r="AH284" s="4">
        <ns0:f>IF(Z284&lt;0,A284,0)</ns0:f>
        <ns0:v>0</ns0:v>
      </ns0:c>
      <ns0:c r="AI284" s="12">
        <ns0:f>IF(AND(OR('前提と出典'!$C$36+'前提と出典'!$C$38=0,X284&gt;=0),OR('前提と出典'!$C$37+'前提と出典'!$C$38=0,Y284&gt;=0)),0,A284)</ns0:f>
        <ns0:v>0</ns0:v>
      </ns0:c>
    </ns0:row>
    <ns0:row r="285" ht="24" customHeight="1">
      <ns0:c r="A285" s="4" t="n">
        <ns0:v>281</ns0:v>
      </ns0:c>
      <ns0:c r="B285" s="12">
        <ns0:f>A285*('前提と出典'!$C$36+'前提と出典'!$C$38)</ns0:f>
        <ns0:v>196.7</ns0:v>
      </ns0:c>
      <ns0:c r="C285" s="12">
        <ns0:f>A285*('前提と出典'!$C$37+'前提と出典'!$C$38)</ns0:f>
        <ns0:v>168.6</ns0:v>
      </ns0:c>
      <ns0:c r="D285" s="16">
        <ns0:f>A285*('前提と出典'!$C$36*'契約別単価'!C5+'前提と出典'!$C$37*'契約別単価'!C6+'前提と出典'!$C$38*'契約別単価'!C7)</ns0:f>
        <ns0:v>2021.9441340782123</ns0:v>
      </ns0:c>
      <ns0:c r="E285" s="16">
        <ns0:f>A285*('前提と出典'!$C$36*'契約別単価'!E5+'前提と出典'!$C$37*'契約別単価'!E6+'前提と出典'!$C$38*'契約別単価'!E7)</ns0:f>
        <ns0:v>543719.4485417948</ns0:v>
      </ns0:c>
      <ns0:c r="F285" s="16">
        <ns0:f>A285*('前提と出典'!$C$36*'契約別単価'!F5+'前提と出典'!$C$37*'契約別単価'!F6+'前提と出典'!$C$38*'契約別単価'!F7)</ns0:f>
        <ns0:v>213390.12979682555</ns0:v>
      </ns0:c>
      <ns0:c r="G285" s="16">
        <ns0:f>A285*('前提と出典'!$C$36*'契約別単価'!G5+'前提と出典'!$C$37*'契約別単価'!G6+'前提と出典'!$C$38*'契約別単価'!G7)</ns0:f>
        <ns0:v>559331.2849162011</ns0:v>
      </ns0:c>
      <ns0:c r="H285" s="16">
        <ns0:f>A285*('前提と出典'!$C$36*'契約別単価'!H5+'前提と出典'!$C$37*'契約別単価'!H6+'前提と出典'!$C$38*'契約別単価'!H7)</ns0:f>
        <ns0:v>194116.00853429153</ns0:v>
      </ns0:c>
      <ns0:c r="I285" s="16">
        <ns0:f>A285*('前提と出典'!$C$36*'契約別単価'!I5+'前提と出典'!$C$37*'契約別単価'!I6+'前提と出典'!$C$38*'契約別単価'!I7)</ns0:f>
        <ns0:v>11856.94413407821</ns0:v>
      </ns0:c>
      <ns0:c r="J285" s="16">
        <ns0:f>A285*('前提と出典'!$C$36*'契約別単価'!J5+'前提と出典'!$C$37*'契約別単価'!J6+'前提と出典'!$C$38*'契約別単価'!J7)</ns0:f>
        <ns0:v>27619.36178259502</ns0:v>
      </ns0:c>
      <ns0:c r="K285" s="16">
        <ns0:f>A285*('前提と出典'!$C$36*'契約別単価'!K5+'前提と出典'!$C$37*'契約別単価'!K6+'前提と出典'!$C$38*'契約別単価'!K7)</ns0:f>
        <ns0:v>118386.29422718807</ns0:v>
      </ns0:c>
      <ns0:c r="L285" s="16">
        <ns0:f>A285*('前提と出典'!$C$36*'契約別単価'!L5+'前提と出典'!$C$37*'契約別単価'!L6+'前提と出典'!$C$38*'契約別単価'!L7)</ns0:f>
        <ns0:v>96390.53361780972</ns0:v>
      </ns0:c>
      <ns0:c r="M285" s="16">
        <ns0:f>IF(('前提と出典'!$C$36+'前提と出典'!$C$38)=0,0,IF(B285&lt;=10,'前提と出典'!B73+'前提と出典'!C73,IF(B285&lt;=100,'前提と出典'!B74+'前提と出典'!C74,IF(B285&lt;=500,'前提と出典'!B75+'前提と出典'!C75,'前提と出典'!B76+'前提と出典'!C76))))</ns0:f>
        <ns0:v>40000</ns0:v>
      </ns0:c>
      <ns0:c r="N285" s="16">
        <ns0:f>IF(('前提と出典'!$C$37+'前提と出典'!$C$38)=0,0,IF(C285&lt;=10,'前提と出典'!D73+'前提と出典'!E73,IF(C285&lt;=100,'前提と出典'!D74+'前提と出典'!E74,IF(C285&lt;=500,'前提と出典'!D75+'前提と出典'!E75,'前提と出典'!D76+'前提と出典'!E76))))</ns0:f>
        <ns0:v>56510.9346263078</ns0:v>
      </ns0:c>
      <ns0:c r="O285" s="16">
        <ns0:f>IF('前提と出典'!$C$36+'前提と出典'!$C$38=0,0,'前提と出典'!$B$4*IF('前提と出典'!$B$20=0,MAX('前提と出典'!$B$6,D285*'前提と出典'!$B$5),'前提と出典'!$B$6+D285*'前提と出典'!$B$5))</ns0:f>
        <ns0:v>279028.29050279333</ns0:v>
      </ns0:c>
      <ns0:c r="P285" s="16">
        <ns0:f>(E285+G285)*(1-'前提と出典'!$B$7)-I285-K285-M285-O285</ns0:f>
        <ns0:v>614069.3781894485</ns0:v>
      </ns0:c>
      <ns0:c r="Q285" s="16">
        <ns0:f>(F285+H285)*(1-'前提と出典'!$B$7)-J285-L285-N285</ns0:f>
        <ns0:v>212315.08732448428</ns0:v>
      </ns0:c>
      <ns0:c r="R285" s="16">
        <ns0:f>P285-E285*'前提と出典'!$E$4</ns0:f>
        <ns0:v>450953.54362691013</ns0:v>
      </ns0:c>
      <ns0:c r="S285" s="16">
        <ns0:f>Q285-F285*'前提と出典'!$E$4</ns0:f>
        <ns0:v>148298.0483854367</ns0:v>
      </ns0:c>
      <ns0:c r="T285" s="7">
        <ns0:f>R285+S285</ns0:f>
        <ns0:v>599251.5920123468</ns0:v>
      </ns0:c>
      <ns0:c r="U285" s="16">
        <ns0:f>P285-E285*'前提と出典'!$E$5</ns0:f>
        <ns0:v>396581.5987727306</ns0:v>
      </ns0:c>
      <ns0:c r="V285" s="16">
        <ns0:f>Q285-F285*'前提と出典'!$E$5</ns0:f>
        <ns0:v>126959.03540575405</ns0:v>
      </ns0:c>
      <ns0:c r="W285" s="7">
        <ns0:f>U285+V285</ns0:f>
        <ns0:v>523540.6341784847</ns0:v>
      </ns0:c>
      <ns0:c r="X285" s="16">
        <ns0:f>P285-E285*'前提と出典'!$E$6</ns0:f>
        <ns0:v>342209.6539185511</ns0:v>
      </ns0:c>
      <ns0:c r="Y285" s="16">
        <ns0:f>Q285-F285*'前提と出典'!$E$6</ns0:f>
        <ns0:v>105620.02242607152</ns0:v>
      </ns0:c>
      <ns0:c r="Z285" s="7">
        <ns0:f>X285+Y285</ns0:f>
        <ns0:v>447829.6763446226</ns0:v>
      </ns0:c>
      <ns0:c r="AA285" s="7">
        <ns0:f>IF(T285&gt;=0,A285,1001)</ns0:f>
        <ns0:v>281</ns0:v>
      </ns0:c>
      <ns0:c r="AB285" s="7">
        <ns0:f>IF(T285&lt;0,A285,0)</ns0:f>
        <ns0:v>0</ns0:v>
      </ns0:c>
      <ns0:c r="AC285" s="16">
        <ns0:f>IF(AND(OR('前提と出典'!$C$36+'前提と出典'!$C$38=0,R285&gt;=0),OR('前提と出典'!$C$37+'前提と出典'!$C$38=0,S285&gt;=0)),0,A285)</ns0:f>
        <ns0:v>0</ns0:v>
      </ns0:c>
      <ns0:c r="AD285" s="7">
        <ns0:f>IF(W285&gt;=0,A285,1001)</ns0:f>
        <ns0:v>281</ns0:v>
      </ns0:c>
      <ns0:c r="AE285" s="7">
        <ns0:f>IF(W285&lt;0,A285,0)</ns0:f>
        <ns0:v>0</ns0:v>
      </ns0:c>
      <ns0:c r="AF285" s="16">
        <ns0:f>IF(AND(OR('前提と出典'!$C$36+'前提と出典'!$C$38=0,U285&gt;=0),OR('前提と出典'!$C$37+'前提と出典'!$C$38=0,V285&gt;=0)),0,A285)</ns0:f>
        <ns0:v>0</ns0:v>
      </ns0:c>
      <ns0:c r="AG285" s="7">
        <ns0:f>IF(Z285&gt;=0,A285,1001)</ns0:f>
        <ns0:v>281</ns0:v>
      </ns0:c>
      <ns0:c r="AH285" s="4">
        <ns0:f>IF(Z285&lt;0,A285,0)</ns0:f>
        <ns0:v>0</ns0:v>
      </ns0:c>
      <ns0:c r="AI285" s="12">
        <ns0:f>IF(AND(OR('前提と出典'!$C$36+'前提と出典'!$C$38=0,X285&gt;=0),OR('前提と出典'!$C$37+'前提と出典'!$C$38=0,Y285&gt;=0)),0,A285)</ns0:f>
        <ns0:v>0</ns0:v>
      </ns0:c>
    </ns0:row>
    <ns0:row r="286" ht="24" customHeight="1">
      <ns0:c r="A286" s="4" t="n">
        <ns0:v>282</ns0:v>
      </ns0:c>
      <ns0:c r="B286" s="12">
        <ns0:f>A286*('前提と出典'!$C$36+'前提と出典'!$C$38)</ns0:f>
        <ns0:v>197.39999999999998</ns0:v>
      </ns0:c>
      <ns0:c r="C286" s="12">
        <ns0:f>A286*('前提と出典'!$C$37+'前提と出典'!$C$38)</ns0:f>
        <ns0:v>169.2</ns0:v>
      </ns0:c>
      <ns0:c r="D286" s="16">
        <ns0:f>A286*('前提と出典'!$C$36*'契約別単価'!C5+'前提と出典'!$C$37*'契約別単価'!C6+'前提と出典'!$C$38*'契約別単価'!C7)</ns0:f>
        <ns0:v>2029.1396648044692</ns0:v>
      </ns0:c>
      <ns0:c r="E286" s="16">
        <ns0:f>A286*('前提と出典'!$C$36*'契約別単価'!E5+'前提と出典'!$C$37*'契約別単価'!E6+'前提と出典'!$C$38*'契約別単価'!E7)</ns0:f>
        <ns0:v>545654.3931985272</ns0:v>
      </ns0:c>
      <ns0:c r="F286" s="16">
        <ns0:f>A286*('前提と出典'!$C$36*'契約別単価'!F5+'前提と出典'!$C$37*'契約別単価'!F6+'前提と出典'!$C$38*'契約別単価'!F7)</ns0:f>
        <ns0:v>214149.52527652957</ns0:v>
      </ns0:c>
      <ns0:c r="G286" s="16">
        <ns0:f>A286*('前提と出典'!$C$36*'契約別単価'!G5+'前提と出典'!$C$37*'契約別単価'!G6+'前提と出典'!$C$38*'契約別単価'!G7)</ns0:f>
        <ns0:v>561321.7877094971</ns0:v>
      </ns0:c>
      <ns0:c r="H286" s="16">
        <ns0:f>A286*('前提と出典'!$C$36*'契約別単価'!H5+'前提と出典'!$C$37*'契約別単価'!H6+'前提と出典'!$C$38*'契約別単価'!H7)</ns0:f>
        <ns0:v>194806.8128351253</ns0:v>
      </ns0:c>
      <ns0:c r="I286" s="16">
        <ns0:f>A286*('前提と出典'!$C$36*'契約別単価'!I5+'前提と出典'!$C$37*'契約別単価'!I6+'前提と出典'!$C$38*'契約別単価'!I7)</ns0:f>
        <ns0:v>11899.139664804467</ns0:v>
      </ns0:c>
      <ns0:c r="J286" s="16">
        <ns0:f>A286*('前提と出典'!$C$36*'契約別単価'!J5+'前提と出典'!$C$37*'契約別単価'!J6+'前提と出典'!$C$38*'契約別単価'!J7)</ns0:f>
        <ns0:v>27717.651326305324</ns0:v>
      </ns0:c>
      <ns0:c r="K286" s="16">
        <ns0:f>A286*('前提と出典'!$C$36*'契約別単価'!K5+'前提と出典'!$C$37*'契約別単価'!K6+'前提と出典'!$C$38*'契約別単価'!K7)</ns0:f>
        <ns0:v>118807.59776536313</ns0:v>
      </ns0:c>
      <ns0:c r="L286" s="16">
        <ns0:f>A286*('前提と出典'!$C$36*'契約別単価'!L5+'前提と出典'!$C$37*'契約別単価'!L6+'前提と出典'!$C$38*'契約別単価'!L7)</ns0:f>
        <ns0:v>96733.56042783751</ns0:v>
      </ns0:c>
      <ns0:c r="M286" s="16">
        <ns0:f>IF(('前提と出典'!$C$36+'前提と出典'!$C$38)=0,0,IF(B286&lt;=10,'前提と出典'!B73+'前提と出典'!C73,IF(B286&lt;=100,'前提と出典'!B74+'前提と出典'!C74,IF(B286&lt;=500,'前提と出典'!B75+'前提と出典'!C75,'前提と出典'!B76+'前提と出典'!C76))))</ns0:f>
        <ns0:v>40000</ns0:v>
      </ns0:c>
      <ns0:c r="N286" s="16">
        <ns0:f>IF(('前提と出典'!$C$37+'前提と出典'!$C$38)=0,0,IF(C286&lt;=10,'前提と出典'!D73+'前提と出典'!E73,IF(C286&lt;=100,'前提と出典'!D74+'前提と出典'!E74,IF(C286&lt;=500,'前提と出典'!D75+'前提と出典'!E75,'前提と出典'!D76+'前提と出典'!E76))))</ns0:f>
        <ns0:v>56510.9346263078</ns0:v>
      </ns0:c>
      <ns0:c r="O286" s="16">
        <ns0:f>IF('前提と出典'!$C$36+'前提と出典'!$C$38=0,0,'前提と出典'!$B$4*IF('前提と出典'!$B$20=0,MAX('前提と出典'!$B$6,D286*'前提と出典'!$B$5),'前提と出典'!$B$6+D286*'前提と出典'!$B$5))</ns0:f>
        <ns0:v>280021.27374301676</ns0:v>
      </ns0:c>
      <ns0:c r="P286" s="16">
        <ns0:f>(E286+G286)*(1-'前提と出典'!$B$7)-I286-K286-M286-O286</ns0:f>
        <ns0:v>616397.027222151</ns0:v>
      </ns0:c>
      <ns0:c r="Q286" s="16">
        <ns0:f>(F286+H286)*(1-'前提と出典'!$B$7)-J286-L286-N286</ns0:f>
        <ns0:v>213271.7635591846</ns0:v>
      </ns0:c>
      <ns0:c r="R286" s="16">
        <ns0:f>P286-E286*'前提と出典'!$E$4</ns0:f>
        <ns0:v>452700.70926259295</ns0:v>
      </ns0:c>
      <ns0:c r="S286" s="16">
        <ns0:f>Q286-F286*'前提と出典'!$E$4</ns0:f>
        <ns0:v>149026.9059762257</ns0:v>
      </ns0:c>
      <ns0:c r="T286" s="7">
        <ns0:f>R286+S286</ns0:f>
        <ns0:v>601727.6152388187</ns0:v>
      </ns0:c>
      <ns0:c r="U286" s="16">
        <ns0:f>P286-E286*'前提と出典'!$E$5</ns0:f>
        <ns0:v>398135.2699427402</ns0:v>
      </ns0:c>
      <ns0:c r="V286" s="16">
        <ns0:f>Q286-F286*'前提と出典'!$E$5</ns0:f>
        <ns0:v>127611.95344857275</ns0:v>
      </ns0:c>
      <ns0:c r="W286" s="7">
        <ns0:f>U286+V286</ns0:f>
        <ns0:v>525747.223391313</ns0:v>
      </ns0:c>
      <ns0:c r="X286" s="16">
        <ns0:f>P286-E286*'前提と出典'!$E$6</ns0:f>
        <ns0:v>343569.8306228875</ns0:v>
      </ns0:c>
      <ns0:c r="Y286" s="16">
        <ns0:f>Q286-F286*'前提と出典'!$E$6</ns0:f>
        <ns0:v>106197.00092091982</ns0:v>
      </ns0:c>
      <ns0:c r="Z286" s="7">
        <ns0:f>X286+Y286</ns0:f>
        <ns0:v>449766.8315438073</ns0:v>
      </ns0:c>
      <ns0:c r="AA286" s="7">
        <ns0:f>IF(T286&gt;=0,A286,1001)</ns0:f>
        <ns0:v>282</ns0:v>
      </ns0:c>
      <ns0:c r="AB286" s="7">
        <ns0:f>IF(T286&lt;0,A286,0)</ns0:f>
        <ns0:v>0</ns0:v>
      </ns0:c>
      <ns0:c r="AC286" s="16">
        <ns0:f>IF(AND(OR('前提と出典'!$C$36+'前提と出典'!$C$38=0,R286&gt;=0),OR('前提と出典'!$C$37+'前提と出典'!$C$38=0,S286&gt;=0)),0,A286)</ns0:f>
        <ns0:v>0</ns0:v>
      </ns0:c>
      <ns0:c r="AD286" s="7">
        <ns0:f>IF(W286&gt;=0,A286,1001)</ns0:f>
        <ns0:v>282</ns0:v>
      </ns0:c>
      <ns0:c r="AE286" s="7">
        <ns0:f>IF(W286&lt;0,A286,0)</ns0:f>
        <ns0:v>0</ns0:v>
      </ns0:c>
      <ns0:c r="AF286" s="16">
        <ns0:f>IF(AND(OR('前提と出典'!$C$36+'前提と出典'!$C$38=0,U286&gt;=0),OR('前提と出典'!$C$37+'前提と出典'!$C$38=0,V286&gt;=0)),0,A286)</ns0:f>
        <ns0:v>0</ns0:v>
      </ns0:c>
      <ns0:c r="AG286" s="7">
        <ns0:f>IF(Z286&gt;=0,A286,1001)</ns0:f>
        <ns0:v>282</ns0:v>
      </ns0:c>
      <ns0:c r="AH286" s="4">
        <ns0:f>IF(Z286&lt;0,A286,0)</ns0:f>
        <ns0:v>0</ns0:v>
      </ns0:c>
      <ns0:c r="AI286" s="12">
        <ns0:f>IF(AND(OR('前提と出典'!$C$36+'前提と出典'!$C$38=0,X286&gt;=0),OR('前提と出典'!$C$37+'前提と出典'!$C$38=0,Y286&gt;=0)),0,A286)</ns0:f>
        <ns0:v>0</ns0:v>
      </ns0:c>
    </ns0:row>
    <ns0:row r="287" ht="24" customHeight="1">
      <ns0:c r="A287" s="4" t="n">
        <ns0:v>283</ns0:v>
      </ns0:c>
      <ns0:c r="B287" s="12">
        <ns0:f>A287*('前提と出典'!$C$36+'前提と出典'!$C$38)</ns0:f>
        <ns0:v>198.1</ns0:v>
      </ns0:c>
      <ns0:c r="C287" s="12">
        <ns0:f>A287*('前提と出典'!$C$37+'前提と出典'!$C$38)</ns0:f>
        <ns0:v>169.79999999999998</ns0:v>
      </ns0:c>
      <ns0:c r="D287" s="16">
        <ns0:f>A287*('前提と出典'!$C$36*'契約別単価'!C5+'前提と出典'!$C$37*'契約別単価'!C6+'前提と出典'!$C$38*'契約別単価'!C7)</ns0:f>
        <ns0:v>2036.3351955307262</ns0:v>
      </ns0:c>
      <ns0:c r="E287" s="16">
        <ns0:f>A287*('前提と出典'!$C$36*'契約別単価'!E5+'前提と出典'!$C$37*'契約別単価'!E6+'前提と出典'!$C$38*'契約別単価'!E7)</ns0:f>
        <ns0:v>547589.3378552595</ns0:v>
      </ns0:c>
      <ns0:c r="F287" s="16">
        <ns0:f>A287*('前提と出典'!$C$36*'契約別単価'!F5+'前提と出典'!$C$37*'契約別単価'!F6+'前提と出典'!$C$38*'契約別単価'!F7)</ns0:f>
        <ns0:v>214908.92075623357</ns0:v>
      </ns0:c>
      <ns0:c r="G287" s="16">
        <ns0:f>A287*('前提と出典'!$C$36*'契約別単価'!G5+'前提と出典'!$C$37*'契約別単価'!G6+'前提と出典'!$C$38*'契約別単価'!G7)</ns0:f>
        <ns0:v>563312.2905027933</ns0:v>
      </ns0:c>
      <ns0:c r="H287" s="16">
        <ns0:f>A287*('前提と出典'!$C$36*'契約別単価'!H5+'前提と出典'!$C$37*'契約別単価'!H6+'前提と出典'!$C$38*'契約別単価'!H7)</ns0:f>
        <ns0:v>195497.6171359591</ns0:v>
      </ns0:c>
      <ns0:c r="I287" s="16">
        <ns0:f>A287*('前提と出典'!$C$36*'契約別単価'!I5+'前提と出典'!$C$37*'契約別単価'!I6+'前提と出典'!$C$38*'契約別単価'!I7)</ns0:f>
        <ns0:v>11941.335195530724</ns0:v>
      </ns0:c>
      <ns0:c r="J287" s="16">
        <ns0:f>A287*('前提と出典'!$C$36*'契約別単価'!J5+'前提と出典'!$C$37*'契約別単価'!J6+'前提と出典'!$C$38*'契約別単価'!J7)</ns0:f>
        <ns0:v>27815.940870015627</ns0:v>
      </ns0:c>
      <ns0:c r="K287" s="16">
        <ns0:f>A287*('前提と出典'!$C$36*'契約別単価'!K5+'前提と出典'!$C$37*'契約別単価'!K6+'前提と出典'!$C$38*'契約別単価'!K7)</ns0:f>
        <ns0:v>119228.90130353816</ns0:v>
      </ns0:c>
      <ns0:c r="L287" s="16">
        <ns0:f>A287*('前提と出典'!$C$36*'契約別単価'!L5+'前提と出典'!$C$37*'契約別単価'!L6+'前提と出典'!$C$38*'契約別単価'!L7)</ns0:f>
        <ns0:v>97076.5872378653</ns0:v>
      </ns0:c>
      <ns0:c r="M287" s="16">
        <ns0:f>IF(('前提と出典'!$C$36+'前提と出典'!$C$38)=0,0,IF(B287&lt;=10,'前提と出典'!B73+'前提と出典'!C73,IF(B287&lt;=100,'前提と出典'!B74+'前提と出典'!C74,IF(B287&lt;=500,'前提と出典'!B75+'前提と出典'!C75,'前提と出典'!B76+'前提と出典'!C76))))</ns0:f>
        <ns0:v>40000</ns0:v>
      </ns0:c>
      <ns0:c r="N287" s="16">
        <ns0:f>IF(('前提と出典'!$C$37+'前提と出典'!$C$38)=0,0,IF(C287&lt;=10,'前提と出典'!D73+'前提と出典'!E73,IF(C287&lt;=100,'前提と出典'!D74+'前提と出典'!E74,IF(C287&lt;=500,'前提と出典'!D75+'前提と出典'!E75,'前提と出典'!D76+'前提と出典'!E76))))</ns0:f>
        <ns0:v>56510.9346263078</ns0:v>
      </ns0:c>
      <ns0:c r="O287" s="16">
        <ns0:f>IF('前提と出典'!$C$36+'前提と出典'!$C$38=0,0,'前提と出典'!$B$4*IF('前提と出典'!$B$20=0,MAX('前提と出典'!$B$6,D287*'前提と出典'!$B$5),'前提と出典'!$B$6+D287*'前提と出典'!$B$5))</ns0:f>
        <ns0:v>281014.25698324025</ns0:v>
      </ns0:c>
      <ns0:c r="P287" s="16">
        <ns0:f>(E287+G287)*(1-'前提と出典'!$B$7)-I287-K287-M287-O287</ns0:f>
        <ns0:v>618724.6762548538</ns0:v>
      </ns0:c>
      <ns0:c r="Q287" s="16">
        <ns0:f>(F287+H287)*(1-'前提と出典'!$B$7)-J287-L287-N287</ns0:f>
        <ns0:v>214228.439793885</ns0:v>
      </ns0:c>
      <ns0:c r="R287" s="16">
        <ns0:f>P287-E287*'前提と出典'!$E$4</ns0:f>
        <ns0:v>454447.87489827594</ns0:v>
      </ns0:c>
      <ns0:c r="S287" s="16">
        <ns0:f>Q287-F287*'前提と出典'!$E$4</ns0:f>
        <ns0:v>149755.76356701483</ns0:v>
      </ns0:c>
      <ns0:c r="T287" s="7">
        <ns0:f>R287+S287</ns0:f>
        <ns0:v>604203.6384652908</ns0:v>
      </ns0:c>
      <ns0:c r="U287" s="16">
        <ns0:f>P287-E287*'前提と出典'!$E$5</ns0:f>
        <ns0:v>399688.94111275</ns0:v>
      </ns0:c>
      <ns0:c r="V287" s="16">
        <ns0:f>Q287-F287*'前提と出典'!$E$5</ns0:f>
        <ns0:v>128264.87149139156</ns0:v>
      </ns0:c>
      <ns0:c r="W287" s="7">
        <ns0:f>U287+V287</ns0:f>
        <ns0:v>527953.8126041415</ns0:v>
      </ns0:c>
      <ns0:c r="X287" s="16">
        <ns0:f>P287-E287*'前提と出典'!$E$6</ns0:f>
        <ns0:v>344930.0073272241</ns0:v>
      </ns0:c>
      <ns0:c r="Y287" s="16">
        <ns0:f>Q287-F287*'前提と出典'!$E$6</ns0:f>
        <ns0:v>106773.97941576823</ns0:v>
      </ns0:c>
      <ns0:c r="Z287" s="7">
        <ns0:f>X287+Y287</ns0:f>
        <ns0:v>451703.98674299236</ns0:v>
      </ns0:c>
      <ns0:c r="AA287" s="7">
        <ns0:f>IF(T287&gt;=0,A287,1001)</ns0:f>
        <ns0:v>283</ns0:v>
      </ns0:c>
      <ns0:c r="AB287" s="7">
        <ns0:f>IF(T287&lt;0,A287,0)</ns0:f>
        <ns0:v>0</ns0:v>
      </ns0:c>
      <ns0:c r="AC287" s="16">
        <ns0:f>IF(AND(OR('前提と出典'!$C$36+'前提と出典'!$C$38=0,R287&gt;=0),OR('前提と出典'!$C$37+'前提と出典'!$C$38=0,S287&gt;=0)),0,A287)</ns0:f>
        <ns0:v>0</ns0:v>
      </ns0:c>
      <ns0:c r="AD287" s="7">
        <ns0:f>IF(W287&gt;=0,A287,1001)</ns0:f>
        <ns0:v>283</ns0:v>
      </ns0:c>
      <ns0:c r="AE287" s="7">
        <ns0:f>IF(W287&lt;0,A287,0)</ns0:f>
        <ns0:v>0</ns0:v>
      </ns0:c>
      <ns0:c r="AF287" s="16">
        <ns0:f>IF(AND(OR('前提と出典'!$C$36+'前提と出典'!$C$38=0,U287&gt;=0),OR('前提と出典'!$C$37+'前提と出典'!$C$38=0,V287&gt;=0)),0,A287)</ns0:f>
        <ns0:v>0</ns0:v>
      </ns0:c>
      <ns0:c r="AG287" s="7">
        <ns0:f>IF(Z287&gt;=0,A287,1001)</ns0:f>
        <ns0:v>283</ns0:v>
      </ns0:c>
      <ns0:c r="AH287" s="4">
        <ns0:f>IF(Z287&lt;0,A287,0)</ns0:f>
        <ns0:v>0</ns0:v>
      </ns0:c>
      <ns0:c r="AI287" s="12">
        <ns0:f>IF(AND(OR('前提と出典'!$C$36+'前提と出典'!$C$38=0,X287&gt;=0),OR('前提と出典'!$C$37+'前提と出典'!$C$38=0,Y287&gt;=0)),0,A287)</ns0:f>
        <ns0:v>0</ns0:v>
      </ns0:c>
    </ns0:row>
    <ns0:row r="288" ht="24" customHeight="1">
      <ns0:c r="A288" s="4" t="n">
        <ns0:v>284</ns0:v>
      </ns0:c>
      <ns0:c r="B288" s="12">
        <ns0:f>A288*('前提と出典'!$C$36+'前提と出典'!$C$38)</ns0:f>
        <ns0:v>198.79999999999998</ns0:v>
      </ns0:c>
      <ns0:c r="C288" s="12">
        <ns0:f>A288*('前提と出典'!$C$37+'前提と出典'!$C$38)</ns0:f>
        <ns0:v>170.4</ns0:v>
      </ns0:c>
      <ns0:c r="D288" s="16">
        <ns0:f>A288*('前提と出典'!$C$36*'契約別単価'!C5+'前提と出典'!$C$37*'契約別単価'!C6+'前提と出典'!$C$38*'契約別単価'!C7)</ns0:f>
        <ns0:v>2043.5307262569831</ns0:v>
      </ns0:c>
      <ns0:c r="E288" s="16">
        <ns0:f>A288*('前提と出典'!$C$36*'契約別単価'!E5+'前提と出典'!$C$37*'契約別単価'!E6+'前提と出典'!$C$38*'契約別単価'!E7)</ns0:f>
        <ns0:v>549524.2825119919</ns0:v>
      </ns0:c>
      <ns0:c r="F288" s="16">
        <ns0:f>A288*('前提と出典'!$C$36*'契約別単価'!F5+'前提と出典'!$C$37*'契約別単価'!F6+'前提と出典'!$C$38*'契約別単価'!F7)</ns0:f>
        <ns0:v>215668.3162359376</ns0:v>
      </ns0:c>
      <ns0:c r="G288" s="16">
        <ns0:f>A288*('前提と出典'!$C$36*'契約別単価'!G5+'前提と出典'!$C$37*'契約別単価'!G6+'前提と出典'!$C$38*'契約別単価'!G7)</ns0:f>
        <ns0:v>565302.7932960894</ns0:v>
      </ns0:c>
      <ns0:c r="H288" s="16">
        <ns0:f>A288*('前提と出典'!$C$36*'契約別単価'!H5+'前提と出典'!$C$37*'契約別単価'!H6+'前提と出典'!$C$38*'契約別単価'!H7)</ns0:f>
        <ns0:v>196188.42143679285</ns0:v>
      </ns0:c>
      <ns0:c r="I288" s="16">
        <ns0:f>A288*('前提と出典'!$C$36*'契約別単価'!I5+'前提と出典'!$C$37*'契約別単価'!I6+'前提と出典'!$C$38*'契約別単価'!I7)</ns0:f>
        <ns0:v>11983.53072625698</ns0:v>
      </ns0:c>
      <ns0:c r="J288" s="16">
        <ns0:f>A288*('前提と出典'!$C$36*'契約別単価'!J5+'前提と出典'!$C$37*'契約別単価'!J6+'前提と出典'!$C$38*'契約別単価'!J7)</ns0:f>
        <ns0:v>27914.23041372593</ns0:v>
      </ns0:c>
      <ns0:c r="K288" s="16">
        <ns0:f>A288*('前提と出典'!$C$36*'契約別単価'!K5+'前提と出典'!$C$37*'契約別単価'!K6+'前提と出典'!$C$38*'契約別単価'!K7)</ns0:f>
        <ns0:v>119650.20484171322</ns0:v>
      </ns0:c>
      <ns0:c r="L288" s="16">
        <ns0:f>A288*('前提と出典'!$C$36*'契約別単価'!L5+'前提と出典'!$C$37*'契約別単価'!L6+'前提と出典'!$C$38*'契約別単価'!L7)</ns0:f>
        <ns0:v>97419.61404789309</ns0:v>
      </ns0:c>
      <ns0:c r="M288" s="16">
        <ns0:f>IF(('前提と出典'!$C$36+'前提と出典'!$C$38)=0,0,IF(B288&lt;=10,'前提と出典'!B73+'前提と出典'!C73,IF(B288&lt;=100,'前提と出典'!B74+'前提と出典'!C74,IF(B288&lt;=500,'前提と出典'!B75+'前提と出典'!C75,'前提と出典'!B76+'前提と出典'!C76))))</ns0:f>
        <ns0:v>40000</ns0:v>
      </ns0:c>
      <ns0:c r="N288" s="16">
        <ns0:f>IF(('前提と出典'!$C$37+'前提と出典'!$C$38)=0,0,IF(C288&lt;=10,'前提と出典'!D73+'前提と出典'!E73,IF(C288&lt;=100,'前提と出典'!D74+'前提と出典'!E74,IF(C288&lt;=500,'前提と出典'!D75+'前提と出典'!E75,'前提と出典'!D76+'前提と出典'!E76))))</ns0:f>
        <ns0:v>56510.9346263078</ns0:v>
      </ns0:c>
      <ns0:c r="O288" s="16">
        <ns0:f>IF('前提と出典'!$C$36+'前提と出典'!$C$38=0,0,'前提と出典'!$B$4*IF('前提と出典'!$B$20=0,MAX('前提と出典'!$B$6,D288*'前提と出典'!$B$5),'前提と出典'!$B$6+D288*'前提と出典'!$B$5))</ns0:f>
        <ns0:v>282007.2402234637</ns0:v>
      </ns0:c>
      <ns0:c r="P288" s="16">
        <ns0:f>(E288+G288)*(1-'前提と出典'!$B$7)-I288-K288-M288-O288</ns0:f>
        <ns0:v>621052.3252875565</ns0:v>
      </ns0:c>
      <ns0:c r="Q288" s="16">
        <ns0:f>(F288+H288)*(1-'前提と出典'!$B$7)-J288-L288-N288</ns0:f>
        <ns0:v>215185.11602858538</ns0:v>
      </ns0:c>
      <ns0:c r="R288" s="16">
        <ns0:f>P288-E288*'前提と出典'!$E$4</ns0:f>
        <ns0:v>456195.0405339589</ns0:v>
      </ns0:c>
      <ns0:c r="S288" s="16">
        <ns0:f>Q288-F288*'前提と出典'!$E$4</ns0:f>
        <ns0:v>150484.62115780404</ns0:v>
      </ns0:c>
      <ns0:c r="T288" s="7">
        <ns0:f>R288+S288</ns0:f>
        <ns0:v>606679.661691763</ns0:v>
      </ns0:c>
      <ns0:c r="U288" s="16">
        <ns0:f>P288-E288*'前提と出典'!$E$5</ns0:f>
        <ns0:v>401242.6122827597</ns0:v>
      </ns0:c>
      <ns0:c r="V288" s="16">
        <ns0:f>Q288-F288*'前提と出典'!$E$5</ns0:f>
        <ns0:v>128917.78953421034</ns0:v>
      </ns0:c>
      <ns0:c r="W288" s="7">
        <ns0:f>U288+V288</ns0:f>
        <ns0:v>530160.40181697</ns0:v>
      </ns0:c>
      <ns0:c r="X288" s="16">
        <ns0:f>P288-E288*'前提と出典'!$E$6</ns0:f>
        <ns0:v>346290.1840315605</ns0:v>
      </ns0:c>
      <ns0:c r="Y288" s="16">
        <ns0:f>Q288-F288*'前提と出典'!$E$6</ns0:f>
        <ns0:v>107350.95791061656</ns0:v>
      </ns0:c>
      <ns0:c r="Z288" s="7">
        <ns0:f>X288+Y288</ns0:f>
        <ns0:v>453641.1419421771</ns0:v>
      </ns0:c>
      <ns0:c r="AA288" s="7">
        <ns0:f>IF(T288&gt;=0,A288,1001)</ns0:f>
        <ns0:v>284</ns0:v>
      </ns0:c>
      <ns0:c r="AB288" s="7">
        <ns0:f>IF(T288&lt;0,A288,0)</ns0:f>
        <ns0:v>0</ns0:v>
      </ns0:c>
      <ns0:c r="AC288" s="16">
        <ns0:f>IF(AND(OR('前提と出典'!$C$36+'前提と出典'!$C$38=0,R288&gt;=0),OR('前提と出典'!$C$37+'前提と出典'!$C$38=0,S288&gt;=0)),0,A288)</ns0:f>
        <ns0:v>0</ns0:v>
      </ns0:c>
      <ns0:c r="AD288" s="7">
        <ns0:f>IF(W288&gt;=0,A288,1001)</ns0:f>
        <ns0:v>284</ns0:v>
      </ns0:c>
      <ns0:c r="AE288" s="7">
        <ns0:f>IF(W288&lt;0,A288,0)</ns0:f>
        <ns0:v>0</ns0:v>
      </ns0:c>
      <ns0:c r="AF288" s="16">
        <ns0:f>IF(AND(OR('前提と出典'!$C$36+'前提と出典'!$C$38=0,U288&gt;=0),OR('前提と出典'!$C$37+'前提と出典'!$C$38=0,V288&gt;=0)),0,A288)</ns0:f>
        <ns0:v>0</ns0:v>
      </ns0:c>
      <ns0:c r="AG288" s="7">
        <ns0:f>IF(Z288&gt;=0,A288,1001)</ns0:f>
        <ns0:v>284</ns0:v>
      </ns0:c>
      <ns0:c r="AH288" s="4">
        <ns0:f>IF(Z288&lt;0,A288,0)</ns0:f>
        <ns0:v>0</ns0:v>
      </ns0:c>
      <ns0:c r="AI288" s="12">
        <ns0:f>IF(AND(OR('前提と出典'!$C$36+'前提と出典'!$C$38=0,X288&gt;=0),OR('前提と出典'!$C$37+'前提と出典'!$C$38=0,Y288&gt;=0)),0,A288)</ns0:f>
        <ns0:v>0</ns0:v>
      </ns0:c>
    </ns0:row>
    <ns0:row r="289" ht="24" customHeight="1">
      <ns0:c r="A289" s="4" t="n">
        <ns0:v>285</ns0:v>
      </ns0:c>
      <ns0:c r="B289" s="12">
        <ns0:f>A289*('前提と出典'!$C$36+'前提と出典'!$C$38)</ns0:f>
        <ns0:v>199.5</ns0:v>
      </ns0:c>
      <ns0:c r="C289" s="12">
        <ns0:f>A289*('前提と出典'!$C$37+'前提と出典'!$C$38)</ns0:f>
        <ns0:v>171</ns0:v>
      </ns0:c>
      <ns0:c r="D289" s="16">
        <ns0:f>A289*('前提と出典'!$C$36*'契約別単価'!C5+'前提と出典'!$C$37*'契約別単価'!C6+'前提と出典'!$C$38*'契約別単価'!C7)</ns0:f>
        <ns0:v>2050.72625698324</ns0:v>
      </ns0:c>
      <ns0:c r="E289" s="16">
        <ns0:f>A289*('前提と出典'!$C$36*'契約別単価'!E5+'前提と出典'!$C$37*'契約別単価'!E6+'前提と出典'!$C$38*'契約別単価'!E7)</ns0:f>
        <ns0:v>551459.2271687243</ns0:v>
      </ns0:c>
      <ns0:c r="F289" s="16">
        <ns0:f>A289*('前提と出典'!$C$36*'契約別単価'!F5+'前提と出典'!$C$37*'契約別単価'!F6+'前提と出典'!$C$38*'契約別単価'!F7)</ns0:f>
        <ns0:v>216427.71171564158</ns0:v>
      </ns0:c>
      <ns0:c r="G289" s="16">
        <ns0:f>A289*('前提と出典'!$C$36*'契約別単価'!G5+'前提と出典'!$C$37*'契約別単価'!G6+'前提と出典'!$C$38*'契約別単価'!G7)</ns0:f>
        <ns0:v>567293.2960893854</ns0:v>
      </ns0:c>
      <ns0:c r="H289" s="16">
        <ns0:f>A289*('前提と出典'!$C$36*'契約別単価'!H5+'前提と出典'!$C$37*'契約別単価'!H6+'前提と出典'!$C$38*'契約別単価'!H7)</ns0:f>
        <ns0:v>196879.22573762664</ns0:v>
      </ns0:c>
      <ns0:c r="I289" s="16">
        <ns0:f>A289*('前提と出典'!$C$36*'契約別単価'!I5+'前提と出典'!$C$37*'契約別単価'!I6+'前提と出典'!$C$38*'契約別単価'!I7)</ns0:f>
        <ns0:v>12025.726256983238</ns0:v>
      </ns0:c>
      <ns0:c r="J289" s="16">
        <ns0:f>A289*('前提と出典'!$C$36*'契約別単価'!J5+'前提と出典'!$C$37*'契約別単価'!J6+'前提と出典'!$C$38*'契約別単価'!J7)</ns0:f>
        <ns0:v>28012.51995743623</ns0:v>
      </ns0:c>
      <ns0:c r="K289" s="16">
        <ns0:f>A289*('前提と出典'!$C$36*'契約別単価'!K5+'前提と出典'!$C$37*'契約別単価'!K6+'前提と出典'!$C$38*'契約別単価'!K7)</ns0:f>
        <ns0:v>120071.50837988826</ns0:v>
      </ns0:c>
      <ns0:c r="L289" s="16">
        <ns0:f>A289*('前提と出典'!$C$36*'契約別単価'!L5+'前提と出典'!$C$37*'契約別単価'!L6+'前提と出典'!$C$38*'契約別単価'!L7)</ns0:f>
        <ns0:v>97762.64085792088</ns0:v>
      </ns0:c>
      <ns0:c r="M289" s="16">
        <ns0:f>IF(('前提と出典'!$C$36+'前提と出典'!$C$38)=0,0,IF(B289&lt;=10,'前提と出典'!B73+'前提と出典'!C73,IF(B289&lt;=100,'前提と出典'!B74+'前提と出典'!C74,IF(B289&lt;=500,'前提と出典'!B75+'前提と出典'!C75,'前提と出典'!B76+'前提と出典'!C76))))</ns0:f>
        <ns0:v>40000</ns0:v>
      </ns0:c>
      <ns0:c r="N289" s="16">
        <ns0:f>IF(('前提と出典'!$C$37+'前提と出典'!$C$38)=0,0,IF(C289&lt;=10,'前提と出典'!D73+'前提と出典'!E73,IF(C289&lt;=100,'前提と出典'!D74+'前提と出典'!E74,IF(C289&lt;=500,'前提と出典'!D75+'前提と出典'!E75,'前提と出典'!D76+'前提と出典'!E76))))</ns0:f>
        <ns0:v>56510.9346263078</ns0:v>
      </ns0:c>
      <ns0:c r="O289" s="16">
        <ns0:f>IF('前提と出典'!$C$36+'前提と出典'!$C$38=0,0,'前提と出典'!$B$4*IF('前提と出典'!$B$20=0,MAX('前提と出典'!$B$6,D289*'前提と出典'!$B$5),'前提と出典'!$B$6+D289*'前提と出典'!$B$5))</ns0:f>
        <ns0:v>283000.2234636871</ns0:v>
      </ns0:c>
      <ns0:c r="P289" s="16">
        <ns0:f>(E289+G289)*(1-'前提と出典'!$B$7)-I289-K289-M289-O289</ns0:f>
        <ns0:v>623379.9743202592</ns0:v>
      </ns0:c>
      <ns0:c r="Q289" s="16">
        <ns0:f>(F289+H289)*(1-'前提と出典'!$B$7)-J289-L289-N289</ns0:f>
        <ns0:v>216141.79226328566</ns0:v>
      </ns0:c>
      <ns0:c r="R289" s="16">
        <ns0:f>P289-E289*'前提と出典'!$E$4</ns0:f>
        <ns0:v>457942.2061696418</ns0:v>
      </ns0:c>
      <ns0:c r="S289" s="16">
        <ns0:f>Q289-F289*'前提と出典'!$E$4</ns0:f>
        <ns0:v>151213.4787485932</ns0:v>
      </ns0:c>
      <ns0:c r="T289" s="7">
        <ns0:f>R289+S289</ns0:f>
        <ns0:v>609155.684918235</ns0:v>
      </ns0:c>
      <ns0:c r="U289" s="16">
        <ns0:f>P289-E289*'前提と出典'!$E$5</ns0:f>
        <ns0:v>402796.2834527694</ns0:v>
      </ns0:c>
      <ns0:c r="V289" s="16">
        <ns0:f>Q289-F289*'前提と出典'!$E$5</ns0:f>
        <ns0:v>129570.70757702901</ns0:v>
      </ns0:c>
      <ns0:c r="W289" s="7">
        <ns0:f>U289+V289</ns0:f>
        <ns0:v>532366.9910297984</ns0:v>
      </ns0:c>
      <ns0:c r="X289" s="16">
        <ns0:f>P289-E289*'前提と出典'!$E$6</ns0:f>
        <ns0:v>347650.36073589686</ns0:v>
      </ns0:c>
      <ns0:c r="Y289" s="16">
        <ns0:f>Q289-F289*'前提と出典'!$E$6</ns0:f>
        <ns0:v>107927.93640546489</ns0:v>
      </ns0:c>
      <ns0:c r="Z289" s="7">
        <ns0:f>X289+Y289</ns0:f>
        <ns0:v>455578.29714136175</ns0:v>
      </ns0:c>
      <ns0:c r="AA289" s="7">
        <ns0:f>IF(T289&gt;=0,A289,1001)</ns0:f>
        <ns0:v>285</ns0:v>
      </ns0:c>
      <ns0:c r="AB289" s="7">
        <ns0:f>IF(T289&lt;0,A289,0)</ns0:f>
        <ns0:v>0</ns0:v>
      </ns0:c>
      <ns0:c r="AC289" s="16">
        <ns0:f>IF(AND(OR('前提と出典'!$C$36+'前提と出典'!$C$38=0,R289&gt;=0),OR('前提と出典'!$C$37+'前提と出典'!$C$38=0,S289&gt;=0)),0,A289)</ns0:f>
        <ns0:v>0</ns0:v>
      </ns0:c>
      <ns0:c r="AD289" s="7">
        <ns0:f>IF(W289&gt;=0,A289,1001)</ns0:f>
        <ns0:v>285</ns0:v>
      </ns0:c>
      <ns0:c r="AE289" s="7">
        <ns0:f>IF(W289&lt;0,A289,0)</ns0:f>
        <ns0:v>0</ns0:v>
      </ns0:c>
      <ns0:c r="AF289" s="16">
        <ns0:f>IF(AND(OR('前提と出典'!$C$36+'前提と出典'!$C$38=0,U289&gt;=0),OR('前提と出典'!$C$37+'前提と出典'!$C$38=0,V289&gt;=0)),0,A289)</ns0:f>
        <ns0:v>0</ns0:v>
      </ns0:c>
      <ns0:c r="AG289" s="7">
        <ns0:f>IF(Z289&gt;=0,A289,1001)</ns0:f>
        <ns0:v>285</ns0:v>
      </ns0:c>
      <ns0:c r="AH289" s="4">
        <ns0:f>IF(Z289&lt;0,A289,0)</ns0:f>
        <ns0:v>0</ns0:v>
      </ns0:c>
      <ns0:c r="AI289" s="12">
        <ns0:f>IF(AND(OR('前提と出典'!$C$36+'前提と出典'!$C$38=0,X289&gt;=0),OR('前提と出典'!$C$37+'前提と出典'!$C$38=0,Y289&gt;=0)),0,A289)</ns0:f>
        <ns0:v>0</ns0:v>
      </ns0:c>
    </ns0:row>
    <ns0:row r="290" ht="24" customHeight="1">
      <ns0:c r="A290" s="4" t="n">
        <ns0:v>286</ns0:v>
      </ns0:c>
      <ns0:c r="B290" s="12">
        <ns0:f>A290*('前提と出典'!$C$36+'前提と出典'!$C$38)</ns0:f>
        <ns0:v>200.2</ns0:v>
      </ns0:c>
      <ns0:c r="C290" s="12">
        <ns0:f>A290*('前提と出典'!$C$37+'前提と出典'!$C$38)</ns0:f>
        <ns0:v>171.6</ns0:v>
      </ns0:c>
      <ns0:c r="D290" s="16">
        <ns0:f>A290*('前提と出典'!$C$36*'契約別単価'!C5+'前提と出典'!$C$37*'契約別単価'!C6+'前提と出典'!$C$38*'契約別単価'!C7)</ns0:f>
        <ns0:v>2057.921787709497</ns0:v>
      </ns0:c>
      <ns0:c r="E290" s="16">
        <ns0:f>A290*('前提と出典'!$C$36*'契約別単価'!E5+'前提と出典'!$C$37*'契約別単価'!E6+'前提と出典'!$C$38*'契約別単価'!E7)</ns0:f>
        <ns0:v>553394.1718254567</ns0:v>
      </ns0:c>
      <ns0:c r="F290" s="16">
        <ns0:f>A290*('前提と出典'!$C$36*'契約別単価'!F5+'前提と出典'!$C$37*'契約別単価'!F6+'前提と出典'!$C$38*'契約別単価'!F7)</ns0:f>
        <ns0:v>217187.1071953456</ns0:v>
      </ns0:c>
      <ns0:c r="G290" s="16">
        <ns0:f>A290*('前提と出典'!$C$36*'契約別単価'!G5+'前提と出典'!$C$37*'契約別単価'!G6+'前提と出典'!$C$38*'契約別単価'!G7)</ns0:f>
        <ns0:v>569283.7988826815</ns0:v>
      </ns0:c>
      <ns0:c r="H290" s="16">
        <ns0:f>A290*('前提と出典'!$C$36*'契約別単価'!H5+'前提と出典'!$C$37*'契約別単価'!H6+'前提と出典'!$C$38*'契約別単価'!H7)</ns0:f>
        <ns0:v>197570.03003846042</ns0:v>
      </ns0:c>
      <ns0:c r="I290" s="16">
        <ns0:f>A290*('前提と出典'!$C$36*'契約別単価'!I5+'前提と出典'!$C$37*'契約別単価'!I6+'前提と出典'!$C$38*'契約別単価'!I7)</ns0:f>
        <ns0:v>12067.921787709494</ns0:v>
      </ns0:c>
      <ns0:c r="J290" s="16">
        <ns0:f>A290*('前提と出典'!$C$36*'契約別単価'!J5+'前提と出典'!$C$37*'契約別単価'!J6+'前提と出典'!$C$38*'契約別単価'!J7)</ns0:f>
        <ns0:v>28110.809501146534</ns0:v>
      </ns0:c>
      <ns0:c r="K290" s="16">
        <ns0:f>A290*('前提と出典'!$C$36*'契約別単価'!K5+'前提と出典'!$C$37*'契約別単価'!K6+'前提と出典'!$C$38*'契約別単価'!K7)</ns0:f>
        <ns0:v>120492.81191806331</ns0:v>
      </ns0:c>
      <ns0:c r="L290" s="16">
        <ns0:f>A290*('前提と出典'!$C$36*'契約別単価'!L5+'前提と出典'!$C$37*'契約別単価'!L6+'前提と出典'!$C$38*'契約別単価'!L7)</ns0:f>
        <ns0:v>98105.66766794868</ns0:v>
      </ns0:c>
      <ns0:c r="M290" s="16">
        <ns0:f>IF(('前提と出典'!$C$36+'前提と出典'!$C$38)=0,0,IF(B290&lt;=10,'前提と出典'!B73+'前提と出典'!C73,IF(B290&lt;=100,'前提と出典'!B74+'前提と出典'!C74,IF(B290&lt;=500,'前提と出典'!B75+'前提と出典'!C75,'前提と出典'!B76+'前提と出典'!C76))))</ns0:f>
        <ns0:v>40000</ns0:v>
      </ns0:c>
      <ns0:c r="N290" s="16">
        <ns0:f>IF(('前提と出典'!$C$37+'前提と出典'!$C$38)=0,0,IF(C290&lt;=10,'前提と出典'!D73+'前提と出典'!E73,IF(C290&lt;=100,'前提と出典'!D74+'前提と出典'!E74,IF(C290&lt;=500,'前提と出典'!D75+'前提と出典'!E75,'前提と出典'!D76+'前提と出典'!E76))))</ns0:f>
        <ns0:v>56510.9346263078</ns0:v>
      </ns0:c>
      <ns0:c r="O290" s="16">
        <ns0:f>IF('前提と出典'!$C$36+'前提と出典'!$C$38=0,0,'前提と出典'!$B$4*IF('前提と出典'!$B$20=0,MAX('前提と出典'!$B$6,D290*'前提と出典'!$B$5),'前提と出典'!$B$6+D290*'前提と出典'!$B$5))</ns0:f>
        <ns0:v>283993.2067039106</ns0:v>
      </ns0:c>
      <ns0:c r="P290" s="16">
        <ns0:f>(E290+G290)*(1-'前提と出典'!$B$7)-I290-K290-M290-O290</ns0:f>
        <ns0:v>625707.623352962</ns0:v>
      </ns0:c>
      <ns0:c r="Q290" s="16">
        <ns0:f>(F290+H290)*(1-'前提と出典'!$B$7)-J290-L290-N290</ns0:f>
        <ns0:v>217098.46849798597</ns0:v>
      </ns0:c>
      <ns0:c r="R290" s="16">
        <ns0:f>P290-E290*'前提と出典'!$E$4</ns0:f>
        <ns0:v>459689.37180532503</ns0:v>
      </ns0:c>
      <ns0:c r="S290" s="16">
        <ns0:f>Q290-F290*'前提と出典'!$E$4</ns0:f>
        <ns0:v>151942.33633938228</ns0:v>
      </ns0:c>
      <ns0:c r="T290" s="7">
        <ns0:f>R290+S290</ns0:f>
        <ns0:v>611631.7081447074</ns0:v>
      </ns0:c>
      <ns0:c r="U290" s="16">
        <ns0:f>P290-E290*'前提と出典'!$E$5</ns0:f>
        <ns0:v>404349.9546227793</ns0:v>
      </ns0:c>
      <ns0:c r="V290" s="16">
        <ns0:f>Q290-F290*'前提と出典'!$E$5</ns0:f>
        <ns0:v>130223.62561984773</ns0:v>
      </ns0:c>
      <ns0:c r="W290" s="7">
        <ns0:f>U290+V290</ns0:f>
        <ns0:v>534573.5802426271</ns0:v>
      </ns0:c>
      <ns0:c r="X290" s="16">
        <ns0:f>P290-E290*'前提と出典'!$E$6</ns0:f>
        <ns0:v>349010.53744023363</ns0:v>
      </ns0:c>
      <ns0:c r="Y290" s="16">
        <ns0:f>Q290-F290*'前提と出典'!$E$6</ns0:f>
        <ns0:v>108504.91490031319</ns0:v>
      </ns0:c>
      <ns0:c r="Z290" s="7">
        <ns0:f>X290+Y290</ns0:f>
        <ns0:v>457515.4523405468</ns0:v>
      </ns0:c>
      <ns0:c r="AA290" s="7">
        <ns0:f>IF(T290&gt;=0,A290,1001)</ns0:f>
        <ns0:v>286</ns0:v>
      </ns0:c>
      <ns0:c r="AB290" s="7">
        <ns0:f>IF(T290&lt;0,A290,0)</ns0:f>
        <ns0:v>0</ns0:v>
      </ns0:c>
      <ns0:c r="AC290" s="16">
        <ns0:f>IF(AND(OR('前提と出典'!$C$36+'前提と出典'!$C$38=0,R290&gt;=0),OR('前提と出典'!$C$37+'前提と出典'!$C$38=0,S290&gt;=0)),0,A290)</ns0:f>
        <ns0:v>0</ns0:v>
      </ns0:c>
      <ns0:c r="AD290" s="7">
        <ns0:f>IF(W290&gt;=0,A290,1001)</ns0:f>
        <ns0:v>286</ns0:v>
      </ns0:c>
      <ns0:c r="AE290" s="7">
        <ns0:f>IF(W290&lt;0,A290,0)</ns0:f>
        <ns0:v>0</ns0:v>
      </ns0:c>
      <ns0:c r="AF290" s="16">
        <ns0:f>IF(AND(OR('前提と出典'!$C$36+'前提と出典'!$C$38=0,U290&gt;=0),OR('前提と出典'!$C$37+'前提と出典'!$C$38=0,V290&gt;=0)),0,A290)</ns0:f>
        <ns0:v>0</ns0:v>
      </ns0:c>
      <ns0:c r="AG290" s="7">
        <ns0:f>IF(Z290&gt;=0,A290,1001)</ns0:f>
        <ns0:v>286</ns0:v>
      </ns0:c>
      <ns0:c r="AH290" s="4">
        <ns0:f>IF(Z290&lt;0,A290,0)</ns0:f>
        <ns0:v>0</ns0:v>
      </ns0:c>
      <ns0:c r="AI290" s="12">
        <ns0:f>IF(AND(OR('前提と出典'!$C$36+'前提と出典'!$C$38=0,X290&gt;=0),OR('前提と出典'!$C$37+'前提と出典'!$C$38=0,Y290&gt;=0)),0,A290)</ns0:f>
        <ns0:v>0</ns0:v>
      </ns0:c>
    </ns0:row>
    <ns0:row r="291" ht="24" customHeight="1">
      <ns0:c r="A291" s="4" t="n">
        <ns0:v>287</ns0:v>
      </ns0:c>
      <ns0:c r="B291" s="12">
        <ns0:f>A291*('前提と出典'!$C$36+'前提と出典'!$C$38)</ns0:f>
        <ns0:v>200.89999999999998</ns0:v>
      </ns0:c>
      <ns0:c r="C291" s="12">
        <ns0:f>A291*('前提と出典'!$C$37+'前提と出典'!$C$38)</ns0:f>
        <ns0:v>172.2</ns0:v>
      </ns0:c>
      <ns0:c r="D291" s="16">
        <ns0:f>A291*('前提と出典'!$C$36*'契約別単価'!C5+'前提と出典'!$C$37*'契約別単価'!C6+'前提と出典'!$C$38*'契約別単価'!C7)</ns0:f>
        <ns0:v>2065.117318435754</ns0:v>
      </ns0:c>
      <ns0:c r="E291" s="16">
        <ns0:f>A291*('前提と出典'!$C$36*'契約別単価'!E5+'前提と出典'!$C$37*'契約別単価'!E6+'前提と出典'!$C$38*'契約別単価'!E7)</ns0:f>
        <ns0:v>555329.116482189</ns0:v>
      </ns0:c>
      <ns0:c r="F291" s="16">
        <ns0:f>A291*('前提と出典'!$C$36*'契約別単価'!F5+'前提と出典'!$C$37*'契約別単価'!F6+'前提と出典'!$C$38*'契約別単価'!F7)</ns0:f>
        <ns0:v>217946.5026750496</ns0:v>
      </ns0:c>
      <ns0:c r="G291" s="16">
        <ns0:f>A291*('前提と出典'!$C$36*'契約別単価'!G5+'前提と出典'!$C$37*'契約別単価'!G6+'前提と出典'!$C$38*'契約別単価'!G7)</ns0:f>
        <ns0:v>571274.3016759777</ns0:v>
      </ns0:c>
      <ns0:c r="H291" s="16">
        <ns0:f>A291*('前提と出典'!$C$36*'契約別単価'!H5+'前提と出典'!$C$37*'契約別単価'!H6+'前提と出典'!$C$38*'契約別単価'!H7)</ns0:f>
        <ns0:v>198260.8343392942</ns0:v>
      </ns0:c>
      <ns0:c r="I291" s="16">
        <ns0:f>A291*('前提と出典'!$C$36*'契約別単価'!I5+'前提と出典'!$C$37*'契約別単価'!I6+'前提と出典'!$C$38*'契約別単価'!I7)</ns0:f>
        <ns0:v>12110.117318435752</ns0:v>
      </ns0:c>
      <ns0:c r="J291" s="16">
        <ns0:f>A291*('前提と出典'!$C$36*'契約別単価'!J5+'前提と出典'!$C$37*'契約別単価'!J6+'前提と出典'!$C$38*'契約別単価'!J7)</ns0:f>
        <ns0:v>28209.099044856837</ns0:v>
      </ns0:c>
      <ns0:c r="K291" s="16">
        <ns0:f>A291*('前提と出典'!$C$36*'契約別単価'!K5+'前提と出典'!$C$37*'契約別単価'!K6+'前提と出典'!$C$38*'契約別単価'!K7)</ns0:f>
        <ns0:v>120914.11545623836</ns0:v>
      </ns0:c>
      <ns0:c r="L291" s="16">
        <ns0:f>A291*('前提と出典'!$C$36*'契約別単価'!L5+'前提と出典'!$C$37*'契約別単価'!L6+'前提と出典'!$C$38*'契約別単価'!L7)</ns0:f>
        <ns0:v>98448.69447797647</ns0:v>
      </ns0:c>
      <ns0:c r="M291" s="16">
        <ns0:f>IF(('前提と出典'!$C$36+'前提と出典'!$C$38)=0,0,IF(B291&lt;=10,'前提と出典'!B73+'前提と出典'!C73,IF(B291&lt;=100,'前提と出典'!B74+'前提と出典'!C74,IF(B291&lt;=500,'前提と出典'!B75+'前提と出典'!C75,'前提と出典'!B76+'前提と出典'!C76))))</ns0:f>
        <ns0:v>40000</ns0:v>
      </ns0:c>
      <ns0:c r="N291" s="16">
        <ns0:f>IF(('前提と出典'!$C$37+'前提と出典'!$C$38)=0,0,IF(C291&lt;=10,'前提と出典'!D73+'前提と出典'!E73,IF(C291&lt;=100,'前提と出典'!D74+'前提と出典'!E74,IF(C291&lt;=500,'前提と出典'!D75+'前提と出典'!E75,'前提と出典'!D76+'前提と出典'!E76))))</ns0:f>
        <ns0:v>56510.9346263078</ns0:v>
      </ns0:c>
      <ns0:c r="O291" s="16">
        <ns0:f>IF('前提と出典'!$C$36+'前提と出典'!$C$38=0,0,'前提と出典'!$B$4*IF('前提と出典'!$B$20=0,MAX('前提と出典'!$B$6,D291*'前提と出典'!$B$5),'前提と出典'!$B$6+D291*'前提と出典'!$B$5))</ns0:f>
        <ns0:v>284986.18994413404</ns0:v>
      </ns0:c>
      <ns0:c r="P291" s="16">
        <ns0:f>(E291+G291)*(1-'前提と出典'!$B$7)-I291-K291-M291-O291</ns0:f>
        <ns0:v>628035.2723856644</ns0:v>
      </ns0:c>
      <ns0:c r="Q291" s="16">
        <ns0:f>(F291+H291)*(1-'前提と出典'!$B$7)-J291-L291-N291</ns0:f>
        <ns0:v>218055.14473268634</ns0:v>
      </ns0:c>
      <ns0:c r="R291" s="16">
        <ns0:f>P291-E291*'前提と出典'!$E$4</ns0:f>
        <ns0:v>461436.5374410076</ns0:v>
      </ns0:c>
      <ns0:c r="S291" s="16">
        <ns0:f>Q291-F291*'前提と出典'!$E$4</ns0:f>
        <ns0:v>152671.1939301715</ns0:v>
      </ns0:c>
      <ns0:c r="T291" s="7">
        <ns0:f>R291+S291</ns0:f>
        <ns0:v>614107.7313711791</ns0:v>
      </ns0:c>
      <ns0:c r="U291" s="16">
        <ns0:f>P291-E291*'前提と出典'!$E$5</ns0:f>
        <ns0:v>405903.62579278875</ns0:v>
      </ns0:c>
      <ns0:c r="V291" s="16">
        <ns0:f>Q291-F291*'前提と出典'!$E$5</ns0:f>
        <ns0:v>130876.54366266652</ns0:v>
      </ns0:c>
      <ns0:c r="W291" s="7">
        <ns0:f>U291+V291</ns0:f>
        <ns0:v>536780.1694554553</ns0:v>
      </ns0:c>
      <ns0:c r="X291" s="16">
        <ns0:f>P291-E291*'前提と出典'!$E$6</ns0:f>
        <ns0:v>350370.7141445699</ns0:v>
      </ns0:c>
      <ns0:c r="Y291" s="16">
        <ns0:f>Q291-F291*'前提と出典'!$E$6</ns0:f>
        <ns0:v>109081.89339516155</ns0:v>
      </ns0:c>
      <ns0:c r="Z291" s="7">
        <ns0:f>X291+Y291</ns0:f>
        <ns0:v>459452.6075397314</ns0:v>
      </ns0:c>
      <ns0:c r="AA291" s="7">
        <ns0:f>IF(T291&gt;=0,A291,1001)</ns0:f>
        <ns0:v>287</ns0:v>
      </ns0:c>
      <ns0:c r="AB291" s="7">
        <ns0:f>IF(T291&lt;0,A291,0)</ns0:f>
        <ns0:v>0</ns0:v>
      </ns0:c>
      <ns0:c r="AC291" s="16">
        <ns0:f>IF(AND(OR('前提と出典'!$C$36+'前提と出典'!$C$38=0,R291&gt;=0),OR('前提と出典'!$C$37+'前提と出典'!$C$38=0,S291&gt;=0)),0,A291)</ns0:f>
        <ns0:v>0</ns0:v>
      </ns0:c>
      <ns0:c r="AD291" s="7">
        <ns0:f>IF(W291&gt;=0,A291,1001)</ns0:f>
        <ns0:v>287</ns0:v>
      </ns0:c>
      <ns0:c r="AE291" s="7">
        <ns0:f>IF(W291&lt;0,A291,0)</ns0:f>
        <ns0:v>0</ns0:v>
      </ns0:c>
      <ns0:c r="AF291" s="16">
        <ns0:f>IF(AND(OR('前提と出典'!$C$36+'前提と出典'!$C$38=0,U291&gt;=0),OR('前提と出典'!$C$37+'前提と出典'!$C$38=0,V291&gt;=0)),0,A291)</ns0:f>
        <ns0:v>0</ns0:v>
      </ns0:c>
      <ns0:c r="AG291" s="7">
        <ns0:f>IF(Z291&gt;=0,A291,1001)</ns0:f>
        <ns0:v>287</ns0:v>
      </ns0:c>
      <ns0:c r="AH291" s="4">
        <ns0:f>IF(Z291&lt;0,A291,0)</ns0:f>
        <ns0:v>0</ns0:v>
      </ns0:c>
      <ns0:c r="AI291" s="12">
        <ns0:f>IF(AND(OR('前提と出典'!$C$36+'前提と出典'!$C$38=0,X291&gt;=0),OR('前提と出典'!$C$37+'前提と出典'!$C$38=0,Y291&gt;=0)),0,A291)</ns0:f>
        <ns0:v>0</ns0:v>
      </ns0:c>
    </ns0:row>
    <ns0:row r="292" ht="24" customHeight="1">
      <ns0:c r="A292" s="4" t="n">
        <ns0:v>288</ns0:v>
      </ns0:c>
      <ns0:c r="B292" s="12">
        <ns0:f>A292*('前提と出典'!$C$36+'前提と出典'!$C$38)</ns0:f>
        <ns0:v>201.6</ns0:v>
      </ns0:c>
      <ns0:c r="C292" s="12">
        <ns0:f>A292*('前提と出典'!$C$37+'前提と出典'!$C$38)</ns0:f>
        <ns0:v>172.79999999999998</ns0:v>
      </ns0:c>
      <ns0:c r="D292" s="16">
        <ns0:f>A292*('前提と出典'!$C$36*'契約別単価'!C5+'前提と出典'!$C$37*'契約別単価'!C6+'前提と出典'!$C$38*'契約別単価'!C7)</ns0:f>
        <ns0:v>2072.312849162011</ns0:v>
      </ns0:c>
      <ns0:c r="E292" s="16">
        <ns0:f>A292*('前提と出典'!$C$36*'契約別単価'!E5+'前提と出典'!$C$37*'契約別単価'!E6+'前提と出典'!$C$38*'契約別単価'!E7)</ns0:f>
        <ns0:v>557264.0611389214</ns0:v>
      </ns0:c>
      <ns0:c r="F292" s="16">
        <ns0:f>A292*('前提と出典'!$C$36*'契約別単価'!F5+'前提と出典'!$C$37*'契約別単価'!F6+'前提と出典'!$C$38*'契約別単価'!F7)</ns0:f>
        <ns0:v>218705.8981547536</ns0:v>
      </ns0:c>
      <ns0:c r="G292" s="16">
        <ns0:f>A292*('前提と出典'!$C$36*'契約別単価'!G5+'前提と出典'!$C$37*'契約別単価'!G6+'前提と出典'!$C$38*'契約別単価'!G7)</ns0:f>
        <ns0:v>573264.8044692737</ns0:v>
      </ns0:c>
      <ns0:c r="H292" s="16">
        <ns0:f>A292*('前提と出典'!$C$36*'契約別単価'!H5+'前提と出典'!$C$37*'契約別単価'!H6+'前提と出典'!$C$38*'契約別単価'!H7)</ns0:f>
        <ns0:v>198951.63864012796</ns0:v>
      </ns0:c>
      <ns0:c r="I292" s="16">
        <ns0:f>A292*('前提と出典'!$C$36*'契約別単価'!I5+'前提と出典'!$C$37*'契約別単価'!I6+'前提と出典'!$C$38*'契約別単価'!I7)</ns0:f>
        <ns0:v>12152.312849162008</ns0:v>
      </ns0:c>
      <ns0:c r="J292" s="16">
        <ns0:f>A292*('前提と出典'!$C$36*'契約別単価'!J5+'前提と出典'!$C$37*'契約別単価'!J6+'前提と出典'!$C$38*'契約別単価'!J7)</ns0:f>
        <ns0:v>28307.38858856714</ns0:v>
      </ns0:c>
      <ns0:c r="K292" s="16">
        <ns0:f>A292*('前提と出典'!$C$36*'契約別単価'!K5+'前提と出典'!$C$37*'契約別単価'!K6+'前提と出典'!$C$38*'契約別単価'!K7)</ns0:f>
        <ns0:v>121335.4189944134</ns0:v>
      </ns0:c>
      <ns0:c r="L292" s="16">
        <ns0:f>A292*('前提と出典'!$C$36*'契約別単価'!L5+'前提と出典'!$C$37*'契約別単価'!L6+'前提と出典'!$C$38*'契約別単価'!L7)</ns0:f>
        <ns0:v>98791.72128800426</ns0:v>
      </ns0:c>
      <ns0:c r="M292" s="16">
        <ns0:f>IF(('前提と出典'!$C$36+'前提と出典'!$C$38)=0,0,IF(B292&lt;=10,'前提と出典'!B73+'前提と出典'!C73,IF(B292&lt;=100,'前提と出典'!B74+'前提と出典'!C74,IF(B292&lt;=500,'前提と出典'!B75+'前提と出典'!C75,'前提と出典'!B76+'前提と出典'!C76))))</ns0:f>
        <ns0:v>40000</ns0:v>
      </ns0:c>
      <ns0:c r="N292" s="16">
        <ns0:f>IF(('前提と出典'!$C$37+'前提と出典'!$C$38)=0,0,IF(C292&lt;=10,'前提と出典'!D73+'前提と出典'!E73,IF(C292&lt;=100,'前提と出典'!D74+'前提と出典'!E74,IF(C292&lt;=500,'前提と出典'!D75+'前提と出典'!E75,'前提と出典'!D76+'前提と出典'!E76))))</ns0:f>
        <ns0:v>56510.9346263078</ns0:v>
      </ns0:c>
      <ns0:c r="O292" s="16">
        <ns0:f>IF('前提と出典'!$C$36+'前提と出典'!$C$38=0,0,'前提と出典'!$B$4*IF('前提と出典'!$B$20=0,MAX('前提と出典'!$B$6,D292*'前提と出典'!$B$5),'前提と出典'!$B$6+D292*'前提と出典'!$B$5))</ns0:f>
        <ns0:v>285979.1731843575</ns0:v>
      </ns0:c>
      <ns0:c r="P292" s="16">
        <ns0:f>(E292+G292)*(1-'前提と出典'!$B$7)-I292-K292-M292-O292</ns0:f>
        <ns0:v>630362.921418367</ns0:v>
      </ns0:c>
      <ns0:c r="Q292" s="16">
        <ns0:f>(F292+H292)*(1-'前提と出典'!$B$7)-J292-L292-N292</ns0:f>
        <ns0:v>219011.82096738665</ns0:v>
      </ns0:c>
      <ns0:c r="R292" s="16">
        <ns0:f>P292-E292*'前提と出典'!$E$4</ns0:f>
        <ns0:v>463183.7030766907</ns0:v>
      </ns0:c>
      <ns0:c r="S292" s="16">
        <ns0:f>Q292-F292*'前提と出典'!$E$4</ns0:f>
        <ns0:v>153400.05152096058</ns0:v>
      </ns0:c>
      <ns0:c r="T292" s="7">
        <ns0:f>R292+S292</ns0:f>
        <ns0:v>616583.7545976513</ns0:v>
      </ns0:c>
      <ns0:c r="U292" s="16">
        <ns0:f>P292-E292*'前提と出典'!$E$5</ns0:f>
        <ns0:v>407457.2969627984</ns0:v>
      </ns0:c>
      <ns0:c r="V292" s="16">
        <ns0:f>Q292-F292*'前提と出典'!$E$5</ns0:f>
        <ns0:v>131529.46170548518</ns0:v>
      </ns0:c>
      <ns0:c r="W292" s="7">
        <ns0:f>U292+V292</ns0:f>
        <ns0:v>538986.7586682836</ns0:v>
      </ns0:c>
      <ns0:c r="X292" s="16">
        <ns0:f>P292-E292*'前提と出典'!$E$6</ns0:f>
        <ns0:v>351730.8908489063</ns0:v>
      </ns0:c>
      <ns0:c r="Y292" s="16">
        <ns0:f>Q292-F292*'前提と出典'!$E$6</ns0:f>
        <ns0:v>109658.87189000985</ns0:v>
      </ns0:c>
      <ns0:c r="Z292" s="7">
        <ns0:f>X292+Y292</ns0:f>
        <ns0:v>461389.76273891615</ns0:v>
      </ns0:c>
      <ns0:c r="AA292" s="7">
        <ns0:f>IF(T292&gt;=0,A292,1001)</ns0:f>
        <ns0:v>288</ns0:v>
      </ns0:c>
      <ns0:c r="AB292" s="7">
        <ns0:f>IF(T292&lt;0,A292,0)</ns0:f>
        <ns0:v>0</ns0:v>
      </ns0:c>
      <ns0:c r="AC292" s="16">
        <ns0:f>IF(AND(OR('前提と出典'!$C$36+'前提と出典'!$C$38=0,R292&gt;=0),OR('前提と出典'!$C$37+'前提と出典'!$C$38=0,S292&gt;=0)),0,A292)</ns0:f>
        <ns0:v>0</ns0:v>
      </ns0:c>
      <ns0:c r="AD292" s="7">
        <ns0:f>IF(W292&gt;=0,A292,1001)</ns0:f>
        <ns0:v>288</ns0:v>
      </ns0:c>
      <ns0:c r="AE292" s="7">
        <ns0:f>IF(W292&lt;0,A292,0)</ns0:f>
        <ns0:v>0</ns0:v>
      </ns0:c>
      <ns0:c r="AF292" s="16">
        <ns0:f>IF(AND(OR('前提と出典'!$C$36+'前提と出典'!$C$38=0,U292&gt;=0),OR('前提と出典'!$C$37+'前提と出典'!$C$38=0,V292&gt;=0)),0,A292)</ns0:f>
        <ns0:v>0</ns0:v>
      </ns0:c>
      <ns0:c r="AG292" s="7">
        <ns0:f>IF(Z292&gt;=0,A292,1001)</ns0:f>
        <ns0:v>288</ns0:v>
      </ns0:c>
      <ns0:c r="AH292" s="4">
        <ns0:f>IF(Z292&lt;0,A292,0)</ns0:f>
        <ns0:v>0</ns0:v>
      </ns0:c>
      <ns0:c r="AI292" s="12">
        <ns0:f>IF(AND(OR('前提と出典'!$C$36+'前提と出典'!$C$38=0,X292&gt;=0),OR('前提と出典'!$C$37+'前提と出典'!$C$38=0,Y292&gt;=0)),0,A292)</ns0:f>
        <ns0:v>0</ns0:v>
      </ns0:c>
    </ns0:row>
    <ns0:row r="293" ht="24" customHeight="1">
      <ns0:c r="A293" s="4" t="n">
        <ns0:v>289</ns0:v>
      </ns0:c>
      <ns0:c r="B293" s="12">
        <ns0:f>A293*('前提と出典'!$C$36+'前提と出典'!$C$38)</ns0:f>
        <ns0:v>202.29999999999998</ns0:v>
      </ns0:c>
      <ns0:c r="C293" s="12">
        <ns0:f>A293*('前提と出典'!$C$37+'前提と出典'!$C$38)</ns0:f>
        <ns0:v>173.4</ns0:v>
      </ns0:c>
      <ns0:c r="D293" s="16">
        <ns0:f>A293*('前提と出典'!$C$36*'契約別単価'!C5+'前提と出典'!$C$37*'契約別単価'!C6+'前提と出典'!$C$38*'契約別単価'!C7)</ns0:f>
        <ns0:v>2079.5083798882683</ns0:v>
      </ns0:c>
      <ns0:c r="E293" s="16">
        <ns0:f>A293*('前提と出典'!$C$36*'契約別単価'!E5+'前提と出典'!$C$37*'契約別単価'!E6+'前提と出典'!$C$38*'契約別単価'!E7)</ns0:f>
        <ns0:v>559199.0057956538</ns0:v>
      </ns0:c>
      <ns0:c r="F293" s="16">
        <ns0:f>A293*('前提と出典'!$C$36*'契約別単価'!F5+'前提と出典'!$C$37*'契約別単価'!F6+'前提と出典'!$C$38*'契約別単価'!F7)</ns0:f>
        <ns0:v>219465.2936344576</ns0:v>
      </ns0:c>
      <ns0:c r="G293" s="16">
        <ns0:f>A293*('前提と出典'!$C$36*'契約別単価'!G5+'前提と出典'!$C$37*'契約別単価'!G6+'前提と出典'!$C$38*'契約別単価'!G7)</ns0:f>
        <ns0:v>575255.3072625698</ns0:v>
      </ns0:c>
      <ns0:c r="H293" s="16">
        <ns0:f>A293*('前提と出典'!$C$36*'契約別単価'!H5+'前提と出典'!$C$37*'契約別単価'!H6+'前提と出典'!$C$38*'契約別単価'!H7)</ns0:f>
        <ns0:v>199642.44294096174</ns0:v>
      </ns0:c>
      <ns0:c r="I293" s="16">
        <ns0:f>A293*('前提と出典'!$C$36*'契約別単価'!I5+'前提と出典'!$C$37*'契約別単価'!I6+'前提と出典'!$C$38*'契約別単価'!I7)</ns0:f>
        <ns0:v>12194.508379888266</ns0:v>
      </ns0:c>
      <ns0:c r="J293" s="16">
        <ns0:f>A293*('前提と出典'!$C$36*'契約別単価'!J5+'前提と出典'!$C$37*'契約別単価'!J6+'前提と出典'!$C$38*'契約別単価'!J7)</ns0:f>
        <ns0:v>28405.67813227744</ns0:v>
      </ns0:c>
      <ns0:c r="K293" s="16">
        <ns0:f>A293*('前提と出典'!$C$36*'契約別単価'!K5+'前提と出典'!$C$37*'契約別単価'!K6+'前提と出典'!$C$38*'契約別単価'!K7)</ns0:f>
        <ns0:v>121756.72253258845</ns0:v>
      </ns0:c>
      <ns0:c r="L293" s="16">
        <ns0:f>A293*('前提と出典'!$C$36*'契約別単価'!L5+'前提と出典'!$C$37*'契約別単価'!L6+'前提と出典'!$C$38*'契約別単価'!L7)</ns0:f>
        <ns0:v>99134.74809803205</ns0:v>
      </ns0:c>
      <ns0:c r="M293" s="16">
        <ns0:f>IF(('前提と出典'!$C$36+'前提と出典'!$C$38)=0,0,IF(B293&lt;=10,'前提と出典'!B73+'前提と出典'!C73,IF(B293&lt;=100,'前提と出典'!B74+'前提と出典'!C74,IF(B293&lt;=500,'前提と出典'!B75+'前提と出典'!C75,'前提と出典'!B76+'前提と出典'!C76))))</ns0:f>
        <ns0:v>40000</ns0:v>
      </ns0:c>
      <ns0:c r="N293" s="16">
        <ns0:f>IF(('前提と出典'!$C$37+'前提と出典'!$C$38)=0,0,IF(C293&lt;=10,'前提と出典'!D73+'前提と出典'!E73,IF(C293&lt;=100,'前提と出典'!D74+'前提と出典'!E74,IF(C293&lt;=500,'前提と出典'!D75+'前提と出典'!E75,'前提と出典'!D76+'前提と出典'!E76))))</ns0:f>
        <ns0:v>56510.9346263078</ns0:v>
      </ns0:c>
      <ns0:c r="O293" s="16">
        <ns0:f>IF('前提と出典'!$C$36+'前提と出典'!$C$38=0,0,'前提と出典'!$B$4*IF('前提と出典'!$B$20=0,MAX('前提と出典'!$B$6,D293*'前提と出典'!$B$5),'前提と出典'!$B$6+D293*'前提と出典'!$B$5))</ns0:f>
        <ns0:v>286972.1564245811</ns0:v>
      </ns0:c>
      <ns0:c r="P293" s="16">
        <ns0:f>(E293+G293)*(1-'前提と出典'!$B$7)-I293-K293-M293-O293</ns0:f>
        <ns0:v>632690.5704510697</ns0:v>
      </ns0:c>
      <ns0:c r="Q293" s="16">
        <ns0:f>(F293+H293)*(1-'前提と出典'!$B$7)-J293-L293-N293</ns0:f>
        <ns0:v>219968.49720208693</ns0:v>
      </ns0:c>
      <ns0:c r="R293" s="16">
        <ns0:f>P293-E293*'前提と出典'!$E$4</ns0:f>
        <ns0:v>464930.86871237366</ns0:v>
      </ns0:c>
      <ns0:c r="S293" s="16">
        <ns0:f>Q293-F293*'前提と出典'!$E$4</ns0:f>
        <ns0:v>154128.90911174964</ns0:v>
      </ns0:c>
      <ns0:c r="T293" s="7">
        <ns0:f>R293+S293</ns0:f>
        <ns0:v>619059.7778241233</ns0:v>
      </ns0:c>
      <ns0:c r="U293" s="16">
        <ns0:f>P293-E293*'前提と出典'!$E$5</ns0:f>
        <ns0:v>409010.9681328082</ns0:v>
      </ns0:c>
      <ns0:c r="V293" s="16">
        <ns0:f>Q293-F293*'前提と出典'!$E$5</ns0:f>
        <ns0:v>132182.37974830388</ns0:v>
      </ns0:c>
      <ns0:c r="W293" s="7">
        <ns0:f>U293+V293</ns0:f>
        <ns0:v>541193.3478811121</ns0:v>
      </ns0:c>
      <ns0:c r="X293" s="16">
        <ns0:f>P293-E293*'前提と出典'!$E$6</ns0:f>
        <ns0:v>353091.0675532428</ns0:v>
      </ns0:c>
      <ns0:c r="Y293" s="16">
        <ns0:f>Q293-F293*'前提と出典'!$E$6</ns0:f>
        <ns0:v>110235.85038485812</ns0:v>
      </ns0:c>
      <ns0:c r="Z293" s="7">
        <ns0:f>X293+Y293</ns0:f>
        <ns0:v>463326.9179381009</ns0:v>
      </ns0:c>
      <ns0:c r="AA293" s="7">
        <ns0:f>IF(T293&gt;=0,A293,1001)</ns0:f>
        <ns0:v>289</ns0:v>
      </ns0:c>
      <ns0:c r="AB293" s="7">
        <ns0:f>IF(T293&lt;0,A293,0)</ns0:f>
        <ns0:v>0</ns0:v>
      </ns0:c>
      <ns0:c r="AC293" s="16">
        <ns0:f>IF(AND(OR('前提と出典'!$C$36+'前提と出典'!$C$38=0,R293&gt;=0),OR('前提と出典'!$C$37+'前提と出典'!$C$38=0,S293&gt;=0)),0,A293)</ns0:f>
        <ns0:v>0</ns0:v>
      </ns0:c>
      <ns0:c r="AD293" s="7">
        <ns0:f>IF(W293&gt;=0,A293,1001)</ns0:f>
        <ns0:v>289</ns0:v>
      </ns0:c>
      <ns0:c r="AE293" s="7">
        <ns0:f>IF(W293&lt;0,A293,0)</ns0:f>
        <ns0:v>0</ns0:v>
      </ns0:c>
      <ns0:c r="AF293" s="16">
        <ns0:f>IF(AND(OR('前提と出典'!$C$36+'前提と出典'!$C$38=0,U293&gt;=0),OR('前提と出典'!$C$37+'前提と出典'!$C$38=0,V293&gt;=0)),0,A293)</ns0:f>
        <ns0:v>0</ns0:v>
      </ns0:c>
      <ns0:c r="AG293" s="7">
        <ns0:f>IF(Z293&gt;=0,A293,1001)</ns0:f>
        <ns0:v>289</ns0:v>
      </ns0:c>
      <ns0:c r="AH293" s="4">
        <ns0:f>IF(Z293&lt;0,A293,0)</ns0:f>
        <ns0:v>0</ns0:v>
      </ns0:c>
      <ns0:c r="AI293" s="12">
        <ns0:f>IF(AND(OR('前提と出典'!$C$36+'前提と出典'!$C$38=0,X293&gt;=0),OR('前提と出典'!$C$37+'前提と出典'!$C$38=0,Y293&gt;=0)),0,A293)</ns0:f>
        <ns0:v>0</ns0:v>
      </ns0:c>
    </ns0:row>
    <ns0:row r="294" ht="24" customHeight="1">
      <ns0:c r="A294" s="4" t="n">
        <ns0:v>290</ns0:v>
      </ns0:c>
      <ns0:c r="B294" s="12">
        <ns0:f>A294*('前提と出典'!$C$36+'前提と出典'!$C$38)</ns0:f>
        <ns0:v>203</ns0:v>
      </ns0:c>
      <ns0:c r="C294" s="12">
        <ns0:f>A294*('前提と出典'!$C$37+'前提と出典'!$C$38)</ns0:f>
        <ns0:v>174</ns0:v>
      </ns0:c>
      <ns0:c r="D294" s="16">
        <ns0:f>A294*('前提と出典'!$C$36*'契約別単価'!C5+'前提と出典'!$C$37*'契約別単価'!C6+'前提と出典'!$C$38*'契約別単価'!C7)</ns0:f>
        <ns0:v>2086.7039106145253</ns0:v>
      </ns0:c>
      <ns0:c r="E294" s="16">
        <ns0:f>A294*('前提と出典'!$C$36*'契約別単価'!E5+'前提と出典'!$C$37*'契約別単価'!E6+'前提と出典'!$C$38*'契約別単価'!E7)</ns0:f>
        <ns0:v>561133.9504523862</ns0:v>
      </ns0:c>
      <ns0:c r="F294" s="16">
        <ns0:f>A294*('前提と出典'!$C$36*'契約別単価'!F5+'前提と出典'!$C$37*'契約別単価'!F6+'前提と出典'!$C$38*'契約別単価'!F7)</ns0:f>
        <ns0:v>220224.6891141616</ns0:v>
      </ns0:c>
      <ns0:c r="G294" s="16">
        <ns0:f>A294*('前提と出典'!$C$36*'契約別単価'!G5+'前提と出典'!$C$37*'契約別単価'!G6+'前提と出典'!$C$38*'契約別単価'!G7)</ns0:f>
        <ns0:v>577245.8100558659</ns0:v>
      </ns0:c>
      <ns0:c r="H294" s="16">
        <ns0:f>A294*('前提と出典'!$C$36*'契約別単価'!H5+'前提と出典'!$C$37*'契約別単価'!H6+'前提と出典'!$C$38*'契約別単価'!H7)</ns0:f>
        <ns0:v>200333.24724179553</ns0:v>
      </ns0:c>
      <ns0:c r="I294" s="16">
        <ns0:f>A294*('前提と出典'!$C$36*'契約別単価'!I5+'前提と出典'!$C$37*'契約別単価'!I6+'前提と出典'!$C$38*'契約別単価'!I7)</ns0:f>
        <ns0:v>12236.703910614524</ns0:v>
      </ns0:c>
      <ns0:c r="J294" s="16">
        <ns0:f>A294*('前提と出典'!$C$36*'契約別単価'!J5+'前提と出典'!$C$37*'契約別単価'!J6+'前提と出典'!$C$38*'契約別単価'!J7)</ns0:f>
        <ns0:v>28503.967675987744</ns0:v>
      </ns0:c>
      <ns0:c r="K294" s="16">
        <ns0:f>A294*('前提と出典'!$C$36*'契約別単価'!K5+'前提と出典'!$C$37*'契約別単価'!K6+'前提と出典'!$C$38*'契約別単価'!K7)</ns0:f>
        <ns0:v>122178.02607076349</ns0:v>
      </ns0:c>
      <ns0:c r="L294" s="16">
        <ns0:f>A294*('前提と出典'!$C$36*'契約別単価'!L5+'前提と出典'!$C$37*'契約別単価'!L6+'前提と出典'!$C$38*'契約別単価'!L7)</ns0:f>
        <ns0:v>99477.77490805984</ns0:v>
      </ns0:c>
      <ns0:c r="M294" s="16">
        <ns0:f>IF(('前提と出典'!$C$36+'前提と出典'!$C$38)=0,0,IF(B294&lt;=10,'前提と出典'!B73+'前提と出典'!C73,IF(B294&lt;=100,'前提と出典'!B74+'前提と出典'!C74,IF(B294&lt;=500,'前提と出典'!B75+'前提と出典'!C75,'前提と出典'!B76+'前提と出典'!C76))))</ns0:f>
        <ns0:v>40000</ns0:v>
      </ns0:c>
      <ns0:c r="N294" s="16">
        <ns0:f>IF(('前提と出典'!$C$37+'前提と出典'!$C$38)=0,0,IF(C294&lt;=10,'前提と出典'!D73+'前提と出典'!E73,IF(C294&lt;=100,'前提と出典'!D74+'前提と出典'!E74,IF(C294&lt;=500,'前提と出典'!D75+'前提と出典'!E75,'前提と出典'!D76+'前提と出典'!E76))))</ns0:f>
        <ns0:v>56510.9346263078</ns0:v>
      </ns0:c>
      <ns0:c r="O294" s="16">
        <ns0:f>IF('前提と出典'!$C$36+'前提と出典'!$C$38=0,0,'前提と出典'!$B$4*IF('前提と出典'!$B$20=0,MAX('前提と出典'!$B$6,D294*'前提と出典'!$B$5),'前提と出典'!$B$6+D294*'前提と出典'!$B$5))</ns0:f>
        <ns0:v>287965.1396648045</ns0:v>
      </ns0:c>
      <ns0:c r="P294" s="16">
        <ns0:f>(E294+G294)*(1-'前提と出典'!$B$7)-I294-K294-M294-O294</ns0:f>
        <ns0:v>635018.2194837726</ns0:v>
      </ns0:c>
      <ns0:c r="Q294" s="16">
        <ns0:f>(F294+H294)*(1-'前提と出典'!$B$7)-J294-L294-N294</ns0:f>
        <ns0:v>220925.17343678727</ns0:v>
      </ns0:c>
      <ns0:c r="R294" s="16">
        <ns0:f>P294-E294*'前提と出典'!$E$4</ns0:f>
        <ns0:v>466678.0343480567</ns0:v>
      </ns0:c>
      <ns0:c r="S294" s="16">
        <ns0:f>Q294-F294*'前提と出典'!$E$4</ns0:f>
        <ns0:v>154857.76670253882</ns0:v>
      </ns0:c>
      <ns0:c r="T294" s="7">
        <ns0:f>R294+S294</ns0:f>
        <ns0:v>621535.8010505955</ns0:v>
      </ns0:c>
      <ns0:c r="U294" s="16">
        <ns0:f>P294-E294*'前提と出典'!$E$5</ns0:f>
        <ns0:v>410564.63930281816</ns0:v>
      </ns0:c>
      <ns0:c r="V294" s="16">
        <ns0:f>Q294-F294*'前提と出典'!$E$5</ns0:f>
        <ns0:v>132835.29779112263</ns0:v>
      </ns0:c>
      <ns0:c r="W294" s="7">
        <ns0:f>U294+V294</ns0:f>
        <ns0:v>543399.9370939408</ns0:v>
      </ns0:c>
      <ns0:c r="X294" s="16">
        <ns0:f>P294-E294*'前提と出典'!$E$6</ns0:f>
        <ns0:v>354451.2442575795</ns0:v>
      </ns0:c>
      <ns0:c r="Y294" s="16">
        <ns0:f>Q294-F294*'前提と出典'!$E$6</ns0:f>
        <ns0:v>110812.82887970645</ns0:v>
      </ns0:c>
      <ns0:c r="Z294" s="7">
        <ns0:f>X294+Y294</ns0:f>
        <ns0:v>465264.07313728594</ns0:v>
      </ns0:c>
      <ns0:c r="AA294" s="7">
        <ns0:f>IF(T294&gt;=0,A294,1001)</ns0:f>
        <ns0:v>290</ns0:v>
      </ns0:c>
      <ns0:c r="AB294" s="7">
        <ns0:f>IF(T294&lt;0,A294,0)</ns0:f>
        <ns0:v>0</ns0:v>
      </ns0:c>
      <ns0:c r="AC294" s="16">
        <ns0:f>IF(AND(OR('前提と出典'!$C$36+'前提と出典'!$C$38=0,R294&gt;=0),OR('前提と出典'!$C$37+'前提と出典'!$C$38=0,S294&gt;=0)),0,A294)</ns0:f>
        <ns0:v>0</ns0:v>
      </ns0:c>
      <ns0:c r="AD294" s="7">
        <ns0:f>IF(W294&gt;=0,A294,1001)</ns0:f>
        <ns0:v>290</ns0:v>
      </ns0:c>
      <ns0:c r="AE294" s="7">
        <ns0:f>IF(W294&lt;0,A294,0)</ns0:f>
        <ns0:v>0</ns0:v>
      </ns0:c>
      <ns0:c r="AF294" s="16">
        <ns0:f>IF(AND(OR('前提と出典'!$C$36+'前提と出典'!$C$38=0,U294&gt;=0),OR('前提と出典'!$C$37+'前提と出典'!$C$38=0,V294&gt;=0)),0,A294)</ns0:f>
        <ns0:v>0</ns0:v>
      </ns0:c>
      <ns0:c r="AG294" s="7">
        <ns0:f>IF(Z294&gt;=0,A294,1001)</ns0:f>
        <ns0:v>290</ns0:v>
      </ns0:c>
      <ns0:c r="AH294" s="4">
        <ns0:f>IF(Z294&lt;0,A294,0)</ns0:f>
        <ns0:v>0</ns0:v>
      </ns0:c>
      <ns0:c r="AI294" s="12">
        <ns0:f>IF(AND(OR('前提と出典'!$C$36+'前提と出典'!$C$38=0,X294&gt;=0),OR('前提と出典'!$C$37+'前提と出典'!$C$38=0,Y294&gt;=0)),0,A294)</ns0:f>
        <ns0:v>0</ns0:v>
      </ns0:c>
    </ns0:row>
    <ns0:row r="295" ht="24" customHeight="1">
      <ns0:c r="A295" s="4" t="n">
        <ns0:v>291</ns0:v>
      </ns0:c>
      <ns0:c r="B295" s="12">
        <ns0:f>A295*('前提と出典'!$C$36+'前提と出典'!$C$38)</ns0:f>
        <ns0:v>203.7</ns0:v>
      </ns0:c>
      <ns0:c r="C295" s="12">
        <ns0:f>A295*('前提と出典'!$C$37+'前提と出典'!$C$38)</ns0:f>
        <ns0:v>174.6</ns0:v>
      </ns0:c>
      <ns0:c r="D295" s="16">
        <ns0:f>A295*('前提と出典'!$C$36*'契約別単価'!C5+'前提と出典'!$C$37*'契約別単価'!C6+'前提と出典'!$C$38*'契約別単価'!C7)</ns0:f>
        <ns0:v>2093.8994413407822</ns0:v>
      </ns0:c>
      <ns0:c r="E295" s="16">
        <ns0:f>A295*('前提と出典'!$C$36*'契約別単価'!E5+'前提と出典'!$C$37*'契約別単価'!E6+'前提と出典'!$C$38*'契約別単価'!E7)</ns0:f>
        <ns0:v>563068.8951091185</ns0:v>
      </ns0:c>
      <ns0:c r="F295" s="16">
        <ns0:f>A295*('前提と出典'!$C$36*'契約別単価'!F5+'前提と出典'!$C$37*'契約別単価'!F6+'前提と出典'!$C$38*'契約別単価'!F7)</ns0:f>
        <ns0:v>220984.0845938656</ns0:v>
      </ns0:c>
      <ns0:c r="G295" s="16">
        <ns0:f>A295*('前提と出典'!$C$36*'契約別単価'!G5+'前提と出典'!$C$37*'契約別単価'!G6+'前提と出典'!$C$38*'契約別単価'!G7)</ns0:f>
        <ns0:v>579236.312849162</ns0:v>
      </ns0:c>
      <ns0:c r="H295" s="16">
        <ns0:f>A295*('前提と出典'!$C$36*'契約別単価'!H5+'前提と出典'!$C$37*'契約別単価'!H6+'前提と出典'!$C$38*'契約別単価'!H7)</ns0:f>
        <ns0:v>201024.0515426293</ns0:v>
      </ns0:c>
      <ns0:c r="I295" s="16">
        <ns0:f>A295*('前提と出典'!$C$36*'契約別単価'!I5+'前提と出典'!$C$37*'契約別単価'!I6+'前提と出典'!$C$38*'契約別単価'!I7)</ns0:f>
        <ns0:v>12278.89944134078</ns0:v>
      </ns0:c>
      <ns0:c r="J295" s="16">
        <ns0:f>A295*('前提と出典'!$C$36*'契約別単価'!J5+'前提と出典'!$C$37*'契約別単価'!J6+'前提と出典'!$C$38*'契約別単価'!J7)</ns0:f>
        <ns0:v>28602.257219698047</ns0:v>
      </ns0:c>
      <ns0:c r="K295" s="16">
        <ns0:f>A295*('前提と出典'!$C$36*'契約別単価'!K5+'前提と出典'!$C$37*'契約別単価'!K6+'前提と出典'!$C$38*'契約別単価'!K7)</ns0:f>
        <ns0:v>122599.32960893854</ns0:v>
      </ns0:c>
      <ns0:c r="L295" s="16">
        <ns0:f>A295*('前提と出典'!$C$36*'契約別単価'!L5+'前提と出典'!$C$37*'契約別単価'!L6+'前提と出典'!$C$38*'契約別単価'!L7)</ns0:f>
        <ns0:v>99820.80171808763</ns0:v>
      </ns0:c>
      <ns0:c r="M295" s="16">
        <ns0:f>IF(('前提と出典'!$C$36+'前提と出典'!$C$38)=0,0,IF(B295&lt;=10,'前提と出典'!B73+'前提と出典'!C73,IF(B295&lt;=100,'前提と出典'!B74+'前提と出典'!C74,IF(B295&lt;=500,'前提と出典'!B75+'前提と出典'!C75,'前提と出典'!B76+'前提と出典'!C76))))</ns0:f>
        <ns0:v>40000</ns0:v>
      </ns0:c>
      <ns0:c r="N295" s="16">
        <ns0:f>IF(('前提と出典'!$C$37+'前提と出典'!$C$38)=0,0,IF(C295&lt;=10,'前提と出典'!D73+'前提と出典'!E73,IF(C295&lt;=100,'前提と出典'!D74+'前提と出典'!E74,IF(C295&lt;=500,'前提と出典'!D75+'前提と出典'!E75,'前提と出典'!D76+'前提と出典'!E76))))</ns0:f>
        <ns0:v>56510.9346263078</ns0:v>
      </ns0:c>
      <ns0:c r="O295" s="16">
        <ns0:f>IF('前提と出典'!$C$36+'前提と出典'!$C$38=0,0,'前提と出典'!$B$4*IF('前提と出典'!$B$20=0,MAX('前提と出典'!$B$6,D295*'前提と出典'!$B$5),'前提と出典'!$B$6+D295*'前提と出典'!$B$5))</ns0:f>
        <ns0:v>288958.12290502794</ns0:v>
      </ns0:c>
      <ns0:c r="P295" s="16">
        <ns0:f>(E295+G295)*(1-'前提と出典'!$B$7)-I295-K295-M295-O295</ns0:f>
        <ns0:v>637345.8685164752</ns0:v>
      </ns0:c>
      <ns0:c r="Q295" s="16">
        <ns0:f>(F295+H295)*(1-'前提と出典'!$B$7)-J295-L295-N295</ns0:f>
        <ns0:v>221881.84967148767</ns0:v>
      </ns0:c>
      <ns0:c r="R295" s="16">
        <ns0:f>P295-E295*'前提と出典'!$E$4</ns0:f>
        <ns0:v>468425.19998373964</ns0:v>
      </ns0:c>
      <ns0:c r="S295" s="16">
        <ns0:f>Q295-F295*'前提と出典'!$E$4</ns0:f>
        <ns0:v>155586.62429332797</ns0:v>
      </ns0:c>
      <ns0:c r="T295" s="7">
        <ns0:f>R295+S295</ns0:f>
        <ns0:v>624011.8242770676</ns0:v>
      </ns0:c>
      <ns0:c r="U295" s="16">
        <ns0:f>P295-E295*'前提と出典'!$E$5</ns0:f>
        <ns0:v>412118.31047282775</ns0:v>
      </ns0:c>
      <ns0:c r="V295" s="16">
        <ns0:f>Q295-F295*'前提と出典'!$E$5</ns0:f>
        <ns0:v>133488.21583394142</ns0:v>
      </ns0:c>
      <ns0:c r="W295" s="7">
        <ns0:f>U295+V295</ns0:f>
        <ns0:v>545606.5263067691</ns0:v>
      </ns0:c>
      <ns0:c r="X295" s="16">
        <ns0:f>P295-E295*'前提と出典'!$E$6</ns0:f>
        <ns0:v>355811.420961916</ns0:v>
      </ns0:c>
      <ns0:c r="Y295" s="16">
        <ns0:f>Q295-F295*'前提と出典'!$E$6</ns0:f>
        <ns0:v>111389.80737455486</ns0:v>
      </ns0:c>
      <ns0:c r="Z295" s="7">
        <ns0:f>X295+Y295</ns0:f>
        <ns0:v>467201.22833647084</ns0:v>
      </ns0:c>
      <ns0:c r="AA295" s="7">
        <ns0:f>IF(T295&gt;=0,A295,1001)</ns0:f>
        <ns0:v>291</ns0:v>
      </ns0:c>
      <ns0:c r="AB295" s="7">
        <ns0:f>IF(T295&lt;0,A295,0)</ns0:f>
        <ns0:v>0</ns0:v>
      </ns0:c>
      <ns0:c r="AC295" s="16">
        <ns0:f>IF(AND(OR('前提と出典'!$C$36+'前提と出典'!$C$38=0,R295&gt;=0),OR('前提と出典'!$C$37+'前提と出典'!$C$38=0,S295&gt;=0)),0,A295)</ns0:f>
        <ns0:v>0</ns0:v>
      </ns0:c>
      <ns0:c r="AD295" s="7">
        <ns0:f>IF(W295&gt;=0,A295,1001)</ns0:f>
        <ns0:v>291</ns0:v>
      </ns0:c>
      <ns0:c r="AE295" s="7">
        <ns0:f>IF(W295&lt;0,A295,0)</ns0:f>
        <ns0:v>0</ns0:v>
      </ns0:c>
      <ns0:c r="AF295" s="16">
        <ns0:f>IF(AND(OR('前提と出典'!$C$36+'前提と出典'!$C$38=0,U295&gt;=0),OR('前提と出典'!$C$37+'前提と出典'!$C$38=0,V295&gt;=0)),0,A295)</ns0:f>
        <ns0:v>0</ns0:v>
      </ns0:c>
      <ns0:c r="AG295" s="7">
        <ns0:f>IF(Z295&gt;=0,A295,1001)</ns0:f>
        <ns0:v>291</ns0:v>
      </ns0:c>
      <ns0:c r="AH295" s="4">
        <ns0:f>IF(Z295&lt;0,A295,0)</ns0:f>
        <ns0:v>0</ns0:v>
      </ns0:c>
      <ns0:c r="AI295" s="12">
        <ns0:f>IF(AND(OR('前提と出典'!$C$36+'前提と出典'!$C$38=0,X295&gt;=0),OR('前提と出典'!$C$37+'前提と出典'!$C$38=0,Y295&gt;=0)),0,A295)</ns0:f>
        <ns0:v>0</ns0:v>
      </ns0:c>
    </ns0:row>
    <ns0:row r="296" ht="24" customHeight="1">
      <ns0:c r="A296" s="4" t="n">
        <ns0:v>292</ns0:v>
      </ns0:c>
      <ns0:c r="B296" s="12">
        <ns0:f>A296*('前提と出典'!$C$36+'前提と出典'!$C$38)</ns0:f>
        <ns0:v>204.39999999999998</ns0:v>
      </ns0:c>
      <ns0:c r="C296" s="12">
        <ns0:f>A296*('前提と出典'!$C$37+'前提と出典'!$C$38)</ns0:f>
        <ns0:v>175.2</ns0:v>
      </ns0:c>
      <ns0:c r="D296" s="16">
        <ns0:f>A296*('前提と出典'!$C$36*'契約別単価'!C5+'前提と出典'!$C$37*'契約別単価'!C6+'前提と出典'!$C$38*'契約別単価'!C7)</ns0:f>
        <ns0:v>2101.094972067039</ns0:v>
      </ns0:c>
      <ns0:c r="E296" s="16">
        <ns0:f>A296*('前提と出典'!$C$36*'契約別単価'!E5+'前提と出典'!$C$37*'契約別単価'!E6+'前提と出典'!$C$38*'契約別単価'!E7)</ns0:f>
        <ns0:v>565003.8397658508</ns0:v>
      </ns0:c>
      <ns0:c r="F296" s="16">
        <ns0:f>A296*('前提と出典'!$C$36*'契約別単価'!F5+'前提と出典'!$C$37*'契約別単価'!F6+'前提と出典'!$C$38*'契約別単価'!F7)</ns0:f>
        <ns0:v>221743.4800735696</ns0:v>
      </ns0:c>
      <ns0:c r="G296" s="16">
        <ns0:f>A296*('前提と出典'!$C$36*'契約別単価'!G5+'前提と出典'!$C$37*'契約別単価'!G6+'前提と出典'!$C$38*'契約別単価'!G7)</ns0:f>
        <ns0:v>581226.815642458</ns0:v>
      </ns0:c>
      <ns0:c r="H296" s="16">
        <ns0:f>A296*('前提と出典'!$C$36*'契約別単価'!H5+'前提と出典'!$C$37*'契約別単価'!H6+'前提と出典'!$C$38*'契約別単価'!H7)</ns0:f>
        <ns0:v>201714.8558434631</ns0:v>
      </ns0:c>
      <ns0:c r="I296" s="16">
        <ns0:f>A296*('前提と出典'!$C$36*'契約別単価'!I5+'前提と出典'!$C$37*'契約別単価'!I6+'前提と出典'!$C$38*'契約別単価'!I7)</ns0:f>
        <ns0:v>12321.094972067038</ns0:v>
      </ns0:c>
      <ns0:c r="J296" s="16">
        <ns0:f>A296*('前提と出典'!$C$36*'契約別単価'!J5+'前提と出典'!$C$37*'契約別単価'!J6+'前提と出典'!$C$38*'契約別単価'!J7)</ns0:f>
        <ns0:v>28700.54676340835</ns0:v>
      </ns0:c>
      <ns0:c r="K296" s="16">
        <ns0:f>A296*('前提と出典'!$C$36*'契約別単価'!K5+'前提と出典'!$C$37*'契約別単価'!K6+'前提と出典'!$C$38*'契約別単価'!K7)</ns0:f>
        <ns0:v>123020.63314711359</ns0:v>
      </ns0:c>
      <ns0:c r="L296" s="16">
        <ns0:f>A296*('前提と出典'!$C$36*'契約別単価'!L5+'前提と出典'!$C$37*'契約別単価'!L6+'前提と出典'!$C$38*'契約別単価'!L7)</ns0:f>
        <ns0:v>100163.82852811544</ns0:v>
      </ns0:c>
      <ns0:c r="M296" s="16">
        <ns0:f>IF(('前提と出典'!$C$36+'前提と出典'!$C$38)=0,0,IF(B296&lt;=10,'前提と出典'!B73+'前提と出典'!C73,IF(B296&lt;=100,'前提と出典'!B74+'前提と出典'!C74,IF(B296&lt;=500,'前提と出典'!B75+'前提と出典'!C75,'前提と出典'!B76+'前提と出典'!C76))))</ns0:f>
        <ns0:v>40000</ns0:v>
      </ns0:c>
      <ns0:c r="N296" s="16">
        <ns0:f>IF(('前提と出典'!$C$37+'前提と出典'!$C$38)=0,0,IF(C296&lt;=10,'前提と出典'!D73+'前提と出典'!E73,IF(C296&lt;=100,'前提と出典'!D74+'前提と出典'!E74,IF(C296&lt;=500,'前提と出典'!D75+'前提と出典'!E75,'前提と出典'!D76+'前提と出典'!E76))))</ns0:f>
        <ns0:v>56510.9346263078</ns0:v>
      </ns0:c>
      <ns0:c r="O296" s="16">
        <ns0:f>IF('前提と出典'!$C$36+'前提と出典'!$C$38=0,0,'前提と出典'!$B$4*IF('前提と出典'!$B$20=0,MAX('前提と出典'!$B$6,D296*'前提と出典'!$B$5),'前提と出典'!$B$6+D296*'前提と出典'!$B$5))</ns0:f>
        <ns0:v>289951.1061452514</ns0:v>
      </ns0:c>
      <ns0:c r="P296" s="16">
        <ns0:f>(E296+G296)*(1-'前提と出典'!$B$7)-I296-K296-M296-O296</ns0:f>
        <ns0:v>639673.5175491776</ns0:v>
      </ns0:c>
      <ns0:c r="Q296" s="16">
        <ns0:f>(F296+H296)*(1-'前提と出典'!$B$7)-J296-L296-N296</ns0:f>
        <ns0:v>222838.5259061879</ns0:v>
      </ns0:c>
      <ns0:c r="R296" s="16">
        <ns0:f>P296-E296*'前提と出典'!$E$4</ns0:f>
        <ns0:v>470172.3656194224</ns0:v>
      </ns0:c>
      <ns0:c r="S296" s="16">
        <ns0:f>Q296-F296*'前提と出典'!$E$4</ns0:f>
        <ns0:v>156315.48188411703</ns0:v>
      </ns0:c>
      <ns0:c r="T296" s="7">
        <ns0:f>R296+S296</ns0:f>
        <ns0:v>626487.8475035394</ns0:v>
      </ns0:c>
      <ns0:c r="U296" s="16">
        <ns0:f>P296-E296*'前提と出典'!$E$5</ns0:f>
        <ns0:v>413671.9816428373</ns0:v>
      </ns0:c>
      <ns0:c r="V296" s="16">
        <ns0:f>Q296-F296*'前提と出典'!$E$5</ns0:f>
        <ns0:v>134141.13387676005</ns0:v>
      </ns0:c>
      <ns0:c r="W296" s="7">
        <ns0:f>U296+V296</ns0:f>
        <ns0:v>547813.1155195973</ns0:v>
      </ns0:c>
      <ns0:c r="X296" s="16">
        <ns0:f>P296-E296*'前提と出典'!$E$6</ns0:f>
        <ns0:v>357171.5976662522</ns0:v>
      </ns0:c>
      <ns0:c r="Y296" s="16">
        <ns0:f>Q296-F296*'前提と出典'!$E$6</ns0:f>
        <ns0:v>111966.78586940313</ns0:v>
      </ns0:c>
      <ns0:c r="Z296" s="7">
        <ns0:f>X296+Y296</ns0:f>
        <ns0:v>469138.38353565533</ns0:v>
      </ns0:c>
      <ns0:c r="AA296" s="7">
        <ns0:f>IF(T296&gt;=0,A296,1001)</ns0:f>
        <ns0:v>292</ns0:v>
      </ns0:c>
      <ns0:c r="AB296" s="7">
        <ns0:f>IF(T296&lt;0,A296,0)</ns0:f>
        <ns0:v>0</ns0:v>
      </ns0:c>
      <ns0:c r="AC296" s="16">
        <ns0:f>IF(AND(OR('前提と出典'!$C$36+'前提と出典'!$C$38=0,R296&gt;=0),OR('前提と出典'!$C$37+'前提と出典'!$C$38=0,S296&gt;=0)),0,A296)</ns0:f>
        <ns0:v>0</ns0:v>
      </ns0:c>
      <ns0:c r="AD296" s="7">
        <ns0:f>IF(W296&gt;=0,A296,1001)</ns0:f>
        <ns0:v>292</ns0:v>
      </ns0:c>
      <ns0:c r="AE296" s="7">
        <ns0:f>IF(W296&lt;0,A296,0)</ns0:f>
        <ns0:v>0</ns0:v>
      </ns0:c>
      <ns0:c r="AF296" s="16">
        <ns0:f>IF(AND(OR('前提と出典'!$C$36+'前提と出典'!$C$38=0,U296&gt;=0),OR('前提と出典'!$C$37+'前提と出典'!$C$38=0,V296&gt;=0)),0,A296)</ns0:f>
        <ns0:v>0</ns0:v>
      </ns0:c>
      <ns0:c r="AG296" s="7">
        <ns0:f>IF(Z296&gt;=0,A296,1001)</ns0:f>
        <ns0:v>292</ns0:v>
      </ns0:c>
      <ns0:c r="AH296" s="4">
        <ns0:f>IF(Z296&lt;0,A296,0)</ns0:f>
        <ns0:v>0</ns0:v>
      </ns0:c>
      <ns0:c r="AI296" s="12">
        <ns0:f>IF(AND(OR('前提と出典'!$C$36+'前提と出典'!$C$38=0,X296&gt;=0),OR('前提と出典'!$C$37+'前提と出典'!$C$38=0,Y296&gt;=0)),0,A296)</ns0:f>
        <ns0:v>0</ns0:v>
      </ns0:c>
    </ns0:row>
    <ns0:row r="297" ht="24" customHeight="1">
      <ns0:c r="A297" s="4" t="n">
        <ns0:v>293</ns0:v>
      </ns0:c>
      <ns0:c r="B297" s="12">
        <ns0:f>A297*('前提と出典'!$C$36+'前提と出典'!$C$38)</ns0:f>
        <ns0:v>205.1</ns0:v>
      </ns0:c>
      <ns0:c r="C297" s="12">
        <ns0:f>A297*('前提と出典'!$C$37+'前提と出典'!$C$38)</ns0:f>
        <ns0:v>175.79999999999998</ns0:v>
      </ns0:c>
      <ns0:c r="D297" s="16">
        <ns0:f>A297*('前提と出典'!$C$36*'契約別単価'!C5+'前提と出典'!$C$37*'契約別単価'!C6+'前提と出典'!$C$38*'契約別単価'!C7)</ns0:f>
        <ns0:v>2108.290502793296</ns0:v>
      </ns0:c>
      <ns0:c r="E297" s="16">
        <ns0:f>A297*('前提と出典'!$C$36*'契約別単価'!E5+'前提と出典'!$C$37*'契約別単価'!E6+'前提と出典'!$C$38*'契約別単価'!E7)</ns0:f>
        <ns0:v>566938.7844225832</ns0:v>
      </ns0:c>
      <ns0:c r="F297" s="16">
        <ns0:f>A297*('前提と出典'!$C$36*'契約別単価'!F5+'前提と出典'!$C$37*'契約別単価'!F6+'前提と出典'!$C$38*'契約別単価'!F7)</ns0:f>
        <ns0:v>222502.87555327362</ns0:v>
      </ns0:c>
      <ns0:c r="G297" s="16">
        <ns0:f>A297*('前提と出典'!$C$36*'契約別単価'!G5+'前提と出典'!$C$37*'契約別単価'!G6+'前提と出典'!$C$38*'契約別単価'!G7)</ns0:f>
        <ns0:v>583217.3184357542</ns0:v>
      </ns0:c>
      <ns0:c r="H297" s="16">
        <ns0:f>A297*('前提と出典'!$C$36*'契約別単価'!H5+'前提と出典'!$C$37*'契約別単価'!H6+'前提と出典'!$C$38*'契約別単価'!H7)</ns0:f>
        <ns0:v>202405.66014429685</ns0:v>
      </ns0:c>
      <ns0:c r="I297" s="16">
        <ns0:f>A297*('前提と出典'!$C$36*'契約別単価'!I5+'前提と出典'!$C$37*'契約別単価'!I6+'前提と出典'!$C$38*'契約別単価'!I7)</ns0:f>
        <ns0:v>12363.290502793294</ns0:v>
      </ns0:c>
      <ns0:c r="J297" s="16">
        <ns0:f>A297*('前提と出典'!$C$36*'契約別単価'!J5+'前提と出典'!$C$37*'契約別単価'!J6+'前提と出典'!$C$38*'契約別単価'!J7)</ns0:f>
        <ns0:v>28798.83630711865</ns0:v>
      </ns0:c>
      <ns0:c r="K297" s="16">
        <ns0:f>A297*('前提と出典'!$C$36*'契約別単価'!K5+'前提と出典'!$C$37*'契約別単価'!K6+'前提と出典'!$C$38*'契約別単価'!K7)</ns0:f>
        <ns0:v>123441.93668528863</ns0:v>
      </ns0:c>
      <ns0:c r="L297" s="16">
        <ns0:f>A297*('前提と出典'!$C$36*'契約別単価'!L5+'前提と出典'!$C$37*'契約別単価'!L6+'前提と出典'!$C$38*'契約別単価'!L7)</ns0:f>
        <ns0:v>100506.85533814323</ns0:v>
      </ns0:c>
      <ns0:c r="M297" s="16">
        <ns0:f>IF(('前提と出典'!$C$36+'前提と出典'!$C$38)=0,0,IF(B297&lt;=10,'前提と出典'!B73+'前提と出典'!C73,IF(B297&lt;=100,'前提と出典'!B74+'前提と出典'!C74,IF(B297&lt;=500,'前提と出典'!B75+'前提と出典'!C75,'前提と出典'!B76+'前提と出典'!C76))))</ns0:f>
        <ns0:v>40000</ns0:v>
      </ns0:c>
      <ns0:c r="N297" s="16">
        <ns0:f>IF(('前提と出典'!$C$37+'前提と出典'!$C$38)=0,0,IF(C297&lt;=10,'前提と出典'!D73+'前提と出典'!E73,IF(C297&lt;=100,'前提と出典'!D74+'前提と出典'!E74,IF(C297&lt;=500,'前提と出典'!D75+'前提と出典'!E75,'前提と出典'!D76+'前提と出典'!E76))))</ns0:f>
        <ns0:v>56510.9346263078</ns0:v>
      </ns0:c>
      <ns0:c r="O297" s="16">
        <ns0:f>IF('前提と出典'!$C$36+'前提と出典'!$C$38=0,0,'前提と出典'!$B$4*IF('前提と出典'!$B$20=0,MAX('前提と出典'!$B$6,D297*'前提と出典'!$B$5),'前提と出典'!$B$6+D297*'前提と出典'!$B$5))</ns0:f>
        <ns0:v>290944.08938547486</ns0:v>
      </ns0:c>
      <ns0:c r="P297" s="16">
        <ns0:f>(E297+G297)*(1-'前提と出典'!$B$7)-I297-K297-M297-O297</ns0:f>
        <ns0:v>642001.1665818804</ns0:v>
      </ns0:c>
      <ns0:c r="Q297" s="16">
        <ns0:f>(F297+H297)*(1-'前提と出典'!$B$7)-J297-L297-N297</ns0:f>
        <ns0:v>223795.20214088826</ns0:v>
      </ns0:c>
      <ns0:c r="R297" s="16">
        <ns0:f>P297-E297*'前提と出典'!$E$4</ns0:f>
        <ns0:v>471919.53125510545</ns0:v>
      </ns0:c>
      <ns0:c r="S297" s="16">
        <ns0:f>Q297-F297*'前提と出典'!$E$4</ns0:f>
        <ns0:v>157044.33947490616</ns0:v>
      </ns0:c>
      <ns0:c r="T297" s="7">
        <ns0:f>R297+S297</ns0:f>
        <ns0:v>628963.8707300116</ns0:v>
      </ns0:c>
      <ns0:c r="U297" s="16">
        <ns0:f>P297-E297*'前提と出典'!$E$5</ns0:f>
        <ns0:v>415225.6528128471</ns0:v>
      </ns0:c>
      <ns0:c r="V297" s="16">
        <ns0:f>Q297-F297*'前提と出典'!$E$5</ns0:f>
        <ns0:v>134794.0519195788</ns0:v>
      </ns0:c>
      <ns0:c r="W297" s="7">
        <ns0:f>U297+V297</ns0:f>
        <ns0:v>550019.704732426</ns0:v>
      </ns0:c>
      <ns0:c r="X297" s="16">
        <ns0:f>P297-E297*'前提と出典'!$E$6</ns0:f>
        <ns0:v>358531.77437058877</ns0:v>
      </ns0:c>
      <ns0:c r="Y297" s="16">
        <ns0:f>Q297-F297*'前提と出典'!$E$6</ns0:f>
        <ns0:v>112543.76436425146</ns0:v>
      </ns0:c>
      <ns0:c r="Z297" s="7">
        <ns0:f>X297+Y297</ns0:f>
        <ns0:v>471075.53873484023</ns0:v>
      </ns0:c>
      <ns0:c r="AA297" s="7">
        <ns0:f>IF(T297&gt;=0,A297,1001)</ns0:f>
        <ns0:v>293</ns0:v>
      </ns0:c>
      <ns0:c r="AB297" s="7">
        <ns0:f>IF(T297&lt;0,A297,0)</ns0:f>
        <ns0:v>0</ns0:v>
      </ns0:c>
      <ns0:c r="AC297" s="16">
        <ns0:f>IF(AND(OR('前提と出典'!$C$36+'前提と出典'!$C$38=0,R297&gt;=0),OR('前提と出典'!$C$37+'前提と出典'!$C$38=0,S297&gt;=0)),0,A297)</ns0:f>
        <ns0:v>0</ns0:v>
      </ns0:c>
      <ns0:c r="AD297" s="7">
        <ns0:f>IF(W297&gt;=0,A297,1001)</ns0:f>
        <ns0:v>293</ns0:v>
      </ns0:c>
      <ns0:c r="AE297" s="7">
        <ns0:f>IF(W297&lt;0,A297,0)</ns0:f>
        <ns0:v>0</ns0:v>
      </ns0:c>
      <ns0:c r="AF297" s="16">
        <ns0:f>IF(AND(OR('前提と出典'!$C$36+'前提と出典'!$C$38=0,U297&gt;=0),OR('前提と出典'!$C$37+'前提と出典'!$C$38=0,V297&gt;=0)),0,A297)</ns0:f>
        <ns0:v>0</ns0:v>
      </ns0:c>
      <ns0:c r="AG297" s="7">
        <ns0:f>IF(Z297&gt;=0,A297,1001)</ns0:f>
        <ns0:v>293</ns0:v>
      </ns0:c>
      <ns0:c r="AH297" s="4">
        <ns0:f>IF(Z297&lt;0,A297,0)</ns0:f>
        <ns0:v>0</ns0:v>
      </ns0:c>
      <ns0:c r="AI297" s="12">
        <ns0:f>IF(AND(OR('前提と出典'!$C$36+'前提と出典'!$C$38=0,X297&gt;=0),OR('前提と出典'!$C$37+'前提と出典'!$C$38=0,Y297&gt;=0)),0,A297)</ns0:f>
        <ns0:v>0</ns0:v>
      </ns0:c>
    </ns0:row>
    <ns0:row r="298" ht="24" customHeight="1">
      <ns0:c r="A298" s="4" t="n">
        <ns0:v>294</ns0:v>
      </ns0:c>
      <ns0:c r="B298" s="12">
        <ns0:f>A298*('前提と出典'!$C$36+'前提と出典'!$C$38)</ns0:f>
        <ns0:v>205.79999999999998</ns0:v>
      </ns0:c>
      <ns0:c r="C298" s="12">
        <ns0:f>A298*('前提と出典'!$C$37+'前提と出典'!$C$38)</ns0:f>
        <ns0:v>176.4</ns0:v>
      </ns0:c>
      <ns0:c r="D298" s="16">
        <ns0:f>A298*('前提と出典'!$C$36*'契約別単価'!C5+'前提と出典'!$C$37*'契約別単価'!C6+'前提と出典'!$C$38*'契約別単価'!C7)</ns0:f>
        <ns0:v>2115.486033519553</ns0:v>
      </ns0:c>
      <ns0:c r="E298" s="16">
        <ns0:f>A298*('前提と出典'!$C$36*'契約別単価'!E5+'前提と出典'!$C$37*'契約別単価'!E6+'前提と出典'!$C$38*'契約別単価'!E7)</ns0:f>
        <ns0:v>568873.7290793156</ns0:v>
      </ns0:c>
      <ns0:c r="F298" s="16">
        <ns0:f>A298*('前提と出典'!$C$36*'契約別単価'!F5+'前提と出典'!$C$37*'契約別単価'!F6+'前提と出典'!$C$38*'契約別単価'!F7)</ns0:f>
        <ns0:v>223262.27103297762</ns0:v>
      </ns0:c>
      <ns0:c r="G298" s="16">
        <ns0:f>A298*('前提と出典'!$C$36*'契約別単価'!G5+'前提と出典'!$C$37*'契約別単価'!G6+'前提と出典'!$C$38*'契約別単価'!G7)</ns0:f>
        <ns0:v>585207.8212290503</ns0:v>
      </ns0:c>
      <ns0:c r="H298" s="16">
        <ns0:f>A298*('前提と出典'!$C$36*'契約別単価'!H5+'前提と出典'!$C$37*'契約別単価'!H6+'前提と出典'!$C$38*'契約別単価'!H7)</ns0:f>
        <ns0:v>203096.46444513064</ns0:v>
      </ns0:c>
      <ns0:c r="I298" s="16">
        <ns0:f>A298*('前提と出典'!$C$36*'契約別単価'!I5+'前提と出典'!$C$37*'契約別単価'!I6+'前提と出典'!$C$38*'契約別単価'!I7)</ns0:f>
        <ns0:v>12405.486033519552</ns0:v>
      </ns0:c>
      <ns0:c r="J298" s="16">
        <ns0:f>A298*('前提と出典'!$C$36*'契約別単価'!J5+'前提と出典'!$C$37*'契約別単価'!J6+'前提と出典'!$C$38*'契約別単価'!J7)</ns0:f>
        <ns0:v>28897.125850828954</ns0:v>
      </ns0:c>
      <ns0:c r="K298" s="16">
        <ns0:f>A298*('前提と出典'!$C$36*'契約別単価'!K5+'前提と出典'!$C$37*'契約別単価'!K6+'前提と出典'!$C$38*'契約別単価'!K7)</ns0:f>
        <ns0:v>123863.24022346368</ns0:v>
      </ns0:c>
      <ns0:c r="L298" s="16">
        <ns0:f>A298*('前提と出典'!$C$36*'契約別単価'!L5+'前提と出典'!$C$37*'契約別単価'!L6+'前提と出典'!$C$38*'契約別単価'!L7)</ns0:f>
        <ns0:v>100849.88214817102</ns0:v>
      </ns0:c>
      <ns0:c r="M298" s="16">
        <ns0:f>IF(('前提と出典'!$C$36+'前提と出典'!$C$38)=0,0,IF(B298&lt;=10,'前提と出典'!B73+'前提と出典'!C73,IF(B298&lt;=100,'前提と出典'!B74+'前提と出典'!C74,IF(B298&lt;=500,'前提と出典'!B75+'前提と出典'!C75,'前提と出典'!B76+'前提と出典'!C76))))</ns0:f>
        <ns0:v>40000</ns0:v>
      </ns0:c>
      <ns0:c r="N298" s="16">
        <ns0:f>IF(('前提と出典'!$C$37+'前提と出典'!$C$38)=0,0,IF(C298&lt;=10,'前提と出典'!D73+'前提と出典'!E73,IF(C298&lt;=100,'前提と出典'!D74+'前提と出典'!E74,IF(C298&lt;=500,'前提と出典'!D75+'前提と出典'!E75,'前提と出典'!D76+'前提と出典'!E76))))</ns0:f>
        <ns0:v>56510.9346263078</ns0:v>
      </ns0:c>
      <ns0:c r="O298" s="16">
        <ns0:f>IF('前提と出典'!$C$36+'前提と出典'!$C$38=0,0,'前提と出典'!$B$4*IF('前提と出典'!$B$20=0,MAX('前提と出典'!$B$6,D298*'前提と出典'!$B$5),'前提と出典'!$B$6+D298*'前提と出典'!$B$5))</ns0:f>
        <ns0:v>291937.07262569835</ns0:v>
      </ns0:c>
      <ns0:c r="P298" s="16">
        <ns0:f>(E298+G298)*(1-'前提と出典'!$B$7)-I298-K298-M298-O298</ns0:f>
        <ns0:v>644328.8156145831</ns0:v>
      </ns0:c>
      <ns0:c r="Q298" s="16">
        <ns0:f>(F298+H298)*(1-'前提と出典'!$B$7)-J298-L298-N298</ns0:f>
        <ns0:v>224751.87837558863</ns0:v>
      </ns0:c>
      <ns0:c r="R298" s="16">
        <ns0:f>P298-E298*'前提と出典'!$E$4</ns0:f>
        <ns0:v>473666.69689078856</ns0:v>
      </ns0:c>
      <ns0:c r="S298" s="16">
        <ns0:f>Q298-F298*'前提と出典'!$E$4</ns0:f>
        <ns0:v>157773.19706569536</ns0:v>
      </ns0:c>
      <ns0:c r="T298" s="7">
        <ns0:f>R298+S298</ns0:f>
        <ns0:v>631439.8939564839</ns0:v>
      </ns0:c>
      <ns0:c r="U298" s="16">
        <ns0:f>P298-E298*'前提と出典'!$E$5</ns0:f>
        <ns0:v>416779.3239828569</ns0:v>
      </ns0:c>
      <ns0:c r="V298" s="16">
        <ns0:f>Q298-F298*'前提と出典'!$E$5</ns0:f>
        <ns0:v>135446.9699623976</ns0:v>
      </ns0:c>
      <ns0:c r="W298" s="7">
        <ns0:f>U298+V298</ns0:f>
        <ns0:v>552226.2939452545</ns0:v>
      </ns0:c>
      <ns0:c r="X298" s="16">
        <ns0:f>P298-E298*'前提と出典'!$E$6</ns0:f>
        <ns0:v>359891.9510749254</ns0:v>
      </ns0:c>
      <ns0:c r="Y298" s="16">
        <ns0:f>Q298-F298*'前提と出典'!$E$6</ns0:f>
        <ns0:v>113120.74285909982</ns0:v>
      </ns0:c>
      <ns0:c r="Z298" s="7">
        <ns0:f>X298+Y298</ns0:f>
        <ns0:v>473012.69393402524</ns0:v>
      </ns0:c>
      <ns0:c r="AA298" s="7">
        <ns0:f>IF(T298&gt;=0,A298,1001)</ns0:f>
        <ns0:v>294</ns0:v>
      </ns0:c>
      <ns0:c r="AB298" s="7">
        <ns0:f>IF(T298&lt;0,A298,0)</ns0:f>
        <ns0:v>0</ns0:v>
      </ns0:c>
      <ns0:c r="AC298" s="16">
        <ns0:f>IF(AND(OR('前提と出典'!$C$36+'前提と出典'!$C$38=0,R298&gt;=0),OR('前提と出典'!$C$37+'前提と出典'!$C$38=0,S298&gt;=0)),0,A298)</ns0:f>
        <ns0:v>0</ns0:v>
      </ns0:c>
      <ns0:c r="AD298" s="7">
        <ns0:f>IF(W298&gt;=0,A298,1001)</ns0:f>
        <ns0:v>294</ns0:v>
      </ns0:c>
      <ns0:c r="AE298" s="7">
        <ns0:f>IF(W298&lt;0,A298,0)</ns0:f>
        <ns0:v>0</ns0:v>
      </ns0:c>
      <ns0:c r="AF298" s="16">
        <ns0:f>IF(AND(OR('前提と出典'!$C$36+'前提と出典'!$C$38=0,U298&gt;=0),OR('前提と出典'!$C$37+'前提と出典'!$C$38=0,V298&gt;=0)),0,A298)</ns0:f>
        <ns0:v>0</ns0:v>
      </ns0:c>
      <ns0:c r="AG298" s="7">
        <ns0:f>IF(Z298&gt;=0,A298,1001)</ns0:f>
        <ns0:v>294</ns0:v>
      </ns0:c>
      <ns0:c r="AH298" s="4">
        <ns0:f>IF(Z298&lt;0,A298,0)</ns0:f>
        <ns0:v>0</ns0:v>
      </ns0:c>
      <ns0:c r="AI298" s="12">
        <ns0:f>IF(AND(OR('前提と出典'!$C$36+'前提と出典'!$C$38=0,X298&gt;=0),OR('前提と出典'!$C$37+'前提と出典'!$C$38=0,Y298&gt;=0)),0,A298)</ns0:f>
        <ns0:v>0</ns0:v>
      </ns0:c>
    </ns0:row>
    <ns0:row r="299" ht="24" customHeight="1">
      <ns0:c r="A299" s="4" t="n">
        <ns0:v>295</ns0:v>
      </ns0:c>
      <ns0:c r="B299" s="12">
        <ns0:f>A299*('前提と出典'!$C$36+'前提と出典'!$C$38)</ns0:f>
        <ns0:v>206.5</ns0:v>
      </ns0:c>
      <ns0:c r="C299" s="12">
        <ns0:f>A299*('前提と出典'!$C$37+'前提と出典'!$C$38)</ns0:f>
        <ns0:v>177</ns0:v>
      </ns0:c>
      <ns0:c r="D299" s="16">
        <ns0:f>A299*('前提と出典'!$C$36*'契約別単価'!C5+'前提と出典'!$C$37*'契約別単価'!C6+'前提と出典'!$C$38*'契約別単価'!C7)</ns0:f>
        <ns0:v>2122.68156424581</ns0:v>
      </ns0:c>
      <ns0:c r="E299" s="16">
        <ns0:f>A299*('前提と出典'!$C$36*'契約別単価'!E5+'前提と出典'!$C$37*'契約別単価'!E6+'前提と出典'!$C$38*'契約別単価'!E7)</ns0:f>
        <ns0:v>570808.6737360479</ns0:v>
      </ns0:c>
      <ns0:c r="F299" s="16">
        <ns0:f>A299*('前提と出典'!$C$36*'契約別単価'!F5+'前提と出典'!$C$37*'契約別単価'!F6+'前提と出典'!$C$38*'契約別単価'!F7)</ns0:f>
        <ns0:v>224021.66651268164</ns0:v>
      </ns0:c>
      <ns0:c r="G299" s="16">
        <ns0:f>A299*('前提と出典'!$C$36*'契約別単価'!G5+'前提と出典'!$C$37*'契約別単価'!G6+'前提と出典'!$C$38*'契約別単価'!G7)</ns0:f>
        <ns0:v>587198.3240223463</ns0:v>
      </ns0:c>
      <ns0:c r="H299" s="16">
        <ns0:f>A299*('前提と出典'!$C$36*'契約別単価'!H5+'前提と出典'!$C$37*'契約別単価'!H6+'前提と出典'!$C$38*'契約別単価'!H7)</ns0:f>
        <ns0:v>203787.26874596442</ns0:v>
      </ns0:c>
      <ns0:c r="I299" s="16">
        <ns0:f>A299*('前提と出典'!$C$36*'契約別単価'!I5+'前提と出典'!$C$37*'契約別単価'!I6+'前提と出典'!$C$38*'契約別単価'!I7)</ns0:f>
        <ns0:v>12447.681564245808</ns0:v>
      </ns0:c>
      <ns0:c r="J299" s="16">
        <ns0:f>A299*('前提と出典'!$C$36*'契約別単価'!J5+'前提と出典'!$C$37*'契約別単価'!J6+'前提と出典'!$C$38*'契約別単価'!J7)</ns0:f>
        <ns0:v>28995.415394539257</ns0:v>
      </ns0:c>
      <ns0:c r="K299" s="16">
        <ns0:f>A299*('前提と出典'!$C$36*'契約別単価'!K5+'前提と出典'!$C$37*'契約別単価'!K6+'前提と出典'!$C$38*'契約別単価'!K7)</ns0:f>
        <ns0:v>124284.54376163872</ns0:v>
      </ns0:c>
      <ns0:c r="L299" s="16">
        <ns0:f>A299*('前提と出典'!$C$36*'契約別単価'!L5+'前提と出典'!$C$37*'契約別単価'!L6+'前提と出典'!$C$38*'契約別単価'!L7)</ns0:f>
        <ns0:v>101192.90895819881</ns0:v>
      </ns0:c>
      <ns0:c r="M299" s="16">
        <ns0:f>IF(('前提と出典'!$C$36+'前提と出典'!$C$38)=0,0,IF(B299&lt;=10,'前提と出典'!B73+'前提と出典'!C73,IF(B299&lt;=100,'前提と出典'!B74+'前提と出典'!C74,IF(B299&lt;=500,'前提と出典'!B75+'前提と出典'!C75,'前提と出典'!B76+'前提と出典'!C76))))</ns0:f>
        <ns0:v>40000</ns0:v>
      </ns0:c>
      <ns0:c r="N299" s="16">
        <ns0:f>IF(('前提と出典'!$C$37+'前提と出典'!$C$38)=0,0,IF(C299&lt;=10,'前提と出典'!D73+'前提と出典'!E73,IF(C299&lt;=100,'前提と出典'!D74+'前提と出典'!E74,IF(C299&lt;=500,'前提と出典'!D75+'前提と出典'!E75,'前提と出典'!D76+'前提と出典'!E76))))</ns0:f>
        <ns0:v>56510.9346263078</ns0:v>
      </ns0:c>
      <ns0:c r="O299" s="16">
        <ns0:f>IF('前提と出典'!$C$36+'前提と出典'!$C$38=0,0,'前提と出典'!$B$4*IF('前提と出典'!$B$20=0,MAX('前提と出典'!$B$6,D299*'前提と出典'!$B$5),'前提と出典'!$B$6+D299*'前提と出典'!$B$5))</ns0:f>
        <ns0:v>292930.0558659218</ns0:v>
      </ns0:c>
      <ns0:c r="P299" s="16">
        <ns0:f>(E299+G299)*(1-'前提と出典'!$B$7)-I299-K299-M299-O299</ns0:f>
        <ns0:v>646656.4646472856</ns0:v>
      </ns0:c>
      <ns0:c r="Q299" s="16">
        <ns0:f>(F299+H299)*(1-'前提と出典'!$B$7)-J299-L299-N299</ns0:f>
        <ns0:v>225708.55461028893</ns0:v>
      </ns0:c>
      <ns0:c r="R299" s="16">
        <ns0:f>P299-E299*'前提と出典'!$E$4</ns0:f>
        <ns0:v>475413.86252647126</ns0:v>
      </ns0:c>
      <ns0:c r="S299" s="16">
        <ns0:f>Q299-F299*'前提と出典'!$E$4</ns0:f>
        <ns0:v>158502.05465648446</ns0:v>
      </ns0:c>
      <ns0:c r="T299" s="7">
        <ns0:f>R299+S299</ns0:f>
        <ns0:v>633915.9171829557</ns0:v>
      </ns0:c>
      <ns0:c r="U299" s="16">
        <ns0:f>P299-E299*'前提と出典'!$E$5</ns0:f>
        <ns0:v>418332.99515286647</ns0:v>
      </ns0:c>
      <ns0:c r="V299" s="16">
        <ns0:f>Q299-F299*'前提と出典'!$E$5</ns0:f>
        <ns0:v>136099.88800521626</ns0:v>
      </ns0:c>
      <ns0:c r="W299" s="7">
        <ns0:f>U299+V299</ns0:f>
        <ns0:v>554432.8831580827</ns0:v>
      </ns0:c>
      <ns0:c r="X299" s="16">
        <ns0:f>P299-E299*'前提と出典'!$E$6</ns0:f>
        <ns0:v>361252.1277792617</ns0:v>
      </ns0:c>
      <ns0:c r="Y299" s="16">
        <ns0:f>Q299-F299*'前提と出典'!$E$6</ns0:f>
        <ns0:v>113697.72135394812</ns0:v>
      </ns0:c>
      <ns0:c r="Z299" s="7">
        <ns0:f>X299+Y299</ns0:f>
        <ns0:v>474949.8491332098</ns0:v>
      </ns0:c>
      <ns0:c r="AA299" s="7">
        <ns0:f>IF(T299&gt;=0,A299,1001)</ns0:f>
        <ns0:v>295</ns0:v>
      </ns0:c>
      <ns0:c r="AB299" s="7">
        <ns0:f>IF(T299&lt;0,A299,0)</ns0:f>
        <ns0:v>0</ns0:v>
      </ns0:c>
      <ns0:c r="AC299" s="16">
        <ns0:f>IF(AND(OR('前提と出典'!$C$36+'前提と出典'!$C$38=0,R299&gt;=0),OR('前提と出典'!$C$37+'前提と出典'!$C$38=0,S299&gt;=0)),0,A299)</ns0:f>
        <ns0:v>0</ns0:v>
      </ns0:c>
      <ns0:c r="AD299" s="7">
        <ns0:f>IF(W299&gt;=0,A299,1001)</ns0:f>
        <ns0:v>295</ns0:v>
      </ns0:c>
      <ns0:c r="AE299" s="7">
        <ns0:f>IF(W299&lt;0,A299,0)</ns0:f>
        <ns0:v>0</ns0:v>
      </ns0:c>
      <ns0:c r="AF299" s="16">
        <ns0:f>IF(AND(OR('前提と出典'!$C$36+'前提と出典'!$C$38=0,U299&gt;=0),OR('前提と出典'!$C$37+'前提と出典'!$C$38=0,V299&gt;=0)),0,A299)</ns0:f>
        <ns0:v>0</ns0:v>
      </ns0:c>
      <ns0:c r="AG299" s="7">
        <ns0:f>IF(Z299&gt;=0,A299,1001)</ns0:f>
        <ns0:v>295</ns0:v>
      </ns0:c>
      <ns0:c r="AH299" s="4">
        <ns0:f>IF(Z299&lt;0,A299,0)</ns0:f>
        <ns0:v>0</ns0:v>
      </ns0:c>
      <ns0:c r="AI299" s="12">
        <ns0:f>IF(AND(OR('前提と出典'!$C$36+'前提と出典'!$C$38=0,X299&gt;=0),OR('前提と出典'!$C$37+'前提と出典'!$C$38=0,Y299&gt;=0)),0,A299)</ns0:f>
        <ns0:v>0</ns0:v>
      </ns0:c>
    </ns0:row>
    <ns0:row r="300" ht="24" customHeight="1">
      <ns0:c r="A300" s="4" t="n">
        <ns0:v>296</ns0:v>
      </ns0:c>
      <ns0:c r="B300" s="12">
        <ns0:f>A300*('前提と出典'!$C$36+'前提と出典'!$C$38)</ns0:f>
        <ns0:v>207.2</ns0:v>
      </ns0:c>
      <ns0:c r="C300" s="12">
        <ns0:f>A300*('前提と出典'!$C$37+'前提と出典'!$C$38)</ns0:f>
        <ns0:v>177.6</ns0:v>
      </ns0:c>
      <ns0:c r="D300" s="16">
        <ns0:f>A300*('前提と出典'!$C$36*'契約別単価'!C5+'前提と出典'!$C$37*'契約別単価'!C6+'前提と出典'!$C$38*'契約別単価'!C7)</ns0:f>
        <ns0:v>2129.877094972067</ns0:v>
      </ns0:c>
      <ns0:c r="E300" s="16">
        <ns0:f>A300*('前提と出典'!$C$36*'契約別単価'!E5+'前提と出典'!$C$37*'契約別単価'!E6+'前提と出典'!$C$38*'契約別単価'!E7)</ns0:f>
        <ns0:v>572743.6183927803</ns0:v>
      </ns0:c>
      <ns0:c r="F300" s="16">
        <ns0:f>A300*('前提と出典'!$C$36*'契約別単価'!F5+'前提と出典'!$C$37*'契約別単価'!F6+'前提と出典'!$C$38*'契約別単価'!F7)</ns0:f>
        <ns0:v>224781.06199238563</ns0:v>
      </ns0:c>
      <ns0:c r="G300" s="16">
        <ns0:f>A300*('前提と出典'!$C$36*'契約別単価'!G5+'前提と出典'!$C$37*'契約別単価'!G6+'前提と出典'!$C$38*'契約別単価'!G7)</ns0:f>
        <ns0:v>589188.8268156424</ns0:v>
      </ns0:c>
      <ns0:c r="H300" s="16">
        <ns0:f>A300*('前提と出典'!$C$36*'契約別単価'!H5+'前提と出典'!$C$37*'契約別単価'!H6+'前提と出典'!$C$38*'契約別単価'!H7)</ns0:f>
        <ns0:v>204478.0730467982</ns0:v>
      </ns0:c>
      <ns0:c r="I300" s="16">
        <ns0:f>A300*('前提と出典'!$C$36*'契約別単価'!I5+'前提と出典'!$C$37*'契約別単価'!I6+'前提と出典'!$C$38*'契約別単価'!I7)</ns0:f>
        <ns0:v>12489.877094972066</ns0:v>
      </ns0:c>
      <ns0:c r="J300" s="16">
        <ns0:f>A300*('前提と出典'!$C$36*'契約別単価'!J5+'前提と出典'!$C$37*'契約別単価'!J6+'前提と出典'!$C$38*'契約別単価'!J7)</ns0:f>
        <ns0:v>29093.70493824956</ns0:v>
      </ns0:c>
      <ns0:c r="K300" s="16">
        <ns0:f>A300*('前提と出典'!$C$36*'契約別単価'!K5+'前提と出典'!$C$37*'契約別単価'!K6+'前提と出典'!$C$38*'契約別単価'!K7)</ns0:f>
        <ns0:v>124705.84729981377</ns0:v>
      </ns0:c>
      <ns0:c r="L300" s="16">
        <ns0:f>A300*('前提と出典'!$C$36*'契約別単価'!L5+'前提と出典'!$C$37*'契約別単価'!L6+'前提と出典'!$C$38*'契約別単価'!L7)</ns0:f>
        <ns0:v>101535.9357682266</ns0:v>
      </ns0:c>
      <ns0:c r="M300" s="16">
        <ns0:f>IF(('前提と出典'!$C$36+'前提と出典'!$C$38)=0,0,IF(B300&lt;=10,'前提と出典'!B73+'前提と出典'!C73,IF(B300&lt;=100,'前提と出典'!B74+'前提と出典'!C74,IF(B300&lt;=500,'前提と出典'!B75+'前提と出典'!C75,'前提と出典'!B76+'前提と出典'!C76))))</ns0:f>
        <ns0:v>40000</ns0:v>
      </ns0:c>
      <ns0:c r="N300" s="16">
        <ns0:f>IF(('前提と出典'!$C$37+'前提と出典'!$C$38)=0,0,IF(C300&lt;=10,'前提と出典'!D73+'前提と出典'!E73,IF(C300&lt;=100,'前提と出典'!D74+'前提と出典'!E74,IF(C300&lt;=500,'前提と出典'!D75+'前提と出典'!E75,'前提と出典'!D76+'前提と出典'!E76))))</ns0:f>
        <ns0:v>56510.9346263078</ns0:v>
      </ns0:c>
      <ns0:c r="O300" s="16">
        <ns0:f>IF('前提と出典'!$C$36+'前提と出典'!$C$38=0,0,'前提と出典'!$B$4*IF('前提と出典'!$B$20=0,MAX('前提と出典'!$B$6,D300*'前提と出典'!$B$5),'前提と出典'!$B$6+D300*'前提と出典'!$B$5))</ns0:f>
        <ns0:v>293923.03910614527</ns0:v>
      </ns0:c>
      <ns0:c r="P300" s="16">
        <ns0:f>(E300+G300)*(1-'前提と出典'!$B$7)-I300-K300-M300-O300</ns0:f>
        <ns0:v>648984.1136799885</ns0:v>
      </ns0:c>
      <ns0:c r="Q300" s="16">
        <ns0:f>(F300+H300)*(1-'前提と出典'!$B$7)-J300-L300-N300</ns0:f>
        <ns0:v>226665.23084498927</ns0:v>
      </ns0:c>
      <ns0:c r="R300" s="16">
        <ns0:f>P300-E300*'前提と出典'!$E$4</ns0:f>
        <ns0:v>477161.0281621545</ns0:v>
      </ns0:c>
      <ns0:c r="S300" s="16">
        <ns0:f>Q300-F300*'前提と出典'!$E$4</ns0:f>
        <ns0:v>159230.91224727358</ns0:v>
      </ns0:c>
      <ns0:c r="T300" s="7">
        <ns0:f>R300+S300</ns0:f>
        <ns0:v>636391.9404094281</ns0:v>
      </ns0:c>
      <ns0:c r="U300" s="16">
        <ns0:f>P300-E300*'前提と出典'!$E$5</ns0:f>
        <ns0:v>419886.66632287647</ns0:v>
      </ns0:c>
      <ns0:c r="V300" s="16">
        <ns0:f>Q300-F300*'前提と出典'!$E$5</ns0:f>
        <ns0:v>136752.806048035</ns0:v>
      </ns0:c>
      <ns0:c r="W300" s="7">
        <ns0:f>U300+V300</ns0:f>
        <ns0:v>556639.4723709115</ns0:v>
      </ns0:c>
      <ns0:c r="X300" s="16">
        <ns0:f>P300-E300*'前提と出典'!$E$6</ns0:f>
        <ns0:v>362612.30448359833</ns0:v>
      </ns0:c>
      <ns0:c r="Y300" s="16">
        <ns0:f>Q300-F300*'前提と出典'!$E$6</ns0:f>
        <ns0:v>114274.69984879644</ns0:v>
      </ns0:c>
      <ns0:c r="Z300" s="7">
        <ns0:f>X300+Y300</ns0:f>
        <ns0:v>476887.0043323948</ns0:v>
      </ns0:c>
      <ns0:c r="AA300" s="7">
        <ns0:f>IF(T300&gt;=0,A300,1001)</ns0:f>
        <ns0:v>296</ns0:v>
      </ns0:c>
      <ns0:c r="AB300" s="7">
        <ns0:f>IF(T300&lt;0,A300,0)</ns0:f>
        <ns0:v>0</ns0:v>
      </ns0:c>
      <ns0:c r="AC300" s="16">
        <ns0:f>IF(AND(OR('前提と出典'!$C$36+'前提と出典'!$C$38=0,R300&gt;=0),OR('前提と出典'!$C$37+'前提と出典'!$C$38=0,S300&gt;=0)),0,A300)</ns0:f>
        <ns0:v>0</ns0:v>
      </ns0:c>
      <ns0:c r="AD300" s="7">
        <ns0:f>IF(W300&gt;=0,A300,1001)</ns0:f>
        <ns0:v>296</ns0:v>
      </ns0:c>
      <ns0:c r="AE300" s="7">
        <ns0:f>IF(W300&lt;0,A300,0)</ns0:f>
        <ns0:v>0</ns0:v>
      </ns0:c>
      <ns0:c r="AF300" s="16">
        <ns0:f>IF(AND(OR('前提と出典'!$C$36+'前提と出典'!$C$38=0,U300&gt;=0),OR('前提と出典'!$C$37+'前提と出典'!$C$38=0,V300&gt;=0)),0,A300)</ns0:f>
        <ns0:v>0</ns0:v>
      </ns0:c>
      <ns0:c r="AG300" s="7">
        <ns0:f>IF(Z300&gt;=0,A300,1001)</ns0:f>
        <ns0:v>296</ns0:v>
      </ns0:c>
      <ns0:c r="AH300" s="4">
        <ns0:f>IF(Z300&lt;0,A300,0)</ns0:f>
        <ns0:v>0</ns0:v>
      </ns0:c>
      <ns0:c r="AI300" s="12">
        <ns0:f>IF(AND(OR('前提と出典'!$C$36+'前提と出典'!$C$38=0,X300&gt;=0),OR('前提と出典'!$C$37+'前提と出典'!$C$38=0,Y300&gt;=0)),0,A300)</ns0:f>
        <ns0:v>0</ns0:v>
      </ns0:c>
    </ns0:row>
    <ns0:row r="301" ht="24" customHeight="1">
      <ns0:c r="A301" s="4" t="n">
        <ns0:v>297</ns0:v>
      </ns0:c>
      <ns0:c r="B301" s="12">
        <ns0:f>A301*('前提と出典'!$C$36+'前提と出典'!$C$38)</ns0:f>
        <ns0:v>207.89999999999998</ns0:v>
      </ns0:c>
      <ns0:c r="C301" s="12">
        <ns0:f>A301*('前提と出典'!$C$37+'前提と出典'!$C$38)</ns0:f>
        <ns0:v>178.2</ns0:v>
      </ns0:c>
      <ns0:c r="D301" s="16">
        <ns0:f>A301*('前提と出典'!$C$36*'契約別単価'!C5+'前提と出典'!$C$37*'契約別単価'!C6+'前提と出典'!$C$38*'契約別単価'!C7)</ns0:f>
        <ns0:v>2137.072625698324</ns0:v>
      </ns0:c>
      <ns0:c r="E301" s="16">
        <ns0:f>A301*('前提と出典'!$C$36*'契約別単価'!E5+'前提と出典'!$C$37*'契約別単価'!E6+'前提と出典'!$C$38*'契約別単価'!E7)</ns0:f>
        <ns0:v>574678.5630495127</ns0:v>
      </ns0:c>
      <ns0:c r="F301" s="16">
        <ns0:f>A301*('前提と出典'!$C$36*'契約別単価'!F5+'前提と出典'!$C$37*'契約別単価'!F6+'前提と出典'!$C$38*'契約別単価'!F7)</ns0:f>
        <ns0:v>225540.45747208965</ns0:v>
      </ns0:c>
      <ns0:c r="G301" s="16">
        <ns0:f>A301*('前提と出典'!$C$36*'契約別単価'!G5+'前提と出典'!$C$37*'契約別単価'!G6+'前提と出典'!$C$38*'契約別単価'!G7)</ns0:f>
        <ns0:v>591179.3296089385</ns0:v>
      </ns0:c>
      <ns0:c r="H301" s="16">
        <ns0:f>A301*('前提と出典'!$C$36*'契約別単価'!H5+'前提と出典'!$C$37*'契約別単価'!H6+'前提と出典'!$C$38*'契約別単価'!H7)</ns0:f>
        <ns0:v>205168.87734763196</ns0:v>
      </ns0:c>
      <ns0:c r="I301" s="16">
        <ns0:f>A301*('前提と出典'!$C$36*'契約別単価'!I5+'前提と出典'!$C$37*'契約別単価'!I6+'前提と出典'!$C$38*'契約別単価'!I7)</ns0:f>
        <ns0:v>12532.072625698322</ns0:v>
      </ns0:c>
      <ns0:c r="J301" s="16">
        <ns0:f>A301*('前提と出典'!$C$36*'契約別単価'!J5+'前提と出典'!$C$37*'契約別単価'!J6+'前提と出典'!$C$38*'契約別単価'!J7)</ns0:f>
        <ns0:v>29191.994481959864</ns0:v>
      </ns0:c>
      <ns0:c r="K301" s="16">
        <ns0:f>A301*('前提と出典'!$C$36*'契約別単価'!K5+'前提と出典'!$C$37*'契約別単価'!K6+'前提と出典'!$C$38*'契約別単価'!K7)</ns0:f>
        <ns0:v>125127.15083798883</ns0:v>
      </ns0:c>
      <ns0:c r="L301" s="16">
        <ns0:f>A301*('前提と出典'!$C$36*'契約別単価'!L5+'前提と出典'!$C$37*'契約別単価'!L6+'前提と出典'!$C$38*'契約別単価'!L7)</ns0:f>
        <ns0:v>101878.9625782544</ns0:v>
      </ns0:c>
      <ns0:c r="M301" s="16">
        <ns0:f>IF(('前提と出典'!$C$36+'前提と出典'!$C$38)=0,0,IF(B301&lt;=10,'前提と出典'!B73+'前提と出典'!C73,IF(B301&lt;=100,'前提と出典'!B74+'前提と出典'!C74,IF(B301&lt;=500,'前提と出典'!B75+'前提と出典'!C75,'前提と出典'!B76+'前提と出典'!C76))))</ns0:f>
        <ns0:v>40000</ns0:v>
      </ns0:c>
      <ns0:c r="N301" s="16">
        <ns0:f>IF(('前提と出典'!$C$37+'前提と出典'!$C$38)=0,0,IF(C301&lt;=10,'前提と出典'!D73+'前提と出典'!E73,IF(C301&lt;=100,'前提と出典'!D74+'前提と出典'!E74,IF(C301&lt;=500,'前提と出典'!D75+'前提と出典'!E75,'前提と出典'!D76+'前提と出典'!E76))))</ns0:f>
        <ns0:v>56510.9346263078</ns0:v>
      </ns0:c>
      <ns0:c r="O301" s="16">
        <ns0:f>IF('前提と出典'!$C$36+'前提と出典'!$C$38=0,0,'前提と出典'!$B$4*IF('前提と出典'!$B$20=0,MAX('前提と出典'!$B$6,D301*'前提と出典'!$B$5),'前提と出典'!$B$6+D301*'前提と出典'!$B$5))</ns0:f>
        <ns0:v>294916.0223463687</ns0:v>
      </ns0:c>
      <ns0:c r="P301" s="16">
        <ns0:f>(E301+G301)*(1-'前提と出典'!$B$7)-I301-K301-M301-O301</ns0:f>
        <ns0:v>651311.762712691</ns0:v>
      </ns0:c>
      <ns0:c r="Q301" s="16">
        <ns0:f>(F301+H301)*(1-'前提と出典'!$B$7)-J301-L301-N301</ns0:f>
        <ns0:v>227621.9070796896</ns0:v>
      </ns0:c>
      <ns0:c r="R301" s="16">
        <ns0:f>P301-E301*'前提と出典'!$E$4</ns0:f>
        <ns0:v>478908.1937978373</ns0:v>
      </ns0:c>
      <ns0:c r="S301" s="16">
        <ns0:f>Q301-F301*'前提と出典'!$E$4</ns0:f>
        <ns0:v>159959.76983806276</ns0:v>
      </ns0:c>
      <ns0:c r="T301" s="7">
        <ns0:f>R301+S301</ns0:f>
        <ns0:v>638867.9636359</ns0:v>
      </ns0:c>
      <ns0:c r="U301" s="16">
        <ns0:f>P301-E301*'前提と出典'!$E$5</ns0:f>
        <ns0:v>421440.33749288594</ns0:v>
      </ns0:c>
      <ns0:c r="V301" s="16">
        <ns0:f>Q301-F301*'前提と出典'!$E$5</ns0:f>
        <ns0:v>137405.72409085376</ns0:v>
      </ns0:c>
      <ns0:c r="W301" s="7">
        <ns0:f>U301+V301</ns0:f>
        <ns0:v>558846.0615837397</ns0:v>
      </ns0:c>
      <ns0:c r="X301" s="16">
        <ns0:f>P301-E301*'前提と出典'!$E$6</ns0:f>
        <ns0:v>363972.4811879347</ns0:v>
      </ns0:c>
      <ns0:c r="Y301" s="16">
        <ns0:f>Q301-F301*'前提と出典'!$E$6</ns0:f>
        <ns0:v>114851.67834364477</ns0:v>
      </ns0:c>
      <ns0:c r="Z301" s="7">
        <ns0:f>X301+Y301</ns0:f>
        <ns0:v>478824.15953157947</ns0:v>
      </ns0:c>
      <ns0:c r="AA301" s="7">
        <ns0:f>IF(T301&gt;=0,A301,1001)</ns0:f>
        <ns0:v>297</ns0:v>
      </ns0:c>
      <ns0:c r="AB301" s="7">
        <ns0:f>IF(T301&lt;0,A301,0)</ns0:f>
        <ns0:v>0</ns0:v>
      </ns0:c>
      <ns0:c r="AC301" s="16">
        <ns0:f>IF(AND(OR('前提と出典'!$C$36+'前提と出典'!$C$38=0,R301&gt;=0),OR('前提と出典'!$C$37+'前提と出典'!$C$38=0,S301&gt;=0)),0,A301)</ns0:f>
        <ns0:v>0</ns0:v>
      </ns0:c>
      <ns0:c r="AD301" s="7">
        <ns0:f>IF(W301&gt;=0,A301,1001)</ns0:f>
        <ns0:v>297</ns0:v>
      </ns0:c>
      <ns0:c r="AE301" s="7">
        <ns0:f>IF(W301&lt;0,A301,0)</ns0:f>
        <ns0:v>0</ns0:v>
      </ns0:c>
      <ns0:c r="AF301" s="16">
        <ns0:f>IF(AND(OR('前提と出典'!$C$36+'前提と出典'!$C$38=0,U301&gt;=0),OR('前提と出典'!$C$37+'前提と出典'!$C$38=0,V301&gt;=0)),0,A301)</ns0:f>
        <ns0:v>0</ns0:v>
      </ns0:c>
      <ns0:c r="AG301" s="7">
        <ns0:f>IF(Z301&gt;=0,A301,1001)</ns0:f>
        <ns0:v>297</ns0:v>
      </ns0:c>
      <ns0:c r="AH301" s="4">
        <ns0:f>IF(Z301&lt;0,A301,0)</ns0:f>
        <ns0:v>0</ns0:v>
      </ns0:c>
      <ns0:c r="AI301" s="12">
        <ns0:f>IF(AND(OR('前提と出典'!$C$36+'前提と出典'!$C$38=0,X301&gt;=0),OR('前提と出典'!$C$37+'前提と出典'!$C$38=0,Y301&gt;=0)),0,A301)</ns0:f>
        <ns0:v>0</ns0:v>
      </ns0:c>
    </ns0:row>
    <ns0:row r="302" ht="24" customHeight="1">
      <ns0:c r="A302" s="4" t="n">
        <ns0:v>298</ns0:v>
      </ns0:c>
      <ns0:c r="B302" s="12">
        <ns0:f>A302*('前提と出典'!$C$36+'前提と出典'!$C$38)</ns0:f>
        <ns0:v>208.6</ns0:v>
      </ns0:c>
      <ns0:c r="C302" s="12">
        <ns0:f>A302*('前提と出典'!$C$37+'前提と出典'!$C$38)</ns0:f>
        <ns0:v>178.79999999999998</ns0:v>
      </ns0:c>
      <ns0:c r="D302" s="16">
        <ns0:f>A302*('前提と出典'!$C$36*'契約別単価'!C5+'前提と出典'!$C$37*'契約別単価'!C6+'前提と出典'!$C$38*'契約別単価'!C7)</ns0:f>
        <ns0:v>2144.268156424581</ns0:v>
      </ns0:c>
      <ns0:c r="E302" s="16">
        <ns0:f>A302*('前提と出典'!$C$36*'契約別単価'!E5+'前提と出典'!$C$37*'契約別単価'!E6+'前提と出典'!$C$38*'契約別単価'!E7)</ns0:f>
        <ns0:v>576613.5077062451</ns0:v>
      </ns0:c>
      <ns0:c r="F302" s="16">
        <ns0:f>A302*('前提と出典'!$C$36*'契約別単価'!F5+'前提と出典'!$C$37*'契約別単価'!F6+'前提と出典'!$C$38*'契約別単価'!F7)</ns0:f>
        <ns0:v>226299.85295179364</ns0:v>
      </ns0:c>
      <ns0:c r="G302" s="16">
        <ns0:f>A302*('前提と出典'!$C$36*'契約別単価'!G5+'前提と出典'!$C$37*'契約別単価'!G6+'前提と出典'!$C$38*'契約別単価'!G7)</ns0:f>
        <ns0:v>593169.8324022347</ns0:v>
      </ns0:c>
      <ns0:c r="H302" s="16">
        <ns0:f>A302*('前提と出典'!$C$36*'契約別単価'!H5+'前提と出典'!$C$37*'契約別単価'!H6+'前提と出典'!$C$38*'契約別単価'!H7)</ns0:f>
        <ns0:v>205859.68164846575</ns0:v>
      </ns0:c>
      <ns0:c r="I302" s="16">
        <ns0:f>A302*('前提と出典'!$C$36*'契約別単価'!I5+'前提と出典'!$C$37*'契約別単価'!I6+'前提と出典'!$C$38*'契約別単価'!I7)</ns0:f>
        <ns0:v>12574.26815642458</ns0:v>
      </ns0:c>
      <ns0:c r="J302" s="16">
        <ns0:f>A302*('前提と出典'!$C$36*'契約別単価'!J5+'前提と出典'!$C$37*'契約別単価'!J6+'前提と出典'!$C$38*'契約別単価'!J7)</ns0:f>
        <ns0:v>29290.284025670164</ns0:v>
      </ns0:c>
      <ns0:c r="K302" s="16">
        <ns0:f>A302*('前提と出典'!$C$36*'契約別単価'!K5+'前提と出典'!$C$37*'契約別単価'!K6+'前提と出典'!$C$38*'契約別単価'!K7)</ns0:f>
        <ns0:v>125548.45437616386</ns0:v>
      </ns0:c>
      <ns0:c r="L302" s="16">
        <ns0:f>A302*('前提と出典'!$C$36*'契約別単価'!L5+'前提と出典'!$C$37*'契約別単価'!L6+'前提と出典'!$C$38*'契約別単価'!L7)</ns0:f>
        <ns0:v>102221.98938828219</ns0:v>
      </ns0:c>
      <ns0:c r="M302" s="16">
        <ns0:f>IF(('前提と出典'!$C$36+'前提と出典'!$C$38)=0,0,IF(B302&lt;=10,'前提と出典'!B73+'前提と出典'!C73,IF(B302&lt;=100,'前提と出典'!B74+'前提と出典'!C74,IF(B302&lt;=500,'前提と出典'!B75+'前提と出典'!C75,'前提と出典'!B76+'前提と出典'!C76))))</ns0:f>
        <ns0:v>40000</ns0:v>
      </ns0:c>
      <ns0:c r="N302" s="16">
        <ns0:f>IF(('前提と出典'!$C$37+'前提と出典'!$C$38)=0,0,IF(C302&lt;=10,'前提と出典'!D73+'前提と出典'!E73,IF(C302&lt;=100,'前提と出典'!D74+'前提と出典'!E74,IF(C302&lt;=500,'前提と出典'!D75+'前提と出典'!E75,'前提と出典'!D76+'前提と出典'!E76))))</ns0:f>
        <ns0:v>56510.9346263078</ns0:v>
      </ns0:c>
      <ns0:c r="O302" s="16">
        <ns0:f>IF('前提と出典'!$C$36+'前提と出典'!$C$38=0,0,'前提と出典'!$B$4*IF('前提と出典'!$B$20=0,MAX('前提と出典'!$B$6,D302*'前提と出典'!$B$5),'前提と出典'!$B$6+D302*'前提と出典'!$B$5))</ns0:f>
        <ns0:v>295909.0055865922</ns0:v>
      </ns0:c>
      <ns0:c r="P302" s="16">
        <ns0:f>(E302+G302)*(1-'前提と出典'!$B$7)-I302-K302-M302-O302</ns0:f>
        <ns0:v>653639.4117453939</ns0:v>
      </ns0:c>
      <ns0:c r="Q302" s="16">
        <ns0:f>(F302+H302)*(1-'前提と出典'!$B$7)-J302-L302-N302</ns0:f>
        <ns0:v>228578.58331438995</ns0:v>
      </ns0:c>
      <ns0:c r="R302" s="16">
        <ns0:f>P302-E302*'前提と出典'!$E$4</ns0:f>
        <ns0:v>480655.3594335203</ns0:v>
      </ns0:c>
      <ns0:c r="S302" s="16">
        <ns0:f>Q302-F302*'前提と出典'!$E$4</ns0:f>
        <ns0:v>160688.62742885185</ns0:v>
      </ns0:c>
      <ns0:c r="T302" s="7">
        <ns0:f>R302+S302</ns0:f>
        <ns0:v>641343.9868623721</ns0:v>
      </ns0:c>
      <ns0:c r="U302" s="16">
        <ns0:f>P302-E302*'前提と出典'!$E$5</ns0:f>
        <ns0:v>422994.0086628958</ns0:v>
      </ns0:c>
      <ns0:c r="V302" s="16">
        <ns0:f>Q302-F302*'前提と出典'!$E$5</ns0:f>
        <ns0:v>138058.6421336725</ns0:v>
      </ns0:c>
      <ns0:c r="W302" s="7">
        <ns0:f>U302+V302</ns0:f>
        <ns0:v>561052.6507965683</ns0:v>
      </ns0:c>
      <ns0:c r="X302" s="16">
        <ns0:f>P302-E302*'前提と出典'!$E$6</ns0:f>
        <ns0:v>365332.65789227135</ns0:v>
      </ns0:c>
      <ns0:c r="Y302" s="16">
        <ns0:f>Q302-F302*'前提と出典'!$E$6</ns0:f>
        <ns0:v>115428.65683849307</ns0:v>
      </ns0:c>
      <ns0:c r="Z302" s="7">
        <ns0:f>X302+Y302</ns0:f>
        <ns0:v>480761.3147307644</ns0:v>
      </ns0:c>
      <ns0:c r="AA302" s="7">
        <ns0:f>IF(T302&gt;=0,A302,1001)</ns0:f>
        <ns0:v>298</ns0:v>
      </ns0:c>
      <ns0:c r="AB302" s="7">
        <ns0:f>IF(T302&lt;0,A302,0)</ns0:f>
        <ns0:v>0</ns0:v>
      </ns0:c>
      <ns0:c r="AC302" s="16">
        <ns0:f>IF(AND(OR('前提と出典'!$C$36+'前提と出典'!$C$38=0,R302&gt;=0),OR('前提と出典'!$C$37+'前提と出典'!$C$38=0,S302&gt;=0)),0,A302)</ns0:f>
        <ns0:v>0</ns0:v>
      </ns0:c>
      <ns0:c r="AD302" s="7">
        <ns0:f>IF(W302&gt;=0,A302,1001)</ns0:f>
        <ns0:v>298</ns0:v>
      </ns0:c>
      <ns0:c r="AE302" s="7">
        <ns0:f>IF(W302&lt;0,A302,0)</ns0:f>
        <ns0:v>0</ns0:v>
      </ns0:c>
      <ns0:c r="AF302" s="16">
        <ns0:f>IF(AND(OR('前提と出典'!$C$36+'前提と出典'!$C$38=0,U302&gt;=0),OR('前提と出典'!$C$37+'前提と出典'!$C$38=0,V302&gt;=0)),0,A302)</ns0:f>
        <ns0:v>0</ns0:v>
      </ns0:c>
      <ns0:c r="AG302" s="7">
        <ns0:f>IF(Z302&gt;=0,A302,1001)</ns0:f>
        <ns0:v>298</ns0:v>
      </ns0:c>
      <ns0:c r="AH302" s="4">
        <ns0:f>IF(Z302&lt;0,A302,0)</ns0:f>
        <ns0:v>0</ns0:v>
      </ns0:c>
      <ns0:c r="AI302" s="12">
        <ns0:f>IF(AND(OR('前提と出典'!$C$36+'前提と出典'!$C$38=0,X302&gt;=0),OR('前提と出典'!$C$37+'前提と出典'!$C$38=0,Y302&gt;=0)),0,A302)</ns0:f>
        <ns0:v>0</ns0:v>
      </ns0:c>
    </ns0:row>
    <ns0:row r="303" ht="24" customHeight="1">
      <ns0:c r="A303" s="4" t="n">
        <ns0:v>299</ns0:v>
      </ns0:c>
      <ns0:c r="B303" s="12">
        <ns0:f>A303*('前提と出典'!$C$36+'前提と出典'!$C$38)</ns0:f>
        <ns0:v>209.29999999999998</ns0:v>
      </ns0:c>
      <ns0:c r="C303" s="12">
        <ns0:f>A303*('前提と出典'!$C$37+'前提と出典'!$C$38)</ns0:f>
        <ns0:v>179.4</ns0:v>
      </ns0:c>
      <ns0:c r="D303" s="16">
        <ns0:f>A303*('前提と出典'!$C$36*'契約別単価'!C5+'前提と出典'!$C$37*'契約別単価'!C6+'前提と出典'!$C$38*'契約別単価'!C7)</ns0:f>
        <ns0:v>2151.463687150838</ns0:v>
      </ns0:c>
      <ns0:c r="E303" s="16">
        <ns0:f>A303*('前提と出典'!$C$36*'契約別単価'!E5+'前提と出典'!$C$37*'契約別単価'!E6+'前提と出典'!$C$38*'契約別単価'!E7)</ns0:f>
        <ns0:v>578548.4523629774</ns0:v>
      </ns0:c>
      <ns0:c r="F303" s="16">
        <ns0:f>A303*('前提と出典'!$C$36*'契約別単価'!F5+'前提と出典'!$C$37*'契約別単価'!F6+'前提と出典'!$C$38*'契約別単価'!F7)</ns0:f>
        <ns0:v>227059.24843149766</ns0:v>
      </ns0:c>
      <ns0:c r="G303" s="16">
        <ns0:f>A303*('前提と出典'!$C$36*'契約別単価'!G5+'前提と出典'!$C$37*'契約別単価'!G6+'前提と出典'!$C$38*'契約別単価'!G7)</ns0:f>
        <ns0:v>595160.3351955307</ns0:v>
      </ns0:c>
      <ns0:c r="H303" s="16">
        <ns0:f>A303*('前提と出典'!$C$36*'契約別単価'!H5+'前提と出典'!$C$37*'契約別単価'!H6+'前提と出典'!$C$38*'契約別単価'!H7)</ns0:f>
        <ns0:v>206550.48594929953</ns0:v>
      </ns0:c>
      <ns0:c r="I303" s="16">
        <ns0:f>A303*('前提と出典'!$C$36*'契約別単価'!I5+'前提と出典'!$C$37*'契約別単価'!I6+'前提と出典'!$C$38*'契約別単価'!I7)</ns0:f>
        <ns0:v>12616.463687150836</ns0:v>
      </ns0:c>
      <ns0:c r="J303" s="16">
        <ns0:f>A303*('前提と出典'!$C$36*'契約別単価'!J5+'前提と出典'!$C$37*'契約別単価'!J6+'前提と出典'!$C$38*'契約別単価'!J7)</ns0:f>
        <ns0:v>29388.573569380467</ns0:v>
      </ns0:c>
      <ns0:c r="K303" s="16">
        <ns0:f>A303*('前提と出典'!$C$36*'契約別単価'!K5+'前提と出典'!$C$37*'契約別単価'!K6+'前提と出典'!$C$38*'契約別単価'!K7)</ns0:f>
        <ns0:v>125969.75791433892</ns0:v>
      </ns0:c>
      <ns0:c r="L303" s="16">
        <ns0:f>A303*('前提と出典'!$C$36*'契約別単価'!L5+'前提と出典'!$C$37*'契約別単価'!L6+'前提と出典'!$C$38*'契約別単価'!L7)</ns0:f>
        <ns0:v>102565.01619830998</ns0:v>
      </ns0:c>
      <ns0:c r="M303" s="16">
        <ns0:f>IF(('前提と出典'!$C$36+'前提と出典'!$C$38)=0,0,IF(B303&lt;=10,'前提と出典'!B73+'前提と出典'!C73,IF(B303&lt;=100,'前提と出典'!B74+'前提と出典'!C74,IF(B303&lt;=500,'前提と出典'!B75+'前提と出典'!C75,'前提と出典'!B76+'前提と出典'!C76))))</ns0:f>
        <ns0:v>40000</ns0:v>
      </ns0:c>
      <ns0:c r="N303" s="16">
        <ns0:f>IF(('前提と出典'!$C$37+'前提と出典'!$C$38)=0,0,IF(C303&lt;=10,'前提と出典'!D73+'前提と出典'!E73,IF(C303&lt;=100,'前提と出典'!D74+'前提と出典'!E74,IF(C303&lt;=500,'前提と出典'!D75+'前提と出典'!E75,'前提と出典'!D76+'前提と出典'!E76))))</ns0:f>
        <ns0:v>56510.9346263078</ns0:v>
      </ns0:c>
      <ns0:c r="O303" s="16">
        <ns0:f>IF('前提と出典'!$C$36+'前提と出典'!$C$38=0,0,'前提と出典'!$B$4*IF('前提と出典'!$B$20=0,MAX('前提と出典'!$B$6,D303*'前提と出典'!$B$5),'前提と出典'!$B$6+D303*'前提と出典'!$B$5))</ns0:f>
        <ns0:v>296901.9888268156</ns0:v>
      </ns0:c>
      <ns0:c r="P303" s="16">
        <ns0:f>(E303+G303)*(1-'前提と出典'!$B$7)-I303-K303-M303-O303</ns0:f>
        <ns0:v>655967.0607780964</ns0:v>
      </ns0:c>
      <ns0:c r="Q303" s="16">
        <ns0:f>(F303+H303)*(1-'前提と出典'!$B$7)-J303-L303-N303</ns0:f>
        <ns0:v>229535.25954909026</ns0:v>
      </ns0:c>
      <ns0:c r="R303" s="16">
        <ns0:f>P303-E303*'前提と出典'!$E$4</ns0:f>
        <ns0:v>482402.5250692032</ns0:v>
      </ns0:c>
      <ns0:c r="S303" s="16">
        <ns0:f>Q303-F303*'前提と出典'!$E$4</ns0:f>
        <ns0:v>161417.48501964097</ns0:v>
      </ns0:c>
      <ns0:c r="T303" s="7">
        <ns0:f>R303+S303</ns0:f>
        <ns0:v>643820.0100888442</ns0:v>
      </ns0:c>
      <ns0:c r="U303" s="16">
        <ns0:f>P303-E303*'前提と出典'!$E$5</ns0:f>
        <ns0:v>424547.6798329054</ns0:v>
      </ns0:c>
      <ns0:c r="V303" s="16">
        <ns0:f>Q303-F303*'前提と出典'!$E$5</ns0:f>
        <ns0:v>138711.56017649118</ns0:v>
      </ns0:c>
      <ns0:c r="W303" s="7">
        <ns0:f>U303+V303</ns0:f>
        <ns0:v>563259.2400093966</ns0:v>
      </ns0:c>
      <ns0:c r="X303" s="16">
        <ns0:f>P303-E303*'前提と出典'!$E$6</ns0:f>
        <ns0:v>366692.8345966077</ns0:v>
      </ns0:c>
      <ns0:c r="Y303" s="16">
        <ns0:f>Q303-F303*'前提と出典'!$E$6</ns0:f>
        <ns0:v>116005.63533334146</ns0:v>
      </ns0:c>
      <ns0:c r="Z303" s="7">
        <ns0:f>X303+Y303</ns0:f>
        <ns0:v>482698.46992994915</ns0:v>
      </ns0:c>
      <ns0:c r="AA303" s="7">
        <ns0:f>IF(T303&gt;=0,A303,1001)</ns0:f>
        <ns0:v>299</ns0:v>
      </ns0:c>
      <ns0:c r="AB303" s="7">
        <ns0:f>IF(T303&lt;0,A303,0)</ns0:f>
        <ns0:v>0</ns0:v>
      </ns0:c>
      <ns0:c r="AC303" s="16">
        <ns0:f>IF(AND(OR('前提と出典'!$C$36+'前提と出典'!$C$38=0,R303&gt;=0),OR('前提と出典'!$C$37+'前提と出典'!$C$38=0,S303&gt;=0)),0,A303)</ns0:f>
        <ns0:v>0</ns0:v>
      </ns0:c>
      <ns0:c r="AD303" s="7">
        <ns0:f>IF(W303&gt;=0,A303,1001)</ns0:f>
        <ns0:v>299</ns0:v>
      </ns0:c>
      <ns0:c r="AE303" s="7">
        <ns0:f>IF(W303&lt;0,A303,0)</ns0:f>
        <ns0:v>0</ns0:v>
      </ns0:c>
      <ns0:c r="AF303" s="16">
        <ns0:f>IF(AND(OR('前提と出典'!$C$36+'前提と出典'!$C$38=0,U303&gt;=0),OR('前提と出典'!$C$37+'前提と出典'!$C$38=0,V303&gt;=0)),0,A303)</ns0:f>
        <ns0:v>0</ns0:v>
      </ns0:c>
      <ns0:c r="AG303" s="7">
        <ns0:f>IF(Z303&gt;=0,A303,1001)</ns0:f>
        <ns0:v>299</ns0:v>
      </ns0:c>
      <ns0:c r="AH303" s="4">
        <ns0:f>IF(Z303&lt;0,A303,0)</ns0:f>
        <ns0:v>0</ns0:v>
      </ns0:c>
      <ns0:c r="AI303" s="12">
        <ns0:f>IF(AND(OR('前提と出典'!$C$36+'前提と出典'!$C$38=0,X303&gt;=0),OR('前提と出典'!$C$37+'前提と出典'!$C$38=0,Y303&gt;=0)),0,A303)</ns0:f>
        <ns0:v>0</ns0:v>
      </ns0:c>
    </ns0:row>
    <ns0:row r="304" ht="24" customHeight="1">
      <ns0:c r="A304" s="4" t="n">
        <ns0:v>300</ns0:v>
      </ns0:c>
      <ns0:c r="B304" s="12">
        <ns0:f>A304*('前提と出典'!$C$36+'前提と出典'!$C$38)</ns0:f>
        <ns0:v>210</ns0:v>
      </ns0:c>
      <ns0:c r="C304" s="12">
        <ns0:f>A304*('前提と出典'!$C$37+'前提と出典'!$C$38)</ns0:f>
        <ns0:v>180</ns0:v>
      </ns0:c>
      <ns0:c r="D304" s="16">
        <ns0:f>A304*('前提と出典'!$C$36*'契約別単価'!C5+'前提と出典'!$C$37*'契約別単価'!C6+'前提と出典'!$C$38*'契約別単価'!C7)</ns0:f>
        <ns0:v>2158.6592178770948</ns0:v>
      </ns0:c>
      <ns0:c r="E304" s="16">
        <ns0:f>A304*('前提と出典'!$C$36*'契約別単価'!E5+'前提と出典'!$C$37*'契約別単価'!E6+'前提と出典'!$C$38*'契約別単価'!E7)</ns0:f>
        <ns0:v>580483.3970197098</ns0:v>
      </ns0:c>
      <ns0:c r="F304" s="16">
        <ns0:f>A304*('前提と出典'!$C$36*'契約別単価'!F5+'前提と出典'!$C$37*'契約別単価'!F6+'前提と出典'!$C$38*'契約別単価'!F7)</ns0:f>
        <ns0:v>227818.64391120165</ns0:v>
      </ns0:c>
      <ns0:c r="G304" s="16">
        <ns0:f>A304*('前提と出典'!$C$36*'契約別単価'!G5+'前提と出典'!$C$37*'契約別単価'!G6+'前提と出典'!$C$38*'契約別単価'!G7)</ns0:f>
        <ns0:v>597150.8379888268</ns0:v>
      </ns0:c>
      <ns0:c r="H304" s="16">
        <ns0:f>A304*('前提と出典'!$C$36*'契約別単価'!H5+'前提と出典'!$C$37*'契約別単価'!H6+'前提と出典'!$C$38*'契約別単価'!H7)</ns0:f>
        <ns0:v>207241.29025013332</ns0:v>
      </ns0:c>
      <ns0:c r="I304" s="16">
        <ns0:f>A304*('前提と出典'!$C$36*'契約別単価'!I5+'前提と出典'!$C$37*'契約別単価'!I6+'前提と出典'!$C$38*'契約別単価'!I7)</ns0:f>
        <ns0:v>12658.659217877093</ns0:v>
      </ns0:c>
      <ns0:c r="J304" s="16">
        <ns0:f>A304*('前提と出典'!$C$36*'契約別単価'!J5+'前提と出典'!$C$37*'契約別単価'!J6+'前提と出典'!$C$38*'契約別単価'!J7)</ns0:f>
        <ns0:v>29486.86311309077</ns0:v>
      </ns0:c>
      <ns0:c r="K304" s="16">
        <ns0:f>A304*('前提と出典'!$C$36*'契約別単価'!K5+'前提と出典'!$C$37*'契約別単価'!K6+'前提と出典'!$C$38*'契約別単価'!K7)</ns0:f>
        <ns0:v>126391.06145251395</ns0:v>
      </ns0:c>
      <ns0:c r="L304" s="16">
        <ns0:f>A304*('前提と出典'!$C$36*'契約別単価'!L5+'前提と出典'!$C$37*'契約別単価'!L6+'前提と出典'!$C$38*'契約別単価'!L7)</ns0:f>
        <ns0:v>102908.04300833777</ns0:v>
      </ns0:c>
      <ns0:c r="M304" s="16">
        <ns0:f>IF(('前提と出典'!$C$36+'前提と出典'!$C$38)=0,0,IF(B304&lt;=10,'前提と出典'!B73+'前提と出典'!C73,IF(B304&lt;=100,'前提と出典'!B74+'前提と出典'!C74,IF(B304&lt;=500,'前提と出典'!B75+'前提と出典'!C75,'前提と出典'!B76+'前提と出典'!C76))))</ns0:f>
        <ns0:v>40000</ns0:v>
      </ns0:c>
      <ns0:c r="N304" s="16">
        <ns0:f>IF(('前提と出典'!$C$37+'前提と出典'!$C$38)=0,0,IF(C304&lt;=10,'前提と出典'!D73+'前提と出典'!E73,IF(C304&lt;=100,'前提と出典'!D74+'前提と出典'!E74,IF(C304&lt;=500,'前提と出典'!D75+'前提と出典'!E75,'前提と出典'!D76+'前提と出典'!E76))))</ns0:f>
        <ns0:v>56510.9346263078</ns0:v>
      </ns0:c>
      <ns0:c r="O304" s="16">
        <ns0:f>IF('前提と出典'!$C$36+'前提と出典'!$C$38=0,0,'前提と出典'!$B$4*IF('前提と出典'!$B$20=0,MAX('前提と出典'!$B$6,D304*'前提と出典'!$B$5),'前提と出典'!$B$6+D304*'前提と出典'!$B$5))</ns0:f>
        <ns0:v>297894.9720670391</ns0:v>
      </ns0:c>
      <ns0:c r="P304" s="16">
        <ns0:f>(E304+G304)*(1-'前提と出典'!$B$7)-I304-K304-M304-O304</ns0:f>
        <ns0:v>658294.7098107992</ns0:v>
      </ns0:c>
      <ns0:c r="Q304" s="16">
        <ns0:f>(F304+H304)*(1-'前提と出典'!$B$7)-J304-L304-N304</ns0:f>
        <ns0:v>230491.9357837906</ns0:v>
      </ns0:c>
      <ns0:c r="R304" s="16">
        <ns0:f>P304-E304*'前提と出典'!$E$4</ns0:f>
        <ns0:v>484149.69070488634</ns0:v>
      </ns0:c>
      <ns0:c r="S304" s="16">
        <ns0:f>Q304-F304*'前提と出典'!$E$4</ns0:f>
        <ns0:v>162146.3426104301</ns0:v>
      </ns0:c>
      <ns0:c r="T304" s="7">
        <ns0:f>R304+S304</ns0:f>
        <ns0:v>646296.0333153164</ns0:v>
      </ns0:c>
      <ns0:c r="U304" s="16">
        <ns0:f>P304-E304*'前提と出典'!$E$5</ns0:f>
        <ns0:v>426101.3510029153</ns0:v>
      </ns0:c>
      <ns0:c r="V304" s="16">
        <ns0:f>Q304-F304*'前提と出典'!$E$5</ns0:f>
        <ns0:v>139364.47821930994</ns0:v>
      </ns0:c>
      <ns0:c r="W304" s="7">
        <ns0:f>U304+V304</ns0:f>
        <ns0:v>565465.8292222252</ns0:v>
      </ns0:c>
      <ns0:c r="X304" s="16">
        <ns0:f>P304-E304*'前提と出典'!$E$6</ns0:f>
        <ns0:v>368053.01130094426</ns0:v>
      </ns0:c>
      <ns0:c r="Y304" s="16">
        <ns0:f>Q304-F304*'前提と出典'!$E$6</ns0:f>
        <ns0:v>116582.61382818979</ns0:v>
      </ns0:c>
      <ns0:c r="Z304" s="7">
        <ns0:f>X304+Y304</ns0:f>
        <ns0:v>484635.62512913404</ns0:v>
      </ns0:c>
      <ns0:c r="AA304" s="7">
        <ns0:f>IF(T304&gt;=0,A304,1001)</ns0:f>
        <ns0:v>300</ns0:v>
      </ns0:c>
      <ns0:c r="AB304" s="7">
        <ns0:f>IF(T304&lt;0,A304,0)</ns0:f>
        <ns0:v>0</ns0:v>
      </ns0:c>
      <ns0:c r="AC304" s="16">
        <ns0:f>IF(AND(OR('前提と出典'!$C$36+'前提と出典'!$C$38=0,R304&gt;=0),OR('前提と出典'!$C$37+'前提と出典'!$C$38=0,S304&gt;=0)),0,A304)</ns0:f>
        <ns0:v>0</ns0:v>
      </ns0:c>
      <ns0:c r="AD304" s="7">
        <ns0:f>IF(W304&gt;=0,A304,1001)</ns0:f>
        <ns0:v>300</ns0:v>
      </ns0:c>
      <ns0:c r="AE304" s="7">
        <ns0:f>IF(W304&lt;0,A304,0)</ns0:f>
        <ns0:v>0</ns0:v>
      </ns0:c>
      <ns0:c r="AF304" s="16">
        <ns0:f>IF(AND(OR('前提と出典'!$C$36+'前提と出典'!$C$38=0,U304&gt;=0),OR('前提と出典'!$C$37+'前提と出典'!$C$38=0,V304&gt;=0)),0,A304)</ns0:f>
        <ns0:v>0</ns0:v>
      </ns0:c>
      <ns0:c r="AG304" s="7">
        <ns0:f>IF(Z304&gt;=0,A304,1001)</ns0:f>
        <ns0:v>300</ns0:v>
      </ns0:c>
      <ns0:c r="AH304" s="4">
        <ns0:f>IF(Z304&lt;0,A304,0)</ns0:f>
        <ns0:v>0</ns0:v>
      </ns0:c>
      <ns0:c r="AI304" s="12">
        <ns0:f>IF(AND(OR('前提と出典'!$C$36+'前提と出典'!$C$38=0,X304&gt;=0),OR('前提と出典'!$C$37+'前提と出典'!$C$38=0,Y304&gt;=0)),0,A304)</ns0:f>
        <ns0:v>0</ns0:v>
      </ns0:c>
    </ns0:row>
    <ns0:row r="305" ht="24" customHeight="1">
      <ns0:c r="A305" s="4" t="n">
        <ns0:v>301</ns0:v>
      </ns0:c>
      <ns0:c r="B305" s="12">
        <ns0:f>A305*('前提と出典'!$C$36+'前提と出典'!$C$38)</ns0:f>
        <ns0:v>210.7</ns0:v>
      </ns0:c>
      <ns0:c r="C305" s="12">
        <ns0:f>A305*('前提と出典'!$C$37+'前提と出典'!$C$38)</ns0:f>
        <ns0:v>180.6</ns0:v>
      </ns0:c>
      <ns0:c r="D305" s="16">
        <ns0:f>A305*('前提と出典'!$C$36*'契約別単価'!C5+'前提と出典'!$C$37*'契約別単価'!C6+'前提と出典'!$C$38*'契約別単価'!C7)</ns0:f>
        <ns0:v>2165.854748603352</ns0:v>
      </ns0:c>
      <ns0:c r="E305" s="16">
        <ns0:f>A305*('前提と出典'!$C$36*'契約別単価'!E5+'前提と出典'!$C$37*'契約別単価'!E6+'前提と出典'!$C$38*'契約別単価'!E7)</ns0:f>
        <ns0:v>582418.3416764422</ns0:v>
      </ns0:c>
      <ns0:c r="F305" s="16">
        <ns0:f>A305*('前提と出典'!$C$36*'契約別単価'!F5+'前提と出典'!$C$37*'契約別単価'!F6+'前提と出典'!$C$38*'契約別単価'!F7)</ns0:f>
        <ns0:v>228578.03939090567</ns0:v>
      </ns0:c>
      <ns0:c r="G305" s="16">
        <ns0:f>A305*('前提と出典'!$C$36*'契約別単価'!G5+'前提と出典'!$C$37*'契約別単価'!G6+'前提と出典'!$C$38*'契約別単価'!G7)</ns0:f>
        <ns0:v>599141.3407821229</ns0:v>
      </ns0:c>
      <ns0:c r="H305" s="16">
        <ns0:f>A305*('前提と出典'!$C$36*'契約別単価'!H5+'前提と出典'!$C$37*'契約別単価'!H6+'前提と出典'!$C$38*'契約別単価'!H7)</ns0:f>
        <ns0:v>207932.09455096707</ns0:v>
      </ns0:c>
      <ns0:c r="I305" s="16">
        <ns0:f>A305*('前提と出典'!$C$36*'契約別単価'!I5+'前提と出典'!$C$37*'契約別単価'!I6+'前提と出典'!$C$38*'契約別単価'!I7)</ns0:f>
        <ns0:v>12700.85474860335</ns0:v>
      </ns0:c>
      <ns0:c r="J305" s="16">
        <ns0:f>A305*('前提と出典'!$C$36*'契約別単価'!J5+'前提と出典'!$C$37*'契約別単価'!J6+'前提と出典'!$C$38*'契約別単価'!J7)</ns0:f>
        <ns0:v>29585.152656801074</ns0:v>
      </ns0:c>
      <ns0:c r="K305" s="16">
        <ns0:f>A305*('前提と出典'!$C$36*'契約別単価'!K5+'前提と出典'!$C$37*'契約別単価'!K6+'前提と出典'!$C$38*'契約別単価'!K7)</ns0:f>
        <ns0:v>126812.364990689</ns0:v>
      </ns0:c>
      <ns0:c r="L305" s="16">
        <ns0:f>A305*('前提と出典'!$C$36*'契約別単価'!L5+'前提と出典'!$C$37*'契約別単価'!L6+'前提と出典'!$C$38*'契約別単価'!L7)</ns0:f>
        <ns0:v>103251.06981836556</ns0:v>
      </ns0:c>
      <ns0:c r="M305" s="16">
        <ns0:f>IF(('前提と出典'!$C$36+'前提と出典'!$C$38)=0,0,IF(B305&lt;=10,'前提と出典'!B73+'前提と出典'!C73,IF(B305&lt;=100,'前提と出典'!B74+'前提と出典'!C74,IF(B305&lt;=500,'前提と出典'!B75+'前提と出典'!C75,'前提と出典'!B76+'前提と出典'!C76))))</ns0:f>
        <ns0:v>40000</ns0:v>
      </ns0:c>
      <ns0:c r="N305" s="16">
        <ns0:f>IF(('前提と出典'!$C$37+'前提と出典'!$C$38)=0,0,IF(C305&lt;=10,'前提と出典'!D73+'前提と出典'!E73,IF(C305&lt;=100,'前提と出典'!D74+'前提と出典'!E74,IF(C305&lt;=500,'前提と出典'!D75+'前提と出典'!E75,'前提と出典'!D76+'前提と出典'!E76))))</ns0:f>
        <ns0:v>56510.9346263078</ns0:v>
      </ns0:c>
      <ns0:c r="O305" s="16">
        <ns0:f>IF('前提と出典'!$C$36+'前提と出典'!$C$38=0,0,'前提と出典'!$B$4*IF('前提と出典'!$B$20=0,MAX('前提と出典'!$B$6,D305*'前提と出典'!$B$5),'前提と出典'!$B$6+D305*'前提と出典'!$B$5))</ns0:f>
        <ns0:v>298887.9553072626</ns0:v>
      </ns0:c>
      <ns0:c r="P305" s="16">
        <ns0:f>(E305+G305)*(1-'前提と出典'!$B$7)-I305-K305-M305-O305</ns0:f>
        <ns0:v>660622.3588435019</ns0:v>
      </ns0:c>
      <ns0:c r="Q305" s="16">
        <ns0:f>(F305+H305)*(1-'前提と出典'!$B$7)-J305-L305-N305</ns0:f>
        <ns0:v>231448.61201849082</ns0:v>
      </ns0:c>
      <ns0:c r="R305" s="16">
        <ns0:f>P305-E305*'前提と出典'!$E$4</ns0:f>
        <ns0:v>485896.8563405692</ns0:v>
      </ns0:c>
      <ns0:c r="S305" s="16">
        <ns0:f>Q305-F305*'前提と出典'!$E$4</ns0:f>
        <ns0:v>162875.20020121912</ns0:v>
      </ns0:c>
      <ns0:c r="T305" s="7">
        <ns0:f>R305+S305</ns0:f>
        <ns0:v>648772.0565417884</ns0:v>
      </ns0:c>
      <ns0:c r="U305" s="16">
        <ns0:f>P305-E305*'前提と出典'!$E$5</ns0:f>
        <ns0:v>427655.02217292506</ns0:v>
      </ns0:c>
      <ns0:c r="V305" s="16">
        <ns0:f>Q305-F305*'前提と出典'!$E$5</ns0:f>
        <ns0:v>140017.39626212855</ns0:v>
      </ns0:c>
      <ns0:c r="W305" s="7">
        <ns0:f>U305+V305</ns0:f>
        <ns0:v>567672.4184350537</ns0:v>
      </ns0:c>
      <ns0:c r="X305" s="16">
        <ns0:f>P305-E305*'前提と出典'!$E$6</ns0:f>
        <ns0:v>369413.1880052808</ns0:v>
      </ns0:c>
      <ns0:c r="Y305" s="16">
        <ns0:f>Q305-F305*'前提と出典'!$E$6</ns0:f>
        <ns0:v>117159.59232303809</ns0:v>
      </ns0:c>
      <ns0:c r="Z305" s="7">
        <ns0:f>X305+Y305</ns0:f>
        <ns0:v>486572.7803283189</ns0:v>
      </ns0:c>
      <ns0:c r="AA305" s="7">
        <ns0:f>IF(T305&gt;=0,A305,1001)</ns0:f>
        <ns0:v>301</ns0:v>
      </ns0:c>
      <ns0:c r="AB305" s="7">
        <ns0:f>IF(T305&lt;0,A305,0)</ns0:f>
        <ns0:v>0</ns0:v>
      </ns0:c>
      <ns0:c r="AC305" s="16">
        <ns0:f>IF(AND(OR('前提と出典'!$C$36+'前提と出典'!$C$38=0,R305&gt;=0),OR('前提と出典'!$C$37+'前提と出典'!$C$38=0,S305&gt;=0)),0,A305)</ns0:f>
        <ns0:v>0</ns0:v>
      </ns0:c>
      <ns0:c r="AD305" s="7">
        <ns0:f>IF(W305&gt;=0,A305,1001)</ns0:f>
        <ns0:v>301</ns0:v>
      </ns0:c>
      <ns0:c r="AE305" s="7">
        <ns0:f>IF(W305&lt;0,A305,0)</ns0:f>
        <ns0:v>0</ns0:v>
      </ns0:c>
      <ns0:c r="AF305" s="16">
        <ns0:f>IF(AND(OR('前提と出典'!$C$36+'前提と出典'!$C$38=0,U305&gt;=0),OR('前提と出典'!$C$37+'前提と出典'!$C$38=0,V305&gt;=0)),0,A305)</ns0:f>
        <ns0:v>0</ns0:v>
      </ns0:c>
      <ns0:c r="AG305" s="7">
        <ns0:f>IF(Z305&gt;=0,A305,1001)</ns0:f>
        <ns0:v>301</ns0:v>
      </ns0:c>
      <ns0:c r="AH305" s="4">
        <ns0:f>IF(Z305&lt;0,A305,0)</ns0:f>
        <ns0:v>0</ns0:v>
      </ns0:c>
      <ns0:c r="AI305" s="12">
        <ns0:f>IF(AND(OR('前提と出典'!$C$36+'前提と出典'!$C$38=0,X305&gt;=0),OR('前提と出典'!$C$37+'前提と出典'!$C$38=0,Y305&gt;=0)),0,A305)</ns0:f>
        <ns0:v>0</ns0:v>
      </ns0:c>
    </ns0:row>
    <ns0:row r="306" ht="24" customHeight="1">
      <ns0:c r="A306" s="4" t="n">
        <ns0:v>302</ns0:v>
      </ns0:c>
      <ns0:c r="B306" s="12">
        <ns0:f>A306*('前提と出典'!$C$36+'前提と出典'!$C$38)</ns0:f>
        <ns0:v>211.39999999999998</ns0:v>
      </ns0:c>
      <ns0:c r="C306" s="12">
        <ns0:f>A306*('前提と出典'!$C$37+'前提と出典'!$C$38)</ns0:f>
        <ns0:v>181.2</ns0:v>
      </ns0:c>
      <ns0:c r="D306" s="16">
        <ns0:f>A306*('前提と出典'!$C$36*'契約別単価'!C5+'前提と出典'!$C$37*'契約別単価'!C6+'前提と出典'!$C$38*'契約別単価'!C7)</ns0:f>
        <ns0:v>2173.050279329609</ns0:v>
      </ns0:c>
      <ns0:c r="E306" s="16">
        <ns0:f>A306*('前提と出典'!$C$36*'契約別単価'!E5+'前提と出典'!$C$37*'契約別単価'!E6+'前提と出典'!$C$38*'契約別単価'!E7)</ns0:f>
        <ns0:v>584353.2863331746</ns0:v>
      </ns0:c>
      <ns0:c r="F306" s="16">
        <ns0:f>A306*('前提と出典'!$C$36*'契約別単価'!F5+'前提と出典'!$C$37*'契約別単価'!F6+'前提と出典'!$C$38*'契約別単価'!F7)</ns0:f>
        <ns0:v>229337.43487060966</ns0:v>
      </ns0:c>
      <ns0:c r="G306" s="16">
        <ns0:f>A306*('前提と出典'!$C$36*'契約別単価'!G5+'前提と出典'!$C$37*'契約別単価'!G6+'前提と出典'!$C$38*'契約別単価'!G7)</ns0:f>
        <ns0:v>601131.8435754189</ns0:v>
      </ns0:c>
      <ns0:c r="H306" s="16">
        <ns0:f>A306*('前提と出典'!$C$36*'契約別単価'!H5+'前提と出典'!$C$37*'契約別単価'!H6+'前提と出典'!$C$38*'契約別単価'!H7)</ns0:f>
        <ns0:v>208622.89885180086</ns0:v>
      </ns0:c>
      <ns0:c r="I306" s="16">
        <ns0:f>A306*('前提と出典'!$C$36*'契約別単価'!I5+'前提と出典'!$C$37*'契約別単価'!I6+'前提と出典'!$C$38*'契約別単価'!I7)</ns0:f>
        <ns0:v>12743.050279329607</ns0:v>
      </ns0:c>
      <ns0:c r="J306" s="16">
        <ns0:f>A306*('前提と出典'!$C$36*'契約別単価'!J5+'前提と出典'!$C$37*'契約別単価'!J6+'前提と出典'!$C$38*'契約別単価'!J7)</ns0:f>
        <ns0:v>29683.442200511374</ns0:v>
      </ns0:c>
      <ns0:c r="K306" s="16">
        <ns0:f>A306*('前提と出典'!$C$36*'契約別単価'!K5+'前提と出典'!$C$37*'契約別単価'!K6+'前提と出典'!$C$38*'契約別単価'!K7)</ns0:f>
        <ns0:v>127233.66852886404</ns0:v>
      </ns0:c>
      <ns0:c r="L306" s="16">
        <ns0:f>A306*('前提と出典'!$C$36*'契約別単価'!L5+'前提と出典'!$C$37*'契約別単価'!L6+'前提と出典'!$C$38*'契約別単価'!L7)</ns0:f>
        <ns0:v>103594.09662839335</ns0:v>
      </ns0:c>
      <ns0:c r="M306" s="16">
        <ns0:f>IF(('前提と出典'!$C$36+'前提と出典'!$C$38)=0,0,IF(B306&lt;=10,'前提と出典'!B73+'前提と出典'!C73,IF(B306&lt;=100,'前提と出典'!B74+'前提と出典'!C74,IF(B306&lt;=500,'前提と出典'!B75+'前提と出典'!C75,'前提と出典'!B76+'前提と出典'!C76))))</ns0:f>
        <ns0:v>40000</ns0:v>
      </ns0:c>
      <ns0:c r="N306" s="16">
        <ns0:f>IF(('前提と出典'!$C$37+'前提と出典'!$C$38)=0,0,IF(C306&lt;=10,'前提と出典'!D73+'前提と出典'!E73,IF(C306&lt;=100,'前提と出典'!D74+'前提と出典'!E74,IF(C306&lt;=500,'前提と出典'!D75+'前提と出典'!E75,'前提と出典'!D76+'前提と出典'!E76))))</ns0:f>
        <ns0:v>56510.9346263078</ns0:v>
      </ns0:c>
      <ns0:c r="O306" s="16">
        <ns0:f>IF('前提と出典'!$C$36+'前提と出典'!$C$38=0,0,'前提と出典'!$B$4*IF('前提と出典'!$B$20=0,MAX('前提と出典'!$B$6,D306*'前提と出典'!$B$5),'前提と出典'!$B$6+D306*'前提と出典'!$B$5))</ns0:f>
        <ns0:v>299880.9385474861</ns0:v>
      </ns0:c>
      <ns0:c r="P306" s="16">
        <ns0:f>(E306+G306)*(1-'前提と出典'!$B$7)-I306-K306-M306-O306</ns0:f>
        <ns0:v>662950.0078762042</ns0:v>
      </ns0:c>
      <ns0:c r="Q306" s="16">
        <ns0:f>(F306+H306)*(1-'前提と出典'!$B$7)-J306-L306-N306</ns0:f>
        <ns0:v>232405.28825319122</ns0:v>
      </ns0:c>
      <ns0:c r="R306" s="16">
        <ns0:f>P306-E306*'前提と出典'!$E$4</ns0:f>
        <ns0:v>487644.02197625185</ns0:v>
      </ns0:c>
      <ns0:c r="S306" s="16">
        <ns0:f>Q306-F306*'前提と出典'!$E$4</ns0:f>
        <ns0:v>163604.05779200833</ns0:v>
      </ns0:c>
      <ns0:c r="T306" s="7">
        <ns0:f>R306+S306</ns0:f>
        <ns0:v>651248.0797682602</ns0:v>
      </ns0:c>
      <ns0:c r="U306" s="16">
        <ns0:f>P306-E306*'前提と出典'!$E$5</ns0:f>
        <ns0:v>429208.69334293436</ns0:v>
      </ns0:c>
      <ns0:c r="V306" s="16">
        <ns0:f>Q306-F306*'前提と出典'!$E$5</ns0:f>
        <ns0:v>140670.31430494733</ns0:v>
      </ns0:c>
      <ns0:c r="W306" s="7">
        <ns0:f>U306+V306</ns0:f>
        <ns0:v>569879.0076478818</ns0:v>
      </ns0:c>
      <ns0:c r="X306" s="16">
        <ns0:f>P306-E306*'前提と出典'!$E$6</ns0:f>
        <ns0:v>370773.364709617</ns0:v>
      </ns0:c>
      <ns0:c r="Y306" s="16">
        <ns0:f>Q306-F306*'前提と出典'!$E$6</ns0:f>
        <ns0:v>117736.57081788633</ns0:v>
      </ns0:c>
      <ns0:c r="Z306" s="7">
        <ns0:f>X306+Y306</ns0:f>
        <ns0:v>488509.9355275033</ns0:v>
      </ns0:c>
      <ns0:c r="AA306" s="7">
        <ns0:f>IF(T306&gt;=0,A306,1001)</ns0:f>
        <ns0:v>302</ns0:v>
      </ns0:c>
      <ns0:c r="AB306" s="7">
        <ns0:f>IF(T306&lt;0,A306,0)</ns0:f>
        <ns0:v>0</ns0:v>
      </ns0:c>
      <ns0:c r="AC306" s="16">
        <ns0:f>IF(AND(OR('前提と出典'!$C$36+'前提と出典'!$C$38=0,R306&gt;=0),OR('前提と出典'!$C$37+'前提と出典'!$C$38=0,S306&gt;=0)),0,A306)</ns0:f>
        <ns0:v>0</ns0:v>
      </ns0:c>
      <ns0:c r="AD306" s="7">
        <ns0:f>IF(W306&gt;=0,A306,1001)</ns0:f>
        <ns0:v>302</ns0:v>
      </ns0:c>
      <ns0:c r="AE306" s="7">
        <ns0:f>IF(W306&lt;0,A306,0)</ns0:f>
        <ns0:v>0</ns0:v>
      </ns0:c>
      <ns0:c r="AF306" s="16">
        <ns0:f>IF(AND(OR('前提と出典'!$C$36+'前提と出典'!$C$38=0,U306&gt;=0),OR('前提と出典'!$C$37+'前提と出典'!$C$38=0,V306&gt;=0)),0,A306)</ns0:f>
        <ns0:v>0</ns0:v>
      </ns0:c>
      <ns0:c r="AG306" s="7">
        <ns0:f>IF(Z306&gt;=0,A306,1001)</ns0:f>
        <ns0:v>302</ns0:v>
      </ns0:c>
      <ns0:c r="AH306" s="4">
        <ns0:f>IF(Z306&lt;0,A306,0)</ns0:f>
        <ns0:v>0</ns0:v>
      </ns0:c>
      <ns0:c r="AI306" s="12">
        <ns0:f>IF(AND(OR('前提と出典'!$C$36+'前提と出典'!$C$38=0,X306&gt;=0),OR('前提と出典'!$C$37+'前提と出典'!$C$38=0,Y306&gt;=0)),0,A306)</ns0:f>
        <ns0:v>0</ns0:v>
      </ns0:c>
    </ns0:row>
    <ns0:row r="307" ht="24" customHeight="1">
      <ns0:c r="A307" s="4" t="n">
        <ns0:v>303</ns0:v>
      </ns0:c>
      <ns0:c r="B307" s="12">
        <ns0:f>A307*('前提と出典'!$C$36+'前提と出典'!$C$38)</ns0:f>
        <ns0:v>212.1</ns0:v>
      </ns0:c>
      <ns0:c r="C307" s="12">
        <ns0:f>A307*('前提と出典'!$C$37+'前提と出典'!$C$38)</ns0:f>
        <ns0:v>181.79999999999998</ns0:v>
      </ns0:c>
      <ns0:c r="D307" s="16">
        <ns0:f>A307*('前提と出典'!$C$36*'契約別単価'!C5+'前提と出典'!$C$37*'契約別単価'!C6+'前提と出典'!$C$38*'契約別単価'!C7)</ns0:f>
        <ns0:v>2180.245810055866</ns0:v>
      </ns0:c>
      <ns0:c r="E307" s="16">
        <ns0:f>A307*('前提と出典'!$C$36*'契約別単価'!E5+'前提と出典'!$C$37*'契約別単価'!E6+'前提と出典'!$C$38*'契約別単価'!E7)</ns0:f>
        <ns0:v>586288.2309899069</ns0:v>
      </ns0:c>
      <ns0:c r="F307" s="16">
        <ns0:f>A307*('前提と出典'!$C$36*'契約別単価'!F5+'前提と出典'!$C$37*'契約別単価'!F6+'前提と出典'!$C$38*'契約別単価'!F7)</ns0:f>
        <ns0:v>230096.83035031368</ns0:v>
      </ns0:c>
      <ns0:c r="G307" s="16">
        <ns0:f>A307*('前提と出典'!$C$36*'契約別単価'!G5+'前提と出典'!$C$37*'契約別単価'!G6+'前提と出典'!$C$38*'契約別単価'!G7)</ns0:f>
        <ns0:v>603122.346368715</ns0:v>
      </ns0:c>
      <ns0:c r="H307" s="16">
        <ns0:f>A307*('前提と出典'!$C$36*'契約別単価'!H5+'前提と出典'!$C$37*'契約別単価'!H6+'前提と出典'!$C$38*'契約別単価'!H7)</ns0:f>
        <ns0:v>209313.70315263464</ns0:v>
      </ns0:c>
      <ns0:c r="I307" s="16">
        <ns0:f>A307*('前提と出典'!$C$36*'契約別単価'!I5+'前提と出典'!$C$37*'契約別単価'!I6+'前提と出典'!$C$38*'契約別単価'!I7)</ns0:f>
        <ns0:v>12785.245810055863</ns0:v>
      </ns0:c>
      <ns0:c r="J307" s="16">
        <ns0:f>A307*('前提と出典'!$C$36*'契約別単価'!J5+'前提と出典'!$C$37*'契約別単価'!J6+'前提と出典'!$C$38*'契約別単価'!J7)</ns0:f>
        <ns0:v>29781.731744221677</ns0:v>
      </ns0:c>
      <ns0:c r="K307" s="16">
        <ns0:f>A307*('前提と出典'!$C$36*'契約別単価'!K5+'前提と出典'!$C$37*'契約別単価'!K6+'前提と出典'!$C$38*'契約別単価'!K7)</ns0:f>
        <ns0:v>127654.9720670391</ns0:v>
      </ns0:c>
      <ns0:c r="L307" s="16">
        <ns0:f>A307*('前提と出典'!$C$36*'契約別単価'!L5+'前提と出典'!$C$37*'契約別単価'!L6+'前提と出典'!$C$38*'契約別単価'!L7)</ns0:f>
        <ns0:v>103937.12343842116</ns0:v>
      </ns0:c>
      <ns0:c r="M307" s="16">
        <ns0:f>IF(('前提と出典'!$C$36+'前提と出典'!$C$38)=0,0,IF(B307&lt;=10,'前提と出典'!B73+'前提と出典'!C73,IF(B307&lt;=100,'前提と出典'!B74+'前提と出典'!C74,IF(B307&lt;=500,'前提と出典'!B75+'前提と出典'!C75,'前提と出典'!B76+'前提と出典'!C76))))</ns0:f>
        <ns0:v>40000</ns0:v>
      </ns0:c>
      <ns0:c r="N307" s="16">
        <ns0:f>IF(('前提と出典'!$C$37+'前提と出典'!$C$38)=0,0,IF(C307&lt;=10,'前提と出典'!D73+'前提と出典'!E73,IF(C307&lt;=100,'前提と出典'!D74+'前提と出典'!E74,IF(C307&lt;=500,'前提と出典'!D75+'前提と出典'!E75,'前提と出典'!D76+'前提と出典'!E76))))</ns0:f>
        <ns0:v>56510.9346263078</ns0:v>
      </ns0:c>
      <ns0:c r="O307" s="16">
        <ns0:f>IF('前提と出典'!$C$36+'前提と出典'!$C$38=0,0,'前提と出典'!$B$4*IF('前提と出典'!$B$20=0,MAX('前提と出典'!$B$6,D307*'前提と出典'!$B$5),'前提と出典'!$B$6+D307*'前提と出典'!$B$5))</ns0:f>
        <ns0:v>300873.9217877095</ns0:v>
      </ns0:c>
      <ns0:c r="P307" s="16">
        <ns0:f>(E307+G307)*(1-'前提と出典'!$B$7)-I307-K307-M307-O307</ns0:f>
        <ns0:v>665277.6569089072</ns0:v>
      </ns0:c>
      <ns0:c r="Q307" s="16">
        <ns0:f>(F307+H307)*(1-'前提と出典'!$B$7)-J307-L307-N307</ns0:f>
        <ns0:v>233361.96448789153</ns0:v>
      </ns0:c>
      <ns0:c r="R307" s="16">
        <ns0:f>P307-E307*'前提と出典'!$E$4</ns0:f>
        <ns0:v>489391.18761193514</ns0:v>
      </ns0:c>
      <ns0:c r="S307" s="16">
        <ns0:f>Q307-F307*'前提と出典'!$E$4</ns0:f>
        <ns0:v>164332.91538279742</ns0:v>
      </ns0:c>
      <ns0:c r="T307" s="7">
        <ns0:f>R307+S307</ns0:f>
        <ns0:v>653724.1029947326</ns0:v>
      </ns0:c>
      <ns0:c r="U307" s="16">
        <ns0:f>P307-E307*'前提と出典'!$E$5</ns0:f>
        <ns0:v>430762.3645129444</ns0:v>
      </ns0:c>
      <ns0:c r="V307" s="16">
        <ns0:f>Q307-F307*'前提と出典'!$E$5</ns0:f>
        <ns0:v>141323.23234776605</ns0:v>
      </ns0:c>
      <ns0:c r="W307" s="7">
        <ns0:f>U307+V307</ns0:f>
        <ns0:v>572085.5968607105</ns0:v>
      </ns0:c>
      <ns0:c r="X307" s="16">
        <ns0:f>P307-E307*'前提と出典'!$E$6</ns0:f>
        <ns0:v>372133.5414139537</ns0:v>
      </ns0:c>
      <ns0:c r="Y307" s="16">
        <ns0:f>Q307-F307*'前提と出典'!$E$6</ns0:f>
        <ns0:v>118313.54931273469</ns0:v>
      </ns0:c>
      <ns0:c r="Z307" s="7">
        <ns0:f>X307+Y307</ns0:f>
        <ns0:v>490447.0907266884</ns0:v>
      </ns0:c>
      <ns0:c r="AA307" s="7">
        <ns0:f>IF(T307&gt;=0,A307,1001)</ns0:f>
        <ns0:v>303</ns0:v>
      </ns0:c>
      <ns0:c r="AB307" s="7">
        <ns0:f>IF(T307&lt;0,A307,0)</ns0:f>
        <ns0:v>0</ns0:v>
      </ns0:c>
      <ns0:c r="AC307" s="16">
        <ns0:f>IF(AND(OR('前提と出典'!$C$36+'前提と出典'!$C$38=0,R307&gt;=0),OR('前提と出典'!$C$37+'前提と出典'!$C$38=0,S307&gt;=0)),0,A307)</ns0:f>
        <ns0:v>0</ns0:v>
      </ns0:c>
      <ns0:c r="AD307" s="7">
        <ns0:f>IF(W307&gt;=0,A307,1001)</ns0:f>
        <ns0:v>303</ns0:v>
      </ns0:c>
      <ns0:c r="AE307" s="7">
        <ns0:f>IF(W307&lt;0,A307,0)</ns0:f>
        <ns0:v>0</ns0:v>
      </ns0:c>
      <ns0:c r="AF307" s="16">
        <ns0:f>IF(AND(OR('前提と出典'!$C$36+'前提と出典'!$C$38=0,U307&gt;=0),OR('前提と出典'!$C$37+'前提と出典'!$C$38=0,V307&gt;=0)),0,A307)</ns0:f>
        <ns0:v>0</ns0:v>
      </ns0:c>
      <ns0:c r="AG307" s="7">
        <ns0:f>IF(Z307&gt;=0,A307,1001)</ns0:f>
        <ns0:v>303</ns0:v>
      </ns0:c>
      <ns0:c r="AH307" s="4">
        <ns0:f>IF(Z307&lt;0,A307,0)</ns0:f>
        <ns0:v>0</ns0:v>
      </ns0:c>
      <ns0:c r="AI307" s="12">
        <ns0:f>IF(AND(OR('前提と出典'!$C$36+'前提と出典'!$C$38=0,X307&gt;=0),OR('前提と出典'!$C$37+'前提と出典'!$C$38=0,Y307&gt;=0)),0,A307)</ns0:f>
        <ns0:v>0</ns0:v>
      </ns0:c>
    </ns0:row>
    <ns0:row r="308" ht="24" customHeight="1">
      <ns0:c r="A308" s="4" t="n">
        <ns0:v>304</ns0:v>
      </ns0:c>
      <ns0:c r="B308" s="12">
        <ns0:f>A308*('前提と出典'!$C$36+'前提と出典'!$C$38)</ns0:f>
        <ns0:v>212.79999999999998</ns0:v>
      </ns0:c>
      <ns0:c r="C308" s="12">
        <ns0:f>A308*('前提と出典'!$C$37+'前提と出典'!$C$38)</ns0:f>
        <ns0:v>182.4</ns0:v>
      </ns0:c>
      <ns0:c r="D308" s="16">
        <ns0:f>A308*('前提と出典'!$C$36*'契約別単価'!C5+'前提と出典'!$C$37*'契約別単価'!C6+'前提と出典'!$C$38*'契約別単価'!C7)</ns0:f>
        <ns0:v>2187.441340782123</ns0:v>
      </ns0:c>
      <ns0:c r="E308" s="16">
        <ns0:f>A308*('前提と出典'!$C$36*'契約別単価'!E5+'前提と出典'!$C$37*'契約別単価'!E6+'前提と出典'!$C$38*'契約別単価'!E7)</ns0:f>
        <ns0:v>588223.1756466392</ns0:v>
      </ns0:c>
      <ns0:c r="F308" s="16">
        <ns0:f>A308*('前提と出典'!$C$36*'契約別単価'!F5+'前提と出典'!$C$37*'契約別単価'!F6+'前提と出典'!$C$38*'契約別単価'!F7)</ns0:f>
        <ns0:v>230856.22583001768</ns0:v>
      </ns0:c>
      <ns0:c r="G308" s="16">
        <ns0:f>A308*('前提と出典'!$C$36*'契約別単価'!G5+'前提と出典'!$C$37*'契約別単価'!G6+'前提と出典'!$C$38*'契約別単価'!G7)</ns0:f>
        <ns0:v>605112.8491620112</ns0:v>
      </ns0:c>
      <ns0:c r="H308" s="16">
        <ns0:f>A308*('前提と出典'!$C$36*'契約別単価'!H5+'前提と出典'!$C$37*'契約別単価'!H6+'前提と出典'!$C$38*'契約別単価'!H7)</ns0:f>
        <ns0:v>210004.50745346842</ns0:v>
      </ns0:c>
      <ns0:c r="I308" s="16">
        <ns0:f>A308*('前提と出典'!$C$36*'契約別単価'!I5+'前提と出典'!$C$37*'契約別単価'!I6+'前提と出典'!$C$38*'契約別単価'!I7)</ns0:f>
        <ns0:v>12827.441340782121</ns0:v>
      </ns0:c>
      <ns0:c r="J308" s="16">
        <ns0:f>A308*('前提と出典'!$C$36*'契約別単価'!J5+'前提と出典'!$C$37*'契約別単価'!J6+'前提と出典'!$C$38*'契約別単価'!J7)</ns0:f>
        <ns0:v>29880.02128793198</ns0:v>
      </ns0:c>
      <ns0:c r="K308" s="16">
        <ns0:f>A308*('前提と出典'!$C$36*'契約別単価'!K5+'前提と出典'!$C$37*'契約別単価'!K6+'前提と出典'!$C$38*'契約別単価'!K7)</ns0:f>
        <ns0:v>128076.27560521415</ns0:v>
      </ns0:c>
      <ns0:c r="L308" s="16">
        <ns0:f>A308*('前提と出典'!$C$36*'契約別単価'!L5+'前提と出典'!$C$37*'契約別単価'!L6+'前提と出典'!$C$38*'契約別単価'!L7)</ns0:f>
        <ns0:v>104280.15024844895</ns0:v>
      </ns0:c>
      <ns0:c r="M308" s="16">
        <ns0:f>IF(('前提と出典'!$C$36+'前提と出典'!$C$38)=0,0,IF(B308&lt;=10,'前提と出典'!B73+'前提と出典'!C73,IF(B308&lt;=100,'前提と出典'!B74+'前提と出典'!C74,IF(B308&lt;=500,'前提と出典'!B75+'前提と出典'!C75,'前提と出典'!B76+'前提と出典'!C76))))</ns0:f>
        <ns0:v>40000</ns0:v>
      </ns0:c>
      <ns0:c r="N308" s="16">
        <ns0:f>IF(('前提と出典'!$C$37+'前提と出典'!$C$38)=0,0,IF(C308&lt;=10,'前提と出典'!D73+'前提と出典'!E73,IF(C308&lt;=100,'前提と出典'!D74+'前提と出典'!E74,IF(C308&lt;=500,'前提と出典'!D75+'前提と出典'!E75,'前提と出典'!D76+'前提と出典'!E76))))</ns0:f>
        <ns0:v>56510.9346263078</ns0:v>
      </ns0:c>
      <ns0:c r="O308" s="16">
        <ns0:f>IF('前提と出典'!$C$36+'前提と出典'!$C$38=0,0,'前提と出典'!$B$4*IF('前提と出典'!$B$20=0,MAX('前提と出典'!$B$6,D308*'前提と出典'!$B$5),'前提と出典'!$B$6+D308*'前提と出典'!$B$5))</ns0:f>
        <ns0:v>301866.905027933</ns0:v>
      </ns0:c>
      <ns0:c r="P308" s="16">
        <ns0:f>(E308+G308)*(1-'前提と出典'!$B$7)-I308-K308-M308-O308</ns0:f>
        <ns0:v>667605.3059416098</ns0:v>
      </ns0:c>
      <ns0:c r="Q308" s="16">
        <ns0:f>(F308+H308)*(1-'前提と出典'!$B$7)-J308-L308-N308</ns0:f>
        <ns0:v>234318.64072259184</ns0:v>
      </ns0:c>
      <ns0:c r="R308" s="16">
        <ns0:f>P308-E308*'前提と出典'!$E$4</ns0:f>
        <ns0:v>491138.353247618</ns0:v>
      </ns0:c>
      <ns0:c r="S308" s="16">
        <ns0:f>Q308-F308*'前提と出典'!$E$4</ns0:f>
        <ns0:v>165061.7729735865</ns0:v>
      </ns0:c>
      <ns0:c r="T308" s="7">
        <ns0:f>R308+S308</ns0:f>
        <ns0:v>656200.1262212045</ns0:v>
      </ns0:c>
      <ns0:c r="U308" s="16">
        <ns0:f>P308-E308*'前提と出典'!$E$5</ns0:f>
        <ns0:v>432316.03568295407</ns0:v>
      </ns0:c>
      <ns0:c r="V308" s="16">
        <ns0:f>Q308-F308*'前提と出典'!$E$5</ns0:f>
        <ns0:v>141976.15039058478</ns0:v>
      </ns0:c>
      <ns0:c r="W308" s="7">
        <ns0:f>U308+V308</ns0:f>
        <ns0:v>574292.1860735388</ns0:v>
      </ns0:c>
      <ns0:c r="X308" s="16">
        <ns0:f>P308-E308*'前提と出典'!$E$6</ns0:f>
        <ns0:v>373493.7181182901</ns0:v>
      </ns0:c>
      <ns0:c r="Y308" s="16">
        <ns0:f>Q308-F308*'前提と出典'!$E$6</ns0:f>
        <ns0:v>118890.52780758298</ns0:v>
      </ns0:c>
      <ns0:c r="Z308" s="7">
        <ns0:f>X308+Y308</ns0:f>
        <ns0:v>492384.2459258731</ns0:v>
      </ns0:c>
      <ns0:c r="AA308" s="7">
        <ns0:f>IF(T308&gt;=0,A308,1001)</ns0:f>
        <ns0:v>304</ns0:v>
      </ns0:c>
      <ns0:c r="AB308" s="7">
        <ns0:f>IF(T308&lt;0,A308,0)</ns0:f>
        <ns0:v>0</ns0:v>
      </ns0:c>
      <ns0:c r="AC308" s="16">
        <ns0:f>IF(AND(OR('前提と出典'!$C$36+'前提と出典'!$C$38=0,R308&gt;=0),OR('前提と出典'!$C$37+'前提と出典'!$C$38=0,S308&gt;=0)),0,A308)</ns0:f>
        <ns0:v>0</ns0:v>
      </ns0:c>
      <ns0:c r="AD308" s="7">
        <ns0:f>IF(W308&gt;=0,A308,1001)</ns0:f>
        <ns0:v>304</ns0:v>
      </ns0:c>
      <ns0:c r="AE308" s="7">
        <ns0:f>IF(W308&lt;0,A308,0)</ns0:f>
        <ns0:v>0</ns0:v>
      </ns0:c>
      <ns0:c r="AF308" s="16">
        <ns0:f>IF(AND(OR('前提と出典'!$C$36+'前提と出典'!$C$38=0,U308&gt;=0),OR('前提と出典'!$C$37+'前提と出典'!$C$38=0,V308&gt;=0)),0,A308)</ns0:f>
        <ns0:v>0</ns0:v>
      </ns0:c>
      <ns0:c r="AG308" s="7">
        <ns0:f>IF(Z308&gt;=0,A308,1001)</ns0:f>
        <ns0:v>304</ns0:v>
      </ns0:c>
      <ns0:c r="AH308" s="4">
        <ns0:f>IF(Z308&lt;0,A308,0)</ns0:f>
        <ns0:v>0</ns0:v>
      </ns0:c>
      <ns0:c r="AI308" s="12">
        <ns0:f>IF(AND(OR('前提と出典'!$C$36+'前提と出典'!$C$38=0,X308&gt;=0),OR('前提と出典'!$C$37+'前提と出典'!$C$38=0,Y308&gt;=0)),0,A308)</ns0:f>
        <ns0:v>0</ns0:v>
      </ns0:c>
    </ns0:row>
    <ns0:row r="309" ht="24" customHeight="1">
      <ns0:c r="A309" s="4" t="n">
        <ns0:v>305</ns0:v>
      </ns0:c>
      <ns0:c r="B309" s="12">
        <ns0:f>A309*('前提と出典'!$C$36+'前提と出典'!$C$38)</ns0:f>
        <ns0:v>213.5</ns0:v>
      </ns0:c>
      <ns0:c r="C309" s="12">
        <ns0:f>A309*('前提と出典'!$C$37+'前提と出典'!$C$38)</ns0:f>
        <ns0:v>183</ns0:v>
      </ns0:c>
      <ns0:c r="D309" s="16">
        <ns0:f>A309*('前提と出典'!$C$36*'契約別単価'!C5+'前提と出典'!$C$37*'契約別単価'!C6+'前提と出典'!$C$38*'契約別単価'!C7)</ns0:f>
        <ns0:v>2194.63687150838</ns0:v>
      </ns0:c>
      <ns0:c r="E309" s="16">
        <ns0:f>A309*('前提と出典'!$C$36*'契約別単価'!E5+'前提と出典'!$C$37*'契約別単価'!E6+'前提と出典'!$C$38*'契約別単価'!E7)</ns0:f>
        <ns0:v>590158.1203033716</ns0:v>
      </ns0:c>
      <ns0:c r="F309" s="16">
        <ns0:f>A309*('前提と出典'!$C$36*'契約別単価'!F5+'前提と出典'!$C$37*'契約別単価'!F6+'前提と出典'!$C$38*'契約別単価'!F7)</ns0:f>
        <ns0:v>231615.6213097217</ns0:v>
      </ns0:c>
      <ns0:c r="G309" s="16">
        <ns0:f>A309*('前提と出典'!$C$36*'契約別単価'!G5+'前提と出典'!$C$37*'契約別単価'!G6+'前提と出典'!$C$38*'契約別単価'!G7)</ns0:f>
        <ns0:v>607103.3519553072</ns0:v>
      </ns0:c>
      <ns0:c r="H309" s="16">
        <ns0:f>A309*('前提と出典'!$C$36*'契約別単価'!H5+'前提と出典'!$C$37*'契約別単価'!H6+'前提と出典'!$C$38*'契約別単価'!H7)</ns0:f>
        <ns0:v>210695.3117543022</ns0:v>
      </ns0:c>
      <ns0:c r="I309" s="16">
        <ns0:f>A309*('前提と出典'!$C$36*'契約別単価'!I5+'前提と出典'!$C$37*'契約別単価'!I6+'前提と出典'!$C$38*'契約別単価'!I7)</ns0:f>
        <ns0:v>12869.636871508377</ns0:v>
      </ns0:c>
      <ns0:c r="J309" s="16">
        <ns0:f>A309*('前提と出典'!$C$36*'契約別単価'!J5+'前提と出典'!$C$37*'契約別単価'!J6+'前提と出典'!$C$38*'契約別単価'!J7)</ns0:f>
        <ns0:v>29978.310831642284</ns0:v>
      </ns0:c>
      <ns0:c r="K309" s="16">
        <ns0:f>A309*('前提と出典'!$C$36*'契約別単価'!K5+'前提と出典'!$C$37*'契約別単価'!K6+'前提と出典'!$C$38*'契約別単価'!K7)</ns0:f>
        <ns0:v>128497.57914338919</ns0:v>
      </ns0:c>
      <ns0:c r="L309" s="16">
        <ns0:f>A309*('前提と出典'!$C$36*'契約別単価'!L5+'前提と出典'!$C$37*'契約別単価'!L6+'前提と出典'!$C$38*'契約別単価'!L7)</ns0:f>
        <ns0:v>104623.17705847674</ns0:v>
      </ns0:c>
      <ns0:c r="M309" s="16">
        <ns0:f>IF(('前提と出典'!$C$36+'前提と出典'!$C$38)=0,0,IF(B309&lt;=10,'前提と出典'!B73+'前提と出典'!C73,IF(B309&lt;=100,'前提と出典'!B74+'前提と出典'!C74,IF(B309&lt;=500,'前提と出典'!B75+'前提と出典'!C75,'前提と出典'!B76+'前提と出典'!C76))))</ns0:f>
        <ns0:v>40000</ns0:v>
      </ns0:c>
      <ns0:c r="N309" s="16">
        <ns0:f>IF(('前提と出典'!$C$37+'前提と出典'!$C$38)=0,0,IF(C309&lt;=10,'前提と出典'!D73+'前提と出典'!E73,IF(C309&lt;=100,'前提と出典'!D74+'前提と出典'!E74,IF(C309&lt;=500,'前提と出典'!D75+'前提と出典'!E75,'前提と出典'!D76+'前提と出典'!E76))))</ns0:f>
        <ns0:v>56510.9346263078</ns0:v>
      </ns0:c>
      <ns0:c r="O309" s="16">
        <ns0:f>IF('前提と出典'!$C$36+'前提と出典'!$C$38=0,0,'前提と出典'!$B$4*IF('前提と出典'!$B$20=0,MAX('前提と出典'!$B$6,D309*'前提と出典'!$B$5),'前提と出典'!$B$6+D309*'前提と出典'!$B$5))</ns0:f>
        <ns0:v>302859.88826815644</ns0:v>
      </ns0:c>
      <ns0:c r="P309" s="16">
        <ns0:f>(E309+G309)*(1-'前提と出典'!$B$7)-I309-K309-M309-O309</ns0:f>
        <ns0:v>669932.9549743123</ns0:v>
      </ns0:c>
      <ns0:c r="Q309" s="16">
        <ns0:f>(F309+H309)*(1-'前提と出典'!$B$7)-J309-L309-N309</ns0:f>
        <ns0:v>235275.3169572922</ns0:v>
      </ns0:c>
      <ns0:c r="R309" s="16">
        <ns0:f>P309-E309*'前提と出典'!$E$4</ns0:f>
        <ns0:v>492885.5188833007</ns0:v>
      </ns0:c>
      <ns0:c r="S309" s="16">
        <ns0:f>Q309-F309*'前提と出典'!$E$4</ns0:f>
        <ns0:v>165790.63056437566</ns0:v>
      </ns0:c>
      <ns0:c r="T309" s="7">
        <ns0:f>R309+S309</ns0:f>
        <ns0:v>658676.1494476764</ns0:v>
      </ns0:c>
      <ns0:c r="U309" s="16">
        <ns0:f>P309-E309*'前提と出典'!$E$5</ns0:f>
        <ns0:v>433869.70685296366</ns0:v>
      </ns0:c>
      <ns0:c r="V309" s="16">
        <ns0:f>Q309-F309*'前提と出典'!$E$5</ns0:f>
        <ns0:v>142629.0684334035</ns0:v>
      </ns0:c>
      <ns0:c r="W309" s="7">
        <ns0:f>U309+V309</ns0:f>
        <ns0:v>576498.7752863672</ns0:v>
      </ns0:c>
      <ns0:c r="X309" s="16">
        <ns0:f>P309-E309*'前提と出典'!$E$6</ns0:f>
        <ns0:v>374853.8948226266</ns0:v>
      </ns0:c>
      <ns0:c r="Y309" s="16">
        <ns0:f>Q309-F309*'前提と出典'!$E$6</ns0:f>
        <ns0:v>119467.50630243134</ns0:v>
      </ns0:c>
      <ns0:c r="Z309" s="7">
        <ns0:f>X309+Y309</ns0:f>
        <ns0:v>494321.40112505795</ns0:v>
      </ns0:c>
      <ns0:c r="AA309" s="7">
        <ns0:f>IF(T309&gt;=0,A309,1001)</ns0:f>
        <ns0:v>305</ns0:v>
      </ns0:c>
      <ns0:c r="AB309" s="7">
        <ns0:f>IF(T309&lt;0,A309,0)</ns0:f>
        <ns0:v>0</ns0:v>
      </ns0:c>
      <ns0:c r="AC309" s="16">
        <ns0:f>IF(AND(OR('前提と出典'!$C$36+'前提と出典'!$C$38=0,R309&gt;=0),OR('前提と出典'!$C$37+'前提と出典'!$C$38=0,S309&gt;=0)),0,A309)</ns0:f>
        <ns0:v>0</ns0:v>
      </ns0:c>
      <ns0:c r="AD309" s="7">
        <ns0:f>IF(W309&gt;=0,A309,1001)</ns0:f>
        <ns0:v>305</ns0:v>
      </ns0:c>
      <ns0:c r="AE309" s="7">
        <ns0:f>IF(W309&lt;0,A309,0)</ns0:f>
        <ns0:v>0</ns0:v>
      </ns0:c>
      <ns0:c r="AF309" s="16">
        <ns0:f>IF(AND(OR('前提と出典'!$C$36+'前提と出典'!$C$38=0,U309&gt;=0),OR('前提と出典'!$C$37+'前提と出典'!$C$38=0,V309&gt;=0)),0,A309)</ns0:f>
        <ns0:v>0</ns0:v>
      </ns0:c>
      <ns0:c r="AG309" s="7">
        <ns0:f>IF(Z309&gt;=0,A309,1001)</ns0:f>
        <ns0:v>305</ns0:v>
      </ns0:c>
      <ns0:c r="AH309" s="4">
        <ns0:f>IF(Z309&lt;0,A309,0)</ns0:f>
        <ns0:v>0</ns0:v>
      </ns0:c>
      <ns0:c r="AI309" s="12">
        <ns0:f>IF(AND(OR('前提と出典'!$C$36+'前提と出典'!$C$38=0,X309&gt;=0),OR('前提と出典'!$C$37+'前提と出典'!$C$38=0,Y309&gt;=0)),0,A309)</ns0:f>
        <ns0:v>0</ns0:v>
      </ns0:c>
    </ns0:row>
    <ns0:row r="310" ht="24" customHeight="1">
      <ns0:c r="A310" s="4" t="n">
        <ns0:v>306</ns0:v>
      </ns0:c>
      <ns0:c r="B310" s="12">
        <ns0:f>A310*('前提と出典'!$C$36+'前提と出典'!$C$38)</ns0:f>
        <ns0:v>214.2</ns0:v>
      </ns0:c>
      <ns0:c r="C310" s="12">
        <ns0:f>A310*('前提と出典'!$C$37+'前提と出典'!$C$38)</ns0:f>
        <ns0:v>183.6</ns0:v>
      </ns0:c>
      <ns0:c r="D310" s="16">
        <ns0:f>A310*('前提と出典'!$C$36*'契約別単価'!C5+'前提と出典'!$C$37*'契約別単価'!C6+'前提と出典'!$C$38*'契約別単価'!C7)</ns0:f>
        <ns0:v>2201.832402234637</ns0:v>
      </ns0:c>
      <ns0:c r="E310" s="16">
        <ns0:f>A310*('前提と出典'!$C$36*'契約別単価'!E5+'前提と出典'!$C$37*'契約別単価'!E6+'前提と出典'!$C$38*'契約別単価'!E7)</ns0:f>
        <ns0:v>592093.064960104</ns0:v>
      </ns0:c>
      <ns0:c r="F310" s="16">
        <ns0:f>A310*('前提と出典'!$C$36*'契約別単価'!F5+'前提と出典'!$C$37*'契約別単価'!F6+'前提と出典'!$C$38*'契約別単価'!F7)</ns0:f>
        <ns0:v>232375.0167894257</ns0:v>
      </ns0:c>
      <ns0:c r="G310" s="16">
        <ns0:f>A310*('前提と出典'!$C$36*'契約別単価'!G5+'前提と出典'!$C$37*'契約別単価'!G6+'前提と出典'!$C$38*'契約別単価'!G7)</ns0:f>
        <ns0:v>609093.8547486033</ns0:v>
      </ns0:c>
      <ns0:c r="H310" s="16">
        <ns0:f>A310*('前提と出典'!$C$36*'契約別単価'!H5+'前提と出典'!$C$37*'契約別単価'!H6+'前提と出典'!$C$38*'契約別単価'!H7)</ns0:f>
        <ns0:v>211386.11605513596</ns0:v>
      </ns0:c>
      <ns0:c r="I310" s="16">
        <ns0:f>A310*('前提と出典'!$C$36*'契約別単価'!I5+'前提と出典'!$C$37*'契約別単価'!I6+'前提と出典'!$C$38*'契約別単価'!I7)</ns0:f>
        <ns0:v>12911.832402234635</ns0:v>
      </ns0:c>
      <ns0:c r="J310" s="16">
        <ns0:f>A310*('前提と出典'!$C$36*'契約別単価'!J5+'前提と出典'!$C$37*'契約別単価'!J6+'前提と出典'!$C$38*'契約別単価'!J7)</ns0:f>
        <ns0:v>30076.600375352584</ns0:v>
      </ns0:c>
      <ns0:c r="K310" s="16">
        <ns0:f>A310*('前提と出典'!$C$36*'契約別単価'!K5+'前提と出典'!$C$37*'契約別単価'!K6+'前提と出典'!$C$38*'契約別単価'!K7)</ns0:f>
        <ns0:v>128918.88268156424</ns0:v>
      </ns0:c>
      <ns0:c r="L310" s="16">
        <ns0:f>A310*('前提と出典'!$C$36*'契約別単価'!L5+'前提と出典'!$C$37*'契約別単価'!L6+'前提と出典'!$C$38*'契約別単価'!L7)</ns0:f>
        <ns0:v>104966.20386850453</ns0:v>
      </ns0:c>
      <ns0:c r="M310" s="16">
        <ns0:f>IF(('前提と出典'!$C$36+'前提と出典'!$C$38)=0,0,IF(B310&lt;=10,'前提と出典'!B73+'前提と出典'!C73,IF(B310&lt;=100,'前提と出典'!B74+'前提と出典'!C74,IF(B310&lt;=500,'前提と出典'!B75+'前提と出典'!C75,'前提と出典'!B76+'前提と出典'!C76))))</ns0:f>
        <ns0:v>40000</ns0:v>
      </ns0:c>
      <ns0:c r="N310" s="16">
        <ns0:f>IF(('前提と出典'!$C$37+'前提と出典'!$C$38)=0,0,IF(C310&lt;=10,'前提と出典'!D73+'前提と出典'!E73,IF(C310&lt;=100,'前提と出典'!D74+'前提と出典'!E74,IF(C310&lt;=500,'前提と出典'!D75+'前提と出典'!E75,'前提と出典'!D76+'前提と出典'!E76))))</ns0:f>
        <ns0:v>56510.9346263078</ns0:v>
      </ns0:c>
      <ns0:c r="O310" s="16">
        <ns0:f>IF('前提と出典'!$C$36+'前提と出典'!$C$38=0,0,'前提と出典'!$B$4*IF('前提と出典'!$B$20=0,MAX('前提と出典'!$B$6,D310*'前提と出典'!$B$5),'前提と出典'!$B$6+D310*'前提と出典'!$B$5))</ns0:f>
        <ns0:v>303852.87150837993</ns0:v>
      </ns0:c>
      <ns0:c r="P310" s="16">
        <ns0:f>(E310+G310)*(1-'前提と出典'!$B$7)-I310-K310-M310-O310</ns0:f>
        <ns0:v>672260.6040070151</ns0:v>
      </ns0:c>
      <ns0:c r="Q310" s="16">
        <ns0:f>(F310+H310)*(1-'前提と出典'!$B$7)-J310-L310-N310</ns0:f>
        <ns0:v>236231.9931919925</ns0:v>
      </ns0:c>
      <ns0:c r="R310" s="16">
        <ns0:f>P310-E310*'前提と出典'!$E$4</ns0:f>
        <ns0:v>494632.68451898394</ns0:v>
      </ns0:c>
      <ns0:c r="S310" s="16">
        <ns0:f>Q310-F310*'前提と出典'!$E$4</ns0:f>
        <ns0:v>166519.48815516478</ns0:v>
      </ns0:c>
      <ns0:c r="T310" s="7">
        <ns0:f>R310+S310</ns0:f>
        <ns0:v>661152.1726741487</ns0:v>
      </ns0:c>
      <ns0:c r="U310" s="16">
        <ns0:f>P310-E310*'前提と出典'!$E$5</ns0:f>
        <ns0:v>435423.37802297354</ns0:v>
      </ns0:c>
      <ns0:c r="V310" s="16">
        <ns0:f>Q310-F310*'前提と出典'!$E$5</ns0:f>
        <ns0:v>143281.9864762222</ns0:v>
      </ns0:c>
      <ns0:c r="W310" s="7">
        <ns0:f>U310+V310</ns0:f>
        <ns0:v>578705.3644991957</ns0:v>
      </ns0:c>
      <ns0:c r="X310" s="16">
        <ns0:f>P310-E310*'前提と出典'!$E$6</ns0:f>
        <ns0:v>376214.07152696315</ns0:v>
      </ns0:c>
      <ns0:c r="Y310" s="16">
        <ns0:f>Q310-F310*'前提と出典'!$E$6</ns0:f>
        <ns0:v>120044.48479727961</ns0:v>
      </ns0:c>
      <ns0:c r="Z310" s="7">
        <ns0:f>X310+Y310</ns0:f>
        <ns0:v>496258.55632424273</ns0:v>
      </ns0:c>
      <ns0:c r="AA310" s="7">
        <ns0:f>IF(T310&gt;=0,A310,1001)</ns0:f>
        <ns0:v>306</ns0:v>
      </ns0:c>
      <ns0:c r="AB310" s="7">
        <ns0:f>IF(T310&lt;0,A310,0)</ns0:f>
        <ns0:v>0</ns0:v>
      </ns0:c>
      <ns0:c r="AC310" s="16">
        <ns0:f>IF(AND(OR('前提と出典'!$C$36+'前提と出典'!$C$38=0,R310&gt;=0),OR('前提と出典'!$C$37+'前提と出典'!$C$38=0,S310&gt;=0)),0,A310)</ns0:f>
        <ns0:v>0</ns0:v>
      </ns0:c>
      <ns0:c r="AD310" s="7">
        <ns0:f>IF(W310&gt;=0,A310,1001)</ns0:f>
        <ns0:v>306</ns0:v>
      </ns0:c>
      <ns0:c r="AE310" s="7">
        <ns0:f>IF(W310&lt;0,A310,0)</ns0:f>
        <ns0:v>0</ns0:v>
      </ns0:c>
      <ns0:c r="AF310" s="16">
        <ns0:f>IF(AND(OR('前提と出典'!$C$36+'前提と出典'!$C$38=0,U310&gt;=0),OR('前提と出典'!$C$37+'前提と出典'!$C$38=0,V310&gt;=0)),0,A310)</ns0:f>
        <ns0:v>0</ns0:v>
      </ns0:c>
      <ns0:c r="AG310" s="7">
        <ns0:f>IF(Z310&gt;=0,A310,1001)</ns0:f>
        <ns0:v>306</ns0:v>
      </ns0:c>
      <ns0:c r="AH310" s="4">
        <ns0:f>IF(Z310&lt;0,A310,0)</ns0:f>
        <ns0:v>0</ns0:v>
      </ns0:c>
      <ns0:c r="AI310" s="12">
        <ns0:f>IF(AND(OR('前提と出典'!$C$36+'前提と出典'!$C$38=0,X310&gt;=0),OR('前提と出典'!$C$37+'前提と出典'!$C$38=0,Y310&gt;=0)),0,A310)</ns0:f>
        <ns0:v>0</ns0:v>
      </ns0:c>
    </ns0:row>
    <ns0:row r="311" ht="24" customHeight="1">
      <ns0:c r="A311" s="4" t="n">
        <ns0:v>307</ns0:v>
      </ns0:c>
      <ns0:c r="B311" s="12">
        <ns0:f>A311*('前提と出典'!$C$36+'前提と出典'!$C$38)</ns0:f>
        <ns0:v>214.89999999999998</ns0:v>
      </ns0:c>
      <ns0:c r="C311" s="12">
        <ns0:f>A311*('前提と出典'!$C$37+'前提と出典'!$C$38)</ns0:f>
        <ns0:v>184.2</ns0:v>
      </ns0:c>
      <ns0:c r="D311" s="16">
        <ns0:f>A311*('前提と出典'!$C$36*'契約別単価'!C5+'前提と出典'!$C$37*'契約別単価'!C6+'前提と出典'!$C$38*'契約別単価'!C7)</ns0:f>
        <ns0:v>2209.027932960894</ns0:v>
      </ns0:c>
      <ns0:c r="E311" s="16">
        <ns0:f>A311*('前提と出典'!$C$36*'契約別単価'!E5+'前提と出典'!$C$37*'契約別単価'!E6+'前提と出典'!$C$38*'契約別単価'!E7)</ns0:f>
        <ns0:v>594028.0096168363</ns0:v>
      </ns0:c>
      <ns0:c r="F311" s="16">
        <ns0:f>A311*('前提と出典'!$C$36*'契約別単価'!F5+'前提と出典'!$C$37*'契約別単価'!F6+'前提と出典'!$C$38*'契約別単価'!F7)</ns0:f>
        <ns0:v>233134.4122691297</ns0:v>
      </ns0:c>
      <ns0:c r="G311" s="16">
        <ns0:f>A311*('前提と出典'!$C$36*'契約別単価'!G5+'前提と出典'!$C$37*'契約別単価'!G6+'前提と出典'!$C$38*'契約別単価'!G7)</ns0:f>
        <ns0:v>611084.3575418994</ns0:v>
      </ns0:c>
      <ns0:c r="H311" s="16">
        <ns0:f>A311*('前提と出典'!$C$36*'契約別単価'!H5+'前提と出典'!$C$37*'契約別単価'!H6+'前提と出典'!$C$38*'契約別単価'!H7)</ns0:f>
        <ns0:v>212076.92035596975</ns0:v>
      </ns0:c>
      <ns0:c r="I311" s="16">
        <ns0:f>A311*('前提と出典'!$C$36*'契約別単価'!I5+'前提と出典'!$C$37*'契約別単価'!I6+'前提と出典'!$C$38*'契約別単価'!I7)</ns0:f>
        <ns0:v>12954.027932960891</ns0:v>
      </ns0:c>
      <ns0:c r="J311" s="16">
        <ns0:f>A311*('前提と出典'!$C$36*'契約別単価'!J5+'前提と出典'!$C$37*'契約別単価'!J6+'前提と出典'!$C$38*'契約別単価'!J7)</ns0:f>
        <ns0:v>30174.889919062887</ns0:v>
      </ns0:c>
      <ns0:c r="K311" s="16">
        <ns0:f>A311*('前提と出典'!$C$36*'契約別単価'!K5+'前提と出典'!$C$37*'契約別単価'!K6+'前提と出典'!$C$38*'契約別単価'!K7)</ns0:f>
        <ns0:v>129340.18621973928</ns0:v>
      </ns0:c>
      <ns0:c r="L311" s="16">
        <ns0:f>A311*('前提と出典'!$C$36*'契約別単価'!L5+'前提と出典'!$C$37*'契約別単価'!L6+'前提と出典'!$C$38*'契約別単価'!L7)</ns0:f>
        <ns0:v>105309.23067853232</ns0:v>
      </ns0:c>
      <ns0:c r="M311" s="16">
        <ns0:f>IF(('前提と出典'!$C$36+'前提と出典'!$C$38)=0,0,IF(B311&lt;=10,'前提と出典'!B73+'前提と出典'!C73,IF(B311&lt;=100,'前提と出典'!B74+'前提と出典'!C74,IF(B311&lt;=500,'前提と出典'!B75+'前提と出典'!C75,'前提と出典'!B76+'前提と出典'!C76))))</ns0:f>
        <ns0:v>40000</ns0:v>
      </ns0:c>
      <ns0:c r="N311" s="16">
        <ns0:f>IF(('前提と出典'!$C$37+'前提と出典'!$C$38)=0,0,IF(C311&lt;=10,'前提と出典'!D73+'前提と出典'!E73,IF(C311&lt;=100,'前提と出典'!D74+'前提と出典'!E74,IF(C311&lt;=500,'前提と出典'!D75+'前提と出典'!E75,'前提と出典'!D76+'前提と出典'!E76))))</ns0:f>
        <ns0:v>56510.9346263078</ns0:v>
      </ns0:c>
      <ns0:c r="O311" s="16">
        <ns0:f>IF('前提と出典'!$C$36+'前提と出典'!$C$38=0,0,'前提と出典'!$B$4*IF('前提と出典'!$B$20=0,MAX('前提と出典'!$B$6,D311*'前提と出典'!$B$5),'前提と出典'!$B$6+D311*'前提と出典'!$B$5))</ns0:f>
        <ns0:v>304845.85474860336</ns0:v>
      </ns0:c>
      <ns0:c r="P311" s="16">
        <ns0:f>(E311+G311)*(1-'前提と出典'!$B$7)-I311-K311-M311-O311</ns0:f>
        <ns0:v>674588.2530397177</ns0:v>
      </ns0:c>
      <ns0:c r="Q311" s="16">
        <ns0:f>(F311+H311)*(1-'前提と出典'!$B$7)-J311-L311-N311</ns0:f>
        <ns0:v>237188.66942669282</ns0:v>
      </ns0:c>
      <ns0:c r="R311" s="16">
        <ns0:f>P311-E311*'前提と出典'!$E$4</ns0:f>
        <ns0:v>496379.85015466675</ns0:v>
      </ns0:c>
      <ns0:c r="S311" s="16">
        <ns0:f>Q311-F311*'前提と出典'!$E$4</ns0:f>
        <ns0:v>167248.3457459539</ns0:v>
      </ns0:c>
      <ns0:c r="T311" s="7">
        <ns0:f>R311+S311</ns0:f>
        <ns0:v>663628.1959006207</ns0:v>
      </ns0:c>
      <ns0:c r="U311" s="16">
        <ns0:f>P311-E311*'前提と出典'!$E$5</ns0:f>
        <ns0:v>436977.04919298313</ns0:v>
      </ns0:c>
      <ns0:c r="V311" s="16">
        <ns0:f>Q311-F311*'前提と出典'!$E$5</ns0:f>
        <ns0:v>143934.90451904095</ns0:v>
      </ns0:c>
      <ns0:c r="W311" s="7">
        <ns0:f>U311+V311</ns0:f>
        <ns0:v>580911.953712024</ns0:v>
      </ns0:c>
      <ns0:c r="X311" s="16">
        <ns0:f>P311-E311*'前提と出典'!$E$6</ns0:f>
        <ns0:v>377574.2482312994</ns0:v>
      </ns0:c>
      <ns0:c r="Y311" s="16">
        <ns0:f>Q311-F311*'前提と出典'!$E$6</ns0:f>
        <ns0:v>120621.463292128</ns0:v>
      </ns0:c>
      <ns0:c r="Z311" s="7">
        <ns0:f>X311+Y311</ns0:f>
        <ns0:v>498195.7115234274</ns0:v>
      </ns0:c>
      <ns0:c r="AA311" s="7">
        <ns0:f>IF(T311&gt;=0,A311,1001)</ns0:f>
        <ns0:v>307</ns0:v>
      </ns0:c>
      <ns0:c r="AB311" s="7">
        <ns0:f>IF(T311&lt;0,A311,0)</ns0:f>
        <ns0:v>0</ns0:v>
      </ns0:c>
      <ns0:c r="AC311" s="16">
        <ns0:f>IF(AND(OR('前提と出典'!$C$36+'前提と出典'!$C$38=0,R311&gt;=0),OR('前提と出典'!$C$37+'前提と出典'!$C$38=0,S311&gt;=0)),0,A311)</ns0:f>
        <ns0:v>0</ns0:v>
      </ns0:c>
      <ns0:c r="AD311" s="7">
        <ns0:f>IF(W311&gt;=0,A311,1001)</ns0:f>
        <ns0:v>307</ns0:v>
      </ns0:c>
      <ns0:c r="AE311" s="7">
        <ns0:f>IF(W311&lt;0,A311,0)</ns0:f>
        <ns0:v>0</ns0:v>
      </ns0:c>
      <ns0:c r="AF311" s="16">
        <ns0:f>IF(AND(OR('前提と出典'!$C$36+'前提と出典'!$C$38=0,U311&gt;=0),OR('前提と出典'!$C$37+'前提と出典'!$C$38=0,V311&gt;=0)),0,A311)</ns0:f>
        <ns0:v>0</ns0:v>
      </ns0:c>
      <ns0:c r="AG311" s="7">
        <ns0:f>IF(Z311&gt;=0,A311,1001)</ns0:f>
        <ns0:v>307</ns0:v>
      </ns0:c>
      <ns0:c r="AH311" s="4">
        <ns0:f>IF(Z311&lt;0,A311,0)</ns0:f>
        <ns0:v>0</ns0:v>
      </ns0:c>
      <ns0:c r="AI311" s="12">
        <ns0:f>IF(AND(OR('前提と出典'!$C$36+'前提と出典'!$C$38=0,X311&gt;=0),OR('前提と出典'!$C$37+'前提と出典'!$C$38=0,Y311&gt;=0)),0,A311)</ns0:f>
        <ns0:v>0</ns0:v>
      </ns0:c>
    </ns0:row>
    <ns0:row r="312" ht="24" customHeight="1">
      <ns0:c r="A312" s="4" t="n">
        <ns0:v>308</ns0:v>
      </ns0:c>
      <ns0:c r="B312" s="12">
        <ns0:f>A312*('前提と出典'!$C$36+'前提と出典'!$C$38)</ns0:f>
        <ns0:v>215.6</ns0:v>
      </ns0:c>
      <ns0:c r="C312" s="12">
        <ns0:f>A312*('前提と出典'!$C$37+'前提と出典'!$C$38)</ns0:f>
        <ns0:v>184.79999999999998</ns0:v>
      </ns0:c>
      <ns0:c r="D312" s="16">
        <ns0:f>A312*('前提と出典'!$C$36*'契約別単価'!C5+'前提と出典'!$C$37*'契約別単価'!C6+'前提と出典'!$C$38*'契約別単価'!C7)</ns0:f>
        <ns0:v>2216.223463687151</ns0:v>
      </ns0:c>
      <ns0:c r="E312" s="16">
        <ns0:f>A312*('前提と出典'!$C$36*'契約別単価'!E5+'前提と出典'!$C$37*'契約別単価'!E6+'前提と出典'!$C$38*'契約別単価'!E7)</ns0:f>
        <ns0:v>595962.9542735687</ns0:v>
      </ns0:c>
      <ns0:c r="F312" s="16">
        <ns0:f>A312*('前提と出典'!$C$36*'契約別単価'!F5+'前提と出典'!$C$37*'契約別単価'!F6+'前提と出典'!$C$38*'契約別単価'!F7)</ns0:f>
        <ns0:v>233893.8077488337</ns0:v>
      </ns0:c>
      <ns0:c r="G312" s="16">
        <ns0:f>A312*('前提と出典'!$C$36*'契約別単価'!G5+'前提と出典'!$C$37*'契約別単価'!G6+'前提と出典'!$C$38*'契約別単価'!G7)</ns0:f>
        <ns0:v>613074.8603351956</ns0:v>
      </ns0:c>
      <ns0:c r="H312" s="16">
        <ns0:f>A312*('前提と出典'!$C$36*'契約別単価'!H5+'前提と出典'!$C$37*'契約別単価'!H6+'前提と出典'!$C$38*'契約別単価'!H7)</ns0:f>
        <ns0:v>212767.72465680353</ns0:v>
      </ns0:c>
      <ns0:c r="I312" s="16">
        <ns0:f>A312*('前提と出典'!$C$36*'契約別単価'!I5+'前提と出典'!$C$37*'契約別単価'!I6+'前提と出典'!$C$38*'契約別単価'!I7)</ns0:f>
        <ns0:v>12996.223463687149</ns0:v>
      </ns0:c>
      <ns0:c r="J312" s="16">
        <ns0:f>A312*('前提と出典'!$C$36*'契約別単価'!J5+'前提と出典'!$C$37*'契約別単価'!J6+'前提と出典'!$C$38*'契約別単価'!J7)</ns0:f>
        <ns0:v>30273.17946277319</ns0:v>
      </ns0:c>
      <ns0:c r="K312" s="16">
        <ns0:f>A312*('前提と出典'!$C$36*'契約別単価'!K5+'前提と出典'!$C$37*'契約別単価'!K6+'前提と出典'!$C$38*'契約別単価'!K7)</ns0:f>
        <ns0:v>129761.48975791433</ns0:v>
      </ns0:c>
      <ns0:c r="L312" s="16">
        <ns0:f>A312*('前提と出典'!$C$36*'契約別単価'!L5+'前提と出典'!$C$37*'契約別単価'!L6+'前提と出典'!$C$38*'契約別単価'!L7)</ns0:f>
        <ns0:v>105652.25748856012</ns0:v>
      </ns0:c>
      <ns0:c r="M312" s="16">
        <ns0:f>IF(('前提と出典'!$C$36+'前提と出典'!$C$38)=0,0,IF(B312&lt;=10,'前提と出典'!B73+'前提と出典'!C73,IF(B312&lt;=100,'前提と出典'!B74+'前提と出典'!C74,IF(B312&lt;=500,'前提と出典'!B75+'前提と出典'!C75,'前提と出典'!B76+'前提と出典'!C76))))</ns0:f>
        <ns0:v>40000</ns0:v>
      </ns0:c>
      <ns0:c r="N312" s="16">
        <ns0:f>IF(('前提と出典'!$C$37+'前提と出典'!$C$38)=0,0,IF(C312&lt;=10,'前提と出典'!D73+'前提と出典'!E73,IF(C312&lt;=100,'前提と出典'!D74+'前提と出典'!E74,IF(C312&lt;=500,'前提と出典'!D75+'前提と出典'!E75,'前提と出典'!D76+'前提と出典'!E76))))</ns0:f>
        <ns0:v>56510.9346263078</ns0:v>
      </ns0:c>
      <ns0:c r="O312" s="16">
        <ns0:f>IF('前提と出典'!$C$36+'前提と出典'!$C$38=0,0,'前提と出典'!$B$4*IF('前提と出典'!$B$20=0,MAX('前提と出典'!$B$6,D312*'前提と出典'!$B$5),'前提と出典'!$B$6+D312*'前提と出典'!$B$5))</ns0:f>
        <ns0:v>305838.83798882685</ns0:v>
      </ns0:c>
      <ns0:c r="P312" s="16">
        <ns0:f>(E312+G312)*(1-'前提と出典'!$B$7)-I312-K312-M312-O312</ns0:f>
        <ns0:v>676915.9020724206</ns0:v>
      </ns0:c>
      <ns0:c r="Q312" s="16">
        <ns0:f>(F312+H312)*(1-'前提と出典'!$B$7)-J312-L312-N312</ns0:f>
        <ns0:v>238145.3456613931</ns0:v>
      </ns0:c>
      <ns0:c r="R312" s="16">
        <ns0:f>P312-E312*'前提と出典'!$E$4</ns0:f>
        <ns0:v>498127.01579035</ns0:v>
      </ns0:c>
      <ns0:c r="S312" s="16">
        <ns0:f>Q312-F312*'前提と出典'!$E$4</ns0:f>
        <ns0:v>167977.20333674306</ns0:v>
      </ns0:c>
      <ns0:c r="T312" s="7">
        <ns0:f>R312+S312</ns0:f>
        <ns0:v>666104.219127093</ns0:v>
      </ns0:c>
      <ns0:c r="U312" s="16">
        <ns0:f>P312-E312*'前提と出典'!$E$5</ns0:f>
        <ns0:v>438530.720362993</ns0:v>
      </ns0:c>
      <ns0:c r="V312" s="16">
        <ns0:f>Q312-F312*'前提と出典'!$E$5</ns0:f>
        <ns0:v>144587.82256185962</ns0:v>
      </ns0:c>
      <ns0:c r="W312" s="7">
        <ns0:f>U312+V312</ns0:f>
        <ns0:v>583118.5429248526</ns0:v>
      </ns0:c>
      <ns0:c r="X312" s="16">
        <ns0:f>P312-E312*'前提と出典'!$E$6</ns0:f>
        <ns0:v>378934.42493563617</ns0:v>
      </ns0:c>
      <ns0:c r="Y312" s="16">
        <ns0:f>Q312-F312*'前提と出典'!$E$6</ns0:f>
        <ns0:v>121198.4417869763</ns0:v>
      </ns0:c>
      <ns0:c r="Z312" s="7">
        <ns0:f>X312+Y312</ns0:f>
        <ns0:v>500132.86672261247</ns0:v>
      </ns0:c>
      <ns0:c r="AA312" s="7">
        <ns0:f>IF(T312&gt;=0,A312,1001)</ns0:f>
        <ns0:v>308</ns0:v>
      </ns0:c>
      <ns0:c r="AB312" s="7">
        <ns0:f>IF(T312&lt;0,A312,0)</ns0:f>
        <ns0:v>0</ns0:v>
      </ns0:c>
      <ns0:c r="AC312" s="16">
        <ns0:f>IF(AND(OR('前提と出典'!$C$36+'前提と出典'!$C$38=0,R312&gt;=0),OR('前提と出典'!$C$37+'前提と出典'!$C$38=0,S312&gt;=0)),0,A312)</ns0:f>
        <ns0:v>0</ns0:v>
      </ns0:c>
      <ns0:c r="AD312" s="7">
        <ns0:f>IF(W312&gt;=0,A312,1001)</ns0:f>
        <ns0:v>308</ns0:v>
      </ns0:c>
      <ns0:c r="AE312" s="7">
        <ns0:f>IF(W312&lt;0,A312,0)</ns0:f>
        <ns0:v>0</ns0:v>
      </ns0:c>
      <ns0:c r="AF312" s="16">
        <ns0:f>IF(AND(OR('前提と出典'!$C$36+'前提と出典'!$C$38=0,U312&gt;=0),OR('前提と出典'!$C$37+'前提と出典'!$C$38=0,V312&gt;=0)),0,A312)</ns0:f>
        <ns0:v>0</ns0:v>
      </ns0:c>
      <ns0:c r="AG312" s="7">
        <ns0:f>IF(Z312&gt;=0,A312,1001)</ns0:f>
        <ns0:v>308</ns0:v>
      </ns0:c>
      <ns0:c r="AH312" s="4">
        <ns0:f>IF(Z312&lt;0,A312,0)</ns0:f>
        <ns0:v>0</ns0:v>
      </ns0:c>
      <ns0:c r="AI312" s="12">
        <ns0:f>IF(AND(OR('前提と出典'!$C$36+'前提と出典'!$C$38=0,X312&gt;=0),OR('前提と出典'!$C$37+'前提と出典'!$C$38=0,Y312&gt;=0)),0,A312)</ns0:f>
        <ns0:v>0</ns0:v>
      </ns0:c>
    </ns0:row>
    <ns0:row r="313" ht="24" customHeight="1">
      <ns0:c r="A313" s="4" t="n">
        <ns0:v>309</ns0:v>
      </ns0:c>
      <ns0:c r="B313" s="12">
        <ns0:f>A313*('前提と出典'!$C$36+'前提と出典'!$C$38)</ns0:f>
        <ns0:v>216.29999999999998</ns0:v>
      </ns0:c>
      <ns0:c r="C313" s="12">
        <ns0:f>A313*('前提と出典'!$C$37+'前提と出典'!$C$38)</ns0:f>
        <ns0:v>185.4</ns0:v>
      </ns0:c>
      <ns0:c r="D313" s="16">
        <ns0:f>A313*('前提と出典'!$C$36*'契約別単価'!C5+'前提と出典'!$C$37*'契約別単価'!C6+'前提と出典'!$C$38*'契約別単価'!C7)</ns0:f>
        <ns0:v>2223.4189944134077</ns0:v>
      </ns0:c>
      <ns0:c r="E313" s="16">
        <ns0:f>A313*('前提と出典'!$C$36*'契約別単価'!E5+'前提と出典'!$C$37*'契約別単価'!E6+'前提と出典'!$C$38*'契約別単価'!E7)</ns0:f>
        <ns0:v>597897.8989303011</ns0:v>
      </ns0:c>
      <ns0:c r="F313" s="16">
        <ns0:f>A313*('前提と出典'!$C$36*'契約別単価'!F5+'前提と出典'!$C$37*'契約別単価'!F6+'前提と出典'!$C$38*'契約別単価'!F7)</ns0:f>
        <ns0:v>234653.20322853772</ns0:v>
      </ns0:c>
      <ns0:c r="G313" s="16">
        <ns0:f>A313*('前提と出典'!$C$36*'契約別単価'!G5+'前提と出典'!$C$37*'契約別単価'!G6+'前提と出典'!$C$38*'契約別単価'!G7)</ns0:f>
        <ns0:v>615065.3631284916</ns0:v>
      </ns0:c>
      <ns0:c r="H313" s="16">
        <ns0:f>A313*('前提と出典'!$C$36*'契約別単価'!H5+'前提と出典'!$C$37*'契約別単価'!H6+'前提と出典'!$C$38*'契約別単価'!H7)</ns0:f>
        <ns0:v>213458.52895763732</ns0:v>
      </ns0:c>
      <ns0:c r="I313" s="16">
        <ns0:f>A313*('前提と出典'!$C$36*'契約別単価'!I5+'前提と出典'!$C$37*'契約別単価'!I6+'前提と出典'!$C$38*'契約別単価'!I7)</ns0:f>
        <ns0:v>13038.418994413405</ns0:v>
      </ns0:c>
      <ns0:c r="J313" s="16">
        <ns0:f>A313*('前提と出典'!$C$36*'契約別単価'!J5+'前提と出典'!$C$37*'契約別単価'!J6+'前提と出典'!$C$38*'契約別単価'!J7)</ns0:f>
        <ns0:v>30371.469006483494</ns0:v>
      </ns0:c>
      <ns0:c r="K313" s="16">
        <ns0:f>A313*('前提と出典'!$C$36*'契約別単価'!K5+'前提と出典'!$C$37*'契約別単価'!K6+'前提と出典'!$C$38*'契約別単価'!K7)</ns0:f>
        <ns0:v>130182.79329608938</ns0:v>
      </ns0:c>
      <ns0:c r="L313" s="16">
        <ns0:f>A313*('前提と出典'!$C$36*'契約別単価'!L5+'前提と出典'!$C$37*'契約別単価'!L6+'前提と出典'!$C$38*'契約別単価'!L7)</ns0:f>
        <ns0:v>105995.28429858791</ns0:v>
      </ns0:c>
      <ns0:c r="M313" s="16">
        <ns0:f>IF(('前提と出典'!$C$36+'前提と出典'!$C$38)=0,0,IF(B313&lt;=10,'前提と出典'!B73+'前提と出典'!C73,IF(B313&lt;=100,'前提と出典'!B74+'前提と出典'!C74,IF(B313&lt;=500,'前提と出典'!B75+'前提と出典'!C75,'前提と出典'!B76+'前提と出典'!C76))))</ns0:f>
        <ns0:v>40000</ns0:v>
      </ns0:c>
      <ns0:c r="N313" s="16">
        <ns0:f>IF(('前提と出典'!$C$37+'前提と出典'!$C$38)=0,0,IF(C313&lt;=10,'前提と出典'!D73+'前提と出典'!E73,IF(C313&lt;=100,'前提と出典'!D74+'前提と出典'!E74,IF(C313&lt;=500,'前提と出典'!D75+'前提と出典'!E75,'前提と出典'!D76+'前提と出典'!E76))))</ns0:f>
        <ns0:v>56510.9346263078</ns0:v>
      </ns0:c>
      <ns0:c r="O313" s="16">
        <ns0:f>IF('前提と出典'!$C$36+'前提と出典'!$C$38=0,0,'前提と出典'!$B$4*IF('前提と出典'!$B$20=0,MAX('前提と出典'!$B$6,D313*'前提と出典'!$B$5),'前提と出典'!$B$6+D313*'前提と出典'!$B$5))</ns0:f>
        <ns0:v>306831.8212290503</ns0:v>
      </ns0:c>
      <ns0:c r="P313" s="16">
        <ns0:f>(E313+G313)*(1-'前提と出典'!$B$7)-I313-K313-M313-O313</ns0:f>
        <ns0:v>679243.551105123</ns0:v>
      </ns0:c>
      <ns0:c r="Q313" s="16">
        <ns0:f>(F313+H313)*(1-'前提と出典'!$B$7)-J313-L313-N313</ns0:f>
        <ns0:v>239102.02189609353</ns0:v>
      </ns0:c>
      <ns0:c r="R313" s="16">
        <ns0:f>P313-E313*'前提と出典'!$E$4</ns0:f>
        <ns0:v>499874.1814260327</ns0:v>
      </ns0:c>
      <ns0:c r="S313" s="16">
        <ns0:f>Q313-F313*'前提と出典'!$E$4</ns0:f>
        <ns0:v>168706.06092753223</ns0:v>
      </ns0:c>
      <ns0:c r="T313" s="7">
        <ns0:f>R313+S313</ns0:f>
        <ns0:v>668580.242353565</ns0:v>
      </ns0:c>
      <ns0:c r="U313" s="16">
        <ns0:f>P313-E313*'前提と出典'!$E$5</ns0:f>
        <ns0:v>440084.3915330026</ns0:v>
      </ns0:c>
      <ns0:c r="V313" s="16">
        <ns0:f>Q313-F313*'前提と出典'!$E$5</ns0:f>
        <ns0:v>145240.74060467843</ns0:v>
      </ns0:c>
      <ns0:c r="W313" s="7">
        <ns0:f>U313+V313</ns0:f>
        <ns0:v>585325.132137681</ns0:v>
      </ns0:c>
      <ns0:c r="X313" s="16">
        <ns0:f>P313-E313*'前提と出典'!$E$6</ns0:f>
        <ns0:v>380294.60163997253</ns0:v>
      </ns0:c>
      <ns0:c r="Y313" s="16">
        <ns0:f>Q313-F313*'前提と出典'!$E$6</ns0:f>
        <ns0:v>121775.42028182468</ns0:v>
      </ns0:c>
      <ns0:c r="Z313" s="7">
        <ns0:f>X313+Y313</ns0:f>
        <ns0:v>502070.0219217972</ns0:v>
      </ns0:c>
      <ns0:c r="AA313" s="7">
        <ns0:f>IF(T313&gt;=0,A313,1001)</ns0:f>
        <ns0:v>309</ns0:v>
      </ns0:c>
      <ns0:c r="AB313" s="7">
        <ns0:f>IF(T313&lt;0,A313,0)</ns0:f>
        <ns0:v>0</ns0:v>
      </ns0:c>
      <ns0:c r="AC313" s="16">
        <ns0:f>IF(AND(OR('前提と出典'!$C$36+'前提と出典'!$C$38=0,R313&gt;=0),OR('前提と出典'!$C$37+'前提と出典'!$C$38=0,S313&gt;=0)),0,A313)</ns0:f>
        <ns0:v>0</ns0:v>
      </ns0:c>
      <ns0:c r="AD313" s="7">
        <ns0:f>IF(W313&gt;=0,A313,1001)</ns0:f>
        <ns0:v>309</ns0:v>
      </ns0:c>
      <ns0:c r="AE313" s="7">
        <ns0:f>IF(W313&lt;0,A313,0)</ns0:f>
        <ns0:v>0</ns0:v>
      </ns0:c>
      <ns0:c r="AF313" s="16">
        <ns0:f>IF(AND(OR('前提と出典'!$C$36+'前提と出典'!$C$38=0,U313&gt;=0),OR('前提と出典'!$C$37+'前提と出典'!$C$38=0,V313&gt;=0)),0,A313)</ns0:f>
        <ns0:v>0</ns0:v>
      </ns0:c>
      <ns0:c r="AG313" s="7">
        <ns0:f>IF(Z313&gt;=0,A313,1001)</ns0:f>
        <ns0:v>309</ns0:v>
      </ns0:c>
      <ns0:c r="AH313" s="4">
        <ns0:f>IF(Z313&lt;0,A313,0)</ns0:f>
        <ns0:v>0</ns0:v>
      </ns0:c>
      <ns0:c r="AI313" s="12">
        <ns0:f>IF(AND(OR('前提と出典'!$C$36+'前提と出典'!$C$38=0,X313&gt;=0),OR('前提と出典'!$C$37+'前提と出典'!$C$38=0,Y313&gt;=0)),0,A313)</ns0:f>
        <ns0:v>0</ns0:v>
      </ns0:c>
    </ns0:row>
    <ns0:row r="314" ht="24" customHeight="1">
      <ns0:c r="A314" s="4" t="n">
        <ns0:v>310</ns0:v>
      </ns0:c>
      <ns0:c r="B314" s="12">
        <ns0:f>A314*('前提と出典'!$C$36+'前提と出典'!$C$38)</ns0:f>
        <ns0:v>217</ns0:v>
      </ns0:c>
      <ns0:c r="C314" s="12">
        <ns0:f>A314*('前提と出典'!$C$37+'前提と出典'!$C$38)</ns0:f>
        <ns0:v>186</ns0:v>
      </ns0:c>
      <ns0:c r="D314" s="16">
        <ns0:f>A314*('前提と出典'!$C$36*'契約別単価'!C5+'前提と出典'!$C$37*'契約別単価'!C6+'前提と出典'!$C$38*'契約別単価'!C7)</ns0:f>
        <ns0:v>2230.6145251396647</ns0:v>
      </ns0:c>
      <ns0:c r="E314" s="16">
        <ns0:f>A314*('前提と出典'!$C$36*'契約別単価'!E5+'前提と出典'!$C$37*'契約別単価'!E6+'前提と出典'!$C$38*'契約別単価'!E7)</ns0:f>
        <ns0:v>599832.8435870335</ns0:v>
      </ns0:c>
      <ns0:c r="F314" s="16">
        <ns0:f>A314*('前提と出典'!$C$36*'契約別単価'!F5+'前提と出典'!$C$37*'契約別単価'!F6+'前提と出典'!$C$38*'契約別単価'!F7)</ns0:f>
        <ns0:v>235412.5987082417</ns0:v>
      </ns0:c>
      <ns0:c r="G314" s="16">
        <ns0:f>A314*('前提と出典'!$C$36*'契約別単価'!G5+'前提と出典'!$C$37*'契約別単価'!G6+'前提と出典'!$C$38*'契約別単価'!G7)</ns0:f>
        <ns0:v>617055.8659217877</ns0:v>
      </ns0:c>
      <ns0:c r="H314" s="16">
        <ns0:f>A314*('前提と出典'!$C$36*'契約別単価'!H5+'前提と出典'!$C$37*'契約別単価'!H6+'前提と出典'!$C$38*'契約別単価'!H7)</ns0:f>
        <ns0:v>214149.33325847107</ns0:v>
      </ns0:c>
      <ns0:c r="I314" s="16">
        <ns0:f>A314*('前提と出典'!$C$36*'契約別単価'!I5+'前提と出典'!$C$37*'契約別単価'!I6+'前提と出典'!$C$38*'契約別単価'!I7)</ns0:f>
        <ns0:v>13080.614525139663</ns0:v>
      </ns0:c>
      <ns0:c r="J314" s="16">
        <ns0:f>A314*('前提と出典'!$C$36*'契約別単価'!J5+'前提と出典'!$C$37*'契約別単価'!J6+'前提と出典'!$C$38*'契約別単価'!J7)</ns0:f>
        <ns0:v>30469.758550193797</ns0:v>
      </ns0:c>
      <ns0:c r="K314" s="16">
        <ns0:f>A314*('前提と出典'!$C$36*'契約別単価'!K5+'前提と出典'!$C$37*'契約別単価'!K6+'前提と出典'!$C$38*'契約別単価'!K7)</ns0:f>
        <ns0:v>130604.09683426442</ns0:v>
      </ns0:c>
      <ns0:c r="L314" s="16">
        <ns0:f>A314*('前提と出典'!$C$36*'契約別単価'!L5+'前提と出典'!$C$37*'契約別単価'!L6+'前提と出典'!$C$38*'契約別単価'!L7)</ns0:f>
        <ns0:v>106338.3111086157</ns0:v>
      </ns0:c>
      <ns0:c r="M314" s="16">
        <ns0:f>IF(('前提と出典'!$C$36+'前提と出典'!$C$38)=0,0,IF(B314&lt;=10,'前提と出典'!B73+'前提と出典'!C73,IF(B314&lt;=100,'前提と出典'!B74+'前提と出典'!C74,IF(B314&lt;=500,'前提と出典'!B75+'前提と出典'!C75,'前提と出典'!B76+'前提と出典'!C76))))</ns0:f>
        <ns0:v>40000</ns0:v>
      </ns0:c>
      <ns0:c r="N314" s="16">
        <ns0:f>IF(('前提と出典'!$C$37+'前提と出典'!$C$38)=0,0,IF(C314&lt;=10,'前提と出典'!D73+'前提と出典'!E73,IF(C314&lt;=100,'前提と出典'!D74+'前提と出典'!E74,IF(C314&lt;=500,'前提と出典'!D75+'前提と出典'!E75,'前提と出典'!D76+'前提と出典'!E76))))</ns0:f>
        <ns0:v>56510.9346263078</ns0:v>
      </ns0:c>
      <ns0:c r="O314" s="16">
        <ns0:f>IF('前提と出典'!$C$36+'前提と出典'!$C$38=0,0,'前提と出典'!$B$4*IF('前提と出典'!$B$20=0,MAX('前提と出典'!$B$6,D314*'前提と出典'!$B$5),'前提と出典'!$B$6+D314*'前提と出典'!$B$5))</ns0:f>
        <ns0:v>307824.8044692738</ns0:v>
      </ns0:c>
      <ns0:c r="P314" s="16">
        <ns0:f>(E314+G314)*(1-'前提と出典'!$B$7)-I314-K314-M314-O314</ns0:f>
        <ns0:v>681571.2001378257</ns0:v>
      </ns0:c>
      <ns0:c r="Q314" s="16">
        <ns0:f>(F314+H314)*(1-'前提と出典'!$B$7)-J314-L314-N314</ns0:f>
        <ns0:v>240058.6981307938</ns0:v>
      </ns0:c>
      <ns0:c r="R314" s="16">
        <ns0:f>P314-E314*'前提と出典'!$E$4</ns0:f>
        <ns0:v>501621.34706171567</ns0:v>
      </ns0:c>
      <ns0:c r="S314" s="16">
        <ns0:f>Q314-F314*'前提と出典'!$E$4</ns0:f>
        <ns0:v>169434.9185183213</ns0:v>
      </ns0:c>
      <ns0:c r="T314" s="7">
        <ns0:f>R314+S314</ns0:f>
        <ns0:v>671056.2655800369</ns0:v>
      </ns0:c>
      <ns0:c r="U314" s="16">
        <ns0:f>P314-E314*'前提と出典'!$E$5</ns0:f>
        <ns0:v>441638.06270301226</ns0:v>
      </ns0:c>
      <ns0:c r="V314" s="16">
        <ns0:f>Q314-F314*'前提と出典'!$E$5</ns0:f>
        <ns0:v>145893.65864749713</ns0:v>
      </ns0:c>
      <ns0:c r="W314" s="7">
        <ns0:f>U314+V314</ns0:f>
        <ns0:v>587531.7213505094</ns0:v>
      </ns0:c>
      <ns0:c r="X314" s="16">
        <ns0:f>P314-E314*'前提と出典'!$E$6</ns0:f>
        <ns0:v>381654.77834430896</ns0:v>
      </ns0:c>
      <ns0:c r="Y314" s="16">
        <ns0:f>Q314-F314*'前提と出典'!$E$6</ns0:f>
        <ns0:v>122352.39877667296</ns0:v>
      </ns0:c>
      <ns0:c r="Z314" s="7">
        <ns0:f>X314+Y314</ns0:f>
        <ns0:v>504007.1771209819</ns0:v>
      </ns0:c>
      <ns0:c r="AA314" s="7">
        <ns0:f>IF(T314&gt;=0,A314,1001)</ns0:f>
        <ns0:v>310</ns0:v>
      </ns0:c>
      <ns0:c r="AB314" s="7">
        <ns0:f>IF(T314&lt;0,A314,0)</ns0:f>
        <ns0:v>0</ns0:v>
      </ns0:c>
      <ns0:c r="AC314" s="16">
        <ns0:f>IF(AND(OR('前提と出典'!$C$36+'前提と出典'!$C$38=0,R314&gt;=0),OR('前提と出典'!$C$37+'前提と出典'!$C$38=0,S314&gt;=0)),0,A314)</ns0:f>
        <ns0:v>0</ns0:v>
      </ns0:c>
      <ns0:c r="AD314" s="7">
        <ns0:f>IF(W314&gt;=0,A314,1001)</ns0:f>
        <ns0:v>310</ns0:v>
      </ns0:c>
      <ns0:c r="AE314" s="7">
        <ns0:f>IF(W314&lt;0,A314,0)</ns0:f>
        <ns0:v>0</ns0:v>
      </ns0:c>
      <ns0:c r="AF314" s="16">
        <ns0:f>IF(AND(OR('前提と出典'!$C$36+'前提と出典'!$C$38=0,U314&gt;=0),OR('前提と出典'!$C$37+'前提と出典'!$C$38=0,V314&gt;=0)),0,A314)</ns0:f>
        <ns0:v>0</ns0:v>
      </ns0:c>
      <ns0:c r="AG314" s="7">
        <ns0:f>IF(Z314&gt;=0,A314,1001)</ns0:f>
        <ns0:v>310</ns0:v>
      </ns0:c>
      <ns0:c r="AH314" s="4">
        <ns0:f>IF(Z314&lt;0,A314,0)</ns0:f>
        <ns0:v>0</ns0:v>
      </ns0:c>
      <ns0:c r="AI314" s="12">
        <ns0:f>IF(AND(OR('前提と出典'!$C$36+'前提と出典'!$C$38=0,X314&gt;=0),OR('前提と出典'!$C$37+'前提と出典'!$C$38=0,Y314&gt;=0)),0,A314)</ns0:f>
        <ns0:v>0</ns0:v>
      </ns0:c>
    </ns0:row>
    <ns0:row r="315" ht="24" customHeight="1">
      <ns0:c r="A315" s="4" t="n">
        <ns0:v>311</ns0:v>
      </ns0:c>
      <ns0:c r="B315" s="12">
        <ns0:f>A315*('前提と出典'!$C$36+'前提と出典'!$C$38)</ns0:f>
        <ns0:v>217.7</ns0:v>
      </ns0:c>
      <ns0:c r="C315" s="12">
        <ns0:f>A315*('前提と出典'!$C$37+'前提と出典'!$C$38)</ns0:f>
        <ns0:v>186.6</ns0:v>
      </ns0:c>
      <ns0:c r="D315" s="16">
        <ns0:f>A315*('前提と出典'!$C$36*'契約別単価'!C5+'前提と出典'!$C$37*'契約別単価'!C6+'前提と出典'!$C$38*'契約別単価'!C7)</ns0:f>
        <ns0:v>2237.8100558659216</ns0:v>
      </ns0:c>
      <ns0:c r="E315" s="16">
        <ns0:f>A315*('前提と出典'!$C$36*'契約別単価'!E5+'前提と出典'!$C$37*'契約別単価'!E6+'前提と出典'!$C$38*'契約別単価'!E7)</ns0:f>
        <ns0:v>601767.7882437658</ns0:v>
      </ns0:c>
      <ns0:c r="F315" s="16">
        <ns0:f>A315*('前提と出典'!$C$36*'契約別単価'!F5+'前提と出典'!$C$37*'契約別単価'!F6+'前提と出典'!$C$38*'契約別単価'!F7)</ns0:f>
        <ns0:v>236171.99418794573</ns0:v>
      </ns0:c>
      <ns0:c r="G315" s="16">
        <ns0:f>A315*('前提と出典'!$C$36*'契約別単価'!G5+'前提と出典'!$C$37*'契約別単価'!G6+'前提と出典'!$C$38*'契約別単価'!G7)</ns0:f>
        <ns0:v>619046.3687150838</ns0:v>
      </ns0:c>
      <ns0:c r="H315" s="16">
        <ns0:f>A315*('前提と出典'!$C$36*'契約別単価'!H5+'前提と出典'!$C$37*'契約別単価'!H6+'前提と出典'!$C$38*'契約別単価'!H7)</ns0:f>
        <ns0:v>214840.13755930486</ns0:v>
      </ns0:c>
      <ns0:c r="I315" s="16">
        <ns0:f>A315*('前提と出典'!$C$36*'契約別単価'!I5+'前提と出典'!$C$37*'契約別単価'!I6+'前提と出典'!$C$38*'契約別単価'!I7)</ns0:f>
        <ns0:v>13122.810055865919</ns0:v>
      </ns0:c>
      <ns0:c r="J315" s="16">
        <ns0:f>A315*('前提と出典'!$C$36*'契約別単価'!J5+'前提と出典'!$C$37*'契約別単価'!J6+'前提と出典'!$C$38*'契約別単価'!J7)</ns0:f>
        <ns0:v>30568.048093904097</ns0:v>
      </ns0:c>
      <ns0:c r="K315" s="16">
        <ns0:f>A315*('前提と出典'!$C$36*'契約別単価'!K5+'前提と出典'!$C$37*'契約別単価'!K6+'前提と出典'!$C$38*'契約別単価'!K7)</ns0:f>
        <ns0:v>131025.40037243947</ns0:v>
      </ns0:c>
      <ns0:c r="L315" s="16">
        <ns0:f>A315*('前提と出典'!$C$36*'契約別単価'!L5+'前提と出典'!$C$37*'契約別単価'!L6+'前提と出典'!$C$38*'契約別単価'!L7)</ns0:f>
        <ns0:v>106681.33791864349</ns0:v>
      </ns0:c>
      <ns0:c r="M315" s="16">
        <ns0:f>IF(('前提と出典'!$C$36+'前提と出典'!$C$38)=0,0,IF(B315&lt;=10,'前提と出典'!B73+'前提と出典'!C73,IF(B315&lt;=100,'前提と出典'!B74+'前提と出典'!C74,IF(B315&lt;=500,'前提と出典'!B75+'前提と出典'!C75,'前提と出典'!B76+'前提と出典'!C76))))</ns0:f>
        <ns0:v>40000</ns0:v>
      </ns0:c>
      <ns0:c r="N315" s="16">
        <ns0:f>IF(('前提と出典'!$C$37+'前提と出典'!$C$38)=0,0,IF(C315&lt;=10,'前提と出典'!D73+'前提と出典'!E73,IF(C315&lt;=100,'前提と出典'!D74+'前提と出典'!E74,IF(C315&lt;=500,'前提と出典'!D75+'前提と出典'!E75,'前提と出典'!D76+'前提と出典'!E76))))</ns0:f>
        <ns0:v>56510.9346263078</ns0:v>
      </ns0:c>
      <ns0:c r="O315" s="16">
        <ns0:f>IF('前提と出典'!$C$36+'前提と出典'!$C$38=0,0,'前提と出典'!$B$4*IF('前提と出典'!$B$20=0,MAX('前提と出典'!$B$6,D315*'前提と出典'!$B$5),'前提と出典'!$B$6+D315*'前提と出典'!$B$5))</ns0:f>
        <ns0:v>308817.7877094972</ns0:v>
      </ns0:c>
      <ns0:c r="P315" s="16">
        <ns0:f>(E315+G315)*(1-'前提と出典'!$B$7)-I315-K315-M315-O315</ns0:f>
        <ns0:v>683898.8491705286</ns0:v>
      </ns0:c>
      <ns0:c r="Q315" s="16">
        <ns0:f>(F315+H315)*(1-'前提と出典'!$B$7)-J315-L315-N315</ns0:f>
        <ns0:v>241015.37436549415</ns0:v>
      </ns0:c>
      <ns0:c r="R315" s="16">
        <ns0:f>P315-E315*'前提と出典'!$E$4</ns0:f>
        <ns0:v>503368.51269739884</ns0:v>
      </ns0:c>
      <ns0:c r="S315" s="16">
        <ns0:f>Q315-F315*'前提と出典'!$E$4</ns0:f>
        <ns0:v>170163.7761091104</ns0:v>
      </ns0:c>
      <ns0:c r="T315" s="7">
        <ns0:f>R315+S315</ns0:f>
        <ns0:v>673532.2888065092</ns0:v>
      </ns0:c>
      <ns0:c r="U315" s="16">
        <ns0:f>P315-E315*'前提と出典'!$E$5</ns0:f>
        <ns0:v>443191.7338730222</ns0:v>
      </ns0:c>
      <ns0:c r="V315" s="16">
        <ns0:f>Q315-F315*'前提と出典'!$E$5</ns0:f>
        <ns0:v>146546.57669031585</ns0:v>
      </ns0:c>
      <ns0:c r="W315" s="7">
        <ns0:f>U315+V315</ns0:f>
        <ns0:v>589738.310563338</ns0:v>
      </ns0:c>
      <ns0:c r="X315" s="16">
        <ns0:f>P315-E315*'前提と出典'!$E$6</ns0:f>
        <ns0:v>383014.95504864556</ns0:v>
      </ns0:c>
      <ns0:c r="Y315" s="16">
        <ns0:f>Q315-F315*'前提と出典'!$E$6</ns0:f>
        <ns0:v>122929.37727152125</ns0:v>
      </ns0:c>
      <ns0:c r="Z315" s="7">
        <ns0:f>X315+Y315</ns0:f>
        <ns0:v>505944.3323201668</ns0:v>
      </ns0:c>
      <ns0:c r="AA315" s="7">
        <ns0:f>IF(T315&gt;=0,A315,1001)</ns0:f>
        <ns0:v>311</ns0:v>
      </ns0:c>
      <ns0:c r="AB315" s="7">
        <ns0:f>IF(T315&lt;0,A315,0)</ns0:f>
        <ns0:v>0</ns0:v>
      </ns0:c>
      <ns0:c r="AC315" s="16">
        <ns0:f>IF(AND(OR('前提と出典'!$C$36+'前提と出典'!$C$38=0,R315&gt;=0),OR('前提と出典'!$C$37+'前提と出典'!$C$38=0,S315&gt;=0)),0,A315)</ns0:f>
        <ns0:v>0</ns0:v>
      </ns0:c>
      <ns0:c r="AD315" s="7">
        <ns0:f>IF(W315&gt;=0,A315,1001)</ns0:f>
        <ns0:v>311</ns0:v>
      </ns0:c>
      <ns0:c r="AE315" s="7">
        <ns0:f>IF(W315&lt;0,A315,0)</ns0:f>
        <ns0:v>0</ns0:v>
      </ns0:c>
      <ns0:c r="AF315" s="16">
        <ns0:f>IF(AND(OR('前提と出典'!$C$36+'前提と出典'!$C$38=0,U315&gt;=0),OR('前提と出典'!$C$37+'前提と出典'!$C$38=0,V315&gt;=0)),0,A315)</ns0:f>
        <ns0:v>0</ns0:v>
      </ns0:c>
      <ns0:c r="AG315" s="7">
        <ns0:f>IF(Z315&gt;=0,A315,1001)</ns0:f>
        <ns0:v>311</ns0:v>
      </ns0:c>
      <ns0:c r="AH315" s="4">
        <ns0:f>IF(Z315&lt;0,A315,0)</ns0:f>
        <ns0:v>0</ns0:v>
      </ns0:c>
      <ns0:c r="AI315" s="12">
        <ns0:f>IF(AND(OR('前提と出典'!$C$36+'前提と出典'!$C$38=0,X315&gt;=0),OR('前提と出典'!$C$37+'前提と出典'!$C$38=0,Y315&gt;=0)),0,A315)</ns0:f>
        <ns0:v>0</ns0:v>
      </ns0:c>
    </ns0:row>
    <ns0:row r="316" ht="24" customHeight="1">
      <ns0:c r="A316" s="4" t="n">
        <ns0:v>312</ns0:v>
      </ns0:c>
      <ns0:c r="B316" s="12">
        <ns0:f>A316*('前提と出典'!$C$36+'前提と出典'!$C$38)</ns0:f>
        <ns0:v>218.39999999999998</ns0:v>
      </ns0:c>
      <ns0:c r="C316" s="12">
        <ns0:f>A316*('前提と出典'!$C$37+'前提と出典'!$C$38)</ns0:f>
        <ns0:v>187.2</ns0:v>
      </ns0:c>
      <ns0:c r="D316" s="16">
        <ns0:f>A316*('前提と出典'!$C$36*'契約別単価'!C5+'前提と出典'!$C$37*'契約別単価'!C6+'前提と出典'!$C$38*'契約別単価'!C7)</ns0:f>
        <ns0:v>2245.0055865921786</ns0:v>
      </ns0:c>
      <ns0:c r="E316" s="16">
        <ns0:f>A316*('前提と出典'!$C$36*'契約別単価'!E5+'前提と出典'!$C$37*'契約別単価'!E6+'前提と出典'!$C$38*'契約別単価'!E7)</ns0:f>
        <ns0:v>603702.7329004982</ns0:v>
      </ns0:c>
      <ns0:c r="F316" s="16">
        <ns0:f>A316*('前提と出典'!$C$36*'契約別単価'!F5+'前提と出典'!$C$37*'契約別単価'!F6+'前提と出典'!$C$38*'契約別単価'!F7)</ns0:f>
        <ns0:v>236931.38966764972</ns0:v>
      </ns0:c>
      <ns0:c r="G316" s="16">
        <ns0:f>A316*('前提と出典'!$C$36*'契約別単価'!G5+'前提と出典'!$C$37*'契約別単価'!G6+'前提と出典'!$C$38*'契約別単価'!G7)</ns0:f>
        <ns0:v>621036.8715083798</ns0:v>
      </ns0:c>
      <ns0:c r="H316" s="16">
        <ns0:f>A316*('前提と出典'!$C$36*'契約別単価'!H5+'前提と出典'!$C$37*'契約別単価'!H6+'前提と出典'!$C$38*'契約別単価'!H7)</ns0:f>
        <ns0:v>215530.94186013864</ns0:v>
      </ns0:c>
      <ns0:c r="I316" s="16">
        <ns0:f>A316*('前提と出典'!$C$36*'契約別単価'!I5+'前提と出典'!$C$37*'契約別単価'!I6+'前提と出典'!$C$38*'契約別単価'!I7)</ns0:f>
        <ns0:v>13165.005586592177</ns0:v>
      </ns0:c>
      <ns0:c r="J316" s="16">
        <ns0:f>A316*('前提と出典'!$C$36*'契約別単価'!J5+'前提と出典'!$C$37*'契約別単価'!J6+'前提と出典'!$C$38*'契約別単価'!J7)</ns0:f>
        <ns0:v>30666.3376376144</ns0:v>
      </ns0:c>
      <ns0:c r="K316" s="16">
        <ns0:f>A316*('前提と出典'!$C$36*'契約別単価'!K5+'前提と出典'!$C$37*'契約別単価'!K6+'前提と出典'!$C$38*'契約別単価'!K7)</ns0:f>
        <ns0:v>131446.7039106145</ns0:v>
      </ns0:c>
      <ns0:c r="L316" s="16">
        <ns0:f>A316*('前提と出典'!$C$36*'契約別単価'!L5+'前提と出典'!$C$37*'契約別単価'!L6+'前提と出典'!$C$38*'契約別単価'!L7)</ns0:f>
        <ns0:v>107024.36472867128</ns0:v>
      </ns0:c>
      <ns0:c r="M316" s="16">
        <ns0:f>IF(('前提と出典'!$C$36+'前提と出典'!$C$38)=0,0,IF(B316&lt;=10,'前提と出典'!B73+'前提と出典'!C73,IF(B316&lt;=100,'前提と出典'!B74+'前提と出典'!C74,IF(B316&lt;=500,'前提と出典'!B75+'前提と出典'!C75,'前提と出典'!B76+'前提と出典'!C76))))</ns0:f>
        <ns0:v>40000</ns0:v>
      </ns0:c>
      <ns0:c r="N316" s="16">
        <ns0:f>IF(('前提と出典'!$C$37+'前提と出典'!$C$38)=0,0,IF(C316&lt;=10,'前提と出典'!D73+'前提と出典'!E73,IF(C316&lt;=100,'前提と出典'!D74+'前提と出典'!E74,IF(C316&lt;=500,'前提と出典'!D75+'前提と出典'!E75,'前提と出典'!D76+'前提と出典'!E76))))</ns0:f>
        <ns0:v>56510.9346263078</ns0:v>
      </ns0:c>
      <ns0:c r="O316" s="16">
        <ns0:f>IF('前提と出典'!$C$36+'前提と出典'!$C$38=0,0,'前提と出典'!$B$4*IF('前提と出典'!$B$20=0,MAX('前提と出典'!$B$6,D316*'前提と出典'!$B$5),'前提と出典'!$B$6+D316*'前提と出典'!$B$5))</ns0:f>
        <ns0:v>309810.77094972064</ns0:v>
      </ns0:c>
      <ns0:c r="P316" s="16">
        <ns0:f>(E316+G316)*(1-'前提と出典'!$B$7)-I316-K316-M316-O316</ns0:f>
        <ns0:v>686226.498203231</ns0:v>
      </ns0:c>
      <ns0:c r="Q316" s="16">
        <ns0:f>(F316+H316)*(1-'前提と出典'!$B$7)-J316-L316-N316</ns0:f>
        <ns0:v>241972.0506001945</ns0:v>
      </ns0:c>
      <ns0:c r="R316" s="16">
        <ns0:f>P316-E316*'前提と出典'!$E$4</ns0:f>
        <ns0:v>505115.67833308154</ns0:v>
      </ns0:c>
      <ns0:c r="S316" s="16">
        <ns0:f>Q316-F316*'前提と出典'!$E$4</ns0:f>
        <ns0:v>170892.6336998996</ns0:v>
      </ns0:c>
      <ns0:c r="T316" s="7">
        <ns0:f>R316+S316</ns0:f>
        <ns0:v>676008.3120329811</ns0:v>
      </ns0:c>
      <ns0:c r="U316" s="16">
        <ns0:f>P316-E316*'前提と出典'!$E$5</ns0:f>
        <ns0:v>444745.4050430318</ns0:v>
      </ns0:c>
      <ns0:c r="V316" s="16">
        <ns0:f>Q316-F316*'前提と出典'!$E$5</ns0:f>
        <ns0:v>147199.49473313458</ns0:v>
      </ns0:c>
      <ns0:c r="W316" s="7">
        <ns0:f>U316+V316</ns0:f>
        <ns0:v>591944.8997761663</ns0:v>
      </ns0:c>
      <ns0:c r="X316" s="16">
        <ns0:f>P316-E316*'前提と出典'!$E$6</ns0:f>
        <ns0:v>384375.1317529819</ns0:v>
      </ns0:c>
      <ns0:c r="Y316" s="16">
        <ns0:f>Q316-F316*'前提と出典'!$E$6</ns0:f>
        <ns0:v>123506.35576636961</ns0:v>
      </ns0:c>
      <ns0:c r="Z316" s="7">
        <ns0:f>X316+Y316</ns0:f>
        <ns0:v>507881.48751935153</ns0:v>
      </ns0:c>
      <ns0:c r="AA316" s="7">
        <ns0:f>IF(T316&gt;=0,A316,1001)</ns0:f>
        <ns0:v>312</ns0:v>
      </ns0:c>
      <ns0:c r="AB316" s="7">
        <ns0:f>IF(T316&lt;0,A316,0)</ns0:f>
        <ns0:v>0</ns0:v>
      </ns0:c>
      <ns0:c r="AC316" s="16">
        <ns0:f>IF(AND(OR('前提と出典'!$C$36+'前提と出典'!$C$38=0,R316&gt;=0),OR('前提と出典'!$C$37+'前提と出典'!$C$38=0,S316&gt;=0)),0,A316)</ns0:f>
        <ns0:v>0</ns0:v>
      </ns0:c>
      <ns0:c r="AD316" s="7">
        <ns0:f>IF(W316&gt;=0,A316,1001)</ns0:f>
        <ns0:v>312</ns0:v>
      </ns0:c>
      <ns0:c r="AE316" s="7">
        <ns0:f>IF(W316&lt;0,A316,0)</ns0:f>
        <ns0:v>0</ns0:v>
      </ns0:c>
      <ns0:c r="AF316" s="16">
        <ns0:f>IF(AND(OR('前提と出典'!$C$36+'前提と出典'!$C$38=0,U316&gt;=0),OR('前提と出典'!$C$37+'前提と出典'!$C$38=0,V316&gt;=0)),0,A316)</ns0:f>
        <ns0:v>0</ns0:v>
      </ns0:c>
      <ns0:c r="AG316" s="7">
        <ns0:f>IF(Z316&gt;=0,A316,1001)</ns0:f>
        <ns0:v>312</ns0:v>
      </ns0:c>
      <ns0:c r="AH316" s="4">
        <ns0:f>IF(Z316&lt;0,A316,0)</ns0:f>
        <ns0:v>0</ns0:v>
      </ns0:c>
      <ns0:c r="AI316" s="12">
        <ns0:f>IF(AND(OR('前提と出典'!$C$36+'前提と出典'!$C$38=0,X316&gt;=0),OR('前提と出典'!$C$37+'前提と出典'!$C$38=0,Y316&gt;=0)),0,A316)</ns0:f>
        <ns0:v>0</ns0:v>
      </ns0:c>
    </ns0:row>
    <ns0:row r="317" ht="24" customHeight="1">
      <ns0:c r="A317" s="4" t="n">
        <ns0:v>313</ns0:v>
      </ns0:c>
      <ns0:c r="B317" s="12">
        <ns0:f>A317*('前提と出典'!$C$36+'前提と出典'!$C$38)</ns0:f>
        <ns0:v>219.1</ns0:v>
      </ns0:c>
      <ns0:c r="C317" s="12">
        <ns0:f>A317*('前提と出典'!$C$37+'前提と出典'!$C$38)</ns0:f>
        <ns0:v>187.79999999999998</ns0:v>
      </ns0:c>
      <ns0:c r="D317" s="16">
        <ns0:f>A317*('前提と出典'!$C$36*'契約別単価'!C5+'前提と出典'!$C$37*'契約別単価'!C6+'前提と出典'!$C$38*'契約別単価'!C7)</ns0:f>
        <ns0:v>2252.2011173184355</ns0:v>
      </ns0:c>
      <ns0:c r="E317" s="16">
        <ns0:f>A317*('前提と出典'!$C$36*'契約別単価'!E5+'前提と出典'!$C$37*'契約別単価'!E6+'前提と出典'!$C$38*'契約別単価'!E7)</ns0:f>
        <ns0:v>605637.6775572306</ns0:v>
      </ns0:c>
      <ns0:c r="F317" s="16">
        <ns0:f>A317*('前提と出典'!$C$36*'契約別単価'!F5+'前提と出典'!$C$37*'契約別単価'!F6+'前提と出典'!$C$38*'契約別単価'!F7)</ns0:f>
        <ns0:v>237690.78514735374</ns0:v>
      </ns0:c>
      <ns0:c r="G317" s="16">
        <ns0:f>A317*('前提と出典'!$C$36*'契約別単価'!G5+'前提と出典'!$C$37*'契約別単価'!G6+'前提と出典'!$C$38*'契約別単価'!G7)</ns0:f>
        <ns0:v>623027.3743016759</ns0:v>
      </ns0:c>
      <ns0:c r="H317" s="16">
        <ns0:f>A317*('前提と出典'!$C$36*'契約別単価'!H5+'前提と出典'!$C$37*'契約別単価'!H6+'前提と出典'!$C$38*'契約別単価'!H7)</ns0:f>
        <ns0:v>216221.74616097243</ns0:v>
      </ns0:c>
      <ns0:c r="I317" s="16">
        <ns0:f>A317*('前提と出典'!$C$36*'契約別単価'!I5+'前提と出典'!$C$37*'契約別単価'!I6+'前提と出典'!$C$38*'契約別単価'!I7)</ns0:f>
        <ns0:v>13207.201117318433</ns0:v>
      </ns0:c>
      <ns0:c r="J317" s="16">
        <ns0:f>A317*('前提と出典'!$C$36*'契約別単価'!J5+'前提と出典'!$C$37*'契約別単価'!J6+'前提と出典'!$C$38*'契約別単価'!J7)</ns0:f>
        <ns0:v>30764.627181324704</ns0:v>
      </ns0:c>
      <ns0:c r="K317" s="16">
        <ns0:f>A317*('前提と出典'!$C$36*'契約別単価'!K5+'前提と出典'!$C$37*'契約別単価'!K6+'前提と出典'!$C$38*'契約別単価'!K7)</ns0:f>
        <ns0:v>131868.00744878958</ns0:v>
      </ns0:c>
      <ns0:c r="L317" s="16">
        <ns0:f>A317*('前提と出典'!$C$36*'契約別単価'!L5+'前提と出典'!$C$37*'契約別単価'!L6+'前提と出典'!$C$38*'契約別単価'!L7)</ns0:f>
        <ns0:v>107367.39153869907</ns0:v>
      </ns0:c>
      <ns0:c r="M317" s="16">
        <ns0:f>IF(('前提と出典'!$C$36+'前提と出典'!$C$38)=0,0,IF(B317&lt;=10,'前提と出典'!B73+'前提と出典'!C73,IF(B317&lt;=100,'前提と出典'!B74+'前提と出典'!C74,IF(B317&lt;=500,'前提と出典'!B75+'前提と出典'!C75,'前提と出典'!B76+'前提と出典'!C76))))</ns0:f>
        <ns0:v>40000</ns0:v>
      </ns0:c>
      <ns0:c r="N317" s="16">
        <ns0:f>IF(('前提と出典'!$C$37+'前提と出典'!$C$38)=0,0,IF(C317&lt;=10,'前提と出典'!D73+'前提と出典'!E73,IF(C317&lt;=100,'前提と出典'!D74+'前提と出典'!E74,IF(C317&lt;=500,'前提と出典'!D75+'前提と出典'!E75,'前提と出典'!D76+'前提と出典'!E76))))</ns0:f>
        <ns0:v>56510.9346263078</ns0:v>
      </ns0:c>
      <ns0:c r="O317" s="16">
        <ns0:f>IF('前提と出典'!$C$36+'前提と出典'!$C$38=0,0,'前提と出典'!$B$4*IF('前提と出典'!$B$20=0,MAX('前提と出典'!$B$6,D317*'前提と出典'!$B$5),'前提と出典'!$B$6+D317*'前提と出典'!$B$5))</ns0:f>
        <ns0:v>310803.7541899441</ns0:v>
      </ns0:c>
      <ns0:c r="P317" s="16">
        <ns0:f>(E317+G317)*(1-'前提と出典'!$B$7)-I317-K317-M317-O317</ns0:f>
        <ns0:v>688554.1472359338</ns0:v>
      </ns0:c>
      <ns0:c r="Q317" s="16">
        <ns0:f>(F317+H317)*(1-'前提と出典'!$B$7)-J317-L317-N317</ns0:f>
        <ns0:v>242928.72683489483</ns0:v>
      </ns0:c>
      <ns0:c r="R317" s="16">
        <ns0:f>P317-E317*'前提と出典'!$E$4</ns0:f>
        <ns0:v>506862.84396876465</ns0:v>
      </ns0:c>
      <ns0:c r="S317" s="16">
        <ns0:f>Q317-F317*'前提と出典'!$E$4</ns0:f>
        <ns0:v>171621.49129068878</ns0:v>
      </ns0:c>
      <ns0:c r="T317" s="7">
        <ns0:f>R317+S317</ns0:f>
        <ns0:v>678484.3352594534</ns0:v>
      </ns0:c>
      <ns0:c r="U317" s="16">
        <ns0:f>P317-E317*'前提と出典'!$E$5</ns0:f>
        <ns0:v>446299.07621304155</ns0:v>
      </ns0:c>
      <ns0:c r="V317" s="16">
        <ns0:f>Q317-F317*'前提と出典'!$E$5</ns0:f>
        <ns0:v>147852.41277595333</ns0:v>
      </ns0:c>
      <ns0:c r="W317" s="7">
        <ns0:f>U317+V317</ns0:f>
        <ns0:v>594151.4889889949</ns0:v>
      </ns0:c>
      <ns0:c r="X317" s="16">
        <ns0:f>P317-E317*'前提と出典'!$E$6</ns0:f>
        <ns0:v>385735.3084573186</ns0:v>
      </ns0:c>
      <ns0:c r="Y317" s="16">
        <ns0:f>Q317-F317*'前提と出典'!$E$6</ns0:f>
        <ns0:v>124083.334261218</ns0:v>
      </ns0:c>
      <ns0:c r="Z317" s="7">
        <ns0:f>X317+Y317</ns0:f>
        <ns0:v>509818.64271853655</ns0:v>
      </ns0:c>
      <ns0:c r="AA317" s="7">
        <ns0:f>IF(T317&gt;=0,A317,1001)</ns0:f>
        <ns0:v>313</ns0:v>
      </ns0:c>
      <ns0:c r="AB317" s="7">
        <ns0:f>IF(T317&lt;0,A317,0)</ns0:f>
        <ns0:v>0</ns0:v>
      </ns0:c>
      <ns0:c r="AC317" s="16">
        <ns0:f>IF(AND(OR('前提と出典'!$C$36+'前提と出典'!$C$38=0,R317&gt;=0),OR('前提と出典'!$C$37+'前提と出典'!$C$38=0,S317&gt;=0)),0,A317)</ns0:f>
        <ns0:v>0</ns0:v>
      </ns0:c>
      <ns0:c r="AD317" s="7">
        <ns0:f>IF(W317&gt;=0,A317,1001)</ns0:f>
        <ns0:v>313</ns0:v>
      </ns0:c>
      <ns0:c r="AE317" s="7">
        <ns0:f>IF(W317&lt;0,A317,0)</ns0:f>
        <ns0:v>0</ns0:v>
      </ns0:c>
      <ns0:c r="AF317" s="16">
        <ns0:f>IF(AND(OR('前提と出典'!$C$36+'前提と出典'!$C$38=0,U317&gt;=0),OR('前提と出典'!$C$37+'前提と出典'!$C$38=0,V317&gt;=0)),0,A317)</ns0:f>
        <ns0:v>0</ns0:v>
      </ns0:c>
      <ns0:c r="AG317" s="7">
        <ns0:f>IF(Z317&gt;=0,A317,1001)</ns0:f>
        <ns0:v>313</ns0:v>
      </ns0:c>
      <ns0:c r="AH317" s="4">
        <ns0:f>IF(Z317&lt;0,A317,0)</ns0:f>
        <ns0:v>0</ns0:v>
      </ns0:c>
      <ns0:c r="AI317" s="12">
        <ns0:f>IF(AND(OR('前提と出典'!$C$36+'前提と出典'!$C$38=0,X317&gt;=0),OR('前提と出典'!$C$37+'前提と出典'!$C$38=0,Y317&gt;=0)),0,A317)</ns0:f>
        <ns0:v>0</ns0:v>
      </ns0:c>
    </ns0:row>
    <ns0:row r="318" ht="24" customHeight="1">
      <ns0:c r="A318" s="4" t="n">
        <ns0:v>314</ns0:v>
      </ns0:c>
      <ns0:c r="B318" s="12">
        <ns0:f>A318*('前提と出典'!$C$36+'前提と出典'!$C$38)</ns0:f>
        <ns0:v>219.79999999999998</ns0:v>
      </ns0:c>
      <ns0:c r="C318" s="12">
        <ns0:f>A318*('前提と出典'!$C$37+'前提と出典'!$C$38)</ns0:f>
        <ns0:v>188.4</ns0:v>
      </ns0:c>
      <ns0:c r="D318" s="16">
        <ns0:f>A318*('前提と出典'!$C$36*'契約別単価'!C5+'前提と出典'!$C$37*'契約別単価'!C6+'前提と出典'!$C$38*'契約別単価'!C7)</ns0:f>
        <ns0:v>2259.396648044693</ns0:v>
      </ns0:c>
      <ns0:c r="E318" s="16">
        <ns0:f>A318*('前提と出典'!$C$36*'契約別単価'!E5+'前提と出典'!$C$37*'契約別単価'!E6+'前提と出典'!$C$38*'契約別単価'!E7)</ns0:f>
        <ns0:v>607572.622213963</ns0:v>
      </ns0:c>
      <ns0:c r="F318" s="16">
        <ns0:f>A318*('前提と出典'!$C$36*'契約別単価'!F5+'前提と出典'!$C$37*'契約別単価'!F6+'前提と出典'!$C$38*'契約別単価'!F7)</ns0:f>
        <ns0:v>238450.18062705774</ns0:v>
      </ns0:c>
      <ns0:c r="G318" s="16">
        <ns0:f>A318*('前提と出典'!$C$36*'契約別単価'!G5+'前提と出典'!$C$37*'契約別単価'!G6+'前提と出典'!$C$38*'契約別単価'!G7)</ns0:f>
        <ns0:v>625017.8770949721</ns0:v>
      </ns0:c>
      <ns0:c r="H318" s="16">
        <ns0:f>A318*('前提と出典'!$C$36*'契約別単価'!H5+'前提と出典'!$C$37*'契約別単価'!H6+'前提と出典'!$C$38*'契約別単価'!H7)</ns0:f>
        <ns0:v>216912.55046180618</ns0:v>
      </ns0:c>
      <ns0:c r="I318" s="16">
        <ns0:f>A318*('前提と出典'!$C$36*'契約別単価'!I5+'前提と出典'!$C$37*'契約別単価'!I6+'前提と出典'!$C$38*'契約別単価'!I7)</ns0:f>
        <ns0:v>13249.39664804469</ns0:v>
      </ns0:c>
      <ns0:c r="J318" s="16">
        <ns0:f>A318*('前提と出典'!$C$36*'契約別単価'!J5+'前提と出典'!$C$37*'契約別単価'!J6+'前提と出典'!$C$38*'契約別単価'!J7)</ns0:f>
        <ns0:v>30862.916725035007</ns0:v>
      </ns0:c>
      <ns0:c r="K318" s="16">
        <ns0:f>A318*('前提と出典'!$C$36*'契約別単価'!K5+'前提と出典'!$C$37*'契約別単価'!K6+'前提と出典'!$C$38*'契約別単価'!K7)</ns0:f>
        <ns0:v>132289.3109869646</ns0:v>
      </ns0:c>
      <ns0:c r="L318" s="16">
        <ns0:f>A318*('前提と出典'!$C$36*'契約別単価'!L5+'前提と出典'!$C$37*'契約別単価'!L6+'前提と出典'!$C$38*'契約別単価'!L7)</ns0:f>
        <ns0:v>107710.41834872687</ns0:v>
      </ns0:c>
      <ns0:c r="M318" s="16">
        <ns0:f>IF(('前提と出典'!$C$36+'前提と出典'!$C$38)=0,0,IF(B318&lt;=10,'前提と出典'!B73+'前提と出典'!C73,IF(B318&lt;=100,'前提と出典'!B74+'前提と出典'!C74,IF(B318&lt;=500,'前提と出典'!B75+'前提と出典'!C75,'前提と出典'!B76+'前提と出典'!C76))))</ns0:f>
        <ns0:v>40000</ns0:v>
      </ns0:c>
      <ns0:c r="N318" s="16">
        <ns0:f>IF(('前提と出典'!$C$37+'前提と出典'!$C$38)=0,0,IF(C318&lt;=10,'前提と出典'!D73+'前提と出典'!E73,IF(C318&lt;=100,'前提と出典'!D74+'前提と出典'!E74,IF(C318&lt;=500,'前提と出典'!D75+'前提と出典'!E75,'前提と出典'!D76+'前提と出典'!E76))))</ns0:f>
        <ns0:v>56510.9346263078</ns0:v>
      </ns0:c>
      <ns0:c r="O318" s="16">
        <ns0:f>IF('前提と出典'!$C$36+'前提と出典'!$C$38=0,0,'前提と出典'!$B$4*IF('前提と出典'!$B$20=0,MAX('前提と出典'!$B$6,D318*'前提と出典'!$B$5),'前提と出典'!$B$6+D318*'前提と出典'!$B$5))</ns0:f>
        <ns0:v>311796.7374301677</ns0:v>
      </ns0:c>
      <ns0:c r="P318" s="16">
        <ns0:f>(E318+G318)*(1-'前提と出典'!$B$7)-I318-K318-M318-O318</ns0:f>
        <ns0:v>690881.7962686364</ns0:v>
      </ns0:c>
      <ns0:c r="Q318" s="16">
        <ns0:f>(F318+H318)*(1-'前提と出典'!$B$7)-J318-L318-N318</ns0:f>
        <ns0:v>243885.40306959517</ns0:v>
      </ns0:c>
      <ns0:c r="R318" s="16">
        <ns0:f>P318-E318*'前提と出典'!$E$4</ns0:f>
        <ns0:v>508610.00960444746</ns0:v>
      </ns0:c>
      <ns0:c r="S318" s="16">
        <ns0:f>Q318-F318*'前提と出典'!$E$4</ns0:f>
        <ns0:v>172350.34888147784</ns0:v>
      </ns0:c>
      <ns0:c r="T318" s="7">
        <ns0:f>R318+S318</ns0:f>
        <ns0:v>680960.3584859252</ns0:v>
      </ns0:c>
      <ns0:c r="U318" s="16">
        <ns0:f>P318-E318*'前提と出典'!$E$5</ns0:f>
        <ns0:v>447852.74738305114</ns0:v>
      </ns0:c>
      <ns0:c r="V318" s="16">
        <ns0:f>Q318-F318*'前提と出典'!$E$5</ns0:f>
        <ns0:v>148505.33081877208</ns0:v>
      </ns0:c>
      <ns0:c r="W318" s="7">
        <ns0:f>U318+V318</ns0:f>
        <ns0:v>596358.0782018232</ns0:v>
      </ns0:c>
      <ns0:c r="X318" s="16">
        <ns0:f>P318-E318*'前提と出典'!$E$6</ns0:f>
        <ns0:v>387095.4851616548</ns0:v>
      </ns0:c>
      <ns0:c r="Y318" s="16">
        <ns0:f>Q318-F318*'前提と出典'!$E$6</ns0:f>
        <ns0:v>124660.31275606627</ns0:v>
      </ns0:c>
      <ns0:c r="Z318" s="7">
        <ns0:f>X318+Y318</ns0:f>
        <ns0:v>511755.7979177211</ns0:v>
      </ns0:c>
      <ns0:c r="AA318" s="7">
        <ns0:f>IF(T318&gt;=0,A318,1001)</ns0:f>
        <ns0:v>314</ns0:v>
      </ns0:c>
      <ns0:c r="AB318" s="7">
        <ns0:f>IF(T318&lt;0,A318,0)</ns0:f>
        <ns0:v>0</ns0:v>
      </ns0:c>
      <ns0:c r="AC318" s="16">
        <ns0:f>IF(AND(OR('前提と出典'!$C$36+'前提と出典'!$C$38=0,R318&gt;=0),OR('前提と出典'!$C$37+'前提と出典'!$C$38=0,S318&gt;=0)),0,A318)</ns0:f>
        <ns0:v>0</ns0:v>
      </ns0:c>
      <ns0:c r="AD318" s="7">
        <ns0:f>IF(W318&gt;=0,A318,1001)</ns0:f>
        <ns0:v>314</ns0:v>
      </ns0:c>
      <ns0:c r="AE318" s="7">
        <ns0:f>IF(W318&lt;0,A318,0)</ns0:f>
        <ns0:v>0</ns0:v>
      </ns0:c>
      <ns0:c r="AF318" s="16">
        <ns0:f>IF(AND(OR('前提と出典'!$C$36+'前提と出典'!$C$38=0,U318&gt;=0),OR('前提と出典'!$C$37+'前提と出典'!$C$38=0,V318&gt;=0)),0,A318)</ns0:f>
        <ns0:v>0</ns0:v>
      </ns0:c>
      <ns0:c r="AG318" s="7">
        <ns0:f>IF(Z318&gt;=0,A318,1001)</ns0:f>
        <ns0:v>314</ns0:v>
      </ns0:c>
      <ns0:c r="AH318" s="4">
        <ns0:f>IF(Z318&lt;0,A318,0)</ns0:f>
        <ns0:v>0</ns0:v>
      </ns0:c>
      <ns0:c r="AI318" s="12">
        <ns0:f>IF(AND(OR('前提と出典'!$C$36+'前提と出典'!$C$38=0,X318&gt;=0),OR('前提と出典'!$C$37+'前提と出典'!$C$38=0,Y318&gt;=0)),0,A318)</ns0:f>
        <ns0:v>0</ns0:v>
      </ns0:c>
    </ns0:row>
    <ns0:row r="319" ht="24" customHeight="1">
      <ns0:c r="A319" s="4" t="n">
        <ns0:v>315</ns0:v>
      </ns0:c>
      <ns0:c r="B319" s="12">
        <ns0:f>A319*('前提と出典'!$C$36+'前提と出典'!$C$38)</ns0:f>
        <ns0:v>220.5</ns0:v>
      </ns0:c>
      <ns0:c r="C319" s="12">
        <ns0:f>A319*('前提と出典'!$C$37+'前提と出典'!$C$38)</ns0:f>
        <ns0:v>189</ns0:v>
      </ns0:c>
      <ns0:c r="D319" s="16">
        <ns0:f>A319*('前提と出典'!$C$36*'契約別単価'!C5+'前提と出典'!$C$37*'契約別単価'!C6+'前提と出典'!$C$38*'契約別単価'!C7)</ns0:f>
        <ns0:v>2266.59217877095</ns0:v>
      </ns0:c>
      <ns0:c r="E319" s="16">
        <ns0:f>A319*('前提と出典'!$C$36*'契約別単価'!E5+'前提と出典'!$C$37*'契約別単価'!E6+'前提と出典'!$C$38*'契約別単価'!E7)</ns0:f>
        <ns0:v>609507.5668706953</ns0:v>
      </ns0:c>
      <ns0:c r="F319" s="16">
        <ns0:f>A319*('前提と出典'!$C$36*'契約別単価'!F5+'前提と出典'!$C$37*'契約別単価'!F6+'前提と出典'!$C$38*'契約別単価'!F7)</ns0:f>
        <ns0:v>239209.57610676176</ns0:v>
      </ns0:c>
      <ns0:c r="G319" s="16">
        <ns0:f>A319*('前提と出典'!$C$36*'契約別単価'!G5+'前提と出典'!$C$37*'契約別単価'!G6+'前提と出典'!$C$38*'契約別単価'!G7)</ns0:f>
        <ns0:v>627008.3798882681</ns0:v>
      </ns0:c>
      <ns0:c r="H319" s="16">
        <ns0:f>A319*('前提と出典'!$C$36*'契約別単価'!H5+'前提と出典'!$C$37*'契約別単価'!H6+'前提と出典'!$C$38*'契約別単価'!H7)</ns0:f>
        <ns0:v>217603.35476263997</ns0:v>
      </ns0:c>
      <ns0:c r="I319" s="16">
        <ns0:f>A319*('前提と出典'!$C$36*'契約別単価'!I5+'前提と出典'!$C$37*'契約別単価'!I6+'前提と出典'!$C$38*'契約別単価'!I7)</ns0:f>
        <ns0:v>13291.592178770947</ns0:v>
      </ns0:c>
      <ns0:c r="J319" s="16">
        <ns0:f>A319*('前提と出典'!$C$36*'契約別単価'!J5+'前提と出典'!$C$37*'契約別単価'!J6+'前提と出典'!$C$38*'契約別単価'!J7)</ns0:f>
        <ns0:v>30961.206268745307</ns0:v>
      </ns0:c>
      <ns0:c r="K319" s="16">
        <ns0:f>A319*('前提と出典'!$C$36*'契約別単価'!K5+'前提と出典'!$C$37*'契約別単価'!K6+'前提と出典'!$C$38*'契約別単価'!K7)</ns0:f>
        <ns0:v>132710.61452513965</ns0:v>
      </ns0:c>
      <ns0:c r="L319" s="16">
        <ns0:f>A319*('前提と出典'!$C$36*'契約別単価'!L5+'前提と出典'!$C$37*'契約別単価'!L6+'前提と出典'!$C$38*'契約別単価'!L7)</ns0:f>
        <ns0:v>108053.44515875466</ns0:v>
      </ns0:c>
      <ns0:c r="M319" s="16">
        <ns0:f>IF(('前提と出典'!$C$36+'前提と出典'!$C$38)=0,0,IF(B319&lt;=10,'前提と出典'!B73+'前提と出典'!C73,IF(B319&lt;=100,'前提と出典'!B74+'前提と出典'!C74,IF(B319&lt;=500,'前提と出典'!B75+'前提と出典'!C75,'前提と出典'!B76+'前提と出典'!C76))))</ns0:f>
        <ns0:v>40000</ns0:v>
      </ns0:c>
      <ns0:c r="N319" s="16">
        <ns0:f>IF(('前提と出典'!$C$37+'前提と出典'!$C$38)=0,0,IF(C319&lt;=10,'前提と出典'!D73+'前提と出典'!E73,IF(C319&lt;=100,'前提と出典'!D74+'前提と出典'!E74,IF(C319&lt;=500,'前提と出典'!D75+'前提と出典'!E75,'前提と出典'!D76+'前提と出典'!E76))))</ns0:f>
        <ns0:v>56510.9346263078</ns0:v>
      </ns0:c>
      <ns0:c r="O319" s="16">
        <ns0:f>IF('前提と出典'!$C$36+'前提と出典'!$C$38=0,0,'前提と出典'!$B$4*IF('前提と出典'!$B$20=0,MAX('前提と出典'!$B$6,D319*'前提と出典'!$B$5),'前提と出典'!$B$6+D319*'前提と出典'!$B$5))</ns0:f>
        <ns0:v>312789.7206703911</ns0:v>
      </ns0:c>
      <ns0:c r="P319" s="16">
        <ns0:f>(E319+G319)*(1-'前提と出典'!$B$7)-I319-K319-M319-O319</ns0:f>
        <ns0:v>693209.445301339</ns0:v>
      </ns0:c>
      <ns0:c r="Q319" s="16">
        <ns0:f>(F319+H319)*(1-'前提と出典'!$B$7)-J319-L319-N319</ns0:f>
        <ns0:v>244842.07930429553</ns0:v>
      </ns0:c>
      <ns0:c r="R319" s="16">
        <ns0:f>P319-E319*'前提と出典'!$E$4</ns0:f>
        <ns0:v>510357.1752401304</ns0:v>
      </ns0:c>
      <ns0:c r="S319" s="16">
        <ns0:f>Q319-F319*'前提と出典'!$E$4</ns0:f>
        <ns0:v>173079.206472267</ns0:v>
      </ns0:c>
      <ns0:c r="T319" s="7">
        <ns0:f>R319+S319</ns0:f>
        <ns0:v>683436.3817123973</ns0:v>
      </ns0:c>
      <ns0:c r="U319" s="16">
        <ns0:f>P319-E319*'前提と出典'!$E$5</ns0:f>
        <ns0:v>449406.41855306085</ns0:v>
      </ns0:c>
      <ns0:c r="V319" s="16">
        <ns0:f>Q319-F319*'前提と出典'!$E$5</ns0:f>
        <ns0:v>149158.2488615908</ns0:v>
      </ns0:c>
      <ns0:c r="W319" s="7">
        <ns0:f>U319+V319</ns0:f>
        <ns0:v>598564.6674146517</ns0:v>
      </ns0:c>
      <ns0:c r="X319" s="16">
        <ns0:f>P319-E319*'前提と出典'!$E$6</ns0:f>
        <ns0:v>388455.6618659913</ns0:v>
      </ns0:c>
      <ns0:c r="Y319" s="16">
        <ns0:f>Q319-F319*'前提と出典'!$E$6</ns0:f>
        <ns0:v>125237.29125091468</ns0:v>
      </ns0:c>
      <ns0:c r="Z319" s="7">
        <ns0:f>X319+Y319</ns0:f>
        <ns0:v>513692.953116906</ns0:v>
      </ns0:c>
      <ns0:c r="AA319" s="7">
        <ns0:f>IF(T319&gt;=0,A319,1001)</ns0:f>
        <ns0:v>315</ns0:v>
      </ns0:c>
      <ns0:c r="AB319" s="7">
        <ns0:f>IF(T319&lt;0,A319,0)</ns0:f>
        <ns0:v>0</ns0:v>
      </ns0:c>
      <ns0:c r="AC319" s="16">
        <ns0:f>IF(AND(OR('前提と出典'!$C$36+'前提と出典'!$C$38=0,R319&gt;=0),OR('前提と出典'!$C$37+'前提と出典'!$C$38=0,S319&gt;=0)),0,A319)</ns0:f>
        <ns0:v>0</ns0:v>
      </ns0:c>
      <ns0:c r="AD319" s="7">
        <ns0:f>IF(W319&gt;=0,A319,1001)</ns0:f>
        <ns0:v>315</ns0:v>
      </ns0:c>
      <ns0:c r="AE319" s="7">
        <ns0:f>IF(W319&lt;0,A319,0)</ns0:f>
        <ns0:v>0</ns0:v>
      </ns0:c>
      <ns0:c r="AF319" s="16">
        <ns0:f>IF(AND(OR('前提と出典'!$C$36+'前提と出典'!$C$38=0,U319&gt;=0),OR('前提と出典'!$C$37+'前提と出典'!$C$38=0,V319&gt;=0)),0,A319)</ns0:f>
        <ns0:v>0</ns0:v>
      </ns0:c>
      <ns0:c r="AG319" s="7">
        <ns0:f>IF(Z319&gt;=0,A319,1001)</ns0:f>
        <ns0:v>315</ns0:v>
      </ns0:c>
      <ns0:c r="AH319" s="4">
        <ns0:f>IF(Z319&lt;0,A319,0)</ns0:f>
        <ns0:v>0</ns0:v>
      </ns0:c>
      <ns0:c r="AI319" s="12">
        <ns0:f>IF(AND(OR('前提と出典'!$C$36+'前提と出典'!$C$38=0,X319&gt;=0),OR('前提と出典'!$C$37+'前提と出典'!$C$38=0,Y319&gt;=0)),0,A319)</ns0:f>
        <ns0:v>0</ns0:v>
      </ns0:c>
    </ns0:row>
    <ns0:row r="320" ht="24" customHeight="1">
      <ns0:c r="A320" s="4" t="n">
        <ns0:v>316</ns0:v>
      </ns0:c>
      <ns0:c r="B320" s="12">
        <ns0:f>A320*('前提と出典'!$C$36+'前提と出典'!$C$38)</ns0:f>
        <ns0:v>221.2</ns0:v>
      </ns0:c>
      <ns0:c r="C320" s="12">
        <ns0:f>A320*('前提と出典'!$C$37+'前提と出典'!$C$38)</ns0:f>
        <ns0:v>189.6</ns0:v>
      </ns0:c>
      <ns0:c r="D320" s="16">
        <ns0:f>A320*('前提と出典'!$C$36*'契約別単価'!C5+'前提と出典'!$C$37*'契約別単価'!C6+'前提と出典'!$C$38*'契約別単価'!C7)</ns0:f>
        <ns0:v>2273.787709497207</ns0:v>
      </ns0:c>
      <ns0:c r="E320" s="16">
        <ns0:f>A320*('前提と出典'!$C$36*'契約別単価'!E5+'前提と出典'!$C$37*'契約別単価'!E6+'前提と出典'!$C$38*'契約別単価'!E7)</ns0:f>
        <ns0:v>611442.5115274276</ns0:v>
      </ns0:c>
      <ns0:c r="F320" s="16">
        <ns0:f>A320*('前提と出典'!$C$36*'契約別単価'!F5+'前提と出典'!$C$37*'契約別単価'!F6+'前提と出典'!$C$38*'契約別単価'!F7)</ns0:f>
        <ns0:v>239968.97158646575</ns0:v>
      </ns0:c>
      <ns0:c r="G320" s="16">
        <ns0:f>A320*('前提と出典'!$C$36*'契約別単価'!G5+'前提と出典'!$C$37*'契約別単価'!G6+'前提と出典'!$C$38*'契約別単価'!G7)</ns0:f>
        <ns0:v>628998.8826815642</ns0:v>
      </ns0:c>
      <ns0:c r="H320" s="16">
        <ns0:f>A320*('前提と出典'!$C$36*'契約別単価'!H5+'前提と出典'!$C$37*'契約別単価'!H6+'前提と出典'!$C$38*'契約別単価'!H7)</ns0:f>
        <ns0:v>218294.15906347375</ns0:v>
      </ns0:c>
      <ns0:c r="I320" s="16">
        <ns0:f>A320*('前提と出典'!$C$36*'契約別単価'!I5+'前提と出典'!$C$37*'契約別単価'!I6+'前提と出典'!$C$38*'契約別単価'!I7)</ns0:f>
        <ns0:v>13333.787709497205</ns0:v>
      </ns0:c>
      <ns0:c r="J320" s="16">
        <ns0:f>A320*('前提と出典'!$C$36*'契約別単価'!J5+'前提と出典'!$C$37*'契約別単価'!J6+'前提と出典'!$C$38*'契約別単価'!J7)</ns0:f>
        <ns0:v>31059.49581245561</ns0:v>
      </ns0:c>
      <ns0:c r="K320" s="16">
        <ns0:f>A320*('前提と出典'!$C$36*'契約別単価'!K5+'前提と出典'!$C$37*'契約別単価'!K6+'前提と出典'!$C$38*'契約別単価'!K7)</ns0:f>
        <ns0:v>133131.9180633147</ns0:v>
      </ns0:c>
      <ns0:c r="L320" s="16">
        <ns0:f>A320*('前提と出典'!$C$36*'契約別単価'!L5+'前提と出典'!$C$37*'契約別単価'!L6+'前提と出典'!$C$38*'契約別単価'!L7)</ns0:f>
        <ns0:v>108396.47196878245</ns0:v>
      </ns0:c>
      <ns0:c r="M320" s="16">
        <ns0:f>IF(('前提と出典'!$C$36+'前提と出典'!$C$38)=0,0,IF(B320&lt;=10,'前提と出典'!B73+'前提と出典'!C73,IF(B320&lt;=100,'前提と出典'!B74+'前提と出典'!C74,IF(B320&lt;=500,'前提と出典'!B75+'前提と出典'!C75,'前提と出典'!B76+'前提と出典'!C76))))</ns0:f>
        <ns0:v>40000</ns0:v>
      </ns0:c>
      <ns0:c r="N320" s="16">
        <ns0:f>IF(('前提と出典'!$C$37+'前提と出典'!$C$38)=0,0,IF(C320&lt;=10,'前提と出典'!D73+'前提と出典'!E73,IF(C320&lt;=100,'前提と出典'!D74+'前提と出典'!E74,IF(C320&lt;=500,'前提と出典'!D75+'前提と出典'!E75,'前提と出典'!D76+'前提と出典'!E76))))</ns0:f>
        <ns0:v>56510.9346263078</ns0:v>
      </ns0:c>
      <ns0:c r="O320" s="16">
        <ns0:f>IF('前提と出典'!$C$36+'前提と出典'!$C$38=0,0,'前提と出典'!$B$4*IF('前提と出典'!$B$20=0,MAX('前提と出典'!$B$6,D320*'前提と出典'!$B$5),'前提と出典'!$B$6+D320*'前提と出典'!$B$5))</ns0:f>
        <ns0:v>313782.70391061454</ns0:v>
      </ns0:c>
      <ns0:c r="P320" s="16">
        <ns0:f>(E320+G320)*(1-'前提と出典'!$B$7)-I320-K320-M320-O320</ns0:f>
        <ns0:v>695537.0943340417</ns0:v>
      </ns0:c>
      <ns0:c r="Q320" s="16">
        <ns0:f>(F320+H320)*(1-'前提と出典'!$B$7)-J320-L320-N320</ns0:f>
        <ns0:v>245798.75553899587</ns0:v>
      </ns0:c>
      <ns0:c r="R320" s="16">
        <ns0:f>P320-E320*'前提と出典'!$E$4</ns0:f>
        <ns0:v>512104.34087581356</ns0:v>
      </ns0:c>
      <ns0:c r="S320" s="16">
        <ns0:f>Q320-F320*'前提と出典'!$E$4</ns0:f>
        <ns0:v>173808.06406305617</ns0:v>
      </ns0:c>
      <ns0:c r="T320" s="7">
        <ns0:f>R320+S320</ns0:f>
        <ns0:v>685912.4049388698</ns0:v>
      </ns0:c>
      <ns0:c r="U320" s="16">
        <ns0:f>P320-E320*'前提と出典'!$E$5</ns0:f>
        <ns0:v>450960.0897230707</ns0:v>
      </ns0:c>
      <ns0:c r="V320" s="16">
        <ns0:f>Q320-F320*'前提と出典'!$E$5</ns0:f>
        <ns0:v>149811.16690440956</ns0:v>
      </ns0:c>
      <ns0:c r="W320" s="7">
        <ns0:f>U320+V320</ns0:f>
        <ns0:v>600771.2566274803</ns0:v>
      </ns0:c>
      <ns0:c r="X320" s="16">
        <ns0:f>P320-E320*'前提と出典'!$E$6</ns0:f>
        <ns0:v>389815.838570328</ns0:v>
      </ns0:c>
      <ns0:c r="Y320" s="16">
        <ns0:f>Q320-F320*'前提と出典'!$E$6</ns0:f>
        <ns0:v>125814.26974576301</ns0:v>
      </ns0:c>
      <ns0:c r="Z320" s="7">
        <ns0:f>X320+Y320</ns0:f>
        <ns0:v>515630.108316091</ns0:v>
      </ns0:c>
      <ns0:c r="AA320" s="7">
        <ns0:f>IF(T320&gt;=0,A320,1001)</ns0:f>
        <ns0:v>316</ns0:v>
      </ns0:c>
      <ns0:c r="AB320" s="7">
        <ns0:f>IF(T320&lt;0,A320,0)</ns0:f>
        <ns0:v>0</ns0:v>
      </ns0:c>
      <ns0:c r="AC320" s="16">
        <ns0:f>IF(AND(OR('前提と出典'!$C$36+'前提と出典'!$C$38=0,R320&gt;=0),OR('前提と出典'!$C$37+'前提と出典'!$C$38=0,S320&gt;=0)),0,A320)</ns0:f>
        <ns0:v>0</ns0:v>
      </ns0:c>
      <ns0:c r="AD320" s="7">
        <ns0:f>IF(W320&gt;=0,A320,1001)</ns0:f>
        <ns0:v>316</ns0:v>
      </ns0:c>
      <ns0:c r="AE320" s="7">
        <ns0:f>IF(W320&lt;0,A320,0)</ns0:f>
        <ns0:v>0</ns0:v>
      </ns0:c>
      <ns0:c r="AF320" s="16">
        <ns0:f>IF(AND(OR('前提と出典'!$C$36+'前提と出典'!$C$38=0,U320&gt;=0),OR('前提と出典'!$C$37+'前提と出典'!$C$38=0,V320&gt;=0)),0,A320)</ns0:f>
        <ns0:v>0</ns0:v>
      </ns0:c>
      <ns0:c r="AG320" s="7">
        <ns0:f>IF(Z320&gt;=0,A320,1001)</ns0:f>
        <ns0:v>316</ns0:v>
      </ns0:c>
      <ns0:c r="AH320" s="4">
        <ns0:f>IF(Z320&lt;0,A320,0)</ns0:f>
        <ns0:v>0</ns0:v>
      </ns0:c>
      <ns0:c r="AI320" s="12">
        <ns0:f>IF(AND(OR('前提と出典'!$C$36+'前提と出典'!$C$38=0,X320&gt;=0),OR('前提と出典'!$C$37+'前提と出典'!$C$38=0,Y320&gt;=0)),0,A320)</ns0:f>
        <ns0:v>0</ns0:v>
      </ns0:c>
    </ns0:row>
    <ns0:row r="321" ht="24" customHeight="1">
      <ns0:c r="A321" s="4" t="n">
        <ns0:v>317</ns0:v>
      </ns0:c>
      <ns0:c r="B321" s="12">
        <ns0:f>A321*('前提と出典'!$C$36+'前提と出典'!$C$38)</ns0:f>
        <ns0:v>221.89999999999998</ns0:v>
      </ns0:c>
      <ns0:c r="C321" s="12">
        <ns0:f>A321*('前提と出典'!$C$37+'前提と出典'!$C$38)</ns0:f>
        <ns0:v>190.2</ns0:v>
      </ns0:c>
      <ns0:c r="D321" s="16">
        <ns0:f>A321*('前提と出典'!$C$36*'契約別単価'!C5+'前提と出典'!$C$37*'契約別単価'!C6+'前提と出典'!$C$38*'契約別単価'!C7)</ns0:f>
        <ns0:v>2280.983240223464</ns0:v>
      </ns0:c>
      <ns0:c r="E321" s="16">
        <ns0:f>A321*('前提と出典'!$C$36*'契約別単価'!E5+'前提と出典'!$C$37*'契約別単価'!E6+'前提と出典'!$C$38*'契約別単価'!E7)</ns0:f>
        <ns0:v>613377.45618416</ns0:v>
      </ns0:c>
      <ns0:c r="F321" s="16">
        <ns0:f>A321*('前提と出典'!$C$36*'契約別単価'!F5+'前提と出典'!$C$37*'契約別単価'!F6+'前提と出典'!$C$38*'契約別単価'!F7)</ns0:f>
        <ns0:v>240728.36706616977</ns0:v>
      </ns0:c>
      <ns0:c r="G321" s="16">
        <ns0:f>A321*('前提と出典'!$C$36*'契約別単価'!G5+'前提と出典'!$C$37*'契約別単価'!G6+'前提と出典'!$C$38*'契約別単価'!G7)</ns0:f>
        <ns0:v>630989.3854748603</ns0:v>
      </ns0:c>
      <ns0:c r="H321" s="16">
        <ns0:f>A321*('前提と出典'!$C$36*'契約別単価'!H5+'前提と出典'!$C$37*'契約別単価'!H6+'前提と出典'!$C$38*'契約別単価'!H7)</ns0:f>
        <ns0:v>218984.96336430754</ns0:v>
      </ns0:c>
      <ns0:c r="I321" s="16">
        <ns0:f>A321*('前提と出典'!$C$36*'契約別単価'!I5+'前提と出典'!$C$37*'契約別単価'!I6+'前提と出典'!$C$38*'契約別単価'!I7)</ns0:f>
        <ns0:v>13375.98324022346</ns0:v>
      </ns0:c>
      <ns0:c r="J321" s="16">
        <ns0:f>A321*('前提と出典'!$C$36*'契約別単価'!J5+'前提と出典'!$C$37*'契約別単価'!J6+'前提と出典'!$C$38*'契約別単価'!J7)</ns0:f>
        <ns0:v>31157.785356165914</ns0:v>
      </ns0:c>
      <ns0:c r="K321" s="16">
        <ns0:f>A321*('前提と出典'!$C$36*'契約別単価'!K5+'前提と出典'!$C$37*'契約別単価'!K6+'前提と出典'!$C$38*'契約別単価'!K7)</ns0:f>
        <ns0:v>133553.22160148976</ns0:v>
      </ns0:c>
      <ns0:c r="L321" s="16">
        <ns0:f>A321*('前提と出典'!$C$36*'契約別単価'!L5+'前提と出典'!$C$37*'契約別単価'!L6+'前提と出典'!$C$38*'契約別単価'!L7)</ns0:f>
        <ns0:v>108739.49877881024</ns0:v>
      </ns0:c>
      <ns0:c r="M321" s="16">
        <ns0:f>IF(('前提と出典'!$C$36+'前提と出典'!$C$38)=0,0,IF(B321&lt;=10,'前提と出典'!B73+'前提と出典'!C73,IF(B321&lt;=100,'前提と出典'!B74+'前提と出典'!C74,IF(B321&lt;=500,'前提と出典'!B75+'前提と出典'!C75,'前提と出典'!B76+'前提と出典'!C76))))</ns0:f>
        <ns0:v>40000</ns0:v>
      </ns0:c>
      <ns0:c r="N321" s="16">
        <ns0:f>IF(('前提と出典'!$C$37+'前提と出典'!$C$38)=0,0,IF(C321&lt;=10,'前提と出典'!D73+'前提と出典'!E73,IF(C321&lt;=100,'前提と出典'!D74+'前提と出典'!E74,IF(C321&lt;=500,'前提と出典'!D75+'前提と出典'!E75,'前提と出典'!D76+'前提と出典'!E76))))</ns0:f>
        <ns0:v>56510.9346263078</ns0:v>
      </ns0:c>
      <ns0:c r="O321" s="16">
        <ns0:f>IF('前提と出典'!$C$36+'前提と出典'!$C$38=0,0,'前提と出典'!$B$4*IF('前提と出典'!$B$20=0,MAX('前提と出典'!$B$6,D321*'前提と出典'!$B$5),'前提と出典'!$B$6+D321*'前提と出典'!$B$5))</ns0:f>
        <ns0:v>314775.687150838</ns0:v>
      </ns0:c>
      <ns0:c r="P321" s="16">
        <ns0:f>(E321+G321)*(1-'前提と出典'!$B$7)-I321-K321-M321-O321</ns0:f>
        <ns0:v>697864.7433667441</ns0:v>
      </ns0:c>
      <ns0:c r="Q321" s="16">
        <ns0:f>(F321+H321)*(1-'前提と出典'!$B$7)-J321-L321-N321</ns0:f>
        <ns0:v>246755.43177369615</ns0:v>
      </ns0:c>
      <ns0:c r="R321" s="16">
        <ns0:f>P321-E321*'前提と出典'!$E$4</ns0:f>
        <ns0:v>513851.5065114962</ns0:v>
      </ns0:c>
      <ns0:c r="S321" s="16">
        <ns0:f>Q321-F321*'前提と出典'!$E$4</ns0:f>
        <ns0:v>174536.92165384523</ns0:v>
      </ns0:c>
      <ns0:c r="T321" s="7">
        <ns0:f>R321+S321</ns0:f>
        <ns0:v>688388.4281653415</ns0:v>
      </ns0:c>
      <ns0:c r="U321" s="16">
        <ns0:f>P321-E321*'前提と出典'!$E$5</ns0:f>
        <ns0:v>452513.7608930802</ns0:v>
      </ns0:c>
      <ns0:c r="V321" s="16">
        <ns0:f>Q321-F321*'前提と出典'!$E$5</ns0:f>
        <ns0:v>150464.08494722826</ns0:v>
      </ns0:c>
      <ns0:c r="W321" s="7">
        <ns0:f>U321+V321</ns0:f>
        <ns0:v>602977.8458403085</ns0:v>
      </ns0:c>
      <ns0:c r="X321" s="16">
        <ns0:f>P321-E321*'前提と出典'!$E$6</ns0:f>
        <ns0:v>391176.0152746642</ns0:v>
      </ns0:c>
      <ns0:c r="Y321" s="16">
        <ns0:f>Q321-F321*'前提と出典'!$E$6</ns0:f>
        <ns0:v>126391.24824061128</ns0:v>
      </ns0:c>
      <ns0:c r="Z321" s="7">
        <ns0:f>X321+Y321</ns0:f>
        <ns0:v>517567.2635152755</ns0:v>
      </ns0:c>
      <ns0:c r="AA321" s="7">
        <ns0:f>IF(T321&gt;=0,A321,1001)</ns0:f>
        <ns0:v>317</ns0:v>
      </ns0:c>
      <ns0:c r="AB321" s="7">
        <ns0:f>IF(T321&lt;0,A321,0)</ns0:f>
        <ns0:v>0</ns0:v>
      </ns0:c>
      <ns0:c r="AC321" s="16">
        <ns0:f>IF(AND(OR('前提と出典'!$C$36+'前提と出典'!$C$38=0,R321&gt;=0),OR('前提と出典'!$C$37+'前提と出典'!$C$38=0,S321&gt;=0)),0,A321)</ns0:f>
        <ns0:v>0</ns0:v>
      </ns0:c>
      <ns0:c r="AD321" s="7">
        <ns0:f>IF(W321&gt;=0,A321,1001)</ns0:f>
        <ns0:v>317</ns0:v>
      </ns0:c>
      <ns0:c r="AE321" s="7">
        <ns0:f>IF(W321&lt;0,A321,0)</ns0:f>
        <ns0:v>0</ns0:v>
      </ns0:c>
      <ns0:c r="AF321" s="16">
        <ns0:f>IF(AND(OR('前提と出典'!$C$36+'前提と出典'!$C$38=0,U321&gt;=0),OR('前提と出典'!$C$37+'前提と出典'!$C$38=0,V321&gt;=0)),0,A321)</ns0:f>
        <ns0:v>0</ns0:v>
      </ns0:c>
      <ns0:c r="AG321" s="7">
        <ns0:f>IF(Z321&gt;=0,A321,1001)</ns0:f>
        <ns0:v>317</ns0:v>
      </ns0:c>
      <ns0:c r="AH321" s="4">
        <ns0:f>IF(Z321&lt;0,A321,0)</ns0:f>
        <ns0:v>0</ns0:v>
      </ns0:c>
      <ns0:c r="AI321" s="12">
        <ns0:f>IF(AND(OR('前提と出典'!$C$36+'前提と出典'!$C$38=0,X321&gt;=0),OR('前提と出典'!$C$37+'前提と出典'!$C$38=0,Y321&gt;=0)),0,A321)</ns0:f>
        <ns0:v>0</ns0:v>
      </ns0:c>
    </ns0:row>
    <ns0:row r="322" ht="24" customHeight="1">
      <ns0:c r="A322" s="4" t="n">
        <ns0:v>318</ns0:v>
      </ns0:c>
      <ns0:c r="B322" s="12">
        <ns0:f>A322*('前提と出典'!$C$36+'前提と出典'!$C$38)</ns0:f>
        <ns0:v>222.6</ns0:v>
      </ns0:c>
      <ns0:c r="C322" s="12">
        <ns0:f>A322*('前提と出典'!$C$37+'前提と出典'!$C$38)</ns0:f>
        <ns0:v>190.79999999999998</ns0:v>
      </ns0:c>
      <ns0:c r="D322" s="16">
        <ns0:f>A322*('前提と出典'!$C$36*'契約別単価'!C5+'前提と出典'!$C$37*'契約別単価'!C6+'前提と出典'!$C$38*'契約別単価'!C7)</ns0:f>
        <ns0:v>2288.1787709497207</ns0:v>
      </ns0:c>
      <ns0:c r="E322" s="16">
        <ns0:f>A322*('前提と出典'!$C$36*'契約別単価'!E5+'前提と出典'!$C$37*'契約別単価'!E6+'前提と出典'!$C$38*'契約別単価'!E7)</ns0:f>
        <ns0:v>615312.4008408923</ns0:v>
      </ns0:c>
      <ns0:c r="F322" s="16">
        <ns0:f>A322*('前提と出典'!$C$36*'契約別単価'!F5+'前提と出典'!$C$37*'契約別単価'!F6+'前提と出典'!$C$38*'契約別単価'!F7)</ns0:f>
        <ns0:v>241487.76254587376</ns0:v>
      </ns0:c>
      <ns0:c r="G322" s="16">
        <ns0:f>A322*('前提と出典'!$C$36*'契約別単価'!G5+'前提と出典'!$C$37*'契約別単価'!G6+'前提と出典'!$C$38*'契約別単価'!G7)</ns0:f>
        <ns0:v>632979.8882681564</ns0:v>
      </ns0:c>
      <ns0:c r="H322" s="16">
        <ns0:f>A322*('前提と出典'!$C$36*'契約別単価'!H5+'前提と出典'!$C$37*'契約別単価'!H6+'前提と出典'!$C$38*'契約別単価'!H7)</ns0:f>
        <ns0:v>219675.7676651413</ns0:v>
      </ns0:c>
      <ns0:c r="I322" s="16">
        <ns0:f>A322*('前提と出典'!$C$36*'契約別単価'!I5+'前提と出典'!$C$37*'契約別単価'!I6+'前提と出典'!$C$38*'契約別単価'!I7)</ns0:f>
        <ns0:v>13418.178770949718</ns0:v>
      </ns0:c>
      <ns0:c r="J322" s="16">
        <ns0:f>A322*('前提と出典'!$C$36*'契約別単価'!J5+'前提と出典'!$C$37*'契約別単価'!J6+'前提と出典'!$C$38*'契約別単価'!J7)</ns0:f>
        <ns0:v>31256.074899876217</ns0:v>
      </ns0:c>
      <ns0:c r="K322" s="16">
        <ns0:f>A322*('前提と出典'!$C$36*'契約別単価'!K5+'前提と出典'!$C$37*'契約別単価'!K6+'前提と出典'!$C$38*'契約別単価'!K7)</ns0:f>
        <ns0:v>133974.5251396648</ns0:v>
      </ns0:c>
      <ns0:c r="L322" s="16">
        <ns0:f>A322*('前提と出典'!$C$36*'契約別単価'!L5+'前提と出典'!$C$37*'契約別単価'!L6+'前提と出典'!$C$38*'契約別単価'!L7)</ns0:f>
        <ns0:v>109082.52558883803</ns0:v>
      </ns0:c>
      <ns0:c r="M322" s="16">
        <ns0:f>IF(('前提と出典'!$C$36+'前提と出典'!$C$38)=0,0,IF(B322&lt;=10,'前提と出典'!B73+'前提と出典'!C73,IF(B322&lt;=100,'前提と出典'!B74+'前提と出典'!C74,IF(B322&lt;=500,'前提と出典'!B75+'前提と出典'!C75,'前提と出典'!B76+'前提と出典'!C76))))</ns0:f>
        <ns0:v>40000</ns0:v>
      </ns0:c>
      <ns0:c r="N322" s="16">
        <ns0:f>IF(('前提と出典'!$C$37+'前提と出典'!$C$38)=0,0,IF(C322&lt;=10,'前提と出典'!D73+'前提と出典'!E73,IF(C322&lt;=100,'前提と出典'!D74+'前提と出典'!E74,IF(C322&lt;=500,'前提と出典'!D75+'前提と出典'!E75,'前提と出典'!D76+'前提と出典'!E76))))</ns0:f>
        <ns0:v>56510.9346263078</ns0:v>
      </ns0:c>
      <ns0:c r="O322" s="16">
        <ns0:f>IF('前提と出典'!$C$36+'前提と出典'!$C$38=0,0,'前提と出典'!$B$4*IF('前提と出典'!$B$20=0,MAX('前提と出典'!$B$6,D322*'前提と出典'!$B$5),'前提と出典'!$B$6+D322*'前提と出典'!$B$5))</ns0:f>
        <ns0:v>315768.67039106146</ns0:v>
      </ns0:c>
      <ns0:c r="P322" s="16">
        <ns0:f>(E322+G322)*(1-'前提と出典'!$B$7)-I322-K322-M322-O322</ns0:f>
        <ns0:v>700192.3923994473</ns0:v>
      </ns0:c>
      <ns0:c r="Q322" s="16">
        <ns0:f>(F322+H322)*(1-'前提と出典'!$B$7)-J322-L322-N322</ns0:f>
        <ns0:v>247712.1080083965</ns0:v>
      </ns0:c>
      <ns0:c r="R322" s="16">
        <ns0:f>P322-E322*'前提と出典'!$E$4</ns0:f>
        <ns0:v>515598.6721471794</ns0:v>
      </ns0:c>
      <ns0:c r="S322" s="16">
        <ns0:f>Q322-F322*'前提と出典'!$E$4</ns0:f>
        <ns0:v>175265.77924463432</ns0:v>
      </ns0:c>
      <ns0:c r="T322" s="7">
        <ns0:f>R322+S322</ns0:f>
        <ns0:v>690864.4513918137</ns0:v>
      </ns0:c>
      <ns0:c r="U322" s="16">
        <ns0:f>P322-E322*'前提と出典'!$E$5</ns0:f>
        <ns0:v>454067.43206309027</ns0:v>
      </ns0:c>
      <ns0:c r="V322" s="16">
        <ns0:f>Q322-F322*'前提と出典'!$E$5</ns0:f>
        <ns0:v>151117.00299004698</ns0:v>
      </ns0:c>
      <ns0:c r="W322" s="7">
        <ns0:f>U322+V322</ns0:f>
        <ns0:v>605184.4350531372</ns0:v>
      </ns0:c>
      <ns0:c r="X322" s="16">
        <ns0:f>P322-E322*'前提と出典'!$E$6</ns0:f>
        <ns0:v>392536.1919790009</ns0:v>
      </ns0:c>
      <ns0:c r="Y322" s="16">
        <ns0:f>Q322-F322*'前提と出典'!$E$6</ns0:f>
        <ns0:v>126968.22673545958</ns0:v>
      </ns0:c>
      <ns0:c r="Z322" s="7">
        <ns0:f>X322+Y322</ns0:f>
        <ns0:v>519504.4187144605</ns0:v>
      </ns0:c>
      <ns0:c r="AA322" s="7">
        <ns0:f>IF(T322&gt;=0,A322,1001)</ns0:f>
        <ns0:v>318</ns0:v>
      </ns0:c>
      <ns0:c r="AB322" s="7">
        <ns0:f>IF(T322&lt;0,A322,0)</ns0:f>
        <ns0:v>0</ns0:v>
      </ns0:c>
      <ns0:c r="AC322" s="16">
        <ns0:f>IF(AND(OR('前提と出典'!$C$36+'前提と出典'!$C$38=0,R322&gt;=0),OR('前提と出典'!$C$37+'前提と出典'!$C$38=0,S322&gt;=0)),0,A322)</ns0:f>
        <ns0:v>0</ns0:v>
      </ns0:c>
      <ns0:c r="AD322" s="7">
        <ns0:f>IF(W322&gt;=0,A322,1001)</ns0:f>
        <ns0:v>318</ns0:v>
      </ns0:c>
      <ns0:c r="AE322" s="7">
        <ns0:f>IF(W322&lt;0,A322,0)</ns0:f>
        <ns0:v>0</ns0:v>
      </ns0:c>
      <ns0:c r="AF322" s="16">
        <ns0:f>IF(AND(OR('前提と出典'!$C$36+'前提と出典'!$C$38=0,U322&gt;=0),OR('前提と出典'!$C$37+'前提と出典'!$C$38=0,V322&gt;=0)),0,A322)</ns0:f>
        <ns0:v>0</ns0:v>
      </ns0:c>
      <ns0:c r="AG322" s="7">
        <ns0:f>IF(Z322&gt;=0,A322,1001)</ns0:f>
        <ns0:v>318</ns0:v>
      </ns0:c>
      <ns0:c r="AH322" s="4">
        <ns0:f>IF(Z322&lt;0,A322,0)</ns0:f>
        <ns0:v>0</ns0:v>
      </ns0:c>
      <ns0:c r="AI322" s="12">
        <ns0:f>IF(AND(OR('前提と出典'!$C$36+'前提と出典'!$C$38=0,X322&gt;=0),OR('前提と出典'!$C$37+'前提と出典'!$C$38=0,Y322&gt;=0)),0,A322)</ns0:f>
        <ns0:v>0</ns0:v>
      </ns0:c>
    </ns0:row>
    <ns0:row r="323" ht="24" customHeight="1">
      <ns0:c r="A323" s="4" t="n">
        <ns0:v>319</ns0:v>
      </ns0:c>
      <ns0:c r="B323" s="12">
        <ns0:f>A323*('前提と出典'!$C$36+'前提と出典'!$C$38)</ns0:f>
        <ns0:v>223.29999999999998</ns0:v>
      </ns0:c>
      <ns0:c r="C323" s="12">
        <ns0:f>A323*('前提と出典'!$C$37+'前提と出典'!$C$38)</ns0:f>
        <ns0:v>191.4</ns0:v>
      </ns0:c>
      <ns0:c r="D323" s="16">
        <ns0:f>A323*('前提と出典'!$C$36*'契約別単価'!C5+'前提と出典'!$C$37*'契約別単価'!C6+'前提と出典'!$C$38*'契約別単価'!C7)</ns0:f>
        <ns0:v>2295.3743016759777</ns0:v>
      </ns0:c>
      <ns0:c r="E323" s="16">
        <ns0:f>A323*('前提と出典'!$C$36*'契約別単価'!E5+'前提と出典'!$C$37*'契約別単価'!E6+'前提と出典'!$C$38*'契約別単価'!E7)</ns0:f>
        <ns0:v>617247.3454976247</ns0:v>
      </ns0:c>
      <ns0:c r="F323" s="16">
        <ns0:f>A323*('前提と出典'!$C$36*'契約別単価'!F5+'前提と出典'!$C$37*'契約別単価'!F6+'前提と出典'!$C$38*'契約別単価'!F7)</ns0:f>
        <ns0:v>242247.15802557778</ns0:v>
      </ns0:c>
      <ns0:c r="G323" s="16">
        <ns0:f>A323*('前提と出典'!$C$36*'契約別単価'!G5+'前提と出典'!$C$37*'契約別単価'!G6+'前提と出典'!$C$38*'契約別単価'!G7)</ns0:f>
        <ns0:v>634970.3910614525</ns0:v>
      </ns0:c>
      <ns0:c r="H323" s="16">
        <ns0:f>A323*('前提と出典'!$C$36*'契約別単価'!H5+'前提と出典'!$C$37*'契約別単価'!H6+'前提と出典'!$C$38*'契約別単価'!H7)</ns0:f>
        <ns0:v>220366.57196597508</ns0:v>
      </ns0:c>
      <ns0:c r="I323" s="16">
        <ns0:f>A323*('前提と出典'!$C$36*'契約別単価'!I5+'前提と出典'!$C$37*'契約別単価'!I6+'前提と出典'!$C$38*'契約別単価'!I7)</ns0:f>
        <ns0:v>13460.374301675974</ns0:v>
      </ns0:c>
      <ns0:c r="J323" s="16">
        <ns0:f>A323*('前提と出典'!$C$36*'契約別単価'!J5+'前提と出典'!$C$37*'契約別単価'!J6+'前提と出典'!$C$38*'契約別単価'!J7)</ns0:f>
        <ns0:v>31354.364443586517</ns0:v>
      </ns0:c>
      <ns0:c r="K323" s="16">
        <ns0:f>A323*('前提と出典'!$C$36*'契約別単価'!K5+'前提と出典'!$C$37*'契約別単価'!K6+'前提と出典'!$C$38*'契約別単価'!K7)</ns0:f>
        <ns0:v>134395.82867783983</ns0:v>
      </ns0:c>
      <ns0:c r="L323" s="16">
        <ns0:f>A323*('前提と出典'!$C$36*'契約別単価'!L5+'前提と出典'!$C$37*'契約別単価'!L6+'前提と出典'!$C$38*'契約別単価'!L7)</ns0:f>
        <ns0:v>109425.55239886584</ns0:v>
      </ns0:c>
      <ns0:c r="M323" s="16">
        <ns0:f>IF(('前提と出典'!$C$36+'前提と出典'!$C$38)=0,0,IF(B323&lt;=10,'前提と出典'!B73+'前提と出典'!C73,IF(B323&lt;=100,'前提と出典'!B74+'前提と出典'!C74,IF(B323&lt;=500,'前提と出典'!B75+'前提と出典'!C75,'前提と出典'!B76+'前提と出典'!C76))))</ns0:f>
        <ns0:v>40000</ns0:v>
      </ns0:c>
      <ns0:c r="N323" s="16">
        <ns0:f>IF(('前提と出典'!$C$37+'前提と出典'!$C$38)=0,0,IF(C323&lt;=10,'前提と出典'!D73+'前提と出典'!E73,IF(C323&lt;=100,'前提と出典'!D74+'前提と出典'!E74,IF(C323&lt;=500,'前提と出典'!D75+'前提と出典'!E75,'前提と出典'!D76+'前提と出典'!E76))))</ns0:f>
        <ns0:v>56510.9346263078</ns0:v>
      </ns0:c>
      <ns0:c r="O323" s="16">
        <ns0:f>IF('前提と出典'!$C$36+'前提と出典'!$C$38=0,0,'前提と出典'!$B$4*IF('前提と出典'!$B$20=0,MAX('前提と出典'!$B$6,D323*'前提と出典'!$B$5),'前提と出典'!$B$6+D323*'前提と出典'!$B$5))</ns0:f>
        <ns0:v>316761.65363128495</ns0:v>
      </ns0:c>
      <ns0:c r="P323" s="16">
        <ns0:f>(E323+G323)*(1-'前提と出典'!$B$7)-I323-K323-M323-O323</ns0:f>
        <ns0:v>702520.0414321497</ns0:v>
      </ns0:c>
      <ns0:c r="Q323" s="16">
        <ns0:f>(F323+H323)*(1-'前提と出典'!$B$7)-J323-L323-N323</ns0:f>
        <ns0:v>248668.78424309686</ns0:v>
      </ns0:c>
      <ns0:c r="R323" s="16">
        <ns0:f>P323-E323*'前提と出典'!$E$4</ns0:f>
        <ns0:v>517345.83778286236</ns0:v>
      </ns0:c>
      <ns0:c r="S323" s="16">
        <ns0:f>Q323-F323*'前提と出典'!$E$4</ns0:f>
        <ns0:v>175994.63683542356</ns0:v>
      </ns0:c>
      <ns0:c r="T323" s="7">
        <ns0:f>R323+S323</ns0:f>
        <ns0:v>693340.4746182859</ns0:v>
      </ns0:c>
      <ns0:c r="U323" s="16">
        <ns0:f>P323-E323*'前提と出典'!$E$5</ns0:f>
        <ns0:v>455621.1032330998</ns0:v>
      </ns0:c>
      <ns0:c r="V323" s="16">
        <ns0:f>Q323-F323*'前提と出典'!$E$5</ns0:f>
        <ns0:v>151769.92103286574</ns0:v>
      </ns0:c>
      <ns0:c r="W323" s="7">
        <ns0:f>U323+V323</ns0:f>
        <ns0:v>607391.0242659656</ns0:v>
      </ns0:c>
      <ns0:c r="X323" s="16">
        <ns0:f>P323-E323*'前提と出典'!$E$6</ns0:f>
        <ns0:v>393896.36868333735</ns0:v>
      </ns0:c>
      <ns0:c r="Y323" s="16">
        <ns0:f>Q323-F323*'前提と出典'!$E$6</ns0:f>
        <ns0:v>127545.20523030797</ns0:v>
      </ns0:c>
      <ns0:c r="Z323" s="7">
        <ns0:f>X323+Y323</ns0:f>
        <ns0:v>521441.57391364535</ns0:v>
      </ns0:c>
      <ns0:c r="AA323" s="7">
        <ns0:f>IF(T323&gt;=0,A323,1001)</ns0:f>
        <ns0:v>319</ns0:v>
      </ns0:c>
      <ns0:c r="AB323" s="7">
        <ns0:f>IF(T323&lt;0,A323,0)</ns0:f>
        <ns0:v>0</ns0:v>
      </ns0:c>
      <ns0:c r="AC323" s="16">
        <ns0:f>IF(AND(OR('前提と出典'!$C$36+'前提と出典'!$C$38=0,R323&gt;=0),OR('前提と出典'!$C$37+'前提と出典'!$C$38=0,S323&gt;=0)),0,A323)</ns0:f>
        <ns0:v>0</ns0:v>
      </ns0:c>
      <ns0:c r="AD323" s="7">
        <ns0:f>IF(W323&gt;=0,A323,1001)</ns0:f>
        <ns0:v>319</ns0:v>
      </ns0:c>
      <ns0:c r="AE323" s="7">
        <ns0:f>IF(W323&lt;0,A323,0)</ns0:f>
        <ns0:v>0</ns0:v>
      </ns0:c>
      <ns0:c r="AF323" s="16">
        <ns0:f>IF(AND(OR('前提と出典'!$C$36+'前提と出典'!$C$38=0,U323&gt;=0),OR('前提と出典'!$C$37+'前提と出典'!$C$38=0,V323&gt;=0)),0,A323)</ns0:f>
        <ns0:v>0</ns0:v>
      </ns0:c>
      <ns0:c r="AG323" s="7">
        <ns0:f>IF(Z323&gt;=0,A323,1001)</ns0:f>
        <ns0:v>319</ns0:v>
      </ns0:c>
      <ns0:c r="AH323" s="4">
        <ns0:f>IF(Z323&lt;0,A323,0)</ns0:f>
        <ns0:v>0</ns0:v>
      </ns0:c>
      <ns0:c r="AI323" s="12">
        <ns0:f>IF(AND(OR('前提と出典'!$C$36+'前提と出典'!$C$38=0,X323&gt;=0),OR('前提と出典'!$C$37+'前提と出典'!$C$38=0,Y323&gt;=0)),0,A323)</ns0:f>
        <ns0:v>0</ns0:v>
      </ns0:c>
    </ns0:row>
    <ns0:row r="324" ht="24" customHeight="1">
      <ns0:c r="A324" s="4" t="n">
        <ns0:v>320</ns0:v>
      </ns0:c>
      <ns0:c r="B324" s="12">
        <ns0:f>A324*('前提と出典'!$C$36+'前提と出典'!$C$38)</ns0:f>
        <ns0:v>224</ns0:v>
      </ns0:c>
      <ns0:c r="C324" s="12">
        <ns0:f>A324*('前提と出典'!$C$37+'前提と出典'!$C$38)</ns0:f>
        <ns0:v>192</ns0:v>
      </ns0:c>
      <ns0:c r="D324" s="16">
        <ns0:f>A324*('前提と出典'!$C$36*'契約別単価'!C5+'前提と出典'!$C$37*'契約別単価'!C6+'前提と出典'!$C$38*'契約別単価'!C7)</ns0:f>
        <ns0:v>2302.5698324022346</ns0:v>
      </ns0:c>
      <ns0:c r="E324" s="16">
        <ns0:f>A324*('前提と出典'!$C$36*'契約別単価'!E5+'前提と出典'!$C$37*'契約別単価'!E6+'前提と出典'!$C$38*'契約別単価'!E7)</ns0:f>
        <ns0:v>619182.2901543571</ns0:v>
      </ns0:c>
      <ns0:c r="F324" s="16">
        <ns0:f>A324*('前提と出典'!$C$36*'契約別単価'!F5+'前提と出典'!$C$37*'契約別単価'!F6+'前提と出典'!$C$38*'契約別単価'!F7)</ns0:f>
        <ns0:v>243006.55350528177</ns0:v>
      </ns0:c>
      <ns0:c r="G324" s="16">
        <ns0:f>A324*('前提と出典'!$C$36*'契約別単価'!G5+'前提と出典'!$C$37*'契約別単価'!G6+'前提と出典'!$C$38*'契約別単価'!G7)</ns0:f>
        <ns0:v>636960.8938547486</ns0:v>
      </ns0:c>
      <ns0:c r="H324" s="16">
        <ns0:f>A324*('前提と出典'!$C$36*'契約別単価'!H5+'前提と出典'!$C$37*'契約別単価'!H6+'前提と出典'!$C$38*'契約別単価'!H7)</ns0:f>
        <ns0:v>221057.37626680886</ns0:v>
      </ns0:c>
      <ns0:c r="I324" s="16">
        <ns0:f>A324*('前提と出典'!$C$36*'契約別単価'!I5+'前提と出典'!$C$37*'契約別単価'!I6+'前提と出典'!$C$38*'契約別単価'!I7)</ns0:f>
        <ns0:v>13502.569832402232</ns0:v>
      </ns0:c>
      <ns0:c r="J324" s="16">
        <ns0:f>A324*('前提と出典'!$C$36*'契約別単価'!J5+'前提と出典'!$C$37*'契約別単価'!J6+'前提と出典'!$C$38*'契約別単価'!J7)</ns0:f>
        <ns0:v>31452.65398729682</ns0:v>
      </ns0:c>
      <ns0:c r="K324" s="16">
        <ns0:f>A324*('前提と出典'!$C$36*'契約別単価'!K5+'前提と出典'!$C$37*'契約別単価'!K6+'前提と出典'!$C$38*'契約別単価'!K7)</ns0:f>
        <ns0:v>134817.1322160149</ns0:v>
      </ns0:c>
      <ns0:c r="L324" s="16">
        <ns0:f>A324*('前提と出典'!$C$36*'契約別単価'!L5+'前提と出典'!$C$37*'契約別単価'!L6+'前提と出典'!$C$38*'契約別単価'!L7)</ns0:f>
        <ns0:v>109768.57920889363</ns0:v>
      </ns0:c>
      <ns0:c r="M324" s="16">
        <ns0:f>IF(('前提と出典'!$C$36+'前提と出典'!$C$38)=0,0,IF(B324&lt;=10,'前提と出典'!B73+'前提と出典'!C73,IF(B324&lt;=100,'前提と出典'!B74+'前提と出典'!C74,IF(B324&lt;=500,'前提と出典'!B75+'前提と出典'!C75,'前提と出典'!B76+'前提と出典'!C76))))</ns0:f>
        <ns0:v>40000</ns0:v>
      </ns0:c>
      <ns0:c r="N324" s="16">
        <ns0:f>IF(('前提と出典'!$C$37+'前提と出典'!$C$38)=0,0,IF(C324&lt;=10,'前提と出典'!D73+'前提と出典'!E73,IF(C324&lt;=100,'前提と出典'!D74+'前提と出典'!E74,IF(C324&lt;=500,'前提と出典'!D75+'前提と出典'!E75,'前提と出典'!D76+'前提と出典'!E76))))</ns0:f>
        <ns0:v>56510.9346263078</ns0:v>
      </ns0:c>
      <ns0:c r="O324" s="16">
        <ns0:f>IF('前提と出典'!$C$36+'前提と出典'!$C$38=0,0,'前提と出典'!$B$4*IF('前提と出典'!$B$20=0,MAX('前提と出典'!$B$6,D324*'前提と出典'!$B$5),'前提と出典'!$B$6+D324*'前提と出典'!$B$5))</ns0:f>
        <ns0:v>317754.6368715084</ns0:v>
      </ns0:c>
      <ns0:c r="P324" s="16">
        <ns0:f>(E324+G324)*(1-'前提と出典'!$B$7)-I324-K324-M324-O324</ns0:f>
        <ns0:v>704847.6904648524</ns0:v>
      </ns0:c>
      <ns0:c r="Q324" s="16">
        <ns0:f>(F324+H324)*(1-'前提と出典'!$B$7)-J324-L324-N324</ns0:f>
        <ns0:v>249625.46047779714</ns0:v>
      </ns0:c>
      <ns0:c r="R324" s="16">
        <ns0:f>P324-E324*'前提と出典'!$E$4</ns0:f>
        <ns0:v>519093.0034185452</ns0:v>
      </ns0:c>
      <ns0:c r="S324" s="16">
        <ns0:f>Q324-F324*'前提と出典'!$E$4</ns0:f>
        <ns0:v>176723.49442621262</ns0:v>
      </ns0:c>
      <ns0:c r="T324" s="7">
        <ns0:f>R324+S324</ns0:f>
        <ns0:v>695816.4978447577</ns0:v>
      </ns0:c>
      <ns0:c r="U324" s="16">
        <ns0:f>P324-E324*'前提と出典'!$E$5</ns0:f>
        <ns0:v>457174.7744031095</ns0:v>
      </ns0:c>
      <ns0:c r="V324" s="16">
        <ns0:f>Q324-F324*'前提と出典'!$E$5</ns0:f>
        <ns0:v>152422.83907568443</ns0:v>
      </ns0:c>
      <ns0:c r="W324" s="7">
        <ns0:f>U324+V324</ns0:f>
        <ns0:v>609597.613478794</ns0:v>
      </ns0:c>
      <ns0:c r="X324" s="16">
        <ns0:f>P324-E324*'前提と出典'!$E$6</ns0:f>
        <ns0:v>395256.54538767383</ns0:v>
      </ns0:c>
      <ns0:c r="Y324" s="16">
        <ns0:f>Q324-F324*'前提と出典'!$E$6</ns0:f>
        <ns0:v>128122.18372515624</ns0:v>
      </ns0:c>
      <ns0:c r="Z324" s="7">
        <ns0:f>X324+Y324</ns0:f>
        <ns0:v>523378.7291128301</ns0:v>
      </ns0:c>
      <ns0:c r="AA324" s="7">
        <ns0:f>IF(T324&gt;=0,A324,1001)</ns0:f>
        <ns0:v>320</ns0:v>
      </ns0:c>
      <ns0:c r="AB324" s="7">
        <ns0:f>IF(T324&lt;0,A324,0)</ns0:f>
        <ns0:v>0</ns0:v>
      </ns0:c>
      <ns0:c r="AC324" s="16">
        <ns0:f>IF(AND(OR('前提と出典'!$C$36+'前提と出典'!$C$38=0,R324&gt;=0),OR('前提と出典'!$C$37+'前提と出典'!$C$38=0,S324&gt;=0)),0,A324)</ns0:f>
        <ns0:v>0</ns0:v>
      </ns0:c>
      <ns0:c r="AD324" s="7">
        <ns0:f>IF(W324&gt;=0,A324,1001)</ns0:f>
        <ns0:v>320</ns0:v>
      </ns0:c>
      <ns0:c r="AE324" s="7">
        <ns0:f>IF(W324&lt;0,A324,0)</ns0:f>
        <ns0:v>0</ns0:v>
      </ns0:c>
      <ns0:c r="AF324" s="16">
        <ns0:f>IF(AND(OR('前提と出典'!$C$36+'前提と出典'!$C$38=0,U324&gt;=0),OR('前提と出典'!$C$37+'前提と出典'!$C$38=0,V324&gt;=0)),0,A324)</ns0:f>
        <ns0:v>0</ns0:v>
      </ns0:c>
      <ns0:c r="AG324" s="7">
        <ns0:f>IF(Z324&gt;=0,A324,1001)</ns0:f>
        <ns0:v>320</ns0:v>
      </ns0:c>
      <ns0:c r="AH324" s="4">
        <ns0:f>IF(Z324&lt;0,A324,0)</ns0:f>
        <ns0:v>0</ns0:v>
      </ns0:c>
      <ns0:c r="AI324" s="12">
        <ns0:f>IF(AND(OR('前提と出典'!$C$36+'前提と出典'!$C$38=0,X324&gt;=0),OR('前提と出典'!$C$37+'前提と出典'!$C$38=0,Y324&gt;=0)),0,A324)</ns0:f>
        <ns0:v>0</ns0:v>
      </ns0:c>
    </ns0:row>
    <ns0:row r="325" ht="24" customHeight="1">
      <ns0:c r="A325" s="4" t="n">
        <ns0:v>321</ns0:v>
      </ns0:c>
      <ns0:c r="B325" s="12">
        <ns0:f>A325*('前提と出典'!$C$36+'前提と出典'!$C$38)</ns0:f>
        <ns0:v>224.7</ns0:v>
      </ns0:c>
      <ns0:c r="C325" s="12">
        <ns0:f>A325*('前提と出典'!$C$37+'前提と出典'!$C$38)</ns0:f>
        <ns0:v>192.6</ns0:v>
      </ns0:c>
      <ns0:c r="D325" s="16">
        <ns0:f>A325*('前提と出典'!$C$36*'契約別単価'!C5+'前提と出典'!$C$37*'契約別単価'!C6+'前提と出典'!$C$38*'契約別単価'!C7)</ns0:f>
        <ns0:v>2309.7653631284916</ns0:v>
      </ns0:c>
      <ns0:c r="E325" s="16">
        <ns0:f>A325*('前提と出典'!$C$36*'契約別単価'!E5+'前提と出典'!$C$37*'契約別単価'!E6+'前提と出典'!$C$38*'契約別単価'!E7)</ns0:f>
        <ns0:v>621117.2348110895</ns0:v>
      </ns0:c>
      <ns0:c r="F325" s="16">
        <ns0:f>A325*('前提と出典'!$C$36*'契約別単価'!F5+'前提と出典'!$C$37*'契約別単価'!F6+'前提と出典'!$C$38*'契約別単価'!F7)</ns0:f>
        <ns0:v>243765.94898498576</ns0:v>
      </ns0:c>
      <ns0:c r="G325" s="16">
        <ns0:f>A325*('前提と出典'!$C$36*'契約別単価'!G5+'前提と出典'!$C$37*'契約別単価'!G6+'前提と出典'!$C$38*'契約別単価'!G7)</ns0:f>
        <ns0:v>638951.3966480447</ns0:v>
      </ns0:c>
      <ns0:c r="H325" s="16">
        <ns0:f>A325*('前提と出典'!$C$36*'契約別単価'!H5+'前提と出典'!$C$37*'契約別単価'!H6+'前提と出典'!$C$38*'契約別単価'!H7)</ns0:f>
        <ns0:v>221748.18056764264</ns0:v>
      </ns0:c>
      <ns0:c r="I325" s="16">
        <ns0:f>A325*('前提と出典'!$C$36*'契約別単価'!I5+'前提と出典'!$C$37*'契約別単価'!I6+'前提と出典'!$C$38*'契約別単価'!I7)</ns0:f>
        <ns0:v>13544.76536312849</ns0:v>
      </ns0:c>
      <ns0:c r="J325" s="16">
        <ns0:f>A325*('前提と出典'!$C$36*'契約別単価'!J5+'前提と出典'!$C$37*'契約別単価'!J6+'前提と出典'!$C$38*'契約別単価'!J7)</ns0:f>
        <ns0:v>31550.943531007124</ns0:v>
      </ns0:c>
      <ns0:c r="K325" s="16">
        <ns0:f>A325*('前提と出典'!$C$36*'契約別単価'!K5+'前提と出典'!$C$37*'契約別単価'!K6+'前提と出典'!$C$38*'契約別単価'!K7)</ns0:f>
        <ns0:v>135238.43575418994</ns0:v>
      </ns0:c>
      <ns0:c r="L325" s="16">
        <ns0:f>A325*('前提と出典'!$C$36*'契約別単価'!L5+'前提と出典'!$C$37*'契約別単価'!L6+'前提と出典'!$C$38*'契約別単価'!L7)</ns0:f>
        <ns0:v>110111.60601892142</ns0:v>
      </ns0:c>
      <ns0:c r="M325" s="16">
        <ns0:f>IF(('前提と出典'!$C$36+'前提と出典'!$C$38)=0,0,IF(B325&lt;=10,'前提と出典'!B73+'前提と出典'!C73,IF(B325&lt;=100,'前提と出典'!B74+'前提と出典'!C74,IF(B325&lt;=500,'前提と出典'!B75+'前提と出典'!C75,'前提と出典'!B76+'前提と出典'!C76))))</ns0:f>
        <ns0:v>40000</ns0:v>
      </ns0:c>
      <ns0:c r="N325" s="16">
        <ns0:f>IF(('前提と出典'!$C$37+'前提と出典'!$C$38)=0,0,IF(C325&lt;=10,'前提と出典'!D73+'前提と出典'!E73,IF(C325&lt;=100,'前提と出典'!D74+'前提と出典'!E74,IF(C325&lt;=500,'前提と出典'!D75+'前提と出典'!E75,'前提と出典'!D76+'前提と出典'!E76))))</ns0:f>
        <ns0:v>56510.9346263078</ns0:v>
      </ns0:c>
      <ns0:c r="O325" s="16">
        <ns0:f>IF('前提と出典'!$C$36+'前提と出典'!$C$38=0,0,'前提と出典'!$B$4*IF('前提と出典'!$B$20=0,MAX('前提と出典'!$B$6,D325*'前提と出典'!$B$5),'前提と出典'!$B$6+D325*'前提と出典'!$B$5))</ns0:f>
        <ns0:v>318747.6201117318</ns0:v>
      </ns0:c>
      <ns0:c r="P325" s="16">
        <ns0:f>(E325+G325)*(1-'前提と出典'!$B$7)-I325-K325-M325-O325</ns0:f>
        <ns0:v>707175.339497555</ns0:v>
      </ns0:c>
      <ns0:c r="Q325" s="16">
        <ns0:f>(F325+H325)*(1-'前提と出典'!$B$7)-J325-L325-N325</ns0:f>
        <ns0:v>250582.13671249745</ns0:v>
      </ns0:c>
      <ns0:c r="R325" s="16">
        <ns0:f>P325-E325*'前提と出典'!$E$4</ns0:f>
        <ns0:v>520840.1690542281</ns0:v>
      </ns0:c>
      <ns0:c r="S325" s="16">
        <ns0:f>Q325-F325*'前提と出典'!$E$4</ns0:f>
        <ns0:v>177452.35201700171</ns0:v>
      </ns0:c>
      <ns0:c r="T325" s="7">
        <ns0:f>R325+S325</ns0:f>
        <ns0:v>698292.5210712298</ns0:v>
      </ns0:c>
      <ns0:c r="U325" s="16">
        <ns0:f>P325-E325*'前提と出典'!$E$5</ns0:f>
        <ns0:v>458728.4455731192</ns0:v>
      </ns0:c>
      <ns0:c r="V325" s="16">
        <ns0:f>Q325-F325*'前提と出典'!$E$5</ns0:f>
        <ns0:v>153075.75711850316</ns0:v>
      </ns0:c>
      <ns0:c r="W325" s="7">
        <ns0:f>U325+V325</ns0:f>
        <ns0:v>611804.2026916223</ns0:v>
      </ns0:c>
      <ns0:c r="X325" s="16">
        <ns0:f>P325-E325*'前提と出典'!$E$6</ns0:f>
        <ns0:v>396616.7220920103</ns0:v>
      </ns0:c>
      <ns0:c r="Y325" s="16">
        <ns0:f>Q325-F325*'前提と出典'!$E$6</ns0:f>
        <ns0:v>128699.1622200046</ns0:v>
      </ns0:c>
      <ns0:c r="Z325" s="7">
        <ns0:f>X325+Y325</ns0:f>
        <ns0:v>525315.8843120149</ns0:v>
      </ns0:c>
      <ns0:c r="AA325" s="7">
        <ns0:f>IF(T325&gt;=0,A325,1001)</ns0:f>
        <ns0:v>321</ns0:v>
      </ns0:c>
      <ns0:c r="AB325" s="7">
        <ns0:f>IF(T325&lt;0,A325,0)</ns0:f>
        <ns0:v>0</ns0:v>
      </ns0:c>
      <ns0:c r="AC325" s="16">
        <ns0:f>IF(AND(OR('前提と出典'!$C$36+'前提と出典'!$C$38=0,R325&gt;=0),OR('前提と出典'!$C$37+'前提と出典'!$C$38=0,S325&gt;=0)),0,A325)</ns0:f>
        <ns0:v>0</ns0:v>
      </ns0:c>
      <ns0:c r="AD325" s="7">
        <ns0:f>IF(W325&gt;=0,A325,1001)</ns0:f>
        <ns0:v>321</ns0:v>
      </ns0:c>
      <ns0:c r="AE325" s="7">
        <ns0:f>IF(W325&lt;0,A325,0)</ns0:f>
        <ns0:v>0</ns0:v>
      </ns0:c>
      <ns0:c r="AF325" s="16">
        <ns0:f>IF(AND(OR('前提と出典'!$C$36+'前提と出典'!$C$38=0,U325&gt;=0),OR('前提と出典'!$C$37+'前提と出典'!$C$38=0,V325&gt;=0)),0,A325)</ns0:f>
        <ns0:v>0</ns0:v>
      </ns0:c>
      <ns0:c r="AG325" s="7">
        <ns0:f>IF(Z325&gt;=0,A325,1001)</ns0:f>
        <ns0:v>321</ns0:v>
      </ns0:c>
      <ns0:c r="AH325" s="4">
        <ns0:f>IF(Z325&lt;0,A325,0)</ns0:f>
        <ns0:v>0</ns0:v>
      </ns0:c>
      <ns0:c r="AI325" s="12">
        <ns0:f>IF(AND(OR('前提と出典'!$C$36+'前提と出典'!$C$38=0,X325&gt;=0),OR('前提と出典'!$C$37+'前提と出典'!$C$38=0,Y325&gt;=0)),0,A325)</ns0:f>
        <ns0:v>0</ns0:v>
      </ns0:c>
    </ns0:row>
    <ns0:row r="326" ht="24" customHeight="1">
      <ns0:c r="A326" s="4" t="n">
        <ns0:v>322</ns0:v>
      </ns0:c>
      <ns0:c r="B326" s="12">
        <ns0:f>A326*('前提と出典'!$C$36+'前提と出典'!$C$38)</ns0:f>
        <ns0:v>225.39999999999998</ns0:v>
      </ns0:c>
      <ns0:c r="C326" s="12">
        <ns0:f>A326*('前提と出典'!$C$37+'前提と出典'!$C$38)</ns0:f>
        <ns0:v>193.2</ns0:v>
      </ns0:c>
      <ns0:c r="D326" s="16">
        <ns0:f>A326*('前提と出典'!$C$36*'契約別単価'!C5+'前提と出典'!$C$37*'契約別単価'!C6+'前提と出典'!$C$38*'契約別単価'!C7)</ns0:f>
        <ns0:v>2316.9608938547485</ns0:v>
      </ns0:c>
      <ns0:c r="E326" s="16">
        <ns0:f>A326*('前提と出典'!$C$36*'契約別単価'!E5+'前提と出典'!$C$37*'契約別単価'!E6+'前提と出典'!$C$38*'契約別単価'!E7)</ns0:f>
        <ns0:v>623052.1794678218</ns0:v>
      </ns0:c>
      <ns0:c r="F326" s="16">
        <ns0:f>A326*('前提と出典'!$C$36*'契約別単価'!F5+'前提と出典'!$C$37*'契約別単価'!F6+'前提と出典'!$C$38*'契約別単価'!F7)</ns0:f>
        <ns0:v>244525.34446468978</ns0:v>
      </ns0:c>
      <ns0:c r="G326" s="16">
        <ns0:f>A326*('前提と出典'!$C$36*'契約別単価'!G5+'前提と出典'!$C$37*'契約別単価'!G6+'前提と出典'!$C$38*'契約別単価'!G7)</ns0:f>
        <ns0:v>640941.8994413407</ns0:v>
      </ns0:c>
      <ns0:c r="H326" s="16">
        <ns0:f>A326*('前提と出典'!$C$36*'契約別単価'!H5+'前提と出典'!$C$37*'契約別単価'!H6+'前提と出典'!$C$38*'契約別単価'!H7)</ns0:f>
        <ns0:v>222438.98486847643</ns0:v>
      </ns0:c>
      <ns0:c r="I326" s="16">
        <ns0:f>A326*('前提と出典'!$C$36*'契約別単価'!I5+'前提と出典'!$C$37*'契約別単価'!I6+'前提と出典'!$C$38*'契約別単価'!I7)</ns0:f>
        <ns0:v>13586.960893854746</ns0:v>
      </ns0:c>
      <ns0:c r="J326" s="16">
        <ns0:f>A326*('前提と出典'!$C$36*'契約別単価'!J5+'前提と出典'!$C$37*'契約別単価'!J6+'前提と出典'!$C$38*'契約別単価'!J7)</ns0:f>
        <ns0:v>31649.233074717427</ns0:v>
      </ns0:c>
      <ns0:c r="K326" s="16">
        <ns0:f>A326*('前提と出典'!$C$36*'契約別単価'!K5+'前提と出典'!$C$37*'契約別単価'!K6+'前提と出典'!$C$38*'契約別単価'!K7)</ns0:f>
        <ns0:v>135659.73929236497</ns0:v>
      </ns0:c>
      <ns0:c r="L326" s="16">
        <ns0:f>A326*('前提と出典'!$C$36*'契約別単価'!L5+'前提と出典'!$C$37*'契約別単価'!L6+'前提と出典'!$C$38*'契約別単価'!L7)</ns0:f>
        <ns0:v>110454.63282894921</ns0:v>
      </ns0:c>
      <ns0:c r="M326" s="16">
        <ns0:f>IF(('前提と出典'!$C$36+'前提と出典'!$C$38)=0,0,IF(B326&lt;=10,'前提と出典'!B73+'前提と出典'!C73,IF(B326&lt;=100,'前提と出典'!B74+'前提と出典'!C74,IF(B326&lt;=500,'前提と出典'!B75+'前提と出典'!C75,'前提と出典'!B76+'前提と出典'!C76))))</ns0:f>
        <ns0:v>40000</ns0:v>
      </ns0:c>
      <ns0:c r="N326" s="16">
        <ns0:f>IF(('前提と出典'!$C$37+'前提と出典'!$C$38)=0,0,IF(C326&lt;=10,'前提と出典'!D73+'前提と出典'!E73,IF(C326&lt;=100,'前提と出典'!D74+'前提と出典'!E74,IF(C326&lt;=500,'前提と出典'!D75+'前提と出典'!E75,'前提と出典'!D76+'前提と出典'!E76))))</ns0:f>
        <ns0:v>56510.9346263078</ns0:v>
      </ns0:c>
      <ns0:c r="O326" s="16">
        <ns0:f>IF('前提と出典'!$C$36+'前提と出典'!$C$38=0,0,'前提と出典'!$B$4*IF('前提と出典'!$B$20=0,MAX('前提と出典'!$B$6,D326*'前提と出典'!$B$5),'前提と出典'!$B$6+D326*'前提と出典'!$B$5))</ns0:f>
        <ns0:v>319740.6033519553</ns0:v>
      </ns0:c>
      <ns0:c r="P326" s="16">
        <ns0:f>(E326+G326)*(1-'前提と出典'!$B$7)-I326-K326-M326-O326</ns0:f>
        <ns0:v>709502.9885302575</ns0:v>
      </ns0:c>
      <ns0:c r="Q326" s="16">
        <ns0:f>(F326+H326)*(1-'前提と出典'!$B$7)-J326-L326-N326</ns0:f>
        <ns0:v>251538.81294719788</ns0:v>
      </ns0:c>
      <ns0:c r="R326" s="16">
        <ns0:f>P326-E326*'前提と出典'!$E$4</ns0:f>
        <ns0:v>522587.334689911</ns0:v>
      </ns0:c>
      <ns0:c r="S326" s="16">
        <ns0:f>Q326-F326*'前提と出典'!$E$4</ns0:f>
        <ns0:v>178181.20960779086</ns0:v>
      </ns0:c>
      <ns0:c r="T326" s="7">
        <ns0:f>R326+S326</ns0:f>
        <ns0:v>700768.5442977019</ns0:v>
      </ns0:c>
      <ns0:c r="U326" s="16">
        <ns0:f>P326-E326*'前提と出典'!$E$5</ns0:f>
        <ns0:v>460282.11674312875</ns0:v>
      </ns0:c>
      <ns0:c r="V326" s="16">
        <ns0:f>Q326-F326*'前提と出典'!$E$5</ns0:f>
        <ns0:v>153728.67516132194</ns0:v>
      </ns0:c>
      <ns0:c r="W326" s="7">
        <ns0:f>U326+V326</ns0:f>
        <ns0:v>614010.7919044506</ns0:v>
      </ns0:c>
      <ns0:c r="X326" s="16">
        <ns0:f>P326-E326*'前提と出典'!$E$6</ns0:f>
        <ns0:v>397976.8987963465</ns0:v>
      </ns0:c>
      <ns0:c r="Y326" s="16">
        <ns0:f>Q326-F326*'前提と出典'!$E$6</ns0:f>
        <ns0:v>129276.14071485301</ns0:v>
      </ns0:c>
      <ns0:c r="Z326" s="7">
        <ns0:f>X326+Y326</ns0:f>
        <ns0:v>527253.0395111996</ns0:v>
      </ns0:c>
      <ns0:c r="AA326" s="7">
        <ns0:f>IF(T326&gt;=0,A326,1001)</ns0:f>
        <ns0:v>322</ns0:v>
      </ns0:c>
      <ns0:c r="AB326" s="7">
        <ns0:f>IF(T326&lt;0,A326,0)</ns0:f>
        <ns0:v>0</ns0:v>
      </ns0:c>
      <ns0:c r="AC326" s="16">
        <ns0:f>IF(AND(OR('前提と出典'!$C$36+'前提と出典'!$C$38=0,R326&gt;=0),OR('前提と出典'!$C$37+'前提と出典'!$C$38=0,S326&gt;=0)),0,A326)</ns0:f>
        <ns0:v>0</ns0:v>
      </ns0:c>
      <ns0:c r="AD326" s="7">
        <ns0:f>IF(W326&gt;=0,A326,1001)</ns0:f>
        <ns0:v>322</ns0:v>
      </ns0:c>
      <ns0:c r="AE326" s="7">
        <ns0:f>IF(W326&lt;0,A326,0)</ns0:f>
        <ns0:v>0</ns0:v>
      </ns0:c>
      <ns0:c r="AF326" s="16">
        <ns0:f>IF(AND(OR('前提と出典'!$C$36+'前提と出典'!$C$38=0,U326&gt;=0),OR('前提と出典'!$C$37+'前提と出典'!$C$38=0,V326&gt;=0)),0,A326)</ns0:f>
        <ns0:v>0</ns0:v>
      </ns0:c>
      <ns0:c r="AG326" s="7">
        <ns0:f>IF(Z326&gt;=0,A326,1001)</ns0:f>
        <ns0:v>322</ns0:v>
      </ns0:c>
      <ns0:c r="AH326" s="4">
        <ns0:f>IF(Z326&lt;0,A326,0)</ns0:f>
        <ns0:v>0</ns0:v>
      </ns0:c>
      <ns0:c r="AI326" s="12">
        <ns0:f>IF(AND(OR('前提と出典'!$C$36+'前提と出典'!$C$38=0,X326&gt;=0),OR('前提と出典'!$C$37+'前提と出典'!$C$38=0,Y326&gt;=0)),0,A326)</ns0:f>
        <ns0:v>0</ns0:v>
      </ns0:c>
    </ns0:row>
    <ns0:row r="327" ht="24" customHeight="1">
      <ns0:c r="A327" s="4" t="n">
        <ns0:v>323</ns0:v>
      </ns0:c>
      <ns0:c r="B327" s="12">
        <ns0:f>A327*('前提と出典'!$C$36+'前提と出典'!$C$38)</ns0:f>
        <ns0:v>226.1</ns0:v>
      </ns0:c>
      <ns0:c r="C327" s="12">
        <ns0:f>A327*('前提と出典'!$C$37+'前提と出典'!$C$38)</ns0:f>
        <ns0:v>193.79999999999998</ns0:v>
      </ns0:c>
      <ns0:c r="D327" s="16">
        <ns0:f>A327*('前提と出典'!$C$36*'契約別単価'!C5+'前提と出典'!$C$37*'契約別単価'!C6+'前提と出典'!$C$38*'契約別単価'!C7)</ns0:f>
        <ns0:v>2324.1564245810055</ns0:v>
      </ns0:c>
      <ns0:c r="E327" s="16">
        <ns0:f>A327*('前提と出典'!$C$36*'契約別単価'!E5+'前提と出典'!$C$37*'契約別単価'!E6+'前提と出典'!$C$38*'契約別単価'!E7)</ns0:f>
        <ns0:v>624987.1241245542</ns0:v>
      </ns0:c>
      <ns0:c r="F327" s="16">
        <ns0:f>A327*('前提と出典'!$C$36*'契約別単価'!F5+'前提と出典'!$C$37*'契約別単価'!F6+'前提と出典'!$C$38*'契約別単価'!F7)</ns0:f>
        <ns0:v>245284.73994439378</ns0:v>
      </ns0:c>
      <ns0:c r="G327" s="16">
        <ns0:f>A327*('前提と出典'!$C$36*'契約別単価'!G5+'前提と出典'!$C$37*'契約別単価'!G6+'前提と出典'!$C$38*'契約別単価'!G7)</ns0:f>
        <ns0:v>642932.4022346368</ns0:v>
      </ns0:c>
      <ns0:c r="H327" s="16">
        <ns0:f>A327*('前提と出典'!$C$36*'契約別単価'!H5+'前提と出典'!$C$37*'契約別単価'!H6+'前提と出典'!$C$38*'契約別単価'!H7)</ns0:f>
        <ns0:v>223129.78916931018</ns0:v>
      </ns0:c>
      <ns0:c r="I327" s="16">
        <ns0:f>A327*('前提と出典'!$C$36*'契約別単価'!I5+'前提と出典'!$C$37*'契約別単価'!I6+'前提と出典'!$C$38*'契約別単価'!I7)</ns0:f>
        <ns0:v>13629.156424581004</ns0:v>
      </ns0:c>
      <ns0:c r="J327" s="16">
        <ns0:f>A327*('前提と出典'!$C$36*'契約別単価'!J5+'前提と出典'!$C$37*'契約別単価'!J6+'前提と出典'!$C$38*'契約別単価'!J7)</ns0:f>
        <ns0:v>31747.52261842773</ns0:v>
      </ns0:c>
      <ns0:c r="K327" s="16">
        <ns0:f>A327*('前提と出典'!$C$36*'契約別単価'!K5+'前提と出典'!$C$37*'契約別単価'!K6+'前提と出典'!$C$38*'契約別単価'!K7)</ns0:f>
        <ns0:v>136081.04283054004</ns0:v>
      </ns0:c>
      <ns0:c r="L327" s="16">
        <ns0:f>A327*('前提と出典'!$C$36*'契約別単価'!L5+'前提と出典'!$C$37*'契約別単価'!L6+'前提と出典'!$C$38*'契約別単価'!L7)</ns0:f>
        <ns0:v>110797.659638977</ns0:v>
      </ns0:c>
      <ns0:c r="M327" s="16">
        <ns0:f>IF(('前提と出典'!$C$36+'前提と出典'!$C$38)=0,0,IF(B327&lt;=10,'前提と出典'!B73+'前提と出典'!C73,IF(B327&lt;=100,'前提と出典'!B74+'前提と出典'!C74,IF(B327&lt;=500,'前提と出典'!B75+'前提と出典'!C75,'前提と出典'!B76+'前提と出典'!C76))))</ns0:f>
        <ns0:v>40000</ns0:v>
      </ns0:c>
      <ns0:c r="N327" s="16">
        <ns0:f>IF(('前提と出典'!$C$37+'前提と出典'!$C$38)=0,0,IF(C327&lt;=10,'前提と出典'!D73+'前提と出典'!E73,IF(C327&lt;=100,'前提と出典'!D74+'前提と出典'!E74,IF(C327&lt;=500,'前提と出典'!D75+'前提と出典'!E75,'前提と出典'!D76+'前提と出典'!E76))))</ns0:f>
        <ns0:v>56510.9346263078</ns0:v>
      </ns0:c>
      <ns0:c r="O327" s="16">
        <ns0:f>IF('前提と出典'!$C$36+'前提と出典'!$C$38=0,0,'前提と出典'!$B$4*IF('前提と出典'!$B$20=0,MAX('前提と出典'!$B$6,D327*'前提と出典'!$B$5),'前提と出典'!$B$6+D327*'前提と出典'!$B$5))</ns0:f>
        <ns0:v>320733.5865921788</ns0:v>
      </ns0:c>
      <ns0:c r="P327" s="16">
        <ns0:f>(E327+G327)*(1-'前提と出典'!$B$7)-I327-K327-M327-O327</ns0:f>
        <ns0:v>711830.6375629604</ns0:v>
      </ns0:c>
      <ns0:c r="Q327" s="16">
        <ns0:f>(F327+H327)*(1-'前提と出典'!$B$7)-J327-L327-N327</ns0:f>
        <ns0:v>252495.4891818981</ns0:v>
      </ns0:c>
      <ns0:c r="R327" s="16">
        <ns0:f>P327-E327*'前提と出典'!$E$4</ns0:f>
        <ns0:v>524334.5003255941</ns0:v>
      </ns0:c>
      <ns0:c r="S327" s="16">
        <ns0:f>Q327-F327*'前提と出典'!$E$4</ns0:f>
        <ns0:v>178910.06719857999</ns0:v>
      </ns0:c>
      <ns0:c r="T327" s="7">
        <ns0:f>R327+S327</ns0:f>
        <ns0:v>703244.5675241741</ns0:v>
      </ns0:c>
      <ns0:c r="U327" s="16">
        <ns0:f>P327-E327*'前提と出典'!$E$5</ns0:f>
        <ns0:v>461835.78791313875</ns0:v>
      </ns0:c>
      <ns0:c r="V327" s="16">
        <ns0:f>Q327-F327*'前提と出典'!$E$5</ns0:f>
        <ns0:v>154381.59320414058</ns0:v>
      </ns0:c>
      <ns0:c r="W327" s="7">
        <ns0:f>U327+V327</ns0:f>
        <ns0:v>616217.3811172793</ns0:v>
      </ns0:c>
      <ns0:c r="X327" s="16">
        <ns0:f>P327-E327*'前提と出典'!$E$6</ns0:f>
        <ns0:v>399337.0755006834</ns0:v>
      </ns0:c>
      <ns0:c r="Y327" s="16">
        <ns0:f>Q327-F327*'前提と出典'!$E$6</ns0:f>
        <ns0:v>129853.11920970122</ns0:v>
      </ns0:c>
      <ns0:c r="Z327" s="7">
        <ns0:f>X327+Y327</ns0:f>
        <ns0:v>529190.1947103846</ns0:v>
      </ns0:c>
      <ns0:c r="AA327" s="7">
        <ns0:f>IF(T327&gt;=0,A327,1001)</ns0:f>
        <ns0:v>323</ns0:v>
      </ns0:c>
      <ns0:c r="AB327" s="7">
        <ns0:f>IF(T327&lt;0,A327,0)</ns0:f>
        <ns0:v>0</ns0:v>
      </ns0:c>
      <ns0:c r="AC327" s="16">
        <ns0:f>IF(AND(OR('前提と出典'!$C$36+'前提と出典'!$C$38=0,R327&gt;=0),OR('前提と出典'!$C$37+'前提と出典'!$C$38=0,S327&gt;=0)),0,A327)</ns0:f>
        <ns0:v>0</ns0:v>
      </ns0:c>
      <ns0:c r="AD327" s="7">
        <ns0:f>IF(W327&gt;=0,A327,1001)</ns0:f>
        <ns0:v>323</ns0:v>
      </ns0:c>
      <ns0:c r="AE327" s="7">
        <ns0:f>IF(W327&lt;0,A327,0)</ns0:f>
        <ns0:v>0</ns0:v>
      </ns0:c>
      <ns0:c r="AF327" s="16">
        <ns0:f>IF(AND(OR('前提と出典'!$C$36+'前提と出典'!$C$38=0,U327&gt;=0),OR('前提と出典'!$C$37+'前提と出典'!$C$38=0,V327&gt;=0)),0,A327)</ns0:f>
        <ns0:v>0</ns0:v>
      </ns0:c>
      <ns0:c r="AG327" s="7">
        <ns0:f>IF(Z327&gt;=0,A327,1001)</ns0:f>
        <ns0:v>323</ns0:v>
      </ns0:c>
      <ns0:c r="AH327" s="4">
        <ns0:f>IF(Z327&lt;0,A327,0)</ns0:f>
        <ns0:v>0</ns0:v>
      </ns0:c>
      <ns0:c r="AI327" s="12">
        <ns0:f>IF(AND(OR('前提と出典'!$C$36+'前提と出典'!$C$38=0,X327&gt;=0),OR('前提と出典'!$C$37+'前提と出典'!$C$38=0,Y327&gt;=0)),0,A327)</ns0:f>
        <ns0:v>0</ns0:v>
      </ns0:c>
    </ns0:row>
    <ns0:row r="328" ht="24" customHeight="1">
      <ns0:c r="A328" s="4" t="n">
        <ns0:v>324</ns0:v>
      </ns0:c>
      <ns0:c r="B328" s="12">
        <ns0:f>A328*('前提と出典'!$C$36+'前提と出典'!$C$38)</ns0:f>
        <ns0:v>226.79999999999998</ns0:v>
      </ns0:c>
      <ns0:c r="C328" s="12">
        <ns0:f>A328*('前提と出典'!$C$37+'前提と出典'!$C$38)</ns0:f>
        <ns0:v>194.4</ns0:v>
      </ns0:c>
      <ns0:c r="D328" s="16">
        <ns0:f>A328*('前提と出典'!$C$36*'契約別単価'!C5+'前提と出典'!$C$37*'契約別単価'!C6+'前提と出典'!$C$38*'契約別単価'!C7)</ns0:f>
        <ns0:v>2331.3519553072624</ns0:v>
      </ns0:c>
      <ns0:c r="E328" s="16">
        <ns0:f>A328*('前提と出典'!$C$36*'契約別単価'!E5+'前提と出典'!$C$37*'契約別単価'!E6+'前提と出典'!$C$38*'契約別単価'!E7)</ns0:f>
        <ns0:v>626922.0687812866</ns0:v>
      </ns0:c>
      <ns0:c r="F328" s="16">
        <ns0:f>A328*('前提と出典'!$C$36*'契約別単価'!F5+'前提と出典'!$C$37*'契約別単価'!F6+'前提と出典'!$C$38*'契約別単価'!F7)</ns0:f>
        <ns0:v>246044.1354240978</ns0:v>
      </ns0:c>
      <ns0:c r="G328" s="16">
        <ns0:f>A328*('前提と出典'!$C$36*'契約別単価'!G5+'前提と出典'!$C$37*'契約別単価'!G6+'前提と出典'!$C$38*'契約別単価'!G7)</ns0:f>
        <ns0:v>644922.905027933</ns0:v>
      </ns0:c>
      <ns0:c r="H328" s="16">
        <ns0:f>A328*('前提と出典'!$C$36*'契約別単価'!H5+'前提と出典'!$C$37*'契約別単価'!H6+'前提と出典'!$C$38*'契約別単価'!H7)</ns0:f>
        <ns0:v>223820.59347014397</ns0:v>
      </ns0:c>
      <ns0:c r="I328" s="16">
        <ns0:f>A328*('前提と出典'!$C$36*'契約別単価'!I5+'前提と出典'!$C$37*'契約別単価'!I6+'前提と出典'!$C$38*'契約別単価'!I7)</ns0:f>
        <ns0:v>13671.35195530726</ns0:v>
      </ns0:c>
      <ns0:c r="J328" s="16">
        <ns0:f>A328*('前提と出典'!$C$36*'契約別単価'!J5+'前提と出典'!$C$37*'契約別単価'!J6+'前提と出典'!$C$38*'契約別単価'!J7)</ns0:f>
        <ns0:v>31845.81216213803</ns0:v>
      </ns0:c>
      <ns0:c r="K328" s="16">
        <ns0:f>A328*('前提と出典'!$C$36*'契約別単価'!K5+'前提と出典'!$C$37*'契約別単価'!K6+'前提と出典'!$C$38*'契約別単価'!K7)</ns0:f>
        <ns0:v>136502.34636871508</ns0:v>
      </ns0:c>
      <ns0:c r="L328" s="16">
        <ns0:f>A328*('前提と出典'!$C$36*'契約別単価'!L5+'前提と出典'!$C$37*'契約別単価'!L6+'前提と出典'!$C$38*'契約別単価'!L7)</ns0:f>
        <ns0:v>111140.68644900479</ns0:v>
      </ns0:c>
      <ns0:c r="M328" s="16">
        <ns0:f>IF(('前提と出典'!$C$36+'前提と出典'!$C$38)=0,0,IF(B328&lt;=10,'前提と出典'!B73+'前提と出典'!C73,IF(B328&lt;=100,'前提と出典'!B74+'前提と出典'!C74,IF(B328&lt;=500,'前提と出典'!B75+'前提と出典'!C75,'前提と出典'!B76+'前提と出典'!C76))))</ns0:f>
        <ns0:v>40000</ns0:v>
      </ns0:c>
      <ns0:c r="N328" s="16">
        <ns0:f>IF(('前提と出典'!$C$37+'前提と出典'!$C$38)=0,0,IF(C328&lt;=10,'前提と出典'!D73+'前提と出典'!E73,IF(C328&lt;=100,'前提と出典'!D74+'前提と出典'!E74,IF(C328&lt;=500,'前提と出典'!D75+'前提と出典'!E75,'前提と出典'!D76+'前提と出典'!E76))))</ns0:f>
        <ns0:v>56510.9346263078</ns0:v>
      </ns0:c>
      <ns0:c r="O328" s="16">
        <ns0:f>IF('前提と出典'!$C$36+'前提と出典'!$C$38=0,0,'前提と出典'!$B$4*IF('前提と出典'!$B$20=0,MAX('前提と出典'!$B$6,D328*'前提と出典'!$B$5),'前提と出典'!$B$6+D328*'前提と出典'!$B$5))</ns0:f>
        <ns0:v>321726.5698324022</ns0:v>
      </ns0:c>
      <ns0:c r="P328" s="16">
        <ns0:f>(E328+G328)*(1-'前提と出典'!$B$7)-I328-K328-M328-O328</ns0:f>
        <ns0:v>714158.286595663</ns0:v>
      </ns0:c>
      <ns0:c r="Q328" s="16">
        <ns0:f>(F328+H328)*(1-'前提と出典'!$B$7)-J328-L328-N328</ns0:f>
        <ns0:v>253452.16541659838</ns0:v>
      </ns0:c>
      <ns0:c r="R328" s="16">
        <ns0:f>P328-E328*'前提と出典'!$E$4</ns0:f>
        <ns0:v>526081.6659612772</ns0:v>
      </ns0:c>
      <ns0:c r="S328" s="16">
        <ns0:f>Q328-F328*'前提と出典'!$E$4</ns0:f>
        <ns0:v>179638.92478936905</ns0:v>
      </ns0:c>
      <ns0:c r="T328" s="7">
        <ns0:f>R328+S328</ns0:f>
        <ns0:v>705720.5907506463</ns0:v>
      </ns0:c>
      <ns0:c r="U328" s="16">
        <ns0:f>P328-E328*'前提と出典'!$E$5</ns0:f>
        <ns0:v>463389.45908314834</ns0:v>
      </ns0:c>
      <ns0:c r="V328" s="16">
        <ns0:f>Q328-F328*'前提と出典'!$E$5</ns0:f>
        <ns0:v>155034.51124695927</ns0:v>
      </ns0:c>
      <ns0:c r="W328" s="7">
        <ns0:f>U328+V328</ns0:f>
        <ns0:v>618423.9703301076</ns0:v>
      </ns0:c>
      <ns0:c r="X328" s="16">
        <ns0:f>P328-E328*'前提と出典'!$E$6</ns0:f>
        <ns0:v>400697.25220501976</ns0:v>
      </ns0:c>
      <ns0:c r="Y328" s="16">
        <ns0:f>Q328-F328*'前提と出典'!$E$6</ns0:f>
        <ns0:v>130430.0977045495</ns0:v>
      </ns0:c>
      <ns0:c r="Z328" s="7">
        <ns0:f>X328+Y328</ns0:f>
        <ns0:v>531127.3499095693</ns0:v>
      </ns0:c>
      <ns0:c r="AA328" s="7">
        <ns0:f>IF(T328&gt;=0,A328,1001)</ns0:f>
        <ns0:v>324</ns0:v>
      </ns0:c>
      <ns0:c r="AB328" s="7">
        <ns0:f>IF(T328&lt;0,A328,0)</ns0:f>
        <ns0:v>0</ns0:v>
      </ns0:c>
      <ns0:c r="AC328" s="16">
        <ns0:f>IF(AND(OR('前提と出典'!$C$36+'前提と出典'!$C$38=0,R328&gt;=0),OR('前提と出典'!$C$37+'前提と出典'!$C$38=0,S328&gt;=0)),0,A328)</ns0:f>
        <ns0:v>0</ns0:v>
      </ns0:c>
      <ns0:c r="AD328" s="7">
        <ns0:f>IF(W328&gt;=0,A328,1001)</ns0:f>
        <ns0:v>324</ns0:v>
      </ns0:c>
      <ns0:c r="AE328" s="7">
        <ns0:f>IF(W328&lt;0,A328,0)</ns0:f>
        <ns0:v>0</ns0:v>
      </ns0:c>
      <ns0:c r="AF328" s="16">
        <ns0:f>IF(AND(OR('前提と出典'!$C$36+'前提と出典'!$C$38=0,U328&gt;=0),OR('前提と出典'!$C$37+'前提と出典'!$C$38=0,V328&gt;=0)),0,A328)</ns0:f>
        <ns0:v>0</ns0:v>
      </ns0:c>
      <ns0:c r="AG328" s="7">
        <ns0:f>IF(Z328&gt;=0,A328,1001)</ns0:f>
        <ns0:v>324</ns0:v>
      </ns0:c>
      <ns0:c r="AH328" s="4">
        <ns0:f>IF(Z328&lt;0,A328,0)</ns0:f>
        <ns0:v>0</ns0:v>
      </ns0:c>
      <ns0:c r="AI328" s="12">
        <ns0:f>IF(AND(OR('前提と出典'!$C$36+'前提と出典'!$C$38=0,X328&gt;=0),OR('前提と出典'!$C$37+'前提と出典'!$C$38=0,Y328&gt;=0)),0,A328)</ns0:f>
        <ns0:v>0</ns0:v>
      </ns0:c>
    </ns0:row>
    <ns0:row r="329" ht="24" customHeight="1">
      <ns0:c r="A329" s="4" t="n">
        <ns0:v>325</ns0:v>
      </ns0:c>
      <ns0:c r="B329" s="12">
        <ns0:f>A329*('前提と出典'!$C$36+'前提と出典'!$C$38)</ns0:f>
        <ns0:v>227.49999999999997</ns0:v>
      </ns0:c>
      <ns0:c r="C329" s="12">
        <ns0:f>A329*('前提と出典'!$C$37+'前提と出典'!$C$38)</ns0:f>
        <ns0:v>195</ns0:v>
      </ns0:c>
      <ns0:c r="D329" s="16">
        <ns0:f>A329*('前提と出典'!$C$36*'契約別単価'!C5+'前提と出典'!$C$37*'契約別単価'!C6+'前提と出典'!$C$38*'契約別単価'!C7)</ns0:f>
        <ns0:v>2338.5474860335194</ns0:v>
      </ns0:c>
      <ns0:c r="E329" s="16">
        <ns0:f>A329*('前提と出典'!$C$36*'契約別単価'!E5+'前提と出典'!$C$37*'契約別単価'!E6+'前提と出典'!$C$38*'契約別単価'!E7)</ns0:f>
        <ns0:v>628857.013438019</ns0:v>
      </ns0:c>
      <ns0:c r="F329" s="16">
        <ns0:f>A329*('前提と出典'!$C$36*'契約別単価'!F5+'前提と出典'!$C$37*'契約別単価'!F6+'前提と出典'!$C$38*'契約別単価'!F7)</ns0:f>
        <ns0:v>246803.5309038018</ns0:v>
      </ns0:c>
      <ns0:c r="G329" s="16">
        <ns0:f>A329*('前提と出典'!$C$36*'契約別単価'!G5+'前提と出典'!$C$37*'契約別単価'!G6+'前提と出典'!$C$38*'契約別単価'!G7)</ns0:f>
        <ns0:v>646913.4078212291</ns0:v>
      </ns0:c>
      <ns0:c r="H329" s="16">
        <ns0:f>A329*('前提と出典'!$C$36*'契約別単価'!H5+'前提と出典'!$C$37*'契約別単価'!H6+'前提と出典'!$C$38*'契約別単価'!H7)</ns0:f>
        <ns0:v>224511.39777097775</ns0:v>
      </ns0:c>
      <ns0:c r="I329" s="16">
        <ns0:f>A329*('前提と出典'!$C$36*'契約別単価'!I5+'前提と出典'!$C$37*'契約別単価'!I6+'前提と出典'!$C$38*'契約別単価'!I7)</ns0:f>
        <ns0:v>13713.547486033518</ns0:v>
      </ns0:c>
      <ns0:c r="J329" s="16">
        <ns0:f>A329*('前提と出典'!$C$36*'契約別単価'!J5+'前提と出典'!$C$37*'契約別単価'!J6+'前提と出典'!$C$38*'契約別単価'!J7)</ns0:f>
        <ns0:v>31944.101705848334</ns0:v>
      </ns0:c>
      <ns0:c r="K329" s="16">
        <ns0:f>A329*('前提と出典'!$C$36*'契約別単価'!K5+'前提と出典'!$C$37*'契約別単価'!K6+'前提と出典'!$C$38*'契約別単価'!K7)</ns0:f>
        <ns0:v>136923.64990689012</ns0:v>
      </ns0:c>
      <ns0:c r="L329" s="16">
        <ns0:f>A329*('前提と出典'!$C$36*'契約別単価'!L5+'前提と出典'!$C$37*'契約別単価'!L6+'前提と出典'!$C$38*'契約別単価'!L7)</ns0:f>
        <ns0:v>111483.7132590326</ns0:v>
      </ns0:c>
      <ns0:c r="M329" s="16">
        <ns0:f>IF(('前提と出典'!$C$36+'前提と出典'!$C$38)=0,0,IF(B329&lt;=10,'前提と出典'!B73+'前提と出典'!C73,IF(B329&lt;=100,'前提と出典'!B74+'前提と出典'!C74,IF(B329&lt;=500,'前提と出典'!B75+'前提と出典'!C75,'前提と出典'!B76+'前提と出典'!C76))))</ns0:f>
        <ns0:v>40000</ns0:v>
      </ns0:c>
      <ns0:c r="N329" s="16">
        <ns0:f>IF(('前提と出典'!$C$37+'前提と出典'!$C$38)=0,0,IF(C329&lt;=10,'前提と出典'!D73+'前提と出典'!E73,IF(C329&lt;=100,'前提と出典'!D74+'前提と出典'!E74,IF(C329&lt;=500,'前提と出典'!D75+'前提と出典'!E75,'前提と出典'!D76+'前提と出典'!E76))))</ns0:f>
        <ns0:v>56510.9346263078</ns0:v>
      </ns0:c>
      <ns0:c r="O329" s="16">
        <ns0:f>IF('前提と出典'!$C$36+'前提と出典'!$C$38=0,0,'前提と出典'!$B$4*IF('前提と出典'!$B$20=0,MAX('前提と出典'!$B$6,D329*'前提と出典'!$B$5),'前提と出典'!$B$6+D329*'前提と出典'!$B$5))</ns0:f>
        <ns0:v>322719.55307262565</ns0:v>
      </ns0:c>
      <ns0:c r="P329" s="16">
        <ns0:f>(E329+G329)*(1-'前提と出典'!$B$7)-I329-K329-M329-O329</ns0:f>
        <ns0:v>716485.935628366</ns0:v>
      </ns0:c>
      <ns0:c r="Q329" s="16">
        <ns0:f>(F329+H329)*(1-'前提と出典'!$B$7)-J329-L329-N329</ns0:f>
        <ns0:v>254408.84165129872</ns0:v>
      </ns0:c>
      <ns0:c r="R329" s="16">
        <ns0:f>P329-E329*'前提と出典'!$E$4</ns0:f>
        <ns0:v>527828.8315969603</ns0:v>
      </ns0:c>
      <ns0:c r="S329" s="16">
        <ns0:f>Q329-F329*'前提と出典'!$E$4</ns0:f>
        <ns0:v>180367.7823801582</ns0:v>
      </ns0:c>
      <ns0:c r="T329" s="7">
        <ns0:f>R329+S329</ns0:f>
        <ns0:v>708196.6139771185</ns0:v>
      </ns0:c>
      <ns0:c r="U329" s="16">
        <ns0:f>P329-E329*'前提と出典'!$E$5</ns0:f>
        <ns0:v>464943.1302531584</ns0:v>
      </ns0:c>
      <ns0:c r="V329" s="16">
        <ns0:f>Q329-F329*'前提と出典'!$E$5</ns0:f>
        <ns0:v>155687.429289778</ns0:v>
      </ns0:c>
      <ns0:c r="W329" s="7">
        <ns0:f>U329+V329</ns0:f>
        <ns0:v>620630.5595429364</ns0:v>
      </ns0:c>
      <ns0:c r="X329" s="16">
        <ns0:f>P329-E329*'前提と出典'!$E$6</ns0:f>
        <ns0:v>402057.4289093565</ns0:v>
      </ns0:c>
      <ns0:c r="Y329" s="16">
        <ns0:f>Q329-F329*'前提と出典'!$E$6</ns0:f>
        <ns0:v>131007.07619939785</ns0:v>
      </ns0:c>
      <ns0:c r="Z329" s="7">
        <ns0:f>X329+Y329</ns0:f>
        <ns0:v>533064.5051087544</ns0:v>
      </ns0:c>
      <ns0:c r="AA329" s="7">
        <ns0:f>IF(T329&gt;=0,A329,1001)</ns0:f>
        <ns0:v>325</ns0:v>
      </ns0:c>
      <ns0:c r="AB329" s="7">
        <ns0:f>IF(T329&lt;0,A329,0)</ns0:f>
        <ns0:v>0</ns0:v>
      </ns0:c>
      <ns0:c r="AC329" s="16">
        <ns0:f>IF(AND(OR('前提と出典'!$C$36+'前提と出典'!$C$38=0,R329&gt;=0),OR('前提と出典'!$C$37+'前提と出典'!$C$38=0,S329&gt;=0)),0,A329)</ns0:f>
        <ns0:v>0</ns0:v>
      </ns0:c>
      <ns0:c r="AD329" s="7">
        <ns0:f>IF(W329&gt;=0,A329,1001)</ns0:f>
        <ns0:v>325</ns0:v>
      </ns0:c>
      <ns0:c r="AE329" s="7">
        <ns0:f>IF(W329&lt;0,A329,0)</ns0:f>
        <ns0:v>0</ns0:v>
      </ns0:c>
      <ns0:c r="AF329" s="16">
        <ns0:f>IF(AND(OR('前提と出典'!$C$36+'前提と出典'!$C$38=0,U329&gt;=0),OR('前提と出典'!$C$37+'前提と出典'!$C$38=0,V329&gt;=0)),0,A329)</ns0:f>
        <ns0:v>0</ns0:v>
      </ns0:c>
      <ns0:c r="AG329" s="7">
        <ns0:f>IF(Z329&gt;=0,A329,1001)</ns0:f>
        <ns0:v>325</ns0:v>
      </ns0:c>
      <ns0:c r="AH329" s="4">
        <ns0:f>IF(Z329&lt;0,A329,0)</ns0:f>
        <ns0:v>0</ns0:v>
      </ns0:c>
      <ns0:c r="AI329" s="12">
        <ns0:f>IF(AND(OR('前提と出典'!$C$36+'前提と出典'!$C$38=0,X329&gt;=0),OR('前提と出典'!$C$37+'前提と出典'!$C$38=0,Y329&gt;=0)),0,A329)</ns0:f>
        <ns0:v>0</ns0:v>
      </ns0:c>
    </ns0:row>
    <ns0:row r="330" ht="24" customHeight="1">
      <ns0:c r="A330" s="4" t="n">
        <ns0:v>326</ns0:v>
      </ns0:c>
      <ns0:c r="B330" s="12">
        <ns0:f>A330*('前提と出典'!$C$36+'前提と出典'!$C$38)</ns0:f>
        <ns0:v>228.2</ns0:v>
      </ns0:c>
      <ns0:c r="C330" s="12">
        <ns0:f>A330*('前提と出典'!$C$37+'前提と出典'!$C$38)</ns0:f>
        <ns0:v>195.6</ns0:v>
      </ns0:c>
      <ns0:c r="D330" s="16">
        <ns0:f>A330*('前提と出典'!$C$36*'契約別単価'!C5+'前提と出典'!$C$37*'契約別単価'!C6+'前提と出典'!$C$38*'契約別単価'!C7)</ns0:f>
        <ns0:v>2345.7430167597763</ns0:v>
      </ns0:c>
      <ns0:c r="E330" s="16">
        <ns0:f>A330*('前提と出典'!$C$36*'契約別単価'!E5+'前提と出典'!$C$37*'契約別単価'!E6+'前提と出典'!$C$38*'契約別単価'!E7)</ns0:f>
        <ns0:v>630791.9580947513</ns0:v>
      </ns0:c>
      <ns0:c r="F330" s="16">
        <ns0:f>A330*('前提と出典'!$C$36*'契約別単価'!F5+'前提と出典'!$C$37*'契約別単価'!F6+'前提と出典'!$C$38*'契約別単価'!F7)</ns0:f>
        <ns0:v>247562.9263835058</ns0:v>
      </ns0:c>
      <ns0:c r="G330" s="16">
        <ns0:f>A330*('前提と出典'!$C$36*'契約別単価'!G5+'前提と出典'!$C$37*'契約別単価'!G6+'前提と出典'!$C$38*'契約別単価'!G7)</ns0:f>
        <ns0:v>648903.9106145251</ns0:v>
      </ns0:c>
      <ns0:c r="H330" s="16">
        <ns0:f>A330*('前提と出典'!$C$36*'契約別単価'!H5+'前提と出典'!$C$37*'契約別単価'!H6+'前提と出典'!$C$38*'契約別単価'!H7)</ns0:f>
        <ns0:v>225202.20207181154</ns0:v>
      </ns0:c>
      <ns0:c r="I330" s="16">
        <ns0:f>A330*('前提と出典'!$C$36*'契約別単価'!I5+'前提と出典'!$C$37*'契約別単価'!I6+'前提と出典'!$C$38*'契約別単価'!I7)</ns0:f>
        <ns0:v>13755.743016759774</ns0:v>
      </ns0:c>
      <ns0:c r="J330" s="16">
        <ns0:f>A330*('前提と出典'!$C$36*'契約別単価'!J5+'前提と出典'!$C$37*'契約別単価'!J6+'前提と出典'!$C$38*'契約別単価'!J7)</ns0:f>
        <ns0:v>32042.391249558637</ns0:v>
      </ns0:c>
      <ns0:c r="K330" s="16">
        <ns0:f>A330*('前提と出典'!$C$36*'契約別単価'!K5+'前提と出典'!$C$37*'契約別単価'!K6+'前提と出典'!$C$38*'契約別単価'!K7)</ns0:f>
        <ns0:v>137344.95344506516</ns0:v>
      </ns0:c>
      <ns0:c r="L330" s="16">
        <ns0:f>A330*('前提と出典'!$C$36*'契約別単価'!L5+'前提と出典'!$C$37*'契約別単価'!L6+'前提と出典'!$C$38*'契約別単価'!L7)</ns0:f>
        <ns0:v>111826.74006906038</ns0:v>
      </ns0:c>
      <ns0:c r="M330" s="16">
        <ns0:f>IF(('前提と出典'!$C$36+'前提と出典'!$C$38)=0,0,IF(B330&lt;=10,'前提と出典'!B73+'前提と出典'!C73,IF(B330&lt;=100,'前提と出典'!B74+'前提と出典'!C74,IF(B330&lt;=500,'前提と出典'!B75+'前提と出典'!C75,'前提と出典'!B76+'前提と出典'!C76))))</ns0:f>
        <ns0:v>40000</ns0:v>
      </ns0:c>
      <ns0:c r="N330" s="16">
        <ns0:f>IF(('前提と出典'!$C$37+'前提と出典'!$C$38)=0,0,IF(C330&lt;=10,'前提と出典'!D73+'前提と出典'!E73,IF(C330&lt;=100,'前提と出典'!D74+'前提と出典'!E74,IF(C330&lt;=500,'前提と出典'!D75+'前提と出典'!E75,'前提と出典'!D76+'前提と出典'!E76))))</ns0:f>
        <ns0:v>56510.9346263078</ns0:v>
      </ns0:c>
      <ns0:c r="O330" s="16">
        <ns0:f>IF('前提と出典'!$C$36+'前提と出典'!$C$38=0,0,'前提と出典'!$B$4*IF('前提と出典'!$B$20=0,MAX('前提と出典'!$B$6,D330*'前提と出典'!$B$5),'前提と出典'!$B$6+D330*'前提と出典'!$B$5))</ns0:f>
        <ns0:v>323712.53631284914</ns0:v>
      </ns0:c>
      <ns0:c r="P330" s="16">
        <ns0:f>(E330+G330)*(1-'前提と出典'!$B$7)-I330-K330-M330-O330</ns0:f>
        <ns0:v>718813.5846610684</ns0:v>
      </ns0:c>
      <ns0:c r="Q330" s="16">
        <ns0:f>(F330+H330)*(1-'前提と出典'!$B$7)-J330-L330-N330</ns0:f>
        <ns0:v>255365.51788599908</ns0:v>
      </ns0:c>
      <ns0:c r="R330" s="16">
        <ns0:f>P330-E330*'前提と出典'!$E$4</ns0:f>
        <ns0:v>529575.997232643</ns0:v>
      </ns0:c>
      <ns0:c r="S330" s="16">
        <ns0:f>Q330-F330*'前提と出典'!$E$4</ns0:f>
        <ns0:v>181096.63997094732</ns0:v>
      </ns0:c>
      <ns0:c r="T330" s="7">
        <ns0:f>R330+S330</ns0:f>
        <ns0:v>710672.6372035902</ns0:v>
      </ns0:c>
      <ns0:c r="U330" s="16">
        <ns0:f>P330-E330*'前提と出典'!$E$5</ns0:f>
        <ns0:v>466496.8014231678</ns0:v>
      </ns0:c>
      <ns0:c r="V330" s="16">
        <ns0:f>Q330-F330*'前提と出典'!$E$5</ns0:f>
        <ns0:v>156340.34733259675</ns0:v>
      </ns0:c>
      <ns0:c r="W330" s="7">
        <ns0:f>U330+V330</ns0:f>
        <ns0:v>622837.1487557646</ns0:v>
      </ns0:c>
      <ns0:c r="X330" s="16">
        <ns0:f>P330-E330*'前提と出典'!$E$6</ns0:f>
        <ns0:v>403417.60561369266</ns0:v>
      </ns0:c>
      <ns0:c r="Y330" s="16">
        <ns0:f>Q330-F330*'前提と出典'!$E$6</ns0:f>
        <ns0:v>131584.05469424618</ns0:v>
      </ns0:c>
      <ns0:c r="Z330" s="7">
        <ns0:f>X330+Y330</ns0:f>
        <ns0:v>535001.6603079388</ns0:v>
      </ns0:c>
      <ns0:c r="AA330" s="7">
        <ns0:f>IF(T330&gt;=0,A330,1001)</ns0:f>
        <ns0:v>326</ns0:v>
      </ns0:c>
      <ns0:c r="AB330" s="7">
        <ns0:f>IF(T330&lt;0,A330,0)</ns0:f>
        <ns0:v>0</ns0:v>
      </ns0:c>
      <ns0:c r="AC330" s="16">
        <ns0:f>IF(AND(OR('前提と出典'!$C$36+'前提と出典'!$C$38=0,R330&gt;=0),OR('前提と出典'!$C$37+'前提と出典'!$C$38=0,S330&gt;=0)),0,A330)</ns0:f>
        <ns0:v>0</ns0:v>
      </ns0:c>
      <ns0:c r="AD330" s="7">
        <ns0:f>IF(W330&gt;=0,A330,1001)</ns0:f>
        <ns0:v>326</ns0:v>
      </ns0:c>
      <ns0:c r="AE330" s="7">
        <ns0:f>IF(W330&lt;0,A330,0)</ns0:f>
        <ns0:v>0</ns0:v>
      </ns0:c>
      <ns0:c r="AF330" s="16">
        <ns0:f>IF(AND(OR('前提と出典'!$C$36+'前提と出典'!$C$38=0,U330&gt;=0),OR('前提と出典'!$C$37+'前提と出典'!$C$38=0,V330&gt;=0)),0,A330)</ns0:f>
        <ns0:v>0</ns0:v>
      </ns0:c>
      <ns0:c r="AG330" s="7">
        <ns0:f>IF(Z330&gt;=0,A330,1001)</ns0:f>
        <ns0:v>326</ns0:v>
      </ns0:c>
      <ns0:c r="AH330" s="4">
        <ns0:f>IF(Z330&lt;0,A330,0)</ns0:f>
        <ns0:v>0</ns0:v>
      </ns0:c>
      <ns0:c r="AI330" s="12">
        <ns0:f>IF(AND(OR('前提と出典'!$C$36+'前提と出典'!$C$38=0,X330&gt;=0),OR('前提と出典'!$C$37+'前提と出典'!$C$38=0,Y330&gt;=0)),0,A330)</ns0:f>
        <ns0:v>0</ns0:v>
      </ns0:c>
    </ns0:row>
    <ns0:row r="331" ht="24" customHeight="1">
      <ns0:c r="A331" s="4" t="n">
        <ns0:v>327</ns0:v>
      </ns0:c>
      <ns0:c r="B331" s="12">
        <ns0:f>A331*('前提と出典'!$C$36+'前提と出典'!$C$38)</ns0:f>
        <ns0:v>228.89999999999998</ns0:v>
      </ns0:c>
      <ns0:c r="C331" s="12">
        <ns0:f>A331*('前提と出典'!$C$37+'前提と出典'!$C$38)</ns0:f>
        <ns0:v>196.2</ns0:v>
      </ns0:c>
      <ns0:c r="D331" s="16">
        <ns0:f>A331*('前提と出典'!$C$36*'契約別単価'!C5+'前提と出典'!$C$37*'契約別単価'!C6+'前提と出典'!$C$38*'契約別単価'!C7)</ns0:f>
        <ns0:v>2352.9385474860337</ns0:v>
      </ns0:c>
      <ns0:c r="E331" s="16">
        <ns0:f>A331*('前提と出典'!$C$36*'契約別単価'!E5+'前提と出典'!$C$37*'契約別単価'!E6+'前提と出典'!$C$38*'契約別単価'!E7)</ns0:f>
        <ns0:v>632726.9027514837</ns0:v>
      </ns0:c>
      <ns0:c r="F331" s="16">
        <ns0:f>A331*('前提と出典'!$C$36*'契約別単価'!F5+'前提と出典'!$C$37*'契約別単価'!F6+'前提と出典'!$C$38*'契約別単価'!F7)</ns0:f>
        <ns0:v>248322.3218632098</ns0:v>
      </ns0:c>
      <ns0:c r="G331" s="16">
        <ns0:f>A331*('前提と出典'!$C$36*'契約別単価'!G5+'前提と出典'!$C$37*'契約別単価'!G6+'前提と出典'!$C$38*'契約別単価'!G7)</ns0:f>
        <ns0:v>650894.4134078212</ns0:v>
      </ns0:c>
      <ns0:c r="H331" s="16">
        <ns0:f>A331*('前提と出典'!$C$36*'契約別単価'!H5+'前提と出典'!$C$37*'契約別単価'!H6+'前提と出典'!$C$38*'契約別単価'!H7)</ns0:f>
        <ns0:v>225893.0063726453</ns0:v>
      </ns0:c>
      <ns0:c r="I331" s="16">
        <ns0:f>A331*('前提と出典'!$C$36*'契約別単価'!I5+'前提と出典'!$C$37*'契約別単価'!I6+'前提と出典'!$C$38*'契約別単価'!I7)</ns0:f>
        <ns0:v>13797.938547486032</ns0:v>
      </ns0:c>
      <ns0:c r="J331" s="16">
        <ns0:f>A331*('前提と出典'!$C$36*'契約別単価'!J5+'前提と出典'!$C$37*'契約別単価'!J6+'前提と出典'!$C$38*'契約別単価'!J7)</ns0:f>
        <ns0:v>32140.68079326894</ns0:v>
      </ns0:c>
      <ns0:c r="K331" s="16">
        <ns0:f>A331*('前提と出典'!$C$36*'契約別単価'!K5+'前提と出典'!$C$37*'契約別単価'!K6+'前提と出典'!$C$38*'契約別単価'!K7)</ns0:f>
        <ns0:v>137766.25698324022</ns0:v>
      </ns0:c>
      <ns0:c r="L331" s="16">
        <ns0:f>A331*('前提と出典'!$C$36*'契約別単価'!L5+'前提と出典'!$C$37*'契約別単価'!L6+'前提と出典'!$C$38*'契約別単価'!L7)</ns0:f>
        <ns0:v>112169.76687908817</ns0:v>
      </ns0:c>
      <ns0:c r="M331" s="16">
        <ns0:f>IF(('前提と出典'!$C$36+'前提と出典'!$C$38)=0,0,IF(B331&lt;=10,'前提と出典'!B73+'前提と出典'!C73,IF(B331&lt;=100,'前提と出典'!B74+'前提と出典'!C74,IF(B331&lt;=500,'前提と出典'!B75+'前提と出典'!C75,'前提と出典'!B76+'前提と出典'!C76))))</ns0:f>
        <ns0:v>40000</ns0:v>
      </ns0:c>
      <ns0:c r="N331" s="16">
        <ns0:f>IF(('前提と出典'!$C$37+'前提と出典'!$C$38)=0,0,IF(C331&lt;=10,'前提と出典'!D73+'前提と出典'!E73,IF(C331&lt;=100,'前提と出典'!D74+'前提と出典'!E74,IF(C331&lt;=500,'前提と出典'!D75+'前提と出典'!E75,'前提と出典'!D76+'前提と出典'!E76))))</ns0:f>
        <ns0:v>56510.9346263078</ns0:v>
      </ns0:c>
      <ns0:c r="O331" s="16">
        <ns0:f>IF('前提と出典'!$C$36+'前提と出典'!$C$38=0,0,'前提と出典'!$B$4*IF('前提と出典'!$B$20=0,MAX('前提と出典'!$B$6,D331*'前提と出典'!$B$5),'前提と出典'!$B$6+D331*'前提と出典'!$B$5))</ns0:f>
        <ns0:v>324705.5195530727</ns0:v>
      </ns0:c>
      <ns0:c r="P331" s="16">
        <ns0:f>(E331+G331)*(1-'前提と出典'!$B$7)-I331-K331-M331-O331</ns0:f>
        <ns0:v>721141.2336937711</ns0:v>
      </ns0:c>
      <ns0:c r="Q331" s="16">
        <ns0:f>(F331+H331)*(1-'前提と出典'!$B$7)-J331-L331-N331</ns0:f>
        <ns0:v>256322.19412069937</ns0:v>
      </ns0:c>
      <ns0:c r="R331" s="16">
        <ns0:f>P331-E331*'前提と出典'!$E$4</ns0:f>
        <ns0:v>531323.1628683258</ns0:v>
      </ns0:c>
      <ns0:c r="S331" s="16">
        <ns0:f>Q331-F331*'前提と出典'!$E$4</ns0:f>
        <ns0:v>181825.49756173644</ns0:v>
      </ns0:c>
      <ns0:c r="T331" s="7">
        <ns0:f>R331+S331</ns0:f>
        <ns0:v>713148.6604300623</ns0:v>
      </ns0:c>
      <ns0:c r="U331" s="16">
        <ns0:f>P331-E331*'前提と出典'!$E$5</ns0:f>
        <ns0:v>468050.4725931775</ns0:v>
      </ns0:c>
      <ns0:c r="V331" s="16">
        <ns0:f>Q331-F331*'前提と出典'!$E$5</ns0:f>
        <ns0:v>156993.26537541545</ns0:v>
      </ns0:c>
      <ns0:c r="W331" s="7">
        <ns0:f>U331+V331</ns0:f>
        <ns0:v>625043.7379685929</ns0:v>
      </ns0:c>
      <ns0:c r="X331" s="16">
        <ns0:f>P331-E331*'前提と出典'!$E$6</ns0:f>
        <ns0:v>404777.782318029</ns0:v>
      </ns0:c>
      <ns0:c r="Y331" s="16">
        <ns0:f>Q331-F331*'前提と出典'!$E$6</ns0:f>
        <ns0:v>132161.03318909445</ns0:v>
      </ns0:c>
      <ns0:c r="Z331" s="7">
        <ns0:f>X331+Y331</ns0:f>
        <ns0:v>536938.8155071235</ns0:v>
      </ns0:c>
      <ns0:c r="AA331" s="7">
        <ns0:f>IF(T331&gt;=0,A331,1001)</ns0:f>
        <ns0:v>327</ns0:v>
      </ns0:c>
      <ns0:c r="AB331" s="7">
        <ns0:f>IF(T331&lt;0,A331,0)</ns0:f>
        <ns0:v>0</ns0:v>
      </ns0:c>
      <ns0:c r="AC331" s="16">
        <ns0:f>IF(AND(OR('前提と出典'!$C$36+'前提と出典'!$C$38=0,R331&gt;=0),OR('前提と出典'!$C$37+'前提と出典'!$C$38=0,S331&gt;=0)),0,A331)</ns0:f>
        <ns0:v>0</ns0:v>
      </ns0:c>
      <ns0:c r="AD331" s="7">
        <ns0:f>IF(W331&gt;=0,A331,1001)</ns0:f>
        <ns0:v>327</ns0:v>
      </ns0:c>
      <ns0:c r="AE331" s="7">
        <ns0:f>IF(W331&lt;0,A331,0)</ns0:f>
        <ns0:v>0</ns0:v>
      </ns0:c>
      <ns0:c r="AF331" s="16">
        <ns0:f>IF(AND(OR('前提と出典'!$C$36+'前提と出典'!$C$38=0,U331&gt;=0),OR('前提と出典'!$C$37+'前提と出典'!$C$38=0,V331&gt;=0)),0,A331)</ns0:f>
        <ns0:v>0</ns0:v>
      </ns0:c>
      <ns0:c r="AG331" s="7">
        <ns0:f>IF(Z331&gt;=0,A331,1001)</ns0:f>
        <ns0:v>327</ns0:v>
      </ns0:c>
      <ns0:c r="AH331" s="4">
        <ns0:f>IF(Z331&lt;0,A331,0)</ns0:f>
        <ns0:v>0</ns0:v>
      </ns0:c>
      <ns0:c r="AI331" s="12">
        <ns0:f>IF(AND(OR('前提と出典'!$C$36+'前提と出典'!$C$38=0,X331&gt;=0),OR('前提と出典'!$C$37+'前提と出典'!$C$38=0,Y331&gt;=0)),0,A331)</ns0:f>
        <ns0:v>0</ns0:v>
      </ns0:c>
    </ns0:row>
    <ns0:row r="332" ht="24" customHeight="1">
      <ns0:c r="A332" s="4" t="n">
        <ns0:v>328</ns0:v>
      </ns0:c>
      <ns0:c r="B332" s="12">
        <ns0:f>A332*('前提と出典'!$C$36+'前提と出典'!$C$38)</ns0:f>
        <ns0:v>229.6</ns0:v>
      </ns0:c>
      <ns0:c r="C332" s="12">
        <ns0:f>A332*('前提と出典'!$C$37+'前提と出典'!$C$38)</ns0:f>
        <ns0:v>196.79999999999998</ns0:v>
      </ns0:c>
      <ns0:c r="D332" s="16">
        <ns0:f>A332*('前提と出典'!$C$36*'契約別単価'!C5+'前提と出典'!$C$37*'契約別単価'!C6+'前提と出典'!$C$38*'契約別単価'!C7)</ns0:f>
        <ns0:v>2360.1340782122907</ns0:v>
      </ns0:c>
      <ns0:c r="E332" s="16">
        <ns0:f>A332*('前提と出典'!$C$36*'契約別単価'!E5+'前提と出典'!$C$37*'契約別単価'!E6+'前提と出典'!$C$38*'契約別単価'!E7)</ns0:f>
        <ns0:v>634661.847408216</ns0:v>
      </ns0:c>
      <ns0:c r="F332" s="16">
        <ns0:f>A332*('前提と出典'!$C$36*'契約別単価'!F5+'前提と出典'!$C$37*'契約別単価'!F6+'前提と出典'!$C$38*'契約別単価'!F7)</ns0:f>
        <ns0:v>249081.71734291382</ns0:v>
      </ns0:c>
      <ns0:c r="G332" s="16">
        <ns0:f>A332*('前提と出典'!$C$36*'契約別単価'!G5+'前提と出典'!$C$37*'契約別単価'!G6+'前提と出典'!$C$38*'契約別単価'!G7)</ns0:f>
        <ns0:v>652884.9162011173</ns0:v>
      </ns0:c>
      <ns0:c r="H332" s="16">
        <ns0:f>A332*('前提と出典'!$C$36*'契約別単価'!H5+'前提と出典'!$C$37*'契約別単価'!H6+'前提と出典'!$C$38*'契約別単価'!H7)</ns0:f>
        <ns0:v>226583.81067347908</ns0:v>
      </ns0:c>
      <ns0:c r="I332" s="16">
        <ns0:f>A332*('前提と出典'!$C$36*'契約別単価'!I5+'前提と出典'!$C$37*'契約別単価'!I6+'前提と出典'!$C$38*'契約別単価'!I7)</ns0:f>
        <ns0:v>13840.134078212288</ns0:v>
      </ns0:c>
      <ns0:c r="J332" s="16">
        <ns0:f>A332*('前提と出典'!$C$36*'契約別単価'!J5+'前提と出典'!$C$37*'契約別単価'!J6+'前提と出典'!$C$38*'契約別単価'!J7)</ns0:f>
        <ns0:v>32238.97033697924</ns0:v>
      </ns0:c>
      <ns0:c r="K332" s="16">
        <ns0:f>A332*('前提と出典'!$C$36*'契約別単価'!K5+'前提と出典'!$C$37*'契約別単価'!K6+'前提と出典'!$C$38*'契約別単価'!K7)</ns0:f>
        <ns0:v>138187.56052141526</ns0:v>
      </ns0:c>
      <ns0:c r="L332" s="16">
        <ns0:f>A332*('前提と出典'!$C$36*'契約別単価'!L5+'前提と出典'!$C$37*'契約別単価'!L6+'前提と出典'!$C$38*'契約別単価'!L7)</ns0:f>
        <ns0:v>112512.79368911596</ns0:v>
      </ns0:c>
      <ns0:c r="M332" s="16">
        <ns0:f>IF(('前提と出典'!$C$36+'前提と出典'!$C$38)=0,0,IF(B332&lt;=10,'前提と出典'!B73+'前提と出典'!C73,IF(B332&lt;=100,'前提と出典'!B74+'前提と出典'!C74,IF(B332&lt;=500,'前提と出典'!B75+'前提と出典'!C75,'前提と出典'!B76+'前提と出典'!C76))))</ns0:f>
        <ns0:v>40000</ns0:v>
      </ns0:c>
      <ns0:c r="N332" s="16">
        <ns0:f>IF(('前提と出典'!$C$37+'前提と出典'!$C$38)=0,0,IF(C332&lt;=10,'前提と出典'!D73+'前提と出典'!E73,IF(C332&lt;=100,'前提と出典'!D74+'前提と出典'!E74,IF(C332&lt;=500,'前提と出典'!D75+'前提と出典'!E75,'前提と出典'!D76+'前提と出典'!E76))))</ns0:f>
        <ns0:v>56510.9346263078</ns0:v>
      </ns0:c>
      <ns0:c r="O332" s="16">
        <ns0:f>IF('前提と出典'!$C$36+'前提と出典'!$C$38=0,0,'前提と出典'!$B$4*IF('前提と出典'!$B$20=0,MAX('前提と出典'!$B$6,D332*'前提と出典'!$B$5),'前提と出典'!$B$6+D332*'前提と出典'!$B$5))</ns0:f>
        <ns0:v>325698.5027932961</ns0:v>
      </ns0:c>
      <ns0:c r="P332" s="16">
        <ns0:f>(E332+G332)*(1-'前提と出典'!$B$7)-I332-K332-M332-O332</ns0:f>
        <ns0:v>723468.8827264739</ns0:v>
      </ns0:c>
      <ns0:c r="Q332" s="16">
        <ns0:f>(F332+H332)*(1-'前提と出典'!$B$7)-J332-L332-N332</ns0:f>
        <ns0:v>257278.87035539976</ns0:v>
      </ns0:c>
      <ns0:c r="R332" s="16">
        <ns0:f>P332-E332*'前提と出典'!$E$4</ns0:f>
        <ns0:v>533070.328504009</ns0:v>
      </ns0:c>
      <ns0:c r="S332" s="16">
        <ns0:f>Q332-F332*'前提と出典'!$E$4</ns0:f>
        <ns0:v>182554.3551525256</ns0:v>
      </ns0:c>
      <ns0:c r="T332" s="7">
        <ns0:f>R332+S332</ns0:f>
        <ns0:v>715624.6836565346</ns0:v>
      </ns0:c>
      <ns0:c r="U332" s="16">
        <ns0:f>P332-E332*'前提と出典'!$E$5</ns0:f>
        <ns0:v>469604.14376318746</ns0:v>
      </ns0:c>
      <ns0:c r="V332" s="16">
        <ns0:f>Q332-F332*'前提と出典'!$E$5</ns0:f>
        <ns0:v>157646.18341823423</ns0:v>
      </ns0:c>
      <ns0:c r="W332" s="7">
        <ns0:f>U332+V332</ns0:f>
        <ns0:v>627250.3271814217</ns0:v>
      </ns0:c>
      <ns0:c r="X332" s="16">
        <ns0:f>P332-E332*'前提と出典'!$E$6</ns0:f>
        <ns0:v>406137.95902236586</ns0:v>
      </ns0:c>
      <ns0:c r="Y332" s="16">
        <ns0:f>Q332-F332*'前提と出典'!$E$6</ns0:f>
        <ns0:v>132738.0116839428</ns0:v>
      </ns0:c>
      <ns0:c r="Z332" s="7">
        <ns0:f>X332+Y332</ns0:f>
        <ns0:v>538875.9707063087</ns0:v>
      </ns0:c>
      <ns0:c r="AA332" s="7">
        <ns0:f>IF(T332&gt;=0,A332,1001)</ns0:f>
        <ns0:v>328</ns0:v>
      </ns0:c>
      <ns0:c r="AB332" s="7">
        <ns0:f>IF(T332&lt;0,A332,0)</ns0:f>
        <ns0:v>0</ns0:v>
      </ns0:c>
      <ns0:c r="AC332" s="16">
        <ns0:f>IF(AND(OR('前提と出典'!$C$36+'前提と出典'!$C$38=0,R332&gt;=0),OR('前提と出典'!$C$37+'前提と出典'!$C$38=0,S332&gt;=0)),0,A332)</ns0:f>
        <ns0:v>0</ns0:v>
      </ns0:c>
      <ns0:c r="AD332" s="7">
        <ns0:f>IF(W332&gt;=0,A332,1001)</ns0:f>
        <ns0:v>328</ns0:v>
      </ns0:c>
      <ns0:c r="AE332" s="7">
        <ns0:f>IF(W332&lt;0,A332,0)</ns0:f>
        <ns0:v>0</ns0:v>
      </ns0:c>
      <ns0:c r="AF332" s="16">
        <ns0:f>IF(AND(OR('前提と出典'!$C$36+'前提と出典'!$C$38=0,U332&gt;=0),OR('前提と出典'!$C$37+'前提と出典'!$C$38=0,V332&gt;=0)),0,A332)</ns0:f>
        <ns0:v>0</ns0:v>
      </ns0:c>
      <ns0:c r="AG332" s="7">
        <ns0:f>IF(Z332&gt;=0,A332,1001)</ns0:f>
        <ns0:v>328</ns0:v>
      </ns0:c>
      <ns0:c r="AH332" s="4">
        <ns0:f>IF(Z332&lt;0,A332,0)</ns0:f>
        <ns0:v>0</ns0:v>
      </ns0:c>
      <ns0:c r="AI332" s="12">
        <ns0:f>IF(AND(OR('前提と出典'!$C$36+'前提と出典'!$C$38=0,X332&gt;=0),OR('前提と出典'!$C$37+'前提と出典'!$C$38=0,Y332&gt;=0)),0,A332)</ns0:f>
        <ns0:v>0</ns0:v>
      </ns0:c>
    </ns0:row>
    <ns0:row r="333" ht="24" customHeight="1">
      <ns0:c r="A333" s="4" t="n">
        <ns0:v>329</ns0:v>
      </ns0:c>
      <ns0:c r="B333" s="12">
        <ns0:f>A333*('前提と出典'!$C$36+'前提と出典'!$C$38)</ns0:f>
        <ns0:v>230.29999999999998</ns0:v>
      </ns0:c>
      <ns0:c r="C333" s="12">
        <ns0:f>A333*('前提と出典'!$C$37+'前提と出典'!$C$38)</ns0:f>
        <ns0:v>197.4</ns0:v>
      </ns0:c>
      <ns0:c r="D333" s="16">
        <ns0:f>A333*('前提と出典'!$C$36*'契約別単価'!C5+'前提と出典'!$C$37*'契約別単価'!C6+'前提と出典'!$C$38*'契約別単価'!C7)</ns0:f>
        <ns0:v>2367.3296089385476</ns0:v>
      </ns0:c>
      <ns0:c r="E333" s="16">
        <ns0:f>A333*('前提と出典'!$C$36*'契約別単価'!E5+'前提と出典'!$C$37*'契約別単価'!E6+'前提と出典'!$C$38*'契約別単価'!E7)</ns0:f>
        <ns0:v>636596.7920649484</ns0:v>
      </ns0:c>
      <ns0:c r="F333" s="16">
        <ns0:f>A333*('前提と出典'!$C$36*'契約別単価'!F5+'前提と出典'!$C$37*'契約別単価'!F6+'前提と出典'!$C$38*'契約別単価'!F7)</ns0:f>
        <ns0:v>249841.1128226178</ns0:v>
      </ns0:c>
      <ns0:c r="G333" s="16">
        <ns0:f>A333*('前提と出典'!$C$36*'契約別単価'!G5+'前提と出典'!$C$37*'契約別単価'!G6+'前提と出典'!$C$38*'契約別単価'!G7)</ns0:f>
        <ns0:v>654875.4189944133</ns0:v>
      </ns0:c>
      <ns0:c r="H333" s="16">
        <ns0:f>A333*('前提と出典'!$C$36*'契約別単価'!H5+'前提と出典'!$C$37*'契約別単価'!H6+'前提と出典'!$C$38*'契約別単価'!H7)</ns0:f>
        <ns0:v>227274.61497431286</ns0:v>
      </ns0:c>
      <ns0:c r="I333" s="16">
        <ns0:f>A333*('前提と出典'!$C$36*'契約別単価'!I5+'前提と出典'!$C$37*'契約別単価'!I6+'前提と出典'!$C$38*'契約別単価'!I7)</ns0:f>
        <ns0:v>13882.329608938546</ns0:v>
      </ns0:c>
      <ns0:c r="J333" s="16">
        <ns0:f>A333*('前提と出典'!$C$36*'契約別単価'!J5+'前提と出典'!$C$37*'契約別単価'!J6+'前提と出典'!$C$38*'契約別単価'!J7)</ns0:f>
        <ns0:v>32337.259880689544</ns0:v>
      </ns0:c>
      <ns0:c r="K333" s="16">
        <ns0:f>A333*('前提と出典'!$C$36*'契約別単価'!K5+'前提と出典'!$C$37*'契約別単価'!K6+'前提と出典'!$C$38*'契約別単価'!K7)</ns0:f>
        <ns0:v>138608.8640595903</ns0:v>
      </ns0:c>
      <ns0:c r="L333" s="16">
        <ns0:f>A333*('前提と出典'!$C$36*'契約別単価'!L5+'前提と出典'!$C$37*'契約別単価'!L6+'前提と出典'!$C$38*'契約別単価'!L7)</ns0:f>
        <ns0:v>112855.82049914375</ns0:v>
      </ns0:c>
      <ns0:c r="M333" s="16">
        <ns0:f>IF(('前提と出典'!$C$36+'前提と出典'!$C$38)=0,0,IF(B333&lt;=10,'前提と出典'!B73+'前提と出典'!C73,IF(B333&lt;=100,'前提と出典'!B74+'前提と出典'!C74,IF(B333&lt;=500,'前提と出典'!B75+'前提と出典'!C75,'前提と出典'!B76+'前提と出典'!C76))))</ns0:f>
        <ns0:v>40000</ns0:v>
      </ns0:c>
      <ns0:c r="N333" s="16">
        <ns0:f>IF(('前提と出典'!$C$37+'前提と出典'!$C$38)=0,0,IF(C333&lt;=10,'前提と出典'!D73+'前提と出典'!E73,IF(C333&lt;=100,'前提と出典'!D74+'前提と出典'!E74,IF(C333&lt;=500,'前提と出典'!D75+'前提と出典'!E75,'前提と出典'!D76+'前提と出典'!E76))))</ns0:f>
        <ns0:v>56510.9346263078</ns0:v>
      </ns0:c>
      <ns0:c r="O333" s="16">
        <ns0:f>IF('前提と出典'!$C$36+'前提と出典'!$C$38=0,0,'前提と出典'!$B$4*IF('前提と出典'!$B$20=0,MAX('前提と出典'!$B$6,D333*'前提と出典'!$B$5),'前提と出典'!$B$6+D333*'前提と出典'!$B$5))</ns0:f>
        <ns0:v>326691.48603351956</ns0:v>
      </ns0:c>
      <ns0:c r="P333" s="16">
        <ns0:f>(E333+G333)*(1-'前提と出典'!$B$7)-I333-K333-M333-O333</ns0:f>
        <ns0:v>725796.5317591764</ns0:v>
      </ns0:c>
      <ns0:c r="Q333" s="16">
        <ns0:f>(F333+H333)*(1-'前提と出典'!$B$7)-J333-L333-N333</ns0:f>
        <ns0:v>258235.5465901001</ns0:v>
      </ns0:c>
      <ns0:c r="R333" s="16">
        <ns0:f>P333-E333*'前提と出典'!$E$4</ns0:f>
        <ns0:v>534817.4941396916</ns0:v>
      </ns0:c>
      <ns0:c r="S333" s="16">
        <ns0:f>Q333-F333*'前提と出典'!$E$4</ns0:f>
        <ns0:v>183283.21274331474</ns0:v>
      </ns0:c>
      <ns0:c r="T333" s="7">
        <ns0:f>R333+S333</ns0:f>
        <ns0:v>718100.7068830063</ns0:v>
      </ns0:c>
      <ns0:c r="U333" s="16">
        <ns0:f>P333-E333*'前提と出典'!$E$5</ns0:f>
        <ns0:v>471157.81493319705</ns0:v>
      </ns0:c>
      <ns0:c r="V333" s="16">
        <ns0:f>Q333-F333*'前提と出典'!$E$5</ns0:f>
        <ns0:v>158299.10146105295</ns0:v>
      </ns0:c>
      <ns0:c r="W333" s="7">
        <ns0:f>U333+V333</ns0:f>
        <ns0:v>629456.91639425</ns0:v>
      </ns0:c>
      <ns0:c r="X333" s="16">
        <ns0:f>P333-E333*'前提と出典'!$E$6</ns0:f>
        <ns0:v>407498.1357267021</ns0:v>
      </ns0:c>
      <ns0:c r="Y333" s="16">
        <ns0:f>Q333-F333*'前提と出典'!$E$6</ns0:f>
        <ns0:v>133314.99017879117</ns0:v>
      </ns0:c>
      <ns0:c r="Z333" s="7">
        <ns0:f>X333+Y333</ns0:f>
        <ns0:v>540813.1259054933</ns0:v>
      </ns0:c>
      <ns0:c r="AA333" s="7">
        <ns0:f>IF(T333&gt;=0,A333,1001)</ns0:f>
        <ns0:v>329</ns0:v>
      </ns0:c>
      <ns0:c r="AB333" s="7">
        <ns0:f>IF(T333&lt;0,A333,0)</ns0:f>
        <ns0:v>0</ns0:v>
      </ns0:c>
      <ns0:c r="AC333" s="16">
        <ns0:f>IF(AND(OR('前提と出典'!$C$36+'前提と出典'!$C$38=0,R333&gt;=0),OR('前提と出典'!$C$37+'前提と出典'!$C$38=0,S333&gt;=0)),0,A333)</ns0:f>
        <ns0:v>0</ns0:v>
      </ns0:c>
      <ns0:c r="AD333" s="7">
        <ns0:f>IF(W333&gt;=0,A333,1001)</ns0:f>
        <ns0:v>329</ns0:v>
      </ns0:c>
      <ns0:c r="AE333" s="7">
        <ns0:f>IF(W333&lt;0,A333,0)</ns0:f>
        <ns0:v>0</ns0:v>
      </ns0:c>
      <ns0:c r="AF333" s="16">
        <ns0:f>IF(AND(OR('前提と出典'!$C$36+'前提と出典'!$C$38=0,U333&gt;=0),OR('前提と出典'!$C$37+'前提と出典'!$C$38=0,V333&gt;=0)),0,A333)</ns0:f>
        <ns0:v>0</ns0:v>
      </ns0:c>
      <ns0:c r="AG333" s="7">
        <ns0:f>IF(Z333&gt;=0,A333,1001)</ns0:f>
        <ns0:v>329</ns0:v>
      </ns0:c>
      <ns0:c r="AH333" s="4">
        <ns0:f>IF(Z333&lt;0,A333,0)</ns0:f>
        <ns0:v>0</ns0:v>
      </ns0:c>
      <ns0:c r="AI333" s="12">
        <ns0:f>IF(AND(OR('前提と出典'!$C$36+'前提と出典'!$C$38=0,X333&gt;=0),OR('前提と出典'!$C$37+'前提と出典'!$C$38=0,Y333&gt;=0)),0,A333)</ns0:f>
        <ns0:v>0</ns0:v>
      </ns0:c>
    </ns0:row>
    <ns0:row r="334" ht="24" customHeight="1">
      <ns0:c r="A334" s="4" t="n">
        <ns0:v>330</ns0:v>
      </ns0:c>
      <ns0:c r="B334" s="12">
        <ns0:f>A334*('前提と出典'!$C$36+'前提と出典'!$C$38)</ns0:f>
        <ns0:v>230.99999999999997</ns0:v>
      </ns0:c>
      <ns0:c r="C334" s="12">
        <ns0:f>A334*('前提と出典'!$C$37+'前提と出典'!$C$38)</ns0:f>
        <ns0:v>198</ns0:v>
      </ns0:c>
      <ns0:c r="D334" s="16">
        <ns0:f>A334*('前提と出典'!$C$36*'契約別単価'!C5+'前提と出典'!$C$37*'契約別単価'!C6+'前提と出典'!$C$38*'契約別単価'!C7)</ns0:f>
        <ns0:v>2374.5251396648046</ns0:v>
      </ns0:c>
      <ns0:c r="E334" s="16">
        <ns0:f>A334*('前提と出典'!$C$36*'契約別単価'!E5+'前提と出典'!$C$37*'契約別単価'!E6+'前提と出典'!$C$38*'契約別単価'!E7)</ns0:f>
        <ns0:v>638531.7367216807</ns0:v>
      </ns0:c>
      <ns0:c r="F334" s="16">
        <ns0:f>A334*('前提と出典'!$C$36*'契約別単価'!F5+'前提と出典'!$C$37*'契約別単価'!F6+'前提と出典'!$C$38*'契約別単価'!F7)</ns0:f>
        <ns0:v>250600.50830232183</ns0:v>
      </ns0:c>
      <ns0:c r="G334" s="16">
        <ns0:f>A334*('前提と出典'!$C$36*'契約別単価'!G5+'前提と出典'!$C$37*'契約別単価'!G6+'前提と出典'!$C$38*'契約別単価'!G7)</ns0:f>
        <ns0:v>656865.9217877095</ns0:v>
      </ns0:c>
      <ns0:c r="H334" s="16">
        <ns0:f>A334*('前提と出典'!$C$36*'契約別単価'!H5+'前提と出典'!$C$37*'契約別単価'!H6+'前提と出典'!$C$38*'契約別単価'!H7)</ns0:f>
        <ns0:v>227965.41927514665</ns0:v>
      </ns0:c>
      <ns0:c r="I334" s="16">
        <ns0:f>A334*('前提と出典'!$C$36*'契約別単価'!I5+'前提と出典'!$C$37*'契約別単価'!I6+'前提と出典'!$C$38*'契約別単価'!I7)</ns0:f>
        <ns0:v>13924.525139664802</ns0:v>
      </ns0:c>
      <ns0:c r="J334" s="16">
        <ns0:f>A334*('前提と出典'!$C$36*'契約別単価'!J5+'前提と出典'!$C$37*'契約別単価'!J6+'前提と出典'!$C$38*'契約別単価'!J7)</ns0:f>
        <ns0:v>32435.549424399847</ns0:v>
      </ns0:c>
      <ns0:c r="K334" s="16">
        <ns0:f>A334*('前提と出典'!$C$36*'契約別単価'!K5+'前提と出典'!$C$37*'契約別単価'!K6+'前提と出典'!$C$38*'契約別単価'!K7)</ns0:f>
        <ns0:v>139030.16759776536</ns0:v>
      </ns0:c>
      <ns0:c r="L334" s="16">
        <ns0:f>A334*('前提と出典'!$C$36*'契約別単価'!L5+'前提と出典'!$C$37*'契約別単価'!L6+'前提と出典'!$C$38*'契約別単価'!L7)</ns0:f>
        <ns0:v>113198.84730917156</ns0:v>
      </ns0:c>
      <ns0:c r="M334" s="16">
        <ns0:f>IF(('前提と出典'!$C$36+'前提と出典'!$C$38)=0,0,IF(B334&lt;=10,'前提と出典'!B73+'前提と出典'!C73,IF(B334&lt;=100,'前提と出典'!B74+'前提と出典'!C74,IF(B334&lt;=500,'前提と出典'!B75+'前提と出典'!C75,'前提と出典'!B76+'前提と出典'!C76))))</ns0:f>
        <ns0:v>40000</ns0:v>
      </ns0:c>
      <ns0:c r="N334" s="16">
        <ns0:f>IF(('前提と出典'!$C$37+'前提と出典'!$C$38)=0,0,IF(C334&lt;=10,'前提と出典'!D73+'前提と出典'!E73,IF(C334&lt;=100,'前提と出典'!D74+'前提と出典'!E74,IF(C334&lt;=500,'前提と出典'!D75+'前提と出典'!E75,'前提と出典'!D76+'前提と出典'!E76))))</ns0:f>
        <ns0:v>56510.9346263078</ns0:v>
      </ns0:c>
      <ns0:c r="O334" s="16">
        <ns0:f>IF('前提と出典'!$C$36+'前提と出典'!$C$38=0,0,'前提と出典'!$B$4*IF('前提と出典'!$B$20=0,MAX('前提と出典'!$B$6,D334*'前提と出典'!$B$5),'前提と出典'!$B$6+D334*'前提と出典'!$B$5))</ns0:f>
        <ns0:v>327684.46927374305</ns0:v>
      </ns0:c>
      <ns0:c r="P334" s="16">
        <ns0:f>(E334+G334)*(1-'前提と出典'!$B$7)-I334-K334-M334-O334</ns0:f>
        <ns0:v>728124.1807918791</ns0:v>
      </ns0:c>
      <ns0:c r="Q334" s="16">
        <ns0:f>(F334+H334)*(1-'前提と出典'!$B$7)-J334-L334-N334</ns0:f>
        <ns0:v>259192.22282480035</ns0:v>
      </ns0:c>
      <ns0:c r="R334" s="16">
        <ns0:f>P334-E334*'前提と出典'!$E$4</ns0:f>
        <ns0:v>536564.6597753749</ns0:v>
      </ns0:c>
      <ns0:c r="S334" s="16">
        <ns0:f>Q334-F334*'前提と出典'!$E$4</ns0:f>
        <ns0:v>184012.07033410383</ns0:v>
      </ns0:c>
      <ns0:c r="T334" s="7">
        <ns0:f>R334+S334</ns0:f>
        <ns0:v>720576.7301094788</ns0:v>
      </ns0:c>
      <ns0:c r="U334" s="16">
        <ns0:f>P334-E334*'前提と出典'!$E$5</ns0:f>
        <ns0:v>472711.4861032067</ns0:v>
      </ns0:c>
      <ns0:c r="V334" s="16">
        <ns0:f>Q334-F334*'前提と出典'!$E$5</ns0:f>
        <ns0:v>158952.01950387162</ns0:v>
      </ns0:c>
      <ns0:c r="W334" s="7">
        <ns0:f>U334+V334</ns0:f>
        <ns0:v>631663.5056070783</ns0:v>
      </ns0:c>
      <ns0:c r="X334" s="16">
        <ns0:f>P334-E334*'前提と出典'!$E$6</ns0:f>
        <ns0:v>408858.31243103865</ns0:v>
      </ns0:c>
      <ns0:c r="Y334" s="16">
        <ns0:f>Q334-F334*'前提と出典'!$E$6</ns0:f>
        <ns0:v>133891.9686736394</ns0:v>
      </ns0:c>
      <ns0:c r="Z334" s="7">
        <ns0:f>X334+Y334</ns0:f>
        <ns0:v>542750.281104678</ns0:v>
      </ns0:c>
      <ns0:c r="AA334" s="7">
        <ns0:f>IF(T334&gt;=0,A334,1001)</ns0:f>
        <ns0:v>330</ns0:v>
      </ns0:c>
      <ns0:c r="AB334" s="7">
        <ns0:f>IF(T334&lt;0,A334,0)</ns0:f>
        <ns0:v>0</ns0:v>
      </ns0:c>
      <ns0:c r="AC334" s="16">
        <ns0:f>IF(AND(OR('前提と出典'!$C$36+'前提と出典'!$C$38=0,R334&gt;=0),OR('前提と出典'!$C$37+'前提と出典'!$C$38=0,S334&gt;=0)),0,A334)</ns0:f>
        <ns0:v>0</ns0:v>
      </ns0:c>
      <ns0:c r="AD334" s="7">
        <ns0:f>IF(W334&gt;=0,A334,1001)</ns0:f>
        <ns0:v>330</ns0:v>
      </ns0:c>
      <ns0:c r="AE334" s="7">
        <ns0:f>IF(W334&lt;0,A334,0)</ns0:f>
        <ns0:v>0</ns0:v>
      </ns0:c>
      <ns0:c r="AF334" s="16">
        <ns0:f>IF(AND(OR('前提と出典'!$C$36+'前提と出典'!$C$38=0,U334&gt;=0),OR('前提と出典'!$C$37+'前提と出典'!$C$38=0,V334&gt;=0)),0,A334)</ns0:f>
        <ns0:v>0</ns0:v>
      </ns0:c>
      <ns0:c r="AG334" s="7">
        <ns0:f>IF(Z334&gt;=0,A334,1001)</ns0:f>
        <ns0:v>330</ns0:v>
      </ns0:c>
      <ns0:c r="AH334" s="4">
        <ns0:f>IF(Z334&lt;0,A334,0)</ns0:f>
        <ns0:v>0</ns0:v>
      </ns0:c>
      <ns0:c r="AI334" s="12">
        <ns0:f>IF(AND(OR('前提と出典'!$C$36+'前提と出典'!$C$38=0,X334&gt;=0),OR('前提と出典'!$C$37+'前提と出典'!$C$38=0,Y334&gt;=0)),0,A334)</ns0:f>
        <ns0:v>0</ns0:v>
      </ns0:c>
    </ns0:row>
    <ns0:row r="335" ht="24" customHeight="1">
      <ns0:c r="A335" s="4" t="n">
        <ns0:v>331</ns0:v>
      </ns0:c>
      <ns0:c r="B335" s="12">
        <ns0:f>A335*('前提と出典'!$C$36+'前提と出典'!$C$38)</ns0:f>
        <ns0:v>231.7</ns0:v>
      </ns0:c>
      <ns0:c r="C335" s="12">
        <ns0:f>A335*('前提と出典'!$C$37+'前提と出典'!$C$38)</ns0:f>
        <ns0:v>198.6</ns0:v>
      </ns0:c>
      <ns0:c r="D335" s="16">
        <ns0:f>A335*('前提と出典'!$C$36*'契約別単価'!C5+'前提と出典'!$C$37*'契約別単価'!C6+'前提と出典'!$C$38*'契約別単価'!C7)</ns0:f>
        <ns0:v>2381.7206703910615</ns0:v>
      </ns0:c>
      <ns0:c r="E335" s="16">
        <ns0:f>A335*('前提と出典'!$C$36*'契約別単価'!E5+'前提と出典'!$C$37*'契約別単価'!E6+'前提と出典'!$C$38*'契約別単価'!E7)</ns0:f>
        <ns0:v>640466.6813784131</ns0:v>
      </ns0:c>
      <ns0:c r="F335" s="16">
        <ns0:f>A335*('前提と出典'!$C$36*'契約別単価'!F5+'前提と出典'!$C$37*'契約別単価'!F6+'前提と出典'!$C$38*'契約別単価'!F7)</ns0:f>
        <ns0:v>251359.90378202582</ns0:v>
      </ns0:c>
      <ns0:c r="G335" s="16">
        <ns0:f>A335*('前提と出典'!$C$36*'契約別単価'!G5+'前提と出典'!$C$37*'契約別単価'!G6+'前提と出典'!$C$38*'契約別単価'!G7)</ns0:f>
        <ns0:v>658856.4245810056</ns0:v>
      </ns0:c>
      <ns0:c r="H335" s="16">
        <ns0:f>A335*('前提と出典'!$C$36*'契約別単価'!H5+'前提と出典'!$C$37*'契約別単価'!H6+'前提と出典'!$C$38*'契約別単価'!H7)</ns0:f>
        <ns0:v>228656.2235759804</ns0:v>
      </ns0:c>
      <ns0:c r="I335" s="16">
        <ns0:f>A335*('前提と出典'!$C$36*'契約別単価'!I5+'前提と出典'!$C$37*'契約別単価'!I6+'前提と出典'!$C$38*'契約別単価'!I7)</ns0:f>
        <ns0:v>13966.72067039106</ns0:v>
      </ns0:c>
      <ns0:c r="J335" s="16">
        <ns0:f>A335*('前提と出典'!$C$36*'契約別単価'!J5+'前提と出典'!$C$37*'契約別単価'!J6+'前提と出典'!$C$38*'契約別単価'!J7)</ns0:f>
        <ns0:v>32533.83896811015</ns0:v>
      </ns0:c>
      <ns0:c r="K335" s="16">
        <ns0:f>A335*('前提と出典'!$C$36*'契約別単価'!K5+'前提と出典'!$C$37*'契約別単価'!K6+'前提と出典'!$C$38*'契約別単価'!K7)</ns0:f>
        <ns0:v>139451.4711359404</ns0:v>
      </ns0:c>
      <ns0:c r="L335" s="16">
        <ns0:f>A335*('前提と出典'!$C$36*'契約別単価'!L5+'前提と出典'!$C$37*'契約別単価'!L6+'前提と出典'!$C$38*'契約別単価'!L7)</ns0:f>
        <ns0:v>113541.87411919935</ns0:v>
      </ns0:c>
      <ns0:c r="M335" s="16">
        <ns0:f>IF(('前提と出典'!$C$36+'前提と出典'!$C$38)=0,0,IF(B335&lt;=10,'前提と出典'!B73+'前提と出典'!C73,IF(B335&lt;=100,'前提と出典'!B74+'前提と出典'!C74,IF(B335&lt;=500,'前提と出典'!B75+'前提と出典'!C75,'前提と出典'!B76+'前提と出典'!C76))))</ns0:f>
        <ns0:v>40000</ns0:v>
      </ns0:c>
      <ns0:c r="N335" s="16">
        <ns0:f>IF(('前提と出典'!$C$37+'前提と出典'!$C$38)=0,0,IF(C335&lt;=10,'前提と出典'!D73+'前提と出典'!E73,IF(C335&lt;=100,'前提と出典'!D74+'前提と出典'!E74,IF(C335&lt;=500,'前提と出典'!D75+'前提と出典'!E75,'前提と出典'!D76+'前提と出典'!E76))))</ns0:f>
        <ns0:v>56510.9346263078</ns0:v>
      </ns0:c>
      <ns0:c r="O335" s="16">
        <ns0:f>IF('前提と出典'!$C$36+'前提と出典'!$C$38=0,0,'前提と出典'!$B$4*IF('前提と出典'!$B$20=0,MAX('前提と出典'!$B$6,D335*'前提と出典'!$B$5),'前提と出典'!$B$6+D335*'前提と出典'!$B$5))</ns0:f>
        <ns0:v>328677.45251396653</ns0:v>
      </ns0:c>
      <ns0:c r="P335" s="16">
        <ns0:f>(E335+G335)*(1-'前提と出典'!$B$7)-I335-K335-M335-O335</ns0:f>
        <ns0:v>730451.8298245816</ns0:v>
      </ns0:c>
      <ns0:c r="Q335" s="16">
        <ns0:f>(F335+H335)*(1-'前提と出典'!$B$7)-J335-L335-N335</ns0:f>
        <ns0:v>260148.89905950066</ns0:v>
      </ns0:c>
      <ns0:c r="R335" s="16">
        <ns0:f>P335-E335*'前提と出典'!$E$4</ns0:f>
        <ns0:v>538311.8254110578</ns0:v>
      </ns0:c>
      <ns0:c r="S335" s="16">
        <ns0:f>Q335-F335*'前提と出典'!$E$4</ns0:f>
        <ns0:v>184740.92792489292</ns0:v>
      </ns0:c>
      <ns0:c r="T335" s="7">
        <ns0:f>R335+S335</ns0:f>
        <ns0:v>723052.7533359507</ns0:v>
      </ns0:c>
      <ns0:c r="U335" s="16">
        <ns0:f>P335-E335*'前提と出典'!$E$5</ns0:f>
        <ns0:v>474265.15727321635</ns0:v>
      </ns0:c>
      <ns0:c r="V335" s="16">
        <ns0:f>Q335-F335*'前提と出典'!$E$5</ns0:f>
        <ns0:v>159604.93754669034</ns0:v>
      </ns0:c>
      <ns0:c r="W335" s="7">
        <ns0:f>U335+V335</ns0:f>
        <ns0:v>633870.0948199066</ns0:v>
      </ns0:c>
      <ns0:c r="X335" s="16">
        <ns0:f>P335-E335*'前提と出典'!$E$6</ns0:f>
        <ns0:v>410218.4891353751</ns0:v>
      </ns0:c>
      <ns0:c r="Y335" s="16">
        <ns0:f>Q335-F335*'前提と出典'!$E$6</ns0:f>
        <ns0:v>134468.94716848776</ns0:v>
      </ns0:c>
      <ns0:c r="Z335" s="7">
        <ns0:f>X335+Y335</ns0:f>
        <ns0:v>544687.4363038628</ns0:v>
      </ns0:c>
      <ns0:c r="AA335" s="7">
        <ns0:f>IF(T335&gt;=0,A335,1001)</ns0:f>
        <ns0:v>331</ns0:v>
      </ns0:c>
      <ns0:c r="AB335" s="7">
        <ns0:f>IF(T335&lt;0,A335,0)</ns0:f>
        <ns0:v>0</ns0:v>
      </ns0:c>
      <ns0:c r="AC335" s="16">
        <ns0:f>IF(AND(OR('前提と出典'!$C$36+'前提と出典'!$C$38=0,R335&gt;=0),OR('前提と出典'!$C$37+'前提と出典'!$C$38=0,S335&gt;=0)),0,A335)</ns0:f>
        <ns0:v>0</ns0:v>
      </ns0:c>
      <ns0:c r="AD335" s="7">
        <ns0:f>IF(W335&gt;=0,A335,1001)</ns0:f>
        <ns0:v>331</ns0:v>
      </ns0:c>
      <ns0:c r="AE335" s="7">
        <ns0:f>IF(W335&lt;0,A335,0)</ns0:f>
        <ns0:v>0</ns0:v>
      </ns0:c>
      <ns0:c r="AF335" s="16">
        <ns0:f>IF(AND(OR('前提と出典'!$C$36+'前提と出典'!$C$38=0,U335&gt;=0),OR('前提と出典'!$C$37+'前提と出典'!$C$38=0,V335&gt;=0)),0,A335)</ns0:f>
        <ns0:v>0</ns0:v>
      </ns0:c>
      <ns0:c r="AG335" s="7">
        <ns0:f>IF(Z335&gt;=0,A335,1001)</ns0:f>
        <ns0:v>331</ns0:v>
      </ns0:c>
      <ns0:c r="AH335" s="4">
        <ns0:f>IF(Z335&lt;0,A335,0)</ns0:f>
        <ns0:v>0</ns0:v>
      </ns0:c>
      <ns0:c r="AI335" s="12">
        <ns0:f>IF(AND(OR('前提と出典'!$C$36+'前提と出典'!$C$38=0,X335&gt;=0),OR('前提と出典'!$C$37+'前提と出典'!$C$38=0,Y335&gt;=0)),0,A335)</ns0:f>
        <ns0:v>0</ns0:v>
      </ns0:c>
    </ns0:row>
    <ns0:row r="336" ht="24" customHeight="1">
      <ns0:c r="A336" s="4" t="n">
        <ns0:v>332</ns0:v>
      </ns0:c>
      <ns0:c r="B336" s="12">
        <ns0:f>A336*('前提と出典'!$C$36+'前提と出典'!$C$38)</ns0:f>
        <ns0:v>232.39999999999998</ns0:v>
      </ns0:c>
      <ns0:c r="C336" s="12">
        <ns0:f>A336*('前提と出典'!$C$37+'前提と出典'!$C$38)</ns0:f>
        <ns0:v>199.2</ns0:v>
      </ns0:c>
      <ns0:c r="D336" s="16">
        <ns0:f>A336*('前提と出典'!$C$36*'契約別単価'!C5+'前提と出典'!$C$37*'契約別単価'!C6+'前提と出典'!$C$38*'契約別単価'!C7)</ns0:f>
        <ns0:v>2388.9162011173185</ns0:v>
      </ns0:c>
      <ns0:c r="E336" s="16">
        <ns0:f>A336*('前提と出典'!$C$36*'契約別単価'!E5+'前提と出典'!$C$37*'契約別単価'!E6+'前提と出典'!$C$38*'契約別単価'!E7)</ns0:f>
        <ns0:v>642401.6260351455</ns0:v>
      </ns0:c>
      <ns0:c r="F336" s="16">
        <ns0:f>A336*('前提と出典'!$C$36*'契約別単価'!F5+'前提と出典'!$C$37*'契約別単価'!F6+'前提と出典'!$C$38*'契約別単価'!F7)</ns0:f>
        <ns0:v>252119.29926172984</ns0:v>
      </ns0:c>
      <ns0:c r="G336" s="16">
        <ns0:f>A336*('前提と出典'!$C$36*'契約別単価'!G5+'前提と出典'!$C$37*'契約別単価'!G6+'前提と出典'!$C$38*'契約別単価'!G7)</ns0:f>
        <ns0:v>660846.9273743016</ns0:v>
      </ns0:c>
      <ns0:c r="H336" s="16">
        <ns0:f>A336*('前提と出典'!$C$36*'契約別単価'!H5+'前提と出典'!$C$37*'契約別単価'!H6+'前提と出典'!$C$38*'契約別単価'!H7)</ns0:f>
        <ns0:v>229347.0278768142</ns0:v>
      </ns0:c>
      <ns0:c r="I336" s="16">
        <ns0:f>A336*('前提と出典'!$C$36*'契約別単価'!I5+'前提と出典'!$C$37*'契約別単価'!I6+'前提と出典'!$C$38*'契約別単価'!I7)</ns0:f>
        <ns0:v>14008.916201117316</ns0:v>
      </ns0:c>
      <ns0:c r="J336" s="16">
        <ns0:f>A336*('前提と出典'!$C$36*'契約別単価'!J5+'前提と出典'!$C$37*'契約別単価'!J6+'前提と出典'!$C$38*'契約別単価'!J7)</ns0:f>
        <ns0:v>32632.12851182045</ns0:v>
      </ns0:c>
      <ns0:c r="K336" s="16">
        <ns0:f>A336*('前提と出典'!$C$36*'契約別単価'!K5+'前提と出典'!$C$37*'契約別単価'!K6+'前提と出典'!$C$38*'契約別単価'!K7)</ns0:f>
        <ns0:v>139872.77467411544</ns0:v>
      </ns0:c>
      <ns0:c r="L336" s="16">
        <ns0:f>A336*('前提と出典'!$C$36*'契約別単価'!L5+'前提と出典'!$C$37*'契約別単価'!L6+'前提と出典'!$C$38*'契約別単価'!L7)</ns0:f>
        <ns0:v>113884.90092922714</ns0:v>
      </ns0:c>
      <ns0:c r="M336" s="16">
        <ns0:f>IF(('前提と出典'!$C$36+'前提と出典'!$C$38)=0,0,IF(B336&lt;=10,'前提と出典'!B73+'前提と出典'!C73,IF(B336&lt;=100,'前提と出典'!B74+'前提と出典'!C74,IF(B336&lt;=500,'前提と出典'!B75+'前提と出典'!C75,'前提と出典'!B76+'前提と出典'!C76))))</ns0:f>
        <ns0:v>40000</ns0:v>
      </ns0:c>
      <ns0:c r="N336" s="16">
        <ns0:f>IF(('前提と出典'!$C$37+'前提と出典'!$C$38)=0,0,IF(C336&lt;=10,'前提と出典'!D73+'前提と出典'!E73,IF(C336&lt;=100,'前提と出典'!D74+'前提と出典'!E74,IF(C336&lt;=500,'前提と出典'!D75+'前提と出典'!E75,'前提と出典'!D76+'前提と出典'!E76))))</ns0:f>
        <ns0:v>56510.9346263078</ns0:v>
      </ns0:c>
      <ns0:c r="O336" s="16">
        <ns0:f>IF('前提と出典'!$C$36+'前提と出典'!$C$38=0,0,'前提と出典'!$B$4*IF('前提と出典'!$B$20=0,MAX('前提と出典'!$B$6,D336*'前提と出典'!$B$5),'前提と出典'!$B$6+D336*'前提と出典'!$B$5))</ns0:f>
        <ns0:v>329670.4357541899</ns0:v>
      </ns0:c>
      <ns0:c r="P336" s="16">
        <ns0:f>(E336+G336)*(1-'前提と出典'!$B$7)-I336-K336-M336-O336</ns0:f>
        <ns0:v>732779.4788572841</ns0:v>
      </ns0:c>
      <ns0:c r="Q336" s="16">
        <ns0:f>(F336+H336)*(1-'前提と出典'!$B$7)-J336-L336-N336</ns0:f>
        <ns0:v>261105.5752942011</ns0:v>
      </ns0:c>
      <ns0:c r="R336" s="16">
        <ns0:f>P336-E336*'前提と出典'!$E$4</ns0:f>
        <ns0:v>540058.9910467404</ns0:v>
      </ns0:c>
      <ns0:c r="S336" s="16">
        <ns0:f>Q336-F336*'前提と出典'!$E$4</ns0:f>
        <ns0:v>185469.78551568213</ns0:v>
      </ns0:c>
      <ns0:c r="T336" s="7">
        <ns0:f>R336+S336</ns0:f>
        <ns0:v>725528.7765624225</ns0:v>
      </ns0:c>
      <ns0:c r="U336" s="16">
        <ns0:f>P336-E336*'前提と出典'!$E$5</ns0:f>
        <ns0:v>475818.8284432259</ns0:v>
      </ns0:c>
      <ns0:c r="V336" s="16">
        <ns0:f>Q336-F336*'前提と出典'!$E$5</ns0:f>
        <ns0:v>160257.85558950913</ns0:v>
      </ns0:c>
      <ns0:c r="W336" s="7">
        <ns0:f>U336+V336</ns0:f>
        <ns0:v>636076.684032735</ns0:v>
      </ns0:c>
      <ns0:c r="X336" s="16">
        <ns0:f>P336-E336*'前提と出典'!$E$6</ns0:f>
        <ns0:v>411578.6658397114</ns0:v>
      </ns0:c>
      <ns0:c r="Y336" s="16">
        <ns0:f>Q336-F336*'前提と出典'!$E$6</ns0:f>
        <ns0:v>135045.92566333618</ns0:v>
      </ns0:c>
      <ns0:c r="Z336" s="7">
        <ns0:f>X336+Y336</ns0:f>
        <ns0:v>546624.5915030476</ns0:v>
      </ns0:c>
      <ns0:c r="AA336" s="7">
        <ns0:f>IF(T336&gt;=0,A336,1001)</ns0:f>
        <ns0:v>332</ns0:v>
      </ns0:c>
      <ns0:c r="AB336" s="7">
        <ns0:f>IF(T336&lt;0,A336,0)</ns0:f>
        <ns0:v>0</ns0:v>
      </ns0:c>
      <ns0:c r="AC336" s="16">
        <ns0:f>IF(AND(OR('前提と出典'!$C$36+'前提と出典'!$C$38=0,R336&gt;=0),OR('前提と出典'!$C$37+'前提と出典'!$C$38=0,S336&gt;=0)),0,A336)</ns0:f>
        <ns0:v>0</ns0:v>
      </ns0:c>
      <ns0:c r="AD336" s="7">
        <ns0:f>IF(W336&gt;=0,A336,1001)</ns0:f>
        <ns0:v>332</ns0:v>
      </ns0:c>
      <ns0:c r="AE336" s="7">
        <ns0:f>IF(W336&lt;0,A336,0)</ns0:f>
        <ns0:v>0</ns0:v>
      </ns0:c>
      <ns0:c r="AF336" s="16">
        <ns0:f>IF(AND(OR('前提と出典'!$C$36+'前提と出典'!$C$38=0,U336&gt;=0),OR('前提と出典'!$C$37+'前提と出典'!$C$38=0,V336&gt;=0)),0,A336)</ns0:f>
        <ns0:v>0</ns0:v>
      </ns0:c>
      <ns0:c r="AG336" s="7">
        <ns0:f>IF(Z336&gt;=0,A336,1001)</ns0:f>
        <ns0:v>332</ns0:v>
      </ns0:c>
      <ns0:c r="AH336" s="4">
        <ns0:f>IF(Z336&lt;0,A336,0)</ns0:f>
        <ns0:v>0</ns0:v>
      </ns0:c>
      <ns0:c r="AI336" s="12">
        <ns0:f>IF(AND(OR('前提と出典'!$C$36+'前提と出典'!$C$38=0,X336&gt;=0),OR('前提と出典'!$C$37+'前提と出典'!$C$38=0,Y336&gt;=0)),0,A336)</ns0:f>
        <ns0:v>0</ns0:v>
      </ns0:c>
    </ns0:row>
    <ns0:row r="337" ht="24" customHeight="1">
      <ns0:c r="A337" s="4" t="n">
        <ns0:v>333</ns0:v>
      </ns0:c>
      <ns0:c r="B337" s="12">
        <ns0:f>A337*('前提と出典'!$C$36+'前提と出典'!$C$38)</ns0:f>
        <ns0:v>233.1</ns0:v>
      </ns0:c>
      <ns0:c r="C337" s="12">
        <ns0:f>A337*('前提と出典'!$C$37+'前提と出典'!$C$38)</ns0:f>
        <ns0:v>199.79999999999998</ns0:v>
      </ns0:c>
      <ns0:c r="D337" s="16">
        <ns0:f>A337*('前提と出典'!$C$36*'契約別単価'!C5+'前提と出典'!$C$37*'契約別単価'!C6+'前提と出典'!$C$38*'契約別単価'!C7)</ns0:f>
        <ns0:v>2396.1117318435754</ns0:v>
      </ns0:c>
      <ns0:c r="E337" s="16">
        <ns0:f>A337*('前提と出典'!$C$36*'契約別単価'!E5+'前提と出典'!$C$37*'契約別単価'!E6+'前提と出典'!$C$38*'契約別単価'!E7)</ns0:f>
        <ns0:v>644336.5706918779</ns0:v>
      </ns0:c>
      <ns0:c r="F337" s="16">
        <ns0:f>A337*('前提と出典'!$C$36*'契約別単価'!F5+'前提と出典'!$C$37*'契約別単価'!F6+'前提と出典'!$C$38*'契約別単価'!F7)</ns0:f>
        <ns0:v>252878.69474143384</ns0:v>
      </ns0:c>
      <ns0:c r="G337" s="16">
        <ns0:f>A337*('前提と出典'!$C$36*'契約別単価'!G5+'前提と出典'!$C$37*'契約別単価'!G6+'前提と出典'!$C$38*'契約別単価'!G7)</ns0:f>
        <ns0:v>662837.4301675977</ns0:v>
      </ns0:c>
      <ns0:c r="H337" s="16">
        <ns0:f>A337*('前提と出典'!$C$36*'契約別単価'!H5+'前提と出典'!$C$37*'契約別単価'!H6+'前提と出典'!$C$38*'契約別単価'!H7)</ns0:f>
        <ns0:v>230037.83217764797</ns0:v>
      </ns0:c>
      <ns0:c r="I337" s="16">
        <ns0:f>A337*('前提と出典'!$C$36*'契約別単価'!I5+'前提と出典'!$C$37*'契約別単価'!I6+'前提と出典'!$C$38*'契約別単価'!I7)</ns0:f>
        <ns0:v>14051.111731843574</ns0:v>
      </ns0:c>
      <ns0:c r="J337" s="16">
        <ns0:f>A337*('前提と出典'!$C$36*'契約別単価'!J5+'前提と出典'!$C$37*'契約別単価'!J6+'前提と出典'!$C$38*'契約別単価'!J7)</ns0:f>
        <ns0:v>32730.418055530754</ns0:v>
      </ns0:c>
      <ns0:c r="K337" s="16">
        <ns0:f>A337*('前提と出典'!$C$36*'契約別単価'!K5+'前提と出典'!$C$37*'契約別単価'!K6+'前提と出典'!$C$38*'契約別単価'!K7)</ns0:f>
        <ns0:v>140294.0782122905</ns0:v>
      </ns0:c>
      <ns0:c r="L337" s="16">
        <ns0:f>A337*('前提と出典'!$C$36*'契約別単価'!L5+'前提と出典'!$C$37*'契約別単価'!L6+'前提と出典'!$C$38*'契約別単価'!L7)</ns0:f>
        <ns0:v>114227.92773925493</ns0:v>
      </ns0:c>
      <ns0:c r="M337" s="16">
        <ns0:f>IF(('前提と出典'!$C$36+'前提と出典'!$C$38)=0,0,IF(B337&lt;=10,'前提と出典'!B73+'前提と出典'!C73,IF(B337&lt;=100,'前提と出典'!B74+'前提と出典'!C74,IF(B337&lt;=500,'前提と出典'!B75+'前提と出典'!C75,'前提と出典'!B76+'前提と出典'!C76))))</ns0:f>
        <ns0:v>40000</ns0:v>
      </ns0:c>
      <ns0:c r="N337" s="16">
        <ns0:f>IF(('前提と出典'!$C$37+'前提と出典'!$C$38)=0,0,IF(C337&lt;=10,'前提と出典'!D73+'前提と出典'!E73,IF(C337&lt;=100,'前提と出典'!D74+'前提と出典'!E74,IF(C337&lt;=500,'前提と出典'!D75+'前提と出典'!E75,'前提と出典'!D76+'前提と出典'!E76))))</ns0:f>
        <ns0:v>56510.9346263078</ns0:v>
      </ns0:c>
      <ns0:c r="O337" s="16">
        <ns0:f>IF('前提と出典'!$C$36+'前提と出典'!$C$38=0,0,'前提と出典'!$B$4*IF('前提と出典'!$B$20=0,MAX('前提と出典'!$B$6,D337*'前提と出典'!$B$5),'前提と出典'!$B$6+D337*'前提と出典'!$B$5))</ns0:f>
        <ns0:v>330663.4189944134</ns0:v>
      </ns0:c>
      <ns0:c r="P337" s="16">
        <ns0:f>(E337+G337)*(1-'前提と出典'!$B$7)-I337-K337-M337-O337</ns0:f>
        <ns0:v>735107.1278899871</ns0:v>
      </ns0:c>
      <ns0:c r="Q337" s="16">
        <ns0:f>(F337+H337)*(1-'前提と出典'!$B$7)-J337-L337-N337</ns0:f>
        <ns0:v>262062.25152890137</ns0:v>
      </ns0:c>
      <ns0:c r="R337" s="16">
        <ns0:f>P337-E337*'前提と出典'!$E$4</ns0:f>
        <ns0:v>541806.1566824238</ns0:v>
      </ns0:c>
      <ns0:c r="S337" s="16">
        <ns0:f>Q337-F337*'前提と出典'!$E$4</ns0:f>
        <ns0:v>186198.64310647125</ns0:v>
      </ns0:c>
      <ns0:c r="T337" s="7">
        <ns0:f>R337+S337</ns0:f>
        <ns0:v>728004.7997888951</ns0:v>
      </ns0:c>
      <ns0:c r="U337" s="16">
        <ns0:f>P337-E337*'前提と出典'!$E$5</ns0:f>
        <ns0:v>477372.499613236</ns0:v>
      </ns0:c>
      <ns0:c r="V337" s="16">
        <ns0:f>Q337-F337*'前提と出典'!$E$5</ns0:f>
        <ns0:v>160910.77363232782</ns0:v>
      </ns0:c>
      <ns0:c r="W337" s="7">
        <ns0:f>U337+V337</ns0:f>
        <ns0:v>638283.2732455638</ns0:v>
      </ns0:c>
      <ns0:c r="X337" s="16">
        <ns0:f>P337-E337*'前提と出典'!$E$6</ns0:f>
        <ns0:v>412938.84254404815</ns0:v>
      </ns0:c>
      <ns0:c r="Y337" s="16">
        <ns0:f>Q337-F337*'前提と出典'!$E$6</ns0:f>
        <ns0:v>135622.90415818445</ns0:v>
      </ns0:c>
      <ns0:c r="Z337" s="7">
        <ns0:f>X337+Y337</ns0:f>
        <ns0:v>548561.7467022326</ns0:v>
      </ns0:c>
      <ns0:c r="AA337" s="7">
        <ns0:f>IF(T337&gt;=0,A337,1001)</ns0:f>
        <ns0:v>333</ns0:v>
      </ns0:c>
      <ns0:c r="AB337" s="7">
        <ns0:f>IF(T337&lt;0,A337,0)</ns0:f>
        <ns0:v>0</ns0:v>
      </ns0:c>
      <ns0:c r="AC337" s="16">
        <ns0:f>IF(AND(OR('前提と出典'!$C$36+'前提と出典'!$C$38=0,R337&gt;=0),OR('前提と出典'!$C$37+'前提と出典'!$C$38=0,S337&gt;=0)),0,A337)</ns0:f>
        <ns0:v>0</ns0:v>
      </ns0:c>
      <ns0:c r="AD337" s="7">
        <ns0:f>IF(W337&gt;=0,A337,1001)</ns0:f>
        <ns0:v>333</ns0:v>
      </ns0:c>
      <ns0:c r="AE337" s="7">
        <ns0:f>IF(W337&lt;0,A337,0)</ns0:f>
        <ns0:v>0</ns0:v>
      </ns0:c>
      <ns0:c r="AF337" s="16">
        <ns0:f>IF(AND(OR('前提と出典'!$C$36+'前提と出典'!$C$38=0,U337&gt;=0),OR('前提と出典'!$C$37+'前提と出典'!$C$38=0,V337&gt;=0)),0,A337)</ns0:f>
        <ns0:v>0</ns0:v>
      </ns0:c>
      <ns0:c r="AG337" s="7">
        <ns0:f>IF(Z337&gt;=0,A337,1001)</ns0:f>
        <ns0:v>333</ns0:v>
      </ns0:c>
      <ns0:c r="AH337" s="4">
        <ns0:f>IF(Z337&lt;0,A337,0)</ns0:f>
        <ns0:v>0</ns0:v>
      </ns0:c>
      <ns0:c r="AI337" s="12">
        <ns0:f>IF(AND(OR('前提と出典'!$C$36+'前提と出典'!$C$38=0,X337&gt;=0),OR('前提と出典'!$C$37+'前提と出典'!$C$38=0,Y337&gt;=0)),0,A337)</ns0:f>
        <ns0:v>0</ns0:v>
      </ns0:c>
    </ns0:row>
    <ns0:row r="338" ht="24" customHeight="1">
      <ns0:c r="A338" s="4" t="n">
        <ns0:v>334</ns0:v>
      </ns0:c>
      <ns0:c r="B338" s="12">
        <ns0:f>A338*('前提と出典'!$C$36+'前提と出典'!$C$38)</ns0:f>
        <ns0:v>233.79999999999998</ns0:v>
      </ns0:c>
      <ns0:c r="C338" s="12">
        <ns0:f>A338*('前提と出典'!$C$37+'前提と出典'!$C$38)</ns0:f>
        <ns0:v>200.4</ns0:v>
      </ns0:c>
      <ns0:c r="D338" s="16">
        <ns0:f>A338*('前提と出典'!$C$36*'契約別単価'!C5+'前提と出典'!$C$37*'契約別単価'!C6+'前提と出典'!$C$38*'契約別単価'!C7)</ns0:f>
        <ns0:v>2403.3072625698323</ns0:v>
      </ns0:c>
      <ns0:c r="E338" s="16">
        <ns0:f>A338*('前提と出典'!$C$36*'契約別単価'!E5+'前提と出典'!$C$37*'契約別単価'!E6+'前提と出典'!$C$38*'契約別単価'!E7)</ns0:f>
        <ns0:v>646271.5153486102</ns0:v>
      </ns0:c>
      <ns0:c r="F338" s="16">
        <ns0:f>A338*('前提と出典'!$C$36*'契約別単価'!F5+'前提と出典'!$C$37*'契約別単価'!F6+'前提と出典'!$C$38*'契約別単価'!F7)</ns0:f>
        <ns0:v>253638.09022113786</ns0:v>
      </ns0:c>
      <ns0:c r="G338" s="16">
        <ns0:f>A338*('前提と出典'!$C$36*'契約別単価'!G5+'前提と出典'!$C$37*'契約別単価'!G6+'前提と出典'!$C$38*'契約別単価'!G7)</ns0:f>
        <ns0:v>664827.9329608938</ns0:v>
      </ns0:c>
      <ns0:c r="H338" s="16">
        <ns0:f>A338*('前提と出典'!$C$36*'契約別単価'!H5+'前提と出典'!$C$37*'契約別単価'!H6+'前提と出典'!$C$38*'契約別単価'!H7)</ns0:f>
        <ns0:v>230728.63647848176</ns0:v>
      </ns0:c>
      <ns0:c r="I338" s="16">
        <ns0:f>A338*('前提と出典'!$C$36*'契約別単価'!I5+'前提と出典'!$C$37*'契約別単価'!I6+'前提と出典'!$C$38*'契約別単価'!I7)</ns0:f>
        <ns0:v>14093.30726256983</ns0:v>
      </ns0:c>
      <ns0:c r="J338" s="16">
        <ns0:f>A338*('前提と出典'!$C$36*'契約別単価'!J5+'前提と出典'!$C$37*'契約別単価'!J6+'前提と出典'!$C$38*'契約別単価'!J7)</ns0:f>
        <ns0:v>32828.70759924106</ns0:v>
      </ns0:c>
      <ns0:c r="K338" s="16">
        <ns0:f>A338*('前提と出典'!$C$36*'契約別単価'!K5+'前提と出典'!$C$37*'契約別単価'!K6+'前提と出典'!$C$38*'契約別単価'!K7)</ns0:f>
        <ns0:v>140715.38175046555</ns0:v>
      </ns0:c>
      <ns0:c r="L338" s="16">
        <ns0:f>A338*('前提と出典'!$C$36*'契約別単価'!L5+'前提と出典'!$C$37*'契約別単価'!L6+'前提と出典'!$C$38*'契約別単価'!L7)</ns0:f>
        <ns0:v>114570.95454928272</ns0:v>
      </ns0:c>
      <ns0:c r="M338" s="16">
        <ns0:f>IF(('前提と出典'!$C$36+'前提と出典'!$C$38)=0,0,IF(B338&lt;=10,'前提と出典'!B73+'前提と出典'!C73,IF(B338&lt;=100,'前提と出典'!B74+'前提と出典'!C74,IF(B338&lt;=500,'前提と出典'!B75+'前提と出典'!C75,'前提と出典'!B76+'前提と出典'!C76))))</ns0:f>
        <ns0:v>40000</ns0:v>
      </ns0:c>
      <ns0:c r="N338" s="16">
        <ns0:f>IF(('前提と出典'!$C$37+'前提と出典'!$C$38)=0,0,IF(C338&lt;=10,'前提と出典'!D73+'前提と出典'!E73,IF(C338&lt;=100,'前提と出典'!D74+'前提と出典'!E74,IF(C338&lt;=500,'前提と出典'!D75+'前提と出典'!E75,'前提と出典'!D76+'前提と出典'!E76))))</ns0:f>
        <ns0:v>56510.9346263078</ns0:v>
      </ns0:c>
      <ns0:c r="O338" s="16">
        <ns0:f>IF('前提と出典'!$C$36+'前提と出典'!$C$38=0,0,'前提と出典'!$B$4*IF('前提と出典'!$B$20=0,MAX('前提と出典'!$B$6,D338*'前提と出典'!$B$5),'前提と出典'!$B$6+D338*'前提と出典'!$B$5))</ns0:f>
        <ns0:v>331656.4022346369</ns0:v>
      </ns0:c>
      <ns0:c r="P338" s="16">
        <ns0:f>(E338+G338)*(1-'前提と出典'!$B$7)-I338-K338-M338-O338</ns0:f>
        <ns0:v>737434.7769226896</ns0:v>
      </ns0:c>
      <ns0:c r="Q338" s="16">
        <ns0:f>(F338+H338)*(1-'前提と出典'!$B$7)-J338-L338-N338</ns0:f>
        <ns0:v>263018.9277636017</ns0:v>
      </ns0:c>
      <ns0:c r="R338" s="16">
        <ns0:f>P338-E338*'前提と出典'!$E$4</ns0:f>
        <ns0:v>543553.3223181062</ns0:v>
      </ns0:c>
      <ns0:c r="S338" s="16">
        <ns0:f>Q338-F338*'前提と出典'!$E$4</ns0:f>
        <ns0:v>186927.50069726037</ns0:v>
      </ns0:c>
      <ns0:c r="T338" s="7">
        <ns0:f>R338+S338</ns0:f>
        <ns0:v>730480.8230153666</ns0:v>
      </ns0:c>
      <ns0:c r="U338" s="16">
        <ns0:f>P338-E338*'前提と出典'!$E$5</ns0:f>
        <ns0:v>478926.1707832455</ns0:v>
      </ns0:c>
      <ns0:c r="V338" s="16">
        <ns0:f>Q338-F338*'前提と出典'!$E$5</ns0:f>
        <ns0:v>161563.69167514658</ns0:v>
      </ns0:c>
      <ns0:c r="W338" s="7">
        <ns0:f>U338+V338</ns0:f>
        <ns0:v>640489.862458392</ns0:v>
      </ns0:c>
      <ns0:c r="X338" s="16">
        <ns0:f>P338-E338*'前提と出典'!$E$6</ns0:f>
        <ns0:v>414299.0192483846</ns0:v>
      </ns0:c>
      <ns0:c r="Y338" s="16">
        <ns0:f>Q338-F338*'前提と出典'!$E$6</ns0:f>
        <ns0:v>136199.88265303278</ns0:v>
      </ns0:c>
      <ns0:c r="Z338" s="7">
        <ns0:f>X338+Y338</ns0:f>
        <ns0:v>550498.9019014174</ns0:v>
      </ns0:c>
      <ns0:c r="AA338" s="7">
        <ns0:f>IF(T338&gt;=0,A338,1001)</ns0:f>
        <ns0:v>334</ns0:v>
      </ns0:c>
      <ns0:c r="AB338" s="7">
        <ns0:f>IF(T338&lt;0,A338,0)</ns0:f>
        <ns0:v>0</ns0:v>
      </ns0:c>
      <ns0:c r="AC338" s="16">
        <ns0:f>IF(AND(OR('前提と出典'!$C$36+'前提と出典'!$C$38=0,R338&gt;=0),OR('前提と出典'!$C$37+'前提と出典'!$C$38=0,S338&gt;=0)),0,A338)</ns0:f>
        <ns0:v>0</ns0:v>
      </ns0:c>
      <ns0:c r="AD338" s="7">
        <ns0:f>IF(W338&gt;=0,A338,1001)</ns0:f>
        <ns0:v>334</ns0:v>
      </ns0:c>
      <ns0:c r="AE338" s="7">
        <ns0:f>IF(W338&lt;0,A338,0)</ns0:f>
        <ns0:v>0</ns0:v>
      </ns0:c>
      <ns0:c r="AF338" s="16">
        <ns0:f>IF(AND(OR('前提と出典'!$C$36+'前提と出典'!$C$38=0,U338&gt;=0),OR('前提と出典'!$C$37+'前提と出典'!$C$38=0,V338&gt;=0)),0,A338)</ns0:f>
        <ns0:v>0</ns0:v>
      </ns0:c>
      <ns0:c r="AG338" s="7">
        <ns0:f>IF(Z338&gt;=0,A338,1001)</ns0:f>
        <ns0:v>334</ns0:v>
      </ns0:c>
      <ns0:c r="AH338" s="4">
        <ns0:f>IF(Z338&lt;0,A338,0)</ns0:f>
        <ns0:v>0</ns0:v>
      </ns0:c>
      <ns0:c r="AI338" s="12">
        <ns0:f>IF(AND(OR('前提と出典'!$C$36+'前提と出典'!$C$38=0,X338&gt;=0),OR('前提と出典'!$C$37+'前提と出典'!$C$38=0,Y338&gt;=0)),0,A338)</ns0:f>
        <ns0:v>0</ns0:v>
      </ns0:c>
    </ns0:row>
    <ns0:row r="339" ht="24" customHeight="1">
      <ns0:c r="A339" s="4" t="n">
        <ns0:v>335</ns0:v>
      </ns0:c>
      <ns0:c r="B339" s="12">
        <ns0:f>A339*('前提と出典'!$C$36+'前提と出典'!$C$38)</ns0:f>
        <ns0:v>234.49999999999997</ns0:v>
      </ns0:c>
      <ns0:c r="C339" s="12">
        <ns0:f>A339*('前提と出典'!$C$37+'前提と出典'!$C$38)</ns0:f>
        <ns0:v>201</ns0:v>
      </ns0:c>
      <ns0:c r="D339" s="16">
        <ns0:f>A339*('前提と出典'!$C$36*'契約別単価'!C5+'前提と出典'!$C$37*'契約別単価'!C6+'前提と出典'!$C$38*'契約別単価'!C7)</ns0:f>
        <ns0:v>2410.5027932960893</ns0:v>
      </ns0:c>
      <ns0:c r="E339" s="16">
        <ns0:f>A339*('前提と出典'!$C$36*'契約別単価'!E5+'前提と出典'!$C$37*'契約別単価'!E6+'前提と出典'!$C$38*'契約別単価'!E7)</ns0:f>
        <ns0:v>648206.4600053426</ns0:v>
      </ns0:c>
      <ns0:c r="F339" s="16">
        <ns0:f>A339*('前提と出典'!$C$36*'契約別単価'!F5+'前提と出典'!$C$37*'契約別単価'!F6+'前提と出典'!$C$38*'契約別単価'!F7)</ns0:f>
        <ns0:v>254397.48570084185</ns0:v>
      </ns0:c>
      <ns0:c r="G339" s="16">
        <ns0:f>A339*('前提と出典'!$C$36*'契約別単価'!G5+'前提と出典'!$C$37*'契約別単価'!G6+'前提と出典'!$C$38*'契約別単価'!G7)</ns0:f>
        <ns0:v>666818.43575419</ns0:v>
      </ns0:c>
      <ns0:c r="H339" s="16">
        <ns0:f>A339*('前提と出典'!$C$36*'契約別単価'!H5+'前提と出典'!$C$37*'契約別単価'!H6+'前提と出典'!$C$38*'契約別単価'!H7)</ns0:f>
        <ns0:v>231419.4407793155</ns0:v>
      </ns0:c>
      <ns0:c r="I339" s="16">
        <ns0:f>A339*('前提と出典'!$C$36*'契約別単価'!I5+'前提と出典'!$C$37*'契約別単価'!I6+'前提と出典'!$C$38*'契約別単価'!I7)</ns0:f>
        <ns0:v>14135.502793296087</ns0:v>
      </ns0:c>
      <ns0:c r="J339" s="16">
        <ns0:f>A339*('前提と出典'!$C$36*'契約別単価'!J5+'前提と出典'!$C$37*'契約別単価'!J6+'前提と出典'!$C$38*'契約別単価'!J7)</ns0:f>
        <ns0:v>32926.99714295136</ns0:v>
      </ns0:c>
      <ns0:c r="K339" s="16">
        <ns0:f>A339*('前提と出典'!$C$36*'契約別単価'!K5+'前提と出典'!$C$37*'契約別単価'!K6+'前提と出典'!$C$38*'契約別単価'!K7)</ns0:f>
        <ns0:v>141136.68528864058</ns0:v>
      </ns0:c>
      <ns0:c r="L339" s="16">
        <ns0:f>A339*('前提と出典'!$C$36*'契約別単価'!L5+'前提と出典'!$C$37*'契約別単価'!L6+'前提と出典'!$C$38*'契約別単価'!L7)</ns0:f>
        <ns0:v>114913.98135931052</ns0:v>
      </ns0:c>
      <ns0:c r="M339" s="16">
        <ns0:f>IF(('前提と出典'!$C$36+'前提と出典'!$C$38)=0,0,IF(B339&lt;=10,'前提と出典'!B73+'前提と出典'!C73,IF(B339&lt;=100,'前提と出典'!B74+'前提と出典'!C74,IF(B339&lt;=500,'前提と出典'!B75+'前提と出典'!C75,'前提と出典'!B76+'前提と出典'!C76))))</ns0:f>
        <ns0:v>40000</ns0:v>
      </ns0:c>
      <ns0:c r="N339" s="16">
        <ns0:f>IF(('前提と出典'!$C$37+'前提と出典'!$C$38)=0,0,IF(C339&lt;=10,'前提と出典'!D73+'前提と出典'!E73,IF(C339&lt;=100,'前提と出典'!D74+'前提と出典'!E74,IF(C339&lt;=500,'前提と出典'!D75+'前提と出典'!E75,'前提と出典'!D76+'前提と出典'!E76))))</ns0:f>
        <ns0:v>56510.9346263078</ns0:v>
      </ns0:c>
      <ns0:c r="O339" s="16">
        <ns0:f>IF('前提と出典'!$C$36+'前提と出典'!$C$38=0,0,'前提と出典'!$B$4*IF('前提と出典'!$B$20=0,MAX('前提と出典'!$B$6,D339*'前提と出典'!$B$5),'前提と出典'!$B$6+D339*'前提と出典'!$B$5))</ns0:f>
        <ns0:v>332649.3854748604</ns0:v>
      </ns0:c>
      <ns0:c r="P339" s="16">
        <ns0:f>(E339+G339)*(1-'前提と出典'!$B$7)-I339-K339-M339-O339</ns0:f>
        <ns0:v>739762.4259553924</ns0:v>
      </ns0:c>
      <ns0:c r="Q339" s="16">
        <ns0:f>(F339+H339)*(1-'前提と出典'!$B$7)-J339-L339-N339</ns0:f>
        <ns0:v>263975.603998302</ns0:v>
      </ns0:c>
      <ns0:c r="R339" s="16">
        <ns0:f>P339-E339*'前提と出典'!$E$4</ns0:f>
        <ns0:v>545300.4879537898</ns0:v>
      </ns0:c>
      <ns0:c r="S339" s="16">
        <ns0:f>Q339-F339*'前提と出典'!$E$4</ns0:f>
        <ns0:v>187656.35828804947</ns0:v>
      </ns0:c>
      <ns0:c r="T339" s="7">
        <ns0:f>R339+S339</ns0:f>
        <ns0:v>732956.8462418392</ns0:v>
      </ns0:c>
      <ns0:c r="U339" s="16">
        <ns0:f>P339-E339*'前提と出典'!$E$5</ns0:f>
        <ns0:v>480479.8419532553</ns0:v>
      </ns0:c>
      <ns0:c r="V339" s="16">
        <ns0:f>Q339-F339*'前提と出典'!$E$5</ns0:f>
        <ns0:v>162216.6097179653</ns0:v>
      </ns0:c>
      <ns0:c r="W339" s="7">
        <ns0:f>U339+V339</ns0:f>
        <ns0:v>642696.4516712206</ns0:v>
      </ns0:c>
      <ns0:c r="X339" s="16">
        <ns0:f>P339-E339*'前提と出典'!$E$6</ns0:f>
        <ns0:v>415659.19595272123</ns0:v>
      </ns0:c>
      <ns0:c r="Y339" s="16">
        <ns0:f>Q339-F339*'前提と出典'!$E$6</ns0:f>
        <ns0:v>136776.86114788108</ns0:v>
      </ns0:c>
      <ns0:c r="Z339" s="7">
        <ns0:f>X339+Y339</ns0:f>
        <ns0:v>552436.0571006023</ns0:v>
      </ns0:c>
      <ns0:c r="AA339" s="7">
        <ns0:f>IF(T339&gt;=0,A339,1001)</ns0:f>
        <ns0:v>335</ns0:v>
      </ns0:c>
      <ns0:c r="AB339" s="7">
        <ns0:f>IF(T339&lt;0,A339,0)</ns0:f>
        <ns0:v>0</ns0:v>
      </ns0:c>
      <ns0:c r="AC339" s="16">
        <ns0:f>IF(AND(OR('前提と出典'!$C$36+'前提と出典'!$C$38=0,R339&gt;=0),OR('前提と出典'!$C$37+'前提と出典'!$C$38=0,S339&gt;=0)),0,A339)</ns0:f>
        <ns0:v>0</ns0:v>
      </ns0:c>
      <ns0:c r="AD339" s="7">
        <ns0:f>IF(W339&gt;=0,A339,1001)</ns0:f>
        <ns0:v>335</ns0:v>
      </ns0:c>
      <ns0:c r="AE339" s="7">
        <ns0:f>IF(W339&lt;0,A339,0)</ns0:f>
        <ns0:v>0</ns0:v>
      </ns0:c>
      <ns0:c r="AF339" s="16">
        <ns0:f>IF(AND(OR('前提と出典'!$C$36+'前提と出典'!$C$38=0,U339&gt;=0),OR('前提と出典'!$C$37+'前提と出典'!$C$38=0,V339&gt;=0)),0,A339)</ns0:f>
        <ns0:v>0</ns0:v>
      </ns0:c>
      <ns0:c r="AG339" s="7">
        <ns0:f>IF(Z339&gt;=0,A339,1001)</ns0:f>
        <ns0:v>335</ns0:v>
      </ns0:c>
      <ns0:c r="AH339" s="4">
        <ns0:f>IF(Z339&lt;0,A339,0)</ns0:f>
        <ns0:v>0</ns0:v>
      </ns0:c>
      <ns0:c r="AI339" s="12">
        <ns0:f>IF(AND(OR('前提と出典'!$C$36+'前提と出典'!$C$38=0,X339&gt;=0),OR('前提と出典'!$C$37+'前提と出典'!$C$38=0,Y339&gt;=0)),0,A339)</ns0:f>
        <ns0:v>0</ns0:v>
      </ns0:c>
    </ns0:row>
    <ns0:row r="340" ht="24" customHeight="1">
      <ns0:c r="A340" s="4" t="n">
        <ns0:v>336</ns0:v>
      </ns0:c>
      <ns0:c r="B340" s="12">
        <ns0:f>A340*('前提と出典'!$C$36+'前提と出典'!$C$38)</ns0:f>
        <ns0:v>235.2</ns0:v>
      </ns0:c>
      <ns0:c r="C340" s="12">
        <ns0:f>A340*('前提と出典'!$C$37+'前提と出典'!$C$38)</ns0:f>
        <ns0:v>201.6</ns0:v>
      </ns0:c>
      <ns0:c r="D340" s="16">
        <ns0:f>A340*('前提と出典'!$C$36*'契約別単価'!C5+'前提と出典'!$C$37*'契約別単価'!C6+'前提と出典'!$C$38*'契約別単価'!C7)</ns0:f>
        <ns0:v>2417.6983240223462</ns0:v>
      </ns0:c>
      <ns0:c r="E340" s="16">
        <ns0:f>A340*('前提と出典'!$C$36*'契約別単価'!E5+'前提と出典'!$C$37*'契約別単価'!E6+'前提と出典'!$C$38*'契約別単価'!E7)</ns0:f>
        <ns0:v>650141.404662075</ns0:v>
      </ns0:c>
      <ns0:c r="F340" s="16">
        <ns0:f>A340*('前提と出典'!$C$36*'契約別単価'!F5+'前提と出典'!$C$37*'契約別単価'!F6+'前提と出典'!$C$38*'契約別単価'!F7)</ns0:f>
        <ns0:v>255156.88118054587</ns0:v>
      </ns0:c>
      <ns0:c r="G340" s="16">
        <ns0:f>A340*('前提と出典'!$C$36*'契約別単価'!G5+'前提と出典'!$C$37*'契約別単価'!G6+'前提と出典'!$C$38*'契約別単価'!G7)</ns0:f>
        <ns0:v>668808.938547486</ns0:v>
      </ns0:c>
      <ns0:c r="H340" s="16">
        <ns0:f>A340*('前提と出典'!$C$36*'契約別単価'!H5+'前提と出典'!$C$37*'契約別単価'!H6+'前提と出典'!$C$38*'契約別単価'!H7)</ns0:f>
        <ns0:v>232110.2450801493</ns0:v>
      </ns0:c>
      <ns0:c r="I340" s="16">
        <ns0:f>A340*('前提と出典'!$C$36*'契約別単価'!I5+'前提と出典'!$C$37*'契約別単価'!I6+'前提と出典'!$C$38*'契約別単価'!I7)</ns0:f>
        <ns0:v>14177.698324022344</ns0:v>
      </ns0:c>
      <ns0:c r="J340" s="16">
        <ns0:f>A340*('前提と出典'!$C$36*'契約別単価'!J5+'前提と出典'!$C$37*'契約別単価'!J6+'前提と出典'!$C$38*'契約別単価'!J7)</ns0:f>
        <ns0:v>33025.28668666166</ns0:v>
      </ns0:c>
      <ns0:c r="K340" s="16">
        <ns0:f>A340*('前提と出典'!$C$36*'契約別単価'!K5+'前提と出典'!$C$37*'契約別単価'!K6+'前提と出典'!$C$38*'契約別単価'!K7)</ns0:f>
        <ns0:v>141557.98882681562</ns0:v>
      </ns0:c>
      <ns0:c r="L340" s="16">
        <ns0:f>A340*('前提と出典'!$C$36*'契約別単価'!L5+'前提と出典'!$C$37*'契約別単価'!L6+'前提と出典'!$C$38*'契約別単価'!L7)</ns0:f>
        <ns0:v>115257.00816933831</ns0:v>
      </ns0:c>
      <ns0:c r="M340" s="16">
        <ns0:f>IF(('前提と出典'!$C$36+'前提と出典'!$C$38)=0,0,IF(B340&lt;=10,'前提と出典'!B73+'前提と出典'!C73,IF(B340&lt;=100,'前提と出典'!B74+'前提と出典'!C74,IF(B340&lt;=500,'前提と出典'!B75+'前提と出典'!C75,'前提と出典'!B76+'前提と出典'!C76))))</ns0:f>
        <ns0:v>40000</ns0:v>
      </ns0:c>
      <ns0:c r="N340" s="16">
        <ns0:f>IF(('前提と出典'!$C$37+'前提と出典'!$C$38)=0,0,IF(C340&lt;=10,'前提と出典'!D73+'前提と出典'!E73,IF(C340&lt;=100,'前提と出典'!D74+'前提と出典'!E74,IF(C340&lt;=500,'前提と出典'!D75+'前提と出典'!E75,'前提と出典'!D76+'前提と出典'!E76))))</ns0:f>
        <ns0:v>56510.9346263078</ns0:v>
      </ns0:c>
      <ns0:c r="O340" s="16">
        <ns0:f>IF('前提と出典'!$C$36+'前提と出典'!$C$38=0,0,'前提と出典'!$B$4*IF('前提と出典'!$B$20=0,MAX('前提と出典'!$B$6,D340*'前提と出典'!$B$5),'前提と出典'!$B$6+D340*'前提と出典'!$B$5))</ns0:f>
        <ns0:v>333642.36871508375</ns0:v>
      </ns0:c>
      <ns0:c r="P340" s="16">
        <ns0:f>(E340+G340)*(1-'前提と出典'!$B$7)-I340-K340-M340-O340</ns0:f>
        <ns0:v>742090.074988095</ns0:v>
      </ns0:c>
      <ns0:c r="Q340" s="16">
        <ns0:f>(F340+H340)*(1-'前提と出典'!$B$7)-J340-L340-N340</ns0:f>
        <ns0:v>264932.2802330024</ns0:v>
      </ns0:c>
      <ns0:c r="R340" s="16">
        <ns0:f>P340-E340*'前提と出典'!$E$4</ns0:f>
        <ns0:v>547047.6535894726</ns0:v>
      </ns0:c>
      <ns0:c r="S340" s="16">
        <ns0:f>Q340-F340*'前提と出典'!$E$4</ns0:f>
        <ns0:v>188385.2158788386</ns0:v>
      </ns0:c>
      <ns0:c r="T340" s="7">
        <ns0:f>R340+S340</ns0:f>
        <ns0:v>735432.8694683112</ns0:v>
      </ns0:c>
      <ns0:c r="U340" s="16">
        <ns0:f>P340-E340*'前提と出典'!$E$5</ns0:f>
        <ns0:v>482033.51312326494</ns0:v>
      </ns0:c>
      <ns0:c r="V340" s="16">
        <ns0:f>Q340-F340*'前提と出典'!$E$5</ns0:f>
        <ns0:v>162869.527760784</ns0:v>
      </ns0:c>
      <ns0:c r="W340" s="7">
        <ns0:f>U340+V340</ns0:f>
        <ns0:v>644903.0408840489</ns0:v>
      </ns0:c>
      <ns0:c r="X340" s="16">
        <ns0:f>P340-E340*'前提と出典'!$E$6</ns0:f>
        <ns0:v>417019.37265705754</ns0:v>
      </ns0:c>
      <ns0:c r="Y340" s="16">
        <ns0:f>Q340-F340*'前提と出典'!$E$6</ns0:f>
        <ns0:v>137353.8396427294</ns0:v>
      </ns0:c>
      <ns0:c r="Z340" s="7">
        <ns0:f>X340+Y340</ns0:f>
        <ns0:v>554373.212299787</ns0:v>
      </ns0:c>
      <ns0:c r="AA340" s="7">
        <ns0:f>IF(T340&gt;=0,A340,1001)</ns0:f>
        <ns0:v>336</ns0:v>
      </ns0:c>
      <ns0:c r="AB340" s="7">
        <ns0:f>IF(T340&lt;0,A340,0)</ns0:f>
        <ns0:v>0</ns0:v>
      </ns0:c>
      <ns0:c r="AC340" s="16">
        <ns0:f>IF(AND(OR('前提と出典'!$C$36+'前提と出典'!$C$38=0,R340&gt;=0),OR('前提と出典'!$C$37+'前提と出典'!$C$38=0,S340&gt;=0)),0,A340)</ns0:f>
        <ns0:v>0</ns0:v>
      </ns0:c>
      <ns0:c r="AD340" s="7">
        <ns0:f>IF(W340&gt;=0,A340,1001)</ns0:f>
        <ns0:v>336</ns0:v>
      </ns0:c>
      <ns0:c r="AE340" s="7">
        <ns0:f>IF(W340&lt;0,A340,0)</ns0:f>
        <ns0:v>0</ns0:v>
      </ns0:c>
      <ns0:c r="AF340" s="16">
        <ns0:f>IF(AND(OR('前提と出典'!$C$36+'前提と出典'!$C$38=0,U340&gt;=0),OR('前提と出典'!$C$37+'前提と出典'!$C$38=0,V340&gt;=0)),0,A340)</ns0:f>
        <ns0:v>0</ns0:v>
      </ns0:c>
      <ns0:c r="AG340" s="7">
        <ns0:f>IF(Z340&gt;=0,A340,1001)</ns0:f>
        <ns0:v>336</ns0:v>
      </ns0:c>
      <ns0:c r="AH340" s="4">
        <ns0:f>IF(Z340&lt;0,A340,0)</ns0:f>
        <ns0:v>0</ns0:v>
      </ns0:c>
      <ns0:c r="AI340" s="12">
        <ns0:f>IF(AND(OR('前提と出典'!$C$36+'前提と出典'!$C$38=0,X340&gt;=0),OR('前提と出典'!$C$37+'前提と出典'!$C$38=0,Y340&gt;=0)),0,A340)</ns0:f>
        <ns0:v>0</ns0:v>
      </ns0:c>
    </ns0:row>
    <ns0:row r="341" ht="24" customHeight="1">
      <ns0:c r="A341" s="4" t="n">
        <ns0:v>337</ns0:v>
      </ns0:c>
      <ns0:c r="B341" s="12">
        <ns0:f>A341*('前提と出典'!$C$36+'前提と出典'!$C$38)</ns0:f>
        <ns0:v>235.89999999999998</ns0:v>
      </ns0:c>
      <ns0:c r="C341" s="12">
        <ns0:f>A341*('前提と出典'!$C$37+'前提と出典'!$C$38)</ns0:f>
        <ns0:v>202.2</ns0:v>
      </ns0:c>
      <ns0:c r="D341" s="16">
        <ns0:f>A341*('前提と出典'!$C$36*'契約別単価'!C5+'前提と出典'!$C$37*'契約別単価'!C6+'前提と出典'!$C$38*'契約別単価'!C7)</ns0:f>
        <ns0:v>2424.893854748603</ns0:v>
      </ns0:c>
      <ns0:c r="E341" s="16">
        <ns0:f>A341*('前提と出典'!$C$36*'契約別単価'!E5+'前提と出典'!$C$37*'契約別単価'!E6+'前提と出典'!$C$38*'契約別単価'!E7)</ns0:f>
        <ns0:v>652076.3493188074</ns0:v>
      </ns0:c>
      <ns0:c r="F341" s="16">
        <ns0:f>A341*('前提と出典'!$C$36*'契約別単価'!F5+'前提と出典'!$C$37*'契約別単価'!F6+'前提と出典'!$C$38*'契約別単価'!F7)</ns0:f>
        <ns0:v>255916.27666024986</ns0:v>
      </ns0:c>
      <ns0:c r="G341" s="16">
        <ns0:f>A341*('前提と出典'!$C$36*'契約別単価'!G5+'前提と出典'!$C$37*'契約別単価'!G6+'前提と出典'!$C$38*'契約別単価'!G7)</ns0:f>
        <ns0:v>670799.4413407821</ns0:v>
      </ns0:c>
      <ns0:c r="H341" s="16">
        <ns0:f>A341*('前提と出典'!$C$36*'契約別単価'!H5+'前提と出典'!$C$37*'契約別単価'!H6+'前提と出典'!$C$38*'契約別単価'!H7)</ns0:f>
        <ns0:v>232801.04938098308</ns0:v>
      </ns0:c>
      <ns0:c r="I341" s="16">
        <ns0:f>A341*('前提と出典'!$C$36*'契約別単価'!I5+'前提と出典'!$C$37*'契約別単価'!I6+'前提と出典'!$C$38*'契約別単価'!I7)</ns0:f>
        <ns0:v>14219.893854748601</ns0:v>
      </ns0:c>
      <ns0:c r="J341" s="16">
        <ns0:f>A341*('前提と出典'!$C$36*'契約別単価'!J5+'前提と出典'!$C$37*'契約別単価'!J6+'前提と出典'!$C$38*'契約別単価'!J7)</ns0:f>
        <ns0:v>33123.57623037197</ns0:v>
      </ns0:c>
      <ns0:c r="K341" s="16">
        <ns0:f>A341*('前提と出典'!$C$36*'契約別単価'!K5+'前提と出典'!$C$37*'契約別単価'!K6+'前提と出典'!$C$38*'契約別単価'!K7)</ns0:f>
        <ns0:v>141979.2923649907</ns0:v>
      </ns0:c>
      <ns0:c r="L341" s="16">
        <ns0:f>A341*('前提と出典'!$C$36*'契約別単価'!L5+'前提と出典'!$C$37*'契約別単価'!L6+'前提と出典'!$C$38*'契約別単価'!L7)</ns0:f>
        <ns0:v>115600.0349793661</ns0:v>
      </ns0:c>
      <ns0:c r="M341" s="16">
        <ns0:f>IF(('前提と出典'!$C$36+'前提と出典'!$C$38)=0,0,IF(B341&lt;=10,'前提と出典'!B73+'前提と出典'!C73,IF(B341&lt;=100,'前提と出典'!B74+'前提と出典'!C74,IF(B341&lt;=500,'前提と出典'!B75+'前提と出典'!C75,'前提と出典'!B76+'前提と出典'!C76))))</ns0:f>
        <ns0:v>40000</ns0:v>
      </ns0:c>
      <ns0:c r="N341" s="16">
        <ns0:f>IF(('前提と出典'!$C$37+'前提と出典'!$C$38)=0,0,IF(C341&lt;=10,'前提と出典'!D73+'前提と出典'!E73,IF(C341&lt;=100,'前提と出典'!D74+'前提と出典'!E74,IF(C341&lt;=500,'前提と出典'!D75+'前提と出典'!E75,'前提と出典'!D76+'前提と出典'!E76))))</ns0:f>
        <ns0:v>56510.9346263078</ns0:v>
      </ns0:c>
      <ns0:c r="O341" s="16">
        <ns0:f>IF('前提と出典'!$C$36+'前提と出典'!$C$38=0,0,'前提と出典'!$B$4*IF('前提と出典'!$B$20=0,MAX('前提と出典'!$B$6,D341*'前提と出典'!$B$5),'前提と出典'!$B$6+D341*'前提と出典'!$B$5))</ns0:f>
        <ns0:v>334635.35195530724</ns0:v>
      </ns0:c>
      <ns0:c r="P341" s="16">
        <ns0:f>(E341+G341)*(1-'前提と出典'!$B$7)-I341-K341-M341-O341</ns0:f>
        <ns0:v>744417.7240207976</ns0:v>
      </ns0:c>
      <ns0:c r="Q341" s="16">
        <ns0:f>(F341+H341)*(1-'前提と出典'!$B$7)-J341-L341-N341</ns0:f>
        <ns0:v>265888.95646770264</ns0:v>
      </ns0:c>
      <ns0:c r="R341" s="16">
        <ns0:f>P341-E341*'前提と出典'!$E$4</ns0:f>
        <ns0:v>548794.8192251553</ns0:v>
      </ns0:c>
      <ns0:c r="S341" s="16">
        <ns0:f>Q341-F341*'前提と出典'!$E$4</ns0:f>
        <ns0:v>189114.07346962765</ns0:v>
      </ns0:c>
      <ns0:c r="T341" s="7">
        <ns0:f>R341+S341</ns0:f>
        <ns0:v>737908.8926947829</ns0:v>
      </ns0:c>
      <ns0:c r="U341" s="16">
        <ns0:f>P341-E341*'前提と出典'!$E$5</ns0:f>
        <ns0:v>483587.1842932747</ns0:v>
      </ns0:c>
      <ns0:c r="V341" s="16">
        <ns0:f>Q341-F341*'前提と出典'!$E$5</ns0:f>
        <ns0:v>163522.4458036027</ns0:v>
      </ns0:c>
      <ns0:c r="W341" s="7">
        <ns0:f>U341+V341</ns0:f>
        <ns0:v>647109.6300968775</ns0:v>
      </ns0:c>
      <ns0:c r="X341" s="16">
        <ns0:f>P341-E341*'前提と出典'!$E$6</ns0:f>
        <ns0:v>418379.54936139396</ns0:v>
      </ns0:c>
      <ns0:c r="Y341" s="16">
        <ns0:f>Q341-F341*'前提と出典'!$E$6</ns0:f>
        <ns0:v>137930.81813757773</ns0:v>
      </ns0:c>
      <ns0:c r="Z341" s="7">
        <ns0:f>X341+Y341</ns0:f>
        <ns0:v>556310.3674989718</ns0:v>
      </ns0:c>
      <ns0:c r="AA341" s="7">
        <ns0:f>IF(T341&gt;=0,A341,1001)</ns0:f>
        <ns0:v>337</ns0:v>
      </ns0:c>
      <ns0:c r="AB341" s="7">
        <ns0:f>IF(T341&lt;0,A341,0)</ns0:f>
        <ns0:v>0</ns0:v>
      </ns0:c>
      <ns0:c r="AC341" s="16">
        <ns0:f>IF(AND(OR('前提と出典'!$C$36+'前提と出典'!$C$38=0,R341&gt;=0),OR('前提と出典'!$C$37+'前提と出典'!$C$38=0,S341&gt;=0)),0,A341)</ns0:f>
        <ns0:v>0</ns0:v>
      </ns0:c>
      <ns0:c r="AD341" s="7">
        <ns0:f>IF(W341&gt;=0,A341,1001)</ns0:f>
        <ns0:v>337</ns0:v>
      </ns0:c>
      <ns0:c r="AE341" s="7">
        <ns0:f>IF(W341&lt;0,A341,0)</ns0:f>
        <ns0:v>0</ns0:v>
      </ns0:c>
      <ns0:c r="AF341" s="16">
        <ns0:f>IF(AND(OR('前提と出典'!$C$36+'前提と出典'!$C$38=0,U341&gt;=0),OR('前提と出典'!$C$37+'前提と出典'!$C$38=0,V341&gt;=0)),0,A341)</ns0:f>
        <ns0:v>0</ns0:v>
      </ns0:c>
      <ns0:c r="AG341" s="7">
        <ns0:f>IF(Z341&gt;=0,A341,1001)</ns0:f>
        <ns0:v>337</ns0:v>
      </ns0:c>
      <ns0:c r="AH341" s="4">
        <ns0:f>IF(Z341&lt;0,A341,0)</ns0:f>
        <ns0:v>0</ns0:v>
      </ns0:c>
      <ns0:c r="AI341" s="12">
        <ns0:f>IF(AND(OR('前提と出典'!$C$36+'前提と出典'!$C$38=0,X341&gt;=0),OR('前提と出典'!$C$37+'前提と出典'!$C$38=0,Y341&gt;=0)),0,A341)</ns0:f>
        <ns0:v>0</ns0:v>
      </ns0:c>
    </ns0:row>
    <ns0:row r="342" ht="24" customHeight="1">
      <ns0:c r="A342" s="4" t="n">
        <ns0:v>338</ns0:v>
      </ns0:c>
      <ns0:c r="B342" s="12">
        <ns0:f>A342*('前提と出典'!$C$36+'前提と出典'!$C$38)</ns0:f>
        <ns0:v>236.6</ns0:v>
      </ns0:c>
      <ns0:c r="C342" s="12">
        <ns0:f>A342*('前提と出典'!$C$37+'前提と出典'!$C$38)</ns0:f>
        <ns0:v>202.79999999999998</ns0:v>
      </ns0:c>
      <ns0:c r="D342" s="16">
        <ns0:f>A342*('前提と出典'!$C$36*'契約別単価'!C5+'前提と出典'!$C$37*'契約別単価'!C6+'前提と出典'!$C$38*'契約別単価'!C7)</ns0:f>
        <ns0:v>2432.08938547486</ns0:v>
      </ns0:c>
      <ns0:c r="E342" s="16">
        <ns0:f>A342*('前提と出典'!$C$36*'契約別単価'!E5+'前提と出典'!$C$37*'契約別単価'!E6+'前提と出典'!$C$38*'契約別単価'!E7)</ns0:f>
        <ns0:v>654011.2939755397</ns0:v>
      </ns0:c>
      <ns0:c r="F342" s="16">
        <ns0:f>A342*('前提と出典'!$C$36*'契約別単価'!F5+'前提と出典'!$C$37*'契約別単価'!F6+'前提と出典'!$C$38*'契約別単価'!F7)</ns0:f>
        <ns0:v>256675.67213995388</ns0:v>
      </ns0:c>
      <ns0:c r="G342" s="16">
        <ns0:f>A342*('前提と出典'!$C$36*'契約別単価'!G5+'前提と出典'!$C$37*'契約別単価'!G6+'前提と出典'!$C$38*'契約別単価'!G7)</ns0:f>
        <ns0:v>672789.9441340782</ns0:v>
      </ns0:c>
      <ns0:c r="H342" s="16">
        <ns0:f>A342*('前提と出典'!$C$36*'契約別単価'!H5+'前提と出典'!$C$37*'契約別単価'!H6+'前提と出典'!$C$38*'契約別単価'!H7)</ns0:f>
        <ns0:v>233491.85368181686</ns0:v>
      </ns0:c>
      <ns0:c r="I342" s="16">
        <ns0:f>A342*('前提と出典'!$C$36*'契約別単価'!I5+'前提と出典'!$C$37*'契約別単価'!I6+'前提と出典'!$C$38*'契約別単価'!I7)</ns0:f>
        <ns0:v>14262.089385474857</ns0:v>
      </ns0:c>
      <ns0:c r="J342" s="16">
        <ns0:f>A342*('前提と出典'!$C$36*'契約別単価'!J5+'前提と出典'!$C$37*'契約別単価'!J6+'前提と出典'!$C$38*'契約別単価'!J7)</ns0:f>
        <ns0:v>33221.86577408227</ns0:v>
      </ns0:c>
      <ns0:c r="K342" s="16">
        <ns0:f>A342*('前提と出典'!$C$36*'契約別単価'!K5+'前提と出典'!$C$37*'契約別単価'!K6+'前提と出典'!$C$38*'契約別単価'!K7)</ns0:f>
        <ns0:v>142400.59590316573</ns0:v>
      </ns0:c>
      <ns0:c r="L342" s="16">
        <ns0:f>A342*('前提と出典'!$C$36*'契約別単価'!L5+'前提と出典'!$C$37*'契約別単価'!L6+'前提と出典'!$C$38*'契約別単価'!L7)</ns0:f>
        <ns0:v>115943.06178939389</ns0:v>
      </ns0:c>
      <ns0:c r="M342" s="16">
        <ns0:f>IF(('前提と出典'!$C$36+'前提と出典'!$C$38)=0,0,IF(B342&lt;=10,'前提と出典'!B73+'前提と出典'!C73,IF(B342&lt;=100,'前提と出典'!B74+'前提と出典'!C74,IF(B342&lt;=500,'前提と出典'!B75+'前提と出典'!C75,'前提と出典'!B76+'前提と出典'!C76))))</ns0:f>
        <ns0:v>40000</ns0:v>
      </ns0:c>
      <ns0:c r="N342" s="16">
        <ns0:f>IF(('前提と出典'!$C$37+'前提と出典'!$C$38)=0,0,IF(C342&lt;=10,'前提と出典'!D73+'前提と出典'!E73,IF(C342&lt;=100,'前提と出典'!D74+'前提と出典'!E74,IF(C342&lt;=500,'前提と出典'!D75+'前提と出典'!E75,'前提と出典'!D76+'前提と出典'!E76))))</ns0:f>
        <ns0:v>56510.9346263078</ns0:v>
      </ns0:c>
      <ns0:c r="O342" s="16">
        <ns0:f>IF('前提と出典'!$C$36+'前提と出典'!$C$38=0,0,'前提と出典'!$B$4*IF('前提と出典'!$B$20=0,MAX('前提と出典'!$B$6,D342*'前提と出典'!$B$5),'前提と出典'!$B$6+D342*'前提と出典'!$B$5))</ns0:f>
        <ns0:v>335628.33519553073</ns0:v>
      </ns0:c>
      <ns0:c r="P342" s="16">
        <ns0:f>(E342+G342)*(1-'前提と出典'!$B$7)-I342-K342-M342-O342</ns0:f>
        <ns0:v>746745.3730535004</ns0:v>
      </ns0:c>
      <ns0:c r="Q342" s="16">
        <ns0:f>(F342+H342)*(1-'前提と出典'!$B$7)-J342-L342-N342</ns0:f>
        <ns0:v>266845.6327024031</ns0:v>
      </ns0:c>
      <ns0:c r="R342" s="16">
        <ns0:f>P342-E342*'前提と出典'!$E$4</ns0:f>
        <ns0:v>550541.9848608384</ns0:v>
      </ns0:c>
      <ns0:c r="S342" s="16">
        <ns0:f>Q342-F342*'前提と出典'!$E$4</ns0:f>
        <ns0:v>189842.93106041691</ns0:v>
      </ns0:c>
      <ns0:c r="T342" s="7">
        <ns0:f>R342+S342</ns0:f>
        <ns0:v>740384.9159212552</ns0:v>
      </ns0:c>
      <ns0:c r="U342" s="16">
        <ns0:f>P342-E342*'前提と出典'!$E$5</ns0:f>
        <ns0:v>485140.8554632846</ns0:v>
      </ns0:c>
      <ns0:c r="V342" s="16">
        <ns0:f>Q342-F342*'前提と出典'!$E$5</ns0:f>
        <ns0:v>164175.36384642153</ns0:v>
      </ns0:c>
      <ns0:c r="W342" s="7">
        <ns0:f>U342+V342</ns0:f>
        <ns0:v>649316.2193097061</ns0:v>
      </ns0:c>
      <ns0:c r="X342" s="16">
        <ns0:f>P342-E342*'前提と出典'!$E$6</ns0:f>
        <ns0:v>419739.7260657305</ns0:v>
      </ns0:c>
      <ns0:c r="Y342" s="16">
        <ns0:f>Q342-F342*'前提と出典'!$E$6</ns0:f>
        <ns0:v>138507.79663242615</ns0:v>
      </ns0:c>
      <ns0:c r="Z342" s="7">
        <ns0:f>X342+Y342</ns0:f>
        <ns0:v>558247.5226981567</ns0:v>
      </ns0:c>
      <ns0:c r="AA342" s="7">
        <ns0:f>IF(T342&gt;=0,A342,1001)</ns0:f>
        <ns0:v>338</ns0:v>
      </ns0:c>
      <ns0:c r="AB342" s="7">
        <ns0:f>IF(T342&lt;0,A342,0)</ns0:f>
        <ns0:v>0</ns0:v>
      </ns0:c>
      <ns0:c r="AC342" s="16">
        <ns0:f>IF(AND(OR('前提と出典'!$C$36+'前提と出典'!$C$38=0,R342&gt;=0),OR('前提と出典'!$C$37+'前提と出典'!$C$38=0,S342&gt;=0)),0,A342)</ns0:f>
        <ns0:v>0</ns0:v>
      </ns0:c>
      <ns0:c r="AD342" s="7">
        <ns0:f>IF(W342&gt;=0,A342,1001)</ns0:f>
        <ns0:v>338</ns0:v>
      </ns0:c>
      <ns0:c r="AE342" s="7">
        <ns0:f>IF(W342&lt;0,A342,0)</ns0:f>
        <ns0:v>0</ns0:v>
      </ns0:c>
      <ns0:c r="AF342" s="16">
        <ns0:f>IF(AND(OR('前提と出典'!$C$36+'前提と出典'!$C$38=0,U342&gt;=0),OR('前提と出典'!$C$37+'前提と出典'!$C$38=0,V342&gt;=0)),0,A342)</ns0:f>
        <ns0:v>0</ns0:v>
      </ns0:c>
      <ns0:c r="AG342" s="7">
        <ns0:f>IF(Z342&gt;=0,A342,1001)</ns0:f>
        <ns0:v>338</ns0:v>
      </ns0:c>
      <ns0:c r="AH342" s="4">
        <ns0:f>IF(Z342&lt;0,A342,0)</ns0:f>
        <ns0:v>0</ns0:v>
      </ns0:c>
      <ns0:c r="AI342" s="12">
        <ns0:f>IF(AND(OR('前提と出典'!$C$36+'前提と出典'!$C$38=0,X342&gt;=0),OR('前提と出典'!$C$37+'前提と出典'!$C$38=0,Y342&gt;=0)),0,A342)</ns0:f>
        <ns0:v>0</ns0:v>
      </ns0:c>
    </ns0:row>
    <ns0:row r="343" ht="24" customHeight="1">
      <ns0:c r="A343" s="4" t="n">
        <ns0:v>339</ns0:v>
      </ns0:c>
      <ns0:c r="B343" s="12">
        <ns0:f>A343*('前提と出典'!$C$36+'前提と出典'!$C$38)</ns0:f>
        <ns0:v>237.29999999999998</ns0:v>
      </ns0:c>
      <ns0:c r="C343" s="12">
        <ns0:f>A343*('前提と出典'!$C$37+'前提と出典'!$C$38)</ns0:f>
        <ns0:v>203.4</ns0:v>
      </ns0:c>
      <ns0:c r="D343" s="16">
        <ns0:f>A343*('前提と出典'!$C$36*'契約別単価'!C5+'前提と出典'!$C$37*'契約別単価'!C6+'前提と出典'!$C$38*'契約別単価'!C7)</ns0:f>
        <ns0:v>2439.284916201117</ns0:v>
      </ns0:c>
      <ns0:c r="E343" s="16">
        <ns0:f>A343*('前提と出典'!$C$36*'契約別単価'!E5+'前提と出典'!$C$37*'契約別単価'!E6+'前提と出典'!$C$38*'契約別単価'!E7)</ns0:f>
        <ns0:v>655946.2386322721</ns0:v>
      </ns0:c>
      <ns0:c r="F343" s="16">
        <ns0:f>A343*('前提と出典'!$C$36*'契約別単価'!F5+'前提と出典'!$C$37*'契約別単価'!F6+'前提と出典'!$C$38*'契約別単価'!F7)</ns0:f>
        <ns0:v>257435.06761965787</ns0:v>
      </ns0:c>
      <ns0:c r="G343" s="16">
        <ns0:f>A343*('前提と出典'!$C$36*'契約別単価'!G5+'前提と出典'!$C$37*'契約別単価'!G6+'前提と出典'!$C$38*'契約別単価'!G7)</ns0:f>
        <ns0:v>674780.4469273742</ns0:v>
      </ns0:c>
      <ns0:c r="H343" s="16">
        <ns0:f>A343*('前提と出典'!$C$36*'契約別単価'!H5+'前提と出典'!$C$37*'契約別単価'!H6+'前提と出典'!$C$38*'契約別単価'!H7)</ns0:f>
        <ns0:v>234182.65798265065</ns0:v>
      </ns0:c>
      <ns0:c r="I343" s="16">
        <ns0:f>A343*('前提と出典'!$C$36*'契約別単価'!I5+'前提と出典'!$C$37*'契約別単価'!I6+'前提と出典'!$C$38*'契約別単価'!I7)</ns0:f>
        <ns0:v>14304.284916201115</ns0:v>
      </ns0:c>
      <ns0:c r="J343" s="16">
        <ns0:f>A343*('前提と出典'!$C$36*'契約別単価'!J5+'前提と出典'!$C$37*'契約別単価'!J6+'前提と出典'!$C$38*'契約別単価'!J7)</ns0:f>
        <ns0:v>33320.15531779257</ns0:v>
      </ns0:c>
      <ns0:c r="K343" s="16">
        <ns0:f>A343*('前提と出典'!$C$36*'契約別単価'!K5+'前提と出典'!$C$37*'契約別単価'!K6+'前提と出典'!$C$38*'契約別単価'!K7)</ns0:f>
        <ns0:v>142821.89944134076</ns0:v>
      </ns0:c>
      <ns0:c r="L343" s="16">
        <ns0:f>A343*('前提と出典'!$C$36*'契約別単価'!L5+'前提と出典'!$C$37*'契約別単価'!L6+'前提と出典'!$C$38*'契約別単価'!L7)</ns0:f>
        <ns0:v>116286.08859942168</ns0:v>
      </ns0:c>
      <ns0:c r="M343" s="16">
        <ns0:f>IF(('前提と出典'!$C$36+'前提と出典'!$C$38)=0,0,IF(B343&lt;=10,'前提と出典'!B73+'前提と出典'!C73,IF(B343&lt;=100,'前提と出典'!B74+'前提と出典'!C74,IF(B343&lt;=500,'前提と出典'!B75+'前提と出典'!C75,'前提と出典'!B76+'前提と出典'!C76))))</ns0:f>
        <ns0:v>40000</ns0:v>
      </ns0:c>
      <ns0:c r="N343" s="16">
        <ns0:f>IF(('前提と出典'!$C$37+'前提と出典'!$C$38)=0,0,IF(C343&lt;=10,'前提と出典'!D73+'前提と出典'!E73,IF(C343&lt;=100,'前提と出典'!D74+'前提と出典'!E74,IF(C343&lt;=500,'前提と出典'!D75+'前提と出典'!E75,'前提と出典'!D76+'前提と出典'!E76))))</ns0:f>
        <ns0:v>56510.9346263078</ns0:v>
      </ns0:c>
      <ns0:c r="O343" s="16">
        <ns0:f>IF('前提と出典'!$C$36+'前提と出典'!$C$38=0,0,'前提と出典'!$B$4*IF('前提と出典'!$B$20=0,MAX('前提と出典'!$B$6,D343*'前提と出典'!$B$5),'前提と出典'!$B$6+D343*'前提と出典'!$B$5))</ns0:f>
        <ns0:v>336621.31843575416</ns0:v>
      </ns0:c>
      <ns0:c r="P343" s="16">
        <ns0:f>(E343+G343)*(1-'前提と出典'!$B$7)-I343-K343-M343-O343</ns0:f>
        <ns0:v>749073.0220862029</ns0:v>
      </ns0:c>
      <ns0:c r="Q343" s="16">
        <ns0:f>(F343+H343)*(1-'前提と出典'!$B$7)-J343-L343-N343</ns0:f>
        <ns0:v>267802.3089371034</ns0:v>
      </ns0:c>
      <ns0:c r="R343" s="16">
        <ns0:f>P343-E343*'前提と出典'!$E$4</ns0:f>
        <ns0:v>552289.1504965213</ns0:v>
      </ns0:c>
      <ns0:c r="S343" s="16">
        <ns0:f>Q343-F343*'前提と出典'!$E$4</ns0:f>
        <ns0:v>190571.788651206</ns0:v>
      </ns0:c>
      <ns0:c r="T343" s="7">
        <ns0:f>R343+S343</ns0:f>
        <ns0:v>742860.9391477273</ns0:v>
      </ns0:c>
      <ns0:c r="U343" s="16">
        <ns0:f>P343-E343*'前提と出典'!$E$5</ns0:f>
        <ns0:v>486694.52663329407</ns0:v>
      </ns0:c>
      <ns0:c r="V343" s="16">
        <ns0:f>Q343-F343*'前提と出典'!$E$5</ns0:f>
        <ns0:v>164828.2818892402</ns0:v>
      </ns0:c>
      <ns0:c r="W343" s="7">
        <ns0:f>U343+V343</ns0:f>
        <ns0:v>651522.8085225343</ns0:v>
      </ns0:c>
      <ns0:c r="X343" s="16">
        <ns0:f>P343-E343*'前提と出典'!$E$6</ns0:f>
        <ns0:v>421099.90277006687</ns0:v>
      </ns0:c>
      <ns0:c r="Y343" s="16">
        <ns0:f>Q343-F343*'前提と出典'!$E$6</ns0:f>
        <ns0:v>139084.77512727445</ns0:v>
      </ns0:c>
      <ns0:c r="Z343" s="7">
        <ns0:f>X343+Y343</ns0:f>
        <ns0:v>560184.6778973413</ns0:v>
      </ns0:c>
      <ns0:c r="AA343" s="7">
        <ns0:f>IF(T343&gt;=0,A343,1001)</ns0:f>
        <ns0:v>339</ns0:v>
      </ns0:c>
      <ns0:c r="AB343" s="7">
        <ns0:f>IF(T343&lt;0,A343,0)</ns0:f>
        <ns0:v>0</ns0:v>
      </ns0:c>
      <ns0:c r="AC343" s="16">
        <ns0:f>IF(AND(OR('前提と出典'!$C$36+'前提と出典'!$C$38=0,R343&gt;=0),OR('前提と出典'!$C$37+'前提と出典'!$C$38=0,S343&gt;=0)),0,A343)</ns0:f>
        <ns0:v>0</ns0:v>
      </ns0:c>
      <ns0:c r="AD343" s="7">
        <ns0:f>IF(W343&gt;=0,A343,1001)</ns0:f>
        <ns0:v>339</ns0:v>
      </ns0:c>
      <ns0:c r="AE343" s="7">
        <ns0:f>IF(W343&lt;0,A343,0)</ns0:f>
        <ns0:v>0</ns0:v>
      </ns0:c>
      <ns0:c r="AF343" s="16">
        <ns0:f>IF(AND(OR('前提と出典'!$C$36+'前提と出典'!$C$38=0,U343&gt;=0),OR('前提と出典'!$C$37+'前提と出典'!$C$38=0,V343&gt;=0)),0,A343)</ns0:f>
        <ns0:v>0</ns0:v>
      </ns0:c>
      <ns0:c r="AG343" s="7">
        <ns0:f>IF(Z343&gt;=0,A343,1001)</ns0:f>
        <ns0:v>339</ns0:v>
      </ns0:c>
      <ns0:c r="AH343" s="4">
        <ns0:f>IF(Z343&lt;0,A343,0)</ns0:f>
        <ns0:v>0</ns0:v>
      </ns0:c>
      <ns0:c r="AI343" s="12">
        <ns0:f>IF(AND(OR('前提と出典'!$C$36+'前提と出典'!$C$38=0,X343&gt;=0),OR('前提と出典'!$C$37+'前提と出典'!$C$38=0,Y343&gt;=0)),0,A343)</ns0:f>
        <ns0:v>0</ns0:v>
      </ns0:c>
    </ns0:row>
    <ns0:row r="344" ht="24" customHeight="1">
      <ns0:c r="A344" s="4" t="n">
        <ns0:v>340</ns0:v>
      </ns0:c>
      <ns0:c r="B344" s="12">
        <ns0:f>A344*('前提と出典'!$C$36+'前提と出典'!$C$38)</ns0:f>
        <ns0:v>237.99999999999997</ns0:v>
      </ns0:c>
      <ns0:c r="C344" s="12">
        <ns0:f>A344*('前提と出典'!$C$37+'前提と出典'!$C$38)</ns0:f>
        <ns0:v>204</ns0:v>
      </ns0:c>
      <ns0:c r="D344" s="16">
        <ns0:f>A344*('前提と出典'!$C$36*'契約別単価'!C5+'前提と出典'!$C$37*'契約別単価'!C6+'前提と出典'!$C$38*'契約別単価'!C7)</ns0:f>
        <ns0:v>2446.4804469273745</ns0:v>
      </ns0:c>
      <ns0:c r="E344" s="16">
        <ns0:f>A344*('前提と出典'!$C$36*'契約別単価'!E5+'前提と出典'!$C$37*'契約別単価'!E6+'前提と出典'!$C$38*'契約別単価'!E7)</ns0:f>
        <ns0:v>657881.1832890044</ns0:v>
      </ns0:c>
      <ns0:c r="F344" s="16">
        <ns0:f>A344*('前提と出典'!$C$36*'契約別単価'!F5+'前提と出典'!$C$37*'契約別単価'!F6+'前提と出典'!$C$38*'契約別単価'!F7)</ns0:f>
        <ns0:v>258194.4630993619</ns0:v>
      </ns0:c>
      <ns0:c r="G344" s="16">
        <ns0:f>A344*('前提と出典'!$C$36*'契約別単価'!G5+'前提と出典'!$C$37*'契約別単価'!G6+'前提と出典'!$C$38*'契約別単価'!G7)</ns0:f>
        <ns0:v>676770.9497206704</ns0:v>
      </ns0:c>
      <ns0:c r="H344" s="16">
        <ns0:f>A344*('前提と出典'!$C$36*'契約別単価'!H5+'前提と出典'!$C$37*'契約別単価'!H6+'前提と出典'!$C$38*'契約別単価'!H7)</ns0:f>
        <ns0:v>234873.4622834844</ns0:v>
      </ns0:c>
      <ns0:c r="I344" s="16">
        <ns0:f>A344*('前提と出典'!$C$36*'契約別単価'!I5+'前提と出典'!$C$37*'契約別単価'!I6+'前提と出典'!$C$38*'契約別単価'!I7)</ns0:f>
        <ns0:v>14346.480446927371</ns0:v>
      </ns0:c>
      <ns0:c r="J344" s="16">
        <ns0:f>A344*('前提と出典'!$C$36*'契約別単価'!J5+'前提と出典'!$C$37*'契約別単価'!J6+'前提と出典'!$C$38*'契約別単価'!J7)</ns0:f>
        <ns0:v>33418.444861502874</ns0:v>
      </ns0:c>
      <ns0:c r="K344" s="16">
        <ns0:f>A344*('前提と出典'!$C$36*'契約別単価'!K5+'前提と出典'!$C$37*'契約別単価'!K6+'前提と出典'!$C$38*'契約別単価'!K7)</ns0:f>
        <ns0:v>143243.20297951583</ns0:v>
      </ns0:c>
      <ns0:c r="L344" s="16">
        <ns0:f>A344*('前提と出典'!$C$36*'契約別単価'!L5+'前提と出典'!$C$37*'契約別単価'!L6+'前提と出典'!$C$38*'契約別単価'!L7)</ns0:f>
        <ns0:v>116629.11540944947</ns0:v>
      </ns0:c>
      <ns0:c r="M344" s="16">
        <ns0:f>IF(('前提と出典'!$C$36+'前提と出典'!$C$38)=0,0,IF(B344&lt;=10,'前提と出典'!B73+'前提と出典'!C73,IF(B344&lt;=100,'前提と出典'!B74+'前提と出典'!C74,IF(B344&lt;=500,'前提と出典'!B75+'前提と出典'!C75,'前提と出典'!B76+'前提と出典'!C76))))</ns0:f>
        <ns0:v>40000</ns0:v>
      </ns0:c>
      <ns0:c r="N344" s="16">
        <ns0:f>IF(('前提と出典'!$C$37+'前提と出典'!$C$38)=0,0,IF(C344&lt;=10,'前提と出典'!D73+'前提と出典'!E73,IF(C344&lt;=100,'前提と出典'!D74+'前提と出典'!E74,IF(C344&lt;=500,'前提と出典'!D75+'前提と出典'!E75,'前提と出典'!D76+'前提と出典'!E76))))</ns0:f>
        <ns0:v>56510.9346263078</ns0:v>
      </ns0:c>
      <ns0:c r="O344" s="16">
        <ns0:f>IF('前提と出典'!$C$36+'前提と出典'!$C$38=0,0,'前提と出典'!$B$4*IF('前提と出典'!$B$20=0,MAX('前提と出典'!$B$6,D344*'前提と出典'!$B$5),'前提と出典'!$B$6+D344*'前提と出典'!$B$5))</ns0:f>
        <ns0:v>337614.30167597765</ns0:v>
      </ns0:c>
      <ns0:c r="P344" s="16">
        <ns0:f>(E344+G344)*(1-'前提と出典'!$B$7)-I344-K344-M344-O344</ns0:f>
        <ns0:v>751400.6711189055</ns0:v>
      </ns0:c>
      <ns0:c r="Q344" s="16">
        <ns0:f>(F344+H344)*(1-'前提と出典'!$B$7)-J344-L344-N344</ns0:f>
        <ns0:v>268758.9851718036</ns0:v>
      </ns0:c>
      <ns0:c r="R344" s="16">
        <ns0:f>P344-E344*'前提と出典'!$E$4</ns0:f>
        <ns0:v>554036.3161322041</ns0:v>
      </ns0:c>
      <ns0:c r="S344" s="16">
        <ns0:f>Q344-F344*'前提と出典'!$E$4</ns0:f>
        <ns0:v>191300.64624199507</ns0:v>
      </ns0:c>
      <ns0:c r="T344" s="7">
        <ns0:f>R344+S344</ns0:f>
        <ns0:v>745336.9623741992</ns0:v>
      </ns0:c>
      <ns0:c r="U344" s="16">
        <ns0:f>P344-E344*'前提と出典'!$E$5</ns0:f>
        <ns0:v>488248.19780330383</ns0:v>
      </ns0:c>
      <ns0:c r="V344" s="16">
        <ns0:f>Q344-F344*'前提と出典'!$E$5</ns0:f>
        <ns0:v>165481.1999320589</ns0:v>
      </ns0:c>
      <ns0:c r="W344" s="7">
        <ns0:f>U344+V344</ns0:f>
        <ns0:v>653729.3977353628</ns0:v>
      </ns0:c>
      <ns0:c r="X344" s="16">
        <ns0:f>P344-E344*'前提と出典'!$E$6</ns0:f>
        <ns0:v>422460.0794744033</ns0:v>
      </ns0:c>
      <ns0:c r="Y344" s="16">
        <ns0:f>Q344-F344*'前提と出典'!$E$6</ns0:f>
        <ns0:v>139661.75362212272</ns0:v>
      </ns0:c>
      <ns0:c r="Z344" s="7">
        <ns0:f>X344+Y344</ns0:f>
        <ns0:v>562121.833096526</ns0:v>
      </ns0:c>
      <ns0:c r="AA344" s="7">
        <ns0:f>IF(T344&gt;=0,A344,1001)</ns0:f>
        <ns0:v>340</ns0:v>
      </ns0:c>
      <ns0:c r="AB344" s="7">
        <ns0:f>IF(T344&lt;0,A344,0)</ns0:f>
        <ns0:v>0</ns0:v>
      </ns0:c>
      <ns0:c r="AC344" s="16">
        <ns0:f>IF(AND(OR('前提と出典'!$C$36+'前提と出典'!$C$38=0,R344&gt;=0),OR('前提と出典'!$C$37+'前提と出典'!$C$38=0,S344&gt;=0)),0,A344)</ns0:f>
        <ns0:v>0</ns0:v>
      </ns0:c>
      <ns0:c r="AD344" s="7">
        <ns0:f>IF(W344&gt;=0,A344,1001)</ns0:f>
        <ns0:v>340</ns0:v>
      </ns0:c>
      <ns0:c r="AE344" s="7">
        <ns0:f>IF(W344&lt;0,A344,0)</ns0:f>
        <ns0:v>0</ns0:v>
      </ns0:c>
      <ns0:c r="AF344" s="16">
        <ns0:f>IF(AND(OR('前提と出典'!$C$36+'前提と出典'!$C$38=0,U344&gt;=0),OR('前提と出典'!$C$37+'前提と出典'!$C$38=0,V344&gt;=0)),0,A344)</ns0:f>
        <ns0:v>0</ns0:v>
      </ns0:c>
      <ns0:c r="AG344" s="7">
        <ns0:f>IF(Z344&gt;=0,A344,1001)</ns0:f>
        <ns0:v>340</ns0:v>
      </ns0:c>
      <ns0:c r="AH344" s="4">
        <ns0:f>IF(Z344&lt;0,A344,0)</ns0:f>
        <ns0:v>0</ns0:v>
      </ns0:c>
      <ns0:c r="AI344" s="12">
        <ns0:f>IF(AND(OR('前提と出典'!$C$36+'前提と出典'!$C$38=0,X344&gt;=0),OR('前提と出典'!$C$37+'前提と出典'!$C$38=0,Y344&gt;=0)),0,A344)</ns0:f>
        <ns0:v>0</ns0:v>
      </ns0:c>
    </ns0:row>
    <ns0:row r="345" ht="24" customHeight="1">
      <ns0:c r="A345" s="4" t="n">
        <ns0:v>341</ns0:v>
      </ns0:c>
      <ns0:c r="B345" s="12">
        <ns0:f>A345*('前提と出典'!$C$36+'前提と出典'!$C$38)</ns0:f>
        <ns0:v>238.7</ns0:v>
      </ns0:c>
      <ns0:c r="C345" s="12">
        <ns0:f>A345*('前提と出典'!$C$37+'前提と出典'!$C$38)</ns0:f>
        <ns0:v>204.6</ns0:v>
      </ns0:c>
      <ns0:c r="D345" s="16">
        <ns0:f>A345*('前提と出典'!$C$36*'契約別単価'!C5+'前提と出典'!$C$37*'契約別単価'!C6+'前提と出典'!$C$38*'契約別単価'!C7)</ns0:f>
        <ns0:v>2453.6759776536314</ns0:v>
      </ns0:c>
      <ns0:c r="E345" s="16">
        <ns0:f>A345*('前提と出典'!$C$36*'契約別単価'!E5+'前提と出典'!$C$37*'契約別単価'!E6+'前提と出典'!$C$38*'契約別単価'!E7)</ns0:f>
        <ns0:v>659816.1279457367</ns0:v>
      </ns0:c>
      <ns0:c r="F345" s="16">
        <ns0:f>A345*('前提と出典'!$C$36*'契約別単価'!F5+'前提と出典'!$C$37*'契約別単価'!F6+'前提と出典'!$C$38*'契約別単価'!F7)</ns0:f>
        <ns0:v>258953.85857906588</ns0:v>
      </ns0:c>
      <ns0:c r="G345" s="16">
        <ns0:f>A345*('前提と出典'!$C$36*'契約別単価'!G5+'前提と出典'!$C$37*'契約別単価'!G6+'前提と出典'!$C$38*'契約別単価'!G7)</ns0:f>
        <ns0:v>678761.4525139665</ns0:v>
      </ns0:c>
      <ns0:c r="H345" s="16">
        <ns0:f>A345*('前提と出典'!$C$36*'契約別単価'!H5+'前提と出典'!$C$37*'契約別単価'!H6+'前提と出典'!$C$38*'契約別単価'!H7)</ns0:f>
        <ns0:v>235564.2665843182</ns0:v>
      </ns0:c>
      <ns0:c r="I345" s="16">
        <ns0:f>A345*('前提と出典'!$C$36*'契約別単価'!I5+'前提と出典'!$C$37*'契約別単価'!I6+'前提と出典'!$C$38*'契約別単価'!I7)</ns0:f>
        <ns0:v>14388.67597765363</ns0:v>
      </ns0:c>
      <ns0:c r="J345" s="16">
        <ns0:f>A345*('前提と出典'!$C$36*'契約別単価'!J5+'前提と出典'!$C$37*'契約別単価'!J6+'前提と出典'!$C$38*'契約別単価'!J7)</ns0:f>
        <ns0:v>33516.734405213174</ns0:v>
      </ns0:c>
      <ns0:c r="K345" s="16">
        <ns0:f>A345*('前提と出典'!$C$36*'契約別単価'!K5+'前提と出典'!$C$37*'契約別単価'!K6+'前提と出典'!$C$38*'契約別単価'!K7)</ns0:f>
        <ns0:v>143664.50651769087</ns0:v>
      </ns0:c>
      <ns0:c r="L345" s="16">
        <ns0:f>A345*('前提と出典'!$C$36*'契約別単価'!L5+'前提と出典'!$C$37*'契約別単価'!L6+'前提と出典'!$C$38*'契約別単価'!L7)</ns0:f>
        <ns0:v>116972.14221947727</ns0:v>
      </ns0:c>
      <ns0:c r="M345" s="16">
        <ns0:f>IF(('前提と出典'!$C$36+'前提と出典'!$C$38)=0,0,IF(B345&lt;=10,'前提と出典'!B73+'前提と出典'!C73,IF(B345&lt;=100,'前提と出典'!B74+'前提と出典'!C74,IF(B345&lt;=500,'前提と出典'!B75+'前提と出典'!C75,'前提と出典'!B76+'前提と出典'!C76))))</ns0:f>
        <ns0:v>40000</ns0:v>
      </ns0:c>
      <ns0:c r="N345" s="16">
        <ns0:f>IF(('前提と出典'!$C$37+'前提と出典'!$C$38)=0,0,IF(C345&lt;=10,'前提と出典'!D73+'前提と出典'!E73,IF(C345&lt;=100,'前提と出典'!D74+'前提と出典'!E74,IF(C345&lt;=500,'前提と出典'!D75+'前提と出典'!E75,'前提と出典'!D76+'前提と出典'!E76))))</ns0:f>
        <ns0:v>56510.9346263078</ns0:v>
      </ns0:c>
      <ns0:c r="O345" s="16">
        <ns0:f>IF('前提と出典'!$C$36+'前提と出典'!$C$38=0,0,'前提と出典'!$B$4*IF('前提と出典'!$B$20=0,MAX('前提と出典'!$B$6,D345*'前提と出典'!$B$5),'前提と出典'!$B$6+D345*'前提と出典'!$B$5))</ns0:f>
        <ns0:v>338607.28491620114</ns0:v>
      </ns0:c>
      <ns0:c r="P345" s="16">
        <ns0:f>(E345+G345)*(1-'前提と出典'!$B$7)-I345-K345-M345-O345</ns0:f>
        <ns0:v>753728.3201516084</ns0:v>
      </ns0:c>
      <ns0:c r="Q345" s="16">
        <ns0:f>(F345+H345)*(1-'前提と出典'!$B$7)-J345-L345-N345</ns0:f>
        <ns0:v>269715.661406504</ns0:v>
      </ns0:c>
      <ns0:c r="R345" s="16">
        <ns0:f>P345-E345*'前提と出典'!$E$4</ns0:f>
        <ns0:v>555783.4817678875</ns0:v>
      </ns0:c>
      <ns0:c r="S345" s="16">
        <ns0:f>Q345-F345*'前提と出典'!$E$4</ns0:f>
        <ns0:v>192029.50383278425</ns0:v>
      </ns0:c>
      <ns0:c r="T345" s="7">
        <ns0:f>R345+S345</ns0:f>
        <ns0:v>747812.9856006717</ns0:v>
      </ns0:c>
      <ns0:c r="U345" s="16">
        <ns0:f>P345-E345*'前提と出典'!$E$5</ns0:f>
        <ns0:v>489801.8689733137</ns0:v>
      </ns0:c>
      <ns0:c r="V345" s="16">
        <ns0:f>Q345-F345*'前提と出典'!$E$5</ns0:f>
        <ns0:v>166134.11797487765</ns0:v>
      </ns0:c>
      <ns0:c r="W345" s="7">
        <ns0:f>U345+V345</ns0:f>
        <ns0:v>655935.9869481914</ns0:v>
      </ns0:c>
      <ns0:c r="X345" s="16">
        <ns0:f>P345-E345*'前提と出典'!$E$6</ns0:f>
        <ns0:v>423820.25617873995</ns0:v>
      </ns0:c>
      <ns0:c r="Y345" s="16">
        <ns0:f>Q345-F345*'前提と出典'!$E$6</ns0:f>
        <ns0:v>140238.73211697105</ns0:v>
      </ns0:c>
      <ns0:c r="Z345" s="7">
        <ns0:f>X345+Y345</ns0:f>
        <ns0:v>564058.988295711</ns0:v>
      </ns0:c>
      <ns0:c r="AA345" s="7">
        <ns0:f>IF(T345&gt;=0,A345,1001)</ns0:f>
        <ns0:v>341</ns0:v>
      </ns0:c>
      <ns0:c r="AB345" s="7">
        <ns0:f>IF(T345&lt;0,A345,0)</ns0:f>
        <ns0:v>0</ns0:v>
      </ns0:c>
      <ns0:c r="AC345" s="16">
        <ns0:f>IF(AND(OR('前提と出典'!$C$36+'前提と出典'!$C$38=0,R345&gt;=0),OR('前提と出典'!$C$37+'前提と出典'!$C$38=0,S345&gt;=0)),0,A345)</ns0:f>
        <ns0:v>0</ns0:v>
      </ns0:c>
      <ns0:c r="AD345" s="7">
        <ns0:f>IF(W345&gt;=0,A345,1001)</ns0:f>
        <ns0:v>341</ns0:v>
      </ns0:c>
      <ns0:c r="AE345" s="7">
        <ns0:f>IF(W345&lt;0,A345,0)</ns0:f>
        <ns0:v>0</ns0:v>
      </ns0:c>
      <ns0:c r="AF345" s="16">
        <ns0:f>IF(AND(OR('前提と出典'!$C$36+'前提と出典'!$C$38=0,U345&gt;=0),OR('前提と出典'!$C$37+'前提と出典'!$C$38=0,V345&gt;=0)),0,A345)</ns0:f>
        <ns0:v>0</ns0:v>
      </ns0:c>
      <ns0:c r="AG345" s="7">
        <ns0:f>IF(Z345&gt;=0,A345,1001)</ns0:f>
        <ns0:v>341</ns0:v>
      </ns0:c>
      <ns0:c r="AH345" s="4">
        <ns0:f>IF(Z345&lt;0,A345,0)</ns0:f>
        <ns0:v>0</ns0:v>
      </ns0:c>
      <ns0:c r="AI345" s="12">
        <ns0:f>IF(AND(OR('前提と出典'!$C$36+'前提と出典'!$C$38=0,X345&gt;=0),OR('前提と出典'!$C$37+'前提と出典'!$C$38=0,Y345&gt;=0)),0,A345)</ns0:f>
        <ns0:v>0</ns0:v>
      </ns0:c>
    </ns0:row>
    <ns0:row r="346" ht="24" customHeight="1">
      <ns0:c r="A346" s="4" t="n">
        <ns0:v>342</ns0:v>
      </ns0:c>
      <ns0:c r="B346" s="12">
        <ns0:f>A346*('前提と出典'!$C$36+'前提と出典'!$C$38)</ns0:f>
        <ns0:v>239.39999999999998</ns0:v>
      </ns0:c>
      <ns0:c r="C346" s="12">
        <ns0:f>A346*('前提と出典'!$C$37+'前提と出典'!$C$38)</ns0:f>
        <ns0:v>205.2</ns0:v>
      </ns0:c>
      <ns0:c r="D346" s="16">
        <ns0:f>A346*('前提と出典'!$C$36*'契約別単価'!C5+'前提と出典'!$C$37*'契約別単価'!C6+'前提と出典'!$C$38*'契約別単価'!C7)</ns0:f>
        <ns0:v>2460.8715083798884</ns0:v>
      </ns0:c>
      <ns0:c r="E346" s="16">
        <ns0:f>A346*('前提と出典'!$C$36*'契約別単価'!E5+'前提と出典'!$C$37*'契約別単価'!E6+'前提と出典'!$C$38*'契約別単価'!E7)</ns0:f>
        <ns0:v>661751.0726024691</ns0:v>
      </ns0:c>
      <ns0:c r="F346" s="16">
        <ns0:f>A346*('前提と出典'!$C$36*'契約別単価'!F5+'前提と出典'!$C$37*'契約別単価'!F6+'前提と出典'!$C$38*'契約別単価'!F7)</ns0:f>
        <ns0:v>259713.2540587699</ns0:v>
      </ns0:c>
      <ns0:c r="G346" s="16">
        <ns0:f>A346*('前提と出典'!$C$36*'契約別単価'!G5+'前提と出典'!$C$37*'契約別単価'!G6+'前提と出典'!$C$38*'契約別単価'!G7)</ns0:f>
        <ns0:v>680751.9553072625</ns0:v>
      </ns0:c>
      <ns0:c r="H346" s="16">
        <ns0:f>A346*('前提と出典'!$C$36*'契約別単価'!H5+'前提と出典'!$C$37*'契約別単価'!H6+'前提と出典'!$C$38*'契約別単価'!H7)</ns0:f>
        <ns0:v>236255.07088515197</ns0:v>
      </ns0:c>
      <ns0:c r="I346" s="16">
        <ns0:f>A346*('前提と出典'!$C$36*'契約別単価'!I5+'前提と出典'!$C$37*'契約別単価'!I6+'前提と出典'!$C$38*'契約別単価'!I7)</ns0:f>
        <ns0:v>14430.871508379885</ns0:v>
      </ns0:c>
      <ns0:c r="J346" s="16">
        <ns0:f>A346*('前提と出典'!$C$36*'契約別単価'!J5+'前提と出典'!$C$37*'契約別単価'!J6+'前提と出典'!$C$38*'契約別単価'!J7)</ns0:f>
        <ns0:v>33615.02394892348</ns0:v>
      </ns0:c>
      <ns0:c r="K346" s="16">
        <ns0:f>A346*('前提と出典'!$C$36*'契約別単価'!K5+'前提と出典'!$C$37*'契約別単価'!K6+'前提と出典'!$C$38*'契約別単価'!K7)</ns0:f>
        <ns0:v>144085.8100558659</ns0:v>
      </ns0:c>
      <ns0:c r="L346" s="16">
        <ns0:f>A346*('前提と出典'!$C$36*'契約別単価'!L5+'前提と出典'!$C$37*'契約別単価'!L6+'前提と出典'!$C$38*'契約別単価'!L7)</ns0:f>
        <ns0:v>117315.16902950506</ns0:v>
      </ns0:c>
      <ns0:c r="M346" s="16">
        <ns0:f>IF(('前提と出典'!$C$36+'前提と出典'!$C$38)=0,0,IF(B346&lt;=10,'前提と出典'!B73+'前提と出典'!C73,IF(B346&lt;=100,'前提と出典'!B74+'前提と出典'!C74,IF(B346&lt;=500,'前提と出典'!B75+'前提と出典'!C75,'前提と出典'!B76+'前提と出典'!C76))))</ns0:f>
        <ns0:v>40000</ns0:v>
      </ns0:c>
      <ns0:c r="N346" s="16">
        <ns0:f>IF(('前提と出典'!$C$37+'前提と出典'!$C$38)=0,0,IF(C346&lt;=10,'前提と出典'!D73+'前提と出典'!E73,IF(C346&lt;=100,'前提と出典'!D74+'前提と出典'!E74,IF(C346&lt;=500,'前提と出典'!D75+'前提と出典'!E75,'前提と出典'!D76+'前提と出典'!E76))))</ns0:f>
        <ns0:v>56510.9346263078</ns0:v>
      </ns0:c>
      <ns0:c r="O346" s="16">
        <ns0:f>IF('前提と出典'!$C$36+'前提と出典'!$C$38=0,0,'前提と出典'!$B$4*IF('前提と出典'!$B$20=0,MAX('前提と出典'!$B$6,D346*'前提と出典'!$B$5),'前提と出典'!$B$6+D346*'前提と出典'!$B$5))</ns0:f>
        <ns0:v>339600.26815642463</ns0:v>
      </ns0:c>
      <ns0:c r="P346" s="16">
        <ns0:f>(E346+G346)*(1-'前提と出典'!$B$7)-I346-K346-M346-O346</ns0:f>
        <ns0:v>756055.9691843106</ns0:v>
      </ns0:c>
      <ns0:c r="Q346" s="16">
        <ns0:f>(F346+H346)*(1-'前提と出典'!$B$7)-J346-L346-N346</ns0:f>
        <ns0:v>270672.3376412044</ns0:v>
      </ns0:c>
      <ns0:c r="R346" s="16">
        <ns0:f>P346-E346*'前提と出典'!$E$4</ns0:f>
        <ns0:v>557530.6474035699</ns0:v>
      </ns0:c>
      <ns0:c r="S346" s="16">
        <ns0:f>Q346-F346*'前提と出典'!$E$4</ns0:f>
        <ns0:v>192758.3614235734</ns0:v>
      </ns0:c>
      <ns0:c r="T346" s="7">
        <ns0:f>R346+S346</ns0:f>
        <ns0:v>750289.0088271433</ns0:v>
      </ns0:c>
      <ns0:c r="U346" s="16">
        <ns0:f>P346-E346*'前提と出典'!$E$5</ns0:f>
        <ns0:v>491355.5401433229</ns0:v>
      </ns0:c>
      <ns0:c r="V346" s="16">
        <ns0:f>Q346-F346*'前提と出典'!$E$5</ns0:f>
        <ns0:v>166787.03601769643</ns0:v>
      </ns0:c>
      <ns0:c r="W346" s="7">
        <ns0:f>U346+V346</ns0:f>
        <ns0:v>658142.5761610193</ns0:v>
      </ns0:c>
      <ns0:c r="X346" s="16">
        <ns0:f>P346-E346*'前提と出典'!$E$6</ns0:f>
        <ns0:v>425180.43288307614</ns0:v>
      </ns0:c>
      <ns0:c r="Y346" s="16">
        <ns0:f>Q346-F346*'前提と出典'!$E$6</ns0:f>
        <ns0:v>140815.71061181946</ns0:v>
      </ns0:c>
      <ns0:c r="Z346" s="7">
        <ns0:f>X346+Y346</ns0:f>
        <ns0:v>565996.1434948957</ns0:v>
      </ns0:c>
      <ns0:c r="AA346" s="7">
        <ns0:f>IF(T346&gt;=0,A346,1001)</ns0:f>
        <ns0:v>342</ns0:v>
      </ns0:c>
      <ns0:c r="AB346" s="7">
        <ns0:f>IF(T346&lt;0,A346,0)</ns0:f>
        <ns0:v>0</ns0:v>
      </ns0:c>
      <ns0:c r="AC346" s="16">
        <ns0:f>IF(AND(OR('前提と出典'!$C$36+'前提と出典'!$C$38=0,R346&gt;=0),OR('前提と出典'!$C$37+'前提と出典'!$C$38=0,S346&gt;=0)),0,A346)</ns0:f>
        <ns0:v>0</ns0:v>
      </ns0:c>
      <ns0:c r="AD346" s="7">
        <ns0:f>IF(W346&gt;=0,A346,1001)</ns0:f>
        <ns0:v>342</ns0:v>
      </ns0:c>
      <ns0:c r="AE346" s="7">
        <ns0:f>IF(W346&lt;0,A346,0)</ns0:f>
        <ns0:v>0</ns0:v>
      </ns0:c>
      <ns0:c r="AF346" s="16">
        <ns0:f>IF(AND(OR('前提と出典'!$C$36+'前提と出典'!$C$38=0,U346&gt;=0),OR('前提と出典'!$C$37+'前提と出典'!$C$38=0,V346&gt;=0)),0,A346)</ns0:f>
        <ns0:v>0</ns0:v>
      </ns0:c>
      <ns0:c r="AG346" s="7">
        <ns0:f>IF(Z346&gt;=0,A346,1001)</ns0:f>
        <ns0:v>342</ns0:v>
      </ns0:c>
      <ns0:c r="AH346" s="4">
        <ns0:f>IF(Z346&lt;0,A346,0)</ns0:f>
        <ns0:v>0</ns0:v>
      </ns0:c>
      <ns0:c r="AI346" s="12">
        <ns0:f>IF(AND(OR('前提と出典'!$C$36+'前提と出典'!$C$38=0,X346&gt;=0),OR('前提と出典'!$C$37+'前提と出典'!$C$38=0,Y346&gt;=0)),0,A346)</ns0:f>
        <ns0:v>0</ns0:v>
      </ns0:c>
    </ns0:row>
    <ns0:row r="347" ht="24" customHeight="1">
      <ns0:c r="A347" s="4" t="n">
        <ns0:v>343</ns0:v>
      </ns0:c>
      <ns0:c r="B347" s="12">
        <ns0:f>A347*('前提と出典'!$C$36+'前提と出典'!$C$38)</ns0:f>
        <ns0:v>240.1</ns0:v>
      </ns0:c>
      <ns0:c r="C347" s="12">
        <ns0:f>A347*('前提と出典'!$C$37+'前提と出典'!$C$38)</ns0:f>
        <ns0:v>205.79999999999998</ns0:v>
      </ns0:c>
      <ns0:c r="D347" s="16">
        <ns0:f>A347*('前提と出典'!$C$36*'契約別単価'!C5+'前提と出典'!$C$37*'契約別単価'!C6+'前提と出典'!$C$38*'契約別単価'!C7)</ns0:f>
        <ns0:v>2468.0670391061453</ns0:v>
      </ns0:c>
      <ns0:c r="E347" s="16">
        <ns0:f>A347*('前提と出典'!$C$36*'契約別単価'!E5+'前提と出典'!$C$37*'契約別単価'!E6+'前提と出典'!$C$38*'契約別単価'!E7)</ns0:f>
        <ns0:v>663686.0172592015</ns0:v>
      </ns0:c>
      <ns0:c r="F347" s="16">
        <ns0:f>A347*('前提と出典'!$C$36*'契約別単価'!F5+'前提と出典'!$C$37*'契約別単価'!F6+'前提と出典'!$C$38*'契約別単価'!F7)</ns0:f>
        <ns0:v>260472.6495384739</ns0:v>
      </ns0:c>
      <ns0:c r="G347" s="16">
        <ns0:f>A347*('前提と出典'!$C$36*'契約別単価'!G5+'前提と出典'!$C$37*'契約別単価'!G6+'前提と出典'!$C$38*'契約別単価'!G7)</ns0:f>
        <ns0:v>682742.4581005586</ns0:v>
      </ns0:c>
      <ns0:c r="H347" s="16">
        <ns0:f>A347*('前提と出典'!$C$36*'契約別単価'!H5+'前提と出典'!$C$37*'契約別単価'!H6+'前提と出典'!$C$38*'契約別単価'!H7)</ns0:f>
        <ns0:v>236945.87518598576</ns0:v>
      </ns0:c>
      <ns0:c r="I347" s="16">
        <ns0:f>A347*('前提と出典'!$C$36*'契約別単価'!I5+'前提と出典'!$C$37*'契約別単価'!I6+'前提と出典'!$C$38*'契約別単価'!I7)</ns0:f>
        <ns0:v>14473.067039106143</ns0:v>
      </ns0:c>
      <ns0:c r="J347" s="16">
        <ns0:f>A347*('前提と出典'!$C$36*'契約別単価'!J5+'前提と出典'!$C$37*'契約別単価'!J6+'前提と出典'!$C$38*'契約別単価'!J7)</ns0:f>
        <ns0:v>33713.31349263378</ns0:v>
      </ns0:c>
      <ns0:c r="K347" s="16">
        <ns0:f>A347*('前提と出典'!$C$36*'契約別単価'!K5+'前提と出典'!$C$37*'契約別単価'!K6+'前提と出典'!$C$38*'契約別単価'!K7)</ns0:f>
        <ns0:v>144507.11359404094</ns0:v>
      </ns0:c>
      <ns0:c r="L347" s="16">
        <ns0:f>A347*('前提と出典'!$C$36*'契約別単価'!L5+'前提と出典'!$C$37*'契約別単価'!L6+'前提と出典'!$C$38*'契約別単価'!L7)</ns0:f>
        <ns0:v>117658.19583953285</ns0:v>
      </ns0:c>
      <ns0:c r="M347" s="16">
        <ns0:f>IF(('前提と出典'!$C$36+'前提と出典'!$C$38)=0,0,IF(B347&lt;=10,'前提と出典'!B73+'前提と出典'!C73,IF(B347&lt;=100,'前提と出典'!B74+'前提と出典'!C74,IF(B347&lt;=500,'前提と出典'!B75+'前提と出典'!C75,'前提と出典'!B76+'前提と出典'!C76))))</ns0:f>
        <ns0:v>40000</ns0:v>
      </ns0:c>
      <ns0:c r="N347" s="16">
        <ns0:f>IF(('前提と出典'!$C$37+'前提と出典'!$C$38)=0,0,IF(C347&lt;=10,'前提と出典'!D73+'前提と出典'!E73,IF(C347&lt;=100,'前提と出典'!D74+'前提と出典'!E74,IF(C347&lt;=500,'前提と出典'!D75+'前提と出典'!E75,'前提と出典'!D76+'前提と出典'!E76))))</ns0:f>
        <ns0:v>56510.9346263078</ns0:v>
      </ns0:c>
      <ns0:c r="O347" s="16">
        <ns0:f>IF('前提と出典'!$C$36+'前提と出典'!$C$38=0,0,'前提と出典'!$B$4*IF('前提と出典'!$B$20=0,MAX('前提と出典'!$B$6,D347*'前提と出典'!$B$5),'前提と出典'!$B$6+D347*'前提と出典'!$B$5))</ns0:f>
        <ns0:v>340593.25139664806</ns0:v>
      </ns0:c>
      <ns0:c r="P347" s="16">
        <ns0:f>(E347+G347)*(1-'前提と出典'!$B$7)-I347-K347-M347-O347</ns0:f>
        <ns0:v>758383.6182170137</ns0:v>
      </ns0:c>
      <ns0:c r="Q347" s="16">
        <ns0:f>(F347+H347)*(1-'前提と出典'!$B$7)-J347-L347-N347</ns0:f>
        <ns0:v>271629.0138759046</ns0:v>
      </ns0:c>
      <ns0:c r="R347" s="16">
        <ns0:f>P347-E347*'前提と出典'!$E$4</ns0:f>
        <ns0:v>559277.8130392532</ns0:v>
      </ns0:c>
      <ns0:c r="S347" s="16">
        <ns0:f>Q347-F347*'前提と出典'!$E$4</ns0:f>
        <ns0:v>193487.21901436246</ns0:v>
      </ns0:c>
      <ns0:c r="T347" s="7">
        <ns0:f>R347+S347</ns0:f>
        <ns0:v>752765.0320536157</ns0:v>
      </ns0:c>
      <ns0:c r="U347" s="16">
        <ns0:f>P347-E347*'前提と出典'!$E$5</ns0:f>
        <ns0:v>492909.2113133331</ns0:v>
      </ns0:c>
      <ns0:c r="V347" s="16">
        <ns0:f>Q347-F347*'前提と出典'!$E$5</ns0:f>
        <ns0:v>167439.95406051507</ns0:v>
      </ns0:c>
      <ns0:c r="W347" s="7">
        <ns0:f>U347+V347</ns0:f>
        <ns0:v>660349.1653738482</ns0:v>
      </ns0:c>
      <ns0:c r="X347" s="16">
        <ns0:f>P347-E347*'前提と出典'!$E$6</ns0:f>
        <ns0:v>426540.60958741297</ns0:v>
      </ns0:c>
      <ns0:c r="Y347" s="16">
        <ns0:f>Q347-F347*'前提と出典'!$E$6</ns0:f>
        <ns0:v>141392.68910666768</ns0:v>
      </ns0:c>
      <ns0:c r="Z347" s="7">
        <ns0:f>X347+Y347</ns0:f>
        <ns0:v>567933.2986940807</ns0:v>
      </ns0:c>
      <ns0:c r="AA347" s="7">
        <ns0:f>IF(T347&gt;=0,A347,1001)</ns0:f>
        <ns0:v>343</ns0:v>
      </ns0:c>
      <ns0:c r="AB347" s="7">
        <ns0:f>IF(T347&lt;0,A347,0)</ns0:f>
        <ns0:v>0</ns0:v>
      </ns0:c>
      <ns0:c r="AC347" s="16">
        <ns0:f>IF(AND(OR('前提と出典'!$C$36+'前提と出典'!$C$38=0,R347&gt;=0),OR('前提と出典'!$C$37+'前提と出典'!$C$38=0,S347&gt;=0)),0,A347)</ns0:f>
        <ns0:v>0</ns0:v>
      </ns0:c>
      <ns0:c r="AD347" s="7">
        <ns0:f>IF(W347&gt;=0,A347,1001)</ns0:f>
        <ns0:v>343</ns0:v>
      </ns0:c>
      <ns0:c r="AE347" s="7">
        <ns0:f>IF(W347&lt;0,A347,0)</ns0:f>
        <ns0:v>0</ns0:v>
      </ns0:c>
      <ns0:c r="AF347" s="16">
        <ns0:f>IF(AND(OR('前提と出典'!$C$36+'前提と出典'!$C$38=0,U347&gt;=0),OR('前提と出典'!$C$37+'前提と出典'!$C$38=0,V347&gt;=0)),0,A347)</ns0:f>
        <ns0:v>0</ns0:v>
      </ns0:c>
      <ns0:c r="AG347" s="7">
        <ns0:f>IF(Z347&gt;=0,A347,1001)</ns0:f>
        <ns0:v>343</ns0:v>
      </ns0:c>
      <ns0:c r="AH347" s="4">
        <ns0:f>IF(Z347&lt;0,A347,0)</ns0:f>
        <ns0:v>0</ns0:v>
      </ns0:c>
      <ns0:c r="AI347" s="12">
        <ns0:f>IF(AND(OR('前提と出典'!$C$36+'前提と出典'!$C$38=0,X347&gt;=0),OR('前提と出典'!$C$37+'前提と出典'!$C$38=0,Y347&gt;=0)),0,A347)</ns0:f>
        <ns0:v>0</ns0:v>
      </ns0:c>
    </ns0:row>
    <ns0:row r="348" ht="24" customHeight="1">
      <ns0:c r="A348" s="4" t="n">
        <ns0:v>344</ns0:v>
      </ns0:c>
      <ns0:c r="B348" s="12">
        <ns0:f>A348*('前提と出典'!$C$36+'前提と出典'!$C$38)</ns0:f>
        <ns0:v>240.79999999999998</ns0:v>
      </ns0:c>
      <ns0:c r="C348" s="12">
        <ns0:f>A348*('前提と出典'!$C$37+'前提と出典'!$C$38)</ns0:f>
        <ns0:v>206.4</ns0:v>
      </ns0:c>
      <ns0:c r="D348" s="16">
        <ns0:f>A348*('前提と出典'!$C$36*'契約別単価'!C5+'前提と出典'!$C$37*'契約別単価'!C6+'前提と出典'!$C$38*'契約別単価'!C7)</ns0:f>
        <ns0:v>2475.2625698324023</ns0:v>
      </ns0:c>
      <ns0:c r="E348" s="16">
        <ns0:f>A348*('前提と出典'!$C$36*'契約別単価'!E5+'前提と出典'!$C$37*'契約別単価'!E6+'前提と出典'!$C$38*'契約別単価'!E7)</ns0:f>
        <ns0:v>665620.9619159339</ns0:v>
      </ns0:c>
      <ns0:c r="F348" s="16">
        <ns0:f>A348*('前提と出典'!$C$36*'契約別単価'!F5+'前提と出典'!$C$37*'契約別単価'!F6+'前提と出典'!$C$38*'契約別単価'!F7)</ns0:f>
        <ns0:v>261232.04501817792</ns0:v>
      </ns0:c>
      <ns0:c r="G348" s="16">
        <ns0:f>A348*('前提と出典'!$C$36*'契約別単価'!G5+'前提と出典'!$C$37*'契約別単価'!G6+'前提と出典'!$C$38*'契約別単価'!G7)</ns0:f>
        <ns0:v>684732.9608938547</ns0:v>
      </ns0:c>
      <ns0:c r="H348" s="16">
        <ns0:f>A348*('前提と出典'!$C$36*'契約別単価'!H5+'前提と出典'!$C$37*'契約別単価'!H6+'前提と出典'!$C$38*'契約別単価'!H7)</ns0:f>
        <ns0:v>237636.6794868195</ns0:v>
      </ns0:c>
      <ns0:c r="I348" s="16">
        <ns0:f>A348*('前提と出典'!$C$36*'契約別単価'!I5+'前提と出典'!$C$37*'契約別単価'!I6+'前提と出典'!$C$38*'契約別単価'!I7)</ns0:f>
        <ns0:v>14515.2625698324</ns0:v>
      </ns0:c>
      <ns0:c r="J348" s="16">
        <ns0:f>A348*('前提と出典'!$C$36*'契約別単価'!J5+'前提と出典'!$C$37*'契約別単価'!J6+'前提と出典'!$C$38*'契約別単価'!J7)</ns0:f>
        <ns0:v>33811.60303634408</ns0:v>
      </ns0:c>
      <ns0:c r="K348" s="16">
        <ns0:f>A348*('前提と出典'!$C$36*'契約別単価'!K5+'前提と出典'!$C$37*'契約別単価'!K6+'前提と出典'!$C$38*'契約別単価'!K7)</ns0:f>
        <ns0:v>144928.417132216</ns0:v>
      </ns0:c>
      <ns0:c r="L348" s="16">
        <ns0:f>A348*('前提と出典'!$C$36*'契約別単価'!L5+'前提と出典'!$C$37*'契約別単価'!L6+'前提と出典'!$C$38*'契約別単価'!L7)</ns0:f>
        <ns0:v>118001.22264956064</ns0:v>
      </ns0:c>
      <ns0:c r="M348" s="16">
        <ns0:f>IF(('前提と出典'!$C$36+'前提と出典'!$C$38)=0,0,IF(B348&lt;=10,'前提と出典'!B73+'前提と出典'!C73,IF(B348&lt;=100,'前提と出典'!B74+'前提と出典'!C74,IF(B348&lt;=500,'前提と出典'!B75+'前提と出典'!C75,'前提と出典'!B76+'前提と出典'!C76))))</ns0:f>
        <ns0:v>40000</ns0:v>
      </ns0:c>
      <ns0:c r="N348" s="16">
        <ns0:f>IF(('前提と出典'!$C$37+'前提と出典'!$C$38)=0,0,IF(C348&lt;=10,'前提と出典'!D73+'前提と出典'!E73,IF(C348&lt;=100,'前提と出典'!D74+'前提と出典'!E74,IF(C348&lt;=500,'前提と出典'!D75+'前提と出典'!E75,'前提と出典'!D76+'前提と出典'!E76))))</ns0:f>
        <ns0:v>56510.9346263078</ns0:v>
      </ns0:c>
      <ns0:c r="O348" s="16">
        <ns0:f>IF('前提と出典'!$C$36+'前提と出典'!$C$38=0,0,'前提と出典'!$B$4*IF('前提と出典'!$B$20=0,MAX('前提と出典'!$B$6,D348*'前提と出典'!$B$5),'前提と出典'!$B$6+D348*'前提と出典'!$B$5))</ns0:f>
        <ns0:v>341586.2346368715</ns0:v>
      </ns0:c>
      <ns0:c r="P348" s="16">
        <ns0:f>(E348+G348)*(1-'前提と出典'!$B$7)-I348-K348-M348-O348</ns0:f>
        <ns0:v>760711.2672497162</ns0:v>
      </ns0:c>
      <ns0:c r="Q348" s="16">
        <ns0:f>(F348+H348)*(1-'前提と出典'!$B$7)-J348-L348-N348</ns0:f>
        <ns0:v>272585.690110605</ns0:v>
      </ns0:c>
      <ns0:c r="R348" s="16">
        <ns0:f>P348-E348*'前提と出典'!$E$4</ns0:f>
        <ns0:v>561024.978674936</ns0:v>
      </ns0:c>
      <ns0:c r="S348" s="16">
        <ns0:f>Q348-F348*'前提と出典'!$E$4</ns0:f>
        <ns0:v>194216.07660515164</ns0:v>
      </ns0:c>
      <ns0:c r="T348" s="7">
        <ns0:f>R348+S348</ns0:f>
        <ns0:v>755241.0552800876</ns0:v>
      </ns0:c>
      <ns0:c r="U348" s="16">
        <ns0:f>P348-E348*'前提と出典'!$E$5</ns0:f>
        <ns0:v>494462.88248334266</ns0:v>
      </ns0:c>
      <ns0:c r="V348" s="16">
        <ns0:f>Q348-F348*'前提と出典'!$E$5</ns0:f>
        <ns0:v>168092.87210333382</ns0:v>
      </ns0:c>
      <ns0:c r="W348" s="7">
        <ns0:f>U348+V348</ns0:f>
        <ns0:v>662555.7545866765</ns0:v>
      </ns0:c>
      <ns0:c r="X348" s="16">
        <ns0:f>P348-E348*'前提と出典'!$E$6</ns0:f>
        <ns0:v>427900.7862917492</ns0:v>
      </ns0:c>
      <ns0:c r="Y348" s="16">
        <ns0:f>Q348-F348*'前提と出典'!$E$6</ns0:f>
        <ns0:v>141969.667601516</ns0:v>
      </ns0:c>
      <ns0:c r="Z348" s="7">
        <ns0:f>X348+Y348</ns0:f>
        <ns0:v>569870.4538932652</ns0:v>
      </ns0:c>
      <ns0:c r="AA348" s="7">
        <ns0:f>IF(T348&gt;=0,A348,1001)</ns0:f>
        <ns0:v>344</ns0:v>
      </ns0:c>
      <ns0:c r="AB348" s="7">
        <ns0:f>IF(T348&lt;0,A348,0)</ns0:f>
        <ns0:v>0</ns0:v>
      </ns0:c>
      <ns0:c r="AC348" s="16">
        <ns0:f>IF(AND(OR('前提と出典'!$C$36+'前提と出典'!$C$38=0,R348&gt;=0),OR('前提と出典'!$C$37+'前提と出典'!$C$38=0,S348&gt;=0)),0,A348)</ns0:f>
        <ns0:v>0</ns0:v>
      </ns0:c>
      <ns0:c r="AD348" s="7">
        <ns0:f>IF(W348&gt;=0,A348,1001)</ns0:f>
        <ns0:v>344</ns0:v>
      </ns0:c>
      <ns0:c r="AE348" s="7">
        <ns0:f>IF(W348&lt;0,A348,0)</ns0:f>
        <ns0:v>0</ns0:v>
      </ns0:c>
      <ns0:c r="AF348" s="16">
        <ns0:f>IF(AND(OR('前提と出典'!$C$36+'前提と出典'!$C$38=0,U348&gt;=0),OR('前提と出典'!$C$37+'前提と出典'!$C$38=0,V348&gt;=0)),0,A348)</ns0:f>
        <ns0:v>0</ns0:v>
      </ns0:c>
      <ns0:c r="AG348" s="7">
        <ns0:f>IF(Z348&gt;=0,A348,1001)</ns0:f>
        <ns0:v>344</ns0:v>
      </ns0:c>
      <ns0:c r="AH348" s="4">
        <ns0:f>IF(Z348&lt;0,A348,0)</ns0:f>
        <ns0:v>0</ns0:v>
      </ns0:c>
      <ns0:c r="AI348" s="12">
        <ns0:f>IF(AND(OR('前提と出典'!$C$36+'前提と出典'!$C$38=0,X348&gt;=0),OR('前提と出典'!$C$37+'前提と出典'!$C$38=0,Y348&gt;=0)),0,A348)</ns0:f>
        <ns0:v>0</ns0:v>
      </ns0:c>
    </ns0:row>
    <ns0:row r="349" ht="24" customHeight="1">
      <ns0:c r="A349" s="4" t="n">
        <ns0:v>345</ns0:v>
      </ns0:c>
      <ns0:c r="B349" s="12">
        <ns0:f>A349*('前提と出典'!$C$36+'前提と出典'!$C$38)</ns0:f>
        <ns0:v>241.49999999999997</ns0:v>
      </ns0:c>
      <ns0:c r="C349" s="12">
        <ns0:f>A349*('前提と出典'!$C$37+'前提と出典'!$C$38)</ns0:f>
        <ns0:v>207</ns0:v>
      </ns0:c>
      <ns0:c r="D349" s="16">
        <ns0:f>A349*('前提と出典'!$C$36*'契約別単価'!C5+'前提と出典'!$C$37*'契約別単価'!C6+'前提と出典'!$C$38*'契約別単価'!C7)</ns0:f>
        <ns0:v>2482.458100558659</ns0:v>
      </ns0:c>
      <ns0:c r="E349" s="16">
        <ns0:f>A349*('前提と出典'!$C$36*'契約別単価'!E5+'前提と出典'!$C$37*'契約別単価'!E6+'前提と出典'!$C$38*'契約別単価'!E7)</ns0:f>
        <ns0:v>667555.9065726663</ns0:v>
      </ns0:c>
      <ns0:c r="F349" s="16">
        <ns0:f>A349*('前提と出典'!$C$36*'契約別単価'!F5+'前提と出典'!$C$37*'契約別単価'!F6+'前提と出典'!$C$38*'契約別単価'!F7)</ns0:f>
        <ns0:v>261991.4404978819</ns0:v>
      </ns0:c>
      <ns0:c r="G349" s="16">
        <ns0:f>A349*('前提と出典'!$C$36*'契約別単価'!G5+'前提と出典'!$C$37*'契約別単価'!G6+'前提と出典'!$C$38*'契約別単価'!G7)</ns0:f>
        <ns0:v>686723.4636871509</ns0:v>
      </ns0:c>
      <ns0:c r="H349" s="16">
        <ns0:f>A349*('前提と出典'!$C$36*'契約別単価'!H5+'前提と出典'!$C$37*'契約別単価'!H6+'前提と出典'!$C$38*'契約別単価'!H7)</ns0:f>
        <ns0:v>238327.4837876533</ns0:v>
      </ns0:c>
      <ns0:c r="I349" s="16">
        <ns0:f>A349*('前提と出典'!$C$36*'契約別単価'!I5+'前提と出典'!$C$37*'契約別単価'!I6+'前提と出典'!$C$38*'契約別単価'!I7)</ns0:f>
        <ns0:v>14557.458100558657</ns0:v>
      </ns0:c>
      <ns0:c r="J349" s="16">
        <ns0:f>A349*('前提と出典'!$C$36*'契約別単価'!J5+'前提と出典'!$C$37*'契約別単価'!J6+'前提と出典'!$C$38*'契約別単価'!J7)</ns0:f>
        <ns0:v>33909.89258005439</ns0:v>
      </ns0:c>
      <ns0:c r="K349" s="16">
        <ns0:f>A349*('前提と出典'!$C$36*'契約別単価'!K5+'前提と出典'!$C$37*'契約別単価'!K6+'前提と出典'!$C$38*'契約別単価'!K7)</ns0:f>
        <ns0:v>145349.72067039105</ns0:v>
      </ns0:c>
      <ns0:c r="L349" s="16">
        <ns0:f>A349*('前提と出典'!$C$36*'契約別単価'!L5+'前提と出典'!$C$37*'契約別単価'!L6+'前提と出典'!$C$38*'契約別単価'!L7)</ns0:f>
        <ns0:v>118344.24945958843</ns0:v>
      </ns0:c>
      <ns0:c r="M349" s="16">
        <ns0:f>IF(('前提と出典'!$C$36+'前提と出典'!$C$38)=0,0,IF(B349&lt;=10,'前提と出典'!B73+'前提と出典'!C73,IF(B349&lt;=100,'前提と出典'!B74+'前提と出典'!C74,IF(B349&lt;=500,'前提と出典'!B75+'前提と出典'!C75,'前提と出典'!B76+'前提と出典'!C76))))</ns0:f>
        <ns0:v>40000</ns0:v>
      </ns0:c>
      <ns0:c r="N349" s="16">
        <ns0:f>IF(('前提と出典'!$C$37+'前提と出典'!$C$38)=0,0,IF(C349&lt;=10,'前提と出典'!D73+'前提と出典'!E73,IF(C349&lt;=100,'前提と出典'!D74+'前提と出典'!E74,IF(C349&lt;=500,'前提と出典'!D75+'前提と出典'!E75,'前提と出典'!D76+'前提と出典'!E76))))</ns0:f>
        <ns0:v>56510.9346263078</ns0:v>
      </ns0:c>
      <ns0:c r="O349" s="16">
        <ns0:f>IF('前提と出典'!$C$36+'前提と出典'!$C$38=0,0,'前提と出典'!$B$4*IF('前提と出典'!$B$20=0,MAX('前提と出典'!$B$6,D349*'前提と出典'!$B$5),'前提と出典'!$B$6+D349*'前提と出典'!$B$5))</ns0:f>
        <ns0:v>342579.217877095</ns0:v>
      </ns0:c>
      <ns0:c r="P349" s="16">
        <ns0:f>(E349+G349)*(1-'前提と出典'!$B$7)-I349-K349-M349-O349</ns0:f>
        <ns0:v>763038.9162824193</ns0:v>
      </ns0:c>
      <ns0:c r="Q349" s="16">
        <ns0:f>(F349+H349)*(1-'前提と出典'!$B$7)-J349-L349-N349</ns0:f>
        <ns0:v>273542.36634530535</ns0:v>
      </ns0:c>
      <ns0:c r="R349" s="16">
        <ns0:f>P349-E349*'前提と出典'!$E$4</ns0:f>
        <ns0:v>562772.1443106191</ns0:v>
      </ns0:c>
      <ns0:c r="S349" s="16">
        <ns0:f>Q349-F349*'前提と出典'!$E$4</ns0:f>
        <ns0:v>194944.9341959408</ns0:v>
      </ns0:c>
      <ns0:c r="T349" s="7">
        <ns0:f>R349+S349</ns0:f>
        <ns0:v>757717.0785065598</ns0:v>
      </ns0:c>
      <ns0:c r="U349" s="16">
        <ns0:f>P349-E349*'前提と出典'!$E$5</ns0:f>
        <ns0:v>496016.5536533528</ns0:v>
      </ns0:c>
      <ns0:c r="V349" s="16">
        <ns0:f>Q349-F349*'前提と出典'!$E$5</ns0:f>
        <ns0:v>168745.7901461526</ns0:v>
      </ns0:c>
      <ns0:c r="W349" s="7">
        <ns0:f>U349+V349</ns0:f>
        <ns0:v>664762.3437995054</ns0:v>
      </ns0:c>
      <ns0:c r="X349" s="16">
        <ns0:f>P349-E349*'前提と出典'!$E$6</ns0:f>
        <ns0:v>429260.962996086</ns0:v>
      </ns0:c>
      <ns0:c r="Y349" s="16">
        <ns0:f>Q349-F349*'前提と出典'!$E$6</ns0:f>
        <ns0:v>142546.64609636436</ns0:v>
      </ns0:c>
      <ns0:c r="Z349" s="7">
        <ns0:f>X349+Y349</ns0:f>
        <ns0:v>571807.6090924504</ns0:v>
      </ns0:c>
      <ns0:c r="AA349" s="7">
        <ns0:f>IF(T349&gt;=0,A349,1001)</ns0:f>
        <ns0:v>345</ns0:v>
      </ns0:c>
      <ns0:c r="AB349" s="7">
        <ns0:f>IF(T349&lt;0,A349,0)</ns0:f>
        <ns0:v>0</ns0:v>
      </ns0:c>
      <ns0:c r="AC349" s="16">
        <ns0:f>IF(AND(OR('前提と出典'!$C$36+'前提と出典'!$C$38=0,R349&gt;=0),OR('前提と出典'!$C$37+'前提と出典'!$C$38=0,S349&gt;=0)),0,A349)</ns0:f>
        <ns0:v>0</ns0:v>
      </ns0:c>
      <ns0:c r="AD349" s="7">
        <ns0:f>IF(W349&gt;=0,A349,1001)</ns0:f>
        <ns0:v>345</ns0:v>
      </ns0:c>
      <ns0:c r="AE349" s="7">
        <ns0:f>IF(W349&lt;0,A349,0)</ns0:f>
        <ns0:v>0</ns0:v>
      </ns0:c>
      <ns0:c r="AF349" s="16">
        <ns0:f>IF(AND(OR('前提と出典'!$C$36+'前提と出典'!$C$38=0,U349&gt;=0),OR('前提と出典'!$C$37+'前提と出典'!$C$38=0,V349&gt;=0)),0,A349)</ns0:f>
        <ns0:v>0</ns0:v>
      </ns0:c>
      <ns0:c r="AG349" s="7">
        <ns0:f>IF(Z349&gt;=0,A349,1001)</ns0:f>
        <ns0:v>345</ns0:v>
      </ns0:c>
      <ns0:c r="AH349" s="4">
        <ns0:f>IF(Z349&lt;0,A349,0)</ns0:f>
        <ns0:v>0</ns0:v>
      </ns0:c>
      <ns0:c r="AI349" s="12">
        <ns0:f>IF(AND(OR('前提と出典'!$C$36+'前提と出典'!$C$38=0,X349&gt;=0),OR('前提と出典'!$C$37+'前提と出典'!$C$38=0,Y349&gt;=0)),0,A349)</ns0:f>
        <ns0:v>0</ns0:v>
      </ns0:c>
    </ns0:row>
    <ns0:row r="350" ht="24" customHeight="1">
      <ns0:c r="A350" s="4" t="n">
        <ns0:v>346</ns0:v>
      </ns0:c>
      <ns0:c r="B350" s="12">
        <ns0:f>A350*('前提と出典'!$C$36+'前提と出典'!$C$38)</ns0:f>
        <ns0:v>242.2</ns0:v>
      </ns0:c>
      <ns0:c r="C350" s="12">
        <ns0:f>A350*('前提と出典'!$C$37+'前提と出典'!$C$38)</ns0:f>
        <ns0:v>207.6</ns0:v>
      </ns0:c>
      <ns0:c r="D350" s="16">
        <ns0:f>A350*('前提と出典'!$C$36*'契約別単価'!C5+'前提と出典'!$C$37*'契約別単価'!C6+'前提と出典'!$C$38*'契約別単価'!C7)</ns0:f>
        <ns0:v>2489.653631284916</ns0:v>
      </ns0:c>
      <ns0:c r="E350" s="16">
        <ns0:f>A350*('前提と出典'!$C$36*'契約別単価'!E5+'前提と出典'!$C$37*'契約別単価'!E6+'前提と出典'!$C$38*'契約別単価'!E7)</ns0:f>
        <ns0:v>669490.8512293986</ns0:v>
      </ns0:c>
      <ns0:c r="F350" s="16">
        <ns0:f>A350*('前提と出典'!$C$36*'契約別単価'!F5+'前提と出典'!$C$37*'契約別単価'!F6+'前提と出典'!$C$38*'契約別単価'!F7)</ns0:f>
        <ns0:v>262750.8359775859</ns0:v>
      </ns0:c>
      <ns0:c r="G350" s="16">
        <ns0:f>A350*('前提と出典'!$C$36*'契約別単価'!G5+'前提と出典'!$C$37*'契約別単価'!G6+'前提と出典'!$C$38*'契約別単価'!G7)</ns0:f>
        <ns0:v>688713.9664804469</ns0:v>
      </ns0:c>
      <ns0:c r="H350" s="16">
        <ns0:f>A350*('前提と出典'!$C$36*'契約別単価'!H5+'前提と出典'!$C$37*'契約別単価'!H6+'前提と出典'!$C$38*'契約別単価'!H7)</ns0:f>
        <ns0:v>239018.28808848708</ns0:v>
      </ns0:c>
      <ns0:c r="I350" s="16">
        <ns0:f>A350*('前提と出典'!$C$36*'契約別単価'!I5+'前提と出典'!$C$37*'契約別単価'!I6+'前提と出典'!$C$38*'契約別単価'!I7)</ns0:f>
        <ns0:v>14599.653631284913</ns0:v>
      </ns0:c>
      <ns0:c r="J350" s="16">
        <ns0:f>A350*('前提と出典'!$C$36*'契約別単価'!J5+'前提と出典'!$C$37*'契約別単価'!J6+'前提と出典'!$C$38*'契約別単価'!J7)</ns0:f>
        <ns0:v>34008.18212376469</ns0:v>
      </ns0:c>
      <ns0:c r="K350" s="16">
        <ns0:f>A350*('前提と出典'!$C$36*'契約別単価'!K5+'前提と出典'!$C$37*'契約別単価'!K6+'前提と出典'!$C$38*'契約別単価'!K7)</ns0:f>
        <ns0:v>145771.0242085661</ns0:v>
      </ns0:c>
      <ns0:c r="L350" s="16">
        <ns0:f>A350*('前提と出典'!$C$36*'契約別単価'!L5+'前提と出典'!$C$37*'契約別単価'!L6+'前提と出典'!$C$38*'契約別単価'!L7)</ns0:f>
        <ns0:v>118687.27626961624</ns0:v>
      </ns0:c>
      <ns0:c r="M350" s="16">
        <ns0:f>IF(('前提と出典'!$C$36+'前提と出典'!$C$38)=0,0,IF(B350&lt;=10,'前提と出典'!B73+'前提と出典'!C73,IF(B350&lt;=100,'前提と出典'!B74+'前提と出典'!C74,IF(B350&lt;=500,'前提と出典'!B75+'前提と出典'!C75,'前提と出典'!B76+'前提と出典'!C76))))</ns0:f>
        <ns0:v>40000</ns0:v>
      </ns0:c>
      <ns0:c r="N350" s="16">
        <ns0:f>IF(('前提と出典'!$C$37+'前提と出典'!$C$38)=0,0,IF(C350&lt;=10,'前提と出典'!D73+'前提と出典'!E73,IF(C350&lt;=100,'前提と出典'!D74+'前提と出典'!E74,IF(C350&lt;=500,'前提と出典'!D75+'前提と出典'!E75,'前提と出典'!D76+'前提と出典'!E76))))</ns0:f>
        <ns0:v>56510.9346263078</ns0:v>
      </ns0:c>
      <ns0:c r="O350" s="16">
        <ns0:f>IF('前提と出典'!$C$36+'前提と出典'!$C$38=0,0,'前提と出典'!$B$4*IF('前提と出典'!$B$20=0,MAX('前提と出典'!$B$6,D350*'前提と出典'!$B$5),'前提と出典'!$B$6+D350*'前提と出典'!$B$5))</ns0:f>
        <ns0:v>343572.2011173185</ns0:v>
      </ns0:c>
      <ns0:c r="P350" s="16">
        <ns0:f>(E350+G350)*(1-'前提と出典'!$B$7)-I350-K350-M350-O350</ns0:f>
        <ns0:v>765366.5653151214</ns0:v>
      </ns0:c>
      <ns0:c r="Q350" s="16">
        <ns0:f>(F350+H350)*(1-'前提と出典'!$B$7)-J350-L350-N350</ns0:f>
        <ns0:v>274499.0425800056</ns0:v>
      </ns0:c>
      <ns0:c r="R350" s="16">
        <ns0:f>P350-E350*'前提と出典'!$E$4</ns0:f>
        <ns0:v>564519.3099463023</ns0:v>
      </ns0:c>
      <ns0:c r="S350" s="16">
        <ns0:f>Q350-F350*'前提と出典'!$E$4</ns0:f>
        <ns0:v>195673.79178672985</ns0:v>
      </ns0:c>
      <ns0:c r="T350" s="7">
        <ns0:f>R350+S350</ns0:f>
        <ns0:v>760193.1017330321</ns0:v>
      </ns0:c>
      <ns0:c r="U350" s="16">
        <ns0:f>P350-E350*'前提と出典'!$E$5</ns0:f>
        <ns0:v>497570.22482336196</ns0:v>
      </ns0:c>
      <ns0:c r="V350" s="16">
        <ns0:f>Q350-F350*'前提と出典'!$E$5</ns0:f>
        <ns0:v>169398.70818897124</ns0:v>
      </ns0:c>
      <ns0:c r="W350" s="7">
        <ns0:f>U350+V350</ns0:f>
        <ns0:v>666968.9330123332</ns0:v>
      </ns0:c>
      <ns0:c r="X350" s="16">
        <ns0:f>P350-E350*'前提と出典'!$E$6</ns0:f>
        <ns0:v>430621.1397004223</ns0:v>
      </ns0:c>
      <ns0:c r="Y350" s="16">
        <ns0:f>Q350-F350*'前提と出典'!$E$6</ns0:f>
        <ns0:v>143123.62459121263</ns0:v>
      </ns0:c>
      <ns0:c r="Z350" s="7">
        <ns0:f>X350+Y350</ns0:f>
        <ns0:v>573744.7642916349</ns0:v>
      </ns0:c>
      <ns0:c r="AA350" s="7">
        <ns0:f>IF(T350&gt;=0,A350,1001)</ns0:f>
        <ns0:v>346</ns0:v>
      </ns0:c>
      <ns0:c r="AB350" s="7">
        <ns0:f>IF(T350&lt;0,A350,0)</ns0:f>
        <ns0:v>0</ns0:v>
      </ns0:c>
      <ns0:c r="AC350" s="16">
        <ns0:f>IF(AND(OR('前提と出典'!$C$36+'前提と出典'!$C$38=0,R350&gt;=0),OR('前提と出典'!$C$37+'前提と出典'!$C$38=0,S350&gt;=0)),0,A350)</ns0:f>
        <ns0:v>0</ns0:v>
      </ns0:c>
      <ns0:c r="AD350" s="7">
        <ns0:f>IF(W350&gt;=0,A350,1001)</ns0:f>
        <ns0:v>346</ns0:v>
      </ns0:c>
      <ns0:c r="AE350" s="7">
        <ns0:f>IF(W350&lt;0,A350,0)</ns0:f>
        <ns0:v>0</ns0:v>
      </ns0:c>
      <ns0:c r="AF350" s="16">
        <ns0:f>IF(AND(OR('前提と出典'!$C$36+'前提と出典'!$C$38=0,U350&gt;=0),OR('前提と出典'!$C$37+'前提と出典'!$C$38=0,V350&gt;=0)),0,A350)</ns0:f>
        <ns0:v>0</ns0:v>
      </ns0:c>
      <ns0:c r="AG350" s="7">
        <ns0:f>IF(Z350&gt;=0,A350,1001)</ns0:f>
        <ns0:v>346</ns0:v>
      </ns0:c>
      <ns0:c r="AH350" s="4">
        <ns0:f>IF(Z350&lt;0,A350,0)</ns0:f>
        <ns0:v>0</ns0:v>
      </ns0:c>
      <ns0:c r="AI350" s="12">
        <ns0:f>IF(AND(OR('前提と出典'!$C$36+'前提と出典'!$C$38=0,X350&gt;=0),OR('前提と出典'!$C$37+'前提と出典'!$C$38=0,Y350&gt;=0)),0,A350)</ns0:f>
        <ns0:v>0</ns0:v>
      </ns0:c>
    </ns0:row>
    <ns0:row r="351" ht="24" customHeight="1">
      <ns0:c r="A351" s="4" t="n">
        <ns0:v>347</ns0:v>
      </ns0:c>
      <ns0:c r="B351" s="12">
        <ns0:f>A351*('前提と出典'!$C$36+'前提と出典'!$C$38)</ns0:f>
        <ns0:v>242.89999999999998</ns0:v>
      </ns0:c>
      <ns0:c r="C351" s="12">
        <ns0:f>A351*('前提と出典'!$C$37+'前提と出典'!$C$38)</ns0:f>
        <ns0:v>208.2</ns0:v>
      </ns0:c>
      <ns0:c r="D351" s="16">
        <ns0:f>A351*('前提と出典'!$C$36*'契約別単価'!C5+'前提と出典'!$C$37*'契約別単価'!C6+'前提と出典'!$C$38*'契約別単価'!C7)</ns0:f>
        <ns0:v>2496.849162011173</ns0:v>
      </ns0:c>
      <ns0:c r="E351" s="16">
        <ns0:f>A351*('前提と出典'!$C$36*'契約別単価'!E5+'前提と出典'!$C$37*'契約別単価'!E6+'前提と出典'!$C$38*'契約別単価'!E7)</ns0:f>
        <ns0:v>671425.795886131</ns0:v>
      </ns0:c>
      <ns0:c r="F351" s="16">
        <ns0:f>A351*('前提と出典'!$C$36*'契約別単価'!F5+'前提と出典'!$C$37*'契約別単価'!F6+'前提と出典'!$C$38*'契約別単価'!F7)</ns0:f>
        <ns0:v>263510.23145728995</ns0:v>
      </ns0:c>
      <ns0:c r="G351" s="16">
        <ns0:f>A351*('前提と出典'!$C$36*'契約別単価'!G5+'前提と出典'!$C$37*'契約別単価'!G6+'前提と出典'!$C$38*'契約別単価'!G7)</ns0:f>
        <ns0:v>690704.469273743</ns0:v>
      </ns0:c>
      <ns0:c r="H351" s="16">
        <ns0:f>A351*('前提と出典'!$C$36*'契約別単価'!H5+'前提と出典'!$C$37*'契約別単価'!H6+'前提と出典'!$C$38*'契約別単価'!H7)</ns0:f>
        <ns0:v>239709.09238932087</ns0:v>
      </ns0:c>
      <ns0:c r="I351" s="16">
        <ns0:f>A351*('前提と出典'!$C$36*'契約別単価'!I5+'前提と出典'!$C$37*'契約別単価'!I6+'前提と出典'!$C$38*'契約別単価'!I7)</ns0:f>
        <ns0:v>14641.84916201117</ns0:v>
      </ns0:c>
      <ns0:c r="J351" s="16">
        <ns0:f>A351*('前提と出典'!$C$36*'契約別単価'!J5+'前提と出典'!$C$37*'契約別単価'!J6+'前提と出典'!$C$38*'契約別単価'!J7)</ns0:f>
        <ns0:v>34106.471667474994</ns0:v>
      </ns0:c>
      <ns0:c r="K351" s="16">
        <ns0:f>A351*('前提と出典'!$C$36*'契約別単価'!K5+'前提と出典'!$C$37*'契約別単価'!K6+'前提と出典'!$C$38*'契約別単価'!K7)</ns0:f>
        <ns0:v>146192.32774674115</ns0:v>
      </ns0:c>
      <ns0:c r="L351" s="16">
        <ns0:f>A351*('前提と出典'!$C$36*'契約別単価'!L5+'前提と出典'!$C$37*'契約別単価'!L6+'前提と出典'!$C$38*'契約別単価'!L7)</ns0:f>
        <ns0:v>119030.30307964403</ns0:v>
      </ns0:c>
      <ns0:c r="M351" s="16">
        <ns0:f>IF(('前提と出典'!$C$36+'前提と出典'!$C$38)=0,0,IF(B351&lt;=10,'前提と出典'!B73+'前提と出典'!C73,IF(B351&lt;=100,'前提と出典'!B74+'前提と出典'!C74,IF(B351&lt;=500,'前提と出典'!B75+'前提と出典'!C75,'前提と出典'!B76+'前提と出典'!C76))))</ns0:f>
        <ns0:v>40000</ns0:v>
      </ns0:c>
      <ns0:c r="N351" s="16">
        <ns0:f>IF(('前提と出典'!$C$37+'前提と出典'!$C$38)=0,0,IF(C351&lt;=10,'前提と出典'!D73+'前提と出典'!E73,IF(C351&lt;=100,'前提と出典'!D74+'前提と出典'!E74,IF(C351&lt;=500,'前提と出典'!D75+'前提と出典'!E75,'前提と出典'!D76+'前提と出典'!E76))))</ns0:f>
        <ns0:v>56510.9346263078</ns0:v>
      </ns0:c>
      <ns0:c r="O351" s="16">
        <ns0:f>IF('前提と出典'!$C$36+'前提と出典'!$C$38=0,0,'前提と出典'!$B$4*IF('前提と出典'!$B$20=0,MAX('前提と出典'!$B$6,D351*'前提と出典'!$B$5),'前提と出典'!$B$6+D351*'前提と出典'!$B$5))</ns0:f>
        <ns0:v>344565.1843575419</ns0:v>
      </ns0:c>
      <ns0:c r="P351" s="16">
        <ns0:f>(E351+G351)*(1-'前提と出典'!$B$7)-I351-K351-M351-O351</ns0:f>
        <ns0:v>767694.2143478242</ns0:v>
      </ns0:c>
      <ns0:c r="Q351" s="16">
        <ns0:f>(F351+H351)*(1-'前提と出典'!$B$7)-J351-L351-N351</ns0:f>
        <ns0:v>275455.718814706</ns0:v>
      </ns0:c>
      <ns0:c r="R351" s="16">
        <ns0:f>P351-E351*'前提と出典'!$E$4</ns0:f>
        <ns0:v>566266.475581985</ns0:v>
      </ns0:c>
      <ns0:c r="S351" s="16">
        <ns0:f>Q351-F351*'前提と出典'!$E$4</ns0:f>
        <ns0:v>196402.64937751903</ns0:v>
      </ns0:c>
      <ns0:c r="T351" s="7">
        <ns0:f>R351+S351</ns0:f>
        <ns0:v>762669.124959504</ns0:v>
      </ns0:c>
      <ns0:c r="U351" s="16">
        <ns0:f>P351-E351*'前提と出典'!$E$5</ns0:f>
        <ns0:v>499123.8959933718</ns0:v>
      </ns0:c>
      <ns0:c r="V351" s="16">
        <ns0:f>Q351-F351*'前提と出典'!$E$5</ns0:f>
        <ns0:v>170051.62623179005</ns0:v>
      </ns0:c>
      <ns0:c r="W351" s="7">
        <ns0:f>U351+V351</ns0:f>
        <ns0:v>669175.5222251618</ns0:v>
      </ns0:c>
      <ns0:c r="X351" s="16">
        <ns0:f>P351-E351*'前提と出典'!$E$6</ns0:f>
        <ns0:v>431981.3164047588</ns0:v>
      </ns0:c>
      <ns0:c r="Y351" s="16">
        <ns0:f>Q351-F351*'前提と出典'!$E$6</ns0:f>
        <ns0:v>143700.60308606102</ns0:v>
      </ns0:c>
      <ns0:c r="Z351" s="7">
        <ns0:f>X351+Y351</ns0:f>
        <ns0:v>575681.9194908198</ns0:v>
      </ns0:c>
      <ns0:c r="AA351" s="7">
        <ns0:f>IF(T351&gt;=0,A351,1001)</ns0:f>
        <ns0:v>347</ns0:v>
      </ns0:c>
      <ns0:c r="AB351" s="7">
        <ns0:f>IF(T351&lt;0,A351,0)</ns0:f>
        <ns0:v>0</ns0:v>
      </ns0:c>
      <ns0:c r="AC351" s="16">
        <ns0:f>IF(AND(OR('前提と出典'!$C$36+'前提と出典'!$C$38=0,R351&gt;=0),OR('前提と出典'!$C$37+'前提と出典'!$C$38=0,S351&gt;=0)),0,A351)</ns0:f>
        <ns0:v>0</ns0:v>
      </ns0:c>
      <ns0:c r="AD351" s="7">
        <ns0:f>IF(W351&gt;=0,A351,1001)</ns0:f>
        <ns0:v>347</ns0:v>
      </ns0:c>
      <ns0:c r="AE351" s="7">
        <ns0:f>IF(W351&lt;0,A351,0)</ns0:f>
        <ns0:v>0</ns0:v>
      </ns0:c>
      <ns0:c r="AF351" s="16">
        <ns0:f>IF(AND(OR('前提と出典'!$C$36+'前提と出典'!$C$38=0,U351&gt;=0),OR('前提と出典'!$C$37+'前提と出典'!$C$38=0,V351&gt;=0)),0,A351)</ns0:f>
        <ns0:v>0</ns0:v>
      </ns0:c>
      <ns0:c r="AG351" s="7">
        <ns0:f>IF(Z351&gt;=0,A351,1001)</ns0:f>
        <ns0:v>347</ns0:v>
      </ns0:c>
      <ns0:c r="AH351" s="4">
        <ns0:f>IF(Z351&lt;0,A351,0)</ns0:f>
        <ns0:v>0</ns0:v>
      </ns0:c>
      <ns0:c r="AI351" s="12">
        <ns0:f>IF(AND(OR('前提と出典'!$C$36+'前提と出典'!$C$38=0,X351&gt;=0),OR('前提と出典'!$C$37+'前提と出典'!$C$38=0,Y351&gt;=0)),0,A351)</ns0:f>
        <ns0:v>0</ns0:v>
      </ns0:c>
    </ns0:row>
    <ns0:row r="352" ht="24" customHeight="1">
      <ns0:c r="A352" s="4" t="n">
        <ns0:v>348</ns0:v>
      </ns0:c>
      <ns0:c r="B352" s="12">
        <ns0:f>A352*('前提と出典'!$C$36+'前提と出典'!$C$38)</ns0:f>
        <ns0:v>243.6</ns0:v>
      </ns0:c>
      <ns0:c r="C352" s="12">
        <ns0:f>A352*('前提と出典'!$C$37+'前提と出典'!$C$38)</ns0:f>
        <ns0:v>208.79999999999998</ns0:v>
      </ns0:c>
      <ns0:c r="D352" s="16">
        <ns0:f>A352*('前提と出典'!$C$36*'契約別単価'!C5+'前提と出典'!$C$37*'契約別単価'!C6+'前提と出典'!$C$38*'契約別単価'!C7)</ns0:f>
        <ns0:v>2504.04469273743</ns0:v>
      </ns0:c>
      <ns0:c r="E352" s="16">
        <ns0:f>A352*('前提と出典'!$C$36*'契約別単価'!E5+'前提と出典'!$C$37*'契約別単価'!E6+'前提と出典'!$C$38*'契約別単価'!E7)</ns0:f>
        <ns0:v>673360.7405428634</ns0:v>
      </ns0:c>
      <ns0:c r="F352" s="16">
        <ns0:f>A352*('前提と出典'!$C$36*'契約別単価'!F5+'前提と出典'!$C$37*'契約別単価'!F6+'前提と出典'!$C$38*'契約別単価'!F7)</ns0:f>
        <ns0:v>264269.6269369939</ns0:v>
      </ns0:c>
      <ns0:c r="G352" s="16">
        <ns0:f>A352*('前提と出典'!$C$36*'契約別単価'!G5+'前提と出典'!$C$37*'契約別単価'!G6+'前提と出典'!$C$38*'契約別単価'!G7)</ns0:f>
        <ns0:v>692694.9720670391</ns0:v>
      </ns0:c>
      <ns0:c r="H352" s="16">
        <ns0:f>A352*('前提と出典'!$C$36*'契約別単価'!H5+'前提と出典'!$C$37*'契約別単価'!H6+'前提と出典'!$C$38*'契約別単価'!H7)</ns0:f>
        <ns0:v>240399.89669015462</ns0:v>
      </ns0:c>
      <ns0:c r="I352" s="16">
        <ns0:f>A352*('前提と出典'!$C$36*'契約別単価'!I5+'前提と出典'!$C$37*'契約別単価'!I6+'前提と出典'!$C$38*'契約別単価'!I7)</ns0:f>
        <ns0:v>14684.044692737427</ns0:v>
      </ns0:c>
      <ns0:c r="J352" s="16">
        <ns0:f>A352*('前提と出典'!$C$36*'契約別単価'!J5+'前提と出典'!$C$37*'契約別単価'!J6+'前提と出典'!$C$38*'契約別単価'!J7)</ns0:f>
        <ns0:v>34204.761211185294</ns0:v>
      </ns0:c>
      <ns0:c r="K352" s="16">
        <ns0:f>A352*('前提と出典'!$C$36*'契約別単価'!K5+'前提と出典'!$C$37*'契約別単価'!K6+'前提と出典'!$C$38*'契約別単価'!K7)</ns0:f>
        <ns0:v>146613.6312849162</ns0:v>
      </ns0:c>
      <ns0:c r="L352" s="16">
        <ns0:f>A352*('前提と出典'!$C$36*'契約別単価'!L5+'前提と出典'!$C$37*'契約別単価'!L6+'前提と出典'!$C$38*'契約別単価'!L7)</ns0:f>
        <ns0:v>119373.32988967182</ns0:v>
      </ns0:c>
      <ns0:c r="M352" s="16">
        <ns0:f>IF(('前提と出典'!$C$36+'前提と出典'!$C$38)=0,0,IF(B352&lt;=10,'前提と出典'!B73+'前提と出典'!C73,IF(B352&lt;=100,'前提と出典'!B74+'前提と出典'!C74,IF(B352&lt;=500,'前提と出典'!B75+'前提と出典'!C75,'前提と出典'!B76+'前提と出典'!C76))))</ns0:f>
        <ns0:v>40000</ns0:v>
      </ns0:c>
      <ns0:c r="N352" s="16">
        <ns0:f>IF(('前提と出典'!$C$37+'前提と出典'!$C$38)=0,0,IF(C352&lt;=10,'前提と出典'!D73+'前提と出典'!E73,IF(C352&lt;=100,'前提と出典'!D74+'前提と出典'!E74,IF(C352&lt;=500,'前提と出典'!D75+'前提と出典'!E75,'前提と出典'!D76+'前提と出典'!E76))))</ns0:f>
        <ns0:v>56510.9346263078</ns0:v>
      </ns0:c>
      <ns0:c r="O352" s="16">
        <ns0:f>IF('前提と出典'!$C$36+'前提と出典'!$C$38=0,0,'前提と出典'!$B$4*IF('前提と出典'!$B$20=0,MAX('前提と出典'!$B$6,D352*'前提と出典'!$B$5),'前提と出典'!$B$6+D352*'前提と出典'!$B$5))</ns0:f>
        <ns0:v>345558.1675977654</ns0:v>
      </ns0:c>
      <ns0:c r="P352" s="16">
        <ns0:f>(E352+G352)*(1-'前提と出典'!$B$7)-I352-K352-M352-O352</ns0:f>
        <ns0:v>770021.863380527</ns0:v>
      </ns0:c>
      <ns0:c r="Q352" s="16">
        <ns0:f>(F352+H352)*(1-'前提と出典'!$B$7)-J352-L352-N352</ns0:f>
        <ns0:v>276412.3950494063</ns0:v>
      </ns0:c>
      <ns0:c r="R352" s="16">
        <ns0:f>P352-E352*'前提と出典'!$E$4</ns0:f>
        <ns0:v>568013.6412176678</ns0:v>
      </ns0:c>
      <ns0:c r="S352" s="16">
        <ns0:f>Q352-F352*'前提と出典'!$E$4</ns0:f>
        <ns0:v>197131.50696830812</ns0:v>
      </ns0:c>
      <ns0:c r="T352" s="7">
        <ns0:f>R352+S352</ns0:f>
        <ns0:v>765145.148185976</ns0:v>
      </ns0:c>
      <ns0:c r="U352" s="16">
        <ns0:f>P352-E352*'前提と出典'!$E$5</ns0:f>
        <ns0:v>500677.56716338167</ns0:v>
      </ns0:c>
      <ns0:c r="V352" s="16">
        <ns0:f>Q352-F352*'前提と出典'!$E$5</ns0:f>
        <ns0:v>170704.54427460872</ns0:v>
      </ns0:c>
      <ns0:c r="W352" s="7">
        <ns0:f>U352+V352</ns0:f>
        <ns0:v>671382.1114379903</ns0:v>
      </ns0:c>
      <ns0:c r="X352" s="16">
        <ns0:f>P352-E352*'前提と出典'!$E$6</ns0:f>
        <ns0:v>433341.4931090953</ns0:v>
      </ns0:c>
      <ns0:c r="Y352" s="16">
        <ns0:f>Q352-F352*'前提と出典'!$E$6</ns0:f>
        <ns0:v>144277.58158090932</ns0:v>
      </ns0:c>
      <ns0:c r="Z352" s="7">
        <ns0:f>X352+Y352</ns0:f>
        <ns0:v>577619.0746900046</ns0:v>
      </ns0:c>
      <ns0:c r="AA352" s="7">
        <ns0:f>IF(T352&gt;=0,A352,1001)</ns0:f>
        <ns0:v>348</ns0:v>
      </ns0:c>
      <ns0:c r="AB352" s="7">
        <ns0:f>IF(T352&lt;0,A352,0)</ns0:f>
        <ns0:v>0</ns0:v>
      </ns0:c>
      <ns0:c r="AC352" s="16">
        <ns0:f>IF(AND(OR('前提と出典'!$C$36+'前提と出典'!$C$38=0,R352&gt;=0),OR('前提と出典'!$C$37+'前提と出典'!$C$38=0,S352&gt;=0)),0,A352)</ns0:f>
        <ns0:v>0</ns0:v>
      </ns0:c>
      <ns0:c r="AD352" s="7">
        <ns0:f>IF(W352&gt;=0,A352,1001)</ns0:f>
        <ns0:v>348</ns0:v>
      </ns0:c>
      <ns0:c r="AE352" s="7">
        <ns0:f>IF(W352&lt;0,A352,0)</ns0:f>
        <ns0:v>0</ns0:v>
      </ns0:c>
      <ns0:c r="AF352" s="16">
        <ns0:f>IF(AND(OR('前提と出典'!$C$36+'前提と出典'!$C$38=0,U352&gt;=0),OR('前提と出典'!$C$37+'前提と出典'!$C$38=0,V352&gt;=0)),0,A352)</ns0:f>
        <ns0:v>0</ns0:v>
      </ns0:c>
      <ns0:c r="AG352" s="7">
        <ns0:f>IF(Z352&gt;=0,A352,1001)</ns0:f>
        <ns0:v>348</ns0:v>
      </ns0:c>
      <ns0:c r="AH352" s="4">
        <ns0:f>IF(Z352&lt;0,A352,0)</ns0:f>
        <ns0:v>0</ns0:v>
      </ns0:c>
      <ns0:c r="AI352" s="12">
        <ns0:f>IF(AND(OR('前提と出典'!$C$36+'前提と出典'!$C$38=0,X352&gt;=0),OR('前提と出典'!$C$37+'前提と出典'!$C$38=0,Y352&gt;=0)),0,A352)</ns0:f>
        <ns0:v>0</ns0:v>
      </ns0:c>
    </ns0:row>
    <ns0:row r="353" ht="24" customHeight="1">
      <ns0:c r="A353" s="4" t="n">
        <ns0:v>349</ns0:v>
      </ns0:c>
      <ns0:c r="B353" s="12">
        <ns0:f>A353*('前提と出典'!$C$36+'前提と出典'!$C$38)</ns0:f>
        <ns0:v>244.29999999999998</ns0:v>
      </ns0:c>
      <ns0:c r="C353" s="12">
        <ns0:f>A353*('前提と出典'!$C$37+'前提と出典'!$C$38)</ns0:f>
        <ns0:v>209.4</ns0:v>
      </ns0:c>
      <ns0:c r="D353" s="16">
        <ns0:f>A353*('前提と出典'!$C$36*'契約別単価'!C5+'前提と出典'!$C$37*'契約別単価'!C6+'前提と出典'!$C$38*'契約別単価'!C7)</ns0:f>
        <ns0:v>2511.240223463687</ns0:v>
      </ns0:c>
      <ns0:c r="E353" s="16">
        <ns0:f>A353*('前提と出典'!$C$36*'契約別単価'!E5+'前提と出典'!$C$37*'契約別単価'!E6+'前提と出典'!$C$38*'契約別単価'!E7)</ns0:f>
        <ns0:v>675295.6851995958</ns0:v>
      </ns0:c>
      <ns0:c r="F353" s="16">
        <ns0:f>A353*('前提と出典'!$C$36*'契約別単価'!F5+'前提と出典'!$C$37*'契約別単価'!F6+'前提と出典'!$C$38*'契約別単価'!F7)</ns0:f>
        <ns0:v>265029.02241669793</ns0:v>
      </ns0:c>
      <ns0:c r="G353" s="16">
        <ns0:f>A353*('前提と出典'!$C$36*'契約別単価'!G5+'前提と出典'!$C$37*'契約別単価'!G6+'前提と出典'!$C$38*'契約別単価'!G7)</ns0:f>
        <ns0:v>694685.4748603351</ns0:v>
      </ns0:c>
      <ns0:c r="H353" s="16">
        <ns0:f>A353*('前提と出典'!$C$36*'契約別単価'!H5+'前提と出典'!$C$37*'契約別単価'!H6+'前提と出典'!$C$38*'契約別単価'!H7)</ns0:f>
        <ns0:v>241090.7009909884</ns0:v>
      </ns0:c>
      <ns0:c r="I353" s="16">
        <ns0:f>A353*('前提と出典'!$C$36*'契約別単価'!I5+'前提と出典'!$C$37*'契約別単価'!I6+'前提と出典'!$C$38*'契約別単価'!I7)</ns0:f>
        <ns0:v>14726.240223463685</ns0:v>
      </ns0:c>
      <ns0:c r="J353" s="16">
        <ns0:f>A353*('前提と出典'!$C$36*'契約別単価'!J5+'前提と出典'!$C$37*'契約別単価'!J6+'前提と出典'!$C$38*'契約別単価'!J7)</ns0:f>
        <ns0:v>34303.050754895594</ns0:v>
      </ns0:c>
      <ns0:c r="K353" s="16">
        <ns0:f>A353*('前提と出典'!$C$36*'契約別単価'!K5+'前提と出典'!$C$37*'契約別単価'!K6+'前提と出典'!$C$38*'契約別単価'!K7)</ns0:f>
        <ns0:v>147034.93482309123</ns0:v>
      </ns0:c>
      <ns0:c r="L353" s="16">
        <ns0:f>A353*('前提と出典'!$C$36*'契約別単価'!L5+'前提と出典'!$C$37*'契約別単価'!L6+'前提と出典'!$C$38*'契約別単価'!L7)</ns0:f>
        <ns0:v>119716.35669969961</ns0:v>
      </ns0:c>
      <ns0:c r="M353" s="16">
        <ns0:f>IF(('前提と出典'!$C$36+'前提と出典'!$C$38)=0,0,IF(B353&lt;=10,'前提と出典'!B73+'前提と出典'!C73,IF(B353&lt;=100,'前提と出典'!B74+'前提と出典'!C74,IF(B353&lt;=500,'前提と出典'!B75+'前提と出典'!C75,'前提と出典'!B76+'前提と出典'!C76))))</ns0:f>
        <ns0:v>40000</ns0:v>
      </ns0:c>
      <ns0:c r="N353" s="16">
        <ns0:f>IF(('前提と出典'!$C$37+'前提と出典'!$C$38)=0,0,IF(C353&lt;=10,'前提と出典'!D73+'前提と出典'!E73,IF(C353&lt;=100,'前提と出典'!D74+'前提と出典'!E74,IF(C353&lt;=500,'前提と出典'!D75+'前提と出典'!E75,'前提と出典'!D76+'前提と出典'!E76))))</ns0:f>
        <ns0:v>56510.9346263078</ns0:v>
      </ns0:c>
      <ns0:c r="O353" s="16">
        <ns0:f>IF('前提と出典'!$C$36+'前提と出典'!$C$38=0,0,'前提と出典'!$B$4*IF('前提と出典'!$B$20=0,MAX('前提と出典'!$B$6,D353*'前提と出典'!$B$5),'前提と出典'!$B$6+D353*'前提と出典'!$B$5))</ns0:f>
        <ns0:v>346551.1508379888</ns0:v>
      </ns0:c>
      <ns0:c r="P353" s="16">
        <ns0:f>(E353+G353)*(1-'前提と出典'!$B$7)-I353-K353-M353-O353</ns0:f>
        <ns0:v>772349.5124132293</ns0:v>
      </ns0:c>
      <ns0:c r="Q353" s="16">
        <ns0:f>(F353+H353)*(1-'前提と出典'!$B$7)-J353-L353-N353</ns0:f>
        <ns0:v>277369.07128410664</ns0:v>
      </ns0:c>
      <ns0:c r="R353" s="16">
        <ns0:f>P353-E353*'前提と出典'!$E$4</ns0:f>
        <ns0:v>569760.8068533508</ns0:v>
      </ns0:c>
      <ns0:c r="S353" s="16">
        <ns0:f>Q353-F353*'前提と出典'!$E$4</ns0:f>
        <ns0:v>197860.36455909727</ns0:v>
      </ns0:c>
      <ns0:c r="T353" s="7">
        <ns0:f>R353+S353</ns0:f>
        <ns0:v>767621.1714124482</ns0:v>
      </ns0:c>
      <ns0:c r="U353" s="16">
        <ns0:f>P353-E353*'前提と出典'!$E$5</ns0:f>
        <ns0:v>502231.238333391</ns0:v>
      </ns0:c>
      <ns0:c r="V353" s="16">
        <ns0:f>Q353-F353*'前提と出典'!$E$5</ns0:f>
        <ns0:v>171357.46231742745</ns0:v>
      </ns0:c>
      <ns0:c r="W353" s="7">
        <ns0:f>U353+V353</ns0:f>
        <ns0:v>673588.7006508184</ns0:v>
      </ns0:c>
      <ns0:c r="X353" s="16">
        <ns0:f>P353-E353*'前提と出典'!$E$6</ns0:f>
        <ns0:v>434701.66981343157</ns0:v>
      </ns0:c>
      <ns0:c r="Y353" s="16">
        <ns0:f>Q353-F353*'前提と出典'!$E$6</ns0:f>
        <ns0:v>144854.56007575768</ns0:v>
      </ns0:c>
      <ns0:c r="Z353" s="7">
        <ns0:f>X353+Y353</ns0:f>
        <ns0:v>579556.2298891892</ns0:v>
      </ns0:c>
      <ns0:c r="AA353" s="7">
        <ns0:f>IF(T353&gt;=0,A353,1001)</ns0:f>
        <ns0:v>349</ns0:v>
      </ns0:c>
      <ns0:c r="AB353" s="7">
        <ns0:f>IF(T353&lt;0,A353,0)</ns0:f>
        <ns0:v>0</ns0:v>
      </ns0:c>
      <ns0:c r="AC353" s="16">
        <ns0:f>IF(AND(OR('前提と出典'!$C$36+'前提と出典'!$C$38=0,R353&gt;=0),OR('前提と出典'!$C$37+'前提と出典'!$C$38=0,S353&gt;=0)),0,A353)</ns0:f>
        <ns0:v>0</ns0:v>
      </ns0:c>
      <ns0:c r="AD353" s="7">
        <ns0:f>IF(W353&gt;=0,A353,1001)</ns0:f>
        <ns0:v>349</ns0:v>
      </ns0:c>
      <ns0:c r="AE353" s="7">
        <ns0:f>IF(W353&lt;0,A353,0)</ns0:f>
        <ns0:v>0</ns0:v>
      </ns0:c>
      <ns0:c r="AF353" s="16">
        <ns0:f>IF(AND(OR('前提と出典'!$C$36+'前提と出典'!$C$38=0,U353&gt;=0),OR('前提と出典'!$C$37+'前提と出典'!$C$38=0,V353&gt;=0)),0,A353)</ns0:f>
        <ns0:v>0</ns0:v>
      </ns0:c>
      <ns0:c r="AG353" s="7">
        <ns0:f>IF(Z353&gt;=0,A353,1001)</ns0:f>
        <ns0:v>349</ns0:v>
      </ns0:c>
      <ns0:c r="AH353" s="4">
        <ns0:f>IF(Z353&lt;0,A353,0)</ns0:f>
        <ns0:v>0</ns0:v>
      </ns0:c>
      <ns0:c r="AI353" s="12">
        <ns0:f>IF(AND(OR('前提と出典'!$C$36+'前提と出典'!$C$38=0,X353&gt;=0),OR('前提と出典'!$C$37+'前提と出典'!$C$38=0,Y353&gt;=0)),0,A353)</ns0:f>
        <ns0:v>0</ns0:v>
      </ns0:c>
    </ns0:row>
    <ns0:row r="354" ht="24" customHeight="1">
      <ns0:c r="A354" s="4" t="n">
        <ns0:v>350</ns0:v>
      </ns0:c>
      <ns0:c r="B354" s="12">
        <ns0:f>A354*('前提と出典'!$C$36+'前提と出典'!$C$38)</ns0:f>
        <ns0:v>244.99999999999997</ns0:v>
      </ns0:c>
      <ns0:c r="C354" s="12">
        <ns0:f>A354*('前提と出典'!$C$37+'前提と出典'!$C$38)</ns0:f>
        <ns0:v>210</ns0:v>
      </ns0:c>
      <ns0:c r="D354" s="16">
        <ns0:f>A354*('前提と出典'!$C$36*'契約別単価'!C5+'前提と出典'!$C$37*'契約別単価'!C6+'前提と出典'!$C$38*'契約別単価'!C7)</ns0:f>
        <ns0:v>2518.435754189944</ns0:v>
      </ns0:c>
      <ns0:c r="E354" s="16">
        <ns0:f>A354*('前提と出典'!$C$36*'契約別単価'!E5+'前提と出典'!$C$37*'契約別単価'!E6+'前提と出典'!$C$38*'契約別単価'!E7)</ns0:f>
        <ns0:v>677230.6298563281</ns0:v>
      </ns0:c>
      <ns0:c r="F354" s="16">
        <ns0:f>A354*('前提と出典'!$C$36*'契約別単価'!F5+'前提と出典'!$C$37*'契約別単価'!F6+'前提と出典'!$C$38*'契約別単価'!F7)</ns0:f>
        <ns0:v>265788.41789640195</ns0:v>
      </ns0:c>
      <ns0:c r="G354" s="16">
        <ns0:f>A354*('前提と出典'!$C$36*'契約別単価'!G5+'前提と出典'!$C$37*'契約別単価'!G6+'前提と出典'!$C$38*'契約別単価'!G7)</ns0:f>
        <ns0:v>696675.9776536312</ns0:v>
      </ns0:c>
      <ns0:c r="H354" s="16">
        <ns0:f>A354*('前提と出典'!$C$36*'契約別単価'!H5+'前提と出典'!$C$37*'契約別単価'!H6+'前提と出典'!$C$38*'契約別単価'!H7)</ns0:f>
        <ns0:v>241781.5052918222</ns0:v>
      </ns0:c>
      <ns0:c r="I354" s="16">
        <ns0:f>A354*('前提と出典'!$C$36*'契約別単価'!I5+'前提と出典'!$C$37*'契約別単価'!I6+'前提と出典'!$C$38*'契約別単価'!I7)</ns0:f>
        <ns0:v>14768.43575418994</ns0:v>
      </ns0:c>
      <ns0:c r="J354" s="16">
        <ns0:f>A354*('前提と出典'!$C$36*'契約別単価'!J5+'前提と出典'!$C$37*'契約別単価'!J6+'前提と出典'!$C$38*'契約別単価'!J7)</ns0:f>
        <ns0:v>34401.3402986059</ns0:v>
      </ns0:c>
      <ns0:c r="K354" s="16">
        <ns0:f>A354*('前提と出典'!$C$36*'契約別単価'!K5+'前提と出典'!$C$37*'契約別単価'!K6+'前提と出典'!$C$38*'契約別単価'!K7)</ns0:f>
        <ns0:v>147456.2383612663</ns0:v>
      </ns0:c>
      <ns0:c r="L354" s="16">
        <ns0:f>A354*('前提と出典'!$C$36*'契約別単価'!L5+'前提と出典'!$C$37*'契約別単価'!L6+'前提と出典'!$C$38*'契約別単価'!L7)</ns0:f>
        <ns0:v>120059.3835097274</ns0:v>
      </ns0:c>
      <ns0:c r="M354" s="16">
        <ns0:f>IF(('前提と出典'!$C$36+'前提と出典'!$C$38)=0,0,IF(B354&lt;=10,'前提と出典'!B73+'前提と出典'!C73,IF(B354&lt;=100,'前提と出典'!B74+'前提と出典'!C74,IF(B354&lt;=500,'前提と出典'!B75+'前提と出典'!C75,'前提と出典'!B76+'前提と出典'!C76))))</ns0:f>
        <ns0:v>40000</ns0:v>
      </ns0:c>
      <ns0:c r="N354" s="16">
        <ns0:f>IF(('前提と出典'!$C$37+'前提と出典'!$C$38)=0,0,IF(C354&lt;=10,'前提と出典'!D73+'前提と出典'!E73,IF(C354&lt;=100,'前提と出典'!D74+'前提と出典'!E74,IF(C354&lt;=500,'前提と出典'!D75+'前提と出典'!E75,'前提と出典'!D76+'前提と出典'!E76))))</ns0:f>
        <ns0:v>56510.9346263078</ns0:v>
      </ns0:c>
      <ns0:c r="O354" s="16">
        <ns0:f>IF('前提と出典'!$C$36+'前提と出典'!$C$38=0,0,'前提と出典'!$B$4*IF('前提と出典'!$B$20=0,MAX('前提と出典'!$B$6,D354*'前提と出典'!$B$5),'前提と出典'!$B$6+D354*'前提と出典'!$B$5))</ns0:f>
        <ns0:v>347544.13407821226</ns0:v>
      </ns0:c>
      <ns0:c r="P354" s="16">
        <ns0:f>(E354+G354)*(1-'前提と出典'!$B$7)-I354-K354-M354-O354</ns0:f>
        <ns0:v>774677.1614459325</ns0:v>
      </ns0:c>
      <ns0:c r="Q354" s="16">
        <ns0:f>(F354+H354)*(1-'前提と出典'!$B$7)-J354-L354-N354</ns0:f>
        <ns0:v>278325.74751880695</ns0:v>
      </ns0:c>
      <ns0:c r="R354" s="16">
        <ns0:f>P354-E354*'前提と出典'!$E$4</ns0:f>
        <ns0:v>571507.9724890341</ns0:v>
      </ns0:c>
      <ns0:c r="S354" s="16">
        <ns0:f>Q354-F354*'前提と出典'!$E$4</ns0:f>
        <ns0:v>198589.2221498864</ns0:v>
      </ns0:c>
      <ns0:c r="T354" s="7">
        <ns0:f>R354+S354</ns0:f>
        <ns0:v>770097.1946389205</ns0:v>
      </ns0:c>
      <ns0:c r="U354" s="16">
        <ns0:f>P354-E354*'前提と出典'!$E$5</ns0:f>
        <ns0:v>503784.9095034012</ns0:v>
      </ns0:c>
      <ns0:c r="V354" s="16">
        <ns0:f>Q354-F354*'前提と出典'!$E$5</ns0:f>
        <ns0:v>172010.3803602462</ns0:v>
      </ns0:c>
      <ns0:c r="W354" s="7">
        <ns0:f>U354+V354</ns0:f>
        <ns0:v>675795.2898636474</ns0:v>
      </ns0:c>
      <ns0:c r="X354" s="16">
        <ns0:f>P354-E354*'前提と出典'!$E$6</ns0:f>
        <ns0:v>436061.8465177684</ns0:v>
      </ns0:c>
      <ns0:c r="Y354" s="16">
        <ns0:f>Q354-F354*'前提と出典'!$E$6</ns0:f>
        <ns0:v>145431.538570606</ns0:v>
      </ns0:c>
      <ns0:c r="Z354" s="7">
        <ns0:f>X354+Y354</ns0:f>
        <ns0:v>581493.3850883744</ns0:v>
      </ns0:c>
      <ns0:c r="AA354" s="7">
        <ns0:f>IF(T354&gt;=0,A354,1001)</ns0:f>
        <ns0:v>350</ns0:v>
      </ns0:c>
      <ns0:c r="AB354" s="7">
        <ns0:f>IF(T354&lt;0,A354,0)</ns0:f>
        <ns0:v>0</ns0:v>
      </ns0:c>
      <ns0:c r="AC354" s="16">
        <ns0:f>IF(AND(OR('前提と出典'!$C$36+'前提と出典'!$C$38=0,R354&gt;=0),OR('前提と出典'!$C$37+'前提と出典'!$C$38=0,S354&gt;=0)),0,A354)</ns0:f>
        <ns0:v>0</ns0:v>
      </ns0:c>
      <ns0:c r="AD354" s="7">
        <ns0:f>IF(W354&gt;=0,A354,1001)</ns0:f>
        <ns0:v>350</ns0:v>
      </ns0:c>
      <ns0:c r="AE354" s="7">
        <ns0:f>IF(W354&lt;0,A354,0)</ns0:f>
        <ns0:v>0</ns0:v>
      </ns0:c>
      <ns0:c r="AF354" s="16">
        <ns0:f>IF(AND(OR('前提と出典'!$C$36+'前提と出典'!$C$38=0,U354&gt;=0),OR('前提と出典'!$C$37+'前提と出典'!$C$38=0,V354&gt;=0)),0,A354)</ns0:f>
        <ns0:v>0</ns0:v>
      </ns0:c>
      <ns0:c r="AG354" s="7">
        <ns0:f>IF(Z354&gt;=0,A354,1001)</ns0:f>
        <ns0:v>350</ns0:v>
      </ns0:c>
      <ns0:c r="AH354" s="4">
        <ns0:f>IF(Z354&lt;0,A354,0)</ns0:f>
        <ns0:v>0</ns0:v>
      </ns0:c>
      <ns0:c r="AI354" s="12">
        <ns0:f>IF(AND(OR('前提と出典'!$C$36+'前提と出典'!$C$38=0,X354&gt;=0),OR('前提と出典'!$C$37+'前提と出典'!$C$38=0,Y354&gt;=0)),0,A354)</ns0:f>
        <ns0:v>0</ns0:v>
      </ns0:c>
    </ns0:row>
    <ns0:row r="355" ht="24" customHeight="1">
      <ns0:c r="A355" s="4" t="n">
        <ns0:v>351</ns0:v>
      </ns0:c>
      <ns0:c r="B355" s="12">
        <ns0:f>A355*('前提と出典'!$C$36+'前提と出典'!$C$38)</ns0:f>
        <ns0:v>245.7</ns0:v>
      </ns0:c>
      <ns0:c r="C355" s="12">
        <ns0:f>A355*('前提と出典'!$C$37+'前提と出典'!$C$38)</ns0:f>
        <ns0:v>210.6</ns0:v>
      </ns0:c>
      <ns0:c r="D355" s="16">
        <ns0:f>A355*('前提と出典'!$C$36*'契約別単価'!C5+'前提と出典'!$C$37*'契約別単価'!C6+'前提と出典'!$C$38*'契約別単価'!C7)</ns0:f>
        <ns0:v>2525.631284916201</ns0:v>
      </ns0:c>
      <ns0:c r="E355" s="16">
        <ns0:f>A355*('前提と出典'!$C$36*'契約別単価'!E5+'前提と出典'!$C$37*'契約別単価'!E6+'前提と出典'!$C$38*'契約別単価'!E7)</ns0:f>
        <ns0:v>679165.5745130605</ns0:v>
      </ns0:c>
      <ns0:c r="F355" s="16">
        <ns0:f>A355*('前提と出典'!$C$36*'契約別単価'!F5+'前提と出典'!$C$37*'契約別単価'!F6+'前提と出典'!$C$38*'契約別単価'!F7)</ns0:f>
        <ns0:v>266547.813376106</ns0:v>
      </ns0:c>
      <ns0:c r="G355" s="16">
        <ns0:f>A355*('前提と出典'!$C$36*'契約別単価'!G5+'前提と出典'!$C$37*'契約別単価'!G6+'前提と出典'!$C$38*'契約別単価'!G7)</ns0:f>
        <ns0:v>698666.4804469274</ns0:v>
      </ns0:c>
      <ns0:c r="H355" s="16">
        <ns0:f>A355*('前提と出典'!$C$36*'契約別単価'!H5+'前提と出典'!$C$37*'契約別単価'!H6+'前提と出典'!$C$38*'契約別単価'!H7)</ns0:f>
        <ns0:v>242472.30959265598</ns0:v>
      </ns0:c>
      <ns0:c r="I355" s="16">
        <ns0:f>A355*('前提と出典'!$C$36*'契約別単価'!I5+'前提と出典'!$C$37*'契約別単価'!I6+'前提と出典'!$C$38*'契約別単価'!I7)</ns0:f>
        <ns0:v>14810.631284916199</ns0:v>
      </ns0:c>
      <ns0:c r="J355" s="16">
        <ns0:f>A355*('前提と出典'!$C$36*'契約別単価'!J5+'前提と出典'!$C$37*'契約別単価'!J6+'前提と出典'!$C$38*'契約別単価'!J7)</ns0:f>
        <ns0:v>34499.6298423162</ns0:v>
      </ns0:c>
      <ns0:c r="K355" s="16">
        <ns0:f>A355*('前提と出典'!$C$36*'契約別単価'!K5+'前提と出典'!$C$37*'契約別単価'!K6+'前提と出典'!$C$38*'契約別単価'!K7)</ns0:f>
        <ns0:v>147877.54189944133</ns0:v>
      </ns0:c>
      <ns0:c r="L355" s="16">
        <ns0:f>A355*('前提と出典'!$C$36*'契約別単価'!L5+'前提と出典'!$C$37*'契約別単価'!L6+'前提と出典'!$C$38*'契約別単価'!L7)</ns0:f>
        <ns0:v>120402.41031975519</ns0:v>
      </ns0:c>
      <ns0:c r="M355" s="16">
        <ns0:f>IF(('前提と出典'!$C$36+'前提と出典'!$C$38)=0,0,IF(B355&lt;=10,'前提と出典'!B73+'前提と出典'!C73,IF(B355&lt;=100,'前提と出典'!B74+'前提と出典'!C74,IF(B355&lt;=500,'前提と出典'!B75+'前提と出典'!C75,'前提と出典'!B76+'前提と出典'!C76))))</ns0:f>
        <ns0:v>40000</ns0:v>
      </ns0:c>
      <ns0:c r="N355" s="16">
        <ns0:f>IF(('前提と出典'!$C$37+'前提と出典'!$C$38)=0,0,IF(C355&lt;=10,'前提と出典'!D73+'前提と出典'!E73,IF(C355&lt;=100,'前提と出典'!D74+'前提と出典'!E74,IF(C355&lt;=500,'前提と出典'!D75+'前提と出典'!E75,'前提と出典'!D76+'前提と出典'!E76))))</ns0:f>
        <ns0:v>56510.9346263078</ns0:v>
      </ns0:c>
      <ns0:c r="O355" s="16">
        <ns0:f>IF('前提と出典'!$C$36+'前提と出典'!$C$38=0,0,'前提と出典'!$B$4*IF('前提と出典'!$B$20=0,MAX('前提と出典'!$B$6,D355*'前提と出典'!$B$5),'前提と出典'!$B$6+D355*'前提と出典'!$B$5))</ns0:f>
        <ns0:v>348537.11731843575</ns0:v>
      </ns0:c>
      <ns0:c r="P355" s="16">
        <ns0:f>(E355+G355)*(1-'前提と出典'!$B$7)-I355-K355-M355-O355</ns0:f>
        <ns0:v>777004.8104786351</ns0:v>
      </ns0:c>
      <ns0:c r="Q355" s="16">
        <ns0:f>(F355+H355)*(1-'前提と出典'!$B$7)-J355-L355-N355</ns0:f>
        <ns0:v>279282.4237535073</ns0:v>
      </ns0:c>
      <ns0:c r="R355" s="16">
        <ns0:f>P355-E355*'前提と出典'!$E$4</ns0:f>
        <ns0:v>573255.1381247167</ns0:v>
      </ns0:c>
      <ns0:c r="S355" s="16">
        <ns0:f>Q355-F355*'前提と出典'!$E$4</ns0:f>
        <ns0:v>199318.07974067552</ns0:v>
      </ns0:c>
      <ns0:c r="T355" s="7">
        <ns0:f>R355+S355</ns0:f>
        <ns0:v>772573.2178653922</ns0:v>
      </ns0:c>
      <ns0:c r="U355" s="16">
        <ns0:f>P355-E355*'前提と出典'!$E$5</ns0:f>
        <ns0:v>505338.58067341085</ns0:v>
      </ns0:c>
      <ns0:c r="V355" s="16">
        <ns0:f>Q355-F355*'前提と出典'!$E$5</ns0:f>
        <ns0:v>172663.29840306495</ns0:v>
      </ns0:c>
      <ns0:c r="W355" s="7">
        <ns0:f>U355+V355</ns0:f>
        <ns0:v>678001.8790764757</ns0:v>
      </ns0:c>
      <ns0:c r="X355" s="16">
        <ns0:f>P355-E355*'前提と出典'!$E$6</ns0:f>
        <ns0:v>437422.0232221047</ns0:v>
      </ns0:c>
      <ns0:c r="Y355" s="16">
        <ns0:f>Q355-F355*'前提と出典'!$E$6</ns0:f>
        <ns0:v>146008.51706545433</ns0:v>
      </ns0:c>
      <ns0:c r="Z355" s="7">
        <ns0:f>X355+Y355</ns0:f>
        <ns0:v>583430.540287559</ns0:v>
      </ns0:c>
      <ns0:c r="AA355" s="7">
        <ns0:f>IF(T355&gt;=0,A355,1001)</ns0:f>
        <ns0:v>351</ns0:v>
      </ns0:c>
      <ns0:c r="AB355" s="7">
        <ns0:f>IF(T355&lt;0,A355,0)</ns0:f>
        <ns0:v>0</ns0:v>
      </ns0:c>
      <ns0:c r="AC355" s="16">
        <ns0:f>IF(AND(OR('前提と出典'!$C$36+'前提と出典'!$C$38=0,R355&gt;=0),OR('前提と出典'!$C$37+'前提と出典'!$C$38=0,S355&gt;=0)),0,A355)</ns0:f>
        <ns0:v>0</ns0:v>
      </ns0:c>
      <ns0:c r="AD355" s="7">
        <ns0:f>IF(W355&gt;=0,A355,1001)</ns0:f>
        <ns0:v>351</ns0:v>
      </ns0:c>
      <ns0:c r="AE355" s="7">
        <ns0:f>IF(W355&lt;0,A355,0)</ns0:f>
        <ns0:v>0</ns0:v>
      </ns0:c>
      <ns0:c r="AF355" s="16">
        <ns0:f>IF(AND(OR('前提と出典'!$C$36+'前提と出典'!$C$38=0,U355&gt;=0),OR('前提と出典'!$C$37+'前提と出典'!$C$38=0,V355&gt;=0)),0,A355)</ns0:f>
        <ns0:v>0</ns0:v>
      </ns0:c>
      <ns0:c r="AG355" s="7">
        <ns0:f>IF(Z355&gt;=0,A355,1001)</ns0:f>
        <ns0:v>351</ns0:v>
      </ns0:c>
      <ns0:c r="AH355" s="4">
        <ns0:f>IF(Z355&lt;0,A355,0)</ns0:f>
        <ns0:v>0</ns0:v>
      </ns0:c>
      <ns0:c r="AI355" s="12">
        <ns0:f>IF(AND(OR('前提と出典'!$C$36+'前提と出典'!$C$38=0,X355&gt;=0),OR('前提と出典'!$C$37+'前提と出典'!$C$38=0,Y355&gt;=0)),0,A355)</ns0:f>
        <ns0:v>0</ns0:v>
      </ns0:c>
    </ns0:row>
    <ns0:row r="356" ht="24" customHeight="1">
      <ns0:c r="A356" s="4" t="n">
        <ns0:v>352</ns0:v>
      </ns0:c>
      <ns0:c r="B356" s="12">
        <ns0:f>A356*('前提と出典'!$C$36+'前提と出典'!$C$38)</ns0:f>
        <ns0:v>246.39999999999998</ns0:v>
      </ns0:c>
      <ns0:c r="C356" s="12">
        <ns0:f>A356*('前提と出典'!$C$37+'前提と出典'!$C$38)</ns0:f>
        <ns0:v>211.2</ns0:v>
      </ns0:c>
      <ns0:c r="D356" s="16">
        <ns0:f>A356*('前提と出典'!$C$36*'契約別単価'!C5+'前提と出典'!$C$37*'契約別単価'!C6+'前提と出典'!$C$38*'契約別単価'!C7)</ns0:f>
        <ns0:v>2532.8268156424583</ns0:v>
      </ns0:c>
      <ns0:c r="E356" s="16">
        <ns0:f>A356*('前提と出典'!$C$36*'契約別単価'!E5+'前提と出典'!$C$37*'契約別単価'!E6+'前提と出典'!$C$38*'契約別単価'!E7)</ns0:f>
        <ns0:v>681100.5191697928</ns0:v>
      </ns0:c>
      <ns0:c r="F356" s="16">
        <ns0:f>A356*('前提と出典'!$C$36*'契約別単価'!F5+'前提と出典'!$C$37*'契約別単価'!F6+'前提と出典'!$C$38*'契約別単価'!F7)</ns0:f>
        <ns0:v>267307.20885580993</ns0:v>
      </ns0:c>
      <ns0:c r="G356" s="16">
        <ns0:f>A356*('前提と出典'!$C$36*'契約別単価'!G5+'前提と出典'!$C$37*'契約別単価'!G6+'前提と出典'!$C$38*'契約別単価'!G7)</ns0:f>
        <ns0:v>700656.9832402235</ns0:v>
      </ns0:c>
      <ns0:c r="H356" s="16">
        <ns0:f>A356*('前提と出典'!$C$36*'契約別単価'!H5+'前提と出典'!$C$37*'契約別単価'!H6+'前提と出典'!$C$38*'契約別単価'!H7)</ns0:f>
        <ns0:v>243163.11389348976</ns0:v>
      </ns0:c>
      <ns0:c r="I356" s="16">
        <ns0:f>A356*('前提と出典'!$C$36*'契約別単価'!I5+'前提と出典'!$C$37*'契約別単価'!I6+'前提と出典'!$C$38*'契約別単価'!I7)</ns0:f>
        <ns0:v>14852.826815642456</ns0:v>
      </ns0:c>
      <ns0:c r="J356" s="16">
        <ns0:f>A356*('前提と出典'!$C$36*'契約別単価'!J5+'前提と出典'!$C$37*'契約別単価'!J6+'前提と出典'!$C$38*'契約別単価'!J7)</ns0:f>
        <ns0:v>34597.9193860265</ns0:v>
      </ns0:c>
      <ns0:c r="K356" s="16">
        <ns0:f>A356*('前提と出典'!$C$36*'契約別単価'!K5+'前提と出典'!$C$37*'契約別単価'!K6+'前提と出典'!$C$38*'契約別単価'!K7)</ns0:f>
        <ns0:v>148298.84543761637</ns0:v>
      </ns0:c>
      <ns0:c r="L356" s="16">
        <ns0:f>A356*('前提と出典'!$C$36*'契約別単価'!L5+'前提と出典'!$C$37*'契約別単価'!L6+'前提と出典'!$C$38*'契約別単価'!L7)</ns0:f>
        <ns0:v>120745.437129783</ns0:v>
      </ns0:c>
      <ns0:c r="M356" s="16">
        <ns0:f>IF(('前提と出典'!$C$36+'前提と出典'!$C$38)=0,0,IF(B356&lt;=10,'前提と出典'!B73+'前提と出典'!C73,IF(B356&lt;=100,'前提と出典'!B74+'前提と出典'!C74,IF(B356&lt;=500,'前提と出典'!B75+'前提と出典'!C75,'前提と出典'!B76+'前提と出典'!C76))))</ns0:f>
        <ns0:v>40000</ns0:v>
      </ns0:c>
      <ns0:c r="N356" s="16">
        <ns0:f>IF(('前提と出典'!$C$37+'前提と出典'!$C$38)=0,0,IF(C356&lt;=10,'前提と出典'!D73+'前提と出典'!E73,IF(C356&lt;=100,'前提と出典'!D74+'前提と出典'!E74,IF(C356&lt;=500,'前提と出典'!D75+'前提と出典'!E75,'前提と出典'!D76+'前提と出典'!E76))))</ns0:f>
        <ns0:v>56510.9346263078</ns0:v>
      </ns0:c>
      <ns0:c r="O356" s="16">
        <ns0:f>IF('前提と出典'!$C$36+'前提と出典'!$C$38=0,0,'前提と出典'!$B$4*IF('前提と出典'!$B$20=0,MAX('前提と出典'!$B$6,D356*'前提と出典'!$B$5),'前提と出典'!$B$6+D356*'前提と出典'!$B$5))</ns0:f>
        <ns0:v>349530.1005586593</ns0:v>
      </ns0:c>
      <ns0:c r="P356" s="16">
        <ns0:f>(E356+G356)*(1-'前提と出典'!$B$7)-I356-K356-M356-O356</ns0:f>
        <ns0:v>779332.4595113375</ns0:v>
      </ns0:c>
      <ns0:c r="Q356" s="16">
        <ns0:f>(F356+H356)*(1-'前提と出典'!$B$7)-J356-L356-N356</ns0:f>
        <ns0:v>280239.0999882077</ns0:v>
      </ns0:c>
      <ns0:c r="R356" s="16">
        <ns0:f>P356-E356*'前提と出典'!$E$4</ns0:f>
        <ns0:v>575002.3037603998</ns0:v>
      </ns0:c>
      <ns0:c r="S356" s="16">
        <ns0:f>Q356-F356*'前提と出典'!$E$4</ns0:f>
        <ns0:v>200046.93733146467</ns0:v>
      </ns0:c>
      <ns0:c r="T356" s="7">
        <ns0:f>R356+S356</ns0:f>
        <ns0:v>775049.2410918644</ns0:v>
      </ns0:c>
      <ns0:c r="U356" s="16">
        <ns0:f>P356-E356*'前提と出典'!$E$5</ns0:f>
        <ns0:v>506892.2518434203</ns0:v>
      </ns0:c>
      <ns0:c r="V356" s="16">
        <ns0:f>Q356-F356*'前提と出典'!$E$5</ns0:f>
        <ns0:v>173316.21644588368</ns0:v>
      </ns0:c>
      <ns0:c r="W356" s="7">
        <ns0:f>U356+V356</ns0:f>
        <ns0:v>680208.4682893041</ns0:v>
      </ns0:c>
      <ns0:c r="X356" s="16">
        <ns0:f>P356-E356*'前提と出典'!$E$6</ns0:f>
        <ns0:v>438782.1999264412</ns0:v>
      </ns0:c>
      <ns0:c r="Y356" s="16">
        <ns0:f>Q356-F356*'前提と出典'!$E$6</ns0:f>
        <ns0:v>146585.4955603027</ns0:v>
      </ns0:c>
      <ns0:c r="Z356" s="7">
        <ns0:f>X356+Y356</ns0:f>
        <ns0:v>585367.6954867439</ns0:v>
      </ns0:c>
      <ns0:c r="AA356" s="7">
        <ns0:f>IF(T356&gt;=0,A356,1001)</ns0:f>
        <ns0:v>352</ns0:v>
      </ns0:c>
      <ns0:c r="AB356" s="7">
        <ns0:f>IF(T356&lt;0,A356,0)</ns0:f>
        <ns0:v>0</ns0:v>
      </ns0:c>
      <ns0:c r="AC356" s="16">
        <ns0:f>IF(AND(OR('前提と出典'!$C$36+'前提と出典'!$C$38=0,R356&gt;=0),OR('前提と出典'!$C$37+'前提と出典'!$C$38=0,S356&gt;=0)),0,A356)</ns0:f>
        <ns0:v>0</ns0:v>
      </ns0:c>
      <ns0:c r="AD356" s="7">
        <ns0:f>IF(W356&gt;=0,A356,1001)</ns0:f>
        <ns0:v>352</ns0:v>
      </ns0:c>
      <ns0:c r="AE356" s="7">
        <ns0:f>IF(W356&lt;0,A356,0)</ns0:f>
        <ns0:v>0</ns0:v>
      </ns0:c>
      <ns0:c r="AF356" s="16">
        <ns0:f>IF(AND(OR('前提と出典'!$C$36+'前提と出典'!$C$38=0,U356&gt;=0),OR('前提と出典'!$C$37+'前提と出典'!$C$38=0,V356&gt;=0)),0,A356)</ns0:f>
        <ns0:v>0</ns0:v>
      </ns0:c>
      <ns0:c r="AG356" s="7">
        <ns0:f>IF(Z356&gt;=0,A356,1001)</ns0:f>
        <ns0:v>352</ns0:v>
      </ns0:c>
      <ns0:c r="AH356" s="4">
        <ns0:f>IF(Z356&lt;0,A356,0)</ns0:f>
        <ns0:v>0</ns0:v>
      </ns0:c>
      <ns0:c r="AI356" s="12">
        <ns0:f>IF(AND(OR('前提と出典'!$C$36+'前提と出典'!$C$38=0,X356&gt;=0),OR('前提と出典'!$C$37+'前提と出典'!$C$38=0,Y356&gt;=0)),0,A356)</ns0:f>
        <ns0:v>0</ns0:v>
      </ns0:c>
    </ns0:row>
    <ns0:row r="357" ht="24" customHeight="1">
      <ns0:c r="A357" s="4" t="n">
        <ns0:v>353</ns0:v>
      </ns0:c>
      <ns0:c r="B357" s="12">
        <ns0:f>A357*('前提と出典'!$C$36+'前提と出典'!$C$38)</ns0:f>
        <ns0:v>247.1</ns0:v>
      </ns0:c>
      <ns0:c r="C357" s="12">
        <ns0:f>A357*('前提と出典'!$C$37+'前提と出典'!$C$38)</ns0:f>
        <ns0:v>211.79999999999998</ns0:v>
      </ns0:c>
      <ns0:c r="D357" s="16">
        <ns0:f>A357*('前提と出典'!$C$36*'契約別単価'!C5+'前提と出典'!$C$37*'契約別単価'!C6+'前提と出典'!$C$38*'契約別単価'!C7)</ns0:f>
        <ns0:v>2540.0223463687153</ns0:v>
      </ns0:c>
      <ns0:c r="E357" s="16">
        <ns0:f>A357*('前提と出典'!$C$36*'契約別単価'!E5+'前提と出典'!$C$37*'契約別単価'!E6+'前提と出典'!$C$38*'契約別単価'!E7)</ns0:f>
        <ns0:v>683035.4638265251</ns0:v>
      </ns0:c>
      <ns0:c r="F357" s="16">
        <ns0:f>A357*('前提と出典'!$C$36*'契約別単価'!F5+'前提と出典'!$C$37*'契約別単価'!F6+'前提と出典'!$C$38*'契約別単価'!F7)</ns0:f>
        <ns0:v>268066.60433551396</ns0:v>
      </ns0:c>
      <ns0:c r="G357" s="16">
        <ns0:f>A357*('前提と出典'!$C$36*'契約別単価'!G5+'前提と出典'!$C$37*'契約別単価'!G6+'前提と出典'!$C$38*'契約別単価'!G7)</ns0:f>
        <ns0:v>702647.4860335195</ns0:v>
      </ns0:c>
      <ns0:c r="H357" s="16">
        <ns0:f>A357*('前提と出典'!$C$36*'契約別単価'!H5+'前提と出典'!$C$37*'契約別単価'!H6+'前提と出典'!$C$38*'契約別単価'!H7)</ns0:f>
        <ns0:v>243853.91819432352</ns0:v>
      </ns0:c>
      <ns0:c r="I357" s="16">
        <ns0:f>A357*('前提と出典'!$C$36*'契約別単価'!I5+'前提と出典'!$C$37*'契約別単価'!I6+'前提と出典'!$C$38*'契約別単価'!I7)</ns0:f>
        <ns0:v>14895.022346368713</ns0:v>
      </ns0:c>
      <ns0:c r="J357" s="16">
        <ns0:f>A357*('前提と出典'!$C$36*'契約別単価'!J5+'前提と出典'!$C$37*'契約別単価'!J6+'前提と出典'!$C$38*'契約別単価'!J7)</ns0:f>
        <ns0:v>34696.20892973681</ns0:v>
      </ns0:c>
      <ns0:c r="K357" s="16">
        <ns0:f>A357*('前提と出典'!$C$36*'契約別単価'!K5+'前提と出典'!$C$37*'契約別単価'!K6+'前提と出典'!$C$38*'契約別単価'!K7)</ns0:f>
        <ns0:v>148720.1489757914</ns0:v>
      </ns0:c>
      <ns0:c r="L357" s="16">
        <ns0:f>A357*('前提と出典'!$C$36*'契約別単価'!L5+'前提と出典'!$C$37*'契約別単価'!L6+'前提と出典'!$C$38*'契約別単価'!L7)</ns0:f>
        <ns0:v>121088.46393981078</ns0:v>
      </ns0:c>
      <ns0:c r="M357" s="16">
        <ns0:f>IF(('前提と出典'!$C$36+'前提と出典'!$C$38)=0,0,IF(B357&lt;=10,'前提と出典'!B73+'前提と出典'!C73,IF(B357&lt;=100,'前提と出典'!B74+'前提と出典'!C74,IF(B357&lt;=500,'前提と出典'!B75+'前提と出典'!C75,'前提と出典'!B76+'前提と出典'!C76))))</ns0:f>
        <ns0:v>40000</ns0:v>
      </ns0:c>
      <ns0:c r="N357" s="16">
        <ns0:f>IF(('前提と出典'!$C$37+'前提と出典'!$C$38)=0,0,IF(C357&lt;=10,'前提と出典'!D73+'前提と出典'!E73,IF(C357&lt;=100,'前提と出典'!D74+'前提と出典'!E74,IF(C357&lt;=500,'前提と出典'!D75+'前提と出典'!E75,'前提と出典'!D76+'前提と出典'!E76))))</ns0:f>
        <ns0:v>56510.9346263078</ns0:v>
      </ns0:c>
      <ns0:c r="O357" s="16">
        <ns0:f>IF('前提と出典'!$C$36+'前提と出典'!$C$38=0,0,'前提と出典'!$B$4*IF('前提と出典'!$B$20=0,MAX('前提と出典'!$B$6,D357*'前提と出典'!$B$5),'前提と出典'!$B$6+D357*'前提と出典'!$B$5))</ns0:f>
        <ns0:v>350523.0837988827</ns0:v>
      </ns0:c>
      <ns0:c r="P357" s="16">
        <ns0:f>(E357+G357)*(1-'前提と出典'!$B$7)-I357-K357-M357-O357</ns0:f>
        <ns0:v>781660.1085440402</ns0:v>
      </ns0:c>
      <ns0:c r="Q357" s="16">
        <ns0:f>(F357+H357)*(1-'前提と出典'!$B$7)-J357-L357-N357</ns0:f>
        <ns0:v>281195.77622290794</ns0:v>
      </ns0:c>
      <ns0:c r="R357" s="16">
        <ns0:f>P357-E357*'前提と出典'!$E$4</ns0:f>
        <ns0:v>576749.4693960827</ns0:v>
      </ns0:c>
      <ns0:c r="S357" s="16">
        <ns0:f>Q357-F357*'前提と出典'!$E$4</ns0:f>
        <ns0:v>200775.79492225373</ns0:v>
      </ns0:c>
      <ns0:c r="T357" s="7">
        <ns0:f>R357+S357</ns0:f>
        <ns0:v>777525.2643183364</ns0:v>
      </ns0:c>
      <ns0:c r="U357" s="16">
        <ns0:f>P357-E357*'前提と出典'!$E$5</ns0:f>
        <ns0:v>508445.92301343015</ns0:v>
      </ns0:c>
      <ns0:c r="V357" s="16">
        <ns0:f>Q357-F357*'前提と出典'!$E$5</ns0:f>
        <ns0:v>173969.13448870232</ns0:v>
      </ns0:c>
      <ns0:c r="W357" s="7">
        <ns0:f>U357+V357</ns0:f>
        <ns0:v>682415.0575021325</ns0:v>
      </ns0:c>
      <ns0:c r="X357" s="16">
        <ns0:f>P357-E357*'前提と出典'!$E$6</ns0:f>
        <ns0:v>440142.3766307778</ns0:v>
      </ns0:c>
      <ns0:c r="Y357" s="16">
        <ns0:f>Q357-F357*'前提と出典'!$E$6</ns0:f>
        <ns0:v>147162.47405515096</ns0:v>
      </ns0:c>
      <ns0:c r="Z357" s="7">
        <ns0:f>X357+Y357</ns0:f>
        <ns0:v>587304.8506859287</ns0:v>
      </ns0:c>
      <ns0:c r="AA357" s="7">
        <ns0:f>IF(T357&gt;=0,A357,1001)</ns0:f>
        <ns0:v>353</ns0:v>
      </ns0:c>
      <ns0:c r="AB357" s="7">
        <ns0:f>IF(T357&lt;0,A357,0)</ns0:f>
        <ns0:v>0</ns0:v>
      </ns0:c>
      <ns0:c r="AC357" s="16">
        <ns0:f>IF(AND(OR('前提と出典'!$C$36+'前提と出典'!$C$38=0,R357&gt;=0),OR('前提と出典'!$C$37+'前提と出典'!$C$38=0,S357&gt;=0)),0,A357)</ns0:f>
        <ns0:v>0</ns0:v>
      </ns0:c>
      <ns0:c r="AD357" s="7">
        <ns0:f>IF(W357&gt;=0,A357,1001)</ns0:f>
        <ns0:v>353</ns0:v>
      </ns0:c>
      <ns0:c r="AE357" s="7">
        <ns0:f>IF(W357&lt;0,A357,0)</ns0:f>
        <ns0:v>0</ns0:v>
      </ns0:c>
      <ns0:c r="AF357" s="16">
        <ns0:f>IF(AND(OR('前提と出典'!$C$36+'前提と出典'!$C$38=0,U357&gt;=0),OR('前提と出典'!$C$37+'前提と出典'!$C$38=0,V357&gt;=0)),0,A357)</ns0:f>
        <ns0:v>0</ns0:v>
      </ns0:c>
      <ns0:c r="AG357" s="7">
        <ns0:f>IF(Z357&gt;=0,A357,1001)</ns0:f>
        <ns0:v>353</ns0:v>
      </ns0:c>
      <ns0:c r="AH357" s="4">
        <ns0:f>IF(Z357&lt;0,A357,0)</ns0:f>
        <ns0:v>0</ns0:v>
      </ns0:c>
      <ns0:c r="AI357" s="12">
        <ns0:f>IF(AND(OR('前提と出典'!$C$36+'前提と出典'!$C$38=0,X357&gt;=0),OR('前提と出典'!$C$37+'前提と出典'!$C$38=0,Y357&gt;=0)),0,A357)</ns0:f>
        <ns0:v>0</ns0:v>
      </ns0:c>
    </ns0:row>
    <ns0:row r="358" ht="24" customHeight="1">
      <ns0:c r="A358" s="4" t="n">
        <ns0:v>354</ns0:v>
      </ns0:c>
      <ns0:c r="B358" s="12">
        <ns0:f>A358*('前提と出典'!$C$36+'前提と出典'!$C$38)</ns0:f>
        <ns0:v>247.79999999999998</ns0:v>
      </ns0:c>
      <ns0:c r="C358" s="12">
        <ns0:f>A358*('前提と出典'!$C$37+'前提と出典'!$C$38)</ns0:f>
        <ns0:v>212.4</ns0:v>
      </ns0:c>
      <ns0:c r="D358" s="16">
        <ns0:f>A358*('前提と出典'!$C$36*'契約別単価'!C5+'前提と出典'!$C$37*'契約別単価'!C6+'前提と出典'!$C$38*'契約別単価'!C7)</ns0:f>
        <ns0:v>2547.217877094972</ns0:v>
      </ns0:c>
      <ns0:c r="E358" s="16">
        <ns0:f>A358*('前提と出典'!$C$36*'契約別単価'!E5+'前提と出典'!$C$37*'契約別単価'!E6+'前提と出典'!$C$38*'契約別単価'!E7)</ns0:f>
        <ns0:v>684970.4084832575</ns0:v>
      </ns0:c>
      <ns0:c r="F358" s="16">
        <ns0:f>A358*('前提と出典'!$C$36*'契約別単価'!F5+'前提と出典'!$C$37*'契約別単価'!F6+'前提と出典'!$C$38*'契約別単価'!F7)</ns0:f>
        <ns0:v>268825.999815218</ns0:v>
      </ns0:c>
      <ns0:c r="G358" s="16">
        <ns0:f>A358*('前提と出典'!$C$36*'契約別単価'!G5+'前提と出典'!$C$37*'契約別単価'!G6+'前提と出典'!$C$38*'契約別単価'!G7)</ns0:f>
        <ns0:v>704637.9888268156</ns0:v>
      </ns0:c>
      <ns0:c r="H358" s="16">
        <ns0:f>A358*('前提と出典'!$C$36*'契約別単価'!H5+'前提と出典'!$C$37*'契約別単価'!H6+'前提と出典'!$C$38*'契約別単価'!H7)</ns0:f>
        <ns0:v>244544.7224951573</ns0:v>
      </ns0:c>
      <ns0:c r="I358" s="16">
        <ns0:f>A358*('前提と出典'!$C$36*'契約別単価'!I5+'前提と出典'!$C$37*'契約別単価'!I6+'前提と出典'!$C$38*'契約別単価'!I7)</ns0:f>
        <ns0:v>14937.21787709497</ns0:v>
      </ns0:c>
      <ns0:c r="J358" s="16">
        <ns0:f>A358*('前提と出典'!$C$36*'契約別単価'!J5+'前提と出典'!$C$37*'契約別単価'!J6+'前提と出典'!$C$38*'契約別単価'!J7)</ns0:f>
        <ns0:v>34794.49847344711</ns0:v>
      </ns0:c>
      <ns0:c r="K358" s="16">
        <ns0:f>A358*('前提と出典'!$C$36*'契約別単価'!K5+'前提と出典'!$C$37*'契約別単価'!K6+'前提と出典'!$C$38*'契約別単価'!K7)</ns0:f>
        <ns0:v>149141.45251396648</ns0:v>
      </ns0:c>
      <ns0:c r="L358" s="16">
        <ns0:f>A358*('前提と出典'!$C$36*'契約別単価'!L5+'前提と出典'!$C$37*'契約別単価'!L6+'前提と出典'!$C$38*'契約別単価'!L7)</ns0:f>
        <ns0:v>121431.49074983857</ns0:v>
      </ns0:c>
      <ns0:c r="M358" s="16">
        <ns0:f>IF(('前提と出典'!$C$36+'前提と出典'!$C$38)=0,0,IF(B358&lt;=10,'前提と出典'!B73+'前提と出典'!C73,IF(B358&lt;=100,'前提と出典'!B74+'前提と出典'!C74,IF(B358&lt;=500,'前提と出典'!B75+'前提と出典'!C75,'前提と出典'!B76+'前提と出典'!C76))))</ns0:f>
        <ns0:v>40000</ns0:v>
      </ns0:c>
      <ns0:c r="N358" s="16">
        <ns0:f>IF(('前提と出典'!$C$37+'前提と出典'!$C$38)=0,0,IF(C358&lt;=10,'前提と出典'!D73+'前提と出典'!E73,IF(C358&lt;=100,'前提と出典'!D74+'前提と出典'!E74,IF(C358&lt;=500,'前提と出典'!D75+'前提と出典'!E75,'前提と出典'!D76+'前提と出典'!E76))))</ns0:f>
        <ns0:v>56510.9346263078</ns0:v>
      </ns0:c>
      <ns0:c r="O358" s="16">
        <ns0:f>IF('前提と出典'!$C$36+'前提と出典'!$C$38=0,0,'前提と出典'!$B$4*IF('前提と出典'!$B$20=0,MAX('前提と出典'!$B$6,D358*'前提と出典'!$B$5),'前提と出典'!$B$6+D358*'前提と出典'!$B$5))</ns0:f>
        <ns0:v>351516.06703910616</ns0:v>
      </ns0:c>
      <ns0:c r="P358" s="16">
        <ns0:f>(E358+G358)*(1-'前提と出典'!$B$7)-I358-K358-M358-O358</ns0:f>
        <ns0:v>783987.7575767427</ns0:v>
      </ns0:c>
      <ns0:c r="Q358" s="16">
        <ns0:f>(F358+H358)*(1-'前提と出典'!$B$7)-J358-L358-N358</ns0:f>
        <ns0:v>282152.4524576083</ns0:v>
      </ns0:c>
      <ns0:c r="R358" s="16">
        <ns0:f>P358-E358*'前提と出典'!$E$4</ns0:f>
        <ns0:v>578496.6350317654</ns0:v>
      </ns0:c>
      <ns0:c r="S358" s="16">
        <ns0:f>Q358-F358*'前提と出典'!$E$4</ns0:f>
        <ns0:v>201504.6525130429</ns0:v>
      </ns0:c>
      <ns0:c r="T358" s="7">
        <ns0:f>R358+S358</ns0:f>
        <ns0:v>780001.2875448084</ns0:v>
      </ns0:c>
      <ns0:c r="U358" s="16">
        <ns0:f>P358-E358*'前提と出典'!$E$5</ns0:f>
        <ns0:v>509999.59418343974</ns0:v>
      </ns0:c>
      <ns0:c r="V358" s="16">
        <ns0:f>Q358-F358*'前提と出典'!$E$5</ns0:f>
        <ns0:v>174622.05253152113</ns0:v>
      </ns0:c>
      <ns0:c r="W358" s="7">
        <ns0:f>U358+V358</ns0:f>
        <ns0:v>684621.6467149609</ns0:v>
      </ns0:c>
      <ns0:c r="X358" s="16">
        <ns0:f>P358-E358*'前提と出典'!$E$6</ns0:f>
        <ns0:v>441502.55333511403</ns0:v>
      </ns0:c>
      <ns0:c r="Y358" s="16">
        <ns0:f>Q358-F358*'前提と出典'!$E$6</ns0:f>
        <ns0:v>147739.45254999935</ns0:v>
      </ns0:c>
      <ns0:c r="Z358" s="7">
        <ns0:f>X358+Y358</ns0:f>
        <ns0:v>589242.0058851134</ns0:v>
      </ns0:c>
      <ns0:c r="AA358" s="7">
        <ns0:f>IF(T358&gt;=0,A358,1001)</ns0:f>
        <ns0:v>354</ns0:v>
      </ns0:c>
      <ns0:c r="AB358" s="7">
        <ns0:f>IF(T358&lt;0,A358,0)</ns0:f>
        <ns0:v>0</ns0:v>
      </ns0:c>
      <ns0:c r="AC358" s="16">
        <ns0:f>IF(AND(OR('前提と出典'!$C$36+'前提と出典'!$C$38=0,R358&gt;=0),OR('前提と出典'!$C$37+'前提と出典'!$C$38=0,S358&gt;=0)),0,A358)</ns0:f>
        <ns0:v>0</ns0:v>
      </ns0:c>
      <ns0:c r="AD358" s="7">
        <ns0:f>IF(W358&gt;=0,A358,1001)</ns0:f>
        <ns0:v>354</ns0:v>
      </ns0:c>
      <ns0:c r="AE358" s="7">
        <ns0:f>IF(W358&lt;0,A358,0)</ns0:f>
        <ns0:v>0</ns0:v>
      </ns0:c>
      <ns0:c r="AF358" s="16">
        <ns0:f>IF(AND(OR('前提と出典'!$C$36+'前提と出典'!$C$38=0,U358&gt;=0),OR('前提と出典'!$C$37+'前提と出典'!$C$38=0,V358&gt;=0)),0,A358)</ns0:f>
        <ns0:v>0</ns0:v>
      </ns0:c>
      <ns0:c r="AG358" s="7">
        <ns0:f>IF(Z358&gt;=0,A358,1001)</ns0:f>
        <ns0:v>354</ns0:v>
      </ns0:c>
      <ns0:c r="AH358" s="4">
        <ns0:f>IF(Z358&lt;0,A358,0)</ns0:f>
        <ns0:v>0</ns0:v>
      </ns0:c>
      <ns0:c r="AI358" s="12">
        <ns0:f>IF(AND(OR('前提と出典'!$C$36+'前提と出典'!$C$38=0,X358&gt;=0),OR('前提と出典'!$C$37+'前提と出典'!$C$38=0,Y358&gt;=0)),0,A358)</ns0:f>
        <ns0:v>0</ns0:v>
      </ns0:c>
    </ns0:row>
    <ns0:row r="359" ht="24" customHeight="1">
      <ns0:c r="A359" s="4" t="n">
        <ns0:v>355</ns0:v>
      </ns0:c>
      <ns0:c r="B359" s="12">
        <ns0:f>A359*('前提と出典'!$C$36+'前提と出典'!$C$38)</ns0:f>
        <ns0:v>248.49999999999997</ns0:v>
      </ns0:c>
      <ns0:c r="C359" s="12">
        <ns0:f>A359*('前提と出典'!$C$37+'前提と出典'!$C$38)</ns0:f>
        <ns0:v>213</ns0:v>
      </ns0:c>
      <ns0:c r="D359" s="16">
        <ns0:f>A359*('前提と出典'!$C$36*'契約別単価'!C5+'前提と出典'!$C$37*'契約別単価'!C6+'前提と出典'!$C$38*'契約別単価'!C7)</ns0:f>
        <ns0:v>2554.413407821229</ns0:v>
      </ns0:c>
      <ns0:c r="E359" s="16">
        <ns0:f>A359*('前提と出典'!$C$36*'契約別単価'!E5+'前提と出典'!$C$37*'契約別単価'!E6+'前提と出典'!$C$38*'契約別単価'!E7)</ns0:f>
        <ns0:v>686905.3531399899</ns0:v>
      </ns0:c>
      <ns0:c r="F359" s="16">
        <ns0:f>A359*('前提と出典'!$C$36*'契約別単価'!F5+'前提と出典'!$C$37*'契約別単価'!F6+'前提と出典'!$C$38*'契約別単価'!F7)</ns0:f>
        <ns0:v>269585.39529492194</ns0:v>
      </ns0:c>
      <ns0:c r="G359" s="16">
        <ns0:f>A359*('前提と出典'!$C$36*'契約別単価'!G5+'前提と出典'!$C$37*'契約別単価'!G6+'前提と出典'!$C$38*'契約別単価'!G7)</ns0:f>
        <ns0:v>706628.4916201117</ns0:v>
      </ns0:c>
      <ns0:c r="H359" s="16">
        <ns0:f>A359*('前提と出典'!$C$36*'契約別単価'!H5+'前提と出典'!$C$37*'契約別単価'!H6+'前提と出典'!$C$38*'契約別単価'!H7)</ns0:f>
        <ns0:v>245235.52679599109</ns0:v>
      </ns0:c>
      <ns0:c r="I359" s="16">
        <ns0:f>A359*('前提と出典'!$C$36*'契約別単価'!I5+'前提と出典'!$C$37*'契約別単価'!I6+'前提と出典'!$C$38*'契約別単価'!I7)</ns0:f>
        <ns0:v>14979.413407821226</ns0:v>
      </ns0:c>
      <ns0:c r="J359" s="16">
        <ns0:f>A359*('前提と出典'!$C$36*'契約別単価'!J5+'前提と出典'!$C$37*'契約別単価'!J6+'前提と出典'!$C$38*'契約別単価'!J7)</ns0:f>
        <ns0:v>34892.788017157414</ns0:v>
      </ns0:c>
      <ns0:c r="K359" s="16">
        <ns0:f>A359*('前提と出典'!$C$36*'契約別単価'!K5+'前提と出典'!$C$37*'契約別単価'!K6+'前提と出典'!$C$38*'契約別単価'!K7)</ns0:f>
        <ns0:v>149562.7560521415</ns0:v>
      </ns0:c>
      <ns0:c r="L359" s="16">
        <ns0:f>A359*('前提と出典'!$C$36*'契約別単価'!L5+'前提と出典'!$C$37*'契約別単価'!L6+'前提と出典'!$C$38*'契約別単価'!L7)</ns0:f>
        <ns0:v>121774.51755986636</ns0:v>
      </ns0:c>
      <ns0:c r="M359" s="16">
        <ns0:f>IF(('前提と出典'!$C$36+'前提と出典'!$C$38)=0,0,IF(B359&lt;=10,'前提と出典'!B73+'前提と出典'!C73,IF(B359&lt;=100,'前提と出典'!B74+'前提と出典'!C74,IF(B359&lt;=500,'前提と出典'!B75+'前提と出典'!C75,'前提と出典'!B76+'前提と出典'!C76))))</ns0:f>
        <ns0:v>40000</ns0:v>
      </ns0:c>
      <ns0:c r="N359" s="16">
        <ns0:f>IF(('前提と出典'!$C$37+'前提と出典'!$C$38)=0,0,IF(C359&lt;=10,'前提と出典'!D73+'前提と出典'!E73,IF(C359&lt;=100,'前提と出典'!D74+'前提と出典'!E74,IF(C359&lt;=500,'前提と出典'!D75+'前提と出典'!E75,'前提と出典'!D76+'前提と出典'!E76))))</ns0:f>
        <ns0:v>56510.9346263078</ns0:v>
      </ns0:c>
      <ns0:c r="O359" s="16">
        <ns0:f>IF('前提と出典'!$C$36+'前提と出典'!$C$38=0,0,'前提と出典'!$B$4*IF('前提と出典'!$B$20=0,MAX('前提と出典'!$B$6,D359*'前提と出典'!$B$5),'前提と出典'!$B$6+D359*'前提と出典'!$B$5))</ns0:f>
        <ns0:v>352509.05027932965</ns0:v>
      </ns0:c>
      <ns0:c r="P359" s="16">
        <ns0:f>(E359+G359)*(1-'前提と出典'!$B$7)-I359-K359-M359-O359</ns0:f>
        <ns0:v>786315.4066094457</ns0:v>
      </ns0:c>
      <ns0:c r="Q359" s="16">
        <ns0:f>(F359+H359)*(1-'前提と出典'!$B$7)-J359-L359-N359</ns0:f>
        <ns0:v>283109.1286923086</ns0:v>
      </ns0:c>
      <ns0:c r="R359" s="16">
        <ns0:f>P359-E359*'前提と出典'!$E$4</ns0:f>
        <ns0:v>580243.8006674488</ns0:v>
      </ns0:c>
      <ns0:c r="S359" s="16">
        <ns0:f>Q359-F359*'前提と出典'!$E$4</ns0:f>
        <ns0:v>202233.51010383206</ns0:v>
      </ns0:c>
      <ns0:c r="T359" s="7">
        <ns0:f>R359+S359</ns0:f>
        <ns0:v>782477.3107712809</ns0:v>
      </ns0:c>
      <ns0:c r="U359" s="16">
        <ns0:f>P359-E359*'前提と出典'!$E$5</ns0:f>
        <ns0:v>511553.26535344974</ns0:v>
      </ns0:c>
      <ns0:c r="V359" s="16">
        <ns0:f>Q359-F359*'前提と出典'!$E$5</ns0:f>
        <ns0:v>175274.97057433985</ns0:v>
      </ns0:c>
      <ns0:c r="W359" s="7">
        <ns0:f>U359+V359</ns0:f>
        <ns0:v>686828.2359277896</ns0:v>
      </ns0:c>
      <ns0:c r="X359" s="16">
        <ns0:f>P359-E359*'前提と出典'!$E$6</ns0:f>
        <ns0:v>442862.7300394507</ns0:v>
      </ns0:c>
      <ns0:c r="Y359" s="16">
        <ns0:f>Q359-F359*'前提と出典'!$E$6</ns0:f>
        <ns0:v>148316.43104484765</ns0:v>
      </ns0:c>
      <ns0:c r="Z359" s="7">
        <ns0:f>X359+Y359</ns0:f>
        <ns0:v>591179.1610842983</ns0:v>
      </ns0:c>
      <ns0:c r="AA359" s="7">
        <ns0:f>IF(T359&gt;=0,A359,1001)</ns0:f>
        <ns0:v>355</ns0:v>
      </ns0:c>
      <ns0:c r="AB359" s="7">
        <ns0:f>IF(T359&lt;0,A359,0)</ns0:f>
        <ns0:v>0</ns0:v>
      </ns0:c>
      <ns0:c r="AC359" s="16">
        <ns0:f>IF(AND(OR('前提と出典'!$C$36+'前提と出典'!$C$38=0,R359&gt;=0),OR('前提と出典'!$C$37+'前提と出典'!$C$38=0,S359&gt;=0)),0,A359)</ns0:f>
        <ns0:v>0</ns0:v>
      </ns0:c>
      <ns0:c r="AD359" s="7">
        <ns0:f>IF(W359&gt;=0,A359,1001)</ns0:f>
        <ns0:v>355</ns0:v>
      </ns0:c>
      <ns0:c r="AE359" s="7">
        <ns0:f>IF(W359&lt;0,A359,0)</ns0:f>
        <ns0:v>0</ns0:v>
      </ns0:c>
      <ns0:c r="AF359" s="16">
        <ns0:f>IF(AND(OR('前提と出典'!$C$36+'前提と出典'!$C$38=0,U359&gt;=0),OR('前提と出典'!$C$37+'前提と出典'!$C$38=0,V359&gt;=0)),0,A359)</ns0:f>
        <ns0:v>0</ns0:v>
      </ns0:c>
      <ns0:c r="AG359" s="7">
        <ns0:f>IF(Z359&gt;=0,A359,1001)</ns0:f>
        <ns0:v>355</ns0:v>
      </ns0:c>
      <ns0:c r="AH359" s="4">
        <ns0:f>IF(Z359&lt;0,A359,0)</ns0:f>
        <ns0:v>0</ns0:v>
      </ns0:c>
      <ns0:c r="AI359" s="12">
        <ns0:f>IF(AND(OR('前提と出典'!$C$36+'前提と出典'!$C$38=0,X359&gt;=0),OR('前提と出典'!$C$37+'前提と出典'!$C$38=0,Y359&gt;=0)),0,A359)</ns0:f>
        <ns0:v>0</ns0:v>
      </ns0:c>
    </ns0:row>
    <ns0:row r="360" ht="24" customHeight="1">
      <ns0:c r="A360" s="4" t="n">
        <ns0:v>356</ns0:v>
      </ns0:c>
      <ns0:c r="B360" s="12">
        <ns0:f>A360*('前提と出典'!$C$36+'前提と出典'!$C$38)</ns0:f>
        <ns0:v>249.2</ns0:v>
      </ns0:c>
      <ns0:c r="C360" s="12">
        <ns0:f>A360*('前提と出典'!$C$37+'前提と出典'!$C$38)</ns0:f>
        <ns0:v>213.6</ns0:v>
      </ns0:c>
      <ns0:c r="D360" s="16">
        <ns0:f>A360*('前提と出典'!$C$36*'契約別単価'!C5+'前提と出典'!$C$37*'契約別単価'!C6+'前提と出典'!$C$38*'契約別単価'!C7)</ns0:f>
        <ns0:v>2561.608938547486</ns0:v>
      </ns0:c>
      <ns0:c r="E360" s="16">
        <ns0:f>A360*('前提と出典'!$C$36*'契約別単価'!E5+'前提と出典'!$C$37*'契約別単価'!E6+'前提と出典'!$C$38*'契約別単価'!E7)</ns0:f>
        <ns0:v>688840.2977967223</ns0:v>
      </ns0:c>
      <ns0:c r="F360" s="16">
        <ns0:f>A360*('前提と出典'!$C$36*'契約別単価'!F5+'前提と出典'!$C$37*'契約別単価'!F6+'前提と出典'!$C$38*'契約別単価'!F7)</ns0:f>
        <ns0:v>270344.79077462596</ns0:v>
      </ns0:c>
      <ns0:c r="G360" s="16">
        <ns0:f>A360*('前提と出典'!$C$36*'契約別単価'!G5+'前提と出典'!$C$37*'契約別単価'!G6+'前提と出典'!$C$38*'契約別単価'!G7)</ns0:f>
        <ns0:v>708618.9944134078</ns0:v>
      </ns0:c>
      <ns0:c r="H360" s="16">
        <ns0:f>A360*('前提と出典'!$C$36*'契約別単価'!H5+'前提と出典'!$C$37*'契約別単価'!H6+'前提と出典'!$C$38*'契約別単価'!H7)</ns0:f>
        <ns0:v>245926.33109682487</ns0:v>
      </ns0:c>
      <ns0:c r="I360" s="16">
        <ns0:f>A360*('前提と出典'!$C$36*'契約別単価'!I5+'前提と出典'!$C$37*'契約別単価'!I6+'前提と出典'!$C$38*'契約別単価'!I7)</ns0:f>
        <ns0:v>15021.608938547484</ns0:v>
      </ns0:c>
      <ns0:c r="J360" s="16">
        <ns0:f>A360*('前提と出典'!$C$36*'契約別単価'!J5+'前提と出典'!$C$37*'契約別単価'!J6+'前提と出典'!$C$38*'契約別単価'!J7)</ns0:f>
        <ns0:v>34991.077560867714</ns0:v>
      </ns0:c>
      <ns0:c r="K360" s="16">
        <ns0:f>A360*('前提と出典'!$C$36*'契約別単価'!K5+'前提と出典'!$C$37*'契約別単価'!K6+'前提と出典'!$C$38*'契約別単価'!K7)</ns0:f>
        <ns0:v>149984.05959031655</ns0:v>
      </ns0:c>
      <ns0:c r="L360" s="16">
        <ns0:f>A360*('前提と出典'!$C$36*'契約別単価'!L5+'前提と出典'!$C$37*'契約別単価'!L6+'前提と出典'!$C$38*'契約別単価'!L7)</ns0:f>
        <ns0:v>122117.54436989415</ns0:v>
      </ns0:c>
      <ns0:c r="M360" s="16">
        <ns0:f>IF(('前提と出典'!$C$36+'前提と出典'!$C$38)=0,0,IF(B360&lt;=10,'前提と出典'!B73+'前提と出典'!C73,IF(B360&lt;=100,'前提と出典'!B74+'前提と出典'!C74,IF(B360&lt;=500,'前提と出典'!B75+'前提と出典'!C75,'前提と出典'!B76+'前提と出典'!C76))))</ns0:f>
        <ns0:v>40000</ns0:v>
      </ns0:c>
      <ns0:c r="N360" s="16">
        <ns0:f>IF(('前提と出典'!$C$37+'前提と出典'!$C$38)=0,0,IF(C360&lt;=10,'前提と出典'!D73+'前提と出典'!E73,IF(C360&lt;=100,'前提と出典'!D74+'前提と出典'!E74,IF(C360&lt;=500,'前提と出典'!D75+'前提と出典'!E75,'前提と出典'!D76+'前提と出典'!E76))))</ns0:f>
        <ns0:v>56510.9346263078</ns0:v>
      </ns0:c>
      <ns0:c r="O360" s="16">
        <ns0:f>IF('前提と出典'!$C$36+'前提と出典'!$C$38=0,0,'前提と出典'!$B$4*IF('前提と出典'!$B$20=0,MAX('前提と出典'!$B$6,D360*'前提と出典'!$B$5),'前提と出典'!$B$6+D360*'前提と出典'!$B$5))</ns0:f>
        <ns0:v>353502.03351955314</ns0:v>
      </ns0:c>
      <ns0:c r="P360" s="16">
        <ns0:f>(E360+G360)*(1-'前提と出典'!$B$7)-I360-K360-M360-O360</ns0:f>
        <ns0:v>788643.0556421482</ns0:v>
      </ns0:c>
      <ns0:c r="Q360" s="16">
        <ns0:f>(F360+H360)*(1-'前提と出典'!$B$7)-J360-L360-N360</ns0:f>
        <ns0:v>284065.8049270089</ns0:v>
      </ns0:c>
      <ns0:c r="R360" s="16">
        <ns0:f>P360-E360*'前提と出典'!$E$4</ns0:f>
        <ns0:v>581990.9663031314</ns0:v>
      </ns0:c>
      <ns0:c r="S360" s="16">
        <ns0:f>Q360-F360*'前提と出典'!$E$4</ns0:f>
        <ns0:v>202962.36769462115</ns0:v>
      </ns0:c>
      <ns0:c r="T360" s="7">
        <ns0:f>R360+S360</ns0:f>
        <ns0:v>784953.3339977525</ns0:v>
      </ns0:c>
      <ns0:c r="U360" s="16">
        <ns0:f>P360-E360*'前提と出典'!$E$5</ns0:f>
        <ns0:v>513106.93652345927</ns0:v>
      </ns0:c>
      <ns0:c r="V360" s="16">
        <ns0:f>Q360-F360*'前提と出典'!$E$5</ns0:f>
        <ns0:v>175927.88861715852</ns0:v>
      </ns0:c>
      <ns0:c r="W360" s="7">
        <ns0:f>U360+V360</ns0:f>
        <ns0:v>689034.8251406178</ns0:v>
      </ns0:c>
      <ns0:c r="X360" s="16">
        <ns0:f>P360-E360*'前提と出典'!$E$6</ns0:f>
        <ns0:v>444222.9067437869</ns0:v>
      </ns0:c>
      <ns0:c r="Y360" s="16">
        <ns0:f>Q360-F360*'前提と出典'!$E$6</ns0:f>
        <ns0:v>148893.40953969595</ns0:v>
      </ns0:c>
      <ns0:c r="Z360" s="7">
        <ns0:f>X360+Y360</ns0:f>
        <ns0:v>593116.3162834828</ns0:v>
      </ns0:c>
      <ns0:c r="AA360" s="7">
        <ns0:f>IF(T360&gt;=0,A360,1001)</ns0:f>
        <ns0:v>356</ns0:v>
      </ns0:c>
      <ns0:c r="AB360" s="7">
        <ns0:f>IF(T360&lt;0,A360,0)</ns0:f>
        <ns0:v>0</ns0:v>
      </ns0:c>
      <ns0:c r="AC360" s="16">
        <ns0:f>IF(AND(OR('前提と出典'!$C$36+'前提と出典'!$C$38=0,R360&gt;=0),OR('前提と出典'!$C$37+'前提と出典'!$C$38=0,S360&gt;=0)),0,A360)</ns0:f>
        <ns0:v>0</ns0:v>
      </ns0:c>
      <ns0:c r="AD360" s="7">
        <ns0:f>IF(W360&gt;=0,A360,1001)</ns0:f>
        <ns0:v>356</ns0:v>
      </ns0:c>
      <ns0:c r="AE360" s="7">
        <ns0:f>IF(W360&lt;0,A360,0)</ns0:f>
        <ns0:v>0</ns0:v>
      </ns0:c>
      <ns0:c r="AF360" s="16">
        <ns0:f>IF(AND(OR('前提と出典'!$C$36+'前提と出典'!$C$38=0,U360&gt;=0),OR('前提と出典'!$C$37+'前提と出典'!$C$38=0,V360&gt;=0)),0,A360)</ns0:f>
        <ns0:v>0</ns0:v>
      </ns0:c>
      <ns0:c r="AG360" s="7">
        <ns0:f>IF(Z360&gt;=0,A360,1001)</ns0:f>
        <ns0:v>356</ns0:v>
      </ns0:c>
      <ns0:c r="AH360" s="4">
        <ns0:f>IF(Z360&lt;0,A360,0)</ns0:f>
        <ns0:v>0</ns0:v>
      </ns0:c>
      <ns0:c r="AI360" s="12">
        <ns0:f>IF(AND(OR('前提と出典'!$C$36+'前提と出典'!$C$38=0,X360&gt;=0),OR('前提と出典'!$C$37+'前提と出典'!$C$38=0,Y360&gt;=0)),0,A360)</ns0:f>
        <ns0:v>0</ns0:v>
      </ns0:c>
    </ns0:row>
    <ns0:row r="361" ht="24" customHeight="1">
      <ns0:c r="A361" s="4" t="n">
        <ns0:v>357</ns0:v>
      </ns0:c>
      <ns0:c r="B361" s="12">
        <ns0:f>A361*('前提と出典'!$C$36+'前提と出典'!$C$38)</ns0:f>
        <ns0:v>249.89999999999998</ns0:v>
      </ns0:c>
      <ns0:c r="C361" s="12">
        <ns0:f>A361*('前提と出典'!$C$37+'前提と出典'!$C$38)</ns0:f>
        <ns0:v>214.2</ns0:v>
      </ns0:c>
      <ns0:c r="D361" s="16">
        <ns0:f>A361*('前提と出典'!$C$36*'契約別単価'!C5+'前提と出典'!$C$37*'契約別単価'!C6+'前提と出典'!$C$38*'契約別単価'!C7)</ns0:f>
        <ns0:v>2568.804469273743</ns0:v>
      </ns0:c>
      <ns0:c r="E361" s="16">
        <ns0:f>A361*('前提と出典'!$C$36*'契約別単価'!E5+'前提と出典'!$C$37*'契約別単価'!E6+'前提と出典'!$C$38*'契約別単価'!E7)</ns0:f>
        <ns0:v>690775.2424534546</ns0:v>
      </ns0:c>
      <ns0:c r="F361" s="16">
        <ns0:f>A361*('前提と出典'!$C$36*'契約別単価'!F5+'前提と出典'!$C$37*'契約別単価'!F6+'前提と出典'!$C$38*'契約別単価'!F7)</ns0:f>
        <ns0:v>271104.18625433</ns0:v>
      </ns0:c>
      <ns0:c r="G361" s="16">
        <ns0:f>A361*('前提と出典'!$C$36*'契約別単価'!G5+'前提と出典'!$C$37*'契約別単価'!G6+'前提と出典'!$C$38*'契約別単価'!G7)</ns0:f>
        <ns0:v>710609.4972067039</ns0:v>
      </ns0:c>
      <ns0:c r="H361" s="16">
        <ns0:f>A361*('前提と出典'!$C$36*'契約別単価'!H5+'前提と出典'!$C$37*'契約別単価'!H6+'前提と出典'!$C$38*'契約別単価'!H7)</ns0:f>
        <ns0:v>246617.13539765863</ns0:v>
      </ns0:c>
      <ns0:c r="I361" s="16">
        <ns0:f>A361*('前提と出典'!$C$36*'契約別単価'!I5+'前提と出典'!$C$37*'契約別単価'!I6+'前提と出典'!$C$38*'契約別単価'!I7)</ns0:f>
        <ns0:v>15063.80446927374</ns0:v>
      </ns0:c>
      <ns0:c r="J361" s="16">
        <ns0:f>A361*('前提と出典'!$C$36*'契約別単価'!J5+'前提と出典'!$C$37*'契約別単価'!J6+'前提と出典'!$C$38*'契約別単価'!J7)</ns0:f>
        <ns0:v>35089.367104578014</ns0:v>
      </ns0:c>
      <ns0:c r="K361" s="16">
        <ns0:f>A361*('前提と出典'!$C$36*'契約別単価'!K5+'前提と出典'!$C$37*'契約別単価'!K6+'前提と出典'!$C$38*'契約別単価'!K7)</ns0:f>
        <ns0:v>150405.36312849162</ns0:v>
      </ns0:c>
      <ns0:c r="L361" s="16">
        <ns0:f>A361*('前提と出典'!$C$36*'契約別単価'!L5+'前提と出典'!$C$37*'契約別単価'!L6+'前提と出典'!$C$38*'契約別単価'!L7)</ns0:f>
        <ns0:v>122460.57117992196</ns0:v>
      </ns0:c>
      <ns0:c r="M361" s="16">
        <ns0:f>IF(('前提と出典'!$C$36+'前提と出典'!$C$38)=0,0,IF(B361&lt;=10,'前提と出典'!B73+'前提と出典'!C73,IF(B361&lt;=100,'前提と出典'!B74+'前提と出典'!C74,IF(B361&lt;=500,'前提と出典'!B75+'前提と出典'!C75,'前提と出典'!B76+'前提と出典'!C76))))</ns0:f>
        <ns0:v>40000</ns0:v>
      </ns0:c>
      <ns0:c r="N361" s="16">
        <ns0:f>IF(('前提と出典'!$C$37+'前提と出典'!$C$38)=0,0,IF(C361&lt;=10,'前提と出典'!D73+'前提と出典'!E73,IF(C361&lt;=100,'前提と出典'!D74+'前提と出典'!E74,IF(C361&lt;=500,'前提と出典'!D75+'前提と出典'!E75,'前提と出典'!D76+'前提と出典'!E76))))</ns0:f>
        <ns0:v>56510.9346263078</ns0:v>
      </ns0:c>
      <ns0:c r="O361" s="16">
        <ns0:f>IF('前提と出典'!$C$36+'前提と出典'!$C$38=0,0,'前提と出典'!$B$4*IF('前提と出典'!$B$20=0,MAX('前提と出典'!$B$6,D361*'前提と出典'!$B$5),'前提と出典'!$B$6+D361*'前提と出典'!$B$5))</ns0:f>
        <ns0:v>354495.0167597765</ns0:v>
      </ns0:c>
      <ns0:c r="P361" s="16">
        <ns0:f>(E361+G361)*(1-'前提と出典'!$B$7)-I361-K361-M361-O361</ns0:f>
        <ns0:v>790970.704674851</ns0:v>
      </ns0:c>
      <ns0:c r="Q361" s="16">
        <ns0:f>(F361+H361)*(1-'前提と出典'!$B$7)-J361-L361-N361</ns0:f>
        <ns0:v>285022.48116170923</ns0:v>
      </ns0:c>
      <ns0:c r="R361" s="16">
        <ns0:f>P361-E361*'前提と出典'!$E$4</ns0:f>
        <ns0:v>583738.1319388147</ns0:v>
      </ns0:c>
      <ns0:c r="S361" s="16">
        <ns0:f>Q361-F361*'前提と出典'!$E$4</ns0:f>
        <ns0:v>203691.22528541024</ns0:v>
      </ns0:c>
      <ns0:c r="T361" s="7">
        <ns0:f>R361+S361</ns0:f>
        <ns0:v>787429.3572242248</ns0:v>
      </ns0:c>
      <ns0:c r="U361" s="16">
        <ns0:f>P361-E361*'前提と出典'!$E$5</ns0:f>
        <ns0:v>514660.60769346915</ns0:v>
      </ns0:c>
      <ns0:c r="V361" s="16">
        <ns0:f>Q361-F361*'前提と出典'!$E$5</ns0:f>
        <ns0:v>176580.80665997724</ns0:v>
      </ns0:c>
      <ns0:c r="W361" s="7">
        <ns0:f>U361+V361</ns0:f>
        <ns0:v>691241.4143534463</ns0:v>
      </ns0:c>
      <ns0:c r="X361" s="16">
        <ns0:f>P361-E361*'前提と出典'!$E$6</ns0:f>
        <ns0:v>445583.08344812365</ns0:v>
      </ns0:c>
      <ns0:c r="Y361" s="16">
        <ns0:f>Q361-F361*'前提と出典'!$E$6</ns0:f>
        <ns0:v>149470.38803454424</ns0:v>
      </ns0:c>
      <ns0:c r="Z361" s="7">
        <ns0:f>X361+Y361</ns0:f>
        <ns0:v>595053.4714826678</ns0:v>
      </ns0:c>
      <ns0:c r="AA361" s="7">
        <ns0:f>IF(T361&gt;=0,A361,1001)</ns0:f>
        <ns0:v>357</ns0:v>
      </ns0:c>
      <ns0:c r="AB361" s="7">
        <ns0:f>IF(T361&lt;0,A361,0)</ns0:f>
        <ns0:v>0</ns0:v>
      </ns0:c>
      <ns0:c r="AC361" s="16">
        <ns0:f>IF(AND(OR('前提と出典'!$C$36+'前提と出典'!$C$38=0,R361&gt;=0),OR('前提と出典'!$C$37+'前提と出典'!$C$38=0,S361&gt;=0)),0,A361)</ns0:f>
        <ns0:v>0</ns0:v>
      </ns0:c>
      <ns0:c r="AD361" s="7">
        <ns0:f>IF(W361&gt;=0,A361,1001)</ns0:f>
        <ns0:v>357</ns0:v>
      </ns0:c>
      <ns0:c r="AE361" s="7">
        <ns0:f>IF(W361&lt;0,A361,0)</ns0:f>
        <ns0:v>0</ns0:v>
      </ns0:c>
      <ns0:c r="AF361" s="16">
        <ns0:f>IF(AND(OR('前提と出典'!$C$36+'前提と出典'!$C$38=0,U361&gt;=0),OR('前提と出典'!$C$37+'前提と出典'!$C$38=0,V361&gt;=0)),0,A361)</ns0:f>
        <ns0:v>0</ns0:v>
      </ns0:c>
      <ns0:c r="AG361" s="7">
        <ns0:f>IF(Z361&gt;=0,A361,1001)</ns0:f>
        <ns0:v>357</ns0:v>
      </ns0:c>
      <ns0:c r="AH361" s="4">
        <ns0:f>IF(Z361&lt;0,A361,0)</ns0:f>
        <ns0:v>0</ns0:v>
      </ns0:c>
      <ns0:c r="AI361" s="12">
        <ns0:f>IF(AND(OR('前提と出典'!$C$36+'前提と出典'!$C$38=0,X361&gt;=0),OR('前提と出典'!$C$37+'前提と出典'!$C$38=0,Y361&gt;=0)),0,A361)</ns0:f>
        <ns0:v>0</ns0:v>
      </ns0:c>
    </ns0:row>
    <ns0:row r="362" ht="24" customHeight="1">
      <ns0:c r="A362" s="4" t="n">
        <ns0:v>358</ns0:v>
      </ns0:c>
      <ns0:c r="B362" s="12">
        <ns0:f>A362*('前提と出典'!$C$36+'前提と出典'!$C$38)</ns0:f>
        <ns0:v>250.6</ns0:v>
      </ns0:c>
      <ns0:c r="C362" s="12">
        <ns0:f>A362*('前提と出典'!$C$37+'前提と出典'!$C$38)</ns0:f>
        <ns0:v>214.79999999999998</ns0:v>
      </ns0:c>
      <ns0:c r="D362" s="16">
        <ns0:f>A362*('前提と出典'!$C$36*'契約別単価'!C5+'前提と出典'!$C$37*'契約別単価'!C6+'前提と出典'!$C$38*'契約別単価'!C7)</ns0:f>
        <ns0:v>2576</ns0:v>
      </ns0:c>
      <ns0:c r="E362" s="16">
        <ns0:f>A362*('前提と出典'!$C$36*'契約別単価'!E5+'前提と出典'!$C$37*'契約別単価'!E6+'前提と出典'!$C$38*'契約別単価'!E7)</ns0:f>
        <ns0:v>692710.187110187</ns0:v>
      </ns0:c>
      <ns0:c r="F362" s="16">
        <ns0:f>A362*('前提と出典'!$C$36*'契約別単価'!F5+'前提と出典'!$C$37*'契約別単価'!F6+'前提と出典'!$C$38*'契約別単価'!F7)</ns0:f>
        <ns0:v>271863.581734034</ns0:v>
      </ns0:c>
      <ns0:c r="G362" s="16">
        <ns0:f>A362*('前提と出典'!$C$36*'契約別単価'!G5+'前提と出典'!$C$37*'契約別単価'!G6+'前提と出典'!$C$38*'契約別単価'!G7)</ns0:f>
        <ns0:v>712600</ns0:v>
      </ns0:c>
      <ns0:c r="H362" s="16">
        <ns0:f>A362*('前提と出典'!$C$36*'契約別単価'!H5+'前提と出典'!$C$37*'契約別単価'!H6+'前提と出典'!$C$38*'契約別単価'!H7)</ns0:f>
        <ns0:v>247307.9396984924</ns0:v>
      </ns0:c>
      <ns0:c r="I362" s="16">
        <ns0:f>A362*('前提と出典'!$C$36*'契約別単価'!I5+'前提と出典'!$C$37*'契約別単価'!I6+'前提と出典'!$C$38*'契約別単価'!I7)</ns0:f>
        <ns0:v>15105.999999999998</ns0:v>
      </ns0:c>
      <ns0:c r="J362" s="16">
        <ns0:f>A362*('前提と出典'!$C$36*'契約別単価'!J5+'前提と出典'!$C$37*'契約別単価'!J6+'前提と出典'!$C$38*'契約別単価'!J7)</ns0:f>
        <ns0:v>35187.65664828832</ns0:v>
      </ns0:c>
      <ns0:c r="K362" s="16">
        <ns0:f>A362*('前提と出典'!$C$36*'契約別単価'!K5+'前提と出典'!$C$37*'契約別単価'!K6+'前提と出典'!$C$38*'契約別単価'!K7)</ns0:f>
        <ns0:v>150826.66666666666</ns0:v>
      </ns0:c>
      <ns0:c r="L362" s="16">
        <ns0:f>A362*('前提と出典'!$C$36*'契約別単価'!L5+'前提と出典'!$C$37*'契約別単価'!L6+'前提と出典'!$C$38*'契約別単価'!L7)</ns0:f>
        <ns0:v>122803.59798994975</ns0:v>
      </ns0:c>
      <ns0:c r="M362" s="16">
        <ns0:f>IF(('前提と出典'!$C$36+'前提と出典'!$C$38)=0,0,IF(B362&lt;=10,'前提と出典'!B73+'前提と出典'!C73,IF(B362&lt;=100,'前提と出典'!B74+'前提と出典'!C74,IF(B362&lt;=500,'前提と出典'!B75+'前提と出典'!C75,'前提と出典'!B76+'前提と出典'!C76))))</ns0:f>
        <ns0:v>40000</ns0:v>
      </ns0:c>
      <ns0:c r="N362" s="16">
        <ns0:f>IF(('前提と出典'!$C$37+'前提と出典'!$C$38)=0,0,IF(C362&lt;=10,'前提と出典'!D73+'前提と出典'!E73,IF(C362&lt;=100,'前提と出典'!D74+'前提と出典'!E74,IF(C362&lt;=500,'前提と出典'!D75+'前提と出典'!E75,'前提と出典'!D76+'前提と出典'!E76))))</ns0:f>
        <ns0:v>56510.9346263078</ns0:v>
      </ns0:c>
      <ns0:c r="O362" s="16">
        <ns0:f>IF('前提と出典'!$C$36+'前提と出典'!$C$38=0,0,'前提と出典'!$B$4*IF('前提と出典'!$B$20=0,MAX('前提と出典'!$B$6,D362*'前提と出典'!$B$5),'前提と出典'!$B$6+D362*'前提と出典'!$B$5))</ns0:f>
        <ns0:v>355488</ns0:v>
      </ns0:c>
      <ns0:c r="P362" s="16">
        <ns0:f>(E362+G362)*(1-'前提と出典'!$B$7)-I362-K362-M362-O362</ns0:f>
        <ns0:v>793298.3537075536</ns0:v>
      </ns0:c>
      <ns0:c r="Q362" s="16">
        <ns0:f>(F362+H362)*(1-'前提と出典'!$B$7)-J362-L362-N362</ns0:f>
        <ns0:v>285979.15739640966</ns0:v>
      </ns0:c>
      <ns0:c r="R362" s="16">
        <ns0:f>P362-E362*'前提と出典'!$E$4</ns0:f>
        <ns0:v>585485.2975744976</ns0:v>
      </ns0:c>
      <ns0:c r="S362" s="16">
        <ns0:f>Q362-F362*'前提と出典'!$E$4</ns0:f>
        <ns0:v>204420.0828761994</ns0:v>
      </ns0:c>
      <ns0:c r="T362" s="7">
        <ns0:f>R362+S362</ns0:f>
        <ns0:v>789905.380450697</ns0:v>
      </ns0:c>
      <ns0:c r="U362" s="16">
        <ns0:f>P362-E362*'前提と出典'!$E$5</ns0:f>
        <ns0:v>516214.2788634788</ns0:v>
      </ns0:c>
      <ns0:c r="V362" s="16">
        <ns0:f>Q362-F362*'前提と出典'!$E$5</ns0:f>
        <ns0:v>177233.72470279603</ns0:v>
      </ns0:c>
      <ns0:c r="W362" s="7">
        <ns0:f>U362+V362</ns0:f>
        <ns0:v>693448.0035662749</ns0:v>
      </ns0:c>
      <ns0:c r="X362" s="16">
        <ns0:f>P362-E362*'前提と出典'!$E$6</ns0:f>
        <ns0:v>446943.2601524602</ns0:v>
      </ns0:c>
      <ns0:c r="Y362" s="16">
        <ns0:f>Q362-F362*'前提と出典'!$E$6</ns0:f>
        <ns0:v>150047.3665293926</ns0:v>
      </ns0:c>
      <ns0:c r="Z362" s="7">
        <ns0:f>X362+Y362</ns0:f>
        <ns0:v>596990.6266818529</ns0:v>
      </ns0:c>
      <ns0:c r="AA362" s="7">
        <ns0:f>IF(T362&gt;=0,A362,1001)</ns0:f>
        <ns0:v>358</ns0:v>
      </ns0:c>
      <ns0:c r="AB362" s="7">
        <ns0:f>IF(T362&lt;0,A362,0)</ns0:f>
        <ns0:v>0</ns0:v>
      </ns0:c>
      <ns0:c r="AC362" s="16">
        <ns0:f>IF(AND(OR('前提と出典'!$C$36+'前提と出典'!$C$38=0,R362&gt;=0),OR('前提と出典'!$C$37+'前提と出典'!$C$38=0,S362&gt;=0)),0,A362)</ns0:f>
        <ns0:v>0</ns0:v>
      </ns0:c>
      <ns0:c r="AD362" s="7">
        <ns0:f>IF(W362&gt;=0,A362,1001)</ns0:f>
        <ns0:v>358</ns0:v>
      </ns0:c>
      <ns0:c r="AE362" s="7">
        <ns0:f>IF(W362&lt;0,A362,0)</ns0:f>
        <ns0:v>0</ns0:v>
      </ns0:c>
      <ns0:c r="AF362" s="16">
        <ns0:f>IF(AND(OR('前提と出典'!$C$36+'前提と出典'!$C$38=0,U362&gt;=0),OR('前提と出典'!$C$37+'前提と出典'!$C$38=0,V362&gt;=0)),0,A362)</ns0:f>
        <ns0:v>0</ns0:v>
      </ns0:c>
      <ns0:c r="AG362" s="7">
        <ns0:f>IF(Z362&gt;=0,A362,1001)</ns0:f>
        <ns0:v>358</ns0:v>
      </ns0:c>
      <ns0:c r="AH362" s="4">
        <ns0:f>IF(Z362&lt;0,A362,0)</ns0:f>
        <ns0:v>0</ns0:v>
      </ns0:c>
      <ns0:c r="AI362" s="12">
        <ns0:f>IF(AND(OR('前提と出典'!$C$36+'前提と出典'!$C$38=0,X362&gt;=0),OR('前提と出典'!$C$37+'前提と出典'!$C$38=0,Y362&gt;=0)),0,A362)</ns0:f>
        <ns0:v>0</ns0:v>
      </ns0:c>
    </ns0:row>
    <ns0:row r="363" ht="24" customHeight="1">
      <ns0:c r="A363" s="4" t="n">
        <ns0:v>359</ns0:v>
      </ns0:c>
      <ns0:c r="B363" s="12">
        <ns0:f>A363*('前提と出典'!$C$36+'前提と出典'!$C$38)</ns0:f>
        <ns0:v>251.29999999999998</ns0:v>
      </ns0:c>
      <ns0:c r="C363" s="12">
        <ns0:f>A363*('前提と出典'!$C$37+'前提と出典'!$C$38)</ns0:f>
        <ns0:v>215.4</ns0:v>
      </ns0:c>
      <ns0:c r="D363" s="16">
        <ns0:f>A363*('前提と出典'!$C$36*'契約別単価'!C5+'前提と出典'!$C$37*'契約別単価'!C6+'前提と出典'!$C$38*'契約別単価'!C7)</ns0:f>
        <ns0:v>2583.195530726257</ns0:v>
      </ns0:c>
      <ns0:c r="E363" s="16">
        <ns0:f>A363*('前提と出典'!$C$36*'契約別単価'!E5+'前提と出典'!$C$37*'契約別単価'!E6+'前提と出典'!$C$38*'契約別単価'!E7)</ns0:f>
        <ns0:v>694645.1317669194</ns0:v>
      </ns0:c>
      <ns0:c r="F363" s="16">
        <ns0:f>A363*('前提と出典'!$C$36*'契約別単価'!F5+'前提と出典'!$C$37*'契約別単価'!F6+'前提と出典'!$C$38*'契約別単価'!F7)</ns0:f>
        <ns0:v>272622.97721373796</ns0:v>
      </ns0:c>
      <ns0:c r="G363" s="16">
        <ns0:f>A363*('前提と出典'!$C$36*'契約別単価'!G5+'前提と出典'!$C$37*'契約別単価'!G6+'前提と出典'!$C$38*'契約別単価'!G7)</ns0:f>
        <ns0:v>714590.502793296</ns0:v>
      </ns0:c>
      <ns0:c r="H363" s="16">
        <ns0:f>A363*('前提と出典'!$C$36*'契約別単価'!H5+'前提と出典'!$C$37*'契約別単価'!H6+'前提と出典'!$C$38*'契約別単価'!H7)</ns0:f>
        <ns0:v>247998.7439993262</ns0:v>
      </ns0:c>
      <ns0:c r="I363" s="16">
        <ns0:f>A363*('前提と出典'!$C$36*'契約別単価'!I5+'前提と出典'!$C$37*'契約別単価'!I6+'前提と出典'!$C$38*'契約別単価'!I7)</ns0:f>
        <ns0:v>15148.195530726254</ns0:v>
      </ns0:c>
      <ns0:c r="J363" s="16">
        <ns0:f>A363*('前提と出典'!$C$36*'契約別単価'!J5+'前提と出典'!$C$37*'契約別単価'!J6+'前提と出典'!$C$38*'契約別単価'!J7)</ns0:f>
        <ns0:v>35285.94619199862</ns0:v>
      </ns0:c>
      <ns0:c r="K363" s="16">
        <ns0:f>A363*('前提と出典'!$C$36*'契約別単価'!K5+'前提と出典'!$C$37*'契約別単価'!K6+'前提と出典'!$C$38*'契約別単価'!K7)</ns0:f>
        <ns0:v>151247.9702048417</ns0:v>
      </ns0:c>
      <ns0:c r="L363" s="16">
        <ns0:f>A363*('前提と出典'!$C$36*'契約別単価'!L5+'前提と出典'!$C$37*'契約別単価'!L6+'前提と出典'!$C$38*'契約別単価'!L7)</ns0:f>
        <ns0:v>123146.62479997754</ns0:v>
      </ns0:c>
      <ns0:c r="M363" s="16">
        <ns0:f>IF(('前提と出典'!$C$36+'前提と出典'!$C$38)=0,0,IF(B363&lt;=10,'前提と出典'!B73+'前提と出典'!C73,IF(B363&lt;=100,'前提と出典'!B74+'前提と出典'!C74,IF(B363&lt;=500,'前提と出典'!B75+'前提と出典'!C75,'前提と出典'!B76+'前提と出典'!C76))))</ns0:f>
        <ns0:v>40000</ns0:v>
      </ns0:c>
      <ns0:c r="N363" s="16">
        <ns0:f>IF(('前提と出典'!$C$37+'前提と出典'!$C$38)=0,0,IF(C363&lt;=10,'前提と出典'!D73+'前提と出典'!E73,IF(C363&lt;=100,'前提と出典'!D74+'前提と出典'!E74,IF(C363&lt;=500,'前提と出典'!D75+'前提と出典'!E75,'前提と出典'!D76+'前提と出典'!E76))))</ns0:f>
        <ns0:v>56510.9346263078</ns0:v>
      </ns0:c>
      <ns0:c r="O363" s="16">
        <ns0:f>IF('前提と出典'!$C$36+'前提と出典'!$C$38=0,0,'前提と出典'!$B$4*IF('前提と出典'!$B$20=0,MAX('前提と出典'!$B$6,D363*'前提と出典'!$B$5),'前提と出典'!$B$6+D363*'前提と出典'!$B$5))</ns0:f>
        <ns0:v>356480.9832402235</ns0:v>
      </ns0:c>
      <ns0:c r="P363" s="16">
        <ns0:f>(E363+G363)*(1-'前提と出典'!$B$7)-I363-K363-M363-O363</ns0:f>
        <ns0:v>795626.0027402558</ns0:v>
      </ns0:c>
      <ns0:c r="Q363" s="16">
        <ns0:f>(F363+H363)*(1-'前提と出典'!$B$7)-J363-L363-N363</ns0:f>
        <ns0:v>286935.8336311099</ns0:v>
      </ns0:c>
      <ns0:c r="R363" s="16">
        <ns0:f>P363-E363*'前提と出典'!$E$4</ns0:f>
        <ns0:v>587232.46321018</ns0:v>
      </ns0:c>
      <ns0:c r="S363" s="16">
        <ns0:f>Q363-F363*'前提と出典'!$E$4</ns0:f>
        <ns0:v>205148.94046698854</ns0:v>
      </ns0:c>
      <ns0:c r="T363" s="7">
        <ns0:f>R363+S363</ns0:f>
        <ns0:v>792381.4036771685</ns0:v>
      </ns0:c>
      <ns0:c r="U363" s="16">
        <ns0:f>P363-E363*'前提と出典'!$E$5</ns0:f>
        <ns0:v>517767.9500334881</ns0:v>
      </ns0:c>
      <ns0:c r="V363" s="16">
        <ns0:f>Q363-F363*'前提と出典'!$E$5</ns0:f>
        <ns0:v>177886.64274561475</ns0:v>
      </ns0:c>
      <ns0:c r="W363" s="7">
        <ns0:f>U363+V363</ns0:f>
        <ns0:v>695654.5927791029</ns0:v>
      </ns0:c>
      <ns0:c r="X363" s="16">
        <ns0:f>P363-E363*'前提と出典'!$E$6</ns0:f>
        <ns0:v>448303.4368567964</ns0:v>
      </ns0:c>
      <ns0:c r="Y363" s="16">
        <ns0:f>Q363-F363*'前提と出典'!$E$6</ns0:f>
        <ns0:v>150624.3450242409</ns0:v>
      </ns0:c>
      <ns0:c r="Z363" s="7">
        <ns0:f>X363+Y363</ns0:f>
        <ns0:v>598927.7818810373</ns0:v>
      </ns0:c>
      <ns0:c r="AA363" s="7">
        <ns0:f>IF(T363&gt;=0,A363,1001)</ns0:f>
        <ns0:v>359</ns0:v>
      </ns0:c>
      <ns0:c r="AB363" s="7">
        <ns0:f>IF(T363&lt;0,A363,0)</ns0:f>
        <ns0:v>0</ns0:v>
      </ns0:c>
      <ns0:c r="AC363" s="16">
        <ns0:f>IF(AND(OR('前提と出典'!$C$36+'前提と出典'!$C$38=0,R363&gt;=0),OR('前提と出典'!$C$37+'前提と出典'!$C$38=0,S363&gt;=0)),0,A363)</ns0:f>
        <ns0:v>0</ns0:v>
      </ns0:c>
      <ns0:c r="AD363" s="7">
        <ns0:f>IF(W363&gt;=0,A363,1001)</ns0:f>
        <ns0:v>359</ns0:v>
      </ns0:c>
      <ns0:c r="AE363" s="7">
        <ns0:f>IF(W363&lt;0,A363,0)</ns0:f>
        <ns0:v>0</ns0:v>
      </ns0:c>
      <ns0:c r="AF363" s="16">
        <ns0:f>IF(AND(OR('前提と出典'!$C$36+'前提と出典'!$C$38=0,U363&gt;=0),OR('前提と出典'!$C$37+'前提と出典'!$C$38=0,V363&gt;=0)),0,A363)</ns0:f>
        <ns0:v>0</ns0:v>
      </ns0:c>
      <ns0:c r="AG363" s="7">
        <ns0:f>IF(Z363&gt;=0,A363,1001)</ns0:f>
        <ns0:v>359</ns0:v>
      </ns0:c>
      <ns0:c r="AH363" s="4">
        <ns0:f>IF(Z363&lt;0,A363,0)</ns0:f>
        <ns0:v>0</ns0:v>
      </ns0:c>
      <ns0:c r="AI363" s="12">
        <ns0:f>IF(AND(OR('前提と出典'!$C$36+'前提と出典'!$C$38=0,X363&gt;=0),OR('前提と出典'!$C$37+'前提と出典'!$C$38=0,Y363&gt;=0)),0,A363)</ns0:f>
        <ns0:v>0</ns0:v>
      </ns0:c>
    </ns0:row>
    <ns0:row r="364" ht="24" customHeight="1">
      <ns0:c r="A364" s="4" t="n">
        <ns0:v>360</ns0:v>
      </ns0:c>
      <ns0:c r="B364" s="12">
        <ns0:f>A364*('前提と出典'!$C$36+'前提と出典'!$C$38)</ns0:f>
        <ns0:v>251.99999999999997</ns0:v>
      </ns0:c>
      <ns0:c r="C364" s="12">
        <ns0:f>A364*('前提と出典'!$C$37+'前提と出典'!$C$38)</ns0:f>
        <ns0:v>216</ns0:v>
      </ns0:c>
      <ns0:c r="D364" s="16">
        <ns0:f>A364*('前提と出典'!$C$36*'契約別単価'!C5+'前提と出典'!$C$37*'契約別単価'!C6+'前提と出典'!$C$38*'契約別単価'!C7)</ns0:f>
        <ns0:v>2590.391061452514</ns0:v>
      </ns0:c>
      <ns0:c r="E364" s="16">
        <ns0:f>A364*('前提と出典'!$C$36*'契約別単価'!E5+'前提と出典'!$C$37*'契約別単価'!E6+'前提と出典'!$C$38*'契約別単価'!E7)</ns0:f>
        <ns0:v>696580.0764236518</ns0:v>
      </ns0:c>
      <ns0:c r="F364" s="16">
        <ns0:f>A364*('前提と出典'!$C$36*'契約別単価'!F5+'前提と出典'!$C$37*'契約別単価'!F6+'前提と出典'!$C$38*'契約別単価'!F7)</ns0:f>
        <ns0:v>273382.372693442</ns0:v>
      </ns0:c>
      <ns0:c r="G364" s="16">
        <ns0:f>A364*('前提と出典'!$C$36*'契約別単価'!G5+'前提と出典'!$C$37*'契約別単価'!G6+'前提と出典'!$C$38*'契約別単価'!G7)</ns0:f>
        <ns0:v>716581.0055865921</ns0:v>
      </ns0:c>
      <ns0:c r="H364" s="16">
        <ns0:f>A364*('前提と出典'!$C$36*'契約別単価'!H5+'前提と出典'!$C$37*'契約別単価'!H6+'前提と出典'!$C$38*'契約別単価'!H7)</ns0:f>
        <ns0:v>248689.54830015998</ns0:v>
      </ns0:c>
      <ns0:c r="I364" s="16">
        <ns0:f>A364*('前提と出典'!$C$36*'契約別単価'!I5+'前提と出典'!$C$37*'契約別単価'!I6+'前提と出典'!$C$38*'契約別単価'!I7)</ns0:f>
        <ns0:v>15190.391061452512</ns0:v>
      </ns0:c>
      <ns0:c r="J364" s="16">
        <ns0:f>A364*('前提と出典'!$C$36*'契約別単価'!J5+'前提と出典'!$C$37*'契約別単価'!J6+'前提と出典'!$C$38*'契約別単価'!J7)</ns0:f>
        <ns0:v>35384.23573570893</ns0:v>
      </ns0:c>
      <ns0:c r="K364" s="16">
        <ns0:f>A364*('前提と出典'!$C$36*'契約別単価'!K5+'前提と出典'!$C$37*'契約別単価'!K6+'前提と出典'!$C$38*'契約別単価'!K7)</ns0:f>
        <ns0:v>151669.27374301676</ns0:v>
      </ns0:c>
      <ns0:c r="L364" s="16">
        <ns0:f>A364*('前提と出典'!$C$36*'契約別単価'!L5+'前提と出典'!$C$37*'契約別単価'!L6+'前提と出典'!$C$38*'契約別単価'!L7)</ns0:f>
        <ns0:v>123489.65161000533</ns0:v>
      </ns0:c>
      <ns0:c r="M364" s="16">
        <ns0:f>IF(('前提と出典'!$C$36+'前提と出典'!$C$38)=0,0,IF(B364&lt;=10,'前提と出典'!B73+'前提と出典'!C73,IF(B364&lt;=100,'前提と出典'!B74+'前提と出典'!C74,IF(B364&lt;=500,'前提と出典'!B75+'前提と出典'!C75,'前提と出典'!B76+'前提と出典'!C76))))</ns0:f>
        <ns0:v>40000</ns0:v>
      </ns0:c>
      <ns0:c r="N364" s="16">
        <ns0:f>IF(('前提と出典'!$C$37+'前提と出典'!$C$38)=0,0,IF(C364&lt;=10,'前提と出典'!D73+'前提と出典'!E73,IF(C364&lt;=100,'前提と出典'!D74+'前提と出典'!E74,IF(C364&lt;=500,'前提と出典'!D75+'前提と出典'!E75,'前提と出典'!D76+'前提と出典'!E76))))</ns0:f>
        <ns0:v>56510.9346263078</ns0:v>
      </ns0:c>
      <ns0:c r="O364" s="16">
        <ns0:f>IF('前提と出典'!$C$36+'前提と出典'!$C$38=0,0,'前提と出典'!$B$4*IF('前提と出典'!$B$20=0,MAX('前提と出典'!$B$6,D364*'前提と出典'!$B$5),'前提と出典'!$B$6+D364*'前提と出典'!$B$5))</ns0:f>
        <ns0:v>357473.966480447</ns0:v>
      </ns0:c>
      <ns0:c r="P364" s="16">
        <ns0:f>(E364+G364)*(1-'前提と出典'!$B$7)-I364-K364-M364-O364</ns0:f>
        <ns0:v>797953.651772959</ns0:v>
      </ns0:c>
      <ns0:c r="Q364" s="16">
        <ns0:f>(F364+H364)*(1-'前提と出典'!$B$7)-J364-L364-N364</ns0:f>
        <ns0:v>287892.5098658103</ns0:v>
      </ns0:c>
      <ns0:c r="R364" s="16">
        <ns0:f>P364-E364*'前提と出典'!$E$4</ns0:f>
        <ns0:v>588979.6288458634</ns0:v>
      </ns0:c>
      <ns0:c r="S364" s="16">
        <ns0:f>Q364-F364*'前提と出典'!$E$4</ns0:f>
        <ns0:v>205877.7980577777</ns0:v>
      </ns0:c>
      <ns0:c r="T364" s="7">
        <ns0:f>R364+S364</ns0:f>
        <ns0:v>794857.4269036411</ns0:v>
      </ns0:c>
      <ns0:c r="U364" s="16">
        <ns0:f>P364-E364*'前提と出典'!$E$5</ns0:f>
        <ns0:v>519321.62120349833</ns0:v>
      </ns0:c>
      <ns0:c r="V364" s="16">
        <ns0:f>Q364-F364*'前提と出典'!$E$5</ns0:f>
        <ns0:v>178539.56078843345</ns0:v>
      </ns0:c>
      <ns0:c r="W364" s="7">
        <ns0:f>U364+V364</ns0:f>
        <ns0:v>697861.1819919317</ns0:v>
      </ns0:c>
      <ns0:c r="X364" s="16">
        <ns0:f>P364-E364*'前提と出典'!$E$6</ns0:f>
        <ns0:v>449663.61356113316</ns0:v>
      </ns0:c>
      <ns0:c r="Y364" s="16">
        <ns0:f>Q364-F364*'前提と出典'!$E$6</ns0:f>
        <ns0:v>151201.3235190893</ns0:v>
      </ns0:c>
      <ns0:c r="Z364" s="7">
        <ns0:f>X364+Y364</ns0:f>
        <ns0:v>600864.9370802224</ns0:v>
      </ns0:c>
      <ns0:c r="AA364" s="7">
        <ns0:f>IF(T364&gt;=0,A364,1001)</ns0:f>
        <ns0:v>360</ns0:v>
      </ns0:c>
      <ns0:c r="AB364" s="7">
        <ns0:f>IF(T364&lt;0,A364,0)</ns0:f>
        <ns0:v>0</ns0:v>
      </ns0:c>
      <ns0:c r="AC364" s="16">
        <ns0:f>IF(AND(OR('前提と出典'!$C$36+'前提と出典'!$C$38=0,R364&gt;=0),OR('前提と出典'!$C$37+'前提と出典'!$C$38=0,S364&gt;=0)),0,A364)</ns0:f>
        <ns0:v>0</ns0:v>
      </ns0:c>
      <ns0:c r="AD364" s="7">
        <ns0:f>IF(W364&gt;=0,A364,1001)</ns0:f>
        <ns0:v>360</ns0:v>
      </ns0:c>
      <ns0:c r="AE364" s="7">
        <ns0:f>IF(W364&lt;0,A364,0)</ns0:f>
        <ns0:v>0</ns0:v>
      </ns0:c>
      <ns0:c r="AF364" s="16">
        <ns0:f>IF(AND(OR('前提と出典'!$C$36+'前提と出典'!$C$38=0,U364&gt;=0),OR('前提と出典'!$C$37+'前提と出典'!$C$38=0,V364&gt;=0)),0,A364)</ns0:f>
        <ns0:v>0</ns0:v>
      </ns0:c>
      <ns0:c r="AG364" s="7">
        <ns0:f>IF(Z364&gt;=0,A364,1001)</ns0:f>
        <ns0:v>360</ns0:v>
      </ns0:c>
      <ns0:c r="AH364" s="4">
        <ns0:f>IF(Z364&lt;0,A364,0)</ns0:f>
        <ns0:v>0</ns0:v>
      </ns0:c>
      <ns0:c r="AI364" s="12">
        <ns0:f>IF(AND(OR('前提と出典'!$C$36+'前提と出典'!$C$38=0,X364&gt;=0),OR('前提と出典'!$C$37+'前提と出典'!$C$38=0,Y364&gt;=0)),0,A364)</ns0:f>
        <ns0:v>0</ns0:v>
      </ns0:c>
    </ns0:row>
    <ns0:row r="365" ht="24" customHeight="1">
      <ns0:c r="A365" s="4" t="n">
        <ns0:v>361</ns0:v>
      </ns0:c>
      <ns0:c r="B365" s="12">
        <ns0:f>A365*('前提と出典'!$C$36+'前提と出典'!$C$38)</ns0:f>
        <ns0:v>252.7</ns0:v>
      </ns0:c>
      <ns0:c r="C365" s="12">
        <ns0:f>A365*('前提と出典'!$C$37+'前提と出典'!$C$38)</ns0:f>
        <ns0:v>216.6</ns0:v>
      </ns0:c>
      <ns0:c r="D365" s="16">
        <ns0:f>A365*('前提と出典'!$C$36*'契約別単価'!C5+'前提と出典'!$C$37*'契約別単価'!C6+'前提と出典'!$C$38*'契約別単価'!C7)</ns0:f>
        <ns0:v>2597.586592178771</ns0:v>
      </ns0:c>
      <ns0:c r="E365" s="16">
        <ns0:f>A365*('前提と出典'!$C$36*'契約別単価'!E5+'前提と出典'!$C$37*'契約別単価'!E6+'前提と出典'!$C$38*'契約別単価'!E7)</ns0:f>
        <ns0:v>698515.0210803841</ns0:v>
      </ns0:c>
      <ns0:c r="F365" s="16">
        <ns0:f>A365*('前提と出典'!$C$36*'契約別単価'!F5+'前提と出典'!$C$37*'契約別単価'!F6+'前提と出典'!$C$38*'契約別単価'!F7)</ns0:f>
        <ns0:v>274141.768173146</ns0:v>
      </ns0:c>
      <ns0:c r="G365" s="16">
        <ns0:f>A365*('前提と出典'!$C$36*'契約別単価'!G5+'前提と出典'!$C$37*'契約別単価'!G6+'前提と出典'!$C$38*'契約別単価'!G7)</ns0:f>
        <ns0:v>718571.5083798883</ns0:v>
      </ns0:c>
      <ns0:c r="H365" s="16">
        <ns0:f>A365*('前提と出典'!$C$36*'契約別単価'!H5+'前提と出典'!$C$37*'契約別単価'!H6+'前提と出典'!$C$38*'契約別単価'!H7)</ns0:f>
        <ns0:v>249380.35260099373</ns0:v>
      </ns0:c>
      <ns0:c r="I365" s="16">
        <ns0:f>A365*('前提と出典'!$C$36*'契約別単価'!I5+'前提と出典'!$C$37*'契約別単価'!I6+'前提と出典'!$C$38*'契約別単価'!I7)</ns0:f>
        <ns0:v>15232.586592178768</ns0:v>
      </ns0:c>
      <ns0:c r="J365" s="16">
        <ns0:f>A365*('前提と出典'!$C$36*'契約別単価'!J5+'前提と出典'!$C$37*'契約別単価'!J6+'前提と出典'!$C$38*'契約別単価'!J7)</ns0:f>
        <ns0:v>35482.52527941923</ns0:v>
      </ns0:c>
      <ns0:c r="K365" s="16">
        <ns0:f>A365*('前提と出典'!$C$36*'契約別単価'!K5+'前提と出典'!$C$37*'契約別単価'!K6+'前提と出典'!$C$38*'契約別単価'!K7)</ns0:f>
        <ns0:v>152090.5772811918</ns0:v>
      </ns0:c>
      <ns0:c r="L365" s="16">
        <ns0:f>A365*('前提と出典'!$C$36*'契約別単価'!L5+'前提と出典'!$C$37*'契約別単価'!L6+'前提と出典'!$C$38*'契約別単価'!L7)</ns0:f>
        <ns0:v>123832.67842003312</ns0:v>
      </ns0:c>
      <ns0:c r="M365" s="16">
        <ns0:f>IF(('前提と出典'!$C$36+'前提と出典'!$C$38)=0,0,IF(B365&lt;=10,'前提と出典'!B73+'前提と出典'!C73,IF(B365&lt;=100,'前提と出典'!B74+'前提と出典'!C74,IF(B365&lt;=500,'前提と出典'!B75+'前提と出典'!C75,'前提と出典'!B76+'前提と出典'!C76))))</ns0:f>
        <ns0:v>40000</ns0:v>
      </ns0:c>
      <ns0:c r="N365" s="16">
        <ns0:f>IF(('前提と出典'!$C$37+'前提と出典'!$C$38)=0,0,IF(C365&lt;=10,'前提と出典'!D73+'前提と出典'!E73,IF(C365&lt;=100,'前提と出典'!D74+'前提と出典'!E74,IF(C365&lt;=500,'前提と出典'!D75+'前提と出典'!E75,'前提と出典'!D76+'前提と出典'!E76))))</ns0:f>
        <ns0:v>56510.9346263078</ns0:v>
      </ns0:c>
      <ns0:c r="O365" s="16">
        <ns0:f>IF('前提と出典'!$C$36+'前提と出典'!$C$38=0,0,'前提と出典'!$B$4*IF('前提と出典'!$B$20=0,MAX('前提と出典'!$B$6,D365*'前提と出典'!$B$5),'前提と出典'!$B$6+D365*'前提と出典'!$B$5))</ns0:f>
        <ns0:v>358466.94972067035</ns0:v>
      </ns0:c>
      <ns0:c r="P365" s="16">
        <ns0:f>(E365+G365)*(1-'前提と出典'!$B$7)-I365-K365-M365-O365</ns0:f>
        <ns0:v>800281.3008056616</ns0:v>
      </ns0:c>
      <ns0:c r="Q365" s="16">
        <ns0:f>(F365+H365)*(1-'前提と出典'!$B$7)-J365-L365-N365</ns0:f>
        <ns0:v>288849.1861005106</ns0:v>
      </ns0:c>
      <ns0:c r="R365" s="16">
        <ns0:f>P365-E365*'前提と出典'!$E$4</ns0:f>
        <ns0:v>590726.7944815464</ns0:v>
      </ns0:c>
      <ns0:c r="S365" s="16">
        <ns0:f>Q365-F365*'前提と出典'!$E$4</ns0:f>
        <ns0:v>206606.65564856678</ns0:v>
      </ns0:c>
      <ns0:c r="T365" s="7">
        <ns0:f>R365+S365</ns0:f>
        <ns0:v>797333.4501301132</ns0:v>
      </ns0:c>
      <ns0:c r="U365" s="16">
        <ns0:f>P365-E365*'前提と出典'!$E$5</ns0:f>
        <ns0:v>520875.292373508</ns0:v>
      </ns0:c>
      <ns0:c r="V365" s="16">
        <ns0:f>Q365-F365*'前提と出典'!$E$5</ns0:f>
        <ns0:v>179192.4788312522</ns0:v>
      </ns0:c>
      <ns0:c r="W365" s="7">
        <ns0:f>U365+V365</ns0:f>
        <ns0:v>700067.7712047602</ns0:v>
      </ns0:c>
      <ns0:c r="X365" s="16">
        <ns0:f>P365-E365*'前提と出典'!$E$6</ns0:f>
        <ns0:v>451023.79026546946</ns0:v>
      </ns0:c>
      <ns0:c r="Y365" s="16">
        <ns0:f>Q365-F365*'前提と出典'!$E$6</ns0:f>
        <ns0:v>151778.30201393756</ns0:v>
      </ns0:c>
      <ns0:c r="Z365" s="7">
        <ns0:f>X365+Y365</ns0:f>
        <ns0:v>602802.092279407</ns0:v>
      </ns0:c>
      <ns0:c r="AA365" s="7">
        <ns0:f>IF(T365&gt;=0,A365,1001)</ns0:f>
        <ns0:v>361</ns0:v>
      </ns0:c>
      <ns0:c r="AB365" s="7">
        <ns0:f>IF(T365&lt;0,A365,0)</ns0:f>
        <ns0:v>0</ns0:v>
      </ns0:c>
      <ns0:c r="AC365" s="16">
        <ns0:f>IF(AND(OR('前提と出典'!$C$36+'前提と出典'!$C$38=0,R365&gt;=0),OR('前提と出典'!$C$37+'前提と出典'!$C$38=0,S365&gt;=0)),0,A365)</ns0:f>
        <ns0:v>0</ns0:v>
      </ns0:c>
      <ns0:c r="AD365" s="7">
        <ns0:f>IF(W365&gt;=0,A365,1001)</ns0:f>
        <ns0:v>361</ns0:v>
      </ns0:c>
      <ns0:c r="AE365" s="7">
        <ns0:f>IF(W365&lt;0,A365,0)</ns0:f>
        <ns0:v>0</ns0:v>
      </ns0:c>
      <ns0:c r="AF365" s="16">
        <ns0:f>IF(AND(OR('前提と出典'!$C$36+'前提と出典'!$C$38=0,U365&gt;=0),OR('前提と出典'!$C$37+'前提と出典'!$C$38=0,V365&gt;=0)),0,A365)</ns0:f>
        <ns0:v>0</ns0:v>
      </ns0:c>
      <ns0:c r="AG365" s="7">
        <ns0:f>IF(Z365&gt;=0,A365,1001)</ns0:f>
        <ns0:v>361</ns0:v>
      </ns0:c>
      <ns0:c r="AH365" s="4">
        <ns0:f>IF(Z365&lt;0,A365,0)</ns0:f>
        <ns0:v>0</ns0:v>
      </ns0:c>
      <ns0:c r="AI365" s="12">
        <ns0:f>IF(AND(OR('前提と出典'!$C$36+'前提と出典'!$C$38=0,X365&gt;=0),OR('前提と出典'!$C$37+'前提と出典'!$C$38=0,Y365&gt;=0)),0,A365)</ns0:f>
        <ns0:v>0</ns0:v>
      </ns0:c>
    </ns0:row>
    <ns0:row r="366" ht="24" customHeight="1">
      <ns0:c r="A366" s="4" t="n">
        <ns0:v>362</ns0:v>
      </ns0:c>
      <ns0:c r="B366" s="12">
        <ns0:f>A366*('前提と出典'!$C$36+'前提と出典'!$C$38)</ns0:f>
        <ns0:v>253.39999999999998</ns0:v>
      </ns0:c>
      <ns0:c r="C366" s="12">
        <ns0:f>A366*('前提と出典'!$C$37+'前提と出典'!$C$38)</ns0:f>
        <ns0:v>217.2</ns0:v>
      </ns0:c>
      <ns0:c r="D366" s="16">
        <ns0:f>A366*('前提と出典'!$C$36*'契約別単価'!C5+'前提と出典'!$C$37*'契約別単価'!C6+'前提と出典'!$C$38*'契約別単価'!C7)</ns0:f>
        <ns0:v>2604.782122905028</ns0:v>
      </ns0:c>
      <ns0:c r="E366" s="16">
        <ns0:f>A366*('前提と出典'!$C$36*'契約別単価'!E5+'前提と出典'!$C$37*'契約別単価'!E6+'前提と出典'!$C$38*'契約別単価'!E7)</ns0:f>
        <ns0:v>700449.9657371165</ns0:v>
      </ns0:c>
      <ns0:c r="F366" s="16">
        <ns0:f>A366*('前提と出典'!$C$36*'契約別単価'!F5+'前提と出典'!$C$37*'契約別単価'!F6+'前提と出典'!$C$38*'契約別単価'!F7)</ns0:f>
        <ns0:v>274901.16365285</ns0:v>
      </ns0:c>
      <ns0:c r="G366" s="16">
        <ns0:f>A366*('前提と出典'!$C$36*'契約別単価'!G5+'前提と出典'!$C$37*'契約別単価'!G6+'前提と出典'!$C$38*'契約別単価'!G7)</ns0:f>
        <ns0:v>720562.0111731844</ns0:v>
      </ns0:c>
      <ns0:c r="H366" s="16">
        <ns0:f>A366*('前提と出典'!$C$36*'契約別単価'!H5+'前提と出典'!$C$37*'契約別単価'!H6+'前提と出典'!$C$38*'契約別単価'!H7)</ns0:f>
        <ns0:v>250071.15690182752</ns0:v>
      </ns0:c>
      <ns0:c r="I366" s="16">
        <ns0:f>A366*('前提と出典'!$C$36*'契約別単価'!I5+'前提と出典'!$C$37*'契約別単価'!I6+'前提と出典'!$C$38*'契約別単価'!I7)</ns0:f>
        <ns0:v>15274.782122905026</ns0:v>
      </ns0:c>
      <ns0:c r="J366" s="16">
        <ns0:f>A366*('前提と出典'!$C$36*'契約別単価'!J5+'前提と出典'!$C$37*'契約別単価'!J6+'前提と出典'!$C$38*'契約別単価'!J7)</ns0:f>
        <ns0:v>35580.81482312953</ns0:v>
      </ns0:c>
      <ns0:c r="K366" s="16">
        <ns0:f>A366*('前提と出典'!$C$36*'契約別単価'!K5+'前提と出典'!$C$37*'契約別単価'!K6+'前提と出典'!$C$38*'契約別単価'!K7)</ns0:f>
        <ns0:v>152511.88081936684</ns0:v>
      </ns0:c>
      <ns0:c r="L366" s="16">
        <ns0:f>A366*('前提と出典'!$C$36*'契約別単価'!L5+'前提と出典'!$C$37*'契約別単価'!L6+'前提と出典'!$C$38*'契約別単価'!L7)</ns0:f>
        <ns0:v>124175.7052300609</ns0:v>
      </ns0:c>
      <ns0:c r="M366" s="16">
        <ns0:f>IF(('前提と出典'!$C$36+'前提と出典'!$C$38)=0,0,IF(B366&lt;=10,'前提と出典'!B73+'前提と出典'!C73,IF(B366&lt;=100,'前提と出典'!B74+'前提と出典'!C74,IF(B366&lt;=500,'前提と出典'!B75+'前提と出典'!C75,'前提と出典'!B76+'前提と出典'!C76))))</ns0:f>
        <ns0:v>40000</ns0:v>
      </ns0:c>
      <ns0:c r="N366" s="16">
        <ns0:f>IF(('前提と出典'!$C$37+'前提と出典'!$C$38)=0,0,IF(C366&lt;=10,'前提と出典'!D73+'前提と出典'!E73,IF(C366&lt;=100,'前提と出典'!D74+'前提と出典'!E74,IF(C366&lt;=500,'前提と出典'!D75+'前提と出典'!E75,'前提と出典'!D76+'前提と出典'!E76))))</ns0:f>
        <ns0:v>56510.9346263078</ns0:v>
      </ns0:c>
      <ns0:c r="O366" s="16">
        <ns0:f>IF('前提と出典'!$C$36+'前提と出典'!$C$38=0,0,'前提と出典'!$B$4*IF('前提と出典'!$B$20=0,MAX('前提と出典'!$B$6,D366*'前提と出典'!$B$5),'前提と出典'!$B$6+D366*'前提と出典'!$B$5))</ns0:f>
        <ns0:v>359459.93296089384</ns0:v>
      </ns0:c>
      <ns0:c r="P366" s="16">
        <ns0:f>(E366+G366)*(1-'前提と出典'!$B$7)-I366-K366-M366-O366</ns0:f>
        <ns0:v>802608.9498383645</ns0:v>
      </ns0:c>
      <ns0:c r="Q366" s="16">
        <ns0:f>(F366+H366)*(1-'前提と出典'!$B$7)-J366-L366-N366</ns0:f>
        <ns0:v>289805.8623352109</ns0:v>
      </ns0:c>
      <ns0:c r="R366" s="16">
        <ns0:f>P366-E366*'前提と出典'!$E$4</ns0:f>
        <ns0:v>592473.9601172294</ns0:v>
      </ns0:c>
      <ns0:c r="S366" s="16">
        <ns0:f>Q366-F366*'前提と出典'!$E$4</ns0:f>
        <ns0:v>207335.51323935587</ns0:v>
      </ns0:c>
      <ns0:c r="T366" s="7">
        <ns0:f>R366+S366</ns0:f>
        <ns0:v>799809.4733565853</ns0:v>
      </ns0:c>
      <ns0:c r="U366" s="16">
        <ns0:f>P366-E366*'前提と出典'!$E$5</ns0:f>
        <ns0:v>522428.96354351786</ns0:v>
      </ns0:c>
      <ns0:c r="V366" s="16">
        <ns0:f>Q366-F366*'前提と出典'!$E$5</ns0:f>
        <ns0:v>179845.39687407087</ns0:v>
      </ns0:c>
      <ns0:c r="W366" s="7">
        <ns0:f>U366+V366</ns0:f>
        <ns0:v>702274.3604175887</ns0:v>
      </ns0:c>
      <ns0:c r="X366" s="16">
        <ns0:f>P366-E366*'前提と出典'!$E$6</ns0:f>
        <ns0:v>452383.9669698061</ns0:v>
      </ns0:c>
      <ns0:c r="Y366" s="16">
        <ns0:f>Q366-F366*'前提と出典'!$E$6</ns0:f>
        <ns0:v>152355.28050878586</ns0:v>
      </ns0:c>
      <ns0:c r="Z366" s="7">
        <ns0:f>X366+Y366</ns0:f>
        <ns0:v>604739.247478592</ns0:v>
      </ns0:c>
      <ns0:c r="AA366" s="7">
        <ns0:f>IF(T366&gt;=0,A366,1001)</ns0:f>
        <ns0:v>362</ns0:v>
      </ns0:c>
      <ns0:c r="AB366" s="7">
        <ns0:f>IF(T366&lt;0,A366,0)</ns0:f>
        <ns0:v>0</ns0:v>
      </ns0:c>
      <ns0:c r="AC366" s="16">
        <ns0:f>IF(AND(OR('前提と出典'!$C$36+'前提と出典'!$C$38=0,R366&gt;=0),OR('前提と出典'!$C$37+'前提と出典'!$C$38=0,S366&gt;=0)),0,A366)</ns0:f>
        <ns0:v>0</ns0:v>
      </ns0:c>
      <ns0:c r="AD366" s="7">
        <ns0:f>IF(W366&gt;=0,A366,1001)</ns0:f>
        <ns0:v>362</ns0:v>
      </ns0:c>
      <ns0:c r="AE366" s="7">
        <ns0:f>IF(W366&lt;0,A366,0)</ns0:f>
        <ns0:v>0</ns0:v>
      </ns0:c>
      <ns0:c r="AF366" s="16">
        <ns0:f>IF(AND(OR('前提と出典'!$C$36+'前提と出典'!$C$38=0,U366&gt;=0),OR('前提と出典'!$C$37+'前提と出典'!$C$38=0,V366&gt;=0)),0,A366)</ns0:f>
        <ns0:v>0</ns0:v>
      </ns0:c>
      <ns0:c r="AG366" s="7">
        <ns0:f>IF(Z366&gt;=0,A366,1001)</ns0:f>
        <ns0:v>362</ns0:v>
      </ns0:c>
      <ns0:c r="AH366" s="4">
        <ns0:f>IF(Z366&lt;0,A366,0)</ns0:f>
        <ns0:v>0</ns0:v>
      </ns0:c>
      <ns0:c r="AI366" s="12">
        <ns0:f>IF(AND(OR('前提と出典'!$C$36+'前提と出典'!$C$38=0,X366&gt;=0),OR('前提と出典'!$C$37+'前提と出典'!$C$38=0,Y366&gt;=0)),0,A366)</ns0:f>
        <ns0:v>0</ns0:v>
      </ns0:c>
    </ns0:row>
    <ns0:row r="367" ht="24" customHeight="1">
      <ns0:c r="A367" s="4" t="n">
        <ns0:v>363</ns0:v>
      </ns0:c>
      <ns0:c r="B367" s="12">
        <ns0:f>A367*('前提と出典'!$C$36+'前提と出典'!$C$38)</ns0:f>
        <ns0:v>254.1</ns0:v>
      </ns0:c>
      <ns0:c r="C367" s="12">
        <ns0:f>A367*('前提と出典'!$C$37+'前提と出典'!$C$38)</ns0:f>
        <ns0:v>217.79999999999998</ns0:v>
      </ns0:c>
      <ns0:c r="D367" s="16">
        <ns0:f>A367*('前提と出典'!$C$36*'契約別単価'!C5+'前提と出典'!$C$37*'契約別単価'!C6+'前提と出典'!$C$38*'契約別単価'!C7)</ns0:f>
        <ns0:v>2611.9776536312847</ns0:v>
      </ns0:c>
      <ns0:c r="E367" s="16">
        <ns0:f>A367*('前提と出典'!$C$36*'契約別単価'!E5+'前提と出典'!$C$37*'契約別単価'!E6+'前提と出典'!$C$38*'契約別単価'!E7)</ns0:f>
        <ns0:v>702384.9103938489</ns0:v>
      </ns0:c>
      <ns0:c r="F367" s="16">
        <ns0:f>A367*('前提と出典'!$C$36*'契約別単価'!F5+'前提と出典'!$C$37*'契約別単価'!F6+'前提と出典'!$C$38*'契約別単価'!F7)</ns0:f>
        <ns0:v>275660.559132554</ns0:v>
      </ns0:c>
      <ns0:c r="G367" s="16">
        <ns0:f>A367*('前提と出典'!$C$36*'契約別単価'!G5+'前提と出典'!$C$37*'契約別単価'!G6+'前提と出典'!$C$38*'契約別単価'!G7)</ns0:f>
        <ns0:v>722552.5139664804</ns0:v>
      </ns0:c>
      <ns0:c r="H367" s="16">
        <ns0:f>A367*('前提と出典'!$C$36*'契約別単価'!H5+'前提と出典'!$C$37*'契約別単価'!H6+'前提と出典'!$C$38*'契約別単価'!H7)</ns0:f>
        <ns0:v>250761.9612026613</ns0:v>
      </ns0:c>
      <ns0:c r="I367" s="16">
        <ns0:f>A367*('前提と出典'!$C$36*'契約別単価'!I5+'前提と出典'!$C$37*'契約別単価'!I6+'前提と出典'!$C$38*'契約別単価'!I7)</ns0:f>
        <ns0:v>15316.977653631282</ns0:v>
      </ns0:c>
      <ns0:c r="J367" s="16">
        <ns0:f>A367*('前提と出典'!$C$36*'契約別単価'!J5+'前提と出典'!$C$37*'契約別単価'!J6+'前提と出典'!$C$38*'契約別単価'!J7)</ns0:f>
        <ns0:v>35679.104366839834</ns0:v>
      </ns0:c>
      <ns0:c r="K367" s="16">
        <ns0:f>A367*('前提と出典'!$C$36*'契約別単価'!K5+'前提と出典'!$C$37*'契約別単価'!K6+'前提と出典'!$C$38*'契約別単価'!K7)</ns0:f>
        <ns0:v>152933.18435754188</ns0:v>
      </ns0:c>
      <ns0:c r="L367" s="16">
        <ns0:f>A367*('前提と出典'!$C$36*'契約別単価'!L5+'前提と出典'!$C$37*'契約別単価'!L6+'前提と出典'!$C$38*'契約別単価'!L7)</ns0:f>
        <ns0:v>124518.73204008871</ns0:v>
      </ns0:c>
      <ns0:c r="M367" s="16">
        <ns0:f>IF(('前提と出典'!$C$36+'前提と出典'!$C$38)=0,0,IF(B367&lt;=10,'前提と出典'!B73+'前提と出典'!C73,IF(B367&lt;=100,'前提と出典'!B74+'前提と出典'!C74,IF(B367&lt;=500,'前提と出典'!B75+'前提と出典'!C75,'前提と出典'!B76+'前提と出典'!C76))))</ns0:f>
        <ns0:v>40000</ns0:v>
      </ns0:c>
      <ns0:c r="N367" s="16">
        <ns0:f>IF(('前提と出典'!$C$37+'前提と出典'!$C$38)=0,0,IF(C367&lt;=10,'前提と出典'!D73+'前提と出典'!E73,IF(C367&lt;=100,'前提と出典'!D74+'前提と出典'!E74,IF(C367&lt;=500,'前提と出典'!D75+'前提と出典'!E75,'前提と出典'!D76+'前提と出典'!E76))))</ns0:f>
        <ns0:v>56510.9346263078</ns0:v>
      </ns0:c>
      <ns0:c r="O367" s="16">
        <ns0:f>IF('前提と出典'!$C$36+'前提と出典'!$C$38=0,0,'前提と出典'!$B$4*IF('前提と出典'!$B$20=0,MAX('前提と出典'!$B$6,D367*'前提と出典'!$B$5),'前提と出典'!$B$6+D367*'前提と出典'!$B$5))</ns0:f>
        <ns0:v>360452.91620111733</ns0:v>
      </ns0:c>
      <ns0:c r="P367" s="16">
        <ns0:f>(E367+G367)*(1-'前提と出典'!$B$7)-I367-K367-M367-O367</ns0:f>
        <ns0:v>804936.5988710669</ns0:v>
      </ns0:c>
      <ns0:c r="Q367" s="16">
        <ns0:f>(F367+H367)*(1-'前提と出典'!$B$7)-J367-L367-N367</ns0:f>
        <ns0:v>290762.53856991115</ns0:v>
      </ns0:c>
      <ns0:c r="R367" s="16">
        <ns0:f>P367-E367*'前提と出典'!$E$4</ns0:f>
        <ns0:v>594221.1257529125</ns0:v>
      </ns0:c>
      <ns0:c r="S367" s="16">
        <ns0:f>Q367-F367*'前提と出典'!$E$4</ns0:f>
        <ns0:v>208064.37083014497</ns0:v>
      </ns0:c>
      <ns0:c r="T367" s="7">
        <ns0:f>R367+S367</ns0:f>
        <ns0:v>802285.4965830575</ns0:v>
      </ns0:c>
      <ns0:c r="U367" s="16">
        <ns0:f>P367-E367*'前提と出典'!$E$5</ns0:f>
        <ns0:v>523982.6347135274</ns0:v>
      </ns0:c>
      <ns0:c r="V367" s="16">
        <ns0:f>Q367-F367*'前提と出典'!$E$5</ns0:f>
        <ns0:v>180498.31491688956</ns0:v>
      </ns0:c>
      <ns0:c r="W367" s="7">
        <ns0:f>U367+V367</ns0:f>
        <ns0:v>704480.9496304169</ns0:v>
      </ns0:c>
      <ns0:c r="X367" s="16">
        <ns0:f>P367-E367*'前提と出典'!$E$6</ns0:f>
        <ns0:v>453744.14367414254</ns0:v>
      </ns0:c>
      <ns0:c r="Y367" s="16">
        <ns0:f>Q367-F367*'前提と出典'!$E$6</ns0:f>
        <ns0:v>152932.25900363413</ns0:v>
      </ns0:c>
      <ns0:c r="Z367" s="7">
        <ns0:f>X367+Y367</ns0:f>
        <ns0:v>606676.4026777766</ns0:v>
      </ns0:c>
      <ns0:c r="AA367" s="7">
        <ns0:f>IF(T367&gt;=0,A367,1001)</ns0:f>
        <ns0:v>363</ns0:v>
      </ns0:c>
      <ns0:c r="AB367" s="7">
        <ns0:f>IF(T367&lt;0,A367,0)</ns0:f>
        <ns0:v>0</ns0:v>
      </ns0:c>
      <ns0:c r="AC367" s="16">
        <ns0:f>IF(AND(OR('前提と出典'!$C$36+'前提と出典'!$C$38=0,R367&gt;=0),OR('前提と出典'!$C$37+'前提と出典'!$C$38=0,S367&gt;=0)),0,A367)</ns0:f>
        <ns0:v>0</ns0:v>
      </ns0:c>
      <ns0:c r="AD367" s="7">
        <ns0:f>IF(W367&gt;=0,A367,1001)</ns0:f>
        <ns0:v>363</ns0:v>
      </ns0:c>
      <ns0:c r="AE367" s="7">
        <ns0:f>IF(W367&lt;0,A367,0)</ns0:f>
        <ns0:v>0</ns0:v>
      </ns0:c>
      <ns0:c r="AF367" s="16">
        <ns0:f>IF(AND(OR('前提と出典'!$C$36+'前提と出典'!$C$38=0,U367&gt;=0),OR('前提と出典'!$C$37+'前提と出典'!$C$38=0,V367&gt;=0)),0,A367)</ns0:f>
        <ns0:v>0</ns0:v>
      </ns0:c>
      <ns0:c r="AG367" s="7">
        <ns0:f>IF(Z367&gt;=0,A367,1001)</ns0:f>
        <ns0:v>363</ns0:v>
      </ns0:c>
      <ns0:c r="AH367" s="4">
        <ns0:f>IF(Z367&lt;0,A367,0)</ns0:f>
        <ns0:v>0</ns0:v>
      </ns0:c>
      <ns0:c r="AI367" s="12">
        <ns0:f>IF(AND(OR('前提と出典'!$C$36+'前提と出典'!$C$38=0,X367&gt;=0),OR('前提と出典'!$C$37+'前提と出典'!$C$38=0,Y367&gt;=0)),0,A367)</ns0:f>
        <ns0:v>0</ns0:v>
      </ns0:c>
    </ns0:row>
    <ns0:row r="368" ht="24" customHeight="1">
      <ns0:c r="A368" s="4" t="n">
        <ns0:v>364</ns0:v>
      </ns0:c>
      <ns0:c r="B368" s="12">
        <ns0:f>A368*('前提と出典'!$C$36+'前提と出典'!$C$38)</ns0:f>
        <ns0:v>254.79999999999998</ns0:v>
      </ns0:c>
      <ns0:c r="C368" s="12">
        <ns0:f>A368*('前提と出典'!$C$37+'前提と出典'!$C$38)</ns0:f>
        <ns0:v>218.4</ns0:v>
      </ns0:c>
      <ns0:c r="D368" s="16">
        <ns0:f>A368*('前提と出典'!$C$36*'契約別単価'!C5+'前提と出典'!$C$37*'契約別単価'!C6+'前提と出典'!$C$38*'契約別単価'!C7)</ns0:f>
        <ns0:v>2619.1731843575417</ns0:v>
      </ns0:c>
      <ns0:c r="E368" s="16">
        <ns0:f>A368*('前提と出典'!$C$36*'契約別単価'!E5+'前提と出典'!$C$37*'契約別単価'!E6+'前提と出典'!$C$38*'契約別単価'!E7)</ns0:f>
        <ns0:v>704319.8550505812</ns0:v>
      </ns0:c>
      <ns0:c r="F368" s="16">
        <ns0:f>A368*('前提と出典'!$C$36*'契約別単価'!F5+'前提と出典'!$C$37*'契約別単価'!F6+'前提と出典'!$C$38*'契約別単価'!F7)</ns0:f>
        <ns0:v>276419.954612258</ns0:v>
      </ns0:c>
      <ns0:c r="G368" s="16">
        <ns0:f>A368*('前提と出典'!$C$36*'契約別単価'!G5+'前提と出典'!$C$37*'契約別単価'!G6+'前提と出典'!$C$38*'契約別単価'!G7)</ns0:f>
        <ns0:v>724543.0167597765</ns0:v>
      </ns0:c>
      <ns0:c r="H368" s="16">
        <ns0:f>A368*('前提と出典'!$C$36*'契約別単価'!H5+'前提と出典'!$C$37*'契約別単価'!H6+'前提と出典'!$C$38*'契約別単価'!H7)</ns0:f>
        <ns0:v>251452.7655034951</ns0:v>
      </ns0:c>
      <ns0:c r="I368" s="16">
        <ns0:f>A368*('前提と出典'!$C$36*'契約別単価'!I5+'前提と出典'!$C$37*'契約別単価'!I6+'前提と出典'!$C$38*'契約別単価'!I7)</ns0:f>
        <ns0:v>15359.17318435754</ns0:v>
      </ns0:c>
      <ns0:c r="J368" s="16">
        <ns0:f>A368*('前提と出典'!$C$36*'契約別単価'!J5+'前提と出典'!$C$37*'契約別単価'!J6+'前提と出典'!$C$38*'契約別単価'!J7)</ns0:f>
        <ns0:v>35777.393910550134</ns0:v>
      </ns0:c>
      <ns0:c r="K368" s="16">
        <ns0:f>A368*('前提と出典'!$C$36*'契約別単価'!K5+'前提と出典'!$C$37*'契約別単価'!K6+'前提と出典'!$C$38*'契約別単価'!K7)</ns0:f>
        <ns0:v>153354.48789571694</ns0:v>
      </ns0:c>
      <ns0:c r="L368" s="16">
        <ns0:f>A368*('前提と出典'!$C$36*'契約別単価'!L5+'前提と出典'!$C$37*'契約別単価'!L6+'前提と出典'!$C$38*'契約別単価'!L7)</ns0:f>
        <ns0:v>124861.7588501165</ns0:v>
      </ns0:c>
      <ns0:c r="M368" s="16">
        <ns0:f>IF(('前提と出典'!$C$36+'前提と出典'!$C$38)=0,0,IF(B368&lt;=10,'前提と出典'!B73+'前提と出典'!C73,IF(B368&lt;=100,'前提と出典'!B74+'前提と出典'!C74,IF(B368&lt;=500,'前提と出典'!B75+'前提と出典'!C75,'前提と出典'!B76+'前提と出典'!C76))))</ns0:f>
        <ns0:v>40000</ns0:v>
      </ns0:c>
      <ns0:c r="N368" s="16">
        <ns0:f>IF(('前提と出典'!$C$37+'前提と出典'!$C$38)=0,0,IF(C368&lt;=10,'前提と出典'!D73+'前提と出典'!E73,IF(C368&lt;=100,'前提と出典'!D74+'前提と出典'!E74,IF(C368&lt;=500,'前提と出典'!D75+'前提と出典'!E75,'前提と出典'!D76+'前提と出典'!E76))))</ns0:f>
        <ns0:v>56510.9346263078</ns0:v>
      </ns0:c>
      <ns0:c r="O368" s="16">
        <ns0:f>IF('前提と出典'!$C$36+'前提と出典'!$C$38=0,0,'前提と出典'!$B$4*IF('前提と出典'!$B$20=0,MAX('前提と出典'!$B$6,D368*'前提と出典'!$B$5),'前提と出典'!$B$6+D368*'前提と出典'!$B$5))</ns0:f>
        <ns0:v>361445.8994413408</ns0:v>
      </ns0:c>
      <ns0:c r="P368" s="16">
        <ns0:f>(E368+G368)*(1-'前提と出典'!$B$7)-I368-K368-M368-O368</ns0:f>
        <ns0:v>807264.2479037691</ns0:v>
      </ns0:c>
      <ns0:c r="Q368" s="16">
        <ns0:f>(F368+H368)*(1-'前提と出典'!$B$7)-J368-L368-N368</ns0:f>
        <ns0:v>291719.2148046115</ns0:v>
      </ns0:c>
      <ns0:c r="R368" s="16">
        <ns0:f>P368-E368*'前提と出典'!$E$4</ns0:f>
        <ns0:v>595968.2913885949</ns0:v>
      </ns0:c>
      <ns0:c r="S368" s="16">
        <ns0:f>Q368-F368*'前提と出典'!$E$4</ns0:f>
        <ns0:v>208793.22842093417</ns0:v>
      </ns0:c>
      <ns0:c r="T368" s="7">
        <ns0:f>R368+S368</ns0:f>
        <ns0:v>804761.5198095291</ns0:v>
      </ns0:c>
      <ns0:c r="U368" s="16">
        <ns0:f>P368-E368*'前提と出典'!$E$5</ns0:f>
        <ns0:v>525536.3058835367</ns0:v>
      </ns0:c>
      <ns0:c r="V368" s="16">
        <ns0:f>Q368-F368*'前提と出典'!$E$5</ns0:f>
        <ns0:v>181151.23295970832</ns0:v>
      </ns0:c>
      <ns0:c r="W368" s="7">
        <ns0:f>U368+V368</ns0:f>
        <ns0:v>706687.538843245</ns0:v>
      </ns0:c>
      <ns0:c r="X368" s="16">
        <ns0:f>P368-E368*'前提と出典'!$E$6</ns0:f>
        <ns0:v>455104.32037847885</ns0:v>
      </ns0:c>
      <ns0:c r="Y368" s="16">
        <ns0:f>Q368-F368*'前提と出典'!$E$6</ns0:f>
        <ns0:v>153509.23749848257</ns0:v>
      </ns0:c>
      <ns0:c r="Z368" s="7">
        <ns0:f>X368+Y368</ns0:f>
        <ns0:v>608613.5578769614</ns0:v>
      </ns0:c>
      <ns0:c r="AA368" s="7">
        <ns0:f>IF(T368&gt;=0,A368,1001)</ns0:f>
        <ns0:v>364</ns0:v>
      </ns0:c>
      <ns0:c r="AB368" s="7">
        <ns0:f>IF(T368&lt;0,A368,0)</ns0:f>
        <ns0:v>0</ns0:v>
      </ns0:c>
      <ns0:c r="AC368" s="16">
        <ns0:f>IF(AND(OR('前提と出典'!$C$36+'前提と出典'!$C$38=0,R368&gt;=0),OR('前提と出典'!$C$37+'前提と出典'!$C$38=0,S368&gt;=0)),0,A368)</ns0:f>
        <ns0:v>0</ns0:v>
      </ns0:c>
      <ns0:c r="AD368" s="7">
        <ns0:f>IF(W368&gt;=0,A368,1001)</ns0:f>
        <ns0:v>364</ns0:v>
      </ns0:c>
      <ns0:c r="AE368" s="7">
        <ns0:f>IF(W368&lt;0,A368,0)</ns0:f>
        <ns0:v>0</ns0:v>
      </ns0:c>
      <ns0:c r="AF368" s="16">
        <ns0:f>IF(AND(OR('前提と出典'!$C$36+'前提と出典'!$C$38=0,U368&gt;=0),OR('前提と出典'!$C$37+'前提と出典'!$C$38=0,V368&gt;=0)),0,A368)</ns0:f>
        <ns0:v>0</ns0:v>
      </ns0:c>
      <ns0:c r="AG368" s="7">
        <ns0:f>IF(Z368&gt;=0,A368,1001)</ns0:f>
        <ns0:v>364</ns0:v>
      </ns0:c>
      <ns0:c r="AH368" s="4">
        <ns0:f>IF(Z368&lt;0,A368,0)</ns0:f>
        <ns0:v>0</ns0:v>
      </ns0:c>
      <ns0:c r="AI368" s="12">
        <ns0:f>IF(AND(OR('前提と出典'!$C$36+'前提と出典'!$C$38=0,X368&gt;=0),OR('前提と出典'!$C$37+'前提と出典'!$C$38=0,Y368&gt;=0)),0,A368)</ns0:f>
        <ns0:v>0</ns0:v>
      </ns0:c>
    </ns0:row>
    <ns0:row r="369" ht="24" customHeight="1">
      <ns0:c r="A369" s="4" t="n">
        <ns0:v>365</ns0:v>
      </ns0:c>
      <ns0:c r="B369" s="12">
        <ns0:f>A369*('前提と出典'!$C$36+'前提と出典'!$C$38)</ns0:f>
        <ns0:v>255.49999999999997</ns0:v>
      </ns0:c>
      <ns0:c r="C369" s="12">
        <ns0:f>A369*('前提と出典'!$C$37+'前提と出典'!$C$38)</ns0:f>
        <ns0:v>219</ns0:v>
      </ns0:c>
      <ns0:c r="D369" s="16">
        <ns0:f>A369*('前提と出典'!$C$36*'契約別単価'!C5+'前提と出典'!$C$37*'契約別単価'!C6+'前提と出典'!$C$38*'契約別単価'!C7)</ns0:f>
        <ns0:v>2626.368715083799</ns0:v>
      </ns0:c>
      <ns0:c r="E369" s="16">
        <ns0:f>A369*('前提と出典'!$C$36*'契約別単価'!E5+'前提と出典'!$C$37*'契約別単価'!E6+'前提と出典'!$C$38*'契約別単価'!E7)</ns0:f>
        <ns0:v>706254.7997073135</ns0:v>
      </ns0:c>
      <ns0:c r="F369" s="16">
        <ns0:f>A369*('前提と出典'!$C$36*'契約別単価'!F5+'前提と出典'!$C$37*'契約別単価'!F6+'前提と出典'!$C$38*'契約別単価'!F7)</ns0:f>
        <ns0:v>277179.350091962</ns0:v>
      </ns0:c>
      <ns0:c r="G369" s="16">
        <ns0:f>A369*('前提と出典'!$C$36*'契約別単価'!G5+'前提と出典'!$C$37*'契約別単価'!G6+'前提と出典'!$C$38*'契約別単価'!G7)</ns0:f>
        <ns0:v>726533.5195530726</ns0:v>
      </ns0:c>
      <ns0:c r="H369" s="16">
        <ns0:f>A369*('前提と出典'!$C$36*'契約別単価'!H5+'前提と出典'!$C$37*'契約別単価'!H6+'前提と出典'!$C$38*'契約別単価'!H7)</ns0:f>
        <ns0:v>252143.56980432884</ns0:v>
      </ns0:c>
      <ns0:c r="I369" s="16">
        <ns0:f>A369*('前提と出典'!$C$36*'契約別単価'!I5+'前提と出典'!$C$37*'契約別単価'!I6+'前提と出典'!$C$38*'契約別単価'!I7)</ns0:f>
        <ns0:v>15401.368715083796</ns0:v>
      </ns0:c>
      <ns0:c r="J369" s="16">
        <ns0:f>A369*('前提と出典'!$C$36*'契約別単価'!J5+'前提と出典'!$C$37*'契約別単価'!J6+'前提と出典'!$C$38*'契約別単価'!J7)</ns0:f>
        <ns0:v>35875.683454260434</ns0:v>
      </ns0:c>
      <ns0:c r="K369" s="16">
        <ns0:f>A369*('前提と出典'!$C$36*'契約別単価'!K5+'前提と出典'!$C$37*'契約別単価'!K6+'前提と出典'!$C$38*'契約別単価'!K7)</ns0:f>
        <ns0:v>153775.79143389198</ns0:v>
      </ns0:c>
      <ns0:c r="L369" s="16">
        <ns0:f>A369*('前提と出典'!$C$36*'契約別単価'!L5+'前提と出典'!$C$37*'契約別単価'!L6+'前提と出典'!$C$38*'契約別単価'!L7)</ns0:f>
        <ns0:v>125204.78566014429</ns0:v>
      </ns0:c>
      <ns0:c r="M369" s="16">
        <ns0:f>IF(('前提と出典'!$C$36+'前提と出典'!$C$38)=0,0,IF(B369&lt;=10,'前提と出典'!B73+'前提と出典'!C73,IF(B369&lt;=100,'前提と出典'!B74+'前提と出典'!C74,IF(B369&lt;=500,'前提と出典'!B75+'前提と出典'!C75,'前提と出典'!B76+'前提と出典'!C76))))</ns0:f>
        <ns0:v>40000</ns0:v>
      </ns0:c>
      <ns0:c r="N369" s="16">
        <ns0:f>IF(('前提と出典'!$C$37+'前提と出典'!$C$38)=0,0,IF(C369&lt;=10,'前提と出典'!D73+'前提と出典'!E73,IF(C369&lt;=100,'前提と出典'!D74+'前提と出典'!E74,IF(C369&lt;=500,'前提と出典'!D75+'前提と出典'!E75,'前提と出典'!D76+'前提と出典'!E76))))</ns0:f>
        <ns0:v>56510.9346263078</ns0:v>
      </ns0:c>
      <ns0:c r="O369" s="16">
        <ns0:f>IF('前提と出典'!$C$36+'前提と出典'!$C$38=0,0,'前提と出典'!$B$4*IF('前提と出典'!$B$20=0,MAX('前提と出典'!$B$6,D369*'前提と出典'!$B$5),'前提と出典'!$B$6+D369*'前提と出典'!$B$5))</ns0:f>
        <ns0:v>362438.88268156425</ns0:v>
      </ns0:c>
      <ns0:c r="P369" s="16">
        <ns0:f>(E369+G369)*(1-'前提と出典'!$B$7)-I369-K369-M369-O369</ns0:f>
        <ns0:v>809591.8969364725</ns0:v>
      </ns0:c>
      <ns0:c r="Q369" s="16">
        <ns0:f>(F369+H369)*(1-'前提と出典'!$B$7)-J369-L369-N369</ns0:f>
        <ns0:v>292675.8910393119</ns0:v>
      </ns0:c>
      <ns0:c r="R369" s="16">
        <ns0:f>P369-E369*'前提と出典'!$E$4</ns0:f>
        <ns0:v>597715.4570242784</ns0:v>
      </ns0:c>
      <ns0:c r="S369" s="16">
        <ns0:f>Q369-F369*'前提と出典'!$E$4</ns0:f>
        <ns0:v>209522.08601172327</ns0:v>
      </ns0:c>
      <ns0:c r="T369" s="7">
        <ns0:f>R369+S369</ns0:f>
        <ns0:v>807237.5430360016</ns0:v>
      </ns0:c>
      <ns0:c r="U369" s="16">
        <ns0:f>P369-E369*'前提と出典'!$E$5</ns0:f>
        <ns0:v>527089.977053547</ns0:v>
      </ns0:c>
      <ns0:c r="V369" s="16">
        <ns0:f>Q369-F369*'前提と出典'!$E$5</ns0:f>
        <ns0:v>181804.1510025271</ns0:v>
      </ns0:c>
      <ns0:c r="W369" s="7">
        <ns0:f>U369+V369</ns0:f>
        <ns0:v>708894.1280560741</ns0:v>
      </ns0:c>
      <ns0:c r="X369" s="16">
        <ns0:f>P369-E369*'前提と出典'!$E$6</ns0:f>
        <ns0:v>456464.49708281556</ns0:v>
      </ns0:c>
      <ns0:c r="Y369" s="16">
        <ns0:f>Q369-F369*'前提と出典'!$E$6</ns0:f>
        <ns0:v>154086.2159933308</ns0:v>
      </ns0:c>
      <ns0:c r="Z369" s="7">
        <ns0:f>X369+Y369</ns0:f>
        <ns0:v>610550.7130761463</ns0:v>
      </ns0:c>
      <ns0:c r="AA369" s="7">
        <ns0:f>IF(T369&gt;=0,A369,1001)</ns0:f>
        <ns0:v>365</ns0:v>
      </ns0:c>
      <ns0:c r="AB369" s="7">
        <ns0:f>IF(T369&lt;0,A369,0)</ns0:f>
        <ns0:v>0</ns0:v>
      </ns0:c>
      <ns0:c r="AC369" s="16">
        <ns0:f>IF(AND(OR('前提と出典'!$C$36+'前提と出典'!$C$38=0,R369&gt;=0),OR('前提と出典'!$C$37+'前提と出典'!$C$38=0,S369&gt;=0)),0,A369)</ns0:f>
        <ns0:v>0</ns0:v>
      </ns0:c>
      <ns0:c r="AD369" s="7">
        <ns0:f>IF(W369&gt;=0,A369,1001)</ns0:f>
        <ns0:v>365</ns0:v>
      </ns0:c>
      <ns0:c r="AE369" s="7">
        <ns0:f>IF(W369&lt;0,A369,0)</ns0:f>
        <ns0:v>0</ns0:v>
      </ns0:c>
      <ns0:c r="AF369" s="16">
        <ns0:f>IF(AND(OR('前提と出典'!$C$36+'前提と出典'!$C$38=0,U369&gt;=0),OR('前提と出典'!$C$37+'前提と出典'!$C$38=0,V369&gt;=0)),0,A369)</ns0:f>
        <ns0:v>0</ns0:v>
      </ns0:c>
      <ns0:c r="AG369" s="7">
        <ns0:f>IF(Z369&gt;=0,A369,1001)</ns0:f>
        <ns0:v>365</ns0:v>
      </ns0:c>
      <ns0:c r="AH369" s="4">
        <ns0:f>IF(Z369&lt;0,A369,0)</ns0:f>
        <ns0:v>0</ns0:v>
      </ns0:c>
      <ns0:c r="AI369" s="12">
        <ns0:f>IF(AND(OR('前提と出典'!$C$36+'前提と出典'!$C$38=0,X369&gt;=0),OR('前提と出典'!$C$37+'前提と出典'!$C$38=0,Y369&gt;=0)),0,A369)</ns0:f>
        <ns0:v>0</ns0:v>
      </ns0:c>
    </ns0:row>
    <ns0:row r="370" ht="24" customHeight="1">
      <ns0:c r="A370" s="4" t="n">
        <ns0:v>366</ns0:v>
      </ns0:c>
      <ns0:c r="B370" s="12">
        <ns0:f>A370*('前提と出典'!$C$36+'前提と出典'!$C$38)</ns0:f>
        <ns0:v>256.2</ns0:v>
      </ns0:c>
      <ns0:c r="C370" s="12">
        <ns0:f>A370*('前提と出典'!$C$37+'前提と出典'!$C$38)</ns0:f>
        <ns0:v>219.6</ns0:v>
      </ns0:c>
      <ns0:c r="D370" s="16">
        <ns0:f>A370*('前提と出典'!$C$36*'契約別単価'!C5+'前提と出典'!$C$37*'契約別単価'!C6+'前提と出典'!$C$38*'契約別単価'!C7)</ns0:f>
        <ns0:v>2633.564245810056</ns0:v>
      </ns0:c>
      <ns0:c r="E370" s="16">
        <ns0:f>A370*('前提と出典'!$C$36*'契約別単価'!E5+'前提と出典'!$C$37*'契約別単価'!E6+'前提と出典'!$C$38*'契約別単価'!E7)</ns0:f>
        <ns0:v>708189.7443640459</ns0:v>
      </ns0:c>
      <ns0:c r="F370" s="16">
        <ns0:f>A370*('前提と出典'!$C$36*'契約別単価'!F5+'前提と出典'!$C$37*'契約別単価'!F6+'前提と出典'!$C$38*'契約別単価'!F7)</ns0:f>
        <ns0:v>277938.74557166605</ns0:v>
      </ns0:c>
      <ns0:c r="G370" s="16">
        <ns0:f>A370*('前提と出典'!$C$36*'契約別単価'!G5+'前提と出典'!$C$37*'契約別単価'!G6+'前提と出典'!$C$38*'契約別単価'!G7)</ns0:f>
        <ns0:v>728524.0223463686</ns0:v>
      </ns0:c>
      <ns0:c r="H370" s="16">
        <ns0:f>A370*('前提と出典'!$C$36*'契約別単価'!H5+'前提と出典'!$C$37*'契約別単価'!H6+'前提と出典'!$C$38*'契約別単価'!H7)</ns0:f>
        <ns0:v>252834.37410516263</ns0:v>
      </ns0:c>
      <ns0:c r="I370" s="16">
        <ns0:f>A370*('前提と出典'!$C$36*'契約別単価'!I5+'前提と出典'!$C$37*'契約別単価'!I6+'前提と出典'!$C$38*'契約別単価'!I7)</ns0:f>
        <ns0:v>15443.564245810054</ns0:v>
      </ns0:c>
      <ns0:c r="J370" s="16">
        <ns0:f>A370*('前提と出典'!$C$36*'契約別単価'!J5+'前提と出典'!$C$37*'契約別単価'!J6+'前提と出典'!$C$38*'契約別単価'!J7)</ns0:f>
        <ns0:v>35973.97299797074</ns0:v>
      </ns0:c>
      <ns0:c r="K370" s="16">
        <ns0:f>A370*('前提と出典'!$C$36*'契約別単価'!K5+'前提と出典'!$C$37*'契約別単価'!K6+'前提と出典'!$C$38*'契約別単価'!K7)</ns0:f>
        <ns0:v>154197.09497206702</ns0:v>
      </ns0:c>
      <ns0:c r="L370" s="16">
        <ns0:f>A370*('前提と出典'!$C$36*'契約別単価'!L5+'前提と出典'!$C$37*'契約別単価'!L6+'前提と出典'!$C$38*'契約別単価'!L7)</ns0:f>
        <ns0:v>125547.81247017208</ns0:v>
      </ns0:c>
      <ns0:c r="M370" s="16">
        <ns0:f>IF(('前提と出典'!$C$36+'前提と出典'!$C$38)=0,0,IF(B370&lt;=10,'前提と出典'!B73+'前提と出典'!C73,IF(B370&lt;=100,'前提と出典'!B74+'前提と出典'!C74,IF(B370&lt;=500,'前提と出典'!B75+'前提と出典'!C75,'前提と出典'!B76+'前提と出典'!C76))))</ns0:f>
        <ns0:v>40000</ns0:v>
      </ns0:c>
      <ns0:c r="N370" s="16">
        <ns0:f>IF(('前提と出典'!$C$37+'前提と出典'!$C$38)=0,0,IF(C370&lt;=10,'前提と出典'!D73+'前提と出典'!E73,IF(C370&lt;=100,'前提と出典'!D74+'前提と出典'!E74,IF(C370&lt;=500,'前提と出典'!D75+'前提と出典'!E75,'前提と出典'!D76+'前提と出典'!E76))))</ns0:f>
        <ns0:v>56510.9346263078</ns0:v>
      </ns0:c>
      <ns0:c r="O370" s="16">
        <ns0:f>IF('前提と出典'!$C$36+'前提と出典'!$C$38=0,0,'前提と出典'!$B$4*IF('前提と出典'!$B$20=0,MAX('前提と出典'!$B$6,D370*'前提と出典'!$B$5),'前提と出典'!$B$6+D370*'前提と出典'!$B$5))</ns0:f>
        <ns0:v>363431.86592178774</ns0:v>
      </ns0:c>
      <ns0:c r="P370" s="16">
        <ns0:f>(E370+G370)*(1-'前提と出典'!$B$7)-I370-K370-M370-O370</ns0:f>
        <ns0:v>811919.545969175</ns0:v>
      </ns0:c>
      <ns0:c r="Q370" s="16">
        <ns0:f>(F370+H370)*(1-'前提と出典'!$B$7)-J370-L370-N370</ns0:f>
        <ns0:v>293632.56727401214</ns0:v>
      </ns0:c>
      <ns0:c r="R370" s="16">
        <ns0:f>P370-E370*'前提と出典'!$E$4</ns0:f>
        <ns0:v>599462.6226599612</ns0:v>
      </ns0:c>
      <ns0:c r="S370" s="16">
        <ns0:f>Q370-F370*'前提と出典'!$E$4</ns0:f>
        <ns0:v>210250.94360251236</ns0:v>
      </ns0:c>
      <ns0:c r="T370" s="7">
        <ns0:f>R370+S370</ns0:f>
        <ns0:v>809713.5662624736</ns0:v>
      </ns0:c>
      <ns0:c r="U370" s="16">
        <ns0:f>P370-E370*'前提と出典'!$E$5</ns0:f>
        <ns0:v>528643.6482235566</ns0:v>
      </ns0:c>
      <ns0:c r="V370" s="16">
        <ns0:f>Q370-F370*'前提と出典'!$E$5</ns0:f>
        <ns0:v>182457.0690453457</ns0:v>
      </ns0:c>
      <ns0:c r="W370" s="7">
        <ns0:f>U370+V370</ns0:f>
        <ns0:v>711100.7172689023</ns0:v>
      </ns0:c>
      <ns0:c r="X370" s="16">
        <ns0:f>P370-E370*'前提と出典'!$E$6</ns0:f>
        <ns0:v>457824.67378715175</ns0:v>
      </ns0:c>
      <ns0:c r="Y370" s="16">
        <ns0:f>Q370-F370*'前提と出典'!$E$6</ns0:f>
        <ns0:v>154663.1944881791</ns0:v>
      </ns0:c>
      <ns0:c r="Z370" s="7">
        <ns0:f>X370+Y370</ns0:f>
        <ns0:v>612487.8682753309</ns0:v>
      </ns0:c>
      <ns0:c r="AA370" s="7">
        <ns0:f>IF(T370&gt;=0,A370,1001)</ns0:f>
        <ns0:v>366</ns0:v>
      </ns0:c>
      <ns0:c r="AB370" s="7">
        <ns0:f>IF(T370&lt;0,A370,0)</ns0:f>
        <ns0:v>0</ns0:v>
      </ns0:c>
      <ns0:c r="AC370" s="16">
        <ns0:f>IF(AND(OR('前提と出典'!$C$36+'前提と出典'!$C$38=0,R370&gt;=0),OR('前提と出典'!$C$37+'前提と出典'!$C$38=0,S370&gt;=0)),0,A370)</ns0:f>
        <ns0:v>0</ns0:v>
      </ns0:c>
      <ns0:c r="AD370" s="7">
        <ns0:f>IF(W370&gt;=0,A370,1001)</ns0:f>
        <ns0:v>366</ns0:v>
      </ns0:c>
      <ns0:c r="AE370" s="7">
        <ns0:f>IF(W370&lt;0,A370,0)</ns0:f>
        <ns0:v>0</ns0:v>
      </ns0:c>
      <ns0:c r="AF370" s="16">
        <ns0:f>IF(AND(OR('前提と出典'!$C$36+'前提と出典'!$C$38=0,U370&gt;=0),OR('前提と出典'!$C$37+'前提と出典'!$C$38=0,V370&gt;=0)),0,A370)</ns0:f>
        <ns0:v>0</ns0:v>
      </ns0:c>
      <ns0:c r="AG370" s="7">
        <ns0:f>IF(Z370&gt;=0,A370,1001)</ns0:f>
        <ns0:v>366</ns0:v>
      </ns0:c>
      <ns0:c r="AH370" s="4">
        <ns0:f>IF(Z370&lt;0,A370,0)</ns0:f>
        <ns0:v>0</ns0:v>
      </ns0:c>
      <ns0:c r="AI370" s="12">
        <ns0:f>IF(AND(OR('前提と出典'!$C$36+'前提と出典'!$C$38=0,X370&gt;=0),OR('前提と出典'!$C$37+'前提と出典'!$C$38=0,Y370&gt;=0)),0,A370)</ns0:f>
        <ns0:v>0</ns0:v>
      </ns0:c>
    </ns0:row>
    <ns0:row r="371" ht="24" customHeight="1">
      <ns0:c r="A371" s="4" t="n">
        <ns0:v>367</ns0:v>
      </ns0:c>
      <ns0:c r="B371" s="12">
        <ns0:f>A371*('前提と出典'!$C$36+'前提と出典'!$C$38)</ns0:f>
        <ns0:v>256.9</ns0:v>
      </ns0:c>
      <ns0:c r="C371" s="12">
        <ns0:f>A371*('前提と出典'!$C$37+'前提と出典'!$C$38)</ns0:f>
        <ns0:v>220.2</ns0:v>
      </ns0:c>
      <ns0:c r="D371" s="16">
        <ns0:f>A371*('前提と出典'!$C$36*'契約別単価'!C5+'前提と出典'!$C$37*'契約別単価'!C6+'前提と出典'!$C$38*'契約別単価'!C7)</ns0:f>
        <ns0:v>2640.759776536313</ns0:v>
      </ns0:c>
      <ns0:c r="E371" s="16">
        <ns0:f>A371*('前提と出典'!$C$36*'契約別単価'!E5+'前提と出典'!$C$37*'契約別単価'!E6+'前提と出典'!$C$38*'契約別単価'!E7)</ns0:f>
        <ns0:v>710124.6890207783</ns0:v>
      </ns0:c>
      <ns0:c r="F371" s="16">
        <ns0:f>A371*('前提と出典'!$C$36*'契約別単価'!F5+'前提と出典'!$C$37*'契約別単価'!F6+'前提と出典'!$C$38*'契約別単価'!F7)</ns0:f>
        <ns0:v>278698.14105137</ns0:v>
      </ns0:c>
      <ns0:c r="G371" s="16">
        <ns0:f>A371*('前提と出典'!$C$36*'契約別単価'!G5+'前提と出典'!$C$37*'契約別単価'!G6+'前提と出典'!$C$38*'契約別単価'!G7)</ns0:f>
        <ns0:v>730514.5251396648</ns0:v>
      </ns0:c>
      <ns0:c r="H371" s="16">
        <ns0:f>A371*('前提と出典'!$C$36*'契約別単価'!H5+'前提と出典'!$C$37*'契約別単価'!H6+'前提と出典'!$C$38*'契約別単価'!H7)</ns0:f>
        <ns0:v>253525.1784059964</ns0:v>
      </ns0:c>
      <ns0:c r="I371" s="16">
        <ns0:f>A371*('前提と出典'!$C$36*'契約別単価'!I5+'前提と出典'!$C$37*'契約別単価'!I6+'前提と出典'!$C$38*'契約別単価'!I7)</ns0:f>
        <ns0:v>15485.75977653631</ns0:v>
      </ns0:c>
      <ns0:c r="J371" s="16">
        <ns0:f>A371*('前提と出典'!$C$36*'契約別単価'!J5+'前提と出典'!$C$37*'契約別単価'!J6+'前提と出典'!$C$38*'契約別単価'!J7)</ns0:f>
        <ns0:v>36072.26254168104</ns0:v>
      </ns0:c>
      <ns0:c r="K371" s="16">
        <ns0:f>A371*('前提と出典'!$C$36*'契約別単価'!K5+'前提と出典'!$C$37*'契約別単価'!K6+'前提と出典'!$C$38*'契約別単価'!K7)</ns0:f>
        <ns0:v>154618.39851024208</ns0:v>
      </ns0:c>
      <ns0:c r="L371" s="16">
        <ns0:f>A371*('前提と出典'!$C$36*'契約別単価'!L5+'前提と出典'!$C$37*'契約別単価'!L6+'前提と出典'!$C$38*'契約別単価'!L7)</ns0:f>
        <ns0:v>125890.83928019987</ns0:v>
      </ns0:c>
      <ns0:c r="M371" s="16">
        <ns0:f>IF(('前提と出典'!$C$36+'前提と出典'!$C$38)=0,0,IF(B371&lt;=10,'前提と出典'!B73+'前提と出典'!C73,IF(B371&lt;=100,'前提と出典'!B74+'前提と出典'!C74,IF(B371&lt;=500,'前提と出典'!B75+'前提と出典'!C75,'前提と出典'!B76+'前提と出典'!C76))))</ns0:f>
        <ns0:v>40000</ns0:v>
      </ns0:c>
      <ns0:c r="N371" s="16">
        <ns0:f>IF(('前提と出典'!$C$37+'前提と出典'!$C$38)=0,0,IF(C371&lt;=10,'前提と出典'!D73+'前提と出典'!E73,IF(C371&lt;=100,'前提と出典'!D74+'前提と出典'!E74,IF(C371&lt;=500,'前提と出典'!D75+'前提と出典'!E75,'前提と出典'!D76+'前提と出典'!E76))))</ns0:f>
        <ns0:v>56510.9346263078</ns0:v>
      </ns0:c>
      <ns0:c r="O371" s="16">
        <ns0:f>IF('前提と出典'!$C$36+'前提と出典'!$C$38=0,0,'前提と出典'!$B$4*IF('前提と出典'!$B$20=0,MAX('前提と出典'!$B$6,D371*'前提と出典'!$B$5),'前提と出典'!$B$6+D371*'前提と出典'!$B$5))</ns0:f>
        <ns0:v>364424.84916201123</ns0:v>
      </ns0:c>
      <ns0:c r="P371" s="16">
        <ns0:f>(E371+G371)*(1-'前提と出典'!$B$7)-I371-K371-M371-O371</ns0:f>
        <ns0:v>814247.1950018774</ns0:v>
      </ns0:c>
      <ns0:c r="Q371" s="16">
        <ns0:f>(F371+H371)*(1-'前提と出典'!$B$7)-J371-L371-N371</ns0:f>
        <ns0:v>294589.2435087124</ns0:v>
      </ns0:c>
      <ns0:c r="R371" s="16">
        <ns0:f>P371-E371*'前提と出典'!$E$4</ns0:f>
        <ns0:v>601209.7882956439</ns0:v>
      </ns0:c>
      <ns0:c r="S371" s="16">
        <ns0:f>Q371-F371*'前提と出典'!$E$4</ns0:f>
        <ns0:v>210979.80119330145</ns0:v>
      </ns0:c>
      <ns0:c r="T371" s="7">
        <ns0:f>R371+S371</ns0:f>
        <ns0:v>812189.5894889453</ns0:v>
      </ns0:c>
      <ns0:c r="U371" s="16">
        <ns0:f>P371-E371*'前提と出典'!$E$5</ns0:f>
        <ns0:v>530197.3193935661</ns0:v>
      </ns0:c>
      <ns0:c r="V371" s="16">
        <ns0:f>Q371-F371*'前提と出典'!$E$5</ns0:f>
        <ns0:v>183109.9870881644</ns0:v>
      </ns0:c>
      <ns0:c r="W371" s="7">
        <ns0:f>U371+V371</ns0:f>
        <ns0:v>713307.3064817305</ns0:v>
      </ns0:c>
      <ns0:c r="X371" s="16">
        <ns0:f>P371-E371*'前提と出典'!$E$6</ns0:f>
        <ns0:v>459184.8504914883</ns0:v>
      </ns0:c>
      <ns0:c r="Y371" s="16">
        <ns0:f>Q371-F371*'前提と出典'!$E$6</ns0:f>
        <ns0:v>155240.17298302744</ns0:v>
      </ns0:c>
      <ns0:c r="Z371" s="7">
        <ns0:f>X371+Y371</ns0:f>
        <ns0:v>614425.0234745158</ns0:v>
      </ns0:c>
      <ns0:c r="AA371" s="7">
        <ns0:f>IF(T371&gt;=0,A371,1001)</ns0:f>
        <ns0:v>367</ns0:v>
      </ns0:c>
      <ns0:c r="AB371" s="7">
        <ns0:f>IF(T371&lt;0,A371,0)</ns0:f>
        <ns0:v>0</ns0:v>
      </ns0:c>
      <ns0:c r="AC371" s="16">
        <ns0:f>IF(AND(OR('前提と出典'!$C$36+'前提と出典'!$C$38=0,R371&gt;=0),OR('前提と出典'!$C$37+'前提と出典'!$C$38=0,S371&gt;=0)),0,A371)</ns0:f>
        <ns0:v>0</ns0:v>
      </ns0:c>
      <ns0:c r="AD371" s="7">
        <ns0:f>IF(W371&gt;=0,A371,1001)</ns0:f>
        <ns0:v>367</ns0:v>
      </ns0:c>
      <ns0:c r="AE371" s="7">
        <ns0:f>IF(W371&lt;0,A371,0)</ns0:f>
        <ns0:v>0</ns0:v>
      </ns0:c>
      <ns0:c r="AF371" s="16">
        <ns0:f>IF(AND(OR('前提と出典'!$C$36+'前提と出典'!$C$38=0,U371&gt;=0),OR('前提と出典'!$C$37+'前提と出典'!$C$38=0,V371&gt;=0)),0,A371)</ns0:f>
        <ns0:v>0</ns0:v>
      </ns0:c>
      <ns0:c r="AG371" s="7">
        <ns0:f>IF(Z371&gt;=0,A371,1001)</ns0:f>
        <ns0:v>367</ns0:v>
      </ns0:c>
      <ns0:c r="AH371" s="4">
        <ns0:f>IF(Z371&lt;0,A371,0)</ns0:f>
        <ns0:v>0</ns0:v>
      </ns0:c>
      <ns0:c r="AI371" s="12">
        <ns0:f>IF(AND(OR('前提と出典'!$C$36+'前提と出典'!$C$38=0,X371&gt;=0),OR('前提と出典'!$C$37+'前提と出典'!$C$38=0,Y371&gt;=0)),0,A371)</ns0:f>
        <ns0:v>0</ns0:v>
      </ns0:c>
    </ns0:row>
    <ns0:row r="372" ht="24" customHeight="1">
      <ns0:c r="A372" s="4" t="n">
        <ns0:v>368</ns0:v>
      </ns0:c>
      <ns0:c r="B372" s="12">
        <ns0:f>A372*('前提と出典'!$C$36+'前提と出典'!$C$38)</ns0:f>
        <ns0:v>257.59999999999997</ns0:v>
      </ns0:c>
      <ns0:c r="C372" s="12">
        <ns0:f>A372*('前提と出典'!$C$37+'前提と出典'!$C$38)</ns0:f>
        <ns0:v>220.79999999999998</ns0:v>
      </ns0:c>
      <ns0:c r="D372" s="16">
        <ns0:f>A372*('前提と出典'!$C$36*'契約別単価'!C5+'前提と出典'!$C$37*'契約別単価'!C6+'前提と出典'!$C$38*'契約別単価'!C7)</ns0:f>
        <ns0:v>2647.95530726257</ns0:v>
      </ns0:c>
      <ns0:c r="E372" s="16">
        <ns0:f>A372*('前提と出典'!$C$36*'契約別単価'!E5+'前提と出典'!$C$37*'契約別単価'!E6+'前提と出典'!$C$38*'契約別単価'!E7)</ns0:f>
        <ns0:v>712059.6336775107</ns0:v>
      </ns0:c>
      <ns0:c r="F372" s="16">
        <ns0:f>A372*('前提と出典'!$C$36*'契約別単価'!F5+'前提と出典'!$C$37*'契約別単価'!F6+'前提と出典'!$C$38*'契約別単価'!F7)</ns0:f>
        <ns0:v>279457.53653107403</ns0:v>
      </ns0:c>
      <ns0:c r="G372" s="16">
        <ns0:f>A372*('前提と出典'!$C$36*'契約別単価'!G5+'前提と出典'!$C$37*'契約別単価'!G6+'前提と出典'!$C$38*'契約別単価'!G7)</ns0:f>
        <ns0:v>732505.0279329609</ns0:v>
      </ns0:c>
      <ns0:c r="H372" s="16">
        <ns0:f>A372*('前提と出典'!$C$36*'契約別単価'!H5+'前提と出典'!$C$37*'契約別単価'!H6+'前提と出典'!$C$38*'契約別単価'!H7)</ns0:f>
        <ns0:v>254215.9827068302</ns0:v>
      </ns0:c>
      <ns0:c r="I372" s="16">
        <ns0:f>A372*('前提と出典'!$C$36*'契約別単価'!I5+'前提と出典'!$C$37*'契約別単価'!I6+'前提と出典'!$C$38*'契約別単価'!I7)</ns0:f>
        <ns0:v>15527.955307262568</ns0:v>
      </ns0:c>
      <ns0:c r="J372" s="16">
        <ns0:f>A372*('前提と出典'!$C$36*'契約別単価'!J5+'前提と出典'!$C$37*'契約別単価'!J6+'前提と出典'!$C$38*'契約別単価'!J7)</ns0:f>
        <ns0:v>36170.55208539135</ns0:v>
      </ns0:c>
      <ns0:c r="K372" s="16">
        <ns0:f>A372*('前提と出典'!$C$36*'契約別単価'!K5+'前提と出典'!$C$37*'契約別単価'!K6+'前提と出典'!$C$38*'契約別単価'!K7)</ns0:f>
        <ns0:v>155039.70204841712</ns0:v>
      </ns0:c>
      <ns0:c r="L372" s="16">
        <ns0:f>A372*('前提と出典'!$C$36*'契約別単価'!L5+'前提と出典'!$C$37*'契約別単価'!L6+'前提と出典'!$C$38*'契約別単価'!L7)</ns0:f>
        <ns0:v>126233.86609022768</ns0:v>
      </ns0:c>
      <ns0:c r="M372" s="16">
        <ns0:f>IF(('前提と出典'!$C$36+'前提と出典'!$C$38)=0,0,IF(B372&lt;=10,'前提と出典'!B73+'前提と出典'!C73,IF(B372&lt;=100,'前提と出典'!B74+'前提と出典'!C74,IF(B372&lt;=500,'前提と出典'!B75+'前提と出典'!C75,'前提と出典'!B76+'前提と出典'!C76))))</ns0:f>
        <ns0:v>40000</ns0:v>
      </ns0:c>
      <ns0:c r="N372" s="16">
        <ns0:f>IF(('前提と出典'!$C$37+'前提と出典'!$C$38)=0,0,IF(C372&lt;=10,'前提と出典'!D73+'前提と出典'!E73,IF(C372&lt;=100,'前提と出典'!D74+'前提と出典'!E74,IF(C372&lt;=500,'前提と出典'!D75+'前提と出典'!E75,'前提と出典'!D76+'前提と出典'!E76))))</ns0:f>
        <ns0:v>56510.9346263078</ns0:v>
      </ns0:c>
      <ns0:c r="O372" s="16">
        <ns0:f>IF('前提と出典'!$C$36+'前提と出典'!$C$38=0,0,'前提と出典'!$B$4*IF('前提と出典'!$B$20=0,MAX('前提と出典'!$B$6,D372*'前提と出典'!$B$5),'前提と出典'!$B$6+D372*'前提と出典'!$B$5))</ns0:f>
        <ns0:v>365417.8324022347</ns0:v>
      </ns0:c>
      <ns0:c r="P372" s="16">
        <ns0:f>(E372+G372)*(1-'前提と出典'!$B$7)-I372-K372-M372-O372</ns0:f>
        <ns0:v>816574.8440345802</ns0:v>
      </ns0:c>
      <ns0:c r="Q372" s="16">
        <ns0:f>(F372+H372)*(1-'前提と出典'!$B$7)-J372-L372-N372</ns0:f>
        <ns0:v>295545.9197434128</ns0:v>
      </ns0:c>
      <ns0:c r="R372" s="16">
        <ns0:f>P372-E372*'前提と出典'!$E$4</ns0:f>
        <ns0:v>602956.9539313272</ns0:v>
      </ns0:c>
      <ns0:c r="S372" s="16">
        <ns0:f>Q372-F372*'前提と出典'!$E$4</ns0:f>
        <ns0:v>211708.6587840906</ns0:v>
      </ns0:c>
      <ns0:c r="T372" s="7">
        <ns0:f>R372+S372</ns0:f>
        <ns0:v>814665.6127154178</ns0:v>
      </ns0:c>
      <ns0:c r="U372" s="16">
        <ns0:f>P372-E372*'前提と出典'!$E$5</ns0:f>
        <ns0:v>531750.9905635759</ns0:v>
      </ns0:c>
      <ns0:c r="V372" s="16">
        <ns0:f>Q372-F372*'前提と出典'!$E$5</ns0:f>
        <ns0:v>183762.9051309832</ns0:v>
      </ns0:c>
      <ns0:c r="W372" s="7">
        <ns0:f>U372+V372</ns0:f>
        <ns0:v>715513.8956945591</ns0:v>
      </ns0:c>
      <ns0:c r="X372" s="16">
        <ns0:f>P372-E372*'前提と出典'!$E$6</ns0:f>
        <ns0:v>460545.02719582495</ns0:v>
      </ns0:c>
      <ns0:c r="Y372" s="16">
        <ns0:f>Q372-F372*'前提と出典'!$E$6</ns0:f>
        <ns0:v>155817.15147787583</ns0:v>
      </ns0:c>
      <ns0:c r="Z372" s="7">
        <ns0:f>X372+Y372</ns0:f>
        <ns0:v>616362.1786737008</ns0:v>
      </ns0:c>
      <ns0:c r="AA372" s="7">
        <ns0:f>IF(T372&gt;=0,A372,1001)</ns0:f>
        <ns0:v>368</ns0:v>
      </ns0:c>
      <ns0:c r="AB372" s="7">
        <ns0:f>IF(T372&lt;0,A372,0)</ns0:f>
        <ns0:v>0</ns0:v>
      </ns0:c>
      <ns0:c r="AC372" s="16">
        <ns0:f>IF(AND(OR('前提と出典'!$C$36+'前提と出典'!$C$38=0,R372&gt;=0),OR('前提と出典'!$C$37+'前提と出典'!$C$38=0,S372&gt;=0)),0,A372)</ns0:f>
        <ns0:v>0</ns0:v>
      </ns0:c>
      <ns0:c r="AD372" s="7">
        <ns0:f>IF(W372&gt;=0,A372,1001)</ns0:f>
        <ns0:v>368</ns0:v>
      </ns0:c>
      <ns0:c r="AE372" s="7">
        <ns0:f>IF(W372&lt;0,A372,0)</ns0:f>
        <ns0:v>0</ns0:v>
      </ns0:c>
      <ns0:c r="AF372" s="16">
        <ns0:f>IF(AND(OR('前提と出典'!$C$36+'前提と出典'!$C$38=0,U372&gt;=0),OR('前提と出典'!$C$37+'前提と出典'!$C$38=0,V372&gt;=0)),0,A372)</ns0:f>
        <ns0:v>0</ns0:v>
      </ns0:c>
      <ns0:c r="AG372" s="7">
        <ns0:f>IF(Z372&gt;=0,A372,1001)</ns0:f>
        <ns0:v>368</ns0:v>
      </ns0:c>
      <ns0:c r="AH372" s="4">
        <ns0:f>IF(Z372&lt;0,A372,0)</ns0:f>
        <ns0:v>0</ns0:v>
      </ns0:c>
      <ns0:c r="AI372" s="12">
        <ns0:f>IF(AND(OR('前提と出典'!$C$36+'前提と出典'!$C$38=0,X372&gt;=0),OR('前提と出典'!$C$37+'前提と出典'!$C$38=0,Y372&gt;=0)),0,A372)</ns0:f>
        <ns0:v>0</ns0:v>
      </ns0:c>
    </ns0:row>
    <ns0:row r="373" ht="24" customHeight="1">
      <ns0:c r="A373" s="4" t="n">
        <ns0:v>369</ns0:v>
      </ns0:c>
      <ns0:c r="B373" s="12">
        <ns0:f>A373*('前提と出典'!$C$36+'前提と出典'!$C$38)</ns0:f>
        <ns0:v>258.3</ns0:v>
      </ns0:c>
      <ns0:c r="C373" s="12">
        <ns0:f>A373*('前提と出典'!$C$37+'前提と出典'!$C$38)</ns0:f>
        <ns0:v>221.4</ns0:v>
      </ns0:c>
      <ns0:c r="D373" s="16">
        <ns0:f>A373*('前提と出典'!$C$36*'契約別単価'!C5+'前提と出典'!$C$37*'契約別単価'!C6+'前提と出典'!$C$38*'契約別単価'!C7)</ns0:f>
        <ns0:v>2655.150837988827</ns0:v>
      </ns0:c>
      <ns0:c r="E373" s="16">
        <ns0:f>A373*('前提と出典'!$C$36*'契約別単価'!E5+'前提と出典'!$C$37*'契約別単価'!E6+'前提と出典'!$C$38*'契約別単価'!E7)</ns0:f>
        <ns0:v>713994.578334243</ns0:v>
      </ns0:c>
      <ns0:c r="F373" s="16">
        <ns0:f>A373*('前提と出典'!$C$36*'契約別単価'!F5+'前提と出典'!$C$37*'契約別単価'!F6+'前提と出典'!$C$38*'契約別単価'!F7)</ns0:f>
        <ns0:v>280216.93201077805</ns0:v>
      </ns0:c>
      <ns0:c r="G373" s="16">
        <ns0:f>A373*('前提と出典'!$C$36*'契約別単価'!G5+'前提と出典'!$C$37*'契約別単価'!G6+'前提と出典'!$C$38*'契約別単価'!G7)</ns0:f>
        <ns0:v>734495.5307262569</ns0:v>
      </ns0:c>
      <ns0:c r="H373" s="16">
        <ns0:f>A373*('前提と出典'!$C$36*'契約別単価'!H5+'前提と出典'!$C$37*'契約別単価'!H6+'前提と出典'!$C$38*'契約別単価'!H7)</ns0:f>
        <ns0:v>254906.78700766398</ns0:v>
      </ns0:c>
      <ns0:c r="I373" s="16">
        <ns0:f>A373*('前提と出典'!$C$36*'契約別単価'!I5+'前提と出典'!$C$37*'契約別単価'!I6+'前提と出典'!$C$38*'契約別単価'!I7)</ns0:f>
        <ns0:v>15570.150837988824</ns0:v>
      </ns0:c>
      <ns0:c r="J373" s="16">
        <ns0:f>A373*('前提と出典'!$C$36*'契約別単価'!J5+'前提と出典'!$C$37*'契約別単価'!J6+'前提と出典'!$C$38*'契約別単価'!J7)</ns0:f>
        <ns0:v>36268.84162910165</ns0:v>
      </ns0:c>
      <ns0:c r="K373" s="16">
        <ns0:f>A373*('前提と出典'!$C$36*'契約別単価'!K5+'前提と出典'!$C$37*'契約別単価'!K6+'前提と出典'!$C$38*'契約別単価'!K7)</ns0:f>
        <ns0:v>155461.00558659216</ns0:v>
      </ns0:c>
      <ns0:c r="L373" s="16">
        <ns0:f>A373*('前提と出典'!$C$36*'契約別単価'!L5+'前提と出典'!$C$37*'契約別単価'!L6+'前提と出典'!$C$38*'契約別単価'!L7)</ns0:f>
        <ns0:v>126576.89290025547</ns0:v>
      </ns0:c>
      <ns0:c r="M373" s="16">
        <ns0:f>IF(('前提と出典'!$C$36+'前提と出典'!$C$38)=0,0,IF(B373&lt;=10,'前提と出典'!B73+'前提と出典'!C73,IF(B373&lt;=100,'前提と出典'!B74+'前提と出典'!C74,IF(B373&lt;=500,'前提と出典'!B75+'前提と出典'!C75,'前提と出典'!B76+'前提と出典'!C76))))</ns0:f>
        <ns0:v>40000</ns0:v>
      </ns0:c>
      <ns0:c r="N373" s="16">
        <ns0:f>IF(('前提と出典'!$C$37+'前提と出典'!$C$38)=0,0,IF(C373&lt;=10,'前提と出典'!D73+'前提と出典'!E73,IF(C373&lt;=100,'前提と出典'!D74+'前提と出典'!E74,IF(C373&lt;=500,'前提と出典'!D75+'前提と出典'!E75,'前提と出典'!D76+'前提と出典'!E76))))</ns0:f>
        <ns0:v>56510.9346263078</ns0:v>
      </ns0:c>
      <ns0:c r="O373" s="16">
        <ns0:f>IF('前提と出典'!$C$36+'前提と出典'!$C$38=0,0,'前提と出典'!$B$4*IF('前提と出典'!$B$20=0,MAX('前提と出典'!$B$6,D373*'前提と出典'!$B$5),'前提と出典'!$B$6+D373*'前提と出典'!$B$5))</ns0:f>
        <ns0:v>366410.8156424581</ns0:v>
      </ns0:c>
      <ns0:c r="P373" s="16">
        <ns0:f>(E373+G373)*(1-'前提と出典'!$B$7)-I373-K373-M373-O373</ns0:f>
        <ns0:v>818902.4930672827</ns0:v>
      </ns0:c>
      <ns0:c r="Q373" s="16">
        <ns0:f>(F373+H373)*(1-'前提と出典'!$B$7)-J373-L373-N373</ns0:f>
        <ns0:v>296502.59597811324</ns0:v>
      </ns0:c>
      <ns0:c r="R373" s="16">
        <ns0:f>P373-E373*'前提と出典'!$E$4</ns0:f>
        <ns0:v>604704.1195670101</ns0:v>
      </ns0:c>
      <ns0:c r="S373" s="16">
        <ns0:f>Q373-F373*'前提と出典'!$E$4</ns0:f>
        <ns0:v>212437.5163748798</ns0:v>
      </ns0:c>
      <ns0:c r="T373" s="7">
        <ns0:f>R373+S373</ns0:f>
        <ns0:v>817141.6359418898</ns0:v>
      </ns0:c>
      <ns0:c r="U373" s="16">
        <ns0:f>P373-E373*'前提と出典'!$E$5</ns0:f>
        <ns0:v>533304.6617335854</ns0:v>
      </ns0:c>
      <ns0:c r="V373" s="16">
        <ns0:f>Q373-F373*'前提と出典'!$E$5</ns0:f>
        <ns0:v>184415.823173802</ns0:v>
      </ns0:c>
      <ns0:c r="W373" s="7">
        <ns0:f>U373+V373</ns0:f>
        <ns0:v>717720.4849073874</ns0:v>
      </ns0:c>
      <ns0:c r="X373" s="16">
        <ns0:f>P373-E373*'前提と出典'!$E$6</ns0:f>
        <ns0:v>461905.20390016126</ns0:v>
      </ns0:c>
      <ns0:c r="Y373" s="16">
        <ns0:f>Q373-F373*'前提と出典'!$E$6</ns0:f>
        <ns0:v>156394.12997272424</ns0:v>
      </ns0:c>
      <ns0:c r="Z373" s="7">
        <ns0:f>X373+Y373</ns0:f>
        <ns0:v>618299.3338728854</ns0:v>
      </ns0:c>
      <ns0:c r="AA373" s="7">
        <ns0:f>IF(T373&gt;=0,A373,1001)</ns0:f>
        <ns0:v>369</ns0:v>
      </ns0:c>
      <ns0:c r="AB373" s="7">
        <ns0:f>IF(T373&lt;0,A373,0)</ns0:f>
        <ns0:v>0</ns0:v>
      </ns0:c>
      <ns0:c r="AC373" s="16">
        <ns0:f>IF(AND(OR('前提と出典'!$C$36+'前提と出典'!$C$38=0,R373&gt;=0),OR('前提と出典'!$C$37+'前提と出典'!$C$38=0,S373&gt;=0)),0,A373)</ns0:f>
        <ns0:v>0</ns0:v>
      </ns0:c>
      <ns0:c r="AD373" s="7">
        <ns0:f>IF(W373&gt;=0,A373,1001)</ns0:f>
        <ns0:v>369</ns0:v>
      </ns0:c>
      <ns0:c r="AE373" s="7">
        <ns0:f>IF(W373&lt;0,A373,0)</ns0:f>
        <ns0:v>0</ns0:v>
      </ns0:c>
      <ns0:c r="AF373" s="16">
        <ns0:f>IF(AND(OR('前提と出典'!$C$36+'前提と出典'!$C$38=0,U373&gt;=0),OR('前提と出典'!$C$37+'前提と出典'!$C$38=0,V373&gt;=0)),0,A373)</ns0:f>
        <ns0:v>0</ns0:v>
      </ns0:c>
      <ns0:c r="AG373" s="7">
        <ns0:f>IF(Z373&gt;=0,A373,1001)</ns0:f>
        <ns0:v>369</ns0:v>
      </ns0:c>
      <ns0:c r="AH373" s="4">
        <ns0:f>IF(Z373&lt;0,A373,0)</ns0:f>
        <ns0:v>0</ns0:v>
      </ns0:c>
      <ns0:c r="AI373" s="12">
        <ns0:f>IF(AND(OR('前提と出典'!$C$36+'前提と出典'!$C$38=0,X373&gt;=0),OR('前提と出典'!$C$37+'前提と出典'!$C$38=0,Y373&gt;=0)),0,A373)</ns0:f>
        <ns0:v>0</ns0:v>
      </ns0:c>
    </ns0:row>
    <ns0:row r="374" ht="24" customHeight="1">
      <ns0:c r="A374" s="4" t="n">
        <ns0:v>370</ns0:v>
      </ns0:c>
      <ns0:c r="B374" s="12">
        <ns0:f>A374*('前提と出典'!$C$36+'前提と出典'!$C$38)</ns0:f>
        <ns0:v>259</ns0:v>
      </ns0:c>
      <ns0:c r="C374" s="12">
        <ns0:f>A374*('前提と出典'!$C$37+'前提と出典'!$C$38)</ns0:f>
        <ns0:v>222</ns0:v>
      </ns0:c>
      <ns0:c r="D374" s="16">
        <ns0:f>A374*('前提と出典'!$C$36*'契約別単価'!C5+'前提と出典'!$C$37*'契約別単価'!C6+'前提と出典'!$C$38*'契約別単価'!C7)</ns0:f>
        <ns0:v>2662.346368715084</ns0:v>
      </ns0:c>
      <ns0:c r="E374" s="16">
        <ns0:f>A374*('前提と出典'!$C$36*'契約別単価'!E5+'前提と出典'!$C$37*'契約別単価'!E6+'前提と出典'!$C$38*'契約別単価'!E7)</ns0:f>
        <ns0:v>715929.5229909754</ns0:v>
      </ns0:c>
      <ns0:c r="F374" s="16">
        <ns0:f>A374*('前提と出典'!$C$36*'契約別単価'!F5+'前提と出典'!$C$37*'契約別単価'!F6+'前提と出典'!$C$38*'契約別単価'!F7)</ns0:f>
        <ns0:v>280976.3274904821</ns0:v>
      </ns0:c>
      <ns0:c r="G374" s="16">
        <ns0:f>A374*('前提と出典'!$C$36*'契約別単価'!G5+'前提と出典'!$C$37*'契約別単価'!G6+'前提と出典'!$C$38*'契約別単価'!G7)</ns0:f>
        <ns0:v>736486.033519553</ns0:v>
      </ns0:c>
      <ns0:c r="H374" s="16">
        <ns0:f>A374*('前提と出典'!$C$36*'契約別単価'!H5+'前提と出典'!$C$37*'契約別単価'!H6+'前提と出典'!$C$38*'契約別単価'!H7)</ns0:f>
        <ns0:v>255597.59130849774</ns0:v>
      </ns0:c>
      <ns0:c r="I374" s="16">
        <ns0:f>A374*('前提と出典'!$C$36*'契約別単価'!I5+'前提と出典'!$C$37*'契約別単価'!I6+'前提と出典'!$C$38*'契約別単価'!I7)</ns0:f>
        <ns0:v>15612.346368715082</ns0:v>
      </ns0:c>
      <ns0:c r="J374" s="16">
        <ns0:f>A374*('前提と出典'!$C$36*'契約別単価'!J5+'前提と出典'!$C$37*'契約別単価'!J6+'前提と出典'!$C$38*'契約別単価'!J7)</ns0:f>
        <ns0:v>36367.13117281195</ns0:v>
      </ns0:c>
      <ns0:c r="K374" s="16">
        <ns0:f>A374*('前提と出典'!$C$36*'契約別単価'!K5+'前提と出典'!$C$37*'契約別単価'!K6+'前提と出典'!$C$38*'契約別単価'!K7)</ns0:f>
        <ns0:v>155882.30912476723</ns0:v>
      </ns0:c>
      <ns0:c r="L374" s="16">
        <ns0:f>A374*('前提と出典'!$C$36*'契約別単価'!L5+'前提と出典'!$C$37*'契約別単価'!L6+'前提と出典'!$C$38*'契約別単価'!L7)</ns0:f>
        <ns0:v>126919.91971028325</ns0:v>
      </ns0:c>
      <ns0:c r="M374" s="16">
        <ns0:f>IF(('前提と出典'!$C$36+'前提と出典'!$C$38)=0,0,IF(B374&lt;=10,'前提と出典'!B73+'前提と出典'!C73,IF(B374&lt;=100,'前提と出典'!B74+'前提と出典'!C74,IF(B374&lt;=500,'前提と出典'!B75+'前提と出典'!C75,'前提と出典'!B76+'前提と出典'!C76))))</ns0:f>
        <ns0:v>40000</ns0:v>
      </ns0:c>
      <ns0:c r="N374" s="16">
        <ns0:f>IF(('前提と出典'!$C$37+'前提と出典'!$C$38)=0,0,IF(C374&lt;=10,'前提と出典'!D73+'前提と出典'!E73,IF(C374&lt;=100,'前提と出典'!D74+'前提と出典'!E74,IF(C374&lt;=500,'前提と出典'!D75+'前提と出典'!E75,'前提と出典'!D76+'前提と出典'!E76))))</ns0:f>
        <ns0:v>56510.9346263078</ns0:v>
      </ns0:c>
      <ns0:c r="O374" s="16">
        <ns0:f>IF('前提と出典'!$C$36+'前提と出典'!$C$38=0,0,'前提と出典'!$B$4*IF('前提と出典'!$B$20=0,MAX('前提と出典'!$B$6,D374*'前提と出典'!$B$5),'前提と出典'!$B$6+D374*'前提と出典'!$B$5))</ns0:f>
        <ns0:v>367403.7988826816</ns0:v>
      </ns0:c>
      <ns0:c r="P374" s="16">
        <ns0:f>(E374+G374)*(1-'前提と出典'!$B$7)-I374-K374-M374-O374</ns0:f>
        <ns0:v>821230.1420999856</ns0:v>
      </ns0:c>
      <ns0:c r="Q374" s="16">
        <ns0:f>(F374+H374)*(1-'前提と出典'!$B$7)-J374-L374-N374</ns0:f>
        <ns0:v>297459.2722128135</ns0:v>
      </ns0:c>
      <ns0:c r="R374" s="16">
        <ns0:f>P374-E374*'前提と出典'!$E$4</ns0:f>
        <ns0:v>606451.285202693</ns0:v>
      </ns0:c>
      <ns0:c r="S374" s="16">
        <ns0:f>Q374-F374*'前提と出典'!$E$4</ns0:f>
        <ns0:v>213166.37396566884</ns0:v>
      </ns0:c>
      <ns0:c r="T374" s="7">
        <ns0:f>R374+S374</ns0:f>
        <ns0:v>819617.6591683618</ns0:v>
      </ns0:c>
      <ns0:c r="U374" s="16">
        <ns0:f>P374-E374*'前提と出典'!$E$5</ns0:f>
        <ns0:v>534858.3329035954</ns0:v>
      </ns0:c>
      <ns0:c r="V374" s="16">
        <ns0:f>Q374-F374*'前提と出典'!$E$5</ns0:f>
        <ns0:v>185068.7412166207</ns0:v>
      </ns0:c>
      <ns0:c r="W374" s="7">
        <ns0:f>U374+V374</ns0:f>
        <ns0:v>719927.0741202161</ns0:v>
      </ns0:c>
      <ns0:c r="X374" s="16">
        <ns0:f>P374-E374*'前提と出典'!$E$6</ns0:f>
        <ns0:v>463265.3806044979</ns0:v>
      </ns0:c>
      <ns0:c r="Y374" s="16">
        <ns0:f>Q374-F374*'前提と出典'!$E$6</ns0:f>
        <ns0:v>156971.1084675725</ns0:v>
      </ns0:c>
      <ns0:c r="Z374" s="7">
        <ns0:f>X374+Y374</ns0:f>
        <ns0:v>620236.4890720705</ns0:v>
      </ns0:c>
      <ns0:c r="AA374" s="7">
        <ns0:f>IF(T374&gt;=0,A374,1001)</ns0:f>
        <ns0:v>370</ns0:v>
      </ns0:c>
      <ns0:c r="AB374" s="7">
        <ns0:f>IF(T374&lt;0,A374,0)</ns0:f>
        <ns0:v>0</ns0:v>
      </ns0:c>
      <ns0:c r="AC374" s="16">
        <ns0:f>IF(AND(OR('前提と出典'!$C$36+'前提と出典'!$C$38=0,R374&gt;=0),OR('前提と出典'!$C$37+'前提と出典'!$C$38=0,S374&gt;=0)),0,A374)</ns0:f>
        <ns0:v>0</ns0:v>
      </ns0:c>
      <ns0:c r="AD374" s="7">
        <ns0:f>IF(W374&gt;=0,A374,1001)</ns0:f>
        <ns0:v>370</ns0:v>
      </ns0:c>
      <ns0:c r="AE374" s="7">
        <ns0:f>IF(W374&lt;0,A374,0)</ns0:f>
        <ns0:v>0</ns0:v>
      </ns0:c>
      <ns0:c r="AF374" s="16">
        <ns0:f>IF(AND(OR('前提と出典'!$C$36+'前提と出典'!$C$38=0,U374&gt;=0),OR('前提と出典'!$C$37+'前提と出典'!$C$38=0,V374&gt;=0)),0,A374)</ns0:f>
        <ns0:v>0</ns0:v>
      </ns0:c>
      <ns0:c r="AG374" s="7">
        <ns0:f>IF(Z374&gt;=0,A374,1001)</ns0:f>
        <ns0:v>370</ns0:v>
      </ns0:c>
      <ns0:c r="AH374" s="4">
        <ns0:f>IF(Z374&lt;0,A374,0)</ns0:f>
        <ns0:v>0</ns0:v>
      </ns0:c>
      <ns0:c r="AI374" s="12">
        <ns0:f>IF(AND(OR('前提と出典'!$C$36+'前提と出典'!$C$38=0,X374&gt;=0),OR('前提と出典'!$C$37+'前提と出典'!$C$38=0,Y374&gt;=0)),0,A374)</ns0:f>
        <ns0:v>0</ns0:v>
      </ns0:c>
    </ns0:row>
    <ns0:row r="375" ht="24" customHeight="1">
      <ns0:c r="A375" s="4" t="n">
        <ns0:v>371</ns0:v>
      </ns0:c>
      <ns0:c r="B375" s="12">
        <ns0:f>A375*('前提と出典'!$C$36+'前提と出典'!$C$38)</ns0:f>
        <ns0:v>259.7</ns0:v>
      </ns0:c>
      <ns0:c r="C375" s="12">
        <ns0:f>A375*('前提と出典'!$C$37+'前提と出典'!$C$38)</ns0:f>
        <ns0:v>222.6</ns0:v>
      </ns0:c>
      <ns0:c r="D375" s="16">
        <ns0:f>A375*('前提と出典'!$C$36*'契約別単価'!C5+'前提と出典'!$C$37*'契約別単価'!C6+'前提と出典'!$C$38*'契約別単価'!C7)</ns0:f>
        <ns0:v>2669.541899441341</ns0:v>
      </ns0:c>
      <ns0:c r="E375" s="16">
        <ns0:f>A375*('前提と出典'!$C$36*'契約別単価'!E5+'前提と出典'!$C$37*'契約別単価'!E6+'前提と出典'!$C$38*'契約別単価'!E7)</ns0:f>
        <ns0:v>717864.4676477078</ns0:v>
      </ns0:c>
      <ns0:c r="F375" s="16">
        <ns0:f>A375*('前提と出典'!$C$36*'契約別単価'!F5+'前提と出典'!$C$37*'契約別単価'!F6+'前提と出典'!$C$38*'契約別単価'!F7)</ns0:f>
        <ns0:v>281735.72297018603</ns0:v>
      </ns0:c>
      <ns0:c r="G375" s="16">
        <ns0:f>A375*('前提と出典'!$C$36*'契約別単価'!G5+'前提と出典'!$C$37*'契約別単価'!G6+'前提と出典'!$C$38*'契約別単価'!G7)</ns0:f>
        <ns0:v>738476.5363128491</ns0:v>
      </ns0:c>
      <ns0:c r="H375" s="16">
        <ns0:f>A375*('前提と出典'!$C$36*'契約別単価'!H5+'前提と出典'!$C$37*'契約別単価'!H6+'前提と出典'!$C$38*'契約別単価'!H7)</ns0:f>
        <ns0:v>256288.39560933152</ns0:v>
      </ns0:c>
      <ns0:c r="I375" s="16">
        <ns0:f>A375*('前提と出典'!$C$36*'契約別単価'!I5+'前提と出典'!$C$37*'契約別単価'!I6+'前提と出典'!$C$38*'契約別単価'!I7)</ns0:f>
        <ns0:v>15654.541899441338</ns0:v>
      </ns0:c>
      <ns0:c r="J375" s="16">
        <ns0:f>A375*('前提と出典'!$C$36*'契約別単価'!J5+'前提と出典'!$C$37*'契約別単価'!J6+'前提と出典'!$C$38*'契約別単価'!J7)</ns0:f>
        <ns0:v>36465.420716522254</ns0:v>
      </ns0:c>
      <ns0:c r="K375" s="16">
        <ns0:f>A375*('前提と出典'!$C$36*'契約別単価'!K5+'前提と出典'!$C$37*'契約別単価'!K6+'前提と出典'!$C$38*'契約別単価'!K7)</ns0:f>
        <ns0:v>156303.61266294227</ns0:v>
      </ns0:c>
      <ns0:c r="L375" s="16">
        <ns0:f>A375*('前提と出典'!$C$36*'契約別単価'!L5+'前提と出典'!$C$37*'契約別単価'!L6+'前提と出典'!$C$38*'契約別単価'!L7)</ns0:f>
        <ns0:v>127262.94652031104</ns0:v>
      </ns0:c>
      <ns0:c r="M375" s="16">
        <ns0:f>IF(('前提と出典'!$C$36+'前提と出典'!$C$38)=0,0,IF(B375&lt;=10,'前提と出典'!B73+'前提と出典'!C73,IF(B375&lt;=100,'前提と出典'!B74+'前提と出典'!C74,IF(B375&lt;=500,'前提と出典'!B75+'前提と出典'!C75,'前提と出典'!B76+'前提と出典'!C76))))</ns0:f>
        <ns0:v>40000</ns0:v>
      </ns0:c>
      <ns0:c r="N375" s="16">
        <ns0:f>IF(('前提と出典'!$C$37+'前提と出典'!$C$38)=0,0,IF(C375&lt;=10,'前提と出典'!D73+'前提と出典'!E73,IF(C375&lt;=100,'前提と出典'!D74+'前提と出典'!E74,IF(C375&lt;=500,'前提と出典'!D75+'前提と出典'!E75,'前提と出典'!D76+'前提と出典'!E76))))</ns0:f>
        <ns0:v>56510.9346263078</ns0:v>
      </ns0:c>
      <ns0:c r="O375" s="16">
        <ns0:f>IF('前提と出典'!$C$36+'前提と出典'!$C$38=0,0,'前提と出典'!$B$4*IF('前提と出典'!$B$20=0,MAX('前提と出典'!$B$6,D375*'前提と出典'!$B$5),'前提と出典'!$B$6+D375*'前提と出典'!$B$5))</ns0:f>
        <ns0:v>368396.7821229051</ns0:v>
      </ns0:c>
      <ns0:c r="P375" s="16">
        <ns0:f>(E375+G375)*(1-'前提と出典'!$B$7)-I375-K375-M375-O375</ns0:f>
        <ns0:v>823557.7911326883</ns0:v>
      </ns0:c>
      <ns0:c r="Q375" s="16">
        <ns0:f>(F375+H375)*(1-'前提と出典'!$B$7)-J375-L375-N375</ns0:f>
        <ns0:v>298415.9484475138</ns0:v>
      </ns0:c>
      <ns0:c r="R375" s="16">
        <ns0:f>P375-E375*'前提と出典'!$E$4</ns0:f>
        <ns0:v>608198.4508383761</ns0:v>
      </ns0:c>
      <ns0:c r="S375" s="16">
        <ns0:f>Q375-F375*'前提と出典'!$E$4</ns0:f>
        <ns0:v>213895.231556458</ns0:v>
      </ns0:c>
      <ns0:c r="T375" s="7">
        <ns0:f>R375+S375</ns0:f>
        <ns0:v>822093.682394834</ns0:v>
      </ns0:c>
      <ns0:c r="U375" s="16">
        <ns0:f>P375-E375*'前提と出典'!$E$5</ns0:f>
        <ns0:v>536412.0040736052</ns0:v>
      </ns0:c>
      <ns0:c r="V375" s="16">
        <ns0:f>Q375-F375*'前提と出典'!$E$5</ns0:f>
        <ns0:v>185721.6592594394</ns0:v>
      </ns0:c>
      <ns0:c r="W375" s="7">
        <ns0:f>U375+V375</ns0:f>
        <ns0:v>722133.6633330446</ns0:v>
      </ns0:c>
      <ns0:c r="X375" s="16">
        <ns0:f>P375-E375*'前提と出典'!$E$6</ns0:f>
        <ns0:v>464625.557308834</ns0:v>
      </ns0:c>
      <ns0:c r="Y375" s="16">
        <ns0:f>Q375-F375*'前提と出典'!$E$6</ns0:f>
        <ns0:v>157548.08696242078</ns0:v>
      </ns0:c>
      <ns0:c r="Z375" s="7">
        <ns0:f>X375+Y375</ns0:f>
        <ns0:v>622173.6442712548</ns0:v>
      </ns0:c>
      <ns0:c r="AA375" s="7">
        <ns0:f>IF(T375&gt;=0,A375,1001)</ns0:f>
        <ns0:v>371</ns0:v>
      </ns0:c>
      <ns0:c r="AB375" s="7">
        <ns0:f>IF(T375&lt;0,A375,0)</ns0:f>
        <ns0:v>0</ns0:v>
      </ns0:c>
      <ns0:c r="AC375" s="16">
        <ns0:f>IF(AND(OR('前提と出典'!$C$36+'前提と出典'!$C$38=0,R375&gt;=0),OR('前提と出典'!$C$37+'前提と出典'!$C$38=0,S375&gt;=0)),0,A375)</ns0:f>
        <ns0:v>0</ns0:v>
      </ns0:c>
      <ns0:c r="AD375" s="7">
        <ns0:f>IF(W375&gt;=0,A375,1001)</ns0:f>
        <ns0:v>371</ns0:v>
      </ns0:c>
      <ns0:c r="AE375" s="7">
        <ns0:f>IF(W375&lt;0,A375,0)</ns0:f>
        <ns0:v>0</ns0:v>
      </ns0:c>
      <ns0:c r="AF375" s="16">
        <ns0:f>IF(AND(OR('前提と出典'!$C$36+'前提と出典'!$C$38=0,U375&gt;=0),OR('前提と出典'!$C$37+'前提と出典'!$C$38=0,V375&gt;=0)),0,A375)</ns0:f>
        <ns0:v>0</ns0:v>
      </ns0:c>
      <ns0:c r="AG375" s="7">
        <ns0:f>IF(Z375&gt;=0,A375,1001)</ns0:f>
        <ns0:v>371</ns0:v>
      </ns0:c>
      <ns0:c r="AH375" s="4">
        <ns0:f>IF(Z375&lt;0,A375,0)</ns0:f>
        <ns0:v>0</ns0:v>
      </ns0:c>
      <ns0:c r="AI375" s="12">
        <ns0:f>IF(AND(OR('前提と出典'!$C$36+'前提と出典'!$C$38=0,X375&gt;=0),OR('前提と出典'!$C$37+'前提と出典'!$C$38=0,Y375&gt;=0)),0,A375)</ns0:f>
        <ns0:v>0</ns0:v>
      </ns0:c>
    </ns0:row>
    <ns0:row r="376" ht="24" customHeight="1">
      <ns0:c r="A376" s="4" t="n">
        <ns0:v>372</ns0:v>
      </ns0:c>
      <ns0:c r="B376" s="12">
        <ns0:f>A376*('前提と出典'!$C$36+'前提と出典'!$C$38)</ns0:f>
        <ns0:v>260.4</ns0:v>
      </ns0:c>
      <ns0:c r="C376" s="12">
        <ns0:f>A376*('前提と出典'!$C$37+'前提と出典'!$C$38)</ns0:f>
        <ns0:v>223.2</ns0:v>
      </ns0:c>
      <ns0:c r="D376" s="16">
        <ns0:f>A376*('前提と出典'!$C$36*'契約別単価'!C5+'前提と出典'!$C$37*'契約別単価'!C6+'前提と出典'!$C$38*'契約別単価'!C7)</ns0:f>
        <ns0:v>2676.7374301675977</ns0:v>
      </ns0:c>
      <ns0:c r="E376" s="16">
        <ns0:f>A376*('前提と出典'!$C$36*'契約別単価'!E5+'前提と出典'!$C$37*'契約別単価'!E6+'前提と出典'!$C$38*'契約別単価'!E7)</ns0:f>
        <ns0:v>719799.4123044402</ns0:v>
      </ns0:c>
      <ns0:c r="F376" s="16">
        <ns0:f>A376*('前提と出典'!$C$36*'契約別単価'!F5+'前提と出典'!$C$37*'契約別単価'!F6+'前提と出典'!$C$38*'契約別単価'!F7)</ns0:f>
        <ns0:v>282495.11844989005</ns0:v>
      </ns0:c>
      <ns0:c r="G376" s="16">
        <ns0:f>A376*('前提と出典'!$C$36*'契約別単価'!G5+'前提と出典'!$C$37*'契約別単価'!G6+'前提と出典'!$C$38*'契約別単価'!G7)</ns0:f>
        <ns0:v>740467.0391061453</ns0:v>
      </ns0:c>
      <ns0:c r="H376" s="16">
        <ns0:f>A376*('前提と出典'!$C$36*'契約別単価'!H5+'前提と出典'!$C$37*'契約別単価'!H6+'前提と出典'!$C$38*'契約別単価'!H7)</ns0:f>
        <ns0:v>256979.1999101653</ns0:v>
      </ns0:c>
      <ns0:c r="I376" s="16">
        <ns0:f>A376*('前提と出典'!$C$36*'契約別単価'!I5+'前提と出典'!$C$37*'契約別単価'!I6+'前提と出典'!$C$38*'契約別単価'!I7)</ns0:f>
        <ns0:v>15696.737430167595</ns0:v>
      </ns0:c>
      <ns0:c r="J376" s="16">
        <ns0:f>A376*('前提と出典'!$C$36*'契約別単価'!J5+'前提と出典'!$C$37*'契約別単価'!J6+'前提と出典'!$C$38*'契約別単価'!J7)</ns0:f>
        <ns0:v>36563.710260232554</ns0:v>
      </ns0:c>
      <ns0:c r="K376" s="16">
        <ns0:f>A376*('前提と出典'!$C$36*'契約別単価'!K5+'前提と出典'!$C$37*'契約別単価'!K6+'前提と出典'!$C$38*'契約別単価'!K7)</ns0:f>
        <ns0:v>156724.9162011173</ns0:v>
      </ns0:c>
      <ns0:c r="L376" s="16">
        <ns0:f>A376*('前提と出典'!$C$36*'契約別単価'!L5+'前提と出典'!$C$37*'契約別単価'!L6+'前提と出典'!$C$38*'契約別単価'!L7)</ns0:f>
        <ns0:v>127605.97333033883</ns0:v>
      </ns0:c>
      <ns0:c r="M376" s="16">
        <ns0:f>IF(('前提と出典'!$C$36+'前提と出典'!$C$38)=0,0,IF(B376&lt;=10,'前提と出典'!B73+'前提と出典'!C73,IF(B376&lt;=100,'前提と出典'!B74+'前提と出典'!C74,IF(B376&lt;=500,'前提と出典'!B75+'前提と出典'!C75,'前提と出典'!B76+'前提と出典'!C76))))</ns0:f>
        <ns0:v>40000</ns0:v>
      </ns0:c>
      <ns0:c r="N376" s="16">
        <ns0:f>IF(('前提と出典'!$C$37+'前提と出典'!$C$38)=0,0,IF(C376&lt;=10,'前提と出典'!D73+'前提と出典'!E73,IF(C376&lt;=100,'前提と出典'!D74+'前提と出典'!E74,IF(C376&lt;=500,'前提と出典'!D75+'前提と出典'!E75,'前提と出典'!D76+'前提と出典'!E76))))</ns0:f>
        <ns0:v>56510.9346263078</ns0:v>
      </ns0:c>
      <ns0:c r="O376" s="16">
        <ns0:f>IF('前提と出典'!$C$36+'前提と出典'!$C$38=0,0,'前提と出典'!$B$4*IF('前提と出典'!$B$20=0,MAX('前提と出典'!$B$6,D376*'前提と出典'!$B$5),'前提と出典'!$B$6+D376*'前提と出典'!$B$5))</ns0:f>
        <ns0:v>369389.7653631285</ns0:v>
      </ns0:c>
      <ns0:c r="P376" s="16">
        <ns0:f>(E376+G376)*(1-'前提と出典'!$B$7)-I376-K376-M376-O376</ns0:f>
        <ns0:v>825885.440165391</ns0:v>
      </ns0:c>
      <ns0:c r="Q376" s="16">
        <ns0:f>(F376+H376)*(1-'前提と出典'!$B$7)-J376-L376-N376</ns0:f>
        <ns0:v>299372.6246822141</ns0:v>
      </ns0:c>
      <ns0:c r="R376" s="16">
        <ns0:f>P376-E376*'前提と出典'!$E$4</ns0:f>
        <ns0:v>609945.616474059</ns0:v>
      </ns0:c>
      <ns0:c r="S376" s="16">
        <ns0:f>Q376-F376*'前提と出典'!$E$4</ns0:f>
        <ns0:v>214624.08914724714</ns0:v>
      </ns0:c>
      <ns0:c r="T376" s="7">
        <ns0:f>R376+S376</ns0:f>
        <ns0:v>824569.7056213061</ns0:v>
      </ns0:c>
      <ns0:c r="U376" s="16">
        <ns0:f>P376-E376*'前提と出典'!$E$5</ns0:f>
        <ns0:v>537965.6752436149</ns0:v>
      </ns0:c>
      <ns0:c r="V376" s="16">
        <ns0:f>Q376-F376*'前提と出典'!$E$5</ns0:f>
        <ns0:v>186374.5773022581</ns0:v>
      </ns0:c>
      <ns0:c r="W376" s="7">
        <ns0:f>U376+V376</ns0:f>
        <ns0:v>724340.252545873</ns0:v>
      </ns0:c>
      <ns0:c r="X376" s="16">
        <ns0:f>P376-E376*'前提と出典'!$E$6</ns0:f>
        <ns0:v>465985.73401317094</ns0:v>
      </ns0:c>
      <ns0:c r="Y376" s="16">
        <ns0:f>Q376-F376*'前提と出典'!$E$6</ns0:f>
        <ns0:v>158125.06545726908</ns0:v>
      </ns0:c>
      <ns0:c r="Z376" s="7">
        <ns0:f>X376+Y376</ns0:f>
        <ns0:v>624110.79947044</ns0:v>
      </ns0:c>
      <ns0:c r="AA376" s="7">
        <ns0:f>IF(T376&gt;=0,A376,1001)</ns0:f>
        <ns0:v>372</ns0:v>
      </ns0:c>
      <ns0:c r="AB376" s="7">
        <ns0:f>IF(T376&lt;0,A376,0)</ns0:f>
        <ns0:v>0</ns0:v>
      </ns0:c>
      <ns0:c r="AC376" s="16">
        <ns0:f>IF(AND(OR('前提と出典'!$C$36+'前提と出典'!$C$38=0,R376&gt;=0),OR('前提と出典'!$C$37+'前提と出典'!$C$38=0,S376&gt;=0)),0,A376)</ns0:f>
        <ns0:v>0</ns0:v>
      </ns0:c>
      <ns0:c r="AD376" s="7">
        <ns0:f>IF(W376&gt;=0,A376,1001)</ns0:f>
        <ns0:v>372</ns0:v>
      </ns0:c>
      <ns0:c r="AE376" s="7">
        <ns0:f>IF(W376&lt;0,A376,0)</ns0:f>
        <ns0:v>0</ns0:v>
      </ns0:c>
      <ns0:c r="AF376" s="16">
        <ns0:f>IF(AND(OR('前提と出典'!$C$36+'前提と出典'!$C$38=0,U376&gt;=0),OR('前提と出典'!$C$37+'前提と出典'!$C$38=0,V376&gt;=0)),0,A376)</ns0:f>
        <ns0:v>0</ns0:v>
      </ns0:c>
      <ns0:c r="AG376" s="7">
        <ns0:f>IF(Z376&gt;=0,A376,1001)</ns0:f>
        <ns0:v>372</ns0:v>
      </ns0:c>
      <ns0:c r="AH376" s="4">
        <ns0:f>IF(Z376&lt;0,A376,0)</ns0:f>
        <ns0:v>0</ns0:v>
      </ns0:c>
      <ns0:c r="AI376" s="12">
        <ns0:f>IF(AND(OR('前提と出典'!$C$36+'前提と出典'!$C$38=0,X376&gt;=0),OR('前提と出典'!$C$37+'前提と出典'!$C$38=0,Y376&gt;=0)),0,A376)</ns0:f>
        <ns0:v>0</ns0:v>
      </ns0:c>
    </ns0:row>
    <ns0:row r="377" ht="24" customHeight="1">
      <ns0:c r="A377" s="4" t="n">
        <ns0:v>373</ns0:v>
      </ns0:c>
      <ns0:c r="B377" s="12">
        <ns0:f>A377*('前提と出典'!$C$36+'前提と出典'!$C$38)</ns0:f>
        <ns0:v>261.09999999999997</ns0:v>
      </ns0:c>
      <ns0:c r="C377" s="12">
        <ns0:f>A377*('前提と出典'!$C$37+'前提と出典'!$C$38)</ns0:f>
        <ns0:v>223.79999999999998</ns0:v>
      </ns0:c>
      <ns0:c r="D377" s="16">
        <ns0:f>A377*('前提と出典'!$C$36*'契約別単価'!C5+'前提と出典'!$C$37*'契約別単価'!C6+'前提と出典'!$C$38*'契約別単価'!C7)</ns0:f>
        <ns0:v>2683.9329608938547</ns0:v>
      </ns0:c>
      <ns0:c r="E377" s="16">
        <ns0:f>A377*('前提と出典'!$C$36*'契約別単価'!E5+'前提と出典'!$C$37*'契約別単価'!E6+'前提と出典'!$C$38*'契約別単価'!E7)</ns0:f>
        <ns0:v>721734.3569611725</ns0:v>
      </ns0:c>
      <ns0:c r="F377" s="16">
        <ns0:f>A377*('前提と出典'!$C$36*'契約別単価'!F5+'前提と出典'!$C$37*'契約別単価'!F6+'前提と出典'!$C$38*'契約別単価'!F7)</ns0:f>
        <ns0:v>283254.5139295941</ns0:v>
      </ns0:c>
      <ns0:c r="G377" s="16">
        <ns0:f>A377*('前提と出典'!$C$36*'契約別単価'!G5+'前提と出典'!$C$37*'契約別単価'!G6+'前提と出典'!$C$38*'契約別単価'!G7)</ns0:f>
        <ns0:v>742457.5418994413</ns0:v>
      </ns0:c>
      <ns0:c r="H377" s="16">
        <ns0:f>A377*('前提と出典'!$C$36*'契約別単価'!H5+'前提と出典'!$C$37*'契約別単価'!H6+'前提と出典'!$C$38*'契約別単価'!H7)</ns0:f>
        <ns0:v>257670.0042109991</ns0:v>
      </ns0:c>
      <ns0:c r="I377" s="16">
        <ns0:f>A377*('前提と出典'!$C$36*'契約別単価'!I5+'前提と出典'!$C$37*'契約別単価'!I6+'前提と出典'!$C$38*'契約別単価'!I7)</ns0:f>
        <ns0:v>15738.932960893851</ns0:v>
      </ns0:c>
      <ns0:c r="J377" s="16">
        <ns0:f>A377*('前提と出典'!$C$36*'契約別単価'!J5+'前提と出典'!$C$37*'契約別単価'!J6+'前提と出典'!$C$38*'契約別単価'!J7)</ns0:f>
        <ns0:v>36661.99980394286</ns0:v>
      </ns0:c>
      <ns0:c r="K377" s="16">
        <ns0:f>A377*('前提と出典'!$C$36*'契約別単価'!K5+'前提と出典'!$C$37*'契約別単価'!K6+'前提と出典'!$C$38*'契約別単価'!K7)</ns0:f>
        <ns0:v>157146.21973929234</ns0:v>
      </ns0:c>
      <ns0:c r="L377" s="16">
        <ns0:f>A377*('前提と出典'!$C$36*'契約別単価'!L5+'前提と出典'!$C$37*'契約別単価'!L6+'前提と出典'!$C$38*'契約別単価'!L7)</ns0:f>
        <ns0:v>127949.00014036662</ns0:v>
      </ns0:c>
      <ns0:c r="M377" s="16">
        <ns0:f>IF(('前提と出典'!$C$36+'前提と出典'!$C$38)=0,0,IF(B377&lt;=10,'前提と出典'!B73+'前提と出典'!C73,IF(B377&lt;=100,'前提と出典'!B74+'前提と出典'!C74,IF(B377&lt;=500,'前提と出典'!B75+'前提と出典'!C75,'前提と出典'!B76+'前提と出典'!C76))))</ns0:f>
        <ns0:v>40000</ns0:v>
      </ns0:c>
      <ns0:c r="N377" s="16">
        <ns0:f>IF(('前提と出典'!$C$37+'前提と出典'!$C$38)=0,0,IF(C377&lt;=10,'前提と出典'!D73+'前提と出典'!E73,IF(C377&lt;=100,'前提と出典'!D74+'前提と出典'!E74,IF(C377&lt;=500,'前提と出典'!D75+'前提と出典'!E75,'前提と出典'!D76+'前提と出典'!E76))))</ns0:f>
        <ns0:v>56510.9346263078</ns0:v>
      </ns0:c>
      <ns0:c r="O377" s="16">
        <ns0:f>IF('前提と出典'!$C$36+'前提と出典'!$C$38=0,0,'前提と出典'!$B$4*IF('前提と出典'!$B$20=0,MAX('前提と出典'!$B$6,D377*'前提と出典'!$B$5),'前提と出典'!$B$6+D377*'前提と出典'!$B$5))</ns0:f>
        <ns0:v>370382.74860335194</ns0:v>
      </ns0:c>
      <ns0:c r="P377" s="16">
        <ns0:f>(E377+G377)*(1-'前提と出典'!$B$7)-I377-K377-M377-O377</ns0:f>
        <ns0:v>828213.0891980937</ns0:v>
      </ns0:c>
      <ns0:c r="Q377" s="16">
        <ns0:f>(F377+H377)*(1-'前提と出典'!$B$7)-J377-L377-N377</ns0:f>
        <ns0:v>300329.30091691454</ns0:v>
      </ns0:c>
      <ns0:c r="R377" s="16">
        <ns0:f>P377-E377*'前提と出典'!$E$4</ns0:f>
        <ns0:v>611692.7821097418</ns0:v>
      </ns0:c>
      <ns0:c r="S377" s="16">
        <ns0:f>Q377-F377*'前提と出典'!$E$4</ns0:f>
        <ns0:v>215352.94673803635</ns0:v>
      </ns0:c>
      <ns0:c r="T377" s="7">
        <ns0:f>R377+S377</ns0:f>
        <ns0:v>827045.7288477782</ns0:v>
      </ns0:c>
      <ns0:c r="U377" s="16">
        <ns0:f>P377-E377*'前提と出典'!$E$5</ns0:f>
        <ns0:v>539519.3464136247</ns0:v>
      </ns0:c>
      <ns0:c r="V377" s="16">
        <ns0:f>Q377-F377*'前提と出典'!$E$5</ns0:f>
        <ns0:v>187027.4953450769</ns0:v>
      </ns0:c>
      <ns0:c r="W377" s="7">
        <ns0:f>U377+V377</ns0:f>
        <ns0:v>726546.8417587016</ns0:v>
      </ns0:c>
      <ns0:c r="X377" s="16">
        <ns0:f>P377-E377*'前提と出典'!$E$6</ns0:f>
        <ns0:v>467345.9107175073</ns0:v>
      </ns0:c>
      <ns0:c r="Y377" s="16">
        <ns0:f>Q377-F377*'前提と出典'!$E$6</ns0:f>
        <ns0:v>158702.04395211756</ns0:v>
      </ns0:c>
      <ns0:c r="Z377" s="7">
        <ns0:f>X377+Y377</ns0:f>
        <ns0:v>626047.9546696248</ns0:v>
      </ns0:c>
      <ns0:c r="AA377" s="7">
        <ns0:f>IF(T377&gt;=0,A377,1001)</ns0:f>
        <ns0:v>373</ns0:v>
      </ns0:c>
      <ns0:c r="AB377" s="7">
        <ns0:f>IF(T377&lt;0,A377,0)</ns0:f>
        <ns0:v>0</ns0:v>
      </ns0:c>
      <ns0:c r="AC377" s="16">
        <ns0:f>IF(AND(OR('前提と出典'!$C$36+'前提と出典'!$C$38=0,R377&gt;=0),OR('前提と出典'!$C$37+'前提と出典'!$C$38=0,S377&gt;=0)),0,A377)</ns0:f>
        <ns0:v>0</ns0:v>
      </ns0:c>
      <ns0:c r="AD377" s="7">
        <ns0:f>IF(W377&gt;=0,A377,1001)</ns0:f>
        <ns0:v>373</ns0:v>
      </ns0:c>
      <ns0:c r="AE377" s="7">
        <ns0:f>IF(W377&lt;0,A377,0)</ns0:f>
        <ns0:v>0</ns0:v>
      </ns0:c>
      <ns0:c r="AF377" s="16">
        <ns0:f>IF(AND(OR('前提と出典'!$C$36+'前提と出典'!$C$38=0,U377&gt;=0),OR('前提と出典'!$C$37+'前提と出典'!$C$38=0,V377&gt;=0)),0,A377)</ns0:f>
        <ns0:v>0</ns0:v>
      </ns0:c>
      <ns0:c r="AG377" s="7">
        <ns0:f>IF(Z377&gt;=0,A377,1001)</ns0:f>
        <ns0:v>373</ns0:v>
      </ns0:c>
      <ns0:c r="AH377" s="4">
        <ns0:f>IF(Z377&lt;0,A377,0)</ns0:f>
        <ns0:v>0</ns0:v>
      </ns0:c>
      <ns0:c r="AI377" s="12">
        <ns0:f>IF(AND(OR('前提と出典'!$C$36+'前提と出典'!$C$38=0,X377&gt;=0),OR('前提と出典'!$C$37+'前提と出典'!$C$38=0,Y377&gt;=0)),0,A377)</ns0:f>
        <ns0:v>0</ns0:v>
      </ns0:c>
    </ns0:row>
    <ns0:row r="378" ht="24" customHeight="1">
      <ns0:c r="A378" s="4" t="n">
        <ns0:v>374</ns0:v>
      </ns0:c>
      <ns0:c r="B378" s="12">
        <ns0:f>A378*('前提と出典'!$C$36+'前提と出典'!$C$38)</ns0:f>
        <ns0:v>261.8</ns0:v>
      </ns0:c>
      <ns0:c r="C378" s="12">
        <ns0:f>A378*('前提と出典'!$C$37+'前提と出典'!$C$38)</ns0:f>
        <ns0:v>224.4</ns0:v>
      </ns0:c>
      <ns0:c r="D378" s="16">
        <ns0:f>A378*('前提と出典'!$C$36*'契約別単価'!C5+'前提と出典'!$C$37*'契約別単価'!C6+'前提と出典'!$C$38*'契約別単価'!C7)</ns0:f>
        <ns0:v>2691.1284916201116</ns0:v>
      </ns0:c>
      <ns0:c r="E378" s="16">
        <ns0:f>A378*('前提と出典'!$C$36*'契約別単価'!E5+'前提と出典'!$C$37*'契約別単価'!E6+'前提と出典'!$C$38*'契約別単価'!E7)</ns0:f>
        <ns0:v>723669.3016179049</ns0:v>
      </ns0:c>
      <ns0:c r="F378" s="16">
        <ns0:f>A378*('前提と出典'!$C$36*'契約別単価'!F5+'前提と出典'!$C$37*'契約別単価'!F6+'前提と出典'!$C$38*'契約別単価'!F7)</ns0:f>
        <ns0:v>284013.9094092981</ns0:v>
      </ns0:c>
      <ns0:c r="G378" s="16">
        <ns0:f>A378*('前提と出典'!$C$36*'契約別単価'!G5+'前提と出典'!$C$37*'契約別単価'!G6+'前提と出典'!$C$38*'契約別単価'!G7)</ns0:f>
        <ns0:v>744448.0446927374</ns0:v>
      </ns0:c>
      <ns0:c r="H378" s="16">
        <ns0:f>A378*('前提と出典'!$C$36*'契約別単価'!H5+'前提と出典'!$C$37*'契約別単価'!H6+'前提と出典'!$C$38*'契約別単価'!H7)</ns0:f>
        <ns0:v>258360.80851183285</ns0:v>
      </ns0:c>
      <ns0:c r="I378" s="16">
        <ns0:f>A378*('前提と出典'!$C$36*'契約別単価'!I5+'前提と出典'!$C$37*'契約別単価'!I6+'前提と出典'!$C$38*'契約別単価'!I7)</ns0:f>
        <ns0:v>15781.12849162011</ns0:v>
      </ns0:c>
      <ns0:c r="J378" s="16">
        <ns0:f>A378*('前提と出典'!$C$36*'契約別単価'!J5+'前提と出典'!$C$37*'契約別単価'!J6+'前提と出典'!$C$38*'契約別単価'!J7)</ns0:f>
        <ns0:v>36760.28934765316</ns0:v>
      </ns0:c>
      <ns0:c r="K378" s="16">
        <ns0:f>A378*('前提と出典'!$C$36*'契約別単価'!K5+'前提と出典'!$C$37*'契約別単価'!K6+'前提と出典'!$C$38*'契約別単価'!K7)</ns0:f>
        <ns0:v>157567.5232774674</ns0:v>
      </ns0:c>
      <ns0:c r="L378" s="16">
        <ns0:f>A378*('前提と出典'!$C$36*'契約別単価'!L5+'前提と出典'!$C$37*'契約別単価'!L6+'前提と出典'!$C$38*'契約別単価'!L7)</ns0:f>
        <ns0:v>128292.02695039443</ns0:v>
      </ns0:c>
      <ns0:c r="M378" s="16">
        <ns0:f>IF(('前提と出典'!$C$36+'前提と出典'!$C$38)=0,0,IF(B378&lt;=10,'前提と出典'!B73+'前提と出典'!C73,IF(B378&lt;=100,'前提と出典'!B74+'前提と出典'!C74,IF(B378&lt;=500,'前提と出典'!B75+'前提と出典'!C75,'前提と出典'!B76+'前提と出典'!C76))))</ns0:f>
        <ns0:v>40000</ns0:v>
      </ns0:c>
      <ns0:c r="N378" s="16">
        <ns0:f>IF(('前提と出典'!$C$37+'前提と出典'!$C$38)=0,0,IF(C378&lt;=10,'前提と出典'!D73+'前提と出典'!E73,IF(C378&lt;=100,'前提と出典'!D74+'前提と出典'!E74,IF(C378&lt;=500,'前提と出典'!D75+'前提と出典'!E75,'前提と出典'!D76+'前提と出典'!E76))))</ns0:f>
        <ns0:v>56510.9346263078</ns0:v>
      </ns0:c>
      <ns0:c r="O378" s="16">
        <ns0:f>IF('前提と出典'!$C$36+'前提と出典'!$C$38=0,0,'前提と出典'!$B$4*IF('前提と出典'!$B$20=0,MAX('前提と出典'!$B$6,D378*'前提と出典'!$B$5),'前提と出典'!$B$6+D378*'前提と出典'!$B$5))</ns0:f>
        <ns0:v>371375.7318435754</ns0:v>
      </ns0:c>
      <ns0:c r="P378" s="16">
        <ns0:f>(E378+G378)*(1-'前提と出典'!$B$7)-I378-K378-M378-O378</ns0:f>
        <ns0:v>830540.7382307963</ns0:v>
      </ns0:c>
      <ns0:c r="Q378" s="16">
        <ns0:f>(F378+H378)*(1-'前提と出典'!$B$7)-J378-L378-N378</ns0:f>
        <ns0:v>301285.97715161485</ns0:v>
      </ns0:c>
      <ns0:c r="R378" s="16">
        <ns0:f>P378-E378*'前提と出典'!$E$4</ns0:f>
        <ns0:v>613439.9477454249</ns0:v>
      </ns0:c>
      <ns0:c r="S378" s="16">
        <ns0:f>Q378-F378*'前提と出典'!$E$4</ns0:f>
        <ns0:v>216081.80432882544</ns0:v>
      </ns0:c>
      <ns0:c r="T378" s="7">
        <ns0:f>R378+S378</ns0:f>
        <ns0:v>829521.7520742504</ns0:v>
      </ns0:c>
      <ns0:c r="U378" s="16">
        <ns0:f>P378-E378*'前提と出典'!$E$5</ns0:f>
        <ns0:v>541073.0175836342</ns0:v>
      </ns0:c>
      <ns0:c r="V378" s="16">
        <ns0:f>Q378-F378*'前提と出典'!$E$5</ns0:f>
        <ns0:v>187680.41338789562</ns0:v>
      </ns0:c>
      <ns0:c r="W378" s="7">
        <ns0:f>U378+V378</ns0:f>
        <ns0:v>728753.4309715298</ns0:v>
      </ns0:c>
      <ns0:c r="X378" s="16">
        <ns0:f>P378-E378*'前提と出典'!$E$6</ns0:f>
        <ns0:v>468706.0874218437</ns0:v>
      </ns0:c>
      <ns0:c r="Y378" s="16">
        <ns0:f>Q378-F378*'前提と出典'!$E$6</ns0:f>
        <ns0:v>159279.0224469658</ns0:v>
      </ns0:c>
      <ns0:c r="Z378" s="7">
        <ns0:f>X378+Y378</ns0:f>
        <ns0:v>627985.1098688096</ns0:v>
      </ns0:c>
      <ns0:c r="AA378" s="7">
        <ns0:f>IF(T378&gt;=0,A378,1001)</ns0:f>
        <ns0:v>374</ns0:v>
      </ns0:c>
      <ns0:c r="AB378" s="7">
        <ns0:f>IF(T378&lt;0,A378,0)</ns0:f>
        <ns0:v>0</ns0:v>
      </ns0:c>
      <ns0:c r="AC378" s="16">
        <ns0:f>IF(AND(OR('前提と出典'!$C$36+'前提と出典'!$C$38=0,R378&gt;=0),OR('前提と出典'!$C$37+'前提と出典'!$C$38=0,S378&gt;=0)),0,A378)</ns0:f>
        <ns0:v>0</ns0:v>
      </ns0:c>
      <ns0:c r="AD378" s="7">
        <ns0:f>IF(W378&gt;=0,A378,1001)</ns0:f>
        <ns0:v>374</ns0:v>
      </ns0:c>
      <ns0:c r="AE378" s="7">
        <ns0:f>IF(W378&lt;0,A378,0)</ns0:f>
        <ns0:v>0</ns0:v>
      </ns0:c>
      <ns0:c r="AF378" s="16">
        <ns0:f>IF(AND(OR('前提と出典'!$C$36+'前提と出典'!$C$38=0,U378&gt;=0),OR('前提と出典'!$C$37+'前提と出典'!$C$38=0,V378&gt;=0)),0,A378)</ns0:f>
        <ns0:v>0</ns0:v>
      </ns0:c>
      <ns0:c r="AG378" s="7">
        <ns0:f>IF(Z378&gt;=0,A378,1001)</ns0:f>
        <ns0:v>374</ns0:v>
      </ns0:c>
      <ns0:c r="AH378" s="4">
        <ns0:f>IF(Z378&lt;0,A378,0)</ns0:f>
        <ns0:v>0</ns0:v>
      </ns0:c>
      <ns0:c r="AI378" s="12">
        <ns0:f>IF(AND(OR('前提と出典'!$C$36+'前提と出典'!$C$38=0,X378&gt;=0),OR('前提と出典'!$C$37+'前提と出典'!$C$38=0,Y378&gt;=0)),0,A378)</ns0:f>
        <ns0:v>0</ns0:v>
      </ns0:c>
    </ns0:row>
    <ns0:row r="379" ht="24" customHeight="1">
      <ns0:c r="A379" s="4" t="n">
        <ns0:v>375</ns0:v>
      </ns0:c>
      <ns0:c r="B379" s="12">
        <ns0:f>A379*('前提と出典'!$C$36+'前提と出典'!$C$38)</ns0:f>
        <ns0:v>262.5</ns0:v>
      </ns0:c>
      <ns0:c r="C379" s="12">
        <ns0:f>A379*('前提と出典'!$C$37+'前提と出典'!$C$38)</ns0:f>
        <ns0:v>225</ns0:v>
      </ns0:c>
      <ns0:c r="D379" s="16">
        <ns0:f>A379*('前提と出典'!$C$36*'契約別単価'!C5+'前提と出典'!$C$37*'契約別単価'!C6+'前提と出典'!$C$38*'契約別単価'!C7)</ns0:f>
        <ns0:v>2698.3240223463686</ns0:v>
      </ns0:c>
      <ns0:c r="E379" s="16">
        <ns0:f>A379*('前提と出典'!$C$36*'契約別単価'!E5+'前提と出典'!$C$37*'契約別単価'!E6+'前提と出典'!$C$38*'契約別単価'!E7)</ns0:f>
        <ns0:v>725604.2462746373</ns0:v>
      </ns0:c>
      <ns0:c r="F379" s="16">
        <ns0:f>A379*('前提と出典'!$C$36*'契約別単価'!F5+'前提と出典'!$C$37*'契約別単価'!F6+'前提と出典'!$C$38*'契約別単価'!F7)</ns0:f>
        <ns0:v>284773.30488900206</ns0:v>
      </ns0:c>
      <ns0:c r="G379" s="16">
        <ns0:f>A379*('前提と出典'!$C$36*'契約別単価'!G5+'前提と出典'!$C$37*'契約別単価'!G6+'前提と出典'!$C$38*'契約別単価'!G7)</ns0:f>
        <ns0:v>746438.5474860335</ns0:v>
      </ns0:c>
      <ns0:c r="H379" s="16">
        <ns0:f>A379*('前提と出典'!$C$36*'契約別単価'!H5+'前提と出典'!$C$37*'契約別単価'!H6+'前提と出典'!$C$38*'契約別単価'!H7)</ns0:f>
        <ns0:v>259051.61281266663</ns0:v>
      </ns0:c>
      <ns0:c r="I379" s="16">
        <ns0:f>A379*('前提と出典'!$C$36*'契約別単価'!I5+'前提と出典'!$C$37*'契約別単価'!I6+'前提と出典'!$C$38*'契約別単価'!I7)</ns0:f>
        <ns0:v>15823.324022346365</ns0:v>
      </ns0:c>
      <ns0:c r="J379" s="16">
        <ns0:f>A379*('前提と出典'!$C$36*'契約別単価'!J5+'前提と出典'!$C$37*'契約別単価'!J6+'前提と出典'!$C$38*'契約別単価'!J7)</ns0:f>
        <ns0:v>36858.57889136346</ns0:v>
      </ns0:c>
      <ns0:c r="K379" s="16">
        <ns0:f>A379*('前提と出典'!$C$36*'契約別単価'!K5+'前提と出典'!$C$37*'契約別単価'!K6+'前提と出典'!$C$38*'契約別単価'!K7)</ns0:f>
        <ns0:v>157988.82681564245</ns0:v>
      </ns0:c>
      <ns0:c r="L379" s="16">
        <ns0:f>A379*('前提と出典'!$C$36*'契約別単価'!L5+'前提と出典'!$C$37*'契約別単価'!L6+'前提と出典'!$C$38*'契約別単価'!L7)</ns0:f>
        <ns0:v>128635.05376042222</ns0:v>
      </ns0:c>
      <ns0:c r="M379" s="16">
        <ns0:f>IF(('前提と出典'!$C$36+'前提と出典'!$C$38)=0,0,IF(B379&lt;=10,'前提と出典'!B73+'前提と出典'!C73,IF(B379&lt;=100,'前提と出典'!B74+'前提と出典'!C74,IF(B379&lt;=500,'前提と出典'!B75+'前提と出典'!C75,'前提と出典'!B76+'前提と出典'!C76))))</ns0:f>
        <ns0:v>40000</ns0:v>
      </ns0:c>
      <ns0:c r="N379" s="16">
        <ns0:f>IF(('前提と出典'!$C$37+'前提と出典'!$C$38)=0,0,IF(C379&lt;=10,'前提と出典'!D73+'前提と出典'!E73,IF(C379&lt;=100,'前提と出典'!D74+'前提と出典'!E74,IF(C379&lt;=500,'前提と出典'!D75+'前提と出典'!E75,'前提と出典'!D76+'前提と出典'!E76))))</ns0:f>
        <ns0:v>56510.9346263078</ns0:v>
      </ns0:c>
      <ns0:c r="O379" s="16">
        <ns0:f>IF('前提と出典'!$C$36+'前提と出典'!$C$38=0,0,'前提と出典'!$B$4*IF('前提と出典'!$B$20=0,MAX('前提と出典'!$B$6,D379*'前提と出典'!$B$5),'前提と出典'!$B$6+D379*'前提と出典'!$B$5))</ns0:f>
        <ns0:v>372368.71508379886</ns0:v>
      </ns0:c>
      <ns0:c r="P379" s="16">
        <ns0:f>(E379+G379)*(1-'前提と出典'!$B$7)-I379-K379-M379-O379</ns0:f>
        <ns0:v>832868.387263499</ns0:v>
      </ns0:c>
      <ns0:c r="Q379" s="16">
        <ns0:f>(F379+H379)*(1-'前提と出典'!$B$7)-J379-L379-N379</ns0:f>
        <ns0:v>302242.65338631516</ns0:v>
      </ns0:c>
      <ns0:c r="R379" s="16">
        <ns0:f>P379-E379*'前提と出典'!$E$4</ns0:f>
        <ns0:v>615187.1133811078</ns0:v>
      </ns0:c>
      <ns0:c r="S379" s="16">
        <ns0:f>Q379-F379*'前提と出典'!$E$4</ns0:f>
        <ns0:v>216810.66191961453</ns0:v>
      </ns0:c>
      <ns0:c r="T379" s="7">
        <ns0:f>R379+S379</ns0:f>
        <ns0:v>831997.7753007223</ns0:v>
      </ns0:c>
      <ns0:c r="U379" s="16">
        <ns0:f>P379-E379*'前提と出典'!$E$5</ns0:f>
        <ns0:v>542626.688753644</ns0:v>
      </ns0:c>
      <ns0:c r="V379" s="16">
        <ns0:f>Q379-F379*'前提と出典'!$E$5</ns0:f>
        <ns0:v>188333.33143071434</ns0:v>
      </ns0:c>
      <ns0:c r="W379" s="7">
        <ns0:f>U379+V379</ns0:f>
        <ns0:v>730960.0201843583</ns0:v>
      </ns0:c>
      <ns0:c r="X379" s="16">
        <ns0:f>P379-E379*'前提と出典'!$E$6</ns0:f>
        <ns0:v>470066.26412618044</ns0:v>
      </ns0:c>
      <ns0:c r="Y379" s="16">
        <ns0:f>Q379-F379*'前提と出典'!$E$6</ns0:f>
        <ns0:v>159856.0009418141</ns0:v>
      </ns0:c>
      <ns0:c r="Z379" s="7">
        <ns0:f>X379+Y379</ns0:f>
        <ns0:v>629922.2650679946</ns0:v>
      </ns0:c>
      <ns0:c r="AA379" s="7">
        <ns0:f>IF(T379&gt;=0,A379,1001)</ns0:f>
        <ns0:v>375</ns0:v>
      </ns0:c>
      <ns0:c r="AB379" s="7">
        <ns0:f>IF(T379&lt;0,A379,0)</ns0:f>
        <ns0:v>0</ns0:v>
      </ns0:c>
      <ns0:c r="AC379" s="16">
        <ns0:f>IF(AND(OR('前提と出典'!$C$36+'前提と出典'!$C$38=0,R379&gt;=0),OR('前提と出典'!$C$37+'前提と出典'!$C$38=0,S379&gt;=0)),0,A379)</ns0:f>
        <ns0:v>0</ns0:v>
      </ns0:c>
      <ns0:c r="AD379" s="7">
        <ns0:f>IF(W379&gt;=0,A379,1001)</ns0:f>
        <ns0:v>375</ns0:v>
      </ns0:c>
      <ns0:c r="AE379" s="7">
        <ns0:f>IF(W379&lt;0,A379,0)</ns0:f>
        <ns0:v>0</ns0:v>
      </ns0:c>
      <ns0:c r="AF379" s="16">
        <ns0:f>IF(AND(OR('前提と出典'!$C$36+'前提と出典'!$C$38=0,U379&gt;=0),OR('前提と出典'!$C$37+'前提と出典'!$C$38=0,V379&gt;=0)),0,A379)</ns0:f>
        <ns0:v>0</ns0:v>
      </ns0:c>
      <ns0:c r="AG379" s="7">
        <ns0:f>IF(Z379&gt;=0,A379,1001)</ns0:f>
        <ns0:v>375</ns0:v>
      </ns0:c>
      <ns0:c r="AH379" s="4">
        <ns0:f>IF(Z379&lt;0,A379,0)</ns0:f>
        <ns0:v>0</ns0:v>
      </ns0:c>
      <ns0:c r="AI379" s="12">
        <ns0:f>IF(AND(OR('前提と出典'!$C$36+'前提と出典'!$C$38=0,X379&gt;=0),OR('前提と出典'!$C$37+'前提と出典'!$C$38=0,Y379&gt;=0)),0,A379)</ns0:f>
        <ns0:v>0</ns0:v>
      </ns0:c>
    </ns0:row>
    <ns0:row r="380" ht="24" customHeight="1">
      <ns0:c r="A380" s="4" t="n">
        <ns0:v>376</ns0:v>
      </ns0:c>
      <ns0:c r="B380" s="12">
        <ns0:f>A380*('前提と出典'!$C$36+'前提と出典'!$C$38)</ns0:f>
        <ns0:v>263.2</ns0:v>
      </ns0:c>
      <ns0:c r="C380" s="12">
        <ns0:f>A380*('前提と出典'!$C$37+'前提と出典'!$C$38)</ns0:f>
        <ns0:v>225.6</ns0:v>
      </ns0:c>
      <ns0:c r="D380" s="16">
        <ns0:f>A380*('前提と出典'!$C$36*'契約別単価'!C5+'前提と出典'!$C$37*'契約別単価'!C6+'前提と出典'!$C$38*'契約別単価'!C7)</ns0:f>
        <ns0:v>2705.5195530726255</ns0:v>
      </ns0:c>
      <ns0:c r="E380" s="16">
        <ns0:f>A380*('前提と出典'!$C$36*'契約別単価'!E5+'前提と出典'!$C$37*'契約別単価'!E6+'前提と出典'!$C$38*'契約別単価'!E7)</ns0:f>
        <ns0:v>727539.1909313696</ns0:v>
      </ns0:c>
      <ns0:c r="F380" s="16">
        <ns0:f>A380*('前提と出典'!$C$36*'契約別単価'!F5+'前提と出典'!$C$37*'契約別単価'!F6+'前提と出典'!$C$38*'契約別単価'!F7)</ns0:f>
        <ns0:v>285532.7003687061</ns0:v>
      </ns0:c>
      <ns0:c r="G380" s="16">
        <ns0:f>A380*('前提と出典'!$C$36*'契約別単価'!G5+'前提と出典'!$C$37*'契約別単価'!G6+'前提と出典'!$C$38*'契約別単価'!G7)</ns0:f>
        <ns0:v>748429.0502793295</ns0:v>
      </ns0:c>
      <ns0:c r="H380" s="16">
        <ns0:f>A380*('前提と出典'!$C$36*'契約別単価'!H5+'前提と出典'!$C$37*'契約別単価'!H6+'前提と出典'!$C$38*'契約別単価'!H7)</ns0:f>
        <ns0:v>259742.4171135004</ns0:v>
      </ns0:c>
      <ns0:c r="I380" s="16">
        <ns0:f>A380*('前提と出典'!$C$36*'契約別単価'!I5+'前提と出典'!$C$37*'契約別単価'!I6+'前提と出典'!$C$38*'契約別単価'!I7)</ns0:f>
        <ns0:v>15865.519553072623</ns0:v>
      </ns0:c>
      <ns0:c r="J380" s="16">
        <ns0:f>A380*('前提と出典'!$C$36*'契約別単価'!J5+'前提と出典'!$C$37*'契約別単価'!J6+'前提と出典'!$C$38*'契約別単価'!J7)</ns0:f>
        <ns0:v>36956.86843507377</ns0:v>
      </ns0:c>
      <ns0:c r="K380" s="16">
        <ns0:f>A380*('前提と出典'!$C$36*'契約別単価'!K5+'前提と出典'!$C$37*'契約別単価'!K6+'前提と出典'!$C$38*'契約別単価'!K7)</ns0:f>
        <ns0:v>158410.13035381748</ns0:v>
      </ns0:c>
      <ns0:c r="L380" s="16">
        <ns0:f>A380*('前提と出典'!$C$36*'契約別単価'!L5+'前提と出典'!$C$37*'契約別単価'!L6+'前提と出典'!$C$38*'契約別単価'!L7)</ns0:f>
        <ns0:v>128978.08057045001</ns0:v>
      </ns0:c>
      <ns0:c r="M380" s="16">
        <ns0:f>IF(('前提と出典'!$C$36+'前提と出典'!$C$38)=0,0,IF(B380&lt;=10,'前提と出典'!B73+'前提と出典'!C73,IF(B380&lt;=100,'前提と出典'!B74+'前提と出典'!C74,IF(B380&lt;=500,'前提と出典'!B75+'前提と出典'!C75,'前提と出典'!B76+'前提と出典'!C76))))</ns0:f>
        <ns0:v>40000</ns0:v>
      </ns0:c>
      <ns0:c r="N380" s="16">
        <ns0:f>IF(('前提と出典'!$C$37+'前提と出典'!$C$38)=0,0,IF(C380&lt;=10,'前提と出典'!D73+'前提と出典'!E73,IF(C380&lt;=100,'前提と出典'!D74+'前提と出典'!E74,IF(C380&lt;=500,'前提と出典'!D75+'前提と出典'!E75,'前提と出典'!D76+'前提と出典'!E76))))</ns0:f>
        <ns0:v>56510.9346263078</ns0:v>
      </ns0:c>
      <ns0:c r="O380" s="16">
        <ns0:f>IF('前提と出典'!$C$36+'前提と出典'!$C$38=0,0,'前提と出典'!$B$4*IF('前提と出典'!$B$20=0,MAX('前提と出典'!$B$6,D380*'前提と出典'!$B$5),'前提と出典'!$B$6+D380*'前提と出典'!$B$5))</ns0:f>
        <ns0:v>373361.69832402235</ns0:v>
      </ns0:c>
      <ns0:c r="P380" s="16">
        <ns0:f>(E380+G380)*(1-'前提と出典'!$B$7)-I380-K380-M380-O380</ns0:f>
        <ns0:v>835196.0362962016</ns0:v>
      </ns0:c>
      <ns0:c r="Q380" s="16">
        <ns0:f>(F380+H380)*(1-'前提と出典'!$B$7)-J380-L380-N380</ns0:f>
        <ns0:v>303199.3296210156</ns0:v>
      </ns0:c>
      <ns0:c r="R380" s="16">
        <ns0:f>P380-E380*'前提と出典'!$E$4</ns0:f>
        <ns0:v>616934.2790167907</ns0:v>
      </ns0:c>
      <ns0:c r="S380" s="16">
        <ns0:f>Q380-F380*'前提と出典'!$E$4</ns0:f>
        <ns0:v>217539.51951040374</ns0:v>
      </ns0:c>
      <ns0:c r="T380" s="7">
        <ns0:f>R380+S380</ns0:f>
        <ns0:v>834473.7985271944</ns0:v>
      </ns0:c>
      <ns0:c r="U380" s="16">
        <ns0:f>P380-E380*'前提と出典'!$E$5</ns0:f>
        <ns0:v>544180.3599236538</ns0:v>
      </ns0:c>
      <ns0:c r="V380" s="16">
        <ns0:f>Q380-F380*'前提と出典'!$E$5</ns0:f>
        <ns0:v>188986.24947353313</ns0:v>
      </ns0:c>
      <ns0:c r="W380" s="7">
        <ns0:f>U380+V380</ns0:f>
        <ns0:v>733166.6093971869</ns0:v>
      </ns0:c>
      <ns0:c r="X380" s="16">
        <ns0:f>P380-E380*'前提と出典'!$E$6</ns0:f>
        <ns0:v>471426.44083051675</ns0:v>
      </ns0:c>
      <ns0:c r="Y380" s="16">
        <ns0:f>Q380-F380*'前提と出典'!$E$6</ns0:f>
        <ns0:v>160432.9794366625</ns0:v>
      </ns0:c>
      <ns0:c r="Z380" s="7">
        <ns0:f>X380+Y380</ns0:f>
        <ns0:v>631859.4202671793</ns0:v>
      </ns0:c>
      <ns0:c r="AA380" s="7">
        <ns0:f>IF(T380&gt;=0,A380,1001)</ns0:f>
        <ns0:v>376</ns0:v>
      </ns0:c>
      <ns0:c r="AB380" s="7">
        <ns0:f>IF(T380&lt;0,A380,0)</ns0:f>
        <ns0:v>0</ns0:v>
      </ns0:c>
      <ns0:c r="AC380" s="16">
        <ns0:f>IF(AND(OR('前提と出典'!$C$36+'前提と出典'!$C$38=0,R380&gt;=0),OR('前提と出典'!$C$37+'前提と出典'!$C$38=0,S380&gt;=0)),0,A380)</ns0:f>
        <ns0:v>0</ns0:v>
      </ns0:c>
      <ns0:c r="AD380" s="7">
        <ns0:f>IF(W380&gt;=0,A380,1001)</ns0:f>
        <ns0:v>376</ns0:v>
      </ns0:c>
      <ns0:c r="AE380" s="7">
        <ns0:f>IF(W380&lt;0,A380,0)</ns0:f>
        <ns0:v>0</ns0:v>
      </ns0:c>
      <ns0:c r="AF380" s="16">
        <ns0:f>IF(AND(OR('前提と出典'!$C$36+'前提と出典'!$C$38=0,U380&gt;=0),OR('前提と出典'!$C$37+'前提と出典'!$C$38=0,V380&gt;=0)),0,A380)</ns0:f>
        <ns0:v>0</ns0:v>
      </ns0:c>
      <ns0:c r="AG380" s="7">
        <ns0:f>IF(Z380&gt;=0,A380,1001)</ns0:f>
        <ns0:v>376</ns0:v>
      </ns0:c>
      <ns0:c r="AH380" s="4">
        <ns0:f>IF(Z380&lt;0,A380,0)</ns0:f>
        <ns0:v>0</ns0:v>
      </ns0:c>
      <ns0:c r="AI380" s="12">
        <ns0:f>IF(AND(OR('前提と出典'!$C$36+'前提と出典'!$C$38=0,X380&gt;=0),OR('前提と出典'!$C$37+'前提と出典'!$C$38=0,Y380&gt;=0)),0,A380)</ns0:f>
        <ns0:v>0</ns0:v>
      </ns0:c>
    </ns0:row>
    <ns0:row r="381" ht="24" customHeight="1">
      <ns0:c r="A381" s="4" t="n">
        <ns0:v>377</ns0:v>
      </ns0:c>
      <ns0:c r="B381" s="12">
        <ns0:f>A381*('前提と出典'!$C$36+'前提と出典'!$C$38)</ns0:f>
        <ns0:v>263.9</ns0:v>
      </ns0:c>
      <ns0:c r="C381" s="12">
        <ns0:f>A381*('前提と出典'!$C$37+'前提と出典'!$C$38)</ns0:f>
        <ns0:v>226.2</ns0:v>
      </ns0:c>
      <ns0:c r="D381" s="16">
        <ns0:f>A381*('前提と出典'!$C$36*'契約別単価'!C5+'前提と出典'!$C$37*'契約別単価'!C6+'前提と出典'!$C$38*'契約別単価'!C7)</ns0:f>
        <ns0:v>2712.7150837988825</ns0:v>
      </ns0:c>
      <ns0:c r="E381" s="16">
        <ns0:f>A381*('前提と出典'!$C$36*'契約別単価'!E5+'前提と出典'!$C$37*'契約別単価'!E6+'前提と出典'!$C$38*'契約別単価'!E7)</ns0:f>
        <ns0:v>729474.1355881019</ns0:v>
      </ns0:c>
      <ns0:c r="F381" s="16">
        <ns0:f>A381*('前提と出典'!$C$36*'契約別単価'!F5+'前提と出典'!$C$37*'契約別単価'!F6+'前提と出典'!$C$38*'契約別単価'!F7)</ns0:f>
        <ns0:v>286292.0958484101</ns0:v>
      </ns0:c>
      <ns0:c r="G381" s="16">
        <ns0:f>A381*('前提と出典'!$C$36*'契約別単価'!G5+'前提と出典'!$C$37*'契約別単価'!G6+'前提と出典'!$C$38*'契約別単価'!G7)</ns0:f>
        <ns0:v>750419.5530726257</ns0:v>
      </ns0:c>
      <ns0:c r="H381" s="16">
        <ns0:f>A381*('前提と出典'!$C$36*'契約別単価'!H5+'前提と出典'!$C$37*'契約別単価'!H6+'前提と出典'!$C$38*'契約別単価'!H7)</ns0:f>
        <ns0:v>260433.2214143342</ns0:v>
      </ns0:c>
      <ns0:c r="I381" s="16">
        <ns0:f>A381*('前提と出典'!$C$36*'契約別単価'!I5+'前提と出典'!$C$37*'契約別単価'!I6+'前提と出典'!$C$38*'契約別単価'!I7)</ns0:f>
        <ns0:v>15907.71508379888</ns0:v>
      </ns0:c>
      <ns0:c r="J381" s="16">
        <ns0:f>A381*('前提と出典'!$C$36*'契約別単価'!J5+'前提と出典'!$C$37*'契約別単価'!J6+'前提と出典'!$C$38*'契約別単価'!J7)</ns0:f>
        <ns0:v>37055.15797878407</ns0:v>
      </ns0:c>
      <ns0:c r="K381" s="16">
        <ns0:f>A381*('前提と出典'!$C$36*'契約別単価'!K5+'前提と出典'!$C$37*'契約別単価'!K6+'前提と出典'!$C$38*'契約別単価'!K7)</ns0:f>
        <ns0:v>158831.43389199255</ns0:v>
      </ns0:c>
      <ns0:c r="L381" s="16">
        <ns0:f>A381*('前提と出典'!$C$36*'契約別単価'!L5+'前提と出典'!$C$37*'契約別単価'!L6+'前提と出典'!$C$38*'契約別単価'!L7)</ns0:f>
        <ns0:v>129321.1073804778</ns0:v>
      </ns0:c>
      <ns0:c r="M381" s="16">
        <ns0:f>IF(('前提と出典'!$C$36+'前提と出典'!$C$38)=0,0,IF(B381&lt;=10,'前提と出典'!B73+'前提と出典'!C73,IF(B381&lt;=100,'前提と出典'!B74+'前提と出典'!C74,IF(B381&lt;=500,'前提と出典'!B75+'前提と出典'!C75,'前提と出典'!B76+'前提と出典'!C76))))</ns0:f>
        <ns0:v>40000</ns0:v>
      </ns0:c>
      <ns0:c r="N381" s="16">
        <ns0:f>IF(('前提と出典'!$C$37+'前提と出典'!$C$38)=0,0,IF(C381&lt;=10,'前提と出典'!D73+'前提と出典'!E73,IF(C381&lt;=100,'前提と出典'!D74+'前提と出典'!E74,IF(C381&lt;=500,'前提と出典'!D75+'前提と出典'!E75,'前提と出典'!D76+'前提と出典'!E76))))</ns0:f>
        <ns0:v>56510.9346263078</ns0:v>
      </ns0:c>
      <ns0:c r="O381" s="16">
        <ns0:f>IF('前提と出典'!$C$36+'前提と出典'!$C$38=0,0,'前提と出典'!$B$4*IF('前提と出典'!$B$20=0,MAX('前提と出典'!$B$6,D381*'前提と出典'!$B$5),'前提と出典'!$B$6+D381*'前提と出典'!$B$5))</ns0:f>
        <ns0:v>374354.6815642458</ns0:v>
      </ns0:c>
      <ns0:c r="P381" s="16">
        <ns0:f>(E381+G381)*(1-'前提と出典'!$B$7)-I381-K381-M381-O381</ns0:f>
        <ns0:v>837523.6853289041</ns0:v>
      </ns0:c>
      <ns0:c r="Q381" s="16">
        <ns0:f>(F381+H381)*(1-'前提と出典'!$B$7)-J381-L381-N381</ns0:f>
        <ns0:v>304156.00585571583</ns0:v>
      </ns0:c>
      <ns0:c r="R381" s="16">
        <ns0:f>P381-E381*'前提と出典'!$E$4</ns0:f>
        <ns0:v>618681.4446524736</ns0:v>
      </ns0:c>
      <ns0:c r="S381" s="16">
        <ns0:f>Q381-F381*'前提と出典'!$E$4</ns0:f>
        <ns0:v>218268.37710119283</ns0:v>
      </ns0:c>
      <ns0:c r="T381" s="7">
        <ns0:f>R381+S381</ns0:f>
        <ns0:v>836949.8217536664</ns0:v>
      </ns0:c>
      <ns0:c r="U381" s="16">
        <ns0:f>P381-E381*'前提と出典'!$E$5</ns0:f>
        <ns0:v>545734.0310936633</ns0:v>
      </ns0:c>
      <ns0:c r="V381" s="16">
        <ns0:f>Q381-F381*'前提と出典'!$E$5</ns0:f>
        <ns0:v>189639.16751635182</ns0:v>
      </ns0:c>
      <ns0:c r="W381" s="7">
        <ns0:f>U381+V381</ns0:f>
        <ns0:v>735373.1986100151</ns0:v>
      </ns0:c>
      <ns0:c r="X381" s="16">
        <ns0:f>P381-E381*'前提と出典'!$E$6</ns0:f>
        <ns0:v>472786.6175348531</ns0:v>
      </ns0:c>
      <ns0:c r="Y381" s="16">
        <ns0:f>Q381-F381*'前提と出典'!$E$6</ns0:f>
        <ns0:v>161009.95793151078</ns0:v>
      </ns0:c>
      <ns0:c r="Z381" s="7">
        <ns0:f>X381+Y381</ns0:f>
        <ns0:v>633796.5754663639</ns0:v>
      </ns0:c>
      <ns0:c r="AA381" s="7">
        <ns0:f>IF(T381&gt;=0,A381,1001)</ns0:f>
        <ns0:v>377</ns0:v>
      </ns0:c>
      <ns0:c r="AB381" s="7">
        <ns0:f>IF(T381&lt;0,A381,0)</ns0:f>
        <ns0:v>0</ns0:v>
      </ns0:c>
      <ns0:c r="AC381" s="16">
        <ns0:f>IF(AND(OR('前提と出典'!$C$36+'前提と出典'!$C$38=0,R381&gt;=0),OR('前提と出典'!$C$37+'前提と出典'!$C$38=0,S381&gt;=0)),0,A381)</ns0:f>
        <ns0:v>0</ns0:v>
      </ns0:c>
      <ns0:c r="AD381" s="7">
        <ns0:f>IF(W381&gt;=0,A381,1001)</ns0:f>
        <ns0:v>377</ns0:v>
      </ns0:c>
      <ns0:c r="AE381" s="7">
        <ns0:f>IF(W381&lt;0,A381,0)</ns0:f>
        <ns0:v>0</ns0:v>
      </ns0:c>
      <ns0:c r="AF381" s="16">
        <ns0:f>IF(AND(OR('前提と出典'!$C$36+'前提と出典'!$C$38=0,U381&gt;=0),OR('前提と出典'!$C$37+'前提と出典'!$C$38=0,V381&gt;=0)),0,A381)</ns0:f>
        <ns0:v>0</ns0:v>
      </ns0:c>
      <ns0:c r="AG381" s="7">
        <ns0:f>IF(Z381&gt;=0,A381,1001)</ns0:f>
        <ns0:v>377</ns0:v>
      </ns0:c>
      <ns0:c r="AH381" s="4">
        <ns0:f>IF(Z381&lt;0,A381,0)</ns0:f>
        <ns0:v>0</ns0:v>
      </ns0:c>
      <ns0:c r="AI381" s="12">
        <ns0:f>IF(AND(OR('前提と出典'!$C$36+'前提と出典'!$C$38=0,X381&gt;=0),OR('前提と出典'!$C$37+'前提と出典'!$C$38=0,Y381&gt;=0)),0,A381)</ns0:f>
        <ns0:v>0</ns0:v>
      </ns0:c>
    </ns0:row>
    <ns0:row r="382" ht="24" customHeight="1">
      <ns0:c r="A382" s="4" t="n">
        <ns0:v>378</ns0:v>
      </ns0:c>
      <ns0:c r="B382" s="12">
        <ns0:f>A382*('前提と出典'!$C$36+'前提と出典'!$C$38)</ns0:f>
        <ns0:v>264.59999999999997</ns0:v>
      </ns0:c>
      <ns0:c r="C382" s="12">
        <ns0:f>A382*('前提と出典'!$C$37+'前提と出典'!$C$38)</ns0:f>
        <ns0:v>226.79999999999998</ns0:v>
      </ns0:c>
      <ns0:c r="D382" s="16">
        <ns0:f>A382*('前提と出典'!$C$36*'契約別単価'!C5+'前提と出典'!$C$37*'契約別単価'!C6+'前提と出典'!$C$38*'契約別単価'!C7)</ns0:f>
        <ns0:v>2719.91061452514</ns0:v>
      </ns0:c>
      <ns0:c r="E382" s="16">
        <ns0:f>A382*('前提と出典'!$C$36*'契約別単価'!E5+'前提と出典'!$C$37*'契約別単価'!E6+'前提と出典'!$C$38*'契約別単価'!E7)</ns0:f>
        <ns0:v>731409.0802448343</ns0:v>
      </ns0:c>
      <ns0:c r="F382" s="16">
        <ns0:f>A382*('前提と出典'!$C$36*'契約別単価'!F5+'前提と出典'!$C$37*'契約別単価'!F6+'前提と出典'!$C$38*'契約別単価'!F7)</ns0:f>
        <ns0:v>287051.4913281141</ns0:v>
      </ns0:c>
      <ns0:c r="G382" s="16">
        <ns0:f>A382*('前提と出典'!$C$36*'契約別単価'!G5+'前提と出典'!$C$37*'契約別単価'!G6+'前提と出典'!$C$38*'契約別単価'!G7)</ns0:f>
        <ns0:v>752410.0558659218</ns0:v>
      </ns0:c>
      <ns0:c r="H382" s="16">
        <ns0:f>A382*('前提と出典'!$C$36*'契約別単価'!H5+'前提と出典'!$C$37*'契約別単価'!H6+'前提と出典'!$C$38*'契約別単価'!H7)</ns0:f>
        <ns0:v>261124.02571516795</ns0:v>
      </ns0:c>
      <ns0:c r="I382" s="16">
        <ns0:f>A382*('前提と出典'!$C$36*'契約別単価'!I5+'前提と出典'!$C$37*'契約別単価'!I6+'前提と出典'!$C$38*'契約別単価'!I7)</ns0:f>
        <ns0:v>15949.910614525137</ns0:v>
      </ns0:c>
      <ns0:c r="J382" s="16">
        <ns0:f>A382*('前提と出典'!$C$36*'契約別単価'!J5+'前提と出典'!$C$37*'契約別単価'!J6+'前提と出典'!$C$38*'契約別単価'!J7)</ns0:f>
        <ns0:v>37153.44752249437</ns0:v>
      </ns0:c>
      <ns0:c r="K382" s="16">
        <ns0:f>A382*('前提と出典'!$C$36*'契約別単価'!K5+'前提と出典'!$C$37*'契約別単価'!K6+'前提と出典'!$C$38*'契約別単価'!K7)</ns0:f>
        <ns0:v>159252.7374301676</ns0:v>
      </ns0:c>
      <ns0:c r="L382" s="16">
        <ns0:f>A382*('前提と出典'!$C$36*'契約別単価'!L5+'前提と出典'!$C$37*'契約別単価'!L6+'前提と出典'!$C$38*'契約別単価'!L7)</ns0:f>
        <ns0:v>129664.13419050559</ns0:v>
      </ns0:c>
      <ns0:c r="M382" s="16">
        <ns0:f>IF(('前提と出典'!$C$36+'前提と出典'!$C$38)=0,0,IF(B382&lt;=10,'前提と出典'!B73+'前提と出典'!C73,IF(B382&lt;=100,'前提と出典'!B74+'前提と出典'!C74,IF(B382&lt;=500,'前提と出典'!B75+'前提と出典'!C75,'前提と出典'!B76+'前提と出典'!C76))))</ns0:f>
        <ns0:v>40000</ns0:v>
      </ns0:c>
      <ns0:c r="N382" s="16">
        <ns0:f>IF(('前提と出典'!$C$37+'前提と出典'!$C$38)=0,0,IF(C382&lt;=10,'前提と出典'!D73+'前提と出典'!E73,IF(C382&lt;=100,'前提と出典'!D74+'前提と出典'!E74,IF(C382&lt;=500,'前提と出典'!D75+'前提と出典'!E75,'前提と出典'!D76+'前提と出典'!E76))))</ns0:f>
        <ns0:v>56510.9346263078</ns0:v>
      </ns0:c>
      <ns0:c r="O382" s="16">
        <ns0:f>IF('前提と出典'!$C$36+'前提と出典'!$C$38=0,0,'前提と出典'!$B$4*IF('前提と出典'!$B$20=0,MAX('前提と出典'!$B$6,D382*'前提と出典'!$B$5),'前提と出典'!$B$6+D382*'前提と出典'!$B$5))</ns0:f>
        <ns0:v>375347.6648044693</ns0:v>
      </ns0:c>
      <ns0:c r="P382" s="16">
        <ns0:f>(E382+G382)*(1-'前提と出典'!$B$7)-I382-K382-M382-O382</ns0:f>
        <ns0:v>839851.3343616067</ns0:v>
      </ns0:c>
      <ns0:c r="Q382" s="16">
        <ns0:f>(F382+H382)*(1-'前提と出典'!$B$7)-J382-L382-N382</ns0:f>
        <ns0:v>305112.6820904162</ns0:v>
      </ns0:c>
      <ns0:c r="R382" s="16">
        <ns0:f>P382-E382*'前提と出典'!$E$4</ns0:f>
        <ns0:v>620428.6102881564</ns0:v>
      </ns0:c>
      <ns0:c r="S382" s="16">
        <ns0:f>Q382-F382*'前提と出典'!$E$4</ns0:f>
        <ns0:v>218997.23469198192</ns0:v>
      </ns0:c>
      <ns0:c r="T382" s="7">
        <ns0:f>R382+S382</ns0:f>
        <ns0:v>839425.8449801384</ns0:v>
      </ns0:c>
      <ns0:c r="U382" s="16">
        <ns0:f>P382-E382*'前提と出典'!$E$5</ns0:f>
        <ns0:v>547287.7022636731</ns0:v>
      </ns0:c>
      <ns0:c r="V382" s="16">
        <ns0:f>Q382-F382*'前提と出典'!$E$5</ns0:f>
        <ns0:v>190292.08555917052</ns0:v>
      </ns0:c>
      <ns0:c r="W382" s="7">
        <ns0:f>U382+V382</ns0:f>
        <ns0:v>737579.7878228435</ns0:v>
      </ns0:c>
      <ns0:c r="X382" s="16">
        <ns0:f>P382-E382*'前提と出典'!$E$6</ns0:f>
        <ns0:v>474146.7942391895</ns0:v>
      </ns0:c>
      <ns0:c r="Y382" s="16">
        <ns0:f>Q382-F382*'前提と出典'!$E$6</ns0:f>
        <ns0:v>161586.93642635905</ns0:v>
      </ns0:c>
      <ns0:c r="Z382" s="7">
        <ns0:f>X382+Y382</ns0:f>
        <ns0:v>635733.7306655485</ns0:v>
      </ns0:c>
      <ns0:c r="AA382" s="7">
        <ns0:f>IF(T382&gt;=0,A382,1001)</ns0:f>
        <ns0:v>378</ns0:v>
      </ns0:c>
      <ns0:c r="AB382" s="7">
        <ns0:f>IF(T382&lt;0,A382,0)</ns0:f>
        <ns0:v>0</ns0:v>
      </ns0:c>
      <ns0:c r="AC382" s="16">
        <ns0:f>IF(AND(OR('前提と出典'!$C$36+'前提と出典'!$C$38=0,R382&gt;=0),OR('前提と出典'!$C$37+'前提と出典'!$C$38=0,S382&gt;=0)),0,A382)</ns0:f>
        <ns0:v>0</ns0:v>
      </ns0:c>
      <ns0:c r="AD382" s="7">
        <ns0:f>IF(W382&gt;=0,A382,1001)</ns0:f>
        <ns0:v>378</ns0:v>
      </ns0:c>
      <ns0:c r="AE382" s="7">
        <ns0:f>IF(W382&lt;0,A382,0)</ns0:f>
        <ns0:v>0</ns0:v>
      </ns0:c>
      <ns0:c r="AF382" s="16">
        <ns0:f>IF(AND(OR('前提と出典'!$C$36+'前提と出典'!$C$38=0,U382&gt;=0),OR('前提と出典'!$C$37+'前提と出典'!$C$38=0,V382&gt;=0)),0,A382)</ns0:f>
        <ns0:v>0</ns0:v>
      </ns0:c>
      <ns0:c r="AG382" s="7">
        <ns0:f>IF(Z382&gt;=0,A382,1001)</ns0:f>
        <ns0:v>378</ns0:v>
      </ns0:c>
      <ns0:c r="AH382" s="4">
        <ns0:f>IF(Z382&lt;0,A382,0)</ns0:f>
        <ns0:v>0</ns0:v>
      </ns0:c>
      <ns0:c r="AI382" s="12">
        <ns0:f>IF(AND(OR('前提と出典'!$C$36+'前提と出典'!$C$38=0,X382&gt;=0),OR('前提と出典'!$C$37+'前提と出典'!$C$38=0,Y382&gt;=0)),0,A382)</ns0:f>
        <ns0:v>0</ns0:v>
      </ns0:c>
    </ns0:row>
    <ns0:row r="383" ht="24" customHeight="1">
      <ns0:c r="A383" s="4" t="n">
        <ns0:v>379</ns0:v>
      </ns0:c>
      <ns0:c r="B383" s="12">
        <ns0:f>A383*('前提と出典'!$C$36+'前提と出典'!$C$38)</ns0:f>
        <ns0:v>265.3</ns0:v>
      </ns0:c>
      <ns0:c r="C383" s="12">
        <ns0:f>A383*('前提と出典'!$C$37+'前提と出典'!$C$38)</ns0:f>
        <ns0:v>227.4</ns0:v>
      </ns0:c>
      <ns0:c r="D383" s="16">
        <ns0:f>A383*('前提と出典'!$C$36*'契約別単価'!C5+'前提と出典'!$C$37*'契約別単価'!C6+'前提と出典'!$C$38*'契約別単価'!C7)</ns0:f>
        <ns0:v>2727.106145251397</ns0:v>
      </ns0:c>
      <ns0:c r="E383" s="16">
        <ns0:f>A383*('前提と出典'!$C$36*'契約別単価'!E5+'前提と出典'!$C$37*'契約別単価'!E6+'前提と出典'!$C$38*'契約別単価'!E7)</ns0:f>
        <ns0:v>733344.0249015667</ns0:v>
      </ns0:c>
      <ns0:c r="F383" s="16">
        <ns0:f>A383*('前提と出典'!$C$36*'契約別単価'!F5+'前提と出典'!$C$37*'契約別単価'!F6+'前提と出典'!$C$38*'契約別単価'!F7)</ns0:f>
        <ns0:v>287810.8868078181</ns0:v>
      </ns0:c>
      <ns0:c r="G383" s="16">
        <ns0:f>A383*('前提と出典'!$C$36*'契約別単価'!G5+'前提と出典'!$C$37*'契約別単価'!G6+'前提と出典'!$C$38*'契約別単価'!G7)</ns0:f>
        <ns0:v>754400.5586592178</ns0:v>
      </ns0:c>
      <ns0:c r="H383" s="16">
        <ns0:f>A383*('前提と出典'!$C$36*'契約別単価'!H5+'前提と出典'!$C$37*'契約別単価'!H6+'前提と出典'!$C$38*'契約別単価'!H7)</ns0:f>
        <ns0:v>261814.83001600174</ns0:v>
      </ns0:c>
      <ns0:c r="I383" s="16">
        <ns0:f>A383*('前提と出典'!$C$36*'契約別単価'!I5+'前提と出典'!$C$37*'契約別単価'!I6+'前提と出典'!$C$38*'契約別単価'!I7)</ns0:f>
        <ns0:v>15992.106145251393</ns0:v>
      </ns0:c>
      <ns0:c r="J383" s="16">
        <ns0:f>A383*('前提と出典'!$C$36*'契約別単価'!J5+'前提と出典'!$C$37*'契約別単価'!J6+'前提と出典'!$C$38*'契約別単価'!J7)</ns0:f>
        <ns0:v>37251.737066204674</ns0:v>
      </ns0:c>
      <ns0:c r="K383" s="16">
        <ns0:f>A383*('前提と出典'!$C$36*'契約別単価'!K5+'前提と出典'!$C$37*'契約別単価'!K6+'前提と出典'!$C$38*'契約別単価'!K7)</ns0:f>
        <ns0:v>159674.04096834263</ns0:v>
      </ns0:c>
      <ns0:c r="L383" s="16">
        <ns0:f>A383*('前提と出典'!$C$36*'契約別単価'!L5+'前提と出典'!$C$37*'契約別単価'!L6+'前提と出典'!$C$38*'契約別単価'!L7)</ns0:f>
        <ns0:v>130007.1610005334</ns0:v>
      </ns0:c>
      <ns0:c r="M383" s="16">
        <ns0:f>IF(('前提と出典'!$C$36+'前提と出典'!$C$38)=0,0,IF(B383&lt;=10,'前提と出典'!B73+'前提と出典'!C73,IF(B383&lt;=100,'前提と出典'!B74+'前提と出典'!C74,IF(B383&lt;=500,'前提と出典'!B75+'前提と出典'!C75,'前提と出典'!B76+'前提と出典'!C76))))</ns0:f>
        <ns0:v>40000</ns0:v>
      </ns0:c>
      <ns0:c r="N383" s="16">
        <ns0:f>IF(('前提と出典'!$C$37+'前提と出典'!$C$38)=0,0,IF(C383&lt;=10,'前提と出典'!D73+'前提と出典'!E73,IF(C383&lt;=100,'前提と出典'!D74+'前提と出典'!E74,IF(C383&lt;=500,'前提と出典'!D75+'前提と出典'!E75,'前提と出典'!D76+'前提と出典'!E76))))</ns0:f>
        <ns0:v>56510.9346263078</ns0:v>
      </ns0:c>
      <ns0:c r="O383" s="16">
        <ns0:f>IF('前提と出典'!$C$36+'前提と出典'!$C$38=0,0,'前提と出典'!$B$4*IF('前提と出典'!$B$20=0,MAX('前提と出典'!$B$6,D383*'前提と出典'!$B$5),'前提と出典'!$B$6+D383*'前提と出典'!$B$5))</ns0:f>
        <ns0:v>376340.64804469276</ns0:v>
      </ns0:c>
      <ns0:c r="P383" s="16">
        <ns0:f>(E383+G383)*(1-'前提と出典'!$B$7)-I383-K383-M383-O383</ns0:f>
        <ns0:v>842178.9833943093</ns0:v>
      </ns0:c>
      <ns0:c r="Q383" s="16">
        <ns0:f>(F383+H383)*(1-'前提と出典'!$B$7)-J383-L383-N383</ns0:f>
        <ns0:v>306069.35832511645</ns0:v>
      </ns0:c>
      <ns0:c r="R383" s="16">
        <ns0:f>P383-E383*'前提と出典'!$E$4</ns0:f>
        <ns0:v>622175.7759238393</ns0:v>
      </ns0:c>
      <ns0:c r="S383" s="16">
        <ns0:f>Q383-F383*'前提と出典'!$E$4</ns0:f>
        <ns0:v>219726.09228277102</ns0:v>
      </ns0:c>
      <ns0:c r="T383" s="7">
        <ns0:f>R383+S383</ns0:f>
        <ns0:v>841901.8682066103</ns0:v>
      </ns0:c>
      <ns0:c r="U383" s="16">
        <ns0:f>P383-E383*'前提と出典'!$E$5</ns0:f>
        <ns0:v>548841.3734336826</ns0:v>
      </ns0:c>
      <ns0:c r="V383" s="16">
        <ns0:f>Q383-F383*'前提と出典'!$E$5</ns0:f>
        <ns0:v>190945.00360198924</ns0:v>
      </ns0:c>
      <ns0:c r="W383" s="7">
        <ns0:f>U383+V383</ns0:f>
        <ns0:v>739786.3770356718</ns0:v>
      </ns0:c>
      <ns0:c r="X383" s="16">
        <ns0:f>P383-E383*'前提と出典'!$E$6</ns0:f>
        <ns0:v>475506.9709435262</ns0:v>
      </ns0:c>
      <ns0:c r="Y383" s="16">
        <ns0:f>Q383-F383*'前提と出典'!$E$6</ns0:f>
        <ns0:v>162163.9149212074</ns0:v>
      </ns0:c>
      <ns0:c r="Z383" s="7">
        <ns0:f>X383+Y383</ns0:f>
        <ns0:v>637670.8858647336</ns0:v>
      </ns0:c>
      <ns0:c r="AA383" s="7">
        <ns0:f>IF(T383&gt;=0,A383,1001)</ns0:f>
        <ns0:v>379</ns0:v>
      </ns0:c>
      <ns0:c r="AB383" s="7">
        <ns0:f>IF(T383&lt;0,A383,0)</ns0:f>
        <ns0:v>0</ns0:v>
      </ns0:c>
      <ns0:c r="AC383" s="16">
        <ns0:f>IF(AND(OR('前提と出典'!$C$36+'前提と出典'!$C$38=0,R383&gt;=0),OR('前提と出典'!$C$37+'前提と出典'!$C$38=0,S383&gt;=0)),0,A383)</ns0:f>
        <ns0:v>0</ns0:v>
      </ns0:c>
      <ns0:c r="AD383" s="7">
        <ns0:f>IF(W383&gt;=0,A383,1001)</ns0:f>
        <ns0:v>379</ns0:v>
      </ns0:c>
      <ns0:c r="AE383" s="7">
        <ns0:f>IF(W383&lt;0,A383,0)</ns0:f>
        <ns0:v>0</ns0:v>
      </ns0:c>
      <ns0:c r="AF383" s="16">
        <ns0:f>IF(AND(OR('前提と出典'!$C$36+'前提と出典'!$C$38=0,U383&gt;=0),OR('前提と出典'!$C$37+'前提と出典'!$C$38=0,V383&gt;=0)),0,A383)</ns0:f>
        <ns0:v>0</ns0:v>
      </ns0:c>
      <ns0:c r="AG383" s="7">
        <ns0:f>IF(Z383&gt;=0,A383,1001)</ns0:f>
        <ns0:v>379</ns0:v>
      </ns0:c>
      <ns0:c r="AH383" s="4">
        <ns0:f>IF(Z383&lt;0,A383,0)</ns0:f>
        <ns0:v>0</ns0:v>
      </ns0:c>
      <ns0:c r="AI383" s="12">
        <ns0:f>IF(AND(OR('前提と出典'!$C$36+'前提と出典'!$C$38=0,X383&gt;=0),OR('前提と出典'!$C$37+'前提と出典'!$C$38=0,Y383&gt;=0)),0,A383)</ns0:f>
        <ns0:v>0</ns0:v>
      </ns0:c>
    </ns0:row>
    <ns0:row r="384" ht="24" customHeight="1">
      <ns0:c r="A384" s="4" t="n">
        <ns0:v>380</ns0:v>
      </ns0:c>
      <ns0:c r="B384" s="12">
        <ns0:f>A384*('前提と出典'!$C$36+'前提と出典'!$C$38)</ns0:f>
        <ns0:v>266</ns0:v>
      </ns0:c>
      <ns0:c r="C384" s="12">
        <ns0:f>A384*('前提と出典'!$C$37+'前提と出典'!$C$38)</ns0:f>
        <ns0:v>228</ns0:v>
      </ns0:c>
      <ns0:c r="D384" s="16">
        <ns0:f>A384*('前提と出典'!$C$36*'契約別単価'!C5+'前提と出典'!$C$37*'契約別単価'!C6+'前提と出典'!$C$38*'契約別単価'!C7)</ns0:f>
        <ns0:v>2734.3016759776538</ns0:v>
      </ns0:c>
      <ns0:c r="E384" s="16">
        <ns0:f>A384*('前提と出典'!$C$36*'契約別単価'!E5+'前提と出典'!$C$37*'契約別単価'!E6+'前提と出典'!$C$38*'契約別単価'!E7)</ns0:f>
        <ns0:v>735278.969558299</ns0:v>
      </ns0:c>
      <ns0:c r="F384" s="16">
        <ns0:f>A384*('前提と出典'!$C$36*'契約別単価'!F5+'前提と出典'!$C$37*'契約別単価'!F6+'前提と出典'!$C$38*'契約別単価'!F7)</ns0:f>
        <ns0:v>288570.2822875221</ns0:v>
      </ns0:c>
      <ns0:c r="G384" s="16">
        <ns0:f>A384*('前提と出典'!$C$36*'契約別単価'!G5+'前提と出典'!$C$37*'契約別単価'!G6+'前提と出典'!$C$38*'契約別単価'!G7)</ns0:f>
        <ns0:v>756391.0614525139</ns0:v>
      </ns0:c>
      <ns0:c r="H384" s="16">
        <ns0:f>A384*('前提と出典'!$C$36*'契約別単価'!H5+'前提と出典'!$C$37*'契約別単価'!H6+'前提と出典'!$C$38*'契約別単価'!H7)</ns0:f>
        <ns0:v>262505.6343168355</ns0:v>
      </ns0:c>
      <ns0:c r="I384" s="16">
        <ns0:f>A384*('前提と出典'!$C$36*'契約別単価'!I5+'前提と出典'!$C$37*'契約別単価'!I6+'前提と出典'!$C$38*'契約別単価'!I7)</ns0:f>
        <ns0:v>16034.301675977651</ns0:v>
      </ns0:c>
      <ns0:c r="J384" s="16">
        <ns0:f>A384*('前提と出典'!$C$36*'契約別単価'!J5+'前提と出典'!$C$37*'契約別単価'!J6+'前提と出典'!$C$38*'契約別単価'!J7)</ns0:f>
        <ns0:v>37350.026609914974</ns0:v>
      </ns0:c>
      <ns0:c r="K384" s="16">
        <ns0:f>A384*('前提と出典'!$C$36*'契約別単価'!K5+'前提と出典'!$C$37*'契約別単価'!K6+'前提と出典'!$C$38*'契約別単価'!K7)</ns0:f>
        <ns0:v>160095.3445065177</ns0:v>
      </ns0:c>
      <ns0:c r="L384" s="16">
        <ns0:f>A384*('前提と出典'!$C$36*'契約別単価'!L5+'前提と出典'!$C$37*'契約別単価'!L6+'前提と出典'!$C$38*'契約別単価'!L7)</ns0:f>
        <ns0:v>130350.18781056118</ns0:v>
      </ns0:c>
      <ns0:c r="M384" s="16">
        <ns0:f>IF(('前提と出典'!$C$36+'前提と出典'!$C$38)=0,0,IF(B384&lt;=10,'前提と出典'!B73+'前提と出典'!C73,IF(B384&lt;=100,'前提と出典'!B74+'前提と出典'!C74,IF(B384&lt;=500,'前提と出典'!B75+'前提と出典'!C75,'前提と出典'!B76+'前提と出典'!C76))))</ns0:f>
        <ns0:v>40000</ns0:v>
      </ns0:c>
      <ns0:c r="N384" s="16">
        <ns0:f>IF(('前提と出典'!$C$37+'前提と出典'!$C$38)=0,0,IF(C384&lt;=10,'前提と出典'!D73+'前提と出典'!E73,IF(C384&lt;=100,'前提と出典'!D74+'前提と出典'!E74,IF(C384&lt;=500,'前提と出典'!D75+'前提と出典'!E75,'前提と出典'!D76+'前提と出典'!E76))))</ns0:f>
        <ns0:v>56510.9346263078</ns0:v>
      </ns0:c>
      <ns0:c r="O384" s="16">
        <ns0:f>IF('前提と出典'!$C$36+'前提と出典'!$C$38=0,0,'前提と出典'!$B$4*IF('前提と出典'!$B$20=0,MAX('前提と出典'!$B$6,D384*'前提と出典'!$B$5),'前提と出典'!$B$6+D384*'前提と出典'!$B$5))</ns0:f>
        <ns0:v>377333.63128491625</ns0:v>
      </ns0:c>
      <ns0:c r="P384" s="16">
        <ns0:f>(E384+G384)*(1-'前提と出典'!$B$7)-I384-K384-M384-O384</ns0:f>
        <ns0:v>844506.6324270121</ns0:v>
      </ns0:c>
      <ns0:c r="Q384" s="16">
        <ns0:f>(F384+H384)*(1-'前提と出典'!$B$7)-J384-L384-N384</ns0:f>
        <ns0:v>307026.0345598167</ns0:v>
      </ns0:c>
      <ns0:c r="R384" s="16">
        <ns0:f>P384-E384*'前提と出典'!$E$4</ns0:f>
        <ns0:v>623922.9415595224</ns0:v>
      </ns0:c>
      <ns0:c r="S384" s="16">
        <ns0:f>Q384-F384*'前提と出典'!$E$4</ns0:f>
        <ns0:v>220454.9498735601</ns0:v>
      </ns0:c>
      <ns0:c r="T384" s="7">
        <ns0:f>R384+S384</ns0:f>
        <ns0:v>844377.8914330825</ns0:v>
      </ns0:c>
      <ns0:c r="U384" s="16">
        <ns0:f>P384-E384*'前提と出典'!$E$5</ns0:f>
        <ns0:v>550395.0446036924</ns0:v>
      </ns0:c>
      <ns0:c r="V384" s="16">
        <ns0:f>Q384-F384*'前提と出典'!$E$5</ns0:f>
        <ns0:v>191597.92164480788</ns0:v>
      </ns0:c>
      <ns0:c r="W384" s="7">
        <ns0:f>U384+V384</ns0:f>
        <ns0:v>741992.9662485003</ns0:v>
      </ns0:c>
      <ns0:c r="X384" s="16">
        <ns0:f>P384-E384*'前提と出典'!$E$6</ns0:f>
        <ns0:v>476867.1476478626</ns0:v>
      </ns0:c>
      <ns0:c r="Y384" s="16">
        <ns0:f>Q384-F384*'前提と出典'!$E$6</ns0:f>
        <ns0:v>162740.89341605568</ns0:v>
      </ns0:c>
      <ns0:c r="Z384" s="7">
        <ns0:f>X384+Y384</ns0:f>
        <ns0:v>639608.0410639183</ns0:v>
      </ns0:c>
      <ns0:c r="AA384" s="7">
        <ns0:f>IF(T384&gt;=0,A384,1001)</ns0:f>
        <ns0:v>380</ns0:v>
      </ns0:c>
      <ns0:c r="AB384" s="7">
        <ns0:f>IF(T384&lt;0,A384,0)</ns0:f>
        <ns0:v>0</ns0:v>
      </ns0:c>
      <ns0:c r="AC384" s="16">
        <ns0:f>IF(AND(OR('前提と出典'!$C$36+'前提と出典'!$C$38=0,R384&gt;=0),OR('前提と出典'!$C$37+'前提と出典'!$C$38=0,S384&gt;=0)),0,A384)</ns0:f>
        <ns0:v>0</ns0:v>
      </ns0:c>
      <ns0:c r="AD384" s="7">
        <ns0:f>IF(W384&gt;=0,A384,1001)</ns0:f>
        <ns0:v>380</ns0:v>
      </ns0:c>
      <ns0:c r="AE384" s="7">
        <ns0:f>IF(W384&lt;0,A384,0)</ns0:f>
        <ns0:v>0</ns0:v>
      </ns0:c>
      <ns0:c r="AF384" s="16">
        <ns0:f>IF(AND(OR('前提と出典'!$C$36+'前提と出典'!$C$38=0,U384&gt;=0),OR('前提と出典'!$C$37+'前提と出典'!$C$38=0,V384&gt;=0)),0,A384)</ns0:f>
        <ns0:v>0</ns0:v>
      </ns0:c>
      <ns0:c r="AG384" s="7">
        <ns0:f>IF(Z384&gt;=0,A384,1001)</ns0:f>
        <ns0:v>380</ns0:v>
      </ns0:c>
      <ns0:c r="AH384" s="4">
        <ns0:f>IF(Z384&lt;0,A384,0)</ns0:f>
        <ns0:v>0</ns0:v>
      </ns0:c>
      <ns0:c r="AI384" s="12">
        <ns0:f>IF(AND(OR('前提と出典'!$C$36+'前提と出典'!$C$38=0,X384&gt;=0),OR('前提と出典'!$C$37+'前提と出典'!$C$38=0,Y384&gt;=0)),0,A384)</ns0:f>
        <ns0:v>0</ns0:v>
      </ns0:c>
    </ns0:row>
    <ns0:row r="385" ht="24" customHeight="1">
      <ns0:c r="A385" s="4" t="n">
        <ns0:v>381</ns0:v>
      </ns0:c>
      <ns0:c r="B385" s="12">
        <ns0:f>A385*('前提と出典'!$C$36+'前提と出典'!$C$38)</ns0:f>
        <ns0:v>266.7</ns0:v>
      </ns0:c>
      <ns0:c r="C385" s="12">
        <ns0:f>A385*('前提と出典'!$C$37+'前提と出典'!$C$38)</ns0:f>
        <ns0:v>228.6</ns0:v>
      </ns0:c>
      <ns0:c r="D385" s="16">
        <ns0:f>A385*('前提と出典'!$C$36*'契約別単価'!C5+'前提と出典'!$C$37*'契約別単価'!C6+'前提と出典'!$C$38*'契約別単価'!C7)</ns0:f>
        <ns0:v>2741.4972067039107</ns0:v>
      </ns0:c>
      <ns0:c r="E385" s="16">
        <ns0:f>A385*('前提と出典'!$C$36*'契約別単価'!E5+'前提と出典'!$C$37*'契約別単価'!E6+'前提と出典'!$C$38*'契約別単価'!E7)</ns0:f>
        <ns0:v>737213.9142150314</ns0:v>
      </ns0:c>
      <ns0:c r="F385" s="16">
        <ns0:f>A385*('前提と出典'!$C$36*'契約別単価'!F5+'前提と出典'!$C$37*'契約別単価'!F6+'前提と出典'!$C$38*'契約別単価'!F7)</ns0:f>
        <ns0:v>289329.6777672261</ns0:v>
      </ns0:c>
      <ns0:c r="G385" s="16">
        <ns0:f>A385*('前提と出典'!$C$36*'契約別単価'!G5+'前提と出典'!$C$37*'契約別単価'!G6+'前提と出典'!$C$38*'契約別単価'!G7)</ns0:f>
        <ns0:v>758381.56424581</ns0:v>
      </ns0:c>
      <ns0:c r="H385" s="16">
        <ns0:f>A385*('前提と出典'!$C$36*'契約別単価'!H5+'前提と出典'!$C$37*'契約別単価'!H6+'前提と出典'!$C$38*'契約別単価'!H7)</ns0:f>
        <ns0:v>263196.4386176693</ns0:v>
      </ns0:c>
      <ns0:c r="I385" s="16">
        <ns0:f>A385*('前提と出典'!$C$36*'契約別単価'!I5+'前提と出典'!$C$37*'契約別単価'!I6+'前提と出典'!$C$38*'契約別単価'!I7)</ns0:f>
        <ns0:v>16076.497206703907</ns0:v>
      </ns0:c>
      <ns0:c r="J385" s="16">
        <ns0:f>A385*('前提と出典'!$C$36*'契約別単価'!J5+'前提と出典'!$C$37*'契約別単価'!J6+'前提と出典'!$C$38*'契約別単価'!J7)</ns0:f>
        <ns0:v>37448.31615362528</ns0:v>
      </ns0:c>
      <ns0:c r="K385" s="16">
        <ns0:f>A385*('前提と出典'!$C$36*'契約別単価'!K5+'前提と出典'!$C$37*'契約別単価'!K6+'前提と出典'!$C$38*'契約別単価'!K7)</ns0:f>
        <ns0:v>160516.64804469273</ns0:v>
      </ns0:c>
      <ns0:c r="L385" s="16">
        <ns0:f>A385*('前提と出典'!$C$36*'契約別単価'!L5+'前提と出典'!$C$37*'契約別単価'!L6+'前提と出典'!$C$38*'契約別単価'!L7)</ns0:f>
        <ns0:v>130693.21462058897</ns0:v>
      </ns0:c>
      <ns0:c r="M385" s="16">
        <ns0:f>IF(('前提と出典'!$C$36+'前提と出典'!$C$38)=0,0,IF(B385&lt;=10,'前提と出典'!B73+'前提と出典'!C73,IF(B385&lt;=100,'前提と出典'!B74+'前提と出典'!C74,IF(B385&lt;=500,'前提と出典'!B75+'前提と出典'!C75,'前提と出典'!B76+'前提と出典'!C76))))</ns0:f>
        <ns0:v>40000</ns0:v>
      </ns0:c>
      <ns0:c r="N385" s="16">
        <ns0:f>IF(('前提と出典'!$C$37+'前提と出典'!$C$38)=0,0,IF(C385&lt;=10,'前提と出典'!D73+'前提と出典'!E73,IF(C385&lt;=100,'前提と出典'!D74+'前提と出典'!E74,IF(C385&lt;=500,'前提と出典'!D75+'前提と出典'!E75,'前提と出典'!D76+'前提と出典'!E76))))</ns0:f>
        <ns0:v>56510.9346263078</ns0:v>
      </ns0:c>
      <ns0:c r="O385" s="16">
        <ns0:f>IF('前提と出典'!$C$36+'前提と出典'!$C$38=0,0,'前提と出典'!$B$4*IF('前提と出典'!$B$20=0,MAX('前提と出典'!$B$6,D385*'前提と出典'!$B$5),'前提と出典'!$B$6+D385*'前提と出典'!$B$5))</ns0:f>
        <ns0:v>378326.6145251397</ns0:v>
      </ns0:c>
      <ns0:c r="P385" s="16">
        <ns0:f>(E385+G385)*(1-'前提と出典'!$B$7)-I385-K385-M385-O385</ns0:f>
        <ns0:v>846834.2814597148</ns0:v>
      </ns0:c>
      <ns0:c r="Q385" s="16">
        <ns0:f>(F385+H385)*(1-'前提と出典'!$B$7)-J385-L385-N385</ns0:f>
        <ns0:v>307982.71079451713</ns0:v>
      </ns0:c>
      <ns0:c r="R385" s="16">
        <ns0:f>P385-E385*'前提と出典'!$E$4</ns0:f>
        <ns0:v>625670.1071952053</ns0:v>
      </ns0:c>
      <ns0:c r="S385" s="16">
        <ns0:f>Q385-F385*'前提と出典'!$E$4</ns0:f>
        <ns0:v>221183.80746434932</ns0:v>
      </ns0:c>
      <ns0:c r="T385" s="7">
        <ns0:f>R385+S385</ns0:f>
        <ns0:v>846853.9146595546</ns0:v>
      </ns0:c>
      <ns0:c r="U385" s="16">
        <ns0:f>P385-E385*'前提と出典'!$E$5</ns0:f>
        <ns0:v>551948.7157737021</ns0:v>
      </ns0:c>
      <ns0:c r="V385" s="16">
        <ns0:f>Q385-F385*'前提と出典'!$E$5</ns0:f>
        <ns0:v>192250.8396876267</ns0:v>
      </ns0:c>
      <ns0:c r="W385" s="7">
        <ns0:f>U385+V385</ns0:f>
        <ns0:v>744199.5554613288</ns0:v>
      </ns0:c>
      <ns0:c r="X385" s="16">
        <ns0:f>P385-E385*'前提と出典'!$E$6</ns0:f>
        <ns0:v>478227.324352199</ns0:v>
      </ns0:c>
      <ns0:c r="Y385" s="16">
        <ns0:f>Q385-F385*'前提と出典'!$E$6</ns0:f>
        <ns0:v>163317.87191090407</ns0:v>
      </ns0:c>
      <ns0:c r="Z385" s="7">
        <ns0:f>X385+Y385</ns0:f>
        <ns0:v>641545.196263103</ns0:v>
      </ns0:c>
      <ns0:c r="AA385" s="7">
        <ns0:f>IF(T385&gt;=0,A385,1001)</ns0:f>
        <ns0:v>381</ns0:v>
      </ns0:c>
      <ns0:c r="AB385" s="7">
        <ns0:f>IF(T385&lt;0,A385,0)</ns0:f>
        <ns0:v>0</ns0:v>
      </ns0:c>
      <ns0:c r="AC385" s="16">
        <ns0:f>IF(AND(OR('前提と出典'!$C$36+'前提と出典'!$C$38=0,R385&gt;=0),OR('前提と出典'!$C$37+'前提と出典'!$C$38=0,S385&gt;=0)),0,A385)</ns0:f>
        <ns0:v>0</ns0:v>
      </ns0:c>
      <ns0:c r="AD385" s="7">
        <ns0:f>IF(W385&gt;=0,A385,1001)</ns0:f>
        <ns0:v>381</ns0:v>
      </ns0:c>
      <ns0:c r="AE385" s="7">
        <ns0:f>IF(W385&lt;0,A385,0)</ns0:f>
        <ns0:v>0</ns0:v>
      </ns0:c>
      <ns0:c r="AF385" s="16">
        <ns0:f>IF(AND(OR('前提と出典'!$C$36+'前提と出典'!$C$38=0,U385&gt;=0),OR('前提と出典'!$C$37+'前提と出典'!$C$38=0,V385&gt;=0)),0,A385)</ns0:f>
        <ns0:v>0</ns0:v>
      </ns0:c>
      <ns0:c r="AG385" s="7">
        <ns0:f>IF(Z385&gt;=0,A385,1001)</ns0:f>
        <ns0:v>381</ns0:v>
      </ns0:c>
      <ns0:c r="AH385" s="4">
        <ns0:f>IF(Z385&lt;0,A385,0)</ns0:f>
        <ns0:v>0</ns0:v>
      </ns0:c>
      <ns0:c r="AI385" s="12">
        <ns0:f>IF(AND(OR('前提と出典'!$C$36+'前提と出典'!$C$38=0,X385&gt;=0),OR('前提と出典'!$C$37+'前提と出典'!$C$38=0,Y385&gt;=0)),0,A385)</ns0:f>
        <ns0:v>0</ns0:v>
      </ns0:c>
    </ns0:row>
    <ns0:row r="386" ht="24" customHeight="1">
      <ns0:c r="A386" s="4" t="n">
        <ns0:v>382</ns0:v>
      </ns0:c>
      <ns0:c r="B386" s="12">
        <ns0:f>A386*('前提と出典'!$C$36+'前提と出典'!$C$38)</ns0:f>
        <ns0:v>267.4</ns0:v>
      </ns0:c>
      <ns0:c r="C386" s="12">
        <ns0:f>A386*('前提と出典'!$C$37+'前提と出典'!$C$38)</ns0:f>
        <ns0:v>229.2</ns0:v>
      </ns0:c>
      <ns0:c r="D386" s="16">
        <ns0:f>A386*('前提と出典'!$C$36*'契約別単価'!C5+'前提と出典'!$C$37*'契約別単価'!C6+'前提と出典'!$C$38*'契約別単価'!C7)</ns0:f>
        <ns0:v>2748.6927374301677</ns0:v>
      </ns0:c>
      <ns0:c r="E386" s="16">
        <ns0:f>A386*('前提と出典'!$C$36*'契約別単価'!E5+'前提と出典'!$C$37*'契約別単価'!E6+'前提と出典'!$C$38*'契約別単価'!E7)</ns0:f>
        <ns0:v>739148.8588717638</ns0:v>
      </ns0:c>
      <ns0:c r="F386" s="16">
        <ns0:f>A386*('前提と出典'!$C$36*'契約別単価'!F5+'前提と出典'!$C$37*'契約別単価'!F6+'前提と出典'!$C$38*'契約別単価'!F7)</ns0:f>
        <ns0:v>290089.07324693014</ns0:v>
      </ns0:c>
      <ns0:c r="G386" s="16">
        <ns0:f>A386*('前提と出典'!$C$36*'契約別単価'!G5+'前提と出典'!$C$37*'契約別単価'!G6+'前提と出典'!$C$38*'契約別単価'!G7)</ns0:f>
        <ns0:v>760372.0670391062</ns0:v>
      </ns0:c>
      <ns0:c r="H386" s="16">
        <ns0:f>A386*('前提と出典'!$C$36*'契約別単価'!H5+'前提と出典'!$C$37*'契約別単価'!H6+'前提と出典'!$C$38*'契約別単価'!H7)</ns0:f>
        <ns0:v>263887.24291850306</ns0:v>
      </ns0:c>
      <ns0:c r="I386" s="16">
        <ns0:f>A386*('前提と出典'!$C$36*'契約別単価'!I5+'前提と出典'!$C$37*'契約別単価'!I6+'前提と出典'!$C$38*'契約別単価'!I7)</ns0:f>
        <ns0:v>16118.692737430165</ns0:v>
      </ns0:c>
      <ns0:c r="J386" s="16">
        <ns0:f>A386*('前提と出典'!$C$36*'契約別単価'!J5+'前提と出典'!$C$37*'契約別単価'!J6+'前提と出典'!$C$38*'契約別単価'!J7)</ns0:f>
        <ns0:v>37546.60569733558</ns0:v>
      </ns0:c>
      <ns0:c r="K386" s="16">
        <ns0:f>A386*('前提と出典'!$C$36*'契約別単価'!K5+'前提と出典'!$C$37*'契約別単価'!K6+'前提と出典'!$C$38*'契約別単価'!K7)</ns0:f>
        <ns0:v>160937.95158286777</ns0:v>
      </ns0:c>
      <ns0:c r="L386" s="16">
        <ns0:f>A386*('前提と出典'!$C$36*'契約別単価'!L5+'前提と出典'!$C$37*'契約別単価'!L6+'前提と出典'!$C$38*'契約別単価'!L7)</ns0:f>
        <ns0:v>131036.24143061676</ns0:v>
      </ns0:c>
      <ns0:c r="M386" s="16">
        <ns0:f>IF(('前提と出典'!$C$36+'前提と出典'!$C$38)=0,0,IF(B386&lt;=10,'前提と出典'!B73+'前提と出典'!C73,IF(B386&lt;=100,'前提と出典'!B74+'前提と出典'!C74,IF(B386&lt;=500,'前提と出典'!B75+'前提と出典'!C75,'前提と出典'!B76+'前提と出典'!C76))))</ns0:f>
        <ns0:v>40000</ns0:v>
      </ns0:c>
      <ns0:c r="N386" s="16">
        <ns0:f>IF(('前提と出典'!$C$37+'前提と出典'!$C$38)=0,0,IF(C386&lt;=10,'前提と出典'!D73+'前提と出典'!E73,IF(C386&lt;=100,'前提と出典'!D74+'前提と出典'!E74,IF(C386&lt;=500,'前提と出典'!D75+'前提と出典'!E75,'前提と出典'!D76+'前提と出典'!E76))))</ns0:f>
        <ns0:v>56510.9346263078</ns0:v>
      </ns0:c>
      <ns0:c r="O386" s="16">
        <ns0:f>IF('前提と出典'!$C$36+'前提と出典'!$C$38=0,0,'前提と出典'!$B$4*IF('前提と出典'!$B$20=0,MAX('前提と出典'!$B$6,D386*'前提と出典'!$B$5),'前提と出典'!$B$6+D386*'前提と出典'!$B$5))</ns0:f>
        <ns0:v>379319.59776536317</ns0:v>
      </ns0:c>
      <ns0:c r="P386" s="16">
        <ns0:f>(E386+G386)*(1-'前提と出典'!$B$7)-I386-K386-M386-O386</ns0:f>
        <ns0:v>849161.9304924177</ns0:v>
      </ns0:c>
      <ns0:c r="Q386" s="16">
        <ns0:f>(F386+H386)*(1-'前提と出典'!$B$7)-J386-L386-N386</ns0:f>
        <ns0:v>308939.38702921756</ns0:v>
      </ns0:c>
      <ns0:c r="R386" s="16">
        <ns0:f>P386-E386*'前提と出典'!$E$4</ns0:f>
        <ns0:v>627417.2728308884</ns0:v>
      </ns0:c>
      <ns0:c r="S386" s="16">
        <ns0:f>Q386-F386*'前提と出典'!$E$4</ns0:f>
        <ns0:v>221912.66505513852</ns0:v>
      </ns0:c>
      <ns0:c r="T386" s="7">
        <ns0:f>R386+S386</ns0:f>
        <ns0:v>849329.9378860269</ns0:v>
      </ns0:c>
      <ns0:c r="U386" s="16">
        <ns0:f>P386-E386*'前提と出典'!$E$5</ns0:f>
        <ns0:v>553502.3869437121</ns0:v>
      </ns0:c>
      <ns0:c r="V386" s="16">
        <ns0:f>Q386-F386*'前提と出典'!$E$5</ns0:f>
        <ns0:v>192903.75773044548</ns0:v>
      </ns0:c>
      <ns0:c r="W386" s="7">
        <ns0:f>U386+V386</ns0:f>
        <ns0:v>746406.1446741576</ns0:v>
      </ns0:c>
      <ns0:c r="X386" s="16">
        <ns0:f>P386-E386*'前提と出典'!$E$6</ns0:f>
        <ns0:v>479587.50105653587</ns0:v>
      </ns0:c>
      <ns0:c r="Y386" s="16">
        <ns0:f>Q386-F386*'前提と出典'!$E$6</ns0:f>
        <ns0:v>163894.85040575248</ns0:v>
      </ns0:c>
      <ns0:c r="Z386" s="7">
        <ns0:f>X386+Y386</ns0:f>
        <ns0:v>643482.3514622883</ns0:v>
      </ns0:c>
      <ns0:c r="AA386" s="7">
        <ns0:f>IF(T386&gt;=0,A386,1001)</ns0:f>
        <ns0:v>382</ns0:v>
      </ns0:c>
      <ns0:c r="AB386" s="7">
        <ns0:f>IF(T386&lt;0,A386,0)</ns0:f>
        <ns0:v>0</ns0:v>
      </ns0:c>
      <ns0:c r="AC386" s="16">
        <ns0:f>IF(AND(OR('前提と出典'!$C$36+'前提と出典'!$C$38=0,R386&gt;=0),OR('前提と出典'!$C$37+'前提と出典'!$C$38=0,S386&gt;=0)),0,A386)</ns0:f>
        <ns0:v>0</ns0:v>
      </ns0:c>
      <ns0:c r="AD386" s="7">
        <ns0:f>IF(W386&gt;=0,A386,1001)</ns0:f>
        <ns0:v>382</ns0:v>
      </ns0:c>
      <ns0:c r="AE386" s="7">
        <ns0:f>IF(W386&lt;0,A386,0)</ns0:f>
        <ns0:v>0</ns0:v>
      </ns0:c>
      <ns0:c r="AF386" s="16">
        <ns0:f>IF(AND(OR('前提と出典'!$C$36+'前提と出典'!$C$38=0,U386&gt;=0),OR('前提と出典'!$C$37+'前提と出典'!$C$38=0,V386&gt;=0)),0,A386)</ns0:f>
        <ns0:v>0</ns0:v>
      </ns0:c>
      <ns0:c r="AG386" s="7">
        <ns0:f>IF(Z386&gt;=0,A386,1001)</ns0:f>
        <ns0:v>382</ns0:v>
      </ns0:c>
      <ns0:c r="AH386" s="4">
        <ns0:f>IF(Z386&lt;0,A386,0)</ns0:f>
        <ns0:v>0</ns0:v>
      </ns0:c>
      <ns0:c r="AI386" s="12">
        <ns0:f>IF(AND(OR('前提と出典'!$C$36+'前提と出典'!$C$38=0,X386&gt;=0),OR('前提と出典'!$C$37+'前提と出典'!$C$38=0,Y386&gt;=0)),0,A386)</ns0:f>
        <ns0:v>0</ns0:v>
      </ns0:c>
    </ns0:row>
    <ns0:row r="387" ht="24" customHeight="1">
      <ns0:c r="A387" s="4" t="n">
        <ns0:v>383</ns0:v>
      </ns0:c>
      <ns0:c r="B387" s="12">
        <ns0:f>A387*('前提と出典'!$C$36+'前提と出典'!$C$38)</ns0:f>
        <ns0:v>268.09999999999997</ns0:v>
      </ns0:c>
      <ns0:c r="C387" s="12">
        <ns0:f>A387*('前提と出典'!$C$37+'前提と出典'!$C$38)</ns0:f>
        <ns0:v>229.79999999999998</ns0:v>
      </ns0:c>
      <ns0:c r="D387" s="16">
        <ns0:f>A387*('前提と出典'!$C$36*'契約別単価'!C5+'前提と出典'!$C$37*'契約別単価'!C6+'前提と出典'!$C$38*'契約別単価'!C7)</ns0:f>
        <ns0:v>2755.8882681564246</ns0:v>
      </ns0:c>
      <ns0:c r="E387" s="16">
        <ns0:f>A387*('前提と出典'!$C$36*'契約別単価'!E5+'前提と出典'!$C$37*'契約別単価'!E6+'前提と出典'!$C$38*'契約別単価'!E7)</ns0:f>
        <ns0:v>741083.8035284962</ns0:v>
      </ns0:c>
      <ns0:c r="F387" s="16">
        <ns0:f>A387*('前提と出典'!$C$36*'契約別単価'!F5+'前提と出典'!$C$37*'契約別単価'!F6+'前提と出典'!$C$38*'契約別単価'!F7)</ns0:f>
        <ns0:v>290848.4687266341</ns0:v>
      </ns0:c>
      <ns0:c r="G387" s="16">
        <ns0:f>A387*('前提と出典'!$C$36*'契約別単価'!G5+'前提と出典'!$C$37*'契約別単価'!G6+'前提と出典'!$C$38*'契約別単価'!G7)</ns0:f>
        <ns0:v>762362.5698324022</ns0:v>
      </ns0:c>
      <ns0:c r="H387" s="16">
        <ns0:f>A387*('前提と出典'!$C$36*'契約別単価'!H5+'前提と出典'!$C$37*'契約別単価'!H6+'前提と出典'!$C$38*'契約別単価'!H7)</ns0:f>
        <ns0:v>264578.04721933685</ns0:v>
      </ns0:c>
      <ns0:c r="I387" s="16">
        <ns0:f>A387*('前提と出典'!$C$36*'契約別単価'!I5+'前提と出典'!$C$37*'契約別単価'!I6+'前提と出典'!$C$38*'契約別単価'!I7)</ns0:f>
        <ns0:v>16160.888268156421</ns0:v>
      </ns0:c>
      <ns0:c r="J387" s="16">
        <ns0:f>A387*('前提と出典'!$C$36*'契約別単価'!J5+'前提と出典'!$C$37*'契約別単価'!J6+'前提と出典'!$C$38*'契約別単価'!J7)</ns0:f>
        <ns0:v>37644.89524104588</ns0:v>
      </ns0:c>
      <ns0:c r="K387" s="16">
        <ns0:f>A387*('前提と出典'!$C$36*'契約別単価'!K5+'前提と出典'!$C$37*'契約別単価'!K6+'前提と出典'!$C$38*'契約別単価'!K7)</ns0:f>
        <ns0:v>161359.2551210428</ns0:v>
      </ns0:c>
      <ns0:c r="L387" s="16">
        <ns0:f>A387*('前提と出典'!$C$36*'契約別単価'!L5+'前提と出典'!$C$37*'契約別単価'!L6+'前提と出典'!$C$38*'契約別単価'!L7)</ns0:f>
        <ns0:v>131379.26824064457</ns0:v>
      </ns0:c>
      <ns0:c r="M387" s="16">
        <ns0:f>IF(('前提と出典'!$C$36+'前提と出典'!$C$38)=0,0,IF(B387&lt;=10,'前提と出典'!B73+'前提と出典'!C73,IF(B387&lt;=100,'前提と出典'!B74+'前提と出典'!C74,IF(B387&lt;=500,'前提と出典'!B75+'前提と出典'!C75,'前提と出典'!B76+'前提と出典'!C76))))</ns0:f>
        <ns0:v>40000</ns0:v>
      </ns0:c>
      <ns0:c r="N387" s="16">
        <ns0:f>IF(('前提と出典'!$C$37+'前提と出典'!$C$38)=0,0,IF(C387&lt;=10,'前提と出典'!D73+'前提と出典'!E73,IF(C387&lt;=100,'前提と出典'!D74+'前提と出典'!E74,IF(C387&lt;=500,'前提と出典'!D75+'前提と出典'!E75,'前提と出典'!D76+'前提と出典'!E76))))</ns0:f>
        <ns0:v>56510.9346263078</ns0:v>
      </ns0:c>
      <ns0:c r="O387" s="16">
        <ns0:f>IF('前提と出典'!$C$36+'前提と出典'!$C$38=0,0,'前提と出典'!$B$4*IF('前提と出典'!$B$20=0,MAX('前提と出典'!$B$6,D387*'前提と出典'!$B$5),'前提と出典'!$B$6+D387*'前提と出典'!$B$5))</ns0:f>
        <ns0:v>380312.5810055866</ns0:v>
      </ns0:c>
      <ns0:c r="P387" s="16">
        <ns0:f>(E387+G387)*(1-'前提と出典'!$B$7)-I387-K387-M387-O387</ns0:f>
        <ns0:v>851489.5795251201</ns0:v>
      </ns0:c>
      <ns0:c r="Q387" s="16">
        <ns0:f>(F387+H387)*(1-'前提と出典'!$B$7)-J387-L387-N387</ns0:f>
        <ns0:v>309896.0632639178</ns0:v>
      </ns0:c>
      <ns0:c r="R387" s="16">
        <ns0:f>P387-E387*'前提と出典'!$E$4</ns0:f>
        <ns0:v>629164.4384665715</ns0:v>
      </ns0:c>
      <ns0:c r="S387" s="16">
        <ns0:f>Q387-F387*'前提と出典'!$E$4</ns0:f>
        <ns0:v>222641.52264592762</ns0:v>
      </ns0:c>
      <ns0:c r="T387" s="7">
        <ns0:f>R387+S387</ns0:f>
        <ns0:v>851805.9611124991</ns0:v>
      </ns0:c>
      <ns0:c r="U387" s="16">
        <ns0:f>P387-E387*'前提と出典'!$E$5</ns0:f>
        <ns0:v>555056.0581137217</ns0:v>
      </ns0:c>
      <ns0:c r="V387" s="16">
        <ns0:f>Q387-F387*'前提と出典'!$E$5</ns0:f>
        <ns0:v>193556.67577326417</ns0:v>
      </ns0:c>
      <ns0:c r="W387" s="7">
        <ns0:f>U387+V387</ns0:f>
        <ns0:v>748612.7338869858</ns0:v>
      </ns0:c>
      <ns0:c r="X387" s="16">
        <ns0:f>P387-E387*'前提と出典'!$E$6</ns0:f>
        <ns0:v>480947.6777608721</ns0:v>
      </ns0:c>
      <ns0:c r="Y387" s="16">
        <ns0:f>Q387-F387*'前提と出典'!$E$6</ns0:f>
        <ns0:v>164471.8289006008</ns0:v>
      </ns0:c>
      <ns0:c r="Z387" s="7">
        <ns0:f>X387+Y387</ns0:f>
        <ns0:v>645419.506661473</ns0:v>
      </ns0:c>
      <ns0:c r="AA387" s="7">
        <ns0:f>IF(T387&gt;=0,A387,1001)</ns0:f>
        <ns0:v>383</ns0:v>
      </ns0:c>
      <ns0:c r="AB387" s="7">
        <ns0:f>IF(T387&lt;0,A387,0)</ns0:f>
        <ns0:v>0</ns0:v>
      </ns0:c>
      <ns0:c r="AC387" s="16">
        <ns0:f>IF(AND(OR('前提と出典'!$C$36+'前提と出典'!$C$38=0,R387&gt;=0),OR('前提と出典'!$C$37+'前提と出典'!$C$38=0,S387&gt;=0)),0,A387)</ns0:f>
        <ns0:v>0</ns0:v>
      </ns0:c>
      <ns0:c r="AD387" s="7">
        <ns0:f>IF(W387&gt;=0,A387,1001)</ns0:f>
        <ns0:v>383</ns0:v>
      </ns0:c>
      <ns0:c r="AE387" s="7">
        <ns0:f>IF(W387&lt;0,A387,0)</ns0:f>
        <ns0:v>0</ns0:v>
      </ns0:c>
      <ns0:c r="AF387" s="16">
        <ns0:f>IF(AND(OR('前提と出典'!$C$36+'前提と出典'!$C$38=0,U387&gt;=0),OR('前提と出典'!$C$37+'前提と出典'!$C$38=0,V387&gt;=0)),0,A387)</ns0:f>
        <ns0:v>0</ns0:v>
      </ns0:c>
      <ns0:c r="AG387" s="7">
        <ns0:f>IF(Z387&gt;=0,A387,1001)</ns0:f>
        <ns0:v>383</ns0:v>
      </ns0:c>
      <ns0:c r="AH387" s="4">
        <ns0:f>IF(Z387&lt;0,A387,0)</ns0:f>
        <ns0:v>0</ns0:v>
      </ns0:c>
      <ns0:c r="AI387" s="12">
        <ns0:f>IF(AND(OR('前提と出典'!$C$36+'前提と出典'!$C$38=0,X387&gt;=0),OR('前提と出典'!$C$37+'前提と出典'!$C$38=0,Y387&gt;=0)),0,A387)</ns0:f>
        <ns0:v>0</ns0:v>
      </ns0:c>
    </ns0:row>
    <ns0:row r="388" ht="24" customHeight="1">
      <ns0:c r="A388" s="4" t="n">
        <ns0:v>384</ns0:v>
      </ns0:c>
      <ns0:c r="B388" s="12">
        <ns0:f>A388*('前提と出典'!$C$36+'前提と出典'!$C$38)</ns0:f>
        <ns0:v>268.79999999999995</ns0:v>
      </ns0:c>
      <ns0:c r="C388" s="12">
        <ns0:f>A388*('前提と出典'!$C$37+'前提と出典'!$C$38)</ns0:f>
        <ns0:v>230.39999999999998</ns0:v>
      </ns0:c>
      <ns0:c r="D388" s="16">
        <ns0:f>A388*('前提と出典'!$C$36*'契約別単価'!C5+'前提と出典'!$C$37*'契約別単価'!C6+'前提と出典'!$C$38*'契約別単価'!C7)</ns0:f>
        <ns0:v>2763.0837988826815</ns0:v>
      </ns0:c>
      <ns0:c r="E388" s="16">
        <ns0:f>A388*('前提と出典'!$C$36*'契約別単価'!E5+'前提と出典'!$C$37*'契約別単価'!E6+'前提と出典'!$C$38*'契約別単価'!E7)</ns0:f>
        <ns0:v>743018.7481852286</ns0:v>
      </ns0:c>
      <ns0:c r="F388" s="16">
        <ns0:f>A388*('前提と出典'!$C$36*'契約別単価'!F5+'前提と出典'!$C$37*'契約別単価'!F6+'前提と出典'!$C$38*'契約別単価'!F7)</ns0:f>
        <ns0:v>291607.8642063381</ns0:v>
      </ns0:c>
      <ns0:c r="G388" s="16">
        <ns0:f>A388*('前提と出典'!$C$36*'契約別単価'!G5+'前提と出典'!$C$37*'契約別単価'!G6+'前提と出典'!$C$38*'契約別単価'!G7)</ns0:f>
        <ns0:v>764353.0726256983</ns0:v>
      </ns0:c>
      <ns0:c r="H388" s="16">
        <ns0:f>A388*('前提と出典'!$C$36*'契約別単価'!H5+'前提と出典'!$C$37*'契約別単価'!H6+'前提と出典'!$C$38*'契約別単価'!H7)</ns0:f>
        <ns0:v>265268.85152017063</ns0:v>
      </ns0:c>
      <ns0:c r="I388" s="16">
        <ns0:f>A388*('前提と出典'!$C$36*'契約別単価'!I5+'前提と出典'!$C$37*'契約別単価'!I6+'前提と出典'!$C$38*'契約別単価'!I7)</ns0:f>
        <ns0:v>16203.083798882679</ns0:v>
      </ns0:c>
      <ns0:c r="J388" s="16">
        <ns0:f>A388*('前提と出典'!$C$36*'契約別単価'!J5+'前提と出典'!$C$37*'契約別単価'!J6+'前提と出典'!$C$38*'契約別単価'!J7)</ns0:f>
        <ns0:v>37743.18478475619</ns0:v>
      </ns0:c>
      <ns0:c r="K388" s="16">
        <ns0:f>A388*('前提と出典'!$C$36*'契約別単価'!K5+'前提と出典'!$C$37*'契約別単価'!K6+'前提と出典'!$C$38*'契約別単価'!K7)</ns0:f>
        <ns0:v>161780.55865921787</ns0:v>
      </ns0:c>
      <ns0:c r="L388" s="16">
        <ns0:f>A388*('前提と出典'!$C$36*'契約別単価'!L5+'前提と出典'!$C$37*'契約別単価'!L6+'前提と出典'!$C$38*'契約別単価'!L7)</ns0:f>
        <ns0:v>131722.29505067234</ns0:v>
      </ns0:c>
      <ns0:c r="M388" s="16">
        <ns0:f>IF(('前提と出典'!$C$36+'前提と出典'!$C$38)=0,0,IF(B388&lt;=10,'前提と出典'!B73+'前提と出典'!C73,IF(B388&lt;=100,'前提と出典'!B74+'前提と出典'!C74,IF(B388&lt;=500,'前提と出典'!B75+'前提と出典'!C75,'前提と出典'!B76+'前提と出典'!C76))))</ns0:f>
        <ns0:v>40000</ns0:v>
      </ns0:c>
      <ns0:c r="N388" s="16">
        <ns0:f>IF(('前提と出典'!$C$37+'前提と出典'!$C$38)=0,0,IF(C388&lt;=10,'前提と出典'!D73+'前提と出典'!E73,IF(C388&lt;=100,'前提と出典'!D74+'前提と出典'!E74,IF(C388&lt;=500,'前提と出典'!D75+'前提と出典'!E75,'前提と出典'!D76+'前提と出典'!E76))))</ns0:f>
        <ns0:v>56510.9346263078</ns0:v>
      </ns0:c>
      <ns0:c r="O388" s="16">
        <ns0:f>IF('前提と出典'!$C$36+'前提と出典'!$C$38=0,0,'前提と出典'!$B$4*IF('前提と出典'!$B$20=0,MAX('前提と出典'!$B$6,D388*'前提と出典'!$B$5),'前提と出典'!$B$6+D388*'前提と出典'!$B$5))</ns0:f>
        <ns0:v>381305.5642458101</ns0:v>
      </ns0:c>
      <ns0:c r="P388" s="16">
        <ns0:f>(E388+G388)*(1-'前提と出典'!$B$7)-I388-K388-M388-O388</ns0:f>
        <ns0:v>853817.2285578226</ns0:v>
      </ns0:c>
      <ns0:c r="Q388" s="16">
        <ns0:f>(F388+H388)*(1-'前提と出典'!$B$7)-J388-L388-N388</ns0:f>
        <ns0:v>310852.73949861806</ns0:v>
      </ns0:c>
      <ns0:c r="R388" s="16">
        <ns0:f>P388-E388*'前提と出典'!$E$4</ns0:f>
        <ns0:v>630911.6041022544</ns0:v>
      </ns0:c>
      <ns0:c r="S388" s="16">
        <ns0:f>Q388-F388*'前提と出典'!$E$4</ns0:f>
        <ns0:v>223370.3802367166</ns0:v>
      </ns0:c>
      <ns0:c r="T388" s="7">
        <ns0:f>R388+S388</ns0:f>
        <ns0:v>854281.984338971</ns0:v>
      </ns0:c>
      <ns0:c r="U388" s="16">
        <ns0:f>P388-E388*'前提と出典'!$E$5</ns0:f>
        <ns0:v>556609.7292837312</ns0:v>
      </ns0:c>
      <ns0:c r="V388" s="16">
        <ns0:f>Q388-F388*'前提と出典'!$E$5</ns0:f>
        <ns0:v>194209.59381608284</ns0:v>
      </ns0:c>
      <ns0:c r="W388" s="7">
        <ns0:f>U388+V388</ns0:f>
        <ns0:v>750819.323099814</ns0:v>
      </ns0:c>
      <ns0:c r="X388" s="16">
        <ns0:f>P388-E388*'前提と出典'!$E$6</ns0:f>
        <ns0:v>482307.8544652083</ns0:v>
      </ns0:c>
      <ns0:c r="Y388" s="16">
        <ns0:f>Q388-F388*'前提と出典'!$E$6</ns0:f>
        <ns0:v>165048.80739544905</ns0:v>
      </ns0:c>
      <ns0:c r="Z388" s="7">
        <ns0:f>X388+Y388</ns0:f>
        <ns0:v>647356.6618606574</ns0:v>
      </ns0:c>
      <ns0:c r="AA388" s="7">
        <ns0:f>IF(T388&gt;=0,A388,1001)</ns0:f>
        <ns0:v>384</ns0:v>
      </ns0:c>
      <ns0:c r="AB388" s="7">
        <ns0:f>IF(T388&lt;0,A388,0)</ns0:f>
        <ns0:v>0</ns0:v>
      </ns0:c>
      <ns0:c r="AC388" s="16">
        <ns0:f>IF(AND(OR('前提と出典'!$C$36+'前提と出典'!$C$38=0,R388&gt;=0),OR('前提と出典'!$C$37+'前提と出典'!$C$38=0,S388&gt;=0)),0,A388)</ns0:f>
        <ns0:v>0</ns0:v>
      </ns0:c>
      <ns0:c r="AD388" s="7">
        <ns0:f>IF(W388&gt;=0,A388,1001)</ns0:f>
        <ns0:v>384</ns0:v>
      </ns0:c>
      <ns0:c r="AE388" s="7">
        <ns0:f>IF(W388&lt;0,A388,0)</ns0:f>
        <ns0:v>0</ns0:v>
      </ns0:c>
      <ns0:c r="AF388" s="16">
        <ns0:f>IF(AND(OR('前提と出典'!$C$36+'前提と出典'!$C$38=0,U388&gt;=0),OR('前提と出典'!$C$37+'前提と出典'!$C$38=0,V388&gt;=0)),0,A388)</ns0:f>
        <ns0:v>0</ns0:v>
      </ns0:c>
      <ns0:c r="AG388" s="7">
        <ns0:f>IF(Z388&gt;=0,A388,1001)</ns0:f>
        <ns0:v>384</ns0:v>
      </ns0:c>
      <ns0:c r="AH388" s="4">
        <ns0:f>IF(Z388&lt;0,A388,0)</ns0:f>
        <ns0:v>0</ns0:v>
      </ns0:c>
      <ns0:c r="AI388" s="12">
        <ns0:f>IF(AND(OR('前提と出典'!$C$36+'前提と出典'!$C$38=0,X388&gt;=0),OR('前提と出典'!$C$37+'前提と出典'!$C$38=0,Y388&gt;=0)),0,A388)</ns0:f>
        <ns0:v>0</ns0:v>
      </ns0:c>
    </ns0:row>
    <ns0:row r="389" ht="24" customHeight="1">
      <ns0:c r="A389" s="4" t="n">
        <ns0:v>385</ns0:v>
      </ns0:c>
      <ns0:c r="B389" s="12">
        <ns0:f>A389*('前提と出典'!$C$36+'前提と出典'!$C$38)</ns0:f>
        <ns0:v>269.5</ns0:v>
      </ns0:c>
      <ns0:c r="C389" s="12">
        <ns0:f>A389*('前提と出典'!$C$37+'前提と出典'!$C$38)</ns0:f>
        <ns0:v>231</ns0:v>
      </ns0:c>
      <ns0:c r="D389" s="16">
        <ns0:f>A389*('前提と出典'!$C$36*'契約別単価'!C5+'前提と出典'!$C$37*'契約別単価'!C6+'前提と出典'!$C$38*'契約別単価'!C7)</ns0:f>
        <ns0:v>2770.2793296089385</ns0:v>
      </ns0:c>
      <ns0:c r="E389" s="16">
        <ns0:f>A389*('前提と出典'!$C$36*'契約別単価'!E5+'前提と出典'!$C$37*'契約別単価'!E6+'前提と出典'!$C$38*'契約別単価'!E7)</ns0:f>
        <ns0:v>744953.6928419609</ns0:v>
      </ns0:c>
      <ns0:c r="F389" s="16">
        <ns0:f>A389*('前提と出典'!$C$36*'契約別単価'!F5+'前提と出典'!$C$37*'契約別単価'!F6+'前提と出典'!$C$38*'契約別単価'!F7)</ns0:f>
        <ns0:v>292367.25968604215</ns0:v>
      </ns0:c>
      <ns0:c r="G389" s="16">
        <ns0:f>A389*('前提と出典'!$C$36*'契約別単価'!G5+'前提と出典'!$C$37*'契約別単価'!G6+'前提と出典'!$C$38*'契約別単価'!G7)</ns0:f>
        <ns0:v>766343.5754189944</ns0:v>
      </ns0:c>
      <ns0:c r="H389" s="16">
        <ns0:f>A389*('前提と出典'!$C$36*'契約別単価'!H5+'前提と出典'!$C$37*'契約別単価'!H6+'前提と出典'!$C$38*'契約別単価'!H7)</ns0:f>
        <ns0:v>265959.6558210044</ns0:v>
      </ns0:c>
      <ns0:c r="I389" s="16">
        <ns0:f>A389*('前提と出典'!$C$36*'契約別単価'!I5+'前提と出典'!$C$37*'契約別単価'!I6+'前提と出典'!$C$38*'契約別単価'!I7)</ns0:f>
        <ns0:v>16245.279329608937</ns0:v>
      </ns0:c>
      <ns0:c r="J389" s="16">
        <ns0:f>A389*('前提と出典'!$C$36*'契約別単価'!J5+'前提と出典'!$C$37*'契約別単価'!J6+'前提と出典'!$C$38*'契約別単価'!J7)</ns0:f>
        <ns0:v>37841.47432846649</ns0:v>
      </ns0:c>
      <ns0:c r="K389" s="16">
        <ns0:f>A389*('前提と出典'!$C$36*'契約別単価'!K5+'前提と出典'!$C$37*'契約別単価'!K6+'前提と出典'!$C$38*'契約別単価'!K7)</ns0:f>
        <ns0:v>162201.8621973929</ns0:v>
      </ns0:c>
      <ns0:c r="L389" s="16">
        <ns0:f>A389*('前提と出典'!$C$36*'契約別単価'!L5+'前提と出典'!$C$37*'契約別単価'!L6+'前提と出典'!$C$38*'契約別単価'!L7)</ns0:f>
        <ns0:v>132065.32186070015</ns0:v>
      </ns0:c>
      <ns0:c r="M389" s="16">
        <ns0:f>IF(('前提と出典'!$C$36+'前提と出典'!$C$38)=0,0,IF(B389&lt;=10,'前提と出典'!B73+'前提と出典'!C73,IF(B389&lt;=100,'前提と出典'!B74+'前提と出典'!C74,IF(B389&lt;=500,'前提と出典'!B75+'前提と出典'!C75,'前提と出典'!B76+'前提と出典'!C76))))</ns0:f>
        <ns0:v>40000</ns0:v>
      </ns0:c>
      <ns0:c r="N389" s="16">
        <ns0:f>IF(('前提と出典'!$C$37+'前提と出典'!$C$38)=0,0,IF(C389&lt;=10,'前提と出典'!D73+'前提と出典'!E73,IF(C389&lt;=100,'前提と出典'!D74+'前提と出典'!E74,IF(C389&lt;=500,'前提と出典'!D75+'前提と出典'!E75,'前提と出典'!D76+'前提と出典'!E76))))</ns0:f>
        <ns0:v>56510.9346263078</ns0:v>
      </ns0:c>
      <ns0:c r="O389" s="16">
        <ns0:f>IF('前提と出典'!$C$36+'前提と出典'!$C$38=0,0,'前提と出典'!$B$4*IF('前提と出典'!$B$20=0,MAX('前提と出典'!$B$6,D389*'前提と出典'!$B$5),'前提と出典'!$B$6+D389*'前提と出典'!$B$5))</ns0:f>
        <ns0:v>382298.5474860335</ns0:v>
      </ns0:c>
      <ns0:c r="P389" s="16">
        <ns0:f>(E389+G389)*(1-'前提と出典'!$B$7)-I389-K389-M389-O389</ns0:f>
        <ns0:v>856144.8775905257</ns0:v>
      </ns0:c>
      <ns0:c r="Q389" s="16">
        <ns0:f>(F389+H389)*(1-'前提と出典'!$B$7)-J389-L389-N389</ns0:f>
        <ns0:v>311809.4157333184</ns0:v>
      </ns0:c>
      <ns0:c r="R389" s="16">
        <ns0:f>P389-E389*'前提と出典'!$E$4</ns0:f>
        <ns0:v>632658.7697379375</ns0:v>
      </ns0:c>
      <ns0:c r="S389" s="16">
        <ns0:f>Q389-F389*'前提と出典'!$E$4</ns0:f>
        <ns0:v>224099.2378275058</ns0:v>
      </ns0:c>
      <ns0:c r="T389" s="7">
        <ns0:f>R389+S389</ns0:f>
        <ns0:v>856758.0075654433</ns0:v>
      </ns0:c>
      <ns0:c r="U389" s="16">
        <ns0:f>P389-E389*'前提と出典'!$E$5</ns0:f>
        <ns0:v>558163.4004537412</ns0:v>
      </ns0:c>
      <ns0:c r="V389" s="16">
        <ns0:f>Q389-F389*'前提と出典'!$E$5</ns0:f>
        <ns0:v>194862.5118589016</ns0:v>
      </ns0:c>
      <ns0:c r="W389" s="7">
        <ns0:f>U389+V389</ns0:f>
        <ns0:v>753025.9123126428</ns0:v>
      </ns0:c>
      <ns0:c r="X389" s="16">
        <ns0:f>P389-E389*'前提と出典'!$E$6</ns0:f>
        <ns0:v>483668.03116954514</ns0:v>
      </ns0:c>
      <ns0:c r="Y389" s="16">
        <ns0:f>Q389-F389*'前提と出典'!$E$6</ns0:f>
        <ns0:v>165625.78589029738</ns0:v>
      </ns0:c>
      <ns0:c r="Z389" s="7">
        <ns0:f>X389+Y389</ns0:f>
        <ns0:v>649293.8170598425</ns0:v>
      </ns0:c>
      <ns0:c r="AA389" s="7">
        <ns0:f>IF(T389&gt;=0,A389,1001)</ns0:f>
        <ns0:v>385</ns0:v>
      </ns0:c>
      <ns0:c r="AB389" s="7">
        <ns0:f>IF(T389&lt;0,A389,0)</ns0:f>
        <ns0:v>0</ns0:v>
      </ns0:c>
      <ns0:c r="AC389" s="16">
        <ns0:f>IF(AND(OR('前提と出典'!$C$36+'前提と出典'!$C$38=0,R389&gt;=0),OR('前提と出典'!$C$37+'前提と出典'!$C$38=0,S389&gt;=0)),0,A389)</ns0:f>
        <ns0:v>0</ns0:v>
      </ns0:c>
      <ns0:c r="AD389" s="7">
        <ns0:f>IF(W389&gt;=0,A389,1001)</ns0:f>
        <ns0:v>385</ns0:v>
      </ns0:c>
      <ns0:c r="AE389" s="7">
        <ns0:f>IF(W389&lt;0,A389,0)</ns0:f>
        <ns0:v>0</ns0:v>
      </ns0:c>
      <ns0:c r="AF389" s="16">
        <ns0:f>IF(AND(OR('前提と出典'!$C$36+'前提と出典'!$C$38=0,U389&gt;=0),OR('前提と出典'!$C$37+'前提と出典'!$C$38=0,V389&gt;=0)),0,A389)</ns0:f>
        <ns0:v>0</ns0:v>
      </ns0:c>
      <ns0:c r="AG389" s="7">
        <ns0:f>IF(Z389&gt;=0,A389,1001)</ns0:f>
        <ns0:v>385</ns0:v>
      </ns0:c>
      <ns0:c r="AH389" s="4">
        <ns0:f>IF(Z389&lt;0,A389,0)</ns0:f>
        <ns0:v>0</ns0:v>
      </ns0:c>
      <ns0:c r="AI389" s="12">
        <ns0:f>IF(AND(OR('前提と出典'!$C$36+'前提と出典'!$C$38=0,X389&gt;=0),OR('前提と出典'!$C$37+'前提と出典'!$C$38=0,Y389&gt;=0)),0,A389)</ns0:f>
        <ns0:v>0</ns0:v>
      </ns0:c>
    </ns0:row>
    <ns0:row r="390" ht="24" customHeight="1">
      <ns0:c r="A390" s="4" t="n">
        <ns0:v>386</ns0:v>
      </ns0:c>
      <ns0:c r="B390" s="12">
        <ns0:f>A390*('前提と出典'!$C$36+'前提と出典'!$C$38)</ns0:f>
        <ns0:v>270.2</ns0:v>
      </ns0:c>
      <ns0:c r="C390" s="12">
        <ns0:f>A390*('前提と出典'!$C$37+'前提と出典'!$C$38)</ns0:f>
        <ns0:v>231.6</ns0:v>
      </ns0:c>
      <ns0:c r="D390" s="16">
        <ns0:f>A390*('前提と出典'!$C$36*'契約別単価'!C5+'前提と出典'!$C$37*'契約別単価'!C6+'前提と出典'!$C$38*'契約別単価'!C7)</ns0:f>
        <ns0:v>2777.4748603351954</ns0:v>
      </ns0:c>
      <ns0:c r="E390" s="16">
        <ns0:f>A390*('前提と出典'!$C$36*'契約別単価'!E5+'前提と出典'!$C$37*'契約別単価'!E6+'前提と出典'!$C$38*'契約別単価'!E7)</ns0:f>
        <ns0:v>746888.6374986933</ns0:v>
      </ns0:c>
      <ns0:c r="F390" s="16">
        <ns0:f>A390*('前提と出典'!$C$36*'契約別単価'!F5+'前提と出典'!$C$37*'契約別単価'!F6+'前提と出典'!$C$38*'契約別単価'!F7)</ns0:f>
        <ns0:v>293126.6551657461</ns0:v>
      </ns0:c>
      <ns0:c r="G390" s="16">
        <ns0:f>A390*('前提と出典'!$C$36*'契約別単価'!G5+'前提と出典'!$C$37*'契約別単価'!G6+'前提と出典'!$C$38*'契約別単価'!G7)</ns0:f>
        <ns0:v>768334.0782122904</ns0:v>
      </ns0:c>
      <ns0:c r="H390" s="16">
        <ns0:f>A390*('前提と出典'!$C$36*'契約別単価'!H5+'前提と出典'!$C$37*'契約別単価'!H6+'前提と出典'!$C$38*'契約別単価'!H7)</ns0:f>
        <ns0:v>266650.4601218382</ns0:v>
      </ns0:c>
      <ns0:c r="I390" s="16">
        <ns0:f>A390*('前提と出典'!$C$36*'契約別単価'!I5+'前提と出典'!$C$37*'契約別単価'!I6+'前提と出典'!$C$38*'契約別単価'!I7)</ns0:f>
        <ns0:v>16287.474860335193</ns0:v>
      </ns0:c>
      <ns0:c r="J390" s="16">
        <ns0:f>A390*('前提と出典'!$C$36*'契約別単価'!J5+'前提と出典'!$C$37*'契約別単価'!J6+'前提と出典'!$C$38*'契約別単価'!J7)</ns0:f>
        <ns0:v>37939.763872176794</ns0:v>
      </ns0:c>
      <ns0:c r="K390" s="16">
        <ns0:f>A390*('前提と出典'!$C$36*'契約別単価'!K5+'前提と出典'!$C$37*'契約別単価'!K6+'前提と出典'!$C$38*'契約別単価'!K7)</ns0:f>
        <ns0:v>162623.16573556795</ns0:v>
      </ns0:c>
      <ns0:c r="L390" s="16">
        <ns0:f>A390*('前提と出典'!$C$36*'契約別単価'!L5+'前提と出典'!$C$37*'契約別単価'!L6+'前提と出典'!$C$38*'契約別単価'!L7)</ns0:f>
        <ns0:v>132408.34867072792</ns0:v>
      </ns0:c>
      <ns0:c r="M390" s="16">
        <ns0:f>IF(('前提と出典'!$C$36+'前提と出典'!$C$38)=0,0,IF(B390&lt;=10,'前提と出典'!B73+'前提と出典'!C73,IF(B390&lt;=100,'前提と出典'!B74+'前提と出典'!C74,IF(B390&lt;=500,'前提と出典'!B75+'前提と出典'!C75,'前提と出典'!B76+'前提と出典'!C76))))</ns0:f>
        <ns0:v>40000</ns0:v>
      </ns0:c>
      <ns0:c r="N390" s="16">
        <ns0:f>IF(('前提と出典'!$C$37+'前提と出典'!$C$38)=0,0,IF(C390&lt;=10,'前提と出典'!D73+'前提と出典'!E73,IF(C390&lt;=100,'前提と出典'!D74+'前提と出典'!E74,IF(C390&lt;=500,'前提と出典'!D75+'前提と出典'!E75,'前提と出典'!D76+'前提と出典'!E76))))</ns0:f>
        <ns0:v>56510.9346263078</ns0:v>
      </ns0:c>
      <ns0:c r="O390" s="16">
        <ns0:f>IF('前提と出典'!$C$36+'前提と出典'!$C$38=0,0,'前提と出典'!$B$4*IF('前提と出典'!$B$20=0,MAX('前提と出典'!$B$6,D390*'前提と出典'!$B$5),'前提と出典'!$B$6+D390*'前提と出典'!$B$5))</ns0:f>
        <ns0:v>383291.53072625695</ns0:v>
      </ns0:c>
      <ns0:c r="P390" s="16">
        <ns0:f>(E390+G390)*(1-'前提と出典'!$B$7)-I390-K390-M390-O390</ns0:f>
        <ns0:v>858472.5266232281</ns0:v>
      </ns0:c>
      <ns0:c r="Q390" s="16">
        <ns0:f>(F390+H390)*(1-'前提と出典'!$B$7)-J390-L390-N390</ns0:f>
        <ns0:v>312766.0919680187</ns0:v>
      </ns0:c>
      <ns0:c r="R390" s="16">
        <ns0:f>P390-E390*'前提と出典'!$E$4</ns0:f>
        <ns0:v>634405.9353736201</ns0:v>
      </ns0:c>
      <ns0:c r="S390" s="16">
        <ns0:f>Q390-F390*'前提と出典'!$E$4</ns0:f>
        <ns0:v>224828.09541829483</ns0:v>
      </ns0:c>
      <ns0:c r="T390" s="7">
        <ns0:f>R390+S390</ns0:f>
        <ns0:v>859234.030791915</ns0:v>
      </ns0:c>
      <ns0:c r="U390" s="16">
        <ns0:f>P390-E390*'前提と出典'!$E$5</ns0:f>
        <ns0:v>559717.0716237507</ns0:v>
      </ns0:c>
      <ns0:c r="V390" s="16">
        <ns0:f>Q390-F390*'前提と出典'!$E$5</ns0:f>
        <ns0:v>195515.42990172026</ns0:v>
      </ns0:c>
      <ns0:c r="W390" s="7">
        <ns0:f>U390+V390</ns0:f>
        <ns0:v>755232.501525471</ns0:v>
      </ns0:c>
      <ns0:c r="X390" s="16">
        <ns0:f>P390-E390*'前提と出典'!$E$6</ns0:f>
        <ns0:v>485028.2078738814</ns0:v>
      </ns0:c>
      <ns0:c r="Y390" s="16">
        <ns0:f>Q390-F390*'前提と出典'!$E$6</ns0:f>
        <ns0:v>166202.76438514562</ns0:v>
      </ns0:c>
      <ns0:c r="Z390" s="7">
        <ns0:f>X390+Y390</ns0:f>
        <ns0:v>651230.972259027</ns0:v>
      </ns0:c>
      <ns0:c r="AA390" s="7">
        <ns0:f>IF(T390&gt;=0,A390,1001)</ns0:f>
        <ns0:v>386</ns0:v>
      </ns0:c>
      <ns0:c r="AB390" s="7">
        <ns0:f>IF(T390&lt;0,A390,0)</ns0:f>
        <ns0:v>0</ns0:v>
      </ns0:c>
      <ns0:c r="AC390" s="16">
        <ns0:f>IF(AND(OR('前提と出典'!$C$36+'前提と出典'!$C$38=0,R390&gt;=0),OR('前提と出典'!$C$37+'前提と出典'!$C$38=0,S390&gt;=0)),0,A390)</ns0:f>
        <ns0:v>0</ns0:v>
      </ns0:c>
      <ns0:c r="AD390" s="7">
        <ns0:f>IF(W390&gt;=0,A390,1001)</ns0:f>
        <ns0:v>386</ns0:v>
      </ns0:c>
      <ns0:c r="AE390" s="7">
        <ns0:f>IF(W390&lt;0,A390,0)</ns0:f>
        <ns0:v>0</ns0:v>
      </ns0:c>
      <ns0:c r="AF390" s="16">
        <ns0:f>IF(AND(OR('前提と出典'!$C$36+'前提と出典'!$C$38=0,U390&gt;=0),OR('前提と出典'!$C$37+'前提と出典'!$C$38=0,V390&gt;=0)),0,A390)</ns0:f>
        <ns0:v>0</ns0:v>
      </ns0:c>
      <ns0:c r="AG390" s="7">
        <ns0:f>IF(Z390&gt;=0,A390,1001)</ns0:f>
        <ns0:v>386</ns0:v>
      </ns0:c>
      <ns0:c r="AH390" s="4">
        <ns0:f>IF(Z390&lt;0,A390,0)</ns0:f>
        <ns0:v>0</ns0:v>
      </ns0:c>
      <ns0:c r="AI390" s="12">
        <ns0:f>IF(AND(OR('前提と出典'!$C$36+'前提と出典'!$C$38=0,X390&gt;=0),OR('前提と出典'!$C$37+'前提と出典'!$C$38=0,Y390&gt;=0)),0,A390)</ns0:f>
        <ns0:v>0</ns0:v>
      </ns0:c>
    </ns0:row>
    <ns0:row r="391" ht="24" customHeight="1">
      <ns0:c r="A391" s="4" t="n">
        <ns0:v>387</ns0:v>
      </ns0:c>
      <ns0:c r="B391" s="12">
        <ns0:f>A391*('前提と出典'!$C$36+'前提と出典'!$C$38)</ns0:f>
        <ns0:v>270.9</ns0:v>
      </ns0:c>
      <ns0:c r="C391" s="12">
        <ns0:f>A391*('前提と出典'!$C$37+'前提と出典'!$C$38)</ns0:f>
        <ns0:v>232.2</ns0:v>
      </ns0:c>
      <ns0:c r="D391" s="16">
        <ns0:f>A391*('前提と出典'!$C$36*'契約別単価'!C5+'前提と出典'!$C$37*'契約別単価'!C6+'前提と出典'!$C$38*'契約別単価'!C7)</ns0:f>
        <ns0:v>2784.6703910614524</ns0:v>
      </ns0:c>
      <ns0:c r="E391" s="16">
        <ns0:f>A391*('前提と出典'!$C$36*'契約別単価'!E5+'前提と出典'!$C$37*'契約別単価'!E6+'前提と出典'!$C$38*'契約別単価'!E7)</ns0:f>
        <ns0:v>748823.5821554256</ns0:v>
      </ns0:c>
      <ns0:c r="F391" s="16">
        <ns0:f>A391*('前提と出典'!$C$36*'契約別単価'!F5+'前提と出典'!$C$37*'契約別単価'!F6+'前提と出典'!$C$38*'契約別単価'!F7)</ns0:f>
        <ns0:v>293886.05064545013</ns0:v>
      </ns0:c>
      <ns0:c r="G391" s="16">
        <ns0:f>A391*('前提と出典'!$C$36*'契約別単価'!G5+'前提と出典'!$C$37*'契約別単価'!G6+'前提と出典'!$C$38*'契約別単価'!G7)</ns0:f>
        <ns0:v>770324.5810055865</ns0:v>
      </ns0:c>
      <ns0:c r="H391" s="16">
        <ns0:f>A391*('前提と出典'!$C$36*'契約別単価'!H5+'前提と出典'!$C$37*'契約別単価'!H6+'前提と出典'!$C$38*'契約別単価'!H7)</ns0:f>
        <ns0:v>267341.264422672</ns0:v>
      </ns0:c>
      <ns0:c r="I391" s="16">
        <ns0:f>A391*('前提と出典'!$C$36*'契約別単価'!I5+'前提と出典'!$C$37*'契約別単価'!I6+'前提と出典'!$C$38*'契約別単価'!I7)</ns0:f>
        <ns0:v>16329.67039106145</ns0:v>
      </ns0:c>
      <ns0:c r="J391" s="16">
        <ns0:f>A391*('前提と出典'!$C$36*'契約別単価'!J5+'前提と出典'!$C$37*'契約別単価'!J6+'前提と出典'!$C$38*'契約別単価'!J7)</ns0:f>
        <ns0:v>38038.053415887094</ns0:v>
      </ns0:c>
      <ns0:c r="K391" s="16">
        <ns0:f>A391*('前提と出典'!$C$36*'契約別単価'!K5+'前提と出典'!$C$37*'契約別単価'!K6+'前提と出典'!$C$38*'契約別単価'!K7)</ns0:f>
        <ns0:v>163044.46927374302</ns0:v>
      </ns0:c>
      <ns0:c r="L391" s="16">
        <ns0:f>A391*('前提と出典'!$C$36*'契約別単価'!L5+'前提と出典'!$C$37*'契約別単価'!L6+'前提と出典'!$C$38*'契約別単価'!L7)</ns0:f>
        <ns0:v>132751.37548075573</ns0:v>
      </ns0:c>
      <ns0:c r="M391" s="16">
        <ns0:f>IF(('前提と出典'!$C$36+'前提と出典'!$C$38)=0,0,IF(B391&lt;=10,'前提と出典'!B73+'前提と出典'!C73,IF(B391&lt;=100,'前提と出典'!B74+'前提と出典'!C74,IF(B391&lt;=500,'前提と出典'!B75+'前提と出典'!C75,'前提と出典'!B76+'前提と出典'!C76))))</ns0:f>
        <ns0:v>40000</ns0:v>
      </ns0:c>
      <ns0:c r="N391" s="16">
        <ns0:f>IF(('前提と出典'!$C$37+'前提と出典'!$C$38)=0,0,IF(C391&lt;=10,'前提と出典'!D73+'前提と出典'!E73,IF(C391&lt;=100,'前提と出典'!D74+'前提と出典'!E74,IF(C391&lt;=500,'前提と出典'!D75+'前提と出典'!E75,'前提と出典'!D76+'前提と出典'!E76))))</ns0:f>
        <ns0:v>56510.9346263078</ns0:v>
      </ns0:c>
      <ns0:c r="O391" s="16">
        <ns0:f>IF('前提と出典'!$C$36+'前提と出典'!$C$38=0,0,'前提と出典'!$B$4*IF('前提と出典'!$B$20=0,MAX('前提と出典'!$B$6,D391*'前提と出典'!$B$5),'前提と出典'!$B$6+D391*'前提と出典'!$B$5))</ns0:f>
        <ns0:v>384284.51396648044</ns0:v>
      </ns0:c>
      <ns0:c r="P391" s="16">
        <ns0:f>(E391+G391)*(1-'前提と出典'!$B$7)-I391-K391-M391-O391</ns0:f>
        <ns0:v>860800.1756559308</ns0:v>
      </ns0:c>
      <ns0:c r="Q391" s="16">
        <ns0:f>(F391+H391)*(1-'前提と出典'!$B$7)-J391-L391-N391</ns0:f>
        <ns0:v>313722.76820271905</ns0:v>
      </ns0:c>
      <ns0:c r="R391" s="16">
        <ns0:f>P391-E391*'前提と出典'!$E$4</ns0:f>
        <ns0:v>636153.101009303</ns0:v>
      </ns0:c>
      <ns0:c r="S391" s="16">
        <ns0:f>Q391-F391*'前提と出典'!$E$4</ns0:f>
        <ns0:v>225556.95300908398</ns0:v>
      </ns0:c>
      <ns0:c r="T391" s="7">
        <ns0:f>R391+S391</ns0:f>
        <ns0:v>861710.054018387</ns0:v>
      </ns0:c>
      <ns0:c r="U391" s="16">
        <ns0:f>P391-E391*'前提と出典'!$E$5</ns0:f>
        <ns0:v>561270.7427937605</ns0:v>
      </ns0:c>
      <ns0:c r="V391" s="16">
        <ns0:f>Q391-F391*'前提と出典'!$E$5</ns0:f>
        <ns0:v>196168.347944539</ns0:v>
      </ns0:c>
      <ns0:c r="W391" s="7">
        <ns0:f>U391+V391</ns0:f>
        <ns0:v>757439.0907382995</ns0:v>
      </ns0:c>
      <ns0:c r="X391" s="16">
        <ns0:f>P391-E391*'前提と出典'!$E$6</ns0:f>
        <ns0:v>486388.38457821804</ns0:v>
      </ns0:c>
      <ns0:c r="Y391" s="16">
        <ns0:f>Q391-F391*'前提と出典'!$E$6</ns0:f>
        <ns0:v>166779.742879994</ns0:v>
      </ns0:c>
      <ns0:c r="Z391" s="7">
        <ns0:f>X391+Y391</ns0:f>
        <ns0:v>653168.1274582121</ns0:v>
      </ns0:c>
      <ns0:c r="AA391" s="7">
        <ns0:f>IF(T391&gt;=0,A391,1001)</ns0:f>
        <ns0:v>387</ns0:v>
      </ns0:c>
      <ns0:c r="AB391" s="7">
        <ns0:f>IF(T391&lt;0,A391,0)</ns0:f>
        <ns0:v>0</ns0:v>
      </ns0:c>
      <ns0:c r="AC391" s="16">
        <ns0:f>IF(AND(OR('前提と出典'!$C$36+'前提と出典'!$C$38=0,R391&gt;=0),OR('前提と出典'!$C$37+'前提と出典'!$C$38=0,S391&gt;=0)),0,A391)</ns0:f>
        <ns0:v>0</ns0:v>
      </ns0:c>
      <ns0:c r="AD391" s="7">
        <ns0:f>IF(W391&gt;=0,A391,1001)</ns0:f>
        <ns0:v>387</ns0:v>
      </ns0:c>
      <ns0:c r="AE391" s="7">
        <ns0:f>IF(W391&lt;0,A391,0)</ns0:f>
        <ns0:v>0</ns0:v>
      </ns0:c>
      <ns0:c r="AF391" s="16">
        <ns0:f>IF(AND(OR('前提と出典'!$C$36+'前提と出典'!$C$38=0,U391&gt;=0),OR('前提と出典'!$C$37+'前提と出典'!$C$38=0,V391&gt;=0)),0,A391)</ns0:f>
        <ns0:v>0</ns0:v>
      </ns0:c>
      <ns0:c r="AG391" s="7">
        <ns0:f>IF(Z391&gt;=0,A391,1001)</ns0:f>
        <ns0:v>387</ns0:v>
      </ns0:c>
      <ns0:c r="AH391" s="4">
        <ns0:f>IF(Z391&lt;0,A391,0)</ns0:f>
        <ns0:v>0</ns0:v>
      </ns0:c>
      <ns0:c r="AI391" s="12">
        <ns0:f>IF(AND(OR('前提と出典'!$C$36+'前提と出典'!$C$38=0,X391&gt;=0),OR('前提と出典'!$C$37+'前提と出典'!$C$38=0,Y391&gt;=0)),0,A391)</ns0:f>
        <ns0:v>0</ns0:v>
      </ns0:c>
    </ns0:row>
    <ns0:row r="392" ht="24" customHeight="1">
      <ns0:c r="A392" s="4" t="n">
        <ns0:v>388</ns0:v>
      </ns0:c>
      <ns0:c r="B392" s="12">
        <ns0:f>A392*('前提と出典'!$C$36+'前提と出典'!$C$38)</ns0:f>
        <ns0:v>271.59999999999997</ns0:v>
      </ns0:c>
      <ns0:c r="C392" s="12">
        <ns0:f>A392*('前提と出典'!$C$37+'前提と出典'!$C$38)</ns0:f>
        <ns0:v>232.79999999999998</ns0:v>
      </ns0:c>
      <ns0:c r="D392" s="16">
        <ns0:f>A392*('前提と出典'!$C$36*'契約別単価'!C5+'前提と出典'!$C$37*'契約別単価'!C6+'前提と出典'!$C$38*'契約別単価'!C7)</ns0:f>
        <ns0:v>2791.8659217877093</ns0:v>
      </ns0:c>
      <ns0:c r="E392" s="16">
        <ns0:f>A392*('前提と出典'!$C$36*'契約別単価'!E5+'前提と出典'!$C$37*'契約別単価'!E6+'前提と出典'!$C$38*'契約別単価'!E7)</ns0:f>
        <ns0:v>750758.526812158</ns0:v>
      </ns0:c>
      <ns0:c r="F392" s="16">
        <ns0:f>A392*('前提と出典'!$C$36*'契約別単価'!F5+'前提と出典'!$C$37*'契約別単価'!F6+'前提と出典'!$C$38*'契約別単価'!F7)</ns0:f>
        <ns0:v>294645.44612515415</ns0:v>
      </ns0:c>
      <ns0:c r="G392" s="16">
        <ns0:f>A392*('前提と出典'!$C$36*'契約別単価'!G5+'前提と出典'!$C$37*'契約別単価'!G6+'前提と出典'!$C$38*'契約別単価'!G7)</ns0:f>
        <ns0:v>772315.0837988827</ns0:v>
      </ns0:c>
      <ns0:c r="H392" s="16">
        <ns0:f>A392*('前提と出典'!$C$36*'契約別単価'!H5+'前提と出典'!$C$37*'契約別単価'!H6+'前提と出典'!$C$38*'契約別単価'!H7)</ns0:f>
        <ns0:v>268032.06872350577</ns0:v>
      </ns0:c>
      <ns0:c r="I392" s="16">
        <ns0:f>A392*('前提と出典'!$C$36*'契約別単価'!I5+'前提と出典'!$C$37*'契約別単価'!I6+'前提と出典'!$C$38*'契約別単価'!I7)</ns0:f>
        <ns0:v>16371.865921787707</ns0:v>
      </ns0:c>
      <ns0:c r="J392" s="16">
        <ns0:f>A392*('前提と出典'!$C$36*'契約別単価'!J5+'前提と出典'!$C$37*'契約別単価'!J6+'前提と出典'!$C$38*'契約別単価'!J7)</ns0:f>
        <ns0:v>38136.342959597394</ns0:v>
      </ns0:c>
      <ns0:c r="K392" s="16">
        <ns0:f>A392*('前提と出典'!$C$36*'契約別単価'!K5+'前提と出典'!$C$37*'契約別単価'!K6+'前提と出典'!$C$38*'契約別単価'!K7)</ns0:f>
        <ns0:v>163465.77281191805</ns0:v>
      </ns0:c>
      <ns0:c r="L392" s="16">
        <ns0:f>A392*('前提と出典'!$C$36*'契約別単価'!L5+'前提と出典'!$C$37*'契約別単価'!L6+'前提と出典'!$C$38*'契約別単価'!L7)</ns0:f>
        <ns0:v>133094.40229078353</ns0:v>
      </ns0:c>
      <ns0:c r="M392" s="16">
        <ns0:f>IF(('前提と出典'!$C$36+'前提と出典'!$C$38)=0,0,IF(B392&lt;=10,'前提と出典'!B73+'前提と出典'!C73,IF(B392&lt;=100,'前提と出典'!B74+'前提と出典'!C74,IF(B392&lt;=500,'前提と出典'!B75+'前提と出典'!C75,'前提と出典'!B76+'前提と出典'!C76))))</ns0:f>
        <ns0:v>40000</ns0:v>
      </ns0:c>
      <ns0:c r="N392" s="16">
        <ns0:f>IF(('前提と出典'!$C$37+'前提と出典'!$C$38)=0,0,IF(C392&lt;=10,'前提と出典'!D73+'前提と出典'!E73,IF(C392&lt;=100,'前提と出典'!D74+'前提と出典'!E74,IF(C392&lt;=500,'前提と出典'!D75+'前提と出典'!E75,'前提と出典'!D76+'前提と出典'!E76))))</ns0:f>
        <ns0:v>56510.9346263078</ns0:v>
      </ns0:c>
      <ns0:c r="O392" s="16">
        <ns0:f>IF('前提と出典'!$C$36+'前提と出典'!$C$38=0,0,'前提と出典'!$B$4*IF('前提と出典'!$B$20=0,MAX('前提と出典'!$B$6,D392*'前提と出典'!$B$5),'前提と出典'!$B$6+D392*'前提と出典'!$B$5))</ns0:f>
        <ns0:v>385277.49720670393</ns0:v>
      </ns0:c>
      <ns0:c r="P392" s="16">
        <ns0:f>(E392+G392)*(1-'前提と出典'!$B$7)-I392-K392-M392-O392</ns0:f>
        <ns0:v>863127.8246886334</ns0:v>
      </ns0:c>
      <ns0:c r="Q392" s="16">
        <ns0:f>(F392+H392)*(1-'前提と出典'!$B$7)-J392-L392-N392</ns0:f>
        <ns0:v>314679.4444374195</ns0:v>
      </ns0:c>
      <ns0:c r="R392" s="16">
        <ns0:f>P392-E392*'前提と出典'!$E$4</ns0:f>
        <ns0:v>637900.2666449861</ns0:v>
      </ns0:c>
      <ns0:c r="S392" s="16">
        <ns0:f>Q392-F392*'前提と出典'!$E$4</ns0:f>
        <ns0:v>226285.81059987325</ns0:v>
      </ns0:c>
      <ns0:c r="T392" s="7">
        <ns0:f>R392+S392</ns0:f>
        <ns0:v>864186.0772448594</ns0:v>
      </ns0:c>
      <ns0:c r="U392" s="16">
        <ns0:f>P392-E392*'前提と出典'!$E$5</ns0:f>
        <ns0:v>562824.4139637703</ns0:v>
      </ns0:c>
      <ns0:c r="V392" s="16">
        <ns0:f>Q392-F392*'前提と出典'!$E$5</ns0:f>
        <ns0:v>196821.26598735782</ns0:v>
      </ns0:c>
      <ns0:c r="W392" s="7">
        <ns0:f>U392+V392</ns0:f>
        <ns0:v>759645.6799511281</ns0:v>
      </ns0:c>
      <ns0:c r="X392" s="16">
        <ns0:f>P392-E392*'前提と出典'!$E$6</ns0:f>
        <ns0:v>487748.56128255447</ns0:v>
      </ns0:c>
      <ns0:c r="Y392" s="16">
        <ns0:f>Q392-F392*'前提と出典'!$E$6</ns0:f>
        <ns0:v>167356.7213748424</ns0:v>
      </ns0:c>
      <ns0:c r="Z392" s="7">
        <ns0:f>X392+Y392</ns0:f>
        <ns0:v>655105.2826573969</ns0:v>
      </ns0:c>
      <ns0:c r="AA392" s="7">
        <ns0:f>IF(T392&gt;=0,A392,1001)</ns0:f>
        <ns0:v>388</ns0:v>
      </ns0:c>
      <ns0:c r="AB392" s="7">
        <ns0:f>IF(T392&lt;0,A392,0)</ns0:f>
        <ns0:v>0</ns0:v>
      </ns0:c>
      <ns0:c r="AC392" s="16">
        <ns0:f>IF(AND(OR('前提と出典'!$C$36+'前提と出典'!$C$38=0,R392&gt;=0),OR('前提と出典'!$C$37+'前提と出典'!$C$38=0,S392&gt;=0)),0,A392)</ns0:f>
        <ns0:v>0</ns0:v>
      </ns0:c>
      <ns0:c r="AD392" s="7">
        <ns0:f>IF(W392&gt;=0,A392,1001)</ns0:f>
        <ns0:v>388</ns0:v>
      </ns0:c>
      <ns0:c r="AE392" s="7">
        <ns0:f>IF(W392&lt;0,A392,0)</ns0:f>
        <ns0:v>0</ns0:v>
      </ns0:c>
      <ns0:c r="AF392" s="16">
        <ns0:f>IF(AND(OR('前提と出典'!$C$36+'前提と出典'!$C$38=0,U392&gt;=0),OR('前提と出典'!$C$37+'前提と出典'!$C$38=0,V392&gt;=0)),0,A392)</ns0:f>
        <ns0:v>0</ns0:v>
      </ns0:c>
      <ns0:c r="AG392" s="7">
        <ns0:f>IF(Z392&gt;=0,A392,1001)</ns0:f>
        <ns0:v>388</ns0:v>
      </ns0:c>
      <ns0:c r="AH392" s="4">
        <ns0:f>IF(Z392&lt;0,A392,0)</ns0:f>
        <ns0:v>0</ns0:v>
      </ns0:c>
      <ns0:c r="AI392" s="12">
        <ns0:f>IF(AND(OR('前提と出典'!$C$36+'前提と出典'!$C$38=0,X392&gt;=0),OR('前提と出典'!$C$37+'前提と出典'!$C$38=0,Y392&gt;=0)),0,A392)</ns0:f>
        <ns0:v>0</ns0:v>
      </ns0:c>
    </ns0:row>
    <ns0:row r="393" ht="24" customHeight="1">
      <ns0:c r="A393" s="4" t="n">
        <ns0:v>389</ns0:v>
      </ns0:c>
      <ns0:c r="B393" s="12">
        <ns0:f>A393*('前提と出典'!$C$36+'前提と出典'!$C$38)</ns0:f>
        <ns0:v>272.29999999999995</ns0:v>
      </ns0:c>
      <ns0:c r="C393" s="12">
        <ns0:f>A393*('前提と出典'!$C$37+'前提と出典'!$C$38)</ns0:f>
        <ns0:v>233.39999999999998</ns0:v>
      </ns0:c>
      <ns0:c r="D393" s="16">
        <ns0:f>A393*('前提と出典'!$C$36*'契約別単価'!C5+'前提と出典'!$C$37*'契約別単価'!C6+'前提と出典'!$C$38*'契約別単価'!C7)</ns0:f>
        <ns0:v>2799.0614525139663</ns0:v>
      </ns0:c>
      <ns0:c r="E393" s="16">
        <ns0:f>A393*('前提と出典'!$C$36*'契約別単価'!E5+'前提と出典'!$C$37*'契約別単価'!E6+'前提と出典'!$C$38*'契約別単価'!E7)</ns0:f>
        <ns0:v>752693.4714688903</ns0:v>
      </ns0:c>
      <ns0:c r="F393" s="16">
        <ns0:f>A393*('前提と出典'!$C$36*'契約別単価'!F5+'前提と出典'!$C$37*'契約別単価'!F6+'前提と出典'!$C$38*'契約別単価'!F7)</ns0:f>
        <ns0:v>295404.8416048582</ns0:v>
      </ns0:c>
      <ns0:c r="G393" s="16">
        <ns0:f>A393*('前提と出典'!$C$36*'契約別単価'!G5+'前提と出典'!$C$37*'契約別単価'!G6+'前提と出典'!$C$38*'契約別単価'!G7)</ns0:f>
        <ns0:v>774305.5865921788</ns0:v>
      </ns0:c>
      <ns0:c r="H393" s="16">
        <ns0:f>A393*('前提と出典'!$C$36*'契約別単価'!H5+'前提と出典'!$C$37*'契約別単価'!H6+'前提と出典'!$C$38*'契約別単価'!H7)</ns0:f>
        <ns0:v>268722.8730243395</ns0:v>
      </ns0:c>
      <ns0:c r="I393" s="16">
        <ns0:f>A393*('前提と出典'!$C$36*'契約別単価'!I5+'前提と出典'!$C$37*'契約別単価'!I6+'前提と出典'!$C$38*'契約別単価'!I7)</ns0:f>
        <ns0:v>16414.061452513964</ns0:v>
      </ns0:c>
      <ns0:c r="J393" s="16">
        <ns0:f>A393*('前提と出典'!$C$36*'契約別単価'!J5+'前提と出典'!$C$37*'契約別単価'!J6+'前提と出典'!$C$38*'契約別単価'!J7)</ns0:f>
        <ns0:v>38234.6325033077</ns0:v>
      </ns0:c>
      <ns0:c r="K393" s="16">
        <ns0:f>A393*('前提と出典'!$C$36*'契約別単価'!K5+'前提と出典'!$C$37*'契約別単価'!K6+'前提と出典'!$C$38*'契約別単価'!K7)</ns0:f>
        <ns0:v>163887.0763500931</ns0:v>
      </ns0:c>
      <ns0:c r="L393" s="16">
        <ns0:f>A393*('前提と出典'!$C$36*'契約別単価'!L5+'前提と出典'!$C$37*'契約別単価'!L6+'前提と出典'!$C$38*'契約別単価'!L7)</ns0:f>
        <ns0:v>133437.4291008113</ns0:v>
      </ns0:c>
      <ns0:c r="M393" s="16">
        <ns0:f>IF(('前提と出典'!$C$36+'前提と出典'!$C$38)=0,0,IF(B393&lt;=10,'前提と出典'!B73+'前提と出典'!C73,IF(B393&lt;=100,'前提と出典'!B74+'前提と出典'!C74,IF(B393&lt;=500,'前提と出典'!B75+'前提と出典'!C75,'前提と出典'!B76+'前提と出典'!C76))))</ns0:f>
        <ns0:v>40000</ns0:v>
      </ns0:c>
      <ns0:c r="N393" s="16">
        <ns0:f>IF(('前提と出典'!$C$37+'前提と出典'!$C$38)=0,0,IF(C393&lt;=10,'前提と出典'!D73+'前提と出典'!E73,IF(C393&lt;=100,'前提と出典'!D74+'前提と出典'!E74,IF(C393&lt;=500,'前提と出典'!D75+'前提と出典'!E75,'前提と出典'!D76+'前提と出典'!E76))))</ns0:f>
        <ns0:v>56510.9346263078</ns0:v>
      </ns0:c>
      <ns0:c r="O393" s="16">
        <ns0:f>IF('前提と出典'!$C$36+'前提と出典'!$C$38=0,0,'前提と出典'!$B$4*IF('前提と出典'!$B$20=0,MAX('前提と出典'!$B$6,D393*'前提と出典'!$B$5),'前提と出典'!$B$6+D393*'前提と出典'!$B$5))</ns0:f>
        <ns0:v>386270.4804469273</ns0:v>
      </ns0:c>
      <ns0:c r="P393" s="16">
        <ns0:f>(E393+G393)*(1-'前提と出典'!$B$7)-I393-K393-M393-O393</ns0:f>
        <ns0:v>865455.4737213363</ns0:v>
      </ns0:c>
      <ns0:c r="Q393" s="16">
        <ns0:f>(F393+H393)*(1-'前提と出典'!$B$7)-J393-L393-N393</ns0:f>
        <ns0:v>315636.1206721198</ns0:v>
      </ns0:c>
      <ns0:c r="R393" s="16">
        <ns0:f>P393-E393*'前提と出典'!$E$4</ns0:f>
        <ns0:v>639647.4322806692</ns0:v>
      </ns0:c>
      <ns0:c r="S393" s="16">
        <ns0:f>Q393-F393*'前提と出典'!$E$4</ns0:f>
        <ns0:v>227014.66819066234</ns0:v>
      </ns0:c>
      <ns0:c r="T393" s="7">
        <ns0:f>R393+S393</ns0:f>
        <ns0:v>866662.1004713315</ns0:v>
      </ns0:c>
      <ns0:c r="U393" s="16">
        <ns0:f>P393-E393*'前提と出典'!$E$5</ns0:f>
        <ns0:v>564378.0851337803</ns0:v>
      </ns0:c>
      <ns0:c r="V393" s="16">
        <ns0:f>Q393-F393*'前提と出典'!$E$5</ns0:f>
        <ns0:v>197474.1840301765</ns0:v>
      </ns0:c>
      <ns0:c r="W393" s="7">
        <ns0:f>U393+V393</ns0:f>
        <ns0:v>761852.2691639567</ns0:v>
      </ns0:c>
      <ns0:c r="X393" s="16">
        <ns0:f>P393-E393*'前提と出典'!$E$6</ns0:f>
        <ns0:v>489108.737986891</ns0:v>
      </ns0:c>
      <ns0:c r="Y393" s="16">
        <ns0:f>Q393-F393*'前提と出典'!$E$6</ns0:f>
        <ns0:v>167933.6998696907</ns0:v>
      </ns0:c>
      <ns0:c r="Z393" s="7">
        <ns0:f>X393+Y393</ns0:f>
        <ns0:v>657042.4378565818</ns0:v>
      </ns0:c>
      <ns0:c r="AA393" s="7">
        <ns0:f>IF(T393&gt;=0,A393,1001)</ns0:f>
        <ns0:v>389</ns0:v>
      </ns0:c>
      <ns0:c r="AB393" s="7">
        <ns0:f>IF(T393&lt;0,A393,0)</ns0:f>
        <ns0:v>0</ns0:v>
      </ns0:c>
      <ns0:c r="AC393" s="16">
        <ns0:f>IF(AND(OR('前提と出典'!$C$36+'前提と出典'!$C$38=0,R393&gt;=0),OR('前提と出典'!$C$37+'前提と出典'!$C$38=0,S393&gt;=0)),0,A393)</ns0:f>
        <ns0:v>0</ns0:v>
      </ns0:c>
      <ns0:c r="AD393" s="7">
        <ns0:f>IF(W393&gt;=0,A393,1001)</ns0:f>
        <ns0:v>389</ns0:v>
      </ns0:c>
      <ns0:c r="AE393" s="7">
        <ns0:f>IF(W393&lt;0,A393,0)</ns0:f>
        <ns0:v>0</ns0:v>
      </ns0:c>
      <ns0:c r="AF393" s="16">
        <ns0:f>IF(AND(OR('前提と出典'!$C$36+'前提と出典'!$C$38=0,U393&gt;=0),OR('前提と出典'!$C$37+'前提と出典'!$C$38=0,V393&gt;=0)),0,A393)</ns0:f>
        <ns0:v>0</ns0:v>
      </ns0:c>
      <ns0:c r="AG393" s="7">
        <ns0:f>IF(Z393&gt;=0,A393,1001)</ns0:f>
        <ns0:v>389</ns0:v>
      </ns0:c>
      <ns0:c r="AH393" s="4">
        <ns0:f>IF(Z393&lt;0,A393,0)</ns0:f>
        <ns0:v>0</ns0:v>
      </ns0:c>
      <ns0:c r="AI393" s="12">
        <ns0:f>IF(AND(OR('前提と出典'!$C$36+'前提と出典'!$C$38=0,X393&gt;=0),OR('前提と出典'!$C$37+'前提と出典'!$C$38=0,Y393&gt;=0)),0,A393)</ns0:f>
        <ns0:v>0</ns0:v>
      </ns0:c>
    </ns0:row>
    <ns0:row r="394" ht="24" customHeight="1">
      <ns0:c r="A394" s="4" t="n">
        <ns0:v>390</ns0:v>
      </ns0:c>
      <ns0:c r="B394" s="12">
        <ns0:f>A394*('前提と出典'!$C$36+'前提と出典'!$C$38)</ns0:f>
        <ns0:v>273</ns0:v>
      </ns0:c>
      <ns0:c r="C394" s="12">
        <ns0:f>A394*('前提と出典'!$C$37+'前提と出典'!$C$38)</ns0:f>
        <ns0:v>234</ns0:v>
      </ns0:c>
      <ns0:c r="D394" s="16">
        <ns0:f>A394*('前提と出典'!$C$36*'契約別単価'!C5+'前提と出典'!$C$37*'契約別単価'!C6+'前提と出典'!$C$38*'契約別単価'!C7)</ns0:f>
        <ns0:v>2806.2569832402232</ns0:v>
      </ns0:c>
      <ns0:c r="E394" s="16">
        <ns0:f>A394*('前提と出典'!$C$36*'契約別単価'!E5+'前提と出典'!$C$37*'契約別単価'!E6+'前提と出典'!$C$38*'契約別単価'!E7)</ns0:f>
        <ns0:v>754628.4161256227</ns0:v>
      </ns0:c>
      <ns0:c r="F394" s="16">
        <ns0:f>A394*('前提と出典'!$C$36*'契約別単価'!F5+'前提と出典'!$C$37*'契約別単価'!F6+'前提と出典'!$C$38*'契約別単価'!F7)</ns0:f>
        <ns0:v>296164.23708456213</ns0:v>
      </ns0:c>
      <ns0:c r="G394" s="16">
        <ns0:f>A394*('前提と出典'!$C$36*'契約別単価'!G5+'前提と出典'!$C$37*'契約別単価'!G6+'前提と出典'!$C$38*'契約別単価'!G7)</ns0:f>
        <ns0:v>776296.0893854748</ns0:v>
      </ns0:c>
      <ns0:c r="H394" s="16">
        <ns0:f>A394*('前提と出典'!$C$36*'契約別単価'!H5+'前提と出典'!$C$37*'契約別単価'!H6+'前提と出典'!$C$38*'契約別単価'!H7)</ns0:f>
        <ns0:v>269413.6773251733</ns0:v>
      </ns0:c>
      <ns0:c r="I394" s="16">
        <ns0:f>A394*('前提と出典'!$C$36*'契約別単価'!I5+'前提と出典'!$C$37*'契約別単価'!I6+'前提と出典'!$C$38*'契約別単価'!I7)</ns0:f>
        <ns0:v>16456.256983240222</ns0:v>
      </ns0:c>
      <ns0:c r="J394" s="16">
        <ns0:f>A394*('前提と出典'!$C$36*'契約別単価'!J5+'前提と出典'!$C$37*'契約別単価'!J6+'前提と出典'!$C$38*'契約別単価'!J7)</ns0:f>
        <ns0:v>38332.922047018</ns0:v>
      </ns0:c>
      <ns0:c r="K394" s="16">
        <ns0:f>A394*('前提と出典'!$C$36*'契約別単価'!K5+'前提と出典'!$C$37*'契約別単価'!K6+'前提と出典'!$C$38*'契約別単価'!K7)</ns0:f>
        <ns0:v>164308.37988826816</ns0:v>
      </ns0:c>
      <ns0:c r="L394" s="16">
        <ns0:f>A394*('前提と出典'!$C$36*'契約別単価'!L5+'前提と出典'!$C$37*'契約別単価'!L6+'前提と出典'!$C$38*'契約別単価'!L7)</ns0:f>
        <ns0:v>133780.4559108391</ns0:v>
      </ns0:c>
      <ns0:c r="M394" s="16">
        <ns0:f>IF(('前提と出典'!$C$36+'前提と出典'!$C$38)=0,0,IF(B394&lt;=10,'前提と出典'!B73+'前提と出典'!C73,IF(B394&lt;=100,'前提と出典'!B74+'前提と出典'!C74,IF(B394&lt;=500,'前提と出典'!B75+'前提と出典'!C75,'前提と出典'!B76+'前提と出典'!C76))))</ns0:f>
        <ns0:v>40000</ns0:v>
      </ns0:c>
      <ns0:c r="N394" s="16">
        <ns0:f>IF(('前提と出典'!$C$37+'前提と出典'!$C$38)=0,0,IF(C394&lt;=10,'前提と出典'!D73+'前提と出典'!E73,IF(C394&lt;=100,'前提と出典'!D74+'前提と出典'!E74,IF(C394&lt;=500,'前提と出典'!D75+'前提と出典'!E75,'前提と出典'!D76+'前提と出典'!E76))))</ns0:f>
        <ns0:v>56510.9346263078</ns0:v>
      </ns0:c>
      <ns0:c r="O394" s="16">
        <ns0:f>IF('前提と出典'!$C$36+'前提と出典'!$C$38=0,0,'前提と出典'!$B$4*IF('前提と出典'!$B$20=0,MAX('前提と出典'!$B$6,D394*'前提と出典'!$B$5),'前提と出典'!$B$6+D394*'前提と出典'!$B$5))</ns0:f>
        <ns0:v>387263.4636871508</ns0:v>
      </ns0:c>
      <ns0:c r="P394" s="16">
        <ns0:f>(E394+G394)*(1-'前提と出典'!$B$7)-I394-K394-M394-O394</ns0:f>
        <ns0:v>867783.1227540389</ns0:v>
      </ns0:c>
      <ns0:c r="Q394" s="16">
        <ns0:f>(F394+H394)*(1-'前提と出典'!$B$7)-J394-L394-N394</ns0:f>
        <ns0:v>316592.79690682003</ns0:v>
      </ns0:c>
      <ns0:c r="R394" s="16">
        <ns0:f>P394-E394*'前提と出典'!$E$4</ns0:f>
        <ns0:v>641394.5979163523</ns0:v>
      </ns0:c>
      <ns0:c r="S394" s="16">
        <ns0:f>Q394-F394*'前提と出典'!$E$4</ns0:f>
        <ns0:v>227743.52578145138</ns0:v>
      </ns0:c>
      <ns0:c r="T394" s="7">
        <ns0:f>R394+S394</ns0:f>
        <ns0:v>869138.1236978037</ns0:v>
      </ns0:c>
      <ns0:c r="U394" s="16">
        <ns0:f>P394-E394*'前提と出典'!$E$5</ns0:f>
        <ns0:v>565931.7563037898</ns0:v>
      </ns0:c>
      <ns0:c r="V394" s="16">
        <ns0:f>Q394-F394*'前提と出典'!$E$5</ns0:f>
        <ns0:v>198127.10207299519</ns0:v>
      </ns0:c>
      <ns0:c r="W394" s="7">
        <ns0:f>U394+V394</ns0:f>
        <ns0:v>764058.858376785</ns0:v>
      </ns0:c>
      <ns0:c r="X394" s="16">
        <ns0:f>P394-E394*'前提と出典'!$E$6</ns0:f>
        <ns0:v>490468.91469122766</ns0:v>
      </ns0:c>
      <ns0:c r="Y394" s="16">
        <ns0:f>Q394-F394*'前提と出典'!$E$6</ns0:f>
        <ns0:v>168510.67836453897</ns0:v>
      </ns0:c>
      <ns0:c r="Z394" s="7">
        <ns0:f>X394+Y394</ns0:f>
        <ns0:v>658979.5930557667</ns0:v>
      </ns0:c>
      <ns0:c r="AA394" s="7">
        <ns0:f>IF(T394&gt;=0,A394,1001)</ns0:f>
        <ns0:v>390</ns0:v>
      </ns0:c>
      <ns0:c r="AB394" s="7">
        <ns0:f>IF(T394&lt;0,A394,0)</ns0:f>
        <ns0:v>0</ns0:v>
      </ns0:c>
      <ns0:c r="AC394" s="16">
        <ns0:f>IF(AND(OR('前提と出典'!$C$36+'前提と出典'!$C$38=0,R394&gt;=0),OR('前提と出典'!$C$37+'前提と出典'!$C$38=0,S394&gt;=0)),0,A394)</ns0:f>
        <ns0:v>0</ns0:v>
      </ns0:c>
      <ns0:c r="AD394" s="7">
        <ns0:f>IF(W394&gt;=0,A394,1001)</ns0:f>
        <ns0:v>390</ns0:v>
      </ns0:c>
      <ns0:c r="AE394" s="7">
        <ns0:f>IF(W394&lt;0,A394,0)</ns0:f>
        <ns0:v>0</ns0:v>
      </ns0:c>
      <ns0:c r="AF394" s="16">
        <ns0:f>IF(AND(OR('前提と出典'!$C$36+'前提と出典'!$C$38=0,U394&gt;=0),OR('前提と出典'!$C$37+'前提と出典'!$C$38=0,V394&gt;=0)),0,A394)</ns0:f>
        <ns0:v>0</ns0:v>
      </ns0:c>
      <ns0:c r="AG394" s="7">
        <ns0:f>IF(Z394&gt;=0,A394,1001)</ns0:f>
        <ns0:v>390</ns0:v>
      </ns0:c>
      <ns0:c r="AH394" s="4">
        <ns0:f>IF(Z394&lt;0,A394,0)</ns0:f>
        <ns0:v>0</ns0:v>
      </ns0:c>
      <ns0:c r="AI394" s="12">
        <ns0:f>IF(AND(OR('前提と出典'!$C$36+'前提と出典'!$C$38=0,X394&gt;=0),OR('前提と出典'!$C$37+'前提と出典'!$C$38=0,Y394&gt;=0)),0,A394)</ns0:f>
        <ns0:v>0</ns0:v>
      </ns0:c>
    </ns0:row>
    <ns0:row r="395" ht="24" customHeight="1">
      <ns0:c r="A395" s="4" t="n">
        <ns0:v>391</ns0:v>
      </ns0:c>
      <ns0:c r="B395" s="12">
        <ns0:f>A395*('前提と出典'!$C$36+'前提と出典'!$C$38)</ns0:f>
        <ns0:v>273.7</ns0:v>
      </ns0:c>
      <ns0:c r="C395" s="12">
        <ns0:f>A395*('前提と出典'!$C$37+'前提と出典'!$C$38)</ns0:f>
        <ns0:v>234.6</ns0:v>
      </ns0:c>
      <ns0:c r="D395" s="16">
        <ns0:f>A395*('前提と出典'!$C$36*'契約別単価'!C5+'前提と出典'!$C$37*'契約別単価'!C6+'前提と出典'!$C$38*'契約別単価'!C7)</ns0:f>
        <ns0:v>2813.4525139664806</ns0:v>
      </ns0:c>
      <ns0:c r="E395" s="16">
        <ns0:f>A395*('前提と出典'!$C$36*'契約別単価'!E5+'前提と出典'!$C$37*'契約別単価'!E6+'前提と出典'!$C$38*'契約別単価'!E7)</ns0:f>
        <ns0:v>756563.3607823551</ns0:v>
      </ns0:c>
      <ns0:c r="F395" s="16">
        <ns0:f>A395*('前提と出典'!$C$36*'契約別単価'!F5+'前提と出典'!$C$37*'契約別単価'!F6+'前提と出典'!$C$38*'契約別単価'!F7)</ns0:f>
        <ns0:v>296923.63256426615</ns0:v>
      </ns0:c>
      <ns0:c r="G395" s="16">
        <ns0:f>A395*('前提と出典'!$C$36*'契約別単価'!G5+'前提と出典'!$C$37*'契約別単価'!G6+'前提と出典'!$C$38*'契約別単価'!G7)</ns0:f>
        <ns0:v>778286.5921787709</ns0:v>
      </ns0:c>
      <ns0:c r="H395" s="16">
        <ns0:f>A395*('前提と出典'!$C$36*'契約別単価'!H5+'前提と出典'!$C$37*'契約別単価'!H6+'前提と出典'!$C$38*'契約別単価'!H7)</ns0:f>
        <ns0:v>270104.48162600707</ns0:v>
      </ns0:c>
      <ns0:c r="I395" s="16">
        <ns0:f>A395*('前提と出典'!$C$36*'契約別単価'!I5+'前提と出典'!$C$37*'契約別単価'!I6+'前提と出典'!$C$38*'契約別単価'!I7)</ns0:f>
        <ns0:v>16498.452513966477</ns0:v>
      </ns0:c>
      <ns0:c r="J395" s="16">
        <ns0:f>A395*('前提と出典'!$C$36*'契約別単価'!J5+'前提と出典'!$C$37*'契約別単価'!J6+'前提と出典'!$C$38*'契約別単価'!J7)</ns0:f>
        <ns0:v>38431.2115907283</ns0:v>
      </ns0:c>
      <ns0:c r="K395" s="16">
        <ns0:f>A395*('前提と出典'!$C$36*'契約別単価'!K5+'前提と出典'!$C$37*'契約別単価'!K6+'前提と出典'!$C$38*'契約別単価'!K7)</ns0:f>
        <ns0:v>164729.6834264432</ns0:v>
      </ns0:c>
      <ns0:c r="L395" s="16">
        <ns0:f>A395*('前提と出典'!$C$36*'契約別単価'!L5+'前提と出典'!$C$37*'契約別単価'!L6+'前提と出典'!$C$38*'契約別単価'!L7)</ns0:f>
        <ns0:v>134123.4827208669</ns0:v>
      </ns0:c>
      <ns0:c r="M395" s="16">
        <ns0:f>IF(('前提と出典'!$C$36+'前提と出典'!$C$38)=0,0,IF(B395&lt;=10,'前提と出典'!B73+'前提と出典'!C73,IF(B395&lt;=100,'前提と出典'!B74+'前提と出典'!C74,IF(B395&lt;=500,'前提と出典'!B75+'前提と出典'!C75,'前提と出典'!B76+'前提と出典'!C76))))</ns0:f>
        <ns0:v>40000</ns0:v>
      </ns0:c>
      <ns0:c r="N395" s="16">
        <ns0:f>IF(('前提と出典'!$C$37+'前提と出典'!$C$38)=0,0,IF(C395&lt;=10,'前提と出典'!D73+'前提と出典'!E73,IF(C395&lt;=100,'前提と出典'!D74+'前提と出典'!E74,IF(C395&lt;=500,'前提と出典'!D75+'前提と出典'!E75,'前提と出典'!D76+'前提と出典'!E76))))</ns0:f>
        <ns0:v>56510.9346263078</ns0:v>
      </ns0:c>
      <ns0:c r="O395" s="16">
        <ns0:f>IF('前提と出典'!$C$36+'前提と出典'!$C$38=0,0,'前提と出典'!$B$4*IF('前提と出典'!$B$20=0,MAX('前提と出典'!$B$6,D395*'前提と出典'!$B$5),'前提と出典'!$B$6+D395*'前提と出典'!$B$5))</ns0:f>
        <ns0:v>388256.44692737435</ns0:v>
      </ns0:c>
      <ns0:c r="P395" s="16">
        <ns0:f>(E395+G395)*(1-'前提と出典'!$B$7)-I395-K395-M395-O395</ns0:f>
        <ns0:v>870110.7717867412</ns0:v>
      </ns0:c>
      <ns0:c r="Q395" s="16">
        <ns0:f>(F395+H395)*(1-'前提と出典'!$B$7)-J395-L395-N395</ns0:f>
        <ns0:v>317549.4731415204</ns0:v>
      </ns0:c>
      <ns0:c r="R395" s="16">
        <ns0:f>P395-E395*'前提と出典'!$E$4</ns0:f>
        <ns0:v>643141.7635520349</ns0:v>
      </ns0:c>
      <ns0:c r="S395" s="16">
        <ns0:f>Q395-F395*'前提と出典'!$E$4</ns0:f>
        <ns0:v>228472.38337224058</ns0:v>
      </ns0:c>
      <ns0:c r="T395" s="7">
        <ns0:f>R395+S395</ns0:f>
        <ns0:v>871614.1469242754</ns0:v>
      </ns0:c>
      <ns0:c r="U395" s="16">
        <ns0:f>P395-E395*'前提と出典'!$E$5</ns0:f>
        <ns0:v>567485.4274737992</ns0:v>
      </ns0:c>
      <ns0:c r="V395" s="16">
        <ns0:f>Q395-F395*'前提と出典'!$E$5</ns0:f>
        <ns0:v>198780.0201158139</ns0:v>
      </ns0:c>
      <ns0:c r="W395" s="7">
        <ns0:f>U395+V395</ns0:f>
        <ns0:v>766265.4475896131</ns0:v>
      </ns0:c>
      <ns0:c r="X395" s="16">
        <ns0:f>P395-E395*'前提と出典'!$E$6</ns0:f>
        <ns0:v>491829.0913955638</ns0:v>
      </ns0:c>
      <ns0:c r="Y395" s="16">
        <ns0:f>Q395-F395*'前提と出典'!$E$6</ns0:f>
        <ns0:v>169087.65685938727</ns0:v>
      </ns0:c>
      <ns0:c r="Z395" s="7">
        <ns0:f>X395+Y395</ns0:f>
        <ns0:v>660916.7482549511</ns0:v>
      </ns0:c>
      <ns0:c r="AA395" s="7">
        <ns0:f>IF(T395&gt;=0,A395,1001)</ns0:f>
        <ns0:v>391</ns0:v>
      </ns0:c>
      <ns0:c r="AB395" s="7">
        <ns0:f>IF(T395&lt;0,A395,0)</ns0:f>
        <ns0:v>0</ns0:v>
      </ns0:c>
      <ns0:c r="AC395" s="16">
        <ns0:f>IF(AND(OR('前提と出典'!$C$36+'前提と出典'!$C$38=0,R395&gt;=0),OR('前提と出典'!$C$37+'前提と出典'!$C$38=0,S395&gt;=0)),0,A395)</ns0:f>
        <ns0:v>0</ns0:v>
      </ns0:c>
      <ns0:c r="AD395" s="7">
        <ns0:f>IF(W395&gt;=0,A395,1001)</ns0:f>
        <ns0:v>391</ns0:v>
      </ns0:c>
      <ns0:c r="AE395" s="7">
        <ns0:f>IF(W395&lt;0,A395,0)</ns0:f>
        <ns0:v>0</ns0:v>
      </ns0:c>
      <ns0:c r="AF395" s="16">
        <ns0:f>IF(AND(OR('前提と出典'!$C$36+'前提と出典'!$C$38=0,U395&gt;=0),OR('前提と出典'!$C$37+'前提と出典'!$C$38=0,V395&gt;=0)),0,A395)</ns0:f>
        <ns0:v>0</ns0:v>
      </ns0:c>
      <ns0:c r="AG395" s="7">
        <ns0:f>IF(Z395&gt;=0,A395,1001)</ns0:f>
        <ns0:v>391</ns0:v>
      </ns0:c>
      <ns0:c r="AH395" s="4">
        <ns0:f>IF(Z395&lt;0,A395,0)</ns0:f>
        <ns0:v>0</ns0:v>
      </ns0:c>
      <ns0:c r="AI395" s="12">
        <ns0:f>IF(AND(OR('前提と出典'!$C$36+'前提と出典'!$C$38=0,X395&gt;=0),OR('前提と出典'!$C$37+'前提と出典'!$C$38=0,Y395&gt;=0)),0,A395)</ns0:f>
        <ns0:v>0</ns0:v>
      </ns0:c>
    </ns0:row>
    <ns0:row r="396" ht="24" customHeight="1">
      <ns0:c r="A396" s="4" t="n">
        <ns0:v>392</ns0:v>
      </ns0:c>
      <ns0:c r="B396" s="12">
        <ns0:f>A396*('前提と出典'!$C$36+'前提と出典'!$C$38)</ns0:f>
        <ns0:v>274.4</ns0:v>
      </ns0:c>
      <ns0:c r="C396" s="12">
        <ns0:f>A396*('前提と出典'!$C$37+'前提と出典'!$C$38)</ns0:f>
        <ns0:v>235.2</ns0:v>
      </ns0:c>
      <ns0:c r="D396" s="16">
        <ns0:f>A396*('前提と出典'!$C$36*'契約別単価'!C5+'前提と出典'!$C$37*'契約別単価'!C6+'前提と出典'!$C$38*'契約別単価'!C7)</ns0:f>
        <ns0:v>2820.6480446927376</ns0:v>
      </ns0:c>
      <ns0:c r="E396" s="16">
        <ns0:f>A396*('前提と出典'!$C$36*'契約別単価'!E5+'前提と出典'!$C$37*'契約別単価'!E6+'前提と出典'!$C$38*'契約別単価'!E7)</ns0:f>
        <ns0:v>758498.3054390874</ns0:v>
      </ns0:c>
      <ns0:c r="F396" s="16">
        <ns0:f>A396*('前提と出典'!$C$36*'契約別単価'!F5+'前提と出典'!$C$37*'契約別単価'!F6+'前提と出典'!$C$38*'契約別単価'!F7)</ns0:f>
        <ns0:v>297683.0280439702</ns0:v>
      </ns0:c>
      <ns0:c r="G396" s="16">
        <ns0:f>A396*('前提と出典'!$C$36*'契約別単価'!G5+'前提と出典'!$C$37*'契約別単価'!G6+'前提と出典'!$C$38*'契約別単価'!G7)</ns0:f>
        <ns0:v>780277.094972067</ns0:v>
      </ns0:c>
      <ns0:c r="H396" s="16">
        <ns0:f>A396*('前提と出典'!$C$36*'契約別単価'!H5+'前提と出典'!$C$37*'契約別単価'!H6+'前提と出典'!$C$38*'契約別単価'!H7)</ns0:f>
        <ns0:v>270795.28592684085</ns0:v>
      </ns0:c>
      <ns0:c r="I396" s="16">
        <ns0:f>A396*('前提と出典'!$C$36*'契約別単価'!I5+'前提と出典'!$C$37*'契約別単価'!I6+'前提と出典'!$C$38*'契約別単価'!I7)</ns0:f>
        <ns0:v>16540.648044692734</ns0:v>
      </ns0:c>
      <ns0:c r="J396" s="16">
        <ns0:f>A396*('前提と出典'!$C$36*'契約別単価'!J5+'前提と出典'!$C$37*'契約別単価'!J6+'前提と出典'!$C$38*'契約別単価'!J7)</ns0:f>
        <ns0:v>38529.50113443861</ns0:v>
      </ns0:c>
      <ns0:c r="K396" s="16">
        <ns0:f>A396*('前提と出典'!$C$36*'契約別単価'!K5+'前提と出典'!$C$37*'契約別単価'!K6+'前提と出典'!$C$38*'契約別単価'!K7)</ns0:f>
        <ns0:v>165150.98696461823</ns0:v>
      </ns0:c>
      <ns0:c r="L396" s="16">
        <ns0:f>A396*('前提と出典'!$C$36*'契約別単価'!L5+'前提と出典'!$C$37*'契約別単価'!L6+'前提と出典'!$C$38*'契約別単価'!L7)</ns0:f>
        <ns0:v>134466.5095308947</ns0:v>
      </ns0:c>
      <ns0:c r="M396" s="16">
        <ns0:f>IF(('前提と出典'!$C$36+'前提と出典'!$C$38)=0,0,IF(B396&lt;=10,'前提と出典'!B73+'前提と出典'!C73,IF(B396&lt;=100,'前提と出典'!B74+'前提と出典'!C74,IF(B396&lt;=500,'前提と出典'!B75+'前提と出典'!C75,'前提と出典'!B76+'前提と出典'!C76))))</ns0:f>
        <ns0:v>40000</ns0:v>
      </ns0:c>
      <ns0:c r="N396" s="16">
        <ns0:f>IF(('前提と出典'!$C$37+'前提と出典'!$C$38)=0,0,IF(C396&lt;=10,'前提と出典'!D73+'前提と出典'!E73,IF(C396&lt;=100,'前提と出典'!D74+'前提と出典'!E74,IF(C396&lt;=500,'前提と出典'!D75+'前提と出典'!E75,'前提と出典'!D76+'前提と出典'!E76))))</ns0:f>
        <ns0:v>56510.9346263078</ns0:v>
      </ns0:c>
      <ns0:c r="O396" s="16">
        <ns0:f>IF('前提と出典'!$C$36+'前提と出典'!$C$38=0,0,'前提と出典'!$B$4*IF('前提と出典'!$B$20=0,MAX('前提と出典'!$B$6,D396*'前提と出典'!$B$5),'前提と出典'!$B$6+D396*'前提と出典'!$B$5))</ns0:f>
        <ns0:v>389249.43016759783</ns0:v>
      </ns0:c>
      <ns0:c r="P396" s="16">
        <ns0:f>(E396+G396)*(1-'前提と出典'!$B$7)-I396-K396-M396-O396</ns0:f>
        <ns0:v>872438.4208194441</ns0:v>
      </ns0:c>
      <ns0:c r="Q396" s="16">
        <ns0:f>(F396+H396)*(1-'前提と出典'!$B$7)-J396-L396-N396</ns0:f>
        <ns0:v>318506.14937622065</ns0:v>
      </ns0:c>
      <ns0:c r="R396" s="16">
        <ns0:f>P396-E396*'前提と出典'!$E$4</ns0:f>
        <ns0:v>644888.9291877177</ns0:v>
      </ns0:c>
      <ns0:c r="S396" s="16">
        <ns0:f>Q396-F396*'前提と出典'!$E$4</ns0:f>
        <ns0:v>229201.24096302962</ns0:v>
      </ns0:c>
      <ns0:c r="T396" s="7">
        <ns0:f>R396+S396</ns0:f>
        <ns0:v>874090.1701507473</ns0:v>
      </ns0:c>
      <ns0:c r="U396" s="16">
        <ns0:f>P396-E396*'前提と出典'!$E$5</ns0:f>
        <ns0:v>569039.0986438091</ns0:v>
      </ns0:c>
      <ns0:c r="V396" s="16">
        <ns0:f>Q396-F396*'前提と出典'!$E$5</ns0:f>
        <ns0:v>199432.9381586326</ns0:v>
      </ns0:c>
      <ns0:c r="W396" s="7">
        <ns0:f>U396+V396</ns0:f>
        <ns0:v>768472.0368024417</ns0:v>
      </ns0:c>
      <ns0:c r="X396" s="16">
        <ns0:f>P396-E396*'前提と出典'!$E$6</ns0:f>
        <ns0:v>493189.26809990034</ns0:v>
      </ns0:c>
      <ns0:c r="Y396" s="16">
        <ns0:f>Q396-F396*'前提と出典'!$E$6</ns0:f>
        <ns0:v>169664.63535423554</ns0:v>
      </ns0:c>
      <ns0:c r="Z396" s="7">
        <ns0:f>X396+Y396</ns0:f>
        <ns0:v>662853.9034541359</ns0:v>
      </ns0:c>
      <ns0:c r="AA396" s="7">
        <ns0:f>IF(T396&gt;=0,A396,1001)</ns0:f>
        <ns0:v>392</ns0:v>
      </ns0:c>
      <ns0:c r="AB396" s="7">
        <ns0:f>IF(T396&lt;0,A396,0)</ns0:f>
        <ns0:v>0</ns0:v>
      </ns0:c>
      <ns0:c r="AC396" s="16">
        <ns0:f>IF(AND(OR('前提と出典'!$C$36+'前提と出典'!$C$38=0,R396&gt;=0),OR('前提と出典'!$C$37+'前提と出典'!$C$38=0,S396&gt;=0)),0,A396)</ns0:f>
        <ns0:v>0</ns0:v>
      </ns0:c>
      <ns0:c r="AD396" s="7">
        <ns0:f>IF(W396&gt;=0,A396,1001)</ns0:f>
        <ns0:v>392</ns0:v>
      </ns0:c>
      <ns0:c r="AE396" s="7">
        <ns0:f>IF(W396&lt;0,A396,0)</ns0:f>
        <ns0:v>0</ns0:v>
      </ns0:c>
      <ns0:c r="AF396" s="16">
        <ns0:f>IF(AND(OR('前提と出典'!$C$36+'前提と出典'!$C$38=0,U396&gt;=0),OR('前提と出典'!$C$37+'前提と出典'!$C$38=0,V396&gt;=0)),0,A396)</ns0:f>
        <ns0:v>0</ns0:v>
      </ns0:c>
      <ns0:c r="AG396" s="7">
        <ns0:f>IF(Z396&gt;=0,A396,1001)</ns0:f>
        <ns0:v>392</ns0:v>
      </ns0:c>
      <ns0:c r="AH396" s="4">
        <ns0:f>IF(Z396&lt;0,A396,0)</ns0:f>
        <ns0:v>0</ns0:v>
      </ns0:c>
      <ns0:c r="AI396" s="12">
        <ns0:f>IF(AND(OR('前提と出典'!$C$36+'前提と出典'!$C$38=0,X396&gt;=0),OR('前提と出典'!$C$37+'前提と出典'!$C$38=0,Y396&gt;=0)),0,A396)</ns0:f>
        <ns0:v>0</ns0:v>
      </ns0:c>
    </ns0:row>
    <ns0:row r="397" ht="24" customHeight="1">
      <ns0:c r="A397" s="4" t="n">
        <ns0:v>393</ns0:v>
      </ns0:c>
      <ns0:c r="B397" s="12">
        <ns0:f>A397*('前提と出典'!$C$36+'前提と出典'!$C$38)</ns0:f>
        <ns0:v>275.09999999999997</ns0:v>
      </ns0:c>
      <ns0:c r="C397" s="12">
        <ns0:f>A397*('前提と出典'!$C$37+'前提と出典'!$C$38)</ns0:f>
        <ns0:v>235.79999999999998</ns0:v>
      </ns0:c>
      <ns0:c r="D397" s="16">
        <ns0:f>A397*('前提と出典'!$C$36*'契約別単価'!C5+'前提と出典'!$C$37*'契約別単価'!C6+'前提と出典'!$C$38*'契約別単価'!C7)</ns0:f>
        <ns0:v>2827.8435754189945</ns0:v>
      </ns0:c>
      <ns0:c r="E397" s="16">
        <ns0:f>A397*('前提と出典'!$C$36*'契約別単価'!E5+'前提と出典'!$C$37*'契約別単価'!E6+'前提と出典'!$C$38*'契約別単価'!E7)</ns0:f>
        <ns0:v>760433.2500958198</ns0:v>
      </ns0:c>
      <ns0:c r="F397" s="16">
        <ns0:f>A397*('前提と出典'!$C$36*'契約別単価'!F5+'前提と出典'!$C$37*'契約別単価'!F6+'前提と出典'!$C$38*'契約別単価'!F7)</ns0:f>
        <ns0:v>298442.4235236742</ns0:v>
      </ns0:c>
      <ns0:c r="G397" s="16">
        <ns0:f>A397*('前提と出典'!$C$36*'契約別単価'!G5+'前提と出典'!$C$37*'契約別単価'!G6+'前提と出典'!$C$38*'契約別単価'!G7)</ns0:f>
        <ns0:v>782267.597765363</ns0:v>
      </ns0:c>
      <ns0:c r="H397" s="16">
        <ns0:f>A397*('前提と出典'!$C$36*'契約別単価'!H5+'前提と出典'!$C$37*'契約別単価'!H6+'前提と出典'!$C$38*'契約別単価'!H7)</ns0:f>
        <ns0:v>271486.09022767463</ns0:v>
      </ns0:c>
      <ns0:c r="I397" s="16">
        <ns0:f>A397*('前提と出典'!$C$36*'契約別単価'!I5+'前提と出典'!$C$37*'契約別単価'!I6+'前提と出典'!$C$38*'契約別単価'!I7)</ns0:f>
        <ns0:v>16582.843575418992</ns0:v>
      </ns0:c>
      <ns0:c r="J397" s="16">
        <ns0:f>A397*('前提と出典'!$C$36*'契約別単価'!J5+'前提と出典'!$C$37*'契約別単価'!J6+'前提と出典'!$C$38*'契約別単価'!J7)</ns0:f>
        <ns0:v>38627.79067814891</ns0:v>
      </ns0:c>
      <ns0:c r="K397" s="16">
        <ns0:f>A397*('前提と出典'!$C$36*'契約別単価'!K5+'前提と出典'!$C$37*'契約別単価'!K6+'前提と出典'!$C$38*'契約別単価'!K7)</ns0:f>
        <ns0:v>165572.29050279327</ns0:v>
      </ns0:c>
      <ns0:c r="L397" s="16">
        <ns0:f>A397*('前提と出典'!$C$36*'契約別単価'!L5+'前提と出典'!$C$37*'契約別単価'!L6+'前提と出典'!$C$38*'契約別単価'!L7)</ns0:f>
        <ns0:v>134809.5363409225</ns0:v>
      </ns0:c>
      <ns0:c r="M397" s="16">
        <ns0:f>IF(('前提と出典'!$C$36+'前提と出典'!$C$38)=0,0,IF(B397&lt;=10,'前提と出典'!B73+'前提と出典'!C73,IF(B397&lt;=100,'前提と出典'!B74+'前提と出典'!C74,IF(B397&lt;=500,'前提と出典'!B75+'前提と出典'!C75,'前提と出典'!B76+'前提と出典'!C76))))</ns0:f>
        <ns0:v>40000</ns0:v>
      </ns0:c>
      <ns0:c r="N397" s="16">
        <ns0:f>IF(('前提と出典'!$C$37+'前提と出典'!$C$38)=0,0,IF(C397&lt;=10,'前提と出典'!D73+'前提と出典'!E73,IF(C397&lt;=100,'前提と出典'!D74+'前提と出典'!E74,IF(C397&lt;=500,'前提と出典'!D75+'前提と出典'!E75,'前提と出典'!D76+'前提と出典'!E76))))</ns0:f>
        <ns0:v>56510.9346263078</ns0:v>
      </ns0:c>
      <ns0:c r="O397" s="16">
        <ns0:f>IF('前提と出典'!$C$36+'前提と出典'!$C$38=0,0,'前提と出典'!$B$4*IF('前提と出典'!$B$20=0,MAX('前提と出典'!$B$6,D397*'前提と出典'!$B$5),'前提と出典'!$B$6+D397*'前提と出典'!$B$5))</ns0:f>
        <ns0:v>390242.4134078212</ns0:v>
      </ns0:c>
      <ns0:c r="P397" s="16">
        <ns0:f>(E397+G397)*(1-'前提と出典'!$B$7)-I397-K397-M397-O397</ns0:f>
        <ns0:v>874766.0698521469</ns0:v>
      </ns0:c>
      <ns0:c r="Q397" s="16">
        <ns0:f>(F397+H397)*(1-'前提と出典'!$B$7)-J397-L397-N397</ns0:f>
        <ns0:v>319462.825610921</ns0:v>
      </ns0:c>
      <ns0:c r="R397" s="16">
        <ns0:f>P397-E397*'前提と出典'!$E$4</ns0:f>
        <ns0:v>646636.094823401</ns0:v>
      </ns0:c>
      <ns0:c r="S397" s="16">
        <ns0:f>Q397-F397*'前提と出典'!$E$4</ns0:f>
        <ns0:v>229930.09855381877</ns0:v>
      </ns0:c>
      <ns0:c r="T397" s="7">
        <ns0:f>R397+S397</ns0:f>
        <ns0:v>876566.1933772197</ns0:v>
      </ns0:c>
      <ns0:c r="U397" s="16">
        <ns0:f>P397-E397*'前提と出典'!$E$5</ns0:f>
        <ns0:v>570592.769813819</ns0:v>
      </ns0:c>
      <ns0:c r="V397" s="16">
        <ns0:f>Q397-F397*'前提と出典'!$E$5</ns0:f>
        <ns0:v>200085.85620145136</ns0:v>
      </ns0:c>
      <ns0:c r="W397" s="7">
        <ns0:f>U397+V397</ns0:f>
        <ns0:v>770678.6260152704</ns0:v>
      </ns0:c>
      <ns0:c r="X397" s="16">
        <ns0:f>P397-E397*'前提と出典'!$E$6</ns0:f>
        <ns0:v>494549.4448042369</ns0:v>
      </ns0:c>
      <ns0:c r="Y397" s="16">
        <ns0:f>Q397-F397*'前提と出典'!$E$6</ns0:f>
        <ns0:v>170241.61384908392</ns0:v>
      </ns0:c>
      <ns0:c r="Z397" s="7">
        <ns0:f>X397+Y397</ns0:f>
        <ns0:v>664791.0586533208</ns0:v>
      </ns0:c>
      <ns0:c r="AA397" s="7">
        <ns0:f>IF(T397&gt;=0,A397,1001)</ns0:f>
        <ns0:v>393</ns0:v>
      </ns0:c>
      <ns0:c r="AB397" s="7">
        <ns0:f>IF(T397&lt;0,A397,0)</ns0:f>
        <ns0:v>0</ns0:v>
      </ns0:c>
      <ns0:c r="AC397" s="16">
        <ns0:f>IF(AND(OR('前提と出典'!$C$36+'前提と出典'!$C$38=0,R397&gt;=0),OR('前提と出典'!$C$37+'前提と出典'!$C$38=0,S397&gt;=0)),0,A397)</ns0:f>
        <ns0:v>0</ns0:v>
      </ns0:c>
      <ns0:c r="AD397" s="7">
        <ns0:f>IF(W397&gt;=0,A397,1001)</ns0:f>
        <ns0:v>393</ns0:v>
      </ns0:c>
      <ns0:c r="AE397" s="7">
        <ns0:f>IF(W397&lt;0,A397,0)</ns0:f>
        <ns0:v>0</ns0:v>
      </ns0:c>
      <ns0:c r="AF397" s="16">
        <ns0:f>IF(AND(OR('前提と出典'!$C$36+'前提と出典'!$C$38=0,U397&gt;=0),OR('前提と出典'!$C$37+'前提と出典'!$C$38=0,V397&gt;=0)),0,A397)</ns0:f>
        <ns0:v>0</ns0:v>
      </ns0:c>
      <ns0:c r="AG397" s="7">
        <ns0:f>IF(Z397&gt;=0,A397,1001)</ns0:f>
        <ns0:v>393</ns0:v>
      </ns0:c>
      <ns0:c r="AH397" s="4">
        <ns0:f>IF(Z397&lt;0,A397,0)</ns0:f>
        <ns0:v>0</ns0:v>
      </ns0:c>
      <ns0:c r="AI397" s="12">
        <ns0:f>IF(AND(OR('前提と出典'!$C$36+'前提と出典'!$C$38=0,X397&gt;=0),OR('前提と出典'!$C$37+'前提と出典'!$C$38=0,Y397&gt;=0)),0,A397)</ns0:f>
        <ns0:v>0</ns0:v>
      </ns0:c>
    </ns0:row>
    <ns0:row r="398" ht="24" customHeight="1">
      <ns0:c r="A398" s="4" t="n">
        <ns0:v>394</ns0:v>
      </ns0:c>
      <ns0:c r="B398" s="12">
        <ns0:f>A398*('前提と出典'!$C$36+'前提と出典'!$C$38)</ns0:f>
        <ns0:v>275.79999999999995</ns0:v>
      </ns0:c>
      <ns0:c r="C398" s="12">
        <ns0:f>A398*('前提と出典'!$C$37+'前提と出典'!$C$38)</ns0:f>
        <ns0:v>236.39999999999998</ns0:v>
      </ns0:c>
      <ns0:c r="D398" s="16">
        <ns0:f>A398*('前提と出典'!$C$36*'契約別単価'!C5+'前提と出典'!$C$37*'契約別単価'!C6+'前提と出典'!$C$38*'契約別単価'!C7)</ns0:f>
        <ns0:v>2835.0391061452515</ns0:v>
      </ns0:c>
      <ns0:c r="E398" s="16">
        <ns0:f>A398*('前提と出典'!$C$36*'契約別単価'!E5+'前提と出典'!$C$37*'契約別単価'!E6+'前提と出典'!$C$38*'契約別単価'!E7)</ns0:f>
        <ns0:v>762368.1947525522</ns0:v>
      </ns0:c>
      <ns0:c r="F398" s="16">
        <ns0:f>A398*('前提と出典'!$C$36*'契約別単価'!F5+'前提と出典'!$C$37*'契約別単価'!F6+'前提と出典'!$C$38*'契約別単価'!F7)</ns0:f>
        <ns0:v>299201.81900337816</ns0:v>
      </ns0:c>
      <ns0:c r="G398" s="16">
        <ns0:f>A398*('前提と出典'!$C$36*'契約別単価'!G5+'前提と出典'!$C$37*'契約別単価'!G6+'前提と出典'!$C$38*'契約別単価'!G7)</ns0:f>
        <ns0:v>784258.1005586592</ns0:v>
      </ns0:c>
      <ns0:c r="H398" s="16">
        <ns0:f>A398*('前提と出典'!$C$36*'契約別単価'!H5+'前提と出典'!$C$37*'契約別単価'!H6+'前提と出典'!$C$38*'契約別単価'!H7)</ns0:f>
        <ns0:v>272176.8945285084</ns0:v>
      </ns0:c>
      <ns0:c r="I398" s="16">
        <ns0:f>A398*('前提と出典'!$C$36*'契約別単価'!I5+'前提と出典'!$C$37*'契約別単価'!I6+'前提と出典'!$C$38*'契約別単価'!I7)</ns0:f>
        <ns0:v>16625.03910614525</ns0:v>
      </ns0:c>
      <ns0:c r="J398" s="16">
        <ns0:f>A398*('前提と出典'!$C$36*'契約別単価'!J5+'前提と出典'!$C$37*'契約別単価'!J6+'前提と出典'!$C$38*'契約別単価'!J7)</ns0:f>
        <ns0:v>38726.080221859214</ns0:v>
      </ns0:c>
      <ns0:c r="K398" s="16">
        <ns0:f>A398*('前提と出典'!$C$36*'契約別単価'!K5+'前提と出典'!$C$37*'契約別単価'!K6+'前提と出典'!$C$38*'契約別単価'!K7)</ns0:f>
        <ns0:v>165993.59404096834</ns0:v>
      </ns0:c>
      <ns0:c r="L398" s="16">
        <ns0:f>A398*('前提と出典'!$C$36*'契約別単価'!L5+'前提と出典'!$C$37*'契約別単価'!L6+'前提と出典'!$C$38*'契約別単価'!L7)</ns0:f>
        <ns0:v>135152.56315095027</ns0:v>
      </ns0:c>
      <ns0:c r="M398" s="16">
        <ns0:f>IF(('前提と出典'!$C$36+'前提と出典'!$C$38)=0,0,IF(B398&lt;=10,'前提と出典'!B73+'前提と出典'!C73,IF(B398&lt;=100,'前提と出典'!B74+'前提と出典'!C74,IF(B398&lt;=500,'前提と出典'!B75+'前提と出典'!C75,'前提と出典'!B76+'前提と出典'!C76))))</ns0:f>
        <ns0:v>40000</ns0:v>
      </ns0:c>
      <ns0:c r="N398" s="16">
        <ns0:f>IF(('前提と出典'!$C$37+'前提と出典'!$C$38)=0,0,IF(C398&lt;=10,'前提と出典'!D73+'前提と出典'!E73,IF(C398&lt;=100,'前提と出典'!D74+'前提と出典'!E74,IF(C398&lt;=500,'前提と出典'!D75+'前提と出典'!E75,'前提と出典'!D76+'前提と出典'!E76))))</ns0:f>
        <ns0:v>56510.9346263078</ns0:v>
      </ns0:c>
      <ns0:c r="O398" s="16">
        <ns0:f>IF('前提と出典'!$C$36+'前提と出典'!$C$38=0,0,'前提と出典'!$B$4*IF('前提と出典'!$B$20=0,MAX('前提と出典'!$B$6,D398*'前提と出典'!$B$5),'前提と出典'!$B$6+D398*'前提と出典'!$B$5))</ns0:f>
        <ns0:v>391235.3966480447</ns0:v>
      </ns0:c>
      <ns0:c r="P398" s="16">
        <ns0:f>(E398+G398)*(1-'前提と出典'!$B$7)-I398-K398-M398-O398</ns0:f>
        <ns0:v>877093.7188848497</ns0:v>
      </ns0:c>
      <ns0:c r="Q398" s="16">
        <ns0:f>(F398+H398)*(1-'前提と出典'!$B$7)-J398-L398-N398</ns0:f>
        <ns0:v>320419.5018456214</ns0:v>
      </ns0:c>
      <ns0:c r="R398" s="16">
        <ns0:f>P398-E398*'前提と出典'!$E$4</ns0:f>
        <ns0:v>648383.2604590841</ns0:v>
      </ns0:c>
      <ns0:c r="S398" s="16">
        <ns0:f>Q398-F398*'前提と出典'!$E$4</ns0:f>
        <ns0:v>230658.95614460798</ns0:v>
      </ns0:c>
      <ns0:c r="T398" s="7">
        <ns0:f>R398+S398</ns0:f>
        <ns0:v>879042.216603692</ns0:v>
      </ns0:c>
      <ns0:c r="U398" s="16">
        <ns0:f>P398-E398*'前提と出典'!$E$5</ns0:f>
        <ns0:v>572146.4409838287</ns0:v>
      </ns0:c>
      <ns0:c r="V398" s="16">
        <ns0:f>Q398-F398*'前提と出典'!$E$5</ns0:f>
        <ns0:v>200738.77424427008</ns0:v>
      </ns0:c>
      <ns0:c r="W398" s="7">
        <ns0:f>U398+V398</ns0:f>
        <ns0:v>772885.2152280988</ns0:v>
      </ns0:c>
      <ns0:c r="X398" s="16">
        <ns0:f>P398-E398*'前提と出典'!$E$6</ns0:f>
        <ns0:v>495909.62150857353</ns0:v>
      </ns0:c>
      <ns0:c r="Y398" s="16">
        <ns0:f>Q398-F398*'前提と出典'!$E$6</ns0:f>
        <ns0:v>170818.59234393228</ns0:v>
      </ns0:c>
      <ns0:c r="Z398" s="7">
        <ns0:f>X398+Y398</ns0:f>
        <ns0:v>666728.2138525058</ns0:v>
      </ns0:c>
      <ns0:c r="AA398" s="7">
        <ns0:f>IF(T398&gt;=0,A398,1001)</ns0:f>
        <ns0:v>394</ns0:v>
      </ns0:c>
      <ns0:c r="AB398" s="7">
        <ns0:f>IF(T398&lt;0,A398,0)</ns0:f>
        <ns0:v>0</ns0:v>
      </ns0:c>
      <ns0:c r="AC398" s="16">
        <ns0:f>IF(AND(OR('前提と出典'!$C$36+'前提と出典'!$C$38=0,R398&gt;=0),OR('前提と出典'!$C$37+'前提と出典'!$C$38=0,S398&gt;=0)),0,A398)</ns0:f>
        <ns0:v>0</ns0:v>
      </ns0:c>
      <ns0:c r="AD398" s="7">
        <ns0:f>IF(W398&gt;=0,A398,1001)</ns0:f>
        <ns0:v>394</ns0:v>
      </ns0:c>
      <ns0:c r="AE398" s="7">
        <ns0:f>IF(W398&lt;0,A398,0)</ns0:f>
        <ns0:v>0</ns0:v>
      </ns0:c>
      <ns0:c r="AF398" s="16">
        <ns0:f>IF(AND(OR('前提と出典'!$C$36+'前提と出典'!$C$38=0,U398&gt;=0),OR('前提と出典'!$C$37+'前提と出典'!$C$38=0,V398&gt;=0)),0,A398)</ns0:f>
        <ns0:v>0</ns0:v>
      </ns0:c>
      <ns0:c r="AG398" s="7">
        <ns0:f>IF(Z398&gt;=0,A398,1001)</ns0:f>
        <ns0:v>394</ns0:v>
      </ns0:c>
      <ns0:c r="AH398" s="4">
        <ns0:f>IF(Z398&lt;0,A398,0)</ns0:f>
        <ns0:v>0</ns0:v>
      </ns0:c>
      <ns0:c r="AI398" s="12">
        <ns0:f>IF(AND(OR('前提と出典'!$C$36+'前提と出典'!$C$38=0,X398&gt;=0),OR('前提と出典'!$C$37+'前提と出典'!$C$38=0,Y398&gt;=0)),0,A398)</ns0:f>
        <ns0:v>0</ns0:v>
      </ns0:c>
    </ns0:row>
    <ns0:row r="399" ht="24" customHeight="1">
      <ns0:c r="A399" s="4" t="n">
        <ns0:v>395</ns0:v>
      </ns0:c>
      <ns0:c r="B399" s="12">
        <ns0:f>A399*('前提と出典'!$C$36+'前提と出典'!$C$38)</ns0:f>
        <ns0:v>276.5</ns0:v>
      </ns0:c>
      <ns0:c r="C399" s="12">
        <ns0:f>A399*('前提と出典'!$C$37+'前提と出典'!$C$38)</ns0:f>
        <ns0:v>237</ns0:v>
      </ns0:c>
      <ns0:c r="D399" s="16">
        <ns0:f>A399*('前提と出典'!$C$36*'契約別単価'!C5+'前提と出典'!$C$37*'契約別単価'!C6+'前提と出典'!$C$38*'契約別単価'!C7)</ns0:f>
        <ns0:v>2842.2346368715084</ns0:v>
      </ns0:c>
      <ns0:c r="E399" s="16">
        <ns0:f>A399*('前提と出典'!$C$36*'契約別単価'!E5+'前提と出典'!$C$37*'契約別単価'!E6+'前提と出典'!$C$38*'契約別単価'!E7)</ns0:f>
        <ns0:v>764303.1394092846</ns0:v>
      </ns0:c>
      <ns0:c r="F399" s="16">
        <ns0:f>A399*('前提と出典'!$C$36*'契約別単価'!F5+'前提と出典'!$C$37*'契約別単価'!F6+'前提と出典'!$C$38*'契約別単価'!F7)</ns0:f>
        <ns0:v>299961.2144830822</ns0:v>
      </ns0:c>
      <ns0:c r="G399" s="16">
        <ns0:f>A399*('前提と出典'!$C$36*'契約別単価'!G5+'前提と出典'!$C$37*'契約別単価'!G6+'前提と出典'!$C$38*'契約別単価'!G7)</ns0:f>
        <ns0:v>786248.6033519553</ns0:v>
      </ns0:c>
      <ns0:c r="H399" s="16">
        <ns0:f>A399*('前提と出典'!$C$36*'契約別単価'!H5+'前提と出典'!$C$37*'契約別単価'!H6+'前提と出典'!$C$38*'契約別単価'!H7)</ns0:f>
        <ns0:v>272867.6988293422</ns0:v>
      </ns0:c>
      <ns0:c r="I399" s="16">
        <ns0:f>A399*('前提と出典'!$C$36*'契約別単価'!I5+'前提と出典'!$C$37*'契約別単価'!I6+'前提と出典'!$C$38*'契約別単価'!I7)</ns0:f>
        <ns0:v>16667.234636871504</ns0:v>
      </ns0:c>
      <ns0:c r="J399" s="16">
        <ns0:f>A399*('前提と出典'!$C$36*'契約別単価'!J5+'前提と出典'!$C$37*'契約別単価'!J6+'前提と出典'!$C$38*'契約別単価'!J7)</ns0:f>
        <ns0:v>38824.369765569514</ns0:v>
      </ns0:c>
      <ns0:c r="K399" s="16">
        <ns0:f>A399*('前提と出典'!$C$36*'契約別単価'!K5+'前提と出典'!$C$37*'契約別単価'!K6+'前提と出典'!$C$38*'契約別単価'!K7)</ns0:f>
        <ns0:v>166414.89757914338</ns0:v>
      </ns0:c>
      <ns0:c r="L399" s="16">
        <ns0:f>A399*('前提と出典'!$C$36*'契約別単価'!L5+'前提と出典'!$C$37*'契約別単価'!L6+'前提と出典'!$C$38*'契約別単価'!L7)</ns0:f>
        <ns0:v>135495.58996097808</ns0:v>
      </ns0:c>
      <ns0:c r="M399" s="16">
        <ns0:f>IF(('前提と出典'!$C$36+'前提と出典'!$C$38)=0,0,IF(B399&lt;=10,'前提と出典'!B73+'前提と出典'!C73,IF(B399&lt;=100,'前提と出典'!B74+'前提と出典'!C74,IF(B399&lt;=500,'前提と出典'!B75+'前提と出典'!C75,'前提と出典'!B76+'前提と出典'!C76))))</ns0:f>
        <ns0:v>40000</ns0:v>
      </ns0:c>
      <ns0:c r="N399" s="16">
        <ns0:f>IF(('前提と出典'!$C$37+'前提と出典'!$C$38)=0,0,IF(C399&lt;=10,'前提と出典'!D73+'前提と出典'!E73,IF(C399&lt;=100,'前提と出典'!D74+'前提と出典'!E74,IF(C399&lt;=500,'前提と出典'!D75+'前提と出典'!E75,'前提と出典'!D76+'前提と出典'!E76))))</ns0:f>
        <ns0:v>56510.9346263078</ns0:v>
      </ns0:c>
      <ns0:c r="O399" s="16">
        <ns0:f>IF('前提と出典'!$C$36+'前提と出典'!$C$38=0,0,'前提と出典'!$B$4*IF('前提と出典'!$B$20=0,MAX('前提と出典'!$B$6,D399*'前提と出典'!$B$5),'前提と出典'!$B$6+D399*'前提と出典'!$B$5))</ns0:f>
        <ns0:v>392228.3798882682</ns0:v>
      </ns0:c>
      <ns0:c r="P399" s="16">
        <ns0:f>(E399+G399)*(1-'前提と出典'!$B$7)-I399-K399-M399-O399</ns0:f>
        <ns0:v>879421.3679175521</ns0:v>
      </ns0:c>
      <ns0:c r="Q399" s="16">
        <ns0:f>(F399+H399)*(1-'前提と出典'!$B$7)-J399-L399-N399</ns0:f>
        <ns0:v>321376.17808032176</ns0:v>
      </ns0:c>
      <ns0:c r="R399" s="16">
        <ns0:f>P399-E399*'前提と出典'!$E$4</ns0:f>
        <ns0:v>650130.4260947667</ns0:v>
      </ns0:c>
      <ns0:c r="S399" s="16">
        <ns0:f>Q399-F399*'前提と出典'!$E$4</ns0:f>
        <ns0:v>231387.81373539713</ns0:v>
      </ns0:c>
      <ns0:c r="T399" s="7">
        <ns0:f>R399+S399</ns0:f>
        <ns0:v>881518.2398301638</ns0:v>
      </ns0:c>
      <ns0:c r="U399" s="16">
        <ns0:f>P399-E399*'前提と出典'!$E$5</ns0:f>
        <ns0:v>573700.1121538383</ns0:v>
      </ns0:c>
      <ns0:c r="V399" s="16">
        <ns0:f>Q399-F399*'前提と出典'!$E$5</ns0:f>
        <ns0:v>201391.6922870889</ns0:v>
      </ns0:c>
      <ns0:c r="W399" s="7">
        <ns0:f>U399+V399</ns0:f>
        <ns0:v>775091.8044409272</ns0:v>
      </ns0:c>
      <ns0:c r="X399" s="16">
        <ns0:f>P399-E399*'前提と出典'!$E$6</ns0:f>
        <ns0:v>497269.7982129097</ns0:v>
      </ns0:c>
      <ns0:c r="Y399" s="16">
        <ns0:f>Q399-F399*'前提と出典'!$E$6</ns0:f>
        <ns0:v>171395.57083878067</ns0:v>
      </ns0:c>
      <ns0:c r="Z399" s="7">
        <ns0:f>X399+Y399</ns0:f>
        <ns0:v>668665.3690516904</ns0:v>
      </ns0:c>
      <ns0:c r="AA399" s="7">
        <ns0:f>IF(T399&gt;=0,A399,1001)</ns0:f>
        <ns0:v>395</ns0:v>
      </ns0:c>
      <ns0:c r="AB399" s="7">
        <ns0:f>IF(T399&lt;0,A399,0)</ns0:f>
        <ns0:v>0</ns0:v>
      </ns0:c>
      <ns0:c r="AC399" s="16">
        <ns0:f>IF(AND(OR('前提と出典'!$C$36+'前提と出典'!$C$38=0,R399&gt;=0),OR('前提と出典'!$C$37+'前提と出典'!$C$38=0,S399&gt;=0)),0,A399)</ns0:f>
        <ns0:v>0</ns0:v>
      </ns0:c>
      <ns0:c r="AD399" s="7">
        <ns0:f>IF(W399&gt;=0,A399,1001)</ns0:f>
        <ns0:v>395</ns0:v>
      </ns0:c>
      <ns0:c r="AE399" s="7">
        <ns0:f>IF(W399&lt;0,A399,0)</ns0:f>
        <ns0:v>0</ns0:v>
      </ns0:c>
      <ns0:c r="AF399" s="16">
        <ns0:f>IF(AND(OR('前提と出典'!$C$36+'前提と出典'!$C$38=0,U399&gt;=0),OR('前提と出典'!$C$37+'前提と出典'!$C$38=0,V399&gt;=0)),0,A399)</ns0:f>
        <ns0:v>0</ns0:v>
      </ns0:c>
      <ns0:c r="AG399" s="7">
        <ns0:f>IF(Z399&gt;=0,A399,1001)</ns0:f>
        <ns0:v>395</ns0:v>
      </ns0:c>
      <ns0:c r="AH399" s="4">
        <ns0:f>IF(Z399&lt;0,A399,0)</ns0:f>
        <ns0:v>0</ns0:v>
      </ns0:c>
      <ns0:c r="AI399" s="12">
        <ns0:f>IF(AND(OR('前提と出典'!$C$36+'前提と出典'!$C$38=0,X399&gt;=0),OR('前提と出典'!$C$37+'前提と出典'!$C$38=0,Y399&gt;=0)),0,A399)</ns0:f>
        <ns0:v>0</ns0:v>
      </ns0:c>
    </ns0:row>
    <ns0:row r="400" ht="24" customHeight="1">
      <ns0:c r="A400" s="4" t="n">
        <ns0:v>396</ns0:v>
      </ns0:c>
      <ns0:c r="B400" s="12">
        <ns0:f>A400*('前提と出典'!$C$36+'前提と出典'!$C$38)</ns0:f>
        <ns0:v>277.2</ns0:v>
      </ns0:c>
      <ns0:c r="C400" s="12">
        <ns0:f>A400*('前提と出典'!$C$37+'前提と出典'!$C$38)</ns0:f>
        <ns0:v>237.6</ns0:v>
      </ns0:c>
      <ns0:c r="D400" s="16">
        <ns0:f>A400*('前提と出典'!$C$36*'契約別単価'!C5+'前提と出典'!$C$37*'契約別単価'!C6+'前提と出典'!$C$38*'契約別単価'!C7)</ns0:f>
        <ns0:v>2849.4301675977654</ns0:v>
      </ns0:c>
      <ns0:c r="E400" s="16">
        <ns0:f>A400*('前提と出典'!$C$36*'契約別単価'!E5+'前提と出典'!$C$37*'契約別単価'!E6+'前提と出典'!$C$38*'契約別単価'!E7)</ns0:f>
        <ns0:v>766238.084066017</ns0:v>
      </ns0:c>
      <ns0:c r="F400" s="16">
        <ns0:f>A400*('前提と出典'!$C$36*'契約別単価'!F5+'前提と出典'!$C$37*'契約別単価'!F6+'前提と出典'!$C$38*'契約別単価'!F7)</ns0:f>
        <ns0:v>300720.6099627862</ns0:v>
      </ns0:c>
      <ns0:c r="G400" s="16">
        <ns0:f>A400*('前提と出典'!$C$36*'契約別単価'!G5+'前提と出典'!$C$37*'契約別単価'!G6+'前提と出典'!$C$38*'契約別単価'!G7)</ns0:f>
        <ns0:v>788239.1061452513</ns0:v>
      </ns0:c>
      <ns0:c r="H400" s="16">
        <ns0:f>A400*('前提と出典'!$C$36*'契約別単価'!H5+'前提と出典'!$C$37*'契約別単価'!H6+'前提と出典'!$C$38*'契約別単価'!H7)</ns0:f>
        <ns0:v>273558.503130176</ns0:v>
      </ns0:c>
      <ns0:c r="I400" s="16">
        <ns0:f>A400*('前提と出典'!$C$36*'契約別単価'!I5+'前提と出典'!$C$37*'契約別単価'!I6+'前提と出典'!$C$38*'契約別単価'!I7)</ns0:f>
        <ns0:v>16709.430167597762</ns0:v>
      </ns0:c>
      <ns0:c r="J400" s="16">
        <ns0:f>A400*('前提と出典'!$C$36*'契約別単価'!J5+'前提と出典'!$C$37*'契約別単価'!J6+'前提と出典'!$C$38*'契約別単価'!J7)</ns0:f>
        <ns0:v>38922.659309279814</ns0:v>
      </ns0:c>
      <ns0:c r="K400" s="16">
        <ns0:f>A400*('前提と出典'!$C$36*'契約別単価'!K5+'前提と出典'!$C$37*'契約別単価'!K6+'前提と出典'!$C$38*'契約別単価'!K7)</ns0:f>
        <ns0:v>166836.20111731841</ns0:v>
      </ns0:c>
      <ns0:c r="L400" s="16">
        <ns0:f>A400*('前提と出典'!$C$36*'契約別単価'!L5+'前提と出典'!$C$37*'契約別単価'!L6+'前提と出典'!$C$38*'契約別単価'!L7)</ns0:f>
        <ns0:v>135838.61677100585</ns0:v>
      </ns0:c>
      <ns0:c r="M400" s="16">
        <ns0:f>IF(('前提と出典'!$C$36+'前提と出典'!$C$38)=0,0,IF(B400&lt;=10,'前提と出典'!B73+'前提と出典'!C73,IF(B400&lt;=100,'前提と出典'!B74+'前提と出典'!C74,IF(B400&lt;=500,'前提と出典'!B75+'前提と出典'!C75,'前提と出典'!B76+'前提と出典'!C76))))</ns0:f>
        <ns0:v>40000</ns0:v>
      </ns0:c>
      <ns0:c r="N400" s="16">
        <ns0:f>IF(('前提と出典'!$C$37+'前提と出典'!$C$38)=0,0,IF(C400&lt;=10,'前提と出典'!D73+'前提と出典'!E73,IF(C400&lt;=100,'前提と出典'!D74+'前提と出典'!E74,IF(C400&lt;=500,'前提と出典'!D75+'前提と出典'!E75,'前提と出典'!D76+'前提と出典'!E76))))</ns0:f>
        <ns0:v>56510.9346263078</ns0:v>
      </ns0:c>
      <ns0:c r="O400" s="16">
        <ns0:f>IF('前提と出典'!$C$36+'前提と出典'!$C$38=0,0,'前提と出典'!$B$4*IF('前提と出典'!$B$20=0,MAX('前提と出典'!$B$6,D400*'前提と出典'!$B$5),'前提と出典'!$B$6+D400*'前提と出典'!$B$5))</ns0:f>
        <ns0:v>393221.3631284917</ns0:v>
      </ns0:c>
      <ns0:c r="P400" s="16">
        <ns0:f>(E400+G400)*(1-'前提と出典'!$B$7)-I400-K400-M400-O400</ns0:f>
        <ns0:v>881749.0169502548</ns0:v>
      </ns0:c>
      <ns0:c r="Q400" s="16">
        <ns0:f>(F400+H400)*(1-'前提と出典'!$B$7)-J400-L400-N400</ns0:f>
        <ns0:v>322332.85431502206</ns0:v>
      </ns0:c>
      <ns0:c r="R400" s="16">
        <ns0:f>P400-E400*'前提と出典'!$E$4</ns0:f>
        <ns0:v>651877.5917304498</ns0:v>
      </ns0:c>
      <ns0:c r="S400" s="16">
        <ns0:f>Q400-F400*'前提と出典'!$E$4</ns0:f>
        <ns0:v>232116.67132618622</ns0:v>
      </ns0:c>
      <ns0:c r="T400" s="7">
        <ns0:f>R400+S400</ns0:f>
        <ns0:v>883994.2630566361</ns0:v>
      </ns0:c>
      <ns0:c r="U400" s="16">
        <ns0:f>P400-E400*'前提と出典'!$E$5</ns0:f>
        <ns0:v>575253.7833238479</ns0:v>
      </ns0:c>
      <ns0:c r="V400" s="16">
        <ns0:f>Q400-F400*'前提と出典'!$E$5</ns0:f>
        <ns0:v>202044.61032990756</ns0:v>
      </ns0:c>
      <ns0:c r="W400" s="7">
        <ns0:f>U400+V400</ns0:f>
        <ns0:v>777298.3936537555</ns0:v>
      </ns0:c>
      <ns0:c r="X400" s="16">
        <ns0:f>P400-E400*'前提と出典'!$E$6</ns0:f>
        <ns0:v>498629.97491724626</ns0:v>
      </ns0:c>
      <ns0:c r="Y400" s="16">
        <ns0:f>Q400-F400*'前提と出典'!$E$6</ns0:f>
        <ns0:v>171972.54933362897</ns0:v>
      </ns0:c>
      <ns0:c r="Z400" s="7">
        <ns0:f>X400+Y400</ns0:f>
        <ns0:v>670602.5242508752</ns0:v>
      </ns0:c>
      <ns0:c r="AA400" s="7">
        <ns0:f>IF(T400&gt;=0,A400,1001)</ns0:f>
        <ns0:v>396</ns0:v>
      </ns0:c>
      <ns0:c r="AB400" s="7">
        <ns0:f>IF(T400&lt;0,A400,0)</ns0:f>
        <ns0:v>0</ns0:v>
      </ns0:c>
      <ns0:c r="AC400" s="16">
        <ns0:f>IF(AND(OR('前提と出典'!$C$36+'前提と出典'!$C$38=0,R400&gt;=0),OR('前提と出典'!$C$37+'前提と出典'!$C$38=0,S400&gt;=0)),0,A400)</ns0:f>
        <ns0:v>0</ns0:v>
      </ns0:c>
      <ns0:c r="AD400" s="7">
        <ns0:f>IF(W400&gt;=0,A400,1001)</ns0:f>
        <ns0:v>396</ns0:v>
      </ns0:c>
      <ns0:c r="AE400" s="7">
        <ns0:f>IF(W400&lt;0,A400,0)</ns0:f>
        <ns0:v>0</ns0:v>
      </ns0:c>
      <ns0:c r="AF400" s="16">
        <ns0:f>IF(AND(OR('前提と出典'!$C$36+'前提と出典'!$C$38=0,U400&gt;=0),OR('前提と出典'!$C$37+'前提と出典'!$C$38=0,V400&gt;=0)),0,A400)</ns0:f>
        <ns0:v>0</ns0:v>
      </ns0:c>
      <ns0:c r="AG400" s="7">
        <ns0:f>IF(Z400&gt;=0,A400,1001)</ns0:f>
        <ns0:v>396</ns0:v>
      </ns0:c>
      <ns0:c r="AH400" s="4">
        <ns0:f>IF(Z400&lt;0,A400,0)</ns0:f>
        <ns0:v>0</ns0:v>
      </ns0:c>
      <ns0:c r="AI400" s="12">
        <ns0:f>IF(AND(OR('前提と出典'!$C$36+'前提と出典'!$C$38=0,X400&gt;=0),OR('前提と出典'!$C$37+'前提と出典'!$C$38=0,Y400&gt;=0)),0,A400)</ns0:f>
        <ns0:v>0</ns0:v>
      </ns0:c>
    </ns0:row>
    <ns0:row r="401" ht="24" customHeight="1">
      <ns0:c r="A401" s="4" t="n">
        <ns0:v>397</ns0:v>
      </ns0:c>
      <ns0:c r="B401" s="12">
        <ns0:f>A401*('前提と出典'!$C$36+'前提と出典'!$C$38)</ns0:f>
        <ns0:v>277.9</ns0:v>
      </ns0:c>
      <ns0:c r="C401" s="12">
        <ns0:f>A401*('前提と出典'!$C$37+'前提と出典'!$C$38)</ns0:f>
        <ns0:v>238.2</ns0:v>
      </ns0:c>
      <ns0:c r="D401" s="16">
        <ns0:f>A401*('前提と出典'!$C$36*'契約別単価'!C5+'前提と出典'!$C$37*'契約別単価'!C6+'前提と出典'!$C$38*'契約別単価'!C7)</ns0:f>
        <ns0:v>2856.6256983240223</ns0:v>
      </ns0:c>
      <ns0:c r="E401" s="16">
        <ns0:f>A401*('前提と出典'!$C$36*'契約別単価'!E5+'前提と出典'!$C$37*'契約別単価'!E6+'前提と出典'!$C$38*'契約別単価'!E7)</ns0:f>
        <ns0:v>768173.0287227493</ns0:v>
      </ns0:c>
      <ns0:c r="F401" s="16">
        <ns0:f>A401*('前提と出典'!$C$36*'契約別単価'!F5+'前提と出典'!$C$37*'契約別単価'!F6+'前提と出典'!$C$38*'契約別単価'!F7)</ns0:f>
        <ns0:v>301480.0054424902</ns0:v>
      </ns0:c>
      <ns0:c r="G401" s="16">
        <ns0:f>A401*('前提と出典'!$C$36*'契約別単価'!G5+'前提と出典'!$C$37*'契約別単価'!G6+'前提と出典'!$C$38*'契約別単価'!G7)</ns0:f>
        <ns0:v>790229.6089385474</ns0:v>
      </ns0:c>
      <ns0:c r="H401" s="16">
        <ns0:f>A401*('前提と出典'!$C$36*'契約別単価'!H5+'前提と出典'!$C$37*'契約別単価'!H6+'前提と出典'!$C$38*'契約別単価'!H7)</ns0:f>
        <ns0:v>274249.3074310097</ns0:v>
      </ns0:c>
      <ns0:c r="I401" s="16">
        <ns0:f>A401*('前提と出典'!$C$36*'契約別単価'!I5+'前提と出典'!$C$37*'契約別単価'!I6+'前提と出典'!$C$38*'契約別単価'!I7)</ns0:f>
        <ns0:v>16751.62569832402</ns0:v>
      </ns0:c>
      <ns0:c r="J401" s="16">
        <ns0:f>A401*('前提と出典'!$C$36*'契約別単価'!J5+'前提と出典'!$C$37*'契約別単価'!J6+'前提と出典'!$C$38*'契約別単価'!J7)</ns0:f>
        <ns0:v>39020.94885299012</ns0:v>
      </ns0:c>
      <ns0:c r="K401" s="16">
        <ns0:f>A401*('前提と出典'!$C$36*'契約別単価'!K5+'前提と出典'!$C$37*'契約別単価'!K6+'前提と出典'!$C$38*'契約別単価'!K7)</ns0:f>
        <ns0:v>167257.50465549348</ns0:v>
      </ns0:c>
      <ns0:c r="L401" s="16">
        <ns0:f>A401*('前提と出典'!$C$36*'契約別単価'!L5+'前提と出典'!$C$37*'契約別単価'!L6+'前提と出典'!$C$38*'契約別単価'!L7)</ns0:f>
        <ns0:v>136181.64358103366</ns0:v>
      </ns0:c>
      <ns0:c r="M401" s="16">
        <ns0:f>IF(('前提と出典'!$C$36+'前提と出典'!$C$38)=0,0,IF(B401&lt;=10,'前提と出典'!B73+'前提と出典'!C73,IF(B401&lt;=100,'前提と出典'!B74+'前提と出典'!C74,IF(B401&lt;=500,'前提と出典'!B75+'前提と出典'!C75,'前提と出典'!B76+'前提と出典'!C76))))</ns0:f>
        <ns0:v>40000</ns0:v>
      </ns0:c>
      <ns0:c r="N401" s="16">
        <ns0:f>IF(('前提と出典'!$C$37+'前提と出典'!$C$38)=0,0,IF(C401&lt;=10,'前提と出典'!D73+'前提と出典'!E73,IF(C401&lt;=100,'前提と出典'!D74+'前提と出典'!E74,IF(C401&lt;=500,'前提と出典'!D75+'前提と出典'!E75,'前提と出典'!D76+'前提と出典'!E76))))</ns0:f>
        <ns0:v>56510.9346263078</ns0:v>
      </ns0:c>
      <ns0:c r="O401" s="16">
        <ns0:f>IF('前提と出典'!$C$36+'前提と出典'!$C$38=0,0,'前提と出典'!$B$4*IF('前提と出典'!$B$20=0,MAX('前提と出典'!$B$6,D401*'前提と出典'!$B$5),'前提と出典'!$B$6+D401*'前提と出典'!$B$5))</ns0:f>
        <ns0:v>394214.34636871505</ns0:v>
      </ns0:c>
      <ns0:c r="P401" s="16">
        <ns0:f>(E401+G401)*(1-'前提と出典'!$B$7)-I401-K401-M401-O401</ns0:f>
        <ns0:v>884076.6659829575</ns0:v>
      </ns0:c>
      <ns0:c r="Q401" s="16">
        <ns0:f>(F401+H401)*(1-'前提と出典'!$B$7)-J401-L401-N401</ns0:f>
        <ns0:v>323289.5305497224</ns0:v>
      </ns0:c>
      <ns0:c r="R401" s="16">
        <ns0:f>P401-E401*'前提と出典'!$E$4</ns0:f>
        <ns0:v>653624.7573661328</ns0:v>
      </ns0:c>
      <ns0:c r="S401" s="16">
        <ns0:f>Q401-F401*'前提と出典'!$E$4</ns0:f>
        <ns0:v>232845.52891697525</ns0:v>
      </ns0:c>
      <ns0:c r="T401" s="7">
        <ns0:f>R401+S401</ns0:f>
        <ns0:v>886470.286283108</ns0:v>
      </ns0:c>
      <ns0:c r="U401" s="16">
        <ns0:f>P401-E401*'前提と出典'!$E$5</ns0:f>
        <ns0:v>576807.4544938578</ns0:v>
      </ns0:c>
      <ns0:c r="V401" s="16">
        <ns0:f>Q401-F401*'前提と出典'!$E$5</ns0:f>
        <ns0:v>202697.52837272626</ns0:v>
      </ns0:c>
      <ns0:c r="W401" s="7">
        <ns0:f>U401+V401</ns0:f>
        <ns0:v>779504.9828665841</ns0:v>
      </ns0:c>
      <ns0:c r="X401" s="16">
        <ns0:f>P401-E401*'前提と出典'!$E$6</ns0:f>
        <ns0:v>499990.15162158303</ns0:v>
      </ns0:c>
      <ns0:c r="Y401" s="16">
        <ns0:f>Q401-F401*'前提と出典'!$E$6</ns0:f>
        <ns0:v>172549.52782847724</ns0:v>
      </ns0:c>
      <ns0:c r="Z401" s="7">
        <ns0:f>X401+Y401</ns0:f>
        <ns0:v>672539.6794500602</ns0:v>
      </ns0:c>
      <ns0:c r="AA401" s="7">
        <ns0:f>IF(T401&gt;=0,A401,1001)</ns0:f>
        <ns0:v>397</ns0:v>
      </ns0:c>
      <ns0:c r="AB401" s="7">
        <ns0:f>IF(T401&lt;0,A401,0)</ns0:f>
        <ns0:v>0</ns0:v>
      </ns0:c>
      <ns0:c r="AC401" s="16">
        <ns0:f>IF(AND(OR('前提と出典'!$C$36+'前提と出典'!$C$38=0,R401&gt;=0),OR('前提と出典'!$C$37+'前提と出典'!$C$38=0,S401&gt;=0)),0,A401)</ns0:f>
        <ns0:v>0</ns0:v>
      </ns0:c>
      <ns0:c r="AD401" s="7">
        <ns0:f>IF(W401&gt;=0,A401,1001)</ns0:f>
        <ns0:v>397</ns0:v>
      </ns0:c>
      <ns0:c r="AE401" s="7">
        <ns0:f>IF(W401&lt;0,A401,0)</ns0:f>
        <ns0:v>0</ns0:v>
      </ns0:c>
      <ns0:c r="AF401" s="16">
        <ns0:f>IF(AND(OR('前提と出典'!$C$36+'前提と出典'!$C$38=0,U401&gt;=0),OR('前提と出典'!$C$37+'前提と出典'!$C$38=0,V401&gt;=0)),0,A401)</ns0:f>
        <ns0:v>0</ns0:v>
      </ns0:c>
      <ns0:c r="AG401" s="7">
        <ns0:f>IF(Z401&gt;=0,A401,1001)</ns0:f>
        <ns0:v>397</ns0:v>
      </ns0:c>
      <ns0:c r="AH401" s="4">
        <ns0:f>IF(Z401&lt;0,A401,0)</ns0:f>
        <ns0:v>0</ns0:v>
      </ns0:c>
      <ns0:c r="AI401" s="12">
        <ns0:f>IF(AND(OR('前提と出典'!$C$36+'前提と出典'!$C$38=0,X401&gt;=0),OR('前提と出典'!$C$37+'前提と出典'!$C$38=0,Y401&gt;=0)),0,A401)</ns0:f>
        <ns0:v>0</ns0:v>
      </ns0:c>
    </ns0:row>
    <ns0:row r="402" ht="24" customHeight="1">
      <ns0:c r="A402" s="4" t="n">
        <ns0:v>398</ns0:v>
      </ns0:c>
      <ns0:c r="B402" s="12">
        <ns0:f>A402*('前提と出典'!$C$36+'前提と出典'!$C$38)</ns0:f>
        <ns0:v>278.59999999999997</ns0:v>
      </ns0:c>
      <ns0:c r="C402" s="12">
        <ns0:f>A402*('前提と出典'!$C$37+'前提と出典'!$C$38)</ns0:f>
        <ns0:v>238.79999999999998</ns0:v>
      </ns0:c>
      <ns0:c r="D402" s="16">
        <ns0:f>A402*('前提と出典'!$C$36*'契約別単価'!C5+'前提と出典'!$C$37*'契約別単価'!C6+'前提と出典'!$C$38*'契約別単価'!C7)</ns0:f>
        <ns0:v>2863.8212290502793</ns0:v>
      </ns0:c>
      <ns0:c r="E402" s="16">
        <ns0:f>A402*('前提と出典'!$C$36*'契約別単価'!E5+'前提と出典'!$C$37*'契約別単価'!E6+'前提と出典'!$C$38*'契約別単価'!E7)</ns0:f>
        <ns0:v>770107.9733794817</ns0:v>
      </ns0:c>
      <ns0:c r="F402" s="16">
        <ns0:f>A402*('前提と出典'!$C$36*'契約別単価'!F5+'前提と出典'!$C$37*'契約別単価'!F6+'前提と出典'!$C$38*'契約別単価'!F7)</ns0:f>
        <ns0:v>302239.4009221942</ns0:v>
      </ns0:c>
      <ns0:c r="G402" s="16">
        <ns0:f>A402*('前提と出典'!$C$36*'契約別単価'!G5+'前提と出典'!$C$37*'契約別単価'!G6+'前提と出典'!$C$38*'契約別単価'!G7)</ns0:f>
        <ns0:v>792220.1117318436</ns0:v>
      </ns0:c>
      <ns0:c r="H402" s="16">
        <ns0:f>A402*('前提と出典'!$C$36*'契約別単価'!H5+'前提と出典'!$C$37*'契約別単価'!H6+'前提と出典'!$C$38*'契約別単価'!H7)</ns0:f>
        <ns0:v>274940.1117318435</ns0:v>
      </ns0:c>
      <ns0:c r="I402" s="16">
        <ns0:f>A402*('前提と出典'!$C$36*'契約別単価'!I5+'前提と出典'!$C$37*'契約別単価'!I6+'前提と出典'!$C$38*'契約別単価'!I7)</ns0:f>
        <ns0:v>16793.821229050278</ns0:v>
      </ns0:c>
      <ns0:c r="J402" s="16">
        <ns0:f>A402*('前提と出典'!$C$36*'契約別単価'!J5+'前提と出典'!$C$37*'契約別単価'!J6+'前提と出典'!$C$38*'契約別単価'!J7)</ns0:f>
        <ns0:v>39119.23839670042</ns0:v>
      </ns0:c>
      <ns0:c r="K402" s="16">
        <ns0:f>A402*('前提と出典'!$C$36*'契約別単価'!K5+'前提と出典'!$C$37*'契約別単価'!K6+'前提と出典'!$C$38*'契約別単価'!K7)</ns0:f>
        <ns0:v>167678.80819366852</ns0:v>
      </ns0:c>
      <ns0:c r="L402" s="16">
        <ns0:f>A402*('前提と出典'!$C$36*'契約別単価'!L5+'前提と出典'!$C$37*'契約別単価'!L6+'前提と出典'!$C$38*'契約別単価'!L7)</ns0:f>
        <ns0:v>136524.67039106146</ns0:v>
      </ns0:c>
      <ns0:c r="M402" s="16">
        <ns0:f>IF(('前提と出典'!$C$36+'前提と出典'!$C$38)=0,0,IF(B402&lt;=10,'前提と出典'!B73+'前提と出典'!C73,IF(B402&lt;=100,'前提と出典'!B74+'前提と出典'!C74,IF(B402&lt;=500,'前提と出典'!B75+'前提と出典'!C75,'前提と出典'!B76+'前提と出典'!C76))))</ns0:f>
        <ns0:v>40000</ns0:v>
      </ns0:c>
      <ns0:c r="N402" s="16">
        <ns0:f>IF(('前提と出典'!$C$37+'前提と出典'!$C$38)=0,0,IF(C402&lt;=10,'前提と出典'!D73+'前提と出典'!E73,IF(C402&lt;=100,'前提と出典'!D74+'前提と出典'!E74,IF(C402&lt;=500,'前提と出典'!D75+'前提と出典'!E75,'前提と出典'!D76+'前提と出典'!E76))))</ns0:f>
        <ns0:v>56510.9346263078</ns0:v>
      </ns0:c>
      <ns0:c r="O402" s="16">
        <ns0:f>IF('前提と出典'!$C$36+'前提と出典'!$C$38=0,0,'前提と出典'!$B$4*IF('前提と出典'!$B$20=0,MAX('前提と出典'!$B$6,D402*'前提と出典'!$B$5),'前提と出典'!$B$6+D402*'前提と出典'!$B$5))</ns0:f>
        <ns0:v>395207.32960893854</ns0:v>
      </ns0:c>
      <ns0:c r="P402" s="16">
        <ns0:f>(E402+G402)*(1-'前提と出典'!$B$7)-I402-K402-M402-O402</ns0:f>
        <ns0:v>886404.3150156602</ns0:v>
      </ns0:c>
      <ns0:c r="Q402" s="16">
        <ns0:f>(F402+H402)*(1-'前提と出典'!$B$7)-J402-L402-N402</ns0:f>
        <ns0:v>324246.2067844226</ns0:v>
      </ns0:c>
      <ns0:c r="R402" s="16">
        <ns0:f>P402-E402*'前提と出典'!$E$4</ns0:f>
        <ns0:v>655371.9230018157</ns0:v>
      </ns0:c>
      <ns0:c r="S402" s="16">
        <ns0:f>Q402-F402*'前提と出典'!$E$4</ns0:f>
        <ns0:v>233574.38650776434</ns0:v>
      </ns0:c>
      <ns0:c r="T402" s="7">
        <ns0:f>R402+S402</ns0:f>
        <ns0:v>888946.30950958</ns0:v>
      </ns0:c>
      <ns0:c r="U402" s="16">
        <ns0:f>P402-E402*'前提と出典'!$E$5</ns0:f>
        <ns0:v>578361.1256638676</ns0:v>
      </ns0:c>
      <ns0:c r="V402" s="16">
        <ns0:f>Q402-F402*'前提と出典'!$E$5</ns0:f>
        <ns0:v>203350.44641554495</ns0:v>
      </ns0:c>
      <ns0:c r="W402" s="7">
        <ns0:f>U402+V402</ns0:f>
        <ns0:v>781711.5720794125</ns0:v>
      </ns0:c>
      <ns0:c r="X402" s="16">
        <ns0:f>P402-E402*'前提と出典'!$E$6</ns0:f>
        <ns0:v>501350.32832591946</ns0:v>
      </ns0:c>
      <ns0:c r="Y402" s="16">
        <ns0:f>Q402-F402*'前提と出典'!$E$6</ns0:f>
        <ns0:v>173126.50632332556</ns0:v>
      </ns0:c>
      <ns0:c r="Z402" s="7">
        <ns0:f>X402+Y402</ns0:f>
        <ns0:v>674476.834649245</ns0:v>
      </ns0:c>
      <ns0:c r="AA402" s="7">
        <ns0:f>IF(T402&gt;=0,A402,1001)</ns0:f>
        <ns0:v>398</ns0:v>
      </ns0:c>
      <ns0:c r="AB402" s="7">
        <ns0:f>IF(T402&lt;0,A402,0)</ns0:f>
        <ns0:v>0</ns0:v>
      </ns0:c>
      <ns0:c r="AC402" s="16">
        <ns0:f>IF(AND(OR('前提と出典'!$C$36+'前提と出典'!$C$38=0,R402&gt;=0),OR('前提と出典'!$C$37+'前提と出典'!$C$38=0,S402&gt;=0)),0,A402)</ns0:f>
        <ns0:v>0</ns0:v>
      </ns0:c>
      <ns0:c r="AD402" s="7">
        <ns0:f>IF(W402&gt;=0,A402,1001)</ns0:f>
        <ns0:v>398</ns0:v>
      </ns0:c>
      <ns0:c r="AE402" s="7">
        <ns0:f>IF(W402&lt;0,A402,0)</ns0:f>
        <ns0:v>0</ns0:v>
      </ns0:c>
      <ns0:c r="AF402" s="16">
        <ns0:f>IF(AND(OR('前提と出典'!$C$36+'前提と出典'!$C$38=0,U402&gt;=0),OR('前提と出典'!$C$37+'前提と出典'!$C$38=0,V402&gt;=0)),0,A402)</ns0:f>
        <ns0:v>0</ns0:v>
      </ns0:c>
      <ns0:c r="AG402" s="7">
        <ns0:f>IF(Z402&gt;=0,A402,1001)</ns0:f>
        <ns0:v>398</ns0:v>
      </ns0:c>
      <ns0:c r="AH402" s="4">
        <ns0:f>IF(Z402&lt;0,A402,0)</ns0:f>
        <ns0:v>0</ns0:v>
      </ns0:c>
      <ns0:c r="AI402" s="12">
        <ns0:f>IF(AND(OR('前提と出典'!$C$36+'前提と出典'!$C$38=0,X402&gt;=0),OR('前提と出典'!$C$37+'前提と出典'!$C$38=0,Y402&gt;=0)),0,A402)</ns0:f>
        <ns0:v>0</ns0:v>
      </ns0:c>
    </ns0:row>
    <ns0:row r="403" ht="24" customHeight="1">
      <ns0:c r="A403" s="4" t="n">
        <ns0:v>399</ns0:v>
      </ns0:c>
      <ns0:c r="B403" s="12">
        <ns0:f>A403*('前提と出典'!$C$36+'前提と出典'!$C$38)</ns0:f>
        <ns0:v>279.29999999999995</ns0:v>
      </ns0:c>
      <ns0:c r="C403" s="12">
        <ns0:f>A403*('前提と出典'!$C$37+'前提と出典'!$C$38)</ns0:f>
        <ns0:v>239.39999999999998</ns0:v>
      </ns0:c>
      <ns0:c r="D403" s="16">
        <ns0:f>A403*('前提と出典'!$C$36*'契約別単価'!C5+'前提と出典'!$C$37*'契約別単価'!C6+'前提と出典'!$C$38*'契約別単価'!C7)</ns0:f>
        <ns0:v>2871.016759776536</ns0:v>
      </ns0:c>
      <ns0:c r="E403" s="16">
        <ns0:f>A403*('前提と出典'!$C$36*'契約別単価'!E5+'前提と出典'!$C$37*'契約別単価'!E6+'前提と出典'!$C$38*'契約別単価'!E7)</ns0:f>
        <ns0:v>772042.918036214</ns0:v>
      </ns0:c>
      <ns0:c r="F403" s="16">
        <ns0:f>A403*('前提と出典'!$C$36*'契約別単価'!F5+'前提と出典'!$C$37*'契約別単価'!F6+'前提と出典'!$C$38*'契約別単価'!F7)</ns0:f>
        <ns0:v>302998.7964018982</ns0:v>
      </ns0:c>
      <ns0:c r="G403" s="16">
        <ns0:f>A403*('前提と出典'!$C$36*'契約別単価'!G5+'前提と出典'!$C$37*'契約別単価'!G6+'前提と出典'!$C$38*'契約別単価'!G7)</ns0:f>
        <ns0:v>794210.6145251397</ns0:v>
      </ns0:c>
      <ns0:c r="H403" s="16">
        <ns0:f>A403*('前提と出典'!$C$36*'契約別単価'!H5+'前提と出典'!$C$37*'契約別単価'!H6+'前提と出典'!$C$38*'契約別単価'!H7)</ns0:f>
        <ns0:v>275630.9160326773</ns0:v>
      </ns0:c>
      <ns0:c r="I403" s="16">
        <ns0:f>A403*('前提と出典'!$C$36*'契約別単価'!I5+'前提と出典'!$C$37*'契約別単価'!I6+'前提と出典'!$C$38*'契約別単価'!I7)</ns0:f>
        <ns0:v>16836.016759776532</ns0:v>
      </ns0:c>
      <ns0:c r="J403" s="16">
        <ns0:f>A403*('前提と出典'!$C$36*'契約別単価'!J5+'前提と出典'!$C$37*'契約別単価'!J6+'前提と出典'!$C$38*'契約別単価'!J7)</ns0:f>
        <ns0:v>39217.52794041073</ns0:v>
      </ns0:c>
      <ns0:c r="K403" s="16">
        <ns0:f>A403*('前提と出典'!$C$36*'契約別単価'!K5+'前提と出典'!$C$37*'契約別単価'!K6+'前提と出典'!$C$38*'契約別単価'!K7)</ns0:f>
        <ns0:v>168100.11173184356</ns0:v>
      </ns0:c>
      <ns0:c r="L403" s="16">
        <ns0:f>A403*('前提と出典'!$C$36*'契約別単価'!L5+'前提と出典'!$C$37*'契約別単価'!L6+'前提と出典'!$C$38*'契約別単価'!L7)</ns0:f>
        <ns0:v>136867.69720108924</ns0:v>
      </ns0:c>
      <ns0:c r="M403" s="16">
        <ns0:f>IF(('前提と出典'!$C$36+'前提と出典'!$C$38)=0,0,IF(B403&lt;=10,'前提と出典'!B73+'前提と出典'!C73,IF(B403&lt;=100,'前提と出典'!B74+'前提と出典'!C74,IF(B403&lt;=500,'前提と出典'!B75+'前提と出典'!C75,'前提と出典'!B76+'前提と出典'!C76))))</ns0:f>
        <ns0:v>40000</ns0:v>
      </ns0:c>
      <ns0:c r="N403" s="16">
        <ns0:f>IF(('前提と出典'!$C$37+'前提と出典'!$C$38)=0,0,IF(C403&lt;=10,'前提と出典'!D73+'前提と出典'!E73,IF(C403&lt;=100,'前提と出典'!D74+'前提と出典'!E74,IF(C403&lt;=500,'前提と出典'!D75+'前提と出典'!E75,'前提と出典'!D76+'前提と出典'!E76))))</ns0:f>
        <ns0:v>56510.9346263078</ns0:v>
      </ns0:c>
      <ns0:c r="O403" s="16">
        <ns0:f>IF('前提と出典'!$C$36+'前提と出典'!$C$38=0,0,'前提と出典'!$B$4*IF('前提と出典'!$B$20=0,MAX('前提と出典'!$B$6,D403*'前提と出典'!$B$5),'前提と出典'!$B$6+D403*'前提と出典'!$B$5))</ns0:f>
        <ns0:v>396200.31284916203</ns0:v>
      </ns0:c>
      <ns0:c r="P403" s="16">
        <ns0:f>(E403+G403)*(1-'前提と出典'!$B$7)-I403-K403-M403-O403</ns0:f>
        <ns0:v>888731.9640483629</ns0:v>
      </ns0:c>
      <ns0:c r="Q403" s="16">
        <ns0:f>(F403+H403)*(1-'前提と出典'!$B$7)-J403-L403-N403</ns0:f>
        <ns0:v>325202.883019123</ns0:v>
      </ns0:c>
      <ns0:c r="R403" s="16">
        <ns0:f>P403-E403*'前提と出典'!$E$4</ns0:f>
        <ns0:v>657119.0886374988</ns0:v>
      </ns0:c>
      <ns0:c r="S403" s="16">
        <ns0:f>Q403-F403*'前提と出典'!$E$4</ns0:f>
        <ns0:v>234303.2440985535</ns0:v>
      </ns0:c>
      <ns0:c r="T403" s="7">
        <ns0:f>R403+S403</ns0:f>
        <ns0:v>891422.3327360523</ns0:v>
      </ns0:c>
      <ns0:c r="U403" s="16">
        <ns0:f>P403-E403*'前提と出典'!$E$5</ns0:f>
        <ns0:v>579914.7968338773</ns0:v>
      </ns0:c>
      <ns0:c r="V403" s="16">
        <ns0:f>Q403-F403*'前提と出典'!$E$5</ns0:f>
        <ns0:v>204003.36445836368</ns0:v>
      </ns0:c>
      <ns0:c r="W403" s="7">
        <ns0:f>U403+V403</ns0:f>
        <ns0:v>783918.161292241</ns0:v>
      </ns0:c>
      <ns0:c r="X403" s="16">
        <ns0:f>P403-E403*'前提と出典'!$E$6</ns0:f>
        <ns0:v>502710.5050302559</ns0:v>
      </ns0:c>
      <ns0:c r="Y403" s="16">
        <ns0:f>Q403-F403*'前提と出典'!$E$6</ns0:f>
        <ns0:v>173703.48481817386</ns0:v>
      </ns0:c>
      <ns0:c r="Z403" s="7">
        <ns0:f>X403+Y403</ns0:f>
        <ns0:v>676413.9898484298</ns0:v>
      </ns0:c>
      <ns0:c r="AA403" s="7">
        <ns0:f>IF(T403&gt;=0,A403,1001)</ns0:f>
        <ns0:v>399</ns0:v>
      </ns0:c>
      <ns0:c r="AB403" s="7">
        <ns0:f>IF(T403&lt;0,A403,0)</ns0:f>
        <ns0:v>0</ns0:v>
      </ns0:c>
      <ns0:c r="AC403" s="16">
        <ns0:f>IF(AND(OR('前提と出典'!$C$36+'前提と出典'!$C$38=0,R403&gt;=0),OR('前提と出典'!$C$37+'前提と出典'!$C$38=0,S403&gt;=0)),0,A403)</ns0:f>
        <ns0:v>0</ns0:v>
      </ns0:c>
      <ns0:c r="AD403" s="7">
        <ns0:f>IF(W403&gt;=0,A403,1001)</ns0:f>
        <ns0:v>399</ns0:v>
      </ns0:c>
      <ns0:c r="AE403" s="7">
        <ns0:f>IF(W403&lt;0,A403,0)</ns0:f>
        <ns0:v>0</ns0:v>
      </ns0:c>
      <ns0:c r="AF403" s="16">
        <ns0:f>IF(AND(OR('前提と出典'!$C$36+'前提と出典'!$C$38=0,U403&gt;=0),OR('前提と出典'!$C$37+'前提と出典'!$C$38=0,V403&gt;=0)),0,A403)</ns0:f>
        <ns0:v>0</ns0:v>
      </ns0:c>
      <ns0:c r="AG403" s="7">
        <ns0:f>IF(Z403&gt;=0,A403,1001)</ns0:f>
        <ns0:v>399</ns0:v>
      </ns0:c>
      <ns0:c r="AH403" s="4">
        <ns0:f>IF(Z403&lt;0,A403,0)</ns0:f>
        <ns0:v>0</ns0:v>
      </ns0:c>
      <ns0:c r="AI403" s="12">
        <ns0:f>IF(AND(OR('前提と出典'!$C$36+'前提と出典'!$C$38=0,X403&gt;=0),OR('前提と出典'!$C$37+'前提と出典'!$C$38=0,Y403&gt;=0)),0,A403)</ns0:f>
        <ns0:v>0</ns0:v>
      </ns0:c>
    </ns0:row>
    <ns0:row r="404" ht="24" customHeight="1">
      <ns0:c r="A404" s="4" t="n">
        <ns0:v>400</ns0:v>
      </ns0:c>
      <ns0:c r="B404" s="12">
        <ns0:f>A404*('前提と出典'!$C$36+'前提と出典'!$C$38)</ns0:f>
        <ns0:v>280</ns0:v>
      </ns0:c>
      <ns0:c r="C404" s="12">
        <ns0:f>A404*('前提と出典'!$C$37+'前提と出典'!$C$38)</ns0:f>
        <ns0:v>240</ns0:v>
      </ns0:c>
      <ns0:c r="D404" s="16">
        <ns0:f>A404*('前提と出典'!$C$36*'契約別単価'!C5+'前提と出典'!$C$37*'契約別単価'!C6+'前提と出典'!$C$38*'契約別単価'!C7)</ns0:f>
        <ns0:v>2878.212290502793</ns0:v>
      </ns0:c>
      <ns0:c r="E404" s="16">
        <ns0:f>A404*('前提と出典'!$C$36*'契約別単価'!E5+'前提と出典'!$C$37*'契約別単価'!E6+'前提と出典'!$C$38*'契約別単価'!E7)</ns0:f>
        <ns0:v>773977.8626929463</ns0:v>
      </ns0:c>
      <ns0:c r="F404" s="16">
        <ns0:f>A404*('前提と出典'!$C$36*'契約別単価'!F5+'前提と出典'!$C$37*'契約別単価'!F6+'前提と出典'!$C$38*'契約別単価'!F7)</ns0:f>
        <ns0:v>303758.1918816022</ns0:v>
      </ns0:c>
      <ns0:c r="G404" s="16">
        <ns0:f>A404*('前提と出典'!$C$36*'契約別単価'!G5+'前提と出典'!$C$37*'契約別単価'!G6+'前提と出典'!$C$38*'契約別単価'!G7)</ns0:f>
        <ns0:v>796201.1173184357</ns0:v>
      </ns0:c>
      <ns0:c r="H404" s="16">
        <ns0:f>A404*('前提と出典'!$C$36*'契約別単価'!H5+'前提と出典'!$C$37*'契約別単価'!H6+'前提と出典'!$C$38*'契約別単価'!H7)</ns0:f>
        <ns0:v>276321.72033351107</ns0:v>
      </ns0:c>
      <ns0:c r="I404" s="16">
        <ns0:f>A404*('前提と出典'!$C$36*'契約別単価'!I5+'前提と出典'!$C$37*'契約別単価'!I6+'前提と出典'!$C$38*'契約別単価'!I7)</ns0:f>
        <ns0:v>16878.21229050279</ns0:v>
      </ns0:c>
      <ns0:c r="J404" s="16">
        <ns0:f>A404*('前提と出典'!$C$36*'契約別単価'!J5+'前提と出典'!$C$37*'契約別単価'!J6+'前提と出典'!$C$38*'契約別単価'!J7)</ns0:f>
        <ns0:v>39315.81748412103</ns0:v>
      </ns0:c>
      <ns0:c r="K404" s="16">
        <ns0:f>A404*('前提と出典'!$C$36*'契約別単価'!K5+'前提と出典'!$C$37*'契約別単価'!K6+'前提と出典'!$C$38*'契約別単価'!K7)</ns0:f>
        <ns0:v>168521.41527001862</ns0:v>
      </ns0:c>
      <ns0:c r="L404" s="16">
        <ns0:f>A404*('前提と出典'!$C$36*'契約別単価'!L5+'前提と出典'!$C$37*'契約別単価'!L6+'前提と出典'!$C$38*'契約別単価'!L7)</ns0:f>
        <ns0:v>137210.72401111704</ns0:v>
      </ns0:c>
      <ns0:c r="M404" s="16">
        <ns0:f>IF(('前提と出典'!$C$36+'前提と出典'!$C$38)=0,0,IF(B404&lt;=10,'前提と出典'!B73+'前提と出典'!C73,IF(B404&lt;=100,'前提と出典'!B74+'前提と出典'!C74,IF(B404&lt;=500,'前提と出典'!B75+'前提と出典'!C75,'前提と出典'!B76+'前提と出典'!C76))))</ns0:f>
        <ns0:v>40000</ns0:v>
      </ns0:c>
      <ns0:c r="N404" s="16">
        <ns0:f>IF(('前提と出典'!$C$37+'前提と出典'!$C$38)=0,0,IF(C404&lt;=10,'前提と出典'!D73+'前提と出典'!E73,IF(C404&lt;=100,'前提と出典'!D74+'前提と出典'!E74,IF(C404&lt;=500,'前提と出典'!D75+'前提と出典'!E75,'前提と出典'!D76+'前提と出典'!E76))))</ns0:f>
        <ns0:v>56510.9346263078</ns0:v>
      </ns0:c>
      <ns0:c r="O404" s="16">
        <ns0:f>IF('前提と出典'!$C$36+'前提と出典'!$C$38=0,0,'前提と出典'!$B$4*IF('前提と出典'!$B$20=0,MAX('前提と出典'!$B$6,D404*'前提と出典'!$B$5),'前提と出典'!$B$6+D404*'前提と出典'!$B$5))</ns0:f>
        <ns0:v>397193.29608938546</ns0:v>
      </ns0:c>
      <ns0:c r="P404" s="16">
        <ns0:f>(E404+G404)*(1-'前提と出典'!$B$7)-I404-K404-M404-O404</ns0:f>
        <ns0:v>891059.6130810655</ns0:v>
      </ns0:c>
      <ns0:c r="Q404" s="16">
        <ns0:f>(F404+H404)*(1-'前提と出典'!$B$7)-J404-L404-N404</ns0:f>
        <ns0:v>326159.55925382336</ns0:v>
      </ns0:c>
      <ns0:c r="R404" s="16">
        <ns0:f>P404-E404*'前提と出典'!$E$4</ns0:f>
        <ns0:v>658866.2542731815</ns0:v>
      </ns0:c>
      <ns0:c r="S404" s="16">
        <ns0:f>Q404-F404*'前提と出典'!$E$4</ns0:f>
        <ns0:v>235032.10168934264</ns0:v>
      </ns0:c>
      <ns0:c r="T404" s="7">
        <ns0:f>R404+S404</ns0:f>
        <ns0:v>893898.3559625242</ns0:v>
      </ns0:c>
      <ns0:c r="U404" s="16">
        <ns0:f>P404-E404*'前提と出典'!$E$5</ns0:f>
        <ns0:v>581468.468003887</ns0:v>
      </ns0:c>
      <ns0:c r="V404" s="16">
        <ns0:f>Q404-F404*'前提と出典'!$E$5</ns0:f>
        <ns0:v>204656.28250118243</ns0:v>
      </ns0:c>
      <ns0:c r="W404" s="7">
        <ns0:f>U404+V404</ns0:f>
        <ns0:v>786124.7505050694</ns0:v>
      </ns0:c>
      <ns0:c r="X404" s="16">
        <ns0:f>P404-E404*'前提と出典'!$E$6</ns0:f>
        <ns0:v>504070.68173459213</ns0:v>
      </ns0:c>
      <ns0:c r="Y404" s="16">
        <ns0:f>Q404-F404*'前提と出典'!$E$6</ns0:f>
        <ns0:v>174280.46331302225</ns0:v>
      </ns0:c>
      <ns0:c r="Z404" s="7">
        <ns0:f>X404+Y404</ns0:f>
        <ns0:v>678351.1450476144</ns0:v>
      </ns0:c>
      <ns0:c r="AA404" s="7">
        <ns0:f>IF(T404&gt;=0,A404,1001)</ns0:f>
        <ns0:v>400</ns0:v>
      </ns0:c>
      <ns0:c r="AB404" s="7">
        <ns0:f>IF(T404&lt;0,A404,0)</ns0:f>
        <ns0:v>0</ns0:v>
      </ns0:c>
      <ns0:c r="AC404" s="16">
        <ns0:f>IF(AND(OR('前提と出典'!$C$36+'前提と出典'!$C$38=0,R404&gt;=0),OR('前提と出典'!$C$37+'前提と出典'!$C$38=0,S404&gt;=0)),0,A404)</ns0:f>
        <ns0:v>0</ns0:v>
      </ns0:c>
      <ns0:c r="AD404" s="7">
        <ns0:f>IF(W404&gt;=0,A404,1001)</ns0:f>
        <ns0:v>400</ns0:v>
      </ns0:c>
      <ns0:c r="AE404" s="7">
        <ns0:f>IF(W404&lt;0,A404,0)</ns0:f>
        <ns0:v>0</ns0:v>
      </ns0:c>
      <ns0:c r="AF404" s="16">
        <ns0:f>IF(AND(OR('前提と出典'!$C$36+'前提と出典'!$C$38=0,U404&gt;=0),OR('前提と出典'!$C$37+'前提と出典'!$C$38=0,V404&gt;=0)),0,A404)</ns0:f>
        <ns0:v>0</ns0:v>
      </ns0:c>
      <ns0:c r="AG404" s="7">
        <ns0:f>IF(Z404&gt;=0,A404,1001)</ns0:f>
        <ns0:v>400</ns0:v>
      </ns0:c>
      <ns0:c r="AH404" s="4">
        <ns0:f>IF(Z404&lt;0,A404,0)</ns0:f>
        <ns0:v>0</ns0:v>
      </ns0:c>
      <ns0:c r="AI404" s="12">
        <ns0:f>IF(AND(OR('前提と出典'!$C$36+'前提と出典'!$C$38=0,X404&gt;=0),OR('前提と出典'!$C$37+'前提と出典'!$C$38=0,Y404&gt;=0)),0,A404)</ns0:f>
        <ns0:v>0</ns0:v>
      </ns0:c>
    </ns0:row>
    <ns0:row r="405" ht="24" customHeight="1">
      <ns0:c r="A405" s="4" t="n">
        <ns0:v>401</ns0:v>
      </ns0:c>
      <ns0:c r="B405" s="12">
        <ns0:f>A405*('前提と出典'!$C$36+'前提と出典'!$C$38)</ns0:f>
        <ns0:v>280.7</ns0:v>
      </ns0:c>
      <ns0:c r="C405" s="12">
        <ns0:f>A405*('前提と出典'!$C$37+'前提と出典'!$C$38)</ns0:f>
        <ns0:v>240.6</ns0:v>
      </ns0:c>
      <ns0:c r="D405" s="16">
        <ns0:f>A405*('前提と出典'!$C$36*'契約別単価'!C5+'前提と出典'!$C$37*'契約別単価'!C6+'前提と出典'!$C$38*'契約別単価'!C7)</ns0:f>
        <ns0:v>2885.40782122905</ns0:v>
      </ns0:c>
      <ns0:c r="E405" s="16">
        <ns0:f>A405*('前提と出典'!$C$36*'契約別単価'!E5+'前提と出典'!$C$37*'契約別単価'!E6+'前提と出典'!$C$38*'契約別単価'!E7)</ns0:f>
        <ns0:v>775912.8073496787</ns0:v>
      </ns0:c>
      <ns0:c r="F405" s="16">
        <ns0:f>A405*('前提と出典'!$C$36*'契約別単価'!F5+'前提と出典'!$C$37*'契約別単価'!F6+'前提と出典'!$C$38*'契約別単価'!F7)</ns0:f>
        <ns0:v>304517.58736130624</ns0:v>
      </ns0:c>
      <ns0:c r="G405" s="16">
        <ns0:f>A405*('前提と出典'!$C$36*'契約別単価'!G5+'前提と出典'!$C$37*'契約別単価'!G6+'前提と出典'!$C$38*'契約別単価'!G7)</ns0:f>
        <ns0:v>798191.6201117318</ns0:v>
      </ns0:c>
      <ns0:c r="H405" s="16">
        <ns0:f>A405*('前提と出典'!$C$36*'契約別単価'!H5+'前提と出典'!$C$37*'契約別単価'!H6+'前提と出典'!$C$38*'契約別単価'!H7)</ns0:f>
        <ns0:v>277012.52463434485</ns0:v>
      </ns0:c>
      <ns0:c r="I405" s="16">
        <ns0:f>A405*('前提と出典'!$C$36*'契約別単価'!I5+'前提と出典'!$C$37*'契約別単価'!I6+'前提と出典'!$C$38*'契約別単価'!I7)</ns0:f>
        <ns0:v>16920.407821229048</ns0:v>
      </ns0:c>
      <ns0:c r="J405" s="16">
        <ns0:f>A405*('前提と出典'!$C$36*'契約別単価'!J5+'前提と出典'!$C$37*'契約別単価'!J6+'前提と出典'!$C$38*'契約別単価'!J7)</ns0:f>
        <ns0:v>39414.10702783133</ns0:v>
      </ns0:c>
      <ns0:c r="K405" s="16">
        <ns0:f>A405*('前提と出典'!$C$36*'契約別単価'!K5+'前提と出典'!$C$37*'契約別単価'!K6+'前提と出典'!$C$38*'契約別単価'!K7)</ns0:f>
        <ns0:v>168942.71880819366</ns0:v>
      </ns0:c>
      <ns0:c r="L405" s="16">
        <ns0:f>A405*('前提と出典'!$C$36*'契約別単価'!L5+'前提と出典'!$C$37*'契約別単価'!L6+'前提と出典'!$C$38*'契約別単価'!L7)</ns0:f>
        <ns0:v>137553.75082114481</ns0:v>
      </ns0:c>
      <ns0:c r="M405" s="16">
        <ns0:f>IF(('前提と出典'!$C$36+'前提と出典'!$C$38)=0,0,IF(B405&lt;=10,'前提と出典'!B73+'前提と出典'!C73,IF(B405&lt;=100,'前提と出典'!B74+'前提と出典'!C74,IF(B405&lt;=500,'前提と出典'!B75+'前提と出典'!C75,'前提と出典'!B76+'前提と出典'!C76))))</ns0:f>
        <ns0:v>40000</ns0:v>
      </ns0:c>
      <ns0:c r="N405" s="16">
        <ns0:f>IF(('前提と出典'!$C$37+'前提と出典'!$C$38)=0,0,IF(C405&lt;=10,'前提と出典'!D73+'前提と出典'!E73,IF(C405&lt;=100,'前提と出典'!D74+'前提と出典'!E74,IF(C405&lt;=500,'前提と出典'!D75+'前提と出典'!E75,'前提と出典'!D76+'前提と出典'!E76))))</ns0:f>
        <ns0:v>56510.9346263078</ns0:v>
      </ns0:c>
      <ns0:c r="O405" s="16">
        <ns0:f>IF('前提と出典'!$C$36+'前提と出典'!$C$38=0,0,'前提と出典'!$B$4*IF('前提と出典'!$B$20=0,MAX('前提と出典'!$B$6,D405*'前提と出典'!$B$5),'前提と出典'!$B$6+D405*'前提と出典'!$B$5))</ns0:f>
        <ns0:v>398186.27932960895</ns0:v>
      </ns0:c>
      <ns0:c r="P405" s="16">
        <ns0:f>(E405+G405)*(1-'前提と出典'!$B$7)-I405-K405-M405-O405</ns0:f>
        <ns0:v>893387.262113768</ns0:v>
      </ns0:c>
      <ns0:c r="Q405" s="16">
        <ns0:f>(F405+H405)*(1-'前提と出典'!$B$7)-J405-L405-N405</ns0:f>
        <ns0:v>327116.2354885238</ns0:v>
      </ns0:c>
      <ns0:c r="R405" s="16">
        <ns0:f>P405-E405*'前提と出典'!$E$4</ns0:f>
        <ns0:v>660613.4199088644</ns0:v>
      </ns0:c>
      <ns0:c r="S405" s="16">
        <ns0:f>Q405-F405*'前提と出典'!$E$4</ns0:f>
        <ns0:v>235760.95928013185</ns0:v>
      </ns0:c>
      <ns0:c r="T405" s="7">
        <ns0:f>R405+S405</ns0:f>
        <ns0:v>896374.3791889963</ns0:v>
      </ns0:c>
      <ns0:c r="U405" s="16">
        <ns0:f>P405-E405*'前提と出典'!$E$5</ns0:f>
        <ns0:v>583022.1391738965</ns0:v>
      </ns0:c>
      <ns0:c r="V405" s="16">
        <ns0:f>Q405-F405*'前提と出典'!$E$5</ns0:f>
        <ns0:v>205309.20054400127</ns0:v>
      </ns0:c>
      <ns0:c r="W405" s="7">
        <ns0:f>U405+V405</ns0:f>
        <ns0:v>788331.3397178978</ns0:v>
      </ns0:c>
      <ns0:c r="X405" s="16">
        <ns0:f>P405-E405*'前提と出典'!$E$6</ns0:f>
        <ns0:v>505430.8584389288</ns0:v>
      </ns0:c>
      <ns0:c r="Y405" s="16">
        <ns0:f>Q405-F405*'前提と出典'!$E$6</ns0:f>
        <ns0:v>174857.44180787067</ns0:v>
      </ns0:c>
      <ns0:c r="Z405" s="7">
        <ns0:f>X405+Y405</ns0:f>
        <ns0:v>680288.3002467995</ns0:v>
      </ns0:c>
      <ns0:c r="AA405" s="7">
        <ns0:f>IF(T405&gt;=0,A405,1001)</ns0:f>
        <ns0:v>401</ns0:v>
      </ns0:c>
      <ns0:c r="AB405" s="7">
        <ns0:f>IF(T405&lt;0,A405,0)</ns0:f>
        <ns0:v>0</ns0:v>
      </ns0:c>
      <ns0:c r="AC405" s="16">
        <ns0:f>IF(AND(OR('前提と出典'!$C$36+'前提と出典'!$C$38=0,R405&gt;=0),OR('前提と出典'!$C$37+'前提と出典'!$C$38=0,S405&gt;=0)),0,A405)</ns0:f>
        <ns0:v>0</ns0:v>
      </ns0:c>
      <ns0:c r="AD405" s="7">
        <ns0:f>IF(W405&gt;=0,A405,1001)</ns0:f>
        <ns0:v>401</ns0:v>
      </ns0:c>
      <ns0:c r="AE405" s="7">
        <ns0:f>IF(W405&lt;0,A405,0)</ns0:f>
        <ns0:v>0</ns0:v>
      </ns0:c>
      <ns0:c r="AF405" s="16">
        <ns0:f>IF(AND(OR('前提と出典'!$C$36+'前提と出典'!$C$38=0,U405&gt;=0),OR('前提と出典'!$C$37+'前提と出典'!$C$38=0,V405&gt;=0)),0,A405)</ns0:f>
        <ns0:v>0</ns0:v>
      </ns0:c>
      <ns0:c r="AG405" s="7">
        <ns0:f>IF(Z405&gt;=0,A405,1001)</ns0:f>
        <ns0:v>401</ns0:v>
      </ns0:c>
      <ns0:c r="AH405" s="4">
        <ns0:f>IF(Z405&lt;0,A405,0)</ns0:f>
        <ns0:v>0</ns0:v>
      </ns0:c>
      <ns0:c r="AI405" s="12">
        <ns0:f>IF(AND(OR('前提と出典'!$C$36+'前提と出典'!$C$38=0,X405&gt;=0),OR('前提と出典'!$C$37+'前提と出典'!$C$38=0,Y405&gt;=0)),0,A405)</ns0:f>
        <ns0:v>0</ns0:v>
      </ns0:c>
    </ns0:row>
    <ns0:row r="406" ht="24" customHeight="1">
      <ns0:c r="A406" s="4" t="n">
        <ns0:v>402</ns0:v>
      </ns0:c>
      <ns0:c r="B406" s="12">
        <ns0:f>A406*('前提と出典'!$C$36+'前提と出典'!$C$38)</ns0:f>
        <ns0:v>281.4</ns0:v>
      </ns0:c>
      <ns0:c r="C406" s="12">
        <ns0:f>A406*('前提と出典'!$C$37+'前提と出典'!$C$38)</ns0:f>
        <ns0:v>241.2</ns0:v>
      </ns0:c>
      <ns0:c r="D406" s="16">
        <ns0:f>A406*('前提と出典'!$C$36*'契約別単価'!C5+'前提と出典'!$C$37*'契約別単価'!C6+'前提と出典'!$C$38*'契約別単価'!C7)</ns0:f>
        <ns0:v>2892.603351955307</ns0:v>
      </ns0:c>
      <ns0:c r="E406" s="16">
        <ns0:f>A406*('前提と出典'!$C$36*'契約別単価'!E5+'前提と出典'!$C$37*'契約別単価'!E6+'前提と出典'!$C$38*'契約別単価'!E7)</ns0:f>
        <ns0:v>777847.7520064111</ns0:v>
      </ns0:c>
      <ns0:c r="F406" s="16">
        <ns0:f>A406*('前提と出典'!$C$36*'契約別単価'!F5+'前提と出典'!$C$37*'契約別単価'!F6+'前提と出典'!$C$38*'契約別単価'!F7)</ns0:f>
        <ns0:v>305276.9828410102</ns0:v>
      </ns0:c>
      <ns0:c r="G406" s="16">
        <ns0:f>A406*('前提と出典'!$C$36*'契約別単価'!G5+'前提と出典'!$C$37*'契約別単価'!G6+'前提と出典'!$C$38*'契約別単価'!G7)</ns0:f>
        <ns0:v>800182.1229050279</ns0:v>
      </ns0:c>
      <ns0:c r="H406" s="16">
        <ns0:f>A406*('前提と出典'!$C$36*'契約別単価'!H5+'前提と出典'!$C$37*'契約別単価'!H6+'前提と出典'!$C$38*'契約別単価'!H7)</ns0:f>
        <ns0:v>277703.32893517864</ns0:v>
      </ns0:c>
      <ns0:c r="I406" s="16">
        <ns0:f>A406*('前提と出典'!$C$36*'契約別単価'!I5+'前提と出典'!$C$37*'契約別単価'!I6+'前提と出典'!$C$38*'契約別単価'!I7)</ns0:f>
        <ns0:v>16962.603351955306</ns0:v>
      </ns0:c>
      <ns0:c r="J406" s="16">
        <ns0:f>A406*('前提と出典'!$C$36*'契約別単価'!J5+'前提と出典'!$C$37*'契約別単価'!J6+'前提と出典'!$C$38*'契約別単価'!J7)</ns0:f>
        <ns0:v>39512.396571541634</ns0:v>
      </ns0:c>
      <ns0:c r="K406" s="16">
        <ns0:f>A406*('前提と出典'!$C$36*'契約別単価'!K5+'前提と出典'!$C$37*'契約別単価'!K6+'前提と出典'!$C$38*'契約別単価'!K7)</ns0:f>
        <ns0:v>169364.0223463687</ns0:v>
      </ns0:c>
      <ns0:c r="L406" s="16">
        <ns0:f>A406*('前提と出典'!$C$36*'契約別単価'!L5+'前提と出典'!$C$37*'契約別単価'!L6+'前提と出典'!$C$38*'契約別単価'!L7)</ns0:f>
        <ns0:v>137896.77763117262</ns0:v>
      </ns0:c>
      <ns0:c r="M406" s="16">
        <ns0:f>IF(('前提と出典'!$C$36+'前提と出典'!$C$38)=0,0,IF(B406&lt;=10,'前提と出典'!B73+'前提と出典'!C73,IF(B406&lt;=100,'前提と出典'!B74+'前提と出典'!C74,IF(B406&lt;=500,'前提と出典'!B75+'前提と出典'!C75,'前提と出典'!B76+'前提と出典'!C76))))</ns0:f>
        <ns0:v>40000</ns0:v>
      </ns0:c>
      <ns0:c r="N406" s="16">
        <ns0:f>IF(('前提と出典'!$C$37+'前提と出典'!$C$38)=0,0,IF(C406&lt;=10,'前提と出典'!D73+'前提と出典'!E73,IF(C406&lt;=100,'前提と出典'!D74+'前提と出典'!E74,IF(C406&lt;=500,'前提と出典'!D75+'前提と出典'!E75,'前提と出典'!D76+'前提と出典'!E76))))</ns0:f>
        <ns0:v>56510.9346263078</ns0:v>
      </ns0:c>
      <ns0:c r="O406" s="16">
        <ns0:f>IF('前提と出典'!$C$36+'前提と出典'!$C$38=0,0,'前提と出典'!$B$4*IF('前提と出典'!$B$20=0,MAX('前提と出典'!$B$6,D406*'前提と出典'!$B$5),'前提と出典'!$B$6+D406*'前提と出典'!$B$5))</ns0:f>
        <ns0:v>399179.2625698324</ns0:v>
      </ns0:c>
      <ns0:c r="P406" s="16">
        <ns0:f>(E406+G406)*(1-'前提と出典'!$B$7)-I406-K406-M406-O406</ns0:f>
        <ns0:v>895714.9111464708</ns0:v>
      </ns0:c>
      <ns0:c r="Q406" s="16">
        <ns0:f>(F406+H406)*(1-'前提と出典'!$B$7)-J406-L406-N406</ns0:f>
        <ns0:v>328072.91172322404</ns0:v>
      </ns0:c>
      <ns0:c r="R406" s="16">
        <ns0:f>P406-E406*'前提と出典'!$E$4</ns0:f>
        <ns0:v>662360.5855445475</ns0:v>
      </ns0:c>
      <ns0:c r="S406" s="16">
        <ns0:f>Q406-F406*'前提と出典'!$E$4</ns0:f>
        <ns0:v>236489.816870921</ns0:v>
      </ns0:c>
      <ns0:c r="T406" s="7">
        <ns0:f>R406+S406</ns0:f>
        <ns0:v>898850.4024154686</ns0:v>
      </ns0:c>
      <ns0:c r="U406" s="16">
        <ns0:f>P406-E406*'前提と出典'!$E$5</ns0:f>
        <ns0:v>584575.8103439063</ns0:v>
      </ns0:c>
      <ns0:c r="V406" s="16">
        <ns0:f>Q406-F406*'前提と出典'!$E$5</ns0:f>
        <ns0:v>205962.11858681997</ns0:v>
      </ns0:c>
      <ns0:c r="W406" s="7">
        <ns0:f>U406+V406</ns0:f>
        <ns0:v>790537.9289307263</ns0:v>
      </ns0:c>
      <ns0:c r="X406" s="16">
        <ns0:f>P406-E406*'前提と出典'!$E$6</ns0:f>
        <ns0:v>506791.03514326527</ns0:v>
      </ns0:c>
      <ns0:c r="Y406" s="16">
        <ns0:f>Q406-F406*'前提と出典'!$E$6</ns0:f>
        <ns0:v>175434.42030271894</ns0:v>
      </ns0:c>
      <ns0:c r="Z406" s="7">
        <ns0:f>X406+Y406</ns0:f>
        <ns0:v>682225.4554459841</ns0:v>
      </ns0:c>
      <ns0:c r="AA406" s="7">
        <ns0:f>IF(T406&gt;=0,A406,1001)</ns0:f>
        <ns0:v>402</ns0:v>
      </ns0:c>
      <ns0:c r="AB406" s="7">
        <ns0:f>IF(T406&lt;0,A406,0)</ns0:f>
        <ns0:v>0</ns0:v>
      </ns0:c>
      <ns0:c r="AC406" s="16">
        <ns0:f>IF(AND(OR('前提と出典'!$C$36+'前提と出典'!$C$38=0,R406&gt;=0),OR('前提と出典'!$C$37+'前提と出典'!$C$38=0,S406&gt;=0)),0,A406)</ns0:f>
        <ns0:v>0</ns0:v>
      </ns0:c>
      <ns0:c r="AD406" s="7">
        <ns0:f>IF(W406&gt;=0,A406,1001)</ns0:f>
        <ns0:v>402</ns0:v>
      </ns0:c>
      <ns0:c r="AE406" s="7">
        <ns0:f>IF(W406&lt;0,A406,0)</ns0:f>
        <ns0:v>0</ns0:v>
      </ns0:c>
      <ns0:c r="AF406" s="16">
        <ns0:f>IF(AND(OR('前提と出典'!$C$36+'前提と出典'!$C$38=0,U406&gt;=0),OR('前提と出典'!$C$37+'前提と出典'!$C$38=0,V406&gt;=0)),0,A406)</ns0:f>
        <ns0:v>0</ns0:v>
      </ns0:c>
      <ns0:c r="AG406" s="7">
        <ns0:f>IF(Z406&gt;=0,A406,1001)</ns0:f>
        <ns0:v>402</ns0:v>
      </ns0:c>
      <ns0:c r="AH406" s="4">
        <ns0:f>IF(Z406&lt;0,A406,0)</ns0:f>
        <ns0:v>0</ns0:v>
      </ns0:c>
      <ns0:c r="AI406" s="12">
        <ns0:f>IF(AND(OR('前提と出典'!$C$36+'前提と出典'!$C$38=0,X406&gt;=0),OR('前提と出典'!$C$37+'前提と出典'!$C$38=0,Y406&gt;=0)),0,A406)</ns0:f>
        <ns0:v>0</ns0:v>
      </ns0:c>
    </ns0:row>
    <ns0:row r="407" ht="24" customHeight="1">
      <ns0:c r="A407" s="4" t="n">
        <ns0:v>403</ns0:v>
      </ns0:c>
      <ns0:c r="B407" s="12">
        <ns0:f>A407*('前提と出典'!$C$36+'前提と出典'!$C$38)</ns0:f>
        <ns0:v>282.09999999999997</ns0:v>
      </ns0:c>
      <ns0:c r="C407" s="12">
        <ns0:f>A407*('前提と出典'!$C$37+'前提と出典'!$C$38)</ns0:f>
        <ns0:v>241.79999999999998</ns0:v>
      </ns0:c>
      <ns0:c r="D407" s="16">
        <ns0:f>A407*('前提と出典'!$C$36*'契約別単価'!C5+'前提と出典'!$C$37*'契約別単価'!C6+'前提と出典'!$C$38*'契約別単価'!C7)</ns0:f>
        <ns0:v>2899.798882681564</ns0:v>
      </ns0:c>
      <ns0:c r="E407" s="16">
        <ns0:f>A407*('前提と出典'!$C$36*'契約別単価'!E5+'前提と出典'!$C$37*'契約別単価'!E6+'前提と出典'!$C$38*'契約別単価'!E7)</ns0:f>
        <ns0:v>779782.6966631435</ns0:v>
      </ns0:c>
      <ns0:c r="F407" s="16">
        <ns0:f>A407*('前提と出典'!$C$36*'契約別単価'!F5+'前提と出典'!$C$37*'契約別単価'!F6+'前提と出典'!$C$38*'契約別単価'!F7)</ns0:f>
        <ns0:v>306036.3783207142</ns0:v>
      </ns0:c>
      <ns0:c r="G407" s="16">
        <ns0:f>A407*('前提と出典'!$C$36*'契約別単価'!G5+'前提と出典'!$C$37*'契約別単価'!G6+'前提と出典'!$C$38*'契約別単価'!G7)</ns0:f>
        <ns0:v>802172.625698324</ns0:v>
      </ns0:c>
      <ns0:c r="H407" s="16">
        <ns0:f>A407*('前提と出典'!$C$36*'契約別単価'!H5+'前提と出典'!$C$37*'契約別単価'!H6+'前提と出典'!$C$38*'契約別単価'!H7)</ns0:f>
        <ns0:v>278394.1332360124</ns0:v>
      </ns0:c>
      <ns0:c r="I407" s="16">
        <ns0:f>A407*('前提と出典'!$C$36*'契約別単価'!I5+'前提と出典'!$C$37*'契約別単価'!I6+'前提と出典'!$C$38*'契約別単価'!I7)</ns0:f>
        <ns0:v>17004.79888268156</ns0:v>
      </ns0:c>
      <ns0:c r="J407" s="16">
        <ns0:f>A407*('前提と出典'!$C$36*'契約別単価'!J5+'前提と出典'!$C$37*'契約別単価'!J6+'前提と出典'!$C$38*'契約別単価'!J7)</ns0:f>
        <ns0:v>39610.686115251934</ns0:v>
      </ns0:c>
      <ns0:c r="K407" s="16">
        <ns0:f>A407*('前提と出典'!$C$36*'契約別単価'!K5+'前提と出典'!$C$37*'契約別単価'!K6+'前提と出典'!$C$38*'契約別単価'!K7)</ns0:f>
        <ns0:v>169785.32588454374</ns0:v>
      </ns0:c>
      <ns0:c r="L407" s="16">
        <ns0:f>A407*('前提と出典'!$C$36*'契約別単価'!L5+'前提と出典'!$C$37*'契約別単価'!L6+'前提と出典'!$C$38*'契約別単価'!L7)</ns0:f>
        <ns0:v>138239.8044412004</ns0:v>
      </ns0:c>
      <ns0:c r="M407" s="16">
        <ns0:f>IF(('前提と出典'!$C$36+'前提と出典'!$C$38)=0,0,IF(B407&lt;=10,'前提と出典'!B73+'前提と出典'!C73,IF(B407&lt;=100,'前提と出典'!B74+'前提と出典'!C74,IF(B407&lt;=500,'前提と出典'!B75+'前提と出典'!C75,'前提と出典'!B76+'前提と出典'!C76))))</ns0:f>
        <ns0:v>40000</ns0:v>
      </ns0:c>
      <ns0:c r="N407" s="16">
        <ns0:f>IF(('前提と出典'!$C$37+'前提と出典'!$C$38)=0,0,IF(C407&lt;=10,'前提と出典'!D73+'前提と出典'!E73,IF(C407&lt;=100,'前提と出典'!D74+'前提と出典'!E74,IF(C407&lt;=500,'前提と出典'!D75+'前提と出典'!E75,'前提と出典'!D76+'前提と出典'!E76))))</ns0:f>
        <ns0:v>56510.9346263078</ns0:v>
      </ns0:c>
      <ns0:c r="O407" s="16">
        <ns0:f>IF('前提と出典'!$C$36+'前提と出典'!$C$38=0,0,'前提と出典'!$B$4*IF('前提と出典'!$B$20=0,MAX('前提と出典'!$B$6,D407*'前提と出典'!$B$5),'前提と出典'!$B$6+D407*'前提と出典'!$B$5))</ns0:f>
        <ns0:v>400172.2458100559</ns0:v>
      </ns0:c>
      <ns0:c r="P407" s="16">
        <ns0:f>(E407+G407)*(1-'前提と出典'!$B$7)-I407-K407-M407-O407</ns0:f>
        <ns0:v>898042.5601791732</ns0:v>
      </ns0:c>
      <ns0:c r="Q407" s="16">
        <ns0:f>(F407+H407)*(1-'前提と出典'!$B$7)-J407-L407-N407</ns0:f>
        <ns0:v>329029.58795792435</ns0:v>
      </ns0:c>
      <ns0:c r="R407" s="16">
        <ns0:f>P407-E407*'前提と出典'!$E$4</ns0:f>
        <ns0:v>664107.7511802302</ns0:v>
      </ns0:c>
      <ns0:c r="S407" s="16">
        <ns0:f>Q407-F407*'前提と出典'!$E$4</ns0:f>
        <ns0:v>237218.67446171015</ns0:v>
      </ns0:c>
      <ns0:c r="T407" s="7">
        <ns0:f>R407+S407</ns0:f>
        <ns0:v>901326.4256419403</ns0:v>
      </ns0:c>
      <ns0:c r="U407" s="16">
        <ns0:f>P407-E407*'前提と出典'!$E$5</ns0:f>
        <ns0:v>586129.4815139159</ns0:v>
      </ns0:c>
      <ns0:c r="V407" s="16">
        <ns0:f>Q407-F407*'前提と出典'!$E$5</ns0:f>
        <ns0:v>206615.03662963863</ns0:v>
      </ns0:c>
      <ns0:c r="W407" s="7">
        <ns0:f>U407+V407</ns0:f>
        <ns0:v>792744.5181435546</ns0:v>
      </ns0:c>
      <ns0:c r="X407" s="16">
        <ns0:f>P407-E407*'前提と出典'!$E$6</ns0:f>
        <ns0:v>508151.2118476016</ns0:v>
      </ns0:c>
      <ns0:c r="Y407" s="16">
        <ns0:f>Q407-F407*'前提と出典'!$E$6</ns0:f>
        <ns0:v>176011.39879756724</ns0:v>
      </ns0:c>
      <ns0:c r="Z407" s="7">
        <ns0:f>X407+Y407</ns0:f>
        <ns0:v>684162.6106451688</ns0:v>
      </ns0:c>
      <ns0:c r="AA407" s="7">
        <ns0:f>IF(T407&gt;=0,A407,1001)</ns0:f>
        <ns0:v>403</ns0:v>
      </ns0:c>
      <ns0:c r="AB407" s="7">
        <ns0:f>IF(T407&lt;0,A407,0)</ns0:f>
        <ns0:v>0</ns0:v>
      </ns0:c>
      <ns0:c r="AC407" s="16">
        <ns0:f>IF(AND(OR('前提と出典'!$C$36+'前提と出典'!$C$38=0,R407&gt;=0),OR('前提と出典'!$C$37+'前提と出典'!$C$38=0,S407&gt;=0)),0,A407)</ns0:f>
        <ns0:v>0</ns0:v>
      </ns0:c>
      <ns0:c r="AD407" s="7">
        <ns0:f>IF(W407&gt;=0,A407,1001)</ns0:f>
        <ns0:v>403</ns0:v>
      </ns0:c>
      <ns0:c r="AE407" s="7">
        <ns0:f>IF(W407&lt;0,A407,0)</ns0:f>
        <ns0:v>0</ns0:v>
      </ns0:c>
      <ns0:c r="AF407" s="16">
        <ns0:f>IF(AND(OR('前提と出典'!$C$36+'前提と出典'!$C$38=0,U407&gt;=0),OR('前提と出典'!$C$37+'前提と出典'!$C$38=0,V407&gt;=0)),0,A407)</ns0:f>
        <ns0:v>0</ns0:v>
      </ns0:c>
      <ns0:c r="AG407" s="7">
        <ns0:f>IF(Z407&gt;=0,A407,1001)</ns0:f>
        <ns0:v>403</ns0:v>
      </ns0:c>
      <ns0:c r="AH407" s="4">
        <ns0:f>IF(Z407&lt;0,A407,0)</ns0:f>
        <ns0:v>0</ns0:v>
      </ns0:c>
      <ns0:c r="AI407" s="12">
        <ns0:f>IF(AND(OR('前提と出典'!$C$36+'前提と出典'!$C$38=0,X407&gt;=0),OR('前提と出典'!$C$37+'前提と出典'!$C$38=0,Y407&gt;=0)),0,A407)</ns0:f>
        <ns0:v>0</ns0:v>
      </ns0:c>
    </ns0:row>
    <ns0:row r="408" ht="24" customHeight="1">
      <ns0:c r="A408" s="4" t="n">
        <ns0:v>404</ns0:v>
      </ns0:c>
      <ns0:c r="B408" s="12">
        <ns0:f>A408*('前提と出典'!$C$36+'前提と出典'!$C$38)</ns0:f>
        <ns0:v>282.79999999999995</ns0:v>
      </ns0:c>
      <ns0:c r="C408" s="12">
        <ns0:f>A408*('前提と出典'!$C$37+'前提と出典'!$C$38)</ns0:f>
        <ns0:v>242.39999999999998</ns0:v>
      </ns0:c>
      <ns0:c r="D408" s="16">
        <ns0:f>A408*('前提と出典'!$C$36*'契約別単価'!C5+'前提と出典'!$C$37*'契約別単価'!C6+'前提と出典'!$C$38*'契約別単価'!C7)</ns0:f>
        <ns0:v>2906.9944134078214</ns0:v>
      </ns0:c>
      <ns0:c r="E408" s="16">
        <ns0:f>A408*('前提と出典'!$C$36*'契約別単価'!E5+'前提と出典'!$C$37*'契約別単価'!E6+'前提と出典'!$C$38*'契約別単価'!E7)</ns0:f>
        <ns0:v>781717.6413198758</ns0:v>
      </ns0:c>
      <ns0:c r="F408" s="16">
        <ns0:f>A408*('前提と出典'!$C$36*'契約別単価'!F5+'前提と出典'!$C$37*'契約別単価'!F6+'前提と出典'!$C$38*'契約別単価'!F7)</ns0:f>
        <ns0:v>306795.77380041825</ns0:v>
      </ns0:c>
      <ns0:c r="G408" s="16">
        <ns0:f>A408*('前提と出典'!$C$36*'契約別単価'!G5+'前提と出典'!$C$37*'契約別単価'!G6+'前提と出典'!$C$38*'契約別単価'!G7)</ns0:f>
        <ns0:v>804163.1284916201</ns0:v>
      </ns0:c>
      <ns0:c r="H408" s="16">
        <ns0:f>A408*('前提と出典'!$C$36*'契約別単価'!H5+'前提と出典'!$C$37*'契約別単価'!H6+'前提と出典'!$C$38*'契約別単価'!H7)</ns0:f>
        <ns0:v>279084.9375368462</ns0:v>
      </ns0:c>
      <ns0:c r="I408" s="16">
        <ns0:f>A408*('前提と出典'!$C$36*'契約別単価'!I5+'前提と出典'!$C$37*'契約別単価'!I6+'前提と出典'!$C$38*'契約別単価'!I7)</ns0:f>
        <ns0:v>17046.994413407818</ns0:v>
      </ns0:c>
      <ns0:c r="J408" s="16">
        <ns0:f>A408*('前提と出典'!$C$36*'契約別単価'!J5+'前提と出典'!$C$37*'契約別単価'!J6+'前提と出典'!$C$38*'契約別単価'!J7)</ns0:f>
        <ns0:v>39708.975658962234</ns0:v>
      </ns0:c>
      <ns0:c r="K408" s="16">
        <ns0:f>A408*('前提と出典'!$C$36*'契約別単価'!K5+'前提と出典'!$C$37*'契約別単価'!K6+'前提と出典'!$C$38*'契約別単価'!K7)</ns0:f>
        <ns0:v>170206.6294227188</ns0:v>
      </ns0:c>
      <ns0:c r="L408" s="16">
        <ns0:f>A408*('前提と出典'!$C$36*'契約別単価'!L5+'前提と出典'!$C$37*'契約別単価'!L6+'前提と出典'!$C$38*'契約別単価'!L7)</ns0:f>
        <ns0:v>138582.8312512282</ns0:v>
      </ns0:c>
      <ns0:c r="M408" s="16">
        <ns0:f>IF(('前提と出典'!$C$36+'前提と出典'!$C$38)=0,0,IF(B408&lt;=10,'前提と出典'!B73+'前提と出典'!C73,IF(B408&lt;=100,'前提と出典'!B74+'前提と出典'!C74,IF(B408&lt;=500,'前提と出典'!B75+'前提と出典'!C75,'前提と出典'!B76+'前提と出典'!C76))))</ns0:f>
        <ns0:v>40000</ns0:v>
      </ns0:c>
      <ns0:c r="N408" s="16">
        <ns0:f>IF(('前提と出典'!$C$37+'前提と出典'!$C$38)=0,0,IF(C408&lt;=10,'前提と出典'!D73+'前提と出典'!E73,IF(C408&lt;=100,'前提と出典'!D74+'前提と出典'!E74,IF(C408&lt;=500,'前提と出典'!D75+'前提と出典'!E75,'前提と出典'!D76+'前提と出典'!E76))))</ns0:f>
        <ns0:v>56510.9346263078</ns0:v>
      </ns0:c>
      <ns0:c r="O408" s="16">
        <ns0:f>IF('前提と出典'!$C$36+'前提と出典'!$C$38=0,0,'前提と出典'!$B$4*IF('前提と出典'!$B$20=0,MAX('前提と出典'!$B$6,D408*'前提と出典'!$B$5),'前提と出典'!$B$6+D408*'前提と出典'!$B$5))</ns0:f>
        <ns0:v>401165.22905027936</ns0:v>
      </ns0:c>
      <ns0:c r="P408" s="16">
        <ns0:f>(E408+G408)*(1-'前提と出典'!$B$7)-I408-K408-M408-O408</ns0:f>
        <ns0:v>900370.2092118763</ns0:v>
      </ns0:c>
      <ns0:c r="Q408" s="16">
        <ns0:f>(F408+H408)*(1-'前提と出典'!$B$7)-J408-L408-N408</ns0:f>
        <ns0:v>329986.2641926247</ns0:v>
      </ns0:c>
      <ns0:c r="R408" s="16">
        <ns0:f>P408-E408*'前提と出典'!$E$4</ns0:f>
        <ns0:v>665854.9168159135</ns0:v>
      </ns0:c>
      <ns0:c r="S408" s="16">
        <ns0:f>Q408-F408*'前提と出典'!$E$4</ns0:f>
        <ns0:v>237947.53205249924</ns0:v>
      </ns0:c>
      <ns0:c r="T408" s="7">
        <ns0:f>R408+S408</ns0:f>
        <ns0:v>903802.4488684128</ns0:v>
      </ns0:c>
      <ns0:c r="U408" s="16">
        <ns0:f>P408-E408*'前提と出典'!$E$5</ns0:f>
        <ns0:v>587683.1526839259</ns0:v>
      </ns0:c>
      <ns0:c r="V408" s="16">
        <ns0:f>Q408-F408*'前提と出典'!$E$5</ns0:f>
        <ns0:v>207267.95467245742</ns0:v>
      </ns0:c>
      <ns0:c r="W408" s="7">
        <ns0:f>U408+V408</ns0:f>
        <ns0:v>794951.1073563833</ns0:v>
      </ns0:c>
      <ns0:c r="X408" s="16">
        <ns0:f>P408-E408*'前提と出典'!$E$6</ns0:f>
        <ns0:v>509511.38855193823</ns0:v>
      </ns0:c>
      <ns0:c r="Y408" s="16">
        <ns0:f>Q408-F408*'前提と出典'!$E$6</ns0:f>
        <ns0:v>176588.37729241556</ns0:v>
      </ns0:c>
      <ns0:c r="Z408" s="7">
        <ns0:f>X408+Y408</ns0:f>
        <ns0:v>686099.7658443538</ns0:v>
      </ns0:c>
      <ns0:c r="AA408" s="7">
        <ns0:f>IF(T408&gt;=0,A408,1001)</ns0:f>
        <ns0:v>404</ns0:v>
      </ns0:c>
      <ns0:c r="AB408" s="7">
        <ns0:f>IF(T408&lt;0,A408,0)</ns0:f>
        <ns0:v>0</ns0:v>
      </ns0:c>
      <ns0:c r="AC408" s="16">
        <ns0:f>IF(AND(OR('前提と出典'!$C$36+'前提と出典'!$C$38=0,R408&gt;=0),OR('前提と出典'!$C$37+'前提と出典'!$C$38=0,S408&gt;=0)),0,A408)</ns0:f>
        <ns0:v>0</ns0:v>
      </ns0:c>
      <ns0:c r="AD408" s="7">
        <ns0:f>IF(W408&gt;=0,A408,1001)</ns0:f>
        <ns0:v>404</ns0:v>
      </ns0:c>
      <ns0:c r="AE408" s="7">
        <ns0:f>IF(W408&lt;0,A408,0)</ns0:f>
        <ns0:v>0</ns0:v>
      </ns0:c>
      <ns0:c r="AF408" s="16">
        <ns0:f>IF(AND(OR('前提と出典'!$C$36+'前提と出典'!$C$38=0,U408&gt;=0),OR('前提と出典'!$C$37+'前提と出典'!$C$38=0,V408&gt;=0)),0,A408)</ns0:f>
        <ns0:v>0</ns0:v>
      </ns0:c>
      <ns0:c r="AG408" s="7">
        <ns0:f>IF(Z408&gt;=0,A408,1001)</ns0:f>
        <ns0:v>404</ns0:v>
      </ns0:c>
      <ns0:c r="AH408" s="4">
        <ns0:f>IF(Z408&lt;0,A408,0)</ns0:f>
        <ns0:v>0</ns0:v>
      </ns0:c>
      <ns0:c r="AI408" s="12">
        <ns0:f>IF(AND(OR('前提と出典'!$C$36+'前提と出典'!$C$38=0,X408&gt;=0),OR('前提と出典'!$C$37+'前提と出典'!$C$38=0,Y408&gt;=0)),0,A408)</ns0:f>
        <ns0:v>0</ns0:v>
      </ns0:c>
    </ns0:row>
    <ns0:row r="409" ht="24" customHeight="1">
      <ns0:c r="A409" s="4" t="n">
        <ns0:v>405</ns0:v>
      </ns0:c>
      <ns0:c r="B409" s="12">
        <ns0:f>A409*('前提と出典'!$C$36+'前提と出典'!$C$38)</ns0:f>
        <ns0:v>283.5</ns0:v>
      </ns0:c>
      <ns0:c r="C409" s="12">
        <ns0:f>A409*('前提と出典'!$C$37+'前提と出典'!$C$38)</ns0:f>
        <ns0:v>243</ns0:v>
      </ns0:c>
      <ns0:c r="D409" s="16">
        <ns0:f>A409*('前提と出典'!$C$36*'契約別単価'!C5+'前提と出典'!$C$37*'契約別単価'!C6+'前提と出典'!$C$38*'契約別単価'!C7)</ns0:f>
        <ns0:v>2914.1899441340784</ns0:v>
      </ns0:c>
      <ns0:c r="E409" s="16">
        <ns0:f>A409*('前提と出典'!$C$36*'契約別単価'!E5+'前提と出典'!$C$37*'契約別単価'!E6+'前提と出典'!$C$38*'契約別単価'!E7)</ns0:f>
        <ns0:v>783652.5859766082</ns0:v>
      </ns0:c>
      <ns0:c r="F409" s="16">
        <ns0:f>A409*('前提と出典'!$C$36*'契約別単価'!F5+'前提と出典'!$C$37*'契約別単価'!F6+'前提と出典'!$C$38*'契約別単価'!F7)</ns0:f>
        <ns0:v>307555.16928012227</ns0:v>
      </ns0:c>
      <ns0:c r="G409" s="16">
        <ns0:f>A409*('前提と出典'!$C$36*'契約別単価'!G5+'前提と出典'!$C$37*'契約別単価'!G6+'前提と出典'!$C$38*'契約別単価'!G7)</ns0:f>
        <ns0:v>806153.6312849162</ns0:v>
      </ns0:c>
      <ns0:c r="H409" s="16">
        <ns0:f>A409*('前提と出典'!$C$36*'契約別単価'!H5+'前提と出典'!$C$37*'契約別単価'!H6+'前提と出典'!$C$38*'契約別単価'!H7)</ns0:f>
        <ns0:v>279775.74183768</ns0:v>
      </ns0:c>
      <ns0:c r="I409" s="16">
        <ns0:f>A409*('前提と出典'!$C$36*'契約別単価'!I5+'前提と出典'!$C$37*'契約別単価'!I6+'前提と出典'!$C$38*'契約別単価'!I7)</ns0:f>
        <ns0:v>17089.189944134076</ns0:v>
      </ns0:c>
      <ns0:c r="J409" s="16">
        <ns0:f>A409*('前提と出典'!$C$36*'契約別単価'!J5+'前提と出典'!$C$37*'契約別単価'!J6+'前提と出典'!$C$38*'契約別単価'!J7)</ns0:f>
        <ns0:v>39807.26520267254</ns0:v>
      </ns0:c>
      <ns0:c r="K409" s="16">
        <ns0:f>A409*('前提と出典'!$C$36*'契約別単価'!K5+'前提と出典'!$C$37*'契約別単価'!K6+'前提と出典'!$C$38*'契約別単価'!K7)</ns0:f>
        <ns0:v>170627.93296089384</ns0:v>
      </ns0:c>
      <ns0:c r="L409" s="16">
        <ns0:f>A409*('前提と出典'!$C$36*'契約別単価'!L5+'前提と出典'!$C$37*'契約別単価'!L6+'前提と出典'!$C$38*'契約別単価'!L7)</ns0:f>
        <ns0:v>138925.858061256</ns0:v>
      </ns0:c>
      <ns0:c r="M409" s="16">
        <ns0:f>IF(('前提と出典'!$C$36+'前提と出典'!$C$38)=0,0,IF(B409&lt;=10,'前提と出典'!B73+'前提と出典'!C73,IF(B409&lt;=100,'前提と出典'!B74+'前提と出典'!C74,IF(B409&lt;=500,'前提と出典'!B75+'前提と出典'!C75,'前提と出典'!B76+'前提と出典'!C76))))</ns0:f>
        <ns0:v>40000</ns0:v>
      </ns0:c>
      <ns0:c r="N409" s="16">
        <ns0:f>IF(('前提と出典'!$C$37+'前提と出典'!$C$38)=0,0,IF(C409&lt;=10,'前提と出典'!D73+'前提と出典'!E73,IF(C409&lt;=100,'前提と出典'!D74+'前提と出典'!E74,IF(C409&lt;=500,'前提と出典'!D75+'前提と出典'!E75,'前提と出典'!D76+'前提と出典'!E76))))</ns0:f>
        <ns0:v>56510.9346263078</ns0:v>
      </ns0:c>
      <ns0:c r="O409" s="16">
        <ns0:f>IF('前提と出典'!$C$36+'前提と出典'!$C$38=0,0,'前提と出典'!$B$4*IF('前提と出典'!$B$20=0,MAX('前提と出典'!$B$6,D409*'前提と出典'!$B$5),'前提と出典'!$B$6+D409*'前提と出典'!$B$5))</ns0:f>
        <ns0:v>402158.2122905028</ns0:v>
      </ns0:c>
      <ns0:c r="P409" s="16">
        <ns0:f>(E409+G409)*(1-'前提と出典'!$B$7)-I409-K409-M409-O409</ns0:f>
        <ns0:v>902697.8582445788</ns0:v>
      </ns0:c>
      <ns0:c r="Q409" s="16">
        <ns0:f>(F409+H409)*(1-'前提と出典'!$B$7)-J409-L409-N409</ns0:f>
        <ns0:v>330942.9404273251</ns0:v>
      </ns0:c>
      <ns0:c r="R409" s="16">
        <ns0:f>P409-E409*'前提と出典'!$E$4</ns0:f>
        <ns0:v>667602.0824515962</ns0:v>
      </ns0:c>
      <ns0:c r="S409" s="16">
        <ns0:f>Q409-F409*'前提と出典'!$E$4</ns0:f>
        <ns0:v>238676.38964328833</ns0:v>
      </ns0:c>
      <ns0:c r="T409" s="7">
        <ns0:f>R409+S409</ns0:f>
        <ns0:v>906278.4720948845</ns0:v>
      </ns0:c>
      <ns0:c r="U409" s="16">
        <ns0:f>P409-E409*'前提と出典'!$E$5</ns0:f>
        <ns0:v>589236.8238539356</ns0:v>
      </ns0:c>
      <ns0:c r="V409" s="16">
        <ns0:f>Q409-F409*'前提と出典'!$E$5</ns0:f>
        <ns0:v>207920.8727152762</ns0:v>
      </ns0:c>
      <ns0:c r="W409" s="7">
        <ns0:f>U409+V409</ns0:f>
        <ns0:v>797157.6965692118</ns0:v>
      </ns0:c>
      <ns0:c r="X409" s="16">
        <ns0:f>P409-E409*'前提と出典'!$E$6</ns0:f>
        <ns0:v>510871.5652562747</ns0:v>
      </ns0:c>
      <ns0:c r="Y409" s="16">
        <ns0:f>Q409-F409*'前提と出典'!$E$6</ns0:f>
        <ns0:v>177165.35578726395</ns0:v>
      </ns0:c>
      <ns0:c r="Z409" s="7">
        <ns0:f>X409+Y409</ns0:f>
        <ns0:v>688036.9210435387</ns0:v>
      </ns0:c>
      <ns0:c r="AA409" s="7">
        <ns0:f>IF(T409&gt;=0,A409,1001)</ns0:f>
        <ns0:v>405</ns0:v>
      </ns0:c>
      <ns0:c r="AB409" s="7">
        <ns0:f>IF(T409&lt;0,A409,0)</ns0:f>
        <ns0:v>0</ns0:v>
      </ns0:c>
      <ns0:c r="AC409" s="16">
        <ns0:f>IF(AND(OR('前提と出典'!$C$36+'前提と出典'!$C$38=0,R409&gt;=0),OR('前提と出典'!$C$37+'前提と出典'!$C$38=0,S409&gt;=0)),0,A409)</ns0:f>
        <ns0:v>0</ns0:v>
      </ns0:c>
      <ns0:c r="AD409" s="7">
        <ns0:f>IF(W409&gt;=0,A409,1001)</ns0:f>
        <ns0:v>405</ns0:v>
      </ns0:c>
      <ns0:c r="AE409" s="7">
        <ns0:f>IF(W409&lt;0,A409,0)</ns0:f>
        <ns0:v>0</ns0:v>
      </ns0:c>
      <ns0:c r="AF409" s="16">
        <ns0:f>IF(AND(OR('前提と出典'!$C$36+'前提と出典'!$C$38=0,U409&gt;=0),OR('前提と出典'!$C$37+'前提と出典'!$C$38=0,V409&gt;=0)),0,A409)</ns0:f>
        <ns0:v>0</ns0:v>
      </ns0:c>
      <ns0:c r="AG409" s="7">
        <ns0:f>IF(Z409&gt;=0,A409,1001)</ns0:f>
        <ns0:v>405</ns0:v>
      </ns0:c>
      <ns0:c r="AH409" s="4">
        <ns0:f>IF(Z409&lt;0,A409,0)</ns0:f>
        <ns0:v>0</ns0:v>
      </ns0:c>
      <ns0:c r="AI409" s="12">
        <ns0:f>IF(AND(OR('前提と出典'!$C$36+'前提と出典'!$C$38=0,X409&gt;=0),OR('前提と出典'!$C$37+'前提と出典'!$C$38=0,Y409&gt;=0)),0,A409)</ns0:f>
        <ns0:v>0</ns0:v>
      </ns0:c>
    </ns0:row>
    <ns0:row r="410" ht="24" customHeight="1">
      <ns0:c r="A410" s="4" t="n">
        <ns0:v>406</ns0:v>
      </ns0:c>
      <ns0:c r="B410" s="12">
        <ns0:f>A410*('前提と出典'!$C$36+'前提と出典'!$C$38)</ns0:f>
        <ns0:v>284.2</ns0:v>
      </ns0:c>
      <ns0:c r="C410" s="12">
        <ns0:f>A410*('前提と出典'!$C$37+'前提と出典'!$C$38)</ns0:f>
        <ns0:v>243.6</ns0:v>
      </ns0:c>
      <ns0:c r="D410" s="16">
        <ns0:f>A410*('前提と出典'!$C$36*'契約別単価'!C5+'前提と出典'!$C$37*'契約別単価'!C6+'前提と出典'!$C$38*'契約別単価'!C7)</ns0:f>
        <ns0:v>2921.3854748603353</ns0:v>
      </ns0:c>
      <ns0:c r="E410" s="16">
        <ns0:f>A410*('前提と出典'!$C$36*'契約別単価'!E5+'前提と出典'!$C$37*'契約別単価'!E6+'前提と出典'!$C$38*'契約別単価'!E7)</ns0:f>
        <ns0:v>785587.5306333406</ns0:v>
      </ns0:c>
      <ns0:c r="F410" s="16">
        <ns0:f>A410*('前提と出典'!$C$36*'契約別単価'!F5+'前提と出典'!$C$37*'契約別単価'!F6+'前提と出典'!$C$38*'契約別単価'!F7)</ns0:f>
        <ns0:v>308314.56475982623</ns0:v>
      </ns0:c>
      <ns0:c r="G410" s="16">
        <ns0:f>A410*('前提と出典'!$C$36*'契約別単価'!G5+'前提と出典'!$C$37*'契約別単価'!G6+'前提と出典'!$C$38*'契約別単価'!G7)</ns0:f>
        <ns0:v>808144.1340782122</ns0:v>
      </ns0:c>
      <ns0:c r="H410" s="16">
        <ns0:f>A410*('前提と出典'!$C$36*'契約別単価'!H5+'前提と出典'!$C$37*'契約別単価'!H6+'前提と出典'!$C$38*'契約別単価'!H7)</ns0:f>
        <ns0:v>280466.5461385137</ns0:v>
      </ns0:c>
      <ns0:c r="I410" s="16">
        <ns0:f>A410*('前提と出典'!$C$36*'契約別単価'!I5+'前提と出典'!$C$37*'契約別単価'!I6+'前提と出典'!$C$38*'契約別単価'!I7)</ns0:f>
        <ns0:v>17131.385474860333</ns0:v>
      </ns0:c>
      <ns0:c r="J410" s="16">
        <ns0:f>A410*('前提と出典'!$C$36*'契約別単価'!J5+'前提と出典'!$C$37*'契約別単価'!J6+'前提と出典'!$C$38*'契約別単価'!J7)</ns0:f>
        <ns0:v>39905.55474638284</ns0:v>
      </ns0:c>
      <ns0:c r="K410" s="16">
        <ns0:f>A410*('前提と出典'!$C$36*'契約別単価'!K5+'前提と出典'!$C$37*'契約別単価'!K6+'前提と出典'!$C$38*'契約別単価'!K7)</ns0:f>
        <ns0:v>171049.23649906888</ns0:v>
      </ns0:c>
      <ns0:c r="L410" s="16">
        <ns0:f>A410*('前提と出典'!$C$36*'契約別単価'!L5+'前提と出典'!$C$37*'契約別単価'!L6+'前提と出典'!$C$38*'契約別単価'!L7)</ns0:f>
        <ns0:v>139268.88487128378</ns0:v>
      </ns0:c>
      <ns0:c r="M410" s="16">
        <ns0:f>IF(('前提と出典'!$C$36+'前提と出典'!$C$38)=0,0,IF(B410&lt;=10,'前提と出典'!B73+'前提と出典'!C73,IF(B410&lt;=100,'前提と出典'!B74+'前提と出典'!C74,IF(B410&lt;=500,'前提と出典'!B75+'前提と出典'!C75,'前提と出典'!B76+'前提と出典'!C76))))</ns0:f>
        <ns0:v>40000</ns0:v>
      </ns0:c>
      <ns0:c r="N410" s="16">
        <ns0:f>IF(('前提と出典'!$C$37+'前提と出典'!$C$38)=0,0,IF(C410&lt;=10,'前提と出典'!D73+'前提と出典'!E73,IF(C410&lt;=100,'前提と出典'!D74+'前提と出典'!E74,IF(C410&lt;=500,'前提と出典'!D75+'前提と出典'!E75,'前提と出典'!D76+'前提と出典'!E76))))</ns0:f>
        <ns0:v>56510.9346263078</ns0:v>
      </ns0:c>
      <ns0:c r="O410" s="16">
        <ns0:f>IF('前提と出典'!$C$36+'前提と出典'!$C$38=0,0,'前提と出典'!$B$4*IF('前提と出典'!$B$20=0,MAX('前提と出典'!$B$6,D410*'前提と出典'!$B$5),'前提と出典'!$B$6+D410*'前提と出典'!$B$5))</ns0:f>
        <ns0:v>403151.1955307263</ns0:v>
      </ns0:c>
      <ns0:c r="P410" s="16">
        <ns0:f>(E410+G410)*(1-'前提と出典'!$B$7)-I410-K410-M410-O410</ns0:f>
        <ns0:v>905025.5072772814</ns0:v>
      </ns0:c>
      <ns0:c r="Q410" s="16">
        <ns0:f>(F410+H410)*(1-'前提と出典'!$B$7)-J410-L410-N410</ns0:f>
        <ns0:v>331899.6166620252</ns0:v>
      </ns0:c>
      <ns0:c r="R410" s="16">
        <ns0:f>P410-E410*'前提と出典'!$E$4</ns0:f>
        <ns0:v>669349.248087279</ns0:v>
      </ns0:c>
      <ns0:c r="S410" s="16">
        <ns0:f>Q410-F410*'前提と出典'!$E$4</ns0:f>
        <ns0:v>239405.24723407743</ns0:v>
      </ns0:c>
      <ns0:c r="T410" s="7">
        <ns0:f>R410+S410</ns0:f>
        <ns0:v>908754.4953213565</ns0:v>
      </ns0:c>
      <ns0:c r="U410" s="16">
        <ns0:f>P410-E410*'前提と出典'!$E$5</ns0:f>
        <ns0:v>590790.4950239451</ns0:v>
      </ns0:c>
      <ns0:c r="V410" s="16">
        <ns0:f>Q410-F410*'前提と出典'!$E$5</ns0:f>
        <ns0:v>208573.79075809475</ns0:v>
      </ns0:c>
      <ns0:c r="W410" s="7">
        <ns0:f>U410+V410</ns0:f>
        <ns0:v>799364.2857820399</ns0:v>
      </ns0:c>
      <ns0:c r="X410" s="16">
        <ns0:f>P410-E410*'前提と出典'!$E$6</ns0:f>
        <ns0:v>512231.7419606109</ns0:v>
      </ns0:c>
      <ns0:c r="Y410" s="16">
        <ns0:f>Q410-F410*'前提と出典'!$E$6</ns0:f>
        <ns0:v>177742.33428211208</ns0:v>
      </ns0:c>
      <ns0:c r="Z410" s="7">
        <ns0:f>X410+Y410</ns0:f>
        <ns0:v>689974.076242723</ns0:v>
      </ns0:c>
      <ns0:c r="AA410" s="7">
        <ns0:f>IF(T410&gt;=0,A410,1001)</ns0:f>
        <ns0:v>406</ns0:v>
      </ns0:c>
      <ns0:c r="AB410" s="7">
        <ns0:f>IF(T410&lt;0,A410,0)</ns0:f>
        <ns0:v>0</ns0:v>
      </ns0:c>
      <ns0:c r="AC410" s="16">
        <ns0:f>IF(AND(OR('前提と出典'!$C$36+'前提と出典'!$C$38=0,R410&gt;=0),OR('前提と出典'!$C$37+'前提と出典'!$C$38=0,S410&gt;=0)),0,A410)</ns0:f>
        <ns0:v>0</ns0:v>
      </ns0:c>
      <ns0:c r="AD410" s="7">
        <ns0:f>IF(W410&gt;=0,A410,1001)</ns0:f>
        <ns0:v>406</ns0:v>
      </ns0:c>
      <ns0:c r="AE410" s="7">
        <ns0:f>IF(W410&lt;0,A410,0)</ns0:f>
        <ns0:v>0</ns0:v>
      </ns0:c>
      <ns0:c r="AF410" s="16">
        <ns0:f>IF(AND(OR('前提と出典'!$C$36+'前提と出典'!$C$38=0,U410&gt;=0),OR('前提と出典'!$C$37+'前提と出典'!$C$38=0,V410&gt;=0)),0,A410)</ns0:f>
        <ns0:v>0</ns0:v>
      </ns0:c>
      <ns0:c r="AG410" s="7">
        <ns0:f>IF(Z410&gt;=0,A410,1001)</ns0:f>
        <ns0:v>406</ns0:v>
      </ns0:c>
      <ns0:c r="AH410" s="4">
        <ns0:f>IF(Z410&lt;0,A410,0)</ns0:f>
        <ns0:v>0</ns0:v>
      </ns0:c>
      <ns0:c r="AI410" s="12">
        <ns0:f>IF(AND(OR('前提と出典'!$C$36+'前提と出典'!$C$38=0,X410&gt;=0),OR('前提と出典'!$C$37+'前提と出典'!$C$38=0,Y410&gt;=0)),0,A410)</ns0:f>
        <ns0:v>0</ns0:v>
      </ns0:c>
    </ns0:row>
    <ns0:row r="411" ht="24" customHeight="1">
      <ns0:c r="A411" s="4" t="n">
        <ns0:v>407</ns0:v>
      </ns0:c>
      <ns0:c r="B411" s="12">
        <ns0:f>A411*('前提と出典'!$C$36+'前提と出典'!$C$38)</ns0:f>
        <ns0:v>284.9</ns0:v>
      </ns0:c>
      <ns0:c r="C411" s="12">
        <ns0:f>A411*('前提と出典'!$C$37+'前提と出典'!$C$38)</ns0:f>
        <ns0:v>244.2</ns0:v>
      </ns0:c>
      <ns0:c r="D411" s="16">
        <ns0:f>A411*('前提と出典'!$C$36*'契約別単価'!C5+'前提と出典'!$C$37*'契約別単価'!C6+'前提と出典'!$C$38*'契約別単価'!C7)</ns0:f>
        <ns0:v>2928.5810055865923</ns0:v>
      </ns0:c>
      <ns0:c r="E411" s="16">
        <ns0:f>A411*('前提と出典'!$C$36*'契約別単価'!E5+'前提と出典'!$C$37*'契約別単価'!E6+'前提と出典'!$C$38*'契約別単価'!E7)</ns0:f>
        <ns0:v>787522.475290073</ns0:v>
      </ns0:c>
      <ns0:c r="F411" s="16">
        <ns0:f>A411*('前提と出典'!$C$36*'契約別単価'!F5+'前提と出典'!$C$37*'契約別単価'!F6+'前提と出典'!$C$38*'契約別単価'!F7)</ns0:f>
        <ns0:v>309073.96023953025</ns0:v>
      </ns0:c>
      <ns0:c r="G411" s="16">
        <ns0:f>A411*('前提と出典'!$C$36*'契約別単価'!G5+'前提と出典'!$C$37*'契約別単価'!G6+'前提と出典'!$C$38*'契約別単価'!G7)</ns0:f>
        <ns0:v>810134.6368715083</ns0:v>
      </ns0:c>
      <ns0:c r="H411" s="16">
        <ns0:f>A411*('前提と出典'!$C$36*'契約別単価'!H5+'前提と出典'!$C$37*'契約別単価'!H6+'前提と出典'!$C$38*'契約別単価'!H7)</ns0:f>
        <ns0:v>281157.3504393475</ns0:v>
      </ns0:c>
      <ns0:c r="I411" s="16">
        <ns0:f>A411*('前提と出典'!$C$36*'契約別単価'!I5+'前提と出典'!$C$37*'契約別単価'!I6+'前提と出典'!$C$38*'契約別単価'!I7)</ns0:f>
        <ns0:v>17173.581005586588</ns0:v>
      </ns0:c>
      <ns0:c r="J411" s="16">
        <ns0:f>A411*('前提と出典'!$C$36*'契約別単価'!J5+'前提と出典'!$C$37*'契約別単価'!J6+'前提と出典'!$C$38*'契約別単価'!J7)</ns0:f>
        <ns0:v>40003.84429009315</ns0:v>
      </ns0:c>
      <ns0:c r="K411" s="16">
        <ns0:f>A411*('前提と出典'!$C$36*'契約別単価'!K5+'前提と出典'!$C$37*'契約別単価'!K6+'前提と出典'!$C$38*'契約別単価'!K7)</ns0:f>
        <ns0:v>171470.54003724395</ns0:v>
      </ns0:c>
      <ns0:c r="L411" s="16">
        <ns0:f>A411*('前提と出典'!$C$36*'契約別単価'!L5+'前提と出典'!$C$37*'契約別単価'!L6+'前提と出典'!$C$38*'契約別単価'!L7)</ns0:f>
        <ns0:v>139611.91168131158</ns0:v>
      </ns0:c>
      <ns0:c r="M411" s="16">
        <ns0:f>IF(('前提と出典'!$C$36+'前提と出典'!$C$38)=0,0,IF(B411&lt;=10,'前提と出典'!B73+'前提と出典'!C73,IF(B411&lt;=100,'前提と出典'!B74+'前提と出典'!C74,IF(B411&lt;=500,'前提と出典'!B75+'前提と出典'!C75,'前提と出典'!B76+'前提と出典'!C76))))</ns0:f>
        <ns0:v>40000</ns0:v>
      </ns0:c>
      <ns0:c r="N411" s="16">
        <ns0:f>IF(('前提と出典'!$C$37+'前提と出典'!$C$38)=0,0,IF(C411&lt;=10,'前提と出典'!D73+'前提と出典'!E73,IF(C411&lt;=100,'前提と出典'!D74+'前提と出典'!E74,IF(C411&lt;=500,'前提と出典'!D75+'前提と出典'!E75,'前提と出典'!D76+'前提と出典'!E76))))</ns0:f>
        <ns0:v>56510.9346263078</ns0:v>
      </ns0:c>
      <ns0:c r="O411" s="16">
        <ns0:f>IF('前提と出典'!$C$36+'前提と出典'!$C$38=0,0,'前提と出典'!$B$4*IF('前提と出典'!$B$20=0,MAX('前提と出典'!$B$6,D411*'前提と出典'!$B$5),'前提と出典'!$B$6+D411*'前提と出典'!$B$5))</ns0:f>
        <ns0:v>404144.1787709498</ns0:v>
      </ns0:c>
      <ns0:c r="P411" s="16">
        <ns0:f>(E411+G411)*(1-'前提と出典'!$B$7)-I411-K411-M411-O411</ns0:f>
        <ns0:v>907353.1563099842</ns0:v>
      </ns0:c>
      <ns0:c r="Q411" s="16">
        <ns0:f>(F411+H411)*(1-'前提と出典'!$B$7)-J411-L411-N411</ns0:f>
        <ns0:v>332856.29289672564</ns0:v>
      </ns0:c>
      <ns0:c r="R411" s="16">
        <ns0:f>P411-E411*'前提と出典'!$E$4</ns0:f>
        <ns0:v>671096.4137229624</ns0:v>
      </ns0:c>
      <ns0:c r="S411" s="16">
        <ns0:f>Q411-F411*'前提と出典'!$E$4</ns0:f>
        <ns0:v>240134.10482486652</ns0:v>
      </ns0:c>
      <ns0:c r="T411" s="7">
        <ns0:f>R411+S411</ns0:f>
        <ns0:v>911230.5185478289</ns0:v>
      </ns0:c>
      <ns0:c r="U411" s="16">
        <ns0:f>P411-E411*'前提と出典'!$E$5</ns0:f>
        <ns0:v>592344.1661939549</ns0:v>
      </ns0:c>
      <ns0:c r="V411" s="16">
        <ns0:f>Q411-F411*'前提と出典'!$E$5</ns0:f>
        <ns0:v>209226.70880091353</ns0:v>
      </ns0:c>
      <ns0:c r="W411" s="7">
        <ns0:f>U411+V411</ns0:f>
        <ns0:v>801570.8749948684</ns0:v>
      </ns0:c>
      <ns0:c r="X411" s="16">
        <ns0:f>P411-E411*'前提と出典'!$E$6</ns0:f>
        <ns0:v>513591.91866494756</ns0:v>
      </ns0:c>
      <ns0:c r="Y411" s="16">
        <ns0:f>Q411-F411*'前提と出典'!$E$6</ns0:f>
        <ns0:v>178319.31277696046</ns0:v>
      </ns0:c>
      <ns0:c r="Z411" s="7">
        <ns0:f>X411+Y411</ns0:f>
        <ns0:v>691911.231441908</ns0:v>
      </ns0:c>
      <ns0:c r="AA411" s="7">
        <ns0:f>IF(T411&gt;=0,A411,1001)</ns0:f>
        <ns0:v>407</ns0:v>
      </ns0:c>
      <ns0:c r="AB411" s="7">
        <ns0:f>IF(T411&lt;0,A411,0)</ns0:f>
        <ns0:v>0</ns0:v>
      </ns0:c>
      <ns0:c r="AC411" s="16">
        <ns0:f>IF(AND(OR('前提と出典'!$C$36+'前提と出典'!$C$38=0,R411&gt;=0),OR('前提と出典'!$C$37+'前提と出典'!$C$38=0,S411&gt;=0)),0,A411)</ns0:f>
        <ns0:v>0</ns0:v>
      </ns0:c>
      <ns0:c r="AD411" s="7">
        <ns0:f>IF(W411&gt;=0,A411,1001)</ns0:f>
        <ns0:v>407</ns0:v>
      </ns0:c>
      <ns0:c r="AE411" s="7">
        <ns0:f>IF(W411&lt;0,A411,0)</ns0:f>
        <ns0:v>0</ns0:v>
      </ns0:c>
      <ns0:c r="AF411" s="16">
        <ns0:f>IF(AND(OR('前提と出典'!$C$36+'前提と出典'!$C$38=0,U411&gt;=0),OR('前提と出典'!$C$37+'前提と出典'!$C$38=0,V411&gt;=0)),0,A411)</ns0:f>
        <ns0:v>0</ns0:v>
      </ns0:c>
      <ns0:c r="AG411" s="7">
        <ns0:f>IF(Z411&gt;=0,A411,1001)</ns0:f>
        <ns0:v>407</ns0:v>
      </ns0:c>
      <ns0:c r="AH411" s="4">
        <ns0:f>IF(Z411&lt;0,A411,0)</ns0:f>
        <ns0:v>0</ns0:v>
      </ns0:c>
      <ns0:c r="AI411" s="12">
        <ns0:f>IF(AND(OR('前提と出典'!$C$36+'前提と出典'!$C$38=0,X411&gt;=0),OR('前提と出典'!$C$37+'前提と出典'!$C$38=0,Y411&gt;=0)),0,A411)</ns0:f>
        <ns0:v>0</ns0:v>
      </ns0:c>
    </ns0:row>
    <ns0:row r="412" ht="24" customHeight="1">
      <ns0:c r="A412" s="4" t="n">
        <ns0:v>408</ns0:v>
      </ns0:c>
      <ns0:c r="B412" s="12">
        <ns0:f>A412*('前提と出典'!$C$36+'前提と出典'!$C$38)</ns0:f>
        <ns0:v>285.59999999999997</ns0:v>
      </ns0:c>
      <ns0:c r="C412" s="12">
        <ns0:f>A412*('前提と出典'!$C$37+'前提と出典'!$C$38)</ns0:f>
        <ns0:v>244.79999999999998</ns0:v>
      </ns0:c>
      <ns0:c r="D412" s="16">
        <ns0:f>A412*('前提と出典'!$C$36*'契約別単価'!C5+'前提と出典'!$C$37*'契約別単価'!C6+'前提と出典'!$C$38*'契約別単価'!C7)</ns0:f>
        <ns0:v>2935.776536312849</ns0:v>
      </ns0:c>
      <ns0:c r="E412" s="16">
        <ns0:f>A412*('前提と出典'!$C$36*'契約別単価'!E5+'前提と出典'!$C$37*'契約別単価'!E6+'前提と出典'!$C$38*'契約別単価'!E7)</ns0:f>
        <ns0:v>789457.4199468053</ns0:v>
      </ns0:c>
      <ns0:c r="F412" s="16">
        <ns0:f>A412*('前提と出典'!$C$36*'契約別単価'!F5+'前提と出典'!$C$37*'契約別単価'!F6+'前提と出典'!$C$38*'契約別単価'!F7)</ns0:f>
        <ns0:v>309833.35571923427</ns0:v>
      </ns0:c>
      <ns0:c r="G412" s="16">
        <ns0:f>A412*('前提と出典'!$C$36*'契約別単価'!G5+'前提と出典'!$C$37*'契約別単価'!G6+'前提と出典'!$C$38*'契約別単価'!G7)</ns0:f>
        <ns0:v>812125.1396648044</ns0:v>
      </ns0:c>
      <ns0:c r="H412" s="16">
        <ns0:f>A412*('前提と出典'!$C$36*'契約別単価'!H5+'前提と出典'!$C$37*'契約別単価'!H6+'前提と出典'!$C$38*'契約別単価'!H7)</ns0:f>
        <ns0:v>281848.1547401813</ns0:v>
      </ns0:c>
      <ns0:c r="I412" s="16">
        <ns0:f>A412*('前提と出典'!$C$36*'契約別単価'!I5+'前提と出典'!$C$37*'契約別単価'!I6+'前提と出典'!$C$38*'契約別単価'!I7)</ns0:f>
        <ns0:v>17215.776536312846</ns0:v>
      </ns0:c>
      <ns0:c r="J412" s="16">
        <ns0:f>A412*('前提と出典'!$C$36*'契約別単価'!J5+'前提と出典'!$C$37*'契約別単価'!J6+'前提と出典'!$C$38*'契約別単価'!J7)</ns0:f>
        <ns0:v>40102.13383380345</ns0:v>
      </ns0:c>
      <ns0:c r="K412" s="16">
        <ns0:f>A412*('前提と出典'!$C$36*'契約別単価'!K5+'前提と出典'!$C$37*'契約別単価'!K6+'前提と出典'!$C$38*'契約別単価'!K7)</ns0:f>
        <ns0:v>171891.84357541898</ns0:v>
      </ns0:c>
      <ns0:c r="L412" s="16">
        <ns0:f>A412*('前提と出典'!$C$36*'契約別単価'!L5+'前提と出典'!$C$37*'契約別単価'!L6+'前提と出典'!$C$38*'契約別単価'!L7)</ns0:f>
        <ns0:v>139954.93849133936</ns0:v>
      </ns0:c>
      <ns0:c r="M412" s="16">
        <ns0:f>IF(('前提と出典'!$C$36+'前提と出典'!$C$38)=0,0,IF(B412&lt;=10,'前提と出典'!B73+'前提と出典'!C73,IF(B412&lt;=100,'前提と出典'!B74+'前提と出典'!C74,IF(B412&lt;=500,'前提と出典'!B75+'前提と出典'!C75,'前提と出典'!B76+'前提と出典'!C76))))</ns0:f>
        <ns0:v>40000</ns0:v>
      </ns0:c>
      <ns0:c r="N412" s="16">
        <ns0:f>IF(('前提と出典'!$C$37+'前提と出典'!$C$38)=0,0,IF(C412&lt;=10,'前提と出典'!D73+'前提と出典'!E73,IF(C412&lt;=100,'前提と出典'!D74+'前提と出典'!E74,IF(C412&lt;=500,'前提と出典'!D75+'前提と出典'!E75,'前提と出典'!D76+'前提と出典'!E76))))</ns0:f>
        <ns0:v>56510.9346263078</ns0:v>
      </ns0:c>
      <ns0:c r="O412" s="16">
        <ns0:f>IF('前提と出典'!$C$36+'前提と出典'!$C$38=0,0,'前提と出典'!$B$4*IF('前提と出典'!$B$20=0,MAX('前提と出典'!$B$6,D412*'前提と出典'!$B$5),'前提と出典'!$B$6+D412*'前提と出典'!$B$5))</ns0:f>
        <ns0:v>405137.1620111732</ns0:v>
      </ns0:c>
      <ns0:c r="P412" s="16">
        <ns0:f>(E412+G412)*(1-'前提と出典'!$B$7)-I412-K412-M412-O412</ns0:f>
        <ns0:v>909680.8053426867</ns0:v>
      </ns0:c>
      <ns0:c r="Q412" s="16">
        <ns0:f>(F412+H412)*(1-'前提と出典'!$B$7)-J412-L412-N412</ns0:f>
        <ns0:v>333812.969131426</ns0:v>
      </ns0:c>
      <ns0:c r="R412" s="16">
        <ns0:f>P412-E412*'前提と出典'!$E$4</ns0:f>
        <ns0:v>672843.5793586451</ns0:v>
      </ns0:c>
      <ns0:c r="S412" s="16">
        <ns0:f>Q412-F412*'前提と出典'!$E$4</ns0:f>
        <ns0:v>240862.96241565573</ns0:v>
      </ns0:c>
      <ns0:c r="T412" s="7">
        <ns0:f>R412+S412</ns0:f>
        <ns0:v>913706.5417743009</ns0:v>
      </ns0:c>
      <ns0:c r="U412" s="16">
        <ns0:f>P412-E412*'前提と出典'!$E$5</ns0:f>
        <ns0:v>593897.8373639645</ns0:v>
      </ns0:c>
      <ns0:c r="V412" s="16">
        <ns0:f>Q412-F412*'前提と出典'!$E$5</ns0:f>
        <ns0:v>209879.62684373232</ns0:v>
      </ns0:c>
      <ns0:c r="W412" s="7">
        <ns0:f>U412+V412</ns0:f>
        <ns0:v>803777.4642076968</ns0:v>
      </ns0:c>
      <ns0:c r="X412" s="16">
        <ns0:f>P412-E412*'前提と出典'!$E$6</ns0:f>
        <ns0:v>514952.0953692839</ns0:v>
      </ns0:c>
      <ns0:c r="Y412" s="16">
        <ns0:f>Q412-F412*'前提と出典'!$E$6</ns0:f>
        <ns0:v>178896.29127180888</ns0:v>
      </ns0:c>
      <ns0:c r="Z412" s="7">
        <ns0:f>X412+Y412</ns0:f>
        <ns0:v>693848.3866410928</ns0:v>
      </ns0:c>
      <ns0:c r="AA412" s="7">
        <ns0:f>IF(T412&gt;=0,A412,1001)</ns0:f>
        <ns0:v>408</ns0:v>
      </ns0:c>
      <ns0:c r="AB412" s="7">
        <ns0:f>IF(T412&lt;0,A412,0)</ns0:f>
        <ns0:v>0</ns0:v>
      </ns0:c>
      <ns0:c r="AC412" s="16">
        <ns0:f>IF(AND(OR('前提と出典'!$C$36+'前提と出典'!$C$38=0,R412&gt;=0),OR('前提と出典'!$C$37+'前提と出典'!$C$38=0,S412&gt;=0)),0,A412)</ns0:f>
        <ns0:v>0</ns0:v>
      </ns0:c>
      <ns0:c r="AD412" s="7">
        <ns0:f>IF(W412&gt;=0,A412,1001)</ns0:f>
        <ns0:v>408</ns0:v>
      </ns0:c>
      <ns0:c r="AE412" s="7">
        <ns0:f>IF(W412&lt;0,A412,0)</ns0:f>
        <ns0:v>0</ns0:v>
      </ns0:c>
      <ns0:c r="AF412" s="16">
        <ns0:f>IF(AND(OR('前提と出典'!$C$36+'前提と出典'!$C$38=0,U412&gt;=0),OR('前提と出典'!$C$37+'前提と出典'!$C$38=0,V412&gt;=0)),0,A412)</ns0:f>
        <ns0:v>0</ns0:v>
      </ns0:c>
      <ns0:c r="AG412" s="7">
        <ns0:f>IF(Z412&gt;=0,A412,1001)</ns0:f>
        <ns0:v>408</ns0:v>
      </ns0:c>
      <ns0:c r="AH412" s="4">
        <ns0:f>IF(Z412&lt;0,A412,0)</ns0:f>
        <ns0:v>0</ns0:v>
      </ns0:c>
      <ns0:c r="AI412" s="12">
        <ns0:f>IF(AND(OR('前提と出典'!$C$36+'前提と出典'!$C$38=0,X412&gt;=0),OR('前提と出典'!$C$37+'前提と出典'!$C$38=0,Y412&gt;=0)),0,A412)</ns0:f>
        <ns0:v>0</ns0:v>
      </ns0:c>
    </ns0:row>
    <ns0:row r="413" ht="24" customHeight="1">
      <ns0:c r="A413" s="4" t="n">
        <ns0:v>409</ns0:v>
      </ns0:c>
      <ns0:c r="B413" s="12">
        <ns0:f>A413*('前提と出典'!$C$36+'前提と出典'!$C$38)</ns0:f>
        <ns0:v>286.29999999999995</ns0:v>
      </ns0:c>
      <ns0:c r="C413" s="12">
        <ns0:f>A413*('前提と出典'!$C$37+'前提と出典'!$C$38)</ns0:f>
        <ns0:v>245.39999999999998</ns0:v>
      </ns0:c>
      <ns0:c r="D413" s="16">
        <ns0:f>A413*('前提と出典'!$C$36*'契約別単価'!C5+'前提と出典'!$C$37*'契約別単価'!C6+'前提と出典'!$C$38*'契約別単価'!C7)</ns0:f>
        <ns0:v>2942.972067039106</ns0:v>
      </ns0:c>
      <ns0:c r="E413" s="16">
        <ns0:f>A413*('前提と出典'!$C$36*'契約別単価'!E5+'前提と出典'!$C$37*'契約別単価'!E6+'前提と出典'!$C$38*'契約別単価'!E7)</ns0:f>
        <ns0:v>791392.3646035377</ns0:v>
      </ns0:c>
      <ns0:c r="F413" s="16">
        <ns0:f>A413*('前提と出典'!$C$36*'契約別単価'!F5+'前提と出典'!$C$37*'契約別単価'!F6+'前提と出典'!$C$38*'契約別単価'!F7)</ns0:f>
        <ns0:v>310592.7511989383</ns0:v>
      </ns0:c>
      <ns0:c r="G413" s="16">
        <ns0:f>A413*('前提と出典'!$C$36*'契約別単価'!G5+'前提と出典'!$C$37*'契約別単価'!G6+'前提と出典'!$C$38*'契約別単価'!G7)</ns0:f>
        <ns0:v>814115.6424581006</ns0:v>
      </ns0:c>
      <ns0:c r="H413" s="16">
        <ns0:f>A413*('前提と出典'!$C$36*'契約別単価'!H5+'前提と出典'!$C$37*'契約別単価'!H6+'前提と出典'!$C$38*'契約別単価'!H7)</ns0:f>
        <ns0:v>282538.95904101507</ns0:v>
      </ns0:c>
      <ns0:c r="I413" s="16">
        <ns0:f>A413*('前提と出典'!$C$36*'契約別単価'!I5+'前提と出典'!$C$37*'契約別単価'!I6+'前提と出典'!$C$38*'契約別単価'!I7)</ns0:f>
        <ns0:v>17257.972067039103</ns0:v>
      </ns0:c>
      <ns0:c r="J413" s="16">
        <ns0:f>A413*('前提と出典'!$C$36*'契約別単価'!J5+'前提と出典'!$C$37*'契約別単価'!J6+'前提と出典'!$C$38*'契約別単価'!J7)</ns0:f>
        <ns0:v>40200.42337751375</ns0:v>
      </ns0:c>
      <ns0:c r="K413" s="16">
        <ns0:f>A413*('前提と出典'!$C$36*'契約別単価'!K5+'前提と出典'!$C$37*'契約別単価'!K6+'前提と出典'!$C$38*'契約別単価'!K7)</ns0:f>
        <ns0:v>172313.14711359402</ns0:v>
      </ns0:c>
      <ns0:c r="L413" s="16">
        <ns0:f>A413*('前提と出典'!$C$36*'契約別単価'!L5+'前提と出典'!$C$37*'契約別単価'!L6+'前提と出典'!$C$38*'契約別単価'!L7)</ns0:f>
        <ns0:v>140297.96530136716</ns0:v>
      </ns0:c>
      <ns0:c r="M413" s="16">
        <ns0:f>IF(('前提と出典'!$C$36+'前提と出典'!$C$38)=0,0,IF(B413&lt;=10,'前提と出典'!B73+'前提と出典'!C73,IF(B413&lt;=100,'前提と出典'!B74+'前提と出典'!C74,IF(B413&lt;=500,'前提と出典'!B75+'前提と出典'!C75,'前提と出典'!B76+'前提と出典'!C76))))</ns0:f>
        <ns0:v>40000</ns0:v>
      </ns0:c>
      <ns0:c r="N413" s="16">
        <ns0:f>IF(('前提と出典'!$C$37+'前提と出典'!$C$38)=0,0,IF(C413&lt;=10,'前提と出典'!D73+'前提と出典'!E73,IF(C413&lt;=100,'前提と出典'!D74+'前提と出典'!E74,IF(C413&lt;=500,'前提と出典'!D75+'前提と出典'!E75,'前提と出典'!D76+'前提と出典'!E76))))</ns0:f>
        <ns0:v>56510.9346263078</ns0:v>
      </ns0:c>
      <ns0:c r="O413" s="16">
        <ns0:f>IF('前提と出典'!$C$36+'前提と出典'!$C$38=0,0,'前提と出典'!$B$4*IF('前提と出典'!$B$20=0,MAX('前提と出典'!$B$6,D413*'前提と出典'!$B$5),'前提と出典'!$B$6+D413*'前提と出典'!$B$5))</ns0:f>
        <ns0:v>406130.1452513967</ns0:v>
      </ns0:c>
      <ns0:c r="P413" s="16">
        <ns0:f>(E413+G413)*(1-'前提と出典'!$B$7)-I413-K413-M413-O413</ns0:f>
        <ns0:v>912008.4543753898</ns0:v>
      </ns0:c>
      <ns0:c r="Q413" s="16">
        <ns0:f>(F413+H413)*(1-'前提と出典'!$B$7)-J413-L413-N413</ns0:f>
        <ns0:v>334769.6453661263</ns0:v>
      </ns0:c>
      <ns0:c r="R413" s="16">
        <ns0:f>P413-E413*'前提と出典'!$E$4</ns0:f>
        <ns0:v>674590.7449943285</ns0:v>
      </ns0:c>
      <ns0:c r="S413" s="16">
        <ns0:f>Q413-F413*'前提と出典'!$E$4</ns0:f>
        <ns0:v>241591.82000644482</ns0:v>
      </ns0:c>
      <ns0:c r="T413" s="7">
        <ns0:f>R413+S413</ns0:f>
        <ns0:v>916182.5650007733</ns0:v>
      </ns0:c>
      <ns0:c r="U413" s="16">
        <ns0:f>P413-E413*'前提と出典'!$E$5</ns0:f>
        <ns0:v>595451.5085339748</ns0:v>
      </ns0:c>
      <ns0:c r="V413" s="16">
        <ns0:f>Q413-F413*'前提と出典'!$E$5</ns0:f>
        <ns0:v>210532.54488655098</ns0:v>
      </ns0:c>
      <ns0:c r="W413" s="7">
        <ns0:f>U413+V413</ns0:f>
        <ns0:v>805984.0534205257</ns0:v>
      </ns0:c>
      <ns0:c r="X413" s="16">
        <ns0:f>P413-E413*'前提と出典'!$E$6</ns0:f>
        <ns0:v>516312.27207362105</ns0:v>
      </ns0:c>
      <ns0:c r="Y413" s="16">
        <ns0:f>Q413-F413*'前提と出典'!$E$6</ns0:f>
        <ns0:v>179473.26976665715</ns0:v>
      </ns0:c>
      <ns0:c r="Z413" s="7">
        <ns0:f>X413+Y413</ns0:f>
        <ns0:v>695785.5418402782</ns0:v>
      </ns0:c>
      <ns0:c r="AA413" s="7">
        <ns0:f>IF(T413&gt;=0,A413,1001)</ns0:f>
        <ns0:v>409</ns0:v>
      </ns0:c>
      <ns0:c r="AB413" s="7">
        <ns0:f>IF(T413&lt;0,A413,0)</ns0:f>
        <ns0:v>0</ns0:v>
      </ns0:c>
      <ns0:c r="AC413" s="16">
        <ns0:f>IF(AND(OR('前提と出典'!$C$36+'前提と出典'!$C$38=0,R413&gt;=0),OR('前提と出典'!$C$37+'前提と出典'!$C$38=0,S413&gt;=0)),0,A413)</ns0:f>
        <ns0:v>0</ns0:v>
      </ns0:c>
      <ns0:c r="AD413" s="7">
        <ns0:f>IF(W413&gt;=0,A413,1001)</ns0:f>
        <ns0:v>409</ns0:v>
      </ns0:c>
      <ns0:c r="AE413" s="7">
        <ns0:f>IF(W413&lt;0,A413,0)</ns0:f>
        <ns0:v>0</ns0:v>
      </ns0:c>
      <ns0:c r="AF413" s="16">
        <ns0:f>IF(AND(OR('前提と出典'!$C$36+'前提と出典'!$C$38=0,U413&gt;=0),OR('前提と出典'!$C$37+'前提と出典'!$C$38=0,V413&gt;=0)),0,A413)</ns0:f>
        <ns0:v>0</ns0:v>
      </ns0:c>
      <ns0:c r="AG413" s="7">
        <ns0:f>IF(Z413&gt;=0,A413,1001)</ns0:f>
        <ns0:v>409</ns0:v>
      </ns0:c>
      <ns0:c r="AH413" s="4">
        <ns0:f>IF(Z413&lt;0,A413,0)</ns0:f>
        <ns0:v>0</ns0:v>
      </ns0:c>
      <ns0:c r="AI413" s="12">
        <ns0:f>IF(AND(OR('前提と出典'!$C$36+'前提と出典'!$C$38=0,X413&gt;=0),OR('前提と出典'!$C$37+'前提と出典'!$C$38=0,Y413&gt;=0)),0,A413)</ns0:f>
        <ns0:v>0</ns0:v>
      </ns0:c>
    </ns0:row>
    <ns0:row r="414" ht="24" customHeight="1">
      <ns0:c r="A414" s="4" t="n">
        <ns0:v>410</ns0:v>
      </ns0:c>
      <ns0:c r="B414" s="12">
        <ns0:f>A414*('前提と出典'!$C$36+'前提と出典'!$C$38)</ns0:f>
        <ns0:v>287</ns0:v>
      </ns0:c>
      <ns0:c r="C414" s="12">
        <ns0:f>A414*('前提と出典'!$C$37+'前提と出典'!$C$38)</ns0:f>
        <ns0:v>246</ns0:v>
      </ns0:c>
      <ns0:c r="D414" s="16">
        <ns0:f>A414*('前提と出典'!$C$36*'契約別単価'!C5+'前提と出典'!$C$37*'契約別単価'!C6+'前提と出典'!$C$38*'契約別単価'!C7)</ns0:f>
        <ns0:v>2950.167597765363</ns0:v>
      </ns0:c>
      <ns0:c r="E414" s="16">
        <ns0:f>A414*('前提と出典'!$C$36*'契約別単価'!E5+'前提と出典'!$C$37*'契約別単価'!E6+'前提と出典'!$C$38*'契約別単価'!E7)</ns0:f>
        <ns0:v>793327.3092602701</ns0:v>
      </ns0:c>
      <ns0:c r="F414" s="16">
        <ns0:f>A414*('前提と出典'!$C$36*'契約別単価'!F5+'前提と出典'!$C$37*'契約別単価'!F6+'前提と出典'!$C$38*'契約別単価'!F7)</ns0:f>
        <ns0:v>311352.14667864225</ns0:v>
      </ns0:c>
      <ns0:c r="G414" s="16">
        <ns0:f>A414*('前提と出典'!$C$36*'契約別単価'!G5+'前提と出典'!$C$37*'契約別単価'!G6+'前提と出典'!$C$38*'契約別単価'!G7)</ns0:f>
        <ns0:v>816106.1452513966</ns0:v>
      </ns0:c>
      <ns0:c r="H414" s="16">
        <ns0:f>A414*('前提と出典'!$C$36*'契約別単価'!H5+'前提と出典'!$C$37*'契約別単価'!H6+'前提と出典'!$C$38*'契約別単価'!H7)</ns0:f>
        <ns0:v>283229.76334184885</ns0:v>
      </ns0:c>
      <ns0:c r="I414" s="16">
        <ns0:f>A414*('前提と出典'!$C$36*'契約別単価'!I5+'前提と出典'!$C$37*'契約別単価'!I6+'前提と出典'!$C$38*'契約別単価'!I7)</ns0:f>
        <ns0:v>17300.16759776536</ns0:v>
      </ns0:c>
      <ns0:c r="J414" s="16">
        <ns0:f>A414*('前提と出典'!$C$36*'契約別単価'!J5+'前提と出典'!$C$37*'契約別単価'!J6+'前提と出典'!$C$38*'契約別単価'!J7)</ns0:f>
        <ns0:v>40298.712921224054</ns0:v>
      </ns0:c>
      <ns0:c r="K414" s="16">
        <ns0:f>A414*('前提と出典'!$C$36*'契約別単価'!K5+'前提と出典'!$C$37*'契約別単価'!K6+'前提と出典'!$C$38*'契約別単価'!K7)</ns0:f>
        <ns0:v>172734.4506517691</ns0:v>
      </ns0:c>
      <ns0:c r="L414" s="16">
        <ns0:f>A414*('前提と出典'!$C$36*'契約別単価'!L5+'前提と出典'!$C$37*'契約別単価'!L6+'前提と出典'!$C$38*'契約別単価'!L7)</ns0:f>
        <ns0:v>140640.99211139497</ns0:v>
      </ns0:c>
      <ns0:c r="M414" s="16">
        <ns0:f>IF(('前提と出典'!$C$36+'前提と出典'!$C$38)=0,0,IF(B414&lt;=10,'前提と出典'!B73+'前提と出典'!C73,IF(B414&lt;=100,'前提と出典'!B74+'前提と出典'!C74,IF(B414&lt;=500,'前提と出典'!B75+'前提と出典'!C75,'前提と出典'!B76+'前提と出典'!C76))))</ns0:f>
        <ns0:v>40000</ns0:v>
      </ns0:c>
      <ns0:c r="N414" s="16">
        <ns0:f>IF(('前提と出典'!$C$37+'前提と出典'!$C$38)=0,0,IF(C414&lt;=10,'前提と出典'!D73+'前提と出典'!E73,IF(C414&lt;=100,'前提と出典'!D74+'前提と出典'!E74,IF(C414&lt;=500,'前提と出典'!D75+'前提と出典'!E75,'前提と出典'!D76+'前提と出典'!E76))))</ns0:f>
        <ns0:v>56510.9346263078</ns0:v>
      </ns0:c>
      <ns0:c r="O414" s="16">
        <ns0:f>IF('前提と出典'!$C$36+'前提と出典'!$C$38=0,0,'前提と出典'!$B$4*IF('前提と出典'!$B$20=0,MAX('前提と出典'!$B$6,D414*'前提と出典'!$B$5),'前提と出典'!$B$6+D414*'前提と出典'!$B$5))</ns0:f>
        <ns0:v>407123.1284916201</ns0:v>
      </ns0:c>
      <ns0:c r="P414" s="16">
        <ns0:f>(E414+G414)*(1-'前提と出典'!$B$7)-I414-K414-M414-O414</ns0:f>
        <ns0:v>914336.1034080922</ns0:v>
      </ns0:c>
      <ns0:c r="Q414" s="16">
        <ns0:f>(F414+H414)*(1-'前提と出典'!$B$7)-J414-L414-N414</ns0:f>
        <ns0:v>335726.3216008266</ns0:v>
      </ns0:c>
      <ns0:c r="R414" s="16">
        <ns0:f>P414-E414*'前提と出典'!$E$4</ns0:f>
        <ns0:v>676337.9106300112</ns0:v>
      </ns0:c>
      <ns0:c r="S414" s="16">
        <ns0:f>Q414-F414*'前提と出典'!$E$4</ns0:f>
        <ns0:v>242320.6775972339</ns0:v>
      </ns0:c>
      <ns0:c r="T414" s="7">
        <ns0:f>R414+S414</ns0:f>
        <ns0:v>918658.5882272451</ns0:v>
      </ns0:c>
      <ns0:c r="U414" s="16">
        <ns0:f>P414-E414*'前提と出典'!$E$5</ns0:f>
        <ns0:v>597005.1797039842</ns0:v>
      </ns0:c>
      <ns0:c r="V414" s="16">
        <ns0:f>Q414-F414*'前提と出典'!$E$5</ns0:f>
        <ns0:v>211185.46292936965</ns0:v>
      </ns0:c>
      <ns0:c r="W414" s="7">
        <ns0:f>U414+V414</ns0:f>
        <ns0:v>808190.6426333538</ns0:v>
      </ns0:c>
      <ns0:c r="X414" s="16">
        <ns0:f>P414-E414*'前提と出典'!$E$6</ns0:f>
        <ns0:v>517672.44877795706</ns0:v>
      </ns0:c>
      <ns0:c r="Y414" s="16">
        <ns0:f>Q414-F414*'前提と出典'!$E$6</ns0:f>
        <ns0:v>180050.24826150548</ns0:v>
      </ns0:c>
      <ns0:c r="Z414" s="7">
        <ns0:f>X414+Y414</ns0:f>
        <ns0:v>697722.6970394625</ns0:v>
      </ns0:c>
      <ns0:c r="AA414" s="7">
        <ns0:f>IF(T414&gt;=0,A414,1001)</ns0:f>
        <ns0:v>410</ns0:v>
      </ns0:c>
      <ns0:c r="AB414" s="7">
        <ns0:f>IF(T414&lt;0,A414,0)</ns0:f>
        <ns0:v>0</ns0:v>
      </ns0:c>
      <ns0:c r="AC414" s="16">
        <ns0:f>IF(AND(OR('前提と出典'!$C$36+'前提と出典'!$C$38=0,R414&gt;=0),OR('前提と出典'!$C$37+'前提と出典'!$C$38=0,S414&gt;=0)),0,A414)</ns0:f>
        <ns0:v>0</ns0:v>
      </ns0:c>
      <ns0:c r="AD414" s="7">
        <ns0:f>IF(W414&gt;=0,A414,1001)</ns0:f>
        <ns0:v>410</ns0:v>
      </ns0:c>
      <ns0:c r="AE414" s="7">
        <ns0:f>IF(W414&lt;0,A414,0)</ns0:f>
        <ns0:v>0</ns0:v>
      </ns0:c>
      <ns0:c r="AF414" s="16">
        <ns0:f>IF(AND(OR('前提と出典'!$C$36+'前提と出典'!$C$38=0,U414&gt;=0),OR('前提と出典'!$C$37+'前提と出典'!$C$38=0,V414&gt;=0)),0,A414)</ns0:f>
        <ns0:v>0</ns0:v>
      </ns0:c>
      <ns0:c r="AG414" s="7">
        <ns0:f>IF(Z414&gt;=0,A414,1001)</ns0:f>
        <ns0:v>410</ns0:v>
      </ns0:c>
      <ns0:c r="AH414" s="4">
        <ns0:f>IF(Z414&lt;0,A414,0)</ns0:f>
        <ns0:v>0</ns0:v>
      </ns0:c>
      <ns0:c r="AI414" s="12">
        <ns0:f>IF(AND(OR('前提と出典'!$C$36+'前提と出典'!$C$38=0,X414&gt;=0),OR('前提と出典'!$C$37+'前提と出典'!$C$38=0,Y414&gt;=0)),0,A414)</ns0:f>
        <ns0:v>0</ns0:v>
      </ns0:c>
    </ns0:row>
    <ns0:row r="415" ht="24" customHeight="1">
      <ns0:c r="A415" s="4" t="n">
        <ns0:v>411</ns0:v>
      </ns0:c>
      <ns0:c r="B415" s="12">
        <ns0:f>A415*('前提と出典'!$C$36+'前提と出典'!$C$38)</ns0:f>
        <ns0:v>287.7</ns0:v>
      </ns0:c>
      <ns0:c r="C415" s="12">
        <ns0:f>A415*('前提と出典'!$C$37+'前提と出典'!$C$38)</ns0:f>
        <ns0:v>246.6</ns0:v>
      </ns0:c>
      <ns0:c r="D415" s="16">
        <ns0:f>A415*('前提と出典'!$C$36*'契約別単価'!C5+'前提と出典'!$C$37*'契約別単価'!C6+'前提と出典'!$C$38*'契約別単価'!C7)</ns0:f>
        <ns0:v>2957.36312849162</ns0:v>
      </ns0:c>
      <ns0:c r="E415" s="16">
        <ns0:f>A415*('前提と出典'!$C$36*'契約別単価'!E5+'前提と出典'!$C$37*'契約別単価'!E6+'前提と出典'!$C$38*'契約別単価'!E7)</ns0:f>
        <ns0:v>795262.2539170024</ns0:v>
      </ns0:c>
      <ns0:c r="F415" s="16">
        <ns0:f>A415*('前提と出典'!$C$36*'契約別単価'!F5+'前提と出典'!$C$37*'契約別単価'!F6+'前提と出典'!$C$38*'契約別単価'!F7)</ns0:f>
        <ns0:v>312111.5421583463</ns0:v>
      </ns0:c>
      <ns0:c r="G415" s="16">
        <ns0:f>A415*('前提と出典'!$C$36*'契約別単価'!G5+'前提と出典'!$C$37*'契約別単価'!G6+'前提と出典'!$C$38*'契約別単価'!G7)</ns0:f>
        <ns0:v>818096.6480446927</ns0:v>
      </ns0:c>
      <ns0:c r="H415" s="16">
        <ns0:f>A415*('前提と出典'!$C$36*'契約別単価'!H5+'前提と出典'!$C$37*'契約別単価'!H6+'前提と出典'!$C$38*'契約別単価'!H7)</ns0:f>
        <ns0:v>283920.56764268264</ns0:v>
      </ns0:c>
      <ns0:c r="I415" s="16">
        <ns0:f>A415*('前提と出典'!$C$36*'契約別単価'!I5+'前提と出典'!$C$37*'契約別単価'!I6+'前提と出典'!$C$38*'契約別単価'!I7)</ns0:f>
        <ns0:v>17342.363128491615</ns0:v>
      </ns0:c>
      <ns0:c r="J415" s="16">
        <ns0:f>A415*('前提と出典'!$C$36*'契約別単価'!J5+'前提と出典'!$C$37*'契約別単価'!J6+'前提と出典'!$C$38*'契約別単価'!J7)</ns0:f>
        <ns0:v>40397.002464934354</ns0:v>
      </ns0:c>
      <ns0:c r="K415" s="16">
        <ns0:f>A415*('前提と出典'!$C$36*'契約別単価'!K5+'前提と出典'!$C$37*'契約別単価'!K6+'前提と出典'!$C$38*'契約別単価'!K7)</ns0:f>
        <ns0:v>173155.75418994413</ns0:v>
      </ns0:c>
      <ns0:c r="L415" s="16">
        <ns0:f>A415*('前提と出典'!$C$36*'契約別単価'!L5+'前提と出典'!$C$37*'契約別単価'!L6+'前提と出典'!$C$38*'契約別単価'!L7)</ns0:f>
        <ns0:v>140984.01892142274</ns0:v>
      </ns0:c>
      <ns0:c r="M415" s="16">
        <ns0:f>IF(('前提と出典'!$C$36+'前提と出典'!$C$38)=0,0,IF(B415&lt;=10,'前提と出典'!B73+'前提と出典'!C73,IF(B415&lt;=100,'前提と出典'!B74+'前提と出典'!C74,IF(B415&lt;=500,'前提と出典'!B75+'前提と出典'!C75,'前提と出典'!B76+'前提と出典'!C76))))</ns0:f>
        <ns0:v>40000</ns0:v>
      </ns0:c>
      <ns0:c r="N415" s="16">
        <ns0:f>IF(('前提と出典'!$C$37+'前提と出典'!$C$38)=0,0,IF(C415&lt;=10,'前提と出典'!D73+'前提と出典'!E73,IF(C415&lt;=100,'前提と出典'!D74+'前提と出典'!E74,IF(C415&lt;=500,'前提と出典'!D75+'前提と出典'!E75,'前提と出典'!D76+'前提と出典'!E76))))</ns0:f>
        <ns0:v>56510.9346263078</ns0:v>
      </ns0:c>
      <ns0:c r="O415" s="16">
        <ns0:f>IF('前提と出典'!$C$36+'前提と出典'!$C$38=0,0,'前提と出典'!$B$4*IF('前提と出典'!$B$20=0,MAX('前提と出典'!$B$6,D415*'前提と出典'!$B$5),'前提と出典'!$B$6+D415*'前提と出典'!$B$5))</ns0:f>
        <ns0:v>408116.11173184356</ns0:v>
      </ns0:c>
      <ns0:c r="P415" s="16">
        <ns0:f>(E415+G415)*(1-'前提と出典'!$B$7)-I415-K415-M415-O415</ns0:f>
        <ns0:v>916663.7524407946</ns0:v>
      </ns0:c>
      <ns0:c r="Q415" s="16">
        <ns0:f>(F415+H415)*(1-'前提と出典'!$B$7)-J415-L415-N415</ns0:f>
        <ns0:v>336682.99783552694</ns0:v>
      </ns0:c>
      <ns0:c r="R415" s="16">
        <ns0:f>P415-E415*'前提と出典'!$E$4</ns0:f>
        <ns0:v>678085.0762656939</ns0:v>
      </ns0:c>
      <ns0:c r="S415" s="16">
        <ns0:f>Q415-F415*'前提と出典'!$E$4</ns0:f>
        <ns0:v>243049.535188023</ns0:v>
      </ns0:c>
      <ns0:c r="T415" s="7">
        <ns0:f>R415+S415</ns0:f>
        <ns0:v>921134.6114537169</ns0:v>
      </ns0:c>
      <ns0:c r="U415" s="16">
        <ns0:f>P415-E415*'前提と出典'!$E$5</ns0:f>
        <ns0:v>598558.8508739937</ns0:v>
      </ns0:c>
      <ns0:c r="V415" s="16">
        <ns0:f>Q415-F415*'前提と出典'!$E$5</ns0:f>
        <ns0:v>211838.38097218843</ns0:v>
      </ns0:c>
      <ns0:c r="W415" s="7">
        <ns0:f>U415+V415</ns0:f>
        <ns0:v>810397.2318461821</ns0:v>
      </ns0:c>
      <ns0:c r="X415" s="16">
        <ns0:f>P415-E415*'前提と出典'!$E$6</ns0:f>
        <ns0:v>519032.62548229354</ns0:v>
      </ns0:c>
      <ns0:c r="Y415" s="16">
        <ns0:f>Q415-F415*'前提と出典'!$E$6</ns0:f>
        <ns0:v>180627.22675635378</ns0:v>
      </ns0:c>
      <ns0:c r="Z415" s="7">
        <ns0:f>X415+Y415</ns0:f>
        <ns0:v>699659.8522386473</ns0:v>
      </ns0:c>
      <ns0:c r="AA415" s="7">
        <ns0:f>IF(T415&gt;=0,A415,1001)</ns0:f>
        <ns0:v>411</ns0:v>
      </ns0:c>
      <ns0:c r="AB415" s="7">
        <ns0:f>IF(T415&lt;0,A415,0)</ns0:f>
        <ns0:v>0</ns0:v>
      </ns0:c>
      <ns0:c r="AC415" s="16">
        <ns0:f>IF(AND(OR('前提と出典'!$C$36+'前提と出典'!$C$38=0,R415&gt;=0),OR('前提と出典'!$C$37+'前提と出典'!$C$38=0,S415&gt;=0)),0,A415)</ns0:f>
        <ns0:v>0</ns0:v>
      </ns0:c>
      <ns0:c r="AD415" s="7">
        <ns0:f>IF(W415&gt;=0,A415,1001)</ns0:f>
        <ns0:v>411</ns0:v>
      </ns0:c>
      <ns0:c r="AE415" s="7">
        <ns0:f>IF(W415&lt;0,A415,0)</ns0:f>
        <ns0:v>0</ns0:v>
      </ns0:c>
      <ns0:c r="AF415" s="16">
        <ns0:f>IF(AND(OR('前提と出典'!$C$36+'前提と出典'!$C$38=0,U415&gt;=0),OR('前提と出典'!$C$37+'前提と出典'!$C$38=0,V415&gt;=0)),0,A415)</ns0:f>
        <ns0:v>0</ns0:v>
      </ns0:c>
      <ns0:c r="AG415" s="7">
        <ns0:f>IF(Z415&gt;=0,A415,1001)</ns0:f>
        <ns0:v>411</ns0:v>
      </ns0:c>
      <ns0:c r="AH415" s="4">
        <ns0:f>IF(Z415&lt;0,A415,0)</ns0:f>
        <ns0:v>0</ns0:v>
      </ns0:c>
      <ns0:c r="AI415" s="12">
        <ns0:f>IF(AND(OR('前提と出典'!$C$36+'前提と出典'!$C$38=0,X415&gt;=0),OR('前提と出典'!$C$37+'前提と出典'!$C$38=0,Y415&gt;=0)),0,A415)</ns0:f>
        <ns0:v>0</ns0:v>
      </ns0:c>
    </ns0:row>
    <ns0:row r="416" ht="24" customHeight="1">
      <ns0:c r="A416" s="4" t="n">
        <ns0:v>412</ns0:v>
      </ns0:c>
      <ns0:c r="B416" s="12">
        <ns0:f>A416*('前提と出典'!$C$36+'前提と出典'!$C$38)</ns0:f>
        <ns0:v>288.4</ns0:v>
      </ns0:c>
      <ns0:c r="C416" s="12">
        <ns0:f>A416*('前提と出典'!$C$37+'前提と出典'!$C$38)</ns0:f>
        <ns0:v>247.2</ns0:v>
      </ns0:c>
      <ns0:c r="D416" s="16">
        <ns0:f>A416*('前提と出典'!$C$36*'契約別単価'!C5+'前提と出典'!$C$37*'契約別単価'!C6+'前提と出典'!$C$38*'契約別単価'!C7)</ns0:f>
        <ns0:v>2964.558659217877</ns0:v>
      </ns0:c>
      <ns0:c r="E416" s="16">
        <ns0:f>A416*('前提と出典'!$C$36*'契約別単価'!E5+'前提と出典'!$C$37*'契約別単価'!E6+'前提と出典'!$C$38*'契約別単価'!E7)</ns0:f>
        <ns0:v>797197.1985737347</ns0:v>
      </ns0:c>
      <ns0:c r="F416" s="16">
        <ns0:f>A416*('前提と出典'!$C$36*'契約別単価'!F5+'前提と出典'!$C$37*'契約別単価'!F6+'前提と出典'!$C$38*'契約別単価'!F7)</ns0:f>
        <ns0:v>312870.9376380503</ns0:v>
      </ns0:c>
      <ns0:c r="G416" s="16">
        <ns0:f>A416*('前提と出典'!$C$36*'契約別単価'!G5+'前提と出典'!$C$37*'契約別単価'!G6+'前提と出典'!$C$38*'契約別単価'!G7)</ns0:f>
        <ns0:v>820087.1508379888</ns0:v>
      </ns0:c>
      <ns0:c r="H416" s="16">
        <ns0:f>A416*('前提と出典'!$C$36*'契約別単価'!H5+'前提と出典'!$C$37*'契約別単価'!H6+'前提と出典'!$C$38*'契約別単価'!H7)</ns0:f>
        <ns0:v>284611.3719435164</ns0:v>
      </ns0:c>
      <ns0:c r="I416" s="16">
        <ns0:f>A416*('前提と出典'!$C$36*'契約別単価'!I5+'前提と出典'!$C$37*'契約別単価'!I6+'前提と出典'!$C$38*'契約別単価'!I7)</ns0:f>
        <ns0:v>17384.558659217873</ns0:v>
      </ns0:c>
      <ns0:c r="J416" s="16">
        <ns0:f>A416*('前提と出典'!$C$36*'契約別単価'!J5+'前提と出典'!$C$37*'契約別単価'!J6+'前提と出典'!$C$38*'契約別単価'!J7)</ns0:f>
        <ns0:v>40495.29200864466</ns0:v>
      </ns0:c>
      <ns0:c r="K416" s="16">
        <ns0:f>A416*('前提と出典'!$C$36*'契約別単価'!K5+'前提と出典'!$C$37*'契約別単価'!K6+'前提と出典'!$C$38*'契約別単価'!K7)</ns0:f>
        <ns0:v>173577.05772811917</ns0:v>
      </ns0:c>
      <ns0:c r="L416" s="16">
        <ns0:f>A416*('前提と出典'!$C$36*'契約別単価'!L5+'前提と出典'!$C$37*'契約別単価'!L6+'前提と出典'!$C$38*'契約別単価'!L7)</ns0:f>
        <ns0:v>141327.04573145055</ns0:v>
      </ns0:c>
      <ns0:c r="M416" s="16">
        <ns0:f>IF(('前提と出典'!$C$36+'前提と出典'!$C$38)=0,0,IF(B416&lt;=10,'前提と出典'!B73+'前提と出典'!C73,IF(B416&lt;=100,'前提と出典'!B74+'前提と出典'!C74,IF(B416&lt;=500,'前提と出典'!B75+'前提と出典'!C75,'前提と出典'!B76+'前提と出典'!C76))))</ns0:f>
        <ns0:v>40000</ns0:v>
      </ns0:c>
      <ns0:c r="N416" s="16">
        <ns0:f>IF(('前提と出典'!$C$37+'前提と出典'!$C$38)=0,0,IF(C416&lt;=10,'前提と出典'!D73+'前提と出典'!E73,IF(C416&lt;=100,'前提と出典'!D74+'前提と出典'!E74,IF(C416&lt;=500,'前提と出典'!D75+'前提と出典'!E75,'前提と出典'!D76+'前提と出典'!E76))))</ns0:f>
        <ns0:v>56510.9346263078</ns0:v>
      </ns0:c>
      <ns0:c r="O416" s="16">
        <ns0:f>IF('前提と出典'!$C$36+'前提と出典'!$C$38=0,0,'前提と出典'!$B$4*IF('前提と出典'!$B$20=0,MAX('前提と出典'!$B$6,D416*'前提と出典'!$B$5),'前提と出典'!$B$6+D416*'前提と出典'!$B$5))</ns0:f>
        <ns0:v>409109.09497206705</ns0:v>
      </ns0:c>
      <ns0:c r="P416" s="16">
        <ns0:f>(E416+G416)*(1-'前提と出典'!$B$7)-I416-K416-M416-O416</ns0:f>
        <ns0:v>918991.4014734974</ns0:v>
      </ns0:c>
      <ns0:c r="Q416" s="16">
        <ns0:f>(F416+H416)*(1-'前提と出典'!$B$7)-J416-L416-N416</ns0:f>
        <ns0:v>337639.6740702273</ns0:v>
      </ns0:c>
      <ns0:c r="R416" s="16">
        <ns0:f>P416-E416*'前提と出典'!$E$4</ns0:f>
        <ns0:v>679832.2419013772</ns0:v>
      </ns0:c>
      <ns0:c r="S416" s="16">
        <ns0:f>Q416-F416*'前提と出典'!$E$4</ns0:f>
        <ns0:v>243778.3927788122</ns0:v>
      </ns0:c>
      <ns0:c r="T416" s="7">
        <ns0:f>R416+S416</ns0:f>
        <ns0:v>923610.6346801894</ns0:v>
      </ns0:c>
      <ns0:c r="U416" s="16">
        <ns0:f>P416-E416*'前提と出典'!$E$5</ns0:f>
        <ns0:v>600112.5220440035</ns0:v>
      </ns0:c>
      <ns0:c r="V416" s="16">
        <ns0:f>Q416-F416*'前提と出典'!$E$5</ns0:f>
        <ns0:v>212491.29901500721</ns0:v>
      </ns0:c>
      <ns0:c r="W416" s="7">
        <ns0:f>U416+V416</ns0:f>
        <ns0:v>812603.8210590107</ns0:v>
      </ns0:c>
      <ns0:c r="X416" s="16">
        <ns0:f>P416-E416*'前提と出典'!$E$6</ns0:f>
        <ns0:v>520392.8021866302</ns0:v>
      </ns0:c>
      <ns0:c r="Y416" s="16">
        <ns0:f>Q416-F416*'前提と出典'!$E$6</ns0:f>
        <ns0:v>181204.20525120216</ns0:v>
      </ns0:c>
      <ns0:c r="Z416" s="7">
        <ns0:f>X416+Y416</ns0:f>
        <ns0:v>701597.0074378324</ns0:v>
      </ns0:c>
      <ns0:c r="AA416" s="7">
        <ns0:f>IF(T416&gt;=0,A416,1001)</ns0:f>
        <ns0:v>412</ns0:v>
      </ns0:c>
      <ns0:c r="AB416" s="7">
        <ns0:f>IF(T416&lt;0,A416,0)</ns0:f>
        <ns0:v>0</ns0:v>
      </ns0:c>
      <ns0:c r="AC416" s="16">
        <ns0:f>IF(AND(OR('前提と出典'!$C$36+'前提と出典'!$C$38=0,R416&gt;=0),OR('前提と出典'!$C$37+'前提と出典'!$C$38=0,S416&gt;=0)),0,A416)</ns0:f>
        <ns0:v>0</ns0:v>
      </ns0:c>
      <ns0:c r="AD416" s="7">
        <ns0:f>IF(W416&gt;=0,A416,1001)</ns0:f>
        <ns0:v>412</ns0:v>
      </ns0:c>
      <ns0:c r="AE416" s="7">
        <ns0:f>IF(W416&lt;0,A416,0)</ns0:f>
        <ns0:v>0</ns0:v>
      </ns0:c>
      <ns0:c r="AF416" s="16">
        <ns0:f>IF(AND(OR('前提と出典'!$C$36+'前提と出典'!$C$38=0,U416&gt;=0),OR('前提と出典'!$C$37+'前提と出典'!$C$38=0,V416&gt;=0)),0,A416)</ns0:f>
        <ns0:v>0</ns0:v>
      </ns0:c>
      <ns0:c r="AG416" s="7">
        <ns0:f>IF(Z416&gt;=0,A416,1001)</ns0:f>
        <ns0:v>412</ns0:v>
      </ns0:c>
      <ns0:c r="AH416" s="4">
        <ns0:f>IF(Z416&lt;0,A416,0)</ns0:f>
        <ns0:v>0</ns0:v>
      </ns0:c>
      <ns0:c r="AI416" s="12">
        <ns0:f>IF(AND(OR('前提と出典'!$C$36+'前提と出典'!$C$38=0,X416&gt;=0),OR('前提と出典'!$C$37+'前提と出典'!$C$38=0,Y416&gt;=0)),0,A416)</ns0:f>
        <ns0:v>0</ns0:v>
      </ns0:c>
    </ns0:row>
    <ns0:row r="417" ht="24" customHeight="1">
      <ns0:c r="A417" s="4" t="n">
        <ns0:v>413</ns0:v>
      </ns0:c>
      <ns0:c r="B417" s="12">
        <ns0:f>A417*('前提と出典'!$C$36+'前提と出典'!$C$38)</ns0:f>
        <ns0:v>289.09999999999997</ns0:v>
      </ns0:c>
      <ns0:c r="C417" s="12">
        <ns0:f>A417*('前提と出典'!$C$37+'前提と出典'!$C$38)</ns0:f>
        <ns0:v>247.79999999999998</ns0:v>
      </ns0:c>
      <ns0:c r="D417" s="16">
        <ns0:f>A417*('前提と出典'!$C$36*'契約別単価'!C5+'前提と出典'!$C$37*'契約別単価'!C6+'前提と出典'!$C$38*'契約別単価'!C7)</ns0:f>
        <ns0:v>2971.754189944134</ns0:v>
      </ns0:c>
      <ns0:c r="E417" s="16">
        <ns0:f>A417*('前提と出典'!$C$36*'契約別単価'!E5+'前提と出典'!$C$37*'契約別単価'!E6+'前提と出典'!$C$38*'契約別単価'!E7)</ns0:f>
        <ns0:v>799132.1432304671</ns0:v>
      </ns0:c>
      <ns0:c r="F417" s="16">
        <ns0:f>A417*('前提と出典'!$C$36*'契約別単価'!F5+'前提と出典'!$C$37*'契約別単価'!F6+'前提と出典'!$C$38*'契約別単価'!F7)</ns0:f>
        <ns0:v>313630.3331177543</ns0:v>
      </ns0:c>
      <ns0:c r="G417" s="16">
        <ns0:f>A417*('前提と出典'!$C$36*'契約別単価'!G5+'前提と出典'!$C$37*'契約別単価'!G6+'前提と出典'!$C$38*'契約別単価'!G7)</ns0:f>
        <ns0:v>822077.6536312848</ns0:v>
      </ns0:c>
      <ns0:c r="H417" s="16">
        <ns0:f>A417*('前提と出典'!$C$36*'契約別単価'!H5+'前提と出典'!$C$37*'契約別単価'!H6+'前提と出典'!$C$38*'契約別単価'!H7)</ns0:f>
        <ns0:v>285302.1762443502</ns0:v>
      </ns0:c>
      <ns0:c r="I417" s="16">
        <ns0:f>A417*('前提と出典'!$C$36*'契約別単価'!I5+'前提と出典'!$C$37*'契約別単価'!I6+'前提と出典'!$C$38*'契約別単価'!I7)</ns0:f>
        <ns0:v>17426.75418994413</ns0:v>
      </ns0:c>
      <ns0:c r="J417" s="16">
        <ns0:f>A417*('前提と出典'!$C$36*'契約別単価'!J5+'前提と出典'!$C$37*'契約別単価'!J6+'前提と出典'!$C$38*'契約別単価'!J7)</ns0:f>
        <ns0:v>40593.58155235496</ns0:v>
      </ns0:c>
      <ns0:c r="K417" s="16">
        <ns0:f>A417*('前提と出典'!$C$36*'契約別単価'!K5+'前提と出典'!$C$37*'契約別単価'!K6+'前提と出典'!$C$38*'契約別単価'!K7)</ns0:f>
        <ns0:v>173998.3612662942</ns0:v>
      </ns0:c>
      <ns0:c r="L417" s="16">
        <ns0:f>A417*('前提と出典'!$C$36*'契約別単価'!L5+'前提と出典'!$C$37*'契約別単価'!L6+'前提と出典'!$C$38*'契約別単価'!L7)</ns0:f>
        <ns0:v>141670.07254147832</ns0:v>
      </ns0:c>
      <ns0:c r="M417" s="16">
        <ns0:f>IF(('前提と出典'!$C$36+'前提と出典'!$C$38)=0,0,IF(B417&lt;=10,'前提と出典'!B73+'前提と出典'!C73,IF(B417&lt;=100,'前提と出典'!B74+'前提と出典'!C74,IF(B417&lt;=500,'前提と出典'!B75+'前提と出典'!C75,'前提と出典'!B76+'前提と出典'!C76))))</ns0:f>
        <ns0:v>40000</ns0:v>
      </ns0:c>
      <ns0:c r="N417" s="16">
        <ns0:f>IF(('前提と出典'!$C$37+'前提と出典'!$C$38)=0,0,IF(C417&lt;=10,'前提と出典'!D73+'前提と出典'!E73,IF(C417&lt;=100,'前提と出典'!D74+'前提と出典'!E74,IF(C417&lt;=500,'前提と出典'!D75+'前提と出典'!E75,'前提と出典'!D76+'前提と出典'!E76))))</ns0:f>
        <ns0:v>56510.9346263078</ns0:v>
      </ns0:c>
      <ns0:c r="O417" s="16">
        <ns0:f>IF('前提と出典'!$C$36+'前提と出典'!$C$38=0,0,'前提と出典'!$B$4*IF('前提と出典'!$B$20=0,MAX('前提と出典'!$B$6,D417*'前提と出典'!$B$5),'前提と出典'!$B$6+D417*'前提と出典'!$B$5))</ns0:f>
        <ns0:v>410102.07821229054</ns0:v>
      </ns0:c>
      <ns0:c r="P417" s="16">
        <ns0:f>(E417+G417)*(1-'前提と出典'!$B$7)-I417-K417-M417-O417</ns0:f>
        <ns0:v>921319.0505062</ns0:v>
      </ns0:c>
      <ns0:c r="Q417" s="16">
        <ns0:f>(F417+H417)*(1-'前提と出典'!$B$7)-J417-L417-N417</ns0:f>
        <ns0:v>338596.35030492774</ns0:v>
      </ns0:c>
      <ns0:c r="R417" s="16">
        <ns0:f>P417-E417*'前提と出典'!$E$4</ns0:f>
        <ns0:v>681579.4075370599</ns0:v>
      </ns0:c>
      <ns0:c r="S417" s="16">
        <ns0:f>Q417-F417*'前提と出典'!$E$4</ns0:f>
        <ns0:v>244507.25036960148</ns0:v>
      </ns0:c>
      <ns0:c r="T417" s="7">
        <ns0:f>R417+S417</ns0:f>
        <ns0:v>926086.6579066613</ns0:v>
      </ns0:c>
      <ns0:c r="U417" s="16">
        <ns0:f>P417-E417*'前提と出典'!$E$5</ns0:f>
        <ns0:v>601666.193214013</ns0:v>
      </ns0:c>
      <ns0:c r="V417" s="16">
        <ns0:f>Q417-F417*'前提と出典'!$E$5</ns0:f>
        <ns0:v>213144.217057826</ns0:v>
      </ns0:c>
      <ns0:c r="W417" s="7">
        <ns0:f>U417+V417</ns0:f>
        <ns0:v>814810.410271839</ns0:v>
      </ns0:c>
      <ns0:c r="X417" s="16">
        <ns0:f>P417-E417*'前提と出典'!$E$6</ns0:f>
        <ns0:v>521752.9788909664</ns0:v>
      </ns0:c>
      <ns0:c r="Y417" s="16">
        <ns0:f>Q417-F417*'前提と出典'!$E$6</ns0:f>
        <ns0:v>181781.18374605058</ns0:v>
      </ns0:c>
      <ns0:c r="Z417" s="7">
        <ns0:f>X417+Y417</ns0:f>
        <ns0:v>703534.162637017</ns0:v>
      </ns0:c>
      <ns0:c r="AA417" s="7">
        <ns0:f>IF(T417&gt;=0,A417,1001)</ns0:f>
        <ns0:v>413</ns0:v>
      </ns0:c>
      <ns0:c r="AB417" s="7">
        <ns0:f>IF(T417&lt;0,A417,0)</ns0:f>
        <ns0:v>0</ns0:v>
      </ns0:c>
      <ns0:c r="AC417" s="16">
        <ns0:f>IF(AND(OR('前提と出典'!$C$36+'前提と出典'!$C$38=0,R417&gt;=0),OR('前提と出典'!$C$37+'前提と出典'!$C$38=0,S417&gt;=0)),0,A417)</ns0:f>
        <ns0:v>0</ns0:v>
      </ns0:c>
      <ns0:c r="AD417" s="7">
        <ns0:f>IF(W417&gt;=0,A417,1001)</ns0:f>
        <ns0:v>413</ns0:v>
      </ns0:c>
      <ns0:c r="AE417" s="7">
        <ns0:f>IF(W417&lt;0,A417,0)</ns0:f>
        <ns0:v>0</ns0:v>
      </ns0:c>
      <ns0:c r="AF417" s="16">
        <ns0:f>IF(AND(OR('前提と出典'!$C$36+'前提と出典'!$C$38=0,U417&gt;=0),OR('前提と出典'!$C$37+'前提と出典'!$C$38=0,V417&gt;=0)),0,A417)</ns0:f>
        <ns0:v>0</ns0:v>
      </ns0:c>
      <ns0:c r="AG417" s="7">
        <ns0:f>IF(Z417&gt;=0,A417,1001)</ns0:f>
        <ns0:v>413</ns0:v>
      </ns0:c>
      <ns0:c r="AH417" s="4">
        <ns0:f>IF(Z417&lt;0,A417,0)</ns0:f>
        <ns0:v>0</ns0:v>
      </ns0:c>
      <ns0:c r="AI417" s="12">
        <ns0:f>IF(AND(OR('前提と出典'!$C$36+'前提と出典'!$C$38=0,X417&gt;=0),OR('前提と出典'!$C$37+'前提と出典'!$C$38=0,Y417&gt;=0)),0,A417)</ns0:f>
        <ns0:v>0</ns0:v>
      </ns0:c>
    </ns0:row>
    <ns0:row r="418" ht="24" customHeight="1">
      <ns0:c r="A418" s="4" t="n">
        <ns0:v>414</ns0:v>
      </ns0:c>
      <ns0:c r="B418" s="12">
        <ns0:f>A418*('前提と出典'!$C$36+'前提と出典'!$C$38)</ns0:f>
        <ns0:v>289.79999999999995</ns0:v>
      </ns0:c>
      <ns0:c r="C418" s="12">
        <ns0:f>A418*('前提と出典'!$C$37+'前提と出典'!$C$38)</ns0:f>
        <ns0:v>248.39999999999998</ns0:v>
      </ns0:c>
      <ns0:c r="D418" s="16">
        <ns0:f>A418*('前提と出典'!$C$36*'契約別単価'!C5+'前提と出典'!$C$37*'契約別単価'!C6+'前提と出典'!$C$38*'契約別単価'!C7)</ns0:f>
        <ns0:v>2978.949720670391</ns0:v>
      </ns0:c>
      <ns0:c r="E418" s="16">
        <ns0:f>A418*('前提と出典'!$C$36*'契約別単価'!E5+'前提と出典'!$C$37*'契約別単価'!E6+'前提と出典'!$C$38*'契約別単価'!E7)</ns0:f>
        <ns0:v>801067.0878871995</ns0:v>
      </ns0:c>
      <ns0:c r="F418" s="16">
        <ns0:f>A418*('前提と出典'!$C$36*'契約別単価'!F5+'前提と出典'!$C$37*'契約別単価'!F6+'前提と出典'!$C$38*'契約別単価'!F7)</ns0:f>
        <ns0:v>314389.7285974583</ns0:v>
      </ns0:c>
      <ns0:c r="G418" s="16">
        <ns0:f>A418*('前提と出典'!$C$36*'契約別単価'!G5+'前提と出典'!$C$37*'契約別単価'!G6+'前提と出典'!$C$38*'契約別単価'!G7)</ns0:f>
        <ns0:v>824068.156424581</ns0:v>
      </ns0:c>
      <ns0:c r="H418" s="16">
        <ns0:f>A418*('前提と出典'!$C$36*'契約別単価'!H5+'前提と出典'!$C$37*'契約別単価'!H6+'前提と出典'!$C$38*'契約別単価'!H7)</ns0:f>
        <ns0:v>285992.98054518393</ns0:v>
      </ns0:c>
      <ns0:c r="I418" s="16">
        <ns0:f>A418*('前提と出典'!$C$36*'契約別単価'!I5+'前提と出典'!$C$37*'契約別単価'!I6+'前提と出典'!$C$38*'契約別単価'!I7)</ns0:f>
        <ns0:v>17468.94972067039</ns0:v>
      </ns0:c>
      <ns0:c r="J418" s="16">
        <ns0:f>A418*('前提と出典'!$C$36*'契約別単価'!J5+'前提と出典'!$C$37*'契約別単価'!J6+'前提と出典'!$C$38*'契約別単価'!J7)</ns0:f>
        <ns0:v>40691.87109606526</ns0:v>
      </ns0:c>
      <ns0:c r="K418" s="16">
        <ns0:f>A418*('前提と出典'!$C$36*'契約別単価'!K5+'前提と出典'!$C$37*'契約別単価'!K6+'前提と出典'!$C$38*'契約別単価'!K7)</ns0:f>
        <ns0:v>174419.66480446927</ns0:v>
      </ns0:c>
      <ns0:c r="L418" s="16">
        <ns0:f>A418*('前提と出典'!$C$36*'契約別単価'!L5+'前提と出典'!$C$37*'契約別単価'!L6+'前提と出典'!$C$38*'契約別単価'!L7)</ns0:f>
        <ns0:v>142013.09935150613</ns0:v>
      </ns0:c>
      <ns0:c r="M418" s="16">
        <ns0:f>IF(('前提と出典'!$C$36+'前提と出典'!$C$38)=0,0,IF(B418&lt;=10,'前提と出典'!B73+'前提と出典'!C73,IF(B418&lt;=100,'前提と出典'!B74+'前提と出典'!C74,IF(B418&lt;=500,'前提と出典'!B75+'前提と出典'!C75,'前提と出典'!B76+'前提と出典'!C76))))</ns0:f>
        <ns0:v>40000</ns0:v>
      </ns0:c>
      <ns0:c r="N418" s="16">
        <ns0:f>IF(('前提と出典'!$C$37+'前提と出典'!$C$38)=0,0,IF(C418&lt;=10,'前提と出典'!D73+'前提と出典'!E73,IF(C418&lt;=100,'前提と出典'!D74+'前提と出典'!E74,IF(C418&lt;=500,'前提と出典'!D75+'前提と出典'!E75,'前提と出典'!D76+'前提と出典'!E76))))</ns0:f>
        <ns0:v>56510.9346263078</ns0:v>
      </ns0:c>
      <ns0:c r="O418" s="16">
        <ns0:f>IF('前提と出典'!$C$36+'前提と出典'!$C$38=0,0,'前提と出典'!$B$4*IF('前提と出典'!$B$20=0,MAX('前提と出典'!$B$6,D418*'前提と出典'!$B$5),'前提と出典'!$B$6+D418*'前提と出典'!$B$5))</ns0:f>
        <ns0:v>411095.0614525139</ns0:v>
      </ns0:c>
      <ns0:c r="P418" s="16">
        <ns0:f>(E418+G418)*(1-'前提と出典'!$B$7)-I418-K418-M418-O418</ns0:f>
        <ns0:v>923646.6995389027</ns0:v>
      </ns0:c>
      <ns0:c r="Q418" s="16">
        <ns0:f>(F418+H418)*(1-'前提と出典'!$B$7)-J418-L418-N418</ns0:f>
        <ns0:v>339553.02653962787</ns0:v>
      </ns0:c>
      <ns0:c r="R418" s="16">
        <ns0:f>P418-E418*'前提と出典'!$E$4</ns0:f>
        <ns0:v>683326.5731727429</ns0:v>
      </ns0:c>
      <ns0:c r="S418" s="16">
        <ns0:f>Q418-F418*'前提と出典'!$E$4</ns0:f>
        <ns0:v>245236.1079603904</ns0:v>
      </ns0:c>
      <ns0:c r="T418" s="7">
        <ns0:f>R418+S418</ns0:f>
        <ns0:v>928562.6811331332</ns0:v>
      </ns0:c>
      <ns0:c r="U418" s="16">
        <ns0:f>P418-E418*'前提と出典'!$E$5</ns0:f>
        <ns0:v>603219.8643840229</ns0:v>
      </ns0:c>
      <ns0:c r="V418" s="16">
        <ns0:f>Q418-F418*'前提と出典'!$E$5</ns0:f>
        <ns0:v>213797.13510064455</ns0:v>
      </ns0:c>
      <ns0:c r="W418" s="7">
        <ns0:f>U418+V418</ns0:f>
        <ns0:v>817016.9994846674</ns0:v>
      </ns0:c>
      <ns0:c r="X418" s="16">
        <ns0:f>P418-E418*'前提と出典'!$E$6</ns0:f>
        <ns0:v>523113.15559530293</ns0:v>
      </ns0:c>
      <ns0:c r="Y418" s="16">
        <ns0:f>Q418-F418*'前提と出典'!$E$6</ns0:f>
        <ns0:v>182358.1622408988</ns0:v>
      </ns0:c>
      <ns0:c r="Z418" s="7">
        <ns0:f>X418+Y418</ns0:f>
        <ns0:v>705471.3178362017</ns0:v>
      </ns0:c>
      <ns0:c r="AA418" s="7">
        <ns0:f>IF(T418&gt;=0,A418,1001)</ns0:f>
        <ns0:v>414</ns0:v>
      </ns0:c>
      <ns0:c r="AB418" s="7">
        <ns0:f>IF(T418&lt;0,A418,0)</ns0:f>
        <ns0:v>0</ns0:v>
      </ns0:c>
      <ns0:c r="AC418" s="16">
        <ns0:f>IF(AND(OR('前提と出典'!$C$36+'前提と出典'!$C$38=0,R418&gt;=0),OR('前提と出典'!$C$37+'前提と出典'!$C$38=0,S418&gt;=0)),0,A418)</ns0:f>
        <ns0:v>0</ns0:v>
      </ns0:c>
      <ns0:c r="AD418" s="7">
        <ns0:f>IF(W418&gt;=0,A418,1001)</ns0:f>
        <ns0:v>414</ns0:v>
      </ns0:c>
      <ns0:c r="AE418" s="7">
        <ns0:f>IF(W418&lt;0,A418,0)</ns0:f>
        <ns0:v>0</ns0:v>
      </ns0:c>
      <ns0:c r="AF418" s="16">
        <ns0:f>IF(AND(OR('前提と出典'!$C$36+'前提と出典'!$C$38=0,U418&gt;=0),OR('前提と出典'!$C$37+'前提と出典'!$C$38=0,V418&gt;=0)),0,A418)</ns0:f>
        <ns0:v>0</ns0:v>
      </ns0:c>
      <ns0:c r="AG418" s="7">
        <ns0:f>IF(Z418&gt;=0,A418,1001)</ns0:f>
        <ns0:v>414</ns0:v>
      </ns0:c>
      <ns0:c r="AH418" s="4">
        <ns0:f>IF(Z418&lt;0,A418,0)</ns0:f>
        <ns0:v>0</ns0:v>
      </ns0:c>
      <ns0:c r="AI418" s="12">
        <ns0:f>IF(AND(OR('前提と出典'!$C$36+'前提と出典'!$C$38=0,X418&gt;=0),OR('前提と出典'!$C$37+'前提と出典'!$C$38=0,Y418&gt;=0)),0,A418)</ns0:f>
        <ns0:v>0</ns0:v>
      </ns0:c>
    </ns0:row>
    <ns0:row r="419" ht="24" customHeight="1">
      <ns0:c r="A419" s="4" t="n">
        <ns0:v>415</ns0:v>
      </ns0:c>
      <ns0:c r="B419" s="12">
        <ns0:f>A419*('前提と出典'!$C$36+'前提と出典'!$C$38)</ns0:f>
        <ns0:v>290.5</ns0:v>
      </ns0:c>
      <ns0:c r="C419" s="12">
        <ns0:f>A419*('前提と出典'!$C$37+'前提と出典'!$C$38)</ns0:f>
        <ns0:v>249</ns0:v>
      </ns0:c>
      <ns0:c r="D419" s="16">
        <ns0:f>A419*('前提と出典'!$C$36*'契約別単価'!C5+'前提と出典'!$C$37*'契約別単価'!C6+'前提と出典'!$C$38*'契約別単価'!C7)</ns0:f>
        <ns0:v>2986.145251396648</ns0:v>
      </ns0:c>
      <ns0:c r="E419" s="16">
        <ns0:f>A419*('前提と出典'!$C$36*'契約別単価'!E5+'前提と出典'!$C$37*'契約別単価'!E6+'前提と出典'!$C$38*'契約別単価'!E7)</ns0:f>
        <ns0:v>803002.0325439319</ns0:v>
      </ns0:c>
      <ns0:c r="F419" s="16">
        <ns0:f>A419*('前提と出典'!$C$36*'契約別単価'!F5+'前提と出典'!$C$37*'契約別単価'!F6+'前提と出典'!$C$38*'契約別単価'!F7)</ns0:f>
        <ns0:v>315149.1240771623</ns0:v>
      </ns0:c>
      <ns0:c r="G419" s="16">
        <ns0:f>A419*('前提と出典'!$C$36*'契約別単価'!G5+'前提と出典'!$C$37*'契約別単価'!G6+'前提と出典'!$C$38*'契約別単価'!G7)</ns0:f>
        <ns0:v>826058.6592178771</ns0:v>
      </ns0:c>
      <ns0:c r="H419" s="16">
        <ns0:f>A419*('前提と出典'!$C$36*'契約別単価'!H5+'前提と出典'!$C$37*'契約別単価'!H6+'前提と出典'!$C$38*'契約別単価'!H7)</ns0:f>
        <ns0:v>286683.7848460177</ns0:v>
      </ns0:c>
      <ns0:c r="I419" s="16">
        <ns0:f>A419*('前提と出典'!$C$36*'契約別単価'!I5+'前提と出典'!$C$37*'契約別単価'!I6+'前提と出典'!$C$38*'契約別単価'!I7)</ns0:f>
        <ns0:v>17511.145251396643</ns0:v>
      </ns0:c>
      <ns0:c r="J419" s="16">
        <ns0:f>A419*('前提と出典'!$C$36*'契約別単価'!J5+'前提と出典'!$C$37*'契約別単価'!J6+'前提と出典'!$C$38*'契約別単価'!J7)</ns0:f>
        <ns0:v>40790.16063977557</ns0:v>
      </ns0:c>
      <ns0:c r="K419" s="16">
        <ns0:f>A419*('前提と出典'!$C$36*'契約別単価'!K5+'前提と出典'!$C$37*'契約別単価'!K6+'前提と出典'!$C$38*'契約別単価'!K7)</ns0:f>
        <ns0:v>174840.9683426443</ns0:v>
      </ns0:c>
      <ns0:c r="L419" s="16">
        <ns0:f>A419*('前提と出典'!$C$36*'契約別単価'!L5+'前提と出典'!$C$37*'契約別単価'!L6+'前提と出典'!$C$38*'契約別単価'!L7)</ns0:f>
        <ns0:v>142356.12616153393</ns0:v>
      </ns0:c>
      <ns0:c r="M419" s="16">
        <ns0:f>IF(('前提と出典'!$C$36+'前提と出典'!$C$38)=0,0,IF(B419&lt;=10,'前提と出典'!B73+'前提と出典'!C73,IF(B419&lt;=100,'前提と出典'!B74+'前提と出典'!C74,IF(B419&lt;=500,'前提と出典'!B75+'前提と出典'!C75,'前提と出典'!B76+'前提と出典'!C76))))</ns0:f>
        <ns0:v>40000</ns0:v>
      </ns0:c>
      <ns0:c r="N419" s="16">
        <ns0:f>IF(('前提と出典'!$C$37+'前提と出典'!$C$38)=0,0,IF(C419&lt;=10,'前提と出典'!D73+'前提と出典'!E73,IF(C419&lt;=100,'前提と出典'!D74+'前提と出典'!E74,IF(C419&lt;=500,'前提と出典'!D75+'前提と出典'!E75,'前提と出典'!D76+'前提と出典'!E76))))</ns0:f>
        <ns0:v>56510.9346263078</ns0:v>
      </ns0:c>
      <ns0:c r="O419" s="16">
        <ns0:f>IF('前提と出典'!$C$36+'前提と出典'!$C$38=0,0,'前提と出典'!$B$4*IF('前提と出典'!$B$20=0,MAX('前提と出典'!$B$6,D419*'前提と出典'!$B$5),'前提と出典'!$B$6+D419*'前提と出典'!$B$5))</ns0:f>
        <ns0:v>412088.0446927374</ns0:v>
      </ns0:c>
      <ns0:c r="P419" s="16">
        <ns0:f>(E419+G419)*(1-'前提と出典'!$B$7)-I419-K419-M419-O419</ns0:f>
        <ns0:v>925974.3485716054</ns0:v>
      </ns0:c>
      <ns0:c r="Q419" s="16">
        <ns0:f>(F419+H419)*(1-'前提と出典'!$B$7)-J419-L419-N419</ns0:f>
        <ns0:v>340509.7027743283</ns0:v>
      </ns0:c>
      <ns0:c r="R419" s="16">
        <ns0:f>P419-E419*'前提と出典'!$E$4</ns0:f>
        <ns0:v>685073.738808426</ns0:v>
      </ns0:c>
      <ns0:c r="S419" s="16">
        <ns0:f>Q419-F419*'前提と出典'!$E$4</ns0:f>
        <ns0:v>245964.9655511796</ns0:v>
      </ns0:c>
      <ns0:c r="T419" s="7">
        <ns0:f>R419+S419</ns0:f>
        <ns0:v>931038.7043596056</ns0:v>
      </ns0:c>
      <ns0:c r="U419" s="16">
        <ns0:f>P419-E419*'前提と出典'!$E$5</ns0:f>
        <ns0:v>604773.5355540327</ns0:v>
      </ns0:c>
      <ns0:c r="V419" s="16">
        <ns0:f>Q419-F419*'前提と出典'!$E$5</ns0:f>
        <ns0:v>214450.0531434634</ns0:v>
      </ns0:c>
      <ns0:c r="W419" s="7">
        <ns0:f>U419+V419</ns0:f>
        <ns0:v>819223.5886974961</ns0:v>
      </ns0:c>
      <ns0:c r="X419" s="16">
        <ns0:f>P419-E419*'前提と出典'!$E$6</ns0:f>
        <ns0:v>524473.3322996395</ns0:v>
      </ns0:c>
      <ns0:c r="Y419" s="16">
        <ns0:f>Q419-F419*'前提と出典'!$E$6</ns0:f>
        <ns0:v>182935.14073574718</ns0:v>
      </ns0:c>
      <ns0:c r="Z419" s="7">
        <ns0:f>X419+Y419</ns0:f>
        <ns0:v>707408.4730353866</ns0:v>
      </ns0:c>
      <ns0:c r="AA419" s="7">
        <ns0:f>IF(T419&gt;=0,A419,1001)</ns0:f>
        <ns0:v>415</ns0:v>
      </ns0:c>
      <ns0:c r="AB419" s="7">
        <ns0:f>IF(T419&lt;0,A419,0)</ns0:f>
        <ns0:v>0</ns0:v>
      </ns0:c>
      <ns0:c r="AC419" s="16">
        <ns0:f>IF(AND(OR('前提と出典'!$C$36+'前提と出典'!$C$38=0,R419&gt;=0),OR('前提と出典'!$C$37+'前提と出典'!$C$38=0,S419&gt;=0)),0,A419)</ns0:f>
        <ns0:v>0</ns0:v>
      </ns0:c>
      <ns0:c r="AD419" s="7">
        <ns0:f>IF(W419&gt;=0,A419,1001)</ns0:f>
        <ns0:v>415</ns0:v>
      </ns0:c>
      <ns0:c r="AE419" s="7">
        <ns0:f>IF(W419&lt;0,A419,0)</ns0:f>
        <ns0:v>0</ns0:v>
      </ns0:c>
      <ns0:c r="AF419" s="16">
        <ns0:f>IF(AND(OR('前提と出典'!$C$36+'前提と出典'!$C$38=0,U419&gt;=0),OR('前提と出典'!$C$37+'前提と出典'!$C$38=0,V419&gt;=0)),0,A419)</ns0:f>
        <ns0:v>0</ns0:v>
      </ns0:c>
      <ns0:c r="AG419" s="7">
        <ns0:f>IF(Z419&gt;=0,A419,1001)</ns0:f>
        <ns0:v>415</ns0:v>
      </ns0:c>
      <ns0:c r="AH419" s="4">
        <ns0:f>IF(Z419&lt;0,A419,0)</ns0:f>
        <ns0:v>0</ns0:v>
      </ns0:c>
      <ns0:c r="AI419" s="12">
        <ns0:f>IF(AND(OR('前提と出典'!$C$36+'前提と出典'!$C$38=0,X419&gt;=0),OR('前提と出典'!$C$37+'前提と出典'!$C$38=0,Y419&gt;=0)),0,A419)</ns0:f>
        <ns0:v>0</ns0:v>
      </ns0:c>
    </ns0:row>
    <ns0:row r="420" ht="24" customHeight="1">
      <ns0:c r="A420" s="4" t="n">
        <ns0:v>416</ns0:v>
      </ns0:c>
      <ns0:c r="B420" s="12">
        <ns0:f>A420*('前提と出典'!$C$36+'前提と出典'!$C$38)</ns0:f>
        <ns0:v>291.2</ns0:v>
      </ns0:c>
      <ns0:c r="C420" s="12">
        <ns0:f>A420*('前提と出典'!$C$37+'前提と出典'!$C$38)</ns0:f>
        <ns0:v>249.6</ns0:v>
      </ns0:c>
      <ns0:c r="D420" s="16">
        <ns0:f>A420*('前提と出典'!$C$36*'契約別単価'!C5+'前提と出典'!$C$37*'契約別単価'!C6+'前提と出典'!$C$38*'契約別単価'!C7)</ns0:f>
        <ns0:v>2993.340782122905</ns0:v>
      </ns0:c>
      <ns0:c r="E420" s="16">
        <ns0:f>A420*('前提と出典'!$C$36*'契約別単価'!E5+'前提と出典'!$C$37*'契約別単価'!E6+'前提と出典'!$C$38*'契約別単価'!E7)</ns0:f>
        <ns0:v>804936.9772006642</ns0:v>
      </ns0:c>
      <ns0:c r="F420" s="16">
        <ns0:f>A420*('前提と出典'!$C$36*'契約別単価'!F5+'前提と出典'!$C$37*'契約別単価'!F6+'前提と出典'!$C$38*'契約別単価'!F7)</ns0:f>
        <ns0:v>315908.5195568663</ns0:v>
      </ns0:c>
      <ns0:c r="G420" s="16">
        <ns0:f>A420*('前提と出典'!$C$36*'契約別単価'!G5+'前提と出典'!$C$37*'契約別単価'!G6+'前提と出典'!$C$38*'契約別単価'!G7)</ns0:f>
        <ns0:v>828049.1620111731</ns0:v>
      </ns0:c>
      <ns0:c r="H420" s="16">
        <ns0:f>A420*('前提と出典'!$C$36*'契約別単価'!H5+'前提と出典'!$C$37*'契約別単価'!H6+'前提と出典'!$C$38*'契約別単価'!H7)</ns0:f>
        <ns0:v>287374.5891468515</ns0:v>
      </ns0:c>
      <ns0:c r="I420" s="16">
        <ns0:f>A420*('前提と出典'!$C$36*'契約別単価'!I5+'前提と出典'!$C$37*'契約別単価'!I6+'前提と出典'!$C$38*'契約別単価'!I7)</ns0:f>
        <ns0:v>17553.3407821229</ns0:v>
      </ns0:c>
      <ns0:c r="J420" s="16">
        <ns0:f>A420*('前提と出典'!$C$36*'契約別単価'!J5+'前提と出典'!$C$37*'契約別単価'!J6+'前提と出典'!$C$38*'契約別単価'!J7)</ns0:f>
        <ns0:v>40888.45018348587</ns0:v>
      </ns0:c>
      <ns0:c r="K420" s="16">
        <ns0:f>A420*('前提と出典'!$C$36*'契約別単価'!K5+'前提と出典'!$C$37*'契約別単価'!K6+'前提と出典'!$C$38*'契約別単価'!K7)</ns0:f>
        <ns0:v>175262.27188081935</ns0:v>
      </ns0:c>
      <ns0:c r="L420" s="16">
        <ns0:f>A420*('前提と出典'!$C$36*'契約別単価'!L5+'前提と出典'!$C$37*'契約別単価'!L6+'前提と出典'!$C$38*'契約別単価'!L7)</ns0:f>
        <ns0:v>142699.1529715617</ns0:v>
      </ns0:c>
      <ns0:c r="M420" s="16">
        <ns0:f>IF(('前提と出典'!$C$36+'前提と出典'!$C$38)=0,0,IF(B420&lt;=10,'前提と出典'!B73+'前提と出典'!C73,IF(B420&lt;=100,'前提と出典'!B74+'前提と出典'!C74,IF(B420&lt;=500,'前提と出典'!B75+'前提と出典'!C75,'前提と出典'!B76+'前提と出典'!C76))))</ns0:f>
        <ns0:v>40000</ns0:v>
      </ns0:c>
      <ns0:c r="N420" s="16">
        <ns0:f>IF(('前提と出典'!$C$37+'前提と出典'!$C$38)=0,0,IF(C420&lt;=10,'前提と出典'!D73+'前提と出典'!E73,IF(C420&lt;=100,'前提と出典'!D74+'前提と出典'!E74,IF(C420&lt;=500,'前提と出典'!D75+'前提と出典'!E75,'前提と出典'!D76+'前提と出典'!E76))))</ns0:f>
        <ns0:v>56510.9346263078</ns0:v>
      </ns0:c>
      <ns0:c r="O420" s="16">
        <ns0:f>IF('前提と出典'!$C$36+'前提と出典'!$C$38=0,0,'前提と出典'!$B$4*IF('前提と出典'!$B$20=0,MAX('前提と出典'!$B$6,D420*'前提と出典'!$B$5),'前提と出典'!$B$6+D420*'前提と出典'!$B$5))</ns0:f>
        <ns0:v>413081.0279329609</ns0:v>
      </ns0:c>
      <ns0:c r="P420" s="16">
        <ns0:f>(E420+G420)*(1-'前提と出典'!$B$7)-I420-K420-M420-O420</ns0:f>
        <ns0:v>928301.997604308</ns0:v>
      </ns0:c>
      <ns0:c r="Q420" s="16">
        <ns0:f>(F420+H420)*(1-'前提と出典'!$B$7)-J420-L420-N420</ns0:f>
        <ns0:v>341466.3790090286</ns0:v>
      </ns0:c>
      <ns0:c r="R420" s="16">
        <ns0:f>P420-E420*'前提と出典'!$E$4</ns0:f>
        <ns0:v>686820.9044441088</ns0:v>
      </ns0:c>
      <ns0:c r="S420" s="16">
        <ns0:f>Q420-F420*'前提と出典'!$E$4</ns0:f>
        <ns0:v>246693.8231419687</ns0:v>
      </ns0:c>
      <ns0:c r="T420" s="7">
        <ns0:f>R420+S420</ns0:f>
        <ns0:v>933514.7275860775</ns0:v>
      </ns0:c>
      <ns0:c r="U420" s="16">
        <ns0:f>P420-E420*'前提と出典'!$E$5</ns0:f>
        <ns0:v>606327.2067240422</ns0:v>
      </ns0:c>
      <ns0:c r="V420" s="16">
        <ns0:f>Q420-F420*'前提と出典'!$E$5</ns0:f>
        <ns0:v>215102.97118628205</ns0:v>
      </ns0:c>
      <ns0:c r="W420" s="7">
        <ns0:f>U420+V420</ns0:f>
        <ns0:v>821430.1779103242</ns0:v>
      </ns0:c>
      <ns0:c r="X420" s="16">
        <ns0:f>P420-E420*'前提と出典'!$E$6</ns0:f>
        <ns0:v>525833.5090039759</ns0:v>
      </ns0:c>
      <ns0:c r="Y420" s="16">
        <ns0:f>Q420-F420*'前提と出典'!$E$6</ns0:f>
        <ns0:v>183512.11923059548</ns0:v>
      </ns0:c>
      <ns0:c r="Z420" s="7">
        <ns0:f>X420+Y420</ns0:f>
        <ns0:v>709345.6282345713</ns0:v>
      </ns0:c>
      <ns0:c r="AA420" s="7">
        <ns0:f>IF(T420&gt;=0,A420,1001)</ns0:f>
        <ns0:v>416</ns0:v>
      </ns0:c>
      <ns0:c r="AB420" s="7">
        <ns0:f>IF(T420&lt;0,A420,0)</ns0:f>
        <ns0:v>0</ns0:v>
      </ns0:c>
      <ns0:c r="AC420" s="16">
        <ns0:f>IF(AND(OR('前提と出典'!$C$36+'前提と出典'!$C$38=0,R420&gt;=0),OR('前提と出典'!$C$37+'前提と出典'!$C$38=0,S420&gt;=0)),0,A420)</ns0:f>
        <ns0:v>0</ns0:v>
      </ns0:c>
      <ns0:c r="AD420" s="7">
        <ns0:f>IF(W420&gt;=0,A420,1001)</ns0:f>
        <ns0:v>416</ns0:v>
      </ns0:c>
      <ns0:c r="AE420" s="7">
        <ns0:f>IF(W420&lt;0,A420,0)</ns0:f>
        <ns0:v>0</ns0:v>
      </ns0:c>
      <ns0:c r="AF420" s="16">
        <ns0:f>IF(AND(OR('前提と出典'!$C$36+'前提と出典'!$C$38=0,U420&gt;=0),OR('前提と出典'!$C$37+'前提と出典'!$C$38=0,V420&gt;=0)),0,A420)</ns0:f>
        <ns0:v>0</ns0:v>
      </ns0:c>
      <ns0:c r="AG420" s="7">
        <ns0:f>IF(Z420&gt;=0,A420,1001)</ns0:f>
        <ns0:v>416</ns0:v>
      </ns0:c>
      <ns0:c r="AH420" s="4">
        <ns0:f>IF(Z420&lt;0,A420,0)</ns0:f>
        <ns0:v>0</ns0:v>
      </ns0:c>
      <ns0:c r="AI420" s="12">
        <ns0:f>IF(AND(OR('前提と出典'!$C$36+'前提と出典'!$C$38=0,X420&gt;=0),OR('前提と出典'!$C$37+'前提と出典'!$C$38=0,Y420&gt;=0)),0,A420)</ns0:f>
        <ns0:v>0</ns0:v>
      </ns0:c>
    </ns0:row>
    <ns0:row r="421" ht="24" customHeight="1">
      <ns0:c r="A421" s="4" t="n">
        <ns0:v>417</ns0:v>
      </ns0:c>
      <ns0:c r="B421" s="12">
        <ns0:f>A421*('前提と出典'!$C$36+'前提と出典'!$C$38)</ns0:f>
        <ns0:v>291.9</ns0:v>
      </ns0:c>
      <ns0:c r="C421" s="12">
        <ns0:f>A421*('前提と出典'!$C$37+'前提と出典'!$C$38)</ns0:f>
        <ns0:v>250.2</ns0:v>
      </ns0:c>
      <ns0:c r="D421" s="16">
        <ns0:f>A421*('前提と出典'!$C$36*'契約別単価'!C5+'前提と出典'!$C$37*'契約別単価'!C6+'前提と出典'!$C$38*'契約別単価'!C7)</ns0:f>
        <ns0:v>3000.536312849162</ns0:v>
      </ns0:c>
      <ns0:c r="E421" s="16">
        <ns0:f>A421*('前提と出典'!$C$36*'契約別単価'!E5+'前提と出典'!$C$37*'契約別単価'!E6+'前提と出典'!$C$38*'契約別単価'!E7)</ns0:f>
        <ns0:v>806871.9218573966</ns0:v>
      </ns0:c>
      <ns0:c r="F421" s="16">
        <ns0:f>A421*('前提と出典'!$C$36*'契約別単価'!F5+'前提と出典'!$C$37*'契約別単価'!F6+'前提と出典'!$C$38*'契約別単価'!F7)</ns0:f>
        <ns0:v>316667.9150365703</ns0:v>
      </ns0:c>
      <ns0:c r="G421" s="16">
        <ns0:f>A421*('前提と出典'!$C$36*'契約別単価'!G5+'前提と出典'!$C$37*'契約別単価'!G6+'前提と出典'!$C$38*'契約別単価'!G7)</ns0:f>
        <ns0:v>830039.6648044692</ns0:v>
      </ns0:c>
      <ns0:c r="H421" s="16">
        <ns0:f>A421*('前提と出典'!$C$36*'契約別単価'!H5+'前提と出典'!$C$37*'契約別単価'!H6+'前提と出典'!$C$38*'契約別単価'!H7)</ns0:f>
        <ns0:v>288065.3934476853</ns0:v>
      </ns0:c>
      <ns0:c r="I421" s="16">
        <ns0:f>A421*('前提と出典'!$C$36*'契約別単価'!I5+'前提と出典'!$C$37*'契約別単価'!I6+'前提と出典'!$C$38*'契約別単価'!I7)</ns0:f>
        <ns0:v>17595.53631284916</ns0:v>
      </ns0:c>
      <ns0:c r="J421" s="16">
        <ns0:f>A421*('前提と出典'!$C$36*'契約別単価'!J5+'前提と出典'!$C$37*'契約別単価'!J6+'前提と出典'!$C$38*'契約別単価'!J7)</ns0:f>
        <ns0:v>40986.73972719617</ns0:v>
      </ns0:c>
      <ns0:c r="K421" s="16">
        <ns0:f>A421*('前提と出典'!$C$36*'契約別単価'!K5+'前提と出典'!$C$37*'契約別単価'!K6+'前提と出典'!$C$38*'契約別単価'!K7)</ns0:f>
        <ns0:v>175683.5754189944</ns0:v>
      </ns0:c>
      <ns0:c r="L421" s="16">
        <ns0:f>A421*('前提と出典'!$C$36*'契約別単価'!L5+'前提と出典'!$C$37*'契約別単価'!L6+'前提と出典'!$C$38*'契約別単価'!L7)</ns0:f>
        <ns0:v>143042.1797815895</ns0:v>
      </ns0:c>
      <ns0:c r="M421" s="16">
        <ns0:f>IF(('前提と出典'!$C$36+'前提と出典'!$C$38)=0,0,IF(B421&lt;=10,'前提と出典'!B73+'前提と出典'!C73,IF(B421&lt;=100,'前提と出典'!B74+'前提と出典'!C74,IF(B421&lt;=500,'前提と出典'!B75+'前提と出典'!C75,'前提と出典'!B76+'前提と出典'!C76))))</ns0:f>
        <ns0:v>40000</ns0:v>
      </ns0:c>
      <ns0:c r="N421" s="16">
        <ns0:f>IF(('前提と出典'!$C$37+'前提と出典'!$C$38)=0,0,IF(C421&lt;=10,'前提と出典'!D73+'前提と出典'!E73,IF(C421&lt;=100,'前提と出典'!D74+'前提と出典'!E74,IF(C421&lt;=500,'前提と出典'!D75+'前提と出典'!E75,'前提と出典'!D76+'前提と出典'!E76))))</ns0:f>
        <ns0:v>56510.9346263078</ns0:v>
      </ns0:c>
      <ns0:c r="O421" s="16">
        <ns0:f>IF('前提と出典'!$C$36+'前提と出典'!$C$38=0,0,'前提と出典'!$B$4*IF('前提と出典'!$B$20=0,MAX('前提と出典'!$B$6,D421*'前提と出典'!$B$5),'前提と出典'!$B$6+D421*'前提と出典'!$B$5))</ns0:f>
        <ns0:v>414074.01117318444</ns0:v>
      </ns0:c>
      <ns0:c r="P421" s="16">
        <ns0:f>(E421+G421)*(1-'前提と出典'!$B$7)-I421-K421-M421-O421</ns0:f>
        <ns0:v>930629.6466370105</ns0:v>
      </ns0:c>
      <ns0:c r="Q421" s="16">
        <ns0:f>(F421+H421)*(1-'前提と出典'!$B$7)-J421-L421-N421</ns0:f>
        <ns0:v>342423.0552437289</ns0:v>
      </ns0:c>
      <ns0:c r="R421" s="16">
        <ns0:f>P421-E421*'前提と出典'!$E$4</ns0:f>
        <ns0:v>688568.0700797914</ns0:v>
      </ns0:c>
      <ns0:c r="S421" s="16">
        <ns0:f>Q421-F421*'前提と出典'!$E$4</ns0:f>
        <ns0:v>247422.68073275778</ns0:v>
      </ns0:c>
      <ns0:c r="T421" s="7">
        <ns0:f>R421+S421</ns0:f>
        <ns0:v>935990.7508125491</ns0:v>
      </ns0:c>
      <ns0:c r="U421" s="16">
        <ns0:f>P421-E421*'前提と出典'!$E$5</ns0:f>
        <ns0:v>607880.8778940518</ns0:v>
      </ns0:c>
      <ns0:c r="V421" s="16">
        <ns0:f>Q421-F421*'前提と出典'!$E$5</ns0:f>
        <ns0:v>215755.88922910078</ns0:v>
      </ns0:c>
      <ns0:c r="W421" s="7">
        <ns0:f>U421+V421</ns0:f>
        <ns0:v>823636.7671231526</ns0:v>
      </ns0:c>
      <ns0:c r="X421" s="16">
        <ns0:f>P421-E421*'前提と出典'!$E$6</ns0:f>
        <ns0:v>527193.6857083123</ns0:v>
      </ns0:c>
      <ns0:c r="Y421" s="16">
        <ns0:f>Q421-F421*'前提と出典'!$E$6</ns0:f>
        <ns0:v>184089.09772544375</ns0:v>
      </ns0:c>
      <ns0:c r="Z421" s="7">
        <ns0:f>X421+Y421</ns0:f>
        <ns0:v>711282.7834337561</ns0:v>
      </ns0:c>
      <ns0:c r="AA421" s="7">
        <ns0:f>IF(T421&gt;=0,A421,1001)</ns0:f>
        <ns0:v>417</ns0:v>
      </ns0:c>
      <ns0:c r="AB421" s="7">
        <ns0:f>IF(T421&lt;0,A421,0)</ns0:f>
        <ns0:v>0</ns0:v>
      </ns0:c>
      <ns0:c r="AC421" s="16">
        <ns0:f>IF(AND(OR('前提と出典'!$C$36+'前提と出典'!$C$38=0,R421&gt;=0),OR('前提と出典'!$C$37+'前提と出典'!$C$38=0,S421&gt;=0)),0,A421)</ns0:f>
        <ns0:v>0</ns0:v>
      </ns0:c>
      <ns0:c r="AD421" s="7">
        <ns0:f>IF(W421&gt;=0,A421,1001)</ns0:f>
        <ns0:v>417</ns0:v>
      </ns0:c>
      <ns0:c r="AE421" s="7">
        <ns0:f>IF(W421&lt;0,A421,0)</ns0:f>
        <ns0:v>0</ns0:v>
      </ns0:c>
      <ns0:c r="AF421" s="16">
        <ns0:f>IF(AND(OR('前提と出典'!$C$36+'前提と出典'!$C$38=0,U421&gt;=0),OR('前提と出典'!$C$37+'前提と出典'!$C$38=0,V421&gt;=0)),0,A421)</ns0:f>
        <ns0:v>0</ns0:v>
      </ns0:c>
      <ns0:c r="AG421" s="7">
        <ns0:f>IF(Z421&gt;=0,A421,1001)</ns0:f>
        <ns0:v>417</ns0:v>
      </ns0:c>
      <ns0:c r="AH421" s="4">
        <ns0:f>IF(Z421&lt;0,A421,0)</ns0:f>
        <ns0:v>0</ns0:v>
      </ns0:c>
      <ns0:c r="AI421" s="12">
        <ns0:f>IF(AND(OR('前提と出典'!$C$36+'前提と出典'!$C$38=0,X421&gt;=0),OR('前提と出典'!$C$37+'前提と出典'!$C$38=0,Y421&gt;=0)),0,A421)</ns0:f>
        <ns0:v>0</ns0:v>
      </ns0:c>
    </ns0:row>
    <ns0:row r="422" ht="24" customHeight="1">
      <ns0:c r="A422" s="4" t="n">
        <ns0:v>418</ns0:v>
      </ns0:c>
      <ns0:c r="B422" s="12">
        <ns0:f>A422*('前提と出典'!$C$36+'前提と出典'!$C$38)</ns0:f>
        <ns0:v>292.59999999999997</ns0:v>
      </ns0:c>
      <ns0:c r="C422" s="12">
        <ns0:f>A422*('前提と出典'!$C$37+'前提と出典'!$C$38)</ns0:f>
        <ns0:v>250.79999999999998</ns0:v>
      </ns0:c>
      <ns0:c r="D422" s="16">
        <ns0:f>A422*('前提と出典'!$C$36*'契約別単価'!C5+'前提と出典'!$C$37*'契約別単価'!C6+'前提と出典'!$C$38*'契約別単価'!C7)</ns0:f>
        <ns0:v>3007.731843575419</ns0:v>
      </ns0:c>
      <ns0:c r="E422" s="16">
        <ns0:f>A422*('前提と出典'!$C$36*'契約別単価'!E5+'前提と出典'!$C$37*'契約別単価'!E6+'前提と出典'!$C$38*'契約別単価'!E7)</ns0:f>
        <ns0:v>808806.866514129</ns0:v>
      </ns0:c>
      <ns0:c r="F422" s="16">
        <ns0:f>A422*('前提と出典'!$C$36*'契約別単価'!F5+'前提と出典'!$C$37*'契約別単価'!F6+'前提と出典'!$C$38*'契約別単価'!F7)</ns0:f>
        <ns0:v>317427.3105162743</ns0:v>
      </ns0:c>
      <ns0:c r="G422" s="16">
        <ns0:f>A422*('前提と出典'!$C$36*'契約別単価'!G5+'前提と出典'!$C$37*'契約別単価'!G6+'前提と出典'!$C$38*'契約別単価'!G7)</ns0:f>
        <ns0:v>832030.1675977653</ns0:v>
      </ns0:c>
      <ns0:c r="H422" s="16">
        <ns0:f>A422*('前提と出典'!$C$36*'契約別単価'!H5+'前提と出典'!$C$37*'契約別単価'!H6+'前提と出典'!$C$38*'契約別単価'!H7)</ns0:f>
        <ns0:v>288756.1977485191</ns0:v>
      </ns0:c>
      <ns0:c r="I422" s="16">
        <ns0:f>A422*('前提と出典'!$C$36*'契約別単価'!I5+'前提と出典'!$C$37*'契約別単価'!I6+'前提と出典'!$C$38*'契約別単価'!I7)</ns0:f>
        <ns0:v>17637.731843575417</ns0:v>
      </ns0:c>
      <ns0:c r="J422" s="16">
        <ns0:f>A422*('前提と出典'!$C$36*'契約別単価'!J5+'前提と出典'!$C$37*'契約別単価'!J6+'前提と出典'!$C$38*'契約別単価'!J7)</ns0:f>
        <ns0:v>41085.029270906474</ns0:v>
      </ns0:c>
      <ns0:c r="K422" s="16">
        <ns0:f>A422*('前提と出典'!$C$36*'契約別単価'!K5+'前提と出典'!$C$37*'契約別単価'!K6+'前提と出典'!$C$38*'契約別単価'!K7)</ns0:f>
        <ns0:v>176104.87895716945</ns0:v>
      </ns0:c>
      <ns0:c r="L422" s="16">
        <ns0:f>A422*('前提と出典'!$C$36*'契約別単価'!L5+'前提と出典'!$C$37*'契約別単価'!L6+'前提と出典'!$C$38*'契約別単価'!L7)</ns0:f>
        <ns0:v>143385.2065916173</ns0:v>
      </ns0:c>
      <ns0:c r="M422" s="16">
        <ns0:f>IF(('前提と出典'!$C$36+'前提と出典'!$C$38)=0,0,IF(B422&lt;=10,'前提と出典'!B73+'前提と出典'!C73,IF(B422&lt;=100,'前提と出典'!B74+'前提と出典'!C74,IF(B422&lt;=500,'前提と出典'!B75+'前提と出典'!C75,'前提と出典'!B76+'前提と出典'!C76))))</ns0:f>
        <ns0:v>40000</ns0:v>
      </ns0:c>
      <ns0:c r="N422" s="16">
        <ns0:f>IF(('前提と出典'!$C$37+'前提と出典'!$C$38)=0,0,IF(C422&lt;=10,'前提と出典'!D73+'前提と出典'!E73,IF(C422&lt;=100,'前提と出典'!D74+'前提と出典'!E74,IF(C422&lt;=500,'前提と出典'!D75+'前提と出典'!E75,'前提と出典'!D76+'前提と出典'!E76))))</ns0:f>
        <ns0:v>56510.9346263078</ns0:v>
      </ns0:c>
      <ns0:c r="O422" s="16">
        <ns0:f>IF('前提と出典'!$C$36+'前提と出典'!$C$38=0,0,'前提と出典'!$B$4*IF('前提と出典'!$B$20=0,MAX('前提と出典'!$B$6,D422*'前提と出典'!$B$5),'前提と出典'!$B$6+D422*'前提と出典'!$B$5))</ns0:f>
        <ns0:v>415066.9944134078</ns0:v>
      </ns0:c>
      <ns0:c r="P422" s="16">
        <ns0:f>(E422+G422)*(1-'前提と出典'!$B$7)-I422-K422-M422-O422</ns0:f>
        <ns0:v>932957.2956697135</ns0:v>
      </ns0:c>
      <ns0:c r="Q422" s="16">
        <ns0:f>(F422+H422)*(1-'前提と出典'!$B$7)-J422-L422-N422</ns0:f>
        <ns0:v>343379.73147842917</ns0:v>
      </ns0:c>
      <ns0:c r="R422" s="16">
        <ns0:f>P422-E422*'前提と出典'!$E$4</ns0:f>
        <ns0:v>690315.2357154749</ns0:v>
      </ns0:c>
      <ns0:c r="S422" s="16">
        <ns0:f>Q422-F422*'前提と出典'!$E$4</ns0:f>
        <ns0:v>248151.53832354688</ns0:v>
      </ns0:c>
      <ns0:c r="T422" s="7">
        <ns0:f>R422+S422</ns0:f>
        <ns0:v>938466.7740390218</ns0:v>
      </ns0:c>
      <ns0:c r="U422" s="16">
        <ns0:f>P422-E422*'前提と出典'!$E$5</ns0:f>
        <ns0:v>609434.5490640618</ns0:v>
      </ns0:c>
      <ns0:c r="V422" s="16">
        <ns0:f>Q422-F422*'前提と出典'!$E$5</ns0:f>
        <ns0:v>216408.80727191945</ns0:v>
      </ns0:c>
      <ns0:c r="W422" s="7">
        <ns0:f>U422+V422</ns0:f>
        <ns0:v>825843.3563359813</ns0:v>
      </ns0:c>
      <ns0:c r="X422" s="16">
        <ns0:f>P422-E422*'前提と出典'!$E$6</ns0:f>
        <ns0:v>528553.8624126487</ns0:v>
      </ns0:c>
      <ns0:c r="Y422" s="16">
        <ns0:f>Q422-F422*'前提と出典'!$E$6</ns0:f>
        <ns0:v>184666.07622029205</ns0:v>
      </ns0:c>
      <ns0:c r="Z422" s="7">
        <ns0:f>X422+Y422</ns0:f>
        <ns0:v>713219.9386329408</ns0:v>
      </ns0:c>
      <ns0:c r="AA422" s="7">
        <ns0:f>IF(T422&gt;=0,A422,1001)</ns0:f>
        <ns0:v>418</ns0:v>
      </ns0:c>
      <ns0:c r="AB422" s="7">
        <ns0:f>IF(T422&lt;0,A422,0)</ns0:f>
        <ns0:v>0</ns0:v>
      </ns0:c>
      <ns0:c r="AC422" s="16">
        <ns0:f>IF(AND(OR('前提と出典'!$C$36+'前提と出典'!$C$38=0,R422&gt;=0),OR('前提と出典'!$C$37+'前提と出典'!$C$38=0,S422&gt;=0)),0,A422)</ns0:f>
        <ns0:v>0</ns0:v>
      </ns0:c>
      <ns0:c r="AD422" s="7">
        <ns0:f>IF(W422&gt;=0,A422,1001)</ns0:f>
        <ns0:v>418</ns0:v>
      </ns0:c>
      <ns0:c r="AE422" s="7">
        <ns0:f>IF(W422&lt;0,A422,0)</ns0:f>
        <ns0:v>0</ns0:v>
      </ns0:c>
      <ns0:c r="AF422" s="16">
        <ns0:f>IF(AND(OR('前提と出典'!$C$36+'前提と出典'!$C$38=0,U422&gt;=0),OR('前提と出典'!$C$37+'前提と出典'!$C$38=0,V422&gt;=0)),0,A422)</ns0:f>
        <ns0:v>0</ns0:v>
      </ns0:c>
      <ns0:c r="AG422" s="7">
        <ns0:f>IF(Z422&gt;=0,A422,1001)</ns0:f>
        <ns0:v>418</ns0:v>
      </ns0:c>
      <ns0:c r="AH422" s="4">
        <ns0:f>IF(Z422&lt;0,A422,0)</ns0:f>
        <ns0:v>0</ns0:v>
      </ns0:c>
      <ns0:c r="AI422" s="12">
        <ns0:f>IF(AND(OR('前提と出典'!$C$36+'前提と出典'!$C$38=0,X422&gt;=0),OR('前提と出典'!$C$37+'前提と出典'!$C$38=0,Y422&gt;=0)),0,A422)</ns0:f>
        <ns0:v>0</ns0:v>
      </ns0:c>
    </ns0:row>
    <ns0:row r="423" ht="24" customHeight="1">
      <ns0:c r="A423" s="4" t="n">
        <ns0:v>419</ns0:v>
      </ns0:c>
      <ns0:c r="B423" s="12">
        <ns0:f>A423*('前提と出典'!$C$36+'前提と出典'!$C$38)</ns0:f>
        <ns0:v>293.29999999999995</ns0:v>
      </ns0:c>
      <ns0:c r="C423" s="12">
        <ns0:f>A423*('前提と出典'!$C$37+'前提と出典'!$C$38)</ns0:f>
        <ns0:v>251.39999999999998</ns0:v>
      </ns0:c>
      <ns0:c r="D423" s="16">
        <ns0:f>A423*('前提と出典'!$C$36*'契約別単価'!C5+'前提と出典'!$C$37*'契約別単価'!C6+'前提と出典'!$C$38*'契約別単価'!C7)</ns0:f>
        <ns0:v>3014.927374301676</ns0:v>
      </ns0:c>
      <ns0:c r="E423" s="16">
        <ns0:f>A423*('前提と出典'!$C$36*'契約別単価'!E5+'前提と出典'!$C$37*'契約別単価'!E6+'前提と出典'!$C$38*'契約別単価'!E7)</ns0:f>
        <ns0:v>810741.8111708614</ns0:v>
      </ns0:c>
      <ns0:c r="F423" s="16">
        <ns0:f>A423*('前提と出典'!$C$36*'契約別単価'!F5+'前提と出典'!$C$37*'契約別単価'!F6+'前提と出典'!$C$38*'契約別単価'!F7)</ns0:f>
        <ns0:v>318186.7059959783</ns0:v>
      </ns0:c>
      <ns0:c r="G423" s="16">
        <ns0:f>A423*('前提と出典'!$C$36*'契約別単価'!G5+'前提と出典'!$C$37*'契約別単価'!G6+'前提と出典'!$C$38*'契約別単価'!G7)</ns0:f>
        <ns0:v>834020.6703910615</ns0:v>
      </ns0:c>
      <ns0:c r="H423" s="16">
        <ns0:f>A423*('前提と出典'!$C$36*'契約別単価'!H5+'前提と出典'!$C$37*'契約別単価'!H6+'前提と出典'!$C$38*'契約別単価'!H7)</ns0:f>
        <ns0:v>289447.00204935286</ns0:v>
      </ns0:c>
      <ns0:c r="I423" s="16">
        <ns0:f>A423*('前提と出典'!$C$36*'契約別単価'!I5+'前提と出典'!$C$37*'契約別単価'!I6+'前提と出典'!$C$38*'契約別単価'!I7)</ns0:f>
        <ns0:v>17679.927374301675</ns0:v>
      </ns0:c>
      <ns0:c r="J423" s="16">
        <ns0:f>A423*('前提と出典'!$C$36*'契約別単価'!J5+'前提と出典'!$C$37*'契約別単価'!J6+'前提と出典'!$C$38*'契約別単価'!J7)</ns0:f>
        <ns0:v>41183.318814616774</ns0:v>
      </ns0:c>
      <ns0:c r="K423" s="16">
        <ns0:f>A423*('前提と出典'!$C$36*'契約別単価'!K5+'前提と出典'!$C$37*'契約別単価'!K6+'前提と出典'!$C$38*'契約別単価'!K7)</ns0:f>
        <ns0:v>176526.1824953445</ns0:v>
      </ns0:c>
      <ns0:c r="L423" s="16">
        <ns0:f>A423*('前提と出典'!$C$36*'契約別単価'!L5+'前提と出典'!$C$37*'契約別単価'!L6+'前提と出典'!$C$38*'契約別単価'!L7)</ns0:f>
        <ns0:v>143728.2334016451</ns0:v>
      </ns0:c>
      <ns0:c r="M423" s="16">
        <ns0:f>IF(('前提と出典'!$C$36+'前提と出典'!$C$38)=0,0,IF(B423&lt;=10,'前提と出典'!B73+'前提と出典'!C73,IF(B423&lt;=100,'前提と出典'!B74+'前提と出典'!C74,IF(B423&lt;=500,'前提と出典'!B75+'前提と出典'!C75,'前提と出典'!B76+'前提と出典'!C76))))</ns0:f>
        <ns0:v>40000</ns0:v>
      </ns0:c>
      <ns0:c r="N423" s="16">
        <ns0:f>IF(('前提と出典'!$C$37+'前提と出典'!$C$38)=0,0,IF(C423&lt;=10,'前提と出典'!D73+'前提と出典'!E73,IF(C423&lt;=100,'前提と出典'!D74+'前提と出典'!E74,IF(C423&lt;=500,'前提と出典'!D75+'前提と出典'!E75,'前提と出典'!D76+'前提と出典'!E76))))</ns0:f>
        <ns0:v>56510.9346263078</ns0:v>
      </ns0:c>
      <ns0:c r="O423" s="16">
        <ns0:f>IF('前提と出典'!$C$36+'前提と出典'!$C$38=0,0,'前提と出典'!$B$4*IF('前提と出典'!$B$20=0,MAX('前提と出典'!$B$6,D423*'前提と出典'!$B$5),'前提と出典'!$B$6+D423*'前提と出典'!$B$5))</ns0:f>
        <ns0:v>416059.9776536313</ns0:v>
      </ns0:c>
      <ns0:c r="P423" s="16">
        <ns0:f>(E423+G423)*(1-'前提と出典'!$B$7)-I423-K423-M423-O423</ns0:f>
        <ns0:v>935284.9447024164</ns0:v>
      </ns0:c>
      <ns0:c r="Q423" s="16">
        <ns0:f>(F423+H423)*(1-'前提と出典'!$B$7)-J423-L423-N423</ns0:f>
        <ns0:v>344336.40771312965</ns0:v>
      </ns0:c>
      <ns0:c r="R423" s="16">
        <ns0:f>P423-E423*'前提と出典'!$E$4</ns0:f>
        <ns0:v>692062.401351158</ns0:v>
      </ns0:c>
      <ns0:c r="S423" s="16">
        <ns0:f>Q423-F423*'前提と出典'!$E$4</ns0:f>
        <ns0:v>248880.39591433608</ns0:v>
      </ns0:c>
      <ns0:c r="T423" s="7">
        <ns0:f>R423+S423</ns0:f>
        <ns0:v>940942.7972654941</ns0:v>
      </ns0:c>
      <ns0:c r="U423" s="16">
        <ns0:f>P423-E423*'前提と出典'!$E$5</ns0:f>
        <ns0:v>610988.2202340718</ns0:v>
      </ns0:c>
      <ns0:c r="V423" s="16">
        <ns0:f>Q423-F423*'前提と出典'!$E$5</ns0:f>
        <ns0:v>217061.7253147383</ns0:v>
      </ns0:c>
      <ns0:c r="W423" s="7">
        <ns0:f>U423+V423</ns0:f>
        <ns0:v>828049.9455488101</ns0:v>
      </ns0:c>
      <ns0:c r="X423" s="16">
        <ns0:f>P423-E423*'前提と出典'!$E$6</ns0:f>
        <ns0:v>529914.0391169859</ns0:v>
      </ns0:c>
      <ns0:c r="Y423" s="16">
        <ns0:f>Q423-F423*'前提と出典'!$E$6</ns0:f>
        <ns0:v>185243.05471514043</ns0:v>
      </ns0:c>
      <ns0:c r="Z423" s="7">
        <ns0:f>X423+Y423</ns0:f>
        <ns0:v>715157.0938321264</ns0:v>
      </ns0:c>
      <ns0:c r="AA423" s="7">
        <ns0:f>IF(T423&gt;=0,A423,1001)</ns0:f>
        <ns0:v>419</ns0:v>
      </ns0:c>
      <ns0:c r="AB423" s="7">
        <ns0:f>IF(T423&lt;0,A423,0)</ns0:f>
        <ns0:v>0</ns0:v>
      </ns0:c>
      <ns0:c r="AC423" s="16">
        <ns0:f>IF(AND(OR('前提と出典'!$C$36+'前提と出典'!$C$38=0,R423&gt;=0),OR('前提と出典'!$C$37+'前提と出典'!$C$38=0,S423&gt;=0)),0,A423)</ns0:f>
        <ns0:v>0</ns0:v>
      </ns0:c>
      <ns0:c r="AD423" s="7">
        <ns0:f>IF(W423&gt;=0,A423,1001)</ns0:f>
        <ns0:v>419</ns0:v>
      </ns0:c>
      <ns0:c r="AE423" s="7">
        <ns0:f>IF(W423&lt;0,A423,0)</ns0:f>
        <ns0:v>0</ns0:v>
      </ns0:c>
      <ns0:c r="AF423" s="16">
        <ns0:f>IF(AND(OR('前提と出典'!$C$36+'前提と出典'!$C$38=0,U423&gt;=0),OR('前提と出典'!$C$37+'前提と出典'!$C$38=0,V423&gt;=0)),0,A423)</ns0:f>
        <ns0:v>0</ns0:v>
      </ns0:c>
      <ns0:c r="AG423" s="7">
        <ns0:f>IF(Z423&gt;=0,A423,1001)</ns0:f>
        <ns0:v>419</ns0:v>
      </ns0:c>
      <ns0:c r="AH423" s="4">
        <ns0:f>IF(Z423&lt;0,A423,0)</ns0:f>
        <ns0:v>0</ns0:v>
      </ns0:c>
      <ns0:c r="AI423" s="12">
        <ns0:f>IF(AND(OR('前提と出典'!$C$36+'前提と出典'!$C$38=0,X423&gt;=0),OR('前提と出典'!$C$37+'前提と出典'!$C$38=0,Y423&gt;=0)),0,A423)</ns0:f>
        <ns0:v>0</ns0:v>
      </ns0:c>
    </ns0:row>
    <ns0:row r="424" ht="24" customHeight="1">
      <ns0:c r="A424" s="4" t="n">
        <ns0:v>420</ns0:v>
      </ns0:c>
      <ns0:c r="B424" s="12">
        <ns0:f>A424*('前提と出典'!$C$36+'前提と出典'!$C$38)</ns0:f>
        <ns0:v>294</ns0:v>
      </ns0:c>
      <ns0:c r="C424" s="12">
        <ns0:f>A424*('前提と出典'!$C$37+'前提と出典'!$C$38)</ns0:f>
        <ns0:v>252</ns0:v>
      </ns0:c>
      <ns0:c r="D424" s="16">
        <ns0:f>A424*('前提と出典'!$C$36*'契約別単価'!C5+'前提と出典'!$C$37*'契約別単価'!C6+'前提と出典'!$C$38*'契約別単価'!C7)</ns0:f>
        <ns0:v>3022.122905027933</ns0:v>
      </ns0:c>
      <ns0:c r="E424" s="16">
        <ns0:f>A424*('前提と出典'!$C$36*'契約別単価'!E5+'前提と出典'!$C$37*'契約別単価'!E6+'前提と出典'!$C$38*'契約別単価'!E7)</ns0:f>
        <ns0:v>812676.7558275937</ns0:v>
      </ns0:c>
      <ns0:c r="F424" s="16">
        <ns0:f>A424*('前提と出典'!$C$36*'契約別単価'!F5+'前提と出典'!$C$37*'契約別単価'!F6+'前提と出典'!$C$38*'契約別単価'!F7)</ns0:f>
        <ns0:v>318946.10147568234</ns0:v>
      </ns0:c>
      <ns0:c r="G424" s="16">
        <ns0:f>A424*('前提と出典'!$C$36*'契約別単価'!G5+'前提と出典'!$C$37*'契約別単価'!G6+'前提と出典'!$C$38*'契約別単価'!G7)</ns0:f>
        <ns0:v>836011.1731843575</ns0:v>
      </ns0:c>
      <ns0:c r="H424" s="16">
        <ns0:f>A424*('前提と出典'!$C$36*'契約別単価'!H5+'前提と出典'!$C$37*'契約別単価'!H6+'前提と出典'!$C$38*'契約別単価'!H7)</ns0:f>
        <ns0:v>290137.80635018664</ns0:v>
      </ns0:c>
      <ns0:c r="I424" s="16">
        <ns0:f>A424*('前提と出典'!$C$36*'契約別単価'!I5+'前提と出典'!$C$37*'契約別単価'!I6+'前提と出典'!$C$38*'契約別単価'!I7)</ns0:f>
        <ns0:v>17722.12290502793</ns0:v>
      </ns0:c>
      <ns0:c r="J424" s="16">
        <ns0:f>A424*('前提と出典'!$C$36*'契約別単価'!J5+'前提と出典'!$C$37*'契約別単価'!J6+'前提と出典'!$C$38*'契約別単価'!J7)</ns0:f>
        <ns0:v>41281.60835832708</ns0:v>
      </ns0:c>
      <ns0:c r="K424" s="16">
        <ns0:f>A424*('前提と出典'!$C$36*'契約別単価'!K5+'前提と出典'!$C$37*'契約別単価'!K6+'前提と出典'!$C$38*'契約別単価'!K7)</ns0:f>
        <ns0:v>176947.48603351956</ns0:v>
      </ns0:c>
      <ns0:c r="L424" s="16">
        <ns0:f>A424*('前提と出典'!$C$36*'契約別単価'!L5+'前提と出典'!$C$37*'契約別単価'!L6+'前提と出典'!$C$38*'契約別単価'!L7)</ns0:f>
        <ns0:v>144071.2602116729</ns0:v>
      </ns0:c>
      <ns0:c r="M424" s="16">
        <ns0:f>IF(('前提と出典'!$C$36+'前提と出典'!$C$38)=0,0,IF(B424&lt;=10,'前提と出典'!B73+'前提と出典'!C73,IF(B424&lt;=100,'前提と出典'!B74+'前提と出典'!C74,IF(B424&lt;=500,'前提と出典'!B75+'前提と出典'!C75,'前提と出典'!B76+'前提と出典'!C76))))</ns0:f>
        <ns0:v>40000</ns0:v>
      </ns0:c>
      <ns0:c r="N424" s="16">
        <ns0:f>IF(('前提と出典'!$C$37+'前提と出典'!$C$38)=0,0,IF(C424&lt;=10,'前提と出典'!D73+'前提と出典'!E73,IF(C424&lt;=100,'前提と出典'!D74+'前提と出典'!E74,IF(C424&lt;=500,'前提と出典'!D75+'前提と出典'!E75,'前提と出典'!D76+'前提と出典'!E76))))</ns0:f>
        <ns0:v>56510.9346263078</ns0:v>
      </ns0:c>
      <ns0:c r="O424" s="16">
        <ns0:f>IF('前提と出典'!$C$36+'前提と出典'!$C$38=0,0,'前提と出典'!$B$4*IF('前提と出典'!$B$20=0,MAX('前提と出典'!$B$6,D424*'前提と出典'!$B$5),'前提と出典'!$B$6+D424*'前提と出典'!$B$5))</ns0:f>
        <ns0:v>417052.9608938548</ns0:v>
      </ns0:c>
      <ns0:c r="P424" s="16">
        <ns0:f>(E424+G424)*(1-'前提と出典'!$B$7)-I424-K424-M424-O424</ns0:f>
        <ns0:v>937612.5937351189</ns0:v>
      </ns0:c>
      <ns0:c r="Q424" s="16">
        <ns0:f>(F424+H424)*(1-'前提と出典'!$B$7)-J424-L424-N424</ns0:f>
        <ns0:v>345293.08394782996</ns0:v>
      </ns0:c>
      <ns0:c r="R424" s="16">
        <ns0:f>P424-E424*'前提と出典'!$E$4</ns0:f>
        <ns0:v>693809.5669868407</ns0:v>
      </ns0:c>
      <ns0:c r="S424" s="16">
        <ns0:f>Q424-F424*'前提と出典'!$E$4</ns0:f>
        <ns0:v>249609.2535051253</ns0:v>
      </ns0:c>
      <ns0:c r="T424" s="7">
        <ns0:f>R424+S424</ns0:f>
        <ns0:v>943418.820491966</ns0:v>
      </ns0:c>
      <ns0:c r="U424" s="16">
        <ns0:f>P424-E424*'前提と出典'!$E$5</ns0:f>
        <ns0:v>612541.8914040814</ns0:v>
      </ns0:c>
      <ns0:c r="V424" s="16">
        <ns0:f>Q424-F424*'前提と出典'!$E$5</ns0:f>
        <ns0:v>217714.643357557</ns0:v>
      </ns0:c>
      <ns0:c r="W424" s="7">
        <ns0:f>U424+V424</ns0:f>
        <ns0:v>830256.5347616384</ns0:v>
      </ns0:c>
      <ns0:c r="X424" s="16">
        <ns0:f>P424-E424*'前提と出典'!$E$6</ns0:f>
        <ns0:v>531274.215821322</ns0:v>
      </ns0:c>
      <ns0:c r="Y424" s="16">
        <ns0:f>Q424-F424*'前提と出典'!$E$6</ns0:f>
        <ns0:v>185820.03320998882</ns0:v>
      </ns0:c>
      <ns0:c r="Z424" s="7">
        <ns0:f>X424+Y424</ns0:f>
        <ns0:v>717094.2490313109</ns0:v>
      </ns0:c>
      <ns0:c r="AA424" s="7">
        <ns0:f>IF(T424&gt;=0,A424,1001)</ns0:f>
        <ns0:v>420</ns0:v>
      </ns0:c>
      <ns0:c r="AB424" s="7">
        <ns0:f>IF(T424&lt;0,A424,0)</ns0:f>
        <ns0:v>0</ns0:v>
      </ns0:c>
      <ns0:c r="AC424" s="16">
        <ns0:f>IF(AND(OR('前提と出典'!$C$36+'前提と出典'!$C$38=0,R424&gt;=0),OR('前提と出典'!$C$37+'前提と出典'!$C$38=0,S424&gt;=0)),0,A424)</ns0:f>
        <ns0:v>0</ns0:v>
      </ns0:c>
      <ns0:c r="AD424" s="7">
        <ns0:f>IF(W424&gt;=0,A424,1001)</ns0:f>
        <ns0:v>420</ns0:v>
      </ns0:c>
      <ns0:c r="AE424" s="7">
        <ns0:f>IF(W424&lt;0,A424,0)</ns0:f>
        <ns0:v>0</ns0:v>
      </ns0:c>
      <ns0:c r="AF424" s="16">
        <ns0:f>IF(AND(OR('前提と出典'!$C$36+'前提と出典'!$C$38=0,U424&gt;=0),OR('前提と出典'!$C$37+'前提と出典'!$C$38=0,V424&gt;=0)),0,A424)</ns0:f>
        <ns0:v>0</ns0:v>
      </ns0:c>
      <ns0:c r="AG424" s="7">
        <ns0:f>IF(Z424&gt;=0,A424,1001)</ns0:f>
        <ns0:v>420</ns0:v>
      </ns0:c>
      <ns0:c r="AH424" s="4">
        <ns0:f>IF(Z424&lt;0,A424,0)</ns0:f>
        <ns0:v>0</ns0:v>
      </ns0:c>
      <ns0:c r="AI424" s="12">
        <ns0:f>IF(AND(OR('前提と出典'!$C$36+'前提と出典'!$C$38=0,X424&gt;=0),OR('前提と出典'!$C$37+'前提と出典'!$C$38=0,Y424&gt;=0)),0,A424)</ns0:f>
        <ns0:v>0</ns0:v>
      </ns0:c>
    </ns0:row>
    <ns0:row r="425" ht="24" customHeight="1">
      <ns0:c r="A425" s="4" t="n">
        <ns0:v>421</ns0:v>
      </ns0:c>
      <ns0:c r="B425" s="12">
        <ns0:f>A425*('前提と出典'!$C$36+'前提と出典'!$C$38)</ns0:f>
        <ns0:v>294.7</ns0:v>
      </ns0:c>
      <ns0:c r="C425" s="12">
        <ns0:f>A425*('前提と出典'!$C$37+'前提と出典'!$C$38)</ns0:f>
        <ns0:v>252.6</ns0:v>
      </ns0:c>
      <ns0:c r="D425" s="16">
        <ns0:f>A425*('前提と出典'!$C$36*'契約別単価'!C5+'前提と出典'!$C$37*'契約別単価'!C6+'前提と出典'!$C$38*'契約別単価'!C7)</ns0:f>
        <ns0:v>3029.31843575419</ns0:v>
      </ns0:c>
      <ns0:c r="E425" s="16">
        <ns0:f>A425*('前提と出典'!$C$36*'契約別単価'!E5+'前提と出典'!$C$37*'契約別単価'!E6+'前提と出典'!$C$38*'契約別単価'!E7)</ns0:f>
        <ns0:v>814611.7004843261</ns0:v>
      </ns0:c>
      <ns0:c r="F425" s="16">
        <ns0:f>A425*('前提と出典'!$C$36*'契約別単価'!F5+'前提と出典'!$C$37*'契約別単価'!F6+'前提と出典'!$C$38*'契約別単価'!F7)</ns0:f>
        <ns0:v>319705.4969553863</ns0:v>
      </ns0:c>
      <ns0:c r="G425" s="16">
        <ns0:f>A425*('前提と出典'!$C$36*'契約別単価'!G5+'前提と出典'!$C$37*'契約別単価'!G6+'前提と出典'!$C$38*'契約別単価'!G7)</ns0:f>
        <ns0:v>838001.6759776536</ns0:v>
      </ns0:c>
      <ns0:c r="H425" s="16">
        <ns0:f>A425*('前提と出典'!$C$36*'契約別単価'!H5+'前提と出典'!$C$37*'契約別単価'!H6+'前提と出典'!$C$38*'契約別単価'!H7)</ns0:f>
        <ns0:v>290828.6106510204</ns0:v>
      </ns0:c>
      <ns0:c r="I425" s="16">
        <ns0:f>A425*('前提と出典'!$C$36*'契約別単価'!I5+'前提と出典'!$C$37*'契約別単価'!I6+'前提と出典'!$C$38*'契約別単価'!I7)</ns0:f>
        <ns0:v>17764.318435754187</ns0:v>
      </ns0:c>
      <ns0:c r="J425" s="16">
        <ns0:f>A425*('前提と出典'!$C$36*'契約別単価'!J5+'前提と出典'!$C$37*'契約別単価'!J6+'前提と出典'!$C$38*'契約別単価'!J7)</ns0:f>
        <ns0:v>41379.89790203738</ns0:v>
      </ns0:c>
      <ns0:c r="K425" s="16">
        <ns0:f>A425*('前提と出典'!$C$36*'契約別単価'!K5+'前提と出典'!$C$37*'契約別単価'!K6+'前提と出典'!$C$38*'契約別単価'!K7)</ns0:f>
        <ns0:v>177368.7895716946</ns0:v>
      </ns0:c>
      <ns0:c r="L425" s="16">
        <ns0:f>A425*('前提と出典'!$C$36*'契約別単価'!L5+'前提と出典'!$C$37*'契約別単価'!L6+'前提と出典'!$C$38*'契約別単価'!L7)</ns0:f>
        <ns0:v>144414.28702170067</ns0:v>
      </ns0:c>
      <ns0:c r="M425" s="16">
        <ns0:f>IF(('前提と出典'!$C$36+'前提と出典'!$C$38)=0,0,IF(B425&lt;=10,'前提と出典'!B73+'前提と出典'!C73,IF(B425&lt;=100,'前提と出典'!B74+'前提と出典'!C74,IF(B425&lt;=500,'前提と出典'!B75+'前提と出典'!C75,'前提と出典'!B76+'前提と出典'!C76))))</ns0:f>
        <ns0:v>40000</ns0:v>
      </ns0:c>
      <ns0:c r="N425" s="16">
        <ns0:f>IF(('前提と出典'!$C$37+'前提と出典'!$C$38)=0,0,IF(C425&lt;=10,'前提と出典'!D73+'前提と出典'!E73,IF(C425&lt;=100,'前提と出典'!D74+'前提と出典'!E74,IF(C425&lt;=500,'前提と出典'!D75+'前提と出典'!E75,'前提と出典'!D76+'前提と出典'!E76))))</ns0:f>
        <ns0:v>56510.9346263078</ns0:v>
      </ns0:c>
      <ns0:c r="O425" s="16">
        <ns0:f>IF('前提と出典'!$C$36+'前提と出典'!$C$38=0,0,'前提と出典'!$B$4*IF('前提と出典'!$B$20=0,MAX('前提と出典'!$B$6,D425*'前提と出典'!$B$5),'前提と出典'!$B$6+D425*'前提と出典'!$B$5))</ns0:f>
        <ns0:v>418045.9441340783</ns0:v>
      </ns0:c>
      <ns0:c r="P425" s="16">
        <ns0:f>(E425+G425)*(1-'前提と出典'!$B$7)-I425-K425-M425-O425</ns0:f>
        <ns0:v>939940.2427678215</ns0:v>
      </ns0:c>
      <ns0:c r="Q425" s="16">
        <ns0:f>(F425+H425)*(1-'前提と出典'!$B$7)-J425-L425-N425</ns0:f>
        <ns0:v>346249.7601825303</ns0:v>
      </ns0:c>
      <ns0:c r="R425" s="16">
        <ns0:f>P425-E425*'前提と出典'!$E$4</ns0:f>
        <ns0:v>695556.7326225238</ns0:v>
      </ns0:c>
      <ns0:c r="S425" s="16">
        <ns0:f>Q425-F425*'前提と出典'!$E$4</ns0:f>
        <ns0:v>250338.11109591438</ns0:v>
      </ns0:c>
      <ns0:c r="T425" s="7">
        <ns0:f>R425+S425</ns0:f>
        <ns0:v>945894.8437184382</ns0:v>
      </ns0:c>
      <ns0:c r="U425" s="16">
        <ns0:f>P425-E425*'前提と出典'!$E$5</ns0:f>
        <ns0:v>614095.5625740911</ns0:v>
      </ns0:c>
      <ns0:c r="V425" s="16">
        <ns0:f>Q425-F425*'前提と出典'!$E$5</ns0:f>
        <ns0:v>218367.5614003758</ns0:v>
      </ns0:c>
      <ns0:c r="W425" s="7">
        <ns0:f>U425+V425</ns0:f>
        <ns0:v>832463.1239744669</ns0:v>
      </ns0:c>
      <ns0:c r="X425" s="16">
        <ns0:f>P425-E425*'前提と出典'!$E$6</ns0:f>
        <ns0:v>532634.3925256585</ns0:v>
      </ns0:c>
      <ns0:c r="Y425" s="16">
        <ns0:f>Q425-F425*'前提と出典'!$E$6</ns0:f>
        <ns0:v>186397.01170483712</ns0:v>
      </ns0:c>
      <ns0:c r="Z425" s="7">
        <ns0:f>X425+Y425</ns0:f>
        <ns0:v>719031.4042304956</ns0:v>
      </ns0:c>
      <ns0:c r="AA425" s="7">
        <ns0:f>IF(T425&gt;=0,A425,1001)</ns0:f>
        <ns0:v>421</ns0:v>
      </ns0:c>
      <ns0:c r="AB425" s="7">
        <ns0:f>IF(T425&lt;0,A425,0)</ns0:f>
        <ns0:v>0</ns0:v>
      </ns0:c>
      <ns0:c r="AC425" s="16">
        <ns0:f>IF(AND(OR('前提と出典'!$C$36+'前提と出典'!$C$38=0,R425&gt;=0),OR('前提と出典'!$C$37+'前提と出典'!$C$38=0,S425&gt;=0)),0,A425)</ns0:f>
        <ns0:v>0</ns0:v>
      </ns0:c>
      <ns0:c r="AD425" s="7">
        <ns0:f>IF(W425&gt;=0,A425,1001)</ns0:f>
        <ns0:v>421</ns0:v>
      </ns0:c>
      <ns0:c r="AE425" s="7">
        <ns0:f>IF(W425&lt;0,A425,0)</ns0:f>
        <ns0:v>0</ns0:v>
      </ns0:c>
      <ns0:c r="AF425" s="16">
        <ns0:f>IF(AND(OR('前提と出典'!$C$36+'前提と出典'!$C$38=0,U425&gt;=0),OR('前提と出典'!$C$37+'前提と出典'!$C$38=0,V425&gt;=0)),0,A425)</ns0:f>
        <ns0:v>0</ns0:v>
      </ns0:c>
      <ns0:c r="AG425" s="7">
        <ns0:f>IF(Z425&gt;=0,A425,1001)</ns0:f>
        <ns0:v>421</ns0:v>
      </ns0:c>
      <ns0:c r="AH425" s="4">
        <ns0:f>IF(Z425&lt;0,A425,0)</ns0:f>
        <ns0:v>0</ns0:v>
      </ns0:c>
      <ns0:c r="AI425" s="12">
        <ns0:f>IF(AND(OR('前提と出典'!$C$36+'前提と出典'!$C$38=0,X425&gt;=0),OR('前提と出典'!$C$37+'前提と出典'!$C$38=0,Y425&gt;=0)),0,A425)</ns0:f>
        <ns0:v>0</ns0:v>
      </ns0:c>
    </ns0:row>
    <ns0:row r="426" ht="24" customHeight="1">
      <ns0:c r="A426" s="4" t="n">
        <ns0:v>422</ns0:v>
      </ns0:c>
      <ns0:c r="B426" s="12">
        <ns0:f>A426*('前提と出典'!$C$36+'前提と出典'!$C$38)</ns0:f>
        <ns0:v>295.4</ns0:v>
      </ns0:c>
      <ns0:c r="C426" s="12">
        <ns0:f>A426*('前提と出典'!$C$37+'前提と出典'!$C$38)</ns0:f>
        <ns0:v>253.2</ns0:v>
      </ns0:c>
      <ns0:c r="D426" s="16">
        <ns0:f>A426*('前提と出典'!$C$36*'契約別単価'!C5+'前提と出典'!$C$37*'契約別単価'!C6+'前提と出典'!$C$38*'契約別単価'!C7)</ns0:f>
        <ns0:v>3036.513966480447</ns0:v>
      </ns0:c>
      <ns0:c r="E426" s="16">
        <ns0:f>A426*('前提と出典'!$C$36*'契約別単価'!E5+'前提と出典'!$C$37*'契約別単価'!E6+'前提と出典'!$C$38*'契約別単価'!E7)</ns0:f>
        <ns0:v>816546.6451410585</ns0:v>
      </ns0:c>
      <ns0:c r="F426" s="16">
        <ns0:f>A426*('前提と出典'!$C$36*'契約別単価'!F5+'前提と出典'!$C$37*'契約別単価'!F6+'前提と出典'!$C$38*'契約別単価'!F7)</ns0:f>
        <ns0:v>320464.8924350903</ns0:v>
      </ns0:c>
      <ns0:c r="G426" s="16">
        <ns0:f>A426*('前提と出典'!$C$36*'契約別単価'!G5+'前提と出典'!$C$37*'契約別単価'!G6+'前提と出典'!$C$38*'契約別単価'!G7)</ns0:f>
        <ns0:v>839992.1787709497</ns0:v>
      </ns0:c>
      <ns0:c r="H426" s="16">
        <ns0:f>A426*('前提と出典'!$C$36*'契約別単価'!H5+'前提と出典'!$C$37*'契約別単価'!H6+'前提と出典'!$C$38*'契約別単価'!H7)</ns0:f>
        <ns0:v>291519.4149518542</ns0:v>
      </ns0:c>
      <ns0:c r="I426" s="16">
        <ns0:f>A426*('前提と出典'!$C$36*'契約別単価'!I5+'前提と出典'!$C$37*'契約別単価'!I6+'前提と出典'!$C$38*'契約別単価'!I7)</ns0:f>
        <ns0:v>17806.513966480445</ns0:v>
      </ns0:c>
      <ns0:c r="J426" s="16">
        <ns0:f>A426*('前提と出典'!$C$36*'契約別単価'!J5+'前提と出典'!$C$37*'契約別単価'!J6+'前提と出典'!$C$38*'契約別単価'!J7)</ns0:f>
        <ns0:v>41478.18744574768</ns0:v>
      </ns0:c>
      <ns0:c r="K426" s="16">
        <ns0:f>A426*('前提と出典'!$C$36*'契約別単価'!K5+'前提と出典'!$C$37*'契約別単価'!K6+'前提と出典'!$C$38*'契約別単価'!K7)</ns0:f>
        <ns0:v>177790.09310986963</ns0:v>
      </ns0:c>
      <ns0:c r="L426" s="16">
        <ns0:f>A426*('前提と出典'!$C$36*'契約別単価'!L5+'前提と出典'!$C$37*'契約別単価'!L6+'前提と出典'!$C$38*'契約別単価'!L7)</ns0:f>
        <ns0:v>144757.31383172848</ns0:v>
      </ns0:c>
      <ns0:c r="M426" s="16">
        <ns0:f>IF(('前提と出典'!$C$36+'前提と出典'!$C$38)=0,0,IF(B426&lt;=10,'前提と出典'!B73+'前提と出典'!C73,IF(B426&lt;=100,'前提と出典'!B74+'前提と出典'!C74,IF(B426&lt;=500,'前提と出典'!B75+'前提と出典'!C75,'前提と出典'!B76+'前提と出典'!C76))))</ns0:f>
        <ns0:v>40000</ns0:v>
      </ns0:c>
      <ns0:c r="N426" s="16">
        <ns0:f>IF(('前提と出典'!$C$37+'前提と出典'!$C$38)=0,0,IF(C426&lt;=10,'前提と出典'!D73+'前提と出典'!E73,IF(C426&lt;=100,'前提と出典'!D74+'前提と出典'!E74,IF(C426&lt;=500,'前提と出典'!D75+'前提と出典'!E75,'前提と出典'!D76+'前提と出典'!E76))))</ns0:f>
        <ns0:v>56510.9346263078</ns0:v>
      </ns0:c>
      <ns0:c r="O426" s="16">
        <ns0:f>IF('前提と出典'!$C$36+'前提と出典'!$C$38=0,0,'前提と出典'!$B$4*IF('前提と出典'!$B$20=0,MAX('前提と出典'!$B$6,D426*'前提と出典'!$B$5),'前提と出典'!$B$6+D426*'前提と出典'!$B$5))</ns0:f>
        <ns0:v>419038.92737430165</ns0:v>
      </ns0:c>
      <ns0:c r="P426" s="16">
        <ns0:f>(E426+G426)*(1-'前提と出典'!$B$7)-I426-K426-M426-O426</ns0:f>
        <ns0:v>942267.8918005239</ns0:v>
      </ns0:c>
      <ns0:c r="Q426" s="16">
        <ns0:f>(F426+H426)*(1-'前提と出典'!$B$7)-J426-L426-N426</ns0:f>
        <ns0:v>347206.4364172306</ns0:v>
      </ns0:c>
      <ns0:c r="R426" s="16">
        <ns0:f>P426-E426*'前提と出典'!$E$4</ns0:f>
        <ns0:v>697303.8982582064</ns0:v>
      </ns0:c>
      <ns0:c r="S426" s="16">
        <ns0:f>Q426-F426*'前提と出典'!$E$4</ns0:f>
        <ns0:v>251066.96868670348</ns0:v>
      </ns0:c>
      <ns0:c r="T426" s="7">
        <ns0:f>R426+S426</ns0:f>
        <ns0:v>948370.8669449099</ns0:v>
      </ns0:c>
      <ns0:c r="U426" s="16">
        <ns0:f>P426-E426*'前提と出典'!$E$5</ns0:f>
        <ns0:v>615649.2337441004</ns0:v>
      </ns0:c>
      <ns0:c r="V426" s="16">
        <ns0:f>Q426-F426*'前提と出典'!$E$5</ns0:f>
        <ns0:v>219020.47944319446</ns0:v>
      </ns0:c>
      <ns0:c r="W426" s="7">
        <ns0:f>U426+V426</ns0:f>
        <ns0:v>834669.7131872949</ns0:v>
      </ns0:c>
      <ns0:c r="X426" s="16">
        <ns0:f>P426-E426*'前提と出典'!$E$6</ns0:f>
        <ns0:v>533994.5692299947</ns0:v>
      </ns0:c>
      <ns0:c r="Y426" s="16">
        <ns0:f>Q426-F426*'前提と出典'!$E$6</ns0:f>
        <ns0:v>186973.9901996854</ns0:v>
      </ns0:c>
      <ns0:c r="Z426" s="7">
        <ns0:f>X426+Y426</ns0:f>
        <ns0:v>720968.55942968</ns0:v>
      </ns0:c>
      <ns0:c r="AA426" s="7">
        <ns0:f>IF(T426&gt;=0,A426,1001)</ns0:f>
        <ns0:v>422</ns0:v>
      </ns0:c>
      <ns0:c r="AB426" s="7">
        <ns0:f>IF(T426&lt;0,A426,0)</ns0:f>
        <ns0:v>0</ns0:v>
      </ns0:c>
      <ns0:c r="AC426" s="16">
        <ns0:f>IF(AND(OR('前提と出典'!$C$36+'前提と出典'!$C$38=0,R426&gt;=0),OR('前提と出典'!$C$37+'前提と出典'!$C$38=0,S426&gt;=0)),0,A426)</ns0:f>
        <ns0:v>0</ns0:v>
      </ns0:c>
      <ns0:c r="AD426" s="7">
        <ns0:f>IF(W426&gt;=0,A426,1001)</ns0:f>
        <ns0:v>422</ns0:v>
      </ns0:c>
      <ns0:c r="AE426" s="7">
        <ns0:f>IF(W426&lt;0,A426,0)</ns0:f>
        <ns0:v>0</ns0:v>
      </ns0:c>
      <ns0:c r="AF426" s="16">
        <ns0:f>IF(AND(OR('前提と出典'!$C$36+'前提と出典'!$C$38=0,U426&gt;=0),OR('前提と出典'!$C$37+'前提と出典'!$C$38=0,V426&gt;=0)),0,A426)</ns0:f>
        <ns0:v>0</ns0:v>
      </ns0:c>
      <ns0:c r="AG426" s="7">
        <ns0:f>IF(Z426&gt;=0,A426,1001)</ns0:f>
        <ns0:v>422</ns0:v>
      </ns0:c>
      <ns0:c r="AH426" s="4">
        <ns0:f>IF(Z426&lt;0,A426,0)</ns0:f>
        <ns0:v>0</ns0:v>
      </ns0:c>
      <ns0:c r="AI426" s="12">
        <ns0:f>IF(AND(OR('前提と出典'!$C$36+'前提と出典'!$C$38=0,X426&gt;=0),OR('前提と出典'!$C$37+'前提と出典'!$C$38=0,Y426&gt;=0)),0,A426)</ns0:f>
        <ns0:v>0</ns0:v>
      </ns0:c>
    </ns0:row>
    <ns0:row r="427" ht="24" customHeight="1">
      <ns0:c r="A427" s="4" t="n">
        <ns0:v>423</ns0:v>
      </ns0:c>
      <ns0:c r="B427" s="12">
        <ns0:f>A427*('前提と出典'!$C$36+'前提と出典'!$C$38)</ns0:f>
        <ns0:v>296.09999999999997</ns0:v>
      </ns0:c>
      <ns0:c r="C427" s="12">
        <ns0:f>A427*('前提と出典'!$C$37+'前提と出典'!$C$38)</ns0:f>
        <ns0:v>253.79999999999998</ns0:v>
      </ns0:c>
      <ns0:c r="D427" s="16">
        <ns0:f>A427*('前提と出典'!$C$36*'契約別単価'!C5+'前提と出典'!$C$37*'契約別単価'!C6+'前提と出典'!$C$38*'契約別単価'!C7)</ns0:f>
        <ns0:v>3043.709497206704</ns0:v>
      </ns0:c>
      <ns0:c r="E427" s="16">
        <ns0:f>A427*('前提と出典'!$C$36*'契約別単価'!E5+'前提と出典'!$C$37*'契約別単価'!E6+'前提と出典'!$C$38*'契約別単価'!E7)</ns0:f>
        <ns0:v>818481.5897977907</ns0:v>
      </ns0:c>
      <ns0:c r="F427" s="16">
        <ns0:f>A427*('前提と出典'!$C$36*'契約別単価'!F5+'前提と出典'!$C$37*'契約別単価'!F6+'前提と出典'!$C$38*'契約別単価'!F7)</ns0:f>
        <ns0:v>321224.28791479435</ns0:v>
      </ns0:c>
      <ns0:c r="G427" s="16">
        <ns0:f>A427*('前提と出典'!$C$36*'契約別単価'!G5+'前提と出典'!$C$37*'契約別単価'!G6+'前提と出典'!$C$38*'契約別単価'!G7)</ns0:f>
        <ns0:v>841982.6815642457</ns0:v>
      </ns0:c>
      <ns0:c r="H427" s="16">
        <ns0:f>A427*('前提と出典'!$C$36*'契約別単価'!H5+'前提と出典'!$C$37*'契約別単価'!H6+'前提と出典'!$C$38*'契約別単価'!H7)</ns0:f>
        <ns0:v>292210.21925268794</ns0:v>
      </ns0:c>
      <ns0:c r="I427" s="16">
        <ns0:f>A427*('前提と出典'!$C$36*'契約別単価'!I5+'前提と出典'!$C$37*'契約別単価'!I6+'前提と出典'!$C$38*'契約別単価'!I7)</ns0:f>
        <ns0:v>17848.709497206703</ns0:v>
      </ns0:c>
      <ns0:c r="J427" s="16">
        <ns0:f>A427*('前提と出典'!$C$36*'契約別単価'!J5+'前提と出典'!$C$37*'契約別単価'!J6+'前提と出典'!$C$38*'契約別単価'!J7)</ns0:f>
        <ns0:v>41576.47698945799</ns0:v>
      </ns0:c>
      <ns0:c r="K427" s="16">
        <ns0:f>A427*('前提と出典'!$C$36*'契約別単価'!K5+'前提と出典'!$C$37*'契約別単価'!K6+'前提と出典'!$C$38*'契約別単価'!K7)</ns0:f>
        <ns0:v>178211.39664804467</ns0:v>
      </ns0:c>
      <ns0:c r="L427" s="16">
        <ns0:f>A427*('前提と出典'!$C$36*'契約別単価'!L5+'前提と出典'!$C$37*'契約別単価'!L6+'前提と出典'!$C$38*'契約別単価'!L7)</ns0:f>
        <ns0:v>145100.34064175625</ns0:v>
      </ns0:c>
      <ns0:c r="M427" s="16">
        <ns0:f>IF(('前提と出典'!$C$36+'前提と出典'!$C$38)=0,0,IF(B427&lt;=10,'前提と出典'!B73+'前提と出典'!C73,IF(B427&lt;=100,'前提と出典'!B74+'前提と出典'!C74,IF(B427&lt;=500,'前提と出典'!B75+'前提と出典'!C75,'前提と出典'!B76+'前提と出典'!C76))))</ns0:f>
        <ns0:v>40000</ns0:v>
      </ns0:c>
      <ns0:c r="N427" s="16">
        <ns0:f>IF(('前提と出典'!$C$37+'前提と出典'!$C$38)=0,0,IF(C427&lt;=10,'前提と出典'!D73+'前提と出典'!E73,IF(C427&lt;=100,'前提と出典'!D74+'前提と出典'!E74,IF(C427&lt;=500,'前提と出典'!D75+'前提と出典'!E75,'前提と出典'!D76+'前提と出典'!E76))))</ns0:f>
        <ns0:v>56510.9346263078</ns0:v>
      </ns0:c>
      <ns0:c r="O427" s="16">
        <ns0:f>IF('前提と出典'!$C$36+'前提と出典'!$C$38=0,0,'前提と出典'!$B$4*IF('前提と出典'!$B$20=0,MAX('前提と出典'!$B$6,D427*'前提と出典'!$B$5),'前提と出典'!$B$6+D427*'前提と出典'!$B$5))</ns0:f>
        <ns0:v>420031.91061452514</ns0:v>
      </ns0:c>
      <ns0:c r="P427" s="16">
        <ns0:f>(E427+G427)*(1-'前提と出典'!$B$7)-I427-K427-M427-O427</ns0:f>
        <ns0:v>944595.5408332265</ns0:v>
      </ns0:c>
      <ns0:c r="Q427" s="16">
        <ns0:f>(F427+H427)*(1-'前提と出典'!$B$7)-J427-L427-N427</ns0:f>
        <ns0:v>348163.1126519309</ns0:v>
      </ns0:c>
      <ns0:c r="R427" s="16">
        <ns0:f>P427-E427*'前提と出典'!$E$4</ns0:f>
        <ns0:v>699051.0638938893</ns0:v>
      </ns0:c>
      <ns0:c r="S427" s="16">
        <ns0:f>Q427-F427*'前提と出典'!$E$4</ns0:f>
        <ns0:v>251795.82627749257</ns0:v>
      </ns0:c>
      <ns0:c r="T427" s="7">
        <ns0:f>R427+S427</ns0:f>
        <ns0:v>950846.8901713819</ns0:v>
      </ns0:c>
      <ns0:c r="U427" s="16">
        <ns0:f>P427-E427*'前提と出典'!$E$5</ns0:f>
        <ns0:v>617202.9049141102</ns0:v>
      </ns0:c>
      <ns0:c r="V427" s="16">
        <ns0:f>Q427-F427*'前提と出典'!$E$5</ns0:f>
        <ns0:v>219673.39748601313</ns0:v>
      </ns0:c>
      <ns0:c r="W427" s="7">
        <ns0:f>U427+V427</ns0:f>
        <ns0:v>836876.3024001233</ns0:v>
      </ns0:c>
      <ns0:c r="X427" s="16">
        <ns0:f>P427-E427*'前提と出典'!$E$6</ns0:f>
        <ns0:v>535354.7459343313</ns0:v>
      </ns0:c>
      <ns0:c r="Y427" s="16">
        <ns0:f>Q427-F427*'前提と出典'!$E$6</ns0:f>
        <ns0:v>187550.9686945337</ns0:v>
      </ns0:c>
      <ns0:c r="Z427" s="7">
        <ns0:f>X427+Y427</ns0:f>
        <ns0:v>722905.714628865</ns0:v>
      </ns0:c>
      <ns0:c r="AA427" s="7">
        <ns0:f>IF(T427&gt;=0,A427,1001)</ns0:f>
        <ns0:v>423</ns0:v>
      </ns0:c>
      <ns0:c r="AB427" s="7">
        <ns0:f>IF(T427&lt;0,A427,0)</ns0:f>
        <ns0:v>0</ns0:v>
      </ns0:c>
      <ns0:c r="AC427" s="16">
        <ns0:f>IF(AND(OR('前提と出典'!$C$36+'前提と出典'!$C$38=0,R427&gt;=0),OR('前提と出典'!$C$37+'前提と出典'!$C$38=0,S427&gt;=0)),0,A427)</ns0:f>
        <ns0:v>0</ns0:v>
      </ns0:c>
      <ns0:c r="AD427" s="7">
        <ns0:f>IF(W427&gt;=0,A427,1001)</ns0:f>
        <ns0:v>423</ns0:v>
      </ns0:c>
      <ns0:c r="AE427" s="7">
        <ns0:f>IF(W427&lt;0,A427,0)</ns0:f>
        <ns0:v>0</ns0:v>
      </ns0:c>
      <ns0:c r="AF427" s="16">
        <ns0:f>IF(AND(OR('前提と出典'!$C$36+'前提と出典'!$C$38=0,U427&gt;=0),OR('前提と出典'!$C$37+'前提と出典'!$C$38=0,V427&gt;=0)),0,A427)</ns0:f>
        <ns0:v>0</ns0:v>
      </ns0:c>
      <ns0:c r="AG427" s="7">
        <ns0:f>IF(Z427&gt;=0,A427,1001)</ns0:f>
        <ns0:v>423</ns0:v>
      </ns0:c>
      <ns0:c r="AH427" s="4">
        <ns0:f>IF(Z427&lt;0,A427,0)</ns0:f>
        <ns0:v>0</ns0:v>
      </ns0:c>
      <ns0:c r="AI427" s="12">
        <ns0:f>IF(AND(OR('前提と出典'!$C$36+'前提と出典'!$C$38=0,X427&gt;=0),OR('前提と出典'!$C$37+'前提と出典'!$C$38=0,Y427&gt;=0)),0,A427)</ns0:f>
        <ns0:v>0</ns0:v>
      </ns0:c>
    </ns0:row>
    <ns0:row r="428" ht="24" customHeight="1">
      <ns0:c r="A428" s="4" t="n">
        <ns0:v>424</ns0:v>
      </ns0:c>
      <ns0:c r="B428" s="12">
        <ns0:f>A428*('前提と出典'!$C$36+'前提と出典'!$C$38)</ns0:f>
        <ns0:v>296.79999999999995</ns0:v>
      </ns0:c>
      <ns0:c r="C428" s="12">
        <ns0:f>A428*('前提と出典'!$C$37+'前提と出典'!$C$38)</ns0:f>
        <ns0:v>254.39999999999998</ns0:v>
      </ns0:c>
      <ns0:c r="D428" s="16">
        <ns0:f>A428*('前提と出典'!$C$36*'契約別単価'!C5+'前提と出典'!$C$37*'契約別単価'!C6+'前提と出典'!$C$38*'契約別単価'!C7)</ns0:f>
        <ns0:v>3050.905027932961</ns0:v>
      </ns0:c>
      <ns0:c r="E428" s="16">
        <ns0:f>A428*('前提と出典'!$C$36*'契約別単価'!E5+'前提と出典'!$C$37*'契約別単価'!E6+'前提と出典'!$C$38*'契約別単価'!E7)</ns0:f>
        <ns0:v>820416.5344545231</ns0:v>
      </ns0:c>
      <ns0:c r="F428" s="16">
        <ns0:f>A428*('前提と出典'!$C$36*'契約別単価'!F5+'前提と出典'!$C$37*'契約別単価'!F6+'前提と出典'!$C$38*'契約別単価'!F7)</ns0:f>
        <ns0:v>321983.68339449837</ns0:v>
      </ns0:c>
      <ns0:c r="G428" s="16">
        <ns0:f>A428*('前提と出典'!$C$36*'契約別単価'!G5+'前提と出典'!$C$37*'契約別単価'!G6+'前提と出典'!$C$38*'契約別単価'!G7)</ns0:f>
        <ns0:v>843973.1843575418</ns0:v>
      </ns0:c>
      <ns0:c r="H428" s="16">
        <ns0:f>A428*('前提と出典'!$C$36*'契約別単価'!H5+'前提と出典'!$C$37*'契約別単価'!H6+'前提と出典'!$C$38*'契約別単価'!H7)</ns0:f>
        <ns0:v>292901.0235535217</ns0:v>
      </ns0:c>
      <ns0:c r="I428" s="16">
        <ns0:f>A428*('前提と出典'!$C$36*'契約別単価'!I5+'前提と出典'!$C$37*'契約別単価'!I6+'前提と出典'!$C$38*'契約別単価'!I7)</ns0:f>
        <ns0:v>17890.905027932957</ns0:v>
      </ns0:c>
      <ns0:c r="J428" s="16">
        <ns0:f>A428*('前提と出典'!$C$36*'契約別単価'!J5+'前提と出典'!$C$37*'契約別単価'!J6+'前提と出典'!$C$38*'契約別単価'!J7)</ns0:f>
        <ns0:v>41674.76653316829</ns0:v>
      </ns0:c>
      <ns0:c r="K428" s="16">
        <ns0:f>A428*('前提と出典'!$C$36*'契約別単価'!K5+'前提と出典'!$C$37*'契約別単価'!K6+'前提と出典'!$C$38*'契約別単価'!K7)</ns0:f>
        <ns0:v>178632.70018621974</ns0:v>
      </ns0:c>
      <ns0:c r="L428" s="16">
        <ns0:f>A428*('前提と出典'!$C$36*'契約別単価'!L5+'前提と出典'!$C$37*'契約別単価'!L6+'前提と出典'!$C$38*'契約別単価'!L7)</ns0:f>
        <ns0:v>145443.36745178406</ns0:v>
      </ns0:c>
      <ns0:c r="M428" s="16">
        <ns0:f>IF(('前提と出典'!$C$36+'前提と出典'!$C$38)=0,0,IF(B428&lt;=10,'前提と出典'!B73+'前提と出典'!C73,IF(B428&lt;=100,'前提と出典'!B74+'前提と出典'!C74,IF(B428&lt;=500,'前提と出典'!B75+'前提と出典'!C75,'前提と出典'!B76+'前提と出典'!C76))))</ns0:f>
        <ns0:v>40000</ns0:v>
      </ns0:c>
      <ns0:c r="N428" s="16">
        <ns0:f>IF(('前提と出典'!$C$37+'前提と出典'!$C$38)=0,0,IF(C428&lt;=10,'前提と出典'!D73+'前提と出典'!E73,IF(C428&lt;=100,'前提と出典'!D74+'前提と出典'!E74,IF(C428&lt;=500,'前提と出典'!D75+'前提と出典'!E75,'前提と出典'!D76+'前提と出典'!E76))))</ns0:f>
        <ns0:v>56510.9346263078</ns0:v>
      </ns0:c>
      <ns0:c r="O428" s="16">
        <ns0:f>IF('前提と出典'!$C$36+'前提と出典'!$C$38=0,0,'前提と出典'!$B$4*IF('前提と出典'!$B$20=0,MAX('前提と出典'!$B$6,D428*'前提と出典'!$B$5),'前提と出典'!$B$6+D428*'前提と出典'!$B$5))</ns0:f>
        <ns0:v>421024.89385474863</ns0:v>
      </ns0:c>
      <ns0:c r="P428" s="16">
        <ns0:f>(E428+G428)*(1-'前提と出典'!$B$7)-I428-K428-M428-O428</ns0:f>
        <ns0:v>946923.1898659293</ns0:v>
      </ns0:c>
      <ns0:c r="Q428" s="16">
        <ns0:f>(F428+H428)*(1-'前提と出典'!$B$7)-J428-L428-N428</ns0:f>
        <ns0:v>349119.78888663114</ns0:v>
      </ns0:c>
      <ns0:c r="R428" s="16">
        <ns0:f>P428-E428*'前提と出典'!$E$4</ns0:f>
        <ns0:v>700798.2295295724</ns0:v>
      </ns0:c>
      <ns0:c r="S428" s="16">
        <ns0:f>Q428-F428*'前提と出典'!$E$4</ns0:f>
        <ns0:v>252524.68386828166</ns0:v>
      </ns0:c>
      <ns0:c r="T428" s="7">
        <ns0:f>R428+S428</ns0:f>
        <ns0:v>953322.9133978541</ns0:v>
      </ns0:c>
      <ns0:c r="U428" s="16">
        <ns0:f>P428-E428*'前提と出典'!$E$5</ns0:f>
        <ns0:v>618756.57608412</ns0:v>
      </ns0:c>
      <ns0:c r="V428" s="16">
        <ns0:f>Q428-F428*'前提と出典'!$E$5</ns0:f>
        <ns0:v>220326.3155288318</ns0:v>
      </ns0:c>
      <ns0:c r="W428" s="7">
        <ns0:f>U428+V428</ns0:f>
        <ns0:v>839082.8916129518</ns0:v>
      </ns0:c>
      <ns0:c r="X428" s="16">
        <ns0:f>P428-E428*'前提と出典'!$E$6</ns0:f>
        <ns0:v>536714.9226386677</ns0:v>
      </ns0:c>
      <ns0:c r="Y428" s="16">
        <ns0:f>Q428-F428*'前提と出典'!$E$6</ns0:f>
        <ns0:v>188127.94718938196</ns0:v>
      </ns0:c>
      <ns0:c r="Z428" s="7">
        <ns0:f>X428+Y428</ns0:f>
        <ns0:v>724842.8698280497</ns0:v>
      </ns0:c>
      <ns0:c r="AA428" s="7">
        <ns0:f>IF(T428&gt;=0,A428,1001)</ns0:f>
        <ns0:v>424</ns0:v>
      </ns0:c>
      <ns0:c r="AB428" s="7">
        <ns0:f>IF(T428&lt;0,A428,0)</ns0:f>
        <ns0:v>0</ns0:v>
      </ns0:c>
      <ns0:c r="AC428" s="16">
        <ns0:f>IF(AND(OR('前提と出典'!$C$36+'前提と出典'!$C$38=0,R428&gt;=0),OR('前提と出典'!$C$37+'前提と出典'!$C$38=0,S428&gt;=0)),0,A428)</ns0:f>
        <ns0:v>0</ns0:v>
      </ns0:c>
      <ns0:c r="AD428" s="7">
        <ns0:f>IF(W428&gt;=0,A428,1001)</ns0:f>
        <ns0:v>424</ns0:v>
      </ns0:c>
      <ns0:c r="AE428" s="7">
        <ns0:f>IF(W428&lt;0,A428,0)</ns0:f>
        <ns0:v>0</ns0:v>
      </ns0:c>
      <ns0:c r="AF428" s="16">
        <ns0:f>IF(AND(OR('前提と出典'!$C$36+'前提と出典'!$C$38=0,U428&gt;=0),OR('前提と出典'!$C$37+'前提と出典'!$C$38=0,V428&gt;=0)),0,A428)</ns0:f>
        <ns0:v>0</ns0:v>
      </ns0:c>
      <ns0:c r="AG428" s="7">
        <ns0:f>IF(Z428&gt;=0,A428,1001)</ns0:f>
        <ns0:v>424</ns0:v>
      </ns0:c>
      <ns0:c r="AH428" s="4">
        <ns0:f>IF(Z428&lt;0,A428,0)</ns0:f>
        <ns0:v>0</ns0:v>
      </ns0:c>
      <ns0:c r="AI428" s="12">
        <ns0:f>IF(AND(OR('前提と出典'!$C$36+'前提と出典'!$C$38=0,X428&gt;=0),OR('前提と出典'!$C$37+'前提と出典'!$C$38=0,Y428&gt;=0)),0,A428)</ns0:f>
        <ns0:v>0</ns0:v>
      </ns0:c>
    </ns0:row>
    <ns0:row r="429" ht="24" customHeight="1">
      <ns0:c r="A429" s="4" t="n">
        <ns0:v>425</ns0:v>
      </ns0:c>
      <ns0:c r="B429" s="12">
        <ns0:f>A429*('前提と出典'!$C$36+'前提と出典'!$C$38)</ns0:f>
        <ns0:v>297.5</ns0:v>
      </ns0:c>
      <ns0:c r="C429" s="12">
        <ns0:f>A429*('前提と出典'!$C$37+'前提と出典'!$C$38)</ns0:f>
        <ns0:v>255</ns0:v>
      </ns0:c>
      <ns0:c r="D429" s="16">
        <ns0:f>A429*('前提と出典'!$C$36*'契約別単価'!C5+'前提と出典'!$C$37*'契約別単価'!C6+'前提と出典'!$C$38*'契約別単価'!C7)</ns0:f>
        <ns0:v>3058.1005586592178</ns0:v>
      </ns0:c>
      <ns0:c r="E429" s="16">
        <ns0:f>A429*('前提と出典'!$C$36*'契約別単価'!E5+'前提と出典'!$C$37*'契約別単価'!E6+'前提と出典'!$C$38*'契約別単価'!E7)</ns0:f>
        <ns0:v>822351.4791112555</ns0:v>
      </ns0:c>
      <ns0:c r="F429" s="16">
        <ns0:f>A429*('前提と出典'!$C$36*'契約別単価'!F5+'前提と出典'!$C$37*'契約別単価'!F6+'前提と出典'!$C$38*'契約別単価'!F7)</ns0:f>
        <ns0:v>322743.0788742023</ns0:v>
      </ns0:c>
      <ns0:c r="G429" s="16">
        <ns0:f>A429*('前提と出典'!$C$36*'契約別単価'!G5+'前提と出典'!$C$37*'契約別単価'!G6+'前提と出典'!$C$38*'契約別単価'!G7)</ns0:f>
        <ns0:v>845963.687150838</ns0:v>
      </ns0:c>
      <ns0:c r="H429" s="16">
        <ns0:f>A429*('前提と出典'!$C$36*'契約別単価'!H5+'前提と出典'!$C$37*'契約別単価'!H6+'前提と出典'!$C$38*'契約別単価'!H7)</ns0:f>
        <ns0:v>293591.8278543555</ns0:v>
      </ns0:c>
      <ns0:c r="I429" s="16">
        <ns0:f>A429*('前提と出典'!$C$36*'契約別単価'!I5+'前提と出典'!$C$37*'契約別単価'!I6+'前提と出典'!$C$38*'契約別単価'!I7)</ns0:f>
        <ns0:v>17933.100558659215</ns0:v>
      </ns0:c>
      <ns0:c r="J429" s="16">
        <ns0:f>A429*('前提と出典'!$C$36*'契約別単価'!J5+'前提と出典'!$C$37*'契約別単価'!J6+'前提と出典'!$C$38*'契約別単価'!J7)</ns0:f>
        <ns0:v>41773.056076878594</ns0:v>
      </ns0:c>
      <ns0:c r="K429" s="16">
        <ns0:f>A429*('前提と出典'!$C$36*'契約別単価'!K5+'前提と出典'!$C$37*'契約別単価'!K6+'前提と出典'!$C$38*'契約別単価'!K7)</ns0:f>
        <ns0:v>179054.00372439477</ns0:v>
      </ns0:c>
      <ns0:c r="L429" s="16">
        <ns0:f>A429*('前提と出典'!$C$36*'契約別単価'!L5+'前提と出典'!$C$37*'契約別単価'!L6+'前提と出典'!$C$38*'契約別単価'!L7)</ns0:f>
        <ns0:v>145786.39426181186</ns0:v>
      </ns0:c>
      <ns0:c r="M429" s="16">
        <ns0:f>IF(('前提と出典'!$C$36+'前提と出典'!$C$38)=0,0,IF(B429&lt;=10,'前提と出典'!B73+'前提と出典'!C73,IF(B429&lt;=100,'前提と出典'!B74+'前提と出典'!C74,IF(B429&lt;=500,'前提と出典'!B75+'前提と出典'!C75,'前提と出典'!B76+'前提と出典'!C76))))</ns0:f>
        <ns0:v>40000</ns0:v>
      </ns0:c>
      <ns0:c r="N429" s="16">
        <ns0:f>IF(('前提と出典'!$C$37+'前提と出典'!$C$38)=0,0,IF(C429&lt;=10,'前提と出典'!D73+'前提と出典'!E73,IF(C429&lt;=100,'前提と出典'!D74+'前提と出典'!E74,IF(C429&lt;=500,'前提と出典'!D75+'前提と出典'!E75,'前提と出典'!D76+'前提と出典'!E76))))</ns0:f>
        <ns0:v>56510.9346263078</ns0:v>
      </ns0:c>
      <ns0:c r="O429" s="16">
        <ns0:f>IF('前提と出典'!$C$36+'前提と出典'!$C$38=0,0,'前提と出典'!$B$4*IF('前提と出典'!$B$20=0,MAX('前提と出典'!$B$6,D429*'前提と出典'!$B$5),'前提と出典'!$B$6+D429*'前提と出典'!$B$5))</ns0:f>
        <ns0:v>422017.8770949721</ns0:v>
      </ns0:c>
      <ns0:c r="P429" s="16">
        <ns0:f>(E429+G429)*(1-'前提と出典'!$B$7)-I429-K429-M429-O429</ns0:f>
        <ns0:v>949250.8388986317</ns0:v>
      </ns0:c>
      <ns0:c r="Q429" s="16">
        <ns0:f>(F429+H429)*(1-'前提と出典'!$B$7)-J429-L429-N429</ns0:f>
        <ns0:v>350076.4651213314</ns0:v>
      </ns0:c>
      <ns0:c r="R429" s="16">
        <ns0:f>P429-E429*'前提と出典'!$E$4</ns0:f>
        <ns0:v>702545.3951652551</ns0:v>
      </ns0:c>
      <ns0:c r="S429" s="16">
        <ns0:f>Q429-F429*'前提と出典'!$E$4</ns0:f>
        <ns0:v>253253.54145907075</ns0:v>
      </ns0:c>
      <ns0:c r="T429" s="7">
        <ns0:f>R429+S429</ns0:f>
        <ns0:v>955798.9366243258</ns0:v>
      </ns0:c>
      <ns0:c r="U429" s="16">
        <ns0:f>P429-E429*'前提と出典'!$E$5</ns0:f>
        <ns0:v>620310.2472541295</ns0:v>
      </ns0:c>
      <ns0:c r="V429" s="16">
        <ns0:f>Q429-F429*'前提と出典'!$E$5</ns0:f>
        <ns0:v>220979.23357165046</ns0:v>
      </ns0:c>
      <ns0:c r="W429" s="7">
        <ns0:f>U429+V429</ns0:f>
        <ns0:v>841289.48082578</ns0:v>
      </ns0:c>
      <ns0:c r="X429" s="16">
        <ns0:f>P429-E429*'前提と出典'!$E$6</ns0:f>
        <ns0:v>538075.0993430039</ns0:v>
      </ns0:c>
      <ns0:c r="Y429" s="16">
        <ns0:f>Q429-F429*'前提と出典'!$E$6</ns0:f>
        <ns0:v>188704.9256842303</ns0:v>
      </ns0:c>
      <ns0:c r="Z429" s="7">
        <ns0:f>X429+Y429</ns0:f>
        <ns0:v>726780.0250272342</ns0:v>
      </ns0:c>
      <ns0:c r="AA429" s="7">
        <ns0:f>IF(T429&gt;=0,A429,1001)</ns0:f>
        <ns0:v>425</ns0:v>
      </ns0:c>
      <ns0:c r="AB429" s="7">
        <ns0:f>IF(T429&lt;0,A429,0)</ns0:f>
        <ns0:v>0</ns0:v>
      </ns0:c>
      <ns0:c r="AC429" s="16">
        <ns0:f>IF(AND(OR('前提と出典'!$C$36+'前提と出典'!$C$38=0,R429&gt;=0),OR('前提と出典'!$C$37+'前提と出典'!$C$38=0,S429&gt;=0)),0,A429)</ns0:f>
        <ns0:v>0</ns0:v>
      </ns0:c>
      <ns0:c r="AD429" s="7">
        <ns0:f>IF(W429&gt;=0,A429,1001)</ns0:f>
        <ns0:v>425</ns0:v>
      </ns0:c>
      <ns0:c r="AE429" s="7">
        <ns0:f>IF(W429&lt;0,A429,0)</ns0:f>
        <ns0:v>0</ns0:v>
      </ns0:c>
      <ns0:c r="AF429" s="16">
        <ns0:f>IF(AND(OR('前提と出典'!$C$36+'前提と出典'!$C$38=0,U429&gt;=0),OR('前提と出典'!$C$37+'前提と出典'!$C$38=0,V429&gt;=0)),0,A429)</ns0:f>
        <ns0:v>0</ns0:v>
      </ns0:c>
      <ns0:c r="AG429" s="7">
        <ns0:f>IF(Z429&gt;=0,A429,1001)</ns0:f>
        <ns0:v>425</ns0:v>
      </ns0:c>
      <ns0:c r="AH429" s="4">
        <ns0:f>IF(Z429&lt;0,A429,0)</ns0:f>
        <ns0:v>0</ns0:v>
      </ns0:c>
      <ns0:c r="AI429" s="12">
        <ns0:f>IF(AND(OR('前提と出典'!$C$36+'前提と出典'!$C$38=0,X429&gt;=0),OR('前提と出典'!$C$37+'前提と出典'!$C$38=0,Y429&gt;=0)),0,A429)</ns0:f>
        <ns0:v>0</ns0:v>
      </ns0:c>
    </ns0:row>
    <ns0:row r="430" ht="24" customHeight="1">
      <ns0:c r="A430" s="4" t="n">
        <ns0:v>426</ns0:v>
      </ns0:c>
      <ns0:c r="B430" s="12">
        <ns0:f>A430*('前提と出典'!$C$36+'前提と出典'!$C$38)</ns0:f>
        <ns0:v>298.2</ns0:v>
      </ns0:c>
      <ns0:c r="C430" s="12">
        <ns0:f>A430*('前提と出典'!$C$37+'前提と出典'!$C$38)</ns0:f>
        <ns0:v>255.6</ns0:v>
      </ns0:c>
      <ns0:c r="D430" s="16">
        <ns0:f>A430*('前提と出典'!$C$36*'契約別単価'!C5+'前提と出典'!$C$37*'契約別単価'!C6+'前提と出典'!$C$38*'契約別単価'!C7)</ns0:f>
        <ns0:v>3065.2960893854747</ns0:v>
      </ns0:c>
      <ns0:c r="E430" s="16">
        <ns0:f>A430*('前提と出典'!$C$36*'契約別単価'!E5+'前提と出典'!$C$37*'契約別単価'!E6+'前提と出典'!$C$38*'契約別単価'!E7)</ns0:f>
        <ns0:v>824286.4237679879</ns0:v>
      </ns0:c>
      <ns0:c r="F430" s="16">
        <ns0:f>A430*('前提と出典'!$C$36*'契約別単価'!F5+'前提と出典'!$C$37*'契約別単価'!F6+'前提と出典'!$C$38*'契約別単価'!F7)</ns0:f>
        <ns0:v>323502.47435390635</ns0:v>
      </ns0:c>
      <ns0:c r="G430" s="16">
        <ns0:f>A430*('前提と出典'!$C$36*'契約別単価'!G5+'前提と出典'!$C$37*'契約別単価'!G6+'前提と出典'!$C$38*'契約別単価'!G7)</ns0:f>
        <ns0:v>847954.1899441341</ns0:v>
      </ns0:c>
      <ns0:c r="H430" s="16">
        <ns0:f>A430*('前提と出典'!$C$36*'契約別単価'!H5+'前提と出典'!$C$37*'契約別単価'!H6+'前提と出典'!$C$38*'契約別単価'!H7)</ns0:f>
        <ns0:v>294282.6321551893</ns0:v>
      </ns0:c>
      <ns0:c r="I430" s="16">
        <ns0:f>A430*('前提と出典'!$C$36*'契約別単価'!I5+'前提と出典'!$C$37*'契約別単価'!I6+'前提と出典'!$C$38*'契約別単価'!I7)</ns0:f>
        <ns0:v>17975.296089385472</ns0:v>
      </ns0:c>
      <ns0:c r="J430" s="16">
        <ns0:f>A430*('前提と出典'!$C$36*'契約別単価'!J5+'前提と出典'!$C$37*'契約別単価'!J6+'前提と出典'!$C$38*'契約別単価'!J7)</ns0:f>
        <ns0:v>41871.345620588894</ns0:v>
      </ns0:c>
      <ns0:c r="K430" s="16">
        <ns0:f>A430*('前提と出典'!$C$36*'契約別単価'!K5+'前提と出典'!$C$37*'契約別単価'!K6+'前提と出典'!$C$38*'契約別単価'!K7)</ns0:f>
        <ns0:v>179475.3072625698</ns0:v>
      </ns0:c>
      <ns0:c r="L430" s="16">
        <ns0:f>A430*('前提と出典'!$C$36*'契約別単価'!L5+'前提と出典'!$C$37*'契約別単価'!L6+'前提と出典'!$C$38*'契約別単価'!L7)</ns0:f>
        <ns0:v>146129.42107183964</ns0:v>
      </ns0:c>
      <ns0:c r="M430" s="16">
        <ns0:f>IF(('前提と出典'!$C$36+'前提と出典'!$C$38)=0,0,IF(B430&lt;=10,'前提と出典'!B73+'前提と出典'!C73,IF(B430&lt;=100,'前提と出典'!B74+'前提と出典'!C74,IF(B430&lt;=500,'前提と出典'!B75+'前提と出典'!C75,'前提と出典'!B76+'前提と出典'!C76))))</ns0:f>
        <ns0:v>40000</ns0:v>
      </ns0:c>
      <ns0:c r="N430" s="16">
        <ns0:f>IF(('前提と出典'!$C$37+'前提と出典'!$C$38)=0,0,IF(C430&lt;=10,'前提と出典'!D73+'前提と出典'!E73,IF(C430&lt;=100,'前提と出典'!D74+'前提と出典'!E74,IF(C430&lt;=500,'前提と出典'!D75+'前提と出典'!E75,'前提と出典'!D76+'前提と出典'!E76))))</ns0:f>
        <ns0:v>56510.9346263078</ns0:v>
      </ns0:c>
      <ns0:c r="O430" s="16">
        <ns0:f>IF('前提と出典'!$C$36+'前提と出典'!$C$38=0,0,'前提と出典'!$B$4*IF('前提と出典'!$B$20=0,MAX('前提と出典'!$B$6,D430*'前提と出典'!$B$5),'前提と出典'!$B$6+D430*'前提と出典'!$B$5))</ns0:f>
        <ns0:v>423010.8603351955</ns0:v>
      </ns0:c>
      <ns0:c r="P430" s="16">
        <ns0:f>(E430+G430)*(1-'前提と出典'!$B$7)-I430-K430-M430-O430</ns0:f>
        <ns0:v>951578.4879313349</ns0:v>
      </ns0:c>
      <ns0:c r="Q430" s="16">
        <ns0:f>(F430+H430)*(1-'前提と出典'!$B$7)-J430-L430-N430</ns0:f>
        <ns0:v>351033.1413560319</ns0:v>
      </ns0:c>
      <ns0:c r="R430" s="16">
        <ns0:f>P430-E430*'前提と出典'!$E$4</ns0:f>
        <ns0:v>704292.5608009386</ns0:v>
      </ns0:c>
      <ns0:c r="S430" s="16">
        <ns0:f>Q430-F430*'前提と出典'!$E$4</ns0:f>
        <ns0:v>253982.39904985996</ns0:v>
      </ns0:c>
      <ns0:c r="T430" s="7">
        <ns0:f>R430+S430</ns0:f>
        <ns0:v>958274.9598507986</ns0:v>
      </ns0:c>
      <ns0:c r="U430" s="16">
        <ns0:f>P430-E430*'前提と出典'!$E$5</ns0:f>
        <ns0:v>621863.9184241397</ns0:v>
      </ns0:c>
      <ns0:c r="V430" s="16">
        <ns0:f>Q430-F430*'前提と出典'!$E$5</ns0:f>
        <ns0:v>221632.15161446936</ns0:v>
      </ns0:c>
      <ns0:c r="W430" s="7">
        <ns0:f>U430+V430</ns0:f>
        <ns0:v>843496.0700386091</ns0:v>
      </ns0:c>
      <ns0:c r="X430" s="16">
        <ns0:f>P430-E430*'前提と出典'!$E$6</ns0:f>
        <ns0:v>539435.2760473408</ns0:v>
      </ns0:c>
      <ns0:c r="Y430" s="16">
        <ns0:f>Q430-F430*'前提と出典'!$E$6</ns0:f>
        <ns0:v>189281.90417907864</ns0:v>
      </ns0:c>
      <ns0:c r="Z430" s="7">
        <ns0:f>X430+Y430</ns0:f>
        <ns0:v>728717.1802264195</ns0:v>
      </ns0:c>
      <ns0:c r="AA430" s="7">
        <ns0:f>IF(T430&gt;=0,A430,1001)</ns0:f>
        <ns0:v>426</ns0:v>
      </ns0:c>
      <ns0:c r="AB430" s="7">
        <ns0:f>IF(T430&lt;0,A430,0)</ns0:f>
        <ns0:v>0</ns0:v>
      </ns0:c>
      <ns0:c r="AC430" s="16">
        <ns0:f>IF(AND(OR('前提と出典'!$C$36+'前提と出典'!$C$38=0,R430&gt;=0),OR('前提と出典'!$C$37+'前提と出典'!$C$38=0,S430&gt;=0)),0,A430)</ns0:f>
        <ns0:v>0</ns0:v>
      </ns0:c>
      <ns0:c r="AD430" s="7">
        <ns0:f>IF(W430&gt;=0,A430,1001)</ns0:f>
        <ns0:v>426</ns0:v>
      </ns0:c>
      <ns0:c r="AE430" s="7">
        <ns0:f>IF(W430&lt;0,A430,0)</ns0:f>
        <ns0:v>0</ns0:v>
      </ns0:c>
      <ns0:c r="AF430" s="16">
        <ns0:f>IF(AND(OR('前提と出典'!$C$36+'前提と出典'!$C$38=0,U430&gt;=0),OR('前提と出典'!$C$37+'前提と出典'!$C$38=0,V430&gt;=0)),0,A430)</ns0:f>
        <ns0:v>0</ns0:v>
      </ns0:c>
      <ns0:c r="AG430" s="7">
        <ns0:f>IF(Z430&gt;=0,A430,1001)</ns0:f>
        <ns0:v>426</ns0:v>
      </ns0:c>
      <ns0:c r="AH430" s="4">
        <ns0:f>IF(Z430&lt;0,A430,0)</ns0:f>
        <ns0:v>0</ns0:v>
      </ns0:c>
      <ns0:c r="AI430" s="12">
        <ns0:f>IF(AND(OR('前提と出典'!$C$36+'前提と出典'!$C$38=0,X430&gt;=0),OR('前提と出典'!$C$37+'前提と出典'!$C$38=0,Y430&gt;=0)),0,A430)</ns0:f>
        <ns0:v>0</ns0:v>
      </ns0:c>
    </ns0:row>
    <ns0:row r="431" ht="24" customHeight="1">
      <ns0:c r="A431" s="4" t="n">
        <ns0:v>427</ns0:v>
      </ns0:c>
      <ns0:c r="B431" s="12">
        <ns0:f>A431*('前提と出典'!$C$36+'前提と出典'!$C$38)</ns0:f>
        <ns0:v>298.9</ns0:v>
      </ns0:c>
      <ns0:c r="C431" s="12">
        <ns0:f>A431*('前提と出典'!$C$37+'前提と出典'!$C$38)</ns0:f>
        <ns0:v>256.2</ns0:v>
      </ns0:c>
      <ns0:c r="D431" s="16">
        <ns0:f>A431*('前提と出典'!$C$36*'契約別単価'!C5+'前提と出典'!$C$37*'契約別単価'!C6+'前提と出典'!$C$38*'契約別単価'!C7)</ns0:f>
        <ns0:v>3072.4916201117317</ns0:v>
      </ns0:c>
      <ns0:c r="E431" s="16">
        <ns0:f>A431*('前提と出典'!$C$36*'契約別単価'!E5+'前提と出典'!$C$37*'契約別単価'!E6+'前提と出典'!$C$38*'契約別単価'!E7)</ns0:f>
        <ns0:v>826221.3684247202</ns0:v>
      </ns0:c>
      <ns0:c r="F431" s="16">
        <ns0:f>A431*('前提と出典'!$C$36*'契約別単価'!F5+'前提と出典'!$C$37*'契約別単価'!F6+'前提と出典'!$C$38*'契約別単価'!F7)</ns0:f>
        <ns0:v>324261.86983361037</ns0:v>
      </ns0:c>
      <ns0:c r="G431" s="16">
        <ns0:f>A431*('前提と出典'!$C$36*'契約別単価'!G5+'前提と出典'!$C$37*'契約別単価'!G6+'前提と出典'!$C$38*'契約別単価'!G7)</ns0:f>
        <ns0:v>849944.6927374301</ns0:v>
      </ns0:c>
      <ns0:c r="H431" s="16">
        <ns0:f>A431*('前提と出典'!$C$36*'契約別単価'!H5+'前提と出典'!$C$37*'契約別単価'!H6+'前提と出典'!$C$38*'契約別単価'!H7)</ns0:f>
        <ns0:v>294973.4364560231</ns0:v>
      </ns0:c>
      <ns0:c r="I431" s="16">
        <ns0:f>A431*('前提と出典'!$C$36*'契約別単価'!I5+'前提と出典'!$C$37*'契約別単価'!I6+'前提と出典'!$C$38*'契約別単価'!I7)</ns0:f>
        <ns0:v>18017.49162011173</ns0:v>
      </ns0:c>
      <ns0:c r="J431" s="16">
        <ns0:f>A431*('前提と出典'!$C$36*'契約別単価'!J5+'前提と出典'!$C$37*'契約別単価'!J6+'前提と出典'!$C$38*'契約別単価'!J7)</ns0:f>
        <ns0:v>41969.635164299194</ns0:v>
      </ns0:c>
      <ns0:c r="K431" s="16">
        <ns0:f>A431*('前提と出典'!$C$36*'契約別単価'!K5+'前提と出典'!$C$37*'契約別単価'!K6+'前提と出典'!$C$38*'契約別単価'!K7)</ns0:f>
        <ns0:v>179896.61080074488</ns0:v>
      </ns0:c>
      <ns0:c r="L431" s="16">
        <ns0:f>A431*('前提と出典'!$C$36*'契約別単価'!L5+'前提と出典'!$C$37*'契約別単価'!L6+'前提と出典'!$C$38*'契約別単価'!L7)</ns0:f>
        <ns0:v>146472.44788186744</ns0:v>
      </ns0:c>
      <ns0:c r="M431" s="16">
        <ns0:f>IF(('前提と出典'!$C$36+'前提と出典'!$C$38)=0,0,IF(B431&lt;=10,'前提と出典'!B73+'前提と出典'!C73,IF(B431&lt;=100,'前提と出典'!B74+'前提と出典'!C74,IF(B431&lt;=500,'前提と出典'!B75+'前提と出典'!C75,'前提と出典'!B76+'前提と出典'!C76))))</ns0:f>
        <ns0:v>40000</ns0:v>
      </ns0:c>
      <ns0:c r="N431" s="16">
        <ns0:f>IF(('前提と出典'!$C$37+'前提と出典'!$C$38)=0,0,IF(C431&lt;=10,'前提と出典'!D73+'前提と出典'!E73,IF(C431&lt;=100,'前提と出典'!D74+'前提と出典'!E74,IF(C431&lt;=500,'前提と出典'!D75+'前提と出典'!E75,'前提と出典'!D76+'前提と出典'!E76))))</ns0:f>
        <ns0:v>56510.9346263078</ns0:v>
      </ns0:c>
      <ns0:c r="O431" s="16">
        <ns0:f>IF('前提と出典'!$C$36+'前提と出典'!$C$38=0,0,'前提と出典'!$B$4*IF('前提と出典'!$B$20=0,MAX('前提と出典'!$B$6,D431*'前提と出典'!$B$5),'前提と出典'!$B$6+D431*'前提と出典'!$B$5))</ns0:f>
        <ns0:v>424003.843575419</ns0:v>
      </ns0:c>
      <ns0:c r="P431" s="16">
        <ns0:f>(E431+G431)*(1-'前提と出典'!$B$7)-I431-K431-M431-O431</ns0:f>
        <ns0:v>953906.1369640373</ns0:v>
      </ns0:c>
      <ns0:c r="Q431" s="16">
        <ns0:f>(F431+H431)*(1-'前提と出典'!$B$7)-J431-L431-N431</ns0:f>
        <ns0:v>351989.8175907323</ns0:v>
      </ns0:c>
      <ns0:c r="R431" s="16">
        <ns0:f>P431-E431*'前提と出典'!$E$4</ns0:f>
        <ns0:v>706039.7264366213</ns0:v>
      </ns0:c>
      <ns0:c r="S431" s="16">
        <ns0:f>Q431-F431*'前提と出典'!$E$4</ns0:f>
        <ns0:v>254711.25664064917</ns0:v>
      </ns0:c>
      <ns0:c r="T431" s="7">
        <ns0:f>R431+S431</ns0:f>
        <ns0:v>960750.9830772704</ns0:v>
      </ns0:c>
      <ns0:c r="U431" s="16">
        <ns0:f>P431-E431*'前提と出典'!$E$5</ns0:f>
        <ns0:v>623417.5895941493</ns0:v>
      </ns0:c>
      <ns0:c r="V431" s="16">
        <ns0:f>Q431-F431*'前提と出典'!$E$5</ns0:f>
        <ns0:v>222285.06965728814</ns0:v>
      </ns0:c>
      <ns0:c r="W431" s="7">
        <ns0:f>U431+V431</ns0:f>
        <ns0:v>845702.6592514374</ns0:v>
      </ns0:c>
      <ns0:c r="X431" s="16">
        <ns0:f>P431-E431*'前提と出典'!$E$6</ns0:f>
        <ns0:v>540795.4527516773</ns0:v>
      </ns0:c>
      <ns0:c r="Y431" s="16">
        <ns0:f>Q431-F431*'前提と出典'!$E$6</ns0:f>
        <ns0:v>189858.8826739271</ns0:v>
      </ns0:c>
      <ns0:c r="Z431" s="7">
        <ns0:f>X431+Y431</ns0:f>
        <ns0:v>730654.3354256044</ns0:v>
      </ns0:c>
      <ns0:c r="AA431" s="7">
        <ns0:f>IF(T431&gt;=0,A431,1001)</ns0:f>
        <ns0:v>427</ns0:v>
      </ns0:c>
      <ns0:c r="AB431" s="7">
        <ns0:f>IF(T431&lt;0,A431,0)</ns0:f>
        <ns0:v>0</ns0:v>
      </ns0:c>
      <ns0:c r="AC431" s="16">
        <ns0:f>IF(AND(OR('前提と出典'!$C$36+'前提と出典'!$C$38=0,R431&gt;=0),OR('前提と出典'!$C$37+'前提と出典'!$C$38=0,S431&gt;=0)),0,A431)</ns0:f>
        <ns0:v>0</ns0:v>
      </ns0:c>
      <ns0:c r="AD431" s="7">
        <ns0:f>IF(W431&gt;=0,A431,1001)</ns0:f>
        <ns0:v>427</ns0:v>
      </ns0:c>
      <ns0:c r="AE431" s="7">
        <ns0:f>IF(W431&lt;0,A431,0)</ns0:f>
        <ns0:v>0</ns0:v>
      </ns0:c>
      <ns0:c r="AF431" s="16">
        <ns0:f>IF(AND(OR('前提と出典'!$C$36+'前提と出典'!$C$38=0,U431&gt;=0),OR('前提と出典'!$C$37+'前提と出典'!$C$38=0,V431&gt;=0)),0,A431)</ns0:f>
        <ns0:v>0</ns0:v>
      </ns0:c>
      <ns0:c r="AG431" s="7">
        <ns0:f>IF(Z431&gt;=0,A431,1001)</ns0:f>
        <ns0:v>427</ns0:v>
      </ns0:c>
      <ns0:c r="AH431" s="4">
        <ns0:f>IF(Z431&lt;0,A431,0)</ns0:f>
        <ns0:v>0</ns0:v>
      </ns0:c>
      <ns0:c r="AI431" s="12">
        <ns0:f>IF(AND(OR('前提と出典'!$C$36+'前提と出典'!$C$38=0,X431&gt;=0),OR('前提と出典'!$C$37+'前提と出典'!$C$38=0,Y431&gt;=0)),0,A431)</ns0:f>
        <ns0:v>0</ns0:v>
      </ns0:c>
    </ns0:row>
    <ns0:row r="432" ht="24" customHeight="1">
      <ns0:c r="A432" s="4" t="n">
        <ns0:v>428</ns0:v>
      </ns0:c>
      <ns0:c r="B432" s="12">
        <ns0:f>A432*('前提と出典'!$C$36+'前提と出典'!$C$38)</ns0:f>
        <ns0:v>299.59999999999997</ns0:v>
      </ns0:c>
      <ns0:c r="C432" s="12">
        <ns0:f>A432*('前提と出典'!$C$37+'前提と出典'!$C$38)</ns0:f>
        <ns0:v>256.8</ns0:v>
      </ns0:c>
      <ns0:c r="D432" s="16">
        <ns0:f>A432*('前提と出典'!$C$36*'契約別単価'!C5+'前提と出典'!$C$37*'契約別単価'!C6+'前提と出典'!$C$38*'契約別単価'!C7)</ns0:f>
        <ns0:v>3079.6871508379886</ns0:v>
      </ns0:c>
      <ns0:c r="E432" s="16">
        <ns0:f>A432*('前提と出典'!$C$36*'契約別単価'!E5+'前提と出典'!$C$37*'契約別単価'!E6+'前提と出典'!$C$38*'契約別単価'!E7)</ns0:f>
        <ns0:v>828156.3130814526</ns0:v>
      </ns0:c>
      <ns0:c r="F432" s="16">
        <ns0:f>A432*('前提と出典'!$C$36*'契約別単価'!F5+'前提と出典'!$C$37*'契約別単価'!F6+'前提と出典'!$C$38*'契約別単価'!F7)</ns0:f>
        <ns0:v>325021.2653133144</ns0:v>
      </ns0:c>
      <ns0:c r="G432" s="16">
        <ns0:f>A432*('前提と出典'!$C$36*'契約別単価'!G5+'前提と出典'!$C$37*'契約別単価'!G6+'前提と出典'!$C$38*'契約別単価'!G7)</ns0:f>
        <ns0:v>851935.1955307262</ns0:v>
      </ns0:c>
      <ns0:c r="H432" s="16">
        <ns0:f>A432*('前提と出典'!$C$36*'契約別単価'!H5+'前提と出典'!$C$37*'契約別単価'!H6+'前提と出典'!$C$38*'契約別単価'!H7)</ns0:f>
        <ns0:v>295664.24075685686</ns0:v>
      </ns0:c>
      <ns0:c r="I432" s="16">
        <ns0:f>A432*('前提と出典'!$C$36*'契約別単価'!I5+'前提と出典'!$C$37*'契約別単価'!I6+'前提と出典'!$C$38*'契約別単価'!I7)</ns0:f>
        <ns0:v>18059.687150837985</ns0:v>
      </ns0:c>
      <ns0:c r="J432" s="16">
        <ns0:f>A432*('前提と出典'!$C$36*'契約別単価'!J5+'前提と出典'!$C$37*'契約別単価'!J6+'前提と出典'!$C$38*'契約別単価'!J7)</ns0:f>
        <ns0:v>42067.9247080095</ns0:v>
      </ns0:c>
      <ns0:c r="K432" s="16">
        <ns0:f>A432*('前提と出典'!$C$36*'契約別単価'!K5+'前提と出典'!$C$37*'契約別単価'!K6+'前提と出典'!$C$38*'契約別単価'!K7)</ns0:f>
        <ns0:v>180317.91433891992</ns0:v>
      </ns0:c>
      <ns0:c r="L432" s="16">
        <ns0:f>A432*('前提と出典'!$C$36*'契約別単価'!L5+'前提と出典'!$C$37*'契約別単価'!L6+'前提と出典'!$C$38*'契約別単価'!L7)</ns0:f>
        <ns0:v>146815.47469189522</ns0:v>
      </ns0:c>
      <ns0:c r="M432" s="16">
        <ns0:f>IF(('前提と出典'!$C$36+'前提と出典'!$C$38)=0,0,IF(B432&lt;=10,'前提と出典'!B73+'前提と出典'!C73,IF(B432&lt;=100,'前提と出典'!B74+'前提と出典'!C74,IF(B432&lt;=500,'前提と出典'!B75+'前提と出典'!C75,'前提と出典'!B76+'前提と出典'!C76))))</ns0:f>
        <ns0:v>40000</ns0:v>
      </ns0:c>
      <ns0:c r="N432" s="16">
        <ns0:f>IF(('前提と出典'!$C$37+'前提と出典'!$C$38)=0,0,IF(C432&lt;=10,'前提と出典'!D73+'前提と出典'!E73,IF(C432&lt;=100,'前提と出典'!D74+'前提と出典'!E74,IF(C432&lt;=500,'前提と出典'!D75+'前提と出典'!E75,'前提と出典'!D76+'前提と出典'!E76))))</ns0:f>
        <ns0:v>56510.9346263078</ns0:v>
      </ns0:c>
      <ns0:c r="O432" s="16">
        <ns0:f>IF('前提と出典'!$C$36+'前提と出典'!$C$38=0,0,'前提と出典'!$B$4*IF('前提と出典'!$B$20=0,MAX('前提と出典'!$B$6,D432*'前提と出典'!$B$5),'前提と出典'!$B$6+D432*'前提と出典'!$B$5))</ns0:f>
        <ns0:v>424996.8268156425</ns0:v>
      </ns0:c>
      <ns0:c r="P432" s="16">
        <ns0:f>(E432+G432)*(1-'前提と出典'!$B$7)-I432-K432-M432-O432</ns0:f>
        <ns0:v>956233.7859967399</ns0:v>
      </ns0:c>
      <ns0:c r="Q432" s="16">
        <ns0:f>(F432+H432)*(1-'前提と出典'!$B$7)-J432-L432-N432</ns0:f>
        <ns0:v>352946.49382543255</ns0:v>
      </ns0:c>
      <ns0:c r="R432" s="16">
        <ns0:f>P432-E432*'前提と出典'!$E$4</ns0:f>
        <ns0:v>707786.8920723042</ns0:v>
      </ns0:c>
      <ns0:c r="S432" s="16">
        <ns0:f>Q432-F432*'前提と出典'!$E$4</ns0:f>
        <ns0:v>255440.11423143826</ns0:v>
      </ns0:c>
      <ns0:c r="T432" s="7">
        <ns0:f>R432+S432</ns0:f>
        <ns0:v>963227.0063037424</ns0:v>
      </ns0:c>
      <ns0:c r="U432" s="16">
        <ns0:f>P432-E432*'前提と出典'!$E$5</ns0:f>
        <ns0:v>624971.2607641588</ns0:v>
      </ns0:c>
      <ns0:c r="V432" s="16">
        <ns0:f>Q432-F432*'前提と出典'!$E$5</ns0:f>
        <ns0:v>222937.9877001068</ns0:v>
      </ns0:c>
      <ns0:c r="W432" s="7">
        <ns0:f>U432+V432</ns0:f>
        <ns0:v>847909.2484642656</ns0:v>
      </ns0:c>
      <ns0:c r="X432" s="16">
        <ns0:f>P432-E432*'前提と出典'!$E$6</ns0:f>
        <ns0:v>542155.6294560134</ns0:v>
      </ns0:c>
      <ns0:c r="Y432" s="16">
        <ns0:f>Q432-F432*'前提と出典'!$E$6</ns0:f>
        <ns0:v>190435.86116877533</ns0:v>
      </ns0:c>
      <ns0:c r="Z432" s="7">
        <ns0:f>X432+Y432</ns0:f>
        <ns0:v>732591.4906247888</ns0:v>
      </ns0:c>
      <ns0:c r="AA432" s="7">
        <ns0:f>IF(T432&gt;=0,A432,1001)</ns0:f>
        <ns0:v>428</ns0:v>
      </ns0:c>
      <ns0:c r="AB432" s="7">
        <ns0:f>IF(T432&lt;0,A432,0)</ns0:f>
        <ns0:v>0</ns0:v>
      </ns0:c>
      <ns0:c r="AC432" s="16">
        <ns0:f>IF(AND(OR('前提と出典'!$C$36+'前提と出典'!$C$38=0,R432&gt;=0),OR('前提と出典'!$C$37+'前提と出典'!$C$38=0,S432&gt;=0)),0,A432)</ns0:f>
        <ns0:v>0</ns0:v>
      </ns0:c>
      <ns0:c r="AD432" s="7">
        <ns0:f>IF(W432&gt;=0,A432,1001)</ns0:f>
        <ns0:v>428</ns0:v>
      </ns0:c>
      <ns0:c r="AE432" s="7">
        <ns0:f>IF(W432&lt;0,A432,0)</ns0:f>
        <ns0:v>0</ns0:v>
      </ns0:c>
      <ns0:c r="AF432" s="16">
        <ns0:f>IF(AND(OR('前提と出典'!$C$36+'前提と出典'!$C$38=0,U432&gt;=0),OR('前提と出典'!$C$37+'前提と出典'!$C$38=0,V432&gt;=0)),0,A432)</ns0:f>
        <ns0:v>0</ns0:v>
      </ns0:c>
      <ns0:c r="AG432" s="7">
        <ns0:f>IF(Z432&gt;=0,A432,1001)</ns0:f>
        <ns0:v>428</ns0:v>
      </ns0:c>
      <ns0:c r="AH432" s="4">
        <ns0:f>IF(Z432&lt;0,A432,0)</ns0:f>
        <ns0:v>0</ns0:v>
      </ns0:c>
      <ns0:c r="AI432" s="12">
        <ns0:f>IF(AND(OR('前提と出典'!$C$36+'前提と出典'!$C$38=0,X432&gt;=0),OR('前提と出典'!$C$37+'前提と出典'!$C$38=0,Y432&gt;=0)),0,A432)</ns0:f>
        <ns0:v>0</ns0:v>
      </ns0:c>
    </ns0:row>
    <ns0:row r="433" ht="24" customHeight="1">
      <ns0:c r="A433" s="4" t="n">
        <ns0:v>429</ns0:v>
      </ns0:c>
      <ns0:c r="B433" s="12">
        <ns0:f>A433*('前提と出典'!$C$36+'前提と出典'!$C$38)</ns0:f>
        <ns0:v>300.29999999999995</ns0:v>
      </ns0:c>
      <ns0:c r="C433" s="12">
        <ns0:f>A433*('前提と出典'!$C$37+'前提と出典'!$C$38)</ns0:f>
        <ns0:v>257.4</ns0:v>
      </ns0:c>
      <ns0:c r="D433" s="16">
        <ns0:f>A433*('前提と出典'!$C$36*'契約別単価'!C5+'前提と出典'!$C$37*'契約別単価'!C6+'前提と出典'!$C$38*'契約別単価'!C7)</ns0:f>
        <ns0:v>3086.882681564246</ns0:v>
      </ns0:c>
      <ns0:c r="E433" s="16">
        <ns0:f>A433*('前提と出典'!$C$36*'契約別単価'!E5+'前提と出典'!$C$37*'契約別単価'!E6+'前提と出典'!$C$38*'契約別単価'!E7)</ns0:f>
        <ns0:v>830091.257738185</ns0:v>
      </ns0:c>
      <ns0:c r="F433" s="16">
        <ns0:f>A433*('前提と出典'!$C$36*'契約別単価'!F5+'前提と出典'!$C$37*'契約別単価'!F6+'前提と出典'!$C$38*'契約別単価'!F7)</ns0:f>
        <ns0:v>325780.66079301835</ns0:v>
      </ns0:c>
      <ns0:c r="G433" s="16">
        <ns0:f>A433*('前提と出典'!$C$36*'契約別単価'!G5+'前提と出典'!$C$37*'契約別単価'!G6+'前提と出典'!$C$38*'契約別単価'!G7)</ns0:f>
        <ns0:v>853925.6983240223</ns0:v>
      </ns0:c>
      <ns0:c r="H433" s="16">
        <ns0:f>A433*('前提と出典'!$C$36*'契約別単価'!H5+'前提と出典'!$C$37*'契約別単価'!H6+'前提と出典'!$C$38*'契約別単価'!H7)</ns0:f>
        <ns0:v>296355.04505769064</ns0:v>
      </ns0:c>
      <ns0:c r="I433" s="16">
        <ns0:f>A433*('前提と出典'!$C$36*'契約別単価'!I5+'前提と出典'!$C$37*'契約別単価'!I6+'前提と出典'!$C$38*'契約別単価'!I7)</ns0:f>
        <ns0:v>18101.882681564242</ns0:v>
      </ns0:c>
      <ns0:c r="J433" s="16">
        <ns0:f>A433*('前提と出典'!$C$36*'契約別単価'!J5+'前提と出典'!$C$37*'契約別単価'!J6+'前提と出典'!$C$38*'契約別単価'!J7)</ns0:f>
        <ns0:v>42166.2142517198</ns0:v>
      </ns0:c>
      <ns0:c r="K433" s="16">
        <ns0:f>A433*('前提と出典'!$C$36*'契約別単価'!K5+'前提と出典'!$C$37*'契約別単価'!K6+'前提と出典'!$C$38*'契約別単価'!K7)</ns0:f>
        <ns0:v>180739.21787709495</ns0:v>
      </ns0:c>
      <ns0:c r="L433" s="16">
        <ns0:f>A433*('前提と出典'!$C$36*'契約別単価'!L5+'前提と出典'!$C$37*'契約別単価'!L6+'前提と出典'!$C$38*'契約別単価'!L7)</ns0:f>
        <ns0:v>147158.50150192302</ns0:v>
      </ns0:c>
      <ns0:c r="M433" s="16">
        <ns0:f>IF(('前提と出典'!$C$36+'前提と出典'!$C$38)=0,0,IF(B433&lt;=10,'前提と出典'!B73+'前提と出典'!C73,IF(B433&lt;=100,'前提と出典'!B74+'前提と出典'!C74,IF(B433&lt;=500,'前提と出典'!B75+'前提と出典'!C75,'前提と出典'!B76+'前提と出典'!C76))))</ns0:f>
        <ns0:v>40000</ns0:v>
      </ns0:c>
      <ns0:c r="N433" s="16">
        <ns0:f>IF(('前提と出典'!$C$37+'前提と出典'!$C$38)=0,0,IF(C433&lt;=10,'前提と出典'!D73+'前提と出典'!E73,IF(C433&lt;=100,'前提と出典'!D74+'前提と出典'!E74,IF(C433&lt;=500,'前提と出典'!D75+'前提と出典'!E75,'前提と出典'!D76+'前提と出典'!E76))))</ns0:f>
        <ns0:v>56510.9346263078</ns0:v>
      </ns0:c>
      <ns0:c r="O433" s="16">
        <ns0:f>IF('前提と出典'!$C$36+'前提と出典'!$C$38=0,0,'前提と出典'!$B$4*IF('前提と出典'!$B$20=0,MAX('前提と出典'!$B$6,D433*'前提と出典'!$B$5),'前提と出典'!$B$6+D433*'前提と出典'!$B$5))</ns0:f>
        <ns0:v>425989.810055866</ns0:v>
      </ns0:c>
      <ns0:c r="P433" s="16">
        <ns0:f>(E433+G433)*(1-'前提と出典'!$B$7)-I433-K433-M433-O433</ns0:f>
        <ns0:v>958561.4350294429</ns0:v>
      </ns0:c>
      <ns0:c r="Q433" s="16">
        <ns0:f>(F433+H433)*(1-'前提と出典'!$B$7)-J433-L433-N433</ns0:f>
        <ns0:v>353903.1700601328</ns0:v>
      </ns0:c>
      <ns0:c r="R433" s="16">
        <ns0:f>P433-E433*'前提と出典'!$E$4</ns0:f>
        <ns0:v>709534.0577079876</ns0:v>
      </ns0:c>
      <ns0:c r="S433" s="16">
        <ns0:f>Q433-F433*'前提と出典'!$E$4</ns0:f>
        <ns0:v>256168.9718222273</ns0:v>
      </ns0:c>
      <ns0:c r="T433" s="7">
        <ns0:f>R433+S433</ns0:f>
        <ns0:v>965703.0295302148</ns0:v>
      </ns0:c>
      <ns0:c r="U433" s="16">
        <ns0:f>P433-E433*'前提と出典'!$E$5</ns0:f>
        <ns0:v>626524.9319341689</ns0:v>
      </ns0:c>
      <ns0:c r="V433" s="16">
        <ns0:f>Q433-F433*'前提と出典'!$E$5</ns0:f>
        <ns0:v>223590.90574292548</ns0:v>
      </ns0:c>
      <ns0:c r="W433" s="7">
        <ns0:f>U433+V433</ns0:f>
        <ns0:v>850115.8376770944</ns0:v>
      </ns0:c>
      <ns0:c r="X433" s="16">
        <ns0:f>P433-E433*'前提と出典'!$E$6</ns0:f>
        <ns0:v>543515.8061603503</ns0:v>
      </ns0:c>
      <ns0:c r="Y433" s="16">
        <ns0:f>Q433-F433*'前提と出典'!$E$6</ns0:f>
        <ns0:v>191012.83966362366</ns0:v>
      </ns0:c>
      <ns0:c r="Z433" s="7">
        <ns0:f>X433+Y433</ns0:f>
        <ns0:v>734528.6458239739</ns0:v>
      </ns0:c>
      <ns0:c r="AA433" s="7">
        <ns0:f>IF(T433&gt;=0,A433,1001)</ns0:f>
        <ns0:v>429</ns0:v>
      </ns0:c>
      <ns0:c r="AB433" s="7">
        <ns0:f>IF(T433&lt;0,A433,0)</ns0:f>
        <ns0:v>0</ns0:v>
      </ns0:c>
      <ns0:c r="AC433" s="16">
        <ns0:f>IF(AND(OR('前提と出典'!$C$36+'前提と出典'!$C$38=0,R433&gt;=0),OR('前提と出典'!$C$37+'前提と出典'!$C$38=0,S433&gt;=0)),0,A433)</ns0:f>
        <ns0:v>0</ns0:v>
      </ns0:c>
      <ns0:c r="AD433" s="7">
        <ns0:f>IF(W433&gt;=0,A433,1001)</ns0:f>
        <ns0:v>429</ns0:v>
      </ns0:c>
      <ns0:c r="AE433" s="7">
        <ns0:f>IF(W433&lt;0,A433,0)</ns0:f>
        <ns0:v>0</ns0:v>
      </ns0:c>
      <ns0:c r="AF433" s="16">
        <ns0:f>IF(AND(OR('前提と出典'!$C$36+'前提と出典'!$C$38=0,U433&gt;=0),OR('前提と出典'!$C$37+'前提と出典'!$C$38=0,V433&gt;=0)),0,A433)</ns0:f>
        <ns0:v>0</ns0:v>
      </ns0:c>
      <ns0:c r="AG433" s="7">
        <ns0:f>IF(Z433&gt;=0,A433,1001)</ns0:f>
        <ns0:v>429</ns0:v>
      </ns0:c>
      <ns0:c r="AH433" s="4">
        <ns0:f>IF(Z433&lt;0,A433,0)</ns0:f>
        <ns0:v>0</ns0:v>
      </ns0:c>
      <ns0:c r="AI433" s="12">
        <ns0:f>IF(AND(OR('前提と出典'!$C$36+'前提と出典'!$C$38=0,X433&gt;=0),OR('前提と出典'!$C$37+'前提と出典'!$C$38=0,Y433&gt;=0)),0,A433)</ns0:f>
        <ns0:v>0</ns0:v>
      </ns0:c>
    </ns0:row>
    <ns0:row r="434" ht="24" customHeight="1">
      <ns0:c r="A434" s="4" t="n">
        <ns0:v>430</ns0:v>
      </ns0:c>
      <ns0:c r="B434" s="12">
        <ns0:f>A434*('前提と出典'!$C$36+'前提と出典'!$C$38)</ns0:f>
        <ns0:v>301</ns0:v>
      </ns0:c>
      <ns0:c r="C434" s="12">
        <ns0:f>A434*('前提と出典'!$C$37+'前提と出典'!$C$38)</ns0:f>
        <ns0:v>258</ns0:v>
      </ns0:c>
      <ns0:c r="D434" s="16">
        <ns0:f>A434*('前提と出典'!$C$36*'契約別単価'!C5+'前提と出典'!$C$37*'契約別単価'!C6+'前提と出典'!$C$38*'契約別単価'!C7)</ns0:f>
        <ns0:v>3094.078212290503</ns0:v>
      </ns0:c>
      <ns0:c r="E434" s="16">
        <ns0:f>A434*('前提と出典'!$C$36*'契約別単価'!E5+'前提と出典'!$C$37*'契約別単価'!E6+'前提と出典'!$C$38*'契約別単価'!E7)</ns0:f>
        <ns0:v>832026.2023949174</ns0:v>
      </ns0:c>
      <ns0:c r="F434" s="16">
        <ns0:f>A434*('前提と出典'!$C$36*'契約別単価'!F5+'前提と出典'!$C$37*'契約別単価'!F6+'前提と出典'!$C$38*'契約別単価'!F7)</ns0:f>
        <ns0:v>326540.0562727224</ns0:v>
      </ns0:c>
      <ns0:c r="G434" s="16">
        <ns0:f>A434*('前提と出典'!$C$36*'契約別単価'!G5+'前提と出典'!$C$37*'契約別単価'!G6+'前提と出典'!$C$38*'契約別単価'!G7)</ns0:f>
        <ns0:v>855916.2011173184</ns0:v>
      </ns0:c>
      <ns0:c r="H434" s="16">
        <ns0:f>A434*('前提と出典'!$C$36*'契約別単価'!H5+'前提と出典'!$C$37*'契約別単価'!H6+'前提と出典'!$C$38*'契約別単価'!H7)</ns0:f>
        <ns0:v>297045.8493585244</ns0:v>
      </ns0:c>
      <ns0:c r="I434" s="16">
        <ns0:f>A434*('前提と出典'!$C$36*'契約別単価'!I5+'前提と出典'!$C$37*'契約別単価'!I6+'前提と出典'!$C$38*'契約別単価'!I7)</ns0:f>
        <ns0:v>18144.0782122905</ns0:v>
      </ns0:c>
      <ns0:c r="J434" s="16">
        <ns0:f>A434*('前提と出典'!$C$36*'契約別単価'!J5+'前提と出典'!$C$37*'契約別単価'!J6+'前提と出典'!$C$38*'契約別単価'!J7)</ns0:f>
        <ns0:v>42264.5037954301</ns0:v>
      </ns0:c>
      <ns0:c r="K434" s="16">
        <ns0:f>A434*('前提と出典'!$C$36*'契約別単価'!K5+'前提と出典'!$C$37*'契約別単価'!K6+'前提と出典'!$C$38*'契約別単価'!K7)</ns0:f>
        <ns0:v>181160.52141527</ns0:v>
      </ns0:c>
      <ns0:c r="L434" s="16">
        <ns0:f>A434*('前提と出典'!$C$36*'契約別単価'!L5+'前提と出典'!$C$37*'契約別単価'!L6+'前提と出典'!$C$38*'契約別単価'!L7)</ns0:f>
        <ns0:v>147501.5283119508</ns0:v>
      </ns0:c>
      <ns0:c r="M434" s="16">
        <ns0:f>IF(('前提と出典'!$C$36+'前提と出典'!$C$38)=0,0,IF(B434&lt;=10,'前提と出典'!B73+'前提と出典'!C73,IF(B434&lt;=100,'前提と出典'!B74+'前提と出典'!C74,IF(B434&lt;=500,'前提と出典'!B75+'前提と出典'!C75,'前提と出典'!B76+'前提と出典'!C76))))</ns0:f>
        <ns0:v>40000</ns0:v>
      </ns0:c>
      <ns0:c r="N434" s="16">
        <ns0:f>IF(('前提と出典'!$C$37+'前提と出典'!$C$38)=0,0,IF(C434&lt;=10,'前提と出典'!D73+'前提と出典'!E73,IF(C434&lt;=100,'前提と出典'!D74+'前提と出典'!E74,IF(C434&lt;=500,'前提と出典'!D75+'前提と出典'!E75,'前提と出典'!D76+'前提と出典'!E76))))</ns0:f>
        <ns0:v>56510.9346263078</ns0:v>
      </ns0:c>
      <ns0:c r="O434" s="16">
        <ns0:f>IF('前提と出典'!$C$36+'前提と出典'!$C$38=0,0,'前提と出典'!$B$4*IF('前提と出典'!$B$20=0,MAX('前提と出典'!$B$6,D434*'前提と出典'!$B$5),'前提と出典'!$B$6+D434*'前提と出典'!$B$5))</ns0:f>
        <ns0:v>426982.7932960894</ns0:v>
      </ns0:c>
      <ns0:c r="P434" s="16">
        <ns0:f>(E434+G434)*(1-'前提と出典'!$B$7)-I434-K434-M434-O434</ns0:f>
        <ns0:v>960889.0840621453</ns0:v>
      </ns0:c>
      <ns0:c r="Q434" s="16">
        <ns0:f>(F434+H434)*(1-'前提と出典'!$B$7)-J434-L434-N434</ns0:f>
        <ns0:v>354859.8462948331</ns0:v>
      </ns0:c>
      <ns0:c r="R434" s="16">
        <ns0:f>P434-E434*'前提と出典'!$E$4</ns0:f>
        <ns0:v>711281.2233436701</ns0:v>
      </ns0:c>
      <ns0:c r="S434" s="16">
        <ns0:f>Q434-F434*'前提と出典'!$E$4</ns0:f>
        <ns0:v>256897.82941301644</ns0:v>
      </ns0:c>
      <ns0:c r="T434" s="7">
        <ns0:f>R434+S434</ns0:f>
        <ns0:v>968179.0527566866</ns0:v>
      </ns0:c>
      <ns0:c r="U434" s="16">
        <ns0:f>P434-E434*'前提と出典'!$E$5</ns0:f>
        <ns0:v>628078.6031041783</ns0:v>
      </ns0:c>
      <ns0:c r="V434" s="16">
        <ns0:f>Q434-F434*'前提と出典'!$E$5</ns0:f>
        <ns0:v>224243.82378574414</ns0:v>
      </ns0:c>
      <ns0:c r="W434" s="7">
        <ns0:f>U434+V434</ns0:f>
        <ns0:v>852322.4268899225</ns0:v>
      </ns0:c>
      <ns0:c r="X434" s="16">
        <ns0:f>P434-E434*'前提と出典'!$E$6</ns0:f>
        <ns0:v>544875.9828646865</ns0:v>
      </ns0:c>
      <ns0:c r="Y434" s="16">
        <ns0:f>Q434-F434*'前提と出典'!$E$6</ns0:f>
        <ns0:v>191589.81815847196</ns0:v>
      </ns0:c>
      <ns0:c r="Z434" s="7">
        <ns0:f>X434+Y434</ns0:f>
        <ns0:v>736465.8010231585</ns0:v>
      </ns0:c>
      <ns0:c r="AA434" s="7">
        <ns0:f>IF(T434&gt;=0,A434,1001)</ns0:f>
        <ns0:v>430</ns0:v>
      </ns0:c>
      <ns0:c r="AB434" s="7">
        <ns0:f>IF(T434&lt;0,A434,0)</ns0:f>
        <ns0:v>0</ns0:v>
      </ns0:c>
      <ns0:c r="AC434" s="16">
        <ns0:f>IF(AND(OR('前提と出典'!$C$36+'前提と出典'!$C$38=0,R434&gt;=0),OR('前提と出典'!$C$37+'前提と出典'!$C$38=0,S434&gt;=0)),0,A434)</ns0:f>
        <ns0:v>0</ns0:v>
      </ns0:c>
      <ns0:c r="AD434" s="7">
        <ns0:f>IF(W434&gt;=0,A434,1001)</ns0:f>
        <ns0:v>430</ns0:v>
      </ns0:c>
      <ns0:c r="AE434" s="7">
        <ns0:f>IF(W434&lt;0,A434,0)</ns0:f>
        <ns0:v>0</ns0:v>
      </ns0:c>
      <ns0:c r="AF434" s="16">
        <ns0:f>IF(AND(OR('前提と出典'!$C$36+'前提と出典'!$C$38=0,U434&gt;=0),OR('前提と出典'!$C$37+'前提と出典'!$C$38=0,V434&gt;=0)),0,A434)</ns0:f>
        <ns0:v>0</ns0:v>
      </ns0:c>
      <ns0:c r="AG434" s="7">
        <ns0:f>IF(Z434&gt;=0,A434,1001)</ns0:f>
        <ns0:v>430</ns0:v>
      </ns0:c>
      <ns0:c r="AH434" s="4">
        <ns0:f>IF(Z434&lt;0,A434,0)</ns0:f>
        <ns0:v>0</ns0:v>
      </ns0:c>
      <ns0:c r="AI434" s="12">
        <ns0:f>IF(AND(OR('前提と出典'!$C$36+'前提と出典'!$C$38=0,X434&gt;=0),OR('前提と出典'!$C$37+'前提と出典'!$C$38=0,Y434&gt;=0)),0,A434)</ns0:f>
        <ns0:v>0</ns0:v>
      </ns0:c>
    </ns0:row>
    <ns0:row r="435" ht="24" customHeight="1">
      <ns0:c r="A435" s="4" t="n">
        <ns0:v>431</ns0:v>
      </ns0:c>
      <ns0:c r="B435" s="12">
        <ns0:f>A435*('前提と出典'!$C$36+'前提と出典'!$C$38)</ns0:f>
        <ns0:v>301.7</ns0:v>
      </ns0:c>
      <ns0:c r="C435" s="12">
        <ns0:f>A435*('前提と出典'!$C$37+'前提と出典'!$C$38)</ns0:f>
        <ns0:v>258.59999999999997</ns0:v>
      </ns0:c>
      <ns0:c r="D435" s="16">
        <ns0:f>A435*('前提と出典'!$C$36*'契約別単価'!C5+'前提と出典'!$C$37*'契約別単価'!C6+'前提と出典'!$C$38*'契約別単価'!C7)</ns0:f>
        <ns0:v>3101.27374301676</ns0:v>
      </ns0:c>
      <ns0:c r="E435" s="16">
        <ns0:f>A435*('前提と出典'!$C$36*'契約別単価'!E5+'前提と出典'!$C$37*'契約別単価'!E6+'前提と出典'!$C$38*'契約別単価'!E7)</ns0:f>
        <ns0:v>833961.1470516498</ns0:v>
      </ns0:c>
      <ns0:c r="F435" s="16">
        <ns0:f>A435*('前提と出典'!$C$36*'契約別単価'!F5+'前提と出典'!$C$37*'契約別単価'!F6+'前提と出典'!$C$38*'契約別単価'!F7)</ns0:f>
        <ns0:v>327299.4517524264</ns0:v>
      </ns0:c>
      <ns0:c r="G435" s="16">
        <ns0:f>A435*('前提と出典'!$C$36*'契約別単価'!G5+'前提と出典'!$C$37*'契約別単価'!G6+'前提と出典'!$C$38*'契約別単価'!G7)</ns0:f>
        <ns0:v>857906.7039106145</ns0:v>
      </ns0:c>
      <ns0:c r="H435" s="16">
        <ns0:f>A435*('前提と出典'!$C$36*'契約別単価'!H5+'前提と出典'!$C$37*'契約別単価'!H6+'前提と出典'!$C$38*'契約別単価'!H7)</ns0:f>
        <ns0:v>297736.65365935815</ns0:v>
      </ns0:c>
      <ns0:c r="I435" s="16">
        <ns0:f>A435*('前提と出典'!$C$36*'契約別単価'!I5+'前提と出典'!$C$37*'契約別単価'!I6+'前提と出典'!$C$38*'契約別単価'!I7)</ns0:f>
        <ns0:v>18186.273743016758</ns0:v>
      </ns0:c>
      <ns0:c r="J435" s="16">
        <ns0:f>A435*('前提と出典'!$C$36*'契約別単価'!J5+'前提と出典'!$C$37*'契約別単価'!J6+'前提と出典'!$C$38*'契約別単価'!J7)</ns0:f>
        <ns0:v>42362.79333914041</ns0:v>
      </ns0:c>
      <ns0:c r="K435" s="16">
        <ns0:f>A435*('前提と出典'!$C$36*'契約別単価'!K5+'前提と出典'!$C$37*'契約別単価'!K6+'前提と出典'!$C$38*'契約別単価'!K7)</ns0:f>
        <ns0:v>181581.82495344506</ns0:v>
      </ns0:c>
      <ns0:c r="L435" s="16">
        <ns0:f>A435*('前提と出典'!$C$36*'契約別単価'!L5+'前提と出典'!$C$37*'契約別単価'!L6+'前提と出典'!$C$38*'契約別単価'!L7)</ns0:f>
        <ns0:v>147844.5551219786</ns0:v>
      </ns0:c>
      <ns0:c r="M435" s="16">
        <ns0:f>IF(('前提と出典'!$C$36+'前提と出典'!$C$38)=0,0,IF(B435&lt;=10,'前提と出典'!B73+'前提と出典'!C73,IF(B435&lt;=100,'前提と出典'!B74+'前提と出典'!C74,IF(B435&lt;=500,'前提と出典'!B75+'前提と出典'!C75,'前提と出典'!B76+'前提と出典'!C76))))</ns0:f>
        <ns0:v>40000</ns0:v>
      </ns0:c>
      <ns0:c r="N435" s="16">
        <ns0:f>IF(('前提と出典'!$C$37+'前提と出典'!$C$38)=0,0,IF(C435&lt;=10,'前提と出典'!D73+'前提と出典'!E73,IF(C435&lt;=100,'前提と出典'!D74+'前提と出典'!E74,IF(C435&lt;=500,'前提と出典'!D75+'前提と出典'!E75,'前提と出典'!D76+'前提と出典'!E76))))</ns0:f>
        <ns0:v>56510.9346263078</ns0:v>
      </ns0:c>
      <ns0:c r="O435" s="16">
        <ns0:f>IF('前提と出典'!$C$36+'前提と出典'!$C$38=0,0,'前提と出典'!$B$4*IF('前提と出典'!$B$20=0,MAX('前提と出典'!$B$6,D435*'前提と出典'!$B$5),'前提と出典'!$B$6+D435*'前提と出典'!$B$5))</ns0:f>
        <ns0:v>427975.7765363129</ns0:v>
      </ns0:c>
      <ns0:c r="P435" s="16">
        <ns0:f>(E435+G435)*(1-'前提と出典'!$B$7)-I435-K435-M435-O435</ns0:f>
        <ns0:v>963216.7330948482</ns0:v>
      </ns0:c>
      <ns0:c r="Q435" s="16">
        <ns0:f>(F435+H435)*(1-'前提と出典'!$B$7)-J435-L435-N435</ns0:f>
        <ns0:v>355816.5225295335</ns0:v>
      </ns0:c>
      <ns0:c r="R435" s="16">
        <ns0:f>P435-E435*'前提と出典'!$E$4</ns0:f>
        <ns0:v>713028.3889793532</ns0:v>
      </ns0:c>
      <ns0:c r="S435" s="16">
        <ns0:f>Q435-F435*'前提と出典'!$E$4</ns0:f>
        <ns0:v>257626.68700380553</ns0:v>
      </ns0:c>
      <ns0:c r="T435" s="7">
        <ns0:f>R435+S435</ns0:f>
        <ns0:v>970655.0759831588</ns0:v>
      </ns0:c>
      <ns0:c r="U435" s="16">
        <ns0:f>P435-E435*'前提と出典'!$E$5</ns0:f>
        <ns0:v>629632.2742741883</ns0:v>
      </ns0:c>
      <ns0:c r="V435" s="16">
        <ns0:f>Q435-F435*'前提と出典'!$E$5</ns0:f>
        <ns0:v>224896.74182856292</ns0:v>
      </ns0:c>
      <ns0:c r="W435" s="7">
        <ns0:f>U435+V435</ns0:f>
        <ns0:v>854529.0161027513</ns0:v>
      </ns0:c>
      <ns0:c r="X435" s="16">
        <ns0:f>P435-E435*'前提と出典'!$E$6</ns0:f>
        <ns0:v>546236.1595690234</ns0:v>
      </ns0:c>
      <ns0:c r="Y435" s="16">
        <ns0:f>Q435-F435*'前提と出典'!$E$6</ns0:f>
        <ns0:v>192166.79665332029</ns0:v>
      </ns0:c>
      <ns0:c r="Z435" s="7">
        <ns0:f>X435+Y435</ns0:f>
        <ns0:v>738402.9562223437</ns0:v>
      </ns0:c>
      <ns0:c r="AA435" s="7">
        <ns0:f>IF(T435&gt;=0,A435,1001)</ns0:f>
        <ns0:v>431</ns0:v>
      </ns0:c>
      <ns0:c r="AB435" s="7">
        <ns0:f>IF(T435&lt;0,A435,0)</ns0:f>
        <ns0:v>0</ns0:v>
      </ns0:c>
      <ns0:c r="AC435" s="16">
        <ns0:f>IF(AND(OR('前提と出典'!$C$36+'前提と出典'!$C$38=0,R435&gt;=0),OR('前提と出典'!$C$37+'前提と出典'!$C$38=0,S435&gt;=0)),0,A435)</ns0:f>
        <ns0:v>0</ns0:v>
      </ns0:c>
      <ns0:c r="AD435" s="7">
        <ns0:f>IF(W435&gt;=0,A435,1001)</ns0:f>
        <ns0:v>431</ns0:v>
      </ns0:c>
      <ns0:c r="AE435" s="7">
        <ns0:f>IF(W435&lt;0,A435,0)</ns0:f>
        <ns0:v>0</ns0:v>
      </ns0:c>
      <ns0:c r="AF435" s="16">
        <ns0:f>IF(AND(OR('前提と出典'!$C$36+'前提と出典'!$C$38=0,U435&gt;=0),OR('前提と出典'!$C$37+'前提と出典'!$C$38=0,V435&gt;=0)),0,A435)</ns0:f>
        <ns0:v>0</ns0:v>
      </ns0:c>
      <ns0:c r="AG435" s="7">
        <ns0:f>IF(Z435&gt;=0,A435,1001)</ns0:f>
        <ns0:v>431</ns0:v>
      </ns0:c>
      <ns0:c r="AH435" s="4">
        <ns0:f>IF(Z435&lt;0,A435,0)</ns0:f>
        <ns0:v>0</ns0:v>
      </ns0:c>
      <ns0:c r="AI435" s="12">
        <ns0:f>IF(AND(OR('前提と出典'!$C$36+'前提と出典'!$C$38=0,X435&gt;=0),OR('前提と出典'!$C$37+'前提と出典'!$C$38=0,Y435&gt;=0)),0,A435)</ns0:f>
        <ns0:v>0</ns0:v>
      </ns0:c>
    </ns0:row>
    <ns0:row r="436" ht="24" customHeight="1">
      <ns0:c r="A436" s="4" t="n">
        <ns0:v>432</ns0:v>
      </ns0:c>
      <ns0:c r="B436" s="12">
        <ns0:f>A436*('前提と出典'!$C$36+'前提と出典'!$C$38)</ns0:f>
        <ns0:v>302.4</ns0:v>
      </ns0:c>
      <ns0:c r="C436" s="12">
        <ns0:f>A436*('前提と出典'!$C$37+'前提と出典'!$C$38)</ns0:f>
        <ns0:v>259.2</ns0:v>
      </ns0:c>
      <ns0:c r="D436" s="16">
        <ns0:f>A436*('前提と出典'!$C$36*'契約別単価'!C5+'前提と出典'!$C$37*'契約別単価'!C6+'前提と出典'!$C$38*'契約別単価'!C7)</ns0:f>
        <ns0:v>3108.469273743017</ns0:v>
      </ns0:c>
      <ns0:c r="E436" s="16">
        <ns0:f>A436*('前提と出典'!$C$36*'契約別単価'!E5+'前提と出典'!$C$37*'契約別単価'!E6+'前提と出典'!$C$38*'契約別単価'!E7)</ns0:f>
        <ns0:v>835896.0917083821</ns0:v>
      </ns0:c>
      <ns0:c r="F436" s="16">
        <ns0:f>A436*('前提と出典'!$C$36*'契約別単価'!F5+'前提と出典'!$C$37*'契約別単価'!F6+'前提と出典'!$C$38*'契約別単価'!F7)</ns0:f>
        <ns0:v>328058.8472321304</ns0:v>
      </ns0:c>
      <ns0:c r="G436" s="16">
        <ns0:f>A436*('前提と出典'!$C$36*'契約別単価'!G5+'前提と出典'!$C$37*'契約別単価'!G6+'前提と出典'!$C$38*'契約別単価'!G7)</ns0:f>
        <ns0:v>859897.2067039106</ns0:v>
      </ns0:c>
      <ns0:c r="H436" s="16">
        <ns0:f>A436*('前提と出典'!$C$36*'契約別単価'!H5+'前提と出典'!$C$37*'契約別単価'!H6+'前提と出典'!$C$38*'契約別単価'!H7)</ns0:f>
        <ns0:v>298427.45796019194</ns0:v>
      </ns0:c>
      <ns0:c r="I436" s="16">
        <ns0:f>A436*('前提と出典'!$C$36*'契約別単価'!I5+'前提と出典'!$C$37*'契約別単価'!I6+'前提と出典'!$C$38*'契約別単価'!I7)</ns0:f>
        <ns0:v>18228.469273743012</ns0:v>
      </ns0:c>
      <ns0:c r="J436" s="16">
        <ns0:f>A436*('前提と出典'!$C$36*'契約別単価'!J5+'前提と出典'!$C$37*'契約別単価'!J6+'前提と出典'!$C$38*'契約別単価'!J7)</ns0:f>
        <ns0:v>42461.08288285071</ns0:v>
      </ns0:c>
      <ns0:c r="K436" s="16">
        <ns0:f>A436*('前提と出典'!$C$36*'契約別単価'!K5+'前提と出典'!$C$37*'契約別単価'!K6+'前提と出典'!$C$38*'契約別単価'!K7)</ns0:f>
        <ns0:v>182003.1284916201</ns0:v>
      </ns0:c>
      <ns0:c r="L436" s="16">
        <ns0:f>A436*('前提と出典'!$C$36*'契約別単価'!L5+'前提と出典'!$C$37*'契約別単価'!L6+'前提と出典'!$C$38*'契約別単価'!L7)</ns0:f>
        <ns0:v>148187.5819320064</ns0:v>
      </ns0:c>
      <ns0:c r="M436" s="16">
        <ns0:f>IF(('前提と出典'!$C$36+'前提と出典'!$C$38)=0,0,IF(B436&lt;=10,'前提と出典'!B73+'前提と出典'!C73,IF(B436&lt;=100,'前提と出典'!B74+'前提と出典'!C74,IF(B436&lt;=500,'前提と出典'!B75+'前提と出典'!C75,'前提と出典'!B76+'前提と出典'!C76))))</ns0:f>
        <ns0:v>40000</ns0:v>
      </ns0:c>
      <ns0:c r="N436" s="16">
        <ns0:f>IF(('前提と出典'!$C$37+'前提と出典'!$C$38)=0,0,IF(C436&lt;=10,'前提と出典'!D73+'前提と出典'!E73,IF(C436&lt;=100,'前提と出典'!D74+'前提と出典'!E74,IF(C436&lt;=500,'前提と出典'!D75+'前提と出典'!E75,'前提と出典'!D76+'前提と出典'!E76))))</ns0:f>
        <ns0:v>56510.9346263078</ns0:v>
      </ns0:c>
      <ns0:c r="O436" s="16">
        <ns0:f>IF('前提と出典'!$C$36+'前提と出典'!$C$38=0,0,'前提と出典'!$B$4*IF('前提と出典'!$B$20=0,MAX('前提と出典'!$B$6,D436*'前提と出典'!$B$5),'前提と出典'!$B$6+D436*'前提と出典'!$B$5))</ns0:f>
        <ns0:v>428968.7597765364</ns0:v>
      </ns0:c>
      <ns0:c r="P436" s="16">
        <ns0:f>(E436+G436)*(1-'前提と出典'!$B$7)-I436-K436-M436-O436</ns0:f>
        <ns0:v>965544.3821275507</ns0:v>
      </ns0:c>
      <ns0:c r="Q436" s="16">
        <ns0:f>(F436+H436)*(1-'前提と出典'!$B$7)-J436-L436-N436</ns0:f>
        <ns0:v>356773.19876423385</ns0:v>
      </ns0:c>
      <ns0:c r="R436" s="16">
        <ns0:f>P436-E436*'前提と出典'!$E$4</ns0:f>
        <ns0:v>714775.5546150361</ns0:v>
      </ns0:c>
      <ns0:c r="S436" s="16">
        <ns0:f>Q436-F436*'前提と出典'!$E$4</ns0:f>
        <ns0:v>258355.54459459468</ns0:v>
      </ns0:c>
      <ns0:c r="T436" s="7">
        <ns0:f>R436+S436</ns0:f>
        <ns0:v>973131.0992096309</ns0:v>
      </ns0:c>
      <ns0:c r="U436" s="16">
        <ns0:f>P436-E436*'前提と出典'!$E$5</ns0:f>
        <ns0:v>631185.9454441979</ns0:v>
      </ns0:c>
      <ns0:c r="V436" s="16">
        <ns0:f>Q436-F436*'前提と出典'!$E$5</ns0:f>
        <ns0:v>225549.65987138165</ns0:v>
      </ns0:c>
      <ns0:c r="W436" s="7">
        <ns0:f>U436+V436</ns0:f>
        <ns0:v>856735.6053155796</ns0:v>
      </ns0:c>
      <ns0:c r="X436" s="16">
        <ns0:f>P436-E436*'前提と出典'!$E$6</ns0:f>
        <ns0:v>547596.3362733596</ns0:v>
      </ns0:c>
      <ns0:c r="Y436" s="16">
        <ns0:f>Q436-F436*'前提と出典'!$E$6</ns0:f>
        <ns0:v>192743.7751481686</ns0:v>
      </ns0:c>
      <ns0:c r="Z436" s="7">
        <ns0:f>X436+Y436</ns0:f>
        <ns0:v>740340.1114215283</ns0:v>
      </ns0:c>
      <ns0:c r="AA436" s="7">
        <ns0:f>IF(T436&gt;=0,A436,1001)</ns0:f>
        <ns0:v>432</ns0:v>
      </ns0:c>
      <ns0:c r="AB436" s="7">
        <ns0:f>IF(T436&lt;0,A436,0)</ns0:f>
        <ns0:v>0</ns0:v>
      </ns0:c>
      <ns0:c r="AC436" s="16">
        <ns0:f>IF(AND(OR('前提と出典'!$C$36+'前提と出典'!$C$38=0,R436&gt;=0),OR('前提と出典'!$C$37+'前提と出典'!$C$38=0,S436&gt;=0)),0,A436)</ns0:f>
        <ns0:v>0</ns0:v>
      </ns0:c>
      <ns0:c r="AD436" s="7">
        <ns0:f>IF(W436&gt;=0,A436,1001)</ns0:f>
        <ns0:v>432</ns0:v>
      </ns0:c>
      <ns0:c r="AE436" s="7">
        <ns0:f>IF(W436&lt;0,A436,0)</ns0:f>
        <ns0:v>0</ns0:v>
      </ns0:c>
      <ns0:c r="AF436" s="16">
        <ns0:f>IF(AND(OR('前提と出典'!$C$36+'前提と出典'!$C$38=0,U436&gt;=0),OR('前提と出典'!$C$37+'前提と出典'!$C$38=0,V436&gt;=0)),0,A436)</ns0:f>
        <ns0:v>0</ns0:v>
      </ns0:c>
      <ns0:c r="AG436" s="7">
        <ns0:f>IF(Z436&gt;=0,A436,1001)</ns0:f>
        <ns0:v>432</ns0:v>
      </ns0:c>
      <ns0:c r="AH436" s="4">
        <ns0:f>IF(Z436&lt;0,A436,0)</ns0:f>
        <ns0:v>0</ns0:v>
      </ns0:c>
      <ns0:c r="AI436" s="12">
        <ns0:f>IF(AND(OR('前提と出典'!$C$36+'前提と出典'!$C$38=0,X436&gt;=0),OR('前提と出典'!$C$37+'前提と出典'!$C$38=0,Y436&gt;=0)),0,A436)</ns0:f>
        <ns0:v>0</ns0:v>
      </ns0:c>
    </ns0:row>
    <ns0:row r="437" ht="24" customHeight="1">
      <ns0:c r="A437" s="4" t="n">
        <ns0:v>433</ns0:v>
      </ns0:c>
      <ns0:c r="B437" s="12">
        <ns0:f>A437*('前提と出典'!$C$36+'前提と出典'!$C$38)</ns0:f>
        <ns0:v>303.09999999999997</ns0:v>
      </ns0:c>
      <ns0:c r="C437" s="12">
        <ns0:f>A437*('前提と出典'!$C$37+'前提と出典'!$C$38)</ns0:f>
        <ns0:v>259.8</ns0:v>
      </ns0:c>
      <ns0:c r="D437" s="16">
        <ns0:f>A437*('前提と出典'!$C$36*'契約別単価'!C5+'前提と出典'!$C$37*'契約別単価'!C6+'前提と出典'!$C$38*'契約別単価'!C7)</ns0:f>
        <ns0:v>3115.664804469274</ns0:v>
      </ns0:c>
      <ns0:c r="E437" s="16">
        <ns0:f>A437*('前提と出典'!$C$36*'契約別単価'!E5+'前提と出典'!$C$37*'契約別単価'!E6+'前提と出典'!$C$38*'契約別単価'!E7)</ns0:f>
        <ns0:v>837831.0363651145</ns0:v>
      </ns0:c>
      <ns0:c r="F437" s="16">
        <ns0:f>A437*('前提と出典'!$C$36*'契約別単価'!F5+'前提と出典'!$C$37*'契約別単価'!F6+'前提と出典'!$C$38*'契約別単価'!F7)</ns0:f>
        <ns0:v>328818.2427118344</ns0:v>
      </ns0:c>
      <ns0:c r="G437" s="16">
        <ns0:f>A437*('前提と出典'!$C$36*'契約別単価'!G5+'前提と出典'!$C$37*'契約別単価'!G6+'前提と出典'!$C$38*'契約別単価'!G7)</ns0:f>
        <ns0:v>861887.7094972066</ns0:v>
      </ns0:c>
      <ns0:c r="H437" s="16">
        <ns0:f>A437*('前提と出典'!$C$36*'契約別単価'!H5+'前提と出典'!$C$37*'契約別単価'!H6+'前提と出典'!$C$38*'契約別単価'!H7)</ns0:f>
        <ns0:v>299118.2622610257</ns0:v>
      </ns0:c>
      <ns0:c r="I437" s="16">
        <ns0:f>A437*('前提と出典'!$C$36*'契約別単価'!I5+'前提と出典'!$C$37*'契約別単価'!I6+'前提と出典'!$C$38*'契約別単価'!I7)</ns0:f>
        <ns0:v>18270.66480446927</ns0:v>
      </ns0:c>
      <ns0:c r="J437" s="16">
        <ns0:f>A437*('前提と出典'!$C$36*'契約別単価'!J5+'前提と出典'!$C$37*'契約別単価'!J6+'前提と出典'!$C$38*'契約別単価'!J7)</ns0:f>
        <ns0:v>42559.372426561014</ns0:v>
      </ns0:c>
      <ns0:c r="K437" s="16">
        <ns0:f>A437*('前提と出典'!$C$36*'契約別単価'!K5+'前提と出典'!$C$37*'契約別単価'!K6+'前提と出典'!$C$38*'契約別単価'!K7)</ns0:f>
        <ns0:v>182424.43202979513</ns0:v>
      </ns0:c>
      <ns0:c r="L437" s="16">
        <ns0:f>A437*('前提と出典'!$C$36*'契約別単価'!L5+'前提と出典'!$C$37*'契約別単価'!L6+'前提と出典'!$C$38*'契約別単価'!L7)</ns0:f>
        <ns0:v>148530.60874203418</ns0:v>
      </ns0:c>
      <ns0:c r="M437" s="16">
        <ns0:f>IF(('前提と出典'!$C$36+'前提と出典'!$C$38)=0,0,IF(B437&lt;=10,'前提と出典'!B73+'前提と出典'!C73,IF(B437&lt;=100,'前提と出典'!B74+'前提と出典'!C74,IF(B437&lt;=500,'前提と出典'!B75+'前提と出典'!C75,'前提と出典'!B76+'前提と出典'!C76))))</ns0:f>
        <ns0:v>40000</ns0:v>
      </ns0:c>
      <ns0:c r="N437" s="16">
        <ns0:f>IF(('前提と出典'!$C$37+'前提と出典'!$C$38)=0,0,IF(C437&lt;=10,'前提と出典'!D73+'前提と出典'!E73,IF(C437&lt;=100,'前提と出典'!D74+'前提と出典'!E74,IF(C437&lt;=500,'前提と出典'!D75+'前提と出典'!E75,'前提と出典'!D76+'前提と出典'!E76))))</ns0:f>
        <ns0:v>56510.9346263078</ns0:v>
      </ns0:c>
      <ns0:c r="O437" s="16">
        <ns0:f>IF('前提と出典'!$C$36+'前提と出典'!$C$38=0,0,'前提と出典'!$B$4*IF('前提と出典'!$B$20=0,MAX('前提と出典'!$B$6,D437*'前提と出典'!$B$5),'前提と出典'!$B$6+D437*'前提と出典'!$B$5))</ns0:f>
        <ns0:v>429961.7430167598</ns0:v>
      </ns0:c>
      <ns0:c r="P437" s="16">
        <ns0:f>(E437+G437)*(1-'前提と出典'!$B$7)-I437-K437-M437-O437</ns0:f>
        <ns0:v>967872.031160253</ns0:v>
      </ns0:c>
      <ns0:c r="Q437" s="16">
        <ns0:f>(F437+H437)*(1-'前提と出典'!$B$7)-J437-L437-N437</ns0:f>
        <ns0:v>357729.8749989342</ns0:v>
      </ns0:c>
      <ns0:c r="R437" s="16">
        <ns0:f>P437-E437*'前提と出典'!$E$4</ns0:f>
        <ns0:v>716522.7202507188</ns0:v>
      </ns0:c>
      <ns0:c r="S437" s="16">
        <ns0:f>Q437-F437*'前提と出典'!$E$4</ns0:f>
        <ns0:v>259084.4021853839</ns0:v>
      </ns0:c>
      <ns0:c r="T437" s="7">
        <ns0:f>R437+S437</ns0:f>
        <ns0:v>975607.1224361027</ns0:v>
      </ns0:c>
      <ns0:c r="U437" s="16">
        <ns0:f>P437-E437*'前提と出典'!$E$5</ns0:f>
        <ns0:v>632739.6166142072</ns0:v>
      </ns0:c>
      <ns0:c r="V437" s="16">
        <ns0:f>Q437-F437*'前提と出典'!$E$5</ns0:f>
        <ns0:v>226202.57791420043</ns0:v>
      </ns0:c>
      <ns0:c r="W437" s="7">
        <ns0:f>U437+V437</ns0:f>
        <ns0:v>858942.1945284077</ns0:v>
      </ns0:c>
      <ns0:c r="X437" s="16">
        <ns0:f>P437-E437*'前提と出典'!$E$6</ns0:f>
        <ns0:v>548956.5129776958</ns0:v>
      </ns0:c>
      <ns0:c r="Y437" s="16">
        <ns0:f>Q437-F437*'前提と出典'!$E$6</ns0:f>
        <ns0:v>193320.75364301697</ns0:v>
      </ns0:c>
      <ns0:c r="Z437" s="7">
        <ns0:f>X437+Y437</ns0:f>
        <ns0:v>742277.2666207128</ns0:v>
      </ns0:c>
      <ns0:c r="AA437" s="7">
        <ns0:f>IF(T437&gt;=0,A437,1001)</ns0:f>
        <ns0:v>433</ns0:v>
      </ns0:c>
      <ns0:c r="AB437" s="7">
        <ns0:f>IF(T437&lt;0,A437,0)</ns0:f>
        <ns0:v>0</ns0:v>
      </ns0:c>
      <ns0:c r="AC437" s="16">
        <ns0:f>IF(AND(OR('前提と出典'!$C$36+'前提と出典'!$C$38=0,R437&gt;=0),OR('前提と出典'!$C$37+'前提と出典'!$C$38=0,S437&gt;=0)),0,A437)</ns0:f>
        <ns0:v>0</ns0:v>
      </ns0:c>
      <ns0:c r="AD437" s="7">
        <ns0:f>IF(W437&gt;=0,A437,1001)</ns0:f>
        <ns0:v>433</ns0:v>
      </ns0:c>
      <ns0:c r="AE437" s="7">
        <ns0:f>IF(W437&lt;0,A437,0)</ns0:f>
        <ns0:v>0</ns0:v>
      </ns0:c>
      <ns0:c r="AF437" s="16">
        <ns0:f>IF(AND(OR('前提と出典'!$C$36+'前提と出典'!$C$38=0,U437&gt;=0),OR('前提と出典'!$C$37+'前提と出典'!$C$38=0,V437&gt;=0)),0,A437)</ns0:f>
        <ns0:v>0</ns0:v>
      </ns0:c>
      <ns0:c r="AG437" s="7">
        <ns0:f>IF(Z437&gt;=0,A437,1001)</ns0:f>
        <ns0:v>433</ns0:v>
      </ns0:c>
      <ns0:c r="AH437" s="4">
        <ns0:f>IF(Z437&lt;0,A437,0)</ns0:f>
        <ns0:v>0</ns0:v>
      </ns0:c>
      <ns0:c r="AI437" s="12">
        <ns0:f>IF(AND(OR('前提と出典'!$C$36+'前提と出典'!$C$38=0,X437&gt;=0),OR('前提と出典'!$C$37+'前提と出典'!$C$38=0,Y437&gt;=0)),0,A437)</ns0:f>
        <ns0:v>0</ns0:v>
      </ns0:c>
    </ns0:row>
    <ns0:row r="438" ht="24" customHeight="1">
      <ns0:c r="A438" s="4" t="n">
        <ns0:v>434</ns0:v>
      </ns0:c>
      <ns0:c r="B438" s="12">
        <ns0:f>A438*('前提と出典'!$C$36+'前提と出典'!$C$38)</ns0:f>
        <ns0:v>303.79999999999995</ns0:v>
      </ns0:c>
      <ns0:c r="C438" s="12">
        <ns0:f>A438*('前提と出典'!$C$37+'前提と出典'!$C$38)</ns0:f>
        <ns0:v>260.4</ns0:v>
      </ns0:c>
      <ns0:c r="D438" s="16">
        <ns0:f>A438*('前提と出典'!$C$36*'契約別単価'!C5+'前提と出典'!$C$37*'契約別単価'!C6+'前提と出典'!$C$38*'契約別単価'!C7)</ns0:f>
        <ns0:v>3122.8603351955308</ns0:v>
      </ns0:c>
      <ns0:c r="E438" s="16">
        <ns0:f>A438*('前提と出典'!$C$36*'契約別単価'!E5+'前提と出典'!$C$37*'契約別単価'!E6+'前提と出典'!$C$38*'契約別単価'!E7)</ns0:f>
        <ns0:v>839765.9810218469</ns0:v>
      </ns0:c>
      <ns0:c r="F438" s="16">
        <ns0:f>A438*('前提と出典'!$C$36*'契約別単価'!F5+'前提と出典'!$C$37*'契約別単価'!F6+'前提と出典'!$C$38*'契約別単価'!F7)</ns0:f>
        <ns0:v>329577.6381915384</ns0:v>
      </ns0:c>
      <ns0:c r="G438" s="16">
        <ns0:f>A438*('前提と出典'!$C$36*'契約別単価'!G5+'前提と出典'!$C$37*'契約別単価'!G6+'前提と出典'!$C$38*'契約別単価'!G7)</ns0:f>
        <ns0:v>863878.2122905027</ns0:v>
      </ns0:c>
      <ns0:c r="H438" s="16">
        <ns0:f>A438*('前提と出典'!$C$36*'契約別単価'!H5+'前提と出典'!$C$37*'契約別単価'!H6+'前提と出典'!$C$38*'契約別単価'!H7)</ns0:f>
        <ns0:v>299809.0665618595</ns0:v>
      </ns0:c>
      <ns0:c r="I438" s="16">
        <ns0:f>A438*('前提と出典'!$C$36*'契約別単価'!I5+'前提と出典'!$C$37*'契約別単価'!I6+'前提と出典'!$C$38*'契約別単価'!I7)</ns0:f>
        <ns0:v>18312.860335195528</ns0:v>
      </ns0:c>
      <ns0:c r="J438" s="16">
        <ns0:f>A438*('前提と出典'!$C$36*'契約別単価'!J5+'前提と出典'!$C$37*'契約別単価'!J6+'前提と出典'!$C$38*'契約別単価'!J7)</ns0:f>
        <ns0:v>42657.661970271314</ns0:v>
      </ns0:c>
      <ns0:c r="K438" s="16">
        <ns0:f>A438*('前提と出典'!$C$36*'契約別単価'!K5+'前提と出典'!$C$37*'契約別単価'!K6+'前提と出典'!$C$38*'契約別単価'!K7)</ns0:f>
        <ns0:v>182845.7355679702</ns0:v>
      </ns0:c>
      <ns0:c r="L438" s="16">
        <ns0:f>A438*('前提と出典'!$C$36*'契約別単価'!L5+'前提と出典'!$C$37*'契約別単価'!L6+'前提と出典'!$C$38*'契約別単価'!L7)</ns0:f>
        <ns0:v>148873.63555206198</ns0:v>
      </ns0:c>
      <ns0:c r="M438" s="16">
        <ns0:f>IF(('前提と出典'!$C$36+'前提と出典'!$C$38)=0,0,IF(B438&lt;=10,'前提と出典'!B73+'前提と出典'!C73,IF(B438&lt;=100,'前提と出典'!B74+'前提と出典'!C74,IF(B438&lt;=500,'前提と出典'!B75+'前提と出典'!C75,'前提と出典'!B76+'前提と出典'!C76))))</ns0:f>
        <ns0:v>40000</ns0:v>
      </ns0:c>
      <ns0:c r="N438" s="16">
        <ns0:f>IF(('前提と出典'!$C$37+'前提と出典'!$C$38)=0,0,IF(C438&lt;=10,'前提と出典'!D73+'前提と出典'!E73,IF(C438&lt;=100,'前提と出典'!D74+'前提と出典'!E74,IF(C438&lt;=500,'前提と出典'!D75+'前提と出典'!E75,'前提と出典'!D76+'前提と出典'!E76))))</ns0:f>
        <ns0:v>56510.9346263078</ns0:v>
      </ns0:c>
      <ns0:c r="O438" s="16">
        <ns0:f>IF('前提と出典'!$C$36+'前提と出典'!$C$38=0,0,'前提と出典'!$B$4*IF('前提と出典'!$B$20=0,MAX('前提と出典'!$B$6,D438*'前提と出典'!$B$5),'前提と出典'!$B$6+D438*'前提と出典'!$B$5))</ns0:f>
        <ns0:v>430954.72625698324</ns0:v>
      </ns0:c>
      <ns0:c r="P438" s="16">
        <ns0:f>(E438+G438)*(1-'前提と出典'!$B$7)-I438-K438-M438-O438</ns0:f>
        <ns0:v>970199.6801929562</ns0:v>
      </ns0:c>
      <ns0:c r="Q438" s="16">
        <ns0:f>(F438+H438)*(1-'前提と出典'!$B$7)-J438-L438-N438</ns0:f>
        <ns0:v>358686.5512336345</ns0:v>
      </ns0:c>
      <ns0:c r="R438" s="16">
        <ns0:f>P438-E438*'前提と出典'!$E$4</ns0:f>
        <ns0:v>718269.8858864022</ns0:v>
      </ns0:c>
      <ns0:c r="S438" s="16">
        <ns0:f>Q438-F438*'前提と出典'!$E$4</ns0:f>
        <ns0:v>259813.25977617304</ns0:v>
      </ns0:c>
      <ns0:c r="T438" s="7">
        <ns0:f>R438+S438</ns0:f>
        <ns0:v>978083.1456625753</ns0:v>
      </ns0:c>
      <ns0:c r="U438" s="16">
        <ns0:f>P438-E438*'前提と出典'!$E$5</ns0:f>
        <ns0:v>634293.2877842175</ns0:v>
      </ns0:c>
      <ns0:c r="V438" s="16">
        <ns0:f>Q438-F438*'前提と出典'!$E$5</ns0:f>
        <ns0:v>226855.49595701916</ns0:v>
      </ns0:c>
      <ns0:c r="W438" s="7">
        <ns0:f>U438+V438</ns0:f>
        <ns0:v>861148.7837412367</ns0:v>
      </ns0:c>
      <ns0:c r="X438" s="16">
        <ns0:f>P438-E438*'前提と出典'!$E$6</ns0:f>
        <ns0:v>550316.689682033</ns0:v>
      </ns0:c>
      <ns0:c r="Y438" s="16">
        <ns0:f>Q438-F438*'前提と出典'!$E$6</ns0:f>
        <ns0:v>193897.73213786536</ns0:v>
      </ns0:c>
      <ns0:c r="Z438" s="7">
        <ns0:f>X438+Y438</ns0:f>
        <ns0:v>744214.4218198984</ns0:v>
      </ns0:c>
      <ns0:c r="AA438" s="7">
        <ns0:f>IF(T438&gt;=0,A438,1001)</ns0:f>
        <ns0:v>434</ns0:v>
      </ns0:c>
      <ns0:c r="AB438" s="7">
        <ns0:f>IF(T438&lt;0,A438,0)</ns0:f>
        <ns0:v>0</ns0:v>
      </ns0:c>
      <ns0:c r="AC438" s="16">
        <ns0:f>IF(AND(OR('前提と出典'!$C$36+'前提と出典'!$C$38=0,R438&gt;=0),OR('前提と出典'!$C$37+'前提と出典'!$C$38=0,S438&gt;=0)),0,A438)</ns0:f>
        <ns0:v>0</ns0:v>
      </ns0:c>
      <ns0:c r="AD438" s="7">
        <ns0:f>IF(W438&gt;=0,A438,1001)</ns0:f>
        <ns0:v>434</ns0:v>
      </ns0:c>
      <ns0:c r="AE438" s="7">
        <ns0:f>IF(W438&lt;0,A438,0)</ns0:f>
        <ns0:v>0</ns0:v>
      </ns0:c>
      <ns0:c r="AF438" s="16">
        <ns0:f>IF(AND(OR('前提と出典'!$C$36+'前提と出典'!$C$38=0,U438&gt;=0),OR('前提と出典'!$C$37+'前提と出典'!$C$38=0,V438&gt;=0)),0,A438)</ns0:f>
        <ns0:v>0</ns0:v>
      </ns0:c>
      <ns0:c r="AG438" s="7">
        <ns0:f>IF(Z438&gt;=0,A438,1001)</ns0:f>
        <ns0:v>434</ns0:v>
      </ns0:c>
      <ns0:c r="AH438" s="4">
        <ns0:f>IF(Z438&lt;0,A438,0)</ns0:f>
        <ns0:v>0</ns0:v>
      </ns0:c>
      <ns0:c r="AI438" s="12">
        <ns0:f>IF(AND(OR('前提と出典'!$C$36+'前提と出典'!$C$38=0,X438&gt;=0),OR('前提と出典'!$C$37+'前提と出典'!$C$38=0,Y438&gt;=0)),0,A438)</ns0:f>
        <ns0:v>0</ns0:v>
      </ns0:c>
    </ns0:row>
    <ns0:row r="439" ht="24" customHeight="1">
      <ns0:c r="A439" s="4" t="n">
        <ns0:v>435</ns0:v>
      </ns0:c>
      <ns0:c r="B439" s="12">
        <ns0:f>A439*('前提と出典'!$C$36+'前提と出典'!$C$38)</ns0:f>
        <ns0:v>304.5</ns0:v>
      </ns0:c>
      <ns0:c r="C439" s="12">
        <ns0:f>A439*('前提と出典'!$C$37+'前提と出典'!$C$38)</ns0:f>
        <ns0:v>261</ns0:v>
      </ns0:c>
      <ns0:c r="D439" s="16">
        <ns0:f>A439*('前提と出典'!$C$36*'契約別単価'!C5+'前提と出典'!$C$37*'契約別単価'!C6+'前提と出典'!$C$38*'契約別単価'!C7)</ns0:f>
        <ns0:v>3130.0558659217877</ns0:v>
      </ns0:c>
      <ns0:c r="E439" s="16">
        <ns0:f>A439*('前提と出典'!$C$36*'契約別単価'!E5+'前提と出典'!$C$37*'契約別単価'!E6+'前提と出典'!$C$38*'契約別単価'!E7)</ns0:f>
        <ns0:v>841700.9256785791</ns0:v>
      </ns0:c>
      <ns0:c r="F439" s="16">
        <ns0:f>A439*('前提と出典'!$C$36*'契約別単価'!F5+'前提と出典'!$C$37*'契約別単価'!F6+'前提と出典'!$C$38*'契約別単価'!F7)</ns0:f>
        <ns0:v>330337.0336712424</ns0:v>
      </ns0:c>
      <ns0:c r="G439" s="16">
        <ns0:f>A439*('前提と出典'!$C$36*'契約別単価'!G5+'前提と出典'!$C$37*'契約別単価'!G6+'前提と出典'!$C$38*'契約別単価'!G7)</ns0:f>
        <ns0:v>865868.7150837989</ns0:v>
      </ns0:c>
      <ns0:c r="H439" s="16">
        <ns0:f>A439*('前提と出典'!$C$36*'契約別単価'!H5+'前提と出典'!$C$37*'契約別単価'!H6+'前提と出典'!$C$38*'契約別単価'!H7)</ns0:f>
        <ns0:v>300499.8708626933</ns0:v>
      </ns0:c>
      <ns0:c r="I439" s="16">
        <ns0:f>A439*('前提と出典'!$C$36*'契約別単価'!I5+'前提と出典'!$C$37*'契約別単価'!I6+'前提と出典'!$C$38*'契約別単価'!I7)</ns0:f>
        <ns0:v>18355.055865921786</ns0:v>
      </ns0:c>
      <ns0:c r="J439" s="16">
        <ns0:f>A439*('前提と出典'!$C$36*'契約別単価'!J5+'前提と出典'!$C$37*'契約別単価'!J6+'前提と出典'!$C$38*'契約別単価'!J7)</ns0:f>
        <ns0:v>42755.951513981614</ns0:v>
      </ns0:c>
      <ns0:c r="K439" s="16">
        <ns0:f>A439*('前提と出典'!$C$36*'契約別単価'!K5+'前提と出典'!$C$37*'契約別単価'!K6+'前提と出典'!$C$38*'契約別単価'!K7)</ns0:f>
        <ns0:v>183267.03910614524</ns0:v>
      </ns0:c>
      <ns0:c r="L439" s="16">
        <ns0:f>A439*('前提と出典'!$C$36*'契約別単価'!L5+'前提と出典'!$C$37*'契約別単価'!L6+'前提と出典'!$C$38*'契約別単価'!L7)</ns0:f>
        <ns0:v>149216.66236208976</ns0:v>
      </ns0:c>
      <ns0:c r="M439" s="16">
        <ns0:f>IF(('前提と出典'!$C$36+'前提と出典'!$C$38)=0,0,IF(B439&lt;=10,'前提と出典'!B73+'前提と出典'!C73,IF(B439&lt;=100,'前提と出典'!B74+'前提と出典'!C74,IF(B439&lt;=500,'前提と出典'!B75+'前提と出典'!C75,'前提と出典'!B76+'前提と出典'!C76))))</ns0:f>
        <ns0:v>40000</ns0:v>
      </ns0:c>
      <ns0:c r="N439" s="16">
        <ns0:f>IF(('前提と出典'!$C$37+'前提と出典'!$C$38)=0,0,IF(C439&lt;=10,'前提と出典'!D73+'前提と出典'!E73,IF(C439&lt;=100,'前提と出典'!D74+'前提と出典'!E74,IF(C439&lt;=500,'前提と出典'!D75+'前提と出典'!E75,'前提と出典'!D76+'前提と出典'!E76))))</ns0:f>
        <ns0:v>56510.9346263078</ns0:v>
      </ns0:c>
      <ns0:c r="O439" s="16">
        <ns0:f>IF('前提と出典'!$C$36+'前提と出典'!$C$38=0,0,'前提と出典'!$B$4*IF('前提と出典'!$B$20=0,MAX('前提と出典'!$B$6,D439*'前提と出典'!$B$5),'前提と出典'!$B$6+D439*'前提と出典'!$B$5))</ns0:f>
        <ns0:v>431947.7094972067</ns0:v>
      </ns0:c>
      <ns0:c r="P439" s="16">
        <ns0:f>(E439+G439)*(1-'前提と出典'!$B$7)-I439-K439-M439-O439</ns0:f>
        <ns0:v>972527.3292256584</ns0:v>
      </ns0:c>
      <ns0:c r="Q439" s="16">
        <ns0:f>(F439+H439)*(1-'前提と出典'!$B$7)-J439-L439-N439</ns0:f>
        <ns0:v>359643.22746833484</ns0:v>
      </ns0:c>
      <ns0:c r="R439" s="16">
        <ns0:f>P439-E439*'前提と出典'!$E$4</ns0:f>
        <ns0:v>720017.0515220849</ns0:v>
      </ns0:c>
      <ns0:c r="S439" s="16">
        <ns0:f>Q439-F439*'前提と出典'!$E$4</ns0:f>
        <ns0:v>260542.11736696213</ns0:v>
      </ns0:c>
      <ns0:c r="T439" s="7">
        <ns0:f>R439+S439</ns0:f>
        <ns0:v>980559.168889047</ns0:v>
      </ns0:c>
      <ns0:c r="U439" s="16">
        <ns0:f>P439-E439*'前提と出典'!$E$5</ns0:f>
        <ns0:v>635846.9589542268</ns0:v>
      </ns0:c>
      <ns0:c r="V439" s="16">
        <ns0:f>Q439-F439*'前提と出典'!$E$5</ns0:f>
        <ns0:v>227508.41399983782</ns0:v>
      </ns0:c>
      <ns0:c r="W439" s="7">
        <ns0:f>U439+V439</ns0:f>
        <ns0:v>863355.3729540646</ns0:v>
      </ns0:c>
      <ns0:c r="X439" s="16">
        <ns0:f>P439-E439*'前提と出典'!$E$6</ns0:f>
        <ns0:v>551676.866386369</ns0:v>
      </ns0:c>
      <ns0:c r="Y439" s="16">
        <ns0:f>Q439-F439*'前提と出典'!$E$6</ns0:f>
        <ns0:v>194474.71063271366</ns0:v>
      </ns0:c>
      <ns0:c r="Z439" s="7">
        <ns0:f>X439+Y439</ns0:f>
        <ns0:v>746151.5770190826</ns0:v>
      </ns0:c>
      <ns0:c r="AA439" s="7">
        <ns0:f>IF(T439&gt;=0,A439,1001)</ns0:f>
        <ns0:v>435</ns0:v>
      </ns0:c>
      <ns0:c r="AB439" s="7">
        <ns0:f>IF(T439&lt;0,A439,0)</ns0:f>
        <ns0:v>0</ns0:v>
      </ns0:c>
      <ns0:c r="AC439" s="16">
        <ns0:f>IF(AND(OR('前提と出典'!$C$36+'前提と出典'!$C$38=0,R439&gt;=0),OR('前提と出典'!$C$37+'前提と出典'!$C$38=0,S439&gt;=0)),0,A439)</ns0:f>
        <ns0:v>0</ns0:v>
      </ns0:c>
      <ns0:c r="AD439" s="7">
        <ns0:f>IF(W439&gt;=0,A439,1001)</ns0:f>
        <ns0:v>435</ns0:v>
      </ns0:c>
      <ns0:c r="AE439" s="7">
        <ns0:f>IF(W439&lt;0,A439,0)</ns0:f>
        <ns0:v>0</ns0:v>
      </ns0:c>
      <ns0:c r="AF439" s="16">
        <ns0:f>IF(AND(OR('前提と出典'!$C$36+'前提と出典'!$C$38=0,U439&gt;=0),OR('前提と出典'!$C$37+'前提と出典'!$C$38=0,V439&gt;=0)),0,A439)</ns0:f>
        <ns0:v>0</ns0:v>
      </ns0:c>
      <ns0:c r="AG439" s="7">
        <ns0:f>IF(Z439&gt;=0,A439,1001)</ns0:f>
        <ns0:v>435</ns0:v>
      </ns0:c>
      <ns0:c r="AH439" s="4">
        <ns0:f>IF(Z439&lt;0,A439,0)</ns0:f>
        <ns0:v>0</ns0:v>
      </ns0:c>
      <ns0:c r="AI439" s="12">
        <ns0:f>IF(AND(OR('前提と出典'!$C$36+'前提と出典'!$C$38=0,X439&gt;=0),OR('前提と出典'!$C$37+'前提と出典'!$C$38=0,Y439&gt;=0)),0,A439)</ns0:f>
        <ns0:v>0</ns0:v>
      </ns0:c>
    </ns0:row>
    <ns0:row r="440" ht="24" customHeight="1">
      <ns0:c r="A440" s="4" t="n">
        <ns0:v>436</ns0:v>
      </ns0:c>
      <ns0:c r="B440" s="12">
        <ns0:f>A440*('前提と出典'!$C$36+'前提と出典'!$C$38)</ns0:f>
        <ns0:v>305.2</ns0:v>
      </ns0:c>
      <ns0:c r="C440" s="12">
        <ns0:f>A440*('前提と出典'!$C$37+'前提と出典'!$C$38)</ns0:f>
        <ns0:v>261.59999999999997</ns0:v>
      </ns0:c>
      <ns0:c r="D440" s="16">
        <ns0:f>A440*('前提と出典'!$C$36*'契約別単価'!C5+'前提と出典'!$C$37*'契約別単価'!C6+'前提と出典'!$C$38*'契約別単価'!C7)</ns0:f>
        <ns0:v>3137.2513966480446</ns0:v>
      </ns0:c>
      <ns0:c r="E440" s="16">
        <ns0:f>A440*('前提と出典'!$C$36*'契約別単価'!E5+'前提と出典'!$C$37*'契約別単価'!E6+'前提と出典'!$C$38*'契約別単価'!E7)</ns0:f>
        <ns0:v>843635.8703353115</ns0:v>
      </ns0:c>
      <ns0:c r="F440" s="16">
        <ns0:f>A440*('前提と出典'!$C$36*'契約別単価'!F5+'前提と出典'!$C$37*'契約別単価'!F6+'前提と出典'!$C$38*'契約別単価'!F7)</ns0:f>
        <ns0:v>331096.42915094644</ns0:v>
      </ns0:c>
      <ns0:c r="G440" s="16">
        <ns0:f>A440*('前提と出典'!$C$36*'契約別単価'!G5+'前提と出典'!$C$37*'契約別単価'!G6+'前提と出典'!$C$38*'契約別単価'!G7)</ns0:f>
        <ns0:v>867859.217877095</ns0:v>
      </ns0:c>
      <ns0:c r="H440" s="16">
        <ns0:f>A440*('前提と出典'!$C$36*'契約別単価'!H5+'前提と出典'!$C$37*'契約別単価'!H6+'前提と出典'!$C$38*'契約別単価'!H7)</ns0:f>
        <ns0:v>301190.6751635271</ns0:v>
      </ns0:c>
      <ns0:c r="I440" s="16">
        <ns0:f>A440*('前提と出典'!$C$36*'契約別単価'!I5+'前提と出典'!$C$37*'契約別単価'!I6+'前提と出典'!$C$38*'契約別単価'!I7)</ns0:f>
        <ns0:v>18397.25139664804</ns0:v>
      </ns0:c>
      <ns0:c r="J440" s="16">
        <ns0:f>A440*('前提と出典'!$C$36*'契約別単価'!J5+'前提と出典'!$C$37*'契約別単価'!J6+'前提と出典'!$C$38*'契約別単価'!J7)</ns0:f>
        <ns0:v>42854.24105769192</ns0:v>
      </ns0:c>
      <ns0:c r="K440" s="16">
        <ns0:f>A440*('前提と出典'!$C$36*'契約別単価'!K5+'前提と出典'!$C$37*'契約別単価'!K6+'前提と出典'!$C$38*'契約別単価'!K7)</ns0:f>
        <ns0:v>183688.34264432028</ns0:v>
      </ns0:c>
      <ns0:c r="L440" s="16">
        <ns0:f>A440*('前提と出典'!$C$36*'契約別単価'!L5+'前提と出典'!$C$37*'契約別単価'!L6+'前提と出典'!$C$38*'契約別単価'!L7)</ns0:f>
        <ns0:v>149559.68917211756</ns0:v>
      </ns0:c>
      <ns0:c r="M440" s="16">
        <ns0:f>IF(('前提と出典'!$C$36+'前提と出典'!$C$38)=0,0,IF(B440&lt;=10,'前提と出典'!B73+'前提と出典'!C73,IF(B440&lt;=100,'前提と出典'!B74+'前提と出典'!C74,IF(B440&lt;=500,'前提と出典'!B75+'前提と出典'!C75,'前提と出典'!B76+'前提と出典'!C76))))</ns0:f>
        <ns0:v>40000</ns0:v>
      </ns0:c>
      <ns0:c r="N440" s="16">
        <ns0:f>IF(('前提と出典'!$C$37+'前提と出典'!$C$38)=0,0,IF(C440&lt;=10,'前提と出典'!D73+'前提と出典'!E73,IF(C440&lt;=100,'前提と出典'!D74+'前提と出典'!E74,IF(C440&lt;=500,'前提と出典'!D75+'前提と出典'!E75,'前提と出典'!D76+'前提と出典'!E76))))</ns0:f>
        <ns0:v>56510.9346263078</ns0:v>
      </ns0:c>
      <ns0:c r="O440" s="16">
        <ns0:f>IF('前提と出典'!$C$36+'前提と出典'!$C$38=0,0,'前提と出典'!$B$4*IF('前提と出典'!$B$20=0,MAX('前提と出典'!$B$6,D440*'前提と出典'!$B$5),'前提と出典'!$B$6+D440*'前提と出典'!$B$5))</ns0:f>
        <ns0:v>432940.69273743016</ns0:v>
      </ns0:c>
      <ns0:c r="P440" s="16">
        <ns0:f>(E440+G440)*(1-'前提と出典'!$B$7)-I440-K440-M440-O440</ns0:f>
        <ns0:v>974854.9782583613</ns0:v>
      </ns0:c>
      <ns0:c r="Q440" s="16">
        <ns0:f>(F440+H440)*(1-'前提と出典'!$B$7)-J440-L440-N440</ns0:f>
        <ns0:v>360599.9037030351</ns0:v>
      </ns0:c>
      <ns0:c r="R440" s="16">
        <ns0:f>P440-E440*'前提と出典'!$E$4</ns0:f>
        <ns0:v>721764.2171577679</ns0:v>
      </ns0:c>
      <ns0:c r="S440" s="16">
        <ns0:f>Q440-F440*'前提と出典'!$E$4</ns0:f>
        <ns0:v>261270.97495775117</ns0:v>
      </ns0:c>
      <ns0:c r="T440" s="7">
        <ns0:f>R440+S440</ns0:f>
        <ns0:v>983035.192115519</ns0:v>
      </ns0:c>
      <ns0:c r="U440" s="16">
        <ns0:f>P440-E440*'前提と出典'!$E$5</ns0:f>
        <ns0:v>637400.6301242367</ns0:v>
      </ns0:c>
      <ns0:c r="V440" s="16">
        <ns0:f>Q440-F440*'前提と出典'!$E$5</ns0:f>
        <ns0:v>228161.33204265655</ns0:v>
      </ns0:c>
      <ns0:c r="W440" s="7">
        <ns0:f>U440+V440</ns0:f>
        <ns0:v>865561.9621668933</ns0:v>
      </ns0:c>
      <ns0:c r="X440" s="16">
        <ns0:f>P440-E440*'前提と出典'!$E$6</ns0:f>
        <ns0:v>553037.0430907055</ns0:v>
      </ns0:c>
      <ns0:c r="Y440" s="16">
        <ns0:f>Q440-F440*'前提と出典'!$E$6</ns0:f>
        <ns0:v>195051.68912756193</ns0:v>
      </ns0:c>
      <ns0:c r="Z440" s="7">
        <ns0:f>X440+Y440</ns0:f>
        <ns0:v>748088.7322182674</ns0:v>
      </ns0:c>
      <ns0:c r="AA440" s="7">
        <ns0:f>IF(T440&gt;=0,A440,1001)</ns0:f>
        <ns0:v>436</ns0:v>
      </ns0:c>
      <ns0:c r="AB440" s="7">
        <ns0:f>IF(T440&lt;0,A440,0)</ns0:f>
        <ns0:v>0</ns0:v>
      </ns0:c>
      <ns0:c r="AC440" s="16">
        <ns0:f>IF(AND(OR('前提と出典'!$C$36+'前提と出典'!$C$38=0,R440&gt;=0),OR('前提と出典'!$C$37+'前提と出典'!$C$38=0,S440&gt;=0)),0,A440)</ns0:f>
        <ns0:v>0</ns0:v>
      </ns0:c>
      <ns0:c r="AD440" s="7">
        <ns0:f>IF(W440&gt;=0,A440,1001)</ns0:f>
        <ns0:v>436</ns0:v>
      </ns0:c>
      <ns0:c r="AE440" s="7">
        <ns0:f>IF(W440&lt;0,A440,0)</ns0:f>
        <ns0:v>0</ns0:v>
      </ns0:c>
      <ns0:c r="AF440" s="16">
        <ns0:f>IF(AND(OR('前提と出典'!$C$36+'前提と出典'!$C$38=0,U440&gt;=0),OR('前提と出典'!$C$37+'前提と出典'!$C$38=0,V440&gt;=0)),0,A440)</ns0:f>
        <ns0:v>0</ns0:v>
      </ns0:c>
      <ns0:c r="AG440" s="7">
        <ns0:f>IF(Z440&gt;=0,A440,1001)</ns0:f>
        <ns0:v>436</ns0:v>
      </ns0:c>
      <ns0:c r="AH440" s="4">
        <ns0:f>IF(Z440&lt;0,A440,0)</ns0:f>
        <ns0:v>0</ns0:v>
      </ns0:c>
      <ns0:c r="AI440" s="12">
        <ns0:f>IF(AND(OR('前提と出典'!$C$36+'前提と出典'!$C$38=0,X440&gt;=0),OR('前提と出典'!$C$37+'前提と出典'!$C$38=0,Y440&gt;=0)),0,A440)</ns0:f>
        <ns0:v>0</ns0:v>
      </ns0:c>
    </ns0:row>
    <ns0:row r="441" ht="24" customHeight="1">
      <ns0:c r="A441" s="4" t="n">
        <ns0:v>437</ns0:v>
      </ns0:c>
      <ns0:c r="B441" s="12">
        <ns0:f>A441*('前提と出典'!$C$36+'前提と出典'!$C$38)</ns0:f>
        <ns0:v>305.9</ns0:v>
      </ns0:c>
      <ns0:c r="C441" s="12">
        <ns0:f>A441*('前提と出典'!$C$37+'前提と出典'!$C$38)</ns0:f>
        <ns0:v>262.2</ns0:v>
      </ns0:c>
      <ns0:c r="D441" s="16">
        <ns0:f>A441*('前提と出典'!$C$36*'契約別単価'!C5+'前提と出典'!$C$37*'契約別単価'!C6+'前提と出典'!$C$38*'契約別単価'!C7)</ns0:f>
        <ns0:v>3144.4469273743016</ns0:v>
      </ns0:c>
      <ns0:c r="E441" s="16">
        <ns0:f>A441*('前提と出典'!$C$36*'契約別単価'!E5+'前提と出典'!$C$37*'契約別単価'!E6+'前提と出典'!$C$38*'契約別単価'!E7)</ns0:f>
        <ns0:v>845570.8149920439</ns0:v>
      </ns0:c>
      <ns0:c r="F441" s="16">
        <ns0:f>A441*('前提と出典'!$C$36*'契約別単価'!F5+'前提と出典'!$C$37*'契約別単価'!F6+'前提と出典'!$C$38*'契約別単価'!F7)</ns0:f>
        <ns0:v>331855.8246306504</ns0:v>
      </ns0:c>
      <ns0:c r="G441" s="16">
        <ns0:f>A441*('前提と出典'!$C$36*'契約別単価'!G5+'前提と出典'!$C$37*'契約別単価'!G6+'前提と出典'!$C$38*'契約別単価'!G7)</ns0:f>
        <ns0:v>869849.720670391</ns0:v>
      </ns0:c>
      <ns0:c r="H441" s="16">
        <ns0:f>A441*('前提と出典'!$C$36*'契約別単価'!H5+'前提と出典'!$C$37*'契約別単価'!H6+'前提と出典'!$C$38*'契約別単価'!H7)</ns0:f>
        <ns0:v>301881.47946436086</ns0:v>
      </ns0:c>
      <ns0:c r="I441" s="16">
        <ns0:f>A441*('前提と出典'!$C$36*'契約別単価'!I5+'前提と出典'!$C$37*'契約別単価'!I6+'前提と出典'!$C$38*'契約別単価'!I7)</ns0:f>
        <ns0:v>18439.446927374298</ns0:v>
      </ns0:c>
      <ns0:c r="J441" s="16">
        <ns0:f>A441*('前提と出典'!$C$36*'契約別単価'!J5+'前提と出典'!$C$37*'契約別単価'!J6+'前提と出典'!$C$38*'契約別単価'!J7)</ns0:f>
        <ns0:v>42952.53060140222</ns0:v>
      </ns0:c>
      <ns0:c r="K441" s="16">
        <ns0:f>A441*('前提と出典'!$C$36*'契約別単価'!K5+'前提と出典'!$C$37*'契約別単価'!K6+'前提と出典'!$C$38*'契約別単価'!K7)</ns0:f>
        <ns0:v>184109.64618249534</ns0:v>
      </ns0:c>
      <ns0:c r="L441" s="16">
        <ns0:f>A441*('前提と出典'!$C$36*'契約別単価'!L5+'前提と出典'!$C$37*'契約別単価'!L6+'前提と出典'!$C$38*'契約別単価'!L7)</ns0:f>
        <ns0:v>149902.71598214537</ns0:v>
      </ns0:c>
      <ns0:c r="M441" s="16">
        <ns0:f>IF(('前提と出典'!$C$36+'前提と出典'!$C$38)=0,0,IF(B441&lt;=10,'前提と出典'!B73+'前提と出典'!C73,IF(B441&lt;=100,'前提と出典'!B74+'前提と出典'!C74,IF(B441&lt;=500,'前提と出典'!B75+'前提と出典'!C75,'前提と出典'!B76+'前提と出典'!C76))))</ns0:f>
        <ns0:v>40000</ns0:v>
      </ns0:c>
      <ns0:c r="N441" s="16">
        <ns0:f>IF(('前提と出典'!$C$37+'前提と出典'!$C$38)=0,0,IF(C441&lt;=10,'前提と出典'!D73+'前提と出典'!E73,IF(C441&lt;=100,'前提と出典'!D74+'前提と出典'!E74,IF(C441&lt;=500,'前提と出典'!D75+'前提と出典'!E75,'前提と出典'!D76+'前提と出典'!E76))))</ns0:f>
        <ns0:v>56510.9346263078</ns0:v>
      </ns0:c>
      <ns0:c r="O441" s="16">
        <ns0:f>IF('前提と出典'!$C$36+'前提と出典'!$C$38=0,0,'前提と出典'!$B$4*IF('前提と出典'!$B$20=0,MAX('前提と出典'!$B$6,D441*'前提と出典'!$B$5),'前提と出典'!$B$6+D441*'前提と出典'!$B$5))</ns0:f>
        <ns0:v>433933.67597765365</ns0:v>
      </ns0:c>
      <ns0:c r="P441" s="16">
        <ns0:f>(E441+G441)*(1-'前提と出典'!$B$7)-I441-K441-M441-O441</ns0:f>
        <ns0:v>977182.627291064</ns0:v>
      </ns0:c>
      <ns0:c r="Q441" s="16">
        <ns0:f>(F441+H441)*(1-'前提と出典'!$B$7)-J441-L441-N441</ns0:f>
        <ns0:v>361556.57993773546</ns0:v>
      </ns0:c>
      <ns0:c r="R441" s="16">
        <ns0:f>P441-E441*'前提と出典'!$E$4</ns0:f>
        <ns0:v>723511.382793451</ns0:v>
      </ns0:c>
      <ns0:c r="S441" s="16">
        <ns0:f>Q441-F441*'前提と出典'!$E$4</ns0:f>
        <ns0:v>261999.83254854032</ns0:v>
      </ns0:c>
      <ns0:c r="T441" s="7">
        <ns0:f>R441+S441</ns0:f>
        <ns0:v>985511.2153419913</ns0:v>
      </ns0:c>
      <ns0:c r="U441" s="16">
        <ns0:f>P441-E441*'前提と出典'!$E$5</ns0:f>
        <ns0:v>638954.3012942465</ns0:v>
      </ns0:c>
      <ns0:c r="V441" s="16">
        <ns0:f>Q441-F441*'前提と出典'!$E$5</ns0:f>
        <ns0:v>228814.25008547527</ns0:v>
      </ns0:c>
      <ns0:c r="W441" s="7">
        <ns0:f>U441+V441</ns0:f>
        <ns0:v>867768.5513797217</ns0:v>
      </ns0:c>
      <ns0:c r="X441" s="16">
        <ns0:f>P441-E441*'前提と出典'!$E$6</ns0:f>
        <ns0:v>554397.219795042</ns0:v>
      </ns0:c>
      <ns0:c r="Y441" s="16">
        <ns0:f>Q441-F441*'前提と出典'!$E$6</ns0:f>
        <ns0:v>195628.6676224102</ns0:v>
      </ns0:c>
      <ns0:c r="Z441" s="7">
        <ns0:f>X441+Y441</ns0:f>
        <ns0:v>750025.8874174522</ns0:v>
      </ns0:c>
      <ns0:c r="AA441" s="7">
        <ns0:f>IF(T441&gt;=0,A441,1001)</ns0:f>
        <ns0:v>437</ns0:v>
      </ns0:c>
      <ns0:c r="AB441" s="7">
        <ns0:f>IF(T441&lt;0,A441,0)</ns0:f>
        <ns0:v>0</ns0:v>
      </ns0:c>
      <ns0:c r="AC441" s="16">
        <ns0:f>IF(AND(OR('前提と出典'!$C$36+'前提と出典'!$C$38=0,R441&gt;=0),OR('前提と出典'!$C$37+'前提と出典'!$C$38=0,S441&gt;=0)),0,A441)</ns0:f>
        <ns0:v>0</ns0:v>
      </ns0:c>
      <ns0:c r="AD441" s="7">
        <ns0:f>IF(W441&gt;=0,A441,1001)</ns0:f>
        <ns0:v>437</ns0:v>
      </ns0:c>
      <ns0:c r="AE441" s="7">
        <ns0:f>IF(W441&lt;0,A441,0)</ns0:f>
        <ns0:v>0</ns0:v>
      </ns0:c>
      <ns0:c r="AF441" s="16">
        <ns0:f>IF(AND(OR('前提と出典'!$C$36+'前提と出典'!$C$38=0,U441&gt;=0),OR('前提と出典'!$C$37+'前提と出典'!$C$38=0,V441&gt;=0)),0,A441)</ns0:f>
        <ns0:v>0</ns0:v>
      </ns0:c>
      <ns0:c r="AG441" s="7">
        <ns0:f>IF(Z441&gt;=0,A441,1001)</ns0:f>
        <ns0:v>437</ns0:v>
      </ns0:c>
      <ns0:c r="AH441" s="4">
        <ns0:f>IF(Z441&lt;0,A441,0)</ns0:f>
        <ns0:v>0</ns0:v>
      </ns0:c>
      <ns0:c r="AI441" s="12">
        <ns0:f>IF(AND(OR('前提と出典'!$C$36+'前提と出典'!$C$38=0,X441&gt;=0),OR('前提と出典'!$C$37+'前提と出典'!$C$38=0,Y441&gt;=0)),0,A441)</ns0:f>
        <ns0:v>0</ns0:v>
      </ns0:c>
    </ns0:row>
    <ns0:row r="442" ht="24" customHeight="1">
      <ns0:c r="A442" s="4" t="n">
        <ns0:v>438</ns0:v>
      </ns0:c>
      <ns0:c r="B442" s="12">
        <ns0:f>A442*('前提と出典'!$C$36+'前提と出典'!$C$38)</ns0:f>
        <ns0:v>306.59999999999997</ns0:v>
      </ns0:c>
      <ns0:c r="C442" s="12">
        <ns0:f>A442*('前提と出典'!$C$37+'前提と出典'!$C$38)</ns0:f>
        <ns0:v>262.8</ns0:v>
      </ns0:c>
      <ns0:c r="D442" s="16">
        <ns0:f>A442*('前提と出典'!$C$36*'契約別単価'!C5+'前提と出典'!$C$37*'契約別単価'!C6+'前提と出典'!$C$38*'契約別単価'!C7)</ns0:f>
        <ns0:v>3151.6424581005585</ns0:v>
      </ns0:c>
      <ns0:c r="E442" s="16">
        <ns0:f>A442*('前提と出典'!$C$36*'契約別単価'!E5+'前提と出典'!$C$37*'契約別単価'!E6+'前提と出典'!$C$38*'契約別単価'!E7)</ns0:f>
        <ns0:v>847505.7596487763</ns0:v>
      </ns0:c>
      <ns0:c r="F442" s="16">
        <ns0:f>A442*('前提と出典'!$C$36*'契約別単価'!F5+'前提と出典'!$C$37*'契約別単価'!F6+'前提と出典'!$C$38*'契約別単価'!F7)</ns0:f>
        <ns0:v>332615.2201103544</ns0:v>
      </ns0:c>
      <ns0:c r="G442" s="16">
        <ns0:f>A442*('前提と出典'!$C$36*'契約別単価'!G5+'前提と出典'!$C$37*'契約別単価'!G6+'前提と出典'!$C$38*'契約別単価'!G7)</ns0:f>
        <ns0:v>871840.2234636871</ns0:v>
      </ns0:c>
      <ns0:c r="H442" s="16">
        <ns0:f>A442*('前提と出典'!$C$36*'契約別単価'!H5+'前提と出典'!$C$37*'契約別単価'!H6+'前提と出典'!$C$38*'契約別単価'!H7)</ns0:f>
        <ns0:v>302572.28376519465</ns0:v>
      </ns0:c>
      <ns0:c r="I442" s="16">
        <ns0:f>A442*('前提と出典'!$C$36*'契約別単価'!I5+'前提と出典'!$C$37*'契約別単価'!I6+'前提と出典'!$C$38*'契約別単価'!I7)</ns0:f>
        <ns0:v>18481.642458100556</ns0:v>
      </ns0:c>
      <ns0:c r="J442" s="16">
        <ns0:f>A442*('前提と出典'!$C$36*'契約別単価'!J5+'前提と出典'!$C$37*'契約別単価'!J6+'前提と出典'!$C$38*'契約別単価'!J7)</ns0:f>
        <ns0:v>43050.82014511253</ns0:v>
      </ns0:c>
      <ns0:c r="K442" s="16">
        <ns0:f>A442*('前提と出典'!$C$36*'契約別単価'!K5+'前提と出典'!$C$37*'契約別単価'!K6+'前提と出典'!$C$38*'契約別単価'!K7)</ns0:f>
        <ns0:v>184530.94972067038</ns0:v>
      </ns0:c>
      <ns0:c r="L442" s="16">
        <ns0:f>A442*('前提と出典'!$C$36*'契約別単価'!L5+'前提と出典'!$C$37*'契約別単価'!L6+'前提と出典'!$C$38*'契約別単価'!L7)</ns0:f>
        <ns0:v>150245.74279217314</ns0:v>
      </ns0:c>
      <ns0:c r="M442" s="16">
        <ns0:f>IF(('前提と出典'!$C$36+'前提と出典'!$C$38)=0,0,IF(B442&lt;=10,'前提と出典'!B73+'前提と出典'!C73,IF(B442&lt;=100,'前提と出典'!B74+'前提と出典'!C74,IF(B442&lt;=500,'前提と出典'!B75+'前提と出典'!C75,'前提と出典'!B76+'前提と出典'!C76))))</ns0:f>
        <ns0:v>40000</ns0:v>
      </ns0:c>
      <ns0:c r="N442" s="16">
        <ns0:f>IF(('前提と出典'!$C$37+'前提と出典'!$C$38)=0,0,IF(C442&lt;=10,'前提と出典'!D73+'前提と出典'!E73,IF(C442&lt;=100,'前提と出典'!D74+'前提と出典'!E74,IF(C442&lt;=500,'前提と出典'!D75+'前提と出典'!E75,'前提と出典'!D76+'前提と出典'!E76))))</ns0:f>
        <ns0:v>56510.9346263078</ns0:v>
      </ns0:c>
      <ns0:c r="O442" s="16">
        <ns0:f>IF('前提と出典'!$C$36+'前提と出典'!$C$38=0,0,'前提と出典'!$B$4*IF('前提と出典'!$B$20=0,MAX('前提と出典'!$B$6,D442*'前提と出典'!$B$5),'前提と出典'!$B$6+D442*'前提と出典'!$B$5))</ns0:f>
        <ns0:v>434926.6592178771</ns0:v>
      </ns0:c>
      <ns0:c r="P442" s="16">
        <ns0:f>(E442+G442)*(1-'前提と出典'!$B$7)-I442-K442-M442-O442</ns0:f>
        <ns0:v>979510.2763237664</ns0:v>
      </ns0:c>
      <ns0:c r="Q442" s="16">
        <ns0:f>(F442+H442)*(1-'前提と出典'!$B$7)-J442-L442-N442</ns0:f>
        <ns0:v>362513.2561724358</ns0:v>
      </ns0:c>
      <ns0:c r="R442" s="16">
        <ns0:f>P442-E442*'前提と出典'!$E$4</ns0:f>
        <ns0:v>725258.5484291336</ns0:v>
      </ns0:c>
      <ns0:c r="S442" s="16">
        <ns0:f>Q442-F442*'前提と出典'!$E$4</ns0:f>
        <ns0:v>262728.6901393295</ns0:v>
      </ns0:c>
      <ns0:c r="T442" s="7">
        <ns0:f>R442+S442</ns0:f>
        <ns0:v>987987.2385684631</ns0:v>
      </ns0:c>
      <ns0:c r="U442" s="16">
        <ns0:f>P442-E442*'前提と出典'!$E$5</ns0:f>
        <ns0:v>640507.972464256</ns0:v>
      </ns0:c>
      <ns0:c r="V442" s="16">
        <ns0:f>Q442-F442*'前提と出典'!$E$5</ns0:f>
        <ns0:v>229467.16812829406</ns0:v>
      </ns0:c>
      <ns0:c r="W442" s="7">
        <ns0:f>U442+V442</ns0:f>
        <ns0:v>869975.14059255</ns0:v>
      </ns0:c>
      <ns0:c r="X442" s="16">
        <ns0:f>P442-E442*'前提と出典'!$E$6</ns0:f>
        <ns0:v>555757.3964993785</ns0:v>
      </ns0:c>
      <ns0:c r="Y442" s="16">
        <ns0:f>Q442-F442*'前提と出典'!$E$6</ns0:f>
        <ns0:v>196205.6461172586</ns0:v>
      </ns0:c>
      <ns0:c r="Z442" s="7">
        <ns0:f>X442+Y442</ns0:f>
        <ns0:v>751963.0426166371</ns0:v>
      </ns0:c>
      <ns0:c r="AA442" s="7">
        <ns0:f>IF(T442&gt;=0,A442,1001)</ns0:f>
        <ns0:v>438</ns0:v>
      </ns0:c>
      <ns0:c r="AB442" s="7">
        <ns0:f>IF(T442&lt;0,A442,0)</ns0:f>
        <ns0:v>0</ns0:v>
      </ns0:c>
      <ns0:c r="AC442" s="16">
        <ns0:f>IF(AND(OR('前提と出典'!$C$36+'前提と出典'!$C$38=0,R442&gt;=0),OR('前提と出典'!$C$37+'前提と出典'!$C$38=0,S442&gt;=0)),0,A442)</ns0:f>
        <ns0:v>0</ns0:v>
      </ns0:c>
      <ns0:c r="AD442" s="7">
        <ns0:f>IF(W442&gt;=0,A442,1001)</ns0:f>
        <ns0:v>438</ns0:v>
      </ns0:c>
      <ns0:c r="AE442" s="7">
        <ns0:f>IF(W442&lt;0,A442,0)</ns0:f>
        <ns0:v>0</ns0:v>
      </ns0:c>
      <ns0:c r="AF442" s="16">
        <ns0:f>IF(AND(OR('前提と出典'!$C$36+'前提と出典'!$C$38=0,U442&gt;=0),OR('前提と出典'!$C$37+'前提と出典'!$C$38=0,V442&gt;=0)),0,A442)</ns0:f>
        <ns0:v>0</ns0:v>
      </ns0:c>
      <ns0:c r="AG442" s="7">
        <ns0:f>IF(Z442&gt;=0,A442,1001)</ns0:f>
        <ns0:v>438</ns0:v>
      </ns0:c>
      <ns0:c r="AH442" s="4">
        <ns0:f>IF(Z442&lt;0,A442,0)</ns0:f>
        <ns0:v>0</ns0:v>
      </ns0:c>
      <ns0:c r="AI442" s="12">
        <ns0:f>IF(AND(OR('前提と出典'!$C$36+'前提と出典'!$C$38=0,X442&gt;=0),OR('前提と出典'!$C$37+'前提と出典'!$C$38=0,Y442&gt;=0)),0,A442)</ns0:f>
        <ns0:v>0</ns0:v>
      </ns0:c>
    </ns0:row>
    <ns0:row r="443" ht="24" customHeight="1">
      <ns0:c r="A443" s="4" t="n">
        <ns0:v>439</ns0:v>
      </ns0:c>
      <ns0:c r="B443" s="12">
        <ns0:f>A443*('前提と出典'!$C$36+'前提と出典'!$C$38)</ns0:f>
        <ns0:v>307.29999999999995</ns0:v>
      </ns0:c>
      <ns0:c r="C443" s="12">
        <ns0:f>A443*('前提と出典'!$C$37+'前提と出典'!$C$38)</ns0:f>
        <ns0:v>263.4</ns0:v>
      </ns0:c>
      <ns0:c r="D443" s="16">
        <ns0:f>A443*('前提と出典'!$C$36*'契約別単価'!C5+'前提と出典'!$C$37*'契約別単価'!C6+'前提と出典'!$C$38*'契約別単価'!C7)</ns0:f>
        <ns0:v>3158.8379888268155</ns0:v>
      </ns0:c>
      <ns0:c r="E443" s="16">
        <ns0:f>A443*('前提と出典'!$C$36*'契約別単価'!E5+'前提と出典'!$C$37*'契約別単価'!E6+'前提と出典'!$C$38*'契約別単価'!E7)</ns0:f>
        <ns0:v>849440.7043055086</ns0:v>
      </ns0:c>
      <ns0:c r="F443" s="16">
        <ns0:f>A443*('前提と出典'!$C$36*'契約別単価'!F5+'前提と出典'!$C$37*'契約別単価'!F6+'前提と出典'!$C$38*'契約別単価'!F7)</ns0:f>
        <ns0:v>333374.61559005844</ns0:v>
      </ns0:c>
      <ns0:c r="G443" s="16">
        <ns0:f>A443*('前提と出典'!$C$36*'契約別単価'!G5+'前提と出典'!$C$37*'契約別単価'!G6+'前提と出典'!$C$38*'契約別単価'!G7)</ns0:f>
        <ns0:v>873830.7262569832</ns0:v>
      </ns0:c>
      <ns0:c r="H443" s="16">
        <ns0:f>A443*('前提と出典'!$C$36*'契約別単価'!H5+'前提と出典'!$C$37*'契約別単価'!H6+'前提と出典'!$C$38*'契約別単価'!H7)</ns0:f>
        <ns0:v>303263.08806602843</ns0:v>
      </ns0:c>
      <ns0:c r="I443" s="16">
        <ns0:f>A443*('前提と出典'!$C$36*'契約別単価'!I5+'前提と出典'!$C$37*'契約別単価'!I6+'前提と出典'!$C$38*'契約別単価'!I7)</ns0:f>
        <ns0:v>18523.837988826814</ns0:v>
      </ns0:c>
      <ns0:c r="J443" s="16">
        <ns0:f>A443*('前提と出典'!$C$36*'契約別単価'!J5+'前提と出典'!$C$37*'契約別単価'!J6+'前提と出典'!$C$38*'契約別単価'!J7)</ns0:f>
        <ns0:v>43149.10968882283</ns0:v>
      </ns0:c>
      <ns0:c r="K443" s="16">
        <ns0:f>A443*('前提と出典'!$C$36*'契約別単価'!K5+'前提と出典'!$C$37*'契約別単価'!K6+'前提と出典'!$C$38*'契約別単価'!K7)</ns0:f>
        <ns0:v>184952.25325884542</ns0:v>
      </ns0:c>
      <ns0:c r="L443" s="16">
        <ns0:f>A443*('前提と出典'!$C$36*'契約別単価'!L5+'前提と出典'!$C$37*'契約別単価'!L6+'前提と出典'!$C$38*'契約別単価'!L7)</ns0:f>
        <ns0:v>150588.76960220095</ns0:v>
      </ns0:c>
      <ns0:c r="M443" s="16">
        <ns0:f>IF(('前提と出典'!$C$36+'前提と出典'!$C$38)=0,0,IF(B443&lt;=10,'前提と出典'!B73+'前提と出典'!C73,IF(B443&lt;=100,'前提と出典'!B74+'前提と出典'!C74,IF(B443&lt;=500,'前提と出典'!B75+'前提と出典'!C75,'前提と出典'!B76+'前提と出典'!C76))))</ns0:f>
        <ns0:v>40000</ns0:v>
      </ns0:c>
      <ns0:c r="N443" s="16">
        <ns0:f>IF(('前提と出典'!$C$37+'前提と出典'!$C$38)=0,0,IF(C443&lt;=10,'前提と出典'!D73+'前提と出典'!E73,IF(C443&lt;=100,'前提と出典'!D74+'前提と出典'!E74,IF(C443&lt;=500,'前提と出典'!D75+'前提と出典'!E75,'前提と出典'!D76+'前提と出典'!E76))))</ns0:f>
        <ns0:v>56510.9346263078</ns0:v>
      </ns0:c>
      <ns0:c r="O443" s="16">
        <ns0:f>IF('前提と出典'!$C$36+'前提と出典'!$C$38=0,0,'前提と出典'!$B$4*IF('前提と出典'!$B$20=0,MAX('前提と出典'!$B$6,D443*'前提と出典'!$B$5),'前提と出典'!$B$6+D443*'前提と出典'!$B$5))</ns0:f>
        <ns0:v>435919.64245810057</ns0:v>
      </ns0:c>
      <ns0:c r="P443" s="16">
        <ns0:f>(E443+G443)*(1-'前提と出典'!$B$7)-I443-K443-M443-O443</ns0:f>
        <ns0:v>981837.9253564695</ns0:v>
      </ns0:c>
      <ns0:c r="Q443" s="16">
        <ns0:f>(F443+H443)*(1-'前提と出典'!$B$7)-J443-L443-N443</ns0:f>
        <ns0:v>363469.9324071363</ns0:v>
      </ns0:c>
      <ns0:c r="R443" s="16">
        <ns0:f>P443-E443*'前提と出典'!$E$4</ns0:f>
        <ns0:v>727005.7140648167</ns0:v>
      </ns0:c>
      <ns0:c r="S443" s="16">
        <ns0:f>Q443-F443*'前提と出典'!$E$4</ns0:f>
        <ns0:v>263457.5477301187</ns0:v>
      </ns0:c>
      <ns0:c r="T443" s="7">
        <ns0:f>R443+S443</ns0:f>
        <ns0:v>990463.2617949354</ns0:v>
      </ns0:c>
      <ns0:c r="U443" s="16">
        <ns0:f>P443-E443*'前提と出典'!$E$5</ns0:f>
        <ns0:v>642061.643634266</ns0:v>
      </ns0:c>
      <ns0:c r="V443" s="16">
        <ns0:f>Q443-F443*'前提と出典'!$E$5</ns0:f>
        <ns0:v>230120.0861711129</ns0:v>
      </ns0:c>
      <ns0:c r="W443" s="7">
        <ns0:f>U443+V443</ns0:f>
        <ns0:v>872181.729805379</ns0:v>
      </ns0:c>
      <ns0:c r="X443" s="16">
        <ns0:f>P443-E443*'前提と出典'!$E$6</ns0:f>
        <ns0:v>557117.5732037151</ns0:v>
      </ns0:c>
      <ns0:c r="Y443" s="16">
        <ns0:f>Q443-F443*'前提と出典'!$E$6</ns0:f>
        <ns0:v>196782.624612107</ns0:v>
      </ns0:c>
      <ns0:c r="Z443" s="7">
        <ns0:f>X443+Y443</ns0:f>
        <ns0:v>753900.1978158222</ns0:v>
      </ns0:c>
      <ns0:c r="AA443" s="7">
        <ns0:f>IF(T443&gt;=0,A443,1001)</ns0:f>
        <ns0:v>439</ns0:v>
      </ns0:c>
      <ns0:c r="AB443" s="7">
        <ns0:f>IF(T443&lt;0,A443,0)</ns0:f>
        <ns0:v>0</ns0:v>
      </ns0:c>
      <ns0:c r="AC443" s="16">
        <ns0:f>IF(AND(OR('前提と出典'!$C$36+'前提と出典'!$C$38=0,R443&gt;=0),OR('前提と出典'!$C$37+'前提と出典'!$C$38=0,S443&gt;=0)),0,A443)</ns0:f>
        <ns0:v>0</ns0:v>
      </ns0:c>
      <ns0:c r="AD443" s="7">
        <ns0:f>IF(W443&gt;=0,A443,1001)</ns0:f>
        <ns0:v>439</ns0:v>
      </ns0:c>
      <ns0:c r="AE443" s="7">
        <ns0:f>IF(W443&lt;0,A443,0)</ns0:f>
        <ns0:v>0</ns0:v>
      </ns0:c>
      <ns0:c r="AF443" s="16">
        <ns0:f>IF(AND(OR('前提と出典'!$C$36+'前提と出典'!$C$38=0,U443&gt;=0),OR('前提と出典'!$C$37+'前提と出典'!$C$38=0,V443&gt;=0)),0,A443)</ns0:f>
        <ns0:v>0</ns0:v>
      </ns0:c>
      <ns0:c r="AG443" s="7">
        <ns0:f>IF(Z443&gt;=0,A443,1001)</ns0:f>
        <ns0:v>439</ns0:v>
      </ns0:c>
      <ns0:c r="AH443" s="4">
        <ns0:f>IF(Z443&lt;0,A443,0)</ns0:f>
        <ns0:v>0</ns0:v>
      </ns0:c>
      <ns0:c r="AI443" s="12">
        <ns0:f>IF(AND(OR('前提と出典'!$C$36+'前提と出典'!$C$38=0,X443&gt;=0),OR('前提と出典'!$C$37+'前提と出典'!$C$38=0,Y443&gt;=0)),0,A443)</ns0:f>
        <ns0:v>0</ns0:v>
      </ns0:c>
    </ns0:row>
    <ns0:row r="444" ht="24" customHeight="1">
      <ns0:c r="A444" s="4" t="n">
        <ns0:v>440</ns0:v>
      </ns0:c>
      <ns0:c r="B444" s="12">
        <ns0:f>A444*('前提と出典'!$C$36+'前提と出典'!$C$38)</ns0:f>
        <ns0:v>308</ns0:v>
      </ns0:c>
      <ns0:c r="C444" s="12">
        <ns0:f>A444*('前提と出典'!$C$37+'前提と出典'!$C$38)</ns0:f>
        <ns0:v>264</ns0:v>
      </ns0:c>
      <ns0:c r="D444" s="16">
        <ns0:f>A444*('前提と出典'!$C$36*'契約別単価'!C5+'前提と出典'!$C$37*'契約別単価'!C6+'前提と出典'!$C$38*'契約別単価'!C7)</ns0:f>
        <ns0:v>3166.0335195530724</ns0:v>
      </ns0:c>
      <ns0:c r="E444" s="16">
        <ns0:f>A444*('前提と出典'!$C$36*'契約別単価'!E5+'前提と出典'!$C$37*'契約別単価'!E6+'前提と出典'!$C$38*'契約別単価'!E7)</ns0:f>
        <ns0:v>851375.648962241</ns0:v>
      </ns0:c>
      <ns0:c r="F444" s="16">
        <ns0:f>A444*('前提と出典'!$C$36*'契約別単価'!F5+'前提と出典'!$C$37*'契約別単価'!F6+'前提と出典'!$C$38*'契約別単価'!F7)</ns0:f>
        <ns0:v>334134.01106976246</ns0:v>
      </ns0:c>
      <ns0:c r="G444" s="16">
        <ns0:f>A444*('前提と出典'!$C$36*'契約別単価'!G5+'前提と出典'!$C$37*'契約別単価'!G6+'前提と出典'!$C$38*'契約別単価'!G7)</ns0:f>
        <ns0:v>875821.2290502792</ns0:v>
      </ns0:c>
      <ns0:c r="H444" s="16">
        <ns0:f>A444*('前提と出典'!$C$36*'契約別単価'!H5+'前提と出典'!$C$37*'契約別単価'!H6+'前提と出典'!$C$38*'契約別単価'!H7)</ns0:f>
        <ns0:v>303953.89236686216</ns0:v>
      </ns0:c>
      <ns0:c r="I444" s="16">
        <ns0:f>A444*('前提と出典'!$C$36*'契約別単価'!I5+'前提と出典'!$C$37*'契約別単価'!I6+'前提と出典'!$C$38*'契約別単価'!I7)</ns0:f>
        <ns0:v>18566.033519553068</ns0:v>
      </ns0:c>
      <ns0:c r="J444" s="16">
        <ns0:f>A444*('前提と出典'!$C$36*'契約別単価'!J5+'前提と出典'!$C$37*'契約別単価'!J6+'前提と出典'!$C$38*'契約別単価'!J7)</ns0:f>
        <ns0:v>43247.39923253313</ns0:v>
      </ns0:c>
      <ns0:c r="K444" s="16">
        <ns0:f>A444*('前提と出典'!$C$36*'契約別単価'!K5+'前提と出典'!$C$37*'契約別単価'!K6+'前提と出典'!$C$38*'契約別単価'!K7)</ns0:f>
        <ns0:v>185373.55679702046</ns0:v>
      </ns0:c>
      <ns0:c r="L444" s="16">
        <ns0:f>A444*('前提と出典'!$C$36*'契約別単価'!L5+'前提と出典'!$C$37*'契約別単価'!L6+'前提と出典'!$C$38*'契約別単価'!L7)</ns0:f>
        <ns0:v>150931.79641222872</ns0:v>
      </ns0:c>
      <ns0:c r="M444" s="16">
        <ns0:f>IF(('前提と出典'!$C$36+'前提と出典'!$C$38)=0,0,IF(B444&lt;=10,'前提と出典'!B73+'前提と出典'!C73,IF(B444&lt;=100,'前提と出典'!B74+'前提と出典'!C74,IF(B444&lt;=500,'前提と出典'!B75+'前提と出典'!C75,'前提と出典'!B76+'前提と出典'!C76))))</ns0:f>
        <ns0:v>40000</ns0:v>
      </ns0:c>
      <ns0:c r="N444" s="16">
        <ns0:f>IF(('前提と出典'!$C$37+'前提と出典'!$C$38)=0,0,IF(C444&lt;=10,'前提と出典'!D73+'前提と出典'!E73,IF(C444&lt;=100,'前提と出典'!D74+'前提と出典'!E74,IF(C444&lt;=500,'前提と出典'!D75+'前提と出典'!E75,'前提と出典'!D76+'前提と出典'!E76))))</ns0:f>
        <ns0:v>56510.9346263078</ns0:v>
      </ns0:c>
      <ns0:c r="O444" s="16">
        <ns0:f>IF('前提と出典'!$C$36+'前提と出典'!$C$38=0,0,'前提と出典'!$B$4*IF('前提と出典'!$B$20=0,MAX('前提と出典'!$B$6,D444*'前提と出典'!$B$5),'前提と出典'!$B$6+D444*'前提と出典'!$B$5))</ns0:f>
        <ns0:v>436912.625698324</ns0:v>
      </ns0:c>
      <ns0:c r="P444" s="16">
        <ns0:f>(E444+G444)*(1-'前提と出典'!$B$7)-I444-K444-M444-O444</ns0:f>
        <ns0:v>984165.574389172</ns0:v>
      </ns0:c>
      <ns0:c r="Q444" s="16">
        <ns0:f>(F444+H444)*(1-'前提と出典'!$B$7)-J444-L444-N444</ns0:f>
        <ns0:v>364426.60864183656</ns0:v>
      </ns0:c>
      <ns0:c r="R444" s="16">
        <ns0:f>P444-E444*'前提と出典'!$E$4</ns0:f>
        <ns0:v>728752.8797004998</ns0:v>
      </ns0:c>
      <ns0:c r="S444" s="16">
        <ns0:f>Q444-F444*'前提と出典'!$E$4</ns0:f>
        <ns0:v>264186.4053209078</ns0:v>
      </ns0:c>
      <ns0:c r="T444" s="7">
        <ns0:f>R444+S444</ns0:f>
        <ns0:v>992939.2850214076</ns0:v>
      </ns0:c>
      <ns0:c r="U444" s="16">
        <ns0:f>P444-E444*'前提と出典'!$E$5</ns0:f>
        <ns0:v>643615.3148042755</ns0:v>
      </ns0:c>
      <ns0:c r="V444" s="16">
        <ns0:f>Q444-F444*'前提と出典'!$E$5</ns0:f>
        <ns0:v>230773.00421393156</ns0:v>
      </ns0:c>
      <ns0:c r="W444" s="7">
        <ns0:f>U444+V444</ns0:f>
        <ns0:v>874388.319018207</ns0:v>
      </ns0:c>
      <ns0:c r="X444" s="16">
        <ns0:f>P444-E444*'前提と出典'!$E$6</ns0:f>
        <ns0:v>558477.7499080515</ns0:v>
      </ns0:c>
      <ns0:c r="Y444" s="16">
        <ns0:f>Q444-F444*'前提と出典'!$E$6</ns0:f>
        <ns0:v>197359.6031069553</ns0:v>
      </ns0:c>
      <ns0:c r="Z444" s="7">
        <ns0:f>X444+Y444</ns0:f>
        <ns0:v>755837.3530150068</ns0:v>
      </ns0:c>
      <ns0:c r="AA444" s="7">
        <ns0:f>IF(T444&gt;=0,A444,1001)</ns0:f>
        <ns0:v>440</ns0:v>
      </ns0:c>
      <ns0:c r="AB444" s="7">
        <ns0:f>IF(T444&lt;0,A444,0)</ns0:f>
        <ns0:v>0</ns0:v>
      </ns0:c>
      <ns0:c r="AC444" s="16">
        <ns0:f>IF(AND(OR('前提と出典'!$C$36+'前提と出典'!$C$38=0,R444&gt;=0),OR('前提と出典'!$C$37+'前提と出典'!$C$38=0,S444&gt;=0)),0,A444)</ns0:f>
        <ns0:v>0</ns0:v>
      </ns0:c>
      <ns0:c r="AD444" s="7">
        <ns0:f>IF(W444&gt;=0,A444,1001)</ns0:f>
        <ns0:v>440</ns0:v>
      </ns0:c>
      <ns0:c r="AE444" s="7">
        <ns0:f>IF(W444&lt;0,A444,0)</ns0:f>
        <ns0:v>0</ns0:v>
      </ns0:c>
      <ns0:c r="AF444" s="16">
        <ns0:f>IF(AND(OR('前提と出典'!$C$36+'前提と出典'!$C$38=0,U444&gt;=0),OR('前提と出典'!$C$37+'前提と出典'!$C$38=0,V444&gt;=0)),0,A444)</ns0:f>
        <ns0:v>0</ns0:v>
      </ns0:c>
      <ns0:c r="AG444" s="7">
        <ns0:f>IF(Z444&gt;=0,A444,1001)</ns0:f>
        <ns0:v>440</ns0:v>
      </ns0:c>
      <ns0:c r="AH444" s="4">
        <ns0:f>IF(Z444&lt;0,A444,0)</ns0:f>
        <ns0:v>0</ns0:v>
      </ns0:c>
      <ns0:c r="AI444" s="12">
        <ns0:f>IF(AND(OR('前提と出典'!$C$36+'前提と出典'!$C$38=0,X444&gt;=0),OR('前提と出典'!$C$37+'前提と出典'!$C$38=0,Y444&gt;=0)),0,A444)</ns0:f>
        <ns0:v>0</ns0:v>
      </ns0:c>
    </ns0:row>
    <ns0:row r="445" ht="24" customHeight="1">
      <ns0:c r="A445" s="4" t="n">
        <ns0:v>441</ns0:v>
      </ns0:c>
      <ns0:c r="B445" s="12">
        <ns0:f>A445*('前提と出典'!$C$36+'前提と出典'!$C$38)</ns0:f>
        <ns0:v>308.7</ns0:v>
      </ns0:c>
      <ns0:c r="C445" s="12">
        <ns0:f>A445*('前提と出典'!$C$37+'前提と出典'!$C$38)</ns0:f>
        <ns0:v>264.59999999999997</ns0:v>
      </ns0:c>
      <ns0:c r="D445" s="16">
        <ns0:f>A445*('前提と出典'!$C$36*'契約別単価'!C5+'前提と出典'!$C$37*'契約別単価'!C6+'前提と出典'!$C$38*'契約別単価'!C7)</ns0:f>
        <ns0:v>3173.2290502793294</ns0:v>
      </ns0:c>
      <ns0:c r="E445" s="16">
        <ns0:f>A445*('前提と出典'!$C$36*'契約別単価'!E5+'前提と出典'!$C$37*'契約別単価'!E6+'前提と出典'!$C$38*'契約別単価'!E7)</ns0:f>
        <ns0:v>853310.5936189734</ns0:v>
      </ns0:c>
      <ns0:c r="F445" s="16">
        <ns0:f>A445*('前提と出典'!$C$36*'契約別単価'!F5+'前提と出典'!$C$37*'契約別単価'!F6+'前提と出典'!$C$38*'契約別単価'!F7)</ns0:f>
        <ns0:v>334893.4065494664</ns0:v>
      </ns0:c>
      <ns0:c r="G445" s="16">
        <ns0:f>A445*('前提と出典'!$C$36*'契約別単価'!G5+'前提と出典'!$C$37*'契約別単価'!G6+'前提と出典'!$C$38*'契約別単価'!G7)</ns0:f>
        <ns0:v>877811.7318435754</ns0:v>
      </ns0:c>
      <ns0:c r="H445" s="16">
        <ns0:f>A445*('前提と出典'!$C$36*'契約別単価'!H5+'前提と出典'!$C$37*'契約別単価'!H6+'前提と出典'!$C$38*'契約別単価'!H7)</ns0:f>
        <ns0:v>304644.69666769594</ns0:v>
      </ns0:c>
      <ns0:c r="I445" s="16">
        <ns0:f>A445*('前提と出典'!$C$36*'契約別単価'!I5+'前提と出典'!$C$37*'契約別単価'!I6+'前提と出典'!$C$38*'契約別単価'!I7)</ns0:f>
        <ns0:v>18608.229050279326</ns0:v>
      </ns0:c>
      <ns0:c r="J445" s="16">
        <ns0:f>A445*('前提と出典'!$C$36*'契約別単価'!J5+'前提と出典'!$C$37*'契約別単価'!J6+'前提と出典'!$C$38*'契約別単価'!J7)</ns0:f>
        <ns0:v>43345.688776243434</ns0:v>
      </ns0:c>
      <ns0:c r="K445" s="16">
        <ns0:f>A445*('前提と出典'!$C$36*'契約別単価'!K5+'前提と出典'!$C$37*'契約別単価'!K6+'前提と出典'!$C$38*'契約別単価'!K7)</ns0:f>
        <ns0:v>185794.86033519552</ns0:v>
      </ns0:c>
      <ns0:c r="L445" s="16">
        <ns0:f>A445*('前提と出典'!$C$36*'契約別単価'!L5+'前提と出典'!$C$37*'契約別単価'!L6+'前提と出典'!$C$38*'契約別単価'!L7)</ns0:f>
        <ns0:v>151274.82322225653</ns0:v>
      </ns0:c>
      <ns0:c r="M445" s="16">
        <ns0:f>IF(('前提と出典'!$C$36+'前提と出典'!$C$38)=0,0,IF(B445&lt;=10,'前提と出典'!B73+'前提と出典'!C73,IF(B445&lt;=100,'前提と出典'!B74+'前提と出典'!C74,IF(B445&lt;=500,'前提と出典'!B75+'前提と出典'!C75,'前提と出典'!B76+'前提と出典'!C76))))</ns0:f>
        <ns0:v>40000</ns0:v>
      </ns0:c>
      <ns0:c r="N445" s="16">
        <ns0:f>IF(('前提と出典'!$C$37+'前提と出典'!$C$38)=0,0,IF(C445&lt;=10,'前提と出典'!D73+'前提と出典'!E73,IF(C445&lt;=100,'前提と出典'!D74+'前提と出典'!E74,IF(C445&lt;=500,'前提と出典'!D75+'前提と出典'!E75,'前提と出典'!D76+'前提と出典'!E76))))</ns0:f>
        <ns0:v>56510.9346263078</ns0:v>
      </ns0:c>
      <ns0:c r="O445" s="16">
        <ns0:f>IF('前提と出典'!$C$36+'前提と出典'!$C$38=0,0,'前提と出典'!$B$4*IF('前提と出典'!$B$20=0,MAX('前提と出典'!$B$6,D445*'前提と出典'!$B$5),'前提と出典'!$B$6+D445*'前提と出典'!$B$5))</ns0:f>
        <ns0:v>437905.6089385475</ns0:v>
      </ns0:c>
      <ns0:c r="P445" s="16">
        <ns0:f>(E445+G445)*(1-'前提と出典'!$B$7)-I445-K445-M445-O445</ns0:f>
        <ns0:v>986493.2234218747</ns0:v>
      </ns0:c>
      <ns0:c r="Q445" s="16">
        <ns0:f>(F445+H445)*(1-'前提と出典'!$B$7)-J445-L445-N445</ns0:f>
        <ns0:v>365383.28487653687</ns0:v>
      </ns0:c>
      <ns0:c r="R445" s="16">
        <ns0:f>P445-E445*'前提と出典'!$E$4</ns0:f>
        <ns0:v>730500.0453361827</ns0:v>
      </ns0:c>
      <ns0:c r="S445" s="16">
        <ns0:f>Q445-F445*'前提と出典'!$E$4</ns0:f>
        <ns0:v>264915.2629116969</ns0:v>
      </ns0:c>
      <ns0:c r="T445" s="7">
        <ns0:f>R445+S445</ns0:f>
        <ns0:v>995415.3082478796</ns0:v>
      </ns0:c>
      <ns0:c r="U445" s="16">
        <ns0:f>P445-E445*'前提と出典'!$E$5</ns0:f>
        <ns0:v>645168.9859742853</ns0:v>
      </ns0:c>
      <ns0:c r="V445" s="16">
        <ns0:f>Q445-F445*'前提と出典'!$E$5</ns0:f>
        <ns0:v>231425.9222567503</ns0:v>
      </ns0:c>
      <ns0:c r="W445" s="7">
        <ns0:f>U445+V445</ns0:f>
        <ns0:v>876594.9082310356</ns0:v>
      </ns0:c>
      <ns0:c r="X445" s="16">
        <ns0:f>P445-E445*'前提と出典'!$E$6</ns0:f>
        <ns0:v>559837.9266123879</ns0:v>
      </ns0:c>
      <ns0:c r="Y445" s="16">
        <ns0:f>Q445-F445*'前提と出典'!$E$6</ns0:f>
        <ns0:v>197936.58160180363</ns0:v>
      </ns0:c>
      <ns0:c r="Z445" s="7">
        <ns0:f>X445+Y445</ns0:f>
        <ns0:v>757774.5082141915</ns0:v>
      </ns0:c>
      <ns0:c r="AA445" s="7">
        <ns0:f>IF(T445&gt;=0,A445,1001)</ns0:f>
        <ns0:v>441</ns0:v>
      </ns0:c>
      <ns0:c r="AB445" s="7">
        <ns0:f>IF(T445&lt;0,A445,0)</ns0:f>
        <ns0:v>0</ns0:v>
      </ns0:c>
      <ns0:c r="AC445" s="16">
        <ns0:f>IF(AND(OR('前提と出典'!$C$36+'前提と出典'!$C$38=0,R445&gt;=0),OR('前提と出典'!$C$37+'前提と出典'!$C$38=0,S445&gt;=0)),0,A445)</ns0:f>
        <ns0:v>0</ns0:v>
      </ns0:c>
      <ns0:c r="AD445" s="7">
        <ns0:f>IF(W445&gt;=0,A445,1001)</ns0:f>
        <ns0:v>441</ns0:v>
      </ns0:c>
      <ns0:c r="AE445" s="7">
        <ns0:f>IF(W445&lt;0,A445,0)</ns0:f>
        <ns0:v>0</ns0:v>
      </ns0:c>
      <ns0:c r="AF445" s="16">
        <ns0:f>IF(AND(OR('前提と出典'!$C$36+'前提と出典'!$C$38=0,U445&gt;=0),OR('前提と出典'!$C$37+'前提と出典'!$C$38=0,V445&gt;=0)),0,A445)</ns0:f>
        <ns0:v>0</ns0:v>
      </ns0:c>
      <ns0:c r="AG445" s="7">
        <ns0:f>IF(Z445&gt;=0,A445,1001)</ns0:f>
        <ns0:v>441</ns0:v>
      </ns0:c>
      <ns0:c r="AH445" s="4">
        <ns0:f>IF(Z445&lt;0,A445,0)</ns0:f>
        <ns0:v>0</ns0:v>
      </ns0:c>
      <ns0:c r="AI445" s="12">
        <ns0:f>IF(AND(OR('前提と出典'!$C$36+'前提と出典'!$C$38=0,X445&gt;=0),OR('前提と出典'!$C$37+'前提と出典'!$C$38=0,Y445&gt;=0)),0,A445)</ns0:f>
        <ns0:v>0</ns0:v>
      </ns0:c>
    </ns0:row>
    <ns0:row r="446" ht="24" customHeight="1">
      <ns0:c r="A446" s="4" t="n">
        <ns0:v>442</ns0:v>
      </ns0:c>
      <ns0:c r="B446" s="12">
        <ns0:f>A446*('前提と出典'!$C$36+'前提と出典'!$C$38)</ns0:f>
        <ns0:v>309.4</ns0:v>
      </ns0:c>
      <ns0:c r="C446" s="12">
        <ns0:f>A446*('前提と出典'!$C$37+'前提と出典'!$C$38)</ns0:f>
        <ns0:v>265.2</ns0:v>
      </ns0:c>
      <ns0:c r="D446" s="16">
        <ns0:f>A446*('前提と出典'!$C$36*'契約別単価'!C5+'前提と出典'!$C$37*'契約別単価'!C6+'前提と出典'!$C$38*'契約別単価'!C7)</ns0:f>
        <ns0:v>3180.424581005587</ns0:v>
      </ns0:c>
      <ns0:c r="E446" s="16">
        <ns0:f>A446*('前提と出典'!$C$36*'契約別単価'!E5+'前提と出典'!$C$37*'契約別単価'!E6+'前提と出典'!$C$38*'契約別単価'!E7)</ns0:f>
        <ns0:v>855245.5382757058</ns0:v>
      </ns0:c>
      <ns0:c r="F446" s="16">
        <ns0:f>A446*('前提と出典'!$C$36*'契約別単価'!F5+'前提と出典'!$C$37*'契約別単価'!F6+'前提と出典'!$C$38*'契約別単価'!F7)</ns0:f>
        <ns0:v>335652.80202917045</ns0:v>
      </ns0:c>
      <ns0:c r="G446" s="16">
        <ns0:f>A446*('前提と出典'!$C$36*'契約別単価'!G5+'前提と出典'!$C$37*'契約別単価'!G6+'前提と出典'!$C$38*'契約別単価'!G7)</ns0:f>
        <ns0:v>879802.2346368715</ns0:v>
      </ns0:c>
      <ns0:c r="H446" s="16">
        <ns0:f>A446*('前提と出典'!$C$36*'契約別単価'!H5+'前提と出典'!$C$37*'契約別単価'!H6+'前提と出典'!$C$38*'契約別単価'!H7)</ns0:f>
        <ns0:v>305335.5009685297</ns0:v>
      </ns0:c>
      <ns0:c r="I446" s="16">
        <ns0:f>A446*('前提と出典'!$C$36*'契約別単価'!I5+'前提と出典'!$C$37*'契約別単価'!I6+'前提と出典'!$C$38*'契約別単価'!I7)</ns0:f>
        <ns0:v>18650.424581005584</ns0:v>
      </ns0:c>
      <ns0:c r="J446" s="16">
        <ns0:f>A446*('前提と出典'!$C$36*'契約別単価'!J5+'前提と出典'!$C$37*'契約別単価'!J6+'前提と出典'!$C$38*'契約別単価'!J7)</ns0:f>
        <ns0:v>43443.978319953734</ns0:v>
      </ns0:c>
      <ns0:c r="K446" s="16">
        <ns0:f>A446*('前提と出典'!$C$36*'契約別単価'!K5+'前提と出典'!$C$37*'契約別単価'!K6+'前提と出典'!$C$38*'契約別単価'!K7)</ns0:f>
        <ns0:v>186216.16387337056</ns0:v>
      </ns0:c>
      <ns0:c r="L446" s="16">
        <ns0:f>A446*('前提と出典'!$C$36*'契約別単価'!L5+'前提と出典'!$C$37*'契約別単価'!L6+'前提と出典'!$C$38*'契約別単価'!L7)</ns0:f>
        <ns0:v>151617.85003228433</ns0:v>
      </ns0:c>
      <ns0:c r="M446" s="16">
        <ns0:f>IF(('前提と出典'!$C$36+'前提と出典'!$C$38)=0,0,IF(B446&lt;=10,'前提と出典'!B73+'前提と出典'!C73,IF(B446&lt;=100,'前提と出典'!B74+'前提と出典'!C74,IF(B446&lt;=500,'前提と出典'!B75+'前提と出典'!C75,'前提と出典'!B76+'前提と出典'!C76))))</ns0:f>
        <ns0:v>40000</ns0:v>
      </ns0:c>
      <ns0:c r="N446" s="16">
        <ns0:f>IF(('前提と出典'!$C$37+'前提と出典'!$C$38)=0,0,IF(C446&lt;=10,'前提と出典'!D73+'前提と出典'!E73,IF(C446&lt;=100,'前提と出典'!D74+'前提と出典'!E74,IF(C446&lt;=500,'前提と出典'!D75+'前提と出典'!E75,'前提と出典'!D76+'前提と出典'!E76))))</ns0:f>
        <ns0:v>56510.9346263078</ns0:v>
      </ns0:c>
      <ns0:c r="O446" s="16">
        <ns0:f>IF('前提と出典'!$C$36+'前提と出典'!$C$38=0,0,'前提と出典'!$B$4*IF('前提と出典'!$B$20=0,MAX('前提と出典'!$B$6,D446*'前提と出典'!$B$5),'前提と出典'!$B$6+D446*'前提と出典'!$B$5))</ns0:f>
        <ns0:v>438898.592178771</ns0:v>
      </ns0:c>
      <ns0:c r="P446" s="16">
        <ns0:f>(E446+G446)*(1-'前提と出典'!$B$7)-I446-K446-M446-O446</ns0:f>
        <ns0:v>988820.8724545774</ns0:v>
      </ns0:c>
      <ns0:c r="Q446" s="16">
        <ns0:f>(F446+H446)*(1-'前提と出典'!$B$7)-J446-L446-N446</ns0:f>
        <ns0:v>366339.96111123706</ns0:v>
      </ns0:c>
      <ns0:c r="R446" s="16">
        <ns0:f>P446-E446*'前提と出典'!$E$4</ns0:f>
        <ns0:v>732247.2109718656</ns0:v>
      </ns0:c>
      <ns0:c r="S446" s="16">
        <ns0:f>Q446-F446*'前提と出典'!$E$4</ns0:f>
        <ns0:v>265644.12050248595</ns0:v>
      </ns0:c>
      <ns0:c r="T446" s="7">
        <ns0:f>R446+S446</ns0:f>
        <ns0:v>997891.3314743515</ns0:v>
      </ns0:c>
      <ns0:c r="U446" s="16">
        <ns0:f>P446-E446*'前提と出典'!$E$5</ns0:f>
        <ns0:v>646722.657144295</ns0:v>
      </ns0:c>
      <ns0:c r="V446" s="16">
        <ns0:f>Q446-F446*'前提と出典'!$E$5</ns0:f>
        <ns0:v>232078.8402995689</ns0:v>
      </ns0:c>
      <ns0:c r="W446" s="7">
        <ns0:f>U446+V446</ns0:f>
        <ns0:v>878801.4974438639</ns0:v>
      </ns0:c>
      <ns0:c r="X446" s="16">
        <ns0:f>P446-E446*'前提と出典'!$E$6</ns0:f>
        <ns0:v>561198.1033167245</ns0:v>
      </ns0:c>
      <ns0:c r="Y446" s="16">
        <ns0:f>Q446-F446*'前提と出典'!$E$6</ns0:f>
        <ns0:v>198513.5600966519</ns0:v>
      </ns0:c>
      <ns0:c r="Z446" s="7">
        <ns0:f>X446+Y446</ns0:f>
        <ns0:v>759711.6634133764</ns0:v>
      </ns0:c>
      <ns0:c r="AA446" s="7">
        <ns0:f>IF(T446&gt;=0,A446,1001)</ns0:f>
        <ns0:v>442</ns0:v>
      </ns0:c>
      <ns0:c r="AB446" s="7">
        <ns0:f>IF(T446&lt;0,A446,0)</ns0:f>
        <ns0:v>0</ns0:v>
      </ns0:c>
      <ns0:c r="AC446" s="16">
        <ns0:f>IF(AND(OR('前提と出典'!$C$36+'前提と出典'!$C$38=0,R446&gt;=0),OR('前提と出典'!$C$37+'前提と出典'!$C$38=0,S446&gt;=0)),0,A446)</ns0:f>
        <ns0:v>0</ns0:v>
      </ns0:c>
      <ns0:c r="AD446" s="7">
        <ns0:f>IF(W446&gt;=0,A446,1001)</ns0:f>
        <ns0:v>442</ns0:v>
      </ns0:c>
      <ns0:c r="AE446" s="7">
        <ns0:f>IF(W446&lt;0,A446,0)</ns0:f>
        <ns0:v>0</ns0:v>
      </ns0:c>
      <ns0:c r="AF446" s="16">
        <ns0:f>IF(AND(OR('前提と出典'!$C$36+'前提と出典'!$C$38=0,U446&gt;=0),OR('前提と出典'!$C$37+'前提と出典'!$C$38=0,V446&gt;=0)),0,A446)</ns0:f>
        <ns0:v>0</ns0:v>
      </ns0:c>
      <ns0:c r="AG446" s="7">
        <ns0:f>IF(Z446&gt;=0,A446,1001)</ns0:f>
        <ns0:v>442</ns0:v>
      </ns0:c>
      <ns0:c r="AH446" s="4">
        <ns0:f>IF(Z446&lt;0,A446,0)</ns0:f>
        <ns0:v>0</ns0:v>
      </ns0:c>
      <ns0:c r="AI446" s="12">
        <ns0:f>IF(AND(OR('前提と出典'!$C$36+'前提と出典'!$C$38=0,X446&gt;=0),OR('前提と出典'!$C$37+'前提と出典'!$C$38=0,Y446&gt;=0)),0,A446)</ns0:f>
        <ns0:v>0</ns0:v>
      </ns0:c>
    </ns0:row>
    <ns0:row r="447" ht="24" customHeight="1">
      <ns0:c r="A447" s="4" t="n">
        <ns0:v>443</ns0:v>
      </ns0:c>
      <ns0:c r="B447" s="12">
        <ns0:f>A447*('前提と出典'!$C$36+'前提と出典'!$C$38)</ns0:f>
        <ns0:v>310.09999999999997</ns0:v>
      </ns0:c>
      <ns0:c r="C447" s="12">
        <ns0:f>A447*('前提と出典'!$C$37+'前提と出典'!$C$38)</ns0:f>
        <ns0:v>265.8</ns0:v>
      </ns0:c>
      <ns0:c r="D447" s="16">
        <ns0:f>A447*('前提と出典'!$C$36*'契約別単価'!C5+'前提と出典'!$C$37*'契約別単価'!C6+'前提と出典'!$C$38*'契約別単価'!C7)</ns0:f>
        <ns0:v>3187.6201117318437</ns0:v>
      </ns0:c>
      <ns0:c r="E447" s="16">
        <ns0:f>A447*('前提と出典'!$C$36*'契約別単価'!E5+'前提と出典'!$C$37*'契約別単価'!E6+'前提と出典'!$C$38*'契約別単価'!E7)</ns0:f>
        <ns0:v>857180.4829324381</ns0:v>
      </ns0:c>
      <ns0:c r="F447" s="16">
        <ns0:f>A447*('前提と出典'!$C$36*'契約別単価'!F5+'前提と出典'!$C$37*'契約別単価'!F6+'前提と出典'!$C$38*'契約別単価'!F7)</ns0:f>
        <ns0:v>336412.19750887447</ns0:v>
      </ns0:c>
      <ns0:c r="G447" s="16">
        <ns0:f>A447*('前提と出典'!$C$36*'契約別単価'!G5+'前提と出典'!$C$37*'契約別単価'!G6+'前提と出典'!$C$38*'契約別単価'!G7)</ns0:f>
        <ns0:v>881792.7374301675</ns0:v>
      </ns0:c>
      <ns0:c r="H447" s="16">
        <ns0:f>A447*('前提と出典'!$C$36*'契約別単価'!H5+'前提と出典'!$C$37*'契約別単価'!H6+'前提と出典'!$C$38*'契約別単価'!H7)</ns0:f>
        <ns0:v>306026.3052693635</ns0:v>
      </ns0:c>
      <ns0:c r="I447" s="16">
        <ns0:f>A447*('前提と出典'!$C$36*'契約別単価'!I5+'前提と出典'!$C$37*'契約別単価'!I6+'前提と出典'!$C$38*'契約別単価'!I7)</ns0:f>
        <ns0:v>18692.62011173184</ns0:v>
      </ns0:c>
      <ns0:c r="J447" s="16">
        <ns0:f>A447*('前提と出典'!$C$36*'契約別単価'!J5+'前提と出典'!$C$37*'契約別単価'!J6+'前提と出典'!$C$38*'契約別単価'!J7)</ns0:f>
        <ns0:v>43542.267863664034</ns0:v>
      </ns0:c>
      <ns0:c r="K447" s="16">
        <ns0:f>A447*('前提と出典'!$C$36*'契約別単価'!K5+'前提と出典'!$C$37*'契約別単価'!K6+'前提と出典'!$C$38*'契約別単価'!K7)</ns0:f>
        <ns0:v>186637.4674115456</ns0:v>
      </ns0:c>
      <ns0:c r="L447" s="16">
        <ns0:f>A447*('前提と出典'!$C$36*'契約別単価'!L5+'前提と出典'!$C$37*'契約別単価'!L6+'前提と出典'!$C$38*'契約別単価'!L7)</ns0:f>
        <ns0:v>151960.8768423121</ns0:v>
      </ns0:c>
      <ns0:c r="M447" s="16">
        <ns0:f>IF(('前提と出典'!$C$36+'前提と出典'!$C$38)=0,0,IF(B447&lt;=10,'前提と出典'!B73+'前提と出典'!C73,IF(B447&lt;=100,'前提と出典'!B74+'前提と出典'!C74,IF(B447&lt;=500,'前提と出典'!B75+'前提と出典'!C75,'前提と出典'!B76+'前提と出典'!C76))))</ns0:f>
        <ns0:v>40000</ns0:v>
      </ns0:c>
      <ns0:c r="N447" s="16">
        <ns0:f>IF(('前提と出典'!$C$37+'前提と出典'!$C$38)=0,0,IF(C447&lt;=10,'前提と出典'!D73+'前提と出典'!E73,IF(C447&lt;=100,'前提と出典'!D74+'前提と出典'!E74,IF(C447&lt;=500,'前提と出典'!D75+'前提と出典'!E75,'前提と出典'!D76+'前提と出典'!E76))))</ns0:f>
        <ns0:v>56510.9346263078</ns0:v>
      </ns0:c>
      <ns0:c r="O447" s="16">
        <ns0:f>IF('前提と出典'!$C$36+'前提と出典'!$C$38=0,0,'前提と出典'!$B$4*IF('前提と出典'!$B$20=0,MAX('前提と出典'!$B$6,D447*'前提と出典'!$B$5),'前提と出典'!$B$6+D447*'前提と出典'!$B$5))</ns0:f>
        <ns0:v>439891.5754189945</ns0:v>
      </ns0:c>
      <ns0:c r="P447" s="16">
        <ns0:f>(E447+G447)*(1-'前提と出典'!$B$7)-I447-K447-M447-O447</ns0:f>
        <ns0:v>991148.5214872798</ns0:v>
      </ns0:c>
      <ns0:c r="Q447" s="16">
        <ns0:f>(F447+H447)*(1-'前提と出典'!$B$7)-J447-L447-N447</ns0:f>
        <ns0:v>367296.63734593743</ns0:v>
      </ns0:c>
      <ns0:c r="R447" s="16">
        <ns0:f>P447-E447*'前提と出典'!$E$4</ns0:f>
        <ns0:v>733994.3766075484</ns0:v>
      </ns0:c>
      <ns0:c r="S447" s="16">
        <ns0:f>Q447-F447*'前提と出典'!$E$4</ns0:f>
        <ns0:v>266372.9780932751</ns0:v>
      </ns0:c>
      <ns0:c r="T447" s="7">
        <ns0:f>R447+S447</ns0:f>
        <ns0:v>1000367.3547008235</ns0:v>
      </ns0:c>
      <ns0:c r="U447" s="16">
        <ns0:f>P447-E447*'前提と出典'!$E$5</ns0:f>
        <ns0:v>648276.3283143046</ns0:v>
      </ns0:c>
      <ns0:c r="V447" s="16">
        <ns0:f>Q447-F447*'前提と出典'!$E$5</ns0:f>
        <ns0:v>232731.75834238762</ns0:v>
      </ns0:c>
      <ns0:c r="W447" s="7">
        <ns0:f>U447+V447</ns0:f>
        <ns0:v>881008.0866566922</ns0:v>
      </ns0:c>
      <ns0:c r="X447" s="16">
        <ns0:f>P447-E447*'前提と出典'!$E$6</ns0:f>
        <ns0:v>562558.2800210607</ns0:v>
      </ns0:c>
      <ns0:c r="Y447" s="16">
        <ns0:f>Q447-F447*'前提と出典'!$E$6</ns0:f>
        <ns0:v>199090.5385915002</ns0:v>
      </ns0:c>
      <ns0:c r="Z447" s="7">
        <ns0:f>X447+Y447</ns0:f>
        <ns0:v>761648.8186125609</ns0:v>
      </ns0:c>
      <ns0:c r="AA447" s="7">
        <ns0:f>IF(T447&gt;=0,A447,1001)</ns0:f>
        <ns0:v>443</ns0:v>
      </ns0:c>
      <ns0:c r="AB447" s="7">
        <ns0:f>IF(T447&lt;0,A447,0)</ns0:f>
        <ns0:v>0</ns0:v>
      </ns0:c>
      <ns0:c r="AC447" s="16">
        <ns0:f>IF(AND(OR('前提と出典'!$C$36+'前提と出典'!$C$38=0,R447&gt;=0),OR('前提と出典'!$C$37+'前提と出典'!$C$38=0,S447&gt;=0)),0,A447)</ns0:f>
        <ns0:v>0</ns0:v>
      </ns0:c>
      <ns0:c r="AD447" s="7">
        <ns0:f>IF(W447&gt;=0,A447,1001)</ns0:f>
        <ns0:v>443</ns0:v>
      </ns0:c>
      <ns0:c r="AE447" s="7">
        <ns0:f>IF(W447&lt;0,A447,0)</ns0:f>
        <ns0:v>0</ns0:v>
      </ns0:c>
      <ns0:c r="AF447" s="16">
        <ns0:f>IF(AND(OR('前提と出典'!$C$36+'前提と出典'!$C$38=0,U447&gt;=0),OR('前提と出典'!$C$37+'前提と出典'!$C$38=0,V447&gt;=0)),0,A447)</ns0:f>
        <ns0:v>0</ns0:v>
      </ns0:c>
      <ns0:c r="AG447" s="7">
        <ns0:f>IF(Z447&gt;=0,A447,1001)</ns0:f>
        <ns0:v>443</ns0:v>
      </ns0:c>
      <ns0:c r="AH447" s="4">
        <ns0:f>IF(Z447&lt;0,A447,0)</ns0:f>
        <ns0:v>0</ns0:v>
      </ns0:c>
      <ns0:c r="AI447" s="12">
        <ns0:f>IF(AND(OR('前提と出典'!$C$36+'前提と出典'!$C$38=0,X447&gt;=0),OR('前提と出典'!$C$37+'前提と出典'!$C$38=0,Y447&gt;=0)),0,A447)</ns0:f>
        <ns0:v>0</ns0:v>
      </ns0:c>
    </ns0:row>
    <ns0:row r="448" ht="24" customHeight="1">
      <ns0:c r="A448" s="4" t="n">
        <ns0:v>444</ns0:v>
      </ns0:c>
      <ns0:c r="B448" s="12">
        <ns0:f>A448*('前提と出典'!$C$36+'前提と出典'!$C$38)</ns0:f>
        <ns0:v>310.79999999999995</ns0:v>
      </ns0:c>
      <ns0:c r="C448" s="12">
        <ns0:f>A448*('前提と出典'!$C$37+'前提と出典'!$C$38)</ns0:f>
        <ns0:v>266.4</ns0:v>
      </ns0:c>
      <ns0:c r="D448" s="16">
        <ns0:f>A448*('前提と出典'!$C$36*'契約別単価'!C5+'前提と出典'!$C$37*'契約別単価'!C6+'前提と出典'!$C$38*'契約別単価'!C7)</ns0:f>
        <ns0:v>3194.8156424581007</ns0:v>
      </ns0:c>
      <ns0:c r="E448" s="16">
        <ns0:f>A448*('前提と出典'!$C$36*'契約別単価'!E5+'前提と出典'!$C$37*'契約別単価'!E6+'前提と出典'!$C$38*'契約別単価'!E7)</ns0:f>
        <ns0:v>859115.4275891705</ns0:v>
      </ns0:c>
      <ns0:c r="F448" s="16">
        <ns0:f>A448*('前提と出典'!$C$36*'契約別単価'!F5+'前提と出典'!$C$37*'契約別単価'!F6+'前提と出典'!$C$38*'契約別単価'!F7)</ns0:f>
        <ns0:v>337171.5929885785</ns0:v>
      </ns0:c>
      <ns0:c r="G448" s="16">
        <ns0:f>A448*('前提と出典'!$C$36*'契約別単価'!G5+'前提と出典'!$C$37*'契約別単価'!G6+'前提と出典'!$C$38*'契約別単価'!G7)</ns0:f>
        <ns0:v>883783.2402234636</ns0:v>
      </ns0:c>
      <ns0:c r="H448" s="16">
        <ns0:f>A448*('前提と出典'!$C$36*'契約別単価'!H5+'前提と出典'!$C$37*'契約別単価'!H6+'前提と出典'!$C$38*'契約別単価'!H7)</ns0:f>
        <ns0:v>306717.1095701973</ns0:v>
      </ns0:c>
      <ns0:c r="I448" s="16">
        <ns0:f>A448*('前提と出典'!$C$36*'契約別単価'!I5+'前提と出典'!$C$37*'契約別単価'!I6+'前提と出典'!$C$38*'契約別単価'!I7)</ns0:f>
        <ns0:v>18734.815642458096</ns0:v>
      </ns0:c>
      <ns0:c r="J448" s="16">
        <ns0:f>A448*('前提と出典'!$C$36*'契約別単価'!J5+'前提と出典'!$C$37*'契約別単価'!J6+'前提と出典'!$C$38*'契約別単価'!J7)</ns0:f>
        <ns0:v>43640.55740737434</ns0:v>
      </ns0:c>
      <ns0:c r="K448" s="16">
        <ns0:f>A448*('前提と出典'!$C$36*'契約別単価'!K5+'前提と出典'!$C$37*'契約別単価'!K6+'前提と出典'!$C$38*'契約別単価'!K7)</ns0:f>
        <ns0:v>187058.77094972067</ns0:v>
      </ns0:c>
      <ns0:c r="L448" s="16">
        <ns0:f>A448*('前提と出典'!$C$36*'契約別単価'!L5+'前提と出典'!$C$37*'契約別単価'!L6+'前提と出典'!$C$38*'契約別単価'!L7)</ns0:f>
        <ns0:v>152303.9036523399</ns0:v>
      </ns0:c>
      <ns0:c r="M448" s="16">
        <ns0:f>IF(('前提と出典'!$C$36+'前提と出典'!$C$38)=0,0,IF(B448&lt;=10,'前提と出典'!B73+'前提と出典'!C73,IF(B448&lt;=100,'前提と出典'!B74+'前提と出典'!C74,IF(B448&lt;=500,'前提と出典'!B75+'前提と出典'!C75,'前提と出典'!B76+'前提と出典'!C76))))</ns0:f>
        <ns0:v>40000</ns0:v>
      </ns0:c>
      <ns0:c r="N448" s="16">
        <ns0:f>IF(('前提と出典'!$C$37+'前提と出典'!$C$38)=0,0,IF(C448&lt;=10,'前提と出典'!D73+'前提と出典'!E73,IF(C448&lt;=100,'前提と出典'!D74+'前提と出典'!E74,IF(C448&lt;=500,'前提と出典'!D75+'前提と出典'!E75,'前提と出典'!D76+'前提と出典'!E76))))</ns0:f>
        <ns0:v>56510.9346263078</ns0:v>
      </ns0:c>
      <ns0:c r="O448" s="16">
        <ns0:f>IF('前提と出典'!$C$36+'前提と出典'!$C$38=0,0,'前提と出典'!$B$4*IF('前提と出典'!$B$20=0,MAX('前提と出典'!$B$6,D448*'前提と出典'!$B$5),'前提と出典'!$B$6+D448*'前提と出典'!$B$5))</ns0:f>
        <ns0:v>440884.5586592179</ns0:v>
      </ns0:c>
      <ns0:c r="P448" s="16">
        <ns0:f>(E448+G448)*(1-'前提と出典'!$B$7)-I448-K448-M448-O448</ns0:f>
        <ns0:v>993476.1705199827</ns0:v>
      </ns0:c>
      <ns0:c r="Q448" s="16">
        <ns0:f>(F448+H448)*(1-'前提と出典'!$B$7)-J448-L448-N448</ns0:f>
        <ns0:v>368253.3135806378</ns0:v>
      </ns0:c>
      <ns0:c r="R448" s="16">
        <ns0:f>P448-E448*'前提と出典'!$E$4</ns0:f>
        <ns0:v>735741.5422432317</ns0:v>
      </ns0:c>
      <ns0:c r="S448" s="16">
        <ns0:f>Q448-F448*'前提と出典'!$E$4</ns0:f>
        <ns0:v>267101.8356840642</ns0:v>
      </ns0:c>
      <ns0:c r="T448" s="7">
        <ns0:f>R448+S448</ns0:f>
        <ns0:v>1002843.3779272959</ns0:v>
      </ns0:c>
      <ns0:c r="U448" s="16">
        <ns0:f>P448-E448*'前提と出典'!$E$5</ns0:f>
        <ns0:v>649829.9994843145</ns0:v>
      </ns0:c>
      <ns0:c r="V448" s="16">
        <ns0:f>Q448-F448*'前提と出典'!$E$5</ns0:f>
        <ns0:v>233384.6763852064</ns0:v>
      </ns0:c>
      <ns0:c r="W448" s="7">
        <ns0:f>U448+V448</ns0:f>
        <ns0:v>883214.6758695209</ns0:v>
      </ns0:c>
      <ns0:c r="X448" s="16">
        <ns0:f>P448-E448*'前提と出典'!$E$6</ns0:f>
        <ns0:v>563918.4567253975</ns0:v>
      </ns0:c>
      <ns0:c r="Y448" s="16">
        <ns0:f>Q448-F448*'前提と出典'!$E$6</ns0:f>
        <ns0:v>199667.51708634858</ns0:v>
      </ns0:c>
      <ns0:c r="Z448" s="7">
        <ns0:f>X448+Y448</ns0:f>
        <ns0:v>763585.9738117461</ns0:v>
      </ns0:c>
      <ns0:c r="AA448" s="7">
        <ns0:f>IF(T448&gt;=0,A448,1001)</ns0:f>
        <ns0:v>444</ns0:v>
      </ns0:c>
      <ns0:c r="AB448" s="7">
        <ns0:f>IF(T448&lt;0,A448,0)</ns0:f>
        <ns0:v>0</ns0:v>
      </ns0:c>
      <ns0:c r="AC448" s="16">
        <ns0:f>IF(AND(OR('前提と出典'!$C$36+'前提と出典'!$C$38=0,R448&gt;=0),OR('前提と出典'!$C$37+'前提と出典'!$C$38=0,S448&gt;=0)),0,A448)</ns0:f>
        <ns0:v>0</ns0:v>
      </ns0:c>
      <ns0:c r="AD448" s="7">
        <ns0:f>IF(W448&gt;=0,A448,1001)</ns0:f>
        <ns0:v>444</ns0:v>
      </ns0:c>
      <ns0:c r="AE448" s="7">
        <ns0:f>IF(W448&lt;0,A448,0)</ns0:f>
        <ns0:v>0</ns0:v>
      </ns0:c>
      <ns0:c r="AF448" s="16">
        <ns0:f>IF(AND(OR('前提と出典'!$C$36+'前提と出典'!$C$38=0,U448&gt;=0),OR('前提と出典'!$C$37+'前提と出典'!$C$38=0,V448&gt;=0)),0,A448)</ns0:f>
        <ns0:v>0</ns0:v>
      </ns0:c>
      <ns0:c r="AG448" s="7">
        <ns0:f>IF(Z448&gt;=0,A448,1001)</ns0:f>
        <ns0:v>444</ns0:v>
      </ns0:c>
      <ns0:c r="AH448" s="4">
        <ns0:f>IF(Z448&lt;0,A448,0)</ns0:f>
        <ns0:v>0</ns0:v>
      </ns0:c>
      <ns0:c r="AI448" s="12">
        <ns0:f>IF(AND(OR('前提と出典'!$C$36+'前提と出典'!$C$38=0,X448&gt;=0),OR('前提と出典'!$C$37+'前提と出典'!$C$38=0,Y448&gt;=0)),0,A448)</ns0:f>
        <ns0:v>0</ns0:v>
      </ns0:c>
    </ns0:row>
    <ns0:row r="449" ht="24" customHeight="1">
      <ns0:c r="A449" s="4" t="n">
        <ns0:v>445</ns0:v>
      </ns0:c>
      <ns0:c r="B449" s="12">
        <ns0:f>A449*('前提と出典'!$C$36+'前提と出典'!$C$38)</ns0:f>
        <ns0:v>311.5</ns0:v>
      </ns0:c>
      <ns0:c r="C449" s="12">
        <ns0:f>A449*('前提と出典'!$C$37+'前提と出典'!$C$38)</ns0:f>
        <ns0:v>267</ns0:v>
      </ns0:c>
      <ns0:c r="D449" s="16">
        <ns0:f>A449*('前提と出典'!$C$36*'契約別単価'!C5+'前提と出典'!$C$37*'契約別単価'!C6+'前提と出典'!$C$38*'契約別単価'!C7)</ns0:f>
        <ns0:v>3202.0111731843576</ns0:v>
      </ns0:c>
      <ns0:c r="E449" s="16">
        <ns0:f>A449*('前提と出典'!$C$36*'契約別単価'!E5+'前提と出典'!$C$37*'契約別単価'!E6+'前提と出典'!$C$38*'契約別単価'!E7)</ns0:f>
        <ns0:v>861050.3722459029</ns0:v>
      </ns0:c>
      <ns0:c r="F449" s="16">
        <ns0:f>A449*('前提と出典'!$C$36*'契約別単価'!F5+'前提と出典'!$C$37*'契約別単価'!F6+'前提と出典'!$C$38*'契約別単価'!F7)</ns0:f>
        <ns0:v>337930.98846828245</ns0:v>
      </ns0:c>
      <ns0:c r="G449" s="16">
        <ns0:f>A449*('前提と出典'!$C$36*'契約別単価'!G5+'前提と出典'!$C$37*'契約別単価'!G6+'前提と出典'!$C$38*'契約別単価'!G7)</ns0:f>
        <ns0:v>885773.7430167597</ns0:v>
      </ns0:c>
      <ns0:c r="H449" s="16">
        <ns0:f>A449*('前提と出典'!$C$36*'契約別単価'!H5+'前提と出典'!$C$37*'契約別単価'!H6+'前提と出典'!$C$38*'契約別単価'!H7)</ns0:f>
        <ns0:v>307407.9138710311</ns0:v>
      </ns0:c>
      <ns0:c r="I449" s="16">
        <ns0:f>A449*('前提と出典'!$C$36*'契約別単価'!I5+'前提と出典'!$C$37*'契約別単価'!I6+'前提と出典'!$C$38*'契約別単価'!I7)</ns0:f>
        <ns0:v>18777.011173184354</ns0:v>
      </ns0:c>
      <ns0:c r="J449" s="16">
        <ns0:f>A449*('前提と出典'!$C$36*'契約別単価'!J5+'前提と出典'!$C$37*'契約別単価'!J6+'前提と出典'!$C$38*'契約別単価'!J7)</ns0:f>
        <ns0:v>43738.84695108464</ns0:v>
      </ns0:c>
      <ns0:c r="K449" s="16">
        <ns0:f>A449*('前提と出典'!$C$36*'契約別単価'!K5+'前提と出典'!$C$37*'契約別単価'!K6+'前提と出典'!$C$38*'契約別単価'!K7)</ns0:f>
        <ns0:v>187480.0744878957</ns0:v>
      </ns0:c>
      <ns0:c r="L449" s="16">
        <ns0:f>A449*('前提と出典'!$C$36*'契約別単価'!L5+'前提と出典'!$C$37*'契約別単価'!L6+'前提と出典'!$C$38*'契約別単価'!L7)</ns0:f>
        <ns0:v>152646.9304623677</ns0:v>
      </ns0:c>
      <ns0:c r="M449" s="16">
        <ns0:f>IF(('前提と出典'!$C$36+'前提と出典'!$C$38)=0,0,IF(B449&lt;=10,'前提と出典'!B73+'前提と出典'!C73,IF(B449&lt;=100,'前提と出典'!B74+'前提と出典'!C74,IF(B449&lt;=500,'前提と出典'!B75+'前提と出典'!C75,'前提と出典'!B76+'前提と出典'!C76))))</ns0:f>
        <ns0:v>40000</ns0:v>
      </ns0:c>
      <ns0:c r="N449" s="16">
        <ns0:f>IF(('前提と出典'!$C$37+'前提と出典'!$C$38)=0,0,IF(C449&lt;=10,'前提と出典'!D73+'前提と出典'!E73,IF(C449&lt;=100,'前提と出典'!D74+'前提と出典'!E74,IF(C449&lt;=500,'前提と出典'!D75+'前提と出典'!E75,'前提と出典'!D76+'前提と出典'!E76))))</ns0:f>
        <ns0:v>56510.9346263078</ns0:v>
      </ns0:c>
      <ns0:c r="O449" s="16">
        <ns0:f>IF('前提と出典'!$C$36+'前提と出典'!$C$38=0,0,'前提と出典'!$B$4*IF('前提と出典'!$B$20=0,MAX('前提と出典'!$B$6,D449*'前提と出典'!$B$5),'前提と出典'!$B$6+D449*'前提と出典'!$B$5))</ns0:f>
        <ns0:v>441877.5418994414</ns0:v>
      </ns0:c>
      <ns0:c r="P449" s="16">
        <ns0:f>(E449+G449)*(1-'前提と出典'!$B$7)-I449-K449-M449-O449</ns0:f>
        <ns0:v>995803.8195526851</ns0:v>
      </ns0:c>
      <ns0:c r="Q449" s="16">
        <ns0:f>(F449+H449)*(1-'前提と出典'!$B$7)-J449-L449-N449</ns0:f>
        <ns0:v>369209.98981533817</ns0:v>
      </ns0:c>
      <ns0:c r="R449" s="16">
        <ns0:f>P449-E449*'前提と出典'!$E$4</ns0:f>
        <ns0:v>737488.7078789143</ns0:v>
      </ns0:c>
      <ns0:c r="S449" s="16">
        <ns0:f>Q449-F449*'前提と出典'!$E$4</ns0:f>
        <ns0:v>267830.6932748534</ns0:v>
      </ns0:c>
      <ns0:c r="T449" s="7">
        <ns0:f>R449+S449</ns0:f>
        <ns0:v>1005319.4011537677</ns0:v>
      </ns0:c>
      <ns0:c r="U449" s="16">
        <ns0:f>P449-E449*'前提と出典'!$E$5</ns0:f>
        <ns0:v>651383.670654324</ns0:v>
      </ns0:c>
      <ns0:c r="V449" s="16">
        <ns0:f>Q449-F449*'前提と出典'!$E$5</ns0:f>
        <ns0:v>234037.5944280252</ns0:v>
      </ns0:c>
      <ns0:c r="W449" s="7">
        <ns0:f>U449+V449</ns0:f>
        <ns0:v>885421.2650823492</ns0:v>
      </ns0:c>
      <ns0:c r="X449" s="16">
        <ns0:f>P449-E449*'前提と出典'!$E$6</ns0:f>
        <ns0:v>565278.6334297337</ns0:v>
      </ns0:c>
      <ns0:c r="Y449" s="16">
        <ns0:f>Q449-F449*'前提と出典'!$E$6</ns0:f>
        <ns0:v>200244.49558119694</ns0:v>
      </ns0:c>
      <ns0:c r="Z449" s="7">
        <ns0:f>X449+Y449</ns0:f>
        <ns0:v>765523.1290109307</ns0:v>
      </ns0:c>
      <ns0:c r="AA449" s="7">
        <ns0:f>IF(T449&gt;=0,A449,1001)</ns0:f>
        <ns0:v>445</ns0:v>
      </ns0:c>
      <ns0:c r="AB449" s="7">
        <ns0:f>IF(T449&lt;0,A449,0)</ns0:f>
        <ns0:v>0</ns0:v>
      </ns0:c>
      <ns0:c r="AC449" s="16">
        <ns0:f>IF(AND(OR('前提と出典'!$C$36+'前提と出典'!$C$38=0,R449&gt;=0),OR('前提と出典'!$C$37+'前提と出典'!$C$38=0,S449&gt;=0)),0,A449)</ns0:f>
        <ns0:v>0</ns0:v>
      </ns0:c>
      <ns0:c r="AD449" s="7">
        <ns0:f>IF(W449&gt;=0,A449,1001)</ns0:f>
        <ns0:v>445</ns0:v>
      </ns0:c>
      <ns0:c r="AE449" s="7">
        <ns0:f>IF(W449&lt;0,A449,0)</ns0:f>
        <ns0:v>0</ns0:v>
      </ns0:c>
      <ns0:c r="AF449" s="16">
        <ns0:f>IF(AND(OR('前提と出典'!$C$36+'前提と出典'!$C$38=0,U449&gt;=0),OR('前提と出典'!$C$37+'前提と出典'!$C$38=0,V449&gt;=0)),0,A449)</ns0:f>
        <ns0:v>0</ns0:v>
      </ns0:c>
      <ns0:c r="AG449" s="7">
        <ns0:f>IF(Z449&gt;=0,A449,1001)</ns0:f>
        <ns0:v>445</ns0:v>
      </ns0:c>
      <ns0:c r="AH449" s="4">
        <ns0:f>IF(Z449&lt;0,A449,0)</ns0:f>
        <ns0:v>0</ns0:v>
      </ns0:c>
      <ns0:c r="AI449" s="12">
        <ns0:f>IF(AND(OR('前提と出典'!$C$36+'前提と出典'!$C$38=0,X449&gt;=0),OR('前提と出典'!$C$37+'前提と出典'!$C$38=0,Y449&gt;=0)),0,A449)</ns0:f>
        <ns0:v>0</ns0:v>
      </ns0:c>
    </ns0:row>
    <ns0:row r="450" ht="24" customHeight="1">
      <ns0:c r="A450" s="4" t="n">
        <ns0:v>446</ns0:v>
      </ns0:c>
      <ns0:c r="B450" s="12">
        <ns0:f>A450*('前提と出典'!$C$36+'前提と出典'!$C$38)</ns0:f>
        <ns0:v>312.2</ns0:v>
      </ns0:c>
      <ns0:c r="C450" s="12">
        <ns0:f>A450*('前提と出典'!$C$37+'前提と出典'!$C$38)</ns0:f>
        <ns0:v>267.59999999999997</ns0:v>
      </ns0:c>
      <ns0:c r="D450" s="16">
        <ns0:f>A450*('前提と出典'!$C$36*'契約別単価'!C5+'前提と出典'!$C$37*'契約別単価'!C6+'前提と出典'!$C$38*'契約別単価'!C7)</ns0:f>
        <ns0:v>3209.2067039106146</ns0:v>
      </ns0:c>
      <ns0:c r="E450" s="16">
        <ns0:f>A450*('前提と出典'!$C$36*'契約別単価'!E5+'前提と出典'!$C$37*'契約別単価'!E6+'前提と出典'!$C$38*'契約別単価'!E7)</ns0:f>
        <ns0:v>862985.3169026353</ns0:v>
      </ns0:c>
      <ns0:c r="F450" s="16">
        <ns0:f>A450*('前提と出典'!$C$36*'契約別単価'!F5+'前提と出典'!$C$37*'契約別単価'!F6+'前提と出典'!$C$38*'契約別単価'!F7)</ns0:f>
        <ns0:v>338690.38394798647</ns0:v>
      </ns0:c>
      <ns0:c r="G450" s="16">
        <ns0:f>A450*('前提と出典'!$C$36*'契約別単価'!G5+'前提と出典'!$C$37*'契約別単価'!G6+'前提と出典'!$C$38*'契約別単価'!G7)</ns0:f>
        <ns0:v>887764.2458100559</ns0:v>
      </ns0:c>
      <ns0:c r="H450" s="16">
        <ns0:f>A450*('前提と出典'!$C$36*'契約別単価'!H5+'前提と出典'!$C$37*'契約別単価'!H6+'前提と出典'!$C$38*'契約別単価'!H7)</ns0:f>
        <ns0:v>308098.71817186486</ns0:v>
      </ns0:c>
      <ns0:c r="I450" s="16">
        <ns0:f>A450*('前提と出典'!$C$36*'契約別単価'!I5+'前提と出典'!$C$37*'契約別単価'!I6+'前提と出典'!$C$38*'契約別単価'!I7)</ns0:f>
        <ns0:v>18819.20670391061</ns0:v>
      </ns0:c>
      <ns0:c r="J450" s="16">
        <ns0:f>A450*('前提と出典'!$C$36*'契約別単価'!J5+'前提と出典'!$C$37*'契約別単価'!J6+'前提と出典'!$C$38*'契約別単価'!J7)</ns0:f>
        <ns0:v>43837.13649479495</ns0:v>
      </ns0:c>
      <ns0:c r="K450" s="16">
        <ns0:f>A450*('前提と出典'!$C$36*'契約別単価'!K5+'前提と出典'!$C$37*'契約別単価'!K6+'前提と出典'!$C$38*'契約別単価'!K7)</ns0:f>
        <ns0:v>187901.37802607074</ns0:v>
      </ns0:c>
      <ns0:c r="L450" s="16">
        <ns0:f>A450*('前提と出典'!$C$36*'契約別単価'!L5+'前提と出典'!$C$37*'契約別単価'!L6+'前提と出典'!$C$38*'契約別単価'!L7)</ns0:f>
        <ns0:v>152989.9572723955</ns0:v>
      </ns0:c>
      <ns0:c r="M450" s="16">
        <ns0:f>IF(('前提と出典'!$C$36+'前提と出典'!$C$38)=0,0,IF(B450&lt;=10,'前提と出典'!B73+'前提と出典'!C73,IF(B450&lt;=100,'前提と出典'!B74+'前提と出典'!C74,IF(B450&lt;=500,'前提と出典'!B75+'前提と出典'!C75,'前提と出典'!B76+'前提と出典'!C76))))</ns0:f>
        <ns0:v>40000</ns0:v>
      </ns0:c>
      <ns0:c r="N450" s="16">
        <ns0:f>IF(('前提と出典'!$C$37+'前提と出典'!$C$38)=0,0,IF(C450&lt;=10,'前提と出典'!D73+'前提と出典'!E73,IF(C450&lt;=100,'前提と出典'!D74+'前提と出典'!E74,IF(C450&lt;=500,'前提と出典'!D75+'前提と出典'!E75,'前提と出典'!D76+'前提と出典'!E76))))</ns0:f>
        <ns0:v>56510.9346263078</ns0:v>
      </ns0:c>
      <ns0:c r="O450" s="16">
        <ns0:f>IF('前提と出典'!$C$36+'前提と出典'!$C$38=0,0,'前提と出典'!$B$4*IF('前提と出典'!$B$20=0,MAX('前提と出典'!$B$6,D450*'前提と出典'!$B$5),'前提と出典'!$B$6+D450*'前提と出典'!$B$5))</ns0:f>
        <ns0:v>442870.5251396648</ns0:v>
      </ns0:c>
      <ns0:c r="P450" s="16">
        <ns0:f>(E450+G450)*(1-'前提と出典'!$B$7)-I450-K450-M450-O450</ns0:f>
        <ns0:v>998131.4685853883</ns0:v>
      </ns0:c>
      <ns0:c r="Q450" s="16">
        <ns0:f>(F450+H450)*(1-'前提と出典'!$B$7)-J450-L450-N450</ns0:f>
        <ns0:v>370166.66605003853</ns0:v>
      </ns0:c>
      <ns0:c r="R450" s="16">
        <ns0:f>P450-E450*'前提と出典'!$E$4</ns0:f>
        <ns0:v>739235.8735145978</ns0:v>
      </ns0:c>
      <ns0:c r="S450" s="16">
        <ns0:f>Q450-F450*'前提と出典'!$E$4</ns0:f>
        <ns0:v>268559.5508656426</ns0:v>
      </ns0:c>
      <ns0:c r="T450" s="7">
        <ns0:f>R450+S450</ns0:f>
        <ns0:v>1007795.4243802404</ns0:v>
      </ns0:c>
      <ns0:c r="U450" s="16">
        <ns0:f>P450-E450*'前提と出典'!$E$5</ns0:f>
        <ns0:v>652937.3418243341</ns0:v>
      </ns0:c>
      <ns0:c r="V450" s="16">
        <ns0:f>Q450-F450*'前提と出典'!$E$5</ns0:f>
        <ns0:v>234690.51247084397</ns0:v>
      </ns0:c>
      <ns0:c r="W450" s="7">
        <ns0:f>U450+V450</ns0:f>
        <ns0:v>887627.8542951781</ns0:v>
      </ns0:c>
      <ns0:c r="X450" s="16">
        <ns0:f>P450-E450*'前提と出典'!$E$6</ns0:f>
        <ns0:v>566638.8101340707</ns0:v>
      </ns0:c>
      <ns0:c r="Y450" s="16">
        <ns0:f>Q450-F450*'前提と出典'!$E$6</ns0:f>
        <ns0:v>200821.47407604533</ns0:v>
      </ns0:c>
      <ns0:c r="Z450" s="7">
        <ns0:f>X450+Y450</ns0:f>
        <ns0:v>767460.284210116</ns0:v>
      </ns0:c>
      <ns0:c r="AA450" s="7">
        <ns0:f>IF(T450&gt;=0,A450,1001)</ns0:f>
        <ns0:v>446</ns0:v>
      </ns0:c>
      <ns0:c r="AB450" s="7">
        <ns0:f>IF(T450&lt;0,A450,0)</ns0:f>
        <ns0:v>0</ns0:v>
      </ns0:c>
      <ns0:c r="AC450" s="16">
        <ns0:f>IF(AND(OR('前提と出典'!$C$36+'前提と出典'!$C$38=0,R450&gt;=0),OR('前提と出典'!$C$37+'前提と出典'!$C$38=0,S450&gt;=0)),0,A450)</ns0:f>
        <ns0:v>0</ns0:v>
      </ns0:c>
      <ns0:c r="AD450" s="7">
        <ns0:f>IF(W450&gt;=0,A450,1001)</ns0:f>
        <ns0:v>446</ns0:v>
      </ns0:c>
      <ns0:c r="AE450" s="7">
        <ns0:f>IF(W450&lt;0,A450,0)</ns0:f>
        <ns0:v>0</ns0:v>
      </ns0:c>
      <ns0:c r="AF450" s="16">
        <ns0:f>IF(AND(OR('前提と出典'!$C$36+'前提と出典'!$C$38=0,U450&gt;=0),OR('前提と出典'!$C$37+'前提と出典'!$C$38=0,V450&gt;=0)),0,A450)</ns0:f>
        <ns0:v>0</ns0:v>
      </ns0:c>
      <ns0:c r="AG450" s="7">
        <ns0:f>IF(Z450&gt;=0,A450,1001)</ns0:f>
        <ns0:v>446</ns0:v>
      </ns0:c>
      <ns0:c r="AH450" s="4">
        <ns0:f>IF(Z450&lt;0,A450,0)</ns0:f>
        <ns0:v>0</ns0:v>
      </ns0:c>
      <ns0:c r="AI450" s="12">
        <ns0:f>IF(AND(OR('前提と出典'!$C$36+'前提と出典'!$C$38=0,X450&gt;=0),OR('前提と出典'!$C$37+'前提と出典'!$C$38=0,Y450&gt;=0)),0,A450)</ns0:f>
        <ns0:v>0</ns0:v>
      </ns0:c>
    </ns0:row>
    <ns0:row r="451" ht="24" customHeight="1">
      <ns0:c r="A451" s="4" t="n">
        <ns0:v>447</ns0:v>
      </ns0:c>
      <ns0:c r="B451" s="12">
        <ns0:f>A451*('前提と出典'!$C$36+'前提と出典'!$C$38)</ns0:f>
        <ns0:v>312.9</ns0:v>
      </ns0:c>
      <ns0:c r="C451" s="12">
        <ns0:f>A451*('前提と出典'!$C$37+'前提と出典'!$C$38)</ns0:f>
        <ns0:v>268.2</ns0:v>
      </ns0:c>
      <ns0:c r="D451" s="16">
        <ns0:f>A451*('前提と出典'!$C$36*'契約別単価'!C5+'前提と出典'!$C$37*'契約別単価'!C6+'前提と出典'!$C$38*'契約別単価'!C7)</ns0:f>
        <ns0:v>3216.4022346368715</ns0:v>
      </ns0:c>
      <ns0:c r="E451" s="16">
        <ns0:f>A451*('前提と出典'!$C$36*'契約別単価'!E5+'前提と出典'!$C$37*'契約別単価'!E6+'前提と出典'!$C$38*'契約別単価'!E7)</ns0:f>
        <ns0:v>864920.2615593675</ns0:v>
      </ns0:c>
      <ns0:c r="F451" s="16">
        <ns0:f>A451*('前提と出典'!$C$36*'契約別単価'!F5+'前提と出典'!$C$37*'契約別単価'!F6+'前提と出典'!$C$38*'契約別単価'!F7)</ns0:f>
        <ns0:v>339449.7794276905</ns0:v>
      </ns0:c>
      <ns0:c r="G451" s="16">
        <ns0:f>A451*('前提と出典'!$C$36*'契約別単価'!G5+'前提と出典'!$C$37*'契約別単価'!G6+'前提と出典'!$C$38*'契約別単価'!G7)</ns0:f>
        <ns0:v>889754.7486033519</ns0:v>
      </ns0:c>
      <ns0:c r="H451" s="16">
        <ns0:f>A451*('前提と出典'!$C$36*'契約別単価'!H5+'前提と出典'!$C$37*'契約別単価'!H6+'前提と出典'!$C$38*'契約別単価'!H7)</ns0:f>
        <ns0:v>308789.52247269865</ns0:v>
      </ns0:c>
      <ns0:c r="I451" s="16">
        <ns0:f>A451*('前提と出典'!$C$36*'契約別単価'!I5+'前提と出典'!$C$37*'契約別単価'!I6+'前提と出典'!$C$38*'契約別単価'!I7)</ns0:f>
        <ns0:v>18861.40223463687</ns0:v>
      </ns0:c>
      <ns0:c r="J451" s="16">
        <ns0:f>A451*('前提と出典'!$C$36*'契約別単価'!J5+'前提と出典'!$C$37*'契約別単価'!J6+'前提と出典'!$C$38*'契約別単価'!J7)</ns0:f>
        <ns0:v>43935.42603850525</ns0:v>
      </ns0:c>
      <ns0:c r="K451" s="16">
        <ns0:f>A451*('前提と出典'!$C$36*'契約別単価'!K5+'前提と出典'!$C$37*'契約別単価'!K6+'前提と出典'!$C$38*'契約別単価'!K7)</ns0:f>
        <ns0:v>188322.6815642458</ns0:v>
      </ns0:c>
      <ns0:c r="L451" s="16">
        <ns0:f>A451*('前提と出典'!$C$36*'契約別単価'!L5+'前提と出典'!$C$37*'契約別単価'!L6+'前提と出典'!$C$38*'契約別単価'!L7)</ns0:f>
        <ns0:v>153332.9840824233</ns0:v>
      </ns0:c>
      <ns0:c r="M451" s="16">
        <ns0:f>IF(('前提と出典'!$C$36+'前提と出典'!$C$38)=0,0,IF(B451&lt;=10,'前提と出典'!B73+'前提と出典'!C73,IF(B451&lt;=100,'前提と出典'!B74+'前提と出典'!C74,IF(B451&lt;=500,'前提と出典'!B75+'前提と出典'!C75,'前提と出典'!B76+'前提と出典'!C76))))</ns0:f>
        <ns0:v>40000</ns0:v>
      </ns0:c>
      <ns0:c r="N451" s="16">
        <ns0:f>IF(('前提と出典'!$C$37+'前提と出典'!$C$38)=0,0,IF(C451&lt;=10,'前提と出典'!D73+'前提と出典'!E73,IF(C451&lt;=100,'前提と出典'!D74+'前提と出典'!E74,IF(C451&lt;=500,'前提と出典'!D75+'前提と出典'!E75,'前提と出典'!D76+'前提と出典'!E76))))</ns0:f>
        <ns0:v>56510.9346263078</ns0:v>
      </ns0:c>
      <ns0:c r="O451" s="16">
        <ns0:f>IF('前提と出典'!$C$36+'前提と出典'!$C$38=0,0,'前提と出典'!$B$4*IF('前提と出典'!$B$20=0,MAX('前提と出典'!$B$6,D451*'前提と出典'!$B$5),'前提と出典'!$B$6+D451*'前提と出典'!$B$5))</ns0:f>
        <ns0:v>443863.50837988826</ns0:v>
      </ns0:c>
      <ns0:c r="P451" s="16">
        <ns0:f>(E451+G451)*(1-'前提と出典'!$B$7)-I451-K451-M451-O451</ns0:f>
        <ns0:v>1000459.1176180907</ns0:v>
      </ns0:c>
      <ns0:c r="Q451" s="16">
        <ns0:f>(F451+H451)*(1-'前提と出典'!$B$7)-J451-L451-N451</ns0:f>
        <ns0:v>371123.34228473884</ns0:v>
      </ns0:c>
      <ns0:c r="R451" s="16">
        <ns0:f>P451-E451*'前提と出典'!$E$4</ns0:f>
        <ns0:v>740983.0391502802</ns0:v>
      </ns0:c>
      <ns0:c r="S451" s="16">
        <ns0:f>Q451-F451*'前提と出典'!$E$4</ns0:f>
        <ns0:v>269288.4084564317</ns0:v>
      </ns0:c>
      <ns0:c r="T451" s="7">
        <ns0:f>R451+S451</ns0:f>
        <ns0:v>1010271.4476067119</ns0:v>
      </ns0:c>
      <ns0:c r="U451" s="16">
        <ns0:f>P451-E451*'前提と出典'!$E$5</ns0:f>
        <ns0:v>654491.0129943436</ns0:v>
      </ns0:c>
      <ns0:c r="V451" s="16">
        <ns0:f>Q451-F451*'前提と出典'!$E$5</ns0:f>
        <ns0:v>235343.43051366264</ns0:v>
      </ns0:c>
      <ns0:c r="W451" s="7">
        <ns0:f>U451+V451</ns0:f>
        <ns0:v>889834.4435080063</ns0:v>
      </ns0:c>
      <ns0:c r="X451" s="16">
        <ns0:f>P451-E451*'前提と出典'!$E$6</ns0:f>
        <ns0:v>567998.9868384067</ns0:v>
      </ns0:c>
      <ns0:c r="Y451" s="16">
        <ns0:f>Q451-F451*'前提と出典'!$E$6</ns0:f>
        <ns0:v>201398.45257089354</ns0:v>
      </ns0:c>
      <ns0:c r="Z451" s="7">
        <ns0:f>X451+Y451</ns0:f>
        <ns0:v>769397.4394093002</ns0:v>
      </ns0:c>
      <ns0:c r="AA451" s="7">
        <ns0:f>IF(T451&gt;=0,A451,1001)</ns0:f>
        <ns0:v>447</ns0:v>
      </ns0:c>
      <ns0:c r="AB451" s="7">
        <ns0:f>IF(T451&lt;0,A451,0)</ns0:f>
        <ns0:v>0</ns0:v>
      </ns0:c>
      <ns0:c r="AC451" s="16">
        <ns0:f>IF(AND(OR('前提と出典'!$C$36+'前提と出典'!$C$38=0,R451&gt;=0),OR('前提と出典'!$C$37+'前提と出典'!$C$38=0,S451&gt;=0)),0,A451)</ns0:f>
        <ns0:v>0</ns0:v>
      </ns0:c>
      <ns0:c r="AD451" s="7">
        <ns0:f>IF(W451&gt;=0,A451,1001)</ns0:f>
        <ns0:v>447</ns0:v>
      </ns0:c>
      <ns0:c r="AE451" s="7">
        <ns0:f>IF(W451&lt;0,A451,0)</ns0:f>
        <ns0:v>0</ns0:v>
      </ns0:c>
      <ns0:c r="AF451" s="16">
        <ns0:f>IF(AND(OR('前提と出典'!$C$36+'前提と出典'!$C$38=0,U451&gt;=0),OR('前提と出典'!$C$37+'前提と出典'!$C$38=0,V451&gt;=0)),0,A451)</ns0:f>
        <ns0:v>0</ns0:v>
      </ns0:c>
      <ns0:c r="AG451" s="7">
        <ns0:f>IF(Z451&gt;=0,A451,1001)</ns0:f>
        <ns0:v>447</ns0:v>
      </ns0:c>
      <ns0:c r="AH451" s="4">
        <ns0:f>IF(Z451&lt;0,A451,0)</ns0:f>
        <ns0:v>0</ns0:v>
      </ns0:c>
      <ns0:c r="AI451" s="12">
        <ns0:f>IF(AND(OR('前提と出典'!$C$36+'前提と出典'!$C$38=0,X451&gt;=0),OR('前提と出典'!$C$37+'前提と出典'!$C$38=0,Y451&gt;=0)),0,A451)</ns0:f>
        <ns0:v>0</ns0:v>
      </ns0:c>
    </ns0:row>
    <ns0:row r="452" ht="24" customHeight="1">
      <ns0:c r="A452" s="4" t="n">
        <ns0:v>448</ns0:v>
      </ns0:c>
      <ns0:c r="B452" s="12">
        <ns0:f>A452*('前提と出典'!$C$36+'前提と出典'!$C$38)</ns0:f>
        <ns0:v>313.59999999999997</ns0:v>
      </ns0:c>
      <ns0:c r="C452" s="12">
        <ns0:f>A452*('前提と出典'!$C$37+'前提と出典'!$C$38)</ns0:f>
        <ns0:v>268.8</ns0:v>
      </ns0:c>
      <ns0:c r="D452" s="16">
        <ns0:f>A452*('前提と出典'!$C$36*'契約別単価'!C5+'前提と出典'!$C$37*'契約別単価'!C6+'前提と出典'!$C$38*'契約別単価'!C7)</ns0:f>
        <ns0:v>3223.5977653631285</ns0:v>
      </ns0:c>
      <ns0:c r="E452" s="16">
        <ns0:f>A452*('前提と出典'!$C$36*'契約別単価'!E5+'前提と出典'!$C$37*'契約別単価'!E6+'前提と出典'!$C$38*'契約別単価'!E7)</ns0:f>
        <ns0:v>866855.2062160999</ns0:v>
      </ns0:c>
      <ns0:c r="F452" s="16">
        <ns0:f>A452*('前提と出典'!$C$36*'契約別単価'!F5+'前提と出典'!$C$37*'契約別単価'!F6+'前提と出典'!$C$38*'契約別単価'!F7)</ns0:f>
        <ns0:v>340209.17490739445</ns0:v>
      </ns0:c>
      <ns0:c r="G452" s="16">
        <ns0:f>A452*('前提と出典'!$C$36*'契約別単価'!G5+'前提と出典'!$C$37*'契約別単価'!G6+'前提と出典'!$C$38*'契約別単価'!G7)</ns0:f>
        <ns0:v>891745.251396648</ns0:v>
      </ns0:c>
      <ns0:c r="H452" s="16">
        <ns0:f>A452*('前提と出典'!$C$36*'契約別単価'!H5+'前提と出典'!$C$37*'契約別単価'!H6+'前提と出典'!$C$38*'契約別単価'!H7)</ns0:f>
        <ns0:v>309480.32677353243</ns0:v>
      </ns0:c>
      <ns0:c r="I452" s="16">
        <ns0:f>A452*('前提と出典'!$C$36*'契約別単価'!I5+'前提と出典'!$C$37*'契約別単価'!I6+'前提と出典'!$C$38*'契約別単価'!I7)</ns0:f>
        <ns0:v>18903.597765363127</ns0:v>
      </ns0:c>
      <ns0:c r="J452" s="16">
        <ns0:f>A452*('前提と出典'!$C$36*'契約別単価'!J5+'前提と出典'!$C$37*'契約別単価'!J6+'前提と出典'!$C$38*'契約別単価'!J7)</ns0:f>
        <ns0:v>44033.71558221555</ns0:v>
      </ns0:c>
      <ns0:c r="K452" s="16">
        <ns0:f>A452*('前提と出典'!$C$36*'契約別単価'!K5+'前提と出典'!$C$37*'契約別単価'!K6+'前提と出典'!$C$38*'契約別単価'!K7)</ns0:f>
        <ns0:v>188743.98510242085</ns0:v>
      </ns0:c>
      <ns0:c r="L452" s="16">
        <ns0:f>A452*('前提と出典'!$C$36*'契約別単価'!L5+'前提と出典'!$C$37*'契約別単価'!L6+'前提と出典'!$C$38*'契約別単価'!L7)</ns0:f>
        <ns0:v>153676.01089245107</ns0:v>
      </ns0:c>
      <ns0:c r="M452" s="16">
        <ns0:f>IF(('前提と出典'!$C$36+'前提と出典'!$C$38)=0,0,IF(B452&lt;=10,'前提と出典'!B73+'前提と出典'!C73,IF(B452&lt;=100,'前提と出典'!B74+'前提と出典'!C74,IF(B452&lt;=500,'前提と出典'!B75+'前提と出典'!C75,'前提と出典'!B76+'前提と出典'!C76))))</ns0:f>
        <ns0:v>40000</ns0:v>
      </ns0:c>
      <ns0:c r="N452" s="16">
        <ns0:f>IF(('前提と出典'!$C$37+'前提と出典'!$C$38)=0,0,IF(C452&lt;=10,'前提と出典'!D73+'前提と出典'!E73,IF(C452&lt;=100,'前提と出典'!D74+'前提と出典'!E74,IF(C452&lt;=500,'前提と出典'!D75+'前提と出典'!E75,'前提と出典'!D76+'前提と出典'!E76))))</ns0:f>
        <ns0:v>56510.9346263078</ns0:v>
      </ns0:c>
      <ns0:c r="O452" s="16">
        <ns0:f>IF('前提と出典'!$C$36+'前提と出典'!$C$38=0,0,'前提と出典'!$B$4*IF('前提と出典'!$B$20=0,MAX('前提と出典'!$B$6,D452*'前提と出典'!$B$5),'前提と出典'!$B$6+D452*'前提と出典'!$B$5))</ns0:f>
        <ns0:v>444856.49162011174</ns0:v>
      </ns0:c>
      <ns0:c r="P452" s="16">
        <ns0:f>(E452+G452)*(1-'前提と出典'!$B$7)-I452-K452-M452-O452</ns0:f>
        <ns0:v>1002786.7666507931</ns0:v>
      </ns0:c>
      <ns0:c r="Q452" s="16">
        <ns0:f>(F452+H452)*(1-'前提と出典'!$B$7)-J452-L452-N452</ns0:f>
        <ns0:v>372080.0185194391</ns0:v>
      </ns0:c>
      <ns0:c r="R452" s="16">
        <ns0:f>P452-E452*'前提と出典'!$E$4</ns0:f>
        <ns0:v>742730.204785963</ns0:v>
      </ns0:c>
      <ns0:c r="S452" s="16">
        <ns0:f>Q452-F452*'前提と出典'!$E$4</ns0:f>
        <ns0:v>270017.2660472208</ns0:v>
      </ns0:c>
      <ns0:c r="T452" s="7">
        <ns0:f>R452+S452</ns0:f>
        <ns0:v>1012747.4708331838</ns0:v>
      </ns0:c>
      <ns0:c r="U452" s="16">
        <ns0:f>P452-E452*'前提と出典'!$E$5</ns0:f>
        <ns0:v>656044.6841643532</ns0:v>
      </ns0:c>
      <ns0:c r="V452" s="16">
        <ns0:f>Q452-F452*'前提と出典'!$E$5</ns0:f>
        <ns0:v>235996.3485564813</ns0:v>
      </ns0:c>
      <ns0:c r="W452" s="7">
        <ns0:f>U452+V452</ns0:f>
        <ns0:v>892041.0327208345</ns0:v>
      </ns0:c>
      <ns0:c r="X452" s="16">
        <ns0:f>P452-E452*'前提と出典'!$E$6</ns0:f>
        <ns0:v>569359.1635427433</ns0:v>
      </ns0:c>
      <ns0:c r="Y452" s="16">
        <ns0:f>Q452-F452*'前提と出典'!$E$6</ns0:f>
        <ns0:v>201975.4310657419</ns0:v>
      </ns0:c>
      <ns0:c r="Z452" s="7">
        <ns0:f>X452+Y452</ns0:f>
        <ns0:v>771334.5946084852</ns0:v>
      </ns0:c>
      <ns0:c r="AA452" s="7">
        <ns0:f>IF(T452&gt;=0,A452,1001)</ns0:f>
        <ns0:v>448</ns0:v>
      </ns0:c>
      <ns0:c r="AB452" s="7">
        <ns0:f>IF(T452&lt;0,A452,0)</ns0:f>
        <ns0:v>0</ns0:v>
      </ns0:c>
      <ns0:c r="AC452" s="16">
        <ns0:f>IF(AND(OR('前提と出典'!$C$36+'前提と出典'!$C$38=0,R452&gt;=0),OR('前提と出典'!$C$37+'前提と出典'!$C$38=0,S452&gt;=0)),0,A452)</ns0:f>
        <ns0:v>0</ns0:v>
      </ns0:c>
      <ns0:c r="AD452" s="7">
        <ns0:f>IF(W452&gt;=0,A452,1001)</ns0:f>
        <ns0:v>448</ns0:v>
      </ns0:c>
      <ns0:c r="AE452" s="7">
        <ns0:f>IF(W452&lt;0,A452,0)</ns0:f>
        <ns0:v>0</ns0:v>
      </ns0:c>
      <ns0:c r="AF452" s="16">
        <ns0:f>IF(AND(OR('前提と出典'!$C$36+'前提と出典'!$C$38=0,U452&gt;=0),OR('前提と出典'!$C$37+'前提と出典'!$C$38=0,V452&gt;=0)),0,A452)</ns0:f>
        <ns0:v>0</ns0:v>
      </ns0:c>
      <ns0:c r="AG452" s="7">
        <ns0:f>IF(Z452&gt;=0,A452,1001)</ns0:f>
        <ns0:v>448</ns0:v>
      </ns0:c>
      <ns0:c r="AH452" s="4">
        <ns0:f>IF(Z452&lt;0,A452,0)</ns0:f>
        <ns0:v>0</ns0:v>
      </ns0:c>
      <ns0:c r="AI452" s="12">
        <ns0:f>IF(AND(OR('前提と出典'!$C$36+'前提と出典'!$C$38=0,X452&gt;=0),OR('前提と出典'!$C$37+'前提と出典'!$C$38=0,Y452&gt;=0)),0,A452)</ns0:f>
        <ns0:v>0</ns0:v>
      </ns0:c>
    </ns0:row>
    <ns0:row r="453" ht="24" customHeight="1">
      <ns0:c r="A453" s="4" t="n">
        <ns0:v>449</ns0:v>
      </ns0:c>
      <ns0:c r="B453" s="12">
        <ns0:f>A453*('前提と出典'!$C$36+'前提と出典'!$C$38)</ns0:f>
        <ns0:v>314.29999999999995</ns0:v>
      </ns0:c>
      <ns0:c r="C453" s="12">
        <ns0:f>A453*('前提と出典'!$C$37+'前提と出典'!$C$38)</ns0:f>
        <ns0:v>269.4</ns0:v>
      </ns0:c>
      <ns0:c r="D453" s="16">
        <ns0:f>A453*('前提と出典'!$C$36*'契約別単価'!C5+'前提と出典'!$C$37*'契約別単価'!C6+'前提と出典'!$C$38*'契約別単価'!C7)</ns0:f>
        <ns0:v>3230.7932960893854</ns0:v>
      </ns0:c>
      <ns0:c r="E453" s="16">
        <ns0:f>A453*('前提と出典'!$C$36*'契約別単価'!E5+'前提と出典'!$C$37*'契約別単価'!E6+'前提と出典'!$C$38*'契約別単価'!E7)</ns0:f>
        <ns0:v>868790.1508728323</ns0:v>
      </ns0:c>
      <ns0:c r="F453" s="16">
        <ns0:f>A453*('前提と出典'!$C$36*'契約別単価'!F5+'前提と出典'!$C$37*'契約別単価'!F6+'前提と出典'!$C$38*'契約別単価'!F7)</ns0:f>
        <ns0:v>340968.5703870985</ns0:v>
      </ns0:c>
      <ns0:c r="G453" s="16">
        <ns0:f>A453*('前提と出典'!$C$36*'契約別単価'!G5+'前提と出典'!$C$37*'契約別単価'!G6+'前提と出典'!$C$38*'契約別単価'!G7)</ns0:f>
        <ns0:v>893735.7541899441</ns0:v>
      </ns0:c>
      <ns0:c r="H453" s="16">
        <ns0:f>A453*('前提と出典'!$C$36*'契約別単価'!H5+'前提と出典'!$C$37*'契約別単価'!H6+'前提と出典'!$C$38*'契約別単価'!H7)</ns0:f>
        <ns0:v>310171.13107436616</ns0:v>
      </ns0:c>
      <ns0:c r="I453" s="16">
        <ns0:f>A453*('前提と出典'!$C$36*'契約別単価'!I5+'前提と出典'!$C$37*'契約別単価'!I6+'前提と出典'!$C$38*'契約別単価'!I7)</ns0:f>
        <ns0:v>18945.79329608938</ns0:v>
      </ns0:c>
      <ns0:c r="J453" s="16">
        <ns0:f>A453*('前提と出典'!$C$36*'契約別単価'!J5+'前提と出典'!$C$37*'契約別単価'!J6+'前提と出典'!$C$38*'契約別単価'!J7)</ns0:f>
        <ns0:v>44132.005125925854</ns0:v>
      </ns0:c>
      <ns0:c r="K453" s="16">
        <ns0:f>A453*('前提と出典'!$C$36*'契約別単価'!K5+'前提と出典'!$C$37*'契約別単価'!K6+'前提と出典'!$C$38*'契約別単価'!K7)</ns0:f>
        <ns0:v>189165.28864059589</ns0:v>
      </ns0:c>
      <ns0:c r="L453" s="16">
        <ns0:f>A453*('前提と出典'!$C$36*'契約別単価'!L5+'前提と出典'!$C$37*'契約別単価'!L6+'前提と出典'!$C$38*'契約別単価'!L7)</ns0:f>
        <ns0:v>154019.03770247888</ns0:v>
      </ns0:c>
      <ns0:c r="M453" s="16">
        <ns0:f>IF(('前提と出典'!$C$36+'前提と出典'!$C$38)=0,0,IF(B453&lt;=10,'前提と出典'!B73+'前提と出典'!C73,IF(B453&lt;=100,'前提と出典'!B74+'前提と出典'!C74,IF(B453&lt;=500,'前提と出典'!B75+'前提と出典'!C75,'前提と出典'!B76+'前提と出典'!C76))))</ns0:f>
        <ns0:v>40000</ns0:v>
      </ns0:c>
      <ns0:c r="N453" s="16">
        <ns0:f>IF(('前提と出典'!$C$37+'前提と出典'!$C$38)=0,0,IF(C453&lt;=10,'前提と出典'!D73+'前提と出典'!E73,IF(C453&lt;=100,'前提と出典'!D74+'前提と出典'!E74,IF(C453&lt;=500,'前提と出典'!D75+'前提と出典'!E75,'前提と出典'!D76+'前提と出典'!E76))))</ns0:f>
        <ns0:v>56510.9346263078</ns0:v>
      </ns0:c>
      <ns0:c r="O453" s="16">
        <ns0:f>IF('前提と出典'!$C$36+'前提と出典'!$C$38=0,0,'前提と出典'!$B$4*IF('前提と出典'!$B$20=0,MAX('前提と出典'!$B$6,D453*'前提と出典'!$B$5),'前提と出典'!$B$6+D453*'前提と出典'!$B$5))</ns0:f>
        <ns0:v>445849.47486033523</ns0:v>
      </ns0:c>
      <ns0:c r="P453" s="16">
        <ns0:f>(E453+G453)*(1-'前提と出典'!$B$7)-I453-K453-M453-O453</ns0:f>
        <ns0:v>1005114.415683496</ns0:v>
      </ns0:c>
      <ns0:c r="Q453" s="16">
        <ns0:f>(F453+H453)*(1-'前提と出典'!$B$7)-J453-L453-N453</ns0:f>
        <ns0:v>373036.6947541393</ns0:v>
      </ns0:c>
      <ns0:c r="R453" s="16">
        <ns0:f>P453-E453*'前提と出典'!$E$4</ns0:f>
        <ns0:v>744477.3704216464</ns0:v>
      </ns0:c>
      <ns0:c r="S453" s="16">
        <ns0:f>Q453-F453*'前提と出典'!$E$4</ns0:f>
        <ns0:v>270746.1236380098</ns0:v>
      </ns0:c>
      <ns0:c r="T453" s="7">
        <ns0:f>R453+S453</ns0:f>
        <ns0:v>1015223.4940596563</ns0:v>
      </ns0:c>
      <ns0:c r="U453" s="16">
        <ns0:f>P453-E453*'前提と出典'!$E$5</ns0:f>
        <ns0:v>657598.3553343632</ns0:v>
      </ns0:c>
      <ns0:c r="V453" s="16">
        <ns0:f>Q453-F453*'前提と出典'!$E$5</ns0:f>
        <ns0:v>236649.2665992999</ns0:v>
      </ns0:c>
      <ns0:c r="W453" s="7">
        <ns0:f>U453+V453</ns0:f>
        <ns0:v>894247.621933663</ns0:v>
      </ns0:c>
      <ns0:c r="X453" s="16">
        <ns0:f>P453-E453*'前提と出典'!$E$6</ns0:f>
        <ns0:v>570719.34024708</ns0:v>
      </ns0:c>
      <ns0:c r="Y453" s="16">
        <ns0:f>Q453-F453*'前提と出典'!$E$6</ns0:f>
        <ns0:v>202552.4095605901</ns0:v>
      </ns0:c>
      <ns0:c r="Z453" s="7">
        <ns0:f>X453+Y453</ns0:f>
        <ns0:v>773271.74980767</ns0:v>
      </ns0:c>
      <ns0:c r="AA453" s="7">
        <ns0:f>IF(T453&gt;=0,A453,1001)</ns0:f>
        <ns0:v>449</ns0:v>
      </ns0:c>
      <ns0:c r="AB453" s="7">
        <ns0:f>IF(T453&lt;0,A453,0)</ns0:f>
        <ns0:v>0</ns0:v>
      </ns0:c>
      <ns0:c r="AC453" s="16">
        <ns0:f>IF(AND(OR('前提と出典'!$C$36+'前提と出典'!$C$38=0,R453&gt;=0),OR('前提と出典'!$C$37+'前提と出典'!$C$38=0,S453&gt;=0)),0,A453)</ns0:f>
        <ns0:v>0</ns0:v>
      </ns0:c>
      <ns0:c r="AD453" s="7">
        <ns0:f>IF(W453&gt;=0,A453,1001)</ns0:f>
        <ns0:v>449</ns0:v>
      </ns0:c>
      <ns0:c r="AE453" s="7">
        <ns0:f>IF(W453&lt;0,A453,0)</ns0:f>
        <ns0:v>0</ns0:v>
      </ns0:c>
      <ns0:c r="AF453" s="16">
        <ns0:f>IF(AND(OR('前提と出典'!$C$36+'前提と出典'!$C$38=0,U453&gt;=0),OR('前提と出典'!$C$37+'前提と出典'!$C$38=0,V453&gt;=0)),0,A453)</ns0:f>
        <ns0:v>0</ns0:v>
      </ns0:c>
      <ns0:c r="AG453" s="7">
        <ns0:f>IF(Z453&gt;=0,A453,1001)</ns0:f>
        <ns0:v>449</ns0:v>
      </ns0:c>
      <ns0:c r="AH453" s="4">
        <ns0:f>IF(Z453&lt;0,A453,0)</ns0:f>
        <ns0:v>0</ns0:v>
      </ns0:c>
      <ns0:c r="AI453" s="12">
        <ns0:f>IF(AND(OR('前提と出典'!$C$36+'前提と出典'!$C$38=0,X453&gt;=0),OR('前提と出典'!$C$37+'前提と出典'!$C$38=0,Y453&gt;=0)),0,A453)</ns0:f>
        <ns0:v>0</ns0:v>
      </ns0:c>
    </ns0:row>
    <ns0:row r="454" ht="24" customHeight="1">
      <ns0:c r="A454" s="4" t="n">
        <ns0:v>450</ns0:v>
      </ns0:c>
      <ns0:c r="B454" s="12">
        <ns0:f>A454*('前提と出典'!$C$36+'前提と出典'!$C$38)</ns0:f>
        <ns0:v>315</ns0:v>
      </ns0:c>
      <ns0:c r="C454" s="12">
        <ns0:f>A454*('前提と出典'!$C$37+'前提と出典'!$C$38)</ns0:f>
        <ns0:v>270</ns0:v>
      </ns0:c>
      <ns0:c r="D454" s="16">
        <ns0:f>A454*('前提と出典'!$C$36*'契約別単価'!C5+'前提と出典'!$C$37*'契約別単価'!C6+'前提と出典'!$C$38*'契約別単価'!C7)</ns0:f>
        <ns0:v>3237.9888268156424</ns0:v>
      </ns0:c>
      <ns0:c r="E454" s="16">
        <ns0:f>A454*('前提と出典'!$C$36*'契約別単価'!E5+'前提と出典'!$C$37*'契約別単価'!E6+'前提と出典'!$C$38*'契約別単価'!E7)</ns0:f>
        <ns0:v>870725.0955295647</ns0:v>
      </ns0:c>
      <ns0:c r="F454" s="16">
        <ns0:f>A454*('前提と出典'!$C$36*'契約別単価'!F5+'前提と出典'!$C$37*'契約別単価'!F6+'前提と出典'!$C$38*'契約別単価'!F7)</ns0:f>
        <ns0:v>341727.9658668025</ns0:v>
      </ns0:c>
      <ns0:c r="G454" s="16">
        <ns0:f>A454*('前提と出典'!$C$36*'契約別単価'!G5+'前提と出典'!$C$37*'契約別単価'!G6+'前提と出典'!$C$38*'契約別単価'!G7)</ns0:f>
        <ns0:v>895726.2569832401</ns0:v>
      </ns0:c>
      <ns0:c r="H454" s="16">
        <ns0:f>A454*('前提と出典'!$C$36*'契約別単価'!H5+'前提と出典'!$C$37*'契約別単価'!H6+'前提と出典'!$C$38*'契約別単価'!H7)</ns0:f>
        <ns0:v>310861.93537519994</ns0:v>
      </ns0:c>
      <ns0:c r="I454" s="16">
        <ns0:f>A454*('前提と出典'!$C$36*'契約別単価'!I5+'前提と出典'!$C$37*'契約別単価'!I6+'前提と出典'!$C$38*'契約別単価'!I7)</ns0:f>
        <ns0:v>18987.98882681564</ns0:v>
      </ns0:c>
      <ns0:c r="J454" s="16">
        <ns0:f>A454*('前提と出典'!$C$36*'契約別単価'!J5+'前提と出典'!$C$37*'契約別単価'!J6+'前提と出典'!$C$38*'契約別単価'!J7)</ns0:f>
        <ns0:v>44230.294669636154</ns0:v>
      </ns0:c>
      <ns0:c r="K454" s="16">
        <ns0:f>A454*('前提と出典'!$C$36*'契約別単価'!K5+'前提と出典'!$C$37*'契約別単価'!K6+'前提と出典'!$C$38*'契約別単価'!K7)</ns0:f>
        <ns0:v>189586.59217877092</ns0:v>
      </ns0:c>
      <ns0:c r="L454" s="16">
        <ns0:f>A454*('前提と出典'!$C$36*'契約別単価'!L5+'前提と出典'!$C$37*'契約別単価'!L6+'前提と出典'!$C$38*'契約別単価'!L7)</ns0:f>
        <ns0:v>154362.06451250665</ns0:v>
      </ns0:c>
      <ns0:c r="M454" s="16">
        <ns0:f>IF(('前提と出典'!$C$36+'前提と出典'!$C$38)=0,0,IF(B454&lt;=10,'前提と出典'!B73+'前提と出典'!C73,IF(B454&lt;=100,'前提と出典'!B74+'前提と出典'!C74,IF(B454&lt;=500,'前提と出典'!B75+'前提と出典'!C75,'前提と出典'!B76+'前提と出典'!C76))))</ns0:f>
        <ns0:v>40000</ns0:v>
      </ns0:c>
      <ns0:c r="N454" s="16">
        <ns0:f>IF(('前提と出典'!$C$37+'前提と出典'!$C$38)=0,0,IF(C454&lt;=10,'前提と出典'!D73+'前提と出典'!E73,IF(C454&lt;=100,'前提と出典'!D74+'前提と出典'!E74,IF(C454&lt;=500,'前提と出典'!D75+'前提と出典'!E75,'前提と出典'!D76+'前提と出典'!E76))))</ns0:f>
        <ns0:v>56510.9346263078</ns0:v>
      </ns0:c>
      <ns0:c r="O454" s="16">
        <ns0:f>IF('前提と出典'!$C$36+'前提と出典'!$C$38=0,0,'前提と出典'!$B$4*IF('前提と出典'!$B$20=0,MAX('前提と出典'!$B$6,D454*'前提と出典'!$B$5),'前提と出典'!$B$6+D454*'前提と出典'!$B$5))</ns0:f>
        <ns0:v>446842.4581005586</ns0:v>
      </ns0:c>
      <ns0:c r="P454" s="16">
        <ns0:f>(E454+G454)*(1-'前提と出典'!$B$7)-I454-K454-M454-O454</ns0:f>
        <ns0:v>1007442.0647161987</ns0:v>
      </ns0:c>
      <ns0:c r="Q454" s="16">
        <ns0:f>(F454+H454)*(1-'前提と出典'!$B$7)-J454-L454-N454</ns0:f>
        <ns0:v>373993.37098883966</ns0:v>
      </ns0:c>
      <ns0:c r="R454" s="16">
        <ns0:f>P454-E454*'前提と出典'!$E$4</ns0:f>
        <ns0:v>746224.5360573289</ns0:v>
      </ns0:c>
      <ns0:c r="S454" s="16">
        <ns0:f>Q454-F454*'前提と出典'!$E$4</ns0:f>
        <ns0:v>271474.9812287989</ns0:v>
      </ns0:c>
      <ns0:c r="T454" s="7">
        <ns0:f>R454+S454</ns0:f>
        <ns0:v>1017699.5172861279</ns0:v>
      </ns0:c>
      <ns0:c r="U454" s="16">
        <ns0:f>P454-E454*'前提と出典'!$E$5</ns0:f>
        <ns0:v>659152.0265043728</ns0:v>
      </ns0:c>
      <ns0:c r="V454" s="16">
        <ns0:f>Q454-F454*'前提と出典'!$E$5</ns0:f>
        <ns0:v>237302.18464211863</ns0:v>
      </ns0:c>
      <ns0:c r="W454" s="7">
        <ns0:f>U454+V454</ns0:f>
        <ns0:v>896454.2111464915</ns0:v>
      </ns0:c>
      <ns0:c r="X454" s="16">
        <ns0:f>P454-E454*'前提と出典'!$E$6</ns0:f>
        <ns0:v>572079.5169514163</ns0:v>
      </ns0:c>
      <ns0:c r="Y454" s="16">
        <ns0:f>Q454-F454*'前提と出典'!$E$6</ns0:f>
        <ns0:v>203129.3880554384</ns0:v>
      </ns0:c>
      <ns0:c r="Z454" s="7">
        <ns0:f>X454+Y454</ns0:f>
        <ns0:v>775208.9050068547</ns0:v>
      </ns0:c>
      <ns0:c r="AA454" s="7">
        <ns0:f>IF(T454&gt;=0,A454,1001)</ns0:f>
        <ns0:v>450</ns0:v>
      </ns0:c>
      <ns0:c r="AB454" s="7">
        <ns0:f>IF(T454&lt;0,A454,0)</ns0:f>
        <ns0:v>0</ns0:v>
      </ns0:c>
      <ns0:c r="AC454" s="16">
        <ns0:f>IF(AND(OR('前提と出典'!$C$36+'前提と出典'!$C$38=0,R454&gt;=0),OR('前提と出典'!$C$37+'前提と出典'!$C$38=0,S454&gt;=0)),0,A454)</ns0:f>
        <ns0:v>0</ns0:v>
      </ns0:c>
      <ns0:c r="AD454" s="7">
        <ns0:f>IF(W454&gt;=0,A454,1001)</ns0:f>
        <ns0:v>450</ns0:v>
      </ns0:c>
      <ns0:c r="AE454" s="7">
        <ns0:f>IF(W454&lt;0,A454,0)</ns0:f>
        <ns0:v>0</ns0:v>
      </ns0:c>
      <ns0:c r="AF454" s="16">
        <ns0:f>IF(AND(OR('前提と出典'!$C$36+'前提と出典'!$C$38=0,U454&gt;=0),OR('前提と出典'!$C$37+'前提と出典'!$C$38=0,V454&gt;=0)),0,A454)</ns0:f>
        <ns0:v>0</ns0:v>
      </ns0:c>
      <ns0:c r="AG454" s="7">
        <ns0:f>IF(Z454&gt;=0,A454,1001)</ns0:f>
        <ns0:v>450</ns0:v>
      </ns0:c>
      <ns0:c r="AH454" s="4">
        <ns0:f>IF(Z454&lt;0,A454,0)</ns0:f>
        <ns0:v>0</ns0:v>
      </ns0:c>
      <ns0:c r="AI454" s="12">
        <ns0:f>IF(AND(OR('前提と出典'!$C$36+'前提と出典'!$C$38=0,X454&gt;=0),OR('前提と出典'!$C$37+'前提と出典'!$C$38=0,Y454&gt;=0)),0,A454)</ns0:f>
        <ns0:v>0</ns0:v>
      </ns0:c>
    </ns0:row>
    <ns0:row r="455" ht="24" customHeight="1">
      <ns0:c r="A455" s="4" t="n">
        <ns0:v>451</ns0:v>
      </ns0:c>
      <ns0:c r="B455" s="12">
        <ns0:f>A455*('前提と出典'!$C$36+'前提と出典'!$C$38)</ns0:f>
        <ns0:v>315.7</ns0:v>
      </ns0:c>
      <ns0:c r="C455" s="12">
        <ns0:f>A455*('前提と出典'!$C$37+'前提と出典'!$C$38)</ns0:f>
        <ns0:v>270.59999999999997</ns0:v>
      </ns0:c>
      <ns0:c r="D455" s="16">
        <ns0:f>A455*('前提と出典'!$C$36*'契約別単価'!C5+'前提と出典'!$C$37*'契約別単価'!C6+'前提と出典'!$C$38*'契約別単価'!C7)</ns0:f>
        <ns0:v>3245.1843575418993</ns0:v>
      </ns0:c>
      <ns0:c r="E455" s="16">
        <ns0:f>A455*('前提と出典'!$C$36*'契約別単価'!E5+'前提と出典'!$C$37*'契約別単価'!E6+'前提と出典'!$C$38*'契約別単価'!E7)</ns0:f>
        <ns0:v>872660.040186297</ns0:v>
      </ns0:c>
      <ns0:c r="F455" s="16">
        <ns0:f>A455*('前提と出典'!$C$36*'契約別単価'!F5+'前提と出典'!$C$37*'契約別単価'!F6+'前提と出典'!$C$38*'契約別単価'!F7)</ns0:f>
        <ns0:v>342487.3613465065</ns0:v>
      </ns0:c>
      <ns0:c r="G455" s="16">
        <ns0:f>A455*('前提と出典'!$C$36*'契約別単価'!G5+'前提と出典'!$C$37*'契約別単価'!G6+'前提と出典'!$C$38*'契約別単価'!G7)</ns0:f>
        <ns0:v>897716.7597765363</ns0:v>
      </ns0:c>
      <ns0:c r="H455" s="16">
        <ns0:f>A455*('前提と出典'!$C$36*'契約別単価'!H5+'前提と出典'!$C$37*'契約別単価'!H6+'前提と出典'!$C$38*'契約別単価'!H7)</ns0:f>
        <ns0:v>311552.7396760337</ns0:v>
      </ns0:c>
      <ns0:c r="I455" s="16">
        <ns0:f>A455*('前提と出典'!$C$36*'契約別単価'!I5+'前提と出典'!$C$37*'契約別単価'!I6+'前提と出典'!$C$38*'契約別単価'!I7)</ns0:f>
        <ns0:v>19030.184357541897</ns0:v>
      </ns0:c>
      <ns0:c r="J455" s="16">
        <ns0:f>A455*('前提と出典'!$C$36*'契約別単価'!J5+'前提と出典'!$C$37*'契約別単価'!J6+'前提と出典'!$C$38*'契約別単価'!J7)</ns0:f>
        <ns0:v>44328.58421334646</ns0:v>
      </ns0:c>
      <ns0:c r="K455" s="16">
        <ns0:f>A455*('前提と出典'!$C$36*'契約別単価'!K5+'前提と出典'!$C$37*'契約別単価'!K6+'前提と出典'!$C$38*'契約別単価'!K7)</ns0:f>
        <ns0:v>190007.895716946</ns0:v>
      </ns0:c>
      <ns0:c r="L455" s="16">
        <ns0:f>A455*('前提と出典'!$C$36*'契約別単価'!L5+'前提と出典'!$C$37*'契約別単価'!L6+'前提と出典'!$C$38*'契約別単価'!L7)</ns0:f>
        <ns0:v>154705.09132253446</ns0:v>
      </ns0:c>
      <ns0:c r="M455" s="16">
        <ns0:f>IF(('前提と出典'!$C$36+'前提と出典'!$C$38)=0,0,IF(B455&lt;=10,'前提と出典'!B73+'前提と出典'!C73,IF(B455&lt;=100,'前提と出典'!B74+'前提と出典'!C74,IF(B455&lt;=500,'前提と出典'!B75+'前提と出典'!C75,'前提と出典'!B76+'前提と出典'!C76))))</ns0:f>
        <ns0:v>40000</ns0:v>
      </ns0:c>
      <ns0:c r="N455" s="16">
        <ns0:f>IF(('前提と出典'!$C$37+'前提と出典'!$C$38)=0,0,IF(C455&lt;=10,'前提と出典'!D73+'前提と出典'!E73,IF(C455&lt;=100,'前提と出典'!D74+'前提と出典'!E74,IF(C455&lt;=500,'前提と出典'!D75+'前提と出典'!E75,'前提と出典'!D76+'前提と出典'!E76))))</ns0:f>
        <ns0:v>56510.9346263078</ns0:v>
      </ns0:c>
      <ns0:c r="O455" s="16">
        <ns0:f>IF('前提と出典'!$C$36+'前提と出典'!$C$38=0,0,'前提と出典'!$B$4*IF('前提と出典'!$B$20=0,MAX('前提と出典'!$B$6,D455*'前提と出典'!$B$5),'前提と出典'!$B$6+D455*'前提と出典'!$B$5))</ns0:f>
        <ns0:v>447835.4413407821</ns0:v>
      </ns0:c>
      <ns0:c r="P455" s="16">
        <ns0:f>(E455+G455)*(1-'前提と出典'!$B$7)-I455-K455-M455-O455</ns0:f>
        <ns0:v>1009769.7137489014</ns0:v>
      </ns0:c>
      <ns0:c r="Q455" s="16">
        <ns0:f>(F455+H455)*(1-'前提と出典'!$B$7)-J455-L455-N455</ns0:f>
        <ns0:v>374950.04722354</ns0:v>
      </ns0:c>
      <ns0:c r="R455" s="16">
        <ns0:f>P455-E455*'前提と出典'!$E$4</ns0:f>
        <ns0:v>747971.7016930125</ns0:v>
      </ns0:c>
      <ns0:c r="S455" s="16">
        <ns0:f>Q455-F455*'前提と出典'!$E$4</ns0:f>
        <ns0:v>272203.83881958807</ns0:v>
      </ns0:c>
      <ns0:c r="T455" s="7">
        <ns0:f>R455+S455</ns0:f>
        <ns0:v>1020175.5405126006</ns0:v>
      </ns0:c>
      <ns0:c r="U455" s="16">
        <ns0:f>P455-E455*'前提と出典'!$E$5</ns0:f>
        <ns0:v>660705.6976743826</ns0:v>
      </ns0:c>
      <ns0:c r="V455" s="16">
        <ns0:f>Q455-F455*'前提と出典'!$E$5</ns0:f>
        <ns0:v>237955.10268493742</ns0:v>
      </ns0:c>
      <ns0:c r="W455" s="7">
        <ns0:f>U455+V455</ns0:f>
        <ns0:v>898660.80035932</ns0:v>
      </ns0:c>
      <ns0:c r="X455" s="16">
        <ns0:f>P455-E455*'前提と出典'!$E$6</ns0:f>
        <ns0:v>573439.6936557527</ns0:v>
      </ns0:c>
      <ns0:c r="Y455" s="16">
        <ns0:f>Q455-F455*'前提と出典'!$E$6</ns0:f>
        <ns0:v>203706.3665502868</ns0:v>
      </ns0:c>
      <ns0:c r="Z455" s="7">
        <ns0:f>X455+Y455</ns0:f>
        <ns0:v>777146.0602060395</ns0:v>
      </ns0:c>
      <ns0:c r="AA455" s="7">
        <ns0:f>IF(T455&gt;=0,A455,1001)</ns0:f>
        <ns0:v>451</ns0:v>
      </ns0:c>
      <ns0:c r="AB455" s="7">
        <ns0:f>IF(T455&lt;0,A455,0)</ns0:f>
        <ns0:v>0</ns0:v>
      </ns0:c>
      <ns0:c r="AC455" s="16">
        <ns0:f>IF(AND(OR('前提と出典'!$C$36+'前提と出典'!$C$38=0,R455&gt;=0),OR('前提と出典'!$C$37+'前提と出典'!$C$38=0,S455&gt;=0)),0,A455)</ns0:f>
        <ns0:v>0</ns0:v>
      </ns0:c>
      <ns0:c r="AD455" s="7">
        <ns0:f>IF(W455&gt;=0,A455,1001)</ns0:f>
        <ns0:v>451</ns0:v>
      </ns0:c>
      <ns0:c r="AE455" s="7">
        <ns0:f>IF(W455&lt;0,A455,0)</ns0:f>
        <ns0:v>0</ns0:v>
      </ns0:c>
      <ns0:c r="AF455" s="16">
        <ns0:f>IF(AND(OR('前提と出典'!$C$36+'前提と出典'!$C$38=0,U455&gt;=0),OR('前提と出典'!$C$37+'前提と出典'!$C$38=0,V455&gt;=0)),0,A455)</ns0:f>
        <ns0:v>0</ns0:v>
      </ns0:c>
      <ns0:c r="AG455" s="7">
        <ns0:f>IF(Z455&gt;=0,A455,1001)</ns0:f>
        <ns0:v>451</ns0:v>
      </ns0:c>
      <ns0:c r="AH455" s="4">
        <ns0:f>IF(Z455&lt;0,A455,0)</ns0:f>
        <ns0:v>0</ns0:v>
      </ns0:c>
      <ns0:c r="AI455" s="12">
        <ns0:f>IF(AND(OR('前提と出典'!$C$36+'前提と出典'!$C$38=0,X455&gt;=0),OR('前提と出典'!$C$37+'前提と出典'!$C$38=0,Y455&gt;=0)),0,A455)</ns0:f>
        <ns0:v>0</ns0:v>
      </ns0:c>
    </ns0:row>
    <ns0:row r="456" ht="24" customHeight="1">
      <ns0:c r="A456" s="4" t="n">
        <ns0:v>452</ns0:v>
      </ns0:c>
      <ns0:c r="B456" s="12">
        <ns0:f>A456*('前提と出典'!$C$36+'前提と出典'!$C$38)</ns0:f>
        <ns0:v>316.4</ns0:v>
      </ns0:c>
      <ns0:c r="C456" s="12">
        <ns0:f>A456*('前提と出典'!$C$37+'前提と出典'!$C$38)</ns0:f>
        <ns0:v>271.2</ns0:v>
      </ns0:c>
      <ns0:c r="D456" s="16">
        <ns0:f>A456*('前提と出典'!$C$36*'契約別単価'!C5+'前提と出典'!$C$37*'契約別単価'!C6+'前提と出典'!$C$38*'契約別単価'!C7)</ns0:f>
        <ns0:v>3252.3798882681563</ns0:v>
      </ns0:c>
      <ns0:c r="E456" s="16">
        <ns0:f>A456*('前提と出典'!$C$36*'契約別単価'!E5+'前提と出典'!$C$37*'契約別単価'!E6+'前提と出典'!$C$38*'契約別単価'!E7)</ns0:f>
        <ns0:v>874594.9848430294</ns0:v>
      </ns0:c>
      <ns0:c r="F456" s="16">
        <ns0:f>A456*('前提と出典'!$C$36*'契約別単価'!F5+'前提と出典'!$C$37*'契約別単価'!F6+'前提と出典'!$C$38*'契約別単価'!F7)</ns0:f>
        <ns0:v>343246.7568262105</ns0:v>
      </ns0:c>
      <ns0:c r="G456" s="16">
        <ns0:f>A456*('前提と出典'!$C$36*'契約別単価'!G5+'前提と出典'!$C$37*'契約別単価'!G6+'前提と出典'!$C$38*'契約別単価'!G7)</ns0:f>
        <ns0:v>899707.2625698324</ns0:v>
      </ns0:c>
      <ns0:c r="H456" s="16">
        <ns0:f>A456*('前提と出典'!$C$36*'契約別単価'!H5+'前提と出典'!$C$37*'契約別単価'!H6+'前提と出典'!$C$38*'契約別単価'!H7)</ns0:f>
        <ns0:v>312243.5439768675</ns0:v>
      </ns0:c>
      <ns0:c r="I456" s="16">
        <ns0:f>A456*('前提と出典'!$C$36*'契約別単価'!I5+'前提と出典'!$C$37*'契約別単価'!I6+'前提と出典'!$C$38*'契約別単価'!I7)</ns0:f>
        <ns0:v>19072.379888268155</ns0:v>
      </ns0:c>
      <ns0:c r="J456" s="16">
        <ns0:f>A456*('前提と出典'!$C$36*'契約別単価'!J5+'前提と出典'!$C$37*'契約別単価'!J6+'前提と出典'!$C$38*'契約別単価'!J7)</ns0:f>
        <ns0:v>44426.87375705676</ns0:v>
      </ns0:c>
      <ns0:c r="K456" s="16">
        <ns0:f>A456*('前提と出典'!$C$36*'契約別単価'!K5+'前提と出典'!$C$37*'契約別単価'!K6+'前提と出典'!$C$38*'契約別単価'!K7)</ns0:f>
        <ns0:v>190429.19925512103</ns0:v>
      </ns0:c>
      <ns0:c r="L456" s="16">
        <ns0:f>A456*('前提と出典'!$C$36*'契約別単価'!L5+'前提と出典'!$C$37*'契約別単価'!L6+'前提と出典'!$C$38*'契約別単価'!L7)</ns0:f>
        <ns0:v>155048.11813256223</ns0:v>
      </ns0:c>
      <ns0:c r="M456" s="16">
        <ns0:f>IF(('前提と出典'!$C$36+'前提と出典'!$C$38)=0,0,IF(B456&lt;=10,'前提と出典'!B73+'前提と出典'!C73,IF(B456&lt;=100,'前提と出典'!B74+'前提と出典'!C74,IF(B456&lt;=500,'前提と出典'!B75+'前提と出典'!C75,'前提と出典'!B76+'前提と出典'!C76))))</ns0:f>
        <ns0:v>40000</ns0:v>
      </ns0:c>
      <ns0:c r="N456" s="16">
        <ns0:f>IF(('前提と出典'!$C$37+'前提と出典'!$C$38)=0,0,IF(C456&lt;=10,'前提と出典'!D73+'前提と出典'!E73,IF(C456&lt;=100,'前提と出典'!D74+'前提と出典'!E74,IF(C456&lt;=500,'前提と出典'!D75+'前提と出典'!E75,'前提と出典'!D76+'前提と出典'!E76))))</ns0:f>
        <ns0:v>56510.9346263078</ns0:v>
      </ns0:c>
      <ns0:c r="O456" s="16">
        <ns0:f>IF('前提と出典'!$C$36+'前提と出典'!$C$38=0,0,'前提と出典'!$B$4*IF('前提と出典'!$B$20=0,MAX('前提と出典'!$B$6,D456*'前提と出典'!$B$5),'前提と出典'!$B$6+D456*'前提と出典'!$B$5))</ns0:f>
        <ns0:v>448828.4245810056</ns0:v>
      </ns0:c>
      <ns0:c r="P456" s="16">
        <ns0:f>(E456+G456)*(1-'前提と出典'!$B$7)-I456-K456-M456-O456</ns0:f>
        <ns0:v>1012097.3627816042</ns0:v>
      </ns0:c>
      <ns0:c r="Q456" s="16">
        <ns0:f>(F456+H456)*(1-'前提と出典'!$B$7)-J456-L456-N456</ns0:f>
        <ns0:v>375906.7234582404</ns0:v>
      </ns0:c>
      <ns0:c r="R456" s="16">
        <ns0:f>P456-E456*'前提と出典'!$E$4</ns0:f>
        <ns0:v>749718.8673286951</ns0:v>
      </ns0:c>
      <ns0:c r="S456" s="16">
        <ns0:f>Q456-F456*'前提と出典'!$E$4</ns0:f>
        <ns0:v>272932.6964103773</ns0:v>
      </ns0:c>
      <ns0:c r="T456" s="7">
        <ns0:f>R456+S456</ns0:f>
        <ns0:v>1022651.5637390724</ns0:v>
      </ns0:c>
      <ns0:c r="U456" s="16">
        <ns0:f>P456-E456*'前提と出典'!$E$5</ns0:f>
        <ns0:v>662259.3688443924</ns0:v>
      </ns0:c>
      <ns0:c r="V456" s="16">
        <ns0:f>Q456-F456*'前提と出典'!$E$5</ns0:f>
        <ns0:v>238608.0207277562</ns0:v>
      </ns0:c>
      <ns0:c r="W456" s="7">
        <ns0:f>U456+V456</ns0:f>
        <ns0:v>900867.3895721486</ns0:v>
      </ns0:c>
      <ns0:c r="X456" s="16">
        <ns0:f>P456-E456*'前提と出典'!$E$6</ns0:f>
        <ns0:v>574799.8703600891</ns0:v>
      </ns0:c>
      <ns0:c r="Y456" s="16">
        <ns0:f>Q456-F456*'前提と出典'!$E$6</ns0:f>
        <ns0:v>204283.3450451351</ns0:v>
      </ns0:c>
      <ns0:c r="Z456" s="7">
        <ns0:f>X456+Y456</ns0:f>
        <ns0:v>779083.2154052242</ns0:v>
      </ns0:c>
      <ns0:c r="AA456" s="7">
        <ns0:f>IF(T456&gt;=0,A456,1001)</ns0:f>
        <ns0:v>452</ns0:v>
      </ns0:c>
      <ns0:c r="AB456" s="7">
        <ns0:f>IF(T456&lt;0,A456,0)</ns0:f>
        <ns0:v>0</ns0:v>
      </ns0:c>
      <ns0:c r="AC456" s="16">
        <ns0:f>IF(AND(OR('前提と出典'!$C$36+'前提と出典'!$C$38=0,R456&gt;=0),OR('前提と出典'!$C$37+'前提と出典'!$C$38=0,S456&gt;=0)),0,A456)</ns0:f>
        <ns0:v>0</ns0:v>
      </ns0:c>
      <ns0:c r="AD456" s="7">
        <ns0:f>IF(W456&gt;=0,A456,1001)</ns0:f>
        <ns0:v>452</ns0:v>
      </ns0:c>
      <ns0:c r="AE456" s="7">
        <ns0:f>IF(W456&lt;0,A456,0)</ns0:f>
        <ns0:v>0</ns0:v>
      </ns0:c>
      <ns0:c r="AF456" s="16">
        <ns0:f>IF(AND(OR('前提と出典'!$C$36+'前提と出典'!$C$38=0,U456&gt;=0),OR('前提と出典'!$C$37+'前提と出典'!$C$38=0,V456&gt;=0)),0,A456)</ns0:f>
        <ns0:v>0</ns0:v>
      </ns0:c>
      <ns0:c r="AG456" s="7">
        <ns0:f>IF(Z456&gt;=0,A456,1001)</ns0:f>
        <ns0:v>452</ns0:v>
      </ns0:c>
      <ns0:c r="AH456" s="4">
        <ns0:f>IF(Z456&lt;0,A456,0)</ns0:f>
        <ns0:v>0</ns0:v>
      </ns0:c>
      <ns0:c r="AI456" s="12">
        <ns0:f>IF(AND(OR('前提と出典'!$C$36+'前提と出典'!$C$38=0,X456&gt;=0),OR('前提と出典'!$C$37+'前提と出典'!$C$38=0,Y456&gt;=0)),0,A456)</ns0:f>
        <ns0:v>0</ns0:v>
      </ns0:c>
    </ns0:row>
    <ns0:row r="457" ht="24" customHeight="1">
      <ns0:c r="A457" s="4" t="n">
        <ns0:v>453</ns0:v>
      </ns0:c>
      <ns0:c r="B457" s="12">
        <ns0:f>A457*('前提と出典'!$C$36+'前提と出典'!$C$38)</ns0:f>
        <ns0:v>317.09999999999997</ns0:v>
      </ns0:c>
      <ns0:c r="C457" s="12">
        <ns0:f>A457*('前提と出典'!$C$37+'前提と出典'!$C$38)</ns0:f>
        <ns0:v>271.8</ns0:v>
      </ns0:c>
      <ns0:c r="D457" s="16">
        <ns0:f>A457*('前提と出典'!$C$36*'契約別単価'!C5+'前提と出典'!$C$37*'契約別単価'!C6+'前提と出典'!$C$38*'契約別単価'!C7)</ns0:f>
        <ns0:v>3259.575418994413</ns0:v>
      </ns0:c>
      <ns0:c r="E457" s="16">
        <ns0:f>A457*('前提と出典'!$C$36*'契約別単価'!E5+'前提と出典'!$C$37*'契約別単価'!E6+'前提と出典'!$C$38*'契約別単価'!E7)</ns0:f>
        <ns0:v>876529.9294997618</ns0:v>
      </ns0:c>
      <ns0:c r="F457" s="16">
        <ns0:f>A457*('前提と出典'!$C$36*'契約別単価'!F5+'前提と出典'!$C$37*'契約別単価'!F6+'前提と出典'!$C$38*'契約別単価'!F7)</ns0:f>
        <ns0:v>344006.1523059145</ns0:v>
      </ns0:c>
      <ns0:c r="G457" s="16">
        <ns0:f>A457*('前提と出典'!$C$36*'契約別単価'!G5+'前提と出典'!$C$37*'契約別単価'!G6+'前提と出典'!$C$38*'契約別単価'!G7)</ns0:f>
        <ns0:v>901697.7653631285</ns0:v>
      </ns0:c>
      <ns0:c r="H457" s="16">
        <ns0:f>A457*('前提と出典'!$C$36*'契約別単価'!H5+'前提と出典'!$C$37*'契約別単価'!H6+'前提と出典'!$C$38*'契約別単価'!H7)</ns0:f>
        <ns0:v>312934.3482777013</ns0:v>
      </ns0:c>
      <ns0:c r="I457" s="16">
        <ns0:f>A457*('前提と出典'!$C$36*'契約別単価'!I5+'前提と出典'!$C$37*'契約別単価'!I6+'前提と出典'!$C$38*'契約別単価'!I7)</ns0:f>
        <ns0:v>19114.57541899441</ns0:v>
      </ns0:c>
      <ns0:c r="J457" s="16">
        <ns0:f>A457*('前提と出典'!$C$36*'契約別単価'!J5+'前提と出典'!$C$37*'契約別単価'!J6+'前提と出典'!$C$38*'契約別単価'!J7)</ns0:f>
        <ns0:v>44525.16330076706</ns0:v>
      </ns0:c>
      <ns0:c r="K457" s="16">
        <ns0:f>A457*('前提と出典'!$C$36*'契約別単価'!K5+'前提と出典'!$C$37*'契約別単価'!K6+'前提と出典'!$C$38*'契約別単価'!K7)</ns0:f>
        <ns0:v>190850.50279329607</ns0:v>
      </ns0:c>
      <ns0:c r="L457" s="16">
        <ns0:f>A457*('前提と出典'!$C$36*'契約別単価'!L5+'前提と出典'!$C$37*'契約別単価'!L6+'前提と出典'!$C$38*'契約別単価'!L7)</ns0:f>
        <ns0:v>155391.14494259004</ns0:v>
      </ns0:c>
      <ns0:c r="M457" s="16">
        <ns0:f>IF(('前提と出典'!$C$36+'前提と出典'!$C$38)=0,0,IF(B457&lt;=10,'前提と出典'!B73+'前提と出典'!C73,IF(B457&lt;=100,'前提と出典'!B74+'前提と出典'!C74,IF(B457&lt;=500,'前提と出典'!B75+'前提と出典'!C75,'前提と出典'!B76+'前提と出典'!C76))))</ns0:f>
        <ns0:v>40000</ns0:v>
      </ns0:c>
      <ns0:c r="N457" s="16">
        <ns0:f>IF(('前提と出典'!$C$37+'前提と出典'!$C$38)=0,0,IF(C457&lt;=10,'前提と出典'!D73+'前提と出典'!E73,IF(C457&lt;=100,'前提と出典'!D74+'前提と出典'!E74,IF(C457&lt;=500,'前提と出典'!D75+'前提と出典'!E75,'前提と出典'!D76+'前提と出典'!E76))))</ns0:f>
        <ns0:v>56510.9346263078</ns0:v>
      </ns0:c>
      <ns0:c r="O457" s="16">
        <ns0:f>IF('前提と出典'!$C$36+'前提と出典'!$C$38=0,0,'前提と出典'!$B$4*IF('前提と出典'!$B$20=0,MAX('前提と出典'!$B$6,D457*'前提と出典'!$B$5),'前提と出典'!$B$6+D457*'前提と出典'!$B$5))</ns0:f>
        <ns0:v>449821.4078212291</ns0:v>
      </ns0:c>
      <ns0:c r="P457" s="16">
        <ns0:f>(E457+G457)*(1-'前提と出典'!$B$7)-I457-K457-M457-O457</ns0:f>
        <ns0:v>1014425.0118143068</ns0:v>
      </ns0:c>
      <ns0:c r="Q457" s="16">
        <ns0:f>(F457+H457)*(1-'前提と出典'!$B$7)-J457-L457-N457</ns0:f>
        <ns0:v>376863.39969294076</ns0:v>
      </ns0:c>
      <ns0:c r="R457" s="16">
        <ns0:f>P457-E457*'前提と出典'!$E$4</ns0:f>
        <ns0:v>751466.0329643782</ns0:v>
      </ns0:c>
      <ns0:c r="S457" s="16">
        <ns0:f>Q457-F457*'前提と出典'!$E$4</ns0:f>
        <ns0:v>273661.55400116637</ns0:v>
      </ns0:c>
      <ns0:c r="T457" s="7">
        <ns0:f>R457+S457</ns0:f>
        <ns0:v>1025127.5869655446</ns0:v>
      </ns0:c>
      <ns0:c r="U457" s="16">
        <ns0:f>P457-E457*'前提と出典'!$E$5</ns0:f>
        <ns0:v>663813.0400144021</ns0:v>
      </ns0:c>
      <ns0:c r="V457" s="16">
        <ns0:f>Q457-F457*'前提と出典'!$E$5</ns0:f>
        <ns0:v>239260.93877057498</ns0:v>
      </ns0:c>
      <ns0:c r="W457" s="7">
        <ns0:f>U457+V457</ns0:f>
        <ns0:v>903073.9787849771</ns0:v>
      </ns0:c>
      <ns0:c r="X457" s="16">
        <ns0:f>P457-E457*'前提と出典'!$E$6</ns0:f>
        <ns0:v>576160.047064426</ns0:v>
      </ns0:c>
      <ns0:c r="Y457" s="16">
        <ns0:f>Q457-F457*'前提と出典'!$E$6</ns0:f>
        <ns0:v>204860.32353998348</ns0:v>
      </ns0:c>
      <ns0:c r="Z457" s="7">
        <ns0:f>X457+Y457</ns0:f>
        <ns0:v>781020.3706044095</ns0:v>
      </ns0:c>
      <ns0:c r="AA457" s="7">
        <ns0:f>IF(T457&gt;=0,A457,1001)</ns0:f>
        <ns0:v>453</ns0:v>
      </ns0:c>
      <ns0:c r="AB457" s="7">
        <ns0:f>IF(T457&lt;0,A457,0)</ns0:f>
        <ns0:v>0</ns0:v>
      </ns0:c>
      <ns0:c r="AC457" s="16">
        <ns0:f>IF(AND(OR('前提と出典'!$C$36+'前提と出典'!$C$38=0,R457&gt;=0),OR('前提と出典'!$C$37+'前提と出典'!$C$38=0,S457&gt;=0)),0,A457)</ns0:f>
        <ns0:v>0</ns0:v>
      </ns0:c>
      <ns0:c r="AD457" s="7">
        <ns0:f>IF(W457&gt;=0,A457,1001)</ns0:f>
        <ns0:v>453</ns0:v>
      </ns0:c>
      <ns0:c r="AE457" s="7">
        <ns0:f>IF(W457&lt;0,A457,0)</ns0:f>
        <ns0:v>0</ns0:v>
      </ns0:c>
      <ns0:c r="AF457" s="16">
        <ns0:f>IF(AND(OR('前提と出典'!$C$36+'前提と出典'!$C$38=0,U457&gt;=0),OR('前提と出典'!$C$37+'前提と出典'!$C$38=0,V457&gt;=0)),0,A457)</ns0:f>
        <ns0:v>0</ns0:v>
      </ns0:c>
      <ns0:c r="AG457" s="7">
        <ns0:f>IF(Z457&gt;=0,A457,1001)</ns0:f>
        <ns0:v>453</ns0:v>
      </ns0:c>
      <ns0:c r="AH457" s="4">
        <ns0:f>IF(Z457&lt;0,A457,0)</ns0:f>
        <ns0:v>0</ns0:v>
      </ns0:c>
      <ns0:c r="AI457" s="12">
        <ns0:f>IF(AND(OR('前提と出典'!$C$36+'前提と出典'!$C$38=0,X457&gt;=0),OR('前提と出典'!$C$37+'前提と出典'!$C$38=0,Y457&gt;=0)),0,A457)</ns0:f>
        <ns0:v>0</ns0:v>
      </ns0:c>
    </ns0:row>
    <ns0:row r="458" ht="24" customHeight="1">
      <ns0:c r="A458" s="4" t="n">
        <ns0:v>454</ns0:v>
      </ns0:c>
      <ns0:c r="B458" s="12">
        <ns0:f>A458*('前提と出典'!$C$36+'前提と出典'!$C$38)</ns0:f>
        <ns0:v>317.79999999999995</ns0:v>
      </ns0:c>
      <ns0:c r="C458" s="12">
        <ns0:f>A458*('前提と出典'!$C$37+'前提と出典'!$C$38)</ns0:f>
        <ns0:v>272.4</ns0:v>
      </ns0:c>
      <ns0:c r="D458" s="16">
        <ns0:f>A458*('前提と出典'!$C$36*'契約別単価'!C5+'前提と出典'!$C$37*'契約別単価'!C6+'前提と出典'!$C$38*'契約別単価'!C7)</ns0:f>
        <ns0:v>3266.77094972067</ns0:v>
      </ns0:c>
      <ns0:c r="E458" s="16">
        <ns0:f>A458*('前提と出典'!$C$36*'契約別単価'!E5+'前提と出典'!$C$37*'契約別単価'!E6+'前提と出典'!$C$38*'契約別単価'!E7)</ns0:f>
        <ns0:v>878464.8741564942</ns0:v>
      </ns0:c>
      <ns0:c r="F458" s="16">
        <ns0:f>A458*('前提と出典'!$C$36*'契約別単価'!F5+'前提と出典'!$C$37*'契約別単価'!F6+'前提と出典'!$C$38*'契約別単価'!F7)</ns0:f>
        <ns0:v>344765.5477856185</ns0:v>
      </ns0:c>
      <ns0:c r="G458" s="16">
        <ns0:f>A458*('前提と出典'!$C$36*'契約別単価'!G5+'前提と出典'!$C$37*'契約別単価'!G6+'前提と出典'!$C$38*'契約別単価'!G7)</ns0:f>
        <ns0:v>903688.2681564245</ns0:v>
      </ns0:c>
      <ns0:c r="H458" s="16">
        <ns0:f>A458*('前提と出典'!$C$36*'契約別単価'!H5+'前提と出典'!$C$37*'契約別単価'!H6+'前提と出典'!$C$38*'契約別単価'!H7)</ns0:f>
        <ns0:v>313625.1525785351</ns0:v>
      </ns0:c>
      <ns0:c r="I458" s="16">
        <ns0:f>A458*('前提と出典'!$C$36*'契約別単価'!I5+'前提と出典'!$C$37*'契約別単価'!I6+'前提と出典'!$C$38*'契約別単価'!I7)</ns0:f>
        <ns0:v>19156.770949720667</ns0:v>
      </ns0:c>
      <ns0:c r="J458" s="16">
        <ns0:f>A458*('前提と出典'!$C$36*'契約別単価'!J5+'前提と出典'!$C$37*'契約別単価'!J6+'前提と出典'!$C$38*'契約別単価'!J7)</ns0:f>
        <ns0:v>44623.45284447737</ns0:v>
      </ns0:c>
      <ns0:c r="K458" s="16">
        <ns0:f>A458*('前提と出典'!$C$36*'契約別単価'!K5+'前提と出典'!$C$37*'契約別単価'!K6+'前提と出典'!$C$38*'契約別単価'!K7)</ns0:f>
        <ns0:v>191271.80633147113</ns0:v>
      </ns0:c>
      <ns0:c r="L458" s="16">
        <ns0:f>A458*('前提と出典'!$C$36*'契約別単価'!L5+'前提と出典'!$C$37*'契約別単価'!L6+'前提と出典'!$C$38*'契約別単価'!L7)</ns0:f>
        <ns0:v>155734.17175261784</ns0:v>
      </ns0:c>
      <ns0:c r="M458" s="16">
        <ns0:f>IF(('前提と出典'!$C$36+'前提と出典'!$C$38)=0,0,IF(B458&lt;=10,'前提と出典'!B73+'前提と出典'!C73,IF(B458&lt;=100,'前提と出典'!B74+'前提と出典'!C74,IF(B458&lt;=500,'前提と出典'!B75+'前提と出典'!C75,'前提と出典'!B76+'前提と出典'!C76))))</ns0:f>
        <ns0:v>40000</ns0:v>
      </ns0:c>
      <ns0:c r="N458" s="16">
        <ns0:f>IF(('前提と出典'!$C$37+'前提と出典'!$C$38)=0,0,IF(C458&lt;=10,'前提と出典'!D73+'前提と出典'!E73,IF(C458&lt;=100,'前提と出典'!D74+'前提と出典'!E74,IF(C458&lt;=500,'前提と出典'!D75+'前提と出典'!E75,'前提と出典'!D76+'前提と出典'!E76))))</ns0:f>
        <ns0:v>56510.9346263078</ns0:v>
      </ns0:c>
      <ns0:c r="O458" s="16">
        <ns0:f>IF('前提と出典'!$C$36+'前提と出典'!$C$38=0,0,'前提と出典'!$B$4*IF('前提と出典'!$B$20=0,MAX('前提と出典'!$B$6,D458*'前提と出典'!$B$5),'前提と出典'!$B$6+D458*'前提と出典'!$B$5))</ns0:f>
        <ns0:v>450814.3910614525</ns0:v>
      </ns0:c>
      <ns0:c r="P458" s="16">
        <ns0:f>(E458+G458)*(1-'前提と出典'!$B$7)-I458-K458-M458-O458</ns0:f>
        <ns0:v>1016752.6608470096</ns0:v>
      </ns0:c>
      <ns0:c r="Q458" s="16">
        <ns0:f>(F458+H458)*(1-'前提と出典'!$B$7)-J458-L458-N458</ns0:f>
        <ns0:v>377820.07592764107</ns0:v>
      </ns0:c>
      <ns0:c r="R458" s="16">
        <ns0:f>P458-E458*'前提と出典'!$E$4</ns0:f>
        <ns0:v>753213.1986000615</ns0:v>
      </ns0:c>
      <ns0:c r="S458" s="16">
        <ns0:f>Q458-F458*'前提と出典'!$E$4</ns0:f>
        <ns0:v>274390.4115919556</ns0:v>
      </ns0:c>
      <ns0:c r="T458" s="7">
        <ns0:f>R458+S458</ns0:f>
        <ns0:v>1027603.610192017</ns0:v>
      </ns0:c>
      <ns0:c r="U458" s="16">
        <ns0:f>P458-E458*'前提と出典'!$E$5</ns0:f>
        <ns0:v>665366.711184412</ns0:v>
      </ns0:c>
      <ns0:c r="V458" s="16">
        <ns0:f>Q458-F458*'前提と出典'!$E$5</ns0:f>
        <ns0:v>239913.85681339365</ns0:v>
      </ns0:c>
      <ns0:c r="W458" s="7">
        <ns0:f>U458+V458</ns0:f>
        <ns0:v>905280.5679978057</ns0:v>
      </ns0:c>
      <ns0:c r="X458" s="16">
        <ns0:f>P458-E458*'前提と出典'!$E$6</ns0:f>
        <ns0:v>577520.2237687625</ns0:v>
      </ns0:c>
      <ns0:c r="Y458" s="16">
        <ns0:f>Q458-F458*'前提と出典'!$E$6</ns0:f>
        <ns0:v>205437.30203483175</ns0:v>
      </ns0:c>
      <ns0:c r="Z458" s="7">
        <ns0:f>X458+Y458</ns0:f>
        <ns0:v>782957.5258035943</ns0:v>
      </ns0:c>
      <ns0:c r="AA458" s="7">
        <ns0:f>IF(T458&gt;=0,A458,1001)</ns0:f>
        <ns0:v>454</ns0:v>
      </ns0:c>
      <ns0:c r="AB458" s="7">
        <ns0:f>IF(T458&lt;0,A458,0)</ns0:f>
        <ns0:v>0</ns0:v>
      </ns0:c>
      <ns0:c r="AC458" s="16">
        <ns0:f>IF(AND(OR('前提と出典'!$C$36+'前提と出典'!$C$38=0,R458&gt;=0),OR('前提と出典'!$C$37+'前提と出典'!$C$38=0,S458&gt;=0)),0,A458)</ns0:f>
        <ns0:v>0</ns0:v>
      </ns0:c>
      <ns0:c r="AD458" s="7">
        <ns0:f>IF(W458&gt;=0,A458,1001)</ns0:f>
        <ns0:v>454</ns0:v>
      </ns0:c>
      <ns0:c r="AE458" s="7">
        <ns0:f>IF(W458&lt;0,A458,0)</ns0:f>
        <ns0:v>0</ns0:v>
      </ns0:c>
      <ns0:c r="AF458" s="16">
        <ns0:f>IF(AND(OR('前提と出典'!$C$36+'前提と出典'!$C$38=0,U458&gt;=0),OR('前提と出典'!$C$37+'前提と出典'!$C$38=0,V458&gt;=0)),0,A458)</ns0:f>
        <ns0:v>0</ns0:v>
      </ns0:c>
      <ns0:c r="AG458" s="7">
        <ns0:f>IF(Z458&gt;=0,A458,1001)</ns0:f>
        <ns0:v>454</ns0:v>
      </ns0:c>
      <ns0:c r="AH458" s="4">
        <ns0:f>IF(Z458&lt;0,A458,0)</ns0:f>
        <ns0:v>0</ns0:v>
      </ns0:c>
      <ns0:c r="AI458" s="12">
        <ns0:f>IF(AND(OR('前提と出典'!$C$36+'前提と出典'!$C$38=0,X458&gt;=0),OR('前提と出典'!$C$37+'前提と出典'!$C$38=0,Y458&gt;=0)),0,A458)</ns0:f>
        <ns0:v>0</ns0:v>
      </ns0:c>
    </ns0:row>
    <ns0:row r="459" ht="24" customHeight="1">
      <ns0:c r="A459" s="4" t="n">
        <ns0:v>455</ns0:v>
      </ns0:c>
      <ns0:c r="B459" s="12">
        <ns0:f>A459*('前提と出典'!$C$36+'前提と出典'!$C$38)</ns0:f>
        <ns0:v>318.5</ns0:v>
      </ns0:c>
      <ns0:c r="C459" s="12">
        <ns0:f>A459*('前提と出典'!$C$37+'前提と出典'!$C$38)</ns0:f>
        <ns0:v>273</ns0:v>
      </ns0:c>
      <ns0:c r="D459" s="16">
        <ns0:f>A459*('前提と出典'!$C$36*'契約別単価'!C5+'前提と出典'!$C$37*'契約別単価'!C6+'前提と出典'!$C$38*'契約別単価'!C7)</ns0:f>
        <ns0:v>3273.9664804469276</ns0:v>
      </ns0:c>
      <ns0:c r="E459" s="16">
        <ns0:f>A459*('前提と出典'!$C$36*'契約別単価'!E5+'前提と出典'!$C$37*'契約別単価'!E6+'前提と出典'!$C$38*'契約別単価'!E7)</ns0:f>
        <ns0:v>880399.8188132265</ns0:v>
      </ns0:c>
      <ns0:c r="F459" s="16">
        <ns0:f>A459*('前提と出典'!$C$36*'契約別単価'!F5+'前提と出典'!$C$37*'契約別単価'!F6+'前提と出典'!$C$38*'契約別単価'!F7)</ns0:f>
        <ns0:v>345524.94326532254</ns0:v>
      </ns0:c>
      <ns0:c r="G459" s="16">
        <ns0:f>A459*('前提と出典'!$C$36*'契約別単価'!G5+'前提と出典'!$C$37*'契約別単価'!G6+'前提と出典'!$C$38*'契約別単価'!G7)</ns0:f>
        <ns0:v>905678.7709497206</ns0:v>
      </ns0:c>
      <ns0:c r="H459" s="16">
        <ns0:f>A459*('前提と出典'!$C$36*'契約別単価'!H5+'前提と出典'!$C$37*'契約別単価'!H6+'前提と出典'!$C$38*'契約別単価'!H7)</ns0:f>
        <ns0:v>314315.95687936887</ns0:v>
      </ns0:c>
      <ns0:c r="I459" s="16">
        <ns0:f>A459*('前提と出典'!$C$36*'契約別単価'!I5+'前提と出典'!$C$37*'契約別単価'!I6+'前提と出典'!$C$38*'契約別単価'!I7)</ns0:f>
        <ns0:v>19198.966480446925</ns0:v>
      </ns0:c>
      <ns0:c r="J459" s="16">
        <ns0:f>A459*('前提と出典'!$C$36*'契約別単価'!J5+'前提と出典'!$C$37*'契約別単価'!J6+'前提と出典'!$C$38*'契約別単価'!J7)</ns0:f>
        <ns0:v>44721.74238818767</ns0:v>
      </ns0:c>
      <ns0:c r="K459" s="16">
        <ns0:f>A459*('前提と出典'!$C$36*'契約別単価'!K5+'前提と出典'!$C$37*'契約別単価'!K6+'前提と出典'!$C$38*'契約別単価'!K7)</ns0:f>
        <ns0:v>191693.10986964617</ns0:v>
      </ns0:c>
      <ns0:c r="L459" s="16">
        <ns0:f>A459*('前提と出典'!$C$36*'契約別単価'!L5+'前提と出典'!$C$37*'契約別単価'!L6+'前提と出典'!$C$38*'契約別単価'!L7)</ns0:f>
        <ns0:v>156077.19856264562</ns0:v>
      </ns0:c>
      <ns0:c r="M459" s="16">
        <ns0:f>IF(('前提と出典'!$C$36+'前提と出典'!$C$38)=0,0,IF(B459&lt;=10,'前提と出典'!B73+'前提と出典'!C73,IF(B459&lt;=100,'前提と出典'!B74+'前提と出典'!C74,IF(B459&lt;=500,'前提と出典'!B75+'前提と出典'!C75,'前提と出典'!B76+'前提と出典'!C76))))</ns0:f>
        <ns0:v>40000</ns0:v>
      </ns0:c>
      <ns0:c r="N459" s="16">
        <ns0:f>IF(('前提と出典'!$C$37+'前提と出典'!$C$38)=0,0,IF(C459&lt;=10,'前提と出典'!D73+'前提と出典'!E73,IF(C459&lt;=100,'前提と出典'!D74+'前提と出典'!E74,IF(C459&lt;=500,'前提と出典'!D75+'前提と出典'!E75,'前提と出典'!D76+'前提と出典'!E76))))</ns0:f>
        <ns0:v>56510.9346263078</ns0:v>
      </ns0:c>
      <ns0:c r="O459" s="16">
        <ns0:f>IF('前提と出典'!$C$36+'前提と出典'!$C$38=0,0,'前提と出典'!$B$4*IF('前提と出典'!$B$20=0,MAX('前提と出典'!$B$6,D459*'前提と出典'!$B$5),'前提と出典'!$B$6+D459*'前提と出典'!$B$5))</ns0:f>
        <ns0:v>451807.374301676</ns0:v>
      </ns0:c>
      <ns0:c r="P459" s="16">
        <ns0:f>(E459+G459)*(1-'前提と出典'!$B$7)-I459-K459-M459-O459</ns0:f>
        <ns0:v>1019080.3098797117</ns0:v>
      </ns0:c>
      <ns0:c r="Q459" s="16">
        <ns0:f>(F459+H459)*(1-'前提と出典'!$B$7)-J459-L459-N459</ns0:f>
        <ns0:v>378776.7521623414</ns0:v>
      </ns0:c>
      <ns0:c r="R459" s="16">
        <ns0:f>P459-E459*'前提と出典'!$E$4</ns0:f>
        <ns0:v>754960.3642357439</ns0:v>
      </ns0:c>
      <ns0:c r="S459" s="16">
        <ns0:f>Q459-F459*'前提と出典'!$E$4</ns0:f>
        <ns0:v>275119.26918274467</ns0:v>
      </ns0:c>
      <ns0:c r="T459" s="7">
        <ns0:f>R459+S459</ns0:f>
        <ns0:v>1030079.6334184885</ns0:v>
      </ns0:c>
      <ns0:c r="U459" s="16">
        <ns0:f>P459-E459*'前提と出典'!$E$5</ns0:f>
        <ns0:v>666920.3823544211</ns0:v>
      </ns0:c>
      <ns0:c r="V459" s="16">
        <ns0:f>Q459-F459*'前提と出典'!$E$5</ns0:f>
        <ns0:v>240566.77485621232</ns0:v>
      </ns0:c>
      <ns0:c r="W459" s="7">
        <ns0:f>U459+V459</ns0:f>
        <ns0:v>907487.1572106334</ns0:v>
      </ns0:c>
      <ns0:c r="X459" s="16">
        <ns0:f>P459-E459*'前提と出典'!$E$6</ns0:f>
        <ns0:v>578880.4004730985</ns0:v>
      </ns0:c>
      <ns0:c r="Y459" s="16">
        <ns0:f>Q459-F459*'前提と出典'!$E$6</ns0:f>
        <ns0:v>206014.28052968008</ns0:v>
      </ns0:c>
      <ns0:c r="Z459" s="7">
        <ns0:f>X459+Y459</ns0:f>
        <ns0:v>784894.6810027786</ns0:v>
      </ns0:c>
      <ns0:c r="AA459" s="7">
        <ns0:f>IF(T459&gt;=0,A459,1001)</ns0:f>
        <ns0:v>455</ns0:v>
      </ns0:c>
      <ns0:c r="AB459" s="7">
        <ns0:f>IF(T459&lt;0,A459,0)</ns0:f>
        <ns0:v>0</ns0:v>
      </ns0:c>
      <ns0:c r="AC459" s="16">
        <ns0:f>IF(AND(OR('前提と出典'!$C$36+'前提と出典'!$C$38=0,R459&gt;=0),OR('前提と出典'!$C$37+'前提と出典'!$C$38=0,S459&gt;=0)),0,A459)</ns0:f>
        <ns0:v>0</ns0:v>
      </ns0:c>
      <ns0:c r="AD459" s="7">
        <ns0:f>IF(W459&gt;=0,A459,1001)</ns0:f>
        <ns0:v>455</ns0:v>
      </ns0:c>
      <ns0:c r="AE459" s="7">
        <ns0:f>IF(W459&lt;0,A459,0)</ns0:f>
        <ns0:v>0</ns0:v>
      </ns0:c>
      <ns0:c r="AF459" s="16">
        <ns0:f>IF(AND(OR('前提と出典'!$C$36+'前提と出典'!$C$38=0,U459&gt;=0),OR('前提と出典'!$C$37+'前提と出典'!$C$38=0,V459&gt;=0)),0,A459)</ns0:f>
        <ns0:v>0</ns0:v>
      </ns0:c>
      <ns0:c r="AG459" s="7">
        <ns0:f>IF(Z459&gt;=0,A459,1001)</ns0:f>
        <ns0:v>455</ns0:v>
      </ns0:c>
      <ns0:c r="AH459" s="4">
        <ns0:f>IF(Z459&lt;0,A459,0)</ns0:f>
        <ns0:v>0</ns0:v>
      </ns0:c>
      <ns0:c r="AI459" s="12">
        <ns0:f>IF(AND(OR('前提と出典'!$C$36+'前提と出典'!$C$38=0,X459&gt;=0),OR('前提と出典'!$C$37+'前提と出典'!$C$38=0,Y459&gt;=0)),0,A459)</ns0:f>
        <ns0:v>0</ns0:v>
      </ns0:c>
    </ns0:row>
    <ns0:row r="460" ht="24" customHeight="1">
      <ns0:c r="A460" s="4" t="n">
        <ns0:v>456</ns0:v>
      </ns0:c>
      <ns0:c r="B460" s="12">
        <ns0:f>A460*('前提と出典'!$C$36+'前提と出典'!$C$38)</ns0:f>
        <ns0:v>319.2</ns0:v>
      </ns0:c>
      <ns0:c r="C460" s="12">
        <ns0:f>A460*('前提と出典'!$C$37+'前提と出典'!$C$38)</ns0:f>
        <ns0:v>273.59999999999997</ns0:v>
      </ns0:c>
      <ns0:c r="D460" s="16">
        <ns0:f>A460*('前提と出典'!$C$36*'契約別単価'!C5+'前提と出典'!$C$37*'契約別単価'!C6+'前提と出典'!$C$38*'契約別単価'!C7)</ns0:f>
        <ns0:v>3281.1620111731845</ns0:v>
      </ns0:c>
      <ns0:c r="E460" s="16">
        <ns0:f>A460*('前提と出典'!$C$36*'契約別単価'!E5+'前提と出典'!$C$37*'契約別単価'!E6+'前提と出典'!$C$38*'契約別単価'!E7)</ns0:f>
        <ns0:v>882334.7634699589</ns0:v>
      </ns0:c>
      <ns0:c r="F460" s="16">
        <ns0:f>A460*('前提と出典'!$C$36*'契約別単価'!F5+'前提と出典'!$C$37*'契約別単価'!F6+'前提と出典'!$C$38*'契約別単価'!F7)</ns0:f>
        <ns0:v>346284.3387450265</ns0:v>
      </ns0:c>
      <ns0:c r="G460" s="16">
        <ns0:f>A460*('前提と出典'!$C$36*'契約別単価'!G5+'前提と出典'!$C$37*'契約別単価'!G6+'前提と出典'!$C$38*'契約別単価'!G7)</ns0:f>
        <ns0:v>907669.2737430168</ns0:v>
      </ns0:c>
      <ns0:c r="H460" s="16">
        <ns0:f>A460*('前提と出典'!$C$36*'契約別単価'!H5+'前提と出典'!$C$37*'契約別単価'!H6+'前提と出典'!$C$38*'契約別単価'!H7)</ns0:f>
        <ns0:v>315006.76118020265</ns0:v>
      </ns0:c>
      <ns0:c r="I460" s="16">
        <ns0:f>A460*('前提と出典'!$C$36*'契約別単価'!I5+'前提と出典'!$C$37*'契約別単価'!I6+'前提と出典'!$C$38*'契約別単価'!I7)</ns0:f>
        <ns0:v>19241.162011173183</ns0:v>
      </ns0:c>
      <ns0:c r="J460" s="16">
        <ns0:f>A460*('前提と出典'!$C$36*'契約別単価'!J5+'前提と出典'!$C$37*'契約別単価'!J6+'前提と出典'!$C$38*'契約別単価'!J7)</ns0:f>
        <ns0:v>44820.03193189797</ns0:v>
      </ns0:c>
      <ns0:c r="K460" s="16">
        <ns0:f>A460*('前提と出典'!$C$36*'契約別単価'!K5+'前提と出典'!$C$37*'契約別単価'!K6+'前提と出典'!$C$38*'契約別単価'!K7)</ns0:f>
        <ns0:v>192114.4134078212</ns0:v>
      </ns0:c>
      <ns0:c r="L460" s="16">
        <ns0:f>A460*('前提と出典'!$C$36*'契約別単価'!L5+'前提と出典'!$C$37*'契約別単価'!L6+'前提と出典'!$C$38*'契約別単価'!L7)</ns0:f>
        <ns0:v>156420.22537267342</ns0:v>
      </ns0:c>
      <ns0:c r="M460" s="16">
        <ns0:f>IF(('前提と出典'!$C$36+'前提と出典'!$C$38)=0,0,IF(B460&lt;=10,'前提と出典'!B73+'前提と出典'!C73,IF(B460&lt;=100,'前提と出典'!B74+'前提と出典'!C74,IF(B460&lt;=500,'前提と出典'!B75+'前提と出典'!C75,'前提と出典'!B76+'前提と出典'!C76))))</ns0:f>
        <ns0:v>40000</ns0:v>
      </ns0:c>
      <ns0:c r="N460" s="16">
        <ns0:f>IF(('前提と出典'!$C$37+'前提と出典'!$C$38)=0,0,IF(C460&lt;=10,'前提と出典'!D73+'前提と出典'!E73,IF(C460&lt;=100,'前提と出典'!D74+'前提と出典'!E74,IF(C460&lt;=500,'前提と出典'!D75+'前提と出典'!E75,'前提と出典'!D76+'前提と出典'!E76))))</ns0:f>
        <ns0:v>56510.9346263078</ns0:v>
      </ns0:c>
      <ns0:c r="O460" s="16">
        <ns0:f>IF('前提と出典'!$C$36+'前提と出典'!$C$38=0,0,'前提と出典'!$B$4*IF('前提と出典'!$B$20=0,MAX('前提と出典'!$B$6,D460*'前提と出典'!$B$5),'前提と出典'!$B$6+D460*'前提と出典'!$B$5))</ns0:f>
        <ns0:v>452800.3575418995</ns0:v>
      </ns0:c>
      <ns0:c r="P460" s="16">
        <ns0:f>(E460+G460)*(1-'前提と出典'!$B$7)-I460-K460-M460-O460</ns0:f>
        <ns0:v>1021407.958912415</ns0:v>
      </ns0:c>
      <ns0:c r="Q460" s="16">
        <ns0:f>(F460+H460)*(1-'前提と出典'!$B$7)-J460-L460-N460</ns0:f>
        <ns0:v>379733.4283970416</ns0:v>
      </ns0:c>
      <ns0:c r="R460" s="16">
        <ns0:f>P460-E460*'前提と出典'!$E$4</ns0:f>
        <ns0:v>756707.5298714272</ns0:v>
      </ns0:c>
      <ns0:c r="S460" s="16">
        <ns0:f>Q460-F460*'前提と出典'!$E$4</ns0:f>
        <ns0:v>275848.1267735337</ns0:v>
      </ns0:c>
      <ns0:c r="T460" s="7">
        <ns0:f>R460+S460</ns0:f>
        <ns0:v>1032555.6566449609</ns0:v>
      </ns0:c>
      <ns0:c r="U460" s="16">
        <ns0:f>P460-E460*'前提と出典'!$E$5</ns0:f>
        <ns0:v>668474.0535244313</ns0:v>
      </ns0:c>
      <ns0:c r="V460" s="16">
        <ns0:f>Q460-F460*'前提と出典'!$E$5</ns0:f>
        <ns0:v>241219.69289903098</ns0:v>
      </ns0:c>
      <ns0:c r="W460" s="7">
        <ns0:f>U460+V460</ns0:f>
        <ns0:v>909693.7464234623</ns0:v>
      </ns0:c>
      <ns0:c r="X460" s="16">
        <ns0:f>P460-E460*'前提と出典'!$E$6</ns0:f>
        <ns0:v>580240.5771774356</ns0:v>
      </ns0:c>
      <ns0:c r="Y460" s="16">
        <ns0:f>Q460-F460*'前提と出典'!$E$6</ns0:f>
        <ns0:v>206591.25902452838</ns0:v>
      </ns0:c>
      <ns0:c r="Z460" s="7">
        <ns0:f>X460+Y460</ns0:f>
        <ns0:v>786831.836201964</ns0:v>
      </ns0:c>
      <ns0:c r="AA460" s="7">
        <ns0:f>IF(T460&gt;=0,A460,1001)</ns0:f>
        <ns0:v>456</ns0:v>
      </ns0:c>
      <ns0:c r="AB460" s="7">
        <ns0:f>IF(T460&lt;0,A460,0)</ns0:f>
        <ns0:v>0</ns0:v>
      </ns0:c>
      <ns0:c r="AC460" s="16">
        <ns0:f>IF(AND(OR('前提と出典'!$C$36+'前提と出典'!$C$38=0,R460&gt;=0),OR('前提と出典'!$C$37+'前提と出典'!$C$38=0,S460&gt;=0)),0,A460)</ns0:f>
        <ns0:v>0</ns0:v>
      </ns0:c>
      <ns0:c r="AD460" s="7">
        <ns0:f>IF(W460&gt;=0,A460,1001)</ns0:f>
        <ns0:v>456</ns0:v>
      </ns0:c>
      <ns0:c r="AE460" s="7">
        <ns0:f>IF(W460&lt;0,A460,0)</ns0:f>
        <ns0:v>0</ns0:v>
      </ns0:c>
      <ns0:c r="AF460" s="16">
        <ns0:f>IF(AND(OR('前提と出典'!$C$36+'前提と出典'!$C$38=0,U460&gt;=0),OR('前提と出典'!$C$37+'前提と出典'!$C$38=0,V460&gt;=0)),0,A460)</ns0:f>
        <ns0:v>0</ns0:v>
      </ns0:c>
      <ns0:c r="AG460" s="7">
        <ns0:f>IF(Z460&gt;=0,A460,1001)</ns0:f>
        <ns0:v>456</ns0:v>
      </ns0:c>
      <ns0:c r="AH460" s="4">
        <ns0:f>IF(Z460&lt;0,A460,0)</ns0:f>
        <ns0:v>0</ns0:v>
      </ns0:c>
      <ns0:c r="AI460" s="12">
        <ns0:f>IF(AND(OR('前提と出典'!$C$36+'前提と出典'!$C$38=0,X460&gt;=0),OR('前提と出典'!$C$37+'前提と出典'!$C$38=0,Y460&gt;=0)),0,A460)</ns0:f>
        <ns0:v>0</ns0:v>
      </ns0:c>
    </ns0:row>
    <ns0:row r="461" ht="24" customHeight="1">
      <ns0:c r="A461" s="4" t="n">
        <ns0:v>457</ns0:v>
      </ns0:c>
      <ns0:c r="B461" s="12">
        <ns0:f>A461*('前提と出典'!$C$36+'前提と出典'!$C$38)</ns0:f>
        <ns0:v>319.9</ns0:v>
      </ns0:c>
      <ns0:c r="C461" s="12">
        <ns0:f>A461*('前提と出典'!$C$37+'前提と出典'!$C$38)</ns0:f>
        <ns0:v>274.2</ns0:v>
      </ns0:c>
      <ns0:c r="D461" s="16">
        <ns0:f>A461*('前提と出典'!$C$36*'契約別単価'!C5+'前提と出典'!$C$37*'契約別単価'!C6+'前提と出典'!$C$38*'契約別単価'!C7)</ns0:f>
        <ns0:v>3288.3575418994415</ns0:v>
      </ns0:c>
      <ns0:c r="E461" s="16">
        <ns0:f>A461*('前提と出典'!$C$36*'契約別単価'!E5+'前提と出典'!$C$37*'契約別単価'!E6+'前提と出典'!$C$38*'契約別単価'!E7)</ns0:f>
        <ns0:v>884269.7081266913</ns0:v>
      </ns0:c>
      <ns0:c r="F461" s="16">
        <ns0:f>A461*('前提と出典'!$C$36*'契約別単価'!F5+'前提と出典'!$C$37*'契約別単価'!F6+'前提と出典'!$C$38*'契約別単価'!F7)</ns0:f>
        <ns0:v>347043.7342247305</ns0:v>
      </ns0:c>
      <ns0:c r="G461" s="16">
        <ns0:f>A461*('前提と出典'!$C$36*'契約別単価'!G5+'前提と出典'!$C$37*'契約別単価'!G6+'前提と出典'!$C$38*'契約別単価'!G7)</ns0:f>
        <ns0:v>909659.7765363128</ns0:v>
      </ns0:c>
      <ns0:c r="H461" s="16">
        <ns0:f>A461*('前提と出典'!$C$36*'契約別単価'!H5+'前提と出典'!$C$37*'契約別単価'!H6+'前提と出典'!$C$38*'契約別単価'!H7)</ns0:f>
        <ns0:v>315697.5654810364</ns0:v>
      </ns0:c>
      <ns0:c r="I461" s="16">
        <ns0:f>A461*('前提と出典'!$C$36*'契約別単価'!I5+'前提と出典'!$C$37*'契約別単価'!I6+'前提と出典'!$C$38*'契約別単価'!I7)</ns0:f>
        <ns0:v>19283.357541899437</ns0:v>
      </ns0:c>
      <ns0:c r="J461" s="16">
        <ns0:f>A461*('前提と出典'!$C$36*'契約別単価'!J5+'前提と出典'!$C$37*'契約別単価'!J6+'前提と出典'!$C$38*'契約別単価'!J7)</ns0:f>
        <ns0:v>44918.321475608274</ns0:v>
      </ns0:c>
      <ns0:c r="K461" s="16">
        <ns0:f>A461*('前提と出典'!$C$36*'契約別単価'!K5+'前提と出典'!$C$37*'契約別単価'!K6+'前提と出典'!$C$38*'契約別単価'!K7)</ns0:f>
        <ns0:v>192535.71694599628</ns0:v>
      </ns0:c>
      <ns0:c r="L461" s="16">
        <ns0:f>A461*('前提と出典'!$C$36*'契約別単価'!L5+'前提と出典'!$C$37*'契約別単価'!L6+'前提と出典'!$C$38*'契約別単価'!L7)</ns0:f>
        <ns0:v>156763.2521827012</ns0:v>
      </ns0:c>
      <ns0:c r="M461" s="16">
        <ns0:f>IF(('前提と出典'!$C$36+'前提と出典'!$C$38)=0,0,IF(B461&lt;=10,'前提と出典'!B73+'前提と出典'!C73,IF(B461&lt;=100,'前提と出典'!B74+'前提と出典'!C74,IF(B461&lt;=500,'前提と出典'!B75+'前提と出典'!C75,'前提と出典'!B76+'前提と出典'!C76))))</ns0:f>
        <ns0:v>40000</ns0:v>
      </ns0:c>
      <ns0:c r="N461" s="16">
        <ns0:f>IF(('前提と出典'!$C$37+'前提と出典'!$C$38)=0,0,IF(C461&lt;=10,'前提と出典'!D73+'前提と出典'!E73,IF(C461&lt;=100,'前提と出典'!D74+'前提と出典'!E74,IF(C461&lt;=500,'前提と出典'!D75+'前提と出典'!E75,'前提と出典'!D76+'前提と出典'!E76))))</ns0:f>
        <ns0:v>56510.9346263078</ns0:v>
      </ns0:c>
      <ns0:c r="O461" s="16">
        <ns0:f>IF('前提と出典'!$C$36+'前提と出典'!$C$38=0,0,'前提と出典'!$B$4*IF('前提と出典'!$B$20=0,MAX('前提と出典'!$B$6,D461*'前提と出典'!$B$5),'前提と出典'!$B$6+D461*'前提と出典'!$B$5))</ns0:f>
        <ns0:v>453793.340782123</ns0:v>
      </ns0:c>
      <ns0:c r="P461" s="16">
        <ns0:f>(E461+G461)*(1-'前提と出典'!$B$7)-I461-K461-M461-O461</ns0:f>
        <ns0:v>1023735.6079451174</ns0:v>
      </ns0:c>
      <ns0:c r="Q461" s="16">
        <ns0:f>(F461+H461)*(1-'前提と出典'!$B$7)-J461-L461-N461</ns0:f>
        <ns0:v>380690.1046317419</ns0:v>
      </ns0:c>
      <ns0:c r="R461" s="16">
        <ns0:f>P461-E461*'前提と出典'!$E$4</ns0:f>
        <ns0:v>758454.6955071101</ns0:v>
      </ns0:c>
      <ns0:c r="S461" s="16">
        <ns0:f>Q461-F461*'前提と出典'!$E$4</ns0:f>
        <ns0:v>276576.9843643228</ns0:v>
      </ns0:c>
      <ns0:c r="T461" s="7">
        <ns0:f>R461+S461</ns0:f>
        <ns0:v>1035031.679871433</ns0:v>
      </ns0:c>
      <ns0:c r="U461" s="16">
        <ns0:f>P461-E461*'前提と出典'!$E$5</ns0:f>
        <ns0:v>670027.7246944408</ns0:v>
      </ns0:c>
      <ns0:c r="V461" s="16">
        <ns0:f>Q461-F461*'前提と出典'!$E$5</ns0:f>
        <ns0:v>241872.6109418497</ns0:v>
      </ns0:c>
      <ns0:c r="W461" s="7">
        <ns0:f>U461+V461</ns0:f>
        <ns0:v>911900.3356362905</ns0:v>
      </ns0:c>
      <ns0:c r="X461" s="16">
        <ns0:f>P461-E461*'前提と出典'!$E$6</ns0:f>
        <ns0:v>581600.7538817718</ns0:v>
      </ns0:c>
      <ns0:c r="Y461" s="16">
        <ns0:f>Q461-F461*'前提と出典'!$E$6</ns0:f>
        <ns0:v>207168.23751937668</ns0:v>
      </ns0:c>
      <ns0:c r="Z461" s="7">
        <ns0:f>X461+Y461</ns0:f>
        <ns0:v>788768.9914011485</ns0:v>
      </ns0:c>
      <ns0:c r="AA461" s="7">
        <ns0:f>IF(T461&gt;=0,A461,1001)</ns0:f>
        <ns0:v>457</ns0:v>
      </ns0:c>
      <ns0:c r="AB461" s="7">
        <ns0:f>IF(T461&lt;0,A461,0)</ns0:f>
        <ns0:v>0</ns0:v>
      </ns0:c>
      <ns0:c r="AC461" s="16">
        <ns0:f>IF(AND(OR('前提と出典'!$C$36+'前提と出典'!$C$38=0,R461&gt;=0),OR('前提と出典'!$C$37+'前提と出典'!$C$38=0,S461&gt;=0)),0,A461)</ns0:f>
        <ns0:v>0</ns0:v>
      </ns0:c>
      <ns0:c r="AD461" s="7">
        <ns0:f>IF(W461&gt;=0,A461,1001)</ns0:f>
        <ns0:v>457</ns0:v>
      </ns0:c>
      <ns0:c r="AE461" s="7">
        <ns0:f>IF(W461&lt;0,A461,0)</ns0:f>
        <ns0:v>0</ns0:v>
      </ns0:c>
      <ns0:c r="AF461" s="16">
        <ns0:f>IF(AND(OR('前提と出典'!$C$36+'前提と出典'!$C$38=0,U461&gt;=0),OR('前提と出典'!$C$37+'前提と出典'!$C$38=0,V461&gt;=0)),0,A461)</ns0:f>
        <ns0:v>0</ns0:v>
      </ns0:c>
      <ns0:c r="AG461" s="7">
        <ns0:f>IF(Z461&gt;=0,A461,1001)</ns0:f>
        <ns0:v>457</ns0:v>
      </ns0:c>
      <ns0:c r="AH461" s="4">
        <ns0:f>IF(Z461&lt;0,A461,0)</ns0:f>
        <ns0:v>0</ns0:v>
      </ns0:c>
      <ns0:c r="AI461" s="12">
        <ns0:f>IF(AND(OR('前提と出典'!$C$36+'前提と出典'!$C$38=0,X461&gt;=0),OR('前提と出典'!$C$37+'前提と出典'!$C$38=0,Y461&gt;=0)),0,A461)</ns0:f>
        <ns0:v>0</ns0:v>
      </ns0:c>
    </ns0:row>
    <ns0:row r="462" ht="24" customHeight="1">
      <ns0:c r="A462" s="4" t="n">
        <ns0:v>458</ns0:v>
      </ns0:c>
      <ns0:c r="B462" s="12">
        <ns0:f>A462*('前提と出典'!$C$36+'前提と出典'!$C$38)</ns0:f>
        <ns0:v>320.59999999999997</ns0:v>
      </ns0:c>
      <ns0:c r="C462" s="12">
        <ns0:f>A462*('前提と出典'!$C$37+'前提と出典'!$C$38)</ns0:f>
        <ns0:v>274.8</ns0:v>
      </ns0:c>
      <ns0:c r="D462" s="16">
        <ns0:f>A462*('前提と出典'!$C$36*'契約別単価'!C5+'前提と出典'!$C$37*'契約別単価'!C6+'前提と出典'!$C$38*'契約別単価'!C7)</ns0:f>
        <ns0:v>3295.5530726256984</ns0:v>
      </ns0:c>
      <ns0:c r="E462" s="16">
        <ns0:f>A462*('前提と出典'!$C$36*'契約別単価'!E5+'前提と出典'!$C$37*'契約別単価'!E6+'前提と出典'!$C$38*'契約別単価'!E7)</ns0:f>
        <ns0:v>886204.6527834237</ns0:v>
      </ns0:c>
      <ns0:c r="F462" s="16">
        <ns0:f>A462*('前提と出典'!$C$36*'契約別単価'!F5+'前提と出典'!$C$37*'契約別単価'!F6+'前提と出典'!$C$38*'契約別単価'!F7)</ns0:f>
        <ns0:v>347803.12970443454</ns0:v>
      </ns0:c>
      <ns0:c r="G462" s="16">
        <ns0:f>A462*('前提と出典'!$C$36*'契約別単価'!G5+'前提と出典'!$C$37*'契約別単価'!G6+'前提と出典'!$C$38*'契約別単価'!G7)</ns0:f>
        <ns0:v>911650.2793296089</ns0:v>
      </ns0:c>
      <ns0:c r="H462" s="16">
        <ns0:f>A462*('前提と出典'!$C$36*'契約別単価'!H5+'前提と出典'!$C$37*'契約別単価'!H6+'前提と出典'!$C$38*'契約別単価'!H7)</ns0:f>
        <ns0:v>316388.36978187016</ns0:v>
      </ns0:c>
      <ns0:c r="I462" s="16">
        <ns0:f>A462*('前提と出典'!$C$36*'契約別単価'!I5+'前提と出典'!$C$37*'契約別単価'!I6+'前提と出典'!$C$38*'契約別単価'!I7)</ns0:f>
        <ns0:v>19325.553072625695</ns0:v>
      </ns0:c>
      <ns0:c r="J462" s="16">
        <ns0:f>A462*('前提と出典'!$C$36*'契約別単価'!J5+'前提と出典'!$C$37*'契約別単価'!J6+'前提と出典'!$C$38*'契約別単価'!J7)</ns0:f>
        <ns0:v>45016.611019318574</ns0:v>
      </ns0:c>
      <ns0:c r="K462" s="16">
        <ns0:f>A462*('前提と出典'!$C$36*'契約別単価'!K5+'前提と出典'!$C$37*'契約別単価'!K6+'前提と出典'!$C$38*'契約別単価'!K7)</ns0:f>
        <ns0:v>192957.0204841713</ns0:v>
      </ns0:c>
      <ns0:c r="L462" s="16">
        <ns0:f>A462*('前提と出典'!$C$36*'契約別単価'!L5+'前提と出典'!$C$37*'契約別単価'!L6+'前提と出典'!$C$38*'契約別単価'!L7)</ns0:f>
        <ns0:v>157106.278992729</ns0:v>
      </ns0:c>
      <ns0:c r="M462" s="16">
        <ns0:f>IF(('前提と出典'!$C$36+'前提と出典'!$C$38)=0,0,IF(B462&lt;=10,'前提と出典'!B73+'前提と出典'!C73,IF(B462&lt;=100,'前提と出典'!B74+'前提と出典'!C74,IF(B462&lt;=500,'前提と出典'!B75+'前提と出典'!C75,'前提と出典'!B76+'前提と出典'!C76))))</ns0:f>
        <ns0:v>40000</ns0:v>
      </ns0:c>
      <ns0:c r="N462" s="16">
        <ns0:f>IF(('前提と出典'!$C$37+'前提と出典'!$C$38)=0,0,IF(C462&lt;=10,'前提と出典'!D73+'前提と出典'!E73,IF(C462&lt;=100,'前提と出典'!D74+'前提と出典'!E74,IF(C462&lt;=500,'前提と出典'!D75+'前提と出典'!E75,'前提と出典'!D76+'前提と出典'!E76))))</ns0:f>
        <ns0:v>56510.9346263078</ns0:v>
      </ns0:c>
      <ns0:c r="O462" s="16">
        <ns0:f>IF('前提と出典'!$C$36+'前提と出典'!$C$38=0,0,'前提と出典'!$B$4*IF('前提と出典'!$B$20=0,MAX('前提と出典'!$B$6,D462*'前提と出典'!$B$5),'前提と出典'!$B$6+D462*'前提と出典'!$B$5))</ns0:f>
        <ns0:v>454786.32402234635</ns0:v>
      </ns0:c>
      <ns0:c r="P462" s="16">
        <ns0:f>(E462+G462)*(1-'前提と出典'!$B$7)-I462-K462-M462-O462</ns0:f>
        <ns0:v>1026063.2569778198</ns0:v>
      </ns0:c>
      <ns0:c r="Q462" s="16">
        <ns0:f>(F462+H462)*(1-'前提と出典'!$B$7)-J462-L462-N462</ns0:f>
        <ns0:v>381646.78086644236</ns0:v>
      </ns0:c>
      <ns0:c r="R462" s="16">
        <ns0:f>P462-E462*'前提と出典'!$E$4</ns0:f>
        <ns0:v>760201.8611427927</ns0:v>
      </ns0:c>
      <ns0:c r="S462" s="16">
        <ns0:f>Q462-F462*'前提と出典'!$E$4</ns0:f>
        <ns0:v>277305.84195511206</ns0:v>
      </ns0:c>
      <ns0:c r="T462" s="7">
        <ns0:f>R462+S462</ns0:f>
        <ns0:v>1037507.7030979048</ns0:v>
      </ns0:c>
      <ns0:c r="U462" s="16">
        <ns0:f>P462-E462*'前提と出典'!$E$5</ns0:f>
        <ns0:v>671581.3958644504</ns0:v>
      </ns0:c>
      <ns0:c r="V462" s="16">
        <ns0:f>Q462-F462*'前提と出典'!$E$5</ns0:f>
        <ns0:v>242525.52898466855</ns0:v>
      </ns0:c>
      <ns0:c r="W462" s="7">
        <ns0:f>U462+V462</ns0:f>
        <ns0:v>914106.9248491189</ns0:v>
      </ns0:c>
      <ns0:c r="X462" s="16">
        <ns0:f>P462-E462*'前提と出典'!$E$6</ns0:f>
        <ns0:v>582960.930586108</ns0:v>
      </ns0:c>
      <ns0:c r="Y462" s="16">
        <ns0:f>Q462-F462*'前提と出典'!$E$6</ns0:f>
        <ns0:v>207745.21601422504</ns0:v>
      </ns0:c>
      <ns0:c r="Z462" s="7">
        <ns0:f>X462+Y462</ns0:f>
        <ns0:v>790706.146600333</ns0:v>
      </ns0:c>
      <ns0:c r="AA462" s="7">
        <ns0:f>IF(T462&gt;=0,A462,1001)</ns0:f>
        <ns0:v>458</ns0:v>
      </ns0:c>
      <ns0:c r="AB462" s="7">
        <ns0:f>IF(T462&lt;0,A462,0)</ns0:f>
        <ns0:v>0</ns0:v>
      </ns0:c>
      <ns0:c r="AC462" s="16">
        <ns0:f>IF(AND(OR('前提と出典'!$C$36+'前提と出典'!$C$38=0,R462&gt;=0),OR('前提と出典'!$C$37+'前提と出典'!$C$38=0,S462&gt;=0)),0,A462)</ns0:f>
        <ns0:v>0</ns0:v>
      </ns0:c>
      <ns0:c r="AD462" s="7">
        <ns0:f>IF(W462&gt;=0,A462,1001)</ns0:f>
        <ns0:v>458</ns0:v>
      </ns0:c>
      <ns0:c r="AE462" s="7">
        <ns0:f>IF(W462&lt;0,A462,0)</ns0:f>
        <ns0:v>0</ns0:v>
      </ns0:c>
      <ns0:c r="AF462" s="16">
        <ns0:f>IF(AND(OR('前提と出典'!$C$36+'前提と出典'!$C$38=0,U462&gt;=0),OR('前提と出典'!$C$37+'前提と出典'!$C$38=0,V462&gt;=0)),0,A462)</ns0:f>
        <ns0:v>0</ns0:v>
      </ns0:c>
      <ns0:c r="AG462" s="7">
        <ns0:f>IF(Z462&gt;=0,A462,1001)</ns0:f>
        <ns0:v>458</ns0:v>
      </ns0:c>
      <ns0:c r="AH462" s="4">
        <ns0:f>IF(Z462&lt;0,A462,0)</ns0:f>
        <ns0:v>0</ns0:v>
      </ns0:c>
      <ns0:c r="AI462" s="12">
        <ns0:f>IF(AND(OR('前提と出典'!$C$36+'前提と出典'!$C$38=0,X462&gt;=0),OR('前提と出典'!$C$37+'前提と出典'!$C$38=0,Y462&gt;=0)),0,A462)</ns0:f>
        <ns0:v>0</ns0:v>
      </ns0:c>
    </ns0:row>
    <ns0:row r="463" ht="24" customHeight="1">
      <ns0:c r="A463" s="4" t="n">
        <ns0:v>459</ns0:v>
      </ns0:c>
      <ns0:c r="B463" s="12">
        <ns0:f>A463*('前提と出典'!$C$36+'前提と出典'!$C$38)</ns0:f>
        <ns0:v>321.29999999999995</ns0:v>
      </ns0:c>
      <ns0:c r="C463" s="12">
        <ns0:f>A463*('前提と出典'!$C$37+'前提と出典'!$C$38)</ns0:f>
        <ns0:v>275.4</ns0:v>
      </ns0:c>
      <ns0:c r="D463" s="16">
        <ns0:f>A463*('前提と出典'!$C$36*'契約別単価'!C5+'前提と出典'!$C$37*'契約別単価'!C6+'前提と出典'!$C$38*'契約別単価'!C7)</ns0:f>
        <ns0:v>3302.7486033519554</ns0:v>
      </ns0:c>
      <ns0:c r="E463" s="16">
        <ns0:f>A463*('前提と出典'!$C$36*'契約別単価'!E5+'前提と出典'!$C$37*'契約別単価'!E6+'前提と出典'!$C$38*'契約別単価'!E7)</ns0:f>
        <ns0:v>888139.5974401559</ns0:v>
      </ns0:c>
      <ns0:c r="F463" s="16">
        <ns0:f>A463*('前提と出典'!$C$36*'契約別単価'!F5+'前提と出典'!$C$37*'契約別単価'!F6+'前提と出典'!$C$38*'契約別単価'!F7)</ns0:f>
        <ns0:v>348562.52518413856</ns0:v>
      </ns0:c>
      <ns0:c r="G463" s="16">
        <ns0:f>A463*('前提と出典'!$C$36*'契約別単価'!G5+'前提と出典'!$C$37*'契約別単価'!G6+'前提と出典'!$C$38*'契約別単価'!G7)</ns0:f>
        <ns0:v>913640.782122905</ns0:v>
      </ns0:c>
      <ns0:c r="H463" s="16">
        <ns0:f>A463*('前提と出典'!$C$36*'契約別単価'!H5+'前提と出典'!$C$37*'契約別単価'!H6+'前提と出典'!$C$38*'契約別単価'!H7)</ns0:f>
        <ns0:v>317079.17408270395</ns0:v>
      </ns0:c>
      <ns0:c r="I463" s="16">
        <ns0:f>A463*('前提と出典'!$C$36*'契約別単価'!I5+'前提と出典'!$C$37*'契約別単価'!I6+'前提と出典'!$C$38*'契約別単価'!I7)</ns0:f>
        <ns0:v>19367.748603351953</ns0:v>
      </ns0:c>
      <ns0:c r="J463" s="16">
        <ns0:f>A463*('前提と出典'!$C$36*'契約別単価'!J5+'前提と出典'!$C$37*'契約別単価'!J6+'前提と出典'!$C$38*'契約別単価'!J7)</ns0:f>
        <ns0:v>45114.90056302888</ns0:v>
      </ns0:c>
      <ns0:c r="K463" s="16">
        <ns0:f>A463*('前提と出典'!$C$36*'契約別単価'!K5+'前提と出典'!$C$37*'契約別単価'!K6+'前提と出典'!$C$38*'契約別単価'!K7)</ns0:f>
        <ns0:v>193378.32402234635</ns0:v>
      </ns0:c>
      <ns0:c r="L463" s="16">
        <ns0:f>A463*('前提と出典'!$C$36*'契約別単価'!L5+'前提と出典'!$C$37*'契約別単価'!L6+'前提と出典'!$C$38*'契約別単価'!L7)</ns0:f>
        <ns0:v>157449.3058027568</ns0:v>
      </ns0:c>
      <ns0:c r="M463" s="16">
        <ns0:f>IF(('前提と出典'!$C$36+'前提と出典'!$C$38)=0,0,IF(B463&lt;=10,'前提と出典'!B73+'前提と出典'!C73,IF(B463&lt;=100,'前提と出典'!B74+'前提と出典'!C74,IF(B463&lt;=500,'前提と出典'!B75+'前提と出典'!C75,'前提と出典'!B76+'前提と出典'!C76))))</ns0:f>
        <ns0:v>40000</ns0:v>
      </ns0:c>
      <ns0:c r="N463" s="16">
        <ns0:f>IF(('前提と出典'!$C$37+'前提と出典'!$C$38)=0,0,IF(C463&lt;=10,'前提と出典'!D73+'前提と出典'!E73,IF(C463&lt;=100,'前提と出典'!D74+'前提と出典'!E74,IF(C463&lt;=500,'前提と出典'!D75+'前提と出典'!E75,'前提と出典'!D76+'前提と出典'!E76))))</ns0:f>
        <ns0:v>56510.9346263078</ns0:v>
      </ns0:c>
      <ns0:c r="O463" s="16">
        <ns0:f>IF('前提と出典'!$C$36+'前提と出典'!$C$38=0,0,'前提と出典'!$B$4*IF('前提と出典'!$B$20=0,MAX('前提と出典'!$B$6,D463*'前提と出典'!$B$5),'前提と出典'!$B$6+D463*'前提と出典'!$B$5))</ns0:f>
        <ns0:v>455779.30726256984</ns0:v>
      </ns0:c>
      <ns0:c r="P463" s="16">
        <ns0:f>(E463+G463)*(1-'前提と出典'!$B$7)-I463-K463-M463-O463</ns0:f>
        <ns0:v>1028390.9060105227</ns0:v>
      </ns0:c>
      <ns0:c r="Q463" s="16">
        <ns0:f>(F463+H463)*(1-'前提と出典'!$B$7)-J463-L463-N463</ns0:f>
        <ns0:v>382603.45710114273</ns0:v>
      </ns0:c>
      <ns0:c r="R463" s="16">
        <ns0:f>P463-E463*'前提と出典'!$E$4</ns0:f>
        <ns0:v>761949.0267784761</ns0:v>
      </ns0:c>
      <ns0:c r="S463" s="16">
        <ns0:f>Q463-F463*'前提と出典'!$E$4</ns0:f>
        <ns0:v>278034.69954590115</ns0:v>
      </ns0:c>
      <ns0:c r="T463" s="7">
        <ns0:f>R463+S463</ns0:f>
        <ns0:v>1039983.7263243772</ns0:v>
      </ns0:c>
      <ns0:c r="U463" s="16">
        <ns0:f>P463-E463*'前提と出典'!$E$5</ns0:f>
        <ns0:v>673135.0670344604</ns0:v>
      </ns0:c>
      <ns0:c r="V463" s="16">
        <ns0:f>Q463-F463*'前提と出典'!$E$5</ns0:f>
        <ns0:v>243178.44702748733</ns0:v>
      </ns0:c>
      <ns0:c r="W463" s="7">
        <ns0:f>U463+V463</ns0:f>
        <ns0:v>916313.5140619477</ns0:v>
      </ns0:c>
      <ns0:c r="X463" s="16">
        <ns0:f>P463-E463*'前提と出典'!$E$6</ns0:f>
        <ns0:v>584321.1072904447</ns0:v>
      </ns0:c>
      <ns0:c r="Y463" s="16">
        <ns0:f>Q463-F463*'前提と出典'!$E$6</ns0:f>
        <ns0:v>208322.19450907345</ns0:v>
      </ns0:c>
      <ns0:c r="Z463" s="7">
        <ns0:f>X463+Y463</ns0:f>
        <ns0:v>792643.301799518</ns0:v>
      </ns0:c>
      <ns0:c r="AA463" s="7">
        <ns0:f>IF(T463&gt;=0,A463,1001)</ns0:f>
        <ns0:v>459</ns0:v>
      </ns0:c>
      <ns0:c r="AB463" s="7">
        <ns0:f>IF(T463&lt;0,A463,0)</ns0:f>
        <ns0:v>0</ns0:v>
      </ns0:c>
      <ns0:c r="AC463" s="16">
        <ns0:f>IF(AND(OR('前提と出典'!$C$36+'前提と出典'!$C$38=0,R463&gt;=0),OR('前提と出典'!$C$37+'前提と出典'!$C$38=0,S463&gt;=0)),0,A463)</ns0:f>
        <ns0:v>0</ns0:v>
      </ns0:c>
      <ns0:c r="AD463" s="7">
        <ns0:f>IF(W463&gt;=0,A463,1001)</ns0:f>
        <ns0:v>459</ns0:v>
      </ns0:c>
      <ns0:c r="AE463" s="7">
        <ns0:f>IF(W463&lt;0,A463,0)</ns0:f>
        <ns0:v>0</ns0:v>
      </ns0:c>
      <ns0:c r="AF463" s="16">
        <ns0:f>IF(AND(OR('前提と出典'!$C$36+'前提と出典'!$C$38=0,U463&gt;=0),OR('前提と出典'!$C$37+'前提と出典'!$C$38=0,V463&gt;=0)),0,A463)</ns0:f>
        <ns0:v>0</ns0:v>
      </ns0:c>
      <ns0:c r="AG463" s="7">
        <ns0:f>IF(Z463&gt;=0,A463,1001)</ns0:f>
        <ns0:v>459</ns0:v>
      </ns0:c>
      <ns0:c r="AH463" s="4">
        <ns0:f>IF(Z463&lt;0,A463,0)</ns0:f>
        <ns0:v>0</ns0:v>
      </ns0:c>
      <ns0:c r="AI463" s="12">
        <ns0:f>IF(AND(OR('前提と出典'!$C$36+'前提と出典'!$C$38=0,X463&gt;=0),OR('前提と出典'!$C$37+'前提と出典'!$C$38=0,Y463&gt;=0)),0,A463)</ns0:f>
        <ns0:v>0</ns0:v>
      </ns0:c>
    </ns0:row>
    <ns0:row r="464" ht="24" customHeight="1">
      <ns0:c r="A464" s="4" t="n">
        <ns0:v>460</ns0:v>
      </ns0:c>
      <ns0:c r="B464" s="12">
        <ns0:f>A464*('前提と出典'!$C$36+'前提と出典'!$C$38)</ns0:f>
        <ns0:v>322</ns0:v>
      </ns0:c>
      <ns0:c r="C464" s="12">
        <ns0:f>A464*('前提と出典'!$C$37+'前提と出典'!$C$38)</ns0:f>
        <ns0:v>276</ns0:v>
      </ns0:c>
      <ns0:c r="D464" s="16">
        <ns0:f>A464*('前提と出典'!$C$36*'契約別単価'!C5+'前提と出典'!$C$37*'契約別単価'!C6+'前提と出典'!$C$38*'契約別単価'!C7)</ns0:f>
        <ns0:v>3309.9441340782123</ns0:v>
      </ns0:c>
      <ns0:c r="E464" s="16">
        <ns0:f>A464*('前提と出典'!$C$36*'契約別単価'!E5+'前提と出典'!$C$37*'契約別単価'!E6+'前提と出典'!$C$38*'契約別単価'!E7)</ns0:f>
        <ns0:v>890074.5420968883</ns0:v>
      </ns0:c>
      <ns0:c r="F464" s="16">
        <ns0:f>A464*('前提と出典'!$C$36*'契約別単価'!F5+'前提と出典'!$C$37*'契約別単価'!F6+'前提と出典'!$C$38*'契約別単価'!F7)</ns0:f>
        <ns0:v>349321.9206638425</ns0:v>
      </ns0:c>
      <ns0:c r="G464" s="16">
        <ns0:f>A464*('前提と出典'!$C$36*'契約別単価'!G5+'前提と出典'!$C$37*'契約別単価'!G6+'前提と出典'!$C$38*'契約別単価'!G7)</ns0:f>
        <ns0:v>915631.284916201</ns0:v>
      </ns0:c>
      <ns0:c r="H464" s="16">
        <ns0:f>A464*('前提と出典'!$C$36*'契約別単価'!H5+'前提と出典'!$C$37*'契約別単価'!H6+'前提と出典'!$C$38*'契約別単価'!H7)</ns0:f>
        <ns0:v>317769.97838353773</ns0:v>
      </ns0:c>
      <ns0:c r="I464" s="16">
        <ns0:f>A464*('前提と出典'!$C$36*'契約別単価'!I5+'前提と出典'!$C$37*'契約別単価'!I6+'前提と出典'!$C$38*'契約別単価'!I7)</ns0:f>
        <ns0:v>19409.94413407821</ns0:v>
      </ns0:c>
      <ns0:c r="J464" s="16">
        <ns0:f>A464*('前提と出典'!$C$36*'契約別単価'!J5+'前提と出典'!$C$37*'契約別単価'!J6+'前提と出典'!$C$38*'契約別単価'!J7)</ns0:f>
        <ns0:v>45213.19010673918</ns0:v>
      </ns0:c>
      <ns0:c r="K464" s="16">
        <ns0:f>A464*('前提と出典'!$C$36*'契約別単価'!K5+'前提と出典'!$C$37*'契約別単価'!K6+'前提と出典'!$C$38*'契約別単価'!K7)</ns0:f>
        <ns0:v>193799.6275605214</ns0:v>
      </ns0:c>
      <ns0:c r="L464" s="16">
        <ns0:f>A464*('前提と出典'!$C$36*'契約別単価'!L5+'前提と出典'!$C$37*'契約別単価'!L6+'前提と出典'!$C$38*'契約別単価'!L7)</ns0:f>
        <ns0:v>157792.33261278458</ns0:v>
      </ns0:c>
      <ns0:c r="M464" s="16">
        <ns0:f>IF(('前提と出典'!$C$36+'前提と出典'!$C$38)=0,0,IF(B464&lt;=10,'前提と出典'!B73+'前提と出典'!C73,IF(B464&lt;=100,'前提と出典'!B74+'前提と出典'!C74,IF(B464&lt;=500,'前提と出典'!B75+'前提と出典'!C75,'前提と出典'!B76+'前提と出典'!C76))))</ns0:f>
        <ns0:v>40000</ns0:v>
      </ns0:c>
      <ns0:c r="N464" s="16">
        <ns0:f>IF(('前提と出典'!$C$37+'前提と出典'!$C$38)=0,0,IF(C464&lt;=10,'前提と出典'!D73+'前提と出典'!E73,IF(C464&lt;=100,'前提と出典'!D74+'前提と出典'!E74,IF(C464&lt;=500,'前提と出典'!D75+'前提と出典'!E75,'前提と出典'!D76+'前提と出典'!E76))))</ns0:f>
        <ns0:v>56510.9346263078</ns0:v>
      </ns0:c>
      <ns0:c r="O464" s="16">
        <ns0:f>IF('前提と出典'!$C$36+'前提と出典'!$C$38=0,0,'前提と出典'!$B$4*IF('前提と出典'!$B$20=0,MAX('前提と出典'!$B$6,D464*'前提と出典'!$B$5),'前提と出典'!$B$6+D464*'前提と出典'!$B$5))</ns0:f>
        <ns0:v>456772.29050279333</ns0:v>
      </ns0:c>
      <ns0:c r="P464" s="16">
        <ns0:f>(E464+G464)*(1-'前提と出典'!$B$7)-I464-K464-M464-O464</ns0:f>
        <ns0:v>1030718.555043225</ns0:v>
      </ns0:c>
      <ns0:c r="Q464" s="16">
        <ns0:f>(F464+H464)*(1-'前提と出典'!$B$7)-J464-L464-N464</ns0:f>
        <ns0:v>383560.1333358431</ns0:v>
      </ns0:c>
      <ns0:c r="R464" s="16">
        <ns0:f>P464-E464*'前提と出典'!$E$4</ns0:f>
        <ns0:v>763696.1924141585</ns0:v>
      </ns0:c>
      <ns0:c r="S464" s="16">
        <ns0:f>Q464-F464*'前提と出典'!$E$4</ns0:f>
        <ns0:v>278763.55713669036</ns0:v>
      </ns0:c>
      <ns0:c r="T464" s="7">
        <ns0:f>R464+S464</ns0:f>
        <ns0:v>1042459.7495508489</ns0:v>
      </ns0:c>
      <ns0:c r="U464" s="16">
        <ns0:f>P464-E464*'前提と出典'!$E$5</ns0:f>
        <ns0:v>674688.7382044697</ns0:v>
      </ns0:c>
      <ns0:c r="V464" s="16">
        <ns0:f>Q464-F464*'前提と出典'!$E$5</ns0:f>
        <ns0:v>243831.36507030606</ns0:v>
      </ns0:c>
      <ns0:c r="W464" s="7">
        <ns0:f>U464+V464</ns0:f>
        <ns0:v>918520.1032747757</ns0:v>
      </ns0:c>
      <ns0:c r="X464" s="16">
        <ns0:f>P464-E464*'前提と出典'!$E$6</ns0:f>
        <ns0:v>585681.2839947809</ns0:v>
      </ns0:c>
      <ns0:c r="Y464" s="16">
        <ns0:f>Q464-F464*'前提と出典'!$E$6</ns0:f>
        <ns0:v>208899.1730039218</ns0:v>
      </ns0:c>
      <ns0:c r="Z464" s="7">
        <ns0:f>X464+Y464</ns0:f>
        <ns0:v>794580.4569987026</ns0:v>
      </ns0:c>
      <ns0:c r="AA464" s="7">
        <ns0:f>IF(T464&gt;=0,A464,1001)</ns0:f>
        <ns0:v>460</ns0:v>
      </ns0:c>
      <ns0:c r="AB464" s="7">
        <ns0:f>IF(T464&lt;0,A464,0)</ns0:f>
        <ns0:v>0</ns0:v>
      </ns0:c>
      <ns0:c r="AC464" s="16">
        <ns0:f>IF(AND(OR('前提と出典'!$C$36+'前提と出典'!$C$38=0,R464&gt;=0),OR('前提と出典'!$C$37+'前提と出典'!$C$38=0,S464&gt;=0)),0,A464)</ns0:f>
        <ns0:v>0</ns0:v>
      </ns0:c>
      <ns0:c r="AD464" s="7">
        <ns0:f>IF(W464&gt;=0,A464,1001)</ns0:f>
        <ns0:v>460</ns0:v>
      </ns0:c>
      <ns0:c r="AE464" s="7">
        <ns0:f>IF(W464&lt;0,A464,0)</ns0:f>
        <ns0:v>0</ns0:v>
      </ns0:c>
      <ns0:c r="AF464" s="16">
        <ns0:f>IF(AND(OR('前提と出典'!$C$36+'前提と出典'!$C$38=0,U464&gt;=0),OR('前提と出典'!$C$37+'前提と出典'!$C$38=0,V464&gt;=0)),0,A464)</ns0:f>
        <ns0:v>0</ns0:v>
      </ns0:c>
      <ns0:c r="AG464" s="7">
        <ns0:f>IF(Z464&gt;=0,A464,1001)</ns0:f>
        <ns0:v>460</ns0:v>
      </ns0:c>
      <ns0:c r="AH464" s="4">
        <ns0:f>IF(Z464&lt;0,A464,0)</ns0:f>
        <ns0:v>0</ns0:v>
      </ns0:c>
      <ns0:c r="AI464" s="12">
        <ns0:f>IF(AND(OR('前提と出典'!$C$36+'前提と出典'!$C$38=0,X464&gt;=0),OR('前提と出典'!$C$37+'前提と出典'!$C$38=0,Y464&gt;=0)),0,A464)</ns0:f>
        <ns0:v>0</ns0:v>
      </ns0:c>
    </ns0:row>
    <ns0:row r="465" ht="24" customHeight="1">
      <ns0:c r="A465" s="4" t="n">
        <ns0:v>461</ns0:v>
      </ns0:c>
      <ns0:c r="B465" s="12">
        <ns0:f>A465*('前提と出典'!$C$36+'前提と出典'!$C$38)</ns0:f>
        <ns0:v>322.7</ns0:v>
      </ns0:c>
      <ns0:c r="C465" s="12">
        <ns0:f>A465*('前提と出典'!$C$37+'前提と出典'!$C$38)</ns0:f>
        <ns0:v>276.59999999999997</ns0:v>
      </ns0:c>
      <ns0:c r="D465" s="16">
        <ns0:f>A465*('前提と出典'!$C$36*'契約別単価'!C5+'前提と出典'!$C$37*'契約別単価'!C6+'前提と出典'!$C$38*'契約別単価'!C7)</ns0:f>
        <ns0:v>3317.1396648044692</ns0:v>
      </ns0:c>
      <ns0:c r="E465" s="16">
        <ns0:f>A465*('前提と出典'!$C$36*'契約別単価'!E5+'前提と出典'!$C$37*'契約別単価'!E6+'前提と出典'!$C$38*'契約別単価'!E7)</ns0:f>
        <ns0:v>892009.4867536207</ns0:v>
      </ns0:c>
      <ns0:c r="F465" s="16">
        <ns0:f>A465*('前提と出典'!$C$36*'契約別単価'!F5+'前提と出典'!$C$37*'契約別単価'!F6+'前提と出典'!$C$38*'契約別単価'!F7)</ns0:f>
        <ns0:v>350081.31614354654</ns0:v>
      </ns0:c>
      <ns0:c r="G465" s="16">
        <ns0:f>A465*('前提と出典'!$C$36*'契約別単価'!G5+'前提と出典'!$C$37*'契約別単価'!G6+'前提と出典'!$C$38*'契約別単価'!G7)</ns0:f>
        <ns0:v>917621.7877094971</ns0:v>
      </ns0:c>
      <ns0:c r="H465" s="16">
        <ns0:f>A465*('前提と出典'!$C$36*'契約別単価'!H5+'前提と出典'!$C$37*'契約別単価'!H6+'前提と出典'!$C$38*'契約別単価'!H7)</ns0:f>
        <ns0:v>318460.7826843715</ns0:v>
      </ns0:c>
      <ns0:c r="I465" s="16">
        <ns0:f>A465*('前提と出典'!$C$36*'契約別単価'!I5+'前提と出典'!$C$37*'契約別単価'!I6+'前提と出典'!$C$38*'契約別単価'!I7)</ns0:f>
        <ns0:v>19452.139664804465</ns0:v>
      </ns0:c>
      <ns0:c r="J465" s="16">
        <ns0:f>A465*('前提と出典'!$C$36*'契約別単価'!J5+'前提と出典'!$C$37*'契約別単価'!J6+'前提と出典'!$C$38*'契約別単価'!J7)</ns0:f>
        <ns0:v>45311.47965044948</ns0:v>
      </ns0:c>
      <ns0:c r="K465" s="16">
        <ns0:f>A465*('前提と出典'!$C$36*'契約別単価'!K5+'前提と出典'!$C$37*'契約別単価'!K6+'前提と出典'!$C$38*'契約別単価'!K7)</ns0:f>
        <ns0:v>194220.93109869646</ns0:v>
      </ns0:c>
      <ns0:c r="L465" s="16">
        <ns0:f>A465*('前提と出典'!$C$36*'契約別単価'!L5+'前提と出典'!$C$37*'契約別単価'!L6+'前提と出典'!$C$38*'契約別単価'!L7)</ns0:f>
        <ns0:v>158135.35942281238</ns0:v>
      </ns0:c>
      <ns0:c r="M465" s="16">
        <ns0:f>IF(('前提と出典'!$C$36+'前提と出典'!$C$38)=0,0,IF(B465&lt;=10,'前提と出典'!B73+'前提と出典'!C73,IF(B465&lt;=100,'前提と出典'!B74+'前提と出典'!C74,IF(B465&lt;=500,'前提と出典'!B75+'前提と出典'!C75,'前提と出典'!B76+'前提と出典'!C76))))</ns0:f>
        <ns0:v>40000</ns0:v>
      </ns0:c>
      <ns0:c r="N465" s="16">
        <ns0:f>IF(('前提と出典'!$C$37+'前提と出典'!$C$38)=0,0,IF(C465&lt;=10,'前提と出典'!D73+'前提と出典'!E73,IF(C465&lt;=100,'前提と出典'!D74+'前提と出典'!E74,IF(C465&lt;=500,'前提と出典'!D75+'前提と出典'!E75,'前提と出典'!D76+'前提と出典'!E76))))</ns0:f>
        <ns0:v>56510.9346263078</ns0:v>
      </ns0:c>
      <ns0:c r="O465" s="16">
        <ns0:f>IF('前提と出典'!$C$36+'前提と出典'!$C$38=0,0,'前提と出典'!$B$4*IF('前提と出典'!$B$20=0,MAX('前提と出典'!$B$6,D465*'前提と出典'!$B$5),'前提と出典'!$B$6+D465*'前提と出典'!$B$5))</ns0:f>
        <ns0:v>457765.2737430168</ns0:v>
      </ns0:c>
      <ns0:c r="P465" s="16">
        <ns0:f>(E465+G465)*(1-'前提と出典'!$B$7)-I465-K465-M465-O465</ns0:f>
        <ns0:v>1033046.2040759275</ns0:v>
      </ns0:c>
      <ns0:c r="Q465" s="16">
        <ns0:f>(F465+H465)*(1-'前提と出典'!$B$7)-J465-L465-N465</ns0:f>
        <ns0:v>384516.8095705433</ns0:v>
      </ns0:c>
      <ns0:c r="R465" s="16">
        <ns0:f>P465-E465*'前提と出典'!$E$4</ns0:f>
        <ns0:v>765443.3580498414</ns0:v>
      </ns0:c>
      <ns0:c r="S465" s="16">
        <ns0:f>Q465-F465*'前提と出典'!$E$4</ns0:f>
        <ns0:v>279492.41472747934</ns0:v>
      </ns0:c>
      <ns0:c r="T465" s="7">
        <ns0:f>R465+S465</ns0:f>
        <ns0:v>1044935.7727773207</ns0:v>
      </ns0:c>
      <ns0:c r="U465" s="16">
        <ns0:f>P465-E465*'前提と出典'!$E$5</ns0:f>
        <ns0:v>676242.4093744792</ns0:v>
      </ns0:c>
      <ns0:c r="V465" s="16">
        <ns0:f>Q465-F465*'前提と出典'!$E$5</ns0:f>
        <ns0:v>244484.28311312466</ns0:v>
      </ns0:c>
      <ns0:c r="W465" s="7">
        <ns0:f>U465+V465</ns0:f>
        <ns0:v>920726.6924876039</ns0:v>
      </ns0:c>
      <ns0:c r="X465" s="16">
        <ns0:f>P465-E465*'前提と出典'!$E$6</ns0:f>
        <ns0:v>587041.4606991173</ns0:v>
      </ns0:c>
      <ns0:c r="Y465" s="16">
        <ns0:f>Q465-F465*'前提と出典'!$E$6</ns0:f>
        <ns0:v>209476.1514987701</ns0:v>
      </ns0:c>
      <ns0:c r="Z465" s="7">
        <ns0:f>X465+Y465</ns0:f>
        <ns0:v>796517.6121978874</ns0:v>
      </ns0:c>
      <ns0:c r="AA465" s="7">
        <ns0:f>IF(T465&gt;=0,A465,1001)</ns0:f>
        <ns0:v>461</ns0:v>
      </ns0:c>
      <ns0:c r="AB465" s="7">
        <ns0:f>IF(T465&lt;0,A465,0)</ns0:f>
        <ns0:v>0</ns0:v>
      </ns0:c>
      <ns0:c r="AC465" s="16">
        <ns0:f>IF(AND(OR('前提と出典'!$C$36+'前提と出典'!$C$38=0,R465&gt;=0),OR('前提と出典'!$C$37+'前提と出典'!$C$38=0,S465&gt;=0)),0,A465)</ns0:f>
        <ns0:v>0</ns0:v>
      </ns0:c>
      <ns0:c r="AD465" s="7">
        <ns0:f>IF(W465&gt;=0,A465,1001)</ns0:f>
        <ns0:v>461</ns0:v>
      </ns0:c>
      <ns0:c r="AE465" s="7">
        <ns0:f>IF(W465&lt;0,A465,0)</ns0:f>
        <ns0:v>0</ns0:v>
      </ns0:c>
      <ns0:c r="AF465" s="16">
        <ns0:f>IF(AND(OR('前提と出典'!$C$36+'前提と出典'!$C$38=0,U465&gt;=0),OR('前提と出典'!$C$37+'前提と出典'!$C$38=0,V465&gt;=0)),0,A465)</ns0:f>
        <ns0:v>0</ns0:v>
      </ns0:c>
      <ns0:c r="AG465" s="7">
        <ns0:f>IF(Z465&gt;=0,A465,1001)</ns0:f>
        <ns0:v>461</ns0:v>
      </ns0:c>
      <ns0:c r="AH465" s="4">
        <ns0:f>IF(Z465&lt;0,A465,0)</ns0:f>
        <ns0:v>0</ns0:v>
      </ns0:c>
      <ns0:c r="AI465" s="12">
        <ns0:f>IF(AND(OR('前提と出典'!$C$36+'前提と出典'!$C$38=0,X465&gt;=0),OR('前提と出典'!$C$37+'前提と出典'!$C$38=0,Y465&gt;=0)),0,A465)</ns0:f>
        <ns0:v>0</ns0:v>
      </ns0:c>
    </ns0:row>
    <ns0:row r="466" ht="24" customHeight="1">
      <ns0:c r="A466" s="4" t="n">
        <ns0:v>462</ns0:v>
      </ns0:c>
      <ns0:c r="B466" s="12">
        <ns0:f>A466*('前提と出典'!$C$36+'前提と出典'!$C$38)</ns0:f>
        <ns0:v>323.4</ns0:v>
      </ns0:c>
      <ns0:c r="C466" s="12">
        <ns0:f>A466*('前提と出典'!$C$37+'前提と出典'!$C$38)</ns0:f>
        <ns0:v>277.2</ns0:v>
      </ns0:c>
      <ns0:c r="D466" s="16">
        <ns0:f>A466*('前提と出典'!$C$36*'契約別単価'!C5+'前提と出典'!$C$37*'契約別単価'!C6+'前提と出典'!$C$38*'契約別単価'!C7)</ns0:f>
        <ns0:v>3324.335195530726</ns0:v>
      </ns0:c>
      <ns0:c r="E466" s="16">
        <ns0:f>A466*('前提と出典'!$C$36*'契約別単価'!E5+'前提と出典'!$C$37*'契約別単価'!E6+'前提と出典'!$C$38*'契約別単価'!E7)</ns0:f>
        <ns0:v>893944.431410353</ns0:v>
      </ns0:c>
      <ns0:c r="F466" s="16">
        <ns0:f>A466*('前提と出典'!$C$36*'契約別単価'!F5+'前提と出典'!$C$37*'契約別単価'!F6+'前提と出典'!$C$38*'契約別単価'!F7)</ns0:f>
        <ns0:v>350840.71162325057</ns0:v>
      </ns0:c>
      <ns0:c r="G466" s="16">
        <ns0:f>A466*('前提と出典'!$C$36*'契約別単価'!G5+'前提と出典'!$C$37*'契約別単価'!G6+'前提と出典'!$C$38*'契約別単価'!G7)</ns0:f>
        <ns0:v>919612.2905027933</ns0:v>
      </ns0:c>
      <ns0:c r="H466" s="16">
        <ns0:f>A466*('前提と出典'!$C$36*'契約別単価'!H5+'前提と出典'!$C$37*'契約別単価'!H6+'前提と出典'!$C$38*'契約別単価'!H7)</ns0:f>
        <ns0:v>319151.5869852053</ns0:v>
      </ns0:c>
      <ns0:c r="I466" s="16">
        <ns0:f>A466*('前提と出典'!$C$36*'契約別単価'!I5+'前提と出典'!$C$37*'契約別単価'!I6+'前提と出典'!$C$38*'契約別単価'!I7)</ns0:f>
        <ns0:v>19494.335195530723</ns0:v>
      </ns0:c>
      <ns0:c r="J466" s="16">
        <ns0:f>A466*('前提と出典'!$C$36*'契約別単価'!J5+'前提と出典'!$C$37*'契約別単価'!J6+'前提と出典'!$C$38*'契約別単価'!J7)</ns0:f>
        <ns0:v>45409.76919415979</ns0:v>
      </ns0:c>
      <ns0:c r="K466" s="16">
        <ns0:f>A466*('前提と出典'!$C$36*'契約別単価'!K5+'前提と出典'!$C$37*'契約別単価'!K6+'前提と出典'!$C$38*'契約別単価'!K7)</ns0:f>
        <ns0:v>194642.2346368715</ns0:v>
      </ns0:c>
      <ns0:c r="L466" s="16">
        <ns0:f>A466*('前提と出典'!$C$36*'契約別単価'!L5+'前提と出典'!$C$37*'契約別単価'!L6+'前提と出典'!$C$38*'契約別単価'!L7)</ns0:f>
        <ns0:v>158478.38623284016</ns0:v>
      </ns0:c>
      <ns0:c r="M466" s="16">
        <ns0:f>IF(('前提と出典'!$C$36+'前提と出典'!$C$38)=0,0,IF(B466&lt;=10,'前提と出典'!B73+'前提と出典'!C73,IF(B466&lt;=100,'前提と出典'!B74+'前提と出典'!C74,IF(B466&lt;=500,'前提と出典'!B75+'前提と出典'!C75,'前提と出典'!B76+'前提と出典'!C76))))</ns0:f>
        <ns0:v>40000</ns0:v>
      </ns0:c>
      <ns0:c r="N466" s="16">
        <ns0:f>IF(('前提と出典'!$C$37+'前提と出典'!$C$38)=0,0,IF(C466&lt;=10,'前提と出典'!D73+'前提と出典'!E73,IF(C466&lt;=100,'前提と出典'!D74+'前提と出典'!E74,IF(C466&lt;=500,'前提と出典'!D75+'前提と出典'!E75,'前提と出典'!D76+'前提と出典'!E76))))</ns0:f>
        <ns0:v>56510.9346263078</ns0:v>
      </ns0:c>
      <ns0:c r="O466" s="16">
        <ns0:f>IF('前提と出典'!$C$36+'前提と出典'!$C$38=0,0,'前提と出典'!$B$4*IF('前提と出典'!$B$20=0,MAX('前提と出典'!$B$6,D466*'前提と出典'!$B$5),'前提と出典'!$B$6+D466*'前提と出典'!$B$5))</ns0:f>
        <ns0:v>458758.25698324025</ns0:v>
      </ns0:c>
      <ns0:c r="P466" s="16">
        <ns0:f>(E466+G466)*(1-'前提と出典'!$B$7)-I466-K466-M466-O466</ns0:f>
        <ns0:v>1035373.8531086305</ns0:v>
      </ns0:c>
      <ns0:c r="Q466" s="16">
        <ns0:f>(F466+H466)*(1-'前提と出典'!$B$7)-J466-L466-N466</ns0:f>
        <ns0:v>385473.4858052437</ns0:v>
      </ns0:c>
      <ns0:c r="R466" s="16">
        <ns0:f>P466-E466*'前提と出典'!$E$4</ns0:f>
        <ns0:v>767190.523685525</ns0:v>
      </ns0:c>
      <ns0:c r="S466" s="16">
        <ns0:f>Q466-F466*'前提と出典'!$E$4</ns0:f>
        <ns0:v>280221.27231826854</ns0:v>
      </ns0:c>
      <ns0:c r="T466" s="7">
        <ns0:f>R466+S466</ns0:f>
        <ns0:v>1047411.7960037936</ns0:v>
      </ns0:c>
      <ns0:c r="U466" s="16">
        <ns0:f>P466-E466*'前提と出典'!$E$5</ns0:f>
        <ns0:v>677796.0805444893</ns0:v>
      </ns0:c>
      <ns0:c r="V466" s="16">
        <ns0:f>Q466-F466*'前提と出典'!$E$5</ns0:f>
        <ns0:v>245137.20115594345</ns0:v>
      </ns0:c>
      <ns0:c r="W466" s="7">
        <ns0:f>U466+V466</ns0:f>
        <ns0:v>922933.2817004328</ns0:v>
      </ns0:c>
      <ns0:c r="X466" s="16">
        <ns0:f>P466-E466*'前提と出典'!$E$6</ns0:f>
        <ns0:v>588401.637403454</ns0:v>
      </ns0:c>
      <ns0:c r="Y466" s="16">
        <ns0:f>Q466-F466*'前提と出典'!$E$6</ns0:f>
        <ns0:v>210053.12999361847</ns0:v>
      </ns0:c>
      <ns0:c r="Z466" s="7">
        <ns0:f>X466+Y466</ns0:f>
        <ns0:v>798454.7673970725</ns0:v>
      </ns0:c>
      <ns0:c r="AA466" s="7">
        <ns0:f>IF(T466&gt;=0,A466,1001)</ns0:f>
        <ns0:v>462</ns0:v>
      </ns0:c>
      <ns0:c r="AB466" s="7">
        <ns0:f>IF(T466&lt;0,A466,0)</ns0:f>
        <ns0:v>0</ns0:v>
      </ns0:c>
      <ns0:c r="AC466" s="16">
        <ns0:f>IF(AND(OR('前提と出典'!$C$36+'前提と出典'!$C$38=0,R466&gt;=0),OR('前提と出典'!$C$37+'前提と出典'!$C$38=0,S466&gt;=0)),0,A466)</ns0:f>
        <ns0:v>0</ns0:v>
      </ns0:c>
      <ns0:c r="AD466" s="7">
        <ns0:f>IF(W466&gt;=0,A466,1001)</ns0:f>
        <ns0:v>462</ns0:v>
      </ns0:c>
      <ns0:c r="AE466" s="7">
        <ns0:f>IF(W466&lt;0,A466,0)</ns0:f>
        <ns0:v>0</ns0:v>
      </ns0:c>
      <ns0:c r="AF466" s="16">
        <ns0:f>IF(AND(OR('前提と出典'!$C$36+'前提と出典'!$C$38=0,U466&gt;=0),OR('前提と出典'!$C$37+'前提と出典'!$C$38=0,V466&gt;=0)),0,A466)</ns0:f>
        <ns0:v>0</ns0:v>
      </ns0:c>
      <ns0:c r="AG466" s="7">
        <ns0:f>IF(Z466&gt;=0,A466,1001)</ns0:f>
        <ns0:v>462</ns0:v>
      </ns0:c>
      <ns0:c r="AH466" s="4">
        <ns0:f>IF(Z466&lt;0,A466,0)</ns0:f>
        <ns0:v>0</ns0:v>
      </ns0:c>
      <ns0:c r="AI466" s="12">
        <ns0:f>IF(AND(OR('前提と出典'!$C$36+'前提と出典'!$C$38=0,X466&gt;=0),OR('前提と出典'!$C$37+'前提と出典'!$C$38=0,Y466&gt;=0)),0,A466)</ns0:f>
        <ns0:v>0</ns0:v>
      </ns0:c>
    </ns0:row>
    <ns0:row r="467" ht="24" customHeight="1">
      <ns0:c r="A467" s="4" t="n">
        <ns0:v>463</ns0:v>
      </ns0:c>
      <ns0:c r="B467" s="12">
        <ns0:f>A467*('前提と出典'!$C$36+'前提と出典'!$C$38)</ns0:f>
        <ns0:v>324.09999999999997</ns0:v>
      </ns0:c>
      <ns0:c r="C467" s="12">
        <ns0:f>A467*('前提と出典'!$C$37+'前提と出典'!$C$38)</ns0:f>
        <ns0:v>277.8</ns0:v>
      </ns0:c>
      <ns0:c r="D467" s="16">
        <ns0:f>A467*('前提と出典'!$C$36*'契約別単価'!C5+'前提と出典'!$C$37*'契約別単価'!C6+'前提と出典'!$C$38*'契約別単価'!C7)</ns0:f>
        <ns0:v>3331.530726256983</ns0:v>
      </ns0:c>
      <ns0:c r="E467" s="16">
        <ns0:f>A467*('前提と出典'!$C$36*'契約別単価'!E5+'前提と出典'!$C$37*'契約別単価'!E6+'前提と出典'!$C$38*'契約別単価'!E7)</ns0:f>
        <ns0:v>895879.3760670854</ns0:v>
      </ns0:c>
      <ns0:c r="F467" s="16">
        <ns0:f>A467*('前提と出典'!$C$36*'契約別単価'!F5+'前提と出典'!$C$37*'契約別単価'!F6+'前提と出典'!$C$38*'契約別単価'!F7)</ns0:f>
        <ns0:v>351600.1071029546</ns0:v>
      </ns0:c>
      <ns0:c r="G467" s="16">
        <ns0:f>A467*('前提と出典'!$C$36*'契約別単価'!G5+'前提と出典'!$C$37*'契約別単価'!G6+'前提と出典'!$C$38*'契約別単価'!G7)</ns0:f>
        <ns0:v>921602.7932960894</ns0:v>
      </ns0:c>
      <ns0:c r="H467" s="16">
        <ns0:f>A467*('前提と出典'!$C$36*'契約別単価'!H5+'前提と出典'!$C$37*'契約別単価'!H6+'前提と出典'!$C$38*'契約別単価'!H7)</ns0:f>
        <ns0:v>319842.3912860391</ns0:v>
      </ns0:c>
      <ns0:c r="I467" s="16">
        <ns0:f>A467*('前提と出典'!$C$36*'契約別単価'!I5+'前提と出典'!$C$37*'契約別単価'!I6+'前提と出典'!$C$38*'契約別単価'!I7)</ns0:f>
        <ns0:v>19536.53072625698</ns0:v>
      </ns0:c>
      <ns0:c r="J467" s="16">
        <ns0:f>A467*('前提と出典'!$C$36*'契約別単価'!J5+'前提と出典'!$C$37*'契約別単価'!J6+'前提と出典'!$C$38*'契約別単価'!J7)</ns0:f>
        <ns0:v>45508.05873787009</ns0:v>
      </ns0:c>
      <ns0:c r="K467" s="16">
        <ns0:f>A467*('前提と出典'!$C$36*'契約別単価'!K5+'前提と出典'!$C$37*'契約別単価'!K6+'前提と出典'!$C$38*'契約別単価'!K7)</ns0:f>
        <ns0:v>195063.53817504653</ns0:v>
      </ns0:c>
      <ns0:c r="L467" s="16">
        <ns0:f>A467*('前提と出典'!$C$36*'契約別単価'!L5+'前提と出典'!$C$37*'契約別単価'!L6+'前提と出典'!$C$38*'契約別単価'!L7)</ns0:f>
        <ns0:v>158821.41304286796</ns0:v>
      </ns0:c>
      <ns0:c r="M467" s="16">
        <ns0:f>IF(('前提と出典'!$C$36+'前提と出典'!$C$38)=0,0,IF(B467&lt;=10,'前提と出典'!B73+'前提と出典'!C73,IF(B467&lt;=100,'前提と出典'!B74+'前提と出典'!C74,IF(B467&lt;=500,'前提と出典'!B75+'前提と出典'!C75,'前提と出典'!B76+'前提と出典'!C76))))</ns0:f>
        <ns0:v>40000</ns0:v>
      </ns0:c>
      <ns0:c r="N467" s="16">
        <ns0:f>IF(('前提と出典'!$C$37+'前提と出典'!$C$38)=0,0,IF(C467&lt;=10,'前提と出典'!D73+'前提と出典'!E73,IF(C467&lt;=100,'前提と出典'!D74+'前提と出典'!E74,IF(C467&lt;=500,'前提と出典'!D75+'前提と出典'!E75,'前提と出典'!D76+'前提と出典'!E76))))</ns0:f>
        <ns0:v>56510.9346263078</ns0:v>
      </ns0:c>
      <ns0:c r="O467" s="16">
        <ns0:f>IF('前提と出典'!$C$36+'前提と出典'!$C$38=0,0,'前提と出典'!$B$4*IF('前提と出典'!$B$20=0,MAX('前提と出典'!$B$6,D467*'前提と出典'!$B$5),'前提と出典'!$B$6+D467*'前提と出典'!$B$5))</ns0:f>
        <ns0:v>459751.2402234637</ns0:v>
      </ns0:c>
      <ns0:c r="P467" s="16">
        <ns0:f>(E467+G467)*(1-'前提と出典'!$B$7)-I467-K467-M467-O467</ns0:f>
        <ns0:v>1037701.5021413334</ns0:v>
      </ns0:c>
      <ns0:c r="Q467" s="16">
        <ns0:f>(F467+H467)*(1-'前提と出典'!$B$7)-J467-L467-N467</ns0:f>
        <ns0:v>386430.16203994397</ns0:v>
      </ns0:c>
      <ns0:c r="R467" s="16">
        <ns0:f>P467-E467*'前提と出典'!$E$4</ns0:f>
        <ns0:v>768937.6893212078</ns0:v>
      </ns0:c>
      <ns0:c r="S467" s="16">
        <ns0:f>Q467-F467*'前提と出典'!$E$4</ns0:f>
        <ns0:v>280950.1299090577</ns0:v>
      </ns0:c>
      <ns0:c r="T467" s="7">
        <ns0:f>R467+S467</ns0:f>
        <ns0:v>1049887.8192302654</ns0:v>
      </ns0:c>
      <ns0:c r="U467" s="16">
        <ns0:f>P467-E467*'前提と出典'!$E$5</ns0:f>
        <ns0:v>679349.7517144992</ns0:v>
      </ns0:c>
      <ns0:c r="V467" s="16">
        <ns0:f>Q467-F467*'前提と出典'!$E$5</ns0:f>
        <ns0:v>245790.11919876217</ns0:v>
      </ns0:c>
      <ns0:c r="W467" s="7">
        <ns0:f>U467+V467</ns0:f>
        <ns0:v>925139.8709132613</ns0:v>
      </ns0:c>
      <ns0:c r="X467" s="16">
        <ns0:f>P467-E467*'前提と出典'!$E$6</ns0:f>
        <ns0:v>589761.8141077906</ns0:v>
      </ns0:c>
      <ns0:c r="Y467" s="16">
        <ns0:f>Q467-F467*'前提と出典'!$E$6</ns0:f>
        <ns0:v>210630.10848846677</ns0:v>
      </ns0:c>
      <ns0:c r="Z467" s="7">
        <ns0:f>X467+Y467</ns0:f>
        <ns0:v>800391.9225962574</ns0:v>
      </ns0:c>
      <ns0:c r="AA467" s="7">
        <ns0:f>IF(T467&gt;=0,A467,1001)</ns0:f>
        <ns0:v>463</ns0:v>
      </ns0:c>
      <ns0:c r="AB467" s="7">
        <ns0:f>IF(T467&lt;0,A467,0)</ns0:f>
        <ns0:v>0</ns0:v>
      </ns0:c>
      <ns0:c r="AC467" s="16">
        <ns0:f>IF(AND(OR('前提と出典'!$C$36+'前提と出典'!$C$38=0,R467&gt;=0),OR('前提と出典'!$C$37+'前提と出典'!$C$38=0,S467&gt;=0)),0,A467)</ns0:f>
        <ns0:v>0</ns0:v>
      </ns0:c>
      <ns0:c r="AD467" s="7">
        <ns0:f>IF(W467&gt;=0,A467,1001)</ns0:f>
        <ns0:v>463</ns0:v>
      </ns0:c>
      <ns0:c r="AE467" s="7">
        <ns0:f>IF(W467&lt;0,A467,0)</ns0:f>
        <ns0:v>0</ns0:v>
      </ns0:c>
      <ns0:c r="AF467" s="16">
        <ns0:f>IF(AND(OR('前提と出典'!$C$36+'前提と出典'!$C$38=0,U467&gt;=0),OR('前提と出典'!$C$37+'前提と出典'!$C$38=0,V467&gt;=0)),0,A467)</ns0:f>
        <ns0:v>0</ns0:v>
      </ns0:c>
      <ns0:c r="AG467" s="7">
        <ns0:f>IF(Z467&gt;=0,A467,1001)</ns0:f>
        <ns0:v>463</ns0:v>
      </ns0:c>
      <ns0:c r="AH467" s="4">
        <ns0:f>IF(Z467&lt;0,A467,0)</ns0:f>
        <ns0:v>0</ns0:v>
      </ns0:c>
      <ns0:c r="AI467" s="12">
        <ns0:f>IF(AND(OR('前提と出典'!$C$36+'前提と出典'!$C$38=0,X467&gt;=0),OR('前提と出典'!$C$37+'前提と出典'!$C$38=0,Y467&gt;=0)),0,A467)</ns0:f>
        <ns0:v>0</ns0:v>
      </ns0:c>
    </ns0:row>
    <ns0:row r="468" ht="24" customHeight="1">
      <ns0:c r="A468" s="4" t="n">
        <ns0:v>464</ns0:v>
      </ns0:c>
      <ns0:c r="B468" s="12">
        <ns0:f>A468*('前提と出典'!$C$36+'前提と出典'!$C$38)</ns0:f>
        <ns0:v>324.79999999999995</ns0:v>
      </ns0:c>
      <ns0:c r="C468" s="12">
        <ns0:f>A468*('前提と出典'!$C$37+'前提と出典'!$C$38)</ns0:f>
        <ns0:v>278.4</ns0:v>
      </ns0:c>
      <ns0:c r="D468" s="16">
        <ns0:f>A468*('前提と出典'!$C$36*'契約別単価'!C5+'前提と出典'!$C$37*'契約別単価'!C6+'前提と出典'!$C$38*'契約別単価'!C7)</ns0:f>
        <ns0:v>3338.72625698324</ns0:v>
      </ns0:c>
      <ns0:c r="E468" s="16">
        <ns0:f>A468*('前提と出典'!$C$36*'契約別単価'!E5+'前提と出典'!$C$37*'契約別単価'!E6+'前提と出典'!$C$38*'契約別単価'!E7)</ns0:f>
        <ns0:v>897814.3207238178</ns0:v>
      </ns0:c>
      <ns0:c r="F468" s="16">
        <ns0:f>A468*('前提と出典'!$C$36*'契約別単価'!F5+'前提と出典'!$C$37*'契約別単価'!F6+'前提と出典'!$C$38*'契約別単価'!F7)</ns0:f>
        <ns0:v>352359.50258265855</ns0:v>
      </ns0:c>
      <ns0:c r="G468" s="16">
        <ns0:f>A468*('前提と出典'!$C$36*'契約別単価'!G5+'前提と出典'!$C$37*'契約別単価'!G6+'前提と出典'!$C$38*'契約別単価'!G7)</ns0:f>
        <ns0:v>923593.2960893854</ns0:v>
      </ns0:c>
      <ns0:c r="H468" s="16">
        <ns0:f>A468*('前提と出典'!$C$36*'契約別単価'!H5+'前提と出典'!$C$37*'契約別単価'!H6+'前提と出典'!$C$38*'契約別単価'!H7)</ns0:f>
        <ns0:v>320533.19558687287</ns0:v>
      </ns0:c>
      <ns0:c r="I468" s="16">
        <ns0:f>A468*('前提と出典'!$C$36*'契約別単価'!I5+'前提と出典'!$C$37*'契約別単価'!I6+'前提と出典'!$C$38*'契約別単価'!I7)</ns0:f>
        <ns0:v>19578.72625698324</ns0:v>
      </ns0:c>
      <ns0:c r="J468" s="16">
        <ns0:f>A468*('前提と出典'!$C$36*'契約別単価'!J5+'前提と出典'!$C$37*'契約別単価'!J6+'前提と出典'!$C$38*'契約別単価'!J7)</ns0:f>
        <ns0:v>45606.348281580395</ns0:v>
      </ns0:c>
      <ns0:c r="K468" s="16">
        <ns0:f>A468*('前提と出典'!$C$36*'契約別単価'!K5+'前提と出典'!$C$37*'契約別単価'!K6+'前提と出典'!$C$38*'契約別単価'!K7)</ns0:f>
        <ns0:v>195484.8417132216</ns0:v>
      </ns0:c>
      <ns0:c r="L468" s="16">
        <ns0:f>A468*('前提と出典'!$C$36*'契約別単価'!L5+'前提と出典'!$C$37*'契約別単価'!L6+'前提と出典'!$C$38*'契約別単価'!L7)</ns0:f>
        <ns0:v>159164.43985289577</ns0:v>
      </ns0:c>
      <ns0:c r="M468" s="16">
        <ns0:f>IF(('前提と出典'!$C$36+'前提と出典'!$C$38)=0,0,IF(B468&lt;=10,'前提と出典'!B73+'前提と出典'!C73,IF(B468&lt;=100,'前提と出典'!B74+'前提と出典'!C74,IF(B468&lt;=500,'前提と出典'!B75+'前提と出典'!C75,'前提と出典'!B76+'前提と出典'!C76))))</ns0:f>
        <ns0:v>40000</ns0:v>
      </ns0:c>
      <ns0:c r="N468" s="16">
        <ns0:f>IF(('前提と出典'!$C$37+'前提と出典'!$C$38)=0,0,IF(C468&lt;=10,'前提と出典'!D73+'前提と出典'!E73,IF(C468&lt;=100,'前提と出典'!D74+'前提と出典'!E74,IF(C468&lt;=500,'前提と出典'!D75+'前提と出典'!E75,'前提と出典'!D76+'前提と出典'!E76))))</ns0:f>
        <ns0:v>56510.9346263078</ns0:v>
      </ns0:c>
      <ns0:c r="O468" s="16">
        <ns0:f>IF('前提と出典'!$C$36+'前提と出典'!$C$38=0,0,'前提と出典'!$B$4*IF('前提と出典'!$B$20=0,MAX('前提と出典'!$B$6,D468*'前提と出典'!$B$5),'前提と出典'!$B$6+D468*'前提と出典'!$B$5))</ns0:f>
        <ns0:v>460744.2234636872</ns0:v>
      </ns0:c>
      <ns0:c r="P468" s="16">
        <ns0:f>(E468+G468)*(1-'前提と出典'!$B$7)-I468-K468-M468-O468</ns0:f>
        <ns0:v>1040029.1511740363</ns0:v>
      </ns0:c>
      <ns0:c r="Q468" s="16">
        <ns0:f>(F468+H468)*(1-'前提と出典'!$B$7)-J468-L468-N468</ns0:f>
        <ns0:v>387386.83827464434</ns0:v>
      </ns0:c>
      <ns0:c r="R468" s="16">
        <ns0:f>P468-E468*'前提と出典'!$E$4</ns0:f>
        <ns0:v>770684.8549568907</ns0:v>
      </ns0:c>
      <ns0:c r="S468" s="16">
        <ns0:f>Q468-F468*'前提と出典'!$E$4</ns0:f>
        <ns0:v>281678.9874998467</ns0:v>
      </ns0:c>
      <ns0:c r="T468" s="7">
        <ns0:f>R468+S468</ns0:f>
        <ns0:v>1052363.8424567375</ns0:v>
      </ns0:c>
      <ns0:c r="U468" s="16">
        <ns0:f>P468-E468*'前提と出典'!$E$5</ns0:f>
        <ns0:v>680903.4228845092</ns0:v>
      </ns0:c>
      <ns0:c r="V468" s="16">
        <ns0:f>Q468-F468*'前提と出典'!$E$5</ns0:f>
        <ns0:v>246443.0372415809</ns0:v>
      </ns0:c>
      <ns0:c r="W468" s="7">
        <ns0:f>U468+V468</ns0:f>
        <ns0:v>927346.4601260901</ns0:v>
      </ns0:c>
      <ns0:c r="X468" s="16">
        <ns0:f>P468-E468*'前提と出典'!$E$6</ns0:f>
        <ns0:v>591121.9908121272</ns0:v>
      </ns0:c>
      <ns0:c r="Y468" s="16">
        <ns0:f>Q468-F468*'前提と出典'!$E$6</ns0:f>
        <ns0:v>211207.08698331506</ns0:v>
      </ns0:c>
      <ns0:c r="Z468" s="7">
        <ns0:f>X468+Y468</ns0:f>
        <ns0:v>802329.0777954423</ns0:v>
      </ns0:c>
      <ns0:c r="AA468" s="7">
        <ns0:f>IF(T468&gt;=0,A468,1001)</ns0:f>
        <ns0:v>464</ns0:v>
      </ns0:c>
      <ns0:c r="AB468" s="7">
        <ns0:f>IF(T468&lt;0,A468,0)</ns0:f>
        <ns0:v>0</ns0:v>
      </ns0:c>
      <ns0:c r="AC468" s="16">
        <ns0:f>IF(AND(OR('前提と出典'!$C$36+'前提と出典'!$C$38=0,R468&gt;=0),OR('前提と出典'!$C$37+'前提と出典'!$C$38=0,S468&gt;=0)),0,A468)</ns0:f>
        <ns0:v>0</ns0:v>
      </ns0:c>
      <ns0:c r="AD468" s="7">
        <ns0:f>IF(W468&gt;=0,A468,1001)</ns0:f>
        <ns0:v>464</ns0:v>
      </ns0:c>
      <ns0:c r="AE468" s="7">
        <ns0:f>IF(W468&lt;0,A468,0)</ns0:f>
        <ns0:v>0</ns0:v>
      </ns0:c>
      <ns0:c r="AF468" s="16">
        <ns0:f>IF(AND(OR('前提と出典'!$C$36+'前提と出典'!$C$38=0,U468&gt;=0),OR('前提と出典'!$C$37+'前提と出典'!$C$38=0,V468&gt;=0)),0,A468)</ns0:f>
        <ns0:v>0</ns0:v>
      </ns0:c>
      <ns0:c r="AG468" s="7">
        <ns0:f>IF(Z468&gt;=0,A468,1001)</ns0:f>
        <ns0:v>464</ns0:v>
      </ns0:c>
      <ns0:c r="AH468" s="4">
        <ns0:f>IF(Z468&lt;0,A468,0)</ns0:f>
        <ns0:v>0</ns0:v>
      </ns0:c>
      <ns0:c r="AI468" s="12">
        <ns0:f>IF(AND(OR('前提と出典'!$C$36+'前提と出典'!$C$38=0,X468&gt;=0),OR('前提と出典'!$C$37+'前提と出典'!$C$38=0,Y468&gt;=0)),0,A468)</ns0:f>
        <ns0:v>0</ns0:v>
      </ns0:c>
    </ns0:row>
    <ns0:row r="469" ht="24" customHeight="1">
      <ns0:c r="A469" s="4" t="n">
        <ns0:v>465</ns0:v>
      </ns0:c>
      <ns0:c r="B469" s="12">
        <ns0:f>A469*('前提と出典'!$C$36+'前提と出典'!$C$38)</ns0:f>
        <ns0:v>325.5</ns0:v>
      </ns0:c>
      <ns0:c r="C469" s="12">
        <ns0:f>A469*('前提と出典'!$C$37+'前提と出典'!$C$38)</ns0:f>
        <ns0:v>279</ns0:v>
      </ns0:c>
      <ns0:c r="D469" s="16">
        <ns0:f>A469*('前提と出典'!$C$36*'契約別単価'!C5+'前提と出典'!$C$37*'契約別単価'!C6+'前提と出典'!$C$38*'契約別単価'!C7)</ns0:f>
        <ns0:v>3345.921787709497</ns0:v>
      </ns0:c>
      <ns0:c r="E469" s="16">
        <ns0:f>A469*('前提と出典'!$C$36*'契約別単価'!E5+'前提と出典'!$C$37*'契約別単価'!E6+'前提と出典'!$C$38*'契約別単価'!E7)</ns0:f>
        <ns0:v>899749.2653805502</ns0:v>
      </ns0:c>
      <ns0:c r="F469" s="16">
        <ns0:f>A469*('前提と出典'!$C$36*'契約別単価'!F5+'前提と出典'!$C$37*'契約別単価'!F6+'前提と出典'!$C$38*'契約別単価'!F7)</ns0:f>
        <ns0:v>353118.89806236257</ns0:v>
      </ns0:c>
      <ns0:c r="G469" s="16">
        <ns0:f>A469*('前提と出典'!$C$36*'契約別単価'!G5+'前提と出典'!$C$37*'契約別単価'!G6+'前提と出典'!$C$38*'契約別単価'!G7)</ns0:f>
        <ns0:v>925583.7988826815</ns0:v>
      </ns0:c>
      <ns0:c r="H469" s="16">
        <ns0:f>A469*('前提と出典'!$C$36*'契約別単価'!H5+'前提と出典'!$C$37*'契約別単価'!H6+'前提と出典'!$C$38*'契約別単価'!H7)</ns0:f>
        <ns0:v>321223.99988770665</ns0:v>
      </ns0:c>
      <ns0:c r="I469" s="16">
        <ns0:f>A469*('前提と出典'!$C$36*'契約別単価'!I5+'前提と出典'!$C$37*'契約別単価'!I6+'前提と出典'!$C$38*'契約別単価'!I7)</ns0:f>
        <ns0:v>19620.921787709492</ns0:v>
      </ns0:c>
      <ns0:c r="J469" s="16">
        <ns0:f>A469*('前提と出典'!$C$36*'契約別単価'!J5+'前提と出典'!$C$37*'契約別単価'!J6+'前提と出典'!$C$38*'契約別単価'!J7)</ns0:f>
        <ns0:v>45704.637825290694</ns0:v>
      </ns0:c>
      <ns0:c r="K469" s="16">
        <ns0:f>A469*('前提と出典'!$C$36*'契約別単価'!K5+'前提と出典'!$C$37*'契約別単価'!K6+'前提と出典'!$C$38*'契約別単価'!K7)</ns0:f>
        <ns0:v>195906.14525139664</ns0:v>
      </ns0:c>
      <ns0:c r="L469" s="16">
        <ns0:f>A469*('前提と出典'!$C$36*'契約別単価'!L5+'前提と出典'!$C$37*'契約別単価'!L6+'前提と出典'!$C$38*'契約別単価'!L7)</ns0:f>
        <ns0:v>159507.46666292354</ns0:v>
      </ns0:c>
      <ns0:c r="M469" s="16">
        <ns0:f>IF(('前提と出典'!$C$36+'前提と出典'!$C$38)=0,0,IF(B469&lt;=10,'前提と出典'!B73+'前提と出典'!C73,IF(B469&lt;=100,'前提と出典'!B74+'前提と出典'!C74,IF(B469&lt;=500,'前提と出典'!B75+'前提と出典'!C75,'前提と出典'!B76+'前提と出典'!C76))))</ns0:f>
        <ns0:v>40000</ns0:v>
      </ns0:c>
      <ns0:c r="N469" s="16">
        <ns0:f>IF(('前提と出典'!$C$37+'前提と出典'!$C$38)=0,0,IF(C469&lt;=10,'前提と出典'!D73+'前提と出典'!E73,IF(C469&lt;=100,'前提と出典'!D74+'前提と出典'!E74,IF(C469&lt;=500,'前提と出典'!D75+'前提と出典'!E75,'前提と出典'!D76+'前提と出典'!E76))))</ns0:f>
        <ns0:v>56510.9346263078</ns0:v>
      </ns0:c>
      <ns0:c r="O469" s="16">
        <ns0:f>IF('前提と出典'!$C$36+'前提と出典'!$C$38=0,0,'前提と出典'!$B$4*IF('前提と出典'!$B$20=0,MAX('前提と出典'!$B$6,D469*'前提と出典'!$B$5),'前提と出典'!$B$6+D469*'前提と出典'!$B$5))</ns0:f>
        <ns0:v>461737.2067039106</ns0:v>
      </ns0:c>
      <ns0:c r="P469" s="16">
        <ns0:f>(E469+G469)*(1-'前提と出典'!$B$7)-I469-K469-M469-O469</ns0:f>
        <ns0:v>1042356.8002067385</ns0:v>
      </ns0:c>
      <ns0:c r="Q469" s="16">
        <ns0:f>(F469+H469)*(1-'前提と出典'!$B$7)-J469-L469-N469</ns0:f>
        <ns0:v>388343.5145093448</ns0:v>
      </ns0:c>
      <ns0:c r="R469" s="16">
        <ns0:f>P469-E469*'前提と出典'!$E$4</ns0:f>
        <ns0:v>772432.0205925736</ns0:v>
      </ns0:c>
      <ns0:c r="S469" s="16">
        <ns0:f>Q469-F469*'前提と出典'!$E$4</ns0:f>
        <ns0:v>282407.84509063594</ns0:v>
      </ns0:c>
      <ns0:c r="T469" s="7">
        <ns0:f>R469+S469</ns0:f>
        <ns0:v>1054839.8656832096</ns0:v>
      </ns0:c>
      <ns0:c r="U469" s="16">
        <ns0:f>P469-E469*'前提と出典'!$E$5</ns0:f>
        <ns0:v>682457.0940545185</ns0:v>
      </ns0:c>
      <ns0:c r="V469" s="16">
        <ns0:f>Q469-F469*'前提と出典'!$E$5</ns0:f>
        <ns0:v>247095.9552843998</ns0:v>
      </ns0:c>
      <ns0:c r="W469" s="7">
        <ns0:f>U469+V469</ns0:f>
        <ns0:v>929553.0493389183</ns0:v>
      </ns0:c>
      <ns0:c r="X469" s="16">
        <ns0:f>P469-E469*'前提と出典'!$E$6</ns0:f>
        <ns0:v>592482.1675164634</ns0:v>
      </ns0:c>
      <ns0:c r="Y469" s="16">
        <ns0:f>Q469-F469*'前提と出典'!$E$6</ns0:f>
        <ns0:v>211784.06547816354</ns0:v>
      </ns0:c>
      <ns0:c r="Z469" s="7">
        <ns0:f>X469+Y469</ns0:f>
        <ns0:v>804266.232994627</ns0:v>
      </ns0:c>
      <ns0:c r="AA469" s="7">
        <ns0:f>IF(T469&gt;=0,A469,1001)</ns0:f>
        <ns0:v>465</ns0:v>
      </ns0:c>
      <ns0:c r="AB469" s="7">
        <ns0:f>IF(T469&lt;0,A469,0)</ns0:f>
        <ns0:v>0</ns0:v>
      </ns0:c>
      <ns0:c r="AC469" s="16">
        <ns0:f>IF(AND(OR('前提と出典'!$C$36+'前提と出典'!$C$38=0,R469&gt;=0),OR('前提と出典'!$C$37+'前提と出典'!$C$38=0,S469&gt;=0)),0,A469)</ns0:f>
        <ns0:v>0</ns0:v>
      </ns0:c>
      <ns0:c r="AD469" s="7">
        <ns0:f>IF(W469&gt;=0,A469,1001)</ns0:f>
        <ns0:v>465</ns0:v>
      </ns0:c>
      <ns0:c r="AE469" s="7">
        <ns0:f>IF(W469&lt;0,A469,0)</ns0:f>
        <ns0:v>0</ns0:v>
      </ns0:c>
      <ns0:c r="AF469" s="16">
        <ns0:f>IF(AND(OR('前提と出典'!$C$36+'前提と出典'!$C$38=0,U469&gt;=0),OR('前提と出典'!$C$37+'前提と出典'!$C$38=0,V469&gt;=0)),0,A469)</ns0:f>
        <ns0:v>0</ns0:v>
      </ns0:c>
      <ns0:c r="AG469" s="7">
        <ns0:f>IF(Z469&gt;=0,A469,1001)</ns0:f>
        <ns0:v>465</ns0:v>
      </ns0:c>
      <ns0:c r="AH469" s="4">
        <ns0:f>IF(Z469&lt;0,A469,0)</ns0:f>
        <ns0:v>0</ns0:v>
      </ns0:c>
      <ns0:c r="AI469" s="12">
        <ns0:f>IF(AND(OR('前提と出典'!$C$36+'前提と出典'!$C$38=0,X469&gt;=0),OR('前提と出典'!$C$37+'前提と出典'!$C$38=0,Y469&gt;=0)),0,A469)</ns0:f>
        <ns0:v>0</ns0:v>
      </ns0:c>
    </ns0:row>
    <ns0:row r="470" ht="24" customHeight="1">
      <ns0:c r="A470" s="4" t="n">
        <ns0:v>466</ns0:v>
      </ns0:c>
      <ns0:c r="B470" s="12">
        <ns0:f>A470*('前提と出典'!$C$36+'前提と出典'!$C$38)</ns0:f>
        <ns0:v>326.2</ns0:v>
      </ns0:c>
      <ns0:c r="C470" s="12">
        <ns0:f>A470*('前提と出典'!$C$37+'前提と出典'!$C$38)</ns0:f>
        <ns0:v>279.59999999999997</ns0:v>
      </ns0:c>
      <ns0:c r="D470" s="16">
        <ns0:f>A470*('前提と出典'!$C$36*'契約別単価'!C5+'前提と出典'!$C$37*'契約別単価'!C6+'前提と出典'!$C$38*'契約別単価'!C7)</ns0:f>
        <ns0:v>3353.117318435754</ns0:v>
      </ns0:c>
      <ns0:c r="E470" s="16">
        <ns0:f>A470*('前提と出典'!$C$36*'契約別単価'!E5+'前提と出典'!$C$37*'契約別単価'!E6+'前提と出典'!$C$38*'契約別単価'!E7)</ns0:f>
        <ns0:v>901684.2100372826</ns0:v>
      </ns0:c>
      <ns0:c r="F470" s="16">
        <ns0:f>A470*('前提と出典'!$C$36*'契約別単価'!F5+'前提と出典'!$C$37*'契約別単価'!F6+'前提と出典'!$C$38*'契約別単価'!F7)</ns0:f>
        <ns0:v>353878.2935420666</ns0:v>
      </ns0:c>
      <ns0:c r="G470" s="16">
        <ns0:f>A470*('前提と出典'!$C$36*'契約別単価'!G5+'前提と出典'!$C$37*'契約別単価'!G6+'前提と出典'!$C$38*'契約別単価'!G7)</ns0:f>
        <ns0:v>927574.3016759777</ns0:v>
      </ns0:c>
      <ns0:c r="H470" s="16">
        <ns0:f>A470*('前提と出典'!$C$36*'契約別単価'!H5+'前提と出典'!$C$37*'契約別単価'!H6+'前提と出典'!$C$38*'契約別単価'!H7)</ns0:f>
        <ns0:v>321914.8041885404</ns0:v>
      </ns0:c>
      <ns0:c r="I470" s="16">
        <ns0:f>A470*('前提と出典'!$C$36*'契約別単価'!I5+'前提と出典'!$C$37*'契約別単価'!I6+'前提と出典'!$C$38*'契約別単価'!I7)</ns0:f>
        <ns0:v>19663.11731843575</ns0:v>
      </ns0:c>
      <ns0:c r="J470" s="16">
        <ns0:f>A470*('前提と出典'!$C$36*'契約別単価'!J5+'前提と出典'!$C$37*'契約別単価'!J6+'前提と出典'!$C$38*'契約別単価'!J7)</ns0:f>
        <ns0:v>45802.927369000994</ns0:v>
      </ns0:c>
      <ns0:c r="K470" s="16">
        <ns0:f>A470*('前提と出典'!$C$36*'契約別単価'!K5+'前提と出典'!$C$37*'契約別単価'!K6+'前提と出典'!$C$38*'契約別単価'!K7)</ns0:f>
        <ns0:v>196327.44878957167</ns0:v>
      </ns0:c>
      <ns0:c r="L470" s="16">
        <ns0:f>A470*('前提と出典'!$C$36*'契約別単価'!L5+'前提と出典'!$C$37*'契約別単価'!L6+'前提と出典'!$C$38*'契約別単価'!L7)</ns0:f>
        <ns0:v>159850.49347295135</ns0:v>
      </ns0:c>
      <ns0:c r="M470" s="16">
        <ns0:f>IF(('前提と出典'!$C$36+'前提と出典'!$C$38)=0,0,IF(B470&lt;=10,'前提と出典'!B73+'前提と出典'!C73,IF(B470&lt;=100,'前提と出典'!B74+'前提と出典'!C74,IF(B470&lt;=500,'前提と出典'!B75+'前提と出典'!C75,'前提と出典'!B76+'前提と出典'!C76))))</ns0:f>
        <ns0:v>40000</ns0:v>
      </ns0:c>
      <ns0:c r="N470" s="16">
        <ns0:f>IF(('前提と出典'!$C$37+'前提と出典'!$C$38)=0,0,IF(C470&lt;=10,'前提と出典'!D73+'前提と出典'!E73,IF(C470&lt;=100,'前提と出典'!D74+'前提と出典'!E74,IF(C470&lt;=500,'前提と出典'!D75+'前提と出典'!E75,'前提と出典'!D76+'前提と出典'!E76))))</ns0:f>
        <ns0:v>56510.9346263078</ns0:v>
      </ns0:c>
      <ns0:c r="O470" s="16">
        <ns0:f>IF('前提と出典'!$C$36+'前提と出典'!$C$38=0,0,'前提と出典'!$B$4*IF('前提と出典'!$B$20=0,MAX('前提と出典'!$B$6,D470*'前提と出典'!$B$5),'前提と出典'!$B$6+D470*'前提と出典'!$B$5))</ns0:f>
        <ns0:v>462730.1899441341</ns0:v>
      </ns0:c>
      <ns0:c r="P470" s="16">
        <ns0:f>(E470+G470)*(1-'前提と出典'!$B$7)-I470-K470-M470-O470</ns0:f>
        <ns0:v>1044684.4492394413</ns0:v>
      </ns0:c>
      <ns0:c r="Q470" s="16">
        <ns0:f>(F470+H470)*(1-'前提と出典'!$B$7)-J470-L470-N470</ns0:f>
        <ns0:v>389300.1907440451</ns0:v>
      </ns0:c>
      <ns0:c r="R470" s="16">
        <ns0:f>P470-E470*'前提と出典'!$E$4</ns0:f>
        <ns0:v>774179.1862282567</ns0:v>
      </ns0:c>
      <ns0:c r="S470" s="16">
        <ns0:f>Q470-F470*'前提と出典'!$E$4</ns0:f>
        <ns0:v>283136.70268142514</ns0:v>
      </ns0:c>
      <ns0:c r="T470" s="7">
        <ns0:f>R470+S470</ns0:f>
        <ns0:v>1057315.8889096817</ns0:v>
      </ns0:c>
      <ns0:c r="U470" s="16">
        <ns0:f>P470-E470*'前提と出典'!$E$5</ns0:f>
        <ns0:v>684010.7652245283</ns0:v>
      </ns0:c>
      <ns0:c r="V470" s="16">
        <ns0:f>Q470-F470*'前提と出典'!$E$5</ns0:f>
        <ns0:v>247748.87332721846</ns0:v>
      </ns0:c>
      <ns0:c r="W470" s="7">
        <ns0:f>U470+V470</ns0:f>
        <ns0:v>931759.6385517467</ns0:v>
      </ns0:c>
      <ns0:c r="X470" s="16">
        <ns0:f>P470-E470*'前提と出典'!$E$6</ns0:f>
        <ns0:v>593842.3442208001</ns0:v>
      </ns0:c>
      <ns0:c r="Y470" s="16">
        <ns0:f>Q470-F470*'前提と出典'!$E$6</ns0:f>
        <ns0:v>212361.04397301178</ns0:v>
      </ns0:c>
      <ns0:c r="Z470" s="7">
        <ns0:f>X470+Y470</ns0:f>
        <ns0:v>806203.3881938119</ns0:v>
      </ns0:c>
      <ns0:c r="AA470" s="7">
        <ns0:f>IF(T470&gt;=0,A470,1001)</ns0:f>
        <ns0:v>466</ns0:v>
      </ns0:c>
      <ns0:c r="AB470" s="7">
        <ns0:f>IF(T470&lt;0,A470,0)</ns0:f>
        <ns0:v>0</ns0:v>
      </ns0:c>
      <ns0:c r="AC470" s="16">
        <ns0:f>IF(AND(OR('前提と出典'!$C$36+'前提と出典'!$C$38=0,R470&gt;=0),OR('前提と出典'!$C$37+'前提と出典'!$C$38=0,S470&gt;=0)),0,A470)</ns0:f>
        <ns0:v>0</ns0:v>
      </ns0:c>
      <ns0:c r="AD470" s="7">
        <ns0:f>IF(W470&gt;=0,A470,1001)</ns0:f>
        <ns0:v>466</ns0:v>
      </ns0:c>
      <ns0:c r="AE470" s="7">
        <ns0:f>IF(W470&lt;0,A470,0)</ns0:f>
        <ns0:v>0</ns0:v>
      </ns0:c>
      <ns0:c r="AF470" s="16">
        <ns0:f>IF(AND(OR('前提と出典'!$C$36+'前提と出典'!$C$38=0,U470&gt;=0),OR('前提と出典'!$C$37+'前提と出典'!$C$38=0,V470&gt;=0)),0,A470)</ns0:f>
        <ns0:v>0</ns0:v>
      </ns0:c>
      <ns0:c r="AG470" s="7">
        <ns0:f>IF(Z470&gt;=0,A470,1001)</ns0:f>
        <ns0:v>466</ns0:v>
      </ns0:c>
      <ns0:c r="AH470" s="4">
        <ns0:f>IF(Z470&lt;0,A470,0)</ns0:f>
        <ns0:v>0</ns0:v>
      </ns0:c>
      <ns0:c r="AI470" s="12">
        <ns0:f>IF(AND(OR('前提と出典'!$C$36+'前提と出典'!$C$38=0,X470&gt;=0),OR('前提と出典'!$C$37+'前提と出典'!$C$38=0,Y470&gt;=0)),0,A470)</ns0:f>
        <ns0:v>0</ns0:v>
      </ns0:c>
    </ns0:row>
    <ns0:row r="471" ht="24" customHeight="1">
      <ns0:c r="A471" s="4" t="n">
        <ns0:v>467</ns0:v>
      </ns0:c>
      <ns0:c r="B471" s="12">
        <ns0:f>A471*('前提と出典'!$C$36+'前提と出典'!$C$38)</ns0:f>
        <ns0:v>326.9</ns0:v>
      </ns0:c>
      <ns0:c r="C471" s="12">
        <ns0:f>A471*('前提と出典'!$C$37+'前提と出典'!$C$38)</ns0:f>
        <ns0:v>280.2</ns0:v>
      </ns0:c>
      <ns0:c r="D471" s="16">
        <ns0:f>A471*('前提と出典'!$C$36*'契約別単価'!C5+'前提と出典'!$C$37*'契約別単価'!C6+'前提と出典'!$C$38*'契約別単価'!C7)</ns0:f>
        <ns0:v>3360.312849162011</ns0:v>
      </ns0:c>
      <ns0:c r="E471" s="16">
        <ns0:f>A471*('前提と出典'!$C$36*'契約別単価'!E5+'前提と出典'!$C$37*'契約別単価'!E6+'前提と出典'!$C$38*'契約別単価'!E7)</ns0:f>
        <ns0:v>903619.1546940149</ns0:v>
      </ns0:c>
      <ns0:c r="F471" s="16">
        <ns0:f>A471*('前提と出典'!$C$36*'契約別単価'!F5+'前提と出典'!$C$37*'契約別単価'!F6+'前提と出典'!$C$38*'契約別単価'!F7)</ns0:f>
        <ns0:v>354637.6890217706</ns0:v>
      </ns0:c>
      <ns0:c r="G471" s="16">
        <ns0:f>A471*('前提と出典'!$C$36*'契約別単価'!G5+'前提と出典'!$C$37*'契約別単価'!G6+'前提と出典'!$C$38*'契約別単価'!G7)</ns0:f>
        <ns0:v>929564.8044692737</ns0:v>
      </ns0:c>
      <ns0:c r="H471" s="16">
        <ns0:f>A471*('前提と出典'!$C$36*'契約別単価'!H5+'前提と出典'!$C$37*'契約別単価'!H6+'前提と出典'!$C$38*'契約別単価'!H7)</ns0:f>
        <ns0:v>322605.60848937416</ns0:v>
      </ns0:c>
      <ns0:c r="I471" s="16">
        <ns0:f>A471*('前提と出典'!$C$36*'契約別単価'!I5+'前提と出典'!$C$37*'契約別単価'!I6+'前提と出典'!$C$38*'契約別単価'!I7)</ns0:f>
        <ns0:v>19705.31284916201</ns0:v>
      </ns0:c>
      <ns0:c r="J471" s="16">
        <ns0:f>A471*('前提と出典'!$C$36*'契約別単価'!J5+'前提と出典'!$C$37*'契約別単価'!J6+'前提と出典'!$C$38*'契約別単価'!J7)</ns0:f>
        <ns0:v>45901.2169127113</ns0:v>
      </ns0:c>
      <ns0:c r="K471" s="16">
        <ns0:f>A471*('前提と出典'!$C$36*'契約別単価'!K5+'前提と出典'!$C$37*'契約別単価'!K6+'前提と出典'!$C$38*'契約別単価'!K7)</ns0:f>
        <ns0:v>196748.75232774674</ns0:v>
      </ns0:c>
      <ns0:c r="L471" s="16">
        <ns0:f>A471*('前提と出典'!$C$36*'契約別単価'!L5+'前提と出典'!$C$37*'契約別単価'!L6+'前提と出典'!$C$38*'契約別単価'!L7)</ns0:f>
        <ns0:v>160193.52028297912</ns0:v>
      </ns0:c>
      <ns0:c r="M471" s="16">
        <ns0:f>IF(('前提と出典'!$C$36+'前提と出典'!$C$38)=0,0,IF(B471&lt;=10,'前提と出典'!B73+'前提と出典'!C73,IF(B471&lt;=100,'前提と出典'!B74+'前提と出典'!C74,IF(B471&lt;=500,'前提と出典'!B75+'前提と出典'!C75,'前提と出典'!B76+'前提と出典'!C76))))</ns0:f>
        <ns0:v>40000</ns0:v>
      </ns0:c>
      <ns0:c r="N471" s="16">
        <ns0:f>IF(('前提と出典'!$C$37+'前提と出典'!$C$38)=0,0,IF(C471&lt;=10,'前提と出典'!D73+'前提と出典'!E73,IF(C471&lt;=100,'前提と出典'!D74+'前提と出典'!E74,IF(C471&lt;=500,'前提と出典'!D75+'前提と出典'!E75,'前提と出典'!D76+'前提と出典'!E76))))</ns0:f>
        <ns0:v>56510.9346263078</ns0:v>
      </ns0:c>
      <ns0:c r="O471" s="16">
        <ns0:f>IF('前提と出典'!$C$36+'前提と出典'!$C$38=0,0,'前提と出典'!$B$4*IF('前提と出典'!$B$20=0,MAX('前提と出典'!$B$6,D471*'前提と出典'!$B$5),'前提と出典'!$B$6+D471*'前提と出典'!$B$5))</ns0:f>
        <ns0:v>463723.1731843575</ns0:v>
      </ns0:c>
      <ns0:c r="P471" s="16">
        <ns0:f>(E471+G471)*(1-'前提と出典'!$B$7)-I471-K471-M471-O471</ns0:f>
        <ns0:v>1047012.0982721441</ns0:v>
      </ns0:c>
      <ns0:c r="Q471" s="16">
        <ns0:f>(F471+H471)*(1-'前提と出典'!$B$7)-J471-L471-N471</ns0:f>
        <ns0:v>390256.8669787454</ns0:v>
      </ns0:c>
      <ns0:c r="R471" s="16">
        <ns0:f>P471-E471*'前提と出典'!$E$4</ns0:f>
        <ns0:v>775926.3518639395</ns0:v>
      </ns0:c>
      <ns0:c r="S471" s="16">
        <ns0:f>Q471-F471*'前提と出典'!$E$4</ns0:f>
        <ns0:v>283865.5602722141</ns0:v>
      </ns0:c>
      <ns0:c r="T471" s="7">
        <ns0:f>R471+S471</ns0:f>
        <ns0:v>1059791.9121361538</ns0:v>
      </ns0:c>
      <ns0:c r="U471" s="16">
        <ns0:f>P471-E471*'前提と出典'!$E$5</ns0:f>
        <ns0:v>685564.436394538</ns0:v>
      </ns0:c>
      <ns0:c r="V471" s="16">
        <ns0:f>Q471-F471*'前提と出典'!$E$5</ns0:f>
        <ns0:v>248401.79137003713</ns0:v>
      </ns0:c>
      <ns0:c r="W471" s="7">
        <ns0:f>U471+V471</ns0:f>
        <ns0:v>933966.2277645752</ns0:v>
      </ns0:c>
      <ns0:c r="X471" s="16">
        <ns0:f>P471-E471*'前提と出典'!$E$6</ns0:f>
        <ns0:v>595202.5209251365</ns0:v>
      </ns0:c>
      <ns0:c r="Y471" s="16">
        <ns0:f>Q471-F471*'前提と出典'!$E$6</ns0:f>
        <ns0:v>212938.02246786002</ns0:v>
      </ns0:c>
      <ns0:c r="Z471" s="7">
        <ns0:f>X471+Y471</ns0:f>
        <ns0:v>808140.5433929965</ns0:v>
      </ns0:c>
      <ns0:c r="AA471" s="7">
        <ns0:f>IF(T471&gt;=0,A471,1001)</ns0:f>
        <ns0:v>467</ns0:v>
      </ns0:c>
      <ns0:c r="AB471" s="7">
        <ns0:f>IF(T471&lt;0,A471,0)</ns0:f>
        <ns0:v>0</ns0:v>
      </ns0:c>
      <ns0:c r="AC471" s="16">
        <ns0:f>IF(AND(OR('前提と出典'!$C$36+'前提と出典'!$C$38=0,R471&gt;=0),OR('前提と出典'!$C$37+'前提と出典'!$C$38=0,S471&gt;=0)),0,A471)</ns0:f>
        <ns0:v>0</ns0:v>
      </ns0:c>
      <ns0:c r="AD471" s="7">
        <ns0:f>IF(W471&gt;=0,A471,1001)</ns0:f>
        <ns0:v>467</ns0:v>
      </ns0:c>
      <ns0:c r="AE471" s="7">
        <ns0:f>IF(W471&lt;0,A471,0)</ns0:f>
        <ns0:v>0</ns0:v>
      </ns0:c>
      <ns0:c r="AF471" s="16">
        <ns0:f>IF(AND(OR('前提と出典'!$C$36+'前提と出典'!$C$38=0,U471&gt;=0),OR('前提と出典'!$C$37+'前提と出典'!$C$38=0,V471&gt;=0)),0,A471)</ns0:f>
        <ns0:v>0</ns0:v>
      </ns0:c>
      <ns0:c r="AG471" s="7">
        <ns0:f>IF(Z471&gt;=0,A471,1001)</ns0:f>
        <ns0:v>467</ns0:v>
      </ns0:c>
      <ns0:c r="AH471" s="4">
        <ns0:f>IF(Z471&lt;0,A471,0)</ns0:f>
        <ns0:v>0</ns0:v>
      </ns0:c>
      <ns0:c r="AI471" s="12">
        <ns0:f>IF(AND(OR('前提と出典'!$C$36+'前提と出典'!$C$38=0,X471&gt;=0),OR('前提と出典'!$C$37+'前提と出典'!$C$38=0,Y471&gt;=0)),0,A471)</ns0:f>
        <ns0:v>0</ns0:v>
      </ns0:c>
    </ns0:row>
    <ns0:row r="472" ht="24" customHeight="1">
      <ns0:c r="A472" s="4" t="n">
        <ns0:v>468</ns0:v>
      </ns0:c>
      <ns0:c r="B472" s="12">
        <ns0:f>A472*('前提と出典'!$C$36+'前提と出典'!$C$38)</ns0:f>
        <ns0:v>327.59999999999997</ns0:v>
      </ns0:c>
      <ns0:c r="C472" s="12">
        <ns0:f>A472*('前提と出典'!$C$37+'前提と出典'!$C$38)</ns0:f>
        <ns0:v>280.8</ns0:v>
      </ns0:c>
      <ns0:c r="D472" s="16">
        <ns0:f>A472*('前提と出典'!$C$36*'契約別単価'!C5+'前提と出典'!$C$37*'契約別単価'!C6+'前提と出典'!$C$38*'契約別単価'!C7)</ns0:f>
        <ns0:v>3367.5083798882683</ns0:v>
      </ns0:c>
      <ns0:c r="E472" s="16">
        <ns0:f>A472*('前提と出典'!$C$36*'契約別単価'!E5+'前提と出典'!$C$37*'契約別単価'!E6+'前提と出典'!$C$38*'契約別単価'!E7)</ns0:f>
        <ns0:v>905554.0993507473</ns0:v>
      </ns0:c>
      <ns0:c r="F472" s="16">
        <ns0:f>A472*('前提と出典'!$C$36*'契約別単価'!F5+'前提と出典'!$C$37*'契約別単価'!F6+'前提と出典'!$C$38*'契約別単価'!F7)</ns0:f>
        <ns0:v>355397.0845014746</ns0:v>
      </ns0:c>
      <ns0:c r="G472" s="16">
        <ns0:f>A472*('前提と出典'!$C$36*'契約別単価'!G5+'前提と出典'!$C$37*'契約別単価'!G6+'前提と出典'!$C$38*'契約別単価'!G7)</ns0:f>
        <ns0:v>931555.3072625698</ns0:v>
      </ns0:c>
      <ns0:c r="H472" s="16">
        <ns0:f>A472*('前提と出典'!$C$36*'契約別単価'!H5+'前提と出典'!$C$37*'契約別単価'!H6+'前提と出典'!$C$38*'契約別単価'!H7)</ns0:f>
        <ns0:v>323296.41279020795</ns0:v>
      </ns0:c>
      <ns0:c r="I472" s="16">
        <ns0:f>A472*('前提と出典'!$C$36*'契約別単価'!I5+'前提と出典'!$C$37*'契約別単価'!I6+'前提と出典'!$C$38*'契約別単価'!I7)</ns0:f>
        <ns0:v>19747.508379888266</ns0:v>
      </ns0:c>
      <ns0:c r="J472" s="16">
        <ns0:f>A472*('前提と出典'!$C$36*'契約別単価'!J5+'前提と出典'!$C$37*'契約別単価'!J6+'前提と出典'!$C$38*'契約別単価'!J7)</ns0:f>
        <ns0:v>45999.5064564216</ns0:v>
      </ns0:c>
      <ns0:c r="K472" s="16">
        <ns0:f>A472*('前提と出典'!$C$36*'契約別単価'!K5+'前提と出典'!$C$37*'契約別単価'!K6+'前提と出典'!$C$38*'契約別単価'!K7)</ns0:f>
        <ns0:v>197170.05586592178</ns0:v>
      </ns0:c>
      <ns0:c r="L472" s="16">
        <ns0:f>A472*('前提と出典'!$C$36*'契約別単価'!L5+'前提と出典'!$C$37*'契約別単価'!L6+'前提と出典'!$C$38*'契約別単価'!L7)</ns0:f>
        <ns0:v>160536.54709300693</ns0:v>
      </ns0:c>
      <ns0:c r="M472" s="16">
        <ns0:f>IF(('前提と出典'!$C$36+'前提と出典'!$C$38)=0,0,IF(B472&lt;=10,'前提と出典'!B73+'前提と出典'!C73,IF(B472&lt;=100,'前提と出典'!B74+'前提と出典'!C74,IF(B472&lt;=500,'前提と出典'!B75+'前提と出典'!C75,'前提と出典'!B76+'前提と出典'!C76))))</ns0:f>
        <ns0:v>40000</ns0:v>
      </ns0:c>
      <ns0:c r="N472" s="16">
        <ns0:f>IF(('前提と出典'!$C$37+'前提と出典'!$C$38)=0,0,IF(C472&lt;=10,'前提と出典'!D73+'前提と出典'!E73,IF(C472&lt;=100,'前提と出典'!D74+'前提と出典'!E74,IF(C472&lt;=500,'前提と出典'!D75+'前提と出典'!E75,'前提と出典'!D76+'前提と出典'!E76))))</ns0:f>
        <ns0:v>56510.9346263078</ns0:v>
      </ns0:c>
      <ns0:c r="O472" s="16">
        <ns0:f>IF('前提と出典'!$C$36+'前提と出典'!$C$38=0,0,'前提と出典'!$B$4*IF('前提と出典'!$B$20=0,MAX('前提と出典'!$B$6,D472*'前提と出典'!$B$5),'前提と出典'!$B$6+D472*'前提と出典'!$B$5))</ns0:f>
        <ns0:v>464716.1564245811</ns0:v>
      </ns0:c>
      <ns0:c r="P472" s="16">
        <ns0:f>(E472+G472)*(1-'前提と出典'!$B$7)-I472-K472-M472-O472</ns0:f>
        <ns0:v>1049339.7473048465</ns0:v>
      </ns0:c>
      <ns0:c r="Q472" s="16">
        <ns0:f>(F472+H472)*(1-'前提と出典'!$B$7)-J472-L472-N472</ns0:f>
        <ns0:v>391213.54321344564</ns0:v>
      </ns0:c>
      <ns0:c r="R472" s="16">
        <ns0:f>P472-E472*'前提と出典'!$E$4</ns0:f>
        <ns0:v>777673.5174996224</ns0:v>
      </ns0:c>
      <ns0:c r="S472" s="16">
        <ns0:f>Q472-F472*'前提と出典'!$E$4</ns0:f>
        <ns0:v>284594.4178630033</ns0:v>
      </ns0:c>
      <ns0:c r="T472" s="7">
        <ns0:f>R472+S472</ns0:f>
        <ns0:v>1062267.9353626259</ns0:v>
      </ns0:c>
      <ns0:c r="U472" s="16">
        <ns0:f>P472-E472*'前提と出典'!$E$5</ns0:f>
        <ns0:v>687118.1075645476</ns0:v>
      </ns0:c>
      <ns0:c r="V472" s="16">
        <ns0:f>Q472-F472*'前提と出典'!$E$5</ns0:f>
        <ns0:v>249054.7094128558</ns0:v>
      </ns0:c>
      <ns0:c r="W472" s="7">
        <ns0:f>U472+V472</ns0:f>
        <ns0:v>936172.8169774034</ns0:v>
      </ns0:c>
      <ns0:c r="X472" s="16">
        <ns0:f>P472-E472*'前提と出典'!$E$6</ns0:f>
        <ns0:v>596562.6976294729</ns0:v>
      </ns0:c>
      <ns0:c r="Y472" s="16">
        <ns0:f>Q472-F472*'前提と出典'!$E$6</ns0:f>
        <ns0:v>213515.00096270838</ns0:v>
      </ns0:c>
      <ns0:c r="Z472" s="7">
        <ns0:f>X472+Y472</ns0:f>
        <ns0:v>810077.6985921813</ns0:v>
      </ns0:c>
      <ns0:c r="AA472" s="7">
        <ns0:f>IF(T472&gt;=0,A472,1001)</ns0:f>
        <ns0:v>468</ns0:v>
      </ns0:c>
      <ns0:c r="AB472" s="7">
        <ns0:f>IF(T472&lt;0,A472,0)</ns0:f>
        <ns0:v>0</ns0:v>
      </ns0:c>
      <ns0:c r="AC472" s="16">
        <ns0:f>IF(AND(OR('前提と出典'!$C$36+'前提と出典'!$C$38=0,R472&gt;=0),OR('前提と出典'!$C$37+'前提と出典'!$C$38=0,S472&gt;=0)),0,A472)</ns0:f>
        <ns0:v>0</ns0:v>
      </ns0:c>
      <ns0:c r="AD472" s="7">
        <ns0:f>IF(W472&gt;=0,A472,1001)</ns0:f>
        <ns0:v>468</ns0:v>
      </ns0:c>
      <ns0:c r="AE472" s="7">
        <ns0:f>IF(W472&lt;0,A472,0)</ns0:f>
        <ns0:v>0</ns0:v>
      </ns0:c>
      <ns0:c r="AF472" s="16">
        <ns0:f>IF(AND(OR('前提と出典'!$C$36+'前提と出典'!$C$38=0,U472&gt;=0),OR('前提と出典'!$C$37+'前提と出典'!$C$38=0,V472&gt;=0)),0,A472)</ns0:f>
        <ns0:v>0</ns0:v>
      </ns0:c>
      <ns0:c r="AG472" s="7">
        <ns0:f>IF(Z472&gt;=0,A472,1001)</ns0:f>
        <ns0:v>468</ns0:v>
      </ns0:c>
      <ns0:c r="AH472" s="4">
        <ns0:f>IF(Z472&lt;0,A472,0)</ns0:f>
        <ns0:v>0</ns0:v>
      </ns0:c>
      <ns0:c r="AI472" s="12">
        <ns0:f>IF(AND(OR('前提と出典'!$C$36+'前提と出典'!$C$38=0,X472&gt;=0),OR('前提と出典'!$C$37+'前提と出典'!$C$38=0,Y472&gt;=0)),0,A472)</ns0:f>
        <ns0:v>0</ns0:v>
      </ns0:c>
    </ns0:row>
    <ns0:row r="473" ht="24" customHeight="1">
      <ns0:c r="A473" s="4" t="n">
        <ns0:v>469</ns0:v>
      </ns0:c>
      <ns0:c r="B473" s="12">
        <ns0:f>A473*('前提と出典'!$C$36+'前提と出典'!$C$38)</ns0:f>
        <ns0:v>328.29999999999995</ns0:v>
      </ns0:c>
      <ns0:c r="C473" s="12">
        <ns0:f>A473*('前提と出典'!$C$37+'前提と出典'!$C$38)</ns0:f>
        <ns0:v>281.4</ns0:v>
      </ns0:c>
      <ns0:c r="D473" s="16">
        <ns0:f>A473*('前提と出典'!$C$36*'契約別単価'!C5+'前提と出典'!$C$37*'契約別単価'!C6+'前提と出典'!$C$38*'契約別単価'!C7)</ns0:f>
        <ns0:v>3374.7039106145253</ns0:v>
      </ns0:c>
      <ns0:c r="E473" s="16">
        <ns0:f>A473*('前提と出典'!$C$36*'契約別単価'!E5+'前提と出典'!$C$37*'契約別単価'!E6+'前提と出典'!$C$38*'契約別単価'!E7)</ns0:f>
        <ns0:v>907489.0440074797</ns0:v>
      </ns0:c>
      <ns0:c r="F473" s="16">
        <ns0:f>A473*('前提と出典'!$C$36*'契約別単価'!F5+'前提と出典'!$C$37*'契約別単価'!F6+'前提と出典'!$C$38*'契約別単価'!F7)</ns0:f>
        <ns0:v>356156.4799811786</ns0:v>
      </ns0:c>
      <ns0:c r="G473" s="16">
        <ns0:f>A473*('前提と出典'!$C$36*'契約別単価'!G5+'前提と出典'!$C$37*'契約別単価'!G6+'前提と出典'!$C$38*'契約別単価'!G7)</ns0:f>
        <ns0:v>933545.8100558659</ns0:v>
      </ns0:c>
      <ns0:c r="H473" s="16">
        <ns0:f>A473*('前提と出典'!$C$36*'契約別単価'!H5+'前提と出典'!$C$37*'契約別単価'!H6+'前提と出典'!$C$38*'契約別単価'!H7)</ns0:f>
        <ns0:v>323987.21709104173</ns0:v>
      </ns0:c>
      <ns0:c r="I473" s="16">
        <ns0:f>A473*('前提と出典'!$C$36*'契約別単価'!I5+'前提と出典'!$C$37*'契約別単価'!I6+'前提と出典'!$C$38*'契約別単価'!I7)</ns0:f>
        <ns0:v>19789.70391061452</ns0:v>
      </ns0:c>
      <ns0:c r="J473" s="16">
        <ns0:f>A473*('前提と出典'!$C$36*'契約別単価'!J5+'前提と出典'!$C$37*'契約別単価'!J6+'前提と出典'!$C$38*'契約別単価'!J7)</ns0:f>
        <ns0:v>46097.7960001319</ns0:v>
      </ns0:c>
      <ns0:c r="K473" s="16">
        <ns0:f>A473*('前提と出典'!$C$36*'契約別単価'!K5+'前提と出典'!$C$37*'契約別単価'!K6+'前提と出典'!$C$38*'契約別単価'!K7)</ns0:f>
        <ns0:v>197591.35940409682</ns0:v>
      </ns0:c>
      <ns0:c r="L473" s="16">
        <ns0:f>A473*('前提と出典'!$C$36*'契約別単価'!L5+'前提と出典'!$C$37*'契約別単価'!L6+'前提と出典'!$C$38*'契約別単価'!L7)</ns0:f>
        <ns0:v>160879.57390303473</ns0:v>
      </ns0:c>
      <ns0:c r="M473" s="16">
        <ns0:f>IF(('前提と出典'!$C$36+'前提と出典'!$C$38)=0,0,IF(B473&lt;=10,'前提と出典'!B73+'前提と出典'!C73,IF(B473&lt;=100,'前提と出典'!B74+'前提と出典'!C74,IF(B473&lt;=500,'前提と出典'!B75+'前提と出典'!C75,'前提と出典'!B76+'前提と出典'!C76))))</ns0:f>
        <ns0:v>40000</ns0:v>
      </ns0:c>
      <ns0:c r="N473" s="16">
        <ns0:f>IF(('前提と出典'!$C$37+'前提と出典'!$C$38)=0,0,IF(C473&lt;=10,'前提と出典'!D73+'前提と出典'!E73,IF(C473&lt;=100,'前提と出典'!D74+'前提と出典'!E74,IF(C473&lt;=500,'前提と出典'!D75+'前提と出典'!E75,'前提と出典'!D76+'前提と出典'!E76))))</ns0:f>
        <ns0:v>56510.9346263078</ns0:v>
      </ns0:c>
      <ns0:c r="O473" s="16">
        <ns0:f>IF('前提と出典'!$C$36+'前提と出典'!$C$38=0,0,'前提と出典'!$B$4*IF('前提と出典'!$B$20=0,MAX('前提と出典'!$B$6,D473*'前提と出典'!$B$5),'前提と出典'!$B$6+D473*'前提と出典'!$B$5))</ns0:f>
        <ns0:v>465709.1396648045</ns0:v>
      </ns0:c>
      <ns0:c r="P473" s="16">
        <ns0:f>(E473+G473)*(1-'前提と出典'!$B$7)-I473-K473-M473-O473</ns0:f>
        <ns0:v>1051667.3963375492</ns0:v>
      </ns0:c>
      <ns0:c r="Q473" s="16">
        <ns0:f>(F473+H473)*(1-'前提と出典'!$B$7)-J473-L473-N473</ns0:f>
        <ns0:v>392170.2194481458</ns0:v>
      </ns0:c>
      <ns0:c r="R473" s="16">
        <ns0:f>P473-E473*'前提と出典'!$E$4</ns0:f>
        <ns0:v>779420.6831353053</ns0:v>
      </ns0:c>
      <ns0:c r="S473" s="16">
        <ns0:f>Q473-F473*'前提と出典'!$E$4</ns0:f>
        <ns0:v>285323.27545379236</ns0:v>
      </ns0:c>
      <ns0:c r="T473" s="7">
        <ns0:f>R473+S473</ns0:f>
        <ns0:v>1064743.9585890977</ns0:v>
      </ns0:c>
      <ns0:c r="U473" s="16">
        <ns0:f>P473-E473*'前提と出典'!$E$5</ns0:f>
        <ns0:v>688671.7787345573</ns0:v>
      </ns0:c>
      <ns0:c r="V473" s="16">
        <ns0:f>Q473-F473*'前提と出典'!$E$5</ns0:f>
        <ns0:v>249707.6274556744</ns0:v>
      </ns0:c>
      <ns0:c r="W473" s="7">
        <ns0:f>U473+V473</ns0:f>
        <ns0:v>938379.4061902317</ns0:v>
      </ns0:c>
      <ns0:c r="X473" s="16">
        <ns0:f>P473-E473*'前提と出典'!$E$6</ns0:f>
        <ns0:v>597922.8743338094</ns0:v>
      </ns0:c>
      <ns0:c r="Y473" s="16">
        <ns0:f>Q473-F473*'前提と出典'!$E$6</ns0:f>
        <ns0:v>214091.97945755656</ns0:v>
      </ns0:c>
      <ns0:c r="Z473" s="7">
        <ns0:f>X473+Y473</ns0:f>
        <ns0:v>812014.8537913659</ns0:v>
      </ns0:c>
      <ns0:c r="AA473" s="7">
        <ns0:f>IF(T473&gt;=0,A473,1001)</ns0:f>
        <ns0:v>469</ns0:v>
      </ns0:c>
      <ns0:c r="AB473" s="7">
        <ns0:f>IF(T473&lt;0,A473,0)</ns0:f>
        <ns0:v>0</ns0:v>
      </ns0:c>
      <ns0:c r="AC473" s="16">
        <ns0:f>IF(AND(OR('前提と出典'!$C$36+'前提と出典'!$C$38=0,R473&gt;=0),OR('前提と出典'!$C$37+'前提と出典'!$C$38=0,S473&gt;=0)),0,A473)</ns0:f>
        <ns0:v>0</ns0:v>
      </ns0:c>
      <ns0:c r="AD473" s="7">
        <ns0:f>IF(W473&gt;=0,A473,1001)</ns0:f>
        <ns0:v>469</ns0:v>
      </ns0:c>
      <ns0:c r="AE473" s="7">
        <ns0:f>IF(W473&lt;0,A473,0)</ns0:f>
        <ns0:v>0</ns0:v>
      </ns0:c>
      <ns0:c r="AF473" s="16">
        <ns0:f>IF(AND(OR('前提と出典'!$C$36+'前提と出典'!$C$38=0,U473&gt;=0),OR('前提と出典'!$C$37+'前提と出典'!$C$38=0,V473&gt;=0)),0,A473)</ns0:f>
        <ns0:v>0</ns0:v>
      </ns0:c>
      <ns0:c r="AG473" s="7">
        <ns0:f>IF(Z473&gt;=0,A473,1001)</ns0:f>
        <ns0:v>469</ns0:v>
      </ns0:c>
      <ns0:c r="AH473" s="4">
        <ns0:f>IF(Z473&lt;0,A473,0)</ns0:f>
        <ns0:v>0</ns0:v>
      </ns0:c>
      <ns0:c r="AI473" s="12">
        <ns0:f>IF(AND(OR('前提と出典'!$C$36+'前提と出典'!$C$38=0,X473&gt;=0),OR('前提と出典'!$C$37+'前提と出典'!$C$38=0,Y473&gt;=0)),0,A473)</ns0:f>
        <ns0:v>0</ns0:v>
      </ns0:c>
    </ns0:row>
    <ns0:row r="474" ht="24" customHeight="1">
      <ns0:c r="A474" s="4" t="n">
        <ns0:v>470</ns0:v>
      </ns0:c>
      <ns0:c r="B474" s="12">
        <ns0:f>A474*('前提と出典'!$C$36+'前提と出典'!$C$38)</ns0:f>
        <ns0:v>329</ns0:v>
      </ns0:c>
      <ns0:c r="C474" s="12">
        <ns0:f>A474*('前提と出典'!$C$37+'前提と出典'!$C$38)</ns0:f>
        <ns0:v>282</ns0:v>
      </ns0:c>
      <ns0:c r="D474" s="16">
        <ns0:f>A474*('前提と出典'!$C$36*'契約別単価'!C5+'前提と出典'!$C$37*'契約別単価'!C6+'前提と出典'!$C$38*'契約別単価'!C7)</ns0:f>
        <ns0:v>3381.8994413407822</ns0:v>
      </ns0:c>
      <ns0:c r="E474" s="16">
        <ns0:f>A474*('前提と出典'!$C$36*'契約別単価'!E5+'前提と出典'!$C$37*'契約別単価'!E6+'前提と出典'!$C$38*'契約別単価'!E7)</ns0:f>
        <ns0:v>909423.988664212</ns0:v>
      </ns0:c>
      <ns0:c r="F474" s="16">
        <ns0:f>A474*('前提と出典'!$C$36*'契約別単価'!F5+'前提と出典'!$C$37*'契約別単価'!F6+'前提と出典'!$C$38*'契約別単価'!F7)</ns0:f>
        <ns0:v>356915.8754608826</ns0:v>
      </ns0:c>
      <ns0:c r="G474" s="16">
        <ns0:f>A474*('前提と出典'!$C$36*'契約別単価'!G5+'前提と出典'!$C$37*'契約別単価'!G6+'前提と出典'!$C$38*'契約別単価'!G7)</ns0:f>
        <ns0:v>935536.3128491619</ns0:v>
      </ns0:c>
      <ns0:c r="H474" s="16">
        <ns0:f>A474*('前提と出典'!$C$36*'契約別単価'!H5+'前提と出典'!$C$37*'契約別単価'!H6+'前提と出典'!$C$38*'契約別単価'!H7)</ns0:f>
        <ns0:v>324678.0213918755</ns0:v>
      </ns0:c>
      <ns0:c r="I474" s="16">
        <ns0:f>A474*('前提と出典'!$C$36*'契約別単価'!I5+'前提と出典'!$C$37*'契約別単価'!I6+'前提と出典'!$C$38*'契約別単価'!I7)</ns0:f>
        <ns0:v>19831.899441340778</ns0:v>
      </ns0:c>
      <ns0:c r="J474" s="16">
        <ns0:f>A474*('前提と出典'!$C$36*'契約別単価'!J5+'前提と出典'!$C$37*'契約別単価'!J6+'前提と出典'!$C$38*'契約別単価'!J7)</ns0:f>
        <ns0:v>46196.08554384221</ns0:v>
      </ns0:c>
      <ns0:c r="K474" s="16">
        <ns0:f>A474*('前提と出典'!$C$36*'契約別単価'!K5+'前提と出典'!$C$37*'契約別単価'!K6+'前提と出典'!$C$38*'契約別単価'!K7)</ns0:f>
        <ns0:v>198012.66294227185</ns0:v>
      </ns0:c>
      <ns0:c r="L474" s="16">
        <ns0:f>A474*('前提と出典'!$C$36*'契約別単価'!L5+'前提と出典'!$C$37*'契約別単価'!L6+'前提と出典'!$C$38*'契約別単価'!L7)</ns0:f>
        <ns0:v>161222.6007130625</ns0:v>
      </ns0:c>
      <ns0:c r="M474" s="16">
        <ns0:f>IF(('前提と出典'!$C$36+'前提と出典'!$C$38)=0,0,IF(B474&lt;=10,'前提と出典'!B73+'前提と出典'!C73,IF(B474&lt;=100,'前提と出典'!B74+'前提と出典'!C74,IF(B474&lt;=500,'前提と出典'!B75+'前提と出典'!C75,'前提と出典'!B76+'前提と出典'!C76))))</ns0:f>
        <ns0:v>40000</ns0:v>
      </ns0:c>
      <ns0:c r="N474" s="16">
        <ns0:f>IF(('前提と出典'!$C$37+'前提と出典'!$C$38)=0,0,IF(C474&lt;=10,'前提と出典'!D73+'前提と出典'!E73,IF(C474&lt;=100,'前提と出典'!D74+'前提と出典'!E74,IF(C474&lt;=500,'前提と出典'!D75+'前提と出典'!E75,'前提と出典'!D76+'前提と出典'!E76))))</ns0:f>
        <ns0:v>56510.9346263078</ns0:v>
      </ns0:c>
      <ns0:c r="O474" s="16">
        <ns0:f>IF('前提と出典'!$C$36+'前提と出典'!$C$38=0,0,'前提と出典'!$B$4*IF('前提と出典'!$B$20=0,MAX('前提と出典'!$B$6,D474*'前提と出典'!$B$5),'前提と出典'!$B$6+D474*'前提と出典'!$B$5))</ns0:f>
        <ns0:v>466702.122905028</ns0:v>
      </ns0:c>
      <ns0:c r="P474" s="16">
        <ns0:f>(E474+G474)*(1-'前提と出典'!$B$7)-I474-K474-M474-O474</ns0:f>
        <ns0:v>1053995.0453702516</ns0:v>
      </ns0:c>
      <ns0:c r="Q474" s="16">
        <ns0:f>(F474+H474)*(1-'前提と出典'!$B$7)-J474-L474-N474</ns0:f>
        <ns0:v>393126.8956828463</ns0:v>
      </ns0:c>
      <ns0:c r="R474" s="16">
        <ns0:f>P474-E474*'前提と出典'!$E$4</ns0:f>
        <ns0:v>781167.8487709879</ns0:v>
      </ns0:c>
      <ns0:c r="S474" s="16">
        <ns0:f>Q474-F474*'前提と出典'!$E$4</ns0:f>
        <ns0:v>286052.1330445815</ns0:v>
      </ns0:c>
      <ns0:c r="T474" s="7">
        <ns0:f>R474+S474</ns0:f>
        <ns0:v>1067219.9818155696</ns0:v>
      </ns0:c>
      <ns0:c r="U474" s="16">
        <ns0:f>P474-E474*'前提と出典'!$E$5</ns0:f>
        <ns0:v>690225.4499045669</ns0:v>
      </ns0:c>
      <ns0:c r="V474" s="16">
        <ns0:f>Q474-F474*'前提と出典'!$E$5</ns0:f>
        <ns0:v>250360.54549849324</ns0:v>
      </ns0:c>
      <ns0:c r="W474" s="7">
        <ns0:f>U474+V474</ns0:f>
        <ns0:v>940585.9954030601</ns0:v>
      </ns0:c>
      <ns0:c r="X474" s="16">
        <ns0:f>P474-E474*'前提と出典'!$E$6</ns0:f>
        <ns0:v>599283.0510381456</ns0:v>
      </ns0:c>
      <ns0:c r="Y474" s="16">
        <ns0:f>Q474-F474*'前提と出典'!$E$6</ns0:f>
        <ns0:v>214668.95795240498</ns0:v>
      </ns0:c>
      <ns0:c r="Z474" s="7">
        <ns0:f>X474+Y474</ns0:f>
        <ns0:v>813952.0089905505</ns0:v>
      </ns0:c>
      <ns0:c r="AA474" s="7">
        <ns0:f>IF(T474&gt;=0,A474,1001)</ns0:f>
        <ns0:v>470</ns0:v>
      </ns0:c>
      <ns0:c r="AB474" s="7">
        <ns0:f>IF(T474&lt;0,A474,0)</ns0:f>
        <ns0:v>0</ns0:v>
      </ns0:c>
      <ns0:c r="AC474" s="16">
        <ns0:f>IF(AND(OR('前提と出典'!$C$36+'前提と出典'!$C$38=0,R474&gt;=0),OR('前提と出典'!$C$37+'前提と出典'!$C$38=0,S474&gt;=0)),0,A474)</ns0:f>
        <ns0:v>0</ns0:v>
      </ns0:c>
      <ns0:c r="AD474" s="7">
        <ns0:f>IF(W474&gt;=0,A474,1001)</ns0:f>
        <ns0:v>470</ns0:v>
      </ns0:c>
      <ns0:c r="AE474" s="7">
        <ns0:f>IF(W474&lt;0,A474,0)</ns0:f>
        <ns0:v>0</ns0:v>
      </ns0:c>
      <ns0:c r="AF474" s="16">
        <ns0:f>IF(AND(OR('前提と出典'!$C$36+'前提と出典'!$C$38=0,U474&gt;=0),OR('前提と出典'!$C$37+'前提と出典'!$C$38=0,V474&gt;=0)),0,A474)</ns0:f>
        <ns0:v>0</ns0:v>
      </ns0:c>
      <ns0:c r="AG474" s="7">
        <ns0:f>IF(Z474&gt;=0,A474,1001)</ns0:f>
        <ns0:v>470</ns0:v>
      </ns0:c>
      <ns0:c r="AH474" s="4">
        <ns0:f>IF(Z474&lt;0,A474,0)</ns0:f>
        <ns0:v>0</ns0:v>
      </ns0:c>
      <ns0:c r="AI474" s="12">
        <ns0:f>IF(AND(OR('前提と出典'!$C$36+'前提と出典'!$C$38=0,X474&gt;=0),OR('前提と出典'!$C$37+'前提と出典'!$C$38=0,Y474&gt;=0)),0,A474)</ns0:f>
        <ns0:v>0</ns0:v>
      </ns0:c>
    </ns0:row>
    <ns0:row r="475" ht="24" customHeight="1">
      <ns0:c r="A475" s="4" t="n">
        <ns0:v>471</ns0:v>
      </ns0:c>
      <ns0:c r="B475" s="12">
        <ns0:f>A475*('前提と出典'!$C$36+'前提と出典'!$C$38)</ns0:f>
        <ns0:v>329.7</ns0:v>
      </ns0:c>
      <ns0:c r="C475" s="12">
        <ns0:f>A475*('前提と出典'!$C$37+'前提と出典'!$C$38)</ns0:f>
        <ns0:v>282.59999999999997</ns0:v>
      </ns0:c>
      <ns0:c r="D475" s="16">
        <ns0:f>A475*('前提と出典'!$C$36*'契約別単価'!C5+'前提と出典'!$C$37*'契約別単価'!C6+'前提と出典'!$C$38*'契約別単価'!C7)</ns0:f>
        <ns0:v>3389.094972067039</ns0:v>
      </ns0:c>
      <ns0:c r="E475" s="16">
        <ns0:f>A475*('前提と出典'!$C$36*'契約別単価'!E5+'前提と出典'!$C$37*'契約別単価'!E6+'前提と出典'!$C$38*'契約別単価'!E7)</ns0:f>
        <ns0:v>911358.9333209443</ns0:v>
      </ns0:c>
      <ns0:c r="F475" s="16">
        <ns0:f>A475*('前提と出典'!$C$36*'契約別単価'!F5+'前提と出典'!$C$37*'契約別単価'!F6+'前提と出典'!$C$38*'契約別単価'!F7)</ns0:f>
        <ns0:v>357675.27094058663</ns0:v>
      </ns0:c>
      <ns0:c r="G475" s="16">
        <ns0:f>A475*('前提と出典'!$C$36*'契約別単価'!G5+'前提と出典'!$C$37*'契約別単価'!G6+'前提と出典'!$C$38*'契約別単価'!G7)</ns0:f>
        <ns0:v>937526.815642458</ns0:v>
      </ns0:c>
      <ns0:c r="H475" s="16">
        <ns0:f>A475*('前提と出典'!$C$36*'契約別単価'!H5+'前提と出典'!$C$37*'契約別単価'!H6+'前提と出典'!$C$38*'契約別単価'!H7)</ns0:f>
        <ns0:v>325368.8256927093</ns0:v>
      </ns0:c>
      <ns0:c r="I475" s="16">
        <ns0:f>A475*('前提と出典'!$C$36*'契約別単価'!I5+'前提と出典'!$C$37*'契約別単価'!I6+'前提と出典'!$C$38*'契約別単価'!I7)</ns0:f>
        <ns0:v>19874.094972067036</ns0:v>
      </ns0:c>
      <ns0:c r="J475" s="16">
        <ns0:f>A475*('前提と出典'!$C$36*'契約別単価'!J5+'前提と出典'!$C$37*'契約別単価'!J6+'前提と出典'!$C$38*'契約別単価'!J7)</ns0:f>
        <ns0:v>46294.37508755251</ns0:v>
      </ns0:c>
      <ns0:c r="K475" s="16">
        <ns0:f>A475*('前提と出典'!$C$36*'契約別単価'!K5+'前提と出典'!$C$37*'契約別単価'!K6+'前提と出典'!$C$38*'契約別単価'!K7)</ns0:f>
        <ns0:v>198433.96648044692</ns0:v>
      </ns0:c>
      <ns0:c r="L475" s="16">
        <ns0:f>A475*('前提と出典'!$C$36*'契約別単価'!L5+'前提と出典'!$C$37*'契約別単価'!L6+'前提と出典'!$C$38*'契約別単価'!L7)</ns0:f>
        <ns0:v>161565.6275230903</ns0:v>
      </ns0:c>
      <ns0:c r="M475" s="16">
        <ns0:f>IF(('前提と出典'!$C$36+'前提と出典'!$C$38)=0,0,IF(B475&lt;=10,'前提と出典'!B73+'前提と出典'!C73,IF(B475&lt;=100,'前提と出典'!B74+'前提と出典'!C74,IF(B475&lt;=500,'前提と出典'!B75+'前提と出典'!C75,'前提と出典'!B76+'前提と出典'!C76))))</ns0:f>
        <ns0:v>40000</ns0:v>
      </ns0:c>
      <ns0:c r="N475" s="16">
        <ns0:f>IF(('前提と出典'!$C$37+'前提と出典'!$C$38)=0,0,IF(C475&lt;=10,'前提と出典'!D73+'前提と出典'!E73,IF(C475&lt;=100,'前提と出典'!D74+'前提と出典'!E74,IF(C475&lt;=500,'前提と出典'!D75+'前提と出典'!E75,'前提と出典'!D76+'前提と出典'!E76))))</ns0:f>
        <ns0:v>56510.9346263078</ns0:v>
      </ns0:c>
      <ns0:c r="O475" s="16">
        <ns0:f>IF('前提と出典'!$C$36+'前提と出典'!$C$38=0,0,'前提と出典'!$B$4*IF('前提と出典'!$B$20=0,MAX('前提と出典'!$B$6,D475*'前提と出典'!$B$5),'前提と出典'!$B$6+D475*'前提と出典'!$B$5))</ns0:f>
        <ns0:v>467695.1061452514</ns0:v>
      </ns0:c>
      <ns0:c r="P475" s="16">
        <ns0:f>(E475+G475)*(1-'前提と出典'!$B$7)-I475-K475-M475-O475</ns0:f>
        <ns0:v>1056322.6944029545</ns0:v>
      </ns0:c>
      <ns0:c r="Q475" s="16">
        <ns0:f>(F475+H475)*(1-'前提と出典'!$B$7)-J475-L475-N475</ns0:f>
        <ns0:v>394083.5719175467</ns0:v>
      </ns0:c>
      <ns0:c r="R475" s="16">
        <ns0:f>P475-E475*'前提と出典'!$E$4</ns0:f>
        <ns0:v>782915.0144066712</ns0:v>
      </ns0:c>
      <ns0:c r="S475" s="16">
        <ns0:f>Q475-F475*'前提と出典'!$E$4</ns0:f>
        <ns0:v>286780.9906353707</ns0:v>
      </ns0:c>
      <ns0:c r="T475" s="7">
        <ns0:f>R475+S475</ns0:f>
        <ns0:v>1069696.005042042</ns0:v>
      </ns0:c>
      <ns0:c r="U475" s="16">
        <ns0:f>P475-E475*'前提と出典'!$E$5</ns0:f>
        <ns0:v>691779.1210745767</ns0:v>
      </ns0:c>
      <ns0:c r="V475" s="16">
        <ns0:f>Q475-F475*'前提と出典'!$E$5</ns0:f>
        <ns0:v>251013.46354131203</ns0:v>
      </ns0:c>
      <ns0:c r="W475" s="7">
        <ns0:f>U475+V475</ns0:f>
        <ns0:v>942792.5846158888</ns0:v>
      </ns0:c>
      <ns0:c r="X475" s="16">
        <ns0:f>P475-E475*'前提と出典'!$E$6</ns0:f>
        <ns0:v>600643.2277424823</ns0:v>
      </ns0:c>
      <ns0:c r="Y475" s="16">
        <ns0:f>Q475-F475*'前提と出典'!$E$6</ns0:f>
        <ns0:v>215245.93644725333</ns0:v>
      </ns0:c>
      <ns0:c r="Z475" s="7">
        <ns0:f>X475+Y475</ns0:f>
        <ns0:v>815889.1641897357</ns0:v>
      </ns0:c>
      <ns0:c r="AA475" s="7">
        <ns0:f>IF(T475&gt;=0,A475,1001)</ns0:f>
        <ns0:v>471</ns0:v>
      </ns0:c>
      <ns0:c r="AB475" s="7">
        <ns0:f>IF(T475&lt;0,A475,0)</ns0:f>
        <ns0:v>0</ns0:v>
      </ns0:c>
      <ns0:c r="AC475" s="16">
        <ns0:f>IF(AND(OR('前提と出典'!$C$36+'前提と出典'!$C$38=0,R475&gt;=0),OR('前提と出典'!$C$37+'前提と出典'!$C$38=0,S475&gt;=0)),0,A475)</ns0:f>
        <ns0:v>0</ns0:v>
      </ns0:c>
      <ns0:c r="AD475" s="7">
        <ns0:f>IF(W475&gt;=0,A475,1001)</ns0:f>
        <ns0:v>471</ns0:v>
      </ns0:c>
      <ns0:c r="AE475" s="7">
        <ns0:f>IF(W475&lt;0,A475,0)</ns0:f>
        <ns0:v>0</ns0:v>
      </ns0:c>
      <ns0:c r="AF475" s="16">
        <ns0:f>IF(AND(OR('前提と出典'!$C$36+'前提と出典'!$C$38=0,U475&gt;=0),OR('前提と出典'!$C$37+'前提と出典'!$C$38=0,V475&gt;=0)),0,A475)</ns0:f>
        <ns0:v>0</ns0:v>
      </ns0:c>
      <ns0:c r="AG475" s="7">
        <ns0:f>IF(Z475&gt;=0,A475,1001)</ns0:f>
        <ns0:v>471</ns0:v>
      </ns0:c>
      <ns0:c r="AH475" s="4">
        <ns0:f>IF(Z475&lt;0,A475,0)</ns0:f>
        <ns0:v>0</ns0:v>
      </ns0:c>
      <ns0:c r="AI475" s="12">
        <ns0:f>IF(AND(OR('前提と出典'!$C$36+'前提と出典'!$C$38=0,X475&gt;=0),OR('前提と出典'!$C$37+'前提と出典'!$C$38=0,Y475&gt;=0)),0,A475)</ns0:f>
        <ns0:v>0</ns0:v>
      </ns0:c>
    </ns0:row>
    <ns0:row r="476" ht="24" customHeight="1">
      <ns0:c r="A476" s="4" t="n">
        <ns0:v>472</ns0:v>
      </ns0:c>
      <ns0:c r="B476" s="12">
        <ns0:f>A476*('前提と出典'!$C$36+'前提と出典'!$C$38)</ns0:f>
        <ns0:v>330.4</ns0:v>
      </ns0:c>
      <ns0:c r="C476" s="12">
        <ns0:f>A476*('前提と出典'!$C$37+'前提と出典'!$C$38)</ns0:f>
        <ns0:v>283.2</ns0:v>
      </ns0:c>
      <ns0:c r="D476" s="16">
        <ns0:f>A476*('前提と出典'!$C$36*'契約別単価'!C5+'前提と出典'!$C$37*'契約別単価'!C6+'前提と出典'!$C$38*'契約別単価'!C7)</ns0:f>
        <ns0:v>3396.290502793296</ns0:v>
      </ns0:c>
      <ns0:c r="E476" s="16">
        <ns0:f>A476*('前提と出典'!$C$36*'契約別単価'!E5+'前提と出典'!$C$37*'契約別単価'!E6+'前提と出典'!$C$38*'契約別単価'!E7)</ns0:f>
        <ns0:v>913293.8779776767</ns0:v>
      </ns0:c>
      <ns0:c r="F476" s="16">
        <ns0:f>A476*('前提と出典'!$C$36*'契約別単価'!F5+'前提と出典'!$C$37*'契約別単価'!F6+'前提と出典'!$C$38*'契約別単価'!F7)</ns0:f>
        <ns0:v>358434.6664202906</ns0:v>
      </ns0:c>
      <ns0:c r="G476" s="16">
        <ns0:f>A476*('前提と出典'!$C$36*'契約別単価'!G5+'前提と出典'!$C$37*'契約別単価'!G6+'前提と出典'!$C$38*'契約別単価'!G7)</ns0:f>
        <ns0:v>939517.3184357542</ns0:v>
      </ns0:c>
      <ns0:c r="H476" s="16">
        <ns0:f>A476*('前提と出典'!$C$36*'契約別単価'!H5+'前提と出典'!$C$37*'契約別単価'!H6+'前提と出典'!$C$38*'契約別単価'!H7)</ns0:f>
        <ns0:v>326059.6299935431</ns0:v>
      </ns0:c>
      <ns0:c r="I476" s="16">
        <ns0:f>A476*('前提と出典'!$C$36*'契約別単価'!I5+'前提と出典'!$C$37*'契約別単価'!I6+'前提と出典'!$C$38*'契約別単価'!I7)</ns0:f>
        <ns0:v>19916.290502793294</ns0:v>
      </ns0:c>
      <ns0:c r="J476" s="16">
        <ns0:f>A476*('前提と出典'!$C$36*'契約別単価'!J5+'前提と出典'!$C$37*'契約別単価'!J6+'前提と出典'!$C$38*'契約別単価'!J7)</ns0:f>
        <ns0:v>46392.664631262815</ns0:v>
      </ns0:c>
      <ns0:c r="K476" s="16">
        <ns0:f>A476*('前提と出典'!$C$36*'契約別単価'!K5+'前提と出典'!$C$37*'契約別単価'!K6+'前提と出典'!$C$38*'契約別単価'!K7)</ns0:f>
        <ns0:v>198855.27001862196</ns0:v>
      </ns0:c>
      <ns0:c r="L476" s="16">
        <ns0:f>A476*('前提と出典'!$C$36*'契約別単価'!L5+'前提と出典'!$C$37*'契約別単価'!L6+'前提と出典'!$C$38*'契約別単価'!L7)</ns0:f>
        <ns0:v>161908.6543331181</ns0:v>
      </ns0:c>
      <ns0:c r="M476" s="16">
        <ns0:f>IF(('前提と出典'!$C$36+'前提と出典'!$C$38)=0,0,IF(B476&lt;=10,'前提と出典'!B73+'前提と出典'!C73,IF(B476&lt;=100,'前提と出典'!B74+'前提と出典'!C74,IF(B476&lt;=500,'前提と出典'!B75+'前提と出典'!C75,'前提と出典'!B76+'前提と出典'!C76))))</ns0:f>
        <ns0:v>40000</ns0:v>
      </ns0:c>
      <ns0:c r="N476" s="16">
        <ns0:f>IF(('前提と出典'!$C$37+'前提と出典'!$C$38)=0,0,IF(C476&lt;=10,'前提と出典'!D73+'前提と出典'!E73,IF(C476&lt;=100,'前提と出典'!D74+'前提と出典'!E74,IF(C476&lt;=500,'前提と出典'!D75+'前提と出典'!E75,'前提と出典'!D76+'前提と出典'!E76))))</ns0:f>
        <ns0:v>56510.9346263078</ns0:v>
      </ns0:c>
      <ns0:c r="O476" s="16">
        <ns0:f>IF('前提と出典'!$C$36+'前提と出典'!$C$38=0,0,'前提と出典'!$B$4*IF('前提と出典'!$B$20=0,MAX('前提と出典'!$B$6,D476*'前提と出典'!$B$5),'前提と出典'!$B$6+D476*'前提と出典'!$B$5))</ns0:f>
        <ns0:v>468688.08938547486</ns0:v>
      </ns0:c>
      <ns0:c r="P476" s="16">
        <ns0:f>(E476+G476)*(1-'前提と出典'!$B$7)-I476-K476-M476-O476</ns0:f>
        <ns0:v>1058650.3434356572</ns0:v>
      </ns0:c>
      <ns0:c r="Q476" s="16">
        <ns0:f>(F476+H476)*(1-'前提と出典'!$B$7)-J476-L476-N476</ns0:f>
        <ns0:v>395040.24815224705</ns0:v>
      </ns0:c>
      <ns0:c r="R476" s="16">
        <ns0:f>P476-E476*'前提と出典'!$E$4</ns0:f>
        <ns0:v>784662.1800423542</ns0:v>
      </ns0:c>
      <ns0:c r="S476" s="16">
        <ns0:f>Q476-F476*'前提と出典'!$E$4</ns0:f>
        <ns0:v>287509.8482261599</ns0:v>
      </ns0:c>
      <ns0:c r="T476" s="7">
        <ns0:f>R476+S476</ns0:f>
        <ns0:v>1072172.0282685142</ns0:v>
      </ns0:c>
      <ns0:c r="U476" s="16">
        <ns0:f>P476-E476*'前提と出典'!$E$5</ns0:f>
        <ns0:v>693332.7922445866</ns0:v>
      </ns0:c>
      <ns0:c r="V476" s="16">
        <ns0:f>Q476-F476*'前提と出典'!$E$5</ns0:f>
        <ns0:v>251666.3815841308</ns0:v>
      </ns0:c>
      <ns0:c r="W476" s="7">
        <ns0:f>U476+V476</ns0:f>
        <ns0:v>944999.1738287174</ns0:v>
      </ns0:c>
      <ns0:c r="X476" s="16">
        <ns0:f>P476-E476*'前提と出典'!$E$6</ns0:f>
        <ns0:v>602003.4044468189</ns0:v>
      </ns0:c>
      <ns0:c r="Y476" s="16">
        <ns0:f>Q476-F476*'前提と出典'!$E$6</ns0:f>
        <ns0:v>215822.9149421017</ns0:v>
      </ns0:c>
      <ns0:c r="Z476" s="7">
        <ns0:f>X476+Y476</ns0:f>
        <ns0:v>817826.3193889206</ns0:v>
      </ns0:c>
      <ns0:c r="AA476" s="7">
        <ns0:f>IF(T476&gt;=0,A476,1001)</ns0:f>
        <ns0:v>472</ns0:v>
      </ns0:c>
      <ns0:c r="AB476" s="7">
        <ns0:f>IF(T476&lt;0,A476,0)</ns0:f>
        <ns0:v>0</ns0:v>
      </ns0:c>
      <ns0:c r="AC476" s="16">
        <ns0:f>IF(AND(OR('前提と出典'!$C$36+'前提と出典'!$C$38=0,R476&gt;=0),OR('前提と出典'!$C$37+'前提と出典'!$C$38=0,S476&gt;=0)),0,A476)</ns0:f>
        <ns0:v>0</ns0:v>
      </ns0:c>
      <ns0:c r="AD476" s="7">
        <ns0:f>IF(W476&gt;=0,A476,1001)</ns0:f>
        <ns0:v>472</ns0:v>
      </ns0:c>
      <ns0:c r="AE476" s="7">
        <ns0:f>IF(W476&lt;0,A476,0)</ns0:f>
        <ns0:v>0</ns0:v>
      </ns0:c>
      <ns0:c r="AF476" s="16">
        <ns0:f>IF(AND(OR('前提と出典'!$C$36+'前提と出典'!$C$38=0,U476&gt;=0),OR('前提と出典'!$C$37+'前提と出典'!$C$38=0,V476&gt;=0)),0,A476)</ns0:f>
        <ns0:v>0</ns0:v>
      </ns0:c>
      <ns0:c r="AG476" s="7">
        <ns0:f>IF(Z476&gt;=0,A476,1001)</ns0:f>
        <ns0:v>472</ns0:v>
      </ns0:c>
      <ns0:c r="AH476" s="4">
        <ns0:f>IF(Z476&lt;0,A476,0)</ns0:f>
        <ns0:v>0</ns0:v>
      </ns0:c>
      <ns0:c r="AI476" s="12">
        <ns0:f>IF(AND(OR('前提と出典'!$C$36+'前提と出典'!$C$38=0,X476&gt;=0),OR('前提と出典'!$C$37+'前提と出典'!$C$38=0,Y476&gt;=0)),0,A476)</ns0:f>
        <ns0:v>0</ns0:v>
      </ns0:c>
    </ns0:row>
    <ns0:row r="477" ht="24" customHeight="1">
      <ns0:c r="A477" s="4" t="n">
        <ns0:v>473</ns0:v>
      </ns0:c>
      <ns0:c r="B477" s="12">
        <ns0:f>A477*('前提と出典'!$C$36+'前提と出典'!$C$38)</ns0:f>
        <ns0:v>331.09999999999997</ns0:v>
      </ns0:c>
      <ns0:c r="C477" s="12">
        <ns0:f>A477*('前提と出典'!$C$37+'前提と出典'!$C$38)</ns0:f>
        <ns0:v>283.8</ns0:v>
      </ns0:c>
      <ns0:c r="D477" s="16">
        <ns0:f>A477*('前提と出典'!$C$36*'契約別単価'!C5+'前提と出典'!$C$37*'契約別単価'!C6+'前提と出典'!$C$38*'契約別単価'!C7)</ns0:f>
        <ns0:v>3403.486033519553</ns0:v>
      </ns0:c>
      <ns0:c r="E477" s="16">
        <ns0:f>A477*('前提と出典'!$C$36*'契約別単価'!E5+'前提と出典'!$C$37*'契約別単価'!E6+'前提と出典'!$C$38*'契約別単価'!E7)</ns0:f>
        <ns0:v>915228.8226344091</ns0:v>
      </ns0:c>
      <ns0:c r="F477" s="16">
        <ns0:f>A477*('前提と出典'!$C$36*'契約別単価'!F5+'前提と出典'!$C$37*'契約別単価'!F6+'前提と出典'!$C$38*'契約別単価'!F7)</ns0:f>
        <ns0:v>359194.0618999946</ns0:v>
      </ns0:c>
      <ns0:c r="G477" s="16">
        <ns0:f>A477*('前提と出典'!$C$36*'契約別単価'!G5+'前提と出典'!$C$37*'契約別単価'!G6+'前提と出典'!$C$38*'契約別単価'!G7)</ns0:f>
        <ns0:v>941507.8212290503</ns0:v>
      </ns0:c>
      <ns0:c r="H477" s="16">
        <ns0:f>A477*('前提と出典'!$C$36*'契約別単価'!H5+'前提と出典'!$C$37*'契約別単価'!H6+'前提と出典'!$C$38*'契約別単価'!H7)</ns0:f>
        <ns0:v>326750.4342943769</ns0:v>
      </ns0:c>
      <ns0:c r="I477" s="16">
        <ns0:f>A477*('前提と出典'!$C$36*'契約別単価'!I5+'前提と出典'!$C$37*'契約別単価'!I6+'前提と出典'!$C$38*'契約別単価'!I7)</ns0:f>
        <ns0:v>19958.486033519548</ns0:v>
      </ns0:c>
      <ns0:c r="J477" s="16">
        <ns0:f>A477*('前提と出典'!$C$36*'契約別単価'!J5+'前提と出典'!$C$37*'契約別単価'!J6+'前提と出典'!$C$38*'契約別単価'!J7)</ns0:f>
        <ns0:v>46490.954174973114</ns0:v>
      </ns0:c>
      <ns0:c r="K477" s="16">
        <ns0:f>A477*('前提と出典'!$C$36*'契約別単価'!K5+'前提と出典'!$C$37*'契約別単価'!K6+'前提と出典'!$C$38*'契約別単価'!K7)</ns0:f>
        <ns0:v>199276.573556797</ns0:v>
      </ns0:c>
      <ns0:c r="L477" s="16">
        <ns0:f>A477*('前提と出典'!$C$36*'契約別単価'!L5+'前提と出典'!$C$37*'契約別単価'!L6+'前提と出典'!$C$38*'契約別単価'!L7)</ns0:f>
        <ns0:v>162251.6811431459</ns0:v>
      </ns0:c>
      <ns0:c r="M477" s="16">
        <ns0:f>IF(('前提と出典'!$C$36+'前提と出典'!$C$38)=0,0,IF(B477&lt;=10,'前提と出典'!B73+'前提と出典'!C73,IF(B477&lt;=100,'前提と出典'!B74+'前提と出典'!C74,IF(B477&lt;=500,'前提と出典'!B75+'前提と出典'!C75,'前提と出典'!B76+'前提と出典'!C76))))</ns0:f>
        <ns0:v>40000</ns0:v>
      </ns0:c>
      <ns0:c r="N477" s="16">
        <ns0:f>IF(('前提と出典'!$C$37+'前提と出典'!$C$38)=0,0,IF(C477&lt;=10,'前提と出典'!D73+'前提と出典'!E73,IF(C477&lt;=100,'前提と出典'!D74+'前提と出典'!E74,IF(C477&lt;=500,'前提と出典'!D75+'前提と出典'!E75,'前提と出典'!D76+'前提と出典'!E76))))</ns0:f>
        <ns0:v>56510.9346263078</ns0:v>
      </ns0:c>
      <ns0:c r="O477" s="16">
        <ns0:f>IF('前提と出典'!$C$36+'前提と出典'!$C$38=0,0,'前提と出典'!$B$4*IF('前提と出典'!$B$20=0,MAX('前提と出典'!$B$6,D477*'前提と出典'!$B$5),'前提と出典'!$B$6+D477*'前提と出典'!$B$5))</ns0:f>
        <ns0:v>469681.07262569835</ns0:v>
      </ns0:c>
      <ns0:c r="P477" s="16">
        <ns0:f>(E477+G477)*(1-'前提と出典'!$B$7)-I477-K477-M477-O477</ns0:f>
        <ns0:v>1060977.9924683599</ns0:v>
      </ns0:c>
      <ns0:c r="Q477" s="16">
        <ns0:f>(F477+H477)*(1-'前提と出典'!$B$7)-J477-L477-N477</ns0:f>
        <ns0:v>395996.9243869473</ns0:v>
      </ns0:c>
      <ns0:c r="R477" s="16">
        <ns0:f>P477-E477*'前提と出典'!$E$4</ns0:f>
        <ns0:v>786409.3456780373</ns0:v>
      </ns0:c>
      <ns0:c r="S477" s="16">
        <ns0:f>Q477-F477*'前提と出典'!$E$4</ns0:f>
        <ns0:v>288238.70581694884</ns0:v>
      </ns0:c>
      <ns0:c r="T477" s="7">
        <ns0:f>R477+S477</ns0:f>
        <ns0:v>1074648.051494986</ns0:v>
      </ns0:c>
      <ns0:c r="U477" s="16">
        <ns0:f>P477-E477*'前提と出典'!$E$5</ns0:f>
        <ns0:v>694886.4634145962</ns0:v>
      </ns0:c>
      <ns0:c r="V477" s="16">
        <ns0:f>Q477-F477*'前提と出典'!$E$5</ns0:f>
        <ns0:v>252319.29962694948</ns0:v>
      </ns0:c>
      <ns0:c r="W477" s="7">
        <ns0:f>U477+V477</ns0:f>
        <ns0:v>947205.7630415456</ns0:v>
      </ns0:c>
      <ns0:c r="X477" s="16">
        <ns0:f>P477-E477*'前提と出典'!$E$6</ns0:f>
        <ns0:v>603363.5811511555</ns0:v>
      </ns0:c>
      <ns0:c r="Y477" s="16">
        <ns0:f>Q477-F477*'前提と出典'!$E$6</ns0:f>
        <ns0:v>216399.89343695</ns0:v>
      </ns0:c>
      <ns0:c r="Z477" s="7">
        <ns0:f>X477+Y477</ns0:f>
        <ns0:v>819763.4745881055</ns0:v>
      </ns0:c>
      <ns0:c r="AA477" s="7">
        <ns0:f>IF(T477&gt;=0,A477,1001)</ns0:f>
        <ns0:v>473</ns0:v>
      </ns0:c>
      <ns0:c r="AB477" s="7">
        <ns0:f>IF(T477&lt;0,A477,0)</ns0:f>
        <ns0:v>0</ns0:v>
      </ns0:c>
      <ns0:c r="AC477" s="16">
        <ns0:f>IF(AND(OR('前提と出典'!$C$36+'前提と出典'!$C$38=0,R477&gt;=0),OR('前提と出典'!$C$37+'前提と出典'!$C$38=0,S477&gt;=0)),0,A477)</ns0:f>
        <ns0:v>0</ns0:v>
      </ns0:c>
      <ns0:c r="AD477" s="7">
        <ns0:f>IF(W477&gt;=0,A477,1001)</ns0:f>
        <ns0:v>473</ns0:v>
      </ns0:c>
      <ns0:c r="AE477" s="7">
        <ns0:f>IF(W477&lt;0,A477,0)</ns0:f>
        <ns0:v>0</ns0:v>
      </ns0:c>
      <ns0:c r="AF477" s="16">
        <ns0:f>IF(AND(OR('前提と出典'!$C$36+'前提と出典'!$C$38=0,U477&gt;=0),OR('前提と出典'!$C$37+'前提と出典'!$C$38=0,V477&gt;=0)),0,A477)</ns0:f>
        <ns0:v>0</ns0:v>
      </ns0:c>
      <ns0:c r="AG477" s="7">
        <ns0:f>IF(Z477&gt;=0,A477,1001)</ns0:f>
        <ns0:v>473</ns0:v>
      </ns0:c>
      <ns0:c r="AH477" s="4">
        <ns0:f>IF(Z477&lt;0,A477,0)</ns0:f>
        <ns0:v>0</ns0:v>
      </ns0:c>
      <ns0:c r="AI477" s="12">
        <ns0:f>IF(AND(OR('前提と出典'!$C$36+'前提と出典'!$C$38=0,X477&gt;=0),OR('前提と出典'!$C$37+'前提と出典'!$C$38=0,Y477&gt;=0)),0,A477)</ns0:f>
        <ns0:v>0</ns0:v>
      </ns0:c>
    </ns0:row>
    <ns0:row r="478" ht="24" customHeight="1">
      <ns0:c r="A478" s="4" t="n">
        <ns0:v>474</ns0:v>
      </ns0:c>
      <ns0:c r="B478" s="12">
        <ns0:f>A478*('前提と出典'!$C$36+'前提と出典'!$C$38)</ns0:f>
        <ns0:v>331.79999999999995</ns0:v>
      </ns0:c>
      <ns0:c r="C478" s="12">
        <ns0:f>A478*('前提と出典'!$C$37+'前提と出典'!$C$38)</ns0:f>
        <ns0:v>284.4</ns0:v>
      </ns0:c>
      <ns0:c r="D478" s="16">
        <ns0:f>A478*('前提と出典'!$C$36*'契約別単価'!C5+'前提と出典'!$C$37*'契約別単価'!C6+'前提と出典'!$C$38*'契約別単価'!C7)</ns0:f>
        <ns0:v>3410.68156424581</ns0:v>
      </ns0:c>
      <ns0:c r="E478" s="16">
        <ns0:f>A478*('前提と出典'!$C$36*'契約別単価'!E5+'前提と出典'!$C$37*'契約別単価'!E6+'前提と出典'!$C$38*'契約別単価'!E7)</ns0:f>
        <ns0:v>917163.7672911414</ns0:v>
      </ns0:c>
      <ns0:c r="F478" s="16">
        <ns0:f>A478*('前提と出典'!$C$36*'契約別単価'!F5+'前提と出典'!$C$37*'契約別単価'!F6+'前提と出典'!$C$38*'契約別単価'!F7)</ns0:f>
        <ns0:v>359953.45737969864</ns0:v>
      </ns0:c>
      <ns0:c r="G478" s="16">
        <ns0:f>A478*('前提と出典'!$C$36*'契約別単価'!G5+'前提と出典'!$C$37*'契約別単価'!G6+'前提と出典'!$C$38*'契約別単価'!G7)</ns0:f>
        <ns0:v>943498.3240223463</ns0:v>
      </ns0:c>
      <ns0:c r="H478" s="16">
        <ns0:f>A478*('前提と出典'!$C$36*'契約別単価'!H5+'前提と出典'!$C$37*'契約別単価'!H6+'前提と出典'!$C$38*'契約別単価'!H7)</ns0:f>
        <ns0:v>327441.2385952106</ns0:v>
      </ns0:c>
      <ns0:c r="I478" s="16">
        <ns0:f>A478*('前提と出典'!$C$36*'契約別単価'!I5+'前提と出典'!$C$37*'契約別単価'!I6+'前提と出典'!$C$38*'契約別単価'!I7)</ns0:f>
        <ns0:v>20000.681564245806</ns0:v>
      </ns0:c>
      <ns0:c r="J478" s="16">
        <ns0:f>A478*('前提と出典'!$C$36*'契約別単価'!J5+'前提と出典'!$C$37*'契約別単価'!J6+'前提と出典'!$C$38*'契約別単価'!J7)</ns0:f>
        <ns0:v>46589.243718683414</ns0:v>
      </ns0:c>
      <ns0:c r="K478" s="16">
        <ns0:f>A478*('前提と出典'!$C$36*'契約別単価'!K5+'前提と出典'!$C$37*'契約別単価'!K6+'前提と出典'!$C$38*'契約別単価'!K7)</ns0:f>
        <ns0:v>199697.87709497206</ns0:v>
      </ns0:c>
      <ns0:c r="L478" s="16">
        <ns0:f>A478*('前提と出典'!$C$36*'契約別単価'!L5+'前提と出典'!$C$37*'契約別単価'!L6+'前提と出典'!$C$38*'契約別単価'!L7)</ns0:f>
        <ns0:v>162594.7079531737</ns0:v>
      </ns0:c>
      <ns0:c r="M478" s="16">
        <ns0:f>IF(('前提と出典'!$C$36+'前提と出典'!$C$38)=0,0,IF(B478&lt;=10,'前提と出典'!B73+'前提と出典'!C73,IF(B478&lt;=100,'前提と出典'!B74+'前提と出典'!C74,IF(B478&lt;=500,'前提と出典'!B75+'前提と出典'!C75,'前提と出典'!B76+'前提と出典'!C76))))</ns0:f>
        <ns0:v>40000</ns0:v>
      </ns0:c>
      <ns0:c r="N478" s="16">
        <ns0:f>IF(('前提と出典'!$C$37+'前提と出典'!$C$38)=0,0,IF(C478&lt;=10,'前提と出典'!D73+'前提と出典'!E73,IF(C478&lt;=100,'前提と出典'!D74+'前提と出典'!E74,IF(C478&lt;=500,'前提と出典'!D75+'前提と出典'!E75,'前提と出典'!D76+'前提と出典'!E76))))</ns0:f>
        <ns0:v>56510.9346263078</ns0:v>
      </ns0:c>
      <ns0:c r="O478" s="16">
        <ns0:f>IF('前提と出典'!$C$36+'前提と出典'!$C$38=0,0,'前提と出典'!$B$4*IF('前提と出典'!$B$20=0,MAX('前提と出典'!$B$6,D478*'前提と出典'!$B$5),'前提と出典'!$B$6+D478*'前提と出典'!$B$5))</ns0:f>
        <ns0:v>470674.05586592184</ns0:v>
      </ns0:c>
      <ns0:c r="P478" s="16">
        <ns0:f>(E478+G478)*(1-'前提と出典'!$B$7)-I478-K478-M478-O478</ns0:f>
        <ns0:v>1063305.6415010625</ns0:v>
      </ns0:c>
      <ns0:c r="Q478" s="16">
        <ns0:f>(F478+H478)*(1-'前提と出典'!$B$7)-J478-L478-N478</ns0:f>
        <ns0:v>396953.6006216476</ns0:v>
      </ns0:c>
      <ns0:c r="R478" s="16">
        <ns0:f>P478-E478*'前提と出典'!$E$4</ns0:f>
        <ns0:v>788156.5113137204</ns0:v>
      </ns0:c>
      <ns0:c r="S478" s="16">
        <ns0:f>Q478-F478*'前提と出典'!$E$4</ns0:f>
        <ns0:v>288967.563407738</ns0:v>
      </ns0:c>
      <ns0:c r="T478" s="7">
        <ns0:f>R478+S478</ns0:f>
        <ns0:v>1077124.0747214584</ns0:v>
      </ns0:c>
      <ns0:c r="U478" s="16">
        <ns0:f>P478-E478*'前提と出典'!$E$5</ns0:f>
        <ns0:v>696440.1345846059</ns0:v>
      </ns0:c>
      <ns0:c r="V478" s="16">
        <ns0:f>Q478-F478*'前提と出典'!$E$5</ns0:f>
        <ns0:v>252972.21766976814</ns0:v>
      </ns0:c>
      <ns0:c r="W478" s="7">
        <ns0:f>U478+V478</ns0:f>
        <ns0:v>949412.3522543741</ns0:v>
      </ns0:c>
      <ns0:c r="X478" s="16">
        <ns0:f>P478-E478*'前提と出典'!$E$6</ns0:f>
        <ns0:v>604723.757855492</ns0:v>
      </ns0:c>
      <ns0:c r="Y478" s="16">
        <ns0:f>Q478-F478*'前提と出典'!$E$6</ns0:f>
        <ns0:v>216976.8719317983</ns0:v>
      </ns0:c>
      <ns0:c r="Z478" s="7">
        <ns0:f>X478+Y478</ns0:f>
        <ns0:v>821700.6297872902</ns0:v>
      </ns0:c>
      <ns0:c r="AA478" s="7">
        <ns0:f>IF(T478&gt;=0,A478,1001)</ns0:f>
        <ns0:v>474</ns0:v>
      </ns0:c>
      <ns0:c r="AB478" s="7">
        <ns0:f>IF(T478&lt;0,A478,0)</ns0:f>
        <ns0:v>0</ns0:v>
      </ns0:c>
      <ns0:c r="AC478" s="16">
        <ns0:f>IF(AND(OR('前提と出典'!$C$36+'前提と出典'!$C$38=0,R478&gt;=0),OR('前提と出典'!$C$37+'前提と出典'!$C$38=0,S478&gt;=0)),0,A478)</ns0:f>
        <ns0:v>0</ns0:v>
      </ns0:c>
      <ns0:c r="AD478" s="7">
        <ns0:f>IF(W478&gt;=0,A478,1001)</ns0:f>
        <ns0:v>474</ns0:v>
      </ns0:c>
      <ns0:c r="AE478" s="7">
        <ns0:f>IF(W478&lt;0,A478,0)</ns0:f>
        <ns0:v>0</ns0:v>
      </ns0:c>
      <ns0:c r="AF478" s="16">
        <ns0:f>IF(AND(OR('前提と出典'!$C$36+'前提と出典'!$C$38=0,U478&gt;=0),OR('前提と出典'!$C$37+'前提と出典'!$C$38=0,V478&gt;=0)),0,A478)</ns0:f>
        <ns0:v>0</ns0:v>
      </ns0:c>
      <ns0:c r="AG478" s="7">
        <ns0:f>IF(Z478&gt;=0,A478,1001)</ns0:f>
        <ns0:v>474</ns0:v>
      </ns0:c>
      <ns0:c r="AH478" s="4">
        <ns0:f>IF(Z478&lt;0,A478,0)</ns0:f>
        <ns0:v>0</ns0:v>
      </ns0:c>
      <ns0:c r="AI478" s="12">
        <ns0:f>IF(AND(OR('前提と出典'!$C$36+'前提と出典'!$C$38=0,X478&gt;=0),OR('前提と出典'!$C$37+'前提と出典'!$C$38=0,Y478&gt;=0)),0,A478)</ns0:f>
        <ns0:v>0</ns0:v>
      </ns0:c>
    </ns0:row>
    <ns0:row r="479" ht="24" customHeight="1">
      <ns0:c r="A479" s="4" t="n">
        <ns0:v>475</ns0:v>
      </ns0:c>
      <ns0:c r="B479" s="12">
        <ns0:f>A479*('前提と出典'!$C$36+'前提と出典'!$C$38)</ns0:f>
        <ns0:v>332.5</ns0:v>
      </ns0:c>
      <ns0:c r="C479" s="12">
        <ns0:f>A479*('前提と出典'!$C$37+'前提と出典'!$C$38)</ns0:f>
        <ns0:v>285</ns0:v>
      </ns0:c>
      <ns0:c r="D479" s="16">
        <ns0:f>A479*('前提と出典'!$C$36*'契約別単価'!C5+'前提と出典'!$C$37*'契約別単価'!C6+'前提と出典'!$C$38*'契約別単価'!C7)</ns0:f>
        <ns0:v>3417.877094972067</ns0:v>
      </ns0:c>
      <ns0:c r="E479" s="16">
        <ns0:f>A479*('前提と出典'!$C$36*'契約別単価'!E5+'前提と出典'!$C$37*'契約別単価'!E6+'前提と出典'!$C$38*'契約別単価'!E7)</ns0:f>
        <ns0:v>919098.7119478738</ns0:v>
      </ns0:c>
      <ns0:c r="F479" s="16">
        <ns0:f>A479*('前提と出典'!$C$36*'契約別単価'!F5+'前提と出典'!$C$37*'契約別単価'!F6+'前提と出典'!$C$38*'契約別単価'!F7)</ns0:f>
        <ns0:v>360712.85285940266</ns0:v>
      </ns0:c>
      <ns0:c r="G479" s="16">
        <ns0:f>A479*('前提と出典'!$C$36*'契約別単価'!G5+'前提と出典'!$C$37*'契約別単価'!G6+'前提と出典'!$C$38*'契約別単価'!G7)</ns0:f>
        <ns0:v>945488.8268156424</ns0:v>
      </ns0:c>
      <ns0:c r="H479" s="16">
        <ns0:f>A479*('前提と出典'!$C$36*'契約別単価'!H5+'前提と出典'!$C$37*'契約別単価'!H6+'前提と出典'!$C$38*'契約別単価'!H7)</ns0:f>
        <ns0:v>328132.0428960444</ns0:v>
      </ns0:c>
      <ns0:c r="I479" s="16">
        <ns0:f>A479*('前提と出典'!$C$36*'契約別単価'!I5+'前提と出典'!$C$37*'契約別単価'!I6+'前提と出典'!$C$38*'契約別単価'!I7)</ns0:f>
        <ns0:v>20042.877094972064</ns0:v>
      </ns0:c>
      <ns0:c r="J479" s="16">
        <ns0:f>A479*('前提と出典'!$C$36*'契約別単価'!J5+'前提と出典'!$C$37*'契約別単価'!J6+'前提と出典'!$C$38*'契約別単価'!J7)</ns0:f>
        <ns0:v>46687.53326239372</ns0:v>
      </ns0:c>
      <ns0:c r="K479" s="16">
        <ns0:f>A479*('前提と出典'!$C$36*'契約別単価'!K5+'前提と出典'!$C$37*'契約別単価'!K6+'前提と出典'!$C$38*'契約別単価'!K7)</ns0:f>
        <ns0:v>200119.1806331471</ns0:v>
      </ns0:c>
      <ns0:c r="L479" s="16">
        <ns0:f>A479*('前提と出典'!$C$36*'契約別単価'!L5+'前提と出典'!$C$37*'契約別単価'!L6+'前提と出典'!$C$38*'契約別単価'!L7)</ns0:f>
        <ns0:v>162937.73476320147</ns0:v>
      </ns0:c>
      <ns0:c r="M479" s="16">
        <ns0:f>IF(('前提と出典'!$C$36+'前提と出典'!$C$38)=0,0,IF(B479&lt;=10,'前提と出典'!B73+'前提と出典'!C73,IF(B479&lt;=100,'前提と出典'!B74+'前提と出典'!C74,IF(B479&lt;=500,'前提と出典'!B75+'前提と出典'!C75,'前提と出典'!B76+'前提と出典'!C76))))</ns0:f>
        <ns0:v>40000</ns0:v>
      </ns0:c>
      <ns0:c r="N479" s="16">
        <ns0:f>IF(('前提と出典'!$C$37+'前提と出典'!$C$38)=0,0,IF(C479&lt;=10,'前提と出典'!D73+'前提と出典'!E73,IF(C479&lt;=100,'前提と出典'!D74+'前提と出典'!E74,IF(C479&lt;=500,'前提と出典'!D75+'前提と出典'!E75,'前提と出典'!D76+'前提と出典'!E76))))</ns0:f>
        <ns0:v>56510.9346263078</ns0:v>
      </ns0:c>
      <ns0:c r="O479" s="16">
        <ns0:f>IF('前提と出典'!$C$36+'前提と出典'!$C$38=0,0,'前提と出典'!$B$4*IF('前提と出典'!$B$20=0,MAX('前提と出典'!$B$6,D479*'前提と出典'!$B$5),'前提と出典'!$B$6+D479*'前提と出典'!$B$5))</ns0:f>
        <ns0:v>471667.03910614527</ns0:v>
      </ns0:c>
      <ns0:c r="P479" s="16">
        <ns0:f>(E479+G479)*(1-'前提と出典'!$B$7)-I479-K479-M479-O479</ns0:f>
        <ns0:v>1065633.290533765</ns0:v>
      </ns0:c>
      <ns0:c r="Q479" s="16">
        <ns0:f>(F479+H479)*(1-'前提と出典'!$B$7)-J479-L479-N479</ns0:f>
        <ns0:v>397910.2768563479</ns0:v>
      </ns0:c>
      <ns0:c r="R479" s="16">
        <ns0:f>P479-E479*'前提と出典'!$E$4</ns0:f>
        <ns0:v>789903.6769494028</ns0:v>
      </ns0:c>
      <ns0:c r="S479" s="16">
        <ns0:f>Q479-F479*'前提と出典'!$E$4</ns0:f>
        <ns0:v>289696.42099852697</ns0:v>
      </ns0:c>
      <ns0:c r="T479" s="7">
        <ns0:f>R479+S479</ns0:f>
        <ns0:v>1079600.0979479298</ns0:v>
      </ns0:c>
      <ns0:c r="U479" s="16">
        <ns0:f>P479-E479*'前提と出典'!$E$5</ns0:f>
        <ns0:v>697993.8057546155</ns0:v>
      </ns0:c>
      <ns0:c r="V479" s="16">
        <ns0:f>Q479-F479*'前提と出典'!$E$5</ns0:f>
        <ns0:v>253625.1357125868</ns0:v>
      </ns0:c>
      <ns0:c r="W479" s="7">
        <ns0:f>U479+V479</ns0:f>
        <ns0:v>951618.9414672023</ns0:v>
      </ns0:c>
      <ns0:c r="X479" s="16">
        <ns0:f>P479-E479*'前提と出典'!$E$6</ns0:f>
        <ns0:v>606083.9345598281</ns0:v>
      </ns0:c>
      <ns0:c r="Y479" s="16">
        <ns0:f>Q479-F479*'前提と出典'!$E$6</ns0:f>
        <ns0:v>217553.85042664653</ns0:v>
      </ns0:c>
      <ns0:c r="Z479" s="7">
        <ns0:f>X479+Y479</ns0:f>
        <ns0:v>823637.7849864747</ns0:v>
      </ns0:c>
      <ns0:c r="AA479" s="7">
        <ns0:f>IF(T479&gt;=0,A479,1001)</ns0:f>
        <ns0:v>475</ns0:v>
      </ns0:c>
      <ns0:c r="AB479" s="7">
        <ns0:f>IF(T479&lt;0,A479,0)</ns0:f>
        <ns0:v>0</ns0:v>
      </ns0:c>
      <ns0:c r="AC479" s="16">
        <ns0:f>IF(AND(OR('前提と出典'!$C$36+'前提と出典'!$C$38=0,R479&gt;=0),OR('前提と出典'!$C$37+'前提と出典'!$C$38=0,S479&gt;=0)),0,A479)</ns0:f>
        <ns0:v>0</ns0:v>
      </ns0:c>
      <ns0:c r="AD479" s="7">
        <ns0:f>IF(W479&gt;=0,A479,1001)</ns0:f>
        <ns0:v>475</ns0:v>
      </ns0:c>
      <ns0:c r="AE479" s="7">
        <ns0:f>IF(W479&lt;0,A479,0)</ns0:f>
        <ns0:v>0</ns0:v>
      </ns0:c>
      <ns0:c r="AF479" s="16">
        <ns0:f>IF(AND(OR('前提と出典'!$C$36+'前提と出典'!$C$38=0,U479&gt;=0),OR('前提と出典'!$C$37+'前提と出典'!$C$38=0,V479&gt;=0)),0,A479)</ns0:f>
        <ns0:v>0</ns0:v>
      </ns0:c>
      <ns0:c r="AG479" s="7">
        <ns0:f>IF(Z479&gt;=0,A479,1001)</ns0:f>
        <ns0:v>475</ns0:v>
      </ns0:c>
      <ns0:c r="AH479" s="4">
        <ns0:f>IF(Z479&lt;0,A479,0)</ns0:f>
        <ns0:v>0</ns0:v>
      </ns0:c>
      <ns0:c r="AI479" s="12">
        <ns0:f>IF(AND(OR('前提と出典'!$C$36+'前提と出典'!$C$38=0,X479&gt;=0),OR('前提と出典'!$C$37+'前提と出典'!$C$38=0,Y479&gt;=0)),0,A479)</ns0:f>
        <ns0:v>0</ns0:v>
      </ns0:c>
    </ns0:row>
    <ns0:row r="480" ht="24" customHeight="1">
      <ns0:c r="A480" s="4" t="n">
        <ns0:v>476</ns0:v>
      </ns0:c>
      <ns0:c r="B480" s="12">
        <ns0:f>A480*('前提と出典'!$C$36+'前提と出典'!$C$38)</ns0:f>
        <ns0:v>333.2</ns0:v>
      </ns0:c>
      <ns0:c r="C480" s="12">
        <ns0:f>A480*('前提と出典'!$C$37+'前提と出典'!$C$38)</ns0:f>
        <ns0:v>285.59999999999997</ns0:v>
      </ns0:c>
      <ns0:c r="D480" s="16">
        <ns0:f>A480*('前提と出典'!$C$36*'契約別単価'!C5+'前提と出典'!$C$37*'契約別単価'!C6+'前提と出典'!$C$38*'契約別単価'!C7)</ns0:f>
        <ns0:v>3425.072625698324</ns0:v>
      </ns0:c>
      <ns0:c r="E480" s="16">
        <ns0:f>A480*('前提と出典'!$C$36*'契約別単価'!E5+'前提と出典'!$C$37*'契約別単価'!E6+'前提と出典'!$C$38*'契約別単価'!E7)</ns0:f>
        <ns0:v>921033.6566046062</ns0:v>
      </ns0:c>
      <ns0:c r="F480" s="16">
        <ns0:f>A480*('前提と出典'!$C$36*'契約別単価'!F5+'前提と出典'!$C$37*'契約別単価'!F6+'前提と出典'!$C$38*'契約別単価'!F7)</ns0:f>
        <ns0:v>361472.2483391066</ns0:v>
      </ns0:c>
      <ns0:c r="G480" s="16">
        <ns0:f>A480*('前提と出典'!$C$36*'契約別単価'!G5+'前提と出典'!$C$37*'契約別単価'!G6+'前提と出典'!$C$38*'契約別単価'!G7)</ns0:f>
        <ns0:v>947479.3296089385</ns0:v>
      </ns0:c>
      <ns0:c r="H480" s="16">
        <ns0:f>A480*('前提と出典'!$C$36*'契約別単価'!H5+'前提と出典'!$C$37*'契約別単価'!H6+'前提と出典'!$C$38*'契約別単価'!H7)</ns0:f>
        <ns0:v>328822.84719687817</ns0:v>
      </ns0:c>
      <ns0:c r="I480" s="16">
        <ns0:f>A480*('前提と出典'!$C$36*'契約別単価'!I5+'前提と出典'!$C$37*'契約別単価'!I6+'前提と出典'!$C$38*'契約別単価'!I7)</ns0:f>
        <ns0:v>20085.07262569832</ns0:v>
      </ns0:c>
      <ns0:c r="J480" s="16">
        <ns0:f>A480*('前提と出典'!$C$36*'契約別単価'!J5+'前提と出典'!$C$37*'契約別単価'!J6+'前提と出典'!$C$38*'契約別単価'!J7)</ns0:f>
        <ns0:v>46785.82280610402</ns0:v>
      </ns0:c>
      <ns0:c r="K480" s="16">
        <ns0:f>A480*('前提と出典'!$C$36*'契約別単価'!K5+'前提と出典'!$C$37*'契約別単価'!K6+'前提と出典'!$C$38*'契約別単価'!K7)</ns0:f>
        <ns0:v>200540.48417132214</ns0:v>
      </ns0:c>
      <ns0:c r="L480" s="16">
        <ns0:f>A480*('前提と出典'!$C$36*'契約別単価'!L5+'前提と出典'!$C$37*'契約別単価'!L6+'前提と出典'!$C$38*'契約別単価'!L7)</ns0:f>
        <ns0:v>163280.76157322928</ns0:v>
      </ns0:c>
      <ns0:c r="M480" s="16">
        <ns0:f>IF(('前提と出典'!$C$36+'前提と出典'!$C$38)=0,0,IF(B480&lt;=10,'前提と出典'!B73+'前提と出典'!C73,IF(B480&lt;=100,'前提と出典'!B74+'前提と出典'!C74,IF(B480&lt;=500,'前提と出典'!B75+'前提と出典'!C75,'前提と出典'!B76+'前提と出典'!C76))))</ns0:f>
        <ns0:v>40000</ns0:v>
      </ns0:c>
      <ns0:c r="N480" s="16">
        <ns0:f>IF(('前提と出典'!$C$37+'前提と出典'!$C$38)=0,0,IF(C480&lt;=10,'前提と出典'!D73+'前提と出典'!E73,IF(C480&lt;=100,'前提と出典'!D74+'前提と出典'!E74,IF(C480&lt;=500,'前提と出典'!D75+'前提と出典'!E75,'前提と出典'!D76+'前提と出典'!E76))))</ns0:f>
        <ns0:v>56510.9346263078</ns0:v>
      </ns0:c>
      <ns0:c r="O480" s="16">
        <ns0:f>IF('前提と出典'!$C$36+'前提と出典'!$C$38=0,0,'前提と出典'!$B$4*IF('前提と出典'!$B$20=0,MAX('前提と出典'!$B$6,D480*'前提と出典'!$B$5),'前提と出典'!$B$6+D480*'前提と出典'!$B$5))</ns0:f>
        <ns0:v>472660.0223463687</ns0:v>
      </ns0:c>
      <ns0:c r="P480" s="16">
        <ns0:f>(E480+G480)*(1-'前提と出典'!$B$7)-I480-K480-M480-O480</ns0:f>
        <ns0:v>1067960.9395664681</ns0:v>
      </ns0:c>
      <ns0:c r="Q480" s="16">
        <ns0:f>(F480+H480)*(1-'前提と出典'!$B$7)-J480-L480-N480</ns0:f>
        <ns0:v>398866.95309104817</ns0:v>
      </ns0:c>
      <ns0:c r="R480" s="16">
        <ns0:f>P480-E480*'前提と出典'!$E$4</ns0:f>
        <ns0:v>791650.8425850864</ns0:v>
      </ns0:c>
      <ns0:c r="S480" s="16">
        <ns0:f>Q480-F480*'前提と出典'!$E$4</ns0:f>
        <ns0:v>290425.2785893162</ns0:v>
      </ns0:c>
      <ns0:c r="T480" s="7">
        <ns0:f>R480+S480</ns0:f>
        <ns0:v>1082076.1211744025</ns0:v>
      </ns0:c>
      <ns0:c r="U480" s="16">
        <ns0:f>P480-E480*'前提と出典'!$E$5</ns0:f>
        <ns0:v>699547.4769246257</ns0:v>
      </ns0:c>
      <ns0:c r="V480" s="16">
        <ns0:f>Q480-F480*'前提と出典'!$E$5</ns0:f>
        <ns0:v>254278.05375540548</ns0:v>
      </ns0:c>
      <ns0:c r="W480" s="7">
        <ns0:f>U480+V480</ns0:f>
        <ns0:v>953825.5306800312</ns0:v>
      </ns0:c>
      <ns0:c r="X480" s="16">
        <ns0:f>P480-E480*'前提と出典'!$E$6</ns0:f>
        <ns0:v>607444.111264165</ns0:v>
      </ns0:c>
      <ns0:c r="Y480" s="16">
        <ns0:f>Q480-F480*'前提と出典'!$E$6</ns0:f>
        <ns0:v>218130.8289214949</ns0:v>
      </ns0:c>
      <ns0:c r="Z480" s="7">
        <ns0:f>X480+Y480</ns0:f>
        <ns0:v>825574.9401856599</ns0:v>
      </ns0:c>
      <ns0:c r="AA480" s="7">
        <ns0:f>IF(T480&gt;=0,A480,1001)</ns0:f>
        <ns0:v>476</ns0:v>
      </ns0:c>
      <ns0:c r="AB480" s="7">
        <ns0:f>IF(T480&lt;0,A480,0)</ns0:f>
        <ns0:v>0</ns0:v>
      </ns0:c>
      <ns0:c r="AC480" s="16">
        <ns0:f>IF(AND(OR('前提と出典'!$C$36+'前提と出典'!$C$38=0,R480&gt;=0),OR('前提と出典'!$C$37+'前提と出典'!$C$38=0,S480&gt;=0)),0,A480)</ns0:f>
        <ns0:v>0</ns0:v>
      </ns0:c>
      <ns0:c r="AD480" s="7">
        <ns0:f>IF(W480&gt;=0,A480,1001)</ns0:f>
        <ns0:v>476</ns0:v>
      </ns0:c>
      <ns0:c r="AE480" s="7">
        <ns0:f>IF(W480&lt;0,A480,0)</ns0:f>
        <ns0:v>0</ns0:v>
      </ns0:c>
      <ns0:c r="AF480" s="16">
        <ns0:f>IF(AND(OR('前提と出典'!$C$36+'前提と出典'!$C$38=0,U480&gt;=0),OR('前提と出典'!$C$37+'前提と出典'!$C$38=0,V480&gt;=0)),0,A480)</ns0:f>
        <ns0:v>0</ns0:v>
      </ns0:c>
      <ns0:c r="AG480" s="7">
        <ns0:f>IF(Z480&gt;=0,A480,1001)</ns0:f>
        <ns0:v>476</ns0:v>
      </ns0:c>
      <ns0:c r="AH480" s="4">
        <ns0:f>IF(Z480&lt;0,A480,0)</ns0:f>
        <ns0:v>0</ns0:v>
      </ns0:c>
      <ns0:c r="AI480" s="12">
        <ns0:f>IF(AND(OR('前提と出典'!$C$36+'前提と出典'!$C$38=0,X480&gt;=0),OR('前提と出典'!$C$37+'前提と出典'!$C$38=0,Y480&gt;=0)),0,A480)</ns0:f>
        <ns0:v>0</ns0:v>
      </ns0:c>
    </ns0:row>
    <ns0:row r="481" ht="24" customHeight="1">
      <ns0:c r="A481" s="4" t="n">
        <ns0:v>477</ns0:v>
      </ns0:c>
      <ns0:c r="B481" s="12">
        <ns0:f>A481*('前提と出典'!$C$36+'前提と出典'!$C$38)</ns0:f>
        <ns0:v>333.9</ns0:v>
      </ns0:c>
      <ns0:c r="C481" s="12">
        <ns0:f>A481*('前提と出典'!$C$37+'前提と出典'!$C$38)</ns0:f>
        <ns0:v>286.2</ns0:v>
      </ns0:c>
      <ns0:c r="D481" s="16">
        <ns0:f>A481*('前提と出典'!$C$36*'契約別単価'!C5+'前提と出典'!$C$37*'契約別単価'!C6+'前提と出典'!$C$38*'契約別単価'!C7)</ns0:f>
        <ns0:v>3432.268156424581</ns0:v>
      </ns0:c>
      <ns0:c r="E481" s="16">
        <ns0:f>A481*('前提と出典'!$C$36*'契約別単価'!E5+'前提と出典'!$C$37*'契約別単価'!E6+'前提と出典'!$C$38*'契約別単価'!E7)</ns0:f>
        <ns0:v>922968.6012613386</ns0:v>
      </ns0:c>
      <ns0:c r="F481" s="16">
        <ns0:f>A481*('前提と出典'!$C$36*'契約別単価'!F5+'前提と出典'!$C$37*'契約別単価'!F6+'前提と出典'!$C$38*'契約別単価'!F7)</ns0:f>
        <ns0:v>362231.64381881064</ns0:v>
      </ns0:c>
      <ns0:c r="G481" s="16">
        <ns0:f>A481*('前提と出典'!$C$36*'契約別単価'!G5+'前提と出典'!$C$37*'契約別単価'!G6+'前提と出典'!$C$38*'契約別単価'!G7)</ns0:f>
        <ns0:v>949469.8324022345</ns0:v>
      </ns0:c>
      <ns0:c r="H481" s="16">
        <ns0:f>A481*('前提と出典'!$C$36*'契約別単価'!H5+'前提と出典'!$C$37*'契約別単価'!H6+'前提と出典'!$C$38*'契約別単価'!H7)</ns0:f>
        <ns0:v>329513.65149771195</ns0:v>
      </ns0:c>
      <ns0:c r="I481" s="16">
        <ns0:f>A481*('前提と出典'!$C$36*'契約別単価'!I5+'前提と出典'!$C$37*'契約別単価'!I6+'前提と出典'!$C$38*'契約別単価'!I7)</ns0:f>
        <ns0:v>20127.268156424576</ns0:v>
      </ns0:c>
      <ns0:c r="J481" s="16">
        <ns0:f>A481*('前提と出典'!$C$36*'契約別単価'!J5+'前提と出典'!$C$37*'契約別単価'!J6+'前提と出典'!$C$38*'契約別単価'!J7)</ns0:f>
        <ns0:v>46884.11234981433</ns0:v>
      </ns0:c>
      <ns0:c r="K481" s="16">
        <ns0:f>A481*('前提と出典'!$C$36*'契約別単価'!K5+'前提と出典'!$C$37*'契約別単価'!K6+'前提と出典'!$C$38*'契約別単価'!K7)</ns0:f>
        <ns0:v>200961.7877094972</ns0:v>
      </ns0:c>
      <ns0:c r="L481" s="16">
        <ns0:f>A481*('前提と出典'!$C$36*'契約別単価'!L5+'前提と出典'!$C$37*'契約別単価'!L6+'前提と出典'!$C$38*'契約別単価'!L7)</ns0:f>
        <ns0:v>163623.78838325705</ns0:v>
      </ns0:c>
      <ns0:c r="M481" s="16">
        <ns0:f>IF(('前提と出典'!$C$36+'前提と出典'!$C$38)=0,0,IF(B481&lt;=10,'前提と出典'!B73+'前提と出典'!C73,IF(B481&lt;=100,'前提と出典'!B74+'前提と出典'!C74,IF(B481&lt;=500,'前提と出典'!B75+'前提と出典'!C75,'前提と出典'!B76+'前提と出典'!C76))))</ns0:f>
        <ns0:v>40000</ns0:v>
      </ns0:c>
      <ns0:c r="N481" s="16">
        <ns0:f>IF(('前提と出典'!$C$37+'前提と出典'!$C$38)=0,0,IF(C481&lt;=10,'前提と出典'!D73+'前提と出典'!E73,IF(C481&lt;=100,'前提と出典'!D74+'前提と出典'!E74,IF(C481&lt;=500,'前提と出典'!D75+'前提と出典'!E75,'前提と出典'!D76+'前提と出典'!E76))))</ns0:f>
        <ns0:v>56510.9346263078</ns0:v>
      </ns0:c>
      <ns0:c r="O481" s="16">
        <ns0:f>IF('前提と出典'!$C$36+'前提と出典'!$C$38=0,0,'前提と出典'!$B$4*IF('前提と出典'!$B$20=0,MAX('前提と出典'!$B$6,D481*'前提と出典'!$B$5),'前提と出典'!$B$6+D481*'前提と出典'!$B$5))</ns0:f>
        <ns0:v>473653.0055865922</ns0:v>
      </ns0:c>
      <ns0:c r="P481" s="16">
        <ns0:f>(E481+G481)*(1-'前提と出典'!$B$7)-I481-K481-M481-O481</ns0:f>
        <ns0:v>1070288.5885991706</ns0:v>
      </ns0:c>
      <ns0:c r="Q481" s="16">
        <ns0:f>(F481+H481)*(1-'前提と出典'!$B$7)-J481-L481-N481</ns0:f>
        <ns0:v>399823.62932574854</ns0:v>
      </ns0:c>
      <ns0:c r="R481" s="16">
        <ns0:f>P481-E481*'前提と出典'!$E$4</ns0:f>
        <ns0:v>793398.008220769</ns0:v>
      </ns0:c>
      <ns0:c r="S481" s="16">
        <ns0:f>Q481-F481*'前提と出典'!$E$4</ns0:f>
        <ns0:v>291154.1361801054</ns0:v>
      </ns0:c>
      <ns0:c r="T481" s="7">
        <ns0:f>R481+S481</ns0:f>
        <ns0:v>1084552.1444008744</ns0:v>
      </ns0:c>
      <ns0:c r="U481" s="16">
        <ns0:f>P481-E481*'前提と出典'!$E$5</ns0:f>
        <ns0:v>701101.148094635</ns0:v>
      </ns0:c>
      <ns0:c r="V481" s="16">
        <ns0:f>Q481-F481*'前提と出典'!$E$5</ns0:f>
        <ns0:v>254930.97179822432</ns0:v>
      </ns0:c>
      <ns0:c r="W481" s="7">
        <ns0:f>U481+V481</ns0:f>
        <ns0:v>956032.1198928594</ns0:v>
      </ns0:c>
      <ns0:c r="X481" s="16">
        <ns0:f>P481-E481*'前提と出典'!$E$6</ns0:f>
        <ns0:v>608804.2879685012</ns0:v>
      </ns0:c>
      <ns0:c r="Y481" s="16">
        <ns0:f>Q481-F481*'前提と出典'!$E$6</ns0:f>
        <ns0:v>218707.8074163433</ns0:v>
      </ns0:c>
      <ns0:c r="Z481" s="7">
        <ns0:f>X481+Y481</ns0:f>
        <ns0:v>827512.0953848446</ns0:v>
      </ns0:c>
      <ns0:c r="AA481" s="7">
        <ns0:f>IF(T481&gt;=0,A481,1001)</ns0:f>
        <ns0:v>477</ns0:v>
      </ns0:c>
      <ns0:c r="AB481" s="7">
        <ns0:f>IF(T481&lt;0,A481,0)</ns0:f>
        <ns0:v>0</ns0:v>
      </ns0:c>
      <ns0:c r="AC481" s="16">
        <ns0:f>IF(AND(OR('前提と出典'!$C$36+'前提と出典'!$C$38=0,R481&gt;=0),OR('前提と出典'!$C$37+'前提と出典'!$C$38=0,S481&gt;=0)),0,A481)</ns0:f>
        <ns0:v>0</ns0:v>
      </ns0:c>
      <ns0:c r="AD481" s="7">
        <ns0:f>IF(W481&gt;=0,A481,1001)</ns0:f>
        <ns0:v>477</ns0:v>
      </ns0:c>
      <ns0:c r="AE481" s="7">
        <ns0:f>IF(W481&lt;0,A481,0)</ns0:f>
        <ns0:v>0</ns0:v>
      </ns0:c>
      <ns0:c r="AF481" s="16">
        <ns0:f>IF(AND(OR('前提と出典'!$C$36+'前提と出典'!$C$38=0,U481&gt;=0),OR('前提と出典'!$C$37+'前提と出典'!$C$38=0,V481&gt;=0)),0,A481)</ns0:f>
        <ns0:v>0</ns0:v>
      </ns0:c>
      <ns0:c r="AG481" s="7">
        <ns0:f>IF(Z481&gt;=0,A481,1001)</ns0:f>
        <ns0:v>477</ns0:v>
      </ns0:c>
      <ns0:c r="AH481" s="4">
        <ns0:f>IF(Z481&lt;0,A481,0)</ns0:f>
        <ns0:v>0</ns0:v>
      </ns0:c>
      <ns0:c r="AI481" s="12">
        <ns0:f>IF(AND(OR('前提と出典'!$C$36+'前提と出典'!$C$38=0,X481&gt;=0),OR('前提と出典'!$C$37+'前提と出典'!$C$38=0,Y481&gt;=0)),0,A481)</ns0:f>
        <ns0:v>0</ns0:v>
      </ns0:c>
    </ns0:row>
    <ns0:row r="482" ht="24" customHeight="1">
      <ns0:c r="A482" s="4" t="n">
        <ns0:v>478</ns0:v>
      </ns0:c>
      <ns0:c r="B482" s="12">
        <ns0:f>A482*('前提と出典'!$C$36+'前提と出典'!$C$38)</ns0:f>
        <ns0:v>334.59999999999997</ns0:v>
      </ns0:c>
      <ns0:c r="C482" s="12">
        <ns0:f>A482*('前提と出典'!$C$37+'前提と出典'!$C$38)</ns0:f>
        <ns0:v>286.8</ns0:v>
      </ns0:c>
      <ns0:c r="D482" s="16">
        <ns0:f>A482*('前提と出典'!$C$36*'契約別単価'!C5+'前提と出典'!$C$37*'契約別単価'!C6+'前提と出典'!$C$38*'契約別単価'!C7)</ns0:f>
        <ns0:v>3439.463687150838</ns0:v>
      </ns0:c>
      <ns0:c r="E482" s="16">
        <ns0:f>A482*('前提と出典'!$C$36*'契約別単価'!E5+'前提と出典'!$C$37*'契約別単価'!E6+'前提と出典'!$C$38*'契約別単価'!E7)</ns0:f>
        <ns0:v>924903.545918071</ns0:v>
      </ns0:c>
      <ns0:c r="F482" s="16">
        <ns0:f>A482*('前提と出典'!$C$36*'契約別単価'!F5+'前提と出典'!$C$37*'契約別単価'!F6+'前提と出典'!$C$38*'契約別単価'!F7)</ns0:f>
        <ns0:v>362991.03929851466</ns0:v>
      </ns0:c>
      <ns0:c r="G482" s="16">
        <ns0:f>A482*('前提と出典'!$C$36*'契約別単価'!G5+'前提と出典'!$C$37*'契約別単価'!G6+'前提と出典'!$C$38*'契約別単価'!G7)</ns0:f>
        <ns0:v>951460.3351955307</ns0:v>
      </ns0:c>
      <ns0:c r="H482" s="16">
        <ns0:f>A482*('前提と出典'!$C$36*'契約別単価'!H5+'前提と出典'!$C$37*'契約別単価'!H6+'前提と出典'!$C$38*'契約別単価'!H7)</ns0:f>
        <ns0:v>330204.45579854574</ns0:v>
      </ns0:c>
      <ns0:c r="I482" s="16">
        <ns0:f>A482*('前提と出典'!$C$36*'契約別単価'!I5+'前提と出典'!$C$37*'契約別単価'!I6+'前提と出典'!$C$38*'契約別単価'!I7)</ns0:f>
        <ns0:v>20169.463687150834</ns0:v>
      </ns0:c>
      <ns0:c r="J482" s="16">
        <ns0:f>A482*('前提と出典'!$C$36*'契約別単価'!J5+'前提と出典'!$C$37*'契約別単価'!J6+'前提と出典'!$C$38*'契約別単価'!J7)</ns0:f>
        <ns0:v>46982.40189352463</ns0:v>
      </ns0:c>
      <ns0:c r="K482" s="16">
        <ns0:f>A482*('前提と出典'!$C$36*'契約別単価'!K5+'前提と出典'!$C$37*'契約別単価'!K6+'前提と出典'!$C$38*'契約別単価'!K7)</ns0:f>
        <ns0:v>201383.09124767224</ns0:v>
      </ns0:c>
      <ns0:c r="L482" s="16">
        <ns0:f>A482*('前提と出典'!$C$36*'契約別単価'!L5+'前提と出典'!$C$37*'契約別単価'!L6+'前提と出典'!$C$38*'契約別単価'!L7)</ns0:f>
        <ns0:v>163966.81519328486</ns0:v>
      </ns0:c>
      <ns0:c r="M482" s="16">
        <ns0:f>IF(('前提と出典'!$C$36+'前提と出典'!$C$38)=0,0,IF(B482&lt;=10,'前提と出典'!B73+'前提と出典'!C73,IF(B482&lt;=100,'前提と出典'!B74+'前提と出典'!C74,IF(B482&lt;=500,'前提と出典'!B75+'前提と出典'!C75,'前提と出典'!B76+'前提と出典'!C76))))</ns0:f>
        <ns0:v>40000</ns0:v>
      </ns0:c>
      <ns0:c r="N482" s="16">
        <ns0:f>IF(('前提と出典'!$C$37+'前提と出典'!$C$38)=0,0,IF(C482&lt;=10,'前提と出典'!D73+'前提と出典'!E73,IF(C482&lt;=100,'前提と出典'!D74+'前提と出典'!E74,IF(C482&lt;=500,'前提と出典'!D75+'前提と出典'!E75,'前提と出典'!D76+'前提と出典'!E76))))</ns0:f>
        <ns0:v>56510.9346263078</ns0:v>
      </ns0:c>
      <ns0:c r="O482" s="16">
        <ns0:f>IF('前提と出典'!$C$36+'前提と出典'!$C$38=0,0,'前提と出典'!$B$4*IF('前提と出典'!$B$20=0,MAX('前提と出典'!$B$6,D482*'前提と出典'!$B$5),'前提と出典'!$B$6+D482*'前提と出典'!$B$5))</ns0:f>
        <ns0:v>474645.9888268157</ns0:v>
      </ns0:c>
      <ns0:c r="P482" s="16">
        <ns0:f>(E482+G482)*(1-'前提と出典'!$B$7)-I482-K482-M482-O482</ns0:f>
        <ns0:v>1072616.2376318732</ns0:v>
      </ns0:c>
      <ns0:c r="Q482" s="16">
        <ns0:f>(F482+H482)*(1-'前提と出典'!$B$7)-J482-L482-N482</ns0:f>
        <ns0:v>400780.305560449</ns0:v>
      </ns0:c>
      <ns0:c r="R482" s="16">
        <ns0:f>P482-E482*'前提と出典'!$E$4</ns0:f>
        <ns0:v>795145.1738564519</ns0:v>
      </ns0:c>
      <ns0:c r="S482" s="16">
        <ns0:f>Q482-F482*'前提と出典'!$E$4</ns0:f>
        <ns0:v>291882.9937708946</ns0:v>
      </ns0:c>
      <ns0:c r="T482" s="7">
        <ns0:f>R482+S482</ns0:f>
        <ns0:v>1087028.1676273465</ns0:v>
      </ns0:c>
      <ns0:c r="U482" s="16">
        <ns0:f>P482-E482*'前提と出典'!$E$5</ns0:f>
        <ns0:v>702654.8192646448</ns0:v>
      </ns0:c>
      <ns0:c r="V482" s="16">
        <ns0:f>Q482-F482*'前提と出典'!$E$5</ns0:f>
        <ns0:v>255583.88984104316</ns0:v>
      </ns0:c>
      <ns0:c r="W482" s="7">
        <ns0:f>U482+V482</ns0:f>
        <ns0:v>958238.7091056879</ns0:v>
      </ns0:c>
      <ns0:c r="X482" s="16">
        <ns0:f>P482-E482*'前提と出典'!$E$6</ns0:f>
        <ns0:v>610164.4646728376</ns0:v>
      </ns0:c>
      <ns0:c r="Y482" s="16">
        <ns0:f>Q482-F482*'前提と出典'!$E$6</ns0:f>
        <ns0:v>219284.78591119172</ns0:v>
      </ns0:c>
      <ns0:c r="Z482" s="7">
        <ns0:f>X482+Y482</ns0:f>
        <ns0:v>829449.2505840294</ns0:v>
      </ns0:c>
      <ns0:c r="AA482" s="7">
        <ns0:f>IF(T482&gt;=0,A482,1001)</ns0:f>
        <ns0:v>478</ns0:v>
      </ns0:c>
      <ns0:c r="AB482" s="7">
        <ns0:f>IF(T482&lt;0,A482,0)</ns0:f>
        <ns0:v>0</ns0:v>
      </ns0:c>
      <ns0:c r="AC482" s="16">
        <ns0:f>IF(AND(OR('前提と出典'!$C$36+'前提と出典'!$C$38=0,R482&gt;=0),OR('前提と出典'!$C$37+'前提と出典'!$C$38=0,S482&gt;=0)),0,A482)</ns0:f>
        <ns0:v>0</ns0:v>
      </ns0:c>
      <ns0:c r="AD482" s="7">
        <ns0:f>IF(W482&gt;=0,A482,1001)</ns0:f>
        <ns0:v>478</ns0:v>
      </ns0:c>
      <ns0:c r="AE482" s="7">
        <ns0:f>IF(W482&lt;0,A482,0)</ns0:f>
        <ns0:v>0</ns0:v>
      </ns0:c>
      <ns0:c r="AF482" s="16">
        <ns0:f>IF(AND(OR('前提と出典'!$C$36+'前提と出典'!$C$38=0,U482&gt;=0),OR('前提と出典'!$C$37+'前提と出典'!$C$38=0,V482&gt;=0)),0,A482)</ns0:f>
        <ns0:v>0</ns0:v>
      </ns0:c>
      <ns0:c r="AG482" s="7">
        <ns0:f>IF(Z482&gt;=0,A482,1001)</ns0:f>
        <ns0:v>478</ns0:v>
      </ns0:c>
      <ns0:c r="AH482" s="4">
        <ns0:f>IF(Z482&lt;0,A482,0)</ns0:f>
        <ns0:v>0</ns0:v>
      </ns0:c>
      <ns0:c r="AI482" s="12">
        <ns0:f>IF(AND(OR('前提と出典'!$C$36+'前提と出典'!$C$38=0,X482&gt;=0),OR('前提と出典'!$C$37+'前提と出典'!$C$38=0,Y482&gt;=0)),0,A482)</ns0:f>
        <ns0:v>0</ns0:v>
      </ns0:c>
    </ns0:row>
    <ns0:row r="483" ht="24" customHeight="1">
      <ns0:c r="A483" s="4" t="n">
        <ns0:v>479</ns0:v>
      </ns0:c>
      <ns0:c r="B483" s="12">
        <ns0:f>A483*('前提と出典'!$C$36+'前提と出典'!$C$38)</ns0:f>
        <ns0:v>335.29999999999995</ns0:v>
      </ns0:c>
      <ns0:c r="C483" s="12">
        <ns0:f>A483*('前提と出典'!$C$37+'前提と出典'!$C$38)</ns0:f>
        <ns0:v>287.4</ns0:v>
      </ns0:c>
      <ns0:c r="D483" s="16">
        <ns0:f>A483*('前提と出典'!$C$36*'契約別単価'!C5+'前提と出典'!$C$37*'契約別単価'!C6+'前提と出典'!$C$38*'契約別単価'!C7)</ns0:f>
        <ns0:v>3446.6592178770948</ns0:v>
      </ns0:c>
      <ns0:c r="E483" s="16">
        <ns0:f>A483*('前提と出典'!$C$36*'契約別単価'!E5+'前提と出典'!$C$37*'契約別単価'!E6+'前提と出典'!$C$38*'契約別単価'!E7)</ns0:f>
        <ns0:v>926838.4905748033</ns0:v>
      </ns0:c>
      <ns0:c r="F483" s="16">
        <ns0:f>A483*('前提と出典'!$C$36*'契約別単価'!F5+'前提と出典'!$C$37*'契約別単価'!F6+'前提と出典'!$C$38*'契約別単価'!F7)</ns0:f>
        <ns0:v>363750.4347782187</ns0:v>
      </ns0:c>
      <ns0:c r="G483" s="16">
        <ns0:f>A483*('前提と出典'!$C$36*'契約別単価'!G5+'前提と出典'!$C$37*'契約別単価'!G6+'前提と出典'!$C$38*'契約別単価'!G7)</ns0:f>
        <ns0:v>953450.8379888268</ns0:v>
      </ns0:c>
      <ns0:c r="H483" s="16">
        <ns0:f>A483*('前提と出典'!$C$36*'契約別単価'!H5+'前提と出典'!$C$37*'契約別単価'!H6+'前提と出典'!$C$38*'契約別単価'!H7)</ns0:f>
        <ns0:v>330895.2600993795</ns0:v>
      </ns0:c>
      <ns0:c r="I483" s="16">
        <ns0:f>A483*('前提と出典'!$C$36*'契約別単価'!I5+'前提と出典'!$C$37*'契約別単価'!I6+'前提と出典'!$C$38*'契約別単価'!I7)</ns0:f>
        <ns0:v>20211.65921787709</ns0:v>
      </ns0:c>
      <ns0:c r="J483" s="16">
        <ns0:f>A483*('前提と出典'!$C$36*'契約別単価'!J5+'前提と出典'!$C$37*'契約別単価'!J6+'前提と出典'!$C$38*'契約別単価'!J7)</ns0:f>
        <ns0:v>47080.69143723493</ns0:v>
      </ns0:c>
      <ns0:c r="K483" s="16">
        <ns0:f>A483*('前提と出典'!$C$36*'契約別単価'!K5+'前提と出典'!$C$37*'契約別単価'!K6+'前提と出典'!$C$38*'契約別単価'!K7)</ns0:f>
        <ns0:v>201804.39478584728</ns0:v>
      </ns0:c>
      <ns0:c r="L483" s="16">
        <ns0:f>A483*('前提と出典'!$C$36*'契約別単価'!L5+'前提と出典'!$C$37*'契約別単価'!L6+'前提と出典'!$C$38*'契約別単価'!L7)</ns0:f>
        <ns0:v>164309.84200331263</ns0:v>
      </ns0:c>
      <ns0:c r="M483" s="16">
        <ns0:f>IF(('前提と出典'!$C$36+'前提と出典'!$C$38)=0,0,IF(B483&lt;=10,'前提と出典'!B73+'前提と出典'!C73,IF(B483&lt;=100,'前提と出典'!B74+'前提と出典'!C74,IF(B483&lt;=500,'前提と出典'!B75+'前提と出典'!C75,'前提と出典'!B76+'前提と出典'!C76))))</ns0:f>
        <ns0:v>40000</ns0:v>
      </ns0:c>
      <ns0:c r="N483" s="16">
        <ns0:f>IF(('前提と出典'!$C$37+'前提と出典'!$C$38)=0,0,IF(C483&lt;=10,'前提と出典'!D73+'前提と出典'!E73,IF(C483&lt;=100,'前提と出典'!D74+'前提と出典'!E74,IF(C483&lt;=500,'前提と出典'!D75+'前提と出典'!E75,'前提と出典'!D76+'前提と出典'!E76))))</ns0:f>
        <ns0:v>56510.9346263078</ns0:v>
      </ns0:c>
      <ns0:c r="O483" s="16">
        <ns0:f>IF('前提と出典'!$C$36+'前提と出典'!$C$38=0,0,'前提と出典'!$B$4*IF('前提と出典'!$B$20=0,MAX('前提と出典'!$B$6,D483*'前提と出典'!$B$5),'前提と出典'!$B$6+D483*'前提と出典'!$B$5))</ns0:f>
        <ns0:v>475638.97206703905</ns0:v>
      </ns0:c>
      <ns0:c r="P483" s="16">
        <ns0:f>(E483+G483)*(1-'前提と出典'!$B$7)-I483-K483-M483-O483</ns0:f>
        <ns0:v>1074943.8866645761</ns0:v>
      </ns0:c>
      <ns0:c r="Q483" s="16">
        <ns0:f>(F483+H483)*(1-'前提と出典'!$B$7)-J483-L483-N483</ns0:f>
        <ns0:v>401736.9817951493</ns0:v>
      </ns0:c>
      <ns0:c r="R483" s="16">
        <ns0:f>P483-E483*'前提と出典'!$E$4</ns0:f>
        <ns0:v>796892.3394921352</ns0:v>
      </ns0:c>
      <ns0:c r="S483" s="16">
        <ns0:f>Q483-F483*'前提と出典'!$E$4</ns0:f>
        <ns0:v>292611.8513616838</ns0:v>
      </ns0:c>
      <ns0:c r="T483" s="7">
        <ns0:f>R483+S483</ns0:f>
        <ns0:v>1089504.190853819</ns0:v>
      </ns0:c>
      <ns0:c r="U483" s="16">
        <ns0:f>P483-E483*'前提と出典'!$E$5</ns0:f>
        <ns0:v>704208.4904346548</ns0:v>
      </ns0:c>
      <ns0:c r="V483" s="16">
        <ns0:f>Q483-F483*'前提と出典'!$E$5</ns0:f>
        <ns0:v>256236.80788386182</ns0:v>
      </ns0:c>
      <ns0:c r="W483" s="7">
        <ns0:f>U483+V483</ns0:f>
        <ns0:v>960445.2983185166</ns0:v>
      </ns0:c>
      <ns0:c r="X483" s="16">
        <ns0:f>P483-E483*'前提と出典'!$E$6</ns0:f>
        <ns0:v>611524.6413771745</ns0:v>
      </ns0:c>
      <ns0:c r="Y483" s="16">
        <ns0:f>Q483-F483*'前提と出典'!$E$6</ns0:f>
        <ns0:v>219861.76440603996</ns0:v>
      </ns0:c>
      <ns0:c r="Z483" s="7">
        <ns0:f>X483+Y483</ns0:f>
        <ns0:v>831386.4057832145</ns0:v>
      </ns0:c>
      <ns0:c r="AA483" s="7">
        <ns0:f>IF(T483&gt;=0,A483,1001)</ns0:f>
        <ns0:v>479</ns0:v>
      </ns0:c>
      <ns0:c r="AB483" s="7">
        <ns0:f>IF(T483&lt;0,A483,0)</ns0:f>
        <ns0:v>0</ns0:v>
      </ns0:c>
      <ns0:c r="AC483" s="16">
        <ns0:f>IF(AND(OR('前提と出典'!$C$36+'前提と出典'!$C$38=0,R483&gt;=0),OR('前提と出典'!$C$37+'前提と出典'!$C$38=0,S483&gt;=0)),0,A483)</ns0:f>
        <ns0:v>0</ns0:v>
      </ns0:c>
      <ns0:c r="AD483" s="7">
        <ns0:f>IF(W483&gt;=0,A483,1001)</ns0:f>
        <ns0:v>479</ns0:v>
      </ns0:c>
      <ns0:c r="AE483" s="7">
        <ns0:f>IF(W483&lt;0,A483,0)</ns0:f>
        <ns0:v>0</ns0:v>
      </ns0:c>
      <ns0:c r="AF483" s="16">
        <ns0:f>IF(AND(OR('前提と出典'!$C$36+'前提と出典'!$C$38=0,U483&gt;=0),OR('前提と出典'!$C$37+'前提と出典'!$C$38=0,V483&gt;=0)),0,A483)</ns0:f>
        <ns0:v>0</ns0:v>
      </ns0:c>
      <ns0:c r="AG483" s="7">
        <ns0:f>IF(Z483&gt;=0,A483,1001)</ns0:f>
        <ns0:v>479</ns0:v>
      </ns0:c>
      <ns0:c r="AH483" s="4">
        <ns0:f>IF(Z483&lt;0,A483,0)</ns0:f>
        <ns0:v>0</ns0:v>
      </ns0:c>
      <ns0:c r="AI483" s="12">
        <ns0:f>IF(AND(OR('前提と出典'!$C$36+'前提と出典'!$C$38=0,X483&gt;=0),OR('前提と出典'!$C$37+'前提と出典'!$C$38=0,Y483&gt;=0)),0,A483)</ns0:f>
        <ns0:v>0</ns0:v>
      </ns0:c>
    </ns0:row>
    <ns0:row r="484" ht="24" customHeight="1">
      <ns0:c r="A484" s="4" t="n">
        <ns0:v>480</ns0:v>
      </ns0:c>
      <ns0:c r="B484" s="12">
        <ns0:f>A484*('前提と出典'!$C$36+'前提と出典'!$C$38)</ns0:f>
        <ns0:v>336</ns0:v>
      </ns0:c>
      <ns0:c r="C484" s="12">
        <ns0:f>A484*('前提と出典'!$C$37+'前提と出典'!$C$38)</ns0:f>
        <ns0:v>288</ns0:v>
      </ns0:c>
      <ns0:c r="D484" s="16">
        <ns0:f>A484*('前提と出典'!$C$36*'契約別単価'!C5+'前提と出典'!$C$37*'契約別単価'!C6+'前提と出典'!$C$38*'契約別単価'!C7)</ns0:f>
        <ns0:v>3453.854748603352</ns0:v>
      </ns0:c>
      <ns0:c r="E484" s="16">
        <ns0:f>A484*('前提と出典'!$C$36*'契約別単価'!E5+'前提と出典'!$C$37*'契約別単価'!E6+'前提と出典'!$C$38*'契約別単価'!E7)</ns0:f>
        <ns0:v>928773.4352315357</ns0:v>
      </ns0:c>
      <ns0:c r="F484" s="16">
        <ns0:f>A484*('前提と出典'!$C$36*'契約別単価'!F5+'前提と出典'!$C$37*'契約別単価'!F6+'前提と出典'!$C$38*'契約別単価'!F7)</ns0:f>
        <ns0:v>364509.83025792264</ns0:v>
      </ns0:c>
      <ns0:c r="G484" s="16">
        <ns0:f>A484*('前提と出典'!$C$36*'契約別単価'!G5+'前提と出典'!$C$37*'契約別単価'!G6+'前提と出典'!$C$38*'契約別単価'!G7)</ns0:f>
        <ns0:v>955441.3407821229</ns0:v>
      </ns0:c>
      <ns0:c r="H484" s="16">
        <ns0:f>A484*('前提と出典'!$C$36*'契約別単価'!H5+'前提と出典'!$C$37*'契約別単価'!H6+'前提と出典'!$C$38*'契約別単価'!H7)</ns0:f>
        <ns0:v>331586.0644002133</ns0:v>
      </ns0:c>
      <ns0:c r="I484" s="16">
        <ns0:f>A484*('前提と出典'!$C$36*'契約別単価'!I5+'前提と出典'!$C$37*'契約別単価'!I6+'前提と出典'!$C$38*'契約別単価'!I7)</ns0:f>
        <ns0:v>20253.85474860335</ns0:v>
      </ns0:c>
      <ns0:c r="J484" s="16">
        <ns0:f>A484*('前提と出典'!$C$36*'契約別単価'!J5+'前提と出典'!$C$37*'契約別単価'!J6+'前提と出典'!$C$38*'契約別単価'!J7)</ns0:f>
        <ns0:v>47178.980980945234</ns0:v>
      </ns0:c>
      <ns0:c r="K484" s="16">
        <ns0:f>A484*('前提と出典'!$C$36*'契約別単価'!K5+'前提と出典'!$C$37*'契約別単価'!K6+'前提と出典'!$C$38*'契約別単価'!K7)</ns0:f>
        <ns0:v>202225.69832402232</ns0:v>
      </ns0:c>
      <ns0:c r="L484" s="16">
        <ns0:f>A484*('前提と出典'!$C$36*'契約別単価'!L5+'前提と出典'!$C$37*'契約別単価'!L6+'前提と出典'!$C$38*'契約別単価'!L7)</ns0:f>
        <ns0:v>164652.86881334044</ns0:v>
      </ns0:c>
      <ns0:c r="M484" s="16">
        <ns0:f>IF(('前提と出典'!$C$36+'前提と出典'!$C$38)=0,0,IF(B484&lt;=10,'前提と出典'!B73+'前提と出典'!C73,IF(B484&lt;=100,'前提と出典'!B74+'前提と出典'!C74,IF(B484&lt;=500,'前提と出典'!B75+'前提と出典'!C75,'前提と出典'!B76+'前提と出典'!C76))))</ns0:f>
        <ns0:v>40000</ns0:v>
      </ns0:c>
      <ns0:c r="N484" s="16">
        <ns0:f>IF(('前提と出典'!$C$37+'前提と出典'!$C$38)=0,0,IF(C484&lt;=10,'前提と出典'!D73+'前提と出典'!E73,IF(C484&lt;=100,'前提と出典'!D74+'前提と出典'!E74,IF(C484&lt;=500,'前提と出典'!D75+'前提と出典'!E75,'前提と出典'!D76+'前提と出典'!E76))))</ns0:f>
        <ns0:v>56510.9346263078</ns0:v>
      </ns0:c>
      <ns0:c r="O484" s="16">
        <ns0:f>IF('前提と出典'!$C$36+'前提と出典'!$C$38=0,0,'前提と出典'!$B$4*IF('前提と出典'!$B$20=0,MAX('前提と出典'!$B$6,D484*'前提と出典'!$B$5),'前提と出典'!$B$6+D484*'前提と出典'!$B$5))</ns0:f>
        <ns0:v>476631.9553072626</ns0:v>
      </ns0:c>
      <ns0:c r="P484" s="16">
        <ns0:f>(E484+G484)*(1-'前提と出典'!$B$7)-I484-K484-M484-O484</ns0:f>
        <ns0:v>1077271.5356972786</ns0:v>
      </ns0:c>
      <ns0:c r="Q484" s="16">
        <ns0:f>(F484+H484)*(1-'前提と出典'!$B$7)-J484-L484-N484</ns0:f>
        <ns0:v>402693.65802984964</ns0:v>
      </ns0:c>
      <ns0:c r="R484" s="16">
        <ns0:f>P484-E484*'前提と出典'!$E$4</ns0:f>
        <ns0:v>798639.5051278177</ns0:v>
      </ns0:c>
      <ns0:c r="S484" s="16">
        <ns0:f>Q484-F484*'前提と出典'!$E$4</ns0:f>
        <ns0:v>293340.70895247284</ns0:v>
      </ns0:c>
      <ns0:c r="T484" s="7">
        <ns0:f>R484+S484</ns0:f>
        <ns0:v>1091980.2140802906</ns0:v>
      </ns0:c>
      <ns0:c r="U484" s="16">
        <ns0:f>P484-E484*'前提と出典'!$E$5</ns0:f>
        <ns0:v>705762.1616046642</ns0:v>
      </ns0:c>
      <ns0:c r="V484" s="16">
        <ns0:f>Q484-F484*'前提と出典'!$E$5</ns0:f>
        <ns0:v>256889.72592668055</ns0:v>
      </ns0:c>
      <ns0:c r="W484" s="7">
        <ns0:f>U484+V484</ns0:f>
        <ns0:v>962651.8875313448</ns0:v>
      </ns0:c>
      <ns0:c r="X484" s="16">
        <ns0:f>P484-E484*'前提と出典'!$E$6</ns0:f>
        <ns0:v>612884.8180815106</ns0:v>
      </ns0:c>
      <ns0:c r="Y484" s="16">
        <ns0:f>Q484-F484*'前提と出典'!$E$6</ns0:f>
        <ns0:v>220438.74290088826</ns0:v>
      </ns0:c>
      <ns0:c r="Z484" s="7">
        <ns0:f>X484+Y484</ns0:f>
        <ns0:v>833323.5609823989</ns0:v>
      </ns0:c>
      <ns0:c r="AA484" s="7">
        <ns0:f>IF(T484&gt;=0,A484,1001)</ns0:f>
        <ns0:v>480</ns0:v>
      </ns0:c>
      <ns0:c r="AB484" s="7">
        <ns0:f>IF(T484&lt;0,A484,0)</ns0:f>
        <ns0:v>0</ns0:v>
      </ns0:c>
      <ns0:c r="AC484" s="16">
        <ns0:f>IF(AND(OR('前提と出典'!$C$36+'前提と出典'!$C$38=0,R484&gt;=0),OR('前提と出典'!$C$37+'前提と出典'!$C$38=0,S484&gt;=0)),0,A484)</ns0:f>
        <ns0:v>0</ns0:v>
      </ns0:c>
      <ns0:c r="AD484" s="7">
        <ns0:f>IF(W484&gt;=0,A484,1001)</ns0:f>
        <ns0:v>480</ns0:v>
      </ns0:c>
      <ns0:c r="AE484" s="7">
        <ns0:f>IF(W484&lt;0,A484,0)</ns0:f>
        <ns0:v>0</ns0:v>
      </ns0:c>
      <ns0:c r="AF484" s="16">
        <ns0:f>IF(AND(OR('前提と出典'!$C$36+'前提と出典'!$C$38=0,U484&gt;=0),OR('前提と出典'!$C$37+'前提と出典'!$C$38=0,V484&gt;=0)),0,A484)</ns0:f>
        <ns0:v>0</ns0:v>
      </ns0:c>
      <ns0:c r="AG484" s="7">
        <ns0:f>IF(Z484&gt;=0,A484,1001)</ns0:f>
        <ns0:v>480</ns0:v>
      </ns0:c>
      <ns0:c r="AH484" s="4">
        <ns0:f>IF(Z484&lt;0,A484,0)</ns0:f>
        <ns0:v>0</ns0:v>
      </ns0:c>
      <ns0:c r="AI484" s="12">
        <ns0:f>IF(AND(OR('前提と出典'!$C$36+'前提と出典'!$C$38=0,X484&gt;=0),OR('前提と出典'!$C$37+'前提と出典'!$C$38=0,Y484&gt;=0)),0,A484)</ns0:f>
        <ns0:v>0</ns0:v>
      </ns0:c>
    </ns0:row>
    <ns0:row r="485" ht="24" customHeight="1">
      <ns0:c r="A485" s="4" t="n">
        <ns0:v>481</ns0:v>
      </ns0:c>
      <ns0:c r="B485" s="12">
        <ns0:f>A485*('前提と出典'!$C$36+'前提と出典'!$C$38)</ns0:f>
        <ns0:v>336.7</ns0:v>
      </ns0:c>
      <ns0:c r="C485" s="12">
        <ns0:f>A485*('前提と出典'!$C$37+'前提と出典'!$C$38)</ns0:f>
        <ns0:v>288.59999999999997</ns0:v>
      </ns0:c>
      <ns0:c r="D485" s="16">
        <ns0:f>A485*('前提と出典'!$C$36*'契約別単価'!C5+'前提と出典'!$C$37*'契約別単価'!C6+'前提と出典'!$C$38*'契約別単価'!C7)</ns0:f>
        <ns0:v>3461.050279329609</ns0:v>
      </ns0:c>
      <ns0:c r="E485" s="16">
        <ns0:f>A485*('前提と出典'!$C$36*'契約別単価'!E5+'前提と出典'!$C$37*'契約別単価'!E6+'前提と出典'!$C$38*'契約別単価'!E7)</ns0:f>
        <ns0:v>930708.3798882681</ns0:v>
      </ns0:c>
      <ns0:c r="F485" s="16">
        <ns0:f>A485*('前提と出典'!$C$36*'契約別単価'!F5+'前提と出典'!$C$37*'契約別単価'!F6+'前提と出典'!$C$38*'契約別単価'!F7)</ns0:f>
        <ns0:v>365269.22573762666</ns0:v>
      </ns0:c>
      <ns0:c r="G485" s="16">
        <ns0:f>A485*('前提と出典'!$C$36*'契約別単価'!G5+'前提と出典'!$C$37*'契約別単価'!G6+'前提と出典'!$C$38*'契約別単価'!G7)</ns0:f>
        <ns0:v>957431.8435754189</ns0:v>
      </ns0:c>
      <ns0:c r="H485" s="16">
        <ns0:f>A485*('前提と出典'!$C$36*'契約別単価'!H5+'前提と出典'!$C$37*'契約別単価'!H6+'前提と出典'!$C$38*'契約別単価'!H7)</ns0:f>
        <ns0:v>332276.8687010471</ns0:v>
      </ns0:c>
      <ns0:c r="I485" s="16">
        <ns0:f>A485*('前提と出典'!$C$36*'契約別単価'!I5+'前提と出典'!$C$37*'契約別単価'!I6+'前提と出典'!$C$38*'契約別単価'!I7)</ns0:f>
        <ns0:v>20296.050279329607</ns0:v>
      </ns0:c>
      <ns0:c r="J485" s="16">
        <ns0:f>A485*('前提と出典'!$C$36*'契約別単価'!J5+'前提と出典'!$C$37*'契約別単価'!J6+'前提と出典'!$C$38*'契約別単価'!J7)</ns0:f>
        <ns0:v>47277.270524655534</ns0:v>
      </ns0:c>
      <ns0:c r="K485" s="16">
        <ns0:f>A485*('前提と出典'!$C$36*'契約別単価'!K5+'前提と出典'!$C$37*'契約別単価'!K6+'前提と出典'!$C$38*'契約別単価'!K7)</ns0:f>
        <ns0:v>202647.0018621974</ns0:v>
      </ns0:c>
      <ns0:c r="L485" s="16">
        <ns0:f>A485*('前提と出典'!$C$36*'契約別単価'!L5+'前提と出典'!$C$37*'契約別単価'!L6+'前提と出典'!$C$38*'契約別単価'!L7)</ns0:f>
        <ns0:v>164995.89562336824</ns0:v>
      </ns0:c>
      <ns0:c r="M485" s="16">
        <ns0:f>IF(('前提と出典'!$C$36+'前提と出典'!$C$38)=0,0,IF(B485&lt;=10,'前提と出典'!B73+'前提と出典'!C73,IF(B485&lt;=100,'前提と出典'!B74+'前提と出典'!C74,IF(B485&lt;=500,'前提と出典'!B75+'前提と出典'!C75,'前提と出典'!B76+'前提と出典'!C76))))</ns0:f>
        <ns0:v>40000</ns0:v>
      </ns0:c>
      <ns0:c r="N485" s="16">
        <ns0:f>IF(('前提と出典'!$C$37+'前提と出典'!$C$38)=0,0,IF(C485&lt;=10,'前提と出典'!D73+'前提と出典'!E73,IF(C485&lt;=100,'前提と出典'!D74+'前提と出典'!E74,IF(C485&lt;=500,'前提と出典'!D75+'前提と出典'!E75,'前提と出典'!D76+'前提と出典'!E76))))</ns0:f>
        <ns0:v>56510.9346263078</ns0:v>
      </ns0:c>
      <ns0:c r="O485" s="16">
        <ns0:f>IF('前提と出典'!$C$36+'前提と出典'!$C$38=0,0,'前提と出典'!$B$4*IF('前提と出典'!$B$20=0,MAX('前提と出典'!$B$6,D485*'前提と出典'!$B$5),'前提と出典'!$B$6+D485*'前提と出典'!$B$5))</ns0:f>
        <ns0:v>477624.9385474861</ns0:v>
      </ns0:c>
      <ns0:c r="P485" s="16">
        <ns0:f>(E485+G485)*(1-'前提と出典'!$B$7)-I485-K485-M485-O485</ns0:f>
        <ns0:v>1079599.1847299815</ns0:v>
      </ns0:c>
      <ns0:c r="Q485" s="16">
        <ns0:f>(F485+H485)*(1-'前提と出典'!$B$7)-J485-L485-N485</ns0:f>
        <ns0:v>403650.33426454995</ns0:v>
      </ns0:c>
      <ns0:c r="R485" s="16">
        <ns0:f>P485-E485*'前提と出典'!$E$4</ns0:f>
        <ns0:v>800386.6707635011</ns0:v>
      </ns0:c>
      <ns0:c r="S485" s="16">
        <ns0:f>Q485-F485*'前提と出典'!$E$4</ns0:f>
        <ns0:v>294069.56654326187</ns0:v>
      </ns0:c>
      <ns0:c r="T485" s="7">
        <ns0:f>R485+S485</ns0:f>
        <ns0:v>1094456.237306763</ns0:v>
      </ns0:c>
      <ns0:c r="U485" s="16">
        <ns0:f>P485-E485*'前提と出典'!$E$5</ns0:f>
        <ns0:v>707315.8327746742</ns0:v>
      </ns0:c>
      <ns0:c r="V485" s="16">
        <ns0:f>Q485-F485*'前提と出典'!$E$5</ns0:f>
        <ns0:v>257542.64396949927</ns0:v>
      </ns0:c>
      <ns0:c r="W485" s="7">
        <ns0:f>U485+V485</ns0:f>
        <ns0:v>964858.4767441734</ns0:v>
      </ns0:c>
      <ns0:c r="X485" s="16">
        <ns0:f>P485-E485*'前提と出典'!$E$6</ns0:f>
        <ns0:v>614244.9947858473</ns0:v>
      </ns0:c>
      <ns0:c r="Y485" s="16">
        <ns0:f>Q485-F485*'前提と出典'!$E$6</ns0:f>
        <ns0:v>221015.72139573656</ns0:v>
      </ns0:c>
      <ns0:c r="Z485" s="7">
        <ns0:f>X485+Y485</ns0:f>
        <ns0:v>835260.7161815838</ns0:v>
      </ns0:c>
      <ns0:c r="AA485" s="7">
        <ns0:f>IF(T485&gt;=0,A485,1001)</ns0:f>
        <ns0:v>481</ns0:v>
      </ns0:c>
      <ns0:c r="AB485" s="7">
        <ns0:f>IF(T485&lt;0,A485,0)</ns0:f>
        <ns0:v>0</ns0:v>
      </ns0:c>
      <ns0:c r="AC485" s="16">
        <ns0:f>IF(AND(OR('前提と出典'!$C$36+'前提と出典'!$C$38=0,R485&gt;=0),OR('前提と出典'!$C$37+'前提と出典'!$C$38=0,S485&gt;=0)),0,A485)</ns0:f>
        <ns0:v>0</ns0:v>
      </ns0:c>
      <ns0:c r="AD485" s="7">
        <ns0:f>IF(W485&gt;=0,A485,1001)</ns0:f>
        <ns0:v>481</ns0:v>
      </ns0:c>
      <ns0:c r="AE485" s="7">
        <ns0:f>IF(W485&lt;0,A485,0)</ns0:f>
        <ns0:v>0</ns0:v>
      </ns0:c>
      <ns0:c r="AF485" s="16">
        <ns0:f>IF(AND(OR('前提と出典'!$C$36+'前提と出典'!$C$38=0,U485&gt;=0),OR('前提と出典'!$C$37+'前提と出典'!$C$38=0,V485&gt;=0)),0,A485)</ns0:f>
        <ns0:v>0</ns0:v>
      </ns0:c>
      <ns0:c r="AG485" s="7">
        <ns0:f>IF(Z485&gt;=0,A485,1001)</ns0:f>
        <ns0:v>481</ns0:v>
      </ns0:c>
      <ns0:c r="AH485" s="4">
        <ns0:f>IF(Z485&lt;0,A485,0)</ns0:f>
        <ns0:v>0</ns0:v>
      </ns0:c>
      <ns0:c r="AI485" s="12">
        <ns0:f>IF(AND(OR('前提と出典'!$C$36+'前提と出典'!$C$38=0,X485&gt;=0),OR('前提と出典'!$C$37+'前提と出典'!$C$38=0,Y485&gt;=0)),0,A485)</ns0:f>
        <ns0:v>0</ns0:v>
      </ns0:c>
    </ns0:row>
    <ns0:row r="486" ht="24" customHeight="1">
      <ns0:c r="A486" s="4" t="n">
        <ns0:v>482</ns0:v>
      </ns0:c>
      <ns0:c r="B486" s="12">
        <ns0:f>A486*('前提と出典'!$C$36+'前提と出典'!$C$38)</ns0:f>
        <ns0:v>337.4</ns0:v>
      </ns0:c>
      <ns0:c r="C486" s="12">
        <ns0:f>A486*('前提と出典'!$C$37+'前提と出典'!$C$38)</ns0:f>
        <ns0:v>289.2</ns0:v>
      </ns0:c>
      <ns0:c r="D486" s="16">
        <ns0:f>A486*('前提と出典'!$C$36*'契約別単価'!C5+'前提と出典'!$C$37*'契約別単価'!C6+'前提と出典'!$C$38*'契約別単価'!C7)</ns0:f>
        <ns0:v>3468.245810055866</ns0:v>
      </ns0:c>
      <ns0:c r="E486" s="16">
        <ns0:f>A486*('前提と出典'!$C$36*'契約別単価'!E5+'前提と出典'!$C$37*'契約別単価'!E6+'前提と出典'!$C$38*'契約別単価'!E7)</ns0:f>
        <ns0:v>932643.3245450004</ns0:v>
      </ns0:c>
      <ns0:c r="F486" s="16">
        <ns0:f>A486*('前提と出典'!$C$36*'契約別単価'!F5+'前提と出典'!$C$37*'契約別単価'!F6+'前提と出典'!$C$38*'契約別単価'!F7)</ns0:f>
        <ns0:v>366028.6212173307</ns0:v>
      </ns0:c>
      <ns0:c r="G486" s="16">
        <ns0:f>A486*('前提と出典'!$C$36*'契約別単価'!G5+'前提と出典'!$C$37*'契約別単価'!G6+'前提と出典'!$C$38*'契約別単価'!G7)</ns0:f>
        <ns0:v>959422.346368715</ns0:v>
      </ns0:c>
      <ns0:c r="H486" s="16">
        <ns0:f>A486*('前提と出典'!$C$36*'契約別単価'!H5+'前提と出典'!$C$37*'契約別単価'!H6+'前提と出典'!$C$38*'契約別単価'!H7)</ns0:f>
        <ns0:v>332967.6730018809</ns0:v>
      </ns0:c>
      <ns0:c r="I486" s="16">
        <ns0:f>A486*('前提と出典'!$C$36*'契約別単価'!I5+'前提と出典'!$C$37*'契約別単価'!I6+'前提と出典'!$C$38*'契約別単価'!I7)</ns0:f>
        <ns0:v>20338.24581005586</ns0:v>
      </ns0:c>
      <ns0:c r="J486" s="16">
        <ns0:f>A486*('前提と出典'!$C$36*'契約別単価'!J5+'前提と出典'!$C$37*'契約別単価'!J6+'前提と出典'!$C$38*'契約別単価'!J7)</ns0:f>
        <ns0:v>47375.560068365834</ns0:v>
      </ns0:c>
      <ns0:c r="K486" s="16">
        <ns0:f>A486*('前提と出典'!$C$36*'契約別単価'!K5+'前提と出典'!$C$37*'契約別単価'!K6+'前提と出典'!$C$38*'契約別単価'!K7)</ns0:f>
        <ns0:v>203068.30540037242</ns0:v>
      </ns0:c>
      <ns0:c r="L486" s="16">
        <ns0:f>A486*('前提と出典'!$C$36*'契約別単価'!L5+'前提と出典'!$C$37*'契約別単価'!L6+'前提と出典'!$C$38*'契約別単価'!L7)</ns0:f>
        <ns0:v>165338.92243339602</ns0:v>
      </ns0:c>
      <ns0:c r="M486" s="16">
        <ns0:f>IF(('前提と出典'!$C$36+'前提と出典'!$C$38)=0,0,IF(B486&lt;=10,'前提と出典'!B73+'前提と出典'!C73,IF(B486&lt;=100,'前提と出典'!B74+'前提と出典'!C74,IF(B486&lt;=500,'前提と出典'!B75+'前提と出典'!C75,'前提と出典'!B76+'前提と出典'!C76))))</ns0:f>
        <ns0:v>40000</ns0:v>
      </ns0:c>
      <ns0:c r="N486" s="16">
        <ns0:f>IF(('前提と出典'!$C$37+'前提と出典'!$C$38)=0,0,IF(C486&lt;=10,'前提と出典'!D73+'前提と出典'!E73,IF(C486&lt;=100,'前提と出典'!D74+'前提と出典'!E74,IF(C486&lt;=500,'前提と出典'!D75+'前提と出典'!E75,'前提と出典'!D76+'前提と出典'!E76))))</ns0:f>
        <ns0:v>56510.9346263078</ns0:v>
      </ns0:c>
      <ns0:c r="O486" s="16">
        <ns0:f>IF('前提と出典'!$C$36+'前提と出典'!$C$38=0,0,'前提と出典'!$B$4*IF('前提と出典'!$B$20=0,MAX('前提と出典'!$B$6,D486*'前提と出典'!$B$5),'前提と出典'!$B$6+D486*'前提と出典'!$B$5))</ns0:f>
        <ns0:v>478617.9217877096</ns0:v>
      </ns0:c>
      <ns0:c r="P486" s="16">
        <ns0:f>(E486+G486)*(1-'前提と出典'!$B$7)-I486-K486-M486-O486</ns0:f>
        <ns0:v>1081926.833762684</ns0:v>
      </ns0:c>
      <ns0:c r="Q486" s="16">
        <ns0:f>(F486+H486)*(1-'前提と出典'!$B$7)-J486-L486-N486</ns0:f>
        <ns0:v>404607.01049925026</ns0:v>
      </ns0:c>
      <ns0:c r="R486" s="16">
        <ns0:f>P486-E486*'前提と出典'!$E$4</ns0:f>
        <ns0:v>802133.8363991837</ns0:v>
      </ns0:c>
      <ns0:c r="S486" s="16">
        <ns0:f>Q486-F486*'前提と出典'!$E$4</ns0:f>
        <ns0:v>294798.4241340511</ns0:v>
      </ns0:c>
      <ns0:c r="T486" s="7">
        <ns0:f>R486+S486</ns0:f>
        <ns0:v>1096932.2605332348</ns0:v>
      </ns0:c>
      <ns0:c r="U486" s="16">
        <ns0:f>P486-E486*'前提と出典'!$E$5</ns0:f>
        <ns0:v>708869.5039446837</ns0:v>
      </ns0:c>
      <ns0:c r="V486" s="16">
        <ns0:f>Q486-F486*'前提と出典'!$E$5</ns0:f>
        <ns0:v>258195.56201231794</ns0:v>
      </ns0:c>
      <ns0:c r="W486" s="7">
        <ns0:f>U486+V486</ns0:f>
        <ns0:v>967065.0659570016</ns0:v>
      </ns0:c>
      <ns0:c r="X486" s="16">
        <ns0:f>P486-E486*'前提と出典'!$E$6</ns0:f>
        <ns0:v>615605.1714901834</ns0:v>
      </ns0:c>
      <ns0:c r="Y486" s="16">
        <ns0:f>Q486-F486*'前提と出典'!$E$6</ns0:f>
        <ns0:v>221592.69989058492</ns0:v>
      </ns0:c>
      <ns0:c r="Z486" s="7">
        <ns0:f>X486+Y486</ns0:f>
        <ns0:v>837197.8713807684</ns0:v>
      </ns0:c>
      <ns0:c r="AA486" s="7">
        <ns0:f>IF(T486&gt;=0,A486,1001)</ns0:f>
        <ns0:v>482</ns0:v>
      </ns0:c>
      <ns0:c r="AB486" s="7">
        <ns0:f>IF(T486&lt;0,A486,0)</ns0:f>
        <ns0:v>0</ns0:v>
      </ns0:c>
      <ns0:c r="AC486" s="16">
        <ns0:f>IF(AND(OR('前提と出典'!$C$36+'前提と出典'!$C$38=0,R486&gt;=0),OR('前提と出典'!$C$37+'前提と出典'!$C$38=0,S486&gt;=0)),0,A486)</ns0:f>
        <ns0:v>0</ns0:v>
      </ns0:c>
      <ns0:c r="AD486" s="7">
        <ns0:f>IF(W486&gt;=0,A486,1001)</ns0:f>
        <ns0:v>482</ns0:v>
      </ns0:c>
      <ns0:c r="AE486" s="7">
        <ns0:f>IF(W486&lt;0,A486,0)</ns0:f>
        <ns0:v>0</ns0:v>
      </ns0:c>
      <ns0:c r="AF486" s="16">
        <ns0:f>IF(AND(OR('前提と出典'!$C$36+'前提と出典'!$C$38=0,U486&gt;=0),OR('前提と出典'!$C$37+'前提と出典'!$C$38=0,V486&gt;=0)),0,A486)</ns0:f>
        <ns0:v>0</ns0:v>
      </ns0:c>
      <ns0:c r="AG486" s="7">
        <ns0:f>IF(Z486&gt;=0,A486,1001)</ns0:f>
        <ns0:v>482</ns0:v>
      </ns0:c>
      <ns0:c r="AH486" s="4">
        <ns0:f>IF(Z486&lt;0,A486,0)</ns0:f>
        <ns0:v>0</ns0:v>
      </ns0:c>
      <ns0:c r="AI486" s="12">
        <ns0:f>IF(AND(OR('前提と出典'!$C$36+'前提と出典'!$C$38=0,X486&gt;=0),OR('前提と出典'!$C$37+'前提と出典'!$C$38=0,Y486&gt;=0)),0,A486)</ns0:f>
        <ns0:v>0</ns0:v>
      </ns0:c>
    </ns0:row>
    <ns0:row r="487" ht="24" customHeight="1">
      <ns0:c r="A487" s="4" t="n">
        <ns0:v>483</ns0:v>
      </ns0:c>
      <ns0:c r="B487" s="12">
        <ns0:f>A487*('前提と出典'!$C$36+'前提と出典'!$C$38)</ns0:f>
        <ns0:v>338.09999999999997</ns0:v>
      </ns0:c>
      <ns0:c r="C487" s="12">
        <ns0:f>A487*('前提と出典'!$C$37+'前提と出典'!$C$38)</ns0:f>
        <ns0:v>289.8</ns0:v>
      </ns0:c>
      <ns0:c r="D487" s="16">
        <ns0:f>A487*('前提と出典'!$C$36*'契約別単価'!C5+'前提と出典'!$C$37*'契約別単価'!C6+'前提と出典'!$C$38*'契約別単価'!C7)</ns0:f>
        <ns0:v>3475.441340782123</ns0:v>
      </ns0:c>
      <ns0:c r="E487" s="16">
        <ns0:f>A487*('前提と出典'!$C$36*'契約別単価'!E5+'前提と出典'!$C$37*'契約別単価'!E6+'前提と出典'!$C$38*'契約別単価'!E7)</ns0:f>
        <ns0:v>934578.2692017327</ns0:v>
      </ns0:c>
      <ns0:c r="F487" s="16">
        <ns0:f>A487*('前提と出典'!$C$36*'契約別単価'!F5+'前提と出典'!$C$37*'契約別単価'!F6+'前提と出典'!$C$38*'契約別単価'!F7)</ns0:f>
        <ns0:v>366788.01669703465</ns0:v>
      </ns0:c>
      <ns0:c r="G487" s="16">
        <ns0:f>A487*('前提と出典'!$C$36*'契約別単価'!G5+'前提と出典'!$C$37*'契約別単価'!G6+'前提と出典'!$C$38*'契約別単価'!G7)</ns0:f>
        <ns0:v>961412.8491620112</ns0:v>
      </ns0:c>
      <ns0:c r="H487" s="16">
        <ns0:f>A487*('前提と出典'!$C$36*'契約別単価'!H5+'前提と出典'!$C$37*'契約別単価'!H6+'前提と出典'!$C$38*'契約別単価'!H7)</ns0:f>
        <ns0:v>333658.4773027146</ns0:v>
      </ns0:c>
      <ns0:c r="I487" s="16">
        <ns0:f>A487*('前提と出典'!$C$36*'契約別単価'!I5+'前提と出典'!$C$37*'契約別単価'!I6+'前提と出典'!$C$38*'契約別単価'!I7)</ns0:f>
        <ns0:v>20380.44134078212</ns0:v>
      </ns0:c>
      <ns0:c r="J487" s="16">
        <ns0:f>A487*('前提と出典'!$C$36*'契約別単価'!J5+'前提と出典'!$C$37*'契約別単価'!J6+'前提と出典'!$C$38*'契約別単価'!J7)</ns0:f>
        <ns0:v>47473.84961207614</ns0:v>
      </ns0:c>
      <ns0:c r="K487" s="16">
        <ns0:f>A487*('前提と出典'!$C$36*'契約別単価'!K5+'前提と出典'!$C$37*'契約別単価'!K6+'前提と出典'!$C$38*'契約別単価'!K7)</ns0:f>
        <ns0:v>203489.60893854746</ns0:v>
      </ns0:c>
      <ns0:c r="L487" s="16">
        <ns0:f>A487*('前提と出典'!$C$36*'契約別単価'!L5+'前提と出典'!$C$37*'契約別単価'!L6+'前提と出典'!$C$38*'契約別単価'!L7)</ns0:f>
        <ns0:v>165681.94924342382</ns0:v>
      </ns0:c>
      <ns0:c r="M487" s="16">
        <ns0:f>IF(('前提と出典'!$C$36+'前提と出典'!$C$38)=0,0,IF(B487&lt;=10,'前提と出典'!B73+'前提と出典'!C73,IF(B487&lt;=100,'前提と出典'!B74+'前提と出典'!C74,IF(B487&lt;=500,'前提と出典'!B75+'前提と出典'!C75,'前提と出典'!B76+'前提と出典'!C76))))</ns0:f>
        <ns0:v>40000</ns0:v>
      </ns0:c>
      <ns0:c r="N487" s="16">
        <ns0:f>IF(('前提と出典'!$C$37+'前提と出典'!$C$38)=0,0,IF(C487&lt;=10,'前提と出典'!D73+'前提と出典'!E73,IF(C487&lt;=100,'前提と出典'!D74+'前提と出典'!E74,IF(C487&lt;=500,'前提と出典'!D75+'前提と出典'!E75,'前提と出典'!D76+'前提と出典'!E76))))</ns0:f>
        <ns0:v>56510.9346263078</ns0:v>
      </ns0:c>
      <ns0:c r="O487" s="16">
        <ns0:f>IF('前提と出典'!$C$36+'前提と出典'!$C$38=0,0,'前提と出典'!$B$4*IF('前提と出典'!$B$20=0,MAX('前提と出典'!$B$6,D487*'前提と出典'!$B$5),'前提と出典'!$B$6+D487*'前提と出典'!$B$5))</ns0:f>
        <ns0:v>479610.90502793295</ns0:v>
      </ns0:c>
      <ns0:c r="P487" s="16">
        <ns0:f>(E487+G487)*(1-'前提と出典'!$B$7)-I487-K487-M487-O487</ns0:f>
        <ns0:v>1084254.482795386</ns0:v>
      </ns0:c>
      <ns0:c r="Q487" s="16">
        <ns0:f>(F487+H487)*(1-'前提と出典'!$B$7)-J487-L487-N487</ns0:f>
        <ns0:v>405563.6867339505</ns0:v>
      </ns0:c>
      <ns0:c r="R487" s="16">
        <ns0:f>P487-E487*'前提と出典'!$E$4</ns0:f>
        <ns0:v>803881.0020348665</ns0:v>
      </ns0:c>
      <ns0:c r="S487" s="16">
        <ns0:f>Q487-F487*'前提と出典'!$E$4</ns0:f>
        <ns0:v>295527.28172484017</ns0:v>
      </ns0:c>
      <ns0:c r="T487" s="7">
        <ns0:f>R487+S487</ns0:f>
        <ns0:v>1099408.2837597067</ns0:v>
      </ns0:c>
      <ns0:c r="U487" s="16">
        <ns0:f>P487-E487*'前提と出典'!$E$5</ns0:f>
        <ns0:v>710423.1751146931</ns0:v>
      </ns0:c>
      <ns0:c r="V487" s="16">
        <ns0:f>Q487-F487*'前提と出典'!$E$5</ns0:f>
        <ns0:v>258848.4800551366</ns0:v>
      </ns0:c>
      <ns0:c r="W487" s="7">
        <ns0:f>U487+V487</ns0:f>
        <ns0:v>969271.6551698297</ns0:v>
      </ns0:c>
      <ns0:c r="X487" s="16">
        <ns0:f>P487-E487*'前提と出典'!$E$6</ns0:f>
        <ns0:v>616965.34819452</ns0:v>
      </ns0:c>
      <ns0:c r="Y487" s="16">
        <ns0:f>Q487-F487*'前提と出典'!$E$6</ns0:f>
        <ns0:v>222169.6783854331</ns0:v>
      </ns0:c>
      <ns0:c r="Z487" s="7">
        <ns0:f>X487+Y487</ns0:f>
        <ns0:v>839135.026579953</ns0:v>
      </ns0:c>
      <ns0:c r="AA487" s="7">
        <ns0:f>IF(T487&gt;=0,A487,1001)</ns0:f>
        <ns0:v>483</ns0:v>
      </ns0:c>
      <ns0:c r="AB487" s="7">
        <ns0:f>IF(T487&lt;0,A487,0)</ns0:f>
        <ns0:v>0</ns0:v>
      </ns0:c>
      <ns0:c r="AC487" s="16">
        <ns0:f>IF(AND(OR('前提と出典'!$C$36+'前提と出典'!$C$38=0,R487&gt;=0),OR('前提と出典'!$C$37+'前提と出典'!$C$38=0,S487&gt;=0)),0,A487)</ns0:f>
        <ns0:v>0</ns0:v>
      </ns0:c>
      <ns0:c r="AD487" s="7">
        <ns0:f>IF(W487&gt;=0,A487,1001)</ns0:f>
        <ns0:v>483</ns0:v>
      </ns0:c>
      <ns0:c r="AE487" s="7">
        <ns0:f>IF(W487&lt;0,A487,0)</ns0:f>
        <ns0:v>0</ns0:v>
      </ns0:c>
      <ns0:c r="AF487" s="16">
        <ns0:f>IF(AND(OR('前提と出典'!$C$36+'前提と出典'!$C$38=0,U487&gt;=0),OR('前提と出典'!$C$37+'前提と出典'!$C$38=0,V487&gt;=0)),0,A487)</ns0:f>
        <ns0:v>0</ns0:v>
      </ns0:c>
      <ns0:c r="AG487" s="7">
        <ns0:f>IF(Z487&gt;=0,A487,1001)</ns0:f>
        <ns0:v>483</ns0:v>
      </ns0:c>
      <ns0:c r="AH487" s="4">
        <ns0:f>IF(Z487&lt;0,A487,0)</ns0:f>
        <ns0:v>0</ns0:v>
      </ns0:c>
      <ns0:c r="AI487" s="12">
        <ns0:f>IF(AND(OR('前提と出典'!$C$36+'前提と出典'!$C$38=0,X487&gt;=0),OR('前提と出典'!$C$37+'前提と出典'!$C$38=0,Y487&gt;=0)),0,A487)</ns0:f>
        <ns0:v>0</ns0:v>
      </ns0:c>
    </ns0:row>
    <ns0:row r="488" ht="24" customHeight="1">
      <ns0:c r="A488" s="4" t="n">
        <ns0:v>484</ns0:v>
      </ns0:c>
      <ns0:c r="B488" s="12">
        <ns0:f>A488*('前提と出典'!$C$36+'前提と出典'!$C$38)</ns0:f>
        <ns0:v>338.79999999999995</ns0:v>
      </ns0:c>
      <ns0:c r="C488" s="12">
        <ns0:f>A488*('前提と出典'!$C$37+'前提と出典'!$C$38)</ns0:f>
        <ns0:v>290.4</ns0:v>
      </ns0:c>
      <ns0:c r="D488" s="16">
        <ns0:f>A488*('前提と出典'!$C$36*'契約別単価'!C5+'前提と出典'!$C$37*'契約別単価'!C6+'前提と出典'!$C$38*'契約別単価'!C7)</ns0:f>
        <ns0:v>3482.63687150838</ns0:v>
      </ns0:c>
      <ns0:c r="E488" s="16">
        <ns0:f>A488*('前提と出典'!$C$36*'契約別単価'!E5+'前提と出典'!$C$37*'契約別単価'!E6+'前提と出典'!$C$38*'契約別単価'!E7)</ns0:f>
        <ns0:v>936513.2138584651</ns0:v>
      </ns0:c>
      <ns0:c r="F488" s="16">
        <ns0:f>A488*('前提と出典'!$C$36*'契約別単価'!F5+'前提と出典'!$C$37*'契約別単価'!F6+'前提と出典'!$C$38*'契約別単価'!F7)</ns0:f>
        <ns0:v>367547.41217673867</ns0:v>
      </ns0:c>
      <ns0:c r="G488" s="16">
        <ns0:f>A488*('前提と出典'!$C$36*'契約別単価'!G5+'前提と出典'!$C$37*'契約別単価'!G6+'前提と出典'!$C$38*'契約別単価'!G7)</ns0:f>
        <ns0:v>963403.3519553072</ns0:v>
      </ns0:c>
      <ns0:c r="H488" s="16">
        <ns0:f>A488*('前提と出典'!$C$36*'契約別単価'!H5+'前提と出典'!$C$37*'契約別単価'!H6+'前提と出典'!$C$38*'契約別単価'!H7)</ns0:f>
        <ns0:v>334349.2816035484</ns0:v>
      </ns0:c>
      <ns0:c r="I488" s="16">
        <ns0:f>A488*('前提と出典'!$C$36*'契約別単価'!I5+'前提と出典'!$C$37*'契約別単価'!I6+'前提と出典'!$C$38*'契約別単価'!I7)</ns0:f>
        <ns0:v>20422.636871508377</ns0:v>
      </ns0:c>
      <ns0:c r="J488" s="16">
        <ns0:f>A488*('前提と出典'!$C$36*'契約別単価'!J5+'前提と出典'!$C$37*'契約別単価'!J6+'前提と出典'!$C$38*'契約別単価'!J7)</ns0:f>
        <ns0:v>47572.13915578644</ns0:v>
      </ns0:c>
      <ns0:c r="K488" s="16">
        <ns0:f>A488*('前提と出典'!$C$36*'契約別単価'!K5+'前提と出典'!$C$37*'契約別単価'!K6+'前提と出典'!$C$38*'契約別単価'!K7)</ns0:f>
        <ns0:v>203910.91247672253</ns0:v>
      </ns0:c>
      <ns0:c r="L488" s="16">
        <ns0:f>A488*('前提と出典'!$C$36*'契約別単価'!L5+'前提と出典'!$C$37*'契約別単価'!L6+'前提と出典'!$C$38*'契約別単価'!L7)</ns0:f>
        <ns0:v>166024.9760534516</ns0:v>
      </ns0:c>
      <ns0:c r="M488" s="16">
        <ns0:f>IF(('前提と出典'!$C$36+'前提と出典'!$C$38)=0,0,IF(B488&lt;=10,'前提と出典'!B73+'前提と出典'!C73,IF(B488&lt;=100,'前提と出典'!B74+'前提と出典'!C74,IF(B488&lt;=500,'前提と出典'!B75+'前提と出典'!C75,'前提と出典'!B76+'前提と出典'!C76))))</ns0:f>
        <ns0:v>40000</ns0:v>
      </ns0:c>
      <ns0:c r="N488" s="16">
        <ns0:f>IF(('前提と出典'!$C$37+'前提と出典'!$C$38)=0,0,IF(C488&lt;=10,'前提と出典'!D73+'前提と出典'!E73,IF(C488&lt;=100,'前提と出典'!D74+'前提と出典'!E74,IF(C488&lt;=500,'前提と出典'!D75+'前提と出典'!E75,'前提と出典'!D76+'前提と出典'!E76))))</ns0:f>
        <ns0:v>56510.9346263078</ns0:v>
      </ns0:c>
      <ns0:c r="O488" s="16">
        <ns0:f>IF('前提と出典'!$C$36+'前提と出典'!$C$38=0,0,'前提と出典'!$B$4*IF('前提と出典'!$B$20=0,MAX('前提と出典'!$B$6,D488*'前提と出典'!$B$5),'前提と出典'!$B$6+D488*'前提と出典'!$B$5))</ns0:f>
        <ns0:v>480603.88826815644</ns0:v>
      </ns0:c>
      <ns0:c r="P488" s="16">
        <ns0:f>(E488+G488)*(1-'前提と出典'!$B$7)-I488-K488-M488-O488</ns0:f>
        <ns0:v>1086582.1318280892</ns0:v>
      </ns0:c>
      <ns0:c r="Q488" s="16">
        <ns0:f>(F488+H488)*(1-'前提と出典'!$B$7)-J488-L488-N488</ns0:f>
        <ns0:v>406520.3629686509</ns0:v>
      </ns0:c>
      <ns0:c r="R488" s="16">
        <ns0:f>P488-E488*'前提と出典'!$E$4</ns0:f>
        <ns0:v>805628.1676705498</ns0:v>
      </ns0:c>
      <ns0:c r="S488" s="16">
        <ns0:f>Q488-F488*'前提と出典'!$E$4</ns0:f>
        <ns0:v>296256.13931562926</ns0:v>
      </ns0:c>
      <ns0:c r="T488" s="7">
        <ns0:f>R488+S488</ns0:f>
        <ns0:v>1101884.3069861792</ns0:v>
      </ns0:c>
      <ns0:c r="U488" s="16">
        <ns0:f>P488-E488*'前提と出典'!$E$5</ns0:f>
        <ns0:v>711976.8462847031</ns0:v>
      </ns0:c>
      <ns0:c r="V488" s="16">
        <ns0:f>Q488-F488*'前提と出典'!$E$5</ns0:f>
        <ns0:v>259501.3980979554</ns0:v>
      </ns0:c>
      <ns0:c r="W488" s="7">
        <ns0:f>U488+V488</ns0:f>
        <ns0:v>971478.2443826585</ns0:v>
      </ns0:c>
      <ns0:c r="X488" s="16">
        <ns0:f>P488-E488*'前提と出典'!$E$6</ns0:f>
        <ns0:v>618325.5248988566</ns0:v>
      </ns0:c>
      <ns0:c r="Y488" s="16">
        <ns0:f>Q488-F488*'前提と出典'!$E$6</ns0:f>
        <ns0:v>222746.65688028152</ns0:v>
      </ns0:c>
      <ns0:c r="Z488" s="7">
        <ns0:f>X488+Y488</ns0:f>
        <ns0:v>841072.1817791382</ns0:v>
      </ns0:c>
      <ns0:c r="AA488" s="7">
        <ns0:f>IF(T488&gt;=0,A488,1001)</ns0:f>
        <ns0:v>484</ns0:v>
      </ns0:c>
      <ns0:c r="AB488" s="7">
        <ns0:f>IF(T488&lt;0,A488,0)</ns0:f>
        <ns0:v>0</ns0:v>
      </ns0:c>
      <ns0:c r="AC488" s="16">
        <ns0:f>IF(AND(OR('前提と出典'!$C$36+'前提と出典'!$C$38=0,R488&gt;=0),OR('前提と出典'!$C$37+'前提と出典'!$C$38=0,S488&gt;=0)),0,A488)</ns0:f>
        <ns0:v>0</ns0:v>
      </ns0:c>
      <ns0:c r="AD488" s="7">
        <ns0:f>IF(W488&gt;=0,A488,1001)</ns0:f>
        <ns0:v>484</ns0:v>
      </ns0:c>
      <ns0:c r="AE488" s="7">
        <ns0:f>IF(W488&lt;0,A488,0)</ns0:f>
        <ns0:v>0</ns0:v>
      </ns0:c>
      <ns0:c r="AF488" s="16">
        <ns0:f>IF(AND(OR('前提と出典'!$C$36+'前提と出典'!$C$38=0,U488&gt;=0),OR('前提と出典'!$C$37+'前提と出典'!$C$38=0,V488&gt;=0)),0,A488)</ns0:f>
        <ns0:v>0</ns0:v>
      </ns0:c>
      <ns0:c r="AG488" s="7">
        <ns0:f>IF(Z488&gt;=0,A488,1001)</ns0:f>
        <ns0:v>484</ns0:v>
      </ns0:c>
      <ns0:c r="AH488" s="4">
        <ns0:f>IF(Z488&lt;0,A488,0)</ns0:f>
        <ns0:v>0</ns0:v>
      </ns0:c>
      <ns0:c r="AI488" s="12">
        <ns0:f>IF(AND(OR('前提と出典'!$C$36+'前提と出典'!$C$38=0,X488&gt;=0),OR('前提と出典'!$C$37+'前提と出典'!$C$38=0,Y488&gt;=0)),0,A488)</ns0:f>
        <ns0:v>0</ns0:v>
      </ns0:c>
    </ns0:row>
    <ns0:row r="489" ht="24" customHeight="1">
      <ns0:c r="A489" s="4" t="n">
        <ns0:v>485</ns0:v>
      </ns0:c>
      <ns0:c r="B489" s="12">
        <ns0:f>A489*('前提と出典'!$C$36+'前提と出典'!$C$38)</ns0:f>
        <ns0:v>339.5</ns0:v>
      </ns0:c>
      <ns0:c r="C489" s="12">
        <ns0:f>A489*('前提と出典'!$C$37+'前提と出典'!$C$38)</ns0:f>
        <ns0:v>291</ns0:v>
      </ns0:c>
      <ns0:c r="D489" s="16">
        <ns0:f>A489*('前提と出典'!$C$36*'契約別単価'!C5+'前提と出典'!$C$37*'契約別単価'!C6+'前提と出典'!$C$38*'契約別単価'!C7)</ns0:f>
        <ns0:v>3489.832402234637</ns0:v>
      </ns0:c>
      <ns0:c r="E489" s="16">
        <ns0:f>A489*('前提と出典'!$C$36*'契約別単価'!E5+'前提と出典'!$C$37*'契約別単価'!E6+'前提と出典'!$C$38*'契約別単価'!E7)</ns0:f>
        <ns0:v>938448.1585151975</ns0:v>
      </ns0:c>
      <ns0:c r="F489" s="16">
        <ns0:f>A489*('前提と出典'!$C$36*'契約別単価'!F5+'前提と出典'!$C$37*'契約別単価'!F6+'前提と出典'!$C$38*'契約別単価'!F7)</ns0:f>
        <ns0:v>368306.8076564427</ns0:v>
      </ns0:c>
      <ns0:c r="G489" s="16">
        <ns0:f>A489*('前提と出典'!$C$36*'契約別単価'!G5+'前提と出典'!$C$37*'契約別単価'!G6+'前提と出典'!$C$38*'契約別単価'!G7)</ns0:f>
        <ns0:v>965393.8547486033</ns0:v>
      </ns0:c>
      <ns0:c r="H489" s="16">
        <ns0:f>A489*('前提と出典'!$C$36*'契約別単価'!H5+'前提と出典'!$C$37*'契約別単価'!H6+'前提と出典'!$C$38*'契約別単価'!H7)</ns0:f>
        <ns0:v>335040.08590438217</ns0:v>
      </ns0:c>
      <ns0:c r="I489" s="16">
        <ns0:f>A489*('前提と出典'!$C$36*'契約別単価'!I5+'前提と出典'!$C$37*'契約別単価'!I6+'前提と出典'!$C$38*'契約別単価'!I7)</ns0:f>
        <ns0:v>20464.832402234635</ns0:v>
      </ns0:c>
      <ns0:c r="J489" s="16">
        <ns0:f>A489*('前提と出典'!$C$36*'契約別単価'!J5+'前提と出典'!$C$37*'契約別単価'!J6+'前提と出典'!$C$38*'契約別単価'!J7)</ns0:f>
        <ns0:v>47670.42869949675</ns0:v>
      </ns0:c>
      <ns0:c r="K489" s="16">
        <ns0:f>A489*('前提と出典'!$C$36*'契約別単価'!K5+'前提と出典'!$C$37*'契約別単価'!K6+'前提と出典'!$C$38*'契約別単価'!K7)</ns0:f>
        <ns0:v>204332.21601489757</ns0:v>
      </ns0:c>
      <ns0:c r="L489" s="16">
        <ns0:f>A489*('前提と出典'!$C$36*'契約別単価'!L5+'前提と出典'!$C$37*'契約別単価'!L6+'前提と出典'!$C$38*'契約別単価'!L7)</ns0:f>
        <ns0:v>166368.0028634794</ns0:v>
      </ns0:c>
      <ns0:c r="M489" s="16">
        <ns0:f>IF(('前提と出典'!$C$36+'前提と出典'!$C$38)=0,0,IF(B489&lt;=10,'前提と出典'!B73+'前提と出典'!C73,IF(B489&lt;=100,'前提と出典'!B74+'前提と出典'!C74,IF(B489&lt;=500,'前提と出典'!B75+'前提と出典'!C75,'前提と出典'!B76+'前提と出典'!C76))))</ns0:f>
        <ns0:v>40000</ns0:v>
      </ns0:c>
      <ns0:c r="N489" s="16">
        <ns0:f>IF(('前提と出典'!$C$37+'前提と出典'!$C$38)=0,0,IF(C489&lt;=10,'前提と出典'!D73+'前提と出典'!E73,IF(C489&lt;=100,'前提と出典'!D74+'前提と出典'!E74,IF(C489&lt;=500,'前提と出典'!D75+'前提と出典'!E75,'前提と出典'!D76+'前提と出典'!E76))))</ns0:f>
        <ns0:v>56510.9346263078</ns0:v>
      </ns0:c>
      <ns0:c r="O489" s="16">
        <ns0:f>IF('前提と出典'!$C$36+'前提と出典'!$C$38=0,0,'前提と出典'!$B$4*IF('前提と出典'!$B$20=0,MAX('前提と出典'!$B$6,D489*'前提と出典'!$B$5),'前提と出典'!$B$6+D489*'前提と出典'!$B$5))</ns0:f>
        <ns0:v>481596.87150837993</ns0:v>
      </ns0:c>
      <ns0:c r="P489" s="16">
        <ns0:f>(E489+G489)*(1-'前提と出典'!$B$7)-I489-K489-M489-O489</ns0:f>
        <ns0:v>1088909.7808607917</ns0:v>
      </ns0:c>
      <ns0:c r="Q489" s="16">
        <ns0:f>(F489+H489)*(1-'前提と出典'!$B$7)-J489-L489-N489</ns0:f>
        <ns0:v>407477.03920335136</ns0:v>
      </ns0:c>
      <ns0:c r="R489" s="16">
        <ns0:f>P489-E489*'前提と出典'!$E$4</ns0:f>
        <ns0:v>807375.3333062325</ns0:v>
      </ns0:c>
      <ns0:c r="S489" s="16">
        <ns0:f>Q489-F489*'前提と出典'!$E$4</ns0:f>
        <ns0:v>296984.9969064186</ns0:v>
      </ns0:c>
      <ns0:c r="T489" s="7">
        <ns0:f>R489+S489</ns0:f>
        <ns0:v>1104360.330212651</ns0:v>
      </ns0:c>
      <ns0:c r="U489" s="16">
        <ns0:f>P489-E489*'前提と出典'!$E$5</ns0:f>
        <ns0:v>713530.5174547127</ns0:v>
      </ns0:c>
      <ns0:c r="V489" s="16">
        <ns0:f>Q489-F489*'前提と出典'!$E$5</ns0:f>
        <ns0:v>260154.3161407743</ns0:v>
      </ns0:c>
      <ns0:c r="W489" s="7">
        <ns0:f>U489+V489</ns0:f>
        <ns0:v>973684.8335954869</ns0:v>
      </ns0:c>
      <ns0:c r="X489" s="16">
        <ns0:f>P489-E489*'前提と出典'!$E$6</ns0:f>
        <ns0:v>619685.7016031928</ns0:v>
      </ns0:c>
      <ns0:c r="Y489" s="16">
        <ns0:f>Q489-F489*'前提と出典'!$E$6</ns0:f>
        <ns0:v>223323.63537512987</ns0:v>
      </ns0:c>
      <ns0:c r="Z489" s="7">
        <ns0:f>X489+Y489</ns0:f>
        <ns0:v>843009.3369783227</ns0:v>
      </ns0:c>
      <ns0:c r="AA489" s="7">
        <ns0:f>IF(T489&gt;=0,A489,1001)</ns0:f>
        <ns0:v>485</ns0:v>
      </ns0:c>
      <ns0:c r="AB489" s="7">
        <ns0:f>IF(T489&lt;0,A489,0)</ns0:f>
        <ns0:v>0</ns0:v>
      </ns0:c>
      <ns0:c r="AC489" s="16">
        <ns0:f>IF(AND(OR('前提と出典'!$C$36+'前提と出典'!$C$38=0,R489&gt;=0),OR('前提と出典'!$C$37+'前提と出典'!$C$38=0,S489&gt;=0)),0,A489)</ns0:f>
        <ns0:v>0</ns0:v>
      </ns0:c>
      <ns0:c r="AD489" s="7">
        <ns0:f>IF(W489&gt;=0,A489,1001)</ns0:f>
        <ns0:v>485</ns0:v>
      </ns0:c>
      <ns0:c r="AE489" s="7">
        <ns0:f>IF(W489&lt;0,A489,0)</ns0:f>
        <ns0:v>0</ns0:v>
      </ns0:c>
      <ns0:c r="AF489" s="16">
        <ns0:f>IF(AND(OR('前提と出典'!$C$36+'前提と出典'!$C$38=0,U489&gt;=0),OR('前提と出典'!$C$37+'前提と出典'!$C$38=0,V489&gt;=0)),0,A489)</ns0:f>
        <ns0:v>0</ns0:v>
      </ns0:c>
      <ns0:c r="AG489" s="7">
        <ns0:f>IF(Z489&gt;=0,A489,1001)</ns0:f>
        <ns0:v>485</ns0:v>
      </ns0:c>
      <ns0:c r="AH489" s="4">
        <ns0:f>IF(Z489&lt;0,A489,0)</ns0:f>
        <ns0:v>0</ns0:v>
      </ns0:c>
      <ns0:c r="AI489" s="12">
        <ns0:f>IF(AND(OR('前提と出典'!$C$36+'前提と出典'!$C$38=0,X489&gt;=0),OR('前提と出典'!$C$37+'前提と出典'!$C$38=0,Y489&gt;=0)),0,A489)</ns0:f>
        <ns0:v>0</ns0:v>
      </ns0:c>
    </ns0:row>
    <ns0:row r="490" ht="24" customHeight="1">
      <ns0:c r="A490" s="4" t="n">
        <ns0:v>486</ns0:v>
      </ns0:c>
      <ns0:c r="B490" s="12">
        <ns0:f>A490*('前提と出典'!$C$36+'前提と出典'!$C$38)</ns0:f>
        <ns0:v>340.2</ns0:v>
      </ns0:c>
      <ns0:c r="C490" s="12">
        <ns0:f>A490*('前提と出典'!$C$37+'前提と出典'!$C$38)</ns0:f>
        <ns0:v>291.59999999999997</ns0:v>
      </ns0:c>
      <ns0:c r="D490" s="16">
        <ns0:f>A490*('前提と出典'!$C$36*'契約別単価'!C5+'前提と出典'!$C$37*'契約別単価'!C6+'前提と出典'!$C$38*'契約別単価'!C7)</ns0:f>
        <ns0:v>3497.027932960894</ns0:v>
      </ns0:c>
      <ns0:c r="E490" s="16">
        <ns0:f>A490*('前提と出典'!$C$36*'契約別単価'!E5+'前提と出典'!$C$37*'契約別単価'!E6+'前提と出典'!$C$38*'契約別単価'!E7)</ns0:f>
        <ns0:v>940383.1031719298</ns0:v>
      </ns0:c>
      <ns0:c r="F490" s="16">
        <ns0:f>A490*('前提と出典'!$C$36*'契約別単価'!F5+'前提と出典'!$C$37*'契約別単価'!F6+'前提と出典'!$C$38*'契約別単価'!F7)</ns0:f>
        <ns0:v>369066.2031361467</ns0:v>
      </ns0:c>
      <ns0:c r="G490" s="16">
        <ns0:f>A490*('前提と出典'!$C$36*'契約別単価'!G5+'前提と出典'!$C$37*'契約別単価'!G6+'前提と出典'!$C$38*'契約別単価'!G7)</ns0:f>
        <ns0:v>967384.3575418994</ns0:v>
      </ns0:c>
      <ns0:c r="H490" s="16">
        <ns0:f>A490*('前提と出典'!$C$36*'契約別単価'!H5+'前提と出典'!$C$37*'契約別単価'!H6+'前提と出典'!$C$38*'契約別単価'!H7)</ns0:f>
        <ns0:v>335730.89020521595</ns0:v>
      </ns0:c>
      <ns0:c r="I490" s="16">
        <ns0:f>A490*('前提と出典'!$C$36*'契約別単価'!I5+'前提と出典'!$C$37*'契約別単価'!I6+'前提と出典'!$C$38*'契約別単価'!I7)</ns0:f>
        <ns0:v>20507.02793296089</ns0:v>
      </ns0:c>
      <ns0:c r="J490" s="16">
        <ns0:f>A490*('前提と出典'!$C$36*'契約別単価'!J5+'前提と出典'!$C$37*'契約別単価'!J6+'前提と出典'!$C$38*'契約別単価'!J7)</ns0:f>
        <ns0:v>47768.71824320705</ns0:v>
      </ns0:c>
      <ns0:c r="K490" s="16">
        <ns0:f>A490*('前提と出典'!$C$36*'契約別単価'!K5+'前提と出典'!$C$37*'契約別単価'!K6+'前提と出典'!$C$38*'契約別単価'!K7)</ns0:f>
        <ns0:v>204753.5195530726</ns0:v>
      </ns0:c>
      <ns0:c r="L490" s="16">
        <ns0:f>A490*('前提と出典'!$C$36*'契約別単価'!L5+'前提と出典'!$C$37*'契約別単価'!L6+'前提と出典'!$C$38*'契約別単価'!L7)</ns0:f>
        <ns0:v>166711.0296735072</ns0:v>
      </ns0:c>
      <ns0:c r="M490" s="16">
        <ns0:f>IF(('前提と出典'!$C$36+'前提と出典'!$C$38)=0,0,IF(B490&lt;=10,'前提と出典'!B73+'前提と出典'!C73,IF(B490&lt;=100,'前提と出典'!B74+'前提と出典'!C74,IF(B490&lt;=500,'前提と出典'!B75+'前提と出典'!C75,'前提と出典'!B76+'前提と出典'!C76))))</ns0:f>
        <ns0:v>40000</ns0:v>
      </ns0:c>
      <ns0:c r="N490" s="16">
        <ns0:f>IF(('前提と出典'!$C$37+'前提と出典'!$C$38)=0,0,IF(C490&lt;=10,'前提と出典'!D73+'前提と出典'!E73,IF(C490&lt;=100,'前提と出典'!D74+'前提と出典'!E74,IF(C490&lt;=500,'前提と出典'!D75+'前提と出典'!E75,'前提と出典'!D76+'前提と出典'!E76))))</ns0:f>
        <ns0:v>56510.9346263078</ns0:v>
      </ns0:c>
      <ns0:c r="O490" s="16">
        <ns0:f>IF('前提と出典'!$C$36+'前提と出典'!$C$38=0,0,'前提と出典'!$B$4*IF('前提と出典'!$B$20=0,MAX('前提と出典'!$B$6,D490*'前提と出典'!$B$5),'前提と出典'!$B$6+D490*'前提と出典'!$B$5))</ns0:f>
        <ns0:v>482589.8547486034</ns0:v>
      </ns0:c>
      <ns0:c r="P490" s="16">
        <ns0:f>(E490+G490)*(1-'前提と出典'!$B$7)-I490-K490-M490-O490</ns0:f>
        <ns0:v>1091237.4298934946</ns0:v>
      </ns0:c>
      <ns0:c r="Q490" s="16">
        <ns0:f>(F490+H490)*(1-'前提と出典'!$B$7)-J490-L490-N490</ns0:f>
        <ns0:v>408433.7154380516</ns0:v>
      </ns0:c>
      <ns0:c r="R490" s="16">
        <ns0:f>P490-E490*'前提と出典'!$E$4</ns0:f>
        <ns0:v>809122.4989419158</ns0:v>
      </ns0:c>
      <ns0:c r="S490" s="16">
        <ns0:f>Q490-F490*'前提と出典'!$E$4</ns0:f>
        <ns0:v>297713.8544972075</ns0:v>
      </ns0:c>
      <ns0:c r="T490" s="7">
        <ns0:f>R490+S490</ns0:f>
        <ns0:v>1106836.3534391234</ns0:v>
      </ns0:c>
      <ns0:c r="U490" s="16">
        <ns0:f>P490-E490*'前提と出典'!$E$5</ns0:f>
        <ns0:v>715084.1886247227</ns0:v>
      </ns0:c>
      <ns0:c r="V490" s="16">
        <ns0:f>Q490-F490*'前提と出典'!$E$5</ns0:f>
        <ns0:v>260807.2341835929</ns0:v>
      </ns0:c>
      <ns0:c r="W490" s="7">
        <ns0:f>U490+V490</ns0:f>
        <ns0:v>975891.4228083156</ns0:v>
      </ns0:c>
      <ns0:c r="X490" s="16">
        <ns0:f>P490-E490*'前提と出典'!$E$6</ns0:f>
        <ns0:v>621045.87830753</ns0:v>
      </ns0:c>
      <ns0:c r="Y490" s="16">
        <ns0:f>Q490-F490*'前提と出典'!$E$6</ns0:f>
        <ns0:v>223900.61386997817</ns0:v>
      </ns0:c>
      <ns0:c r="Z490" s="7">
        <ns0:f>X490+Y490</ns0:f>
        <ns0:v>844946.4921775081</ns0:v>
      </ns0:c>
      <ns0:c r="AA490" s="7">
        <ns0:f>IF(T490&gt;=0,A490,1001)</ns0:f>
        <ns0:v>486</ns0:v>
      </ns0:c>
      <ns0:c r="AB490" s="7">
        <ns0:f>IF(T490&lt;0,A490,0)</ns0:f>
        <ns0:v>0</ns0:v>
      </ns0:c>
      <ns0:c r="AC490" s="16">
        <ns0:f>IF(AND(OR('前提と出典'!$C$36+'前提と出典'!$C$38=0,R490&gt;=0),OR('前提と出典'!$C$37+'前提と出典'!$C$38=0,S490&gt;=0)),0,A490)</ns0:f>
        <ns0:v>0</ns0:v>
      </ns0:c>
      <ns0:c r="AD490" s="7">
        <ns0:f>IF(W490&gt;=0,A490,1001)</ns0:f>
        <ns0:v>486</ns0:v>
      </ns0:c>
      <ns0:c r="AE490" s="7">
        <ns0:f>IF(W490&lt;0,A490,0)</ns0:f>
        <ns0:v>0</ns0:v>
      </ns0:c>
      <ns0:c r="AF490" s="16">
        <ns0:f>IF(AND(OR('前提と出典'!$C$36+'前提と出典'!$C$38=0,U490&gt;=0),OR('前提と出典'!$C$37+'前提と出典'!$C$38=0,V490&gt;=0)),0,A490)</ns0:f>
        <ns0:v>0</ns0:v>
      </ns0:c>
      <ns0:c r="AG490" s="7">
        <ns0:f>IF(Z490&gt;=0,A490,1001)</ns0:f>
        <ns0:v>486</ns0:v>
      </ns0:c>
      <ns0:c r="AH490" s="4">
        <ns0:f>IF(Z490&lt;0,A490,0)</ns0:f>
        <ns0:v>0</ns0:v>
      </ns0:c>
      <ns0:c r="AI490" s="12">
        <ns0:f>IF(AND(OR('前提と出典'!$C$36+'前提と出典'!$C$38=0,X490&gt;=0),OR('前提と出典'!$C$37+'前提と出典'!$C$38=0,Y490&gt;=0)),0,A490)</ns0:f>
        <ns0:v>0</ns0:v>
      </ns0:c>
    </ns0:row>
    <ns0:row r="491" ht="24" customHeight="1">
      <ns0:c r="A491" s="4" t="n">
        <ns0:v>487</ns0:v>
      </ns0:c>
      <ns0:c r="B491" s="12">
        <ns0:f>A491*('前提と出典'!$C$36+'前提と出典'!$C$38)</ns0:f>
        <ns0:v>340.9</ns0:v>
      </ns0:c>
      <ns0:c r="C491" s="12">
        <ns0:f>A491*('前提と出典'!$C$37+'前提と出典'!$C$38)</ns0:f>
        <ns0:v>292.2</ns0:v>
      </ns0:c>
      <ns0:c r="D491" s="16">
        <ns0:f>A491*('前提と出典'!$C$36*'契約別単価'!C5+'前提と出典'!$C$37*'契約別単価'!C6+'前提と出典'!$C$38*'契約別単価'!C7)</ns0:f>
        <ns0:v>3504.223463687151</ns0:v>
      </ns0:c>
      <ns0:c r="E491" s="16">
        <ns0:f>A491*('前提と出典'!$C$36*'契約別単価'!E5+'前提と出典'!$C$37*'契約別単価'!E6+'前提と出典'!$C$38*'契約別単価'!E7)</ns0:f>
        <ns0:v>942318.0478286622</ns0:v>
      </ns0:c>
      <ns0:c r="F491" s="16">
        <ns0:f>A491*('前提と出典'!$C$36*'契約別単価'!F5+'前提と出典'!$C$37*'契約別単価'!F6+'前提と出典'!$C$38*'契約別単価'!F7)</ns0:f>
        <ns0:v>369825.5986158507</ns0:v>
      </ns0:c>
      <ns0:c r="G491" s="16">
        <ns0:f>A491*('前提と出典'!$C$36*'契約別単価'!G5+'前提と出典'!$C$37*'契約別単価'!G6+'前提と出典'!$C$38*'契約別単価'!G7)</ns0:f>
        <ns0:v>969374.8603351954</ns0:v>
      </ns0:c>
      <ns0:c r="H491" s="16">
        <ns0:f>A491*('前提と出典'!$C$36*'契約別単価'!H5+'前提と出典'!$C$37*'契約別単価'!H6+'前提と出典'!$C$38*'契約別単価'!H7)</ns0:f>
        <ns0:v>336421.69450604974</ns0:v>
      </ns0:c>
      <ns0:c r="I491" s="16">
        <ns0:f>A491*('前提と出典'!$C$36*'契約別単価'!I5+'前提と出典'!$C$37*'契約別単価'!I6+'前提と出典'!$C$38*'契約別単価'!I7)</ns0:f>
        <ns0:v>20549.223463687147</ns0:v>
      </ns0:c>
      <ns0:c r="J491" s="16">
        <ns0:f>A491*('前提と出典'!$C$36*'契約別単価'!J5+'前提と出典'!$C$37*'契約別単価'!J6+'前提と出典'!$C$38*'契約別単価'!J7)</ns0:f>
        <ns0:v>47867.00778691735</ns0:v>
      </ns0:c>
      <ns0:c r="K491" s="16">
        <ns0:f>A491*('前提と出典'!$C$36*'契約別単価'!K5+'前提と出典'!$C$37*'契約別単価'!K6+'前提と出典'!$C$38*'契約別単価'!K7)</ns0:f>
        <ns0:v>205174.82309124767</ns0:v>
      </ns0:c>
      <ns0:c r="L491" s="16">
        <ns0:f>A491*('前提と出典'!$C$36*'契約別単価'!L5+'前提と出典'!$C$37*'契約別単価'!L6+'前提と出典'!$C$38*'契約別単価'!L7)</ns0:f>
        <ns0:v>167054.05648353498</ns0:v>
      </ns0:c>
      <ns0:c r="M491" s="16">
        <ns0:f>IF(('前提と出典'!$C$36+'前提と出典'!$C$38)=0,0,IF(B491&lt;=10,'前提と出典'!B73+'前提と出典'!C73,IF(B491&lt;=100,'前提と出典'!B74+'前提と出典'!C74,IF(B491&lt;=500,'前提と出典'!B75+'前提と出典'!C75,'前提と出典'!B76+'前提と出典'!C76))))</ns0:f>
        <ns0:v>40000</ns0:v>
      </ns0:c>
      <ns0:c r="N491" s="16">
        <ns0:f>IF(('前提と出典'!$C$37+'前提と出典'!$C$38)=0,0,IF(C491&lt;=10,'前提と出典'!D73+'前提と出典'!E73,IF(C491&lt;=100,'前提と出典'!D74+'前提と出典'!E74,IF(C491&lt;=500,'前提と出典'!D75+'前提と出典'!E75,'前提と出典'!D76+'前提と出典'!E76))))</ns0:f>
        <ns0:v>56510.9346263078</ns0:v>
      </ns0:c>
      <ns0:c r="O491" s="16">
        <ns0:f>IF('前提と出典'!$C$36+'前提と出典'!$C$38=0,0,'前提と出典'!$B$4*IF('前提と出典'!$B$20=0,MAX('前提と出典'!$B$6,D491*'前提と出典'!$B$5),'前提と出典'!$B$6+D491*'前提と出典'!$B$5))</ns0:f>
        <ns0:v>483582.8379888268</ns0:v>
      </ns0:c>
      <ns0:c r="P491" s="16">
        <ns0:f>(E491+G491)*(1-'前提と出典'!$B$7)-I491-K491-M491-O491</ns0:f>
        <ns0:v>1093565.0789261975</ns0:v>
      </ns0:c>
      <ns0:c r="Q491" s="16">
        <ns0:f>(F491+H491)*(1-'前提と出典'!$B$7)-J491-L491-N491</ns0:f>
        <ns0:v>409390.391672752</ns0:v>
      </ns0:c>
      <ns0:c r="R491" s="16">
        <ns0:f>P491-E491*'前提と出典'!$E$4</ns0:f>
        <ns0:v>810869.6645775988</ns0:v>
      </ns0:c>
      <ns0:c r="S491" s="16">
        <ns0:f>Q491-F491*'前提と出典'!$E$4</ns0:f>
        <ns0:v>298442.7120879967</ns0:v>
      </ns0:c>
      <ns0:c r="T491" s="7">
        <ns0:f>R491+S491</ns0:f>
        <ns0:v>1109312.3766655955</ns0:v>
      </ns0:c>
      <ns0:c r="U491" s="16">
        <ns0:f>P491-E491*'前提と出典'!$E$5</ns0:f>
        <ns0:v>716637.8597947325</ns0:v>
      </ns0:c>
      <ns0:c r="V491" s="16">
        <ns0:f>Q491-F491*'前提と出典'!$E$5</ns0:f>
        <ns0:v>261460.15222641168</ns0:v>
      </ns0:c>
      <ns0:c r="W491" s="7">
        <ns0:f>U491+V491</ns0:f>
        <ns0:v>978098.0120211442</ns0:v>
      </ns0:c>
      <ns0:c r="X491" s="16">
        <ns0:f>P491-E491*'前提と出典'!$E$6</ns0:f>
        <ns0:v>622406.0550118663</ns0:v>
      </ns0:c>
      <ns0:c r="Y491" s="16">
        <ns0:f>Q491-F491*'前提と出典'!$E$6</ns0:f>
        <ns0:v>224477.59236482653</ns0:v>
      </ns0:c>
      <ns0:c r="Z491" s="7">
        <ns0:f>X491+Y491</ns0:f>
        <ns0:v>846883.6473766929</ns0:v>
      </ns0:c>
      <ns0:c r="AA491" s="7">
        <ns0:f>IF(T491&gt;=0,A491,1001)</ns0:f>
        <ns0:v>487</ns0:v>
      </ns0:c>
      <ns0:c r="AB491" s="7">
        <ns0:f>IF(T491&lt;0,A491,0)</ns0:f>
        <ns0:v>0</ns0:v>
      </ns0:c>
      <ns0:c r="AC491" s="16">
        <ns0:f>IF(AND(OR('前提と出典'!$C$36+'前提と出典'!$C$38=0,R491&gt;=0),OR('前提と出典'!$C$37+'前提と出典'!$C$38=0,S491&gt;=0)),0,A491)</ns0:f>
        <ns0:v>0</ns0:v>
      </ns0:c>
      <ns0:c r="AD491" s="7">
        <ns0:f>IF(W491&gt;=0,A491,1001)</ns0:f>
        <ns0:v>487</ns0:v>
      </ns0:c>
      <ns0:c r="AE491" s="7">
        <ns0:f>IF(W491&lt;0,A491,0)</ns0:f>
        <ns0:v>0</ns0:v>
      </ns0:c>
      <ns0:c r="AF491" s="16">
        <ns0:f>IF(AND(OR('前提と出典'!$C$36+'前提と出典'!$C$38=0,U491&gt;=0),OR('前提と出典'!$C$37+'前提と出典'!$C$38=0,V491&gt;=0)),0,A491)</ns0:f>
        <ns0:v>0</ns0:v>
      </ns0:c>
      <ns0:c r="AG491" s="7">
        <ns0:f>IF(Z491&gt;=0,A491,1001)</ns0:f>
        <ns0:v>487</ns0:v>
      </ns0:c>
      <ns0:c r="AH491" s="4">
        <ns0:f>IF(Z491&lt;0,A491,0)</ns0:f>
        <ns0:v>0</ns0:v>
      </ns0:c>
      <ns0:c r="AI491" s="12">
        <ns0:f>IF(AND(OR('前提と出典'!$C$36+'前提と出典'!$C$38=0,X491&gt;=0),OR('前提と出典'!$C$37+'前提と出典'!$C$38=0,Y491&gt;=0)),0,A491)</ns0:f>
        <ns0:v>0</ns0:v>
      </ns0:c>
    </ns0:row>
    <ns0:row r="492" ht="24" customHeight="1">
      <ns0:c r="A492" s="4" t="n">
        <ns0:v>488</ns0:v>
      </ns0:c>
      <ns0:c r="B492" s="12">
        <ns0:f>A492*('前提と出典'!$C$36+'前提と出典'!$C$38)</ns0:f>
        <ns0:v>341.59999999999997</ns0:v>
      </ns0:c>
      <ns0:c r="C492" s="12">
        <ns0:f>A492*('前提と出典'!$C$37+'前提と出典'!$C$38)</ns0:f>
        <ns0:v>292.8</ns0:v>
      </ns0:c>
      <ns0:c r="D492" s="16">
        <ns0:f>A492*('前提と出典'!$C$36*'契約別単価'!C5+'前提と出典'!$C$37*'契約別単価'!C6+'前提と出典'!$C$38*'契約別単価'!C7)</ns0:f>
        <ns0:v>3511.4189944134077</ns0:v>
      </ns0:c>
      <ns0:c r="E492" s="16">
        <ns0:f>A492*('前提と出典'!$C$36*'契約別単価'!E5+'前提と出典'!$C$37*'契約別単価'!E6+'前提と出典'!$C$38*'契約別単価'!E7)</ns0:f>
        <ns0:v>944252.9924853946</ns0:v>
      </ns0:c>
      <ns0:c r="F492" s="16">
        <ns0:f>A492*('前提と出典'!$C$36*'契約別単価'!F5+'前提と出典'!$C$37*'契約別単価'!F6+'前提と出典'!$C$38*'契約別単価'!F7)</ns0:f>
        <ns0:v>370584.9940955547</ns0:v>
      </ns0:c>
      <ns0:c r="G492" s="16">
        <ns0:f>A492*('前提と出典'!$C$36*'契約別単価'!G5+'前提と出典'!$C$37*'契約別単価'!G6+'前提と出典'!$C$38*'契約別単価'!G7)</ns0:f>
        <ns0:v>971365.3631284916</ns0:v>
      </ns0:c>
      <ns0:c r="H492" s="16">
        <ns0:f>A492*('前提と出典'!$C$36*'契約別単価'!H5+'前提と出典'!$C$37*'契約別単価'!H6+'前提と出典'!$C$38*'契約別単価'!H7)</ns0:f>
        <ns0:v>337112.4988068835</ns0:v>
      </ns0:c>
      <ns0:c r="I492" s="16">
        <ns0:f>A492*('前提と出典'!$C$36*'契約別単価'!I5+'前提と出典'!$C$37*'契約別単価'!I6+'前提と出典'!$C$38*'契約別単価'!I7)</ns0:f>
        <ns0:v>20591.418994413405</ns0:v>
      </ns0:c>
      <ns0:c r="J492" s="16">
        <ns0:f>A492*('前提と出典'!$C$36*'契約別単価'!J5+'前提と出典'!$C$37*'契約別単価'!J6+'前提と出典'!$C$38*'契約別単価'!J7)</ns0:f>
        <ns0:v>47965.297330627654</ns0:v>
      </ns0:c>
      <ns0:c r="K492" s="16">
        <ns0:f>A492*('前提と出典'!$C$36*'契約別単価'!K5+'前提と出典'!$C$37*'契約別単価'!K6+'前提と出典'!$C$38*'契約別単価'!K7)</ns0:f>
        <ns0:v>205596.1266294227</ns0:v>
      </ns0:c>
      <ns0:c r="L492" s="16">
        <ns0:f>A492*('前提と出典'!$C$36*'契約別単価'!L5+'前提と出典'!$C$37*'契約別単価'!L6+'前提と出典'!$C$38*'契約別単価'!L7)</ns0:f>
        <ns0:v>167397.08329356278</ns0:v>
      </ns0:c>
      <ns0:c r="M492" s="16">
        <ns0:f>IF(('前提と出典'!$C$36+'前提と出典'!$C$38)=0,0,IF(B492&lt;=10,'前提と出典'!B73+'前提と出典'!C73,IF(B492&lt;=100,'前提と出典'!B74+'前提と出典'!C74,IF(B492&lt;=500,'前提と出典'!B75+'前提と出典'!C75,'前提と出典'!B76+'前提と出典'!C76))))</ns0:f>
        <ns0:v>40000</ns0:v>
      </ns0:c>
      <ns0:c r="N492" s="16">
        <ns0:f>IF(('前提と出典'!$C$37+'前提と出典'!$C$38)=0,0,IF(C492&lt;=10,'前提と出典'!D73+'前提と出典'!E73,IF(C492&lt;=100,'前提と出典'!D74+'前提と出典'!E74,IF(C492&lt;=500,'前提と出典'!D75+'前提と出典'!E75,'前提と出典'!D76+'前提と出典'!E76))))</ns0:f>
        <ns0:v>56510.9346263078</ns0:v>
      </ns0:c>
      <ns0:c r="O492" s="16">
        <ns0:f>IF('前提と出典'!$C$36+'前提と出典'!$C$38=0,0,'前提と出典'!$B$4*IF('前提と出典'!$B$20=0,MAX('前提と出典'!$B$6,D492*'前提と出典'!$B$5),'前提と出典'!$B$6+D492*'前提と出典'!$B$5))</ns0:f>
        <ns0:v>484575.8212290503</ns0:v>
      </ns0:c>
      <ns0:c r="P492" s="16">
        <ns0:f>(E492+G492)*(1-'前提と出典'!$B$7)-I492-K492-M492-O492</ns0:f>
        <ns0:v>1095892.7279589</ns0:v>
      </ns0:c>
      <ns0:c r="Q492" s="16">
        <ns0:f>(F492+H492)*(1-'前提と出典'!$B$7)-J492-L492-N492</ns0:f>
        <ns0:v>410347.0679074522</ns0:v>
      </ns0:c>
      <ns0:c r="R492" s="16">
        <ns0:f>P492-E492*'前提と出典'!$E$4</ns0:f>
        <ns0:v>812616.8302132814</ns0:v>
      </ns0:c>
      <ns0:c r="S492" s="16">
        <ns0:f>Q492-F492*'前提と出典'!$E$4</ns0:f>
        <ns0:v>299171.56967878575</ns0:v>
      </ns0:c>
      <ns0:c r="T492" s="7">
        <ns0:f>R492+S492</ns0:f>
        <ns0:v>1111788.399892067</ns0:v>
      </ns0:c>
      <ns0:c r="U492" s="16">
        <ns0:f>P492-E492*'前提と出典'!$E$5</ns0:f>
        <ns0:v>718191.5309647421</ns0:v>
      </ns0:c>
      <ns0:c r="V492" s="16">
        <ns0:f>Q492-F492*'前提と出典'!$E$5</ns0:f>
        <ns0:v>262113.0702692303</ns0:v>
      </ns0:c>
      <ns0:c r="W492" s="7">
        <ns0:f>U492+V492</ns0:f>
        <ns0:v>980304.6012339724</ns0:v>
      </ns0:c>
      <ns0:c r="X492" s="16">
        <ns0:f>P492-E492*'前提と出典'!$E$6</ns0:f>
        <ns0:v>623766.2317162025</ns0:v>
      </ns0:c>
      <ns0:c r="Y492" s="16">
        <ns0:f>Q492-F492*'前提と出典'!$E$6</ns0:f>
        <ns0:v>225054.57085967483</ns0:v>
      </ns0:c>
      <ns0:c r="Z492" s="7">
        <ns0:f>X492+Y492</ns0:f>
        <ns0:v>848820.8025758773</ns0:v>
      </ns0:c>
      <ns0:c r="AA492" s="7">
        <ns0:f>IF(T492&gt;=0,A492,1001)</ns0:f>
        <ns0:v>488</ns0:v>
      </ns0:c>
      <ns0:c r="AB492" s="7">
        <ns0:f>IF(T492&lt;0,A492,0)</ns0:f>
        <ns0:v>0</ns0:v>
      </ns0:c>
      <ns0:c r="AC492" s="16">
        <ns0:f>IF(AND(OR('前提と出典'!$C$36+'前提と出典'!$C$38=0,R492&gt;=0),OR('前提と出典'!$C$37+'前提と出典'!$C$38=0,S492&gt;=0)),0,A492)</ns0:f>
        <ns0:v>0</ns0:v>
      </ns0:c>
      <ns0:c r="AD492" s="7">
        <ns0:f>IF(W492&gt;=0,A492,1001)</ns0:f>
        <ns0:v>488</ns0:v>
      </ns0:c>
      <ns0:c r="AE492" s="7">
        <ns0:f>IF(W492&lt;0,A492,0)</ns0:f>
        <ns0:v>0</ns0:v>
      </ns0:c>
      <ns0:c r="AF492" s="16">
        <ns0:f>IF(AND(OR('前提と出典'!$C$36+'前提と出典'!$C$38=0,U492&gt;=0),OR('前提と出典'!$C$37+'前提と出典'!$C$38=0,V492&gt;=0)),0,A492)</ns0:f>
        <ns0:v>0</ns0:v>
      </ns0:c>
      <ns0:c r="AG492" s="7">
        <ns0:f>IF(Z492&gt;=0,A492,1001)</ns0:f>
        <ns0:v>488</ns0:v>
      </ns0:c>
      <ns0:c r="AH492" s="4">
        <ns0:f>IF(Z492&lt;0,A492,0)</ns0:f>
        <ns0:v>0</ns0:v>
      </ns0:c>
      <ns0:c r="AI492" s="12">
        <ns0:f>IF(AND(OR('前提と出典'!$C$36+'前提と出典'!$C$38=0,X492&gt;=0),OR('前提と出典'!$C$37+'前提と出典'!$C$38=0,Y492&gt;=0)),0,A492)</ns0:f>
        <ns0:v>0</ns0:v>
      </ns0:c>
    </ns0:row>
    <ns0:row r="493" ht="24" customHeight="1">
      <ns0:c r="A493" s="4" t="n">
        <ns0:v>489</ns0:v>
      </ns0:c>
      <ns0:c r="B493" s="12">
        <ns0:f>A493*('前提と出典'!$C$36+'前提と出典'!$C$38)</ns0:f>
        <ns0:v>342.29999999999995</ns0:v>
      </ns0:c>
      <ns0:c r="C493" s="12">
        <ns0:f>A493*('前提と出典'!$C$37+'前提と出典'!$C$38)</ns0:f>
        <ns0:v>293.4</ns0:v>
      </ns0:c>
      <ns0:c r="D493" s="16">
        <ns0:f>A493*('前提と出典'!$C$36*'契約別単価'!C5+'前提と出典'!$C$37*'契約別単価'!C6+'前提と出典'!$C$38*'契約別単価'!C7)</ns0:f>
        <ns0:v>3518.6145251396647</ns0:v>
      </ns0:c>
      <ns0:c r="E493" s="16">
        <ns0:f>A493*('前提と出典'!$C$36*'契約別単価'!E5+'前提と出典'!$C$37*'契約別単価'!E6+'前提と出典'!$C$38*'契約別単価'!E7)</ns0:f>
        <ns0:v>946187.937142127</ns0:v>
      </ns0:c>
      <ns0:c r="F493" s="16">
        <ns0:f>A493*('前提と出典'!$C$36*'契約別単価'!F5+'前提と出典'!$C$37*'契約別単価'!F6+'前提と出典'!$C$38*'契約別単価'!F7)</ns0:f>
        <ns0:v>371344.3895752587</ns0:v>
      </ns0:c>
      <ns0:c r="G493" s="16">
        <ns0:f>A493*('前提と出典'!$C$36*'契約別単価'!G5+'前提と出典'!$C$37*'契約別単価'!G6+'前提と出典'!$C$38*'契約別単価'!G7)</ns0:f>
        <ns0:v>973355.8659217877</ns0:v>
      </ns0:c>
      <ns0:c r="H493" s="16">
        <ns0:f>A493*('前提と出典'!$C$36*'契約別単価'!H5+'前提と出典'!$C$37*'契約別単価'!H6+'前提と出典'!$C$38*'契約別単価'!H7)</ns0:f>
        <ns0:v>337803.3031077173</ns0:v>
      </ns0:c>
      <ns0:c r="I493" s="16">
        <ns0:f>A493*('前提と出典'!$C$36*'契約別単価'!I5+'前提と出典'!$C$37*'契約別単価'!I6+'前提と出典'!$C$38*'契約別単価'!I7)</ns0:f>
        <ns0:v>20633.614525139663</ns0:v>
      </ns0:c>
      <ns0:c r="J493" s="16">
        <ns0:f>A493*('前提と出典'!$C$36*'契約別単価'!J5+'前提と出典'!$C$37*'契約別単価'!J6+'前提と出典'!$C$38*'契約別単価'!J7)</ns0:f>
        <ns0:v>48063.586874337954</ns0:v>
      </ns0:c>
      <ns0:c r="K493" s="16">
        <ns0:f>A493*('前提と出典'!$C$36*'契約別単価'!K5+'前提と出典'!$C$37*'契約別単価'!K6+'前提と出典'!$C$38*'契約別単価'!K7)</ns0:f>
        <ns0:v>206017.43016759775</ns0:v>
      </ns0:c>
      <ns0:c r="L493" s="16">
        <ns0:f>A493*('前提と出典'!$C$36*'契約別単価'!L5+'前提と出典'!$C$37*'契約別単価'!L6+'前提と出典'!$C$38*'契約別単価'!L7)</ns0:f>
        <ns0:v>167740.11010359056</ns0:v>
      </ns0:c>
      <ns0:c r="M493" s="16">
        <ns0:f>IF(('前提と出典'!$C$36+'前提と出典'!$C$38)=0,0,IF(B493&lt;=10,'前提と出典'!B73+'前提と出典'!C73,IF(B493&lt;=100,'前提と出典'!B74+'前提と出典'!C74,IF(B493&lt;=500,'前提と出典'!B75+'前提と出典'!C75,'前提と出典'!B76+'前提と出典'!C76))))</ns0:f>
        <ns0:v>40000</ns0:v>
      </ns0:c>
      <ns0:c r="N493" s="16">
        <ns0:f>IF(('前提と出典'!$C$37+'前提と出典'!$C$38)=0,0,IF(C493&lt;=10,'前提と出典'!D73+'前提と出典'!E73,IF(C493&lt;=100,'前提と出典'!D74+'前提と出典'!E74,IF(C493&lt;=500,'前提と出典'!D75+'前提と出典'!E75,'前提と出典'!D76+'前提と出典'!E76))))</ns0:f>
        <ns0:v>56510.9346263078</ns0:v>
      </ns0:c>
      <ns0:c r="O493" s="16">
        <ns0:f>IF('前提と出典'!$C$36+'前提と出典'!$C$38=0,0,'前提と出典'!$B$4*IF('前提と出典'!$B$20=0,MAX('前提と出典'!$B$6,D493*'前提と出典'!$B$5),'前提と出典'!$B$6+D493*'前提と出典'!$B$5))</ns0:f>
        <ns0:v>485568.8044692738</ns0:v>
      </ns0:c>
      <ns0:c r="P493" s="16">
        <ns0:f>(E493+G493)*(1-'前提と出典'!$B$7)-I493-K493-M493-O493</ns0:f>
        <ns0:v>1098220.3769916026</ns0:v>
      </ns0:c>
      <ns0:c r="Q493" s="16">
        <ns0:f>(F493+H493)*(1-'前提と出典'!$B$7)-J493-L493-N493</ns0:f>
        <ns0:v>411303.7441421526</ns0:v>
      </ns0:c>
      <ns0:c r="R493" s="16">
        <ns0:f>P493-E493*'前提と出典'!$E$4</ns0:f>
        <ns0:v>814363.9958489646</ns0:v>
      </ns0:c>
      <ns0:c r="S493" s="16">
        <ns0:f>Q493-F493*'前提と出典'!$E$4</ns0:f>
        <ns0:v>299900.42726957495</ns0:v>
      </ns0:c>
      <ns0:c r="T493" s="7">
        <ns0:f>R493+S493</ns0:f>
        <ns0:v>1114264.4231185396</ns0:v>
      </ns0:c>
      <ns0:c r="U493" s="16">
        <ns0:f>P493-E493*'前提と出典'!$E$5</ns0:f>
        <ns0:v>719745.2021347518</ns0:v>
      </ns0:c>
      <ns0:c r="V493" s="16">
        <ns0:f>Q493-F493*'前提と出典'!$E$5</ns0:f>
        <ns0:v>262765.98831204907</ns0:v>
      </ns0:c>
      <ns0:c r="W493" s="7">
        <ns0:f>U493+V493</ns0:f>
        <ns0:v>982511.1904468009</ns0:v>
      </ns0:c>
      <ns0:c r="X493" s="16">
        <ns0:f>P493-E493*'前提と出典'!$E$6</ns0:f>
        <ns0:v>625126.4084205391</ns0:v>
      </ns0:c>
      <ns0:c r="Y493" s="16">
        <ns0:f>Q493-F493*'前提と出典'!$E$6</ns0:f>
        <ns0:v>225631.5493545232</ns0:v>
      </ns0:c>
      <ns0:c r="Z493" s="7">
        <ns0:f>X493+Y493</ns0:f>
        <ns0:v>850757.9577750623</ns0:v>
      </ns0:c>
      <ns0:c r="AA493" s="7">
        <ns0:f>IF(T493&gt;=0,A493,1001)</ns0:f>
        <ns0:v>489</ns0:v>
      </ns0:c>
      <ns0:c r="AB493" s="7">
        <ns0:f>IF(T493&lt;0,A493,0)</ns0:f>
        <ns0:v>0</ns0:v>
      </ns0:c>
      <ns0:c r="AC493" s="16">
        <ns0:f>IF(AND(OR('前提と出典'!$C$36+'前提と出典'!$C$38=0,R493&gt;=0),OR('前提と出典'!$C$37+'前提と出典'!$C$38=0,S493&gt;=0)),0,A493)</ns0:f>
        <ns0:v>0</ns0:v>
      </ns0:c>
      <ns0:c r="AD493" s="7">
        <ns0:f>IF(W493&gt;=0,A493,1001)</ns0:f>
        <ns0:v>489</ns0:v>
      </ns0:c>
      <ns0:c r="AE493" s="7">
        <ns0:f>IF(W493&lt;0,A493,0)</ns0:f>
        <ns0:v>0</ns0:v>
      </ns0:c>
      <ns0:c r="AF493" s="16">
        <ns0:f>IF(AND(OR('前提と出典'!$C$36+'前提と出典'!$C$38=0,U493&gt;=0),OR('前提と出典'!$C$37+'前提と出典'!$C$38=0,V493&gt;=0)),0,A493)</ns0:f>
        <ns0:v>0</ns0:v>
      </ns0:c>
      <ns0:c r="AG493" s="7">
        <ns0:f>IF(Z493&gt;=0,A493,1001)</ns0:f>
        <ns0:v>489</ns0:v>
      </ns0:c>
      <ns0:c r="AH493" s="4">
        <ns0:f>IF(Z493&lt;0,A493,0)</ns0:f>
        <ns0:v>0</ns0:v>
      </ns0:c>
      <ns0:c r="AI493" s="12">
        <ns0:f>IF(AND(OR('前提と出典'!$C$36+'前提と出典'!$C$38=0,X493&gt;=0),OR('前提と出典'!$C$37+'前提と出典'!$C$38=0,Y493&gt;=0)),0,A493)</ns0:f>
        <ns0:v>0</ns0:v>
      </ns0:c>
    </ns0:row>
    <ns0:row r="494" ht="24" customHeight="1">
      <ns0:c r="A494" s="4" t="n">
        <ns0:v>490</ns0:v>
      </ns0:c>
      <ns0:c r="B494" s="12">
        <ns0:f>A494*('前提と出典'!$C$36+'前提と出典'!$C$38)</ns0:f>
        <ns0:v>343</ns0:v>
      </ns0:c>
      <ns0:c r="C494" s="12">
        <ns0:f>A494*('前提と出典'!$C$37+'前提と出典'!$C$38)</ns0:f>
        <ns0:v>294</ns0:v>
      </ns0:c>
      <ns0:c r="D494" s="16">
        <ns0:f>A494*('前提と出典'!$C$36*'契約別単価'!C5+'前提と出典'!$C$37*'契約別単価'!C6+'前提と出典'!$C$38*'契約別単価'!C7)</ns0:f>
        <ns0:v>3525.8100558659216</ns0:v>
      </ns0:c>
      <ns0:c r="E494" s="16">
        <ns0:f>A494*('前提と出典'!$C$36*'契約別単価'!E5+'前提と出典'!$C$37*'契約別単価'!E6+'前提と出典'!$C$38*'契約別単価'!E7)</ns0:f>
        <ns0:v>948122.8817988593</ns0:v>
      </ns0:c>
      <ns0:c r="F494" s="16">
        <ns0:f>A494*('前提と出典'!$C$36*'契約別単価'!F5+'前提と出典'!$C$37*'契約別単価'!F6+'前提と出典'!$C$38*'契約別単価'!F7)</ns0:f>
        <ns0:v>372103.78505496273</ns0:v>
      </ns0:c>
      <ns0:c r="G494" s="16">
        <ns0:f>A494*('前提と出典'!$C$36*'契約別単価'!G5+'前提と出典'!$C$37*'契約別単価'!G6+'前提と出典'!$C$38*'契約別単価'!G7)</ns0:f>
        <ns0:v>975346.3687150838</ns0:v>
      </ns0:c>
      <ns0:c r="H494" s="16">
        <ns0:f>A494*('前提と出典'!$C$36*'契約別単価'!H5+'前提と出典'!$C$37*'契約別単価'!H6+'前提と出典'!$C$38*'契約別単価'!H7)</ns0:f>
        <ns0:v>338494.1074085511</ns0:v>
      </ns0:c>
      <ns0:c r="I494" s="16">
        <ns0:f>A494*('前提と出典'!$C$36*'契約別単価'!I5+'前提と出典'!$C$37*'契約別単価'!I6+'前提と出典'!$C$38*'契約別単価'!I7)</ns0:f>
        <ns0:v>20675.810055865917</ns0:v>
      </ns0:c>
      <ns0:c r="J494" s="16">
        <ns0:f>A494*('前提と出典'!$C$36*'契約別単価'!J5+'前提と出典'!$C$37*'契約別単価'!J6+'前提と出典'!$C$38*'契約別単価'!J7)</ns0:f>
        <ns0:v>48161.87641804826</ns0:v>
      </ns0:c>
      <ns0:c r="K494" s="16">
        <ns0:f>A494*('前提と出典'!$C$36*'契約別単価'!K5+'前提と出典'!$C$37*'契約別単価'!K6+'前提と出典'!$C$38*'契約別単価'!K7)</ns0:f>
        <ns0:v>206438.7337057728</ns0:v>
      </ns0:c>
      <ns0:c r="L494" s="16">
        <ns0:f>A494*('前提と出典'!$C$36*'契約別単価'!L5+'前提と出典'!$C$37*'契約別単価'!L6+'前提と出典'!$C$38*'契約別単価'!L7)</ns0:f>
        <ns0:v>168083.13691361836</ns0:v>
      </ns0:c>
      <ns0:c r="M494" s="16">
        <ns0:f>IF(('前提と出典'!$C$36+'前提と出典'!$C$38)=0,0,IF(B494&lt;=10,'前提と出典'!B73+'前提と出典'!C73,IF(B494&lt;=100,'前提と出典'!B74+'前提と出典'!C74,IF(B494&lt;=500,'前提と出典'!B75+'前提と出典'!C75,'前提と出典'!B76+'前提と出典'!C76))))</ns0:f>
        <ns0:v>40000</ns0:v>
      </ns0:c>
      <ns0:c r="N494" s="16">
        <ns0:f>IF(('前提と出典'!$C$37+'前提と出典'!$C$38)=0,0,IF(C494&lt;=10,'前提と出典'!D73+'前提と出典'!E73,IF(C494&lt;=100,'前提と出典'!D74+'前提と出典'!E74,IF(C494&lt;=500,'前提と出典'!D75+'前提と出典'!E75,'前提と出典'!D76+'前提と出典'!E76))))</ns0:f>
        <ns0:v>56510.9346263078</ns0:v>
      </ns0:c>
      <ns0:c r="O494" s="16">
        <ns0:f>IF('前提と出典'!$C$36+'前提と出典'!$C$38=0,0,'前提と出典'!$B$4*IF('前提と出典'!$B$20=0,MAX('前提と出典'!$B$6,D494*'前提と出典'!$B$5),'前提と出典'!$B$6+D494*'前提と出典'!$B$5))</ns0:f>
        <ns0:v>486561.7877094972</ns0:v>
      </ns0:c>
      <ns0:c r="P494" s="16">
        <ns0:f>(E494+G494)*(1-'前提と出典'!$B$7)-I494-K494-M494-O494</ns0:f>
        <ns0:v>1100548.0260243053</ns0:v>
      </ns0:c>
      <ns0:c r="Q494" s="16">
        <ns0:f>(F494+H494)*(1-'前提と出典'!$B$7)-J494-L494-N494</ns0:f>
        <ns0:v>412260.42037685285</ns0:v>
      </ns0:c>
      <ns0:c r="R494" s="16">
        <ns0:f>P494-E494*'前提と出典'!$E$4</ns0:f>
        <ns0:v>816111.1614846475</ns0:v>
      </ns0:c>
      <ns0:c r="S494" s="16">
        <ns0:f>Q494-F494*'前提と出典'!$E$4</ns0:f>
        <ns0:v>300629.2848603641</ns0:v>
      </ns0:c>
      <ns0:c r="T494" s="7">
        <ns0:f>R494+S494</ns0:f>
        <ns0:v>1116740.4463450117</ns0:v>
      </ns0:c>
      <ns0:c r="U494" s="16">
        <ns0:f>P494-E494*'前提と出典'!$E$5</ns0:f>
        <ns0:v>721298.8733047615</ns0:v>
      </ns0:c>
      <ns0:c r="V494" s="16">
        <ns0:f>Q494-F494*'前提と出典'!$E$5</ns0:f>
        <ns0:v>263418.9063548678</ns0:v>
      </ns0:c>
      <ns0:c r="W494" s="7">
        <ns0:f>U494+V494</ns0:f>
        <ns0:v>984717.7796596293</ns0:v>
      </ns0:c>
      <ns0:c r="X494" s="16">
        <ns0:f>P494-E494*'前提と出典'!$E$6</ns0:f>
        <ns0:v>626486.5851248757</ns0:v>
      </ns0:c>
      <ns0:c r="Y494" s="16">
        <ns0:f>Q494-F494*'前提と出典'!$E$6</ns0:f>
        <ns0:v>226208.5278493716</ns0:v>
      </ns0:c>
      <ns0:c r="Z494" s="7">
        <ns0:f>X494+Y494</ns0:f>
        <ns0:v>852695.1129742472</ns0:v>
      </ns0:c>
      <ns0:c r="AA494" s="7">
        <ns0:f>IF(T494&gt;=0,A494,1001)</ns0:f>
        <ns0:v>490</ns0:v>
      </ns0:c>
      <ns0:c r="AB494" s="7">
        <ns0:f>IF(T494&lt;0,A494,0)</ns0:f>
        <ns0:v>0</ns0:v>
      </ns0:c>
      <ns0:c r="AC494" s="16">
        <ns0:f>IF(AND(OR('前提と出典'!$C$36+'前提と出典'!$C$38=0,R494&gt;=0),OR('前提と出典'!$C$37+'前提と出典'!$C$38=0,S494&gt;=0)),0,A494)</ns0:f>
        <ns0:v>0</ns0:v>
      </ns0:c>
      <ns0:c r="AD494" s="7">
        <ns0:f>IF(W494&gt;=0,A494,1001)</ns0:f>
        <ns0:v>490</ns0:v>
      </ns0:c>
      <ns0:c r="AE494" s="7">
        <ns0:f>IF(W494&lt;0,A494,0)</ns0:f>
        <ns0:v>0</ns0:v>
      </ns0:c>
      <ns0:c r="AF494" s="16">
        <ns0:f>IF(AND(OR('前提と出典'!$C$36+'前提と出典'!$C$38=0,U494&gt;=0),OR('前提と出典'!$C$37+'前提と出典'!$C$38=0,V494&gt;=0)),0,A494)</ns0:f>
        <ns0:v>0</ns0:v>
      </ns0:c>
      <ns0:c r="AG494" s="7">
        <ns0:f>IF(Z494&gt;=0,A494,1001)</ns0:f>
        <ns0:v>490</ns0:v>
      </ns0:c>
      <ns0:c r="AH494" s="4">
        <ns0:f>IF(Z494&lt;0,A494,0)</ns0:f>
        <ns0:v>0</ns0:v>
      </ns0:c>
      <ns0:c r="AI494" s="12">
        <ns0:f>IF(AND(OR('前提と出典'!$C$36+'前提と出典'!$C$38=0,X494&gt;=0),OR('前提と出典'!$C$37+'前提と出典'!$C$38=0,Y494&gt;=0)),0,A494)</ns0:f>
        <ns0:v>0</ns0:v>
      </ns0:c>
    </ns0:row>
    <ns0:row r="495" ht="24" customHeight="1">
      <ns0:c r="A495" s="4" t="n">
        <ns0:v>491</ns0:v>
      </ns0:c>
      <ns0:c r="B495" s="12">
        <ns0:f>A495*('前提と出典'!$C$36+'前提と出典'!$C$38)</ns0:f>
        <ns0:v>343.7</ns0:v>
      </ns0:c>
      <ns0:c r="C495" s="12">
        <ns0:f>A495*('前提と出典'!$C$37+'前提と出典'!$C$38)</ns0:f>
        <ns0:v>294.59999999999997</ns0:v>
      </ns0:c>
      <ns0:c r="D495" s="16">
        <ns0:f>A495*('前提と出典'!$C$36*'契約別単価'!C5+'前提と出典'!$C$37*'契約別単価'!C6+'前提と出典'!$C$38*'契約別単価'!C7)</ns0:f>
        <ns0:v>3533.0055865921786</ns0:v>
      </ns0:c>
      <ns0:c r="E495" s="16">
        <ns0:f>A495*('前提と出典'!$C$36*'契約別単価'!E5+'前提と出典'!$C$37*'契約別単価'!E6+'前提と出典'!$C$38*'契約別単価'!E7)</ns0:f>
        <ns0:v>950057.8264555917</ns0:v>
      </ns0:c>
      <ns0:c r="F495" s="16">
        <ns0:f>A495*('前提と出典'!$C$36*'契約別単価'!F5+'前提と出典'!$C$37*'契約別単価'!F6+'前提と出典'!$C$38*'契約別単価'!F7)</ns0:f>
        <ns0:v>372863.1805346667</ns0:v>
      </ns0:c>
      <ns0:c r="G495" s="16">
        <ns0:f>A495*('前提と出典'!$C$36*'契約別単価'!G5+'前提と出典'!$C$37*'契約別単価'!G6+'前提と出典'!$C$38*'契約別単価'!G7)</ns0:f>
        <ns0:v>977336.8715083798</ns0:v>
      </ns0:c>
      <ns0:c r="H495" s="16">
        <ns0:f>A495*('前提と出典'!$C$36*'契約別単価'!H5+'前提と出典'!$C$37*'契約別単価'!H6+'前提と出典'!$C$38*'契約別単価'!H7)</ns0:f>
        <ns0:v>339184.9117093848</ns0:v>
      </ns0:c>
      <ns0:c r="I495" s="16">
        <ns0:f>A495*('前提と出典'!$C$36*'契約別単価'!I5+'前提と出典'!$C$37*'契約別単価'!I6+'前提と出典'!$C$38*'契約別単価'!I7)</ns0:f>
        <ns0:v>20718.005586592175</ns0:v>
      </ns0:c>
      <ns0:c r="J495" s="16">
        <ns0:f>A495*('前提と出典'!$C$36*'契約別単価'!J5+'前提と出典'!$C$37*'契約別単価'!J6+'前提と出典'!$C$38*'契約別単価'!J7)</ns0:f>
        <ns0:v>48260.16596175856</ns0:v>
      </ns0:c>
      <ns0:c r="K495" s="16">
        <ns0:f>A495*('前提と出典'!$C$36*'契約別単価'!K5+'前提と出典'!$C$37*'契約別単価'!K6+'前提と出典'!$C$38*'契約別単価'!K7)</ns0:f>
        <ns0:v>206860.03724394785</ns0:v>
      </ns0:c>
      <ns0:c r="L495" s="16">
        <ns0:f>A495*('前提と出典'!$C$36*'契約別単価'!L5+'前提と出典'!$C$37*'契約別単価'!L6+'前提と出典'!$C$38*'契約別単価'!L7)</ns0:f>
        <ns0:v>168426.16372364617</ns0:v>
      </ns0:c>
      <ns0:c r="M495" s="16">
        <ns0:f>IF(('前提と出典'!$C$36+'前提と出典'!$C$38)=0,0,IF(B495&lt;=10,'前提と出典'!B73+'前提と出典'!C73,IF(B495&lt;=100,'前提と出典'!B74+'前提と出典'!C74,IF(B495&lt;=500,'前提と出典'!B75+'前提と出典'!C75,'前提と出典'!B76+'前提と出典'!C76))))</ns0:f>
        <ns0:v>40000</ns0:v>
      </ns0:c>
      <ns0:c r="N495" s="16">
        <ns0:f>IF(('前提と出典'!$C$37+'前提と出典'!$C$38)=0,0,IF(C495&lt;=10,'前提と出典'!D73+'前提と出典'!E73,IF(C495&lt;=100,'前提と出典'!D74+'前提と出典'!E74,IF(C495&lt;=500,'前提と出典'!D75+'前提と出典'!E75,'前提と出典'!D76+'前提と出典'!E76))))</ns0:f>
        <ns0:v>56510.9346263078</ns0:v>
      </ns0:c>
      <ns0:c r="O495" s="16">
        <ns0:f>IF('前提と出典'!$C$36+'前提と出典'!$C$38=0,0,'前提と出典'!$B$4*IF('前提と出典'!$B$20=0,MAX('前提と出典'!$B$6,D495*'前提と出典'!$B$5),'前提と出典'!$B$6+D495*'前提と出典'!$B$5))</ns0:f>
        <ns0:v>487554.77094972064</ns0:v>
      </ns0:c>
      <ns0:c r="P495" s="16">
        <ns0:f>(E495+G495)*(1-'前提と出典'!$B$7)-I495-K495-M495-O495</ns0:f>
        <ns0:v>1102875.675057008</ns0:v>
      </ns0:c>
      <ns0:c r="Q495" s="16">
        <ns0:f>(F495+H495)*(1-'前提と出典'!$B$7)-J495-L495-N495</ns0:f>
        <ns0:v>413217.0966115531</ns0:v>
      </ns0:c>
      <ns0:c r="R495" s="16">
        <ns0:f>P495-E495*'前提と出典'!$E$4</ns0:f>
        <ns0:v>817858.3271203304</ns0:v>
      </ns0:c>
      <ns0:c r="S495" s="16">
        <ns0:f>Q495-F495*'前提と出典'!$E$4</ns0:f>
        <ns0:v>301358.14245115314</ns0:v>
      </ns0:c>
      <ns0:c r="T495" s="7">
        <ns0:f>R495+S495</ns0:f>
        <ns0:v>1119216.4695714836</ns0:v>
      </ns0:c>
      <ns0:c r="U495" s="16">
        <ns0:f>P495-E495*'前提と出典'!$E$5</ns0:f>
        <ns0:v>722852.5444747712</ns0:v>
      </ns0:c>
      <ns0:c r="V495" s="16">
        <ns0:f>Q495-F495*'前提と出典'!$E$5</ns0:f>
        <ns0:v>264071.8243976864</ns0:v>
      </ns0:c>
      <ns0:c r="W495" s="7">
        <ns0:f>U495+V495</ns0:f>
        <ns0:v>986924.3688724576</ns0:v>
      </ns0:c>
      <ns0:c r="X495" s="16">
        <ns0:f>P495-E495*'前提と出典'!$E$6</ns0:f>
        <ns0:v>627846.7618292121</ns0:v>
      </ns0:c>
      <ns0:c r="Y495" s="16">
        <ns0:f>Q495-F495*'前提と出典'!$E$6</ns0:f>
        <ns0:v>226785.5063442198</ns0:v>
      </ns0:c>
      <ns0:c r="Z495" s="7">
        <ns0:f>X495+Y495</ns0:f>
        <ns0:v>854632.2681734319</ns0:v>
      </ns0:c>
      <ns0:c r="AA495" s="7">
        <ns0:f>IF(T495&gt;=0,A495,1001)</ns0:f>
        <ns0:v>491</ns0:v>
      </ns0:c>
      <ns0:c r="AB495" s="7">
        <ns0:f>IF(T495&lt;0,A495,0)</ns0:f>
        <ns0:v>0</ns0:v>
      </ns0:c>
      <ns0:c r="AC495" s="16">
        <ns0:f>IF(AND(OR('前提と出典'!$C$36+'前提と出典'!$C$38=0,R495&gt;=0),OR('前提と出典'!$C$37+'前提と出典'!$C$38=0,S495&gt;=0)),0,A495)</ns0:f>
        <ns0:v>0</ns0:v>
      </ns0:c>
      <ns0:c r="AD495" s="7">
        <ns0:f>IF(W495&gt;=0,A495,1001)</ns0:f>
        <ns0:v>491</ns0:v>
      </ns0:c>
      <ns0:c r="AE495" s="7">
        <ns0:f>IF(W495&lt;0,A495,0)</ns0:f>
        <ns0:v>0</ns0:v>
      </ns0:c>
      <ns0:c r="AF495" s="16">
        <ns0:f>IF(AND(OR('前提と出典'!$C$36+'前提と出典'!$C$38=0,U495&gt;=0),OR('前提と出典'!$C$37+'前提と出典'!$C$38=0,V495&gt;=0)),0,A495)</ns0:f>
        <ns0:v>0</ns0:v>
      </ns0:c>
      <ns0:c r="AG495" s="7">
        <ns0:f>IF(Z495&gt;=0,A495,1001)</ns0:f>
        <ns0:v>491</ns0:v>
      </ns0:c>
      <ns0:c r="AH495" s="4">
        <ns0:f>IF(Z495&lt;0,A495,0)</ns0:f>
        <ns0:v>0</ns0:v>
      </ns0:c>
      <ns0:c r="AI495" s="12">
        <ns0:f>IF(AND(OR('前提と出典'!$C$36+'前提と出典'!$C$38=0,X495&gt;=0),OR('前提と出典'!$C$37+'前提と出典'!$C$38=0,Y495&gt;=0)),0,A495)</ns0:f>
        <ns0:v>0</ns0:v>
      </ns0:c>
    </ns0:row>
    <ns0:row r="496" ht="24" customHeight="1">
      <ns0:c r="A496" s="4" t="n">
        <ns0:v>492</ns0:v>
      </ns0:c>
      <ns0:c r="B496" s="12">
        <ns0:f>A496*('前提と出典'!$C$36+'前提と出典'!$C$38)</ns0:f>
        <ns0:v>344.4</ns0:v>
      </ns0:c>
      <ns0:c r="C496" s="12">
        <ns0:f>A496*('前提と出典'!$C$37+'前提と出典'!$C$38)</ns0:f>
        <ns0:v>295.2</ns0:v>
      </ns0:c>
      <ns0:c r="D496" s="16">
        <ns0:f>A496*('前提と出典'!$C$36*'契約別単価'!C5+'前提と出典'!$C$37*'契約別単価'!C6+'前提と出典'!$C$38*'契約別単価'!C7)</ns0:f>
        <ns0:v>3540.2011173184355</ns0:v>
      </ns0:c>
      <ns0:c r="E496" s="16">
        <ns0:f>A496*('前提と出典'!$C$36*'契約別単価'!E5+'前提と出典'!$C$37*'契約別単価'!E6+'前提と出典'!$C$38*'契約別単価'!E7)</ns0:f>
        <ns0:v>951992.7711123241</ns0:v>
      </ns0:c>
      <ns0:c r="F496" s="16">
        <ns0:f>A496*('前提と出典'!$C$36*'契約別単価'!F5+'前提と出典'!$C$37*'契約別単価'!F6+'前提と出典'!$C$38*'契約別単価'!F7)</ns0:f>
        <ns0:v>373622.5760143707</ns0:v>
      </ns0:c>
      <ns0:c r="G496" s="16">
        <ns0:f>A496*('前提と出典'!$C$36*'契約別単価'!G5+'前提と出典'!$C$37*'契約別単価'!G6+'前提と出典'!$C$38*'契約別単価'!G7)</ns0:f>
        <ns0:v>979327.3743016759</ns0:v>
      </ns0:c>
      <ns0:c r="H496" s="16">
        <ns0:f>A496*('前提と出典'!$C$36*'契約別単価'!H5+'前提と出典'!$C$37*'契約別単価'!H6+'前提と出典'!$C$38*'契約別単価'!H7)</ns0:f>
        <ns0:v>339875.7160102186</ns0:v>
      </ns0:c>
      <ns0:c r="I496" s="16">
        <ns0:f>A496*('前提と出典'!$C$36*'契約別単価'!I5+'前提と出典'!$C$37*'契約別単価'!I6+'前提と出典'!$C$38*'契約別単価'!I7)</ns0:f>
        <ns0:v>20760.201117318433</ns0:v>
      </ns0:c>
      <ns0:c r="J496" s="16">
        <ns0:f>A496*('前提と出典'!$C$36*'契約別単価'!J5+'前提と出典'!$C$37*'契約別単価'!J6+'前提と出典'!$C$38*'契約別単価'!J7)</ns0:f>
        <ns0:v>48358.45550546886</ns0:v>
      </ns0:c>
      <ns0:c r="K496" s="16">
        <ns0:f>A496*('前提と出典'!$C$36*'契約別単価'!K5+'前提と出典'!$C$37*'契約別単価'!K6+'前提と出典'!$C$38*'契約別単価'!K7)</ns0:f>
        <ns0:v>207281.3407821229</ns0:v>
      </ns0:c>
      <ns0:c r="L496" s="16">
        <ns0:f>A496*('前提と出典'!$C$36*'契約別単価'!L5+'前提と出典'!$C$37*'契約別単価'!L6+'前提と出典'!$C$38*'契約別単価'!L7)</ns0:f>
        <ns0:v>168769.19053367394</ns0:v>
      </ns0:c>
      <ns0:c r="M496" s="16">
        <ns0:f>IF(('前提と出典'!$C$36+'前提と出典'!$C$38)=0,0,IF(B496&lt;=10,'前提と出典'!B73+'前提と出典'!C73,IF(B496&lt;=100,'前提と出典'!B74+'前提と出典'!C74,IF(B496&lt;=500,'前提と出典'!B75+'前提と出典'!C75,'前提と出典'!B76+'前提と出典'!C76))))</ns0:f>
        <ns0:v>40000</ns0:v>
      </ns0:c>
      <ns0:c r="N496" s="16">
        <ns0:f>IF(('前提と出典'!$C$37+'前提と出典'!$C$38)=0,0,IF(C496&lt;=10,'前提と出典'!D73+'前提と出典'!E73,IF(C496&lt;=100,'前提と出典'!D74+'前提と出典'!E74,IF(C496&lt;=500,'前提と出典'!D75+'前提と出典'!E75,'前提と出典'!D76+'前提と出典'!E76))))</ns0:f>
        <ns0:v>56510.9346263078</ns0:v>
      </ns0:c>
      <ns0:c r="O496" s="16">
        <ns0:f>IF('前提と出典'!$C$36+'前提と出典'!$C$38=0,0,'前提と出典'!$B$4*IF('前提と出典'!$B$20=0,MAX('前提と出典'!$B$6,D496*'前提と出典'!$B$5),'前提と出典'!$B$6+D496*'前提と出典'!$B$5))</ns0:f>
        <ns0:v>488547.7541899441</ns0:v>
      </ns0:c>
      <ns0:c r="P496" s="16">
        <ns0:f>(E496+G496)*(1-'前提と出典'!$B$7)-I496-K496-M496-O496</ns0:f>
        <ns0:v>1105203.3240897106</ns0:v>
      </ns0:c>
      <ns0:c r="Q496" s="16">
        <ns0:f>(F496+H496)*(1-'前提と出典'!$B$7)-J496-L496-N496</ns0:f>
        <ns0:v>414173.7728462535</ns0:v>
      </ns0:c>
      <ns0:c r="R496" s="16">
        <ns0:f>P496-E496*'前提と出典'!$E$4</ns0:f>
        <ns0:v>819605.4927560133</ns0:v>
      </ns0:c>
      <ns0:c r="S496" s="16">
        <ns0:f>Q496-F496*'前提と出典'!$E$4</ns0:f>
        <ns0:v>302087.0000419422</ns0:v>
      </ns0:c>
      <ns0:c r="T496" s="7">
        <ns0:f>R496+S496</ns0:f>
        <ns0:v>1121692.4927979554</ns0:v>
      </ns0:c>
      <ns0:c r="U496" s="16">
        <ns0:f>P496-E496*'前提と出典'!$E$5</ns0:f>
        <ns0:v>724406.215644781</ns0:v>
      </ns0:c>
      <ns0:c r="V496" s="16">
        <ns0:f>Q496-F496*'前提と出典'!$E$5</ns0:f>
        <ns0:v>264724.7424405052</ns0:v>
      </ns0:c>
      <ns0:c r="W496" s="7">
        <ns0:f>U496+V496</ns0:f>
        <ns0:v>989130.9580852862</ns0:v>
      </ns0:c>
      <ns0:c r="X496" s="16">
        <ns0:f>P496-E496*'前提と出典'!$E$6</ns0:f>
        <ns0:v>629206.9385335485</ns0:v>
      </ns0:c>
      <ns0:c r="Y496" s="16">
        <ns0:f>Q496-F496*'前提と出典'!$E$6</ns0:f>
        <ns0:v>227362.48483906814</ns0:v>
      </ns0:c>
      <ns0:c r="Z496" s="7">
        <ns0:f>X496+Y496</ns0:f>
        <ns0:v>856569.4233726166</ns0:v>
      </ns0:c>
      <ns0:c r="AA496" s="7">
        <ns0:f>IF(T496&gt;=0,A496,1001)</ns0:f>
        <ns0:v>492</ns0:v>
      </ns0:c>
      <ns0:c r="AB496" s="7">
        <ns0:f>IF(T496&lt;0,A496,0)</ns0:f>
        <ns0:v>0</ns0:v>
      </ns0:c>
      <ns0:c r="AC496" s="16">
        <ns0:f>IF(AND(OR('前提と出典'!$C$36+'前提と出典'!$C$38=0,R496&gt;=0),OR('前提と出典'!$C$37+'前提と出典'!$C$38=0,S496&gt;=0)),0,A496)</ns0:f>
        <ns0:v>0</ns0:v>
      </ns0:c>
      <ns0:c r="AD496" s="7">
        <ns0:f>IF(W496&gt;=0,A496,1001)</ns0:f>
        <ns0:v>492</ns0:v>
      </ns0:c>
      <ns0:c r="AE496" s="7">
        <ns0:f>IF(W496&lt;0,A496,0)</ns0:f>
        <ns0:v>0</ns0:v>
      </ns0:c>
      <ns0:c r="AF496" s="16">
        <ns0:f>IF(AND(OR('前提と出典'!$C$36+'前提と出典'!$C$38=0,U496&gt;=0),OR('前提と出典'!$C$37+'前提と出典'!$C$38=0,V496&gt;=0)),0,A496)</ns0:f>
        <ns0:v>0</ns0:v>
      </ns0:c>
      <ns0:c r="AG496" s="7">
        <ns0:f>IF(Z496&gt;=0,A496,1001)</ns0:f>
        <ns0:v>492</ns0:v>
      </ns0:c>
      <ns0:c r="AH496" s="4">
        <ns0:f>IF(Z496&lt;0,A496,0)</ns0:f>
        <ns0:v>0</ns0:v>
      </ns0:c>
      <ns0:c r="AI496" s="12">
        <ns0:f>IF(AND(OR('前提と出典'!$C$36+'前提と出典'!$C$38=0,X496&gt;=0),OR('前提と出典'!$C$37+'前提と出典'!$C$38=0,Y496&gt;=0)),0,A496)</ns0:f>
        <ns0:v>0</ns0:v>
      </ns0:c>
    </ns0:row>
    <ns0:row r="497" ht="24" customHeight="1">
      <ns0:c r="A497" s="4" t="n">
        <ns0:v>493</ns0:v>
      </ns0:c>
      <ns0:c r="B497" s="12">
        <ns0:f>A497*('前提と出典'!$C$36+'前提と出典'!$C$38)</ns0:f>
        <ns0:v>345.09999999999997</ns0:v>
      </ns0:c>
      <ns0:c r="C497" s="12">
        <ns0:f>A497*('前提と出典'!$C$37+'前提と出典'!$C$38)</ns0:f>
        <ns0:v>295.8</ns0:v>
      </ns0:c>
      <ns0:c r="D497" s="16">
        <ns0:f>A497*('前提と出典'!$C$36*'契約別単価'!C5+'前提と出典'!$C$37*'契約別単価'!C6+'前提と出典'!$C$38*'契約別単価'!C7)</ns0:f>
        <ns0:v>3547.396648044693</ns0:v>
      </ns0:c>
      <ns0:c r="E497" s="16">
        <ns0:f>A497*('前提と出典'!$C$36*'契約別単価'!E5+'前提と出典'!$C$37*'契約別単価'!E6+'前提と出典'!$C$38*'契約別単価'!E7)</ns0:f>
        <ns0:v>953927.7157690565</ns0:v>
      </ns0:c>
      <ns0:c r="F497" s="16">
        <ns0:f>A497*('前提と出典'!$C$36*'契約別単価'!F5+'前提と出典'!$C$37*'契約別単価'!F6+'前提と出典'!$C$38*'契約別単価'!F7)</ns0:f>
        <ns0:v>374381.97149407474</ns0:v>
      </ns0:c>
      <ns0:c r="G497" s="16">
        <ns0:f>A497*('前提と出典'!$C$36*'契約別単価'!G5+'前提と出典'!$C$37*'契約別単価'!G6+'前提と出典'!$C$38*'契約別単価'!G7)</ns0:f>
        <ns0:v>981317.8770949721</ns0:v>
      </ns0:c>
      <ns0:c r="H497" s="16">
        <ns0:f>A497*('前提と出典'!$C$36*'契約別単価'!H5+'前提と出典'!$C$37*'契約別単価'!H6+'前提と出典'!$C$38*'契約別単価'!H7)</ns0:f>
        <ns0:v>340566.5203110524</ns0:v>
      </ns0:c>
      <ns0:c r="I497" s="16">
        <ns0:f>A497*('前提と出典'!$C$36*'契約別単価'!I5+'前提と出典'!$C$37*'契約別単価'!I6+'前提と出典'!$C$38*'契約別単価'!I7)</ns0:f>
        <ns0:v>20802.39664804469</ns0:v>
      </ns0:c>
      <ns0:c r="J497" s="16">
        <ns0:f>A497*('前提と出典'!$C$36*'契約別単価'!J5+'前提と出典'!$C$37*'契約別単価'!J6+'前提と出典'!$C$38*'契約別単価'!J7)</ns0:f>
        <ns0:v>48456.74504917917</ns0:v>
      </ns0:c>
      <ns0:c r="K497" s="16">
        <ns0:f>A497*('前提と出典'!$C$36*'契約別単価'!K5+'前提と出典'!$C$37*'契約別単価'!K6+'前提と出典'!$C$38*'契約別単価'!K7)</ns0:f>
        <ns0:v>207702.64432029793</ns0:v>
      </ns0:c>
      <ns0:c r="L497" s="16">
        <ns0:f>A497*('前提と出典'!$C$36*'契約別単価'!L5+'前提と出典'!$C$37*'契約別単価'!L6+'前提と出典'!$C$38*'契約別単価'!L7)</ns0:f>
        <ns0:v>169112.21734370175</ns0:v>
      </ns0:c>
      <ns0:c r="M497" s="16">
        <ns0:f>IF(('前提と出典'!$C$36+'前提と出典'!$C$38)=0,0,IF(B497&lt;=10,'前提と出典'!B73+'前提と出典'!C73,IF(B497&lt;=100,'前提と出典'!B74+'前提と出典'!C74,IF(B497&lt;=500,'前提と出典'!B75+'前提と出典'!C75,'前提と出典'!B76+'前提と出典'!C76))))</ns0:f>
        <ns0:v>40000</ns0:v>
      </ns0:c>
      <ns0:c r="N497" s="16">
        <ns0:f>IF(('前提と出典'!$C$37+'前提と出典'!$C$38)=0,0,IF(C497&lt;=10,'前提と出典'!D73+'前提と出典'!E73,IF(C497&lt;=100,'前提と出典'!D74+'前提と出典'!E74,IF(C497&lt;=500,'前提と出典'!D75+'前提と出典'!E75,'前提と出典'!D76+'前提と出典'!E76))))</ns0:f>
        <ns0:v>56510.9346263078</ns0:v>
      </ns0:c>
      <ns0:c r="O497" s="16">
        <ns0:f>IF('前提と出典'!$C$36+'前提と出典'!$C$38=0,0,'前提と出典'!$B$4*IF('前提と出典'!$B$20=0,MAX('前提と出典'!$B$6,D497*'前提と出典'!$B$5),'前提と出典'!$B$6+D497*'前提と出典'!$B$5))</ns0:f>
        <ns0:v>489540.7374301677</ns0:v>
      </ns0:c>
      <ns0:c r="P497" s="16">
        <ns0:f>(E497+G497)*(1-'前提と出典'!$B$7)-I497-K497-M497-O497</ns0:f>
        <ns0:v>1107530.9731224133</ns0:v>
      </ns0:c>
      <ns0:c r="Q497" s="16">
        <ns0:f>(F497+H497)*(1-'前提と出典'!$B$7)-J497-L497-N497</ns0:f>
        <ns0:v>415130.44908095384</ns0:v>
      </ns0:c>
      <ns0:c r="R497" s="16">
        <ns0:f>P497-E497*'前提と出典'!$E$4</ns0:f>
        <ns0:v>821352.6583916964</ns0:v>
      </ns0:c>
      <ns0:c r="S497" s="16">
        <ns0:f>Q497-F497*'前提と出典'!$E$4</ns0:f>
        <ns0:v>302815.85763273144</ns0:v>
      </ns0:c>
      <ns0:c r="T497" s="7">
        <ns0:f>R497+S497</ns0:f>
        <ns0:v>1124168.516024428</ns0:v>
      </ns0:c>
      <ns0:c r="U497" s="16">
        <ns0:f>P497-E497*'前提と出典'!$E$5</ns0:f>
        <ns0:v>725959.8868147908</ns0:v>
      </ns0:c>
      <ns0:c r="V497" s="16">
        <ns0:f>Q497-F497*'前提と出典'!$E$5</ns0:f>
        <ns0:v>265377.66048332397</ns0:v>
      </ns0:c>
      <ns0:c r="W497" s="7">
        <ns0:f>U497+V497</ns0:f>
        <ns0:v>991337.5472981147</ns0:v>
      </ns0:c>
      <ns0:c r="X497" s="16">
        <ns0:f>P497-E497*'前提と出典'!$E$6</ns0:f>
        <ns0:v>630567.1152378852</ns0:v>
      </ns0:c>
      <ns0:c r="Y497" s="16">
        <ns0:f>Q497-F497*'前提と出典'!$E$6</ns0:f>
        <ns0:v>227939.4633339165</ns0:v>
      </ns0:c>
      <ns0:c r="Z497" s="7">
        <ns0:f>X497+Y497</ns0:f>
        <ns0:v>858506.5785718017</ns0:v>
      </ns0:c>
      <ns0:c r="AA497" s="7">
        <ns0:f>IF(T497&gt;=0,A497,1001)</ns0:f>
        <ns0:v>493</ns0:v>
      </ns0:c>
      <ns0:c r="AB497" s="7">
        <ns0:f>IF(T497&lt;0,A497,0)</ns0:f>
        <ns0:v>0</ns0:v>
      </ns0:c>
      <ns0:c r="AC497" s="16">
        <ns0:f>IF(AND(OR('前提と出典'!$C$36+'前提と出典'!$C$38=0,R497&gt;=0),OR('前提と出典'!$C$37+'前提と出典'!$C$38=0,S497&gt;=0)),0,A497)</ns0:f>
        <ns0:v>0</ns0:v>
      </ns0:c>
      <ns0:c r="AD497" s="7">
        <ns0:f>IF(W497&gt;=0,A497,1001)</ns0:f>
        <ns0:v>493</ns0:v>
      </ns0:c>
      <ns0:c r="AE497" s="7">
        <ns0:f>IF(W497&lt;0,A497,0)</ns0:f>
        <ns0:v>0</ns0:v>
      </ns0:c>
      <ns0:c r="AF497" s="16">
        <ns0:f>IF(AND(OR('前提と出典'!$C$36+'前提と出典'!$C$38=0,U497&gt;=0),OR('前提と出典'!$C$37+'前提と出典'!$C$38=0,V497&gt;=0)),0,A497)</ns0:f>
        <ns0:v>0</ns0:v>
      </ns0:c>
      <ns0:c r="AG497" s="7">
        <ns0:f>IF(Z497&gt;=0,A497,1001)</ns0:f>
        <ns0:v>493</ns0:v>
      </ns0:c>
      <ns0:c r="AH497" s="4">
        <ns0:f>IF(Z497&lt;0,A497,0)</ns0:f>
        <ns0:v>0</ns0:v>
      </ns0:c>
      <ns0:c r="AI497" s="12">
        <ns0:f>IF(AND(OR('前提と出典'!$C$36+'前提と出典'!$C$38=0,X497&gt;=0),OR('前提と出典'!$C$37+'前提と出典'!$C$38=0,Y497&gt;=0)),0,A497)</ns0:f>
        <ns0:v>0</ns0:v>
      </ns0:c>
    </ns0:row>
    <ns0:row r="498" ht="24" customHeight="1">
      <ns0:c r="A498" s="4" t="n">
        <ns0:v>494</ns0:v>
      </ns0:c>
      <ns0:c r="B498" s="12">
        <ns0:f>A498*('前提と出典'!$C$36+'前提と出典'!$C$38)</ns0:f>
        <ns0:v>345.79999999999995</ns0:v>
      </ns0:c>
      <ns0:c r="C498" s="12">
        <ns0:f>A498*('前提と出典'!$C$37+'前提と出典'!$C$38)</ns0:f>
        <ns0:v>296.4</ns0:v>
      </ns0:c>
      <ns0:c r="D498" s="16">
        <ns0:f>A498*('前提と出典'!$C$36*'契約別単価'!C5+'前提と出典'!$C$37*'契約別単価'!C6+'前提と出典'!$C$38*'契約別単価'!C7)</ns0:f>
        <ns0:v>3554.59217877095</ns0:v>
      </ns0:c>
      <ns0:c r="E498" s="16">
        <ns0:f>A498*('前提と出典'!$C$36*'契約別単価'!E5+'前提と出典'!$C$37*'契約別単価'!E6+'前提と出典'!$C$38*'契約別単価'!E7)</ns0:f>
        <ns0:v>955862.6604257888</ns0:v>
      </ns0:c>
      <ns0:c r="F498" s="16">
        <ns0:f>A498*('前提と出典'!$C$36*'契約別単価'!F5+'前提と出典'!$C$37*'契約別単価'!F6+'前提と出典'!$C$38*'契約別単価'!F7)</ns0:f>
        <ns0:v>375141.36697377876</ns0:v>
      </ns0:c>
      <ns0:c r="G498" s="16">
        <ns0:f>A498*('前提と出典'!$C$36*'契約別単価'!G5+'前提と出典'!$C$37*'契約別単価'!G6+'前提と出典'!$C$38*'契約別単価'!G7)</ns0:f>
        <ns0:v>983308.3798882681</ns0:v>
      </ns0:c>
      <ns0:c r="H498" s="16">
        <ns0:f>A498*('前提と出典'!$C$36*'契約別単価'!H5+'前提と出典'!$C$37*'契約別単価'!H6+'前提と出典'!$C$38*'契約別単価'!H7)</ns0:f>
        <ns0:v>341257.3246118862</ns0:v>
      </ns0:c>
      <ns0:c r="I498" s="16">
        <ns0:f>A498*('前提と出典'!$C$36*'契約別単価'!I5+'前提と出典'!$C$37*'契約別単価'!I6+'前提と出典'!$C$38*'契約別単価'!I7)</ns0:f>
        <ns0:v>20844.592178770945</ns0:v>
      </ns0:c>
      <ns0:c r="J498" s="16">
        <ns0:f>A498*('前提と出典'!$C$36*'契約別単価'!J5+'前提と出典'!$C$37*'契約別単価'!J6+'前提と出典'!$C$38*'契約別単価'!J7)</ns0:f>
        <ns0:v>48555.03459288947</ns0:v>
      </ns0:c>
      <ns0:c r="K498" s="16">
        <ns0:f>A498*('前提と出典'!$C$36*'契約別単価'!K5+'前提と出典'!$C$37*'契約別単価'!K6+'前提と出典'!$C$38*'契約別単価'!K7)</ns0:f>
        <ns0:v>208123.947858473</ns0:v>
      </ns0:c>
      <ns0:c r="L498" s="16">
        <ns0:f>A498*('前提と出典'!$C$36*'契約別単価'!L5+'前提と出典'!$C$37*'契約別単価'!L6+'前提と出典'!$C$38*'契約別単価'!L7)</ns0:f>
        <ns0:v>169455.24415372952</ns0:v>
      </ns0:c>
      <ns0:c r="M498" s="16">
        <ns0:f>IF(('前提と出典'!$C$36+'前提と出典'!$C$38)=0,0,IF(B498&lt;=10,'前提と出典'!B73+'前提と出典'!C73,IF(B498&lt;=100,'前提と出典'!B74+'前提と出典'!C74,IF(B498&lt;=500,'前提と出典'!B75+'前提と出典'!C75,'前提と出典'!B76+'前提と出典'!C76))))</ns0:f>
        <ns0:v>40000</ns0:v>
      </ns0:c>
      <ns0:c r="N498" s="16">
        <ns0:f>IF(('前提と出典'!$C$37+'前提と出典'!$C$38)=0,0,IF(C498&lt;=10,'前提と出典'!D73+'前提と出典'!E73,IF(C498&lt;=100,'前提と出典'!D74+'前提と出典'!E74,IF(C498&lt;=500,'前提と出典'!D75+'前提と出典'!E75,'前提と出典'!D76+'前提と出典'!E76))))</ns0:f>
        <ns0:v>56510.9346263078</ns0:v>
      </ns0:c>
      <ns0:c r="O498" s="16">
        <ns0:f>IF('前提と出典'!$C$36+'前提と出典'!$C$38=0,0,'前提と出典'!$B$4*IF('前提と出典'!$B$20=0,MAX('前提と出典'!$B$6,D498*'前提と出典'!$B$5),'前提と出典'!$B$6+D498*'前提と出典'!$B$5))</ns0:f>
        <ns0:v>490533.7206703911</ns0:v>
      </ns0:c>
      <ns0:c r="P498" s="16">
        <ns0:f>(E498+G498)*(1-'前提と出典'!$B$7)-I498-K498-M498-O498</ns0:f>
        <ns0:v>1109858.6221551157</ns0:v>
      </ns0:c>
      <ns0:c r="Q498" s="16">
        <ns0:f>(F498+H498)*(1-'前提と出典'!$B$7)-J498-L498-N498</ns0:f>
        <ns0:v>416087.12531565403</ns0:v>
      </ns0:c>
      <ns0:c r="R498" s="16">
        <ns0:f>P498-E498*'前提と出典'!$E$4</ns0:f>
        <ns0:v>823099.824027379</ns0:v>
      </ns0:c>
      <ns0:c r="S498" s="16">
        <ns0:f>Q498-F498*'前提と出典'!$E$4</ns0:f>
        <ns0:v>303544.7152235205</ns0:v>
      </ns0:c>
      <ns0:c r="T498" s="7">
        <ns0:f>R498+S498</ns0:f>
        <ns0:v>1126644.5392508996</ns0:v>
      </ns0:c>
      <ns0:c r="U498" s="16">
        <ns0:f>P498-E498*'前提と出典'!$E$5</ns0:f>
        <ns0:v>727513.5579848001</ns0:v>
      </ns0:c>
      <ns0:c r="V498" s="16">
        <ns0:f>Q498-F498*'前提と出典'!$E$5</ns0:f>
        <ns0:v>266030.5785261425</ns0:v>
      </ns0:c>
      <ns0:c r="W498" s="7">
        <ns0:f>U498+V498</ns0:f>
        <ns0:v>993544.1365109426</ns0:v>
      </ns0:c>
      <ns0:c r="X498" s="16">
        <ns0:f>P498-E498*'前提と出典'!$E$6</ns0:f>
        <ns0:v>631927.2919422213</ns0:v>
      </ns0:c>
      <ns0:c r="Y498" s="16">
        <ns0:f>Q498-F498*'前提と出典'!$E$6</ns0:f>
        <ns0:v>228516.4418287648</ns0:v>
      </ns0:c>
      <ns0:c r="Z498" s="7">
        <ns0:f>X498+Y498</ns0:f>
        <ns0:v>860443.7337709861</ns0:v>
      </ns0:c>
      <ns0:c r="AA498" s="7">
        <ns0:f>IF(T498&gt;=0,A498,1001)</ns0:f>
        <ns0:v>494</ns0:v>
      </ns0:c>
      <ns0:c r="AB498" s="7">
        <ns0:f>IF(T498&lt;0,A498,0)</ns0:f>
        <ns0:v>0</ns0:v>
      </ns0:c>
      <ns0:c r="AC498" s="16">
        <ns0:f>IF(AND(OR('前提と出典'!$C$36+'前提と出典'!$C$38=0,R498&gt;=0),OR('前提と出典'!$C$37+'前提と出典'!$C$38=0,S498&gt;=0)),0,A498)</ns0:f>
        <ns0:v>0</ns0:v>
      </ns0:c>
      <ns0:c r="AD498" s="7">
        <ns0:f>IF(W498&gt;=0,A498,1001)</ns0:f>
        <ns0:v>494</ns0:v>
      </ns0:c>
      <ns0:c r="AE498" s="7">
        <ns0:f>IF(W498&lt;0,A498,0)</ns0:f>
        <ns0:v>0</ns0:v>
      </ns0:c>
      <ns0:c r="AF498" s="16">
        <ns0:f>IF(AND(OR('前提と出典'!$C$36+'前提と出典'!$C$38=0,U498&gt;=0),OR('前提と出典'!$C$37+'前提と出典'!$C$38=0,V498&gt;=0)),0,A498)</ns0:f>
        <ns0:v>0</ns0:v>
      </ns0:c>
      <ns0:c r="AG498" s="7">
        <ns0:f>IF(Z498&gt;=0,A498,1001)</ns0:f>
        <ns0:v>494</ns0:v>
      </ns0:c>
      <ns0:c r="AH498" s="4">
        <ns0:f>IF(Z498&lt;0,A498,0)</ns0:f>
        <ns0:v>0</ns0:v>
      </ns0:c>
      <ns0:c r="AI498" s="12">
        <ns0:f>IF(AND(OR('前提と出典'!$C$36+'前提と出典'!$C$38=0,X498&gt;=0),OR('前提と出典'!$C$37+'前提と出典'!$C$38=0,Y498&gt;=0)),0,A498)</ns0:f>
        <ns0:v>0</ns0:v>
      </ns0:c>
    </ns0:row>
    <ns0:row r="499" ht="24" customHeight="1">
      <ns0:c r="A499" s="4" t="n">
        <ns0:v>495</ns0:v>
      </ns0:c>
      <ns0:c r="B499" s="12">
        <ns0:f>A499*('前提と出典'!$C$36+'前提と出典'!$C$38)</ns0:f>
        <ns0:v>346.5</ns0:v>
      </ns0:c>
      <ns0:c r="C499" s="12">
        <ns0:f>A499*('前提と出典'!$C$37+'前提と出典'!$C$38)</ns0:f>
        <ns0:v>297</ns0:v>
      </ns0:c>
      <ns0:c r="D499" s="16">
        <ns0:f>A499*('前提と出典'!$C$36*'契約別単価'!C5+'前提と出典'!$C$37*'契約別単価'!C6+'前提と出典'!$C$38*'契約別単価'!C7)</ns0:f>
        <ns0:v>3561.787709497207</ns0:v>
      </ns0:c>
      <ns0:c r="E499" s="16">
        <ns0:f>A499*('前提と出典'!$C$36*'契約別単価'!E5+'前提と出典'!$C$37*'契約別単価'!E6+'前提と出典'!$C$38*'契約別単価'!E7)</ns0:f>
        <ns0:v>957797.6050825211</ns0:v>
      </ns0:c>
      <ns0:c r="F499" s="16">
        <ns0:f>A499*('前提と出典'!$C$36*'契約別単価'!F5+'前提と出典'!$C$37*'契約別単価'!F6+'前提と出典'!$C$38*'契約別単価'!F7)</ns0:f>
        <ns0:v>375900.7624534827</ns0:v>
      </ns0:c>
      <ns0:c r="G499" s="16">
        <ns0:f>A499*('前提と出典'!$C$36*'契約別単価'!G5+'前提と出典'!$C$37*'契約別単価'!G6+'前提と出典'!$C$38*'契約別単価'!G7)</ns0:f>
        <ns0:v>985298.8826815642</ns0:v>
      </ns0:c>
      <ns0:c r="H499" s="16">
        <ns0:f>A499*('前提と出典'!$C$36*'契約別単価'!H5+'前提と出典'!$C$37*'契約別単価'!H6+'前提と出典'!$C$38*'契約別単価'!H7)</ns0:f>
        <ns0:v>341948.12891271996</ns0:v>
      </ns0:c>
      <ns0:c r="I499" s="16">
        <ns0:f>A499*('前提と出典'!$C$36*'契約別単価'!I5+'前提と出典'!$C$37*'契約別単価'!I6+'前提と出典'!$C$38*'契約別単価'!I7)</ns0:f>
        <ns0:v>20886.787709497203</ns0:v>
      </ns0:c>
      <ns0:c r="J499" s="16">
        <ns0:f>A499*('前提と出典'!$C$36*'契約別単価'!J5+'前提と出典'!$C$37*'契約別単価'!J6+'前提と出典'!$C$38*'契約別単価'!J7)</ns0:f>
        <ns0:v>48653.32413659977</ns0:v>
      </ns0:c>
      <ns0:c r="K499" s="16">
        <ns0:f>A499*('前提と出典'!$C$36*'契約別単価'!K5+'前提と出典'!$C$37*'契約別単価'!K6+'前提と出典'!$C$38*'契約別単価'!K7)</ns0:f>
        <ns0:v>208545.25139664803</ns0:v>
      </ns0:c>
      <ns0:c r="L499" s="16">
        <ns0:f>A499*('前提と出典'!$C$36*'契約別単価'!L5+'前提と出典'!$C$37*'契約別単価'!L6+'前提と出典'!$C$38*'契約別単価'!L7)</ns0:f>
        <ns0:v>169798.27096375733</ns0:v>
      </ns0:c>
      <ns0:c r="M499" s="16">
        <ns0:f>IF(('前提と出典'!$C$36+'前提と出典'!$C$38)=0,0,IF(B499&lt;=10,'前提と出典'!B73+'前提と出典'!C73,IF(B499&lt;=100,'前提と出典'!B74+'前提と出典'!C74,IF(B499&lt;=500,'前提と出典'!B75+'前提と出典'!C75,'前提と出典'!B76+'前提と出典'!C76))))</ns0:f>
        <ns0:v>40000</ns0:v>
      </ns0:c>
      <ns0:c r="N499" s="16">
        <ns0:f>IF(('前提と出典'!$C$37+'前提と出典'!$C$38)=0,0,IF(C499&lt;=10,'前提と出典'!D73+'前提と出典'!E73,IF(C499&lt;=100,'前提と出典'!D74+'前提と出典'!E74,IF(C499&lt;=500,'前提と出典'!D75+'前提と出典'!E75,'前提と出典'!D76+'前提と出典'!E76))))</ns0:f>
        <ns0:v>56510.9346263078</ns0:v>
      </ns0:c>
      <ns0:c r="O499" s="16">
        <ns0:f>IF('前提と出典'!$C$36+'前提と出典'!$C$38=0,0,'前提と出典'!$B$4*IF('前提と出典'!$B$20=0,MAX('前提と出典'!$B$6,D499*'前提と出典'!$B$5),'前提と出典'!$B$6+D499*'前提と出典'!$B$5))</ns0:f>
        <ns0:v>491526.70391061454</ns0:v>
      </ns0:c>
      <ns0:c r="P499" s="16">
        <ns0:f>(E499+G499)*(1-'前提と出典'!$B$7)-I499-K499-M499-O499</ns0:f>
        <ns0:v>1112186.2711878181</ns0:v>
      </ns0:c>
      <ns0:c r="Q499" s="16">
        <ns0:f>(F499+H499)*(1-'前提と出典'!$B$7)-J499-L499-N499</ns0:f>
        <ns0:v>417043.8015503545</ns0:v>
      </ns0:c>
      <ns0:c r="R499" s="16">
        <ns0:f>P499-E499*'前提と出典'!$E$4</ns0:f>
        <ns0:v>824846.9896630617</ns0:v>
      </ns0:c>
      <ns0:c r="S499" s="16">
        <ns0:f>Q499-F499*'前提と出典'!$E$4</ns0:f>
        <ns0:v>304273.5728143096</ns0:v>
      </ns0:c>
      <ns0:c r="T499" s="7">
        <ns0:f>R499+S499</ns0:f>
        <ns0:v>1129120.5624773712</ns0:v>
      </ns0:c>
      <ns0:c r="U499" s="16">
        <ns0:f>P499-E499*'前提と出典'!$E$5</ns0:f>
        <ns0:v>729067.2291548096</ns0:v>
      </ns0:c>
      <ns0:c r="V499" s="16">
        <ns0:f>Q499-F499*'前提と出典'!$E$5</ns0:f>
        <ns0:v>266683.4965689614</ns0:v>
      </ns0:c>
      <ns0:c r="W499" s="7">
        <ns0:f>U499+V499</ns0:f>
        <ns0:v>995750.725723771</ns0:v>
      </ns0:c>
      <ns0:c r="X499" s="16">
        <ns0:f>P499-E499*'前提と出典'!$E$6</ns0:f>
        <ns0:v>633287.4686465575</ns0:v>
      </ns0:c>
      <ns0:c r="Y499" s="16">
        <ns0:f>Q499-F499*'前提と出典'!$E$6</ns0:f>
        <ns0:v>229093.4203236131</ns0:v>
      </ns0:c>
      <ns0:c r="Z499" s="7">
        <ns0:f>X499+Y499</ns0:f>
        <ns0:v>862380.8889701706</ns0:v>
      </ns0:c>
      <ns0:c r="AA499" s="7">
        <ns0:f>IF(T499&gt;=0,A499,1001)</ns0:f>
        <ns0:v>495</ns0:v>
      </ns0:c>
      <ns0:c r="AB499" s="7">
        <ns0:f>IF(T499&lt;0,A499,0)</ns0:f>
        <ns0:v>0</ns0:v>
      </ns0:c>
      <ns0:c r="AC499" s="16">
        <ns0:f>IF(AND(OR('前提と出典'!$C$36+'前提と出典'!$C$38=0,R499&gt;=0),OR('前提と出典'!$C$37+'前提と出典'!$C$38=0,S499&gt;=0)),0,A499)</ns0:f>
        <ns0:v>0</ns0:v>
      </ns0:c>
      <ns0:c r="AD499" s="7">
        <ns0:f>IF(W499&gt;=0,A499,1001)</ns0:f>
        <ns0:v>495</ns0:v>
      </ns0:c>
      <ns0:c r="AE499" s="7">
        <ns0:f>IF(W499&lt;0,A499,0)</ns0:f>
        <ns0:v>0</ns0:v>
      </ns0:c>
      <ns0:c r="AF499" s="16">
        <ns0:f>IF(AND(OR('前提と出典'!$C$36+'前提と出典'!$C$38=0,U499&gt;=0),OR('前提と出典'!$C$37+'前提と出典'!$C$38=0,V499&gt;=0)),0,A499)</ns0:f>
        <ns0:v>0</ns0:v>
      </ns0:c>
      <ns0:c r="AG499" s="7">
        <ns0:f>IF(Z499&gt;=0,A499,1001)</ns0:f>
        <ns0:v>495</ns0:v>
      </ns0:c>
      <ns0:c r="AH499" s="4">
        <ns0:f>IF(Z499&lt;0,A499,0)</ns0:f>
        <ns0:v>0</ns0:v>
      </ns0:c>
      <ns0:c r="AI499" s="12">
        <ns0:f>IF(AND(OR('前提と出典'!$C$36+'前提と出典'!$C$38=0,X499&gt;=0),OR('前提と出典'!$C$37+'前提と出典'!$C$38=0,Y499&gt;=0)),0,A499)</ns0:f>
        <ns0:v>0</ns0:v>
      </ns0:c>
    </ns0:row>
    <ns0:row r="500" ht="24" customHeight="1">
      <ns0:c r="A500" s="4" t="n">
        <ns0:v>496</ns0:v>
      </ns0:c>
      <ns0:c r="B500" s="12">
        <ns0:f>A500*('前提と出典'!$C$36+'前提と出典'!$C$38)</ns0:f>
        <ns0:v>347.2</ns0:v>
      </ns0:c>
      <ns0:c r="C500" s="12">
        <ns0:f>A500*('前提と出典'!$C$37+'前提と出典'!$C$38)</ns0:f>
        <ns0:v>297.59999999999997</ns0:v>
      </ns0:c>
      <ns0:c r="D500" s="16">
        <ns0:f>A500*('前提と出典'!$C$36*'契約別単価'!C5+'前提と出典'!$C$37*'契約別単価'!C6+'前提と出典'!$C$38*'契約別単価'!C7)</ns0:f>
        <ns0:v>3568.983240223464</ns0:v>
      </ns0:c>
      <ns0:c r="E500" s="16">
        <ns0:f>A500*('前提と出典'!$C$36*'契約別単価'!E5+'前提と出典'!$C$37*'契約別単価'!E6+'前提と出典'!$C$38*'契約別単価'!E7)</ns0:f>
        <ns0:v>959732.5497392535</ns0:v>
      </ns0:c>
      <ns0:c r="F500" s="16">
        <ns0:f>A500*('前提と出典'!$C$36*'契約別単価'!F5+'前提と出典'!$C$37*'契約別単価'!F6+'前提と出典'!$C$38*'契約別単価'!F7)</ns0:f>
        <ns0:v>376660.15793318674</ns0:v>
      </ns0:c>
      <ns0:c r="G500" s="16">
        <ns0:f>A500*('前提と出典'!$C$36*'契約別単価'!G5+'前提と出典'!$C$37*'契約別単価'!G6+'前提と出典'!$C$38*'契約別単価'!G7)</ns0:f>
        <ns0:v>987289.3854748603</ns0:v>
      </ns0:c>
      <ns0:c r="H500" s="16">
        <ns0:f>A500*('前提と出典'!$C$36*'契約別単価'!H5+'前提と出典'!$C$37*'契約別単価'!H6+'前提と出典'!$C$38*'契約別単価'!H7)</ns0:f>
        <ns0:v>342638.93321355374</ns0:v>
      </ns0:c>
      <ns0:c r="I500" s="16">
        <ns0:f>A500*('前提と出典'!$C$36*'契約別単価'!I5+'前提と出典'!$C$37*'契約別単価'!I6+'前提と出典'!$C$38*'契約別単価'!I7)</ns0:f>
        <ns0:v>20928.98324022346</ns0:v>
      </ns0:c>
      <ns0:c r="J500" s="16">
        <ns0:f>A500*('前提と出典'!$C$36*'契約別単価'!J5+'前提と出典'!$C$37*'契約別単価'!J6+'前提と出典'!$C$38*'契約別単価'!J7)</ns0:f>
        <ns0:v>48751.613680310074</ns0:v>
      </ns0:c>
      <ns0:c r="K500" s="16">
        <ns0:f>A500*('前提と出典'!$C$36*'契約別単価'!K5+'前提と出典'!$C$37*'契約別単価'!K6+'前提と出典'!$C$38*'契約別単価'!K7)</ns0:f>
        <ns0:v>208966.55493482307</ns0:v>
      </ns0:c>
      <ns0:c r="L500" s="16">
        <ns0:f>A500*('前提と出典'!$C$36*'契約別単価'!L5+'前提と出典'!$C$37*'契約別単価'!L6+'前提と出典'!$C$38*'契約別単価'!L7)</ns0:f>
        <ns0:v>170141.29777378513</ns0:v>
      </ns0:c>
      <ns0:c r="M500" s="16">
        <ns0:f>IF(('前提と出典'!$C$36+'前提と出典'!$C$38)=0,0,IF(B500&lt;=10,'前提と出典'!B73+'前提と出典'!C73,IF(B500&lt;=100,'前提と出典'!B74+'前提と出典'!C74,IF(B500&lt;=500,'前提と出典'!B75+'前提と出典'!C75,'前提と出典'!B76+'前提と出典'!C76))))</ns0:f>
        <ns0:v>40000</ns0:v>
      </ns0:c>
      <ns0:c r="N500" s="16">
        <ns0:f>IF(('前提と出典'!$C$37+'前提と出典'!$C$38)=0,0,IF(C500&lt;=10,'前提と出典'!D73+'前提と出典'!E73,IF(C500&lt;=100,'前提と出典'!D74+'前提と出典'!E74,IF(C500&lt;=500,'前提と出典'!D75+'前提と出典'!E75,'前提と出典'!D76+'前提と出典'!E76))))</ns0:f>
        <ns0:v>56510.9346263078</ns0:v>
      </ns0:c>
      <ns0:c r="O500" s="16">
        <ns0:f>IF('前提と出典'!$C$36+'前提と出典'!$C$38=0,0,'前提と出典'!$B$4*IF('前提と出典'!$B$20=0,MAX('前提と出典'!$B$6,D500*'前提と出典'!$B$5),'前提と出典'!$B$6+D500*'前提と出典'!$B$5))</ns0:f>
        <ns0:v>492519.687150838</ns0:v>
      </ns0:c>
      <ns0:c r="P500" s="16">
        <ns0:f>(E500+G500)*(1-'前提と出典'!$B$7)-I500-K500-M500-O500</ns0:f>
        <ns0:v>1114513.9202205213</ns0:v>
      </ns0:c>
      <ns0:c r="Q500" s="16">
        <ns0:f>(F500+H500)*(1-'前提と出典'!$B$7)-J500-L500-N500</ns0:f>
        <ns0:v>418000.4777850547</ns0:v>
      </ns0:c>
      <ns0:c r="R500" s="16">
        <ns0:f>P500-E500*'前提と出典'!$E$4</ns0:f>
        <ns0:v>826594.155298745</ns0:v>
      </ns0:c>
      <ns0:c r="S500" s="16">
        <ns0:f>Q500-F500*'前提と出典'!$E$4</ns0:f>
        <ns0:v>305002.43040509877</ns0:v>
      </ns0:c>
      <ns0:c r="T500" s="7">
        <ns0:f>R500+S500</ns0:f>
        <ns0:v>1131596.5857038437</ns0:v>
      </ns0:c>
      <ns0:c r="U500" s="16">
        <ns0:f>P500-E500*'前提と出典'!$E$5</ns0:f>
        <ns0:v>730620.9003248198</ns0:v>
      </ns0:c>
      <ns0:c r="V500" s="16">
        <ns0:f>Q500-F500*'前提と出典'!$E$5</ns0:f>
        <ns0:v>267336.41461178</ns0:v>
      </ns0:c>
      <ns0:c r="W500" s="7">
        <ns0:f>U500+V500</ns0:f>
        <ns0:v>997957.3149365999</ns0:v>
      </ns0:c>
      <ns0:c r="X500" s="16">
        <ns0:f>P500-E500*'前提と出典'!$E$6</ns0:f>
        <ns0:v>634647.6453508942</ns0:v>
      </ns0:c>
      <ns0:c r="Y500" s="16">
        <ns0:f>Q500-F500*'前提と出典'!$E$6</ns0:f>
        <ns0:v>229670.39881846146</ns0:v>
      </ns0:c>
      <ns0:c r="Z500" s="7">
        <ns0:f>X500+Y500</ns0:f>
        <ns0:v>864318.0441693556</ns0:v>
      </ns0:c>
      <ns0:c r="AA500" s="7">
        <ns0:f>IF(T500&gt;=0,A500,1001)</ns0:f>
        <ns0:v>496</ns0:v>
      </ns0:c>
      <ns0:c r="AB500" s="7">
        <ns0:f>IF(T500&lt;0,A500,0)</ns0:f>
        <ns0:v>0</ns0:v>
      </ns0:c>
      <ns0:c r="AC500" s="16">
        <ns0:f>IF(AND(OR('前提と出典'!$C$36+'前提と出典'!$C$38=0,R500&gt;=0),OR('前提と出典'!$C$37+'前提と出典'!$C$38=0,S500&gt;=0)),0,A500)</ns0:f>
        <ns0:v>0</ns0:v>
      </ns0:c>
      <ns0:c r="AD500" s="7">
        <ns0:f>IF(W500&gt;=0,A500,1001)</ns0:f>
        <ns0:v>496</ns0:v>
      </ns0:c>
      <ns0:c r="AE500" s="7">
        <ns0:f>IF(W500&lt;0,A500,0)</ns0:f>
        <ns0:v>0</ns0:v>
      </ns0:c>
      <ns0:c r="AF500" s="16">
        <ns0:f>IF(AND(OR('前提と出典'!$C$36+'前提と出典'!$C$38=0,U500&gt;=0),OR('前提と出典'!$C$37+'前提と出典'!$C$38=0,V500&gt;=0)),0,A500)</ns0:f>
        <ns0:v>0</ns0:v>
      </ns0:c>
      <ns0:c r="AG500" s="7">
        <ns0:f>IF(Z500&gt;=0,A500,1001)</ns0:f>
        <ns0:v>496</ns0:v>
      </ns0:c>
      <ns0:c r="AH500" s="4">
        <ns0:f>IF(Z500&lt;0,A500,0)</ns0:f>
        <ns0:v>0</ns0:v>
      </ns0:c>
      <ns0:c r="AI500" s="12">
        <ns0:f>IF(AND(OR('前提と出典'!$C$36+'前提と出典'!$C$38=0,X500&gt;=0),OR('前提と出典'!$C$37+'前提と出典'!$C$38=0,Y500&gt;=0)),0,A500)</ns0:f>
        <ns0:v>0</ns0:v>
      </ns0:c>
    </ns0:row>
    <ns0:row r="501" ht="24" customHeight="1">
      <ns0:c r="A501" s="4" t="n">
        <ns0:v>497</ns0:v>
      </ns0:c>
      <ns0:c r="B501" s="12">
        <ns0:f>A501*('前提と出典'!$C$36+'前提と出典'!$C$38)</ns0:f>
        <ns0:v>347.9</ns0:v>
      </ns0:c>
      <ns0:c r="C501" s="12">
        <ns0:f>A501*('前提と出典'!$C$37+'前提と出典'!$C$38)</ns0:f>
        <ns0:v>298.2</ns0:v>
      </ns0:c>
      <ns0:c r="D501" s="16">
        <ns0:f>A501*('前提と出典'!$C$36*'契約別単価'!C5+'前提と出典'!$C$37*'契約別単価'!C6+'前提と出典'!$C$38*'契約別単価'!C7)</ns0:f>
        <ns0:v>3576.1787709497207</ns0:v>
      </ns0:c>
      <ns0:c r="E501" s="16">
        <ns0:f>A501*('前提と出典'!$C$36*'契約別単価'!E5+'前提と出典'!$C$37*'契約別単価'!E6+'前提と出典'!$C$38*'契約別単価'!E7)</ns0:f>
        <ns0:v>961667.4943959859</ns0:v>
      </ns0:c>
      <ns0:c r="F501" s="16">
        <ns0:f>A501*('前提と出典'!$C$36*'契約別単価'!F5+'前提と出典'!$C$37*'契約別単価'!F6+'前提と出典'!$C$38*'契約別単価'!F7)</ns0:f>
        <ns0:v>377419.55341289076</ns0:v>
      </ns0:c>
      <ns0:c r="G501" s="16">
        <ns0:f>A501*('前提と出典'!$C$36*'契約別単価'!G5+'前提と出典'!$C$37*'契約別単価'!G6+'前提と出典'!$C$38*'契約別単価'!G7)</ns0:f>
        <ns0:v>989279.8882681563</ns0:v>
      </ns0:c>
      <ns0:c r="H501" s="16">
        <ns0:f>A501*('前提と出典'!$C$36*'契約別単価'!H5+'前提と出典'!$C$37*'契約別単価'!H6+'前提と出典'!$C$38*'契約別単価'!H7)</ns0:f>
        <ns0:v>343329.7375143875</ns0:v>
      </ns0:c>
      <ns0:c r="I501" s="16">
        <ns0:f>A501*('前提と出典'!$C$36*'契約別単価'!I5+'前提と出典'!$C$37*'契約別単価'!I6+'前提と出典'!$C$38*'契約別単価'!I7)</ns0:f>
        <ns0:v>20971.17877094972</ns0:v>
      </ns0:c>
      <ns0:c r="J501" s="16">
        <ns0:f>A501*('前提と出典'!$C$36*'契約別単価'!J5+'前提と出典'!$C$37*'契約別単価'!J6+'前提と出典'!$C$38*'契約別単価'!J7)</ns0:f>
        <ns0:v>48849.903224020374</ns0:v>
      </ns0:c>
      <ns0:c r="K501" s="16">
        <ns0:f>A501*('前提と出典'!$C$36*'契約別単価'!K5+'前提と出典'!$C$37*'契約別単価'!K6+'前提と出典'!$C$38*'契約別単価'!K7)</ns0:f>
        <ns0:v>209387.85847299814</ns0:v>
      </ns0:c>
      <ns0:c r="L501" s="16">
        <ns0:f>A501*('前提と出典'!$C$36*'契約別単価'!L5+'前提と出典'!$C$37*'契約別単価'!L6+'前提と出典'!$C$38*'契約別単価'!L7)</ns0:f>
        <ns0:v>170484.3245838129</ns0:v>
      </ns0:c>
      <ns0:c r="M501" s="16">
        <ns0:f>IF(('前提と出典'!$C$36+'前提と出典'!$C$38)=0,0,IF(B501&lt;=10,'前提と出典'!B73+'前提と出典'!C73,IF(B501&lt;=100,'前提と出典'!B74+'前提と出典'!C74,IF(B501&lt;=500,'前提と出典'!B75+'前提と出典'!C75,'前提と出典'!B76+'前提と出典'!C76))))</ns0:f>
        <ns0:v>40000</ns0:v>
      </ns0:c>
      <ns0:c r="N501" s="16">
        <ns0:f>IF(('前提と出典'!$C$37+'前提と出典'!$C$38)=0,0,IF(C501&lt;=10,'前提と出典'!D73+'前提と出典'!E73,IF(C501&lt;=100,'前提と出典'!D74+'前提と出典'!E74,IF(C501&lt;=500,'前提と出典'!D75+'前提と出典'!E75,'前提と出典'!D76+'前提と出典'!E76))))</ns0:f>
        <ns0:v>56510.9346263078</ns0:v>
      </ns0:c>
      <ns0:c r="O501" s="16">
        <ns0:f>IF('前提と出典'!$C$36+'前提と出典'!$C$38=0,0,'前提と出典'!$B$4*IF('前提と出典'!$B$20=0,MAX('前提と出典'!$B$6,D501*'前提と出典'!$B$5),'前提と出典'!$B$6+D501*'前提と出典'!$B$5))</ns0:f>
        <ns0:v>493512.67039106146</ns0:v>
      </ns0:c>
      <ns0:c r="P501" s="16">
        <ns0:f>(E501+G501)*(1-'前提と出典'!$B$7)-I501-K501-M501-O501</ns0:f>
        <ns0:v>1116841.5692532235</ns0:v>
      </ns0:c>
      <ns0:c r="Q501" s="16">
        <ns0:f>(F501+H501)*(1-'前提と出典'!$B$7)-J501-L501-N501</ns0:f>
        <ns0:v>418957.1540197552</ns0:v>
      </ns0:c>
      <ns0:c r="R501" s="16">
        <ns0:f>P501-E501*'前提と出典'!$E$4</ns0:f>
        <ns0:v>828341.3209344278</ns0:v>
      </ns0:c>
      <ns0:c r="S501" s="16">
        <ns0:f>Q501-F501*'前提と出典'!$E$4</ns0:f>
        <ns0:v>305731.287995888</ns0:v>
      </ns0:c>
      <ns0:c r="T501" s="7">
        <ns0:f>R501+S501</ns0:f>
        <ns0:v>1134072.6089303158</ns0:v>
      </ns0:c>
      <ns0:c r="U501" s="16">
        <ns0:f>P501-E501*'前提と出典'!$E$5</ns0:f>
        <ns0:v>732174.5714948293</ns0:v>
      </ns0:c>
      <ns0:c r="V501" s="16">
        <ns0:f>Q501-F501*'前提と出典'!$E$5</ns0:f>
        <ns0:v>267989.3326545989</ns0:v>
      </ns0:c>
      <ns0:c r="W501" s="7">
        <ns0:f>U501+V501</ns0:f>
        <ns0:v>1000163.9041494282</ns0:v>
      </ns0:c>
      <ns0:c r="X501" s="16">
        <ns0:f>P501-E501*'前提と出典'!$E$6</ns0:f>
        <ns0:v>636007.8220552307</ns0:v>
      </ns0:c>
      <ns0:c r="Y501" s="16">
        <ns0:f>Q501-F501*'前提と出典'!$E$6</ns0:f>
        <ns0:v>230247.37731330987</ns0:v>
      </ns0:c>
      <ns0:c r="Z501" s="7">
        <ns0:f>X501+Y501</ns0:f>
        <ns0:v>866255.1993685407</ns0:v>
      </ns0:c>
      <ns0:c r="AA501" s="7">
        <ns0:f>IF(T501&gt;=0,A501,1001)</ns0:f>
        <ns0:v>497</ns0:v>
      </ns0:c>
      <ns0:c r="AB501" s="7">
        <ns0:f>IF(T501&lt;0,A501,0)</ns0:f>
        <ns0:v>0</ns0:v>
      </ns0:c>
      <ns0:c r="AC501" s="16">
        <ns0:f>IF(AND(OR('前提と出典'!$C$36+'前提と出典'!$C$38=0,R501&gt;=0),OR('前提と出典'!$C$37+'前提と出典'!$C$38=0,S501&gt;=0)),0,A501)</ns0:f>
        <ns0:v>0</ns0:v>
      </ns0:c>
      <ns0:c r="AD501" s="7">
        <ns0:f>IF(W501&gt;=0,A501,1001)</ns0:f>
        <ns0:v>497</ns0:v>
      </ns0:c>
      <ns0:c r="AE501" s="7">
        <ns0:f>IF(W501&lt;0,A501,0)</ns0:f>
        <ns0:v>0</ns0:v>
      </ns0:c>
      <ns0:c r="AF501" s="16">
        <ns0:f>IF(AND(OR('前提と出典'!$C$36+'前提と出典'!$C$38=0,U501&gt;=0),OR('前提と出典'!$C$37+'前提と出典'!$C$38=0,V501&gt;=0)),0,A501)</ns0:f>
        <ns0:v>0</ns0:v>
      </ns0:c>
      <ns0:c r="AG501" s="7">
        <ns0:f>IF(Z501&gt;=0,A501,1001)</ns0:f>
        <ns0:v>497</ns0:v>
      </ns0:c>
      <ns0:c r="AH501" s="4">
        <ns0:f>IF(Z501&lt;0,A501,0)</ns0:f>
        <ns0:v>0</ns0:v>
      </ns0:c>
      <ns0:c r="AI501" s="12">
        <ns0:f>IF(AND(OR('前提と出典'!$C$36+'前提と出典'!$C$38=0,X501&gt;=0),OR('前提と出典'!$C$37+'前提と出典'!$C$38=0,Y501&gt;=0)),0,A501)</ns0:f>
        <ns0:v>0</ns0:v>
      </ns0:c>
    </ns0:row>
    <ns0:row r="502" ht="24" customHeight="1">
      <ns0:c r="A502" s="4" t="n">
        <ns0:v>498</ns0:v>
      </ns0:c>
      <ns0:c r="B502" s="12">
        <ns0:f>A502*('前提と出典'!$C$36+'前提と出典'!$C$38)</ns0:f>
        <ns0:v>348.59999999999997</ns0:v>
      </ns0:c>
      <ns0:c r="C502" s="12">
        <ns0:f>A502*('前提と出典'!$C$37+'前提と出典'!$C$38)</ns0:f>
        <ns0:v>298.8</ns0:v>
      </ns0:c>
      <ns0:c r="D502" s="16">
        <ns0:f>A502*('前提と出典'!$C$36*'契約別単価'!C5+'前提と出典'!$C$37*'契約別単価'!C6+'前提と出典'!$C$38*'契約別単価'!C7)</ns0:f>
        <ns0:v>3583.3743016759777</ns0:v>
      </ns0:c>
      <ns0:c r="E502" s="16">
        <ns0:f>A502*('前提と出典'!$C$36*'契約別単価'!E5+'前提と出典'!$C$37*'契約別単価'!E6+'前提と出典'!$C$38*'契約別単価'!E7)</ns0:f>
        <ns0:v>963602.4390527182</ns0:v>
      </ns0:c>
      <ns0:c r="F502" s="16">
        <ns0:f>A502*('前提と出典'!$C$36*'契約別単価'!F5+'前提と出典'!$C$37*'契約別単価'!F6+'前提と出典'!$C$38*'契約別単価'!F7)</ns0:f>
        <ns0:v>378178.9488925948</ns0:v>
      </ns0:c>
      <ns0:c r="G502" s="16">
        <ns0:f>A502*('前提と出典'!$C$36*'契約別単価'!G5+'前提と出典'!$C$37*'契約別単価'!G6+'前提と出典'!$C$38*'契約別単価'!G7)</ns0:f>
        <ns0:v>991270.3910614525</ns0:v>
      </ns0:c>
      <ns0:c r="H502" s="16">
        <ns0:f>A502*('前提と出典'!$C$36*'契約別単価'!H5+'前提と出典'!$C$37*'契約別単価'!H6+'前提と出典'!$C$38*'契約別単価'!H7)</ns0:f>
        <ns0:v>344020.5418152213</ns0:v>
      </ns0:c>
      <ns0:c r="I502" s="16">
        <ns0:f>A502*('前提と出典'!$C$36*'契約別単価'!I5+'前提と出典'!$C$37*'契約別単価'!I6+'前提と出典'!$C$38*'契約別単価'!I7)</ns0:f>
        <ns0:v>21013.374301675973</ns0:v>
      </ns0:c>
      <ns0:c r="J502" s="16">
        <ns0:f>A502*('前提と出典'!$C$36*'契約別単価'!J5+'前提と出典'!$C$37*'契約別単価'!J6+'前提と出典'!$C$38*'契約別単価'!J7)</ns0:f>
        <ns0:v>48948.19276773068</ns0:v>
      </ns0:c>
      <ns0:c r="K502" s="16">
        <ns0:f>A502*('前提と出典'!$C$36*'契約別単価'!K5+'前提と出典'!$C$37*'契約別単価'!K6+'前提と出典'!$C$38*'契約別単価'!K7)</ns0:f>
        <ns0:v>209809.16201117318</ns0:v>
      </ns0:c>
      <ns0:c r="L502" s="16">
        <ns0:f>A502*('前提と出典'!$C$36*'契約別単価'!L5+'前提と出典'!$C$37*'契約別単価'!L6+'前提と出典'!$C$38*'契約別単価'!L7)</ns0:f>
        <ns0:v>170827.3513938407</ns0:v>
      </ns0:c>
      <ns0:c r="M502" s="16">
        <ns0:f>IF(('前提と出典'!$C$36+'前提と出典'!$C$38)=0,0,IF(B502&lt;=10,'前提と出典'!B73+'前提と出典'!C73,IF(B502&lt;=100,'前提と出典'!B74+'前提と出典'!C74,IF(B502&lt;=500,'前提と出典'!B75+'前提と出典'!C75,'前提と出典'!B76+'前提と出典'!C76))))</ns0:f>
        <ns0:v>40000</ns0:v>
      </ns0:c>
      <ns0:c r="N502" s="16">
        <ns0:f>IF(('前提と出典'!$C$37+'前提と出典'!$C$38)=0,0,IF(C502&lt;=10,'前提と出典'!D73+'前提と出典'!E73,IF(C502&lt;=100,'前提と出典'!D74+'前提と出典'!E74,IF(C502&lt;=500,'前提と出典'!D75+'前提と出典'!E75,'前提と出典'!D76+'前提と出典'!E76))))</ns0:f>
        <ns0:v>56510.9346263078</ns0:v>
      </ns0:c>
      <ns0:c r="O502" s="16">
        <ns0:f>IF('前提と出典'!$C$36+'前提と出典'!$C$38=0,0,'前提と出典'!$B$4*IF('前提と出典'!$B$20=0,MAX('前提と出典'!$B$6,D502*'前提と出典'!$B$5),'前提と出典'!$B$6+D502*'前提と出典'!$B$5))</ns0:f>
        <ns0:v>494505.65363128495</ns0:v>
      </ns0:c>
      <ns0:c r="P502" s="16">
        <ns0:f>(E502+G502)*(1-'前提と出典'!$B$7)-I502-K502-M502-O502</ns0:f>
        <ns0:v>1119169.2182859266</ns0:v>
      </ns0:c>
      <ns0:c r="Q502" s="16">
        <ns0:f>(F502+H502)*(1-'前提と出典'!$B$7)-J502-L502-N502</ns0:f>
        <ns0:v>419913.83025445545</ns0:v>
      </ns0:c>
      <ns0:c r="R502" s="16">
        <ns0:f>P502-E502*'前提と出典'!$E$4</ns0:f>
        <ns0:v>830088.4865701111</ns0:v>
      </ns0:c>
      <ns0:c r="S502" s="16">
        <ns0:f>Q502-F502*'前提と出典'!$E$4</ns0:f>
        <ns0:v>306460.145586677</ns0:v>
      </ns0:c>
      <ns0:c r="T502" s="7">
        <ns0:f>R502+S502</ns0:f>
        <ns0:v>1136548.6321567881</ns0:v>
      </ns0:c>
      <ns0:c r="U502" s="16">
        <ns0:f>P502-E502*'前提と出典'!$E$5</ns0:f>
        <ns0:v>733728.2426648393</ns0:v>
      </ns0:c>
      <ns0:c r="V502" s="16">
        <ns0:f>Q502-F502*'前提と出典'!$E$5</ns0:f>
        <ns0:v>268642.25069741753</ns0:v>
      </ns0:c>
      <ns0:c r="W502" s="7">
        <ns0:f>U502+V502</ns0:f>
        <ns0:v>1002370.4933622568</ns0:v>
      </ns0:c>
      <ns0:c r="X502" s="16">
        <ns0:f>P502-E502*'前提と出典'!$E$6</ns0:f>
        <ns0:v>637367.9987595674</ns0:v>
      </ns0:c>
      <ns0:c r="Y502" s="16">
        <ns0:f>Q502-F502*'前提と出典'!$E$6</ns0:f>
        <ns0:v>230824.35580815817</ns0:v>
      </ns0:c>
      <ns0:c r="Z502" s="7">
        <ns0:f>X502+Y502</ns0:f>
        <ns0:v>868192.3545677256</ns0:v>
      </ns0:c>
      <ns0:c r="AA502" s="7">
        <ns0:f>IF(T502&gt;=0,A502,1001)</ns0:f>
        <ns0:v>498</ns0:v>
      </ns0:c>
      <ns0:c r="AB502" s="7">
        <ns0:f>IF(T502&lt;0,A502,0)</ns0:f>
        <ns0:v>0</ns0:v>
      </ns0:c>
      <ns0:c r="AC502" s="16">
        <ns0:f>IF(AND(OR('前提と出典'!$C$36+'前提と出典'!$C$38=0,R502&gt;=0),OR('前提と出典'!$C$37+'前提と出典'!$C$38=0,S502&gt;=0)),0,A502)</ns0:f>
        <ns0:v>0</ns0:v>
      </ns0:c>
      <ns0:c r="AD502" s="7">
        <ns0:f>IF(W502&gt;=0,A502,1001)</ns0:f>
        <ns0:v>498</ns0:v>
      </ns0:c>
      <ns0:c r="AE502" s="7">
        <ns0:f>IF(W502&lt;0,A502,0)</ns0:f>
        <ns0:v>0</ns0:v>
      </ns0:c>
      <ns0:c r="AF502" s="16">
        <ns0:f>IF(AND(OR('前提と出典'!$C$36+'前提と出典'!$C$38=0,U502&gt;=0),OR('前提と出典'!$C$37+'前提と出典'!$C$38=0,V502&gt;=0)),0,A502)</ns0:f>
        <ns0:v>0</ns0:v>
      </ns0:c>
      <ns0:c r="AG502" s="7">
        <ns0:f>IF(Z502&gt;=0,A502,1001)</ns0:f>
        <ns0:v>498</ns0:v>
      </ns0:c>
      <ns0:c r="AH502" s="4">
        <ns0:f>IF(Z502&lt;0,A502,0)</ns0:f>
        <ns0:v>0</ns0:v>
      </ns0:c>
      <ns0:c r="AI502" s="12">
        <ns0:f>IF(AND(OR('前提と出典'!$C$36+'前提と出典'!$C$38=0,X502&gt;=0),OR('前提と出典'!$C$37+'前提と出典'!$C$38=0,Y502&gt;=0)),0,A502)</ns0:f>
        <ns0:v>0</ns0:v>
      </ns0:c>
    </ns0:row>
    <ns0:row r="503" ht="24" customHeight="1">
      <ns0:c r="A503" s="4" t="n">
        <ns0:v>499</ns0:v>
      </ns0:c>
      <ns0:c r="B503" s="12">
        <ns0:f>A503*('前提と出典'!$C$36+'前提と出典'!$C$38)</ns0:f>
        <ns0:v>349.29999999999995</ns0:v>
      </ns0:c>
      <ns0:c r="C503" s="12">
        <ns0:f>A503*('前提と出典'!$C$37+'前提と出典'!$C$38)</ns0:f>
        <ns0:v>299.4</ns0:v>
      </ns0:c>
      <ns0:c r="D503" s="16">
        <ns0:f>A503*('前提と出典'!$C$36*'契約別単価'!C5+'前提と出典'!$C$37*'契約別単価'!C6+'前提と出典'!$C$38*'契約別単価'!C7)</ns0:f>
        <ns0:v>3590.5698324022346</ns0:v>
      </ns0:c>
      <ns0:c r="E503" s="16">
        <ns0:f>A503*('前提と出典'!$C$36*'契約別単価'!E5+'前提と出典'!$C$37*'契約別単価'!E6+'前提と出典'!$C$38*'契約別単価'!E7)</ns0:f>
        <ns0:v>965537.3837094506</ns0:v>
      </ns0:c>
      <ns0:c r="F503" s="16">
        <ns0:f>A503*('前提と出典'!$C$36*'契約別単価'!F5+'前提と出典'!$C$37*'契約別単価'!F6+'前提と出典'!$C$38*'契約別単価'!F7)</ns0:f>
        <ns0:v>378938.34437229874</ns0:v>
      </ns0:c>
      <ns0:c r="G503" s="16">
        <ns0:f>A503*('前提と出典'!$C$36*'契約別単価'!G5+'前提と出典'!$C$37*'契約別単価'!G6+'前提と出典'!$C$38*'契約別単価'!G7)</ns0:f>
        <ns0:v>993260.8938547486</ns0:v>
      </ns0:c>
      <ns0:c r="H503" s="16">
        <ns0:f>A503*('前提と出典'!$C$36*'契約別単価'!H5+'前提と出典'!$C$37*'契約別単価'!H6+'前提と出典'!$C$38*'契約別単価'!H7)</ns0:f>
        <ns0:v>344711.3461160551</ns0:v>
      </ns0:c>
      <ns0:c r="I503" s="16">
        <ns0:f>A503*('前提と出典'!$C$36*'契約別単価'!I5+'前提と出典'!$C$37*'契約別単価'!I6+'前提と出典'!$C$38*'契約別単価'!I7)</ns0:f>
        <ns0:v>21055.56983240223</ns0:v>
      </ns0:c>
      <ns0:c r="J503" s="16">
        <ns0:f>A503*('前提と出典'!$C$36*'契約別単価'!J5+'前提と出典'!$C$37*'契約別単価'!J6+'前提と出典'!$C$38*'契約別単価'!J7)</ns0:f>
        <ns0:v>49046.48231144098</ns0:v>
      </ns0:c>
      <ns0:c r="K503" s="16">
        <ns0:f>A503*('前提と出典'!$C$36*'契約別単価'!K5+'前提と出典'!$C$37*'契約別単価'!K6+'前提と出典'!$C$38*'契約別単価'!K7)</ns0:f>
        <ns0:v>210230.4655493482</ns0:v>
      </ns0:c>
      <ns0:c r="L503" s="16">
        <ns0:f>A503*('前提と出典'!$C$36*'契約別単価'!L5+'前提と出典'!$C$37*'契約別単価'!L6+'前提と出典'!$C$38*'契約別単価'!L7)</ns0:f>
        <ns0:v>171170.3782038685</ns0:v>
      </ns0:c>
      <ns0:c r="M503" s="16">
        <ns0:f>IF(('前提と出典'!$C$36+'前提と出典'!$C$38)=0,0,IF(B503&lt;=10,'前提と出典'!B73+'前提と出典'!C73,IF(B503&lt;=100,'前提と出典'!B74+'前提と出典'!C74,IF(B503&lt;=500,'前提と出典'!B75+'前提と出典'!C75,'前提と出典'!B76+'前提と出典'!C76))))</ns0:f>
        <ns0:v>40000</ns0:v>
      </ns0:c>
      <ns0:c r="N503" s="16">
        <ns0:f>IF(('前提と出典'!$C$37+'前提と出典'!$C$38)=0,0,IF(C503&lt;=10,'前提と出典'!D73+'前提と出典'!E73,IF(C503&lt;=100,'前提と出典'!D74+'前提と出典'!E74,IF(C503&lt;=500,'前提と出典'!D75+'前提と出典'!E75,'前提と出典'!D76+'前提と出典'!E76))))</ns0:f>
        <ns0:v>56510.9346263078</ns0:v>
      </ns0:c>
      <ns0:c r="O503" s="16">
        <ns0:f>IF('前提と出典'!$C$36+'前提と出典'!$C$38=0,0,'前提と出典'!$B$4*IF('前提と出典'!$B$20=0,MAX('前提と出典'!$B$6,D503*'前提と出典'!$B$5),'前提と出典'!$B$6+D503*'前提と出典'!$B$5))</ns0:f>
        <ns0:v>495498.6368715084</ns0:v>
      </ns0:c>
      <ns0:c r="P503" s="16">
        <ns0:f>(E503+G503)*(1-'前提と出典'!$B$7)-I503-K503-M503-O503</ns0:f>
        <ns0:v>1121496.8673186293</ns0:v>
      </ns0:c>
      <ns0:c r="Q503" s="16">
        <ns0:f>(F503+H503)*(1-'前提と出典'!$B$7)-J503-L503-N503</ns0:f>
        <ns0:v>420870.5064891558</ns0:v>
      </ns0:c>
      <ns0:c r="R503" s="16">
        <ns0:f>P503-E503*'前提と出典'!$E$4</ns0:f>
        <ns0:v>831835.6522057941</ns0:v>
      </ns0:c>
      <ns0:c r="S503" s="16">
        <ns0:f>Q503-F503*'前提と出典'!$E$4</ns0:f>
        <ns0:v>307189.0031774662</ns0:v>
      </ns0:c>
      <ns0:c r="T503" s="7">
        <ns0:f>R503+S503</ns0:f>
        <ns0:v>1139024.6553832605</ns0:v>
      </ns0:c>
      <ns0:c r="U503" s="16">
        <ns0:f>P503-E503*'前提と出典'!$E$5</ns0:f>
        <ns0:v>735281.9138348489</ns0:v>
      </ns0:c>
      <ns0:c r="V503" s="16">
        <ns0:f>Q503-F503*'前提と出典'!$E$5</ns0:f>
        <ns0:v>269295.1687402363</ns0:v>
      </ns0:c>
      <ns0:c r="W503" s="7">
        <ns0:f>U503+V503</ns0:f>
        <ns0:v>1004577.0825750852</ns0:v>
      </ns0:c>
      <ns0:c r="X503" s="16">
        <ns0:f>P503-E503*'前提と出典'!$E$6</ns0:f>
        <ns0:v>638728.1754639039</ns0:v>
      </ns0:c>
      <ns0:c r="Y503" s="16">
        <ns0:f>Q503-F503*'前提と出典'!$E$6</ns0:f>
        <ns0:v>231401.3343030064</ns0:v>
      </ns0:c>
      <ns0:c r="Z503" s="7">
        <ns0:f>X503+Y503</ns0:f>
        <ns0:v>870129.5097669103</ns0:v>
      </ns0:c>
      <ns0:c r="AA503" s="7">
        <ns0:f>IF(T503&gt;=0,A503,1001)</ns0:f>
        <ns0:v>499</ns0:v>
      </ns0:c>
      <ns0:c r="AB503" s="7">
        <ns0:f>IF(T503&lt;0,A503,0)</ns0:f>
        <ns0:v>0</ns0:v>
      </ns0:c>
      <ns0:c r="AC503" s="16">
        <ns0:f>IF(AND(OR('前提と出典'!$C$36+'前提と出典'!$C$38=0,R503&gt;=0),OR('前提と出典'!$C$37+'前提と出典'!$C$38=0,S503&gt;=0)),0,A503)</ns0:f>
        <ns0:v>0</ns0:v>
      </ns0:c>
      <ns0:c r="AD503" s="7">
        <ns0:f>IF(W503&gt;=0,A503,1001)</ns0:f>
        <ns0:v>499</ns0:v>
      </ns0:c>
      <ns0:c r="AE503" s="7">
        <ns0:f>IF(W503&lt;0,A503,0)</ns0:f>
        <ns0:v>0</ns0:v>
      </ns0:c>
      <ns0:c r="AF503" s="16">
        <ns0:f>IF(AND(OR('前提と出典'!$C$36+'前提と出典'!$C$38=0,U503&gt;=0),OR('前提と出典'!$C$37+'前提と出典'!$C$38=0,V503&gt;=0)),0,A503)</ns0:f>
        <ns0:v>0</ns0:v>
      </ns0:c>
      <ns0:c r="AG503" s="7">
        <ns0:f>IF(Z503&gt;=0,A503,1001)</ns0:f>
        <ns0:v>499</ns0:v>
      </ns0:c>
      <ns0:c r="AH503" s="4">
        <ns0:f>IF(Z503&lt;0,A503,0)</ns0:f>
        <ns0:v>0</ns0:v>
      </ns0:c>
      <ns0:c r="AI503" s="12">
        <ns0:f>IF(AND(OR('前提と出典'!$C$36+'前提と出典'!$C$38=0,X503&gt;=0),OR('前提と出典'!$C$37+'前提と出典'!$C$38=0,Y503&gt;=0)),0,A503)</ns0:f>
        <ns0:v>0</ns0:v>
      </ns0:c>
    </ns0:row>
    <ns0:row r="504" ht="24" customHeight="1">
      <ns0:c r="A504" s="4" t="n">
        <ns0:v>500</ns0:v>
      </ns0:c>
      <ns0:c r="B504" s="12">
        <ns0:f>A504*('前提と出典'!$C$36+'前提と出典'!$C$38)</ns0:f>
        <ns0:v>350</ns0:v>
      </ns0:c>
      <ns0:c r="C504" s="12">
        <ns0:f>A504*('前提と出典'!$C$37+'前提と出典'!$C$38)</ns0:f>
        <ns0:v>300</ns0:v>
      </ns0:c>
      <ns0:c r="D504" s="16">
        <ns0:f>A504*('前提と出典'!$C$36*'契約別単価'!C5+'前提と出典'!$C$37*'契約別単価'!C6+'前提と出典'!$C$38*'契約別単価'!C7)</ns0:f>
        <ns0:v>3597.7653631284916</ns0:v>
      </ns0:c>
      <ns0:c r="E504" s="16">
        <ns0:f>A504*('前提と出典'!$C$36*'契約別単価'!E5+'前提と出典'!$C$37*'契約別単価'!E6+'前提と出典'!$C$38*'契約別単価'!E7)</ns0:f>
        <ns0:v>967472.328366183</ns0:v>
      </ns0:c>
      <ns0:c r="F504" s="16">
        <ns0:f>A504*('前提と出典'!$C$36*'契約別単価'!F5+'前提と出典'!$C$37*'契約別単価'!F6+'前提と出典'!$C$38*'契約別単価'!F7)</ns0:f>
        <ns0:v>379697.73985200276</ns0:v>
      </ns0:c>
      <ns0:c r="G504" s="16">
        <ns0:f>A504*('前提と出典'!$C$36*'契約別単価'!G5+'前提と出典'!$C$37*'契約別単価'!G6+'前提と出典'!$C$38*'契約別単価'!G7)</ns0:f>
        <ns0:v>995251.3966480447</ns0:v>
      </ns0:c>
      <ns0:c r="H504" s="16">
        <ns0:f>A504*('前提と出典'!$C$36*'契約別単価'!H5+'前提と出典'!$C$37*'契約別単価'!H6+'前提と出典'!$C$38*'契約別単価'!H7)</ns0:f>
        <ns0:v>345402.1504168888</ns0:v>
      </ns0:c>
      <ns0:c r="I504" s="16">
        <ns0:f>A504*('前提と出典'!$C$36*'契約別単価'!I5+'前提と出典'!$C$37*'契約別単価'!I6+'前提と出典'!$C$38*'契約別単価'!I7)</ns0:f>
        <ns0:v>21097.76536312849</ns0:v>
      </ns0:c>
      <ns0:c r="J504" s="16">
        <ns0:f>A504*('前提と出典'!$C$36*'契約別単価'!J5+'前提と出典'!$C$37*'契約別単価'!J6+'前提と出典'!$C$38*'契約別単価'!J7)</ns0:f>
        <ns0:v>49144.77185515128</ns0:v>
      </ns0:c>
      <ns0:c r="K504" s="16">
        <ns0:f>A504*('前提と出典'!$C$36*'契約別単価'!K5+'前提と出典'!$C$37*'契約別単価'!K6+'前提と出典'!$C$38*'契約別単価'!K7)</ns0:f>
        <ns0:v>210651.76908752325</ns0:v>
      </ns0:c>
      <ns0:c r="L504" s="16">
        <ns0:f>A504*('前提と出典'!$C$36*'契約別単価'!L5+'前提と出典'!$C$37*'契約別単価'!L6+'前提と出典'!$C$38*'契約別単価'!L7)</ns0:f>
        <ns0:v>171513.4050138963</ns0:v>
      </ns0:c>
      <ns0:c r="M504" s="16">
        <ns0:f>IF(('前提と出典'!$C$36+'前提と出典'!$C$38)=0,0,IF(B504&lt;=10,'前提と出典'!B73+'前提と出典'!C73,IF(B504&lt;=100,'前提と出典'!B74+'前提と出典'!C74,IF(B504&lt;=500,'前提と出典'!B75+'前提と出典'!C75,'前提と出典'!B76+'前提と出典'!C76))))</ns0:f>
        <ns0:v>40000</ns0:v>
      </ns0:c>
      <ns0:c r="N504" s="16">
        <ns0:f>IF(('前提と出典'!$C$37+'前提と出典'!$C$38)=0,0,IF(C504&lt;=10,'前提と出典'!D73+'前提と出典'!E73,IF(C504&lt;=100,'前提と出典'!D74+'前提と出典'!E74,IF(C504&lt;=500,'前提と出典'!D75+'前提と出典'!E75,'前提と出典'!D76+'前提と出典'!E76))))</ns0:f>
        <ns0:v>56510.9346263078</ns0:v>
      </ns0:c>
      <ns0:c r="O504" s="16">
        <ns0:f>IF('前提と出典'!$C$36+'前提と出典'!$C$38=0,0,'前提と出典'!$B$4*IF('前提と出典'!$B$20=0,MAX('前提と出典'!$B$6,D504*'前提と出典'!$B$5),'前提と出典'!$B$6+D504*'前提と出典'!$B$5))</ns0:f>
        <ns0:v>496491.62011173187</ns0:v>
      </ns0:c>
      <ns0:c r="P504" s="16">
        <ns0:f>(E504+G504)*(1-'前提と出典'!$B$7)-I504-K504-M504-O504</ns0:f>
        <ns0:v>1123824.516351332</ns0:v>
      </ns0:c>
      <ns0:c r="Q504" s="16">
        <ns0:f>(F504+H504)*(1-'前提と出典'!$B$7)-J504-L504-N504</ns0:f>
        <ns0:v>421827.18272385607</ns0:v>
      </ns0:c>
      <ns0:c r="R504" s="16">
        <ns0:f>P504-E504*'前提と出典'!$E$4</ns0:f>
        <ns0:v>833582.817841477</ns0:v>
      </ns0:c>
      <ns0:c r="S504" s="16">
        <ns0:f>Q504-F504*'前提と出典'!$E$4</ns0:f>
        <ns0:v>307917.8607682552</ns0:v>
      </ns0:c>
      <ns0:c r="T504" s="7">
        <ns0:f>R504+S504</ns0:f>
        <ns0:v>1141500.678609732</ns0:v>
      </ns0:c>
      <ns0:c r="U504" s="16">
        <ns0:f>P504-E504*'前提と出典'!$E$5</ns0:f>
        <ns0:v>736835.5850048587</ns0:v>
      </ns0:c>
      <ns0:c r="V504" s="16">
        <ns0:f>Q504-F504*'前提と出典'!$E$5</ns0:f>
        <ns0:v>269948.086783055</ns0:v>
      </ns0:c>
      <ns0:c r="W504" s="7">
        <ns0:f>U504+V504</ns0:f>
        <ns0:v>1006783.6717879137</ns0:v>
      </ns0:c>
      <ns0:c r="X504" s="16">
        <ns0:f>P504-E504*'前提と出典'!$E$6</ns0:f>
        <ns0:v>640088.3521682404</ns0:v>
      </ns0:c>
      <ns0:c r="Y504" s="16">
        <ns0:f>Q504-F504*'前提と出典'!$E$6</ns0:f>
        <ns0:v>231978.3127978547</ns0:v>
      </ns0:c>
      <ns0:c r="Z504" s="7">
        <ns0:f>X504+Y504</ns0:f>
        <ns0:v>872066.664966095</ns0:v>
      </ns0:c>
      <ns0:c r="AA504" s="7">
        <ns0:f>IF(T504&gt;=0,A504,1001)</ns0:f>
        <ns0:v>500</ns0:v>
      </ns0:c>
      <ns0:c r="AB504" s="7">
        <ns0:f>IF(T504&lt;0,A504,0)</ns0:f>
        <ns0:v>0</ns0:v>
      </ns0:c>
      <ns0:c r="AC504" s="16">
        <ns0:f>IF(AND(OR('前提と出典'!$C$36+'前提と出典'!$C$38=0,R504&gt;=0),OR('前提と出典'!$C$37+'前提と出典'!$C$38=0,S504&gt;=0)),0,A504)</ns0:f>
        <ns0:v>0</ns0:v>
      </ns0:c>
      <ns0:c r="AD504" s="7">
        <ns0:f>IF(W504&gt;=0,A504,1001)</ns0:f>
        <ns0:v>500</ns0:v>
      </ns0:c>
      <ns0:c r="AE504" s="7">
        <ns0:f>IF(W504&lt;0,A504,0)</ns0:f>
        <ns0:v>0</ns0:v>
      </ns0:c>
      <ns0:c r="AF504" s="16">
        <ns0:f>IF(AND(OR('前提と出典'!$C$36+'前提と出典'!$C$38=0,U504&gt;=0),OR('前提と出典'!$C$37+'前提と出典'!$C$38=0,V504&gt;=0)),0,A504)</ns0:f>
        <ns0:v>0</ns0:v>
      </ns0:c>
      <ns0:c r="AG504" s="7">
        <ns0:f>IF(Z504&gt;=0,A504,1001)</ns0:f>
        <ns0:v>500</ns0:v>
      </ns0:c>
      <ns0:c r="AH504" s="4">
        <ns0:f>IF(Z504&lt;0,A504,0)</ns0:f>
        <ns0:v>0</ns0:v>
      </ns0:c>
      <ns0:c r="AI504" s="12">
        <ns0:f>IF(AND(OR('前提と出典'!$C$36+'前提と出典'!$C$38=0,X504&gt;=0),OR('前提と出典'!$C$37+'前提と出典'!$C$38=0,Y504&gt;=0)),0,A504)</ns0:f>
        <ns0:v>0</ns0:v>
      </ns0:c>
    </ns0:row>
    <ns0:row r="505" ht="24" customHeight="1">
      <ns0:c r="A505" s="4" t="n">
        <ns0:v>501</ns0:v>
      </ns0:c>
      <ns0:c r="B505" s="12">
        <ns0:f>A505*('前提と出典'!$C$36+'前提と出典'!$C$38)</ns0:f>
        <ns0:v>350.7</ns0:v>
      </ns0:c>
      <ns0:c r="C505" s="12">
        <ns0:f>A505*('前提と出典'!$C$37+'前提と出典'!$C$38)</ns0:f>
        <ns0:v>300.59999999999997</ns0:v>
      </ns0:c>
      <ns0:c r="D505" s="16">
        <ns0:f>A505*('前提と出典'!$C$36*'契約別単価'!C5+'前提と出典'!$C$37*'契約別単価'!C6+'前提と出典'!$C$38*'契約別単価'!C7)</ns0:f>
        <ns0:v>3604.9608938547485</ns0:v>
      </ns0:c>
      <ns0:c r="E505" s="16">
        <ns0:f>A505*('前提と出典'!$C$36*'契約別単価'!E5+'前提と出典'!$C$37*'契約別単価'!E6+'前提と出典'!$C$38*'契約別単価'!E7)</ns0:f>
        <ns0:v>969407.2730229154</ns0:v>
      </ns0:c>
      <ns0:c r="F505" s="16">
        <ns0:f>A505*('前提と出典'!$C$36*'契約別単価'!F5+'前提と出典'!$C$37*'契約別単価'!F6+'前提と出典'!$C$38*'契約別単価'!F7)</ns0:f>
        <ns0:v>380457.1353317068</ns0:v>
      </ns0:c>
      <ns0:c r="G505" s="16">
        <ns0:f>A505*('前提と出典'!$C$36*'契約別単価'!G5+'前提と出典'!$C$37*'契約別単価'!G6+'前提と出典'!$C$38*'契約別単価'!G7)</ns0:f>
        <ns0:v>997241.8994413407</ns0:v>
      </ns0:c>
      <ns0:c r="H505" s="16">
        <ns0:f>A505*('前提と出典'!$C$36*'契約別単価'!H5+'前提と出典'!$C$37*'契約別単価'!H6+'前提と出典'!$C$38*'契約別単価'!H7)</ns0:f>
        <ns0:v>346092.9547177226</ns0:v>
      </ns0:c>
      <ns0:c r="I505" s="16">
        <ns0:f>A505*('前提と出典'!$C$36*'契約別単価'!I5+'前提と出典'!$C$37*'契約別単価'!I6+'前提と出典'!$C$38*'契約別単価'!I7)</ns0:f>
        <ns0:v>21139.960893854746</ns0:v>
      </ns0:c>
      <ns0:c r="J505" s="16">
        <ns0:f>A505*('前提と出典'!$C$36*'契約別単価'!J5+'前提と出典'!$C$37*'契約別単価'!J6+'前提と出典'!$C$38*'契約別単価'!J7)</ns0:f>
        <ns0:v>49243.06139886159</ns0:v>
      </ns0:c>
      <ns0:c r="K505" s="16">
        <ns0:f>A505*('前提と出典'!$C$36*'契約別単価'!K5+'前提と出典'!$C$37*'契約別単価'!K6+'前提と出典'!$C$38*'契約別単価'!K7)</ns0:f>
        <ns0:v>211073.07262569832</ns0:v>
      </ns0:c>
      <ns0:c r="L505" s="16">
        <ns0:f>A505*('前提と出典'!$C$36*'契約別単価'!L5+'前提と出典'!$C$37*'契約別単価'!L6+'前提と出典'!$C$38*'契約別単価'!L7)</ns0:f>
        <ns0:v>171856.43182392407</ns0:v>
      </ns0:c>
      <ns0:c r="M505" s="16">
        <ns0:f>IF(('前提と出典'!$C$36+'前提と出典'!$C$38)=0,0,IF(B505&lt;=10,'前提と出典'!B73+'前提と出典'!C73,IF(B505&lt;=100,'前提と出典'!B74+'前提と出典'!C74,IF(B505&lt;=500,'前提と出典'!B75+'前提と出典'!C75,'前提と出典'!B76+'前提と出典'!C76))))</ns0:f>
        <ns0:v>40000</ns0:v>
      </ns0:c>
      <ns0:c r="N505" s="16">
        <ns0:f>IF(('前提と出典'!$C$37+'前提と出典'!$C$38)=0,0,IF(C505&lt;=10,'前提と出典'!D73+'前提と出典'!E73,IF(C505&lt;=100,'前提と出典'!D74+'前提と出典'!E74,IF(C505&lt;=500,'前提と出典'!D75+'前提と出典'!E75,'前提と出典'!D76+'前提と出典'!E76))))</ns0:f>
        <ns0:v>56510.9346263078</ns0:v>
      </ns0:c>
      <ns0:c r="O505" s="16">
        <ns0:f>IF('前提と出典'!$C$36+'前提と出典'!$C$38=0,0,'前提と出典'!$B$4*IF('前提と出典'!$B$20=0,MAX('前提と出典'!$B$6,D505*'前提と出典'!$B$5),'前提と出典'!$B$6+D505*'前提と出典'!$B$5))</ns0:f>
        <ns0:v>497484.6033519553</ns0:v>
      </ns0:c>
      <ns0:c r="P505" s="16">
        <ns0:f>(E505+G505)*(1-'前提と出典'!$B$7)-I505-K505-M505-O505</ns0:f>
        <ns0:v>1126152.1653840346</ns0:v>
      </ns0:c>
      <ns0:c r="Q505" s="16">
        <ns0:f>(F505+H505)*(1-'前提と出典'!$B$7)-J505-L505-N505</ns0:f>
        <ns0:v>422783.8589585564</ns0:v>
      </ns0:c>
      <ns0:c r="R505" s="16">
        <ns0:f>P505-E505*'前提と出典'!$E$4</ns0:f>
        <ns0:v>835329.9834771601</ns0:v>
      </ns0:c>
      <ns0:c r="S505" s="16">
        <ns0:f>Q505-F505*'前提と出典'!$E$4</ns0:f>
        <ns0:v>308646.7183590444</ns0:v>
      </ns0:c>
      <ns0:c r="T505" s="7">
        <ns0:f>R505+S505</ns0:f>
        <ns0:v>1143976.7018362046</ns0:v>
      </ns0:c>
      <ns0:c r="U505" s="16">
        <ns0:f>P505-E505*'前提と出典'!$E$5</ns0:f>
        <ns0:v>738389.2561748684</ns0:v>
      </ns0:c>
      <ns0:c r="V505" s="16">
        <ns0:f>Q505-F505*'前提と出典'!$E$5</ns0:f>
        <ns0:v>270601.00482587365</ns0:v>
      </ns0:c>
      <ns0:c r="W505" s="7">
        <ns0:f>U505+V505</ns0:f>
        <ns0:v>1008990.2610007421</ns0:v>
      </ns0:c>
      <ns0:c r="X505" s="16">
        <ns0:f>P505-E505*'前提と出典'!$E$6</ns0:f>
        <ns0:v>641448.528872577</ns0:v>
      </ns0:c>
      <ns0:c r="Y505" s="16">
        <ns0:f>Q505-F505*'前提と出典'!$E$6</ns0:f>
        <ns0:v>232555.291292703</ns0:v>
      </ns0:c>
      <ns0:c r="Z505" s="7">
        <ns0:f>X505+Y505</ns0:f>
        <ns0:v>874003.82016528</ns0:v>
      </ns0:c>
      <ns0:c r="AA505" s="7">
        <ns0:f>IF(T505&gt;=0,A505,1001)</ns0:f>
        <ns0:v>501</ns0:v>
      </ns0:c>
      <ns0:c r="AB505" s="7">
        <ns0:f>IF(T505&lt;0,A505,0)</ns0:f>
        <ns0:v>0</ns0:v>
      </ns0:c>
      <ns0:c r="AC505" s="16">
        <ns0:f>IF(AND(OR('前提と出典'!$C$36+'前提と出典'!$C$38=0,R505&gt;=0),OR('前提と出典'!$C$37+'前提と出典'!$C$38=0,S505&gt;=0)),0,A505)</ns0:f>
        <ns0:v>0</ns0:v>
      </ns0:c>
      <ns0:c r="AD505" s="7">
        <ns0:f>IF(W505&gt;=0,A505,1001)</ns0:f>
        <ns0:v>501</ns0:v>
      </ns0:c>
      <ns0:c r="AE505" s="7">
        <ns0:f>IF(W505&lt;0,A505,0)</ns0:f>
        <ns0:v>0</ns0:v>
      </ns0:c>
      <ns0:c r="AF505" s="16">
        <ns0:f>IF(AND(OR('前提と出典'!$C$36+'前提と出典'!$C$38=0,U505&gt;=0),OR('前提と出典'!$C$37+'前提と出典'!$C$38=0,V505&gt;=0)),0,A505)</ns0:f>
        <ns0:v>0</ns0:v>
      </ns0:c>
      <ns0:c r="AG505" s="7">
        <ns0:f>IF(Z505&gt;=0,A505,1001)</ns0:f>
        <ns0:v>501</ns0:v>
      </ns0:c>
      <ns0:c r="AH505" s="4">
        <ns0:f>IF(Z505&lt;0,A505,0)</ns0:f>
        <ns0:v>0</ns0:v>
      </ns0:c>
      <ns0:c r="AI505" s="12">
        <ns0:f>IF(AND(OR('前提と出典'!$C$36+'前提と出典'!$C$38=0,X505&gt;=0),OR('前提と出典'!$C$37+'前提と出典'!$C$38=0,Y505&gt;=0)),0,A505)</ns0:f>
        <ns0:v>0</ns0:v>
      </ns0:c>
    </ns0:row>
    <ns0:row r="506" ht="24" customHeight="1">
      <ns0:c r="A506" s="4" t="n">
        <ns0:v>502</ns0:v>
      </ns0:c>
      <ns0:c r="B506" s="12">
        <ns0:f>A506*('前提と出典'!$C$36+'前提と出典'!$C$38)</ns0:f>
        <ns0:v>351.4</ns0:v>
      </ns0:c>
      <ns0:c r="C506" s="12">
        <ns0:f>A506*('前提と出典'!$C$37+'前提と出典'!$C$38)</ns0:f>
        <ns0:v>301.2</ns0:v>
      </ns0:c>
      <ns0:c r="D506" s="16">
        <ns0:f>A506*('前提と出典'!$C$36*'契約別単価'!C5+'前提と出典'!$C$37*'契約別単価'!C6+'前提と出典'!$C$38*'契約別単価'!C7)</ns0:f>
        <ns0:v>3612.1564245810055</ns0:v>
      </ns0:c>
      <ns0:c r="E506" s="16">
        <ns0:f>A506*('前提と出典'!$C$36*'契約別単価'!E5+'前提と出典'!$C$37*'契約別単価'!E6+'前提と出典'!$C$38*'契約別単価'!E7)</ns0:f>
        <ns0:v>971342.2176796477</ns0:v>
      </ns0:c>
      <ns0:c r="F506" s="16">
        <ns0:f>A506*('前提と出典'!$C$36*'契約別単価'!F5+'前提と出典'!$C$37*'契約別単価'!F6+'前提と出典'!$C$38*'契約別単価'!F7)</ns0:f>
        <ns0:v>381216.5308114108</ns0:v>
      </ns0:c>
      <ns0:c r="G506" s="16">
        <ns0:f>A506*('前提と出典'!$C$36*'契約別単価'!G5+'前提と出典'!$C$37*'契約別単価'!G6+'前提と出典'!$C$38*'契約別単価'!G7)</ns0:f>
        <ns0:v>999232.4022346368</ns0:v>
      </ns0:c>
      <ns0:c r="H506" s="16">
        <ns0:f>A506*('前提と出典'!$C$36*'契約別単価'!H5+'前提と出典'!$C$37*'契約別単価'!H6+'前提と出典'!$C$38*'契約別単価'!H7)</ns0:f>
        <ns0:v>346783.7590185564</ns0:v>
      </ns0:c>
      <ns0:c r="I506" s="16">
        <ns0:f>A506*('前提と出典'!$C$36*'契約別単価'!I5+'前提と出典'!$C$37*'契約別単価'!I6+'前提と出典'!$C$38*'契約別単価'!I7)</ns0:f>
        <ns0:v>21182.156424581</ns0:v>
      </ns0:c>
      <ns0:c r="J506" s="16">
        <ns0:f>A506*('前提と出典'!$C$36*'契約別単価'!J5+'前提と出典'!$C$37*'契約別単価'!J6+'前提と出典'!$C$38*'契約別単価'!J7)</ns0:f>
        <ns0:v>49341.35094257189</ns0:v>
      </ns0:c>
      <ns0:c r="K506" s="16">
        <ns0:f>A506*('前提と出典'!$C$36*'契約別単価'!K5+'前提と出典'!$C$37*'契約別単価'!K6+'前提と出典'!$C$38*'契約別単価'!K7)</ns0:f>
        <ns0:v>211494.37616387336</ns0:v>
      </ns0:c>
      <ns0:c r="L506" s="16">
        <ns0:f>A506*('前提と出典'!$C$36*'契約別単価'!L5+'前提と出典'!$C$37*'契約別単価'!L6+'前提と出典'!$C$38*'契約別単価'!L7)</ns0:f>
        <ns0:v>172199.45863395187</ns0:v>
      </ns0:c>
      <ns0:c r="M506" s="16">
        <ns0:f>IF(('前提と出典'!$C$36+'前提と出典'!$C$38)=0,0,IF(B506&lt;=10,'前提と出典'!B73+'前提と出典'!C73,IF(B506&lt;=100,'前提と出典'!B74+'前提と出典'!C74,IF(B506&lt;=500,'前提と出典'!B75+'前提と出典'!C75,'前提と出典'!B76+'前提と出典'!C76))))</ns0:f>
        <ns0:v>40000</ns0:v>
      </ns0:c>
      <ns0:c r="N506" s="16">
        <ns0:f>IF(('前提と出典'!$C$37+'前提と出典'!$C$38)=0,0,IF(C506&lt;=10,'前提と出典'!D73+'前提と出典'!E73,IF(C506&lt;=100,'前提と出典'!D74+'前提と出典'!E74,IF(C506&lt;=500,'前提と出典'!D75+'前提と出典'!E75,'前提と出典'!D76+'前提と出典'!E76))))</ns0:f>
        <ns0:v>56510.9346263078</ns0:v>
      </ns0:c>
      <ns0:c r="O506" s="16">
        <ns0:f>IF('前提と出典'!$C$36+'前提と出典'!$C$38=0,0,'前提と出典'!$B$4*IF('前提と出典'!$B$20=0,MAX('前提と出典'!$B$6,D506*'前提と出典'!$B$5),'前提と出典'!$B$6+D506*'前提と出典'!$B$5))</ns0:f>
        <ns0:v>498477.5865921788</ns0:v>
      </ns0:c>
      <ns0:c r="P506" s="16">
        <ns0:f>(E506+G506)*(1-'前提と出典'!$B$7)-I506-K506-M506-O506</ns0:f>
        <ns0:v>1128479.814416737</ns0:v>
      </ns0:c>
      <ns0:c r="Q506" s="16">
        <ns0:f>(F506+H506)*(1-'前提と出典'!$B$7)-J506-L506-N506</ns0:f>
        <ns0:v>423740.5351932568</ns0:v>
      </ns0:c>
      <ns0:c r="R506" s="16">
        <ns0:f>P506-E506*'前提と出典'!$E$4</ns0:f>
        <ns0:v>837077.1491128427</ns0:v>
      </ns0:c>
      <ns0:c r="S506" s="16">
        <ns0:f>Q506-F506*'前提と出典'!$E$4</ns0:f>
        <ns0:v>309375.5759498336</ns0:v>
      </ns0:c>
      <ns0:c r="T506" s="7">
        <ns0:f>R506+S506</ns0:f>
        <ns0:v>1146452.7250626762</ns0:v>
      </ns0:c>
      <ns0:c r="U506" s="16">
        <ns0:f>P506-E506*'前提と出典'!$E$5</ns0:f>
        <ns0:v>739942.927344878</ns0:v>
      </ns0:c>
      <ns0:c r="V506" s="16">
        <ns0:f>Q506-F506*'前提と出典'!$E$5</ns0:f>
        <ns0:v>271253.92286869243</ns0:v>
      </ns0:c>
      <ns0:c r="W506" s="7">
        <ns0:f>U506+V506</ns0:f>
        <ns0:v>1011196.8502135704</ns0:v>
      </ns0:c>
      <ns0:c r="X506" s="16">
        <ns0:f>P506-E506*'前提と出典'!$E$6</ns0:f>
        <ns0:v>642808.7055769132</ns0:v>
      </ns0:c>
      <ns0:c r="Y506" s="16">
        <ns0:f>Q506-F506*'前提と出典'!$E$6</ns0:f>
        <ns0:v>233132.26978755137</ns0:v>
      </ns0:c>
      <ns0:c r="Z506" s="7">
        <ns0:f>X506+Y506</ns0:f>
        <ns0:v>875940.9753644646</ns0:v>
      </ns0:c>
      <ns0:c r="AA506" s="7">
        <ns0:f>IF(T506&gt;=0,A506,1001)</ns0:f>
        <ns0:v>502</ns0:v>
      </ns0:c>
      <ns0:c r="AB506" s="7">
        <ns0:f>IF(T506&lt;0,A506,0)</ns0:f>
        <ns0:v>0</ns0:v>
      </ns0:c>
      <ns0:c r="AC506" s="16">
        <ns0:f>IF(AND(OR('前提と出典'!$C$36+'前提と出典'!$C$38=0,R506&gt;=0),OR('前提と出典'!$C$37+'前提と出典'!$C$38=0,S506&gt;=0)),0,A506)</ns0:f>
        <ns0:v>0</ns0:v>
      </ns0:c>
      <ns0:c r="AD506" s="7">
        <ns0:f>IF(W506&gt;=0,A506,1001)</ns0:f>
        <ns0:v>502</ns0:v>
      </ns0:c>
      <ns0:c r="AE506" s="7">
        <ns0:f>IF(W506&lt;0,A506,0)</ns0:f>
        <ns0:v>0</ns0:v>
      </ns0:c>
      <ns0:c r="AF506" s="16">
        <ns0:f>IF(AND(OR('前提と出典'!$C$36+'前提と出典'!$C$38=0,U506&gt;=0),OR('前提と出典'!$C$37+'前提と出典'!$C$38=0,V506&gt;=0)),0,A506)</ns0:f>
        <ns0:v>0</ns0:v>
      </ns0:c>
      <ns0:c r="AG506" s="7">
        <ns0:f>IF(Z506&gt;=0,A506,1001)</ns0:f>
        <ns0:v>502</ns0:v>
      </ns0:c>
      <ns0:c r="AH506" s="4">
        <ns0:f>IF(Z506&lt;0,A506,0)</ns0:f>
        <ns0:v>0</ns0:v>
      </ns0:c>
      <ns0:c r="AI506" s="12">
        <ns0:f>IF(AND(OR('前提と出典'!$C$36+'前提と出典'!$C$38=0,X506&gt;=0),OR('前提と出典'!$C$37+'前提と出典'!$C$38=0,Y506&gt;=0)),0,A506)</ns0:f>
        <ns0:v>0</ns0:v>
      </ns0:c>
    </ns0:row>
    <ns0:row r="507" ht="24" customHeight="1">
      <ns0:c r="A507" s="4" t="n">
        <ns0:v>503</ns0:v>
      </ns0:c>
      <ns0:c r="B507" s="12">
        <ns0:f>A507*('前提と出典'!$C$36+'前提と出典'!$C$38)</ns0:f>
        <ns0:v>352.09999999999997</ns0:v>
      </ns0:c>
      <ns0:c r="C507" s="12">
        <ns0:f>A507*('前提と出典'!$C$37+'前提と出典'!$C$38)</ns0:f>
        <ns0:v>301.8</ns0:v>
      </ns0:c>
      <ns0:c r="D507" s="16">
        <ns0:f>A507*('前提と出典'!$C$36*'契約別単価'!C5+'前提と出典'!$C$37*'契約別単価'!C6+'前提と出典'!$C$38*'契約別単価'!C7)</ns0:f>
        <ns0:v>3619.3519553072624</ns0:v>
      </ns0:c>
      <ns0:c r="E507" s="16">
        <ns0:f>A507*('前提と出典'!$C$36*'契約別単価'!E5+'前提と出典'!$C$37*'契約別単価'!E6+'前提と出典'!$C$38*'契約別単価'!E7)</ns0:f>
        <ns0:v>973277.1623363801</ns0:v>
      </ns0:c>
      <ns0:c r="F507" s="16">
        <ns0:f>A507*('前提と出典'!$C$36*'契約別単価'!F5+'前提と出典'!$C$37*'契約別単価'!F6+'前提と出典'!$C$38*'契約別単価'!F7)</ns0:f>
        <ns0:v>381975.92629111477</ns0:v>
      </ns0:c>
      <ns0:c r="G507" s="16">
        <ns0:f>A507*('前提と出典'!$C$36*'契約別単価'!G5+'前提と出典'!$C$37*'契約別単価'!G6+'前提と出典'!$C$38*'契約別単価'!G7)</ns0:f>
        <ns0:v>1001222.905027933</ns0:v>
      </ns0:c>
      <ns0:c r="H507" s="16">
        <ns0:f>A507*('前提と出典'!$C$36*'契約別単価'!H5+'前提と出典'!$C$37*'契約別単価'!H6+'前提と出典'!$C$38*'契約別単価'!H7)</ns0:f>
        <ns0:v>347474.5633193902</ns0:v>
      </ns0:c>
      <ns0:c r="I507" s="16">
        <ns0:f>A507*('前提と出典'!$C$36*'契約別単価'!I5+'前提と出典'!$C$37*'契約別単価'!I6+'前提と出典'!$C$38*'契約別単価'!I7)</ns0:f>
        <ns0:v>21224.35195530726</ns0:v>
      </ns0:c>
      <ns0:c r="J507" s="16">
        <ns0:f>A507*('前提と出典'!$C$36*'契約別単価'!J5+'前提と出典'!$C$37*'契約別単価'!J6+'前提と出典'!$C$38*'契約別単価'!J7)</ns0:f>
        <ns0:v>49439.640486282195</ns0:v>
      </ns0:c>
      <ns0:c r="K507" s="16">
        <ns0:f>A507*('前提と出典'!$C$36*'契約別単価'!K5+'前提と出典'!$C$37*'契約別単価'!K6+'前提と出典'!$C$38*'契約別単価'!K7)</ns0:f>
        <ns0:v>211915.6797020484</ns0:v>
      </ns0:c>
      <ns0:c r="L507" s="16">
        <ns0:f>A507*('前提と出典'!$C$36*'契約別単価'!L5+'前提と出典'!$C$37*'契約別単価'!L6+'前提と出典'!$C$38*'契約別単価'!L7)</ns0:f>
        <ns0:v>172542.48544397968</ns0:v>
      </ns0:c>
      <ns0:c r="M507" s="16">
        <ns0:f>IF(('前提と出典'!$C$36+'前提と出典'!$C$38)=0,0,IF(B507&lt;=10,'前提と出典'!B73+'前提と出典'!C73,IF(B507&lt;=100,'前提と出典'!B74+'前提と出典'!C74,IF(B507&lt;=500,'前提と出典'!B75+'前提と出典'!C75,'前提と出典'!B76+'前提と出典'!C76))))</ns0:f>
        <ns0:v>40000</ns0:v>
      </ns0:c>
      <ns0:c r="N507" s="16">
        <ns0:f>IF(('前提と出典'!$C$37+'前提と出典'!$C$38)=0,0,IF(C507&lt;=10,'前提と出典'!D73+'前提と出典'!E73,IF(C507&lt;=100,'前提と出典'!D74+'前提と出典'!E74,IF(C507&lt;=500,'前提と出典'!D75+'前提と出典'!E75,'前提と出典'!D76+'前提と出典'!E76))))</ns0:f>
        <ns0:v>56510.9346263078</ns0:v>
      </ns0:c>
      <ns0:c r="O507" s="16">
        <ns0:f>IF('前提と出典'!$C$36+'前提と出典'!$C$38=0,0,'前提と出典'!$B$4*IF('前提と出典'!$B$20=0,MAX('前提と出典'!$B$6,D507*'前提と出典'!$B$5),'前提と出典'!$B$6+D507*'前提と出典'!$B$5))</ns0:f>
        <ns0:v>499470.5698324022</ns0:v>
      </ns0:c>
      <ns0:c r="P507" s="16">
        <ns0:f>(E507+G507)*(1-'前提と出典'!$B$7)-I507-K507-M507-O507</ns0:f>
        <ns0:v>1130807.46344944</ns0:v>
      </ns0:c>
      <ns0:c r="Q507" s="16">
        <ns0:f>(F507+H507)*(1-'前提と出典'!$B$7)-J507-L507-N507</ns0:f>
        <ns0:v>424697.21142795705</ns0:v>
      </ns0:c>
      <ns0:c r="R507" s="16">
        <ns0:f>P507-E507*'前提と出典'!$E$4</ns0:f>
        <ns0:v>838824.3147485261</ns0:v>
      </ns0:c>
      <ns0:c r="S507" s="16">
        <ns0:f>Q507-F507*'前提と出典'!$E$4</ns0:f>
        <ns0:v>310104.43354062265</ns0:v>
      </ns0:c>
      <ns0:c r="T507" s="7">
        <ns0:f>R507+S507</ns0:f>
        <ns0:v>1148928.7482891488</ns0:v>
      </ns0:c>
      <ns0:c r="U507" s="16">
        <ns0:f>P507-E507*'前提と出典'!$E$5</ns0:f>
        <ns0:v>741496.598514888</ns0:v>
      </ns0:c>
      <ns0:c r="V507" s="16">
        <ns0:f>Q507-F507*'前提と出典'!$E$5</ns0:f>
        <ns0:v>271906.84091151116</ns0:v>
      </ns0:c>
      <ns0:c r="W507" s="7">
        <ns0:f>U507+V507</ns0:f>
        <ns0:v>1013403.4394263991</ns0:v>
      </ns0:c>
      <ns0:c r="X507" s="16">
        <ns0:f>P507-E507*'前提と出典'!$E$6</ns0:f>
        <ns0:v>644168.8822812499</ns0:v>
      </ns0:c>
      <ns0:c r="Y507" s="16">
        <ns0:f>Q507-F507*'前提と出典'!$E$6</ns0:f>
        <ns0:v>233709.24828239967</ns0:v>
      </ns0:c>
      <ns0:c r="Z507" s="7">
        <ns0:f>X507+Y507</ns0:f>
        <ns0:v>877878.1305636496</ns0:v>
      </ns0:c>
      <ns0:c r="AA507" s="7">
        <ns0:f>IF(T507&gt;=0,A507,1001)</ns0:f>
        <ns0:v>503</ns0:v>
      </ns0:c>
      <ns0:c r="AB507" s="7">
        <ns0:f>IF(T507&lt;0,A507,0)</ns0:f>
        <ns0:v>0</ns0:v>
      </ns0:c>
      <ns0:c r="AC507" s="16">
        <ns0:f>IF(AND(OR('前提と出典'!$C$36+'前提と出典'!$C$38=0,R507&gt;=0),OR('前提と出典'!$C$37+'前提と出典'!$C$38=0,S507&gt;=0)),0,A507)</ns0:f>
        <ns0:v>0</ns0:v>
      </ns0:c>
      <ns0:c r="AD507" s="7">
        <ns0:f>IF(W507&gt;=0,A507,1001)</ns0:f>
        <ns0:v>503</ns0:v>
      </ns0:c>
      <ns0:c r="AE507" s="7">
        <ns0:f>IF(W507&lt;0,A507,0)</ns0:f>
        <ns0:v>0</ns0:v>
      </ns0:c>
      <ns0:c r="AF507" s="16">
        <ns0:f>IF(AND(OR('前提と出典'!$C$36+'前提と出典'!$C$38=0,U507&gt;=0),OR('前提と出典'!$C$37+'前提と出典'!$C$38=0,V507&gt;=0)),0,A507)</ns0:f>
        <ns0:v>0</ns0:v>
      </ns0:c>
      <ns0:c r="AG507" s="7">
        <ns0:f>IF(Z507&gt;=0,A507,1001)</ns0:f>
        <ns0:v>503</ns0:v>
      </ns0:c>
      <ns0:c r="AH507" s="4">
        <ns0:f>IF(Z507&lt;0,A507,0)</ns0:f>
        <ns0:v>0</ns0:v>
      </ns0:c>
      <ns0:c r="AI507" s="12">
        <ns0:f>IF(AND(OR('前提と出典'!$C$36+'前提と出典'!$C$38=0,X507&gt;=0),OR('前提と出典'!$C$37+'前提と出典'!$C$38=0,Y507&gt;=0)),0,A507)</ns0:f>
        <ns0:v>0</ns0:v>
      </ns0:c>
    </ns0:row>
    <ns0:row r="508" ht="24" customHeight="1">
      <ns0:c r="A508" s="4" t="n">
        <ns0:v>504</ns0:v>
      </ns0:c>
      <ns0:c r="B508" s="12">
        <ns0:f>A508*('前提と出典'!$C$36+'前提と出典'!$C$38)</ns0:f>
        <ns0:v>352.79999999999995</ns0:v>
      </ns0:c>
      <ns0:c r="C508" s="12">
        <ns0:f>A508*('前提と出典'!$C$37+'前提と出典'!$C$38)</ns0:f>
        <ns0:v>302.4</ns0:v>
      </ns0:c>
      <ns0:c r="D508" s="16">
        <ns0:f>A508*('前提と出典'!$C$36*'契約別単価'!C5+'前提と出典'!$C$37*'契約別単価'!C6+'前提と出典'!$C$38*'契約別単価'!C7)</ns0:f>
        <ns0:v>3626.5474860335194</ns0:v>
      </ns0:c>
      <ns0:c r="E508" s="16">
        <ns0:f>A508*('前提と出典'!$C$36*'契約別単価'!E5+'前提と出典'!$C$37*'契約別単価'!E6+'前提と出典'!$C$38*'契約別単価'!E7)</ns0:f>
        <ns0:v>975212.1069931125</ns0:v>
      </ns0:c>
      <ns0:c r="F508" s="16">
        <ns0:f>A508*('前提と出典'!$C$36*'契約別単価'!F5+'前提と出典'!$C$37*'契約別単価'!F6+'前提と出典'!$C$38*'契約別単価'!F7)</ns0:f>
        <ns0:v>382735.3217708188</ns0:v>
      </ns0:c>
      <ns0:c r="G508" s="16">
        <ns0:f>A508*('前提と出典'!$C$36*'契約別単価'!G5+'前提と出典'!$C$37*'契約別単価'!G6+'前提と出典'!$C$38*'契約別単価'!G7)</ns0:f>
        <ns0:v>1003213.407821229</ns0:v>
      </ns0:c>
      <ns0:c r="H508" s="16">
        <ns0:f>A508*('前提と出典'!$C$36*'契約別単価'!H5+'前提と出典'!$C$37*'契約別単価'!H6+'前提と出典'!$C$38*'契約別単価'!H7)</ns0:f>
        <ns0:v>348165.36762022396</ns0:v>
      </ns0:c>
      <ns0:c r="I508" s="16">
        <ns0:f>A508*('前提と出典'!$C$36*'契約別単価'!I5+'前提と出典'!$C$37*'契約別単価'!I6+'前提と出典'!$C$38*'契約別単価'!I7)</ns0:f>
        <ns0:v>21266.547486033516</ns0:v>
      </ns0:c>
      <ns0:c r="J508" s="16">
        <ns0:f>A508*('前提と出典'!$C$36*'契約別単価'!J5+'前提と出典'!$C$37*'契約別単価'!J6+'前提と出典'!$C$38*'契約別単価'!J7)</ns0:f>
        <ns0:v>49537.930029992494</ns0:v>
      </ns0:c>
      <ns0:c r="K508" s="16">
        <ns0:f>A508*('前提と出典'!$C$36*'契約別単価'!K5+'前提と出典'!$C$37*'契約別単価'!K6+'前提と出典'!$C$38*'契約別単価'!K7)</ns0:f>
        <ns0:v>212336.98324022346</ns0:v>
      </ns0:c>
      <ns0:c r="L508" s="16">
        <ns0:f>A508*('前提と出典'!$C$36*'契約別単価'!L5+'前提と出典'!$C$37*'契約別単価'!L6+'前提と出典'!$C$38*'契約別単価'!L7)</ns0:f>
        <ns0:v>172885.51225400745</ns0:v>
      </ns0:c>
      <ns0:c r="M508" s="16">
        <ns0:f>IF(('前提と出典'!$C$36+'前提と出典'!$C$38)=0,0,IF(B508&lt;=10,'前提と出典'!B73+'前提と出典'!C73,IF(B508&lt;=100,'前提と出典'!B74+'前提と出典'!C74,IF(B508&lt;=500,'前提と出典'!B75+'前提と出典'!C75,'前提と出典'!B76+'前提と出典'!C76))))</ns0:f>
        <ns0:v>40000</ns0:v>
      </ns0:c>
      <ns0:c r="N508" s="16">
        <ns0:f>IF(('前提と出典'!$C$37+'前提と出典'!$C$38)=0,0,IF(C508&lt;=10,'前提と出典'!D73+'前提と出典'!E73,IF(C508&lt;=100,'前提と出典'!D74+'前提と出典'!E74,IF(C508&lt;=500,'前提と出典'!D75+'前提と出典'!E75,'前提と出典'!D76+'前提と出典'!E76))))</ns0:f>
        <ns0:v>56510.9346263078</ns0:v>
      </ns0:c>
      <ns0:c r="O508" s="16">
        <ns0:f>IF('前提と出典'!$C$36+'前提と出典'!$C$38=0,0,'前提と出典'!$B$4*IF('前提と出典'!$B$20=0,MAX('前提と出典'!$B$6,D508*'前提と出典'!$B$5),'前提と出典'!$B$6+D508*'前提と出典'!$B$5))</ns0:f>
        <ns0:v>500463.55307262565</ns0:v>
      </ns0:c>
      <ns0:c r="P508" s="16">
        <ns0:f>(E508+G508)*(1-'前提と出典'!$B$7)-I508-K508-M508-O508</ns0:f>
        <ns0:v>1133135.1124821426</ns0:v>
      </ns0:c>
      <ns0:c r="Q508" s="16">
        <ns0:f>(F508+H508)*(1-'前提と出典'!$B$7)-J508-L508-N508</ns0:f>
        <ns0:v>425653.8876626574</ns0:v>
      </ns0:c>
      <ns0:c r="R508" s="16">
        <ns0:f>P508-E508*'前提と出典'!$E$4</ns0:f>
        <ns0:v>840571.4803842088</ns0:v>
      </ns0:c>
      <ns0:c r="S508" s="16">
        <ns0:f>Q508-F508*'前提と出典'!$E$4</ns0:f>
        <ns0:v>310833.29113141185</ns0:v>
      </ns0:c>
      <ns0:c r="T508" s="7">
        <ns0:f>R508+S508</ns0:f>
        <ns0:v>1151404.7715156206</ns0:v>
      </ns0:c>
      <ns0:c r="U508" s="16">
        <ns0:f>P508-E508*'前提と出典'!$E$5</ns0:f>
        <ns0:v>743050.2696848976</ns0:v>
      </ns0:c>
      <ns0:c r="V508" s="16">
        <ns0:f>Q508-F508*'前提と出典'!$E$5</ns0:f>
        <ns0:v>272559.75895432994</ns0:v>
      </ns0:c>
      <ns0:c r="W508" s="7">
        <ns0:f>U508+V508</ns0:f>
        <ns0:v>1015610.0286392276</ns0:v>
      </ns0:c>
      <ns0:c r="X508" s="16">
        <ns0:f>P508-E508*'前提と出典'!$E$6</ns0:f>
        <ns0:v>645529.0589855862</ns0:v>
      </ns0:c>
      <ns0:c r="Y508" s="16">
        <ns0:f>Q508-F508*'前提と出典'!$E$6</ns0:f>
        <ns0:v>234286.22677724808</ns0:v>
      </ns0:c>
      <ns0:c r="Z508" s="7">
        <ns0:f>X508+Y508</ns0:f>
        <ns0:v>879815.2857628342</ns0:v>
      </ns0:c>
      <ns0:c r="AA508" s="7">
        <ns0:f>IF(T508&gt;=0,A508,1001)</ns0:f>
        <ns0:v>504</ns0:v>
      </ns0:c>
      <ns0:c r="AB508" s="7">
        <ns0:f>IF(T508&lt;0,A508,0)</ns0:f>
        <ns0:v>0</ns0:v>
      </ns0:c>
      <ns0:c r="AC508" s="16">
        <ns0:f>IF(AND(OR('前提と出典'!$C$36+'前提と出典'!$C$38=0,R508&gt;=0),OR('前提と出典'!$C$37+'前提と出典'!$C$38=0,S508&gt;=0)),0,A508)</ns0:f>
        <ns0:v>0</ns0:v>
      </ns0:c>
      <ns0:c r="AD508" s="7">
        <ns0:f>IF(W508&gt;=0,A508,1001)</ns0:f>
        <ns0:v>504</ns0:v>
      </ns0:c>
      <ns0:c r="AE508" s="7">
        <ns0:f>IF(W508&lt;0,A508,0)</ns0:f>
        <ns0:v>0</ns0:v>
      </ns0:c>
      <ns0:c r="AF508" s="16">
        <ns0:f>IF(AND(OR('前提と出典'!$C$36+'前提と出典'!$C$38=0,U508&gt;=0),OR('前提と出典'!$C$37+'前提と出典'!$C$38=0,V508&gt;=0)),0,A508)</ns0:f>
        <ns0:v>0</ns0:v>
      </ns0:c>
      <ns0:c r="AG508" s="7">
        <ns0:f>IF(Z508&gt;=0,A508,1001)</ns0:f>
        <ns0:v>504</ns0:v>
      </ns0:c>
      <ns0:c r="AH508" s="4">
        <ns0:f>IF(Z508&lt;0,A508,0)</ns0:f>
        <ns0:v>0</ns0:v>
      </ns0:c>
      <ns0:c r="AI508" s="12">
        <ns0:f>IF(AND(OR('前提と出典'!$C$36+'前提と出典'!$C$38=0,X508&gt;=0),OR('前提と出典'!$C$37+'前提と出典'!$C$38=0,Y508&gt;=0)),0,A508)</ns0:f>
        <ns0:v>0</ns0:v>
      </ns0:c>
    </ns0:row>
    <ns0:row r="509" ht="24" customHeight="1">
      <ns0:c r="A509" s="4" t="n">
        <ns0:v>505</ns0:v>
      </ns0:c>
      <ns0:c r="B509" s="12">
        <ns0:f>A509*('前提と出典'!$C$36+'前提と出典'!$C$38)</ns0:f>
        <ns0:v>353.5</ns0:v>
      </ns0:c>
      <ns0:c r="C509" s="12">
        <ns0:f>A509*('前提と出典'!$C$37+'前提と出典'!$C$38)</ns0:f>
        <ns0:v>303</ns0:v>
      </ns0:c>
      <ns0:c r="D509" s="16">
        <ns0:f>A509*('前提と出典'!$C$36*'契約別単価'!C5+'前提と出典'!$C$37*'契約別単価'!C6+'前提と出典'!$C$38*'契約別単価'!C7)</ns0:f>
        <ns0:v>3633.7430167597763</ns0:v>
      </ns0:c>
      <ns0:c r="E509" s="16">
        <ns0:f>A509*('前提と出典'!$C$36*'契約別単価'!E5+'前提と出典'!$C$37*'契約別単価'!E6+'前提と出典'!$C$38*'契約別単価'!E7)</ns0:f>
        <ns0:v>977147.0516498449</ns0:v>
      </ns0:c>
      <ns0:c r="F509" s="16">
        <ns0:f>A509*('前提と出典'!$C$36*'契約別単価'!F5+'前提と出典'!$C$37*'契約別単価'!F6+'前提と出典'!$C$38*'契約別単価'!F7)</ns0:f>
        <ns0:v>383494.7172505228</ns0:v>
      </ns0:c>
      <ns0:c r="G509" s="16">
        <ns0:f>A509*('前提と出典'!$C$36*'契約別単価'!G5+'前提と出典'!$C$37*'契約別単価'!G6+'前提と出典'!$C$38*'契約別単価'!G7)</ns0:f>
        <ns0:v>1005203.9106145251</ns0:v>
      </ns0:c>
      <ns0:c r="H509" s="16">
        <ns0:f>A509*('前提と出典'!$C$36*'契約別単価'!H5+'前提と出典'!$C$37*'契約別単価'!H6+'前提と出典'!$C$38*'契約別単価'!H7)</ns0:f>
        <ns0:v>348856.17192105774</ns0:v>
      </ns0:c>
      <ns0:c r="I509" s="16">
        <ns0:f>A509*('前提と出典'!$C$36*'契約別単価'!I5+'前提と出典'!$C$37*'契約別単価'!I6+'前提と出典'!$C$38*'契約別単価'!I7)</ns0:f>
        <ns0:v>21308.743016759774</ns0:v>
      </ns0:c>
      <ns0:c r="J509" s="16">
        <ns0:f>A509*('前提と出典'!$C$36*'契約別単価'!J5+'前提と出典'!$C$37*'契約別単価'!J6+'前提と出典'!$C$38*'契約別単価'!J7)</ns0:f>
        <ns0:v>49636.219573702794</ns0:v>
      </ns0:c>
      <ns0:c r="K509" s="16">
        <ns0:f>A509*('前提と出典'!$C$36*'契約別単価'!K5+'前提と出典'!$C$37*'契約別単価'!K6+'前提と出典'!$C$38*'契約別単価'!K7)</ns0:f>
        <ns0:v>212758.2867783985</ns0:v>
      </ns0:c>
      <ns0:c r="L509" s="16">
        <ns0:f>A509*('前提と出典'!$C$36*'契約別単価'!L5+'前提と出典'!$C$37*'契約別単価'!L6+'前提と出典'!$C$38*'契約別単価'!L7)</ns0:f>
        <ns0:v>173228.53906403526</ns0:v>
      </ns0:c>
      <ns0:c r="M509" s="16">
        <ns0:f>IF(('前提と出典'!$C$36+'前提と出典'!$C$38)=0,0,IF(B509&lt;=10,'前提と出典'!B73+'前提と出典'!C73,IF(B509&lt;=100,'前提と出典'!B74+'前提と出典'!C74,IF(B509&lt;=500,'前提と出典'!B75+'前提と出典'!C75,'前提と出典'!B76+'前提と出典'!C76))))</ns0:f>
        <ns0:v>40000</ns0:v>
      </ns0:c>
      <ns0:c r="N509" s="16">
        <ns0:f>IF(('前提と出典'!$C$37+'前提と出典'!$C$38)=0,0,IF(C509&lt;=10,'前提と出典'!D73+'前提と出典'!E73,IF(C509&lt;=100,'前提と出典'!D74+'前提と出典'!E74,IF(C509&lt;=500,'前提と出典'!D75+'前提と出典'!E75,'前提と出典'!D76+'前提と出典'!E76))))</ns0:f>
        <ns0:v>56510.9346263078</ns0:v>
      </ns0:c>
      <ns0:c r="O509" s="16">
        <ns0:f>IF('前提と出典'!$C$36+'前提と出典'!$C$38=0,0,'前提と出典'!$B$4*IF('前提と出典'!$B$20=0,MAX('前提と出典'!$B$6,D509*'前提と出典'!$B$5),'前提と出典'!$B$6+D509*'前提と出典'!$B$5))</ns0:f>
        <ns0:v>501456.53631284914</ns0:v>
      </ns0:c>
      <ns0:c r="P509" s="16">
        <ns0:f>(E509+G509)*(1-'前提と出典'!$B$7)-I509-K509-M509-O509</ns0:f>
        <ns0:v>1135462.7615148448</ns0:v>
      </ns0:c>
      <ns0:c r="Q509" s="16">
        <ns0:f>(F509+H509)*(1-'前提と出典'!$B$7)-J509-L509-N509</ns0:f>
        <ns0:v>426610.5638973578</ns0:v>
      </ns0:c>
      <ns0:c r="R509" s="16">
        <ns0:f>P509-E509*'前提と出典'!$E$4</ns0:f>
        <ns0:v>842318.6460198915</ns0:v>
      </ns0:c>
      <ns0:c r="S509" s="16">
        <ns0:f>Q509-F509*'前提と出典'!$E$4</ns0:f>
        <ns0:v>311562.1487222009</ns0:v>
      </ns0:c>
      <ns0:c r="T509" s="7">
        <ns0:f>R509+S509</ns0:f>
        <ns0:v>1153880.7947420925</ns0:v>
      </ns0:c>
      <ns0:c r="U509" s="16">
        <ns0:f>P509-E509*'前提と出典'!$E$5</ns0:f>
        <ns0:v>744603.9408549069</ns0:v>
      </ns0:c>
      <ns0:c r="V509" s="16">
        <ns0:f>Q509-F509*'前提と出典'!$E$5</ns0:f>
        <ns0:v>273212.67699714866</ns0:v>
      </ns0:c>
      <ns0:c r="W509" s="7">
        <ns0:f>U509+V509</ns0:f>
        <ns0:v>1017816.6178520556</ns0:v>
      </ns0:c>
      <ns0:c r="X509" s="16">
        <ns0:f>P509-E509*'前提と出典'!$E$6</ns0:f>
        <ns0:v>646889.2356899226</ns0:v>
      </ns0:c>
      <ns0:c r="Y509" s="16">
        <ns0:f>Q509-F509*'前提と出典'!$E$6</ns0:f>
        <ns0:v>234863.20527209644</ns0:v>
      </ns0:c>
      <ns0:c r="Z509" s="7">
        <ns0:f>X509+Y509</ns0:f>
        <ns0:v>881752.440962019</ns0:v>
      </ns0:c>
      <ns0:c r="AA509" s="7">
        <ns0:f>IF(T509&gt;=0,A509,1001)</ns0:f>
        <ns0:v>505</ns0:v>
      </ns0:c>
      <ns0:c r="AB509" s="7">
        <ns0:f>IF(T509&lt;0,A509,0)</ns0:f>
        <ns0:v>0</ns0:v>
      </ns0:c>
      <ns0:c r="AC509" s="16">
        <ns0:f>IF(AND(OR('前提と出典'!$C$36+'前提と出典'!$C$38=0,R509&gt;=0),OR('前提と出典'!$C$37+'前提と出典'!$C$38=0,S509&gt;=0)),0,A509)</ns0:f>
        <ns0:v>0</ns0:v>
      </ns0:c>
      <ns0:c r="AD509" s="7">
        <ns0:f>IF(W509&gt;=0,A509,1001)</ns0:f>
        <ns0:v>505</ns0:v>
      </ns0:c>
      <ns0:c r="AE509" s="7">
        <ns0:f>IF(W509&lt;0,A509,0)</ns0:f>
        <ns0:v>0</ns0:v>
      </ns0:c>
      <ns0:c r="AF509" s="16">
        <ns0:f>IF(AND(OR('前提と出典'!$C$36+'前提と出典'!$C$38=0,U509&gt;=0),OR('前提と出典'!$C$37+'前提と出典'!$C$38=0,V509&gt;=0)),0,A509)</ns0:f>
        <ns0:v>0</ns0:v>
      </ns0:c>
      <ns0:c r="AG509" s="7">
        <ns0:f>IF(Z509&gt;=0,A509,1001)</ns0:f>
        <ns0:v>505</ns0:v>
      </ns0:c>
      <ns0:c r="AH509" s="4">
        <ns0:f>IF(Z509&lt;0,A509,0)</ns0:f>
        <ns0:v>0</ns0:v>
      </ns0:c>
      <ns0:c r="AI509" s="12">
        <ns0:f>IF(AND(OR('前提と出典'!$C$36+'前提と出典'!$C$38=0,X509&gt;=0),OR('前提と出典'!$C$37+'前提と出典'!$C$38=0,Y509&gt;=0)),0,A509)</ns0:f>
        <ns0:v>0</ns0:v>
      </ns0:c>
    </ns0:row>
    <ns0:row r="510" ht="24" customHeight="1">
      <ns0:c r="A510" s="4" t="n">
        <ns0:v>506</ns0:v>
      </ns0:c>
      <ns0:c r="B510" s="12">
        <ns0:f>A510*('前提と出典'!$C$36+'前提と出典'!$C$38)</ns0:f>
        <ns0:v>354.2</ns0:v>
      </ns0:c>
      <ns0:c r="C510" s="12">
        <ns0:f>A510*('前提と出典'!$C$37+'前提と出典'!$C$38)</ns0:f>
        <ns0:v>303.59999999999997</ns0:v>
      </ns0:c>
      <ns0:c r="D510" s="16">
        <ns0:f>A510*('前提と出典'!$C$36*'契約別単価'!C5+'前提と出典'!$C$37*'契約別単価'!C6+'前提と出典'!$C$38*'契約別単価'!C7)</ns0:f>
        <ns0:v>3640.9385474860337</ns0:v>
      </ns0:c>
      <ns0:c r="E510" s="16">
        <ns0:f>A510*('前提と出典'!$C$36*'契約別単価'!E5+'前提と出典'!$C$37*'契約別単価'!E6+'前提と出典'!$C$38*'契約別単価'!E7)</ns0:f>
        <ns0:v>979081.9963065772</ns0:v>
      </ns0:c>
      <ns0:c r="F510" s="16">
        <ns0:f>A510*('前提と出典'!$C$36*'契約別単価'!F5+'前提と出典'!$C$37*'契約別単価'!F6+'前提と出典'!$C$38*'契約別単価'!F7)</ns0:f>
        <ns0:v>384254.1127302268</ns0:v>
      </ns0:c>
      <ns0:c r="G510" s="16">
        <ns0:f>A510*('前提と出典'!$C$36*'契約別単価'!G5+'前提と出典'!$C$37*'契約別単価'!G6+'前提と出典'!$C$38*'契約別単価'!G7)</ns0:f>
        <ns0:v>1007194.4134078212</ns0:v>
      </ns0:c>
      <ns0:c r="H510" s="16">
        <ns0:f>A510*('前提と出典'!$C$36*'契約別単価'!H5+'前提と出典'!$C$37*'契約別単価'!H6+'前提と出典'!$C$38*'契約別単価'!H7)</ns0:f>
        <ns0:v>349546.9762218915</ns0:v>
      </ns0:c>
      <ns0:c r="I510" s="16">
        <ns0:f>A510*('前提と出典'!$C$36*'契約別単価'!I5+'前提と出典'!$C$37*'契約別単価'!I6+'前提と出典'!$C$38*'契約別単価'!I7)</ns0:f>
        <ns0:v>21350.93854748603</ns0:v>
      </ns0:c>
      <ns0:c r="J510" s="16">
        <ns0:f>A510*('前提と出典'!$C$36*'契約別単価'!J5+'前提と出典'!$C$37*'契約別単価'!J6+'前提と出典'!$C$38*'契約別単価'!J7)</ns0:f>
        <ns0:v>49734.5091174131</ns0:v>
      </ns0:c>
      <ns0:c r="K510" s="16">
        <ns0:f>A510*('前提と出典'!$C$36*'契約別単価'!K5+'前提と出典'!$C$37*'契約別単価'!K6+'前提と出典'!$C$38*'契約別単価'!K7)</ns0:f>
        <ns0:v>213179.59031657354</ns0:v>
      </ns0:c>
      <ns0:c r="L510" s="16">
        <ns0:f>A510*('前提と出典'!$C$36*'契約別単価'!L5+'前提と出典'!$C$37*'契約別単価'!L6+'前提と出典'!$C$38*'契約別単価'!L7)</ns0:f>
        <ns0:v>173571.56587406303</ns0:v>
      </ns0:c>
      <ns0:c r="M510" s="16">
        <ns0:f>IF(('前提と出典'!$C$36+'前提と出典'!$C$38)=0,0,IF(B510&lt;=10,'前提と出典'!B73+'前提と出典'!C73,IF(B510&lt;=100,'前提と出典'!B74+'前提と出典'!C74,IF(B510&lt;=500,'前提と出典'!B75+'前提と出典'!C75,'前提と出典'!B76+'前提と出典'!C76))))</ns0:f>
        <ns0:v>40000</ns0:v>
      </ns0:c>
      <ns0:c r="N510" s="16">
        <ns0:f>IF(('前提と出典'!$C$37+'前提と出典'!$C$38)=0,0,IF(C510&lt;=10,'前提と出典'!D73+'前提と出典'!E73,IF(C510&lt;=100,'前提と出典'!D74+'前提と出典'!E74,IF(C510&lt;=500,'前提と出典'!D75+'前提と出典'!E75,'前提と出典'!D76+'前提と出典'!E76))))</ns0:f>
        <ns0:v>56510.9346263078</ns0:v>
      </ns0:c>
      <ns0:c r="O510" s="16">
        <ns0:f>IF('前提と出典'!$C$36+'前提と出典'!$C$38=0,0,'前提と出典'!$B$4*IF('前提と出典'!$B$20=0,MAX('前提と出典'!$B$6,D510*'前提と出典'!$B$5),'前提と出典'!$B$6+D510*'前提と出典'!$B$5))</ns0:f>
        <ns0:v>502449.5195530727</ns0:v>
      </ns0:c>
      <ns0:c r="P510" s="16">
        <ns0:f>(E510+G510)*(1-'前提と出典'!$B$7)-I510-K510-M510-O510</ns0:f>
        <ns0:v>1137790.4105475477</ns0:v>
      </ns0:c>
      <ns0:c r="Q510" s="16">
        <ns0:f>(F510+H510)*(1-'前提と出典'!$B$7)-J510-L510-N510</ns0:f>
        <ns0:v>427567.24013205804</ns0:v>
      </ns0:c>
      <ns0:c r="R510" s="16">
        <ns0:f>P510-E510*'前提と出典'!$E$4</ns0:f>
        <ns0:v>844065.8116555747</ns0:v>
      </ns0:c>
      <ns0:c r="S510" s="16">
        <ns0:f>Q510-F510*'前提と出典'!$E$4</ns0:f>
        <ns0:v>312291.00631299</ns0:v>
      </ns0:c>
      <ns0:c r="T510" s="7">
        <ns0:f>R510+S510</ns0:f>
        <ns0:v>1156356.8179685646</ns0:v>
      </ns0:c>
      <ns0:c r="U510" s="16">
        <ns0:f>P510-E510*'前提と出典'!$E$5</ns0:f>
        <ns0:v>746157.6120249168</ns0:v>
      </ns0:c>
      <ns0:c r="V510" s="16">
        <ns0:f>Q510-F510*'前提と出典'!$E$5</ns0:f>
        <ns0:v>273865.59503996733</ns0:v>
      </ns0:c>
      <ns0:c r="W510" s="7">
        <ns0:f>U510+V510</ns0:f>
        <ns0:v>1020023.2070648841</ns0:v>
      </ns0:c>
      <ns0:c r="X510" s="16">
        <ns0:f>P510-E510*'前提と出典'!$E$6</ns0:f>
        <ns0:v>648249.4123942591</ns0:v>
      </ns0:c>
      <ns0:c r="Y510" s="16">
        <ns0:f>Q510-F510*'前提と出典'!$E$6</ns0:f>
        <ns0:v>235440.18376694468</ns0:v>
      </ns0:c>
      <ns0:c r="Z510" s="7">
        <ns0:f>X510+Y510</ns0:f>
        <ns0:v>883689.5961612038</ns0:v>
      </ns0:c>
      <ns0:c r="AA510" s="7">
        <ns0:f>IF(T510&gt;=0,A510,1001)</ns0:f>
        <ns0:v>506</ns0:v>
      </ns0:c>
      <ns0:c r="AB510" s="7">
        <ns0:f>IF(T510&lt;0,A510,0)</ns0:f>
        <ns0:v>0</ns0:v>
      </ns0:c>
      <ns0:c r="AC510" s="16">
        <ns0:f>IF(AND(OR('前提と出典'!$C$36+'前提と出典'!$C$38=0,R510&gt;=0),OR('前提と出典'!$C$37+'前提と出典'!$C$38=0,S510&gt;=0)),0,A510)</ns0:f>
        <ns0:v>0</ns0:v>
      </ns0:c>
      <ns0:c r="AD510" s="7">
        <ns0:f>IF(W510&gt;=0,A510,1001)</ns0:f>
        <ns0:v>506</ns0:v>
      </ns0:c>
      <ns0:c r="AE510" s="7">
        <ns0:f>IF(W510&lt;0,A510,0)</ns0:f>
        <ns0:v>0</ns0:v>
      </ns0:c>
      <ns0:c r="AF510" s="16">
        <ns0:f>IF(AND(OR('前提と出典'!$C$36+'前提と出典'!$C$38=0,U510&gt;=0),OR('前提と出典'!$C$37+'前提と出典'!$C$38=0,V510&gt;=0)),0,A510)</ns0:f>
        <ns0:v>0</ns0:v>
      </ns0:c>
      <ns0:c r="AG510" s="7">
        <ns0:f>IF(Z510&gt;=0,A510,1001)</ns0:f>
        <ns0:v>506</ns0:v>
      </ns0:c>
      <ns0:c r="AH510" s="4">
        <ns0:f>IF(Z510&lt;0,A510,0)</ns0:f>
        <ns0:v>0</ns0:v>
      </ns0:c>
      <ns0:c r="AI510" s="12">
        <ns0:f>IF(AND(OR('前提と出典'!$C$36+'前提と出典'!$C$38=0,X510&gt;=0),OR('前提と出典'!$C$37+'前提と出典'!$C$38=0,Y510&gt;=0)),0,A510)</ns0:f>
        <ns0:v>0</ns0:v>
      </ns0:c>
    </ns0:row>
    <ns0:row r="511" ht="24" customHeight="1">
      <ns0:c r="A511" s="4" t="n">
        <ns0:v>507</ns0:v>
      </ns0:c>
      <ns0:c r="B511" s="12">
        <ns0:f>A511*('前提と出典'!$C$36+'前提と出典'!$C$38)</ns0:f>
        <ns0:v>354.9</ns0:v>
      </ns0:c>
      <ns0:c r="C511" s="12">
        <ns0:f>A511*('前提と出典'!$C$37+'前提と出典'!$C$38)</ns0:f>
        <ns0:v>304.2</ns0:v>
      </ns0:c>
      <ns0:c r="D511" s="16">
        <ns0:f>A511*('前提と出典'!$C$36*'契約別単価'!C5+'前提と出典'!$C$37*'契約別単価'!C6+'前提と出典'!$C$38*'契約別単価'!C7)</ns0:f>
        <ns0:v>3648.1340782122907</ns0:v>
      </ns0:c>
      <ns0:c r="E511" s="16">
        <ns0:f>A511*('前提と出典'!$C$36*'契約別単価'!E5+'前提と出典'!$C$37*'契約別単価'!E6+'前提と出典'!$C$38*'契約別単価'!E7)</ns0:f>
        <ns0:v>981016.9409633095</ns0:v>
      </ns0:c>
      <ns0:c r="F511" s="16">
        <ns0:f>A511*('前提と出典'!$C$36*'契約別単価'!F5+'前提と出典'!$C$37*'契約別単価'!F6+'前提と出典'!$C$38*'契約別単価'!F7)</ns0:f>
        <ns0:v>385013.5082099308</ns0:v>
      </ns0:c>
      <ns0:c r="G511" s="16">
        <ns0:f>A511*('前提と出典'!$C$36*'契約別単価'!G5+'前提と出典'!$C$37*'契約別単価'!G6+'前提と出典'!$C$38*'契約別単価'!G7)</ns0:f>
        <ns0:v>1009184.9162011172</ns0:v>
      </ns0:c>
      <ns0:c r="H511" s="16">
        <ns0:f>A511*('前提と出典'!$C$36*'契約別単価'!H5+'前提と出典'!$C$37*'契約別単価'!H6+'前提と出典'!$C$38*'契約別単価'!H7)</ns0:f>
        <ns0:v>350237.7805227253</ns0:v>
      </ns0:c>
      <ns0:c r="I511" s="16">
        <ns0:f>A511*('前提と出典'!$C$36*'契約別単価'!I5+'前提と出典'!$C$37*'契約別単価'!I6+'前提と出典'!$C$38*'契約別単価'!I7)</ns0:f>
        <ns0:v>21393.134078212286</ns0:v>
      </ns0:c>
      <ns0:c r="J511" s="16">
        <ns0:f>A511*('前提と出典'!$C$36*'契約別単価'!J5+'前提と出典'!$C$37*'契約別単価'!J6+'前提と出典'!$C$38*'契約別単価'!J7)</ns0:f>
        <ns0:v>49832.7986611234</ns0:v>
      </ns0:c>
      <ns0:c r="K511" s="16">
        <ns0:f>A511*('前提と出典'!$C$36*'契約別単価'!K5+'前提と出典'!$C$37*'契約別単価'!K6+'前提と出典'!$C$38*'契約別単価'!K7)</ns0:f>
        <ns0:v>213600.8938547486</ns0:v>
      </ns0:c>
      <ns0:c r="L511" s="16">
        <ns0:f>A511*('前提と出典'!$C$36*'契約別単価'!L5+'前提と出典'!$C$37*'契約別単価'!L6+'前提と出典'!$C$38*'契約別単価'!L7)</ns0:f>
        <ns0:v>173914.59268409084</ns0:v>
      </ns0:c>
      <ns0:c r="M511" s="16">
        <ns0:f>IF(('前提と出典'!$C$36+'前提と出典'!$C$38)=0,0,IF(B511&lt;=10,'前提と出典'!B73+'前提と出典'!C73,IF(B511&lt;=100,'前提と出典'!B74+'前提と出典'!C74,IF(B511&lt;=500,'前提と出典'!B75+'前提と出典'!C75,'前提と出典'!B76+'前提と出典'!C76))))</ns0:f>
        <ns0:v>40000</ns0:v>
      </ns0:c>
      <ns0:c r="N511" s="16">
        <ns0:f>IF(('前提と出典'!$C$37+'前提と出典'!$C$38)=0,0,IF(C511&lt;=10,'前提と出典'!D73+'前提と出典'!E73,IF(C511&lt;=100,'前提と出典'!D74+'前提と出典'!E74,IF(C511&lt;=500,'前提と出典'!D75+'前提と出典'!E75,'前提と出典'!D76+'前提と出典'!E76))))</ns0:f>
        <ns0:v>56510.9346263078</ns0:v>
      </ns0:c>
      <ns0:c r="O511" s="16">
        <ns0:f>IF('前提と出典'!$C$36+'前提と出典'!$C$38=0,0,'前提と出典'!$B$4*IF('前提と出典'!$B$20=0,MAX('前提と出典'!$B$6,D511*'前提と出典'!$B$5),'前提と出典'!$B$6+D511*'前提と出典'!$B$5))</ns0:f>
        <ns0:v>503442.5027932961</ns0:v>
      </ns0:c>
      <ns0:c r="P511" s="16">
        <ns0:f>(E511+G511)*(1-'前提と出典'!$B$7)-I511-K511-M511-O511</ns0:f>
        <ns0:v>1140118.0595802502</ns0:v>
      </ns0:c>
      <ns0:c r="Q511" s="16">
        <ns0:f>(F511+H511)*(1-'前提と出典'!$B$7)-J511-L511-N511</ns0:f>
        <ns0:v>428523.9163667584</ns0:v>
      </ns0:c>
      <ns0:c r="R511" s="16">
        <ns0:f>P511-E511*'前提と出典'!$E$4</ns0:f>
        <ns0:v>845812.9772912575</ns0:v>
      </ns0:c>
      <ns0:c r="S511" s="16">
        <ns0:f>Q511-F511*'前提と出典'!$E$4</ns0:f>
        <ns0:v>313019.8639037792</ns0:v>
      </ns0:c>
      <ns0:c r="T511" s="7">
        <ns0:f>R511+S511</ns0:f>
        <ns0:v>1158832.8411950367</ns0:v>
      </ns0:c>
      <ns0:c r="U511" s="16">
        <ns0:f>P511-E511*'前提と出典'!$E$5</ns0:f>
        <ns0:v>747711.2831949265</ns0:v>
      </ns0:c>
      <ns0:c r="V511" s="16">
        <ns0:f>Q511-F511*'前提と出典'!$E$5</ns0:f>
        <ns0:v>274518.5130827861</ns0:v>
      </ns0:c>
      <ns0:c r="W511" s="7">
        <ns0:f>U511+V511</ns0:f>
        <ns0:v>1022229.7962777126</ns0:v>
      </ns0:c>
      <ns0:c r="X511" s="16">
        <ns0:f>P511-E511*'前提と出典'!$E$6</ns0:f>
        <ns0:v>649609.5890985957</ns0:v>
      </ns0:c>
      <ns0:c r="Y511" s="16">
        <ns0:f>Q511-F511*'前提と出典'!$E$6</ns0:f>
        <ns0:v>236017.16226179304</ns0:v>
      </ns0:c>
      <ns0:c r="Z511" s="7">
        <ns0:f>X511+Y511</ns0:f>
        <ns0:v>885626.7513603887</ns0:v>
      </ns0:c>
      <ns0:c r="AA511" s="7">
        <ns0:f>IF(T511&gt;=0,A511,1001)</ns0:f>
        <ns0:v>507</ns0:v>
      </ns0:c>
      <ns0:c r="AB511" s="7">
        <ns0:f>IF(T511&lt;0,A511,0)</ns0:f>
        <ns0:v>0</ns0:v>
      </ns0:c>
      <ns0:c r="AC511" s="16">
        <ns0:f>IF(AND(OR('前提と出典'!$C$36+'前提と出典'!$C$38=0,R511&gt;=0),OR('前提と出典'!$C$37+'前提と出典'!$C$38=0,S511&gt;=0)),0,A511)</ns0:f>
        <ns0:v>0</ns0:v>
      </ns0:c>
      <ns0:c r="AD511" s="7">
        <ns0:f>IF(W511&gt;=0,A511,1001)</ns0:f>
        <ns0:v>507</ns0:v>
      </ns0:c>
      <ns0:c r="AE511" s="7">
        <ns0:f>IF(W511&lt;0,A511,0)</ns0:f>
        <ns0:v>0</ns0:v>
      </ns0:c>
      <ns0:c r="AF511" s="16">
        <ns0:f>IF(AND(OR('前提と出典'!$C$36+'前提と出典'!$C$38=0,U511&gt;=0),OR('前提と出典'!$C$37+'前提と出典'!$C$38=0,V511&gt;=0)),0,A511)</ns0:f>
        <ns0:v>0</ns0:v>
      </ns0:c>
      <ns0:c r="AG511" s="7">
        <ns0:f>IF(Z511&gt;=0,A511,1001)</ns0:f>
        <ns0:v>507</ns0:v>
      </ns0:c>
      <ns0:c r="AH511" s="4">
        <ns0:f>IF(Z511&lt;0,A511,0)</ns0:f>
        <ns0:v>0</ns0:v>
      </ns0:c>
      <ns0:c r="AI511" s="12">
        <ns0:f>IF(AND(OR('前提と出典'!$C$36+'前提と出典'!$C$38=0,X511&gt;=0),OR('前提と出典'!$C$37+'前提と出典'!$C$38=0,Y511&gt;=0)),0,A511)</ns0:f>
        <ns0:v>0</ns0:v>
      </ns0:c>
    </ns0:row>
    <ns0:row r="512" ht="24" customHeight="1">
      <ns0:c r="A512" s="4" t="n">
        <ns0:v>508</ns0:v>
      </ns0:c>
      <ns0:c r="B512" s="12">
        <ns0:f>A512*('前提と出典'!$C$36+'前提と出典'!$C$38)</ns0:f>
        <ns0:v>355.59999999999997</ns0:v>
      </ns0:c>
      <ns0:c r="C512" s="12">
        <ns0:f>A512*('前提と出典'!$C$37+'前提と出典'!$C$38)</ns0:f>
        <ns0:v>304.8</ns0:v>
      </ns0:c>
      <ns0:c r="D512" s="16">
        <ns0:f>A512*('前提と出典'!$C$36*'契約別単価'!C5+'前提と出典'!$C$37*'契約別単価'!C6+'前提と出典'!$C$38*'契約別単価'!C7)</ns0:f>
        <ns0:v>3655.3296089385476</ns0:v>
      </ns0:c>
      <ns0:c r="E512" s="16">
        <ns0:f>A512*('前提と出典'!$C$36*'契約別単価'!E5+'前提と出典'!$C$37*'契約別単価'!E6+'前提と出典'!$C$38*'契約別単価'!E7)</ns0:f>
        <ns0:v>982951.8856200419</ns0:v>
      </ns0:c>
      <ns0:c r="F512" s="16">
        <ns0:f>A512*('前提と出典'!$C$36*'契約別単価'!F5+'前提と出典'!$C$37*'契約別単価'!F6+'前提と出典'!$C$38*'契約別単価'!F7)</ns0:f>
        <ns0:v>385772.9036896348</ns0:v>
      </ns0:c>
      <ns0:c r="G512" s="16">
        <ns0:f>A512*('前提と出典'!$C$36*'契約別単価'!G5+'前提と出典'!$C$37*'契約別単価'!G6+'前提と出典'!$C$38*'契約別単価'!G7)</ns0:f>
        <ns0:v>1011175.4189944133</ns0:v>
      </ns0:c>
      <ns0:c r="H512" s="16">
        <ns0:f>A512*('前提と出典'!$C$36*'契約別単価'!H5+'前提と出典'!$C$37*'契約別単価'!H6+'前提と出典'!$C$38*'契約別単価'!H7)</ns0:f>
        <ns0:v>350928.58482355904</ns0:v>
      </ns0:c>
      <ns0:c r="I512" s="16">
        <ns0:f>A512*('前提と出典'!$C$36*'契約別単価'!I5+'前提と出典'!$C$37*'契約別単価'!I6+'前提と出典'!$C$38*'契約別単価'!I7)</ns0:f>
        <ns0:v>21435.329608938544</ns0:v>
      </ns0:c>
      <ns0:c r="J512" s="16">
        <ns0:f>A512*('前提と出典'!$C$36*'契約別単価'!J5+'前提と出典'!$C$37*'契約別単価'!J6+'前提と出典'!$C$38*'契約別単価'!J7)</ns0:f>
        <ns0:v>49931.0882048337</ns0:v>
      </ns0:c>
      <ns0:c r="K512" s="16">
        <ns0:f>A512*('前提と出典'!$C$36*'契約別単価'!K5+'前提と出典'!$C$37*'契約別単価'!K6+'前提と出典'!$C$38*'契約別単価'!K7)</ns0:f>
        <ns0:v>214022.19739292364</ns0:v>
      </ns0:c>
      <ns0:c r="L512" s="16">
        <ns0:f>A512*('前提と出典'!$C$36*'契約別単価'!L5+'前提と出典'!$C$37*'契約別単価'!L6+'前提と出典'!$C$38*'契約別単価'!L7)</ns0:f>
        <ns0:v>174257.61949411864</ns0:v>
      </ns0:c>
      <ns0:c r="M512" s="16">
        <ns0:f>IF(('前提と出典'!$C$36+'前提と出典'!$C$38)=0,0,IF(B512&lt;=10,'前提と出典'!B73+'前提と出典'!C73,IF(B512&lt;=100,'前提と出典'!B74+'前提と出典'!C74,IF(B512&lt;=500,'前提と出典'!B75+'前提と出典'!C75,'前提と出典'!B76+'前提と出典'!C76))))</ns0:f>
        <ns0:v>40000</ns0:v>
      </ns0:c>
      <ns0:c r="N512" s="16">
        <ns0:f>IF(('前提と出典'!$C$37+'前提と出典'!$C$38)=0,0,IF(C512&lt;=10,'前提と出典'!D73+'前提と出典'!E73,IF(C512&lt;=100,'前提と出典'!D74+'前提と出典'!E74,IF(C512&lt;=500,'前提と出典'!D75+'前提と出典'!E75,'前提と出典'!D76+'前提と出典'!E76))))</ns0:f>
        <ns0:v>56510.9346263078</ns0:v>
      </ns0:c>
      <ns0:c r="O512" s="16">
        <ns0:f>IF('前提と出典'!$C$36+'前提と出典'!$C$38=0,0,'前提と出典'!$B$4*IF('前提と出典'!$B$20=0,MAX('前提と出典'!$B$6,D512*'前提と出典'!$B$5),'前提と出典'!$B$6+D512*'前提と出典'!$B$5))</ns0:f>
        <ns0:v>504435.48603351956</ns0:v>
      </ns0:c>
      <ns0:c r="P512" s="16">
        <ns0:f>(E512+G512)*(1-'前提と出典'!$B$7)-I512-K512-M512-O512</ns0:f>
        <ns0:v>1142445.7086129528</ns0:v>
      </ns0:c>
      <ns0:c r="Q512" s="16">
        <ns0:f>(F512+H512)*(1-'前提と出典'!$B$7)-J512-L512-N512</ns0:f>
        <ns0:v>429480.5926014587</ns0:v>
      </ns0:c>
      <ns0:c r="R512" s="16">
        <ns0:f>P512-E512*'前提と出典'!$E$4</ns0:f>
        <ns0:v>847560.1429269405</ns0:v>
      </ns0:c>
      <ns0:c r="S512" s="16">
        <ns0:f>Q512-F512*'前提と出典'!$E$4</ns0:f>
        <ns0:v>313748.7214945683</ns0:v>
      </ns0:c>
      <ns0:c r="T512" s="7">
        <ns0:f>R512+S512</ns0:f>
        <ns0:v>1161308.8644215087</ns0:v>
      </ns0:c>
      <ns0:c r="U512" s="16">
        <ns0:f>P512-E512*'前提と出典'!$E$5</ns0:f>
        <ns0:v>749264.9543649361</ns0:v>
      </ns0:c>
      <ns0:c r="V512" s="16">
        <ns0:f>Q512-F512*'前提と出典'!$E$5</ns0:f>
        <ns0:v>275171.4311256048</ns0:v>
      </ns0:c>
      <ns0:c r="W512" s="7">
        <ns0:f>U512+V512</ns0:f>
        <ns0:v>1024436.3854905409</ns0:v>
      </ns0:c>
      <ns0:c r="X512" s="16">
        <ns0:f>P512-E512*'前提と出典'!$E$6</ns0:f>
        <ns0:v>650969.7658029322</ns0:v>
      </ns0:c>
      <ns0:c r="Y512" s="16">
        <ns0:f>Q512-F512*'前提と出典'!$E$6</ns0:f>
        <ns0:v>236594.14075664128</ns0:v>
      </ns0:c>
      <ns0:c r="Z512" s="7">
        <ns0:f>X512+Y512</ns0:f>
        <ns0:v>887563.9065595735</ns0:v>
      </ns0:c>
      <ns0:c r="AA512" s="7">
        <ns0:f>IF(T512&gt;=0,A512,1001)</ns0:f>
        <ns0:v>508</ns0:v>
      </ns0:c>
      <ns0:c r="AB512" s="7">
        <ns0:f>IF(T512&lt;0,A512,0)</ns0:f>
        <ns0:v>0</ns0:v>
      </ns0:c>
      <ns0:c r="AC512" s="16">
        <ns0:f>IF(AND(OR('前提と出典'!$C$36+'前提と出典'!$C$38=0,R512&gt;=0),OR('前提と出典'!$C$37+'前提と出典'!$C$38=0,S512&gt;=0)),0,A512)</ns0:f>
        <ns0:v>0</ns0:v>
      </ns0:c>
      <ns0:c r="AD512" s="7">
        <ns0:f>IF(W512&gt;=0,A512,1001)</ns0:f>
        <ns0:v>508</ns0:v>
      </ns0:c>
      <ns0:c r="AE512" s="7">
        <ns0:f>IF(W512&lt;0,A512,0)</ns0:f>
        <ns0:v>0</ns0:v>
      </ns0:c>
      <ns0:c r="AF512" s="16">
        <ns0:f>IF(AND(OR('前提と出典'!$C$36+'前提と出典'!$C$38=0,U512&gt;=0),OR('前提と出典'!$C$37+'前提と出典'!$C$38=0,V512&gt;=0)),0,A512)</ns0:f>
        <ns0:v>0</ns0:v>
      </ns0:c>
      <ns0:c r="AG512" s="7">
        <ns0:f>IF(Z512&gt;=0,A512,1001)</ns0:f>
        <ns0:v>508</ns0:v>
      </ns0:c>
      <ns0:c r="AH512" s="4">
        <ns0:f>IF(Z512&lt;0,A512,0)</ns0:f>
        <ns0:v>0</ns0:v>
      </ns0:c>
      <ns0:c r="AI512" s="12">
        <ns0:f>IF(AND(OR('前提と出典'!$C$36+'前提と出典'!$C$38=0,X512&gt;=0),OR('前提と出典'!$C$37+'前提と出典'!$C$38=0,Y512&gt;=0)),0,A512)</ns0:f>
        <ns0:v>0</ns0:v>
      </ns0:c>
    </ns0:row>
    <ns0:row r="513" ht="24" customHeight="1">
      <ns0:c r="A513" s="4" t="n">
        <ns0:v>509</ns0:v>
      </ns0:c>
      <ns0:c r="B513" s="12">
        <ns0:f>A513*('前提と出典'!$C$36+'前提と出典'!$C$38)</ns0:f>
        <ns0:v>356.29999999999995</ns0:v>
      </ns0:c>
      <ns0:c r="C513" s="12">
        <ns0:f>A513*('前提と出典'!$C$37+'前提と出典'!$C$38)</ns0:f>
        <ns0:v>305.4</ns0:v>
      </ns0:c>
      <ns0:c r="D513" s="16">
        <ns0:f>A513*('前提と出典'!$C$36*'契約別単価'!C5+'前提と出典'!$C$37*'契約別単価'!C6+'前提と出典'!$C$38*'契約別単価'!C7)</ns0:f>
        <ns0:v>3662.5251396648046</ns0:v>
      </ns0:c>
      <ns0:c r="E513" s="16">
        <ns0:f>A513*('前提と出典'!$C$36*'契約別単価'!E5+'前提と出典'!$C$37*'契約別単価'!E6+'前提と出典'!$C$38*'契約別単価'!E7)</ns0:f>
        <ns0:v>984886.8302767742</ns0:v>
      </ns0:c>
      <ns0:c r="F513" s="16">
        <ns0:f>A513*('前提と出典'!$C$36*'契約別単価'!F5+'前提と出典'!$C$37*'契約別単価'!F6+'前提と出典'!$C$38*'契約別単価'!F7)</ns0:f>
        <ns0:v>386532.29916933883</ns0:v>
      </ns0:c>
      <ns0:c r="G513" s="16">
        <ns0:f>A513*('前提と出典'!$C$36*'契約別単価'!G5+'前提と出典'!$C$37*'契約別単価'!G6+'前提と出典'!$C$38*'契約別単価'!G7)</ns0:f>
        <ns0:v>1013165.9217877095</ns0:v>
      </ns0:c>
      <ns0:c r="H513" s="16">
        <ns0:f>A513*('前提と出典'!$C$36*'契約別単価'!H5+'前提と出典'!$C$37*'契約別単価'!H6+'前提と出典'!$C$38*'契約別単価'!H7)</ns0:f>
        <ns0:v>351619.3891243928</ns0:v>
      </ns0:c>
      <ns0:c r="I513" s="16">
        <ns0:f>A513*('前提と出典'!$C$36*'契約別単価'!I5+'前提と出典'!$C$37*'契約別単価'!I6+'前提と出典'!$C$38*'契約別単価'!I7)</ns0:f>
        <ns0:v>21477.525139664802</ns0:v>
      </ns0:c>
      <ns0:c r="J513" s="16">
        <ns0:f>A513*('前提と出典'!$C$36*'契約別単価'!J5+'前提と出典'!$C$37*'契約別単価'!J6+'前提と出典'!$C$38*'契約別単価'!J7)</ns0:f>
        <ns0:v>50029.37774854401</ns0:v>
      </ns0:c>
      <ns0:c r="K513" s="16">
        <ns0:f>A513*('前提と出典'!$C$36*'契約別単価'!K5+'前提と出典'!$C$37*'契約別単価'!K6+'前提と出典'!$C$38*'契約別単価'!K7)</ns0:f>
        <ns0:v>214443.50093109868</ns0:v>
      </ns0:c>
      <ns0:c r="L513" s="16">
        <ns0:f>A513*('前提と出典'!$C$36*'契約別単価'!L5+'前提と出典'!$C$37*'契約別単価'!L6+'前提と出典'!$C$38*'契約別単価'!L7)</ns0:f>
        <ns0:v>174600.64630414642</ns0:v>
      </ns0:c>
      <ns0:c r="M513" s="16">
        <ns0:f>IF(('前提と出典'!$C$36+'前提と出典'!$C$38)=0,0,IF(B513&lt;=10,'前提と出典'!B73+'前提と出典'!C73,IF(B513&lt;=100,'前提と出典'!B74+'前提と出典'!C74,IF(B513&lt;=500,'前提と出典'!B75+'前提と出典'!C75,'前提と出典'!B76+'前提と出典'!C76))))</ns0:f>
        <ns0:v>40000</ns0:v>
      </ns0:c>
      <ns0:c r="N513" s="16">
        <ns0:f>IF(('前提と出典'!$C$37+'前提と出典'!$C$38)=0,0,IF(C513&lt;=10,'前提と出典'!D73+'前提と出典'!E73,IF(C513&lt;=100,'前提と出典'!D74+'前提と出典'!E74,IF(C513&lt;=500,'前提と出典'!D75+'前提と出典'!E75,'前提と出典'!D76+'前提と出典'!E76))))</ns0:f>
        <ns0:v>56510.9346263078</ns0:v>
      </ns0:c>
      <ns0:c r="O513" s="16">
        <ns0:f>IF('前提と出典'!$C$36+'前提と出典'!$C$38=0,0,'前提と出典'!$B$4*IF('前提と出典'!$B$20=0,MAX('前提と出典'!$B$6,D513*'前提と出典'!$B$5),'前提と出典'!$B$6+D513*'前提と出典'!$B$5))</ns0:f>
        <ns0:v>505428.46927374305</ns0:v>
      </ns0:c>
      <ns0:c r="P513" s="16">
        <ns0:f>(E513+G513)*(1-'前提と出典'!$B$7)-I513-K513-M513-O513</ns0:f>
        <ns0:v>1144773.357645656</ns0:v>
      </ns0:c>
      <ns0:c r="Q513" s="16">
        <ns0:f>(F513+H513)*(1-'前提と出典'!$B$7)-J513-L513-N513</ns0:f>
        <ns0:v>430437.26883615914</ns0:v>
      </ns0:c>
      <ns0:c r="R513" s="16">
        <ns0:f>P513-E513*'前提と出典'!$E$4</ns0:f>
        <ns0:v>849307.3085626238</ns0:v>
      </ns0:c>
      <ns0:c r="S513" s="16">
        <ns0:f>Q513-F513*'前提と出典'!$E$4</ns0:f>
        <ns0:v>314477.5790853575</ns0:v>
      </ns0:c>
      <ns0:c r="T513" s="7">
        <ns0:f>R513+S513</ns0:f>
        <ns0:v>1163784.8876479813</ns0:v>
      </ns0:c>
      <ns0:c r="U513" s="16">
        <ns0:f>P513-E513*'前提と出典'!$E$5</ns0:f>
        <ns0:v>750818.6255349463</ns0:v>
      </ns0:c>
      <ns0:c r="V513" s="16">
        <ns0:f>Q513-F513*'前提と出典'!$E$5</ns0:f>
        <ns0:v>275824.34916842356</ns0:v>
      </ns0:c>
      <ns0:c r="W513" s="7">
        <ns0:f>U513+V513</ns0:f>
        <ns0:v>1026642.9747033699</ns0:v>
      </ns0:c>
      <ns0:c r="X513" s="16">
        <ns0:f>P513-E513*'前提と出典'!$E$6</ns0:f>
        <ns0:v>652329.9425072689</ns0:v>
      </ns0:c>
      <ns0:c r="Y513" s="16">
        <ns0:f>Q513-F513*'前提と出典'!$E$6</ns0:f>
        <ns0:v>237171.11925148976</ns0:v>
      </ns0:c>
      <ns0:c r="Z513" s="7">
        <ns0:f>X513+Y513</ns0:f>
        <ns0:v>889501.0617587586</ns0:v>
      </ns0:c>
      <ns0:c r="AA513" s="7">
        <ns0:f>IF(T513&gt;=0,A513,1001)</ns0:f>
        <ns0:v>509</ns0:v>
      </ns0:c>
      <ns0:c r="AB513" s="7">
        <ns0:f>IF(T513&lt;0,A513,0)</ns0:f>
        <ns0:v>0</ns0:v>
      </ns0:c>
      <ns0:c r="AC513" s="16">
        <ns0:f>IF(AND(OR('前提と出典'!$C$36+'前提と出典'!$C$38=0,R513&gt;=0),OR('前提と出典'!$C$37+'前提と出典'!$C$38=0,S513&gt;=0)),0,A513)</ns0:f>
        <ns0:v>0</ns0:v>
      </ns0:c>
      <ns0:c r="AD513" s="7">
        <ns0:f>IF(W513&gt;=0,A513,1001)</ns0:f>
        <ns0:v>509</ns0:v>
      </ns0:c>
      <ns0:c r="AE513" s="7">
        <ns0:f>IF(W513&lt;0,A513,0)</ns0:f>
        <ns0:v>0</ns0:v>
      </ns0:c>
      <ns0:c r="AF513" s="16">
        <ns0:f>IF(AND(OR('前提と出典'!$C$36+'前提と出典'!$C$38=0,U513&gt;=0),OR('前提と出典'!$C$37+'前提と出典'!$C$38=0,V513&gt;=0)),0,A513)</ns0:f>
        <ns0:v>0</ns0:v>
      </ns0:c>
      <ns0:c r="AG513" s="7">
        <ns0:f>IF(Z513&gt;=0,A513,1001)</ns0:f>
        <ns0:v>509</ns0:v>
      </ns0:c>
      <ns0:c r="AH513" s="4">
        <ns0:f>IF(Z513&lt;0,A513,0)</ns0:f>
        <ns0:v>0</ns0:v>
      </ns0:c>
      <ns0:c r="AI513" s="12">
        <ns0:f>IF(AND(OR('前提と出典'!$C$36+'前提と出典'!$C$38=0,X513&gt;=0),OR('前提と出典'!$C$37+'前提と出典'!$C$38=0,Y513&gt;=0)),0,A513)</ns0:f>
        <ns0:v>0</ns0:v>
      </ns0:c>
    </ns0:row>
    <ns0:row r="514" ht="24" customHeight="1">
      <ns0:c r="A514" s="4" t="n">
        <ns0:v>510</ns0:v>
      </ns0:c>
      <ns0:c r="B514" s="12">
        <ns0:f>A514*('前提と出典'!$C$36+'前提と出典'!$C$38)</ns0:f>
        <ns0:v>357</ns0:v>
      </ns0:c>
      <ns0:c r="C514" s="12">
        <ns0:f>A514*('前提と出典'!$C$37+'前提と出典'!$C$38)</ns0:f>
        <ns0:v>306</ns0:v>
      </ns0:c>
      <ns0:c r="D514" s="16">
        <ns0:f>A514*('前提と出典'!$C$36*'契約別単価'!C5+'前提と出典'!$C$37*'契約別単価'!C6+'前提と出典'!$C$38*'契約別単価'!C7)</ns0:f>
        <ns0:v>3669.7206703910615</ns0:v>
      </ns0:c>
      <ns0:c r="E514" s="16">
        <ns0:f>A514*('前提と出典'!$C$36*'契約別単価'!E5+'前提と出典'!$C$37*'契約別単価'!E6+'前提と出典'!$C$38*'契約別単価'!E7)</ns0:f>
        <ns0:v>986821.7749335066</ns0:v>
      </ns0:c>
      <ns0:c r="F514" s="16">
        <ns0:f>A514*('前提と出典'!$C$36*'契約別単価'!F5+'前提と出典'!$C$37*'契約別単価'!F6+'前提と出典'!$C$38*'契約別単価'!F7)</ns0:f>
        <ns0:v>387291.69464904285</ns0:v>
      </ns0:c>
      <ns0:c r="G514" s="16">
        <ns0:f>A514*('前提と出典'!$C$36*'契約別単価'!G5+'前提と出典'!$C$37*'契約別単価'!G6+'前提と出典'!$C$38*'契約別単価'!G7)</ns0:f>
        <ns0:v>1015156.4245810056</ns0:v>
      </ns0:c>
      <ns0:c r="H514" s="16">
        <ns0:f>A514*('前提と出典'!$C$36*'契約別単価'!H5+'前提と出典'!$C$37*'契約別単価'!H6+'前提と出典'!$C$38*'契約別単価'!H7)</ns0:f>
        <ns0:v>352310.1934252266</ns0:v>
      </ns0:c>
      <ns0:c r="I514" s="16">
        <ns0:f>A514*('前提と出典'!$C$36*'契約別単価'!I5+'前提と出典'!$C$37*'契約別単価'!I6+'前提と出典'!$C$38*'契約別単価'!I7)</ns0:f>
        <ns0:v>21519.720670391056</ns0:v>
      </ns0:c>
      <ns0:c r="J514" s="16">
        <ns0:f>A514*('前提と出典'!$C$36*'契約別単価'!J5+'前提と出典'!$C$37*'契約別単価'!J6+'前提と出典'!$C$38*'契約別単価'!J7)</ns0:f>
        <ns0:v>50127.66729225431</ns0:v>
      </ns0:c>
      <ns0:c r="K514" s="16">
        <ns0:f>A514*('前提と出典'!$C$36*'契約別単価'!K5+'前提と出典'!$C$37*'契約別単価'!K6+'前提と出典'!$C$38*'契約別単価'!K7)</ns0:f>
        <ns0:v>214864.80446927372</ns0:v>
      </ns0:c>
      <ns0:c r="L514" s="16">
        <ns0:f>A514*('前提と出典'!$C$36*'契約別単価'!L5+'前提と出典'!$C$37*'契約別単価'!L6+'前提と出典'!$C$38*'契約別単価'!L7)</ns0:f>
        <ns0:v>174943.67311417422</ns0:v>
      </ns0:c>
      <ns0:c r="M514" s="16">
        <ns0:f>IF(('前提と出典'!$C$36+'前提と出典'!$C$38)=0,0,IF(B514&lt;=10,'前提と出典'!B73+'前提と出典'!C73,IF(B514&lt;=100,'前提と出典'!B74+'前提と出典'!C74,IF(B514&lt;=500,'前提と出典'!B75+'前提と出典'!C75,'前提と出典'!B76+'前提と出典'!C76))))</ns0:f>
        <ns0:v>40000</ns0:v>
      </ns0:c>
      <ns0:c r="N514" s="16">
        <ns0:f>IF(('前提と出典'!$C$37+'前提と出典'!$C$38)=0,0,IF(C514&lt;=10,'前提と出典'!D73+'前提と出典'!E73,IF(C514&lt;=100,'前提と出典'!D74+'前提と出典'!E74,IF(C514&lt;=500,'前提と出典'!D75+'前提と出典'!E75,'前提と出典'!D76+'前提と出典'!E76))))</ns0:f>
        <ns0:v>56510.9346263078</ns0:v>
      </ns0:c>
      <ns0:c r="O514" s="16">
        <ns0:f>IF('前提と出典'!$C$36+'前提と出典'!$C$38=0,0,'前提と出典'!$B$4*IF('前提と出典'!$B$20=0,MAX('前提と出典'!$B$6,D514*'前提と出典'!$B$5),'前提と出典'!$B$6+D514*'前提と出典'!$B$5))</ns0:f>
        <ns0:v>506421.45251396653</ns0:v>
      </ns0:c>
      <ns0:c r="P514" s="16">
        <ns0:f>(E514+G514)*(1-'前提と出典'!$B$7)-I514-K514-M514-O514</ns0:f>
        <ns0:v>1147101.0066783587</ns0:v>
      </ns0:c>
      <ns0:c r="Q514" s="16">
        <ns0:f>(F514+H514)*(1-'前提と出典'!$B$7)-J514-L514-N514</ns0:f>
        <ns0:v>431393.9450708595</ns0:v>
      </ns0:c>
      <ns0:c r="R514" s="16">
        <ns0:f>P514-E514*'前提と出典'!$E$4</ns0:f>
        <ns0:v>851054.4741983067</ns0:v>
      </ns0:c>
      <ns0:c r="S514" s="16">
        <ns0:f>Q514-F514*'前提と出典'!$E$4</ns0:f>
        <ns0:v>315206.43667614675</ns0:v>
      </ns0:c>
      <ns0:c r="T514" s="7">
        <ns0:f>R514+S514</ns0:f>
        <ns0:v>1166260.9108744534</ns0:v>
      </ns0:c>
      <ns0:c r="U514" s="16">
        <ns0:f>P514-E514*'前提と出典'!$E$5</ns0:f>
        <ns0:v>752372.2967049561</ns0:v>
      </ns0:c>
      <ns0:c r="V514" s="16">
        <ns0:f>Q514-F514*'前提と出典'!$E$5</ns0:f>
        <ns0:v>276477.2672112424</ns0:v>
      </ns0:c>
      <ns0:c r="W514" s="7">
        <ns0:f>U514+V514</ns0:f>
        <ns0:v>1028849.5639161984</ns0:v>
      </ns0:c>
      <ns0:c r="X514" s="16">
        <ns0:f>P514-E514*'前提と出典'!$E$6</ns0:f>
        <ns0:v>653690.119211605</ns0:v>
      </ns0:c>
      <ns0:c r="Y514" s="16">
        <ns0:f>Q514-F514*'前提と出典'!$E$6</ns0:f>
        <ns0:v>237748.09774633806</ns0:v>
      </ns0:c>
      <ns0:c r="Z514" s="7">
        <ns0:f>X514+Y514</ns0:f>
        <ns0:v>891438.216957943</ns0:v>
      </ns0:c>
      <ns0:c r="AA514" s="7">
        <ns0:f>IF(T514&gt;=0,A514,1001)</ns0:f>
        <ns0:v>510</ns0:v>
      </ns0:c>
      <ns0:c r="AB514" s="7">
        <ns0:f>IF(T514&lt;0,A514,0)</ns0:f>
        <ns0:v>0</ns0:v>
      </ns0:c>
      <ns0:c r="AC514" s="16">
        <ns0:f>IF(AND(OR('前提と出典'!$C$36+'前提と出典'!$C$38=0,R514&gt;=0),OR('前提と出典'!$C$37+'前提と出典'!$C$38=0,S514&gt;=0)),0,A514)</ns0:f>
        <ns0:v>0</ns0:v>
      </ns0:c>
      <ns0:c r="AD514" s="7">
        <ns0:f>IF(W514&gt;=0,A514,1001)</ns0:f>
        <ns0:v>510</ns0:v>
      </ns0:c>
      <ns0:c r="AE514" s="7">
        <ns0:f>IF(W514&lt;0,A514,0)</ns0:f>
        <ns0:v>0</ns0:v>
      </ns0:c>
      <ns0:c r="AF514" s="16">
        <ns0:f>IF(AND(OR('前提と出典'!$C$36+'前提と出典'!$C$38=0,U514&gt;=0),OR('前提と出典'!$C$37+'前提と出典'!$C$38=0,V514&gt;=0)),0,A514)</ns0:f>
        <ns0:v>0</ns0:v>
      </ns0:c>
      <ns0:c r="AG514" s="7">
        <ns0:f>IF(Z514&gt;=0,A514,1001)</ns0:f>
        <ns0:v>510</ns0:v>
      </ns0:c>
      <ns0:c r="AH514" s="4">
        <ns0:f>IF(Z514&lt;0,A514,0)</ns0:f>
        <ns0:v>0</ns0:v>
      </ns0:c>
      <ns0:c r="AI514" s="12">
        <ns0:f>IF(AND(OR('前提と出典'!$C$36+'前提と出典'!$C$38=0,X514&gt;=0),OR('前提と出典'!$C$37+'前提と出典'!$C$38=0,Y514&gt;=0)),0,A514)</ns0:f>
        <ns0:v>0</ns0:v>
      </ns0:c>
    </ns0:row>
    <ns0:row r="515" ht="24" customHeight="1">
      <ns0:c r="A515" s="4" t="n">
        <ns0:v>511</ns0:v>
      </ns0:c>
      <ns0:c r="B515" s="12">
        <ns0:f>A515*('前提と出典'!$C$36+'前提と出典'!$C$38)</ns0:f>
        <ns0:v>357.7</ns0:v>
      </ns0:c>
      <ns0:c r="C515" s="12">
        <ns0:f>A515*('前提と出典'!$C$37+'前提と出典'!$C$38)</ns0:f>
        <ns0:v>306.59999999999997</ns0:v>
      </ns0:c>
      <ns0:c r="D515" s="16">
        <ns0:f>A515*('前提と出典'!$C$36*'契約別単価'!C5+'前提と出典'!$C$37*'契約別単価'!C6+'前提と出典'!$C$38*'契約別単価'!C7)</ns0:f>
        <ns0:v>3676.9162011173185</ns0:v>
      </ns0:c>
      <ns0:c r="E515" s="16">
        <ns0:f>A515*('前提と出典'!$C$36*'契約別単価'!E5+'前提と出典'!$C$37*'契約別単価'!E6+'前提と出典'!$C$38*'契約別単価'!E7)</ns0:f>
        <ns0:v>988756.719590239</ns0:v>
      </ns0:c>
      <ns0:c r="F515" s="16">
        <ns0:f>A515*('前提と出典'!$C$36*'契約別単価'!F5+'前提と出典'!$C$37*'契約別単価'!F6+'前提と出典'!$C$38*'契約別単価'!F7)</ns0:f>
        <ns0:v>388051.0901287468</ns0:v>
      </ns0:c>
      <ns0:c r="G515" s="16">
        <ns0:f>A515*('前提と出典'!$C$36*'契約別単価'!G5+'前提と出典'!$C$37*'契約別単価'!G6+'前提と出典'!$C$38*'契約別単価'!G7)</ns0:f>
        <ns0:v>1017146.9273743016</ns0:v>
      </ns0:c>
      <ns0:c r="H515" s="16">
        <ns0:f>A515*('前提と出典'!$C$36*'契約別単価'!H5+'前提と出典'!$C$37*'契約別単価'!H6+'前提と出典'!$C$38*'契約別単価'!H7)</ns0:f>
        <ns0:v>353000.9977260604</ns0:v>
      </ns0:c>
      <ns0:c r="I515" s="16">
        <ns0:f>A515*('前提と出典'!$C$36*'契約別単価'!I5+'前提と出典'!$C$37*'契約別単価'!I6+'前提と出典'!$C$38*'契約別単価'!I7)</ns0:f>
        <ns0:v>21561.916201117314</ns0:v>
      </ns0:c>
      <ns0:c r="J515" s="16">
        <ns0:f>A515*('前提と出典'!$C$36*'契約別単価'!J5+'前提と出典'!$C$37*'契約別単価'!J6+'前提と出典'!$C$38*'契約別単価'!J7)</ns0:f>
        <ns0:v>50225.956835964615</ns0:v>
      </ns0:c>
      <ns0:c r="K515" s="16">
        <ns0:f>A515*('前提と出典'!$C$36*'契約別単価'!K5+'前提と出典'!$C$37*'契約別単価'!K6+'前提と出典'!$C$38*'契約別単価'!K7)</ns0:f>
        <ns0:v>215286.10800744878</ns0:v>
      </ns0:c>
      <ns0:c r="L515" s="16">
        <ns0:f>A515*('前提と出典'!$C$36*'契約別単価'!L5+'前提と出典'!$C$37*'契約別単価'!L6+'前提と出典'!$C$38*'契約別単価'!L7)</ns0:f>
        <ns0:v>175286.699924202</ns0:v>
      </ns0:c>
      <ns0:c r="M515" s="16">
        <ns0:f>IF(('前提と出典'!$C$36+'前提と出典'!$C$38)=0,0,IF(B515&lt;=10,'前提と出典'!B73+'前提と出典'!C73,IF(B515&lt;=100,'前提と出典'!B74+'前提と出典'!C74,IF(B515&lt;=500,'前提と出典'!B75+'前提と出典'!C75,'前提と出典'!B76+'前提と出典'!C76))))</ns0:f>
        <ns0:v>40000</ns0:v>
      </ns0:c>
      <ns0:c r="N515" s="16">
        <ns0:f>IF(('前提と出典'!$C$37+'前提と出典'!$C$38)=0,0,IF(C515&lt;=10,'前提と出典'!D73+'前提と出典'!E73,IF(C515&lt;=100,'前提と出典'!D74+'前提と出典'!E74,IF(C515&lt;=500,'前提と出典'!D75+'前提と出典'!E75,'前提と出典'!D76+'前提と出典'!E76))))</ns0:f>
        <ns0:v>56510.9346263078</ns0:v>
      </ns0:c>
      <ns0:c r="O515" s="16">
        <ns0:f>IF('前提と出典'!$C$36+'前提と出典'!$C$38=0,0,'前提と出典'!$B$4*IF('前提と出典'!$B$20=0,MAX('前提と出典'!$B$6,D515*'前提と出典'!$B$5),'前提と出典'!$B$6+D515*'前提と出典'!$B$5))</ns0:f>
        <ns0:v>507414.4357541899</ns0:v>
      </ns0:c>
      <ns0:c r="P515" s="16">
        <ns0:f>(E515+G515)*(1-'前提と出典'!$B$7)-I515-K515-M515-O515</ns0:f>
        <ns0:v>1149428.6557110613</ns0:v>
      </ns0:c>
      <ns0:c r="Q515" s="16">
        <ns0:f>(F515+H515)*(1-'前提と出典'!$B$7)-J515-L515-N515</ns0:f>
        <ns0:v>432350.62130555976</ns0:v>
      </ns0:c>
      <ns0:c r="R515" s="16">
        <ns0:f>P515-E515*'前提と出典'!$E$4</ns0:f>
        <ns0:v>852801.6398339896</ns0:v>
      </ns0:c>
      <ns0:c r="S515" s="16">
        <ns0:f>Q515-F515*'前提と出典'!$E$4</ns0:f>
        <ns0:v>315935.2942669357</ns0:v>
      </ns0:c>
      <ns0:c r="T515" s="7">
        <ns0:f>R515+S515</ns0:f>
        <ns0:v>1168736.9341009252</ns0:v>
      </ns0:c>
      <ns0:c r="U515" s="16">
        <ns0:f>P515-E515*'前提と出典'!$E$5</ns0:f>
        <ns0:v>753925.9678749656</ns0:v>
      </ns0:c>
      <ns0:c r="V515" s="16">
        <ns0:f>Q515-F515*'前提と出典'!$E$5</ns0:f>
        <ns0:v>277130.185254061</ns0:v>
      </ns0:c>
      <ns0:c r="W515" s="7">
        <ns0:f>U515+V515</ns0:f>
        <ns0:v>1031056.1531290266</ns0:v>
      </ns0:c>
      <ns0:c r="X515" s="16">
        <ns0:f>P515-E515*'前提と出典'!$E$6</ns0:f>
        <ns0:v>655050.2959159417</ns0:v>
      </ns0:c>
      <ns0:c r="Y515" s="16">
        <ns0:f>Q515-F515*'前提と出典'!$E$6</ns0:f>
        <ns0:v>238325.07624118635</ns0:v>
      </ns0:c>
      <ns0:c r="Z515" s="7">
        <ns0:f>X515+Y515</ns0:f>
        <ns0:v>893375.3721571281</ns0:v>
      </ns0:c>
      <ns0:c r="AA515" s="7">
        <ns0:f>IF(T515&gt;=0,A515,1001)</ns0:f>
        <ns0:v>511</ns0:v>
      </ns0:c>
      <ns0:c r="AB515" s="7">
        <ns0:f>IF(T515&lt;0,A515,0)</ns0:f>
        <ns0:v>0</ns0:v>
      </ns0:c>
      <ns0:c r="AC515" s="16">
        <ns0:f>IF(AND(OR('前提と出典'!$C$36+'前提と出典'!$C$38=0,R515&gt;=0),OR('前提と出典'!$C$37+'前提と出典'!$C$38=0,S515&gt;=0)),0,A515)</ns0:f>
        <ns0:v>0</ns0:v>
      </ns0:c>
      <ns0:c r="AD515" s="7">
        <ns0:f>IF(W515&gt;=0,A515,1001)</ns0:f>
        <ns0:v>511</ns0:v>
      </ns0:c>
      <ns0:c r="AE515" s="7">
        <ns0:f>IF(W515&lt;0,A515,0)</ns0:f>
        <ns0:v>0</ns0:v>
      </ns0:c>
      <ns0:c r="AF515" s="16">
        <ns0:f>IF(AND(OR('前提と出典'!$C$36+'前提と出典'!$C$38=0,U515&gt;=0),OR('前提と出典'!$C$37+'前提と出典'!$C$38=0,V515&gt;=0)),0,A515)</ns0:f>
        <ns0:v>0</ns0:v>
      </ns0:c>
      <ns0:c r="AG515" s="7">
        <ns0:f>IF(Z515&gt;=0,A515,1001)</ns0:f>
        <ns0:v>511</ns0:v>
      </ns0:c>
      <ns0:c r="AH515" s="4">
        <ns0:f>IF(Z515&lt;0,A515,0)</ns0:f>
        <ns0:v>0</ns0:v>
      </ns0:c>
      <ns0:c r="AI515" s="12">
        <ns0:f>IF(AND(OR('前提と出典'!$C$36+'前提と出典'!$C$38=0,X515&gt;=0),OR('前提と出典'!$C$37+'前提と出典'!$C$38=0,Y515&gt;=0)),0,A515)</ns0:f>
        <ns0:v>0</ns0:v>
      </ns0:c>
    </ns0:row>
    <ns0:row r="516" ht="24" customHeight="1">
      <ns0:c r="A516" s="4" t="n">
        <ns0:v>512</ns0:v>
      </ns0:c>
      <ns0:c r="B516" s="12">
        <ns0:f>A516*('前提と出典'!$C$36+'前提と出典'!$C$38)</ns0:f>
        <ns0:v>358.4</ns0:v>
      </ns0:c>
      <ns0:c r="C516" s="12">
        <ns0:f>A516*('前提と出典'!$C$37+'前提と出典'!$C$38)</ns0:f>
        <ns0:v>307.2</ns0:v>
      </ns0:c>
      <ns0:c r="D516" s="16">
        <ns0:f>A516*('前提と出典'!$C$36*'契約別単価'!C5+'前提と出典'!$C$37*'契約別単価'!C6+'前提と出典'!$C$38*'契約別単価'!C7)</ns0:f>
        <ns0:v>3684.1117318435754</ns0:v>
      </ns0:c>
      <ns0:c r="E516" s="16">
        <ns0:f>A516*('前提と出典'!$C$36*'契約別単価'!E5+'前提と出典'!$C$37*'契約別単価'!E6+'前提と出典'!$C$38*'契約別単価'!E7)</ns0:f>
        <ns0:v>990691.6642469714</ns0:v>
      </ns0:c>
      <ns0:c r="F516" s="16">
        <ns0:f>A516*('前提と出典'!$C$36*'契約別単価'!F5+'前提と出典'!$C$37*'契約別単価'!F6+'前提と出典'!$C$38*'契約別単価'!F7)</ns0:f>
        <ns0:v>388810.48560845084</ns0:v>
      </ns0:c>
      <ns0:c r="G516" s="16">
        <ns0:f>A516*('前提と出典'!$C$36*'契約別単価'!G5+'前提と出典'!$C$37*'契約別単価'!G6+'前提と出典'!$C$38*'契約別単価'!G7)</ns0:f>
        <ns0:v>1019137.4301675977</ns0:v>
      </ns0:c>
      <ns0:c r="H516" s="16">
        <ns0:f>A516*('前提と出典'!$C$36*'契約別単価'!H5+'前提と出典'!$C$37*'契約別単価'!H6+'前提と出典'!$C$38*'契約別単価'!H7)</ns0:f>
        <ns0:v>353691.8020268942</ns0:v>
      </ns0:c>
      <ns0:c r="I516" s="16">
        <ns0:f>A516*('前提と出典'!$C$36*'契約別単価'!I5+'前提と出典'!$C$37*'契約別単価'!I6+'前提と出典'!$C$38*'契約別単価'!I7)</ns0:f>
        <ns0:v>21604.11173184357</ns0:v>
      </ns0:c>
      <ns0:c r="J516" s="16">
        <ns0:f>A516*('前提と出典'!$C$36*'契約別単価'!J5+'前提と出典'!$C$37*'契約別単価'!J6+'前提と出典'!$C$38*'契約別単価'!J7)</ns0:f>
        <ns0:v>50324.246379674914</ns0:v>
      </ns0:c>
      <ns0:c r="K516" s="16">
        <ns0:f>A516*('前提と出典'!$C$36*'契約別単価'!K5+'前提と出典'!$C$37*'契約別単価'!K6+'前提と出典'!$C$38*'契約別単価'!K7)</ns0:f>
        <ns0:v>215707.41154562382</ns0:v>
      </ns0:c>
      <ns0:c r="L516" s="16">
        <ns0:f>A516*('前提と出典'!$C$36*'契約別単価'!L5+'前提と出典'!$C$37*'契約別単価'!L6+'前提と出典'!$C$38*'契約別単価'!L7)</ns0:f>
        <ns0:v>175629.7267342298</ns0:v>
      </ns0:c>
      <ns0:c r="M516" s="16">
        <ns0:f>IF(('前提と出典'!$C$36+'前提と出典'!$C$38)=0,0,IF(B516&lt;=10,'前提と出典'!B73+'前提と出典'!C73,IF(B516&lt;=100,'前提と出典'!B74+'前提と出典'!C74,IF(B516&lt;=500,'前提と出典'!B75+'前提と出典'!C75,'前提と出典'!B76+'前提と出典'!C76))))</ns0:f>
        <ns0:v>40000</ns0:v>
      </ns0:c>
      <ns0:c r="N516" s="16">
        <ns0:f>IF(('前提と出典'!$C$37+'前提と出典'!$C$38)=0,0,IF(C516&lt;=10,'前提と出典'!D73+'前提と出典'!E73,IF(C516&lt;=100,'前提と出典'!D74+'前提と出典'!E74,IF(C516&lt;=500,'前提と出典'!D75+'前提と出典'!E75,'前提と出典'!D76+'前提と出典'!E76))))</ns0:f>
        <ns0:v>56510.9346263078</ns0:v>
      </ns0:c>
      <ns0:c r="O516" s="16">
        <ns0:f>IF('前提と出典'!$C$36+'前提と出典'!$C$38=0,0,'前提と出典'!$B$4*IF('前提と出典'!$B$20=0,MAX('前提と出典'!$B$6,D516*'前提と出典'!$B$5),'前提と出典'!$B$6+D516*'前提と出典'!$B$5))</ns0:f>
        <ns0:v>508407.4189944134</ns0:v>
      </ns0:c>
      <ns0:c r="P516" s="16">
        <ns0:f>(E516+G516)*(1-'前提と出典'!$B$7)-I516-K516-M516-O516</ns0:f>
        <ns0:v>1151756.3047437638</ns0:v>
      </ns0:c>
      <ns0:c r="Q516" s="16">
        <ns0:f>(F516+H516)*(1-'前提と出典'!$B$7)-J516-L516-N516</ns0:f>
        <ns0:v>433307.29754026013</ns0:v>
      </ns0:c>
      <ns0:c r="R516" s="16">
        <ns0:f>P516-E516*'前提と出典'!$E$4</ns0:f>
        <ns0:v>854548.8054696724</ns0:v>
      </ns0:c>
      <ns0:c r="S516" s="16">
        <ns0:f>Q516-F516*'前提と出典'!$E$4</ns0:f>
        <ns0:v>316664.1518577249</ns0:v>
      </ns0:c>
      <ns0:c r="T516" s="7">
        <ns0:f>R516+S516</ns0:f>
        <ns0:v>1171212.9573273973</ns0:v>
      </ns0:c>
      <ns0:c r="U516" s="16">
        <ns0:f>P516-E516*'前提と出典'!$E$5</ns0:f>
        <ns0:v>755479.6390449752</ns0:v>
      </ns0:c>
      <ns0:c r="V516" s="16">
        <ns0:f>Q516-F516*'前提と出典'!$E$5</ns0:f>
        <ns0:v>277783.1032968798</ns0:v>
      </ns0:c>
      <ns0:c r="W516" s="7">
        <ns0:f>U516+V516</ns0:f>
        <ns0:v>1033262.742341855</ns0:v>
      </ns0:c>
      <ns0:c r="X516" s="16">
        <ns0:f>P516-E516*'前提と出典'!$E$6</ns0:f>
        <ns0:v>656410.4726202781</ns0:v>
      </ns0:c>
      <ns0:c r="Y516" s="16">
        <ns0:f>Q516-F516*'前提と出典'!$E$6</ns0:f>
        <ns0:v>238902.0547360346</ns0:v>
      </ns0:c>
      <ns0:c r="Z516" s="7">
        <ns0:f>X516+Y516</ns0:f>
        <ns0:v>895312.5273563127</ns0:v>
      </ns0:c>
      <ns0:c r="AA516" s="7">
        <ns0:f>IF(T516&gt;=0,A516,1001)</ns0:f>
        <ns0:v>512</ns0:v>
      </ns0:c>
      <ns0:c r="AB516" s="7">
        <ns0:f>IF(T516&lt;0,A516,0)</ns0:f>
        <ns0:v>0</ns0:v>
      </ns0:c>
      <ns0:c r="AC516" s="16">
        <ns0:f>IF(AND(OR('前提と出典'!$C$36+'前提と出典'!$C$38=0,R516&gt;=0),OR('前提と出典'!$C$37+'前提と出典'!$C$38=0,S516&gt;=0)),0,A516)</ns0:f>
        <ns0:v>0</ns0:v>
      </ns0:c>
      <ns0:c r="AD516" s="7">
        <ns0:f>IF(W516&gt;=0,A516,1001)</ns0:f>
        <ns0:v>512</ns0:v>
      </ns0:c>
      <ns0:c r="AE516" s="7">
        <ns0:f>IF(W516&lt;0,A516,0)</ns0:f>
        <ns0:v>0</ns0:v>
      </ns0:c>
      <ns0:c r="AF516" s="16">
        <ns0:f>IF(AND(OR('前提と出典'!$C$36+'前提と出典'!$C$38=0,U516&gt;=0),OR('前提と出典'!$C$37+'前提と出典'!$C$38=0,V516&gt;=0)),0,A516)</ns0:f>
        <ns0:v>0</ns0:v>
      </ns0:c>
      <ns0:c r="AG516" s="7">
        <ns0:f>IF(Z516&gt;=0,A516,1001)</ns0:f>
        <ns0:v>512</ns0:v>
      </ns0:c>
      <ns0:c r="AH516" s="4">
        <ns0:f>IF(Z516&lt;0,A516,0)</ns0:f>
        <ns0:v>0</ns0:v>
      </ns0:c>
      <ns0:c r="AI516" s="12">
        <ns0:f>IF(AND(OR('前提と出典'!$C$36+'前提と出典'!$C$38=0,X516&gt;=0),OR('前提と出典'!$C$37+'前提と出典'!$C$38=0,Y516&gt;=0)),0,A516)</ns0:f>
        <ns0:v>0</ns0:v>
      </ns0:c>
    </ns0:row>
    <ns0:row r="517" ht="24" customHeight="1">
      <ns0:c r="A517" s="4" t="n">
        <ns0:v>513</ns0:v>
      </ns0:c>
      <ns0:c r="B517" s="12">
        <ns0:f>A517*('前提と出典'!$C$36+'前提と出典'!$C$38)</ns0:f>
        <ns0:v>359.09999999999997</ns0:v>
      </ns0:c>
      <ns0:c r="C517" s="12">
        <ns0:f>A517*('前提と出典'!$C$37+'前提と出典'!$C$38)</ns0:f>
        <ns0:v>307.8</ns0:v>
      </ns0:c>
      <ns0:c r="D517" s="16">
        <ns0:f>A517*('前提と出典'!$C$36*'契約別単価'!C5+'前提と出典'!$C$37*'契約別単価'!C6+'前提と出典'!$C$38*'契約別単価'!C7)</ns0:f>
        <ns0:v>3691.3072625698323</ns0:v>
      </ns0:c>
      <ns0:c r="E517" s="16">
        <ns0:f>A517*('前提と出典'!$C$36*'契約別単価'!E5+'前提と出典'!$C$37*'契約別単価'!E6+'前提と出典'!$C$38*'契約別単価'!E7)</ns0:f>
        <ns0:v>992626.6089037037</ns0:v>
      </ns0:c>
      <ns0:c r="F517" s="16">
        <ns0:f>A517*('前提と出典'!$C$36*'契約別単価'!F5+'前提と出典'!$C$37*'契約別単価'!F6+'前提と出典'!$C$38*'契約別単価'!F7)</ns0:f>
        <ns0:v>389569.88108815486</ns0:v>
      </ns0:c>
      <ns0:c r="G517" s="16">
        <ns0:f>A517*('前提と出典'!$C$36*'契約別単価'!G5+'前提と出典'!$C$37*'契約別単価'!G6+'前提と出典'!$C$38*'契約別単価'!G7)</ns0:f>
        <ns0:v>1021127.9329608938</ns0:v>
      </ns0:c>
      <ns0:c r="H517" s="16">
        <ns0:f>A517*('前提と出典'!$C$36*'契約別単価'!H5+'前提と出典'!$C$37*'契約別単価'!H6+'前提と出典'!$C$38*'契約別単価'!H7)</ns0:f>
        <ns0:v>354382.60632772796</ns0:v>
      </ns0:c>
      <ns0:c r="I517" s="16">
        <ns0:f>A517*('前提と出典'!$C$36*'契約別単価'!I5+'前提と出典'!$C$37*'契約別単価'!I6+'前提と出典'!$C$38*'契約別単価'!I7)</ns0:f>
        <ns0:v>21646.30726256983</ns0:v>
      </ns0:c>
      <ns0:c r="J517" s="16">
        <ns0:f>A517*('前提と出典'!$C$36*'契約別単価'!J5+'前提と出典'!$C$37*'契約別単価'!J6+'前提と出典'!$C$38*'契約別単価'!J7)</ns0:f>
        <ns0:v>50422.535923385214</ns0:v>
      </ns0:c>
      <ns0:c r="K517" s="16">
        <ns0:f>A517*('前提と出典'!$C$36*'契約別単価'!K5+'前提と出典'!$C$37*'契約別単価'!K6+'前提と出典'!$C$38*'契約別単価'!K7)</ns0:f>
        <ns0:v>216128.71508379886</ns0:v>
      </ns0:c>
      <ns0:c r="L517" s="16">
        <ns0:f>A517*('前提と出典'!$C$36*'契約別単価'!L5+'前提と出典'!$C$37*'契約別単価'!L6+'前提と出典'!$C$38*'契約別単価'!L7)</ns0:f>
        <ns0:v>175972.7535442576</ns0:v>
      </ns0:c>
      <ns0:c r="M517" s="16">
        <ns0:f>IF(('前提と出典'!$C$36+'前提と出典'!$C$38)=0,0,IF(B517&lt;=10,'前提と出典'!B73+'前提と出典'!C73,IF(B517&lt;=100,'前提と出典'!B74+'前提と出典'!C74,IF(B517&lt;=500,'前提と出典'!B75+'前提と出典'!C75,'前提と出典'!B76+'前提と出典'!C76))))</ns0:f>
        <ns0:v>40000</ns0:v>
      </ns0:c>
      <ns0:c r="N517" s="16">
        <ns0:f>IF(('前提と出典'!$C$37+'前提と出典'!$C$38)=0,0,IF(C517&lt;=10,'前提と出典'!D73+'前提と出典'!E73,IF(C517&lt;=100,'前提と出典'!D74+'前提と出典'!E74,IF(C517&lt;=500,'前提と出典'!D75+'前提と出典'!E75,'前提と出典'!D76+'前提と出典'!E76))))</ns0:f>
        <ns0:v>56510.9346263078</ns0:v>
      </ns0:c>
      <ns0:c r="O517" s="16">
        <ns0:f>IF('前提と出典'!$C$36+'前提と出典'!$C$38=0,0,'前提と出典'!$B$4*IF('前提と出典'!$B$20=0,MAX('前提と出典'!$B$6,D517*'前提と出典'!$B$5),'前提と出典'!$B$6+D517*'前提と出典'!$B$5))</ns0:f>
        <ns0:v>509400.4022346369</ns0:v>
      </ns0:c>
      <ns0:c r="P517" s="16">
        <ns0:f>(E517+G517)*(1-'前提と出典'!$B$7)-I517-K517-M517-O517</ns0:f>
        <ns0:v>1154083.9537764664</ns0:v>
      </ns0:c>
      <ns0:c r="Q517" s="16">
        <ns0:f>(F517+H517)*(1-'前提と出典'!$B$7)-J517-L517-N517</ns0:f>
        <ns0:v>434263.9737749604</ns0:v>
      </ns0:c>
      <ns0:c r="R517" s="16">
        <ns0:f>P517-E517*'前提と出典'!$E$4</ns0:f>
        <ns0:v>856295.9711053553</ns0:v>
      </ns0:c>
      <ns0:c r="S517" s="16">
        <ns0:f>Q517-F517*'前提と出典'!$E$4</ns0:f>
        <ns0:v>317393.00944851397</ns0:v>
      </ns0:c>
      <ns0:c r="T517" s="7">
        <ns0:f>R517+S517</ns0:f>
        <ns0:v>1173688.9805538692</ns0:v>
      </ns0:c>
      <ns0:c r="U517" s="16">
        <ns0:f>P517-E517*'前提と出典'!$E$5</ns0:f>
        <ns0:v>757033.3102149849</ns0:v>
      </ns0:c>
      <ns0:c r="V517" s="16">
        <ns0:f>Q517-F517*'前提と出典'!$E$5</ns0:f>
        <ns0:v>278436.0213396984</ns0:v>
      </ns0:c>
      <ns0:c r="W517" s="7">
        <ns0:f>U517+V517</ns0:f>
        <ns0:v>1035469.3315546834</ns0:v>
      </ns0:c>
      <ns0:c r="X517" s="16">
        <ns0:f>P517-E517*'前提と出典'!$E$6</ns0:f>
        <ns0:v>657770.6493246146</ns0:v>
      </ns0:c>
      <ns0:c r="Y517" s="16">
        <ns0:f>Q517-F517*'前提と出典'!$E$6</ns0:f>
        <ns0:v>239479.0332308829</ns0:v>
      </ns0:c>
      <ns0:c r="Z517" s="7">
        <ns0:f>X517+Y517</ns0:f>
        <ns0:v>897249.6825554974</ns0:v>
      </ns0:c>
      <ns0:c r="AA517" s="7">
        <ns0:f>IF(T517&gt;=0,A517,1001)</ns0:f>
        <ns0:v>513</ns0:v>
      </ns0:c>
      <ns0:c r="AB517" s="7">
        <ns0:f>IF(T517&lt;0,A517,0)</ns0:f>
        <ns0:v>0</ns0:v>
      </ns0:c>
      <ns0:c r="AC517" s="16">
        <ns0:f>IF(AND(OR('前提と出典'!$C$36+'前提と出典'!$C$38=0,R517&gt;=0),OR('前提と出典'!$C$37+'前提と出典'!$C$38=0,S517&gt;=0)),0,A517)</ns0:f>
        <ns0:v>0</ns0:v>
      </ns0:c>
      <ns0:c r="AD517" s="7">
        <ns0:f>IF(W517&gt;=0,A517,1001)</ns0:f>
        <ns0:v>513</ns0:v>
      </ns0:c>
      <ns0:c r="AE517" s="7">
        <ns0:f>IF(W517&lt;0,A517,0)</ns0:f>
        <ns0:v>0</ns0:v>
      </ns0:c>
      <ns0:c r="AF517" s="16">
        <ns0:f>IF(AND(OR('前提と出典'!$C$36+'前提と出典'!$C$38=0,U517&gt;=0),OR('前提と出典'!$C$37+'前提と出典'!$C$38=0,V517&gt;=0)),0,A517)</ns0:f>
        <ns0:v>0</ns0:v>
      </ns0:c>
      <ns0:c r="AG517" s="7">
        <ns0:f>IF(Z517&gt;=0,A517,1001)</ns0:f>
        <ns0:v>513</ns0:v>
      </ns0:c>
      <ns0:c r="AH517" s="4">
        <ns0:f>IF(Z517&lt;0,A517,0)</ns0:f>
        <ns0:v>0</ns0:v>
      </ns0:c>
      <ns0:c r="AI517" s="12">
        <ns0:f>IF(AND(OR('前提と出典'!$C$36+'前提と出典'!$C$38=0,X517&gt;=0),OR('前提と出典'!$C$37+'前提と出典'!$C$38=0,Y517&gt;=0)),0,A517)</ns0:f>
        <ns0:v>0</ns0:v>
      </ns0:c>
    </ns0:row>
    <ns0:row r="518" ht="24" customHeight="1">
      <ns0:c r="A518" s="4" t="n">
        <ns0:v>514</ns0:v>
      </ns0:c>
      <ns0:c r="B518" s="12">
        <ns0:f>A518*('前提と出典'!$C$36+'前提と出典'!$C$38)</ns0:f>
        <ns0:v>359.79999999999995</ns0:v>
      </ns0:c>
      <ns0:c r="C518" s="12">
        <ns0:f>A518*('前提と出典'!$C$37+'前提と出典'!$C$38)</ns0:f>
        <ns0:v>308.4</ns0:v>
      </ns0:c>
      <ns0:c r="D518" s="16">
        <ns0:f>A518*('前提と出典'!$C$36*'契約別単価'!C5+'前提と出典'!$C$37*'契約別単価'!C6+'前提と出典'!$C$38*'契約別単価'!C7)</ns0:f>
        <ns0:v>3698.5027932960893</ns0:v>
      </ns0:c>
      <ns0:c r="E518" s="16">
        <ns0:f>A518*('前提と出典'!$C$36*'契約別単価'!E5+'前提と出典'!$C$37*'契約別単価'!E6+'前提と出典'!$C$38*'契約別単価'!E7)</ns0:f>
        <ns0:v>994561.5535604361</ns0:v>
      </ns0:c>
      <ns0:c r="F518" s="16">
        <ns0:f>A518*('前提と出典'!$C$36*'契約別単価'!F5+'前提と出典'!$C$37*'契約別単価'!F6+'前提と出典'!$C$38*'契約別単価'!F7)</ns0:f>
        <ns0:v>390329.2765678588</ns0:v>
      </ns0:c>
      <ns0:c r="G518" s="16">
        <ns0:f>A518*('前提と出典'!$C$36*'契約別単価'!G5+'前提と出典'!$C$37*'契約別単価'!G6+'前提と出典'!$C$38*'契約別単価'!G7)</ns0:f>
        <ns0:v>1023118.4357541898</ns0:v>
      </ns0:c>
      <ns0:c r="H518" s="16">
        <ns0:f>A518*('前提と出典'!$C$36*'契約別単価'!H5+'前提と出典'!$C$37*'契約別単価'!H6+'前提と出典'!$C$38*'契約別単価'!H7)</ns0:f>
        <ns0:v>355073.41062856175</ns0:v>
      </ns0:c>
      <ns0:c r="I518" s="16">
        <ns0:f>A518*('前提と出典'!$C$36*'契約別単価'!I5+'前提と出典'!$C$37*'契約別単価'!I6+'前提と出典'!$C$38*'契約別単価'!I7)</ns0:f>
        <ns0:v>21688.502793296087</ns0:v>
      </ns0:c>
      <ns0:c r="J518" s="16">
        <ns0:f>A518*('前提と出典'!$C$36*'契約別単価'!J5+'前提と出典'!$C$37*'契約別単価'!J6+'前提と出典'!$C$38*'契約別単価'!J7)</ns0:f>
        <ns0:v>50520.82546709552</ns0:v>
      </ns0:c>
      <ns0:c r="K518" s="16">
        <ns0:f>A518*('前提と出典'!$C$36*'契約別単価'!K5+'前提と出典'!$C$37*'契約別単価'!K6+'前提と出典'!$C$38*'契約別単価'!K7)</ns0:f>
        <ns0:v>216550.01862197393</ns0:v>
      </ns0:c>
      <ns0:c r="L518" s="16">
        <ns0:f>A518*('前提と出典'!$C$36*'契約別単価'!L5+'前提と出典'!$C$37*'契約別単価'!L6+'前提と出典'!$C$38*'契約別単価'!L7)</ns0:f>
        <ns0:v>176315.78035428538</ns0:v>
      </ns0:c>
      <ns0:c r="M518" s="16">
        <ns0:f>IF(('前提と出典'!$C$36+'前提と出典'!$C$38)=0,0,IF(B518&lt;=10,'前提と出典'!B73+'前提と出典'!C73,IF(B518&lt;=100,'前提と出典'!B74+'前提と出典'!C74,IF(B518&lt;=500,'前提と出典'!B75+'前提と出典'!C75,'前提と出典'!B76+'前提と出典'!C76))))</ns0:f>
        <ns0:v>40000</ns0:v>
      </ns0:c>
      <ns0:c r="N518" s="16">
        <ns0:f>IF(('前提と出典'!$C$37+'前提と出典'!$C$38)=0,0,IF(C518&lt;=10,'前提と出典'!D73+'前提と出典'!E73,IF(C518&lt;=100,'前提と出典'!D74+'前提と出典'!E74,IF(C518&lt;=500,'前提と出典'!D75+'前提と出典'!E75,'前提と出典'!D76+'前提と出典'!E76))))</ns0:f>
        <ns0:v>56510.9346263078</ns0:v>
      </ns0:c>
      <ns0:c r="O518" s="16">
        <ns0:f>IF('前提と出典'!$C$36+'前提と出典'!$C$38=0,0,'前提と出典'!$B$4*IF('前提と出典'!$B$20=0,MAX('前提と出典'!$B$6,D518*'前提と出典'!$B$5),'前提と出典'!$B$6+D518*'前提と出典'!$B$5))</ns0:f>
        <ns0:v>510393.3854748604</ns0:v>
      </ns0:c>
      <ns0:c r="P518" s="16">
        <ns0:f>(E518+G518)*(1-'前提と出典'!$B$7)-I518-K518-M518-O518</ns0:f>
        <ns0:v>1156411.602809169</ns0:v>
      </ns0:c>
      <ns0:c r="Q518" s="16">
        <ns0:f>(F518+H518)*(1-'前提と出典'!$B$7)-J518-L518-N518</ns0:f>
        <ns0:v>435220.65000966075</ns0:v>
      </ns0:c>
      <ns0:c r="R518" s="16">
        <ns0:f>P518-E518*'前提と出典'!$E$4</ns0:f>
        <ns0:v>858043.1367410382</ns0:v>
      </ns0:c>
      <ns0:c r="S518" s="16">
        <ns0:f>Q518-F518*'前提と出典'!$E$4</ns0:f>
        <ns0:v>318121.86703930306</ns0:v>
      </ns0:c>
      <ns0:c r="T518" s="7">
        <ns0:f>R518+S518</ns0:f>
        <ns0:v>1176165.0037803412</ns0:v>
      </ns0:c>
      <ns0:c r="U518" s="16">
        <ns0:f>P518-E518*'前提と出典'!$E$5</ns0:f>
        <ns0:v>758586.9813849947</ns0:v>
      </ns0:c>
      <ns0:c r="V518" s="16">
        <ns0:f>Q518-F518*'前提と出典'!$E$5</ns0:f>
        <ns0:v>279088.9393825172</ns0:v>
      </ns0:c>
      <ns0:c r="W518" s="7">
        <ns0:f>U518+V518</ns0:f>
        <ns0:v>1037675.9207675119</ns0:v>
      </ns0:c>
      <ns0:c r="X518" s="16">
        <ns0:f>P518-E518*'前提と出典'!$E$6</ns0:f>
        <ns0:v>659130.826028951</ns0:v>
      </ns0:c>
      <ns0:c r="Y518" s="16">
        <ns0:f>Q518-F518*'前提と出典'!$E$6</ns0:f>
        <ns0:v>240056.0117257312</ns0:v>
      </ns0:c>
      <ns0:c r="Z518" s="7">
        <ns0:f>X518+Y518</ns0:f>
        <ns0:v>899186.8377546822</ns0:v>
      </ns0:c>
      <ns0:c r="AA518" s="7">
        <ns0:f>IF(T518&gt;=0,A518,1001)</ns0:f>
        <ns0:v>514</ns0:v>
      </ns0:c>
      <ns0:c r="AB518" s="7">
        <ns0:f>IF(T518&lt;0,A518,0)</ns0:f>
        <ns0:v>0</ns0:v>
      </ns0:c>
      <ns0:c r="AC518" s="16">
        <ns0:f>IF(AND(OR('前提と出典'!$C$36+'前提と出典'!$C$38=0,R518&gt;=0),OR('前提と出典'!$C$37+'前提と出典'!$C$38=0,S518&gt;=0)),0,A518)</ns0:f>
        <ns0:v>0</ns0:v>
      </ns0:c>
      <ns0:c r="AD518" s="7">
        <ns0:f>IF(W518&gt;=0,A518,1001)</ns0:f>
        <ns0:v>514</ns0:v>
      </ns0:c>
      <ns0:c r="AE518" s="7">
        <ns0:f>IF(W518&lt;0,A518,0)</ns0:f>
        <ns0:v>0</ns0:v>
      </ns0:c>
      <ns0:c r="AF518" s="16">
        <ns0:f>IF(AND(OR('前提と出典'!$C$36+'前提と出典'!$C$38=0,U518&gt;=0),OR('前提と出典'!$C$37+'前提と出典'!$C$38=0,V518&gt;=0)),0,A518)</ns0:f>
        <ns0:v>0</ns0:v>
      </ns0:c>
      <ns0:c r="AG518" s="7">
        <ns0:f>IF(Z518&gt;=0,A518,1001)</ns0:f>
        <ns0:v>514</ns0:v>
      </ns0:c>
      <ns0:c r="AH518" s="4">
        <ns0:f>IF(Z518&lt;0,A518,0)</ns0:f>
        <ns0:v>0</ns0:v>
      </ns0:c>
      <ns0:c r="AI518" s="12">
        <ns0:f>IF(AND(OR('前提と出典'!$C$36+'前提と出典'!$C$38=0,X518&gt;=0),OR('前提と出典'!$C$37+'前提と出典'!$C$38=0,Y518&gt;=0)),0,A518)</ns0:f>
        <ns0:v>0</ns0:v>
      </ns0:c>
    </ns0:row>
    <ns0:row r="519" ht="24" customHeight="1">
      <ns0:c r="A519" s="4" t="n">
        <ns0:v>515</ns0:v>
      </ns0:c>
      <ns0:c r="B519" s="12">
        <ns0:f>A519*('前提と出典'!$C$36+'前提と出典'!$C$38)</ns0:f>
        <ns0:v>360.5</ns0:v>
      </ns0:c>
      <ns0:c r="C519" s="12">
        <ns0:f>A519*('前提と出典'!$C$37+'前提と出典'!$C$38)</ns0:f>
        <ns0:v>309</ns0:v>
      </ns0:c>
      <ns0:c r="D519" s="16">
        <ns0:f>A519*('前提と出典'!$C$36*'契約別単価'!C5+'前提と出典'!$C$37*'契約別単価'!C6+'前提と出典'!$C$38*'契約別単価'!C7)</ns0:f>
        <ns0:v>3705.6983240223462</ns0:v>
      </ns0:c>
      <ns0:c r="E519" s="16">
        <ns0:f>A519*('前提と出典'!$C$36*'契約別単価'!E5+'前提と出典'!$C$37*'契約別単価'!E6+'前提と出典'!$C$38*'契約別単価'!E7)</ns0:f>
        <ns0:v>996496.4982171685</ns0:v>
      </ns0:c>
      <ns0:c r="F519" s="16">
        <ns0:f>A519*('前提と出典'!$C$36*'契約別単価'!F5+'前提と出典'!$C$37*'契約別単価'!F6+'前提と出典'!$C$38*'契約別単価'!F7)</ns0:f>
        <ns0:v>391088.67204756284</ns0:v>
      </ns0:c>
      <ns0:c r="G519" s="16">
        <ns0:f>A519*('前提と出典'!$C$36*'契約別単価'!G5+'前提と出典'!$C$37*'契約別単価'!G6+'前提と出典'!$C$38*'契約別単価'!G7)</ns0:f>
        <ns0:v>1025108.938547486</ns0:v>
      </ns0:c>
      <ns0:c r="H519" s="16">
        <ns0:f>A519*('前提と出典'!$C$36*'契約別単価'!H5+'前提と出典'!$C$37*'契約別単価'!H6+'前提と出典'!$C$38*'契約別単価'!H7)</ns0:f>
        <ns0:v>355764.21492939553</ns0:v>
      </ns0:c>
      <ns0:c r="I519" s="16">
        <ns0:f>A519*('前提と出典'!$C$36*'契約別単価'!I5+'前提と出典'!$C$37*'契約別単価'!I6+'前提と出典'!$C$38*'契約別単価'!I7)</ns0:f>
        <ns0:v>21730.69832402234</ns0:v>
      </ns0:c>
      <ns0:c r="J519" s="16">
        <ns0:f>A519*('前提と出典'!$C$36*'契約別単価'!J5+'前提と出典'!$C$37*'契約別単価'!J6+'前提と出典'!$C$38*'契約別単価'!J7)</ns0:f>
        <ns0:v>50619.11501080582</ns0:v>
      </ns0:c>
      <ns0:c r="K519" s="16">
        <ns0:f>A519*('前提と出典'!$C$36*'契約別単価'!K5+'前提と出典'!$C$37*'契約別単価'!K6+'前提と出典'!$C$38*'契約別単価'!K7)</ns0:f>
        <ns0:v>216971.32216014896</ns0:v>
      </ns0:c>
      <ns0:c r="L519" s="16">
        <ns0:f>A519*('前提と出典'!$C$36*'契約別単価'!L5+'前提と出典'!$C$37*'契約別単価'!L6+'前提と出典'!$C$38*'契約別単価'!L7)</ns0:f>
        <ns0:v>176658.80716431318</ns0:v>
      </ns0:c>
      <ns0:c r="M519" s="16">
        <ns0:f>IF(('前提と出典'!$C$36+'前提と出典'!$C$38)=0,0,IF(B519&lt;=10,'前提と出典'!B73+'前提と出典'!C73,IF(B519&lt;=100,'前提と出典'!B74+'前提と出典'!C74,IF(B519&lt;=500,'前提と出典'!B75+'前提と出典'!C75,'前提と出典'!B76+'前提と出典'!C76))))</ns0:f>
        <ns0:v>40000</ns0:v>
      </ns0:c>
      <ns0:c r="N519" s="16">
        <ns0:f>IF(('前提と出典'!$C$37+'前提と出典'!$C$38)=0,0,IF(C519&lt;=10,'前提と出典'!D73+'前提と出典'!E73,IF(C519&lt;=100,'前提と出典'!D74+'前提と出典'!E74,IF(C519&lt;=500,'前提と出典'!D75+'前提と出典'!E75,'前提と出典'!D76+'前提と出典'!E76))))</ns0:f>
        <ns0:v>56510.9346263078</ns0:v>
      </ns0:c>
      <ns0:c r="O519" s="16">
        <ns0:f>IF('前提と出典'!$C$36+'前提と出典'!$C$38=0,0,'前提と出典'!$B$4*IF('前提と出典'!$B$20=0,MAX('前提と出典'!$B$6,D519*'前提と出典'!$B$5),'前提と出典'!$B$6+D519*'前提と出典'!$B$5))</ns0:f>
        <ns0:v>511386.3687150838</ns0:v>
      </ns0:c>
      <ns0:c r="P519" s="16">
        <ns0:f>(E519+G519)*(1-'前提と出典'!$B$7)-I519-K519-M519-O519</ns0:f>
        <ns0:v>1158739.2518418715</ns0:v>
      </ns0:c>
      <ns0:c r="Q519" s="16">
        <ns0:f>(F519+H519)*(1-'前提と出典'!$B$7)-J519-L519-N519</ns0:f>
        <ns0:v>436177.32624436106</ns0:v>
      </ns0:c>
      <ns0:c r="R519" s="16">
        <ns0:f>P519-E519*'前提と出典'!$E$4</ns0:f>
        <ns0:v>859790.3023767214</ns0:v>
      </ns0:c>
      <ns0:c r="S519" s="16">
        <ns0:f>Q519-F519*'前提と出典'!$E$4</ns0:f>
        <ns0:v>318850.72463009227</ns0:v>
      </ns0:c>
      <ns0:c r="T519" s="7">
        <ns0:f>R519+S519</ns0:f>
        <ns0:v>1178641.0270068138</ns0:v>
      </ns0:c>
      <ns0:c r="U519" s="16">
        <ns0:f>P519-E519*'前提と出典'!$E$5</ns0:f>
        <ns0:v>760140.6525550041</ns0:v>
      </ns0:c>
      <ns0:c r="V519" s="16">
        <ns0:f>Q519-F519*'前提と出典'!$E$5</ns0:f>
        <ns0:v>279741.8574253359</ns0:v>
      </ns0:c>
      <ns0:c r="W519" s="7">
        <ns0:f>U519+V519</ns0:f>
        <ns0:v>1039882.50998034</ns0:v>
      </ns0:c>
      <ns0:c r="X519" s="16">
        <ns0:f>P519-E519*'前提と出典'!$E$6</ns0:f>
        <ns0:v>660491.0027332873</ns0:v>
      </ns0:c>
      <ns0:c r="Y519" s="16">
        <ns0:f>Q519-F519*'前提と出典'!$E$6</ns0:f>
        <ns0:v>240632.99022057955</ns0:v>
      </ns0:c>
      <ns0:c r="Z519" s="7">
        <ns0:f>X519+Y519</ns0:f>
        <ns0:v>901123.9929538668</ns0:v>
      </ns0:c>
      <ns0:c r="AA519" s="7">
        <ns0:f>IF(T519&gt;=0,A519,1001)</ns0:f>
        <ns0:v>515</ns0:v>
      </ns0:c>
      <ns0:c r="AB519" s="7">
        <ns0:f>IF(T519&lt;0,A519,0)</ns0:f>
        <ns0:v>0</ns0:v>
      </ns0:c>
      <ns0:c r="AC519" s="16">
        <ns0:f>IF(AND(OR('前提と出典'!$C$36+'前提と出典'!$C$38=0,R519&gt;=0),OR('前提と出典'!$C$37+'前提と出典'!$C$38=0,S519&gt;=0)),0,A519)</ns0:f>
        <ns0:v>0</ns0:v>
      </ns0:c>
      <ns0:c r="AD519" s="7">
        <ns0:f>IF(W519&gt;=0,A519,1001)</ns0:f>
        <ns0:v>515</ns0:v>
      </ns0:c>
      <ns0:c r="AE519" s="7">
        <ns0:f>IF(W519&lt;0,A519,0)</ns0:f>
        <ns0:v>0</ns0:v>
      </ns0:c>
      <ns0:c r="AF519" s="16">
        <ns0:f>IF(AND(OR('前提と出典'!$C$36+'前提と出典'!$C$38=0,U519&gt;=0),OR('前提と出典'!$C$37+'前提と出典'!$C$38=0,V519&gt;=0)),0,A519)</ns0:f>
        <ns0:v>0</ns0:v>
      </ns0:c>
      <ns0:c r="AG519" s="7">
        <ns0:f>IF(Z519&gt;=0,A519,1001)</ns0:f>
        <ns0:v>515</ns0:v>
      </ns0:c>
      <ns0:c r="AH519" s="4">
        <ns0:f>IF(Z519&lt;0,A519,0)</ns0:f>
        <ns0:v>0</ns0:v>
      </ns0:c>
      <ns0:c r="AI519" s="12">
        <ns0:f>IF(AND(OR('前提と出典'!$C$36+'前提と出典'!$C$38=0,X519&gt;=0),OR('前提と出典'!$C$37+'前提と出典'!$C$38=0,Y519&gt;=0)),0,A519)</ns0:f>
        <ns0:v>0</ns0:v>
      </ns0:c>
    </ns0:row>
    <ns0:row r="520" ht="24" customHeight="1">
      <ns0:c r="A520" s="4" t="n">
        <ns0:v>516</ns0:v>
      </ns0:c>
      <ns0:c r="B520" s="12">
        <ns0:f>A520*('前提と出典'!$C$36+'前提と出典'!$C$38)</ns0:f>
        <ns0:v>361.2</ns0:v>
      </ns0:c>
      <ns0:c r="C520" s="12">
        <ns0:f>A520*('前提と出典'!$C$37+'前提と出典'!$C$38)</ns0:f>
        <ns0:v>309.59999999999997</ns0:v>
      </ns0:c>
      <ns0:c r="D520" s="16">
        <ns0:f>A520*('前提と出典'!$C$36*'契約別単価'!C5+'前提と出典'!$C$37*'契約別単価'!C6+'前提と出典'!$C$38*'契約別単価'!C7)</ns0:f>
        <ns0:v>3712.893854748603</ns0:v>
      </ns0:c>
      <ns0:c r="E520" s="16">
        <ns0:f>A520*('前提と出典'!$C$36*'契約別単価'!E5+'前提と出典'!$C$37*'契約別単価'!E6+'前提と出典'!$C$38*'契約別単価'!E7)</ns0:f>
        <ns0:v>998431.4428739009</ns0:v>
      </ns0:c>
      <ns0:c r="F520" s="16">
        <ns0:f>A520*('前提と出典'!$C$36*'契約別単価'!F5+'前提と出典'!$C$37*'契約別単価'!F6+'前提と出典'!$C$38*'契約別単価'!F7)</ns0:f>
        <ns0:v>391848.06752726686</ns0:v>
      </ns0:c>
      <ns0:c r="G520" s="16">
        <ns0:f>A520*('前提と出典'!$C$36*'契約別単価'!G5+'前提と出典'!$C$37*'契約別単価'!G6+'前提と出典'!$C$38*'契約別単価'!G7)</ns0:f>
        <ns0:v>1027099.4413407821</ns0:v>
      </ns0:c>
      <ns0:c r="H520" s="16">
        <ns0:f>A520*('前提と出典'!$C$36*'契約別単価'!H5+'前提と出典'!$C$37*'契約別単価'!H6+'前提と出典'!$C$38*'契約別単価'!H7)</ns0:f>
        <ns0:v>356455.0192302293</ns0:v>
      </ns0:c>
      <ns0:c r="I520" s="16">
        <ns0:f>A520*('前提と出典'!$C$36*'契約別単価'!I5+'前提と出典'!$C$37*'契約別単価'!I6+'前提と出典'!$C$38*'契約別単価'!I7)</ns0:f>
        <ns0:v>21772.8938547486</ns0:v>
      </ns0:c>
      <ns0:c r="J520" s="16">
        <ns0:f>A520*('前提と出典'!$C$36*'契約別単価'!J5+'前提と出典'!$C$37*'契約別単価'!J6+'前提と出典'!$C$38*'契約別単価'!J7)</ns0:f>
        <ns0:v>50717.40455451613</ns0:v>
      </ns0:c>
      <ns0:c r="K520" s="16">
        <ns0:f>A520*('前提と出典'!$C$36*'契約別単価'!K5+'前提と出典'!$C$37*'契約別単価'!K6+'前提と出典'!$C$38*'契約別単価'!K7)</ns0:f>
        <ns0:v>217392.625698324</ns0:v>
      </ns0:c>
      <ns0:c r="L520" s="16">
        <ns0:f>A520*('前提と出典'!$C$36*'契約別単価'!L5+'前提と出典'!$C$37*'契約別単価'!L6+'前提と出典'!$C$38*'契約別単価'!L7)</ns0:f>
        <ns0:v>177001.83397434096</ns0:v>
      </ns0:c>
      <ns0:c r="M520" s="16">
        <ns0:f>IF(('前提と出典'!$C$36+'前提と出典'!$C$38)=0,0,IF(B520&lt;=10,'前提と出典'!B73+'前提と出典'!C73,IF(B520&lt;=100,'前提と出典'!B74+'前提と出典'!C74,IF(B520&lt;=500,'前提と出典'!B75+'前提と出典'!C75,'前提と出典'!B76+'前提と出典'!C76))))</ns0:f>
        <ns0:v>40000</ns0:v>
      </ns0:c>
      <ns0:c r="N520" s="16">
        <ns0:f>IF(('前提と出典'!$C$37+'前提と出典'!$C$38)=0,0,IF(C520&lt;=10,'前提と出典'!D73+'前提と出典'!E73,IF(C520&lt;=100,'前提と出典'!D74+'前提と出典'!E74,IF(C520&lt;=500,'前提と出典'!D75+'前提と出典'!E75,'前提と出典'!D76+'前提と出典'!E76))))</ns0:f>
        <ns0:v>56510.9346263078</ns0:v>
      </ns0:c>
      <ns0:c r="O520" s="16">
        <ns0:f>IF('前提と出典'!$C$36+'前提と出典'!$C$38=0,0,'前提と出典'!$B$4*IF('前提と出典'!$B$20=0,MAX('前提と出典'!$B$6,D520*'前提と出典'!$B$5),'前提と出典'!$B$6+D520*'前提と出典'!$B$5))</ns0:f>
        <ns0:v>512379.35195530724</ns0:v>
      </ns0:c>
      <ns0:c r="P520" s="16">
        <ns0:f>(E520+G520)*(1-'前提と出典'!$B$7)-I520-K520-M520-O520</ns0:f>
        <ns0:v>1161066.9008745744</ns0:v>
      </ns0:c>
      <ns0:c r="Q520" s="16">
        <ns0:f>(F520+H520)*(1-'前提と出典'!$B$7)-J520-L520-N520</ns0:f>
        <ns0:v>437134.0024790615</ns0:v>
      </ns0:c>
      <ns0:c r="R520" s="16">
        <ns0:f>P520-E520*'前提と出典'!$E$4</ns0:f>
        <ns0:v>861537.4680124042</ns0:v>
      </ns0:c>
      <ns0:c r="S520" s="16">
        <ns0:f>Q520-F520*'前提と出典'!$E$4</ns0:f>
        <ns0:v>319579.5822208816</ns0:v>
      </ns0:c>
      <ns0:c r="T520" s="7">
        <ns0:f>R520+S520</ns0:f>
        <ns0:v>1181117.0502332859</ns0:v>
      </ns0:c>
      <ns0:c r="U520" s="16">
        <ns0:f>P520-E520*'前提と出典'!$E$5</ns0:f>
        <ns0:v>761694.323725014</ns0:v>
      </ns0:c>
      <ns0:c r="V520" s="16">
        <ns0:f>Q520-F520*'前提と出典'!$E$5</ns0:f>
        <ns0:v>280394.7754681547</ns0:v>
      </ns0:c>
      <ns0:c r="W520" s="7">
        <ns0:f>U520+V520</ns0:f>
        <ns0:v>1042089.0991931687</ns0:v>
      </ns0:c>
      <ns0:c r="X520" s="16">
        <ns0:f>P520-E520*'前提と出典'!$E$6</ns0:f>
        <ns0:v>661851.179437624</ns0:v>
      </ns0:c>
      <ns0:c r="Y520" s="16">
        <ns0:f>Q520-F520*'前提と出典'!$E$6</ns0:f>
        <ns0:v>241209.96871542803</ns0:v>
      </ns0:c>
      <ns0:c r="Z520" s="7">
        <ns0:f>X520+Y520</ns0:f>
        <ns0:v>903061.1481530521</ns0:v>
      </ns0:c>
      <ns0:c r="AA520" s="7">
        <ns0:f>IF(T520&gt;=0,A520,1001)</ns0:f>
        <ns0:v>516</ns0:v>
      </ns0:c>
      <ns0:c r="AB520" s="7">
        <ns0:f>IF(T520&lt;0,A520,0)</ns0:f>
        <ns0:v>0</ns0:v>
      </ns0:c>
      <ns0:c r="AC520" s="16">
        <ns0:f>IF(AND(OR('前提と出典'!$C$36+'前提と出典'!$C$38=0,R520&gt;=0),OR('前提と出典'!$C$37+'前提と出典'!$C$38=0,S520&gt;=0)),0,A520)</ns0:f>
        <ns0:v>0</ns0:v>
      </ns0:c>
      <ns0:c r="AD520" s="7">
        <ns0:f>IF(W520&gt;=0,A520,1001)</ns0:f>
        <ns0:v>516</ns0:v>
      </ns0:c>
      <ns0:c r="AE520" s="7">
        <ns0:f>IF(W520&lt;0,A520,0)</ns0:f>
        <ns0:v>0</ns0:v>
      </ns0:c>
      <ns0:c r="AF520" s="16">
        <ns0:f>IF(AND(OR('前提と出典'!$C$36+'前提と出典'!$C$38=0,U520&gt;=0),OR('前提と出典'!$C$37+'前提と出典'!$C$38=0,V520&gt;=0)),0,A520)</ns0:f>
        <ns0:v>0</ns0:v>
      </ns0:c>
      <ns0:c r="AG520" s="7">
        <ns0:f>IF(Z520&gt;=0,A520,1001)</ns0:f>
        <ns0:v>516</ns0:v>
      </ns0:c>
      <ns0:c r="AH520" s="4">
        <ns0:f>IF(Z520&lt;0,A520,0)</ns0:f>
        <ns0:v>0</ns0:v>
      </ns0:c>
      <ns0:c r="AI520" s="12">
        <ns0:f>IF(AND(OR('前提と出典'!$C$36+'前提と出典'!$C$38=0,X520&gt;=0),OR('前提と出典'!$C$37+'前提と出典'!$C$38=0,Y520&gt;=0)),0,A520)</ns0:f>
        <ns0:v>0</ns0:v>
      </ns0:c>
    </ns0:row>
    <ns0:row r="521" ht="24" customHeight="1">
      <ns0:c r="A521" s="4" t="n">
        <ns0:v>517</ns0:v>
      </ns0:c>
      <ns0:c r="B521" s="12">
        <ns0:f>A521*('前提と出典'!$C$36+'前提と出典'!$C$38)</ns0:f>
        <ns0:v>361.9</ns0:v>
      </ns0:c>
      <ns0:c r="C521" s="12">
        <ns0:f>A521*('前提と出典'!$C$37+'前提と出典'!$C$38)</ns0:f>
        <ns0:v>310.2</ns0:v>
      </ns0:c>
      <ns0:c r="D521" s="16">
        <ns0:f>A521*('前提と出典'!$C$36*'契約別単価'!C5+'前提と出典'!$C$37*'契約別単価'!C6+'前提と出典'!$C$38*'契約別単価'!C7)</ns0:f>
        <ns0:v>3720.08938547486</ns0:v>
      </ns0:c>
      <ns0:c r="E521" s="16">
        <ns0:f>A521*('前提と出典'!$C$36*'契約別単価'!E5+'前提と出典'!$C$37*'契約別単価'!E6+'前提と出典'!$C$38*'契約別単価'!E7)</ns0:f>
        <ns0:v>1000366.3875306332</ns0:v>
      </ns0:c>
      <ns0:c r="F521" s="16">
        <ns0:f>A521*('前提と出典'!$C$36*'契約別単価'!F5+'前提と出典'!$C$37*'契約別単価'!F6+'前提と出典'!$C$38*'契約別単価'!F7)</ns0:f>
        <ns0:v>392607.4630069709</ns0:v>
      </ns0:c>
      <ns0:c r="G521" s="16">
        <ns0:f>A521*('前提と出典'!$C$36*'契約別単価'!G5+'前提と出典'!$C$37*'契約別単価'!G6+'前提と出典'!$C$38*'契約別単価'!G7)</ns0:f>
        <ns0:v>1029089.9441340782</ns0:v>
      </ns0:c>
      <ns0:c r="H521" s="16">
        <ns0:f>A521*('前提と出典'!$C$36*'契約別単価'!H5+'前提と出典'!$C$37*'契約別単価'!H6+'前提と出典'!$C$38*'契約別単価'!H7)</ns0:f>
        <ns0:v>357145.82353106304</ns0:v>
      </ns0:c>
      <ns0:c r="I521" s="16">
        <ns0:f>A521*('前提と出典'!$C$36*'契約別単価'!I5+'前提と出典'!$C$37*'契約別単価'!I6+'前提と出典'!$C$38*'契約別単価'!I7)</ns0:f>
        <ns0:v>21815.089385474857</ns0:v>
      </ns0:c>
      <ns0:c r="J521" s="16">
        <ns0:f>A521*('前提と出典'!$C$36*'契約別単価'!J5+'前提と出典'!$C$37*'契約別単価'!J6+'前提と出典'!$C$38*'契約別単価'!J7)</ns0:f>
        <ns0:v>50815.69409822643</ns0:v>
      </ns0:c>
      <ns0:c r="K521" s="16">
        <ns0:f>A521*('前提と出典'!$C$36*'契約別単価'!K5+'前提と出典'!$C$37*'契約別単価'!K6+'前提と出典'!$C$38*'契約別単価'!K7)</ns0:f>
        <ns0:v>217813.92923649904</ns0:v>
      </ns0:c>
      <ns0:c r="L521" s="16">
        <ns0:f>A521*('前提と出典'!$C$36*'契約別単価'!L5+'前提と出典'!$C$37*'契約別単価'!L6+'前提と出典'!$C$38*'契約別単価'!L7)</ns0:f>
        <ns0:v>177344.86078436876</ns0:v>
      </ns0:c>
      <ns0:c r="M521" s="16">
        <ns0:f>IF(('前提と出典'!$C$36+'前提と出典'!$C$38)=0,0,IF(B521&lt;=10,'前提と出典'!B73+'前提と出典'!C73,IF(B521&lt;=100,'前提と出典'!B74+'前提と出典'!C74,IF(B521&lt;=500,'前提と出典'!B75+'前提と出典'!C75,'前提と出典'!B76+'前提と出典'!C76))))</ns0:f>
        <ns0:v>40000</ns0:v>
      </ns0:c>
      <ns0:c r="N521" s="16">
        <ns0:f>IF(('前提と出典'!$C$37+'前提と出典'!$C$38)=0,0,IF(C521&lt;=10,'前提と出典'!D73+'前提と出典'!E73,IF(C521&lt;=100,'前提と出典'!D74+'前提と出典'!E74,IF(C521&lt;=500,'前提と出典'!D75+'前提と出典'!E75,'前提と出典'!D76+'前提と出典'!E76))))</ns0:f>
        <ns0:v>56510.9346263078</ns0:v>
      </ns0:c>
      <ns0:c r="O521" s="16">
        <ns0:f>IF('前提と出典'!$C$36+'前提と出典'!$C$38=0,0,'前提と出典'!$B$4*IF('前提と出典'!$B$20=0,MAX('前提と出典'!$B$6,D521*'前提と出典'!$B$5),'前提と出典'!$B$6+D521*'前提と出典'!$B$5))</ns0:f>
        <ns0:v>513372.33519553073</ns0:v>
      </ns0:c>
      <ns0:c r="P521" s="16">
        <ns0:f>(E521+G521)*(1-'前提と出典'!$B$7)-I521-K521-M521-O521</ns0:f>
        <ns0:v>1163394.5499072773</ns0:v>
      </ns0:c>
      <ns0:c r="Q521" s="16">
        <ns0:f>(F521+H521)*(1-'前提と出典'!$B$7)-J521-L521-N521</ns0:f>
        <ns0:v>438090.67871376174</ns0:v>
      </ns0:c>
      <ns0:c r="R521" s="16">
        <ns0:f>P521-E521*'前提と出典'!$E$4</ns0:f>
        <ns0:v>863284.6336480875</ns0:v>
      </ns0:c>
      <ns0:c r="S521" s="16">
        <ns0:f>Q521-F521*'前提と出典'!$E$4</ns0:f>
        <ns0:v>320308.4398116705</ns0:v>
      </ns0:c>
      <ns0:c r="T521" s="7">
        <ns0:f>R521+S521</ns0:f>
        <ns0:v>1183593.073459758</ns0:v>
      </ns0:c>
      <ns0:c r="U521" s="16">
        <ns0:f>P521-E521*'前提と出典'!$E$5</ns0:f>
        <ns0:v>763247.994895024</ns0:v>
      </ns0:c>
      <ns0:c r="V521" s="16">
        <ns0:f>Q521-F521*'前提と出典'!$E$5</ns0:f>
        <ns0:v>281047.69351097336</ns0:v>
      </ns0:c>
      <ns0:c r="W521" s="7">
        <ns0:f>U521+V521</ns0:f>
        <ns0:v>1044295.6884059974</ns0:v>
      </ns0:c>
      <ns0:c r="X521" s="16">
        <ns0:f>P521-E521*'前提と出典'!$E$6</ns0:f>
        <ns0:v>663211.3561419607</ns0:v>
      </ns0:c>
      <ns0:c r="Y521" s="16">
        <ns0:f>Q521-F521*'前提と出典'!$E$6</ns0:f>
        <ns0:v>241786.94721027627</ns0:v>
      </ns0:c>
      <ns0:c r="Z521" s="7">
        <ns0:f>X521+Y521</ns0:f>
        <ns0:v>904998.303352237</ns0:v>
      </ns0:c>
      <ns0:c r="AA521" s="7">
        <ns0:f>IF(T521&gt;=0,A521,1001)</ns0:f>
        <ns0:v>517</ns0:v>
      </ns0:c>
      <ns0:c r="AB521" s="7">
        <ns0:f>IF(T521&lt;0,A521,0)</ns0:f>
        <ns0:v>0</ns0:v>
      </ns0:c>
      <ns0:c r="AC521" s="16">
        <ns0:f>IF(AND(OR('前提と出典'!$C$36+'前提と出典'!$C$38=0,R521&gt;=0),OR('前提と出典'!$C$37+'前提と出典'!$C$38=0,S521&gt;=0)),0,A521)</ns0:f>
        <ns0:v>0</ns0:v>
      </ns0:c>
      <ns0:c r="AD521" s="7">
        <ns0:f>IF(W521&gt;=0,A521,1001)</ns0:f>
        <ns0:v>517</ns0:v>
      </ns0:c>
      <ns0:c r="AE521" s="7">
        <ns0:f>IF(W521&lt;0,A521,0)</ns0:f>
        <ns0:v>0</ns0:v>
      </ns0:c>
      <ns0:c r="AF521" s="16">
        <ns0:f>IF(AND(OR('前提と出典'!$C$36+'前提と出典'!$C$38=0,U521&gt;=0),OR('前提と出典'!$C$37+'前提と出典'!$C$38=0,V521&gt;=0)),0,A521)</ns0:f>
        <ns0:v>0</ns0:v>
      </ns0:c>
      <ns0:c r="AG521" s="7">
        <ns0:f>IF(Z521&gt;=0,A521,1001)</ns0:f>
        <ns0:v>517</ns0:v>
      </ns0:c>
      <ns0:c r="AH521" s="4">
        <ns0:f>IF(Z521&lt;0,A521,0)</ns0:f>
        <ns0:v>0</ns0:v>
      </ns0:c>
      <ns0:c r="AI521" s="12">
        <ns0:f>IF(AND(OR('前提と出典'!$C$36+'前提と出典'!$C$38=0,X521&gt;=0),OR('前提と出典'!$C$37+'前提と出典'!$C$38=0,Y521&gt;=0)),0,A521)</ns0:f>
        <ns0:v>0</ns0:v>
      </ns0:c>
    </ns0:row>
    <ns0:row r="522" ht="24" customHeight="1">
      <ns0:c r="A522" s="4" t="n">
        <ns0:v>518</ns0:v>
      </ns0:c>
      <ns0:c r="B522" s="12">
        <ns0:f>A522*('前提と出典'!$C$36+'前提と出典'!$C$38)</ns0:f>
        <ns0:v>362.59999999999997</ns0:v>
      </ns0:c>
      <ns0:c r="C522" s="12">
        <ns0:f>A522*('前提と出典'!$C$37+'前提と出典'!$C$38)</ns0:f>
        <ns0:v>310.8</ns0:v>
      </ns0:c>
      <ns0:c r="D522" s="16">
        <ns0:f>A522*('前提と出典'!$C$36*'契約別単価'!C5+'前提と出典'!$C$37*'契約別単価'!C6+'前提と出典'!$C$38*'契約別単価'!C7)</ns0:f>
        <ns0:v>3727.284916201117</ns0:v>
      </ns0:c>
      <ns0:c r="E522" s="16">
        <ns0:f>A522*('前提と出典'!$C$36*'契約別単価'!E5+'前提と出典'!$C$37*'契約別単価'!E6+'前提と出典'!$C$38*'契約別単価'!E7)</ns0:f>
        <ns0:v>1002301.3321873655</ns0:v>
      </ns0:c>
      <ns0:c r="F522" s="16">
        <ns0:f>A522*('前提と出典'!$C$36*'契約別単価'!F5+'前提と出典'!$C$37*'契約別単価'!F6+'前提と出典'!$C$38*'契約別単価'!F7)</ns0:f>
        <ns0:v>393366.85848667484</ns0:v>
      </ns0:c>
      <ns0:c r="G522" s="16">
        <ns0:f>A522*('前提と出典'!$C$36*'契約別単価'!G5+'前提と出典'!$C$37*'契約別単価'!G6+'前提と出典'!$C$38*'契約別単価'!G7)</ns0:f>
        <ns0:v>1031080.4469273742</ns0:v>
      </ns0:c>
      <ns0:c r="H522" s="16">
        <ns0:f>A522*('前提と出典'!$C$36*'契約別単価'!H5+'前提と出典'!$C$37*'契約別単価'!H6+'前提と出典'!$C$38*'契約別単価'!H7)</ns0:f>
        <ns0:v>357836.6278318968</ns0:v>
      </ns0:c>
      <ns0:c r="I522" s="16">
        <ns0:f>A522*('前提と出典'!$C$36*'契約別単価'!I5+'前提と出典'!$C$37*'契約別単価'!I6+'前提と出典'!$C$38*'契約別単価'!I7)</ns0:f>
        <ns0:v>21857.284916201115</ns0:v>
      </ns0:c>
      <ns0:c r="J522" s="16">
        <ns0:f>A522*('前提と出典'!$C$36*'契約別単価'!J5+'前提と出典'!$C$37*'契約別単価'!J6+'前提と出典'!$C$38*'契約別単価'!J7)</ns0:f>
        <ns0:v>50913.98364193673</ns0:v>
      </ns0:c>
      <ns0:c r="K522" s="16">
        <ns0:f>A522*('前提と出典'!$C$36*'契約別単価'!K5+'前提と出典'!$C$37*'契約別単価'!K6+'前提と出典'!$C$38*'契約別単価'!K7)</ns0:f>
        <ns0:v>218235.2327746741</ns0:v>
      </ns0:c>
      <ns0:c r="L522" s="16">
        <ns0:f>A522*('前提と出典'!$C$36*'契約別単価'!L5+'前提と出典'!$C$37*'契約別単価'!L6+'前提と出典'!$C$38*'契約別単価'!L7)</ns0:f>
        <ns0:v>177687.88759439657</ns0:v>
      </ns0:c>
      <ns0:c r="M522" s="16">
        <ns0:f>IF(('前提と出典'!$C$36+'前提と出典'!$C$38)=0,0,IF(B522&lt;=10,'前提と出典'!B73+'前提と出典'!C73,IF(B522&lt;=100,'前提と出典'!B74+'前提と出典'!C74,IF(B522&lt;=500,'前提と出典'!B75+'前提と出典'!C75,'前提と出典'!B76+'前提と出典'!C76))))</ns0:f>
        <ns0:v>40000</ns0:v>
      </ns0:c>
      <ns0:c r="N522" s="16">
        <ns0:f>IF(('前提と出典'!$C$37+'前提と出典'!$C$38)=0,0,IF(C522&lt;=10,'前提と出典'!D73+'前提と出典'!E73,IF(C522&lt;=100,'前提と出典'!D74+'前提と出典'!E74,IF(C522&lt;=500,'前提と出典'!D75+'前提と出典'!E75,'前提と出典'!D76+'前提と出典'!E76))))</ns0:f>
        <ns0:v>56510.9346263078</ns0:v>
      </ns0:c>
      <ns0:c r="O522" s="16">
        <ns0:f>IF('前提と出典'!$C$36+'前提と出典'!$C$38=0,0,'前提と出典'!$B$4*IF('前提と出典'!$B$20=0,MAX('前提と出典'!$B$6,D522*'前提と出典'!$B$5),'前提と出典'!$B$6+D522*'前提と出典'!$B$5))</ns0:f>
        <ns0:v>514365.3184357542</ns0:v>
      </ns0:c>
      <ns0:c r="P522" s="16">
        <ns0:f>(E522+G522)*(1-'前提と出典'!$B$7)-I522-K522-M522-O522</ns0:f>
        <ns0:v>1165722.1989399795</ns0:v>
      </ns0:c>
      <ns0:c r="Q522" s="16">
        <ns0:f>(F522+H522)*(1-'前提と出典'!$B$7)-J522-L522-N522</ns0:f>
        <ns0:v>439047.3549484621</ns0:v>
      </ns0:c>
      <ns0:c r="R522" s="16">
        <ns0:f>P522-E522*'前提と出典'!$E$4</ns0:f>
        <ns0:v>865031.7992837699</ns0:v>
      </ns0:c>
      <ns0:c r="S522" s="16">
        <ns0:f>Q522-F522*'前提と出典'!$E$4</ns0:f>
        <ns0:v>321037.29740245966</ns0:v>
      </ns0:c>
      <ns0:c r="T522" s="7">
        <ns0:f>R522+S522</ns0:f>
        <ns0:v>1186069.0966862296</ns0:v>
      </ns0:c>
      <ns0:c r="U522" s="16">
        <ns0:f>P522-E522*'前提と出典'!$E$5</ns0:f>
        <ns0:v>764801.6660650333</ns0:v>
      </ns0:c>
      <ns0:c r="V522" s="16">
        <ns0:f>Q522-F522*'前提と出典'!$E$5</ns0:f>
        <ns0:v>281700.61155379214</ns0:v>
      </ns0:c>
      <ns0:c r="W522" s="7">
        <ns0:f>U522+V522</ns0:f>
        <ns0:v>1046502.2776188254</ns0:v>
      </ns0:c>
      <ns0:c r="X522" s="16">
        <ns0:f>P522-E522*'前提と出典'!$E$6</ns0:f>
        <ns0:v>664571.5328462969</ns0:v>
      </ns0:c>
      <ns0:c r="Y522" s="16">
        <ns0:f>Q522-F522*'前提と出典'!$E$6</ns0:f>
        <ns0:v>242363.92570512474</ns0:v>
      </ns0:c>
      <ns0:c r="Z522" s="7">
        <ns0:f>X522+Y522</ns0:f>
        <ns0:v>906935.4585514216</ns0:v>
      </ns0:c>
      <ns0:c r="AA522" s="7">
        <ns0:f>IF(T522&gt;=0,A522,1001)</ns0:f>
        <ns0:v>518</ns0:v>
      </ns0:c>
      <ns0:c r="AB522" s="7">
        <ns0:f>IF(T522&lt;0,A522,0)</ns0:f>
        <ns0:v>0</ns0:v>
      </ns0:c>
      <ns0:c r="AC522" s="16">
        <ns0:f>IF(AND(OR('前提と出典'!$C$36+'前提と出典'!$C$38=0,R522&gt;=0),OR('前提と出典'!$C$37+'前提と出典'!$C$38=0,S522&gt;=0)),0,A522)</ns0:f>
        <ns0:v>0</ns0:v>
      </ns0:c>
      <ns0:c r="AD522" s="7">
        <ns0:f>IF(W522&gt;=0,A522,1001)</ns0:f>
        <ns0:v>518</ns0:v>
      </ns0:c>
      <ns0:c r="AE522" s="7">
        <ns0:f>IF(W522&lt;0,A522,0)</ns0:f>
        <ns0:v>0</ns0:v>
      </ns0:c>
      <ns0:c r="AF522" s="16">
        <ns0:f>IF(AND(OR('前提と出典'!$C$36+'前提と出典'!$C$38=0,U522&gt;=0),OR('前提と出典'!$C$37+'前提と出典'!$C$38=0,V522&gt;=0)),0,A522)</ns0:f>
        <ns0:v>0</ns0:v>
      </ns0:c>
      <ns0:c r="AG522" s="7">
        <ns0:f>IF(Z522&gt;=0,A522,1001)</ns0:f>
        <ns0:v>518</ns0:v>
      </ns0:c>
      <ns0:c r="AH522" s="4">
        <ns0:f>IF(Z522&lt;0,A522,0)</ns0:f>
        <ns0:v>0</ns0:v>
      </ns0:c>
      <ns0:c r="AI522" s="12">
        <ns0:f>IF(AND(OR('前提と出典'!$C$36+'前提と出典'!$C$38=0,X522&gt;=0),OR('前提と出典'!$C$37+'前提と出典'!$C$38=0,Y522&gt;=0)),0,A522)</ns0:f>
        <ns0:v>0</ns0:v>
      </ns0:c>
    </ns0:row>
    <ns0:row r="523" ht="24" customHeight="1">
      <ns0:c r="A523" s="4" t="n">
        <ns0:v>519</ns0:v>
      </ns0:c>
      <ns0:c r="B523" s="12">
        <ns0:f>A523*('前提と出典'!$C$36+'前提と出典'!$C$38)</ns0:f>
        <ns0:v>363.29999999999995</ns0:v>
      </ns0:c>
      <ns0:c r="C523" s="12">
        <ns0:f>A523*('前提と出典'!$C$37+'前提と出典'!$C$38)</ns0:f>
        <ns0:v>311.4</ns0:v>
      </ns0:c>
      <ns0:c r="D523" s="16">
        <ns0:f>A523*('前提と出典'!$C$36*'契約別単価'!C5+'前提と出典'!$C$37*'契約別単価'!C6+'前提と出典'!$C$38*'契約別単価'!C7)</ns0:f>
        <ns0:v>3734.4804469273745</ns0:v>
      </ns0:c>
      <ns0:c r="E523" s="16">
        <ns0:f>A523*('前提と出典'!$C$36*'契約別単価'!E5+'前提と出典'!$C$37*'契約別単価'!E6+'前提と出典'!$C$38*'契約別単価'!E7)</ns0:f>
        <ns0:v>1004236.2768440979</ns0:v>
      </ns0:c>
      <ns0:c r="F523" s="16">
        <ns0:f>A523*('前提と出典'!$C$36*'契約別単価'!F5+'前提と出典'!$C$37*'契約別単価'!F6+'前提と出典'!$C$38*'契約別単価'!F7)</ns0:f>
        <ns0:v>394126.25396637886</ns0:v>
      </ns0:c>
      <ns0:c r="G523" s="16">
        <ns0:f>A523*('前提と出典'!$C$36*'契約別単価'!G5+'前提と出典'!$C$37*'契約別単価'!G6+'前提と出典'!$C$38*'契約別単価'!G7)</ns0:f>
        <ns0:v>1033070.9497206704</ns0:v>
      </ns0:c>
      <ns0:c r="H523" s="16">
        <ns0:f>A523*('前提と出典'!$C$36*'契約別単価'!H5+'前提と出典'!$C$37*'契約別単価'!H6+'前提と出典'!$C$38*'契約別単価'!H7)</ns0:f>
        <ns0:v>358527.4321327306</ns0:v>
      </ns0:c>
      <ns0:c r="I523" s="16">
        <ns0:f>A523*('前提と出典'!$C$36*'契約別単価'!I5+'前提と出典'!$C$37*'契約別単価'!I6+'前提と出典'!$C$38*'契約別単価'!I7)</ns0:f>
        <ns0:v>21899.48044692737</ns0:v>
      </ns0:c>
      <ns0:c r="J523" s="16">
        <ns0:f>A523*('前提と出典'!$C$36*'契約別単価'!J5+'前提と出典'!$C$37*'契約別単価'!J6+'前提と出典'!$C$38*'契約別単価'!J7)</ns0:f>
        <ns0:v>51012.273185647035</ns0:v>
      </ns0:c>
      <ns0:c r="K523" s="16">
        <ns0:f>A523*('前提と出典'!$C$36*'契約別単価'!K5+'前提と出典'!$C$37*'契約別単価'!K6+'前提と出典'!$C$38*'契約別単価'!K7)</ns0:f>
        <ns0:v>218656.53631284914</ns0:v>
      </ns0:c>
      <ns0:c r="L523" s="16">
        <ns0:f>A523*('前提と出典'!$C$36*'契約別単価'!L5+'前提と出典'!$C$37*'契約別単価'!L6+'前提と出典'!$C$38*'契約別単価'!L7)</ns0:f>
        <ns0:v>178030.91440442434</ns0:v>
      </ns0:c>
      <ns0:c r="M523" s="16">
        <ns0:f>IF(('前提と出典'!$C$36+'前提と出典'!$C$38)=0,0,IF(B523&lt;=10,'前提と出典'!B73+'前提と出典'!C73,IF(B523&lt;=100,'前提と出典'!B74+'前提と出典'!C74,IF(B523&lt;=500,'前提と出典'!B75+'前提と出典'!C75,'前提と出典'!B76+'前提と出典'!C76))))</ns0:f>
        <ns0:v>40000</ns0:v>
      </ns0:c>
      <ns0:c r="N523" s="16">
        <ns0:f>IF(('前提と出典'!$C$37+'前提と出典'!$C$38)=0,0,IF(C523&lt;=10,'前提と出典'!D73+'前提と出典'!E73,IF(C523&lt;=100,'前提と出典'!D74+'前提と出典'!E74,IF(C523&lt;=500,'前提と出典'!D75+'前提と出典'!E75,'前提と出典'!D76+'前提と出典'!E76))))</ns0:f>
        <ns0:v>56510.9346263078</ns0:v>
      </ns0:c>
      <ns0:c r="O523" s="16">
        <ns0:f>IF('前提と出典'!$C$36+'前提と出典'!$C$38=0,0,'前提と出典'!$B$4*IF('前提と出典'!$B$20=0,MAX('前提と出典'!$B$6,D523*'前提と出典'!$B$5),'前提と出典'!$B$6+D523*'前提と出典'!$B$5))</ns0:f>
        <ns0:v>515358.30167597765</ns0:v>
      </ns0:c>
      <ns0:c r="P523" s="16">
        <ns0:f>(E523+G523)*(1-'前提と出典'!$B$7)-I523-K523-M523-O523</ns0:f>
        <ns0:v>1168049.8479726824</ns0:v>
      </ns0:c>
      <ns0:c r="Q523" s="16">
        <ns0:f>(F523+H523)*(1-'前提と出典'!$B$7)-J523-L523-N523</ns0:f>
        <ns0:v>440004.03118316235</ns0:v>
      </ns0:c>
      <ns0:c r="R523" s="16">
        <ns0:f>P523-E523*'前提と出典'!$E$4</ns0:f>
        <ns0:v>866778.964919453</ns0:v>
      </ns0:c>
      <ns0:c r="S523" s="16">
        <ns0:f>Q523-F523*'前提と出典'!$E$4</ns0:f>
        <ns0:v>321766.15499324864</ns0:v>
      </ns0:c>
      <ns0:c r="T523" s="7">
        <ns0:f>R523+S523</ns0:f>
        <ns0:v>1188545.1199127017</ns0:v>
      </ns0:c>
      <ns0:c r="U523" s="16">
        <ns0:f>P523-E523*'前提と出典'!$E$5</ns0:f>
        <ns0:v>766355.3372350433</ns0:v>
      </ns0:c>
      <ns0:c r="V523" s="16">
        <ns0:f>Q523-F523*'前提と出典'!$E$5</ns0:f>
        <ns0:v>282353.5295966108</ns0:v>
      </ns0:c>
      <ns0:c r="W523" s="7">
        <ns0:f>U523+V523</ns0:f>
        <ns0:v>1048708.8668316542</ns0:v>
      </ns0:c>
      <ns0:c r="X523" s="16">
        <ns0:f>P523-E523*'前提と出典'!$E$6</ns0:f>
        <ns0:v>665931.7095506336</ns0:v>
      </ns0:c>
      <ns0:c r="Y523" s="16">
        <ns0:f>Q523-F523*'前提と出典'!$E$6</ns0:f>
        <ns0:v>242940.90419997287</ns0:v>
      </ns0:c>
      <ns0:c r="Z523" s="7">
        <ns0:f>X523+Y523</ns0:f>
        <ns0:v>908872.6137506064</ns0:v>
      </ns0:c>
      <ns0:c r="AA523" s="7">
        <ns0:f>IF(T523&gt;=0,A523,1001)</ns0:f>
        <ns0:v>519</ns0:v>
      </ns0:c>
      <ns0:c r="AB523" s="7">
        <ns0:f>IF(T523&lt;0,A523,0)</ns0:f>
        <ns0:v>0</ns0:v>
      </ns0:c>
      <ns0:c r="AC523" s="16">
        <ns0:f>IF(AND(OR('前提と出典'!$C$36+'前提と出典'!$C$38=0,R523&gt;=0),OR('前提と出典'!$C$37+'前提と出典'!$C$38=0,S523&gt;=0)),0,A523)</ns0:f>
        <ns0:v>0</ns0:v>
      </ns0:c>
      <ns0:c r="AD523" s="7">
        <ns0:f>IF(W523&gt;=0,A523,1001)</ns0:f>
        <ns0:v>519</ns0:v>
      </ns0:c>
      <ns0:c r="AE523" s="7">
        <ns0:f>IF(W523&lt;0,A523,0)</ns0:f>
        <ns0:v>0</ns0:v>
      </ns0:c>
      <ns0:c r="AF523" s="16">
        <ns0:f>IF(AND(OR('前提と出典'!$C$36+'前提と出典'!$C$38=0,U523&gt;=0),OR('前提と出典'!$C$37+'前提と出典'!$C$38=0,V523&gt;=0)),0,A523)</ns0:f>
        <ns0:v>0</ns0:v>
      </ns0:c>
      <ns0:c r="AG523" s="7">
        <ns0:f>IF(Z523&gt;=0,A523,1001)</ns0:f>
        <ns0:v>519</ns0:v>
      </ns0:c>
      <ns0:c r="AH523" s="4">
        <ns0:f>IF(Z523&lt;0,A523,0)</ns0:f>
        <ns0:v>0</ns0:v>
      </ns0:c>
      <ns0:c r="AI523" s="12">
        <ns0:f>IF(AND(OR('前提と出典'!$C$36+'前提と出典'!$C$38=0,X523&gt;=0),OR('前提と出典'!$C$37+'前提と出典'!$C$38=0,Y523&gt;=0)),0,A523)</ns0:f>
        <ns0:v>0</ns0:v>
      </ns0:c>
    </ns0:row>
    <ns0:row r="524" ht="24" customHeight="1">
      <ns0:c r="A524" s="4" t="n">
        <ns0:v>520</ns0:v>
      </ns0:c>
      <ns0:c r="B524" s="12">
        <ns0:f>A524*('前提と出典'!$C$36+'前提と出典'!$C$38)</ns0:f>
        <ns0:v>364</ns0:v>
      </ns0:c>
      <ns0:c r="C524" s="12">
        <ns0:f>A524*('前提と出典'!$C$37+'前提と出典'!$C$38)</ns0:f>
        <ns0:v>312</ns0:v>
      </ns0:c>
      <ns0:c r="D524" s="16">
        <ns0:f>A524*('前提と出典'!$C$36*'契約別単価'!C5+'前提と出典'!$C$37*'契約別単価'!C6+'前提と出典'!$C$38*'契約別単価'!C7)</ns0:f>
        <ns0:v>3741.6759776536314</ns0:v>
      </ns0:c>
      <ns0:c r="E524" s="16">
        <ns0:f>A524*('前提と出典'!$C$36*'契約別単価'!E5+'前提と出典'!$C$37*'契約別単価'!E6+'前提と出典'!$C$38*'契約別単価'!E7)</ns0:f>
        <ns0:v>1006171.2215008303</ns0:v>
      </ns0:c>
      <ns0:c r="F524" s="16">
        <ns0:f>A524*('前提と出典'!$C$36*'契約別単価'!F5+'前提と出典'!$C$37*'契約別単価'!F6+'前提と出典'!$C$38*'契約別単価'!F7)</ns0:f>
        <ns0:v>394885.6494460829</ns0:v>
      </ns0:c>
      <ns0:c r="G524" s="16">
        <ns0:f>A524*('前提と出典'!$C$36*'契約別単価'!G5+'前提と出典'!$C$37*'契約別単価'!G6+'前提と出典'!$C$38*'契約別単価'!G7)</ns0:f>
        <ns0:v>1035061.4525139665</ns0:v>
      </ns0:c>
      <ns0:c r="H524" s="16">
        <ns0:f>A524*('前提と出典'!$C$36*'契約別単価'!H5+'前提と出典'!$C$37*'契約別単価'!H6+'前提と出典'!$C$38*'契約別単価'!H7)</ns0:f>
        <ns0:v>359218.2364335644</ns0:v>
      </ns0:c>
      <ns0:c r="I524" s="16">
        <ns0:f>A524*('前提と出典'!$C$36*'契約別単価'!I5+'前提と出典'!$C$37*'契約別単価'!I6+'前提と出典'!$C$38*'契約別単価'!I7)</ns0:f>
        <ns0:v>21941.675977653627</ns0:v>
      </ns0:c>
      <ns0:c r="J524" s="16">
        <ns0:f>A524*('前提と出典'!$C$36*'契約別単価'!J5+'前提と出典'!$C$37*'契約別単価'!J6+'前提と出典'!$C$38*'契約別単価'!J7)</ns0:f>
        <ns0:v>51110.562729357334</ns0:v>
      </ns0:c>
      <ns0:c r="K524" s="16">
        <ns0:f>A524*('前提と出典'!$C$36*'契約別単価'!K5+'前提と出典'!$C$37*'契約別単価'!K6+'前提と出典'!$C$38*'契約別単価'!K7)</ns0:f>
        <ns0:v>219077.83985102418</ns0:v>
      </ns0:c>
      <ns0:c r="L524" s="16">
        <ns0:f>A524*('前提と出典'!$C$36*'契約別単価'!L5+'前提と出典'!$C$37*'契約別単価'!L6+'前提と出典'!$C$38*'契約別単価'!L7)</ns0:f>
        <ns0:v>178373.94121445215</ns0:v>
      </ns0:c>
      <ns0:c r="M524" s="16">
        <ns0:f>IF(('前提と出典'!$C$36+'前提と出典'!$C$38)=0,0,IF(B524&lt;=10,'前提と出典'!B73+'前提と出典'!C73,IF(B524&lt;=100,'前提と出典'!B74+'前提と出典'!C74,IF(B524&lt;=500,'前提と出典'!B75+'前提と出典'!C75,'前提と出典'!B76+'前提と出典'!C76))))</ns0:f>
        <ns0:v>40000</ns0:v>
      </ns0:c>
      <ns0:c r="N524" s="16">
        <ns0:f>IF(('前提と出典'!$C$37+'前提と出典'!$C$38)=0,0,IF(C524&lt;=10,'前提と出典'!D73+'前提と出典'!E73,IF(C524&lt;=100,'前提と出典'!D74+'前提と出典'!E74,IF(C524&lt;=500,'前提と出典'!D75+'前提と出典'!E75,'前提と出典'!D76+'前提と出典'!E76))))</ns0:f>
        <ns0:v>56510.9346263078</ns0:v>
      </ns0:c>
      <ns0:c r="O524" s="16">
        <ns0:f>IF('前提と出典'!$C$36+'前提と出典'!$C$38=0,0,'前提と出典'!$B$4*IF('前提と出典'!$B$20=0,MAX('前提と出典'!$B$6,D524*'前提と出典'!$B$5),'前提と出典'!$B$6+D524*'前提と出典'!$B$5))</ns0:f>
        <ns0:v>516351.28491620114</ns0:v>
      </ns0:c>
      <ns0:c r="P524" s="16">
        <ns0:f>(E524+G524)*(1-'前提と出典'!$B$7)-I524-K524-M524-O524</ns0:f>
        <ns0:v>1170377.4970053853</ns0:v>
      </ns0:c>
      <ns0:c r="Q524" s="16">
        <ns0:f>(F524+H524)*(1-'前提と出典'!$B$7)-J524-L524-N524</ns0:f>
        <ns0:v>440960.7074178627</ns0:v>
      </ns0:c>
      <ns0:c r="R524" s="16">
        <ns0:f>P524-E524*'前提と出典'!$E$4</ns0:f>
        <ns0:v>868526.1305551364</ns0:v>
      </ns0:c>
      <ns0:c r="S524" s="16">
        <ns0:f>Q524-F524*'前提と出典'!$E$4</ns0:f>
        <ns0:v>322495.01258403773</ns0:v>
      </ns0:c>
      <ns0:c r="T524" s="7">
        <ns0:f>R524+S524</ns0:f>
        <ns0:v>1191021.1431391742</ns0:v>
      </ns0:c>
      <ns0:c r="U524" s="16">
        <ns0:f>P524-E524*'前提と出典'!$E$5</ns0:f>
        <ns0:v>767909.0084050533</ns0:v>
      </ns0:c>
      <ns0:c r="V524" s="16">
        <ns0:f>Q524-F524*'前提と出典'!$E$5</ns0:f>
        <ns0:v>283006.44763942953</ns0:v>
      </ns0:c>
      <ns0:c r="W524" s="7">
        <ns0:f>U524+V524</ns0:f>
        <ns0:v>1050915.4560444828</ns0:v>
      </ns0:c>
      <ns0:c r="X524" s="16">
        <ns0:f>P524-E524*'前提と出典'!$E$6</ns0:f>
        <ns0:v>667291.8862549702</ns0:v>
      </ns0:c>
      <ns0:c r="Y524" s="16">
        <ns0:f>Q524-F524*'前提と出典'!$E$6</ns0:f>
        <ns0:v>243517.88269482128</ns0:v>
      </ns0:c>
      <ns0:c r="Z524" s="7">
        <ns0:f>X524+Y524</ns0:f>
        <ns0:v>910809.7689497916</ns0:v>
      </ns0:c>
      <ns0:c r="AA524" s="7">
        <ns0:f>IF(T524&gt;=0,A524,1001)</ns0:f>
        <ns0:v>520</ns0:v>
      </ns0:c>
      <ns0:c r="AB524" s="7">
        <ns0:f>IF(T524&lt;0,A524,0)</ns0:f>
        <ns0:v>0</ns0:v>
      </ns0:c>
      <ns0:c r="AC524" s="16">
        <ns0:f>IF(AND(OR('前提と出典'!$C$36+'前提と出典'!$C$38=0,R524&gt;=0),OR('前提と出典'!$C$37+'前提と出典'!$C$38=0,S524&gt;=0)),0,A524)</ns0:f>
        <ns0:v>0</ns0:v>
      </ns0:c>
      <ns0:c r="AD524" s="7">
        <ns0:f>IF(W524&gt;=0,A524,1001)</ns0:f>
        <ns0:v>520</ns0:v>
      </ns0:c>
      <ns0:c r="AE524" s="7">
        <ns0:f>IF(W524&lt;0,A524,0)</ns0:f>
        <ns0:v>0</ns0:v>
      </ns0:c>
      <ns0:c r="AF524" s="16">
        <ns0:f>IF(AND(OR('前提と出典'!$C$36+'前提と出典'!$C$38=0,U524&gt;=0),OR('前提と出典'!$C$37+'前提と出典'!$C$38=0,V524&gt;=0)),0,A524)</ns0:f>
        <ns0:v>0</ns0:v>
      </ns0:c>
      <ns0:c r="AG524" s="7">
        <ns0:f>IF(Z524&gt;=0,A524,1001)</ns0:f>
        <ns0:v>520</ns0:v>
      </ns0:c>
      <ns0:c r="AH524" s="4">
        <ns0:f>IF(Z524&lt;0,A524,0)</ns0:f>
        <ns0:v>0</ns0:v>
      </ns0:c>
      <ns0:c r="AI524" s="12">
        <ns0:f>IF(AND(OR('前提と出典'!$C$36+'前提と出典'!$C$38=0,X524&gt;=0),OR('前提と出典'!$C$37+'前提と出典'!$C$38=0,Y524&gt;=0)),0,A524)</ns0:f>
        <ns0:v>0</ns0:v>
      </ns0:c>
    </ns0:row>
    <ns0:row r="525" ht="24" customHeight="1">
      <ns0:c r="A525" s="4" t="n">
        <ns0:v>521</ns0:v>
      </ns0:c>
      <ns0:c r="B525" s="12">
        <ns0:f>A525*('前提と出典'!$C$36+'前提と出典'!$C$38)</ns0:f>
        <ns0:v>364.7</ns0:v>
      </ns0:c>
      <ns0:c r="C525" s="12">
        <ns0:f>A525*('前提と出典'!$C$37+'前提と出典'!$C$38)</ns0:f>
        <ns0:v>312.59999999999997</ns0:v>
      </ns0:c>
      <ns0:c r="D525" s="16">
        <ns0:f>A525*('前提と出典'!$C$36*'契約別単価'!C5+'前提と出典'!$C$37*'契約別単価'!C6+'前提と出典'!$C$38*'契約別単価'!C7)</ns0:f>
        <ns0:v>3748.8715083798884</ns0:v>
      </ns0:c>
      <ns0:c r="E525" s="16">
        <ns0:f>A525*('前提と出典'!$C$36*'契約別単価'!E5+'前提と出典'!$C$37*'契約別単価'!E6+'前提と出典'!$C$38*'契約別単価'!E7)</ns0:f>
        <ns0:v>1008106.1661575626</ns0:v>
      </ns0:c>
      <ns0:c r="F525" s="16">
        <ns0:f>A525*('前提と出典'!$C$36*'契約別単価'!F5+'前提と出典'!$C$37*'契約別単価'!F6+'前提と出典'!$C$38*'契約別単価'!F7)</ns0:f>
        <ns0:v>395645.0449257869</ns0:v>
      </ns0:c>
      <ns0:c r="G525" s="16">
        <ns0:f>A525*('前提と出典'!$C$36*'契約別単価'!G5+'前提と出典'!$C$37*'契約別単価'!G6+'前提と出典'!$C$38*'契約別単価'!G7)</ns0:f>
        <ns0:v>1037051.9553072625</ns0:v>
      </ns0:c>
      <ns0:c r="H525" s="16">
        <ns0:f>A525*('前提と出典'!$C$36*'契約別単価'!H5+'前提と出典'!$C$37*'契約別単価'!H6+'前提と出典'!$C$38*'契約別単価'!H7)</ns0:f>
        <ns0:v>359909.0407343982</ns0:v>
      </ns0:c>
      <ns0:c r="I525" s="16">
        <ns0:f>A525*('前提と出典'!$C$36*'契約別単価'!I5+'前提と出典'!$C$37*'契約別単価'!I6+'前提と出典'!$C$38*'契約別単価'!I7)</ns0:f>
        <ns0:v>21983.871508379885</ns0:v>
      </ns0:c>
      <ns0:c r="J525" s="16">
        <ns0:f>A525*('前提と出典'!$C$36*'契約別単価'!J5+'前提と出典'!$C$37*'契約別単価'!J6+'前提と出典'!$C$38*'契約別単価'!J7)</ns0:f>
        <ns0:v>51208.852273067634</ns0:v>
      </ns0:c>
      <ns0:c r="K525" s="16">
        <ns0:f>A525*('前提と出典'!$C$36*'契約別単価'!K5+'前提と出典'!$C$37*'契約別単価'!K6+'前提と出典'!$C$38*'契約別単価'!K7)</ns0:f>
        <ns0:v>219499.14338919925</ns0:v>
      </ns0:c>
      <ns0:c r="L525" s="16">
        <ns0:f>A525*('前提と出典'!$C$36*'契約別単価'!L5+'前提と出典'!$C$37*'契約別単価'!L6+'前提と出典'!$C$38*'契約別単価'!L7)</ns0:f>
        <ns0:v>178716.96802447992</ns0:v>
      </ns0:c>
      <ns0:c r="M525" s="16">
        <ns0:f>IF(('前提と出典'!$C$36+'前提と出典'!$C$38)=0,0,IF(B525&lt;=10,'前提と出典'!B73+'前提と出典'!C73,IF(B525&lt;=100,'前提と出典'!B74+'前提と出典'!C74,IF(B525&lt;=500,'前提と出典'!B75+'前提と出典'!C75,'前提と出典'!B76+'前提と出典'!C76))))</ns0:f>
        <ns0:v>40000</ns0:v>
      </ns0:c>
      <ns0:c r="N525" s="16">
        <ns0:f>IF(('前提と出典'!$C$37+'前提と出典'!$C$38)=0,0,IF(C525&lt;=10,'前提と出典'!D73+'前提と出典'!E73,IF(C525&lt;=100,'前提と出典'!D74+'前提と出典'!E74,IF(C525&lt;=500,'前提と出典'!D75+'前提と出典'!E75,'前提と出典'!D76+'前提と出典'!E76))))</ns0:f>
        <ns0:v>56510.9346263078</ns0:v>
      </ns0:c>
      <ns0:c r="O525" s="16">
        <ns0:f>IF('前提と出典'!$C$36+'前提と出典'!$C$38=0,0,'前提と出典'!$B$4*IF('前提と出典'!$B$20=0,MAX('前提と出典'!$B$6,D525*'前提と出典'!$B$5),'前提と出典'!$B$6+D525*'前提と出典'!$B$5))</ns0:f>
        <ns0:v>517344.26815642463</ns0:v>
      </ns0:c>
      <ns0:c r="P525" s="16">
        <ns0:f>(E525+G525)*(1-'前提と出典'!$B$7)-I525-K525-M525-O525</ns0:f>
        <ns0:v>1172705.1460380876</ns0:v>
      </ns0:c>
      <ns0:c r="Q525" s="16">
        <ns0:f>(F525+H525)*(1-'前提と出典'!$B$7)-J525-L525-N525</ns0:f>
        <ns0:v>441917.383652563</ns0:v>
      </ns0:c>
      <ns0:c r="R525" s="16">
        <ns0:f>P525-E525*'前提と出典'!$E$4</ns0:f>
        <ns0:v>870273.296190819</ns0:v>
      </ns0:c>
      <ns0:c r="S525" s="16">
        <ns0:f>Q525-F525*'前提と出典'!$E$4</ns0:f>
        <ns0:v>323223.87017482705</ns0:v>
      </ns0:c>
      <ns0:c r="T525" s="7">
        <ns0:f>R525+S525</ns0:f>
        <ns0:v>1193497.166365646</ns0:v>
      </ns0:c>
      <ns0:c r="U525" s="16">
        <ns0:f>P525-E525*'前提と出典'!$E$5</ns0:f>
        <ns0:v>769462.6795750626</ns0:v>
      </ns0:c>
      <ns0:c r="V525" s="16">
        <ns0:f>Q525-F525*'前提と出典'!$E$5</ns0:f>
        <ns0:v>283659.3656822482</ns0:v>
      </ns0:c>
      <ns0:c r="W525" s="7">
        <ns0:f>U525+V525</ns0:f>
        <ns0:v>1053122.0452573108</ns0:v>
      </ns0:c>
      <ns0:c r="X525" s="16">
        <ns0:f>P525-E525*'前提と出典'!$E$6</ns0:f>
        <ns0:v>668652.0629593064</ns0:v>
      </ns0:c>
      <ns0:c r="Y525" s="16">
        <ns0:f>Q525-F525*'前提と出典'!$E$6</ns0:f>
        <ns0:v>244094.86118966964</ns0:v>
      </ns0:c>
      <ns0:c r="Z525" s="7">
        <ns0:f>X525+Y525</ns0:f>
        <ns0:v>912746.9241489761</ns0:v>
      </ns0:c>
      <ns0:c r="AA525" s="7">
        <ns0:f>IF(T525&gt;=0,A525,1001)</ns0:f>
        <ns0:v>521</ns0:v>
      </ns0:c>
      <ns0:c r="AB525" s="7">
        <ns0:f>IF(T525&lt;0,A525,0)</ns0:f>
        <ns0:v>0</ns0:v>
      </ns0:c>
      <ns0:c r="AC525" s="16">
        <ns0:f>IF(AND(OR('前提と出典'!$C$36+'前提と出典'!$C$38=0,R525&gt;=0),OR('前提と出典'!$C$37+'前提と出典'!$C$38=0,S525&gt;=0)),0,A525)</ns0:f>
        <ns0:v>0</ns0:v>
      </ns0:c>
      <ns0:c r="AD525" s="7">
        <ns0:f>IF(W525&gt;=0,A525,1001)</ns0:f>
        <ns0:v>521</ns0:v>
      </ns0:c>
      <ns0:c r="AE525" s="7">
        <ns0:f>IF(W525&lt;0,A525,0)</ns0:f>
        <ns0:v>0</ns0:v>
      </ns0:c>
      <ns0:c r="AF525" s="16">
        <ns0:f>IF(AND(OR('前提と出典'!$C$36+'前提と出典'!$C$38=0,U525&gt;=0),OR('前提と出典'!$C$37+'前提と出典'!$C$38=0,V525&gt;=0)),0,A525)</ns0:f>
        <ns0:v>0</ns0:v>
      </ns0:c>
      <ns0:c r="AG525" s="7">
        <ns0:f>IF(Z525&gt;=0,A525,1001)</ns0:f>
        <ns0:v>521</ns0:v>
      </ns0:c>
      <ns0:c r="AH525" s="4">
        <ns0:f>IF(Z525&lt;0,A525,0)</ns0:f>
        <ns0:v>0</ns0:v>
      </ns0:c>
      <ns0:c r="AI525" s="12">
        <ns0:f>IF(AND(OR('前提と出典'!$C$36+'前提と出典'!$C$38=0,X525&gt;=0),OR('前提と出典'!$C$37+'前提と出典'!$C$38=0,Y525&gt;=0)),0,A525)</ns0:f>
        <ns0:v>0</ns0:v>
      </ns0:c>
    </ns0:row>
    <ns0:row r="526" ht="24" customHeight="1">
      <ns0:c r="A526" s="4" t="n">
        <ns0:v>522</ns0:v>
      </ns0:c>
      <ns0:c r="B526" s="12">
        <ns0:f>A526*('前提と出典'!$C$36+'前提と出典'!$C$38)</ns0:f>
        <ns0:v>365.4</ns0:v>
      </ns0:c>
      <ns0:c r="C526" s="12">
        <ns0:f>A526*('前提と出典'!$C$37+'前提と出典'!$C$38)</ns0:f>
        <ns0:v>313.2</ns0:v>
      </ns0:c>
      <ns0:c r="D526" s="16">
        <ns0:f>A526*('前提と出典'!$C$36*'契約別単価'!C5+'前提と出典'!$C$37*'契約別単価'!C6+'前提と出典'!$C$38*'契約別単価'!C7)</ns0:f>
        <ns0:v>3756.0670391061453</ns0:v>
      </ns0:c>
      <ns0:c r="E526" s="16">
        <ns0:f>A526*('前提と出典'!$C$36*'契約別単価'!E5+'前提と出典'!$C$37*'契約別単価'!E6+'前提と出典'!$C$38*'契約別単価'!E7)</ns0:f>
        <ns0:v>1010041.110814295</ns0:v>
      </ns0:c>
      <ns0:c r="F526" s="16">
        <ns0:f>A526*('前提と出典'!$C$36*'契約別単価'!F5+'前提と出典'!$C$37*'契約別単価'!F6+'前提と出典'!$C$38*'契約別単価'!F7)</ns0:f>
        <ns0:v>396404.44040549087</ns0:v>
      </ns0:c>
      <ns0:c r="G526" s="16">
        <ns0:f>A526*('前提と出典'!$C$36*'契約別単価'!G5+'前提と出典'!$C$37*'契約別単価'!G6+'前提と出典'!$C$38*'契約別単価'!G7)</ns0:f>
        <ns0:v>1039042.4581005586</ns0:v>
      </ns0:c>
      <ns0:c r="H526" s="16">
        <ns0:f>A526*('前提と出典'!$C$36*'契約別単価'!H5+'前提と出典'!$C$37*'契約別単価'!H6+'前提と出典'!$C$38*'契約別単価'!H7)</ns0:f>
        <ns0:v>360599.84503523196</ns0:v>
      </ns0:c>
      <ns0:c r="I526" s="16">
        <ns0:f>A526*('前提と出典'!$C$36*'契約別単価'!I5+'前提と出典'!$C$37*'契約別単価'!I6+'前提と出典'!$C$38*'契約別単価'!I7)</ns0:f>
        <ns0:v>22026.067039106143</ns0:v>
      </ns0:c>
      <ns0:c r="J526" s="16">
        <ns0:f>A526*('前提と出典'!$C$36*'契約別単価'!J5+'前提と出典'!$C$37*'契約別単価'!J6+'前提と出典'!$C$38*'契約別単価'!J7)</ns0:f>
        <ns0:v>51307.14181677794</ns0:v>
      </ns0:c>
      <ns0:c r="K526" s="16">
        <ns0:f>A526*('前提と出典'!$C$36*'契約別単価'!K5+'前提と出典'!$C$37*'契約別単価'!K6+'前提と出典'!$C$38*'契約別単価'!K7)</ns0:f>
        <ns0:v>219920.4469273743</ns0:v>
      </ns0:c>
      <ns0:c r="L526" s="16">
        <ns0:f>A526*('前提と出典'!$C$36*'契約別単価'!L5+'前提と出典'!$C$37*'契約別単価'!L6+'前提と出典'!$C$38*'契約別単価'!L7)</ns0:f>
        <ns0:v>179059.99483450773</ns0:v>
      </ns0:c>
      <ns0:c r="M526" s="16">
        <ns0:f>IF(('前提と出典'!$C$36+'前提と出典'!$C$38)=0,0,IF(B526&lt;=10,'前提と出典'!B73+'前提と出典'!C73,IF(B526&lt;=100,'前提と出典'!B74+'前提と出典'!C74,IF(B526&lt;=500,'前提と出典'!B75+'前提と出典'!C75,'前提と出典'!B76+'前提と出典'!C76))))</ns0:f>
        <ns0:v>40000</ns0:v>
      </ns0:c>
      <ns0:c r="N526" s="16">
        <ns0:f>IF(('前提と出典'!$C$37+'前提と出典'!$C$38)=0,0,IF(C526&lt;=10,'前提と出典'!D73+'前提と出典'!E73,IF(C526&lt;=100,'前提と出典'!D74+'前提と出典'!E74,IF(C526&lt;=500,'前提と出典'!D75+'前提と出典'!E75,'前提と出典'!D76+'前提と出典'!E76))))</ns0:f>
        <ns0:v>56510.9346263078</ns0:v>
      </ns0:c>
      <ns0:c r="O526" s="16">
        <ns0:f>IF('前提と出典'!$C$36+'前提と出典'!$C$38=0,0,'前提と出典'!$B$4*IF('前提と出典'!$B$20=0,MAX('前提と出典'!$B$6,D526*'前提と出典'!$B$5),'前提と出典'!$B$6+D526*'前提と出典'!$B$5))</ns0:f>
        <ns0:v>518337.2513966481</ns0:v>
      </ns0:c>
      <ns0:c r="P526" s="16">
        <ns0:f>(E526+G526)*(1-'前提と出典'!$B$7)-I526-K526-M526-O526</ns0:f>
        <ns0:v>1175032.7950707905</ns0:v>
      </ns0:c>
      <ns0:c r="Q526" s="16">
        <ns0:f>(F526+H526)*(1-'前提と出典'!$B$7)-J526-L526-N526</ns0:f>
        <ns0:v>442874.0598872634</ns0:v>
      </ns0:c>
      <ns0:c r="R526" s="16">
        <ns0:f>P526-E526*'前提と出典'!$E$4</ns0:f>
        <ns0:v>872020.4618265019</ns0:v>
      </ns0:c>
      <ns0:c r="S526" s="16">
        <ns0:f>Q526-F526*'前提と出典'!$E$4</ns0:f>
        <ns0:v>323952.72776561603</ns0:v>
      </ns0:c>
      <ns0:c r="T526" s="7">
        <ns0:f>R526+S526</ns0:f>
        <ns0:v>1195973.189592118</ns0:v>
      </ns0:c>
      <ns0:c r="U526" s="16">
        <ns0:f>P526-E526*'前提と出典'!$E$5</ns0:f>
        <ns0:v>771016.3507450724</ns0:v>
      </ns0:c>
      <ns0:c r="V526" s="16">
        <ns0:f>Q526-F526*'前提と出典'!$E$5</ns0:f>
        <ns0:v>284312.28372506704</ns0:v>
      </ns0:c>
      <ns0:c r="W526" s="7">
        <ns0:f>U526+V526</ns0:f>
        <ns0:v>1055328.6344701394</ns0:v>
      </ns0:c>
      <ns0:c r="X526" s="16">
        <ns0:f>P526-E526*'前提と出典'!$E$6</ns0:f>
        <ns0:v>670012.2396636431</ns0:v>
      </ns0:c>
      <ns0:c r="Y526" s="16">
        <ns0:f>Q526-F526*'前提と出典'!$E$6</ns0:f>
        <ns0:v>244671.83968451794</ns0:v>
      </ns0:c>
      <ns0:c r="Z526" s="7">
        <ns0:f>X526+Y526</ns0:f>
        <ns0:v>914684.079348161</ns0:v>
      </ns0:c>
      <ns0:c r="AA526" s="7">
        <ns0:f>IF(T526&gt;=0,A526,1001)</ns0:f>
        <ns0:v>522</ns0:v>
      </ns0:c>
      <ns0:c r="AB526" s="7">
        <ns0:f>IF(T526&lt;0,A526,0)</ns0:f>
        <ns0:v>0</ns0:v>
      </ns0:c>
      <ns0:c r="AC526" s="16">
        <ns0:f>IF(AND(OR('前提と出典'!$C$36+'前提と出典'!$C$38=0,R526&gt;=0),OR('前提と出典'!$C$37+'前提と出典'!$C$38=0,S526&gt;=0)),0,A526)</ns0:f>
        <ns0:v>0</ns0:v>
      </ns0:c>
      <ns0:c r="AD526" s="7">
        <ns0:f>IF(W526&gt;=0,A526,1001)</ns0:f>
        <ns0:v>522</ns0:v>
      </ns0:c>
      <ns0:c r="AE526" s="7">
        <ns0:f>IF(W526&lt;0,A526,0)</ns0:f>
        <ns0:v>0</ns0:v>
      </ns0:c>
      <ns0:c r="AF526" s="16">
        <ns0:f>IF(AND(OR('前提と出典'!$C$36+'前提と出典'!$C$38=0,U526&gt;=0),OR('前提と出典'!$C$37+'前提と出典'!$C$38=0,V526&gt;=0)),0,A526)</ns0:f>
        <ns0:v>0</ns0:v>
      </ns0:c>
      <ns0:c r="AG526" s="7">
        <ns0:f>IF(Z526&gt;=0,A526,1001)</ns0:f>
        <ns0:v>522</ns0:v>
      </ns0:c>
      <ns0:c r="AH526" s="4">
        <ns0:f>IF(Z526&lt;0,A526,0)</ns0:f>
        <ns0:v>0</ns0:v>
      </ns0:c>
      <ns0:c r="AI526" s="12">
        <ns0:f>IF(AND(OR('前提と出典'!$C$36+'前提と出典'!$C$38=0,X526&gt;=0),OR('前提と出典'!$C$37+'前提と出典'!$C$38=0,Y526&gt;=0)),0,A526)</ns0:f>
        <ns0:v>0</ns0:v>
      </ns0:c>
    </ns0:row>
    <ns0:row r="527" ht="24" customHeight="1">
      <ns0:c r="A527" s="4" t="n">
        <ns0:v>523</ns0:v>
      </ns0:c>
      <ns0:c r="B527" s="12">
        <ns0:f>A527*('前提と出典'!$C$36+'前提と出典'!$C$38)</ns0:f>
        <ns0:v>366.09999999999997</ns0:v>
      </ns0:c>
      <ns0:c r="C527" s="12">
        <ns0:f>A527*('前提と出典'!$C$37+'前提と出典'!$C$38)</ns0:f>
        <ns0:v>313.8</ns0:v>
      </ns0:c>
      <ns0:c r="D527" s="16">
        <ns0:f>A527*('前提と出典'!$C$36*'契約別単価'!C5+'前提と出典'!$C$37*'契約別単価'!C6+'前提と出典'!$C$38*'契約別単価'!C7)</ns0:f>
        <ns0:v>3763.2625698324023</ns0:v>
      </ns0:c>
      <ns0:c r="E527" s="16">
        <ns0:f>A527*('前提と出典'!$C$36*'契約別単価'!E5+'前提と出典'!$C$37*'契約別単価'!E6+'前提と出典'!$C$38*'契約別単価'!E7)</ns0:f>
        <ns0:v>1011976.0554710274</ns0:v>
      </ns0:c>
      <ns0:c r="F527" s="16">
        <ns0:f>A527*('前提と出典'!$C$36*'契約別単価'!F5+'前提と出典'!$C$37*'契約別単価'!F6+'前提と出典'!$C$38*'契約別単価'!F7)</ns0:f>
        <ns0:v>397163.8358851949</ns0:v>
      </ns0:c>
      <ns0:c r="G527" s="16">
        <ns0:f>A527*('前提と出典'!$C$36*'契約別単価'!G5+'前提と出典'!$C$37*'契約別単価'!G6+'前提と出典'!$C$38*'契約別単価'!G7)</ns0:f>
        <ns0:v>1041032.9608938547</ns0:v>
      </ns0:c>
      <ns0:c r="H527" s="16">
        <ns0:f>A527*('前提と出典'!$C$36*'契約別単価'!H5+'前提と出典'!$C$37*'契約別単価'!H6+'前提と出典'!$C$38*'契約別単価'!H7)</ns0:f>
        <ns0:v>361290.64933606575</ns0:v>
      </ns0:c>
      <ns0:c r="I527" s="16">
        <ns0:f>A527*('前提と出典'!$C$36*'契約別単価'!I5+'前提と出典'!$C$37*'契約別単価'!I6+'前提と出典'!$C$38*'契約別単価'!I7)</ns0:f>
        <ns0:v>22068.262569832397</ns0:v>
      </ns0:c>
      <ns0:c r="J527" s="16">
        <ns0:f>A527*('前提と出典'!$C$36*'契約別単価'!J5+'前提と出典'!$C$37*'契約別単価'!J6+'前提と出典'!$C$38*'契約別単価'!J7)</ns0:f>
        <ns0:v>51405.43136048824</ns0:v>
      </ns0:c>
      <ns0:c r="K527" s="16">
        <ns0:f>A527*('前提と出典'!$C$36*'契約別単価'!K5+'前提と出典'!$C$37*'契約別単価'!K6+'前提と出典'!$C$38*'契約別単価'!K7)</ns0:f>
        <ns0:v>220341.75046554932</ns0:v>
      </ns0:c>
      <ns0:c r="L527" s="16">
        <ns0:f>A527*('前提と出典'!$C$36*'契約別単価'!L5+'前提と出典'!$C$37*'契約別単価'!L6+'前提と出典'!$C$38*'契約別単価'!L7)</ns0:f>
        <ns0:v>179403.02164453553</ns0:v>
      </ns0:c>
      <ns0:c r="M527" s="16">
        <ns0:f>IF(('前提と出典'!$C$36+'前提と出典'!$C$38)=0,0,IF(B527&lt;=10,'前提と出典'!B73+'前提と出典'!C73,IF(B527&lt;=100,'前提と出典'!B74+'前提と出典'!C74,IF(B527&lt;=500,'前提と出典'!B75+'前提と出典'!C75,'前提と出典'!B76+'前提と出典'!C76))))</ns0:f>
        <ns0:v>40000</ns0:v>
      </ns0:c>
      <ns0:c r="N527" s="16">
        <ns0:f>IF(('前提と出典'!$C$37+'前提と出典'!$C$38)=0,0,IF(C527&lt;=10,'前提と出典'!D73+'前提と出典'!E73,IF(C527&lt;=100,'前提と出典'!D74+'前提と出典'!E74,IF(C527&lt;=500,'前提と出典'!D75+'前提と出典'!E75,'前提と出典'!D76+'前提と出典'!E76))))</ns0:f>
        <ns0:v>56510.9346263078</ns0:v>
      </ns0:c>
      <ns0:c r="O527" s="16">
        <ns0:f>IF('前提と出典'!$C$36+'前提と出典'!$C$38=0,0,'前提と出典'!$B$4*IF('前提と出典'!$B$20=0,MAX('前提と出典'!$B$6,D527*'前提と出典'!$B$5),'前提と出典'!$B$6+D527*'前提と出典'!$B$5))</ns0:f>
        <ns0:v>519330.23463687155</ns0:v>
      </ns0:c>
      <ns0:c r="P527" s="16">
        <ns0:f>(E527+G527)*(1-'前提と出典'!$B$7)-I527-K527-M527-O527</ns0:f>
        <ns0:v>1177360.4441034931</ns0:v>
      </ns0:c>
      <ns0:c r="Q527" s="16">
        <ns0:f>(F527+H527)*(1-'前提と出典'!$B$7)-J527-L527-N527</ns0:f>
        <ns0:v>443830.7361219637</ns0:v>
      </ns0:c>
      <ns0:c r="R527" s="16">
        <ns0:f>P527-E527*'前提と出典'!$E$4</ns0:f>
        <ns0:v>873767.627462185</ns0:v>
      </ns0:c>
      <ns0:c r="S527" s="16">
        <ns0:f>Q527-F527*'前提と出典'!$E$4</ns0:f>
        <ns0:v>324681.5853564052</ns0:v>
      </ns0:c>
      <ns0:c r="T527" s="7">
        <ns0:f>R527+S527</ns0:f>
        <ns0:v>1198449.2128185902</ns0:v>
      </ns0:c>
      <ns0:c r="U527" s="16">
        <ns0:f>P527-E527*'前提と出典'!$E$5</ns0:f>
        <ns0:v>772570.0219150821</ns0:v>
      </ns0:c>
      <ns0:c r="V527" s="16">
        <ns0:f>Q527-F527*'前提と出典'!$E$5</ns0:f>
        <ns0:v>284965.2017678857</ns0:v>
      </ns0:c>
      <ns0:c r="W527" s="7">
        <ns0:f>U527+V527</ns0:f>
        <ns0:v>1057535.223682968</ns0:v>
      </ns0:c>
      <ns0:c r="X527" s="16">
        <ns0:f>P527-E527*'前提と出典'!$E$6</ns0:f>
        <ns0:v>671372.4163679795</ns0:v>
      </ns0:c>
      <ns0:c r="Y527" s="16">
        <ns0:f>Q527-F527*'前提と出典'!$E$6</ns0:f>
        <ns0:v>245248.8181793663</ns0:v>
      </ns0:c>
      <ns0:c r="Z527" s="7">
        <ns0:f>X527+Y527</ns0:f>
        <ns0:v>916621.2345473458</ns0:v>
      </ns0:c>
      <ns0:c r="AA527" s="7">
        <ns0:f>IF(T527&gt;=0,A527,1001)</ns0:f>
        <ns0:v>523</ns0:v>
      </ns0:c>
      <ns0:c r="AB527" s="7">
        <ns0:f>IF(T527&lt;0,A527,0)</ns0:f>
        <ns0:v>0</ns0:v>
      </ns0:c>
      <ns0:c r="AC527" s="16">
        <ns0:f>IF(AND(OR('前提と出典'!$C$36+'前提と出典'!$C$38=0,R527&gt;=0),OR('前提と出典'!$C$37+'前提と出典'!$C$38=0,S527&gt;=0)),0,A527)</ns0:f>
        <ns0:v>0</ns0:v>
      </ns0:c>
      <ns0:c r="AD527" s="7">
        <ns0:f>IF(W527&gt;=0,A527,1001)</ns0:f>
        <ns0:v>523</ns0:v>
      </ns0:c>
      <ns0:c r="AE527" s="7">
        <ns0:f>IF(W527&lt;0,A527,0)</ns0:f>
        <ns0:v>0</ns0:v>
      </ns0:c>
      <ns0:c r="AF527" s="16">
        <ns0:f>IF(AND(OR('前提と出典'!$C$36+'前提と出典'!$C$38=0,U527&gt;=0),OR('前提と出典'!$C$37+'前提と出典'!$C$38=0,V527&gt;=0)),0,A527)</ns0:f>
        <ns0:v>0</ns0:v>
      </ns0:c>
      <ns0:c r="AG527" s="7">
        <ns0:f>IF(Z527&gt;=0,A527,1001)</ns0:f>
        <ns0:v>523</ns0:v>
      </ns0:c>
      <ns0:c r="AH527" s="4">
        <ns0:f>IF(Z527&lt;0,A527,0)</ns0:f>
        <ns0:v>0</ns0:v>
      </ns0:c>
      <ns0:c r="AI527" s="12">
        <ns0:f>IF(AND(OR('前提と出典'!$C$36+'前提と出典'!$C$38=0,X527&gt;=0),OR('前提と出典'!$C$37+'前提と出典'!$C$38=0,Y527&gt;=0)),0,A527)</ns0:f>
        <ns0:v>0</ns0:v>
      </ns0:c>
    </ns0:row>
    <ns0:row r="528" ht="24" customHeight="1">
      <ns0:c r="A528" s="4" t="n">
        <ns0:v>524</ns0:v>
      </ns0:c>
      <ns0:c r="B528" s="12">
        <ns0:f>A528*('前提と出典'!$C$36+'前提と出典'!$C$38)</ns0:f>
        <ns0:v>366.79999999999995</ns0:v>
      </ns0:c>
      <ns0:c r="C528" s="12">
        <ns0:f>A528*('前提と出典'!$C$37+'前提と出典'!$C$38)</ns0:f>
        <ns0:v>314.4</ns0:v>
      </ns0:c>
      <ns0:c r="D528" s="16">
        <ns0:f>A528*('前提と出典'!$C$36*'契約別単価'!C5+'前提と出典'!$C$37*'契約別単価'!C6+'前提と出典'!$C$38*'契約別単価'!C7)</ns0:f>
        <ns0:v>3770.458100558659</ns0:v>
      </ns0:c>
      <ns0:c r="E528" s="16">
        <ns0:f>A528*('前提と出典'!$C$36*'契約別単価'!E5+'前提と出典'!$C$37*'契約別単価'!E6+'前提と出典'!$C$38*'契約別単価'!E7)</ns0:f>
        <ns0:v>1013911.0001277598</ns0:v>
      </ns0:c>
      <ns0:c r="F528" s="16">
        <ns0:f>A528*('前提と出典'!$C$36*'契約別単価'!F5+'前提と出典'!$C$37*'契約別単価'!F6+'前提と出典'!$C$38*'契約別単価'!F7)</ns0:f>
        <ns0:v>397923.2313648989</ns0:v>
      </ns0:c>
      <ns0:c r="G528" s="16">
        <ns0:f>A528*('前提と出典'!$C$36*'契約別単価'!G5+'前提と出典'!$C$37*'契約別単価'!G6+'前提と出典'!$C$38*'契約別単価'!G7)</ns0:f>
        <ns0:v>1043023.4636871507</ns0:v>
      </ns0:c>
      <ns0:c r="H528" s="16">
        <ns0:f>A528*('前提と出典'!$C$36*'契約別単価'!H5+'前提と出典'!$C$37*'契約別単価'!H6+'前提と出典'!$C$38*'契約別単価'!H7)</ns0:f>
        <ns0:v>361981.45363689953</ns0:v>
      </ns0:c>
      <ns0:c r="I528" s="16">
        <ns0:f>A528*('前提と出典'!$C$36*'契約別単価'!I5+'前提と出典'!$C$37*'契約別単価'!I6+'前提と出典'!$C$38*'契約別単価'!I7)</ns0:f>
        <ns0:v>22110.458100558655</ns0:v>
      </ns0:c>
      <ns0:c r="J528" s="16">
        <ns0:f>A528*('前提と出典'!$C$36*'契約別単価'!J5+'前提と出典'!$C$37*'契約別単価'!J6+'前提と出典'!$C$38*'契約別単価'!J7)</ns0:f>
        <ns0:v>51503.72090419855</ns0:v>
      </ns0:c>
      <ns0:c r="K528" s="16">
        <ns0:f>A528*('前提と出典'!$C$36*'契約別単価'!K5+'前提と出典'!$C$37*'契約別単価'!K6+'前提と出典'!$C$38*'契約別単価'!K7)</ns0:f>
        <ns0:v>220763.0540037244</ns0:v>
      </ns0:c>
      <ns0:c r="L528" s="16">
        <ns0:f>A528*('前提と出典'!$C$36*'契約別単価'!L5+'前提と出典'!$C$37*'契約別単価'!L6+'前提と出典'!$C$38*'契約別単価'!L7)</ns0:f>
        <ns0:v>179746.0484545633</ns0:v>
      </ns0:c>
      <ns0:c r="M528" s="16">
        <ns0:f>IF(('前提と出典'!$C$36+'前提と出典'!$C$38)=0,0,IF(B528&lt;=10,'前提と出典'!B73+'前提と出典'!C73,IF(B528&lt;=100,'前提と出典'!B74+'前提と出典'!C74,IF(B528&lt;=500,'前提と出典'!B75+'前提と出典'!C75,'前提と出典'!B76+'前提と出典'!C76))))</ns0:f>
        <ns0:v>40000</ns0:v>
      </ns0:c>
      <ns0:c r="N528" s="16">
        <ns0:f>IF(('前提と出典'!$C$37+'前提と出典'!$C$38)=0,0,IF(C528&lt;=10,'前提と出典'!D73+'前提と出典'!E73,IF(C528&lt;=100,'前提と出典'!D74+'前提と出典'!E74,IF(C528&lt;=500,'前提と出典'!D75+'前提と出典'!E75,'前提と出典'!D76+'前提と出典'!E76))))</ns0:f>
        <ns0:v>56510.9346263078</ns0:v>
      </ns0:c>
      <ns0:c r="O528" s="16">
        <ns0:f>IF('前提と出典'!$C$36+'前提と出典'!$C$38=0,0,'前提と出典'!$B$4*IF('前提と出典'!$B$20=0,MAX('前提と出典'!$B$6,D528*'前提と出典'!$B$5),'前提と出典'!$B$6+D528*'前提と出典'!$B$5))</ns0:f>
        <ns0:v>520323.217877095</ns0:v>
      </ns0:c>
      <ns0:c r="P528" s="16">
        <ns0:f>(E528+G528)*(1-'前提と出典'!$B$7)-I528-K528-M528-O528</ns0:f>
        <ns0:v>1179688.0931361956</ns0:v>
      </ns0:c>
      <ns0:c r="Q528" s="16">
        <ns0:f>(F528+H528)*(1-'前提と出典'!$B$7)-J528-L528-N528</ns0:f>
        <ns0:v>444787.4123566641</ns0:v>
      </ns0:c>
      <ns0:c r="R528" s="16">
        <ns0:f>P528-E528*'前提と出典'!$E$4</ns0:f>
        <ns0:v>875514.7930978677</ns0:v>
      </ns0:c>
      <ns0:c r="S528" s="16">
        <ns0:f>Q528-F528*'前提と出典'!$E$4</ns0:f>
        <ns0:v>325410.4429471944</ns0:v>
      </ns0:c>
      <ns0:c r="T528" s="7">
        <ns0:f>R528+S528</ns0:f>
        <ns0:v>1200925.236045062</ns0:v>
      </ns0:c>
      <ns0:c r="U528" s="16">
        <ns0:f>P528-E528*'前提と出典'!$E$5</ns0:f>
        <ns0:v>774123.6930850918</ns0:v>
      </ns0:c>
      <ns0:c r="V528" s="16">
        <ns0:f>Q528-F528*'前提と出典'!$E$5</ns0:f>
        <ns0:v>285618.1198107045</ns0:v>
      </ns0:c>
      <ns0:c r="W528" s="7">
        <ns0:f>U528+V528</ns0:f>
        <ns0:v>1059741.8128957963</ns0:v>
      </ns0:c>
      <ns0:c r="X528" s="16">
        <ns0:f>P528-E528*'前提と出典'!$E$6</ns0:f>
        <ns0:v>672732.5930723158</ns0:v>
      </ns0:c>
      <ns0:c r="Y528" s="16">
        <ns0:f>Q528-F528*'前提と出典'!$E$6</ns0:f>
        <ns0:v>245825.79667421465</ns0:v>
      </ns0:c>
      <ns0:c r="Z528" s="7">
        <ns0:f>X528+Y528</ns0:f>
        <ns0:v>918558.3897465304</ns0:v>
      </ns0:c>
      <ns0:c r="AA528" s="7">
        <ns0:f>IF(T528&gt;=0,A528,1001)</ns0:f>
        <ns0:v>524</ns0:v>
      </ns0:c>
      <ns0:c r="AB528" s="7">
        <ns0:f>IF(T528&lt;0,A528,0)</ns0:f>
        <ns0:v>0</ns0:v>
      </ns0:c>
      <ns0:c r="AC528" s="16">
        <ns0:f>IF(AND(OR('前提と出典'!$C$36+'前提と出典'!$C$38=0,R528&gt;=0),OR('前提と出典'!$C$37+'前提と出典'!$C$38=0,S528&gt;=0)),0,A528)</ns0:f>
        <ns0:v>0</ns0:v>
      </ns0:c>
      <ns0:c r="AD528" s="7">
        <ns0:f>IF(W528&gt;=0,A528,1001)</ns0:f>
        <ns0:v>524</ns0:v>
      </ns0:c>
      <ns0:c r="AE528" s="7">
        <ns0:f>IF(W528&lt;0,A528,0)</ns0:f>
        <ns0:v>0</ns0:v>
      </ns0:c>
      <ns0:c r="AF528" s="16">
        <ns0:f>IF(AND(OR('前提と出典'!$C$36+'前提と出典'!$C$38=0,U528&gt;=0),OR('前提と出典'!$C$37+'前提と出典'!$C$38=0,V528&gt;=0)),0,A528)</ns0:f>
        <ns0:v>0</ns0:v>
      </ns0:c>
      <ns0:c r="AG528" s="7">
        <ns0:f>IF(Z528&gt;=0,A528,1001)</ns0:f>
        <ns0:v>524</ns0:v>
      </ns0:c>
      <ns0:c r="AH528" s="4">
        <ns0:f>IF(Z528&lt;0,A528,0)</ns0:f>
        <ns0:v>0</ns0:v>
      </ns0:c>
      <ns0:c r="AI528" s="12">
        <ns0:f>IF(AND(OR('前提と出典'!$C$36+'前提と出典'!$C$38=0,X528&gt;=0),OR('前提と出典'!$C$37+'前提と出典'!$C$38=0,Y528&gt;=0)),0,A528)</ns0:f>
        <ns0:v>0</ns0:v>
      </ns0:c>
    </ns0:row>
    <ns0:row r="529" ht="24" customHeight="1">
      <ns0:c r="A529" s="4" t="n">
        <ns0:v>525</ns0:v>
      </ns0:c>
      <ns0:c r="B529" s="12">
        <ns0:f>A529*('前提と出典'!$C$36+'前提と出典'!$C$38)</ns0:f>
        <ns0:v>367.5</ns0:v>
      </ns0:c>
      <ns0:c r="C529" s="12">
        <ns0:f>A529*('前提と出典'!$C$37+'前提と出典'!$C$38)</ns0:f>
        <ns0:v>315</ns0:v>
      </ns0:c>
      <ns0:c r="D529" s="16">
        <ns0:f>A529*('前提と出典'!$C$36*'契約別単価'!C5+'前提と出典'!$C$37*'契約別単価'!C6+'前提と出典'!$C$38*'契約別単価'!C7)</ns0:f>
        <ns0:v>3777.653631284916</ns0:v>
      </ns0:c>
      <ns0:c r="E529" s="16">
        <ns0:f>A529*('前提と出典'!$C$36*'契約別単価'!E5+'前提と出典'!$C$37*'契約別単価'!E6+'前提と出典'!$C$38*'契約別単価'!E7)</ns0:f>
        <ns0:v>1015845.9447844921</ns0:v>
      </ns0:c>
      <ns0:c r="F529" s="16">
        <ns0:f>A529*('前提と出典'!$C$36*'契約別単価'!F5+'前提と出典'!$C$37*'契約別単価'!F6+'前提と出典'!$C$38*'契約別単価'!F7)</ns0:f>
        <ns0:v>398682.6268446029</ns0:v>
      </ns0:c>
      <ns0:c r="G529" s="16">
        <ns0:f>A529*('前提と出典'!$C$36*'契約別単価'!G5+'前提と出典'!$C$37*'契約別単価'!G6+'前提と出典'!$C$38*'契約別単価'!G7)</ns0:f>
        <ns0:v>1045013.9664804469</ns0:v>
      </ns0:c>
      <ns0:c r="H529" s="16">
        <ns0:f>A529*('前提と出典'!$C$36*'契約別単価'!H5+'前提と出典'!$C$37*'契約別単価'!H6+'前提と出典'!$C$38*'契約別単価'!H7)</ns0:f>
        <ns0:v>362672.25793773326</ns0:v>
      </ns0:c>
      <ns0:c r="I529" s="16">
        <ns0:f>A529*('前提と出典'!$C$36*'契約別単価'!I5+'前提と出典'!$C$37*'契約別単価'!I6+'前提と出典'!$C$38*'契約別単価'!I7)</ns0:f>
        <ns0:v>22152.653631284913</ns0:v>
      </ns0:c>
      <ns0:c r="J529" s="16">
        <ns0:f>A529*('前提と出典'!$C$36*'契約別単価'!J5+'前提と出典'!$C$37*'契約別単価'!J6+'前提と出典'!$C$38*'契約別単価'!J7)</ns0:f>
        <ns0:v>51602.01044790885</ns0:v>
      </ns0:c>
      <ns0:c r="K529" s="16">
        <ns0:f>A529*('前提と出典'!$C$36*'契約別単価'!K5+'前提と出典'!$C$37*'契約別単価'!K6+'前提と出典'!$C$38*'契約別単価'!K7)</ns0:f>
        <ns0:v>221184.35754189943</ns0:v>
      </ns0:c>
      <ns0:c r="L529" s="16">
        <ns0:f>A529*('前提と出典'!$C$36*'契約別単価'!L5+'前提と出典'!$C$37*'契約別単価'!L6+'前提と出典'!$C$38*'契約別単価'!L7)</ns0:f>
        <ns0:v>180089.0752645911</ns0:v>
      </ns0:c>
      <ns0:c r="M529" s="16">
        <ns0:f>IF(('前提と出典'!$C$36+'前提と出典'!$C$38)=0,0,IF(B529&lt;=10,'前提と出典'!B73+'前提と出典'!C73,IF(B529&lt;=100,'前提と出典'!B74+'前提と出典'!C74,IF(B529&lt;=500,'前提と出典'!B75+'前提と出典'!C75,'前提と出典'!B76+'前提と出典'!C76))))</ns0:f>
        <ns0:v>40000</ns0:v>
      </ns0:c>
      <ns0:c r="N529" s="16">
        <ns0:f>IF(('前提と出典'!$C$37+'前提と出典'!$C$38)=0,0,IF(C529&lt;=10,'前提と出典'!D73+'前提と出典'!E73,IF(C529&lt;=100,'前提と出典'!D74+'前提と出典'!E74,IF(C529&lt;=500,'前提と出典'!D75+'前提と出典'!E75,'前提と出典'!D76+'前提と出典'!E76))))</ns0:f>
        <ns0:v>56510.9346263078</ns0:v>
      </ns0:c>
      <ns0:c r="O529" s="16">
        <ns0:f>IF('前提と出典'!$C$36+'前提と出典'!$C$38=0,0,'前提と出典'!$B$4*IF('前提と出典'!$B$20=0,MAX('前提と出典'!$B$6,D529*'前提と出典'!$B$5),'前提と出典'!$B$6+D529*'前提と出典'!$B$5))</ns0:f>
        <ns0:v>521316.2011173185</ns0:v>
      </ns0:c>
      <ns0:c r="P529" s="16">
        <ns0:f>(E529+G529)*(1-'前提と出典'!$B$7)-I529-K529-M529-O529</ns0:f>
        <ns0:v>1182015.7421688987</ns0:v>
      </ns0:c>
      <ns0:c r="Q529" s="16">
        <ns0:f>(F529+H529)*(1-'前提と出典'!$B$7)-J529-L529-N529</ns0:f>
        <ns0:v>445744.0885913643</ns0:v>
      </ns0:c>
      <ns0:c r="R529" s="16">
        <ns0:f>P529-E529*'前提と出典'!$E$4</ns0:f>
        <ns0:v>877261.9587335506</ns0:v>
      </ns0:c>
      <ns0:c r="S529" s="16">
        <ns0:f>Q529-F529*'前提と出典'!$E$4</ns0:f>
        <ns0:v>326139.3005379833</ns0:v>
      </ns0:c>
      <ns0:c r="T529" s="7">
        <ns0:f>R529+S529</ns0:f>
        <ns0:v>1203401.259271534</ns0:v>
      </ns0:c>
      <ns0:c r="U529" s="16">
        <ns0:f>P529-E529*'前提と出典'!$E$5</ns0:f>
        <ns0:v>775677.3642551018</ns0:v>
      </ns0:c>
      <ns0:c r="V529" s="16">
        <ns0:f>Q529-F529*'前提と出典'!$E$5</ns0:f>
        <ns0:v>286271.03785352316</ns0:v>
      </ns0:c>
      <ns0:c r="W529" s="7">
        <ns0:f>U529+V529</ns0:f>
        <ns0:v>1061948.402108625</ns0:v>
      </ns0:c>
      <ns0:c r="X529" s="16">
        <ns0:f>P529-E529*'前提と出典'!$E$6</ns0:f>
        <ns0:v>674092.7697766525</ns0:v>
      </ns0:c>
      <ns0:c r="Y529" s="16">
        <ns0:f>Q529-F529*'前提と出典'!$E$6</ns0:f>
        <ns0:v>246402.7751690629</ns0:v>
      </ns0:c>
      <ns0:c r="Z529" s="7">
        <ns0:f>X529+Y529</ns0:f>
        <ns0:v>920495.5449457153</ns0:v>
      </ns0:c>
      <ns0:c r="AA529" s="7">
        <ns0:f>IF(T529&gt;=0,A529,1001)</ns0:f>
        <ns0:v>525</ns0:v>
      </ns0:c>
      <ns0:c r="AB529" s="7">
        <ns0:f>IF(T529&lt;0,A529,0)</ns0:f>
        <ns0:v>0</ns0:v>
      </ns0:c>
      <ns0:c r="AC529" s="16">
        <ns0:f>IF(AND(OR('前提と出典'!$C$36+'前提と出典'!$C$38=0,R529&gt;=0),OR('前提と出典'!$C$37+'前提と出典'!$C$38=0,S529&gt;=0)),0,A529)</ns0:f>
        <ns0:v>0</ns0:v>
      </ns0:c>
      <ns0:c r="AD529" s="7">
        <ns0:f>IF(W529&gt;=0,A529,1001)</ns0:f>
        <ns0:v>525</ns0:v>
      </ns0:c>
      <ns0:c r="AE529" s="7">
        <ns0:f>IF(W529&lt;0,A529,0)</ns0:f>
        <ns0:v>0</ns0:v>
      </ns0:c>
      <ns0:c r="AF529" s="16">
        <ns0:f>IF(AND(OR('前提と出典'!$C$36+'前提と出典'!$C$38=0,U529&gt;=0),OR('前提と出典'!$C$37+'前提と出典'!$C$38=0,V529&gt;=0)),0,A529)</ns0:f>
        <ns0:v>0</ns0:v>
      </ns0:c>
      <ns0:c r="AG529" s="7">
        <ns0:f>IF(Z529&gt;=0,A529,1001)</ns0:f>
        <ns0:v>525</ns0:v>
      </ns0:c>
      <ns0:c r="AH529" s="4">
        <ns0:f>IF(Z529&lt;0,A529,0)</ns0:f>
        <ns0:v>0</ns0:v>
      </ns0:c>
      <ns0:c r="AI529" s="12">
        <ns0:f>IF(AND(OR('前提と出典'!$C$36+'前提と出典'!$C$38=0,X529&gt;=0),OR('前提と出典'!$C$37+'前提と出典'!$C$38=0,Y529&gt;=0)),0,A529)</ns0:f>
        <ns0:v>0</ns0:v>
      </ns0:c>
    </ns0:row>
    <ns0:row r="530" ht="24" customHeight="1">
      <ns0:c r="A530" s="4" t="n">
        <ns0:v>526</ns0:v>
      </ns0:c>
      <ns0:c r="B530" s="12">
        <ns0:f>A530*('前提と出典'!$C$36+'前提と出典'!$C$38)</ns0:f>
        <ns0:v>368.2</ns0:v>
      </ns0:c>
      <ns0:c r="C530" s="12">
        <ns0:f>A530*('前提と出典'!$C$37+'前提と出典'!$C$38)</ns0:f>
        <ns0:v>315.59999999999997</ns0:v>
      </ns0:c>
      <ns0:c r="D530" s="16">
        <ns0:f>A530*('前提と出典'!$C$36*'契約別単価'!C5+'前提と出典'!$C$37*'契約別単価'!C6+'前提と出典'!$C$38*'契約別単価'!C7)</ns0:f>
        <ns0:v>3784.849162011173</ns0:v>
      </ns0:c>
      <ns0:c r="E530" s="16">
        <ns0:f>A530*('前提と出典'!$C$36*'契約別単価'!E5+'前提と出典'!$C$37*'契約別単価'!E6+'前提と出典'!$C$38*'契約別単価'!E7)</ns0:f>
        <ns0:v>1017780.8894412245</ns0:v>
      </ns0:c>
      <ns0:c r="F530" s="16">
        <ns0:f>A530*('前提と出典'!$C$36*'契約別単価'!F5+'前提と出典'!$C$37*'契約別単価'!F6+'前提と出典'!$C$38*'契約別単価'!F7)</ns0:f>
        <ns0:v>399442.0223243069</ns0:v>
      </ns0:c>
      <ns0:c r="G530" s="16">
        <ns0:f>A530*('前提と出典'!$C$36*'契約別単価'!G5+'前提と出典'!$C$37*'契約別単価'!G6+'前提と出典'!$C$38*'契約別単価'!G7)</ns0:f>
        <ns0:v>1047004.469273743</ns0:v>
      </ns0:c>
      <ns0:c r="H530" s="16">
        <ns0:f>A530*('前提と出典'!$C$36*'契約別単価'!H5+'前提と出典'!$C$37*'契約別単価'!H6+'前提と出典'!$C$38*'契約別単価'!H7)</ns0:f>
        <ns0:v>363363.06223856704</ns0:v>
      </ns0:c>
      <ns0:c r="I530" s="16">
        <ns0:f>A530*('前提と出典'!$C$36*'契約別単価'!I5+'前提と出典'!$C$37*'契約別単価'!I6+'前提と出典'!$C$38*'契約別単価'!I7)</ns0:f>
        <ns0:v>22194.84916201117</ns0:v>
      </ns0:c>
      <ns0:c r="J530" s="16">
        <ns0:f>A530*('前提と出典'!$C$36*'契約別単価'!J5+'前提と出典'!$C$37*'契約別単価'!J6+'前提と出典'!$C$38*'契約別単価'!J7)</ns0:f>
        <ns0:v>51700.29999161915</ns0:v>
      </ns0:c>
      <ns0:c r="K530" s="16">
        <ns0:f>A530*('前提と出典'!$C$36*'契約別単価'!K5+'前提と出典'!$C$37*'契約別単価'!K6+'前提と出典'!$C$38*'契約別単価'!K7)</ns0:f>
        <ns0:v>221605.66108007447</ns0:v>
      </ns0:c>
      <ns0:c r="L530" s="16">
        <ns0:f>A530*('前提と出典'!$C$36*'契約別単価'!L5+'前提と出典'!$C$37*'契約別単価'!L6+'前提と出典'!$C$38*'契約別単価'!L7)</ns0:f>
        <ns0:v>180432.1020746189</ns0:v>
      </ns0:c>
      <ns0:c r="M530" s="16">
        <ns0:f>IF(('前提と出典'!$C$36+'前提と出典'!$C$38)=0,0,IF(B530&lt;=10,'前提と出典'!B73+'前提と出典'!C73,IF(B530&lt;=100,'前提と出典'!B74+'前提と出典'!C74,IF(B530&lt;=500,'前提と出典'!B75+'前提と出典'!C75,'前提と出典'!B76+'前提と出典'!C76))))</ns0:f>
        <ns0:v>40000</ns0:v>
      </ns0:c>
      <ns0:c r="N530" s="16">
        <ns0:f>IF(('前提と出典'!$C$37+'前提と出典'!$C$38)=0,0,IF(C530&lt;=10,'前提と出典'!D73+'前提と出典'!E73,IF(C530&lt;=100,'前提と出典'!D74+'前提と出典'!E74,IF(C530&lt;=500,'前提と出典'!D75+'前提と出典'!E75,'前提と出典'!D76+'前提と出典'!E76))))</ns0:f>
        <ns0:v>56510.9346263078</ns0:v>
      </ns0:c>
      <ns0:c r="O530" s="16">
        <ns0:f>IF('前提と出典'!$C$36+'前提と出典'!$C$38=0,0,'前提と出典'!$B$4*IF('前提と出典'!$B$20=0,MAX('前提と出典'!$B$6,D530*'前提と出典'!$B$5),'前提と出典'!$B$6+D530*'前提と出典'!$B$5))</ns0:f>
        <ns0:v>522309.1843575419</ns0:v>
      </ns0:c>
      <ns0:c r="P530" s="16">
        <ns0:f>(E530+G530)*(1-'前提と出典'!$B$7)-I530-K530-M530-O530</ns0:f>
        <ns0:v>1184343.3912016014</ns0:v>
      </ns0:c>
      <ns0:c r="Q530" s="16">
        <ns0:f>(F530+H530)*(1-'前提と出典'!$B$7)-J530-L530-N530</ns0:f>
        <ns0:v>446700.7648260647</ns0:v>
      </ns0:c>
      <ns0:c r="R530" s="16">
        <ns0:f>P530-E530*'前提と出典'!$E$4</ns0:f>
        <ns0:v>879009.1243692338</ns0:v>
      </ns0:c>
      <ns0:c r="S530" s="16">
        <ns0:f>Q530-F530*'前提と出典'!$E$4</ns0:f>
        <ns0:v>326868.1581287725</ns0:v>
      </ns0:c>
      <ns0:c r="T530" s="7">
        <ns0:f>R530+S530</ns0:f>
        <ns0:v>1205877.2824980062</ns0:v>
      </ns0:c>
      <ns0:c r="U530" s="16">
        <ns0:f>P530-E530*'前提と出典'!$E$5</ns0:f>
        <ns0:v>777231.0354251114</ns0:v>
      </ns0:c>
      <ns0:c r="V530" s="16">
        <ns0:f>Q530-F530*'前提と出典'!$E$5</ns0:f>
        <ns0:v>286923.95589634194</ns0:v>
      </ns0:c>
      <ns0:c r="W530" s="7">
        <ns0:f>U530+V530</ns0:f>
        <ns0:v>1064154.9913214534</ns0:v>
      </ns0:c>
      <ns0:c r="X530" s="16">
        <ns0:f>P530-E530*'前提と出典'!$E$6</ns0:f>
        <ns0:v>675452.9464809888</ns0:v>
      </ns0:c>
      <ns0:c r="Y530" s="16">
        <ns0:f>Q530-F530*'前提と出典'!$E$6</ns0:f>
        <ns0:v>246979.75366391125</ns0:v>
      </ns0:c>
      <ns0:c r="Z530" s="7">
        <ns0:f>X530+Y530</ns0:f>
        <ns0:v>922432.7001449</ns0:v>
      </ns0:c>
      <ns0:c r="AA530" s="7">
        <ns0:f>IF(T530&gt;=0,A530,1001)</ns0:f>
        <ns0:v>526</ns0:v>
      </ns0:c>
      <ns0:c r="AB530" s="7">
        <ns0:f>IF(T530&lt;0,A530,0)</ns0:f>
        <ns0:v>0</ns0:v>
      </ns0:c>
      <ns0:c r="AC530" s="16">
        <ns0:f>IF(AND(OR('前提と出典'!$C$36+'前提と出典'!$C$38=0,R530&gt;=0),OR('前提と出典'!$C$37+'前提と出典'!$C$38=0,S530&gt;=0)),0,A530)</ns0:f>
        <ns0:v>0</ns0:v>
      </ns0:c>
      <ns0:c r="AD530" s="7">
        <ns0:f>IF(W530&gt;=0,A530,1001)</ns0:f>
        <ns0:v>526</ns0:v>
      </ns0:c>
      <ns0:c r="AE530" s="7">
        <ns0:f>IF(W530&lt;0,A530,0)</ns0:f>
        <ns0:v>0</ns0:v>
      </ns0:c>
      <ns0:c r="AF530" s="16">
        <ns0:f>IF(AND(OR('前提と出典'!$C$36+'前提と出典'!$C$38=0,U530&gt;=0),OR('前提と出典'!$C$37+'前提と出典'!$C$38=0,V530&gt;=0)),0,A530)</ns0:f>
        <ns0:v>0</ns0:v>
      </ns0:c>
      <ns0:c r="AG530" s="7">
        <ns0:f>IF(Z530&gt;=0,A530,1001)</ns0:f>
        <ns0:v>526</ns0:v>
      </ns0:c>
      <ns0:c r="AH530" s="4">
        <ns0:f>IF(Z530&lt;0,A530,0)</ns0:f>
        <ns0:v>0</ns0:v>
      </ns0:c>
      <ns0:c r="AI530" s="12">
        <ns0:f>IF(AND(OR('前提と出典'!$C$36+'前提と出典'!$C$38=0,X530&gt;=0),OR('前提と出典'!$C$37+'前提と出典'!$C$38=0,Y530&gt;=0)),0,A530)</ns0:f>
        <ns0:v>0</ns0:v>
      </ns0:c>
    </ns0:row>
    <ns0:row r="531" ht="24" customHeight="1">
      <ns0:c r="A531" s="4" t="n">
        <ns0:v>527</ns0:v>
      </ns0:c>
      <ns0:c r="B531" s="12">
        <ns0:f>A531*('前提と出典'!$C$36+'前提と出典'!$C$38)</ns0:f>
        <ns0:v>368.9</ns0:v>
      </ns0:c>
      <ns0:c r="C531" s="12">
        <ns0:f>A531*('前提と出典'!$C$37+'前提と出典'!$C$38)</ns0:f>
        <ns0:v>316.2</ns0:v>
      </ns0:c>
      <ns0:c r="D531" s="16">
        <ns0:f>A531*('前提と出典'!$C$36*'契約別単価'!C5+'前提と出典'!$C$37*'契約別単価'!C6+'前提と出典'!$C$38*'契約別単価'!C7)</ns0:f>
        <ns0:v>3792.04469273743</ns0:v>
      </ns0:c>
      <ns0:c r="E531" s="16">
        <ns0:f>A531*('前提と出典'!$C$36*'契約別単価'!E5+'前提と出典'!$C$37*'契約別単価'!E6+'前提と出典'!$C$38*'契約別単価'!E7)</ns0:f>
        <ns0:v>1019715.8340979569</ns0:v>
      </ns0:c>
      <ns0:c r="F531" s="16">
        <ns0:f>A531*('前提と出典'!$C$36*'契約別単価'!F5+'前提と出典'!$C$37*'契約別単価'!F6+'前提と出典'!$C$38*'契約別単価'!F7)</ns0:f>
        <ns0:v>400201.4178040109</ns0:v>
      </ns0:c>
      <ns0:c r="G531" s="16">
        <ns0:f>A531*('前提と出典'!$C$36*'契約別単価'!G5+'前提と出典'!$C$37*'契約別単価'!G6+'前提と出典'!$C$38*'契約別単価'!G7)</ns0:f>
        <ns0:v>1048994.972067039</ns0:v>
      </ns0:c>
      <ns0:c r="H531" s="16">
        <ns0:f>A531*('前提と出典'!$C$36*'契約別単価'!H5+'前提と出典'!$C$37*'契約別単価'!H6+'前提と出典'!$C$38*'契約別単価'!H7)</ns0:f>
        <ns0:v>364053.8665394008</ns0:v>
      </ns0:c>
      <ns0:c r="I531" s="16">
        <ns0:f>A531*('前提と出典'!$C$36*'契約別単価'!I5+'前提と出典'!$C$37*'契約別単価'!I6+'前提と出典'!$C$38*'契約別単価'!I7)</ns0:f>
        <ns0:v>22237.044692737425</ns0:v>
      </ns0:c>
      <ns0:c r="J531" s="16">
        <ns0:f>A531*('前提と出典'!$C$36*'契約別単価'!J5+'前提と出典'!$C$37*'契約別単価'!J6+'前提と出典'!$C$38*'契約別単価'!J7)</ns0:f>
        <ns0:v>51798.589535329455</ns0:v>
      </ns0:c>
      <ns0:c r="K531" s="16">
        <ns0:f>A531*('前提と出典'!$C$36*'契約別単価'!K5+'前提と出典'!$C$37*'契約別単価'!K6+'前提と出典'!$C$38*'契約別単価'!K7)</ns0:f>
        <ns0:v>222026.9646182495</ns0:v>
      </ns0:c>
      <ns0:c r="L531" s="16">
        <ns0:f>A531*('前提と出典'!$C$36*'契約別単価'!L5+'前提と出典'!$C$37*'契約別単価'!L6+'前提と出典'!$C$38*'契約別単価'!L7)</ns0:f>
        <ns0:v>180775.1288846467</ns0:v>
      </ns0:c>
      <ns0:c r="M531" s="16">
        <ns0:f>IF(('前提と出典'!$C$36+'前提と出典'!$C$38)=0,0,IF(B531&lt;=10,'前提と出典'!B73+'前提と出典'!C73,IF(B531&lt;=100,'前提と出典'!B74+'前提と出典'!C74,IF(B531&lt;=500,'前提と出典'!B75+'前提と出典'!C75,'前提と出典'!B76+'前提と出典'!C76))))</ns0:f>
        <ns0:v>40000</ns0:v>
      </ns0:c>
      <ns0:c r="N531" s="16">
        <ns0:f>IF(('前提と出典'!$C$37+'前提と出典'!$C$38)=0,0,IF(C531&lt;=10,'前提と出典'!D73+'前提と出典'!E73,IF(C531&lt;=100,'前提と出典'!D74+'前提と出典'!E74,IF(C531&lt;=500,'前提と出典'!D75+'前提と出典'!E75,'前提と出典'!D76+'前提と出典'!E76))))</ns0:f>
        <ns0:v>56510.9346263078</ns0:v>
      </ns0:c>
      <ns0:c r="O531" s="16">
        <ns0:f>IF('前提と出典'!$C$36+'前提と出典'!$C$38=0,0,'前提と出典'!$B$4*IF('前提と出典'!$B$20=0,MAX('前提と出典'!$B$6,D531*'前提と出典'!$B$5),'前提と出典'!$B$6+D531*'前提と出典'!$B$5))</ns0:f>
        <ns0:v>523302.1675977654</ns0:v>
      </ns0:c>
      <ns0:c r="P531" s="16">
        <ns0:f>(E531+G531)*(1-'前提と出典'!$B$7)-I531-K531-M531-O531</ns0:f>
        <ns0:v>1186671.0402343036</ns0:v>
      </ns0:c>
      <ns0:c r="Q531" s="16">
        <ns0:f>(F531+H531)*(1-'前提と出典'!$B$7)-J531-L531-N531</ns0:f>
        <ns0:v>447657.44106076483</ns0:v>
      </ns0:c>
      <ns0:c r="R531" s="16">
        <ns0:f>P531-E531*'前提と出典'!$E$4</ns0:f>
        <ns0:v>880756.2900049165</ns0:v>
      </ns0:c>
      <ns0:c r="S531" s="16">
        <ns0:f>Q531-F531*'前提と出典'!$E$4</ns0:f>
        <ns0:v>327597.0157195616</ns0:v>
      </ns0:c>
      <ns0:c r="T531" s="7">
        <ns0:f>R531+S531</ns0:f>
        <ns0:v>1208353.305724478</ns0:v>
      </ns0:c>
      <ns0:c r="U531" s="16">
        <ns0:f>P531-E531*'前提と出典'!$E$5</ns0:f>
        <ns0:v>778784.7065951207</ns0:v>
      </ns0:c>
      <ns0:c r="V531" s="16">
        <ns0:f>Q531-F531*'前提と出典'!$E$5</ns0:f>
        <ns0:v>287576.8739391605</ns0:v>
      </ns0:c>
      <ns0:c r="W531" s="7">
        <ns0:f>U531+V531</ns0:f>
        <ns0:v>1066361.5805342812</ns0:v>
      </ns0:c>
      <ns0:c r="X531" s="16">
        <ns0:f>P531-E531*'前提と出典'!$E$6</ns0:f>
        <ns0:v>676813.1231853252</ns0:v>
      </ns0:c>
      <ns0:c r="Y531" s="16">
        <ns0:f>Q531-F531*'前提と出典'!$E$6</ns0:f>
        <ns0:v>247556.73215875943</ns0:v>
      </ns0:c>
      <ns0:c r="Z531" s="7">
        <ns0:f>X531+Y531</ns0:f>
        <ns0:v>924369.8553440846</ns0:v>
      </ns0:c>
      <ns0:c r="AA531" s="7">
        <ns0:f>IF(T531&gt;=0,A531,1001)</ns0:f>
        <ns0:v>527</ns0:v>
      </ns0:c>
      <ns0:c r="AB531" s="7">
        <ns0:f>IF(T531&lt;0,A531,0)</ns0:f>
        <ns0:v>0</ns0:v>
      </ns0:c>
      <ns0:c r="AC531" s="16">
        <ns0:f>IF(AND(OR('前提と出典'!$C$36+'前提と出典'!$C$38=0,R531&gt;=0),OR('前提と出典'!$C$37+'前提と出典'!$C$38=0,S531&gt;=0)),0,A531)</ns0:f>
        <ns0:v>0</ns0:v>
      </ns0:c>
      <ns0:c r="AD531" s="7">
        <ns0:f>IF(W531&gt;=0,A531,1001)</ns0:f>
        <ns0:v>527</ns0:v>
      </ns0:c>
      <ns0:c r="AE531" s="7">
        <ns0:f>IF(W531&lt;0,A531,0)</ns0:f>
        <ns0:v>0</ns0:v>
      </ns0:c>
      <ns0:c r="AF531" s="16">
        <ns0:f>IF(AND(OR('前提と出典'!$C$36+'前提と出典'!$C$38=0,U531&gt;=0),OR('前提と出典'!$C$37+'前提と出典'!$C$38=0,V531&gt;=0)),0,A531)</ns0:f>
        <ns0:v>0</ns0:v>
      </ns0:c>
      <ns0:c r="AG531" s="7">
        <ns0:f>IF(Z531&gt;=0,A531,1001)</ns0:f>
        <ns0:v>527</ns0:v>
      </ns0:c>
      <ns0:c r="AH531" s="4">
        <ns0:f>IF(Z531&lt;0,A531,0)</ns0:f>
        <ns0:v>0</ns0:v>
      </ns0:c>
      <ns0:c r="AI531" s="12">
        <ns0:f>IF(AND(OR('前提と出典'!$C$36+'前提と出典'!$C$38=0,X531&gt;=0),OR('前提と出典'!$C$37+'前提と出典'!$C$38=0,Y531&gt;=0)),0,A531)</ns0:f>
        <ns0:v>0</ns0:v>
      </ns0:c>
    </ns0:row>
    <ns0:row r="532" ht="24" customHeight="1">
      <ns0:c r="A532" s="4" t="n">
        <ns0:v>528</ns0:v>
      </ns0:c>
      <ns0:c r="B532" s="12">
        <ns0:f>A532*('前提と出典'!$C$36+'前提と出典'!$C$38)</ns0:f>
        <ns0:v>369.59999999999997</ns0:v>
      </ns0:c>
      <ns0:c r="C532" s="12">
        <ns0:f>A532*('前提と出典'!$C$37+'前提と出典'!$C$38)</ns0:f>
        <ns0:v>316.8</ns0:v>
      </ns0:c>
      <ns0:c r="D532" s="16">
        <ns0:f>A532*('前提と出典'!$C$36*'契約別単価'!C5+'前提と出典'!$C$37*'契約別単価'!C6+'前提と出典'!$C$38*'契約別単価'!C7)</ns0:f>
        <ns0:v>3799.240223463687</ns0:v>
      </ns0:c>
      <ns0:c r="E532" s="16">
        <ns0:f>A532*('前提と出典'!$C$36*'契約別単価'!E5+'前提と出典'!$C$37*'契約別単価'!E6+'前提と出典'!$C$38*'契約別単価'!E7)</ns0:f>
        <ns0:v>1021650.7787546893</ns0:v>
      </ns0:c>
      <ns0:c r="F532" s="16">
        <ns0:f>A532*('前提と出典'!$C$36*'契約別単価'!F5+'前提と出典'!$C$37*'契約別単価'!F6+'前提と出典'!$C$38*'契約別単価'!F7)</ns0:f>
        <ns0:v>400960.81328371493</ns0:v>
      </ns0:c>
      <ns0:c r="G532" s="16">
        <ns0:f>A532*('前提と出典'!$C$36*'契約別単価'!G5+'前提と出典'!$C$37*'契約別単価'!G6+'前提と出典'!$C$38*'契約別単価'!G7)</ns0:f>
        <ns0:v>1050985.4748603352</ns0:v>
      </ns0:c>
      <ns0:c r="H532" s="16">
        <ns0:f>A532*('前提と出典'!$C$36*'契約別単価'!H5+'前提と出典'!$C$37*'契約別単価'!H6+'前提と出典'!$C$38*'契約別単価'!H7)</ns0:f>
        <ns0:v>364744.6708402346</ns0:v>
      </ns0:c>
      <ns0:c r="I532" s="16">
        <ns0:f>A532*('前提と出典'!$C$36*'契約別単価'!I5+'前提と出典'!$C$37*'契約別単価'!I6+'前提と出典'!$C$38*'契約別単価'!I7)</ns0:f>
        <ns0:v>22279.240223463683</ns0:v>
      </ns0:c>
      <ns0:c r="J532" s="16">
        <ns0:f>A532*('前提と出典'!$C$36*'契約別単価'!J5+'前提と出典'!$C$37*'契約別単価'!J6+'前提と出典'!$C$38*'契約別単価'!J7)</ns0:f>
        <ns0:v>51896.879079039754</ns0:v>
      </ns0:c>
      <ns0:c r="K532" s="16">
        <ns0:f>A532*('前提と出典'!$C$36*'契約別単価'!K5+'前提と出典'!$C$37*'契約別単価'!K6+'前提と出典'!$C$38*'契約別単価'!K7)</ns0:f>
        <ns0:v>222448.26815642457</ns0:v>
      </ns0:c>
      <ns0:c r="L532" s="16">
        <ns0:f>A532*('前提と出典'!$C$36*'契約別単価'!L5+'前提と出典'!$C$37*'契約別単価'!L6+'前提と出典'!$C$38*'契約別単価'!L7)</ns0:f>
        <ns0:v>181118.15569467447</ns0:v>
      </ns0:c>
      <ns0:c r="M532" s="16">
        <ns0:f>IF(('前提と出典'!$C$36+'前提と出典'!$C$38)=0,0,IF(B532&lt;=10,'前提と出典'!B73+'前提と出典'!C73,IF(B532&lt;=100,'前提と出典'!B74+'前提と出典'!C74,IF(B532&lt;=500,'前提と出典'!B75+'前提と出典'!C75,'前提と出典'!B76+'前提と出典'!C76))))</ns0:f>
        <ns0:v>40000</ns0:v>
      </ns0:c>
      <ns0:c r="N532" s="16">
        <ns0:f>IF(('前提と出典'!$C$37+'前提と出典'!$C$38)=0,0,IF(C532&lt;=10,'前提と出典'!D73+'前提と出典'!E73,IF(C532&lt;=100,'前提と出典'!D74+'前提と出典'!E74,IF(C532&lt;=500,'前提と出典'!D75+'前提と出典'!E75,'前提と出典'!D76+'前提と出典'!E76))))</ns0:f>
        <ns0:v>56510.9346263078</ns0:v>
      </ns0:c>
      <ns0:c r="O532" s="16">
        <ns0:f>IF('前提と出典'!$C$36+'前提と出典'!$C$38=0,0,'前提と出典'!$B$4*IF('前提と出典'!$B$20=0,MAX('前提と出典'!$B$6,D532*'前提と出典'!$B$5),'前提と出典'!$B$6+D532*'前提と出典'!$B$5))</ns0:f>
        <ns0:v>524295.1508379888</ns0:v>
      </ns0:c>
      <ns0:c r="P532" s="16">
        <ns0:f>(E532+G532)*(1-'前提と出典'!$B$7)-I532-K532-M532-O532</ns0:f>
        <ns0:v>1188998.6892670065</ns0:v>
      </ns0:c>
      <ns0:c r="Q532" s="16">
        <ns0:f>(F532+H532)*(1-'前提と出典'!$B$7)-J532-L532-N532</ns0:f>
        <ns0:v>448614.11729546526</ns0:v>
      </ns0:c>
      <ns0:c r="R532" s="16">
        <ns0:f>P532-E532*'前提と出典'!$E$4</ns0:f>
        <ns0:v>882503.4556405998</ns0:v>
      </ns0:c>
      <ns0:c r="S532" s="16">
        <ns0:f>Q532-F532*'前提と出典'!$E$4</ns0:f>
        <ns0:v>328325.8733103508</ns0:v>
      </ns0:c>
      <ns0:c r="T532" s="7">
        <ns0:f>R532+S532</ns0:f>
        <ns0:v>1210829.3289509506</ns0:v>
      </ns0:c>
      <ns0:c r="U532" s="16">
        <ns0:f>P532-E532*'前提と出典'!$E$5</ns0:f>
        <ns0:v>780338.3777651307</ns0:v>
      </ns0:c>
      <ns0:c r="V532" s="16">
        <ns0:f>Q532-F532*'前提と出典'!$E$5</ns0:f>
        <ns0:v>288229.7919819793</ns0:v>
      </ns0:c>
      <ns0:c r="W532" s="7">
        <ns0:f>U532+V532</ns0:f>
        <ns0:v>1068568.16974711</ns0:v>
      </ns0:c>
      <ns0:c r="X532" s="16">
        <ns0:f>P532-E532*'前提と出典'!$E$6</ns0:f>
        <ns0:v>678173.2998896618</ns0:v>
      </ns0:c>
      <ns0:c r="Y532" s="16">
        <ns0:f>Q532-F532*'前提と出典'!$E$6</ns0:f>
        <ns0:v>248133.7106536079</ns0:v>
      </ns0:c>
      <ns0:c r="Z532" s="7">
        <ns0:f>X532+Y532</ns0:f>
        <ns0:v>926307.0105432698</ns0:v>
      </ns0:c>
      <ns0:c r="AA532" s="7">
        <ns0:f>IF(T532&gt;=0,A532,1001)</ns0:f>
        <ns0:v>528</ns0:v>
      </ns0:c>
      <ns0:c r="AB532" s="7">
        <ns0:f>IF(T532&lt;0,A532,0)</ns0:f>
        <ns0:v>0</ns0:v>
      </ns0:c>
      <ns0:c r="AC532" s="16">
        <ns0:f>IF(AND(OR('前提と出典'!$C$36+'前提と出典'!$C$38=0,R532&gt;=0),OR('前提と出典'!$C$37+'前提と出典'!$C$38=0,S532&gt;=0)),0,A532)</ns0:f>
        <ns0:v>0</ns0:v>
      </ns0:c>
      <ns0:c r="AD532" s="7">
        <ns0:f>IF(W532&gt;=0,A532,1001)</ns0:f>
        <ns0:v>528</ns0:v>
      </ns0:c>
      <ns0:c r="AE532" s="7">
        <ns0:f>IF(W532&lt;0,A532,0)</ns0:f>
        <ns0:v>0</ns0:v>
      </ns0:c>
      <ns0:c r="AF532" s="16">
        <ns0:f>IF(AND(OR('前提と出典'!$C$36+'前提と出典'!$C$38=0,U532&gt;=0),OR('前提と出典'!$C$37+'前提と出典'!$C$38=0,V532&gt;=0)),0,A532)</ns0:f>
        <ns0:v>0</ns0:v>
      </ns0:c>
      <ns0:c r="AG532" s="7">
        <ns0:f>IF(Z532&gt;=0,A532,1001)</ns0:f>
        <ns0:v>528</ns0:v>
      </ns0:c>
      <ns0:c r="AH532" s="4">
        <ns0:f>IF(Z532&lt;0,A532,0)</ns0:f>
        <ns0:v>0</ns0:v>
      </ns0:c>
      <ns0:c r="AI532" s="12">
        <ns0:f>IF(AND(OR('前提と出典'!$C$36+'前提と出典'!$C$38=0,X532&gt;=0),OR('前提と出典'!$C$37+'前提と出典'!$C$38=0,Y532&gt;=0)),0,A532)</ns0:f>
        <ns0:v>0</ns0:v>
      </ns0:c>
    </ns0:row>
    <ns0:row r="533" ht="24" customHeight="1">
      <ns0:c r="A533" s="4" t="n">
        <ns0:v>529</ns0:v>
      </ns0:c>
      <ns0:c r="B533" s="12">
        <ns0:f>A533*('前提と出典'!$C$36+'前提と出典'!$C$38)</ns0:f>
        <ns0:v>370.29999999999995</ns0:v>
      </ns0:c>
      <ns0:c r="C533" s="12">
        <ns0:f>A533*('前提と出典'!$C$37+'前提と出典'!$C$38)</ns0:f>
        <ns0:v>317.4</ns0:v>
      </ns0:c>
      <ns0:c r="D533" s="16">
        <ns0:f>A533*('前提と出典'!$C$36*'契約別単価'!C5+'前提と出典'!$C$37*'契約別単価'!C6+'前提と出典'!$C$38*'契約別単価'!C7)</ns0:f>
        <ns0:v>3806.435754189944</ns0:v>
      </ns0:c>
      <ns0:c r="E533" s="16">
        <ns0:f>A533*('前提と出典'!$C$36*'契約別単価'!E5+'前提と出典'!$C$37*'契約別単価'!E6+'前提と出典'!$C$38*'契約別単価'!E7)</ns0:f>
        <ns0:v>1023585.7234114216</ns0:v>
      </ns0:c>
      <ns0:c r="F533" s="16">
        <ns0:f>A533*('前提と出典'!$C$36*'契約別単価'!F5+'前提と出典'!$C$37*'契約別単価'!F6+'前提と出典'!$C$38*'契約別単価'!F7)</ns0:f>
        <ns0:v>401720.20876341895</ns0:v>
      </ns0:c>
      <ns0:c r="G533" s="16">
        <ns0:f>A533*('前提と出典'!$C$36*'契約別単価'!G5+'前提と出典'!$C$37*'契約別単価'!G6+'前提と出典'!$C$38*'契約別単価'!G7)</ns0:f>
        <ns0:v>1052975.9776536312</ns0:v>
      </ns0:c>
      <ns0:c r="H533" s="16">
        <ns0:f>A533*('前提と出典'!$C$36*'契約別単価'!H5+'前提と出典'!$C$37*'契約別単価'!H6+'前提と出典'!$C$38*'契約別単価'!H7)</ns0:f>
        <ns0:v>365435.4751410684</ns0:v>
      </ns0:c>
      <ns0:c r="I533" s="16">
        <ns0:f>A533*('前提と出典'!$C$36*'契約別単価'!I5+'前提と出典'!$C$37*'契約別単価'!I6+'前提と出典'!$C$38*'契約別単価'!I7)</ns0:f>
        <ns0:v>22321.43575418994</ns0:v>
      </ns0:c>
      <ns0:c r="J533" s="16">
        <ns0:f>A533*('前提と出典'!$C$36*'契約別単価'!J5+'前提と出典'!$C$37*'契約別単価'!J6+'前提と出典'!$C$38*'契約別単価'!J7)</ns0:f>
        <ns0:v>51995.16862275006</ns0:v>
      </ns0:c>
      <ns0:c r="K533" s="16">
        <ns0:f>A533*('前提と出典'!$C$36*'契約別単価'!K5+'前提と出典'!$C$37*'契約別単価'!K6+'前提と出典'!$C$38*'契約別単価'!K7)</ns0:f>
        <ns0:v>222869.5716945996</ns0:v>
      </ns0:c>
      <ns0:c r="L533" s="16">
        <ns0:f>A533*('前提と出典'!$C$36*'契約別単価'!L5+'前提と出典'!$C$37*'契約別単価'!L6+'前提と出典'!$C$38*'契約別単価'!L7)</ns0:f>
        <ns0:v>181461.18250470227</ns0:v>
      </ns0:c>
      <ns0:c r="M533" s="16">
        <ns0:f>IF(('前提と出典'!$C$36+'前提と出典'!$C$38)=0,0,IF(B533&lt;=10,'前提と出典'!B73+'前提と出典'!C73,IF(B533&lt;=100,'前提と出典'!B74+'前提と出典'!C74,IF(B533&lt;=500,'前提と出典'!B75+'前提と出典'!C75,'前提と出典'!B76+'前提と出典'!C76))))</ns0:f>
        <ns0:v>40000</ns0:v>
      </ns0:c>
      <ns0:c r="N533" s="16">
        <ns0:f>IF(('前提と出典'!$C$37+'前提と出典'!$C$38)=0,0,IF(C533&lt;=10,'前提と出典'!D73+'前提と出典'!E73,IF(C533&lt;=100,'前提と出典'!D74+'前提と出典'!E74,IF(C533&lt;=500,'前提と出典'!D75+'前提と出典'!E75,'前提と出典'!D76+'前提と出典'!E76))))</ns0:f>
        <ns0:v>56510.9346263078</ns0:v>
      </ns0:c>
      <ns0:c r="O533" s="16">
        <ns0:f>IF('前提と出典'!$C$36+'前提と出典'!$C$38=0,0,'前提と出典'!$B$4*IF('前提と出典'!$B$20=0,MAX('前提と出典'!$B$6,D533*'前提と出典'!$B$5),'前提と出典'!$B$6+D533*'前提と出典'!$B$5))</ns0:f>
        <ns0:v>525288.1340782123</ns0:v>
      </ns0:c>
      <ns0:c r="P533" s="16">
        <ns0:f>(E533+G533)*(1-'前提と出典'!$B$7)-I533-K533-M533-O533</ns0:f>
        <ns0:v>1191326.338299709</ns0:v>
      </ns0:c>
      <ns0:c r="Q533" s="16">
        <ns0:f>(F533+H533)*(1-'前提と出典'!$B$7)-J533-L533-N533</ns0:f>
        <ns0:v>449570.7935301657</ns0:v>
      </ns0:c>
      <ns0:c r="R533" s="16">
        <ns0:f>P533-E533*'前提と出典'!$E$4</ns0:f>
        <ns0:v>884250.6212762825</ns0:v>
      </ns0:c>
      <ns0:c r="S533" s="16">
        <ns0:f>Q533-F533*'前提と出典'!$E$4</ns0:f>
        <ns0:v>329054.73090114</ns0:v>
      </ns0:c>
      <ns0:c r="T533" s="7">
        <ns0:f>R533+S533</ns0:f>
        <ns0:v>1213305.3521774225</ns0:v>
      </ns0:c>
      <ns0:c r="U533" s="16">
        <ns0:f>P533-E533*'前提と出典'!$E$5</ns0:f>
        <ns0:v>781892.0489351403</ns0:v>
      </ns0:c>
      <ns0:c r="V533" s="16">
        <ns0:f>Q533-F533*'前提と出典'!$E$5</ns0:f>
        <ns0:v>288882.71002479806</ns0:v>
      </ns0:c>
      <ns0:c r="W533" s="7">
        <ns0:f>U533+V533</ns0:f>
        <ns0:v>1070774.7589599383</ns0:v>
      </ns0:c>
      <ns0:c r="X533" s="16">
        <ns0:f>P533-E533*'前提と出典'!$E$6</ns0:f>
        <ns0:v>679533.476593998</ns0:v>
      </ns0:c>
      <ns0:c r="Y533" s="16">
        <ns0:f>Q533-F533*'前提と出典'!$E$6</ns0:f>
        <ns0:v>248710.6891484562</ns0:v>
      </ns0:c>
      <ns0:c r="Z533" s="7">
        <ns0:f>X533+Y533</ns0:f>
        <ns0:v>928244.1657424542</ns0:v>
      </ns0:c>
      <ns0:c r="AA533" s="7">
        <ns0:f>IF(T533&gt;=0,A533,1001)</ns0:f>
        <ns0:v>529</ns0:v>
      </ns0:c>
      <ns0:c r="AB533" s="7">
        <ns0:f>IF(T533&lt;0,A533,0)</ns0:f>
        <ns0:v>0</ns0:v>
      </ns0:c>
      <ns0:c r="AC533" s="16">
        <ns0:f>IF(AND(OR('前提と出典'!$C$36+'前提と出典'!$C$38=0,R533&gt;=0),OR('前提と出典'!$C$37+'前提と出典'!$C$38=0,S533&gt;=0)),0,A533)</ns0:f>
        <ns0:v>0</ns0:v>
      </ns0:c>
      <ns0:c r="AD533" s="7">
        <ns0:f>IF(W533&gt;=0,A533,1001)</ns0:f>
        <ns0:v>529</ns0:v>
      </ns0:c>
      <ns0:c r="AE533" s="7">
        <ns0:f>IF(W533&lt;0,A533,0)</ns0:f>
        <ns0:v>0</ns0:v>
      </ns0:c>
      <ns0:c r="AF533" s="16">
        <ns0:f>IF(AND(OR('前提と出典'!$C$36+'前提と出典'!$C$38=0,U533&gt;=0),OR('前提と出典'!$C$37+'前提と出典'!$C$38=0,V533&gt;=0)),0,A533)</ns0:f>
        <ns0:v>0</ns0:v>
      </ns0:c>
      <ns0:c r="AG533" s="7">
        <ns0:f>IF(Z533&gt;=0,A533,1001)</ns0:f>
        <ns0:v>529</ns0:v>
      </ns0:c>
      <ns0:c r="AH533" s="4">
        <ns0:f>IF(Z533&lt;0,A533,0)</ns0:f>
        <ns0:v>0</ns0:v>
      </ns0:c>
      <ns0:c r="AI533" s="12">
        <ns0:f>IF(AND(OR('前提と出典'!$C$36+'前提と出典'!$C$38=0,X533&gt;=0),OR('前提と出典'!$C$37+'前提と出典'!$C$38=0,Y533&gt;=0)),0,A533)</ns0:f>
        <ns0:v>0</ns0:v>
      </ns0:c>
    </ns0:row>
    <ns0:row r="534" ht="24" customHeight="1">
      <ns0:c r="A534" s="4" t="n">
        <ns0:v>530</ns0:v>
      </ns0:c>
      <ns0:c r="B534" s="12">
        <ns0:f>A534*('前提と出典'!$C$36+'前提と出典'!$C$38)</ns0:f>
        <ns0:v>371</ns0:v>
      </ns0:c>
      <ns0:c r="C534" s="12">
        <ns0:f>A534*('前提と出典'!$C$37+'前提と出典'!$C$38)</ns0:f>
        <ns0:v>318</ns0:v>
      </ns0:c>
      <ns0:c r="D534" s="16">
        <ns0:f>A534*('前提と出典'!$C$36*'契約別単価'!C5+'前提と出典'!$C$37*'契約別単価'!C6+'前提と出典'!$C$38*'契約別単価'!C7)</ns0:f>
        <ns0:v>3813.631284916201</ns0:v>
      </ns0:c>
      <ns0:c r="E534" s="16">
        <ns0:f>A534*('前提と出典'!$C$36*'契約別単価'!E5+'前提と出典'!$C$37*'契約別単価'!E6+'前提と出典'!$C$38*'契約別単価'!E7)</ns0:f>
        <ns0:v>1025520.6680681539</ns0:v>
      </ns0:c>
      <ns0:c r="F534" s="16">
        <ns0:f>A534*('前提と出典'!$C$36*'契約別単価'!F5+'前提と出典'!$C$37*'契約別単価'!F6+'前提と出典'!$C$38*'契約別単価'!F7)</ns0:f>
        <ns0:v>402479.6042431229</ns0:v>
      </ns0:c>
      <ns0:c r="G534" s="16">
        <ns0:f>A534*('前提と出典'!$C$36*'契約別単価'!G5+'前提と出典'!$C$37*'契約別単価'!G6+'前提と出典'!$C$38*'契約別単価'!G7)</ns0:f>
        <ns0:v>1054966.4804469272</ns0:v>
      </ns0:c>
      <ns0:c r="H534" s="16">
        <ns0:f>A534*('前提と出典'!$C$36*'契約別単価'!H5+'前提と出典'!$C$37*'契約別単価'!H6+'前提と出典'!$C$38*'契約別単価'!H7)</ns0:f>
        <ns0:v>366126.2794419022</ns0:v>
      </ns0:c>
      <ns0:c r="I534" s="16">
        <ns0:f>A534*('前提と出典'!$C$36*'契約別単価'!I5+'前提と出典'!$C$37*'契約別単価'!I6+'前提と出典'!$C$38*'契約別単価'!I7)</ns0:f>
        <ns0:v>22363.6312849162</ns0:v>
      </ns0:c>
      <ns0:c r="J534" s="16">
        <ns0:f>A534*('前提と出典'!$C$36*'契約別単価'!J5+'前提と出典'!$C$37*'契約別単価'!J6+'前提と出典'!$C$38*'契約別単価'!J7)</ns0:f>
        <ns0:v>52093.45816646036</ns0:v>
      </ns0:c>
      <ns0:c r="K534" s="16">
        <ns0:f>A534*('前提と出典'!$C$36*'契約別単価'!K5+'前提と出典'!$C$37*'契約別単価'!K6+'前提と出典'!$C$38*'契約別単価'!K7)</ns0:f>
        <ns0:v>223290.87523277465</ns0:v>
      </ns0:c>
      <ns0:c r="L534" s="16">
        <ns0:f>A534*('前提と出典'!$C$36*'契約別単価'!L5+'前提と出典'!$C$37*'契約別単価'!L6+'前提と出典'!$C$38*'契約別単価'!L7)</ns0:f>
        <ns0:v>181804.20931473008</ns0:v>
      </ns0:c>
      <ns0:c r="M534" s="16">
        <ns0:f>IF(('前提と出典'!$C$36+'前提と出典'!$C$38)=0,0,IF(B534&lt;=10,'前提と出典'!B73+'前提と出典'!C73,IF(B534&lt;=100,'前提と出典'!B74+'前提と出典'!C74,IF(B534&lt;=500,'前提と出典'!B75+'前提と出典'!C75,'前提と出典'!B76+'前提と出典'!C76))))</ns0:f>
        <ns0:v>40000</ns0:v>
      </ns0:c>
      <ns0:c r="N534" s="16">
        <ns0:f>IF(('前提と出典'!$C$37+'前提と出典'!$C$38)=0,0,IF(C534&lt;=10,'前提と出典'!D73+'前提と出典'!E73,IF(C534&lt;=100,'前提と出典'!D74+'前提と出典'!E74,IF(C534&lt;=500,'前提と出典'!D75+'前提と出典'!E75,'前提と出典'!D76+'前提と出典'!E76))))</ns0:f>
        <ns0:v>56510.9346263078</ns0:v>
      </ns0:c>
      <ns0:c r="O534" s="16">
        <ns0:f>IF('前提と出典'!$C$36+'前提と出典'!$C$38=0,0,'前提と出典'!$B$4*IF('前提と出典'!$B$20=0,MAX('前提と出典'!$B$6,D534*'前提と出典'!$B$5),'前提と出典'!$B$6+D534*'前提と出典'!$B$5))</ns0:f>
        <ns0:v>526281.1173184358</ns0:v>
      </ns0:c>
      <ns0:c r="P534" s="16">
        <ns0:f>(E534+G534)*(1-'前提と出典'!$B$7)-I534-K534-M534-O534</ns0:f>
        <ns0:v>1193653.9873324116</ns0:v>
      </ns0:c>
      <ns0:c r="Q534" s="16">
        <ns0:f>(F534+H534)*(1-'前提と出典'!$B$7)-J534-L534-N534</ns0:f>
        <ns0:v>450527.46976486593</ns0:v>
      </ns0:c>
      <ns0:c r="R534" s="16">
        <ns0:f>P534-E534*'前提と出典'!$E$4</ns0:f>
        <ns0:v>885997.7869119651</ns0:v>
      </ns0:c>
      <ns0:c r="S534" s="16">
        <ns0:f>Q534-F534*'前提と出典'!$E$4</ns0:f>
        <ns0:v>329783.5884919292</ns0:v>
      </ns0:c>
      <ns0:c r="T534" s="7">
        <ns0:f>R534+S534</ns0:f>
        <ns0:v>1215781.3754038943</ns0:v>
      </ns0:c>
      <ns0:c r="U534" s="16">
        <ns0:f>P534-E534*'前提と出典'!$E$5</ns0:f>
        <ns0:v>783445.72010515</ns0:v>
      </ns0:c>
      <ns0:c r="V534" s="16">
        <ns0:f>Q534-F534*'前提と出典'!$E$5</ns0:f>
        <ns0:v>289535.6280676168</ns0:v>
      </ns0:c>
      <ns0:c r="W534" s="7">
        <ns0:f>U534+V534</ns0:f>
        <ns0:v>1072981.3481727669</ns0:v>
      </ns0:c>
      <ns0:c r="X534" s="16">
        <ns0:f>P534-E534*'前提と出典'!$E$6</ns0:f>
        <ns0:v>680893.6532983345</ns0:v>
      </ns0:c>
      <ns0:c r="Y534" s="16">
        <ns0:f>Q534-F534*'前提と出典'!$E$6</ns0:f>
        <ns0:v>249287.6676433045</ns0:v>
      </ns0:c>
      <ns0:c r="Z534" s="7">
        <ns0:f>X534+Y534</ns0:f>
        <ns0:v>930181.3209416389</ns0:v>
      </ns0:c>
      <ns0:c r="AA534" s="7">
        <ns0:f>IF(T534&gt;=0,A534,1001)</ns0:f>
        <ns0:v>530</ns0:v>
      </ns0:c>
      <ns0:c r="AB534" s="7">
        <ns0:f>IF(T534&lt;0,A534,0)</ns0:f>
        <ns0:v>0</ns0:v>
      </ns0:c>
      <ns0:c r="AC534" s="16">
        <ns0:f>IF(AND(OR('前提と出典'!$C$36+'前提と出典'!$C$38=0,R534&gt;=0),OR('前提と出典'!$C$37+'前提と出典'!$C$38=0,S534&gt;=0)),0,A534)</ns0:f>
        <ns0:v>0</ns0:v>
      </ns0:c>
      <ns0:c r="AD534" s="7">
        <ns0:f>IF(W534&gt;=0,A534,1001)</ns0:f>
        <ns0:v>530</ns0:v>
      </ns0:c>
      <ns0:c r="AE534" s="7">
        <ns0:f>IF(W534&lt;0,A534,0)</ns0:f>
        <ns0:v>0</ns0:v>
      </ns0:c>
      <ns0:c r="AF534" s="16">
        <ns0:f>IF(AND(OR('前提と出典'!$C$36+'前提と出典'!$C$38=0,U534&gt;=0),OR('前提と出典'!$C$37+'前提と出典'!$C$38=0,V534&gt;=0)),0,A534)</ns0:f>
        <ns0:v>0</ns0:v>
      </ns0:c>
      <ns0:c r="AG534" s="7">
        <ns0:f>IF(Z534&gt;=0,A534,1001)</ns0:f>
        <ns0:v>530</ns0:v>
      </ns0:c>
      <ns0:c r="AH534" s="4">
        <ns0:f>IF(Z534&lt;0,A534,0)</ns0:f>
        <ns0:v>0</ns0:v>
      </ns0:c>
      <ns0:c r="AI534" s="12">
        <ns0:f>IF(AND(OR('前提と出典'!$C$36+'前提と出典'!$C$38=0,X534&gt;=0),OR('前提と出典'!$C$37+'前提と出典'!$C$38=0,Y534&gt;=0)),0,A534)</ns0:f>
        <ns0:v>0</ns0:v>
      </ns0:c>
    </ns0:row>
    <ns0:row r="535" ht="24" customHeight="1">
      <ns0:c r="A535" s="4" t="n">
        <ns0:v>531</ns0:v>
      </ns0:c>
      <ns0:c r="B535" s="12">
        <ns0:f>A535*('前提と出典'!$C$36+'前提と出典'!$C$38)</ns0:f>
        <ns0:v>371.7</ns0:v>
      </ns0:c>
      <ns0:c r="C535" s="12">
        <ns0:f>A535*('前提と出典'!$C$37+'前提と出典'!$C$38)</ns0:f>
        <ns0:v>318.59999999999997</ns0:v>
      </ns0:c>
      <ns0:c r="D535" s="16">
        <ns0:f>A535*('前提と出典'!$C$36*'契約別単価'!C5+'前提と出典'!$C$37*'契約別単価'!C6+'前提と出典'!$C$38*'契約別単価'!C7)</ns0:f>
        <ns0:v>3820.826815642458</ns0:v>
      </ns0:c>
      <ns0:c r="E535" s="16">
        <ns0:f>A535*('前提と出典'!$C$36*'契約別単価'!E5+'前提と出典'!$C$37*'契約別単価'!E6+'前提と出典'!$C$38*'契約別単価'!E7)</ns0:f>
        <ns0:v>1027455.6127248863</ns0:v>
      </ns0:c>
      <ns0:c r="F535" s="16">
        <ns0:f>A535*('前提と出典'!$C$36*'契約別単価'!F5+'前提と出典'!$C$37*'契約別単価'!F6+'前提と出典'!$C$38*'契約別単価'!F7)</ns0:f>
        <ns0:v>403238.99972282693</ns0:v>
      </ns0:c>
      <ns0:c r="G535" s="16">
        <ns0:f>A535*('前提と出典'!$C$36*'契約別単価'!G5+'前提と出典'!$C$37*'契約別単価'!G6+'前提と出典'!$C$38*'契約別単価'!G7)</ns0:f>
        <ns0:v>1056956.9832402235</ns0:v>
      </ns0:c>
      <ns0:c r="H535" s="16">
        <ns0:f>A535*('前提と出典'!$C$36*'契約別単価'!H5+'前提と出典'!$C$37*'契約別単価'!H6+'前提と出典'!$C$38*'契約別単価'!H7)</ns0:f>
        <ns0:v>366817.08374273597</ns0:v>
      </ns0:c>
      <ns0:c r="I535" s="16">
        <ns0:f>A535*('前提と出典'!$C$36*'契約別単価'!I5+'前提と出典'!$C$37*'契約別単価'!I6+'前提と出典'!$C$38*'契約別単価'!I7)</ns0:f>
        <ns0:v>22405.826815642453</ns0:v>
      </ns0:c>
      <ns0:c r="J535" s="16">
        <ns0:f>A535*('前提と出典'!$C$36*'契約別単価'!J5+'前提と出典'!$C$37*'契約別単価'!J6+'前提と出典'!$C$38*'契約別単価'!J7)</ns0:f>
        <ns0:v>52191.74771017066</ns0:v>
      </ns0:c>
      <ns0:c r="K535" s="16">
        <ns0:f>A535*('前提と出典'!$C$36*'契約別単価'!K5+'前提と出典'!$C$37*'契約別単価'!K6+'前提と出典'!$C$38*'契約別単価'!K7)</ns0:f>
        <ns0:v>223712.17877094971</ns0:v>
      </ns0:c>
      <ns0:c r="L535" s="16">
        <ns0:f>A535*('前提と出典'!$C$36*'契約別単価'!L5+'前提と出典'!$C$37*'契約別単価'!L6+'前提と出典'!$C$38*'契約別単価'!L7)</ns0:f>
        <ns0:v>182147.23612475785</ns0:v>
      </ns0:c>
      <ns0:c r="M535" s="16">
        <ns0:f>IF(('前提と出典'!$C$36+'前提と出典'!$C$38)=0,0,IF(B535&lt;=10,'前提と出典'!B73+'前提と出典'!C73,IF(B535&lt;=100,'前提と出典'!B74+'前提と出典'!C74,IF(B535&lt;=500,'前提と出典'!B75+'前提と出典'!C75,'前提と出典'!B76+'前提と出典'!C76))))</ns0:f>
        <ns0:v>40000</ns0:v>
      </ns0:c>
      <ns0:c r="N535" s="16">
        <ns0:f>IF(('前提と出典'!$C$37+'前提と出典'!$C$38)=0,0,IF(C535&lt;=10,'前提と出典'!D73+'前提と出典'!E73,IF(C535&lt;=100,'前提と出典'!D74+'前提と出典'!E74,IF(C535&lt;=500,'前提と出典'!D75+'前提と出典'!E75,'前提と出典'!D76+'前提と出典'!E76))))</ns0:f>
        <ns0:v>56510.9346263078</ns0:v>
      </ns0:c>
      <ns0:c r="O535" s="16">
        <ns0:f>IF('前提と出典'!$C$36+'前提と出典'!$C$38=0,0,'前提と出典'!$B$4*IF('前提と出典'!$B$20=0,MAX('前提と出典'!$B$6,D535*'前提と出典'!$B$5),'前提と出典'!$B$6+D535*'前提と出典'!$B$5))</ns0:f>
        <ns0:v>527274.1005586592</ns0:v>
      </ns0:c>
      <ns0:c r="P535" s="16">
        <ns0:f>(E535+G535)*(1-'前提と出典'!$B$7)-I535-K535-M535-O535</ns0:f>
        <ns0:v>1195981.6363651145</ns0:v>
      </ns0:c>
      <ns0:c r="Q535" s="16">
        <ns0:f>(F535+H535)*(1-'前提と出典'!$B$7)-J535-L535-N535</ns0:f>
        <ns0:v>451484.14599956624</ns0:v>
      </ns0:c>
      <ns0:c r="R535" s="16">
        <ns0:f>P535-E535*'前提と出典'!$E$4</ns0:f>
        <ns0:v>887744.9525476488</ns0:v>
      </ns0:c>
      <ns0:c r="S535" s="16">
        <ns0:f>Q535-F535*'前提と出典'!$E$4</ns0:f>
        <ns0:v>330512.44608271815</ns0:v>
      </ns0:c>
      <ns0:c r="T535" s="7">
        <ns0:f>R535+S535</ns0:f>
        <ns0:v>1218257.398630367</ns0:v>
      </ns0:c>
      <ns0:c r="U535" s="16">
        <ns0:f>P535-E535*'前提と出典'!$E$5</ns0:f>
        <ns0:v>784999.3912751599</ns0:v>
      </ns0:c>
      <ns0:c r="V535" s="16">
        <ns0:f>Q535-F535*'前提と出典'!$E$5</ns0:f>
        <ns0:v>290188.54611043545</ns0:v>
      </ns0:c>
      <ns0:c r="W535" s="7">
        <ns0:f>U535+V535</ns0:f>
        <ns0:v>1075187.9373855954</ns0:v>
      </ns0:c>
      <ns0:c r="X535" s="16">
        <ns0:f>P535-E535*'前提と出典'!$E$6</ns0:f>
        <ns0:v>682253.8300026715</ns0:v>
      </ns0:c>
      <ns0:c r="Y535" s="16">
        <ns0:f>Q535-F535*'前提と出典'!$E$6</ns0:f>
        <ns0:v>249864.64613815275</ns0:v>
      </ns0:c>
      <ns0:c r="Z535" s="7">
        <ns0:f>X535+Y535</ns0:f>
        <ns0:v>932118.4761408241</ns0:v>
      </ns0:c>
      <ns0:c r="AA535" s="7">
        <ns0:f>IF(T535&gt;=0,A535,1001)</ns0:f>
        <ns0:v>531</ns0:v>
      </ns0:c>
      <ns0:c r="AB535" s="7">
        <ns0:f>IF(T535&lt;0,A535,0)</ns0:f>
        <ns0:v>0</ns0:v>
      </ns0:c>
      <ns0:c r="AC535" s="16">
        <ns0:f>IF(AND(OR('前提と出典'!$C$36+'前提と出典'!$C$38=0,R535&gt;=0),OR('前提と出典'!$C$37+'前提と出典'!$C$38=0,S535&gt;=0)),0,A535)</ns0:f>
        <ns0:v>0</ns0:v>
      </ns0:c>
      <ns0:c r="AD535" s="7">
        <ns0:f>IF(W535&gt;=0,A535,1001)</ns0:f>
        <ns0:v>531</ns0:v>
      </ns0:c>
      <ns0:c r="AE535" s="7">
        <ns0:f>IF(W535&lt;0,A535,0)</ns0:f>
        <ns0:v>0</ns0:v>
      </ns0:c>
      <ns0:c r="AF535" s="16">
        <ns0:f>IF(AND(OR('前提と出典'!$C$36+'前提と出典'!$C$38=0,U535&gt;=0),OR('前提と出典'!$C$37+'前提と出典'!$C$38=0,V535&gt;=0)),0,A535)</ns0:f>
        <ns0:v>0</ns0:v>
      </ns0:c>
      <ns0:c r="AG535" s="7">
        <ns0:f>IF(Z535&gt;=0,A535,1001)</ns0:f>
        <ns0:v>531</ns0:v>
      </ns0:c>
      <ns0:c r="AH535" s="4">
        <ns0:f>IF(Z535&lt;0,A535,0)</ns0:f>
        <ns0:v>0</ns0:v>
      </ns0:c>
      <ns0:c r="AI535" s="12">
        <ns0:f>IF(AND(OR('前提と出典'!$C$36+'前提と出典'!$C$38=0,X535&gt;=0),OR('前提と出典'!$C$37+'前提と出典'!$C$38=0,Y535&gt;=0)),0,A535)</ns0:f>
        <ns0:v>0</ns0:v>
      </ns0:c>
    </ns0:row>
    <ns0:row r="536" ht="24" customHeight="1">
      <ns0:c r="A536" s="4" t="n">
        <ns0:v>532</ns0:v>
      </ns0:c>
      <ns0:c r="B536" s="12">
        <ns0:f>A536*('前提と出典'!$C$36+'前提と出典'!$C$38)</ns0:f>
        <ns0:v>372.4</ns0:v>
      </ns0:c>
      <ns0:c r="C536" s="12">
        <ns0:f>A536*('前提と出典'!$C$37+'前提と出典'!$C$38)</ns0:f>
        <ns0:v>319.2</ns0:v>
      </ns0:c>
      <ns0:c r="D536" s="16">
        <ns0:f>A536*('前提と出典'!$C$36*'契約別単価'!C5+'前提と出典'!$C$37*'契約別単価'!C6+'前提と出典'!$C$38*'契約別単価'!C7)</ns0:f>
        <ns0:v>3828.0223463687153</ns0:v>
      </ns0:c>
      <ns0:c r="E536" s="16">
        <ns0:f>A536*('前提と出典'!$C$36*'契約別単価'!E5+'前提と出典'!$C$37*'契約別単価'!E6+'前提と出典'!$C$38*'契約別単価'!E7)</ns0:f>
        <ns0:v>1029390.5573816187</ns0:v>
      </ns0:c>
      <ns0:c r="F536" s="16">
        <ns0:f>A536*('前提と出典'!$C$36*'契約別単価'!F5+'前提と出典'!$C$37*'契約別単価'!F6+'前提と出典'!$C$38*'契約別単価'!F7)</ns0:f>
        <ns0:v>403998.39520253096</ns0:v>
      </ns0:c>
      <ns0:c r="G536" s="16">
        <ns0:f>A536*('前提と出典'!$C$36*'契約別単価'!G5+'前提と出典'!$C$37*'契約別単価'!G6+'前提と出典'!$C$38*'契約別単価'!G7)</ns0:f>
        <ns0:v>1058947.4860335195</ns0:v>
      </ns0:c>
      <ns0:c r="H536" s="16">
        <ns0:f>A536*('前提と出典'!$C$36*'契約別単価'!H5+'前提と出典'!$C$37*'契約別単価'!H6+'前提と出典'!$C$38*'契約別単価'!H7)</ns0:f>
        <ns0:v>367507.88804356975</ns0:v>
      </ns0:c>
      <ns0:c r="I536" s="16">
        <ns0:f>A536*('前提と出典'!$C$36*'契約別単価'!I5+'前提と出典'!$C$37*'契約別単価'!I6+'前提と出典'!$C$38*'契約別単価'!I7)</ns0:f>
        <ns0:v>22448.02234636871</ns0:v>
      </ns0:c>
      <ns0:c r="J536" s="16">
        <ns0:f>A536*('前提と出典'!$C$36*'契約別単価'!J5+'前提と出典'!$C$37*'契約別単価'!J6+'前提と出典'!$C$38*'契約別単価'!J7)</ns0:f>
        <ns0:v>52290.03725388097</ns0:v>
      </ns0:c>
      <ns0:c r="K536" s="16">
        <ns0:f>A536*('前提と出典'!$C$36*'契約別単価'!K5+'前提と出典'!$C$37*'契約別単価'!K6+'前提と出典'!$C$38*'契約別単価'!K7)</ns0:f>
        <ns0:v>224133.48230912475</ns0:v>
      </ns0:c>
      <ns0:c r="L536" s="16">
        <ns0:f>A536*('前提と出典'!$C$36*'契約別単価'!L5+'前提と出典'!$C$37*'契約別単価'!L6+'前提と出典'!$C$38*'契約別単価'!L7)</ns0:f>
        <ns0:v>182490.26293478566</ns0:v>
      </ns0:c>
      <ns0:c r="M536" s="16">
        <ns0:f>IF(('前提と出典'!$C$36+'前提と出典'!$C$38)=0,0,IF(B536&lt;=10,'前提と出典'!B73+'前提と出典'!C73,IF(B536&lt;=100,'前提と出典'!B74+'前提と出典'!C74,IF(B536&lt;=500,'前提と出典'!B75+'前提と出典'!C75,'前提と出典'!B76+'前提と出典'!C76))))</ns0:f>
        <ns0:v>40000</ns0:v>
      </ns0:c>
      <ns0:c r="N536" s="16">
        <ns0:f>IF(('前提と出典'!$C$37+'前提と出典'!$C$38)=0,0,IF(C536&lt;=10,'前提と出典'!D73+'前提と出典'!E73,IF(C536&lt;=100,'前提と出典'!D74+'前提と出典'!E74,IF(C536&lt;=500,'前提と出典'!D75+'前提と出典'!E75,'前提と出典'!D76+'前提と出典'!E76))))</ns0:f>
        <ns0:v>56510.9346263078</ns0:v>
      </ns0:c>
      <ns0:c r="O536" s="16">
        <ns0:f>IF('前提と出典'!$C$36+'前提と出典'!$C$38=0,0,'前提と出典'!$B$4*IF('前提と出典'!$B$20=0,MAX('前提と出典'!$B$6,D536*'前提と出典'!$B$5),'前提と出典'!$B$6+D536*'前提と出典'!$B$5))</ns0:f>
        <ns0:v>528267.0837988827</ns0:v>
      </ns0:c>
      <ns0:c r="P536" s="16">
        <ns0:f>(E536+G536)*(1-'前提と出典'!$B$7)-I536-K536-M536-O536</ns0:f>
        <ns0:v>1198309.285397817</ns0:v>
      </ns0:c>
      <ns0:c r="Q536" s="16">
        <ns0:f>(F536+H536)*(1-'前提と出典'!$B$7)-J536-L536-N536</ns0:f>
        <ns0:v>452440.82223426655</ns0:v>
      </ns0:c>
      <ns0:c r="R536" s="16">
        <ns0:f>P536-E536*'前提と出典'!$E$4</ns0:f>
        <ns0:v>889492.1181833314</ns0:v>
      </ns0:c>
      <ns0:c r="S536" s="16">
        <ns0:f>Q536-F536*'前提と出典'!$E$4</ns0:f>
        <ns0:v>331241.3036735073</ns0:v>
      </ns0:c>
      <ns0:c r="T536" s="7">
        <ns0:f>R536+S536</ns0:f>
        <ns0:v>1220733.4218568387</ns0:v>
      </ns0:c>
      <ns0:c r="U536" s="16">
        <ns0:f>P536-E536*'前提と出典'!$E$5</ns0:f>
        <ns0:v>786553.0624451694</ns0:v>
      </ns0:c>
      <ns0:c r="V536" s="16">
        <ns0:f>Q536-F536*'前提と出典'!$E$5</ns0:f>
        <ns0:v>290841.4641532542</ns0:v>
      </ns0:c>
      <ns0:c r="W536" s="7">
        <ns0:f>U536+V536</ns0:f>
        <ns0:v>1077394.5265984237</ns0:v>
      </ns0:c>
      <ns0:c r="X536" s="16">
        <ns0:f>P536-E536*'前提と出典'!$E$6</ns0:f>
        <ns0:v>683614.0067070076</ns0:v>
      </ns0:c>
      <ns0:c r="Y536" s="16">
        <ns0:f>Q536-F536*'前提と出典'!$E$6</ns0:f>
        <ns0:v>250441.62463300105</ns0:v>
      </ns0:c>
      <ns0:c r="Z536" s="7">
        <ns0:f>X536+Y536</ns0:f>
        <ns0:v>934055.6313400087</ns0:v>
      </ns0:c>
      <ns0:c r="AA536" s="7">
        <ns0:f>IF(T536&gt;=0,A536,1001)</ns0:f>
        <ns0:v>532</ns0:v>
      </ns0:c>
      <ns0:c r="AB536" s="7">
        <ns0:f>IF(T536&lt;0,A536,0)</ns0:f>
        <ns0:v>0</ns0:v>
      </ns0:c>
      <ns0:c r="AC536" s="16">
        <ns0:f>IF(AND(OR('前提と出典'!$C$36+'前提と出典'!$C$38=0,R536&gt;=0),OR('前提と出典'!$C$37+'前提と出典'!$C$38=0,S536&gt;=0)),0,A536)</ns0:f>
        <ns0:v>0</ns0:v>
      </ns0:c>
      <ns0:c r="AD536" s="7">
        <ns0:f>IF(W536&gt;=0,A536,1001)</ns0:f>
        <ns0:v>532</ns0:v>
      </ns0:c>
      <ns0:c r="AE536" s="7">
        <ns0:f>IF(W536&lt;0,A536,0)</ns0:f>
        <ns0:v>0</ns0:v>
      </ns0:c>
      <ns0:c r="AF536" s="16">
        <ns0:f>IF(AND(OR('前提と出典'!$C$36+'前提と出典'!$C$38=0,U536&gt;=0),OR('前提と出典'!$C$37+'前提と出典'!$C$38=0,V536&gt;=0)),0,A536)</ns0:f>
        <ns0:v>0</ns0:v>
      </ns0:c>
      <ns0:c r="AG536" s="7">
        <ns0:f>IF(Z536&gt;=0,A536,1001)</ns0:f>
        <ns0:v>532</ns0:v>
      </ns0:c>
      <ns0:c r="AH536" s="4">
        <ns0:f>IF(Z536&lt;0,A536,0)</ns0:f>
        <ns0:v>0</ns0:v>
      </ns0:c>
      <ns0:c r="AI536" s="12">
        <ns0:f>IF(AND(OR('前提と出典'!$C$36+'前提と出典'!$C$38=0,X536&gt;=0),OR('前提と出典'!$C$37+'前提と出典'!$C$38=0,Y536&gt;=0)),0,A536)</ns0:f>
        <ns0:v>0</ns0:v>
      </ns0:c>
    </ns0:row>
    <ns0:row r="537" ht="24" customHeight="1">
      <ns0:c r="A537" s="4" t="n">
        <ns0:v>533</ns0:v>
      </ns0:c>
      <ns0:c r="B537" s="12">
        <ns0:f>A537*('前提と出典'!$C$36+'前提と出典'!$C$38)</ns0:f>
        <ns0:v>373.09999999999997</ns0:v>
      </ns0:c>
      <ns0:c r="C537" s="12">
        <ns0:f>A537*('前提と出典'!$C$37+'前提と出典'!$C$38)</ns0:f>
        <ns0:v>319.8</ns0:v>
      </ns0:c>
      <ns0:c r="D537" s="16">
        <ns0:f>A537*('前提と出典'!$C$36*'契約別単価'!C5+'前提と出典'!$C$37*'契約別単価'!C6+'前提と出典'!$C$38*'契約別単価'!C7)</ns0:f>
        <ns0:v>3835.217877094972</ns0:v>
      </ns0:c>
      <ns0:c r="E537" s="16">
        <ns0:f>A537*('前提と出典'!$C$36*'契約別単価'!E5+'前提と出典'!$C$37*'契約別単価'!E6+'前提と出典'!$C$38*'契約別単価'!E7)</ns0:f>
        <ns0:v>1031325.502038351</ns0:v>
      </ns0:c>
      <ns0:c r="F537" s="16">
        <ns0:f>A537*('前提と出典'!$C$36*'契約別単価'!F5+'前提と出典'!$C$37*'契約別単価'!F6+'前提と出典'!$C$38*'契約別単価'!F7)</ns0:f>
        <ns0:v>404757.790682235</ns0:v>
      </ns0:c>
      <ns0:c r="G537" s="16">
        <ns0:f>A537*('前提と出典'!$C$36*'契約別単価'!G5+'前提と出典'!$C$37*'契約別単価'!G6+'前提と出典'!$C$38*'契約別単価'!G7)</ns0:f>
        <ns0:v>1060937.9888268155</ns0:v>
      </ns0:c>
      <ns0:c r="H537" s="16">
        <ns0:f>A537*('前提と出典'!$C$36*'契約別単価'!H5+'前提と出典'!$C$37*'契約別単価'!H6+'前提と出典'!$C$38*'契約別単価'!H7)</ns0:f>
        <ns0:v>368198.69234440353</ns0:v>
      </ns0:c>
      <ns0:c r="I537" s="16">
        <ns0:f>A537*('前提と出典'!$C$36*'契約別単価'!I5+'前提と出典'!$C$37*'契約別単価'!I6+'前提と出典'!$C$38*'契約別単価'!I7)</ns0:f>
        <ns0:v>22490.21787709497</ns0:v>
      </ns0:c>
      <ns0:c r="J537" s="16">
        <ns0:f>A537*('前提と出典'!$C$36*'契約別単価'!J5+'前提と出典'!$C$37*'契約別単価'!J6+'前提と出典'!$C$38*'契約別単価'!J7)</ns0:f>
        <ns0:v>52388.32679759127</ns0:v>
      </ns0:c>
      <ns0:c r="K537" s="16">
        <ns0:f>A537*('前提と出典'!$C$36*'契約別単価'!K5+'前提と出典'!$C$37*'契約別単価'!K6+'前提と出典'!$C$38*'契約別単価'!K7)</ns0:f>
        <ns0:v>224554.7858472998</ns0:v>
      </ns0:c>
      <ns0:c r="L537" s="16">
        <ns0:f>A537*('前提と出典'!$C$36*'契約別単価'!L5+'前提と出典'!$C$37*'契約別単価'!L6+'前提と出典'!$C$38*'契約別単価'!L7)</ns0:f>
        <ns0:v>182833.28974481343</ns0:v>
      </ns0:c>
      <ns0:c r="M537" s="16">
        <ns0:f>IF(('前提と出典'!$C$36+'前提と出典'!$C$38)=0,0,IF(B537&lt;=10,'前提と出典'!B73+'前提と出典'!C73,IF(B537&lt;=100,'前提と出典'!B74+'前提と出典'!C74,IF(B537&lt;=500,'前提と出典'!B75+'前提と出典'!C75,'前提と出典'!B76+'前提と出典'!C76))))</ns0:f>
        <ns0:v>40000</ns0:v>
      </ns0:c>
      <ns0:c r="N537" s="16">
        <ns0:f>IF(('前提と出典'!$C$37+'前提と出典'!$C$38)=0,0,IF(C537&lt;=10,'前提と出典'!D73+'前提と出典'!E73,IF(C537&lt;=100,'前提と出典'!D74+'前提と出典'!E74,IF(C537&lt;=500,'前提と出典'!D75+'前提と出典'!E75,'前提と出典'!D76+'前提と出典'!E76))))</ns0:f>
        <ns0:v>56510.9346263078</ns0:v>
      </ns0:c>
      <ns0:c r="O537" s="16">
        <ns0:f>IF('前提と出典'!$C$36+'前提と出典'!$C$38=0,0,'前提と出典'!$B$4*IF('前提と出典'!$B$20=0,MAX('前提と出典'!$B$6,D537*'前提と出典'!$B$5),'前提と出典'!$B$6+D537*'前提と出典'!$B$5))</ns0:f>
        <ns0:v>529260.0670391062</ns0:v>
      </ns0:c>
      <ns0:c r="P537" s="16">
        <ns0:f>(E537+G537)*(1-'前提と出典'!$B$7)-I537-K537-M537-O537</ns0:f>
        <ns0:v>1200636.9344305196</ns0:v>
      </ns0:c>
      <ns0:c r="Q537" s="16">
        <ns0:f>(F537+H537)*(1-'前提と出典'!$B$7)-J537-L537-N537</ns0:f>
        <ns0:v>453397.4984689669</ns0:v>
      </ns0:c>
      <ns0:c r="R537" s="16">
        <ns0:f>P537-E537*'前提と出典'!$E$4</ns0:f>
        <ns0:v>891239.2838190143</ns0:v>
      </ns0:c>
      <ns0:c r="S537" s="16">
        <ns0:f>Q537-F537*'前提と出典'!$E$4</ns0:f>
        <ns0:v>331970.1612642964</ns0:v>
      </ns0:c>
      <ns0:c r="T537" s="7">
        <ns0:f>R537+S537</ns0:f>
        <ns0:v>1223209.4450833108</ns0:v>
      </ns0:c>
      <ns0:c r="U537" s="16">
        <ns0:f>P537-E537*'前提と出典'!$E$5</ns0:f>
        <ns0:v>788106.7336151792</ns0:v>
      </ns0:c>
      <ns0:c r="V537" s="16">
        <ns0:f>Q537-F537*'前提と出典'!$E$5</ns0:f>
        <ns0:v>291494.38219607295</ns0:v>
      </ns0:c>
      <ns0:c r="W537" s="7">
        <ns0:f>U537+V537</ns0:f>
        <ns0:v>1079601.115811252</ns0:v>
      </ns0:c>
      <ns0:c r="X537" s="16">
        <ns0:f>P537-E537*'前提と出典'!$E$6</ns0:f>
        <ns0:v>684974.1834113443</ns0:v>
      </ns0:c>
      <ns0:c r="Y537" s="16">
        <ns0:f>Q537-F537*'前提と出典'!$E$6</ns0:f>
        <ns0:v>251018.6031278494</ns0:v>
      </ns0:c>
      <ns0:c r="Z537" s="7">
        <ns0:f>X537+Y537</ns0:f>
        <ns0:v>935992.7865391937</ns0:v>
      </ns0:c>
      <ns0:c r="AA537" s="7">
        <ns0:f>IF(T537&gt;=0,A537,1001)</ns0:f>
        <ns0:v>533</ns0:v>
      </ns0:c>
      <ns0:c r="AB537" s="7">
        <ns0:f>IF(T537&lt;0,A537,0)</ns0:f>
        <ns0:v>0</ns0:v>
      </ns0:c>
      <ns0:c r="AC537" s="16">
        <ns0:f>IF(AND(OR('前提と出典'!$C$36+'前提と出典'!$C$38=0,R537&gt;=0),OR('前提と出典'!$C$37+'前提と出典'!$C$38=0,S537&gt;=0)),0,A537)</ns0:f>
        <ns0:v>0</ns0:v>
      </ns0:c>
      <ns0:c r="AD537" s="7">
        <ns0:f>IF(W537&gt;=0,A537,1001)</ns0:f>
        <ns0:v>533</ns0:v>
      </ns0:c>
      <ns0:c r="AE537" s="7">
        <ns0:f>IF(W537&lt;0,A537,0)</ns0:f>
        <ns0:v>0</ns0:v>
      </ns0:c>
      <ns0:c r="AF537" s="16">
        <ns0:f>IF(AND(OR('前提と出典'!$C$36+'前提と出典'!$C$38=0,U537&gt;=0),OR('前提と出典'!$C$37+'前提と出典'!$C$38=0,V537&gt;=0)),0,A537)</ns0:f>
        <ns0:v>0</ns0:v>
      </ns0:c>
      <ns0:c r="AG537" s="7">
        <ns0:f>IF(Z537&gt;=0,A537,1001)</ns0:f>
        <ns0:v>533</ns0:v>
      </ns0:c>
      <ns0:c r="AH537" s="4">
        <ns0:f>IF(Z537&lt;0,A537,0)</ns0:f>
        <ns0:v>0</ns0:v>
      </ns0:c>
      <ns0:c r="AI537" s="12">
        <ns0:f>IF(AND(OR('前提と出典'!$C$36+'前提と出典'!$C$38=0,X537&gt;=0),OR('前提と出典'!$C$37+'前提と出典'!$C$38=0,Y537&gt;=0)),0,A537)</ns0:f>
        <ns0:v>0</ns0:v>
      </ns0:c>
    </ns0:row>
    <ns0:row r="538" ht="24" customHeight="1">
      <ns0:c r="A538" s="4" t="n">
        <ns0:v>534</ns0:v>
      </ns0:c>
      <ns0:c r="B538" s="12">
        <ns0:f>A538*('前提と出典'!$C$36+'前提と出典'!$C$38)</ns0:f>
        <ns0:v>373.79999999999995</ns0:v>
      </ns0:c>
      <ns0:c r="C538" s="12">
        <ns0:f>A538*('前提と出典'!$C$37+'前提と出典'!$C$38)</ns0:f>
        <ns0:v>320.4</ns0:v>
      </ns0:c>
      <ns0:c r="D538" s="16">
        <ns0:f>A538*('前提と出典'!$C$36*'契約別単価'!C5+'前提と出典'!$C$37*'契約別単価'!C6+'前提と出典'!$C$38*'契約別単価'!C7)</ns0:f>
        <ns0:v>3842.413407821229</ns0:v>
      </ns0:c>
      <ns0:c r="E538" s="16">
        <ns0:f>A538*('前提と出典'!$C$36*'契約別単価'!E5+'前提と出典'!$C$37*'契約別単価'!E6+'前提と出典'!$C$38*'契約別単価'!E7)</ns0:f>
        <ns0:v>1033260.4466950834</ns0:v>
      </ns0:c>
      <ns0:c r="F538" s="16">
        <ns0:f>A538*('前提と出典'!$C$36*'契約別単価'!F5+'前提と出典'!$C$37*'契約別単価'!F6+'前提と出典'!$C$38*'契約別単価'!F7)</ns0:f>
        <ns0:v>405517.18616193894</ns0:v>
      </ns0:c>
      <ns0:c r="G538" s="16">
        <ns0:f>A538*('前提と出典'!$C$36*'契約別単価'!G5+'前提と出典'!$C$37*'契約別単価'!G6+'前提と出典'!$C$38*'契約別単価'!G7)</ns0:f>
        <ns0:v>1062928.4916201117</ns0:v>
      </ns0:c>
      <ns0:c r="H538" s="16">
        <ns0:f>A538*('前提と出典'!$C$36*'契約別単価'!H5+'前提と出典'!$C$37*'契約別単価'!H6+'前提と出典'!$C$38*'契約別単価'!H7)</ns0:f>
        <ns0:v>368889.49664523726</ns0:v>
      </ns0:c>
      <ns0:c r="I538" s="16">
        <ns0:f>A538*('前提と出典'!$C$36*'契約別単価'!I5+'前提と出典'!$C$37*'契約別単価'!I6+'前提と出典'!$C$38*'契約別単価'!I7)</ns0:f>
        <ns0:v>22532.413407821226</ns0:v>
      </ns0:c>
      <ns0:c r="J538" s="16">
        <ns0:f>A538*('前提と出典'!$C$36*'契約別単価'!J5+'前提と出典'!$C$37*'契約別単価'!J6+'前提と出典'!$C$38*'契約別単価'!J7)</ns0:f>
        <ns0:v>52486.61634130157</ns0:v>
      </ns0:c>
      <ns0:c r="K538" s="16">
        <ns0:f>A538*('前提と出典'!$C$36*'契約別単価'!K5+'前提と出典'!$C$37*'契約別単価'!K6+'前提と出典'!$C$38*'契約別単価'!K7)</ns0:f>
        <ns0:v>224976.08938547486</ns0:v>
      </ns0:c>
      <ns0:c r="L538" s="16">
        <ns0:f>A538*('前提と出典'!$C$36*'契約別単価'!L5+'前提と出典'!$C$37*'契約別単価'!L6+'前提と出典'!$C$38*'契約別単価'!L7)</ns0:f>
        <ns0:v>183176.31655484124</ns0:v>
      </ns0:c>
      <ns0:c r="M538" s="16">
        <ns0:f>IF(('前提と出典'!$C$36+'前提と出典'!$C$38)=0,0,IF(B538&lt;=10,'前提と出典'!B73+'前提と出典'!C73,IF(B538&lt;=100,'前提と出典'!B74+'前提と出典'!C74,IF(B538&lt;=500,'前提と出典'!B75+'前提と出典'!C75,'前提と出典'!B76+'前提と出典'!C76))))</ns0:f>
        <ns0:v>40000</ns0:v>
      </ns0:c>
      <ns0:c r="N538" s="16">
        <ns0:f>IF(('前提と出典'!$C$37+'前提と出典'!$C$38)=0,0,IF(C538&lt;=10,'前提と出典'!D73+'前提と出典'!E73,IF(C538&lt;=100,'前提と出典'!D74+'前提と出典'!E74,IF(C538&lt;=500,'前提と出典'!D75+'前提と出典'!E75,'前提と出典'!D76+'前提と出典'!E76))))</ns0:f>
        <ns0:v>56510.9346263078</ns0:v>
      </ns0:c>
      <ns0:c r="O538" s="16">
        <ns0:f>IF('前提と出典'!$C$36+'前提と出典'!$C$38=0,0,'前提と出典'!$B$4*IF('前提と出典'!$B$20=0,MAX('前提と出典'!$B$6,D538*'前提と出典'!$B$5),'前提と出典'!$B$6+D538*'前提と出典'!$B$5))</ns0:f>
        <ns0:v>530253.0502793296</ns0:v>
      </ns0:c>
      <ns0:c r="P538" s="16">
        <ns0:f>(E538+G538)*(1-'前提と出典'!$B$7)-I538-K538-M538-O538</ns0:f>
        <ns0:v>1202964.5834632223</ns0:v>
      </ns0:c>
      <ns0:c r="Q538" s="16">
        <ns0:f>(F538+H538)*(1-'前提と出典'!$B$7)-J538-L538-N538</ns0:f>
        <ns0:v>454354.1747036672</ns0:v>
      </ns0:c>
      <ns0:c r="R538" s="16">
        <ns0:f>P538-E538*'前提と出典'!$E$4</ns0:f>
        <ns0:v>892986.4494546974</ns0:v>
      </ns0:c>
      <ns0:c r="S538" s="16">
        <ns0:f>Q538-F538*'前提と出典'!$E$4</ns0:f>
        <ns0:v>332699.0188550855</ns0:v>
      </ns0:c>
      <ns0:c r="T538" s="7">
        <ns0:f>R538+S538</ns0:f>
        <ns0:v>1225685.468309783</ns0:v>
      </ns0:c>
      <ns0:c r="U538" s="16">
        <ns0:f>P538-E538*'前提と出典'!$E$5</ns0:f>
        <ns0:v>789660.404785189</ns0:v>
      </ns0:c>
      <ns0:c r="V538" s="16">
        <ns0:f>Q538-F538*'前提と出典'!$E$5</ns0:f>
        <ns0:v>292147.3002388916</ns0:v>
      </ns0:c>
      <ns0:c r="W538" s="7">
        <ns0:f>U538+V538</ns0:f>
        <ns0:v>1081807.7050240806</ns0:v>
      </ns0:c>
      <ns0:c r="X538" s="16">
        <ns0:f>P538-E538*'前提と出典'!$E$6</ns0:f>
        <ns0:v>686334.3601156807</ns0:v>
      </ns0:c>
      <ns0:c r="Y538" s="16">
        <ns0:f>Q538-F538*'前提と出典'!$E$6</ns0:f>
        <ns0:v>251595.58162269765</ns0:v>
      </ns0:c>
      <ns0:c r="Z538" s="7">
        <ns0:f>X538+Y538</ns0:f>
        <ns0:v>937929.9417383784</ns0:v>
      </ns0:c>
      <ns0:c r="AA538" s="7">
        <ns0:f>IF(T538&gt;=0,A538,1001)</ns0:f>
        <ns0:v>534</ns0:v>
      </ns0:c>
      <ns0:c r="AB538" s="7">
        <ns0:f>IF(T538&lt;0,A538,0)</ns0:f>
        <ns0:v>0</ns0:v>
      </ns0:c>
      <ns0:c r="AC538" s="16">
        <ns0:f>IF(AND(OR('前提と出典'!$C$36+'前提と出典'!$C$38=0,R538&gt;=0),OR('前提と出典'!$C$37+'前提と出典'!$C$38=0,S538&gt;=0)),0,A538)</ns0:f>
        <ns0:v>0</ns0:v>
      </ns0:c>
      <ns0:c r="AD538" s="7">
        <ns0:f>IF(W538&gt;=0,A538,1001)</ns0:f>
        <ns0:v>534</ns0:v>
      </ns0:c>
      <ns0:c r="AE538" s="7">
        <ns0:f>IF(W538&lt;0,A538,0)</ns0:f>
        <ns0:v>0</ns0:v>
      </ns0:c>
      <ns0:c r="AF538" s="16">
        <ns0:f>IF(AND(OR('前提と出典'!$C$36+'前提と出典'!$C$38=0,U538&gt;=0),OR('前提と出典'!$C$37+'前提と出典'!$C$38=0,V538&gt;=0)),0,A538)</ns0:f>
        <ns0:v>0</ns0:v>
      </ns0:c>
      <ns0:c r="AG538" s="7">
        <ns0:f>IF(Z538&gt;=0,A538,1001)</ns0:f>
        <ns0:v>534</ns0:v>
      </ns0:c>
      <ns0:c r="AH538" s="4">
        <ns0:f>IF(Z538&lt;0,A538,0)</ns0:f>
        <ns0:v>0</ns0:v>
      </ns0:c>
      <ns0:c r="AI538" s="12">
        <ns0:f>IF(AND(OR('前提と出典'!$C$36+'前提と出典'!$C$38=0,X538&gt;=0),OR('前提と出典'!$C$37+'前提と出典'!$C$38=0,Y538&gt;=0)),0,A538)</ns0:f>
        <ns0:v>0</ns0:v>
      </ns0:c>
    </ns0:row>
    <ns0:row r="539" ht="24" customHeight="1">
      <ns0:c r="A539" s="4" t="n">
        <ns0:v>535</ns0:v>
      </ns0:c>
      <ns0:c r="B539" s="12">
        <ns0:f>A539*('前提と出典'!$C$36+'前提と出典'!$C$38)</ns0:f>
        <ns0:v>374.5</ns0:v>
      </ns0:c>
      <ns0:c r="C539" s="12">
        <ns0:f>A539*('前提と出典'!$C$37+'前提と出典'!$C$38)</ns0:f>
        <ns0:v>321</ns0:v>
      </ns0:c>
      <ns0:c r="D539" s="16">
        <ns0:f>A539*('前提と出典'!$C$36*'契約別単価'!C5+'前提と出典'!$C$37*'契約別単価'!C6+'前提と出典'!$C$38*'契約別単価'!C7)</ns0:f>
        <ns0:v>3849.608938547486</ns0:v>
      </ns0:c>
      <ns0:c r="E539" s="16">
        <ns0:f>A539*('前提と出典'!$C$36*'契約別単価'!E5+'前提と出典'!$C$37*'契約別単価'!E6+'前提と出典'!$C$38*'契約別単価'!E7)</ns0:f>
        <ns0:v>1035195.3913518158</ns0:v>
      </ns0:c>
      <ns0:c r="F539" s="16">
        <ns0:f>A539*('前提と出典'!$C$36*'契約別単価'!F5+'前提と出典'!$C$37*'契約別単価'!F6+'前提と出典'!$C$38*'契約別単価'!F7)</ns0:f>
        <ns0:v>406276.58164164296</ns0:v>
      </ns0:c>
      <ns0:c r="G539" s="16">
        <ns0:f>A539*('前提と出典'!$C$36*'契約別単価'!G5+'前提と出典'!$C$37*'契約別単価'!G6+'前提と出典'!$C$38*'契約別単価'!G7)</ns0:f>
        <ns0:v>1064918.9944134078</ns0:v>
      </ns0:c>
      <ns0:c r="H539" s="16">
        <ns0:f>A539*('前提と出典'!$C$36*'契約別単価'!H5+'前提と出典'!$C$37*'契約別単価'!H6+'前提と出典'!$C$38*'契約別単価'!H7)</ns0:f>
        <ns0:v>369580.30094607105</ns0:v>
      </ns0:c>
      <ns0:c r="I539" s="16">
        <ns0:f>A539*('前提と出典'!$C$36*'契約別単価'!I5+'前提と出典'!$C$37*'契約別単価'!I6+'前提と出典'!$C$38*'契約別単価'!I7)</ns0:f>
        <ns0:v>22574.60893854748</ns0:v>
      </ns0:c>
      <ns0:c r="J539" s="16">
        <ns0:f>A539*('前提と出典'!$C$36*'契約別単価'!J5+'前提と出典'!$C$37*'契約別単価'!J6+'前提と出典'!$C$38*'契約別単価'!J7)</ns0:f>
        <ns0:v>52584.905885011874</ns0:v>
      </ns0:c>
      <ns0:c r="K539" s="16">
        <ns0:f>A539*('前提と出典'!$C$36*'契約別単価'!K5+'前提と出典'!$C$37*'契約別単価'!K6+'前提と出典'!$C$38*'契約別単価'!K7)</ns0:f>
        <ns0:v>225397.3929236499</ns0:v>
      </ns0:c>
      <ns0:c r="L539" s="16">
        <ns0:f>A539*('前提と出典'!$C$36*'契約別単価'!L5+'前提と出典'!$C$37*'契約別単価'!L6+'前提と出典'!$C$38*'契約別単価'!L7)</ns0:f>
        <ns0:v>183519.34336486904</ns0:v>
      </ns0:c>
      <ns0:c r="M539" s="16">
        <ns0:f>IF(('前提と出典'!$C$36+'前提と出典'!$C$38)=0,0,IF(B539&lt;=10,'前提と出典'!B73+'前提と出典'!C73,IF(B539&lt;=100,'前提と出典'!B74+'前提と出典'!C74,IF(B539&lt;=500,'前提と出典'!B75+'前提と出典'!C75,'前提と出典'!B76+'前提と出典'!C76))))</ns0:f>
        <ns0:v>40000</ns0:v>
      </ns0:c>
      <ns0:c r="N539" s="16">
        <ns0:f>IF(('前提と出典'!$C$37+'前提と出典'!$C$38)=0,0,IF(C539&lt;=10,'前提と出典'!D73+'前提と出典'!E73,IF(C539&lt;=100,'前提と出典'!D74+'前提と出典'!E74,IF(C539&lt;=500,'前提と出典'!D75+'前提と出典'!E75,'前提と出典'!D76+'前提と出典'!E76))))</ns0:f>
        <ns0:v>56510.9346263078</ns0:v>
      </ns0:c>
      <ns0:c r="O539" s="16">
        <ns0:f>IF('前提と出典'!$C$36+'前提と出典'!$C$38=0,0,'前提と出典'!$B$4*IF('前提と出典'!$B$20=0,MAX('前提と出典'!$B$6,D539*'前提と出典'!$B$5),'前提と出典'!$B$6+D539*'前提と出典'!$B$5))</ns0:f>
        <ns0:v>531246.0335195531</ns0:v>
      </ns0:c>
      <ns0:c r="P539" s="16">
        <ns0:f>(E539+G539)*(1-'前提と出典'!$B$7)-I539-K539-M539-O539</ns0:f>
        <ns0:v>1205292.232495925</ns0:v>
      </ns0:c>
      <ns0:c r="Q539" s="16">
        <ns0:f>(F539+H539)*(1-'前提と出典'!$B$7)-J539-L539-N539</ns0:f>
        <ns0:v>455310.8509383675</ns0:v>
      </ns0:c>
      <ns0:c r="R539" s="16">
        <ns0:f>P539-E539*'前提と出典'!$E$4</ns0:f>
        <ns0:v>894733.6150903805</ns0:v>
      </ns0:c>
      <ns0:c r="S539" s="16">
        <ns0:f>Q539-F539*'前提と出典'!$E$4</ns0:f>
        <ns0:v>333427.8764458748</ns0:v>
      </ns0:c>
      <ns0:c r="T539" s="7">
        <ns0:f>R539+S539</ns0:f>
        <ns0:v>1228161.4915362555</ns0:v>
      </ns0:c>
      <ns0:c r="U539" s="16">
        <ns0:f>P539-E539*'前提と出典'!$E$5</ns0:f>
        <ns0:v>791214.0759551987</ns0:v>
      </ns0:c>
      <ns0:c r="V539" s="16">
        <ns0:f>Q539-F539*'前提と出典'!$E$5</ns0:f>
        <ns0:v>292800.2182817103</ns0:v>
      </ns0:c>
      <ns0:c r="W539" s="7">
        <ns0:f>U539+V539</ns0:f>
        <ns0:v>1084014.2942369091</ns0:v>
      </ns0:c>
      <ns0:c r="X539" s="16">
        <ns0:f>P539-E539*'前提と出典'!$E$6</ns0:f>
        <ns0:v>687694.5368200174</ns0:v>
      </ns0:c>
      <ns0:c r="Y539" s="16">
        <ns0:f>Q539-F539*'前提と出典'!$E$6</ns0:f>
        <ns0:v>252172.560117546</ns0:v>
      </ns0:c>
      <ns0:c r="Z539" s="7">
        <ns0:f>X539+Y539</ns0:f>
        <ns0:v>939867.0969375634</ns0:v>
      </ns0:c>
      <ns0:c r="AA539" s="7">
        <ns0:f>IF(T539&gt;=0,A539,1001)</ns0:f>
        <ns0:v>535</ns0:v>
      </ns0:c>
      <ns0:c r="AB539" s="7">
        <ns0:f>IF(T539&lt;0,A539,0)</ns0:f>
        <ns0:v>0</ns0:v>
      </ns0:c>
      <ns0:c r="AC539" s="16">
        <ns0:f>IF(AND(OR('前提と出典'!$C$36+'前提と出典'!$C$38=0,R539&gt;=0),OR('前提と出典'!$C$37+'前提と出典'!$C$38=0,S539&gt;=0)),0,A539)</ns0:f>
        <ns0:v>0</ns0:v>
      </ns0:c>
      <ns0:c r="AD539" s="7">
        <ns0:f>IF(W539&gt;=0,A539,1001)</ns0:f>
        <ns0:v>535</ns0:v>
      </ns0:c>
      <ns0:c r="AE539" s="7">
        <ns0:f>IF(W539&lt;0,A539,0)</ns0:f>
        <ns0:v>0</ns0:v>
      </ns0:c>
      <ns0:c r="AF539" s="16">
        <ns0:f>IF(AND(OR('前提と出典'!$C$36+'前提と出典'!$C$38=0,U539&gt;=0),OR('前提と出典'!$C$37+'前提と出典'!$C$38=0,V539&gt;=0)),0,A539)</ns0:f>
        <ns0:v>0</ns0:v>
      </ns0:c>
      <ns0:c r="AG539" s="7">
        <ns0:f>IF(Z539&gt;=0,A539,1001)</ns0:f>
        <ns0:v>535</ns0:v>
      </ns0:c>
      <ns0:c r="AH539" s="4">
        <ns0:f>IF(Z539&lt;0,A539,0)</ns0:f>
        <ns0:v>0</ns0:v>
      </ns0:c>
      <ns0:c r="AI539" s="12">
        <ns0:f>IF(AND(OR('前提と出典'!$C$36+'前提と出典'!$C$38=0,X539&gt;=0),OR('前提と出典'!$C$37+'前提と出典'!$C$38=0,Y539&gt;=0)),0,A539)</ns0:f>
        <ns0:v>0</ns0:v>
      </ns0:c>
    </ns0:row>
    <ns0:row r="540" ht="24" customHeight="1">
      <ns0:c r="A540" s="4" t="n">
        <ns0:v>536</ns0:v>
      </ns0:c>
      <ns0:c r="B540" s="12">
        <ns0:f>A540*('前提と出典'!$C$36+'前提と出典'!$C$38)</ns0:f>
        <ns0:v>375.2</ns0:v>
      </ns0:c>
      <ns0:c r="C540" s="12">
        <ns0:f>A540*('前提と出典'!$C$37+'前提と出典'!$C$38)</ns0:f>
        <ns0:v>321.59999999999997</ns0:v>
      </ns0:c>
      <ns0:c r="D540" s="16">
        <ns0:f>A540*('前提と出典'!$C$36*'契約別単価'!C5+'前提と出典'!$C$37*'契約別単価'!C6+'前提と出典'!$C$38*'契約別単価'!C7)</ns0:f>
        <ns0:v>3856.804469273743</ns0:v>
      </ns0:c>
      <ns0:c r="E540" s="16">
        <ns0:f>A540*('前提と出典'!$C$36*'契約別単価'!E5+'前提と出典'!$C$37*'契約別単価'!E6+'前提と出典'!$C$38*'契約別単価'!E7)</ns0:f>
        <ns0:v>1037130.3360085482</ns0:v>
      </ns0:c>
      <ns0:c r="F540" s="16">
        <ns0:f>A540*('前提と出典'!$C$36*'契約別単価'!F5+'前提と出典'!$C$37*'契約別単価'!F6+'前提と出典'!$C$38*'契約別単価'!F7)</ns0:f>
        <ns0:v>407035.977121347</ns0:v>
      </ns0:c>
      <ns0:c r="G540" s="16">
        <ns0:f>A540*('前提と出典'!$C$36*'契約別単価'!G5+'前提と出典'!$C$37*'契約別単価'!G6+'前提と出典'!$C$38*'契約別単価'!G7)</ns0:f>
        <ns0:v>1066909.4972067038</ns0:v>
      </ns0:c>
      <ns0:c r="H540" s="16">
        <ns0:f>A540*('前提と出典'!$C$36*'契約別単価'!H5+'前提と出典'!$C$37*'契約別単価'!H6+'前提と出典'!$C$38*'契約別単価'!H7)</ns0:f>
        <ns0:v>370271.10524690483</ns0:v>
      </ns0:c>
      <ns0:c r="I540" s="16">
        <ns0:f>A540*('前提と出典'!$C$36*'契約別単価'!I5+'前提と出典'!$C$37*'契約別単価'!I6+'前提と出典'!$C$38*'契約別単価'!I7)</ns0:f>
        <ns0:v>22616.80446927374</ns0:v>
      </ns0:c>
      <ns0:c r="J540" s="16">
        <ns0:f>A540*('前提と出典'!$C$36*'契約別単価'!J5+'前提と出典'!$C$37*'契約別単価'!J6+'前提と出典'!$C$38*'契約別単価'!J7)</ns0:f>
        <ns0:v>52683.195428722174</ns0:v>
      </ns0:c>
      <ns0:c r="K540" s="16">
        <ns0:f>A540*('前提と出典'!$C$36*'契約別単価'!K5+'前提と出典'!$C$37*'契約別単価'!K6+'前提と出典'!$C$38*'契約別単価'!K7)</ns0:f>
        <ns0:v>225818.69646182493</ns0:v>
      </ns0:c>
      <ns0:c r="L540" s="16">
        <ns0:f>A540*('前提と出典'!$C$36*'契約別単価'!L5+'前提と出典'!$C$37*'契約別単価'!L6+'前提と出典'!$C$38*'契約別単価'!L7)</ns0:f>
        <ns0:v>183862.37017489682</ns0:v>
      </ns0:c>
      <ns0:c r="M540" s="16">
        <ns0:f>IF(('前提と出典'!$C$36+'前提と出典'!$C$38)=0,0,IF(B540&lt;=10,'前提と出典'!B73+'前提と出典'!C73,IF(B540&lt;=100,'前提と出典'!B74+'前提と出典'!C74,IF(B540&lt;=500,'前提と出典'!B75+'前提と出典'!C75,'前提と出典'!B76+'前提と出典'!C76))))</ns0:f>
        <ns0:v>40000</ns0:v>
      </ns0:c>
      <ns0:c r="N540" s="16">
        <ns0:f>IF(('前提と出典'!$C$37+'前提と出典'!$C$38)=0,0,IF(C540&lt;=10,'前提と出典'!D73+'前提と出典'!E73,IF(C540&lt;=100,'前提と出典'!D74+'前提と出典'!E74,IF(C540&lt;=500,'前提と出典'!D75+'前提と出典'!E75,'前提と出典'!D76+'前提と出典'!E76))))</ns0:f>
        <ns0:v>56510.9346263078</ns0:v>
      </ns0:c>
      <ns0:c r="O540" s="16">
        <ns0:f>IF('前提と出典'!$C$36+'前提と出典'!$C$38=0,0,'前提と出典'!$B$4*IF('前提と出典'!$B$20=0,MAX('前提と出典'!$B$6,D540*'前提と出典'!$B$5),'前提と出典'!$B$6+D540*'前提と出典'!$B$5))</ns0:f>
        <ns0:v>532239.0167597765</ns0:v>
      </ns0:c>
      <ns0:c r="P540" s="16">
        <ns0:f>(E540+G540)*(1-'前提と出典'!$B$7)-I540-K540-M540-O540</ns0:f>
        <ns0:v>1207619.8815286278</ns0:v>
      </ns0:c>
      <ns0:c r="Q540" s="16">
        <ns0:f>(F540+H540)*(1-'前提と出典'!$B$7)-J540-L540-N540</ns0:f>
        <ns0:v>456267.527173068</ns0:v>
      </ns0:c>
      <ns0:c r="R540" s="16">
        <ns0:f>P540-E540*'前提と出典'!$E$4</ns0:f>
        <ns0:v>896480.7807260633</ns0:v>
      </ns0:c>
      <ns0:c r="S540" s="16">
        <ns0:f>Q540-F540*'前提と出典'!$E$4</ns0:f>
        <ns0:v>334156.7340366639</ns0:v>
      </ns0:c>
      <ns0:c r="T540" s="7">
        <ns0:f>R540+S540</ns0:f>
        <ns0:v>1230637.514762727</ns0:v>
      </ns0:c>
      <ns0:c r="U540" s="16">
        <ns0:f>P540-E540*'前提と出典'!$E$5</ns0:f>
        <ns0:v>792767.7471252086</ns0:v>
      </ns0:c>
      <ns0:c r="V540" s="16">
        <ns0:f>Q540-F540*'前提と出典'!$E$5</ns0:f>
        <ns0:v>293453.1363245292</ns0:v>
      </ns0:c>
      <ns0:c r="W540" s="7">
        <ns0:f>U540+V540</ns0:f>
        <ns0:v>1086220.883449738</ns0:v>
      </ns0:c>
      <ns0:c r="X540" s="16">
        <ns0:f>P540-E540*'前提と出典'!$E$6</ns0:f>
        <ns0:v>689054.7135243537</ns0:v>
      </ns0:c>
      <ns0:c r="Y540" s="16">
        <ns0:f>Q540-F540*'前提と出典'!$E$6</ns0:f>
        <ns0:v>252749.53861239448</ns0:v>
      </ns0:c>
      <ns0:c r="Z540" s="7">
        <ns0:f>X540+Y540</ns0:f>
        <ns0:v>941804.2521367482</ns0:v>
      </ns0:c>
      <ns0:c r="AA540" s="7">
        <ns0:f>IF(T540&gt;=0,A540,1001)</ns0:f>
        <ns0:v>536</ns0:v>
      </ns0:c>
      <ns0:c r="AB540" s="7">
        <ns0:f>IF(T540&lt;0,A540,0)</ns0:f>
        <ns0:v>0</ns0:v>
      </ns0:c>
      <ns0:c r="AC540" s="16">
        <ns0:f>IF(AND(OR('前提と出典'!$C$36+'前提と出典'!$C$38=0,R540&gt;=0),OR('前提と出典'!$C$37+'前提と出典'!$C$38=0,S540&gt;=0)),0,A540)</ns0:f>
        <ns0:v>0</ns0:v>
      </ns0:c>
      <ns0:c r="AD540" s="7">
        <ns0:f>IF(W540&gt;=0,A540,1001)</ns0:f>
        <ns0:v>536</ns0:v>
      </ns0:c>
      <ns0:c r="AE540" s="7">
        <ns0:f>IF(W540&lt;0,A540,0)</ns0:f>
        <ns0:v>0</ns0:v>
      </ns0:c>
      <ns0:c r="AF540" s="16">
        <ns0:f>IF(AND(OR('前提と出典'!$C$36+'前提と出典'!$C$38=0,U540&gt;=0),OR('前提と出典'!$C$37+'前提と出典'!$C$38=0,V540&gt;=0)),0,A540)</ns0:f>
        <ns0:v>0</ns0:v>
      </ns0:c>
      <ns0:c r="AG540" s="7">
        <ns0:f>IF(Z540&gt;=0,A540,1001)</ns0:f>
        <ns0:v>536</ns0:v>
      </ns0:c>
      <ns0:c r="AH540" s="4">
        <ns0:f>IF(Z540&lt;0,A540,0)</ns0:f>
        <ns0:v>0</ns0:v>
      </ns0:c>
      <ns0:c r="AI540" s="12">
        <ns0:f>IF(AND(OR('前提と出典'!$C$36+'前提と出典'!$C$38=0,X540&gt;=0),OR('前提と出典'!$C$37+'前提と出典'!$C$38=0,Y540&gt;=0)),0,A540)</ns0:f>
        <ns0:v>0</ns0:v>
      </ns0:c>
    </ns0:row>
    <ns0:row r="541" ht="24" customHeight="1">
      <ns0:c r="A541" s="4" t="n">
        <ns0:v>537</ns0:v>
      </ns0:c>
      <ns0:c r="B541" s="12">
        <ns0:f>A541*('前提と出典'!$C$36+'前提と出典'!$C$38)</ns0:f>
        <ns0:v>375.9</ns0:v>
      </ns0:c>
      <ns0:c r="C541" s="12">
        <ns0:f>A541*('前提と出典'!$C$37+'前提と出典'!$C$38)</ns0:f>
        <ns0:v>322.2</ns0:v>
      </ns0:c>
      <ns0:c r="D541" s="16">
        <ns0:f>A541*('前提と出典'!$C$36*'契約別単価'!C5+'前提と出典'!$C$37*'契約別単価'!C6+'前提と出典'!$C$38*'契約別単価'!C7)</ns0:f>
        <ns0:v>3864</ns0:v>
      </ns0:c>
      <ns0:c r="E541" s="16">
        <ns0:f>A541*('前提と出典'!$C$36*'契約別単価'!E5+'前提と出典'!$C$37*'契約別単価'!E6+'前提と出典'!$C$38*'契約別単価'!E7)</ns0:f>
        <ns0:v>1039065.2806652805</ns0:v>
      </ns0:c>
      <ns0:c r="F541" s="16">
        <ns0:f>A541*('前提と出典'!$C$36*'契約別単価'!F5+'前提と出典'!$C$37*'契約別単価'!F6+'前提と出典'!$C$38*'契約別単価'!F7)</ns0:f>
        <ns0:v>407795.372601051</ns0:v>
      </ns0:c>
      <ns0:c r="G541" s="16">
        <ns0:f>A541*('前提と出典'!$C$36*'契約別単価'!G5+'前提と出典'!$C$37*'契約別単価'!G6+'前提と出典'!$C$38*'契約別単価'!G7)</ns0:f>
        <ns0:v>1068900</ns0:v>
      </ns0:c>
      <ns0:c r="H541" s="16">
        <ns0:f>A541*('前提と出典'!$C$36*'契約別単価'!H5+'前提と出典'!$C$37*'契約別単価'!H6+'前提と出典'!$C$38*'契約別単価'!H7)</ns0:f>
        <ns0:v>370961.9095477386</ns0:v>
      </ns0:c>
      <ns0:c r="I541" s="16">
        <ns0:f>A541*('前提と出典'!$C$36*'契約別単価'!I5+'前提と出典'!$C$37*'契約別単価'!I6+'前提と出典'!$C$38*'契約別単価'!I7)</ns0:f>
        <ns0:v>22658.999999999996</ns0:v>
      </ns0:c>
      <ns0:c r="J541" s="16">
        <ns0:f>A541*('前提と出典'!$C$36*'契約別単価'!J5+'前提と出典'!$C$37*'契約別単価'!J6+'前提と出典'!$C$38*'契約別単価'!J7)</ns0:f>
        <ns0:v>52781.48497243248</ns0:v>
      </ns0:c>
      <ns0:c r="K541" s="16">
        <ns0:f>A541*('前提と出典'!$C$36*'契約別単価'!K5+'前提と出典'!$C$37*'契約別単価'!K6+'前提と出典'!$C$38*'契約別単価'!K7)</ns0:f>
        <ns0:v>226239.99999999997</ns0:v>
      </ns0:c>
      <ns0:c r="L541" s="16">
        <ns0:f>A541*('前提と出典'!$C$36*'契約別単価'!L5+'前提と出典'!$C$37*'契約別単価'!L6+'前提と出典'!$C$38*'契約別単価'!L7)</ns0:f>
        <ns0:v>184205.39698492462</ns0:v>
      </ns0:c>
      <ns0:c r="M541" s="16">
        <ns0:f>IF(('前提と出典'!$C$36+'前提と出典'!$C$38)=0,0,IF(B541&lt;=10,'前提と出典'!B73+'前提と出典'!C73,IF(B541&lt;=100,'前提と出典'!B74+'前提と出典'!C74,IF(B541&lt;=500,'前提と出典'!B75+'前提と出典'!C75,'前提と出典'!B76+'前提と出典'!C76))))</ns0:f>
        <ns0:v>40000</ns0:v>
      </ns0:c>
      <ns0:c r="N541" s="16">
        <ns0:f>IF(('前提と出典'!$C$37+'前提と出典'!$C$38)=0,0,IF(C541&lt;=10,'前提と出典'!D73+'前提と出典'!E73,IF(C541&lt;=100,'前提と出典'!D74+'前提と出典'!E74,IF(C541&lt;=500,'前提と出典'!D75+'前提と出典'!E75,'前提と出典'!D76+'前提と出典'!E76))))</ns0:f>
        <ns0:v>56510.9346263078</ns0:v>
      </ns0:c>
      <ns0:c r="O541" s="16">
        <ns0:f>IF('前提と出典'!$C$36+'前提と出典'!$C$38=0,0,'前提と出典'!$B$4*IF('前提と出典'!$B$20=0,MAX('前提と出典'!$B$6,D541*'前提と出典'!$B$5),'前提と出典'!$B$6+D541*'前提と出典'!$B$5))</ns0:f>
        <ns0:v>533232</ns0:v>
      </ns0:c>
      <ns0:c r="P541" s="16">
        <ns0:f>(E541+G541)*(1-'前提と出典'!$B$7)-I541-K541-M541-O541</ns0:f>
        <ns0:v>1209947.5305613303</ns0:v>
      </ns0:c>
      <ns0:c r="Q541" s="16">
        <ns0:f>(F541+H541)*(1-'前提と出典'!$B$7)-J541-L541-N541</ns0:f>
        <ns0:v>457224.2034077682</ns0:v>
      </ns0:c>
      <ns0:c r="R541" s="16">
        <ns0:f>P541-E541*'前提と出典'!$E$4</ns0:f>
        <ns0:v>898227.9463617462</ns0:v>
      </ns0:c>
      <ns0:c r="S541" s="16">
        <ns0:f>Q541-F541*'前提と出典'!$E$4</ns0:f>
        <ns0:v>334885.59162745293</ns0:v>
      </ns0:c>
      <ns0:c r="T541" s="7">
        <ns0:f>R541+S541</ns0:f>
        <ns0:v>1233113.5379891992</ns0:v>
      </ns0:c>
      <ns0:c r="U541" s="16">
        <ns0:f>P541-E541*'前提と出典'!$E$5</ns0:f>
        <ns0:v>794321.4182952181</ns0:v>
      </ns0:c>
      <ns0:c r="V541" s="16">
        <ns0:f>Q541-F541*'前提と出典'!$E$5</ns0:f>
        <ns0:v>294106.0543673478</ns0:v>
      </ns0:c>
      <ns0:c r="W541" s="7">
        <ns0:f>U541+V541</ns0:f>
        <ns0:v>1088427.472662566</ns0:v>
      </ns0:c>
      <ns0:c r="X541" s="16">
        <ns0:f>P541-E541*'前提と出典'!$E$6</ns0:f>
        <ns0:v>690414.8902286901</ns0:v>
      </ns0:c>
      <ns0:c r="Y541" s="16">
        <ns0:f>Q541-F541*'前提と出典'!$E$6</ns0:f>
        <ns0:v>253326.5171072429</ns0:v>
      </ns0:c>
      <ns0:c r="Z541" s="7">
        <ns0:f>X541+Y541</ns0:f>
        <ns0:v>943741.4073359331</ns0:v>
      </ns0:c>
      <ns0:c r="AA541" s="7">
        <ns0:f>IF(T541&gt;=0,A541,1001)</ns0:f>
        <ns0:v>537</ns0:v>
      </ns0:c>
      <ns0:c r="AB541" s="7">
        <ns0:f>IF(T541&lt;0,A541,0)</ns0:f>
        <ns0:v>0</ns0:v>
      </ns0:c>
      <ns0:c r="AC541" s="16">
        <ns0:f>IF(AND(OR('前提と出典'!$C$36+'前提と出典'!$C$38=0,R541&gt;=0),OR('前提と出典'!$C$37+'前提と出典'!$C$38=0,S541&gt;=0)),0,A541)</ns0:f>
        <ns0:v>0</ns0:v>
      </ns0:c>
      <ns0:c r="AD541" s="7">
        <ns0:f>IF(W541&gt;=0,A541,1001)</ns0:f>
        <ns0:v>537</ns0:v>
      </ns0:c>
      <ns0:c r="AE541" s="7">
        <ns0:f>IF(W541&lt;0,A541,0)</ns0:f>
        <ns0:v>0</ns0:v>
      </ns0:c>
      <ns0:c r="AF541" s="16">
        <ns0:f>IF(AND(OR('前提と出典'!$C$36+'前提と出典'!$C$38=0,U541&gt;=0),OR('前提と出典'!$C$37+'前提と出典'!$C$38=0,V541&gt;=0)),0,A541)</ns0:f>
        <ns0:v>0</ns0:v>
      </ns0:c>
      <ns0:c r="AG541" s="7">
        <ns0:f>IF(Z541&gt;=0,A541,1001)</ns0:f>
        <ns0:v>537</ns0:v>
      </ns0:c>
      <ns0:c r="AH541" s="4">
        <ns0:f>IF(Z541&lt;0,A541,0)</ns0:f>
        <ns0:v>0</ns0:v>
      </ns0:c>
      <ns0:c r="AI541" s="12">
        <ns0:f>IF(AND(OR('前提と出典'!$C$36+'前提と出典'!$C$38=0,X541&gt;=0),OR('前提と出典'!$C$37+'前提と出典'!$C$38=0,Y541&gt;=0)),0,A541)</ns0:f>
        <ns0:v>0</ns0:v>
      </ns0:c>
    </ns0:row>
    <ns0:row r="542" ht="24" customHeight="1">
      <ns0:c r="A542" s="4" t="n">
        <ns0:v>538</ns0:v>
      </ns0:c>
      <ns0:c r="B542" s="12">
        <ns0:f>A542*('前提と出典'!$C$36+'前提と出典'!$C$38)</ns0:f>
        <ns0:v>376.59999999999997</ns0:v>
      </ns0:c>
      <ns0:c r="C542" s="12">
        <ns0:f>A542*('前提と出典'!$C$37+'前提と出典'!$C$38)</ns0:f>
        <ns0:v>322.8</ns0:v>
      </ns0:c>
      <ns0:c r="D542" s="16">
        <ns0:f>A542*('前提と出典'!$C$36*'契約別単価'!C5+'前提と出典'!$C$37*'契約別単価'!C6+'前提と出典'!$C$38*'契約別単価'!C7)</ns0:f>
        <ns0:v>3871.195530726257</ns0:v>
      </ns0:c>
      <ns0:c r="E542" s="16">
        <ns0:f>A542*('前提と出典'!$C$36*'契約別単価'!E5+'前提と出典'!$C$37*'契約別単価'!E6+'前提と出典'!$C$38*'契約別単価'!E7)</ns0:f>
        <ns0:v>1041000.2253220129</ns0:v>
      </ns0:c>
      <ns0:c r="F542" s="16">
        <ns0:f>A542*('前提と出典'!$C$36*'契約別単価'!F5+'前提と出典'!$C$37*'契約別単価'!F6+'前提と出典'!$C$38*'契約別単価'!F7)</ns0:f>
        <ns0:v>408554.76808075496</ns0:v>
      </ns0:c>
      <ns0:c r="G542" s="16">
        <ns0:f>A542*('前提と出典'!$C$36*'契約別単価'!G5+'前提と出典'!$C$37*'契約別単価'!G6+'前提と出典'!$C$38*'契約別単価'!G7)</ns0:f>
        <ns0:v>1070890.502793296</ns0:v>
      </ns0:c>
      <ns0:c r="H542" s="16">
        <ns0:f>A542*('前提と出典'!$C$36*'契約別単価'!H5+'前提と出典'!$C$37*'契約別単価'!H6+'前提と出典'!$C$38*'契約別単価'!H7)</ns0:f>
        <ns0:v>371652.7138485724</ns0:v>
      </ns0:c>
      <ns0:c r="I542" s="16">
        <ns0:f>A542*('前提と出典'!$C$36*'契約別単価'!I5+'前提と出典'!$C$37*'契約別単価'!I6+'前提と出典'!$C$38*'契約別単価'!I7)</ns0:f>
        <ns0:v>22701.195530726254</ns0:v>
      </ns0:c>
      <ns0:c r="J542" s="16">
        <ns0:f>A542*('前提と出典'!$C$36*'契約別単価'!J5+'前提と出典'!$C$37*'契約別単価'!J6+'前提と出典'!$C$38*'契約別単価'!J7)</ns0:f>
        <ns0:v>52879.77451614278</ns0:v>
      </ns0:c>
      <ns0:c r="K542" s="16">
        <ns0:f>A542*('前提と出典'!$C$36*'契約別単価'!K5+'前提と出典'!$C$37*'契約別単価'!K6+'前提と出典'!$C$38*'契約別単価'!K7)</ns0:f>
        <ns0:v>226661.30353817504</ns0:v>
      </ns0:c>
      <ns0:c r="L542" s="16">
        <ns0:f>A542*('前提と出典'!$C$36*'契約別単価'!L5+'前提と出典'!$C$37*'契約別単価'!L6+'前提と出典'!$C$38*'契約別単価'!L7)</ns0:f>
        <ns0:v>184548.4237949524</ns0:v>
      </ns0:c>
      <ns0:c r="M542" s="16">
        <ns0:f>IF(('前提と出典'!$C$36+'前提と出典'!$C$38)=0,0,IF(B542&lt;=10,'前提と出典'!B73+'前提と出典'!C73,IF(B542&lt;=100,'前提と出典'!B74+'前提と出典'!C74,IF(B542&lt;=500,'前提と出典'!B75+'前提と出典'!C75,'前提と出典'!B76+'前提と出典'!C76))))</ns0:f>
        <ns0:v>40000</ns0:v>
      </ns0:c>
      <ns0:c r="N542" s="16">
        <ns0:f>IF(('前提と出典'!$C$37+'前提と出典'!$C$38)=0,0,IF(C542&lt;=10,'前提と出典'!D73+'前提と出典'!E73,IF(C542&lt;=100,'前提と出典'!D74+'前提と出典'!E74,IF(C542&lt;=500,'前提と出典'!D75+'前提と出典'!E75,'前提と出典'!D76+'前提と出典'!E76))))</ns0:f>
        <ns0:v>56510.9346263078</ns0:v>
      </ns0:c>
      <ns0:c r="O542" s="16">
        <ns0:f>IF('前提と出典'!$C$36+'前提と出典'!$C$38=0,0,'前提と出典'!$B$4*IF('前提と出典'!$B$20=0,MAX('前提と出典'!$B$6,D542*'前提と出典'!$B$5),'前提と出典'!$B$6+D542*'前提と出典'!$B$5))</ns0:f>
        <ns0:v>534224.9832402235</ns0:v>
      </ns0:c>
      <ns0:c r="P542" s="16">
        <ns0:f>(E542+G542)*(1-'前提と出典'!$B$7)-I542-K542-M542-O542</ns0:f>
        <ns0:v>1212275.179594033</ns0:v>
      </ns0:c>
      <ns0:c r="Q542" s="16">
        <ns0:f>(F542+H542)*(1-'前提と出典'!$B$7)-J542-L542-N542</ns0:f>
        <ns0:v>458180.8796424686</ns0:v>
      </ns0:c>
      <ns0:c r="R542" s="16">
        <ns0:f>P542-E542*'前提と出典'!$E$4</ns0:f>
        <ns0:v>899975.111997429</ns0:v>
      </ns0:c>
      <ns0:c r="S542" s="16">
        <ns0:f>Q542-F542*'前提と出典'!$E$4</ns0:f>
        <ns0:v>335614.44921824214</ns0:v>
      </ns0:c>
      <ns0:c r="T542" s="7">
        <ns0:f>R542+S542</ns0:f>
        <ns0:v>1235589.5612156712</ns0:v>
      </ns0:c>
      <ns0:c r="U542" s="16">
        <ns0:f>P542-E542*'前提と出典'!$E$5</ns0:f>
        <ns0:v>795875.0894652277</ns0:v>
      </ns0:c>
      <ns0:c r="V542" s="16">
        <ns0:f>Q542-F542*'前提と出典'!$E$5</ns0:f>
        <ns0:v>294758.9724101666</ns0:v>
      </ns0:c>
      <ns0:c r="W542" s="7">
        <ns0:f>U542+V542</ns0:f>
        <ns0:v>1090634.0618753943</ns0:v>
      </ns0:c>
      <ns0:c r="X542" s="16">
        <ns0:f>P542-E542*'前提と出典'!$E$6</ns0:f>
        <ns0:v>691775.0669330265</ns0:v>
      </ns0:c>
      <ns0:c r="Y542" s="16">
        <ns0:f>Q542-F542*'前提と出典'!$E$6</ns0:f>
        <ns0:v>253903.49560209113</ns0:v>
      </ns0:c>
      <ns0:c r="Z542" s="7">
        <ns0:f>X542+Y542</ns0:f>
        <ns0:v>945678.5625351176</ns0:v>
      </ns0:c>
      <ns0:c r="AA542" s="7">
        <ns0:f>IF(T542&gt;=0,A542,1001)</ns0:f>
        <ns0:v>538</ns0:v>
      </ns0:c>
      <ns0:c r="AB542" s="7">
        <ns0:f>IF(T542&lt;0,A542,0)</ns0:f>
        <ns0:v>0</ns0:v>
      </ns0:c>
      <ns0:c r="AC542" s="16">
        <ns0:f>IF(AND(OR('前提と出典'!$C$36+'前提と出典'!$C$38=0,R542&gt;=0),OR('前提と出典'!$C$37+'前提と出典'!$C$38=0,S542&gt;=0)),0,A542)</ns0:f>
        <ns0:v>0</ns0:v>
      </ns0:c>
      <ns0:c r="AD542" s="7">
        <ns0:f>IF(W542&gt;=0,A542,1001)</ns0:f>
        <ns0:v>538</ns0:v>
      </ns0:c>
      <ns0:c r="AE542" s="7">
        <ns0:f>IF(W542&lt;0,A542,0)</ns0:f>
        <ns0:v>0</ns0:v>
      </ns0:c>
      <ns0:c r="AF542" s="16">
        <ns0:f>IF(AND(OR('前提と出典'!$C$36+'前提と出典'!$C$38=0,U542&gt;=0),OR('前提と出典'!$C$37+'前提と出典'!$C$38=0,V542&gt;=0)),0,A542)</ns0:f>
        <ns0:v>0</ns0:v>
      </ns0:c>
      <ns0:c r="AG542" s="7">
        <ns0:f>IF(Z542&gt;=0,A542,1001)</ns0:f>
        <ns0:v>538</ns0:v>
      </ns0:c>
      <ns0:c r="AH542" s="4">
        <ns0:f>IF(Z542&lt;0,A542,0)</ns0:f>
        <ns0:v>0</ns0:v>
      </ns0:c>
      <ns0:c r="AI542" s="12">
        <ns0:f>IF(AND(OR('前提と出典'!$C$36+'前提と出典'!$C$38=0,X542&gt;=0),OR('前提と出典'!$C$37+'前提と出典'!$C$38=0,Y542&gt;=0)),0,A542)</ns0:f>
        <ns0:v>0</ns0:v>
      </ns0:c>
    </ns0:row>
    <ns0:row r="543" ht="24" customHeight="1">
      <ns0:c r="A543" s="4" t="n">
        <ns0:v>539</ns0:v>
      </ns0:c>
      <ns0:c r="B543" s="12">
        <ns0:f>A543*('前提と出典'!$C$36+'前提と出典'!$C$38)</ns0:f>
        <ns0:v>377.29999999999995</ns0:v>
      </ns0:c>
      <ns0:c r="C543" s="12">
        <ns0:f>A543*('前提と出典'!$C$37+'前提と出典'!$C$38)</ns0:f>
        <ns0:v>323.4</ns0:v>
      </ns0:c>
      <ns0:c r="D543" s="16">
        <ns0:f>A543*('前提と出典'!$C$36*'契約別単価'!C5+'前提と出典'!$C$37*'契約別単価'!C6+'前提と出典'!$C$38*'契約別単価'!C7)</ns0:f>
        <ns0:v>3878.391061452514</ns0:v>
      </ns0:c>
      <ns0:c r="E543" s="16">
        <ns0:f>A543*('前提と出典'!$C$36*'契約別単価'!E5+'前提と出典'!$C$37*'契約別単価'!E6+'前提と出典'!$C$38*'契約別単価'!E7)</ns0:f>
        <ns0:v>1042935.1699787453</ns0:v>
      </ns0:c>
      <ns0:c r="F543" s="16">
        <ns0:f>A543*('前提と出典'!$C$36*'契約別単価'!F5+'前提と出典'!$C$37*'契約別単価'!F6+'前提と出典'!$C$38*'契約別単価'!F7)</ns0:f>
        <ns0:v>409314.163560459</ns0:v>
      </ns0:c>
      <ns0:c r="G543" s="16">
        <ns0:f>A543*('前提と出典'!$C$36*'契約別単価'!G5+'前提と出典'!$C$37*'契約別単価'!G6+'前提と出典'!$C$38*'契約別単価'!G7)</ns0:f>
        <ns0:v>1072881.005586592</ns0:v>
      </ns0:c>
      <ns0:c r="H543" s="16">
        <ns0:f>A543*('前提と出典'!$C$36*'契約別単価'!H5+'前提と出典'!$C$37*'契約別単価'!H6+'前提と出典'!$C$38*'契約別単価'!H7)</ns0:f>
        <ns0:v>372343.5181494062</ns0:v>
      </ns0:c>
      <ns0:c r="I543" s="16">
        <ns0:f>A543*('前提と出典'!$C$36*'契約別単価'!I5+'前提と出典'!$C$37*'契約別単価'!I6+'前提と出典'!$C$38*'契約別単価'!I7)</ns0:f>
        <ns0:v>22743.39106145251</ns0:v>
      </ns0:c>
      <ns0:c r="J543" s="16">
        <ns0:f>A543*('前提と出典'!$C$36*'契約別単価'!J5+'前提と出典'!$C$37*'契約別単価'!J6+'前提と出典'!$C$38*'契約別単価'!J7)</ns0:f>
        <ns0:v>52978.06405985308</ns0:v>
      </ns0:c>
      <ns0:c r="K543" s="16">
        <ns0:f>A543*('前提と出典'!$C$36*'契約別単価'!K5+'前提と出典'!$C$37*'契約別単価'!K6+'前提と出典'!$C$38*'契約別単価'!K7)</ns0:f>
        <ns0:v>227082.60707635008</ns0:v>
      </ns0:c>
      <ns0:c r="L543" s="16">
        <ns0:f>A543*('前提と出典'!$C$36*'契約別単価'!L5+'前提と出典'!$C$37*'契約別単価'!L6+'前提と出典'!$C$38*'契約別単価'!L7)</ns0:f>
        <ns0:v>184891.4506049802</ns0:v>
      </ns0:c>
      <ns0:c r="M543" s="16">
        <ns0:f>IF(('前提と出典'!$C$36+'前提と出典'!$C$38)=0,0,IF(B543&lt;=10,'前提と出典'!B73+'前提と出典'!C73,IF(B543&lt;=100,'前提と出典'!B74+'前提と出典'!C74,IF(B543&lt;=500,'前提と出典'!B75+'前提と出典'!C75,'前提と出典'!B76+'前提と出典'!C76))))</ns0:f>
        <ns0:v>40000</ns0:v>
      </ns0:c>
      <ns0:c r="N543" s="16">
        <ns0:f>IF(('前提と出典'!$C$37+'前提と出典'!$C$38)=0,0,IF(C543&lt;=10,'前提と出典'!D73+'前提と出典'!E73,IF(C543&lt;=100,'前提と出典'!D74+'前提と出典'!E74,IF(C543&lt;=500,'前提と出典'!D75+'前提と出典'!E75,'前提と出典'!D76+'前提と出典'!E76))))</ns0:f>
        <ns0:v>56510.9346263078</ns0:v>
      </ns0:c>
      <ns0:c r="O543" s="16">
        <ns0:f>IF('前提と出典'!$C$36+'前提と出典'!$C$38=0,0,'前提と出典'!$B$4*IF('前提と出典'!$B$20=0,MAX('前提と出典'!$B$6,D543*'前提と出典'!$B$5),'前提と出典'!$B$6+D543*'前提と出典'!$B$5))</ns0:f>
        <ns0:v>535217.966480447</ns0:v>
      </ns0:c>
      <ns0:c r="P543" s="16">
        <ns0:f>(E543+G543)*(1-'前提と出典'!$B$7)-I543-K543-M543-O543</ns0:f>
        <ns0:v>1214602.8286267356</ns0:v>
      </ns0:c>
      <ns0:c r="Q543" s="16">
        <ns0:f>(F543+H543)*(1-'前提と出典'!$B$7)-J543-L543-N543</ns0:f>
        <ns0:v>459137.5558771689</ns0:v>
      </ns0:c>
      <ns0:c r="R543" s="16">
        <ns0:f>P543-E543*'前提と出典'!$E$4</ns0:f>
        <ns0:v>901722.2776331119</ns0:v>
      </ns0:c>
      <ns0:c r="S543" s="16">
        <ns0:f>Q543-F543*'前提と出典'!$E$4</ns0:f>
        <ns0:v>336343.3068090312</ns0:v>
      </ns0:c>
      <ns0:c r="T543" s="7">
        <ns0:f>R543+S543</ns0:f>
        <ns0:v>1238065.584442143</ns0:v>
      </ns0:c>
      <ns0:c r="U543" s="16">
        <ns0:f>P543-E543*'前提と出典'!$E$5</ns0:f>
        <ns0:v>797428.7606352374</ns0:v>
      </ns0:c>
      <ns0:c r="V543" s="16">
        <ns0:f>Q543-F543*'前提と出典'!$E$5</ns0:f>
        <ns0:v>295411.8904529853</ns0:v>
      </ns0:c>
      <ns0:c r="W543" s="7">
        <ns0:f>U543+V543</ns0:f>
        <ns0:v>1092840.6510882229</ns0:v>
      </ns0:c>
      <ns0:c r="X543" s="16">
        <ns0:f>P543-E543*'前提と出典'!$E$6</ns0:f>
        <ns0:v>693135.243637363</ns0:v>
      </ns0:c>
      <ns0:c r="Y543" s="16">
        <ns0:f>Q543-F543*'前提と出典'!$E$6</ns0:f>
        <ns0:v>254480.47409693943</ns0:v>
      </ns0:c>
      <ns0:c r="Z543" s="7">
        <ns0:f>X543+Y543</ns0:f>
        <ns0:v>947615.7177343024</ns0:v>
      </ns0:c>
      <ns0:c r="AA543" s="7">
        <ns0:f>IF(T543&gt;=0,A543,1001)</ns0:f>
        <ns0:v>539</ns0:v>
      </ns0:c>
      <ns0:c r="AB543" s="7">
        <ns0:f>IF(T543&lt;0,A543,0)</ns0:f>
        <ns0:v>0</ns0:v>
      </ns0:c>
      <ns0:c r="AC543" s="16">
        <ns0:f>IF(AND(OR('前提と出典'!$C$36+'前提と出典'!$C$38=0,R543&gt;=0),OR('前提と出典'!$C$37+'前提と出典'!$C$38=0,S543&gt;=0)),0,A543)</ns0:f>
        <ns0:v>0</ns0:v>
      </ns0:c>
      <ns0:c r="AD543" s="7">
        <ns0:f>IF(W543&gt;=0,A543,1001)</ns0:f>
        <ns0:v>539</ns0:v>
      </ns0:c>
      <ns0:c r="AE543" s="7">
        <ns0:f>IF(W543&lt;0,A543,0)</ns0:f>
        <ns0:v>0</ns0:v>
      </ns0:c>
      <ns0:c r="AF543" s="16">
        <ns0:f>IF(AND(OR('前提と出典'!$C$36+'前提と出典'!$C$38=0,U543&gt;=0),OR('前提と出典'!$C$37+'前提と出典'!$C$38=0,V543&gt;=0)),0,A543)</ns0:f>
        <ns0:v>0</ns0:v>
      </ns0:c>
      <ns0:c r="AG543" s="7">
        <ns0:f>IF(Z543&gt;=0,A543,1001)</ns0:f>
        <ns0:v>539</ns0:v>
      </ns0:c>
      <ns0:c r="AH543" s="4">
        <ns0:f>IF(Z543&lt;0,A543,0)</ns0:f>
        <ns0:v>0</ns0:v>
      </ns0:c>
      <ns0:c r="AI543" s="12">
        <ns0:f>IF(AND(OR('前提と出典'!$C$36+'前提と出典'!$C$38=0,X543&gt;=0),OR('前提と出典'!$C$37+'前提と出典'!$C$38=0,Y543&gt;=0)),0,A543)</ns0:f>
        <ns0:v>0</ns0:v>
      </ns0:c>
    </ns0:row>
    <ns0:row r="544" ht="24" customHeight="1">
      <ns0:c r="A544" s="4" t="n">
        <ns0:v>540</ns0:v>
      </ns0:c>
      <ns0:c r="B544" s="12">
        <ns0:f>A544*('前提と出典'!$C$36+'前提と出典'!$C$38)</ns0:f>
        <ns0:v>378</ns0:v>
      </ns0:c>
      <ns0:c r="C544" s="12">
        <ns0:f>A544*('前提と出典'!$C$37+'前提と出典'!$C$38)</ns0:f>
        <ns0:v>324</ns0:v>
      </ns0:c>
      <ns0:c r="D544" s="16">
        <ns0:f>A544*('前提と出典'!$C$36*'契約別単価'!C5+'前提と出典'!$C$37*'契約別単価'!C6+'前提と出典'!$C$38*'契約別単価'!C7)</ns0:f>
        <ns0:v>3885.586592178771</ns0:v>
      </ns0:c>
      <ns0:c r="E544" s="16">
        <ns0:f>A544*('前提と出典'!$C$36*'契約別単価'!E5+'前提と出典'!$C$37*'契約別単価'!E6+'前提と出典'!$C$38*'契約別単価'!E7)</ns0:f>
        <ns0:v>1044870.1146354777</ns0:v>
      </ns0:c>
      <ns0:c r="F544" s="16">
        <ns0:f>A544*('前提と出典'!$C$36*'契約別単価'!F5+'前提と出典'!$C$37*'契約別単価'!F6+'前提と出典'!$C$38*'契約別単価'!F7)</ns0:f>
        <ns0:v>410073.559040163</ns0:v>
      </ns0:c>
      <ns0:c r="G544" s="16">
        <ns0:f>A544*('前提と出典'!$C$36*'契約別単価'!G5+'前提と出典'!$C$37*'契約別単価'!G6+'前提と出典'!$C$38*'契約別単価'!G7)</ns0:f>
        <ns0:v>1074871.5083798883</ns0:v>
      </ns0:c>
      <ns0:c r="H544" s="16">
        <ns0:f>A544*('前提と出典'!$C$36*'契約別単価'!H5+'前提と出典'!$C$37*'契約別単価'!H6+'前提と出典'!$C$38*'契約別単価'!H7)</ns0:f>
        <ns0:v>373034.32245023997</ns0:v>
      </ns0:c>
      <ns0:c r="I544" s="16">
        <ns0:f>A544*('前提と出典'!$C$36*'契約別単価'!I5+'前提と出典'!$C$37*'契約別単価'!I6+'前提と出典'!$C$38*'契約別単価'!I7)</ns0:f>
        <ns0:v>22785.586592178766</ns0:v>
      </ns0:c>
      <ns0:c r="J544" s="16">
        <ns0:f>A544*('前提と出典'!$C$36*'契約別単価'!J5+'前提と出典'!$C$37*'契約別単価'!J6+'前提と出典'!$C$38*'契約別単価'!J7)</ns0:f>
        <ns0:v>53076.35360356339</ns0:v>
      </ns0:c>
      <ns0:c r="K544" s="16">
        <ns0:f>A544*('前提と出典'!$C$36*'契約別単価'!K5+'前提と出典'!$C$37*'契約別単価'!K6+'前提と出典'!$C$38*'契約別単価'!K7)</ns0:f>
        <ns0:v>227503.9106145251</ns0:v>
      </ns0:c>
      <ns0:c r="L544" s="16">
        <ns0:f>A544*('前提と出典'!$C$36*'契約別単価'!L5+'前提と出典'!$C$37*'契約別単価'!L6+'前提と出典'!$C$38*'契約別単価'!L7)</ns0:f>
        <ns0:v>185234.477415008</ns0:v>
      </ns0:c>
      <ns0:c r="M544" s="16">
        <ns0:f>IF(('前提と出典'!$C$36+'前提と出典'!$C$38)=0,0,IF(B544&lt;=10,'前提と出典'!B73+'前提と出典'!C73,IF(B544&lt;=100,'前提と出典'!B74+'前提と出典'!C74,IF(B544&lt;=500,'前提と出典'!B75+'前提と出典'!C75,'前提と出典'!B76+'前提と出典'!C76))))</ns0:f>
        <ns0:v>40000</ns0:v>
      </ns0:c>
      <ns0:c r="N544" s="16">
        <ns0:f>IF(('前提と出典'!$C$37+'前提と出典'!$C$38)=0,0,IF(C544&lt;=10,'前提と出典'!D73+'前提と出典'!E73,IF(C544&lt;=100,'前提と出典'!D74+'前提と出典'!E74,IF(C544&lt;=500,'前提と出典'!D75+'前提と出典'!E75,'前提と出典'!D76+'前提と出典'!E76))))</ns0:f>
        <ns0:v>56510.9346263078</ns0:v>
      </ns0:c>
      <ns0:c r="O544" s="16">
        <ns0:f>IF('前提と出典'!$C$36+'前提と出典'!$C$38=0,0,'前提と出典'!$B$4*IF('前提と出典'!$B$20=0,MAX('前提と出典'!$B$6,D544*'前提と出典'!$B$5),'前提と出典'!$B$6+D544*'前提と出典'!$B$5))</ns0:f>
        <ns0:v>536210.9497206704</ns0:v>
      </ns0:c>
      <ns0:c r="P544" s="16">
        <ns0:f>(E544+G544)*(1-'前提と出典'!$B$7)-I544-K544-M544-O544</ns0:f>
        <ns0:v>1216930.4776594387</ns0:v>
      </ns0:c>
      <ns0:c r="Q544" s="16">
        <ns0:f>(F544+H544)*(1-'前提と出典'!$B$7)-J544-L544-N544</ns0:f>
        <ns0:v>460094.23211186926</ns0:v>
      </ns0:c>
      <ns0:c r="R544" s="16">
        <ns0:f>P544-E544*'前提と出典'!$E$4</ns0:f>
        <ns0:v>903469.4432687954</ns0:v>
      </ns0:c>
      <ns0:c r="S544" s="16">
        <ns0:f>Q544-F544*'前提と出典'!$E$4</ns0:f>
        <ns0:v>337072.1643998204</ns0:v>
      </ns0:c>
      <ns0:c r="T544" s="7">
        <ns0:f>R544+S544</ns0:f>
        <ns0:v>1240541.6076686159</ns0:v>
      </ns0:c>
      <ns0:c r="U544" s="16">
        <ns0:f>P544-E544*'前提と出典'!$E$5</ns0:f>
        <ns0:v>798982.4318052476</ns0:v>
      </ns0:c>
      <ns0:c r="V544" s="16">
        <ns0:f>Q544-F544*'前提と出典'!$E$5</ns0:f>
        <ns0:v>296064.8084958041</ns0:v>
      </ns0:c>
      <ns0:c r="W544" s="7">
        <ns0:f>U544+V544</ns0:f>
        <ns0:v>1095047.2403010516</ns0:v>
      </ns0:c>
      <ns0:c r="X544" s="16">
        <ns0:f>P544-E544*'前提と出典'!$E$6</ns0:f>
        <ns0:v>694495.4203416997</ns0:v>
      </ns0:c>
      <ns0:c r="Y544" s="16">
        <ns0:f>Q544-F544*'前提と出典'!$E$6</ns0:f>
        <ns0:v>255057.4525917878</ns0:v>
      </ns0:c>
      <ns0:c r="Z544" s="7">
        <ns0:f>X544+Y544</ns0:f>
        <ns0:v>949552.8729334875</ns0:v>
      </ns0:c>
      <ns0:c r="AA544" s="7">
        <ns0:f>IF(T544&gt;=0,A544,1001)</ns0:f>
        <ns0:v>540</ns0:v>
      </ns0:c>
      <ns0:c r="AB544" s="7">
        <ns0:f>IF(T544&lt;0,A544,0)</ns0:f>
        <ns0:v>0</ns0:v>
      </ns0:c>
      <ns0:c r="AC544" s="16">
        <ns0:f>IF(AND(OR('前提と出典'!$C$36+'前提と出典'!$C$38=0,R544&gt;=0),OR('前提と出典'!$C$37+'前提と出典'!$C$38=0,S544&gt;=0)),0,A544)</ns0:f>
        <ns0:v>0</ns0:v>
      </ns0:c>
      <ns0:c r="AD544" s="7">
        <ns0:f>IF(W544&gt;=0,A544,1001)</ns0:f>
        <ns0:v>540</ns0:v>
      </ns0:c>
      <ns0:c r="AE544" s="7">
        <ns0:f>IF(W544&lt;0,A544,0)</ns0:f>
        <ns0:v>0</ns0:v>
      </ns0:c>
      <ns0:c r="AF544" s="16">
        <ns0:f>IF(AND(OR('前提と出典'!$C$36+'前提と出典'!$C$38=0,U544&gt;=0),OR('前提と出典'!$C$37+'前提と出典'!$C$38=0,V544&gt;=0)),0,A544)</ns0:f>
        <ns0:v>0</ns0:v>
      </ns0:c>
      <ns0:c r="AG544" s="7">
        <ns0:f>IF(Z544&gt;=0,A544,1001)</ns0:f>
        <ns0:v>540</ns0:v>
      </ns0:c>
      <ns0:c r="AH544" s="4">
        <ns0:f>IF(Z544&lt;0,A544,0)</ns0:f>
        <ns0:v>0</ns0:v>
      </ns0:c>
      <ns0:c r="AI544" s="12">
        <ns0:f>IF(AND(OR('前提と出典'!$C$36+'前提と出典'!$C$38=0,X544&gt;=0),OR('前提と出典'!$C$37+'前提と出典'!$C$38=0,Y544&gt;=0)),0,A544)</ns0:f>
        <ns0:v>0</ns0:v>
      </ns0:c>
    </ns0:row>
    <ns0:row r="545" ht="24" customHeight="1">
      <ns0:c r="A545" s="4" t="n">
        <ns0:v>541</ns0:v>
      </ns0:c>
      <ns0:c r="B545" s="12">
        <ns0:f>A545*('前提と出典'!$C$36+'前提と出典'!$C$38)</ns0:f>
        <ns0:v>378.7</ns0:v>
      </ns0:c>
      <ns0:c r="C545" s="12">
        <ns0:f>A545*('前提と出典'!$C$37+'前提と出典'!$C$38)</ns0:f>
        <ns0:v>324.59999999999997</ns0:v>
      </ns0:c>
      <ns0:c r="D545" s="16">
        <ns0:f>A545*('前提と出典'!$C$36*'契約別単価'!C5+'前提と出典'!$C$37*'契約別単価'!C6+'前提と出典'!$C$38*'契約別単価'!C7)</ns0:f>
        <ns0:v>3892.782122905028</ns0:v>
      </ns0:c>
      <ns0:c r="E545" s="16">
        <ns0:f>A545*('前提と出典'!$C$36*'契約別単価'!E5+'前提と出典'!$C$37*'契約別単価'!E6+'前提と出典'!$C$38*'契約別単価'!E7)</ns0:f>
        <ns0:v>1046805.05929221</ns0:v>
      </ns0:c>
      <ns0:c r="F545" s="16">
        <ns0:f>A545*('前提と出典'!$C$36*'契約別単価'!F5+'前提と出典'!$C$37*'契約別単価'!F6+'前提と出典'!$C$38*'契約別単価'!F7)</ns0:f>
        <ns0:v>410832.954519867</ns0:v>
      </ns0:c>
      <ns0:c r="G545" s="16">
        <ns0:f>A545*('前提と出典'!$C$36*'契約別単価'!G5+'前提と出典'!$C$37*'契約別単価'!G6+'前提と出典'!$C$38*'契約別単価'!G7)</ns0:f>
        <ns0:v>1076862.0111731843</ns0:v>
      </ns0:c>
      <ns0:c r="H545" s="16">
        <ns0:f>A545*('前提と出典'!$C$36*'契約別単価'!H5+'前提と出典'!$C$37*'契約別単価'!H6+'前提と出典'!$C$38*'契約別単価'!H7)</ns0:f>
        <ns0:v>373725.12675107375</ns0:v>
      </ns0:c>
      <ns0:c r="I545" s="16">
        <ns0:f>A545*('前提と出典'!$C$36*'契約別単価'!I5+'前提と出典'!$C$37*'契約別単価'!I6+'前提と出典'!$C$38*'契約別単価'!I7)</ns0:f>
        <ns0:v>22827.782122905024</ns0:v>
      </ns0:c>
      <ns0:c r="J545" s="16">
        <ns0:f>A545*('前提と出典'!$C$36*'契約別単価'!J5+'前提と出典'!$C$37*'契約別単価'!J6+'前提と出典'!$C$38*'契約別単価'!J7)</ns0:f>
        <ns0:v>53174.64314727369</ns0:v>
      </ns0:c>
      <ns0:c r="K545" s="16">
        <ns0:f>A545*('前提と出典'!$C$36*'契約別単価'!K5+'前提と出典'!$C$37*'契約別単価'!K6+'前提と出典'!$C$38*'契約別単価'!K7)</ns0:f>
        <ns0:v>227925.21415270018</ns0:v>
      </ns0:c>
      <ns0:c r="L545" s="16">
        <ns0:f>A545*('前提と出典'!$C$36*'契約別単価'!L5+'前提と出典'!$C$37*'契約別単価'!L6+'前提と出典'!$C$38*'契約別単価'!L7)</ns0:f>
        <ns0:v>185577.50422503578</ns0:v>
      </ns0:c>
      <ns0:c r="M545" s="16">
        <ns0:f>IF(('前提と出典'!$C$36+'前提と出典'!$C$38)=0,0,IF(B545&lt;=10,'前提と出典'!B73+'前提と出典'!C73,IF(B545&lt;=100,'前提と出典'!B74+'前提と出典'!C74,IF(B545&lt;=500,'前提と出典'!B75+'前提と出典'!C75,'前提と出典'!B76+'前提と出典'!C76))))</ns0:f>
        <ns0:v>40000</ns0:v>
      </ns0:c>
      <ns0:c r="N545" s="16">
        <ns0:f>IF(('前提と出典'!$C$37+'前提と出典'!$C$38)=0,0,IF(C545&lt;=10,'前提と出典'!D73+'前提と出典'!E73,IF(C545&lt;=100,'前提と出典'!D74+'前提と出典'!E74,IF(C545&lt;=500,'前提と出典'!D75+'前提と出典'!E75,'前提と出典'!D76+'前提と出典'!E76))))</ns0:f>
        <ns0:v>56510.9346263078</ns0:v>
      </ns0:c>
      <ns0:c r="O545" s="16">
        <ns0:f>IF('前提と出典'!$C$36+'前提と出典'!$C$38=0,0,'前提と出典'!$B$4*IF('前提と出典'!$B$20=0,MAX('前提と出典'!$B$6,D545*'前提と出典'!$B$5),'前提と出典'!$B$6+D545*'前提と出典'!$B$5))</ns0:f>
        <ns0:v>537203.9329608938</ns0:v>
      </ns0:c>
      <ns0:c r="P545" s="16">
        <ns0:f>(E545+G545)*(1-'前提と出典'!$B$7)-I545-K545-M545-O545</ns0:f>
        <ns0:v>1219258.126692141</ns0:v>
      </ns0:c>
      <ns0:c r="Q545" s="16">
        <ns0:f>(F545+H545)*(1-'前提と出典'!$B$7)-J545-L545-N545</ns0:f>
        <ns0:v>461050.9083465697</ns0:v>
      </ns0:c>
      <ns0:c r="R545" s="16">
        <ns0:f>P545-E545*'前提と出典'!$E$4</ns0:f>
        <ns0:v>905216.6089044778</ns0:v>
      </ns0:c>
      <ns0:c r="S545" s="16">
        <ns0:f>Q545-F545*'前提と出典'!$E$4</ns0:f>
        <ns0:v>337801.0219906097</ns0:v>
      </ns0:c>
      <ns0:c r="T545" s="7">
        <ns0:f>R545+S545</ns0:f>
        <ns0:v>1243017.6308950875</ns0:v>
      </ns0:c>
      <ns0:c r="U545" s="16">
        <ns0:f>P545-E545*'前提と出典'!$E$5</ns0:f>
        <ns0:v>800536.1029752569</ns0:v>
      </ns0:c>
      <ns0:c r="V545" s="16">
        <ns0:f>Q545-F545*'前提と出典'!$E$5</ns0:f>
        <ns0:v>296717.72653862287</ns0:v>
      </ns0:c>
      <ns0:c r="W545" s="7">
        <ns0:f>U545+V545</ns0:f>
        <ns0:v>1097253.8295138797</ns0:v>
      </ns0:c>
      <ns0:c r="X545" s="16">
        <ns0:f>P545-E545*'前提と出典'!$E$6</ns0:f>
        <ns0:v>695855.5970460357</ns0:v>
      </ns0:c>
      <ns0:c r="Y545" s="16">
        <ns0:f>Q545-F545*'前提と出典'!$E$6</ns0:f>
        <ns0:v>255634.43108663626</ns0:v>
      </ns0:c>
      <ns0:c r="Z545" s="7">
        <ns0:f>X545+Y545</ns0:f>
        <ns0:v>951490.028132672</ns0:v>
      </ns0:c>
      <ns0:c r="AA545" s="7">
        <ns0:f>IF(T545&gt;=0,A545,1001)</ns0:f>
        <ns0:v>541</ns0:v>
      </ns0:c>
      <ns0:c r="AB545" s="7">
        <ns0:f>IF(T545&lt;0,A545,0)</ns0:f>
        <ns0:v>0</ns0:v>
      </ns0:c>
      <ns0:c r="AC545" s="16">
        <ns0:f>IF(AND(OR('前提と出典'!$C$36+'前提と出典'!$C$38=0,R545&gt;=0),OR('前提と出典'!$C$37+'前提と出典'!$C$38=0,S545&gt;=0)),0,A545)</ns0:f>
        <ns0:v>0</ns0:v>
      </ns0:c>
      <ns0:c r="AD545" s="7">
        <ns0:f>IF(W545&gt;=0,A545,1001)</ns0:f>
        <ns0:v>541</ns0:v>
      </ns0:c>
      <ns0:c r="AE545" s="7">
        <ns0:f>IF(W545&lt;0,A545,0)</ns0:f>
        <ns0:v>0</ns0:v>
      </ns0:c>
      <ns0:c r="AF545" s="16">
        <ns0:f>IF(AND(OR('前提と出典'!$C$36+'前提と出典'!$C$38=0,U545&gt;=0),OR('前提と出典'!$C$37+'前提と出典'!$C$38=0,V545&gt;=0)),0,A545)</ns0:f>
        <ns0:v>0</ns0:v>
      </ns0:c>
      <ns0:c r="AG545" s="7">
        <ns0:f>IF(Z545&gt;=0,A545,1001)</ns0:f>
        <ns0:v>541</ns0:v>
      </ns0:c>
      <ns0:c r="AH545" s="4">
        <ns0:f>IF(Z545&lt;0,A545,0)</ns0:f>
        <ns0:v>0</ns0:v>
      </ns0:c>
      <ns0:c r="AI545" s="12">
        <ns0:f>IF(AND(OR('前提と出典'!$C$36+'前提と出典'!$C$38=0,X545&gt;=0),OR('前提と出典'!$C$37+'前提と出典'!$C$38=0,Y545&gt;=0)),0,A545)</ns0:f>
        <ns0:v>0</ns0:v>
      </ns0:c>
    </ns0:row>
    <ns0:row r="546" ht="24" customHeight="1">
      <ns0:c r="A546" s="4" t="n">
        <ns0:v>542</ns0:v>
      </ns0:c>
      <ns0:c r="B546" s="12">
        <ns0:f>A546*('前提と出典'!$C$36+'前提と出典'!$C$38)</ns0:f>
        <ns0:v>379.4</ns0:v>
      </ns0:c>
      <ns0:c r="C546" s="12">
        <ns0:f>A546*('前提と出典'!$C$37+'前提と出典'!$C$38)</ns0:f>
        <ns0:v>325.2</ns0:v>
      </ns0:c>
      <ns0:c r="D546" s="16">
        <ns0:f>A546*('前提と出典'!$C$36*'契約別単価'!C5+'前提と出典'!$C$37*'契約別単価'!C6+'前提と出典'!$C$38*'契約別単価'!C7)</ns0:f>
        <ns0:v>3899.9776536312847</ns0:v>
      </ns0:c>
      <ns0:c r="E546" s="16">
        <ns0:f>A546*('前提と出典'!$C$36*'契約別単価'!E5+'前提と出典'!$C$37*'契約別単価'!E6+'前提と出典'!$C$38*'契約別単価'!E7)</ns0:f>
        <ns0:v>1048740.0039489423</ns0:v>
      </ns0:c>
      <ns0:c r="F546" s="16">
        <ns0:f>A546*('前提と出典'!$C$36*'契約別単価'!F5+'前提と出典'!$C$37*'契約別単価'!F6+'前提と出典'!$C$38*'契約別単価'!F7)</ns0:f>
        <ns0:v>411592.349999571</ns0:v>
      </ns0:c>
      <ns0:c r="G546" s="16">
        <ns0:f>A546*('前提と出典'!$C$36*'契約別単価'!G5+'前提と出典'!$C$37*'契約別単価'!G6+'前提と出典'!$C$38*'契約別単価'!G7)</ns0:f>
        <ns0:v>1078852.5139664805</ns0:v>
      </ns0:c>
      <ns0:c r="H546" s="16">
        <ns0:f>A546*('前提と出典'!$C$36*'契約別単価'!H5+'前提と出典'!$C$37*'契約別単価'!H6+'前提と出典'!$C$38*'契約別単価'!H7)</ns0:f>
        <ns0:v>374415.9310519075</ns0:v>
      </ns0:c>
      <ns0:c r="I546" s="16">
        <ns0:f>A546*('前提と出典'!$C$36*'契約別単価'!I5+'前提と出典'!$C$37*'契約別単価'!I6+'前提と出典'!$C$38*'契約別単価'!I7)</ns0:f>
        <ns0:v>22869.977653631282</ns0:v>
      </ns0:c>
      <ns0:c r="J546" s="16">
        <ns0:f>A546*('前提と出典'!$C$36*'契約別単価'!J5+'前提と出典'!$C$37*'契約別単価'!J6+'前提と出典'!$C$38*'契約別単価'!J7)</ns0:f>
        <ns0:v>53272.932690983995</ns0:v>
      </ns0:c>
      <ns0:c r="K546" s="16">
        <ns0:f>A546*('前提と出典'!$C$36*'契約別単価'!K5+'前提と出典'!$C$37*'契約別単価'!K6+'前提と出典'!$C$38*'契約別単価'!K7)</ns0:f>
        <ns0:v>228346.51769087522</ns0:v>
      </ns0:c>
      <ns0:c r="L546" s="16">
        <ns0:f>A546*('前提と出典'!$C$36*'契約別単価'!L5+'前提と出典'!$C$37*'契約別単価'!L6+'前提と出典'!$C$38*'契約別単価'!L7)</ns0:f>
        <ns0:v>185920.53103506358</ns0:v>
      </ns0:c>
      <ns0:c r="M546" s="16">
        <ns0:f>IF(('前提と出典'!$C$36+'前提と出典'!$C$38)=0,0,IF(B546&lt;=10,'前提と出典'!B73+'前提と出典'!C73,IF(B546&lt;=100,'前提と出典'!B74+'前提と出典'!C74,IF(B546&lt;=500,'前提と出典'!B75+'前提と出典'!C75,'前提と出典'!B76+'前提と出典'!C76))))</ns0:f>
        <ns0:v>40000</ns0:v>
      </ns0:c>
      <ns0:c r="N546" s="16">
        <ns0:f>IF(('前提と出典'!$C$37+'前提と出典'!$C$38)=0,0,IF(C546&lt;=10,'前提と出典'!D73+'前提と出典'!E73,IF(C546&lt;=100,'前提と出典'!D74+'前提と出典'!E74,IF(C546&lt;=500,'前提と出典'!D75+'前提と出典'!E75,'前提と出典'!D76+'前提と出典'!E76))))</ns0:f>
        <ns0:v>56510.9346263078</ns0:v>
      </ns0:c>
      <ns0:c r="O546" s="16">
        <ns0:f>IF('前提と出典'!$C$36+'前提と出典'!$C$38=0,0,'前提と出典'!$B$4*IF('前提と出典'!$B$20=0,MAX('前提と出典'!$B$6,D546*'前提と出典'!$B$5),'前提と出典'!$B$6+D546*'前提と出典'!$B$5))</ns0:f>
        <ns0:v>538196.9162011173</ns0:v>
      </ns0:c>
      <ns0:c r="P546" s="16">
        <ns0:f>(E546+G546)*(1-'前提と出典'!$B$7)-I546-K546-M546-O546</ns0:f>
        <ns0:v>1221585.775724844</ns0:v>
      </ns0:c>
      <ns0:c r="Q546" s="16">
        <ns0:f>(F546+H546)*(1-'前提と出典'!$B$7)-J546-L546-N546</ns0:f>
        <ns0:v>462007.5845812698</ns0:v>
      </ns0:c>
      <ns0:c r="R546" s="16">
        <ns0:f>P546-E546*'前提と出典'!$E$4</ns0:f>
        <ns0:v>906963.7745401614</ns0:v>
      </ns0:c>
      <ns0:c r="S546" s="16">
        <ns0:f>Q546-F546*'前提と出典'!$E$4</ns0:f>
        <ns0:v>338529.87958139856</ns0:v>
      </ns0:c>
      <ns0:c r="T546" s="7">
        <ns0:f>R546+S546</ns0:f>
        <ns0:v>1245493.65412156</ns0:v>
      </ns0:c>
      <ns0:c r="U546" s="16">
        <ns0:f>P546-E546*'前提と出典'!$E$5</ns0:f>
        <ns0:v>802089.7741452671</ns0:v>
      </ns0:c>
      <ns0:c r="V546" s="16">
        <ns0:f>Q546-F546*'前提と出典'!$E$5</ns0:f>
        <ns0:v>297370.6445814414</ns0:v>
      </ns0:c>
      <ns0:c r="W546" s="7">
        <ns0:f>U546+V546</ns0:f>
        <ns0:v>1099460.4187267085</ns0:v>
      </ns0:c>
      <ns0:c r="X546" s="16">
        <ns0:f>P546-E546*'前提と出典'!$E$6</ns0:f>
        <ns0:v>697215.7737503728</ns0:v>
      </ns0:c>
      <ns0:c r="Y546" s="16">
        <ns0:f>Q546-F546*'前提と出典'!$E$6</ns0:f>
        <ns0:v>256211.4095814844</ns0:v>
      </ns0:c>
      <ns0:c r="Z546" s="7">
        <ns0:f>X546+Y546</ns0:f>
        <ns0:v>953427.1833318572</ns0:v>
      </ns0:c>
      <ns0:c r="AA546" s="7">
        <ns0:f>IF(T546&gt;=0,A546,1001)</ns0:f>
        <ns0:v>542</ns0:v>
      </ns0:c>
      <ns0:c r="AB546" s="7">
        <ns0:f>IF(T546&lt;0,A546,0)</ns0:f>
        <ns0:v>0</ns0:v>
      </ns0:c>
      <ns0:c r="AC546" s="16">
        <ns0:f>IF(AND(OR('前提と出典'!$C$36+'前提と出典'!$C$38=0,R546&gt;=0),OR('前提と出典'!$C$37+'前提と出典'!$C$38=0,S546&gt;=0)),0,A546)</ns0:f>
        <ns0:v>0</ns0:v>
      </ns0:c>
      <ns0:c r="AD546" s="7">
        <ns0:f>IF(W546&gt;=0,A546,1001)</ns0:f>
        <ns0:v>542</ns0:v>
      </ns0:c>
      <ns0:c r="AE546" s="7">
        <ns0:f>IF(W546&lt;0,A546,0)</ns0:f>
        <ns0:v>0</ns0:v>
      </ns0:c>
      <ns0:c r="AF546" s="16">
        <ns0:f>IF(AND(OR('前提と出典'!$C$36+'前提と出典'!$C$38=0,U546&gt;=0),OR('前提と出典'!$C$37+'前提と出典'!$C$38=0,V546&gt;=0)),0,A546)</ns0:f>
        <ns0:v>0</ns0:v>
      </ns0:c>
      <ns0:c r="AG546" s="7">
        <ns0:f>IF(Z546&gt;=0,A546,1001)</ns0:f>
        <ns0:v>542</ns0:v>
      </ns0:c>
      <ns0:c r="AH546" s="4">
        <ns0:f>IF(Z546&lt;0,A546,0)</ns0:f>
        <ns0:v>0</ns0:v>
      </ns0:c>
      <ns0:c r="AI546" s="12">
        <ns0:f>IF(AND(OR('前提と出典'!$C$36+'前提と出典'!$C$38=0,X546&gt;=0),OR('前提と出典'!$C$37+'前提と出典'!$C$38=0,Y546&gt;=0)),0,A546)</ns0:f>
        <ns0:v>0</ns0:v>
      </ns0:c>
    </ns0:row>
    <ns0:row r="547" ht="24" customHeight="1">
      <ns0:c r="A547" s="4" t="n">
        <ns0:v>543</ns0:v>
      </ns0:c>
      <ns0:c r="B547" s="12">
        <ns0:f>A547*('前提と出典'!$C$36+'前提と出典'!$C$38)</ns0:f>
        <ns0:v>380.09999999999997</ns0:v>
      </ns0:c>
      <ns0:c r="C547" s="12">
        <ns0:f>A547*('前提と出典'!$C$37+'前提と出典'!$C$38)</ns0:f>
        <ns0:v>325.8</ns0:v>
      </ns0:c>
      <ns0:c r="D547" s="16">
        <ns0:f>A547*('前提と出典'!$C$36*'契約別単価'!C5+'前提と出典'!$C$37*'契約別単価'!C6+'前提と出典'!$C$38*'契約別単価'!C7)</ns0:f>
        <ns0:v>3907.1731843575417</ns0:v>
      </ns0:c>
      <ns0:c r="E547" s="16">
        <ns0:f>A547*('前提と出典'!$C$36*'契約別単価'!E5+'前提と出典'!$C$37*'契約別単価'!E6+'前提と出典'!$C$38*'契約別単価'!E7)</ns0:f>
        <ns0:v>1050674.9486056748</ns0:v>
      </ns0:c>
      <ns0:c r="F547" s="16">
        <ns0:f>A547*('前提と出典'!$C$36*'契約別単価'!F5+'前提と出典'!$C$37*'契約別単価'!F6+'前提と出典'!$C$38*'契約別単価'!F7)</ns0:f>
        <ns0:v>412351.745479275</ns0:v>
      </ns0:c>
      <ns0:c r="G547" s="16">
        <ns0:f>A547*('前提と出典'!$C$36*'契約別単価'!G5+'前提と出典'!$C$37*'契約別単価'!G6+'前提と出典'!$C$38*'契約別単価'!G7)</ns0:f>
        <ns0:v>1080843.0167597765</ns0:v>
      </ns0:c>
      <ns0:c r="H547" s="16">
        <ns0:f>A547*('前提と出典'!$C$36*'契約別単価'!H5+'前提と出典'!$C$37*'契約別単価'!H6+'前提と出典'!$C$38*'契約別単価'!H7)</ns0:f>
        <ns0:v>375106.73535274126</ns0:v>
      </ns0:c>
      <ns0:c r="I547" s="16">
        <ns0:f>A547*('前提と出典'!$C$36*'契約別単価'!I5+'前提と出典'!$C$37*'契約別単価'!I6+'前提と出典'!$C$38*'契約別単価'!I7)</ns0:f>
        <ns0:v>22912.173184357536</ns0:v>
      </ns0:c>
      <ns0:c r="J547" s="16">
        <ns0:f>A547*('前提と出典'!$C$36*'契約別単価'!J5+'前提と出典'!$C$37*'契約別単価'!J6+'前提と出典'!$C$38*'契約別単価'!J7)</ns0:f>
        <ns0:v>53371.222234694294</ns0:v>
      </ns0:c>
      <ns0:c r="K547" s="16">
        <ns0:f>A547*('前提と出典'!$C$36*'契約別単価'!K5+'前提と出典'!$C$37*'契約別単価'!K6+'前提と出典'!$C$38*'契約別単価'!K7)</ns0:f>
        <ns0:v>228767.82122905026</ns0:v>
      </ns0:c>
      <ns0:c r="L547" s="16">
        <ns0:f>A547*('前提と出典'!$C$36*'契約別単価'!L5+'前提と出典'!$C$37*'契約別単価'!L6+'前提と出典'!$C$38*'契約別単価'!L7)</ns0:f>
        <ns0:v>186263.55784509136</ns0:v>
      </ns0:c>
      <ns0:c r="M547" s="16">
        <ns0:f>IF(('前提と出典'!$C$36+'前提と出典'!$C$38)=0,0,IF(B547&lt;=10,'前提と出典'!B73+'前提と出典'!C73,IF(B547&lt;=100,'前提と出典'!B74+'前提と出典'!C74,IF(B547&lt;=500,'前提と出典'!B75+'前提と出典'!C75,'前提と出典'!B76+'前提と出典'!C76))))</ns0:f>
        <ns0:v>40000</ns0:v>
      </ns0:c>
      <ns0:c r="N547" s="16">
        <ns0:f>IF(('前提と出典'!$C$37+'前提と出典'!$C$38)=0,0,IF(C547&lt;=10,'前提と出典'!D73+'前提と出典'!E73,IF(C547&lt;=100,'前提と出典'!D74+'前提と出典'!E74,IF(C547&lt;=500,'前提と出典'!D75+'前提と出典'!E75,'前提と出典'!D76+'前提と出典'!E76))))</ns0:f>
        <ns0:v>56510.9346263078</ns0:v>
      </ns0:c>
      <ns0:c r="O547" s="16">
        <ns0:f>IF('前提と出典'!$C$36+'前提と出典'!$C$38=0,0,'前提と出典'!$B$4*IF('前提と出典'!$B$20=0,MAX('前提と出典'!$B$6,D547*'前提と出典'!$B$5),'前提と出典'!$B$6+D547*'前提と出典'!$B$5))</ns0:f>
        <ns0:v>539189.8994413408</ns0:v>
      </ns0:c>
      <ns0:c r="P547" s="16">
        <ns0:f>(E547+G547)*(1-'前提と出典'!$B$7)-I547-K547-M547-O547</ns0:f>
        <ns0:v>1223913.4247575463</ns0:v>
      </ns0:c>
      <ns0:c r="Q547" s="16">
        <ns0:f>(F547+H547)*(1-'前提と出典'!$B$7)-J547-L547-N547</ns0:f>
        <ns0:v>462964.26081597037</ns0:v>
      </ns0:c>
      <ns0:c r="R547" s="16">
        <ns0:f>P547-E547*'前提と出典'!$E$4</ns0:f>
        <ns0:v>908710.940175844</ns0:v>
      </ns0:c>
      <ns0:c r="S547" s="16">
        <ns0:f>Q547-F547*'前提と出典'!$E$4</ns0:f>
        <ns0:v>339258.7371721879</ns0:v>
      </ns0:c>
      <ns0:c r="T547" s="7">
        <ns0:f>R547+S547</ns0:f>
        <ns0:v>1247969.677348032</ns0:v>
      </ns0:c>
      <ns0:c r="U547" s="16">
        <ns0:f>P547-E547*'前提と出典'!$E$5</ns0:f>
        <ns0:v>803643.4453152764</ns0:v>
      </ns0:c>
      <ns0:c r="V547" s="16">
        <ns0:f>Q547-F547*'前提と出典'!$E$5</ns0:f>
        <ns0:v>298023.5626242603</ns0:v>
      </ns0:c>
      <ns0:c r="W547" s="7">
        <ns0:f>U547+V547</ns0:f>
        <ns0:v>1101667.0079395366</ns0:v>
      </ns0:c>
      <ns0:c r="X547" s="16">
        <ns0:f>P547-E547*'前提と出典'!$E$6</ns0:f>
        <ns0:v>698575.950454709</ns0:v>
      </ns0:c>
      <ns0:c r="Y547" s="16">
        <ns0:f>Q547-F547*'前提と出典'!$E$6</ns0:f>
        <ns0:v>256788.38807633286</ns0:v>
      </ns0:c>
      <ns0:c r="Z547" s="7">
        <ns0:f>X547+Y547</ns0:f>
        <ns0:v>955364.3385310419</ns0:v>
      </ns0:c>
      <ns0:c r="AA547" s="7">
        <ns0:f>IF(T547&gt;=0,A547,1001)</ns0:f>
        <ns0:v>543</ns0:v>
      </ns0:c>
      <ns0:c r="AB547" s="7">
        <ns0:f>IF(T547&lt;0,A547,0)</ns0:f>
        <ns0:v>0</ns0:v>
      </ns0:c>
      <ns0:c r="AC547" s="16">
        <ns0:f>IF(AND(OR('前提と出典'!$C$36+'前提と出典'!$C$38=0,R547&gt;=0),OR('前提と出典'!$C$37+'前提と出典'!$C$38=0,S547&gt;=0)),0,A547)</ns0:f>
        <ns0:v>0</ns0:v>
      </ns0:c>
      <ns0:c r="AD547" s="7">
        <ns0:f>IF(W547&gt;=0,A547,1001)</ns0:f>
        <ns0:v>543</ns0:v>
      </ns0:c>
      <ns0:c r="AE547" s="7">
        <ns0:f>IF(W547&lt;0,A547,0)</ns0:f>
        <ns0:v>0</ns0:v>
      </ns0:c>
      <ns0:c r="AF547" s="16">
        <ns0:f>IF(AND(OR('前提と出典'!$C$36+'前提と出典'!$C$38=0,U547&gt;=0),OR('前提と出典'!$C$37+'前提と出典'!$C$38=0,V547&gt;=0)),0,A547)</ns0:f>
        <ns0:v>0</ns0:v>
      </ns0:c>
      <ns0:c r="AG547" s="7">
        <ns0:f>IF(Z547&gt;=0,A547,1001)</ns0:f>
        <ns0:v>543</ns0:v>
      </ns0:c>
      <ns0:c r="AH547" s="4">
        <ns0:f>IF(Z547&lt;0,A547,0)</ns0:f>
        <ns0:v>0</ns0:v>
      </ns0:c>
      <ns0:c r="AI547" s="12">
        <ns0:f>IF(AND(OR('前提と出典'!$C$36+'前提と出典'!$C$38=0,X547&gt;=0),OR('前提と出典'!$C$37+'前提と出典'!$C$38=0,Y547&gt;=0)),0,A547)</ns0:f>
        <ns0:v>0</ns0:v>
      </ns0:c>
    </ns0:row>
    <ns0:row r="548" ht="24" customHeight="1">
      <ns0:c r="A548" s="4" t="n">
        <ns0:v>544</ns0:v>
      </ns0:c>
      <ns0:c r="B548" s="12">
        <ns0:f>A548*('前提と出典'!$C$36+'前提と出典'!$C$38)</ns0:f>
        <ns0:v>380.79999999999995</ns0:v>
      </ns0:c>
      <ns0:c r="C548" s="12">
        <ns0:f>A548*('前提と出典'!$C$37+'前提と出典'!$C$38)</ns0:f>
        <ns0:v>326.4</ns0:v>
      </ns0:c>
      <ns0:c r="D548" s="16">
        <ns0:f>A548*('前提と出典'!$C$36*'契約別単価'!C5+'前提と出典'!$C$37*'契約別単価'!C6+'前提と出典'!$C$38*'契約別単価'!C7)</ns0:f>
        <ns0:v>3914.3687150837986</ns0:v>
      </ns0:c>
      <ns0:c r="E548" s="16">
        <ns0:f>A548*('前提と出典'!$C$36*'契約別単価'!E5+'前提と出典'!$C$37*'契約別単価'!E6+'前提と出典'!$C$38*'契約別単価'!E7)</ns0:f>
        <ns0:v>1052609.893262407</ns0:v>
      </ns0:c>
      <ns0:c r="F548" s="16">
        <ns0:f>A548*('前提と出典'!$C$36*'契約別単価'!F5+'前提と出典'!$C$37*'契約別単価'!F6+'前提と出典'!$C$38*'契約別単価'!F7)</ns0:f>
        <ns0:v>413111.140958979</ns0:v>
      </ns0:c>
      <ns0:c r="G548" s="16">
        <ns0:f>A548*('前提と出典'!$C$36*'契約別単価'!G5+'前提と出典'!$C$37*'契約別単価'!G6+'前提と出典'!$C$38*'契約別単価'!G7)</ns0:f>
        <ns0:v>1082833.5195530725</ns0:v>
      </ns0:c>
      <ns0:c r="H548" s="16">
        <ns0:f>A548*('前提と出典'!$C$36*'契約別単価'!H5+'前提と出典'!$C$37*'契約別単価'!H6+'前提と出典'!$C$38*'契約別単価'!H7)</ns0:f>
        <ns0:v>375797.53965357505</ns0:v>
      </ns0:c>
      <ns0:c r="I548" s="16">
        <ns0:f>A548*('前提と出典'!$C$36*'契約別単価'!I5+'前提と出典'!$C$37*'契約別単価'!I6+'前提と出典'!$C$38*'契約別単価'!I7)</ns0:f>
        <ns0:v>22954.368715083794</ns0:v>
      </ns0:c>
      <ns0:c r="J548" s="16">
        <ns0:f>A548*('前提と出典'!$C$36*'契約別単価'!J5+'前提と出典'!$C$37*'契約別単価'!J6+'前提と出典'!$C$38*'契約別単価'!J7)</ns0:f>
        <ns0:v>53469.511778404594</ns0:v>
      </ns0:c>
      <ns0:c r="K548" s="16">
        <ns0:f>A548*('前提と出典'!$C$36*'契約別単価'!K5+'前提と出典'!$C$37*'契約別単価'!K6+'前提と出典'!$C$38*'契約別単価'!K7)</ns0:f>
        <ns0:v>229189.12476722532</ns0:v>
      </ns0:c>
      <ns0:c r="L548" s="16">
        <ns0:f>A548*('前提と出典'!$C$36*'契約別単価'!L5+'前提と出典'!$C$37*'契約別単価'!L6+'前提と出典'!$C$38*'契約別単価'!L7)</ns0:f>
        <ns0:v>186606.58465511916</ns0:v>
      </ns0:c>
      <ns0:c r="M548" s="16">
        <ns0:f>IF(('前提と出典'!$C$36+'前提と出典'!$C$38)=0,0,IF(B548&lt;=10,'前提と出典'!B73+'前提と出典'!C73,IF(B548&lt;=100,'前提と出典'!B74+'前提と出典'!C74,IF(B548&lt;=500,'前提と出典'!B75+'前提と出典'!C75,'前提と出典'!B76+'前提と出典'!C76))))</ns0:f>
        <ns0:v>40000</ns0:v>
      </ns0:c>
      <ns0:c r="N548" s="16">
        <ns0:f>IF(('前提と出典'!$C$37+'前提と出典'!$C$38)=0,0,IF(C548&lt;=10,'前提と出典'!D73+'前提と出典'!E73,IF(C548&lt;=100,'前提と出典'!D74+'前提と出典'!E74,IF(C548&lt;=500,'前提と出典'!D75+'前提と出典'!E75,'前提と出典'!D76+'前提と出典'!E76))))</ns0:f>
        <ns0:v>56510.9346263078</ns0:v>
      </ns0:c>
      <ns0:c r="O548" s="16">
        <ns0:f>IF('前提と出典'!$C$36+'前提と出典'!$C$38=0,0,'前提と出典'!$B$4*IF('前提と出典'!$B$20=0,MAX('前提と出典'!$B$6,D548*'前提と出典'!$B$5),'前提と出典'!$B$6+D548*'前提と出典'!$B$5))</ns0:f>
        <ns0:v>540182.8826815642</ns0:v>
      </ns0:c>
      <ns0:c r="P548" s="16">
        <ns0:f>(E548+G548)*(1-'前提と出典'!$B$7)-I548-K548-M548-O548</ns0:f>
        <ns0:v>1226241.0737902492</ns0:v>
      </ns0:c>
      <ns0:c r="Q548" s="16">
        <ns0:f>(F548+H548)*(1-'前提と出典'!$B$7)-J548-L548-N548</ns0:f>
        <ns0:v>463920.93705067056</ns0:v>
      </ns0:c>
      <ns0:c r="R548" s="16">
        <ns0:f>P548-E548*'前提と出典'!$E$4</ns0:f>
        <ns0:v>910458.105811527</ns0:v>
      </ns0:c>
      <ns0:c r="S548" s="16">
        <ns0:f>Q548-F548*'前提と出典'!$E$4</ns0:f>
        <ns0:v>339987.5947629769</ns0:v>
      </ns0:c>
      <ns0:c r="T548" s="7">
        <ns0:f>R548+S548</ns0:f>
        <ns0:v>1250445.700574504</ns0:v>
      </ns0:c>
      <ns0:c r="U548" s="16">
        <ns0:f>P548-E548*'前提と出典'!$E$5</ns0:f>
        <ns0:v>805197.1164852863</ns0:v>
      </ns0:c>
      <ns0:c r="V548" s="16">
        <ns0:f>Q548-F548*'前提と出典'!$E$5</ns0:f>
        <ns0:v>298676.4806670789</ns0:v>
      </ns0:c>
      <ns0:c r="W548" s="7">
        <ns0:f>U548+V548</ns0:f>
        <ns0:v>1103873.5971523651</ns0:v>
      </ns0:c>
      <ns0:c r="X548" s="16">
        <ns0:f>P548-E548*'前提と出典'!$E$6</ns0:f>
        <ns0:v>699936.1271590458</ns0:v>
      </ns0:c>
      <ns0:c r="Y548" s="16">
        <ns0:f>Q548-F548*'前提と出典'!$E$6</ns0:f>
        <ns0:v>257365.36657118105</ns0:v>
      </ns0:c>
      <ns0:c r="Z548" s="7">
        <ns0:f>X548+Y548</ns0:f>
        <ns0:v>957301.4937302268</ns0:v>
      </ns0:c>
      <ns0:c r="AA548" s="7">
        <ns0:f>IF(T548&gt;=0,A548,1001)</ns0:f>
        <ns0:v>544</ns0:v>
      </ns0:c>
      <ns0:c r="AB548" s="7">
        <ns0:f>IF(T548&lt;0,A548,0)</ns0:f>
        <ns0:v>0</ns0:v>
      </ns0:c>
      <ns0:c r="AC548" s="16">
        <ns0:f>IF(AND(OR('前提と出典'!$C$36+'前提と出典'!$C$38=0,R548&gt;=0),OR('前提と出典'!$C$37+'前提と出典'!$C$38=0,S548&gt;=0)),0,A548)</ns0:f>
        <ns0:v>0</ns0:v>
      </ns0:c>
      <ns0:c r="AD548" s="7">
        <ns0:f>IF(W548&gt;=0,A548,1001)</ns0:f>
        <ns0:v>544</ns0:v>
      </ns0:c>
      <ns0:c r="AE548" s="7">
        <ns0:f>IF(W548&lt;0,A548,0)</ns0:f>
        <ns0:v>0</ns0:v>
      </ns0:c>
      <ns0:c r="AF548" s="16">
        <ns0:f>IF(AND(OR('前提と出典'!$C$36+'前提と出典'!$C$38=0,U548&gt;=0),OR('前提と出典'!$C$37+'前提と出典'!$C$38=0,V548&gt;=0)),0,A548)</ns0:f>
        <ns0:v>0</ns0:v>
      </ns0:c>
      <ns0:c r="AG548" s="7">
        <ns0:f>IF(Z548&gt;=0,A548,1001)</ns0:f>
        <ns0:v>544</ns0:v>
      </ns0:c>
      <ns0:c r="AH548" s="4">
        <ns0:f>IF(Z548&lt;0,A548,0)</ns0:f>
        <ns0:v>0</ns0:v>
      </ns0:c>
      <ns0:c r="AI548" s="12">
        <ns0:f>IF(AND(OR('前提と出典'!$C$36+'前提と出典'!$C$38=0,X548&gt;=0),OR('前提と出典'!$C$37+'前提と出典'!$C$38=0,Y548&gt;=0)),0,A548)</ns0:f>
        <ns0:v>0</ns0:v>
      </ns0:c>
    </ns0:row>
    <ns0:row r="549" ht="24" customHeight="1">
      <ns0:c r="A549" s="4" t="n">
        <ns0:v>545</ns0:v>
      </ns0:c>
      <ns0:c r="B549" s="12">
        <ns0:f>A549*('前提と出典'!$C$36+'前提と出典'!$C$38)</ns0:f>
        <ns0:v>381.5</ns0:v>
      </ns0:c>
      <ns0:c r="C549" s="12">
        <ns0:f>A549*('前提と出典'!$C$37+'前提と出典'!$C$38)</ns0:f>
        <ns0:v>327</ns0:v>
      </ns0:c>
      <ns0:c r="D549" s="16">
        <ns0:f>A549*('前提と出典'!$C$36*'契約別単価'!C5+'前提と出典'!$C$37*'契約別単価'!C6+'前提と出典'!$C$38*'契約別単価'!C7)</ns0:f>
        <ns0:v>3921.564245810056</ns0:v>
      </ns0:c>
      <ns0:c r="E549" s="16">
        <ns0:f>A549*('前提と出典'!$C$36*'契約別単価'!E5+'前提と出典'!$C$37*'契約別単価'!E6+'前提と出典'!$C$38*'契約別単価'!E7)</ns0:f>
        <ns0:v>1054544.8379191395</ns0:v>
      </ns0:c>
      <ns0:c r="F549" s="16">
        <ns0:f>A549*('前提と出典'!$C$36*'契約別単価'!F5+'前提と出典'!$C$37*'契約別単価'!F6+'前提と出典'!$C$38*'契約別単価'!F7)</ns0:f>
        <ns0:v>413870.536438683</ns0:v>
      </ns0:c>
      <ns0:c r="G549" s="16">
        <ns0:f>A549*('前提と出典'!$C$36*'契約別単価'!G5+'前提と出典'!$C$37*'契約別単価'!G6+'前提と出典'!$C$38*'契約別単価'!G7)</ns0:f>
        <ns0:v>1084824.0223463688</ns0:v>
      </ns0:c>
      <ns0:c r="H549" s="16">
        <ns0:f>A549*('前提と出典'!$C$36*'契約別単価'!H5+'前提と出典'!$C$37*'契約別単価'!H6+'前提と出典'!$C$38*'契約別単価'!H7)</ns0:f>
        <ns0:v>376488.34395440883</ns0:v>
      </ns0:c>
      <ns0:c r="I549" s="16">
        <ns0:f>A549*('前提と出典'!$C$36*'契約別単価'!I5+'前提と出典'!$C$37*'契約別単価'!I6+'前提と出典'!$C$38*'契約別単価'!I7)</ns0:f>
        <ns0:v>22996.564245810052</ns0:v>
      </ns0:c>
      <ns0:c r="J549" s="16">
        <ns0:f>A549*('前提と出典'!$C$36*'契約別単価'!J5+'前提と出典'!$C$37*'契約別単価'!J6+'前提と出典'!$C$38*'契約別単価'!J7)</ns0:f>
        <ns0:v>53567.8013221149</ns0:v>
      </ns0:c>
      <ns0:c r="K549" s="16">
        <ns0:f>A549*('前提と出典'!$C$36*'契約別単価'!K5+'前提と出典'!$C$37*'契約別単価'!K6+'前提と出典'!$C$38*'契約別単価'!K7)</ns0:f>
        <ns0:v>229610.42830540036</ns0:v>
      </ns0:c>
      <ns0:c r="L549" s="16">
        <ns0:f>A549*('前提と出典'!$C$36*'契約別単価'!L5+'前提と出典'!$C$37*'契約別単価'!L6+'前提と出典'!$C$38*'契約別単価'!L7)</ns0:f>
        <ns0:v>186949.61146514697</ns0:v>
      </ns0:c>
      <ns0:c r="M549" s="16">
        <ns0:f>IF(('前提と出典'!$C$36+'前提と出典'!$C$38)=0,0,IF(B549&lt;=10,'前提と出典'!B73+'前提と出典'!C73,IF(B549&lt;=100,'前提と出典'!B74+'前提と出典'!C74,IF(B549&lt;=500,'前提と出典'!B75+'前提と出典'!C75,'前提と出典'!B76+'前提と出典'!C76))))</ns0:f>
        <ns0:v>40000</ns0:v>
      </ns0:c>
      <ns0:c r="N549" s="16">
        <ns0:f>IF(('前提と出典'!$C$37+'前提と出典'!$C$38)=0,0,IF(C549&lt;=10,'前提と出典'!D73+'前提と出典'!E73,IF(C549&lt;=100,'前提と出典'!D74+'前提と出典'!E74,IF(C549&lt;=500,'前提と出典'!D75+'前提と出典'!E75,'前提と出典'!D76+'前提と出典'!E76))))</ns0:f>
        <ns0:v>56510.9346263078</ns0:v>
      </ns0:c>
      <ns0:c r="O549" s="16">
        <ns0:f>IF('前提と出典'!$C$36+'前提と出典'!$C$38=0,0,'前提と出典'!$B$4*IF('前提と出典'!$B$20=0,MAX('前提と出典'!$B$6,D549*'前提と出典'!$B$5),'前提と出典'!$B$6+D549*'前提と出典'!$B$5))</ns0:f>
        <ns0:v>541175.8659217878</ns0:v>
      </ns0:c>
      <ns0:c r="P549" s="16">
        <ns0:f>(E549+G549)*(1-'前提と出典'!$B$7)-I549-K549-M549-O549</ns0:f>
        <ns0:v>1228568.722822952</ns0:v>
      </ns0:c>
      <ns0:c r="Q549" s="16">
        <ns0:f>(F549+H549)*(1-'前提と出典'!$B$7)-J549-L549-N549</ns0:f>
        <ns0:v>464877.61328537087</ns0:v>
      </ns0:c>
      <ns0:c r="R549" s="16">
        <ns0:f>P549-E549*'前提と出典'!$E$4</ns0:f>
        <ns0:v>912205.27144721</ns0:v>
      </ns0:c>
      <ns0:c r="S549" s="16">
        <ns0:f>Q549-F549*'前提と出典'!$E$4</ns0:f>
        <ns0:v>340716.45235376596</ns0:v>
      </ns0:c>
      <ns0:c r="T549" s="7">
        <ns0:f>R549+S549</ns0:f>
        <ns0:v>1252921.7238009758</ns0:v>
      </ns0:c>
      <ns0:c r="U549" s="16">
        <ns0:f>P549-E549*'前提と出典'!$E$5</ns0:f>
        <ns0:v>806750.7876552962</ns0:v>
      </ns0:c>
      <ns0:c r="V549" s="16">
        <ns0:f>Q549-F549*'前提と出典'!$E$5</ns0:f>
        <ns0:v>299329.39870989765</ns0:v>
      </ns0:c>
      <ns0:c r="W549" s="7">
        <ns0:f>U549+V549</ns0:f>
        <ns0:v>1106080.1863651937</ns0:v>
      </ns0:c>
      <ns0:c r="X549" s="16">
        <ns0:f>P549-E549*'前提と出典'!$E$6</ns0:f>
        <ns0:v>701296.3038633823</ns0:v>
      </ns0:c>
      <ns0:c r="Y549" s="16">
        <ns0:f>Q549-F549*'前提と出典'!$E$6</ns0:f>
        <ns0:v>257942.34506602935</ns0:v>
      </ns0:c>
      <ns0:c r="Z549" s="7">
        <ns0:f>X549+Y549</ns0:f>
        <ns0:v>959238.6489294117</ns0:v>
      </ns0:c>
      <ns0:c r="AA549" s="7">
        <ns0:f>IF(T549&gt;=0,A549,1001)</ns0:f>
        <ns0:v>545</ns0:v>
      </ns0:c>
      <ns0:c r="AB549" s="7">
        <ns0:f>IF(T549&lt;0,A549,0)</ns0:f>
        <ns0:v>0</ns0:v>
      </ns0:c>
      <ns0:c r="AC549" s="16">
        <ns0:f>IF(AND(OR('前提と出典'!$C$36+'前提と出典'!$C$38=0,R549&gt;=0),OR('前提と出典'!$C$37+'前提と出典'!$C$38=0,S549&gt;=0)),0,A549)</ns0:f>
        <ns0:v>0</ns0:v>
      </ns0:c>
      <ns0:c r="AD549" s="7">
        <ns0:f>IF(W549&gt;=0,A549,1001)</ns0:f>
        <ns0:v>545</ns0:v>
      </ns0:c>
      <ns0:c r="AE549" s="7">
        <ns0:f>IF(W549&lt;0,A549,0)</ns0:f>
        <ns0:v>0</ns0:v>
      </ns0:c>
      <ns0:c r="AF549" s="16">
        <ns0:f>IF(AND(OR('前提と出典'!$C$36+'前提と出典'!$C$38=0,U549&gt;=0),OR('前提と出典'!$C$37+'前提と出典'!$C$38=0,V549&gt;=0)),0,A549)</ns0:f>
        <ns0:v>0</ns0:v>
      </ns0:c>
      <ns0:c r="AG549" s="7">
        <ns0:f>IF(Z549&gt;=0,A549,1001)</ns0:f>
        <ns0:v>545</ns0:v>
      </ns0:c>
      <ns0:c r="AH549" s="4">
        <ns0:f>IF(Z549&lt;0,A549,0)</ns0:f>
        <ns0:v>0</ns0:v>
      </ns0:c>
      <ns0:c r="AI549" s="12">
        <ns0:f>IF(AND(OR('前提と出典'!$C$36+'前提と出典'!$C$38=0,X549&gt;=0),OR('前提と出典'!$C$37+'前提と出典'!$C$38=0,Y549&gt;=0)),0,A549)</ns0:f>
        <ns0:v>0</ns0:v>
      </ns0:c>
    </ns0:row>
    <ns0:row r="550" ht="24" customHeight="1">
      <ns0:c r="A550" s="4" t="n">
        <ns0:v>546</ns0:v>
      </ns0:c>
      <ns0:c r="B550" s="12">
        <ns0:f>A550*('前提と出典'!$C$36+'前提と出典'!$C$38)</ns0:f>
        <ns0:v>382.2</ns0:v>
      </ns0:c>
      <ns0:c r="C550" s="12">
        <ns0:f>A550*('前提と出典'!$C$37+'前提と出典'!$C$38)</ns0:f>
        <ns0:v>327.59999999999997</ns0:v>
      </ns0:c>
      <ns0:c r="D550" s="16">
        <ns0:f>A550*('前提と出典'!$C$36*'契約別単価'!C5+'前提と出典'!$C$37*'契約別単価'!C6+'前提と出典'!$C$38*'契約別単価'!C7)</ns0:f>
        <ns0:v>3928.759776536313</ns0:v>
      </ns0:c>
      <ns0:c r="E550" s="16">
        <ns0:f>A550*('前提と出典'!$C$36*'契約別単価'!E5+'前提と出典'!$C$37*'契約別単価'!E6+'前提と出典'!$C$38*'契約別単価'!E7)</ns0:f>
        <ns0:v>1056479.7825758718</ns0:v>
      </ns0:c>
      <ns0:c r="F550" s="16">
        <ns0:f>A550*('前提と出典'!$C$36*'契約別単価'!F5+'前提と出典'!$C$37*'契約別単価'!F6+'前提と出典'!$C$38*'契約別単価'!F7)</ns0:f>
        <ns0:v>414629.931918387</ns0:v>
      </ns0:c>
      <ns0:c r="G550" s="16">
        <ns0:f>A550*('前提と出典'!$C$36*'契約別単価'!G5+'前提と出典'!$C$37*'契約別単価'!G6+'前提と出典'!$C$38*'契約別単価'!G7)</ns0:f>
        <ns0:v>1086814.5251396648</ns0:v>
      </ns0:c>
      <ns0:c r="H550" s="16">
        <ns0:f>A550*('前提と出典'!$C$36*'契約別単価'!H5+'前提と出典'!$C$37*'契約別単価'!H6+'前提と出典'!$C$38*'契約別単価'!H7)</ns0:f>
        <ns0:v>377179.1482552426</ns0:v>
      </ns0:c>
      <ns0:c r="I550" s="16">
        <ns0:f>A550*('前提と出典'!$C$36*'契約別単価'!I5+'前提と出典'!$C$37*'契約別単価'!I6+'前提と出典'!$C$38*'契約別単価'!I7)</ns0:f>
        <ns0:v>23038.75977653631</ns0:v>
      </ns0:c>
      <ns0:c r="J550" s="16">
        <ns0:f>A550*('前提と出典'!$C$36*'契約別単価'!J5+'前提と出典'!$C$37*'契約別単価'!J6+'前提と出典'!$C$38*'契約別単価'!J7)</ns0:f>
        <ns0:v>53666.0908658252</ns0:v>
      </ns0:c>
      <ns0:c r="K550" s="16">
        <ns0:f>A550*('前提と出典'!$C$36*'契約別単価'!K5+'前提と出典'!$C$37*'契約別単価'!K6+'前提と出典'!$C$38*'契約別単価'!K7)</ns0:f>
        <ns0:v>230031.7318435754</ns0:v>
      </ns0:c>
      <ns0:c r="L550" s="16">
        <ns0:f>A550*('前提と出典'!$C$36*'契約別単価'!L5+'前提と出典'!$C$37*'契約別単価'!L6+'前提と出典'!$C$38*'契約別単価'!L7)</ns0:f>
        <ns0:v>187292.63827517474</ns0:v>
      </ns0:c>
      <ns0:c r="M550" s="16">
        <ns0:f>IF(('前提と出典'!$C$36+'前提と出典'!$C$38)=0,0,IF(B550&lt;=10,'前提と出典'!B73+'前提と出典'!C73,IF(B550&lt;=100,'前提と出典'!B74+'前提と出典'!C74,IF(B550&lt;=500,'前提と出典'!B75+'前提と出典'!C75,'前提と出典'!B76+'前提と出典'!C76))))</ns0:f>
        <ns0:v>40000</ns0:v>
      </ns0:c>
      <ns0:c r="N550" s="16">
        <ns0:f>IF(('前提と出典'!$C$37+'前提と出典'!$C$38)=0,0,IF(C550&lt;=10,'前提と出典'!D73+'前提と出典'!E73,IF(C550&lt;=100,'前提と出典'!D74+'前提と出典'!E74,IF(C550&lt;=500,'前提と出典'!D75+'前提と出典'!E75,'前提と出典'!D76+'前提と出典'!E76))))</ns0:f>
        <ns0:v>56510.9346263078</ns0:v>
      </ns0:c>
      <ns0:c r="O550" s="16">
        <ns0:f>IF('前提と出典'!$C$36+'前提と出典'!$C$38=0,0,'前提と出典'!$B$4*IF('前提と出典'!$B$20=0,MAX('前提と出典'!$B$6,D550*'前提と出典'!$B$5),'前提と出典'!$B$6+D550*'前提と出典'!$B$5))</ns0:f>
        <ns0:v>542168.8491620112</ns0:v>
      </ns0:c>
      <ns0:c r="P550" s="16">
        <ns0:f>(E550+G550)*(1-'前提と出典'!$B$7)-I550-K550-M550-O550</ns0:f>
        <ns0:v>1230896.3718556543</ns0:v>
      </ns0:c>
      <ns0:c r="Q550" s="16">
        <ns0:f>(F550+H550)*(1-'前提と出典'!$B$7)-J550-L550-N550</ns0:f>
        <ns0:v>465834.2895200711</ns0:v>
      </ns0:c>
      <ns0:c r="R550" s="16">
        <ns0:f>P550-E550*'前提と出典'!$E$4</ns0:f>
        <ns0:v>913952.4370828927</ns0:v>
      </ns0:c>
      <ns0:c r="S550" s="16">
        <ns0:f>Q550-F550*'前提と出典'!$E$4</ns0:f>
        <ns0:v>341445.30994455505</ns0:v>
      </ns0:c>
      <ns0:c r="T550" s="7">
        <ns0:f>R550+S550</ns0:f>
        <ns0:v>1255397.747027448</ns0:v>
      </ns0:c>
      <ns0:c r="U550" s="16">
        <ns0:f>P550-E550*'前提と出典'!$E$5</ns0:f>
        <ns0:v>808304.4588253056</ns0:v>
      </ns0:c>
      <ns0:c r="V550" s="16">
        <ns0:f>Q550-F550*'前提と出典'!$E$5</ns0:f>
        <ns0:v>299982.3167527163</ns0:v>
      </ns0:c>
      <ns0:c r="W550" s="7">
        <ns0:f>U550+V550</ns0:f>
        <ns0:v>1108286.775578022</ns0:v>
      </ns0:c>
      <ns0:c r="X550" s="16">
        <ns0:f>P550-E550*'前提と出典'!$E$6</ns0:f>
        <ns0:v>702656.4805677184</ns0:v>
      </ns0:c>
      <ns0:c r="Y550" s="16">
        <ns0:f>Q550-F550*'前提と出典'!$E$6</ns0:f>
        <ns0:v>258519.3235608776</ns0:v>
      </ns0:c>
      <ns0:c r="Z550" s="7">
        <ns0:f>X550+Y550</ns0:f>
        <ns0:v>961175.804128596</ns0:v>
      </ns0:c>
      <ns0:c r="AA550" s="7">
        <ns0:f>IF(T550&gt;=0,A550,1001)</ns0:f>
        <ns0:v>546</ns0:v>
      </ns0:c>
      <ns0:c r="AB550" s="7">
        <ns0:f>IF(T550&lt;0,A550,0)</ns0:f>
        <ns0:v>0</ns0:v>
      </ns0:c>
      <ns0:c r="AC550" s="16">
        <ns0:f>IF(AND(OR('前提と出典'!$C$36+'前提と出典'!$C$38=0,R550&gt;=0),OR('前提と出典'!$C$37+'前提と出典'!$C$38=0,S550&gt;=0)),0,A550)</ns0:f>
        <ns0:v>0</ns0:v>
      </ns0:c>
      <ns0:c r="AD550" s="7">
        <ns0:f>IF(W550&gt;=0,A550,1001)</ns0:f>
        <ns0:v>546</ns0:v>
      </ns0:c>
      <ns0:c r="AE550" s="7">
        <ns0:f>IF(W550&lt;0,A550,0)</ns0:f>
        <ns0:v>0</ns0:v>
      </ns0:c>
      <ns0:c r="AF550" s="16">
        <ns0:f>IF(AND(OR('前提と出典'!$C$36+'前提と出典'!$C$38=0,U550&gt;=0),OR('前提と出典'!$C$37+'前提と出典'!$C$38=0,V550&gt;=0)),0,A550)</ns0:f>
        <ns0:v>0</ns0:v>
      </ns0:c>
      <ns0:c r="AG550" s="7">
        <ns0:f>IF(Z550&gt;=0,A550,1001)</ns0:f>
        <ns0:v>546</ns0:v>
      </ns0:c>
      <ns0:c r="AH550" s="4">
        <ns0:f>IF(Z550&lt;0,A550,0)</ns0:f>
        <ns0:v>0</ns0:v>
      </ns0:c>
      <ns0:c r="AI550" s="12">
        <ns0:f>IF(AND(OR('前提と出典'!$C$36+'前提と出典'!$C$38=0,X550&gt;=0),OR('前提と出典'!$C$37+'前提と出典'!$C$38=0,Y550&gt;=0)),0,A550)</ns0:f>
        <ns0:v>0</ns0:v>
      </ns0:c>
    </ns0:row>
    <ns0:row r="551" ht="24" customHeight="1">
      <ns0:c r="A551" s="4" t="n">
        <ns0:v>547</ns0:v>
      </ns0:c>
      <ns0:c r="B551" s="12">
        <ns0:f>A551*('前提と出典'!$C$36+'前提と出典'!$C$38)</ns0:f>
        <ns0:v>382.9</ns0:v>
      </ns0:c>
      <ns0:c r="C551" s="12">
        <ns0:f>A551*('前提と出典'!$C$37+'前提と出典'!$C$38)</ns0:f>
        <ns0:v>328.2</ns0:v>
      </ns0:c>
      <ns0:c r="D551" s="16">
        <ns0:f>A551*('前提と出典'!$C$36*'契約別単価'!C5+'前提と出典'!$C$37*'契約別単価'!C6+'前提と出典'!$C$38*'契約別単価'!C7)</ns0:f>
        <ns0:v>3935.95530726257</ns0:v>
      </ns0:c>
      <ns0:c r="E551" s="16">
        <ns0:f>A551*('前提と出典'!$C$36*'契約別単価'!E5+'前提と出典'!$C$37*'契約別単価'!E6+'前提と出典'!$C$38*'契約別単価'!E7)</ns0:f>
        <ns0:v>1058414.7272326043</ns0:v>
      </ns0:c>
      <ns0:c r="F551" s="16">
        <ns0:f>A551*('前提と出典'!$C$36*'契約別単価'!F5+'前提と出典'!$C$37*'契約別単価'!F6+'前提と出典'!$C$38*'契約別単価'!F7)</ns0:f>
        <ns0:v>415389.32739809103</ns0:v>
      </ns0:c>
      <ns0:c r="G551" s="16">
        <ns0:f>A551*('前提と出典'!$C$36*'契約別単価'!G5+'前提と出典'!$C$37*'契約別単価'!G6+'前提と出典'!$C$38*'契約別単価'!G7)</ns0:f>
        <ns0:v>1088805.0279329608</ns0:v>
      </ns0:c>
      <ns0:c r="H551" s="16">
        <ns0:f>A551*('前提と出典'!$C$36*'契約別単価'!H5+'前提と出典'!$C$37*'契約別単価'!H6+'前提と出典'!$C$38*'契約別単価'!H7)</ns0:f>
        <ns0:v>377869.9525560764</ns0:v>
      </ns0:c>
      <ns0:c r="I551" s="16">
        <ns0:f>A551*('前提と出典'!$C$36*'契約別単価'!I5+'前提と出典'!$C$37*'契約別単価'!I6+'前提と出典'!$C$38*'契約別単価'!I7)</ns0:f>
        <ns0:v>23080.955307262568</ns0:v>
      </ns0:c>
      <ns0:c r="J551" s="16">
        <ns0:f>A551*('前提と出典'!$C$36*'契約別単価'!J5+'前提と出典'!$C$37*'契約別単価'!J6+'前提と出典'!$C$38*'契約別単価'!J7)</ns0:f>
        <ns0:v>53764.3804095355</ns0:v>
      </ns0:c>
      <ns0:c r="K551" s="16">
        <ns0:f>A551*('前提と出典'!$C$36*'契約別単価'!K5+'前提と出典'!$C$37*'契約別単価'!K6+'前提と出典'!$C$38*'契約別単価'!K7)</ns0:f>
        <ns0:v>230453.03538175044</ns0:v>
      </ns0:c>
      <ns0:c r="L551" s="16">
        <ns0:f>A551*('前提と出典'!$C$36*'契約別単価'!L5+'前提と出典'!$C$37*'契約別単価'!L6+'前提と出典'!$C$38*'契約別単価'!L7)</ns0:f>
        <ns0:v>187635.66508520255</ns0:v>
      </ns0:c>
      <ns0:c r="M551" s="16">
        <ns0:f>IF(('前提と出典'!$C$36+'前提と出典'!$C$38)=0,0,IF(B551&lt;=10,'前提と出典'!B73+'前提と出典'!C73,IF(B551&lt;=100,'前提と出典'!B74+'前提と出典'!C74,IF(B551&lt;=500,'前提と出典'!B75+'前提と出典'!C75,'前提と出典'!B76+'前提と出典'!C76))))</ns0:f>
        <ns0:v>40000</ns0:v>
      </ns0:c>
      <ns0:c r="N551" s="16">
        <ns0:f>IF(('前提と出典'!$C$37+'前提と出典'!$C$38)=0,0,IF(C551&lt;=10,'前提と出典'!D73+'前提と出典'!E73,IF(C551&lt;=100,'前提と出典'!D74+'前提と出典'!E74,IF(C551&lt;=500,'前提と出典'!D75+'前提と出典'!E75,'前提と出典'!D76+'前提と出典'!E76))))</ns0:f>
        <ns0:v>56510.9346263078</ns0:v>
      </ns0:c>
      <ns0:c r="O551" s="16">
        <ns0:f>IF('前提と出典'!$C$36+'前提と出典'!$C$38=0,0,'前提と出典'!$B$4*IF('前提と出典'!$B$20=0,MAX('前提と出典'!$B$6,D551*'前提と出典'!$B$5),'前提と出典'!$B$6+D551*'前提と出典'!$B$5))</ns0:f>
        <ns0:v>543161.8324022347</ns0:v>
      </ns0:c>
      <ns0:c r="P551" s="16">
        <ns0:f>(E551+G551)*(1-'前提と出典'!$B$7)-I551-K551-M551-O551</ns0:f>
        <ns0:v>1233224.020888357</ns0:v>
      </ns0:c>
      <ns0:c r="Q551" s="16">
        <ns0:f>(F551+H551)*(1-'前提と出典'!$B$7)-J551-L551-N551</ns0:f>
        <ns0:v>466790.9657547716</ns0:v>
      </ns0:c>
      <ns0:c r="R551" s="16">
        <ns0:f>P551-E551*'前提と出典'!$E$4</ns0:f>
        <ns0:v>915699.6027185756</ns0:v>
      </ns0:c>
      <ns0:c r="S551" s="16">
        <ns0:f>Q551-F551*'前提と出典'!$E$4</ns0:f>
        <ns0:v>342174.16753534426</ns0:v>
      </ns0:c>
      <ns0:c r="T551" s="7">
        <ns0:f>R551+S551</ns0:f>
        <ns0:v>1257873.77025392</ns0:v>
      </ns0:c>
      <ns0:c r="U551" s="16">
        <ns0:f>P551-E551*'前提と出典'!$E$5</ns0:f>
        <ns0:v>809858.1299953153</ns0:v>
      </ns0:c>
      <ns0:c r="V551" s="16">
        <ns0:f>Q551-F551*'前提と出典'!$E$5</ns0:f>
        <ns0:v>300635.2347955352</ns0:v>
      </ns0:c>
      <ns0:c r="W551" s="7">
        <ns0:f>U551+V551</ns0:f>
        <ns0:v>1110493.3647908506</ns0:v>
      </ns0:c>
      <ns0:c r="X551" s="16">
        <ns0:f>P551-E551*'前提と出典'!$E$6</ns0:f>
        <ns0:v>704016.6572720548</ns0:v>
      </ns0:c>
      <ns0:c r="Y551" s="16">
        <ns0:f>Q551-F551*'前提と出典'!$E$6</ns0:f>
        <ns0:v>259096.30205572606</ns0:v>
      </ns0:c>
      <ns0:c r="Z551" s="7">
        <ns0:f>X551+Y551</ns0:f>
        <ns0:v>963112.9593277809</ns0:v>
      </ns0:c>
      <ns0:c r="AA551" s="7">
        <ns0:f>IF(T551&gt;=0,A551,1001)</ns0:f>
        <ns0:v>547</ns0:v>
      </ns0:c>
      <ns0:c r="AB551" s="7">
        <ns0:f>IF(T551&lt;0,A551,0)</ns0:f>
        <ns0:v>0</ns0:v>
      </ns0:c>
      <ns0:c r="AC551" s="16">
        <ns0:f>IF(AND(OR('前提と出典'!$C$36+'前提と出典'!$C$38=0,R551&gt;=0),OR('前提と出典'!$C$37+'前提と出典'!$C$38=0,S551&gt;=0)),0,A551)</ns0:f>
        <ns0:v>0</ns0:v>
      </ns0:c>
      <ns0:c r="AD551" s="7">
        <ns0:f>IF(W551&gt;=0,A551,1001)</ns0:f>
        <ns0:v>547</ns0:v>
      </ns0:c>
      <ns0:c r="AE551" s="7">
        <ns0:f>IF(W551&lt;0,A551,0)</ns0:f>
        <ns0:v>0</ns0:v>
      </ns0:c>
      <ns0:c r="AF551" s="16">
        <ns0:f>IF(AND(OR('前提と出典'!$C$36+'前提と出典'!$C$38=0,U551&gt;=0),OR('前提と出典'!$C$37+'前提と出典'!$C$38=0,V551&gt;=0)),0,A551)</ns0:f>
        <ns0:v>0</ns0:v>
      </ns0:c>
      <ns0:c r="AG551" s="7">
        <ns0:f>IF(Z551&gt;=0,A551,1001)</ns0:f>
        <ns0:v>547</ns0:v>
      </ns0:c>
      <ns0:c r="AH551" s="4">
        <ns0:f>IF(Z551&lt;0,A551,0)</ns0:f>
        <ns0:v>0</ns0:v>
      </ns0:c>
      <ns0:c r="AI551" s="12">
        <ns0:f>IF(AND(OR('前提と出典'!$C$36+'前提と出典'!$C$38=0,X551&gt;=0),OR('前提と出典'!$C$37+'前提と出典'!$C$38=0,Y551&gt;=0)),0,A551)</ns0:f>
        <ns0:v>0</ns0:v>
      </ns0:c>
    </ns0:row>
    <ns0:row r="552" ht="24" customHeight="1">
      <ns0:c r="A552" s="4" t="n">
        <ns0:v>548</ns0:v>
      </ns0:c>
      <ns0:c r="B552" s="12">
        <ns0:f>A552*('前提と出典'!$C$36+'前提と出典'!$C$38)</ns0:f>
        <ns0:v>383.59999999999997</ns0:v>
      </ns0:c>
      <ns0:c r="C552" s="12">
        <ns0:f>A552*('前提と出典'!$C$37+'前提と出典'!$C$38)</ns0:f>
        <ns0:v>328.8</ns0:v>
      </ns0:c>
      <ns0:c r="D552" s="16">
        <ns0:f>A552*('前提と出典'!$C$36*'契約別単価'!C5+'前提と出典'!$C$37*'契約別単価'!C6+'前提と出典'!$C$38*'契約別単価'!C7)</ns0:f>
        <ns0:v>3943.150837988827</ns0:v>
      </ns0:c>
      <ns0:c r="E552" s="16">
        <ns0:f>A552*('前提と出典'!$C$36*'契約別単価'!E5+'前提と出典'!$C$37*'契約別単価'!E6+'前提と出典'!$C$38*'契約別単価'!E7)</ns0:f>
        <ns0:v>1060349.6718893365</ns0:v>
      </ns0:c>
      <ns0:c r="F552" s="16">
        <ns0:f>A552*('前提と出典'!$C$36*'契約別単価'!F5+'前提と出典'!$C$37*'契約別単価'!F6+'前提と出典'!$C$38*'契約別単価'!F7)</ns0:f>
        <ns0:v>416148.72287779505</ns0:v>
      </ns0:c>
      <ns0:c r="G552" s="16">
        <ns0:f>A552*('前提と出典'!$C$36*'契約別単価'!G5+'前提と出典'!$C$37*'契約別単価'!G6+'前提と出典'!$C$38*'契約別単価'!G7)</ns0:f>
        <ns0:v>1090795.530726257</ns0:v>
      </ns0:c>
      <ns0:c r="H552" s="16">
        <ns0:f>A552*('前提と出典'!$C$36*'契約別単価'!H5+'前提と出典'!$C$37*'契約別単価'!H6+'前提と出典'!$C$38*'契約別単価'!H7)</ns0:f>
        <ns0:v>378560.7568569102</ns0:v>
      </ns0:c>
      <ns0:c r="I552" s="16">
        <ns0:f>A552*('前提と出典'!$C$36*'契約別単価'!I5+'前提と出典'!$C$37*'契約別単価'!I6+'前提と出典'!$C$38*'契約別単価'!I7)</ns0:f>
        <ns0:v>23123.150837988822</ns0:v>
      </ns0:c>
      <ns0:c r="J552" s="16">
        <ns0:f>A552*('前提と出典'!$C$36*'契約別単価'!J5+'前提と出典'!$C$37*'契約別単価'!J6+'前提と出典'!$C$38*'契約別単価'!J7)</ns0:f>
        <ns0:v>53862.66995324581</ns0:v>
      </ns0:c>
      <ns0:c r="K552" s="16">
        <ns0:f>A552*('前提と出典'!$C$36*'契約別単価'!K5+'前提と出典'!$C$37*'契約別単価'!K6+'前提と出典'!$C$38*'契約別単価'!K7)</ns0:f>
        <ns0:v>230874.3389199255</ns0:v>
      </ns0:c>
      <ns0:c r="L552" s="16">
        <ns0:f>A552*('前提と出典'!$C$36*'契約別単価'!L5+'前提と出典'!$C$37*'契約別単価'!L6+'前提と出典'!$C$38*'契約別単価'!L7)</ns0:f>
        <ns0:v>187978.69189523032</ns0:v>
      </ns0:c>
      <ns0:c r="M552" s="16">
        <ns0:f>IF(('前提と出典'!$C$36+'前提と出典'!$C$38)=0,0,IF(B552&lt;=10,'前提と出典'!B73+'前提と出典'!C73,IF(B552&lt;=100,'前提と出典'!B74+'前提と出典'!C74,IF(B552&lt;=500,'前提と出典'!B75+'前提と出典'!C75,'前提と出典'!B76+'前提と出典'!C76))))</ns0:f>
        <ns0:v>40000</ns0:v>
      </ns0:c>
      <ns0:c r="N552" s="16">
        <ns0:f>IF(('前提と出典'!$C$37+'前提と出典'!$C$38)=0,0,IF(C552&lt;=10,'前提と出典'!D73+'前提と出典'!E73,IF(C552&lt;=100,'前提と出典'!D74+'前提と出典'!E74,IF(C552&lt;=500,'前提と出典'!D75+'前提と出典'!E75,'前提と出典'!D76+'前提と出典'!E76))))</ns0:f>
        <ns0:v>56510.9346263078</ns0:v>
      </ns0:c>
      <ns0:c r="O552" s="16">
        <ns0:f>IF('前提と出典'!$C$36+'前提と出典'!$C$38=0,0,'前提と出典'!$B$4*IF('前提と出典'!$B$20=0,MAX('前提と出典'!$B$6,D552*'前提と出典'!$B$5),'前提と出典'!$B$6+D552*'前提と出典'!$B$5))</ns0:f>
        <ns0:v>544154.8156424582</ns0:v>
      </ns0:c>
      <ns0:c r="P552" s="16">
        <ns0:f>(E552+G552)*(1-'前提と出典'!$B$7)-I552-K552-M552-O552</ns0:f>
        <ns0:v>1235551.6699210596</ns0:v>
      </ns0:c>
      <ns0:c r="Q552" s="16">
        <ns0:f>(F552+H552)*(1-'前提と出典'!$B$7)-J552-L552-N552</ns0:f>
        <ns0:v>467747.6419894719</ns0:v>
      </ns0:c>
      <ns0:c r="R552" s="16">
        <ns0:f>P552-E552*'前提と出典'!$E$4</ns0:f>
        <ns0:v>917446.7683542587</ns0:v>
      </ns0:c>
      <ns0:c r="S552" s="16">
        <ns0:f>Q552-F552*'前提と出典'!$E$4</ns0:f>
        <ns0:v>342903.02512613346</ns0:v>
      </ns0:c>
      <ns0:c r="T552" s="7">
        <ns0:f>R552+S552</ns0:f>
        <ns0:v>1260349.793480392</ns0:v>
      </ns0:c>
      <ns0:c r="U552" s="16">
        <ns0:f>P552-E552*'前提と出典'!$E$5</ns0:f>
        <ns0:v>811411.8011653251</ns0:v>
      </ns0:c>
      <ns0:c r="V552" s="16">
        <ns0:f>Q552-F552*'前提と出典'!$E$5</ns0:f>
        <ns0:v>301288.1528383539</ns0:v>
      </ns0:c>
      <ns0:c r="W552" s="7">
        <ns0:f>U552+V552</ns0:f>
        <ns0:v>1112699.954003679</ns0:v>
      </ns0:c>
      <ns0:c r="X552" s="16">
        <ns0:f>P552-E552*'前提と出典'!$E$6</ns0:f>
        <ns0:v>705376.8339763912</ns0:v>
      </ns0:c>
      <ns0:c r="Y552" s="16">
        <ns0:f>Q552-F552*'前提と出典'!$E$6</ns0:f>
        <ns0:v>259673.28055057442</ns0:v>
      </ns0:c>
      <ns0:c r="Z552" s="7">
        <ns0:f>X552+Y552</ns0:f>
        <ns0:v>965050.1145269657</ns0:v>
      </ns0:c>
      <ns0:c r="AA552" s="7">
        <ns0:f>IF(T552&gt;=0,A552,1001)</ns0:f>
        <ns0:v>548</ns0:v>
      </ns0:c>
      <ns0:c r="AB552" s="7">
        <ns0:f>IF(T552&lt;0,A552,0)</ns0:f>
        <ns0:v>0</ns0:v>
      </ns0:c>
      <ns0:c r="AC552" s="16">
        <ns0:f>IF(AND(OR('前提と出典'!$C$36+'前提と出典'!$C$38=0,R552&gt;=0),OR('前提と出典'!$C$37+'前提と出典'!$C$38=0,S552&gt;=0)),0,A552)</ns0:f>
        <ns0:v>0</ns0:v>
      </ns0:c>
      <ns0:c r="AD552" s="7">
        <ns0:f>IF(W552&gt;=0,A552,1001)</ns0:f>
        <ns0:v>548</ns0:v>
      </ns0:c>
      <ns0:c r="AE552" s="7">
        <ns0:f>IF(W552&lt;0,A552,0)</ns0:f>
        <ns0:v>0</ns0:v>
      </ns0:c>
      <ns0:c r="AF552" s="16">
        <ns0:f>IF(AND(OR('前提と出典'!$C$36+'前提と出典'!$C$38=0,U552&gt;=0),OR('前提と出典'!$C$37+'前提と出典'!$C$38=0,V552&gt;=0)),0,A552)</ns0:f>
        <ns0:v>0</ns0:v>
      </ns0:c>
      <ns0:c r="AG552" s="7">
        <ns0:f>IF(Z552&gt;=0,A552,1001)</ns0:f>
        <ns0:v>548</ns0:v>
      </ns0:c>
      <ns0:c r="AH552" s="4">
        <ns0:f>IF(Z552&lt;0,A552,0)</ns0:f>
        <ns0:v>0</ns0:v>
      </ns0:c>
      <ns0:c r="AI552" s="12">
        <ns0:f>IF(AND(OR('前提と出典'!$C$36+'前提と出典'!$C$38=0,X552&gt;=0),OR('前提と出典'!$C$37+'前提と出典'!$C$38=0,Y552&gt;=0)),0,A552)</ns0:f>
        <ns0:v>0</ns0:v>
      </ns0:c>
    </ns0:row>
    <ns0:row r="553" ht="24" customHeight="1">
      <ns0:c r="A553" s="4" t="n">
        <ns0:v>549</ns0:v>
      </ns0:c>
      <ns0:c r="B553" s="12">
        <ns0:f>A553*('前提と出典'!$C$36+'前提と出典'!$C$38)</ns0:f>
        <ns0:v>384.29999999999995</ns0:v>
      </ns0:c>
      <ns0:c r="C553" s="12">
        <ns0:f>A553*('前提と出典'!$C$37+'前提と出典'!$C$38)</ns0:f>
        <ns0:v>329.4</ns0:v>
      </ns0:c>
      <ns0:c r="D553" s="16">
        <ns0:f>A553*('前提と出典'!$C$36*'契約別単価'!C5+'前提と出典'!$C$37*'契約別単価'!C6+'前提と出典'!$C$38*'契約別単価'!C7)</ns0:f>
        <ns0:v>3950.346368715084</ns0:v>
      </ns0:c>
      <ns0:c r="E553" s="16">
        <ns0:f>A553*('前提と出典'!$C$36*'契約別単価'!E5+'前提と出典'!$C$37*'契約別単価'!E6+'前提と出典'!$C$38*'契約別単価'!E7)</ns0:f>
        <ns0:v>1062284.6165460688</ns0:v>
      </ns0:c>
      <ns0:c r="F553" s="16">
        <ns0:f>A553*('前提と出典'!$C$36*'契約別単価'!F5+'前提と出典'!$C$37*'契約別単価'!F6+'前提と出典'!$C$38*'契約別単価'!F7)</ns0:f>
        <ns0:v>416908.118357499</ns0:v>
      </ns0:c>
      <ns0:c r="G553" s="16">
        <ns0:f>A553*('前提と出典'!$C$36*'契約別単価'!G5+'前提と出典'!$C$37*'契約別単価'!G6+'前提と出典'!$C$38*'契約別単価'!G7)</ns0:f>
        <ns0:v>1092786.033519553</ns0:v>
      </ns0:c>
      <ns0:c r="H553" s="16">
        <ns0:f>A553*('前提と出典'!$C$36*'契約別単価'!H5+'前提と出典'!$C$37*'契約別単価'!H6+'前提と出典'!$C$38*'契約別単価'!H7)</ns0:f>
        <ns0:v>379251.56115774397</ns0:v>
      </ns0:c>
      <ns0:c r="I553" s="16">
        <ns0:f>A553*('前提と出典'!$C$36*'契約別単価'!I5+'前提と出典'!$C$37*'契約別単価'!I6+'前提と出典'!$C$38*'契約別単価'!I7)</ns0:f>
        <ns0:v>23165.34636871508</ns0:v>
      </ns0:c>
      <ns0:c r="J553" s="16">
        <ns0:f>A553*('前提と出典'!$C$36*'契約別単価'!J5+'前提と出典'!$C$37*'契約別単価'!J6+'前提と出典'!$C$38*'契約別単価'!J7)</ns0:f>
        <ns0:v>53960.95949695611</ns0:v>
      </ns0:c>
      <ns0:c r="K553" s="16">
        <ns0:f>A553*('前提と出典'!$C$36*'契約別単価'!K5+'前提と出典'!$C$37*'契約別単価'!K6+'前提と出典'!$C$38*'契約別単価'!K7)</ns0:f>
        <ns0:v>231295.64245810054</ns0:v>
      </ns0:c>
      <ns0:c r="L553" s="16">
        <ns0:f>A553*('前提と出典'!$C$36*'契約別単価'!L5+'前提と出典'!$C$37*'契約別単価'!L6+'前提と出典'!$C$38*'契約別単価'!L7)</ns0:f>
        <ns0:v>188321.71870525813</ns0:v>
      </ns0:c>
      <ns0:c r="M553" s="16">
        <ns0:f>IF(('前提と出典'!$C$36+'前提と出典'!$C$38)=0,0,IF(B553&lt;=10,'前提と出典'!B73+'前提と出典'!C73,IF(B553&lt;=100,'前提と出典'!B74+'前提と出典'!C74,IF(B553&lt;=500,'前提と出典'!B75+'前提と出典'!C75,'前提と出典'!B76+'前提と出典'!C76))))</ns0:f>
        <ns0:v>40000</ns0:v>
      </ns0:c>
      <ns0:c r="N553" s="16">
        <ns0:f>IF(('前提と出典'!$C$37+'前提と出典'!$C$38)=0,0,IF(C553&lt;=10,'前提と出典'!D73+'前提と出典'!E73,IF(C553&lt;=100,'前提と出典'!D74+'前提と出典'!E74,IF(C553&lt;=500,'前提と出典'!D75+'前提と出典'!E75,'前提と出典'!D76+'前提と出典'!E76))))</ns0:f>
        <ns0:v>56510.9346263078</ns0:v>
      </ns0:c>
      <ns0:c r="O553" s="16">
        <ns0:f>IF('前提と出典'!$C$36+'前提と出典'!$C$38=0,0,'前提と出典'!$B$4*IF('前提と出典'!$B$20=0,MAX('前提と出典'!$B$6,D553*'前提と出典'!$B$5),'前提と出典'!$B$6+D553*'前提と出典'!$B$5))</ns0:f>
        <ns0:v>545147.7988826815</ns0:v>
      </ns0:c>
      <ns0:c r="P553" s="16">
        <ns0:f>(E553+G553)*(1-'前提と出典'!$B$7)-I553-K553-M553-O553</ns0:f>
        <ns0:v>1237879.3189537623</ns0:v>
      </ns0:c>
      <ns0:c r="Q553" s="16">
        <ns0:f>(F553+H553)*(1-'前提と出典'!$B$7)-J553-L553-N553</ns0:f>
        <ns0:v>468704.3182241724</ns0:v>
      </ns0:c>
      <ns0:c r="R553" s="16">
        <ns0:f>P553-E553*'前提と出典'!$E$4</ns0:f>
        <ns0:v>919193.9339899415</ns0:v>
      </ns0:c>
      <ns0:c r="S553" s="16">
        <ns0:f>Q553-F553*'前提と出典'!$E$4</ns0:f>
        <ns0:v>343631.8827169227</ns0:v>
      </ns0:c>
      <ns0:c r="T553" s="7">
        <ns0:f>R553+S553</ns0:f>
        <ns0:v>1262825.8167068642</ns0:v>
      </ns0:c>
      <ns0:c r="U553" s="16">
        <ns0:f>P553-E553*'前提と出典'!$E$5</ns0:f>
        <ns0:v>812965.4723353348</ns0:v>
      </ns0:c>
      <ns0:c r="V553" s="16">
        <ns0:f>Q553-F553*'前提と出典'!$E$5</ns0:f>
        <ns0:v>301941.0708811728</ns0:v>
      </ns0:c>
      <ns0:c r="W553" s="7">
        <ns0:f>U553+V553</ns0:f>
        <ns0:v>1114906.5432165074</ns0:v>
      </ns0:c>
      <ns0:c r="X553" s="16">
        <ns0:f>P553-E553*'前提と出典'!$E$6</ns0:f>
        <ns0:v>706737.0106807278</ns0:v>
      </ns0:c>
      <ns0:c r="Y553" s="16">
        <ns0:f>Q553-F553*'前提と出典'!$E$6</ns0:f>
        <ns0:v>260250.25904542278</ns0:v>
      </ns0:c>
      <ns0:c r="Z553" s="7">
        <ns0:f>X553+Y553</ns0:f>
        <ns0:v>966987.2697261506</ns0:v>
      </ns0:c>
      <ns0:c r="AA553" s="7">
        <ns0:f>IF(T553&gt;=0,A553,1001)</ns0:f>
        <ns0:v>549</ns0:v>
      </ns0:c>
      <ns0:c r="AB553" s="7">
        <ns0:f>IF(T553&lt;0,A553,0)</ns0:f>
        <ns0:v>0</ns0:v>
      </ns0:c>
      <ns0:c r="AC553" s="16">
        <ns0:f>IF(AND(OR('前提と出典'!$C$36+'前提と出典'!$C$38=0,R553&gt;=0),OR('前提と出典'!$C$37+'前提と出典'!$C$38=0,S553&gt;=0)),0,A553)</ns0:f>
        <ns0:v>0</ns0:v>
      </ns0:c>
      <ns0:c r="AD553" s="7">
        <ns0:f>IF(W553&gt;=0,A553,1001)</ns0:f>
        <ns0:v>549</ns0:v>
      </ns0:c>
      <ns0:c r="AE553" s="7">
        <ns0:f>IF(W553&lt;0,A553,0)</ns0:f>
        <ns0:v>0</ns0:v>
      </ns0:c>
      <ns0:c r="AF553" s="16">
        <ns0:f>IF(AND(OR('前提と出典'!$C$36+'前提と出典'!$C$38=0,U553&gt;=0),OR('前提と出典'!$C$37+'前提と出典'!$C$38=0,V553&gt;=0)),0,A553)</ns0:f>
        <ns0:v>0</ns0:v>
      </ns0:c>
      <ns0:c r="AG553" s="7">
        <ns0:f>IF(Z553&gt;=0,A553,1001)</ns0:f>
        <ns0:v>549</ns0:v>
      </ns0:c>
      <ns0:c r="AH553" s="4">
        <ns0:f>IF(Z553&lt;0,A553,0)</ns0:f>
        <ns0:v>0</ns0:v>
      </ns0:c>
      <ns0:c r="AI553" s="12">
        <ns0:f>IF(AND(OR('前提と出典'!$C$36+'前提と出典'!$C$38=0,X553&gt;=0),OR('前提と出典'!$C$37+'前提と出典'!$C$38=0,Y553&gt;=0)),0,A553)</ns0:f>
        <ns0:v>0</ns0:v>
      </ns0:c>
    </ns0:row>
    <ns0:row r="554" ht="24" customHeight="1">
      <ns0:c r="A554" s="4" t="n">
        <ns0:v>550</ns0:v>
      </ns0:c>
      <ns0:c r="B554" s="12">
        <ns0:f>A554*('前提と出典'!$C$36+'前提と出典'!$C$38)</ns0:f>
        <ns0:v>385</ns0:v>
      </ns0:c>
      <ns0:c r="C554" s="12">
        <ns0:f>A554*('前提と出典'!$C$37+'前提と出典'!$C$38)</ns0:f>
        <ns0:v>330</ns0:v>
      </ns0:c>
      <ns0:c r="D554" s="16">
        <ns0:f>A554*('前提と出典'!$C$36*'契約別単価'!C5+'前提と出典'!$C$37*'契約別単価'!C6+'前提と出典'!$C$38*'契約別単価'!C7)</ns0:f>
        <ns0:v>3957.541899441341</ns0:v>
      </ns0:c>
      <ns0:c r="E554" s="16">
        <ns0:f>A554*('前提と出典'!$C$36*'契約別単価'!E5+'前提と出典'!$C$37*'契約別単価'!E6+'前提と出典'!$C$38*'契約別単価'!E7)</ns0:f>
        <ns0:v>1064219.5612028013</ns0:v>
      </ns0:c>
      <ns0:c r="F554" s="16">
        <ns0:f>A554*('前提と出典'!$C$36*'契約別単価'!F5+'前提と出典'!$C$37*'契約別単価'!F6+'前提と出典'!$C$38*'契約別単価'!F7)</ns0:f>
        <ns0:v>417667.51383720303</ns0:v>
      </ns0:c>
      <ns0:c r="G554" s="16">
        <ns0:f>A554*('前提と出典'!$C$36*'契約別単価'!G5+'前提と出典'!$C$37*'契約別単価'!G6+'前提と出典'!$C$38*'契約別単価'!G7)</ns0:f>
        <ns0:v>1094776.536312849</ns0:v>
      </ns0:c>
      <ns0:c r="H554" s="16">
        <ns0:f>A554*('前提と出典'!$C$36*'契約別単価'!H5+'前提と出典'!$C$37*'契約別単価'!H6+'前提と出典'!$C$38*'契約別単価'!H7)</ns0:f>
        <ns0:v>379942.36545857775</ns0:v>
      </ns0:c>
      <ns0:c r="I554" s="16">
        <ns0:f>A554*('前提と出典'!$C$36*'契約別単価'!I5+'前提と出典'!$C$37*'契約別単価'!I6+'前提と出典'!$C$38*'契約別単価'!I7)</ns0:f>
        <ns0:v>23207.541899441338</ns0:v>
      </ns0:c>
      <ns0:c r="J554" s="16">
        <ns0:f>A554*('前提と出典'!$C$36*'契約別単価'!J5+'前提と出典'!$C$37*'契約別単価'!J6+'前提と出典'!$C$38*'契約別単価'!J7)</ns0:f>
        <ns0:v>54059.249040666415</ns0:v>
      </ns0:c>
      <ns0:c r="K554" s="16">
        <ns0:f>A554*('前提と出典'!$C$36*'契約別単価'!K5+'前提と出典'!$C$37*'契約別単価'!K6+'前提と出典'!$C$38*'契約別単価'!K7)</ns0:f>
        <ns0:v>231716.94599627558</ns0:v>
      </ns0:c>
      <ns0:c r="L554" s="16">
        <ns0:f>A554*('前提と出典'!$C$36*'契約別単価'!L5+'前提と出典'!$C$37*'契約別単価'!L6+'前提と出典'!$C$38*'契約別単価'!L7)</ns0:f>
        <ns0:v>188664.7455152859</ns0:v>
      </ns0:c>
      <ns0:c r="M554" s="16">
        <ns0:f>IF(('前提と出典'!$C$36+'前提と出典'!$C$38)=0,0,IF(B554&lt;=10,'前提と出典'!B73+'前提と出典'!C73,IF(B554&lt;=100,'前提と出典'!B74+'前提と出典'!C74,IF(B554&lt;=500,'前提と出典'!B75+'前提と出典'!C75,'前提と出典'!B76+'前提と出典'!C76))))</ns0:f>
        <ns0:v>40000</ns0:v>
      </ns0:c>
      <ns0:c r="N554" s="16">
        <ns0:f>IF(('前提と出典'!$C$37+'前提と出典'!$C$38)=0,0,IF(C554&lt;=10,'前提と出典'!D73+'前提と出典'!E73,IF(C554&lt;=100,'前提と出典'!D74+'前提と出典'!E74,IF(C554&lt;=500,'前提と出典'!D75+'前提と出典'!E75,'前提と出典'!D76+'前提と出典'!E76))))</ns0:f>
        <ns0:v>56510.9346263078</ns0:v>
      </ns0:c>
      <ns0:c r="O554" s="16">
        <ns0:f>IF('前提と出典'!$C$36+'前提と出典'!$C$38=0,0,'前提と出典'!$B$4*IF('前提と出典'!$B$20=0,MAX('前提と出典'!$B$6,D554*'前提と出典'!$B$5),'前提と出典'!$B$6+D554*'前提と出典'!$B$5))</ns0:f>
        <ns0:v>546140.782122905</ns0:v>
      </ns0:c>
      <ns0:c r="P554" s="16">
        <ns0:f>(E554+G554)*(1-'前提と出典'!$B$7)-I554-K554-M554-O554</ns0:f>
        <ns0:v>1240206.967986465</ns0:v>
      </ns0:c>
      <ns0:c r="Q554" s="16">
        <ns0:f>(F554+H554)*(1-'前提と出典'!$B$7)-J554-L554-N554</ns0:f>
        <ns0:v>469660.9944588726</ns0:v>
      </ns0:c>
      <ns0:c r="R554" s="16">
        <ns0:f>P554-E554*'前提と出典'!$E$4</ns0:f>
        <ns0:v>920941.0996256246</ns0:v>
      </ns0:c>
      <ns0:c r="S554" s="16">
        <ns0:f>Q554-F554*'前提と出典'!$E$4</ns0:f>
        <ns0:v>344360.74030771165</ns0:v>
      </ns0:c>
      <ns0:c r="T554" s="7">
        <ns0:f>R554+S554</ns0:f>
        <ns0:v>1265301.8399333362</ns0:v>
      </ns0:c>
      <ns0:c r="U554" s="16">
        <ns0:f>P554-E554*'前提と出典'!$E$5</ns0:f>
        <ns0:v>814519.1435053443</ns0:v>
      </ns0:c>
      <ns0:c r="V554" s="16">
        <ns0:f>Q554-F554*'前提と出典'!$E$5</ns0:f>
        <ns0:v>302593.98892399133</ns0:v>
      </ns0:c>
      <ns0:c r="W554" s="7">
        <ns0:f>U554+V554</ns0:f>
        <ns0:v>1117113.1324293357</ns0:v>
      </ns0:c>
      <ns0:c r="X554" s="16">
        <ns0:f>P554-E554*'前提と出典'!$E$6</ns0:f>
        <ns0:v>708097.1873850642</ns0:v>
      </ns0:c>
      <ns0:c r="Y554" s="16">
        <ns0:f>Q554-F554*'前提と出典'!$E$6</ns0:f>
        <ns0:v>260827.23754027113</ns0:v>
      </ns0:c>
      <ns0:c r="Z554" s="7">
        <ns0:f>X554+Y554</ns0:f>
        <ns0:v>968924.4249253353</ns0:v>
      </ns0:c>
      <ns0:c r="AA554" s="7">
        <ns0:f>IF(T554&gt;=0,A554,1001)</ns0:f>
        <ns0:v>550</ns0:v>
      </ns0:c>
      <ns0:c r="AB554" s="7">
        <ns0:f>IF(T554&lt;0,A554,0)</ns0:f>
        <ns0:v>0</ns0:v>
      </ns0:c>
      <ns0:c r="AC554" s="16">
        <ns0:f>IF(AND(OR('前提と出典'!$C$36+'前提と出典'!$C$38=0,R554&gt;=0),OR('前提と出典'!$C$37+'前提と出典'!$C$38=0,S554&gt;=0)),0,A554)</ns0:f>
        <ns0:v>0</ns0:v>
      </ns0:c>
      <ns0:c r="AD554" s="7">
        <ns0:f>IF(W554&gt;=0,A554,1001)</ns0:f>
        <ns0:v>550</ns0:v>
      </ns0:c>
      <ns0:c r="AE554" s="7">
        <ns0:f>IF(W554&lt;0,A554,0)</ns0:f>
        <ns0:v>0</ns0:v>
      </ns0:c>
      <ns0:c r="AF554" s="16">
        <ns0:f>IF(AND(OR('前提と出典'!$C$36+'前提と出典'!$C$38=0,U554&gt;=0),OR('前提と出典'!$C$37+'前提と出典'!$C$38=0,V554&gt;=0)),0,A554)</ns0:f>
        <ns0:v>0</ns0:v>
      </ns0:c>
      <ns0:c r="AG554" s="7">
        <ns0:f>IF(Z554&gt;=0,A554,1001)</ns0:f>
        <ns0:v>550</ns0:v>
      </ns0:c>
      <ns0:c r="AH554" s="4">
        <ns0:f>IF(Z554&lt;0,A554,0)</ns0:f>
        <ns0:v>0</ns0:v>
      </ns0:c>
      <ns0:c r="AI554" s="12">
        <ns0:f>IF(AND(OR('前提と出典'!$C$36+'前提と出典'!$C$38=0,X554&gt;=0),OR('前提と出典'!$C$37+'前提と出典'!$C$38=0,Y554&gt;=0)),0,A554)</ns0:f>
        <ns0:v>0</ns0:v>
      </ns0:c>
    </ns0:row>
    <ns0:row r="555" ht="24" customHeight="1">
      <ns0:c r="A555" s="4" t="n">
        <ns0:v>551</ns0:v>
      </ns0:c>
      <ns0:c r="B555" s="12">
        <ns0:f>A555*('前提と出典'!$C$36+'前提と出典'!$C$38)</ns0:f>
        <ns0:v>385.7</ns0:v>
      </ns0:c>
      <ns0:c r="C555" s="12">
        <ns0:f>A555*('前提と出典'!$C$37+'前提と出典'!$C$38)</ns0:f>
        <ns0:v>330.59999999999997</ns0:v>
      </ns0:c>
      <ns0:c r="D555" s="16">
        <ns0:f>A555*('前提と出典'!$C$36*'契約別単価'!C5+'前提と出典'!$C$37*'契約別単価'!C6+'前提と出典'!$C$38*'契約別単価'!C7)</ns0:f>
        <ns0:v>3964.7374301675977</ns0:v>
      </ns0:c>
      <ns0:c r="E555" s="16">
        <ns0:f>A555*('前提と出典'!$C$36*'契約別単価'!E5+'前提と出典'!$C$37*'契約別単価'!E6+'前提と出典'!$C$38*'契約別単価'!E7)</ns0:f>
        <ns0:v>1066154.5058595336</ns0:v>
      </ns0:c>
      <ns0:c r="F555" s="16">
        <ns0:f>A555*('前提と出典'!$C$36*'契約別単価'!F5+'前提と出典'!$C$37*'契約別単価'!F6+'前提と出典'!$C$38*'契約別単価'!F7)</ns0:f>
        <ns0:v>418426.90931690705</ns0:v>
      </ns0:c>
      <ns0:c r="G555" s="16">
        <ns0:f>A555*('前提と出典'!$C$36*'契約別単価'!G5+'前提と出典'!$C$37*'契約別単価'!G6+'前提と出典'!$C$38*'契約別単価'!G7)</ns0:f>
        <ns0:v>1096767.0391061453</ns0:v>
      </ns0:c>
      <ns0:c r="H555" s="16">
        <ns0:f>A555*('前提と出典'!$C$36*'契約別単価'!H5+'前提と出典'!$C$37*'契約別単価'!H6+'前提と出典'!$C$38*'契約別単価'!H7)</ns0:f>
        <ns0:v>380633.1697594115</ns0:v>
      </ns0:c>
      <ns0:c r="I555" s="16">
        <ns0:f>A555*('前提と出典'!$C$36*'契約別単価'!I5+'前提と出典'!$C$37*'契約別単価'!I6+'前提と出典'!$C$38*'契約別単価'!I7)</ns0:f>
        <ns0:v>23249.737430167595</ns0:v>
      </ns0:c>
      <ns0:c r="J555" s="16">
        <ns0:f>A555*('前提と出典'!$C$36*'契約別単価'!J5+'前提と出典'!$C$37*'契約別単価'!J6+'前提と出典'!$C$38*'契約別単価'!J7)</ns0:f>
        <ns0:v>54157.538584376714</ns0:v>
      </ns0:c>
      <ns0:c r="K555" s="16">
        <ns0:f>A555*('前提と出典'!$C$36*'契約別単価'!K5+'前提と出典'!$C$37*'契約別単価'!K6+'前提と出典'!$C$38*'契約別単価'!K7)</ns0:f>
        <ns0:v>232138.24953445065</ns0:v>
      </ns0:c>
      <ns0:c r="L555" s="16">
        <ns0:f>A555*('前提と出典'!$C$36*'契約別単価'!L5+'前提と出典'!$C$37*'契約別単価'!L6+'前提と出典'!$C$38*'契約別単価'!L7)</ns0:f>
        <ns0:v>189007.7723253137</ns0:v>
      </ns0:c>
      <ns0:c r="M555" s="16">
        <ns0:f>IF(('前提と出典'!$C$36+'前提と出典'!$C$38)=0,0,IF(B555&lt;=10,'前提と出典'!B73+'前提と出典'!C73,IF(B555&lt;=100,'前提と出典'!B74+'前提と出典'!C74,IF(B555&lt;=500,'前提と出典'!B75+'前提と出典'!C75,'前提と出典'!B76+'前提と出典'!C76))))</ns0:f>
        <ns0:v>40000</ns0:v>
      </ns0:c>
      <ns0:c r="N555" s="16">
        <ns0:f>IF(('前提と出典'!$C$37+'前提と出典'!$C$38)=0,0,IF(C555&lt;=10,'前提と出典'!D73+'前提と出典'!E73,IF(C555&lt;=100,'前提と出典'!D74+'前提と出典'!E74,IF(C555&lt;=500,'前提と出典'!D75+'前提と出典'!E75,'前提と出典'!D76+'前提と出典'!E76))))</ns0:f>
        <ns0:v>56510.9346263078</ns0:v>
      </ns0:c>
      <ns0:c r="O555" s="16">
        <ns0:f>IF('前提と出典'!$C$36+'前提と出典'!$C$38=0,0,'前提と出典'!$B$4*IF('前提と出典'!$B$20=0,MAX('前提と出典'!$B$6,D555*'前提と出典'!$B$5),'前提と出典'!$B$6+D555*'前提と出典'!$B$5))</ns0:f>
        <ns0:v>547133.7653631285</ns0:v>
      </ns0:c>
      <ns0:c r="P555" s="16">
        <ns0:f>(E555+G555)*(1-'前提と出典'!$B$7)-I555-K555-M555-O555</ns0:f>
        <ns0:v>1242534.6170191676</ns0:v>
      </ns0:c>
      <ns0:c r="Q555" s="16">
        <ns0:f>(F555+H555)*(1-'前提と出典'!$B$7)-J555-L555-N555</ns0:f>
        <ns0:v>470617.6706935729</ns0:v>
      </ns0:c>
      <ns0:c r="R555" s="16">
        <ns0:f>P555-E555*'前提と出典'!$E$4</ns0:f>
        <ns0:v>922688.2652613075</ns0:v>
      </ns0:c>
      <ns0:c r="S555" s="16">
        <ns0:f>Q555-F555*'前提と出典'!$E$4</ns0:f>
        <ns0:v>345089.5978985008</ns0:v>
      </ns0:c>
      <ns0:c r="T555" s="7">
        <ns0:f>R555+S555</ns0:f>
        <ns0:v>1267777.8631598083</ns0:v>
      </ns0:c>
      <ns0:c r="U555" s="16">
        <ns0:f>P555-E555*'前提と出典'!$E$5</ns0:f>
        <ns0:v>816072.814675354</ns0:v>
      </ns0:c>
      <ns0:c r="V555" s="16">
        <ns0:f>Q555-F555*'前提と出典'!$E$5</ns0:f>
        <ns0:v>303246.90696681006</ns0:v>
      </ns0:c>
      <ns0:c r="W555" s="7">
        <ns0:f>U555+V555</ns0:f>
        <ns0:v>1119319.721642164</ns0:v>
      </ns0:c>
      <ns0:c r="X555" s="16">
        <ns0:f>P555-E555*'前提と出典'!$E$6</ns0:f>
        <ns0:v>709457.3640894009</ns0:v>
      </ns0:c>
      <ns0:c r="Y555" s="16">
        <ns0:f>Q555-F555*'前提と出典'!$E$6</ns0:f>
        <ns0:v>261404.21603511932</ns0:v>
      </ns0:c>
      <ns0:c r="Z555" s="7">
        <ns0:f>X555+Y555</ns0:f>
        <ns0:v>970861.5801245202</ns0:v>
      </ns0:c>
      <ns0:c r="AA555" s="7">
        <ns0:f>IF(T555&gt;=0,A555,1001)</ns0:f>
        <ns0:v>551</ns0:v>
      </ns0:c>
      <ns0:c r="AB555" s="7">
        <ns0:f>IF(T555&lt;0,A555,0)</ns0:f>
        <ns0:v>0</ns0:v>
      </ns0:c>
      <ns0:c r="AC555" s="16">
        <ns0:f>IF(AND(OR('前提と出典'!$C$36+'前提と出典'!$C$38=0,R555&gt;=0),OR('前提と出典'!$C$37+'前提と出典'!$C$38=0,S555&gt;=0)),0,A555)</ns0:f>
        <ns0:v>0</ns0:v>
      </ns0:c>
      <ns0:c r="AD555" s="7">
        <ns0:f>IF(W555&gt;=0,A555,1001)</ns0:f>
        <ns0:v>551</ns0:v>
      </ns0:c>
      <ns0:c r="AE555" s="7">
        <ns0:f>IF(W555&lt;0,A555,0)</ns0:f>
        <ns0:v>0</ns0:v>
      </ns0:c>
      <ns0:c r="AF555" s="16">
        <ns0:f>IF(AND(OR('前提と出典'!$C$36+'前提と出典'!$C$38=0,U555&gt;=0),OR('前提と出典'!$C$37+'前提と出典'!$C$38=0,V555&gt;=0)),0,A555)</ns0:f>
        <ns0:v>0</ns0:v>
      </ns0:c>
      <ns0:c r="AG555" s="7">
        <ns0:f>IF(Z555&gt;=0,A555,1001)</ns0:f>
        <ns0:v>551</ns0:v>
      </ns0:c>
      <ns0:c r="AH555" s="4">
        <ns0:f>IF(Z555&lt;0,A555,0)</ns0:f>
        <ns0:v>0</ns0:v>
      </ns0:c>
      <ns0:c r="AI555" s="12">
        <ns0:f>IF(AND(OR('前提と出典'!$C$36+'前提と出典'!$C$38=0,X555&gt;=0),OR('前提と出典'!$C$37+'前提と出典'!$C$38=0,Y555&gt;=0)),0,A555)</ns0:f>
        <ns0:v>0</ns0:v>
      </ns0:c>
    </ns0:row>
    <ns0:row r="556" ht="24" customHeight="1">
      <ns0:c r="A556" s="4" t="n">
        <ns0:v>552</ns0:v>
      </ns0:c>
      <ns0:c r="B556" s="12">
        <ns0:f>A556*('前提と出典'!$C$36+'前提と出典'!$C$38)</ns0:f>
        <ns0:v>386.4</ns0:v>
      </ns0:c>
      <ns0:c r="C556" s="12">
        <ns0:f>A556*('前提と出典'!$C$37+'前提と出典'!$C$38)</ns0:f>
        <ns0:v>331.2</ns0:v>
      </ns0:c>
      <ns0:c r="D556" s="16">
        <ns0:f>A556*('前提と出典'!$C$36*'契約別単価'!C5+'前提と出典'!$C$37*'契約別単価'!C6+'前提と出典'!$C$38*'契約別単価'!C7)</ns0:f>
        <ns0:v>3971.9329608938547</ns0:v>
      </ns0:c>
      <ns0:c r="E556" s="16">
        <ns0:f>A556*('前提と出典'!$C$36*'契約別単価'!E5+'前提と出典'!$C$37*'契約別単価'!E6+'前提と出典'!$C$38*'契約別単価'!E7)</ns0:f>
        <ns0:v>1068089.450516266</ns0:v>
      </ns0:c>
      <ns0:c r="F556" s="16">
        <ns0:f>A556*('前提と出典'!$C$36*'契約別単価'!F5+'前提と出典'!$C$37*'契約別単価'!F6+'前提と出典'!$C$38*'契約別単価'!F7)</ns0:f>
        <ns0:v>419186.3047966111</ns0:v>
      </ns0:c>
      <ns0:c r="G556" s="16">
        <ns0:f>A556*('前提と出典'!$C$36*'契約別単価'!G5+'前提と出典'!$C$37*'契約別単価'!G6+'前提と出典'!$C$38*'契約別単価'!G7)</ns0:f>
        <ns0:v>1098757.5418994413</ns0:v>
      </ns0:c>
      <ns0:c r="H556" s="16">
        <ns0:f>A556*('前提と出典'!$C$36*'契約別単価'!H5+'前提と出典'!$C$37*'契約別単価'!H6+'前提と出典'!$C$38*'契約別単価'!H7)</ns0:f>
        <ns0:v>381323.97406024527</ns0:v>
      </ns0:c>
      <ns0:c r="I556" s="16">
        <ns0:f>A556*('前提と出典'!$C$36*'契約別単価'!I5+'前提と出典'!$C$37*'契約別単価'!I6+'前提と出典'!$C$38*'契約別単価'!I7)</ns0:f>
        <ns0:v>23291.93296089385</ns0:v>
      </ns0:c>
      <ns0:c r="J556" s="16">
        <ns0:f>A556*('前提と出典'!$C$36*'契約別単価'!J5+'前提と出典'!$C$37*'契約別単価'!J6+'前提と出典'!$C$38*'契約別単価'!J7)</ns0:f>
        <ns0:v>54255.828128087014</ns0:v>
      </ns0:c>
      <ns0:c r="K556" s="16">
        <ns0:f>A556*('前提と出典'!$C$36*'契約別単価'!K5+'前提と出典'!$C$37*'契約別単価'!K6+'前提と出典'!$C$38*'契約別単価'!K7)</ns0:f>
        <ns0:v>232559.55307262568</ns0:v>
      </ns0:c>
      <ns0:c r="L556" s="16">
        <ns0:f>A556*('前提と出典'!$C$36*'契約別単価'!L5+'前提と出典'!$C$37*'契約別単価'!L6+'前提と出典'!$C$38*'契約別単価'!L7)</ns0:f>
        <ns0:v>189350.7991353415</ns0:v>
      </ns0:c>
      <ns0:c r="M556" s="16">
        <ns0:f>IF(('前提と出典'!$C$36+'前提と出典'!$C$38)=0,0,IF(B556&lt;=10,'前提と出典'!B73+'前提と出典'!C73,IF(B556&lt;=100,'前提と出典'!B74+'前提と出典'!C74,IF(B556&lt;=500,'前提と出典'!B75+'前提と出典'!C75,'前提と出典'!B76+'前提と出典'!C76))))</ns0:f>
        <ns0:v>40000</ns0:v>
      </ns0:c>
      <ns0:c r="N556" s="16">
        <ns0:f>IF(('前提と出典'!$C$37+'前提と出典'!$C$38)=0,0,IF(C556&lt;=10,'前提と出典'!D73+'前提と出典'!E73,IF(C556&lt;=100,'前提と出典'!D74+'前提と出典'!E74,IF(C556&lt;=500,'前提と出典'!D75+'前提と出典'!E75,'前提と出典'!D76+'前提と出典'!E76))))</ns0:f>
        <ns0:v>56510.9346263078</ns0:v>
      </ns0:c>
      <ns0:c r="O556" s="16">
        <ns0:f>IF('前提と出典'!$C$36+'前提と出典'!$C$38=0,0,'前提と出典'!$B$4*IF('前提と出典'!$B$20=0,MAX('前提と出典'!$B$6,D556*'前提と出典'!$B$5),'前提と出典'!$B$6+D556*'前提と出典'!$B$5))</ns0:f>
        <ns0:v>548126.748603352</ns0:v>
      </ns0:c>
      <ns0:c r="P556" s="16">
        <ns0:f>(E556+G556)*(1-'前提と出典'!$B$7)-I556-K556-M556-O556</ns0:f>
        <ns0:v>1244862.2660518705</ns0:v>
      </ns0:c>
      <ns0:c r="Q556" s="16">
        <ns0:f>(F556+H556)*(1-'前提と出典'!$B$7)-J556-L556-N556</ns0:f>
        <ns0:v>471574.3469282731</ns0:v>
      </ns0:c>
      <ns0:c r="R556" s="16">
        <ns0:f>P556-E556*'前提と出典'!$E$4</ns0:f>
        <ns0:v>924435.4308969906</ns0:v>
      </ns0:c>
      <ns0:c r="S556" s="16">
        <ns0:f>Q556-F556*'前提と出典'!$E$4</ns0:f>
        <ns0:v>345818.4554892897</ns0:v>
      </ns0:c>
      <ns0:c r="T556" s="7">
        <ns0:f>R556+S556</ns0:f>
        <ns0:v>1270253.8863862804</ns0:v>
      </ns0:c>
      <ns0:c r="U556" s="16">
        <ns0:f>P556-E556*'前提と出典'!$E$5</ns0:f>
        <ns0:v>817626.485845364</ns0:v>
      </ns0:c>
      <ns0:c r="V556" s="16">
        <ns0:f>Q556-F556*'前提と出典'!$E$5</ns0:f>
        <ns0:v>303899.82500962866</ns0:v>
      </ns0:c>
      <ns0:c r="W556" s="7">
        <ns0:f>U556+V556</ns0:f>
        <ns0:v>1121526.3108549928</ns0:v>
      </ns0:c>
      <ns0:c r="X556" s="16">
        <ns0:f>P556-E556*'前提と出典'!$E$6</ns0:f>
        <ns0:v>710817.5407937375</ns0:v>
      </ns0:c>
      <ns0:c r="Y556" s="16">
        <ns0:f>Q556-F556*'前提と出典'!$E$6</ns0:f>
        <ns0:v>261981.19452996762</ns0:v>
      </ns0:c>
      <ns0:c r="Z556" s="7">
        <ns0:f>X556+Y556</ns0:f>
        <ns0:v>972798.7353237051</ns0:v>
      </ns0:c>
      <ns0:c r="AA556" s="7">
        <ns0:f>IF(T556&gt;=0,A556,1001)</ns0:f>
        <ns0:v>552</ns0:v>
      </ns0:c>
      <ns0:c r="AB556" s="7">
        <ns0:f>IF(T556&lt;0,A556,0)</ns0:f>
        <ns0:v>0</ns0:v>
      </ns0:c>
      <ns0:c r="AC556" s="16">
        <ns0:f>IF(AND(OR('前提と出典'!$C$36+'前提と出典'!$C$38=0,R556&gt;=0),OR('前提と出典'!$C$37+'前提と出典'!$C$38=0,S556&gt;=0)),0,A556)</ns0:f>
        <ns0:v>0</ns0:v>
      </ns0:c>
      <ns0:c r="AD556" s="7">
        <ns0:f>IF(W556&gt;=0,A556,1001)</ns0:f>
        <ns0:v>552</ns0:v>
      </ns0:c>
      <ns0:c r="AE556" s="7">
        <ns0:f>IF(W556&lt;0,A556,0)</ns0:f>
        <ns0:v>0</ns0:v>
      </ns0:c>
      <ns0:c r="AF556" s="16">
        <ns0:f>IF(AND(OR('前提と出典'!$C$36+'前提と出典'!$C$38=0,U556&gt;=0),OR('前提と出典'!$C$37+'前提と出典'!$C$38=0,V556&gt;=0)),0,A556)</ns0:f>
        <ns0:v>0</ns0:v>
      </ns0:c>
      <ns0:c r="AG556" s="7">
        <ns0:f>IF(Z556&gt;=0,A556,1001)</ns0:f>
        <ns0:v>552</ns0:v>
      </ns0:c>
      <ns0:c r="AH556" s="4">
        <ns0:f>IF(Z556&lt;0,A556,0)</ns0:f>
        <ns0:v>0</ns0:v>
      </ns0:c>
      <ns0:c r="AI556" s="12">
        <ns0:f>IF(AND(OR('前提と出典'!$C$36+'前提と出典'!$C$38=0,X556&gt;=0),OR('前提と出典'!$C$37+'前提と出典'!$C$38=0,Y556&gt;=0)),0,A556)</ns0:f>
        <ns0:v>0</ns0:v>
      </ns0:c>
    </ns0:row>
    <ns0:row r="557" ht="24" customHeight="1">
      <ns0:c r="A557" s="4" t="n">
        <ns0:v>553</ns0:v>
      </ns0:c>
      <ns0:c r="B557" s="12">
        <ns0:f>A557*('前提と出典'!$C$36+'前提と出典'!$C$38)</ns0:f>
        <ns0:v>387.09999999999997</ns0:v>
      </ns0:c>
      <ns0:c r="C557" s="12">
        <ns0:f>A557*('前提と出典'!$C$37+'前提と出典'!$C$38)</ns0:f>
        <ns0:v>331.8</ns0:v>
      </ns0:c>
      <ns0:c r="D557" s="16">
        <ns0:f>A557*('前提と出典'!$C$36*'契約別単価'!C5+'前提と出典'!$C$37*'契約別単価'!C6+'前提と出典'!$C$38*'契約別単価'!C7)</ns0:f>
        <ns0:v>3979.1284916201116</ns0:v>
      </ns0:c>
      <ns0:c r="E557" s="16">
        <ns0:f>A557*('前提と出典'!$C$36*'契約別単価'!E5+'前提と出典'!$C$37*'契約別単価'!E6+'前提と出典'!$C$38*'契約別単価'!E7)</ns0:f>
        <ns0:v>1070024.3951729983</ns0:v>
      </ns0:c>
      <ns0:c r="F557" s="16">
        <ns0:f>A557*('前提と出典'!$C$36*'契約別単価'!F5+'前提と出典'!$C$37*'契約別単価'!F6+'前提と出典'!$C$38*'契約別単価'!F7)</ns0:f>
        <ns0:v>419945.70027631504</ns0:v>
      </ns0:c>
      <ns0:c r="G557" s="16">
        <ns0:f>A557*('前提と出典'!$C$36*'契約別単価'!G5+'前提と出典'!$C$37*'契約別単価'!G6+'前提と出典'!$C$38*'契約別単価'!G7)</ns0:f>
        <ns0:v>1100748.0446927373</ns0:v>
      </ns0:c>
      <ns0:c r="H557" s="16">
        <ns0:f>A557*('前提と出典'!$C$36*'契約別単価'!H5+'前提と出典'!$C$37*'契約別単価'!H6+'前提と出典'!$C$38*'契約別単価'!H7)</ns0:f>
        <ns0:v>382014.77836107905</ns0:v>
      </ns0:c>
      <ns0:c r="I557" s="16">
        <ns0:f>A557*('前提と出典'!$C$36*'契約別単価'!I5+'前提と出典'!$C$37*'契約別単価'!I6+'前提と出典'!$C$38*'契約別単価'!I7)</ns0:f>
        <ns0:v>23334.128491620108</ns0:v>
      </ns0:c>
      <ns0:c r="J557" s="16">
        <ns0:f>A557*('前提と出典'!$C$36*'契約別単価'!J5+'前提と出典'!$C$37*'契約別単価'!J6+'前提と出典'!$C$38*'契約別単価'!J7)</ns0:f>
        <ns0:v>54354.11767179732</ns0:v>
      </ns0:c>
      <ns0:c r="K557" s="16">
        <ns0:f>A557*('前提と出典'!$C$36*'契約別単価'!K5+'前提と出典'!$C$37*'契約別単価'!K6+'前提と出典'!$C$38*'契約別単価'!K7)</ns0:f>
        <ns0:v>232980.85661080072</ns0:v>
      </ns0:c>
      <ns0:c r="L557" s="16">
        <ns0:f>A557*('前提と出典'!$C$36*'契約別単価'!L5+'前提と出典'!$C$37*'契約別単価'!L6+'前提と出典'!$C$38*'契約別単価'!L7)</ns0:f>
        <ns0:v>189693.8259453693</ns0:v>
      </ns0:c>
      <ns0:c r="M557" s="16">
        <ns0:f>IF(('前提と出典'!$C$36+'前提と出典'!$C$38)=0,0,IF(B557&lt;=10,'前提と出典'!B73+'前提と出典'!C73,IF(B557&lt;=100,'前提と出典'!B74+'前提と出典'!C74,IF(B557&lt;=500,'前提と出典'!B75+'前提と出典'!C75,'前提と出典'!B76+'前提と出典'!C76))))</ns0:f>
        <ns0:v>40000</ns0:v>
      </ns0:c>
      <ns0:c r="N557" s="16">
        <ns0:f>IF(('前提と出典'!$C$37+'前提と出典'!$C$38)=0,0,IF(C557&lt;=10,'前提と出典'!D73+'前提と出典'!E73,IF(C557&lt;=100,'前提と出典'!D74+'前提と出典'!E74,IF(C557&lt;=500,'前提と出典'!D75+'前提と出典'!E75,'前提と出典'!D76+'前提と出典'!E76))))</ns0:f>
        <ns0:v>56510.9346263078</ns0:v>
      </ns0:c>
      <ns0:c r="O557" s="16">
        <ns0:f>IF('前提と出典'!$C$36+'前提と出典'!$C$38=0,0,'前提と出典'!$B$4*IF('前提と出典'!$B$20=0,MAX('前提と出典'!$B$6,D557*'前提と出典'!$B$5),'前提と出典'!$B$6+D557*'前提と出典'!$B$5))</ns0:f>
        <ns0:v>549119.7318435754</ns0:v>
      </ns0:c>
      <ns0:c r="P557" s="16">
        <ns0:f>(E557+G557)*(1-'前提と出典'!$B$7)-I557-K557-M557-O557</ns0:f>
        <ns0:v>1247189.9150845727</ns0:v>
      </ns0:c>
      <ns0:c r="Q557" s="16">
        <ns0:f>(F557+H557)*(1-'前提と出典'!$B$7)-J557-L557-N557</ns0:f>
        <ns0:v>472531.02316297346</ns0:v>
      </ns0:c>
      <ns0:c r="R557" s="16">
        <ns0:f>P557-E557*'前提と出典'!$E$4</ns0:f>
        <ns0:v>926182.5965326731</ns0:v>
      </ns0:c>
      <ns0:c r="S557" s="16">
        <ns0:f>Q557-F557*'前提と出典'!$E$4</ns0:f>
        <ns0:v>346547.3130800789</ns0:v>
      </ns0:c>
      <ns0:c r="T557" s="7">
        <ns0:f>R557+S557</ns0:f>
        <ns0:v>1272729.909612752</ns0:v>
      </ns0:c>
      <ns0:c r="U557" s="16">
        <ns0:f>P557-E557*'前提と出典'!$E$5</ns0:f>
        <ns0:v>819180.1570153735</ns0:v>
      </ns0:c>
      <ns0:c r="V557" s="16">
        <ns0:f>Q557-F557*'前提と出典'!$E$5</ns0:f>
        <ns0:v>304552.74305244745</ns0:v>
      </ns0:c>
      <ns0:c r="W557" s="7">
        <ns0:f>U557+V557</ns0:f>
        <ns0:v>1123732.900067821</ns0:v>
      </ns0:c>
      <ns0:c r="X557" s="16">
        <ns0:f>P557-E557*'前提と出典'!$E$6</ns0:f>
        <ns0:v>712177.7174980734</ns0:v>
      </ns0:c>
      <ns0:c r="Y557" s="16">
        <ns0:f>Q557-F557*'前提と出典'!$E$6</ns0:f>
        <ns0:v>262558.173024816</ns0:v>
      </ns0:c>
      <ns0:c r="Z557" s="7">
        <ns0:f>X557+Y557</ns0:f>
        <ns0:v>974735.8905228893</ns0:v>
      </ns0:c>
      <ns0:c r="AA557" s="7">
        <ns0:f>IF(T557&gt;=0,A557,1001)</ns0:f>
        <ns0:v>553</ns0:v>
      </ns0:c>
      <ns0:c r="AB557" s="7">
        <ns0:f>IF(T557&lt;0,A557,0)</ns0:f>
        <ns0:v>0</ns0:v>
      </ns0:c>
      <ns0:c r="AC557" s="16">
        <ns0:f>IF(AND(OR('前提と出典'!$C$36+'前提と出典'!$C$38=0,R557&gt;=0),OR('前提と出典'!$C$37+'前提と出典'!$C$38=0,S557&gt;=0)),0,A557)</ns0:f>
        <ns0:v>0</ns0:v>
      </ns0:c>
      <ns0:c r="AD557" s="7">
        <ns0:f>IF(W557&gt;=0,A557,1001)</ns0:f>
        <ns0:v>553</ns0:v>
      </ns0:c>
      <ns0:c r="AE557" s="7">
        <ns0:f>IF(W557&lt;0,A557,0)</ns0:f>
        <ns0:v>0</ns0:v>
      </ns0:c>
      <ns0:c r="AF557" s="16">
        <ns0:f>IF(AND(OR('前提と出典'!$C$36+'前提と出典'!$C$38=0,U557&gt;=0),OR('前提と出典'!$C$37+'前提と出典'!$C$38=0,V557&gt;=0)),0,A557)</ns0:f>
        <ns0:v>0</ns0:v>
      </ns0:c>
      <ns0:c r="AG557" s="7">
        <ns0:f>IF(Z557&gt;=0,A557,1001)</ns0:f>
        <ns0:v>553</ns0:v>
      </ns0:c>
      <ns0:c r="AH557" s="4">
        <ns0:f>IF(Z557&lt;0,A557,0)</ns0:f>
        <ns0:v>0</ns0:v>
      </ns0:c>
      <ns0:c r="AI557" s="12">
        <ns0:f>IF(AND(OR('前提と出典'!$C$36+'前提と出典'!$C$38=0,X557&gt;=0),OR('前提と出典'!$C$37+'前提と出典'!$C$38=0,Y557&gt;=0)),0,A557)</ns0:f>
        <ns0:v>0</ns0:v>
      </ns0:c>
    </ns0:row>
    <ns0:row r="558" ht="24" customHeight="1">
      <ns0:c r="A558" s="4" t="n">
        <ns0:v>554</ns0:v>
      </ns0:c>
      <ns0:c r="B558" s="12">
        <ns0:f>A558*('前提と出典'!$C$36+'前提と出典'!$C$38)</ns0:f>
        <ns0:v>387.79999999999995</ns0:v>
      </ns0:c>
      <ns0:c r="C558" s="12">
        <ns0:f>A558*('前提と出典'!$C$37+'前提と出典'!$C$38)</ns0:f>
        <ns0:v>332.4</ns0:v>
      </ns0:c>
      <ns0:c r="D558" s="16">
        <ns0:f>A558*('前提と出典'!$C$36*'契約別単価'!C5+'前提と出典'!$C$37*'契約別単価'!C6+'前提と出典'!$C$38*'契約別単価'!C7)</ns0:f>
        <ns0:v>3986.3240223463686</ns0:v>
      </ns0:c>
      <ns0:c r="E558" s="16">
        <ns0:f>A558*('前提と出典'!$C$36*'契約別単価'!E5+'前提と出典'!$C$37*'契約別単価'!E6+'前提と出典'!$C$38*'契約別単価'!E7)</ns0:f>
        <ns0:v>1071959.3398297308</ns0:v>
      </ns0:c>
      <ns0:c r="F558" s="16">
        <ns0:f>A558*('前提と出典'!$C$36*'契約別単価'!F5+'前提と出典'!$C$37*'契約別単価'!F6+'前提と出典'!$C$38*'契約別単価'!F7)</ns0:f>
        <ns0:v>420705.09575601906</ns0:v>
      </ns0:c>
      <ns0:c r="G558" s="16">
        <ns0:f>A558*('前提と出典'!$C$36*'契約別単価'!G5+'前提と出典'!$C$37*'契約別単価'!G6+'前提と出典'!$C$38*'契約別単価'!G7)</ns0:f>
        <ns0:v>1102738.5474860335</ns0:v>
      </ns0:c>
      <ns0:c r="H558" s="16">
        <ns0:f>A558*('前提と出典'!$C$36*'契約別単価'!H5+'前提と出典'!$C$37*'契約別単価'!H6+'前提と出典'!$C$38*'契約別単価'!H7)</ns0:f>
        <ns0:v>382705.58266191283</ns0:v>
      </ns0:c>
      <ns0:c r="I558" s="16">
        <ns0:f>A558*('前提と出典'!$C$36*'契約別単価'!I5+'前提と出典'!$C$37*'契約別単価'!I6+'前提と出典'!$C$38*'契約別単価'!I7)</ns0:f>
        <ns0:v>23376.324022346365</ns0:v>
      </ns0:c>
      <ns0:c r="J558" s="16">
        <ns0:f>A558*('前提と出典'!$C$36*'契約別単価'!J5+'前提と出典'!$C$37*'契約別単価'!J6+'前提と出典'!$C$38*'契約別単価'!J7)</ns0:f>
        <ns0:v>54452.40721550762</ns0:v>
      </ns0:c>
      <ns0:c r="K558" s="16">
        <ns0:f>A558*('前提と出典'!$C$36*'契約別単価'!K5+'前提と出典'!$C$37*'契約別単価'!K6+'前提と出典'!$C$38*'契約別単価'!K7)</ns0:f>
        <ns0:v>233402.1601489758</ns0:v>
      </ns0:c>
      <ns0:c r="L558" s="16">
        <ns0:f>A558*('前提と出典'!$C$36*'契約別単価'!L5+'前提と出典'!$C$37*'契約別単価'!L6+'前提と出典'!$C$38*'契約別単価'!L7)</ns0:f>
        <ns0:v>190036.8527553971</ns0:v>
      </ns0:c>
      <ns0:c r="M558" s="16">
        <ns0:f>IF(('前提と出典'!$C$36+'前提と出典'!$C$38)=0,0,IF(B558&lt;=10,'前提と出典'!B73+'前提と出典'!C73,IF(B558&lt;=100,'前提と出典'!B74+'前提と出典'!C74,IF(B558&lt;=500,'前提と出典'!B75+'前提と出典'!C75,'前提と出典'!B76+'前提と出典'!C76))))</ns0:f>
        <ns0:v>40000</ns0:v>
      </ns0:c>
      <ns0:c r="N558" s="16">
        <ns0:f>IF(('前提と出典'!$C$37+'前提と出典'!$C$38)=0,0,IF(C558&lt;=10,'前提と出典'!D73+'前提と出典'!E73,IF(C558&lt;=100,'前提と出典'!D74+'前提と出典'!E74,IF(C558&lt;=500,'前提と出典'!D75+'前提と出典'!E75,'前提と出典'!D76+'前提と出典'!E76))))</ns0:f>
        <ns0:v>56510.9346263078</ns0:v>
      </ns0:c>
      <ns0:c r="O558" s="16">
        <ns0:f>IF('前提と出典'!$C$36+'前提と出典'!$C$38=0,0,'前提と出典'!$B$4*IF('前提と出典'!$B$20=0,MAX('前提と出典'!$B$6,D558*'前提と出典'!$B$5),'前提と出典'!$B$6+D558*'前提と出典'!$B$5))</ns0:f>
        <ns0:v>550112.7150837989</ns0:v>
      </ns0:c>
      <ns0:c r="P558" s="16">
        <ns0:f>(E558+G558)*(1-'前提と出典'!$B$7)-I558-K558-M558-O558</ns0:f>
        <ns0:v>1249517.5641172756</ns0:v>
      </ns0:c>
      <ns0:c r="Q558" s="16">
        <ns0:f>(F558+H558)*(1-'前提と出典'!$B$7)-J558-L558-N558</ns0:f>
        <ns0:v>473487.69939767383</ns0:v>
      </ns0:c>
      <ns0:c r="R558" s="16">
        <ns0:f>P558-E558*'前提と出典'!$E$4</ns0:f>
        <ns0:v>927929.7621683562</ns0:v>
      </ns0:c>
      <ns0:c r="S558" s="16">
        <ns0:f>Q558-F558*'前提と出典'!$E$4</ns0:f>
        <ns0:v>347276.17067086813</ns0:v>
      </ns0:c>
      <ns0:c r="T558" s="7">
        <ns0:f>R558+S558</ns0:f>
        <ns0:v>1275205.9328392243</ns0:v>
      </ns0:c>
      <ns0:c r="U558" s="16">
        <ns0:f>P558-E558*'前提と出典'!$E$5</ns0:f>
        <ns0:v>820733.8281853832</ns0:v>
      </ns0:c>
      <ns0:c r="V558" s="16">
        <ns0:f>Q558-F558*'前提と出典'!$E$5</ns0:f>
        <ns0:v>305205.66109526623</ns0:v>
      </ns0:c>
      <ns0:c r="W558" s="7">
        <ns0:f>U558+V558</ns0:f>
        <ns0:v>1125939.4892806495</ns0:v>
      </ns0:c>
      <ns0:c r="X558" s="16">
        <ns0:f>P558-E558*'前提と出典'!$E$6</ns0:f>
        <ns0:v>713537.8942024102</ns0:v>
      </ns0:c>
      <ns0:c r="Y558" s="16">
        <ns0:f>Q558-F558*'前提と出典'!$E$6</ns0:f>
        <ns0:v>263135.1515196643</ns0:v>
      </ns0:c>
      <ns0:c r="Z558" s="7">
        <ns0:f>X558+Y558</ns0:f>
        <ns0:v>976673.0457220746</ns0:v>
      </ns0:c>
      <ns0:c r="AA558" s="7">
        <ns0:f>IF(T558&gt;=0,A558,1001)</ns0:f>
        <ns0:v>554</ns0:v>
      </ns0:c>
      <ns0:c r="AB558" s="7">
        <ns0:f>IF(T558&lt;0,A558,0)</ns0:f>
        <ns0:v>0</ns0:v>
      </ns0:c>
      <ns0:c r="AC558" s="16">
        <ns0:f>IF(AND(OR('前提と出典'!$C$36+'前提と出典'!$C$38=0,R558&gt;=0),OR('前提と出典'!$C$37+'前提と出典'!$C$38=0,S558&gt;=0)),0,A558)</ns0:f>
        <ns0:v>0</ns0:v>
      </ns0:c>
      <ns0:c r="AD558" s="7">
        <ns0:f>IF(W558&gt;=0,A558,1001)</ns0:f>
        <ns0:v>554</ns0:v>
      </ns0:c>
      <ns0:c r="AE558" s="7">
        <ns0:f>IF(W558&lt;0,A558,0)</ns0:f>
        <ns0:v>0</ns0:v>
      </ns0:c>
      <ns0:c r="AF558" s="16">
        <ns0:f>IF(AND(OR('前提と出典'!$C$36+'前提と出典'!$C$38=0,U558&gt;=0),OR('前提と出典'!$C$37+'前提と出典'!$C$38=0,V558&gt;=0)),0,A558)</ns0:f>
        <ns0:v>0</ns0:v>
      </ns0:c>
      <ns0:c r="AG558" s="7">
        <ns0:f>IF(Z558&gt;=0,A558,1001)</ns0:f>
        <ns0:v>554</ns0:v>
      </ns0:c>
      <ns0:c r="AH558" s="4">
        <ns0:f>IF(Z558&lt;0,A558,0)</ns0:f>
        <ns0:v>0</ns0:v>
      </ns0:c>
      <ns0:c r="AI558" s="12">
        <ns0:f>IF(AND(OR('前提と出典'!$C$36+'前提と出典'!$C$38=0,X558&gt;=0),OR('前提と出典'!$C$37+'前提と出典'!$C$38=0,Y558&gt;=0)),0,A558)</ns0:f>
        <ns0:v>0</ns0:v>
      </ns0:c>
    </ns0:row>
    <ns0:row r="559" ht="24" customHeight="1">
      <ns0:c r="A559" s="4" t="n">
        <ns0:v>555</ns0:v>
      </ns0:c>
      <ns0:c r="B559" s="12">
        <ns0:f>A559*('前提と出典'!$C$36+'前提と出典'!$C$38)</ns0:f>
        <ns0:v>388.5</ns0:v>
      </ns0:c>
      <ns0:c r="C559" s="12">
        <ns0:f>A559*('前提と出典'!$C$37+'前提と出典'!$C$38)</ns0:f>
        <ns0:v>333</ns0:v>
      </ns0:c>
      <ns0:c r="D559" s="16">
        <ns0:f>A559*('前提と出典'!$C$36*'契約別単価'!C5+'前提と出典'!$C$37*'契約別単価'!C6+'前提と出典'!$C$38*'契約別単価'!C7)</ns0:f>
        <ns0:v>3993.5195530726255</ns0:v>
      </ns0:c>
      <ns0:c r="E559" s="16">
        <ns0:f>A559*('前提と出典'!$C$36*'契約別単価'!E5+'前提と出典'!$C$37*'契約別単価'!E6+'前提と出典'!$C$38*'契約別単価'!E7)</ns0:f>
        <ns0:v>1073894.284486463</ns0:v>
      </ns0:c>
      <ns0:c r="F559" s="16">
        <ns0:f>A559*('前提と出典'!$C$36*'契約別単価'!F5+'前提と出典'!$C$37*'契約別単価'!F6+'前提と出典'!$C$38*'契約別単価'!F7)</ns0:f>
        <ns0:v>421464.4912357231</ns0:v>
      </ns0:c>
      <ns0:c r="G559" s="16">
        <ns0:f>A559*('前提と出典'!$C$36*'契約別単価'!G5+'前提と出典'!$C$37*'契約別単価'!G6+'前提と出典'!$C$38*'契約別単価'!G7)</ns0:f>
        <ns0:v>1104729.0502793295</ns0:v>
      </ns0:c>
      <ns0:c r="H559" s="16">
        <ns0:f>A559*('前提と出典'!$C$36*'契約別単価'!H5+'前提と出典'!$C$37*'契約別単価'!H6+'前提と出典'!$C$38*'契約別単価'!H7)</ns0:f>
        <ns0:v>383396.3869627466</ns0:v>
      </ns0:c>
      <ns0:c r="I559" s="16">
        <ns0:f>A559*('前提と出典'!$C$36*'契約別単価'!I5+'前提と出典'!$C$37*'契約別単価'!I6+'前提と出典'!$C$38*'契約別単価'!I7)</ns0:f>
        <ns0:v>23418.519553072623</ns0:v>
      </ns0:c>
      <ns0:c r="J559" s="16">
        <ns0:f>A559*('前提と出典'!$C$36*'契約別単価'!J5+'前提と出典'!$C$37*'契約別単価'!J6+'前提と出典'!$C$38*'契約別単価'!J7)</ns0:f>
        <ns0:v>54550.69675921793</ns0:v>
      </ns0:c>
      <ns0:c r="K559" s="16">
        <ns0:f>A559*('前提と出典'!$C$36*'契約別単価'!K5+'前提と出典'!$C$37*'契約別単価'!K6+'前提と出典'!$C$38*'契約別単価'!K7)</ns0:f>
        <ns0:v>233823.46368715083</ns0:v>
      </ns0:c>
      <ns0:c r="L559" s="16">
        <ns0:f>A559*('前提と出典'!$C$36*'契約別単価'!L5+'前提と出典'!$C$37*'契約別単価'!L6+'前提と出典'!$C$38*'契約別単価'!L7)</ns0:f>
        <ns0:v>190379.87956542487</ns0:v>
      </ns0:c>
      <ns0:c r="M559" s="16">
        <ns0:f>IF(('前提と出典'!$C$36+'前提と出典'!$C$38)=0,0,IF(B559&lt;=10,'前提と出典'!B73+'前提と出典'!C73,IF(B559&lt;=100,'前提と出典'!B74+'前提と出典'!C74,IF(B559&lt;=500,'前提と出典'!B75+'前提と出典'!C75,'前提と出典'!B76+'前提と出典'!C76))))</ns0:f>
        <ns0:v>40000</ns0:v>
      </ns0:c>
      <ns0:c r="N559" s="16">
        <ns0:f>IF(('前提と出典'!$C$37+'前提と出典'!$C$38)=0,0,IF(C559&lt;=10,'前提と出典'!D73+'前提と出典'!E73,IF(C559&lt;=100,'前提と出典'!D74+'前提と出典'!E74,IF(C559&lt;=500,'前提と出典'!D75+'前提と出典'!E75,'前提と出典'!D76+'前提と出典'!E76))))</ns0:f>
        <ns0:v>56510.9346263078</ns0:v>
      </ns0:c>
      <ns0:c r="O559" s="16">
        <ns0:f>IF('前提と出典'!$C$36+'前提と出典'!$C$38=0,0,'前提と出典'!$B$4*IF('前提と出典'!$B$20=0,MAX('前提と出典'!$B$6,D559*'前提と出典'!$B$5),'前提と出典'!$B$6+D559*'前提と出典'!$B$5))</ns0:f>
        <ns0:v>551105.6983240223</ns0:v>
      </ns0:c>
      <ns0:c r="P559" s="16">
        <ns0:f>(E559+G559)*(1-'前提と出典'!$B$7)-I559-K559-M559-O559</ns0:f>
        <ns0:v>1251845.2131499788</ns0:v>
      </ns0:c>
      <ns0:c r="Q559" s="16">
        <ns0:f>(F559+H559)*(1-'前提と出典'!$B$7)-J559-L559-N559</ns0:f>
        <ns0:v>474444.37563237426</ns0:v>
      </ns0:c>
      <ns0:c r="R559" s="16">
        <ns0:f>P559-E559*'前提と出典'!$E$4</ns0:f>
        <ns0:v>929676.9278040398</ns0:v>
      </ns0:c>
      <ns0:c r="S559" s="16">
        <ns0:f>Q559-F559*'前提と出典'!$E$4</ns0:f>
        <ns0:v>348005.02826165734</ns0:v>
      </ns0:c>
      <ns0:c r="T559" s="7">
        <ns0:f>R559+S559</ns0:f>
        <ns0:v>1277681.9560656971</ns0:v>
      </ns0:c>
      <ns0:c r="U559" s="16">
        <ns0:f>P559-E559*'前提と出典'!$E$5</ns0:f>
        <ns0:v>822287.4993553935</ns0:v>
      </ns0:c>
      <ns0:c r="V559" s="16">
        <ns0:f>Q559-F559*'前提と出典'!$E$5</ns0:f>
        <ns0:v>305858.579138085</ns0:v>
      </ns0:c>
      <ns0:c r="W559" s="7">
        <ns0:f>U559+V559</ns0:f>
        <ns0:v>1128146.0784934785</ns0:v>
      </ns0:c>
      <ns0:c r="X559" s="16">
        <ns0:f>P559-E559*'前提と出典'!$E$6</ns0:f>
        <ns0:v>714898.0709067471</ns0:v>
      </ns0:c>
      <ns0:c r="Y559" s="16">
        <ns0:f>Q559-F559*'前提と出典'!$E$6</ns0:f>
        <ns0:v>263712.13001451275</ns0:v>
      </ns0:c>
      <ns0:c r="Z559" s="7">
        <ns0:f>X559+Y559</ns0:f>
        <ns0:v>978610.2009212598</ns0:v>
      </ns0:c>
      <ns0:c r="AA559" s="7">
        <ns0:f>IF(T559&gt;=0,A559,1001)</ns0:f>
        <ns0:v>555</ns0:v>
      </ns0:c>
      <ns0:c r="AB559" s="7">
        <ns0:f>IF(T559&lt;0,A559,0)</ns0:f>
        <ns0:v>0</ns0:v>
      </ns0:c>
      <ns0:c r="AC559" s="16">
        <ns0:f>IF(AND(OR('前提と出典'!$C$36+'前提と出典'!$C$38=0,R559&gt;=0),OR('前提と出典'!$C$37+'前提と出典'!$C$38=0,S559&gt;=0)),0,A559)</ns0:f>
        <ns0:v>0</ns0:v>
      </ns0:c>
      <ns0:c r="AD559" s="7">
        <ns0:f>IF(W559&gt;=0,A559,1001)</ns0:f>
        <ns0:v>555</ns0:v>
      </ns0:c>
      <ns0:c r="AE559" s="7">
        <ns0:f>IF(W559&lt;0,A559,0)</ns0:f>
        <ns0:v>0</ns0:v>
      </ns0:c>
      <ns0:c r="AF559" s="16">
        <ns0:f>IF(AND(OR('前提と出典'!$C$36+'前提と出典'!$C$38=0,U559&gt;=0),OR('前提と出典'!$C$37+'前提と出典'!$C$38=0,V559&gt;=0)),0,A559)</ns0:f>
        <ns0:v>0</ns0:v>
      </ns0:c>
      <ns0:c r="AG559" s="7">
        <ns0:f>IF(Z559&gt;=0,A559,1001)</ns0:f>
        <ns0:v>555</ns0:v>
      </ns0:c>
      <ns0:c r="AH559" s="4">
        <ns0:f>IF(Z559&lt;0,A559,0)</ns0:f>
        <ns0:v>0</ns0:v>
      </ns0:c>
      <ns0:c r="AI559" s="12">
        <ns0:f>IF(AND(OR('前提と出典'!$C$36+'前提と出典'!$C$38=0,X559&gt;=0),OR('前提と出典'!$C$37+'前提と出典'!$C$38=0,Y559&gt;=0)),0,A559)</ns0:f>
        <ns0:v>0</ns0:v>
      </ns0:c>
    </ns0:row>
    <ns0:row r="560" ht="24" customHeight="1">
      <ns0:c r="A560" s="4" t="n">
        <ns0:v>556</ns0:v>
      </ns0:c>
      <ns0:c r="B560" s="12">
        <ns0:f>A560*('前提と出典'!$C$36+'前提と出典'!$C$38)</ns0:f>
        <ns0:v>389.2</ns0:v>
      </ns0:c>
      <ns0:c r="C560" s="12">
        <ns0:f>A560*('前提と出典'!$C$37+'前提と出典'!$C$38)</ns0:f>
        <ns0:v>333.59999999999997</ns0:v>
      </ns0:c>
      <ns0:c r="D560" s="16">
        <ns0:f>A560*('前提と出典'!$C$36*'契約別単価'!C5+'前提と出典'!$C$37*'契約別単価'!C6+'前提と出典'!$C$38*'契約別単価'!C7)</ns0:f>
        <ns0:v>4000.7150837988825</ns0:v>
      </ns0:c>
      <ns0:c r="E560" s="16">
        <ns0:f>A560*('前提と出典'!$C$36*'契約別単価'!E5+'前提と出典'!$C$37*'契約別単価'!E6+'前提と出典'!$C$38*'契約別単価'!E7)</ns0:f>
        <ns0:v>1075829.2291431956</ns0:v>
      </ns0:c>
      <ns0:c r="F560" s="16">
        <ns0:f>A560*('前提と出典'!$C$36*'契約別単価'!F5+'前提と出典'!$C$37*'契約別単価'!F6+'前提と出典'!$C$38*'契約別単価'!F7)</ns0:f>
        <ns0:v>422223.8867154271</ns0:v>
      </ns0:c>
      <ns0:c r="G560" s="16">
        <ns0:f>A560*('前提と出典'!$C$36*'契約別単価'!G5+'前提と出典'!$C$37*'契約別単価'!G6+'前提と出典'!$C$38*'契約別単価'!G7)</ns0:f>
        <ns0:v>1106719.5530726255</ns0:v>
      </ns0:c>
      <ns0:c r="H560" s="16">
        <ns0:f>A560*('前提と出典'!$C$36*'契約別単価'!H5+'前提と出典'!$C$37*'契約別単価'!H6+'前提と出典'!$C$38*'契約別単価'!H7)</ns0:f>
        <ns0:v>384087.1912635804</ns0:v>
      </ns0:c>
      <ns0:c r="I560" s="16">
        <ns0:f>A560*('前提と出典'!$C$36*'契約別単価'!I5+'前提と出典'!$C$37*'契約別単価'!I6+'前提と出典'!$C$38*'契約別単価'!I7)</ns0:f>
        <ns0:v>23460.715083798877</ns0:v>
      </ns0:c>
      <ns0:c r="J560" s="16">
        <ns0:f>A560*('前提と出典'!$C$36*'契約別単価'!J5+'前提と出典'!$C$37*'契約別単価'!J6+'前提と出典'!$C$38*'契約別単価'!J7)</ns0:f>
        <ns0:v>54648.98630292823</ns0:v>
      </ns0:c>
      <ns0:c r="K560" s="16">
        <ns0:f>A560*('前提と出典'!$C$36*'契約別単価'!K5+'前提と出典'!$C$37*'契約別単価'!K6+'前提と出典'!$C$38*'契約別単価'!K7)</ns0:f>
        <ns0:v>234244.76722532586</ns0:v>
      </ns0:c>
      <ns0:c r="L560" s="16">
        <ns0:f>A560*('前提と出典'!$C$36*'契約別単価'!L5+'前提と出典'!$C$37*'契約別単価'!L6+'前提と出典'!$C$38*'契約別単価'!L7)</ns0:f>
        <ns0:v>190722.90637545267</ns0:v>
      </ns0:c>
      <ns0:c r="M560" s="16">
        <ns0:f>IF(('前提と出典'!$C$36+'前提と出典'!$C$38)=0,0,IF(B560&lt;=10,'前提と出典'!B73+'前提と出典'!C73,IF(B560&lt;=100,'前提と出典'!B74+'前提と出典'!C74,IF(B560&lt;=500,'前提と出典'!B75+'前提と出典'!C75,'前提と出典'!B76+'前提と出典'!C76))))</ns0:f>
        <ns0:v>40000</ns0:v>
      </ns0:c>
      <ns0:c r="N560" s="16">
        <ns0:f>IF(('前提と出典'!$C$37+'前提と出典'!$C$38)=0,0,IF(C560&lt;=10,'前提と出典'!D73+'前提と出典'!E73,IF(C560&lt;=100,'前提と出典'!D74+'前提と出典'!E74,IF(C560&lt;=500,'前提と出典'!D75+'前提と出典'!E75,'前提と出典'!D76+'前提と出典'!E76))))</ns0:f>
        <ns0:v>56510.9346263078</ns0:v>
      </ns0:c>
      <ns0:c r="O560" s="16">
        <ns0:f>IF('前提と出典'!$C$36+'前提と出典'!$C$38=0,0,'前提と出典'!$B$4*IF('前提と出典'!$B$20=0,MAX('前提と出典'!$B$6,D560*'前提と出典'!$B$5),'前提と出典'!$B$6+D560*'前提と出典'!$B$5))</ns0:f>
        <ns0:v>552098.6815642457</ns0:v>
      </ns0:c>
      <ns0:c r="P560" s="16">
        <ns0:f>(E560+G560)*(1-'前提と出典'!$B$7)-I560-K560-M560-O560</ns0:f>
        <ns0:v>1254172.862182681</ns0:v>
      </ns0:c>
      <ns0:c r="Q560" s="16">
        <ns0:f>(F560+H560)*(1-'前提と出典'!$B$7)-J560-L560-N560</ns0:f>
        <ns0:v>475401.05186707457</ns0:v>
      </ns0:c>
      <ns0:c r="R560" s="16">
        <ns0:f>P560-E560*'前提と出典'!$E$4</ns0:f>
        <ns0:v>931424.0934397226</ns0:v>
      </ns0:c>
      <ns0:c r="S560" s="16">
        <ns0:f>Q560-F560*'前提と出典'!$E$4</ns0:f>
        <ns0:v>348733.88585244643</ns0:v>
      </ns0:c>
      <ns0:c r="T560" s="7">
        <ns0:f>R560+S560</ns0:f>
        <ns0:v>1280157.979292169</ns0:v>
      </ns0:c>
      <ns0:c r="U560" s="16">
        <ns0:f>P560-E560*'前提と出典'!$E$5</ns0:f>
        <ns0:v>823841.1705254029</ns0:v>
      </ns0:c>
      <ns0:c r="V560" s="16">
        <ns0:f>Q560-F560*'前提と出典'!$E$5</ns0:f>
        <ns0:v>306511.4971809037</ns0:v>
      </ns0:c>
      <ns0:c r="W560" s="7">
        <ns0:f>U560+V560</ns0:f>
        <ns0:v>1130352.6677063066</ns0:v>
      </ns0:c>
      <ns0:c r="X560" s="16">
        <ns0:f>P560-E560*'前提と出典'!$E$6</ns0:f>
        <ns0:v>716258.2476110832</ns0:v>
      </ns0:c>
      <ns0:c r="Y560" s="16">
        <ns0:f>Q560-F560*'前提と出典'!$E$6</ns0:f>
        <ns0:v>264289.1085093609</ns0:v>
      </ns0:c>
      <ns0:c r="Z560" s="7">
        <ns0:f>X560+Y560</ns0:f>
        <ns0:v>980547.3561204441</ns0:v>
      </ns0:c>
      <ns0:c r="AA560" s="7">
        <ns0:f>IF(T560&gt;=0,A560,1001)</ns0:f>
        <ns0:v>556</ns0:v>
      </ns0:c>
      <ns0:c r="AB560" s="7">
        <ns0:f>IF(T560&lt;0,A560,0)</ns0:f>
        <ns0:v>0</ns0:v>
      </ns0:c>
      <ns0:c r="AC560" s="16">
        <ns0:f>IF(AND(OR('前提と出典'!$C$36+'前提と出典'!$C$38=0,R560&gt;=0),OR('前提と出典'!$C$37+'前提と出典'!$C$38=0,S560&gt;=0)),0,A560)</ns0:f>
        <ns0:v>0</ns0:v>
      </ns0:c>
      <ns0:c r="AD560" s="7">
        <ns0:f>IF(W560&gt;=0,A560,1001)</ns0:f>
        <ns0:v>556</ns0:v>
      </ns0:c>
      <ns0:c r="AE560" s="7">
        <ns0:f>IF(W560&lt;0,A560,0)</ns0:f>
        <ns0:v>0</ns0:v>
      </ns0:c>
      <ns0:c r="AF560" s="16">
        <ns0:f>IF(AND(OR('前提と出典'!$C$36+'前提と出典'!$C$38=0,U560&gt;=0),OR('前提と出典'!$C$37+'前提と出典'!$C$38=0,V560&gt;=0)),0,A560)</ns0:f>
        <ns0:v>0</ns0:v>
      </ns0:c>
      <ns0:c r="AG560" s="7">
        <ns0:f>IF(Z560&gt;=0,A560,1001)</ns0:f>
        <ns0:v>556</ns0:v>
      </ns0:c>
      <ns0:c r="AH560" s="4">
        <ns0:f>IF(Z560&lt;0,A560,0)</ns0:f>
        <ns0:v>0</ns0:v>
      </ns0:c>
      <ns0:c r="AI560" s="12">
        <ns0:f>IF(AND(OR('前提と出典'!$C$36+'前提と出典'!$C$38=0,X560&gt;=0),OR('前提と出典'!$C$37+'前提と出典'!$C$38=0,Y560&gt;=0)),0,A560)</ns0:f>
        <ns0:v>0</ns0:v>
      </ns0:c>
    </ns0:row>
    <ns0:row r="561" ht="24" customHeight="1">
      <ns0:c r="A561" s="4" t="n">
        <ns0:v>557</ns0:v>
      </ns0:c>
      <ns0:c r="B561" s="12">
        <ns0:f>A561*('前提と出典'!$C$36+'前提と出典'!$C$38)</ns0:f>
        <ns0:v>389.9</ns0:v>
      </ns0:c>
      <ns0:c r="C561" s="12">
        <ns0:f>A561*('前提と出典'!$C$37+'前提と出典'!$C$38)</ns0:f>
        <ns0:v>334.2</ns0:v>
      </ns0:c>
      <ns0:c r="D561" s="16">
        <ns0:f>A561*('前提と出典'!$C$36*'契約別単価'!C5+'前提と出典'!$C$37*'契約別単価'!C6+'前提と出典'!$C$38*'契約別単価'!C7)</ns0:f>
        <ns0:v>4007.91061452514</ns0:v>
      </ns0:c>
      <ns0:c r="E561" s="16">
        <ns0:f>A561*('前提と出典'!$C$36*'契約別単価'!E5+'前提と出典'!$C$37*'契約別単価'!E6+'前提と出典'!$C$38*'契約別単価'!E7)</ns0:f>
        <ns0:v>1077764.1737999278</ns0:v>
      </ns0:c>
      <ns0:c r="F561" s="16">
        <ns0:f>A561*('前提と出典'!$C$36*'契約別単価'!F5+'前提と出典'!$C$37*'契約別単価'!F6+'前提と出典'!$C$38*'契約別単価'!F7)</ns0:f>
        <ns0:v>422983.28219513106</ns0:v>
      </ns0:c>
      <ns0:c r="G561" s="16">
        <ns0:f>A561*('前提と出典'!$C$36*'契約別単価'!G5+'前提と出典'!$C$37*'契約別単価'!G6+'前提と出典'!$C$38*'契約別単価'!G7)</ns0:f>
        <ns0:v>1108710.0558659218</ns0:v>
      </ns0:c>
      <ns0:c r="H561" s="16">
        <ns0:f>A561*('前提と出典'!$C$36*'契約別単価'!H5+'前提と出典'!$C$37*'契約別単価'!H6+'前提と出典'!$C$38*'契約別単価'!H7)</ns0:f>
        <ns0:v>384777.9955644142</ns0:v>
      </ns0:c>
      <ns0:c r="I561" s="16">
        <ns0:f>A561*('前提と出典'!$C$36*'契約別単価'!I5+'前提と出典'!$C$37*'契約別単価'!I6+'前提と出典'!$C$38*'契約別単価'!I7)</ns0:f>
        <ns0:v>23502.910614525135</ns0:v>
      </ns0:c>
      <ns0:c r="J561" s="16">
        <ns0:f>A561*('前提と出典'!$C$36*'契約別単価'!J5+'前提と出典'!$C$37*'契約別単価'!J6+'前提と出典'!$C$38*'契約別単価'!J7)</ns0:f>
        <ns0:v>54747.27584663853</ns0:v>
      </ns0:c>
      <ns0:c r="K561" s="16">
        <ns0:f>A561*('前提と出典'!$C$36*'契約別単価'!K5+'前提と出典'!$C$37*'契約別単価'!K6+'前提と出典'!$C$38*'契約別単価'!K7)</ns0:f>
        <ns0:v>234666.0707635009</ns0:v>
      </ns0:c>
      <ns0:c r="L561" s="16">
        <ns0:f>A561*('前提と出典'!$C$36*'契約別単価'!L5+'前提と出典'!$C$37*'契約別単価'!L6+'前提と出典'!$C$38*'契約別単価'!L7)</ns0:f>
        <ns0:v>191065.93318548048</ns0:v>
      </ns0:c>
      <ns0:c r="M561" s="16">
        <ns0:f>IF(('前提と出典'!$C$36+'前提と出典'!$C$38)=0,0,IF(B561&lt;=10,'前提と出典'!B73+'前提と出典'!C73,IF(B561&lt;=100,'前提と出典'!B74+'前提と出典'!C74,IF(B561&lt;=500,'前提と出典'!B75+'前提と出典'!C75,'前提と出典'!B76+'前提と出典'!C76))))</ns0:f>
        <ns0:v>40000</ns0:v>
      </ns0:c>
      <ns0:c r="N561" s="16">
        <ns0:f>IF(('前提と出典'!$C$37+'前提と出典'!$C$38)=0,0,IF(C561&lt;=10,'前提と出典'!D73+'前提と出典'!E73,IF(C561&lt;=100,'前提と出典'!D74+'前提と出典'!E74,IF(C561&lt;=500,'前提と出典'!D75+'前提と出典'!E75,'前提と出典'!D76+'前提と出典'!E76))))</ns0:f>
        <ns0:v>56510.9346263078</ns0:v>
      </ns0:c>
      <ns0:c r="O561" s="16">
        <ns0:f>IF('前提と出典'!$C$36+'前提と出典'!$C$38=0,0,'前提と出典'!$B$4*IF('前提と出典'!$B$20=0,MAX('前提と出典'!$B$6,D561*'前提と出典'!$B$5),'前提と出典'!$B$6+D561*'前提と出典'!$B$5))</ns0:f>
        <ns0:v>553091.6648044693</ns0:v>
      </ns0:c>
      <ns0:c r="P561" s="16">
        <ns0:f>(E561+G561)*(1-'前提と出典'!$B$7)-I561-K561-M561-O561</ns0:f>
        <ns0:v>1256500.5112153834</ns0:v>
      </ns0:c>
      <ns0:c r="Q561" s="16">
        <ns0:f>(F561+H561)*(1-'前提と出典'!$B$7)-J561-L561-N561</ns0:f>
        <ns0:v>476357.7281017748</ns0:v>
      </ns0:c>
      <ns0:c r="R561" s="16">
        <ns0:f>P561-E561*'前提と出典'!$E$4</ns0:f>
        <ns0:v>933171.2590754051</ns0:v>
      </ns0:c>
      <ns0:c r="S561" s="16">
        <ns0:f>Q561-F561*'前提と出典'!$E$4</ns0:f>
        <ns0:v>349462.7434432356</ns0:v>
      </ns0:c>
      <ns0:c r="T561" s="7">
        <ns0:f>R561+S561</ns0:f>
        <ns0:v>1282634.0025186406</ns0:v>
      </ns0:c>
      <ns0:c r="U561" s="16">
        <ns0:f>P561-E561*'前提と出典'!$E$5</ns0:f>
        <ns0:v>825394.8416954123</ns0:v>
      </ns0:c>
      <ns0:c r="V561" s="16">
        <ns0:f>Q561-F561*'前提と出典'!$E$5</ns0:f>
        <ns0:v>307164.4152237224</ns0:v>
      </ns0:c>
      <ns0:c r="W561" s="7">
        <ns0:f>U561+V561</ns0:f>
        <ns0:v>1132559.2569191346</ns0:v>
      </ns0:c>
      <ns0:c r="X561" s="16">
        <ns0:f>P561-E561*'前提と出典'!$E$6</ns0:f>
        <ns0:v>717618.4243154195</ns0:v>
      </ns0:c>
      <ns0:c r="Y561" s="16">
        <ns0:f>Q561-F561*'前提と出典'!$E$6</ns0:f>
        <ns0:v>264866.0870042093</ns0:v>
      </ns0:c>
      <ns0:c r="Z561" s="7">
        <ns0:f>X561+Y561</ns0:f>
        <ns0:v>982484.5113196288</ns0:v>
      </ns0:c>
      <ns0:c r="AA561" s="7">
        <ns0:f>IF(T561&gt;=0,A561,1001)</ns0:f>
        <ns0:v>557</ns0:v>
      </ns0:c>
      <ns0:c r="AB561" s="7">
        <ns0:f>IF(T561&lt;0,A561,0)</ns0:f>
        <ns0:v>0</ns0:v>
      </ns0:c>
      <ns0:c r="AC561" s="16">
        <ns0:f>IF(AND(OR('前提と出典'!$C$36+'前提と出典'!$C$38=0,R561&gt;=0),OR('前提と出典'!$C$37+'前提と出典'!$C$38=0,S561&gt;=0)),0,A561)</ns0:f>
        <ns0:v>0</ns0:v>
      </ns0:c>
      <ns0:c r="AD561" s="7">
        <ns0:f>IF(W561&gt;=0,A561,1001)</ns0:f>
        <ns0:v>557</ns0:v>
      </ns0:c>
      <ns0:c r="AE561" s="7">
        <ns0:f>IF(W561&lt;0,A561,0)</ns0:f>
        <ns0:v>0</ns0:v>
      </ns0:c>
      <ns0:c r="AF561" s="16">
        <ns0:f>IF(AND(OR('前提と出典'!$C$36+'前提と出典'!$C$38=0,U561&gt;=0),OR('前提と出典'!$C$37+'前提と出典'!$C$38=0,V561&gt;=0)),0,A561)</ns0:f>
        <ns0:v>0</ns0:v>
      </ns0:c>
      <ns0:c r="AG561" s="7">
        <ns0:f>IF(Z561&gt;=0,A561,1001)</ns0:f>
        <ns0:v>557</ns0:v>
      </ns0:c>
      <ns0:c r="AH561" s="4">
        <ns0:f>IF(Z561&lt;0,A561,0)</ns0:f>
        <ns0:v>0</ns0:v>
      </ns0:c>
      <ns0:c r="AI561" s="12">
        <ns0:f>IF(AND(OR('前提と出典'!$C$36+'前提と出典'!$C$38=0,X561&gt;=0),OR('前提と出典'!$C$37+'前提と出典'!$C$38=0,Y561&gt;=0)),0,A561)</ns0:f>
        <ns0:v>0</ns0:v>
      </ns0:c>
    </ns0:row>
    <ns0:row r="562" ht="24" customHeight="1">
      <ns0:c r="A562" s="4" t="n">
        <ns0:v>558</ns0:v>
      </ns0:c>
      <ns0:c r="B562" s="12">
        <ns0:f>A562*('前提と出典'!$C$36+'前提と出典'!$C$38)</ns0:f>
        <ns0:v>390.59999999999997</ns0:v>
      </ns0:c>
      <ns0:c r="C562" s="12">
        <ns0:f>A562*('前提と出典'!$C$37+'前提と出典'!$C$38)</ns0:f>
        <ns0:v>334.8</ns0:v>
      </ns0:c>
      <ns0:c r="D562" s="16">
        <ns0:f>A562*('前提と出典'!$C$36*'契約別単価'!C5+'前提と出典'!$C$37*'契約別単価'!C6+'前提と出典'!$C$38*'契約別単価'!C7)</ns0:f>
        <ns0:v>4015.106145251397</ns0:v>
      </ns0:c>
      <ns0:c r="E562" s="16">
        <ns0:f>A562*('前提と出典'!$C$36*'契約別単価'!E5+'前提と出典'!$C$37*'契約別単価'!E6+'前提と出典'!$C$38*'契約別単価'!E7)</ns0:f>
        <ns0:v>1079699.1184566603</ns0:v>
      </ns0:c>
      <ns0:c r="F562" s="16">
        <ns0:f>A562*('前提と出典'!$C$36*'契約別単価'!F5+'前提と出典'!$C$37*'契約別単価'!F6+'前提と出典'!$C$38*'契約別単価'!F7)</ns0:f>
        <ns0:v>423742.6776748351</ns0:v>
      </ns0:c>
      <ns0:c r="G562" s="16">
        <ns0:f>A562*('前提と出典'!$C$36*'契約別単価'!G5+'前提と出典'!$C$37*'契約別単価'!G6+'前提と出典'!$C$38*'契約別単価'!G7)</ns0:f>
        <ns0:v>1110700.5586592178</ns0:v>
      </ns0:c>
      <ns0:c r="H562" s="16">
        <ns0:f>A562*('前提と出典'!$C$36*'契約別単価'!H5+'前提と出典'!$C$37*'契約別単価'!H6+'前提と出典'!$C$38*'契約別単価'!H7)</ns0:f>
        <ns0:v>385468.799865248</ns0:v>
      </ns0:c>
      <ns0:c r="I562" s="16">
        <ns0:f>A562*('前提と出典'!$C$36*'契約別単価'!I5+'前提と出典'!$C$37*'契約別単価'!I6+'前提と出典'!$C$38*'契約別単価'!I7)</ns0:f>
        <ns0:v>23545.106145251393</ns0:v>
      </ns0:c>
      <ns0:c r="J562" s="16">
        <ns0:f>A562*('前提と出典'!$C$36*'契約別単価'!J5+'前提と出典'!$C$37*'契約別単価'!J6+'前提と出典'!$C$38*'契約別単価'!J7)</ns0:f>
        <ns0:v>54845.565390348835</ns0:v>
      </ns0:c>
      <ns0:c r="K562" s="16">
        <ns0:f>A562*('前提と出典'!$C$36*'契約別単価'!K5+'前提と出典'!$C$37*'契約別単価'!K6+'前提と出典'!$C$38*'契約別単価'!K7)</ns0:f>
        <ns0:v>235087.37430167597</ns0:v>
      </ns0:c>
      <ns0:c r="L562" s="16">
        <ns0:f>A562*('前提と出典'!$C$36*'契約別単価'!L5+'前提と出典'!$C$37*'契約別単価'!L6+'前提と出典'!$C$38*'契約別単価'!L7)</ns0:f>
        <ns0:v>191408.95999550825</ns0:v>
      </ns0:c>
      <ns0:c r="M562" s="16">
        <ns0:f>IF(('前提と出典'!$C$36+'前提と出典'!$C$38)=0,0,IF(B562&lt;=10,'前提と出典'!B73+'前提と出典'!C73,IF(B562&lt;=100,'前提と出典'!B74+'前提と出典'!C74,IF(B562&lt;=500,'前提と出典'!B75+'前提と出典'!C75,'前提と出典'!B76+'前提と出典'!C76))))</ns0:f>
        <ns0:v>40000</ns0:v>
      </ns0:c>
      <ns0:c r="N562" s="16">
        <ns0:f>IF(('前提と出典'!$C$37+'前提と出典'!$C$38)=0,0,IF(C562&lt;=10,'前提と出典'!D73+'前提と出典'!E73,IF(C562&lt;=100,'前提と出典'!D74+'前提と出典'!E74,IF(C562&lt;=500,'前提と出典'!D75+'前提と出典'!E75,'前提と出典'!D76+'前提と出典'!E76))))</ns0:f>
        <ns0:v>56510.9346263078</ns0:v>
      </ns0:c>
      <ns0:c r="O562" s="16">
        <ns0:f>IF('前提と出典'!$C$36+'前提と出典'!$C$38=0,0,'前提と出典'!$B$4*IF('前提と出典'!$B$20=0,MAX('前提と出典'!$B$6,D562*'前提と出典'!$B$5),'前提と出典'!$B$6+D562*'前提と出典'!$B$5))</ns0:f>
        <ns0:v>554084.6480446928</ns0:v>
      </ns0:c>
      <ns0:c r="P562" s="16">
        <ns0:f>(E562+G562)*(1-'前提と出典'!$B$7)-I562-K562-M562-O562</ns0:f>
        <ns0:v>1258828.1602480863</ns0:v>
      </ns0:c>
      <ns0:c r="Q562" s="16">
        <ns0:f>(F562+H562)*(1-'前提と出典'!$B$7)-J562-L562-N562</ns0:f>
        <ns0:v>477314.4043364751</ns0:v>
      </ns0:c>
      <ns0:c r="R562" s="16">
        <ns0:f>P562-E562*'前提と出典'!$E$4</ns0:f>
        <ns0:v>934918.4247110882</ns0:v>
      </ns0:c>
      <ns0:c r="S562" s="16">
        <ns0:f>Q562-F562*'前提と出典'!$E$4</ns0:f>
        <ns0:v>350191.60103402456</ns0:v>
      </ns0:c>
      <ns0:c r="T562" s="7">
        <ns0:f>R562+S562</ns0:f>
        <ns0:v>1285110.0257451127</ns0:v>
      </ns0:c>
      <ns0:c r="U562" s="16">
        <ns0:f>P562-E562*'前提と出典'!$E$5</ns0:f>
        <ns0:v>826948.5128654223</ns0:v>
      </ns0:c>
      <ns0:c r="V562" s="16">
        <ns0:f>Q562-F562*'前提と出典'!$E$5</ns0:f>
        <ns0:v>307817.33326654107</ns0:v>
      </ns0:c>
      <ns0:c r="W562" s="7">
        <ns0:f>U562+V562</ns0:f>
        <ns0:v>1134765.8461319634</ns0:v>
      </ns0:c>
      <ns0:c r="X562" s="16">
        <ns0:f>P562-E562*'前提と出典'!$E$6</ns0:f>
        <ns0:v>718978.6010197562</ns0:v>
      </ns0:c>
      <ns0:c r="Y562" s="16">
        <ns0:f>Q562-F562*'前提と出典'!$E$6</ns0:f>
        <ns0:v>265443.0654990575</ns0:v>
      </ns0:c>
      <ns0:c r="Z562" s="7">
        <ns0:f>X562+Y562</ns0:f>
        <ns0:v>984421.6665188137</ns0:v>
      </ns0:c>
      <ns0:c r="AA562" s="7">
        <ns0:f>IF(T562&gt;=0,A562,1001)</ns0:f>
        <ns0:v>558</ns0:v>
      </ns0:c>
      <ns0:c r="AB562" s="7">
        <ns0:f>IF(T562&lt;0,A562,0)</ns0:f>
        <ns0:v>0</ns0:v>
      </ns0:c>
      <ns0:c r="AC562" s="16">
        <ns0:f>IF(AND(OR('前提と出典'!$C$36+'前提と出典'!$C$38=0,R562&gt;=0),OR('前提と出典'!$C$37+'前提と出典'!$C$38=0,S562&gt;=0)),0,A562)</ns0:f>
        <ns0:v>0</ns0:v>
      </ns0:c>
      <ns0:c r="AD562" s="7">
        <ns0:f>IF(W562&gt;=0,A562,1001)</ns0:f>
        <ns0:v>558</ns0:v>
      </ns0:c>
      <ns0:c r="AE562" s="7">
        <ns0:f>IF(W562&lt;0,A562,0)</ns0:f>
        <ns0:v>0</ns0:v>
      </ns0:c>
      <ns0:c r="AF562" s="16">
        <ns0:f>IF(AND(OR('前提と出典'!$C$36+'前提と出典'!$C$38=0,U562&gt;=0),OR('前提と出典'!$C$37+'前提と出典'!$C$38=0,V562&gt;=0)),0,A562)</ns0:f>
        <ns0:v>0</ns0:v>
      </ns0:c>
      <ns0:c r="AG562" s="7">
        <ns0:f>IF(Z562&gt;=0,A562,1001)</ns0:f>
        <ns0:v>558</ns0:v>
      </ns0:c>
      <ns0:c r="AH562" s="4">
        <ns0:f>IF(Z562&lt;0,A562,0)</ns0:f>
        <ns0:v>0</ns0:v>
      </ns0:c>
      <ns0:c r="AI562" s="12">
        <ns0:f>IF(AND(OR('前提と出典'!$C$36+'前提と出典'!$C$38=0,X562&gt;=0),OR('前提と出典'!$C$37+'前提と出典'!$C$38=0,Y562&gt;=0)),0,A562)</ns0:f>
        <ns0:v>0</ns0:v>
      </ns0:c>
    </ns0:row>
    <ns0:row r="563" ht="24" customHeight="1">
      <ns0:c r="A563" s="4" t="n">
        <ns0:v>559</ns0:v>
      </ns0:c>
      <ns0:c r="B563" s="12">
        <ns0:f>A563*('前提と出典'!$C$36+'前提と出典'!$C$38)</ns0:f>
        <ns0:v>391.29999999999995</ns0:v>
      </ns0:c>
      <ns0:c r="C563" s="12">
        <ns0:f>A563*('前提と出典'!$C$37+'前提と出典'!$C$38)</ns0:f>
        <ns0:v>335.4</ns0:v>
      </ns0:c>
      <ns0:c r="D563" s="16">
        <ns0:f>A563*('前提と出典'!$C$36*'契約別単価'!C5+'前提と出典'!$C$37*'契約別単価'!C6+'前提と出典'!$C$38*'契約別単価'!C7)</ns0:f>
        <ns0:v>4022.3016759776538</ns0:v>
      </ns0:c>
      <ns0:c r="E563" s="16">
        <ns0:f>A563*('前提と出典'!$C$36*'契約別単価'!E5+'前提と出典'!$C$37*'契約別単価'!E6+'前提と出典'!$C$38*'契約別単価'!E7)</ns0:f>
        <ns0:v>1081634.0631133926</ns0:v>
      </ns0:c>
      <ns0:c r="F563" s="16">
        <ns0:f>A563*('前提と出典'!$C$36*'契約別単価'!F5+'前提と出典'!$C$37*'契約別単価'!F6+'前提と出典'!$C$38*'契約別単価'!F7)</ns0:f>
        <ns0:v>424502.0731545391</ns0:v>
      </ns0:c>
      <ns0:c r="G563" s="16">
        <ns0:f>A563*('前提と出典'!$C$36*'契約別単価'!G5+'前提と出典'!$C$37*'契約別単価'!G6+'前提と出典'!$C$38*'契約別単価'!G7)</ns0:f>
        <ns0:v>1112691.061452514</ns0:v>
      </ns0:c>
      <ns0:c r="H563" s="16">
        <ns0:f>A563*('前提と出典'!$C$36*'契約別単価'!H5+'前提と出典'!$C$37*'契約別単価'!H6+'前提と出典'!$C$38*'契約別単価'!H7)</ns0:f>
        <ns0:v>386159.6041660817</ns0:v>
      </ns0:c>
      <ns0:c r="I563" s="16">
        <ns0:f>A563*('前提と出典'!$C$36*'契約別単価'!I5+'前提と出典'!$C$37*'契約別単価'!I6+'前提と出典'!$C$38*'契約別単価'!I7)</ns0:f>
        <ns0:v>23587.30167597765</ns0:v>
      </ns0:c>
      <ns0:c r="J563" s="16">
        <ns0:f>A563*('前提と出典'!$C$36*'契約別単価'!J5+'前提と出典'!$C$37*'契約別単価'!J6+'前提と出典'!$C$38*'契約別単価'!J7)</ns0:f>
        <ns0:v>54943.854934059134</ns0:v>
      </ns0:c>
      <ns0:c r="K563" s="16">
        <ns0:f>A563*('前提と出典'!$C$36*'契約別単価'!K5+'前提と出典'!$C$37*'契約別単価'!K6+'前提と出典'!$C$38*'契約別単価'!K7)</ns0:f>
        <ns0:v>235508.677839851</ns0:v>
      </ns0:c>
      <ns0:c r="L563" s="16">
        <ns0:f>A563*('前提と出典'!$C$36*'契約別単価'!L5+'前提と出典'!$C$37*'契約別単価'!L6+'前提と出典'!$C$38*'契約別単価'!L7)</ns0:f>
        <ns0:v>191751.98680553606</ns0:v>
      </ns0:c>
      <ns0:c r="M563" s="16">
        <ns0:f>IF(('前提と出典'!$C$36+'前提と出典'!$C$38)=0,0,IF(B563&lt;=10,'前提と出典'!B73+'前提と出典'!C73,IF(B563&lt;=100,'前提と出典'!B74+'前提と出典'!C74,IF(B563&lt;=500,'前提と出典'!B75+'前提と出典'!C75,'前提と出典'!B76+'前提と出典'!C76))))</ns0:f>
        <ns0:v>40000</ns0:v>
      </ns0:c>
      <ns0:c r="N563" s="16">
        <ns0:f>IF(('前提と出典'!$C$37+'前提と出典'!$C$38)=0,0,IF(C563&lt;=10,'前提と出典'!D73+'前提と出典'!E73,IF(C563&lt;=100,'前提と出典'!D74+'前提と出典'!E74,IF(C563&lt;=500,'前提と出典'!D75+'前提と出典'!E75,'前提と出典'!D76+'前提と出典'!E76))))</ns0:f>
        <ns0:v>56510.9346263078</ns0:v>
      </ns0:c>
      <ns0:c r="O563" s="16">
        <ns0:f>IF('前提と出典'!$C$36+'前提と出典'!$C$38=0,0,'前提と出典'!$B$4*IF('前提と出典'!$B$20=0,MAX('前提と出典'!$B$6,D563*'前提と出典'!$B$5),'前提と出典'!$B$6+D563*'前提と出典'!$B$5))</ns0:f>
        <ns0:v>555077.6312849163</ns0:v>
      </ns0:c>
      <ns0:c r="P563" s="16">
        <ns0:f>(E563+G563)*(1-'前提と出典'!$B$7)-I563-K563-M563-O563</ns0:f>
        <ns0:v>1261155.8092807895</ns0:v>
      </ns0:c>
      <ns0:c r="Q563" s="16">
        <ns0:f>(F563+H563)*(1-'前提と出典'!$B$7)-J563-L563-N563</ns0:f>
        <ns0:v>478271.08057117544</ns0:v>
      </ns0:c>
      <ns0:c r="R563" s="16">
        <ns0:f>P563-E563*'前提と出典'!$E$4</ns0:f>
        <ns0:v>936665.5903467715</ns0:v>
      </ns0:c>
      <ns0:c r="S563" s="16">
        <ns0:f>Q563-F563*'前提と出典'!$E$4</ns0:f>
        <ns0:v>350920.4586248137</ns0:v>
      </ns0:c>
      <ns0:c r="T563" s="7">
        <ns0:f>R563+S563</ns0:f>
        <ns0:v>1287586.0489715852</ns0:v>
      </ns0:c>
      <ns0:c r="U563" s="16">
        <ns0:f>P563-E563*'前提と出典'!$E$5</ns0:f>
        <ns0:v>828502.1840354323</ns0:v>
      </ns0:c>
      <ns0:c r="V563" s="16">
        <ns0:f>Q563-F563*'前提と出典'!$E$5</ns0:f>
        <ns0:v>308470.2513093598</ns0:v>
      </ns0:c>
      <ns0:c r="W563" s="7">
        <ns0:f>U563+V563</ns0:f>
        <ns0:v>1136972.435344792</ns0:v>
      </ns0:c>
      <ns0:c r="X563" s="16">
        <ns0:f>P563-E563*'前提と出典'!$E$6</ns0:f>
        <ns0:v>720338.7777240931</ns0:v>
      </ns0:c>
      <ns0:c r="Y563" s="16">
        <ns0:f>Q563-F563*'前提と出典'!$E$6</ns0:f>
        <ns0:v>266020.0439939059</ns0:v>
      </ns0:c>
      <ns0:c r="Z563" s="7">
        <ns0:f>X563+Y563</ns0:f>
        <ns0:v>986358.821717999</ns0:v>
      </ns0:c>
      <ns0:c r="AA563" s="7">
        <ns0:f>IF(T563&gt;=0,A563,1001)</ns0:f>
        <ns0:v>559</ns0:v>
      </ns0:c>
      <ns0:c r="AB563" s="7">
        <ns0:f>IF(T563&lt;0,A563,0)</ns0:f>
        <ns0:v>0</ns0:v>
      </ns0:c>
      <ns0:c r="AC563" s="16">
        <ns0:f>IF(AND(OR('前提と出典'!$C$36+'前提と出典'!$C$38=0,R563&gt;=0),OR('前提と出典'!$C$37+'前提と出典'!$C$38=0,S563&gt;=0)),0,A563)</ns0:f>
        <ns0:v>0</ns0:v>
      </ns0:c>
      <ns0:c r="AD563" s="7">
        <ns0:f>IF(W563&gt;=0,A563,1001)</ns0:f>
        <ns0:v>559</ns0:v>
      </ns0:c>
      <ns0:c r="AE563" s="7">
        <ns0:f>IF(W563&lt;0,A563,0)</ns0:f>
        <ns0:v>0</ns0:v>
      </ns0:c>
      <ns0:c r="AF563" s="16">
        <ns0:f>IF(AND(OR('前提と出典'!$C$36+'前提と出典'!$C$38=0,U563&gt;=0),OR('前提と出典'!$C$37+'前提と出典'!$C$38=0,V563&gt;=0)),0,A563)</ns0:f>
        <ns0:v>0</ns0:v>
      </ns0:c>
      <ns0:c r="AG563" s="7">
        <ns0:f>IF(Z563&gt;=0,A563,1001)</ns0:f>
        <ns0:v>559</ns0:v>
      </ns0:c>
      <ns0:c r="AH563" s="4">
        <ns0:f>IF(Z563&lt;0,A563,0)</ns0:f>
        <ns0:v>0</ns0:v>
      </ns0:c>
      <ns0:c r="AI563" s="12">
        <ns0:f>IF(AND(OR('前提と出典'!$C$36+'前提と出典'!$C$38=0,X563&gt;=0),OR('前提と出典'!$C$37+'前提と出典'!$C$38=0,Y563&gt;=0)),0,A563)</ns0:f>
        <ns0:v>0</ns0:v>
      </ns0:c>
    </ns0:row>
    <ns0:row r="564" ht="24" customHeight="1">
      <ns0:c r="A564" s="4" t="n">
        <ns0:v>560</ns0:v>
      </ns0:c>
      <ns0:c r="B564" s="12">
        <ns0:f>A564*('前提と出典'!$C$36+'前提と出典'!$C$38)</ns0:f>
        <ns0:v>392</ns0:v>
      </ns0:c>
      <ns0:c r="C564" s="12">
        <ns0:f>A564*('前提と出典'!$C$37+'前提と出典'!$C$38)</ns0:f>
        <ns0:v>336</ns0:v>
      </ns0:c>
      <ns0:c r="D564" s="16">
        <ns0:f>A564*('前提と出典'!$C$36*'契約別単価'!C5+'前提と出典'!$C$37*'契約別単価'!C6+'前提と出典'!$C$38*'契約別単価'!C7)</ns0:f>
        <ns0:v>4029.4972067039107</ns0:v>
      </ns0:c>
      <ns0:c r="E564" s="16">
        <ns0:f>A564*('前提と出典'!$C$36*'契約別単価'!E5+'前提と出典'!$C$37*'契約別単価'!E6+'前提と出典'!$C$38*'契約別単価'!E7)</ns0:f>
        <ns0:v>1083569.0077701248</ns0:v>
      </ns0:c>
      <ns0:c r="F564" s="16">
        <ns0:f>A564*('前提と出典'!$C$36*'契約別単価'!F5+'前提と出典'!$C$37*'契約別単価'!F6+'前提と出典'!$C$38*'契約別単価'!F7)</ns0:f>
        <ns0:v>425261.4686342431</ns0:v>
      </ns0:c>
      <ns0:c r="G564" s="16">
        <ns0:f>A564*('前提と出典'!$C$36*'契約別単価'!G5+'前提と出典'!$C$37*'契約別単価'!G6+'前提と出典'!$C$38*'契約別単価'!G7)</ns0:f>
        <ns0:v>1114681.56424581</ns0:v>
      </ns0:c>
      <ns0:c r="H564" s="16">
        <ns0:f>A564*('前提と出典'!$C$36*'契約別単価'!H5+'前提と出典'!$C$37*'契約別単価'!H6+'前提と出典'!$C$38*'契約別単価'!H7)</ns0:f>
        <ns0:v>386850.4084669155</ns0:v>
      </ns0:c>
      <ns0:c r="I564" s="16">
        <ns0:f>A564*('前提と出典'!$C$36*'契約別単価'!I5+'前提と出典'!$C$37*'契約別単価'!I6+'前提と出典'!$C$38*'契約別単価'!I7)</ns0:f>
        <ns0:v>23629.497206703905</ns0:v>
      </ns0:c>
      <ns0:c r="J564" s="16">
        <ns0:f>A564*('前提と出典'!$C$36*'契約別単価'!J5+'前提と出典'!$C$37*'契約別単価'!J6+'前提と出典'!$C$38*'契約別単価'!J7)</ns0:f>
        <ns0:v>55042.144477769434</ns0:v>
      </ns0:c>
      <ns0:c r="K564" s="16">
        <ns0:f>A564*('前提と出典'!$C$36*'契約別単価'!K5+'前提と出典'!$C$37*'契約別単価'!K6+'前提と出典'!$C$38*'契約別単価'!K7)</ns0:f>
        <ns0:v>235929.98137802604</ns0:v>
      </ns0:c>
      <ns0:c r="L564" s="16">
        <ns0:f>A564*('前提と出典'!$C$36*'契約別単価'!L5+'前提と出典'!$C$37*'契約別単価'!L6+'前提と出典'!$C$38*'契約別単価'!L7)</ns0:f>
        <ns0:v>192095.01361556383</ns0:v>
      </ns0:c>
      <ns0:c r="M564" s="16">
        <ns0:f>IF(('前提と出典'!$C$36+'前提と出典'!$C$38)=0,0,IF(B564&lt;=10,'前提と出典'!B73+'前提と出典'!C73,IF(B564&lt;=100,'前提と出典'!B74+'前提と出典'!C74,IF(B564&lt;=500,'前提と出典'!B75+'前提と出典'!C75,'前提と出典'!B76+'前提と出典'!C76))))</ns0:f>
        <ns0:v>40000</ns0:v>
      </ns0:c>
      <ns0:c r="N564" s="16">
        <ns0:f>IF(('前提と出典'!$C$37+'前提と出典'!$C$38)=0,0,IF(C564&lt;=10,'前提と出典'!D73+'前提と出典'!E73,IF(C564&lt;=100,'前提と出典'!D74+'前提と出典'!E74,IF(C564&lt;=500,'前提と出典'!D75+'前提と出典'!E75,'前提と出典'!D76+'前提と出典'!E76))))</ns0:f>
        <ns0:v>56510.9346263078</ns0:v>
      </ns0:c>
      <ns0:c r="O564" s="16">
        <ns0:f>IF('前提と出典'!$C$36+'前提と出典'!$C$38=0,0,'前提と出典'!$B$4*IF('前提と出典'!$B$20=0,MAX('前提と出典'!$B$6,D564*'前提と出典'!$B$5),'前提と出典'!$B$6+D564*'前提と出典'!$B$5))</ns0:f>
        <ns0:v>556070.6145251397</ns0:v>
      </ns0:c>
      <ns0:c r="P564" s="16">
        <ns0:f>(E564+G564)*(1-'前提と出典'!$B$7)-I564-K564-M564-O564</ns0:f>
        <ns0:v>1263483.4583134914</ns0:v>
      </ns0:c>
      <ns0:c r="Q564" s="16">
        <ns0:f>(F564+H564)*(1-'前提と出典'!$B$7)-J564-L564-N564</ns0:f>
        <ns0:v>479227.7568058758</ns0:v>
      </ns0:c>
      <ns0:c r="R564" s="16">
        <ns0:f>P564-E564*'前提と出典'!$E$4</ns0:f>
        <ns0:v>938412.7559824538</ns0:v>
      </ns0:c>
      <ns0:c r="S564" s="16">
        <ns0:f>Q564-F564*'前提と出典'!$E$4</ns0:f>
        <ns0:v>351649.3162156029</ns0:v>
      </ns0:c>
      <ns0:c r="T564" s="7">
        <ns0:f>R564+S564</ns0:f>
        <ns0:v>1290062.0721980566</ns0:v>
      </ns0:c>
      <ns0:c r="U564" s="16">
        <ns0:f>P564-E564*'前提と出典'!$E$5</ns0:f>
        <ns0:v>830055.8552054415</ns0:v>
      </ns0:c>
      <ns0:c r="V564" s="16">
        <ns0:f>Q564-F564*'前提と出典'!$E$5</ns0:f>
        <ns0:v>309123.1693521786</ns0:v>
      </ns0:c>
      <ns0:c r="W564" s="7">
        <ns0:f>U564+V564</ns0:f>
        <ns0:v>1139179.02455762</ns0:v>
      </ns0:c>
      <ns0:c r="X564" s="16">
        <ns0:f>P564-E564*'前提と出典'!$E$6</ns0:f>
        <ns0:v>721698.9544284289</ns0:v>
      </ns0:c>
      <ns0:c r="Y564" s="16">
        <ns0:f>Q564-F564*'前提と出典'!$E$6</ns0:f>
        <ns0:v>266597.02248875424</ns0:v>
      </ns0:c>
      <ns0:c r="Z564" s="7">
        <ns0:f>X564+Y564</ns0:f>
        <ns0:v>988295.9769171831</ns0:v>
      </ns0:c>
      <ns0:c r="AA564" s="7">
        <ns0:f>IF(T564&gt;=0,A564,1001)</ns0:f>
        <ns0:v>560</ns0:v>
      </ns0:c>
      <ns0:c r="AB564" s="7">
        <ns0:f>IF(T564&lt;0,A564,0)</ns0:f>
        <ns0:v>0</ns0:v>
      </ns0:c>
      <ns0:c r="AC564" s="16">
        <ns0:f>IF(AND(OR('前提と出典'!$C$36+'前提と出典'!$C$38=0,R564&gt;=0),OR('前提と出典'!$C$37+'前提と出典'!$C$38=0,S564&gt;=0)),0,A564)</ns0:f>
        <ns0:v>0</ns0:v>
      </ns0:c>
      <ns0:c r="AD564" s="7">
        <ns0:f>IF(W564&gt;=0,A564,1001)</ns0:f>
        <ns0:v>560</ns0:v>
      </ns0:c>
      <ns0:c r="AE564" s="7">
        <ns0:f>IF(W564&lt;0,A564,0)</ns0:f>
        <ns0:v>0</ns0:v>
      </ns0:c>
      <ns0:c r="AF564" s="16">
        <ns0:f>IF(AND(OR('前提と出典'!$C$36+'前提と出典'!$C$38=0,U564&gt;=0),OR('前提と出典'!$C$37+'前提と出典'!$C$38=0,V564&gt;=0)),0,A564)</ns0:f>
        <ns0:v>0</ns0:v>
      </ns0:c>
      <ns0:c r="AG564" s="7">
        <ns0:f>IF(Z564&gt;=0,A564,1001)</ns0:f>
        <ns0:v>560</ns0:v>
      </ns0:c>
      <ns0:c r="AH564" s="4">
        <ns0:f>IF(Z564&lt;0,A564,0)</ns0:f>
        <ns0:v>0</ns0:v>
      </ns0:c>
      <ns0:c r="AI564" s="12">
        <ns0:f>IF(AND(OR('前提と出典'!$C$36+'前提と出典'!$C$38=0,X564&gt;=0),OR('前提と出典'!$C$37+'前提と出典'!$C$38=0,Y564&gt;=0)),0,A564)</ns0:f>
        <ns0:v>0</ns0:v>
      </ns0:c>
    </ns0:row>
    <ns0:row r="565" ht="24" customHeight="1">
      <ns0:c r="A565" s="4" t="n">
        <ns0:v>561</ns0:v>
      </ns0:c>
      <ns0:c r="B565" s="12">
        <ns0:f>A565*('前提と出典'!$C$36+'前提と出典'!$C$38)</ns0:f>
        <ns0:v>392.7</ns0:v>
      </ns0:c>
      <ns0:c r="C565" s="12">
        <ns0:f>A565*('前提と出典'!$C$37+'前提と出典'!$C$38)</ns0:f>
        <ns0:v>336.59999999999997</ns0:v>
      </ns0:c>
      <ns0:c r="D565" s="16">
        <ns0:f>A565*('前提と出典'!$C$36*'契約別単価'!C5+'前提と出典'!$C$37*'契約別単価'!C6+'前提と出典'!$C$38*'契約別単価'!C7)</ns0:f>
        <ns0:v>4036.6927374301677</ns0:v>
      </ns0:c>
      <ns0:c r="E565" s="16">
        <ns0:f>A565*('前提と出典'!$C$36*'契約別単価'!E5+'前提と出典'!$C$37*'契約別単価'!E6+'前提と出典'!$C$38*'契約別単価'!E7)</ns0:f>
        <ns0:v>1085503.9524268573</ns0:v>
      </ns0:c>
      <ns0:c r="F565" s="16">
        <ns0:f>A565*('前提と出典'!$C$36*'契約別単価'!F5+'前提と出典'!$C$37*'契約別単価'!F6+'前提と出典'!$C$38*'契約別単価'!F7)</ns0:f>
        <ns0:v>426020.8641139471</ns0:v>
      </ns0:c>
      <ns0:c r="G565" s="16">
        <ns0:f>A565*('前提と出典'!$C$36*'契約別単価'!G5+'前提と出典'!$C$37*'契約別単価'!G6+'前提と出典'!$C$38*'契約別単価'!G7)</ns0:f>
        <ns0:v>1116672.067039106</ns0:v>
      </ns0:c>
      <ns0:c r="H565" s="16">
        <ns0:f>A565*('前提と出典'!$C$36*'契約別単価'!H5+'前提と出典'!$C$37*'契約別単価'!H6+'前提と出典'!$C$38*'契約別単価'!H7)</ns0:f>
        <ns0:v>387541.21276774927</ns0:v>
      </ns0:c>
      <ns0:c r="I565" s="16">
        <ns0:f>A565*('前提と出典'!$C$36*'契約別単価'!I5+'前提と出典'!$C$37*'契約別単価'!I6+'前提と出典'!$C$38*'契約別単価'!I7)</ns0:f>
        <ns0:v>23671.692737430163</ns0:v>
      </ns0:c>
      <ns0:c r="J565" s="16">
        <ns0:f>A565*('前提と出典'!$C$36*'契約別単価'!J5+'前提と出典'!$C$37*'契約別単価'!J6+'前提と出典'!$C$38*'契約別単価'!J7)</ns0:f>
        <ns0:v>55140.43402147974</ns0:v>
      </ns0:c>
      <ns0:c r="K565" s="16">
        <ns0:f>A565*('前提と出典'!$C$36*'契約別単価'!K5+'前提と出典'!$C$37*'契約別単価'!K6+'前提と出典'!$C$38*'契約別単価'!K7)</ns0:f>
        <ns0:v>236351.2849162011</ns0:v>
      </ns0:c>
      <ns0:c r="L565" s="16">
        <ns0:f>A565*('前提と出典'!$C$36*'契約別単価'!L5+'前提と出典'!$C$37*'契約別単価'!L6+'前提と出典'!$C$38*'契約別単価'!L7)</ns0:f>
        <ns0:v>192438.04042559164</ns0:v>
      </ns0:c>
      <ns0:c r="M565" s="16">
        <ns0:f>IF(('前提と出典'!$C$36+'前提と出典'!$C$38)=0,0,IF(B565&lt;=10,'前提と出典'!B73+'前提と出典'!C73,IF(B565&lt;=100,'前提と出典'!B74+'前提と出典'!C74,IF(B565&lt;=500,'前提と出典'!B75+'前提と出典'!C75,'前提と出典'!B76+'前提と出典'!C76))))</ns0:f>
        <ns0:v>40000</ns0:v>
      </ns0:c>
      <ns0:c r="N565" s="16">
        <ns0:f>IF(('前提と出典'!$C$37+'前提と出典'!$C$38)=0,0,IF(C565&lt;=10,'前提と出典'!D73+'前提と出典'!E73,IF(C565&lt;=100,'前提と出典'!D74+'前提と出典'!E74,IF(C565&lt;=500,'前提と出典'!D75+'前提と出典'!E75,'前提と出典'!D76+'前提と出典'!E76))))</ns0:f>
        <ns0:v>56510.9346263078</ns0:v>
      </ns0:c>
      <ns0:c r="O565" s="16">
        <ns0:f>IF('前提と出典'!$C$36+'前提と出典'!$C$38=0,0,'前提と出典'!$B$4*IF('前提と出典'!$B$20=0,MAX('前提と出典'!$B$6,D565*'前提と出典'!$B$5),'前提と出典'!$B$6+D565*'前提と出典'!$B$5))</ns0:f>
        <ns0:v>557063.5977653632</ns0:v>
      </ns0:c>
      <ns0:c r="P565" s="16">
        <ns0:f>(E565+G565)*(1-'前提と出典'!$B$7)-I565-K565-M565-O565</ns0:f>
        <ns0:v>1265811.1073461943</ns0:v>
      </ns0:c>
      <ns0:c r="Q565" s="16">
        <ns0:f>(F565+H565)*(1-'前提と出典'!$B$7)-J565-L565-N565</ns0:f>
        <ns0:v>480184.43304057606</ns0:v>
      </ns0:c>
      <ns0:c r="R565" s="16">
        <ns0:f>P565-E565*'前提と出典'!$E$4</ns0:f>
        <ns0:v>940159.9216181369</ns0:v>
      </ns0:c>
      <ns0:c r="S565" s="16">
        <ns0:f>Q565-F565*'前提と出典'!$E$4</ns0:f>
        <ns0:v>352378.1738063919</ns0:v>
      </ns0:c>
      <ns0:c r="T565" s="7">
        <ns0:f>R565+S565</ns0:f>
        <ns0:v>1292538.0954245287</ns0:v>
      </ns0:c>
      <ns0:c r="U565" s="16">
        <ns0:f>P565-E565*'前提と出典'!$E$5</ns0:f>
        <ns0:v>831609.5263754512</ns0:v>
      </ns0:c>
      <ns0:c r="V565" s="16">
        <ns0:f>Q565-F565*'前提と出典'!$E$5</ns0:f>
        <ns0:v>309776.08739499724</ns0:v>
      </ns0:c>
      <ns0:c r="W565" s="7">
        <ns0:f>U565+V565</ns0:f>
        <ns0:v>1141385.6137704486</ns0:v>
      </ns0:c>
      <ns0:c r="X565" s="16">
        <ns0:f>P565-E565*'前提と出典'!$E$6</ns0:f>
        <ns0:v>723059.1311327656</ns0:v>
      </ns0:c>
      <ns0:c r="Y565" s="16">
        <ns0:f>Q565-F565*'前提と出典'!$E$6</ns0:f>
        <ns0:v>267174.00098360254</ns0:v>
      </ns0:c>
      <ns0:c r="Z565" s="7">
        <ns0:f>X565+Y565</ns0:f>
        <ns0:v>990233.132116368</ns0:v>
      </ns0:c>
      <ns0:c r="AA565" s="7">
        <ns0:f>IF(T565&gt;=0,A565,1001)</ns0:f>
        <ns0:v>561</ns0:v>
      </ns0:c>
      <ns0:c r="AB565" s="7">
        <ns0:f>IF(T565&lt;0,A565,0)</ns0:f>
        <ns0:v>0</ns0:v>
      </ns0:c>
      <ns0:c r="AC565" s="16">
        <ns0:f>IF(AND(OR('前提と出典'!$C$36+'前提と出典'!$C$38=0,R565&gt;=0),OR('前提と出典'!$C$37+'前提と出典'!$C$38=0,S565&gt;=0)),0,A565)</ns0:f>
        <ns0:v>0</ns0:v>
      </ns0:c>
      <ns0:c r="AD565" s="7">
        <ns0:f>IF(W565&gt;=0,A565,1001)</ns0:f>
        <ns0:v>561</ns0:v>
      </ns0:c>
      <ns0:c r="AE565" s="7">
        <ns0:f>IF(W565&lt;0,A565,0)</ns0:f>
        <ns0:v>0</ns0:v>
      </ns0:c>
      <ns0:c r="AF565" s="16">
        <ns0:f>IF(AND(OR('前提と出典'!$C$36+'前提と出典'!$C$38=0,U565&gt;=0),OR('前提と出典'!$C$37+'前提と出典'!$C$38=0,V565&gt;=0)),0,A565)</ns0:f>
        <ns0:v>0</ns0:v>
      </ns0:c>
      <ns0:c r="AG565" s="7">
        <ns0:f>IF(Z565&gt;=0,A565,1001)</ns0:f>
        <ns0:v>561</ns0:v>
      </ns0:c>
      <ns0:c r="AH565" s="4">
        <ns0:f>IF(Z565&lt;0,A565,0)</ns0:f>
        <ns0:v>0</ns0:v>
      </ns0:c>
      <ns0:c r="AI565" s="12">
        <ns0:f>IF(AND(OR('前提と出典'!$C$36+'前提と出典'!$C$38=0,X565&gt;=0),OR('前提と出典'!$C$37+'前提と出典'!$C$38=0,Y565&gt;=0)),0,A565)</ns0:f>
        <ns0:v>0</ns0:v>
      </ns0:c>
    </ns0:row>
    <ns0:row r="566" ht="24" customHeight="1">
      <ns0:c r="A566" s="4" t="n">
        <ns0:v>562</ns0:v>
      </ns0:c>
      <ns0:c r="B566" s="12">
        <ns0:f>A566*('前提と出典'!$C$36+'前提と出典'!$C$38)</ns0:f>
        <ns0:v>393.4</ns0:v>
      </ns0:c>
      <ns0:c r="C566" s="12">
        <ns0:f>A566*('前提と出典'!$C$37+'前提と出典'!$C$38)</ns0:f>
        <ns0:v>337.2</ns0:v>
      </ns0:c>
      <ns0:c r="D566" s="16">
        <ns0:f>A566*('前提と出典'!$C$36*'契約別単価'!C5+'前提と出典'!$C$37*'契約別単価'!C6+'前提と出典'!$C$38*'契約別単価'!C7)</ns0:f>
        <ns0:v>4043.8882681564246</ns0:v>
      </ns0:c>
      <ns0:c r="E566" s="16">
        <ns0:f>A566*('前提と出典'!$C$36*'契約別単価'!E5+'前提と出典'!$C$37*'契約別単価'!E6+'前提と出典'!$C$38*'契約別単価'!E7)</ns0:f>
        <ns0:v>1087438.8970835896</ns0:v>
      </ns0:c>
      <ns0:c r="F566" s="16">
        <ns0:f>A566*('前提と出典'!$C$36*'契約別単価'!F5+'前提と出典'!$C$37*'契約別単価'!F6+'前提と出典'!$C$38*'契約別単価'!F7)</ns0:f>
        <ns0:v>426780.2595936511</ns0:v>
      </ns0:c>
      <ns0:c r="G566" s="16">
        <ns0:f>A566*('前提と出典'!$C$36*'契約別単価'!G5+'前提と出典'!$C$37*'契約別単価'!G6+'前提と出典'!$C$38*'契約別単価'!G7)</ns0:f>
        <ns0:v>1118662.5698324023</ns0:v>
      </ns0:c>
      <ns0:c r="H566" s="16">
        <ns0:f>A566*('前提と出典'!$C$36*'契約別単価'!H5+'前提と出典'!$C$37*'契約別単価'!H6+'前提と出典'!$C$38*'契約別単価'!H7)</ns0:f>
        <ns0:v>388232.01706858305</ns0:v>
      </ns0:c>
      <ns0:c r="I566" s="16">
        <ns0:f>A566*('前提と出典'!$C$36*'契約別単価'!I5+'前提と出典'!$C$37*'契約別単価'!I6+'前提と出典'!$C$38*'契約別単価'!I7)</ns0:f>
        <ns0:v>23713.88826815642</ns0:v>
      </ns0:c>
      <ns0:c r="J566" s="16">
        <ns0:f>A566*('前提と出典'!$C$36*'契約別単価'!J5+'前提と出典'!$C$37*'契約別単価'!J6+'前提と出典'!$C$38*'契約別単価'!J7)</ns0:f>
        <ns0:v>55238.72356519004</ns0:v>
      </ns0:c>
      <ns0:c r="K566" s="16">
        <ns0:f>A566*('前提と出典'!$C$36*'契約別単価'!K5+'前提と出典'!$C$37*'契約別単価'!K6+'前提と出典'!$C$38*'契約別単価'!K7)</ns0:f>
        <ns0:v>236772.58845437615</ns0:v>
      </ns0:c>
      <ns0:c r="L566" s="16">
        <ns0:f>A566*('前提と出典'!$C$36*'契約別単価'!L5+'前提と出典'!$C$37*'契約別単価'!L6+'前提と出典'!$C$38*'契約別単価'!L7)</ns0:f>
        <ns0:v>192781.06723561944</ns0:v>
      </ns0:c>
      <ns0:c r="M566" s="16">
        <ns0:f>IF(('前提と出典'!$C$36+'前提と出典'!$C$38)=0,0,IF(B566&lt;=10,'前提と出典'!B73+'前提と出典'!C73,IF(B566&lt;=100,'前提と出典'!B74+'前提と出典'!C74,IF(B566&lt;=500,'前提と出典'!B75+'前提と出典'!C75,'前提と出典'!B76+'前提と出典'!C76))))</ns0:f>
        <ns0:v>40000</ns0:v>
      </ns0:c>
      <ns0:c r="N566" s="16">
        <ns0:f>IF(('前提と出典'!$C$37+'前提と出典'!$C$38)=0,0,IF(C566&lt;=10,'前提と出典'!D73+'前提と出典'!E73,IF(C566&lt;=100,'前提と出典'!D74+'前提と出典'!E74,IF(C566&lt;=500,'前提と出典'!D75+'前提と出典'!E75,'前提と出典'!D76+'前提と出典'!E76))))</ns0:f>
        <ns0:v>56510.9346263078</ns0:v>
      </ns0:c>
      <ns0:c r="O566" s="16">
        <ns0:f>IF('前提と出典'!$C$36+'前提と出典'!$C$38=0,0,'前提と出典'!$B$4*IF('前提と出典'!$B$20=0,MAX('前提と出典'!$B$6,D566*'前提と出典'!$B$5),'前提と出典'!$B$6+D566*'前提と出典'!$B$5))</ns0:f>
        <ns0:v>558056.5810055867</ns0:v>
      </ns0:c>
      <ns0:c r="P566" s="16">
        <ns0:f>(E566+G566)*(1-'前提と出典'!$B$7)-I566-K566-M566-O566</ns0:f>
        <ns0:v>1268138.756378897</ns0:v>
      </ns0:c>
      <ns0:c r="Q566" s="16">
        <ns0:f>(F566+H566)*(1-'前提と出典'!$B$7)-J566-L566-N566</ns0:f>
        <ns0:v>481141.10927527637</ns0:v>
      </ns0:c>
      <ns0:c r="R566" s="16">
        <ns0:f>P566-E566*'前提と出典'!$E$4</ns0:f>
        <ns0:v>941907.0872538203</ns0:v>
      </ns0:c>
      <ns0:c r="S566" s="16">
        <ns0:f>Q566-F566*'前提と出典'!$E$4</ns0:f>
        <ns0:v>353107.0313971812</ns0:v>
      </ns0:c>
      <ns0:c r="T566" s="7">
        <ns0:f>R566+S566</ns0:f>
        <ns0:v>1295014.1186510015</ns0:v>
      </ns0:c>
      <ns0:c r="U566" s="16">
        <ns0:f>P566-E566*'前提と出典'!$E$5</ns0:f>
        <ns0:v>833163.1975454612</ns0:v>
      </ns0:c>
      <ns0:c r="V566" s="16">
        <ns0:f>Q566-F566*'前提と出典'!$E$5</ns0:f>
        <ns0:v>310429.0054378159</ns0:v>
      </ns0:c>
      <ns0:c r="W566" s="7">
        <ns0:f>U566+V566</ns0:f>
        <ns0:v>1143592.2029832772</ns0:v>
      </ns0:c>
      <ns0:c r="X566" s="16">
        <ns0:f>P566-E566*'前提と出典'!$E$6</ns0:f>
        <ns0:v>724419.3078371022</ns0:v>
      </ns0:c>
      <ns0:c r="Y566" s="16">
        <ns0:f>Q566-F566*'前提と出典'!$E$6</ns0:f>
        <ns0:v>267750.97947845084</ns0:v>
      </ns0:c>
      <ns0:c r="Z566" s="7">
        <ns0:f>X566+Y566</ns0:f>
        <ns0:v>992170.287315553</ns0:v>
      </ns0:c>
      <ns0:c r="AA566" s="7">
        <ns0:f>IF(T566&gt;=0,A566,1001)</ns0:f>
        <ns0:v>562</ns0:v>
      </ns0:c>
      <ns0:c r="AB566" s="7">
        <ns0:f>IF(T566&lt;0,A566,0)</ns0:f>
        <ns0:v>0</ns0:v>
      </ns0:c>
      <ns0:c r="AC566" s="16">
        <ns0:f>IF(AND(OR('前提と出典'!$C$36+'前提と出典'!$C$38=0,R566&gt;=0),OR('前提と出典'!$C$37+'前提と出典'!$C$38=0,S566&gt;=0)),0,A566)</ns0:f>
        <ns0:v>0</ns0:v>
      </ns0:c>
      <ns0:c r="AD566" s="7">
        <ns0:f>IF(W566&gt;=0,A566,1001)</ns0:f>
        <ns0:v>562</ns0:v>
      </ns0:c>
      <ns0:c r="AE566" s="7">
        <ns0:f>IF(W566&lt;0,A566,0)</ns0:f>
        <ns0:v>0</ns0:v>
      </ns0:c>
      <ns0:c r="AF566" s="16">
        <ns0:f>IF(AND(OR('前提と出典'!$C$36+'前提と出典'!$C$38=0,U566&gt;=0),OR('前提と出典'!$C$37+'前提と出典'!$C$38=0,V566&gt;=0)),0,A566)</ns0:f>
        <ns0:v>0</ns0:v>
      </ns0:c>
      <ns0:c r="AG566" s="7">
        <ns0:f>IF(Z566&gt;=0,A566,1001)</ns0:f>
        <ns0:v>562</ns0:v>
      </ns0:c>
      <ns0:c r="AH566" s="4">
        <ns0:f>IF(Z566&lt;0,A566,0)</ns0:f>
        <ns0:v>0</ns0:v>
      </ns0:c>
      <ns0:c r="AI566" s="12">
        <ns0:f>IF(AND(OR('前提と出典'!$C$36+'前提と出典'!$C$38=0,X566&gt;=0),OR('前提と出典'!$C$37+'前提と出典'!$C$38=0,Y566&gt;=0)),0,A566)</ns0:f>
        <ns0:v>0</ns0:v>
      </ns0:c>
    </ns0:row>
    <ns0:row r="567" ht="24" customHeight="1">
      <ns0:c r="A567" s="4" t="n">
        <ns0:v>563</ns0:v>
      </ns0:c>
      <ns0:c r="B567" s="12">
        <ns0:f>A567*('前提と出典'!$C$36+'前提と出典'!$C$38)</ns0:f>
        <ns0:v>394.09999999999997</ns0:v>
      </ns0:c>
      <ns0:c r="C567" s="12">
        <ns0:f>A567*('前提と出典'!$C$37+'前提と出典'!$C$38)</ns0:f>
        <ns0:v>337.8</ns0:v>
      </ns0:c>
      <ns0:c r="D567" s="16">
        <ns0:f>A567*('前提と出典'!$C$36*'契約別単価'!C5+'前提と出典'!$C$37*'契約別単価'!C6+'前提と出典'!$C$38*'契約別単価'!C7)</ns0:f>
        <ns0:v>4051.0837988826815</ns0:v>
      </ns0:c>
      <ns0:c r="E567" s="16">
        <ns0:f>A567*('前提と出典'!$C$36*'契約別単価'!E5+'前提と出典'!$C$37*'契約別単価'!E6+'前提と出典'!$C$38*'契約別単価'!E7)</ns0:f>
        <ns0:v>1089373.841740322</ns0:v>
      </ns0:c>
      <ns0:c r="F567" s="16">
        <ns0:f>A567*('前提と出典'!$C$36*'契約別単価'!F5+'前提と出典'!$C$37*'契約別単価'!F6+'前提と出典'!$C$38*'契約別単価'!F7)</ns0:f>
        <ns0:v>427539.6550733551</ns0:v>
      </ns0:c>
      <ns0:c r="G567" s="16">
        <ns0:f>A567*('前提と出典'!$C$36*'契約別単価'!G5+'前提と出典'!$C$37*'契約別単価'!G6+'前提と出典'!$C$38*'契約別単価'!G7)</ns0:f>
        <ns0:v>1120653.0726256983</ns0:v>
      </ns0:c>
      <ns0:c r="H567" s="16">
        <ns0:f>A567*('前提と出典'!$C$36*'契約別単価'!H5+'前提と出典'!$C$37*'契約別単価'!H6+'前提と出典'!$C$38*'契約別単価'!H7)</ns0:f>
        <ns0:v>388922.82136941684</ns0:v>
      </ns0:c>
      <ns0:c r="I567" s="16">
        <ns0:f>A567*('前提と出典'!$C$36*'契約別単価'!I5+'前提と出典'!$C$37*'契約別単価'!I6+'前提と出典'!$C$38*'契約別単価'!I7)</ns0:f>
        <ns0:v>23756.08379888268</ns0:v>
      </ns0:c>
      <ns0:c r="J567" s="16">
        <ns0:f>A567*('前提と出典'!$C$36*'契約別単価'!J5+'前提と出典'!$C$37*'契約別単価'!J6+'前提と出典'!$C$38*'契約別単価'!J7)</ns0:f>
        <ns0:v>55337.01310890035</ns0:v>
      </ns0:c>
      <ns0:c r="K567" s="16">
        <ns0:f>A567*('前提と出典'!$C$36*'契約別単価'!K5+'前提と出典'!$C$37*'契約別単価'!K6+'前提と出典'!$C$38*'契約別単価'!K7)</ns0:f>
        <ns0:v>237193.8919925512</ns0:v>
      </ns0:c>
      <ns0:c r="L567" s="16">
        <ns0:f>A567*('前提と出典'!$C$36*'契約別単価'!L5+'前提と出典'!$C$37*'契約別単価'!L6+'前提と出典'!$C$38*'契約別単価'!L7)</ns0:f>
        <ns0:v>193124.09404564722</ns0:v>
      </ns0:c>
      <ns0:c r="M567" s="16">
        <ns0:f>IF(('前提と出典'!$C$36+'前提と出典'!$C$38)=0,0,IF(B567&lt;=10,'前提と出典'!B73+'前提と出典'!C73,IF(B567&lt;=100,'前提と出典'!B74+'前提と出典'!C74,IF(B567&lt;=500,'前提と出典'!B75+'前提と出典'!C75,'前提と出典'!B76+'前提と出典'!C76))))</ns0:f>
        <ns0:v>40000</ns0:v>
      </ns0:c>
      <ns0:c r="N567" s="16">
        <ns0:f>IF(('前提と出典'!$C$37+'前提と出典'!$C$38)=0,0,IF(C567&lt;=10,'前提と出典'!D73+'前提と出典'!E73,IF(C567&lt;=100,'前提と出典'!D74+'前提と出典'!E74,IF(C567&lt;=500,'前提と出典'!D75+'前提と出典'!E75,'前提と出典'!D76+'前提と出典'!E76))))</ns0:f>
        <ns0:v>56510.9346263078</ns0:v>
      </ns0:c>
      <ns0:c r="O567" s="16">
        <ns0:f>IF('前提と出典'!$C$36+'前提と出典'!$C$38=0,0,'前提と出典'!$B$4*IF('前提と出典'!$B$20=0,MAX('前提と出典'!$B$6,D567*'前提と出典'!$B$5),'前提と出典'!$B$6+D567*'前提と出典'!$B$5))</ns0:f>
        <ns0:v>559049.5642458102</ns0:v>
      </ns0:c>
      <ns0:c r="P567" s="16">
        <ns0:f>(E567+G567)*(1-'前提と出典'!$B$7)-I567-K567-M567-O567</ns0:f>
        <ns0:v>1270466.4054115994</ns0:v>
      </ns0:c>
      <ns0:c r="Q567" s="16">
        <ns0:f>(F567+H567)*(1-'前提と出典'!$B$7)-J567-L567-N567</ns0:f>
        <ns0:v>482097.7855099768</ns0:v>
      </ns0:c>
      <ns0:c r="R567" s="16">
        <ns0:f>P567-E567*'前提と出典'!$E$4</ns0:f>
        <ns0:v>943654.2528895027</ns0:v>
      </ns0:c>
      <ns0:c r="S567" s="16">
        <ns0:f>Q567-F567*'前提と出典'!$E$4</ns0:f>
        <ns0:v>353835.8889879703</ns0:v>
      </ns0:c>
      <ns0:c r="T567" s="7">
        <ns0:f>R567+S567</ns0:f>
        <ns0:v>1297490.1418774729</ns0:v>
      </ns0:c>
      <ns0:c r="U567" s="16">
        <ns0:f>P567-E567*'前提と出典'!$E$5</ns0:f>
        <ns0:v>834716.8687154705</ns0:v>
      </ns0:c>
      <ns0:c r="V567" s="16">
        <ns0:f>Q567-F567*'前提と出典'!$E$5</ns0:f>
        <ns0:v>311081.9234806347</ns0:v>
      </ns0:c>
      <ns0:c r="W567" s="7">
        <ns0:f>U567+V567</ns0:f>
        <ns0:v>1145798.7921961052</ns0:v>
      </ns0:c>
      <ns0:c r="X567" s="16">
        <ns0:f>P567-E567*'前提と出典'!$E$6</ns0:f>
        <ns0:v>725779.4845414382</ns0:v>
      </ns0:c>
      <ns0:c r="Y567" s="16">
        <ns0:f>Q567-F567*'前提と出典'!$E$6</ns0:f>
        <ns0:v>268327.9579732992</ns0:v>
      </ns0:c>
      <ns0:c r="Z567" s="7">
        <ns0:f>X567+Y567</ns0:f>
        <ns0:v>994107.4425147374</ns0:v>
      </ns0:c>
      <ns0:c r="AA567" s="7">
        <ns0:f>IF(T567&gt;=0,A567,1001)</ns0:f>
        <ns0:v>563</ns0:v>
      </ns0:c>
      <ns0:c r="AB567" s="7">
        <ns0:f>IF(T567&lt;0,A567,0)</ns0:f>
        <ns0:v>0</ns0:v>
      </ns0:c>
      <ns0:c r="AC567" s="16">
        <ns0:f>IF(AND(OR('前提と出典'!$C$36+'前提と出典'!$C$38=0,R567&gt;=0),OR('前提と出典'!$C$37+'前提と出典'!$C$38=0,S567&gt;=0)),0,A567)</ns0:f>
        <ns0:v>0</ns0:v>
      </ns0:c>
      <ns0:c r="AD567" s="7">
        <ns0:f>IF(W567&gt;=0,A567,1001)</ns0:f>
        <ns0:v>563</ns0:v>
      </ns0:c>
      <ns0:c r="AE567" s="7">
        <ns0:f>IF(W567&lt;0,A567,0)</ns0:f>
        <ns0:v>0</ns0:v>
      </ns0:c>
      <ns0:c r="AF567" s="16">
        <ns0:f>IF(AND(OR('前提と出典'!$C$36+'前提と出典'!$C$38=0,U567&gt;=0),OR('前提と出典'!$C$37+'前提と出典'!$C$38=0,V567&gt;=0)),0,A567)</ns0:f>
        <ns0:v>0</ns0:v>
      </ns0:c>
      <ns0:c r="AG567" s="7">
        <ns0:f>IF(Z567&gt;=0,A567,1001)</ns0:f>
        <ns0:v>563</ns0:v>
      </ns0:c>
      <ns0:c r="AH567" s="4">
        <ns0:f>IF(Z567&lt;0,A567,0)</ns0:f>
        <ns0:v>0</ns0:v>
      </ns0:c>
      <ns0:c r="AI567" s="12">
        <ns0:f>IF(AND(OR('前提と出典'!$C$36+'前提と出典'!$C$38=0,X567&gt;=0),OR('前提と出典'!$C$37+'前提と出典'!$C$38=0,Y567&gt;=0)),0,A567)</ns0:f>
        <ns0:v>0</ns0:v>
      </ns0:c>
    </ns0:row>
    <ns0:row r="568" ht="24" customHeight="1">
      <ns0:c r="A568" s="4" t="n">
        <ns0:v>564</ns0:v>
      </ns0:c>
      <ns0:c r="B568" s="12">
        <ns0:f>A568*('前提と出典'!$C$36+'前提と出典'!$C$38)</ns0:f>
        <ns0:v>394.79999999999995</ns0:v>
      </ns0:c>
      <ns0:c r="C568" s="12">
        <ns0:f>A568*('前提と出典'!$C$37+'前提と出典'!$C$38)</ns0:f>
        <ns0:v>338.4</ns0:v>
      </ns0:c>
      <ns0:c r="D568" s="16">
        <ns0:f>A568*('前提と出典'!$C$36*'契約別単価'!C5+'前提と出典'!$C$37*'契約別単価'!C6+'前提と出典'!$C$38*'契約別単価'!C7)</ns0:f>
        <ns0:v>4058.2793296089385</ns0:v>
      </ns0:c>
      <ns0:c r="E568" s="16">
        <ns0:f>A568*('前提と出典'!$C$36*'契約別単価'!E5+'前提と出典'!$C$37*'契約別単価'!E6+'前提と出典'!$C$38*'契約別単価'!E7)</ns0:f>
        <ns0:v>1091308.7863970543</ns0:v>
      </ns0:c>
      <ns0:c r="F568" s="16">
        <ns0:f>A568*('前提と出典'!$C$36*'契約別単価'!F5+'前提と出典'!$C$37*'契約別単価'!F6+'前提と出典'!$C$38*'契約別単価'!F7)</ns0:f>
        <ns0:v>428299.05055305915</ns0:v>
      </ns0:c>
      <ns0:c r="G568" s="16">
        <ns0:f>A568*('前提と出典'!$C$36*'契約別単価'!G5+'前提と出典'!$C$37*'契約別単価'!G6+'前提と出典'!$C$38*'契約別単価'!G7)</ns0:f>
        <ns0:v>1122643.5754189943</ns0:v>
      </ns0:c>
      <ns0:c r="H568" s="16">
        <ns0:f>A568*('前提と出典'!$C$36*'契約別単価'!H5+'前提と出典'!$C$37*'契約別単価'!H6+'前提と出典'!$C$38*'契約別単価'!H7)</ns0:f>
        <ns0:v>389613.6256702506</ns0:v>
      </ns0:c>
      <ns0:c r="I568" s="16">
        <ns0:f>A568*('前提と出典'!$C$36*'契約別単価'!I5+'前提と出典'!$C$37*'契約別単価'!I6+'前提と出典'!$C$38*'契約別単価'!I7)</ns0:f>
        <ns0:v>23798.279329608933</ns0:v>
      </ns0:c>
      <ns0:c r="J568" s="16">
        <ns0:f>A568*('前提と出典'!$C$36*'契約別単価'!J5+'前提と出典'!$C$37*'契約別単価'!J6+'前提と出典'!$C$38*'契約別単価'!J7)</ns0:f>
        <ns0:v>55435.30265261065</ns0:v>
      </ns0:c>
      <ns0:c r="K568" s="16">
        <ns0:f>A568*('前提と出典'!$C$36*'契約別単価'!K5+'前提と出典'!$C$37*'契約別単価'!K6+'前提と出典'!$C$38*'契約別単価'!K7)</ns0:f>
        <ns0:v>237615.19553072625</ns0:v>
      </ns0:c>
      <ns0:c r="L568" s="16">
        <ns0:f>A568*('前提と出典'!$C$36*'契約別単価'!L5+'前提と出典'!$C$37*'契約別単価'!L6+'前提と出典'!$C$38*'契約別単価'!L7)</ns0:f>
        <ns0:v>193467.12085567502</ns0:v>
      </ns0:c>
      <ns0:c r="M568" s="16">
        <ns0:f>IF(('前提と出典'!$C$36+'前提と出典'!$C$38)=0,0,IF(B568&lt;=10,'前提と出典'!B73+'前提と出典'!C73,IF(B568&lt;=100,'前提と出典'!B74+'前提と出典'!C74,IF(B568&lt;=500,'前提と出典'!B75+'前提と出典'!C75,'前提と出典'!B76+'前提と出典'!C76))))</ns0:f>
        <ns0:v>40000</ns0:v>
      </ns0:c>
      <ns0:c r="N568" s="16">
        <ns0:f>IF(('前提と出典'!$C$37+'前提と出典'!$C$38)=0,0,IF(C568&lt;=10,'前提と出典'!D73+'前提と出典'!E73,IF(C568&lt;=100,'前提と出典'!D74+'前提と出典'!E74,IF(C568&lt;=500,'前提と出典'!D75+'前提と出典'!E75,'前提と出典'!D76+'前提と出典'!E76))))</ns0:f>
        <ns0:v>56510.9346263078</ns0:v>
      </ns0:c>
      <ns0:c r="O568" s="16">
        <ns0:f>IF('前提と出典'!$C$36+'前提と出典'!$C$38=0,0,'前提と出典'!$B$4*IF('前提と出典'!$B$20=0,MAX('前提と出典'!$B$6,D568*'前提と出典'!$B$5),'前提と出典'!$B$6+D568*'前提と出典'!$B$5))</ns0:f>
        <ns0:v>560042.5474860335</ns0:v>
      </ns0:c>
      <ns0:c r="P568" s="16">
        <ns0:f>(E568+G568)*(1-'前提と出典'!$B$7)-I568-K568-M568-O568</ns0:f>
        <ns0:v>1272794.054444302</ns0:v>
      </ns0:c>
      <ns0:c r="Q568" s="16">
        <ns0:f>(F568+H568)*(1-'前提と出典'!$B$7)-J568-L568-N568</ns0:f>
        <ns0:v>483054.461744677</ns0:v>
      </ns0:c>
      <ns0:c r="R568" s="16">
        <ns0:f>P568-E568*'前提と出典'!$E$4</ns0:f>
        <ns0:v>945401.4185251859</ns0:v>
      </ns0:c>
      <ns0:c r="S568" s="16">
        <ns0:f>Q568-F568*'前提と出典'!$E$4</ns0:f>
        <ns0:v>354564.7465787592</ns0:v>
      </ns0:c>
      <ns0:c r="T568" s="7">
        <ns0:f>R568+S568</ns0:f>
        <ns0:v>1299966.1651039452</ns0:v>
      </ns0:c>
      <ns0:c r="U568" s="16">
        <ns0:f>P568-E568*'前提と出典'!$E$5</ns0:f>
        <ns0:v>836270.5398854804</ns0:v>
      </ns0:c>
      <ns0:c r="V568" s="16">
        <ns0:f>Q568-F568*'前提と出典'!$E$5</ns0:f>
        <ns0:v>311734.8415234533</ns0:v>
      </ns0:c>
      <ns0:c r="W568" s="7">
        <ns0:f>U568+V568</ns0:f>
        <ns0:v>1148005.3814089338</ns0:v>
      </ns0:c>
      <ns0:c r="X568" s="16">
        <ns0:f>P568-E568*'前提と出典'!$E$6</ns0:f>
        <ns0:v>727139.661245775</ns0:v>
      </ns0:c>
      <ns0:c r="Y568" s="16">
        <ns0:f>Q568-F568*'前提と出典'!$E$6</ns0:f>
        <ns0:v>268904.93646814744</ns0:v>
      </ns0:c>
      <ns0:c r="Z568" s="7">
        <ns0:f>X568+Y568</ns0:f>
        <ns0:v>996044.5977139224</ns0:v>
      </ns0:c>
      <ns0:c r="AA568" s="7">
        <ns0:f>IF(T568&gt;=0,A568,1001)</ns0:f>
        <ns0:v>564</ns0:v>
      </ns0:c>
      <ns0:c r="AB568" s="7">
        <ns0:f>IF(T568&lt;0,A568,0)</ns0:f>
        <ns0:v>0</ns0:v>
      </ns0:c>
      <ns0:c r="AC568" s="16">
        <ns0:f>IF(AND(OR('前提と出典'!$C$36+'前提と出典'!$C$38=0,R568&gt;=0),OR('前提と出典'!$C$37+'前提と出典'!$C$38=0,S568&gt;=0)),0,A568)</ns0:f>
        <ns0:v>0</ns0:v>
      </ns0:c>
      <ns0:c r="AD568" s="7">
        <ns0:f>IF(W568&gt;=0,A568,1001)</ns0:f>
        <ns0:v>564</ns0:v>
      </ns0:c>
      <ns0:c r="AE568" s="7">
        <ns0:f>IF(W568&lt;0,A568,0)</ns0:f>
        <ns0:v>0</ns0:v>
      </ns0:c>
      <ns0:c r="AF568" s="16">
        <ns0:f>IF(AND(OR('前提と出典'!$C$36+'前提と出典'!$C$38=0,U568&gt;=0),OR('前提と出典'!$C$37+'前提と出典'!$C$38=0,V568&gt;=0)),0,A568)</ns0:f>
        <ns0:v>0</ns0:v>
      </ns0:c>
      <ns0:c r="AG568" s="7">
        <ns0:f>IF(Z568&gt;=0,A568,1001)</ns0:f>
        <ns0:v>564</ns0:v>
      </ns0:c>
      <ns0:c r="AH568" s="4">
        <ns0:f>IF(Z568&lt;0,A568,0)</ns0:f>
        <ns0:v>0</ns0:v>
      </ns0:c>
      <ns0:c r="AI568" s="12">
        <ns0:f>IF(AND(OR('前提と出典'!$C$36+'前提と出典'!$C$38=0,X568&gt;=0),OR('前提と出典'!$C$37+'前提と出典'!$C$38=0,Y568&gt;=0)),0,A568)</ns0:f>
        <ns0:v>0</ns0:v>
      </ns0:c>
    </ns0:row>
    <ns0:row r="569" ht="24" customHeight="1">
      <ns0:c r="A569" s="4" t="n">
        <ns0:v>565</ns0:v>
      </ns0:c>
      <ns0:c r="B569" s="12">
        <ns0:f>A569*('前提と出典'!$C$36+'前提と出典'!$C$38)</ns0:f>
        <ns0:v>395.5</ns0:v>
      </ns0:c>
      <ns0:c r="C569" s="12">
        <ns0:f>A569*('前提と出典'!$C$37+'前提と出典'!$C$38)</ns0:f>
        <ns0:v>339</ns0:v>
      </ns0:c>
      <ns0:c r="D569" s="16">
        <ns0:f>A569*('前提と出典'!$C$36*'契約別単価'!C5+'前提と出典'!$C$37*'契約別単価'!C6+'前提と出典'!$C$38*'契約別単価'!C7)</ns0:f>
        <ns0:v>4065.4748603351954</ns0:v>
      </ns0:c>
      <ns0:c r="E569" s="16">
        <ns0:f>A569*('前提と出典'!$C$36*'契約別単価'!E5+'前提と出典'!$C$37*'契約別単価'!E6+'前提と出典'!$C$38*'契約別単価'!E7)</ns0:f>
        <ns0:v>1093243.7310537868</ns0:v>
      </ns0:c>
      <ns0:c r="F569" s="16">
        <ns0:f>A569*('前提と出典'!$C$36*'契約別単価'!F5+'前提と出典'!$C$37*'契約別単価'!F6+'前提と出典'!$C$38*'契約別単価'!F7)</ns0:f>
        <ns0:v>429058.4460327631</ns0:v>
      </ns0:c>
      <ns0:c r="G569" s="16">
        <ns0:f>A569*('前提と出典'!$C$36*'契約別単価'!G5+'前提と出典'!$C$37*'契約別単価'!G6+'前提と出典'!$C$38*'契約別単価'!G7)</ns0:f>
        <ns0:v>1124634.0782122905</ns0:v>
      </ns0:c>
      <ns0:c r="H569" s="16">
        <ns0:f>A569*('前提と出典'!$C$36*'契約別単価'!H5+'前提と出典'!$C$37*'契約別単価'!H6+'前提と出典'!$C$38*'契約別単価'!H7)</ns0:f>
        <ns0:v>390304.4299710844</ns0:v>
      </ns0:c>
      <ns0:c r="I569" s="16">
        <ns0:f>A569*('前提と出典'!$C$36*'契約別単価'!I5+'前提と出典'!$C$37*'契約別単価'!I6+'前提と出典'!$C$38*'契約別単価'!I7)</ns0:f>
        <ns0:v>23840.47486033519</ns0:v>
      </ns0:c>
      <ns0:c r="J569" s="16">
        <ns0:f>A569*('前提と出典'!$C$36*'契約別単価'!J5+'前提と出典'!$C$37*'契約別単価'!J6+'前提と出典'!$C$38*'契約別単価'!J7)</ns0:f>
        <ns0:v>55533.59219632095</ns0:v>
      </ns0:c>
      <ns0:c r="K569" s="16">
        <ns0:f>A569*('前提と出典'!$C$36*'契約別単価'!K5+'前提と出典'!$C$37*'契約別単価'!K6+'前提と出典'!$C$38*'契約別単価'!K7)</ns0:f>
        <ns0:v>238036.4990689013</ns0:v>
      </ns0:c>
      <ns0:c r="L569" s="16">
        <ns0:f>A569*('前提と出典'!$C$36*'契約別単価'!L5+'前提と出典'!$C$37*'契約別単価'!L6+'前提と出典'!$C$38*'契約別単価'!L7)</ns0:f>
        <ns0:v>193810.1476657028</ns0:v>
      </ns0:c>
      <ns0:c r="M569" s="16">
        <ns0:f>IF(('前提と出典'!$C$36+'前提と出典'!$C$38)=0,0,IF(B569&lt;=10,'前提と出典'!B73+'前提と出典'!C73,IF(B569&lt;=100,'前提と出典'!B74+'前提と出典'!C74,IF(B569&lt;=500,'前提と出典'!B75+'前提と出典'!C75,'前提と出典'!B76+'前提と出典'!C76))))</ns0:f>
        <ns0:v>40000</ns0:v>
      </ns0:c>
      <ns0:c r="N569" s="16">
        <ns0:f>IF(('前提と出典'!$C$37+'前提と出典'!$C$38)=0,0,IF(C569&lt;=10,'前提と出典'!D73+'前提と出典'!E73,IF(C569&lt;=100,'前提と出典'!D74+'前提と出典'!E74,IF(C569&lt;=500,'前提と出典'!D75+'前提と出典'!E75,'前提と出典'!D76+'前提と出典'!E76))))</ns0:f>
        <ns0:v>56510.9346263078</ns0:v>
      </ns0:c>
      <ns0:c r="O569" s="16">
        <ns0:f>IF('前提と出典'!$C$36+'前提と出典'!$C$38=0,0,'前提と出典'!$B$4*IF('前提と出典'!$B$20=0,MAX('前提と出典'!$B$6,D569*'前提と出典'!$B$5),'前提と出典'!$B$6+D569*'前提と出典'!$B$5))</ns0:f>
        <ns0:v>561035.530726257</ns0:v>
      </ns0:c>
      <ns0:c r="P569" s="16">
        <ns0:f>(E569+G569)*(1-'前提と出典'!$B$7)-I569-K569-M569-O569</ns0:f>
        <ns0:v>1275121.7034770052</ns0:v>
      </ns0:c>
      <ns0:c r="Q569" s="16">
        <ns0:f>(F569+H569)*(1-'前提と出典'!$B$7)-J569-L569-N569</ns0:f>
        <ns0:v>484011.13797937735</ns0:v>
      </ns0:c>
      <ns0:c r="R569" s="16">
        <ns0:f>P569-E569*'前提と出典'!$E$4</ns0:f>
        <ns0:v>947148.5841608692</ns0:v>
      </ns0:c>
      <ns0:c r="S569" s="16">
        <ns0:f>Q569-F569*'前提と出典'!$E$4</ns0:f>
        <ns0:v>355293.60416954843</ns0:v>
      </ns0:c>
      <ns0:c r="T569" s="7">
        <ns0:f>R569+S569</ns0:f>
        <ns0:v>1302442.1883304177</ns0:v>
      </ns0:c>
      <ns0:c r="U569" s="16">
        <ns0:f>P569-E569*'前提と出典'!$E$5</ns0:f>
        <ns0:v>837824.2110554904</ns0:v>
      </ns0:c>
      <ns0:c r="V569" s="16">
        <ns0:f>Q569-F569*'前提と出典'!$E$5</ns0:f>
        <ns0:v>312387.7595662721</ns0:v>
      </ns0:c>
      <ns0:c r="W569" s="7">
        <ns0:f>U569+V569</ns0:f>
        <ns0:v>1150211.9706217626</ns0:v>
      </ns0:c>
      <ns0:c r="X569" s="16">
        <ns0:f>P569-E569*'前提と出典'!$E$6</ns0:f>
        <ns0:v>728499.8379501116</ns0:v>
      </ns0:c>
      <ns0:c r="Y569" s="16">
        <ns0:f>Q569-F569*'前提と出典'!$E$6</ns0:f>
        <ns0:v>269481.9149629959</ns0:v>
      </ns0:c>
      <ns0:c r="Z569" s="7">
        <ns0:f>X569+Y569</ns0:f>
        <ns0:v>997981.7529131075</ns0:v>
      </ns0:c>
      <ns0:c r="AA569" s="7">
        <ns0:f>IF(T569&gt;=0,A569,1001)</ns0:f>
        <ns0:v>565</ns0:v>
      </ns0:c>
      <ns0:c r="AB569" s="7">
        <ns0:f>IF(T569&lt;0,A569,0)</ns0:f>
        <ns0:v>0</ns0:v>
      </ns0:c>
      <ns0:c r="AC569" s="16">
        <ns0:f>IF(AND(OR('前提と出典'!$C$36+'前提と出典'!$C$38=0,R569&gt;=0),OR('前提と出典'!$C$37+'前提と出典'!$C$38=0,S569&gt;=0)),0,A569)</ns0:f>
        <ns0:v>0</ns0:v>
      </ns0:c>
      <ns0:c r="AD569" s="7">
        <ns0:f>IF(W569&gt;=0,A569,1001)</ns0:f>
        <ns0:v>565</ns0:v>
      </ns0:c>
      <ns0:c r="AE569" s="7">
        <ns0:f>IF(W569&lt;0,A569,0)</ns0:f>
        <ns0:v>0</ns0:v>
      </ns0:c>
      <ns0:c r="AF569" s="16">
        <ns0:f>IF(AND(OR('前提と出典'!$C$36+'前提と出典'!$C$38=0,U569&gt;=0),OR('前提と出典'!$C$37+'前提と出典'!$C$38=0,V569&gt;=0)),0,A569)</ns0:f>
        <ns0:v>0</ns0:v>
      </ns0:c>
      <ns0:c r="AG569" s="7">
        <ns0:f>IF(Z569&gt;=0,A569,1001)</ns0:f>
        <ns0:v>565</ns0:v>
      </ns0:c>
      <ns0:c r="AH569" s="4">
        <ns0:f>IF(Z569&lt;0,A569,0)</ns0:f>
        <ns0:v>0</ns0:v>
      </ns0:c>
      <ns0:c r="AI569" s="12">
        <ns0:f>IF(AND(OR('前提と出典'!$C$36+'前提と出典'!$C$38=0,X569&gt;=0),OR('前提と出典'!$C$37+'前提と出典'!$C$38=0,Y569&gt;=0)),0,A569)</ns0:f>
        <ns0:v>0</ns0:v>
      </ns0:c>
    </ns0:row>
    <ns0:row r="570" ht="24" customHeight="1">
      <ns0:c r="A570" s="4" t="n">
        <ns0:v>566</ns0:v>
      </ns0:c>
      <ns0:c r="B570" s="12">
        <ns0:f>A570*('前提と出典'!$C$36+'前提と出典'!$C$38)</ns0:f>
        <ns0:v>396.2</ns0:v>
      </ns0:c>
      <ns0:c r="C570" s="12">
        <ns0:f>A570*('前提と出典'!$C$37+'前提と出典'!$C$38)</ns0:f>
        <ns0:v>339.59999999999997</ns0:v>
      </ns0:c>
      <ns0:c r="D570" s="16">
        <ns0:f>A570*('前提と出典'!$C$36*'契約別単価'!C5+'前提と出典'!$C$37*'契約別単価'!C6+'前提と出典'!$C$38*'契約別単価'!C7)</ns0:f>
        <ns0:v>4072.6703910614524</ns0:v>
      </ns0:c>
      <ns0:c r="E570" s="16">
        <ns0:f>A570*('前提と出典'!$C$36*'契約別単価'!E5+'前提と出典'!$C$37*'契約別単価'!E6+'前提と出典'!$C$38*'契約別単価'!E7)</ns0:f>
        <ns0:v>1095178.675710519</ns0:v>
      </ns0:c>
      <ns0:c r="F570" s="16">
        <ns0:f>A570*('前提と出典'!$C$36*'契約別単価'!F5+'前提と出典'!$C$37*'契約別単価'!F6+'前提と出典'!$C$38*'契約別単価'!F7)</ns0:f>
        <ns0:v>429817.84151246713</ns0:v>
      </ns0:c>
      <ns0:c r="G570" s="16">
        <ns0:f>A570*('前提と出典'!$C$36*'契約別単価'!G5+'前提と出典'!$C$37*'契約別単価'!G6+'前提と出典'!$C$38*'契約別単価'!G7)</ns0:f>
        <ns0:v>1126624.5810055865</ns0:v>
      </ns0:c>
      <ns0:c r="H570" s="16">
        <ns0:f>A570*('前提と出典'!$C$36*'契約別単価'!H5+'前提と出典'!$C$37*'契約別単価'!H6+'前提と出典'!$C$38*'契約別単価'!H7)</ns0:f>
        <ns0:v>390995.2342719182</ns0:v>
      </ns0:c>
      <ns0:c r="I570" s="16">
        <ns0:f>A570*('前提と出典'!$C$36*'契約別単価'!I5+'前提と出典'!$C$37*'契約別単価'!I6+'前提と出典'!$C$38*'契約別単価'!I7)</ns0:f>
        <ns0:v>23882.67039106145</ns0:v>
      </ns0:c>
      <ns0:c r="J570" s="16">
        <ns0:f>A570*('前提と出典'!$C$36*'契約別単価'!J5+'前提と出典'!$C$37*'契約別単価'!J6+'前提と出典'!$C$38*'契約別単価'!J7)</ns0:f>
        <ns0:v>55631.881740031255</ns0:v>
      </ns0:c>
      <ns0:c r="K570" s="16">
        <ns0:f>A570*('前提と出典'!$C$36*'契約別単価'!K5+'前提と出典'!$C$37*'契約別単価'!K6+'前提と出典'!$C$38*'契約別単価'!K7)</ns0:f>
        <ns0:v>238457.80260707633</ns0:v>
      </ns0:c>
      <ns0:c r="L570" s="16">
        <ns0:f>A570*('前提と出典'!$C$36*'契約別単価'!L5+'前提と出典'!$C$37*'契約別単価'!L6+'前提と出典'!$C$38*'契約別単価'!L7)</ns0:f>
        <ns0:v>194153.1744757306</ns0:v>
      </ns0:c>
      <ns0:c r="M570" s="16">
        <ns0:f>IF(('前提と出典'!$C$36+'前提と出典'!$C$38)=0,0,IF(B570&lt;=10,'前提と出典'!B73+'前提と出典'!C73,IF(B570&lt;=100,'前提と出典'!B74+'前提と出典'!C74,IF(B570&lt;=500,'前提と出典'!B75+'前提と出典'!C75,'前提と出典'!B76+'前提と出典'!C76))))</ns0:f>
        <ns0:v>40000</ns0:v>
      </ns0:c>
      <ns0:c r="N570" s="16">
        <ns0:f>IF(('前提と出典'!$C$37+'前提と出典'!$C$38)=0,0,IF(C570&lt;=10,'前提と出典'!D73+'前提と出典'!E73,IF(C570&lt;=100,'前提と出典'!D74+'前提と出典'!E74,IF(C570&lt;=500,'前提と出典'!D75+'前提と出典'!E75,'前提と出典'!D76+'前提と出典'!E76))))</ns0:f>
        <ns0:v>56510.9346263078</ns0:v>
      </ns0:c>
      <ns0:c r="O570" s="16">
        <ns0:f>IF('前提と出典'!$C$36+'前提と出典'!$C$38=0,0,'前提と出典'!$B$4*IF('前提と出典'!$B$20=0,MAX('前提と出典'!$B$6,D570*'前提と出典'!$B$5),'前提と出典'!$B$6+D570*'前提と出典'!$B$5))</ns0:f>
        <ns0:v>562028.5139664805</ns0:v>
      </ns0:c>
      <ns0:c r="P570" s="16">
        <ns0:f>(E570+G570)*(1-'前提と出典'!$B$7)-I570-K570-M570-O570</ns0:f>
        <ns0:v>1277449.3525097077</ns0:v>
      </ns0:c>
      <ns0:c r="Q570" s="16">
        <ns0:f>(F570+H570)*(1-'前提と出典'!$B$7)-J570-L570-N570</ns0:f>
        <ns0:v>484967.8142140778</ns0:v>
      </ns0:c>
      <ns0:c r="R570" s="16">
        <ns0:f>P570-E570*'前提と出典'!$E$4</ns0:f>
        <ns0:v>948895.7497965519</ns0:v>
      </ns0:c>
      <ns0:c r="S570" s="16">
        <ns0:f>Q570-F570*'前提と出典'!$E$4</ns0:f>
        <ns0:v>356022.46176033746</ns0:v>
      </ns0:c>
      <ns0:c r="T570" s="7">
        <ns0:f>R570+S570</ns0:f>
        <ns0:v>1304918.2115568893</ns0:v>
      </ns0:c>
      <ns0:c r="U570" s="16">
        <ns0:f>P570-E570*'前提と出典'!$E$5</ns0:f>
        <ns0:v>839377.8822255</ns0:v>
      </ns0:c>
      <ns0:c r="V570" s="16">
        <ns0:f>Q570-F570*'前提と出典'!$E$5</ns0:f>
        <ns0:v>313040.6776090909</ns0:v>
      </ns0:c>
      <ns0:c r="W570" s="7">
        <ns0:f>U570+V570</ns0:f>
        <ns0:v>1152418.5598345909</ns0:v>
      </ns0:c>
      <ns0:c r="X570" s="16">
        <ns0:f>P570-E570*'前提と出典'!$E$6</ns0:f>
        <ns0:v>729860.0146544483</ns0:v>
      </ns0:c>
      <ns0:c r="Y570" s="16">
        <ns0:f>Q570-F570*'前提と出典'!$E$6</ns0:f>
        <ns0:v>270058.8934578443</ns0:v>
      </ns0:c>
      <ns0:c r="Z570" s="7">
        <ns0:f>X570+Y570</ns0:f>
        <ns0:v>999918.9081122925</ns0:v>
      </ns0:c>
      <ns0:c r="AA570" s="7">
        <ns0:f>IF(T570&gt;=0,A570,1001)</ns0:f>
        <ns0:v>566</ns0:v>
      </ns0:c>
      <ns0:c r="AB570" s="7">
        <ns0:f>IF(T570&lt;0,A570,0)</ns0:f>
        <ns0:v>0</ns0:v>
      </ns0:c>
      <ns0:c r="AC570" s="16">
        <ns0:f>IF(AND(OR('前提と出典'!$C$36+'前提と出典'!$C$38=0,R570&gt;=0),OR('前提と出典'!$C$37+'前提と出典'!$C$38=0,S570&gt;=0)),0,A570)</ns0:f>
        <ns0:v>0</ns0:v>
      </ns0:c>
      <ns0:c r="AD570" s="7">
        <ns0:f>IF(W570&gt;=0,A570,1001)</ns0:f>
        <ns0:v>566</ns0:v>
      </ns0:c>
      <ns0:c r="AE570" s="7">
        <ns0:f>IF(W570&lt;0,A570,0)</ns0:f>
        <ns0:v>0</ns0:v>
      </ns0:c>
      <ns0:c r="AF570" s="16">
        <ns0:f>IF(AND(OR('前提と出典'!$C$36+'前提と出典'!$C$38=0,U570&gt;=0),OR('前提と出典'!$C$37+'前提と出典'!$C$38=0,V570&gt;=0)),0,A570)</ns0:f>
        <ns0:v>0</ns0:v>
      </ns0:c>
      <ns0:c r="AG570" s="7">
        <ns0:f>IF(Z570&gt;=0,A570,1001)</ns0:f>
        <ns0:v>566</ns0:v>
      </ns0:c>
      <ns0:c r="AH570" s="4">
        <ns0:f>IF(Z570&lt;0,A570,0)</ns0:f>
        <ns0:v>0</ns0:v>
      </ns0:c>
      <ns0:c r="AI570" s="12">
        <ns0:f>IF(AND(OR('前提と出典'!$C$36+'前提と出典'!$C$38=0,X570&gt;=0),OR('前提と出典'!$C$37+'前提と出典'!$C$38=0,Y570&gt;=0)),0,A570)</ns0:f>
        <ns0:v>0</ns0:v>
      </ns0:c>
    </ns0:row>
    <ns0:row r="571" ht="24" customHeight="1">
      <ns0:c r="A571" s="4" t="n">
        <ns0:v>567</ns0:v>
      </ns0:c>
      <ns0:c r="B571" s="12">
        <ns0:f>A571*('前提と出典'!$C$36+'前提と出典'!$C$38)</ns0:f>
        <ns0:v>396.9</ns0:v>
      </ns0:c>
      <ns0:c r="C571" s="12">
        <ns0:f>A571*('前提と出典'!$C$37+'前提と出典'!$C$38)</ns0:f>
        <ns0:v>340.2</ns0:v>
      </ns0:c>
      <ns0:c r="D571" s="16">
        <ns0:f>A571*('前提と出典'!$C$36*'契約別単価'!C5+'前提と出典'!$C$37*'契約別単価'!C6+'前提と出典'!$C$38*'契約別単価'!C7)</ns0:f>
        <ns0:v>4079.8659217877093</ns0:v>
      </ns0:c>
      <ns0:c r="E571" s="16">
        <ns0:f>A571*('前提と出典'!$C$36*'契約別単価'!E5+'前提と出典'!$C$37*'契約別単価'!E6+'前提と出典'!$C$38*'契約別単価'!E7)</ns0:f>
        <ns0:v>1097113.6203672516</ns0:v>
      </ns0:c>
      <ns0:c r="F571" s="16">
        <ns0:f>A571*('前提と出典'!$C$36*'契約別単価'!F5+'前提と出典'!$C$37*'契約別単価'!F6+'前提と出典'!$C$38*'契約別単価'!F7)</ns0:f>
        <ns0:v>430577.23699217115</ns0:v>
      </ns0:c>
      <ns0:c r="G571" s="16">
        <ns0:f>A571*('前提と出典'!$C$36*'契約別単価'!G5+'前提と出典'!$C$37*'契約別単価'!G6+'前提と出典'!$C$38*'契約別単価'!G7)</ns0:f>
        <ns0:v>1128615.0837988826</ns0:v>
      </ns0:c>
      <ns0:c r="H571" s="16">
        <ns0:f>A571*('前提と出典'!$C$36*'契約別単価'!H5+'前提と出典'!$C$37*'契約別単価'!H6+'前提と出典'!$C$38*'契約別単価'!H7)</ns0:f>
        <ns0:v>391686.038572752</ns0:v>
      </ns0:c>
      <ns0:c r="I571" s="16">
        <ns0:f>A571*('前提と出典'!$C$36*'契約別単価'!I5+'前提と出典'!$C$37*'契約別単価'!I6+'前提と出典'!$C$38*'契約別単価'!I7)</ns0:f>
        <ns0:v>23924.865921787707</ns0:v>
      </ns0:c>
      <ns0:c r="J571" s="16">
        <ns0:f>A571*('前提と出典'!$C$36*'契約別単価'!J5+'前提と出典'!$C$37*'契約別単価'!J6+'前提と出典'!$C$38*'契約別単価'!J7)</ns0:f>
        <ns0:v>55730.171283741554</ns0:v>
      </ns0:c>
      <ns0:c r="K571" s="16">
        <ns0:f>A571*('前提と出典'!$C$36*'契約別単価'!K5+'前提と出典'!$C$37*'契約別単価'!K6+'前提と出典'!$C$38*'契約別単価'!K7)</ns0:f>
        <ns0:v>238879.10614525137</ns0:v>
      </ns0:c>
      <ns0:c r="L571" s="16">
        <ns0:f>A571*('前提と出典'!$C$36*'契約別単価'!L5+'前提と出典'!$C$37*'契約別単価'!L6+'前提と出典'!$C$38*'契約別単価'!L7)</ns0:f>
        <ns0:v>194496.2012857584</ns0:v>
      </ns0:c>
      <ns0:c r="M571" s="16">
        <ns0:f>IF(('前提と出典'!$C$36+'前提と出典'!$C$38)=0,0,IF(B571&lt;=10,'前提と出典'!B73+'前提と出典'!C73,IF(B571&lt;=100,'前提と出典'!B74+'前提と出典'!C74,IF(B571&lt;=500,'前提と出典'!B75+'前提と出典'!C75,'前提と出典'!B76+'前提と出典'!C76))))</ns0:f>
        <ns0:v>40000</ns0:v>
      </ns0:c>
      <ns0:c r="N571" s="16">
        <ns0:f>IF(('前提と出典'!$C$37+'前提と出典'!$C$38)=0,0,IF(C571&lt;=10,'前提と出典'!D73+'前提と出典'!E73,IF(C571&lt;=100,'前提と出典'!D74+'前提と出典'!E74,IF(C571&lt;=500,'前提と出典'!D75+'前提と出典'!E75,'前提と出典'!D76+'前提と出典'!E76))))</ns0:f>
        <ns0:v>56510.9346263078</ns0:v>
      </ns0:c>
      <ns0:c r="O571" s="16">
        <ns0:f>IF('前提と出典'!$C$36+'前提と出典'!$C$38=0,0,'前提と出典'!$B$4*IF('前提と出典'!$B$20=0,MAX('前提と出典'!$B$6,D571*'前提と出典'!$B$5),'前提と出典'!$B$6+D571*'前提と出典'!$B$5))</ns0:f>
        <ns0:v>563021.4972067039</ns0:v>
      </ns0:c>
      <ns0:c r="P571" s="16">
        <ns0:f>(E571+G571)*(1-'前提と出典'!$B$7)-I571-K571-M571-O571</ns0:f>
        <ns0:v>1279777.0015424103</ns0:v>
      </ns0:c>
      <ns0:c r="Q571" s="16">
        <ns0:f>(F571+H571)*(1-'前提と出典'!$B$7)-J571-L571-N571</ns0:f>
        <ns0:v>485924.49044877815</ns0:v>
      </ns0:c>
      <ns0:c r="R571" s="16">
        <ns0:f>P571-E571*'前提と出典'!$E$4</ns0:f>
        <ns0:v>950642.9154322346</ns0:v>
      </ns0:c>
      <ns0:c r="S571" s="16">
        <ns0:f>Q571-F571*'前提と出典'!$E$4</ns0:f>
        <ns0:v>356751.3193511268</ns0:v>
      </ns0:c>
      <ns0:c r="T571" s="7">
        <ns0:f>R571+S571</ns0:f>
        <ns0:v>1307394.2347833614</ns0:v>
      </ns0:c>
      <ns0:c r="U571" s="16">
        <ns0:f>P571-E571*'前提と出典'!$E$5</ns0:f>
        <ns0:v>840931.5533955096</ns0:v>
      </ns0:c>
      <ns0:c r="V571" s="16">
        <ns0:f>Q571-F571*'前提と出典'!$E$5</ns0:f>
        <ns0:v>313693.5956519097</ns0:v>
      </ns0:c>
      <ns0:c r="W571" s="7">
        <ns0:f>U571+V571</ns0:f>
        <ns0:v>1154625.1490474194</ns0:v>
      </ns0:c>
      <ns0:c r="X571" s="16">
        <ns0:f>P571-E571*'前提と出典'!$E$6</ns0:f>
        <ns0:v>731220.1913587846</ns0:v>
      </ns0:c>
      <ns0:c r="Y571" s="16">
        <ns0:f>Q571-F571*'前提と出典'!$E$6</ns0:f>
        <ns0:v>270635.8719526927</ns0:v>
      </ns0:c>
      <ns0:c r="Z571" s="7">
        <ns0:f>X571+Y571</ns0:f>
        <ns0:v>1001856.0633114772</ns0:v>
      </ns0:c>
      <ns0:c r="AA571" s="7">
        <ns0:f>IF(T571&gt;=0,A571,1001)</ns0:f>
        <ns0:v>567</ns0:v>
      </ns0:c>
      <ns0:c r="AB571" s="7">
        <ns0:f>IF(T571&lt;0,A571,0)</ns0:f>
        <ns0:v>0</ns0:v>
      </ns0:c>
      <ns0:c r="AC571" s="16">
        <ns0:f>IF(AND(OR('前提と出典'!$C$36+'前提と出典'!$C$38=0,R571&gt;=0),OR('前提と出典'!$C$37+'前提と出典'!$C$38=0,S571&gt;=0)),0,A571)</ns0:f>
        <ns0:v>0</ns0:v>
      </ns0:c>
      <ns0:c r="AD571" s="7">
        <ns0:f>IF(W571&gt;=0,A571,1001)</ns0:f>
        <ns0:v>567</ns0:v>
      </ns0:c>
      <ns0:c r="AE571" s="7">
        <ns0:f>IF(W571&lt;0,A571,0)</ns0:f>
        <ns0:v>0</ns0:v>
      </ns0:c>
      <ns0:c r="AF571" s="16">
        <ns0:f>IF(AND(OR('前提と出典'!$C$36+'前提と出典'!$C$38=0,U571&gt;=0),OR('前提と出典'!$C$37+'前提と出典'!$C$38=0,V571&gt;=0)),0,A571)</ns0:f>
        <ns0:v>0</ns0:v>
      </ns0:c>
      <ns0:c r="AG571" s="7">
        <ns0:f>IF(Z571&gt;=0,A571,1001)</ns0:f>
        <ns0:v>567</ns0:v>
      </ns0:c>
      <ns0:c r="AH571" s="4">
        <ns0:f>IF(Z571&lt;0,A571,0)</ns0:f>
        <ns0:v>0</ns0:v>
      </ns0:c>
      <ns0:c r="AI571" s="12">
        <ns0:f>IF(AND(OR('前提と出典'!$C$36+'前提と出典'!$C$38=0,X571&gt;=0),OR('前提と出典'!$C$37+'前提と出典'!$C$38=0,Y571&gt;=0)),0,A571)</ns0:f>
        <ns0:v>0</ns0:v>
      </ns0:c>
    </ns0:row>
    <ns0:row r="572" ht="24" customHeight="1">
      <ns0:c r="A572" s="4" t="n">
        <ns0:v>568</ns0:v>
      </ns0:c>
      <ns0:c r="B572" s="12">
        <ns0:f>A572*('前提と出典'!$C$36+'前提と出典'!$C$38)</ns0:f>
        <ns0:v>397.59999999999997</ns0:v>
      </ns0:c>
      <ns0:c r="C572" s="12">
        <ns0:f>A572*('前提と出典'!$C$37+'前提と出典'!$C$38)</ns0:f>
        <ns0:v>340.8</ns0:v>
      </ns0:c>
      <ns0:c r="D572" s="16">
        <ns0:f>A572*('前提と出典'!$C$36*'契約別単価'!C5+'前提と出典'!$C$37*'契約別単価'!C6+'前提と出典'!$C$38*'契約別単価'!C7)</ns0:f>
        <ns0:v>4087.0614525139663</ns0:v>
      </ns0:c>
      <ns0:c r="E572" s="16">
        <ns0:f>A572*('前提と出典'!$C$36*'契約別単価'!E5+'前提と出典'!$C$37*'契約別単価'!E6+'前提と出典'!$C$38*'契約別単価'!E7)</ns0:f>
        <ns0:v>1099048.5650239838</ns0:v>
      </ns0:c>
      <ns0:c r="F572" s="16">
        <ns0:f>A572*('前提と出典'!$C$36*'契約別単価'!F5+'前提と出典'!$C$37*'契約別単価'!F6+'前提と出典'!$C$38*'契約別単価'!F7)</ns0:f>
        <ns0:v>431336.6324718752</ns0:v>
      </ns0:c>
      <ns0:c r="G572" s="16">
        <ns0:f>A572*('前提と出典'!$C$36*'契約別単価'!G5+'前提と出典'!$C$37*'契約別単価'!G6+'前提と出典'!$C$38*'契約別単価'!G7)</ns0:f>
        <ns0:v>1130605.5865921788</ns0:v>
      </ns0:c>
      <ns0:c r="H572" s="16">
        <ns0:f>A572*('前提と出典'!$C$36*'契約別単価'!H5+'前提と出典'!$C$37*'契約別単価'!H6+'前提と出典'!$C$38*'契約別単価'!H7)</ns0:f>
        <ns0:v>392376.8428735857</ns0:v>
      </ns0:c>
      <ns0:c r="I572" s="16">
        <ns0:f>A572*('前提と出典'!$C$36*'契約別単価'!I5+'前提と出典'!$C$37*'契約別単価'!I6+'前提と出典'!$C$38*'契約別単価'!I7)</ns0:f>
        <ns0:v>23967.06145251396</ns0:v>
      </ns0:c>
      <ns0:c r="J572" s="16">
        <ns0:f>A572*('前提と出典'!$C$36*'契約別単価'!J5+'前提と出典'!$C$37*'契約別単価'!J6+'前提と出典'!$C$38*'契約別単価'!J7)</ns0:f>
        <ns0:v>55828.46082745186</ns0:v>
      </ns0:c>
      <ns0:c r="K572" s="16">
        <ns0:f>A572*('前提と出典'!$C$36*'契約別単価'!K5+'前提と出典'!$C$37*'契約別単価'!K6+'前提と出典'!$C$38*'契約別単価'!K7)</ns0:f>
        <ns0:v>239300.40968342643</ns0:v>
      </ns0:c>
      <ns0:c r="L572" s="16">
        <ns0:f>A572*('前提と出典'!$C$36*'契約別単価'!L5+'前提と出典'!$C$37*'契約別単価'!L6+'前提と出典'!$C$38*'契約別単価'!L7)</ns0:f>
        <ns0:v>194839.22809578618</ns0:v>
      </ns0:c>
      <ns0:c r="M572" s="16">
        <ns0:f>IF(('前提と出典'!$C$36+'前提と出典'!$C$38)=0,0,IF(B572&lt;=10,'前提と出典'!B73+'前提と出典'!C73,IF(B572&lt;=100,'前提と出典'!B74+'前提と出典'!C74,IF(B572&lt;=500,'前提と出典'!B75+'前提と出典'!C75,'前提と出典'!B76+'前提と出典'!C76))))</ns0:f>
        <ns0:v>40000</ns0:v>
      </ns0:c>
      <ns0:c r="N572" s="16">
        <ns0:f>IF(('前提と出典'!$C$37+'前提と出典'!$C$38)=0,0,IF(C572&lt;=10,'前提と出典'!D73+'前提と出典'!E73,IF(C572&lt;=100,'前提と出典'!D74+'前提と出典'!E74,IF(C572&lt;=500,'前提と出典'!D75+'前提と出典'!E75,'前提と出典'!D76+'前提と出典'!E76))))</ns0:f>
        <ns0:v>56510.9346263078</ns0:v>
      </ns0:c>
      <ns0:c r="O572" s="16">
        <ns0:f>IF('前提と出典'!$C$36+'前提と出典'!$C$38=0,0,'前提と出典'!$B$4*IF('前提と出典'!$B$20=0,MAX('前提と出典'!$B$6,D572*'前提と出典'!$B$5),'前提と出典'!$B$6+D572*'前提と出典'!$B$5))</ns0:f>
        <ns0:v>564014.4804469274</ns0:v>
      </ns0:c>
      <ns0:c r="P572" s="16">
        <ns0:f>(E572+G572)*(1-'前提と出典'!$B$7)-I572-K572-M572-O572</ns0:f>
        <ns0:v>1282104.650575113</ns0:v>
      </ns0:c>
      <ns0:c r="Q572" s="16">
        <ns0:f>(F572+H572)*(1-'前提と出典'!$B$7)-J572-L572-N572</ns0:f>
        <ns0:v>486881.1666834786</ns0:v>
      </ns0:c>
      <ns0:c r="R572" s="16">
        <ns0:f>P572-E572*'前提と出典'!$E$4</ns0:f>
        <ns0:v>952390.0810679178</ns0:v>
      </ns0:c>
      <ns0:c r="S572" s="16">
        <ns0:f>Q572-F572*'前提と出典'!$E$4</ns0:f>
        <ns0:v>357480.1769419159</ns0:v>
      </ns0:c>
      <ns0:c r="T572" s="7">
        <ns0:f>R572+S572</ns0:f>
        <ns0:v>1309870.2580098337</ns0:v>
      </ns0:c>
      <ns0:c r="U572" s="16">
        <ns0:f>P572-E572*'前提と出典'!$E$5</ns0:f>
        <ns0:v>842485.2245655194</ns0:v>
      </ns0:c>
      <ns0:c r="V572" s="16">
        <ns0:f>Q572-F572*'前提と出典'!$E$5</ns0:f>
        <ns0:v>314346.5136947285</ns0:v>
      </ns0:c>
      <ns0:c r="W572" s="7">
        <ns0:f>U572+V572</ns0:f>
        <ns0:v>1156831.7382602477</ns0:v>
      </ns0:c>
      <ns0:c r="X572" s="16">
        <ns0:f>P572-E572*'前提と出典'!$E$6</ns0:f>
        <ns0:v>732580.368063121</ns0:v>
      </ns0:c>
      <ns0:c r="Y572" s="16">
        <ns0:f>Q572-F572*'前提と出典'!$E$6</ns0:f>
        <ns0:v>271212.8504475409</ns0:v>
      </ns0:c>
      <ns0:c r="Z572" s="7">
        <ns0:f>X572+Y572</ns0:f>
        <ns0:v>1003793.218510662</ns0:v>
      </ns0:c>
      <ns0:c r="AA572" s="7">
        <ns0:f>IF(T572&gt;=0,A572,1001)</ns0:f>
        <ns0:v>568</ns0:v>
      </ns0:c>
      <ns0:c r="AB572" s="7">
        <ns0:f>IF(T572&lt;0,A572,0)</ns0:f>
        <ns0:v>0</ns0:v>
      </ns0:c>
      <ns0:c r="AC572" s="16">
        <ns0:f>IF(AND(OR('前提と出典'!$C$36+'前提と出典'!$C$38=0,R572&gt;=0),OR('前提と出典'!$C$37+'前提と出典'!$C$38=0,S572&gt;=0)),0,A572)</ns0:f>
        <ns0:v>0</ns0:v>
      </ns0:c>
      <ns0:c r="AD572" s="7">
        <ns0:f>IF(W572&gt;=0,A572,1001)</ns0:f>
        <ns0:v>568</ns0:v>
      </ns0:c>
      <ns0:c r="AE572" s="7">
        <ns0:f>IF(W572&lt;0,A572,0)</ns0:f>
        <ns0:v>0</ns0:v>
      </ns0:c>
      <ns0:c r="AF572" s="16">
        <ns0:f>IF(AND(OR('前提と出典'!$C$36+'前提と出典'!$C$38=0,U572&gt;=0),OR('前提と出典'!$C$37+'前提と出典'!$C$38=0,V572&gt;=0)),0,A572)</ns0:f>
        <ns0:v>0</ns0:v>
      </ns0:c>
      <ns0:c r="AG572" s="7">
        <ns0:f>IF(Z572&gt;=0,A572,1001)</ns0:f>
        <ns0:v>568</ns0:v>
      </ns0:c>
      <ns0:c r="AH572" s="4">
        <ns0:f>IF(Z572&lt;0,A572,0)</ns0:f>
        <ns0:v>0</ns0:v>
      </ns0:c>
      <ns0:c r="AI572" s="12">
        <ns0:f>IF(AND(OR('前提と出典'!$C$36+'前提と出典'!$C$38=0,X572&gt;=0),OR('前提と出典'!$C$37+'前提と出典'!$C$38=0,Y572&gt;=0)),0,A572)</ns0:f>
        <ns0:v>0</ns0:v>
      </ns0:c>
    </ns0:row>
    <ns0:row r="573" ht="24" customHeight="1">
      <ns0:c r="A573" s="4" t="n">
        <ns0:v>569</ns0:v>
      </ns0:c>
      <ns0:c r="B573" s="12">
        <ns0:f>A573*('前提と出典'!$C$36+'前提と出典'!$C$38)</ns0:f>
        <ns0:v>398.29999999999995</ns0:v>
      </ns0:c>
      <ns0:c r="C573" s="12">
        <ns0:f>A573*('前提と出典'!$C$37+'前提と出典'!$C$38)</ns0:f>
        <ns0:v>341.4</ns0:v>
      </ns0:c>
      <ns0:c r="D573" s="16">
        <ns0:f>A573*('前提と出典'!$C$36*'契約別単価'!C5+'前提と出典'!$C$37*'契約別単価'!C6+'前提と出典'!$C$38*'契約別単価'!C7)</ns0:f>
        <ns0:v>4094.2569832402232</ns0:v>
      </ns0:c>
      <ns0:c r="E573" s="16">
        <ns0:f>A573*('前提と出典'!$C$36*'契約別単価'!E5+'前提と出典'!$C$37*'契約別単価'!E6+'前提と出典'!$C$38*'契約別単価'!E7)</ns0:f>
        <ns0:v>1100983.5096807163</ns0:v>
      </ns0:c>
      <ns0:c r="F573" s="16">
        <ns0:f>A573*('前提と出典'!$C$36*'契約別単価'!F5+'前提と出典'!$C$37*'契約別単価'!F6+'前提と出典'!$C$38*'契約別単価'!F7)</ns0:f>
        <ns0:v>432096.02795157913</ns0:v>
      </ns0:c>
      <ns0:c r="G573" s="16">
        <ns0:f>A573*('前提と出典'!$C$36*'契約別単価'!G5+'前提と出典'!$C$37*'契約別単価'!G6+'前提と出典'!$C$38*'契約別単価'!G7)</ns0:f>
        <ns0:v>1132596.0893854748</ns0:v>
      </ns0:c>
      <ns0:c r="H573" s="16">
        <ns0:f>A573*('前提と出典'!$C$36*'契約別単価'!H5+'前提と出典'!$C$37*'契約別単価'!H6+'前提と出典'!$C$38*'契約別単価'!H7)</ns0:f>
        <ns0:v>393067.6471744195</ns0:v>
      </ns0:c>
      <ns0:c r="I573" s="16">
        <ns0:f>A573*('前提と出典'!$C$36*'契約別単価'!I5+'前提と出典'!$C$37*'契約別単価'!I6+'前提と出典'!$C$38*'契約別単価'!I7)</ns0:f>
        <ns0:v>24009.25698324022</ns0:v>
      </ns0:c>
      <ns0:c r="J573" s="16">
        <ns0:f>A573*('前提と出典'!$C$36*'契約別単価'!J5+'前提と出典'!$C$37*'契約別単価'!J6+'前提と出典'!$C$38*'契約別単価'!J7)</ns0:f>
        <ns0:v>55926.75037116216</ns0:v>
      </ns0:c>
      <ns0:c r="K573" s="16">
        <ns0:f>A573*('前提と出典'!$C$36*'契約別単価'!K5+'前提と出典'!$C$37*'契約別単価'!K6+'前提と出典'!$C$38*'契約別単価'!K7)</ns0:f>
        <ns0:v>239721.71322160147</ns0:v>
      </ns0:c>
      <ns0:c r="L573" s="16">
        <ns0:f>A573*('前提と出典'!$C$36*'契約別単価'!L5+'前提と出典'!$C$37*'契約別単価'!L6+'前提と出典'!$C$38*'契約別単価'!L7)</ns0:f>
        <ns0:v>195182.25490581398</ns0:v>
      </ns0:c>
      <ns0:c r="M573" s="16">
        <ns0:f>IF(('前提と出典'!$C$36+'前提と出典'!$C$38)=0,0,IF(B573&lt;=10,'前提と出典'!B73+'前提と出典'!C73,IF(B573&lt;=100,'前提と出典'!B74+'前提と出典'!C74,IF(B573&lt;=500,'前提と出典'!B75+'前提と出典'!C75,'前提と出典'!B76+'前提と出典'!C76))))</ns0:f>
        <ns0:v>40000</ns0:v>
      </ns0:c>
      <ns0:c r="N573" s="16">
        <ns0:f>IF(('前提と出典'!$C$37+'前提と出典'!$C$38)=0,0,IF(C573&lt;=10,'前提と出典'!D73+'前提と出典'!E73,IF(C573&lt;=100,'前提と出典'!D74+'前提と出典'!E74,IF(C573&lt;=500,'前提と出典'!D75+'前提と出典'!E75,'前提と出典'!D76+'前提と出典'!E76))))</ns0:f>
        <ns0:v>56510.9346263078</ns0:v>
      </ns0:c>
      <ns0:c r="O573" s="16">
        <ns0:f>IF('前提と出典'!$C$36+'前提と出典'!$C$38=0,0,'前提と出典'!$B$4*IF('前提と出典'!$B$20=0,MAX('前提と出典'!$B$6,D573*'前提と出典'!$B$5),'前提と出典'!$B$6+D573*'前提と出典'!$B$5))</ns0:f>
        <ns0:v>565007.4636871509</ns0:v>
      </ns0:c>
      <ns0:c r="P573" s="16">
        <ns0:f>(E573+G573)*(1-'前提と出典'!$B$7)-I573-K573-M573-O573</ns0:f>
        <ns0:v>1284432.2996078162</ns0:v>
      </ns0:c>
      <ns0:c r="Q573" s="16">
        <ns0:f>(F573+H573)*(1-'前提と出典'!$B$7)-J573-L573-N573</ns0:f>
        <ns0:v>487837.8429181787</ns0:v>
      </ns0:c>
      <ns0:c r="R573" s="16">
        <ns0:f>P573-E573*'前提と出典'!$E$4</ns0:f>
        <ns0:v>954137.2467036011</ns0:v>
      </ns0:c>
      <ns0:c r="S573" s="16">
        <ns0:f>Q573-F573*'前提と出典'!$E$4</ns0:f>
        <ns0:v>358209.0345327051</ns0:v>
      </ns0:c>
      <ns0:c r="T573" s="7">
        <ns0:f>R573+S573</ns0:f>
        <ns0:v>1312346.2812363063</ns0:v>
      </ns0:c>
      <ns0:c r="U573" s="16">
        <ns0:f>P573-E573*'前提と出典'!$E$5</ns0:f>
        <ns0:v>844038.8957355296</ns0:v>
      </ns0:c>
      <ns0:c r="V573" s="16">
        <ns0:f>Q573-F573*'前提と出典'!$E$5</ns0:f>
        <ns0:v>314999.43173754704</ns0:v>
      </ns0:c>
      <ns0:c r="W573" s="7">
        <ns0:f>U573+V573</ns0:f>
        <ns0:v>1159038.3274730765</ns0:v>
      </ns0:c>
      <ns0:c r="X573" s="16">
        <ns0:f>P573-E573*'前提と出典'!$E$6</ns0:f>
        <ns0:v>733940.5447674579</ns0:v>
      </ns0:c>
      <ns0:c r="Y573" s="16">
        <ns0:f>Q573-F573*'前提と出典'!$E$6</ns0:f>
        <ns0:v>271789.8289423892</ns0:v>
      </ns0:c>
      <ns0:c r="Z573" s="7">
        <ns0:f>X573+Y573</ns0:f>
        <ns0:v>1005730.3737098471</ns0:v>
      </ns0:c>
      <ns0:c r="AA573" s="7">
        <ns0:f>IF(T573&gt;=0,A573,1001)</ns0:f>
        <ns0:v>569</ns0:v>
      </ns0:c>
      <ns0:c r="AB573" s="7">
        <ns0:f>IF(T573&lt;0,A573,0)</ns0:f>
        <ns0:v>0</ns0:v>
      </ns0:c>
      <ns0:c r="AC573" s="16">
        <ns0:f>IF(AND(OR('前提と出典'!$C$36+'前提と出典'!$C$38=0,R573&gt;=0),OR('前提と出典'!$C$37+'前提と出典'!$C$38=0,S573&gt;=0)),0,A573)</ns0:f>
        <ns0:v>0</ns0:v>
      </ns0:c>
      <ns0:c r="AD573" s="7">
        <ns0:f>IF(W573&gt;=0,A573,1001)</ns0:f>
        <ns0:v>569</ns0:v>
      </ns0:c>
      <ns0:c r="AE573" s="7">
        <ns0:f>IF(W573&lt;0,A573,0)</ns0:f>
        <ns0:v>0</ns0:v>
      </ns0:c>
      <ns0:c r="AF573" s="16">
        <ns0:f>IF(AND(OR('前提と出典'!$C$36+'前提と出典'!$C$38=0,U573&gt;=0),OR('前提と出典'!$C$37+'前提と出典'!$C$38=0,V573&gt;=0)),0,A573)</ns0:f>
        <ns0:v>0</ns0:v>
      </ns0:c>
      <ns0:c r="AG573" s="7">
        <ns0:f>IF(Z573&gt;=0,A573,1001)</ns0:f>
        <ns0:v>569</ns0:v>
      </ns0:c>
      <ns0:c r="AH573" s="4">
        <ns0:f>IF(Z573&lt;0,A573,0)</ns0:f>
        <ns0:v>0</ns0:v>
      </ns0:c>
      <ns0:c r="AI573" s="12">
        <ns0:f>IF(AND(OR('前提と出典'!$C$36+'前提と出典'!$C$38=0,X573&gt;=0),OR('前提と出典'!$C$37+'前提と出典'!$C$38=0,Y573&gt;=0)),0,A573)</ns0:f>
        <ns0:v>0</ns0:v>
      </ns0:c>
    </ns0:row>
    <ns0:row r="574" ht="24" customHeight="1">
      <ns0:c r="A574" s="4" t="n">
        <ns0:v>570</ns0:v>
      </ns0:c>
      <ns0:c r="B574" s="12">
        <ns0:f>A574*('前提と出典'!$C$36+'前提と出典'!$C$38)</ns0:f>
        <ns0:v>399</ns0:v>
      </ns0:c>
      <ns0:c r="C574" s="12">
        <ns0:f>A574*('前提と出典'!$C$37+'前提と出典'!$C$38)</ns0:f>
        <ns0:v>342</ns0:v>
      </ns0:c>
      <ns0:c r="D574" s="16">
        <ns0:f>A574*('前提と出典'!$C$36*'契約別単価'!C5+'前提と出典'!$C$37*'契約別単価'!C6+'前提と出典'!$C$38*'契約別単価'!C7)</ns0:f>
        <ns0:v>4101.45251396648</ns0:v>
      </ns0:c>
      <ns0:c r="E574" s="16">
        <ns0:f>A574*('前提と出典'!$C$36*'契約別単価'!E5+'前提と出典'!$C$37*'契約別単価'!E6+'前提と出典'!$C$38*'契約別単価'!E7)</ns0:f>
        <ns0:v>1102918.4543374486</ns0:v>
      </ns0:c>
      <ns0:c r="F574" s="16">
        <ns0:f>A574*('前提と出典'!$C$36*'契約別単価'!F5+'前提と出典'!$C$37*'契約別単価'!F6+'前提と出典'!$C$38*'契約別単価'!F7)</ns0:f>
        <ns0:v>432855.42343128315</ns0:v>
      </ns0:c>
      <ns0:c r="G574" s="16">
        <ns0:f>A574*('前提と出典'!$C$36*'契約別単価'!G5+'前提と出典'!$C$37*'契約別単価'!G6+'前提と出典'!$C$38*'契約別単価'!G7)</ns0:f>
        <ns0:v>1134586.5921787708</ns0:v>
      </ns0:c>
      <ns0:c r="H574" s="16">
        <ns0:f>A574*('前提と出典'!$C$36*'契約別単価'!H5+'前提と出典'!$C$37*'契約別単価'!H6+'前提と出典'!$C$38*'契約別単価'!H7)</ns0:f>
        <ns0:v>393758.45147525327</ns0:v>
      </ns0:c>
      <ns0:c r="I574" s="16">
        <ns0:f>A574*('前提と出典'!$C$36*'契約別単価'!I5+'前提と出典'!$C$37*'契約別単価'!I6+'前提と出典'!$C$38*'契約別単価'!I7)</ns0:f>
        <ns0:v>24051.452513966477</ns0:v>
      </ns0:c>
      <ns0:c r="J574" s="16">
        <ns0:f>A574*('前提と出典'!$C$36*'契約別単価'!J5+'前提と出典'!$C$37*'契約別単価'!J6+'前提と出典'!$C$38*'契約別単価'!J7)</ns0:f>
        <ns0:v>56025.03991487246</ns0:v>
      </ns0:c>
      <ns0:c r="K574" s="16">
        <ns0:f>A574*('前提と出典'!$C$36*'契約別単価'!K5+'前提と出典'!$C$37*'契約別単価'!K6+'前提と出典'!$C$38*'契約別単価'!K7)</ns0:f>
        <ns0:v>240143.0167597765</ns0:v>
      </ns0:c>
      <ns0:c r="L574" s="16">
        <ns0:f>A574*('前提と出典'!$C$36*'契約別単価'!L5+'前提と出典'!$C$37*'契約別単価'!L6+'前提と出典'!$C$38*'契約別単価'!L7)</ns0:f>
        <ns0:v>195525.28171584176</ns0:v>
      </ns0:c>
      <ns0:c r="M574" s="16">
        <ns0:f>IF(('前提と出典'!$C$36+'前提と出典'!$C$38)=0,0,IF(B574&lt;=10,'前提と出典'!B73+'前提と出典'!C73,IF(B574&lt;=100,'前提と出典'!B74+'前提と出典'!C74,IF(B574&lt;=500,'前提と出典'!B75+'前提と出典'!C75,'前提と出典'!B76+'前提と出典'!C76))))</ns0:f>
        <ns0:v>40000</ns0:v>
      </ns0:c>
      <ns0:c r="N574" s="16">
        <ns0:f>IF(('前提と出典'!$C$37+'前提と出典'!$C$38)=0,0,IF(C574&lt;=10,'前提と出典'!D73+'前提と出典'!E73,IF(C574&lt;=100,'前提と出典'!D74+'前提と出典'!E74,IF(C574&lt;=500,'前提と出典'!D75+'前提と出典'!E75,'前提と出典'!D76+'前提と出典'!E76))))</ns0:f>
        <ns0:v>56510.9346263078</ns0:v>
      </ns0:c>
      <ns0:c r="O574" s="16">
        <ns0:f>IF('前提と出典'!$C$36+'前提と出典'!$C$38=0,0,'前提と出典'!$B$4*IF('前提と出典'!$B$20=0,MAX('前提と出典'!$B$6,D574*'前提と出典'!$B$5),'前提と出典'!$B$6+D574*'前提と出典'!$B$5))</ns0:f>
        <ns0:v>566000.4469273742</ns0:v>
      </ns0:c>
      <ns0:c r="P574" s="16">
        <ns0:f>(E574+G574)*(1-'前提と出典'!$B$7)-I574-K574-M574-O574</ns0:f>
        <ns0:v>1286759.9486405184</ns0:v>
      </ns0:c>
      <ns0:c r="Q574" s="16">
        <ns0:f>(F574+H574)*(1-'前提と出典'!$B$7)-J574-L574-N574</ns0:f>
        <ns0:v>488794.51915287913</ns0:v>
      </ns0:c>
      <ns0:c r="R574" s="16">
        <ns0:f>P574-E574*'前提と出典'!$E$4</ns0:f>
        <ns0:v>955884.4123392836</ns0:v>
      </ns0:c>
      <ns0:c r="S574" s="16">
        <ns0:f>Q574-F574*'前提と出典'!$E$4</ns0:f>
        <ns0:v>358937.8921234942</ns0:v>
      </ns0:c>
      <ns0:c r="T574" s="7">
        <ns0:f>R574+S574</ns0:f>
        <ns0:v>1314822.304462778</ns0:v>
      </ns0:c>
      <ns0:c r="U574" s="16">
        <ns0:f>P574-E574*'前提と出典'!$E$5</ns0:f>
        <ns0:v>845592.5669055388</ns0:v>
      </ns0:c>
      <ns0:c r="V574" s="16">
        <ns0:f>Q574-F574*'前提と出典'!$E$5</ns0:f>
        <ns0:v>315652.3497803658</ns0:v>
      </ns0:c>
      <ns0:c r="W574" s="7">
        <ns0:f>U574+V574</ns0:f>
        <ns0:v>1161244.9166859046</ns0:v>
      </ns0:c>
      <ns0:c r="X574" s="16">
        <ns0:f>P574-E574*'前提と出典'!$E$6</ns0:f>
        <ns0:v>735300.7214717937</ns0:v>
      </ns0:c>
      <ns0:c r="Y574" s="16">
        <ns0:f>Q574-F574*'前提と出典'!$E$6</ns0:f>
        <ns0:v>272366.8074372376</ns0:v>
      </ns0:c>
      <ns0:c r="Z574" s="7">
        <ns0:f>X574+Y574</ns0:f>
        <ns0:v>1007667.5289090313</ns0:v>
      </ns0:c>
      <ns0:c r="AA574" s="7">
        <ns0:f>IF(T574&gt;=0,A574,1001)</ns0:f>
        <ns0:v>570</ns0:v>
      </ns0:c>
      <ns0:c r="AB574" s="7">
        <ns0:f>IF(T574&lt;0,A574,0)</ns0:f>
        <ns0:v>0</ns0:v>
      </ns0:c>
      <ns0:c r="AC574" s="16">
        <ns0:f>IF(AND(OR('前提と出典'!$C$36+'前提と出典'!$C$38=0,R574&gt;=0),OR('前提と出典'!$C$37+'前提と出典'!$C$38=0,S574&gt;=0)),0,A574)</ns0:f>
        <ns0:v>0</ns0:v>
      </ns0:c>
      <ns0:c r="AD574" s="7">
        <ns0:f>IF(W574&gt;=0,A574,1001)</ns0:f>
        <ns0:v>570</ns0:v>
      </ns0:c>
      <ns0:c r="AE574" s="7">
        <ns0:f>IF(W574&lt;0,A574,0)</ns0:f>
        <ns0:v>0</ns0:v>
      </ns0:c>
      <ns0:c r="AF574" s="16">
        <ns0:f>IF(AND(OR('前提と出典'!$C$36+'前提と出典'!$C$38=0,U574&gt;=0),OR('前提と出典'!$C$37+'前提と出典'!$C$38=0,V574&gt;=0)),0,A574)</ns0:f>
        <ns0:v>0</ns0:v>
      </ns0:c>
      <ns0:c r="AG574" s="7">
        <ns0:f>IF(Z574&gt;=0,A574,1001)</ns0:f>
        <ns0:v>570</ns0:v>
      </ns0:c>
      <ns0:c r="AH574" s="4">
        <ns0:f>IF(Z574&lt;0,A574,0)</ns0:f>
        <ns0:v>0</ns0:v>
      </ns0:c>
      <ns0:c r="AI574" s="12">
        <ns0:f>IF(AND(OR('前提と出典'!$C$36+'前提と出典'!$C$38=0,X574&gt;=0),OR('前提と出典'!$C$37+'前提と出典'!$C$38=0,Y574&gt;=0)),0,A574)</ns0:f>
        <ns0:v>0</ns0:v>
      </ns0:c>
    </ns0:row>
    <ns0:row r="575" ht="24" customHeight="1">
      <ns0:c r="A575" s="4" t="n">
        <ns0:v>571</ns0:v>
      </ns0:c>
      <ns0:c r="B575" s="12">
        <ns0:f>A575*('前提と出典'!$C$36+'前提と出典'!$C$38)</ns0:f>
        <ns0:v>399.7</ns0:v>
      </ns0:c>
      <ns0:c r="C575" s="12">
        <ns0:f>A575*('前提と出典'!$C$37+'前提と出典'!$C$38)</ns0:f>
        <ns0:v>342.59999999999997</ns0:v>
      </ns0:c>
      <ns0:c r="D575" s="16">
        <ns0:f>A575*('前提と出典'!$C$36*'契約別単価'!C5+'前提と出典'!$C$37*'契約別単価'!C6+'前提と出典'!$C$38*'契約別単価'!C7)</ns0:f>
        <ns0:v>4108.648044692737</ns0:v>
      </ns0:c>
      <ns0:c r="E575" s="16">
        <ns0:f>A575*('前提と出典'!$C$36*'契約別単価'!E5+'前提と出典'!$C$37*'契約別単価'!E6+'前提と出典'!$C$38*'契約別単価'!E7)</ns0:f>
        <ns0:v>1104853.398994181</ns0:v>
      </ns0:c>
      <ns0:c r="F575" s="16">
        <ns0:f>A575*('前提と出典'!$C$36*'契約別単価'!F5+'前提と出典'!$C$37*'契約別単価'!F6+'前提と出典'!$C$38*'契約別単価'!F7)</ns0:f>
        <ns0:v>433614.8189109872</ns0:v>
      </ns0:c>
      <ns0:c r="G575" s="16">
        <ns0:f>A575*('前提と出典'!$C$36*'契約別単価'!G5+'前提と出典'!$C$37*'契約別単価'!G6+'前提と出典'!$C$38*'契約別単価'!G7)</ns0:f>
        <ns0:v>1136577.094972067</ns0:v>
      </ns0:c>
      <ns0:c r="H575" s="16">
        <ns0:f>A575*('前提と出典'!$C$36*'契約別単価'!H5+'前提と出典'!$C$37*'契約別単価'!H6+'前提と出典'!$C$38*'契約別単価'!H7)</ns0:f>
        <ns0:v>394449.25577608705</ns0:v>
      </ns0:c>
      <ns0:c r="I575" s="16">
        <ns0:f>A575*('前提と出典'!$C$36*'契約別単価'!I5+'前提と出典'!$C$37*'契約別単価'!I6+'前提と出典'!$C$38*'契約別単価'!I7)</ns0:f>
        <ns0:v>24093.648044692734</ns0:v>
      </ns0:c>
      <ns0:c r="J575" s="16">
        <ns0:f>A575*('前提と出典'!$C$36*'契約別単価'!J5+'前提と出典'!$C$37*'契約別単価'!J6+'前提と出典'!$C$38*'契約別単価'!J7)</ns0:f>
        <ns0:v>56123.32945858277</ns0:v>
      </ns0:c>
      <ns0:c r="K575" s="16">
        <ns0:f>A575*('前提と出典'!$C$36*'契約別単価'!K5+'前提と出典'!$C$37*'契約別単価'!K6+'前提と出典'!$C$38*'契約別単価'!K7)</ns0:f>
        <ns0:v>240564.32029795158</ns0:v>
      </ns0:c>
      <ns0:c r="L575" s="16">
        <ns0:f>A575*('前提と出典'!$C$36*'契約別単価'!L5+'前提と出典'!$C$37*'契約別単価'!L6+'前提と出典'!$C$38*'契約別単価'!L7)</ns0:f>
        <ns0:v>195868.30852586956</ns0:v>
      </ns0:c>
      <ns0:c r="M575" s="16">
        <ns0:f>IF(('前提と出典'!$C$36+'前提と出典'!$C$38)=0,0,IF(B575&lt;=10,'前提と出典'!B73+'前提と出典'!C73,IF(B575&lt;=100,'前提と出典'!B74+'前提と出典'!C74,IF(B575&lt;=500,'前提と出典'!B75+'前提と出典'!C75,'前提と出典'!B76+'前提と出典'!C76))))</ns0:f>
        <ns0:v>40000</ns0:v>
      </ns0:c>
      <ns0:c r="N575" s="16">
        <ns0:f>IF(('前提と出典'!$C$37+'前提と出典'!$C$38)=0,0,IF(C575&lt;=10,'前提と出典'!D73+'前提と出典'!E73,IF(C575&lt;=100,'前提と出典'!D74+'前提と出典'!E74,IF(C575&lt;=500,'前提と出典'!D75+'前提と出典'!E75,'前提と出典'!D76+'前提と出典'!E76))))</ns0:f>
        <ns0:v>56510.9346263078</ns0:v>
      </ns0:c>
      <ns0:c r="O575" s="16">
        <ns0:f>IF('前提と出典'!$C$36+'前提と出典'!$C$38=0,0,'前提と出典'!$B$4*IF('前提と出典'!$B$20=0,MAX('前提と出典'!$B$6,D575*'前提と出典'!$B$5),'前提と出典'!$B$6+D575*'前提と出典'!$B$5))</ns0:f>
        <ns0:v>566993.4301675977</ns0:v>
      </ns0:c>
      <ns0:c r="P575" s="16">
        <ns0:f>(E575+G575)*(1-'前提と出典'!$B$7)-I575-K575-M575-O575</ns0:f>
        <ns0:v>1289087.5976732208</ns0:v>
      </ns0:c>
      <ns0:c r="Q575" s="16">
        <ns0:f>(F575+H575)*(1-'前提と出典'!$B$7)-J575-L575-N575</ns0:f>
        <ns0:v>489751.1953875793</ns0:v>
      </ns0:c>
      <ns0:c r="R575" s="16">
        <ns0:f>P575-E575*'前提と出典'!$E$4</ns0:f>
        <ns0:v>957631.5779749665</ns0:v>
      </ns0:c>
      <ns0:c r="S575" s="16">
        <ns0:f>Q575-F575*'前提と出典'!$E$4</ns0:f>
        <ns0:v>359666.7497142832</ns0:v>
      </ns0:c>
      <ns0:c r="T575" s="7">
        <ns0:f>R575+S575</ns0:f>
        <ns0:v>1317298.3276892498</ns0:v>
      </ns0:c>
      <ns0:c r="U575" s="16">
        <ns0:f>P575-E575*'前提と出典'!$E$5</ns0:f>
        <ns0:v>847146.2380755483</ns0:v>
      </ns0:c>
      <ns0:c r="V575" s="16">
        <ns0:f>Q575-F575*'前提と出典'!$E$5</ns0:f>
        <ns0:v>316305.26782318443</ns0:v>
      </ns0:c>
      <ns0:c r="W575" s="7">
        <ns0:f>U575+V575</ns0:f>
        <ns0:v>1163451.5058987327</ns0:v>
      </ns0:c>
      <ns0:c r="X575" s="16">
        <ns0:f>P575-E575*'前提と出典'!$E$6</ns0:f>
        <ns0:v>736660.8981761301</ns0:v>
      </ns0:c>
      <ns0:c r="Y575" s="16">
        <ns0:f>Q575-F575*'前提と出典'!$E$6</ns0:f>
        <ns0:v>272943.78593208577</ns0:v>
      </ns0:c>
      <ns0:c r="Z575" s="7">
        <ns0:f>X575+Y575</ns0:f>
        <ns0:v>1009604.6841082158</ns0:v>
      </ns0:c>
      <ns0:c r="AA575" s="7">
        <ns0:f>IF(T575&gt;=0,A575,1001)</ns0:f>
        <ns0:v>571</ns0:v>
      </ns0:c>
      <ns0:c r="AB575" s="7">
        <ns0:f>IF(T575&lt;0,A575,0)</ns0:f>
        <ns0:v>0</ns0:v>
      </ns0:c>
      <ns0:c r="AC575" s="16">
        <ns0:f>IF(AND(OR('前提と出典'!$C$36+'前提と出典'!$C$38=0,R575&gt;=0),OR('前提と出典'!$C$37+'前提と出典'!$C$38=0,S575&gt;=0)),0,A575)</ns0:f>
        <ns0:v>0</ns0:v>
      </ns0:c>
      <ns0:c r="AD575" s="7">
        <ns0:f>IF(W575&gt;=0,A575,1001)</ns0:f>
        <ns0:v>571</ns0:v>
      </ns0:c>
      <ns0:c r="AE575" s="7">
        <ns0:f>IF(W575&lt;0,A575,0)</ns0:f>
        <ns0:v>0</ns0:v>
      </ns0:c>
      <ns0:c r="AF575" s="16">
        <ns0:f>IF(AND(OR('前提と出典'!$C$36+'前提と出典'!$C$38=0,U575&gt;=0),OR('前提と出典'!$C$37+'前提と出典'!$C$38=0,V575&gt;=0)),0,A575)</ns0:f>
        <ns0:v>0</ns0:v>
      </ns0:c>
      <ns0:c r="AG575" s="7">
        <ns0:f>IF(Z575&gt;=0,A575,1001)</ns0:f>
        <ns0:v>571</ns0:v>
      </ns0:c>
      <ns0:c r="AH575" s="4">
        <ns0:f>IF(Z575&lt;0,A575,0)</ns0:f>
        <ns0:v>0</ns0:v>
      </ns0:c>
      <ns0:c r="AI575" s="12">
        <ns0:f>IF(AND(OR('前提と出典'!$C$36+'前提と出典'!$C$38=0,X575&gt;=0),OR('前提と出典'!$C$37+'前提と出典'!$C$38=0,Y575&gt;=0)),0,A575)</ns0:f>
        <ns0:v>0</ns0:v>
      </ns0:c>
    </ns0:row>
    <ns0:row r="576" ht="24" customHeight="1">
      <ns0:c r="A576" s="4" t="n">
        <ns0:v>572</ns0:v>
      </ns0:c>
      <ns0:c r="B576" s="12">
        <ns0:f>A576*('前提と出典'!$C$36+'前提と出典'!$C$38)</ns0:f>
        <ns0:v>400.4</ns0:v>
      </ns0:c>
      <ns0:c r="C576" s="12">
        <ns0:f>A576*('前提と出典'!$C$37+'前提と出典'!$C$38)</ns0:f>
        <ns0:v>343.2</ns0:v>
      </ns0:c>
      <ns0:c r="D576" s="16">
        <ns0:f>A576*('前提と出典'!$C$36*'契約別単価'!C5+'前提と出典'!$C$37*'契約別単価'!C6+'前提と出典'!$C$38*'契約別単価'!C7)</ns0:f>
        <ns0:v>4115.843575418994</ns0:v>
      </ns0:c>
      <ns0:c r="E576" s="16">
        <ns0:f>A576*('前提と出典'!$C$36*'契約別単価'!E5+'前提と出典'!$C$37*'契約別単価'!E6+'前提と出典'!$C$38*'契約別単価'!E7)</ns0:f>
        <ns0:v>1106788.3436509133</ns0:v>
      </ns0:c>
      <ns0:c r="F576" s="16">
        <ns0:f>A576*('前提と出典'!$C$36*'契約別単価'!F5+'前提と出典'!$C$37*'契約別単価'!F6+'前提と出典'!$C$38*'契約別単価'!F7)</ns0:f>
        <ns0:v>434374.2143906912</ns0:v>
      </ns0:c>
      <ns0:c r="G576" s="16">
        <ns0:f>A576*('前提と出典'!$C$36*'契約別単価'!G5+'前提と出典'!$C$37*'契約別単価'!G6+'前提と出典'!$C$38*'契約別単価'!G7)</ns0:f>
        <ns0:v>1138567.597765363</ns0:v>
      </ns0:c>
      <ns0:c r="H576" s="16">
        <ns0:f>A576*('前提と出典'!$C$36*'契約別単価'!H5+'前提と出典'!$C$37*'契約別単価'!H6+'前提と出典'!$C$38*'契約別単価'!H7)</ns0:f>
        <ns0:v>395140.06007692084</ns0:v>
      </ns0:c>
      <ns0:c r="I576" s="16">
        <ns0:f>A576*('前提と出典'!$C$36*'契約別単価'!I5+'前提と出典'!$C$37*'契約別単価'!I6+'前提と出典'!$C$38*'契約別単価'!I7)</ns0:f>
        <ns0:v>24135.84357541899</ns0:v>
      </ns0:c>
      <ns0:c r="J576" s="16">
        <ns0:f>A576*('前提と出典'!$C$36*'契約別単価'!J5+'前提と出典'!$C$37*'契約別単価'!J6+'前提と出典'!$C$38*'契約別単価'!J7)</ns0:f>
        <ns0:v>56221.61900229307</ns0:v>
      </ns0:c>
      <ns0:c r="K576" s="16">
        <ns0:f>A576*('前提と出典'!$C$36*'契約別単価'!K5+'前提と出典'!$C$37*'契約別単価'!K6+'前提と出典'!$C$38*'契約別単価'!K7)</ns0:f>
        <ns0:v>240985.62383612662</ns0:v>
      </ns0:c>
      <ns0:c r="L576" s="16">
        <ns0:f>A576*('前提と出典'!$C$36*'契約別単価'!L5+'前提と出典'!$C$37*'契約別単価'!L6+'前提と出典'!$C$38*'契約別単価'!L7)</ns0:f>
        <ns0:v>196211.33533589737</ns0:v>
      </ns0:c>
      <ns0:c r="M576" s="16">
        <ns0:f>IF(('前提と出典'!$C$36+'前提と出典'!$C$38)=0,0,IF(B576&lt;=10,'前提と出典'!B73+'前提と出典'!C73,IF(B576&lt;=100,'前提と出典'!B74+'前提と出典'!C74,IF(B576&lt;=500,'前提と出典'!B75+'前提と出典'!C75,'前提と出典'!B76+'前提と出典'!C76))))</ns0:f>
        <ns0:v>40000</ns0:v>
      </ns0:c>
      <ns0:c r="N576" s="16">
        <ns0:f>IF(('前提と出典'!$C$37+'前提と出典'!$C$38)=0,0,IF(C576&lt;=10,'前提と出典'!D73+'前提と出典'!E73,IF(C576&lt;=100,'前提と出典'!D74+'前提と出典'!E74,IF(C576&lt;=500,'前提と出典'!D75+'前提と出典'!E75,'前提と出典'!D76+'前提と出典'!E76))))</ns0:f>
        <ns0:v>56510.9346263078</ns0:v>
      </ns0:c>
      <ns0:c r="O576" s="16">
        <ns0:f>IF('前提と出典'!$C$36+'前提と出典'!$C$38=0,0,'前提と出典'!$B$4*IF('前提と出典'!$B$20=0,MAX('前提と出典'!$B$6,D576*'前提と出典'!$B$5),'前提と出典'!$B$6+D576*'前提と出典'!$B$5))</ns0:f>
        <ns0:v>567986.4134078212</ns0:v>
      </ns0:c>
      <ns0:c r="P576" s="16">
        <ns0:f>(E576+G576)*(1-'前提と出典'!$B$7)-I576-K576-M576-O576</ns0:f>
        <ns0:v>1291415.246705924</ns0:v>
      </ns0:c>
      <ns0:c r="Q576" s="16">
        <ns0:f>(F576+H576)*(1-'前提と出典'!$B$7)-J576-L576-N576</ns0:f>
        <ns0:v>490707.87162227975</ns0:v>
      </ns0:c>
      <ns0:c r="R576" s="16">
        <ns0:f>P576-E576*'前提と出典'!$E$4</ns0:f>
        <ns0:v>959378.7436106501</ns0:v>
      </ns0:c>
      <ns0:c r="S576" s="16">
        <ns0:f>Q576-F576*'前提と出典'!$E$4</ns0:f>
        <ns0:v>360395.60730507236</ns0:v>
      </ns0:c>
      <ns0:c r="T576" s="7">
        <ns0:f>R576+S576</ns0:f>
        <ns0:v>1319774.3509157225</ns0:v>
      </ns0:c>
      <ns0:c r="U576" s="16">
        <ns0:f>P576-E576*'前提と出典'!$E$5</ns0:f>
        <ns0:v>848699.9092455585</ns0:v>
      </ns0:c>
      <ns0:c r="V576" s="16">
        <ns0:f>Q576-F576*'前提と出典'!$E$5</ns0:f>
        <ns0:v>316958.1858660033</ns0:v>
      </ns0:c>
      <ns0:c r="W576" s="7">
        <ns0:f>U576+V576</ns0:f>
        <ns0:v>1165658.095111562</ns0:v>
      </ns0:c>
      <ns0:c r="X576" s="16">
        <ns0:f>P576-E576*'前提と出典'!$E$6</ns0:f>
        <ns0:v>738021.0748804673</ns0:v>
      </ns0:c>
      <ns0:c r="Y576" s="16">
        <ns0:f>Q576-F576*'前提と出典'!$E$6</ns0:f>
        <ns0:v>273520.7644269342</ns0:v>
      </ns0:c>
      <ns0:c r="Z576" s="7">
        <ns0:f>X576+Y576</ns0:f>
        <ns0:v>1011541.8393074014</ns0:v>
      </ns0:c>
      <ns0:c r="AA576" s="7">
        <ns0:f>IF(T576&gt;=0,A576,1001)</ns0:f>
        <ns0:v>572</ns0:v>
      </ns0:c>
      <ns0:c r="AB576" s="7">
        <ns0:f>IF(T576&lt;0,A576,0)</ns0:f>
        <ns0:v>0</ns0:v>
      </ns0:c>
      <ns0:c r="AC576" s="16">
        <ns0:f>IF(AND(OR('前提と出典'!$C$36+'前提と出典'!$C$38=0,R576&gt;=0),OR('前提と出典'!$C$37+'前提と出典'!$C$38=0,S576&gt;=0)),0,A576)</ns0:f>
        <ns0:v>0</ns0:v>
      </ns0:c>
      <ns0:c r="AD576" s="7">
        <ns0:f>IF(W576&gt;=0,A576,1001)</ns0:f>
        <ns0:v>572</ns0:v>
      </ns0:c>
      <ns0:c r="AE576" s="7">
        <ns0:f>IF(W576&lt;0,A576,0)</ns0:f>
        <ns0:v>0</ns0:v>
      </ns0:c>
      <ns0:c r="AF576" s="16">
        <ns0:f>IF(AND(OR('前提と出典'!$C$36+'前提と出典'!$C$38=0,U576&gt;=0),OR('前提と出典'!$C$37+'前提と出典'!$C$38=0,V576&gt;=0)),0,A576)</ns0:f>
        <ns0:v>0</ns0:v>
      </ns0:c>
      <ns0:c r="AG576" s="7">
        <ns0:f>IF(Z576&gt;=0,A576,1001)</ns0:f>
        <ns0:v>572</ns0:v>
      </ns0:c>
      <ns0:c r="AH576" s="4">
        <ns0:f>IF(Z576&lt;0,A576,0)</ns0:f>
        <ns0:v>0</ns0:v>
      </ns0:c>
      <ns0:c r="AI576" s="12">
        <ns0:f>IF(AND(OR('前提と出典'!$C$36+'前提と出典'!$C$38=0,X576&gt;=0),OR('前提と出典'!$C$37+'前提と出典'!$C$38=0,Y576&gt;=0)),0,A576)</ns0:f>
        <ns0:v>0</ns0:v>
      </ns0:c>
    </ns0:row>
    <ns0:row r="577" ht="24" customHeight="1">
      <ns0:c r="A577" s="4" t="n">
        <ns0:v>573</ns0:v>
      </ns0:c>
      <ns0:c r="B577" s="12">
        <ns0:f>A577*('前提と出典'!$C$36+'前提と出典'!$C$38)</ns0:f>
        <ns0:v>401.09999999999997</ns0:v>
      </ns0:c>
      <ns0:c r="C577" s="12">
        <ns0:f>A577*('前提と出典'!$C$37+'前提と出典'!$C$38)</ns0:f>
        <ns0:v>343.8</ns0:v>
      </ns0:c>
      <ns0:c r="D577" s="16">
        <ns0:f>A577*('前提と出典'!$C$36*'契約別単価'!C5+'前提と出典'!$C$37*'契約別単価'!C6+'前提と出典'!$C$38*'契約別単価'!C7)</ns0:f>
        <ns0:v>4123.039106145251</ns0:v>
      </ns0:c>
      <ns0:c r="E577" s="16">
        <ns0:f>A577*('前提と出典'!$C$36*'契約別単価'!E5+'前提と出典'!$C$37*'契約別単価'!E6+'前提と出典'!$C$38*'契約別単価'!E7)</ns0:f>
        <ns0:v>1108723.2883076456</ns0:v>
      </ns0:c>
      <ns0:c r="F577" s="16">
        <ns0:f>A577*('前提と出典'!$C$36*'契約別単価'!F5+'前提と出典'!$C$37*'契約別単価'!F6+'前提と出典'!$C$38*'契約別単価'!F7)</ns0:f>
        <ns0:v>435133.60987039516</ns0:v>
      </ns0:c>
      <ns0:c r="G577" s="16">
        <ns0:f>A577*('前提と出典'!$C$36*'契約別単価'!G5+'前提と出典'!$C$37*'契約別単価'!G6+'前提と出典'!$C$38*'契約別単価'!G7)</ns0:f>
        <ns0:v>1140558.100558659</ns0:v>
      </ns0:c>
      <ns0:c r="H577" s="16">
        <ns0:f>A577*('前提と出典'!$C$36*'契約別単価'!H5+'前提と出典'!$C$37*'契約別単価'!H6+'前提と出典'!$C$38*'契約別単価'!H7)</ns0:f>
        <ns0:v>395830.8643777546</ns0:v>
      </ns0:c>
      <ns0:c r="I577" s="16">
        <ns0:f>A577*('前提と出典'!$C$36*'契約別単価'!I5+'前提と出典'!$C$37*'契約別単価'!I6+'前提と出典'!$C$38*'契約別単価'!I7)</ns0:f>
        <ns0:v>24178.039106145246</ns0:v>
      </ns0:c>
      <ns0:c r="J577" s="16">
        <ns0:f>A577*('前提と出典'!$C$36*'契約別単価'!J5+'前提と出典'!$C$37*'契約別単価'!J6+'前提と出典'!$C$38*'契約別単価'!J7)</ns0:f>
        <ns0:v>56319.90854600337</ns0:v>
      </ns0:c>
      <ns0:c r="K577" s="16">
        <ns0:f>A577*('前提と出典'!$C$36*'契約別単価'!K5+'前提と出典'!$C$37*'契約別単価'!K6+'前提と出典'!$C$38*'契約別単価'!K7)</ns0:f>
        <ns0:v>241406.92737430165</ns0:v>
      </ns0:c>
      <ns0:c r="L577" s="16">
        <ns0:f>A577*('前提と出典'!$C$36*'契約別単価'!L5+'前提と出典'!$C$37*'契約別単価'!L6+'前提と出典'!$C$38*'契約別単価'!L7)</ns0:f>
        <ns0:v>196554.36214592514</ns0:v>
      </ns0:c>
      <ns0:c r="M577" s="16">
        <ns0:f>IF(('前提と出典'!$C$36+'前提と出典'!$C$38)=0,0,IF(B577&lt;=10,'前提と出典'!B73+'前提と出典'!C73,IF(B577&lt;=100,'前提と出典'!B74+'前提と出典'!C74,IF(B577&lt;=500,'前提と出典'!B75+'前提と出典'!C75,'前提と出典'!B76+'前提と出典'!C76))))</ns0:f>
        <ns0:v>40000</ns0:v>
      </ns0:c>
      <ns0:c r="N577" s="16">
        <ns0:f>IF(('前提と出典'!$C$37+'前提と出典'!$C$38)=0,0,IF(C577&lt;=10,'前提と出典'!D73+'前提と出典'!E73,IF(C577&lt;=100,'前提と出典'!D74+'前提と出典'!E74,IF(C577&lt;=500,'前提と出典'!D75+'前提と出典'!E75,'前提と出典'!D76+'前提と出典'!E76))))</ns0:f>
        <ns0:v>56510.9346263078</ns0:v>
      </ns0:c>
      <ns0:c r="O577" s="16">
        <ns0:f>IF('前提と出典'!$C$36+'前提と出典'!$C$38=0,0,'前提と出典'!$B$4*IF('前提と出典'!$B$20=0,MAX('前提と出典'!$B$6,D577*'前提と出典'!$B$5),'前提と出典'!$B$6+D577*'前提と出典'!$B$5))</ns0:f>
        <ns0:v>568979.3966480447</ns0:v>
      </ns0:c>
      <ns0:c r="P577" s="16">
        <ns0:f>(E577+G577)*(1-'前提と出典'!$B$7)-I577-K577-M577-O577</ns0:f>
        <ns0:v>1293742.8957386257</ns0:v>
      </ns0:c>
      <ns0:c r="Q577" s="16">
        <ns0:f>(F577+H577)*(1-'前提と出典'!$B$7)-J577-L577-N577</ns0:f>
        <ns0:v>491664.54785698</ns0:v>
      </ns0:c>
      <ns0:c r="R577" s="16">
        <ns0:f>P577-E577*'前提と出典'!$E$4</ns0:f>
        <ns0:v>961125.909246332</ns0:v>
      </ns0:c>
      <ns0:c r="S577" s="16">
        <ns0:f>Q577-F577*'前提と出典'!$E$4</ns0:f>
        <ns0:v>361124.46489586146</ns0:v>
      </ns0:c>
      <ns0:c r="T577" s="7">
        <ns0:f>R577+S577</ns0:f>
        <ns0:v>1322250.3741421935</ns0:v>
      </ns0:c>
      <ns0:c r="U577" s="16">
        <ns0:f>P577-E577*'前提と出典'!$E$5</ns0:f>
        <ns0:v>850253.5804155674</ns0:v>
      </ns0:c>
      <ns0:c r="V577" s="16">
        <ns0:f>Q577-F577*'前提と出典'!$E$5</ns0:f>
        <ns0:v>317611.10390882194</ns0:v>
      </ns0:c>
      <ns0:c r="W577" s="7">
        <ns0:f>U577+V577</ns0:f>
        <ns0:v>1167864.6843243893</ns0:v>
      </ns0:c>
      <ns0:c r="X577" s="16">
        <ns0:f>P577-E577*'前提と出典'!$E$6</ns0:f>
        <ns0:v>739381.2515848032</ns0:v>
      </ns0:c>
      <ns0:c r="Y577" s="16">
        <ns0:f>Q577-F577*'前提と出典'!$E$6</ns0:f>
        <ns0:v>274097.7429217824</ns0:v>
      </ns0:c>
      <ns0:c r="Z577" s="7">
        <ns0:f>X577+Y577</ns0:f>
        <ns0:v>1013478.9945065856</ns0:v>
      </ns0:c>
      <ns0:c r="AA577" s="7">
        <ns0:f>IF(T577&gt;=0,A577,1001)</ns0:f>
        <ns0:v>573</ns0:v>
      </ns0:c>
      <ns0:c r="AB577" s="7">
        <ns0:f>IF(T577&lt;0,A577,0)</ns0:f>
        <ns0:v>0</ns0:v>
      </ns0:c>
      <ns0:c r="AC577" s="16">
        <ns0:f>IF(AND(OR('前提と出典'!$C$36+'前提と出典'!$C$38=0,R577&gt;=0),OR('前提と出典'!$C$37+'前提と出典'!$C$38=0,S577&gt;=0)),0,A577)</ns0:f>
        <ns0:v>0</ns0:v>
      </ns0:c>
      <ns0:c r="AD577" s="7">
        <ns0:f>IF(W577&gt;=0,A577,1001)</ns0:f>
        <ns0:v>573</ns0:v>
      </ns0:c>
      <ns0:c r="AE577" s="7">
        <ns0:f>IF(W577&lt;0,A577,0)</ns0:f>
        <ns0:v>0</ns0:v>
      </ns0:c>
      <ns0:c r="AF577" s="16">
        <ns0:f>IF(AND(OR('前提と出典'!$C$36+'前提と出典'!$C$38=0,U577&gt;=0),OR('前提と出典'!$C$37+'前提と出典'!$C$38=0,V577&gt;=0)),0,A577)</ns0:f>
        <ns0:v>0</ns0:v>
      </ns0:c>
      <ns0:c r="AG577" s="7">
        <ns0:f>IF(Z577&gt;=0,A577,1001)</ns0:f>
        <ns0:v>573</ns0:v>
      </ns0:c>
      <ns0:c r="AH577" s="4">
        <ns0:f>IF(Z577&lt;0,A577,0)</ns0:f>
        <ns0:v>0</ns0:v>
      </ns0:c>
      <ns0:c r="AI577" s="12">
        <ns0:f>IF(AND(OR('前提と出典'!$C$36+'前提と出典'!$C$38=0,X577&gt;=0),OR('前提と出典'!$C$37+'前提と出典'!$C$38=0,Y577&gt;=0)),0,A577)</ns0:f>
        <ns0:v>0</ns0:v>
      </ns0:c>
    </ns0:row>
    <ns0:row r="578" ht="24" customHeight="1">
      <ns0:c r="A578" s="4" t="n">
        <ns0:v>574</ns0:v>
      </ns0:c>
      <ns0:c r="B578" s="12">
        <ns0:f>A578*('前提と出典'!$C$36+'前提と出典'!$C$38)</ns0:f>
        <ns0:v>401.79999999999995</ns0:v>
      </ns0:c>
      <ns0:c r="C578" s="12">
        <ns0:f>A578*('前提と出典'!$C$37+'前提と出典'!$C$38)</ns0:f>
        <ns0:v>344.4</ns0:v>
      </ns0:c>
      <ns0:c r="D578" s="16">
        <ns0:f>A578*('前提と出典'!$C$36*'契約別単価'!C5+'前提と出典'!$C$37*'契約別単価'!C6+'前提と出典'!$C$38*'契約別単価'!C7)</ns0:f>
        <ns0:v>4130.234636871508</ns0:v>
      </ns0:c>
      <ns0:c r="E578" s="16">
        <ns0:f>A578*('前提と出典'!$C$36*'契約別単価'!E5+'前提と出典'!$C$37*'契約別単価'!E6+'前提と出典'!$C$38*'契約別単価'!E7)</ns0:f>
        <ns0:v>1110658.232964378</ns0:v>
      </ns0:c>
      <ns0:c r="F578" s="16">
        <ns0:f>A578*('前提と出典'!$C$36*'契約別単価'!F5+'前提と出典'!$C$37*'契約別単価'!F6+'前提と出典'!$C$38*'契約別単価'!F7)</ns0:f>
        <ns0:v>435893.0053500992</ns0:v>
      </ns0:c>
      <ns0:c r="G578" s="16">
        <ns0:f>A578*('前提と出典'!$C$36*'契約別単価'!G5+'前提と出典'!$C$37*'契約別単価'!G6+'前提と出典'!$C$38*'契約別単価'!G7)</ns0:f>
        <ns0:v>1142548.6033519553</ns0:v>
      </ns0:c>
      <ns0:c r="H578" s="16">
        <ns0:f>A578*('前提と出典'!$C$36*'契約別単価'!H5+'前提と出典'!$C$37*'契約別単価'!H6+'前提と出典'!$C$38*'契約別単価'!H7)</ns0:f>
        <ns0:v>396521.6686785884</ns0:v>
      </ns0:c>
      <ns0:c r="I578" s="16">
        <ns0:f>A578*('前提と出典'!$C$36*'契約別単価'!I5+'前提と出典'!$C$37*'契約別単価'!I6+'前提と出典'!$C$38*'契約別単価'!I7)</ns0:f>
        <ns0:v>24220.234636871504</ns0:v>
      </ns0:c>
      <ns0:c r="J578" s="16">
        <ns0:f>A578*('前提と出典'!$C$36*'契約別単価'!J5+'前提と出典'!$C$37*'契約別単価'!J6+'前提と出典'!$C$38*'契約別単価'!J7)</ns0:f>
        <ns0:v>56418.198089713675</ns0:v>
      </ns0:c>
      <ns0:c r="K578" s="16">
        <ns0:f>A578*('前提と出典'!$C$36*'契約別単価'!K5+'前提と出典'!$C$37*'契約別単価'!K6+'前提と出典'!$C$38*'契約別単価'!K7)</ns0:f>
        <ns0:v>241828.23091247672</ns0:v>
      </ns0:c>
      <ns0:c r="L578" s="16">
        <ns0:f>A578*('前提と出典'!$C$36*'契約別単価'!L5+'前提と出典'!$C$37*'契約別単価'!L6+'前提と出典'!$C$38*'契約別単価'!L7)</ns0:f>
        <ns0:v>196897.38895595295</ns0:v>
      </ns0:c>
      <ns0:c r="M578" s="16">
        <ns0:f>IF(('前提と出典'!$C$36+'前提と出典'!$C$38)=0,0,IF(B578&lt;=10,'前提と出典'!B73+'前提と出典'!C73,IF(B578&lt;=100,'前提と出典'!B74+'前提と出典'!C74,IF(B578&lt;=500,'前提と出典'!B75+'前提と出典'!C75,'前提と出典'!B76+'前提と出典'!C76))))</ns0:f>
        <ns0:v>40000</ns0:v>
      </ns0:c>
      <ns0:c r="N578" s="16">
        <ns0:f>IF(('前提と出典'!$C$37+'前提と出典'!$C$38)=0,0,IF(C578&lt;=10,'前提と出典'!D73+'前提と出典'!E73,IF(C578&lt;=100,'前提と出典'!D74+'前提と出典'!E74,IF(C578&lt;=500,'前提と出典'!D75+'前提と出典'!E75,'前提と出典'!D76+'前提と出典'!E76))))</ns0:f>
        <ns0:v>56510.9346263078</ns0:v>
      </ns0:c>
      <ns0:c r="O578" s="16">
        <ns0:f>IF('前提と出典'!$C$36+'前提と出典'!$C$38=0,0,'前提と出典'!$B$4*IF('前提と出典'!$B$20=0,MAX('前提と出典'!$B$6,D578*'前提と出典'!$B$5),'前提と出典'!$B$6+D578*'前提と出典'!$B$5))</ns0:f>
        <ns0:v>569972.3798882681</ns0:v>
      </ns0:c>
      <ns0:c r="P578" s="16">
        <ns0:f>(E578+G578)*(1-'前提と出典'!$B$7)-I578-K578-M578-O578</ns0:f>
        <ns0:v>1296070.5447713288</ns0:v>
      </ns0:c>
      <ns0:c r="Q578" s="16">
        <ns0:f>(F578+H578)*(1-'前提と出典'!$B$7)-J578-L578-N578</ns0:f>
        <ns0:v>492621.2240916805</ns0:v>
      </ns0:c>
      <ns0:c r="R578" s="16">
        <ns0:f>P578-E578*'前提と出典'!$E$4</ns0:f>
        <ns0:v>962873.0748820152</ns0:v>
      </ns0:c>
      <ns0:c r="S578" s="16">
        <ns0:f>Q578-F578*'前提と出典'!$E$4</ns0:f>
        <ns0:v>361853.3224866508</ns0:v>
      </ns0:c>
      <ns0:c r="T578" s="7">
        <ns0:f>R578+S578</ns0:f>
        <ns0:v>1324726.397368666</ns0:v>
      </ns0:c>
      <ns0:c r="U578" s="16">
        <ns0:f>P578-E578*'前提と出典'!$E$5</ns0:f>
        <ns0:v>851807.2515855775</ns0:v>
      </ns0:c>
      <ns0:c r="V578" s="16">
        <ns0:f>Q578-F578*'前提と出典'!$E$5</ns0:f>
        <ns0:v>318264.02195164084</ns0:v>
      </ns0:c>
      <ns0:c r="W578" s="7">
        <ns0:f>U578+V578</ns0:f>
        <ns0:v>1170071.2735372183</ns0:v>
      </ns0:c>
      <ns0:c r="X578" s="16">
        <ns0:f>P578-E578*'前提と出典'!$E$6</ns0:f>
        <ns0:v>740741.4282891398</ns0:v>
      </ns0:c>
      <ns0:c r="Y578" s="16">
        <ns0:f>Q578-F578*'前提と出典'!$E$6</ns0:f>
        <ns0:v>274674.7214166309</ns0:v>
      </ns0:c>
      <ns0:c r="Z578" s="7">
        <ns0:f>X578+Y578</ns0:f>
        <ns0:v>1015416.1497057707</ns0:v>
      </ns0:c>
      <ns0:c r="AA578" s="7">
        <ns0:f>IF(T578&gt;=0,A578,1001)</ns0:f>
        <ns0:v>574</ns0:v>
      </ns0:c>
      <ns0:c r="AB578" s="7">
        <ns0:f>IF(T578&lt;0,A578,0)</ns0:f>
        <ns0:v>0</ns0:v>
      </ns0:c>
      <ns0:c r="AC578" s="16">
        <ns0:f>IF(AND(OR('前提と出典'!$C$36+'前提と出典'!$C$38=0,R578&gt;=0),OR('前提と出典'!$C$37+'前提と出典'!$C$38=0,S578&gt;=0)),0,A578)</ns0:f>
        <ns0:v>0</ns0:v>
      </ns0:c>
      <ns0:c r="AD578" s="7">
        <ns0:f>IF(W578&gt;=0,A578,1001)</ns0:f>
        <ns0:v>574</ns0:v>
      </ns0:c>
      <ns0:c r="AE578" s="7">
        <ns0:f>IF(W578&lt;0,A578,0)</ns0:f>
        <ns0:v>0</ns0:v>
      </ns0:c>
      <ns0:c r="AF578" s="16">
        <ns0:f>IF(AND(OR('前提と出典'!$C$36+'前提と出典'!$C$38=0,U578&gt;=0),OR('前提と出典'!$C$37+'前提と出典'!$C$38=0,V578&gt;=0)),0,A578)</ns0:f>
        <ns0:v>0</ns0:v>
      </ns0:c>
      <ns0:c r="AG578" s="7">
        <ns0:f>IF(Z578&gt;=0,A578,1001)</ns0:f>
        <ns0:v>574</ns0:v>
      </ns0:c>
      <ns0:c r="AH578" s="4">
        <ns0:f>IF(Z578&lt;0,A578,0)</ns0:f>
        <ns0:v>0</ns0:v>
      </ns0:c>
      <ns0:c r="AI578" s="12">
        <ns0:f>IF(AND(OR('前提と出典'!$C$36+'前提と出典'!$C$38=0,X578&gt;=0),OR('前提と出典'!$C$37+'前提と出典'!$C$38=0,Y578&gt;=0)),0,A578)</ns0:f>
        <ns0:v>0</ns0:v>
      </ns0:c>
    </ns0:row>
    <ns0:row r="579" ht="24" customHeight="1">
      <ns0:c r="A579" s="4" t="n">
        <ns0:v>575</ns0:v>
      </ns0:c>
      <ns0:c r="B579" s="12">
        <ns0:f>A579*('前提と出典'!$C$36+'前提と出典'!$C$38)</ns0:f>
        <ns0:v>402.5</ns0:v>
      </ns0:c>
      <ns0:c r="C579" s="12">
        <ns0:f>A579*('前提と出典'!$C$37+'前提と出典'!$C$38)</ns0:f>
        <ns0:v>345</ns0:v>
      </ns0:c>
      <ns0:c r="D579" s="16">
        <ns0:f>A579*('前提と出典'!$C$36*'契約別単価'!C5+'前提と出典'!$C$37*'契約別単価'!C6+'前提と出典'!$C$38*'契約別単価'!C7)</ns0:f>
        <ns0:v>4137.430167597765</ns0:v>
      </ns0:c>
      <ns0:c r="E579" s="16">
        <ns0:f>A579*('前提と出典'!$C$36*'契約別単価'!E5+'前提と出典'!$C$37*'契約別単価'!E6+'前提と出典'!$C$38*'契約別単価'!E7)</ns0:f>
        <ns0:v>1112593.1776211103</ns0:v>
      </ns0:c>
      <ns0:c r="F579" s="16">
        <ns0:f>A579*('前提と出典'!$C$36*'契約別単価'!F5+'前提と出典'!$C$37*'契約別単価'!F6+'前提と出典'!$C$38*'契約別単価'!F7)</ns0:f>
        <ns0:v>436652.4008298032</ns0:v>
      </ns0:c>
      <ns0:c r="G579" s="16">
        <ns0:f>A579*('前提と出典'!$C$36*'契約別単価'!G5+'前提と出典'!$C$37*'契約別単価'!G6+'前提と出典'!$C$38*'契約別単価'!G7)</ns0:f>
        <ns0:v>1144539.1061452513</ns0:v>
      </ns0:c>
      <ns0:c r="H579" s="16">
        <ns0:f>A579*('前提と出典'!$C$36*'契約別単価'!H5+'前提と出典'!$C$37*'契約別単価'!H6+'前提と出典'!$C$38*'契約別単価'!H7)</ns0:f>
        <ns0:v>397212.4729794222</ns0:v>
      </ns0:c>
      <ns0:c r="I579" s="16">
        <ns0:f>A579*('前提と出典'!$C$36*'契約別単価'!I5+'前提と出典'!$C$37*'契約別単価'!I6+'前提と出典'!$C$38*'契約別単価'!I7)</ns0:f>
        <ns0:v>24262.430167597762</ns0:v>
      </ns0:c>
      <ns0:c r="J579" s="16">
        <ns0:f>A579*('前提と出典'!$C$36*'契約別単価'!J5+'前提と出典'!$C$37*'契約別単価'!J6+'前提と出典'!$C$38*'契約別単価'!J7)</ns0:f>
        <ns0:v>56516.487633423974</ns0:v>
      </ns0:c>
      <ns0:c r="K579" s="16">
        <ns0:f>A579*('前提と出典'!$C$36*'契約別単価'!K5+'前提と出典'!$C$37*'契約別単価'!K6+'前提と出典'!$C$38*'契約別単価'!K7)</ns0:f>
        <ns0:v>242249.53445065176</ns0:v>
      </ns0:c>
      <ns0:c r="L579" s="16">
        <ns0:f>A579*('前提と出典'!$C$36*'契約別単価'!L5+'前提と出典'!$C$37*'契約別単価'!L6+'前提と出典'!$C$38*'契約別単価'!L7)</ns0:f>
        <ns0:v>197240.41576598072</ns0:v>
      </ns0:c>
      <ns0:c r="M579" s="16">
        <ns0:f>IF(('前提と出典'!$C$36+'前提と出典'!$C$38)=0,0,IF(B579&lt;=10,'前提と出典'!B73+'前提と出典'!C73,IF(B579&lt;=100,'前提と出典'!B74+'前提と出典'!C74,IF(B579&lt;=500,'前提と出典'!B75+'前提と出典'!C75,'前提と出典'!B76+'前提と出典'!C76))))</ns0:f>
        <ns0:v>40000</ns0:v>
      </ns0:c>
      <ns0:c r="N579" s="16">
        <ns0:f>IF(('前提と出典'!$C$37+'前提と出典'!$C$38)=0,0,IF(C579&lt;=10,'前提と出典'!D73+'前提と出典'!E73,IF(C579&lt;=100,'前提と出典'!D74+'前提と出典'!E74,IF(C579&lt;=500,'前提と出典'!D75+'前提と出典'!E75,'前提と出典'!D76+'前提と出典'!E76))))</ns0:f>
        <ns0:v>56510.9346263078</ns0:v>
      </ns0:c>
      <ns0:c r="O579" s="16">
        <ns0:f>IF('前提と出典'!$C$36+'前提と出典'!$C$38=0,0,'前提と出典'!$B$4*IF('前提と出典'!$B$20=0,MAX('前提と出典'!$B$6,D579*'前提と出典'!$B$5),'前提と出典'!$B$6+D579*'前提と出典'!$B$5))</ns0:f>
        <ns0:v>570965.3631284916</ns0:v>
      </ns0:c>
      <ns0:c r="P579" s="16">
        <ns0:f>(E579+G579)*(1-'前提と出典'!$B$7)-I579-K579-M579-O579</ns0:f>
        <ns0:v>1298398.193804032</ns0:v>
      </ns0:c>
      <ns0:c r="Q579" s="16">
        <ns0:f>(F579+H579)*(1-'前提と出典'!$B$7)-J579-L579-N579</ns0:f>
        <ns0:v>493577.9003263808</ns0:v>
      </ns0:c>
      <ns0:c r="R579" s="16">
        <ns0:f>P579-E579*'前提と出典'!$E$4</ns0:f>
        <ns0:v>964620.2405176988</ns0:v>
      </ns0:c>
      <ns0:c r="S579" s="16">
        <ns0:f>Q579-F579*'前提と出典'!$E$4</ns0:f>
        <ns0:v>362582.18007743976</ns0:v>
      </ns0:c>
      <ns0:c r="T579" s="7">
        <ns0:f>R579+S579</ns0:f>
        <ns0:v>1327202.4205951386</ns0:v>
      </ns0:c>
      <ns0:c r="U579" s="16">
        <ns0:f>P579-E579*'前提と出典'!$E$5</ns0:f>
        <ns0:v>853360.9227555877</ns0:v>
      </ns0:c>
      <ns0:c r="V579" s="16">
        <ns0:f>Q579-F579*'前提と出典'!$E$5</ns0:f>
        <ns0:v>318916.9399944595</ns0:v>
      </ns0:c>
      <ns0:c r="W579" s="7">
        <ns0:f>U579+V579</ns0:f>
        <ns0:v>1172277.8627500474</ns0:v>
      </ns0:c>
      <ns0:c r="X579" s="16">
        <ns0:f>P579-E579*'前提と出典'!$E$6</ns0:f>
        <ns0:v>742101.6049934766</ns0:v>
      </ns0:c>
      <ns0:c r="Y579" s="16">
        <ns0:f>Q579-F579*'前提と出典'!$E$6</ns0:f>
        <ns0:v>275251.69991147914</ns0:v>
      </ns0:c>
      <ns0:c r="Z579" s="7">
        <ns0:f>X579+Y579</ns0:f>
        <ns0:v>1017353.3049049558</ns0:v>
      </ns0:c>
      <ns0:c r="AA579" s="7">
        <ns0:f>IF(T579&gt;=0,A579,1001)</ns0:f>
        <ns0:v>575</ns0:v>
      </ns0:c>
      <ns0:c r="AB579" s="7">
        <ns0:f>IF(T579&lt;0,A579,0)</ns0:f>
        <ns0:v>0</ns0:v>
      </ns0:c>
      <ns0:c r="AC579" s="16">
        <ns0:f>IF(AND(OR('前提と出典'!$C$36+'前提と出典'!$C$38=0,R579&gt;=0),OR('前提と出典'!$C$37+'前提と出典'!$C$38=0,S579&gt;=0)),0,A579)</ns0:f>
        <ns0:v>0</ns0:v>
      </ns0:c>
      <ns0:c r="AD579" s="7">
        <ns0:f>IF(W579&gt;=0,A579,1001)</ns0:f>
        <ns0:v>575</ns0:v>
      </ns0:c>
      <ns0:c r="AE579" s="7">
        <ns0:f>IF(W579&lt;0,A579,0)</ns0:f>
        <ns0:v>0</ns0:v>
      </ns0:c>
      <ns0:c r="AF579" s="16">
        <ns0:f>IF(AND(OR('前提と出典'!$C$36+'前提と出典'!$C$38=0,U579&gt;=0),OR('前提と出典'!$C$37+'前提と出典'!$C$38=0,V579&gt;=0)),0,A579)</ns0:f>
        <ns0:v>0</ns0:v>
      </ns0:c>
      <ns0:c r="AG579" s="7">
        <ns0:f>IF(Z579&gt;=0,A579,1001)</ns0:f>
        <ns0:v>575</ns0:v>
      </ns0:c>
      <ns0:c r="AH579" s="4">
        <ns0:f>IF(Z579&lt;0,A579,0)</ns0:f>
        <ns0:v>0</ns0:v>
      </ns0:c>
      <ns0:c r="AI579" s="12">
        <ns0:f>IF(AND(OR('前提と出典'!$C$36+'前提と出典'!$C$38=0,X579&gt;=0),OR('前提と出典'!$C$37+'前提と出典'!$C$38=0,Y579&gt;=0)),0,A579)</ns0:f>
        <ns0:v>0</ns0:v>
      </ns0:c>
    </ns0:row>
    <ns0:row r="580" ht="24" customHeight="1">
      <ns0:c r="A580" s="4" t="n">
        <ns0:v>576</ns0:v>
      </ns0:c>
      <ns0:c r="B580" s="12">
        <ns0:f>A580*('前提と出典'!$C$36+'前提と出典'!$C$38)</ns0:f>
        <ns0:v>403.2</ns0:v>
      </ns0:c>
      <ns0:c r="C580" s="12">
        <ns0:f>A580*('前提と出典'!$C$37+'前提と出典'!$C$38)</ns0:f>
        <ns0:v>345.59999999999997</ns0:v>
      </ns0:c>
      <ns0:c r="D580" s="16">
        <ns0:f>A580*('前提と出典'!$C$36*'契約別単価'!C5+'前提と出典'!$C$37*'契約別単価'!C6+'前提と出典'!$C$38*'契約別単価'!C7)</ns0:f>
        <ns0:v>4144.625698324022</ns0:v>
      </ns0:c>
      <ns0:c r="E580" s="16">
        <ns0:f>A580*('前提と出典'!$C$36*'契約別単価'!E5+'前提と出典'!$C$37*'契約別単価'!E6+'前提と出典'!$C$38*'契約別単価'!E7)</ns0:f>
        <ns0:v>1114528.1222778428</ns0:v>
      </ns0:c>
      <ns0:c r="F580" s="16">
        <ns0:f>A580*('前提と出典'!$C$36*'契約別単価'!F5+'前提と出典'!$C$37*'契約別単価'!F6+'前提と出典'!$C$38*'契約別単価'!F7)</ns0:f>
        <ns0:v>437411.7963095072</ns0:v>
      </ns0:c>
      <ns0:c r="G580" s="16">
        <ns0:f>A580*('前提と出典'!$C$36*'契約別単価'!G5+'前提と出典'!$C$37*'契約別単価'!G6+'前提と出典'!$C$38*'契約別単価'!G7)</ns0:f>
        <ns0:v>1146529.6089385473</ns0:v>
      </ns0:c>
      <ns0:c r="H580" s="16">
        <ns0:f>A580*('前提と出典'!$C$36*'契約別単価'!H5+'前提と出典'!$C$37*'契約別単価'!H6+'前提と出典'!$C$38*'契約別単価'!H7)</ns0:f>
        <ns0:v>397903.2772802559</ns0:v>
      </ns0:c>
      <ns0:c r="I580" s="16">
        <ns0:f>A580*('前提と出典'!$C$36*'契約別単価'!I5+'前提と出典'!$C$37*'契約別単価'!I6+'前提と出典'!$C$38*'契約別単価'!I7)</ns0:f>
        <ns0:v>24304.625698324016</ns0:v>
      </ns0:c>
      <ns0:c r="J580" s="16">
        <ns0:f>A580*('前提と出典'!$C$36*'契約別単価'!J5+'前提と出典'!$C$37*'契約別単価'!J6+'前提と出典'!$C$38*'契約別単価'!J7)</ns0:f>
        <ns0:v>56614.77717713428</ns0:v>
      </ns0:c>
      <ns0:c r="K580" s="16">
        <ns0:f>A580*('前提と出典'!$C$36*'契約別単価'!K5+'前提と出典'!$C$37*'契約別単価'!K6+'前提と出典'!$C$38*'契約別単価'!K7)</ns0:f>
        <ns0:v>242670.8379888268</ns0:v>
      </ns0:c>
      <ns0:c r="L580" s="16">
        <ns0:f>A580*('前提と出典'!$C$36*'契約別単価'!L5+'前提と出典'!$C$37*'契約別単価'!L6+'前提と出典'!$C$38*'契約別単価'!L7)</ns0:f>
        <ns0:v>197583.44257600853</ns0:v>
      </ns0:c>
      <ns0:c r="M580" s="16">
        <ns0:f>IF(('前提と出典'!$C$36+'前提と出典'!$C$38)=0,0,IF(B580&lt;=10,'前提と出典'!B73+'前提と出典'!C73,IF(B580&lt;=100,'前提と出典'!B74+'前提と出典'!C74,IF(B580&lt;=500,'前提と出典'!B75+'前提と出典'!C75,'前提と出典'!B76+'前提と出典'!C76))))</ns0:f>
        <ns0:v>40000</ns0:v>
      </ns0:c>
      <ns0:c r="N580" s="16">
        <ns0:f>IF(('前提と出典'!$C$37+'前提と出典'!$C$38)=0,0,IF(C580&lt;=10,'前提と出典'!D73+'前提と出典'!E73,IF(C580&lt;=100,'前提と出典'!D74+'前提と出典'!E74,IF(C580&lt;=500,'前提と出典'!D75+'前提と出典'!E75,'前提と出典'!D76+'前提と出典'!E76))))</ns0:f>
        <ns0:v>56510.9346263078</ns0:v>
      </ns0:c>
      <ns0:c r="O580" s="16">
        <ns0:f>IF('前提と出典'!$C$36+'前提と出典'!$C$38=0,0,'前提と出典'!$B$4*IF('前提と出典'!$B$20=0,MAX('前提と出典'!$B$6,D580*'前提と出典'!$B$5),'前提と出典'!$B$6+D580*'前提と出典'!$B$5))</ns0:f>
        <ns0:v>571958.346368715</ns0:v>
      </ns0:c>
      <ns0:c r="P580" s="16">
        <ns0:f>(E580+G580)*(1-'前提と出典'!$B$7)-I580-K580-M580-O580</ns0:f>
        <ns0:v>1300725.842836734</ns0:v>
      </ns0:c>
      <ns0:c r="Q580" s="16">
        <ns0:f>(F580+H580)*(1-'前提と出典'!$B$7)-J580-L580-N580</ns0:f>
        <ns0:v>494534.5765610811</ns0:v>
      </ns0:c>
      <ns0:c r="R580" s="16">
        <ns0:f>P580-E580*'前提と出典'!$E$4</ns0:f>
        <ns0:v>966367.4061533815</ns0:v>
      </ns0:c>
      <ns0:c r="S580" s="16">
        <ns0:f>Q580-F580*'前提と出典'!$E$4</ns0:f>
        <ns0:v>363311.03766822896</ns0:v>
      </ns0:c>
      <ns0:c r="T580" s="7">
        <ns0:f>R580+S580</ns0:f>
        <ns0:v>1329678.4438216104</ns0:v>
      </ns0:c>
      <ns0:c r="U580" s="16">
        <ns0:f>P580-E580*'前提と出典'!$E$5</ns0:f>
        <ns0:v>854914.5939255968</ns0:v>
      </ns0:c>
      <ns0:c r="V580" s="16">
        <ns0:f>Q580-F580*'前提と出典'!$E$5</ns0:f>
        <ns0:v>319569.8580372782</ns0:v>
      </ns0:c>
      <ns0:c r="W580" s="7">
        <ns0:f>U580+V580</ns0:f>
        <ns0:v>1174484.451962875</ns0:v>
      </ns0:c>
      <ns0:c r="X580" s="16">
        <ns0:f>P580-E580*'前提と出典'!$E$6</ns0:f>
        <ns0:v>743461.7816978126</ns0:v>
      </ns0:c>
      <ns0:c r="Y580" s="16">
        <ns0:f>Q580-F580*'前提と出典'!$E$6</ns0:f>
        <ns0:v>275828.6784063275</ns0:v>
      </ns0:c>
      <ns0:c r="Z580" s="7">
        <ns0:f>X580+Y580</ns0:f>
        <ns0:v>1019290.4601041401</ns0:v>
      </ns0:c>
      <ns0:c r="AA580" s="7">
        <ns0:f>IF(T580&gt;=0,A580,1001)</ns0:f>
        <ns0:v>576</ns0:v>
      </ns0:c>
      <ns0:c r="AB580" s="7">
        <ns0:f>IF(T580&lt;0,A580,0)</ns0:f>
        <ns0:v>0</ns0:v>
      </ns0:c>
      <ns0:c r="AC580" s="16">
        <ns0:f>IF(AND(OR('前提と出典'!$C$36+'前提と出典'!$C$38=0,R580&gt;=0),OR('前提と出典'!$C$37+'前提と出典'!$C$38=0,S580&gt;=0)),0,A580)</ns0:f>
        <ns0:v>0</ns0:v>
      </ns0:c>
      <ns0:c r="AD580" s="7">
        <ns0:f>IF(W580&gt;=0,A580,1001)</ns0:f>
        <ns0:v>576</ns0:v>
      </ns0:c>
      <ns0:c r="AE580" s="7">
        <ns0:f>IF(W580&lt;0,A580,0)</ns0:f>
        <ns0:v>0</ns0:v>
      </ns0:c>
      <ns0:c r="AF580" s="16">
        <ns0:f>IF(AND(OR('前提と出典'!$C$36+'前提と出典'!$C$38=0,U580&gt;=0),OR('前提と出典'!$C$37+'前提と出典'!$C$38=0,V580&gt;=0)),0,A580)</ns0:f>
        <ns0:v>0</ns0:v>
      </ns0:c>
      <ns0:c r="AG580" s="7">
        <ns0:f>IF(Z580&gt;=0,A580,1001)</ns0:f>
        <ns0:v>576</ns0:v>
      </ns0:c>
      <ns0:c r="AH580" s="4">
        <ns0:f>IF(Z580&lt;0,A580,0)</ns0:f>
        <ns0:v>0</ns0:v>
      </ns0:c>
      <ns0:c r="AI580" s="12">
        <ns0:f>IF(AND(OR('前提と出典'!$C$36+'前提と出典'!$C$38=0,X580&gt;=0),OR('前提と出典'!$C$37+'前提と出典'!$C$38=0,Y580&gt;=0)),0,A580)</ns0:f>
        <ns0:v>0</ns0:v>
      </ns0:c>
    </ns0:row>
    <ns0:row r="581" ht="24" customHeight="1">
      <ns0:c r="A581" s="4" t="n">
        <ns0:v>577</ns0:v>
      </ns0:c>
      <ns0:c r="B581" s="12">
        <ns0:f>A581*('前提と出典'!$C$36+'前提と出典'!$C$38)</ns0:f>
        <ns0:v>403.9</ns0:v>
      </ns0:c>
      <ns0:c r="C581" s="12">
        <ns0:f>A581*('前提と出典'!$C$37+'前提と出典'!$C$38)</ns0:f>
        <ns0:v>346.2</ns0:v>
      </ns0:c>
      <ns0:c r="D581" s="16">
        <ns0:f>A581*('前提と出典'!$C$36*'契約別単価'!C5+'前提と出典'!$C$37*'契約別単価'!C6+'前提と出典'!$C$38*'契約別単価'!C7)</ns0:f>
        <ns0:v>4151.82122905028</ns0:v>
      </ns0:c>
      <ns0:c r="E581" s="16">
        <ns0:f>A581*('前提と出典'!$C$36*'契約別単価'!E5+'前提と出典'!$C$37*'契約別単価'!E6+'前提と出典'!$C$38*'契約別単価'!E7)</ns0:f>
        <ns0:v>1116463.066934575</ns0:v>
      </ns0:c>
      <ns0:c r="F581" s="16">
        <ns0:f>A581*('前提と出典'!$C$36*'契約別単価'!F5+'前提と出典'!$C$37*'契約別単価'!F6+'前提と出典'!$C$38*'契約別単価'!F7)</ns0:f>
        <ns0:v>438171.1917892112</ns0:v>
      </ns0:c>
      <ns0:c r="G581" s="16">
        <ns0:f>A581*('前提と出典'!$C$36*'契約別単価'!G5+'前提と出典'!$C$37*'契約別単価'!G6+'前提と出典'!$C$38*'契約別単価'!G7)</ns0:f>
        <ns0:v>1148520.1117318436</ns0:v>
      </ns0:c>
      <ns0:c r="H581" s="16">
        <ns0:f>A581*('前提と出典'!$C$36*'契約別単価'!H5+'前提と出典'!$C$37*'契約別単価'!H6+'前提と出典'!$C$38*'契約別単価'!H7)</ns0:f>
        <ns0:v>398594.0815810897</ns0:v>
      </ns0:c>
      <ns0:c r="I581" s="16">
        <ns0:f>A581*('前提と出典'!$C$36*'契約別単価'!I5+'前提と出典'!$C$37*'契約別単価'!I6+'前提と出典'!$C$38*'契約別単価'!I7)</ns0:f>
        <ns0:v>24346.821229050274</ns0:v>
      </ns0:c>
      <ns0:c r="J581" s="16">
        <ns0:f>A581*('前提と出典'!$C$36*'契約別単価'!J5+'前提と出典'!$C$37*'契約別単価'!J6+'前提と出典'!$C$38*'契約別単価'!J7)</ns0:f>
        <ns0:v>56713.06672084458</ns0:v>
      </ns0:c>
      <ns0:c r="K581" s="16">
        <ns0:f>A581*('前提と出典'!$C$36*'契約別単価'!K5+'前提と出典'!$C$37*'契約別単価'!K6+'前提と出典'!$C$38*'契約別単価'!K7)</ns0:f>
        <ns0:v>243092.14152700183</ns0:v>
      </ns0:c>
      <ns0:c r="L581" s="16">
        <ns0:f>A581*('前提と出典'!$C$36*'契約別単価'!L5+'前提と出典'!$C$37*'契約別単価'!L6+'前提と出典'!$C$38*'契約別単価'!L7)</ns0:f>
        <ns0:v>197926.4693860363</ns0:v>
      </ns0:c>
      <ns0:c r="M581" s="16">
        <ns0:f>IF(('前提と出典'!$C$36+'前提と出典'!$C$38)=0,0,IF(B581&lt;=10,'前提と出典'!B73+'前提と出典'!C73,IF(B581&lt;=100,'前提と出典'!B74+'前提と出典'!C74,IF(B581&lt;=500,'前提と出典'!B75+'前提と出典'!C75,'前提と出典'!B76+'前提と出典'!C76))))</ns0:f>
        <ns0:v>40000</ns0:v>
      </ns0:c>
      <ns0:c r="N581" s="16">
        <ns0:f>IF(('前提と出典'!$C$37+'前提と出典'!$C$38)=0,0,IF(C581&lt;=10,'前提と出典'!D73+'前提と出典'!E73,IF(C581&lt;=100,'前提と出典'!D74+'前提と出典'!E74,IF(C581&lt;=500,'前提と出典'!D75+'前提と出典'!E75,'前提と出典'!D76+'前提と出典'!E76))))</ns0:f>
        <ns0:v>56510.9346263078</ns0:v>
      </ns0:c>
      <ns0:c r="O581" s="16">
        <ns0:f>IF('前提と出典'!$C$36+'前提と出典'!$C$38=0,0,'前提と出典'!$B$4*IF('前提と出典'!$B$20=0,MAX('前提と出典'!$B$6,D581*'前提と出典'!$B$5),'前提と出典'!$B$6+D581*'前提と出典'!$B$5))</ns0:f>
        <ns0:v>572951.3296089387</ns0:v>
      </ns0:c>
      <ns0:c r="P581" s="16">
        <ns0:f>(E581+G581)*(1-'前提と出典'!$B$7)-I581-K581-M581-O581</ns0:f>
        <ns0:v>1303053.4918694368</ns0:v>
      </ns0:c>
      <ns0:c r="Q581" s="16">
        <ns0:f>(F581+H581)*(1-'前提と出典'!$B$7)-J581-L581-N581</ns0:f>
        <ns0:v>495491.25279578136</ns0:v>
      </ns0:c>
      <ns0:c r="R581" s="16">
        <ns0:f>P581-E581*'前提と出典'!$E$4</ns0:f>
        <ns0:v>968114.5717890642</ns0:v>
      </ns0:c>
      <ns0:c r="S581" s="16">
        <ns0:f>Q581-F581*'前提と出典'!$E$4</ns0:f>
        <ns0:v>364039.89525901794</ns0:v>
      </ns0:c>
      <ns0:c r="T581" s="7">
        <ns0:f>R581+S581</ns0:f>
        <ns0:v>1332154.467048082</ns0:v>
      </ns0:c>
      <ns0:c r="U581" s="16">
        <ns0:f>P581-E581*'前提と出典'!$E$5</ns0:f>
        <ns0:v>856468.2650956067</ns0:v>
      </ns0:c>
      <ns0:c r="V581" s="16">
        <ns0:f>Q581-F581*'前提と出典'!$E$5</ns0:f>
        <ns0:v>320222.77608009684</ns0:v>
      </ns0:c>
      <ns0:c r="W581" s="7">
        <ns0:f>U581+V581</ns0:f>
        <ns0:v>1176691.0411757035</ns0:v>
      </ns0:c>
      <ns0:c r="X581" s="16">
        <ns0:f>P581-E581*'前提と出典'!$E$6</ns0:f>
        <ns0:v>744821.9584021491</ns0:v>
      </ns0:c>
      <ns0:c r="Y581" s="16">
        <ns0:f>Q581-F581*'前提と出典'!$E$6</ns0:f>
        <ns0:v>276405.65690117574</ns0:v>
      </ns0:c>
      <ns0:c r="Z581" s="7">
        <ns0:f>X581+Y581</ns0:f>
        <ns0:v>1021227.6153033249</ns0:v>
      </ns0:c>
      <ns0:c r="AA581" s="7">
        <ns0:f>IF(T581&gt;=0,A581,1001)</ns0:f>
        <ns0:v>577</ns0:v>
      </ns0:c>
      <ns0:c r="AB581" s="7">
        <ns0:f>IF(T581&lt;0,A581,0)</ns0:f>
        <ns0:v>0</ns0:v>
      </ns0:c>
      <ns0:c r="AC581" s="16">
        <ns0:f>IF(AND(OR('前提と出典'!$C$36+'前提と出典'!$C$38=0,R581&gt;=0),OR('前提と出典'!$C$37+'前提と出典'!$C$38=0,S581&gt;=0)),0,A581)</ns0:f>
        <ns0:v>0</ns0:v>
      </ns0:c>
      <ns0:c r="AD581" s="7">
        <ns0:f>IF(W581&gt;=0,A581,1001)</ns0:f>
        <ns0:v>577</ns0:v>
      </ns0:c>
      <ns0:c r="AE581" s="7">
        <ns0:f>IF(W581&lt;0,A581,0)</ns0:f>
        <ns0:v>0</ns0:v>
      </ns0:c>
      <ns0:c r="AF581" s="16">
        <ns0:f>IF(AND(OR('前提と出典'!$C$36+'前提と出典'!$C$38=0,U581&gt;=0),OR('前提と出典'!$C$37+'前提と出典'!$C$38=0,V581&gt;=0)),0,A581)</ns0:f>
        <ns0:v>0</ns0:v>
      </ns0:c>
      <ns0:c r="AG581" s="7">
        <ns0:f>IF(Z581&gt;=0,A581,1001)</ns0:f>
        <ns0:v>577</ns0:v>
      </ns0:c>
      <ns0:c r="AH581" s="4">
        <ns0:f>IF(Z581&lt;0,A581,0)</ns0:f>
        <ns0:v>0</ns0:v>
      </ns0:c>
      <ns0:c r="AI581" s="12">
        <ns0:f>IF(AND(OR('前提と出典'!$C$36+'前提と出典'!$C$38=0,X581&gt;=0),OR('前提と出典'!$C$37+'前提と出典'!$C$38=0,Y581&gt;=0)),0,A581)</ns0:f>
        <ns0:v>0</ns0:v>
      </ns0:c>
    </ns0:row>
    <ns0:row r="582" ht="24" customHeight="1">
      <ns0:c r="A582" s="4" t="n">
        <ns0:v>578</ns0:v>
      </ns0:c>
      <ns0:c r="B582" s="12">
        <ns0:f>A582*('前提と出典'!$C$36+'前提と出典'!$C$38)</ns0:f>
        <ns0:v>404.59999999999997</ns0:v>
      </ns0:c>
      <ns0:c r="C582" s="12">
        <ns0:f>A582*('前提と出典'!$C$37+'前提と出典'!$C$38)</ns0:f>
        <ns0:v>346.8</ns0:v>
      </ns0:c>
      <ns0:c r="D582" s="16">
        <ns0:f>A582*('前提と出典'!$C$36*'契約別単価'!C5+'前提と出典'!$C$37*'契約別単価'!C6+'前提と出典'!$C$38*'契約別単価'!C7)</ns0:f>
        <ns0:v>4159.016759776537</ns0:v>
      </ns0:c>
      <ns0:c r="E582" s="16">
        <ns0:f>A582*('前提と出典'!$C$36*'契約別単価'!E5+'前提と出典'!$C$37*'契約別単価'!E6+'前提と出典'!$C$38*'契約別単価'!E7)</ns0:f>
        <ns0:v>1118398.0115913076</ns0:v>
      </ns0:c>
      <ns0:c r="F582" s="16">
        <ns0:f>A582*('前提と出典'!$C$36*'契約別単価'!F5+'前提と出典'!$C$37*'契約別単価'!F6+'前提と出典'!$C$38*'契約別単価'!F7)</ns0:f>
        <ns0:v>438930.5872689152</ns0:v>
      </ns0:c>
      <ns0:c r="G582" s="16">
        <ns0:f>A582*('前提と出典'!$C$36*'契約別単価'!G5+'前提と出典'!$C$37*'契約別単価'!G6+'前提と出典'!$C$38*'契約別単価'!G7)</ns0:f>
        <ns0:v>1150510.6145251396</ns0:v>
      </ns0:c>
      <ns0:c r="H582" s="16">
        <ns0:f>A582*('前提と出典'!$C$36*'契約別単価'!H5+'前提と出典'!$C$37*'契約別単価'!H6+'前提と出典'!$C$38*'契約別単価'!H7)</ns0:f>
        <ns0:v>399284.8858819235</ns0:v>
      </ns0:c>
      <ns0:c r="I582" s="16">
        <ns0:f>A582*('前提と出典'!$C$36*'契約別単価'!I5+'前提と出典'!$C$37*'契約別単価'!I6+'前提と出典'!$C$38*'契約別単価'!I7)</ns0:f>
        <ns0:v>24389.016759776532</ns0:v>
      </ns0:c>
      <ns0:c r="J582" s="16">
        <ns0:f>A582*('前提と出典'!$C$36*'契約別単価'!J5+'前提と出典'!$C$37*'契約別単価'!J6+'前提と出典'!$C$38*'契約別単価'!J7)</ns0:f>
        <ns0:v>56811.35626455488</ns0:v>
      </ns0:c>
      <ns0:c r="K582" s="16">
        <ns0:f>A582*('前提と出典'!$C$36*'契約別単価'!K5+'前提と出典'!$C$37*'契約別単価'!K6+'前提と出典'!$C$38*'契約別単価'!K7)</ns0:f>
        <ns0:v>243513.4450651769</ns0:v>
      </ns0:c>
      <ns0:c r="L582" s="16">
        <ns0:f>A582*('前提と出典'!$C$36*'契約別単価'!L5+'前提と出典'!$C$37*'契約別単価'!L6+'前提と出典'!$C$38*'契約別単価'!L7)</ns0:f>
        <ns0:v>198269.4961960641</ns0:v>
      </ns0:c>
      <ns0:c r="M582" s="16">
        <ns0:f>IF(('前提と出典'!$C$36+'前提と出典'!$C$38)=0,0,IF(B582&lt;=10,'前提と出典'!B73+'前提と出典'!C73,IF(B582&lt;=100,'前提と出典'!B74+'前提と出典'!C74,IF(B582&lt;=500,'前提と出典'!B75+'前提と出典'!C75,'前提と出典'!B76+'前提と出典'!C76))))</ns0:f>
        <ns0:v>40000</ns0:v>
      </ns0:c>
      <ns0:c r="N582" s="16">
        <ns0:f>IF(('前提と出典'!$C$37+'前提と出典'!$C$38)=0,0,IF(C582&lt;=10,'前提と出典'!D73+'前提と出典'!E73,IF(C582&lt;=100,'前提と出典'!D74+'前提と出典'!E74,IF(C582&lt;=500,'前提と出典'!D75+'前提と出典'!E75,'前提と出典'!D76+'前提と出典'!E76))))</ns0:f>
        <ns0:v>56510.9346263078</ns0:v>
      </ns0:c>
      <ns0:c r="O582" s="16">
        <ns0:f>IF('前提と出典'!$C$36+'前提と出典'!$C$38=0,0,'前提と出典'!$B$4*IF('前提と出典'!$B$20=0,MAX('前提と出典'!$B$6,D582*'前提と出典'!$B$5),'前提と出典'!$B$6+D582*'前提と出典'!$B$5))</ns0:f>
        <ns0:v>573944.3128491621</ns0:v>
      </ns0:c>
      <ns0:c r="P582" s="16">
        <ns0:f>(E582+G582)*(1-'前提と出典'!$B$7)-I582-K582-M582-O582</ns0:f>
        <ns0:v>1305381.1409021395</ns0:v>
      </ns0:c>
      <ns0:c r="Q582" s="16">
        <ns0:f>(F582+H582)*(1-'前提と出典'!$B$7)-J582-L582-N582</ns0:f>
        <ns0:v>496447.92903048167</ns0:v>
      </ns0:c>
      <ns0:c r="R582" s="16">
        <ns0:f>P582-E582*'前提と出典'!$E$4</ns0:f>
        <ns0:v>969861.7374247473</ns0:v>
      </ns0:c>
      <ns0:c r="S582" s="16">
        <ns0:f>Q582-F582*'前提と出典'!$E$4</ns0:f>
        <ns0:v>364768.7528498071</ns0:v>
      </ns0:c>
      <ns0:c r="T582" s="7">
        <ns0:f>R582+S582</ns0:f>
        <ns0:v>1334630.4902745544</ns0:v>
      </ns0:c>
      <ns0:c r="U582" s="16">
        <ns0:f>P582-E582*'前提と出典'!$E$5</ns0:f>
        <ns0:v>858021.9362656164</ns0:v>
      </ns0:c>
      <ns0:c r="V582" s="16">
        <ns0:f>Q582-F582*'前提と出典'!$E$5</ns0:f>
        <ns0:v>320875.69412291556</ns0:v>
      </ns0:c>
      <ns0:c r="W582" s="7">
        <ns0:f>U582+V582</ns0:f>
        <ns0:v>1178897.630388532</ns0:v>
      </ns0:c>
      <ns0:c r="X582" s="16">
        <ns0:f>P582-E582*'前提と出典'!$E$6</ns0:f>
        <ns0:v>746182.1351064856</ns0:v>
      </ns0:c>
      <ns0:c r="Y582" s="16">
        <ns0:f>Q582-F582*'前提と出典'!$E$6</ns0:f>
        <ns0:v>276982.63539602404</ns0:v>
      </ns0:c>
      <ns0:c r="Z582" s="7">
        <ns0:f>X582+Y582</ns0:f>
        <ns0:v>1023164.7705025095</ns0:v>
      </ns0:c>
      <ns0:c r="AA582" s="7">
        <ns0:f>IF(T582&gt;=0,A582,1001)</ns0:f>
        <ns0:v>578</ns0:v>
      </ns0:c>
      <ns0:c r="AB582" s="7">
        <ns0:f>IF(T582&lt;0,A582,0)</ns0:f>
        <ns0:v>0</ns0:v>
      </ns0:c>
      <ns0:c r="AC582" s="16">
        <ns0:f>IF(AND(OR('前提と出典'!$C$36+'前提と出典'!$C$38=0,R582&gt;=0),OR('前提と出典'!$C$37+'前提と出典'!$C$38=0,S582&gt;=0)),0,A582)</ns0:f>
        <ns0:v>0</ns0:v>
      </ns0:c>
      <ns0:c r="AD582" s="7">
        <ns0:f>IF(W582&gt;=0,A582,1001)</ns0:f>
        <ns0:v>578</ns0:v>
      </ns0:c>
      <ns0:c r="AE582" s="7">
        <ns0:f>IF(W582&lt;0,A582,0)</ns0:f>
        <ns0:v>0</ns0:v>
      </ns0:c>
      <ns0:c r="AF582" s="16">
        <ns0:f>IF(AND(OR('前提と出典'!$C$36+'前提と出典'!$C$38=0,U582&gt;=0),OR('前提と出典'!$C$37+'前提と出典'!$C$38=0,V582&gt;=0)),0,A582)</ns0:f>
        <ns0:v>0</ns0:v>
      </ns0:c>
      <ns0:c r="AG582" s="7">
        <ns0:f>IF(Z582&gt;=0,A582,1001)</ns0:f>
        <ns0:v>578</ns0:v>
      </ns0:c>
      <ns0:c r="AH582" s="4">
        <ns0:f>IF(Z582&lt;0,A582,0)</ns0:f>
        <ns0:v>0</ns0:v>
      </ns0:c>
      <ns0:c r="AI582" s="12">
        <ns0:f>IF(AND(OR('前提と出典'!$C$36+'前提と出典'!$C$38=0,X582&gt;=0),OR('前提と出典'!$C$37+'前提と出典'!$C$38=0,Y582&gt;=0)),0,A582)</ns0:f>
        <ns0:v>0</ns0:v>
      </ns0:c>
    </ns0:row>
    <ns0:row r="583" ht="24" customHeight="1">
      <ns0:c r="A583" s="4" t="n">
        <ns0:v>579</ns0:v>
      </ns0:c>
      <ns0:c r="B583" s="12">
        <ns0:f>A583*('前提と出典'!$C$36+'前提と出典'!$C$38)</ns0:f>
        <ns0:v>405.29999999999995</ns0:v>
      </ns0:c>
      <ns0:c r="C583" s="12">
        <ns0:f>A583*('前提と出典'!$C$37+'前提と出典'!$C$38)</ns0:f>
        <ns0:v>347.4</ns0:v>
      </ns0:c>
      <ns0:c r="D583" s="16">
        <ns0:f>A583*('前提と出典'!$C$36*'契約別単価'!C5+'前提と出典'!$C$37*'契約別単価'!C6+'前提と出典'!$C$38*'契約別単価'!C7)</ns0:f>
        <ns0:v>4166.212290502794</ns0:v>
      </ns0:c>
      <ns0:c r="E583" s="16">
        <ns0:f>A583*('前提と出典'!$C$36*'契約別単価'!E5+'前提と出典'!$C$37*'契約別単価'!E6+'前提と出典'!$C$38*'契約別単価'!E7)</ns0:f>
        <ns0:v>1120332.9562480398</ns0:v>
      </ns0:c>
      <ns0:c r="F583" s="16">
        <ns0:f>A583*('前提と出典'!$C$36*'契約別単価'!F5+'前提と出典'!$C$37*'契約別単価'!F6+'前提と出典'!$C$38*'契約別単価'!F7)</ns0:f>
        <ns0:v>439689.9827486192</ns0:v>
      </ns0:c>
      <ns0:c r="G583" s="16">
        <ns0:f>A583*('前提と出典'!$C$36*'契約別単価'!G5+'前提と出典'!$C$37*'契約別単価'!G6+'前提と出典'!$C$38*'契約別単価'!G7)</ns0:f>
        <ns0:v>1152501.1173184358</ns0:v>
      </ns0:c>
      <ns0:c r="H583" s="16">
        <ns0:f>A583*('前提と出典'!$C$36*'契約別単価'!H5+'前提と出典'!$C$37*'契約別単価'!H6+'前提と出典'!$C$38*'契約別単価'!H7)</ns0:f>
        <ns0:v>399975.6901827573</ns0:v>
      </ns0:c>
      <ns0:c r="I583" s="16">
        <ns0:f>A583*('前提と出典'!$C$36*'契約別単価'!I5+'前提と出典'!$C$37*'契約別単価'!I6+'前提と出典'!$C$38*'契約別単価'!I7)</ns0:f>
        <ns0:v>24431.21229050279</ns0:v>
      </ns0:c>
      <ns0:c r="J583" s="16">
        <ns0:f>A583*('前提と出典'!$C$36*'契約別単価'!J5+'前提と出典'!$C$37*'契約別単価'!J6+'前提と出典'!$C$38*'契約別単価'!J7)</ns0:f>
        <ns0:v>56909.64580826519</ns0:v>
      </ns0:c>
      <ns0:c r="K583" s="16">
        <ns0:f>A583*('前提と出典'!$C$36*'契約別単価'!K5+'前提と出典'!$C$37*'契約別単価'!K6+'前提と出典'!$C$38*'契約別単価'!K7)</ns0:f>
        <ns0:v>243934.74860335194</ns0:v>
      </ns0:c>
      <ns0:c r="L583" s="16">
        <ns0:f>A583*('前提と出典'!$C$36*'契約別単価'!L5+'前提と出典'!$C$37*'契約別単価'!L6+'前提と出典'!$C$38*'契約別単価'!L7)</ns0:f>
        <ns0:v>198612.5230060919</ns0:v>
      </ns0:c>
      <ns0:c r="M583" s="16">
        <ns0:f>IF(('前提と出典'!$C$36+'前提と出典'!$C$38)=0,0,IF(B583&lt;=10,'前提と出典'!B73+'前提と出典'!C73,IF(B583&lt;=100,'前提と出典'!B74+'前提と出典'!C74,IF(B583&lt;=500,'前提と出典'!B75+'前提と出典'!C75,'前提と出典'!B76+'前提と出典'!C76))))</ns0:f>
        <ns0:v>40000</ns0:v>
      </ns0:c>
      <ns0:c r="N583" s="16">
        <ns0:f>IF(('前提と出典'!$C$37+'前提と出典'!$C$38)=0,0,IF(C583&lt;=10,'前提と出典'!D73+'前提と出典'!E73,IF(C583&lt;=100,'前提と出典'!D74+'前提と出典'!E74,IF(C583&lt;=500,'前提と出典'!D75+'前提と出典'!E75,'前提と出典'!D76+'前提と出典'!E76))))</ns0:f>
        <ns0:v>56510.9346263078</ns0:v>
      </ns0:c>
      <ns0:c r="O583" s="16">
        <ns0:f>IF('前提と出典'!$C$36+'前提と出典'!$C$38=0,0,'前提と出典'!$B$4*IF('前提と出典'!$B$20=0,MAX('前提と出典'!$B$6,D583*'前提と出典'!$B$5),'前提と出典'!$B$6+D583*'前提と出典'!$B$5))</ns0:f>
        <ns0:v>574937.2960893855</ns0:v>
      </ns0:c>
      <ns0:c r="P583" s="16">
        <ns0:f>(E583+G583)*(1-'前提と出典'!$B$7)-I583-K583-M583-O583</ns0:f>
        <ns0:v>1307708.7899348424</ns0:v>
      </ns0:c>
      <ns0:c r="Q583" s="16">
        <ns0:f>(F583+H583)*(1-'前提と出典'!$B$7)-J583-L583-N583</ns0:f>
        <ns0:v>497404.605265182</ns0:v>
      </ns0:c>
      <ns0:c r="R583" s="16">
        <ns0:f>P583-E583*'前提と出典'!$E$4</ns0:f>
        <ns0:v>971608.9030604305</ns0:v>
      </ns0:c>
      <ns0:c r="S583" s="16">
        <ns0:f>Q583-F583*'前提と出典'!$E$4</ns0:f>
        <ns0:v>365497.61044059624</ns0:v>
      </ns0:c>
      <ns0:c r="T583" s="7">
        <ns0:f>R583+S583</ns0:f>
        <ns0:v>1337106.5135010267</ns0:v>
      </ns0:c>
      <ns0:c r="U583" s="16">
        <ns0:f>P583-E583*'前提と出典'!$E$5</ns0:f>
        <ns0:v>859575.6074356266</ns0:v>
      </ns0:c>
      <ns0:c r="V583" s="16">
        <ns0:f>Q583-F583*'前提と出典'!$E$5</ns0:f>
        <ns0:v>321528.6121657343</ns0:v>
      </ns0:c>
      <ns0:c r="W583" s="7">
        <ns0:f>U583+V583</ns0:f>
        <ns0:v>1181104.2196013608</ns0:v>
      </ns0:c>
      <ns0:c r="X583" s="16">
        <ns0:f>P583-E583*'前提と出典'!$E$6</ns0:f>
        <ns0:v>747542.3118108226</ns0:v>
      </ns0:c>
      <ns0:c r="Y583" s="16">
        <ns0:f>Q583-F583*'前提と出典'!$E$6</ns0:f>
        <ns0:v>277559.61389087234</ns0:v>
      </ns0:c>
      <ns0:c r="Z583" s="7">
        <ns0:f>X583+Y583</ns0:f>
        <ns0:v>1025101.9257016949</ns0:v>
      </ns0:c>
      <ns0:c r="AA583" s="7">
        <ns0:f>IF(T583&gt;=0,A583,1001)</ns0:f>
        <ns0:v>579</ns0:v>
      </ns0:c>
      <ns0:c r="AB583" s="7">
        <ns0:f>IF(T583&lt;0,A583,0)</ns0:f>
        <ns0:v>0</ns0:v>
      </ns0:c>
      <ns0:c r="AC583" s="16">
        <ns0:f>IF(AND(OR('前提と出典'!$C$36+'前提と出典'!$C$38=0,R583&gt;=0),OR('前提と出典'!$C$37+'前提と出典'!$C$38=0,S583&gt;=0)),0,A583)</ns0:f>
        <ns0:v>0</ns0:v>
      </ns0:c>
      <ns0:c r="AD583" s="7">
        <ns0:f>IF(W583&gt;=0,A583,1001)</ns0:f>
        <ns0:v>579</ns0:v>
      </ns0:c>
      <ns0:c r="AE583" s="7">
        <ns0:f>IF(W583&lt;0,A583,0)</ns0:f>
        <ns0:v>0</ns0:v>
      </ns0:c>
      <ns0:c r="AF583" s="16">
        <ns0:f>IF(AND(OR('前提と出典'!$C$36+'前提と出典'!$C$38=0,U583&gt;=0),OR('前提と出典'!$C$37+'前提と出典'!$C$38=0,V583&gt;=0)),0,A583)</ns0:f>
        <ns0:v>0</ns0:v>
      </ns0:c>
      <ns0:c r="AG583" s="7">
        <ns0:f>IF(Z583&gt;=0,A583,1001)</ns0:f>
        <ns0:v>579</ns0:v>
      </ns0:c>
      <ns0:c r="AH583" s="4">
        <ns0:f>IF(Z583&lt;0,A583,0)</ns0:f>
        <ns0:v>0</ns0:v>
      </ns0:c>
      <ns0:c r="AI583" s="12">
        <ns0:f>IF(AND(OR('前提と出典'!$C$36+'前提と出典'!$C$38=0,X583&gt;=0),OR('前提と出典'!$C$37+'前提と出典'!$C$38=0,Y583&gt;=0)),0,A583)</ns0:f>
        <ns0:v>0</ns0:v>
      </ns0:c>
    </ns0:row>
    <ns0:row r="584" ht="24" customHeight="1">
      <ns0:c r="A584" s="4" t="n">
        <ns0:v>580</ns0:v>
      </ns0:c>
      <ns0:c r="B584" s="12">
        <ns0:f>A584*('前提と出典'!$C$36+'前提と出典'!$C$38)</ns0:f>
        <ns0:v>406</ns0:v>
      </ns0:c>
      <ns0:c r="C584" s="12">
        <ns0:f>A584*('前提と出典'!$C$37+'前提と出典'!$C$38)</ns0:f>
        <ns0:v>348</ns0:v>
      </ns0:c>
      <ns0:c r="D584" s="16">
        <ns0:f>A584*('前提と出典'!$C$36*'契約別単価'!C5+'前提と出典'!$C$37*'契約別単価'!C6+'前提と出典'!$C$38*'契約別単価'!C7)</ns0:f>
        <ns0:v>4173.407821229051</ns0:v>
      </ns0:c>
      <ns0:c r="E584" s="16">
        <ns0:f>A584*('前提と出典'!$C$36*'契約別単価'!E5+'前提と出典'!$C$37*'契約別単価'!E6+'前提と出典'!$C$38*'契約別単価'!E7)</ns0:f>
        <ns0:v>1122267.9009047723</ns0:v>
      </ns0:c>
      <ns0:c r="F584" s="16">
        <ns0:f>A584*('前提と出典'!$C$36*'契約別単価'!F5+'前提と出典'!$C$37*'契約別単価'!F6+'前提と出典'!$C$38*'契約別単価'!F7)</ns0:f>
        <ns0:v>440449.3782283232</ns0:v>
      </ns0:c>
      <ns0:c r="G584" s="16">
        <ns0:f>A584*('前提と出典'!$C$36*'契約別単価'!G5+'前提と出典'!$C$37*'契約別単価'!G6+'前提と出典'!$C$38*'契約別単価'!G7)</ns0:f>
        <ns0:v>1154491.6201117318</ns0:v>
      </ns0:c>
      <ns0:c r="H584" s="16">
        <ns0:f>A584*('前提と出典'!$C$36*'契約別単価'!H5+'前提と出典'!$C$37*'契約別単価'!H6+'前提と出典'!$C$38*'契約別単価'!H7)</ns0:f>
        <ns0:v>400666.49448359106</ns0:v>
      </ns0:c>
      <ns0:c r="I584" s="16">
        <ns0:f>A584*('前提と出典'!$C$36*'契約別単価'!I5+'前提と出典'!$C$37*'契約別単価'!I6+'前提と出典'!$C$38*'契約別単価'!I7)</ns0:f>
        <ns0:v>24473.407821229048</ns0:v>
      </ns0:c>
      <ns0:c r="J584" s="16">
        <ns0:f>A584*('前提と出典'!$C$36*'契約別単価'!J5+'前提と出典'!$C$37*'契約別単価'!J6+'前提と出典'!$C$38*'契約別単価'!J7)</ns0:f>
        <ns0:v>57007.93535197549</ns0:v>
      </ns0:c>
      <ns0:c r="K584" s="16">
        <ns0:f>A584*('前提と出典'!$C$36*'契約別単価'!K5+'前提と出典'!$C$37*'契約別単価'!K6+'前提と出典'!$C$38*'契約別単価'!K7)</ns0:f>
        <ns0:v>244356.05214152698</ns0:v>
      </ns0:c>
      <ns0:c r="L584" s="16">
        <ns0:f>A584*('前提と出典'!$C$36*'契約別単価'!L5+'前提と出典'!$C$37*'契約別単価'!L6+'前提と出典'!$C$38*'契約別単価'!L7)</ns0:f>
        <ns0:v>198955.5498161197</ns0:v>
      </ns0:c>
      <ns0:c r="M584" s="16">
        <ns0:f>IF(('前提と出典'!$C$36+'前提と出典'!$C$38)=0,0,IF(B584&lt;=10,'前提と出典'!B73+'前提と出典'!C73,IF(B584&lt;=100,'前提と出典'!B74+'前提と出典'!C74,IF(B584&lt;=500,'前提と出典'!B75+'前提と出典'!C75,'前提と出典'!B76+'前提と出典'!C76))))</ns0:f>
        <ns0:v>40000</ns0:v>
      </ns0:c>
      <ns0:c r="N584" s="16">
        <ns0:f>IF(('前提と出典'!$C$37+'前提と出典'!$C$38)=0,0,IF(C584&lt;=10,'前提と出典'!D73+'前提と出典'!E73,IF(C584&lt;=100,'前提と出典'!D74+'前提と出典'!E74,IF(C584&lt;=500,'前提と出典'!D75+'前提と出典'!E75,'前提と出典'!D76+'前提と出典'!E76))))</ns0:f>
        <ns0:v>56510.9346263078</ns0:v>
      </ns0:c>
      <ns0:c r="O584" s="16">
        <ns0:f>IF('前提と出典'!$C$36+'前提と出典'!$C$38=0,0,'前提と出典'!$B$4*IF('前提と出典'!$B$20=0,MAX('前提と出典'!$B$6,D584*'前提と出典'!$B$5),'前提と出典'!$B$6+D584*'前提と出典'!$B$5))</ns0:f>
        <ns0:v>575930.279329609</ns0:v>
      </ns0:c>
      <ns0:c r="P584" s="16">
        <ns0:f>(E584+G584)*(1-'前提と出典'!$B$7)-I584-K584-M584-O584</ns0:f>
        <ns0:v>1310036.4389675453</ns0:v>
      </ns0:c>
      <ns0:c r="Q584" s="16">
        <ns0:f>(F584+H584)*(1-'前提と出典'!$B$7)-J584-L584-N584</ns0:f>
        <ns0:v>498361.28149988235</ns0:v>
      </ns0:c>
      <ns0:c r="R584" s="16">
        <ns0:f>P584-E584*'前提と出典'!$E$4</ns0:f>
        <ns0:v>973356.0686961134</ns0:v>
      </ns0:c>
      <ns0:c r="S584" s="16">
        <ns0:f>Q584-F584*'前提と出典'!$E$4</ns0:f>
        <ns0:v>366226.46803138545</ns0:v>
      </ns0:c>
      <ns0:c r="T584" s="7">
        <ns0:f>R584+S584</ns0:f>
        <ns0:v>1339582.5367274988</ns0:v>
      </ns0:c>
      <ns0:c r="U584" s="16">
        <ns0:f>P584-E584*'前提と出典'!$E$5</ns0:f>
        <ns0:v>861129.2786056363</ns0:v>
      </ns0:c>
      <ns0:c r="V584" s="16">
        <ns0:f>Q584-F584*'前提と出典'!$E$5</ns0:f>
        <ns0:v>322181.5302085531</ns0:v>
      </ns0:c>
      <ns0:c r="W584" s="7">
        <ns0:f>U584+V584</ns0:f>
        <ns0:v>1183310.8088141894</ns0:v>
      </ns0:c>
      <ns0:c r="X584" s="16">
        <ns0:f>P584-E584*'前提と出典'!$E$6</ns0:f>
        <ns0:v>748902.488515159</ns0:v>
      </ns0:c>
      <ns0:c r="Y584" s="16">
        <ns0:f>Q584-F584*'前提と出典'!$E$6</ns0:f>
        <ns0:v>278136.5923857207</ns0:v>
      </ns0:c>
      <ns0:c r="Z584" s="7">
        <ns0:f>X584+Y584</ns0:f>
        <ns0:v>1027039.0809008797</ns0:v>
      </ns0:c>
      <ns0:c r="AA584" s="7">
        <ns0:f>IF(T584&gt;=0,A584,1001)</ns0:f>
        <ns0:v>580</ns0:v>
      </ns0:c>
      <ns0:c r="AB584" s="7">
        <ns0:f>IF(T584&lt;0,A584,0)</ns0:f>
        <ns0:v>0</ns0:v>
      </ns0:c>
      <ns0:c r="AC584" s="16">
        <ns0:f>IF(AND(OR('前提と出典'!$C$36+'前提と出典'!$C$38=0,R584&gt;=0),OR('前提と出典'!$C$37+'前提と出典'!$C$38=0,S584&gt;=0)),0,A584)</ns0:f>
        <ns0:v>0</ns0:v>
      </ns0:c>
      <ns0:c r="AD584" s="7">
        <ns0:f>IF(W584&gt;=0,A584,1001)</ns0:f>
        <ns0:v>580</ns0:v>
      </ns0:c>
      <ns0:c r="AE584" s="7">
        <ns0:f>IF(W584&lt;0,A584,0)</ns0:f>
        <ns0:v>0</ns0:v>
      </ns0:c>
      <ns0:c r="AF584" s="16">
        <ns0:f>IF(AND(OR('前提と出典'!$C$36+'前提と出典'!$C$38=0,U584&gt;=0),OR('前提と出典'!$C$37+'前提と出典'!$C$38=0,V584&gt;=0)),0,A584)</ns0:f>
        <ns0:v>0</ns0:v>
      </ns0:c>
      <ns0:c r="AG584" s="7">
        <ns0:f>IF(Z584&gt;=0,A584,1001)</ns0:f>
        <ns0:v>580</ns0:v>
      </ns0:c>
      <ns0:c r="AH584" s="4">
        <ns0:f>IF(Z584&lt;0,A584,0)</ns0:f>
        <ns0:v>0</ns0:v>
      </ns0:c>
      <ns0:c r="AI584" s="12">
        <ns0:f>IF(AND(OR('前提と出典'!$C$36+'前提と出典'!$C$38=0,X584&gt;=0),OR('前提と出典'!$C$37+'前提と出典'!$C$38=0,Y584&gt;=0)),0,A584)</ns0:f>
        <ns0:v>0</ns0:v>
      </ns0:c>
    </ns0:row>
    <ns0:row r="585" ht="24" customHeight="1">
      <ns0:c r="A585" s="4" t="n">
        <ns0:v>581</ns0:v>
      </ns0:c>
      <ns0:c r="B585" s="12">
        <ns0:f>A585*('前提と出典'!$C$36+'前提と出典'!$C$38)</ns0:f>
        <ns0:v>406.7</ns0:v>
      </ns0:c>
      <ns0:c r="C585" s="12">
        <ns0:f>A585*('前提と出典'!$C$37+'前提と出典'!$C$38)</ns0:f>
        <ns0:v>348.59999999999997</ns0:v>
      </ns0:c>
      <ns0:c r="D585" s="16">
        <ns0:f>A585*('前提と出典'!$C$36*'契約別単価'!C5+'前提と出典'!$C$37*'契約別単価'!C6+'前提と出典'!$C$38*'契約別単価'!C7)</ns0:f>
        <ns0:v>4180.6033519553075</ns0:v>
      </ns0:c>
      <ns0:c r="E585" s="16">
        <ns0:f>A585*('前提と出典'!$C$36*'契約別単価'!E5+'前提と出典'!$C$37*'契約別単価'!E6+'前提と出典'!$C$38*'契約別単価'!E7)</ns0:f>
        <ns0:v>1124202.8455615046</ns0:v>
      </ns0:c>
      <ns0:c r="F585" s="16">
        <ns0:f>A585*('前提と出典'!$C$36*'契約別単価'!F5+'前提と出典'!$C$37*'契約別単価'!F6+'前提と出典'!$C$38*'契約別単価'!F7)</ns0:f>
        <ns0:v>441208.7737080272</ns0:v>
      </ns0:c>
      <ns0:c r="G585" s="16">
        <ns0:f>A585*('前提と出典'!$C$36*'契約別単価'!G5+'前提と出典'!$C$37*'契約別単価'!G6+'前提と出典'!$C$38*'契約別単価'!G7)</ns0:f>
        <ns0:v>1156482.1229050278</ns0:v>
      </ns0:c>
      <ns0:c r="H585" s="16">
        <ns0:f>A585*('前提と出典'!$C$36*'契約別単価'!H5+'前提と出典'!$C$37*'契約別単価'!H6+'前提と出典'!$C$38*'契約別単価'!H7)</ns0:f>
        <ns0:v>401357.29878442484</ns0:v>
      </ns0:c>
      <ns0:c r="I585" s="16">
        <ns0:f>A585*('前提と出典'!$C$36*'契約別単価'!I5+'前提と出典'!$C$37*'契約別単価'!I6+'前提と出典'!$C$38*'契約別単価'!I7)</ns0:f>
        <ns0:v>24515.603351955302</ns0:v>
      </ns0:c>
      <ns0:c r="J585" s="16">
        <ns0:f>A585*('前提と出典'!$C$36*'契約別単価'!J5+'前提と出典'!$C$37*'契約別単価'!J6+'前提と出典'!$C$38*'契約別単価'!J7)</ns0:f>
        <ns0:v>57106.224895685795</ns0:v>
      </ns0:c>
      <ns0:c r="K585" s="16">
        <ns0:f>A585*('前提と出典'!$C$36*'契約別単価'!K5+'前提と出典'!$C$37*'契約別単価'!K6+'前提と出典'!$C$38*'契約別単価'!K7)</ns0:f>
        <ns0:v>244777.35567970204</ns0:v>
      </ns0:c>
      <ns0:c r="L585" s="16">
        <ns0:f>A585*('前提と出典'!$C$36*'契約別単価'!L5+'前提と出典'!$C$37*'契約別単価'!L6+'前提と出典'!$C$38*'契約別単価'!L7)</ns0:f>
        <ns0:v>199298.5766261475</ns0:v>
      </ns0:c>
      <ns0:c r="M585" s="16">
        <ns0:f>IF(('前提と出典'!$C$36+'前提と出典'!$C$38)=0,0,IF(B585&lt;=10,'前提と出典'!B73+'前提と出典'!C73,IF(B585&lt;=100,'前提と出典'!B74+'前提と出典'!C74,IF(B585&lt;=500,'前提と出典'!B75+'前提と出典'!C75,'前提と出典'!B76+'前提と出典'!C76))))</ns0:f>
        <ns0:v>40000</ns0:v>
      </ns0:c>
      <ns0:c r="N585" s="16">
        <ns0:f>IF(('前提と出典'!$C$37+'前提と出典'!$C$38)=0,0,IF(C585&lt;=10,'前提と出典'!D73+'前提と出典'!E73,IF(C585&lt;=100,'前提と出典'!D74+'前提と出典'!E74,IF(C585&lt;=500,'前提と出典'!D75+'前提と出典'!E75,'前提と出典'!D76+'前提と出典'!E76))))</ns0:f>
        <ns0:v>56510.9346263078</ns0:v>
      </ns0:c>
      <ns0:c r="O585" s="16">
        <ns0:f>IF('前提と出典'!$C$36+'前提と出典'!$C$38=0,0,'前提と出典'!$B$4*IF('前提と出典'!$B$20=0,MAX('前提と出典'!$B$6,D585*'前提と出典'!$B$5),'前提と出典'!$B$6+D585*'前提と出典'!$B$5))</ns0:f>
        <ns0:v>576923.2625698325</ns0:v>
      </ns0:c>
      <ns0:c r="P585" s="16">
        <ns0:f>(E585+G585)*(1-'前提と出典'!$B$7)-I585-K585-M585-O585</ns0:f>
        <ns0:v>1312364.0880002475</ns0:v>
      </ns0:c>
      <ns0:c r="Q585" s="16">
        <ns0:f>(F585+H585)*(1-'前提と出典'!$B$7)-J585-L585-N585</ns0:f>
        <ns0:v>499317.9577345827</ns0:v>
      </ns0:c>
      <ns0:c r="R585" s="16">
        <ns0:f>P585-E585*'前提と出典'!$E$4</ns0:f>
        <ns0:v>975103.2343317961</ns0:v>
      </ns0:c>
      <ns0:c r="S585" s="16">
        <ns0:f>Q585-F585*'前提と出典'!$E$4</ns0:f>
        <ns0:v>366955.32562217454</ns0:v>
      </ns0:c>
      <ns0:c r="T585" s="7">
        <ns0:f>R585+S585</ns0:f>
        <ns0:v>1342058.5599539706</ns0:v>
      </ns0:c>
      <ns0:c r="U585" s="16">
        <ns0:f>P585-E585*'前提と出典'!$E$5</ns0:f>
        <ns0:v>862682.9497756456</ns0:v>
      </ns0:c>
      <ns0:c r="V585" s="16">
        <ns0:f>Q585-F585*'前提と出典'!$E$5</ns0:f>
        <ns0:v>322834.44825137185</ns0:v>
      </ns0:c>
      <ns0:c r="W585" s="7">
        <ns0:f>U585+V585</ns0:f>
        <ns0:v>1185517.3980270175</ns0:v>
      </ns0:c>
      <ns0:c r="X585" s="16">
        <ns0:f>P585-E585*'前提と出典'!$E$6</ns0:f>
        <ns0:v>750262.6652194952</ns0:v>
      </ns0:c>
      <ns0:c r="Y585" s="16">
        <ns0:f>Q585-F585*'前提と出典'!$E$6</ns0:f>
        <ns0:v>278713.57088056905</ns0:v>
      </ns0:c>
      <ns0:c r="Z585" s="7">
        <ns0:f>X585+Y585</ns0:f>
        <ns0:v>1028976.2361000642</ns0:v>
      </ns0:c>
      <ns0:c r="AA585" s="7">
        <ns0:f>IF(T585&gt;=0,A585,1001)</ns0:f>
        <ns0:v>581</ns0:v>
      </ns0:c>
      <ns0:c r="AB585" s="7">
        <ns0:f>IF(T585&lt;0,A585,0)</ns0:f>
        <ns0:v>0</ns0:v>
      </ns0:c>
      <ns0:c r="AC585" s="16">
        <ns0:f>IF(AND(OR('前提と出典'!$C$36+'前提と出典'!$C$38=0,R585&gt;=0),OR('前提と出典'!$C$37+'前提と出典'!$C$38=0,S585&gt;=0)),0,A585)</ns0:f>
        <ns0:v>0</ns0:v>
      </ns0:c>
      <ns0:c r="AD585" s="7">
        <ns0:f>IF(W585&gt;=0,A585,1001)</ns0:f>
        <ns0:v>581</ns0:v>
      </ns0:c>
      <ns0:c r="AE585" s="7">
        <ns0:f>IF(W585&lt;0,A585,0)</ns0:f>
        <ns0:v>0</ns0:v>
      </ns0:c>
      <ns0:c r="AF585" s="16">
        <ns0:f>IF(AND(OR('前提と出典'!$C$36+'前提と出典'!$C$38=0,U585&gt;=0),OR('前提と出典'!$C$37+'前提と出典'!$C$38=0,V585&gt;=0)),0,A585)</ns0:f>
        <ns0:v>0</ns0:v>
      </ns0:c>
      <ns0:c r="AG585" s="7">
        <ns0:f>IF(Z585&gt;=0,A585,1001)</ns0:f>
        <ns0:v>581</ns0:v>
      </ns0:c>
      <ns0:c r="AH585" s="4">
        <ns0:f>IF(Z585&lt;0,A585,0)</ns0:f>
        <ns0:v>0</ns0:v>
      </ns0:c>
      <ns0:c r="AI585" s="12">
        <ns0:f>IF(AND(OR('前提と出典'!$C$36+'前提と出典'!$C$38=0,X585&gt;=0),OR('前提と出典'!$C$37+'前提と出典'!$C$38=0,Y585&gt;=0)),0,A585)</ns0:f>
        <ns0:v>0</ns0:v>
      </ns0:c>
    </ns0:row>
    <ns0:row r="586" ht="24" customHeight="1">
      <ns0:c r="A586" s="4" t="n">
        <ns0:v>582</ns0:v>
      </ns0:c>
      <ns0:c r="B586" s="12">
        <ns0:f>A586*('前提と出典'!$C$36+'前提と出典'!$C$38)</ns0:f>
        <ns0:v>407.4</ns0:v>
      </ns0:c>
      <ns0:c r="C586" s="12">
        <ns0:f>A586*('前提と出典'!$C$37+'前提と出典'!$C$38)</ns0:f>
        <ns0:v>349.2</ns0:v>
      </ns0:c>
      <ns0:c r="D586" s="16">
        <ns0:f>A586*('前提と出典'!$C$36*'契約別単価'!C5+'前提と出典'!$C$37*'契約別単価'!C6+'前提と出典'!$C$38*'契約別単価'!C7)</ns0:f>
        <ns0:v>4187.7988826815645</ns0:v>
      </ns0:c>
      <ns0:c r="E586" s="16">
        <ns0:f>A586*('前提と出典'!$C$36*'契約別単価'!E5+'前提と出典'!$C$37*'契約別単価'!E6+'前提と出典'!$C$38*'契約別単価'!E7)</ns0:f>
        <ns0:v>1126137.790218237</ns0:v>
      </ns0:c>
      <ns0:c r="F586" s="16">
        <ns0:f>A586*('前提と出典'!$C$36*'契約別単価'!F5+'前提と出典'!$C$37*'契約別単価'!F6+'前提と出典'!$C$38*'契約別単価'!F7)</ns0:f>
        <ns0:v>441968.1691877312</ns0:v>
      </ns0:c>
      <ns0:c r="G586" s="16">
        <ns0:f>A586*('前提と出典'!$C$36*'契約別単価'!G5+'前提と出典'!$C$37*'契約別単価'!G6+'前提と出典'!$C$38*'契約別単価'!G7)</ns0:f>
        <ns0:v>1158472.625698324</ns0:v>
      </ns0:c>
      <ns0:c r="H586" s="16">
        <ns0:f>A586*('前提と出典'!$C$36*'契約別単価'!H5+'前提と出典'!$C$37*'契約別単価'!H6+'前提と出典'!$C$38*'契約別単価'!H7)</ns0:f>
        <ns0:v>402048.1030852586</ns0:v>
      </ns0:c>
      <ns0:c r="I586" s="16">
        <ns0:f>A586*('前提と出典'!$C$36*'契約別単価'!I5+'前提と出典'!$C$37*'契約別単価'!I6+'前提と出典'!$C$38*'契約別単価'!I7)</ns0:f>
        <ns0:v>24557.79888268156</ns0:v>
      </ns0:c>
      <ns0:c r="J586" s="16">
        <ns0:f>A586*('前提と出典'!$C$36*'契約別単価'!J5+'前提と出典'!$C$37*'契約別単価'!J6+'前提と出典'!$C$38*'契約別単価'!J7)</ns0:f>
        <ns0:v>57204.514439396095</ns0:v>
      </ns0:c>
      <ns0:c r="K586" s="16">
        <ns0:f>A586*('前提と出典'!$C$36*'契約別単価'!K5+'前提と出典'!$C$37*'契約別単価'!K6+'前提と出典'!$C$38*'契約別単価'!K7)</ns0:f>
        <ns0:v>245198.65921787708</ns0:v>
      </ns0:c>
      <ns0:c r="L586" s="16">
        <ns0:f>A586*('前提と出典'!$C$36*'契約別単価'!L5+'前提と出典'!$C$37*'契約別単価'!L6+'前提と出典'!$C$38*'契約別単価'!L7)</ns0:f>
        <ns0:v>199641.60343617527</ns0:v>
      </ns0:c>
      <ns0:c r="M586" s="16">
        <ns0:f>IF(('前提と出典'!$C$36+'前提と出典'!$C$38)=0,0,IF(B586&lt;=10,'前提と出典'!B73+'前提と出典'!C73,IF(B586&lt;=100,'前提と出典'!B74+'前提と出典'!C74,IF(B586&lt;=500,'前提と出典'!B75+'前提と出典'!C75,'前提と出典'!B76+'前提と出典'!C76))))</ns0:f>
        <ns0:v>40000</ns0:v>
      </ns0:c>
      <ns0:c r="N586" s="16">
        <ns0:f>IF(('前提と出典'!$C$37+'前提と出典'!$C$38)=0,0,IF(C586&lt;=10,'前提と出典'!D73+'前提と出典'!E73,IF(C586&lt;=100,'前提と出典'!D74+'前提と出典'!E74,IF(C586&lt;=500,'前提と出典'!D75+'前提と出典'!E75,'前提と出典'!D76+'前提と出典'!E76))))</ns0:f>
        <ns0:v>56510.9346263078</ns0:v>
      </ns0:c>
      <ns0:c r="O586" s="16">
        <ns0:f>IF('前提と出典'!$C$36+'前提と出典'!$C$38=0,0,'前提と出典'!$B$4*IF('前提と出典'!$B$20=0,MAX('前提と出典'!$B$6,D586*'前提と出典'!$B$5),'前提と出典'!$B$6+D586*'前提と出典'!$B$5))</ns0:f>
        <ns0:v>577916.2458100559</ns0:v>
      </ns0:c>
      <ns0:c r="P586" s="16">
        <ns0:f>(E586+G586)*(1-'前提と出典'!$B$7)-I586-K586-M586-O586</ns0:f>
        <ns0:v>1314691.7370329504</ns0:v>
      </ns0:c>
      <ns0:c r="Q586" s="16">
        <ns0:f>(F586+H586)*(1-'前提と出典'!$B$7)-J586-L586-N586</ns0:f>
        <ns0:v>500274.63396928314</ns0:v>
      </ns0:c>
      <ns0:c r="R586" s="16">
        <ns0:f>P586-E586*'前提と出典'!$E$4</ns0:f>
        <ns0:v>976850.3999674793</ns0:v>
      </ns0:c>
      <ns0:c r="S586" s="16">
        <ns0:f>Q586-F586*'前提と出典'!$E$4</ns0:f>
        <ns0:v>367684.18321296375</ns0:v>
      </ns0:c>
      <ns0:c r="T586" s="7">
        <ns0:f>R586+S586</ns0:f>
        <ns0:v>1344534.583180443</ns0:v>
      </ns0:c>
      <ns0:c r="U586" s="16">
        <ns0:f>P586-E586*'前提と出典'!$E$5</ns0:f>
        <ns0:v>864236.6209456555</ns0:v>
      </ns0:c>
      <ns0:c r="V586" s="16">
        <ns0:f>Q586-F586*'前提と出典'!$E$5</ns0:f>
        <ns0:v>323487.36629419064</ns0:v>
      </ns0:c>
      <ns0:c r="W586" s="7">
        <ns0:f>U586+V586</ns0:f>
        <ns0:v>1187723.987239846</ns0:v>
      </ns0:c>
      <ns0:c r="X586" s="16">
        <ns0:f>P586-E586*'前提と出典'!$E$6</ns0:f>
        <ns0:v>751622.841923832</ns0:v>
      </ns0:c>
      <ns0:c r="Y586" s="16">
        <ns0:f>Q586-F586*'前提と出典'!$E$6</ns0:f>
        <ns0:v>279290.5493754175</ns0:v>
      </ns0:c>
      <ns0:c r="Z586" s="7">
        <ns0:f>X586+Y586</ns0:f>
        <ns0:v>1030913.3912992495</ns0:v>
      </ns0:c>
      <ns0:c r="AA586" s="7">
        <ns0:f>IF(T586&gt;=0,A586,1001)</ns0:f>
        <ns0:v>582</ns0:v>
      </ns0:c>
      <ns0:c r="AB586" s="7">
        <ns0:f>IF(T586&lt;0,A586,0)</ns0:f>
        <ns0:v>0</ns0:v>
      </ns0:c>
      <ns0:c r="AC586" s="16">
        <ns0:f>IF(AND(OR('前提と出典'!$C$36+'前提と出典'!$C$38=0,R586&gt;=0),OR('前提と出典'!$C$37+'前提と出典'!$C$38=0,S586&gt;=0)),0,A586)</ns0:f>
        <ns0:v>0</ns0:v>
      </ns0:c>
      <ns0:c r="AD586" s="7">
        <ns0:f>IF(W586&gt;=0,A586,1001)</ns0:f>
        <ns0:v>582</ns0:v>
      </ns0:c>
      <ns0:c r="AE586" s="7">
        <ns0:f>IF(W586&lt;0,A586,0)</ns0:f>
        <ns0:v>0</ns0:v>
      </ns0:c>
      <ns0:c r="AF586" s="16">
        <ns0:f>IF(AND(OR('前提と出典'!$C$36+'前提と出典'!$C$38=0,U586&gt;=0),OR('前提と出典'!$C$37+'前提と出典'!$C$38=0,V586&gt;=0)),0,A586)</ns0:f>
        <ns0:v>0</ns0:v>
      </ns0:c>
      <ns0:c r="AG586" s="7">
        <ns0:f>IF(Z586&gt;=0,A586,1001)</ns0:f>
        <ns0:v>582</ns0:v>
      </ns0:c>
      <ns0:c r="AH586" s="4">
        <ns0:f>IF(Z586&lt;0,A586,0)</ns0:f>
        <ns0:v>0</ns0:v>
      </ns0:c>
      <ns0:c r="AI586" s="12">
        <ns0:f>IF(AND(OR('前提と出典'!$C$36+'前提と出典'!$C$38=0,X586&gt;=0),OR('前提と出典'!$C$37+'前提と出典'!$C$38=0,Y586&gt;=0)),0,A586)</ns0:f>
        <ns0:v>0</ns0:v>
      </ns0:c>
    </ns0:row>
    <ns0:row r="587" ht="24" customHeight="1">
      <ns0:c r="A587" s="4" t="n">
        <ns0:v>583</ns0:v>
      </ns0:c>
      <ns0:c r="B587" s="12">
        <ns0:f>A587*('前提と出典'!$C$36+'前提と出典'!$C$38)</ns0:f>
        <ns0:v>408.09999999999997</ns0:v>
      </ns0:c>
      <ns0:c r="C587" s="12">
        <ns0:f>A587*('前提と出典'!$C$37+'前提と出典'!$C$38)</ns0:f>
        <ns0:v>349.8</ns0:v>
      </ns0:c>
      <ns0:c r="D587" s="16">
        <ns0:f>A587*('前提と出典'!$C$36*'契約別単価'!C5+'前提と出典'!$C$37*'契約別単価'!C6+'前提と出典'!$C$38*'契約別単価'!C7)</ns0:f>
        <ns0:v>4194.994413407821</ns0:v>
      </ns0:c>
      <ns0:c r="E587" s="16">
        <ns0:f>A587*('前提と出典'!$C$36*'契約別単価'!E5+'前提と出典'!$C$37*'契約別単価'!E6+'前提と出典'!$C$38*'契約別単価'!E7)</ns0:f>
        <ns0:v>1128072.7348749693</ns0:v>
      </ns0:c>
      <ns0:c r="F587" s="16">
        <ns0:f>A587*('前提と出典'!$C$36*'契約別単価'!F5+'前提と出典'!$C$37*'契約別単価'!F6+'前提と出典'!$C$38*'契約別単価'!F7)</ns0:f>
        <ns0:v>442727.56466743525</ns0:v>
      </ns0:c>
      <ns0:c r="G587" s="16">
        <ns0:f>A587*('前提と出典'!$C$36*'契約別単価'!G5+'前提と出典'!$C$37*'契約別単価'!G6+'前提と出典'!$C$38*'契約別単価'!G7)</ns0:f>
        <ns0:v>1160463.12849162</ns0:v>
      </ns0:c>
      <ns0:c r="H587" s="16">
        <ns0:f>A587*('前提と出典'!$C$36*'契約別単価'!H5+'前提と出典'!$C$37*'契約別単価'!H6+'前提と出典'!$C$38*'契約別単価'!H7)</ns0:f>
        <ns0:v>402738.9073860924</ns0:v>
      </ns0:c>
      <ns0:c r="I587" s="16">
        <ns0:f>A587*('前提と出典'!$C$36*'契約別単価'!I5+'前提と出典'!$C$37*'契約別単価'!I6+'前提と出典'!$C$38*'契約別単価'!I7)</ns0:f>
        <ns0:v>24599.994413407818</ns0:v>
      </ns0:c>
      <ns0:c r="J587" s="16">
        <ns0:f>A587*('前提と出典'!$C$36*'契約別単価'!J5+'前提と出典'!$C$37*'契約別単価'!J6+'前提と出典'!$C$38*'契約別単価'!J7)</ns0:f>
        <ns0:v>57302.803983106394</ns0:v>
      </ns0:c>
      <ns0:c r="K587" s="16">
        <ns0:f>A587*('前提と出典'!$C$36*'契約別単価'!K5+'前提と出典'!$C$37*'契約別単価'!K6+'前提と出典'!$C$38*'契約別単価'!K7)</ns0:f>
        <ns0:v>245619.96275605212</ns0:v>
      </ns0:c>
      <ns0:c r="L587" s="16">
        <ns0:f>A587*('前提と出典'!$C$36*'契約別単価'!L5+'前提と出典'!$C$37*'契約別単価'!L6+'前提と出典'!$C$38*'契約別単価'!L7)</ns0:f>
        <ns0:v>199984.63024620307</ns0:v>
      </ns0:c>
      <ns0:c r="M587" s="16">
        <ns0:f>IF(('前提と出典'!$C$36+'前提と出典'!$C$38)=0,0,IF(B587&lt;=10,'前提と出典'!B73+'前提と出典'!C73,IF(B587&lt;=100,'前提と出典'!B74+'前提と出典'!C74,IF(B587&lt;=500,'前提と出典'!B75+'前提と出典'!C75,'前提と出典'!B76+'前提と出典'!C76))))</ns0:f>
        <ns0:v>40000</ns0:v>
      </ns0:c>
      <ns0:c r="N587" s="16">
        <ns0:f>IF(('前提と出典'!$C$37+'前提と出典'!$C$38)=0,0,IF(C587&lt;=10,'前提と出典'!D73+'前提と出典'!E73,IF(C587&lt;=100,'前提と出典'!D74+'前提と出典'!E74,IF(C587&lt;=500,'前提と出典'!D75+'前提と出典'!E75,'前提と出典'!D76+'前提と出典'!E76))))</ns0:f>
        <ns0:v>56510.9346263078</ns0:v>
      </ns0:c>
      <ns0:c r="O587" s="16">
        <ns0:f>IF('前提と出典'!$C$36+'前提と出典'!$C$38=0,0,'前提と出典'!$B$4*IF('前提と出典'!$B$20=0,MAX('前提と出典'!$B$6,D587*'前提と出典'!$B$5),'前提と出典'!$B$6+D587*'前提と出典'!$B$5))</ns0:f>
        <ns0:v>578909.2290502794</ns0:v>
      </ns0:c>
      <ns0:c r="P587" s="16">
        <ns0:f>(E587+G587)*(1-'前提と出典'!$B$7)-I587-K587-M587-O587</ns0:f>
        <ns0:v>1317019.3860656528</ns0:v>
      </ns0:c>
      <ns0:c r="Q587" s="16">
        <ns0:f>(F587+H587)*(1-'前提と出典'!$B$7)-J587-L587-N587</ns0:f>
        <ns0:v>501231.31020398333</ns0:v>
      </ns0:c>
      <ns0:c r="R587" s="16">
        <ns0:f>P587-E587*'前提と出典'!$E$4</ns0:f>
        <ns0:v>978597.5656031622</ns0:v>
      </ns0:c>
      <ns0:c r="S587" s="16">
        <ns0:f>Q587-F587*'前提と出典'!$E$4</ns0:f>
        <ns0:v>368413.0408037527</ns0:v>
      </ns0:c>
      <ns0:c r="T587" s="7">
        <ns0:f>R587+S587</ns0:f>
        <ns0:v>1347010.606406915</ns0:v>
      </ns0:c>
      <ns0:c r="U587" s="16">
        <ns0:f>P587-E587*'前提と出典'!$E$5</ns0:f>
        <ns0:v>865790.292115665</ns0:v>
      </ns0:c>
      <ns0:c r="V587" s="16">
        <ns0:f>Q587-F587*'前提と出典'!$E$5</ns0:f>
        <ns0:v>324140.2843370092</ns0:v>
      </ns0:c>
      <ns0:c r="W587" s="7">
        <ns0:f>U587+V587</ns0:f>
        <ns0:v>1189930.5764526743</ns0:v>
      </ns0:c>
      <ns0:c r="X587" s="16">
        <ns0:f>P587-E587*'前提と出典'!$E$6</ns0:f>
        <ns0:v>752983.0186281684</ns0:v>
      </ns0:c>
      <ns0:c r="Y587" s="16">
        <ns0:f>Q587-F587*'前提と出典'!$E$6</ns0:f>
        <ns0:v>279867.52787026565</ns0:v>
      </ns0:c>
      <ns0:c r="Z587" s="7">
        <ns0:f>X587+Y587</ns0:f>
        <ns0:v>1032850.546498434</ns0:v>
      </ns0:c>
      <ns0:c r="AA587" s="7">
        <ns0:f>IF(T587&gt;=0,A587,1001)</ns0:f>
        <ns0:v>583</ns0:v>
      </ns0:c>
      <ns0:c r="AB587" s="7">
        <ns0:f>IF(T587&lt;0,A587,0)</ns0:f>
        <ns0:v>0</ns0:v>
      </ns0:c>
      <ns0:c r="AC587" s="16">
        <ns0:f>IF(AND(OR('前提と出典'!$C$36+'前提と出典'!$C$38=0,R587&gt;=0),OR('前提と出典'!$C$37+'前提と出典'!$C$38=0,S587&gt;=0)),0,A587)</ns0:f>
        <ns0:v>0</ns0:v>
      </ns0:c>
      <ns0:c r="AD587" s="7">
        <ns0:f>IF(W587&gt;=0,A587,1001)</ns0:f>
        <ns0:v>583</ns0:v>
      </ns0:c>
      <ns0:c r="AE587" s="7">
        <ns0:f>IF(W587&lt;0,A587,0)</ns0:f>
        <ns0:v>0</ns0:v>
      </ns0:c>
      <ns0:c r="AF587" s="16">
        <ns0:f>IF(AND(OR('前提と出典'!$C$36+'前提と出典'!$C$38=0,U587&gt;=0),OR('前提と出典'!$C$37+'前提と出典'!$C$38=0,V587&gt;=0)),0,A587)</ns0:f>
        <ns0:v>0</ns0:v>
      </ns0:c>
      <ns0:c r="AG587" s="7">
        <ns0:f>IF(Z587&gt;=0,A587,1001)</ns0:f>
        <ns0:v>583</ns0:v>
      </ns0:c>
      <ns0:c r="AH587" s="4">
        <ns0:f>IF(Z587&lt;0,A587,0)</ns0:f>
        <ns0:v>0</ns0:v>
      </ns0:c>
      <ns0:c r="AI587" s="12">
        <ns0:f>IF(AND(OR('前提と出典'!$C$36+'前提と出典'!$C$38=0,X587&gt;=0),OR('前提と出典'!$C$37+'前提と出典'!$C$38=0,Y587&gt;=0)),0,A587)</ns0:f>
        <ns0:v>0</ns0:v>
      </ns0:c>
    </ns0:row>
    <ns0:row r="588" ht="24" customHeight="1">
      <ns0:c r="A588" s="4" t="n">
        <ns0:v>584</ns0:v>
      </ns0:c>
      <ns0:c r="B588" s="12">
        <ns0:f>A588*('前提と出典'!$C$36+'前提と出典'!$C$38)</ns0:f>
        <ns0:v>408.79999999999995</ns0:v>
      </ns0:c>
      <ns0:c r="C588" s="12">
        <ns0:f>A588*('前提と出典'!$C$37+'前提と出典'!$C$38)</ns0:f>
        <ns0:v>350.4</ns0:v>
      </ns0:c>
      <ns0:c r="D588" s="16">
        <ns0:f>A588*('前提と出典'!$C$36*'契約別単価'!C5+'前提と出典'!$C$37*'契約別単価'!C6+'前提と出典'!$C$38*'契約別単価'!C7)</ns0:f>
        <ns0:v>4202.189944134078</ns0:v>
      </ns0:c>
      <ns0:c r="E588" s="16">
        <ns0:f>A588*('前提と出典'!$C$36*'契約別単価'!E5+'前提と出典'!$C$37*'契約別単価'!E6+'前提と出典'!$C$38*'契約別単価'!E7)</ns0:f>
        <ns0:v>1130007.6795317016</ns0:v>
      </ns0:c>
      <ns0:c r="F588" s="16">
        <ns0:f>A588*('前提と出典'!$C$36*'契約別単価'!F5+'前提と出典'!$C$37*'契約別単価'!F6+'前提と出典'!$C$38*'契約別単価'!F7)</ns0:f>
        <ns0:v>443486.9601471392</ns0:v>
      </ns0:c>
      <ns0:c r="G588" s="16">
        <ns0:f>A588*('前提と出典'!$C$36*'契約別単価'!G5+'前提と出典'!$C$37*'契約別単価'!G6+'前提と出典'!$C$38*'契約別単価'!G7)</ns0:f>
        <ns0:v>1162453.631284916</ns0:v>
      </ns0:c>
      <ns0:c r="H588" s="16">
        <ns0:f>A588*('前提と出典'!$C$36*'契約別単価'!H5+'前提と出典'!$C$37*'契約別単価'!H6+'前提と出典'!$C$38*'契約別単価'!H7)</ns0:f>
        <ns0:v>403429.7116869262</ns0:v>
      </ns0:c>
      <ns0:c r="I588" s="16">
        <ns0:f>A588*('前提と出典'!$C$36*'契約別単価'!I5+'前提と出典'!$C$37*'契約別単価'!I6+'前提と出典'!$C$38*'契約別単価'!I7)</ns0:f>
        <ns0:v>24642.189944134076</ns0:v>
      </ns0:c>
      <ns0:c r="J588" s="16">
        <ns0:f>A588*('前提と出典'!$C$36*'契約別単価'!J5+'前提と出典'!$C$37*'契約別単価'!J6+'前提と出典'!$C$38*'契約別単価'!J7)</ns0:f>
        <ns0:v>57401.0935268167</ns0:v>
      </ns0:c>
      <ns0:c r="K588" s="16">
        <ns0:f>A588*('前提と出典'!$C$36*'契約別単価'!K5+'前提と出典'!$C$37*'契約別単価'!K6+'前提と出典'!$C$38*'契約別単価'!K7)</ns0:f>
        <ns0:v>246041.26629422719</ns0:v>
      </ns0:c>
      <ns0:c r="L588" s="16">
        <ns0:f>A588*('前提と出典'!$C$36*'契約別単価'!L5+'前提と出典'!$C$37*'契約別単価'!L6+'前提と出典'!$C$38*'契約別単価'!L7)</ns0:f>
        <ns0:v>200327.65705623088</ns0:v>
      </ns0:c>
      <ns0:c r="M588" s="16">
        <ns0:f>IF(('前提と出典'!$C$36+'前提と出典'!$C$38)=0,0,IF(B588&lt;=10,'前提と出典'!B73+'前提と出典'!C73,IF(B588&lt;=100,'前提と出典'!B74+'前提と出典'!C74,IF(B588&lt;=500,'前提と出典'!B75+'前提と出典'!C75,'前提と出典'!B76+'前提と出典'!C76))))</ns0:f>
        <ns0:v>40000</ns0:v>
      </ns0:c>
      <ns0:c r="N588" s="16">
        <ns0:f>IF(('前提と出典'!$C$37+'前提と出典'!$C$38)=0,0,IF(C588&lt;=10,'前提と出典'!D73+'前提と出典'!E73,IF(C588&lt;=100,'前提と出典'!D74+'前提と出典'!E74,IF(C588&lt;=500,'前提と出典'!D75+'前提と出典'!E75,'前提と出典'!D76+'前提と出典'!E76))))</ns0:f>
        <ns0:v>56510.9346263078</ns0:v>
      </ns0:c>
      <ns0:c r="O588" s="16">
        <ns0:f>IF('前提と出典'!$C$36+'前提と出典'!$C$38=0,0,'前提と出典'!$B$4*IF('前提と出典'!$B$20=0,MAX('前提と出典'!$B$6,D588*'前提と出典'!$B$5),'前提と出典'!$B$6+D588*'前提と出典'!$B$5))</ns0:f>
        <ns0:v>579902.2122905029</ns0:v>
      </ns0:c>
      <ns0:c r="P588" s="16">
        <ns0:f>(E588+G588)*(1-'前提と出典'!$B$7)-I588-K588-M588-O588</ns0:f>
        <ns0:v>1319347.0350983553</ns0:v>
      </ns0:c>
      <ns0:c r="Q588" s="16">
        <ns0:f>(F588+H588)*(1-'前提と出典'!$B$7)-J588-L588-N588</ns0:f>
        <ns0:v>502187.9864386836</ns0:v>
      </ns0:c>
      <ns0:c r="R588" s="16">
        <ns0:f>P588-E588*'前提と出典'!$E$4</ns0:f>
        <ns0:v>980344.7312388448</ns0:v>
      </ns0:c>
      <ns0:c r="S588" s="16">
        <ns0:f>Q588-F588*'前提と出典'!$E$4</ns0:f>
        <ns0:v>369141.8983945419</ns0:v>
      </ns0:c>
      <ns0:c r="T588" s="7">
        <ns0:f>R588+S588</ns0:f>
        <ns0:v>1349486.6296333866</ns0:v>
      </ns0:c>
      <ns0:c r="U588" s="16">
        <ns0:f>P588-E588*'前提と出典'!$E$5</ns0:f>
        <ns0:v>867343.9632856746</ns0:v>
      </ns0:c>
      <ns0:c r="V588" s="16">
        <ns0:f>Q588-F588*'前提と出典'!$E$5</ns0:f>
        <ns0:v>324793.2023798279</ns0:v>
      </ns0:c>
      <ns0:c r="W588" s="7">
        <ns0:f>U588+V588</ns0:f>
        <ns0:v>1192137.1656655024</ns0:v>
      </ns0:c>
      <ns0:c r="X588" s="16">
        <ns0:f>P588-E588*'前提と出典'!$E$6</ns0:f>
        <ns0:v>754343.1953325043</ns0:v>
      </ns0:c>
      <ns0:c r="Y588" s="16">
        <ns0:f>Q588-F588*'前提と出典'!$E$6</ns0:f>
        <ns0:v>280444.50636511407</ns0:v>
      </ns0:c>
      <ns0:c r="Z588" s="7">
        <ns0:f>X588+Y588</ns0:f>
        <ns0:v>1034787.7016976185</ns0:v>
      </ns0:c>
      <ns0:c r="AA588" s="7">
        <ns0:f>IF(T588&gt;=0,A588,1001)</ns0:f>
        <ns0:v>584</ns0:v>
      </ns0:c>
      <ns0:c r="AB588" s="7">
        <ns0:f>IF(T588&lt;0,A588,0)</ns0:f>
        <ns0:v>0</ns0:v>
      </ns0:c>
      <ns0:c r="AC588" s="16">
        <ns0:f>IF(AND(OR('前提と出典'!$C$36+'前提と出典'!$C$38=0,R588&gt;=0),OR('前提と出典'!$C$37+'前提と出典'!$C$38=0,S588&gt;=0)),0,A588)</ns0:f>
        <ns0:v>0</ns0:v>
      </ns0:c>
      <ns0:c r="AD588" s="7">
        <ns0:f>IF(W588&gt;=0,A588,1001)</ns0:f>
        <ns0:v>584</ns0:v>
      </ns0:c>
      <ns0:c r="AE588" s="7">
        <ns0:f>IF(W588&lt;0,A588,0)</ns0:f>
        <ns0:v>0</ns0:v>
      </ns0:c>
      <ns0:c r="AF588" s="16">
        <ns0:f>IF(AND(OR('前提と出典'!$C$36+'前提と出典'!$C$38=0,U588&gt;=0),OR('前提と出典'!$C$37+'前提と出典'!$C$38=0,V588&gt;=0)),0,A588)</ns0:f>
        <ns0:v>0</ns0:v>
      </ns0:c>
      <ns0:c r="AG588" s="7">
        <ns0:f>IF(Z588&gt;=0,A588,1001)</ns0:f>
        <ns0:v>584</ns0:v>
      </ns0:c>
      <ns0:c r="AH588" s="4">
        <ns0:f>IF(Z588&lt;0,A588,0)</ns0:f>
        <ns0:v>0</ns0:v>
      </ns0:c>
      <ns0:c r="AI588" s="12">
        <ns0:f>IF(AND(OR('前提と出典'!$C$36+'前提と出典'!$C$38=0,X588&gt;=0),OR('前提と出典'!$C$37+'前提と出典'!$C$38=0,Y588&gt;=0)),0,A588)</ns0:f>
        <ns0:v>0</ns0:v>
      </ns0:c>
    </ns0:row>
    <ns0:row r="589" ht="24" customHeight="1">
      <ns0:c r="A589" s="4" t="n">
        <ns0:v>585</ns0:v>
      </ns0:c>
      <ns0:c r="B589" s="12">
        <ns0:f>A589*('前提と出典'!$C$36+'前提と出典'!$C$38)</ns0:f>
        <ns0:v>409.5</ns0:v>
      </ns0:c>
      <ns0:c r="C589" s="12">
        <ns0:f>A589*('前提と出典'!$C$37+'前提と出典'!$C$38)</ns0:f>
        <ns0:v>351</ns0:v>
      </ns0:c>
      <ns0:c r="D589" s="16">
        <ns0:f>A589*('前提と出典'!$C$36*'契約別単価'!C5+'前提と出典'!$C$37*'契約別単価'!C6+'前提と出典'!$C$38*'契約別単価'!C7)</ns0:f>
        <ns0:v>4209.385474860335</ns0:v>
      </ns0:c>
      <ns0:c r="E589" s="16">
        <ns0:f>A589*('前提と出典'!$C$36*'契約別単価'!E5+'前提と出典'!$C$37*'契約別単価'!E6+'前提と出典'!$C$38*'契約別単価'!E7)</ns0:f>
        <ns0:v>1131942.624188434</ns0:v>
      </ns0:c>
      <ns0:c r="F589" s="16">
        <ns0:f>A589*('前提と出典'!$C$36*'契約別単価'!F5+'前提と出典'!$C$37*'契約別単価'!F6+'前提と出典'!$C$38*'契約別単価'!F7)</ns0:f>
        <ns0:v>444246.35562684323</ns0:v>
      </ns0:c>
      <ns0:c r="G589" s="16">
        <ns0:f>A589*('前提と出典'!$C$36*'契約別単価'!G5+'前提と出典'!$C$37*'契約別単価'!G6+'前提と出典'!$C$38*'契約別単価'!G7)</ns0:f>
        <ns0:v>1164444.1340782123</ns0:v>
      </ns0:c>
      <ns0:c r="H589" s="16">
        <ns0:f>A589*('前提と出典'!$C$36*'契約別単価'!H5+'前提と出典'!$C$37*'契約別単価'!H6+'前提と出典'!$C$38*'契約別単価'!H7)</ns0:f>
        <ns0:v>404120.5159877599</ns0:v>
      </ns0:c>
      <ns0:c r="I589" s="16">
        <ns0:f>A589*('前提と出典'!$C$36*'契約別単価'!I5+'前提と出典'!$C$37*'契約別単価'!I6+'前提と出典'!$C$38*'契約別単価'!I7)</ns0:f>
        <ns0:v>24684.38547486033</ns0:v>
      </ns0:c>
      <ns0:c r="J589" s="16">
        <ns0:f>A589*('前提と出典'!$C$36*'契約別単価'!J5+'前提と出典'!$C$37*'契約別単価'!J6+'前提と出典'!$C$38*'契約別単価'!J7)</ns0:f>
        <ns0:v>57499.383070527</ns0:v>
      </ns0:c>
      <ns0:c r="K589" s="16">
        <ns0:f>A589*('前提と出典'!$C$36*'契約別単価'!K5+'前提と出典'!$C$37*'契約別単価'!K6+'前提と出典'!$C$38*'契約別単価'!K7)</ns0:f>
        <ns0:v>246462.56983240222</ns0:v>
      </ns0:c>
      <ns0:c r="L589" s="16">
        <ns0:f>A589*('前提と出典'!$C$36*'契約別単価'!L5+'前提と出典'!$C$37*'契約別単価'!L6+'前提と出典'!$C$38*'契約別単価'!L7)</ns0:f>
        <ns0:v>200670.68386625865</ns0:v>
      </ns0:c>
      <ns0:c r="M589" s="16">
        <ns0:f>IF(('前提と出典'!$C$36+'前提と出典'!$C$38)=0,0,IF(B589&lt;=10,'前提と出典'!B73+'前提と出典'!C73,IF(B589&lt;=100,'前提と出典'!B74+'前提と出典'!C74,IF(B589&lt;=500,'前提と出典'!B75+'前提と出典'!C75,'前提と出典'!B76+'前提と出典'!C76))))</ns0:f>
        <ns0:v>40000</ns0:v>
      </ns0:c>
      <ns0:c r="N589" s="16">
        <ns0:f>IF(('前提と出典'!$C$37+'前提と出典'!$C$38)=0,0,IF(C589&lt;=10,'前提と出典'!D73+'前提と出典'!E73,IF(C589&lt;=100,'前提と出典'!D74+'前提と出典'!E74,IF(C589&lt;=500,'前提と出典'!D75+'前提と出典'!E75,'前提と出典'!D76+'前提と出典'!E76))))</ns0:f>
        <ns0:v>56510.9346263078</ns0:v>
      </ns0:c>
      <ns0:c r="O589" s="16">
        <ns0:f>IF('前提と出典'!$C$36+'前提と出典'!$C$38=0,0,'前提と出典'!$B$4*IF('前提と出典'!$B$20=0,MAX('前提と出典'!$B$6,D589*'前提と出典'!$B$5),'前提と出典'!$B$6+D589*'前提と出典'!$B$5))</ns0:f>
        <ns0:v>580895.1955307262</ns0:v>
      </ns0:c>
      <ns0:c r="P589" s="16">
        <ns0:f>(E589+G589)*(1-'前提と出典'!$B$7)-I589-K589-M589-O589</ns0:f>
        <ns0:v>1321674.6841310584</ns0:v>
      </ns0:c>
      <ns0:c r="Q589" s="16">
        <ns0:f>(F589+H589)*(1-'前提と出典'!$B$7)-J589-L589-N589</ns0:f>
        <ns0:v>503144.6626733839</ns0:v>
      </ns0:c>
      <ns0:c r="R589" s="16">
        <ns0:f>P589-E589*'前提と出典'!$E$4</ns0:f>
        <ns0:v>982091.896874528</ns0:v>
      </ns0:c>
      <ns0:c r="S589" s="16">
        <ns0:f>Q589-F589*'前提と出典'!$E$4</ns0:f>
        <ns0:v>369870.75598533096</ns0:v>
      </ns0:c>
      <ns0:c r="T589" s="7">
        <ns0:f>R589+S589</ns0:f>
        <ns0:v>1351962.652859859</ns0:v>
      </ns0:c>
      <ns0:c r="U589" s="16">
        <ns0:f>P589-E589*'前提と出典'!$E$5</ns0:f>
        <ns0:v>868897.6344556847</ns0:v>
      </ns0:c>
      <ns0:c r="V589" s="16">
        <ns0:f>Q589-F589*'前提と出典'!$E$5</ns0:f>
        <ns0:v>325446.1204226466</ns0:v>
      </ns0:c>
      <ns0:c r="W589" s="7">
        <ns0:f>U589+V589</ns0:f>
        <ns0:v>1194343.7548783312</ns0:v>
      </ns0:c>
      <ns0:c r="X589" s="16">
        <ns0:f>P589-E589*'前提と出典'!$E$6</ns0:f>
        <ns0:v>755703.3720368411</ns0:v>
      </ns0:c>
      <ns0:c r="Y589" s="16">
        <ns0:f>Q589-F589*'前提と出典'!$E$6</ns0:f>
        <ns0:v>281021.4848599623</ns0:v>
      </ns0:c>
      <ns0:c r="Z589" s="7">
        <ns0:f>X589+Y589</ns0:f>
        <ns0:v>1036724.8568968035</ns0:v>
      </ns0:c>
      <ns0:c r="AA589" s="7">
        <ns0:f>IF(T589&gt;=0,A589,1001)</ns0:f>
        <ns0:v>585</ns0:v>
      </ns0:c>
      <ns0:c r="AB589" s="7">
        <ns0:f>IF(T589&lt;0,A589,0)</ns0:f>
        <ns0:v>0</ns0:v>
      </ns0:c>
      <ns0:c r="AC589" s="16">
        <ns0:f>IF(AND(OR('前提と出典'!$C$36+'前提と出典'!$C$38=0,R589&gt;=0),OR('前提と出典'!$C$37+'前提と出典'!$C$38=0,S589&gt;=0)),0,A589)</ns0:f>
        <ns0:v>0</ns0:v>
      </ns0:c>
      <ns0:c r="AD589" s="7">
        <ns0:f>IF(W589&gt;=0,A589,1001)</ns0:f>
        <ns0:v>585</ns0:v>
      </ns0:c>
      <ns0:c r="AE589" s="7">
        <ns0:f>IF(W589&lt;0,A589,0)</ns0:f>
        <ns0:v>0</ns0:v>
      </ns0:c>
      <ns0:c r="AF589" s="16">
        <ns0:f>IF(AND(OR('前提と出典'!$C$36+'前提と出典'!$C$38=0,U589&gt;=0),OR('前提と出典'!$C$37+'前提と出典'!$C$38=0,V589&gt;=0)),0,A589)</ns0:f>
        <ns0:v>0</ns0:v>
      </ns0:c>
      <ns0:c r="AG589" s="7">
        <ns0:f>IF(Z589&gt;=0,A589,1001)</ns0:f>
        <ns0:v>585</ns0:v>
      </ns0:c>
      <ns0:c r="AH589" s="4">
        <ns0:f>IF(Z589&lt;0,A589,0)</ns0:f>
        <ns0:v>0</ns0:v>
      </ns0:c>
      <ns0:c r="AI589" s="12">
        <ns0:f>IF(AND(OR('前提と出典'!$C$36+'前提と出典'!$C$38=0,X589&gt;=0),OR('前提と出典'!$C$37+'前提と出典'!$C$38=0,Y589&gt;=0)),0,A589)</ns0:f>
        <ns0:v>0</ns0:v>
      </ns0:c>
    </ns0:row>
    <ns0:row r="590" ht="24" customHeight="1">
      <ns0:c r="A590" s="4" t="n">
        <ns0:v>586</ns0:v>
      </ns0:c>
      <ns0:c r="B590" s="12">
        <ns0:f>A590*('前提と出典'!$C$36+'前提と出典'!$C$38)</ns0:f>
        <ns0:v>410.2</ns0:v>
      </ns0:c>
      <ns0:c r="C590" s="12">
        <ns0:f>A590*('前提と出典'!$C$37+'前提と出典'!$C$38)</ns0:f>
        <ns0:v>351.59999999999997</ns0:v>
      </ns0:c>
      <ns0:c r="D590" s="16">
        <ns0:f>A590*('前提と出典'!$C$36*'契約別単価'!C5+'前提と出典'!$C$37*'契約別単価'!C6+'前提と出典'!$C$38*'契約別単価'!C7)</ns0:f>
        <ns0:v>4216.581005586592</ns0:v>
      </ns0:c>
      <ns0:c r="E590" s="16">
        <ns0:f>A590*('前提と出典'!$C$36*'契約別単価'!E5+'前提と出典'!$C$37*'契約別単価'!E6+'前提と出典'!$C$38*'契約別単価'!E7)</ns0:f>
        <ns0:v>1133877.5688451664</ns0:v>
      </ns0:c>
      <ns0:c r="F590" s="16">
        <ns0:f>A590*('前提と出典'!$C$36*'契約別単価'!F5+'前提と出典'!$C$37*'契約別単価'!F6+'前提と出典'!$C$38*'契約別単価'!F7)</ns0:f>
        <ns0:v>445005.75110654725</ns0:v>
      </ns0:c>
      <ns0:c r="G590" s="16">
        <ns0:f>A590*('前提と出典'!$C$36*'契約別単価'!G5+'前提と出典'!$C$37*'契約別単価'!G6+'前提と出典'!$C$38*'契約別単価'!G7)</ns0:f>
        <ns0:v>1166434.6368715083</ns0:v>
      </ns0:c>
      <ns0:c r="H590" s="16">
        <ns0:f>A590*('前提と出典'!$C$36*'契約別単価'!H5+'前提と出典'!$C$37*'契約別単価'!H6+'前提と出典'!$C$38*'契約別単価'!H7)</ns0:f>
        <ns0:v>404811.3202885937</ns0:v>
      </ns0:c>
      <ns0:c r="I590" s="16">
        <ns0:f>A590*('前提と出典'!$C$36*'契約別単価'!I5+'前提と出典'!$C$37*'契約別単価'!I6+'前提と出典'!$C$38*'契約別単価'!I7)</ns0:f>
        <ns0:v>24726.581005586588</ns0:v>
      </ns0:c>
      <ns0:c r="J590" s="16">
        <ns0:f>A590*('前提と出典'!$C$36*'契約別単価'!J5+'前提と出典'!$C$37*'契約別単価'!J6+'前提と出典'!$C$38*'契約別単価'!J7)</ns0:f>
        <ns0:v>57597.6726142373</ns0:v>
      </ns0:c>
      <ns0:c r="K590" s="16">
        <ns0:f>A590*('前提と出典'!$C$36*'契約別単価'!K5+'前提と出典'!$C$37*'契約別単価'!K6+'前提と出典'!$C$38*'契約別単価'!K7)</ns0:f>
        <ns0:v>246883.87337057726</ns0:v>
      </ns0:c>
      <ns0:c r="L590" s="16">
        <ns0:f>A590*('前提と出典'!$C$36*'契約別単価'!L5+'前提と出典'!$C$37*'契約別単価'!L6+'前提と出典'!$C$38*'契約別単価'!L7)</ns0:f>
        <ns0:v>201013.71067628646</ns0:v>
      </ns0:c>
      <ns0:c r="M590" s="16">
        <ns0:f>IF(('前提と出典'!$C$36+'前提と出典'!$C$38)=0,0,IF(B590&lt;=10,'前提と出典'!B73+'前提と出典'!C73,IF(B590&lt;=100,'前提と出典'!B74+'前提と出典'!C74,IF(B590&lt;=500,'前提と出典'!B75+'前提と出典'!C75,'前提と出典'!B76+'前提と出典'!C76))))</ns0:f>
        <ns0:v>40000</ns0:v>
      </ns0:c>
      <ns0:c r="N590" s="16">
        <ns0:f>IF(('前提と出典'!$C$37+'前提と出典'!$C$38)=0,0,IF(C590&lt;=10,'前提と出典'!D73+'前提と出典'!E73,IF(C590&lt;=100,'前提と出典'!D74+'前提と出典'!E74,IF(C590&lt;=500,'前提と出典'!D75+'前提と出典'!E75,'前提と出典'!D76+'前提と出典'!E76))))</ns0:f>
        <ns0:v>56510.9346263078</ns0:v>
      </ns0:c>
      <ns0:c r="O590" s="16">
        <ns0:f>IF('前提と出典'!$C$36+'前提と出典'!$C$38=0,0,'前提と出典'!$B$4*IF('前提と出典'!$B$20=0,MAX('前提と出典'!$B$6,D590*'前提と出典'!$B$5),'前提と出典'!$B$6+D590*'前提と出典'!$B$5))</ns0:f>
        <ns0:v>581888.1787709497</ns0:v>
      </ns0:c>
      <ns0:c r="P590" s="16">
        <ns0:f>(E590+G590)*(1-'前提と出典'!$B$7)-I590-K590-M590-O590</ns0:f>
        <ns0:v>1324002.3331637608</ns0:v>
      </ns0:c>
      <ns0:c r="Q590" s="16">
        <ns0:f>(F590+H590)*(1-'前提と出典'!$B$7)-J590-L590-N590</ns0:f>
        <ns0:v>504101.3389080843</ns0:v>
      </ns0:c>
      <ns0:c r="R590" s="16">
        <ns0:f>P590-E590*'前提と出典'!$E$4</ns0:f>
        <ns0:v>983839.0625102109</ns0:v>
      </ns0:c>
      <ns0:c r="S590" s="16">
        <ns0:f>Q590-F590*'前提と出典'!$E$4</ns0:f>
        <ns0:v>370599.6135761201</ns0:v>
      </ns0:c>
      <ns0:c r="T590" s="7">
        <ns0:f>R590+S590</ns0:f>
        <ns0:v>1354438.676086331</ns0:v>
      </ns0:c>
      <ns0:c r="U590" s="16">
        <ns0:f>P590-E590*'前提と出典'!$E$5</ns0:f>
        <ns0:v>870451.3056256942</ns0:v>
      </ns0:c>
      <ns0:c r="V590" s="16">
        <ns0:f>Q590-F590*'前提と出典'!$E$5</ns0:f>
        <ns0:v>326099.0384654654</ns0:v>
      </ns0:c>
      <ns0:c r="W590" s="7">
        <ns0:f>U590+V590</ns0:f>
        <ns0:v>1196550.3440911598</ns0:v>
      </ns0:c>
      <ns0:c r="X590" s="16">
        <ns0:f>P590-E590*'前提と出典'!$E$6</ns0:f>
        <ns0:v>757063.5487411775</ns0:v>
      </ns0:c>
      <ns0:c r="Y590" s="16">
        <ns0:f>Q590-F590*'前提と出典'!$E$6</ns0:f>
        <ns0:v>281598.4633548107</ns0:v>
      </ns0:c>
      <ns0:c r="Z590" s="7">
        <ns0:f>X590+Y590</ns0:f>
        <ns0:v>1038662.0120959883</ns0:v>
      </ns0:c>
      <ns0:c r="AA590" s="7">
        <ns0:f>IF(T590&gt;=0,A590,1001)</ns0:f>
        <ns0:v>586</ns0:v>
      </ns0:c>
      <ns0:c r="AB590" s="7">
        <ns0:f>IF(T590&lt;0,A590,0)</ns0:f>
        <ns0:v>0</ns0:v>
      </ns0:c>
      <ns0:c r="AC590" s="16">
        <ns0:f>IF(AND(OR('前提と出典'!$C$36+'前提と出典'!$C$38=0,R590&gt;=0),OR('前提と出典'!$C$37+'前提と出典'!$C$38=0,S590&gt;=0)),0,A590)</ns0:f>
        <ns0:v>0</ns0:v>
      </ns0:c>
      <ns0:c r="AD590" s="7">
        <ns0:f>IF(W590&gt;=0,A590,1001)</ns0:f>
        <ns0:v>586</ns0:v>
      </ns0:c>
      <ns0:c r="AE590" s="7">
        <ns0:f>IF(W590&lt;0,A590,0)</ns0:f>
        <ns0:v>0</ns0:v>
      </ns0:c>
      <ns0:c r="AF590" s="16">
        <ns0:f>IF(AND(OR('前提と出典'!$C$36+'前提と出典'!$C$38=0,U590&gt;=0),OR('前提と出典'!$C$37+'前提と出典'!$C$38=0,V590&gt;=0)),0,A590)</ns0:f>
        <ns0:v>0</ns0:v>
      </ns0:c>
      <ns0:c r="AG590" s="7">
        <ns0:f>IF(Z590&gt;=0,A590,1001)</ns0:f>
        <ns0:v>586</ns0:v>
      </ns0:c>
      <ns0:c r="AH590" s="4">
        <ns0:f>IF(Z590&lt;0,A590,0)</ns0:f>
        <ns0:v>0</ns0:v>
      </ns0:c>
      <ns0:c r="AI590" s="12">
        <ns0:f>IF(AND(OR('前提と出典'!$C$36+'前提と出典'!$C$38=0,X590&gt;=0),OR('前提と出典'!$C$37+'前提と出典'!$C$38=0,Y590&gt;=0)),0,A590)</ns0:f>
        <ns0:v>0</ns0:v>
      </ns0:c>
    </ns0:row>
    <ns0:row r="591" ht="24" customHeight="1">
      <ns0:c r="A591" s="4" t="n">
        <ns0:v>587</ns0:v>
      </ns0:c>
      <ns0:c r="B591" s="12">
        <ns0:f>A591*('前提と出典'!$C$36+'前提と出典'!$C$38)</ns0:f>
        <ns0:v>410.9</ns0:v>
      </ns0:c>
      <ns0:c r="C591" s="12">
        <ns0:f>A591*('前提と出典'!$C$37+'前提と出典'!$C$38)</ns0:f>
        <ns0:v>352.2</ns0:v>
      </ns0:c>
      <ns0:c r="D591" s="16">
        <ns0:f>A591*('前提と出典'!$C$36*'契約別単価'!C5+'前提と出典'!$C$37*'契約別単価'!C6+'前提と出典'!$C$38*'契約別単価'!C7)</ns0:f>
        <ns0:v>4223.776536312849</ns0:v>
      </ns0:c>
      <ns0:c r="E591" s="16">
        <ns0:f>A591*('前提と出典'!$C$36*'契約別単価'!E5+'前提と出典'!$C$37*'契約別単価'!E6+'前提と出典'!$C$38*'契約別単価'!E7)</ns0:f>
        <ns0:v>1135812.5135018989</ns0:v>
      </ns0:c>
      <ns0:c r="F591" s="16">
        <ns0:f>A591*('前提と出典'!$C$36*'契約別単価'!F5+'前提と出典'!$C$37*'契約別単価'!F6+'前提と出典'!$C$38*'契約別単価'!F7)</ns0:f>
        <ns0:v>445765.14658625127</ns0:v>
      </ns0:c>
      <ns0:c r="G591" s="16">
        <ns0:f>A591*('前提と出典'!$C$36*'契約別単価'!G5+'前提と出典'!$C$37*'契約別単価'!G6+'前提と出典'!$C$38*'契約別単価'!G7)</ns0:f>
        <ns0:v>1168425.1396648043</ns0:v>
      </ns0:c>
      <ns0:c r="H591" s="16">
        <ns0:f>A591*('前提と出典'!$C$36*'契約別単価'!H5+'前提と出典'!$C$37*'契約別単価'!H6+'前提と出典'!$C$38*'契約別単価'!H7)</ns0:f>
        <ns0:v>405502.1245894275</ns0:v>
      </ns0:c>
      <ns0:c r="I591" s="16">
        <ns0:f>A591*('前提と出典'!$C$36*'契約別単価'!I5+'前提と出典'!$C$37*'契約別単価'!I6+'前提と出典'!$C$38*'契約別単価'!I7)</ns0:f>
        <ns0:v>24768.776536312846</ns0:v>
      </ns0:c>
      <ns0:c r="J591" s="16">
        <ns0:f>A591*('前提と出典'!$C$36*'契約別単価'!J5+'前提と出典'!$C$37*'契約別単価'!J6+'前提と出典'!$C$38*'契約別単価'!J7)</ns0:f>
        <ns0:v>57695.96215794761</ns0:v>
      </ns0:c>
      <ns0:c r="K591" s="16">
        <ns0:f>A591*('前提と出典'!$C$36*'契約別単価'!K5+'前提と出典'!$C$37*'契約別単価'!K6+'前提と出典'!$C$38*'契約別単価'!K7)</ns0:f>
        <ns0:v>247305.1769087523</ns0:v>
      </ns0:c>
      <ns0:c r="L591" s="16">
        <ns0:f>A591*('前提と出典'!$C$36*'契約別単価'!L5+'前提と出典'!$C$37*'契約別単価'!L6+'前提と出典'!$C$38*'契約別単価'!L7)</ns0:f>
        <ns0:v>201356.73748631423</ns0:v>
      </ns0:c>
      <ns0:c r="M591" s="16">
        <ns0:f>IF(('前提と出典'!$C$36+'前提と出典'!$C$38)=0,0,IF(B591&lt;=10,'前提と出典'!B73+'前提と出典'!C73,IF(B591&lt;=100,'前提と出典'!B74+'前提と出典'!C74,IF(B591&lt;=500,'前提と出典'!B75+'前提と出典'!C75,'前提と出典'!B76+'前提と出典'!C76))))</ns0:f>
        <ns0:v>40000</ns0:v>
      </ns0:c>
      <ns0:c r="N591" s="16">
        <ns0:f>IF(('前提と出典'!$C$37+'前提と出典'!$C$38)=0,0,IF(C591&lt;=10,'前提と出典'!D73+'前提と出典'!E73,IF(C591&lt;=100,'前提と出典'!D74+'前提と出典'!E74,IF(C591&lt;=500,'前提と出典'!D75+'前提と出典'!E75,'前提と出典'!D76+'前提と出典'!E76))))</ns0:f>
        <ns0:v>56510.9346263078</ns0:v>
      </ns0:c>
      <ns0:c r="O591" s="16">
        <ns0:f>IF('前提と出典'!$C$36+'前提と出典'!$C$38=0,0,'前提と出典'!$B$4*IF('前提と出典'!$B$20=0,MAX('前提と出典'!$B$6,D591*'前提と出典'!$B$5),'前提と出典'!$B$6+D591*'前提と出典'!$B$5))</ns0:f>
        <ns0:v>582881.1620111732</ns0:v>
      </ns0:c>
      <ns0:c r="P591" s="16">
        <ns0:f>(E591+G591)*(1-'前提と出典'!$B$7)-I591-K591-M591-O591</ns0:f>
        <ns0:v>1326329.982196463</ns0:v>
      </ns0:c>
      <ns0:c r="Q591" s="16">
        <ns0:f>(F591+H591)*(1-'前提と出典'!$B$7)-J591-L591-N591</ns0:f>
        <ns0:v>505058.0151427847</ns0:v>
      </ns0:c>
      <ns0:c r="R591" s="16">
        <ns0:f>P591-E591*'前提と出典'!$E$4</ns0:f>
        <ns0:v>985586.2281458935</ns0:v>
      </ns0:c>
      <ns0:c r="S591" s="16">
        <ns0:f>Q591-F591*'前提と出典'!$E$4</ns0:f>
        <ns0:v>371328.4711669093</ns0:v>
      </ns0:c>
      <ns0:c r="T591" s="7">
        <ns0:f>R591+S591</ns0:f>
        <ns0:v>1356914.6993128029</ns0:v>
      </ns0:c>
      <ns0:c r="U591" s="16">
        <ns0:f>P591-E591*'前提と出典'!$E$5</ns0:f>
        <ns0:v>872004.9767957035</ns0:v>
      </ns0:c>
      <ns0:c r="V591" s="16">
        <ns0:f>Q591-F591*'前提と出典'!$E$5</ns0:f>
        <ns0:v>326751.9565082842</ns0:v>
      </ns0:c>
      <ns0:c r="W591" s="7">
        <ns0:f>U591+V591</ns0:f>
        <ns0:v>1198756.9333039876</ns0:v>
      </ns0:c>
      <ns0:c r="X591" s="16">
        <ns0:f>P591-E591*'前提と出典'!$E$6</ns0:f>
        <ns0:v>758423.725445514</ns0:v>
      </ns0:c>
      <ns0:c r="Y591" s="16">
        <ns0:f>Q591-F591*'前提と出典'!$E$6</ns0:f>
        <ns0:v>282175.4418496591</ns0:v>
      </ns0:c>
      <ns0:c r="Z591" s="7">
        <ns0:f>X591+Y591</ns0:f>
        <ns0:v>1040599.167295173</ns0:v>
      </ns0:c>
      <ns0:c r="AA591" s="7">
        <ns0:f>IF(T591&gt;=0,A591,1001)</ns0:f>
        <ns0:v>587</ns0:v>
      </ns0:c>
      <ns0:c r="AB591" s="7">
        <ns0:f>IF(T591&lt;0,A591,0)</ns0:f>
        <ns0:v>0</ns0:v>
      </ns0:c>
      <ns0:c r="AC591" s="16">
        <ns0:f>IF(AND(OR('前提と出典'!$C$36+'前提と出典'!$C$38=0,R591&gt;=0),OR('前提と出典'!$C$37+'前提と出典'!$C$38=0,S591&gt;=0)),0,A591)</ns0:f>
        <ns0:v>0</ns0:v>
      </ns0:c>
      <ns0:c r="AD591" s="7">
        <ns0:f>IF(W591&gt;=0,A591,1001)</ns0:f>
        <ns0:v>587</ns0:v>
      </ns0:c>
      <ns0:c r="AE591" s="7">
        <ns0:f>IF(W591&lt;0,A591,0)</ns0:f>
        <ns0:v>0</ns0:v>
      </ns0:c>
      <ns0:c r="AF591" s="16">
        <ns0:f>IF(AND(OR('前提と出典'!$C$36+'前提と出典'!$C$38=0,U591&gt;=0),OR('前提と出典'!$C$37+'前提と出典'!$C$38=0,V591&gt;=0)),0,A591)</ns0:f>
        <ns0:v>0</ns0:v>
      </ns0:c>
      <ns0:c r="AG591" s="7">
        <ns0:f>IF(Z591&gt;=0,A591,1001)</ns0:f>
        <ns0:v>587</ns0:v>
      </ns0:c>
      <ns0:c r="AH591" s="4">
        <ns0:f>IF(Z591&lt;0,A591,0)</ns0:f>
        <ns0:v>0</ns0:v>
      </ns0:c>
      <ns0:c r="AI591" s="12">
        <ns0:f>IF(AND(OR('前提と出典'!$C$36+'前提と出典'!$C$38=0,X591&gt;=0),OR('前提と出典'!$C$37+'前提と出典'!$C$38=0,Y591&gt;=0)),0,A591)</ns0:f>
        <ns0:v>0</ns0:v>
      </ns0:c>
    </ns0:row>
    <ns0:row r="592" ht="24" customHeight="1">
      <ns0:c r="A592" s="4" t="n">
        <ns0:v>588</ns0:v>
      </ns0:c>
      <ns0:c r="B592" s="12">
        <ns0:f>A592*('前提と出典'!$C$36+'前提と出典'!$C$38)</ns0:f>
        <ns0:v>411.59999999999997</ns0:v>
      </ns0:c>
      <ns0:c r="C592" s="12">
        <ns0:f>A592*('前提と出典'!$C$37+'前提と出典'!$C$38)</ns0:f>
        <ns0:v>352.8</ns0:v>
      </ns0:c>
      <ns0:c r="D592" s="16">
        <ns0:f>A592*('前提と出典'!$C$36*'契約別単価'!C5+'前提と出典'!$C$37*'契約別単価'!C6+'前提と出典'!$C$38*'契約別単価'!C7)</ns0:f>
        <ns0:v>4230.972067039106</ns0:v>
      </ns0:c>
      <ns0:c r="E592" s="16">
        <ns0:f>A592*('前提と出典'!$C$36*'契約別単価'!E5+'前提と出典'!$C$37*'契約別単価'!E6+'前提と出典'!$C$38*'契約別単価'!E7)</ns0:f>
        <ns0:v>1137747.458158631</ns0:v>
      </ns0:c>
      <ns0:c r="F592" s="16">
        <ns0:f>A592*('前提と出典'!$C$36*'契約別単価'!F5+'前提と出典'!$C$37*'契約別単価'!F6+'前提と出典'!$C$38*'契約別単価'!F7)</ns0:f>
        <ns0:v>446524.54206595523</ns0:v>
      </ns0:c>
      <ns0:c r="G592" s="16">
        <ns0:f>A592*('前提と出典'!$C$36*'契約別単価'!G5+'前提と出典'!$C$37*'契約別単価'!G6+'前提と出典'!$C$38*'契約別単価'!G7)</ns0:f>
        <ns0:v>1170415.6424581006</ns0:v>
      </ns0:c>
      <ns0:c r="H592" s="16">
        <ns0:f>A592*('前提と出典'!$C$36*'契約別単価'!H5+'前提と出典'!$C$37*'契約別単価'!H6+'前提と出典'!$C$38*'契約別単価'!H7)</ns0:f>
        <ns0:v>406192.9288902613</ns0:v>
      </ns0:c>
      <ns0:c r="I592" s="16">
        <ns0:f>A592*('前提と出典'!$C$36*'契約別単価'!I5+'前提と出典'!$C$37*'契約別単価'!I6+'前提と出典'!$C$38*'契約別単価'!I7)</ns0:f>
        <ns0:v>24810.972067039103</ns0:v>
      </ns0:c>
      <ns0:c r="J592" s="16">
        <ns0:f>A592*('前提と出典'!$C$36*'契約別単価'!J5+'前提と出典'!$C$37*'契約別単価'!J6+'前提と出典'!$C$38*'契約別単価'!J7)</ns0:f>
        <ns0:v>57794.25170165791</ns0:v>
      </ns0:c>
      <ns0:c r="K592" s="16">
        <ns0:f>A592*('前提と出典'!$C$36*'契約別単価'!K5+'前提と出典'!$C$37*'契約別単価'!K6+'前提と出典'!$C$38*'契約別単価'!K7)</ns0:f>
        <ns0:v>247726.48044692737</ns0:v>
      </ns0:c>
      <ns0:c r="L592" s="16">
        <ns0:f>A592*('前提と出典'!$C$36*'契約別単価'!L5+'前提と出典'!$C$37*'契約別単価'!L6+'前提と出典'!$C$38*'契約別単価'!L7)</ns0:f>
        <ns0:v>201699.76429634204</ns0:v>
      </ns0:c>
      <ns0:c r="M592" s="16">
        <ns0:f>IF(('前提と出典'!$C$36+'前提と出典'!$C$38)=0,0,IF(B592&lt;=10,'前提と出典'!B73+'前提と出典'!C73,IF(B592&lt;=100,'前提と出典'!B74+'前提と出典'!C74,IF(B592&lt;=500,'前提と出典'!B75+'前提と出典'!C75,'前提と出典'!B76+'前提と出典'!C76))))</ns0:f>
        <ns0:v>40000</ns0:v>
      </ns0:c>
      <ns0:c r="N592" s="16">
        <ns0:f>IF(('前提と出典'!$C$37+'前提と出典'!$C$38)=0,0,IF(C592&lt;=10,'前提と出典'!D73+'前提と出典'!E73,IF(C592&lt;=100,'前提と出典'!D74+'前提と出典'!E74,IF(C592&lt;=500,'前提と出典'!D75+'前提と出典'!E75,'前提と出典'!D76+'前提と出典'!E76))))</ns0:f>
        <ns0:v>56510.9346263078</ns0:v>
      </ns0:c>
      <ns0:c r="O592" s="16">
        <ns0:f>IF('前提と出典'!$C$36+'前提と出典'!$C$38=0,0,'前提と出典'!$B$4*IF('前提と出典'!$B$20=0,MAX('前提と出典'!$B$6,D592*'前提と出典'!$B$5),'前提と出典'!$B$6+D592*'前提と出典'!$B$5))</ns0:f>
        <ns0:v>583874.1452513967</ns0:v>
      </ns0:c>
      <ns0:c r="P592" s="16">
        <ns0:f>(E592+G592)*(1-'前提と出典'!$B$7)-I592-K592-M592-O592</ns0:f>
        <ns0:v>1328657.6312291662</ns0:v>
      </ns0:c>
      <ns0:c r="Q592" s="16">
        <ns0:f>(F592+H592)*(1-'前提と出典'!$B$7)-J592-L592-N592</ns0:f>
        <ns0:v>506014.69137748505</ns0:v>
      </ns0:c>
      <ns0:c r="R592" s="16">
        <ns0:f>P592-E592*'前提と出典'!$E$4</ns0:f>
        <ns0:v>987333.3937815771</ns0:v>
      </ns0:c>
      <ns0:c r="S592" s="16">
        <ns0:f>Q592-F592*'前提と出典'!$E$4</ns0:f>
        <ns0:v>372057.32875769853</ns0:v>
      </ns0:c>
      <ns0:c r="T592" s="7">
        <ns0:f>R592+S592</ns0:f>
        <ns0:v>1359390.7225392757</ns0:v>
      </ns0:c>
      <ns0:c r="U592" s="16">
        <ns0:f>P592-E592*'前提と出典'!$E$5</ns0:f>
        <ns0:v>873558.6479657138</ns0:v>
      </ns0:c>
      <ns0:c r="V592" s="16">
        <ns0:f>Q592-F592*'前提と出典'!$E$5</ns0:f>
        <ns0:v>327404.874551103</ns0:v>
      </ns0:c>
      <ns0:c r="W592" s="7">
        <ns0:f>U592+V592</ns0:f>
        <ns0:v>1200963.5225168169</ns0:v>
      </ns0:c>
      <ns0:c r="X592" s="16">
        <ns0:f>P592-E592*'前提と出典'!$E$6</ns0:f>
        <ns0:v>759783.9021498509</ns0:v>
      </ns0:c>
      <ns0:c r="Y592" s="16">
        <ns0:f>Q592-F592*'前提と出典'!$E$6</ns0:f>
        <ns0:v>282752.42034450744</ns0:v>
      </ns0:c>
      <ns0:c r="Z592" s="7">
        <ns0:f>X592+Y592</ns0:f>
        <ns0:v>1042536.3224943583</ns0:v>
      </ns0:c>
      <ns0:c r="AA592" s="7">
        <ns0:f>IF(T592&gt;=0,A592,1001)</ns0:f>
        <ns0:v>588</ns0:v>
      </ns0:c>
      <ns0:c r="AB592" s="7">
        <ns0:f>IF(T592&lt;0,A592,0)</ns0:f>
        <ns0:v>0</ns0:v>
      </ns0:c>
      <ns0:c r="AC592" s="16">
        <ns0:f>IF(AND(OR('前提と出典'!$C$36+'前提と出典'!$C$38=0,R592&gt;=0),OR('前提と出典'!$C$37+'前提と出典'!$C$38=0,S592&gt;=0)),0,A592)</ns0:f>
        <ns0:v>0</ns0:v>
      </ns0:c>
      <ns0:c r="AD592" s="7">
        <ns0:f>IF(W592&gt;=0,A592,1001)</ns0:f>
        <ns0:v>588</ns0:v>
      </ns0:c>
      <ns0:c r="AE592" s="7">
        <ns0:f>IF(W592&lt;0,A592,0)</ns0:f>
        <ns0:v>0</ns0:v>
      </ns0:c>
      <ns0:c r="AF592" s="16">
        <ns0:f>IF(AND(OR('前提と出典'!$C$36+'前提と出典'!$C$38=0,U592&gt;=0),OR('前提と出典'!$C$37+'前提と出典'!$C$38=0,V592&gt;=0)),0,A592)</ns0:f>
        <ns0:v>0</ns0:v>
      </ns0:c>
      <ns0:c r="AG592" s="7">
        <ns0:f>IF(Z592&gt;=0,A592,1001)</ns0:f>
        <ns0:v>588</ns0:v>
      </ns0:c>
      <ns0:c r="AH592" s="4">
        <ns0:f>IF(Z592&lt;0,A592,0)</ns0:f>
        <ns0:v>0</ns0:v>
      </ns0:c>
      <ns0:c r="AI592" s="12">
        <ns0:f>IF(AND(OR('前提と出典'!$C$36+'前提と出典'!$C$38=0,X592&gt;=0),OR('前提と出典'!$C$37+'前提と出典'!$C$38=0,Y592&gt;=0)),0,A592)</ns0:f>
        <ns0:v>0</ns0:v>
      </ns0:c>
    </ns0:row>
    <ns0:row r="593" ht="24" customHeight="1">
      <ns0:c r="A593" s="4" t="n">
        <ns0:v>589</ns0:v>
      </ns0:c>
      <ns0:c r="B593" s="12">
        <ns0:f>A593*('前提と出典'!$C$36+'前提と出典'!$C$38)</ns0:f>
        <ns0:v>412.29999999999995</ns0:v>
      </ns0:c>
      <ns0:c r="C593" s="12">
        <ns0:f>A593*('前提と出典'!$C$37+'前提と出典'!$C$38)</ns0:f>
        <ns0:v>353.4</ns0:v>
      </ns0:c>
      <ns0:c r="D593" s="16">
        <ns0:f>A593*('前提と出典'!$C$36*'契約別単価'!C5+'前提と出典'!$C$37*'契約別単価'!C6+'前提と出典'!$C$38*'契約別単価'!C7)</ns0:f>
        <ns0:v>4238.167597765363</ns0:v>
      </ns0:c>
      <ns0:c r="E593" s="16">
        <ns0:f>A593*('前提と出典'!$C$36*'契約別単価'!E5+'前提と出典'!$C$37*'契約別単価'!E6+'前提と出典'!$C$38*'契約別単価'!E7)</ns0:f>
        <ns0:v>1139682.4028153636</ns0:v>
      </ns0:c>
      <ns0:c r="F593" s="16">
        <ns0:f>A593*('前提と出典'!$C$36*'契約別単価'!F5+'前提と出典'!$C$37*'契約別単価'!F6+'前提と出典'!$C$38*'契約別単価'!F7)</ns0:f>
        <ns0:v>447283.93754565925</ns0:v>
      </ns0:c>
      <ns0:c r="G593" s="16">
        <ns0:f>A593*('前提と出典'!$C$36*'契約別単価'!G5+'前提と出典'!$C$37*'契約別単価'!G6+'前提と出典'!$C$38*'契約別単価'!G7)</ns0:f>
        <ns0:v>1172406.1452513966</ns0:v>
      </ns0:c>
      <ns0:c r="H593" s="16">
        <ns0:f>A593*('前提と出典'!$C$36*'契約別単価'!H5+'前提と出典'!$C$37*'契約別単価'!H6+'前提と出典'!$C$38*'契約別単価'!H7)</ns0:f>
        <ns0:v>406883.73319109506</ns0:v>
      </ns0:c>
      <ns0:c r="I593" s="16">
        <ns0:f>A593*('前提と出典'!$C$36*'契約別単価'!I5+'前提と出典'!$C$37*'契約別単価'!I6+'前提と出典'!$C$38*'契約別単価'!I7)</ns0:f>
        <ns0:v>24853.167597765358</ns0:v>
      </ns0:c>
      <ns0:c r="J593" s="16">
        <ns0:f>A593*('前提と出典'!$C$36*'契約別単価'!J5+'前提と出典'!$C$37*'契約別単価'!J6+'前提と出典'!$C$38*'契約別単価'!J7)</ns0:f>
        <ns0:v>57892.541245368215</ns0:v>
      </ns0:c>
      <ns0:c r="K593" s="16">
        <ns0:f>A593*('前提と出典'!$C$36*'契約別単価'!K5+'前提と出典'!$C$37*'契約別単価'!K6+'前提と出典'!$C$38*'契約別単価'!K7)</ns0:f>
        <ns0:v>248147.7839851024</ns0:v>
      </ns0:c>
      <ns0:c r="L593" s="16">
        <ns0:f>A593*('前提と出典'!$C$36*'契約別単価'!L5+'前提と出典'!$C$37*'契約別単価'!L6+'前提と出典'!$C$38*'契約別単価'!L7)</ns0:f>
        <ns0:v>202042.79110636984</ns0:v>
      </ns0:c>
      <ns0:c r="M593" s="16">
        <ns0:f>IF(('前提と出典'!$C$36+'前提と出典'!$C$38)=0,0,IF(B593&lt;=10,'前提と出典'!B73+'前提と出典'!C73,IF(B593&lt;=100,'前提と出典'!B74+'前提と出典'!C74,IF(B593&lt;=500,'前提と出典'!B75+'前提と出典'!C75,'前提と出典'!B76+'前提と出典'!C76))))</ns0:f>
        <ns0:v>40000</ns0:v>
      </ns0:c>
      <ns0:c r="N593" s="16">
        <ns0:f>IF(('前提と出典'!$C$37+'前提と出典'!$C$38)=0,0,IF(C593&lt;=10,'前提と出典'!D73+'前提と出典'!E73,IF(C593&lt;=100,'前提と出典'!D74+'前提と出典'!E74,IF(C593&lt;=500,'前提と出典'!D75+'前提と出典'!E75,'前提と出典'!D76+'前提と出典'!E76))))</ns0:f>
        <ns0:v>56510.9346263078</ns0:v>
      </ns0:c>
      <ns0:c r="O593" s="16">
        <ns0:f>IF('前提と出典'!$C$36+'前提と出典'!$C$38=0,0,'前提と出典'!$B$4*IF('前提と出典'!$B$20=0,MAX('前提と出典'!$B$6,D593*'前提と出典'!$B$5),'前提と出典'!$B$6+D593*'前提と出典'!$B$5))</ns0:f>
        <ns0:v>584867.1284916201</ns0:v>
      </ns0:c>
      <ns0:c r="P593" s="16">
        <ns0:f>(E593+G593)*(1-'前提と出典'!$B$7)-I593-K593-M593-O593</ns0:f>
        <ns0:v>1330985.2802618693</ns0:v>
      </ns0:c>
      <ns0:c r="Q593" s="16">
        <ns0:f>(F593+H593)*(1-'前提と出典'!$B$7)-J593-L593-N593</ns0:f>
        <ns0:v>506971.36761218536</ns0:v>
      </ns0:c>
      <ns0:c r="R593" s="16">
        <ns0:f>P593-E593*'前提と出典'!$E$4</ns0:f>
        <ns0:v>989080.5594172601</ns0:v>
      </ns0:c>
      <ns0:c r="S593" s="16">
        <ns0:f>Q593-F593*'前提と出典'!$E$4</ns0:f>
        <ns0:v>372786.1863484875</ns0:v>
      </ns0:c>
      <ns0:c r="T593" s="7">
        <ns0:f>R593+S593</ns0:f>
        <ns0:v>1361866.7457657475</ns0:v>
      </ns0:c>
      <ns0:c r="U593" s="16">
        <ns0:f>P593-E593*'前提と出典'!$E$5</ns0:f>
        <ns0:v>875112.3191357239</ns0:v>
      </ns0:c>
      <ns0:c r="V593" s="16">
        <ns0:f>Q593-F593*'前提と出典'!$E$5</ns0:f>
        <ns0:v>328057.79259392165</ns0:v>
      </ns0:c>
      <ns0:c r="W593" s="7">
        <ns0:f>U593+V593</ns0:f>
        <ns0:v>1203170.1117296456</ns0:v>
      </ns0:c>
      <ns0:c r="X593" s="16">
        <ns0:f>P593-E593*'前提と出典'!$E$6</ns0:f>
        <ns0:v>761144.0788541876</ns0:v>
      </ns0:c>
      <ns0:c r="Y593" s="16">
        <ns0:f>Q593-F593*'前提と出典'!$E$6</ns0:f>
        <ns0:v>283329.3988393557</ns0:v>
      </ns0:c>
      <ns0:c r="Z593" s="7">
        <ns0:f>X593+Y593</ns0:f>
        <ns0:v>1044473.4776935433</ns0:v>
      </ns0:c>
      <ns0:c r="AA593" s="7">
        <ns0:f>IF(T593&gt;=0,A593,1001)</ns0:f>
        <ns0:v>589</ns0:v>
      </ns0:c>
      <ns0:c r="AB593" s="7">
        <ns0:f>IF(T593&lt;0,A593,0)</ns0:f>
        <ns0:v>0</ns0:v>
      </ns0:c>
      <ns0:c r="AC593" s="16">
        <ns0:f>IF(AND(OR('前提と出典'!$C$36+'前提と出典'!$C$38=0,R593&gt;=0),OR('前提と出典'!$C$37+'前提と出典'!$C$38=0,S593&gt;=0)),0,A593)</ns0:f>
        <ns0:v>0</ns0:v>
      </ns0:c>
      <ns0:c r="AD593" s="7">
        <ns0:f>IF(W593&gt;=0,A593,1001)</ns0:f>
        <ns0:v>589</ns0:v>
      </ns0:c>
      <ns0:c r="AE593" s="7">
        <ns0:f>IF(W593&lt;0,A593,0)</ns0:f>
        <ns0:v>0</ns0:v>
      </ns0:c>
      <ns0:c r="AF593" s="16">
        <ns0:f>IF(AND(OR('前提と出典'!$C$36+'前提と出典'!$C$38=0,U593&gt;=0),OR('前提と出典'!$C$37+'前提と出典'!$C$38=0,V593&gt;=0)),0,A593)</ns0:f>
        <ns0:v>0</ns0:v>
      </ns0:c>
      <ns0:c r="AG593" s="7">
        <ns0:f>IF(Z593&gt;=0,A593,1001)</ns0:f>
        <ns0:v>589</ns0:v>
      </ns0:c>
      <ns0:c r="AH593" s="4">
        <ns0:f>IF(Z593&lt;0,A593,0)</ns0:f>
        <ns0:v>0</ns0:v>
      </ns0:c>
      <ns0:c r="AI593" s="12">
        <ns0:f>IF(AND(OR('前提と出典'!$C$36+'前提と出典'!$C$38=0,X593&gt;=0),OR('前提と出典'!$C$37+'前提と出典'!$C$38=0,Y593&gt;=0)),0,A593)</ns0:f>
        <ns0:v>0</ns0:v>
      </ns0:c>
    </ns0:row>
    <ns0:row r="594" ht="24" customHeight="1">
      <ns0:c r="A594" s="4" t="n">
        <ns0:v>590</ns0:v>
      </ns0:c>
      <ns0:c r="B594" s="12">
        <ns0:f>A594*('前提と出典'!$C$36+'前提と出典'!$C$38)</ns0:f>
        <ns0:v>413</ns0:v>
      </ns0:c>
      <ns0:c r="C594" s="12">
        <ns0:f>A594*('前提と出典'!$C$37+'前提と出典'!$C$38)</ns0:f>
        <ns0:v>354</ns0:v>
      </ns0:c>
      <ns0:c r="D594" s="16">
        <ns0:f>A594*('前提と出典'!$C$36*'契約別単価'!C5+'前提と出典'!$C$37*'契約別単価'!C6+'前提と出典'!$C$38*'契約別単価'!C7)</ns0:f>
        <ns0:v>4245.36312849162</ns0:v>
      </ns0:c>
      <ns0:c r="E594" s="16">
        <ns0:f>A594*('前提と出典'!$C$36*'契約別単価'!E5+'前提と出典'!$C$37*'契約別単価'!E6+'前提と出典'!$C$38*'契約別単価'!E7)</ns0:f>
        <ns0:v>1141617.3474720959</ns0:v>
      </ns0:c>
      <ns0:c r="F594" s="16">
        <ns0:f>A594*('前提と出典'!$C$36*'契約別単価'!F5+'前提と出典'!$C$37*'契約別単価'!F6+'前提と出典'!$C$38*'契約別単価'!F7)</ns0:f>
        <ns0:v>448043.3330253633</ns0:v>
      </ns0:c>
      <ns0:c r="G594" s="16">
        <ns0:f>A594*('前提と出典'!$C$36*'契約別単価'!G5+'前提と出典'!$C$37*'契約別単価'!G6+'前提と出典'!$C$38*'契約別単価'!G7)</ns0:f>
        <ns0:v>1174396.6480446926</ns0:v>
      </ns0:c>
      <ns0:c r="H594" s="16">
        <ns0:f>A594*('前提と出典'!$C$36*'契約別単価'!H5+'前提と出典'!$C$37*'契約別単価'!H6+'前提と出典'!$C$38*'契約別単価'!H7)</ns0:f>
        <ns0:v>407574.53749192884</ns0:v>
      </ns0:c>
      <ns0:c r="I594" s="16">
        <ns0:f>A594*('前提と出典'!$C$36*'契約別単価'!I5+'前提と出典'!$C$37*'契約別単価'!I6+'前提と出典'!$C$38*'契約別単価'!I7)</ns0:f>
        <ns0:v>24895.363128491615</ns0:v>
      </ns0:c>
      <ns0:c r="J594" s="16">
        <ns0:f>A594*('前提と出典'!$C$36*'契約別単価'!J5+'前提と出典'!$C$37*'契約別単価'!J6+'前提と出典'!$C$38*'契約別単価'!J7)</ns0:f>
        <ns0:v>57990.830789078514</ns0:v>
      </ns0:c>
      <ns0:c r="K594" s="16">
        <ns0:f>A594*('前提と出典'!$C$36*'契約別単価'!K5+'前提と出典'!$C$37*'契約別単価'!K6+'前提と出典'!$C$38*'契約別単価'!K7)</ns0:f>
        <ns0:v>248569.08752327744</ns0:v>
      </ns0:c>
      <ns0:c r="L594" s="16">
        <ns0:f>A594*('前提と出典'!$C$36*'契約別単価'!L5+'前提と出典'!$C$37*'契約別単価'!L6+'前提と出典'!$C$38*'契約別単価'!L7)</ns0:f>
        <ns0:v>202385.81791639762</ns0:v>
      </ns0:c>
      <ns0:c r="M594" s="16">
        <ns0:f>IF(('前提と出典'!$C$36+'前提と出典'!$C$38)=0,0,IF(B594&lt;=10,'前提と出典'!B73+'前提と出典'!C73,IF(B594&lt;=100,'前提と出典'!B74+'前提と出典'!C74,IF(B594&lt;=500,'前提と出典'!B75+'前提と出典'!C75,'前提と出典'!B76+'前提と出典'!C76))))</ns0:f>
        <ns0:v>40000</ns0:v>
      </ns0:c>
      <ns0:c r="N594" s="16">
        <ns0:f>IF(('前提と出典'!$C$37+'前提と出典'!$C$38)=0,0,IF(C594&lt;=10,'前提と出典'!D73+'前提と出典'!E73,IF(C594&lt;=100,'前提と出典'!D74+'前提と出典'!E74,IF(C594&lt;=500,'前提と出典'!D75+'前提と出典'!E75,'前提と出典'!D76+'前提と出典'!E76))))</ns0:f>
        <ns0:v>56510.9346263078</ns0:v>
      </ns0:c>
      <ns0:c r="O594" s="16">
        <ns0:f>IF('前提と出典'!$C$36+'前提と出典'!$C$38=0,0,'前提と出典'!$B$4*IF('前提と出典'!$B$20=0,MAX('前提と出典'!$B$6,D594*'前提と出典'!$B$5),'前提と出典'!$B$6+D594*'前提と出典'!$B$5))</ns0:f>
        <ns0:v>585860.1117318436</ns0:v>
      </ns0:c>
      <ns0:c r="P594" s="16">
        <ns0:f>(E594+G594)*(1-'前提と出典'!$B$7)-I594-K594-M594-O594</ns0:f>
        <ns0:v>1333312.9292945713</ns0:v>
      </ns0:c>
      <ns0:c r="Q594" s="16">
        <ns0:f>(F594+H594)*(1-'前提と出典'!$B$7)-J594-L594-N594</ns0:f>
        <ns0:v>507928.0438468857</ns0:v>
      </ns0:c>
      <ns0:c r="R594" s="16">
        <ns0:f>P594-E594*'前提と出典'!$E$4</ns0:f>
        <ns0:v>990827.7250529425</ns0:v>
      </ns0:c>
      <ns0:c r="S594" s="16">
        <ns0:f>Q594-F594*'前提と出典'!$E$4</ns0:f>
        <ns0:v>373515.0439392767</ns0:v>
      </ns0:c>
      <ns0:c r="T594" s="7">
        <ns0:f>R594+S594</ns0:f>
        <ns0:v>1364342.7689922191</ns0:v>
      </ns0:c>
      <ns0:c r="U594" s="16">
        <ns0:f>P594-E594*'前提と出典'!$E$5</ns0:f>
        <ns0:v>876665.9903057329</ns0:v>
      </ns0:c>
      <ns0:c r="V594" s="16">
        <ns0:f>Q594-F594*'前提と出典'!$E$5</ns0:f>
        <ns0:v>328710.7106367403</ns0:v>
      </ns0:c>
      <ns0:c r="W594" s="7">
        <ns0:f>U594+V594</ns0:f>
        <ns0:v>1205376.7009424733</ns0:v>
      </ns0:c>
      <ns0:c r="X594" s="16">
        <ns0:f>P594-E594*'前提と出典'!$E$6</ns0:f>
        <ns0:v>762504.2555585233</ns0:v>
      </ns0:c>
      <ns0:c r="Y594" s="16">
        <ns0:f>Q594-F594*'前提と出典'!$E$6</ns0:f>
        <ns0:v>283906.37733420404</ns0:v>
      </ns0:c>
      <ns0:c r="Z594" s="7">
        <ns0:f>X594+Y594</ns0:f>
        <ns0:v>1046410.6328927274</ns0:v>
      </ns0:c>
      <ns0:c r="AA594" s="7">
        <ns0:f>IF(T594&gt;=0,A594,1001)</ns0:f>
        <ns0:v>590</ns0:v>
      </ns0:c>
      <ns0:c r="AB594" s="7">
        <ns0:f>IF(T594&lt;0,A594,0)</ns0:f>
        <ns0:v>0</ns0:v>
      </ns0:c>
      <ns0:c r="AC594" s="16">
        <ns0:f>IF(AND(OR('前提と出典'!$C$36+'前提と出典'!$C$38=0,R594&gt;=0),OR('前提と出典'!$C$37+'前提と出典'!$C$38=0,S594&gt;=0)),0,A594)</ns0:f>
        <ns0:v>0</ns0:v>
      </ns0:c>
      <ns0:c r="AD594" s="7">
        <ns0:f>IF(W594&gt;=0,A594,1001)</ns0:f>
        <ns0:v>590</ns0:v>
      </ns0:c>
      <ns0:c r="AE594" s="7">
        <ns0:f>IF(W594&lt;0,A594,0)</ns0:f>
        <ns0:v>0</ns0:v>
      </ns0:c>
      <ns0:c r="AF594" s="16">
        <ns0:f>IF(AND(OR('前提と出典'!$C$36+'前提と出典'!$C$38=0,U594&gt;=0),OR('前提と出典'!$C$37+'前提と出典'!$C$38=0,V594&gt;=0)),0,A594)</ns0:f>
        <ns0:v>0</ns0:v>
      </ns0:c>
      <ns0:c r="AG594" s="7">
        <ns0:f>IF(Z594&gt;=0,A594,1001)</ns0:f>
        <ns0:v>590</ns0:v>
      </ns0:c>
      <ns0:c r="AH594" s="4">
        <ns0:f>IF(Z594&lt;0,A594,0)</ns0:f>
        <ns0:v>0</ns0:v>
      </ns0:c>
      <ns0:c r="AI594" s="12">
        <ns0:f>IF(AND(OR('前提と出典'!$C$36+'前提と出典'!$C$38=0,X594&gt;=0),OR('前提と出典'!$C$37+'前提と出典'!$C$38=0,Y594&gt;=0)),0,A594)</ns0:f>
        <ns0:v>0</ns0:v>
      </ns0:c>
    </ns0:row>
    <ns0:row r="595" ht="24" customHeight="1">
      <ns0:c r="A595" s="4" t="n">
        <ns0:v>591</ns0:v>
      </ns0:c>
      <ns0:c r="B595" s="12">
        <ns0:f>A595*('前提と出典'!$C$36+'前提と出典'!$C$38)</ns0:f>
        <ns0:v>413.7</ns0:v>
      </ns0:c>
      <ns0:c r="C595" s="12">
        <ns0:f>A595*('前提と出典'!$C$37+'前提と出典'!$C$38)</ns0:f>
        <ns0:v>354.59999999999997</ns0:v>
      </ns0:c>
      <ns0:c r="D595" s="16">
        <ns0:f>A595*('前提と出典'!$C$36*'契約別単価'!C5+'前提と出典'!$C$37*'契約別単価'!C6+'前提と出典'!$C$38*'契約別単価'!C7)</ns0:f>
        <ns0:v>4252.558659217877</ns0:v>
      </ns0:c>
      <ns0:c r="E595" s="16">
        <ns0:f>A595*('前提と出典'!$C$36*'契約別単価'!E5+'前提と出典'!$C$37*'契約別単価'!E6+'前提と出典'!$C$38*'契約別単価'!E7)</ns0:f>
        <ns0:v>1143552.2921288284</ns0:v>
      </ns0:c>
      <ns0:c r="F595" s="16">
        <ns0:f>A595*('前提と出典'!$C$36*'契約別単価'!F5+'前提と出典'!$C$37*'契約別単価'!F6+'前提と出典'!$C$38*'契約別単価'!F7)</ns0:f>
        <ns0:v>448802.7285050673</ns0:v>
      </ns0:c>
      <ns0:c r="G595" s="16">
        <ns0:f>A595*('前提と出典'!$C$36*'契約別単価'!G5+'前提と出典'!$C$37*'契約別単価'!G6+'前提と出典'!$C$38*'契約別単価'!G7)</ns0:f>
        <ns0:v>1176387.1508379888</ns0:v>
      </ns0:c>
      <ns0:c r="H595" s="16">
        <ns0:f>A595*('前提と出典'!$C$36*'契約別単価'!H5+'前提と出典'!$C$37*'契約別単価'!H6+'前提と出典'!$C$38*'契約別単価'!H7)</ns0:f>
        <ns0:v>408265.3417927626</ns0:v>
      </ns0:c>
      <ns0:c r="I595" s="16">
        <ns0:f>A595*('前提と出典'!$C$36*'契約別単価'!I5+'前提と出典'!$C$37*'契約別単価'!I6+'前提と出典'!$C$38*'契約別単価'!I7)</ns0:f>
        <ns0:v>24937.558659217873</ns0:v>
      </ns0:c>
      <ns0:c r="J595" s="16">
        <ns0:f>A595*('前提と出典'!$C$36*'契約別単価'!J5+'前提と出典'!$C$37*'契約別単価'!J6+'前提と出典'!$C$38*'契約別単価'!J7)</ns0:f>
        <ns0:v>58089.120332788814</ns0:v>
      </ns0:c>
      <ns0:c r="K595" s="16">
        <ns0:f>A595*('前提と出典'!$C$36*'契約別単価'!K5+'前提と出典'!$C$37*'契約別単価'!K6+'前提と出典'!$C$38*'契約別単価'!K7)</ns0:f>
        <ns0:v>248990.3910614525</ns0:v>
      </ns0:c>
      <ns0:c r="L595" s="16">
        <ns0:f>A595*('前提と出典'!$C$36*'契約別単価'!L5+'前提と出典'!$C$37*'契約別単価'!L6+'前提と出典'!$C$38*'契約別単価'!L7)</ns0:f>
        <ns0:v>202728.84472642542</ns0:v>
      </ns0:c>
      <ns0:c r="M595" s="16">
        <ns0:f>IF(('前提と出典'!$C$36+'前提と出典'!$C$38)=0,0,IF(B595&lt;=10,'前提と出典'!B73+'前提と出典'!C73,IF(B595&lt;=100,'前提と出典'!B74+'前提と出典'!C74,IF(B595&lt;=500,'前提と出典'!B75+'前提と出典'!C75,'前提と出典'!B76+'前提と出典'!C76))))</ns0:f>
        <ns0:v>40000</ns0:v>
      </ns0:c>
      <ns0:c r="N595" s="16">
        <ns0:f>IF(('前提と出典'!$C$37+'前提と出典'!$C$38)=0,0,IF(C595&lt;=10,'前提と出典'!D73+'前提と出典'!E73,IF(C595&lt;=100,'前提と出典'!D74+'前提と出典'!E74,IF(C595&lt;=500,'前提と出典'!D75+'前提と出典'!E75,'前提と出典'!D76+'前提と出典'!E76))))</ns0:f>
        <ns0:v>56510.9346263078</ns0:v>
      </ns0:c>
      <ns0:c r="O595" s="16">
        <ns0:f>IF('前提と出典'!$C$36+'前提と出典'!$C$38=0,0,'前提と出典'!$B$4*IF('前提と出典'!$B$20=0,MAX('前提と出典'!$B$6,D595*'前提と出典'!$B$5),'前提と出典'!$B$6+D595*'前提と出典'!$B$5))</ns0:f>
        <ns0:v>586853.094972067</ns0:v>
      </ns0:c>
      <ns0:c r="P595" s="16">
        <ns0:f>(E595+G595)*(1-'前提と出典'!$B$7)-I595-K595-M595-O595</ns0:f>
        <ns0:v>1335640.5783272744</ns0:v>
      </ns0:c>
      <ns0:c r="Q595" s="16">
        <ns0:f>(F595+H595)*(1-'前提と出典'!$B$7)-J595-L595-N595</ns0:f>
        <ns0:v>508884.720081586</ns0:v>
      </ns0:c>
      <ns0:c r="R595" s="16">
        <ns0:f>P595-E595*'前提と出典'!$E$4</ns0:f>
        <ns0:v>992574.8906886256</ns0:v>
      </ns0:c>
      <ns0:c r="S595" s="16">
        <ns0:f>Q595-F595*'前提と出典'!$E$4</ns0:f>
        <ns0:v>374243.90153006575</ns0:v>
      </ns0:c>
      <ns0:c r="T595" s="7">
        <ns0:f>R595+S595</ns0:f>
        <ns0:v>1366818.7922186914</ns0:v>
      </ns0:c>
      <ns0:c r="U595" s="16">
        <ns0:f>P595-E595*'前提と出典'!$E$5</ns0:f>
        <ns0:v>878219.6614757429</ns0:v>
      </ns0:c>
      <ns0:c r="V595" s="16">
        <ns0:f>Q595-F595*'前提と出典'!$E$5</ns0:f>
        <ns0:v>329363.62867955904</ns0:v>
      </ns0:c>
      <ns0:c r="W595" s="7">
        <ns0:f>U595+V595</ns0:f>
        <ns0:v>1207583.290155302</ns0:v>
      </ns0:c>
      <ns0:c r="X595" s="16">
        <ns0:f>P595-E595*'前提と出典'!$E$6</ns0:f>
        <ns0:v>763864.43226286</ns0:v>
      </ns0:c>
      <ns0:c r="Y595" s="16">
        <ns0:f>Q595-F595*'前提と出典'!$E$6</ns0:f>
        <ns0:v>284483.35582905234</ns0:v>
      </ns0:c>
      <ns0:c r="Z595" s="7">
        <ns0:f>X595+Y595</ns0:f>
        <ns0:v>1048347.7880919124</ns0:v>
      </ns0:c>
      <ns0:c r="AA595" s="7">
        <ns0:f>IF(T595&gt;=0,A595,1001)</ns0:f>
        <ns0:v>591</ns0:v>
      </ns0:c>
      <ns0:c r="AB595" s="7">
        <ns0:f>IF(T595&lt;0,A595,0)</ns0:f>
        <ns0:v>0</ns0:v>
      </ns0:c>
      <ns0:c r="AC595" s="16">
        <ns0:f>IF(AND(OR('前提と出典'!$C$36+'前提と出典'!$C$38=0,R595&gt;=0),OR('前提と出典'!$C$37+'前提と出典'!$C$38=0,S595&gt;=0)),0,A595)</ns0:f>
        <ns0:v>0</ns0:v>
      </ns0:c>
      <ns0:c r="AD595" s="7">
        <ns0:f>IF(W595&gt;=0,A595,1001)</ns0:f>
        <ns0:v>591</ns0:v>
      </ns0:c>
      <ns0:c r="AE595" s="7">
        <ns0:f>IF(W595&lt;0,A595,0)</ns0:f>
        <ns0:v>0</ns0:v>
      </ns0:c>
      <ns0:c r="AF595" s="16">
        <ns0:f>IF(AND(OR('前提と出典'!$C$36+'前提と出典'!$C$38=0,U595&gt;=0),OR('前提と出典'!$C$37+'前提と出典'!$C$38=0,V595&gt;=0)),0,A595)</ns0:f>
        <ns0:v>0</ns0:v>
      </ns0:c>
      <ns0:c r="AG595" s="7">
        <ns0:f>IF(Z595&gt;=0,A595,1001)</ns0:f>
        <ns0:v>591</ns0:v>
      </ns0:c>
      <ns0:c r="AH595" s="4">
        <ns0:f>IF(Z595&lt;0,A595,0)</ns0:f>
        <ns0:v>0</ns0:v>
      </ns0:c>
      <ns0:c r="AI595" s="12">
        <ns0:f>IF(AND(OR('前提と出典'!$C$36+'前提と出典'!$C$38=0,X595&gt;=0),OR('前提と出典'!$C$37+'前提と出典'!$C$38=0,Y595&gt;=0)),0,A595)</ns0:f>
        <ns0:v>0</ns0:v>
      </ns0:c>
    </ns0:row>
    <ns0:row r="596" ht="24" customHeight="1">
      <ns0:c r="A596" s="4" t="n">
        <ns0:v>592</ns0:v>
      </ns0:c>
      <ns0:c r="B596" s="12">
        <ns0:f>A596*('前提と出典'!$C$36+'前提と出典'!$C$38)</ns0:f>
        <ns0:v>414.4</ns0:v>
      </ns0:c>
      <ns0:c r="C596" s="12">
        <ns0:f>A596*('前提と出典'!$C$37+'前提と出典'!$C$38)</ns0:f>
        <ns0:v>355.2</ns0:v>
      </ns0:c>
      <ns0:c r="D596" s="16">
        <ns0:f>A596*('前提と出典'!$C$36*'契約別単価'!C5+'前提と出典'!$C$37*'契約別単価'!C6+'前提と出典'!$C$38*'契約別単価'!C7)</ns0:f>
        <ns0:v>4259.754189944134</ns0:v>
      </ns0:c>
      <ns0:c r="E596" s="16">
        <ns0:f>A596*('前提と出典'!$C$36*'契約別単価'!E5+'前提と出典'!$C$37*'契約別単価'!E6+'前提と出典'!$C$38*'契約別単価'!E7)</ns0:f>
        <ns0:v>1145487.2367855606</ns0:v>
      </ns0:c>
      <ns0:c r="F596" s="16">
        <ns0:f>A596*('前提と出典'!$C$36*'契約別単価'!F5+'前提と出典'!$C$37*'契約別単価'!F6+'前提と出典'!$C$38*'契約別単価'!F7)</ns0:f>
        <ns0:v>449562.12398477126</ns0:v>
      </ns0:c>
      <ns0:c r="G596" s="16">
        <ns0:f>A596*('前提と出典'!$C$36*'契約別単価'!G5+'前提と出典'!$C$37*'契約別単価'!G6+'前提と出典'!$C$38*'契約別単価'!G7)</ns0:f>
        <ns0:v>1178377.6536312848</ns0:v>
      </ns0:c>
      <ns0:c r="H596" s="16">
        <ns0:f>A596*('前提と出典'!$C$36*'契約別単価'!H5+'前提と出典'!$C$37*'契約別単価'!H6+'前提と出典'!$C$38*'契約別単価'!H7)</ns0:f>
        <ns0:v>408956.1460935964</ns0:v>
      </ns0:c>
      <ns0:c r="I596" s="16">
        <ns0:f>A596*('前提と出典'!$C$36*'契約別単価'!I5+'前提と出典'!$C$37*'契約別単価'!I6+'前提と出典'!$C$38*'契約別単価'!I7)</ns0:f>
        <ns0:v>24979.75418994413</ns0:v>
      </ns0:c>
      <ns0:c r="J596" s="16">
        <ns0:f>A596*('前提と出典'!$C$36*'契約別単価'!J5+'前提と出典'!$C$37*'契約別単価'!J6+'前提と出典'!$C$38*'契約別単価'!J7)</ns0:f>
        <ns0:v>58187.40987649912</ns0:v>
      </ns0:c>
      <ns0:c r="K596" s="16">
        <ns0:f>A596*('前提と出典'!$C$36*'契約別単価'!K5+'前提と出典'!$C$37*'契約別単価'!K6+'前提と出典'!$C$38*'契約別単価'!K7)</ns0:f>
        <ns0:v>249411.69459962755</ns0:v>
      </ns0:c>
      <ns0:c r="L596" s="16">
        <ns0:f>A596*('前提と出典'!$C$36*'契約別単価'!L5+'前提と出典'!$C$37*'契約別単価'!L6+'前提と出典'!$C$38*'契約別単価'!L7)</ns0:f>
        <ns0:v>203071.8715364532</ns0:v>
      </ns0:c>
      <ns0:c r="M596" s="16">
        <ns0:f>IF(('前提と出典'!$C$36+'前提と出典'!$C$38)=0,0,IF(B596&lt;=10,'前提と出典'!B73+'前提と出典'!C73,IF(B596&lt;=100,'前提と出典'!B74+'前提と出典'!C74,IF(B596&lt;=500,'前提と出典'!B75+'前提と出典'!C75,'前提と出典'!B76+'前提と出典'!C76))))</ns0:f>
        <ns0:v>40000</ns0:v>
      </ns0:c>
      <ns0:c r="N596" s="16">
        <ns0:f>IF(('前提と出典'!$C$37+'前提と出典'!$C$38)=0,0,IF(C596&lt;=10,'前提と出典'!D73+'前提と出典'!E73,IF(C596&lt;=100,'前提と出典'!D74+'前提と出典'!E74,IF(C596&lt;=500,'前提と出典'!D75+'前提と出典'!E75,'前提と出典'!D76+'前提と出典'!E76))))</ns0:f>
        <ns0:v>56510.9346263078</ns0:v>
      </ns0:c>
      <ns0:c r="O596" s="16">
        <ns0:f>IF('前提と出典'!$C$36+'前提と出典'!$C$38=0,0,'前提と出典'!$B$4*IF('前提と出典'!$B$20=0,MAX('前提と出典'!$B$6,D596*'前提と出典'!$B$5),'前提と出典'!$B$6+D596*'前提と出典'!$B$5))</ns0:f>
        <ns0:v>587846.0782122905</ns0:v>
      </ns0:c>
      <ns0:c r="P596" s="16">
        <ns0:f>(E596+G596)*(1-'前提と出典'!$B$7)-I596-K596-M596-O596</ns0:f>
        <ns0:v>1337968.227359977</ns0:v>
      </ns0:c>
      <ns0:c r="Q596" s="16">
        <ns0:f>(F596+H596)*(1-'前提と出典'!$B$7)-J596-L596-N596</ns0:f>
        <ns0:v>509841.39631628635</ns0:v>
      </ns0:c>
      <ns0:c r="R596" s="16">
        <ns0:f>P596-E596*'前提と出典'!$E$4</ns0:f>
        <ns0:v>994322.056324309</ns0:v>
      </ns0:c>
      <ns0:c r="S596" s="16">
        <ns0:f>Q596-F596*'前提と出典'!$E$4</ns0:f>
        <ns0:v>374972.75912085496</ns0:v>
      </ns0:c>
      <ns0:c r="T596" s="7">
        <ns0:f>R596+S596</ns0:f>
        <ns0:v>1369294.815445164</ns0:v>
      </ns0:c>
      <ns0:c r="U596" s="16">
        <ns0:f>P596-E596*'前提と出典'!$E$5</ns0:f>
        <ns0:v>879773.3326457529</ns0:v>
      </ns0:c>
      <ns0:c r="V596" s="16">
        <ns0:f>Q596-F596*'前提と出典'!$E$5</ns0:f>
        <ns0:v>330016.5467223778</ns0:v>
      </ns0:c>
      <ns0:c r="W596" s="7">
        <ns0:f>U596+V596</ns0:f>
        <ns0:v>1209789.8793681308</ns0:v>
      </ns0:c>
      <ns0:c r="X596" s="16">
        <ns0:f>P596-E596*'前提と出典'!$E$6</ns0:f>
        <ns0:v>765224.6089671967</ns0:v>
      </ns0:c>
      <ns0:c r="Y596" s="16">
        <ns0:f>Q596-F596*'前提と出典'!$E$6</ns0:f>
        <ns0:v>285060.3343239007</ns0:v>
      </ns0:c>
      <ns0:c r="Z596" s="7">
        <ns0:f>X596+Y596</ns0:f>
        <ns0:v>1050284.9432910974</ns0:v>
      </ns0:c>
      <ns0:c r="AA596" s="7">
        <ns0:f>IF(T596&gt;=0,A596,1001)</ns0:f>
        <ns0:v>592</ns0:v>
      </ns0:c>
      <ns0:c r="AB596" s="7">
        <ns0:f>IF(T596&lt;0,A596,0)</ns0:f>
        <ns0:v>0</ns0:v>
      </ns0:c>
      <ns0:c r="AC596" s="16">
        <ns0:f>IF(AND(OR('前提と出典'!$C$36+'前提と出典'!$C$38=0,R596&gt;=0),OR('前提と出典'!$C$37+'前提と出典'!$C$38=0,S596&gt;=0)),0,A596)</ns0:f>
        <ns0:v>0</ns0:v>
      </ns0:c>
      <ns0:c r="AD596" s="7">
        <ns0:f>IF(W596&gt;=0,A596,1001)</ns0:f>
        <ns0:v>592</ns0:v>
      </ns0:c>
      <ns0:c r="AE596" s="7">
        <ns0:f>IF(W596&lt;0,A596,0)</ns0:f>
        <ns0:v>0</ns0:v>
      </ns0:c>
      <ns0:c r="AF596" s="16">
        <ns0:f>IF(AND(OR('前提と出典'!$C$36+'前提と出典'!$C$38=0,U596&gt;=0),OR('前提と出典'!$C$37+'前提と出典'!$C$38=0,V596&gt;=0)),0,A596)</ns0:f>
        <ns0:v>0</ns0:v>
      </ns0:c>
      <ns0:c r="AG596" s="7">
        <ns0:f>IF(Z596&gt;=0,A596,1001)</ns0:f>
        <ns0:v>592</ns0:v>
      </ns0:c>
      <ns0:c r="AH596" s="4">
        <ns0:f>IF(Z596&lt;0,A596,0)</ns0:f>
        <ns0:v>0</ns0:v>
      </ns0:c>
      <ns0:c r="AI596" s="12">
        <ns0:f>IF(AND(OR('前提と出典'!$C$36+'前提と出典'!$C$38=0,X596&gt;=0),OR('前提と出典'!$C$37+'前提と出典'!$C$38=0,Y596&gt;=0)),0,A596)</ns0:f>
        <ns0:v>0</ns0:v>
      </ns0:c>
    </ns0:row>
    <ns0:row r="597" ht="24" customHeight="1">
      <ns0:c r="A597" s="4" t="n">
        <ns0:v>593</ns0:v>
      </ns0:c>
      <ns0:c r="B597" s="12">
        <ns0:f>A597*('前提と出典'!$C$36+'前提と出典'!$C$38)</ns0:f>
        <ns0:v>415.09999999999997</ns0:v>
      </ns0:c>
      <ns0:c r="C597" s="12">
        <ns0:f>A597*('前提と出典'!$C$37+'前提と出典'!$C$38)</ns0:f>
        <ns0:v>355.8</ns0:v>
      </ns0:c>
      <ns0:c r="D597" s="16">
        <ns0:f>A597*('前提と出典'!$C$36*'契約別単価'!C5+'前提と出典'!$C$37*'契約別単価'!C6+'前提と出典'!$C$38*'契約別単価'!C7)</ns0:f>
        <ns0:v>4266.949720670391</ns0:v>
      </ns0:c>
      <ns0:c r="E597" s="16">
        <ns0:f>A597*('前提と出典'!$C$36*'契約別単価'!E5+'前提と出典'!$C$37*'契約別単価'!E6+'前提と出典'!$C$38*'契約別単価'!E7)</ns0:f>
        <ns0:v>1147422.181442293</ns0:v>
      </ns0:c>
      <ns0:c r="F597" s="16">
        <ns0:f>A597*('前提と出典'!$C$36*'契約別単価'!F5+'前提と出典'!$C$37*'契約別単価'!F6+'前提と出典'!$C$38*'契約別単価'!F7)</ns0:f>
        <ns0:v>450321.5194644753</ns0:v>
      </ns0:c>
      <ns0:c r="G597" s="16">
        <ns0:f>A597*('前提と出典'!$C$36*'契約別単価'!G5+'前提と出典'!$C$37*'契約別単価'!G6+'前提と出典'!$C$38*'契約別単価'!G7)</ns0:f>
        <ns0:v>1180368.1564245808</ns0:v>
      </ns0:c>
      <ns0:c r="H597" s="16">
        <ns0:f>A597*('前提と出典'!$C$36*'契約別単価'!H5+'前提と出典'!$C$37*'契約別単価'!H6+'前提と出典'!$C$38*'契約別単価'!H7)</ns0:f>
        <ns0:v>409646.9503944302</ns0:v>
      </ns0:c>
      <ns0:c r="I597" s="16">
        <ns0:f>A597*('前提と出典'!$C$36*'契約別単価'!I5+'前提と出典'!$C$37*'契約別単価'!I6+'前提と出典'!$C$38*'契約別単価'!I7)</ns0:f>
        <ns0:v>25021.949720670385</ns0:v>
      </ns0:c>
      <ns0:c r="J597" s="16">
        <ns0:f>A597*('前提と出典'!$C$36*'契約別単価'!J5+'前提と出典'!$C$37*'契約別単価'!J6+'前提と出典'!$C$38*'契約別単価'!J7)</ns0:f>
        <ns0:v>58285.69942020942</ns0:v>
      </ns0:c>
      <ns0:c r="K597" s="16">
        <ns0:f>A597*('前提と出典'!$C$36*'契約別単価'!K5+'前提と出典'!$C$37*'契約別単価'!K6+'前提と出典'!$C$38*'契約別単価'!K7)</ns0:f>
        <ns0:v>249832.99813780258</ns0:v>
      </ns0:c>
      <ns0:c r="L597" s="16">
        <ns0:f>A597*('前提と出典'!$C$36*'契約別単価'!L5+'前提と出典'!$C$37*'契約別単価'!L6+'前提と出典'!$C$38*'契約別単価'!L7)</ns0:f>
        <ns0:v>203414.898346481</ns0:v>
      </ns0:c>
      <ns0:c r="M597" s="16">
        <ns0:f>IF(('前提と出典'!$C$36+'前提と出典'!$C$38)=0,0,IF(B597&lt;=10,'前提と出典'!B73+'前提と出典'!C73,IF(B597&lt;=100,'前提と出典'!B74+'前提と出典'!C74,IF(B597&lt;=500,'前提と出典'!B75+'前提と出典'!C75,'前提と出典'!B76+'前提と出典'!C76))))</ns0:f>
        <ns0:v>40000</ns0:v>
      </ns0:c>
      <ns0:c r="N597" s="16">
        <ns0:f>IF(('前提と出典'!$C$37+'前提と出典'!$C$38)=0,0,IF(C597&lt;=10,'前提と出典'!D73+'前提と出典'!E73,IF(C597&lt;=100,'前提と出典'!D74+'前提と出典'!E74,IF(C597&lt;=500,'前提と出典'!D75+'前提と出典'!E75,'前提と出典'!D76+'前提と出典'!E76))))</ns0:f>
        <ns0:v>56510.9346263078</ns0:v>
      </ns0:c>
      <ns0:c r="O597" s="16">
        <ns0:f>IF('前提と出典'!$C$36+'前提と出典'!$C$38=0,0,'前提と出典'!$B$4*IF('前提と出典'!$B$20=0,MAX('前提と出典'!$B$6,D597*'前提と出典'!$B$5),'前提と出典'!$B$6+D597*'前提と出典'!$B$5))</ns0:f>
        <ns0:v>588839.0614525139</ns0:v>
      </ns0:c>
      <ns0:c r="P597" s="16">
        <ns0:f>(E597+G597)*(1-'前提と出典'!$B$7)-I597-K597-M597-O597</ns0:f>
        <ns0:v>1340295.8763926793</ns0:v>
      </ns0:c>
      <ns0:c r="Q597" s="16">
        <ns0:f>(F597+H597)*(1-'前提と出典'!$B$7)-J597-L597-N597</ns0:f>
        <ns0:v>510798.07255098666</ns0:v>
      </ns0:c>
      <ns0:c r="R597" s="16">
        <ns0:f>P597-E597*'前提と出典'!$E$4</ns0:f>
        <ns0:v>996069.2219599917</ns0:v>
      </ns0:c>
      <ns0:c r="S597" s="16">
        <ns0:f>Q597-F597*'前提と出典'!$E$4</ns0:f>
        <ns0:v>375701.6167116441</ns0:v>
      </ns0:c>
      <ns0:c r="T597" s="7">
        <ns0:f>R597+S597</ns0:f>
        <ns0:v>1371770.8386716358</ns0:v>
      </ns0:c>
      <ns0:c r="U597" s="16">
        <ns0:f>P597-E597*'前提と出典'!$E$5</ns0:f>
        <ns0:v>881327.0038157621</ns0:v>
      </ns0:c>
      <ns0:c r="V597" s="16">
        <ns0:f>Q597-F597*'前提と出典'!$E$5</ns0:f>
        <ns0:v>330669.46476519655</ns0:v>
      </ns0:c>
      <ns0:c r="W597" s="7">
        <ns0:f>U597+V597</ns0:f>
        <ns0:v>1211996.4685809587</ns0:v>
      </ns0:c>
      <ns0:c r="X597" s="16">
        <ns0:f>P597-E597*'前提と出典'!$E$6</ns0:f>
        <ns0:v>766584.785671533</ns0:v>
      </ns0:c>
      <ns0:c r="Y597" s="16">
        <ns0:f>Q597-F597*'前提と出典'!$E$6</ns0:f>
        <ns0:v>285637.312818749</ns0:v>
      </ns0:c>
      <ns0:c r="Z597" s="7">
        <ns0:f>X597+Y597</ns0:f>
        <ns0:v>1052222.098490282</ns0:v>
      </ns0:c>
      <ns0:c r="AA597" s="7">
        <ns0:f>IF(T597&gt;=0,A597,1001)</ns0:f>
        <ns0:v>593</ns0:v>
      </ns0:c>
      <ns0:c r="AB597" s="7">
        <ns0:f>IF(T597&lt;0,A597,0)</ns0:f>
        <ns0:v>0</ns0:v>
      </ns0:c>
      <ns0:c r="AC597" s="16">
        <ns0:f>IF(AND(OR('前提と出典'!$C$36+'前提と出典'!$C$38=0,R597&gt;=0),OR('前提と出典'!$C$37+'前提と出典'!$C$38=0,S597&gt;=0)),0,A597)</ns0:f>
        <ns0:v>0</ns0:v>
      </ns0:c>
      <ns0:c r="AD597" s="7">
        <ns0:f>IF(W597&gt;=0,A597,1001)</ns0:f>
        <ns0:v>593</ns0:v>
      </ns0:c>
      <ns0:c r="AE597" s="7">
        <ns0:f>IF(W597&lt;0,A597,0)</ns0:f>
        <ns0:v>0</ns0:v>
      </ns0:c>
      <ns0:c r="AF597" s="16">
        <ns0:f>IF(AND(OR('前提と出典'!$C$36+'前提と出典'!$C$38=0,U597&gt;=0),OR('前提と出典'!$C$37+'前提と出典'!$C$38=0,V597&gt;=0)),0,A597)</ns0:f>
        <ns0:v>0</ns0:v>
      </ns0:c>
      <ns0:c r="AG597" s="7">
        <ns0:f>IF(Z597&gt;=0,A597,1001)</ns0:f>
        <ns0:v>593</ns0:v>
      </ns0:c>
      <ns0:c r="AH597" s="4">
        <ns0:f>IF(Z597&lt;0,A597,0)</ns0:f>
        <ns0:v>0</ns0:v>
      </ns0:c>
      <ns0:c r="AI597" s="12">
        <ns0:f>IF(AND(OR('前提と出典'!$C$36+'前提と出典'!$C$38=0,X597&gt;=0),OR('前提と出典'!$C$37+'前提と出典'!$C$38=0,Y597&gt;=0)),0,A597)</ns0:f>
        <ns0:v>0</ns0:v>
      </ns0:c>
    </ns0:row>
    <ns0:row r="598" ht="24" customHeight="1">
      <ns0:c r="A598" s="4" t="n">
        <ns0:v>594</ns0:v>
      </ns0:c>
      <ns0:c r="B598" s="12">
        <ns0:f>A598*('前提と出典'!$C$36+'前提と出典'!$C$38)</ns0:f>
        <ns0:v>415.79999999999995</ns0:v>
      </ns0:c>
      <ns0:c r="C598" s="12">
        <ns0:f>A598*('前提と出典'!$C$37+'前提と出典'!$C$38)</ns0:f>
        <ns0:v>356.4</ns0:v>
      </ns0:c>
      <ns0:c r="D598" s="16">
        <ns0:f>A598*('前提と出典'!$C$36*'契約別単価'!C5+'前提と出典'!$C$37*'契約別単価'!C6+'前提と出典'!$C$38*'契約別単価'!C7)</ns0:f>
        <ns0:v>4274.145251396648</ns0:v>
      </ns0:c>
      <ns0:c r="E598" s="16">
        <ns0:f>A598*('前提と出典'!$C$36*'契約別単価'!E5+'前提と出典'!$C$37*'契約別単価'!E6+'前提と出典'!$C$38*'契約別単価'!E7)</ns0:f>
        <ns0:v>1149357.1260990254</ns0:v>
      </ns0:c>
      <ns0:c r="F598" s="16">
        <ns0:f>A598*('前提と出典'!$C$36*'契約別単価'!F5+'前提と出典'!$C$37*'契約別単価'!F6+'前提と出典'!$C$38*'契約別単価'!F7)</ns0:f>
        <ns0:v>451080.9149441793</ns0:v>
      </ns0:c>
      <ns0:c r="G598" s="16">
        <ns0:f>A598*('前提と出典'!$C$36*'契約別単価'!G5+'前提と出典'!$C$37*'契約別単価'!G6+'前提と出典'!$C$38*'契約別単価'!G7)</ns0:f>
        <ns0:v>1182358.659217877</ns0:v>
      </ns0:c>
      <ns0:c r="H598" s="16">
        <ns0:f>A598*('前提と出典'!$C$36*'契約別単価'!H5+'前提と出典'!$C$37*'契約別単価'!H6+'前提と出典'!$C$38*'契約別単価'!H7)</ns0:f>
        <ns0:v>410337.7546952639</ns0:v>
      </ns0:c>
      <ns0:c r="I598" s="16">
        <ns0:f>A598*('前提と出典'!$C$36*'契約別単価'!I5+'前提と出典'!$C$37*'契約別単価'!I6+'前提と出典'!$C$38*'契約別単価'!I7)</ns0:f>
        <ns0:v>25064.145251396643</ns0:v>
      </ns0:c>
      <ns0:c r="J598" s="16">
        <ns0:f>A598*('前提と出典'!$C$36*'契約別単価'!J5+'前提と出典'!$C$37*'契約別単価'!J6+'前提と出典'!$C$38*'契約別単価'!J7)</ns0:f>
        <ns0:v>58383.98896391973</ns0:v>
      </ns0:c>
      <ns0:c r="K598" s="16">
        <ns0:f>A598*('前提と出典'!$C$36*'契約別単価'!K5+'前提と出典'!$C$37*'契約別単価'!K6+'前提と出典'!$C$38*'契約別単価'!K7)</ns0:f>
        <ns0:v>250254.30167597765</ns0:v>
      </ns0:c>
      <ns0:c r="L598" s="16">
        <ns0:f>A598*('前提と出典'!$C$36*'契約別単価'!L5+'前提と出典'!$C$37*'契約別単価'!L6+'前提と出典'!$C$38*'契約別単価'!L7)</ns0:f>
        <ns0:v>203757.9251565088</ns0:v>
      </ns0:c>
      <ns0:c r="M598" s="16">
        <ns0:f>IF(('前提と出典'!$C$36+'前提と出典'!$C$38)=0,0,IF(B598&lt;=10,'前提と出典'!B73+'前提と出典'!C73,IF(B598&lt;=100,'前提と出典'!B74+'前提と出典'!C74,IF(B598&lt;=500,'前提と出典'!B75+'前提と出典'!C75,'前提と出典'!B76+'前提と出典'!C76))))</ns0:f>
        <ns0:v>40000</ns0:v>
      </ns0:c>
      <ns0:c r="N598" s="16">
        <ns0:f>IF(('前提と出典'!$C$37+'前提と出典'!$C$38)=0,0,IF(C598&lt;=10,'前提と出典'!D73+'前提と出典'!E73,IF(C598&lt;=100,'前提と出典'!D74+'前提と出典'!E74,IF(C598&lt;=500,'前提と出典'!D75+'前提と出典'!E75,'前提と出典'!D76+'前提と出典'!E76))))</ns0:f>
        <ns0:v>56510.9346263078</ns0:v>
      </ns0:c>
      <ns0:c r="O598" s="16">
        <ns0:f>IF('前提と出典'!$C$36+'前提と出典'!$C$38=0,0,'前提と出典'!$B$4*IF('前提と出典'!$B$20=0,MAX('前提と出典'!$B$6,D598*'前提と出典'!$B$5),'前提と出典'!$B$6+D598*'前提と出典'!$B$5))</ns0:f>
        <ns0:v>589832.0446927374</ns0:v>
      </ns0:c>
      <ns0:c r="P598" s="16">
        <ns0:f>(E598+G598)*(1-'前提と出典'!$B$7)-I598-K598-M598-O598</ns0:f>
        <ns0:v>1342623.525425382</ns0:v>
      </ns0:c>
      <ns0:c r="Q598" s="16">
        <ns0:f>(F598+H598)*(1-'前提と出典'!$B$7)-J598-L598-N598</ns0:f>
        <ns0:v>511754.748785687</ns0:v>
      </ns0:c>
      <ns0:c r="R598" s="16">
        <ns0:f>P598-E598*'前提と出典'!$E$4</ns0:f>
        <ns0:v>997816.3875956746</ns0:v>
      </ns0:c>
      <ns0:c r="S598" s="16">
        <ns0:f>Q598-F598*'前提と出典'!$E$4</ns0:f>
        <ns0:v>376430.4743024333</ns0:v>
      </ns0:c>
      <ns0:c r="T598" s="7">
        <ns0:f>R598+S598</ns0:f>
        <ns0:v>1374246.861898108</ns0:v>
      </ns0:c>
      <ns0:c r="U598" s="16">
        <ns0:f>P598-E598*'前提と出典'!$E$5</ns0:f>
        <ns0:v>882880.6749857719</ns0:v>
      </ns0:c>
      <ns0:c r="V598" s="16">
        <ns0:f>Q598-F598*'前提と出典'!$E$5</ns0:f>
        <ns0:v>331322.38280801533</ns0:v>
      </ns0:c>
      <ns0:c r="W598" s="7">
        <ns0:f>U598+V598</ns0:f>
        <ns0:v>1214203.0577937872</ns0:v>
      </ns0:c>
      <ns0:c r="X598" s="16">
        <ns0:f>P598-E598*'前提と出典'!$E$6</ns0:f>
        <ns0:v>767944.9623758694</ns0:v>
      </ns0:c>
      <ns0:c r="Y598" s="16">
        <ns0:f>Q598-F598*'前提と出典'!$E$6</ns0:f>
        <ns0:v>286214.29131359735</ns0:v>
      </ns0:c>
      <ns0:c r="Z598" s="7">
        <ns0:f>X598+Y598</ns0:f>
        <ns0:v>1054159.2536894667</ns0:v>
      </ns0:c>
      <ns0:c r="AA598" s="7">
        <ns0:f>IF(T598&gt;=0,A598,1001)</ns0:f>
        <ns0:v>594</ns0:v>
      </ns0:c>
      <ns0:c r="AB598" s="7">
        <ns0:f>IF(T598&lt;0,A598,0)</ns0:f>
        <ns0:v>0</ns0:v>
      </ns0:c>
      <ns0:c r="AC598" s="16">
        <ns0:f>IF(AND(OR('前提と出典'!$C$36+'前提と出典'!$C$38=0,R598&gt;=0),OR('前提と出典'!$C$37+'前提と出典'!$C$38=0,S598&gt;=0)),0,A598)</ns0:f>
        <ns0:v>0</ns0:v>
      </ns0:c>
      <ns0:c r="AD598" s="7">
        <ns0:f>IF(W598&gt;=0,A598,1001)</ns0:f>
        <ns0:v>594</ns0:v>
      </ns0:c>
      <ns0:c r="AE598" s="7">
        <ns0:f>IF(W598&lt;0,A598,0)</ns0:f>
        <ns0:v>0</ns0:v>
      </ns0:c>
      <ns0:c r="AF598" s="16">
        <ns0:f>IF(AND(OR('前提と出典'!$C$36+'前提と出典'!$C$38=0,U598&gt;=0),OR('前提と出典'!$C$37+'前提と出典'!$C$38=0,V598&gt;=0)),0,A598)</ns0:f>
        <ns0:v>0</ns0:v>
      </ns0:c>
      <ns0:c r="AG598" s="7">
        <ns0:f>IF(Z598&gt;=0,A598,1001)</ns0:f>
        <ns0:v>594</ns0:v>
      </ns0:c>
      <ns0:c r="AH598" s="4">
        <ns0:f>IF(Z598&lt;0,A598,0)</ns0:f>
        <ns0:v>0</ns0:v>
      </ns0:c>
      <ns0:c r="AI598" s="12">
        <ns0:f>IF(AND(OR('前提と出典'!$C$36+'前提と出典'!$C$38=0,X598&gt;=0),OR('前提と出典'!$C$37+'前提と出典'!$C$38=0,Y598&gt;=0)),0,A598)</ns0:f>
        <ns0:v>0</ns0:v>
      </ns0:c>
    </ns0:row>
    <ns0:row r="599" ht="24" customHeight="1">
      <ns0:c r="A599" s="4" t="n">
        <ns0:v>595</ns0:v>
      </ns0:c>
      <ns0:c r="B599" s="12">
        <ns0:f>A599*('前提と出典'!$C$36+'前提と出典'!$C$38)</ns0:f>
        <ns0:v>416.5</ns0:v>
      </ns0:c>
      <ns0:c r="C599" s="12">
        <ns0:f>A599*('前提と出典'!$C$37+'前提と出典'!$C$38)</ns0:f>
        <ns0:v>357</ns0:v>
      </ns0:c>
      <ns0:c r="D599" s="16">
        <ns0:f>A599*('前提と出典'!$C$36*'契約別単価'!C5+'前提と出典'!$C$37*'契約別単価'!C6+'前提と出典'!$C$38*'契約別単価'!C7)</ns0:f>
        <ns0:v>4281.340782122905</ns0:v>
      </ns0:c>
      <ns0:c r="E599" s="16">
        <ns0:f>A599*('前提と出典'!$C$36*'契約別単価'!E5+'前提と出典'!$C$37*'契約別単価'!E6+'前提と出典'!$C$38*'契約別単価'!E7)</ns0:f>
        <ns0:v>1151292.0707557579</ns0:v>
      </ns0:c>
      <ns0:c r="F599" s="16">
        <ns0:f>A599*('前提と出典'!$C$36*'契約別単価'!F5+'前提と出典'!$C$37*'契約別単価'!F6+'前提と出典'!$C$38*'契約別単価'!F7)</ns0:f>
        <ns0:v>451840.3104238833</ns0:v>
      </ns0:c>
      <ns0:c r="G599" s="16">
        <ns0:f>A599*('前提と出典'!$C$36*'契約別単価'!G5+'前提と出典'!$C$37*'契約別単価'!G6+'前提と出典'!$C$38*'契約別単価'!G7)</ns0:f>
        <ns0:v>1184349.162011173</ns0:v>
      </ns0:c>
      <ns0:c r="H599" s="16">
        <ns0:f>A599*('前提と出典'!$C$36*'契約別単価'!H5+'前提と出典'!$C$37*'契約別単価'!H6+'前提と出典'!$C$38*'契約別単価'!H7)</ns0:f>
        <ns0:v>411028.5589960977</ns0:v>
      </ns0:c>
      <ns0:c r="I599" s="16">
        <ns0:f>A599*('前提と出典'!$C$36*'契約別単価'!I5+'前提と出典'!$C$37*'契約別単価'!I6+'前提と出典'!$C$38*'契約別単価'!I7)</ns0:f>
        <ns0:v>25106.3407821229</ns0:v>
      </ns0:c>
      <ns0:c r="J599" s="16">
        <ns0:f>A599*('前提と出典'!$C$36*'契約別単価'!J5+'前提と出典'!$C$37*'契約別単価'!J6+'前提と出典'!$C$38*'契約別単価'!J7)</ns0:f>
        <ns0:v>58482.27850763003</ns0:v>
      </ns0:c>
      <ns0:c r="K599" s="16">
        <ns0:f>A599*('前提と出典'!$C$36*'契約別単価'!K5+'前提と出典'!$C$37*'契約別単価'!K6+'前提と出典'!$C$38*'契約別単価'!K7)</ns0:f>
        <ns0:v>250675.6052141527</ns0:v>
      </ns0:c>
      <ns0:c r="L599" s="16">
        <ns0:f>A599*('前提と出典'!$C$36*'契約別単価'!L5+'前提と出典'!$C$37*'契約別単価'!L6+'前提と出典'!$C$38*'契約別単価'!L7)</ns0:f>
        <ns0:v>204100.95196653658</ns0:v>
      </ns0:c>
      <ns0:c r="M599" s="16">
        <ns0:f>IF(('前提と出典'!$C$36+'前提と出典'!$C$38)=0,0,IF(B599&lt;=10,'前提と出典'!B73+'前提と出典'!C73,IF(B599&lt;=100,'前提と出典'!B74+'前提と出典'!C74,IF(B599&lt;=500,'前提と出典'!B75+'前提と出典'!C75,'前提と出典'!B76+'前提と出典'!C76))))</ns0:f>
        <ns0:v>40000</ns0:v>
      </ns0:c>
      <ns0:c r="N599" s="16">
        <ns0:f>IF(('前提と出典'!$C$37+'前提と出典'!$C$38)=0,0,IF(C599&lt;=10,'前提と出典'!D73+'前提と出典'!E73,IF(C599&lt;=100,'前提と出典'!D74+'前提と出典'!E74,IF(C599&lt;=500,'前提と出典'!D75+'前提と出典'!E75,'前提と出典'!D76+'前提と出典'!E76))))</ns0:f>
        <ns0:v>56510.9346263078</ns0:v>
      </ns0:c>
      <ns0:c r="O599" s="16">
        <ns0:f>IF('前提と出典'!$C$36+'前提と出典'!$C$38=0,0,'前提と出典'!$B$4*IF('前提と出典'!$B$20=0,MAX('前提と出典'!$B$6,D599*'前提と出典'!$B$5),'前提と出典'!$B$6+D599*'前提と出典'!$B$5))</ns0:f>
        <ns0:v>590825.0279329609</ns0:v>
      </ns0:c>
      <ns0:c r="P599" s="16">
        <ns0:f>(E599+G599)*(1-'前提と出典'!$B$7)-I599-K599-M599-O599</ns0:f>
        <ns0:v>1344951.174458085</ns0:v>
      </ns0:c>
      <ns0:c r="Q599" s="16">
        <ns0:f>(F599+H599)*(1-'前提と出典'!$B$7)-J599-L599-N599</ns0:f>
        <ns0:v>512711.4250203872</ns0:v>
      </ns0:c>
      <ns0:c r="R599" s="16">
        <ns0:f>P599-E599*'前提と出典'!$E$4</ns0:f>
        <ns0:v>999563.5532313577</ns0:v>
      </ns0:c>
      <ns0:c r="S599" s="16">
        <ns0:f>Q599-F599*'前提と出典'!$E$4</ns0:f>
        <ns0:v>377159.3318932223</ns0:v>
      </ns0:c>
      <ns0:c r="T599" s="7">
        <ns0:f>R599+S599</ns0:f>
        <ns0:v>1376722.88512458</ns0:v>
      </ns0:c>
      <ns0:c r="U599" s="16">
        <ns0:f>P599-E599*'前提と出典'!$E$5</ns0:f>
        <ns0:v>884434.3461557819</ns0:v>
      </ns0:c>
      <ns0:c r="V599" s="16">
        <ns0:f>Q599-F599*'前提と出典'!$E$5</ns0:f>
        <ns0:v>331975.3008508339</ns0:v>
      </ns0:c>
      <ns0:c r="W599" s="7">
        <ns0:f>U599+V599</ns0:f>
        <ns0:v>1216409.6470066158</ns0:v>
      </ns0:c>
      <ns0:c r="X599" s="16">
        <ns0:f>P599-E599*'前提と出典'!$E$6</ns0:f>
        <ns0:v>769305.139080206</ns0:v>
      </ns0:c>
      <ns0:c r="Y599" s="16">
        <ns0:f>Q599-F599*'前提と出典'!$E$6</ns0:f>
        <ns0:v>286791.2698084456</ns0:v>
      </ns0:c>
      <ns0:c r="Z599" s="7">
        <ns0:f>X599+Y599</ns0:f>
        <ns0:v>1056096.4088886515</ns0:v>
      </ns0:c>
      <ns0:c r="AA599" s="7">
        <ns0:f>IF(T599&gt;=0,A599,1001)</ns0:f>
        <ns0:v>595</ns0:v>
      </ns0:c>
      <ns0:c r="AB599" s="7">
        <ns0:f>IF(T599&lt;0,A599,0)</ns0:f>
        <ns0:v>0</ns0:v>
      </ns0:c>
      <ns0:c r="AC599" s="16">
        <ns0:f>IF(AND(OR('前提と出典'!$C$36+'前提と出典'!$C$38=0,R599&gt;=0),OR('前提と出典'!$C$37+'前提と出典'!$C$38=0,S599&gt;=0)),0,A599)</ns0:f>
        <ns0:v>0</ns0:v>
      </ns0:c>
      <ns0:c r="AD599" s="7">
        <ns0:f>IF(W599&gt;=0,A599,1001)</ns0:f>
        <ns0:v>595</ns0:v>
      </ns0:c>
      <ns0:c r="AE599" s="7">
        <ns0:f>IF(W599&lt;0,A599,0)</ns0:f>
        <ns0:v>0</ns0:v>
      </ns0:c>
      <ns0:c r="AF599" s="16">
        <ns0:f>IF(AND(OR('前提と出典'!$C$36+'前提と出典'!$C$38=0,U599&gt;=0),OR('前提と出典'!$C$37+'前提と出典'!$C$38=0,V599&gt;=0)),0,A599)</ns0:f>
        <ns0:v>0</ns0:v>
      </ns0:c>
      <ns0:c r="AG599" s="7">
        <ns0:f>IF(Z599&gt;=0,A599,1001)</ns0:f>
        <ns0:v>595</ns0:v>
      </ns0:c>
      <ns0:c r="AH599" s="4">
        <ns0:f>IF(Z599&lt;0,A599,0)</ns0:f>
        <ns0:v>0</ns0:v>
      </ns0:c>
      <ns0:c r="AI599" s="12">
        <ns0:f>IF(AND(OR('前提と出典'!$C$36+'前提と出典'!$C$38=0,X599&gt;=0),OR('前提と出典'!$C$37+'前提と出典'!$C$38=0,Y599&gt;=0)),0,A599)</ns0:f>
        <ns0:v>0</ns0:v>
      </ns0:c>
    </ns0:row>
    <ns0:row r="600" ht="24" customHeight="1">
      <ns0:c r="A600" s="4" t="n">
        <ns0:v>596</ns0:v>
      </ns0:c>
      <ns0:c r="B600" s="12">
        <ns0:f>A600*('前提と出典'!$C$36+'前提と出典'!$C$38)</ns0:f>
        <ns0:v>417.2</ns0:v>
      </ns0:c>
      <ns0:c r="C600" s="12">
        <ns0:f>A600*('前提と出典'!$C$37+'前提と出典'!$C$38)</ns0:f>
        <ns0:v>357.59999999999997</ns0:v>
      </ns0:c>
      <ns0:c r="D600" s="16">
        <ns0:f>A600*('前提と出典'!$C$36*'契約別単価'!C5+'前提と出典'!$C$37*'契約別単価'!C6+'前提と出典'!$C$38*'契約別単価'!C7)</ns0:f>
        <ns0:v>4288.536312849162</ns0:v>
      </ns0:c>
      <ns0:c r="E600" s="16">
        <ns0:f>A600*('前提と出典'!$C$36*'契約別単価'!E5+'前提と出典'!$C$37*'契約別単価'!E6+'前提と出典'!$C$38*'契約別単価'!E7)</ns0:f>
        <ns0:v>1153227.0154124901</ns0:v>
      </ns0:c>
      <ns0:c r="F600" s="16">
        <ns0:f>A600*('前提と出典'!$C$36*'契約別単価'!F5+'前提と出典'!$C$37*'契約別単価'!F6+'前提と出典'!$C$38*'契約別単価'!F7)</ns0:f>
        <ns0:v>452599.7059035873</ns0:v>
      </ns0:c>
      <ns0:c r="G600" s="16">
        <ns0:f>A600*('前提と出典'!$C$36*'契約別単価'!G5+'前提と出典'!$C$37*'契約別単価'!G6+'前提と出典'!$C$38*'契約別単価'!G7)</ns0:f>
        <ns0:v>1186339.6648044693</ns0:v>
      </ns0:c>
      <ns0:c r="H600" s="16">
        <ns0:f>A600*('前提と出典'!$C$36*'契約別単価'!H5+'前提と出典'!$C$37*'契約別単価'!H6+'前提と出典'!$C$38*'契約別単価'!H7)</ns0:f>
        <ns0:v>411719.3632969315</ns0:v>
      </ns0:c>
      <ns0:c r="I600" s="16">
        <ns0:f>A600*('前提と出典'!$C$36*'契約別単価'!I5+'前提と出典'!$C$37*'契約別単価'!I6+'前提と出典'!$C$38*'契約別単価'!I7)</ns0:f>
        <ns0:v>25148.53631284916</ns0:v>
      </ns0:c>
      <ns0:c r="J600" s="16">
        <ns0:f>A600*('前提と出典'!$C$36*'契約別単価'!J5+'前提と出典'!$C$37*'契約別単価'!J6+'前提と出典'!$C$38*'契約別単価'!J7)</ns0:f>
        <ns0:v>58580.56805134033</ns0:v>
      </ns0:c>
      <ns0:c r="K600" s="16">
        <ns0:f>A600*('前提と出典'!$C$36*'契約別単価'!K5+'前提と出典'!$C$37*'契約別単価'!K6+'前提と出典'!$C$38*'契約別単価'!K7)</ns0:f>
        <ns0:v>251096.90875232773</ns0:v>
      </ns0:c>
      <ns0:c r="L600" s="16">
        <ns0:f>A600*('前提と出典'!$C$36*'契約別単価'!L5+'前提と出典'!$C$37*'契約別単価'!L6+'前提と出典'!$C$38*'契約別単価'!L7)</ns0:f>
        <ns0:v>204443.97877656439</ns0:v>
      </ns0:c>
      <ns0:c r="M600" s="16">
        <ns0:f>IF(('前提と出典'!$C$36+'前提と出典'!$C$38)=0,0,IF(B600&lt;=10,'前提と出典'!B73+'前提と出典'!C73,IF(B600&lt;=100,'前提と出典'!B74+'前提と出典'!C74,IF(B600&lt;=500,'前提と出典'!B75+'前提と出典'!C75,'前提と出典'!B76+'前提と出典'!C76))))</ns0:f>
        <ns0:v>40000</ns0:v>
      </ns0:c>
      <ns0:c r="N600" s="16">
        <ns0:f>IF(('前提と出典'!$C$37+'前提と出典'!$C$38)=0,0,IF(C600&lt;=10,'前提と出典'!D73+'前提と出典'!E73,IF(C600&lt;=100,'前提と出典'!D74+'前提と出典'!E74,IF(C600&lt;=500,'前提と出典'!D75+'前提と出典'!E75,'前提と出典'!D76+'前提と出典'!E76))))</ns0:f>
        <ns0:v>56510.9346263078</ns0:v>
      </ns0:c>
      <ns0:c r="O600" s="16">
        <ns0:f>IF('前提と出典'!$C$36+'前提と出典'!$C$38=0,0,'前提と出典'!$B$4*IF('前提と出典'!$B$20=0,MAX('前提と出典'!$B$6,D600*'前提と出典'!$B$5),'前提と出典'!$B$6+D600*'前提と出典'!$B$5))</ns0:f>
        <ns0:v>591818.0111731844</ns0:v>
      </ns0:c>
      <ns0:c r="P600" s="16">
        <ns0:f>(E600+G600)*(1-'前提と出典'!$B$7)-I600-K600-M600-O600</ns0:f>
        <ns0:v>1347278.8234907878</ns0:v>
      </ns0:c>
      <ns0:c r="Q600" s="16">
        <ns0:f>(F600+H600)*(1-'前提と出典'!$B$7)-J600-L600-N600</ns0:f>
        <ns0:v>513668.1012550877</ns0:v>
      </ns0:c>
      <ns0:c r="R600" s="16">
        <ns0:f>P600-E600*'前提と出典'!$E$4</ns0:f>
        <ns0:v>1001310.7188670406</ns0:v>
      </ns0:c>
      <ns0:c r="S600" s="16">
        <ns0:f>Q600-F600*'前提と出典'!$E$4</ns0:f>
        <ns0:v>377888.1894840115</ns0:v>
      </ns0:c>
      <ns0:c r="T600" s="7">
        <ns0:f>R600+S600</ns0:f>
        <ns0:v>1379198.908351052</ns0:v>
      </ns0:c>
      <ns0:c r="U600" s="16">
        <ns0:f>P600-E600*'前提と出典'!$E$5</ns0:f>
        <ns0:v>885988.0173257916</ns0:v>
      </ns0:c>
      <ns0:c r="V600" s="16">
        <ns0:f>Q600-F600*'前提と出典'!$E$5</ns0:f>
        <ns0:v>332628.2188936528</ns0:v>
      </ns0:c>
      <ns0:c r="W600" s="7">
        <ns0:f>U600+V600</ns0:f>
        <ns0:v>1218616.2362194443</ns0:v>
      </ns0:c>
      <ns0:c r="X600" s="16">
        <ns0:f>P600-E600*'前提と出典'!$E$6</ns0:f>
        <ns0:v>770665.3157845427</ns0:v>
      </ns0:c>
      <ns0:c r="Y600" s="16">
        <ns0:f>Q600-F600*'前提と出典'!$E$6</ns0:f>
        <ns0:v>287368.24830329395</ns0:v>
      </ns0:c>
      <ns0:c r="Z600" s="7">
        <ns0:f>X600+Y600</ns0:f>
        <ns0:v>1058033.5640878365</ns0:v>
      </ns0:c>
      <ns0:c r="AA600" s="7">
        <ns0:f>IF(T600&gt;=0,A600,1001)</ns0:f>
        <ns0:v>596</ns0:v>
      </ns0:c>
      <ns0:c r="AB600" s="7">
        <ns0:f>IF(T600&lt;0,A600,0)</ns0:f>
        <ns0:v>0</ns0:v>
      </ns0:c>
      <ns0:c r="AC600" s="16">
        <ns0:f>IF(AND(OR('前提と出典'!$C$36+'前提と出典'!$C$38=0,R600&gt;=0),OR('前提と出典'!$C$37+'前提と出典'!$C$38=0,S600&gt;=0)),0,A600)</ns0:f>
        <ns0:v>0</ns0:v>
      </ns0:c>
      <ns0:c r="AD600" s="7">
        <ns0:f>IF(W600&gt;=0,A600,1001)</ns0:f>
        <ns0:v>596</ns0:v>
      </ns0:c>
      <ns0:c r="AE600" s="7">
        <ns0:f>IF(W600&lt;0,A600,0)</ns0:f>
        <ns0:v>0</ns0:v>
      </ns0:c>
      <ns0:c r="AF600" s="16">
        <ns0:f>IF(AND(OR('前提と出典'!$C$36+'前提と出典'!$C$38=0,U600&gt;=0),OR('前提と出典'!$C$37+'前提と出典'!$C$38=0,V600&gt;=0)),0,A600)</ns0:f>
        <ns0:v>0</ns0:v>
      </ns0:c>
      <ns0:c r="AG600" s="7">
        <ns0:f>IF(Z600&gt;=0,A600,1001)</ns0:f>
        <ns0:v>596</ns0:v>
      </ns0:c>
      <ns0:c r="AH600" s="4">
        <ns0:f>IF(Z600&lt;0,A600,0)</ns0:f>
        <ns0:v>0</ns0:v>
      </ns0:c>
      <ns0:c r="AI600" s="12">
        <ns0:f>IF(AND(OR('前提と出典'!$C$36+'前提と出典'!$C$38=0,X600&gt;=0),OR('前提と出典'!$C$37+'前提と出典'!$C$38=0,Y600&gt;=0)),0,A600)</ns0:f>
        <ns0:v>0</ns0:v>
      </ns0:c>
    </ns0:row>
    <ns0:row r="601" ht="24" customHeight="1">
      <ns0:c r="A601" s="4" t="n">
        <ns0:v>597</ns0:v>
      </ns0:c>
      <ns0:c r="B601" s="12">
        <ns0:f>A601*('前提と出典'!$C$36+'前提と出典'!$C$38)</ns0:f>
        <ns0:v>417.9</ns0:v>
      </ns0:c>
      <ns0:c r="C601" s="12">
        <ns0:f>A601*('前提と出典'!$C$37+'前提と出典'!$C$38)</ns0:f>
        <ns0:v>358.2</ns0:v>
      </ns0:c>
      <ns0:c r="D601" s="16">
        <ns0:f>A601*('前提と出典'!$C$36*'契約別単価'!C5+'前提と出典'!$C$37*'契約別単価'!C6+'前提と出典'!$C$38*'契約別単価'!C7)</ns0:f>
        <ns0:v>4295.731843575419</ns0:v>
      </ns0:c>
      <ns0:c r="E601" s="16">
        <ns0:f>A601*('前提と出典'!$C$36*'契約別単価'!E5+'前提と出典'!$C$37*'契約別単価'!E6+'前提と出典'!$C$38*'契約別単価'!E7)</ns0:f>
        <ns0:v>1155161.9600692224</ns0:v>
      </ns0:c>
      <ns0:c r="F601" s="16">
        <ns0:f>A601*('前提と出典'!$C$36*'契約別単価'!F5+'前提と出典'!$C$37*'契約別単価'!F6+'前提と出典'!$C$38*'契約別単価'!F7)</ns0:f>
        <ns0:v>453359.1013832913</ns0:v>
      </ns0:c>
      <ns0:c r="G601" s="16">
        <ns0:f>A601*('前提と出典'!$C$36*'契約別単価'!G5+'前提と出典'!$C$37*'契約別単価'!G6+'前提と出典'!$C$38*'契約別単価'!G7)</ns0:f>
        <ns0:v>1188330.1675977653</ns0:v>
      </ns0:c>
      <ns0:c r="H601" s="16">
        <ns0:f>A601*('前提と出典'!$C$36*'契約別単価'!H5+'前提と出典'!$C$37*'契約別単価'!H6+'前提と出典'!$C$38*'契約別単価'!H7)</ns0:f>
        <ns0:v>412410.1675977653</ns0:v>
      </ns0:c>
      <ns0:c r="I601" s="16">
        <ns0:f>A601*('前提と出典'!$C$36*'契約別単価'!I5+'前提と出典'!$C$37*'契約別単価'!I6+'前提と出典'!$C$38*'契約別単価'!I7)</ns0:f>
        <ns0:v>25190.731843575413</ns0:v>
      </ns0:c>
      <ns0:c r="J601" s="16">
        <ns0:f>A601*('前提と出典'!$C$36*'契約別単価'!J5+'前提と出典'!$C$37*'契約別単価'!J6+'前提と出典'!$C$38*'契約別単価'!J7)</ns0:f>
        <ns0:v>58678.857595050635</ns0:v>
      </ns0:c>
      <ns0:c r="K601" s="16">
        <ns0:f>A601*('前提と出典'!$C$36*'契約別単価'!K5+'前提と出典'!$C$37*'契約別単価'!K6+'前提と出典'!$C$38*'契約別単価'!K7)</ns0:f>
        <ns0:v>251518.21229050276</ns0:v>
      </ns0:c>
      <ns0:c r="L601" s="16">
        <ns0:f>A601*('前提と出典'!$C$36*'契約別単価'!L5+'前提と出典'!$C$37*'契約別単価'!L6+'前提と出典'!$C$38*'契約別単価'!L7)</ns0:f>
        <ns0:v>204787.00558659216</ns0:v>
      </ns0:c>
      <ns0:c r="M601" s="16">
        <ns0:f>IF(('前提と出典'!$C$36+'前提と出典'!$C$38)=0,0,IF(B601&lt;=10,'前提と出典'!B73+'前提と出典'!C73,IF(B601&lt;=100,'前提と出典'!B74+'前提と出典'!C74,IF(B601&lt;=500,'前提と出典'!B75+'前提と出典'!C75,'前提と出典'!B76+'前提と出典'!C76))))</ns0:f>
        <ns0:v>40000</ns0:v>
      </ns0:c>
      <ns0:c r="N601" s="16">
        <ns0:f>IF(('前提と出典'!$C$37+'前提と出典'!$C$38)=0,0,IF(C601&lt;=10,'前提と出典'!D73+'前提と出典'!E73,IF(C601&lt;=100,'前提と出典'!D74+'前提と出典'!E74,IF(C601&lt;=500,'前提と出典'!D75+'前提と出典'!E75,'前提と出典'!D76+'前提と出典'!E76))))</ns0:f>
        <ns0:v>56510.9346263078</ns0:v>
      </ns0:c>
      <ns0:c r="O601" s="16">
        <ns0:f>IF('前提と出典'!$C$36+'前提と出典'!$C$38=0,0,'前提と出典'!$B$4*IF('前提と出典'!$B$20=0,MAX('前提と出典'!$B$6,D601*'前提と出典'!$B$5),'前提と出典'!$B$6+D601*'前提と出典'!$B$5))</ns0:f>
        <ns0:v>592810.9944134078</ns0:v>
      </ns0:c>
      <ns0:c r="P601" s="16">
        <ns0:f>(E601+G601)*(1-'前提と出典'!$B$7)-I601-K601-M601-O601</ns0:f>
        <ns0:v>1349606.47252349</ns0:v>
      </ns0:c>
      <ns0:c r="Q601" s="16">
        <ns0:f>(F601+H601)*(1-'前提と出典'!$B$7)-J601-L601-N601</ns0:f>
        <ns0:v>514624.777489788</ns0:v>
      </ns0:c>
      <ns0:c r="R601" s="16">
        <ns0:f>P601-E601*'前提と出典'!$E$4</ns0:f>
        <ns0:v>1003057.8845027233</ns0:v>
      </ns0:c>
      <ns0:c r="S601" s="16">
        <ns0:f>Q601-F601*'前提と出典'!$E$4</ns0:f>
        <ns0:v>378617.0470748006</ns0:v>
      </ns0:c>
      <ns0:c r="T601" s="7">
        <ns0:f>R601+S601</ns0:f>
        <ns0:v>1381674.931577524</ns0:v>
      </ns0:c>
      <ns0:c r="U601" s="16">
        <ns0:f>P601-E601*'前提と出典'!$E$5</ns0:f>
        <ns0:v>887541.6884958011</ns0:v>
      </ns0:c>
      <ns0:c r="V601" s="16">
        <ns0:f>Q601-F601*'前提と出典'!$E$5</ns0:f>
        <ns0:v>333281.13693647145</ns0:v>
      </ns0:c>
      <ns0:c r="W601" s="7">
        <ns0:f>U601+V601</ns0:f>
        <ns0:v>1220822.8254322726</ns0:v>
      </ns0:c>
      <ns0:c r="X601" s="16">
        <ns0:f>P601-E601*'前提と出典'!$E$6</ns0:f>
        <ns0:v>772025.4924888788</ns0:v>
      </ns0:c>
      <ns0:c r="Y601" s="16">
        <ns0:f>Q601-F601*'前提と出典'!$E$6</ns0:f>
        <ns0:v>287945.2267981424</ns0:v>
      </ns0:c>
      <ns0:c r="Z601" s="7">
        <ns0:f>X601+Y601</ns0:f>
        <ns0:v>1059970.719287021</ns0:v>
      </ns0:c>
      <ns0:c r="AA601" s="7">
        <ns0:f>IF(T601&gt;=0,A601,1001)</ns0:f>
        <ns0:v>597</ns0:v>
      </ns0:c>
      <ns0:c r="AB601" s="7">
        <ns0:f>IF(T601&lt;0,A601,0)</ns0:f>
        <ns0:v>0</ns0:v>
      </ns0:c>
      <ns0:c r="AC601" s="16">
        <ns0:f>IF(AND(OR('前提と出典'!$C$36+'前提と出典'!$C$38=0,R601&gt;=0),OR('前提と出典'!$C$37+'前提と出典'!$C$38=0,S601&gt;=0)),0,A601)</ns0:f>
        <ns0:v>0</ns0:v>
      </ns0:c>
      <ns0:c r="AD601" s="7">
        <ns0:f>IF(W601&gt;=0,A601,1001)</ns0:f>
        <ns0:v>597</ns0:v>
      </ns0:c>
      <ns0:c r="AE601" s="7">
        <ns0:f>IF(W601&lt;0,A601,0)</ns0:f>
        <ns0:v>0</ns0:v>
      </ns0:c>
      <ns0:c r="AF601" s="16">
        <ns0:f>IF(AND(OR('前提と出典'!$C$36+'前提と出典'!$C$38=0,U601&gt;=0),OR('前提と出典'!$C$37+'前提と出典'!$C$38=0,V601&gt;=0)),0,A601)</ns0:f>
        <ns0:v>0</ns0:v>
      </ns0:c>
      <ns0:c r="AG601" s="7">
        <ns0:f>IF(Z601&gt;=0,A601,1001)</ns0:f>
        <ns0:v>597</ns0:v>
      </ns0:c>
      <ns0:c r="AH601" s="4">
        <ns0:f>IF(Z601&lt;0,A601,0)</ns0:f>
        <ns0:v>0</ns0:v>
      </ns0:c>
      <ns0:c r="AI601" s="12">
        <ns0:f>IF(AND(OR('前提と出典'!$C$36+'前提と出典'!$C$38=0,X601&gt;=0),OR('前提と出典'!$C$37+'前提と出典'!$C$38=0,Y601&gt;=0)),0,A601)</ns0:f>
        <ns0:v>0</ns0:v>
      </ns0:c>
    </ns0:row>
    <ns0:row r="602" ht="24" customHeight="1">
      <ns0:c r="A602" s="4" t="n">
        <ns0:v>598</ns0:v>
      </ns0:c>
      <ns0:c r="B602" s="12">
        <ns0:f>A602*('前提と出典'!$C$36+'前提と出典'!$C$38)</ns0:f>
        <ns0:v>418.59999999999997</ns0:v>
      </ns0:c>
      <ns0:c r="C602" s="12">
        <ns0:f>A602*('前提と出典'!$C$37+'前提と出典'!$C$38)</ns0:f>
        <ns0:v>358.8</ns0:v>
      </ns0:c>
      <ns0:c r="D602" s="16">
        <ns0:f>A602*('前提と出典'!$C$36*'契約別単価'!C5+'前提と出典'!$C$37*'契約別単価'!C6+'前提と出典'!$C$38*'契約別単価'!C7)</ns0:f>
        <ns0:v>4302.927374301676</ns0:v>
      </ns0:c>
      <ns0:c r="E602" s="16">
        <ns0:f>A602*('前提と出典'!$C$36*'契約別単価'!E5+'前提と出典'!$C$37*'契約別単価'!E6+'前提と出典'!$C$38*'契約別単価'!E7)</ns0:f>
        <ns0:v>1157096.9047259549</ns0:v>
      </ns0:c>
      <ns0:c r="F602" s="16">
        <ns0:f>A602*('前提と出典'!$C$36*'契約別単価'!F5+'前提と出典'!$C$37*'契約別単価'!F6+'前提と出典'!$C$38*'契約別単価'!F7)</ns0:f>
        <ns0:v>454118.4968629953</ns0:v>
      </ns0:c>
      <ns0:c r="G602" s="16">
        <ns0:f>A602*('前提と出典'!$C$36*'契約別単価'!G5+'前提と出典'!$C$37*'契約別単価'!G6+'前提と出典'!$C$38*'契約別単価'!G7)</ns0:f>
        <ns0:v>1190320.6703910613</ns0:v>
      </ns0:c>
      <ns0:c r="H602" s="16">
        <ns0:f>A602*('前提と出典'!$C$36*'契約別単価'!H5+'前提と出典'!$C$37*'契約別単価'!H6+'前提と出典'!$C$38*'契約別単価'!H7)</ns0:f>
        <ns0:v>413100.97189859906</ns0:v>
      </ns0:c>
      <ns0:c r="I602" s="16">
        <ns0:f>A602*('前提と出典'!$C$36*'契約別単価'!I5+'前提と出典'!$C$37*'契約別単価'!I6+'前提と出典'!$C$38*'契約別単価'!I7)</ns0:f>
        <ns0:v>25232.92737430167</ns0:v>
      </ns0:c>
      <ns0:c r="J602" s="16">
        <ns0:f>A602*('前提と出典'!$C$36*'契約別単価'!J5+'前提と出典'!$C$37*'契約別単価'!J6+'前提と出典'!$C$38*'契約別単価'!J7)</ns0:f>
        <ns0:v>58777.147138760934</ns0:v>
      </ns0:c>
      <ns0:c r="K602" s="16">
        <ns0:f>A602*('前提と出典'!$C$36*'契約別単価'!K5+'前提と出典'!$C$37*'契約別単価'!K6+'前提と出典'!$C$38*'契約別単価'!K7)</ns0:f>
        <ns0:v>251939.51582867783</ns0:v>
      </ns0:c>
      <ns0:c r="L602" s="16">
        <ns0:f>A602*('前提と出典'!$C$36*'契約別単価'!L5+'前提と出典'!$C$37*'契約別単価'!L6+'前提と出典'!$C$38*'契約別単価'!L7)</ns0:f>
        <ns0:v>205130.03239661996</ns0:v>
      </ns0:c>
      <ns0:c r="M602" s="16">
        <ns0:f>IF(('前提と出典'!$C$36+'前提と出典'!$C$38)=0,0,IF(B602&lt;=10,'前提と出典'!B73+'前提と出典'!C73,IF(B602&lt;=100,'前提と出典'!B74+'前提と出典'!C74,IF(B602&lt;=500,'前提と出典'!B75+'前提と出典'!C75,'前提と出典'!B76+'前提と出典'!C76))))</ns0:f>
        <ns0:v>40000</ns0:v>
      </ns0:c>
      <ns0:c r="N602" s="16">
        <ns0:f>IF(('前提と出典'!$C$37+'前提と出典'!$C$38)=0,0,IF(C602&lt;=10,'前提と出典'!D73+'前提と出典'!E73,IF(C602&lt;=100,'前提と出典'!D74+'前提と出典'!E74,IF(C602&lt;=500,'前提と出典'!D75+'前提と出典'!E75,'前提と出典'!D76+'前提と出典'!E76))))</ns0:f>
        <ns0:v>56510.9346263078</ns0:v>
      </ns0:c>
      <ns0:c r="O602" s="16">
        <ns0:f>IF('前提と出典'!$C$36+'前提と出典'!$C$38=0,0,'前提と出典'!$B$4*IF('前提と出典'!$B$20=0,MAX('前提と出典'!$B$6,D602*'前提と出典'!$B$5),'前提と出典'!$B$6+D602*'前提と出典'!$B$5))</ns0:f>
        <ns0:v>593803.9776536312</ns0:v>
      </ns0:c>
      <ns0:c r="P602" s="16">
        <ns0:f>(E602+G602)*(1-'前提と出典'!$B$7)-I602-K602-M602-O602</ns0:f>
        <ns0:v>1351934.1215561929</ns0:v>
      </ns0:c>
      <ns0:c r="Q602" s="16">
        <ns0:f>(F602+H602)*(1-'前提と出典'!$B$7)-J602-L602-N602</ns0:f>
        <ns0:v>515581.4537244883</ns0:v>
      </ns0:c>
      <ns0:c r="R602" s="16">
        <ns0:f>P602-E602*'前提と出典'!$E$4</ns0:f>
        <ns0:v>1004805.0501384065</ns0:v>
      </ns0:c>
      <ns0:c r="S602" s="16">
        <ns0:f>Q602-F602*'前提と出典'!$E$4</ns0:f>
        <ns0:v>379345.90466558974</ns0:v>
      </ns0:c>
      <ns0:c r="T602" s="7">
        <ns0:f>R602+S602</ns0:f>
        <ns0:v>1384150.9548039963</ns0:v>
      </ns0:c>
      <ns0:c r="U602" s="16">
        <ns0:f>P602-E602*'前提と出典'!$E$5</ns0:f>
        <ns0:v>889095.3596658108</ns0:v>
      </ns0:c>
      <ns0:c r="V602" s="16">
        <ns0:f>Q602-F602*'前提と出典'!$E$5</ns0:f>
        <ns0:v>333934.0549792902</ns0:v>
      </ns0:c>
      <ns0:c r="W602" s="7">
        <ns0:f>U602+V602</ns0:f>
        <ns0:v>1223029.414645101</ns0:v>
      </ns0:c>
      <ns0:c r="X602" s="16">
        <ns0:f>P602-E602*'前提と出典'!$E$6</ns0:f>
        <ns0:v>773385.6691932154</ns0:v>
      </ns0:c>
      <ns0:c r="Y602" s="16">
        <ns0:f>Q602-F602*'前提と出典'!$E$6</ns0:f>
        <ns0:v>288522.2052929907</ns0:v>
      </ns0:c>
      <ns0:c r="Z602" s="7">
        <ns0:f>X602+Y602</ns0:f>
        <ns0:v>1061907.874486206</ns0:v>
      </ns0:c>
      <ns0:c r="AA602" s="7">
        <ns0:f>IF(T602&gt;=0,A602,1001)</ns0:f>
        <ns0:v>598</ns0:v>
      </ns0:c>
      <ns0:c r="AB602" s="7">
        <ns0:f>IF(T602&lt;0,A602,0)</ns0:f>
        <ns0:v>0</ns0:v>
      </ns0:c>
      <ns0:c r="AC602" s="16">
        <ns0:f>IF(AND(OR('前提と出典'!$C$36+'前提と出典'!$C$38=0,R602&gt;=0),OR('前提と出典'!$C$37+'前提と出典'!$C$38=0,S602&gt;=0)),0,A602)</ns0:f>
        <ns0:v>0</ns0:v>
      </ns0:c>
      <ns0:c r="AD602" s="7">
        <ns0:f>IF(W602&gt;=0,A602,1001)</ns0:f>
        <ns0:v>598</ns0:v>
      </ns0:c>
      <ns0:c r="AE602" s="7">
        <ns0:f>IF(W602&lt;0,A602,0)</ns0:f>
        <ns0:v>0</ns0:v>
      </ns0:c>
      <ns0:c r="AF602" s="16">
        <ns0:f>IF(AND(OR('前提と出典'!$C$36+'前提と出典'!$C$38=0,U602&gt;=0),OR('前提と出典'!$C$37+'前提と出典'!$C$38=0,V602&gt;=0)),0,A602)</ns0:f>
        <ns0:v>0</ns0:v>
      </ns0:c>
      <ns0:c r="AG602" s="7">
        <ns0:f>IF(Z602&gt;=0,A602,1001)</ns0:f>
        <ns0:v>598</ns0:v>
      </ns0:c>
      <ns0:c r="AH602" s="4">
        <ns0:f>IF(Z602&lt;0,A602,0)</ns0:f>
        <ns0:v>0</ns0:v>
      </ns0:c>
      <ns0:c r="AI602" s="12">
        <ns0:f>IF(AND(OR('前提と出典'!$C$36+'前提と出典'!$C$38=0,X602&gt;=0),OR('前提と出典'!$C$37+'前提と出典'!$C$38=0,Y602&gt;=0)),0,A602)</ns0:f>
        <ns0:v>0</ns0:v>
      </ns0:c>
    </ns0:row>
    <ns0:row r="603" ht="24" customHeight="1">
      <ns0:c r="A603" s="4" t="n">
        <ns0:v>599</ns0:v>
      </ns0:c>
      <ns0:c r="B603" s="12">
        <ns0:f>A603*('前提と出典'!$C$36+'前提と出典'!$C$38)</ns0:f>
        <ns0:v>419.29999999999995</ns0:v>
      </ns0:c>
      <ns0:c r="C603" s="12">
        <ns0:f>A603*('前提と出典'!$C$37+'前提と出典'!$C$38)</ns0:f>
        <ns0:v>359.4</ns0:v>
      </ns0:c>
      <ns0:c r="D603" s="16">
        <ns0:f>A603*('前提と出典'!$C$36*'契約別単価'!C5+'前提と出典'!$C$37*'契約別単価'!C6+'前提と出典'!$C$38*'契約別単価'!C7)</ns0:f>
        <ns0:v>4310.122905027933</ns0:v>
      </ns0:c>
      <ns0:c r="E603" s="16">
        <ns0:f>A603*('前提と出典'!$C$36*'契約別単価'!E5+'前提と出典'!$C$37*'契約別単価'!E6+'前提と出典'!$C$38*'契約別単価'!E7)</ns0:f>
        <ns0:v>1159031.8493826871</ns0:v>
      </ns0:c>
      <ns0:c r="F603" s="16">
        <ns0:f>A603*('前提と出典'!$C$36*'契約別単価'!F5+'前提と出典'!$C$37*'契約別単価'!F6+'前提と出典'!$C$38*'契約別単価'!F7)</ns0:f>
        <ns0:v>454877.89234269934</ns0:v>
      </ns0:c>
      <ns0:c r="G603" s="16">
        <ns0:f>A603*('前提と出典'!$C$36*'契約別単価'!G5+'前提と出典'!$C$37*'契約別単価'!G6+'前提と出典'!$C$38*'契約別単価'!G7)</ns0:f>
        <ns0:v>1192311.1731843576</ns0:v>
      </ns0:c>
      <ns0:c r="H603" s="16">
        <ns0:f>A603*('前提と出典'!$C$36*'契約別単価'!H5+'前提と出典'!$C$37*'契約別単価'!H6+'前提と出典'!$C$38*'契約別単価'!H7)</ns0:f>
        <ns0:v>413791.77619943285</ns0:v>
      </ns0:c>
      <ns0:c r="I603" s="16">
        <ns0:f>A603*('前提と出典'!$C$36*'契約別単価'!I5+'前提と出典'!$C$37*'契約別単価'!I6+'前提と出典'!$C$38*'契約別単価'!I7)</ns0:f>
        <ns0:v>25275.12290502793</ns0:v>
      </ns0:c>
      <ns0:c r="J603" s="16">
        <ns0:f>A603*('前提と出典'!$C$36*'契約別単価'!J5+'前提と出典'!$C$37*'契約別単価'!J6+'前提と出典'!$C$38*'契約別単価'!J7)</ns0:f>
        <ns0:v>58875.436682471234</ns0:v>
      </ns0:c>
      <ns0:c r="K603" s="16">
        <ns0:f>A603*('前提と出典'!$C$36*'契約別単価'!K5+'前提と出典'!$C$37*'契約別単価'!K6+'前提と出典'!$C$38*'契約別単価'!K7)</ns0:f>
        <ns0:v>252360.81936685287</ns0:v>
      </ns0:c>
      <ns0:c r="L603" s="16">
        <ns0:f>A603*('前提と出典'!$C$36*'契約別単価'!L5+'前提と出典'!$C$37*'契約別単価'!L6+'前提と出典'!$C$38*'契約別単価'!L7)</ns0:f>
        <ns0:v>205473.05920664774</ns0:v>
      </ns0:c>
      <ns0:c r="M603" s="16">
        <ns0:f>IF(('前提と出典'!$C$36+'前提と出典'!$C$38)=0,0,IF(B603&lt;=10,'前提と出典'!B73+'前提と出典'!C73,IF(B603&lt;=100,'前提と出典'!B74+'前提と出典'!C74,IF(B603&lt;=500,'前提と出典'!B75+'前提と出典'!C75,'前提と出典'!B76+'前提と出典'!C76))))</ns0:f>
        <ns0:v>40000</ns0:v>
      </ns0:c>
      <ns0:c r="N603" s="16">
        <ns0:f>IF(('前提と出典'!$C$37+'前提と出典'!$C$38)=0,0,IF(C603&lt;=10,'前提と出典'!D73+'前提と出典'!E73,IF(C603&lt;=100,'前提と出典'!D74+'前提と出典'!E74,IF(C603&lt;=500,'前提と出典'!D75+'前提と出典'!E75,'前提と出典'!D76+'前提と出典'!E76))))</ns0:f>
        <ns0:v>56510.9346263078</ns0:v>
      </ns0:c>
      <ns0:c r="O603" s="16">
        <ns0:f>IF('前提と出典'!$C$36+'前提と出典'!$C$38=0,0,'前提と出典'!$B$4*IF('前提と出典'!$B$20=0,MAX('前提と出典'!$B$6,D603*'前提と出典'!$B$5),'前提と出典'!$B$6+D603*'前提と出典'!$B$5))</ns0:f>
        <ns0:v>594796.9608938547</ns0:v>
      </ns0:c>
      <ns0:c r="P603" s="16">
        <ns0:f>(E603+G603)*(1-'前提と出典'!$B$7)-I603-K603-M603-O603</ns0:f>
        <ns0:v>1354261.770588896</ns0:v>
      </ns0:c>
      <ns0:c r="Q603" s="16">
        <ns0:f>(F603+H603)*(1-'前提と出典'!$B$7)-J603-L603-N603</ns0:f>
        <ns0:v>516538.1299591888</ns0:v>
      </ns0:c>
      <ns0:c r="R603" s="16">
        <ns0:f>P603-E603*'前提と出典'!$E$4</ns0:f>
        <ns0:v>1006552.2157740898</ns0:v>
      </ns0:c>
      <ns0:c r="S603" s="16">
        <ns0:f>Q603-F603*'前提と出典'!$E$4</ns0:f>
        <ns0:v>380074.76225637895</ns0:v>
      </ns0:c>
      <ns0:c r="T603" s="7">
        <ns0:f>R603+S603</ns0:f>
        <ns0:v>1386626.9780304688</ns0:v>
      </ns0:c>
      <ns0:c r="U603" s="16">
        <ns0:f>P603-E603*'前提と出典'!$E$5</ns0:f>
        <ns0:v>890649.0308358211</ns0:v>
      </ns0:c>
      <ns0:c r="V603" s="16">
        <ns0:f>Q603-F603*'前提と出典'!$E$5</ns0:f>
        <ns0:v>334586.9730221091</ns0:v>
      </ns0:c>
      <ns0:c r="W603" s="7">
        <ns0:f>U603+V603</ns0:f>
        <ns0:v>1225236.0038579302</ns0:v>
      </ns0:c>
      <ns0:c r="X603" s="16">
        <ns0:f>P603-E603*'前提と出典'!$E$6</ns0:f>
        <ns0:v>774745.8458975523</ns0:v>
      </ns0:c>
      <ns0:c r="Y603" s="16">
        <ns0:f>Q603-F603*'前提と出典'!$E$6</ns0:f>
        <ns0:v>289099.1837878392</ns0:v>
      </ns0:c>
      <ns0:c r="Z603" s="7">
        <ns0:f>X603+Y603</ns0:f>
        <ns0:v>1063845.0296853916</ns0:v>
      </ns0:c>
      <ns0:c r="AA603" s="7">
        <ns0:f>IF(T603&gt;=0,A603,1001)</ns0:f>
        <ns0:v>599</ns0:v>
      </ns0:c>
      <ns0:c r="AB603" s="7">
        <ns0:f>IF(T603&lt;0,A603,0)</ns0:f>
        <ns0:v>0</ns0:v>
      </ns0:c>
      <ns0:c r="AC603" s="16">
        <ns0:f>IF(AND(OR('前提と出典'!$C$36+'前提と出典'!$C$38=0,R603&gt;=0),OR('前提と出典'!$C$37+'前提と出典'!$C$38=0,S603&gt;=0)),0,A603)</ns0:f>
        <ns0:v>0</ns0:v>
      </ns0:c>
      <ns0:c r="AD603" s="7">
        <ns0:f>IF(W603&gt;=0,A603,1001)</ns0:f>
        <ns0:v>599</ns0:v>
      </ns0:c>
      <ns0:c r="AE603" s="7">
        <ns0:f>IF(W603&lt;0,A603,0)</ns0:f>
        <ns0:v>0</ns0:v>
      </ns0:c>
      <ns0:c r="AF603" s="16">
        <ns0:f>IF(AND(OR('前提と出典'!$C$36+'前提と出典'!$C$38=0,U603&gt;=0),OR('前提と出典'!$C$37+'前提と出典'!$C$38=0,V603&gt;=0)),0,A603)</ns0:f>
        <ns0:v>0</ns0:v>
      </ns0:c>
      <ns0:c r="AG603" s="7">
        <ns0:f>IF(Z603&gt;=0,A603,1001)</ns0:f>
        <ns0:v>599</ns0:v>
      </ns0:c>
      <ns0:c r="AH603" s="4">
        <ns0:f>IF(Z603&lt;0,A603,0)</ns0:f>
        <ns0:v>0</ns0:v>
      </ns0:c>
      <ns0:c r="AI603" s="12">
        <ns0:f>IF(AND(OR('前提と出典'!$C$36+'前提と出典'!$C$38=0,X603&gt;=0),OR('前提と出典'!$C$37+'前提と出典'!$C$38=0,Y603&gt;=0)),0,A603)</ns0:f>
        <ns0:v>0</ns0:v>
      </ns0:c>
    </ns0:row>
    <ns0:row r="604" ht="24" customHeight="1">
      <ns0:c r="A604" s="4" t="n">
        <ns0:v>600</ns0:v>
      </ns0:c>
      <ns0:c r="B604" s="12">
        <ns0:f>A604*('前提と出典'!$C$36+'前提と出典'!$C$38)</ns0:f>
        <ns0:v>420</ns0:v>
      </ns0:c>
      <ns0:c r="C604" s="12">
        <ns0:f>A604*('前提と出典'!$C$37+'前提と出典'!$C$38)</ns0:f>
        <ns0:v>360</ns0:v>
      </ns0:c>
      <ns0:c r="D604" s="16">
        <ns0:f>A604*('前提と出典'!$C$36*'契約別単価'!C5+'前提と出典'!$C$37*'契約別単価'!C6+'前提と出典'!$C$38*'契約別単価'!C7)</ns0:f>
        <ns0:v>4317.3184357541895</ns0:v>
      </ns0:c>
      <ns0:c r="E604" s="16">
        <ns0:f>A604*('前提と出典'!$C$36*'契約別単価'!E5+'前提と出典'!$C$37*'契約別単価'!E6+'前提と出典'!$C$38*'契約別単価'!E7)</ns0:f>
        <ns0:v>1160966.7940394196</ns0:v>
      </ns0:c>
      <ns0:c r="F604" s="16">
        <ns0:f>A604*('前提と出典'!$C$36*'契約別単価'!F5+'前提と出典'!$C$37*'契約別単価'!F6+'前提と出典'!$C$38*'契約別単価'!F7)</ns0:f>
        <ns0:v>455637.2878224033</ns0:v>
      </ns0:c>
      <ns0:c r="G604" s="16">
        <ns0:f>A604*('前提と出典'!$C$36*'契約別単価'!G5+'前提と出典'!$C$37*'契約別単価'!G6+'前提と出典'!$C$38*'契約別単価'!G7)</ns0:f>
        <ns0:v>1194301.6759776536</ns0:v>
      </ns0:c>
      <ns0:c r="H604" s="16">
        <ns0:f>A604*('前提と出典'!$C$36*'契約別単価'!H5+'前提と出典'!$C$37*'契約別単価'!H6+'前提と出典'!$C$38*'契約別単価'!H7)</ns0:f>
        <ns0:v>414482.58050026663</ns0:v>
      </ns0:c>
      <ns0:c r="I604" s="16">
        <ns0:f>A604*('前提と出典'!$C$36*'契約別単価'!I5+'前提と出典'!$C$37*'契約別単価'!I6+'前提と出典'!$C$38*'契約別単価'!I7)</ns0:f>
        <ns0:v>25317.318435754187</ns0:v>
      </ns0:c>
      <ns0:c r="J604" s="16">
        <ns0:f>A604*('前提と出典'!$C$36*'契約別単価'!J5+'前提と出典'!$C$37*'契約別単価'!J6+'前提と出典'!$C$38*'契約別単価'!J7)</ns0:f>
        <ns0:v>58973.72622618154</ns0:v>
      </ns0:c>
      <ns0:c r="K604" s="16">
        <ns0:f>A604*('前提と出典'!$C$36*'契約別単価'!K5+'前提と出典'!$C$37*'契約別単価'!K6+'前提と出典'!$C$38*'契約別単価'!K7)</ns0:f>
        <ns0:v>252782.1229050279</ns0:v>
      </ns0:c>
      <ns0:c r="L604" s="16">
        <ns0:f>A604*('前提と出典'!$C$36*'契約別単価'!L5+'前提と出典'!$C$37*'契約別単価'!L6+'前提と出典'!$C$38*'契約別単価'!L7)</ns0:f>
        <ns0:v>205816.08601667554</ns0:v>
      </ns0:c>
      <ns0:c r="M604" s="16">
        <ns0:f>IF(('前提と出典'!$C$36+'前提と出典'!$C$38)=0,0,IF(B604&lt;=10,'前提と出典'!B73+'前提と出典'!C73,IF(B604&lt;=100,'前提と出典'!B74+'前提と出典'!C74,IF(B604&lt;=500,'前提と出典'!B75+'前提と出典'!C75,'前提と出典'!B76+'前提と出典'!C76))))</ns0:f>
        <ns0:v>40000</ns0:v>
      </ns0:c>
      <ns0:c r="N604" s="16">
        <ns0:f>IF(('前提と出典'!$C$37+'前提と出典'!$C$38)=0,0,IF(C604&lt;=10,'前提と出典'!D73+'前提と出典'!E73,IF(C604&lt;=100,'前提と出典'!D74+'前提と出典'!E74,IF(C604&lt;=500,'前提と出典'!D75+'前提と出典'!E75,'前提と出典'!D76+'前提と出典'!E76))))</ns0:f>
        <ns0:v>56510.9346263078</ns0:v>
      </ns0:c>
      <ns0:c r="O604" s="16">
        <ns0:f>IF('前提と出典'!$C$36+'前提と出典'!$C$38=0,0,'前提と出典'!$B$4*IF('前提と出典'!$B$20=0,MAX('前提と出典'!$B$6,D604*'前提と出典'!$B$5),'前提と出典'!$B$6+D604*'前提と出典'!$B$5))</ns0:f>
        <ns0:v>595789.9441340782</ns0:v>
      </ns0:c>
      <ns0:c r="P604" s="16">
        <ns0:f>(E604+G604)*(1-'前提と出典'!$B$7)-I604-K604-M604-O604</ns0:f>
        <ns0:v>1356589.4196215984</ns0:v>
      </ns0:c>
      <ns0:c r="Q604" s="16">
        <ns0:f>(F604+H604)*(1-'前提と出典'!$B$7)-J604-L604-N604</ns0:f>
        <ns0:v>517494.806193889</ns0:v>
      </ns0:c>
      <ns0:c r="R604" s="16">
        <ns0:f>P604-E604*'前提と出典'!$E$4</ns0:f>
        <ns0:v>1008299.3814097727</ns0:v>
      </ns0:c>
      <ns0:c r="S604" s="16">
        <ns0:f>Q604-F604*'前提と出典'!$E$4</ns0:f>
        <ns0:v>380803.619847168</ns0:v>
      </ns0:c>
      <ns0:c r="T604" s="7">
        <ns0:f>R604+S604</ns0:f>
        <ns0:v>1389103.0012569407</ns0:v>
      </ns0:c>
      <ns0:c r="U604" s="16">
        <ns0:f>P604-E604*'前提と出典'!$E$5</ns0:f>
        <ns0:v>892202.7020058306</ns0:v>
      </ns0:c>
      <ns0:c r="V604" s="16">
        <ns0:f>Q604-F604*'前提と出典'!$E$5</ns0:f>
        <ns0:v>335239.8910649277</ns0:v>
      </ns0:c>
      <ns0:c r="W604" s="7">
        <ns0:f>U604+V604</ns0:f>
        <ns0:v>1227442.5930707583</ns0:v>
      </ns0:c>
      <ns0:c r="X604" s="16">
        <ns0:f>P604-E604*'前提と出典'!$E$6</ns0:f>
        <ns0:v>776106.0226018885</ns0:v>
      </ns0:c>
      <ns0:c r="Y604" s="16">
        <ns0:f>Q604-F604*'前提と出典'!$E$6</ns0:f>
        <ns0:v>289676.1622826874</ns0:v>
      </ns0:c>
      <ns0:c r="Z604" s="7">
        <ns0:f>X604+Y604</ns0:f>
        <ns0:v>1065782.184884576</ns0:v>
      </ns0:c>
      <ns0:c r="AA604" s="7">
        <ns0:f>IF(T604&gt;=0,A604,1001)</ns0:f>
        <ns0:v>600</ns0:v>
      </ns0:c>
      <ns0:c r="AB604" s="7">
        <ns0:f>IF(T604&lt;0,A604,0)</ns0:f>
        <ns0:v>0</ns0:v>
      </ns0:c>
      <ns0:c r="AC604" s="16">
        <ns0:f>IF(AND(OR('前提と出典'!$C$36+'前提と出典'!$C$38=0,R604&gt;=0),OR('前提と出典'!$C$37+'前提と出典'!$C$38=0,S604&gt;=0)),0,A604)</ns0:f>
        <ns0:v>0</ns0:v>
      </ns0:c>
      <ns0:c r="AD604" s="7">
        <ns0:f>IF(W604&gt;=0,A604,1001)</ns0:f>
        <ns0:v>600</ns0:v>
      </ns0:c>
      <ns0:c r="AE604" s="7">
        <ns0:f>IF(W604&lt;0,A604,0)</ns0:f>
        <ns0:v>0</ns0:v>
      </ns0:c>
      <ns0:c r="AF604" s="16">
        <ns0:f>IF(AND(OR('前提と出典'!$C$36+'前提と出典'!$C$38=0,U604&gt;=0),OR('前提と出典'!$C$37+'前提と出典'!$C$38=0,V604&gt;=0)),0,A604)</ns0:f>
        <ns0:v>0</ns0:v>
      </ns0:c>
      <ns0:c r="AG604" s="7">
        <ns0:f>IF(Z604&gt;=0,A604,1001)</ns0:f>
        <ns0:v>600</ns0:v>
      </ns0:c>
      <ns0:c r="AH604" s="4">
        <ns0:f>IF(Z604&lt;0,A604,0)</ns0:f>
        <ns0:v>0</ns0:v>
      </ns0:c>
      <ns0:c r="AI604" s="12">
        <ns0:f>IF(AND(OR('前提と出典'!$C$36+'前提と出典'!$C$38=0,X604&gt;=0),OR('前提と出典'!$C$37+'前提と出典'!$C$38=0,Y604&gt;=0)),0,A604)</ns0:f>
        <ns0:v>0</ns0:v>
      </ns0:c>
    </ns0:row>
    <ns0:row r="605" ht="24" customHeight="1">
      <ns0:c r="A605" s="4" t="n">
        <ns0:v>601</ns0:v>
      </ns0:c>
      <ns0:c r="B605" s="12">
        <ns0:f>A605*('前提と出典'!$C$36+'前提と出典'!$C$38)</ns0:f>
        <ns0:v>420.7</ns0:v>
      </ns0:c>
      <ns0:c r="C605" s="12">
        <ns0:f>A605*('前提と出典'!$C$37+'前提と出典'!$C$38)</ns0:f>
        <ns0:v>360.59999999999997</ns0:v>
      </ns0:c>
      <ns0:c r="D605" s="16">
        <ns0:f>A605*('前提と出典'!$C$36*'契約別単価'!C5+'前提と出典'!$C$37*'契約別単価'!C6+'前提と出典'!$C$38*'契約別単価'!C7)</ns0:f>
        <ns0:v>4324.5139664804465</ns0:v>
      </ns0:c>
      <ns0:c r="E605" s="16">
        <ns0:f>A605*('前提と出典'!$C$36*'契約別単価'!E5+'前提と出典'!$C$37*'契約別単価'!E6+'前提と出典'!$C$38*'契約別単価'!E7)</ns0:f>
        <ns0:v>1162901.7386961519</ns0:v>
      </ns0:c>
      <ns0:c r="F605" s="16">
        <ns0:f>A605*('前提と出典'!$C$36*'契約別単価'!F5+'前提と出典'!$C$37*'契約別単価'!F6+'前提と出典'!$C$38*'契約別単価'!F7)</ns0:f>
        <ns0:v>456396.6833021073</ns0:v>
      </ns0:c>
      <ns0:c r="G605" s="16">
        <ns0:f>A605*('前提と出典'!$C$36*'契約別単価'!G5+'前提と出典'!$C$37*'契約別単価'!G6+'前提と出典'!$C$38*'契約別単価'!G7)</ns0:f>
        <ns0:v>1196292.1787709496</ns0:v>
      </ns0:c>
      <ns0:c r="H605" s="16">
        <ns0:f>A605*('前提と出典'!$C$36*'契約別単価'!H5+'前提と出典'!$C$37*'契約別単価'!H6+'前提と出典'!$C$38*'契約別単価'!H7)</ns0:f>
        <ns0:v>415173.3848011004</ns0:v>
      </ns0:c>
      <ns0:c r="I605" s="16">
        <ns0:f>A605*('前提と出典'!$C$36*'契約別単価'!I5+'前提と出典'!$C$37*'契約別単価'!I6+'前提と出典'!$C$38*'契約別単価'!I7)</ns0:f>
        <ns0:v>25359.51396648044</ns0:v>
      </ns0:c>
      <ns0:c r="J605" s="16">
        <ns0:f>A605*('前提と出典'!$C$36*'契約別単価'!J5+'前提と出典'!$C$37*'契約別単価'!J6+'前提と出典'!$C$38*'契約別単価'!J7)</ns0:f>
        <ns0:v>59072.01576989184</ns0:v>
      </ns0:c>
      <ns0:c r="K605" s="16">
        <ns0:f>A605*('前提と出典'!$C$36*'契約別単価'!K5+'前提と出典'!$C$37*'契約別単価'!K6+'前提と出典'!$C$38*'契約別単価'!K7)</ns0:f>
        <ns0:v>253203.42644320297</ns0:v>
      </ns0:c>
      <ns0:c r="L605" s="16">
        <ns0:f>A605*('前提と出典'!$C$36*'契約別単価'!L5+'前提と出典'!$C$37*'契約別単価'!L6+'前提と出典'!$C$38*'契約別単価'!L7)</ns0:f>
        <ns0:v>206159.11282670335</ns0:v>
      </ns0:c>
      <ns0:c r="M605" s="16">
        <ns0:f>IF(('前提と出典'!$C$36+'前提と出典'!$C$38)=0,0,IF(B605&lt;=10,'前提と出典'!B73+'前提と出典'!C73,IF(B605&lt;=100,'前提と出典'!B74+'前提と出典'!C74,IF(B605&lt;=500,'前提と出典'!B75+'前提と出典'!C75,'前提と出典'!B76+'前提と出典'!C76))))</ns0:f>
        <ns0:v>40000</ns0:v>
      </ns0:c>
      <ns0:c r="N605" s="16">
        <ns0:f>IF(('前提と出典'!$C$37+'前提と出典'!$C$38)=0,0,IF(C605&lt;=10,'前提と出典'!D73+'前提と出典'!E73,IF(C605&lt;=100,'前提と出典'!D74+'前提と出典'!E74,IF(C605&lt;=500,'前提と出典'!D75+'前提と出典'!E75,'前提と出典'!D76+'前提と出典'!E76))))</ns0:f>
        <ns0:v>56510.9346263078</ns0:v>
      </ns0:c>
      <ns0:c r="O605" s="16">
        <ns0:f>IF('前提と出典'!$C$36+'前提と出典'!$C$38=0,0,'前提と出典'!$B$4*IF('前提と出典'!$B$20=0,MAX('前提と出典'!$B$6,D605*'前提と出典'!$B$5),'前提と出典'!$B$6+D605*'前提と出典'!$B$5))</ns0:f>
        <ns0:v>596782.9273743016</ns0:v>
      </ns0:c>
      <ns0:c r="P605" s="16">
        <ns0:f>(E605+G605)*(1-'前提と出典'!$B$7)-I605-K605-M605-O605</ns0:f>
        <ns0:v>1358917.0686543006</ns0:v>
      </ns0:c>
      <ns0:c r="Q605" s="16">
        <ns0:f>(F605+H605)*(1-'前提と出典'!$B$7)-J605-L605-N605</ns0:f>
        <ns0:v>518451.48242858937</ns0:v>
      </ns0:c>
      <ns0:c r="R605" s="16">
        <ns0:f>P605-E605*'前提と出典'!$E$4</ns0:f>
        <ns0:v>1010046.5470454552</ns0:v>
      </ns0:c>
      <ns0:c r="S605" s="16">
        <ns0:f>Q605-F605*'前提と出典'!$E$4</ns0:f>
        <ns0:v>381532.4774379572</ns0:v>
      </ns0:c>
      <ns0:c r="T605" s="7">
        <ns0:f>R605+S605</ns0:f>
        <ns0:v>1391579.0244834125</ns0:v>
      </ns0:c>
      <ns0:c r="U605" s="16">
        <ns0:f>P605-E605*'前提と出典'!$E$5</ns0:f>
        <ns0:v>893756.37317584</ns0:v>
      </ns0:c>
      <ns0:c r="V605" s="16">
        <ns0:f>Q605-F605*'前提と出典'!$E$5</ns0:f>
        <ns0:v>335892.80910774646</ns0:v>
      </ns0:c>
      <ns0:c r="W605" s="7">
        <ns0:f>U605+V605</ns0:f>
        <ns0:v>1229649.1822835864</ns0:v>
      </ns0:c>
      <ns0:c r="X605" s="16">
        <ns0:f>P605-E605*'前提と出典'!$E$6</ns0:f>
        <ns0:v>777466.1993062248</ns0:v>
      </ns0:c>
      <ns0:c r="Y605" s="16">
        <ns0:f>Q605-F605*'前提と出典'!$E$6</ns0:f>
        <ns0:v>290253.14077753574</ns0:v>
      </ns0:c>
      <ns0:c r="Z605" s="7">
        <ns0:f>X605+Y605</ns0:f>
        <ns0:v>1067719.3400837607</ns0:v>
      </ns0:c>
      <ns0:c r="AA605" s="7">
        <ns0:f>IF(T605&gt;=0,A605,1001)</ns0:f>
        <ns0:v>601</ns0:v>
      </ns0:c>
      <ns0:c r="AB605" s="7">
        <ns0:f>IF(T605&lt;0,A605,0)</ns0:f>
        <ns0:v>0</ns0:v>
      </ns0:c>
      <ns0:c r="AC605" s="16">
        <ns0:f>IF(AND(OR('前提と出典'!$C$36+'前提と出典'!$C$38=0,R605&gt;=0),OR('前提と出典'!$C$37+'前提と出典'!$C$38=0,S605&gt;=0)),0,A605)</ns0:f>
        <ns0:v>0</ns0:v>
      </ns0:c>
      <ns0:c r="AD605" s="7">
        <ns0:f>IF(W605&gt;=0,A605,1001)</ns0:f>
        <ns0:v>601</ns0:v>
      </ns0:c>
      <ns0:c r="AE605" s="7">
        <ns0:f>IF(W605&lt;0,A605,0)</ns0:f>
        <ns0:v>0</ns0:v>
      </ns0:c>
      <ns0:c r="AF605" s="16">
        <ns0:f>IF(AND(OR('前提と出典'!$C$36+'前提と出典'!$C$38=0,U605&gt;=0),OR('前提と出典'!$C$37+'前提と出典'!$C$38=0,V605&gt;=0)),0,A605)</ns0:f>
        <ns0:v>0</ns0:v>
      </ns0:c>
      <ns0:c r="AG605" s="7">
        <ns0:f>IF(Z605&gt;=0,A605,1001)</ns0:f>
        <ns0:v>601</ns0:v>
      </ns0:c>
      <ns0:c r="AH605" s="4">
        <ns0:f>IF(Z605&lt;0,A605,0)</ns0:f>
        <ns0:v>0</ns0:v>
      </ns0:c>
      <ns0:c r="AI605" s="12">
        <ns0:f>IF(AND(OR('前提と出典'!$C$36+'前提と出典'!$C$38=0,X605&gt;=0),OR('前提と出典'!$C$37+'前提と出典'!$C$38=0,Y605&gt;=0)),0,A605)</ns0:f>
        <ns0:v>0</ns0:v>
      </ns0:c>
    </ns0:row>
    <ns0:row r="606" ht="24" customHeight="1">
      <ns0:c r="A606" s="4" t="n">
        <ns0:v>602</ns0:v>
      </ns0:c>
      <ns0:c r="B606" s="12">
        <ns0:f>A606*('前提と出典'!$C$36+'前提と出典'!$C$38)</ns0:f>
        <ns0:v>421.4</ns0:v>
      </ns0:c>
      <ns0:c r="C606" s="12">
        <ns0:f>A606*('前提と出典'!$C$37+'前提と出典'!$C$38)</ns0:f>
        <ns0:v>361.2</ns0:v>
      </ns0:c>
      <ns0:c r="D606" s="16">
        <ns0:f>A606*('前提と出典'!$C$36*'契約別単価'!C5+'前提と出典'!$C$37*'契約別単価'!C6+'前提と出典'!$C$38*'契約別単価'!C7)</ns0:f>
        <ns0:v>4331.709497206704</ns0:v>
      </ns0:c>
      <ns0:c r="E606" s="16">
        <ns0:f>A606*('前提と出典'!$C$36*'契約別単価'!E5+'前提と出典'!$C$37*'契約別単価'!E6+'前提と出典'!$C$38*'契約別単価'!E7)</ns0:f>
        <ns0:v>1164836.6833528844</ns0:v>
      </ns0:c>
      <ns0:c r="F606" s="16">
        <ns0:f>A606*('前提と出典'!$C$36*'契約別単価'!F5+'前提と出典'!$C$37*'契約別単価'!F6+'前提と出典'!$C$38*'契約別単価'!F7)</ns0:f>
        <ns0:v>457156.07878181135</ns0:v>
      </ns0:c>
      <ns0:c r="G606" s="16">
        <ns0:f>A606*('前提と出典'!$C$36*'契約別単価'!G5+'前提と出典'!$C$37*'契約別単価'!G6+'前提と出典'!$C$38*'契約別単価'!G7)</ns0:f>
        <ns0:v>1198282.6815642458</ns0:v>
      </ns0:c>
      <ns0:c r="H606" s="16">
        <ns0:f>A606*('前提と出典'!$C$36*'契約別単価'!H5+'前提と出典'!$C$37*'契約別単価'!H6+'前提と出典'!$C$38*'契約別単価'!H7)</ns0:f>
        <ns0:v>415864.18910193414</ns0:v>
      </ns0:c>
      <ns0:c r="I606" s="16">
        <ns0:f>A606*('前提と出典'!$C$36*'契約別単価'!I5+'前提と出典'!$C$37*'契約別単価'!I6+'前提と出典'!$C$38*'契約別単価'!I7)</ns0:f>
        <ns0:v>25401.7094972067</ns0:v>
      </ns0:c>
      <ns0:c r="J606" s="16">
        <ns0:f>A606*('前提と出典'!$C$36*'契約別単価'!J5+'前提と出典'!$C$37*'契約別単価'!J6+'前提と出典'!$C$38*'契約別単価'!J7)</ns0:f>
        <ns0:v>59170.30531360215</ns0:v>
      </ns0:c>
      <ns0:c r="K606" s="16">
        <ns0:f>A606*('前提と出典'!$C$36*'契約別単価'!K5+'前提と出典'!$C$37*'契約別単価'!K6+'前提と出典'!$C$38*'契約別単価'!K7)</ns0:f>
        <ns0:v>253624.729981378</ns0:v>
      </ns0:c>
      <ns0:c r="L606" s="16">
        <ns0:f>A606*('前提と出典'!$C$36*'契約別単価'!L5+'前提と出典'!$C$37*'契約別単価'!L6+'前提と出典'!$C$38*'契約別単価'!L7)</ns0:f>
        <ns0:v>206502.13963673112</ns0:v>
      </ns0:c>
      <ns0:c r="M606" s="16">
        <ns0:f>IF(('前提と出典'!$C$36+'前提と出典'!$C$38)=0,0,IF(B606&lt;=10,'前提と出典'!B73+'前提と出典'!C73,IF(B606&lt;=100,'前提と出典'!B74+'前提と出典'!C74,IF(B606&lt;=500,'前提と出典'!B75+'前提と出典'!C75,'前提と出典'!B76+'前提と出典'!C76))))</ns0:f>
        <ns0:v>40000</ns0:v>
      </ns0:c>
      <ns0:c r="N606" s="16">
        <ns0:f>IF(('前提と出典'!$C$37+'前提と出典'!$C$38)=0,0,IF(C606&lt;=10,'前提と出典'!D73+'前提と出典'!E73,IF(C606&lt;=100,'前提と出典'!D74+'前提と出典'!E74,IF(C606&lt;=500,'前提と出典'!D75+'前提と出典'!E75,'前提と出典'!D76+'前提と出典'!E76))))</ns0:f>
        <ns0:v>56510.9346263078</ns0:v>
      </ns0:c>
      <ns0:c r="O606" s="16">
        <ns0:f>IF('前提と出典'!$C$36+'前提と出典'!$C$38=0,0,'前提と出典'!$B$4*IF('前提と出典'!$B$20=0,MAX('前提と出典'!$B$6,D606*'前提と出典'!$B$5),'前提と出典'!$B$6+D606*'前提と出典'!$B$5))</ns0:f>
        <ns0:v>597775.9106145252</ns0:v>
      </ns0:c>
      <ns0:c r="P606" s="16">
        <ns0:f>(E606+G606)*(1-'前提と出典'!$B$7)-I606-K606-M606-O606</ns0:f>
        <ns0:v>1361244.7176870038</ns0:v>
      </ns0:c>
      <ns0:c r="Q606" s="16">
        <ns0:f>(F606+H606)*(1-'前提と出典'!$B$7)-J606-L606-N606</ns0:f>
        <ns0:v>519408.15866328945</ns0:v>
      </ns0:c>
      <ns0:c r="R606" s="16">
        <ns0:f>P606-E606*'前提と出典'!$E$4</ns0:f>
        <ns0:v>1011793.7126811384</ns0:v>
      </ns0:c>
      <ns0:c r="S606" s="16">
        <ns0:f>Q606-F606*'前提と出典'!$E$4</ns0:f>
        <ns0:v>382261.33502874605</ns0:v>
      </ns0:c>
      <ns0:c r="T606" s="7">
        <ns0:f>R606+S606</ns0:f>
        <ns0:v>1394055.0477098846</ns0:v>
      </ns0:c>
      <ns0:c r="U606" s="16">
        <ns0:f>P606-E606*'前提と出典'!$E$5</ns0:f>
        <ns0:v>895310.0443458501</ns0:v>
      </ns0:c>
      <ns0:c r="V606" s="16">
        <ns0:f>Q606-F606*'前提と出典'!$E$5</ns0:f>
        <ns0:v>336545.7271505649</ns0:v>
      </ns0:c>
      <ns0:c r="W606" s="7">
        <ns0:f>U606+V606</ns0:f>
        <ns0:v>1231855.7714964151</ns0:v>
      </ns0:c>
      <ns0:c r="X606" s="16">
        <ns0:f>P606-E606*'前提と出典'!$E$6</ns0:f>
        <ns0:v>778826.3760105616</ns0:v>
      </ns0:c>
      <ns0:c r="Y606" s="16">
        <ns0:f>Q606-F606*'前提と出典'!$E$6</ns0:f>
        <ns0:v>290830.119272384</ns0:v>
      </ns0:c>
      <ns0:c r="Z606" s="7">
        <ns0:f>X606+Y606</ns0:f>
        <ns0:v>1069656.4952829457</ns0:v>
      </ns0:c>
      <ns0:c r="AA606" s="7">
        <ns0:f>IF(T606&gt;=0,A606,1001)</ns0:f>
        <ns0:v>602</ns0:v>
      </ns0:c>
      <ns0:c r="AB606" s="7">
        <ns0:f>IF(T606&lt;0,A606,0)</ns0:f>
        <ns0:v>0</ns0:v>
      </ns0:c>
      <ns0:c r="AC606" s="16">
        <ns0:f>IF(AND(OR('前提と出典'!$C$36+'前提と出典'!$C$38=0,R606&gt;=0),OR('前提と出典'!$C$37+'前提と出典'!$C$38=0,S606&gt;=0)),0,A606)</ns0:f>
        <ns0:v>0</ns0:v>
      </ns0:c>
      <ns0:c r="AD606" s="7">
        <ns0:f>IF(W606&gt;=0,A606,1001)</ns0:f>
        <ns0:v>602</ns0:v>
      </ns0:c>
      <ns0:c r="AE606" s="7">
        <ns0:f>IF(W606&lt;0,A606,0)</ns0:f>
        <ns0:v>0</ns0:v>
      </ns0:c>
      <ns0:c r="AF606" s="16">
        <ns0:f>IF(AND(OR('前提と出典'!$C$36+'前提と出典'!$C$38=0,U606&gt;=0),OR('前提と出典'!$C$37+'前提と出典'!$C$38=0,V606&gt;=0)),0,A606)</ns0:f>
        <ns0:v>0</ns0:v>
      </ns0:c>
      <ns0:c r="AG606" s="7">
        <ns0:f>IF(Z606&gt;=0,A606,1001)</ns0:f>
        <ns0:v>602</ns0:v>
      </ns0:c>
      <ns0:c r="AH606" s="4">
        <ns0:f>IF(Z606&lt;0,A606,0)</ns0:f>
        <ns0:v>0</ns0:v>
      </ns0:c>
      <ns0:c r="AI606" s="12">
        <ns0:f>IF(AND(OR('前提と出典'!$C$36+'前提と出典'!$C$38=0,X606&gt;=0),OR('前提と出典'!$C$37+'前提と出典'!$C$38=0,Y606&gt;=0)),0,A606)</ns0:f>
        <ns0:v>0</ns0:v>
      </ns0:c>
    </ns0:row>
    <ns0:row r="607" ht="24" customHeight="1">
      <ns0:c r="A607" s="4" t="n">
        <ns0:v>603</ns0:v>
      </ns0:c>
      <ns0:c r="B607" s="12">
        <ns0:f>A607*('前提と出典'!$C$36+'前提と出典'!$C$38)</ns0:f>
        <ns0:v>422.09999999999997</ns0:v>
      </ns0:c>
      <ns0:c r="C607" s="12">
        <ns0:f>A607*('前提と出典'!$C$37+'前提と出典'!$C$38)</ns0:f>
        <ns0:v>361.8</ns0:v>
      </ns0:c>
      <ns0:c r="D607" s="16">
        <ns0:f>A607*('前提と出典'!$C$36*'契約別単価'!C5+'前提と出典'!$C$37*'契約別単価'!C6+'前提と出典'!$C$38*'契約別単価'!C7)</ns0:f>
        <ns0:v>4338.905027932961</ns0:v>
      </ns0:c>
      <ns0:c r="E607" s="16">
        <ns0:f>A607*('前提と出典'!$C$36*'契約別単価'!E5+'前提と出典'!$C$37*'契約別単価'!E6+'前提と出典'!$C$38*'契約別単価'!E7)</ns0:f>
        <ns0:v>1166771.6280096166</ns0:v>
      </ns0:c>
      <ns0:c r="F607" s="16">
        <ns0:f>A607*('前提と出典'!$C$36*'契約別単価'!F5+'前提と出典'!$C$37*'契約別単価'!F6+'前提と出典'!$C$38*'契約別単価'!F7)</ns0:f>
        <ns0:v>457915.47426151537</ns0:v>
      </ns0:c>
      <ns0:c r="G607" s="16">
        <ns0:f>A607*('前提と出典'!$C$36*'契約別単価'!G5+'前提と出典'!$C$37*'契約別単価'!G6+'前提と出典'!$C$38*'契約別単価'!G7)</ns0:f>
        <ns0:v>1200273.1843575418</ns0:v>
      </ns0:c>
      <ns0:c r="H607" s="16">
        <ns0:f>A607*('前提と出典'!$C$36*'契約別単価'!H5+'前提と出典'!$C$37*'契約別単価'!H6+'前提と出典'!$C$38*'契約別単価'!H7)</ns0:f>
        <ns0:v>416554.9934027679</ns0:v>
      </ns0:c>
      <ns0:c r="I607" s="16">
        <ns0:f>A607*('前提と出典'!$C$36*'契約別単価'!I5+'前提と出典'!$C$37*'契約別単価'!I6+'前提と出典'!$C$38*'契約別単価'!I7)</ns0:f>
        <ns0:v>25443.905027932957</ns0:v>
      </ns0:c>
      <ns0:c r="J607" s="16">
        <ns0:f>A607*('前提と出典'!$C$36*'契約別単価'!J5+'前提と出典'!$C$37*'契約別単価'!J6+'前提と出典'!$C$38*'契約別単価'!J7)</ns0:f>
        <ns0:v>59268.59485731245</ns0:v>
      </ns0:c>
      <ns0:c r="K607" s="16">
        <ns0:f>A607*('前提と出典'!$C$36*'契約別単価'!K5+'前提と出典'!$C$37*'契約別単価'!K6+'前提と出典'!$C$38*'契約別単価'!K7)</ns0:f>
        <ns0:v>254046.03351955305</ns0:v>
      </ns0:c>
      <ns0:c r="L607" s="16">
        <ns0:f>A607*('前提と出典'!$C$36*'契約別単価'!L5+'前提と出典'!$C$37*'契約別単価'!L6+'前提と出典'!$C$38*'契約別単価'!L7)</ns0:f>
        <ns0:v>206845.16644675893</ns0:v>
      </ns0:c>
      <ns0:c r="M607" s="16">
        <ns0:f>IF(('前提と出典'!$C$36+'前提と出典'!$C$38)=0,0,IF(B607&lt;=10,'前提と出典'!B73+'前提と出典'!C73,IF(B607&lt;=100,'前提と出典'!B74+'前提と出典'!C74,IF(B607&lt;=500,'前提と出典'!B75+'前提と出典'!C75,'前提と出典'!B76+'前提と出典'!C76))))</ns0:f>
        <ns0:v>40000</ns0:v>
      </ns0:c>
      <ns0:c r="N607" s="16">
        <ns0:f>IF(('前提と出典'!$C$37+'前提と出典'!$C$38)=0,0,IF(C607&lt;=10,'前提と出典'!D73+'前提と出典'!E73,IF(C607&lt;=100,'前提と出典'!D74+'前提と出典'!E74,IF(C607&lt;=500,'前提と出典'!D75+'前提と出典'!E75,'前提と出典'!D76+'前提と出典'!E76))))</ns0:f>
        <ns0:v>56510.9346263078</ns0:v>
      </ns0:c>
      <ns0:c r="O607" s="16">
        <ns0:f>IF('前提と出典'!$C$36+'前提と出典'!$C$38=0,0,'前提と出典'!$B$4*IF('前提と出典'!$B$20=0,MAX('前提と出典'!$B$6,D607*'前提と出典'!$B$5),'前提と出典'!$B$6+D607*'前提と出典'!$B$5))</ns0:f>
        <ns0:v>598768.8938547487</ns0:v>
      </ns0:c>
      <ns0:c r="P607" s="16">
        <ns0:f>(E607+G607)*(1-'前提と出典'!$B$7)-I607-K607-M607-O607</ns0:f>
        <ns0:v>1363572.3667197064</ns0:v>
      </ns0:c>
      <ns0:c r="Q607" s="16">
        <ns0:f>(F607+H607)*(1-'前提と出典'!$B$7)-J607-L607-N607</ns0:f>
        <ns0:v>520364.83489799</ns0:v>
      </ns0:c>
      <ns0:c r="R607" s="16">
        <ns0:f>P607-E607*'前提と出典'!$E$4</ns0:f>
        <ns0:v>1013540.8783168213</ns0:v>
      </ns0:c>
      <ns0:c r="S607" s="16">
        <ns0:f>Q607-F607*'前提と出典'!$E$4</ns0:f>
        <ns0:v>382990.1926195354</ns0:v>
      </ns0:c>
      <ns0:c r="T607" s="7">
        <ns0:f>R607+S607</ns0:f>
        <ns0:v>1396531.0709363567</ns0:v>
      </ns0:c>
      <ns0:c r="U607" s="16">
        <ns0:f>P607-E607*'前提と出典'!$E$5</ns0:f>
        <ns0:v>896863.7155158597</ns0:v>
      </ns0:c>
      <ns0:c r="V607" s="16">
        <ns0:f>Q607-F607*'前提と出典'!$E$5</ns0:f>
        <ns0:v>337198.6451933838</ns0:v>
      </ns0:c>
      <ns0:c r="W607" s="7">
        <ns0:f>U607+V607</ns0:f>
        <ns0:v>1234062.3607092435</ns0:v>
      </ns0:c>
      <ns0:c r="X607" s="16">
        <ns0:f>P607-E607*'前提と出典'!$E$6</ns0:f>
        <ns0:v>780186.552714898</ns0:v>
      </ns0:c>
      <ns0:c r="Y607" s="16">
        <ns0:f>Q607-F607*'前提と出典'!$E$6</ns0:f>
        <ns0:v>291407.0977672322</ns0:v>
      </ns0:c>
      <ns0:c r="Z607" s="7">
        <ns0:f>X607+Y607</ns0:f>
        <ns0:v>1071593.6504821302</ns0:v>
      </ns0:c>
      <ns0:c r="AA607" s="7">
        <ns0:f>IF(T607&gt;=0,A607,1001)</ns0:f>
        <ns0:v>603</ns0:v>
      </ns0:c>
      <ns0:c r="AB607" s="7">
        <ns0:f>IF(T607&lt;0,A607,0)</ns0:f>
        <ns0:v>0</ns0:v>
      </ns0:c>
      <ns0:c r="AC607" s="16">
        <ns0:f>IF(AND(OR('前提と出典'!$C$36+'前提と出典'!$C$38=0,R607&gt;=0),OR('前提と出典'!$C$37+'前提と出典'!$C$38=0,S607&gt;=0)),0,A607)</ns0:f>
        <ns0:v>0</ns0:v>
      </ns0:c>
      <ns0:c r="AD607" s="7">
        <ns0:f>IF(W607&gt;=0,A607,1001)</ns0:f>
        <ns0:v>603</ns0:v>
      </ns0:c>
      <ns0:c r="AE607" s="7">
        <ns0:f>IF(W607&lt;0,A607,0)</ns0:f>
        <ns0:v>0</ns0:v>
      </ns0:c>
      <ns0:c r="AF607" s="16">
        <ns0:f>IF(AND(OR('前提と出典'!$C$36+'前提と出典'!$C$38=0,U607&gt;=0),OR('前提と出典'!$C$37+'前提と出典'!$C$38=0,V607&gt;=0)),0,A607)</ns0:f>
        <ns0:v>0</ns0:v>
      </ns0:c>
      <ns0:c r="AG607" s="7">
        <ns0:f>IF(Z607&gt;=0,A607,1001)</ns0:f>
        <ns0:v>603</ns0:v>
      </ns0:c>
      <ns0:c r="AH607" s="4">
        <ns0:f>IF(Z607&lt;0,A607,0)</ns0:f>
        <ns0:v>0</ns0:v>
      </ns0:c>
      <ns0:c r="AI607" s="12">
        <ns0:f>IF(AND(OR('前提と出典'!$C$36+'前提と出典'!$C$38=0,X607&gt;=0),OR('前提と出典'!$C$37+'前提と出典'!$C$38=0,Y607&gt;=0)),0,A607)</ns0:f>
        <ns0:v>0</ns0:v>
      </ns0:c>
    </ns0:row>
    <ns0:row r="608" ht="24" customHeight="1">
      <ns0:c r="A608" s="4" t="n">
        <ns0:v>604</ns0:v>
      </ns0:c>
      <ns0:c r="B608" s="12">
        <ns0:f>A608*('前提と出典'!$C$36+'前提と出典'!$C$38)</ns0:f>
        <ns0:v>422.79999999999995</ns0:v>
      </ns0:c>
      <ns0:c r="C608" s="12">
        <ns0:f>A608*('前提と出典'!$C$37+'前提と出典'!$C$38)</ns0:f>
        <ns0:v>362.4</ns0:v>
      </ns0:c>
      <ns0:c r="D608" s="16">
        <ns0:f>A608*('前提と出典'!$C$36*'契約別単価'!C5+'前提と出典'!$C$37*'契約別単価'!C6+'前提と出典'!$C$38*'契約別単価'!C7)</ns0:f>
        <ns0:v>4346.100558659218</ns0:v>
      </ns0:c>
      <ns0:c r="E608" s="16">
        <ns0:f>A608*('前提と出典'!$C$36*'契約別単価'!E5+'前提と出典'!$C$37*'契約別単価'!E6+'前提と出典'!$C$38*'契約別単価'!E7)</ns0:f>
        <ns0:v>1168706.5726663491</ns0:v>
      </ns0:c>
      <ns0:c r="F608" s="16">
        <ns0:f>A608*('前提と出典'!$C$36*'契約別単価'!F5+'前提と出典'!$C$37*'契約別単価'!F6+'前提と出典'!$C$38*'契約別単価'!F7)</ns0:f>
        <ns0:v>458674.8697412193</ns0:v>
      </ns0:c>
      <ns0:c r="G608" s="16">
        <ns0:f>A608*('前提と出典'!$C$36*'契約別単価'!G5+'前提と出典'!$C$37*'契約別単価'!G6+'前提と出典'!$C$38*'契約別単価'!G7)</ns0:f>
        <ns0:v>1202263.6871508379</ns0:v>
      </ns0:c>
      <ns0:c r="H608" s="16">
        <ns0:f>A608*('前提と出典'!$C$36*'契約別単価'!H5+'前提と出典'!$C$37*'契約別単価'!H6+'前提と出典'!$C$38*'契約別単価'!H7)</ns0:f>
        <ns0:v>417245.7977036017</ns0:v>
      </ns0:c>
      <ns0:c r="I608" s="16">
        <ns0:f>A608*('前提と出典'!$C$36*'契約別単価'!I5+'前提と出典'!$C$37*'契約別単価'!I6+'前提と出典'!$C$38*'契約別単価'!I7)</ns0:f>
        <ns0:v>25486.100558659215</ns0:v>
      </ns0:c>
      <ns0:c r="J608" s="16">
        <ns0:f>A608*('前提と出典'!$C$36*'契約別単価'!J5+'前提と出典'!$C$37*'契約別単価'!J6+'前提と出典'!$C$38*'契約別単価'!J7)</ns0:f>
        <ns0:v>59366.88440102275</ns0:v>
      </ns0:c>
      <ns0:c r="K608" s="16">
        <ns0:f>A608*('前提と出典'!$C$36*'契約別単価'!K5+'前提と出典'!$C$37*'契約別単価'!K6+'前提と出典'!$C$38*'契約別単価'!K7)</ns0:f>
        <ns0:v>254467.3370577281</ns0:v>
      </ns0:c>
      <ns0:c r="L608" s="16">
        <ns0:f>A608*('前提と出典'!$C$36*'契約別単価'!L5+'前提と出典'!$C$37*'契約別単価'!L6+'前提と出典'!$C$38*'契約別単価'!L7)</ns0:f>
        <ns0:v>207188.1932567867</ns0:v>
      </ns0:c>
      <ns0:c r="M608" s="16">
        <ns0:f>IF(('前提と出典'!$C$36+'前提と出典'!$C$38)=0,0,IF(B608&lt;=10,'前提と出典'!B73+'前提と出典'!C73,IF(B608&lt;=100,'前提と出典'!B74+'前提と出典'!C74,IF(B608&lt;=500,'前提と出典'!B75+'前提と出典'!C75,'前提と出典'!B76+'前提と出典'!C76))))</ns0:f>
        <ns0:v>40000</ns0:v>
      </ns0:c>
      <ns0:c r="N608" s="16">
        <ns0:f>IF(('前提と出典'!$C$37+'前提と出典'!$C$38)=0,0,IF(C608&lt;=10,'前提と出典'!D73+'前提と出典'!E73,IF(C608&lt;=100,'前提と出典'!D74+'前提と出典'!E74,IF(C608&lt;=500,'前提と出典'!D75+'前提と出典'!E75,'前提と出典'!D76+'前提と出典'!E76))))</ns0:f>
        <ns0:v>56510.9346263078</ns0:v>
      </ns0:c>
      <ns0:c r="O608" s="16">
        <ns0:f>IF('前提と出典'!$C$36+'前提と出典'!$C$38=0,0,'前提と出典'!$B$4*IF('前提と出典'!$B$20=0,MAX('前提と出典'!$B$6,D608*'前提と出典'!$B$5),'前提と出典'!$B$6+D608*'前提と出典'!$B$5))</ns0:f>
        <ns0:v>599761.8770949722</ns0:v>
      </ns0:c>
      <ns0:c r="P608" s="16">
        <ns0:f>(E608+G608)*(1-'前提と出典'!$B$7)-I608-K608-M608-O608</ns0:f>
        <ns0:v>1365900.0157524084</ns0:v>
      </ns0:c>
      <ns0:c r="Q608" s="16">
        <ns0:f>(F608+H608)*(1-'前提と出典'!$B$7)-J608-L608-N608</ns0:f>
        <ns0:v>521321.51113269024</ns0:v>
      </ns0:c>
      <ns0:c r="R608" s="16">
        <ns0:f>P608-E608*'前提と出典'!$E$4</ns0:f>
        <ns0:v>1015288.0439525037</ns0:v>
      </ns0:c>
      <ns0:c r="S608" s="16">
        <ns0:f>Q608-F608*'前提と出典'!$E$4</ns0:f>
        <ns0:v>383719.05021032447</ns0:v>
      </ns0:c>
      <ns0:c r="T608" s="7">
        <ns0:f>R608+S608</ns0:f>
        <ns0:v>1399007.0941628283</ns0:v>
      </ns0:c>
      <ns0:c r="U608" s="16">
        <ns0:f>P608-E608*'前提と出典'!$E$5</ns0:f>
        <ns0:v>898417.3866858687</ns0:v>
      </ns0:c>
      <ns0:c r="V608" s="16">
        <ns0:f>Q608-F608*'前提と出典'!$E$5</ns0:f>
        <ns0:v>337851.56323620246</ns0:v>
      </ns0:c>
      <ns0:c r="W608" s="7">
        <ns0:f>U608+V608</ns0:f>
        <ns0:v>1236268.9499220713</ns0:v>
      </ns0:c>
      <ns0:c r="X608" s="16">
        <ns0:f>P608-E608*'前提と出典'!$E$6</ns0:f>
        <ns0:v>781546.729419234</ns0:v>
      </ns0:c>
      <ns0:c r="Y608" s="16">
        <ns0:f>Q608-F608*'前提と出典'!$E$6</ns0:f>
        <ns0:v>291984.07626208046</ns0:v>
      </ns0:c>
      <ns0:c r="Z608" s="7">
        <ns0:f>X608+Y608</ns0:f>
        <ns0:v>1073530.8056813143</ns0:v>
      </ns0:c>
      <ns0:c r="AA608" s="7">
        <ns0:f>IF(T608&gt;=0,A608,1001)</ns0:f>
        <ns0:v>604</ns0:v>
      </ns0:c>
      <ns0:c r="AB608" s="7">
        <ns0:f>IF(T608&lt;0,A608,0)</ns0:f>
        <ns0:v>0</ns0:v>
      </ns0:c>
      <ns0:c r="AC608" s="16">
        <ns0:f>IF(AND(OR('前提と出典'!$C$36+'前提と出典'!$C$38=0,R608&gt;=0),OR('前提と出典'!$C$37+'前提と出典'!$C$38=0,S608&gt;=0)),0,A608)</ns0:f>
        <ns0:v>0</ns0:v>
      </ns0:c>
      <ns0:c r="AD608" s="7">
        <ns0:f>IF(W608&gt;=0,A608,1001)</ns0:f>
        <ns0:v>604</ns0:v>
      </ns0:c>
      <ns0:c r="AE608" s="7">
        <ns0:f>IF(W608&lt;0,A608,0)</ns0:f>
        <ns0:v>0</ns0:v>
      </ns0:c>
      <ns0:c r="AF608" s="16">
        <ns0:f>IF(AND(OR('前提と出典'!$C$36+'前提と出典'!$C$38=0,U608&gt;=0),OR('前提と出典'!$C$37+'前提と出典'!$C$38=0,V608&gt;=0)),0,A608)</ns0:f>
        <ns0:v>0</ns0:v>
      </ns0:c>
      <ns0:c r="AG608" s="7">
        <ns0:f>IF(Z608&gt;=0,A608,1001)</ns0:f>
        <ns0:v>604</ns0:v>
      </ns0:c>
      <ns0:c r="AH608" s="4">
        <ns0:f>IF(Z608&lt;0,A608,0)</ns0:f>
        <ns0:v>0</ns0:v>
      </ns0:c>
      <ns0:c r="AI608" s="12">
        <ns0:f>IF(AND(OR('前提と出典'!$C$36+'前提と出典'!$C$38=0,X608&gt;=0),OR('前提と出典'!$C$37+'前提と出典'!$C$38=0,Y608&gt;=0)),0,A608)</ns0:f>
        <ns0:v>0</ns0:v>
      </ns0:c>
    </ns0:row>
    <ns0:row r="609" ht="24" customHeight="1">
      <ns0:c r="A609" s="4" t="n">
        <ns0:v>605</ns0:v>
      </ns0:c>
      <ns0:c r="B609" s="12">
        <ns0:f>A609*('前提と出典'!$C$36+'前提と出典'!$C$38)</ns0:f>
        <ns0:v>423.5</ns0:v>
      </ns0:c>
      <ns0:c r="C609" s="12">
        <ns0:f>A609*('前提と出典'!$C$37+'前提と出典'!$C$38)</ns0:f>
        <ns0:v>363</ns0:v>
      </ns0:c>
      <ns0:c r="D609" s="16">
        <ns0:f>A609*('前提と出典'!$C$36*'契約別単価'!C5+'前提と出典'!$C$37*'契約別単価'!C6+'前提と出典'!$C$38*'契約別単価'!C7)</ns0:f>
        <ns0:v>4353.296089385475</ns0:v>
      </ns0:c>
      <ns0:c r="E609" s="16">
        <ns0:f>A609*('前提と出典'!$C$36*'契約別単価'!E5+'前提と出典'!$C$37*'契約別単価'!E6+'前提と出典'!$C$38*'契約別単価'!E7)</ns0:f>
        <ns0:v>1170641.5173230814</ns0:v>
      </ns0:c>
      <ns0:c r="F609" s="16">
        <ns0:f>A609*('前提と出典'!$C$36*'契約別単価'!F5+'前提と出典'!$C$37*'契約別単価'!F6+'前提と出典'!$C$38*'契約別単価'!F7)</ns0:f>
        <ns0:v>459434.26522092335</ns0:v>
      </ns0:c>
      <ns0:c r="G609" s="16">
        <ns0:f>A609*('前提と出典'!$C$36*'契約別単価'!G5+'前提と出典'!$C$37*'契約別単価'!G6+'前提と出典'!$C$38*'契約別単価'!G7)</ns0:f>
        <ns0:v>1204254.189944134</ns0:v>
      </ns0:c>
      <ns0:c r="H609" s="16">
        <ns0:f>A609*('前提と出典'!$C$36*'契約別単価'!H5+'前提と出典'!$C$37*'契約別単価'!H6+'前提と出典'!$C$38*'契約別単価'!H7)</ns0:f>
        <ns0:v>417936.6020044355</ns0:v>
      </ns0:c>
      <ns0:c r="I609" s="16">
        <ns0:f>A609*('前提と出典'!$C$36*'契約別単価'!I5+'前提と出典'!$C$37*'契約別単価'!I6+'前提と出典'!$C$38*'契約別単価'!I7)</ns0:f>
        <ns0:v>25528.29608938547</ns0:v>
      </ns0:c>
      <ns0:c r="J609" s="16">
        <ns0:f>A609*('前提と出典'!$C$36*'契約別単価'!J5+'前提と出典'!$C$37*'契約別単価'!J6+'前提と出典'!$C$38*'契約別単価'!J7)</ns0:f>
        <ns0:v>59465.173944733055</ns0:v>
      </ns0:c>
      <ns0:c r="K609" s="16">
        <ns0:f>A609*('前提と出典'!$C$36*'契約別単価'!K5+'前提と出典'!$C$37*'契約別単価'!K6+'前提と出典'!$C$38*'契約別単価'!K7)</ns0:f>
        <ns0:v>254888.64059590315</ns0:v>
      </ns0:c>
      <ns0:c r="L609" s="16">
        <ns0:f>A609*('前提と出典'!$C$36*'契約別単価'!L5+'前提と出典'!$C$37*'契約別単価'!L6+'前提と出典'!$C$38*'契約別単価'!L7)</ns0:f>
        <ns0:v>207531.2200668145</ns0:v>
      </ns0:c>
      <ns0:c r="M609" s="16">
        <ns0:f>IF(('前提と出典'!$C$36+'前提と出典'!$C$38)=0,0,IF(B609&lt;=10,'前提と出典'!B73+'前提と出典'!C73,IF(B609&lt;=100,'前提と出典'!B74+'前提と出典'!C74,IF(B609&lt;=500,'前提と出典'!B75+'前提と出典'!C75,'前提と出典'!B76+'前提と出典'!C76))))</ns0:f>
        <ns0:v>40000</ns0:v>
      </ns0:c>
      <ns0:c r="N609" s="16">
        <ns0:f>IF(('前提と出典'!$C$37+'前提と出典'!$C$38)=0,0,IF(C609&lt;=10,'前提と出典'!D73+'前提と出典'!E73,IF(C609&lt;=100,'前提と出典'!D74+'前提と出典'!E74,IF(C609&lt;=500,'前提と出典'!D75+'前提と出典'!E75,'前提と出典'!D76+'前提と出典'!E76))))</ns0:f>
        <ns0:v>56510.9346263078</ns0:v>
      </ns0:c>
      <ns0:c r="O609" s="16">
        <ns0:f>IF('前提と出典'!$C$36+'前提と出典'!$C$38=0,0,'前提と出典'!$B$4*IF('前提と出典'!$B$20=0,MAX('前提と出典'!$B$6,D609*'前提と出典'!$B$5),'前提と出典'!$B$6+D609*'前提と出典'!$B$5))</ns0:f>
        <ns0:v>600754.8603351956</ns0:v>
      </ns0:c>
      <ns0:c r="P609" s="16">
        <ns0:f>(E609+G609)*(1-'前提と出典'!$B$7)-I609-K609-M609-O609</ns0:f>
        <ns0:v>1368227.6647851118</ns0:v>
      </ns0:c>
      <ns0:c r="Q609" s="16">
        <ns0:f>(F609+H609)*(1-'前提と出典'!$B$7)-J609-L609-N609</ns0:f>
        <ns0:v>522278.18736739055</ns0:v>
      </ns0:c>
      <ns0:c r="R609" s="16">
        <ns0:f>P609-E609*'前提と出典'!$E$4</ns0:f>
        <ns0:v>1017035.2095881872</ns0:v>
      </ns0:c>
      <ns0:c r="S609" s="16">
        <ns0:f>Q609-F609*'前提と出典'!$E$4</ns0:f>
        <ns0:v>384447.9078011136</ns0:v>
      </ns0:c>
      <ns0:c r="T609" s="7">
        <ns0:f>R609+S609</ns0:f>
        <ns0:v>1401483.1173893008</ns0:v>
      </ns0:c>
      <ns0:c r="U609" s="16">
        <ns0:f>P609-E609*'前提と出典'!$E$5</ns0:f>
        <ns0:v>899971.0578558791</ns0:v>
      </ns0:c>
      <ns0:c r="V609" s="16">
        <ns0:f>Q609-F609*'前提と出典'!$E$5</ns0:f>
        <ns0:v>338504.4812790212</ns0:v>
      </ns0:c>
      <ns0:c r="W609" s="7">
        <ns0:f>U609+V609</ns0:f>
        <ns0:v>1238475.5391349003</ns0:v>
      </ns0:c>
      <ns0:c r="X609" s="16">
        <ns0:f>P609-E609*'前提と出典'!$E$6</ns0:f>
        <ns0:v>782906.906123571</ns0:v>
      </ns0:c>
      <ns0:c r="Y609" s="16">
        <ns0:f>Q609-F609*'前提と出典'!$E$6</ns0:f>
        <ns0:v>292561.0547569289</ns0:v>
      </ns0:c>
      <ns0:c r="Z609" s="7">
        <ns0:f>X609+Y609</ns0:f>
        <ns0:v>1075467.9608804998</ns0:v>
      </ns0:c>
      <ns0:c r="AA609" s="7">
        <ns0:f>IF(T609&gt;=0,A609,1001)</ns0:f>
        <ns0:v>605</ns0:v>
      </ns0:c>
      <ns0:c r="AB609" s="7">
        <ns0:f>IF(T609&lt;0,A609,0)</ns0:f>
        <ns0:v>0</ns0:v>
      </ns0:c>
      <ns0:c r="AC609" s="16">
        <ns0:f>IF(AND(OR('前提と出典'!$C$36+'前提と出典'!$C$38=0,R609&gt;=0),OR('前提と出典'!$C$37+'前提と出典'!$C$38=0,S609&gt;=0)),0,A609)</ns0:f>
        <ns0:v>0</ns0:v>
      </ns0:c>
      <ns0:c r="AD609" s="7">
        <ns0:f>IF(W609&gt;=0,A609,1001)</ns0:f>
        <ns0:v>605</ns0:v>
      </ns0:c>
      <ns0:c r="AE609" s="7">
        <ns0:f>IF(W609&lt;0,A609,0)</ns0:f>
        <ns0:v>0</ns0:v>
      </ns0:c>
      <ns0:c r="AF609" s="16">
        <ns0:f>IF(AND(OR('前提と出典'!$C$36+'前提と出典'!$C$38=0,U609&gt;=0),OR('前提と出典'!$C$37+'前提と出典'!$C$38=0,V609&gt;=0)),0,A609)</ns0:f>
        <ns0:v>0</ns0:v>
      </ns0:c>
      <ns0:c r="AG609" s="7">
        <ns0:f>IF(Z609&gt;=0,A609,1001)</ns0:f>
        <ns0:v>605</ns0:v>
      </ns0:c>
      <ns0:c r="AH609" s="4">
        <ns0:f>IF(Z609&lt;0,A609,0)</ns0:f>
        <ns0:v>0</ns0:v>
      </ns0:c>
      <ns0:c r="AI609" s="12">
        <ns0:f>IF(AND(OR('前提と出典'!$C$36+'前提と出典'!$C$38=0,X609&gt;=0),OR('前提と出典'!$C$37+'前提と出典'!$C$38=0,Y609&gt;=0)),0,A609)</ns0:f>
        <ns0:v>0</ns0:v>
      </ns0:c>
    </ns0:row>
    <ns0:row r="610" ht="24" customHeight="1">
      <ns0:c r="A610" s="4" t="n">
        <ns0:v>606</ns0:v>
      </ns0:c>
      <ns0:c r="B610" s="12">
        <ns0:f>A610*('前提と出典'!$C$36+'前提と出典'!$C$38)</ns0:f>
        <ns0:v>424.2</ns0:v>
      </ns0:c>
      <ns0:c r="C610" s="12">
        <ns0:f>A610*('前提と出典'!$C$37+'前提と出典'!$C$38)</ns0:f>
        <ns0:v>363.59999999999997</ns0:v>
      </ns0:c>
      <ns0:c r="D610" s="16">
        <ns0:f>A610*('前提と出典'!$C$36*'契約別単価'!C5+'前提と出典'!$C$37*'契約別単価'!C6+'前提と出典'!$C$38*'契約別単価'!C7)</ns0:f>
        <ns0:v>4360.491620111732</ns0:v>
      </ns0:c>
      <ns0:c r="E610" s="16">
        <ns0:f>A610*('前提と出典'!$C$36*'契約別単価'!E5+'前提と出典'!$C$37*'契約別単価'!E6+'前提と出典'!$C$38*'契約別単価'!E7)</ns0:f>
        <ns0:v>1172576.4619798139</ns0:v>
      </ns0:c>
      <ns0:c r="F610" s="16">
        <ns0:f>A610*('前提と出典'!$C$36*'契約別単価'!F5+'前提と出典'!$C$37*'契約別単価'!F6+'前提と出典'!$C$38*'契約別単価'!F7)</ns0:f>
        <ns0:v>460193.66070062737</ns0:v>
      </ns0:c>
      <ns0:c r="G610" s="16">
        <ns0:f>A610*('前提と出典'!$C$36*'契約別単価'!G5+'前提と出典'!$C$37*'契約別単価'!G6+'前提と出典'!$C$38*'契約別単価'!G7)</ns0:f>
        <ns0:v>1206244.69273743</ns0:v>
      </ns0:c>
      <ns0:c r="H610" s="16">
        <ns0:f>A610*('前提と出典'!$C$36*'契約別単価'!H5+'前提と出典'!$C$37*'契約別単価'!H6+'前提と出典'!$C$38*'契約別単価'!H7)</ns0:f>
        <ns0:v>418627.4063052693</ns0:v>
      </ns0:c>
      <ns0:c r="I610" s="16">
        <ns0:f>A610*('前提と出典'!$C$36*'契約別単価'!I5+'前提と出典'!$C$37*'契約別単価'!I6+'前提と出典'!$C$38*'契約別単価'!I7)</ns0:f>
        <ns0:v>25570.491620111727</ns0:v>
      </ns0:c>
      <ns0:c r="J610" s="16">
        <ns0:f>A610*('前提と出典'!$C$36*'契約別単価'!J5+'前提と出典'!$C$37*'契約別単価'!J6+'前提と出典'!$C$38*'契約別単価'!J7)</ns0:f>
        <ns0:v>59563.463488443354</ns0:v>
      </ns0:c>
      <ns0:c r="K610" s="16">
        <ns0:f>A610*('前提と出典'!$C$36*'契約別単価'!K5+'前提と出典'!$C$37*'契約別単価'!K6+'前提と出典'!$C$38*'契約別単価'!K7)</ns0:f>
        <ns0:v>255309.9441340782</ns0:v>
      </ns0:c>
      <ns0:c r="L610" s="16">
        <ns0:f>A610*('前提と出典'!$C$36*'契約別単価'!L5+'前提と出典'!$C$37*'契約別単価'!L6+'前提と出典'!$C$38*'契約別単価'!L7)</ns0:f>
        <ns0:v>207874.2468768423</ns0:v>
      </ns0:c>
      <ns0:c r="M610" s="16">
        <ns0:f>IF(('前提と出典'!$C$36+'前提と出典'!$C$38)=0,0,IF(B610&lt;=10,'前提と出典'!B73+'前提と出典'!C73,IF(B610&lt;=100,'前提と出典'!B74+'前提と出典'!C74,IF(B610&lt;=500,'前提と出典'!B75+'前提と出典'!C75,'前提と出典'!B76+'前提と出典'!C76))))</ns0:f>
        <ns0:v>40000</ns0:v>
      </ns0:c>
      <ns0:c r="N610" s="16">
        <ns0:f>IF(('前提と出典'!$C$37+'前提と出典'!$C$38)=0,0,IF(C610&lt;=10,'前提と出典'!D73+'前提と出典'!E73,IF(C610&lt;=100,'前提と出典'!D74+'前提と出典'!E74,IF(C610&lt;=500,'前提と出典'!D75+'前提と出典'!E75,'前提と出典'!D76+'前提と出典'!E76))))</ns0:f>
        <ns0:v>56510.9346263078</ns0:v>
      </ns0:c>
      <ns0:c r="O610" s="16">
        <ns0:f>IF('前提と出典'!$C$36+'前提と出典'!$C$38=0,0,'前提と出典'!$B$4*IF('前提と出典'!$B$20=0,MAX('前提と出典'!$B$6,D610*'前提と出典'!$B$5),'前提と出典'!$B$6+D610*'前提と出典'!$B$5))</ns0:f>
        <ns0:v>601747.843575419</ns0:v>
      </ns0:c>
      <ns0:c r="P610" s="16">
        <ns0:f>(E610+G610)*(1-'前提と出典'!$B$7)-I610-K610-M610-O610</ns0:f>
        <ns0:v>1370555.3138178145</ns0:v>
      </ns0:c>
      <ns0:c r="Q610" s="16">
        <ns0:f>(F610+H610)*(1-'前提と出典'!$B$7)-J610-L610-N610</ns0:f>
        <ns0:v>523234.86360209086</ns0:v>
      </ns0:c>
      <ns0:c r="R610" s="16">
        <ns0:f>P610-E610*'前提と出典'!$E$4</ns0:f>
        <ns0:v>1018782.3752238703</ns0:v>
      </ns0:c>
      <ns0:c r="S610" s="16">
        <ns0:f>Q610-F610*'前提と出典'!$E$4</ns0:f>
        <ns0:v>385176.76539190265</ns0:v>
      </ns0:c>
      <ns0:c r="T610" s="7">
        <ns0:f>R610+S610</ns0:f>
        <ns0:v>1403959.140615773</ns0:v>
      </ns0:c>
      <ns0:c r="U610" s="16">
        <ns0:f>P610-E610*'前提と出典'!$E$5</ns0:f>
        <ns0:v>901524.7290258888</ns0:v>
      </ns0:c>
      <ns0:c r="V610" s="16">
        <ns0:f>Q610-F610*'前提と出典'!$E$5</ns0:f>
        <ns0:v>339157.3993218399</ns0:v>
      </ns0:c>
      <ns0:c r="W610" s="7">
        <ns0:f>U610+V610</ns0:f>
        <ns0:v>1240682.1283477289</ns0:v>
      </ns0:c>
      <ns0:c r="X610" s="16">
        <ns0:f>P610-E610*'前提と出典'!$E$6</ns0:f>
        <ns0:v>784267.0828279074</ns0:v>
      </ns0:c>
      <ns0:c r="Y610" s="16">
        <ns0:f>Q610-F610*'前提と出典'!$E$6</ns0:f>
        <ns0:v>293138.0332517772</ns0:v>
      </ns0:c>
      <ns0:c r="Z610" s="7">
        <ns0:f>X610+Y610</ns0:f>
        <ns0:v>1077405.1160796846</ns0:v>
      </ns0:c>
      <ns0:c r="AA610" s="7">
        <ns0:f>IF(T610&gt;=0,A610,1001)</ns0:f>
        <ns0:v>606</ns0:v>
      </ns0:c>
      <ns0:c r="AB610" s="7">
        <ns0:f>IF(T610&lt;0,A610,0)</ns0:f>
        <ns0:v>0</ns0:v>
      </ns0:c>
      <ns0:c r="AC610" s="16">
        <ns0:f>IF(AND(OR('前提と出典'!$C$36+'前提と出典'!$C$38=0,R610&gt;=0),OR('前提と出典'!$C$37+'前提と出典'!$C$38=0,S610&gt;=0)),0,A610)</ns0:f>
        <ns0:v>0</ns0:v>
      </ns0:c>
      <ns0:c r="AD610" s="7">
        <ns0:f>IF(W610&gt;=0,A610,1001)</ns0:f>
        <ns0:v>606</ns0:v>
      </ns0:c>
      <ns0:c r="AE610" s="7">
        <ns0:f>IF(W610&lt;0,A610,0)</ns0:f>
        <ns0:v>0</ns0:v>
      </ns0:c>
      <ns0:c r="AF610" s="16">
        <ns0:f>IF(AND(OR('前提と出典'!$C$36+'前提と出典'!$C$38=0,U610&gt;=0),OR('前提と出典'!$C$37+'前提と出典'!$C$38=0,V610&gt;=0)),0,A610)</ns0:f>
        <ns0:v>0</ns0:v>
      </ns0:c>
      <ns0:c r="AG610" s="7">
        <ns0:f>IF(Z610&gt;=0,A610,1001)</ns0:f>
        <ns0:v>606</ns0:v>
      </ns0:c>
      <ns0:c r="AH610" s="4">
        <ns0:f>IF(Z610&lt;0,A610,0)</ns0:f>
        <ns0:v>0</ns0:v>
      </ns0:c>
      <ns0:c r="AI610" s="12">
        <ns0:f>IF(AND(OR('前提と出典'!$C$36+'前提と出典'!$C$38=0,X610&gt;=0),OR('前提と出典'!$C$37+'前提と出典'!$C$38=0,Y610&gt;=0)),0,A610)</ns0:f>
        <ns0:v>0</ns0:v>
      </ns0:c>
    </ns0:row>
    <ns0:row r="611" ht="24" customHeight="1">
      <ns0:c r="A611" s="4" t="n">
        <ns0:v>607</ns0:v>
      </ns0:c>
      <ns0:c r="B611" s="12">
        <ns0:f>A611*('前提と出典'!$C$36+'前提と出典'!$C$38)</ns0:f>
        <ns0:v>424.9</ns0:v>
      </ns0:c>
      <ns0:c r="C611" s="12">
        <ns0:f>A611*('前提と出典'!$C$37+'前提と出典'!$C$38)</ns0:f>
        <ns0:v>364.2</ns0:v>
      </ns0:c>
      <ns0:c r="D611" s="16">
        <ns0:f>A611*('前提と出典'!$C$36*'契約別単価'!C5+'前提と出典'!$C$37*'契約別単価'!C6+'前提と出典'!$C$38*'契約別単価'!C7)</ns0:f>
        <ns0:v>4367.687150837989</ns0:v>
      </ns0:c>
      <ns0:c r="E611" s="16">
        <ns0:f>A611*('前提と出典'!$C$36*'契約別単価'!E5+'前提と出典'!$C$37*'契約別単価'!E6+'前提と出典'!$C$38*'契約別単価'!E7)</ns0:f>
        <ns0:v>1174511.4066365461</ns0:v>
      </ns0:c>
      <ns0:c r="F611" s="16">
        <ns0:f>A611*('前提と出典'!$C$36*'契約別単価'!F5+'前提と出典'!$C$37*'契約別単価'!F6+'前提と出典'!$C$38*'契約別単価'!F7)</ns0:f>
        <ns0:v>460953.0561803314</ns0:v>
      </ns0:c>
      <ns0:c r="G611" s="16">
        <ns0:f>A611*('前提と出典'!$C$36*'契約別単価'!G5+'前提と出典'!$C$37*'契約別単価'!G6+'前提と出典'!$C$38*'契約別単価'!G7)</ns0:f>
        <ns0:v>1208235.195530726</ns0:v>
      </ns0:c>
      <ns0:c r="H611" s="16">
        <ns0:f>A611*('前提と出典'!$C$36*'契約別単価'!H5+'前提と出典'!$C$37*'契約別単価'!H6+'前提と出典'!$C$38*'契約別単価'!H7)</ns0:f>
        <ns0:v>419318.21060610306</ns0:v>
      </ns0:c>
      <ns0:c r="I611" s="16">
        <ns0:f>A611*('前提と出典'!$C$36*'契約別単価'!I5+'前提と出典'!$C$37*'契約別単価'!I6+'前提と出典'!$C$38*'契約別単価'!I7)</ns0:f>
        <ns0:v>25612.687150837985</ns0:v>
      </ns0:c>
      <ns0:c r="J611" s="16">
        <ns0:f>A611*('前提と出典'!$C$36*'契約別単価'!J5+'前提と出典'!$C$37*'契約別単価'!J6+'前提と出典'!$C$38*'契約別単価'!J7)</ns0:f>
        <ns0:v>59661.75303215366</ns0:v>
      </ns0:c>
      <ns0:c r="K611" s="16">
        <ns0:f>A611*('前提と出典'!$C$36*'契約別単価'!K5+'前提と出典'!$C$37*'契約別単価'!K6+'前提と出典'!$C$38*'契約別単価'!K7)</ns0:f>
        <ns0:v>255731.24767225323</ns0:v>
      </ns0:c>
      <ns0:c r="L611" s="16">
        <ns0:f>A611*('前提と出典'!$C$36*'契約別単価'!L5+'前提と出典'!$C$37*'契約別単価'!L6+'前提と出典'!$C$38*'契約別単価'!L7)</ns0:f>
        <ns0:v>208217.2736868701</ns0:v>
      </ns0:c>
      <ns0:c r="M611" s="16">
        <ns0:f>IF(('前提と出典'!$C$36+'前提と出典'!$C$38)=0,0,IF(B611&lt;=10,'前提と出典'!B73+'前提と出典'!C73,IF(B611&lt;=100,'前提と出典'!B74+'前提と出典'!C74,IF(B611&lt;=500,'前提と出典'!B75+'前提と出典'!C75,'前提と出典'!B76+'前提と出典'!C76))))</ns0:f>
        <ns0:v>40000</ns0:v>
      </ns0:c>
      <ns0:c r="N611" s="16">
        <ns0:f>IF(('前提と出典'!$C$37+'前提と出典'!$C$38)=0,0,IF(C611&lt;=10,'前提と出典'!D73+'前提と出典'!E73,IF(C611&lt;=100,'前提と出典'!D74+'前提と出典'!E74,IF(C611&lt;=500,'前提と出典'!D75+'前提と出典'!E75,'前提と出典'!D76+'前提と出典'!E76))))</ns0:f>
        <ns0:v>56510.9346263078</ns0:v>
      </ns0:c>
      <ns0:c r="O611" s="16">
        <ns0:f>IF('前提と出典'!$C$36+'前提と出典'!$C$38=0,0,'前提と出典'!$B$4*IF('前提と出典'!$B$20=0,MAX('前提と出典'!$B$6,D611*'前提と出典'!$B$5),'前提と出典'!$B$6+D611*'前提と出典'!$B$5))</ns0:f>
        <ns0:v>602740.8268156425</ns0:v>
      </ns0:c>
      <ns0:c r="P611" s="16">
        <ns0:f>(E611+G611)*(1-'前提と出典'!$B$7)-I611-K611-M611-O611</ns0:f>
        <ns0:v>1372882.9628505164</ns0:v>
      </ns0:c>
      <ns0:c r="Q611" s="16">
        <ns0:f>(F611+H611)*(1-'前提と出典'!$B$7)-J611-L611-N611</ns0:f>
        <ns0:v>524191.5398367912</ns0:v>
      </ns0:c>
      <ns0:c r="R611" s="16">
        <ns0:f>P611-E611*'前提と出典'!$E$4</ns0:f>
        <ns0:v>1020529.5408595524</ns0:v>
      </ns0:c>
      <ns0:c r="S611" s="16">
        <ns0:f>Q611-F611*'前提と出典'!$E$4</ns0:f>
        <ns0:v>385905.62298269186</ns0:v>
      </ns0:c>
      <ns0:c r="T611" s="7">
        <ns0:f>R611+S611</ns0:f>
        <ns0:v>1406435.1638422443</ns0:v>
      </ns0:c>
      <ns0:c r="U611" s="16">
        <ns0:f>P611-E611*'前提と出典'!$E$5</ns0:f>
        <ns0:v>903078.4001958979</ns0:v>
      </ns0:c>
      <ns0:c r="V611" s="16">
        <ns0:f>Q611-F611*'前提と出典'!$E$5</ns0:f>
        <ns0:v>339810.3173646587</ns0:v>
      </ns0:c>
      <ns0:c r="W611" s="7">
        <ns0:f>U611+V611</ns0:f>
        <ns0:v>1242888.7175605567</ns0:v>
      </ns0:c>
      <ns0:c r="X611" s="16">
        <ns0:f>P611-E611*'前提と出典'!$E$6</ns0:f>
        <ns0:v>785627.2595322431</ns0:v>
      </ns0:c>
      <ns0:c r="Y611" s="16">
        <ns0:f>Q611-F611*'前提と出典'!$E$6</ns0:f>
        <ns0:v>293715.01174662553</ns0:v>
      </ns0:c>
      <ns0:c r="Z611" s="7">
        <ns0:f>X611+Y611</ns0:f>
        <ns0:v>1079342.2712788687</ns0:v>
      </ns0:c>
      <ns0:c r="AA611" s="7">
        <ns0:f>IF(T611&gt;=0,A611,1001)</ns0:f>
        <ns0:v>607</ns0:v>
      </ns0:c>
      <ns0:c r="AB611" s="7">
        <ns0:f>IF(T611&lt;0,A611,0)</ns0:f>
        <ns0:v>0</ns0:v>
      </ns0:c>
      <ns0:c r="AC611" s="16">
        <ns0:f>IF(AND(OR('前提と出典'!$C$36+'前提と出典'!$C$38=0,R611&gt;=0),OR('前提と出典'!$C$37+'前提と出典'!$C$38=0,S611&gt;=0)),0,A611)</ns0:f>
        <ns0:v>0</ns0:v>
      </ns0:c>
      <ns0:c r="AD611" s="7">
        <ns0:f>IF(W611&gt;=0,A611,1001)</ns0:f>
        <ns0:v>607</ns0:v>
      </ns0:c>
      <ns0:c r="AE611" s="7">
        <ns0:f>IF(W611&lt;0,A611,0)</ns0:f>
        <ns0:v>0</ns0:v>
      </ns0:c>
      <ns0:c r="AF611" s="16">
        <ns0:f>IF(AND(OR('前提と出典'!$C$36+'前提と出典'!$C$38=0,U611&gt;=0),OR('前提と出典'!$C$37+'前提と出典'!$C$38=0,V611&gt;=0)),0,A611)</ns0:f>
        <ns0:v>0</ns0:v>
      </ns0:c>
      <ns0:c r="AG611" s="7">
        <ns0:f>IF(Z611&gt;=0,A611,1001)</ns0:f>
        <ns0:v>607</ns0:v>
      </ns0:c>
      <ns0:c r="AH611" s="4">
        <ns0:f>IF(Z611&lt;0,A611,0)</ns0:f>
        <ns0:v>0</ns0:v>
      </ns0:c>
      <ns0:c r="AI611" s="12">
        <ns0:f>IF(AND(OR('前提と出典'!$C$36+'前提と出典'!$C$38=0,X611&gt;=0),OR('前提と出典'!$C$37+'前提と出典'!$C$38=0,Y611&gt;=0)),0,A611)</ns0:f>
        <ns0:v>0</ns0:v>
      </ns0:c>
    </ns0:row>
    <ns0:row r="612" ht="24" customHeight="1">
      <ns0:c r="A612" s="4" t="n">
        <ns0:v>608</ns0:v>
      </ns0:c>
      <ns0:c r="B612" s="12">
        <ns0:f>A612*('前提と出典'!$C$36+'前提と出典'!$C$38)</ns0:f>
        <ns0:v>425.59999999999997</ns0:v>
      </ns0:c>
      <ns0:c r="C612" s="12">
        <ns0:f>A612*('前提と出典'!$C$37+'前提と出典'!$C$38)</ns0:f>
        <ns0:v>364.8</ns0:v>
      </ns0:c>
      <ns0:c r="D612" s="16">
        <ns0:f>A612*('前提と出典'!$C$36*'契約別単価'!C5+'前提と出典'!$C$37*'契約別単価'!C6+'前提と出典'!$C$38*'契約別単価'!C7)</ns0:f>
        <ns0:v>4374.882681564246</ns0:v>
      </ns0:c>
      <ns0:c r="E612" s="16">
        <ns0:f>A612*('前提と出典'!$C$36*'契約別単価'!E5+'前提と出典'!$C$37*'契約別単価'!E6+'前提と出典'!$C$38*'契約別単価'!E7)</ns0:f>
        <ns0:v>1176446.3512932784</ns0:v>
      </ns0:c>
      <ns0:c r="F612" s="16">
        <ns0:f>A612*('前提と出典'!$C$36*'契約別単価'!F5+'前提と出典'!$C$37*'契約別単価'!F6+'前提と出典'!$C$38*'契約別単価'!F7)</ns0:f>
        <ns0:v>461712.45166003535</ns0:v>
      </ns0:c>
      <ns0:c r="G612" s="16">
        <ns0:f>A612*('前提と出典'!$C$36*'契約別単価'!G5+'前提と出典'!$C$37*'契約別単価'!G6+'前提と出典'!$C$38*'契約別単価'!G7)</ns0:f>
        <ns0:v>1210225.6983240223</ns0:v>
      </ns0:c>
      <ns0:c r="H612" s="16">
        <ns0:f>A612*('前提と出典'!$C$36*'契約別単価'!H5+'前提と出典'!$C$37*'契約別単価'!H6+'前提と出典'!$C$38*'契約別単価'!H7)</ns0:f>
        <ns0:v>420009.01490693685</ns0:v>
      </ns0:c>
      <ns0:c r="I612" s="16">
        <ns0:f>A612*('前提と出典'!$C$36*'契約別単価'!I5+'前提と出典'!$C$37*'契約別単価'!I6+'前提と出典'!$C$38*'契約別単価'!I7)</ns0:f>
        <ns0:v>25654.882681564242</ns0:v>
      </ns0:c>
      <ns0:c r="J612" s="16">
        <ns0:f>A612*('前提と出典'!$C$36*'契約別単価'!J5+'前提と出典'!$C$37*'契約別単価'!J6+'前提と出典'!$C$38*'契約別単価'!J7)</ns0:f>
        <ns0:v>59760.04257586396</ns0:v>
      </ns0:c>
      <ns0:c r="K612" s="16">
        <ns0:f>A612*('前提と出典'!$C$36*'契約別単価'!K5+'前提と出典'!$C$37*'契約別単価'!K6+'前提と出典'!$C$38*'契約別単価'!K7)</ns0:f>
        <ns0:v>256152.5512104283</ns0:v>
      </ns0:c>
      <ns0:c r="L612" s="16">
        <ns0:f>A612*('前提と出典'!$C$36*'契約別単価'!L5+'前提と出典'!$C$37*'契約別単価'!L6+'前提と出典'!$C$38*'契約別単価'!L7)</ns0:f>
        <ns0:v>208560.3004968979</ns0:v>
      </ns0:c>
      <ns0:c r="M612" s="16">
        <ns0:f>IF(('前提と出典'!$C$36+'前提と出典'!$C$38)=0,0,IF(B612&lt;=10,'前提と出典'!B73+'前提と出典'!C73,IF(B612&lt;=100,'前提と出典'!B74+'前提と出典'!C74,IF(B612&lt;=500,'前提と出典'!B75+'前提と出典'!C75,'前提と出典'!B76+'前提と出典'!C76))))</ns0:f>
        <ns0:v>40000</ns0:v>
      </ns0:c>
      <ns0:c r="N612" s="16">
        <ns0:f>IF(('前提と出典'!$C$37+'前提と出典'!$C$38)=0,0,IF(C612&lt;=10,'前提と出典'!D73+'前提と出典'!E73,IF(C612&lt;=100,'前提と出典'!D74+'前提と出典'!E74,IF(C612&lt;=500,'前提と出典'!D75+'前提と出典'!E75,'前提と出典'!D76+'前提と出典'!E76))))</ns0:f>
        <ns0:v>56510.9346263078</ns0:v>
      </ns0:c>
      <ns0:c r="O612" s="16">
        <ns0:f>IF('前提と出典'!$C$36+'前提と出典'!$C$38=0,0,'前提と出典'!$B$4*IF('前提と出典'!$B$20=0,MAX('前提と出典'!$B$6,D612*'前提と出典'!$B$5),'前提と出典'!$B$6+D612*'前提と出典'!$B$5))</ns0:f>
        <ns0:v>603733.810055866</ns0:v>
      </ns0:c>
      <ns0:c r="P612" s="16">
        <ns0:f>(E612+G612)*(1-'前提と出典'!$B$7)-I612-K612-M612-O612</ns0:f>
        <ns0:v>1375210.6118832196</ns0:v>
      </ns0:c>
      <ns0:c r="Q612" s="16">
        <ns0:f>(F612+H612)*(1-'前提と出典'!$B$7)-J612-L612-N612</ns0:f>
        <ns0:v>525148.2160714915</ns0:v>
      </ns0:c>
      <ns0:c r="R612" s="16">
        <ns0:f>P612-E612*'前提と出典'!$E$4</ns0:f>
        <ns0:v>1022276.706495236</ns0:v>
      </ns0:c>
      <ns0:c r="S612" s="16">
        <ns0:f>Q612-F612*'前提と出典'!$E$4</ns0:f>
        <ns0:v>386634.48057348083</ns0:v>
      </ns0:c>
      <ns0:c r="T612" s="7">
        <ns0:f>R612+S612</ns0:f>
        <ns0:v>1408911.1870687169</ns0:v>
      </ns0:c>
      <ns0:c r="U612" s="16">
        <ns0:f>P612-E612*'前提と出典'!$E$5</ns0:f>
        <ns0:v>904632.0713659081</ns0:v>
      </ns0:c>
      <ns0:c r="V612" s="16">
        <ns0:f>Q612-F612*'前提と出典'!$E$5</ns0:f>
        <ns0:v>340463.23540747736</ns0:v>
      </ns0:c>
      <ns0:c r="W612" s="7">
        <ns0:f>U612+V612</ns0:f>
        <ns0:v>1245095.3067733855</ns0:v>
      </ns0:c>
      <ns0:c r="X612" s="16">
        <ns0:f>P612-E612*'前提と出典'!$E$6</ns0:f>
        <ns0:v>786987.4362365803</ns0:v>
      </ns0:c>
      <ns0:c r="Y612" s="16">
        <ns0:f>Q612-F612*'前提と出典'!$E$6</ns0:f>
        <ns0:v>294291.9902414738</ns0:v>
      </ns0:c>
      <ns0:c r="Z612" s="7">
        <ns0:f>X612+Y612</ns0:f>
        <ns0:v>1081279.426478054</ns0:v>
      </ns0:c>
      <ns0:c r="AA612" s="7">
        <ns0:f>IF(T612&gt;=0,A612,1001)</ns0:f>
        <ns0:v>608</ns0:v>
      </ns0:c>
      <ns0:c r="AB612" s="7">
        <ns0:f>IF(T612&lt;0,A612,0)</ns0:f>
        <ns0:v>0</ns0:v>
      </ns0:c>
      <ns0:c r="AC612" s="16">
        <ns0:f>IF(AND(OR('前提と出典'!$C$36+'前提と出典'!$C$38=0,R612&gt;=0),OR('前提と出典'!$C$37+'前提と出典'!$C$38=0,S612&gt;=0)),0,A612)</ns0:f>
        <ns0:v>0</ns0:v>
      </ns0:c>
      <ns0:c r="AD612" s="7">
        <ns0:f>IF(W612&gt;=0,A612,1001)</ns0:f>
        <ns0:v>608</ns0:v>
      </ns0:c>
      <ns0:c r="AE612" s="7">
        <ns0:f>IF(W612&lt;0,A612,0)</ns0:f>
        <ns0:v>0</ns0:v>
      </ns0:c>
      <ns0:c r="AF612" s="16">
        <ns0:f>IF(AND(OR('前提と出典'!$C$36+'前提と出典'!$C$38=0,U612&gt;=0),OR('前提と出典'!$C$37+'前提と出典'!$C$38=0,V612&gt;=0)),0,A612)</ns0:f>
        <ns0:v>0</ns0:v>
      </ns0:c>
      <ns0:c r="AG612" s="7">
        <ns0:f>IF(Z612&gt;=0,A612,1001)</ns0:f>
        <ns0:v>608</ns0:v>
      </ns0:c>
      <ns0:c r="AH612" s="4">
        <ns0:f>IF(Z612&lt;0,A612,0)</ns0:f>
        <ns0:v>0</ns0:v>
      </ns0:c>
      <ns0:c r="AI612" s="12">
        <ns0:f>IF(AND(OR('前提と出典'!$C$36+'前提と出典'!$C$38=0,X612&gt;=0),OR('前提と出典'!$C$37+'前提と出典'!$C$38=0,Y612&gt;=0)),0,A612)</ns0:f>
        <ns0:v>0</ns0:v>
      </ns0:c>
    </ns0:row>
    <ns0:row r="613" ht="24" customHeight="1">
      <ns0:c r="A613" s="4" t="n">
        <ns0:v>609</ns0:v>
      </ns0:c>
      <ns0:c r="B613" s="12">
        <ns0:f>A613*('前提と出典'!$C$36+'前提と出典'!$C$38)</ns0:f>
        <ns0:v>426.29999999999995</ns0:v>
      </ns0:c>
      <ns0:c r="C613" s="12">
        <ns0:f>A613*('前提と出典'!$C$37+'前提と出典'!$C$38)</ns0:f>
        <ns0:v>365.4</ns0:v>
      </ns0:c>
      <ns0:c r="D613" s="16">
        <ns0:f>A613*('前提と出典'!$C$36*'契約別単価'!C5+'前提と出典'!$C$37*'契約別単価'!C6+'前提と出典'!$C$38*'契約別単価'!C7)</ns0:f>
        <ns0:v>4382.078212290503</ns0:v>
      </ns0:c>
      <ns0:c r="E613" s="16">
        <ns0:f>A613*('前提と出典'!$C$36*'契約別単価'!E5+'前提と出典'!$C$37*'契約別単価'!E6+'前提と出典'!$C$38*'契約別単価'!E7)</ns0:f>
        <ns0:v>1178381.295950011</ns0:v>
      </ns0:c>
      <ns0:c r="F613" s="16">
        <ns0:f>A613*('前提と出典'!$C$36*'契約別単価'!F5+'前提と出典'!$C$37*'契約別単価'!F6+'前提と出典'!$C$38*'契約別単価'!F7)</ns0:f>
        <ns0:v>462471.8471397394</ns0:v>
      </ns0:c>
      <ns0:c r="G613" s="16">
        <ns0:f>A613*('前提と出典'!$C$36*'契約別単価'!G5+'前提と出典'!$C$37*'契約別単価'!G6+'前提と出典'!$C$38*'契約別単価'!G7)</ns0:f>
        <ns0:v>1212216.2011173184</ns0:v>
      </ns0:c>
      <ns0:c r="H613" s="16">
        <ns0:f>A613*('前提と出典'!$C$36*'契約別単価'!H5+'前提と出典'!$C$37*'契約別単価'!H6+'前提と出典'!$C$38*'契約別単価'!H7)</ns0:f>
        <ns0:v>420699.81920777063</ns0:v>
      </ns0:c>
      <ns0:c r="I613" s="16">
        <ns0:f>A613*('前提と出典'!$C$36*'契約別単価'!I5+'前提と出典'!$C$37*'契約別単価'!I6+'前提と出典'!$C$38*'契約別単価'!I7)</ns0:f>
        <ns0:v>25697.0782122905</ns0:v>
      </ns0:c>
      <ns0:c r="J613" s="16">
        <ns0:f>A613*('前提と出典'!$C$36*'契約別単価'!J5+'前提と出典'!$C$37*'契約別単価'!J6+'前提と出典'!$C$38*'契約別単価'!J7)</ns0:f>
        <ns0:v>59858.33211957426</ns0:v>
      </ns0:c>
      <ns0:c r="K613" s="16">
        <ns0:f>A613*('前提と出典'!$C$36*'契約別単価'!K5+'前提と出典'!$C$37*'契約別単価'!K6+'前提と出典'!$C$38*'契約別単価'!K7)</ns0:f>
        <ns0:v>256573.85474860333</ns0:v>
      </ns0:c>
      <ns0:c r="L613" s="16">
        <ns0:f>A613*('前提と出典'!$C$36*'契約別単価'!L5+'前提と出典'!$C$37*'契約別単価'!L6+'前提と出典'!$C$38*'契約別単価'!L7)</ns0:f>
        <ns0:v>208903.32730692567</ns0:v>
      </ns0:c>
      <ns0:c r="M613" s="16">
        <ns0:f>IF(('前提と出典'!$C$36+'前提と出典'!$C$38)=0,0,IF(B613&lt;=10,'前提と出典'!B73+'前提と出典'!C73,IF(B613&lt;=100,'前提と出典'!B74+'前提と出典'!C74,IF(B613&lt;=500,'前提と出典'!B75+'前提と出典'!C75,'前提と出典'!B76+'前提と出典'!C76))))</ns0:f>
        <ns0:v>40000</ns0:v>
      </ns0:c>
      <ns0:c r="N613" s="16">
        <ns0:f>IF(('前提と出典'!$C$37+'前提と出典'!$C$38)=0,0,IF(C613&lt;=10,'前提と出典'!D73+'前提と出典'!E73,IF(C613&lt;=100,'前提と出典'!D74+'前提と出典'!E74,IF(C613&lt;=500,'前提と出典'!D75+'前提と出典'!E75,'前提と出典'!D76+'前提と出典'!E76))))</ns0:f>
        <ns0:v>56510.9346263078</ns0:v>
      </ns0:c>
      <ns0:c r="O613" s="16">
        <ns0:f>IF('前提と出典'!$C$36+'前提と出典'!$C$38=0,0,'前提と出典'!$B$4*IF('前提と出典'!$B$20=0,MAX('前提と出典'!$B$6,D613*'前提と出典'!$B$5),'前提と出典'!$B$6+D613*'前提と出典'!$B$5))</ns0:f>
        <ns0:v>604726.7932960894</ns0:v>
      </ns0:c>
      <ns0:c r="P613" s="16">
        <ns0:f>(E613+G613)*(1-'前提と出典'!$B$7)-I613-K613-M613-O613</ns0:f>
        <ns0:v>1377538.2609159222</ns0:v>
      </ns0:c>
      <ns0:c r="Q613" s="16">
        <ns0:f>(F613+H613)*(1-'前提と出典'!$B$7)-J613-L613-N613</ns0:f>
        <ns0:v>526104.8923061918</ns0:v>
      </ns0:c>
      <ns0:c r="R613" s="16">
        <ns0:f>P613-E613*'前提と出典'!$E$4</ns0:f>
        <ns0:v>1024023.872130919</ns0:v>
      </ns0:c>
      <ns0:c r="S613" s="16">
        <ns0:f>Q613-F613*'前提と出典'!$E$4</ns0:f>
        <ns0:v>387363.33816427004</ns0:v>
      </ns0:c>
      <ns0:c r="T613" s="7">
        <ns0:f>R613+S613</ns0:f>
        <ns0:v>1411387.2102951892</ns0:v>
      </ns0:c>
      <ns0:c r="U613" s="16">
        <ns0:f>P613-E613*'前提と出典'!$E$5</ns0:f>
        <ns0:v>906185.7425359178</ns0:v>
      </ns0:c>
      <ns0:c r="V613" s="16">
        <ns0:f>Q613-F613*'前提と出典'!$E$5</ns0:f>
        <ns0:v>341116.153450296</ns0:v>
      </ns0:c>
      <ns0:c r="W613" s="7">
        <ns0:f>U613+V613</ns0:f>
        <ns0:v>1247301.8959862138</ns0:v>
      </ns0:c>
      <ns0:c r="X613" s="16">
        <ns0:f>P613-E613*'前提と出典'!$E$6</ns0:f>
        <ns0:v>788347.6129409168</ns0:v>
      </ns0:c>
      <ns0:c r="Y613" s="16">
        <ns0:f>Q613-F613*'前提と出典'!$E$6</ns0:f>
        <ns0:v>294868.96873632213</ns0:v>
      </ns0:c>
      <ns0:c r="Z613" s="7">
        <ns0:f>X613+Y613</ns0:f>
        <ns0:v>1083216.581677239</ns0:v>
      </ns0:c>
      <ns0:c r="AA613" s="7">
        <ns0:f>IF(T613&gt;=0,A613,1001)</ns0:f>
        <ns0:v>609</ns0:v>
      </ns0:c>
      <ns0:c r="AB613" s="7">
        <ns0:f>IF(T613&lt;0,A613,0)</ns0:f>
        <ns0:v>0</ns0:v>
      </ns0:c>
      <ns0:c r="AC613" s="16">
        <ns0:f>IF(AND(OR('前提と出典'!$C$36+'前提と出典'!$C$38=0,R613&gt;=0),OR('前提と出典'!$C$37+'前提と出典'!$C$38=0,S613&gt;=0)),0,A613)</ns0:f>
        <ns0:v>0</ns0:v>
      </ns0:c>
      <ns0:c r="AD613" s="7">
        <ns0:f>IF(W613&gt;=0,A613,1001)</ns0:f>
        <ns0:v>609</ns0:v>
      </ns0:c>
      <ns0:c r="AE613" s="7">
        <ns0:f>IF(W613&lt;0,A613,0)</ns0:f>
        <ns0:v>0</ns0:v>
      </ns0:c>
      <ns0:c r="AF613" s="16">
        <ns0:f>IF(AND(OR('前提と出典'!$C$36+'前提と出典'!$C$38=0,U613&gt;=0),OR('前提と出典'!$C$37+'前提と出典'!$C$38=0,V613&gt;=0)),0,A613)</ns0:f>
        <ns0:v>0</ns0:v>
      </ns0:c>
      <ns0:c r="AG613" s="7">
        <ns0:f>IF(Z613&gt;=0,A613,1001)</ns0:f>
        <ns0:v>609</ns0:v>
      </ns0:c>
      <ns0:c r="AH613" s="4">
        <ns0:f>IF(Z613&lt;0,A613,0)</ns0:f>
        <ns0:v>0</ns0:v>
      </ns0:c>
      <ns0:c r="AI613" s="12">
        <ns0:f>IF(AND(OR('前提と出典'!$C$36+'前提と出典'!$C$38=0,X613&gt;=0),OR('前提と出典'!$C$37+'前提と出典'!$C$38=0,Y613&gt;=0)),0,A613)</ns0:f>
        <ns0:v>0</ns0:v>
      </ns0:c>
    </ns0:row>
    <ns0:row r="614" ht="24" customHeight="1">
      <ns0:c r="A614" s="4" t="n">
        <ns0:v>610</ns0:v>
      </ns0:c>
      <ns0:c r="B614" s="12">
        <ns0:f>A614*('前提と出典'!$C$36+'前提と出典'!$C$38)</ns0:f>
        <ns0:v>427</ns0:v>
      </ns0:c>
      <ns0:c r="C614" s="12">
        <ns0:f>A614*('前提と出典'!$C$37+'前提と出典'!$C$38)</ns0:f>
        <ns0:v>366</ns0:v>
      </ns0:c>
      <ns0:c r="D614" s="16">
        <ns0:f>A614*('前提と出典'!$C$36*'契約別単価'!C5+'前提と出典'!$C$37*'契約別単価'!C6+'前提と出典'!$C$38*'契約別単価'!C7)</ns0:f>
        <ns0:v>4389.27374301676</ns0:v>
      </ns0:c>
      <ns0:c r="E614" s="16">
        <ns0:f>A614*('前提と出典'!$C$36*'契約別単価'!E5+'前提と出典'!$C$37*'契約別単価'!E6+'前提と出典'!$C$38*'契約別単価'!E7)</ns0:f>
        <ns0:v>1180316.2406067431</ns0:v>
      </ns0:c>
      <ns0:c r="F614" s="16">
        <ns0:f>A614*('前提と出典'!$C$36*'契約別単価'!F5+'前提と出典'!$C$37*'契約別単価'!F6+'前提と出典'!$C$38*'契約別単価'!F7)</ns0:f>
        <ns0:v>463231.2426194434</ns0:v>
      </ns0:c>
      <ns0:c r="G614" s="16">
        <ns0:f>A614*('前提と出典'!$C$36*'契約別単価'!G5+'前提と出典'!$C$37*'契約別単価'!G6+'前提と出典'!$C$38*'契約別単価'!G7)</ns0:f>
        <ns0:v>1214206.7039106144</ns0:v>
      </ns0:c>
      <ns0:c r="H614" s="16">
        <ns0:f>A614*('前提と出典'!$C$36*'契約別単価'!H5+'前提と出典'!$C$37*'契約別単価'!H6+'前提と出典'!$C$38*'契約別単価'!H7)</ns0:f>
        <ns0:v>421390.6235086044</ns0:v>
      </ns0:c>
      <ns0:c r="I614" s="16">
        <ns0:f>A614*('前提と出典'!$C$36*'契約別単価'!I5+'前提と出典'!$C$37*'契約別単価'!I6+'前提と出典'!$C$38*'契約別単価'!I7)</ns0:f>
        <ns0:v>25739.273743016754</ns0:v>
      </ns0:c>
      <ns0:c r="J614" s="16">
        <ns0:f>A614*('前提と出典'!$C$36*'契約別単価'!J5+'前提と出典'!$C$37*'契約別単価'!J6+'前提と出典'!$C$38*'契約別単価'!J7)</ns0:f>
        <ns0:v>59956.62166328457</ns0:v>
      </ns0:c>
      <ns0:c r="K614" s="16">
        <ns0:f>A614*('前提と出典'!$C$36*'契約別単価'!K5+'前提と出典'!$C$37*'契約別単価'!K6+'前提と出典'!$C$38*'契約別単価'!K7)</ns0:f>
        <ns0:v>256995.15828677837</ns0:v>
      </ns0:c>
      <ns0:c r="L614" s="16">
        <ns0:f>A614*('前提と出典'!$C$36*'契約別単価'!L5+'前提と出典'!$C$37*'契約別単価'!L6+'前提と出典'!$C$38*'契約別単価'!L7)</ns0:f>
        <ns0:v>209246.35411695347</ns0:v>
      </ns0:c>
      <ns0:c r="M614" s="16">
        <ns0:f>IF(('前提と出典'!$C$36+'前提と出典'!$C$38)=0,0,IF(B614&lt;=10,'前提と出典'!B73+'前提と出典'!C73,IF(B614&lt;=100,'前提と出典'!B74+'前提と出典'!C74,IF(B614&lt;=500,'前提と出典'!B75+'前提と出典'!C75,'前提と出典'!B76+'前提と出典'!C76))))</ns0:f>
        <ns0:v>40000</ns0:v>
      </ns0:c>
      <ns0:c r="N614" s="16">
        <ns0:f>IF(('前提と出典'!$C$37+'前提と出典'!$C$38)=0,0,IF(C614&lt;=10,'前提と出典'!D73+'前提と出典'!E73,IF(C614&lt;=100,'前提と出典'!D74+'前提と出典'!E74,IF(C614&lt;=500,'前提と出典'!D75+'前提と出典'!E75,'前提と出典'!D76+'前提と出典'!E76))))</ns0:f>
        <ns0:v>56510.9346263078</ns0:v>
      </ns0:c>
      <ns0:c r="O614" s="16">
        <ns0:f>IF('前提と出典'!$C$36+'前提と出典'!$C$38=0,0,'前提と出典'!$B$4*IF('前提と出典'!$B$20=0,MAX('前提と出典'!$B$6,D614*'前提と出典'!$B$5),'前提と出典'!$B$6+D614*'前提と出典'!$B$5))</ns0:f>
        <ns0:v>605719.7765363129</ns0:v>
      </ns0:c>
      <ns0:c r="P614" s="16">
        <ns0:f>(E614+G614)*(1-'前提と出典'!$B$7)-I614-K614-M614-O614</ns0:f>
        <ns0:v>1379865.9099486247</ns0:v>
      </ns0:c>
      <ns0:c r="Q614" s="16">
        <ns0:f>(F614+H614)*(1-'前提と出典'!$B$7)-J614-L614-N614</ns0:f>
        <ns0:v>527061.5685408922</ns0:v>
      </ns0:c>
      <ns0:c r="R614" s="16">
        <ns0:f>P614-E614*'前提と出典'!$E$4</ns0:f>
        <ns0:v>1025771.0377666014</ns0:v>
      </ns0:c>
      <ns0:c r="S614" s="16">
        <ns0:f>Q614-F614*'前提と出典'!$E$4</ns0:f>
        <ns0:v>388092.19575505913</ns0:v>
      </ns0:c>
      <ns0:c r="T614" s="7">
        <ns0:f>R614+S614</ns0:f>
        <ns0:v>1413863.2335216606</ns0:v>
      </ns0:c>
      <ns0:c r="U614" s="16">
        <ns0:f>P614-E614*'前提と出典'!$E$5</ns0:f>
        <ns0:v>907739.4137059273</ns0:v>
      </ns0:c>
      <ns0:c r="V614" s="16">
        <ns0:f>Q614-F614*'前提と出典'!$E$5</ns0:f>
        <ns0:v>341769.0714931148</ns0:v>
      </ns0:c>
      <ns0:c r="W614" s="7">
        <ns0:f>U614+V614</ns0:f>
        <ns0:v>1249508.4851990421</ns0:v>
      </ns0:c>
      <ns0:c r="X614" s="16">
        <ns0:f>P614-E614*'前提と出典'!$E$6</ns0:f>
        <ns0:v>789707.7896452532</ns0:v>
      </ns0:c>
      <ns0:c r="Y614" s="16">
        <ns0:f>Q614-F614*'前提と出典'!$E$6</ns0:f>
        <ns0:v>295445.9472311705</ns0:v>
      </ns0:c>
      <ns0:c r="Z614" s="7">
        <ns0:f>X614+Y614</ns0:f>
        <ns0:v>1085153.7368764237</ns0:v>
      </ns0:c>
      <ns0:c r="AA614" s="7">
        <ns0:f>IF(T614&gt;=0,A614,1001)</ns0:f>
        <ns0:v>610</ns0:v>
      </ns0:c>
      <ns0:c r="AB614" s="7">
        <ns0:f>IF(T614&lt;0,A614,0)</ns0:f>
        <ns0:v>0</ns0:v>
      </ns0:c>
      <ns0:c r="AC614" s="16">
        <ns0:f>IF(AND(OR('前提と出典'!$C$36+'前提と出典'!$C$38=0,R614&gt;=0),OR('前提と出典'!$C$37+'前提と出典'!$C$38=0,S614&gt;=0)),0,A614)</ns0:f>
        <ns0:v>0</ns0:v>
      </ns0:c>
      <ns0:c r="AD614" s="7">
        <ns0:f>IF(W614&gt;=0,A614,1001)</ns0:f>
        <ns0:v>610</ns0:v>
      </ns0:c>
      <ns0:c r="AE614" s="7">
        <ns0:f>IF(W614&lt;0,A614,0)</ns0:f>
        <ns0:v>0</ns0:v>
      </ns0:c>
      <ns0:c r="AF614" s="16">
        <ns0:f>IF(AND(OR('前提と出典'!$C$36+'前提と出典'!$C$38=0,U614&gt;=0),OR('前提と出典'!$C$37+'前提と出典'!$C$38=0,V614&gt;=0)),0,A614)</ns0:f>
        <ns0:v>0</ns0:v>
      </ns0:c>
      <ns0:c r="AG614" s="7">
        <ns0:f>IF(Z614&gt;=0,A614,1001)</ns0:f>
        <ns0:v>610</ns0:v>
      </ns0:c>
      <ns0:c r="AH614" s="4">
        <ns0:f>IF(Z614&lt;0,A614,0)</ns0:f>
        <ns0:v>0</ns0:v>
      </ns0:c>
      <ns0:c r="AI614" s="12">
        <ns0:f>IF(AND(OR('前提と出典'!$C$36+'前提と出典'!$C$38=0,X614&gt;=0),OR('前提と出典'!$C$37+'前提と出典'!$C$38=0,Y614&gt;=0)),0,A614)</ns0:f>
        <ns0:v>0</ns0:v>
      </ns0:c>
    </ns0:row>
    <ns0:row r="615" ht="24" customHeight="1">
      <ns0:c r="A615" s="4" t="n">
        <ns0:v>611</ns0:v>
      </ns0:c>
      <ns0:c r="B615" s="12">
        <ns0:f>A615*('前提と出典'!$C$36+'前提と出典'!$C$38)</ns0:f>
        <ns0:v>427.7</ns0:v>
      </ns0:c>
      <ns0:c r="C615" s="12">
        <ns0:f>A615*('前提と出典'!$C$37+'前提と出典'!$C$38)</ns0:f>
        <ns0:v>366.59999999999997</ns0:v>
      </ns0:c>
      <ns0:c r="D615" s="16">
        <ns0:f>A615*('前提と出典'!$C$36*'契約別単価'!C5+'前提と出典'!$C$37*'契約別単価'!C6+'前提と出典'!$C$38*'契約別単価'!C7)</ns0:f>
        <ns0:v>4396.469273743017</ns0:v>
      </ns0:c>
      <ns0:c r="E615" s="16">
        <ns0:f>A615*('前提と出典'!$C$36*'契約別単価'!E5+'前提と出典'!$C$37*'契約別単価'!E6+'前提と出典'!$C$38*'契約別単価'!E7)</ns0:f>
        <ns0:v>1182251.1852634756</ns0:v>
      </ns0:c>
      <ns0:c r="F615" s="16">
        <ns0:f>A615*('前提と出典'!$C$36*'契約別単価'!F5+'前提と出典'!$C$37*'契約別単価'!F6+'前提と出典'!$C$38*'契約別単価'!F7)</ns0:f>
        <ns0:v>463990.63809914736</ns0:v>
      </ns0:c>
      <ns0:c r="G615" s="16">
        <ns0:f>A615*('前提と出典'!$C$36*'契約別単価'!G5+'前提と出典'!$C$37*'契約別単価'!G6+'前提と出典'!$C$38*'契約別単価'!G7)</ns0:f>
        <ns0:v>1216197.2067039106</ns0:v>
      </ns0:c>
      <ns0:c r="H615" s="16">
        <ns0:f>A615*('前提と出典'!$C$36*'契約別単価'!H5+'前提と出典'!$C$37*'契約別単価'!H6+'前提と出典'!$C$38*'契約別単価'!H7)</ns0:f>
        <ns0:v>422081.42780943814</ns0:v>
      </ns0:c>
      <ns0:c r="I615" s="16">
        <ns0:f>A615*('前提と出典'!$C$36*'契約別単価'!I5+'前提と出典'!$C$37*'契約別単価'!I6+'前提と出典'!$C$38*'契約別単価'!I7)</ns0:f>
        <ns0:v>25781.469273743012</ns0:v>
      </ns0:c>
      <ns0:c r="J615" s="16">
        <ns0:f>A615*('前提と出典'!$C$36*'契約別単価'!J5+'前提と出典'!$C$37*'契約別単価'!J6+'前提と出典'!$C$38*'契約別単価'!J7)</ns0:f>
        <ns0:v>60054.91120699487</ns0:v>
      </ns0:c>
      <ns0:c r="K615" s="16">
        <ns0:f>A615*('前提と出典'!$C$36*'契約別単価'!K5+'前提と出典'!$C$37*'契約別単価'!K6+'前提と出典'!$C$38*'契約別単価'!K7)</ns0:f>
        <ns0:v>257416.46182495344</ns0:v>
      </ns0:c>
      <ns0:c r="L615" s="16">
        <ns0:f>A615*('前提と出典'!$C$36*'契約別単価'!L5+'前提と出典'!$C$37*'契約別単価'!L6+'前提と出典'!$C$38*'契約別単価'!L7)</ns0:f>
        <ns0:v>209589.38092698128</ns0:v>
      </ns0:c>
      <ns0:c r="M615" s="16">
        <ns0:f>IF(('前提と出典'!$C$36+'前提と出典'!$C$38)=0,0,IF(B615&lt;=10,'前提と出典'!B73+'前提と出典'!C73,IF(B615&lt;=100,'前提と出典'!B74+'前提と出典'!C74,IF(B615&lt;=500,'前提と出典'!B75+'前提と出典'!C75,'前提と出典'!B76+'前提と出典'!C76))))</ns0:f>
        <ns0:v>40000</ns0:v>
      </ns0:c>
      <ns0:c r="N615" s="16">
        <ns0:f>IF(('前提と出典'!$C$37+'前提と出典'!$C$38)=0,0,IF(C615&lt;=10,'前提と出典'!D73+'前提と出典'!E73,IF(C615&lt;=100,'前提と出典'!D74+'前提と出典'!E74,IF(C615&lt;=500,'前提と出典'!D75+'前提と出典'!E75,'前提と出典'!D76+'前提と出典'!E76))))</ns0:f>
        <ns0:v>56510.9346263078</ns0:v>
      </ns0:c>
      <ns0:c r="O615" s="16">
        <ns0:f>IF('前提と出典'!$C$36+'前提と出典'!$C$38=0,0,'前提と出典'!$B$4*IF('前提と出典'!$B$20=0,MAX('前提と出典'!$B$6,D615*'前提と出典'!$B$5),'前提と出典'!$B$6+D615*'前提と出典'!$B$5))</ns0:f>
        <ns0:v>606712.7597765364</ns0:v>
      </ns0:c>
      <ns0:c r="P615" s="16">
        <ns0:f>(E615+G615)*(1-'前提と出典'!$B$7)-I615-K615-M615-O615</ns0:f>
        <ns0:v>1382193.5589813273</ns0:v>
      </ns0:c>
      <ns0:c r="Q615" s="16">
        <ns0:f>(F615+H615)*(1-'前提と出典'!$B$7)-J615-L615-N615</ns0:f>
        <ns0:v>528018.2447755923</ns0:v>
      </ns0:c>
      <ns0:c r="R615" s="16">
        <ns0:f>P615-E615*'前提と出典'!$E$4</ns0:f>
        <ns0:v>1027518.2034022845</ns0:v>
      </ns0:c>
      <ns0:c r="S615" s="16">
        <ns0:f>Q615-F615*'前提と出典'!$E$4</ns0:f>
        <ns0:v>388821.05334584817</ns0:v>
      </ns0:c>
      <ns0:c r="T615" s="7">
        <ns0:f>R615+S615</ns0:f>
        <ns0:v>1416339.2567481326</ns0:v>
      </ns0:c>
      <ns0:c r="U615" s="16">
        <ns0:f>P615-E615*'前提と出典'!$E$5</ns0:f>
        <ns0:v>909293.0848759371</ns0:v>
      </ns0:c>
      <ns0:c r="V615" s="16">
        <ns0:f>Q615-F615*'前提と出典'!$E$5</ns0:f>
        <ns0:v>342421.9895359334</ns0:v>
      </ns0:c>
      <ns0:c r="W615" s="7">
        <ns0:f>U615+V615</ns0:f>
        <ns0:v>1251715.0744118704</ns0:v>
      </ns0:c>
      <ns0:c r="X615" s="16">
        <ns0:f>P615-E615*'前提と出典'!$E$6</ns0:f>
        <ns0:v>791067.9663495896</ns0:v>
      </ns0:c>
      <ns0:c r="Y615" s="16">
        <ns0:f>Q615-F615*'前提と出典'!$E$6</ns0:f>
        <ns0:v>296022.9257260187</ns0:v>
      </ns0:c>
      <ns0:c r="Z615" s="7">
        <ns0:f>X615+Y615</ns0:f>
        <ns0:v>1087090.8920756083</ns0:v>
      </ns0:c>
      <ns0:c r="AA615" s="7">
        <ns0:f>IF(T615&gt;=0,A615,1001)</ns0:f>
        <ns0:v>611</ns0:v>
      </ns0:c>
      <ns0:c r="AB615" s="7">
        <ns0:f>IF(T615&lt;0,A615,0)</ns0:f>
        <ns0:v>0</ns0:v>
      </ns0:c>
      <ns0:c r="AC615" s="16">
        <ns0:f>IF(AND(OR('前提と出典'!$C$36+'前提と出典'!$C$38=0,R615&gt;=0),OR('前提と出典'!$C$37+'前提と出典'!$C$38=0,S615&gt;=0)),0,A615)</ns0:f>
        <ns0:v>0</ns0:v>
      </ns0:c>
      <ns0:c r="AD615" s="7">
        <ns0:f>IF(W615&gt;=0,A615,1001)</ns0:f>
        <ns0:v>611</ns0:v>
      </ns0:c>
      <ns0:c r="AE615" s="7">
        <ns0:f>IF(W615&lt;0,A615,0)</ns0:f>
        <ns0:v>0</ns0:v>
      </ns0:c>
      <ns0:c r="AF615" s="16">
        <ns0:f>IF(AND(OR('前提と出典'!$C$36+'前提と出典'!$C$38=0,U615&gt;=0),OR('前提と出典'!$C$37+'前提と出典'!$C$38=0,V615&gt;=0)),0,A615)</ns0:f>
        <ns0:v>0</ns0:v>
      </ns0:c>
      <ns0:c r="AG615" s="7">
        <ns0:f>IF(Z615&gt;=0,A615,1001)</ns0:f>
        <ns0:v>611</ns0:v>
      </ns0:c>
      <ns0:c r="AH615" s="4">
        <ns0:f>IF(Z615&lt;0,A615,0)</ns0:f>
        <ns0:v>0</ns0:v>
      </ns0:c>
      <ns0:c r="AI615" s="12">
        <ns0:f>IF(AND(OR('前提と出典'!$C$36+'前提と出典'!$C$38=0,X615&gt;=0),OR('前提と出典'!$C$37+'前提と出典'!$C$38=0,Y615&gt;=0)),0,A615)</ns0:f>
        <ns0:v>0</ns0:v>
      </ns0:c>
    </ns0:row>
    <ns0:row r="616" ht="24" customHeight="1">
      <ns0:c r="A616" s="4" t="n">
        <ns0:v>612</ns0:v>
      </ns0:c>
      <ns0:c r="B616" s="12">
        <ns0:f>A616*('前提と出典'!$C$36+'前提と出典'!$C$38)</ns0:f>
        <ns0:v>428.4</ns0:v>
      </ns0:c>
      <ns0:c r="C616" s="12">
        <ns0:f>A616*('前提と出典'!$C$37+'前提と出典'!$C$38)</ns0:f>
        <ns0:v>367.2</ns0:v>
      </ns0:c>
      <ns0:c r="D616" s="16">
        <ns0:f>A616*('前提と出典'!$C$36*'契約別単価'!C5+'前提と出典'!$C$37*'契約別単価'!C6+'前提と出典'!$C$38*'契約別単価'!C7)</ns0:f>
        <ns0:v>4403.664804469274</ns0:v>
      </ns0:c>
      <ns0:c r="E616" s="16">
        <ns0:f>A616*('前提と出典'!$C$36*'契約別単価'!E5+'前提と出典'!$C$37*'契約別単価'!E6+'前提と出典'!$C$38*'契約別単価'!E7)</ns0:f>
        <ns0:v>1184186.129920208</ns0:v>
      </ns0:c>
      <ns0:c r="F616" s="16">
        <ns0:f>A616*('前提と出典'!$C$36*'契約別単価'!F5+'前提と出典'!$C$37*'契約別単価'!F6+'前提と出典'!$C$38*'契約別単価'!F7)</ns0:f>
        <ns0:v>464750.0335788514</ns0:v>
      </ns0:c>
      <ns0:c r="G616" s="16">
        <ns0:f>A616*('前提と出典'!$C$36*'契約別単価'!G5+'前提と出典'!$C$37*'契約別単価'!G6+'前提と出典'!$C$38*'契約別単価'!G7)</ns0:f>
        <ns0:v>1218187.7094972066</ns0:v>
      </ns0:c>
      <ns0:c r="H616" s="16">
        <ns0:f>A616*('前提と出典'!$C$36*'契約別単価'!H5+'前提と出典'!$C$37*'契約別単価'!H6+'前提と出典'!$C$38*'契約別単価'!H7)</ns0:f>
        <ns0:v>422772.2321102719</ns0:v>
      </ns0:c>
      <ns0:c r="I616" s="16">
        <ns0:f>A616*('前提と出典'!$C$36*'契約別単価'!I5+'前提と出典'!$C$37*'契約別単価'!I6+'前提と出典'!$C$38*'契約別単価'!I7)</ns0:f>
        <ns0:v>25823.66480446927</ns0:v>
      </ns0:c>
      <ns0:c r="J616" s="16">
        <ns0:f>A616*('前提と出典'!$C$36*'契約別単価'!J5+'前提と出典'!$C$37*'契約別単価'!J6+'前提と出典'!$C$38*'契約別単価'!J7)</ns0:f>
        <ns0:v>60153.20075070517</ns0:v>
      </ns0:c>
      <ns0:c r="K616" s="16">
        <ns0:f>A616*('前提と出典'!$C$36*'契約別単価'!K5+'前提と出典'!$C$37*'契約別単価'!K6+'前提と出典'!$C$38*'契約別単価'!K7)</ns0:f>
        <ns0:v>257837.76536312848</ns0:v>
      </ns0:c>
      <ns0:c r="L616" s="16">
        <ns0:f>A616*('前提と出典'!$C$36*'契約別単価'!L5+'前提と出典'!$C$37*'契約別単価'!L6+'前提と出典'!$C$38*'契約別単価'!L7)</ns0:f>
        <ns0:v>209932.40773700905</ns0:v>
      </ns0:c>
      <ns0:c r="M616" s="16">
        <ns0:f>IF(('前提と出典'!$C$36+'前提と出典'!$C$38)=0,0,IF(B616&lt;=10,'前提と出典'!B73+'前提と出典'!C73,IF(B616&lt;=100,'前提と出典'!B74+'前提と出典'!C74,IF(B616&lt;=500,'前提と出典'!B75+'前提と出典'!C75,'前提と出典'!B76+'前提と出典'!C76))))</ns0:f>
        <ns0:v>40000</ns0:v>
      </ns0:c>
      <ns0:c r="N616" s="16">
        <ns0:f>IF(('前提と出典'!$C$37+'前提と出典'!$C$38)=0,0,IF(C616&lt;=10,'前提と出典'!D73+'前提と出典'!E73,IF(C616&lt;=100,'前提と出典'!D74+'前提と出典'!E74,IF(C616&lt;=500,'前提と出典'!D75+'前提と出典'!E75,'前提と出典'!D76+'前提と出典'!E76))))</ns0:f>
        <ns0:v>56510.9346263078</ns0:v>
      </ns0:c>
      <ns0:c r="O616" s="16">
        <ns0:f>IF('前提と出典'!$C$36+'前提と出典'!$C$38=0,0,'前提と出典'!$B$4*IF('前提と出典'!$B$20=0,MAX('前提と出典'!$B$6,D616*'前提と出典'!$B$5),'前提と出典'!$B$6+D616*'前提と出典'!$B$5))</ns0:f>
        <ns0:v>607705.7430167599</ns0:v>
      </ns0:c>
      <ns0:c r="P616" s="16">
        <ns0:f>(E616+G616)*(1-'前提と出典'!$B$7)-I616-K616-M616-O616</ns0:f>
        <ns0:v>1384521.2080140302</ns0:v>
      </ns0:c>
      <ns0:c r="Q616" s="16">
        <ns0:f>(F616+H616)*(1-'前提と出典'!$B$7)-J616-L616-N616</ns0:f>
        <ns0:v>528974.9210102928</ns0:v>
      </ns0:c>
      <ns0:c r="R616" s="16">
        <ns0:f>P616-E616*'前提と出典'!$E$4</ns0:f>
        <ns0:v>1029265.3690379679</ns0:v>
      </ns0:c>
      <ns0:c r="S616" s="16">
        <ns0:f>Q616-F616*'前提と出典'!$E$4</ns0:f>
        <ns0:v>389549.9109366374</ns0:v>
      </ns0:c>
      <ns0:c r="T616" s="7">
        <ns0:f>R616+S616</ns0:f>
        <ns0:v>1418815.2799746052</ns0:v>
      </ns0:c>
      <ns0:c r="U616" s="16">
        <ns0:f>P616-E616*'前提と出典'!$E$5</ns0:f>
        <ns0:v>910846.7560459471</ns0:v>
      </ns0:c>
      <ns0:c r="V616" s="16">
        <ns0:f>Q616-F616*'前提と出典'!$E$5</ns0:f>
        <ns0:v>343074.9075787522</ns0:v>
      </ns0:c>
      <ns0:c r="W616" s="7">
        <ns0:f>U616+V616</ns0:f>
        <ns0:v>1253921.6636246992</ns0:v>
      </ns0:c>
      <ns0:c r="X616" s="16">
        <ns0:f>P616-E616*'前提と出典'!$E$6</ns0:f>
        <ns0:v>792428.1430539263</ns0:v>
      </ns0:c>
      <ns0:c r="Y616" s="16">
        <ns0:f>Q616-F616*'前提と出典'!$E$6</ns0:f>
        <ns0:v>296599.904220867</ns0:v>
      </ns0:c>
      <ns0:c r="Z616" s="7">
        <ns0:f>X616+Y616</ns0:f>
        <ns0:v>1089028.0472747933</ns0:v>
      </ns0:c>
      <ns0:c r="AA616" s="7">
        <ns0:f>IF(T616&gt;=0,A616,1001)</ns0:f>
        <ns0:v>612</ns0:v>
      </ns0:c>
      <ns0:c r="AB616" s="7">
        <ns0:f>IF(T616&lt;0,A616,0)</ns0:f>
        <ns0:v>0</ns0:v>
      </ns0:c>
      <ns0:c r="AC616" s="16">
        <ns0:f>IF(AND(OR('前提と出典'!$C$36+'前提と出典'!$C$38=0,R616&gt;=0),OR('前提と出典'!$C$37+'前提と出典'!$C$38=0,S616&gt;=0)),0,A616)</ns0:f>
        <ns0:v>0</ns0:v>
      </ns0:c>
      <ns0:c r="AD616" s="7">
        <ns0:f>IF(W616&gt;=0,A616,1001)</ns0:f>
        <ns0:v>612</ns0:v>
      </ns0:c>
      <ns0:c r="AE616" s="7">
        <ns0:f>IF(W616&lt;0,A616,0)</ns0:f>
        <ns0:v>0</ns0:v>
      </ns0:c>
      <ns0:c r="AF616" s="16">
        <ns0:f>IF(AND(OR('前提と出典'!$C$36+'前提と出典'!$C$38=0,U616&gt;=0),OR('前提と出典'!$C$37+'前提と出典'!$C$38=0,V616&gt;=0)),0,A616)</ns0:f>
        <ns0:v>0</ns0:v>
      </ns0:c>
      <ns0:c r="AG616" s="7">
        <ns0:f>IF(Z616&gt;=0,A616,1001)</ns0:f>
        <ns0:v>612</ns0:v>
      </ns0:c>
      <ns0:c r="AH616" s="4">
        <ns0:f>IF(Z616&lt;0,A616,0)</ns0:f>
        <ns0:v>0</ns0:v>
      </ns0:c>
      <ns0:c r="AI616" s="12">
        <ns0:f>IF(AND(OR('前提と出典'!$C$36+'前提と出典'!$C$38=0,X616&gt;=0),OR('前提と出典'!$C$37+'前提と出典'!$C$38=0,Y616&gt;=0)),0,A616)</ns0:f>
        <ns0:v>0</ns0:v>
      </ns0:c>
    </ns0:row>
    <ns0:row r="617" ht="24" customHeight="1">
      <ns0:c r="A617" s="4" t="n">
        <ns0:v>613</ns0:v>
      </ns0:c>
      <ns0:c r="B617" s="12">
        <ns0:f>A617*('前提と出典'!$C$36+'前提と出典'!$C$38)</ns0:f>
        <ns0:v>429.09999999999997</ns0:v>
      </ns0:c>
      <ns0:c r="C617" s="12">
        <ns0:f>A617*('前提と出典'!$C$37+'前提と出典'!$C$38)</ns0:f>
        <ns0:v>367.8</ns0:v>
      </ns0:c>
      <ns0:c r="D617" s="16">
        <ns0:f>A617*('前提と出典'!$C$36*'契約別単価'!C5+'前提と出典'!$C$37*'契約別単価'!C6+'前提と出典'!$C$38*'契約別単価'!C7)</ns0:f>
        <ns0:v>4410.860335195531</ns0:v>
      </ns0:c>
      <ns0:c r="E617" s="16">
        <ns0:f>A617*('前提と出典'!$C$36*'契約別単価'!E5+'前提と出典'!$C$37*'契約別単価'!E6+'前提と出典'!$C$38*'契約別単価'!E7)</ns0:f>
        <ns0:v>1186121.0745769404</ns0:v>
      </ns0:c>
      <ns0:c r="F617" s="16">
        <ns0:f>A617*('前提と出典'!$C$36*'契約別単価'!F5+'前提と出典'!$C$37*'契約別単価'!F6+'前提と出典'!$C$38*'契約別単価'!F7)</ns0:f>
        <ns0:v>465509.4290585554</ns0:v>
      </ns0:c>
      <ns0:c r="G617" s="16">
        <ns0:f>A617*('前提と出典'!$C$36*'契約別単価'!G5+'前提と出典'!$C$37*'契約別単価'!G6+'前提と出典'!$C$38*'契約別単価'!G7)</ns0:f>
        <ns0:v>1220178.2122905029</ns0:v>
      </ns0:c>
      <ns0:c r="H617" s="16">
        <ns0:f>A617*('前提と出典'!$C$36*'契約別単価'!H5+'前提と出典'!$C$37*'契約別単価'!H6+'前提と出典'!$C$38*'契約別単価'!H7)</ns0:f>
        <ns0:v>423463.0364111057</ns0:v>
      </ns0:c>
      <ns0:c r="I617" s="16">
        <ns0:f>A617*('前提と出典'!$C$36*'契約別単価'!I5+'前提と出典'!$C$37*'契約別単価'!I6+'前提と出典'!$C$38*'契約別単価'!I7)</ns0:f>
        <ns0:v>25865.860335195528</ns0:v>
      </ns0:c>
      <ns0:c r="J617" s="16">
        <ns0:f>A617*('前提と出典'!$C$36*'契約別単価'!J5+'前提と出典'!$C$37*'契約別単価'!J6+'前提と出典'!$C$38*'契約別単価'!J7)</ns0:f>
        <ns0:v>60251.490294415475</ns0:v>
      </ns0:c>
      <ns0:c r="K617" s="16">
        <ns0:f>A617*('前提と出典'!$C$36*'契約別単価'!K5+'前提と出典'!$C$37*'契約別単価'!K6+'前提と出典'!$C$38*'契約別単価'!K7)</ns0:f>
        <ns0:v>258259.06890130352</ns0:v>
      </ns0:c>
      <ns0:c r="L617" s="16">
        <ns0:f>A617*('前提と出典'!$C$36*'契約別単価'!L5+'前提と出典'!$C$37*'契約別単価'!L6+'前提と出典'!$C$38*'契約別単価'!L7)</ns0:f>
        <ns0:v>210275.43454703686</ns0:v>
      </ns0:c>
      <ns0:c r="M617" s="16">
        <ns0:f>IF(('前提と出典'!$C$36+'前提と出典'!$C$38)=0,0,IF(B617&lt;=10,'前提と出典'!B73+'前提と出典'!C73,IF(B617&lt;=100,'前提と出典'!B74+'前提と出典'!C74,IF(B617&lt;=500,'前提と出典'!B75+'前提と出典'!C75,'前提と出典'!B76+'前提と出典'!C76))))</ns0:f>
        <ns0:v>40000</ns0:v>
      </ns0:c>
      <ns0:c r="N617" s="16">
        <ns0:f>IF(('前提と出典'!$C$37+'前提と出典'!$C$38)=0,0,IF(C617&lt;=10,'前提と出典'!D73+'前提と出典'!E73,IF(C617&lt;=100,'前提と出典'!D74+'前提と出典'!E74,IF(C617&lt;=500,'前提と出典'!D75+'前提と出典'!E75,'前提と出典'!D76+'前提と出典'!E76))))</ns0:f>
        <ns0:v>56510.9346263078</ns0:v>
      </ns0:c>
      <ns0:c r="O617" s="16">
        <ns0:f>IF('前提と出典'!$C$36+'前提と出典'!$C$38=0,0,'前提と出典'!$B$4*IF('前提と出典'!$B$20=0,MAX('前提と出典'!$B$6,D617*'前提と出典'!$B$5),'前提と出典'!$B$6+D617*'前提と出典'!$B$5))</ns0:f>
        <ns0:v>608698.7262569832</ns0:v>
      </ns0:c>
      <ns0:c r="P617" s="16">
        <ns0:f>(E617+G617)*(1-'前提と出典'!$B$7)-I617-K617-M617-O617</ns0:f>
        <ns0:v>1386848.8570467336</ns0:v>
      </ns0:c>
      <ns0:c r="Q617" s="16">
        <ns0:f>(F617+H617)*(1-'前提と出典'!$B$7)-J617-L617-N617</ns0:f>
        <ns0:v>529931.5972449932</ns0:v>
      </ns0:c>
      <ns0:c r="R617" s="16">
        <ns0:f>P617-E617*'前提と出典'!$E$4</ns0:f>
        <ns0:v>1031012.5346736511</ns0:v>
      </ns0:c>
      <ns0:c r="S617" s="16">
        <ns0:f>Q617-F617*'前提と出典'!$E$4</ns0:f>
        <ns0:v>390278.76852742664</ns0:v>
      </ns0:c>
      <ns0:c r="T617" s="7">
        <ns0:f>R617+S617</ns0:f>
        <ns0:v>1421291.3032010777</ns0:v>
      </ns0:c>
      <ns0:c r="U617" s="16">
        <ns0:f>P617-E617*'前提と出典'!$E$5</ns0:f>
        <ns0:v>912400.4272159574</ns0:v>
      </ns0:c>
      <ns0:c r="V617" s="16">
        <ns0:f>Q617-F617*'前提と出典'!$E$5</ns0:f>
        <ns0:v>343727.82562157104</ns0:v>
      </ns0:c>
      <ns0:c r="W617" s="7">
        <ns0:f>U617+V617</ns0:f>
        <ns0:v>1256128.2528375285</ns0:v>
      </ns0:c>
      <ns0:c r="X617" s="16">
        <ns0:f>P617-E617*'前提と出典'!$E$6</ns0:f>
        <ns0:v>793788.3197582633</ns0:v>
      </ns0:c>
      <ns0:c r="Y617" s="16">
        <ns0:f>Q617-F617*'前提と出典'!$E$6</ns0:f>
        <ns0:v>297176.88271571544</ns0:v>
      </ns0:c>
      <ns0:c r="Z617" s="7">
        <ns0:f>X617+Y617</ns0:f>
        <ns0:v>1090965.2024739787</ns0:v>
      </ns0:c>
      <ns0:c r="AA617" s="7">
        <ns0:f>IF(T617&gt;=0,A617,1001)</ns0:f>
        <ns0:v>613</ns0:v>
      </ns0:c>
      <ns0:c r="AB617" s="7">
        <ns0:f>IF(T617&lt;0,A617,0)</ns0:f>
        <ns0:v>0</ns0:v>
      </ns0:c>
      <ns0:c r="AC617" s="16">
        <ns0:f>IF(AND(OR('前提と出典'!$C$36+'前提と出典'!$C$38=0,R617&gt;=0),OR('前提と出典'!$C$37+'前提と出典'!$C$38=0,S617&gt;=0)),0,A617)</ns0:f>
        <ns0:v>0</ns0:v>
      </ns0:c>
      <ns0:c r="AD617" s="7">
        <ns0:f>IF(W617&gt;=0,A617,1001)</ns0:f>
        <ns0:v>613</ns0:v>
      </ns0:c>
      <ns0:c r="AE617" s="7">
        <ns0:f>IF(W617&lt;0,A617,0)</ns0:f>
        <ns0:v>0</ns0:v>
      </ns0:c>
      <ns0:c r="AF617" s="16">
        <ns0:f>IF(AND(OR('前提と出典'!$C$36+'前提と出典'!$C$38=0,U617&gt;=0),OR('前提と出典'!$C$37+'前提と出典'!$C$38=0,V617&gt;=0)),0,A617)</ns0:f>
        <ns0:v>0</ns0:v>
      </ns0:c>
      <ns0:c r="AG617" s="7">
        <ns0:f>IF(Z617&gt;=0,A617,1001)</ns0:f>
        <ns0:v>613</ns0:v>
      </ns0:c>
      <ns0:c r="AH617" s="4">
        <ns0:f>IF(Z617&lt;0,A617,0)</ns0:f>
        <ns0:v>0</ns0:v>
      </ns0:c>
      <ns0:c r="AI617" s="12">
        <ns0:f>IF(AND(OR('前提と出典'!$C$36+'前提と出典'!$C$38=0,X617&gt;=0),OR('前提と出典'!$C$37+'前提と出典'!$C$38=0,Y617&gt;=0)),0,A617)</ns0:f>
        <ns0:v>0</ns0:v>
      </ns0:c>
    </ns0:row>
    <ns0:row r="618" ht="24" customHeight="1">
      <ns0:c r="A618" s="4" t="n">
        <ns0:v>614</ns0:v>
      </ns0:c>
      <ns0:c r="B618" s="12">
        <ns0:f>A618*('前提と出典'!$C$36+'前提と出典'!$C$38)</ns0:f>
        <ns0:v>429.79999999999995</ns0:v>
      </ns0:c>
      <ns0:c r="C618" s="12">
        <ns0:f>A618*('前提と出典'!$C$37+'前提と出典'!$C$38)</ns0:f>
        <ns0:v>368.4</ns0:v>
      </ns0:c>
      <ns0:c r="D618" s="16">
        <ns0:f>A618*('前提と出典'!$C$36*'契約別単価'!C5+'前提と出典'!$C$37*'契約別単価'!C6+'前提と出典'!$C$38*'契約別単価'!C7)</ns0:f>
        <ns0:v>4418.055865921788</ns0:v>
      </ns0:c>
      <ns0:c r="E618" s="16">
        <ns0:f>A618*('前提と出典'!$C$36*'契約別単価'!E5+'前提と出典'!$C$37*'契約別単価'!E6+'前提と出典'!$C$38*'契約別単価'!E7)</ns0:f>
        <ns0:v>1188056.0192336726</ns0:v>
      </ns0:c>
      <ns0:c r="F618" s="16">
        <ns0:f>A618*('前提と出典'!$C$36*'契約別単価'!F5+'前提と出典'!$C$37*'契約別単価'!F6+'前提と出典'!$C$38*'契約別単価'!F7)</ns0:f>
        <ns0:v>466268.8245382594</ns0:v>
      </ns0:c>
      <ns0:c r="G618" s="16">
        <ns0:f>A618*('前提と出典'!$C$36*'契約別単価'!G5+'前提と出典'!$C$37*'契約別単価'!G6+'前提と出典'!$C$38*'契約別単価'!G7)</ns0:f>
        <ns0:v>1222168.7150837989</ns0:v>
      </ns0:c>
      <ns0:c r="H618" s="16">
        <ns0:f>A618*('前提と出典'!$C$36*'契約別単価'!H5+'前提と出典'!$C$37*'契約別単価'!H6+'前提と出典'!$C$38*'契約別単価'!H7)</ns0:f>
        <ns0:v>424153.8407119395</ns0:v>
      </ns0:c>
      <ns0:c r="I618" s="16">
        <ns0:f>A618*('前提と出典'!$C$36*'契約別単価'!I5+'前提と出典'!$C$37*'契約別単価'!I6+'前提と出典'!$C$38*'契約別単価'!I7)</ns0:f>
        <ns0:v>25908.055865921782</ns0:v>
      </ns0:c>
      <ns0:c r="J618" s="16">
        <ns0:f>A618*('前提と出典'!$C$36*'契約別単価'!J5+'前提と出典'!$C$37*'契約別単価'!J6+'前提と出典'!$C$38*'契約別単価'!J7)</ns0:f>
        <ns0:v>60349.779838125774</ns0:v>
      </ns0:c>
      <ns0:c r="K618" s="16">
        <ns0:f>A618*('前提と出典'!$C$36*'契約別単価'!K5+'前提と出典'!$C$37*'契約別単価'!K6+'前提と出典'!$C$38*'契約別単価'!K7)</ns0:f>
        <ns0:v>258680.37243947855</ns0:v>
      </ns0:c>
      <ns0:c r="L618" s="16">
        <ns0:f>A618*('前提と出典'!$C$36*'契約別単価'!L5+'前提と出典'!$C$37*'契約別単価'!L6+'前提と出典'!$C$38*'契約別単価'!L7)</ns0:f>
        <ns0:v>210618.46135706463</ns0:v>
      </ns0:c>
      <ns0:c r="M618" s="16">
        <ns0:f>IF(('前提と出典'!$C$36+'前提と出典'!$C$38)=0,0,IF(B618&lt;=10,'前提と出典'!B73+'前提と出典'!C73,IF(B618&lt;=100,'前提と出典'!B74+'前提と出典'!C74,IF(B618&lt;=500,'前提と出典'!B75+'前提と出典'!C75,'前提と出典'!B76+'前提と出典'!C76))))</ns0:f>
        <ns0:v>40000</ns0:v>
      </ns0:c>
      <ns0:c r="N618" s="16">
        <ns0:f>IF(('前提と出典'!$C$37+'前提と出典'!$C$38)=0,0,IF(C618&lt;=10,'前提と出典'!D73+'前提と出典'!E73,IF(C618&lt;=100,'前提と出典'!D74+'前提と出典'!E74,IF(C618&lt;=500,'前提と出典'!D75+'前提と出典'!E75,'前提と出典'!D76+'前提と出典'!E76))))</ns0:f>
        <ns0:v>56510.9346263078</ns0:v>
      </ns0:c>
      <ns0:c r="O618" s="16">
        <ns0:f>IF('前提と出典'!$C$36+'前提と出典'!$C$38=0,0,'前提と出典'!$B$4*IF('前提と出典'!$B$20=0,MAX('前提と出典'!$B$6,D618*'前提と出典'!$B$5),'前提と出典'!$B$6+D618*'前提と出典'!$B$5))</ns0:f>
        <ns0:v>609691.7094972067</ns0:v>
      </ns0:c>
      <ns0:c r="P618" s="16">
        <ns0:f>(E618+G618)*(1-'前提と出典'!$B$7)-I618-K618-M618-O618</ns0:f>
        <ns0:v>1389176.5060794353</ns0:v>
      </ns0:c>
      <ns0:c r="Q618" s="16">
        <ns0:f>(F618+H618)*(1-'前提と出典'!$B$7)-J618-L618-N618</ns0:f>
        <ns0:v>530888.2734796935</ns0:v>
      </ns0:c>
      <ns0:c r="R618" s="16">
        <ns0:f>P618-E618*'前提と出典'!$E$4</ns0:f>
        <ns0:v>1032759.7003093335</ns0:v>
      </ns0:c>
      <ns0:c r="S618" s="16">
        <ns0:f>Q618-F618*'前提と出典'!$E$4</ns0:f>
        <ns0:v>391007.6261182156</ns0:v>
      </ns0:c>
      <ns0:c r="T618" s="7">
        <ns0:f>R618+S618</ns0:f>
        <ns0:v>1423767.3264275491</ns0:v>
      </ns0:c>
      <ns0:c r="U618" s="16">
        <ns0:f>P618-E618*'前提と出典'!$E$5</ns0:f>
        <ns0:v>913954.0983859663</ns0:v>
      </ns0:c>
      <ns0:c r="V618" s="16">
        <ns0:f>Q618-F618*'前提と出典'!$E$5</ns0:f>
        <ns0:v>344380.7436643897</ns0:v>
      </ns0:c>
      <ns0:c r="W618" s="7">
        <ns0:f>U618+V618</ns0:f>
        <ns0:v>1258334.8420503559</ns0:v>
      </ns0:c>
      <ns0:c r="X618" s="16">
        <ns0:f>P618-E618*'前提と出典'!$E$6</ns0:f>
        <ns0:v>795148.4964625988</ns0:v>
      </ns0:c>
      <ns0:c r="Y618" s="16">
        <ns0:f>Q618-F618*'前提と出典'!$E$6</ns0:f>
        <ns0:v>297753.8612105638</ns0:v>
      </ns0:c>
      <ns0:c r="Z618" s="7">
        <ns0:f>X618+Y618</ns0:f>
        <ns0:v>1092902.3576731626</ns0:v>
      </ns0:c>
      <ns0:c r="AA618" s="7">
        <ns0:f>IF(T618&gt;=0,A618,1001)</ns0:f>
        <ns0:v>614</ns0:v>
      </ns0:c>
      <ns0:c r="AB618" s="7">
        <ns0:f>IF(T618&lt;0,A618,0)</ns0:f>
        <ns0:v>0</ns0:v>
      </ns0:c>
      <ns0:c r="AC618" s="16">
        <ns0:f>IF(AND(OR('前提と出典'!$C$36+'前提と出典'!$C$38=0,R618&gt;=0),OR('前提と出典'!$C$37+'前提と出典'!$C$38=0,S618&gt;=0)),0,A618)</ns0:f>
        <ns0:v>0</ns0:v>
      </ns0:c>
      <ns0:c r="AD618" s="7">
        <ns0:f>IF(W618&gt;=0,A618,1001)</ns0:f>
        <ns0:v>614</ns0:v>
      </ns0:c>
      <ns0:c r="AE618" s="7">
        <ns0:f>IF(W618&lt;0,A618,0)</ns0:f>
        <ns0:v>0</ns0:v>
      </ns0:c>
      <ns0:c r="AF618" s="16">
        <ns0:f>IF(AND(OR('前提と出典'!$C$36+'前提と出典'!$C$38=0,U618&gt;=0),OR('前提と出典'!$C$37+'前提と出典'!$C$38=0,V618&gt;=0)),0,A618)</ns0:f>
        <ns0:v>0</ns0:v>
      </ns0:c>
      <ns0:c r="AG618" s="7">
        <ns0:f>IF(Z618&gt;=0,A618,1001)</ns0:f>
        <ns0:v>614</ns0:v>
      </ns0:c>
      <ns0:c r="AH618" s="4">
        <ns0:f>IF(Z618&lt;0,A618,0)</ns0:f>
        <ns0:v>0</ns0:v>
      </ns0:c>
      <ns0:c r="AI618" s="12">
        <ns0:f>IF(AND(OR('前提と出典'!$C$36+'前提と出典'!$C$38=0,X618&gt;=0),OR('前提と出典'!$C$37+'前提と出典'!$C$38=0,Y618&gt;=0)),0,A618)</ns0:f>
        <ns0:v>0</ns0:v>
      </ns0:c>
    </ns0:row>
    <ns0:row r="619" ht="24" customHeight="1">
      <ns0:c r="A619" s="4" t="n">
        <ns0:v>615</ns0:v>
      </ns0:c>
      <ns0:c r="B619" s="12">
        <ns0:f>A619*('前提と出典'!$C$36+'前提と出典'!$C$38)</ns0:f>
        <ns0:v>430.5</ns0:v>
      </ns0:c>
      <ns0:c r="C619" s="12">
        <ns0:f>A619*('前提と出典'!$C$37+'前提と出典'!$C$38)</ns0:f>
        <ns0:v>369</ns0:v>
      </ns0:c>
      <ns0:c r="D619" s="16">
        <ns0:f>A619*('前提と出典'!$C$36*'契約別単価'!C5+'前提と出典'!$C$37*'契約別単価'!C6+'前提と出典'!$C$38*'契約別単価'!C7)</ns0:f>
        <ns0:v>4425.251396648045</ns0:v>
      </ns0:c>
      <ns0:c r="E619" s="16">
        <ns0:f>A619*('前提と出典'!$C$36*'契約別単価'!E5+'前提と出典'!$C$37*'契約別単価'!E6+'前提と出典'!$C$38*'契約別単価'!E7)</ns0:f>
        <ns0:v>1189990.9638904051</ns0:v>
      </ns0:c>
      <ns0:c r="F619" s="16">
        <ns0:f>A619*('前提と出典'!$C$36*'契約別単価'!F5+'前提と出典'!$C$37*'契約別単価'!F6+'前提と出典'!$C$38*'契約別単価'!F7)</ns0:f>
        <ns0:v>467028.2200179634</ns0:v>
      </ns0:c>
      <ns0:c r="G619" s="16">
        <ns0:f>A619*('前提と出典'!$C$36*'契約別単価'!G5+'前提と出典'!$C$37*'契約別単価'!G6+'前提と出典'!$C$38*'契約別単価'!G7)</ns0:f>
        <ns0:v>1224159.2178770949</ns0:v>
      </ns0:c>
      <ns0:c r="H619" s="16">
        <ns0:f>A619*('前提と出典'!$C$36*'契約別単価'!H5+'前提と出典'!$C$37*'契約別単価'!H6+'前提と出典'!$C$38*'契約別単価'!H7)</ns0:f>
        <ns0:v>424844.6450127733</ns0:v>
      </ns0:c>
      <ns0:c r="I619" s="16">
        <ns0:f>A619*('前提と出典'!$C$36*'契約別単価'!I5+'前提と出典'!$C$37*'契約別単価'!I6+'前提と出典'!$C$38*'契約別単価'!I7)</ns0:f>
        <ns0:v>25950.25139664804</ns0:v>
      </ns0:c>
      <ns0:c r="J619" s="16">
        <ns0:f>A619*('前提と出典'!$C$36*'契約別単価'!J5+'前提と出典'!$C$37*'契約別単価'!J6+'前提と出典'!$C$38*'契約別単価'!J7)</ns0:f>
        <ns0:v>60448.06938183608</ns0:v>
      </ns0:c>
      <ns0:c r="K619" s="16">
        <ns0:f>A619*('前提と出典'!$C$36*'契約別単価'!K5+'前提と出典'!$C$37*'契約別単価'!K6+'前提と出典'!$C$38*'契約別単価'!K7)</ns0:f>
        <ns0:v>259101.67597765362</ns0:v>
      </ns0:c>
      <ns0:c r="L619" s="16">
        <ns0:f>A619*('前提と出典'!$C$36*'契約別単価'!L5+'前提と出典'!$C$37*'契約別単価'!L6+'前提と出典'!$C$38*'契約別単価'!L7)</ns0:f>
        <ns0:v>210961.48816709244</ns0:v>
      </ns0:c>
      <ns0:c r="M619" s="16">
        <ns0:f>IF(('前提と出典'!$C$36+'前提と出典'!$C$38)=0,0,IF(B619&lt;=10,'前提と出典'!B73+'前提と出典'!C73,IF(B619&lt;=100,'前提と出典'!B74+'前提と出典'!C74,IF(B619&lt;=500,'前提と出典'!B75+'前提と出典'!C75,'前提と出典'!B76+'前提と出典'!C76))))</ns0:f>
        <ns0:v>40000</ns0:v>
      </ns0:c>
      <ns0:c r="N619" s="16">
        <ns0:f>IF(('前提と出典'!$C$37+'前提と出典'!$C$38)=0,0,IF(C619&lt;=10,'前提と出典'!D73+'前提と出典'!E73,IF(C619&lt;=100,'前提と出典'!D74+'前提と出典'!E74,IF(C619&lt;=500,'前提と出典'!D75+'前提と出典'!E75,'前提と出典'!D76+'前提と出典'!E76))))</ns0:f>
        <ns0:v>56510.9346263078</ns0:v>
      </ns0:c>
      <ns0:c r="O619" s="16">
        <ns0:f>IF('前提と出典'!$C$36+'前提と出典'!$C$38=0,0,'前提と出典'!$B$4*IF('前提と出典'!$B$20=0,MAX('前提と出典'!$B$6,D619*'前提と出典'!$B$5),'前提と出典'!$B$6+D619*'前提と出典'!$B$5))</ns0:f>
        <ns0:v>610684.6927374302</ns0:v>
      </ns0:c>
      <ns0:c r="P619" s="16">
        <ns0:f>(E619+G619)*(1-'前提と出典'!$B$7)-I619-K619-M619-O619</ns0:f>
        <ns0:v>1391504.155112138</ns0:v>
      </ns0:c>
      <ns0:c r="Q619" s="16">
        <ns0:f>(F619+H619)*(1-'前提と出典'!$B$7)-J619-L619-N619</ns0:f>
        <ns0:v>531844.9497143938</ns0:v>
      </ns0:c>
      <ns0:c r="R619" s="16">
        <ns0:f>P619-E619*'前提と出典'!$E$4</ns0:f>
        <ns0:v>1034506.8659450166</ns0:v>
      </ns0:c>
      <ns0:c r="S619" s="16">
        <ns0:f>Q619-F619*'前提と出典'!$E$4</ns0:f>
        <ns0:v>391736.4837090048</ns0:v>
      </ns0:c>
      <ns0:c r="T619" s="7">
        <ns0:f>R619+S619</ns0:f>
        <ns0:v>1426243.3496540214</ns0:v>
      </ns0:c>
      <ns0:c r="U619" s="16">
        <ns0:f>P619-E619*'前提と出典'!$E$5</ns0:f>
        <ns0:v>915507.769555976</ns0:v>
      </ns0:c>
      <ns0:c r="V619" s="16">
        <ns0:f>Q619-F619*'前提と出典'!$E$5</ns0:f>
        <ns0:v>345033.6617072085</ns0:v>
      </ns0:c>
      <ns0:c r="W619" s="7">
        <ns0:f>U619+V619</ns0:f>
        <ns0:v>1260541.4312631846</ns0:v>
      </ns0:c>
      <ns0:c r="X619" s="16">
        <ns0:f>P619-E619*'前提と出典'!$E$6</ns0:f>
        <ns0:v>796508.6731669354</ns0:v>
      </ns0:c>
      <ns0:c r="Y619" s="16">
        <ns0:f>Q619-F619*'前提と出典'!$E$6</ns0:f>
        <ns0:v>298330.83970541216</ns0:v>
      </ns0:c>
      <ns0:c r="Z619" s="7">
        <ns0:f>X619+Y619</ns0:f>
        <ns0:v>1094839.5128723476</ns0:v>
      </ns0:c>
      <ns0:c r="AA619" s="7">
        <ns0:f>IF(T619&gt;=0,A619,1001)</ns0:f>
        <ns0:v>615</ns0:v>
      </ns0:c>
      <ns0:c r="AB619" s="7">
        <ns0:f>IF(T619&lt;0,A619,0)</ns0:f>
        <ns0:v>0</ns0:v>
      </ns0:c>
      <ns0:c r="AC619" s="16">
        <ns0:f>IF(AND(OR('前提と出典'!$C$36+'前提と出典'!$C$38=0,R619&gt;=0),OR('前提と出典'!$C$37+'前提と出典'!$C$38=0,S619&gt;=0)),0,A619)</ns0:f>
        <ns0:v>0</ns0:v>
      </ns0:c>
      <ns0:c r="AD619" s="7">
        <ns0:f>IF(W619&gt;=0,A619,1001)</ns0:f>
        <ns0:v>615</ns0:v>
      </ns0:c>
      <ns0:c r="AE619" s="7">
        <ns0:f>IF(W619&lt;0,A619,0)</ns0:f>
        <ns0:v>0</ns0:v>
      </ns0:c>
      <ns0:c r="AF619" s="16">
        <ns0:f>IF(AND(OR('前提と出典'!$C$36+'前提と出典'!$C$38=0,U619&gt;=0),OR('前提と出典'!$C$37+'前提と出典'!$C$38=0,V619&gt;=0)),0,A619)</ns0:f>
        <ns0:v>0</ns0:v>
      </ns0:c>
      <ns0:c r="AG619" s="7">
        <ns0:f>IF(Z619&gt;=0,A619,1001)</ns0:f>
        <ns0:v>615</ns0:v>
      </ns0:c>
      <ns0:c r="AH619" s="4">
        <ns0:f>IF(Z619&lt;0,A619,0)</ns0:f>
        <ns0:v>0</ns0:v>
      </ns0:c>
      <ns0:c r="AI619" s="12">
        <ns0:f>IF(AND(OR('前提と出典'!$C$36+'前提と出典'!$C$38=0,X619&gt;=0),OR('前提と出典'!$C$37+'前提と出典'!$C$38=0,Y619&gt;=0)),0,A619)</ns0:f>
        <ns0:v>0</ns0:v>
      </ns0:c>
    </ns0:row>
    <ns0:row r="620" ht="24" customHeight="1">
      <ns0:c r="A620" s="4" t="n">
        <ns0:v>616</ns0:v>
      </ns0:c>
      <ns0:c r="B620" s="12">
        <ns0:f>A620*('前提と出典'!$C$36+'前提と出典'!$C$38)</ns0:f>
        <ns0:v>431.2</ns0:v>
      </ns0:c>
      <ns0:c r="C620" s="12">
        <ns0:f>A620*('前提と出典'!$C$37+'前提と出典'!$C$38)</ns0:f>
        <ns0:v>369.59999999999997</ns0:v>
      </ns0:c>
      <ns0:c r="D620" s="16">
        <ns0:f>A620*('前提と出典'!$C$36*'契約別単価'!C5+'前提と出典'!$C$37*'契約別単価'!C6+'前提と出典'!$C$38*'契約別単価'!C7)</ns0:f>
        <ns0:v>4432.446927374302</ns0:v>
      </ns0:c>
      <ns0:c r="E620" s="16">
        <ns0:f>A620*('前提と出典'!$C$36*'契約別単価'!E5+'前提と出典'!$C$37*'契約別単価'!E6+'前提と出典'!$C$38*'契約別単価'!E7)</ns0:f>
        <ns0:v>1191925.9085471374</ns0:v>
      </ns0:c>
      <ns0:c r="F620" s="16">
        <ns0:f>A620*('前提と出典'!$C$36*'契約別単価'!F5+'前提と出典'!$C$37*'契約別単価'!F6+'前提と出典'!$C$38*'契約別単価'!F7)</ns0:f>
        <ns0:v>467787.6154976674</ns0:v>
      </ns0:c>
      <ns0:c r="G620" s="16">
        <ns0:f>A620*('前提と出典'!$C$36*'契約別単価'!G5+'前提と出典'!$C$37*'契約別単価'!G6+'前提と出典'!$C$38*'契約別単価'!G7)</ns0:f>
        <ns0:v>1226149.720670391</ns0:v>
      </ns0:c>
      <ns0:c r="H620" s="16">
        <ns0:f>A620*('前提と出典'!$C$36*'契約別単価'!H5+'前提と出典'!$C$37*'契約別単価'!H6+'前提と出典'!$C$38*'契約別単価'!H7)</ns0:f>
        <ns0:v>425535.44931360707</ns0:v>
      </ns0:c>
      <ns0:c r="I620" s="16">
        <ns0:f>A620*('前提と出典'!$C$36*'契約別単価'!I5+'前提と出典'!$C$37*'契約別単価'!I6+'前提と出典'!$C$38*'契約別単価'!I7)</ns0:f>
        <ns0:v>25992.446927374298</ns0:v>
      </ns0:c>
      <ns0:c r="J620" s="16">
        <ns0:f>A620*('前提と出典'!$C$36*'契約別単価'!J5+'前提と出典'!$C$37*'契約別単価'!J6+'前提と出典'!$C$38*'契約別単価'!J7)</ns0:f>
        <ns0:v>60546.35892554638</ns0:v>
      </ns0:c>
      <ns0:c r="K620" s="16">
        <ns0:f>A620*('前提と出典'!$C$36*'契約別単価'!K5+'前提と出典'!$C$37*'契約別単価'!K6+'前提と出典'!$C$38*'契約別単価'!K7)</ns0:f>
        <ns0:v>259522.97951582866</ns0:v>
      </ns0:c>
      <ns0:c r="L620" s="16">
        <ns0:f>A620*('前提と出典'!$C$36*'契約別単価'!L5+'前提と出典'!$C$37*'契約別単価'!L6+'前提と出典'!$C$38*'契約別単価'!L7)</ns0:f>
        <ns0:v>211304.51497712024</ns0:v>
      </ns0:c>
      <ns0:c r="M620" s="16">
        <ns0:f>IF(('前提と出典'!$C$36+'前提と出典'!$C$38)=0,0,IF(B620&lt;=10,'前提と出典'!B73+'前提と出典'!C73,IF(B620&lt;=100,'前提と出典'!B74+'前提と出典'!C74,IF(B620&lt;=500,'前提と出典'!B75+'前提と出典'!C75,'前提と出典'!B76+'前提と出典'!C76))))</ns0:f>
        <ns0:v>40000</ns0:v>
      </ns0:c>
      <ns0:c r="N620" s="16">
        <ns0:f>IF(('前提と出典'!$C$37+'前提と出典'!$C$38)=0,0,IF(C620&lt;=10,'前提と出典'!D73+'前提と出典'!E73,IF(C620&lt;=100,'前提と出典'!D74+'前提と出典'!E74,IF(C620&lt;=500,'前提と出典'!D75+'前提と出典'!E75,'前提と出典'!D76+'前提と出典'!E76))))</ns0:f>
        <ns0:v>56510.9346263078</ns0:v>
      </ns0:c>
      <ns0:c r="O620" s="16">
        <ns0:f>IF('前提と出典'!$C$36+'前提と出典'!$C$38=0,0,'前提と出典'!$B$4*IF('前提と出典'!$B$20=0,MAX('前提と出典'!$B$6,D620*'前提と出典'!$B$5),'前提と出典'!$B$6+D620*'前提と出典'!$B$5))</ns0:f>
        <ns0:v>611677.6759776537</ns0:v>
      </ns0:c>
      <ns0:c r="P620" s="16">
        <ns0:f>(E620+G620)*(1-'前提と出典'!$B$7)-I620-K620-M620-O620</ns0:f>
        <ns0:v>1393831.8041448412</ns0:v>
      </ns0:c>
      <ns0:c r="Q620" s="16">
        <ns0:f>(F620+H620)*(1-'前提と出典'!$B$7)-J620-L620-N620</ns0:f>
        <ns0:v>532801.6259490941</ns0:v>
      </ns0:c>
      <ns0:c r="R620" s="16">
        <ns0:f>P620-E620*'前提と出典'!$E$4</ns0:f>
        <ns0:v>1036254.0315807</ns0:v>
      </ns0:c>
      <ns0:c r="S620" s="16">
        <ns0:f>Q620-F620*'前提と出典'!$E$4</ns0:f>
        <ns0:v>392465.3412997939</ns0:v>
      </ns0:c>
      <ns0:c r="T620" s="7">
        <ns0:f>R620+S620</ns0:f>
        <ns0:v>1428719.3728804938</ns0:v>
      </ns0:c>
      <ns0:c r="U620" s="16">
        <ns0:f>P620-E620*'前提と出典'!$E$5</ns0:f>
        <ns0:v>917061.440725986</ns0:v>
      </ns0:c>
      <ns0:c r="V620" s="16">
        <ns0:f>Q620-F620*'前提と出典'!$E$5</ns0:f>
        <ns0:v>345686.57975002704</ns0:v>
      </ns0:c>
      <ns0:c r="W620" s="7">
        <ns0:f>U620+V620</ns0:f>
        <ns0:v>1262748.020476013</ns0:v>
      </ns0:c>
      <ns0:c r="X620" s="16">
        <ns0:f>P620-E620*'前提と出典'!$E$6</ns0:f>
        <ns0:v>797868.8498712723</ns0:v>
      </ns0:c>
      <ns0:c r="Y620" s="16">
        <ns0:f>Q620-F620*'前提と出典'!$E$6</ns0:f>
        <ns0:v>298907.8182002604</ns0:v>
      </ns0:c>
      <ns0:c r="Z620" s="7">
        <ns0:f>X620+Y620</ns0:f>
        <ns0:v>1096776.6680715326</ns0:v>
      </ns0:c>
      <ns0:c r="AA620" s="7">
        <ns0:f>IF(T620&gt;=0,A620,1001)</ns0:f>
        <ns0:v>616</ns0:v>
      </ns0:c>
      <ns0:c r="AB620" s="7">
        <ns0:f>IF(T620&lt;0,A620,0)</ns0:f>
        <ns0:v>0</ns0:v>
      </ns0:c>
      <ns0:c r="AC620" s="16">
        <ns0:f>IF(AND(OR('前提と出典'!$C$36+'前提と出典'!$C$38=0,R620&gt;=0),OR('前提と出典'!$C$37+'前提と出典'!$C$38=0,S620&gt;=0)),0,A620)</ns0:f>
        <ns0:v>0</ns0:v>
      </ns0:c>
      <ns0:c r="AD620" s="7">
        <ns0:f>IF(W620&gt;=0,A620,1001)</ns0:f>
        <ns0:v>616</ns0:v>
      </ns0:c>
      <ns0:c r="AE620" s="7">
        <ns0:f>IF(W620&lt;0,A620,0)</ns0:f>
        <ns0:v>0</ns0:v>
      </ns0:c>
      <ns0:c r="AF620" s="16">
        <ns0:f>IF(AND(OR('前提と出典'!$C$36+'前提と出典'!$C$38=0,U620&gt;=0),OR('前提と出典'!$C$37+'前提と出典'!$C$38=0,V620&gt;=0)),0,A620)</ns0:f>
        <ns0:v>0</ns0:v>
      </ns0:c>
      <ns0:c r="AG620" s="7">
        <ns0:f>IF(Z620&gt;=0,A620,1001)</ns0:f>
        <ns0:v>616</ns0:v>
      </ns0:c>
      <ns0:c r="AH620" s="4">
        <ns0:f>IF(Z620&lt;0,A620,0)</ns0:f>
        <ns0:v>0</ns0:v>
      </ns0:c>
      <ns0:c r="AI620" s="12">
        <ns0:f>IF(AND(OR('前提と出典'!$C$36+'前提と出典'!$C$38=0,X620&gt;=0),OR('前提と出典'!$C$37+'前提と出典'!$C$38=0,Y620&gt;=0)),0,A620)</ns0:f>
        <ns0:v>0</ns0:v>
      </ns0:c>
    </ns0:row>
    <ns0:row r="621" ht="24" customHeight="1">
      <ns0:c r="A621" s="4" t="n">
        <ns0:v>617</ns0:v>
      </ns0:c>
      <ns0:c r="B621" s="12">
        <ns0:f>A621*('前提と出典'!$C$36+'前提と出典'!$C$38)</ns0:f>
        <ns0:v>431.9</ns0:v>
      </ns0:c>
      <ns0:c r="C621" s="12">
        <ns0:f>A621*('前提と出典'!$C$37+'前提と出典'!$C$38)</ns0:f>
        <ns0:v>370.2</ns0:v>
      </ns0:c>
      <ns0:c r="D621" s="16">
        <ns0:f>A621*('前提と出典'!$C$36*'契約別単価'!C5+'前提と出典'!$C$37*'契約別単価'!C6+'前提と出典'!$C$38*'契約別単価'!C7)</ns0:f>
        <ns0:v>4439.6424581005585</ns0:v>
      </ns0:c>
      <ns0:c r="E621" s="16">
        <ns0:f>A621*('前提と出典'!$C$36*'契約別単価'!E5+'前提と出典'!$C$37*'契約別単価'!E6+'前提と出典'!$C$38*'契約別単価'!E7)</ns0:f>
        <ns0:v>1193860.85320387</ns0:v>
      </ns0:c>
      <ns0:c r="F621" s="16">
        <ns0:f>A621*('前提と出典'!$C$36*'契約別単価'!F5+'前提と出典'!$C$37*'契約別単価'!F6+'前提と出典'!$C$38*'契約別単価'!F7)</ns0:f>
        <ns0:v>468547.0109773714</ns0:v>
      </ns0:c>
      <ns0:c r="G621" s="16">
        <ns0:f>A621*('前提と出典'!$C$36*'契約別単価'!G5+'前提と出典'!$C$37*'契約別単価'!G6+'前提と出典'!$C$38*'契約別単価'!G7)</ns0:f>
        <ns0:v>1228140.223463687</ns0:v>
      </ns0:c>
      <ns0:c r="H621" s="16">
        <ns0:f>A621*('前提と出典'!$C$36*'契約別単価'!H5+'前提と出典'!$C$37*'契約別単価'!H6+'前提と出典'!$C$38*'契約別単価'!H7)</ns0:f>
        <ns0:v>426226.25361444085</ns0:v>
      </ns0:c>
      <ns0:c r="I621" s="16">
        <ns0:f>A621*('前提と出典'!$C$36*'契約別単価'!I5+'前提と出典'!$C$37*'契約別単価'!I6+'前提と出典'!$C$38*'契約別単価'!I7)</ns0:f>
        <ns0:v>26034.642458100556</ns0:v>
      </ns0:c>
      <ns0:c r="J621" s="16">
        <ns0:f>A621*('前提と出典'!$C$36*'契約別単価'!J5+'前提と出典'!$C$37*'契約別単価'!J6+'前提と出典'!$C$38*'契約別単価'!J7)</ns0:f>
        <ns0:v>60644.64846925668</ns0:v>
      </ns0:c>
      <ns0:c r="K621" s="16">
        <ns0:f>A621*('前提と出典'!$C$36*'契約別単価'!K5+'前提と出典'!$C$37*'契約別単価'!K6+'前提と出典'!$C$38*'契約別単価'!K7)</ns0:f>
        <ns0:v>259944.2830540037</ns0:v>
      </ns0:c>
      <ns0:c r="L621" s="16">
        <ns0:f>A621*('前提と出典'!$C$36*'契約別単価'!L5+'前提と出典'!$C$37*'契約別単価'!L6+'前提と出典'!$C$38*'契約別単価'!L7)</ns0:f>
        <ns0:v>211647.54178714802</ns0:v>
      </ns0:c>
      <ns0:c r="M621" s="16">
        <ns0:f>IF(('前提と出典'!$C$36+'前提と出典'!$C$38)=0,0,IF(B621&lt;=10,'前提と出典'!B73+'前提と出典'!C73,IF(B621&lt;=100,'前提と出典'!B74+'前提と出典'!C74,IF(B621&lt;=500,'前提と出典'!B75+'前提と出典'!C75,'前提と出典'!B76+'前提と出典'!C76))))</ns0:f>
        <ns0:v>40000</ns0:v>
      </ns0:c>
      <ns0:c r="N621" s="16">
        <ns0:f>IF(('前提と出典'!$C$37+'前提と出典'!$C$38)=0,0,IF(C621&lt;=10,'前提と出典'!D73+'前提と出典'!E73,IF(C621&lt;=100,'前提と出典'!D74+'前提と出典'!E74,IF(C621&lt;=500,'前提と出典'!D75+'前提と出典'!E75,'前提と出典'!D76+'前提と出典'!E76))))</ns0:f>
        <ns0:v>56510.9346263078</ns0:v>
      </ns0:c>
      <ns0:c r="O621" s="16">
        <ns0:f>IF('前提と出典'!$C$36+'前提と出典'!$C$38=0,0,'前提と出典'!$B$4*IF('前提と出典'!$B$20=0,MAX('前提と出典'!$B$6,D621*'前提と出典'!$B$5),'前提と出典'!$B$6+D621*'前提と出典'!$B$5))</ns0:f>
        <ns0:v>612670.6592178771</ns0:v>
      </ns0:c>
      <ns0:c r="P621" s="16">
        <ns0:f>(E621+G621)*(1-'前提と出典'!$B$7)-I621-K621-M621-O621</ns0:f>
        <ns0:v>1396159.4531775436</ns0:v>
      </ns0:c>
      <ns0:c r="Q621" s="16">
        <ns0:f>(F621+H621)*(1-'前提と出典'!$B$7)-J621-L621-N621</ns0:f>
        <ns0:v>533758.3021837946</ns0:v>
      </ns0:c>
      <ns0:c r="R621" s="16">
        <ns0:f>P621-E621*'前提と出典'!$E$4</ns0:f>
        <ns0:v>1038001.1972163827</ns0:v>
      </ns0:c>
      <ns0:c r="S621" s="16">
        <ns0:f>Q621-F621*'前提と出典'!$E$4</ns0:f>
        <ns0:v>393194.1988905831</ns0:v>
      </ns0:c>
      <ns0:c r="T621" s="7">
        <ns0:f>R621+S621</ns0:f>
        <ns0:v>1431195.3961069658</ns0:v>
      </ns0:c>
      <ns0:c r="U621" s="16">
        <ns0:f>P621-E621*'前提と出典'!$E$5</ns0:f>
        <ns0:v>918615.1118959957</ns0:v>
      </ns0:c>
      <ns0:c r="V621" s="16">
        <ns0:f>Q621-F621*'前提と出典'!$E$5</ns0:f>
        <ns0:v>346339.49779284594</ns0:v>
      </ns0:c>
      <ns0:c r="W621" s="7">
        <ns0:f>U621+V621</ns0:f>
        <ns0:v>1264954.6096888417</ns0:v>
      </ns0:c>
      <ns0:c r="X621" s="16">
        <ns0:f>P621-E621*'前提と出典'!$E$6</ns0:f>
        <ns0:v>799229.0265756086</ns0:v>
      </ns0:c>
      <ns0:c r="Y621" s="16">
        <ns0:f>Q621-F621*'前提と出典'!$E$6</ns0:f>
        <ns0:v>299484.7966951089</ns0:v>
      </ns0:c>
      <ns0:c r="Z621" s="7">
        <ns0:f>X621+Y621</ns0:f>
        <ns0:v>1098713.8232707176</ns0:v>
      </ns0:c>
      <ns0:c r="AA621" s="7">
        <ns0:f>IF(T621&gt;=0,A621,1001)</ns0:f>
        <ns0:v>617</ns0:v>
      </ns0:c>
      <ns0:c r="AB621" s="7">
        <ns0:f>IF(T621&lt;0,A621,0)</ns0:f>
        <ns0:v>0</ns0:v>
      </ns0:c>
      <ns0:c r="AC621" s="16">
        <ns0:f>IF(AND(OR('前提と出典'!$C$36+'前提と出典'!$C$38=0,R621&gt;=0),OR('前提と出典'!$C$37+'前提と出典'!$C$38=0,S621&gt;=0)),0,A621)</ns0:f>
        <ns0:v>0</ns0:v>
      </ns0:c>
      <ns0:c r="AD621" s="7">
        <ns0:f>IF(W621&gt;=0,A621,1001)</ns0:f>
        <ns0:v>617</ns0:v>
      </ns0:c>
      <ns0:c r="AE621" s="7">
        <ns0:f>IF(W621&lt;0,A621,0)</ns0:f>
        <ns0:v>0</ns0:v>
      </ns0:c>
      <ns0:c r="AF621" s="16">
        <ns0:f>IF(AND(OR('前提と出典'!$C$36+'前提と出典'!$C$38=0,U621&gt;=0),OR('前提と出典'!$C$37+'前提と出典'!$C$38=0,V621&gt;=0)),0,A621)</ns0:f>
        <ns0:v>0</ns0:v>
      </ns0:c>
      <ns0:c r="AG621" s="7">
        <ns0:f>IF(Z621&gt;=0,A621,1001)</ns0:f>
        <ns0:v>617</ns0:v>
      </ns0:c>
      <ns0:c r="AH621" s="4">
        <ns0:f>IF(Z621&lt;0,A621,0)</ns0:f>
        <ns0:v>0</ns0:v>
      </ns0:c>
      <ns0:c r="AI621" s="12">
        <ns0:f>IF(AND(OR('前提と出典'!$C$36+'前提と出典'!$C$38=0,X621&gt;=0),OR('前提と出典'!$C$37+'前提と出典'!$C$38=0,Y621&gt;=0)),0,A621)</ns0:f>
        <ns0:v>0</ns0:v>
      </ns0:c>
    </ns0:row>
    <ns0:row r="622" ht="24" customHeight="1">
      <ns0:c r="A622" s="4" t="n">
        <ns0:v>618</ns0:v>
      </ns0:c>
      <ns0:c r="B622" s="12">
        <ns0:f>A622*('前提と出典'!$C$36+'前提と出典'!$C$38)</ns0:f>
        <ns0:v>432.59999999999997</ns0:v>
      </ns0:c>
      <ns0:c r="C622" s="12">
        <ns0:f>A622*('前提と出典'!$C$37+'前提と出典'!$C$38)</ns0:f>
        <ns0:v>370.8</ns0:v>
      </ns0:c>
      <ns0:c r="D622" s="16">
        <ns0:f>A622*('前提と出典'!$C$36*'契約別単価'!C5+'前提と出典'!$C$37*'契約別単価'!C6+'前提と出典'!$C$38*'契約別単価'!C7)</ns0:f>
        <ns0:v>4446.8379888268155</ns0:v>
      </ns0:c>
      <ns0:c r="E622" s="16">
        <ns0:f>A622*('前提と出典'!$C$36*'契約別単価'!E5+'前提と出典'!$C$37*'契約別単価'!E6+'前提と出典'!$C$38*'契約別単価'!E7)</ns0:f>
        <ns0:v>1195795.7978606021</ns0:v>
      </ns0:c>
      <ns0:c r="F622" s="16">
        <ns0:f>A622*('前提と出典'!$C$36*'契約別単価'!F5+'前提と出典'!$C$37*'契約別単価'!F6+'前提と出典'!$C$38*'契約別単価'!F7)</ns0:f>
        <ns0:v>469306.40645707544</ns0:v>
      </ns0:c>
      <ns0:c r="G622" s="16">
        <ns0:f>A622*('前提と出典'!$C$36*'契約別単価'!G5+'前提と出典'!$C$37*'契約別単価'!G6+'前提と出典'!$C$38*'契約別単価'!G7)</ns0:f>
        <ns0:v>1230130.7262569831</ns0:v>
      </ns0:c>
      <ns0:c r="H622" s="16">
        <ns0:f>A622*('前提と出典'!$C$36*'契約別単価'!H5+'前提と出典'!$C$37*'契約別単価'!H6+'前提と出典'!$C$38*'契約別単価'!H7)</ns0:f>
        <ns0:v>426917.05791527464</ns0:v>
      </ns0:c>
      <ns0:c r="I622" s="16">
        <ns0:f>A622*('前提と出典'!$C$36*'契約別単価'!I5+'前提と出典'!$C$37*'契約別単価'!I6+'前提と出典'!$C$38*'契約別単価'!I7)</ns0:f>
        <ns0:v>26076.83798882681</ns0:v>
      </ns0:c>
      <ns0:c r="J622" s="16">
        <ns0:f>A622*('前提と出典'!$C$36*'契約別単価'!J5+'前提と出典'!$C$37*'契約別単価'!J6+'前提と出典'!$C$38*'契約別単価'!J7)</ns0:f>
        <ns0:v>60742.93801296699</ns0:v>
      </ns0:c>
      <ns0:c r="K622" s="16">
        <ns0:f>A622*('前提と出典'!$C$36*'契約別単価'!K5+'前提と出典'!$C$37*'契約別単価'!K6+'前提と出典'!$C$38*'契約別単価'!K7)</ns0:f>
        <ns0:v>260365.58659217876</ns0:v>
      </ns0:c>
      <ns0:c r="L622" s="16">
        <ns0:f>A622*('前提と出典'!$C$36*'契約別単価'!L5+'前提と出典'!$C$37*'契約別単価'!L6+'前提と出典'!$C$38*'契約別単価'!L7)</ns0:f>
        <ns0:v>211990.56859717582</ns0:v>
      </ns0:c>
      <ns0:c r="M622" s="16">
        <ns0:f>IF(('前提と出典'!$C$36+'前提と出典'!$C$38)=0,0,IF(B622&lt;=10,'前提と出典'!B73+'前提と出典'!C73,IF(B622&lt;=100,'前提と出典'!B74+'前提と出典'!C74,IF(B622&lt;=500,'前提と出典'!B75+'前提と出典'!C75,'前提と出典'!B76+'前提と出典'!C76))))</ns0:f>
        <ns0:v>40000</ns0:v>
      </ns0:c>
      <ns0:c r="N622" s="16">
        <ns0:f>IF(('前提と出典'!$C$37+'前提と出典'!$C$38)=0,0,IF(C622&lt;=10,'前提と出典'!D73+'前提と出典'!E73,IF(C622&lt;=100,'前提と出典'!D74+'前提と出典'!E74,IF(C622&lt;=500,'前提と出典'!D75+'前提と出典'!E75,'前提と出典'!D76+'前提と出典'!E76))))</ns0:f>
        <ns0:v>56510.9346263078</ns0:v>
      </ns0:c>
      <ns0:c r="O622" s="16">
        <ns0:f>IF('前提と出典'!$C$36+'前提と出典'!$C$38=0,0,'前提と出典'!$B$4*IF('前提と出典'!$B$20=0,MAX('前提と出典'!$B$6,D622*'前提と出典'!$B$5),'前提と出典'!$B$6+D622*'前提と出典'!$B$5))</ns0:f>
        <ns0:v>613663.6424581006</ns0:v>
      </ns0:c>
      <ns0:c r="P622" s="16">
        <ns0:f>(E622+G622)*(1-'前提と出典'!$B$7)-I622-K622-M622-O622</ns0:f>
        <ns0:v>1398487.102210246</ns0:v>
      </ns0:c>
      <ns0:c r="Q622" s="16">
        <ns0:f>(F622+H622)*(1-'前提と出典'!$B$7)-J622-L622-N622</ns0:f>
        <ns0:v>534714.9784184948</ns0:v>
      </ns0:c>
      <ns0:c r="R622" s="16">
        <ns0:f>P622-E622*'前提と出典'!$E$4</ns0:f>
        <ns0:v>1039748.3628520654</ns0:v>
      </ns0:c>
      <ns0:c r="S622" s="16">
        <ns0:f>Q622-F622*'前提と出典'!$E$4</ns0:f>
        <ns0:v>393923.0564813723</ns0:v>
      </ns0:c>
      <ns0:c r="T622" s="7">
        <ns0:f>R622+S622</ns0:f>
        <ns0:v>1433671.4193334377</ns0:v>
      </ns0:c>
      <ns0:c r="U622" s="16">
        <ns0:f>P622-E622*'前提と出典'!$E$5</ns0:f>
        <ns0:v>920168.7830660052</ns0:v>
      </ns0:c>
      <ns0:c r="V622" s="16">
        <ns0:f>Q622-F622*'前提と出典'!$E$5</ns0:f>
        <ns0:v>346992.41583566467</ns0:v>
      </ns0:c>
      <ns0:c r="W622" s="7">
        <ns0:f>U622+V622</ns0:f>
        <ns0:v>1267161.1989016698</ns0:v>
      </ns0:c>
      <ns0:c r="X622" s="16">
        <ns0:f>P622-E622*'前提と出典'!$E$6</ns0:f>
        <ns0:v>800589.2032799451</ns0:v>
      </ns0:c>
      <ns0:c r="Y622" s="16">
        <ns0:f>Q622-F622*'前提と出典'!$E$6</ns0:f>
        <ns0:v>300061.7751899572</ns0:v>
      </ns0:c>
      <ns0:c r="Z622" s="7">
        <ns0:f>X622+Y622</ns0:f>
        <ns0:v>1100650.9784699022</ns0:v>
      </ns0:c>
      <ns0:c r="AA622" s="7">
        <ns0:f>IF(T622&gt;=0,A622,1001)</ns0:f>
        <ns0:v>618</ns0:v>
      </ns0:c>
      <ns0:c r="AB622" s="7">
        <ns0:f>IF(T622&lt;0,A622,0)</ns0:f>
        <ns0:v>0</ns0:v>
      </ns0:c>
      <ns0:c r="AC622" s="16">
        <ns0:f>IF(AND(OR('前提と出典'!$C$36+'前提と出典'!$C$38=0,R622&gt;=0),OR('前提と出典'!$C$37+'前提と出典'!$C$38=0,S622&gt;=0)),0,A622)</ns0:f>
        <ns0:v>0</ns0:v>
      </ns0:c>
      <ns0:c r="AD622" s="7">
        <ns0:f>IF(W622&gt;=0,A622,1001)</ns0:f>
        <ns0:v>618</ns0:v>
      </ns0:c>
      <ns0:c r="AE622" s="7">
        <ns0:f>IF(W622&lt;0,A622,0)</ns0:f>
        <ns0:v>0</ns0:v>
      </ns0:c>
      <ns0:c r="AF622" s="16">
        <ns0:f>IF(AND(OR('前提と出典'!$C$36+'前提と出典'!$C$38=0,U622&gt;=0),OR('前提と出典'!$C$37+'前提と出典'!$C$38=0,V622&gt;=0)),0,A622)</ns0:f>
        <ns0:v>0</ns0:v>
      </ns0:c>
      <ns0:c r="AG622" s="7">
        <ns0:f>IF(Z622&gt;=0,A622,1001)</ns0:f>
        <ns0:v>618</ns0:v>
      </ns0:c>
      <ns0:c r="AH622" s="4">
        <ns0:f>IF(Z622&lt;0,A622,0)</ns0:f>
        <ns0:v>0</ns0:v>
      </ns0:c>
      <ns0:c r="AI622" s="12">
        <ns0:f>IF(AND(OR('前提と出典'!$C$36+'前提と出典'!$C$38=0,X622&gt;=0),OR('前提と出典'!$C$37+'前提と出典'!$C$38=0,Y622&gt;=0)),0,A622)</ns0:f>
        <ns0:v>0</ns0:v>
      </ns0:c>
    </ns0:row>
    <ns0:row r="623" ht="24" customHeight="1">
      <ns0:c r="A623" s="4" t="n">
        <ns0:v>619</ns0:v>
      </ns0:c>
      <ns0:c r="B623" s="12">
        <ns0:f>A623*('前提と出典'!$C$36+'前提と出典'!$C$38)</ns0:f>
        <ns0:v>433.29999999999995</ns0:v>
      </ns0:c>
      <ns0:c r="C623" s="12">
        <ns0:f>A623*('前提と出典'!$C$37+'前提と出典'!$C$38)</ns0:f>
        <ns0:v>371.4</ns0:v>
      </ns0:c>
      <ns0:c r="D623" s="16">
        <ns0:f>A623*('前提と出典'!$C$36*'契約別単価'!C5+'前提と出典'!$C$37*'契約別単価'!C6+'前提と出典'!$C$38*'契約別単価'!C7)</ns0:f>
        <ns0:v>4454.033519553072</ns0:v>
      </ns0:c>
      <ns0:c r="E623" s="16">
        <ns0:f>A623*('前提と出典'!$C$36*'契約別単価'!E5+'前提と出典'!$C$37*'契約別単価'!E6+'前提と出典'!$C$38*'契約別単価'!E7)</ns0:f>
        <ns0:v>1197730.7425173346</ns0:v>
      </ns0:c>
      <ns0:c r="F623" s="16">
        <ns0:f>A623*('前提と出典'!$C$36*'契約別単価'!F5+'前提と出典'!$C$37*'契約別単価'!F6+'前提と出典'!$C$38*'契約別単価'!F7)</ns0:f>
        <ns0:v>470065.8019367794</ns0:v>
      </ns0:c>
      <ns0:c r="G623" s="16">
        <ns0:f>A623*('前提と出典'!$C$36*'契約別単価'!G5+'前提と出典'!$C$37*'契約別単価'!G6+'前提と出典'!$C$38*'契約別単価'!G7)</ns0:f>
        <ns0:v>1232121.2290502794</ns0:v>
      </ns0:c>
      <ns0:c r="H623" s="16">
        <ns0:f>A623*('前提と出典'!$C$36*'契約別単価'!H5+'前提と出典'!$C$37*'契約別単価'!H6+'前提と出典'!$C$38*'契約別単価'!H7)</ns0:f>
        <ns0:v>427607.86221610836</ns0:v>
      </ns0:c>
      <ns0:c r="I623" s="16">
        <ns0:f>A623*('前提と出典'!$C$36*'契約別単価'!I5+'前提と出典'!$C$37*'契約別単価'!I6+'前提と出典'!$C$38*'契約別単価'!I7)</ns0:f>
        <ns0:v>26119.033519553068</ns0:v>
      </ns0:c>
      <ns0:c r="J623" s="16">
        <ns0:f>A623*('前提と出典'!$C$36*'契約別単価'!J5+'前提と出典'!$C$37*'契約別単価'!J6+'前提と出典'!$C$38*'契約別単価'!J7)</ns0:f>
        <ns0:v>60841.22755667729</ns0:v>
      </ns0:c>
      <ns0:c r="K623" s="16">
        <ns0:f>A623*('前提と出典'!$C$36*'契約別単価'!K5+'前提と出典'!$C$37*'契約別単価'!K6+'前提と出典'!$C$38*'契約別単価'!K7)</ns0:f>
        <ns0:v>260786.8901303538</ns0:v>
      </ns0:c>
      <ns0:c r="L623" s="16">
        <ns0:f>A623*('前提と出典'!$C$36*'契約別単価'!L5+'前提と出典'!$C$37*'契約別単価'!L6+'前提と出典'!$C$38*'契約別単価'!L7)</ns0:f>
        <ns0:v>212333.5954072036</ns0:v>
      </ns0:c>
      <ns0:c r="M623" s="16">
        <ns0:f>IF(('前提と出典'!$C$36+'前提と出典'!$C$38)=0,0,IF(B623&lt;=10,'前提と出典'!B73+'前提と出典'!C73,IF(B623&lt;=100,'前提と出典'!B74+'前提と出典'!C74,IF(B623&lt;=500,'前提と出典'!B75+'前提と出典'!C75,'前提と出典'!B76+'前提と出典'!C76))))</ns0:f>
        <ns0:v>40000</ns0:v>
      </ns0:c>
      <ns0:c r="N623" s="16">
        <ns0:f>IF(('前提と出典'!$C$37+'前提と出典'!$C$38)=0,0,IF(C623&lt;=10,'前提と出典'!D73+'前提と出典'!E73,IF(C623&lt;=100,'前提と出典'!D74+'前提と出典'!E74,IF(C623&lt;=500,'前提と出典'!D75+'前提と出典'!E75,'前提と出典'!D76+'前提と出典'!E76))))</ns0:f>
        <ns0:v>56510.9346263078</ns0:v>
      </ns0:c>
      <ns0:c r="O623" s="16">
        <ns0:f>IF('前提と出典'!$C$36+'前提と出典'!$C$38=0,0,'前提と出典'!$B$4*IF('前提と出典'!$B$20=0,MAX('前提と出典'!$B$6,D623*'前提と出典'!$B$5),'前提と出典'!$B$6+D623*'前提と出典'!$B$5))</ns0:f>
        <ns0:v>614656.6256983241</ns0:v>
      </ns0:c>
      <ns0:c r="P623" s="16">
        <ns0:f>(E623+G623)*(1-'前提と出典'!$B$7)-I623-K623-M623-O623</ns0:f>
        <ns0:v>1400814.751242949</ns0:v>
      </ns0:c>
      <ns0:c r="Q623" s="16">
        <ns0:f>(F623+H623)*(1-'前提と出典'!$B$7)-J623-L623-N623</ns0:f>
        <ns0:v>535671.6546531951</ns0:v>
      </ns0:c>
      <ns0:c r="R623" s="16">
        <ns0:f>P623-E623*'前提と出典'!$E$4</ns0:f>
        <ns0:v>1041495.5284877485</ns0:v>
      </ns0:c>
      <ns0:c r="S623" s="16">
        <ns0:f>Q623-F623*'前提と出典'!$E$4</ns0:f>
        <ns0:v>394651.91407216125</ns0:v>
      </ns0:c>
      <ns0:c r="T623" s="7">
        <ns0:f>R623+S623</ns0:f>
        <ns0:v>1436147.4425599098</ns0:v>
      </ns0:c>
      <ns0:c r="U623" s="16">
        <ns0:f>P623-E623*'前提と出典'!$E$5</ns0:f>
        <ns0:v>921722.454236015</ns0:v>
      </ns0:c>
      <ns0:c r="V623" s="16">
        <ns0:f>Q623-F623*'前提と出典'!$E$5</ns0:f>
        <ns0:v>347645.33387848333</ns0:v>
      </ns0:c>
      <ns0:c r="W623" s="7">
        <ns0:f>U623+V623</ns0:f>
        <ns0:v>1269367.7881144984</ns0:v>
      </ns0:c>
      <ns0:c r="X623" s="16">
        <ns0:f>P623-E623*'前提と出典'!$E$6</ns0:f>
        <ns0:v>801949.3799842817</ns0:v>
      </ns0:c>
      <ns0:c r="Y623" s="16">
        <ns0:f>Q623-F623*'前提と出典'!$E$6</ns0:f>
        <ns0:v>300638.7536848054</ns0:v>
      </ns0:c>
      <ns0:c r="Z623" s="7">
        <ns0:f>X623+Y623</ns0:f>
        <ns0:v>1102588.1336690872</ns0:v>
      </ns0:c>
      <ns0:c r="AA623" s="7">
        <ns0:f>IF(T623&gt;=0,A623,1001)</ns0:f>
        <ns0:v>619</ns0:v>
      </ns0:c>
      <ns0:c r="AB623" s="7">
        <ns0:f>IF(T623&lt;0,A623,0)</ns0:f>
        <ns0:v>0</ns0:v>
      </ns0:c>
      <ns0:c r="AC623" s="16">
        <ns0:f>IF(AND(OR('前提と出典'!$C$36+'前提と出典'!$C$38=0,R623&gt;=0),OR('前提と出典'!$C$37+'前提と出典'!$C$38=0,S623&gt;=0)),0,A623)</ns0:f>
        <ns0:v>0</ns0:v>
      </ns0:c>
      <ns0:c r="AD623" s="7">
        <ns0:f>IF(W623&gt;=0,A623,1001)</ns0:f>
        <ns0:v>619</ns0:v>
      </ns0:c>
      <ns0:c r="AE623" s="7">
        <ns0:f>IF(W623&lt;0,A623,0)</ns0:f>
        <ns0:v>0</ns0:v>
      </ns0:c>
      <ns0:c r="AF623" s="16">
        <ns0:f>IF(AND(OR('前提と出典'!$C$36+'前提と出典'!$C$38=0,U623&gt;=0),OR('前提と出典'!$C$37+'前提と出典'!$C$38=0,V623&gt;=0)),0,A623)</ns0:f>
        <ns0:v>0</ns0:v>
      </ns0:c>
      <ns0:c r="AG623" s="7">
        <ns0:f>IF(Z623&gt;=0,A623,1001)</ns0:f>
        <ns0:v>619</ns0:v>
      </ns0:c>
      <ns0:c r="AH623" s="4">
        <ns0:f>IF(Z623&lt;0,A623,0)</ns0:f>
        <ns0:v>0</ns0:v>
      </ns0:c>
      <ns0:c r="AI623" s="12">
        <ns0:f>IF(AND(OR('前提と出典'!$C$36+'前提と出典'!$C$38=0,X623&gt;=0),OR('前提と出典'!$C$37+'前提と出典'!$C$38=0,Y623&gt;=0)),0,A623)</ns0:f>
        <ns0:v>0</ns0:v>
      </ns0:c>
    </ns0:row>
    <ns0:row r="624" ht="24" customHeight="1">
      <ns0:c r="A624" s="4" t="n">
        <ns0:v>620</ns0:v>
      </ns0:c>
      <ns0:c r="B624" s="12">
        <ns0:f>A624*('前提と出典'!$C$36+'前提と出典'!$C$38)</ns0:f>
        <ns0:v>434</ns0:v>
      </ns0:c>
      <ns0:c r="C624" s="12">
        <ns0:f>A624*('前提と出典'!$C$37+'前提と出典'!$C$38)</ns0:f>
        <ns0:v>372</ns0:v>
      </ns0:c>
      <ns0:c r="D624" s="16">
        <ns0:f>A624*('前提と出典'!$C$36*'契約別単価'!C5+'前提と出典'!$C$37*'契約別単価'!C6+'前提と出典'!$C$38*'契約別単価'!C7)</ns0:f>
        <ns0:v>4461.229050279329</ns0:v>
      </ns0:c>
      <ns0:c r="E624" s="16">
        <ns0:f>A624*('前提と出典'!$C$36*'契約別単価'!E5+'前提と出典'!$C$37*'契約別単価'!E6+'前提と出典'!$C$38*'契約別単価'!E7)</ns0:f>
        <ns0:v>1199665.687174067</ns0:v>
      </ns0:c>
      <ns0:c r="F624" s="16">
        <ns0:f>A624*('前提と出典'!$C$36*'契約別単価'!F5+'前提と出典'!$C$37*'契約別単価'!F6+'前提と出典'!$C$38*'契約別単価'!F7)</ns0:f>
        <ns0:v>470825.1974164834</ns0:v>
      </ns0:c>
      <ns0:c r="G624" s="16">
        <ns0:f>A624*('前提と出典'!$C$36*'契約別単価'!G5+'前提と出典'!$C$37*'契約別単価'!G6+'前提と出典'!$C$38*'契約別単価'!G7)</ns0:f>
        <ns0:v>1234111.7318435754</ns0:v>
      </ns0:c>
      <ns0:c r="H624" s="16">
        <ns0:f>A624*('前提と出典'!$C$36*'契約別単価'!H5+'前提と出典'!$C$37*'契約別単価'!H6+'前提と出典'!$C$38*'契約別単価'!H7)</ns0:f>
        <ns0:v>428298.66651694215</ns0:v>
      </ns0:c>
      <ns0:c r="I624" s="16">
        <ns0:f>A624*('前提と出典'!$C$36*'契約別単価'!I5+'前提と出典'!$C$37*'契約別単価'!I6+'前提と出典'!$C$38*'契約別単価'!I7)</ns0:f>
        <ns0:v>26161.229050279326</ns0:v>
      </ns0:c>
      <ns0:c r="J624" s="16">
        <ns0:f>A624*('前提と出典'!$C$36*'契約別単価'!J5+'前提と出典'!$C$37*'契約別単価'!J6+'前提と出典'!$C$38*'契約別単価'!J7)</ns0:f>
        <ns0:v>60939.517100387595</ns0:v>
      </ns0:c>
      <ns0:c r="K624" s="16">
        <ns0:f>A624*('前提と出典'!$C$36*'契約別単価'!K5+'前提と出典'!$C$37*'契約別単価'!K6+'前提と出典'!$C$38*'契約別単価'!K7)</ns0:f>
        <ns0:v>261208.19366852884</ns0:v>
      </ns0:c>
      <ns0:c r="L624" s="16">
        <ns0:f>A624*('前提と出典'!$C$36*'契約別単価'!L5+'前提と出典'!$C$37*'契約別単価'!L6+'前提と出典'!$C$38*'契約別単価'!L7)</ns0:f>
        <ns0:v>212676.6222172314</ns0:v>
      </ns0:c>
      <ns0:c r="M624" s="16">
        <ns0:f>IF(('前提と出典'!$C$36+'前提と出典'!$C$38)=0,0,IF(B624&lt;=10,'前提と出典'!B73+'前提と出典'!C73,IF(B624&lt;=100,'前提と出典'!B74+'前提と出典'!C74,IF(B624&lt;=500,'前提と出典'!B75+'前提と出典'!C75,'前提と出典'!B76+'前提と出典'!C76))))</ns0:f>
        <ns0:v>40000</ns0:v>
      </ns0:c>
      <ns0:c r="N624" s="16">
        <ns0:f>IF(('前提と出典'!$C$37+'前提と出典'!$C$38)=0,0,IF(C624&lt;=10,'前提と出典'!D73+'前提と出典'!E73,IF(C624&lt;=100,'前提と出典'!D74+'前提と出典'!E74,IF(C624&lt;=500,'前提と出典'!D75+'前提と出典'!E75,'前提と出典'!D76+'前提と出典'!E76))))</ns0:f>
        <ns0:v>56510.9346263078</ns0:v>
      </ns0:c>
      <ns0:c r="O624" s="16">
        <ns0:f>IF('前提と出典'!$C$36+'前提と出典'!$C$38=0,0,'前提と出典'!$B$4*IF('前提と出典'!$B$20=0,MAX('前提と出典'!$B$6,D624*'前提と出典'!$B$5),'前提と出典'!$B$6+D624*'前提と出典'!$B$5))</ns0:f>
        <ns0:v>615649.6089385475</ns0:v>
      </ns0:c>
      <ns0:c r="P624" s="16">
        <ns0:f>(E624+G624)*(1-'前提と出典'!$B$7)-I624-K624-M624-O624</ns0:f>
        <ns0:v>1403142.4002756514</ns0:v>
      </ns0:c>
      <ns0:c r="Q624" s="16">
        <ns0:f>(F624+H624)*(1-'前提と出典'!$B$7)-J624-L624-N624</ns0:f>
        <ns0:v>536628.3308878954</ns0:v>
      </ns0:c>
      <ns0:c r="R624" s="16">
        <ns0:f>P624-E624*'前提と出典'!$E$4</ns0:f>
        <ns0:v>1043242.6941234313</ns0:v>
      </ns0:c>
      <ns0:c r="S624" s="16">
        <ns0:f>Q624-F624*'前提と出典'!$E$4</ns0:f>
        <ns0:v>395380.7716629504</ns0:v>
      </ns0:c>
      <ns0:c r="T624" s="7">
        <ns0:f>R624+S624</ns0:f>
        <ns0:v>1438623.4657863816</ns0:v>
      </ns0:c>
      <ns0:c r="U624" s="16">
        <ns0:f>P624-E624*'前提と出典'!$E$5</ns0:f>
        <ns0:v>923276.1254060245</ns0:v>
      </ns0:c>
      <ns0:c r="V624" s="16">
        <ns0:f>Q624-F624*'前提と出典'!$E$5</ns0:f>
        <ns0:v>348298.25192130206</ns0:v>
      </ns0:c>
      <ns0:c r="W624" s="7">
        <ns0:f>U624+V624</ns0:f>
        <ns0:v>1271574.3773273267</ns0:v>
      </ns0:c>
      <ns0:c r="X624" s="16">
        <ns0:f>P624-E624*'前提と出典'!$E$6</ns0:f>
        <ns0:v>803309.5566886179</ns0:v>
      </ns0:c>
      <ns0:c r="Y624" s="16">
        <ns0:f>Q624-F624*'前提と出典'!$E$6</ns0:f>
        <ns0:v>301215.7321796537</ns0:v>
      </ns0:c>
      <ns0:c r="Z624" s="7">
        <ns0:f>X624+Y624</ns0:f>
        <ns0:v>1104525.2888682717</ns0:v>
      </ns0:c>
      <ns0:c r="AA624" s="7">
        <ns0:f>IF(T624&gt;=0,A624,1001)</ns0:f>
        <ns0:v>620</ns0:v>
      </ns0:c>
      <ns0:c r="AB624" s="7">
        <ns0:f>IF(T624&lt;0,A624,0)</ns0:f>
        <ns0:v>0</ns0:v>
      </ns0:c>
      <ns0:c r="AC624" s="16">
        <ns0:f>IF(AND(OR('前提と出典'!$C$36+'前提と出典'!$C$38=0,R624&gt;=0),OR('前提と出典'!$C$37+'前提と出典'!$C$38=0,S624&gt;=0)),0,A624)</ns0:f>
        <ns0:v>0</ns0:v>
      </ns0:c>
      <ns0:c r="AD624" s="7">
        <ns0:f>IF(W624&gt;=0,A624,1001)</ns0:f>
        <ns0:v>620</ns0:v>
      </ns0:c>
      <ns0:c r="AE624" s="7">
        <ns0:f>IF(W624&lt;0,A624,0)</ns0:f>
        <ns0:v>0</ns0:v>
      </ns0:c>
      <ns0:c r="AF624" s="16">
        <ns0:f>IF(AND(OR('前提と出典'!$C$36+'前提と出典'!$C$38=0,U624&gt;=0),OR('前提と出典'!$C$37+'前提と出典'!$C$38=0,V624&gt;=0)),0,A624)</ns0:f>
        <ns0:v>0</ns0:v>
      </ns0:c>
      <ns0:c r="AG624" s="7">
        <ns0:f>IF(Z624&gt;=0,A624,1001)</ns0:f>
        <ns0:v>620</ns0:v>
      </ns0:c>
      <ns0:c r="AH624" s="4">
        <ns0:f>IF(Z624&lt;0,A624,0)</ns0:f>
        <ns0:v>0</ns0:v>
      </ns0:c>
      <ns0:c r="AI624" s="12">
        <ns0:f>IF(AND(OR('前提と出典'!$C$36+'前提と出典'!$C$38=0,X624&gt;=0),OR('前提と出典'!$C$37+'前提と出典'!$C$38=0,Y624&gt;=0)),0,A624)</ns0:f>
        <ns0:v>0</ns0:v>
      </ns0:c>
    </ns0:row>
    <ns0:row r="625" ht="24" customHeight="1">
      <ns0:c r="A625" s="4" t="n">
        <ns0:v>621</ns0:v>
      </ns0:c>
      <ns0:c r="B625" s="12">
        <ns0:f>A625*('前提と出典'!$C$36+'前提と出典'!$C$38)</ns0:f>
        <ns0:v>434.7</ns0:v>
      </ns0:c>
      <ns0:c r="C625" s="12">
        <ns0:f>A625*('前提と出典'!$C$37+'前提と出典'!$C$38)</ns0:f>
        <ns0:v>372.59999999999997</ns0:v>
      </ns0:c>
      <ns0:c r="D625" s="16">
        <ns0:f>A625*('前提と出典'!$C$36*'契約別単価'!C5+'前提と出典'!$C$37*'契約別単価'!C6+'前提と出典'!$C$38*'契約別単価'!C7)</ns0:f>
        <ns0:v>4468.424581005586</ns0:v>
      </ns0:c>
      <ns0:c r="E625" s="16">
        <ns0:f>A625*('前提と出典'!$C$36*'契約別単価'!E5+'前提と出典'!$C$37*'契約別単価'!E6+'前提と出典'!$C$38*'契約別単価'!E7)</ns0:f>
        <ns0:v>1201600.6318307992</ns0:v>
      </ns0:c>
      <ns0:c r="F625" s="16">
        <ns0:f>A625*('前提と出典'!$C$36*'契約別単価'!F5+'前提と出典'!$C$37*'契約別単価'!F6+'前提と出典'!$C$38*'契約別単価'!F7)</ns0:f>
        <ns0:v>471584.59289618745</ns0:v>
      </ns0:c>
      <ns0:c r="G625" s="16">
        <ns0:f>A625*('前提と出典'!$C$36*'契約別単価'!G5+'前提と出典'!$C$37*'契約別単価'!G6+'前提と出典'!$C$38*'契約別単価'!G7)</ns0:f>
        <ns0:v>1236102.2346368714</ns0:v>
      </ns0:c>
      <ns0:c r="H625" s="16">
        <ns0:f>A625*('前提と出典'!$C$36*'契約別単価'!H5+'前提と出典'!$C$37*'契約別単価'!H6+'前提と出典'!$C$38*'契約別単価'!H7)</ns0:f>
        <ns0:v>428989.47081777593</ns0:v>
      </ns0:c>
      <ns0:c r="I625" s="16">
        <ns0:f>A625*('前提と出典'!$C$36*'契約別単価'!I5+'前提と出典'!$C$37*'契約別単価'!I6+'前提と出典'!$C$38*'契約別単価'!I7)</ns0:f>
        <ns0:v>26203.424581005584</ns0:v>
      </ns0:c>
      <ns0:c r="J625" s="16">
        <ns0:f>A625*('前提と出典'!$C$36*'契約別単価'!J5+'前提と出典'!$C$37*'契約別単価'!J6+'前提と出典'!$C$38*'契約別単価'!J7)</ns0:f>
        <ns0:v>61037.806644097895</ns0:v>
      </ns0:c>
      <ns0:c r="K625" s="16">
        <ns0:f>A625*('前提と出典'!$C$36*'契約別単価'!K5+'前提と出典'!$C$37*'契約別単価'!K6+'前提と出典'!$C$38*'契約別単価'!K7)</ns0:f>
        <ns0:v>261629.4972067039</ns0:v>
      </ns0:c>
      <ns0:c r="L625" s="16">
        <ns0:f>A625*('前提と出典'!$C$36*'契約別単価'!L5+'前提と出典'!$C$37*'契約別単価'!L6+'前提と出典'!$C$38*'契約別単価'!L7)</ns0:f>
        <ns0:v>213019.6490272592</ns0:v>
      </ns0:c>
      <ns0:c r="M625" s="16">
        <ns0:f>IF(('前提と出典'!$C$36+'前提と出典'!$C$38)=0,0,IF(B625&lt;=10,'前提と出典'!B73+'前提と出典'!C73,IF(B625&lt;=100,'前提と出典'!B74+'前提と出典'!C74,IF(B625&lt;=500,'前提と出典'!B75+'前提と出典'!C75,'前提と出典'!B76+'前提と出典'!C76))))</ns0:f>
        <ns0:v>40000</ns0:v>
      </ns0:c>
      <ns0:c r="N625" s="16">
        <ns0:f>IF(('前提と出典'!$C$37+'前提と出典'!$C$38)=0,0,IF(C625&lt;=10,'前提と出典'!D73+'前提と出典'!E73,IF(C625&lt;=100,'前提と出典'!D74+'前提と出典'!E74,IF(C625&lt;=500,'前提と出典'!D75+'前提と出典'!E75,'前提と出典'!D76+'前提と出典'!E76))))</ns0:f>
        <ns0:v>56510.9346263078</ns0:v>
      </ns0:c>
      <ns0:c r="O625" s="16">
        <ns0:f>IF('前提と出典'!$C$36+'前提と出典'!$C$38=0,0,'前提と出典'!$B$4*IF('前提と出典'!$B$20=0,MAX('前提と出典'!$B$6,D625*'前提と出典'!$B$5),'前提と出典'!$B$6+D625*'前提と出典'!$B$5))</ns0:f>
        <ns0:v>616642.5921787709</ns0:v>
      </ns0:c>
      <ns0:c r="P625" s="16">
        <ns0:f>(E625+G625)*(1-'前提と出典'!$B$7)-I625-K625-M625-O625</ns0:f>
        <ns0:v>1405470.0493083538</ns0:v>
      </ns0:c>
      <ns0:c r="Q625" s="16">
        <ns0:f>(F625+H625)*(1-'前提と出典'!$B$7)-J625-L625-N625</ns0:f>
        <ns0:v>537585.0071225958</ns0:v>
      </ns0:c>
      <ns0:c r="R625" s="16">
        <ns0:f>P625-E625*'前提と出典'!$E$4</ns0:f>
        <ns0:v>1044989.8597591141</ns0:v>
      </ns0:c>
      <ns0:c r="S625" s="16">
        <ns0:f>Q625-F625*'前提と出典'!$E$4</ns0:f>
        <ns0:v>396109.6292537396</ns0:v>
      </ns0:c>
      <ns0:c r="T625" s="7">
        <ns0:f>R625+S625</ns0:f>
        <ns0:v>1441099.4890128537</ns0:v>
      </ns0:c>
      <ns0:c r="U625" s="16">
        <ns0:f>P625-E625*'前提と出典'!$E$5</ns0:f>
        <ns0:v>924829.7965760342</ns0:v>
      </ns0:c>
      <ns0:c r="V625" s="16">
        <ns0:f>Q625-F625*'前提と出典'!$E$5</ns0:f>
        <ns0:v>348951.16996412084</ns0:v>
      </ns0:c>
      <ns0:c r="W625" s="7">
        <ns0:f>U625+V625</ns0:f>
        <ns0:v>1273780.966540155</ns0:v>
      </ns0:c>
      <ns0:c r="X625" s="16">
        <ns0:f>P625-E625*'前提と出典'!$E$6</ns0:f>
        <ns0:v>804669.7333929542</ns0:v>
      </ns0:c>
      <ns0:c r="Y625" s="16">
        <ns0:f>Q625-F625*'前提と出典'!$E$6</ns0:f>
        <ns0:v>301792.7106745021</ns0:v>
      </ns0:c>
      <ns0:c r="Z625" s="7">
        <ns0:f>X625+Y625</ns0:f>
        <ns0:v>1106462.4440674563</ns0:v>
      </ns0:c>
      <ns0:c r="AA625" s="7">
        <ns0:f>IF(T625&gt;=0,A625,1001)</ns0:f>
        <ns0:v>621</ns0:v>
      </ns0:c>
      <ns0:c r="AB625" s="7">
        <ns0:f>IF(T625&lt;0,A625,0)</ns0:f>
        <ns0:v>0</ns0:v>
      </ns0:c>
      <ns0:c r="AC625" s="16">
        <ns0:f>IF(AND(OR('前提と出典'!$C$36+'前提と出典'!$C$38=0,R625&gt;=0),OR('前提と出典'!$C$37+'前提と出典'!$C$38=0,S625&gt;=0)),0,A625)</ns0:f>
        <ns0:v>0</ns0:v>
      </ns0:c>
      <ns0:c r="AD625" s="7">
        <ns0:f>IF(W625&gt;=0,A625,1001)</ns0:f>
        <ns0:v>621</ns0:v>
      </ns0:c>
      <ns0:c r="AE625" s="7">
        <ns0:f>IF(W625&lt;0,A625,0)</ns0:f>
        <ns0:v>0</ns0:v>
      </ns0:c>
      <ns0:c r="AF625" s="16">
        <ns0:f>IF(AND(OR('前提と出典'!$C$36+'前提と出典'!$C$38=0,U625&gt;=0),OR('前提と出典'!$C$37+'前提と出典'!$C$38=0,V625&gt;=0)),0,A625)</ns0:f>
        <ns0:v>0</ns0:v>
      </ns0:c>
      <ns0:c r="AG625" s="7">
        <ns0:f>IF(Z625&gt;=0,A625,1001)</ns0:f>
        <ns0:v>621</ns0:v>
      </ns0:c>
      <ns0:c r="AH625" s="4">
        <ns0:f>IF(Z625&lt;0,A625,0)</ns0:f>
        <ns0:v>0</ns0:v>
      </ns0:c>
      <ns0:c r="AI625" s="12">
        <ns0:f>IF(AND(OR('前提と出典'!$C$36+'前提と出典'!$C$38=0,X625&gt;=0),OR('前提と出典'!$C$37+'前提と出典'!$C$38=0,Y625&gt;=0)),0,A625)</ns0:f>
        <ns0:v>0</ns0:v>
      </ns0:c>
    </ns0:row>
    <ns0:row r="626" ht="24" customHeight="1">
      <ns0:c r="A626" s="4" t="n">
        <ns0:v>622</ns0:v>
      </ns0:c>
      <ns0:c r="B626" s="12">
        <ns0:f>A626*('前提と出典'!$C$36+'前提と出典'!$C$38)</ns0:f>
        <ns0:v>435.4</ns0:v>
      </ns0:c>
      <ns0:c r="C626" s="12">
        <ns0:f>A626*('前提と出典'!$C$37+'前提と出典'!$C$38)</ns0:f>
        <ns0:v>373.2</ns0:v>
      </ns0:c>
      <ns0:c r="D626" s="16">
        <ns0:f>A626*('前提と出典'!$C$36*'契約別単価'!C5+'前提と出典'!$C$37*'契約別単価'!C6+'前提と出典'!$C$38*'契約別単価'!C7)</ns0:f>
        <ns0:v>4475.620111731843</ns0:v>
      </ns0:c>
      <ns0:c r="E626" s="16">
        <ns0:f>A626*('前提と出典'!$C$36*'契約別単価'!E5+'前提と出典'!$C$37*'契約別単価'!E6+'前提と出典'!$C$38*'契約別単価'!E7)</ns0:f>
        <ns0:v>1203535.5764875317</ns0:v>
      </ns0:c>
      <ns0:c r="F626" s="16">
        <ns0:f>A626*('前提と出典'!$C$36*'契約別単価'!F5+'前提と出典'!$C$37*'契約別単価'!F6+'前提と出典'!$C$38*'契約別単価'!F7)</ns0:f>
        <ns0:v>472343.98837589147</ns0:v>
      </ns0:c>
      <ns0:c r="G626" s="16">
        <ns0:f>A626*('前提と出典'!$C$36*'契約別単価'!G5+'前提と出典'!$C$37*'契約別単価'!G6+'前提と出典'!$C$38*'契約別単価'!G7)</ns0:f>
        <ns0:v>1238092.7374301676</ns0:v>
      </ns0:c>
      <ns0:c r="H626" s="16">
        <ns0:f>A626*('前提と出典'!$C$36*'契約別単価'!H5+'前提と出典'!$C$37*'契約別単価'!H6+'前提と出典'!$C$38*'契約別単価'!H7)</ns0:f>
        <ns0:v>429680.2751186097</ns0:v>
      </ns0:c>
      <ns0:c r="I626" s="16">
        <ns0:f>A626*('前提と出典'!$C$36*'契約別単価'!I5+'前提と出典'!$C$37*'契約別単価'!I6+'前提と出典'!$C$38*'契約別単価'!I7)</ns0:f>
        <ns0:v>26245.620111731838</ns0:v>
      </ns0:c>
      <ns0:c r="J626" s="16">
        <ns0:f>A626*('前提と出典'!$C$36*'契約別単価'!J5+'前提と出典'!$C$37*'契約別単価'!J6+'前提と出典'!$C$38*'契約別単価'!J7)</ns0:f>
        <ns0:v>61136.096187808194</ns0:v>
      </ns0:c>
      <ns0:c r="K626" s="16">
        <ns0:f>A626*('前提と出典'!$C$36*'契約別単価'!K5+'前提と出典'!$C$37*'契約別単価'!K6+'前提と出典'!$C$38*'契約別単価'!K7)</ns0:f>
        <ns0:v>262050.80074487894</ns0:v>
      </ns0:c>
      <ns0:c r="L626" s="16">
        <ns0:f>A626*('前提と出典'!$C$36*'契約別単価'!L5+'前提と出典'!$C$37*'契約別単価'!L6+'前提と出典'!$C$38*'契約別単価'!L7)</ns0:f>
        <ns0:v>213362.67583728698</ns0:v>
      </ns0:c>
      <ns0:c r="M626" s="16">
        <ns0:f>IF(('前提と出典'!$C$36+'前提と出典'!$C$38)=0,0,IF(B626&lt;=10,'前提と出典'!B73+'前提と出典'!C73,IF(B626&lt;=100,'前提と出典'!B74+'前提と出典'!C74,IF(B626&lt;=500,'前提と出典'!B75+'前提と出典'!C75,'前提と出典'!B76+'前提と出典'!C76))))</ns0:f>
        <ns0:v>40000</ns0:v>
      </ns0:c>
      <ns0:c r="N626" s="16">
        <ns0:f>IF(('前提と出典'!$C$37+'前提と出典'!$C$38)=0,0,IF(C626&lt;=10,'前提と出典'!D73+'前提と出典'!E73,IF(C626&lt;=100,'前提と出典'!D74+'前提と出典'!E74,IF(C626&lt;=500,'前提と出典'!D75+'前提と出典'!E75,'前提と出典'!D76+'前提と出典'!E76))))</ns0:f>
        <ns0:v>56510.9346263078</ns0:v>
      </ns0:c>
      <ns0:c r="O626" s="16">
        <ns0:f>IF('前提と出典'!$C$36+'前提と出典'!$C$38=0,0,'前提と出典'!$B$4*IF('前提と出典'!$B$20=0,MAX('前提と出典'!$B$6,D626*'前提と出典'!$B$5),'前提と出典'!$B$6+D626*'前提と出典'!$B$5))</ns0:f>
        <ns0:v>617635.5754189944</ns0:v>
      </ns0:c>
      <ns0:c r="P626" s="16">
        <ns0:f>(E626+G626)*(1-'前提と出典'!$B$7)-I626-K626-M626-O626</ns0:f>
        <ns0:v>1407797.6983410572</ns0:v>
      </ns0:c>
      <ns0:c r="Q626" s="16">
        <ns0:f>(F626+H626)*(1-'前提と出典'!$B$7)-J626-L626-N626</ns0:f>
        <ns0:v>538541.683357296</ns0:v>
      </ns0:c>
      <ns0:c r="R626" s="16">
        <ns0:f>P626-E626*'前提と出典'!$E$4</ns0:f>
        <ns0:v>1046737.0253947977</ns0:v>
      </ns0:c>
      <ns0:c r="S626" s="16">
        <ns0:f>Q626-F626*'前提と出典'!$E$4</ns0:f>
        <ns0:v>396838.4868445286</ns0:v>
      </ns0:c>
      <ns0:c r="T626" s="7">
        <ns0:f>R626+S626</ns0:f>
        <ns0:v>1443575.5122393263</ns0:v>
      </ns0:c>
      <ns0:c r="U626" s="16">
        <ns0:f>P626-E626*'前提と出典'!$E$5</ns0:f>
        <ns0:v>926383.4677460444</ns0:v>
      </ns0:c>
      <ns0:c r="V626" s="16">
        <ns0:f>Q626-F626*'前提と出典'!$E$5</ns0:f>
        <ns0:v>349604.0880069395</ns0:v>
      </ns0:c>
      <ns0:c r="W626" s="7">
        <ns0:f>U626+V626</ns0:f>
        <ns0:v>1275987.5557529838</ns0:v>
      </ns0:c>
      <ns0:c r="X626" s="16">
        <ns0:f>P626-E626*'前提と出典'!$E$6</ns0:f>
        <ns0:v>806029.9100972911</ns0:v>
      </ns0:c>
      <ns0:c r="Y626" s="16">
        <ns0:f>Q626-F626*'前提と出典'!$E$6</ns0:f>
        <ns0:v>302369.6891693503</ns0:v>
      </ns0:c>
      <ns0:c r="Z626" s="7">
        <ns0:f>X626+Y626</ns0:f>
        <ns0:v>1108399.5992666413</ns0:v>
      </ns0:c>
      <ns0:c r="AA626" s="7">
        <ns0:f>IF(T626&gt;=0,A626,1001)</ns0:f>
        <ns0:v>622</ns0:v>
      </ns0:c>
      <ns0:c r="AB626" s="7">
        <ns0:f>IF(T626&lt;0,A626,0)</ns0:f>
        <ns0:v>0</ns0:v>
      </ns0:c>
      <ns0:c r="AC626" s="16">
        <ns0:f>IF(AND(OR('前提と出典'!$C$36+'前提と出典'!$C$38=0,R626&gt;=0),OR('前提と出典'!$C$37+'前提と出典'!$C$38=0,S626&gt;=0)),0,A626)</ns0:f>
        <ns0:v>0</ns0:v>
      </ns0:c>
      <ns0:c r="AD626" s="7">
        <ns0:f>IF(W626&gt;=0,A626,1001)</ns0:f>
        <ns0:v>622</ns0:v>
      </ns0:c>
      <ns0:c r="AE626" s="7">
        <ns0:f>IF(W626&lt;0,A626,0)</ns0:f>
        <ns0:v>0</ns0:v>
      </ns0:c>
      <ns0:c r="AF626" s="16">
        <ns0:f>IF(AND(OR('前提と出典'!$C$36+'前提と出典'!$C$38=0,U626&gt;=0),OR('前提と出典'!$C$37+'前提と出典'!$C$38=0,V626&gt;=0)),0,A626)</ns0:f>
        <ns0:v>0</ns0:v>
      </ns0:c>
      <ns0:c r="AG626" s="7">
        <ns0:f>IF(Z626&gt;=0,A626,1001)</ns0:f>
        <ns0:v>622</ns0:v>
      </ns0:c>
      <ns0:c r="AH626" s="4">
        <ns0:f>IF(Z626&lt;0,A626,0)</ns0:f>
        <ns0:v>0</ns0:v>
      </ns0:c>
      <ns0:c r="AI626" s="12">
        <ns0:f>IF(AND(OR('前提と出典'!$C$36+'前提と出典'!$C$38=0,X626&gt;=0),OR('前提と出典'!$C$37+'前提と出典'!$C$38=0,Y626&gt;=0)),0,A626)</ns0:f>
        <ns0:v>0</ns0:v>
      </ns0:c>
    </ns0:row>
    <ns0:row r="627" ht="24" customHeight="1">
      <ns0:c r="A627" s="4" t="n">
        <ns0:v>623</ns0:v>
      </ns0:c>
      <ns0:c r="B627" s="12">
        <ns0:f>A627*('前提と出典'!$C$36+'前提と出典'!$C$38)</ns0:f>
        <ns0:v>436.09999999999997</ns0:v>
      </ns0:c>
      <ns0:c r="C627" s="12">
        <ns0:f>A627*('前提と出典'!$C$37+'前提と出典'!$C$38)</ns0:f>
        <ns0:v>373.8</ns0:v>
      </ns0:c>
      <ns0:c r="D627" s="16">
        <ns0:f>A627*('前提と出典'!$C$36*'契約別単価'!C5+'前提と出典'!$C$37*'契約別単価'!C6+'前提と出典'!$C$38*'契約別単価'!C7)</ns0:f>
        <ns0:v>4482.8156424581</ns0:v>
      </ns0:c>
      <ns0:c r="E627" s="16">
        <ns0:f>A627*('前提と出典'!$C$36*'契約別単価'!E5+'前提と出典'!$C$37*'契約別単価'!E6+'前提と出典'!$C$38*'契約別単価'!E7)</ns0:f>
        <ns0:v>1205470.521144264</ns0:v>
      </ns0:c>
      <ns0:c r="F627" s="16">
        <ns0:f>A627*('前提と出典'!$C$36*'契約別単価'!F5+'前提と出典'!$C$37*'契約別単価'!F6+'前提と出典'!$C$38*'契約別単価'!F7)</ns0:f>
        <ns0:v>473103.3838555954</ns0:v>
      </ns0:c>
      <ns0:c r="G627" s="16">
        <ns0:f>A627*('前提と出典'!$C$36*'契約別単価'!G5+'前提と出典'!$C$37*'契約別単価'!G6+'前提と出典'!$C$38*'契約別単価'!G7)</ns0:f>
        <ns0:v>1240083.2402234636</ns0:v>
      </ns0:c>
      <ns0:c r="H627" s="16">
        <ns0:f>A627*('前提と出典'!$C$36*'契約別単価'!H5+'前提と出典'!$C$37*'契約別単価'!H6+'前提と出典'!$C$38*'契約別単価'!H7)</ns0:f>
        <ns0:v>430371.0794194435</ns0:v>
      </ns0:c>
      <ns0:c r="I627" s="16">
        <ns0:f>A627*('前提と出典'!$C$36*'契約別単価'!I5+'前提と出典'!$C$37*'契約別単価'!I6+'前提と出典'!$C$38*'契約別単価'!I7)</ns0:f>
        <ns0:v>26287.815642458096</ns0:v>
      </ns0:c>
      <ns0:c r="J627" s="16">
        <ns0:f>A627*('前提と出典'!$C$36*'契約別単価'!J5+'前提と出典'!$C$37*'契約別単価'!J6+'前提と出典'!$C$38*'契約別単価'!J7)</ns0:f>
        <ns0:v>61234.3857315185</ns0:v>
      </ns0:c>
      <ns0:c r="K627" s="16">
        <ns0:f>A627*('前提と出典'!$C$36*'契約別単価'!K5+'前提と出典'!$C$37*'契約別単価'!K6+'前提と出典'!$C$38*'契約別単価'!K7)</ns0:f>
        <ns0:v>262472.104283054</ns0:v>
      </ns0:c>
      <ns0:c r="L627" s="16">
        <ns0:f>A627*('前提と出典'!$C$36*'契約別単価'!L5+'前提と出典'!$C$37*'契約別単価'!L6+'前提と出典'!$C$38*'契約別単価'!L7)</ns0:f>
        <ns0:v>213705.70264731479</ns0:v>
      </ns0:c>
      <ns0:c r="M627" s="16">
        <ns0:f>IF(('前提と出典'!$C$36+'前提と出典'!$C$38)=0,0,IF(B627&lt;=10,'前提と出典'!B73+'前提と出典'!C73,IF(B627&lt;=100,'前提と出典'!B74+'前提と出典'!C74,IF(B627&lt;=500,'前提と出典'!B75+'前提と出典'!C75,'前提と出典'!B76+'前提と出典'!C76))))</ns0:f>
        <ns0:v>40000</ns0:v>
      </ns0:c>
      <ns0:c r="N627" s="16">
        <ns0:f>IF(('前提と出典'!$C$37+'前提と出典'!$C$38)=0,0,IF(C627&lt;=10,'前提と出典'!D73+'前提と出典'!E73,IF(C627&lt;=100,'前提と出典'!D74+'前提と出典'!E74,IF(C627&lt;=500,'前提と出典'!D75+'前提と出典'!E75,'前提と出典'!D76+'前提と出典'!E76))))</ns0:f>
        <ns0:v>56510.9346263078</ns0:v>
      </ns0:c>
      <ns0:c r="O627" s="16">
        <ns0:f>IF('前提と出典'!$C$36+'前提と出典'!$C$38=0,0,'前提と出典'!$B$4*IF('前提と出典'!$B$20=0,MAX('前提と出典'!$B$6,D627*'前提と出典'!$B$5),'前提と出典'!$B$6+D627*'前提と出典'!$B$5))</ns0:f>
        <ns0:v>618628.5586592179</ns0:v>
      </ns0:c>
      <ns0:c r="P627" s="16">
        <ns0:f>(E627+G627)*(1-'前提と出典'!$B$7)-I627-K627-M627-O627</ns0:f>
        <ns0:v>1410125.3473737594</ns0:v>
      </ns0:c>
      <ns0:c r="Q627" s="16">
        <ns0:f>(F627+H627)*(1-'前提と出典'!$B$7)-J627-L627-N627</ns0:f>
        <ns0:v>539498.3595919963</ns0:v>
      </ns0:c>
      <ns0:c r="R627" s="16">
        <ns0:f>P627-E627*'前提と出典'!$E$4</ns0:f>
        <ns0:v>1048484.1910304803</ns0:v>
      </ns0:c>
      <ns0:c r="S627" s="16">
        <ns0:f>Q627-F627*'前提と出典'!$E$4</ns0:f>
        <ns0:v>397567.3444353178</ns0:v>
      </ns0:c>
      <ns0:c r="T627" s="7">
        <ns0:f>R627+S627</ns0:f>
        <ns0:v>1446051.535465798</ns0:v>
      </ns0:c>
      <ns0:c r="U627" s="16">
        <ns0:f>P627-E627*'前提と出典'!$E$5</ns0:f>
        <ns0:v>927937.1389160537</ns0:v>
      </ns0:c>
      <ns0:c r="V627" s="16">
        <ns0:f>Q627-F627*'前提と出典'!$E$5</ns0:f>
        <ns0:v>350257.0060497582</ns0:v>
      </ns0:c>
      <ns0:c r="W627" s="7">
        <ns0:f>U627+V627</ns0:f>
        <ns0:v>1278194.1449658119</ns0:v>
      </ns0:c>
      <ns0:c r="X627" s="16">
        <ns0:f>P627-E627*'前提と出典'!$E$6</ns0:f>
        <ns0:v>807390.0868016275</ns0:v>
      </ns0:c>
      <ns0:c r="Y627" s="16">
        <ns0:f>Q627-F627*'前提と出典'!$E$6</ns0:f>
        <ns0:v>302946.66766419867</ns0:v>
      </ns0:c>
      <ns0:c r="Z627" s="7">
        <ns0:f>X627+Y627</ns0:f>
        <ns0:v>1110336.7544658263</ns0:v>
      </ns0:c>
      <ns0:c r="AA627" s="7">
        <ns0:f>IF(T627&gt;=0,A627,1001)</ns0:f>
        <ns0:v>623</ns0:v>
      </ns0:c>
      <ns0:c r="AB627" s="7">
        <ns0:f>IF(T627&lt;0,A627,0)</ns0:f>
        <ns0:v>0</ns0:v>
      </ns0:c>
      <ns0:c r="AC627" s="16">
        <ns0:f>IF(AND(OR('前提と出典'!$C$36+'前提と出典'!$C$38=0,R627&gt;=0),OR('前提と出典'!$C$37+'前提と出典'!$C$38=0,S627&gt;=0)),0,A627)</ns0:f>
        <ns0:v>0</ns0:v>
      </ns0:c>
      <ns0:c r="AD627" s="7">
        <ns0:f>IF(W627&gt;=0,A627,1001)</ns0:f>
        <ns0:v>623</ns0:v>
      </ns0:c>
      <ns0:c r="AE627" s="7">
        <ns0:f>IF(W627&lt;0,A627,0)</ns0:f>
        <ns0:v>0</ns0:v>
      </ns0:c>
      <ns0:c r="AF627" s="16">
        <ns0:f>IF(AND(OR('前提と出典'!$C$36+'前提と出典'!$C$38=0,U627&gt;=0),OR('前提と出典'!$C$37+'前提と出典'!$C$38=0,V627&gt;=0)),0,A627)</ns0:f>
        <ns0:v>0</ns0:v>
      </ns0:c>
      <ns0:c r="AG627" s="7">
        <ns0:f>IF(Z627&gt;=0,A627,1001)</ns0:f>
        <ns0:v>623</ns0:v>
      </ns0:c>
      <ns0:c r="AH627" s="4">
        <ns0:f>IF(Z627&lt;0,A627,0)</ns0:f>
        <ns0:v>0</ns0:v>
      </ns0:c>
      <ns0:c r="AI627" s="12">
        <ns0:f>IF(AND(OR('前提と出典'!$C$36+'前提と出典'!$C$38=0,X627&gt;=0),OR('前提と出典'!$C$37+'前提と出典'!$C$38=0,Y627&gt;=0)),0,A627)</ns0:f>
        <ns0:v>0</ns0:v>
      </ns0:c>
    </ns0:row>
    <ns0:row r="628" ht="24" customHeight="1">
      <ns0:c r="A628" s="4" t="n">
        <ns0:v>624</ns0:v>
      </ns0:c>
      <ns0:c r="B628" s="12">
        <ns0:f>A628*('前提と出典'!$C$36+'前提と出典'!$C$38)</ns0:f>
        <ns0:v>436.79999999999995</ns0:v>
      </ns0:c>
      <ns0:c r="C628" s="12">
        <ns0:f>A628*('前提と出典'!$C$37+'前提と出典'!$C$38)</ns0:f>
        <ns0:v>374.4</ns0:v>
      </ns0:c>
      <ns0:c r="D628" s="16">
        <ns0:f>A628*('前提と出典'!$C$36*'契約別単価'!C5+'前提と出典'!$C$37*'契約別単価'!C6+'前提と出典'!$C$38*'契約別単価'!C7)</ns0:f>
        <ns0:v>4490.011173184357</ns0:v>
      </ns0:c>
      <ns0:c r="E628" s="16">
        <ns0:f>A628*('前提と出典'!$C$36*'契約別単価'!E5+'前提と出典'!$C$37*'契約別単価'!E6+'前提と出典'!$C$38*'契約別単価'!E7)</ns0:f>
        <ns0:v>1207405.4658009964</ns0:v>
      </ns0:c>
      <ns0:c r="F628" s="16">
        <ns0:f>A628*('前提と出典'!$C$36*'契約別単価'!F5+'前提と出典'!$C$37*'契約別単価'!F6+'前提と出典'!$C$38*'契約別単価'!F7)</ns0:f>
        <ns0:v>473862.77933529945</ns0:v>
      </ns0:c>
      <ns0:c r="G628" s="16">
        <ns0:f>A628*('前提と出典'!$C$36*'契約別単価'!G5+'前提と出典'!$C$37*'契約別単価'!G6+'前提と出典'!$C$38*'契約別単価'!G7)</ns0:f>
        <ns0:v>1242073.7430167596</ns0:v>
      </ns0:c>
      <ns0:c r="H628" s="16">
        <ns0:f>A628*('前提と出典'!$C$36*'契約別単価'!H5+'前提と出典'!$C$37*'契約別単価'!H6+'前提と出典'!$C$38*'契約別単価'!H7)</ns0:f>
        <ns0:v>431061.8837202773</ns0:v>
      </ns0:c>
      <ns0:c r="I628" s="16">
        <ns0:f>A628*('前提と出典'!$C$36*'契約別単価'!I5+'前提と出典'!$C$37*'契約別単価'!I6+'前提と出典'!$C$38*'契約別単価'!I7)</ns0:f>
        <ns0:v>26330.011173184354</ns0:v>
      </ns0:c>
      <ns0:c r="J628" s="16">
        <ns0:f>A628*('前提と出典'!$C$36*'契約別単価'!J5+'前提と出典'!$C$37*'契約別単価'!J6+'前提と出典'!$C$38*'契約別単価'!J7)</ns0:f>
        <ns0:v>61332.6752752288</ns0:v>
      </ns0:c>
      <ns0:c r="K628" s="16">
        <ns0:f>A628*('前提と出典'!$C$36*'契約別単価'!K5+'前提と出典'!$C$37*'契約別単価'!K6+'前提と出典'!$C$38*'契約別単価'!K7)</ns0:f>
        <ns0:v>262893.407821229</ns0:v>
      </ns0:c>
      <ns0:c r="L628" s="16">
        <ns0:f>A628*('前提と出典'!$C$36*'契約別単価'!L5+'前提と出典'!$C$37*'契約別単価'!L6+'前提と出典'!$C$38*'契約別単価'!L7)</ns0:f>
        <ns0:v>214048.72945734256</ns0:v>
      </ns0:c>
      <ns0:c r="M628" s="16">
        <ns0:f>IF(('前提と出典'!$C$36+'前提と出典'!$C$38)=0,0,IF(B628&lt;=10,'前提と出典'!B73+'前提と出典'!C73,IF(B628&lt;=100,'前提と出典'!B74+'前提と出典'!C74,IF(B628&lt;=500,'前提と出典'!B75+'前提と出典'!C75,'前提と出典'!B76+'前提と出典'!C76))))</ns0:f>
        <ns0:v>40000</ns0:v>
      </ns0:c>
      <ns0:c r="N628" s="16">
        <ns0:f>IF(('前提と出典'!$C$37+'前提と出典'!$C$38)=0,0,IF(C628&lt;=10,'前提と出典'!D73+'前提と出典'!E73,IF(C628&lt;=100,'前提と出典'!D74+'前提と出典'!E74,IF(C628&lt;=500,'前提と出典'!D75+'前提と出典'!E75,'前提と出典'!D76+'前提と出典'!E76))))</ns0:f>
        <ns0:v>56510.9346263078</ns0:v>
      </ns0:c>
      <ns0:c r="O628" s="16">
        <ns0:f>IF('前提と出典'!$C$36+'前提と出典'!$C$38=0,0,'前提と出典'!$B$4*IF('前提と出典'!$B$20=0,MAX('前提と出典'!$B$6,D628*'前提と出典'!$B$5),'前提と出典'!$B$6+D628*'前提と出典'!$B$5))</ns0:f>
        <ns0:v>619621.5418994413</ns0:v>
      </ns0:c>
      <ns0:c r="P628" s="16">
        <ns0:f>(E628+G628)*(1-'前提と出典'!$B$7)-I628-K628-M628-O628</ns0:f>
        <ns0:v>1412452.996406462</ns0:v>
      </ns0:c>
      <ns0:c r="Q628" s="16">
        <ns0:f>(F628+H628)*(1-'前提と出典'!$B$7)-J628-L628-N628</ns0:f>
        <ns0:v>540455.0358266968</ns0:v>
      </ns0:c>
      <ns0:c r="R628" s="16">
        <ns0:f>P628-E628*'前提と出典'!$E$4</ns0:f>
        <ns0:v>1050231.356666163</ns0:v>
      </ns0:c>
      <ns0:c r="S628" s="16">
        <ns0:f>Q628-F628*'前提と出典'!$E$4</ns0:f>
        <ns0:v>398296.202026107</ns0:v>
      </ns0:c>
      <ns0:c r="T628" s="7">
        <ns0:f>R628+S628</ns0:f>
        <ns0:v>1448527.55869227</ns0:v>
      </ns0:c>
      <ns0:c r="U628" s="16">
        <ns0:f>P628-E628*'前提と出典'!$E$5</ns0:f>
        <ns0:v>929490.8100860636</ns0:v>
      </ns0:c>
      <ns0:c r="V628" s="16">
        <ns0:f>Q628-F628*'前提と出典'!$E$5</ns0:f>
        <ns0:v>350909.92409257696</ns0:v>
      </ns0:c>
      <ns0:c r="W628" s="7">
        <ns0:f>U628+V628</ns0:f>
        <ns0:v>1280400.7341786404</ns0:v>
      </ns0:c>
      <ns0:c r="X628" s="16">
        <ns0:f>P628-E628*'前提と出典'!$E$6</ns0:f>
        <ns0:v>808750.2635059638</ns0:v>
      </ns0:c>
      <ns0:c r="Y628" s="16">
        <ns0:f>Q628-F628*'前提と出典'!$E$6</ns0:f>
        <ns0:v>303523.646159047</ns0:v>
      </ns0:c>
      <ns0:c r="Z628" s="7">
        <ns0:f>X628+Y628</ns0:f>
        <ns0:v>1112273.9096650109</ns0:v>
      </ns0:c>
      <ns0:c r="AA628" s="7">
        <ns0:f>IF(T628&gt;=0,A628,1001)</ns0:f>
        <ns0:v>624</ns0:v>
      </ns0:c>
      <ns0:c r="AB628" s="7">
        <ns0:f>IF(T628&lt;0,A628,0)</ns0:f>
        <ns0:v>0</ns0:v>
      </ns0:c>
      <ns0:c r="AC628" s="16">
        <ns0:f>IF(AND(OR('前提と出典'!$C$36+'前提と出典'!$C$38=0,R628&gt;=0),OR('前提と出典'!$C$37+'前提と出典'!$C$38=0,S628&gt;=0)),0,A628)</ns0:f>
        <ns0:v>0</ns0:v>
      </ns0:c>
      <ns0:c r="AD628" s="7">
        <ns0:f>IF(W628&gt;=0,A628,1001)</ns0:f>
        <ns0:v>624</ns0:v>
      </ns0:c>
      <ns0:c r="AE628" s="7">
        <ns0:f>IF(W628&lt;0,A628,0)</ns0:f>
        <ns0:v>0</ns0:v>
      </ns0:c>
      <ns0:c r="AF628" s="16">
        <ns0:f>IF(AND(OR('前提と出典'!$C$36+'前提と出典'!$C$38=0,U628&gt;=0),OR('前提と出典'!$C$37+'前提と出典'!$C$38=0,V628&gt;=0)),0,A628)</ns0:f>
        <ns0:v>0</ns0:v>
      </ns0:c>
      <ns0:c r="AG628" s="7">
        <ns0:f>IF(Z628&gt;=0,A628,1001)</ns0:f>
        <ns0:v>624</ns0:v>
      </ns0:c>
      <ns0:c r="AH628" s="4">
        <ns0:f>IF(Z628&lt;0,A628,0)</ns0:f>
        <ns0:v>0</ns0:v>
      </ns0:c>
      <ns0:c r="AI628" s="12">
        <ns0:f>IF(AND(OR('前提と出典'!$C$36+'前提と出典'!$C$38=0,X628&gt;=0),OR('前提と出典'!$C$37+'前提と出典'!$C$38=0,Y628&gt;=0)),0,A628)</ns0:f>
        <ns0:v>0</ns0:v>
      </ns0:c>
    </ns0:row>
    <ns0:row r="629" ht="24" customHeight="1">
      <ns0:c r="A629" s="4" t="n">
        <ns0:v>625</ns0:v>
      </ns0:c>
      <ns0:c r="B629" s="12">
        <ns0:f>A629*('前提と出典'!$C$36+'前提と出典'!$C$38)</ns0:f>
        <ns0:v>437.5</ns0:v>
      </ns0:c>
      <ns0:c r="C629" s="12">
        <ns0:f>A629*('前提と出典'!$C$37+'前提と出典'!$C$38)</ns0:f>
        <ns0:v>375</ns0:v>
      </ns0:c>
      <ns0:c r="D629" s="16">
        <ns0:f>A629*('前提と出典'!$C$36*'契約別単価'!C5+'前提と出典'!$C$37*'契約別単価'!C6+'前提と出典'!$C$38*'契約別単価'!C7)</ns0:f>
        <ns0:v>4497.206703910614</ns0:v>
      </ns0:c>
      <ns0:c r="E629" s="16">
        <ns0:f>A629*('前提と出典'!$C$36*'契約別単価'!E5+'前提と出典'!$C$37*'契約別単価'!E6+'前提と出典'!$C$38*'契約別単価'!E7)</ns0:f>
        <ns0:v>1209340.4104577287</ns0:v>
      </ns0:c>
      <ns0:c r="F629" s="16">
        <ns0:f>A629*('前提と出典'!$C$36*'契約別単価'!F5+'前提と出典'!$C$37*'契約別単価'!F6+'前提と出典'!$C$38*'契約別単価'!F7)</ns0:f>
        <ns0:v>474622.17481500347</ns0:v>
      </ns0:c>
      <ns0:c r="G629" s="16">
        <ns0:f>A629*('前提と出典'!$C$36*'契約別単価'!G5+'前提と出典'!$C$37*'契約別単価'!G6+'前提と出典'!$C$38*'契約別単価'!G7)</ns0:f>
        <ns0:v>1244064.2458100559</ns0:v>
      </ns0:c>
      <ns0:c r="H629" s="16">
        <ns0:f>A629*('前提と出典'!$C$36*'契約別単価'!H5+'前提と出典'!$C$37*'契約別単価'!H6+'前提と出典'!$C$38*'契約別単価'!H7)</ns0:f>
        <ns0:v>431752.68802111107</ns0:v>
      </ns0:c>
      <ns0:c r="I629" s="16">
        <ns0:f>A629*('前提と出典'!$C$36*'契約別単価'!I5+'前提と出典'!$C$37*'契約別単価'!I6+'前提と出典'!$C$38*'契約別単価'!I7)</ns0:f>
        <ns0:v>26372.20670391061</ns0:v>
      </ns0:c>
      <ns0:c r="J629" s="16">
        <ns0:f>A629*('前提と出典'!$C$36*'契約別単価'!J5+'前提と出典'!$C$37*'契約別単価'!J6+'前提と出典'!$C$38*'契約別単価'!J7)</ns0:f>
        <ns0:v>61430.9648189391</ns0:v>
      </ns0:c>
      <ns0:c r="K629" s="16">
        <ns0:f>A629*('前提と出典'!$C$36*'契約別単価'!K5+'前提と出典'!$C$37*'契約別単価'!K6+'前提と出典'!$C$38*'契約別単価'!K7)</ns0:f>
        <ns0:v>263314.7113594041</ns0:v>
      </ns0:c>
      <ns0:c r="L629" s="16">
        <ns0:f>A629*('前提と出典'!$C$36*'契約別単価'!L5+'前提と出典'!$C$37*'契約別単価'!L6+'前提と出典'!$C$38*'契約別単価'!L7)</ns0:f>
        <ns0:v>214391.75626737037</ns0:v>
      </ns0:c>
      <ns0:c r="M629" s="16">
        <ns0:f>IF(('前提と出典'!$C$36+'前提と出典'!$C$38)=0,0,IF(B629&lt;=10,'前提と出典'!B73+'前提と出典'!C73,IF(B629&lt;=100,'前提と出典'!B74+'前提と出典'!C74,IF(B629&lt;=500,'前提と出典'!B75+'前提と出典'!C75,'前提と出典'!B76+'前提と出典'!C76))))</ns0:f>
        <ns0:v>40000</ns0:v>
      </ns0:c>
      <ns0:c r="N629" s="16">
        <ns0:f>IF(('前提と出典'!$C$37+'前提と出典'!$C$38)=0,0,IF(C629&lt;=10,'前提と出典'!D73+'前提と出典'!E73,IF(C629&lt;=100,'前提と出典'!D74+'前提と出典'!E74,IF(C629&lt;=500,'前提と出典'!D75+'前提と出典'!E75,'前提と出典'!D76+'前提と出典'!E76))))</ns0:f>
        <ns0:v>56510.9346263078</ns0:v>
      </ns0:c>
      <ns0:c r="O629" s="16">
        <ns0:f>IF('前提と出典'!$C$36+'前提と出典'!$C$38=0,0,'前提と出典'!$B$4*IF('前提と出典'!$B$20=0,MAX('前提と出典'!$B$6,D629*'前提と出典'!$B$5),'前提と出典'!$B$6+D629*'前提と出典'!$B$5))</ns0:f>
        <ns0:v>620614.5251396648</ns0:v>
      </ns0:c>
      <ns0:c r="P629" s="16">
        <ns0:f>(E629+G629)*(1-'前提と出典'!$B$7)-I629-K629-M629-O629</ns0:f>
        <ns0:v>1414780.6454391652</ns0:v>
      </ns0:c>
      <ns0:c r="Q629" s="16">
        <ns0:f>(F629+H629)*(1-'前提と出典'!$B$7)-J629-L629-N629</ns0:f>
        <ns0:v>541411.7120613973</ns0:v>
      </ns0:c>
      <ns0:c r="R629" s="16">
        <ns0:f>P629-E629*'前提と出典'!$E$4</ns0:f>
        <ns0:v>1051978.5223018464</ns0:v>
      </ns0:c>
      <ns0:c r="S629" s="16">
        <ns0:f>Q629-F629*'前提と出典'!$E$4</ns0:f>
        <ns0:v>399025.05961689615</ns0:v>
      </ns0:c>
      <ns0:c r="T629" s="7">
        <ns0:f>R629+S629</ns0:f>
        <ns0:v>1451003.5819187425</ns0:v>
      </ns0:c>
      <ns0:c r="U629" s="16">
        <ns0:f>P629-E629*'前提と出典'!$E$5</ns0:f>
        <ns0:v>931044.4812560736</ns0:v>
      </ns0:c>
      <ns0:c r="V629" s="16">
        <ns0:f>Q629-F629*'前提と出典'!$E$5</ns0:f>
        <ns0:v>351562.8421353958</ns0:v>
      </ns0:c>
      <ns0:c r="W629" s="7">
        <ns0:f>U629+V629</ns0:f>
        <ns0:v>1282607.3233914694</ns0:v>
      </ns0:c>
      <ns0:c r="X629" s="16">
        <ns0:f>P629-E629*'前提と出典'!$E$6</ns0:f>
        <ns0:v>810110.4402103007</ns0:v>
      </ns0:c>
      <ns0:c r="Y629" s="16">
        <ns0:f>Q629-F629*'前提と出典'!$E$6</ns0:f>
        <ns0:v>304100.62465389544</ns0:v>
      </ns0:c>
      <ns0:c r="Z629" s="7">
        <ns0:f>X629+Y629</ns0:f>
        <ns0:v>1114211.064864196</ns0:v>
      </ns0:c>
      <ns0:c r="AA629" s="7">
        <ns0:f>IF(T629&gt;=0,A629,1001)</ns0:f>
        <ns0:v>625</ns0:v>
      </ns0:c>
      <ns0:c r="AB629" s="7">
        <ns0:f>IF(T629&lt;0,A629,0)</ns0:f>
        <ns0:v>0</ns0:v>
      </ns0:c>
      <ns0:c r="AC629" s="16">
        <ns0:f>IF(AND(OR('前提と出典'!$C$36+'前提と出典'!$C$38=0,R629&gt;=0),OR('前提と出典'!$C$37+'前提と出典'!$C$38=0,S629&gt;=0)),0,A629)</ns0:f>
        <ns0:v>0</ns0:v>
      </ns0:c>
      <ns0:c r="AD629" s="7">
        <ns0:f>IF(W629&gt;=0,A629,1001)</ns0:f>
        <ns0:v>625</ns0:v>
      </ns0:c>
      <ns0:c r="AE629" s="7">
        <ns0:f>IF(W629&lt;0,A629,0)</ns0:f>
        <ns0:v>0</ns0:v>
      </ns0:c>
      <ns0:c r="AF629" s="16">
        <ns0:f>IF(AND(OR('前提と出典'!$C$36+'前提と出典'!$C$38=0,U629&gt;=0),OR('前提と出典'!$C$37+'前提と出典'!$C$38=0,V629&gt;=0)),0,A629)</ns0:f>
        <ns0:v>0</ns0:v>
      </ns0:c>
      <ns0:c r="AG629" s="7">
        <ns0:f>IF(Z629&gt;=0,A629,1001)</ns0:f>
        <ns0:v>625</ns0:v>
      </ns0:c>
      <ns0:c r="AH629" s="4">
        <ns0:f>IF(Z629&lt;0,A629,0)</ns0:f>
        <ns0:v>0</ns0:v>
      </ns0:c>
      <ns0:c r="AI629" s="12">
        <ns0:f>IF(AND(OR('前提と出典'!$C$36+'前提と出典'!$C$38=0,X629&gt;=0),OR('前提と出典'!$C$37+'前提と出典'!$C$38=0,Y629&gt;=0)),0,A629)</ns0:f>
        <ns0:v>0</ns0:v>
      </ns0:c>
    </ns0:row>
    <ns0:row r="630" ht="24" customHeight="1">
      <ns0:c r="A630" s="4" t="n">
        <ns0:v>626</ns0:v>
      </ns0:c>
      <ns0:c r="B630" s="12">
        <ns0:f>A630*('前提と出典'!$C$36+'前提と出典'!$C$38)</ns0:f>
        <ns0:v>438.2</ns0:v>
      </ns0:c>
      <ns0:c r="C630" s="12">
        <ns0:f>A630*('前提と出典'!$C$37+'前提と出典'!$C$38)</ns0:f>
        <ns0:v>375.59999999999997</ns0:v>
      </ns0:c>
      <ns0:c r="D630" s="16">
        <ns0:f>A630*('前提と出典'!$C$36*'契約別単価'!C5+'前提と出典'!$C$37*'契約別単価'!C6+'前提と出典'!$C$38*'契約別単価'!C7)</ns0:f>
        <ns0:v>4504.402234636871</ns0:v>
      </ns0:c>
      <ns0:c r="E630" s="16">
        <ns0:f>A630*('前提と出典'!$C$36*'契約別単価'!E5+'前提と出典'!$C$37*'契約別単価'!E6+'前提と出典'!$C$38*'契約別単価'!E7)</ns0:f>
        <ns0:v>1211275.3551144612</ns0:v>
      </ns0:c>
      <ns0:c r="F630" s="16">
        <ns0:f>A630*('前提と出典'!$C$36*'契約別単価'!F5+'前提と出典'!$C$37*'契約別単価'!F6+'前提と出典'!$C$38*'契約別単価'!F7)</ns0:f>
        <ns0:v>475381.5702947075</ns0:v>
      </ns0:c>
      <ns0:c r="G630" s="16">
        <ns0:f>A630*('前提と出典'!$C$36*'契約別単価'!G5+'前提と出典'!$C$37*'契約別単価'!G6+'前提と出典'!$C$38*'契約別単価'!G7)</ns0:f>
        <ns0:v>1246054.7486033519</ns0:v>
      </ns0:c>
      <ns0:c r="H630" s="16">
        <ns0:f>A630*('前提と出典'!$C$36*'契約別単価'!H5+'前提と出典'!$C$37*'契約別単価'!H6+'前提と出典'!$C$38*'契約別単価'!H7)</ns0:f>
        <ns0:v>432443.49232194485</ns0:v>
      </ns0:c>
      <ns0:c r="I630" s="16">
        <ns0:f>A630*('前提と出典'!$C$36*'契約別単価'!I5+'前提と出典'!$C$37*'契約別単価'!I6+'前提と出典'!$C$38*'契約別単価'!I7)</ns0:f>
        <ns0:v>26414.402234636866</ns0:v>
      </ns0:c>
      <ns0:c r="J630" s="16">
        <ns0:f>A630*('前提と出典'!$C$36*'契約別単価'!J5+'前提と出典'!$C$37*'契約別単価'!J6+'前提と出典'!$C$38*'契約別単価'!J7)</ns0:f>
        <ns0:v>61529.25436264941</ns0:v>
      </ns0:c>
      <ns0:c r="K630" s="16">
        <ns0:f>A630*('前提と出典'!$C$36*'契約別単価'!K5+'前提と出典'!$C$37*'契約別単価'!K6+'前提と出典'!$C$38*'契約別単価'!K7)</ns0:f>
        <ns0:v>263736.01489757915</ns0:v>
      </ns0:c>
      <ns0:c r="L630" s="16">
        <ns0:f>A630*('前提と出典'!$C$36*'契約別単価'!L5+'前提と出典'!$C$37*'契約別単価'!L6+'前提と出典'!$C$38*'契約別単価'!L7)</ns0:f>
        <ns0:v>214734.78307739814</ns0:v>
      </ns0:c>
      <ns0:c r="M630" s="16">
        <ns0:f>IF(('前提と出典'!$C$36+'前提と出典'!$C$38)=0,0,IF(B630&lt;=10,'前提と出典'!B73+'前提と出典'!C73,IF(B630&lt;=100,'前提と出典'!B74+'前提と出典'!C74,IF(B630&lt;=500,'前提と出典'!B75+'前提と出典'!C75,'前提と出典'!B76+'前提と出典'!C76))))</ns0:f>
        <ns0:v>40000</ns0:v>
      </ns0:c>
      <ns0:c r="N630" s="16">
        <ns0:f>IF(('前提と出典'!$C$37+'前提と出典'!$C$38)=0,0,IF(C630&lt;=10,'前提と出典'!D73+'前提と出典'!E73,IF(C630&lt;=100,'前提と出典'!D74+'前提と出典'!E74,IF(C630&lt;=500,'前提と出典'!D75+'前提と出典'!E75,'前提と出典'!D76+'前提と出典'!E76))))</ns0:f>
        <ns0:v>56510.9346263078</ns0:v>
      </ns0:c>
      <ns0:c r="O630" s="16">
        <ns0:f>IF('前提と出典'!$C$36+'前提と出典'!$C$38=0,0,'前提と出典'!$B$4*IF('前提と出典'!$B$20=0,MAX('前提と出典'!$B$6,D630*'前提と出典'!$B$5),'前提と出典'!$B$6+D630*'前提と出典'!$B$5))</ns0:f>
        <ns0:v>621607.5083798883</ns0:v>
      </ns0:c>
      <ns0:c r="P630" s="16">
        <ns0:f>(E630+G630)*(1-'前提と出典'!$B$7)-I630-K630-M630-O630</ns0:f>
        <ns0:v>1417108.2944718676</ns0:v>
      </ns0:c>
      <ns0:c r="Q630" s="16">
        <ns0:f>(F630+H630)*(1-'前提と出典'!$B$7)-J630-L630-N630</ns0:f>
        <ns0:v>542368.3882960975</ns0:v>
      </ns0:c>
      <ns0:c r="R630" s="16">
        <ns0:f>P630-E630*'前提と出典'!$E$4</ns0:f>
        <ns0:v>1053725.6879375293</ns0:v>
      </ns0:c>
      <ns0:c r="S630" s="16">
        <ns0:f>Q630-F630*'前提と出典'!$E$4</ns0:f>
        <ns0:v>399753.91720768536</ns0:v>
      </ns0:c>
      <ns0:c r="T630" s="7">
        <ns0:f>R630+S630</ns0:f>
        <ns0:v>1453479.6051452146</ns0:v>
      </ns0:c>
      <ns0:c r="U630" s="16">
        <ns0:f>P630-E630*'前提と出典'!$E$5</ns0:f>
        <ns0:v>932598.1524260831</ns0:v>
      </ns0:c>
      <ns0:c r="V630" s="16">
        <ns0:f>Q630-F630*'前提と出典'!$E$5</ns0:f>
        <ns0:v>352215.76017821446</ns0:v>
      </ns0:c>
      <ns0:c r="W630" s="7">
        <ns0:f>U630+V630</ns0:f>
        <ns0:v>1284813.9126042975</ns0:v>
      </ns0:c>
      <ns0:c r="X630" s="16">
        <ns0:f>P630-E630*'前提と出典'!$E$6</ns0:f>
        <ns0:v>811470.6169146372</ns0:v>
      </ns0:c>
      <ns0:c r="Y630" s="16">
        <ns0:f>Q630-F630*'前提と出典'!$E$6</ns0:f>
        <ns0:v>304677.6031487438</ns0:v>
      </ns0:c>
      <ns0:c r="Z630" s="7">
        <ns0:f>X630+Y630</ns0:f>
        <ns0:v>1116148.220063381</ns0:v>
      </ns0:c>
      <ns0:c r="AA630" s="7">
        <ns0:f>IF(T630&gt;=0,A630,1001)</ns0:f>
        <ns0:v>626</ns0:v>
      </ns0:c>
      <ns0:c r="AB630" s="7">
        <ns0:f>IF(T630&lt;0,A630,0)</ns0:f>
        <ns0:v>0</ns0:v>
      </ns0:c>
      <ns0:c r="AC630" s="16">
        <ns0:f>IF(AND(OR('前提と出典'!$C$36+'前提と出典'!$C$38=0,R630&gt;=0),OR('前提と出典'!$C$37+'前提と出典'!$C$38=0,S630&gt;=0)),0,A630)</ns0:f>
        <ns0:v>0</ns0:v>
      </ns0:c>
      <ns0:c r="AD630" s="7">
        <ns0:f>IF(W630&gt;=0,A630,1001)</ns0:f>
        <ns0:v>626</ns0:v>
      </ns0:c>
      <ns0:c r="AE630" s="7">
        <ns0:f>IF(W630&lt;0,A630,0)</ns0:f>
        <ns0:v>0</ns0:v>
      </ns0:c>
      <ns0:c r="AF630" s="16">
        <ns0:f>IF(AND(OR('前提と出典'!$C$36+'前提と出典'!$C$38=0,U630&gt;=0),OR('前提と出典'!$C$37+'前提と出典'!$C$38=0,V630&gt;=0)),0,A630)</ns0:f>
        <ns0:v>0</ns0:v>
      </ns0:c>
      <ns0:c r="AG630" s="7">
        <ns0:f>IF(Z630&gt;=0,A630,1001)</ns0:f>
        <ns0:v>626</ns0:v>
      </ns0:c>
      <ns0:c r="AH630" s="4">
        <ns0:f>IF(Z630&lt;0,A630,0)</ns0:f>
        <ns0:v>0</ns0:v>
      </ns0:c>
      <ns0:c r="AI630" s="12">
        <ns0:f>IF(AND(OR('前提と出典'!$C$36+'前提と出典'!$C$38=0,X630&gt;=0),OR('前提と出典'!$C$37+'前提と出典'!$C$38=0,Y630&gt;=0)),0,A630)</ns0:f>
        <ns0:v>0</ns0:v>
      </ns0:c>
    </ns0:row>
    <ns0:row r="631" ht="24" customHeight="1">
      <ns0:c r="A631" s="4" t="n">
        <ns0:v>627</ns0:v>
      </ns0:c>
      <ns0:c r="B631" s="12">
        <ns0:f>A631*('前提と出典'!$C$36+'前提と出典'!$C$38)</ns0:f>
        <ns0:v>438.9</ns0:v>
      </ns0:c>
      <ns0:c r="C631" s="12">
        <ns0:f>A631*('前提と出典'!$C$37+'前提と出典'!$C$38)</ns0:f>
        <ns0:v>376.2</ns0:v>
      </ns0:c>
      <ns0:c r="D631" s="16">
        <ns0:f>A631*('前提と出典'!$C$36*'契約別単価'!C5+'前提と出典'!$C$37*'契約別単価'!C6+'前提と出典'!$C$38*'契約別単価'!C7)</ns0:f>
        <ns0:v>4511.597765363128</ns0:v>
      </ns0:c>
      <ns0:c r="E631" s="16">
        <ns0:f>A631*('前提と出典'!$C$36*'契約別単価'!E5+'前提と出典'!$C$37*'契約別単価'!E6+'前提と出典'!$C$38*'契約別単価'!E7)</ns0:f>
        <ns0:v>1213210.2997711934</ns0:v>
      </ns0:c>
      <ns0:c r="F631" s="16">
        <ns0:f>A631*('前提と出典'!$C$36*'契約別単価'!F5+'前提と出典'!$C$37*'契約別単価'!F6+'前提と出典'!$C$38*'契約別単価'!F7)</ns0:f>
        <ns0:v>476140.96577441145</ns0:v>
      </ns0:c>
      <ns0:c r="G631" s="16">
        <ns0:f>A631*('前提と出典'!$C$36*'契約別単価'!G5+'前提と出典'!$C$37*'契約別単価'!G6+'前提と出典'!$C$38*'契約別単価'!G7)</ns0:f>
        <ns0:v>1248045.251396648</ns0:v>
      </ns0:c>
      <ns0:c r="H631" s="16">
        <ns0:f>A631*('前提と出典'!$C$36*'契約別単価'!H5+'前提と出典'!$C$37*'契約別単価'!H6+'前提と出典'!$C$38*'契約別単価'!H7)</ns0:f>
        <ns0:v>433134.29662277864</ns0:v>
      </ns0:c>
      <ns0:c r="I631" s="16">
        <ns0:f>A631*('前提と出典'!$C$36*'契約別単価'!I5+'前提と出典'!$C$37*'契約別単価'!I6+'前提と出典'!$C$38*'契約別単価'!I7)</ns0:f>
        <ns0:v>26456.597765363123</ns0:v>
      </ns0:c>
      <ns0:c r="J631" s="16">
        <ns0:f>A631*('前提と出典'!$C$36*'契約別単価'!J5+'前提と出典'!$C$37*'契約別単価'!J6+'前提と出典'!$C$38*'契約別単価'!J7)</ns0:f>
        <ns0:v>61627.54390635971</ns0:v>
      </ns0:c>
      <ns0:c r="K631" s="16">
        <ns0:f>A631*('前提と出典'!$C$36*'契約別単価'!K5+'前提と出典'!$C$37*'契約別単価'!K6+'前提と出典'!$C$38*'契約別単価'!K7)</ns0:f>
        <ns0:v>264157.31843575416</ns0:v>
      </ns0:c>
      <ns0:c r="L631" s="16">
        <ns0:f>A631*('前提と出典'!$C$36*'契約別単価'!L5+'前提と出典'!$C$37*'契約別単価'!L6+'前提と出典'!$C$38*'契約別単価'!L7)</ns0:f>
        <ns0:v>215077.80988742594</ns0:v>
      </ns0:c>
      <ns0:c r="M631" s="16">
        <ns0:f>IF(('前提と出典'!$C$36+'前提と出典'!$C$38)=0,0,IF(B631&lt;=10,'前提と出典'!B73+'前提と出典'!C73,IF(B631&lt;=100,'前提と出典'!B74+'前提と出典'!C74,IF(B631&lt;=500,'前提と出典'!B75+'前提と出典'!C75,'前提と出典'!B76+'前提と出典'!C76))))</ns0:f>
        <ns0:v>40000</ns0:v>
      </ns0:c>
      <ns0:c r="N631" s="16">
        <ns0:f>IF(('前提と出典'!$C$37+'前提と出典'!$C$38)=0,0,IF(C631&lt;=10,'前提と出典'!D73+'前提と出典'!E73,IF(C631&lt;=100,'前提と出典'!D74+'前提と出典'!E74,IF(C631&lt;=500,'前提と出典'!D75+'前提と出典'!E75,'前提と出典'!D76+'前提と出典'!E76))))</ns0:f>
        <ns0:v>56510.9346263078</ns0:v>
      </ns0:c>
      <ns0:c r="O631" s="16">
        <ns0:f>IF('前提と出典'!$C$36+'前提と出典'!$C$38=0,0,'前提と出典'!$B$4*IF('前提と出典'!$B$20=0,MAX('前提と出典'!$B$6,D631*'前提と出典'!$B$5),'前提と出典'!$B$6+D631*'前提と出典'!$B$5))</ns0:f>
        <ns0:v>622600.4916201117</ns0:v>
      </ns0:c>
      <ns0:c r="P631" s="16">
        <ns0:f>(E631+G631)*(1-'前提と出典'!$B$7)-I631-K631-M631-O631</ns0:f>
        <ns0:v>1419435.9435045698</ns0:v>
      </ns0:c>
      <ns0:c r="Q631" s="16">
        <ns0:f>(F631+H631)*(1-'前提と出典'!$B$7)-J631-L631-N631</ns0:f>
        <ns0:v>543325.0645307978</ns0:v>
      </ns0:c>
      <ns0:c r="R631" s="16">
        <ns0:f>P631-E631*'前提と出典'!$E$4</ns0:f>
        <ns0:v>1055472.8535732117</ns0:v>
      </ns0:c>
      <ns0:c r="S631" s="16">
        <ns0:f>Q631-F631*'前提と出典'!$E$4</ns0:f>
        <ns0:v>400482.7747984743</ns0:v>
      </ns0:c>
      <ns0:c r="T631" s="7">
        <ns0:f>R631+S631</ns0:f>
        <ns0:v>1455955.628371686</ns0:v>
      </ns0:c>
      <ns0:c r="U631" s="16">
        <ns0:f>P631-E631*'前提と出典'!$E$5</ns0:f>
        <ns0:v>934151.8235960924</ns0:v>
      </ns0:c>
      <ns0:c r="V631" s="16">
        <ns0:f>Q631-F631*'前提と出典'!$E$5</ns0:f>
        <ns0:v>352868.6782210332</ns0:v>
      </ns0:c>
      <ns0:c r="W631" s="7">
        <ns0:f>U631+V631</ns0:f>
        <ns0:v>1287020.5018171256</ns0:v>
      </ns0:c>
      <ns0:c r="X631" s="16">
        <ns0:f>P631-E631*'前提と出典'!$E$6</ns0:f>
        <ns0:v>812830.7936189731</ns0:v>
      </ns0:c>
      <ns0:c r="Y631" s="16">
        <ns0:f>Q631-F631*'前提と出典'!$E$6</ns0:f>
        <ns0:v>305254.5816435921</ns0:v>
      </ns0:c>
      <ns0:c r="Z631" s="7">
        <ns0:f>X631+Y631</ns0:f>
        <ns0:v>1118085.3752625652</ns0:v>
      </ns0:c>
      <ns0:c r="AA631" s="7">
        <ns0:f>IF(T631&gt;=0,A631,1001)</ns0:f>
        <ns0:v>627</ns0:v>
      </ns0:c>
      <ns0:c r="AB631" s="7">
        <ns0:f>IF(T631&lt;0,A631,0)</ns0:f>
        <ns0:v>0</ns0:v>
      </ns0:c>
      <ns0:c r="AC631" s="16">
        <ns0:f>IF(AND(OR('前提と出典'!$C$36+'前提と出典'!$C$38=0,R631&gt;=0),OR('前提と出典'!$C$37+'前提と出典'!$C$38=0,S631&gt;=0)),0,A631)</ns0:f>
        <ns0:v>0</ns0:v>
      </ns0:c>
      <ns0:c r="AD631" s="7">
        <ns0:f>IF(W631&gt;=0,A631,1001)</ns0:f>
        <ns0:v>627</ns0:v>
      </ns0:c>
      <ns0:c r="AE631" s="7">
        <ns0:f>IF(W631&lt;0,A631,0)</ns0:f>
        <ns0:v>0</ns0:v>
      </ns0:c>
      <ns0:c r="AF631" s="16">
        <ns0:f>IF(AND(OR('前提と出典'!$C$36+'前提と出典'!$C$38=0,U631&gt;=0),OR('前提と出典'!$C$37+'前提と出典'!$C$38=0,V631&gt;=0)),0,A631)</ns0:f>
        <ns0:v>0</ns0:v>
      </ns0:c>
      <ns0:c r="AG631" s="7">
        <ns0:f>IF(Z631&gt;=0,A631,1001)</ns0:f>
        <ns0:v>627</ns0:v>
      </ns0:c>
      <ns0:c r="AH631" s="4">
        <ns0:f>IF(Z631&lt;0,A631,0)</ns0:f>
        <ns0:v>0</ns0:v>
      </ns0:c>
      <ns0:c r="AI631" s="12">
        <ns0:f>IF(AND(OR('前提と出典'!$C$36+'前提と出典'!$C$38=0,X631&gt;=0),OR('前提と出典'!$C$37+'前提と出典'!$C$38=0,Y631&gt;=0)),0,A631)</ns0:f>
        <ns0:v>0</ns0:v>
      </ns0:c>
    </ns0:row>
    <ns0:row r="632" ht="24" customHeight="1">
      <ns0:c r="A632" s="4" t="n">
        <ns0:v>628</ns0:v>
      </ns0:c>
      <ns0:c r="B632" s="12">
        <ns0:f>A632*('前提と出典'!$C$36+'前提と出典'!$C$38)</ns0:f>
        <ns0:v>439.59999999999997</ns0:v>
      </ns0:c>
      <ns0:c r="C632" s="12">
        <ns0:f>A632*('前提と出典'!$C$37+'前提と出典'!$C$38)</ns0:f>
        <ns0:v>376.8</ns0:v>
      </ns0:c>
      <ns0:c r="D632" s="16">
        <ns0:f>A632*('前提と出典'!$C$36*'契約別単価'!C5+'前提と出典'!$C$37*'契約別単価'!C6+'前提と出典'!$C$38*'契約別単価'!C7)</ns0:f>
        <ns0:v>4518.793296089386</ns0:v>
      </ns0:c>
      <ns0:c r="E632" s="16">
        <ns0:f>A632*('前提と出典'!$C$36*'契約別単価'!E5+'前提と出典'!$C$37*'契約別単価'!E6+'前提と出典'!$C$38*'契約別単価'!E7)</ns0:f>
        <ns0:v>1215145.244427926</ns0:v>
      </ns0:c>
      <ns0:c r="F632" s="16">
        <ns0:f>A632*('前提と出典'!$C$36*'契約別単価'!F5+'前提と出典'!$C$37*'契約別単価'!F6+'前提と出典'!$C$38*'契約別単価'!F7)</ns0:f>
        <ns0:v>476900.3612541155</ns0:v>
      </ns0:c>
      <ns0:c r="G632" s="16">
        <ns0:f>A632*('前提と出典'!$C$36*'契約別単価'!G5+'前提と出典'!$C$37*'契約別単価'!G6+'前提と出典'!$C$38*'契約別単価'!G7)</ns0:f>
        <ns0:v>1250035.7541899441</ns0:v>
      </ns0:c>
      <ns0:c r="H632" s="16">
        <ns0:f>A632*('前提と出典'!$C$36*'契約別単価'!H5+'前提と出典'!$C$37*'契約別単価'!H6+'前提と出典'!$C$38*'契約別単価'!H7)</ns0:f>
        <ns0:v>433825.10092361236</ns0:v>
      </ns0:c>
      <ns0:c r="I632" s="16">
        <ns0:f>A632*('前提と出典'!$C$36*'契約別単価'!I5+'前提と出典'!$C$37*'契約別単価'!I6+'前提と出典'!$C$38*'契約別単価'!I7)</ns0:f>
        <ns0:v>26498.79329608938</ns0:v>
      </ns0:c>
      <ns0:c r="J632" s="16">
        <ns0:f>A632*('前提と出典'!$C$36*'契約別単価'!J5+'前提と出典'!$C$37*'契約別単価'!J6+'前提と出典'!$C$38*'契約別単価'!J7)</ns0:f>
        <ns0:v>61725.833450070015</ns0:v>
      </ns0:c>
      <ns0:c r="K632" s="16">
        <ns0:f>A632*('前提と出典'!$C$36*'契約別単価'!K5+'前提と出典'!$C$37*'契約別単価'!K6+'前提と出典'!$C$38*'契約別単価'!K7)</ns0:f>
        <ns0:v>264578.6219739292</ns0:v>
      </ns0:c>
      <ns0:c r="L632" s="16">
        <ns0:f>A632*('前提と出典'!$C$36*'契約別単価'!L5+'前提と出典'!$C$37*'契約別単価'!L6+'前提と出典'!$C$38*'契約別単価'!L7)</ns0:f>
        <ns0:v>215420.83669745375</ns0:v>
      </ns0:c>
      <ns0:c r="M632" s="16">
        <ns0:f>IF(('前提と出典'!$C$36+'前提と出典'!$C$38)=0,0,IF(B632&lt;=10,'前提と出典'!B73+'前提と出典'!C73,IF(B632&lt;=100,'前提と出典'!B74+'前提と出典'!C74,IF(B632&lt;=500,'前提と出典'!B75+'前提と出典'!C75,'前提と出典'!B76+'前提と出典'!C76))))</ns0:f>
        <ns0:v>40000</ns0:v>
      </ns0:c>
      <ns0:c r="N632" s="16">
        <ns0:f>IF(('前提と出典'!$C$37+'前提と出典'!$C$38)=0,0,IF(C632&lt;=10,'前提と出典'!D73+'前提と出典'!E73,IF(C632&lt;=100,'前提と出典'!D74+'前提と出典'!E74,IF(C632&lt;=500,'前提と出典'!D75+'前提と出典'!E75,'前提と出典'!D76+'前提と出典'!E76))))</ns0:f>
        <ns0:v>56510.9346263078</ns0:v>
      </ns0:c>
      <ns0:c r="O632" s="16">
        <ns0:f>IF('前提と出典'!$C$36+'前提と出典'!$C$38=0,0,'前提と出典'!$B$4*IF('前提と出典'!$B$20=0,MAX('前提と出典'!$B$6,D632*'前提と出典'!$B$5),'前提と出典'!$B$6+D632*'前提と出典'!$B$5))</ns0:f>
        <ns0:v>623593.4748603354</ns0:v>
      </ns0:c>
      <ns0:c r="P632" s="16">
        <ns0:f>(E632+G632)*(1-'前提と出典'!$B$7)-I632-K632-M632-O632</ns0:f>
        <ns0:v>1421763.5925372727</ns0:v>
      </ns0:c>
      <ns0:c r="Q632" s="16">
        <ns0:f>(F632+H632)*(1-'前提と出典'!$B$7)-J632-L632-N632</ns0:f>
        <ns0:v>544281.7407654981</ns0:v>
      </ns0:c>
      <ns0:c r="R632" s="16">
        <ns0:f>P632-E632*'前提と出典'!$E$4</ns0:f>
        <ns0:v>1057220.019208895</ns0:v>
      </ns0:c>
      <ns0:c r="S632" s="16">
        <ns0:f>Q632-F632*'前提と出典'!$E$4</ns0:f>
        <ns0:v>401211.6323892635</ns0:v>
      </ns0:c>
      <ns0:c r="T632" s="7">
        <ns0:f>R632+S632</ns0:f>
        <ns0:v>1458431.6515981585</ns0:v>
      </ns0:c>
      <ns0:c r="U632" s="16">
        <ns0:f>P632-E632*'前提と出典'!$E$5</ns0:f>
        <ns0:v>935705.4947661023</ns0:v>
      </ns0:c>
      <ns0:c r="V632" s="16">
        <ns0:f>Q632-F632*'前提と出典'!$E$5</ns0:f>
        <ns0:v>353521.59626385197</ns0:v>
      </ns0:c>
      <ns0:c r="W632" s="7">
        <ns0:f>U632+V632</ns0:f>
        <ns0:v>1289227.0910299541</ns0:v>
      </ns0:c>
      <ns0:c r="X632" s="16">
        <ns0:f>P632-E632*'前提と出典'!$E$6</ns0:f>
        <ns0:v>814190.9703233097</ns0:v>
      </ns0:c>
      <ns0:c r="Y632" s="16">
        <ns0:f>Q632-F632*'前提と出典'!$E$6</ns0:f>
        <ns0:v>305831.56013844034</ns0:v>
      </ns0:c>
      <ns0:c r="Z632" s="7">
        <ns0:f>X632+Y632</ns0:f>
        <ns0:v>1120022.53046175</ns0:v>
      </ns0:c>
      <ns0:c r="AA632" s="7">
        <ns0:f>IF(T632&gt;=0,A632,1001)</ns0:f>
        <ns0:v>628</ns0:v>
      </ns0:c>
      <ns0:c r="AB632" s="7">
        <ns0:f>IF(T632&lt;0,A632,0)</ns0:f>
        <ns0:v>0</ns0:v>
      </ns0:c>
      <ns0:c r="AC632" s="16">
        <ns0:f>IF(AND(OR('前提と出典'!$C$36+'前提と出典'!$C$38=0,R632&gt;=0),OR('前提と出典'!$C$37+'前提と出典'!$C$38=0,S632&gt;=0)),0,A632)</ns0:f>
        <ns0:v>0</ns0:v>
      </ns0:c>
      <ns0:c r="AD632" s="7">
        <ns0:f>IF(W632&gt;=0,A632,1001)</ns0:f>
        <ns0:v>628</ns0:v>
      </ns0:c>
      <ns0:c r="AE632" s="7">
        <ns0:f>IF(W632&lt;0,A632,0)</ns0:f>
        <ns0:v>0</ns0:v>
      </ns0:c>
      <ns0:c r="AF632" s="16">
        <ns0:f>IF(AND(OR('前提と出典'!$C$36+'前提と出典'!$C$38=0,U632&gt;=0),OR('前提と出典'!$C$37+'前提と出典'!$C$38=0,V632&gt;=0)),0,A632)</ns0:f>
        <ns0:v>0</ns0:v>
      </ns0:c>
      <ns0:c r="AG632" s="7">
        <ns0:f>IF(Z632&gt;=0,A632,1001)</ns0:f>
        <ns0:v>628</ns0:v>
      </ns0:c>
      <ns0:c r="AH632" s="4">
        <ns0:f>IF(Z632&lt;0,A632,0)</ns0:f>
        <ns0:v>0</ns0:v>
      </ns0:c>
      <ns0:c r="AI632" s="12">
        <ns0:f>IF(AND(OR('前提と出典'!$C$36+'前提と出典'!$C$38=0,X632&gt;=0),OR('前提と出典'!$C$37+'前提と出典'!$C$38=0,Y632&gt;=0)),0,A632)</ns0:f>
        <ns0:v>0</ns0:v>
      </ns0:c>
    </ns0:row>
    <ns0:row r="633" ht="24" customHeight="1">
      <ns0:c r="A633" s="4" t="n">
        <ns0:v>629</ns0:v>
      </ns0:c>
      <ns0:c r="B633" s="12">
        <ns0:f>A633*('前提と出典'!$C$36+'前提と出典'!$C$38)</ns0:f>
        <ns0:v>440.29999999999995</ns0:v>
      </ns0:c>
      <ns0:c r="C633" s="12">
        <ns0:f>A633*('前提と出典'!$C$37+'前提と出典'!$C$38)</ns0:f>
        <ns0:v>377.4</ns0:v>
      </ns0:c>
      <ns0:c r="D633" s="16">
        <ns0:f>A633*('前提と出典'!$C$36*'契約別単価'!C5+'前提と出典'!$C$37*'契約別単価'!C6+'前提と出典'!$C$38*'契約別単価'!C7)</ns0:f>
        <ns0:v>4525.988826815643</ns0:v>
      </ns0:c>
      <ns0:c r="E633" s="16">
        <ns0:f>A633*('前提と出典'!$C$36*'契約別単価'!E5+'前提と出典'!$C$37*'契約別単価'!E6+'前提と出典'!$C$38*'契約別単価'!E7)</ns0:f>
        <ns0:v>1217080.1890846582</ns0:v>
      </ns0:c>
      <ns0:c r="F633" s="16">
        <ns0:f>A633*('前提と出典'!$C$36*'契約別単価'!F5+'前提と出典'!$C$37*'契約別単価'!F6+'前提と出典'!$C$38*'契約別単価'!F7)</ns0:f>
        <ns0:v>477659.7567338195</ns0:v>
      </ns0:c>
      <ns0:c r="G633" s="16">
        <ns0:f>A633*('前提と出典'!$C$36*'契約別単価'!G5+'前提と出典'!$C$37*'契約別単価'!G6+'前提と出典'!$C$38*'契約別単価'!G7)</ns0:f>
        <ns0:v>1252026.2569832401</ns0:v>
      </ns0:c>
      <ns0:c r="H633" s="16">
        <ns0:f>A633*('前提と出典'!$C$36*'契約別単価'!H5+'前提と出典'!$C$37*'契約別単価'!H6+'前提と出典'!$C$38*'契約別単価'!H7)</ns0:f>
        <ns0:v>434515.90522444615</ns0:v>
      </ns0:c>
      <ns0:c r="I633" s="16">
        <ns0:f>A633*('前提と出典'!$C$36*'契約別単価'!I5+'前提と出典'!$C$37*'契約別単価'!I6+'前提と出典'!$C$38*'契約別単価'!I7)</ns0:f>
        <ns0:v>26540.98882681564</ns0:v>
      </ns0:c>
      <ns0:c r="J633" s="16">
        <ns0:f>A633*('前提と出典'!$C$36*'契約別単価'!J5+'前提と出典'!$C$37*'契約別単価'!J6+'前提と出典'!$C$38*'契約別単価'!J7)</ns0:f>
        <ns0:v>61824.122993780315</ns0:v>
      </ns0:c>
      <ns0:c r="K633" s="16">
        <ns0:f>A633*('前提と出典'!$C$36*'契約別単価'!K5+'前提と出典'!$C$37*'契約別単価'!K6+'前提と出典'!$C$38*'契約別単価'!K7)</ns0:f>
        <ns0:v>264999.92551210424</ns0:v>
      </ns0:c>
      <ns0:c r="L633" s="16">
        <ns0:f>A633*('前提と出典'!$C$36*'契約別単価'!L5+'前提と出典'!$C$37*'契約別単価'!L6+'前提と出典'!$C$38*'契約別単価'!L7)</ns0:f>
        <ns0:v>215763.86350748152</ns0:v>
      </ns0:c>
      <ns0:c r="M633" s="16">
        <ns0:f>IF(('前提と出典'!$C$36+'前提と出典'!$C$38)=0,0,IF(B633&lt;=10,'前提と出典'!B73+'前提と出典'!C73,IF(B633&lt;=100,'前提と出典'!B74+'前提と出典'!C74,IF(B633&lt;=500,'前提と出典'!B75+'前提と出典'!C75,'前提と出典'!B76+'前提と出典'!C76))))</ns0:f>
        <ns0:v>40000</ns0:v>
      </ns0:c>
      <ns0:c r="N633" s="16">
        <ns0:f>IF(('前提と出典'!$C$37+'前提と出典'!$C$38)=0,0,IF(C633&lt;=10,'前提と出典'!D73+'前提と出典'!E73,IF(C633&lt;=100,'前提と出典'!D74+'前提と出典'!E74,IF(C633&lt;=500,'前提と出典'!D75+'前提と出典'!E75,'前提と出典'!D76+'前提と出典'!E76))))</ns0:f>
        <ns0:v>56510.9346263078</ns0:v>
      </ns0:c>
      <ns0:c r="O633" s="16">
        <ns0:f>IF('前提と出典'!$C$36+'前提と出典'!$C$38=0,0,'前提と出典'!$B$4*IF('前提と出典'!$B$20=0,MAX('前提と出典'!$B$6,D633*'前提と出典'!$B$5),'前提と出典'!$B$6+D633*'前提と出典'!$B$5))</ns0:f>
        <ns0:v>624586.4581005587</ns0:v>
      </ns0:c>
      <ns0:c r="P633" s="16">
        <ns0:f>(E633+G633)*(1-'前提と出典'!$B$7)-I633-K633-M633-O633</ns0:f>
        <ns0:v>1424091.2415699754</ns0:v>
      </ns0:c>
      <ns0:c r="Q633" s="16">
        <ns0:f>(F633+H633)*(1-'前提と出典'!$B$7)-J633-L633-N633</ns0:f>
        <ns0:v>545238.4170001985</ns0:v>
      </ns0:c>
      <ns0:c r="R633" s="16">
        <ns0:f>P633-E633*'前提と出典'!$E$4</ns0:f>
        <ns0:v>1058967.1848445782</ns0:v>
      </ns0:c>
      <ns0:c r="S633" s="16">
        <ns0:f>Q633-F633*'前提と出典'!$E$4</ns0:f>
        <ns0:v>401940.4899800526</ns0:v>
      </ns0:c>
      <ns0:c r="T633" s="7">
        <ns0:f>R633+S633</ns0:f>
        <ns0:v>1460907.6748246308</ns0:v>
      </ns0:c>
      <ns0:c r="U633" s="16">
        <ns0:f>P633-E633*'前提と出典'!$E$5</ns0:f>
        <ns0:v>937259.1659361122</ns0:v>
      </ns0:c>
      <ns0:c r="V633" s="16">
        <ns0:f>Q633-F633*'前提と出典'!$E$5</ns0:f>
        <ns0:v>354174.51430667064</ns0:v>
      </ns0:c>
      <ns0:c r="W633" s="7">
        <ns0:f>U633+V633</ns0:f>
        <ns0:v>1291433.680242783</ns0:v>
      </ns0:c>
      <ns0:c r="X633" s="16">
        <ns0:f>P633-E633*'前提と出典'!$E$6</ns0:f>
        <ns0:v>815551.1470276462</ns0:v>
      </ns0:c>
      <ns0:c r="Y633" s="16">
        <ns0:f>Q633-F633*'前提と出典'!$E$6</ns0:f>
        <ns0:v>306408.5386332887</ns0:v>
      </ns0:c>
      <ns0:c r="Z633" s="7">
        <ns0:f>X633+Y633</ns0:f>
        <ns0:v>1121959.685660935</ns0:v>
      </ns0:c>
      <ns0:c r="AA633" s="7">
        <ns0:f>IF(T633&gt;=0,A633,1001)</ns0:f>
        <ns0:v>629</ns0:v>
      </ns0:c>
      <ns0:c r="AB633" s="7">
        <ns0:f>IF(T633&lt;0,A633,0)</ns0:f>
        <ns0:v>0</ns0:v>
      </ns0:c>
      <ns0:c r="AC633" s="16">
        <ns0:f>IF(AND(OR('前提と出典'!$C$36+'前提と出典'!$C$38=0,R633&gt;=0),OR('前提と出典'!$C$37+'前提と出典'!$C$38=0,S633&gt;=0)),0,A633)</ns0:f>
        <ns0:v>0</ns0:v>
      </ns0:c>
      <ns0:c r="AD633" s="7">
        <ns0:f>IF(W633&gt;=0,A633,1001)</ns0:f>
        <ns0:v>629</ns0:v>
      </ns0:c>
      <ns0:c r="AE633" s="7">
        <ns0:f>IF(W633&lt;0,A633,0)</ns0:f>
        <ns0:v>0</ns0:v>
      </ns0:c>
      <ns0:c r="AF633" s="16">
        <ns0:f>IF(AND(OR('前提と出典'!$C$36+'前提と出典'!$C$38=0,U633&gt;=0),OR('前提と出典'!$C$37+'前提と出典'!$C$38=0,V633&gt;=0)),0,A633)</ns0:f>
        <ns0:v>0</ns0:v>
      </ns0:c>
      <ns0:c r="AG633" s="7">
        <ns0:f>IF(Z633&gt;=0,A633,1001)</ns0:f>
        <ns0:v>629</ns0:v>
      </ns0:c>
      <ns0:c r="AH633" s="4">
        <ns0:f>IF(Z633&lt;0,A633,0)</ns0:f>
        <ns0:v>0</ns0:v>
      </ns0:c>
      <ns0:c r="AI633" s="12">
        <ns0:f>IF(AND(OR('前提と出典'!$C$36+'前提と出典'!$C$38=0,X633&gt;=0),OR('前提と出典'!$C$37+'前提と出典'!$C$38=0,Y633&gt;=0)),0,A633)</ns0:f>
        <ns0:v>0</ns0:v>
      </ns0:c>
    </ns0:row>
    <ns0:row r="634" ht="24" customHeight="1">
      <ns0:c r="A634" s="4" t="n">
        <ns0:v>630</ns0:v>
      </ns0:c>
      <ns0:c r="B634" s="12">
        <ns0:f>A634*('前提と出典'!$C$36+'前提と出典'!$C$38)</ns0:f>
        <ns0:v>441</ns0:v>
      </ns0:c>
      <ns0:c r="C634" s="12">
        <ns0:f>A634*('前提と出典'!$C$37+'前提と出典'!$C$38)</ns0:f>
        <ns0:v>378</ns0:v>
      </ns0:c>
      <ns0:c r="D634" s="16">
        <ns0:f>A634*('前提と出典'!$C$36*'契約別単価'!C5+'前提と出典'!$C$37*'契約別単価'!C6+'前提と出典'!$C$38*'契約別単価'!C7)</ns0:f>
        <ns0:v>4533.1843575419</ns0:v>
      </ns0:c>
      <ns0:c r="E634" s="16">
        <ns0:f>A634*('前提と出典'!$C$36*'契約別単価'!E5+'前提と出典'!$C$37*'契約別単価'!E6+'前提と出典'!$C$38*'契約別単価'!E7)</ns0:f>
        <ns0:v>1219015.1337413907</ns0:v>
      </ns0:c>
      <ns0:c r="F634" s="16">
        <ns0:f>A634*('前提と出典'!$C$36*'契約別単価'!F5+'前提と出典'!$C$37*'契約別単価'!F6+'前提と出典'!$C$38*'契約別単価'!F7)</ns0:f>
        <ns0:v>478419.1522135235</ns0:v>
      </ns0:c>
      <ns0:c r="G634" s="16">
        <ns0:f>A634*('前提と出典'!$C$36*'契約別単価'!G5+'前提と出典'!$C$37*'契約別単価'!G6+'前提と出典'!$C$38*'契約別単価'!G7)</ns0:f>
        <ns0:v>1254016.7597765361</ns0:v>
      </ns0:c>
      <ns0:c r="H634" s="16">
        <ns0:f>A634*('前提と出典'!$C$36*'契約別単価'!H5+'前提と出典'!$C$37*'契約別単価'!H6+'前提と出典'!$C$38*'契約別単価'!H7)</ns0:f>
        <ns0:v>435206.70952527993</ns0:v>
      </ns0:c>
      <ns0:c r="I634" s="16">
        <ns0:f>A634*('前提と出典'!$C$36*'契約別単価'!I5+'前提と出典'!$C$37*'契約別単価'!I6+'前提と出典'!$C$38*'契約別単価'!I7)</ns0:f>
        <ns0:v>26583.184357541893</ns0:v>
      </ns0:c>
      <ns0:c r="J634" s="16">
        <ns0:f>A634*('前提と出典'!$C$36*'契約別単価'!J5+'前提と出典'!$C$37*'契約別単価'!J6+'前提と出典'!$C$38*'契約別単価'!J7)</ns0:f>
        <ns0:v>61922.412537490614</ns0:v>
      </ns0:c>
      <ns0:c r="K634" s="16">
        <ns0:f>A634*('前提と出典'!$C$36*'契約別単価'!K5+'前提と出典'!$C$37*'契約別単価'!K6+'前提と出典'!$C$38*'契約別単価'!K7)</ns0:f>
        <ns0:v>265421.2290502793</ns0:v>
      </ns0:c>
      <ns0:c r="L634" s="16">
        <ns0:f>A634*('前提と出典'!$C$36*'契約別単価'!L5+'前提と出典'!$C$37*'契約別単価'!L6+'前提と出典'!$C$38*'契約別単価'!L7)</ns0:f>
        <ns0:v>216106.89031750933</ns0:v>
      </ns0:c>
      <ns0:c r="M634" s="16">
        <ns0:f>IF(('前提と出典'!$C$36+'前提と出典'!$C$38)=0,0,IF(B634&lt;=10,'前提と出典'!B73+'前提と出典'!C73,IF(B634&lt;=100,'前提と出典'!B74+'前提と出典'!C74,IF(B634&lt;=500,'前提と出典'!B75+'前提と出典'!C75,'前提と出典'!B76+'前提と出典'!C76))))</ns0:f>
        <ns0:v>40000</ns0:v>
      </ns0:c>
      <ns0:c r="N634" s="16">
        <ns0:f>IF(('前提と出典'!$C$37+'前提と出典'!$C$38)=0,0,IF(C634&lt;=10,'前提と出典'!D73+'前提と出典'!E73,IF(C634&lt;=100,'前提と出典'!D74+'前提と出典'!E74,IF(C634&lt;=500,'前提と出典'!D75+'前提と出典'!E75,'前提と出典'!D76+'前提と出典'!E76))))</ns0:f>
        <ns0:v>56510.9346263078</ns0:v>
      </ns0:c>
      <ns0:c r="O634" s="16">
        <ns0:f>IF('前提と出典'!$C$36+'前提と出典'!$C$38=0,0,'前提と出典'!$B$4*IF('前提と出典'!$B$20=0,MAX('前提と出典'!$B$6,D634*'前提と出典'!$B$5),'前提と出典'!$B$6+D634*'前提と出典'!$B$5))</ns0:f>
        <ns0:v>625579.4413407822</ns0:v>
      </ns0:c>
      <ns0:c r="P634" s="16">
        <ns0:f>(E634+G634)*(1-'前提と出典'!$B$7)-I634-K634-M634-O634</ns0:f>
        <ns0:v>1426418.890602678</ns0:v>
      </ns0:c>
      <ns0:c r="Q634" s="16">
        <ns0:f>(F634+H634)*(1-'前提と出典'!$B$7)-J634-L634-N634</ns0:f>
        <ns0:v>546195.0932348989</ns0:v>
      </ns0:c>
      <ns0:c r="R634" s="16">
        <ns0:f>P634-E634*'前提と出典'!$E$4</ns0:f>
        <ns0:v>1060714.3504802608</ns0:v>
      </ns0:c>
      <ns0:c r="S634" s="16">
        <ns0:f>Q634-F634*'前提と出典'!$E$4</ns0:f>
        <ns0:v>402669.3475708418</ns0:v>
      </ns0:c>
      <ns0:c r="T634" s="7">
        <ns0:f>R634+S634</ns0:f>
        <ns0:v>1463383.6980511025</ns0:v>
      </ns0:c>
      <ns0:c r="U634" s="16">
        <ns0:f>P634-E634*'前提と出典'!$E$5</ns0:f>
        <ns0:v>938812.8371061217</ns0:v>
      </ns0:c>
      <ns0:c r="V634" s="16">
        <ns0:f>Q634-F634*'前提と出典'!$E$5</ns0:f>
        <ns0:v>354827.4323494894</ns0:v>
      </ns0:c>
      <ns0:c r="W634" s="7">
        <ns0:f>U634+V634</ns0:f>
        <ns0:v>1293640.2694556112</ns0:v>
      </ns0:c>
      <ns0:c r="X634" s="16">
        <ns0:f>P634-E634*'前提と出典'!$E$6</ns0:f>
        <ns0:v>816911.3237319826</ns0:v>
      </ns0:c>
      <ns0:c r="Y634" s="16">
        <ns0:f>Q634-F634*'前提と出典'!$E$6</ns0:f>
        <ns0:v>306985.5171281372</ns0:v>
      </ns0:c>
      <ns0:c r="Z634" s="7">
        <ns0:f>X634+Y634</ns0:f>
        <ns0:v>1123896.8408601198</ns0:v>
      </ns0:c>
      <ns0:c r="AA634" s="7">
        <ns0:f>IF(T634&gt;=0,A634,1001)</ns0:f>
        <ns0:v>630</ns0:v>
      </ns0:c>
      <ns0:c r="AB634" s="7">
        <ns0:f>IF(T634&lt;0,A634,0)</ns0:f>
        <ns0:v>0</ns0:v>
      </ns0:c>
      <ns0:c r="AC634" s="16">
        <ns0:f>IF(AND(OR('前提と出典'!$C$36+'前提と出典'!$C$38=0,R634&gt;=0),OR('前提と出典'!$C$37+'前提と出典'!$C$38=0,S634&gt;=0)),0,A634)</ns0:f>
        <ns0:v>0</ns0:v>
      </ns0:c>
      <ns0:c r="AD634" s="7">
        <ns0:f>IF(W634&gt;=0,A634,1001)</ns0:f>
        <ns0:v>630</ns0:v>
      </ns0:c>
      <ns0:c r="AE634" s="7">
        <ns0:f>IF(W634&lt;0,A634,0)</ns0:f>
        <ns0:v>0</ns0:v>
      </ns0:c>
      <ns0:c r="AF634" s="16">
        <ns0:f>IF(AND(OR('前提と出典'!$C$36+'前提と出典'!$C$38=0,U634&gt;=0),OR('前提と出典'!$C$37+'前提と出典'!$C$38=0,V634&gt;=0)),0,A634)</ns0:f>
        <ns0:v>0</ns0:v>
      </ns0:c>
      <ns0:c r="AG634" s="7">
        <ns0:f>IF(Z634&gt;=0,A634,1001)</ns0:f>
        <ns0:v>630</ns0:v>
      </ns0:c>
      <ns0:c r="AH634" s="4">
        <ns0:f>IF(Z634&lt;0,A634,0)</ns0:f>
        <ns0:v>0</ns0:v>
      </ns0:c>
      <ns0:c r="AI634" s="12">
        <ns0:f>IF(AND(OR('前提と出典'!$C$36+'前提と出典'!$C$38=0,X634&gt;=0),OR('前提と出典'!$C$37+'前提と出典'!$C$38=0,Y634&gt;=0)),0,A634)</ns0:f>
        <ns0:v>0</ns0:v>
      </ns0:c>
    </ns0:row>
    <ns0:row r="635" ht="24" customHeight="1">
      <ns0:c r="A635" s="4" t="n">
        <ns0:v>631</ns0:v>
      </ns0:c>
      <ns0:c r="B635" s="12">
        <ns0:f>A635*('前提と出典'!$C$36+'前提と出典'!$C$38)</ns0:f>
        <ns0:v>441.7</ns0:v>
      </ns0:c>
      <ns0:c r="C635" s="12">
        <ns0:f>A635*('前提と出典'!$C$37+'前提と出典'!$C$38)</ns0:f>
        <ns0:v>378.59999999999997</ns0:v>
      </ns0:c>
      <ns0:c r="D635" s="16">
        <ns0:f>A635*('前提と出典'!$C$36*'契約別単価'!C5+'前提と出典'!$C$37*'契約別単価'!C6+'前提と出典'!$C$38*'契約別単価'!C7)</ns0:f>
        <ns0:v>4540.379888268157</ns0:v>
      </ns0:c>
      <ns0:c r="E635" s="16">
        <ns0:f>A635*('前提と出典'!$C$36*'契約別単価'!E5+'前提と出典'!$C$37*'契約別単価'!E6+'前提と出典'!$C$38*'契約別単価'!E7)</ns0:f>
        <ns0:v>1220950.078398123</ns0:v>
      </ns0:c>
      <ns0:c r="F635" s="16">
        <ns0:f>A635*('前提と出典'!$C$36*'契約別単価'!F5+'前提と出典'!$C$37*'契約別単価'!F6+'前提と出典'!$C$38*'契約別単価'!F7)</ns0:f>
        <ns0:v>479178.5476932275</ns0:v>
      </ns0:c>
      <ns0:c r="G635" s="16">
        <ns0:f>A635*('前提と出典'!$C$36*'契約別単価'!G5+'前提と出典'!$C$37*'契約別単価'!G6+'前提と出典'!$C$38*'契約別単価'!G7)</ns0:f>
        <ns0:v>1256007.2625698324</ns0:v>
      </ns0:c>
      <ns0:c r="H635" s="16">
        <ns0:f>A635*('前提と出典'!$C$36*'契約別単価'!H5+'前提と出典'!$C$37*'契約別単価'!H6+'前提と出典'!$C$38*'契約別単価'!H7)</ns0:f>
        <ns0:v>435897.5138261137</ns0:v>
      </ns0:c>
      <ns0:c r="I635" s="16">
        <ns0:f>A635*('前提と出典'!$C$36*'契約別単価'!I5+'前提と出典'!$C$37*'契約別単価'!I6+'前提と出典'!$C$38*'契約別単価'!I7)</ns0:f>
        <ns0:v>26625.37988826815</ns0:v>
      </ns0:c>
      <ns0:c r="J635" s="16">
        <ns0:f>A635*('前提と出典'!$C$36*'契約別単価'!J5+'前提と出典'!$C$37*'契約別単価'!J6+'前提と出典'!$C$38*'契約別単価'!J7)</ns0:f>
        <ns0:v>62020.70208120092</ns0:v>
      </ns0:c>
      <ns0:c r="K635" s="16">
        <ns0:f>A635*('前提と出典'!$C$36*'契約別単価'!K5+'前提と出典'!$C$37*'契約別単価'!K6+'前提と出典'!$C$38*'契約別単価'!K7)</ns0:f>
        <ns0:v>265842.53258845437</ns0:v>
      </ns0:c>
      <ns0:c r="L635" s="16">
        <ns0:f>A635*('前提と出典'!$C$36*'契約別単価'!L5+'前提と出典'!$C$37*'契約別単価'!L6+'前提と出典'!$C$38*'契約別単価'!L7)</ns0:f>
        <ns0:v>216449.9171275371</ns0:v>
      </ns0:c>
      <ns0:c r="M635" s="16">
        <ns0:f>IF(('前提と出典'!$C$36+'前提と出典'!$C$38)=0,0,IF(B635&lt;=10,'前提と出典'!B73+'前提と出典'!C73,IF(B635&lt;=100,'前提と出典'!B74+'前提と出典'!C74,IF(B635&lt;=500,'前提と出典'!B75+'前提と出典'!C75,'前提と出典'!B76+'前提と出典'!C76))))</ns0:f>
        <ns0:v>40000</ns0:v>
      </ns0:c>
      <ns0:c r="N635" s="16">
        <ns0:f>IF(('前提と出典'!$C$37+'前提と出典'!$C$38)=0,0,IF(C635&lt;=10,'前提と出典'!D73+'前提と出典'!E73,IF(C635&lt;=100,'前提と出典'!D74+'前提と出典'!E74,IF(C635&lt;=500,'前提と出典'!D75+'前提と出典'!E75,'前提と出典'!D76+'前提と出典'!E76))))</ns0:f>
        <ns0:v>56510.9346263078</ns0:v>
      </ns0:c>
      <ns0:c r="O635" s="16">
        <ns0:f>IF('前提と出典'!$C$36+'前提と出典'!$C$38=0,0,'前提と出典'!$B$4*IF('前提と出典'!$B$20=0,MAX('前提と出典'!$B$6,D635*'前提と出典'!$B$5),'前提と出典'!$B$6+D635*'前提と出典'!$B$5))</ns0:f>
        <ns0:v>626572.4245810056</ns0:v>
      </ns0:c>
      <ns0:c r="P635" s="16">
        <ns0:f>(E635+G635)*(1-'前提と出典'!$B$7)-I635-K635-M635-O635</ns0:f>
        <ns0:v>1428746.5396353803</ns0:v>
      </ns0:c>
      <ns0:c r="Q635" s="16">
        <ns0:f>(F635+H635)*(1-'前提と出典'!$B$7)-J635-L635-N635</ns0:f>
        <ns0:v>547151.7694695991</ns0:v>
      </ns0:c>
      <ns0:c r="R635" s="16">
        <ns0:f>P635-E635*'前提と出典'!$E$4</ns0:f>
        <ns0:v>1062461.5161159434</ns0:v>
      </ns0:c>
      <ns0:c r="S635" s="16">
        <ns0:f>Q635-F635*'前提と出典'!$E$4</ns0:f>
        <ns0:v>403398.2051616309</ns0:v>
      </ns0:c>
      <ns0:c r="T635" s="7">
        <ns0:f>R635+S635</ns0:f>
        <ns0:v>1465859.7212775743</ns0:v>
      </ns0:c>
      <ns0:c r="U635" s="16">
        <ns0:f>P635-E635*'前提と出典'!$E$5</ns0:f>
        <ns0:v>940366.5082761311</ns0:v>
      </ns0:c>
      <ns0:c r="V635" s="16">
        <ns0:f>Q635-F635*'前提と出典'!$E$5</ns0:f>
        <ns0:v>355480.3503923081</ns0:v>
      </ns0:c>
      <ns0:c r="W635" s="7">
        <ns0:f>U635+V635</ns0:f>
        <ns0:v>1295846.858668439</ns0:v>
      </ns0:c>
      <ns0:c r="X635" s="16">
        <ns0:f>P635-E635*'前提と出典'!$E$6</ns0:f>
        <ns0:v>818271.5004363189</ns0:v>
      </ns0:c>
      <ns0:c r="Y635" s="16">
        <ns0:f>Q635-F635*'前提と出典'!$E$6</ns0:f>
        <ns0:v>307562.4956229854</ns0:v>
      </ns0:c>
      <ns0:c r="Z635" s="7">
        <ns0:f>X635+Y635</ns0:f>
        <ns0:v>1125833.9960593043</ns0:v>
      </ns0:c>
      <ns0:c r="AA635" s="7">
        <ns0:f>IF(T635&gt;=0,A635,1001)</ns0:f>
        <ns0:v>631</ns0:v>
      </ns0:c>
      <ns0:c r="AB635" s="7">
        <ns0:f>IF(T635&lt;0,A635,0)</ns0:f>
        <ns0:v>0</ns0:v>
      </ns0:c>
      <ns0:c r="AC635" s="16">
        <ns0:f>IF(AND(OR('前提と出典'!$C$36+'前提と出典'!$C$38=0,R635&gt;=0),OR('前提と出典'!$C$37+'前提と出典'!$C$38=0,S635&gt;=0)),0,A635)</ns0:f>
        <ns0:v>0</ns0:v>
      </ns0:c>
      <ns0:c r="AD635" s="7">
        <ns0:f>IF(W635&gt;=0,A635,1001)</ns0:f>
        <ns0:v>631</ns0:v>
      </ns0:c>
      <ns0:c r="AE635" s="7">
        <ns0:f>IF(W635&lt;0,A635,0)</ns0:f>
        <ns0:v>0</ns0:v>
      </ns0:c>
      <ns0:c r="AF635" s="16">
        <ns0:f>IF(AND(OR('前提と出典'!$C$36+'前提と出典'!$C$38=0,U635&gt;=0),OR('前提と出典'!$C$37+'前提と出典'!$C$38=0,V635&gt;=0)),0,A635)</ns0:f>
        <ns0:v>0</ns0:v>
      </ns0:c>
      <ns0:c r="AG635" s="7">
        <ns0:f>IF(Z635&gt;=0,A635,1001)</ns0:f>
        <ns0:v>631</ns0:v>
      </ns0:c>
      <ns0:c r="AH635" s="4">
        <ns0:f>IF(Z635&lt;0,A635,0)</ns0:f>
        <ns0:v>0</ns0:v>
      </ns0:c>
      <ns0:c r="AI635" s="12">
        <ns0:f>IF(AND(OR('前提と出典'!$C$36+'前提と出典'!$C$38=0,X635&gt;=0),OR('前提と出典'!$C$37+'前提と出典'!$C$38=0,Y635&gt;=0)),0,A635)</ns0:f>
        <ns0:v>0</ns0:v>
      </ns0:c>
    </ns0:row>
    <ns0:row r="636" ht="24" customHeight="1">
      <ns0:c r="A636" s="4" t="n">
        <ns0:v>632</ns0:v>
      </ns0:c>
      <ns0:c r="B636" s="12">
        <ns0:f>A636*('前提と出典'!$C$36+'前提と出典'!$C$38)</ns0:f>
        <ns0:v>442.4</ns0:v>
      </ns0:c>
      <ns0:c r="C636" s="12">
        <ns0:f>A636*('前提と出典'!$C$37+'前提と出典'!$C$38)</ns0:f>
        <ns0:v>379.2</ns0:v>
      </ns0:c>
      <ns0:c r="D636" s="16">
        <ns0:f>A636*('前提と出典'!$C$36*'契約別単価'!C5+'前提と出典'!$C$37*'契約別単価'!C6+'前提と出典'!$C$38*'契約別単価'!C7)</ns0:f>
        <ns0:v>4547.575418994414</ns0:v>
      </ns0:c>
      <ns0:c r="E636" s="16">
        <ns0:f>A636*('前提と出典'!$C$36*'契約別単価'!E5+'前提と出典'!$C$37*'契約別単価'!E6+'前提と出典'!$C$38*'契約別単価'!E7)</ns0:f>
        <ns0:v>1222885.0230548552</ns0:v>
      </ns0:c>
      <ns0:c r="F636" s="16">
        <ns0:f>A636*('前提と出典'!$C$36*'契約別単価'!F5+'前提と出典'!$C$37*'契約別単価'!F6+'前提と出典'!$C$38*'契約別単価'!F7)</ns0:f>
        <ns0:v>479937.9431729315</ns0:v>
      </ns0:c>
      <ns0:c r="G636" s="16">
        <ns0:f>A636*('前提と出典'!$C$36*'契約別単価'!G5+'前提と出典'!$C$37*'契約別単価'!G6+'前提と出典'!$C$38*'契約別単価'!G7)</ns0:f>
        <ns0:v>1257997.7653631284</ns0:v>
      </ns0:c>
      <ns0:c r="H636" s="16">
        <ns0:f>A636*('前提と出典'!$C$36*'契約別単価'!H5+'前提と出典'!$C$37*'契約別単価'!H6+'前提と出典'!$C$38*'契約別単価'!H7)</ns0:f>
        <ns0:v>436588.3181269475</ns0:v>
      </ns0:c>
      <ns0:c r="I636" s="16">
        <ns0:f>A636*('前提と出典'!$C$36*'契約別単価'!I5+'前提と出典'!$C$37*'契約別単価'!I6+'前提と出典'!$C$38*'契約別単価'!I7)</ns0:f>
        <ns0:v>26667.57541899441</ns0:v>
      </ns0:c>
      <ns0:c r="J636" s="16">
        <ns0:f>A636*('前提と出典'!$C$36*'契約別単価'!J5+'前提と出典'!$C$37*'契約別単価'!J6+'前提と出典'!$C$38*'契約別単価'!J7)</ns0:f>
        <ns0:v>62118.99162491122</ns0:v>
      </ns0:c>
      <ns0:c r="K636" s="16">
        <ns0:f>A636*('前提と出典'!$C$36*'契約別単価'!K5+'前提と出典'!$C$37*'契約別単価'!K6+'前提と出典'!$C$38*'契約別単価'!K7)</ns0:f>
        <ns0:v>266263.8361266294</ns0:v>
      </ns0:c>
      <ns0:c r="L636" s="16">
        <ns0:f>A636*('前提と出典'!$C$36*'契約別単価'!L5+'前提と出典'!$C$37*'契約別単価'!L6+'前提と出典'!$C$38*'契約別単価'!L7)</ns0:f>
        <ns0:v>216792.9439375649</ns0:v>
      </ns0:c>
      <ns0:c r="M636" s="16">
        <ns0:f>IF(('前提と出典'!$C$36+'前提と出典'!$C$38)=0,0,IF(B636&lt;=10,'前提と出典'!B73+'前提と出典'!C73,IF(B636&lt;=100,'前提と出典'!B74+'前提と出典'!C74,IF(B636&lt;=500,'前提と出典'!B75+'前提と出典'!C75,'前提と出典'!B76+'前提と出典'!C76))))</ns0:f>
        <ns0:v>40000</ns0:v>
      </ns0:c>
      <ns0:c r="N636" s="16">
        <ns0:f>IF(('前提と出典'!$C$37+'前提と出典'!$C$38)=0,0,IF(C636&lt;=10,'前提と出典'!D73+'前提と出典'!E73,IF(C636&lt;=100,'前提と出典'!D74+'前提と出典'!E74,IF(C636&lt;=500,'前提と出典'!D75+'前提と出典'!E75,'前提と出典'!D76+'前提と出典'!E76))))</ns0:f>
        <ns0:v>56510.9346263078</ns0:v>
      </ns0:c>
      <ns0:c r="O636" s="16">
        <ns0:f>IF('前提と出典'!$C$36+'前提と出典'!$C$38=0,0,'前提と出典'!$B$4*IF('前提と出典'!$B$20=0,MAX('前提と出典'!$B$6,D636*'前提と出典'!$B$5),'前提と出典'!$B$6+D636*'前提と出典'!$B$5))</ns0:f>
        <ns0:v>627565.4078212291</ns0:v>
      </ns0:c>
      <ns0:c r="P636" s="16">
        <ns0:f>(E636+G636)*(1-'前提と出典'!$B$7)-I636-K636-M636-O636</ns0:f>
        <ns0:v>1431074.1886680834</ns0:v>
      </ns0:c>
      <ns0:c r="Q636" s="16">
        <ns0:f>(F636+H636)*(1-'前提と出典'!$B$7)-J636-L636-N636</ns0:f>
        <ns0:v>548108.4457042995</ns0:v>
      </ns0:c>
      <ns0:c r="R636" s="16">
        <ns0:f>P636-E636*'前提と出典'!$E$4</ns0:f>
        <ns0:v>1064208.681751627</ns0:v>
      </ns0:c>
      <ns0:c r="S636" s="16">
        <ns0:f>Q636-F636*'前提と出典'!$E$4</ns0:f>
        <ns0:v>404127.06275242014</ns0:v>
      </ns0:c>
      <ns0:c r="T636" s="7">
        <ns0:f>R636+S636</ns0:f>
        <ns0:v>1468335.744504047</ns0:v>
      </ns0:c>
      <ns0:c r="U636" s="16">
        <ns0:f>P636-E636*'前提と出典'!$E$5</ns0:f>
        <ns0:v>941920.1794461414</ns0:v>
      </ns0:c>
      <ns0:c r="V636" s="16">
        <ns0:f>Q636-F636*'前提と出典'!$E$5</ns0:f>
        <ns0:v>356133.2684351269</ns0:v>
      </ns0:c>
      <ns0:c r="W636" s="7">
        <ns0:f>U636+V636</ns0:f>
        <ns0:v>1298053.4478812683</ns0:v>
      </ns0:c>
      <ns0:c r="X636" s="16">
        <ns0:f>P636-E636*'前提と出典'!$E$6</ns0:f>
        <ns0:v>819631.677140656</ns0:v>
      </ns0:c>
      <ns0:c r="Y636" s="16">
        <ns0:f>Q636-F636*'前提と出典'!$E$6</ns0:f>
        <ns0:v>308139.47411783383</ns0:v>
      </ns0:c>
      <ns0:c r="Z636" s="7">
        <ns0:f>X636+Y636</ns0:f>
        <ns0:v>1127771.1512584898</ns0:v>
      </ns0:c>
      <ns0:c r="AA636" s="7">
        <ns0:f>IF(T636&gt;=0,A636,1001)</ns0:f>
        <ns0:v>632</ns0:v>
      </ns0:c>
      <ns0:c r="AB636" s="7">
        <ns0:f>IF(T636&lt;0,A636,0)</ns0:f>
        <ns0:v>0</ns0:v>
      </ns0:c>
      <ns0:c r="AC636" s="16">
        <ns0:f>IF(AND(OR('前提と出典'!$C$36+'前提と出典'!$C$38=0,R636&gt;=0),OR('前提と出典'!$C$37+'前提と出典'!$C$38=0,S636&gt;=0)),0,A636)</ns0:f>
        <ns0:v>0</ns0:v>
      </ns0:c>
      <ns0:c r="AD636" s="7">
        <ns0:f>IF(W636&gt;=0,A636,1001)</ns0:f>
        <ns0:v>632</ns0:v>
      </ns0:c>
      <ns0:c r="AE636" s="7">
        <ns0:f>IF(W636&lt;0,A636,0)</ns0:f>
        <ns0:v>0</ns0:v>
      </ns0:c>
      <ns0:c r="AF636" s="16">
        <ns0:f>IF(AND(OR('前提と出典'!$C$36+'前提と出典'!$C$38=0,U636&gt;=0),OR('前提と出典'!$C$37+'前提と出典'!$C$38=0,V636&gt;=0)),0,A636)</ns0:f>
        <ns0:v>0</ns0:v>
      </ns0:c>
      <ns0:c r="AG636" s="7">
        <ns0:f>IF(Z636&gt;=0,A636,1001)</ns0:f>
        <ns0:v>632</ns0:v>
      </ns0:c>
      <ns0:c r="AH636" s="4">
        <ns0:f>IF(Z636&lt;0,A636,0)</ns0:f>
        <ns0:v>0</ns0:v>
      </ns0:c>
      <ns0:c r="AI636" s="12">
        <ns0:f>IF(AND(OR('前提と出典'!$C$36+'前提と出典'!$C$38=0,X636&gt;=0),OR('前提と出典'!$C$37+'前提と出典'!$C$38=0,Y636&gt;=0)),0,A636)</ns0:f>
        <ns0:v>0</ns0:v>
      </ns0:c>
    </ns0:row>
    <ns0:row r="637" ht="24" customHeight="1">
      <ns0:c r="A637" s="4" t="n">
        <ns0:v>633</ns0:v>
      </ns0:c>
      <ns0:c r="B637" s="12">
        <ns0:f>A637*('前提と出典'!$C$36+'前提と出典'!$C$38)</ns0:f>
        <ns0:v>443.09999999999997</ns0:v>
      </ns0:c>
      <ns0:c r="C637" s="12">
        <ns0:f>A637*('前提と出典'!$C$37+'前提と出典'!$C$38)</ns0:f>
        <ns0:v>379.8</ns0:v>
      </ns0:c>
      <ns0:c r="D637" s="16">
        <ns0:f>A637*('前提と出典'!$C$36*'契約別単価'!C5+'前提と出典'!$C$37*'契約別単価'!C6+'前提と出典'!$C$38*'契約別単価'!C7)</ns0:f>
        <ns0:v>4554.770949720671</ns0:v>
      </ns0:c>
      <ns0:c r="E637" s="16">
        <ns0:f>A637*('前提と出典'!$C$36*'契約別単価'!E5+'前提と出典'!$C$37*'契約別単価'!E6+'前提と出典'!$C$38*'契約別単価'!E7)</ns0:f>
        <ns0:v>1224819.9677115877</ns0:v>
      </ns0:c>
      <ns0:c r="F637" s="16">
        <ns0:f>A637*('前提と出典'!$C$36*'契約別単価'!F5+'前提と出典'!$C$37*'契約別単価'!F6+'前提と出典'!$C$38*'契約別単価'!F7)</ns0:f>
        <ns0:v>480697.3386526355</ns0:v>
      </ns0:c>
      <ns0:c r="G637" s="16">
        <ns0:f>A637*('前提と出典'!$C$36*'契約別単価'!G5+'前提と出典'!$C$37*'契約別単価'!G6+'前提と出典'!$C$38*'契約別単価'!G7)</ns0:f>
        <ns0:v>1259988.2681564246</ns0:v>
      </ns0:c>
      <ns0:c r="H637" s="16">
        <ns0:f>A637*('前提と出典'!$C$36*'契約別単価'!H5+'前提と出典'!$C$37*'契約別単価'!H6+'前提と出典'!$C$38*'契約別単価'!H7)</ns0:f>
        <ns0:v>437279.1224277813</ns0:v>
      </ns0:c>
      <ns0:c r="I637" s="16">
        <ns0:f>A637*('前提と出典'!$C$36*'契約別単価'!I5+'前提と出典'!$C$37*'契約別単価'!I6+'前提と出典'!$C$38*'契約別単価'!I7)</ns0:f>
        <ns0:v>26709.770949720667</ns0:v>
      </ns0:c>
      <ns0:c r="J637" s="16">
        <ns0:f>A637*('前提と出典'!$C$36*'契約別単価'!J5+'前提と出典'!$C$37*'契約別単価'!J6+'前提と出典'!$C$38*'契約別単価'!J7)</ns0:f>
        <ns0:v>62217.28116862153</ns0:v>
      </ns0:c>
      <ns0:c r="K637" s="16">
        <ns0:f>A637*('前提と出典'!$C$36*'契約別単価'!K5+'前提と出典'!$C$37*'契約別単価'!K6+'前提と出典'!$C$38*'契約別単価'!K7)</ns0:f>
        <ns0:v>266685.13966480445</ns0:v>
      </ns0:c>
      <ns0:c r="L637" s="16">
        <ns0:f>A637*('前提と出典'!$C$36*'契約別単価'!L5+'前提と出典'!$C$37*'契約別単価'!L6+'前提と出典'!$C$38*'契約別単価'!L7)</ns0:f>
        <ns0:v>217135.9707475927</ns0:v>
      </ns0:c>
      <ns0:c r="M637" s="16">
        <ns0:f>IF(('前提と出典'!$C$36+'前提と出典'!$C$38)=0,0,IF(B637&lt;=10,'前提と出典'!B73+'前提と出典'!C73,IF(B637&lt;=100,'前提と出典'!B74+'前提と出典'!C74,IF(B637&lt;=500,'前提と出典'!B75+'前提と出典'!C75,'前提と出典'!B76+'前提と出典'!C76))))</ns0:f>
        <ns0:v>40000</ns0:v>
      </ns0:c>
      <ns0:c r="N637" s="16">
        <ns0:f>IF(('前提と出典'!$C$37+'前提と出典'!$C$38)=0,0,IF(C637&lt;=10,'前提と出典'!D73+'前提と出典'!E73,IF(C637&lt;=100,'前提と出典'!D74+'前提と出典'!E74,IF(C637&lt;=500,'前提と出典'!D75+'前提と出典'!E75,'前提と出典'!D76+'前提と出典'!E76))))</ns0:f>
        <ns0:v>56510.9346263078</ns0:v>
      </ns0:c>
      <ns0:c r="O637" s="16">
        <ns0:f>IF('前提と出典'!$C$36+'前提と出典'!$C$38=0,0,'前提と出典'!$B$4*IF('前提と出典'!$B$20=0,MAX('前提と出典'!$B$6,D637*'前提と出典'!$B$5),'前提と出典'!$B$6+D637*'前提と出典'!$B$5))</ns0:f>
        <ns0:v>628558.3910614526</ns0:v>
      </ns0:c>
      <ns0:c r="P637" s="16">
        <ns0:f>(E637+G637)*(1-'前提と出典'!$B$7)-I637-K637-M637-O637</ns0:f>
        <ns0:v>1433401.8377007865</ns0:v>
      </ns0:c>
      <ns0:c r="Q637" s="16">
        <ns0:f>(F637+H637)*(1-'前提と出典'!$B$7)-J637-L637-N637</ns0:f>
        <ns0:v>549065.1219389997</ns0:v>
      </ns0:c>
      <ns0:c r="R637" s="16">
        <ns0:f>P637-E637*'前提と出典'!$E$4</ns0:f>
        <ns0:v>1065955.8473873101</ns0:v>
      </ns0:c>
      <ns0:c r="S637" s="16">
        <ns0:f>Q637-F637*'前提と出典'!$E$4</ns0:f>
        <ns0:v>404855.92034320906</ns0:v>
      </ns0:c>
      <ns0:c r="T637" s="7">
        <ns0:f>R637+S637</ns0:f>
        <ns0:v>1470811.7677305192</ns0:v>
      </ns0:c>
      <ns0:c r="U637" s="16">
        <ns0:f>P637-E637*'前提と出典'!$E$5</ns0:f>
        <ns0:v>943473.8506161516</ns0:v>
      </ns0:c>
      <ns0:c r="V637" s="16">
        <ns0:f>Q637-F637*'前提と出典'!$E$5</ns0:f>
        <ns0:v>356786.18647794554</ns0:v>
      </ns0:c>
      <ns0:c r="W637" s="7">
        <ns0:f>U637+V637</ns0:f>
        <ns0:v>1300260.0370940971</ns0:v>
      </ns0:c>
      <ns0:c r="X637" s="16">
        <ns0:f>P637-E637*'前提と出典'!$E$6</ns0:f>
        <ns0:v>820991.8538449929</ns0:v>
      </ns0:c>
      <ns0:c r="Y637" s="16">
        <ns0:f>Q637-F637*'前提と出典'!$E$6</ns0:f>
        <ns0:v>308716.452612682</ns0:v>
      </ns0:c>
      <ns0:c r="Z637" s="7">
        <ns0:f>X637+Y637</ns0:f>
        <ns0:v>1129708.306457675</ns0:v>
      </ns0:c>
      <ns0:c r="AA637" s="7">
        <ns0:f>IF(T637&gt;=0,A637,1001)</ns0:f>
        <ns0:v>633</ns0:v>
      </ns0:c>
      <ns0:c r="AB637" s="7">
        <ns0:f>IF(T637&lt;0,A637,0)</ns0:f>
        <ns0:v>0</ns0:v>
      </ns0:c>
      <ns0:c r="AC637" s="16">
        <ns0:f>IF(AND(OR('前提と出典'!$C$36+'前提と出典'!$C$38=0,R637&gt;=0),OR('前提と出典'!$C$37+'前提と出典'!$C$38=0,S637&gt;=0)),0,A637)</ns0:f>
        <ns0:v>0</ns0:v>
      </ns0:c>
      <ns0:c r="AD637" s="7">
        <ns0:f>IF(W637&gt;=0,A637,1001)</ns0:f>
        <ns0:v>633</ns0:v>
      </ns0:c>
      <ns0:c r="AE637" s="7">
        <ns0:f>IF(W637&lt;0,A637,0)</ns0:f>
        <ns0:v>0</ns0:v>
      </ns0:c>
      <ns0:c r="AF637" s="16">
        <ns0:f>IF(AND(OR('前提と出典'!$C$36+'前提と出典'!$C$38=0,U637&gt;=0),OR('前提と出典'!$C$37+'前提と出典'!$C$38=0,V637&gt;=0)),0,A637)</ns0:f>
        <ns0:v>0</ns0:v>
      </ns0:c>
      <ns0:c r="AG637" s="7">
        <ns0:f>IF(Z637&gt;=0,A637,1001)</ns0:f>
        <ns0:v>633</ns0:v>
      </ns0:c>
      <ns0:c r="AH637" s="4">
        <ns0:f>IF(Z637&lt;0,A637,0)</ns0:f>
        <ns0:v>0</ns0:v>
      </ns0:c>
      <ns0:c r="AI637" s="12">
        <ns0:f>IF(AND(OR('前提と出典'!$C$36+'前提と出典'!$C$38=0,X637&gt;=0),OR('前提と出典'!$C$37+'前提と出典'!$C$38=0,Y637&gt;=0)),0,A637)</ns0:f>
        <ns0:v>0</ns0:v>
      </ns0:c>
    </ns0:row>
    <ns0:row r="638" ht="24" customHeight="1">
      <ns0:c r="A638" s="4" t="n">
        <ns0:v>634</ns0:v>
      </ns0:c>
      <ns0:c r="B638" s="12">
        <ns0:f>A638*('前提と出典'!$C$36+'前提と出典'!$C$38)</ns0:f>
        <ns0:v>443.79999999999995</ns0:v>
      </ns0:c>
      <ns0:c r="C638" s="12">
        <ns0:f>A638*('前提と出典'!$C$37+'前提と出典'!$C$38)</ns0:f>
        <ns0:v>380.4</ns0:v>
      </ns0:c>
      <ns0:c r="D638" s="16">
        <ns0:f>A638*('前提と出典'!$C$36*'契約別単価'!C5+'前提と出典'!$C$37*'契約別単価'!C6+'前提と出典'!$C$38*'契約別単価'!C7)</ns0:f>
        <ns0:v>4561.966480446928</ns0:v>
      </ns0:c>
      <ns0:c r="E638" s="16">
        <ns0:f>A638*('前提と出典'!$C$36*'契約別単価'!E5+'前提と出典'!$C$37*'契約別単価'!E6+'前提と出典'!$C$38*'契約別単価'!E7)</ns0:f>
        <ns0:v>1226754.91236832</ns0:v>
      </ns0:c>
      <ns0:c r="F638" s="16">
        <ns0:f>A638*('前提と出典'!$C$36*'契約別単価'!F5+'前提と出典'!$C$37*'契約別単価'!F6+'前提と出典'!$C$38*'契約別単価'!F7)</ns0:f>
        <ns0:v>481456.73413233954</ns0:v>
      </ns0:c>
      <ns0:c r="G638" s="16">
        <ns0:f>A638*('前提と出典'!$C$36*'契約別単価'!G5+'前提と出典'!$C$37*'契約別単価'!G6+'前提と出典'!$C$38*'契約別単価'!G7)</ns0:f>
        <ns0:v>1261978.7709497206</ns0:v>
      </ns0:c>
      <ns0:c r="H638" s="16">
        <ns0:f>A638*('前提と出典'!$C$36*'契約別単価'!H5+'前提と出典'!$C$37*'契約別単価'!H6+'前提と出典'!$C$38*'契約別単価'!H7)</ns0:f>
        <ns0:v>437969.9267286151</ns0:v>
      </ns0:c>
      <ns0:c r="I638" s="16">
        <ns0:f>A638*('前提と出典'!$C$36*'契約別単価'!I5+'前提と出典'!$C$37*'契約別単価'!I6+'前提と出典'!$C$38*'契約別単価'!I7)</ns0:f>
        <ns0:v>26751.96648044692</ns0:v>
      </ns0:c>
      <ns0:c r="J638" s="16">
        <ns0:f>A638*('前提と出典'!$C$36*'契約別単価'!J5+'前提と出典'!$C$37*'契約別単価'!J6+'前提と出典'!$C$38*'契約別単価'!J7)</ns0:f>
        <ns0:v>62315.57071233183</ns0:v>
      </ns0:c>
      <ns0:c r="K638" s="16">
        <ns0:f>A638*('前提と出典'!$C$36*'契約別単価'!K5+'前提と出典'!$C$37*'契約別単価'!K6+'前提と出典'!$C$38*'契約別単価'!K7)</ns0:f>
        <ns0:v>267106.4432029795</ns0:v>
      </ns0:c>
      <ns0:c r="L638" s="16">
        <ns0:f>A638*('前提と出典'!$C$36*'契約別単価'!L5+'前提と出典'!$C$37*'契約別単価'!L6+'前提と出典'!$C$38*'契約別単価'!L7)</ns0:f>
        <ns0:v>217478.9975576205</ns0:v>
      </ns0:c>
      <ns0:c r="M638" s="16">
        <ns0:f>IF(('前提と出典'!$C$36+'前提と出典'!$C$38)=0,0,IF(B638&lt;=10,'前提と出典'!B73+'前提と出典'!C73,IF(B638&lt;=100,'前提と出典'!B74+'前提と出典'!C74,IF(B638&lt;=500,'前提と出典'!B75+'前提と出典'!C75,'前提と出典'!B76+'前提と出典'!C76))))</ns0:f>
        <ns0:v>40000</ns0:v>
      </ns0:c>
      <ns0:c r="N638" s="16">
        <ns0:f>IF(('前提と出典'!$C$37+'前提と出典'!$C$38)=0,0,IF(C638&lt;=10,'前提と出典'!D73+'前提と出典'!E73,IF(C638&lt;=100,'前提と出典'!D74+'前提と出典'!E74,IF(C638&lt;=500,'前提と出典'!D75+'前提と出典'!E75,'前提と出典'!D76+'前提と出典'!E76))))</ns0:f>
        <ns0:v>56510.9346263078</ns0:v>
      </ns0:c>
      <ns0:c r="O638" s="16">
        <ns0:f>IF('前提と出典'!$C$36+'前提と出典'!$C$38=0,0,'前提と出典'!$B$4*IF('前提と出典'!$B$20=0,MAX('前提と出典'!$B$6,D638*'前提と出典'!$B$5),'前提と出典'!$B$6+D638*'前提と出典'!$B$5))</ns0:f>
        <ns0:v>629551.374301676</ns0:v>
      </ns0:c>
      <ns0:c r="P638" s="16">
        <ns0:f>(E638+G638)*(1-'前提と出典'!$B$7)-I638-K638-M638-O638</ns0:f>
        <ns0:v>1435729.4867334883</ns0:v>
      </ns0:c>
      <ns0:c r="Q638" s="16">
        <ns0:f>(F638+H638)*(1-'前提と出典'!$B$7)-J638-L638-N638</ns0:f>
        <ns0:v>550021.7981737001</ns0:v>
      </ns0:c>
      <ns0:c r="R638" s="16">
        <ns0:f>P638-E638*'前提と出典'!$E$4</ns0:f>
        <ns0:v>1067703.0130229923</ns0:v>
      </ns0:c>
      <ns0:c r="S638" s="16">
        <ns0:f>Q638-F638*'前提と出典'!$E$4</ns0:f>
        <ns0:v>405584.77793399827</ns0:v>
      </ns0:c>
      <ns0:c r="T638" s="7">
        <ns0:f>R638+S638</ns0:f>
        <ns0:v>1473287.7909569906</ns0:v>
      </ns0:c>
      <ns0:c r="U638" s="16">
        <ns0:f>P638-E638*'前提と出典'!$E$5</ns0:f>
        <ns0:v>945027.5217861604</ns0:v>
      </ns0:c>
      <ns0:c r="V638" s="16">
        <ns0:f>Q638-F638*'前提と出典'!$E$5</ns0:f>
        <ns0:v>357439.1045207643</ns0:v>
      </ns0:c>
      <ns0:c r="W638" s="7">
        <ns0:f>U638+V638</ns0:f>
        <ns0:v>1302466.6263069247</ns0:v>
      </ns0:c>
      <ns0:c r="X638" s="16">
        <ns0:f>P638-E638*'前提と出典'!$E$6</ns0:f>
        <ns0:v>822352.0305493284</ns0:v>
      </ns0:c>
      <ns0:c r="Y638" s="16">
        <ns0:f>Q638-F638*'前提と出典'!$E$6</ns0:f>
        <ns0:v>309293.43110753037</ns0:v>
      </ns0:c>
      <ns0:c r="Z638" s="7">
        <ns0:f>X638+Y638</ns0:f>
        <ns0:v>1131645.4616568587</ns0:v>
      </ns0:c>
      <ns0:c r="AA638" s="7">
        <ns0:f>IF(T638&gt;=0,A638,1001)</ns0:f>
        <ns0:v>634</ns0:v>
      </ns0:c>
      <ns0:c r="AB638" s="7">
        <ns0:f>IF(T638&lt;0,A638,0)</ns0:f>
        <ns0:v>0</ns0:v>
      </ns0:c>
      <ns0:c r="AC638" s="16">
        <ns0:f>IF(AND(OR('前提と出典'!$C$36+'前提と出典'!$C$38=0,R638&gt;=0),OR('前提と出典'!$C$37+'前提と出典'!$C$38=0,S638&gt;=0)),0,A638)</ns0:f>
        <ns0:v>0</ns0:v>
      </ns0:c>
      <ns0:c r="AD638" s="7">
        <ns0:f>IF(W638&gt;=0,A638,1001)</ns0:f>
        <ns0:v>634</ns0:v>
      </ns0:c>
      <ns0:c r="AE638" s="7">
        <ns0:f>IF(W638&lt;0,A638,0)</ns0:f>
        <ns0:v>0</ns0:v>
      </ns0:c>
      <ns0:c r="AF638" s="16">
        <ns0:f>IF(AND(OR('前提と出典'!$C$36+'前提と出典'!$C$38=0,U638&gt;=0),OR('前提と出典'!$C$37+'前提と出典'!$C$38=0,V638&gt;=0)),0,A638)</ns0:f>
        <ns0:v>0</ns0:v>
      </ns0:c>
      <ns0:c r="AG638" s="7">
        <ns0:f>IF(Z638&gt;=0,A638,1001)</ns0:f>
        <ns0:v>634</ns0:v>
      </ns0:c>
      <ns0:c r="AH638" s="4">
        <ns0:f>IF(Z638&lt;0,A638,0)</ns0:f>
        <ns0:v>0</ns0:v>
      </ns0:c>
      <ns0:c r="AI638" s="12">
        <ns0:f>IF(AND(OR('前提と出典'!$C$36+'前提と出典'!$C$38=0,X638&gt;=0),OR('前提と出典'!$C$37+'前提と出典'!$C$38=0,Y638&gt;=0)),0,A638)</ns0:f>
        <ns0:v>0</ns0:v>
      </ns0:c>
    </ns0:row>
    <ns0:row r="639" ht="24" customHeight="1">
      <ns0:c r="A639" s="4" t="n">
        <ns0:v>635</ns0:v>
      </ns0:c>
      <ns0:c r="B639" s="12">
        <ns0:f>A639*('前提と出典'!$C$36+'前提と出典'!$C$38)</ns0:f>
        <ns0:v>444.5</ns0:v>
      </ns0:c>
      <ns0:c r="C639" s="12">
        <ns0:f>A639*('前提と出典'!$C$37+'前提と出典'!$C$38)</ns0:f>
        <ns0:v>381</ns0:v>
      </ns0:c>
      <ns0:c r="D639" s="16">
        <ns0:f>A639*('前提と出典'!$C$36*'契約別単価'!C5+'前提と出典'!$C$37*'契約別単価'!C6+'前提と出典'!$C$38*'契約別単価'!C7)</ns0:f>
        <ns0:v>4569.1620111731845</ns0:v>
      </ns0:c>
      <ns0:c r="E639" s="16">
        <ns0:f>A639*('前提と出典'!$C$36*'契約別単価'!E5+'前提と出典'!$C$37*'契約別単価'!E6+'前提と出典'!$C$38*'契約別単価'!E7)</ns0:f>
        <ns0:v>1228689.8570250524</ns0:v>
      </ns0:c>
      <ns0:c r="F639" s="16">
        <ns0:f>A639*('前提と出典'!$C$36*'契約別単価'!F5+'前提と出典'!$C$37*'契約別単価'!F6+'前提と出典'!$C$38*'契約別単価'!F7)</ns0:f>
        <ns0:v>482216.1296120435</ns0:v>
      </ns0:c>
      <ns0:c r="G639" s="16">
        <ns0:f>A639*('前提と出典'!$C$36*'契約別単価'!G5+'前提と出典'!$C$37*'契約別単価'!G6+'前提と出典'!$C$38*'契約別単価'!G7)</ns0:f>
        <ns0:v>1263969.2737430166</ns0:v>
      </ns0:c>
      <ns0:c r="H639" s="16">
        <ns0:f>A639*('前提と出典'!$C$36*'契約別単価'!H5+'前提と出典'!$C$37*'契約別単価'!H6+'前提と出典'!$C$38*'契約別単価'!H7)</ns0:f>
        <ns0:v>438660.73102944886</ns0:v>
      </ns0:c>
      <ns0:c r="I639" s="16">
        <ns0:f>A639*('前提と出典'!$C$36*'契約別単価'!I5+'前提と出典'!$C$37*'契約別単価'!I6+'前提と出典'!$C$38*'契約別単価'!I7)</ns0:f>
        <ns0:v>26794.16201117318</ns0:v>
      </ns0:c>
      <ns0:c r="J639" s="16">
        <ns0:f>A639*('前提と出典'!$C$36*'契約別単価'!J5+'前提と出典'!$C$37*'契約別単価'!J6+'前提と出典'!$C$38*'契約別単価'!J7)</ns0:f>
        <ns0:v>62413.86025604213</ns0:v>
      </ns0:c>
      <ns0:c r="K639" s="16">
        <ns0:f>A639*('前提と出典'!$C$36*'契約別単価'!K5+'前提と出典'!$C$37*'契約別単価'!K6+'前提と出典'!$C$38*'契約別単価'!K7)</ns0:f>
        <ns0:v>267527.7467411545</ns0:v>
      </ns0:c>
      <ns0:c r="L639" s="16">
        <ns0:f>A639*('前提と出典'!$C$36*'契約別単価'!L5+'前提と出典'!$C$37*'契約別単価'!L6+'前提と出典'!$C$38*'契約別単価'!L7)</ns0:f>
        <ns0:v>217822.0243676483</ns0:v>
      </ns0:c>
      <ns0:c r="M639" s="16">
        <ns0:f>IF(('前提と出典'!$C$36+'前提と出典'!$C$38)=0,0,IF(B639&lt;=10,'前提と出典'!B73+'前提と出典'!C73,IF(B639&lt;=100,'前提と出典'!B74+'前提と出典'!C74,IF(B639&lt;=500,'前提と出典'!B75+'前提と出典'!C75,'前提と出典'!B76+'前提と出典'!C76))))</ns0:f>
        <ns0:v>40000</ns0:v>
      </ns0:c>
      <ns0:c r="N639" s="16">
        <ns0:f>IF(('前提と出典'!$C$37+'前提と出典'!$C$38)=0,0,IF(C639&lt;=10,'前提と出典'!D73+'前提と出典'!E73,IF(C639&lt;=100,'前提と出典'!D74+'前提と出典'!E74,IF(C639&lt;=500,'前提と出典'!D75+'前提と出典'!E75,'前提と出典'!D76+'前提と出典'!E76))))</ns0:f>
        <ns0:v>56510.9346263078</ns0:v>
      </ns0:c>
      <ns0:c r="O639" s="16">
        <ns0:f>IF('前提と出典'!$C$36+'前提と出典'!$C$38=0,0,'前提と出典'!$B$4*IF('前提と出典'!$B$20=0,MAX('前提と出典'!$B$6,D639*'前提と出典'!$B$5),'前提と出典'!$B$6+D639*'前提と出典'!$B$5))</ns0:f>
        <ns0:v>630544.3575418995</ns0:v>
      </ns0:c>
      <ns0:c r="P639" s="16">
        <ns0:f>(E639+G639)*(1-'前提と出典'!$B$7)-I639-K639-M639-O639</ns0:f>
        <ns0:v>1438057.1357661916</ns0:v>
      </ns0:c>
      <ns0:c r="Q639" s="16">
        <ns0:f>(F639+H639)*(1-'前提と出典'!$B$7)-J639-L639-N639</ns0:f>
        <ns0:v>550978.4744084004</ns0:v>
      </ns0:c>
      <ns0:c r="R639" s="16">
        <ns0:f>P639-E639*'前提と出典'!$E$4</ns0:f>
        <ns0:v>1069450.1786586759</ns0:v>
      </ns0:c>
      <ns0:c r="S639" s="16">
        <ns0:f>Q639-F639*'前提と出典'!$E$4</ns0:f>
        <ns0:v>406313.63552478736</ns0:v>
      </ns0:c>
      <ns0:c r="T639" s="7">
        <ns0:f>R639+S639</ns0:f>
        <ns0:v>1475763.8141834633</ns0:v>
      </ns0:c>
      <ns0:c r="U639" s="16">
        <ns0:f>P639-E639*'前提と出典'!$E$5</ns0:f>
        <ns0:v>946581.1929561706</ns0:v>
      </ns0:c>
      <ns0:c r="V639" s="16">
        <ns0:f>Q639-F639*'前提と出典'!$E$5</ns0:f>
        <ns0:v>358092.022563583</ns0:v>
      </ns0:c>
      <ns0:c r="W639" s="7">
        <ns0:f>U639+V639</ns0:f>
        <ns0:v>1304673.2155197538</ns0:v>
      </ns0:c>
      <ns0:c r="X639" s="16">
        <ns0:f>P639-E639*'前提と出典'!$E$6</ns0:f>
        <ns0:v>823712.2072536653</ns0:v>
      </ns0:c>
      <ns0:c r="Y639" s="16">
        <ns0:f>Q639-F639*'前提と出典'!$E$6</ns0:f>
        <ns0:v>309870.4096023786</ns0:v>
      </ns0:c>
      <ns0:c r="Z639" s="7">
        <ns0:f>X639+Y639</ns0:f>
        <ns0:v>1133582.616856044</ns0:v>
      </ns0:c>
      <ns0:c r="AA639" s="7">
        <ns0:f>IF(T639&gt;=0,A639,1001)</ns0:f>
        <ns0:v>635</ns0:v>
      </ns0:c>
      <ns0:c r="AB639" s="7">
        <ns0:f>IF(T639&lt;0,A639,0)</ns0:f>
        <ns0:v>0</ns0:v>
      </ns0:c>
      <ns0:c r="AC639" s="16">
        <ns0:f>IF(AND(OR('前提と出典'!$C$36+'前提と出典'!$C$38=0,R639&gt;=0),OR('前提と出典'!$C$37+'前提と出典'!$C$38=0,S639&gt;=0)),0,A639)</ns0:f>
        <ns0:v>0</ns0:v>
      </ns0:c>
      <ns0:c r="AD639" s="7">
        <ns0:f>IF(W639&gt;=0,A639,1001)</ns0:f>
        <ns0:v>635</ns0:v>
      </ns0:c>
      <ns0:c r="AE639" s="7">
        <ns0:f>IF(W639&lt;0,A639,0)</ns0:f>
        <ns0:v>0</ns0:v>
      </ns0:c>
      <ns0:c r="AF639" s="16">
        <ns0:f>IF(AND(OR('前提と出典'!$C$36+'前提と出典'!$C$38=0,U639&gt;=0),OR('前提と出典'!$C$37+'前提と出典'!$C$38=0,V639&gt;=0)),0,A639)</ns0:f>
        <ns0:v>0</ns0:v>
      </ns0:c>
      <ns0:c r="AG639" s="7">
        <ns0:f>IF(Z639&gt;=0,A639,1001)</ns0:f>
        <ns0:v>635</ns0:v>
      </ns0:c>
      <ns0:c r="AH639" s="4">
        <ns0:f>IF(Z639&lt;0,A639,0)</ns0:f>
        <ns0:v>0</ns0:v>
      </ns0:c>
      <ns0:c r="AI639" s="12">
        <ns0:f>IF(AND(OR('前提と出典'!$C$36+'前提と出典'!$C$38=0,X639&gt;=0),OR('前提と出典'!$C$37+'前提と出典'!$C$38=0,Y639&gt;=0)),0,A639)</ns0:f>
        <ns0:v>0</ns0:v>
      </ns0:c>
    </ns0:row>
    <ns0:row r="640" ht="24" customHeight="1">
      <ns0:c r="A640" s="4" t="n">
        <ns0:v>636</ns0:v>
      </ns0:c>
      <ns0:c r="B640" s="12">
        <ns0:f>A640*('前提と出典'!$C$36+'前提と出典'!$C$38)</ns0:f>
        <ns0:v>445.2</ns0:v>
      </ns0:c>
      <ns0:c r="C640" s="12">
        <ns0:f>A640*('前提と出典'!$C$37+'前提と出典'!$C$38)</ns0:f>
        <ns0:v>381.59999999999997</ns0:v>
      </ns0:c>
      <ns0:c r="D640" s="16">
        <ns0:f>A640*('前提と出典'!$C$36*'契約別単価'!C5+'前提と出典'!$C$37*'契約別単価'!C6+'前提と出典'!$C$38*'契約別単価'!C7)</ns0:f>
        <ns0:v>4576.3575418994415</ns0:v>
      </ns0:c>
      <ns0:c r="E640" s="16">
        <ns0:f>A640*('前提と出典'!$C$36*'契約別単価'!E5+'前提と出典'!$C$37*'契約別単価'!E6+'前提と出典'!$C$38*'契約別単価'!E7)</ns0:f>
        <ns0:v>1230624.8016817847</ns0:v>
      </ns0:c>
      <ns0:c r="F640" s="16">
        <ns0:f>A640*('前提と出典'!$C$36*'契約別単価'!F5+'前提と出典'!$C$37*'契約別単価'!F6+'前提と出典'!$C$38*'契約別単価'!F7)</ns0:f>
        <ns0:v>482975.5250917475</ns0:v>
      </ns0:c>
      <ns0:c r="G640" s="16">
        <ns0:f>A640*('前提と出典'!$C$36*'契約別単価'!G5+'前提と出典'!$C$37*'契約別単価'!G6+'前提と出典'!$C$38*'契約別単価'!G7)</ns0:f>
        <ns0:v>1265959.776536313</ns0:v>
      </ns0:c>
      <ns0:c r="H640" s="16">
        <ns0:f>A640*('前提と出典'!$C$36*'契約別単価'!H5+'前提と出典'!$C$37*'契約別単価'!H6+'前提と出典'!$C$38*'契約別単価'!H7)</ns0:f>
        <ns0:v>439351.5353302826</ns0:v>
      </ns0:c>
      <ns0:c r="I640" s="16">
        <ns0:f>A640*('前提と出典'!$C$36*'契約別単価'!I5+'前提と出典'!$C$37*'契約別単価'!I6+'前提と出典'!$C$38*'契約別単価'!I7)</ns0:f>
        <ns0:v>26836.357541899437</ns0:v>
      </ns0:c>
      <ns0:c r="J640" s="16">
        <ns0:f>A640*('前提と出典'!$C$36*'契約別単価'!J5+'前提と出典'!$C$37*'契約別単価'!J6+'前提と出典'!$C$38*'契約別単価'!J7)</ns0:f>
        <ns0:v>62512.149799752435</ns0:v>
      </ns0:c>
      <ns0:c r="K640" s="16">
        <ns0:f>A640*('前提と出典'!$C$36*'契約別単価'!K5+'前提と出典'!$C$37*'契約別単価'!K6+'前提と出典'!$C$38*'契約別単価'!K7)</ns0:f>
        <ns0:v>267949.0502793296</ns0:v>
      </ns0:c>
      <ns0:c r="L640" s="16">
        <ns0:f>A640*('前提と出典'!$C$36*'契約別単価'!L5+'前提と出典'!$C$37*'契約別単価'!L6+'前提と出典'!$C$38*'契約別単価'!L7)</ns0:f>
        <ns0:v>218165.05117767607</ns0:v>
      </ns0:c>
      <ns0:c r="M640" s="16">
        <ns0:f>IF(('前提と出典'!$C$36+'前提と出典'!$C$38)=0,0,IF(B640&lt;=10,'前提と出典'!B73+'前提と出典'!C73,IF(B640&lt;=100,'前提と出典'!B74+'前提と出典'!C74,IF(B640&lt;=500,'前提と出典'!B75+'前提と出典'!C75,'前提と出典'!B76+'前提と出典'!C76))))</ns0:f>
        <ns0:v>40000</ns0:v>
      </ns0:c>
      <ns0:c r="N640" s="16">
        <ns0:f>IF(('前提と出典'!$C$37+'前提と出典'!$C$38)=0,0,IF(C640&lt;=10,'前提と出典'!D73+'前提と出典'!E73,IF(C640&lt;=100,'前提と出典'!D74+'前提と出典'!E74,IF(C640&lt;=500,'前提と出典'!D75+'前提と出典'!E75,'前提と出典'!D76+'前提と出典'!E76))))</ns0:f>
        <ns0:v>56510.9346263078</ns0:v>
      </ns0:c>
      <ns0:c r="O640" s="16">
        <ns0:f>IF('前提と出典'!$C$36+'前提と出典'!$C$38=0,0,'前提と出典'!$B$4*IF('前提と出典'!$B$20=0,MAX('前提と出典'!$B$6,D640*'前提と出典'!$B$5),'前提と出典'!$B$6+D640*'前提と出典'!$B$5))</ns0:f>
        <ns0:v>631537.3407821229</ns0:v>
      </ns0:c>
      <ns0:c r="P640" s="16">
        <ns0:f>(E640+G640)*(1-'前提と出典'!$B$7)-I640-K640-M640-O640</ns0:f>
        <ns0:v>1440384.7847988945</ns0:v>
      </ns0:c>
      <ns0:c r="Q640" s="16">
        <ns0:f>(F640+H640)*(1-'前提と出典'!$B$7)-J640-L640-N640</ns0:f>
        <ns0:v>551935.1506431007</ns0:v>
      </ns0:c>
      <ns0:c r="R640" s="16">
        <ns0:f>P640-E640*'前提と出典'!$E$4</ns0:f>
        <ns0:v>1071197.3442943587</ns0:v>
      </ns0:c>
      <ns0:c r="S640" s="16">
        <ns0:f>Q640-F640*'前提と出典'!$E$4</ns0:f>
        <ns0:v>407042.49311557645</ns0:v>
      </ns0:c>
      <ns0:c r="T640" s="7">
        <ns0:f>R640+S640</ns0:f>
        <ns0:v>1478239.8374099352</ns0:v>
      </ns0:c>
      <ns0:c r="U640" s="16">
        <ns0:f>P640-E640*'前提と出典'!$E$5</ns0:f>
        <ns0:v>948134.8641261805</ns0:v>
      </ns0:c>
      <ns0:c r="V640" s="16">
        <ns0:f>Q640-F640*'前提と出典'!$E$5</ns0:f>
        <ns0:v>358744.94060640177</ns0:v>
      </ns0:c>
      <ns0:c r="W640" s="7">
        <ns0:f>U640+V640</ns0:f>
        <ns0:v>1306879.8047325823</ns0:v>
      </ns0:c>
      <ns0:c r="X640" s="16">
        <ns0:f>P640-E640*'前提と出典'!$E$6</ns0:f>
        <ns0:v>825072.3839580019</ns0:v>
      </ns0:c>
      <ns0:c r="Y640" s="16">
        <ns0:f>Q640-F640*'前提と出典'!$E$6</ns0:f>
        <ns0:v>310447.38809722697</ns0:v>
      </ns0:c>
      <ns0:c r="Z640" s="7">
        <ns0:f>X640+Y640</ns0:f>
        <ns0:v>1135519.7720552287</ns0:v>
      </ns0:c>
      <ns0:c r="AA640" s="7">
        <ns0:f>IF(T640&gt;=0,A640,1001)</ns0:f>
        <ns0:v>636</ns0:v>
      </ns0:c>
      <ns0:c r="AB640" s="7">
        <ns0:f>IF(T640&lt;0,A640,0)</ns0:f>
        <ns0:v>0</ns0:v>
      </ns0:c>
      <ns0:c r="AC640" s="16">
        <ns0:f>IF(AND(OR('前提と出典'!$C$36+'前提と出典'!$C$38=0,R640&gt;=0),OR('前提と出典'!$C$37+'前提と出典'!$C$38=0,S640&gt;=0)),0,A640)</ns0:f>
        <ns0:v>0</ns0:v>
      </ns0:c>
      <ns0:c r="AD640" s="7">
        <ns0:f>IF(W640&gt;=0,A640,1001)</ns0:f>
        <ns0:v>636</ns0:v>
      </ns0:c>
      <ns0:c r="AE640" s="7">
        <ns0:f>IF(W640&lt;0,A640,0)</ns0:f>
        <ns0:v>0</ns0:v>
      </ns0:c>
      <ns0:c r="AF640" s="16">
        <ns0:f>IF(AND(OR('前提と出典'!$C$36+'前提と出典'!$C$38=0,U640&gt;=0),OR('前提と出典'!$C$37+'前提と出典'!$C$38=0,V640&gt;=0)),0,A640)</ns0:f>
        <ns0:v>0</ns0:v>
      </ns0:c>
      <ns0:c r="AG640" s="7">
        <ns0:f>IF(Z640&gt;=0,A640,1001)</ns0:f>
        <ns0:v>636</ns0:v>
      </ns0:c>
      <ns0:c r="AH640" s="4">
        <ns0:f>IF(Z640&lt;0,A640,0)</ns0:f>
        <ns0:v>0</ns0:v>
      </ns0:c>
      <ns0:c r="AI640" s="12">
        <ns0:f>IF(AND(OR('前提と出典'!$C$36+'前提と出典'!$C$38=0,X640&gt;=0),OR('前提と出典'!$C$37+'前提と出典'!$C$38=0,Y640&gt;=0)),0,A640)</ns0:f>
        <ns0:v>0</ns0:v>
      </ns0:c>
    </ns0:row>
    <ns0:row r="641" ht="24" customHeight="1">
      <ns0:c r="A641" s="4" t="n">
        <ns0:v>637</ns0:v>
      </ns0:c>
      <ns0:c r="B641" s="12">
        <ns0:f>A641*('前提と出典'!$C$36+'前提と出典'!$C$38)</ns0:f>
        <ns0:v>445.9</ns0:v>
      </ns0:c>
      <ns0:c r="C641" s="12">
        <ns0:f>A641*('前提と出典'!$C$37+'前提と出典'!$C$38)</ns0:f>
        <ns0:v>382.2</ns0:v>
      </ns0:c>
      <ns0:c r="D641" s="16">
        <ns0:f>A641*('前提と出典'!$C$36*'契約別単価'!C5+'前提と出典'!$C$37*'契約別単価'!C6+'前提と出典'!$C$38*'契約別単価'!C7)</ns0:f>
        <ns0:v>4583.553072625698</ns0:v>
      </ns0:c>
      <ns0:c r="E641" s="16">
        <ns0:f>A641*('前提と出典'!$C$36*'契約別単価'!E5+'前提と出典'!$C$37*'契約別単価'!E6+'前提と出典'!$C$38*'契約別単価'!E7)</ns0:f>
        <ns0:v>1232559.7463385172</ns0:v>
      </ns0:c>
      <ns0:c r="F641" s="16">
        <ns0:f>A641*('前提と出典'!$C$36*'契約別単価'!F5+'前提と出典'!$C$37*'契約別単価'!F6+'前提と出典'!$C$38*'契約別単価'!F7)</ns0:f>
        <ns0:v>483734.92057145154</ns0:v>
      </ns0:c>
      <ns0:c r="G641" s="16">
        <ns0:f>A641*('前提と出典'!$C$36*'契約別単価'!G5+'前提と出典'!$C$37*'契約別単価'!G6+'前提と出典'!$C$38*'契約別単価'!G7)</ns0:f>
        <ns0:v>1267950.279329609</ns0:v>
      </ns0:c>
      <ns0:c r="H641" s="16">
        <ns0:f>A641*('前提と出典'!$C$36*'契約別単価'!H5+'前提と出典'!$C$37*'契約別単価'!H6+'前提と出典'!$C$38*'契約別単価'!H7)</ns0:f>
        <ns0:v>440042.33963111637</ns0:v>
      </ns0:c>
      <ns0:c r="I641" s="16">
        <ns0:f>A641*('前提と出典'!$C$36*'契約別単価'!I5+'前提と出典'!$C$37*'契約別単価'!I6+'前提と出典'!$C$38*'契約別単価'!I7)</ns0:f>
        <ns0:v>26878.553072625695</ns0:v>
      </ns0:c>
      <ns0:c r="J641" s="16">
        <ns0:f>A641*('前提と出典'!$C$36*'契約別単価'!J5+'前提と出典'!$C$37*'契約別単価'!J6+'前提と出典'!$C$38*'契約別単価'!J7)</ns0:f>
        <ns0:v>62610.439343462735</ns0:v>
      </ns0:c>
      <ns0:c r="K641" s="16">
        <ns0:f>A641*('前提と出典'!$C$36*'契約別単価'!K5+'前提と出典'!$C$37*'契約別単価'!K6+'前提と出典'!$C$38*'契約別単価'!K7)</ns0:f>
        <ns0:v>268370.35381750466</ns0:v>
      </ns0:c>
      <ns0:c r="L641" s="16">
        <ns0:f>A641*('前提と出典'!$C$36*'契約別単価'!L5+'前提と出典'!$C$37*'契約別単価'!L6+'前提と出典'!$C$38*'契約別単価'!L7)</ns0:f>
        <ns0:v>218508.07798770387</ns0:v>
      </ns0:c>
      <ns0:c r="M641" s="16">
        <ns0:f>IF(('前提と出典'!$C$36+'前提と出典'!$C$38)=0,0,IF(B641&lt;=10,'前提と出典'!B73+'前提と出典'!C73,IF(B641&lt;=100,'前提と出典'!B74+'前提と出典'!C74,IF(B641&lt;=500,'前提と出典'!B75+'前提と出典'!C75,'前提と出典'!B76+'前提と出典'!C76))))</ns0:f>
        <ns0:v>40000</ns0:v>
      </ns0:c>
      <ns0:c r="N641" s="16">
        <ns0:f>IF(('前提と出典'!$C$37+'前提と出典'!$C$38)=0,0,IF(C641&lt;=10,'前提と出典'!D73+'前提と出典'!E73,IF(C641&lt;=100,'前提と出典'!D74+'前提と出典'!E74,IF(C641&lt;=500,'前提と出典'!D75+'前提と出典'!E75,'前提と出典'!D76+'前提と出典'!E76))))</ns0:f>
        <ns0:v>56510.9346263078</ns0:v>
      </ns0:c>
      <ns0:c r="O641" s="16">
        <ns0:f>IF('前提と出典'!$C$36+'前提と出典'!$C$38=0,0,'前提と出典'!$B$4*IF('前提と出典'!$B$20=0,MAX('前提と出典'!$B$6,D641*'前提と出典'!$B$5),'前提と出典'!$B$6+D641*'前提と出典'!$B$5))</ns0:f>
        <ns0:v>632530.3240223464</ns0:v>
      </ns0:c>
      <ns0:c r="P641" s="16">
        <ns0:f>(E641+G641)*(1-'前提と出典'!$B$7)-I641-K641-M641-O641</ns0:f>
        <ns0:v>1442712.4338315967</ns0:v>
      </ns0:c>
      <ns0:c r="Q641" s="16">
        <ns0:f>(F641+H641)*(1-'前提と出典'!$B$7)-J641-L641-N641</ns0:f>
        <ns0:v>552891.8268778011</ns0:v>
      </ns0:c>
      <ns0:c r="R641" s="16">
        <ns0:f>P641-E641*'前提と出典'!$E$4</ns0:f>
        <ns0:v>1072944.5099300416</ns0:v>
      </ns0:c>
      <ns0:c r="S641" s="16">
        <ns0:f>Q641-F641*'前提と出典'!$E$4</ns0:f>
        <ns0:v>407771.35070636566</ns0:v>
      </ns0:c>
      <ns0:c r="T641" s="7">
        <ns0:f>R641+S641</ns0:f>
        <ns0:v>1480715.8606364073</ns0:v>
      </ns0:c>
      <ns0:c r="U641" s="16">
        <ns0:f>P641-E641*'前提と出典'!$E$5</ns0:f>
        <ns0:v>949688.5352961898</ns0:v>
      </ns0:c>
      <ns0:c r="V641" s="16">
        <ns0:f>Q641-F641*'前提と出典'!$E$5</ns0:f>
        <ns0:v>359397.85864922043</ns0:v>
      </ns0:c>
      <ns0:c r="W641" s="7">
        <ns0:f>U641+V641</ns0:f>
        <ns0:v>1309086.3939454104</ns0:v>
      </ns0:c>
      <ns0:c r="X641" s="16">
        <ns0:f>P641-E641*'前提と出典'!$E$6</ns0:f>
        <ns0:v>826432.560662338</ns0:v>
      </ns0:c>
      <ns0:c r="Y641" s="16">
        <ns0:f>Q641-F641*'前提と出典'!$E$6</ns0:f>
        <ns0:v>311024.3665920753</ns0:v>
      </ns0:c>
      <ns0:c r="Z641" s="7">
        <ns0:f>X641+Y641</ns0:f>
        <ns0:v>1137456.9272544133</ns0:v>
      </ns0:c>
      <ns0:c r="AA641" s="7">
        <ns0:f>IF(T641&gt;=0,A641,1001)</ns0:f>
        <ns0:v>637</ns0:v>
      </ns0:c>
      <ns0:c r="AB641" s="7">
        <ns0:f>IF(T641&lt;0,A641,0)</ns0:f>
        <ns0:v>0</ns0:v>
      </ns0:c>
      <ns0:c r="AC641" s="16">
        <ns0:f>IF(AND(OR('前提と出典'!$C$36+'前提と出典'!$C$38=0,R641&gt;=0),OR('前提と出典'!$C$37+'前提と出典'!$C$38=0,S641&gt;=0)),0,A641)</ns0:f>
        <ns0:v>0</ns0:v>
      </ns0:c>
      <ns0:c r="AD641" s="7">
        <ns0:f>IF(W641&gt;=0,A641,1001)</ns0:f>
        <ns0:v>637</ns0:v>
      </ns0:c>
      <ns0:c r="AE641" s="7">
        <ns0:f>IF(W641&lt;0,A641,0)</ns0:f>
        <ns0:v>0</ns0:v>
      </ns0:c>
      <ns0:c r="AF641" s="16">
        <ns0:f>IF(AND(OR('前提と出典'!$C$36+'前提と出典'!$C$38=0,U641&gt;=0),OR('前提と出典'!$C$37+'前提と出典'!$C$38=0,V641&gt;=0)),0,A641)</ns0:f>
        <ns0:v>0</ns0:v>
      </ns0:c>
      <ns0:c r="AG641" s="7">
        <ns0:f>IF(Z641&gt;=0,A641,1001)</ns0:f>
        <ns0:v>637</ns0:v>
      </ns0:c>
      <ns0:c r="AH641" s="4">
        <ns0:f>IF(Z641&lt;0,A641,0)</ns0:f>
        <ns0:v>0</ns0:v>
      </ns0:c>
      <ns0:c r="AI641" s="12">
        <ns0:f>IF(AND(OR('前提と出典'!$C$36+'前提と出典'!$C$38=0,X641&gt;=0),OR('前提と出典'!$C$37+'前提と出典'!$C$38=0,Y641&gt;=0)),0,A641)</ns0:f>
        <ns0:v>0</ns0:v>
      </ns0:c>
    </ns0:row>
    <ns0:row r="642" ht="24" customHeight="1">
      <ns0:c r="A642" s="4" t="n">
        <ns0:v>638</ns0:v>
      </ns0:c>
      <ns0:c r="B642" s="12">
        <ns0:f>A642*('前提と出典'!$C$36+'前提と出典'!$C$38)</ns0:f>
        <ns0:v>446.59999999999997</ns0:v>
      </ns0:c>
      <ns0:c r="C642" s="12">
        <ns0:f>A642*('前提と出典'!$C$37+'前提と出典'!$C$38)</ns0:f>
        <ns0:v>382.8</ns0:v>
      </ns0:c>
      <ns0:c r="D642" s="16">
        <ns0:f>A642*('前提と出典'!$C$36*'契約別単価'!C5+'前提と出典'!$C$37*'契約別単価'!C6+'前提と出典'!$C$38*'契約別単価'!C7)</ns0:f>
        <ns0:v>4590.748603351955</ns0:v>
      </ns0:c>
      <ns0:c r="E642" s="16">
        <ns0:f>A642*('前提と出典'!$C$36*'契約別単価'!E5+'前提と出典'!$C$37*'契約別単価'!E6+'前提と出典'!$C$38*'契約別単価'!E7)</ns0:f>
        <ns0:v>1234494.6909952494</ns0:v>
      </ns0:c>
      <ns0:c r="F642" s="16">
        <ns0:f>A642*('前提と出典'!$C$36*'契約別単価'!F5+'前提と出典'!$C$37*'契約別単価'!F6+'前提と出典'!$C$38*'契約別単価'!F7)</ns0:f>
        <ns0:v>484494.31605115556</ns0:v>
      </ns0:c>
      <ns0:c r="G642" s="16">
        <ns0:f>A642*('前提と出典'!$C$36*'契約別単価'!G5+'前提と出典'!$C$37*'契約別単価'!G6+'前提と出典'!$C$38*'契約別単価'!G7)</ns0:f>
        <ns0:v>1269940.782122905</ns0:v>
      </ns0:c>
      <ns0:c r="H642" s="16">
        <ns0:f>A642*('前提と出典'!$C$36*'契約別単価'!H5+'前提と出典'!$C$37*'契約別単価'!H6+'前提と出典'!$C$38*'契約別単価'!H7)</ns0:f>
        <ns0:v>440733.14393195015</ns0:v>
      </ns0:c>
      <ns0:c r="I642" s="16">
        <ns0:f>A642*('前提と出典'!$C$36*'契約別単価'!I5+'前提と出典'!$C$37*'契約別単価'!I6+'前提と出典'!$C$38*'契約別単価'!I7)</ns0:f>
        <ns0:v>26920.74860335195</ns0:v>
      </ns0:c>
      <ns0:c r="J642" s="16">
        <ns0:f>A642*('前提と出典'!$C$36*'契約別単価'!J5+'前提と出典'!$C$37*'契約別単価'!J6+'前提と出典'!$C$38*'契約別単価'!J7)</ns0:f>
        <ns0:v>62708.728887173034</ns0:v>
      </ns0:c>
      <ns0:c r="K642" s="16">
        <ns0:f>A642*('前提と出典'!$C$36*'契約別単価'!K5+'前提と出典'!$C$37*'契約別単価'!K6+'前提と出典'!$C$38*'契約別単価'!K7)</ns0:f>
        <ns0:v>268791.65735567966</ns0:v>
      </ns0:c>
      <ns0:c r="L642" s="16">
        <ns0:f>A642*('前提と出典'!$C$36*'契約別単価'!L5+'前提と出典'!$C$37*'契約別単価'!L6+'前提と出典'!$C$38*'契約別単価'!L7)</ns0:f>
        <ns0:v>218851.10479773168</ns0:v>
      </ns0:c>
      <ns0:c r="M642" s="16">
        <ns0:f>IF(('前提と出典'!$C$36+'前提と出典'!$C$38)=0,0,IF(B642&lt;=10,'前提と出典'!B73+'前提と出典'!C73,IF(B642&lt;=100,'前提と出典'!B74+'前提と出典'!C74,IF(B642&lt;=500,'前提と出典'!B75+'前提と出典'!C75,'前提と出典'!B76+'前提と出典'!C76))))</ns0:f>
        <ns0:v>40000</ns0:v>
      </ns0:c>
      <ns0:c r="N642" s="16">
        <ns0:f>IF(('前提と出典'!$C$37+'前提と出典'!$C$38)=0,0,IF(C642&lt;=10,'前提と出典'!D73+'前提と出典'!E73,IF(C642&lt;=100,'前提と出典'!D74+'前提と出典'!E74,IF(C642&lt;=500,'前提と出典'!D75+'前提と出典'!E75,'前提と出典'!D76+'前提と出典'!E76))))</ns0:f>
        <ns0:v>56510.9346263078</ns0:v>
      </ns0:c>
      <ns0:c r="O642" s="16">
        <ns0:f>IF('前提と出典'!$C$36+'前提と出典'!$C$38=0,0,'前提と出典'!$B$4*IF('前提と出典'!$B$20=0,MAX('前提と出典'!$B$6,D642*'前提と出典'!$B$5),'前提と出典'!$B$6+D642*'前提と出典'!$B$5))</ns0:f>
        <ns0:v>633523.3072625699</ns0:v>
      </ns0:c>
      <ns0:c r="P642" s="16">
        <ns0:f>(E642+G642)*(1-'前提と出典'!$B$7)-I642-K642-M642-O642</ns0:f>
        <ns0:v>1445040.0828642994</ns0:v>
      </ns0:c>
      <ns0:c r="Q642" s="16">
        <ns0:f>(F642+H642)*(1-'前提と出典'!$B$7)-J642-L642-N642</ns0:f>
        <ns0:v>553848.5031125015</ns0:v>
      </ns0:c>
      <ns0:c r="R642" s="16">
        <ns0:f>P642-E642*'前提と出典'!$E$4</ns0:f>
        <ns0:v>1074691.6755657247</ns0:v>
      </ns0:c>
      <ns0:c r="S642" s="16">
        <ns0:f>Q642-F642*'前提と出典'!$E$4</ns0:f>
        <ns0:v>408500.2082971549</ns0:v>
      </ns0:c>
      <ns0:c r="T642" s="7">
        <ns0:f>R642+S642</ns0:f>
        <ns0:v>1483191.8838628796</ns0:v>
      </ns0:c>
      <ns0:c r="U642" s="16">
        <ns0:f>P642-E642*'前提と出典'!$E$5</ns0:f>
        <ns0:v>951242.2064661996</ns0:v>
      </ns0:c>
      <ns0:c r="V642" s="16">
        <ns0:f>Q642-F642*'前提と出典'!$E$5</ns0:f>
        <ns0:v>360050.7766920393</ns0:v>
      </ns0:c>
      <ns0:c r="W642" s="7">
        <ns0:f>U642+V642</ns0:f>
        <ns0:v>1311292.983158239</ns0:v>
      </ns0:c>
      <ns0:c r="X642" s="16">
        <ns0:f>P642-E642*'前提と出典'!$E$6</ns0:f>
        <ns0:v>827792.7373666747</ns0:v>
      </ns0:c>
      <ns0:c r="Y642" s="16">
        <ns0:f>Q642-F642*'前提と出典'!$E$6</ns0:f>
        <ns0:v>311601.34508692374</ns0:v>
      </ns0:c>
      <ns0:c r="Z642" s="7">
        <ns0:f>X642+Y642</ns0:f>
        <ns0:v>1139394.0824535985</ns0:v>
      </ns0:c>
      <ns0:c r="AA642" s="7">
        <ns0:f>IF(T642&gt;=0,A642,1001)</ns0:f>
        <ns0:v>638</ns0:v>
      </ns0:c>
      <ns0:c r="AB642" s="7">
        <ns0:f>IF(T642&lt;0,A642,0)</ns0:f>
        <ns0:v>0</ns0:v>
      </ns0:c>
      <ns0:c r="AC642" s="16">
        <ns0:f>IF(AND(OR('前提と出典'!$C$36+'前提と出典'!$C$38=0,R642&gt;=0),OR('前提と出典'!$C$37+'前提と出典'!$C$38=0,S642&gt;=0)),0,A642)</ns0:f>
        <ns0:v>0</ns0:v>
      </ns0:c>
      <ns0:c r="AD642" s="7">
        <ns0:f>IF(W642&gt;=0,A642,1001)</ns0:f>
        <ns0:v>638</ns0:v>
      </ns0:c>
      <ns0:c r="AE642" s="7">
        <ns0:f>IF(W642&lt;0,A642,0)</ns0:f>
        <ns0:v>0</ns0:v>
      </ns0:c>
      <ns0:c r="AF642" s="16">
        <ns0:f>IF(AND(OR('前提と出典'!$C$36+'前提と出典'!$C$38=0,U642&gt;=0),OR('前提と出典'!$C$37+'前提と出典'!$C$38=0,V642&gt;=0)),0,A642)</ns0:f>
        <ns0:v>0</ns0:v>
      </ns0:c>
      <ns0:c r="AG642" s="7">
        <ns0:f>IF(Z642&gt;=0,A642,1001)</ns0:f>
        <ns0:v>638</ns0:v>
      </ns0:c>
      <ns0:c r="AH642" s="4">
        <ns0:f>IF(Z642&lt;0,A642,0)</ns0:f>
        <ns0:v>0</ns0:v>
      </ns0:c>
      <ns0:c r="AI642" s="12">
        <ns0:f>IF(AND(OR('前提と出典'!$C$36+'前提と出典'!$C$38=0,X642&gt;=0),OR('前提と出典'!$C$37+'前提と出典'!$C$38=0,Y642&gt;=0)),0,A642)</ns0:f>
        <ns0:v>0</ns0:v>
      </ns0:c>
    </ns0:row>
    <ns0:row r="643" ht="24" customHeight="1">
      <ns0:c r="A643" s="4" t="n">
        <ns0:v>639</ns0:v>
      </ns0:c>
      <ns0:c r="B643" s="12">
        <ns0:f>A643*('前提と出典'!$C$36+'前提と出典'!$C$38)</ns0:f>
        <ns0:v>447.29999999999995</ns0:v>
      </ns0:c>
      <ns0:c r="C643" s="12">
        <ns0:f>A643*('前提と出典'!$C$37+'前提と出典'!$C$38)</ns0:f>
        <ns0:v>383.4</ns0:v>
      </ns0:c>
      <ns0:c r="D643" s="16">
        <ns0:f>A643*('前提と出典'!$C$36*'契約別単価'!C5+'前提と出典'!$C$37*'契約別単価'!C6+'前提と出典'!$C$38*'契約別単価'!C7)</ns0:f>
        <ns0:v>4597.944134078212</ns0:v>
      </ns0:c>
      <ns0:c r="E643" s="16">
        <ns0:f>A643*('前提と出典'!$C$36*'契約別単価'!E5+'前提と出典'!$C$37*'契約別単価'!E6+'前提と出典'!$C$38*'契約別単価'!E7)</ns0:f>
        <ns0:v>1236429.635651982</ns0:v>
      </ns0:c>
      <ns0:c r="F643" s="16">
        <ns0:f>A643*('前提と出典'!$C$36*'契約別単価'!F5+'前提と出典'!$C$37*'契約別単価'!F6+'前提と出典'!$C$38*'契約別単価'!F7)</ns0:f>
        <ns0:v>485253.7115308595</ns0:v>
      </ns0:c>
      <ns0:c r="G643" s="16">
        <ns0:f>A643*('前提と出典'!$C$36*'契約別単価'!G5+'前提と出典'!$C$37*'契約別単価'!G6+'前提と出典'!$C$38*'契約別単価'!G7)</ns0:f>
        <ns0:v>1271931.2849162011</ns0:v>
      </ns0:c>
      <ns0:c r="H643" s="16">
        <ns0:f>A643*('前提と出典'!$C$36*'契約別単価'!H5+'前提と出典'!$C$37*'契約別単価'!H6+'前提と出典'!$C$38*'契約別単価'!H7)</ns0:f>
        <ns0:v>441423.94823278394</ns0:v>
      </ns0:c>
      <ns0:c r="I643" s="16">
        <ns0:f>A643*('前提と出典'!$C$36*'契約別単価'!I5+'前提と出典'!$C$37*'契約別単価'!I6+'前提と出典'!$C$38*'契約別単価'!I7)</ns0:f>
        <ns0:v>26962.944134078207</ns0:v>
      </ns0:c>
      <ns0:c r="J643" s="16">
        <ns0:f>A643*('前提と出典'!$C$36*'契約別単価'!J5+'前提と出典'!$C$37*'契約別単価'!J6+'前提と出典'!$C$38*'契約別単価'!J7)</ns0:f>
        <ns0:v>62807.01843088334</ns0:v>
      </ns0:c>
      <ns0:c r="K643" s="16">
        <ns0:f>A643*('前提と出典'!$C$36*'契約別単価'!K5+'前提と出典'!$C$37*'契約別単価'!K6+'前提と出典'!$C$38*'契約別単価'!K7)</ns0:f>
        <ns0:v>269212.96089385473</ns0:v>
      </ns0:c>
      <ns0:c r="L643" s="16">
        <ns0:f>A643*('前提と出典'!$C$36*'契約別単価'!L5+'前提と出典'!$C$37*'契約別単価'!L6+'前提と出典'!$C$38*'契約別単価'!L7)</ns0:f>
        <ns0:v>219194.13160775945</ns0:v>
      </ns0:c>
      <ns0:c r="M643" s="16">
        <ns0:f>IF(('前提と出典'!$C$36+'前提と出典'!$C$38)=0,0,IF(B643&lt;=10,'前提と出典'!B73+'前提と出典'!C73,IF(B643&lt;=100,'前提と出典'!B74+'前提と出典'!C74,IF(B643&lt;=500,'前提と出典'!B75+'前提と出典'!C75,'前提と出典'!B76+'前提と出典'!C76))))</ns0:f>
        <ns0:v>40000</ns0:v>
      </ns0:c>
      <ns0:c r="N643" s="16">
        <ns0:f>IF(('前提と出典'!$C$37+'前提と出典'!$C$38)=0,0,IF(C643&lt;=10,'前提と出典'!D73+'前提と出典'!E73,IF(C643&lt;=100,'前提と出典'!D74+'前提と出典'!E74,IF(C643&lt;=500,'前提と出典'!D75+'前提と出典'!E75,'前提と出典'!D76+'前提と出典'!E76))))</ns0:f>
        <ns0:v>56510.9346263078</ns0:v>
      </ns0:c>
      <ns0:c r="O643" s="16">
        <ns0:f>IF('前提と出典'!$C$36+'前提と出典'!$C$38=0,0,'前提と出典'!$B$4*IF('前提と出典'!$B$20=0,MAX('前提と出典'!$B$6,D643*'前提と出典'!$B$5),'前提と出典'!$B$6+D643*'前提と出典'!$B$5))</ns0:f>
        <ns0:v>634516.2905027934</ns0:v>
      </ns0:c>
      <ns0:c r="P643" s="16">
        <ns0:f>(E643+G643)*(1-'前提と出典'!$B$7)-I643-K643-M643-O643</ns0:f>
        <ns0:v>1447367.731897002</ns0:v>
      </ns0:c>
      <ns0:c r="Q643" s="16">
        <ns0:f>(F643+H643)*(1-'前提と出典'!$B$7)-J643-L643-N643</ns0:f>
        <ns0:v>554805.1793472017</ns0:v>
      </ns0:c>
      <ns0:c r="R643" s="16">
        <ns0:f>P643-E643*'前提と出典'!$E$4</ns0:f>
        <ns0:v>1076438.8412014074</ns0:v>
      </ns0:c>
      <ns0:c r="S643" s="16">
        <ns0:f>Q643-F643*'前提と出典'!$E$4</ns0:f>
        <ns0:v>409229.0658879439</ns0:v>
      </ns0:c>
      <ns0:c r="T643" s="7">
        <ns0:f>R643+S643</ns0:f>
        <ns0:v>1485667.9070893512</ns0:v>
      </ns0:c>
      <ns0:c r="U643" s="16">
        <ns0:f>P643-E643*'前提と出典'!$E$5</ns0:f>
        <ns0:v>952795.8776362094</ns0:v>
      </ns0:c>
      <ns0:c r="V643" s="16">
        <ns0:f>Q643-F643*'前提と出典'!$E$5</ns0:f>
        <ns0:v>360703.69473485794</ns0:v>
      </ns0:c>
      <ns0:c r="W643" s="7">
        <ns0:f>U643+V643</ns0:f>
        <ns0:v>1313499.5723710672</ns0:v>
      </ns0:c>
      <ns0:c r="X643" s="16">
        <ns0:f>P643-E643*'前提と出典'!$E$6</ns0:f>
        <ns0:v>829152.9140710111</ns0:v>
      </ns0:c>
      <ns0:c r="Y643" s="16">
        <ns0:f>Q643-F643*'前提と出典'!$E$6</ns0:f>
        <ns0:v>312178.323581772</ns0:v>
      </ns0:c>
      <ns0:c r="Z643" s="7">
        <ns0:f>X643+Y643</ns0:f>
        <ns0:v>1141331.237652783</ns0:v>
      </ns0:c>
      <ns0:c r="AA643" s="7">
        <ns0:f>IF(T643&gt;=0,A643,1001)</ns0:f>
        <ns0:v>639</ns0:v>
      </ns0:c>
      <ns0:c r="AB643" s="7">
        <ns0:f>IF(T643&lt;0,A643,0)</ns0:f>
        <ns0:v>0</ns0:v>
      </ns0:c>
      <ns0:c r="AC643" s="16">
        <ns0:f>IF(AND(OR('前提と出典'!$C$36+'前提と出典'!$C$38=0,R643&gt;=0),OR('前提と出典'!$C$37+'前提と出典'!$C$38=0,S643&gt;=0)),0,A643)</ns0:f>
        <ns0:v>0</ns0:v>
      </ns0:c>
      <ns0:c r="AD643" s="7">
        <ns0:f>IF(W643&gt;=0,A643,1001)</ns0:f>
        <ns0:v>639</ns0:v>
      </ns0:c>
      <ns0:c r="AE643" s="7">
        <ns0:f>IF(W643&lt;0,A643,0)</ns0:f>
        <ns0:v>0</ns0:v>
      </ns0:c>
      <ns0:c r="AF643" s="16">
        <ns0:f>IF(AND(OR('前提と出典'!$C$36+'前提と出典'!$C$38=0,U643&gt;=0),OR('前提と出典'!$C$37+'前提と出典'!$C$38=0,V643&gt;=0)),0,A643)</ns0:f>
        <ns0:v>0</ns0:v>
      </ns0:c>
      <ns0:c r="AG643" s="7">
        <ns0:f>IF(Z643&gt;=0,A643,1001)</ns0:f>
        <ns0:v>639</ns0:v>
      </ns0:c>
      <ns0:c r="AH643" s="4">
        <ns0:f>IF(Z643&lt;0,A643,0)</ns0:f>
        <ns0:v>0</ns0:v>
      </ns0:c>
      <ns0:c r="AI643" s="12">
        <ns0:f>IF(AND(OR('前提と出典'!$C$36+'前提と出典'!$C$38=0,X643&gt;=0),OR('前提と出典'!$C$37+'前提と出典'!$C$38=0,Y643&gt;=0)),0,A643)</ns0:f>
        <ns0:v>0</ns0:v>
      </ns0:c>
    </ns0:row>
    <ns0:row r="644" ht="24" customHeight="1">
      <ns0:c r="A644" s="4" t="n">
        <ns0:v>640</ns0:v>
      </ns0:c>
      <ns0:c r="B644" s="12">
        <ns0:f>A644*('前提と出典'!$C$36+'前提と出典'!$C$38)</ns0:f>
        <ns0:v>448</ns0:v>
      </ns0:c>
      <ns0:c r="C644" s="12">
        <ns0:f>A644*('前提と出典'!$C$37+'前提と出典'!$C$38)</ns0:f>
        <ns0:v>384</ns0:v>
      </ns0:c>
      <ns0:c r="D644" s="16">
        <ns0:f>A644*('前提と出典'!$C$36*'契約別単価'!C5+'前提と出典'!$C$37*'契約別単価'!C6+'前提と出典'!$C$38*'契約別単価'!C7)</ns0:f>
        <ns0:v>4605.139664804469</ns0:v>
      </ns0:c>
      <ns0:c r="E644" s="16">
        <ns0:f>A644*('前提と出典'!$C$36*'契約別単価'!E5+'前提と出典'!$C$37*'契約別単価'!E6+'前提と出典'!$C$38*'契約別単価'!E7)</ns0:f>
        <ns0:v>1238364.5803087142</ns0:v>
      </ns0:c>
      <ns0:c r="F644" s="16">
        <ns0:f>A644*('前提と出典'!$C$36*'契約別単価'!F5+'前提と出典'!$C$37*'契約別単価'!F6+'前提と出典'!$C$38*'契約別単価'!F7)</ns0:f>
        <ns0:v>486013.10701056354</ns0:v>
      </ns0:c>
      <ns0:c r="G644" s="16">
        <ns0:f>A644*('前提と出典'!$C$36*'契約別単価'!G5+'前提と出典'!$C$37*'契約別単価'!G6+'前提と出典'!$C$38*'契約別単価'!G7)</ns0:f>
        <ns0:v>1273921.7877094971</ns0:v>
      </ns0:c>
      <ns0:c r="H644" s="16">
        <ns0:f>A644*('前提と出典'!$C$36*'契約別単価'!H5+'前提と出典'!$C$37*'契約別単価'!H6+'前提と出典'!$C$38*'契約別単価'!H7)</ns0:f>
        <ns0:v>442114.7525336177</ns0:v>
      </ns0:c>
      <ns0:c r="I644" s="16">
        <ns0:f>A644*('前提と出典'!$C$36*'契約別単価'!I5+'前提と出典'!$C$37*'契約別単価'!I6+'前提と出典'!$C$38*'契約別単価'!I7)</ns0:f>
        <ns0:v>27005.139664804465</ns0:v>
      </ns0:c>
      <ns0:c r="J644" s="16">
        <ns0:f>A644*('前提と出典'!$C$36*'契約別単価'!J5+'前提と出典'!$C$37*'契約別単価'!J6+'前提と出典'!$C$38*'契約別単価'!J7)</ns0:f>
        <ns0:v>62905.30797459364</ns0:v>
      </ns0:c>
      <ns0:c r="K644" s="16">
        <ns0:f>A644*('前提と出典'!$C$36*'契約別単価'!K5+'前提と出典'!$C$37*'契約別単価'!K6+'前提と出典'!$C$38*'契約別単価'!K7)</ns0:f>
        <ns0:v>269634.2644320298</ns0:v>
      </ns0:c>
      <ns0:c r="L644" s="16">
        <ns0:f>A644*('前提と出典'!$C$36*'契約別単価'!L5+'前提と出典'!$C$37*'契約別単価'!L6+'前提と出典'!$C$38*'契約別単価'!L7)</ns0:f>
        <ns0:v>219537.15841778726</ns0:v>
      </ns0:c>
      <ns0:c r="M644" s="16">
        <ns0:f>IF(('前提と出典'!$C$36+'前提と出典'!$C$38)=0,0,IF(B644&lt;=10,'前提と出典'!B73+'前提と出典'!C73,IF(B644&lt;=100,'前提と出典'!B74+'前提と出典'!C74,IF(B644&lt;=500,'前提と出典'!B75+'前提と出典'!C75,'前提と出典'!B76+'前提と出典'!C76))))</ns0:f>
        <ns0:v>40000</ns0:v>
      </ns0:c>
      <ns0:c r="N644" s="16">
        <ns0:f>IF(('前提と出典'!$C$37+'前提と出典'!$C$38)=0,0,IF(C644&lt;=10,'前提と出典'!D73+'前提と出典'!E73,IF(C644&lt;=100,'前提と出典'!D74+'前提と出典'!E74,IF(C644&lt;=500,'前提と出典'!D75+'前提と出典'!E75,'前提と出典'!D76+'前提と出典'!E76))))</ns0:f>
        <ns0:v>56510.9346263078</ns0:v>
      </ns0:c>
      <ns0:c r="O644" s="16">
        <ns0:f>IF('前提と出典'!$C$36+'前提と出典'!$C$38=0,0,'前提と出典'!$B$4*IF('前提と出典'!$B$20=0,MAX('前提と出典'!$B$6,D644*'前提と出典'!$B$5),'前提と出典'!$B$6+D644*'前提と出典'!$B$5))</ns0:f>
        <ns0:v>635509.2737430168</ns0:v>
      </ns0:c>
      <ns0:c r="P644" s="16">
        <ns0:f>(E644+G644)*(1-'前提と出典'!$B$7)-I644-K644-M644-O644</ns0:f>
        <ns0:v>1449695.3809297048</ns0:v>
      </ns0:c>
      <ns0:c r="Q644" s="16">
        <ns0:f>(F644+H644)*(1-'前提と出典'!$B$7)-J644-L644-N644</ns0:f>
        <ns0:v>555761.8555819021</ns0:v>
      </ns0:c>
      <ns0:c r="R644" s="16">
        <ns0:f>P644-E644*'前提と出典'!$E$4</ns0:f>
        <ns0:v>1078186.0068370905</ns0:v>
      </ns0:c>
      <ns0:c r="S644" s="16">
        <ns0:f>Q644-F644*'前提と出典'!$E$4</ns0:f>
        <ns0:v>409957.92347873305</ns0:v>
      </ns0:c>
      <ns0:c r="T644" s="7">
        <ns0:f>R644+S644</ns0:f>
        <ns0:v>1488143.9303158235</ns0:v>
      </ns0:c>
      <ns0:c r="U644" s="16">
        <ns0:f>P644-E644*'前提と出典'!$E$5</ns0:f>
        <ns0:v>954349.548806219</ns0:v>
      </ns0:c>
      <ns0:c r="V644" s="16">
        <ns0:f>Q644-F644*'前提と出典'!$E$5</ns0:f>
        <ns0:v>361356.61277767667</ns0:v>
      </ns0:c>
      <ns0:c r="W644" s="7">
        <ns0:f>U644+V644</ns0:f>
        <ns0:v>1315706.1615838958</ns0:v>
      </ns0:c>
      <ns0:c r="X644" s="16">
        <ns0:f>P644-E644*'前提と出典'!$E$6</ns0:f>
        <ns0:v>830513.0907753477</ns0:v>
      </ns0:c>
      <ns0:c r="Y644" s="16">
        <ns0:f>Q644-F644*'前提と出典'!$E$6</ns0:f>
        <ns0:v>312755.3020766203</ns0:v>
      </ns0:c>
      <ns0:c r="Z644" s="7">
        <ns0:f>X644+Y644</ns0:f>
        <ns0:v>1143268.3928519678</ns0:v>
      </ns0:c>
      <ns0:c r="AA644" s="7">
        <ns0:f>IF(T644&gt;=0,A644,1001)</ns0:f>
        <ns0:v>640</ns0:v>
      </ns0:c>
      <ns0:c r="AB644" s="7">
        <ns0:f>IF(T644&lt;0,A644,0)</ns0:f>
        <ns0:v>0</ns0:v>
      </ns0:c>
      <ns0:c r="AC644" s="16">
        <ns0:f>IF(AND(OR('前提と出典'!$C$36+'前提と出典'!$C$38=0,R644&gt;=0),OR('前提と出典'!$C$37+'前提と出典'!$C$38=0,S644&gt;=0)),0,A644)</ns0:f>
        <ns0:v>0</ns0:v>
      </ns0:c>
      <ns0:c r="AD644" s="7">
        <ns0:f>IF(W644&gt;=0,A644,1001)</ns0:f>
        <ns0:v>640</ns0:v>
      </ns0:c>
      <ns0:c r="AE644" s="7">
        <ns0:f>IF(W644&lt;0,A644,0)</ns0:f>
        <ns0:v>0</ns0:v>
      </ns0:c>
      <ns0:c r="AF644" s="16">
        <ns0:f>IF(AND(OR('前提と出典'!$C$36+'前提と出典'!$C$38=0,U644&gt;=0),OR('前提と出典'!$C$37+'前提と出典'!$C$38=0,V644&gt;=0)),0,A644)</ns0:f>
        <ns0:v>0</ns0:v>
      </ns0:c>
      <ns0:c r="AG644" s="7">
        <ns0:f>IF(Z644&gt;=0,A644,1001)</ns0:f>
        <ns0:v>640</ns0:v>
      </ns0:c>
      <ns0:c r="AH644" s="4">
        <ns0:f>IF(Z644&lt;0,A644,0)</ns0:f>
        <ns0:v>0</ns0:v>
      </ns0:c>
      <ns0:c r="AI644" s="12">
        <ns0:f>IF(AND(OR('前提と出典'!$C$36+'前提と出典'!$C$38=0,X644&gt;=0),OR('前提と出典'!$C$37+'前提と出典'!$C$38=0,Y644&gt;=0)),0,A644)</ns0:f>
        <ns0:v>0</ns0:v>
      </ns0:c>
    </ns0:row>
    <ns0:row r="645" ht="24" customHeight="1">
      <ns0:c r="A645" s="4" t="n">
        <ns0:v>641</ns0:v>
      </ns0:c>
      <ns0:c r="B645" s="12">
        <ns0:f>A645*('前提と出典'!$C$36+'前提と出典'!$C$38)</ns0:f>
        <ns0:v>448.7</ns0:v>
      </ns0:c>
      <ns0:c r="C645" s="12">
        <ns0:f>A645*('前提と出典'!$C$37+'前提と出典'!$C$38)</ns0:f>
        <ns0:v>384.59999999999997</ns0:v>
      </ns0:c>
      <ns0:c r="D645" s="16">
        <ns0:f>A645*('前提と出典'!$C$36*'契約別単価'!C5+'前提と出典'!$C$37*'契約別単価'!C6+'前提と出典'!$C$38*'契約別単価'!C7)</ns0:f>
        <ns0:v>4612.335195530726</ns0:v>
      </ns0:c>
      <ns0:c r="E645" s="16">
        <ns0:f>A645*('前提と出典'!$C$36*'契約別単価'!E5+'前提と出典'!$C$37*'契約別単価'!E6+'前提と出典'!$C$38*'契約別単価'!E7)</ns0:f>
        <ns0:v>1240299.5249654467</ns0:v>
      </ns0:c>
      <ns0:c r="F645" s="16">
        <ns0:f>A645*('前提と出典'!$C$36*'契約別単価'!F5+'前提と出典'!$C$37*'契約別単価'!F6+'前提と出典'!$C$38*'契約別単価'!F7)</ns0:f>
        <ns0:v>486772.50249026757</ns0:v>
      </ns0:c>
      <ns0:c r="G645" s="16">
        <ns0:f>A645*('前提と出典'!$C$36*'契約別単価'!G5+'前提と出典'!$C$37*'契約別単価'!G6+'前提と出典'!$C$38*'契約別単価'!G7)</ns0:f>
        <ns0:v>1275912.2905027932</ns0:v>
      </ns0:c>
      <ns0:c r="H645" s="16">
        <ns0:f>A645*('前提と出典'!$C$36*'契約別単価'!H5+'前提と出典'!$C$37*'契約別単価'!H6+'前提と出典'!$C$38*'契約別単価'!H7)</ns0:f>
        <ns0:v>442805.5568344515</ns0:v>
      </ns0:c>
      <ns0:c r="I645" s="16">
        <ns0:f>A645*('前提と出典'!$C$36*'契約別単価'!I5+'前提と出典'!$C$37*'契約別単価'!I6+'前提と出典'!$C$38*'契約別単価'!I7)</ns0:f>
        <ns0:v>27047.335195530723</ns0:v>
      </ns0:c>
      <ns0:c r="J645" s="16">
        <ns0:f>A645*('前提と出典'!$C$36*'契約別単価'!J5+'前提と出典'!$C$37*'契約別単価'!J6+'前提と出典'!$C$38*'契約別単価'!J7)</ns0:f>
        <ns0:v>63003.59751830395</ns0:v>
      </ns0:c>
      <ns0:c r="K645" s="16">
        <ns0:f>A645*('前提と出典'!$C$36*'契約別単価'!K5+'前提と出典'!$C$37*'契約別単価'!K6+'前提と出典'!$C$38*'契約別単価'!K7)</ns0:f>
        <ns0:v>270055.5679702048</ns0:v>
      </ns0:c>
      <ns0:c r="L645" s="16">
        <ns0:f>A645*('前提と出典'!$C$36*'契約別単価'!L5+'前提と出典'!$C$37*'契約別単価'!L6+'前提と出典'!$C$38*'契約別単価'!L7)</ns0:f>
        <ns0:v>219880.18522781503</ns0:v>
      </ns0:c>
      <ns0:c r="M645" s="16">
        <ns0:f>IF(('前提と出典'!$C$36+'前提と出典'!$C$38)=0,0,IF(B645&lt;=10,'前提と出典'!B73+'前提と出典'!C73,IF(B645&lt;=100,'前提と出典'!B74+'前提と出典'!C74,IF(B645&lt;=500,'前提と出典'!B75+'前提と出典'!C75,'前提と出典'!B76+'前提と出典'!C76))))</ns0:f>
        <ns0:v>40000</ns0:v>
      </ns0:c>
      <ns0:c r="N645" s="16">
        <ns0:f>IF(('前提と出典'!$C$37+'前提と出典'!$C$38)=0,0,IF(C645&lt;=10,'前提と出典'!D73+'前提と出典'!E73,IF(C645&lt;=100,'前提と出典'!D74+'前提と出典'!E74,IF(C645&lt;=500,'前提と出典'!D75+'前提と出典'!E75,'前提と出典'!D76+'前提と出典'!E76))))</ns0:f>
        <ns0:v>56510.9346263078</ns0:v>
      </ns0:c>
      <ns0:c r="O645" s="16">
        <ns0:f>IF('前提と出典'!$C$36+'前提と出典'!$C$38=0,0,'前提と出典'!$B$4*IF('前提と出典'!$B$20=0,MAX('前提と出典'!$B$6,D645*'前提と出典'!$B$5),'前提と出典'!$B$6+D645*'前提と出典'!$B$5))</ns0:f>
        <ns0:v>636502.2569832403</ns0:v>
      </ns0:c>
      <ns0:c r="P645" s="16">
        <ns0:f>(E645+G645)*(1-'前提と出典'!$B$7)-I645-K645-M645-O645</ns0:f>
        <ns0:v>1452023.029962407</ns0:v>
      </ns0:c>
      <ns0:c r="Q645" s="16">
        <ns0:f>(F645+H645)*(1-'前提と出典'!$B$7)-J645-L645-N645</ns0:f>
        <ns0:v>556718.5318166023</ns0:v>
      </ns0:c>
      <ns0:c r="R645" s="16">
        <ns0:f>P645-E645*'前提と出典'!$E$4</ns0:f>
        <ns0:v>1079933.1724727731</ns0:v>
      </ns0:c>
      <ns0:c r="S645" s="16">
        <ns0:f>Q645-F645*'前提と出典'!$E$4</ns0:f>
        <ns0:v>410686.78106952214</ns0:v>
      </ns0:c>
      <ns0:c r="T645" s="7">
        <ns0:f>R645+S645</ns0:f>
        <ns0:v>1490619.9535422954</ns0:v>
      </ns0:c>
      <ns0:c r="U645" s="16">
        <ns0:f>P645-E645*'前提と出典'!$E$5</ns0:f>
        <ns0:v>955903.2199762283</ns0:v>
      </ns0:c>
      <ns0:c r="V645" s="16">
        <ns0:f>Q645-F645*'前提と出典'!$E$5</ns0:f>
        <ns0:v>362009.53082049533</ns0:v>
      </ns0:c>
      <ns0:c r="W645" s="7">
        <ns0:f>U645+V645</ns0:f>
        <ns0:v>1317912.7507967236</ns0:v>
      </ns0:c>
      <ns0:c r="X645" s="16">
        <ns0:f>P645-E645*'前提と出典'!$E$6</ns0:f>
        <ns0:v>831873.2674796839</ns0:v>
      </ns0:c>
      <ns0:c r="Y645" s="16">
        <ns0:f>Q645-F645*'前提と出典'!$E$6</ns0:f>
        <ns0:v>313332.2805714685</ns0:v>
      </ns0:c>
      <ns0:c r="Z645" s="7">
        <ns0:f>X645+Y645</ns0:f>
        <ns0:v>1145205.5480511524</ns0:v>
      </ns0:c>
      <ns0:c r="AA645" s="7">
        <ns0:f>IF(T645&gt;=0,A645,1001)</ns0:f>
        <ns0:v>641</ns0:v>
      </ns0:c>
      <ns0:c r="AB645" s="7">
        <ns0:f>IF(T645&lt;0,A645,0)</ns0:f>
        <ns0:v>0</ns0:v>
      </ns0:c>
      <ns0:c r="AC645" s="16">
        <ns0:f>IF(AND(OR('前提と出典'!$C$36+'前提と出典'!$C$38=0,R645&gt;=0),OR('前提と出典'!$C$37+'前提と出典'!$C$38=0,S645&gt;=0)),0,A645)</ns0:f>
        <ns0:v>0</ns0:v>
      </ns0:c>
      <ns0:c r="AD645" s="7">
        <ns0:f>IF(W645&gt;=0,A645,1001)</ns0:f>
        <ns0:v>641</ns0:v>
      </ns0:c>
      <ns0:c r="AE645" s="7">
        <ns0:f>IF(W645&lt;0,A645,0)</ns0:f>
        <ns0:v>0</ns0:v>
      </ns0:c>
      <ns0:c r="AF645" s="16">
        <ns0:f>IF(AND(OR('前提と出典'!$C$36+'前提と出典'!$C$38=0,U645&gt;=0),OR('前提と出典'!$C$37+'前提と出典'!$C$38=0,V645&gt;=0)),0,A645)</ns0:f>
        <ns0:v>0</ns0:v>
      </ns0:c>
      <ns0:c r="AG645" s="7">
        <ns0:f>IF(Z645&gt;=0,A645,1001)</ns0:f>
        <ns0:v>641</ns0:v>
      </ns0:c>
      <ns0:c r="AH645" s="4">
        <ns0:f>IF(Z645&lt;0,A645,0)</ns0:f>
        <ns0:v>0</ns0:v>
      </ns0:c>
      <ns0:c r="AI645" s="12">
        <ns0:f>IF(AND(OR('前提と出典'!$C$36+'前提と出典'!$C$38=0,X645&gt;=0),OR('前提と出典'!$C$37+'前提と出典'!$C$38=0,Y645&gt;=0)),0,A645)</ns0:f>
        <ns0:v>0</ns0:v>
      </ns0:c>
    </ns0:row>
    <ns0:row r="646" ht="24" customHeight="1">
      <ns0:c r="A646" s="4" t="n">
        <ns0:v>642</ns0:v>
      </ns0:c>
      <ns0:c r="B646" s="12">
        <ns0:f>A646*('前提と出典'!$C$36+'前提と出典'!$C$38)</ns0:f>
        <ns0:v>449.4</ns0:v>
      </ns0:c>
      <ns0:c r="C646" s="12">
        <ns0:f>A646*('前提と出典'!$C$37+'前提と出典'!$C$38)</ns0:f>
        <ns0:v>385.2</ns0:v>
      </ns0:c>
      <ns0:c r="D646" s="16">
        <ns0:f>A646*('前提と出典'!$C$36*'契約別単価'!C5+'前提と出典'!$C$37*'契約別単価'!C6+'前提と出典'!$C$38*'契約別単価'!C7)</ns0:f>
        <ns0:v>4619.530726256983</ns0:v>
      </ns0:c>
      <ns0:c r="E646" s="16">
        <ns0:f>A646*('前提と出典'!$C$36*'契約別単価'!E5+'前提と出典'!$C$37*'契約別単価'!E6+'前提と出典'!$C$38*'契約別単価'!E7)</ns0:f>
        <ns0:v>1242234.469622179</ns0:v>
      </ns0:c>
      <ns0:c r="F646" s="16">
        <ns0:f>A646*('前提と出典'!$C$36*'契約別単価'!F5+'前提と出典'!$C$37*'契約別単価'!F6+'前提と出典'!$C$38*'契約別単価'!F7)</ns0:f>
        <ns0:v>487531.8979699715</ns0:v>
      </ns0:c>
      <ns0:c r="G646" s="16">
        <ns0:f>A646*('前提と出典'!$C$36*'契約別単価'!G5+'前提と出典'!$C$37*'契約別単価'!G6+'前提と出典'!$C$38*'契約別単価'!G7)</ns0:f>
        <ns0:v>1277902.7932960894</ns0:v>
      </ns0:c>
      <ns0:c r="H646" s="16">
        <ns0:f>A646*('前提と出典'!$C$36*'契約別単価'!H5+'前提と出典'!$C$37*'契約別単価'!H6+'前提と出典'!$C$38*'契約別単価'!H7)</ns0:f>
        <ns0:v>443496.3611352853</ns0:v>
      </ns0:c>
      <ns0:c r="I646" s="16">
        <ns0:f>A646*('前提と出典'!$C$36*'契約別単価'!I5+'前提と出典'!$C$37*'契約別単価'!I6+'前提と出典'!$C$38*'契約別単価'!I7)</ns0:f>
        <ns0:v>27089.53072625698</ns0:v>
      </ns0:c>
      <ns0:c r="J646" s="16">
        <ns0:f>A646*('前提と出典'!$C$36*'契約別単価'!J5+'前提と出典'!$C$37*'契約別単価'!J6+'前提と出典'!$C$38*'契約別単価'!J7)</ns0:f>
        <ns0:v>63101.88706201425</ns0:v>
      </ns0:c>
      <ns0:c r="K646" s="16">
        <ns0:f>A646*('前提と出典'!$C$36*'契約別単価'!K5+'前提と出典'!$C$37*'契約別単価'!K6+'前提と出典'!$C$38*'契約別単価'!K7)</ns0:f>
        <ns0:v>270476.8715083799</ns0:v>
      </ns0:c>
      <ns0:c r="L646" s="16">
        <ns0:f>A646*('前提と出典'!$C$36*'契約別単価'!L5+'前提と出典'!$C$37*'契約別単価'!L6+'前提と出典'!$C$38*'契約別単価'!L7)</ns0:f>
        <ns0:v>220223.21203784284</ns0:v>
      </ns0:c>
      <ns0:c r="M646" s="16">
        <ns0:f>IF(('前提と出典'!$C$36+'前提と出典'!$C$38)=0,0,IF(B646&lt;=10,'前提と出典'!B73+'前提と出典'!C73,IF(B646&lt;=100,'前提と出典'!B74+'前提と出典'!C74,IF(B646&lt;=500,'前提と出典'!B75+'前提と出典'!C75,'前提と出典'!B76+'前提と出典'!C76))))</ns0:f>
        <ns0:v>40000</ns0:v>
      </ns0:c>
      <ns0:c r="N646" s="16">
        <ns0:f>IF(('前提と出典'!$C$37+'前提と出典'!$C$38)=0,0,IF(C646&lt;=10,'前提と出典'!D73+'前提と出典'!E73,IF(C646&lt;=100,'前提と出典'!D74+'前提と出典'!E74,IF(C646&lt;=500,'前提と出典'!D75+'前提と出典'!E75,'前提と出典'!D76+'前提と出典'!E76))))</ns0:f>
        <ns0:v>56510.9346263078</ns0:v>
      </ns0:c>
      <ns0:c r="O646" s="16">
        <ns0:f>IF('前提と出典'!$C$36+'前提と出典'!$C$38=0,0,'前提と出典'!$B$4*IF('前提と出典'!$B$20=0,MAX('前提と出典'!$B$6,D646*'前提と出典'!$B$5),'前提と出典'!$B$6+D646*'前提と出典'!$B$5))</ns0:f>
        <ns0:v>637495.2402234636</ns0:v>
      </ns0:c>
      <ns0:c r="P646" s="16">
        <ns0:f>(E646+G646)*(1-'前提と出典'!$B$7)-I646-K646-M646-O646</ns0:f>
        <ns0:v>1454350.67899511</ns0:v>
      </ns0:c>
      <ns0:c r="Q646" s="16">
        <ns0:f>(F646+H646)*(1-'前提と出典'!$B$7)-J646-L646-N646</ns0:f>
        <ns0:v>557675.2080513027</ns0:v>
      </ns0:c>
      <ns0:c r="R646" s="16">
        <ns0:f>P646-E646*'前提と出典'!$E$4</ns0:f>
        <ns0:v>1081680.3381084562</ns0:v>
      </ns0:c>
      <ns0:c r="S646" s="16">
        <ns0:f>Q646-F646*'前提と出典'!$E$4</ns0:f>
        <ns0:v>411415.63866031123</ns0:v>
      </ns0:c>
      <ns0:c r="T646" s="7">
        <ns0:f>R646+S646</ns0:f>
        <ns0:v>1493095.9767687675</ns0:v>
      </ns0:c>
      <ns0:c r="U646" s="16">
        <ns0:f>P646-E646*'前提と出典'!$E$5</ns0:f>
        <ns0:v>957456.8911462384</ns0:v>
      </ns0:c>
      <ns0:c r="V646" s="16">
        <ns0:f>Q646-F646*'前提と出典'!$E$5</ns0:f>
        <ns0:v>362662.4488633141</ns0:v>
      </ns0:c>
      <ns0:c r="W646" s="7">
        <ns0:f>U646+V646</ns0:f>
        <ns0:v>1320119.3400095524</ns0:v>
      </ns0:c>
      <ns0:c r="X646" s="16">
        <ns0:f>P646-E646*'前提と出典'!$E$6</ns0:f>
        <ns0:v>833233.4441840206</ns0:v>
      </ns0:c>
      <ns0:c r="Y646" s="16">
        <ns0:f>Q646-F646*'前提と出典'!$E$6</ns0:f>
        <ns0:v>313909.259066317</ns0:v>
      </ns0:c>
      <ns0:c r="Z646" s="7">
        <ns0:f>X646+Y646</ns0:f>
        <ns0:v>1147142.7032503376</ns0:v>
      </ns0:c>
      <ns0:c r="AA646" s="7">
        <ns0:f>IF(T646&gt;=0,A646,1001)</ns0:f>
        <ns0:v>642</ns0:v>
      </ns0:c>
      <ns0:c r="AB646" s="7">
        <ns0:f>IF(T646&lt;0,A646,0)</ns0:f>
        <ns0:v>0</ns0:v>
      </ns0:c>
      <ns0:c r="AC646" s="16">
        <ns0:f>IF(AND(OR('前提と出典'!$C$36+'前提と出典'!$C$38=0,R646&gt;=0),OR('前提と出典'!$C$37+'前提と出典'!$C$38=0,S646&gt;=0)),0,A646)</ns0:f>
        <ns0:v>0</ns0:v>
      </ns0:c>
      <ns0:c r="AD646" s="7">
        <ns0:f>IF(W646&gt;=0,A646,1001)</ns0:f>
        <ns0:v>642</ns0:v>
      </ns0:c>
      <ns0:c r="AE646" s="7">
        <ns0:f>IF(W646&lt;0,A646,0)</ns0:f>
        <ns0:v>0</ns0:v>
      </ns0:c>
      <ns0:c r="AF646" s="16">
        <ns0:f>IF(AND(OR('前提と出典'!$C$36+'前提と出典'!$C$38=0,U646&gt;=0),OR('前提と出典'!$C$37+'前提と出典'!$C$38=0,V646&gt;=0)),0,A646)</ns0:f>
        <ns0:v>0</ns0:v>
      </ns0:c>
      <ns0:c r="AG646" s="7">
        <ns0:f>IF(Z646&gt;=0,A646,1001)</ns0:f>
        <ns0:v>642</ns0:v>
      </ns0:c>
      <ns0:c r="AH646" s="4">
        <ns0:f>IF(Z646&lt;0,A646,0)</ns0:f>
        <ns0:v>0</ns0:v>
      </ns0:c>
      <ns0:c r="AI646" s="12">
        <ns0:f>IF(AND(OR('前提と出典'!$C$36+'前提と出典'!$C$38=0,X646&gt;=0),OR('前提と出典'!$C$37+'前提と出典'!$C$38=0,Y646&gt;=0)),0,A646)</ns0:f>
        <ns0:v>0</ns0:v>
      </ns0:c>
    </ns0:row>
    <ns0:row r="647" ht="24" customHeight="1">
      <ns0:c r="A647" s="4" t="n">
        <ns0:v>643</ns0:v>
      </ns0:c>
      <ns0:c r="B647" s="12">
        <ns0:f>A647*('前提と出典'!$C$36+'前提と出典'!$C$38)</ns0:f>
        <ns0:v>450.09999999999997</ns0:v>
      </ns0:c>
      <ns0:c r="C647" s="12">
        <ns0:f>A647*('前提と出典'!$C$37+'前提と出典'!$C$38)</ns0:f>
        <ns0:v>385.8</ns0:v>
      </ns0:c>
      <ns0:c r="D647" s="16">
        <ns0:f>A647*('前提と出典'!$C$36*'契約別単価'!C5+'前提と出典'!$C$37*'契約別単価'!C6+'前提と出典'!$C$38*'契約別単価'!C7)</ns0:f>
        <ns0:v>4626.72625698324</ns0:v>
      </ns0:c>
      <ns0:c r="E647" s="16">
        <ns0:f>A647*('前提と出典'!$C$36*'契約別単価'!E5+'前提と出典'!$C$37*'契約別単価'!E6+'前提と出典'!$C$38*'契約別単価'!E7)</ns0:f>
        <ns0:v>1244169.4142789112</ns0:v>
      </ns0:c>
      <ns0:c r="F647" s="16">
        <ns0:f>A647*('前提と出典'!$C$36*'契約別単価'!F5+'前提と出典'!$C$37*'契約別単価'!F6+'前提と出典'!$C$38*'契約別単価'!F7)</ns0:f>
        <ns0:v>488291.29344967555</ns0:v>
      </ns0:c>
      <ns0:c r="G647" s="16">
        <ns0:f>A647*('前提と出典'!$C$36*'契約別単価'!G5+'前提と出典'!$C$37*'契約別単価'!G6+'前提と出典'!$C$38*'契約別単価'!G7)</ns0:f>
        <ns0:v>1279893.2960893854</ns0:v>
      </ns0:c>
      <ns0:c r="H647" s="16">
        <ns0:f>A647*('前提と出典'!$C$36*'契約別単価'!H5+'前提と出典'!$C$37*'契約別単価'!H6+'前提と出典'!$C$38*'契約別単価'!H7)</ns0:f>
        <ns0:v>444187.1654361191</ns0:v>
      </ns0:c>
      <ns0:c r="I647" s="16">
        <ns0:f>A647*('前提と出典'!$C$36*'契約別単価'!I5+'前提と出典'!$C$37*'契約別単価'!I6+'前提と出典'!$C$38*'契約別単価'!I7)</ns0:f>
        <ns0:v>27131.726256983235</ns0:v>
      </ns0:c>
      <ns0:c r="J647" s="16">
        <ns0:f>A647*('前提と出典'!$C$36*'契約別単価'!J5+'前提と出典'!$C$37*'契約別単価'!J6+'前提と出典'!$C$38*'契約別単価'!J7)</ns0:f>
        <ns0:v>63200.17660572455</ns0:v>
      </ns0:c>
      <ns0:c r="K647" s="16">
        <ns0:f>A647*('前提と出典'!$C$36*'契約別単価'!K5+'前提と出典'!$C$37*'契約別単価'!K6+'前提と出典'!$C$38*'契約別単価'!K7)</ns0:f>
        <ns0:v>270898.17504655494</ns0:v>
      </ns0:c>
      <ns0:c r="L647" s="16">
        <ns0:f>A647*('前提と出典'!$C$36*'契約別単価'!L5+'前提と出典'!$C$37*'契約別単価'!L6+'前提と出典'!$C$38*'契約別単価'!L7)</ns0:f>
        <ns0:v>220566.23884787064</ns0:v>
      </ns0:c>
      <ns0:c r="M647" s="16">
        <ns0:f>IF(('前提と出典'!$C$36+'前提と出典'!$C$38)=0,0,IF(B647&lt;=10,'前提と出典'!B73+'前提と出典'!C73,IF(B647&lt;=100,'前提と出典'!B74+'前提と出典'!C74,IF(B647&lt;=500,'前提と出典'!B75+'前提と出典'!C75,'前提と出典'!B76+'前提と出典'!C76))))</ns0:f>
        <ns0:v>40000</ns0:v>
      </ns0:c>
      <ns0:c r="N647" s="16">
        <ns0:f>IF(('前提と出典'!$C$37+'前提と出典'!$C$38)=0,0,IF(C647&lt;=10,'前提と出典'!D73+'前提と出典'!E73,IF(C647&lt;=100,'前提と出典'!D74+'前提と出典'!E74,IF(C647&lt;=500,'前提と出典'!D75+'前提と出典'!E75,'前提と出典'!D76+'前提と出典'!E76))))</ns0:f>
        <ns0:v>56510.9346263078</ns0:v>
      </ns0:c>
      <ns0:c r="O647" s="16">
        <ns0:f>IF('前提と出典'!$C$36+'前提と出典'!$C$38=0,0,'前提と出典'!$B$4*IF('前提と出典'!$B$20=0,MAX('前提と出典'!$B$6,D647*'前提と出典'!$B$5),'前提と出典'!$B$6+D647*'前提と出典'!$B$5))</ns0:f>
        <ns0:v>638488.2234636871</ns0:v>
      </ns0:c>
      <ns0:c r="P647" s="16">
        <ns0:f>(E647+G647)*(1-'前提と出典'!$B$7)-I647-K647-M647-O647</ns0:f>
        <ns0:v>1456678.3280278128</ns0:v>
      </ns0:c>
      <ns0:c r="Q647" s="16">
        <ns0:f>(F647+H647)*(1-'前提と出典'!$B$7)-J647-L647-N647</ns0:f>
        <ns0:v>558631.884286003</ns0:v>
      </ns0:c>
      <ns0:c r="R647" s="16">
        <ns0:f>P647-E647*'前提と出典'!$E$4</ns0:f>
        <ns0:v>1083427.5037441393</ns0:v>
      </ns0:c>
      <ns0:c r="S647" s="16">
        <ns0:f>Q647-F647*'前提と出典'!$E$4</ns0:f>
        <ns0:v>412144.49625110044</ns0:v>
      </ns0:c>
      <ns0:c r="T647" s="7">
        <ns0:f>R647+S647</ns0:f>
        <ns0:v>1495571.9999952398</ns0:v>
      </ns0:c>
      <ns0:c r="U647" s="16">
        <ns0:f>P647-E647*'前提と出典'!$E$5</ns0:f>
        <ns0:v>959010.5623162482</ns0:v>
      </ns0:c>
      <ns0:c r="V647" s="16">
        <ns0:f>Q647-F647*'前提と出典'!$E$5</ns0:f>
        <ns0:v>363315.3669061328</ns0:v>
      </ns0:c>
      <ns0:c r="W647" s="7">
        <ns0:f>U647+V647</ns0:f>
        <ns0:v>1322325.929222381</ns0:v>
      </ns0:c>
      <ns0:c r="X647" s="16">
        <ns0:f>P647-E647*'前提と出典'!$E$6</ns0:f>
        <ns0:v>834593.620888357</ns0:v>
      </ns0:c>
      <ns0:c r="Y647" s="16">
        <ns0:f>Q647-F647*'前提と出典'!$E$6</ns0:f>
        <ns0:v>314486.23756116536</ns0:v>
      </ns0:c>
      <ns0:c r="Z647" s="7">
        <ns0:f>X647+Y647</ns0:f>
        <ns0:v>1149079.8584495224</ns0:v>
      </ns0:c>
      <ns0:c r="AA647" s="7">
        <ns0:f>IF(T647&gt;=0,A647,1001)</ns0:f>
        <ns0:v>643</ns0:v>
      </ns0:c>
      <ns0:c r="AB647" s="7">
        <ns0:f>IF(T647&lt;0,A647,0)</ns0:f>
        <ns0:v>0</ns0:v>
      </ns0:c>
      <ns0:c r="AC647" s="16">
        <ns0:f>IF(AND(OR('前提と出典'!$C$36+'前提と出典'!$C$38=0,R647&gt;=0),OR('前提と出典'!$C$37+'前提と出典'!$C$38=0,S647&gt;=0)),0,A647)</ns0:f>
        <ns0:v>0</ns0:v>
      </ns0:c>
      <ns0:c r="AD647" s="7">
        <ns0:f>IF(W647&gt;=0,A647,1001)</ns0:f>
        <ns0:v>643</ns0:v>
      </ns0:c>
      <ns0:c r="AE647" s="7">
        <ns0:f>IF(W647&lt;0,A647,0)</ns0:f>
        <ns0:v>0</ns0:v>
      </ns0:c>
      <ns0:c r="AF647" s="16">
        <ns0:f>IF(AND(OR('前提と出典'!$C$36+'前提と出典'!$C$38=0,U647&gt;=0),OR('前提と出典'!$C$37+'前提と出典'!$C$38=0,V647&gt;=0)),0,A647)</ns0:f>
        <ns0:v>0</ns0:v>
      </ns0:c>
      <ns0:c r="AG647" s="7">
        <ns0:f>IF(Z647&gt;=0,A647,1001)</ns0:f>
        <ns0:v>643</ns0:v>
      </ns0:c>
      <ns0:c r="AH647" s="4">
        <ns0:f>IF(Z647&lt;0,A647,0)</ns0:f>
        <ns0:v>0</ns0:v>
      </ns0:c>
      <ns0:c r="AI647" s="12">
        <ns0:f>IF(AND(OR('前提と出典'!$C$36+'前提と出典'!$C$38=0,X647&gt;=0),OR('前提と出典'!$C$37+'前提と出典'!$C$38=0,Y647&gt;=0)),0,A647)</ns0:f>
        <ns0:v>0</ns0:v>
      </ns0:c>
    </ns0:row>
    <ns0:row r="648" ht="24" customHeight="1">
      <ns0:c r="A648" s="4" t="n">
        <ns0:v>644</ns0:v>
      </ns0:c>
      <ns0:c r="B648" s="12">
        <ns0:f>A648*('前提と出典'!$C$36+'前提と出典'!$C$38)</ns0:f>
        <ns0:v>450.79999999999995</ns0:v>
      </ns0:c>
      <ns0:c r="C648" s="12">
        <ns0:f>A648*('前提と出典'!$C$37+'前提と出典'!$C$38)</ns0:f>
        <ns0:v>386.4</ns0:v>
      </ns0:c>
      <ns0:c r="D648" s="16">
        <ns0:f>A648*('前提と出典'!$C$36*'契約別単価'!C5+'前提と出典'!$C$37*'契約別単価'!C6+'前提と出典'!$C$38*'契約別単価'!C7)</ns0:f>
        <ns0:v>4633.921787709497</ns0:v>
      </ns0:c>
      <ns0:c r="E648" s="16">
        <ns0:f>A648*('前提と出典'!$C$36*'契約別単価'!E5+'前提と出典'!$C$37*'契約別単価'!E6+'前提と出典'!$C$38*'契約別単価'!E7)</ns0:f>
        <ns0:v>1246104.3589356437</ns0:v>
      </ns0:c>
      <ns0:c r="F648" s="16">
        <ns0:f>A648*('前提と出典'!$C$36*'契約別単価'!F5+'前提と出典'!$C$37*'契約別単価'!F6+'前提と出典'!$C$38*'契約別単価'!F7)</ns0:f>
        <ns0:v>489050.68892937957</ns0:v>
      </ns0:c>
      <ns0:c r="G648" s="16">
        <ns0:f>A648*('前提と出典'!$C$36*'契約別単価'!G5+'前提と出典'!$C$37*'契約別単価'!G6+'前提と出典'!$C$38*'契約別単価'!G7)</ns0:f>
        <ns0:v>1281883.7988826814</ns0:v>
      </ns0:c>
      <ns0:c r="H648" s="16">
        <ns0:f>A648*('前提と出典'!$C$36*'契約別単価'!H5+'前提と出典'!$C$37*'契約別単価'!H6+'前提と出典'!$C$38*'契約別単価'!H7)</ns0:f>
        <ns0:v>444877.96973695286</ns0:v>
      </ns0:c>
      <ns0:c r="I648" s="16">
        <ns0:f>A648*('前提と出典'!$C$36*'契約別単価'!I5+'前提と出典'!$C$37*'契約別単価'!I6+'前提と出典'!$C$38*'契約別単価'!I7)</ns0:f>
        <ns0:v>27173.921787709492</ns0:v>
      </ns0:c>
      <ns0:c r="J648" s="16">
        <ns0:f>A648*('前提と出典'!$C$36*'契約別単価'!J5+'前提と出典'!$C$37*'契約別単価'!J6+'前提と出典'!$C$38*'契約別単価'!J7)</ns0:f>
        <ns0:v>63298.466149434855</ns0:v>
      </ns0:c>
      <ns0:c r="K648" s="16">
        <ns0:f>A648*('前提と出典'!$C$36*'契約別単価'!K5+'前提と出典'!$C$37*'契約別単価'!K6+'前提と出典'!$C$38*'契約別単価'!K7)</ns0:f>
        <ns0:v>271319.47858472995</ns0:v>
      </ns0:c>
      <ns0:c r="L648" s="16">
        <ns0:f>A648*('前提と出典'!$C$36*'契約別単価'!L5+'前提と出典'!$C$37*'契約別単価'!L6+'前提と出典'!$C$38*'契約別単価'!L7)</ns0:f>
        <ns0:v>220909.26565789842</ns0:v>
      </ns0:c>
      <ns0:c r="M648" s="16">
        <ns0:f>IF(('前提と出典'!$C$36+'前提と出典'!$C$38)=0,0,IF(B648&lt;=10,'前提と出典'!B73+'前提と出典'!C73,IF(B648&lt;=100,'前提と出典'!B74+'前提と出典'!C74,IF(B648&lt;=500,'前提と出典'!B75+'前提と出典'!C75,'前提と出典'!B76+'前提と出典'!C76))))</ns0:f>
        <ns0:v>40000</ns0:v>
      </ns0:c>
      <ns0:c r="N648" s="16">
        <ns0:f>IF(('前提と出典'!$C$37+'前提と出典'!$C$38)=0,0,IF(C648&lt;=10,'前提と出典'!D73+'前提と出典'!E73,IF(C648&lt;=100,'前提と出典'!D74+'前提と出典'!E74,IF(C648&lt;=500,'前提と出典'!D75+'前提と出典'!E75,'前提と出典'!D76+'前提と出典'!E76))))</ns0:f>
        <ns0:v>56510.9346263078</ns0:v>
      </ns0:c>
      <ns0:c r="O648" s="16">
        <ns0:f>IF('前提と出典'!$C$36+'前提と出典'!$C$38=0,0,'前提と出典'!$B$4*IF('前提と出典'!$B$20=0,MAX('前提と出典'!$B$6,D648*'前提と出典'!$B$5),'前提と出典'!$B$6+D648*'前提と出典'!$B$5))</ns0:f>
        <ns0:v>639481.2067039106</ns0:v>
      </ns0:c>
      <ns0:c r="P648" s="16">
        <ns0:f>(E648+G648)*(1-'前提と出典'!$B$7)-I648-K648-M648-O648</ns0:f>
        <ns0:v>1459005.977060515</ns0:v>
      </ns0:c>
      <ns0:c r="Q648" s="16">
        <ns0:f>(F648+H648)*(1-'前提と出典'!$B$7)-J648-L648-N648</ns0:f>
        <ns0:v>559588.5605207036</ns0:v>
      </ns0:c>
      <ns0:c r="R648" s="16">
        <ns0:f>P648-E648*'前提と出典'!$E$4</ns0:f>
        <ns0:v>1085174.669379822</ns0:v>
      </ns0:c>
      <ns0:c r="S648" s="16">
        <ns0:f>Q648-F648*'前提と出典'!$E$4</ns0:f>
        <ns0:v>412873.35384188953</ns0:v>
      </ns0:c>
      <ns0:c r="T648" s="7">
        <ns0:f>R648+S648</ns0:f>
        <ns0:v>1498048.0232217116</ns0:v>
      </ns0:c>
      <ns0:c r="U648" s="16">
        <ns0:f>P648-E648*'前提と出典'!$E$5</ns0:f>
        <ns0:v>960564.2334862575</ns0:v>
      </ns0:c>
      <ns0:c r="V648" s="16">
        <ns0:f>Q648-F648*'前提と出典'!$E$5</ns0:f>
        <ns0:v>363968.2849489517</ns0:v>
      </ns0:c>
      <ns0:c r="W648" s="7">
        <ns0:f>U648+V648</ns0:f>
        <ns0:v>1324532.518435209</ns0:v>
      </ns0:c>
      <ns0:c r="X648" s="16">
        <ns0:f>P648-E648*'前提と出典'!$E$6</ns0:f>
        <ns0:v>835953.797592693</ns0:v>
      </ns0:c>
      <ns0:c r="Y648" s="16">
        <ns0:f>Q648-F648*'前提と出典'!$E$6</ns0:f>
        <ns0:v>315063.2160560138</ns0:v>
      </ns0:c>
      <ns0:c r="Z648" s="7">
        <ns0:f>X648+Y648</ns0:f>
        <ns0:v>1151017.013648707</ns0:v>
      </ns0:c>
      <ns0:c r="AA648" s="7">
        <ns0:f>IF(T648&gt;=0,A648,1001)</ns0:f>
        <ns0:v>644</ns0:v>
      </ns0:c>
      <ns0:c r="AB648" s="7">
        <ns0:f>IF(T648&lt;0,A648,0)</ns0:f>
        <ns0:v>0</ns0:v>
      </ns0:c>
      <ns0:c r="AC648" s="16">
        <ns0:f>IF(AND(OR('前提と出典'!$C$36+'前提と出典'!$C$38=0,R648&gt;=0),OR('前提と出典'!$C$37+'前提と出典'!$C$38=0,S648&gt;=0)),0,A648)</ns0:f>
        <ns0:v>0</ns0:v>
      </ns0:c>
      <ns0:c r="AD648" s="7">
        <ns0:f>IF(W648&gt;=0,A648,1001)</ns0:f>
        <ns0:v>644</ns0:v>
      </ns0:c>
      <ns0:c r="AE648" s="7">
        <ns0:f>IF(W648&lt;0,A648,0)</ns0:f>
        <ns0:v>0</ns0:v>
      </ns0:c>
      <ns0:c r="AF648" s="16">
        <ns0:f>IF(AND(OR('前提と出典'!$C$36+'前提と出典'!$C$38=0,U648&gt;=0),OR('前提と出典'!$C$37+'前提と出典'!$C$38=0,V648&gt;=0)),0,A648)</ns0:f>
        <ns0:v>0</ns0:v>
      </ns0:c>
      <ns0:c r="AG648" s="7">
        <ns0:f>IF(Z648&gt;=0,A648,1001)</ns0:f>
        <ns0:v>644</ns0:v>
      </ns0:c>
      <ns0:c r="AH648" s="4">
        <ns0:f>IF(Z648&lt;0,A648,0)</ns0:f>
        <ns0:v>0</ns0:v>
      </ns0:c>
      <ns0:c r="AI648" s="12">
        <ns0:f>IF(AND(OR('前提と出典'!$C$36+'前提と出典'!$C$38=0,X648&gt;=0),OR('前提と出典'!$C$37+'前提と出典'!$C$38=0,Y648&gt;=0)),0,A648)</ns0:f>
        <ns0:v>0</ns0:v>
      </ns0:c>
    </ns0:row>
    <ns0:row r="649" ht="24" customHeight="1">
      <ns0:c r="A649" s="4" t="n">
        <ns0:v>645</ns0:v>
      </ns0:c>
      <ns0:c r="B649" s="12">
        <ns0:f>A649*('前提と出典'!$C$36+'前提と出典'!$C$38)</ns0:f>
        <ns0:v>451.49999999999994</ns0:v>
      </ns0:c>
      <ns0:c r="C649" s="12">
        <ns0:f>A649*('前提と出典'!$C$37+'前提と出典'!$C$38)</ns0:f>
        <ns0:v>387</ns0:v>
      </ns0:c>
      <ns0:c r="D649" s="16">
        <ns0:f>A649*('前提と出典'!$C$36*'契約別単価'!C5+'前提と出典'!$C$37*'契約別単価'!C6+'前提と出典'!$C$38*'契約別単価'!C7)</ns0:f>
        <ns0:v>4641.117318435754</ns0:v>
      </ns0:c>
      <ns0:c r="E649" s="16">
        <ns0:f>A649*('前提と出典'!$C$36*'契約別単価'!E5+'前提と出典'!$C$37*'契約別単価'!E6+'前提と出典'!$C$38*'契約別単価'!E7)</ns0:f>
        <ns0:v>1248039.303592376</ns0:v>
      </ns0:c>
      <ns0:c r="F649" s="16">
        <ns0:f>A649*('前提と出典'!$C$36*'契約別単価'!F5+'前提と出典'!$C$37*'契約別単価'!F6+'前提と出典'!$C$38*'契約別単価'!F7)</ns0:f>
        <ns0:v>489810.0844090836</ns0:v>
      </ns0:c>
      <ns0:c r="G649" s="16">
        <ns0:f>A649*('前提と出典'!$C$36*'契約別単価'!G5+'前提と出典'!$C$37*'契約別単価'!G6+'前提と出典'!$C$38*'契約別単価'!G7)</ns0:f>
        <ns0:v>1283874.3016759777</ns0:v>
      </ns0:c>
      <ns0:c r="H649" s="16">
        <ns0:f>A649*('前提と出典'!$C$36*'契約別単価'!H5+'前提と出典'!$C$37*'契約別単価'!H6+'前提と出典'!$C$38*'契約別単価'!H7)</ns0:f>
        <ns0:v>445568.7740377866</ns0:v>
      </ns0:c>
      <ns0:c r="I649" s="16">
        <ns0:f>A649*('前提と出典'!$C$36*'契約別単価'!I5+'前提と出典'!$C$37*'契約別単価'!I6+'前提と出典'!$C$38*'契約別単価'!I7)</ns0:f>
        <ns0:v>27216.11731843575</ns0:v>
      </ns0:c>
      <ns0:c r="J649" s="16">
        <ns0:f>A649*('前提と出典'!$C$36*'契約別単価'!J5+'前提と出典'!$C$37*'契約別単価'!J6+'前提と出典'!$C$38*'契約別単価'!J7)</ns0:f>
        <ns0:v>63396.755693145155</ns0:v>
      </ns0:c>
      <ns0:c r="K649" s="16">
        <ns0:f>A649*('前提と出典'!$C$36*'契約別単価'!K5+'前提と出典'!$C$37*'契約別単価'!K6+'前提と出典'!$C$38*'契約別単価'!K7)</ns0:f>
        <ns0:v>271740.782122905</ns0:v>
      </ns0:c>
      <ns0:c r="L649" s="16">
        <ns0:f>A649*('前提と出典'!$C$36*'契約別単価'!L5+'前提と出典'!$C$37*'契約別単価'!L6+'前提と出典'!$C$38*'契約別単価'!L7)</ns0:f>
        <ns0:v>221252.29246792622</ns0:v>
      </ns0:c>
      <ns0:c r="M649" s="16">
        <ns0:f>IF(('前提と出典'!$C$36+'前提と出典'!$C$38)=0,0,IF(B649&lt;=10,'前提と出典'!B73+'前提と出典'!C73,IF(B649&lt;=100,'前提と出典'!B74+'前提と出典'!C74,IF(B649&lt;=500,'前提と出典'!B75+'前提と出典'!C75,'前提と出典'!B76+'前提と出典'!C76))))</ns0:f>
        <ns0:v>40000</ns0:v>
      </ns0:c>
      <ns0:c r="N649" s="16">
        <ns0:f>IF(('前提と出典'!$C$37+'前提と出典'!$C$38)=0,0,IF(C649&lt;=10,'前提と出典'!D73+'前提と出典'!E73,IF(C649&lt;=100,'前提と出典'!D74+'前提と出典'!E74,IF(C649&lt;=500,'前提と出典'!D75+'前提と出典'!E75,'前提と出典'!D76+'前提と出典'!E76))))</ns0:f>
        <ns0:v>56510.9346263078</ns0:v>
      </ns0:c>
      <ns0:c r="O649" s="16">
        <ns0:f>IF('前提と出典'!$C$36+'前提と出典'!$C$38=0,0,'前提と出典'!$B$4*IF('前提と出典'!$B$20=0,MAX('前提と出典'!$B$6,D649*'前提と出典'!$B$5),'前提と出典'!$B$6+D649*'前提と出典'!$B$5))</ns0:f>
        <ns0:v>640474.1899441341</ns0:v>
      </ns0:c>
      <ns0:c r="P649" s="16">
        <ns0:f>(E649+G649)*(1-'前提と出典'!$B$7)-I649-K649-M649-O649</ns0:f>
        <ns0:v>1461333.626093218</ns0:v>
      </ns0:c>
      <ns0:c r="Q649" s="16">
        <ns0:f>(F649+H649)*(1-'前提と出典'!$B$7)-J649-L649-N649</ns0:f>
        <ns0:v>560545.2367554037</ns0:v>
      </ns0:c>
      <ns0:c r="R649" s="16">
        <ns0:f>P649-E649*'前提と出典'!$E$4</ns0:f>
        <ns0:v>1086921.8350155056</ns0:v>
      </ns0:c>
      <ns0:c r="S649" s="16">
        <ns0:f>Q649-F649*'前提と出典'!$E$4</ns0:f>
        <ns0:v>413602.21143267857</ns0:v>
      </ns0:c>
      <ns0:c r="T649" s="7">
        <ns0:f>R649+S649</ns0:f>
        <ns0:v>1500524.0464481842</ns0:v>
      </ns0:c>
      <ns0:c r="U649" s="16">
        <ns0:f>P649-E649*'前提と出典'!$E$5</ns0:f>
        <ns0:v>962117.9046562677</ns0:v>
      </ns0:c>
      <ns0:c r="V649" s="16">
        <ns0:f>Q649-F649*'前提と出典'!$E$5</ns0:f>
        <ns0:v>364621.2029917703</ns0:v>
      </ns0:c>
      <ns0:c r="W649" s="7">
        <ns0:f>U649+V649</ns0:f>
        <ns0:v>1326739.107648038</ns0:v>
      </ns0:c>
      <ns0:c r="X649" s="16">
        <ns0:f>P649-E649*'前提と出典'!$E$6</ns0:f>
        <ns0:v>837313.9742970299</ns0:v>
      </ns0:c>
      <ns0:c r="Y649" s="16">
        <ns0:f>Q649-F649*'前提と出典'!$E$6</ns0:f>
        <ns0:v>315640.1945508618</ns0:v>
      </ns0:c>
      <ns0:c r="Z649" s="7">
        <ns0:f>X649+Y649</ns0:f>
        <ns0:v>1152954.1688478917</ns0:v>
      </ns0:c>
      <ns0:c r="AA649" s="7">
        <ns0:f>IF(T649&gt;=0,A649,1001)</ns0:f>
        <ns0:v>645</ns0:v>
      </ns0:c>
      <ns0:c r="AB649" s="7">
        <ns0:f>IF(T649&lt;0,A649,0)</ns0:f>
        <ns0:v>0</ns0:v>
      </ns0:c>
      <ns0:c r="AC649" s="16">
        <ns0:f>IF(AND(OR('前提と出典'!$C$36+'前提と出典'!$C$38=0,R649&gt;=0),OR('前提と出典'!$C$37+'前提と出典'!$C$38=0,S649&gt;=0)),0,A649)</ns0:f>
        <ns0:v>0</ns0:v>
      </ns0:c>
      <ns0:c r="AD649" s="7">
        <ns0:f>IF(W649&gt;=0,A649,1001)</ns0:f>
        <ns0:v>645</ns0:v>
      </ns0:c>
      <ns0:c r="AE649" s="7">
        <ns0:f>IF(W649&lt;0,A649,0)</ns0:f>
        <ns0:v>0</ns0:v>
      </ns0:c>
      <ns0:c r="AF649" s="16">
        <ns0:f>IF(AND(OR('前提と出典'!$C$36+'前提と出典'!$C$38=0,U649&gt;=0),OR('前提と出典'!$C$37+'前提と出典'!$C$38=0,V649&gt;=0)),0,A649)</ns0:f>
        <ns0:v>0</ns0:v>
      </ns0:c>
      <ns0:c r="AG649" s="7">
        <ns0:f>IF(Z649&gt;=0,A649,1001)</ns0:f>
        <ns0:v>645</ns0:v>
      </ns0:c>
      <ns0:c r="AH649" s="4">
        <ns0:f>IF(Z649&lt;0,A649,0)</ns0:f>
        <ns0:v>0</ns0:v>
      </ns0:c>
      <ns0:c r="AI649" s="12">
        <ns0:f>IF(AND(OR('前提と出典'!$C$36+'前提と出典'!$C$38=0,X649&gt;=0),OR('前提と出典'!$C$37+'前提と出典'!$C$38=0,Y649&gt;=0)),0,A649)</ns0:f>
        <ns0:v>0</ns0:v>
      </ns0:c>
    </ns0:row>
    <ns0:row r="650" ht="24" customHeight="1">
      <ns0:c r="A650" s="4" t="n">
        <ns0:v>646</ns0:v>
      </ns0:c>
      <ns0:c r="B650" s="12">
        <ns0:f>A650*('前提と出典'!$C$36+'前提と出典'!$C$38)</ns0:f>
        <ns0:v>452.2</ns0:v>
      </ns0:c>
      <ns0:c r="C650" s="12">
        <ns0:f>A650*('前提と出典'!$C$37+'前提と出典'!$C$38)</ns0:f>
        <ns0:v>387.59999999999997</ns0:v>
      </ns0:c>
      <ns0:c r="D650" s="16">
        <ns0:f>A650*('前提と出典'!$C$36*'契約別単価'!C5+'前提と出典'!$C$37*'契約別単価'!C6+'前提と出典'!$C$38*'契約別単価'!C7)</ns0:f>
        <ns0:v>4648.312849162011</ns0:v>
      </ns0:c>
      <ns0:c r="E650" s="16">
        <ns0:f>A650*('前提と出典'!$C$36*'契約別単価'!E5+'前提と出典'!$C$37*'契約別単価'!E6+'前提と出典'!$C$38*'契約別単価'!E7)</ns0:f>
        <ns0:v>1249974.2482491084</ns0:v>
      </ns0:c>
      <ns0:c r="F650" s="16">
        <ns0:f>A650*('前提と出典'!$C$36*'契約別単価'!F5+'前提と出典'!$C$37*'契約別単価'!F6+'前提と出典'!$C$38*'契約別単価'!F7)</ns0:f>
        <ns0:v>490569.47988878755</ns0:v>
      </ns0:c>
      <ns0:c r="G650" s="16">
        <ns0:f>A650*('前提と出典'!$C$36*'契約別単価'!G5+'前提と出典'!$C$37*'契約別単価'!G6+'前提と出典'!$C$38*'契約別単価'!G7)</ns0:f>
        <ns0:v>1285864.8044692737</ns0:v>
      </ns0:c>
      <ns0:c r="H650" s="16">
        <ns0:f>A650*('前提と出典'!$C$36*'契約別単価'!H5+'前提と出典'!$C$37*'契約別単価'!H6+'前提と出典'!$C$38*'契約別単価'!H7)</ns0:f>
        <ns0:v>446259.57833862037</ns0:v>
      </ns0:c>
      <ns0:c r="I650" s="16">
        <ns0:f>A650*('前提と出典'!$C$36*'契約別単価'!I5+'前提と出典'!$C$37*'契約別単価'!I6+'前提と出典'!$C$38*'契約別単価'!I7)</ns0:f>
        <ns0:v>27258.31284916201</ns0:v>
      </ns0:c>
      <ns0:c r="J650" s="16">
        <ns0:f>A650*('前提と出典'!$C$36*'契約別単価'!J5+'前提と出典'!$C$37*'契約別単価'!J6+'前提と出典'!$C$38*'契約別単価'!J7)</ns0:f>
        <ns0:v>63495.04523685546</ns0:v>
      </ns0:c>
      <ns0:c r="K650" s="16">
        <ns0:f>A650*('前提と出典'!$C$36*'契約別単価'!K5+'前提と出典'!$C$37*'契約別単価'!K6+'前提と出典'!$C$38*'契約別単価'!K7)</ns0:f>
        <ns0:v>272162.0856610801</ns0:v>
      </ns0:c>
      <ns0:c r="L650" s="16">
        <ns0:f>A650*('前提と出典'!$C$36*'契約別単価'!L5+'前提と出典'!$C$37*'契約別単価'!L6+'前提と出典'!$C$38*'契約別単価'!L7)</ns0:f>
        <ns0:v>221595.319277954</ns0:v>
      </ns0:c>
      <ns0:c r="M650" s="16">
        <ns0:f>IF(('前提と出典'!$C$36+'前提と出典'!$C$38)=0,0,IF(B650&lt;=10,'前提と出典'!B73+'前提と出典'!C73,IF(B650&lt;=100,'前提と出典'!B74+'前提と出典'!C74,IF(B650&lt;=500,'前提と出典'!B75+'前提と出典'!C75,'前提と出典'!B76+'前提と出典'!C76))))</ns0:f>
        <ns0:v>40000</ns0:v>
      </ns0:c>
      <ns0:c r="N650" s="16">
        <ns0:f>IF(('前提と出典'!$C$37+'前提と出典'!$C$38)=0,0,IF(C650&lt;=10,'前提と出典'!D73+'前提と出典'!E73,IF(C650&lt;=100,'前提と出典'!D74+'前提と出典'!E74,IF(C650&lt;=500,'前提と出典'!D75+'前提と出典'!E75,'前提と出典'!D76+'前提と出典'!E76))))</ns0:f>
        <ns0:v>56510.9346263078</ns0:v>
      </ns0:c>
      <ns0:c r="O650" s="16">
        <ns0:f>IF('前提と出典'!$C$36+'前提と出典'!$C$38=0,0,'前提と出典'!$B$4*IF('前提と出典'!$B$20=0,MAX('前提と出典'!$B$6,D650*'前提と出典'!$B$5),'前提と出典'!$B$6+D650*'前提と出典'!$B$5))</ns0:f>
        <ns0:v>641467.1731843576</ns0:v>
      </ns0:c>
      <ns0:c r="P650" s="16">
        <ns0:f>(E650+G650)*(1-'前提と出典'!$B$7)-I650-K650-M650-O650</ns0:f>
        <ns0:v>1463661.2751259208</ns0:v>
      </ns0:c>
      <ns0:c r="Q650" s="16">
        <ns0:f>(F650+H650)*(1-'前提と出典'!$B$7)-J650-L650-N650</ns0:f>
        <ns0:v>561501.9129901039</ns0:v>
      </ns0:c>
      <ns0:c r="R650" s="16">
        <ns0:f>P650-E650*'前提と出典'!$E$4</ns0:f>
        <ns0:v>1088669.0006511882</ns0:v>
      </ns0:c>
      <ns0:c r="S650" s="16">
        <ns0:f>Q650-F650*'前提と出典'!$E$4</ns0:f>
        <ns0:v>414331.0690234678</ns0:v>
      </ns0:c>
      <ns0:c r="T650" s="7">
        <ns0:f>R650+S650</ns0:f>
        <ns0:v>1503000.069674656</ns0:v>
      </ns0:c>
      <ns0:c r="U650" s="16">
        <ns0:f>P650-E650*'前提と出典'!$E$5</ns0:f>
        <ns0:v>963671.5758262775</ns0:v>
      </ns0:c>
      <ns0:c r="V650" s="16">
        <ns0:f>Q650-F650*'前提と出典'!$E$5</ns0:f>
        <ns0:v>365274.12103458896</ns0:v>
      </ns0:c>
      <ns0:c r="W650" s="7">
        <ns0:f>U650+V650</ns0:f>
        <ns0:v>1328945.6968608664</ns0:v>
      </ns0:c>
      <ns0:c r="X650" s="16">
        <ns0:f>P650-E650*'前提と出典'!$E$6</ns0:f>
        <ns0:v>838674.1510013668</ns0:v>
      </ns0:c>
      <ns0:c r="Y650" s="16">
        <ns0:f>Q650-F650*'前提と出典'!$E$6</ns0:f>
        <ns0:v>316217.17304571025</ns0:v>
      </ns0:c>
      <ns0:c r="Z650" s="7">
        <ns0:f>X650+Y650</ns0:f>
        <ns0:v>1154891.324047077</ns0:v>
      </ns0:c>
      <ns0:c r="AA650" s="7">
        <ns0:f>IF(T650&gt;=0,A650,1001)</ns0:f>
        <ns0:v>646</ns0:v>
      </ns0:c>
      <ns0:c r="AB650" s="7">
        <ns0:f>IF(T650&lt;0,A650,0)</ns0:f>
        <ns0:v>0</ns0:v>
      </ns0:c>
      <ns0:c r="AC650" s="16">
        <ns0:f>IF(AND(OR('前提と出典'!$C$36+'前提と出典'!$C$38=0,R650&gt;=0),OR('前提と出典'!$C$37+'前提と出典'!$C$38=0,S650&gt;=0)),0,A650)</ns0:f>
        <ns0:v>0</ns0:v>
      </ns0:c>
      <ns0:c r="AD650" s="7">
        <ns0:f>IF(W650&gt;=0,A650,1001)</ns0:f>
        <ns0:v>646</ns0:v>
      </ns0:c>
      <ns0:c r="AE650" s="7">
        <ns0:f>IF(W650&lt;0,A650,0)</ns0:f>
        <ns0:v>0</ns0:v>
      </ns0:c>
      <ns0:c r="AF650" s="16">
        <ns0:f>IF(AND(OR('前提と出典'!$C$36+'前提と出典'!$C$38=0,U650&gt;=0),OR('前提と出典'!$C$37+'前提と出典'!$C$38=0,V650&gt;=0)),0,A650)</ns0:f>
        <ns0:v>0</ns0:v>
      </ns0:c>
      <ns0:c r="AG650" s="7">
        <ns0:f>IF(Z650&gt;=0,A650,1001)</ns0:f>
        <ns0:v>646</ns0:v>
      </ns0:c>
      <ns0:c r="AH650" s="4">
        <ns0:f>IF(Z650&lt;0,A650,0)</ns0:f>
        <ns0:v>0</ns0:v>
      </ns0:c>
      <ns0:c r="AI650" s="12">
        <ns0:f>IF(AND(OR('前提と出典'!$C$36+'前提と出典'!$C$38=0,X650&gt;=0),OR('前提と出典'!$C$37+'前提と出典'!$C$38=0,Y650&gt;=0)),0,A650)</ns0:f>
        <ns0:v>0</ns0:v>
      </ns0:c>
    </ns0:row>
    <ns0:row r="651" ht="24" customHeight="1">
      <ns0:c r="A651" s="4" t="n">
        <ns0:v>647</ns0:v>
      </ns0:c>
      <ns0:c r="B651" s="12">
        <ns0:f>A651*('前提と出典'!$C$36+'前提と出典'!$C$38)</ns0:f>
        <ns0:v>452.9</ns0:v>
      </ns0:c>
      <ns0:c r="C651" s="12">
        <ns0:f>A651*('前提と出典'!$C$37+'前提と出典'!$C$38)</ns0:f>
        <ns0:v>388.2</ns0:v>
      </ns0:c>
      <ns0:c r="D651" s="16">
        <ns0:f>A651*('前提と出典'!$C$36*'契約別単価'!C5+'前提と出典'!$C$37*'契約別単価'!C6+'前提と出典'!$C$38*'契約別単価'!C7)</ns0:f>
        <ns0:v>4655.508379888268</ns0:v>
      </ns0:c>
      <ns0:c r="E651" s="16">
        <ns0:f>A651*('前提と出典'!$C$36*'契約別単価'!E5+'前提と出典'!$C$37*'契約別単価'!E6+'前提と出典'!$C$38*'契約別単価'!E7)</ns0:f>
        <ns0:v>1251909.1929058407</ns0:v>
      </ns0:c>
      <ns0:c r="F651" s="16">
        <ns0:f>A651*('前提と出典'!$C$36*'契約別単価'!F5+'前提と出典'!$C$37*'契約別単価'!F6+'前提と出典'!$C$38*'契約別単価'!F7)</ns0:f>
        <ns0:v>491328.8753684916</ns0:v>
      </ns0:c>
      <ns0:c r="G651" s="16">
        <ns0:f>A651*('前提と出典'!$C$36*'契約別単価'!G5+'前提と出典'!$C$37*'契約別単価'!G6+'前提と出典'!$C$38*'契約別単価'!G7)</ns0:f>
        <ns0:v>1287855.3072625697</ns0:v>
      </ns0:c>
      <ns0:c r="H651" s="16">
        <ns0:f>A651*('前提と出典'!$C$36*'契約別単価'!H5+'前提と出典'!$C$37*'契約別単価'!H6+'前提と出典'!$C$38*'契約別単価'!H7)</ns0:f>
        <ns0:v>446950.38263945415</ns0:v>
      </ns0:c>
      <ns0:c r="I651" s="16">
        <ns0:f>A651*('前提と出典'!$C$36*'契約別単価'!I5+'前提と出典'!$C$37*'契約別単価'!I6+'前提と出典'!$C$38*'契約別単価'!I7)</ns0:f>
        <ns0:v>27300.508379888262</ns0:v>
      </ns0:c>
      <ns0:c r="J651" s="16">
        <ns0:f>A651*('前提と出典'!$C$36*'契約別単価'!J5+'前提と出典'!$C$37*'契約別単価'!J6+'前提と出典'!$C$38*'契約別単価'!J7)</ns0:f>
        <ns0:v>63593.33478056576</ns0:v>
      </ns0:c>
      <ns0:c r="K651" s="16">
        <ns0:f>A651*('前提と出典'!$C$36*'契約別単価'!K5+'前提と出典'!$C$37*'契約別単価'!K6+'前提と出典'!$C$38*'契約別単価'!K7)</ns0:f>
        <ns0:v>272583.3891992551</ns0:v>
      </ns0:c>
      <ns0:c r="L651" s="16">
        <ns0:f>A651*('前提と出典'!$C$36*'契約別単価'!L5+'前提と出典'!$C$37*'契約別単価'!L6+'前提と出典'!$C$38*'契約別単価'!L7)</ns0:f>
        <ns0:v>221938.3460879818</ns0:v>
      </ns0:c>
      <ns0:c r="M651" s="16">
        <ns0:f>IF(('前提と出典'!$C$36+'前提と出典'!$C$38)=0,0,IF(B651&lt;=10,'前提と出典'!B73+'前提と出典'!C73,IF(B651&lt;=100,'前提と出典'!B74+'前提と出典'!C74,IF(B651&lt;=500,'前提と出典'!B75+'前提と出典'!C75,'前提と出典'!B76+'前提と出典'!C76))))</ns0:f>
        <ns0:v>40000</ns0:v>
      </ns0:c>
      <ns0:c r="N651" s="16">
        <ns0:f>IF(('前提と出典'!$C$37+'前提と出典'!$C$38)=0,0,IF(C651&lt;=10,'前提と出典'!D73+'前提と出典'!E73,IF(C651&lt;=100,'前提と出典'!D74+'前提と出典'!E74,IF(C651&lt;=500,'前提と出典'!D75+'前提と出典'!E75,'前提と出典'!D76+'前提と出典'!E76))))</ns0:f>
        <ns0:v>56510.9346263078</ns0:v>
      </ns0:c>
      <ns0:c r="O651" s="16">
        <ns0:f>IF('前提と出典'!$C$36+'前提と出典'!$C$38=0,0,'前提と出典'!$B$4*IF('前提と出典'!$B$20=0,MAX('前提と出典'!$B$6,D651*'前提と出典'!$B$5),'前提と出典'!$B$6+D651*'前提と出典'!$B$5))</ns0:f>
        <ns0:v>642460.1564245811</ns0:v>
      </ns0:c>
      <ns0:c r="P651" s="16">
        <ns0:f>(E651+G651)*(1-'前提と出典'!$B$7)-I651-K651-M651-O651</ns0:f>
        <ns0:v>1465988.924158623</ns0:v>
      </ns0:c>
      <ns0:c r="Q651" s="16">
        <ns0:f>(F651+H651)*(1-'前提と出典'!$B$7)-J651-L651-N651</ns0:f>
        <ns0:v>562458.5892248042</ns0:v>
      </ns0:c>
      <ns0:c r="R651" s="16">
        <ns0:f>P651-E651*'前提と出典'!$E$4</ns0:f>
        <ns0:v>1090416.1662868708</ns0:v>
      </ns0:c>
      <ns0:c r="S651" s="16">
        <ns0:f>Q651-F651*'前提と出典'!$E$4</ns0:f>
        <ns0:v>415059.9266142567</ns0:v>
      </ns0:c>
      <ns0:c r="T651" s="7">
        <ns0:f>R651+S651</ns0:f>
        <ns0:v>1505476.0929011274</ns0:v>
      </ns0:c>
      <ns0:c r="U651" s="16">
        <ns0:f>P651-E651*'前提と出典'!$E$5</ns0:f>
        <ns0:v>965225.2469962868</ns0:v>
      </ns0:c>
      <ns0:c r="V651" s="16">
        <ns0:f>Q651-F651*'前提と出典'!$E$5</ns0:f>
        <ns0:v>365927.03907740756</ns0:v>
      </ns0:c>
      <ns0:c r="W651" s="7">
        <ns0:f>U651+V651</ns0:f>
        <ns0:v>1331152.2860736945</ns0:v>
      </ns0:c>
      <ns0:c r="X651" s="16">
        <ns0:f>P651-E651*'前提と出典'!$E$6</ns0:f>
        <ns0:v>840034.3277057027</ns0:v>
      </ns0:c>
      <ns0:c r="Y651" s="16">
        <ns0:f>Q651-F651*'前提と出典'!$E$6</ns0:f>
        <ns0:v>316794.15154055844</ns0:v>
      </ns0:c>
      <ns0:c r="Z651" s="7">
        <ns0:f>X651+Y651</ns0:f>
        <ns0:v>1156828.479246261</ns0:v>
      </ns0:c>
      <ns0:c r="AA651" s="7">
        <ns0:f>IF(T651&gt;=0,A651,1001)</ns0:f>
        <ns0:v>647</ns0:v>
      </ns0:c>
      <ns0:c r="AB651" s="7">
        <ns0:f>IF(T651&lt;0,A651,0)</ns0:f>
        <ns0:v>0</ns0:v>
      </ns0:c>
      <ns0:c r="AC651" s="16">
        <ns0:f>IF(AND(OR('前提と出典'!$C$36+'前提と出典'!$C$38=0,R651&gt;=0),OR('前提と出典'!$C$37+'前提と出典'!$C$38=0,S651&gt;=0)),0,A651)</ns0:f>
        <ns0:v>0</ns0:v>
      </ns0:c>
      <ns0:c r="AD651" s="7">
        <ns0:f>IF(W651&gt;=0,A651,1001)</ns0:f>
        <ns0:v>647</ns0:v>
      </ns0:c>
      <ns0:c r="AE651" s="7">
        <ns0:f>IF(W651&lt;0,A651,0)</ns0:f>
        <ns0:v>0</ns0:v>
      </ns0:c>
      <ns0:c r="AF651" s="16">
        <ns0:f>IF(AND(OR('前提と出典'!$C$36+'前提と出典'!$C$38=0,U651&gt;=0),OR('前提と出典'!$C$37+'前提と出典'!$C$38=0,V651&gt;=0)),0,A651)</ns0:f>
        <ns0:v>0</ns0:v>
      </ns0:c>
      <ns0:c r="AG651" s="7">
        <ns0:f>IF(Z651&gt;=0,A651,1001)</ns0:f>
        <ns0:v>647</ns0:v>
      </ns0:c>
      <ns0:c r="AH651" s="4">
        <ns0:f>IF(Z651&lt;0,A651,0)</ns0:f>
        <ns0:v>0</ns0:v>
      </ns0:c>
      <ns0:c r="AI651" s="12">
        <ns0:f>IF(AND(OR('前提と出典'!$C$36+'前提と出典'!$C$38=0,X651&gt;=0),OR('前提と出典'!$C$37+'前提と出典'!$C$38=0,Y651&gt;=0)),0,A651)</ns0:f>
        <ns0:v>0</ns0:v>
      </ns0:c>
    </ns0:row>
    <ns0:row r="652" ht="24" customHeight="1">
      <ns0:c r="A652" s="4" t="n">
        <ns0:v>648</ns0:v>
      </ns0:c>
      <ns0:c r="B652" s="12">
        <ns0:f>A652*('前提と出典'!$C$36+'前提と出典'!$C$38)</ns0:f>
        <ns0:v>453.59999999999997</ns0:v>
      </ns0:c>
      <ns0:c r="C652" s="12">
        <ns0:f>A652*('前提と出典'!$C$37+'前提と出典'!$C$38)</ns0:f>
        <ns0:v>388.8</ns0:v>
      </ns0:c>
      <ns0:c r="D652" s="16">
        <ns0:f>A652*('前提と出典'!$C$36*'契約別単価'!C5+'前提と出典'!$C$37*'契約別単価'!C6+'前提と出典'!$C$38*'契約別単価'!C7)</ns0:f>
        <ns0:v>4662.703910614525</ns0:v>
      </ns0:c>
      <ns0:c r="E652" s="16">
        <ns0:f>A652*('前提と出典'!$C$36*'契約別単価'!E5+'前提と出典'!$C$37*'契約別単価'!E6+'前提と出典'!$C$38*'契約別単価'!E7)</ns0:f>
        <ns0:v>1253844.1375625732</ns0:v>
      </ns0:c>
      <ns0:c r="F652" s="16">
        <ns0:f>A652*('前提と出典'!$C$36*'契約別単価'!F5+'前提と出典'!$C$37*'契約別単価'!F6+'前提と出典'!$C$38*'契約別単価'!F7)</ns0:f>
        <ns0:v>492088.2708481956</ns0:v>
      </ns0:c>
      <ns0:c r="G652" s="16">
        <ns0:f>A652*('前提と出典'!$C$36*'契約別単価'!G5+'前提と出典'!$C$37*'契約別単価'!G6+'前提と出典'!$C$38*'契約別単価'!G7)</ns0:f>
        <ns0:v>1289845.810055866</ns0:v>
      </ns0:c>
      <ns0:c r="H652" s="16">
        <ns0:f>A652*('前提と出典'!$C$36*'契約別単価'!H5+'前提と出典'!$C$37*'契約別単価'!H6+'前提と出典'!$C$38*'契約別単価'!H7)</ns0:f>
        <ns0:v>447641.18694028794</ns0:v>
      </ns0:c>
      <ns0:c r="I652" s="16">
        <ns0:f>A652*('前提と出典'!$C$36*'契約別単価'!I5+'前提と出典'!$C$37*'契約別単価'!I6+'前提と出典'!$C$38*'契約別単価'!I7)</ns0:f>
        <ns0:v>27342.70391061452</ns0:v>
      </ns0:c>
      <ns0:c r="J652" s="16">
        <ns0:f>A652*('前提と出典'!$C$36*'契約別単価'!J5+'前提と出典'!$C$37*'契約別単価'!J6+'前提と出典'!$C$38*'契約別単価'!J7)</ns0:f>
        <ns0:v>63691.62432427606</ns0:v>
      </ns0:c>
      <ns0:c r="K652" s="16">
        <ns0:f>A652*('前提と出典'!$C$36*'契約別単価'!K5+'前提と出典'!$C$37*'契約別単価'!K6+'前提と出典'!$C$38*'契約別単価'!K7)</ns0:f>
        <ns0:v>273004.69273743016</ns0:v>
      </ns0:c>
      <ns0:c r="L652" s="16">
        <ns0:f>A652*('前提と出典'!$C$36*'契約別単価'!L5+'前提と出典'!$C$37*'契約別単価'!L6+'前提と出典'!$C$38*'契約別単価'!L7)</ns0:f>
        <ns0:v>222281.37289800958</ns0:v>
      </ns0:c>
      <ns0:c r="M652" s="16">
        <ns0:f>IF(('前提と出典'!$C$36+'前提と出典'!$C$38)=0,0,IF(B652&lt;=10,'前提と出典'!B73+'前提と出典'!C73,IF(B652&lt;=100,'前提と出典'!B74+'前提と出典'!C74,IF(B652&lt;=500,'前提と出典'!B75+'前提と出典'!C75,'前提と出典'!B76+'前提と出典'!C76))))</ns0:f>
        <ns0:v>40000</ns0:v>
      </ns0:c>
      <ns0:c r="N652" s="16">
        <ns0:f>IF(('前提と出典'!$C$37+'前提と出典'!$C$38)=0,0,IF(C652&lt;=10,'前提と出典'!D73+'前提と出典'!E73,IF(C652&lt;=100,'前提と出典'!D74+'前提と出典'!E74,IF(C652&lt;=500,'前提と出典'!D75+'前提と出典'!E75,'前提と出典'!D76+'前提と出典'!E76))))</ns0:f>
        <ns0:v>56510.9346263078</ns0:v>
      </ns0:c>
      <ns0:c r="O652" s="16">
        <ns0:f>IF('前提と出典'!$C$36+'前提と出典'!$C$38=0,0,'前提と出典'!$B$4*IF('前提と出典'!$B$20=0,MAX('前提と出典'!$B$6,D652*'前提と出典'!$B$5),'前提と出典'!$B$6+D652*'前提と出典'!$B$5))</ns0:f>
        <ns0:v>643453.1396648044</ns0:v>
      </ns0:c>
      <ns0:c r="P652" s="16">
        <ns0:f>(E652+G652)*(1-'前提と出典'!$B$7)-I652-K652-M652-O652</ns0:f>
        <ns0:v>1468316.573191326</ns0:v>
      </ns0:c>
      <ns0:c r="Q652" s="16">
        <ns0:f>(F652+H652)*(1-'前提と出典'!$B$7)-J652-L652-N652</ns0:f>
        <ns0:v>563415.2654595046</ns0:v>
      </ns0:c>
      <ns0:c r="R652" s="16">
        <ns0:f>P652-E652*'前提と出典'!$E$4</ns0:f>
        <ns0:v>1092163.3319225544</ns0:v>
      </ns0:c>
      <ns0:c r="S652" s="16">
        <ns0:f>Q652-F652*'前提と出典'!$E$4</ns0:f>
        <ns0:v>415788.7842050459</ns0:v>
      </ns0:c>
      <ns0:c r="T652" s="7">
        <ns0:f>R652+S652</ns0:f>
        <ns0:v>1507952.1161276004</ns0:v>
      </ns0:c>
      <ns0:c r="U652" s="16">
        <ns0:f>P652-E652*'前提と出典'!$E$5</ns0:f>
        <ns0:v>966778.9181662967</ns0:v>
      </ns0:c>
      <ns0:c r="V652" s="16">
        <ns0:f>Q652-F652*'前提と出典'!$E$5</ns0:f>
        <ns0:v>366579.95712022635</ns0:v>
      </ns0:c>
      <ns0:c r="W652" s="7">
        <ns0:f>U652+V652</ns0:f>
        <ns0:v>1333358.875286523</ns0:v>
      </ns0:c>
      <ns0:c r="X652" s="16">
        <ns0:f>P652-E652*'前提と出典'!$E$6</ns0:f>
        <ns0:v>841394.5044100395</ns0:v>
      </ns0:c>
      <ns0:c r="Y652" s="16">
        <ns0:f>Q652-F652*'前提と出典'!$E$6</ns0:f>
        <ns0:v>317371.1300354068</ns0:v>
      </ns0:c>
      <ns0:c r="Z652" s="7">
        <ns0:f>X652+Y652</ns0:f>
        <ns0:v>1158765.6344454463</ns0:v>
      </ns0:c>
      <ns0:c r="AA652" s="7">
        <ns0:f>IF(T652&gt;=0,A652,1001)</ns0:f>
        <ns0:v>648</ns0:v>
      </ns0:c>
      <ns0:c r="AB652" s="7">
        <ns0:f>IF(T652&lt;0,A652,0)</ns0:f>
        <ns0:v>0</ns0:v>
      </ns0:c>
      <ns0:c r="AC652" s="16">
        <ns0:f>IF(AND(OR('前提と出典'!$C$36+'前提と出典'!$C$38=0,R652&gt;=0),OR('前提と出典'!$C$37+'前提と出典'!$C$38=0,S652&gt;=0)),0,A652)</ns0:f>
        <ns0:v>0</ns0:v>
      </ns0:c>
      <ns0:c r="AD652" s="7">
        <ns0:f>IF(W652&gt;=0,A652,1001)</ns0:f>
        <ns0:v>648</ns0:v>
      </ns0:c>
      <ns0:c r="AE652" s="7">
        <ns0:f>IF(W652&lt;0,A652,0)</ns0:f>
        <ns0:v>0</ns0:v>
      </ns0:c>
      <ns0:c r="AF652" s="16">
        <ns0:f>IF(AND(OR('前提と出典'!$C$36+'前提と出典'!$C$38=0,U652&gt;=0),OR('前提と出典'!$C$37+'前提と出典'!$C$38=0,V652&gt;=0)),0,A652)</ns0:f>
        <ns0:v>0</ns0:v>
      </ns0:c>
      <ns0:c r="AG652" s="7">
        <ns0:f>IF(Z652&gt;=0,A652,1001)</ns0:f>
        <ns0:v>648</ns0:v>
      </ns0:c>
      <ns0:c r="AH652" s="4">
        <ns0:f>IF(Z652&lt;0,A652,0)</ns0:f>
        <ns0:v>0</ns0:v>
      </ns0:c>
      <ns0:c r="AI652" s="12">
        <ns0:f>IF(AND(OR('前提と出典'!$C$36+'前提と出典'!$C$38=0,X652&gt;=0),OR('前提と出典'!$C$37+'前提と出典'!$C$38=0,Y652&gt;=0)),0,A652)</ns0:f>
        <ns0:v>0</ns0:v>
      </ns0:c>
    </ns0:row>
    <ns0:row r="653" ht="24" customHeight="1">
      <ns0:c r="A653" s="4" t="n">
        <ns0:v>649</ns0:v>
      </ns0:c>
      <ns0:c r="B653" s="12">
        <ns0:f>A653*('前提と出典'!$C$36+'前提と出典'!$C$38)</ns0:f>
        <ns0:v>454.29999999999995</ns0:v>
      </ns0:c>
      <ns0:c r="C653" s="12">
        <ns0:f>A653*('前提と出典'!$C$37+'前提と出典'!$C$38)</ns0:f>
        <ns0:v>389.4</ns0:v>
      </ns0:c>
      <ns0:c r="D653" s="16">
        <ns0:f>A653*('前提と出典'!$C$36*'契約別単価'!C5+'前提と出典'!$C$37*'契約別単価'!C6+'前提と出典'!$C$38*'契約別単価'!C7)</ns0:f>
        <ns0:v>4669.899441340782</ns0:v>
      </ns0:c>
      <ns0:c r="E653" s="16">
        <ns0:f>A653*('前提と出典'!$C$36*'契約別単価'!E5+'前提と出典'!$C$37*'契約別単価'!E6+'前提と出典'!$C$38*'契約別単価'!E7)</ns0:f>
        <ns0:v>1255779.0822193054</ns0:v>
      </ns0:c>
      <ns0:c r="F653" s="16">
        <ns0:f>A653*('前提と出典'!$C$36*'契約別単価'!F5+'前提と出典'!$C$37*'契約別単価'!F6+'前提と出典'!$C$38*'契約別単価'!F7)</ns0:f>
        <ns0:v>492847.6663278996</ns0:v>
      </ns0:c>
      <ns0:c r="G653" s="16">
        <ns0:f>A653*('前提と出典'!$C$36*'契約別単価'!G5+'前提と出典'!$C$37*'契約別単価'!G6+'前提と出典'!$C$38*'契約別単価'!G7)</ns0:f>
        <ns0:v>1291836.312849162</ns0:v>
      </ns0:c>
      <ns0:c r="H653" s="16">
        <ns0:f>A653*('前提と出典'!$C$36*'契約別単価'!H5+'前提と出典'!$C$37*'契約別単価'!H6+'前提と出典'!$C$38*'契約別単価'!H7)</ns0:f>
        <ns0:v>448331.9912411217</ns0:v>
      </ns0:c>
      <ns0:c r="I653" s="16">
        <ns0:f>A653*('前提と出典'!$C$36*'契約別単価'!I5+'前提と出典'!$C$37*'契約別単価'!I6+'前提と出典'!$C$38*'契約別単価'!I7)</ns0:f>
        <ns0:v>27384.899441340778</ns0:v>
      </ns0:c>
      <ns0:c r="J653" s="16">
        <ns0:f>A653*('前提と出典'!$C$36*'契約別単価'!J5+'前提と出典'!$C$37*'契約別単価'!J6+'前提と出典'!$C$38*'契約別単価'!J7)</ns0:f>
        <ns0:v>63789.91386798637</ns0:v>
      </ns0:c>
      <ns0:c r="K653" s="16">
        <ns0:f>A653*('前提と出典'!$C$36*'契約別単価'!K5+'前提と出典'!$C$37*'契約別単価'!K6+'前提と出典'!$C$38*'契約別単価'!K7)</ns0:f>
        <ns0:v>273425.99627560517</ns0:v>
      </ns0:c>
      <ns0:c r="L653" s="16">
        <ns0:f>A653*('前提と出典'!$C$36*'契約別単価'!L5+'前提と出典'!$C$37*'契約別単価'!L6+'前提と出典'!$C$38*'契約別単価'!L7)</ns0:f>
        <ns0:v>222624.39970803738</ns0:v>
      </ns0:c>
      <ns0:c r="M653" s="16">
        <ns0:f>IF(('前提と出典'!$C$36+'前提と出典'!$C$38)=0,0,IF(B653&lt;=10,'前提と出典'!B73+'前提と出典'!C73,IF(B653&lt;=100,'前提と出典'!B74+'前提と出典'!C74,IF(B653&lt;=500,'前提と出典'!B75+'前提と出典'!C75,'前提と出典'!B76+'前提と出典'!C76))))</ns0:f>
        <ns0:v>40000</ns0:v>
      </ns0:c>
      <ns0:c r="N653" s="16">
        <ns0:f>IF(('前提と出典'!$C$37+'前提と出典'!$C$38)=0,0,IF(C653&lt;=10,'前提と出典'!D73+'前提と出典'!E73,IF(C653&lt;=100,'前提と出典'!D74+'前提と出典'!E74,IF(C653&lt;=500,'前提と出典'!D75+'前提と出典'!E75,'前提と出典'!D76+'前提と出典'!E76))))</ns0:f>
        <ns0:v>56510.9346263078</ns0:v>
      </ns0:c>
      <ns0:c r="O653" s="16">
        <ns0:f>IF('前提と出典'!$C$36+'前提と出典'!$C$38=0,0,'前提と出典'!$B$4*IF('前提と出典'!$B$20=0,MAX('前提と出典'!$B$6,D653*'前提と出典'!$B$5),'前提と出典'!$B$6+D653*'前提と出典'!$B$5))</ns0:f>
        <ns0:v>644446.1229050278</ns0:v>
      </ns0:c>
      <ns0:c r="P653" s="16">
        <ns0:f>(E653+G653)*(1-'前提と出典'!$B$7)-I653-K653-M653-O653</ns0:f>
        <ns0:v>1470644.222224029</ns0:v>
      </ns0:c>
      <ns0:c r="Q653" s="16">
        <ns0:f>(F653+H653)*(1-'前提と出典'!$B$7)-J653-L653-N653</ns0:f>
        <ns0:v>564371.9416942049</ns0:v>
      </ns0:c>
      <ns0:c r="R653" s="16">
        <ns0:f>P653-E653*'前提と出典'!$E$4</ns0:f>
        <ns0:v>1093910.4975582373</ns0:v>
      </ns0:c>
      <ns0:c r="S653" s="16">
        <ns0:f>Q653-F653*'前提と出典'!$E$4</ns0:f>
        <ns0:v>416517.6417958351</ns0:v>
      </ns0:c>
      <ns0:c r="T653" s="7">
        <ns0:f>R653+S653</ns0:f>
        <ns0:v>1510428.1393540725</ns0:v>
      </ns0:c>
      <ns0:c r="U653" s="16">
        <ns0:f>P653-E653*'前提と出典'!$E$5</ns0:f>
        <ns0:v>968332.5893363068</ns0:v>
      </ns0:c>
      <ns0:c r="V653" s="16">
        <ns0:f>Q653-F653*'前提と出典'!$E$5</ns0:f>
        <ns0:v>367232.87516304513</ns0:v>
      </ns0:c>
      <ns0:c r="W653" s="7">
        <ns0:f>U653+V653</ns0:f>
        <ns0:v>1335565.464499352</ns0:v>
      </ns0:c>
      <ns0:c r="X653" s="16">
        <ns0:f>P653-E653*'前提と出典'!$E$6</ns0:f>
        <ns0:v>842754.6811143763</ns0:v>
      </ns0:c>
      <ns0:c r="Y653" s="16">
        <ns0:f>Q653-F653*'前提と出典'!$E$6</ns0:f>
        <ns0:v>317948.10853025515</ns0:v>
      </ns0:c>
      <ns0:c r="Z653" s="7">
        <ns0:f>X653+Y653</ns0:f>
        <ns0:v>1160702.7896446316</ns0:v>
      </ns0:c>
      <ns0:c r="AA653" s="7">
        <ns0:f>IF(T653&gt;=0,A653,1001)</ns0:f>
        <ns0:v>649</ns0:v>
      </ns0:c>
      <ns0:c r="AB653" s="7">
        <ns0:f>IF(T653&lt;0,A653,0)</ns0:f>
        <ns0:v>0</ns0:v>
      </ns0:c>
      <ns0:c r="AC653" s="16">
        <ns0:f>IF(AND(OR('前提と出典'!$C$36+'前提と出典'!$C$38=0,R653&gt;=0),OR('前提と出典'!$C$37+'前提と出典'!$C$38=0,S653&gt;=0)),0,A653)</ns0:f>
        <ns0:v>0</ns0:v>
      </ns0:c>
      <ns0:c r="AD653" s="7">
        <ns0:f>IF(W653&gt;=0,A653,1001)</ns0:f>
        <ns0:v>649</ns0:v>
      </ns0:c>
      <ns0:c r="AE653" s="7">
        <ns0:f>IF(W653&lt;0,A653,0)</ns0:f>
        <ns0:v>0</ns0:v>
      </ns0:c>
      <ns0:c r="AF653" s="16">
        <ns0:f>IF(AND(OR('前提と出典'!$C$36+'前提と出典'!$C$38=0,U653&gt;=0),OR('前提と出典'!$C$37+'前提と出典'!$C$38=0,V653&gt;=0)),0,A653)</ns0:f>
        <ns0:v>0</ns0:v>
      </ns0:c>
      <ns0:c r="AG653" s="7">
        <ns0:f>IF(Z653&gt;=0,A653,1001)</ns0:f>
        <ns0:v>649</ns0:v>
      </ns0:c>
      <ns0:c r="AH653" s="4">
        <ns0:f>IF(Z653&lt;0,A653,0)</ns0:f>
        <ns0:v>0</ns0:v>
      </ns0:c>
      <ns0:c r="AI653" s="12">
        <ns0:f>IF(AND(OR('前提と出典'!$C$36+'前提と出典'!$C$38=0,X653&gt;=0),OR('前提と出典'!$C$37+'前提と出典'!$C$38=0,Y653&gt;=0)),0,A653)</ns0:f>
        <ns0:v>0</ns0:v>
      </ns0:c>
    </ns0:row>
    <ns0:row r="654" ht="24" customHeight="1">
      <ns0:c r="A654" s="4" t="n">
        <ns0:v>650</ns0:v>
      </ns0:c>
      <ns0:c r="B654" s="12">
        <ns0:f>A654*('前提と出典'!$C$36+'前提と出典'!$C$38)</ns0:f>
        <ns0:v>454.99999999999994</ns0:v>
      </ns0:c>
      <ns0:c r="C654" s="12">
        <ns0:f>A654*('前提と出典'!$C$37+'前提と出典'!$C$38)</ns0:f>
        <ns0:v>390</ns0:v>
      </ns0:c>
      <ns0:c r="D654" s="16">
        <ns0:f>A654*('前提と出典'!$C$36*'契約別単価'!C5+'前提と出典'!$C$37*'契約別単価'!C6+'前提と出典'!$C$38*'契約別単価'!C7)</ns0:f>
        <ns0:v>4677.094972067039</ns0:v>
      </ns0:c>
      <ns0:c r="E654" s="16">
        <ns0:f>A654*('前提と出典'!$C$36*'契約別単価'!E5+'前提と出典'!$C$37*'契約別単価'!E6+'前提と出典'!$C$38*'契約別単価'!E7)</ns0:f>
        <ns0:v>1257714.026876038</ns0:v>
      </ns0:c>
      <ns0:c r="F654" s="16">
        <ns0:f>A654*('前提と出典'!$C$36*'契約別単価'!F5+'前提と出典'!$C$37*'契約別単価'!F6+'前提と出典'!$C$38*'契約別単価'!F7)</ns0:f>
        <ns0:v>493607.0618076036</ns0:v>
      </ns0:c>
      <ns0:c r="G654" s="16">
        <ns0:f>A654*('前提と出典'!$C$36*'契約別単価'!G5+'前提と出典'!$C$37*'契約別単価'!G6+'前提と出典'!$C$38*'契約別単価'!G7)</ns0:f>
        <ns0:v>1293826.8156424582</ns0:v>
      </ns0:c>
      <ns0:c r="H654" s="16">
        <ns0:f>A654*('前提と出典'!$C$36*'契約別単価'!H5+'前提と出典'!$C$37*'契約別単価'!H6+'前提と出典'!$C$38*'契約別単価'!H7)</ns0:f>
        <ns0:v>449022.7955419555</ns0:v>
      </ns0:c>
      <ns0:c r="I654" s="16">
        <ns0:f>A654*('前提と出典'!$C$36*'契約別単価'!I5+'前提と出典'!$C$37*'契約別単価'!I6+'前提と出典'!$C$38*'契約別単価'!I7)</ns0:f>
        <ns0:v>27427.094972067036</ns0:v>
      </ns0:c>
      <ns0:c r="J654" s="16">
        <ns0:f>A654*('前提と出典'!$C$36*'契約別単価'!J5+'前提と出典'!$C$37*'契約別単価'!J6+'前提と出典'!$C$38*'契約別単価'!J7)</ns0:f>
        <ns0:v>63888.20341169667</ns0:v>
      </ns0:c>
      <ns0:c r="K654" s="16">
        <ns0:f>A654*('前提と出典'!$C$36*'契約別単価'!K5+'前提と出典'!$C$37*'契約別単価'!K6+'前提と出典'!$C$38*'契約別単価'!K7)</ns0:f>
        <ns0:v>273847.29981378024</ns0:v>
      </ns0:c>
      <ns0:c r="L654" s="16">
        <ns0:f>A654*('前提と出典'!$C$36*'契約別単価'!L5+'前提と出典'!$C$37*'契約別単価'!L6+'前提と出典'!$C$38*'契約別単価'!L7)</ns0:f>
        <ns0:v>222967.4265180652</ns0:v>
      </ns0:c>
      <ns0:c r="M654" s="16">
        <ns0:f>IF(('前提と出典'!$C$36+'前提と出典'!$C$38)=0,0,IF(B654&lt;=10,'前提と出典'!B73+'前提と出典'!C73,IF(B654&lt;=100,'前提と出典'!B74+'前提と出典'!C74,IF(B654&lt;=500,'前提と出典'!B75+'前提と出典'!C75,'前提と出典'!B76+'前提と出典'!C76))))</ns0:f>
        <ns0:v>40000</ns0:v>
      </ns0:c>
      <ns0:c r="N654" s="16">
        <ns0:f>IF(('前提と出典'!$C$37+'前提と出典'!$C$38)=0,0,IF(C654&lt;=10,'前提と出典'!D73+'前提と出典'!E73,IF(C654&lt;=100,'前提と出典'!D74+'前提と出典'!E74,IF(C654&lt;=500,'前提と出典'!D75+'前提と出典'!E75,'前提と出典'!D76+'前提と出典'!E76))))</ns0:f>
        <ns0:v>56510.9346263078</ns0:v>
      </ns0:c>
      <ns0:c r="O654" s="16">
        <ns0:f>IF('前提と出典'!$C$36+'前提と出典'!$C$38=0,0,'前提と出典'!$B$4*IF('前提と出典'!$B$20=0,MAX('前提と出典'!$B$6,D654*'前提と出典'!$B$5),'前提と出典'!$B$6+D654*'前提と出典'!$B$5))</ns0:f>
        <ns0:v>645439.1061452513</ns0:v>
      </ns0:c>
      <ns0:c r="P654" s="16">
        <ns0:f>(E654+G654)*(1-'前提と出典'!$B$7)-I654-K654-M654-O654</ns0:f>
        <ns0:v>1472971.871256732</ns0:v>
      </ns0:c>
      <ns0:c r="Q654" s="16">
        <ns0:f>(F654+H654)*(1-'前提と出典'!$B$7)-J654-L654-N654</ns0:f>
        <ns0:v>565328.6179289052</ns0:v>
      </ns0:c>
      <ns0:c r="R654" s="16">
        <ns0:f>P654-E654*'前提と出典'!$E$4</ns0:f>
        <ns0:v>1095657.6631939206</ns0:v>
      </ns0:c>
      <ns0:c r="S654" s="16">
        <ns0:f>Q654-F654*'前提と出典'!$E$4</ns0:f>
        <ns0:v>417246.4993866242</ns0:v>
      </ns0:c>
      <ns0:c r="T654" s="7">
        <ns0:f>R654+S654</ns0:f>
        <ns0:v>1512904.1625805448</ns0:v>
      </ns0:c>
      <ns0:c r="U654" s="16">
        <ns0:f>P654-E654*'前提と出典'!$E$5</ns0:f>
        <ns0:v>969886.2605063168</ns0:v>
      </ns0:c>
      <ns0:c r="V654" s="16">
        <ns0:f>Q654-F654*'前提と出典'!$E$5</ns0:f>
        <ns0:v>367885.7932058638</ns0:v>
      </ns0:c>
      <ns0:c r="W654" s="7">
        <ns0:f>U654+V654</ns0:f>
        <ns0:v>1337772.0537121806</ns0:v>
      </ns0:c>
      <ns0:c r="X654" s="16">
        <ns0:f>P654-E654*'前提と出典'!$E$6</ns0:f>
        <ns0:v>844114.857818713</ns0:v>
      </ns0:c>
      <ns0:c r="Y654" s="16">
        <ns0:f>Q654-F654*'前提と出典'!$E$6</ns0:f>
        <ns0:v>318525.0870251035</ns0:v>
      </ns0:c>
      <ns0:c r="Z654" s="7">
        <ns0:f>X654+Y654</ns0:f>
        <ns0:v>1162639.9448438166</ns0:v>
      </ns0:c>
      <ns0:c r="AA654" s="7">
        <ns0:f>IF(T654&gt;=0,A654,1001)</ns0:f>
        <ns0:v>650</ns0:v>
      </ns0:c>
      <ns0:c r="AB654" s="7">
        <ns0:f>IF(T654&lt;0,A654,0)</ns0:f>
        <ns0:v>0</ns0:v>
      </ns0:c>
      <ns0:c r="AC654" s="16">
        <ns0:f>IF(AND(OR('前提と出典'!$C$36+'前提と出典'!$C$38=0,R654&gt;=0),OR('前提と出典'!$C$37+'前提と出典'!$C$38=0,S654&gt;=0)),0,A654)</ns0:f>
        <ns0:v>0</ns0:v>
      </ns0:c>
      <ns0:c r="AD654" s="7">
        <ns0:f>IF(W654&gt;=0,A654,1001)</ns0:f>
        <ns0:v>650</ns0:v>
      </ns0:c>
      <ns0:c r="AE654" s="7">
        <ns0:f>IF(W654&lt;0,A654,0)</ns0:f>
        <ns0:v>0</ns0:v>
      </ns0:c>
      <ns0:c r="AF654" s="16">
        <ns0:f>IF(AND(OR('前提と出典'!$C$36+'前提と出典'!$C$38=0,U654&gt;=0),OR('前提と出典'!$C$37+'前提と出典'!$C$38=0,V654&gt;=0)),0,A654)</ns0:f>
        <ns0:v>0</ns0:v>
      </ns0:c>
      <ns0:c r="AG654" s="7">
        <ns0:f>IF(Z654&gt;=0,A654,1001)</ns0:f>
        <ns0:v>650</ns0:v>
      </ns0:c>
      <ns0:c r="AH654" s="4">
        <ns0:f>IF(Z654&lt;0,A654,0)</ns0:f>
        <ns0:v>0</ns0:v>
      </ns0:c>
      <ns0:c r="AI654" s="12">
        <ns0:f>IF(AND(OR('前提と出典'!$C$36+'前提と出典'!$C$38=0,X654&gt;=0),OR('前提と出典'!$C$37+'前提と出典'!$C$38=0,Y654&gt;=0)),0,A654)</ns0:f>
        <ns0:v>0</ns0:v>
      </ns0:c>
    </ns0:row>
    <ns0:row r="655" ht="24" customHeight="1">
      <ns0:c r="A655" s="4" t="n">
        <ns0:v>651</ns0:v>
      </ns0:c>
      <ns0:c r="B655" s="12">
        <ns0:f>A655*('前提と出典'!$C$36+'前提と出典'!$C$38)</ns0:f>
        <ns0:v>455.7</ns0:v>
      </ns0:c>
      <ns0:c r="C655" s="12">
        <ns0:f>A655*('前提と出典'!$C$37+'前提と出典'!$C$38)</ns0:f>
        <ns0:v>390.59999999999997</ns0:v>
      </ns0:c>
      <ns0:c r="D655" s="16">
        <ns0:f>A655*('前提と出典'!$C$36*'契約別単価'!C5+'前提と出典'!$C$37*'契約別単価'!C6+'前提と出典'!$C$38*'契約別単価'!C7)</ns0:f>
        <ns0:v>4684.290502793296</ns0:v>
      </ns0:c>
      <ns0:c r="E655" s="16">
        <ns0:f>A655*('前提と出典'!$C$36*'契約別単価'!E5+'前提と出典'!$C$37*'契約別単価'!E6+'前提と出典'!$C$38*'契約別単価'!E7)</ns0:f>
        <ns0:v>1259648.9715327702</ns0:v>
      </ns0:c>
      <ns0:c r="F655" s="16">
        <ns0:f>A655*('前提と出典'!$C$36*'契約別単価'!F5+'前提と出典'!$C$37*'契約別単価'!F6+'前提と出典'!$C$38*'契約別単価'!F7)</ns0:f>
        <ns0:v>494366.4572873076</ns0:v>
      </ns0:c>
      <ns0:c r="G655" s="16">
        <ns0:f>A655*('前提と出典'!$C$36*'契約別単価'!G5+'前提と出典'!$C$37*'契約別単価'!G6+'前提と出典'!$C$38*'契約別単価'!G7)</ns0:f>
        <ns0:v>1295817.3184357542</ns0:v>
      </ns0:c>
      <ns0:c r="H655" s="16">
        <ns0:f>A655*('前提と出典'!$C$36*'契約別単価'!H5+'前提と出典'!$C$37*'契約別単価'!H6+'前提と出典'!$C$38*'契約別単価'!H7)</ns0:f>
        <ns0:v>449713.5998427893</ns0:v>
      </ns0:c>
      <ns0:c r="I655" s="16">
        <ns0:f>A655*('前提と出典'!$C$36*'契約別単価'!I5+'前提と出典'!$C$37*'契約別単価'!I6+'前提と出典'!$C$38*'契約別単価'!I7)</ns0:f>
        <ns0:v>27469.29050279329</ns0:v>
      </ns0:c>
      <ns0:c r="J655" s="16">
        <ns0:f>A655*('前提と出典'!$C$36*'契約別単価'!J5+'前提と出典'!$C$37*'契約別単価'!J6+'前提と出典'!$C$38*'契約別単価'!J7)</ns0:f>
        <ns0:v>63986.49295540697</ns0:v>
      </ns0:c>
      <ns0:c r="K655" s="16">
        <ns0:f>A655*('前提と出典'!$C$36*'契約別単価'!K5+'前提と出典'!$C$37*'契約別単価'!K6+'前提と出典'!$C$38*'契約別単価'!K7)</ns0:f>
        <ns0:v>274268.6033519553</ns0:v>
      </ns0:c>
      <ns0:c r="L655" s="16">
        <ns0:f>A655*('前提と出典'!$C$36*'契約別単価'!L5+'前提と出典'!$C$37*'契約別単価'!L6+'前提と出典'!$C$38*'契約別単価'!L7)</ns0:f>
        <ns0:v>223310.45332809296</ns0:v>
      </ns0:c>
      <ns0:c r="M655" s="16">
        <ns0:f>IF(('前提と出典'!$C$36+'前提と出典'!$C$38)=0,0,IF(B655&lt;=10,'前提と出典'!B73+'前提と出典'!C73,IF(B655&lt;=100,'前提と出典'!B74+'前提と出典'!C74,IF(B655&lt;=500,'前提と出典'!B75+'前提と出典'!C75,'前提と出典'!B76+'前提と出典'!C76))))</ns0:f>
        <ns0:v>40000</ns0:v>
      </ns0:c>
      <ns0:c r="N655" s="16">
        <ns0:f>IF(('前提と出典'!$C$37+'前提と出典'!$C$38)=0,0,IF(C655&lt;=10,'前提と出典'!D73+'前提と出典'!E73,IF(C655&lt;=100,'前提と出典'!D74+'前提と出典'!E74,IF(C655&lt;=500,'前提と出典'!D75+'前提と出典'!E75,'前提と出典'!D76+'前提と出典'!E76))))</ns0:f>
        <ns0:v>56510.9346263078</ns0:v>
      </ns0:c>
      <ns0:c r="O655" s="16">
        <ns0:f>IF('前提と出典'!$C$36+'前提と出典'!$C$38=0,0,'前提と出典'!$B$4*IF('前提と出典'!$B$20=0,MAX('前提と出典'!$B$6,D655*'前提と出典'!$B$5),'前提と出典'!$B$6+D655*'前提と出典'!$B$5))</ns0:f>
        <ns0:v>646432.0893854748</ns0:v>
      </ns0:c>
      <ns0:c r="P655" s="16">
        <ns0:f>(E655+G655)*(1-'前提と出典'!$B$7)-I655-K655-M655-O655</ns0:f>
        <ns0:v>1475299.520289434</ns0:v>
      </ns0:c>
      <ns0:c r="Q655" s="16">
        <ns0:f>(F655+H655)*(1-'前提と出典'!$B$7)-J655-L655-N655</ns0:f>
        <ns0:v>566285.2941636057</ns0:v>
      </ns0:c>
      <ns0:c r="R655" s="16">
        <ns0:f>P655-E655*'前提と出典'!$E$4</ns0:f>
        <ns0:v>1097404.8288296028</ns0:v>
      </ns0:c>
      <ns0:c r="S655" s="16">
        <ns0:f>Q655-F655*'前提と出典'!$E$4</ns0:f>
        <ns0:v>417975.3569774134</ns0:v>
      </ns0:c>
      <ns0:c r="T655" s="7">
        <ns0:f>R655+S655</ns0:f>
        <ns0:v>1515380.1858070162</ns0:v>
      </ns0:c>
      <ns0:c r="U655" s="16">
        <ns0:f>P655-E655*'前提と出典'!$E$5</ns0:f>
        <ns0:v>971439.9316763259</ns0:v>
      </ns0:c>
      <ns0:c r="V655" s="16">
        <ns0:f>Q655-F655*'前提と出典'!$E$5</ns0:f>
        <ns0:v>368538.7112486826</ns0:v>
      </ns0:c>
      <ns0:c r="W655" s="7">
        <ns0:f>U655+V655</ns0:f>
        <ns0:v>1339978.6429250084</ns0:v>
      </ns0:c>
      <ns0:c r="X655" s="16">
        <ns0:f>P655-E655*'前提と出典'!$E$6</ns0:f>
        <ns0:v>845475.0345230484</ns0:v>
      </ns0:c>
      <ns0:c r="Y655" s="16">
        <ns0:f>Q655-F655*'前提と出典'!$E$6</ns0:f>
        <ns0:v>319102.06551995187</ns0:v>
      </ns0:c>
      <ns0:c r="Z655" s="7">
        <ns0:f>X655+Y655</ns0:f>
        <ns0:v>1164577.1000430002</ns0:v>
      </ns0:c>
      <ns0:c r="AA655" s="7">
        <ns0:f>IF(T655&gt;=0,A655,1001)</ns0:f>
        <ns0:v>651</ns0:v>
      </ns0:c>
      <ns0:c r="AB655" s="7">
        <ns0:f>IF(T655&lt;0,A655,0)</ns0:f>
        <ns0:v>0</ns0:v>
      </ns0:c>
      <ns0:c r="AC655" s="16">
        <ns0:f>IF(AND(OR('前提と出典'!$C$36+'前提と出典'!$C$38=0,R655&gt;=0),OR('前提と出典'!$C$37+'前提と出典'!$C$38=0,S655&gt;=0)),0,A655)</ns0:f>
        <ns0:v>0</ns0:v>
      </ns0:c>
      <ns0:c r="AD655" s="7">
        <ns0:f>IF(W655&gt;=0,A655,1001)</ns0:f>
        <ns0:v>651</ns0:v>
      </ns0:c>
      <ns0:c r="AE655" s="7">
        <ns0:f>IF(W655&lt;0,A655,0)</ns0:f>
        <ns0:v>0</ns0:v>
      </ns0:c>
      <ns0:c r="AF655" s="16">
        <ns0:f>IF(AND(OR('前提と出典'!$C$36+'前提と出典'!$C$38=0,U655&gt;=0),OR('前提と出典'!$C$37+'前提と出典'!$C$38=0,V655&gt;=0)),0,A655)</ns0:f>
        <ns0:v>0</ns0:v>
      </ns0:c>
      <ns0:c r="AG655" s="7">
        <ns0:f>IF(Z655&gt;=0,A655,1001)</ns0:f>
        <ns0:v>651</ns0:v>
      </ns0:c>
      <ns0:c r="AH655" s="4">
        <ns0:f>IF(Z655&lt;0,A655,0)</ns0:f>
        <ns0:v>0</ns0:v>
      </ns0:c>
      <ns0:c r="AI655" s="12">
        <ns0:f>IF(AND(OR('前提と出典'!$C$36+'前提と出典'!$C$38=0,X655&gt;=0),OR('前提と出典'!$C$37+'前提と出典'!$C$38=0,Y655&gt;=0)),0,A655)</ns0:f>
        <ns0:v>0</ns0:v>
      </ns0:c>
    </ns0:row>
    <ns0:row r="656" ht="24" customHeight="1">
      <ns0:c r="A656" s="4" t="n">
        <ns0:v>652</ns0:v>
      </ns0:c>
      <ns0:c r="B656" s="12">
        <ns0:f>A656*('前提と出典'!$C$36+'前提と出典'!$C$38)</ns0:f>
        <ns0:v>456.4</ns0:v>
      </ns0:c>
      <ns0:c r="C656" s="12">
        <ns0:f>A656*('前提と出典'!$C$37+'前提と出典'!$C$38)</ns0:f>
        <ns0:v>391.2</ns0:v>
      </ns0:c>
      <ns0:c r="D656" s="16">
        <ns0:f>A656*('前提と出典'!$C$36*'契約別単価'!C5+'前提と出典'!$C$37*'契約別単価'!C6+'前提と出典'!$C$38*'契約別単価'!C7)</ns0:f>
        <ns0:v>4691.486033519553</ns0:v>
      </ns0:c>
      <ns0:c r="E656" s="16">
        <ns0:f>A656*('前提と出典'!$C$36*'契約別単価'!E5+'前提と出典'!$C$37*'契約別単価'!E6+'前提と出典'!$C$38*'契約別単価'!E7)</ns0:f>
        <ns0:v>1261583.9161895027</ns0:v>
      </ns0:c>
      <ns0:c r="F656" s="16">
        <ns0:f>A656*('前提と出典'!$C$36*'契約別単価'!F5+'前提と出典'!$C$37*'契約別単価'!F6+'前提と出典'!$C$38*'契約別単価'!F7)</ns0:f>
        <ns0:v>495125.8527670116</ns0:v>
      </ns0:c>
      <ns0:c r="G656" s="16">
        <ns0:f>A656*('前提と出典'!$C$36*'契約別単価'!G5+'前提と出典'!$C$37*'契約別単価'!G6+'前提と出典'!$C$38*'契約別単価'!G7)</ns0:f>
        <ns0:v>1297807.8212290502</ns0:v>
      </ns0:c>
      <ns0:c r="H656" s="16">
        <ns0:f>A656*('前提と出典'!$C$36*'契約別単価'!H5+'前提と出典'!$C$37*'契約別単価'!H6+'前提と出典'!$C$38*'契約別単価'!H7)</ns0:f>
        <ns0:v>450404.4041436231</ns0:v>
      </ns0:c>
      <ns0:c r="I656" s="16">
        <ns0:f>A656*('前提と出典'!$C$36*'契約別単価'!I5+'前提と出典'!$C$37*'契約別単価'!I6+'前提と出典'!$C$38*'契約別単価'!I7)</ns0:f>
        <ns0:v>27511.486033519548</ns0:v>
      </ns0:c>
      <ns0:c r="J656" s="16">
        <ns0:f>A656*('前提と出典'!$C$36*'契約別単価'!J5+'前提と出典'!$C$37*'契約別単価'!J6+'前提と出典'!$C$38*'契約別単価'!J7)</ns0:f>
        <ns0:v>64084.782499117275</ns0:v>
      </ns0:c>
      <ns0:c r="K656" s="16">
        <ns0:f>A656*('前提と出典'!$C$36*'契約別単価'!K5+'前提と出典'!$C$37*'契約別単価'!K6+'前提と出典'!$C$38*'契約別単価'!K7)</ns0:f>
        <ns0:v>274689.9068901303</ns0:v>
      </ns0:c>
      <ns0:c r="L656" s="16">
        <ns0:f>A656*('前提と出典'!$C$36*'契約別単価'!L5+'前提と出典'!$C$37*'契約別単価'!L6+'前提と出典'!$C$38*'契約別単価'!L7)</ns0:f>
        <ns0:v>223653.48013812077</ns0:v>
      </ns0:c>
      <ns0:c r="M656" s="16">
        <ns0:f>IF(('前提と出典'!$C$36+'前提と出典'!$C$38)=0,0,IF(B656&lt;=10,'前提と出典'!B73+'前提と出典'!C73,IF(B656&lt;=100,'前提と出典'!B74+'前提と出典'!C74,IF(B656&lt;=500,'前提と出典'!B75+'前提と出典'!C75,'前提と出典'!B76+'前提と出典'!C76))))</ns0:f>
        <ns0:v>40000</ns0:v>
      </ns0:c>
      <ns0:c r="N656" s="16">
        <ns0:f>IF(('前提と出典'!$C$37+'前提と出典'!$C$38)=0,0,IF(C656&lt;=10,'前提と出典'!D73+'前提と出典'!E73,IF(C656&lt;=100,'前提と出典'!D74+'前提と出典'!E74,IF(C656&lt;=500,'前提と出典'!D75+'前提と出典'!E75,'前提と出典'!D76+'前提と出典'!E76))))</ns0:f>
        <ns0:v>56510.9346263078</ns0:v>
      </ns0:c>
      <ns0:c r="O656" s="16">
        <ns0:f>IF('前提と出典'!$C$36+'前提と出典'!$C$38=0,0,'前提と出典'!$B$4*IF('前提と出典'!$B$20=0,MAX('前提と出典'!$B$6,D656*'前提と出典'!$B$5),'前提と出典'!$B$6+D656*'前提と出典'!$B$5))</ns0:f>
        <ns0:v>647425.0726256983</ns0:v>
      </ns0:c>
      <ns0:c r="P656" s="16">
        <ns0:f>(E656+G656)*(1-'前提と出典'!$B$7)-I656-K656-M656-O656</ns0:f>
        <ns0:v>1477627.1693221368</ns0:v>
      </ns0:c>
      <ns0:c r="Q656" s="16">
        <ns0:f>(F656+H656)*(1-'前提と出典'!$B$7)-J656-L656-N656</ns0:f>
        <ns0:v>567241.9703983059</ns0:v>
      </ns0:c>
      <ns0:c r="R656" s="16">
        <ns0:f>P656-E656*'前提と出典'!$E$4</ns0:f>
        <ns0:v>1099151.994465286</ns0:v>
      </ns0:c>
      <ns0:c r="S656" s="16">
        <ns0:f>Q656-F656*'前提と出典'!$E$4</ns0:f>
        <ns0:v>418704.21456820244</ns0:v>
      </ns0:c>
      <ns0:c r="T656" s="7">
        <ns0:f>R656+S656</ns0:f>
        <ns0:v>1517856.2090334883</ns0:v>
      </ns0:c>
      <ns0:c r="U656" s="16">
        <ns0:f>P656-E656*'前提と出典'!$E$5</ns0:f>
        <ns0:v>972993.6028463356</ns0:v>
      </ns0:c>
      <ns0:c r="V656" s="16">
        <ns0:f>Q656-F656*'前提と出典'!$E$5</ns0:f>
        <ns0:v>369191.6292915013</ns0:v>
      </ns0:c>
      <ns0:c r="W656" s="7">
        <ns0:f>U656+V656</ns0:f>
        <ns0:v>1342185.232137837</ns0:v>
      </ns0:c>
      <ns0:c r="X656" s="16">
        <ns0:f>P656-E656*'前提と出典'!$E$6</ns0:f>
        <ns0:v>846835.2112273853</ns0:v>
      </ns0:c>
      <ns0:c r="Y656" s="16">
        <ns0:f>Q656-F656*'前提と出典'!$E$6</ns0:f>
        <ns0:v>319679.04401480017</ns0:v>
      </ns0:c>
      <ns0:c r="Z656" s="7">
        <ns0:f>X656+Y656</ns0:f>
        <ns0:v>1166514.2552421854</ns0:v>
      </ns0:c>
      <ns0:c r="AA656" s="7">
        <ns0:f>IF(T656&gt;=0,A656,1001)</ns0:f>
        <ns0:v>652</ns0:v>
      </ns0:c>
      <ns0:c r="AB656" s="7">
        <ns0:f>IF(T656&lt;0,A656,0)</ns0:f>
        <ns0:v>0</ns0:v>
      </ns0:c>
      <ns0:c r="AC656" s="16">
        <ns0:f>IF(AND(OR('前提と出典'!$C$36+'前提と出典'!$C$38=0,R656&gt;=0),OR('前提と出典'!$C$37+'前提と出典'!$C$38=0,S656&gt;=0)),0,A656)</ns0:f>
        <ns0:v>0</ns0:v>
      </ns0:c>
      <ns0:c r="AD656" s="7">
        <ns0:f>IF(W656&gt;=0,A656,1001)</ns0:f>
        <ns0:v>652</ns0:v>
      </ns0:c>
      <ns0:c r="AE656" s="7">
        <ns0:f>IF(W656&lt;0,A656,0)</ns0:f>
        <ns0:v>0</ns0:v>
      </ns0:c>
      <ns0:c r="AF656" s="16">
        <ns0:f>IF(AND(OR('前提と出典'!$C$36+'前提と出典'!$C$38=0,U656&gt;=0),OR('前提と出典'!$C$37+'前提と出典'!$C$38=0,V656&gt;=0)),0,A656)</ns0:f>
        <ns0:v>0</ns0:v>
      </ns0:c>
      <ns0:c r="AG656" s="7">
        <ns0:f>IF(Z656&gt;=0,A656,1001)</ns0:f>
        <ns0:v>652</ns0:v>
      </ns0:c>
      <ns0:c r="AH656" s="4">
        <ns0:f>IF(Z656&lt;0,A656,0)</ns0:f>
        <ns0:v>0</ns0:v>
      </ns0:c>
      <ns0:c r="AI656" s="12">
        <ns0:f>IF(AND(OR('前提と出典'!$C$36+'前提と出典'!$C$38=0,X656&gt;=0),OR('前提と出典'!$C$37+'前提と出典'!$C$38=0,Y656&gt;=0)),0,A656)</ns0:f>
        <ns0:v>0</ns0:v>
      </ns0:c>
    </ns0:row>
    <ns0:row r="657" ht="24" customHeight="1">
      <ns0:c r="A657" s="4" t="n">
        <ns0:v>653</ns0:v>
      </ns0:c>
      <ns0:c r="B657" s="12">
        <ns0:f>A657*('前提と出典'!$C$36+'前提と出典'!$C$38)</ns0:f>
        <ns0:v>457.09999999999997</ns0:v>
      </ns0:c>
      <ns0:c r="C657" s="12">
        <ns0:f>A657*('前提と出典'!$C$37+'前提と出典'!$C$38)</ns0:f>
        <ns0:v>391.8</ns0:v>
      </ns0:c>
      <ns0:c r="D657" s="16">
        <ns0:f>A657*('前提と出典'!$C$36*'契約別単価'!C5+'前提と出典'!$C$37*'契約別単価'!C6+'前提と出典'!$C$38*'契約別単価'!C7)</ns0:f>
        <ns0:v>4698.6815642458105</ns0:v>
      </ns0:c>
      <ns0:c r="E657" s="16">
        <ns0:f>A657*('前提と出典'!$C$36*'契約別単価'!E5+'前提と出典'!$C$37*'契約別単価'!E6+'前提と出典'!$C$38*'契約別単価'!E7)</ns0:f>
        <ns0:v>1263518.860846235</ns0:v>
      </ns0:c>
      <ns0:c r="F657" s="16">
        <ns0:f>A657*('前提と出典'!$C$36*'契約別単価'!F5+'前提と出典'!$C$37*'契約別単価'!F6+'前提と出典'!$C$38*'契約別単価'!F7)</ns0:f>
        <ns0:v>495885.24824671564</ns0:v>
      </ns0:c>
      <ns0:c r="G657" s="16">
        <ns0:f>A657*('前提と出典'!$C$36*'契約別単価'!G5+'前提と出典'!$C$37*'契約別単価'!G6+'前提と出典'!$C$38*'契約別単価'!G7)</ns0:f>
        <ns0:v>1299798.3240223464</ns0:v>
      </ns0:c>
      <ns0:c r="H657" s="16">
        <ns0:f>A657*('前提と出典'!$C$36*'契約別単価'!H5+'前提と出典'!$C$37*'契約別単価'!H6+'前提と出典'!$C$38*'契約別単価'!H7)</ns0:f>
        <ns0:v>451095.2084444568</ns0:v>
      </ns0:c>
      <ns0:c r="I657" s="16">
        <ns0:f>A657*('前提と出典'!$C$36*'契約別単価'!I5+'前提と出典'!$C$37*'契約別単価'!I6+'前提と出典'!$C$38*'契約別単価'!I7)</ns0:f>
        <ns0:v>27553.681564245806</ns0:v>
      </ns0:c>
      <ns0:c r="J657" s="16">
        <ns0:f>A657*('前提と出典'!$C$36*'契約別単価'!J5+'前提と出典'!$C$37*'契約別単価'!J6+'前提と出典'!$C$38*'契約別単価'!J7)</ns0:f>
        <ns0:v>64183.072042827574</ns0:v>
      </ns0:c>
      <ns0:c r="K657" s="16">
        <ns0:f>A657*('前提と出典'!$C$36*'契約別単価'!K5+'前提と出典'!$C$37*'契約別単価'!K6+'前提と出典'!$C$38*'契約別単価'!K7)</ns0:f>
        <ns0:v>275111.2104283054</ns0:v>
      </ns0:c>
      <ns0:c r="L657" s="16">
        <ns0:f>A657*('前提と出典'!$C$36*'契約別単価'!L5+'前提と出典'!$C$37*'契約別単価'!L6+'前提と出典'!$C$38*'契約別単価'!L7)</ns0:f>
        <ns0:v>223996.50694814854</ns0:v>
      </ns0:c>
      <ns0:c r="M657" s="16">
        <ns0:f>IF(('前提と出典'!$C$36+'前提と出典'!$C$38)=0,0,IF(B657&lt;=10,'前提と出典'!B73+'前提と出典'!C73,IF(B657&lt;=100,'前提と出典'!B74+'前提と出典'!C74,IF(B657&lt;=500,'前提と出典'!B75+'前提と出典'!C75,'前提と出典'!B76+'前提と出典'!C76))))</ns0:f>
        <ns0:v>40000</ns0:v>
      </ns0:c>
      <ns0:c r="N657" s="16">
        <ns0:f>IF(('前提と出典'!$C$37+'前提と出典'!$C$38)=0,0,IF(C657&lt;=10,'前提と出典'!D73+'前提と出典'!E73,IF(C657&lt;=100,'前提と出典'!D74+'前提と出典'!E74,IF(C657&lt;=500,'前提と出典'!D75+'前提と出典'!E75,'前提と出典'!D76+'前提と出典'!E76))))</ns0:f>
        <ns0:v>56510.9346263078</ns0:v>
      </ns0:c>
      <ns0:c r="O657" s="16">
        <ns0:f>IF('前提と出典'!$C$36+'前提と出典'!$C$38=0,0,'前提と出典'!$B$4*IF('前提と出典'!$B$20=0,MAX('前提と出典'!$B$6,D657*'前提と出典'!$B$5),'前提と出典'!$B$6+D657*'前提と出典'!$B$5))</ns0:f>
        <ns0:v>648418.0558659219</ns0:v>
      </ns0:c>
      <ns0:c r="P657" s="16">
        <ns0:f>(E657+G657)*(1-'前提と出典'!$B$7)-I657-K657-M657-O657</ns0:f>
        <ns0:v>1479954.8183548395</ns0:v>
      </ns0:c>
      <ns0:c r="Q657" s="16">
        <ns0:f>(F657+H657)*(1-'前提と出典'!$B$7)-J657-L657-N657</ns0:f>
        <ns0:v>568198.6466330062</ns0:v>
      </ns0:c>
      <ns0:c r="R657" s="16">
        <ns0:f>P657-E657*'前提と出典'!$E$4</ns0:f>
        <ns0:v>1100899.160100969</ns0:v>
      </ns0:c>
      <ns0:c r="S657" s="16">
        <ns0:f>Q657-F657*'前提と出典'!$E$4</ns0:f>
        <ns0:v>419433.07215899153</ns0:v>
      </ns0:c>
      <ns0:c r="T657" s="7">
        <ns0:f>R657+S657</ns0:f>
        <ns0:v>1520332.2322599606</ns0:v>
      </ns0:c>
      <ns0:c r="U657" s="16">
        <ns0:f>P657-E657*'前提と出典'!$E$5</ns0:f>
        <ns0:v>974547.2740163455</ns0:v>
      </ns0:c>
      <ns0:c r="V657" s="16">
        <ns0:f>Q657-F657*'前提と出典'!$E$5</ns0:f>
        <ns0:v>369844.54733431997</ns0:v>
      </ns0:c>
      <ns0:c r="W657" s="7">
        <ns0:f>U657+V657</ns0:f>
        <ns0:v>1344391.8213506655</ns0:v>
      </ns0:c>
      <ns0:c r="X657" s="16">
        <ns0:f>P657-E657*'前提と出典'!$E$6</ns0:f>
        <ns0:v>848195.3879317221</ns0:v>
      </ns0:c>
      <ns0:c r="Y657" s="16">
        <ns0:f>Q657-F657*'前提と出典'!$E$6</ns0:f>
        <ns0:v>320256.0225096484</ns0:v>
      </ns0:c>
      <ns0:c r="Z657" s="7">
        <ns0:f>X657+Y657</ns0:f>
        <ns0:v>1168451.4104413704</ns0:v>
      </ns0:c>
      <ns0:c r="AA657" s="7">
        <ns0:f>IF(T657&gt;=0,A657,1001)</ns0:f>
        <ns0:v>653</ns0:v>
      </ns0:c>
      <ns0:c r="AB657" s="7">
        <ns0:f>IF(T657&lt;0,A657,0)</ns0:f>
        <ns0:v>0</ns0:v>
      </ns0:c>
      <ns0:c r="AC657" s="16">
        <ns0:f>IF(AND(OR('前提と出典'!$C$36+'前提と出典'!$C$38=0,R657&gt;=0),OR('前提と出典'!$C$37+'前提と出典'!$C$38=0,S657&gt;=0)),0,A657)</ns0:f>
        <ns0:v>0</ns0:v>
      </ns0:c>
      <ns0:c r="AD657" s="7">
        <ns0:f>IF(W657&gt;=0,A657,1001)</ns0:f>
        <ns0:v>653</ns0:v>
      </ns0:c>
      <ns0:c r="AE657" s="7">
        <ns0:f>IF(W657&lt;0,A657,0)</ns0:f>
        <ns0:v>0</ns0:v>
      </ns0:c>
      <ns0:c r="AF657" s="16">
        <ns0:f>IF(AND(OR('前提と出典'!$C$36+'前提と出典'!$C$38=0,U657&gt;=0),OR('前提と出典'!$C$37+'前提と出典'!$C$38=0,V657&gt;=0)),0,A657)</ns0:f>
        <ns0:v>0</ns0:v>
      </ns0:c>
      <ns0:c r="AG657" s="7">
        <ns0:f>IF(Z657&gt;=0,A657,1001)</ns0:f>
        <ns0:v>653</ns0:v>
      </ns0:c>
      <ns0:c r="AH657" s="4">
        <ns0:f>IF(Z657&lt;0,A657,0)</ns0:f>
        <ns0:v>0</ns0:v>
      </ns0:c>
      <ns0:c r="AI657" s="12">
        <ns0:f>IF(AND(OR('前提と出典'!$C$36+'前提と出典'!$C$38=0,X657&gt;=0),OR('前提と出典'!$C$37+'前提と出典'!$C$38=0,Y657&gt;=0)),0,A657)</ns0:f>
        <ns0:v>0</ns0:v>
      </ns0:c>
    </ns0:row>
    <ns0:row r="658" ht="24" customHeight="1">
      <ns0:c r="A658" s="4" t="n">
        <ns0:v>654</ns0:v>
      </ns0:c>
      <ns0:c r="B658" s="12">
        <ns0:f>A658*('前提と出典'!$C$36+'前提と出典'!$C$38)</ns0:f>
        <ns0:v>457.79999999999995</ns0:v>
      </ns0:c>
      <ns0:c r="C658" s="12">
        <ns0:f>A658*('前提と出典'!$C$37+'前提と出典'!$C$38)</ns0:f>
        <ns0:v>392.4</ns0:v>
      </ns0:c>
      <ns0:c r="D658" s="16">
        <ns0:f>A658*('前提と出典'!$C$36*'契約別単価'!C5+'前提と出典'!$C$37*'契約別単価'!C6+'前提と出典'!$C$38*'契約別単価'!C7)</ns0:f>
        <ns0:v>4705.877094972067</ns0:v>
      </ns0:c>
      <ns0:c r="E658" s="16">
        <ns0:f>A658*('前提と出典'!$C$36*'契約別単価'!E5+'前提と出典'!$C$37*'契約別単価'!E6+'前提と出典'!$C$38*'契約別単価'!E7)</ns0:f>
        <ns0:v>1265453.8055029674</ns0:v>
      </ns0:c>
      <ns0:c r="F658" s="16">
        <ns0:f>A658*('前提と出典'!$C$36*'契約別単価'!F5+'前提と出典'!$C$37*'契約別単価'!F6+'前提と出典'!$C$38*'契約別単価'!F7)</ns0:f>
        <ns0:v>496644.6437264196</ns0:v>
      </ns0:c>
      <ns0:c r="G658" s="16">
        <ns0:f>A658*('前提と出典'!$C$36*'契約別単価'!G5+'前提と出典'!$C$37*'契約別単価'!G6+'前提と出典'!$C$38*'契約別単価'!G7)</ns0:f>
        <ns0:v>1301788.8268156424</ns0:v>
      </ns0:c>
      <ns0:c r="H658" s="16">
        <ns0:f>A658*('前提と出典'!$C$36*'契約別単価'!H5+'前提と出典'!$C$37*'契約別単価'!H6+'前提と出典'!$C$38*'契約別単価'!H7)</ns0:f>
        <ns0:v>451786.0127452906</ns0:v>
      </ns0:c>
      <ns0:c r="I658" s="16">
        <ns0:f>A658*('前提と出典'!$C$36*'契約別単価'!I5+'前提と出典'!$C$37*'契約別単価'!I6+'前提と出典'!$C$38*'契約別単価'!I7)</ns0:f>
        <ns0:v>27595.877094972064</ns0:v>
      </ns0:c>
      <ns0:c r="J658" s="16">
        <ns0:f>A658*('前提と出典'!$C$36*'契約別単価'!J5+'前提と出典'!$C$37*'契約別単価'!J6+'前提と出典'!$C$38*'契約別単価'!J7)</ns0:f>
        <ns0:v>64281.36158653788</ns0:v>
      </ns0:c>
      <ns0:c r="K658" s="16">
        <ns0:f>A658*('前提と出典'!$C$36*'契約別単価'!K5+'前提と出典'!$C$37*'契約別単価'!K6+'前提と出典'!$C$38*'契約別単価'!K7)</ns0:f>
        <ns0:v>275532.51396648044</ns0:v>
      </ns0:c>
      <ns0:c r="L658" s="16">
        <ns0:f>A658*('前提と出典'!$C$36*'契約別単価'!L5+'前提と出典'!$C$37*'契約別単価'!L6+'前提と出典'!$C$38*'契約別単価'!L7)</ns0:f>
        <ns0:v>224339.53375817635</ns0:v>
      </ns0:c>
      <ns0:c r="M658" s="16">
        <ns0:f>IF(('前提と出典'!$C$36+'前提と出典'!$C$38)=0,0,IF(B658&lt;=10,'前提と出典'!B73+'前提と出典'!C73,IF(B658&lt;=100,'前提と出典'!B74+'前提と出典'!C74,IF(B658&lt;=500,'前提と出典'!B75+'前提と出典'!C75,'前提と出典'!B76+'前提と出典'!C76))))</ns0:f>
        <ns0:v>40000</ns0:v>
      </ns0:c>
      <ns0:c r="N658" s="16">
        <ns0:f>IF(('前提と出典'!$C$37+'前提と出典'!$C$38)=0,0,IF(C658&lt;=10,'前提と出典'!D73+'前提と出典'!E73,IF(C658&lt;=100,'前提と出典'!D74+'前提と出典'!E74,IF(C658&lt;=500,'前提と出典'!D75+'前提と出典'!E75,'前提と出典'!D76+'前提と出典'!E76))))</ns0:f>
        <ns0:v>56510.9346263078</ns0:v>
      </ns0:c>
      <ns0:c r="O658" s="16">
        <ns0:f>IF('前提と出典'!$C$36+'前提と出典'!$C$38=0,0,'前提と出典'!$B$4*IF('前提と出典'!$B$20=0,MAX('前提と出典'!$B$6,D658*'前提と出典'!$B$5),'前提と出典'!$B$6+D658*'前提と出典'!$B$5))</ns0:f>
        <ns0:v>649411.0391061454</ns0:v>
      </ns0:c>
      <ns0:c r="P658" s="16">
        <ns0:f>(E658+G658)*(1-'前提と出典'!$B$7)-I658-K658-M658-O658</ns0:f>
        <ns0:v>1482282.4673875421</ns0:v>
      </ns0:c>
      <ns0:c r="Q658" s="16">
        <ns0:f>(F658+H658)*(1-'前提と出典'!$B$7)-J658-L658-N658</ns0:f>
        <ns0:v>569155.3228677065</ns0:v>
      </ns0:c>
      <ns0:c r="R658" s="16">
        <ns0:f>P658-E658*'前提と出典'!$E$4</ns0:f>
        <ns0:v>1102646.3257366517</ns0:v>
      </ns0:c>
      <ns0:c r="S658" s="16">
        <ns0:f>Q658-F658*'前提と出典'!$E$4</ns0:f>
        <ns0:v>420161.9297497807</ns0:v>
      </ns0:c>
      <ns0:c r="T658" s="7">
        <ns0:f>R658+S658</ns0:f>
        <ns0:v>1522808.2554864325</ns0:v>
      </ns0:c>
      <ns0:c r="U658" s="16">
        <ns0:f>P658-E658*'前提と出典'!$E$5</ns0:f>
        <ns0:v>976100.945186355</ns0:v>
      </ns0:c>
      <ns0:c r="V658" s="16">
        <ns0:f>Q658-F658*'前提と出典'!$E$5</ns0:f>
        <ns0:v>370497.4653771387</ns0:v>
      </ns0:c>
      <ns0:c r="W658" s="7">
        <ns0:f>U658+V658</ns0:f>
        <ns0:v>1346598.4105634936</ns0:v>
      </ns0:c>
      <ns0:c r="X658" s="16">
        <ns0:f>P658-E658*'前提と出典'!$E$6</ns0:f>
        <ns0:v>849555.564636058</ns0:v>
      </ns0:c>
      <ns0:c r="Y658" s="16">
        <ns0:f>Q658-F658*'前提と出典'!$E$6</ns0:f>
        <ns0:v>320833.0010044967</ns0:v>
      </ns0:c>
      <ns0:c r="Z658" s="7">
        <ns0:f>X658+Y658</ns0:f>
        <ns0:v>1170388.5656405548</ns0:v>
      </ns0:c>
      <ns0:c r="AA658" s="7">
        <ns0:f>IF(T658&gt;=0,A658,1001)</ns0:f>
        <ns0:v>654</ns0:v>
      </ns0:c>
      <ns0:c r="AB658" s="7">
        <ns0:f>IF(T658&lt;0,A658,0)</ns0:f>
        <ns0:v>0</ns0:v>
      </ns0:c>
      <ns0:c r="AC658" s="16">
        <ns0:f>IF(AND(OR('前提と出典'!$C$36+'前提と出典'!$C$38=0,R658&gt;=0),OR('前提と出典'!$C$37+'前提と出典'!$C$38=0,S658&gt;=0)),0,A658)</ns0:f>
        <ns0:v>0</ns0:v>
      </ns0:c>
      <ns0:c r="AD658" s="7">
        <ns0:f>IF(W658&gt;=0,A658,1001)</ns0:f>
        <ns0:v>654</ns0:v>
      </ns0:c>
      <ns0:c r="AE658" s="7">
        <ns0:f>IF(W658&lt;0,A658,0)</ns0:f>
        <ns0:v>0</ns0:v>
      </ns0:c>
      <ns0:c r="AF658" s="16">
        <ns0:f>IF(AND(OR('前提と出典'!$C$36+'前提と出典'!$C$38=0,U658&gt;=0),OR('前提と出典'!$C$37+'前提と出典'!$C$38=0,V658&gt;=0)),0,A658)</ns0:f>
        <ns0:v>0</ns0:v>
      </ns0:c>
      <ns0:c r="AG658" s="7">
        <ns0:f>IF(Z658&gt;=0,A658,1001)</ns0:f>
        <ns0:v>654</ns0:v>
      </ns0:c>
      <ns0:c r="AH658" s="4">
        <ns0:f>IF(Z658&lt;0,A658,0)</ns0:f>
        <ns0:v>0</ns0:v>
      </ns0:c>
      <ns0:c r="AI658" s="12">
        <ns0:f>IF(AND(OR('前提と出典'!$C$36+'前提と出典'!$C$38=0,X658&gt;=0),OR('前提と出典'!$C$37+'前提と出典'!$C$38=0,Y658&gt;=0)),0,A658)</ns0:f>
        <ns0:v>0</ns0:v>
      </ns0:c>
    </ns0:row>
    <ns0:row r="659" ht="24" customHeight="1">
      <ns0:c r="A659" s="4" t="n">
        <ns0:v>655</ns0:v>
      </ns0:c>
      <ns0:c r="B659" s="12">
        <ns0:f>A659*('前提と出典'!$C$36+'前提と出典'!$C$38)</ns0:f>
        <ns0:v>458.49999999999994</ns0:v>
      </ns0:c>
      <ns0:c r="C659" s="12">
        <ns0:f>A659*('前提と出典'!$C$37+'前提と出典'!$C$38)</ns0:f>
        <ns0:v>393</ns0:v>
      </ns0:c>
      <ns0:c r="D659" s="16">
        <ns0:f>A659*('前提と出典'!$C$36*'契約別単価'!C5+'前提と出典'!$C$37*'契約別単価'!C6+'前提と出典'!$C$38*'契約別単価'!C7)</ns0:f>
        <ns0:v>4713.072625698324</ns0:v>
      </ns0:c>
      <ns0:c r="E659" s="16">
        <ns0:f>A659*('前提と出典'!$C$36*'契約別単価'!E5+'前提と出典'!$C$37*'契約別単価'!E6+'前提と出典'!$C$38*'契約別単価'!E7)</ns0:f>
        <ns0:v>1267388.7501596997</ns0:v>
      </ns0:c>
      <ns0:c r="F659" s="16">
        <ns0:f>A659*('前提と出典'!$C$36*'契約別単価'!F5+'前提と出典'!$C$37*'契約別単価'!F6+'前提と出典'!$C$38*'契約別単価'!F7)</ns0:f>
        <ns0:v>497404.0392061236</ns0:v>
      </ns0:c>
      <ns0:c r="G659" s="16">
        <ns0:f>A659*('前提と出典'!$C$36*'契約別単価'!G5+'前提と出典'!$C$37*'契約別単価'!G6+'前提と出典'!$C$38*'契約別単価'!G7)</ns0:f>
        <ns0:v>1303779.3296089384</ns0:v>
      </ns0:c>
      <ns0:c r="H659" s="16">
        <ns0:f>A659*('前提と出典'!$C$36*'契約別単価'!H5+'前提と出典'!$C$37*'契約別単価'!H6+'前提と出典'!$C$38*'契約別単価'!H7)</ns0:f>
        <ns0:v>452476.8170461244</ns0:v>
      </ns0:c>
      <ns0:c r="I659" s="16">
        <ns0:f>A659*('前提と出典'!$C$36*'契約別単価'!I5+'前提と出典'!$C$37*'契約別単価'!I6+'前提と出典'!$C$38*'契約別単価'!I7)</ns0:f>
        <ns0:v>27638.072625698318</ns0:v>
      </ns0:c>
      <ns0:c r="J659" s="16">
        <ns0:f>A659*('前提と出典'!$C$36*'契約別単価'!J5+'前提と出典'!$C$37*'契約別単価'!J6+'前提と出典'!$C$38*'契約別単価'!J7)</ns0:f>
        <ns0:v>64379.65113024818</ns0:v>
      </ns0:c>
      <ns0:c r="K659" s="16">
        <ns0:f>A659*('前提と出典'!$C$36*'契約別単価'!K5+'前提と出典'!$C$37*'契約別単価'!K6+'前提と出典'!$C$38*'契約別単価'!K7)</ns0:f>
        <ns0:v>275953.81750465545</ns0:v>
      </ns0:c>
      <ns0:c r="L659" s="16">
        <ns0:f>A659*('前提と出典'!$C$36*'契約別単価'!L5+'前提と出典'!$C$37*'契約別単価'!L6+'前提と出典'!$C$38*'契約別単価'!L7)</ns0:f>
        <ns0:v>224682.56056820415</ns0:v>
      </ns0:c>
      <ns0:c r="M659" s="16">
        <ns0:f>IF(('前提と出典'!$C$36+'前提と出典'!$C$38)=0,0,IF(B659&lt;=10,'前提と出典'!B73+'前提と出典'!C73,IF(B659&lt;=100,'前提と出典'!B74+'前提と出典'!C74,IF(B659&lt;=500,'前提と出典'!B75+'前提と出典'!C75,'前提と出典'!B76+'前提と出典'!C76))))</ns0:f>
        <ns0:v>40000</ns0:v>
      </ns0:c>
      <ns0:c r="N659" s="16">
        <ns0:f>IF(('前提と出典'!$C$37+'前提と出典'!$C$38)=0,0,IF(C659&lt;=10,'前提と出典'!D73+'前提と出典'!E73,IF(C659&lt;=100,'前提と出典'!D74+'前提と出典'!E74,IF(C659&lt;=500,'前提と出典'!D75+'前提と出典'!E75,'前提と出典'!D76+'前提と出典'!E76))))</ns0:f>
        <ns0:v>56510.9346263078</ns0:v>
      </ns0:c>
      <ns0:c r="O659" s="16">
        <ns0:f>IF('前提と出典'!$C$36+'前提と出典'!$C$38=0,0,'前提と出典'!$B$4*IF('前提と出典'!$B$20=0,MAX('前提と出典'!$B$6,D659*'前提と出典'!$B$5),'前提と出典'!$B$6+D659*'前提と出典'!$B$5))</ns0:f>
        <ns0:v>650404.0223463689</ns0:v>
      </ns0:c>
      <ns0:c r="P659" s="16">
        <ns0:f>(E659+G659)*(1-'前提と出典'!$B$7)-I659-K659-M659-O659</ns0:f>
        <ns0:v>1484610.1164202443</ns0:v>
      </ns0:c>
      <ns0:c r="Q659" s="16">
        <ns0:f>(F659+H659)*(1-'前提と出典'!$B$7)-J659-L659-N659</ns0:f>
        <ns0:v>570111.9991024068</ns0:v>
      </ns0:c>
      <ns0:c r="R659" s="16">
        <ns0:f>P659-E659*'前提と出典'!$E$4</ns0:f>
        <ns0:v>1104393.4913723343</ns0:v>
      </ns0:c>
      <ns0:c r="S659" s="16">
        <ns0:f>Q659-F659*'前提と出典'!$E$4</ns0:f>
        <ns0:v>420890.78734056966</ns0:v>
      </ns0:c>
      <ns0:c r="T659" s="7">
        <ns0:f>R659+S659</ns0:f>
        <ns0:v>1525284.278712904</ns0:v>
      </ns0:c>
      <ns0:c r="U659" s="16">
        <ns0:f>P659-E659*'前提と出典'!$E$5</ns0:f>
        <ns0:v>977654.6163563646</ns0:v>
      </ns0:c>
      <ns0:c r="V659" s="16">
        <ns0:f>Q659-F659*'前提と出典'!$E$5</ns0:f>
        <ns0:v>371150.38341995736</ns0:v>
      </ns0:c>
      <ns0:c r="W659" s="7">
        <ns0:f>U659+V659</ns0:f>
        <ns0:v>1348804.999776322</ns0:v>
      </ns0:c>
      <ns0:c r="X659" s="16">
        <ns0:f>P659-E659*'前提と出典'!$E$6</ns0:f>
        <ns0:v>850915.7413403947</ns0:v>
      </ns0:c>
      <ns0:c r="Y659" s="16">
        <ns0:f>Q659-F659*'前提と出典'!$E$6</ns0:f>
        <ns0:v>321409.97949934506</ns0:v>
      </ns0:c>
      <ns0:c r="Z659" s="7">
        <ns0:f>X659+Y659</ns0:f>
        <ns0:v>1172325.7208397398</ns0:v>
      </ns0:c>
      <ns0:c r="AA659" s="7">
        <ns0:f>IF(T659&gt;=0,A659,1001)</ns0:f>
        <ns0:v>655</ns0:v>
      </ns0:c>
      <ns0:c r="AB659" s="7">
        <ns0:f>IF(T659&lt;0,A659,0)</ns0:f>
        <ns0:v>0</ns0:v>
      </ns0:c>
      <ns0:c r="AC659" s="16">
        <ns0:f>IF(AND(OR('前提と出典'!$C$36+'前提と出典'!$C$38=0,R659&gt;=0),OR('前提と出典'!$C$37+'前提と出典'!$C$38=0,S659&gt;=0)),0,A659)</ns0:f>
        <ns0:v>0</ns0:v>
      </ns0:c>
      <ns0:c r="AD659" s="7">
        <ns0:f>IF(W659&gt;=0,A659,1001)</ns0:f>
        <ns0:v>655</ns0:v>
      </ns0:c>
      <ns0:c r="AE659" s="7">
        <ns0:f>IF(W659&lt;0,A659,0)</ns0:f>
        <ns0:v>0</ns0:v>
      </ns0:c>
      <ns0:c r="AF659" s="16">
        <ns0:f>IF(AND(OR('前提と出典'!$C$36+'前提と出典'!$C$38=0,U659&gt;=0),OR('前提と出典'!$C$37+'前提と出典'!$C$38=0,V659&gt;=0)),0,A659)</ns0:f>
        <ns0:v>0</ns0:v>
      </ns0:c>
      <ns0:c r="AG659" s="7">
        <ns0:f>IF(Z659&gt;=0,A659,1001)</ns0:f>
        <ns0:v>655</ns0:v>
      </ns0:c>
      <ns0:c r="AH659" s="4">
        <ns0:f>IF(Z659&lt;0,A659,0)</ns0:f>
        <ns0:v>0</ns0:v>
      </ns0:c>
      <ns0:c r="AI659" s="12">
        <ns0:f>IF(AND(OR('前提と出典'!$C$36+'前提と出典'!$C$38=0,X659&gt;=0),OR('前提と出典'!$C$37+'前提と出典'!$C$38=0,Y659&gt;=0)),0,A659)</ns0:f>
        <ns0:v>0</ns0:v>
      </ns0:c>
    </ns0:row>
    <ns0:row r="660" ht="24" customHeight="1">
      <ns0:c r="A660" s="4" t="n">
        <ns0:v>656</ns0:v>
      </ns0:c>
      <ns0:c r="B660" s="12">
        <ns0:f>A660*('前提と出典'!$C$36+'前提と出典'!$C$38)</ns0:f>
        <ns0:v>459.2</ns0:v>
      </ns0:c>
      <ns0:c r="C660" s="12">
        <ns0:f>A660*('前提と出典'!$C$37+'前提と出典'!$C$38)</ns0:f>
        <ns0:v>393.59999999999997</ns0:v>
      </ns0:c>
      <ns0:c r="D660" s="16">
        <ns0:f>A660*('前提と出典'!$C$36*'契約別単価'!C5+'前提と出典'!$C$37*'契約別単価'!C6+'前提と出典'!$C$38*'契約別単価'!C7)</ns0:f>
        <ns0:v>4720.268156424581</ns0:v>
      </ns0:c>
      <ns0:c r="E660" s="16">
        <ns0:f>A660*('前提と出典'!$C$36*'契約別単価'!E5+'前提と出典'!$C$37*'契約別単価'!E6+'前提と出典'!$C$38*'契約別単価'!E7)</ns0:f>
        <ns0:v>1269323.694816432</ns0:v>
      </ns0:c>
      <ns0:c r="F660" s="16">
        <ns0:f>A660*('前提と出典'!$C$36*'契約別単価'!F5+'前提と出典'!$C$37*'契約別単価'!F6+'前提と出典'!$C$38*'契約別単価'!F7)</ns0:f>
        <ns0:v>498163.43468582764</ns0:v>
      </ns0:c>
      <ns0:c r="G660" s="16">
        <ns0:f>A660*('前提と出典'!$C$36*'契約別単価'!G5+'前提と出典'!$C$37*'契約別単価'!G6+'前提と出典'!$C$38*'契約別単価'!G7)</ns0:f>
        <ns0:v>1305769.8324022347</ns0:v>
      </ns0:c>
      <ns0:c r="H660" s="16">
        <ns0:f>A660*('前提と出典'!$C$36*'契約別単価'!H5+'前提と出典'!$C$37*'契約別単価'!H6+'前提と出典'!$C$38*'契約別単価'!H7)</ns0:f>
        <ns0:v>453167.62134695816</ns0:v>
      </ns0:c>
      <ns0:c r="I660" s="16">
        <ns0:f>A660*('前提と出典'!$C$36*'契約別単価'!I5+'前提と出典'!$C$37*'契約別単価'!I6+'前提と出典'!$C$38*'契約別単価'!I7)</ns0:f>
        <ns0:v>27680.268156424576</ns0:v>
      </ns0:c>
      <ns0:c r="J660" s="16">
        <ns0:f>A660*('前提と出典'!$C$36*'契約別単価'!J5+'前提と出典'!$C$37*'契約別単価'!J6+'前提と出典'!$C$38*'契約別単価'!J7)</ns0:f>
        <ns0:v>64477.94067395848</ns0:v>
      </ns0:c>
      <ns0:c r="K660" s="16">
        <ns0:f>A660*('前提と出典'!$C$36*'契約別単価'!K5+'前提と出典'!$C$37*'契約別単価'!K6+'前提と出典'!$C$38*'契約別単価'!K7)</ns0:f>
        <ns0:v>276375.1210428305</ns0:v>
      </ns0:c>
      <ns0:c r="L660" s="16">
        <ns0:f>A660*('前提と出典'!$C$36*'契約別単価'!L5+'前提と出典'!$C$37*'契約別単価'!L6+'前提と出典'!$C$38*'契約別単価'!L7)</ns0:f>
        <ns0:v>225025.58737823192</ns0:v>
      </ns0:c>
      <ns0:c r="M660" s="16">
        <ns0:f>IF(('前提と出典'!$C$36+'前提と出典'!$C$38)=0,0,IF(B660&lt;=10,'前提と出典'!B73+'前提と出典'!C73,IF(B660&lt;=100,'前提と出典'!B74+'前提と出典'!C74,IF(B660&lt;=500,'前提と出典'!B75+'前提と出典'!C75,'前提と出典'!B76+'前提と出典'!C76))))</ns0:f>
        <ns0:v>40000</ns0:v>
      </ns0:c>
      <ns0:c r="N660" s="16">
        <ns0:f>IF(('前提と出典'!$C$37+'前提と出典'!$C$38)=0,0,IF(C660&lt;=10,'前提と出典'!D73+'前提と出典'!E73,IF(C660&lt;=100,'前提と出典'!D74+'前提と出典'!E74,IF(C660&lt;=500,'前提と出典'!D75+'前提と出典'!E75,'前提と出典'!D76+'前提と出典'!E76))))</ns0:f>
        <ns0:v>56510.9346263078</ns0:v>
      </ns0:c>
      <ns0:c r="O660" s="16">
        <ns0:f>IF('前提と出典'!$C$36+'前提と出典'!$C$38=0,0,'前提と出典'!$B$4*IF('前提と出典'!$B$20=0,MAX('前提と出典'!$B$6,D660*'前提と出典'!$B$5),'前提と出典'!$B$6+D660*'前提と出典'!$B$5))</ns0:f>
        <ns0:v>651397.0055865922</ns0:v>
      </ns0:c>
      <ns0:c r="P660" s="16">
        <ns0:f>(E660+G660)*(1-'前提と出典'!$B$7)-I660-K660-M660-O660</ns0:f>
        <ns0:v>1486937.7654529477</ns0:v>
      </ns0:c>
      <ns0:c r="Q660" s="16">
        <ns0:f>(F660+H660)*(1-'前提と出典'!$B$7)-J660-L660-N660</ns0:f>
        <ns0:v>571068.6753371074</ns0:v>
      </ns0:c>
      <ns0:c r="R660" s="16">
        <ns0:f>P660-E660*'前提と出典'!$E$4</ns0:f>
        <ns0:v>1106140.657008018</ns0:v>
      </ns0:c>
      <ns0:c r="S660" s="16">
        <ns0:f>Q660-F660*'前提と出典'!$E$4</ns0:f>
        <ns0:v>421619.644931359</ns0:v>
      </ns0:c>
      <ns0:c r="T660" s="7">
        <ns0:f>R660+S660</ns0:f>
        <ns0:v>1527760.301939377</ns0:v>
      </ns0:c>
      <ns0:c r="U660" s="16">
        <ns0:f>P660-E660*'前提と出典'!$E$5</ns0:f>
        <ns0:v>979208.2875263749</ns0:v>
      </ns0:c>
      <ns0:c r="V660" s="16">
        <ns0:f>Q660-F660*'前提と出典'!$E$5</ns0:f>
        <ns0:v>371803.30146277626</ns0:v>
      </ns0:c>
      <ns0:c r="W660" s="7">
        <ns0:f>U660+V660</ns0:f>
        <ns0:v>1351011.5889891512</ns0:v>
      </ns0:c>
      <ns0:c r="X660" s="16">
        <ns0:f>P660-E660*'前提と出典'!$E$6</ns0:f>
        <ns0:v>852275.9180447317</ns0:v>
      </ns0:c>
      <ns0:c r="Y660" s="16">
        <ns0:f>Q660-F660*'前提と出典'!$E$6</ns0:f>
        <ns0:v>321986.9579941934</ns0:v>
      </ns0:c>
      <ns0:c r="Z660" s="7">
        <ns0:f>X660+Y660</ns0:f>
        <ns0:v>1174262.8760389253</ns0:v>
      </ns0:c>
      <ns0:c r="AA660" s="7">
        <ns0:f>IF(T660&gt;=0,A660,1001)</ns0:f>
        <ns0:v>656</ns0:v>
      </ns0:c>
      <ns0:c r="AB660" s="7">
        <ns0:f>IF(T660&lt;0,A660,0)</ns0:f>
        <ns0:v>0</ns0:v>
      </ns0:c>
      <ns0:c r="AC660" s="16">
        <ns0:f>IF(AND(OR('前提と出典'!$C$36+'前提と出典'!$C$38=0,R660&gt;=0),OR('前提と出典'!$C$37+'前提と出典'!$C$38=0,S660&gt;=0)),0,A660)</ns0:f>
        <ns0:v>0</ns0:v>
      </ns0:c>
      <ns0:c r="AD660" s="7">
        <ns0:f>IF(W660&gt;=0,A660,1001)</ns0:f>
        <ns0:v>656</ns0:v>
      </ns0:c>
      <ns0:c r="AE660" s="7">
        <ns0:f>IF(W660&lt;0,A660,0)</ns0:f>
        <ns0:v>0</ns0:v>
      </ns0:c>
      <ns0:c r="AF660" s="16">
        <ns0:f>IF(AND(OR('前提と出典'!$C$36+'前提と出典'!$C$38=0,U660&gt;=0),OR('前提と出典'!$C$37+'前提と出典'!$C$38=0,V660&gt;=0)),0,A660)</ns0:f>
        <ns0:v>0</ns0:v>
      </ns0:c>
      <ns0:c r="AG660" s="7">
        <ns0:f>IF(Z660&gt;=0,A660,1001)</ns0:f>
        <ns0:v>656</ns0:v>
      </ns0:c>
      <ns0:c r="AH660" s="4">
        <ns0:f>IF(Z660&lt;0,A660,0)</ns0:f>
        <ns0:v>0</ns0:v>
      </ns0:c>
      <ns0:c r="AI660" s="12">
        <ns0:f>IF(AND(OR('前提と出典'!$C$36+'前提と出典'!$C$38=0,X660&gt;=0),OR('前提と出典'!$C$37+'前提と出典'!$C$38=0,Y660&gt;=0)),0,A660)</ns0:f>
        <ns0:v>0</ns0:v>
      </ns0:c>
    </ns0:row>
    <ns0:row r="661" ht="24" customHeight="1">
      <ns0:c r="A661" s="4" t="n">
        <ns0:v>657</ns0:v>
      </ns0:c>
      <ns0:c r="B661" s="12">
        <ns0:f>A661*('前提と出典'!$C$36+'前提と出典'!$C$38)</ns0:f>
        <ns0:v>459.9</ns0:v>
      </ns0:c>
      <ns0:c r="C661" s="12">
        <ns0:f>A661*('前提と出典'!$C$37+'前提と出典'!$C$38)</ns0:f>
        <ns0:v>394.2</ns0:v>
      </ns0:c>
      <ns0:c r="D661" s="16">
        <ns0:f>A661*('前提と出典'!$C$36*'契約別単価'!C5+'前提と出典'!$C$37*'契約別単価'!C6+'前提と出典'!$C$38*'契約別単価'!C7)</ns0:f>
        <ns0:v>4727.463687150838</ns0:v>
      </ns0:c>
      <ns0:c r="E661" s="16">
        <ns0:f>A661*('前提と出典'!$C$36*'契約別単価'!E5+'前提と出典'!$C$37*'契約別単価'!E6+'前提と出典'!$C$38*'契約別単価'!E7)</ns0:f>
        <ns0:v>1271258.6394731645</ns0:v>
      </ns0:c>
      <ns0:c r="F661" s="16">
        <ns0:f>A661*('前提と出典'!$C$36*'契約別単価'!F5+'前提と出典'!$C$37*'契約別単価'!F6+'前提と出典'!$C$38*'契約別単価'!F7)</ns0:f>
        <ns0:v>498922.83016553166</ns0:v>
      </ns0:c>
      <ns0:c r="G661" s="16">
        <ns0:f>A661*('前提と出典'!$C$36*'契約別単価'!G5+'前提と出典'!$C$37*'契約別単価'!G6+'前提と出典'!$C$38*'契約別単価'!G7)</ns0:f>
        <ns0:v>1307760.3351955307</ns0:v>
      </ns0:c>
      <ns0:c r="H661" s="16">
        <ns0:f>A661*('前提と出典'!$C$36*'契約別単価'!H5+'前提と出典'!$C$37*'契約別単価'!H6+'前提と出典'!$C$38*'契約別単価'!H7)</ns0:f>
        <ns0:v>453858.42564779194</ns0:v>
      </ns0:c>
      <ns0:c r="I661" s="16">
        <ns0:f>A661*('前提と出典'!$C$36*'契約別単価'!I5+'前提と出典'!$C$37*'契約別単価'!I6+'前提と出典'!$C$38*'契約別単価'!I7)</ns0:f>
        <ns0:v>27722.463687150834</ns0:v>
      </ns0:c>
      <ns0:c r="J661" s="16">
        <ns0:f>A661*('前提と出典'!$C$36*'契約別単価'!J5+'前提と出典'!$C$37*'契約別単価'!J6+'前提と出典'!$C$38*'契約別単価'!J7)</ns0:f>
        <ns0:v>64576.23021766879</ns0:v>
      </ns0:c>
      <ns0:c r="K661" s="16">
        <ns0:f>A661*('前提と出典'!$C$36*'契約別単価'!K5+'前提と出典'!$C$37*'契約別単価'!K6+'前提と出典'!$C$38*'契約別単価'!K7)</ns0:f>
        <ns0:v>276796.4245810056</ns0:v>
      </ns0:c>
      <ns0:c r="L661" s="16">
        <ns0:f>A661*('前提と出典'!$C$36*'契約別単価'!L5+'前提と出典'!$C$37*'契約別単価'!L6+'前提と出典'!$C$38*'契約別単価'!L7)</ns0:f>
        <ns0:v>225368.61418825973</ns0:v>
      </ns0:c>
      <ns0:c r="M661" s="16">
        <ns0:f>IF(('前提と出典'!$C$36+'前提と出典'!$C$38)=0,0,IF(B661&lt;=10,'前提と出典'!B73+'前提と出典'!C73,IF(B661&lt;=100,'前提と出典'!B74+'前提と出典'!C74,IF(B661&lt;=500,'前提と出典'!B75+'前提と出典'!C75,'前提と出典'!B76+'前提と出典'!C76))))</ns0:f>
        <ns0:v>40000</ns0:v>
      </ns0:c>
      <ns0:c r="N661" s="16">
        <ns0:f>IF(('前提と出典'!$C$37+'前提と出典'!$C$38)=0,0,IF(C661&lt;=10,'前提と出典'!D73+'前提と出典'!E73,IF(C661&lt;=100,'前提と出典'!D74+'前提と出典'!E74,IF(C661&lt;=500,'前提と出典'!D75+'前提と出典'!E75,'前提と出典'!D76+'前提と出典'!E76))))</ns0:f>
        <ns0:v>56510.9346263078</ns0:v>
      </ns0:c>
      <ns0:c r="O661" s="16">
        <ns0:f>IF('前提と出典'!$C$36+'前提と出典'!$C$38=0,0,'前提と出典'!$B$4*IF('前提と出典'!$B$20=0,MAX('前提と出典'!$B$6,D661*'前提と出典'!$B$5),'前提と出典'!$B$6+D661*'前提と出典'!$B$5))</ns0:f>
        <ns0:v>652389.9888268156</ns0:v>
      </ns0:c>
      <ns0:c r="P661" s="16">
        <ns0:f>(E661+G661)*(1-'前提と出典'!$B$7)-I661-K661-M661-O661</ns0:f>
        <ns0:v>1489265.4144856501</ns0:v>
      </ns0:c>
      <ns0:c r="Q661" s="16">
        <ns0:f>(F661+H661)*(1-'前提と出典'!$B$7)-J661-L661-N661</ns0:f>
        <ns0:v>572025.3515718076</ns0:v>
      </ns0:c>
      <ns0:c r="R661" s="16">
        <ns0:f>P661-E661*'前提と出典'!$E$4</ns0:f>
        <ns0:v>1107887.822643701</ns0:v>
      </ns0:c>
      <ns0:c r="S661" s="16">
        <ns0:f>Q661-F661*'前提と出典'!$E$4</ns0:f>
        <ns0:v>422348.5025221483</ns0:v>
      </ns0:c>
      <ns0:c r="T661" s="7">
        <ns0:f>R661+S661</ns0:f>
        <ns0:v>1530236.3251658492</ns0:v>
      </ns0:c>
      <ns0:c r="U661" s="16">
        <ns0:f>P661-E661*'前提と出典'!$E$5</ns0:f>
        <ns0:v>980761.9586963843</ns0:v>
      </ns0:c>
      <ns0:c r="V661" s="16">
        <ns0:f>Q661-F661*'前提と出典'!$E$5</ns0:f>
        <ns0:v>372456.2195055949</ns0:v>
      </ns0:c>
      <ns0:c r="W661" s="7">
        <ns0:f>U661+V661</ns0:f>
        <ns0:v>1353218.1782019793</ns0:v>
      </ns0:c>
      <ns0:c r="X661" s="16">
        <ns0:f>P661-E661*'前提と出典'!$E$6</ns0:f>
        <ns0:v>853636.0947490678</ns0:v>
      </ns0:c>
      <ns0:c r="Y661" s="16">
        <ns0:f>Q661-F661*'前提と出典'!$E$6</ns0:f>
        <ns0:v>322563.9364890418</ns0:v>
      </ns0:c>
      <ns0:c r="Z661" s="7">
        <ns0:f>X661+Y661</ns0:f>
        <ns0:v>1176200.0312381096</ns0:v>
      </ns0:c>
      <ns0:c r="AA661" s="7">
        <ns0:f>IF(T661&gt;=0,A661,1001)</ns0:f>
        <ns0:v>657</ns0:v>
      </ns0:c>
      <ns0:c r="AB661" s="7">
        <ns0:f>IF(T661&lt;0,A661,0)</ns0:f>
        <ns0:v>0</ns0:v>
      </ns0:c>
      <ns0:c r="AC661" s="16">
        <ns0:f>IF(AND(OR('前提と出典'!$C$36+'前提と出典'!$C$38=0,R661&gt;=0),OR('前提と出典'!$C$37+'前提と出典'!$C$38=0,S661&gt;=0)),0,A661)</ns0:f>
        <ns0:v>0</ns0:v>
      </ns0:c>
      <ns0:c r="AD661" s="7">
        <ns0:f>IF(W661&gt;=0,A661,1001)</ns0:f>
        <ns0:v>657</ns0:v>
      </ns0:c>
      <ns0:c r="AE661" s="7">
        <ns0:f>IF(W661&lt;0,A661,0)</ns0:f>
        <ns0:v>0</ns0:v>
      </ns0:c>
      <ns0:c r="AF661" s="16">
        <ns0:f>IF(AND(OR('前提と出典'!$C$36+'前提と出典'!$C$38=0,U661&gt;=0),OR('前提と出典'!$C$37+'前提と出典'!$C$38=0,V661&gt;=0)),0,A661)</ns0:f>
        <ns0:v>0</ns0:v>
      </ns0:c>
      <ns0:c r="AG661" s="7">
        <ns0:f>IF(Z661&gt;=0,A661,1001)</ns0:f>
        <ns0:v>657</ns0:v>
      </ns0:c>
      <ns0:c r="AH661" s="4">
        <ns0:f>IF(Z661&lt;0,A661,0)</ns0:f>
        <ns0:v>0</ns0:v>
      </ns0:c>
      <ns0:c r="AI661" s="12">
        <ns0:f>IF(AND(OR('前提と出典'!$C$36+'前提と出典'!$C$38=0,X661&gt;=0),OR('前提と出典'!$C$37+'前提と出典'!$C$38=0,Y661&gt;=0)),0,A661)</ns0:f>
        <ns0:v>0</ns0:v>
      </ns0:c>
    </ns0:row>
    <ns0:row r="662" ht="24" customHeight="1">
      <ns0:c r="A662" s="4" t="n">
        <ns0:v>658</ns0:v>
      </ns0:c>
      <ns0:c r="B662" s="12">
        <ns0:f>A662*('前提と出典'!$C$36+'前提と出典'!$C$38)</ns0:f>
        <ns0:v>460.59999999999997</ns0:v>
      </ns0:c>
      <ns0:c r="C662" s="12">
        <ns0:f>A662*('前提と出典'!$C$37+'前提と出典'!$C$38)</ns0:f>
        <ns0:v>394.8</ns0:v>
      </ns0:c>
      <ns0:c r="D662" s="16">
        <ns0:f>A662*('前提と出典'!$C$36*'契約別単価'!C5+'前提と出典'!$C$37*'契約別単価'!C6+'前提と出典'!$C$38*'契約別単価'!C7)</ns0:f>
        <ns0:v>4734.659217877095</ns0:v>
      </ns0:c>
      <ns0:c r="E662" s="16">
        <ns0:f>A662*('前提と出典'!$C$36*'契約別単価'!E5+'前提と出典'!$C$37*'契約別単価'!E6+'前提と出典'!$C$38*'契約別単価'!E7)</ns0:f>
        <ns0:v>1273193.5841298967</ns0:v>
      </ns0:c>
      <ns0:c r="F662" s="16">
        <ns0:f>A662*('前提と出典'!$C$36*'契約別単価'!F5+'前提と出典'!$C$37*'契約別単価'!F6+'前提と出典'!$C$38*'契約別単価'!F7)</ns0:f>
        <ns0:v>499682.2256452356</ns0:v>
      </ns0:c>
      <ns0:c r="G662" s="16">
        <ns0:f>A662*('前提と出典'!$C$36*'契約別単価'!G5+'前提と出典'!$C$37*'契約別単価'!G6+'前提と出典'!$C$38*'契約別単価'!G7)</ns0:f>
        <ns0:v>1309750.8379888267</ns0:v>
      </ns0:c>
      <ns0:c r="H662" s="16">
        <ns0:f>A662*('前提と出典'!$C$36*'契約別単価'!H5+'前提と出典'!$C$37*'契約別単価'!H6+'前提と出典'!$C$38*'契約別単価'!H7)</ns0:f>
        <ns0:v>454549.2299486257</ns0:v>
      </ns0:c>
      <ns0:c r="I662" s="16">
        <ns0:f>A662*('前提と出典'!$C$36*'契約別単価'!I5+'前提と出典'!$C$37*'契約別単価'!I6+'前提と出典'!$C$38*'契約別単価'!I7)</ns0:f>
        <ns0:v>27764.65921787709</ns0:v>
      </ns0:c>
      <ns0:c r="J662" s="16">
        <ns0:f>A662*('前提と出典'!$C$36*'契約別単価'!J5+'前提と出典'!$C$37*'契約別単価'!J6+'前提と出典'!$C$38*'契約別単価'!J7)</ns0:f>
        <ns0:v>64674.51976137909</ns0:v>
      </ns0:c>
      <ns0:c r="K662" s="16">
        <ns0:f>A662*('前提と出典'!$C$36*'契約別単価'!K5+'前提と出典'!$C$37*'契約別単価'!K6+'前提と出典'!$C$38*'契約別単価'!K7)</ns0:f>
        <ns0:v>277217.7281191806</ns0:v>
      </ns0:c>
      <ns0:c r="L662" s="16">
        <ns0:f>A662*('前提と出典'!$C$36*'契約別単価'!L5+'前提と出典'!$C$37*'契約別単価'!L6+'前提と出典'!$C$38*'契約別単価'!L7)</ns0:f>
        <ns0:v>225711.6409982875</ns0:v>
      </ns0:c>
      <ns0:c r="M662" s="16">
        <ns0:f>IF(('前提と出典'!$C$36+'前提と出典'!$C$38)=0,0,IF(B662&lt;=10,'前提と出典'!B73+'前提と出典'!C73,IF(B662&lt;=100,'前提と出典'!B74+'前提と出典'!C74,IF(B662&lt;=500,'前提と出典'!B75+'前提と出典'!C75,'前提と出典'!B76+'前提と出典'!C76))))</ns0:f>
        <ns0:v>40000</ns0:v>
      </ns0:c>
      <ns0:c r="N662" s="16">
        <ns0:f>IF(('前提と出典'!$C$37+'前提と出典'!$C$38)=0,0,IF(C662&lt;=10,'前提と出典'!D73+'前提と出典'!E73,IF(C662&lt;=100,'前提と出典'!D74+'前提と出典'!E74,IF(C662&lt;=500,'前提と出典'!D75+'前提と出典'!E75,'前提と出典'!D76+'前提と出典'!E76))))</ns0:f>
        <ns0:v>56510.9346263078</ns0:v>
      </ns0:c>
      <ns0:c r="O662" s="16">
        <ns0:f>IF('前提と出典'!$C$36+'前提と出典'!$C$38=0,0,'前提と出典'!$B$4*IF('前提と出典'!$B$20=0,MAX('前提と出典'!$B$6,D662*'前提と出典'!$B$5),'前提と出典'!$B$6+D662*'前提と出典'!$B$5))</ns0:f>
        <ns0:v>653382.9720670391</ns0:v>
      </ns0:c>
      <ns0:c r="P662" s="16">
        <ns0:f>(E662+G662)*(1-'前提と出典'!$B$7)-I662-K662-M662-O662</ns0:f>
        <ns0:v>1491593.0635183528</ns0:v>
      </ns0:c>
      <ns0:c r="Q662" s="16">
        <ns0:f>(F662+H662)*(1-'前提と出典'!$B$7)-J662-L662-N662</ns0:f>
        <ns0:v>572982.027806508</ns0:v>
      </ns0:c>
      <ns0:c r="R662" s="16">
        <ns0:f>P662-E662*'前提と出典'!$E$4</ns0:f>
        <ns0:v>1109634.9882793832</ns0:v>
      </ns0:c>
      <ns0:c r="S662" s="16">
        <ns0:f>Q662-F662*'前提と出典'!$E$4</ns0:f>
        <ns0:v>423077.3601129373</ns0:v>
      </ns0:c>
      <ns0:c r="T662" s="7">
        <ns0:f>R662+S662</ns0:f>
        <ns0:v>1532712.3483923203</ns0:v>
      </ns0:c>
      <ns0:c r="U662" s="16">
        <ns0:f>P662-E662*'前提と出典'!$E$5</ns0:f>
        <ns0:v>982315.6298663941</ns0:v>
      </ns0:c>
      <ns0:c r="V662" s="16">
        <ns0:f>Q662-F662*'前提と出典'!$E$5</ns0:f>
        <ns0:v>373109.1375484137</ns0:v>
      </ns0:c>
      <ns0:c r="W662" s="7">
        <ns0:f>U662+V662</ns0:f>
        <ns0:v>1355424.7674148078</ns0:v>
      </ns0:c>
      <ns0:c r="X662" s="16">
        <ns0:f>P662-E662*'前提と出典'!$E$6</ns0:f>
        <ns0:v>854996.2714534042</ns0:v>
      </ns0:c>
      <ns0:c r="Y662" s="16">
        <ns0:f>Q662-F662*'前提と出典'!$E$6</ns0:f>
        <ns0:v>323140.91498389014</ns0:v>
      </ns0:c>
      <ns0:c r="Z662" s="7">
        <ns0:f>X662+Y662</ns0:f>
        <ns0:v>1178137.1864372944</ns0:v>
      </ns0:c>
      <ns0:c r="AA662" s="7">
        <ns0:f>IF(T662&gt;=0,A662,1001)</ns0:f>
        <ns0:v>658</ns0:v>
      </ns0:c>
      <ns0:c r="AB662" s="7">
        <ns0:f>IF(T662&lt;0,A662,0)</ns0:f>
        <ns0:v>0</ns0:v>
      </ns0:c>
      <ns0:c r="AC662" s="16">
        <ns0:f>IF(AND(OR('前提と出典'!$C$36+'前提と出典'!$C$38=0,R662&gt;=0),OR('前提と出典'!$C$37+'前提と出典'!$C$38=0,S662&gt;=0)),0,A662)</ns0:f>
        <ns0:v>0</ns0:v>
      </ns0:c>
      <ns0:c r="AD662" s="7">
        <ns0:f>IF(W662&gt;=0,A662,1001)</ns0:f>
        <ns0:v>658</ns0:v>
      </ns0:c>
      <ns0:c r="AE662" s="7">
        <ns0:f>IF(W662&lt;0,A662,0)</ns0:f>
        <ns0:v>0</ns0:v>
      </ns0:c>
      <ns0:c r="AF662" s="16">
        <ns0:f>IF(AND(OR('前提と出典'!$C$36+'前提と出典'!$C$38=0,U662&gt;=0),OR('前提と出典'!$C$37+'前提と出典'!$C$38=0,V662&gt;=0)),0,A662)</ns0:f>
        <ns0:v>0</ns0:v>
      </ns0:c>
      <ns0:c r="AG662" s="7">
        <ns0:f>IF(Z662&gt;=0,A662,1001)</ns0:f>
        <ns0:v>658</ns0:v>
      </ns0:c>
      <ns0:c r="AH662" s="4">
        <ns0:f>IF(Z662&lt;0,A662,0)</ns0:f>
        <ns0:v>0</ns0:v>
      </ns0:c>
      <ns0:c r="AI662" s="12">
        <ns0:f>IF(AND(OR('前提と出典'!$C$36+'前提と出典'!$C$38=0,X662&gt;=0),OR('前提と出典'!$C$37+'前提と出典'!$C$38=0,Y662&gt;=0)),0,A662)</ns0:f>
        <ns0:v>0</ns0:v>
      </ns0:c>
    </ns0:row>
    <ns0:row r="663" ht="24" customHeight="1">
      <ns0:c r="A663" s="4" t="n">
        <ns0:v>659</ns0:v>
      </ns0:c>
      <ns0:c r="B663" s="12">
        <ns0:f>A663*('前提と出典'!$C$36+'前提と出典'!$C$38)</ns0:f>
        <ns0:v>461.29999999999995</ns0:v>
      </ns0:c>
      <ns0:c r="C663" s="12">
        <ns0:f>A663*('前提と出典'!$C$37+'前提と出典'!$C$38)</ns0:f>
        <ns0:v>395.4</ns0:v>
      </ns0:c>
      <ns0:c r="D663" s="16">
        <ns0:f>A663*('前提と出典'!$C$36*'契約別単価'!C5+'前提と出典'!$C$37*'契約別単価'!C6+'前提と出典'!$C$38*'契約別単価'!C7)</ns0:f>
        <ns0:v>4741.854748603352</ns0:v>
      </ns0:c>
      <ns0:c r="E663" s="16">
        <ns0:f>A663*('前提と出典'!$C$36*'契約別単価'!E5+'前提と出典'!$C$37*'契約別単価'!E6+'前提と出典'!$C$38*'契約別単価'!E7)</ns0:f>
        <ns0:v>1275128.5287866292</ns0:v>
      </ns0:c>
      <ns0:c r="F663" s="16">
        <ns0:f>A663*('前提と出典'!$C$36*'契約別単価'!F5+'前提と出典'!$C$37*'契約別単価'!F6+'前提と出典'!$C$38*'契約別単価'!F7)</ns0:f>
        <ns0:v>500441.62112493964</ns0:v>
      </ns0:c>
      <ns0:c r="G663" s="16">
        <ns0:f>A663*('前提と出典'!$C$36*'契約別単価'!G5+'前提と出典'!$C$37*'契約別単価'!G6+'前提と出典'!$C$38*'契約別単価'!G7)</ns0:f>
        <ns0:v>1311741.340782123</ns0:v>
      </ns0:c>
      <ns0:c r="H663" s="16">
        <ns0:f>A663*('前提と出典'!$C$36*'契約別単価'!H5+'前提と出典'!$C$37*'契約別単価'!H6+'前提と出典'!$C$38*'契約別単価'!H7)</ns0:f>
        <ns0:v>455240.0342494595</ns0:v>
      </ns0:c>
      <ns0:c r="I663" s="16">
        <ns0:f>A663*('前提と出典'!$C$36*'契約別単価'!I5+'前提と出典'!$C$37*'契約別単価'!I6+'前提と出典'!$C$38*'契約別単価'!I7)</ns0:f>
        <ns0:v>27806.854748603346</ns0:v>
      </ns0:c>
      <ns0:c r="J663" s="16">
        <ns0:f>A663*('前提と出典'!$C$36*'契約別単価'!J5+'前提と出典'!$C$37*'契約別単価'!J6+'前提と出典'!$C$38*'契約別単価'!J7)</ns0:f>
        <ns0:v>64772.809305089395</ns0:v>
      </ns0:c>
      <ns0:c r="K663" s="16">
        <ns0:f>A663*('前提と出典'!$C$36*'契約別単価'!K5+'前提と出典'!$C$37*'契約別単価'!K6+'前提と出典'!$C$38*'契約別単価'!K7)</ns0:f>
        <ns0:v>277639.03165735566</ns0:v>
      </ns0:c>
      <ns0:c r="L663" s="16">
        <ns0:f>A663*('前提と出典'!$C$36*'契約別単価'!L5+'前提と出典'!$C$37*'契約別単価'!L6+'前提と出典'!$C$38*'契約別単価'!L7)</ns0:f>
        <ns0:v>226054.6678083153</ns0:v>
      </ns0:c>
      <ns0:c r="M663" s="16">
        <ns0:f>IF(('前提と出典'!$C$36+'前提と出典'!$C$38)=0,0,IF(B663&lt;=10,'前提と出典'!B73+'前提と出典'!C73,IF(B663&lt;=100,'前提と出典'!B74+'前提と出典'!C74,IF(B663&lt;=500,'前提と出典'!B75+'前提と出典'!C75,'前提と出典'!B76+'前提と出典'!C76))))</ns0:f>
        <ns0:v>40000</ns0:v>
      </ns0:c>
      <ns0:c r="N663" s="16">
        <ns0:f>IF(('前提と出典'!$C$37+'前提と出典'!$C$38)=0,0,IF(C663&lt;=10,'前提と出典'!D73+'前提と出典'!E73,IF(C663&lt;=100,'前提と出典'!D74+'前提と出典'!E74,IF(C663&lt;=500,'前提と出典'!D75+'前提と出典'!E75,'前提と出典'!D76+'前提と出典'!E76))))</ns0:f>
        <ns0:v>56510.9346263078</ns0:v>
      </ns0:c>
      <ns0:c r="O663" s="16">
        <ns0:f>IF('前提と出典'!$C$36+'前提と出典'!$C$38=0,0,'前提と出典'!$B$4*IF('前提と出典'!$B$20=0,MAX('前提と出典'!$B$6,D663*'前提と出典'!$B$5),'前提と出典'!$B$6+D663*'前提と出典'!$B$5))</ns0:f>
        <ns0:v>654375.9553072626</ns0:v>
      </ns0:c>
      <ns0:c r="P663" s="16">
        <ns0:f>(E663+G663)*(1-'前提と出典'!$B$7)-I663-K663-M663-O663</ns0:f>
        <ns0:v>1493920.7125510555</ns0:v>
      </ns0:c>
      <ns0:c r="Q663" s="16">
        <ns0:f>(F663+H663)*(1-'前提と出典'!$B$7)-J663-L663-N663</ns0:f>
        <ns0:v>573938.7040412084</ns0:v>
      </ns0:c>
      <ns0:c r="R663" s="16">
        <ns0:f>P663-E663*'前提と出典'!$E$4</ns0:f>
        <ns0:v>1111382.1539150667</ns0:v>
      </ns0:c>
      <ns0:c r="S663" s="16">
        <ns0:f>Q663-F663*'前提と出典'!$E$4</ns0:f>
        <ns0:v>423806.21770372643</ns0:v>
      </ns0:c>
      <ns0:c r="T663" s="7">
        <ns0:f>R663+S663</ns0:f>
        <ns0:v>1535188.371618793</ns0:v>
      </ns0:c>
      <ns0:c r="U663" s="16">
        <ns0:f>P663-E663*'前提と出典'!$E$5</ns0:f>
        <ns0:v>983869.3010364036</ns0:v>
      </ns0:c>
      <ns0:c r="V663" s="16">
        <ns0:f>Q663-F663*'前提と出典'!$E$5</ns0:f>
        <ns0:v>373762.05559123243</ns0:v>
      </ns0:c>
      <ns0:c r="W663" s="7">
        <ns0:f>U663+V663</ns0:f>
        <ns0:v>1357631.3566276361</ns0:v>
      </ns0:c>
      <ns0:c r="X663" s="16">
        <ns0:f>P663-E663*'前提と出典'!$E$6</ns0:f>
        <ns0:v>856356.4481577406</ns0:v>
      </ns0:c>
      <ns0:c r="Y663" s="16">
        <ns0:f>Q663-F663*'前提と出典'!$E$6</ns0:f>
        <ns0:v>323717.89347873855</ns0:v>
      </ns0:c>
      <ns0:c r="Z663" s="7">
        <ns0:f>X663+Y663</ns0:f>
        <ns0:v>1180074.3416364791</ns0:v>
      </ns0:c>
      <ns0:c r="AA663" s="7">
        <ns0:f>IF(T663&gt;=0,A663,1001)</ns0:f>
        <ns0:v>659</ns0:v>
      </ns0:c>
      <ns0:c r="AB663" s="7">
        <ns0:f>IF(T663&lt;0,A663,0)</ns0:f>
        <ns0:v>0</ns0:v>
      </ns0:c>
      <ns0:c r="AC663" s="16">
        <ns0:f>IF(AND(OR('前提と出典'!$C$36+'前提と出典'!$C$38=0,R663&gt;=0),OR('前提と出典'!$C$37+'前提と出典'!$C$38=0,S663&gt;=0)),0,A663)</ns0:f>
        <ns0:v>0</ns0:v>
      </ns0:c>
      <ns0:c r="AD663" s="7">
        <ns0:f>IF(W663&gt;=0,A663,1001)</ns0:f>
        <ns0:v>659</ns0:v>
      </ns0:c>
      <ns0:c r="AE663" s="7">
        <ns0:f>IF(W663&lt;0,A663,0)</ns0:f>
        <ns0:v>0</ns0:v>
      </ns0:c>
      <ns0:c r="AF663" s="16">
        <ns0:f>IF(AND(OR('前提と出典'!$C$36+'前提と出典'!$C$38=0,U663&gt;=0),OR('前提と出典'!$C$37+'前提と出典'!$C$38=0,V663&gt;=0)),0,A663)</ns0:f>
        <ns0:v>0</ns0:v>
      </ns0:c>
      <ns0:c r="AG663" s="7">
        <ns0:f>IF(Z663&gt;=0,A663,1001)</ns0:f>
        <ns0:v>659</ns0:v>
      </ns0:c>
      <ns0:c r="AH663" s="4">
        <ns0:f>IF(Z663&lt;0,A663,0)</ns0:f>
        <ns0:v>0</ns0:v>
      </ns0:c>
      <ns0:c r="AI663" s="12">
        <ns0:f>IF(AND(OR('前提と出典'!$C$36+'前提と出典'!$C$38=0,X663&gt;=0),OR('前提と出典'!$C$37+'前提と出典'!$C$38=0,Y663&gt;=0)),0,A663)</ns0:f>
        <ns0:v>0</ns0:v>
      </ns0:c>
    </ns0:row>
    <ns0:row r="664" ht="24" customHeight="1">
      <ns0:c r="A664" s="4" t="n">
        <ns0:v>660</ns0:v>
      </ns0:c>
      <ns0:c r="B664" s="12">
        <ns0:f>A664*('前提と出典'!$C$36+'前提と出典'!$C$38)</ns0:f>
        <ns0:v>461.99999999999994</ns0:v>
      </ns0:c>
      <ns0:c r="C664" s="12">
        <ns0:f>A664*('前提と出典'!$C$37+'前提と出典'!$C$38)</ns0:f>
        <ns0:v>396</ns0:v>
      </ns0:c>
      <ns0:c r="D664" s="16">
        <ns0:f>A664*('前提と出典'!$C$36*'契約別単価'!C5+'前提と出典'!$C$37*'契約別単価'!C6+'前提と出典'!$C$38*'契約別単価'!C7)</ns0:f>
        <ns0:v>4749.050279329609</ns0:v>
      </ns0:c>
      <ns0:c r="E664" s="16">
        <ns0:f>A664*('前提と出典'!$C$36*'契約別単価'!E5+'前提と出典'!$C$37*'契約別単価'!E6+'前提と出典'!$C$38*'契約別単価'!E7)</ns0:f>
        <ns0:v>1277063.4734433615</ns0:v>
      </ns0:c>
      <ns0:c r="F664" s="16">
        <ns0:f>A664*('前提と出典'!$C$36*'契約別単価'!F5+'前提と出典'!$C$37*'契約別単価'!F6+'前提と出典'!$C$38*'契約別単価'!F7)</ns0:f>
        <ns0:v>501201.01660464366</ns0:v>
      </ns0:c>
      <ns0:c r="G664" s="16">
        <ns0:f>A664*('前提と出典'!$C$36*'契約別単価'!G5+'前提と出典'!$C$37*'契約別単価'!G6+'前提と出典'!$C$38*'契約別単価'!G7)</ns0:f>
        <ns0:v>1313731.843575419</ns0:v>
      </ns0:c>
      <ns0:c r="H664" s="16">
        <ns0:f>A664*('前提と出典'!$C$36*'契約別単価'!H5+'前提と出典'!$C$37*'契約別単価'!H6+'前提と出典'!$C$38*'契約別単価'!H7)</ns0:f>
        <ns0:v>455930.8385502933</ns0:v>
      </ns0:c>
      <ns0:c r="I664" s="16">
        <ns0:f>A664*('前提と出典'!$C$36*'契約別単価'!I5+'前提と出典'!$C$37*'契約別単価'!I6+'前提と出典'!$C$38*'契約別単価'!I7)</ns0:f>
        <ns0:v>27849.050279329604</ns0:v>
      </ns0:c>
      <ns0:c r="J664" s="16">
        <ns0:f>A664*('前提と出典'!$C$36*'契約別単価'!J5+'前提と出典'!$C$37*'契約別単価'!J6+'前提と出典'!$C$38*'契約別単価'!J7)</ns0:f>
        <ns0:v>64871.098848799695</ns0:v>
      </ns0:c>
      <ns0:c r="K664" s="16">
        <ns0:f>A664*('前提と出典'!$C$36*'契約別単価'!K5+'前提と出典'!$C$37*'契約別単価'!K6+'前提と出典'!$C$38*'契約別単価'!K7)</ns0:f>
        <ns0:v>278060.33519553073</ns0:v>
      </ns0:c>
      <ns0:c r="L664" s="16">
        <ns0:f>A664*('前提と出典'!$C$36*'契約別単価'!L5+'前提と出典'!$C$37*'契約別単価'!L6+'前提と出典'!$C$38*'契約別単価'!L7)</ns0:f>
        <ns0:v>226397.6946183431</ns0:v>
      </ns0:c>
      <ns0:c r="M664" s="16">
        <ns0:f>IF(('前提と出典'!$C$36+'前提と出典'!$C$38)=0,0,IF(B664&lt;=10,'前提と出典'!B73+'前提と出典'!C73,IF(B664&lt;=100,'前提と出典'!B74+'前提と出典'!C74,IF(B664&lt;=500,'前提と出典'!B75+'前提と出典'!C75,'前提と出典'!B76+'前提と出典'!C76))))</ns0:f>
        <ns0:v>40000</ns0:v>
      </ns0:c>
      <ns0:c r="N664" s="16">
        <ns0:f>IF(('前提と出典'!$C$37+'前提と出典'!$C$38)=0,0,IF(C664&lt;=10,'前提と出典'!D73+'前提と出典'!E73,IF(C664&lt;=100,'前提と出典'!D74+'前提と出典'!E74,IF(C664&lt;=500,'前提と出典'!D75+'前提と出典'!E75,'前提と出典'!D76+'前提と出典'!E76))))</ns0:f>
        <ns0:v>56510.9346263078</ns0:v>
      </ns0:c>
      <ns0:c r="O664" s="16">
        <ns0:f>IF('前提と出典'!$C$36+'前提と出典'!$C$38=0,0,'前提と出典'!$B$4*IF('前提と出典'!$B$20=0,MAX('前提と出典'!$B$6,D664*'前提と出典'!$B$5),'前提と出典'!$B$6+D664*'前提と出典'!$B$5))</ns0:f>
        <ns0:v>655368.9385474861</ns0:v>
      </ns0:c>
      <ns0:c r="P664" s="16">
        <ns0:f>(E664+G664)*(1-'前提と出典'!$B$7)-I664-K664-M664-O664</ns0:f>
        <ns0:v>1496248.3615837581</ns0:v>
      </ns0:c>
      <ns0:c r="Q664" s="16">
        <ns0:f>(F664+H664)*(1-'前提と出典'!$B$7)-J664-L664-N664</ns0:f>
        <ns0:v>574895.3802759085</ns0:v>
      </ns0:c>
      <ns0:c r="R664" s="16">
        <ns0:f>P664-E664*'前提と出典'!$E$4</ns0:f>
        <ns0:v>1113129.3195507498</ns0:v>
      </ns0:c>
      <ns0:c r="S664" s="16">
        <ns0:f>Q664-F664*'前提と出典'!$E$4</ns0:f>
        <ns0:v>424535.07529451547</ns0:v>
      </ns0:c>
      <ns0:c r="T664" s="7">
        <ns0:f>R664+S664</ns0:f>
        <ns0:v>1537664.3948452654</ns0:v>
      </ns0:c>
      <ns0:c r="U664" s="16">
        <ns0:f>P664-E664*'前提と出典'!$E$5</ns0:f>
        <ns0:v>985422.9722064134</ns0:v>
      </ns0:c>
      <ns0:c r="V664" s="16">
        <ns0:f>Q664-F664*'前提と出典'!$E$5</ns0:f>
        <ns0:v>374414.97363405104</ns0:v>
      </ns0:c>
      <ns0:c r="W664" s="7">
        <ns0:f>U664+V664</ns0:f>
        <ns0:v>1359837.9458404644</ns0:v>
      </ns0:c>
      <ns0:c r="X664" s="16">
        <ns0:f>P664-E664*'前提と出典'!$E$6</ns0:f>
        <ns0:v>857716.6248620773</ns0:v>
      </ns0:c>
      <ns0:c r="Y664" s="16">
        <ns0:f>Q664-F664*'前提と出典'!$E$6</ns0:f>
        <ns0:v>324294.8719735866</ns0:v>
      </ns0:c>
      <ns0:c r="Z664" s="7">
        <ns0:f>X664+Y664</ns0:f>
        <ns0:v>1182011.496835664</ns0:v>
      </ns0:c>
      <ns0:c r="AA664" s="7">
        <ns0:f>IF(T664&gt;=0,A664,1001)</ns0:f>
        <ns0:v>660</ns0:v>
      </ns0:c>
      <ns0:c r="AB664" s="7">
        <ns0:f>IF(T664&lt;0,A664,0)</ns0:f>
        <ns0:v>0</ns0:v>
      </ns0:c>
      <ns0:c r="AC664" s="16">
        <ns0:f>IF(AND(OR('前提と出典'!$C$36+'前提と出典'!$C$38=0,R664&gt;=0),OR('前提と出典'!$C$37+'前提と出典'!$C$38=0,S664&gt;=0)),0,A664)</ns0:f>
        <ns0:v>0</ns0:v>
      </ns0:c>
      <ns0:c r="AD664" s="7">
        <ns0:f>IF(W664&gt;=0,A664,1001)</ns0:f>
        <ns0:v>660</ns0:v>
      </ns0:c>
      <ns0:c r="AE664" s="7">
        <ns0:f>IF(W664&lt;0,A664,0)</ns0:f>
        <ns0:v>0</ns0:v>
      </ns0:c>
      <ns0:c r="AF664" s="16">
        <ns0:f>IF(AND(OR('前提と出典'!$C$36+'前提と出典'!$C$38=0,U664&gt;=0),OR('前提と出典'!$C$37+'前提と出典'!$C$38=0,V664&gt;=0)),0,A664)</ns0:f>
        <ns0:v>0</ns0:v>
      </ns0:c>
      <ns0:c r="AG664" s="7">
        <ns0:f>IF(Z664&gt;=0,A664,1001)</ns0:f>
        <ns0:v>660</ns0:v>
      </ns0:c>
      <ns0:c r="AH664" s="4">
        <ns0:f>IF(Z664&lt;0,A664,0)</ns0:f>
        <ns0:v>0</ns0:v>
      </ns0:c>
      <ns0:c r="AI664" s="12">
        <ns0:f>IF(AND(OR('前提と出典'!$C$36+'前提と出典'!$C$38=0,X664&gt;=0),OR('前提と出典'!$C$37+'前提と出典'!$C$38=0,Y664&gt;=0)),0,A664)</ns0:f>
        <ns0:v>0</ns0:v>
      </ns0:c>
    </ns0:row>
    <ns0:row r="665" ht="24" customHeight="1">
      <ns0:c r="A665" s="4" t="n">
        <ns0:v>661</ns0:v>
      </ns0:c>
      <ns0:c r="B665" s="12">
        <ns0:f>A665*('前提と出典'!$C$36+'前提と出典'!$C$38)</ns0:f>
        <ns0:v>462.7</ns0:v>
      </ns0:c>
      <ns0:c r="C665" s="12">
        <ns0:f>A665*('前提と出典'!$C$37+'前提と出典'!$C$38)</ns0:f>
        <ns0:v>396.59999999999997</ns0:v>
      </ns0:c>
      <ns0:c r="D665" s="16">
        <ns0:f>A665*('前提と出典'!$C$36*'契約別単価'!C5+'前提と出典'!$C$37*'契約別単価'!C6+'前提と出典'!$C$38*'契約別単価'!C7)</ns0:f>
        <ns0:v>4756.245810055866</ns0:v>
      </ns0:c>
      <ns0:c r="E665" s="16">
        <ns0:f>A665*('前提と出典'!$C$36*'契約別単価'!E5+'前提と出典'!$C$37*'契約別単価'!E6+'前提と出典'!$C$38*'契約別単価'!E7)</ns0:f>
        <ns0:v>1278998.418100094</ns0:v>
      </ns0:c>
      <ns0:c r="F665" s="16">
        <ns0:f>A665*('前提と出典'!$C$36*'契約別単価'!F5+'前提と出典'!$C$37*'契約別単価'!F6+'前提と出典'!$C$38*'契約別単価'!F7)</ns0:f>
        <ns0:v>501960.4120843477</ns0:v>
      </ns0:c>
      <ns0:c r="G665" s="16">
        <ns0:f>A665*('前提と出典'!$C$36*'契約別単価'!G5+'前提と出典'!$C$37*'契約別単価'!G6+'前提と出典'!$C$38*'契約別単価'!G7)</ns0:f>
        <ns0:v>1315722.346368715</ns0:v>
      </ns0:c>
      <ns0:c r="H665" s="16">
        <ns0:f>A665*('前提と出典'!$C$36*'契約別単価'!H5+'前提と出典'!$C$37*'契約別単価'!H6+'前提と出典'!$C$38*'契約別単価'!H7)</ns0:f>
        <ns0:v>456621.6428511271</ns0:v>
      </ns0:c>
      <ns0:c r="I665" s="16">
        <ns0:f>A665*('前提と出典'!$C$36*'契約別単価'!I5+'前提と出典'!$C$37*'契約別単価'!I6+'前提と出典'!$C$38*'契約別単価'!I7)</ns0:f>
        <ns0:v>27891.24581005586</ns0:v>
      </ns0:c>
      <ns0:c r="J665" s="16">
        <ns0:f>A665*('前提と出典'!$C$36*'契約別単価'!J5+'前提と出典'!$C$37*'契約別単価'!J6+'前提と出典'!$C$38*'契約別単価'!J7)</ns0:f>
        <ns0:v>64969.388392509994</ns0:v>
      </ns0:c>
      <ns0:c r="K665" s="16">
        <ns0:f>A665*('前提と出典'!$C$36*'契約別単価'!K5+'前提と出典'!$C$37*'契約別単価'!K6+'前提と出典'!$C$38*'契約別単価'!K7)</ns0:f>
        <ns0:v>278481.63873370574</ns0:v>
      </ns0:c>
      <ns0:c r="L665" s="16">
        <ns0:f>A665*('前提と出典'!$C$36*'契約別単価'!L5+'前提と出典'!$C$37*'契約別単価'!L6+'前提と出典'!$C$38*'契約別単価'!L7)</ns0:f>
        <ns0:v>226740.7214283709</ns0:v>
      </ns0:c>
      <ns0:c r="M665" s="16">
        <ns0:f>IF(('前提と出典'!$C$36+'前提と出典'!$C$38)=0,0,IF(B665&lt;=10,'前提と出典'!B73+'前提と出典'!C73,IF(B665&lt;=100,'前提と出典'!B74+'前提と出典'!C74,IF(B665&lt;=500,'前提と出典'!B75+'前提と出典'!C75,'前提と出典'!B76+'前提と出典'!C76))))</ns0:f>
        <ns0:v>40000</ns0:v>
      </ns0:c>
      <ns0:c r="N665" s="16">
        <ns0:f>IF(('前提と出典'!$C$37+'前提と出典'!$C$38)=0,0,IF(C665&lt;=10,'前提と出典'!D73+'前提と出典'!E73,IF(C665&lt;=100,'前提と出典'!D74+'前提と出典'!E74,IF(C665&lt;=500,'前提と出典'!D75+'前提と出典'!E75,'前提と出典'!D76+'前提と出典'!E76))))</ns0:f>
        <ns0:v>56510.9346263078</ns0:v>
      </ns0:c>
      <ns0:c r="O665" s="16">
        <ns0:f>IF('前提と出典'!$C$36+'前提と出典'!$C$38=0,0,'前提と出典'!$B$4*IF('前提と出典'!$B$20=0,MAX('前提と出典'!$B$6,D665*'前提と出典'!$B$5),'前提と出典'!$B$6+D665*'前提と出典'!$B$5))</ns0:f>
        <ns0:v>656361.9217877096</ns0:v>
      </ns0:c>
      <ns0:c r="P665" s="16">
        <ns0:f>(E665+G665)*(1-'前提と出典'!$B$7)-I665-K665-M665-O665</ns0:f>
        <ns0:v>1498576.0106164606</ns0:v>
      </ns0:c>
      <ns0:c r="Q665" s="16">
        <ns0:f>(F665+H665)*(1-'前提と出典'!$B$7)-J665-L665-N665</ns0:f>
        <ns0:v>575852.056510609</ns0:v>
      </ns0:c>
      <ns0:c r="R665" s="16">
        <ns0:f>P665-E665*'前提と出典'!$E$4</ns0:f>
        <ns0:v>1114876.485186432</ns0:v>
      </ns0:c>
      <ns0:c r="S665" s="16">
        <ns0:f>Q665-F665*'前提と出典'!$E$4</ns0:f>
        <ns0:v>425263.9328853047</ns0:v>
      </ns0:c>
      <ns0:c r="T665" s="7">
        <ns0:f>R665+S665</ns0:f>
        <ns0:v>1540140.4180717366</ns0:v>
      </ns0:c>
      <ns0:c r="U665" s="16">
        <ns0:f>P665-E665*'前提と出典'!$E$5</ns0:f>
        <ns0:v>986976.6433764229</ns0:v>
      </ns0:c>
      <ns0:c r="V665" s="16">
        <ns0:f>Q665-F665*'前提と出典'!$E$5</ns0:f>
        <ns0:v>375067.89167686994</ns0:v>
      </ns0:c>
      <ns0:c r="W665" s="7">
        <ns0:f>U665+V665</ns0:f>
        <ns0:v>1362044.5350532928</ns0:v>
      </ns0:c>
      <ns0:c r="X665" s="16">
        <ns0:f>P665-E665*'前提と出典'!$E$6</ns0:f>
        <ns0:v>859076.8015664135</ns0:v>
      </ns0:c>
      <ns0:c r="Y665" s="16">
        <ns0:f>Q665-F665*'前提と出典'!$E$6</ns0:f>
        <ns0:v>324871.8504684351</ns0:v>
      </ns0:c>
      <ns0:c r="Z665" s="7">
        <ns0:f>X665+Y665</ns0:f>
        <ns0:v>1183948.6520348485</ns0:v>
      </ns0:c>
      <ns0:c r="AA665" s="7">
        <ns0:f>IF(T665&gt;=0,A665,1001)</ns0:f>
        <ns0:v>661</ns0:v>
      </ns0:c>
      <ns0:c r="AB665" s="7">
        <ns0:f>IF(T665&lt;0,A665,0)</ns0:f>
        <ns0:v>0</ns0:v>
      </ns0:c>
      <ns0:c r="AC665" s="16">
        <ns0:f>IF(AND(OR('前提と出典'!$C$36+'前提と出典'!$C$38=0,R665&gt;=0),OR('前提と出典'!$C$37+'前提と出典'!$C$38=0,S665&gt;=0)),0,A665)</ns0:f>
        <ns0:v>0</ns0:v>
      </ns0:c>
      <ns0:c r="AD665" s="7">
        <ns0:f>IF(W665&gt;=0,A665,1001)</ns0:f>
        <ns0:v>661</ns0:v>
      </ns0:c>
      <ns0:c r="AE665" s="7">
        <ns0:f>IF(W665&lt;0,A665,0)</ns0:f>
        <ns0:v>0</ns0:v>
      </ns0:c>
      <ns0:c r="AF665" s="16">
        <ns0:f>IF(AND(OR('前提と出典'!$C$36+'前提と出典'!$C$38=0,U665&gt;=0),OR('前提と出典'!$C$37+'前提と出典'!$C$38=0,V665&gt;=0)),0,A665)</ns0:f>
        <ns0:v>0</ns0:v>
      </ns0:c>
      <ns0:c r="AG665" s="7">
        <ns0:f>IF(Z665&gt;=0,A665,1001)</ns0:f>
        <ns0:v>661</ns0:v>
      </ns0:c>
      <ns0:c r="AH665" s="4">
        <ns0:f>IF(Z665&lt;0,A665,0)</ns0:f>
        <ns0:v>0</ns0:v>
      </ns0:c>
      <ns0:c r="AI665" s="12">
        <ns0:f>IF(AND(OR('前提と出典'!$C$36+'前提と出典'!$C$38=0,X665&gt;=0),OR('前提と出典'!$C$37+'前提と出典'!$C$38=0,Y665&gt;=0)),0,A665)</ns0:f>
        <ns0:v>0</ns0:v>
      </ns0:c>
    </ns0:row>
    <ns0:row r="666" ht="24" customHeight="1">
      <ns0:c r="A666" s="4" t="n">
        <ns0:v>662</ns0:v>
      </ns0:c>
      <ns0:c r="B666" s="12">
        <ns0:f>A666*('前提と出典'!$C$36+'前提と出典'!$C$38)</ns0:f>
        <ns0:v>463.4</ns0:v>
      </ns0:c>
      <ns0:c r="C666" s="12">
        <ns0:f>A666*('前提と出典'!$C$37+'前提と出典'!$C$38)</ns0:f>
        <ns0:v>397.2</ns0:v>
      </ns0:c>
      <ns0:c r="D666" s="16">
        <ns0:f>A666*('前提と出典'!$C$36*'契約別単価'!C5+'前提と出典'!$C$37*'契約別単価'!C6+'前提と出典'!$C$38*'契約別単価'!C7)</ns0:f>
        <ns0:v>4763.441340782123</ns0:v>
      </ns0:c>
      <ns0:c r="E666" s="16">
        <ns0:f>A666*('前提と出典'!$C$36*'契約別単価'!E5+'前提と出典'!$C$37*'契約別単価'!E6+'前提と出典'!$C$38*'契約別単価'!E7)</ns0:f>
        <ns0:v>1280933.3627568262</ns0:v>
      </ns0:c>
      <ns0:c r="F666" s="16">
        <ns0:f>A666*('前提と出典'!$C$36*'契約別単価'!F5+'前提と出典'!$C$37*'契約別単価'!F6+'前提と出典'!$C$38*'契約別単価'!F7)</ns0:f>
        <ns0:v>502719.80756405165</ns0:v>
      </ns0:c>
      <ns0:c r="G666" s="16">
        <ns0:f>A666*('前提と出典'!$C$36*'契約別単価'!G5+'前提と出典'!$C$37*'契約別単価'!G6+'前提と出典'!$C$38*'契約別単価'!G7)</ns0:f>
        <ns0:v>1317712.8491620112</ns0:v>
      </ns0:c>
      <ns0:c r="H666" s="16">
        <ns0:f>A666*('前提と出典'!$C$36*'契約別単価'!H5+'前提と出典'!$C$37*'契約別単価'!H6+'前提と出典'!$C$38*'契約別単価'!H7)</ns0:f>
        <ns0:v>457312.4471519608</ns0:v>
      </ns0:c>
      <ns0:c r="I666" s="16">
        <ns0:f>A666*('前提と出典'!$C$36*'契約別単価'!I5+'前提と出典'!$C$37*'契約別単価'!I6+'前提と出典'!$C$38*'契約別単価'!I7)</ns0:f>
        <ns0:v>27933.44134078212</ns0:v>
      </ns0:c>
      <ns0:c r="J666" s="16">
        <ns0:f>A666*('前提と出典'!$C$36*'契約別単価'!J5+'前提と出典'!$C$37*'契約別単価'!J6+'前提と出典'!$C$38*'契約別単価'!J7)</ns0:f>
        <ns0:v>65067.6779362203</ns0:v>
      </ns0:c>
      <ns0:c r="K666" s="16">
        <ns0:f>A666*('前提と出典'!$C$36*'契約別単価'!K5+'前提と出典'!$C$37*'契約別単価'!K6+'前提と出典'!$C$38*'契約別単価'!K7)</ns0:f>
        <ns0:v>278902.9422718808</ns0:v>
      </ns0:c>
      <ns0:c r="L666" s="16">
        <ns0:f>A666*('前提と出典'!$C$36*'契約別単価'!L5+'前提と出典'!$C$37*'契約別単価'!L6+'前提と出典'!$C$38*'契約別単価'!L7)</ns0:f>
        <ns0:v>227083.7482383987</ns0:v>
      </ns0:c>
      <ns0:c r="M666" s="16">
        <ns0:f>IF(('前提と出典'!$C$36+'前提と出典'!$C$38)=0,0,IF(B666&lt;=10,'前提と出典'!B73+'前提と出典'!C73,IF(B666&lt;=100,'前提と出典'!B74+'前提と出典'!C74,IF(B666&lt;=500,'前提と出典'!B75+'前提と出典'!C75,'前提と出典'!B76+'前提と出典'!C76))))</ns0:f>
        <ns0:v>40000</ns0:v>
      </ns0:c>
      <ns0:c r="N666" s="16">
        <ns0:f>IF(('前提と出典'!$C$37+'前提と出典'!$C$38)=0,0,IF(C666&lt;=10,'前提と出典'!D73+'前提と出典'!E73,IF(C666&lt;=100,'前提と出典'!D74+'前提と出典'!E74,IF(C666&lt;=500,'前提と出典'!D75+'前提と出典'!E75,'前提と出典'!D76+'前提と出典'!E76))))</ns0:f>
        <ns0:v>56510.9346263078</ns0:v>
      </ns0:c>
      <ns0:c r="O666" s="16">
        <ns0:f>IF('前提と出典'!$C$36+'前提と出典'!$C$38=0,0,'前提と出典'!$B$4*IF('前提と出典'!$B$20=0,MAX('前提と出典'!$B$6,D666*'前提と出典'!$B$5),'前提と出典'!$B$6+D666*'前提と出典'!$B$5))</ns0:f>
        <ns0:v>657354.9050279331</ns0:v>
      </ns0:c>
      <ns0:c r="P666" s="16">
        <ns0:f>(E666+G666)*(1-'前提と出典'!$B$7)-I666-K666-M666-O666</ns0:f>
        <ns0:v>1500903.6596491633</ns0:v>
      </ns0:c>
      <ns0:c r="Q666" s="16">
        <ns0:f>(F666+H666)*(1-'前提と出典'!$B$7)-J666-L666-N666</ns0:f>
        <ns0:v>576808.7327453091</ns0:v>
      </ns0:c>
      <ns0:c r="R666" s="16">
        <ns0:f>P666-E666*'前提と出典'!$E$4</ns0:f>
        <ns0:v>1116623.6508221156</ns0:v>
      </ns0:c>
      <ns0:c r="S666" s="16">
        <ns0:f>Q666-F666*'前提と出典'!$E$4</ns0:f>
        <ns0:v>425992.79047609365</ns0:v>
      </ns0:c>
      <ns0:c r="T666" s="7">
        <ns0:f>R666+S666</ns0:f>
        <ns0:v>1542616.4412982091</ns0:v>
      </ns0:c>
      <ns0:c r="U666" s="16">
        <ns0:f>P666-E666*'前提と出典'!$E$5</ns0:f>
        <ns0:v>988530.3145464327</ns0:v>
      </ns0:c>
      <ns0:c r="V666" s="16">
        <ns0:f>Q666-F666*'前提と出典'!$E$5</ns0:f>
        <ns0:v>375720.8097196885</ns0:v>
      </ns0:c>
      <ns0:c r="W666" s="7">
        <ns0:f>U666+V666</ns0:f>
        <ns0:v>1364251.124266121</ns0:v>
      </ns0:c>
      <ns0:c r="X666" s="16">
        <ns0:f>P666-E666*'前提と出典'!$E$6</ns0:f>
        <ns0:v>860436.9782707501</ns0:v>
      </ns0:c>
      <ns0:c r="Y666" s="16">
        <ns0:f>Q666-F666*'前提と出典'!$E$6</ns0:f>
        <ns0:v>325448.82896328333</ns0:v>
      </ns0:c>
      <ns0:c r="Z666" s="7">
        <ns0:f>X666+Y666</ns0:f>
        <ns0:v>1185885.8072340335</ns0:v>
      </ns0:c>
      <ns0:c r="AA666" s="7">
        <ns0:f>IF(T666&gt;=0,A666,1001)</ns0:f>
        <ns0:v>662</ns0:v>
      </ns0:c>
      <ns0:c r="AB666" s="7">
        <ns0:f>IF(T666&lt;0,A666,0)</ns0:f>
        <ns0:v>0</ns0:v>
      </ns0:c>
      <ns0:c r="AC666" s="16">
        <ns0:f>IF(AND(OR('前提と出典'!$C$36+'前提と出典'!$C$38=0,R666&gt;=0),OR('前提と出典'!$C$37+'前提と出典'!$C$38=0,S666&gt;=0)),0,A666)</ns0:f>
        <ns0:v>0</ns0:v>
      </ns0:c>
      <ns0:c r="AD666" s="7">
        <ns0:f>IF(W666&gt;=0,A666,1001)</ns0:f>
        <ns0:v>662</ns0:v>
      </ns0:c>
      <ns0:c r="AE666" s="7">
        <ns0:f>IF(W666&lt;0,A666,0)</ns0:f>
        <ns0:v>0</ns0:v>
      </ns0:c>
      <ns0:c r="AF666" s="16">
        <ns0:f>IF(AND(OR('前提と出典'!$C$36+'前提と出典'!$C$38=0,U666&gt;=0),OR('前提と出典'!$C$37+'前提と出典'!$C$38=0,V666&gt;=0)),0,A666)</ns0:f>
        <ns0:v>0</ns0:v>
      </ns0:c>
      <ns0:c r="AG666" s="7">
        <ns0:f>IF(Z666&gt;=0,A666,1001)</ns0:f>
        <ns0:v>662</ns0:v>
      </ns0:c>
      <ns0:c r="AH666" s="4">
        <ns0:f>IF(Z666&lt;0,A666,0)</ns0:f>
        <ns0:v>0</ns0:v>
      </ns0:c>
      <ns0:c r="AI666" s="12">
        <ns0:f>IF(AND(OR('前提と出典'!$C$36+'前提と出典'!$C$38=0,X666&gt;=0),OR('前提と出典'!$C$37+'前提と出典'!$C$38=0,Y666&gt;=0)),0,A666)</ns0:f>
        <ns0:v>0</ns0:v>
      </ns0:c>
    </ns0:row>
    <ns0:row r="667" ht="24" customHeight="1">
      <ns0:c r="A667" s="4" t="n">
        <ns0:v>663</ns0:v>
      </ns0:c>
      <ns0:c r="B667" s="12">
        <ns0:f>A667*('前提と出典'!$C$36+'前提と出典'!$C$38)</ns0:f>
        <ns0:v>464.09999999999997</ns0:v>
      </ns0:c>
      <ns0:c r="C667" s="12">
        <ns0:f>A667*('前提と出典'!$C$37+'前提と出典'!$C$38)</ns0:f>
        <ns0:v>397.8</ns0:v>
      </ns0:c>
      <ns0:c r="D667" s="16">
        <ns0:f>A667*('前提と出典'!$C$36*'契約別単価'!C5+'前提と出典'!$C$37*'契約別単価'!C6+'前提と出典'!$C$38*'契約別単価'!C7)</ns0:f>
        <ns0:v>4770.63687150838</ns0:v>
      </ns0:c>
      <ns0:c r="E667" s="16">
        <ns0:f>A667*('前提と出典'!$C$36*'契約別単価'!E5+'前提と出典'!$C$37*'契約別単価'!E6+'前提と出典'!$C$38*'契約別単価'!E7)</ns0:f>
        <ns0:v>1282868.3074135587</ns0:v>
      </ns0:c>
      <ns0:c r="F667" s="16">
        <ns0:f>A667*('前提と出典'!$C$36*'契約別単価'!F5+'前提と出典'!$C$37*'契約別単価'!F6+'前提と出典'!$C$38*'契約別単価'!F7)</ns0:f>
        <ns0:v>503479.20304375567</ns0:v>
      </ns0:c>
      <ns0:c r="G667" s="16">
        <ns0:f>A667*('前提と出典'!$C$36*'契約別単価'!G5+'前提と出典'!$C$37*'契約別単価'!G6+'前提と出典'!$C$38*'契約別単価'!G7)</ns0:f>
        <ns0:v>1319703.3519553072</ns0:v>
      </ns0:c>
      <ns0:c r="H667" s="16">
        <ns0:f>A667*('前提と出典'!$C$36*'契約別単価'!H5+'前提と出典'!$C$37*'契約別単価'!H6+'前提と出典'!$C$38*'契約別単価'!H7)</ns0:f>
        <ns0:v>458003.2514527946</ns0:v>
      </ns0:c>
      <ns0:c r="I667" s="16">
        <ns0:f>A667*('前提と出典'!$C$36*'契約別単価'!I5+'前提と出典'!$C$37*'契約別単価'!I6+'前提と出典'!$C$38*'契約別単価'!I7)</ns0:f>
        <ns0:v>27975.636871508374</ns0:v>
      </ns0:c>
      <ns0:c r="J667" s="16">
        <ns0:f>A667*('前提と出典'!$C$36*'契約別単価'!J5+'前提と出典'!$C$37*'契約別単価'!J6+'前提と出典'!$C$38*'契約別単価'!J7)</ns0:f>
        <ns0:v>65165.9674799306</ns0:v>
      </ns0:c>
      <ns0:c r="K667" s="16">
        <ns0:f>A667*('前提と出典'!$C$36*'契約別単価'!K5+'前提と出典'!$C$37*'契約別単価'!K6+'前提と出典'!$C$38*'契約別単価'!K7)</ns0:f>
        <ns0:v>279324.2458100559</ns0:v>
      </ns0:c>
      <ns0:c r="L667" s="16">
        <ns0:f>A667*('前提と出典'!$C$36*'契約別単価'!L5+'前提と出典'!$C$37*'契約別単価'!L6+'前提と出典'!$C$38*'契約別単価'!L7)</ns0:f>
        <ns0:v>227426.77504842647</ns0:v>
      </ns0:c>
      <ns0:c r="M667" s="16">
        <ns0:f>IF(('前提と出典'!$C$36+'前提と出典'!$C$38)=0,0,IF(B667&lt;=10,'前提と出典'!B73+'前提と出典'!C73,IF(B667&lt;=100,'前提と出典'!B74+'前提と出典'!C74,IF(B667&lt;=500,'前提と出典'!B75+'前提と出典'!C75,'前提と出典'!B76+'前提と出典'!C76))))</ns0:f>
        <ns0:v>40000</ns0:v>
      </ns0:c>
      <ns0:c r="N667" s="16">
        <ns0:f>IF(('前提と出典'!$C$37+'前提と出典'!$C$38)=0,0,IF(C667&lt;=10,'前提と出典'!D73+'前提と出典'!E73,IF(C667&lt;=100,'前提と出典'!D74+'前提と出典'!E74,IF(C667&lt;=500,'前提と出典'!D75+'前提と出典'!E75,'前提と出典'!D76+'前提と出典'!E76))))</ns0:f>
        <ns0:v>56510.9346263078</ns0:v>
      </ns0:c>
      <ns0:c r="O667" s="16">
        <ns0:f>IF('前提と出典'!$C$36+'前提と出典'!$C$38=0,0,'前提と出典'!$B$4*IF('前提と出典'!$B$20=0,MAX('前提と出典'!$B$6,D667*'前提と出典'!$B$5),'前提と出典'!$B$6+D667*'前提と出典'!$B$5))</ns0:f>
        <ns0:v>658347.8882681566</ns0:v>
      </ns0:c>
      <ns0:c r="P667" s="16">
        <ns0:f>(E667+G667)*(1-'前提と出典'!$B$7)-I667-K667-M667-O667</ns0:f>
        <ns0:v>1503231.3086818662</ns0:v>
      </ns0:c>
      <ns0:c r="Q667" s="16">
        <ns0:f>(F667+H667)*(1-'前提と出典'!$B$7)-J667-L667-N667</ns0:f>
        <ns0:v>577765.4089800096</ns0:v>
      </ns0:c>
      <ns0:c r="R667" s="16">
        <ns0:f>P667-E667*'前提と出典'!$E$4</ns0:f>
        <ns0:v>1118370.8164577987</ns0:v>
      </ns0:c>
      <ns0:c r="S667" s="16">
        <ns0:f>Q667-F667*'前提と出典'!$E$4</ns0:f>
        <ns0:v>426721.64806688286</ns0:v>
      </ns0:c>
      <ns0:c r="T667" s="7">
        <ns0:f>R667+S667</ns0:f>
        <ns0:v>1545092.4645246817</ns0:v>
      </ns0:c>
      <ns0:c r="U667" s="16">
        <ns0:f>P667-E667*'前提と出典'!$E$5</ns0:f>
        <ns0:v>990083.9857164427</ns0:v>
      </ns0:c>
      <ns0:c r="V667" s="16">
        <ns0:f>Q667-F667*'前提と出典'!$E$5</ns0:f>
        <ns0:v>376373.7277625074</ns0:v>
      </ns0:c>
      <ns0:c r="W667" s="7">
        <ns0:f>U667+V667</ns0:f>
        <ns0:v>1366457.71347895</ns0:v>
      </ns0:c>
      <ns0:c r="X667" s="16">
        <ns0:f>P667-E667*'前提と出典'!$E$6</ns0:f>
        <ns0:v>861797.154975087</ns0:v>
      </ns0:c>
      <ns0:c r="Y667" s="16">
        <ns0:f>Q667-F667*'前提と出典'!$E$6</ns0:f>
        <ns0:v>326025.8074581318</ns0:v>
      </ns0:c>
      <ns0:c r="Z667" s="7">
        <ns0:f>X667+Y667</ns0:f>
        <ns0:v>1187822.962433219</ns0:v>
      </ns0:c>
      <ns0:c r="AA667" s="7">
        <ns0:f>IF(T667&gt;=0,A667,1001)</ns0:f>
        <ns0:v>663</ns0:v>
      </ns0:c>
      <ns0:c r="AB667" s="7">
        <ns0:f>IF(T667&lt;0,A667,0)</ns0:f>
        <ns0:v>0</ns0:v>
      </ns0:c>
      <ns0:c r="AC667" s="16">
        <ns0:f>IF(AND(OR('前提と出典'!$C$36+'前提と出典'!$C$38=0,R667&gt;=0),OR('前提と出典'!$C$37+'前提と出典'!$C$38=0,S667&gt;=0)),0,A667)</ns0:f>
        <ns0:v>0</ns0:v>
      </ns0:c>
      <ns0:c r="AD667" s="7">
        <ns0:f>IF(W667&gt;=0,A667,1001)</ns0:f>
        <ns0:v>663</ns0:v>
      </ns0:c>
      <ns0:c r="AE667" s="7">
        <ns0:f>IF(W667&lt;0,A667,0)</ns0:f>
        <ns0:v>0</ns0:v>
      </ns0:c>
      <ns0:c r="AF667" s="16">
        <ns0:f>IF(AND(OR('前提と出典'!$C$36+'前提と出典'!$C$38=0,U667&gt;=0),OR('前提と出典'!$C$37+'前提と出典'!$C$38=0,V667&gt;=0)),0,A667)</ns0:f>
        <ns0:v>0</ns0:v>
      </ns0:c>
      <ns0:c r="AG667" s="7">
        <ns0:f>IF(Z667&gt;=0,A667,1001)</ns0:f>
        <ns0:v>663</ns0:v>
      </ns0:c>
      <ns0:c r="AH667" s="4">
        <ns0:f>IF(Z667&lt;0,A667,0)</ns0:f>
        <ns0:v>0</ns0:v>
      </ns0:c>
      <ns0:c r="AI667" s="12">
        <ns0:f>IF(AND(OR('前提と出典'!$C$36+'前提と出典'!$C$38=0,X667&gt;=0),OR('前提と出典'!$C$37+'前提と出典'!$C$38=0,Y667&gt;=0)),0,A667)</ns0:f>
        <ns0:v>0</ns0:v>
      </ns0:c>
    </ns0:row>
    <ns0:row r="668" ht="24" customHeight="1">
      <ns0:c r="A668" s="4" t="n">
        <ns0:v>664</ns0:v>
      </ns0:c>
      <ns0:c r="B668" s="12">
        <ns0:f>A668*('前提と出典'!$C$36+'前提と出典'!$C$38)</ns0:f>
        <ns0:v>464.79999999999995</ns0:v>
      </ns0:c>
      <ns0:c r="C668" s="12">
        <ns0:f>A668*('前提と出典'!$C$37+'前提と出典'!$C$38)</ns0:f>
        <ns0:v>398.4</ns0:v>
      </ns0:c>
      <ns0:c r="D668" s="16">
        <ns0:f>A668*('前提と出典'!$C$36*'契約別単価'!C5+'前提と出典'!$C$37*'契約別単価'!C6+'前提と出典'!$C$38*'契約別単価'!C7)</ns0:f>
        <ns0:v>4777.832402234637</ns0:v>
      </ns0:c>
      <ns0:c r="E668" s="16">
        <ns0:f>A668*('前提と出典'!$C$36*'契約別単価'!E5+'前提と出典'!$C$37*'契約別単価'!E6+'前提と出典'!$C$38*'契約別単価'!E7)</ns0:f>
        <ns0:v>1284803.252070291</ns0:v>
      </ns0:c>
      <ns0:c r="F668" s="16">
        <ns0:f>A668*('前提と出典'!$C$36*'契約別単価'!F5+'前提と出典'!$C$37*'契約別単価'!F6+'前提と出典'!$C$38*'契約別単価'!F7)</ns0:f>
        <ns0:v>504238.5985234597</ns0:v>
      </ns0:c>
      <ns0:c r="G668" s="16">
        <ns0:f>A668*('前提と出典'!$C$36*'契約別単価'!G5+'前提と出典'!$C$37*'契約別単価'!G6+'前提と出典'!$C$38*'契約別単価'!G7)</ns0:f>
        <ns0:v>1321693.8547486032</ns0:v>
      </ns0:c>
      <ns0:c r="H668" s="16">
        <ns0:f>A668*('前提と出典'!$C$36*'契約別単価'!H5+'前提と出典'!$C$37*'契約別単価'!H6+'前提と出典'!$C$38*'契約別単価'!H7)</ns0:f>
        <ns0:v>458694.0557536284</ns0:v>
      </ns0:c>
      <ns0:c r="I668" s="16">
        <ns0:f>A668*('前提と出典'!$C$36*'契約別単価'!I5+'前提と出典'!$C$37*'契約別単価'!I6+'前提と出典'!$C$38*'契約別単価'!I7)</ns0:f>
        <ns0:v>28017.83240223463</ns0:v>
      </ns0:c>
      <ns0:c r="J668" s="16">
        <ns0:f>A668*('前提と出典'!$C$36*'契約別単価'!J5+'前提と出典'!$C$37*'契約別単価'!J6+'前提と出典'!$C$38*'契約別単価'!J7)</ns0:f>
        <ns0:v>65264.2570236409</ns0:v>
      </ns0:c>
      <ns0:c r="K668" s="16">
        <ns0:f>A668*('前提と出典'!$C$36*'契約別単価'!K5+'前提と出典'!$C$37*'契約別単価'!K6+'前提と出典'!$C$38*'契約別単価'!K7)</ns0:f>
        <ns0:v>279745.5493482309</ns0:v>
      </ns0:c>
      <ns0:c r="L668" s="16">
        <ns0:f>A668*('前提と出典'!$C$36*'契約別単価'!L5+'前提と出典'!$C$37*'契約別単価'!L6+'前提と出典'!$C$38*'契約別単価'!L7)</ns0:f>
        <ns0:v>227769.80185845427</ns0:v>
      </ns0:c>
      <ns0:c r="M668" s="16">
        <ns0:f>IF(('前提と出典'!$C$36+'前提と出典'!$C$38)=0,0,IF(B668&lt;=10,'前提と出典'!B73+'前提と出典'!C73,IF(B668&lt;=100,'前提と出典'!B74+'前提と出典'!C74,IF(B668&lt;=500,'前提と出典'!B75+'前提と出典'!C75,'前提と出典'!B76+'前提と出典'!C76))))</ns0:f>
        <ns0:v>40000</ns0:v>
      </ns0:c>
      <ns0:c r="N668" s="16">
        <ns0:f>IF(('前提と出典'!$C$37+'前提と出典'!$C$38)=0,0,IF(C668&lt;=10,'前提と出典'!D73+'前提と出典'!E73,IF(C668&lt;=100,'前提と出典'!D74+'前提と出典'!E74,IF(C668&lt;=500,'前提と出典'!D75+'前提と出典'!E75,'前提と出典'!D76+'前提と出典'!E76))))</ns0:f>
        <ns0:v>56510.9346263078</ns0:v>
      </ns0:c>
      <ns0:c r="O668" s="16">
        <ns0:f>IF('前提と出典'!$C$36+'前提と出典'!$C$38=0,0,'前提と出典'!$B$4*IF('前提と出典'!$B$20=0,MAX('前提と出典'!$B$6,D668*'前提と出典'!$B$5),'前提と出典'!$B$6+D668*'前提と出典'!$B$5))</ns0:f>
        <ns0:v>659340.8715083798</ns0:v>
      </ns0:c>
      <ns0:c r="P668" s="16">
        <ns0:f>(E668+G668)*(1-'前提と出典'!$B$7)-I668-K668-M668-O668</ns0:f>
        <ns0:v>1505558.9577145681</ns0:v>
      </ns0:c>
      <ns0:c r="Q668" s="16">
        <ns0:f>(F668+H668)*(1-'前提と出典'!$B$7)-J668-L668-N668</ns0:f>
        <ns0:v>578722.08521471</ns0:v>
      </ns0:c>
      <ns0:c r="R668" s="16">
        <ns0:f>P668-E668*'前提と出典'!$E$4</ns0:f>
        <ns0:v>1120117.9820934809</ns0:v>
      </ns0:c>
      <ns0:c r="S668" s="16">
        <ns0:f>Q668-F668*'前提と出典'!$E$4</ns0:f>
        <ns0:v>427450.50565767207</ns0:v>
      </ns0:c>
      <ns0:c r="T668" s="7">
        <ns0:f>R668+S668</ns0:f>
        <ns0:v>1547568.4877511528</ns0:v>
      </ns0:c>
      <ns0:c r="U668" s="16">
        <ns0:f>P668-E668*'前提と出典'!$E$5</ns0:f>
        <ns0:v>991637.6568864518</ns0:v>
      </ns0:c>
      <ns0:c r="V668" s="16">
        <ns0:f>Q668-F668*'前提と出典'!$E$5</ns0:f>
        <ns0:v>377026.64580532606</ns0:v>
      </ns0:c>
      <ns0:c r="W668" s="7">
        <ns0:f>U668+V668</ns0:f>
        <ns0:v>1368664.3026917777</ns0:v>
      </ns0:c>
      <ns0:c r="X668" s="16">
        <ns0:f>P668-E668*'前提と出典'!$E$6</ns0:f>
        <ns0:v>863157.3316794228</ns0:v>
      </ns0:c>
      <ns0:c r="Y668" s="16">
        <ns0:f>Q668-F668*'前提と出典'!$E$6</ns0:f>
        <ns0:v>326602.78595298016</ns0:v>
      </ns0:c>
      <ns0:c r="Z668" s="7">
        <ns0:f>X668+Y668</ns0:f>
        <ns0:v>1189760.117632403</ns0:v>
      </ns0:c>
      <ns0:c r="AA668" s="7">
        <ns0:f>IF(T668&gt;=0,A668,1001)</ns0:f>
        <ns0:v>664</ns0:v>
      </ns0:c>
      <ns0:c r="AB668" s="7">
        <ns0:f>IF(T668&lt;0,A668,0)</ns0:f>
        <ns0:v>0</ns0:v>
      </ns0:c>
      <ns0:c r="AC668" s="16">
        <ns0:f>IF(AND(OR('前提と出典'!$C$36+'前提と出典'!$C$38=0,R668&gt;=0),OR('前提と出典'!$C$37+'前提と出典'!$C$38=0,S668&gt;=0)),0,A668)</ns0:f>
        <ns0:v>0</ns0:v>
      </ns0:c>
      <ns0:c r="AD668" s="7">
        <ns0:f>IF(W668&gt;=0,A668,1001)</ns0:f>
        <ns0:v>664</ns0:v>
      </ns0:c>
      <ns0:c r="AE668" s="7">
        <ns0:f>IF(W668&lt;0,A668,0)</ns0:f>
        <ns0:v>0</ns0:v>
      </ns0:c>
      <ns0:c r="AF668" s="16">
        <ns0:f>IF(AND(OR('前提と出典'!$C$36+'前提と出典'!$C$38=0,U668&gt;=0),OR('前提と出典'!$C$37+'前提と出典'!$C$38=0,V668&gt;=0)),0,A668)</ns0:f>
        <ns0:v>0</ns0:v>
      </ns0:c>
      <ns0:c r="AG668" s="7">
        <ns0:f>IF(Z668&gt;=0,A668,1001)</ns0:f>
        <ns0:v>664</ns0:v>
      </ns0:c>
      <ns0:c r="AH668" s="4">
        <ns0:f>IF(Z668&lt;0,A668,0)</ns0:f>
        <ns0:v>0</ns0:v>
      </ns0:c>
      <ns0:c r="AI668" s="12">
        <ns0:f>IF(AND(OR('前提と出典'!$C$36+'前提と出典'!$C$38=0,X668&gt;=0),OR('前提と出典'!$C$37+'前提と出典'!$C$38=0,Y668&gt;=0)),0,A668)</ns0:f>
        <ns0:v>0</ns0:v>
      </ns0:c>
    </ns0:row>
    <ns0:row r="669" ht="24" customHeight="1">
      <ns0:c r="A669" s="4" t="n">
        <ns0:v>665</ns0:v>
      </ns0:c>
      <ns0:c r="B669" s="12">
        <ns0:f>A669*('前提と出典'!$C$36+'前提と出典'!$C$38)</ns0:f>
        <ns0:v>465.49999999999994</ns0:v>
      </ns0:c>
      <ns0:c r="C669" s="12">
        <ns0:f>A669*('前提と出典'!$C$37+'前提と出典'!$C$38)</ns0:f>
        <ns0:v>399</ns0:v>
      </ns0:c>
      <ns0:c r="D669" s="16">
        <ns0:f>A669*('前提と出典'!$C$36*'契約別単価'!C5+'前提と出典'!$C$37*'契約別単価'!C6+'前提と出典'!$C$38*'契約別単価'!C7)</ns0:f>
        <ns0:v>4785.027932960894</ns0:v>
      </ns0:c>
      <ns0:c r="E669" s="16">
        <ns0:f>A669*('前提と出典'!$C$36*'契約別単価'!E5+'前提と出典'!$C$37*'契約別単価'!E6+'前提と出典'!$C$38*'契約別単価'!E7)</ns0:f>
        <ns0:v>1286738.1967270235</ns0:v>
      </ns0:c>
      <ns0:c r="F669" s="16">
        <ns0:f>A669*('前提と出典'!$C$36*'契約別単価'!F5+'前提と出典'!$C$37*'契約別単価'!F6+'前提と出典'!$C$38*'契約別単価'!F7)</ns0:f>
        <ns0:v>504997.9940031637</ns0:v>
      </ns0:c>
      <ns0:c r="G669" s="16">
        <ns0:f>A669*('前提と出典'!$C$36*'契約別単価'!G5+'前提と出典'!$C$37*'契約別単価'!G6+'前提と出典'!$C$38*'契約別単価'!G7)</ns0:f>
        <ns0:v>1323684.3575418994</ns0:v>
      </ns0:c>
      <ns0:c r="H669" s="16">
        <ns0:f>A669*('前提と出典'!$C$36*'契約別単価'!H5+'前提と出典'!$C$37*'契約別単価'!H6+'前提と出典'!$C$38*'契約別単価'!H7)</ns0:f>
        <ns0:v>459384.86005446216</ns0:v>
      </ns0:c>
      <ns0:c r="I669" s="16">
        <ns0:f>A669*('前提と出典'!$C$36*'契約別単価'!I5+'前提と出典'!$C$37*'契約別単価'!I6+'前提と出典'!$C$38*'契約別単価'!I7)</ns0:f>
        <ns0:v>28060.02793296089</ns0:v>
      </ns0:c>
      <ns0:c r="J669" s="16">
        <ns0:f>A669*('前提と出典'!$C$36*'契約別単価'!J5+'前提と出典'!$C$37*'契約別単価'!J6+'前提と出典'!$C$38*'契約別単価'!J7)</ns0:f>
        <ns0:v>65362.54656735121</ns0:v>
      </ns0:c>
      <ns0:c r="K669" s="16">
        <ns0:f>A669*('前提と出典'!$C$36*'契約別単価'!K5+'前提と出典'!$C$37*'契約別単価'!K6+'前提と出典'!$C$38*'契約別単価'!K7)</ns0:f>
        <ns0:v>280166.85288640595</ns0:v>
      </ns0:c>
      <ns0:c r="L669" s="16">
        <ns0:f>A669*('前提と出典'!$C$36*'契約別単価'!L5+'前提と出典'!$C$37*'契約別単価'!L6+'前提と出典'!$C$38*'契約別単価'!L7)</ns0:f>
        <ns0:v>228112.82866848208</ns0:v>
      </ns0:c>
      <ns0:c r="M669" s="16">
        <ns0:f>IF(('前提と出典'!$C$36+'前提と出典'!$C$38)=0,0,IF(B669&lt;=10,'前提と出典'!B73+'前提と出典'!C73,IF(B669&lt;=100,'前提と出典'!B74+'前提と出典'!C74,IF(B669&lt;=500,'前提と出典'!B75+'前提と出典'!C75,'前提と出典'!B76+'前提と出典'!C76))))</ns0:f>
        <ns0:v>40000</ns0:v>
      </ns0:c>
      <ns0:c r="N669" s="16">
        <ns0:f>IF(('前提と出典'!$C$37+'前提と出典'!$C$38)=0,0,IF(C669&lt;=10,'前提と出典'!D73+'前提と出典'!E73,IF(C669&lt;=100,'前提と出典'!D74+'前提と出典'!E74,IF(C669&lt;=500,'前提と出典'!D75+'前提と出典'!E75,'前提と出典'!D76+'前提と出典'!E76))))</ns0:f>
        <ns0:v>56510.9346263078</ns0:v>
      </ns0:c>
      <ns0:c r="O669" s="16">
        <ns0:f>IF('前提と出典'!$C$36+'前提と出典'!$C$38=0,0,'前提と出典'!$B$4*IF('前提と出典'!$B$20=0,MAX('前提と出典'!$B$6,D669*'前提と出典'!$B$5),'前提と出典'!$B$6+D669*'前提と出典'!$B$5))</ns0:f>
        <ns0:v>660333.8547486033</ns0:v>
      </ns0:c>
      <ns0:c r="P669" s="16">
        <ns0:f>(E669+G669)*(1-'前提と出典'!$B$7)-I669-K669-M669-O669</ns0:f>
        <ns0:v>1507886.6067472715</ns0:v>
      </ns0:c>
      <ns0:c r="Q669" s="16">
        <ns0:f>(F669+H669)*(1-'前提と出典'!$B$7)-J669-L669-N669</ns0:f>
        <ns0:v>579678.7614494103</ns0:v>
      </ns0:c>
      <ns0:c r="R669" s="16">
        <ns0:f>P669-E669*'前提と出典'!$E$4</ns0:f>
        <ns0:v>1121865.147729164</ns0:v>
      </ns0:c>
      <ns0:c r="S669" s="16">
        <ns0:f>Q669-F669*'前提と出典'!$E$4</ns0:f>
        <ns0:v>428179.3632484612</ns0:v>
      </ns0:c>
      <ns0:c r="T669" s="7">
        <ns0:f>R669+S669</ns0:f>
        <ns0:v>1550044.5109776251</ns0:v>
      </ns0:c>
      <ns0:c r="U669" s="16">
        <ns0:f>P669-E669*'前提と出典'!$E$5</ns0:f>
        <ns0:v>993191.328056462</ns0:v>
      </ns0:c>
      <ns0:c r="V669" s="16">
        <ns0:f>Q669-F669*'前提と出典'!$E$5</ns0:f>
        <ns0:v>377679.5638481448</ns0:v>
      </ns0:c>
      <ns0:c r="W669" s="7">
        <ns0:f>U669+V669</ns0:f>
        <ns0:v>1370870.8919046067</ns0:v>
      </ns0:c>
      <ns0:c r="X669" s="16">
        <ns0:f>P669-E669*'前提と出典'!$E$6</ns0:f>
        <ns0:v>864517.5083837596</ns0:v>
      </ns0:c>
      <ns0:c r="Y669" s="16">
        <ns0:f>Q669-F669*'前提と出典'!$E$6</ns0:f>
        <ns0:v>327179.76444782846</ns0:v>
      </ns0:c>
      <ns0:c r="Z669" s="7">
        <ns0:f>X669+Y669</ns0:f>
        <ns0:v>1191697.272831588</ns0:v>
      </ns0:c>
      <ns0:c r="AA669" s="7">
        <ns0:f>IF(T669&gt;=0,A669,1001)</ns0:f>
        <ns0:v>665</ns0:v>
      </ns0:c>
      <ns0:c r="AB669" s="7">
        <ns0:f>IF(T669&lt;0,A669,0)</ns0:f>
        <ns0:v>0</ns0:v>
      </ns0:c>
      <ns0:c r="AC669" s="16">
        <ns0:f>IF(AND(OR('前提と出典'!$C$36+'前提と出典'!$C$38=0,R669&gt;=0),OR('前提と出典'!$C$37+'前提と出典'!$C$38=0,S669&gt;=0)),0,A669)</ns0:f>
        <ns0:v>0</ns0:v>
      </ns0:c>
      <ns0:c r="AD669" s="7">
        <ns0:f>IF(W669&gt;=0,A669,1001)</ns0:f>
        <ns0:v>665</ns0:v>
      </ns0:c>
      <ns0:c r="AE669" s="7">
        <ns0:f>IF(W669&lt;0,A669,0)</ns0:f>
        <ns0:v>0</ns0:v>
      </ns0:c>
      <ns0:c r="AF669" s="16">
        <ns0:f>IF(AND(OR('前提と出典'!$C$36+'前提と出典'!$C$38=0,U669&gt;=0),OR('前提と出典'!$C$37+'前提と出典'!$C$38=0,V669&gt;=0)),0,A669)</ns0:f>
        <ns0:v>0</ns0:v>
      </ns0:c>
      <ns0:c r="AG669" s="7">
        <ns0:f>IF(Z669&gt;=0,A669,1001)</ns0:f>
        <ns0:v>665</ns0:v>
      </ns0:c>
      <ns0:c r="AH669" s="4">
        <ns0:f>IF(Z669&lt;0,A669,0)</ns0:f>
        <ns0:v>0</ns0:v>
      </ns0:c>
      <ns0:c r="AI669" s="12">
        <ns0:f>IF(AND(OR('前提と出典'!$C$36+'前提と出典'!$C$38=0,X669&gt;=0),OR('前提と出典'!$C$37+'前提と出典'!$C$38=0,Y669&gt;=0)),0,A669)</ns0:f>
        <ns0:v>0</ns0:v>
      </ns0:c>
    </ns0:row>
    <ns0:row r="670" ht="24" customHeight="1">
      <ns0:c r="A670" s="4" t="n">
        <ns0:v>666</ns0:v>
      </ns0:c>
      <ns0:c r="B670" s="12">
        <ns0:f>A670*('前提と出典'!$C$36+'前提と出典'!$C$38)</ns0:f>
        <ns0:v>466.2</ns0:v>
      </ns0:c>
      <ns0:c r="C670" s="12">
        <ns0:f>A670*('前提と出典'!$C$37+'前提と出典'!$C$38)</ns0:f>
        <ns0:v>399.59999999999997</ns0:v>
      </ns0:c>
      <ns0:c r="D670" s="16">
        <ns0:f>A670*('前提と出典'!$C$36*'契約別単価'!C5+'前提と出典'!$C$37*'契約別単価'!C6+'前提と出典'!$C$38*'契約別単価'!C7)</ns0:f>
        <ns0:v>4792.223463687151</ns0:v>
      </ns0:c>
      <ns0:c r="E670" s="16">
        <ns0:f>A670*('前提と出典'!$C$36*'契約別単価'!E5+'前提と出典'!$C$37*'契約別単価'!E6+'前提と出典'!$C$38*'契約別単価'!E7)</ns0:f>
        <ns0:v>1288673.1413837557</ns0:v>
      </ns0:c>
      <ns0:c r="F670" s="16">
        <ns0:f>A670*('前提と出典'!$C$36*'契約別単価'!F5+'前提と出典'!$C$37*'契約別単価'!F6+'前提と出典'!$C$38*'契約別単価'!F7)</ns0:f>
        <ns0:v>505757.3894828677</ns0:v>
      </ns0:c>
      <ns0:c r="G670" s="16">
        <ns0:f>A670*('前提と出典'!$C$36*'契約別単価'!G5+'前提と出典'!$C$37*'契約別単価'!G6+'前提と出典'!$C$38*'契約別単価'!G7)</ns0:f>
        <ns0:v>1325674.8603351954</ns0:v>
      </ns0:c>
      <ns0:c r="H670" s="16">
        <ns0:f>A670*('前提と出典'!$C$36*'契約別単価'!H5+'前提と出典'!$C$37*'契約別単価'!H6+'前提と出典'!$C$38*'契約別単価'!H7)</ns0:f>
        <ns0:v>460075.66435529594</ns0:v>
      </ns0:c>
      <ns0:c r="I670" s="16">
        <ns0:f>A670*('前提と出典'!$C$36*'契約別単価'!I5+'前提と出典'!$C$37*'契約別単価'!I6+'前提と出典'!$C$38*'契約別単価'!I7)</ns0:f>
        <ns0:v>28102.223463687147</ns0:v>
      </ns0:c>
      <ns0:c r="J670" s="16">
        <ns0:f>A670*('前提と出典'!$C$36*'契約別単価'!J5+'前提と出典'!$C$37*'契約別単価'!J6+'前提と出典'!$C$38*'契約別単価'!J7)</ns0:f>
        <ns0:v>65460.83611106151</ns0:v>
      </ns0:c>
      <ns0:c r="K670" s="16">
        <ns0:f>A670*('前提と出典'!$C$36*'契約別単価'!K5+'前提と出典'!$C$37*'契約別単価'!K6+'前提と出典'!$C$38*'契約別単価'!K7)</ns0:f>
        <ns0:v>280588.156424581</ns0:v>
      </ns0:c>
      <ns0:c r="L670" s="16">
        <ns0:f>A670*('前提と出典'!$C$36*'契約別単価'!L5+'前提と出典'!$C$37*'契約別単価'!L6+'前提と出典'!$C$38*'契約別単価'!L7)</ns0:f>
        <ns0:v>228455.85547850985</ns0:v>
      </ns0:c>
      <ns0:c r="M670" s="16">
        <ns0:f>IF(('前提と出典'!$C$36+'前提と出典'!$C$38)=0,0,IF(B670&lt;=10,'前提と出典'!B73+'前提と出典'!C73,IF(B670&lt;=100,'前提と出典'!B74+'前提と出典'!C74,IF(B670&lt;=500,'前提と出典'!B75+'前提と出典'!C75,'前提と出典'!B76+'前提と出典'!C76))))</ns0:f>
        <ns0:v>40000</ns0:v>
      </ns0:c>
      <ns0:c r="N670" s="16">
        <ns0:f>IF(('前提と出典'!$C$37+'前提と出典'!$C$38)=0,0,IF(C670&lt;=10,'前提と出典'!D73+'前提と出典'!E73,IF(C670&lt;=100,'前提と出典'!D74+'前提と出典'!E74,IF(C670&lt;=500,'前提と出典'!D75+'前提と出典'!E75,'前提と出典'!D76+'前提と出典'!E76))))</ns0:f>
        <ns0:v>56510.9346263078</ns0:v>
      </ns0:c>
      <ns0:c r="O670" s="16">
        <ns0:f>IF('前提と出典'!$C$36+'前提と出典'!$C$38=0,0,'前提と出典'!$B$4*IF('前提と出典'!$B$20=0,MAX('前提と出典'!$B$6,D670*'前提と出典'!$B$5),'前提と出典'!$B$6+D670*'前提と出典'!$B$5))</ns0:f>
        <ns0:v>661326.8379888268</ns0:v>
      </ns0:c>
      <ns0:c r="P670" s="16">
        <ns0:f>(E670+G670)*(1-'前提と出典'!$B$7)-I670-K670-M670-O670</ns0:f>
        <ns0:v>1510214.2557799742</ns0:v>
      </ns0:c>
      <ns0:c r="Q670" s="16">
        <ns0:f>(F670+H670)*(1-'前提と出典'!$B$7)-J670-L670-N670</ns0:f>
        <ns0:v>580635.4376841106</ns0:v>
      </ns0:c>
      <ns0:c r="R670" s="16">
        <ns0:f>P670-E670*'前提と出典'!$E$4</ns0:f>
        <ns0:v>1123612.3133648476</ns0:v>
      </ns0:c>
      <ns0:c r="S670" s="16">
        <ns0:f>Q670-F670*'前提と出典'!$E$4</ns0:f>
        <ns0:v>428908.2208392503</ns0:v>
      </ns0:c>
      <ns0:c r="T670" s="7">
        <ns0:f>R670+S670</ns0:f>
        <ns0:v>1552520.534204098</ns0:v>
      </ns0:c>
      <ns0:c r="U670" s="16">
        <ns0:f>P670-E670*'前提と出典'!$E$5</ns0:f>
        <ns0:v>994744.999226472</ns0:v>
      </ns0:c>
      <ns0:c r="V670" s="16">
        <ns0:f>Q670-F670*'前提と出典'!$E$5</ns0:f>
        <ns0:v>378332.48189096345</ns0:v>
      </ns0:c>
      <ns0:c r="W670" s="7">
        <ns0:f>U670+V670</ns0:f>
        <ns0:v>1373077.4811174355</ns0:v>
      </ns0:c>
      <ns0:c r="X670" s="16">
        <ns0:f>P670-E670*'前提と出典'!$E$6</ns0:f>
        <ns0:v>865877.6850880963</ns0:v>
      </ns0:c>
      <ns0:c r="Y670" s="16">
        <ns0:f>Q670-F670*'前提と出典'!$E$6</ns0:f>
        <ns0:v>327756.7429426767</ns0:v>
      </ns0:c>
      <ns0:c r="Z670" s="7">
        <ns0:f>X670+Y670</ns0:f>
        <ns0:v>1193634.428030773</ns0:v>
      </ns0:c>
      <ns0:c r="AA670" s="7">
        <ns0:f>IF(T670&gt;=0,A670,1001)</ns0:f>
        <ns0:v>666</ns0:v>
      </ns0:c>
      <ns0:c r="AB670" s="7">
        <ns0:f>IF(T670&lt;0,A670,0)</ns0:f>
        <ns0:v>0</ns0:v>
      </ns0:c>
      <ns0:c r="AC670" s="16">
        <ns0:f>IF(AND(OR('前提と出典'!$C$36+'前提と出典'!$C$38=0,R670&gt;=0),OR('前提と出典'!$C$37+'前提と出典'!$C$38=0,S670&gt;=0)),0,A670)</ns0:f>
        <ns0:v>0</ns0:v>
      </ns0:c>
      <ns0:c r="AD670" s="7">
        <ns0:f>IF(W670&gt;=0,A670,1001)</ns0:f>
        <ns0:v>666</ns0:v>
      </ns0:c>
      <ns0:c r="AE670" s="7">
        <ns0:f>IF(W670&lt;0,A670,0)</ns0:f>
        <ns0:v>0</ns0:v>
      </ns0:c>
      <ns0:c r="AF670" s="16">
        <ns0:f>IF(AND(OR('前提と出典'!$C$36+'前提と出典'!$C$38=0,U670&gt;=0),OR('前提と出典'!$C$37+'前提と出典'!$C$38=0,V670&gt;=0)),0,A670)</ns0:f>
        <ns0:v>0</ns0:v>
      </ns0:c>
      <ns0:c r="AG670" s="7">
        <ns0:f>IF(Z670&gt;=0,A670,1001)</ns0:f>
        <ns0:v>666</ns0:v>
      </ns0:c>
      <ns0:c r="AH670" s="4">
        <ns0:f>IF(Z670&lt;0,A670,0)</ns0:f>
        <ns0:v>0</ns0:v>
      </ns0:c>
      <ns0:c r="AI670" s="12">
        <ns0:f>IF(AND(OR('前提と出典'!$C$36+'前提と出典'!$C$38=0,X670&gt;=0),OR('前提と出典'!$C$37+'前提と出典'!$C$38=0,Y670&gt;=0)),0,A670)</ns0:f>
        <ns0:v>0</ns0:v>
      </ns0:c>
    </ns0:row>
    <ns0:row r="671" ht="24" customHeight="1">
      <ns0:c r="A671" s="4" t="n">
        <ns0:v>667</ns0:v>
      </ns0:c>
      <ns0:c r="B671" s="12">
        <ns0:f>A671*('前提と出典'!$C$36+'前提と出典'!$C$38)</ns0:f>
        <ns0:v>466.9</ns0:v>
      </ns0:c>
      <ns0:c r="C671" s="12">
        <ns0:f>A671*('前提と出典'!$C$37+'前提と出典'!$C$38)</ns0:f>
        <ns0:v>400.2</ns0:v>
      </ns0:c>
      <ns0:c r="D671" s="16">
        <ns0:f>A671*('前提と出典'!$C$36*'契約別単価'!C5+'前提と出典'!$C$37*'契約別単価'!C6+'前提と出典'!$C$38*'契約別単価'!C7)</ns0:f>
        <ns0:v>4799.418994413408</ns0:v>
      </ns0:c>
      <ns0:c r="E671" s="16">
        <ns0:f>A671*('前提と出典'!$C$36*'契約別単価'!E5+'前提と出典'!$C$37*'契約別単価'!E6+'前提と出典'!$C$38*'契約別単価'!E7)</ns0:f>
        <ns0:v>1290608.086040488</ns0:v>
      </ns0:c>
      <ns0:c r="F671" s="16">
        <ns0:f>A671*('前提と出典'!$C$36*'契約別単価'!F5+'前提と出典'!$C$37*'契約別単価'!F6+'前提と出典'!$C$38*'契約別単価'!F7)</ns0:f>
        <ns0:v>506516.7849625717</ns0:v>
      </ns0:c>
      <ns0:c r="G671" s="16">
        <ns0:f>A671*('前提と出典'!$C$36*'契約別単価'!G5+'前提と出典'!$C$37*'契約別単価'!G6+'前提と出典'!$C$38*'契約別単価'!G7)</ns0:f>
        <ns0:v>1327665.3631284914</ns0:v>
      </ns0:c>
      <ns0:c r="H671" s="16">
        <ns0:f>A671*('前提と出典'!$C$36*'契約別単価'!H5+'前提と出典'!$C$37*'契約別単価'!H6+'前提と出典'!$C$38*'契約別単価'!H7)</ns0:f>
        <ns0:v>460766.4686561297</ns0:v>
      </ns0:c>
      <ns0:c r="I671" s="16">
        <ns0:f>A671*('前提と出典'!$C$36*'契約別単価'!I5+'前提と出典'!$C$37*'契約別単価'!I6+'前提と出典'!$C$38*'契約別単価'!I7)</ns0:f>
        <ns0:v>28144.4189944134</ns0:v>
      </ns0:c>
      <ns0:c r="J671" s="16">
        <ns0:f>A671*('前提と出典'!$C$36*'契約別単価'!J5+'前提と出典'!$C$37*'契約別単価'!J6+'前提と出典'!$C$38*'契約別単価'!J7)</ns0:f>
        <ns0:v>65559.12565477181</ns0:v>
      </ns0:c>
      <ns0:c r="K671" s="16">
        <ns0:f>A671*('前提と出典'!$C$36*'契約別単価'!K5+'前提と出典'!$C$37*'契約別単価'!K6+'前提と出典'!$C$38*'契約別単価'!K7)</ns0:f>
        <ns0:v>281009.459962756</ns0:v>
      </ns0:c>
      <ns0:c r="L671" s="16">
        <ns0:f>A671*('前提と出典'!$C$36*'契約別単価'!L5+'前提と出典'!$C$37*'契約別単価'!L6+'前提と出典'!$C$38*'契約別単価'!L7)</ns0:f>
        <ns0:v>228798.88228853766</ns0:v>
      </ns0:c>
      <ns0:c r="M671" s="16">
        <ns0:f>IF(('前提と出典'!$C$36+'前提と出典'!$C$38)=0,0,IF(B671&lt;=10,'前提と出典'!B73+'前提と出典'!C73,IF(B671&lt;=100,'前提と出典'!B74+'前提と出典'!C74,IF(B671&lt;=500,'前提と出典'!B75+'前提と出典'!C75,'前提と出典'!B76+'前提と出典'!C76))))</ns0:f>
        <ns0:v>40000</ns0:v>
      </ns0:c>
      <ns0:c r="N671" s="16">
        <ns0:f>IF(('前提と出典'!$C$37+'前提と出典'!$C$38)=0,0,IF(C671&lt;=10,'前提と出典'!D73+'前提と出典'!E73,IF(C671&lt;=100,'前提と出典'!D74+'前提と出典'!E74,IF(C671&lt;=500,'前提と出典'!D75+'前提と出典'!E75,'前提と出典'!D76+'前提と出典'!E76))))</ns0:f>
        <ns0:v>56510.9346263078</ns0:v>
      </ns0:c>
      <ns0:c r="O671" s="16">
        <ns0:f>IF('前提と出典'!$C$36+'前提と出典'!$C$38=0,0,'前提と出典'!$B$4*IF('前提と出典'!$B$20=0,MAX('前提と出典'!$B$6,D671*'前提と出典'!$B$5),'前提と出典'!$B$6+D671*'前提と出典'!$B$5))</ns0:f>
        <ns0:v>662319.8212290503</ns0:v>
      </ns0:c>
      <ns0:c r="P671" s="16">
        <ns0:f>(E671+G671)*(1-'前提と出典'!$B$7)-I671-K671-M671-O671</ns0:f>
        <ns0:v>1512541.904812676</ns0:v>
      </ns0:c>
      <ns0:c r="Q671" s="16">
        <ns0:f>(F671+H671)*(1-'前提と出典'!$B$7)-J671-L671-N671</ns0:f>
        <ns0:v>581592.1139188109</ns0:v>
      </ns0:c>
      <ns0:c r="R671" s="16">
        <ns0:f>P671-E671*'前提と出典'!$E$4</ns0:f>
        <ns0:v>1125359.4790005297</ns0:v>
      </ns0:c>
      <ns0:c r="S671" s="16">
        <ns0:f>Q671-F671*'前提と出典'!$E$4</ns0:f>
        <ns0:v>429637.07843003934</ns0:v>
      </ns0:c>
      <ns0:c r="T671" s="7">
        <ns0:f>R671+S671</ns0:f>
        <ns0:v>1554996.557430569</ns0:v>
      </ns0:c>
      <ns0:c r="U671" s="16">
        <ns0:f>P671-E671*'前提と出典'!$E$5</ns0:f>
        <ns0:v>996298.6703964808</ns0:v>
      </ns0:c>
      <ns0:c r="V671" s="16">
        <ns0:f>Q671-F671*'前提と出典'!$E$5</ns0:f>
        <ns0:v>378985.3999337822</ns0:v>
      </ns0:c>
      <ns0:c r="W671" s="7">
        <ns0:f>U671+V671</ns0:f>
        <ns0:v>1375284.070330263</ns0:v>
      </ns0:c>
      <ns0:c r="X671" s="16">
        <ns0:f>P671-E671*'前提と出典'!$E$6</ns0:f>
        <ns0:v>867237.8617924323</ns0:v>
      </ns0:c>
      <ns0:c r="Y671" s="16">
        <ns0:f>Q671-F671*'前提と出典'!$E$6</ns0:f>
        <ns0:v>328333.721437525</ns0:v>
      </ns0:c>
      <ns0:c r="Z671" s="7">
        <ns0:f>X671+Y671</ns0:f>
        <ns0:v>1195571.5832299571</ns0:v>
      </ns0:c>
      <ns0:c r="AA671" s="7">
        <ns0:f>IF(T671&gt;=0,A671,1001)</ns0:f>
        <ns0:v>667</ns0:v>
      </ns0:c>
      <ns0:c r="AB671" s="7">
        <ns0:f>IF(T671&lt;0,A671,0)</ns0:f>
        <ns0:v>0</ns0:v>
      </ns0:c>
      <ns0:c r="AC671" s="16">
        <ns0:f>IF(AND(OR('前提と出典'!$C$36+'前提と出典'!$C$38=0,R671&gt;=0),OR('前提と出典'!$C$37+'前提と出典'!$C$38=0,S671&gt;=0)),0,A671)</ns0:f>
        <ns0:v>0</ns0:v>
      </ns0:c>
      <ns0:c r="AD671" s="7">
        <ns0:f>IF(W671&gt;=0,A671,1001)</ns0:f>
        <ns0:v>667</ns0:v>
      </ns0:c>
      <ns0:c r="AE671" s="7">
        <ns0:f>IF(W671&lt;0,A671,0)</ns0:f>
        <ns0:v>0</ns0:v>
      </ns0:c>
      <ns0:c r="AF671" s="16">
        <ns0:f>IF(AND(OR('前提と出典'!$C$36+'前提と出典'!$C$38=0,U671&gt;=0),OR('前提と出典'!$C$37+'前提と出典'!$C$38=0,V671&gt;=0)),0,A671)</ns0:f>
        <ns0:v>0</ns0:v>
      </ns0:c>
      <ns0:c r="AG671" s="7">
        <ns0:f>IF(Z671&gt;=0,A671,1001)</ns0:f>
        <ns0:v>667</ns0:v>
      </ns0:c>
      <ns0:c r="AH671" s="4">
        <ns0:f>IF(Z671&lt;0,A671,0)</ns0:f>
        <ns0:v>0</ns0:v>
      </ns0:c>
      <ns0:c r="AI671" s="12">
        <ns0:f>IF(AND(OR('前提と出典'!$C$36+'前提と出典'!$C$38=0,X671&gt;=0),OR('前提と出典'!$C$37+'前提と出典'!$C$38=0,Y671&gt;=0)),0,A671)</ns0:f>
        <ns0:v>0</ns0:v>
      </ns0:c>
    </ns0:row>
    <ns0:row r="672" ht="24" customHeight="1">
      <ns0:c r="A672" s="4" t="n">
        <ns0:v>668</ns0:v>
      </ns0:c>
      <ns0:c r="B672" s="12">
        <ns0:f>A672*('前提と出典'!$C$36+'前提と出典'!$C$38)</ns0:f>
        <ns0:v>467.59999999999997</ns0:v>
      </ns0:c>
      <ns0:c r="C672" s="12">
        <ns0:f>A672*('前提と出典'!$C$37+'前提と出典'!$C$38)</ns0:f>
        <ns0:v>400.8</ns0:v>
      </ns0:c>
      <ns0:c r="D672" s="16">
        <ns0:f>A672*('前提と出典'!$C$36*'契約別単価'!C5+'前提と出典'!$C$37*'契約別単価'!C6+'前提と出典'!$C$38*'契約別単価'!C7)</ns0:f>
        <ns0:v>4806.614525139665</ns0:v>
      </ns0:c>
      <ns0:c r="E672" s="16">
        <ns0:f>A672*('前提と出典'!$C$36*'契約別単価'!E5+'前提と出典'!$C$37*'契約別単価'!E6+'前提と出典'!$C$38*'契約別単価'!E7)</ns0:f>
        <ns0:v>1292543.0306972205</ns0:v>
      </ns0:c>
      <ns0:c r="F672" s="16">
        <ns0:f>A672*('前提と出典'!$C$36*'契約別単価'!F5+'前提と出典'!$C$37*'契約別単価'!F6+'前提と出典'!$C$38*'契約別単価'!F7)</ns0:f>
        <ns0:v>507276.1804422757</ns0:v>
      </ns0:c>
      <ns0:c r="G672" s="16">
        <ns0:f>A672*('前提と出典'!$C$36*'契約別単価'!G5+'前提と出典'!$C$37*'契約別単価'!G6+'前提と出典'!$C$38*'契約別単価'!G7)</ns0:f>
        <ns0:v>1329655.8659217877</ns0:v>
      </ns0:c>
      <ns0:c r="H672" s="16">
        <ns0:f>A672*('前提と出典'!$C$36*'契約別単価'!H5+'前提と出典'!$C$37*'契約別単価'!H6+'前提と出典'!$C$38*'契約別単価'!H7)</ns0:f>
        <ns0:v>461457.2729569635</ns0:v>
      </ns0:c>
      <ns0:c r="I672" s="16">
        <ns0:f>A672*('前提と出典'!$C$36*'契約別単価'!I5+'前提と出典'!$C$37*'契約別単価'!I6+'前提と出典'!$C$38*'契約別単価'!I7)</ns0:f>
        <ns0:v>28186.61452513966</ns0:v>
      </ns0:c>
      <ns0:c r="J672" s="16">
        <ns0:f>A672*('前提と出典'!$C$36*'契約別単価'!J5+'前提と出典'!$C$37*'契約別単価'!J6+'前提と出典'!$C$38*'契約別単価'!J7)</ns0:f>
        <ns0:v>65657.41519848212</ns0:v>
      </ns0:c>
      <ns0:c r="K672" s="16">
        <ns0:f>A672*('前提と出典'!$C$36*'契約別単価'!K5+'前提と出典'!$C$37*'契約別単価'!K6+'前提と出典'!$C$38*'契約別単価'!K7)</ns0:f>
        <ns0:v>281430.7635009311</ns0:v>
      </ns0:c>
      <ns0:c r="L672" s="16">
        <ns0:f>A672*('前提と出典'!$C$36*'契約別単価'!L5+'前提と出典'!$C$37*'契約別単価'!L6+'前提と出典'!$C$38*'契約別単価'!L7)</ns0:f>
        <ns0:v>229141.90909856543</ns0:v>
      </ns0:c>
      <ns0:c r="M672" s="16">
        <ns0:f>IF(('前提と出典'!$C$36+'前提と出典'!$C$38)=0,0,IF(B672&lt;=10,'前提と出典'!B73+'前提と出典'!C73,IF(B672&lt;=100,'前提と出典'!B74+'前提と出典'!C74,IF(B672&lt;=500,'前提と出典'!B75+'前提と出典'!C75,'前提と出典'!B76+'前提と出典'!C76))))</ns0:f>
        <ns0:v>40000</ns0:v>
      </ns0:c>
      <ns0:c r="N672" s="16">
        <ns0:f>IF(('前提と出典'!$C$37+'前提と出典'!$C$38)=0,0,IF(C672&lt;=10,'前提と出典'!D73+'前提と出典'!E73,IF(C672&lt;=100,'前提と出典'!D74+'前提と出典'!E74,IF(C672&lt;=500,'前提と出典'!D75+'前提と出典'!E75,'前提と出典'!D76+'前提と出典'!E76))))</ns0:f>
        <ns0:v>56510.9346263078</ns0:v>
      </ns0:c>
      <ns0:c r="O672" s="16">
        <ns0:f>IF('前提と出典'!$C$36+'前提と出典'!$C$38=0,0,'前提と出典'!$B$4*IF('前提と出典'!$B$20=0,MAX('前提と出典'!$B$6,D672*'前提と出典'!$B$5),'前提と出典'!$B$6+D672*'前提と出典'!$B$5))</ns0:f>
        <ns0:v>663312.8044692738</ns0:v>
      </ns0:c>
      <ns0:c r="P672" s="16">
        <ns0:f>(E672+G672)*(1-'前提と出典'!$B$7)-I672-K672-M672-O672</ns0:f>
        <ns0:v>1514869.5538453793</ns0:v>
      </ns0:c>
      <ns0:c r="Q672" s="16">
        <ns0:f>(F672+H672)*(1-'前提と出典'!$B$7)-J672-L672-N672</ns0:f>
        <ns0:v>582548.7901535112</ns0:v>
      </ns0:c>
      <ns0:c r="R672" s="16">
        <ns0:f>P672-E672*'前提と出典'!$E$4</ns0:f>
        <ns0:v>1127106.6446362124</ns0:v>
      </ns0:c>
      <ns0:c r="S672" s="16">
        <ns0:f>Q672-F672*'前提と出典'!$E$4</ns0:f>
        <ns0:v>430365.93602082855</ns0:v>
      </ns0:c>
      <ns0:c r="T672" s="7">
        <ns0:f>R672+S672</ns0:f>
        <ns0:v>1557472.580657041</ns0:v>
      </ns0:c>
      <ns0:c r="U672" s="16">
        <ns0:f>P672-E672*'前提と出典'!$E$5</ns0:f>
        <ns0:v>997852.341566491</ns0:v>
      </ns0:c>
      <ns0:c r="V672" s="16">
        <ns0:f>Q672-F672*'前提と出典'!$E$5</ns0:f>
        <ns0:v>379638.31797660096</ns0:v>
      </ns0:c>
      <ns0:c r="W672" s="7">
        <ns0:f>U672+V672</ns0:f>
        <ns0:v>1377490.659543092</ns0:v>
      </ns0:c>
      <ns0:c r="X672" s="16">
        <ns0:f>P672-E672*'前提と出典'!$E$6</ns0:f>
        <ns0:v>868598.0384967691</ns0:v>
      </ns0:c>
      <ns0:c r="Y672" s="16">
        <ns0:f>Q672-F672*'前提と出典'!$E$6</ns0:f>
        <ns0:v>328910.69993237336</ns0:v>
      </ns0:c>
      <ns0:c r="Z672" s="7">
        <ns0:f>X672+Y672</ns0:f>
        <ns0:v>1197508.7384291426</ns0:v>
      </ns0:c>
      <ns0:c r="AA672" s="7">
        <ns0:f>IF(T672&gt;=0,A672,1001)</ns0:f>
        <ns0:v>668</ns0:v>
      </ns0:c>
      <ns0:c r="AB672" s="7">
        <ns0:f>IF(T672&lt;0,A672,0)</ns0:f>
        <ns0:v>0</ns0:v>
      </ns0:c>
      <ns0:c r="AC672" s="16">
        <ns0:f>IF(AND(OR('前提と出典'!$C$36+'前提と出典'!$C$38=0,R672&gt;=0),OR('前提と出典'!$C$37+'前提と出典'!$C$38=0,S672&gt;=0)),0,A672)</ns0:f>
        <ns0:v>0</ns0:v>
      </ns0:c>
      <ns0:c r="AD672" s="7">
        <ns0:f>IF(W672&gt;=0,A672,1001)</ns0:f>
        <ns0:v>668</ns0:v>
      </ns0:c>
      <ns0:c r="AE672" s="7">
        <ns0:f>IF(W672&lt;0,A672,0)</ns0:f>
        <ns0:v>0</ns0:v>
      </ns0:c>
      <ns0:c r="AF672" s="16">
        <ns0:f>IF(AND(OR('前提と出典'!$C$36+'前提と出典'!$C$38=0,U672&gt;=0),OR('前提と出典'!$C$37+'前提と出典'!$C$38=0,V672&gt;=0)),0,A672)</ns0:f>
        <ns0:v>0</ns0:v>
      </ns0:c>
      <ns0:c r="AG672" s="7">
        <ns0:f>IF(Z672&gt;=0,A672,1001)</ns0:f>
        <ns0:v>668</ns0:v>
      </ns0:c>
      <ns0:c r="AH672" s="4">
        <ns0:f>IF(Z672&lt;0,A672,0)</ns0:f>
        <ns0:v>0</ns0:v>
      </ns0:c>
      <ns0:c r="AI672" s="12">
        <ns0:f>IF(AND(OR('前提と出典'!$C$36+'前提と出典'!$C$38=0,X672&gt;=0),OR('前提と出典'!$C$37+'前提と出典'!$C$38=0,Y672&gt;=0)),0,A672)</ns0:f>
        <ns0:v>0</ns0:v>
      </ns0:c>
    </ns0:row>
    <ns0:row r="673" ht="24" customHeight="1">
      <ns0:c r="A673" s="4" t="n">
        <ns0:v>669</ns0:v>
      </ns0:c>
      <ns0:c r="B673" s="12">
        <ns0:f>A673*('前提と出典'!$C$36+'前提と出典'!$C$38)</ns0:f>
        <ns0:v>468.29999999999995</ns0:v>
      </ns0:c>
      <ns0:c r="C673" s="12">
        <ns0:f>A673*('前提と出典'!$C$37+'前提と出典'!$C$38)</ns0:f>
        <ns0:v>401.4</ns0:v>
      </ns0:c>
      <ns0:c r="D673" s="16">
        <ns0:f>A673*('前提と出典'!$C$36*'契約別単価'!C5+'前提と出典'!$C$37*'契約別単価'!C6+'前提と出典'!$C$38*'契約別単価'!C7)</ns0:f>
        <ns0:v>4813.810055865922</ns0:v>
      </ns0:c>
      <ns0:c r="E673" s="16">
        <ns0:f>A673*('前提と出典'!$C$36*'契約別単価'!E5+'前提と出典'!$C$37*'契約別単価'!E6+'前提と出典'!$C$38*'契約別単価'!E7)</ns0:f>
        <ns0:v>1294477.9753539527</ns0:v>
      </ns0:c>
      <ns0:c r="F673" s="16">
        <ns0:f>A673*('前提と出典'!$C$36*'契約別単価'!F5+'前提と出典'!$C$37*'契約別単価'!F6+'前提と出典'!$C$38*'契約別単価'!F7)</ns0:f>
        <ns0:v>508035.57592197973</ns0:v>
      </ns0:c>
      <ns0:c r="G673" s="16">
        <ns0:f>A673*('前提と出典'!$C$36*'契約別単価'!G5+'前提と出典'!$C$37*'契約別単価'!G6+'前提と出典'!$C$38*'契約別単価'!G7)</ns0:f>
        <ns0:v>1331646.3687150837</ns0:v>
      </ns0:c>
      <ns0:c r="H673" s="16">
        <ns0:f>A673*('前提と出典'!$C$36*'契約別単価'!H5+'前提と出典'!$C$37*'契約別単価'!H6+'前提と出典'!$C$38*'契約別単価'!H7)</ns0:f>
        <ns0:v>462148.0772577973</ns0:v>
      </ns0:c>
      <ns0:c r="I673" s="16">
        <ns0:f>A673*('前提と出典'!$C$36*'契約別単価'!I5+'前提と出典'!$C$37*'契約別単価'!I6+'前提と出典'!$C$38*'契約別単価'!I7)</ns0:f>
        <ns0:v>28228.810055865917</ns0:v>
      </ns0:c>
      <ns0:c r="J673" s="16">
        <ns0:f>A673*('前提と出典'!$C$36*'契約別単価'!J5+'前提と出典'!$C$37*'契約別単価'!J6+'前提と出典'!$C$38*'契約別単価'!J7)</ns0:f>
        <ns0:v>65755.70474219242</ns0:v>
      </ns0:c>
      <ns0:c r="K673" s="16">
        <ns0:f>A673*('前提と出典'!$C$36*'契約別単価'!K5+'前提と出典'!$C$37*'契約別単価'!K6+'前提と出典'!$C$38*'契約別単価'!K7)</ns0:f>
        <ns0:v>281852.0670391061</ns0:v>
      </ns0:c>
      <ns0:c r="L673" s="16">
        <ns0:f>A673*('前提と出典'!$C$36*'契約別単価'!L5+'前提と出典'!$C$37*'契約別単価'!L6+'前提と出典'!$C$38*'契約別単価'!L7)</ns0:f>
        <ns0:v>229484.93590859324</ns0:v>
      </ns0:c>
      <ns0:c r="M673" s="16">
        <ns0:f>IF(('前提と出典'!$C$36+'前提と出典'!$C$38)=0,0,IF(B673&lt;=10,'前提と出典'!B73+'前提と出典'!C73,IF(B673&lt;=100,'前提と出典'!B74+'前提と出典'!C74,IF(B673&lt;=500,'前提と出典'!B75+'前提と出典'!C75,'前提と出典'!B76+'前提と出典'!C76))))</ns0:f>
        <ns0:v>40000</ns0:v>
      </ns0:c>
      <ns0:c r="N673" s="16">
        <ns0:f>IF(('前提と出典'!$C$37+'前提と出典'!$C$38)=0,0,IF(C673&lt;=10,'前提と出典'!D73+'前提と出典'!E73,IF(C673&lt;=100,'前提と出典'!D74+'前提と出典'!E74,IF(C673&lt;=500,'前提と出典'!D75+'前提と出典'!E75,'前提と出典'!D76+'前提と出典'!E76))))</ns0:f>
        <ns0:v>56510.9346263078</ns0:v>
      </ns0:c>
      <ns0:c r="O673" s="16">
        <ns0:f>IF('前提と出典'!$C$36+'前提と出典'!$C$38=0,0,'前提と出典'!$B$4*IF('前提と出典'!$B$20=0,MAX('前提と出典'!$B$6,D673*'前提と出典'!$B$5),'前提と出典'!$B$6+D673*'前提と出典'!$B$5))</ns0:f>
        <ns0:v>664305.7877094973</ns0:v>
      </ns0:c>
      <ns0:c r="P673" s="16">
        <ns0:f>(E673+G673)*(1-'前提と出典'!$B$7)-I673-K673-M673-O673</ns0:f>
        <ns0:v>1517197.2028780822</ns0:v>
      </ns0:c>
      <ns0:c r="Q673" s="16">
        <ns0:f>(F673+H673)*(1-'前提と出典'!$B$7)-J673-L673-N673</ns0:f>
        <ns0:v>583505.4663882118</ns0:v>
      </ns0:c>
      <ns0:c r="R673" s="16">
        <ns0:f>P673-E673*'前提と出典'!$E$4</ns0:f>
        <ns0:v>1128853.8102718964</ns0:v>
      </ns0:c>
      <ns0:c r="S673" s="16">
        <ns0:f>Q673-F673*'前提と出典'!$E$4</ns0:f>
        <ns0:v>431094.79361161776</ns0:v>
      </ns0:c>
      <ns0:c r="T673" s="7">
        <ns0:f>R673+S673</ns0:f>
        <ns0:v>1559948.6038835142</ns0:v>
      </ns0:c>
      <ns0:c r="U673" s="16">
        <ns0:f>P673-E673*'前提と出典'!$E$5</ns0:f>
        <ns0:v>999406.012736501</ns0:v>
      </ns0:c>
      <ns0:c r="V673" s="16">
        <ns0:f>Q673-F673*'前提と出典'!$E$5</ns0:f>
        <ns0:v>380291.23601941986</ns0:v>
      </ns0:c>
      <ns0:c r="W673" s="7">
        <ns0:f>U673+V673</ns0:f>
        <ns0:v>1379697.248755921</ns0:v>
      </ns0:c>
      <ns0:c r="X673" s="16">
        <ns0:f>P673-E673*'前提と出典'!$E$6</ns0:f>
        <ns0:v>869958.2152011058</ns0:v>
      </ns0:c>
      <ns0:c r="Y673" s="16">
        <ns0:f>Q673-F673*'前提と出典'!$E$6</ns0:f>
        <ns0:v>329487.67842722184</ns0:v>
      </ns0:c>
      <ns0:c r="Z673" s="7">
        <ns0:f>X673+Y673</ns0:f>
        <ns0:v>1199445.8936283276</ns0:v>
      </ns0:c>
      <ns0:c r="AA673" s="7">
        <ns0:f>IF(T673&gt;=0,A673,1001)</ns0:f>
        <ns0:v>669</ns0:v>
      </ns0:c>
      <ns0:c r="AB673" s="7">
        <ns0:f>IF(T673&lt;0,A673,0)</ns0:f>
        <ns0:v>0</ns0:v>
      </ns0:c>
      <ns0:c r="AC673" s="16">
        <ns0:f>IF(AND(OR('前提と出典'!$C$36+'前提と出典'!$C$38=0,R673&gt;=0),OR('前提と出典'!$C$37+'前提と出典'!$C$38=0,S673&gt;=0)),0,A673)</ns0:f>
        <ns0:v>0</ns0:v>
      </ns0:c>
      <ns0:c r="AD673" s="7">
        <ns0:f>IF(W673&gt;=0,A673,1001)</ns0:f>
        <ns0:v>669</ns0:v>
      </ns0:c>
      <ns0:c r="AE673" s="7">
        <ns0:f>IF(W673&lt;0,A673,0)</ns0:f>
        <ns0:v>0</ns0:v>
      </ns0:c>
      <ns0:c r="AF673" s="16">
        <ns0:f>IF(AND(OR('前提と出典'!$C$36+'前提と出典'!$C$38=0,U673&gt;=0),OR('前提と出典'!$C$37+'前提と出典'!$C$38=0,V673&gt;=0)),0,A673)</ns0:f>
        <ns0:v>0</ns0:v>
      </ns0:c>
      <ns0:c r="AG673" s="7">
        <ns0:f>IF(Z673&gt;=0,A673,1001)</ns0:f>
        <ns0:v>669</ns0:v>
      </ns0:c>
      <ns0:c r="AH673" s="4">
        <ns0:f>IF(Z673&lt;0,A673,0)</ns0:f>
        <ns0:v>0</ns0:v>
      </ns0:c>
      <ns0:c r="AI673" s="12">
        <ns0:f>IF(AND(OR('前提と出典'!$C$36+'前提と出典'!$C$38=0,X673&gt;=0),OR('前提と出典'!$C$37+'前提と出典'!$C$38=0,Y673&gt;=0)),0,A673)</ns0:f>
        <ns0:v>0</ns0:v>
      </ns0:c>
    </ns0:row>
    <ns0:row r="674" ht="24" customHeight="1">
      <ns0:c r="A674" s="4" t="n">
        <ns0:v>670</ns0:v>
      </ns0:c>
      <ns0:c r="B674" s="12">
        <ns0:f>A674*('前提と出典'!$C$36+'前提と出典'!$C$38)</ns0:f>
        <ns0:v>468.99999999999994</ns0:v>
      </ns0:c>
      <ns0:c r="C674" s="12">
        <ns0:f>A674*('前提と出典'!$C$37+'前提と出典'!$C$38)</ns0:f>
        <ns0:v>402</ns0:v>
      </ns0:c>
      <ns0:c r="D674" s="16">
        <ns0:f>A674*('前提と出典'!$C$36*'契約別単価'!C5+'前提と出典'!$C$37*'契約別単価'!C6+'前提と出典'!$C$38*'契約別単価'!C7)</ns0:f>
        <ns0:v>4821.005586592179</ns0:v>
      </ns0:c>
      <ns0:c r="E674" s="16">
        <ns0:f>A674*('前提と出典'!$C$36*'契約別単価'!E5+'前提と出典'!$C$37*'契約別単価'!E6+'前提と出典'!$C$38*'契約別単価'!E7)</ns0:f>
        <ns0:v>1296412.9200106852</ns0:v>
      </ns0:c>
      <ns0:c r="F674" s="16">
        <ns0:f>A674*('前提と出典'!$C$36*'契約別単価'!F5+'前提と出典'!$C$37*'契約別単価'!F6+'前提と出典'!$C$38*'契約別単価'!F7)</ns0:f>
        <ns0:v>508794.9714016837</ns0:v>
      </ns0:c>
      <ns0:c r="G674" s="16">
        <ns0:f>A674*('前提と出典'!$C$36*'契約別単価'!G5+'前提と出典'!$C$37*'契約別単価'!G6+'前提と出典'!$C$38*'契約別単価'!G7)</ns0:f>
        <ns0:v>1333636.87150838</ns0:v>
      </ns0:c>
      <ns0:c r="H674" s="16">
        <ns0:f>A674*('前提と出典'!$C$36*'契約別単価'!H5+'前提と出典'!$C$37*'契約別単価'!H6+'前提と出典'!$C$38*'契約別単価'!H7)</ns0:f>
        <ns0:v>462838.881558631</ns0:v>
      </ns0:c>
      <ns0:c r="I674" s="16">
        <ns0:f>A674*('前提と出典'!$C$36*'契約別単価'!I5+'前提と出典'!$C$37*'契約別単価'!I6+'前提と出典'!$C$38*'契約別単価'!I7)</ns0:f>
        <ns0:v>28271.005586592175</ns0:v>
      </ns0:c>
      <ns0:c r="J674" s="16">
        <ns0:f>A674*('前提と出典'!$C$36*'契約別単価'!J5+'前提と出典'!$C$37*'契約別単価'!J6+'前提と出典'!$C$38*'契約別単価'!J7)</ns0:f>
        <ns0:v>65853.99428590272</ns0:v>
      </ns0:c>
      <ns0:c r="K674" s="16">
        <ns0:f>A674*('前提と出典'!$C$36*'契約別単価'!K5+'前提と出典'!$C$37*'契約別単価'!K6+'前提と出典'!$C$38*'契約別単価'!K7)</ns0:f>
        <ns0:v>282273.37057728117</ns0:v>
      </ns0:c>
      <ns0:c r="L674" s="16">
        <ns0:f>A674*('前提と出典'!$C$36*'契約別単価'!L5+'前提と出典'!$C$37*'契約別単価'!L6+'前提と出典'!$C$38*'契約別単価'!L7)</ns0:f>
        <ns0:v>229827.96271862104</ns0:v>
      </ns0:c>
      <ns0:c r="M674" s="16">
        <ns0:f>IF(('前提と出典'!$C$36+'前提と出典'!$C$38)=0,0,IF(B674&lt;=10,'前提と出典'!B73+'前提と出典'!C73,IF(B674&lt;=100,'前提と出典'!B74+'前提と出典'!C74,IF(B674&lt;=500,'前提と出典'!B75+'前提と出典'!C75,'前提と出典'!B76+'前提と出典'!C76))))</ns0:f>
        <ns0:v>40000</ns0:v>
      </ns0:c>
      <ns0:c r="N674" s="16">
        <ns0:f>IF(('前提と出典'!$C$37+'前提と出典'!$C$38)=0,0,IF(C674&lt;=10,'前提と出典'!D73+'前提と出典'!E73,IF(C674&lt;=100,'前提と出典'!D74+'前提と出典'!E74,IF(C674&lt;=500,'前提と出典'!D75+'前提と出典'!E75,'前提と出典'!D76+'前提と出典'!E76))))</ns0:f>
        <ns0:v>56510.9346263078</ns0:v>
      </ns0:c>
      <ns0:c r="O674" s="16">
        <ns0:f>IF('前提と出典'!$C$36+'前提と出典'!$C$38=0,0,'前提と出典'!$B$4*IF('前提と出典'!$B$20=0,MAX('前提と出典'!$B$6,D674*'前提と出典'!$B$5),'前提と出典'!$B$6+D674*'前提と出典'!$B$5))</ns0:f>
        <ns0:v>665298.7709497208</ns0:v>
      </ns0:c>
      <ns0:c r="P674" s="16">
        <ns0:f>(E674+G674)*(1-'前提と出典'!$B$7)-I674-K674-M674-O674</ns0:f>
        <ns0:v>1519524.8519107848</ns0:v>
      </ns0:c>
      <ns0:c r="Q674" s="16">
        <ns0:f>(F674+H674)*(1-'前提と出典'!$B$7)-J674-L674-N674</ns0:f>
        <ns0:v>584462.1426229118</ns0:v>
      </ns0:c>
      <ns0:c r="R674" s="16">
        <ns0:f>P674-E674*'前提と出典'!$E$4</ns0:f>
        <ns0:v>1130600.9759075795</ns0:v>
      </ns0:c>
      <ns0:c r="S674" s="16">
        <ns0:f>Q674-F674*'前提と出典'!$E$4</ns0:f>
        <ns0:v>431823.65120240673</ns0:v>
      </ns0:c>
      <ns0:c r="T674" s="7">
        <ns0:f>R674+S674</ns0:f>
        <ns0:v>1562424.6271099863</ns0:v>
      </ns0:c>
      <ns0:c r="U674" s="16">
        <ns0:f>P674-E674*'前提と出典'!$E$5</ns0:f>
        <ns0:v>1000959.6839065106</ns0:v>
      </ns0:c>
      <ns0:c r="V674" s="16">
        <ns0:f>Q674-F674*'前提と出典'!$E$5</ns0:f>
        <ns0:v>380944.1540622384</ns0:v>
      </ns0:c>
      <ns0:c r="W674" s="7">
        <ns0:f>U674+V674</ns0:f>
        <ns0:v>1381903.837968749</ns0:v>
      </ns0:c>
      <ns0:c r="X674" s="16">
        <ns0:f>P674-E674*'前提と出典'!$E$6</ns0:f>
        <ns0:v>871318.3919054425</ns0:v>
      </ns0:c>
      <ns0:c r="Y674" s="16">
        <ns0:f>Q674-F674*'前提と出典'!$E$6</ns0:f>
        <ns0:v>330064.65692206996</ns0:v>
      </ns0:c>
      <ns0:c r="Z674" s="7">
        <ns0:f>X674+Y674</ns0:f>
        <ns0:v>1201383.0488275124</ns0:v>
      </ns0:c>
      <ns0:c r="AA674" s="7">
        <ns0:f>IF(T674&gt;=0,A674,1001)</ns0:f>
        <ns0:v>670</ns0:v>
      </ns0:c>
      <ns0:c r="AB674" s="7">
        <ns0:f>IF(T674&lt;0,A674,0)</ns0:f>
        <ns0:v>0</ns0:v>
      </ns0:c>
      <ns0:c r="AC674" s="16">
        <ns0:f>IF(AND(OR('前提と出典'!$C$36+'前提と出典'!$C$38=0,R674&gt;=0),OR('前提と出典'!$C$37+'前提と出典'!$C$38=0,S674&gt;=0)),0,A674)</ns0:f>
        <ns0:v>0</ns0:v>
      </ns0:c>
      <ns0:c r="AD674" s="7">
        <ns0:f>IF(W674&gt;=0,A674,1001)</ns0:f>
        <ns0:v>670</ns0:v>
      </ns0:c>
      <ns0:c r="AE674" s="7">
        <ns0:f>IF(W674&lt;0,A674,0)</ns0:f>
        <ns0:v>0</ns0:v>
      </ns0:c>
      <ns0:c r="AF674" s="16">
        <ns0:f>IF(AND(OR('前提と出典'!$C$36+'前提と出典'!$C$38=0,U674&gt;=0),OR('前提と出典'!$C$37+'前提と出典'!$C$38=0,V674&gt;=0)),0,A674)</ns0:f>
        <ns0:v>0</ns0:v>
      </ns0:c>
      <ns0:c r="AG674" s="7">
        <ns0:f>IF(Z674&gt;=0,A674,1001)</ns0:f>
        <ns0:v>670</ns0:v>
      </ns0:c>
      <ns0:c r="AH674" s="4">
        <ns0:f>IF(Z674&lt;0,A674,0)</ns0:f>
        <ns0:v>0</ns0:v>
      </ns0:c>
      <ns0:c r="AI674" s="12">
        <ns0:f>IF(AND(OR('前提と出典'!$C$36+'前提と出典'!$C$38=0,X674&gt;=0),OR('前提と出典'!$C$37+'前提と出典'!$C$38=0,Y674&gt;=0)),0,A674)</ns0:f>
        <ns0:v>0</ns0:v>
      </ns0:c>
    </ns0:row>
    <ns0:row r="675" ht="24" customHeight="1">
      <ns0:c r="A675" s="4" t="n">
        <ns0:v>671</ns0:v>
      </ns0:c>
      <ns0:c r="B675" s="12">
        <ns0:f>A675*('前提と出典'!$C$36+'前提と出典'!$C$38)</ns0:f>
        <ns0:v>469.7</ns0:v>
      </ns0:c>
      <ns0:c r="C675" s="12">
        <ns0:f>A675*('前提と出典'!$C$37+'前提と出典'!$C$38)</ns0:f>
        <ns0:v>402.59999999999997</ns0:v>
      </ns0:c>
      <ns0:c r="D675" s="16">
        <ns0:f>A675*('前提と出典'!$C$36*'契約別単価'!C5+'前提と出典'!$C$37*'契約別単価'!C6+'前提と出典'!$C$38*'契約別単価'!C7)</ns0:f>
        <ns0:v>4828.2011173184355</ns0:v>
      </ns0:c>
      <ns0:c r="E675" s="16">
        <ns0:f>A675*('前提と出典'!$C$36*'契約別単価'!E5+'前提と出典'!$C$37*'契約別単価'!E6+'前提と出典'!$C$38*'契約別単価'!E7)</ns0:f>
        <ns0:v>1298347.8646674175</ns0:v>
      </ns0:c>
      <ns0:c r="F675" s="16">
        <ns0:f>A675*('前提と出典'!$C$36*'契約別単価'!F5+'前提と出典'!$C$37*'契約別単価'!F6+'前提と出典'!$C$38*'契約別単価'!F7)</ns0:f>
        <ns0:v>509554.3668813877</ns0:v>
      </ns0:c>
      <ns0:c r="G675" s="16">
        <ns0:f>A675*('前提と出典'!$C$36*'契約別単価'!G5+'前提と出典'!$C$37*'契約別単価'!G6+'前提と出典'!$C$38*'契約別単価'!G7)</ns0:f>
        <ns0:v>1335627.374301676</ns0:v>
      </ns0:c>
      <ns0:c r="H675" s="16">
        <ns0:f>A675*('前提と出典'!$C$36*'契約別単価'!H5+'前提と出典'!$C$37*'契約別単価'!H6+'前提と出典'!$C$38*'契約別単価'!H7)</ns0:f>
        <ns0:v>463529.6858594648</ns0:v>
      </ns0:c>
      <ns0:c r="I675" s="16">
        <ns0:f>A675*('前提と出典'!$C$36*'契約別単価'!I5+'前提と出典'!$C$37*'契約別単価'!I6+'前提と出典'!$C$38*'契約別単価'!I7)</ns0:f>
        <ns0:v>28313.20111731843</ns0:v>
      </ns0:c>
      <ns0:c r="J675" s="16">
        <ns0:f>A675*('前提と出典'!$C$36*'契約別単価'!J5+'前提と出典'!$C$37*'契約別単価'!J6+'前提と出典'!$C$38*'契約別単価'!J7)</ns0:f>
        <ns0:v>65952.28382961302</ns0:v>
      </ns0:c>
      <ns0:c r="K675" s="16">
        <ns0:f>A675*('前提と出典'!$C$36*'契約別単価'!K5+'前提と出典'!$C$37*'契約別単価'!K6+'前提と出典'!$C$38*'契約別単価'!K7)</ns0:f>
        <ns0:v>282694.67411545623</ns0:v>
      </ns0:c>
      <ns0:c r="L675" s="16">
        <ns0:f>A675*('前提と出典'!$C$36*'契約別単価'!L5+'前提と出典'!$C$37*'契約別単価'!L6+'前提と出典'!$C$38*'契約別単価'!L7)</ns0:f>
        <ns0:v>230170.98952864882</ns0:v>
      </ns0:c>
      <ns0:c r="M675" s="16">
        <ns0:f>IF(('前提と出典'!$C$36+'前提と出典'!$C$38)=0,0,IF(B675&lt;=10,'前提と出典'!B73+'前提と出典'!C73,IF(B675&lt;=100,'前提と出典'!B74+'前提と出典'!C74,IF(B675&lt;=500,'前提と出典'!B75+'前提と出典'!C75,'前提と出典'!B76+'前提と出典'!C76))))</ns0:f>
        <ns0:v>40000</ns0:v>
      </ns0:c>
      <ns0:c r="N675" s="16">
        <ns0:f>IF(('前提と出典'!$C$37+'前提と出典'!$C$38)=0,0,IF(C675&lt;=10,'前提と出典'!D73+'前提と出典'!E73,IF(C675&lt;=100,'前提と出典'!D74+'前提と出典'!E74,IF(C675&lt;=500,'前提と出典'!D75+'前提と出典'!E75,'前提と出典'!D76+'前提と出典'!E76))))</ns0:f>
        <ns0:v>56510.9346263078</ns0:v>
      </ns0:c>
      <ns0:c r="O675" s="16">
        <ns0:f>IF('前提と出典'!$C$36+'前提と出典'!$C$38=0,0,'前提と出典'!$B$4*IF('前提と出典'!$B$20=0,MAX('前提と出典'!$B$6,D675*'前提と出典'!$B$5),'前提と出典'!$B$6+D675*'前提と出典'!$B$5))</ns0:f>
        <ns0:v>666291.7541899441</ns0:v>
      </ns0:c>
      <ns0:c r="P675" s="16">
        <ns0:f>(E675+G675)*(1-'前提と出典'!$B$7)-I675-K675-M675-O675</ns0:f>
        <ns0:v>1521852.5009434875</ns0:v>
      </ns0:c>
      <ns0:c r="Q675" s="16">
        <ns0:f>(F675+H675)*(1-'前提と出典'!$B$7)-J675-L675-N675</ns0:f>
        <ns0:v>585418.8188576123</ns0:v>
      </ns0:c>
      <ns0:c r="R675" s="16">
        <ns0:f>P675-E675*'前提と出典'!$E$4</ns0:f>
        <ns0:v>1132348.1415432615</ns0:v>
      </ns0:c>
      <ns0:c r="S675" s="16">
        <ns0:f>Q675-F675*'前提と出典'!$E$4</ns0:f>
        <ns0:v>432552.50879319594</ns0:v>
      </ns0:c>
      <ns0:c r="T675" s="7">
        <ns0:f>R675+S675</ns0:f>
        <ns0:v>1564900.6503364574</ns0:v>
      </ns0:c>
      <ns0:c r="U675" s="16">
        <ns0:f>P675-E675*'前提と出典'!$E$5</ns0:f>
        <ns0:v>1002513.3550765205</ns0:v>
      </ns0:c>
      <ns0:c r="V675" s="16">
        <ns0:f>Q675-F675*'前提と出典'!$E$5</ns0:f>
        <ns0:v>381597.0721050572</ns0:v>
      </ns0:c>
      <ns0:c r="W675" s="7">
        <ns0:f>U675+V675</ns0:f>
        <ns0:v>1384110.4271815778</ns0:v>
      </ns0:c>
      <ns0:c r="X675" s="16">
        <ns0:f>P675-E675*'前提と出典'!$E$6</ns0:f>
        <ns0:v>872678.5686097785</ns0:v>
      </ns0:c>
      <ns0:c r="Y675" s="16">
        <ns0:f>Q675-F675*'前提と出典'!$E$6</ns0:f>
        <ns0:v>330641.63541691843</ns0:v>
      </ns0:c>
      <ns0:c r="Z675" s="7">
        <ns0:f>X675+Y675</ns0:f>
        <ns0:v>1203320.204026697</ns0:v>
      </ns0:c>
      <ns0:c r="AA675" s="7">
        <ns0:f>IF(T675&gt;=0,A675,1001)</ns0:f>
        <ns0:v>671</ns0:v>
      </ns0:c>
      <ns0:c r="AB675" s="7">
        <ns0:f>IF(T675&lt;0,A675,0)</ns0:f>
        <ns0:v>0</ns0:v>
      </ns0:c>
      <ns0:c r="AC675" s="16">
        <ns0:f>IF(AND(OR('前提と出典'!$C$36+'前提と出典'!$C$38=0,R675&gt;=0),OR('前提と出典'!$C$37+'前提と出典'!$C$38=0,S675&gt;=0)),0,A675)</ns0:f>
        <ns0:v>0</ns0:v>
      </ns0:c>
      <ns0:c r="AD675" s="7">
        <ns0:f>IF(W675&gt;=0,A675,1001)</ns0:f>
        <ns0:v>671</ns0:v>
      </ns0:c>
      <ns0:c r="AE675" s="7">
        <ns0:f>IF(W675&lt;0,A675,0)</ns0:f>
        <ns0:v>0</ns0:v>
      </ns0:c>
      <ns0:c r="AF675" s="16">
        <ns0:f>IF(AND(OR('前提と出典'!$C$36+'前提と出典'!$C$38=0,U675&gt;=0),OR('前提と出典'!$C$37+'前提と出典'!$C$38=0,V675&gt;=0)),0,A675)</ns0:f>
        <ns0:v>0</ns0:v>
      </ns0:c>
      <ns0:c r="AG675" s="7">
        <ns0:f>IF(Z675&gt;=0,A675,1001)</ns0:f>
        <ns0:v>671</ns0:v>
      </ns0:c>
      <ns0:c r="AH675" s="4">
        <ns0:f>IF(Z675&lt;0,A675,0)</ns0:f>
        <ns0:v>0</ns0:v>
      </ns0:c>
      <ns0:c r="AI675" s="12">
        <ns0:f>IF(AND(OR('前提と出典'!$C$36+'前提と出典'!$C$38=0,X675&gt;=0),OR('前提と出典'!$C$37+'前提と出典'!$C$38=0,Y675&gt;=0)),0,A675)</ns0:f>
        <ns0:v>0</ns0:v>
      </ns0:c>
    </ns0:row>
    <ns0:row r="676" ht="24" customHeight="1">
      <ns0:c r="A676" s="4" t="n">
        <ns0:v>672</ns0:v>
      </ns0:c>
      <ns0:c r="B676" s="12">
        <ns0:f>A676*('前提と出典'!$C$36+'前提と出典'!$C$38)</ns0:f>
        <ns0:v>470.4</ns0:v>
      </ns0:c>
      <ns0:c r="C676" s="12">
        <ns0:f>A676*('前提と出典'!$C$37+'前提と出典'!$C$38)</ns0:f>
        <ns0:v>403.2</ns0:v>
      </ns0:c>
      <ns0:c r="D676" s="16">
        <ns0:f>A676*('前提と出典'!$C$36*'契約別単価'!C5+'前提と出典'!$C$37*'契約別単価'!C6+'前提と出典'!$C$38*'契約別単価'!C7)</ns0:f>
        <ns0:v>4835.3966480446925</ns0:v>
      </ns0:c>
      <ns0:c r="E676" s="16">
        <ns0:f>A676*('前提と出典'!$C$36*'契約別単価'!E5+'前提と出典'!$C$37*'契約別単価'!E6+'前提と出典'!$C$38*'契約別単価'!E7)</ns0:f>
        <ns0:v>1300282.80932415</ns0:v>
      </ns0:c>
      <ns0:c r="F676" s="16">
        <ns0:f>A676*('前提と出典'!$C$36*'契約別単価'!F5+'前提と出典'!$C$37*'契約別単価'!F6+'前提と出典'!$C$38*'契約別単価'!F7)</ns0:f>
        <ns0:v>510313.76236109174</ns0:v>
      </ns0:c>
      <ns0:c r="G676" s="16">
        <ns0:f>A676*('前提と出典'!$C$36*'契約別単価'!G5+'前提と出典'!$C$37*'契約別単価'!G6+'前提と出典'!$C$38*'契約別単価'!G7)</ns0:f>
        <ns0:v>1337617.877094972</ns0:v>
      </ns0:c>
      <ns0:c r="H676" s="16">
        <ns0:f>A676*('前提と出典'!$C$36*'契約別単価'!H5+'前提と出典'!$C$37*'契約別単価'!H6+'前提と出典'!$C$38*'契約別単価'!H7)</ns0:f>
        <ns0:v>464220.4901602986</ns0:v>
      </ns0:c>
      <ns0:c r="I676" s="16">
        <ns0:f>A676*('前提と出典'!$C$36*'契約別単価'!I5+'前提と出典'!$C$37*'契約別単価'!I6+'前提と出典'!$C$38*'契約別単価'!I7)</ns0:f>
        <ns0:v>28355.396648044687</ns0:v>
      </ns0:c>
      <ns0:c r="J676" s="16">
        <ns0:f>A676*('前提と出典'!$C$36*'契約別単価'!J5+'前提と出典'!$C$37*'契約別単価'!J6+'前提と出典'!$C$38*'契約別単価'!J7)</ns0:f>
        <ns0:v>66050.57337332332</ns0:v>
      </ns0:c>
      <ns0:c r="K676" s="16">
        <ns0:f>A676*('前提と出典'!$C$36*'契約別単価'!K5+'前提と出典'!$C$37*'契約別単価'!K6+'前提と出典'!$C$38*'契約別単価'!K7)</ns0:f>
        <ns0:v>283115.97765363124</ns0:v>
      </ns0:c>
      <ns0:c r="L676" s="16">
        <ns0:f>A676*('前提と出典'!$C$36*'契約別単価'!L5+'前提と出典'!$C$37*'契約別単価'!L6+'前提と出典'!$C$38*'契約別単価'!L7)</ns0:f>
        <ns0:v>230514.01633867662</ns0:v>
      </ns0:c>
      <ns0:c r="M676" s="16">
        <ns0:f>IF(('前提と出典'!$C$36+'前提と出典'!$C$38)=0,0,IF(B676&lt;=10,'前提と出典'!B73+'前提と出典'!C73,IF(B676&lt;=100,'前提と出典'!B74+'前提と出典'!C74,IF(B676&lt;=500,'前提と出典'!B75+'前提と出典'!C75,'前提と出典'!B76+'前提と出典'!C76))))</ns0:f>
        <ns0:v>40000</ns0:v>
      </ns0:c>
      <ns0:c r="N676" s="16">
        <ns0:f>IF(('前提と出典'!$C$37+'前提と出典'!$C$38)=0,0,IF(C676&lt;=10,'前提と出典'!D73+'前提と出典'!E73,IF(C676&lt;=100,'前提と出典'!D74+'前提と出典'!E74,IF(C676&lt;=500,'前提と出典'!D75+'前提と出典'!E75,'前提と出典'!D76+'前提と出典'!E76))))</ns0:f>
        <ns0:v>56510.9346263078</ns0:v>
      </ns0:c>
      <ns0:c r="O676" s="16">
        <ns0:f>IF('前提と出典'!$C$36+'前提と出典'!$C$38=0,0,'前提と出典'!$B$4*IF('前提と出典'!$B$20=0,MAX('前提と出典'!$B$6,D676*'前提と出典'!$B$5),'前提と出典'!$B$6+D676*'前提と出典'!$B$5))</ns0:f>
        <ns0:v>667284.7374301675</ns0:v>
      </ns0:c>
      <ns0:c r="P676" s="16">
        <ns0:f>(E676+G676)*(1-'前提と出典'!$B$7)-I676-K676-M676-O676</ns0:f>
        <ns0:v>1524180.14997619</ns0:v>
      </ns0:c>
      <ns0:c r="Q676" s="16">
        <ns0:f>(F676+H676)*(1-'前提と出典'!$B$7)-J676-L676-N676</ns0:f>
        <ns0:v>586375.4950923126</ns0:v>
      </ns0:c>
      <ns0:c r="R676" s="16">
        <ns0:f>P676-E676*'前提と出典'!$E$4</ns0:f>
        <ns0:v>1134095.3071789453</ns0:v>
      </ns0:c>
      <ns0:c r="S676" s="16">
        <ns0:f>Q676-F676*'前提と出典'!$E$4</ns0:f>
        <ns0:v>433281.366383985</ns0:v>
      </ns0:c>
      <ns0:c r="T676" s="7">
        <ns0:f>R676+S676</ns0:f>
        <ns0:v>1567376.6735629302</ns0:v>
      </ns0:c>
      <ns0:c r="U676" s="16">
        <ns0:f>P676-E676*'前提と出典'!$E$5</ns0:f>
        <ns0:v>1004067.0262465299</ns0:v>
      </ns0:c>
      <ns0:c r="V676" s="16">
        <ns0:f>Q676-F676*'前提と出典'!$E$5</ns0:f>
        <ns0:v>382249.9901478758</ns0:v>
      </ns0:c>
      <ns0:c r="W676" s="7">
        <ns0:f>U676+V676</ns0:f>
        <ns0:v>1386317.0163944056</ns0:v>
      </ns0:c>
      <ns0:c r="X676" s="16">
        <ns0:f>P676-E676*'前提と出典'!$E$6</ns0:f>
        <ns0:v>874038.7453141151</ns0:v>
      </ns0:c>
      <ns0:c r="Y676" s="16">
        <ns0:f>Q676-F676*'前提と出典'!$E$6</ns0:f>
        <ns0:v>331218.6139117666</ns0:v>
      </ns0:c>
      <ns0:c r="Z676" s="7">
        <ns0:f>X676+Y676</ns0:f>
        <ns0:v>1205257.3592258818</ns0:v>
      </ns0:c>
      <ns0:c r="AA676" s="7">
        <ns0:f>IF(T676&gt;=0,A676,1001)</ns0:f>
        <ns0:v>672</ns0:v>
      </ns0:c>
      <ns0:c r="AB676" s="7">
        <ns0:f>IF(T676&lt;0,A676,0)</ns0:f>
        <ns0:v>0</ns0:v>
      </ns0:c>
      <ns0:c r="AC676" s="16">
        <ns0:f>IF(AND(OR('前提と出典'!$C$36+'前提と出典'!$C$38=0,R676&gt;=0),OR('前提と出典'!$C$37+'前提と出典'!$C$38=0,S676&gt;=0)),0,A676)</ns0:f>
        <ns0:v>0</ns0:v>
      </ns0:c>
      <ns0:c r="AD676" s="7">
        <ns0:f>IF(W676&gt;=0,A676,1001)</ns0:f>
        <ns0:v>672</ns0:v>
      </ns0:c>
      <ns0:c r="AE676" s="7">
        <ns0:f>IF(W676&lt;0,A676,0)</ns0:f>
        <ns0:v>0</ns0:v>
      </ns0:c>
      <ns0:c r="AF676" s="16">
        <ns0:f>IF(AND(OR('前提と出典'!$C$36+'前提と出典'!$C$38=0,U676&gt;=0),OR('前提と出典'!$C$37+'前提と出典'!$C$38=0,V676&gt;=0)),0,A676)</ns0:f>
        <ns0:v>0</ns0:v>
      </ns0:c>
      <ns0:c r="AG676" s="7">
        <ns0:f>IF(Z676&gt;=0,A676,1001)</ns0:f>
        <ns0:v>672</ns0:v>
      </ns0:c>
      <ns0:c r="AH676" s="4">
        <ns0:f>IF(Z676&lt;0,A676,0)</ns0:f>
        <ns0:v>0</ns0:v>
      </ns0:c>
      <ns0:c r="AI676" s="12">
        <ns0:f>IF(AND(OR('前提と出典'!$C$36+'前提と出典'!$C$38=0,X676&gt;=0),OR('前提と出典'!$C$37+'前提と出典'!$C$38=0,Y676&gt;=0)),0,A676)</ns0:f>
        <ns0:v>0</ns0:v>
      </ns0:c>
    </ns0:row>
    <ns0:row r="677" ht="24" customHeight="1">
      <ns0:c r="A677" s="4" t="n">
        <ns0:v>673</ns0:v>
      </ns0:c>
      <ns0:c r="B677" s="12">
        <ns0:f>A677*('前提と出典'!$C$36+'前提と出典'!$C$38)</ns0:f>
        <ns0:v>471.09999999999997</ns0:v>
      </ns0:c>
      <ns0:c r="C677" s="12">
        <ns0:f>A677*('前提と出典'!$C$37+'前提と出典'!$C$38)</ns0:f>
        <ns0:v>403.8</ns0:v>
      </ns0:c>
      <ns0:c r="D677" s="16">
        <ns0:f>A677*('前提と出典'!$C$36*'契約別単価'!C5+'前提と出典'!$C$37*'契約別単価'!C6+'前提と出典'!$C$38*'契約別単価'!C7)</ns0:f>
        <ns0:v>4842.592178770949</ns0:v>
      </ns0:c>
      <ns0:c r="E677" s="16">
        <ns0:f>A677*('前提と出典'!$C$36*'契約別単価'!E5+'前提と出典'!$C$37*'契約別単価'!E6+'前提と出典'!$C$38*'契約別単価'!E7)</ns0:f>
        <ns0:v>1302217.7539808822</ns0:v>
      </ns0:c>
      <ns0:c r="F677" s="16">
        <ns0:f>A677*('前提と出典'!$C$36*'契約別単価'!F5+'前提と出典'!$C$37*'契約別単価'!F6+'前提と出典'!$C$38*'契約別単価'!F7)</ns0:f>
        <ns0:v>511073.1578407957</ns0:v>
      </ns0:c>
      <ns0:c r="G677" s="16">
        <ns0:f>A677*('前提と出典'!$C$36*'契約別単価'!G5+'前提と出典'!$C$37*'契約別単価'!G6+'前提と出典'!$C$38*'契約別単価'!G7)</ns0:f>
        <ns0:v>1339608.3798882682</ns0:v>
      </ns0:c>
      <ns0:c r="H677" s="16">
        <ns0:f>A677*('前提と出典'!$C$36*'契約別単価'!H5+'前提と出典'!$C$37*'契約別単価'!H6+'前提と出典'!$C$38*'契約別単価'!H7)</ns0:f>
        <ns0:v>464911.2944611324</ns0:v>
      </ns0:c>
      <ns0:c r="I677" s="16">
        <ns0:f>A677*('前提と出典'!$C$36*'契約別単価'!I5+'前提と出典'!$C$37*'契約別単価'!I6+'前提と出典'!$C$38*'契約別単価'!I7)</ns0:f>
        <ns0:v>28397.592178770945</ns0:v>
      </ns0:c>
      <ns0:c r="J677" s="16">
        <ns0:f>A677*('前提と出典'!$C$36*'契約別単価'!J5+'前提と出典'!$C$37*'契約別単価'!J6+'前提と出典'!$C$38*'契約別単価'!J7)</ns0:f>
        <ns0:v>66148.86291703362</ns0:v>
      </ns0:c>
      <ns0:c r="K677" s="16">
        <ns0:f>A677*('前提と出典'!$C$36*'契約別単価'!K5+'前提と出典'!$C$37*'契約別単価'!K6+'前提と出典'!$C$38*'契約別単価'!K7)</ns0:f>
        <ns0:v>283537.2811918063</ns0:v>
      </ns0:c>
      <ns0:c r="L677" s="16">
        <ns0:f>A677*('前提と出典'!$C$36*'契約別単価'!L5+'前提と出典'!$C$37*'契約別単価'!L6+'前提と出典'!$C$38*'契約別単価'!L7)</ns0:f>
        <ns0:v>230857.0431487044</ns0:v>
      </ns0:c>
      <ns0:c r="M677" s="16">
        <ns0:f>IF(('前提と出典'!$C$36+'前提と出典'!$C$38)=0,0,IF(B677&lt;=10,'前提と出典'!B73+'前提と出典'!C73,IF(B677&lt;=100,'前提と出典'!B74+'前提と出典'!C74,IF(B677&lt;=500,'前提と出典'!B75+'前提と出典'!C75,'前提と出典'!B76+'前提と出典'!C76))))</ns0:f>
        <ns0:v>40000</ns0:v>
      </ns0:c>
      <ns0:c r="N677" s="16">
        <ns0:f>IF(('前提と出典'!$C$37+'前提と出典'!$C$38)=0,0,IF(C677&lt;=10,'前提と出典'!D73+'前提と出典'!E73,IF(C677&lt;=100,'前提と出典'!D74+'前提と出典'!E74,IF(C677&lt;=500,'前提と出典'!D75+'前提と出典'!E75,'前提と出典'!D76+'前提と出典'!E76))))</ns0:f>
        <ns0:v>56510.9346263078</ns0:v>
      </ns0:c>
      <ns0:c r="O677" s="16">
        <ns0:f>IF('前提と出典'!$C$36+'前提と出典'!$C$38=0,0,'前提と出典'!$B$4*IF('前提と出典'!$B$20=0,MAX('前提と出典'!$B$6,D677*'前提と出典'!$B$5),'前提と出典'!$B$6+D677*'前提と出典'!$B$5))</ns0:f>
        <ns0:v>668277.720670391</ns0:v>
      </ns0:c>
      <ns0:c r="P677" s="16">
        <ns0:f>(E677+G677)*(1-'前提と出典'!$B$7)-I677-K677-M677-O677</ns0:f>
        <ns0:v>1526507.7990088928</ns0:v>
      </ns0:c>
      <ns0:c r="Q677" s="16">
        <ns0:f>(F677+H677)*(1-'前提と出典'!$B$7)-J677-L677-N677</ns0:f>
        <ns0:v>587332.1713270128</ns0:v>
      </ns0:c>
      <ns0:c r="R677" s="16">
        <ns0:f>P677-E677*'前提と出典'!$E$4</ns0:f>
        <ns0:v>1135842.4728146289</ns0:v>
      </ns0:c>
      <ns0:c r="S677" s="16">
        <ns0:f>Q677-F677*'前提と出典'!$E$4</ns0:f>
        <ns0:v>434010.2239747742</ns0:v>
      </ns0:c>
      <ns0:c r="T677" s="7">
        <ns0:f>R677+S677</ns0:f>
        <ns0:v>1569852.696789403</ns0:v>
      </ns0:c>
      <ns0:c r="U677" s="16">
        <ns0:f>P677-E677*'前提と出典'!$E$5</ns0:f>
        <ns0:v>1005620.6974165399</ns0:v>
      </ns0:c>
      <ns0:c r="V677" s="16">
        <ns0:f>Q677-F677*'前提と出典'!$E$5</ns0:f>
        <ns0:v>382902.9081906946</ns0:v>
      </ns0:c>
      <ns0:c r="W677" s="7">
        <ns0:f>U677+V677</ns0:f>
        <ns0:v>1388523.6056072344</ns0:v>
      </ns0:c>
      <ns0:c r="X677" s="16">
        <ns0:f>P677-E677*'前提と出典'!$E$6</ns0:f>
        <ns0:v>875398.9220184517</ns0:v>
      </ns0:c>
      <ns0:c r="Y677" s="16">
        <ns0:f>Q677-F677*'前提と出典'!$E$6</ns0:f>
        <ns0:v>331795.592406615</ns0:v>
      </ns0:c>
      <ns0:c r="Z677" s="7">
        <ns0:f>X677+Y677</ns0:f>
        <ns0:v>1207194.5144250668</ns0:v>
      </ns0:c>
      <ns0:c r="AA677" s="7">
        <ns0:f>IF(T677&gt;=0,A677,1001)</ns0:f>
        <ns0:v>673</ns0:v>
      </ns0:c>
      <ns0:c r="AB677" s="7">
        <ns0:f>IF(T677&lt;0,A677,0)</ns0:f>
        <ns0:v>0</ns0:v>
      </ns0:c>
      <ns0:c r="AC677" s="16">
        <ns0:f>IF(AND(OR('前提と出典'!$C$36+'前提と出典'!$C$38=0,R677&gt;=0),OR('前提と出典'!$C$37+'前提と出典'!$C$38=0,S677&gt;=0)),0,A677)</ns0:f>
        <ns0:v>0</ns0:v>
      </ns0:c>
      <ns0:c r="AD677" s="7">
        <ns0:f>IF(W677&gt;=0,A677,1001)</ns0:f>
        <ns0:v>673</ns0:v>
      </ns0:c>
      <ns0:c r="AE677" s="7">
        <ns0:f>IF(W677&lt;0,A677,0)</ns0:f>
        <ns0:v>0</ns0:v>
      </ns0:c>
      <ns0:c r="AF677" s="16">
        <ns0:f>IF(AND(OR('前提と出典'!$C$36+'前提と出典'!$C$38=0,U677&gt;=0),OR('前提と出典'!$C$37+'前提と出典'!$C$38=0,V677&gt;=0)),0,A677)</ns0:f>
        <ns0:v>0</ns0:v>
      </ns0:c>
      <ns0:c r="AG677" s="7">
        <ns0:f>IF(Z677&gt;=0,A677,1001)</ns0:f>
        <ns0:v>673</ns0:v>
      </ns0:c>
      <ns0:c r="AH677" s="4">
        <ns0:f>IF(Z677&lt;0,A677,0)</ns0:f>
        <ns0:v>0</ns0:v>
      </ns0:c>
      <ns0:c r="AI677" s="12">
        <ns0:f>IF(AND(OR('前提と出典'!$C$36+'前提と出典'!$C$38=0,X677&gt;=0),OR('前提と出典'!$C$37+'前提と出典'!$C$38=0,Y677&gt;=0)),0,A677)</ns0:f>
        <ns0:v>0</ns0:v>
      </ns0:c>
    </ns0:row>
    <ns0:row r="678" ht="24" customHeight="1">
      <ns0:c r="A678" s="4" t="n">
        <ns0:v>674</ns0:v>
      </ns0:c>
      <ns0:c r="B678" s="12">
        <ns0:f>A678*('前提と出典'!$C$36+'前提と出典'!$C$38)</ns0:f>
        <ns0:v>471.79999999999995</ns0:v>
      </ns0:c>
      <ns0:c r="C678" s="12">
        <ns0:f>A678*('前提と出典'!$C$37+'前提と出典'!$C$38)</ns0:f>
        <ns0:v>404.4</ns0:v>
      </ns0:c>
      <ns0:c r="D678" s="16">
        <ns0:f>A678*('前提と出典'!$C$36*'契約別単価'!C5+'前提と出典'!$C$37*'契約別単価'!C6+'前提と出典'!$C$38*'契約別単価'!C7)</ns0:f>
        <ns0:v>4849.787709497206</ns0:v>
      </ns0:c>
      <ns0:c r="E678" s="16">
        <ns0:f>A678*('前提と出典'!$C$36*'契約別単価'!E5+'前提と出典'!$C$37*'契約別単価'!E6+'前提と出典'!$C$38*'契約別単価'!E7)</ns0:f>
        <ns0:v>1304152.6986376147</ns0:v>
      </ns0:c>
      <ns0:c r="F678" s="16">
        <ns0:f>A678*('前提と出典'!$C$36*'契約別単価'!F5+'前提と出典'!$C$37*'契約別単価'!F6+'前提と出典'!$C$38*'契約別単価'!F7)</ns0:f>
        <ns0:v>511832.5533204997</ns0:v>
      </ns0:c>
      <ns0:c r="G678" s="16">
        <ns0:f>A678*('前提と出典'!$C$36*'契約別単価'!G5+'前提と出典'!$C$37*'契約別単価'!G6+'前提と出典'!$C$38*'契約別単価'!G7)</ns0:f>
        <ns0:v>1341598.8826815642</ns0:v>
      </ns0:c>
      <ns0:c r="H678" s="16">
        <ns0:f>A678*('前提と出典'!$C$36*'契約別単価'!H5+'前提と出典'!$C$37*'契約別単価'!H6+'前提と出典'!$C$38*'契約別単価'!H7)</ns0:f>
        <ns0:v>465602.09876196616</ns0:v>
      </ns0:c>
      <ns0:c r="I678" s="16">
        <ns0:f>A678*('前提と出典'!$C$36*'契約別単価'!I5+'前提と出典'!$C$37*'契約別単価'!I6+'前提と出典'!$C$38*'契約別単価'!I7)</ns0:f>
        <ns0:v>28439.787709497203</ns0:v>
      </ns0:c>
      <ns0:c r="J678" s="16">
        <ns0:f>A678*('前提と出典'!$C$36*'契約別単価'!J5+'前提と出典'!$C$37*'契約別単価'!J6+'前提と出典'!$C$38*'契約別単価'!J7)</ns0:f>
        <ns0:v>66247.15246074394</ns0:v>
      </ns0:c>
      <ns0:c r="K678" s="16">
        <ns0:f>A678*('前提と出典'!$C$36*'契約別単価'!K5+'前提と出典'!$C$37*'契約別単価'!K6+'前提と出典'!$C$38*'契約別単価'!K7)</ns0:f>
        <ns0:v>283958.5847299814</ns0:v>
      </ns0:c>
      <ns0:c r="L678" s="16">
        <ns0:f>A678*('前提と出典'!$C$36*'契約別単価'!L5+'前提と出典'!$C$37*'契約別単価'!L6+'前提と出典'!$C$38*'契約別単価'!L7)</ns0:f>
        <ns0:v>231200.0699587322</ns0:v>
      </ns0:c>
      <ns0:c r="M678" s="16">
        <ns0:f>IF(('前提と出典'!$C$36+'前提と出典'!$C$38)=0,0,IF(B678&lt;=10,'前提と出典'!B73+'前提と出典'!C73,IF(B678&lt;=100,'前提と出典'!B74+'前提と出典'!C74,IF(B678&lt;=500,'前提と出典'!B75+'前提と出典'!C75,'前提と出典'!B76+'前提と出典'!C76))))</ns0:f>
        <ns0:v>40000</ns0:v>
      </ns0:c>
      <ns0:c r="N678" s="16">
        <ns0:f>IF(('前提と出典'!$C$37+'前提と出典'!$C$38)=0,0,IF(C678&lt;=10,'前提と出典'!D73+'前提と出典'!E73,IF(C678&lt;=100,'前提と出典'!D74+'前提と出典'!E74,IF(C678&lt;=500,'前提と出典'!D75+'前提と出典'!E75,'前提と出典'!D76+'前提と出典'!E76))))</ns0:f>
        <ns0:v>56510.9346263078</ns0:v>
      </ns0:c>
      <ns0:c r="O678" s="16">
        <ns0:f>IF('前提と出典'!$C$36+'前提と出典'!$C$38=0,0,'前提と出典'!$B$4*IF('前提と出典'!$B$20=0,MAX('前提と出典'!$B$6,D678*'前提と出典'!$B$5),'前提と出典'!$B$6+D678*'前提と出典'!$B$5))</ns0:f>
        <ns0:v>669270.7039106145</ns0:v>
      </ns0:c>
      <ns0:c r="P678" s="16">
        <ns0:f>(E678+G678)*(1-'前提と出典'!$B$7)-I678-K678-M678-O678</ns0:f>
        <ns0:v>1528835.4480415953</ns0:v>
      </ns0:c>
      <ns0:c r="Q678" s="16">
        <ns0:f>(F678+H678)*(1-'前提と出典'!$B$7)-J678-L678-N678</ns0:f>
        <ns0:v>588288.8475617131</ns0:v>
      </ns0:c>
      <ns0:c r="R678" s="16">
        <ns0:f>P678-E678*'前提と出典'!$E$4</ns0:f>
        <ns0:v>1137589.6384503106</ns0:v>
      </ns0:c>
      <ns0:c r="S678" s="16">
        <ns0:f>Q678-F678*'前提と出典'!$E$4</ns0:f>
        <ns0:v>434739.0815655631</ns0:v>
      </ns0:c>
      <ns0:c r="T678" s="7">
        <ns0:f>R678+S678</ns0:f>
        <ns0:v>1572328.7200158737</ns0:v>
      </ns0:c>
      <ns0:c r="U678" s="16">
        <ns0:f>P678-E678*'前提と出典'!$E$5</ns0:f>
        <ns0:v>1007174.3685865494</ns0:v>
      </ns0:c>
      <ns0:c r="V678" s="16">
        <ns0:f>Q678-F678*'前提と出典'!$E$5</ns0:f>
        <ns0:v>383555.8262335132</ns0:v>
      </ns0:c>
      <ns0:c r="W678" s="7">
        <ns0:f>U678+V678</ns0:f>
        <ns0:v>1390730.1948200627</ns0:v>
      </ns0:c>
      <ns0:c r="X678" s="16">
        <ns0:f>P678-E678*'前提と出典'!$E$6</ns0:f>
        <ns0:v>876759.0987227879</ns0:v>
      </ns0:c>
      <ns0:c r="Y678" s="16">
        <ns0:f>Q678-F678*'前提と出典'!$E$6</ns0:f>
        <ns0:v>332372.5709014633</ns0:v>
      </ns0:c>
      <ns0:c r="Z678" s="7">
        <ns0:f>X678+Y678</ns0:f>
        <ns0:v>1209131.6696242513</ns0:v>
      </ns0:c>
      <ns0:c r="AA678" s="7">
        <ns0:f>IF(T678&gt;=0,A678,1001)</ns0:f>
        <ns0:v>674</ns0:v>
      </ns0:c>
      <ns0:c r="AB678" s="7">
        <ns0:f>IF(T678&lt;0,A678,0)</ns0:f>
        <ns0:v>0</ns0:v>
      </ns0:c>
      <ns0:c r="AC678" s="16">
        <ns0:f>IF(AND(OR('前提と出典'!$C$36+'前提と出典'!$C$38=0,R678&gt;=0),OR('前提と出典'!$C$37+'前提と出典'!$C$38=0,S678&gt;=0)),0,A678)</ns0:f>
        <ns0:v>0</ns0:v>
      </ns0:c>
      <ns0:c r="AD678" s="7">
        <ns0:f>IF(W678&gt;=0,A678,1001)</ns0:f>
        <ns0:v>674</ns0:v>
      </ns0:c>
      <ns0:c r="AE678" s="7">
        <ns0:f>IF(W678&lt;0,A678,0)</ns0:f>
        <ns0:v>0</ns0:v>
      </ns0:c>
      <ns0:c r="AF678" s="16">
        <ns0:f>IF(AND(OR('前提と出典'!$C$36+'前提と出典'!$C$38=0,U678&gt;=0),OR('前提と出典'!$C$37+'前提と出典'!$C$38=0,V678&gt;=0)),0,A678)</ns0:f>
        <ns0:v>0</ns0:v>
      </ns0:c>
      <ns0:c r="AG678" s="7">
        <ns0:f>IF(Z678&gt;=0,A678,1001)</ns0:f>
        <ns0:v>674</ns0:v>
      </ns0:c>
      <ns0:c r="AH678" s="4">
        <ns0:f>IF(Z678&lt;0,A678,0)</ns0:f>
        <ns0:v>0</ns0:v>
      </ns0:c>
      <ns0:c r="AI678" s="12">
        <ns0:f>IF(AND(OR('前提と出典'!$C$36+'前提と出典'!$C$38=0,X678&gt;=0),OR('前提と出典'!$C$37+'前提と出典'!$C$38=0,Y678&gt;=0)),0,A678)</ns0:f>
        <ns0:v>0</ns0:v>
      </ns0:c>
    </ns0:row>
    <ns0:row r="679" ht="24" customHeight="1">
      <ns0:c r="A679" s="4" t="n">
        <ns0:v>675</ns0:v>
      </ns0:c>
      <ns0:c r="B679" s="12">
        <ns0:f>A679*('前提と出典'!$C$36+'前提と出典'!$C$38)</ns0:f>
        <ns0:v>472.49999999999994</ns0:v>
      </ns0:c>
      <ns0:c r="C679" s="12">
        <ns0:f>A679*('前提と出典'!$C$37+'前提と出典'!$C$38)</ns0:f>
        <ns0:v>405</ns0:v>
      </ns0:c>
      <ns0:c r="D679" s="16">
        <ns0:f>A679*('前提と出典'!$C$36*'契約別単価'!C5+'前提と出典'!$C$37*'契約別単価'!C6+'前提と出典'!$C$38*'契約別単価'!C7)</ns0:f>
        <ns0:v>4856.983240223463</ns0:v>
      </ns0:c>
      <ns0:c r="E679" s="16">
        <ns0:f>A679*('前提と出典'!$C$36*'契約別単価'!E5+'前提と出典'!$C$37*'契約別単価'!E6+'前提と出典'!$C$38*'契約別単価'!E7)</ns0:f>
        <ns0:v>1306087.643294347</ns0:v>
      </ns0:c>
      <ns0:c r="F679" s="16">
        <ns0:f>A679*('前提と出典'!$C$36*'契約別単価'!F5+'前提と出典'!$C$37*'契約別単価'!F6+'前提と出典'!$C$38*'契約別単価'!F7)</ns0:f>
        <ns0:v>512591.94880020374</ns0:v>
      </ns0:c>
      <ns0:c r="G679" s="16">
        <ns0:f>A679*('前提と出典'!$C$36*'契約別単価'!G5+'前提と出典'!$C$37*'契約別単価'!G6+'前提と出典'!$C$38*'契約別単価'!G7)</ns0:f>
        <ns0:v>1343589.3854748602</ns0:v>
      </ns0:c>
      <ns0:c r="H679" s="16">
        <ns0:f>A679*('前提と出典'!$C$36*'契約別単価'!H5+'前提と出典'!$C$37*'契約別単価'!H6+'前提と出典'!$C$38*'契約別単価'!H7)</ns0:f>
        <ns0:v>466292.90306279995</ns0:v>
      </ns0:c>
      <ns0:c r="I679" s="16">
        <ns0:f>A679*('前提と出典'!$C$36*'契約別単価'!I5+'前提と出典'!$C$37*'契約別単価'!I6+'前提と出典'!$C$38*'契約別単価'!I7)</ns0:f>
        <ns0:v>28481.98324022346</ns0:v>
      </ns0:c>
      <ns0:c r="J679" s="16">
        <ns0:f>A679*('前提と出典'!$C$36*'契約別単価'!J5+'前提と出典'!$C$37*'契約別単価'!J6+'前提と出典'!$C$38*'契約別単価'!J7)</ns0:f>
        <ns0:v>66345.44200445423</ns0:v>
      </ns0:c>
      <ns0:c r="K679" s="16">
        <ns0:f>A679*('前提と出典'!$C$36*'契約別単価'!K5+'前提と出典'!$C$37*'契約別単価'!K6+'前提と出典'!$C$38*'契約別単価'!K7)</ns0:f>
        <ns0:v>284379.8882681564</ns0:v>
      </ns0:c>
      <ns0:c r="L679" s="16">
        <ns0:f>A679*('前提と出典'!$C$36*'契約別単価'!L5+'前提と出典'!$C$37*'契約別単価'!L6+'前提と出典'!$C$38*'契約別単価'!L7)</ns0:f>
        <ns0:v>231543.09676875998</ns0:v>
      </ns0:c>
      <ns0:c r="M679" s="16">
        <ns0:f>IF(('前提と出典'!$C$36+'前提と出典'!$C$38)=0,0,IF(B679&lt;=10,'前提と出典'!B73+'前提と出典'!C73,IF(B679&lt;=100,'前提と出典'!B74+'前提と出典'!C74,IF(B679&lt;=500,'前提と出典'!B75+'前提と出典'!C75,'前提と出典'!B76+'前提と出典'!C76))))</ns0:f>
        <ns0:v>40000</ns0:v>
      </ns0:c>
      <ns0:c r="N679" s="16">
        <ns0:f>IF(('前提と出典'!$C$37+'前提と出典'!$C$38)=0,0,IF(C679&lt;=10,'前提と出典'!D73+'前提と出典'!E73,IF(C679&lt;=100,'前提と出典'!D74+'前提と出典'!E74,IF(C679&lt;=500,'前提と出典'!D75+'前提と出典'!E75,'前提と出典'!D76+'前提と出典'!E76))))</ns0:f>
        <ns0:v>56510.9346263078</ns0:v>
      </ns0:c>
      <ns0:c r="O679" s="16">
        <ns0:f>IF('前提と出典'!$C$36+'前提と出典'!$C$38=0,0,'前提と出典'!$B$4*IF('前提と出典'!$B$20=0,MAX('前提と出典'!$B$6,D679*'前提と出典'!$B$5),'前提と出典'!$B$6+D679*'前提と出典'!$B$5))</ns0:f>
        <ns0:v>670263.687150838</ns0:v>
      </ns0:c>
      <ns0:c r="P679" s="16">
        <ns0:f>(E679+G679)*(1-'前提と出典'!$B$7)-I679-K679-M679-O679</ns0:f>
        <ns0:v>1531163.0970742977</ns0:v>
      </ns0:c>
      <ns0:c r="Q679" s="16">
        <ns0:f>(F679+H679)*(1-'前提と出典'!$B$7)-J679-L679-N679</ns0:f>
        <ns0:v>589245.5237964136</ns0:v>
      </ns0:c>
      <ns0:c r="R679" s="16">
        <ns0:f>P679-E679*'前提と出典'!$E$4</ns0:f>
        <ns0:v>1139336.8040859937</ns0:v>
      </ns0:c>
      <ns0:c r="S679" s="16">
        <ns0:f>Q679-F679*'前提と出典'!$E$4</ns0:f>
        <ns0:v>435467.9391563524</ns0:v>
      </ns0:c>
      <ns0:c r="T679" s="7">
        <ns0:f>R679+S679</ns0:f>
        <ns0:v>1574804.7432423462</ns0:v>
      </ns0:c>
      <ns0:c r="U679" s="16">
        <ns0:f>P679-E679*'前提と出典'!$E$5</ns0:f>
        <ns0:v>1008728.039756559</ns0:v>
      </ns0:c>
      <ns0:c r="V679" s="16">
        <ns0:f>Q679-F679*'前提と出典'!$E$5</ns0:f>
        <ns0:v>384208.7442763321</ns0:v>
      </ns0:c>
      <ns0:c r="W679" s="7">
        <ns0:f>U679+V679</ns0:f>
        <ns0:v>1392936.784032891</ns0:v>
      </ns0:c>
      <ns0:c r="X679" s="16">
        <ns0:f>P679-E679*'前提と出典'!$E$6</ns0:f>
        <ns0:v>878119.2754271243</ns0:v>
      </ns0:c>
      <ns0:c r="Y679" s="16">
        <ns0:f>Q679-F679*'前提と出典'!$E$6</ns0:f>
        <ns0:v>332949.54939631175</ns0:v>
      </ns0:c>
      <ns0:c r="Z679" s="7">
        <ns0:f>X679+Y679</ns0:f>
        <ns0:v>1211068.824823436</ns0:v>
      </ns0:c>
      <ns0:c r="AA679" s="7">
        <ns0:f>IF(T679&gt;=0,A679,1001)</ns0:f>
        <ns0:v>675</ns0:v>
      </ns0:c>
      <ns0:c r="AB679" s="7">
        <ns0:f>IF(T679&lt;0,A679,0)</ns0:f>
        <ns0:v>0</ns0:v>
      </ns0:c>
      <ns0:c r="AC679" s="16">
        <ns0:f>IF(AND(OR('前提と出典'!$C$36+'前提と出典'!$C$38=0,R679&gt;=0),OR('前提と出典'!$C$37+'前提と出典'!$C$38=0,S679&gt;=0)),0,A679)</ns0:f>
        <ns0:v>0</ns0:v>
      </ns0:c>
      <ns0:c r="AD679" s="7">
        <ns0:f>IF(W679&gt;=0,A679,1001)</ns0:f>
        <ns0:v>675</ns0:v>
      </ns0:c>
      <ns0:c r="AE679" s="7">
        <ns0:f>IF(W679&lt;0,A679,0)</ns0:f>
        <ns0:v>0</ns0:v>
      </ns0:c>
      <ns0:c r="AF679" s="16">
        <ns0:f>IF(AND(OR('前提と出典'!$C$36+'前提と出典'!$C$38=0,U679&gt;=0),OR('前提と出典'!$C$37+'前提と出典'!$C$38=0,V679&gt;=0)),0,A679)</ns0:f>
        <ns0:v>0</ns0:v>
      </ns0:c>
      <ns0:c r="AG679" s="7">
        <ns0:f>IF(Z679&gt;=0,A679,1001)</ns0:f>
        <ns0:v>675</ns0:v>
      </ns0:c>
      <ns0:c r="AH679" s="4">
        <ns0:f>IF(Z679&lt;0,A679,0)</ns0:f>
        <ns0:v>0</ns0:v>
      </ns0:c>
      <ns0:c r="AI679" s="12">
        <ns0:f>IF(AND(OR('前提と出典'!$C$36+'前提と出典'!$C$38=0,X679&gt;=0),OR('前提と出典'!$C$37+'前提と出典'!$C$38=0,Y679&gt;=0)),0,A679)</ns0:f>
        <ns0:v>0</ns0:v>
      </ns0:c>
    </ns0:row>
    <ns0:row r="680" ht="24" customHeight="1">
      <ns0:c r="A680" s="4" t="n">
        <ns0:v>676</ns0:v>
      </ns0:c>
      <ns0:c r="B680" s="12">
        <ns0:f>A680*('前提と出典'!$C$36+'前提と出典'!$C$38)</ns0:f>
        <ns0:v>473.2</ns0:v>
      </ns0:c>
      <ns0:c r="C680" s="12">
        <ns0:f>A680*('前提と出典'!$C$37+'前提と出典'!$C$38)</ns0:f>
        <ns0:v>405.59999999999997</ns0:v>
      </ns0:c>
      <ns0:c r="D680" s="16">
        <ns0:f>A680*('前提と出典'!$C$36*'契約別単価'!C5+'前提と出典'!$C$37*'契約別単価'!C6+'前提と出典'!$C$38*'契約別単価'!C7)</ns0:f>
        <ns0:v>4864.17877094972</ns0:v>
      </ns0:c>
      <ns0:c r="E680" s="16">
        <ns0:f>A680*('前提と出典'!$C$36*'契約別単価'!E5+'前提と出典'!$C$37*'契約別単価'!E6+'前提と出典'!$C$38*'契約別単価'!E7)</ns0:f>
        <ns0:v>1308022.5879510795</ns0:v>
      </ns0:c>
      <ns0:c r="F680" s="16">
        <ns0:f>A680*('前提と出典'!$C$36*'契約別単価'!F5+'前提と出典'!$C$37*'契約別単価'!F6+'前提と出典'!$C$38*'契約別単価'!F7)</ns0:f>
        <ns0:v>513351.34427990776</ns0:v>
      </ns0:c>
      <ns0:c r="G680" s="16">
        <ns0:f>A680*('前提と出典'!$C$36*'契約別単価'!G5+'前提と出典'!$C$37*'契約別単価'!G6+'前提と出典'!$C$38*'契約別単価'!G7)</ns0:f>
        <ns0:v>1345579.8882681564</ns0:v>
      </ns0:c>
      <ns0:c r="H680" s="16">
        <ns0:f>A680*('前提と出典'!$C$36*'契約別単価'!H5+'前提と出典'!$C$37*'契約別単価'!H6+'前提と出典'!$C$38*'契約別単価'!H7)</ns0:f>
        <ns0:v>466983.70736363373</ns0:v>
      </ns0:c>
      <ns0:c r="I680" s="16">
        <ns0:f>A680*('前提と出典'!$C$36*'契約別単価'!I5+'前提と出典'!$C$37*'契約別単価'!I6+'前提と出典'!$C$38*'契約別単価'!I7)</ns0:f>
        <ns0:v>28524.178770949715</ns0:v>
      </ns0:c>
      <ns0:c r="J680" s="16">
        <ns0:f>A680*('前提と出典'!$C$36*'契約別単価'!J5+'前提と出典'!$C$37*'契約別単価'!J6+'前提と出典'!$C$38*'契約別単価'!J7)</ns0:f>
        <ns0:v>66443.73154816453</ns0:v>
      </ns0:c>
      <ns0:c r="K680" s="16">
        <ns0:f>A680*('前提と出典'!$C$36*'契約別単価'!K5+'前提と出典'!$C$37*'契約別単価'!K6+'前提と出典'!$C$38*'契約別単価'!K7)</ns0:f>
        <ns0:v>284801.19180633145</ns0:v>
      </ns0:c>
      <ns0:c r="L680" s="16">
        <ns0:f>A680*('前提と出典'!$C$36*'契約別単価'!L5+'前提と出典'!$C$37*'契約別単価'!L6+'前提と出典'!$C$38*'契約別単価'!L7)</ns0:f>
        <ns0:v>231886.12357878778</ns0:v>
      </ns0:c>
      <ns0:c r="M680" s="16">
        <ns0:f>IF(('前提と出典'!$C$36+'前提と出典'!$C$38)=0,0,IF(B680&lt;=10,'前提と出典'!B73+'前提と出典'!C73,IF(B680&lt;=100,'前提と出典'!B74+'前提と出典'!C74,IF(B680&lt;=500,'前提と出典'!B75+'前提と出典'!C75,'前提と出典'!B76+'前提と出典'!C76))))</ns0:f>
        <ns0:v>40000</ns0:v>
      </ns0:c>
      <ns0:c r="N680" s="16">
        <ns0:f>IF(('前提と出典'!$C$37+'前提と出典'!$C$38)=0,0,IF(C680&lt;=10,'前提と出典'!D73+'前提と出典'!E73,IF(C680&lt;=100,'前提と出典'!D74+'前提と出典'!E74,IF(C680&lt;=500,'前提と出典'!D75+'前提と出典'!E75,'前提と出典'!D76+'前提と出典'!E76))))</ns0:f>
        <ns0:v>56510.9346263078</ns0:v>
      </ns0:c>
      <ns0:c r="O680" s="16">
        <ns0:f>IF('前提と出典'!$C$36+'前提と出典'!$C$38=0,0,'前提と出典'!$B$4*IF('前提と出典'!$B$20=0,MAX('前提と出典'!$B$6,D680*'前提と出典'!$B$5),'前提と出典'!$B$6+D680*'前提と出典'!$B$5))</ns0:f>
        <ns0:v>671256.6703910615</ns0:v>
      </ns0:c>
      <ns0:c r="P680" s="16">
        <ns0:f>(E680+G680)*(1-'前提と出典'!$B$7)-I680-K680-M680-O680</ns0:f>
        <ns0:v>1533490.7461070009</ns0:v>
      </ns0:c>
      <ns0:c r="Q680" s="16">
        <ns0:f>(F680+H680)*(1-'前提と出典'!$B$7)-J680-L680-N680</ns0:f>
        <ns0:v>590202.200031114</ns0:v>
      </ns0:c>
      <ns0:c r="R680" s="16">
        <ns0:f>P680-E680*'前提と出典'!$E$4</ns0:f>
        <ns0:v>1141083.9697216768</ns0:v>
      </ns0:c>
      <ns0:c r="S680" s="16">
        <ns0:f>Q680-F680*'前提と出典'!$E$4</ns0:f>
        <ns0:v>436196.79674714163</ns0:v>
      </ns0:c>
      <ns0:c r="T680" s="7">
        <ns0:f>R680+S680</ns0:f>
        <ns0:v>1577280.7664688183</ns0:v>
      </ns0:c>
      <ns0:c r="U680" s="16">
        <ns0:f>P680-E680*'前提と出典'!$E$5</ns0:f>
        <ns0:v>1010281.7109265692</ns0:v>
      </ns0:c>
      <ns0:c r="V680" s="16">
        <ns0:f>Q680-F680*'前提と出典'!$E$5</ns0:f>
        <ns0:v>384861.66231915087</ns0:v>
      </ns0:c>
      <ns0:c r="W680" s="7">
        <ns0:f>U680+V680</ns0:f>
        <ns0:v>1395143.37324572</ns0:v>
      </ns0:c>
      <ns0:c r="X680" s="16">
        <ns0:f>P680-E680*'前提と出典'!$E$6</ns0:f>
        <ns0:v>879479.452131461</ns0:v>
      </ns0:c>
      <ns0:c r="Y680" s="16">
        <ns0:f>Q680-F680*'前提と出典'!$E$6</ns0:f>
        <ns0:v>333526.5278911601</ns0:v>
      </ns0:c>
      <ns0:c r="Z680" s="7">
        <ns0:f>X680+Y680</ns0:f>
        <ns0:v>1213005.980022621</ns0:v>
      </ns0:c>
      <ns0:c r="AA680" s="7">
        <ns0:f>IF(T680&gt;=0,A680,1001)</ns0:f>
        <ns0:v>676</ns0:v>
      </ns0:c>
      <ns0:c r="AB680" s="7">
        <ns0:f>IF(T680&lt;0,A680,0)</ns0:f>
        <ns0:v>0</ns0:v>
      </ns0:c>
      <ns0:c r="AC680" s="16">
        <ns0:f>IF(AND(OR('前提と出典'!$C$36+'前提と出典'!$C$38=0,R680&gt;=0),OR('前提と出典'!$C$37+'前提と出典'!$C$38=0,S680&gt;=0)),0,A680)</ns0:f>
        <ns0:v>0</ns0:v>
      </ns0:c>
      <ns0:c r="AD680" s="7">
        <ns0:f>IF(W680&gt;=0,A680,1001)</ns0:f>
        <ns0:v>676</ns0:v>
      </ns0:c>
      <ns0:c r="AE680" s="7">
        <ns0:f>IF(W680&lt;0,A680,0)</ns0:f>
        <ns0:v>0</ns0:v>
      </ns0:c>
      <ns0:c r="AF680" s="16">
        <ns0:f>IF(AND(OR('前提と出典'!$C$36+'前提と出典'!$C$38=0,U680&gt;=0),OR('前提と出典'!$C$37+'前提と出典'!$C$38=0,V680&gt;=0)),0,A680)</ns0:f>
        <ns0:v>0</ns0:v>
      </ns0:c>
      <ns0:c r="AG680" s="7">
        <ns0:f>IF(Z680&gt;=0,A680,1001)</ns0:f>
        <ns0:v>676</ns0:v>
      </ns0:c>
      <ns0:c r="AH680" s="4">
        <ns0:f>IF(Z680&lt;0,A680,0)</ns0:f>
        <ns0:v>0</ns0:v>
      </ns0:c>
      <ns0:c r="AI680" s="12">
        <ns0:f>IF(AND(OR('前提と出典'!$C$36+'前提と出典'!$C$38=0,X680&gt;=0),OR('前提と出典'!$C$37+'前提と出典'!$C$38=0,Y680&gt;=0)),0,A680)</ns0:f>
        <ns0:v>0</ns0:v>
      </ns0:c>
    </ns0:row>
    <ns0:row r="681" ht="24" customHeight="1">
      <ns0:c r="A681" s="4" t="n">
        <ns0:v>677</ns0:v>
      </ns0:c>
      <ns0:c r="B681" s="12">
        <ns0:f>A681*('前提と出典'!$C$36+'前提と出典'!$C$38)</ns0:f>
        <ns0:v>473.9</ns0:v>
      </ns0:c>
      <ns0:c r="C681" s="12">
        <ns0:f>A681*('前提と出典'!$C$37+'前提と出典'!$C$38)</ns0:f>
        <ns0:v>406.2</ns0:v>
      </ns0:c>
      <ns0:c r="D681" s="16">
        <ns0:f>A681*('前提と出典'!$C$36*'契約別単価'!C5+'前提と出典'!$C$37*'契約別単価'!C6+'前提と出典'!$C$38*'契約別単価'!C7)</ns0:f>
        <ns0:v>4871.374301675977</ns0:v>
      </ns0:c>
      <ns0:c r="E681" s="16">
        <ns0:f>A681*('前提と出典'!$C$36*'契約別単価'!E5+'前提と出典'!$C$37*'契約別単価'!E6+'前提と出典'!$C$38*'契約別単価'!E7)</ns0:f>
        <ns0:v>1309957.5326078117</ns0:v>
      </ns0:c>
      <ns0:c r="F681" s="16">
        <ns0:f>A681*('前提と出典'!$C$36*'契約別単価'!F5+'前提と出典'!$C$37*'契約別単価'!F6+'前提と出典'!$C$38*'契約別単価'!F7)</ns0:f>
        <ns0:v>514110.7397596117</ns0:v>
      </ns0:c>
      <ns0:c r="G681" s="16">
        <ns0:f>A681*('前提と出典'!$C$36*'契約別単価'!G5+'前提と出典'!$C$37*'契約別単価'!G6+'前提と出典'!$C$38*'契約別単価'!G7)</ns0:f>
        <ns0:v>1347570.3910614525</ns0:v>
      </ns0:c>
      <ns0:c r="H681" s="16">
        <ns0:f>A681*('前提と出典'!$C$36*'契約別単価'!H5+'前提と出典'!$C$37*'契約別単価'!H6+'前提と出典'!$C$38*'契約別単価'!H7)</ns0:f>
        <ns0:v>467674.5116644675</ns0:v>
      </ns0:c>
      <ns0:c r="I681" s="16">
        <ns0:f>A681*('前提と出典'!$C$36*'契約別単価'!I5+'前提と出典'!$C$37*'契約別単価'!I6+'前提と出典'!$C$38*'契約別単価'!I7)</ns0:f>
        <ns0:v>28566.374301675973</ns0:v>
      </ns0:c>
      <ns0:c r="J681" s="16">
        <ns0:f>A681*('前提と出典'!$C$36*'契約別単価'!J5+'前提と出典'!$C$37*'契約別単価'!J6+'前提と出典'!$C$38*'契約別単価'!J7)</ns0:f>
        <ns0:v>66542.02109187483</ns0:v>
      </ns0:c>
      <ns0:c r="K681" s="16">
        <ns0:f>A681*('前提と出典'!$C$36*'契約別単価'!K5+'前提と出典'!$C$37*'契約別単価'!K6+'前提と出典'!$C$38*'契約別単価'!K7)</ns0:f>
        <ns0:v>285222.4953445065</ns0:v>
      </ns0:c>
      <ns0:c r="L681" s="16">
        <ns0:f>A681*('前提と出典'!$C$36*'契約別単価'!L5+'前提と出典'!$C$37*'契約別単価'!L6+'前提と出典'!$C$38*'契約別単価'!L7)</ns0:f>
        <ns0:v>232229.1503888156</ns0:v>
      </ns0:c>
      <ns0:c r="M681" s="16">
        <ns0:f>IF(('前提と出典'!$C$36+'前提と出典'!$C$38)=0,0,IF(B681&lt;=10,'前提と出典'!B73+'前提と出典'!C73,IF(B681&lt;=100,'前提と出典'!B74+'前提と出典'!C74,IF(B681&lt;=500,'前提と出典'!B75+'前提と出典'!C75,'前提と出典'!B76+'前提と出典'!C76))))</ns0:f>
        <ns0:v>40000</ns0:v>
      </ns0:c>
      <ns0:c r="N681" s="16">
        <ns0:f>IF(('前提と出典'!$C$37+'前提と出典'!$C$38)=0,0,IF(C681&lt;=10,'前提と出典'!D73+'前提と出典'!E73,IF(C681&lt;=100,'前提と出典'!D74+'前提と出典'!E74,IF(C681&lt;=500,'前提と出典'!D75+'前提と出典'!E75,'前提と出典'!D76+'前提と出典'!E76))))</ns0:f>
        <ns0:v>56510.9346263078</ns0:v>
      </ns0:c>
      <ns0:c r="O681" s="16">
        <ns0:f>IF('前提と出典'!$C$36+'前提と出典'!$C$38=0,0,'前提と出典'!$B$4*IF('前提と出典'!$B$20=0,MAX('前提と出典'!$B$6,D681*'前提と出典'!$B$5),'前提と出典'!$B$6+D681*'前提と出典'!$B$5))</ns0:f>
        <ns0:v>672249.653631285</ns0:v>
      </ns0:c>
      <ns0:c r="P681" s="16">
        <ns0:f>(E681+G681)*(1-'前提と出典'!$B$7)-I681-K681-M681-O681</ns0:f>
        <ns0:v>1535818.395139703</ns0:v>
      </ns0:c>
      <ns0:c r="Q681" s="16">
        <ns0:f>(F681+H681)*(1-'前提と出典'!$B$7)-J681-L681-N681</ns0:f>
        <ns0:v>591158.8762658143</ns0:v>
      </ns0:c>
      <ns0:c r="R681" s="16">
        <ns0:f>P681-E681*'前提と出典'!$E$4</ns0:f>
        <ns0:v>1142831.1353573594</ns0:v>
      </ns0:c>
      <ns0:c r="S681" s="16">
        <ns0:f>Q681-F681*'前提と出典'!$E$4</ns0:f>
        <ns0:v>436925.6543379307</ns0:v>
      </ns0:c>
      <ns0:c r="T681" s="7">
        <ns0:f>R681+S681</ns0:f>
        <ns0:v>1579756.7896952902</ns0:v>
      </ns0:c>
      <ns0:c r="U681" s="16">
        <ns0:f>P681-E681*'前提と出典'!$E$5</ns0:f>
        <ns0:v>1011835.3820965785</ns0:v>
      </ns0:c>
      <ns0:c r="V681" s="16">
        <ns0:f>Q681-F681*'前提と出典'!$E$5</ns0:f>
        <ns0:v>385514.58036196954</ns0:v>
      </ns0:c>
      <ns0:c r="W681" s="7">
        <ns0:f>U681+V681</ns0:f>
        <ns0:v>1397349.9624585481</ns0:v>
      </ns0:c>
      <ns0:c r="X681" s="16">
        <ns0:f>P681-E681*'前提と出典'!$E$6</ns0:f>
        <ns0:v>880839.6288357974</ns0:v>
      </ns0:c>
      <ns0:c r="Y681" s="16">
        <ns0:f>Q681-F681*'前提と出典'!$E$6</ns0:f>
        <ns0:v>334103.50638600846</ns0:v>
      </ns0:c>
      <ns0:c r="Z681" s="7">
        <ns0:f>X681+Y681</ns0:f>
        <ns0:v>1214943.135221806</ns0:v>
      </ns0:c>
      <ns0:c r="AA681" s="7">
        <ns0:f>IF(T681&gt;=0,A681,1001)</ns0:f>
        <ns0:v>677</ns0:v>
      </ns0:c>
      <ns0:c r="AB681" s="7">
        <ns0:f>IF(T681&lt;0,A681,0)</ns0:f>
        <ns0:v>0</ns0:v>
      </ns0:c>
      <ns0:c r="AC681" s="16">
        <ns0:f>IF(AND(OR('前提と出典'!$C$36+'前提と出典'!$C$38=0,R681&gt;=0),OR('前提と出典'!$C$37+'前提と出典'!$C$38=0,S681&gt;=0)),0,A681)</ns0:f>
        <ns0:v>0</ns0:v>
      </ns0:c>
      <ns0:c r="AD681" s="7">
        <ns0:f>IF(W681&gt;=0,A681,1001)</ns0:f>
        <ns0:v>677</ns0:v>
      </ns0:c>
      <ns0:c r="AE681" s="7">
        <ns0:f>IF(W681&lt;0,A681,0)</ns0:f>
        <ns0:v>0</ns0:v>
      </ns0:c>
      <ns0:c r="AF681" s="16">
        <ns0:f>IF(AND(OR('前提と出典'!$C$36+'前提と出典'!$C$38=0,U681&gt;=0),OR('前提と出典'!$C$37+'前提と出典'!$C$38=0,V681&gt;=0)),0,A681)</ns0:f>
        <ns0:v>0</ns0:v>
      </ns0:c>
      <ns0:c r="AG681" s="7">
        <ns0:f>IF(Z681&gt;=0,A681,1001)</ns0:f>
        <ns0:v>677</ns0:v>
      </ns0:c>
      <ns0:c r="AH681" s="4">
        <ns0:f>IF(Z681&lt;0,A681,0)</ns0:f>
        <ns0:v>0</ns0:v>
      </ns0:c>
      <ns0:c r="AI681" s="12">
        <ns0:f>IF(AND(OR('前提と出典'!$C$36+'前提と出典'!$C$38=0,X681&gt;=0),OR('前提と出典'!$C$37+'前提と出典'!$C$38=0,Y681&gt;=0)),0,A681)</ns0:f>
        <ns0:v>0</ns0:v>
      </ns0:c>
    </ns0:row>
    <ns0:row r="682" ht="24" customHeight="1">
      <ns0:c r="A682" s="4" t="n">
        <ns0:v>678</ns0:v>
      </ns0:c>
      <ns0:c r="B682" s="12">
        <ns0:f>A682*('前提と出典'!$C$36+'前提と出典'!$C$38)</ns0:f>
        <ns0:v>474.59999999999997</ns0:v>
      </ns0:c>
      <ns0:c r="C682" s="12">
        <ns0:f>A682*('前提と出典'!$C$37+'前提と出典'!$C$38)</ns0:f>
        <ns0:v>406.8</ns0:v>
      </ns0:c>
      <ns0:c r="D682" s="16">
        <ns0:f>A682*('前提と出典'!$C$36*'契約別単価'!C5+'前提と出典'!$C$37*'契約別単価'!C6+'前提と出典'!$C$38*'契約別単価'!C7)</ns0:f>
        <ns0:v>4878.569832402234</ns0:v>
      </ns0:c>
      <ns0:c r="E682" s="16">
        <ns0:f>A682*('前提と出典'!$C$36*'契約別単価'!E5+'前提と出典'!$C$37*'契約別単価'!E6+'前提と出典'!$C$38*'契約別単価'!E7)</ns0:f>
        <ns0:v>1311892.4772645442</ns0:v>
      </ns0:c>
      <ns0:c r="F682" s="16">
        <ns0:f>A682*('前提と出典'!$C$36*'契約別単価'!F5+'前提と出典'!$C$37*'契約別単価'!F6+'前提と出典'!$C$38*'契約別単価'!F7)</ns0:f>
        <ns0:v>514870.13523931574</ns0:v>
      </ns0:c>
      <ns0:c r="G682" s="16">
        <ns0:f>A682*('前提と出典'!$C$36*'契約別単価'!G5+'前提と出典'!$C$37*'契約別単価'!G6+'前提と出典'!$C$38*'契約別単価'!G7)</ns0:f>
        <ns0:v>1349560.8938547485</ns0:v>
      </ns0:c>
      <ns0:c r="H682" s="16">
        <ns0:f>A682*('前提と出典'!$C$36*'契約別単価'!H5+'前提と出典'!$C$37*'契約別単価'!H6+'前提と出典'!$C$38*'契約別単価'!H7)</ns0:f>
        <ns0:v>468365.3159653013</ns0:v>
      </ns0:c>
      <ns0:c r="I682" s="16">
        <ns0:f>A682*('前提と出典'!$C$36*'契約別単価'!I5+'前提と出典'!$C$37*'契約別単価'!I6+'前提と出典'!$C$38*'契約別単価'!I7)</ns0:f>
        <ns0:v>28608.56983240223</ns0:v>
      </ns0:c>
      <ns0:c r="J682" s="16">
        <ns0:f>A682*('前提と出典'!$C$36*'契約別単価'!J5+'前提と出典'!$C$37*'契約別単価'!J6+'前提と出典'!$C$38*'契約別単価'!J7)</ns0:f>
        <ns0:v>66640.31063558513</ns0:v>
      </ns0:c>
      <ns0:c r="K682" s="16">
        <ns0:f>A682*('前提と出典'!$C$36*'契約別単価'!K5+'前提と出典'!$C$37*'契約別単価'!K6+'前提と出典'!$C$38*'契約別単価'!K7)</ns0:f>
        <ns0:v>285643.7988826815</ns0:v>
      </ns0:c>
      <ns0:c r="L682" s="16">
        <ns0:f>A682*('前提と出典'!$C$36*'契約別単価'!L5+'前提と出典'!$C$37*'契約別単価'!L6+'前提と出典'!$C$38*'契約別単価'!L7)</ns0:f>
        <ns0:v>232572.17719884336</ns0:v>
      </ns0:c>
      <ns0:c r="M682" s="16">
        <ns0:f>IF(('前提と出典'!$C$36+'前提と出典'!$C$38)=0,0,IF(B682&lt;=10,'前提と出典'!B73+'前提と出典'!C73,IF(B682&lt;=100,'前提と出典'!B74+'前提と出典'!C74,IF(B682&lt;=500,'前提と出典'!B75+'前提と出典'!C75,'前提と出典'!B76+'前提と出典'!C76))))</ns0:f>
        <ns0:v>40000</ns0:v>
      </ns0:c>
      <ns0:c r="N682" s="16">
        <ns0:f>IF(('前提と出典'!$C$37+'前提と出典'!$C$38)=0,0,IF(C682&lt;=10,'前提と出典'!D73+'前提と出典'!E73,IF(C682&lt;=100,'前提と出典'!D74+'前提と出典'!E74,IF(C682&lt;=500,'前提と出典'!D75+'前提と出典'!E75,'前提と出典'!D76+'前提と出典'!E76))))</ns0:f>
        <ns0:v>56510.9346263078</ns0:v>
      </ns0:c>
      <ns0:c r="O682" s="16">
        <ns0:f>IF('前提と出典'!$C$36+'前提と出典'!$C$38=0,0,'前提と出典'!$B$4*IF('前提と出典'!$B$20=0,MAX('前提と出典'!$B$6,D682*'前提と出典'!$B$5),'前提と出典'!$B$6+D682*'前提と出典'!$B$5))</ns0:f>
        <ns0:v>673242.6368715083</ns0:v>
      </ns0:c>
      <ns0:c r="P682" s="16">
        <ns0:f>(E682+G682)*(1-'前提と出典'!$B$7)-I682-K682-M682-O682</ns0:f>
        <ns0:v>1538146.0441724057</ns0:v>
      </ns0:c>
      <ns0:c r="Q682" s="16">
        <ns0:f>(F682+H682)*(1-'前提と出典'!$B$7)-J682-L682-N682</ns0:f>
        <ns0:v>592115.5525005145</ns0:v>
      </ns0:c>
      <ns0:c r="R682" s="16">
        <ns0:f>P682-E682*'前提と出典'!$E$4</ns0:f>
        <ns0:v>1144578.3009930425</ns0:v>
      </ns0:c>
      <ns0:c r="S682" s="16">
        <ns0:f>Q682-F682*'前提と出典'!$E$4</ns0:f>
        <ns0:v>437654.5119287198</ns0:v>
      </ns0:c>
      <ns0:c r="T682" s="7">
        <ns0:f>R682+S682</ns0:f>
        <ns0:v>1582232.8129217625</ns0:v>
      </ns0:c>
      <ns0:c r="U682" s="16">
        <ns0:f>P682-E682*'前提と出典'!$E$5</ns0:f>
        <ns0:v>1013389.0532665881</ns0:v>
      </ns0:c>
      <ns0:c r="V682" s="16">
        <ns0:f>Q682-F682*'前提と出典'!$E$5</ns0:f>
        <ns0:v>386167.4984047882</ns0:v>
      </ns0:c>
      <ns0:c r="W682" s="7">
        <ns0:f>U682+V682</ns0:f>
        <ns0:v>1399556.5516713765</ns0:v>
      </ns0:c>
      <ns0:c r="X682" s="16">
        <ns0:f>P682-E682*'前提と出典'!$E$6</ns0:f>
        <ns0:v>882199.8055401337</ns0:v>
      </ns0:c>
      <ns0:c r="Y682" s="16">
        <ns0:f>Q682-F682*'前提と出典'!$E$6</ns0:f>
        <ns0:v>334680.4848808567</ns0:v>
      </ns0:c>
      <ns0:c r="Z682" s="7">
        <ns0:f>X682+Y682</ns0:f>
        <ns0:v>1216880.2904209904</ns0:v>
      </ns0:c>
      <ns0:c r="AA682" s="7">
        <ns0:f>IF(T682&gt;=0,A682,1001)</ns0:f>
        <ns0:v>678</ns0:v>
      </ns0:c>
      <ns0:c r="AB682" s="7">
        <ns0:f>IF(T682&lt;0,A682,0)</ns0:f>
        <ns0:v>0</ns0:v>
      </ns0:c>
      <ns0:c r="AC682" s="16">
        <ns0:f>IF(AND(OR('前提と出典'!$C$36+'前提と出典'!$C$38=0,R682&gt;=0),OR('前提と出典'!$C$37+'前提と出典'!$C$38=0,S682&gt;=0)),0,A682)</ns0:f>
        <ns0:v>0</ns0:v>
      </ns0:c>
      <ns0:c r="AD682" s="7">
        <ns0:f>IF(W682&gt;=0,A682,1001)</ns0:f>
        <ns0:v>678</ns0:v>
      </ns0:c>
      <ns0:c r="AE682" s="7">
        <ns0:f>IF(W682&lt;0,A682,0)</ns0:f>
        <ns0:v>0</ns0:v>
      </ns0:c>
      <ns0:c r="AF682" s="16">
        <ns0:f>IF(AND(OR('前提と出典'!$C$36+'前提と出典'!$C$38=0,U682&gt;=0),OR('前提と出典'!$C$37+'前提と出典'!$C$38=0,V682&gt;=0)),0,A682)</ns0:f>
        <ns0:v>0</ns0:v>
      </ns0:c>
      <ns0:c r="AG682" s="7">
        <ns0:f>IF(Z682&gt;=0,A682,1001)</ns0:f>
        <ns0:v>678</ns0:v>
      </ns0:c>
      <ns0:c r="AH682" s="4">
        <ns0:f>IF(Z682&lt;0,A682,0)</ns0:f>
        <ns0:v>0</ns0:v>
      </ns0:c>
      <ns0:c r="AI682" s="12">
        <ns0:f>IF(AND(OR('前提と出典'!$C$36+'前提と出典'!$C$38=0,X682&gt;=0),OR('前提と出典'!$C$37+'前提と出典'!$C$38=0,Y682&gt;=0)),0,A682)</ns0:f>
        <ns0:v>0</ns0:v>
      </ns0:c>
    </ns0:row>
    <ns0:row r="683" ht="24" customHeight="1">
      <ns0:c r="A683" s="4" t="n">
        <ns0:v>679</ns0:v>
      </ns0:c>
      <ns0:c r="B683" s="12">
        <ns0:f>A683*('前提と出典'!$C$36+'前提と出典'!$C$38)</ns0:f>
        <ns0:v>475.29999999999995</ns0:v>
      </ns0:c>
      <ns0:c r="C683" s="12">
        <ns0:f>A683*('前提と出典'!$C$37+'前提と出典'!$C$38)</ns0:f>
        <ns0:v>407.4</ns0:v>
      </ns0:c>
      <ns0:c r="D683" s="16">
        <ns0:f>A683*('前提と出典'!$C$36*'契約別単価'!C5+'前提と出典'!$C$37*'契約別単価'!C6+'前提と出典'!$C$38*'契約別単価'!C7)</ns0:f>
        <ns0:v>4885.765363128492</ns0:v>
      </ns0:c>
      <ns0:c r="E683" s="16">
        <ns0:f>A683*('前提と出典'!$C$36*'契約別単価'!E5+'前提と出典'!$C$37*'契約別単価'!E6+'前提と出典'!$C$38*'契約別単価'!E7)</ns0:f>
        <ns0:v>1313827.4219212765</ns0:v>
      </ns0:c>
      <ns0:c r="F683" s="16">
        <ns0:f>A683*('前提と出典'!$C$36*'契約別単価'!F5+'前提と出典'!$C$37*'契約別単価'!F6+'前提と出典'!$C$38*'契約別単価'!F7)</ns0:f>
        <ns0:v>515629.53071901976</ns0:v>
      </ns0:c>
      <ns0:c r="G683" s="16">
        <ns0:f>A683*('前提と出典'!$C$36*'契約別単価'!G5+'前提と出典'!$C$37*'契約別単価'!G6+'前提と出典'!$C$38*'契約別単価'!G7)</ns0:f>
        <ns0:v>1351551.3966480447</ns0:v>
      </ns0:c>
      <ns0:c r="H683" s="16">
        <ns0:f>A683*('前提と出典'!$C$36*'契約別単価'!H5+'前提と出典'!$C$37*'契約別単価'!H6+'前提と出典'!$C$38*'契約別単価'!H7)</ns0:f>
        <ns0:v>469056.120266135</ns0:v>
      </ns0:c>
      <ns0:c r="I683" s="16">
        <ns0:f>A683*('前提と出典'!$C$36*'契約別単価'!I5+'前提と出典'!$C$37*'契約別単価'!I6+'前提と出典'!$C$38*'契約別単価'!I7)</ns0:f>
        <ns0:v>28650.76536312849</ns0:v>
      </ns0:c>
      <ns0:c r="J683" s="16">
        <ns0:f>A683*('前提と出典'!$C$36*'契約別単価'!J5+'前提と出典'!$C$37*'契約別単価'!J6+'前提と出典'!$C$38*'契約別単価'!J7)</ns0:f>
        <ns0:v>66738.60017929545</ns0:v>
      </ns0:c>
      <ns0:c r="K683" s="16">
        <ns0:f>A683*('前提と出典'!$C$36*'契約別単価'!K5+'前提と出典'!$C$37*'契約別単価'!K6+'前提と出典'!$C$38*'契約別単価'!K7)</ns0:f>
        <ns0:v>286065.1024208566</ns0:v>
      </ns0:c>
      <ns0:c r="L683" s="16">
        <ns0:f>A683*('前提と出典'!$C$36*'契約別単価'!L5+'前提と出典'!$C$37*'契約別単価'!L6+'前提と出典'!$C$38*'契約別単価'!L7)</ns0:f>
        <ns0:v>232915.20400887117</ns0:v>
      </ns0:c>
      <ns0:c r="M683" s="16">
        <ns0:f>IF(('前提と出典'!$C$36+'前提と出典'!$C$38)=0,0,IF(B683&lt;=10,'前提と出典'!B73+'前提と出典'!C73,IF(B683&lt;=100,'前提と出典'!B74+'前提と出典'!C74,IF(B683&lt;=500,'前提と出典'!B75+'前提と出典'!C75,'前提と出典'!B76+'前提と出典'!C76))))</ns0:f>
        <ns0:v>40000</ns0:v>
      </ns0:c>
      <ns0:c r="N683" s="16">
        <ns0:f>IF(('前提と出典'!$C$37+'前提と出典'!$C$38)=0,0,IF(C683&lt;=10,'前提と出典'!D73+'前提と出典'!E73,IF(C683&lt;=100,'前提と出典'!D74+'前提と出典'!E74,IF(C683&lt;=500,'前提と出典'!D75+'前提と出典'!E75,'前提と出典'!D76+'前提と出典'!E76))))</ns0:f>
        <ns0:v>56510.9346263078</ns0:v>
      </ns0:c>
      <ns0:c r="O683" s="16">
        <ns0:f>IF('前提と出典'!$C$36+'前提と出典'!$C$38=0,0,'前提と出典'!$B$4*IF('前提と出典'!$B$20=0,MAX('前提と出典'!$B$6,D683*'前提と出典'!$B$5),'前提と出典'!$B$6+D683*'前提と出典'!$B$5))</ns0:f>
        <ns0:v>674235.620111732</ns0:v>
      </ns0:c>
      <ns0:c r="P683" s="16">
        <ns0:f>(E683+G683)*(1-'前提と出典'!$B$7)-I683-K683-M683-O683</ns0:f>
        <ns0:v>1540473.6932051089</ns0:v>
      </ns0:c>
      <ns0:c r="Q683" s="16">
        <ns0:f>(F683+H683)*(1-'前提と出典'!$B$7)-J683-L683-N683</ns0:f>
        <ns0:v>593072.2287352148</ns0:v>
      </ns0:c>
      <ns0:c r="R683" s="16">
        <ns0:f>P683-E683*'前提と出典'!$E$4</ns0:f>
        <ns0:v>1146325.4666287259</ns0:v>
      </ns0:c>
      <ns0:c r="S683" s="16">
        <ns0:f>Q683-F683*'前提と出典'!$E$4</ns0:f>
        <ns0:v>438383.36951950897</ns0:v>
      </ns0:c>
      <ns0:c r="T683" s="7">
        <ns0:f>R683+S683</ns0:f>
        <ns0:v>1584708.8361482348</ns0:v>
      </ns0:c>
      <ns0:c r="U683" s="16">
        <ns0:f>P683-E683*'前提と出典'!$E$5</ns0:f>
        <ns0:v>1014942.7244365981</ns0:v>
      </ns0:c>
      <ns0:c r="V683" s="16">
        <ns0:f>Q683-F683*'前提と出典'!$E$5</ns0:f>
        <ns0:v>386820.4164476069</ns0:v>
      </ns0:c>
      <ns0:c r="W683" s="7">
        <ns0:f>U683+V683</ns0:f>
        <ns0:v>1401763.140884205</ns0:v>
      </ns0:c>
      <ns0:c r="X683" s="16">
        <ns0:f>P683-E683*'前提と出典'!$E$6</ns0:f>
        <ns0:v>883559.9822444704</ns0:v>
      </ns0:c>
      <ns0:c r="Y683" s="16">
        <ns0:f>Q683-F683*'前提と出典'!$E$6</ns0:f>
        <ns0:v>335257.463375705</ns0:v>
      </ns0:c>
      <ns0:c r="Z683" s="7">
        <ns0:f>X683+Y683</ns0:f>
        <ns0:v>1218817.4456201755</ns0:v>
      </ns0:c>
      <ns0:c r="AA683" s="7">
        <ns0:f>IF(T683&gt;=0,A683,1001)</ns0:f>
        <ns0:v>679</ns0:v>
      </ns0:c>
      <ns0:c r="AB683" s="7">
        <ns0:f>IF(T683&lt;0,A683,0)</ns0:f>
        <ns0:v>0</ns0:v>
      </ns0:c>
      <ns0:c r="AC683" s="16">
        <ns0:f>IF(AND(OR('前提と出典'!$C$36+'前提と出典'!$C$38=0,R683&gt;=0),OR('前提と出典'!$C$37+'前提と出典'!$C$38=0,S683&gt;=0)),0,A683)</ns0:f>
        <ns0:v>0</ns0:v>
      </ns0:c>
      <ns0:c r="AD683" s="7">
        <ns0:f>IF(W683&gt;=0,A683,1001)</ns0:f>
        <ns0:v>679</ns0:v>
      </ns0:c>
      <ns0:c r="AE683" s="7">
        <ns0:f>IF(W683&lt;0,A683,0)</ns0:f>
        <ns0:v>0</ns0:v>
      </ns0:c>
      <ns0:c r="AF683" s="16">
        <ns0:f>IF(AND(OR('前提と出典'!$C$36+'前提と出典'!$C$38=0,U683&gt;=0),OR('前提と出典'!$C$37+'前提と出典'!$C$38=0,V683&gt;=0)),0,A683)</ns0:f>
        <ns0:v>0</ns0:v>
      </ns0:c>
      <ns0:c r="AG683" s="7">
        <ns0:f>IF(Z683&gt;=0,A683,1001)</ns0:f>
        <ns0:v>679</ns0:v>
      </ns0:c>
      <ns0:c r="AH683" s="4">
        <ns0:f>IF(Z683&lt;0,A683,0)</ns0:f>
        <ns0:v>0</ns0:v>
      </ns0:c>
      <ns0:c r="AI683" s="12">
        <ns0:f>IF(AND(OR('前提と出典'!$C$36+'前提と出典'!$C$38=0,X683&gt;=0),OR('前提と出典'!$C$37+'前提と出典'!$C$38=0,Y683&gt;=0)),0,A683)</ns0:f>
        <ns0:v>0</ns0:v>
      </ns0:c>
    </ns0:row>
    <ns0:row r="684" ht="24" customHeight="1">
      <ns0:c r="A684" s="4" t="n">
        <ns0:v>680</ns0:v>
      </ns0:c>
      <ns0:c r="B684" s="12">
        <ns0:f>A684*('前提と出典'!$C$36+'前提と出典'!$C$38)</ns0:f>
        <ns0:v>475.99999999999994</ns0:v>
      </ns0:c>
      <ns0:c r="C684" s="12">
        <ns0:f>A684*('前提と出典'!$C$37+'前提と出典'!$C$38)</ns0:f>
        <ns0:v>408</ns0:v>
      </ns0:c>
      <ns0:c r="D684" s="16">
        <ns0:f>A684*('前提と出典'!$C$36*'契約別単価'!C5+'前提と出典'!$C$37*'契約別単価'!C6+'前提と出典'!$C$38*'契約別単価'!C7)</ns0:f>
        <ns0:v>4892.960893854749</ns0:v>
      </ns0:c>
      <ns0:c r="E684" s="16">
        <ns0:f>A684*('前提と出典'!$C$36*'契約別単価'!E5+'前提と出典'!$C$37*'契約別単価'!E6+'前提と出典'!$C$38*'契約別単価'!E7)</ns0:f>
        <ns0:v>1315762.3665780087</ns0:v>
      </ns0:c>
      <ns0:c r="F684" s="16">
        <ns0:f>A684*('前提と出典'!$C$36*'契約別単価'!F5+'前提と出典'!$C$37*'契約別単価'!F6+'前提と出典'!$C$38*'契約別単価'!F7)</ns0:f>
        <ns0:v>516388.9261987238</ns0:v>
      </ns0:c>
      <ns0:c r="G684" s="16">
        <ns0:f>A684*('前提と出典'!$C$36*'契約別単価'!G5+'前提と出典'!$C$37*'契約別単価'!G6+'前提と出典'!$C$38*'契約別単価'!G7)</ns0:f>
        <ns0:v>1353541.8994413407</ns0:v>
      </ns0:c>
      <ns0:c r="H684" s="16">
        <ns0:f>A684*('前提と出典'!$C$36*'契約別単価'!H5+'前提と出典'!$C$37*'契約別単価'!H6+'前提と出典'!$C$38*'契約別単価'!H7)</ns0:f>
        <ns0:v>469746.9245669688</ns0:v>
      </ns0:c>
      <ns0:c r="I684" s="16">
        <ns0:f>A684*('前提と出典'!$C$36*'契約別単価'!I5+'前提と出典'!$C$37*'契約別単価'!I6+'前提と出典'!$C$38*'契約別単価'!I7)</ns0:f>
        <ns0:v>28692.960893854743</ns0:v>
      </ns0:c>
      <ns0:c r="J684" s="16">
        <ns0:f>A684*('前提と出典'!$C$36*'契約別単価'!J5+'前提と出典'!$C$37*'契約別単価'!J6+'前提と出典'!$C$38*'契約別単価'!J7)</ns0:f>
        <ns0:v>66836.88972300575</ns0:v>
      </ns0:c>
      <ns0:c r="K684" s="16">
        <ns0:f>A684*('前提と出典'!$C$36*'契約別単価'!K5+'前提と出典'!$C$37*'契約別単価'!K6+'前提と出典'!$C$38*'契約別単価'!K7)</ns0:f>
        <ns0:v>286486.40595903166</ns0:v>
      </ns0:c>
      <ns0:c r="L684" s="16">
        <ns0:f>A684*('前提と出典'!$C$36*'契約別単価'!L5+'前提と出典'!$C$37*'契約別単価'!L6+'前提と出典'!$C$38*'契約別単価'!L7)</ns0:f>
        <ns0:v>233258.23081889894</ns0:v>
      </ns0:c>
      <ns0:c r="M684" s="16">
        <ns0:f>IF(('前提と出典'!$C$36+'前提と出典'!$C$38)=0,0,IF(B684&lt;=10,'前提と出典'!B73+'前提と出典'!C73,IF(B684&lt;=100,'前提と出典'!B74+'前提と出典'!C74,IF(B684&lt;=500,'前提と出典'!B75+'前提と出典'!C75,'前提と出典'!B76+'前提と出典'!C76))))</ns0:f>
        <ns0:v>40000</ns0:v>
      </ns0:c>
      <ns0:c r="N684" s="16">
        <ns0:f>IF(('前提と出典'!$C$37+'前提と出典'!$C$38)=0,0,IF(C684&lt;=10,'前提と出典'!D73+'前提と出典'!E73,IF(C684&lt;=100,'前提と出典'!D74+'前提と出典'!E74,IF(C684&lt;=500,'前提と出典'!D75+'前提と出典'!E75,'前提と出典'!D76+'前提と出典'!E76))))</ns0:f>
        <ns0:v>56510.9346263078</ns0:v>
      </ns0:c>
      <ns0:c r="O684" s="16">
        <ns0:f>IF('前提と出典'!$C$36+'前提と出典'!$C$38=0,0,'前提と出典'!$B$4*IF('前提と出典'!$B$20=0,MAX('前提と出典'!$B$6,D684*'前提と出典'!$B$5),'前提と出典'!$B$6+D684*'前提と出典'!$B$5))</ns0:f>
        <ns0:v>675228.6033519553</ns0:v>
      </ns0:c>
      <ns0:c r="P684" s="16">
        <ns0:f>(E684+G684)*(1-'前提と出典'!$B$7)-I684-K684-M684-O684</ns0:f>
        <ns0:v>1542801.342237811</ns0:v>
      </ns0:c>
      <ns0:c r="Q684" s="16">
        <ns0:f>(F684+H684)*(1-'前提と出典'!$B$7)-J684-L684-N684</ns0:f>
        <ns0:v>594028.904969915</ns0:v>
      </ns0:c>
      <ns0:c r="R684" s="16">
        <ns0:f>P684-E684*'前提と出典'!$E$4</ns0:f>
        <ns0:v>1148072.6322644083</ns0:v>
      </ns0:c>
      <ns0:c r="S684" s="16">
        <ns0:f>Q684-F684*'前提と出典'!$E$4</ns0:f>
        <ns0:v>439112.22711029794</ns0:v>
      </ns0:c>
      <ns0:c r="T684" s="7">
        <ns0:f>R684+S684</ns0:f>
        <ns0:v>1587184.8593747062</ns0:v>
      </ns0:c>
      <ns0:c r="U684" s="16">
        <ns0:f>P684-E684*'前提と出典'!$E$5</ns0:f>
        <ns0:v>1016496.3956066077</ns0:v>
      </ns0:c>
      <ns0:c r="V684" s="16">
        <ns0:f>Q684-F684*'前提と出典'!$E$5</ns0:f>
        <ns0:v>387473.3344904256</ns0:v>
      </ns0:c>
      <ns0:c r="W684" s="7">
        <ns0:f>U684+V684</ns0:f>
        <ns0:v>1403969.7300970333</ns0:v>
      </ns0:c>
      <ns0:c r="X684" s="16">
        <ns0:f>P684-E684*'前提と出典'!$E$6</ns0:f>
        <ns0:v>884920.1589488066</ns0:v>
      </ns0:c>
      <ns0:c r="Y684" s="16">
        <ns0:f>Q684-F684*'前提と出典'!$E$6</ns0:f>
        <ns0:v>335834.44187055324</ns0:v>
      </ns0:c>
      <ns0:c r="Z684" s="7">
        <ns0:f>X684+Y684</ns0:f>
        <ns0:v>1220754.6008193598</ns0:v>
      </ns0:c>
      <ns0:c r="AA684" s="7">
        <ns0:f>IF(T684&gt;=0,A684,1001)</ns0:f>
        <ns0:v>680</ns0:v>
      </ns0:c>
      <ns0:c r="AB684" s="7">
        <ns0:f>IF(T684&lt;0,A684,0)</ns0:f>
        <ns0:v>0</ns0:v>
      </ns0:c>
      <ns0:c r="AC684" s="16">
        <ns0:f>IF(AND(OR('前提と出典'!$C$36+'前提と出典'!$C$38=0,R684&gt;=0),OR('前提と出典'!$C$37+'前提と出典'!$C$38=0,S684&gt;=0)),0,A684)</ns0:f>
        <ns0:v>0</ns0:v>
      </ns0:c>
      <ns0:c r="AD684" s="7">
        <ns0:f>IF(W684&gt;=0,A684,1001)</ns0:f>
        <ns0:v>680</ns0:v>
      </ns0:c>
      <ns0:c r="AE684" s="7">
        <ns0:f>IF(W684&lt;0,A684,0)</ns0:f>
        <ns0:v>0</ns0:v>
      </ns0:c>
      <ns0:c r="AF684" s="16">
        <ns0:f>IF(AND(OR('前提と出典'!$C$36+'前提と出典'!$C$38=0,U684&gt;=0),OR('前提と出典'!$C$37+'前提と出典'!$C$38=0,V684&gt;=0)),0,A684)</ns0:f>
        <ns0:v>0</ns0:v>
      </ns0:c>
      <ns0:c r="AG684" s="7">
        <ns0:f>IF(Z684&gt;=0,A684,1001)</ns0:f>
        <ns0:v>680</ns0:v>
      </ns0:c>
      <ns0:c r="AH684" s="4">
        <ns0:f>IF(Z684&lt;0,A684,0)</ns0:f>
        <ns0:v>0</ns0:v>
      </ns0:c>
      <ns0:c r="AI684" s="12">
        <ns0:f>IF(AND(OR('前提と出典'!$C$36+'前提と出典'!$C$38=0,X684&gt;=0),OR('前提と出典'!$C$37+'前提と出典'!$C$38=0,Y684&gt;=0)),0,A684)</ns0:f>
        <ns0:v>0</ns0:v>
      </ns0:c>
    </ns0:row>
    <ns0:row r="685" ht="24" customHeight="1">
      <ns0:c r="A685" s="4" t="n">
        <ns0:v>681</ns0:v>
      </ns0:c>
      <ns0:c r="B685" s="12">
        <ns0:f>A685*('前提と出典'!$C$36+'前提と出典'!$C$38)</ns0:f>
        <ns0:v>476.7</ns0:v>
      </ns0:c>
      <ns0:c r="C685" s="12">
        <ns0:f>A685*('前提と出典'!$C$37+'前提と出典'!$C$38)</ns0:f>
        <ns0:v>408.59999999999997</ns0:v>
      </ns0:c>
      <ns0:c r="D685" s="16">
        <ns0:f>A685*('前提と出典'!$C$36*'契約別単価'!C5+'前提と出典'!$C$37*'契約別単価'!C6+'前提と出典'!$C$38*'契約別単価'!C7)</ns0:f>
        <ns0:v>4900.156424581006</ns0:v>
      </ns0:c>
      <ns0:c r="E685" s="16">
        <ns0:f>A685*('前提と出典'!$C$36*'契約別単価'!E5+'前提と出典'!$C$37*'契約別単価'!E6+'前提と出典'!$C$38*'契約別単価'!E7)</ns0:f>
        <ns0:v>1317697.3112347412</ns0:v>
      </ns0:c>
      <ns0:c r="F685" s="16">
        <ns0:f>A685*('前提と出典'!$C$36*'契約別単価'!F5+'前提と出典'!$C$37*'契約別単価'!F6+'前提と出典'!$C$38*'契約別単価'!F7)</ns0:f>
        <ns0:v>517148.32167842775</ns0:v>
      </ns0:c>
      <ns0:c r="G685" s="16">
        <ns0:f>A685*('前提と出典'!$C$36*'契約別単価'!G5+'前提と出典'!$C$37*'契約別単価'!G6+'前提と出典'!$C$38*'契約別単価'!G7)</ns0:f>
        <ns0:v>1355532.4022346367</ns0:v>
      </ns0:c>
      <ns0:c r="H685" s="16">
        <ns0:f>A685*('前提と出典'!$C$36*'契約別単価'!H5+'前提と出典'!$C$37*'契約別単価'!H6+'前提と出典'!$C$38*'契約別単価'!H7)</ns0:f>
        <ns0:v>470437.7288678026</ns0:v>
      </ns0:c>
      <ns0:c r="I685" s="16">
        <ns0:f>A685*('前提と出典'!$C$36*'契約別単価'!I5+'前提と出典'!$C$37*'契約別単価'!I6+'前提と出典'!$C$38*'契約別単価'!I7)</ns0:f>
        <ns0:v>28735.156424581</ns0:v>
      </ns0:c>
      <ns0:c r="J685" s="16">
        <ns0:f>A685*('前提と出典'!$C$36*'契約別単価'!J5+'前提と出典'!$C$37*'契約別単価'!J6+'前提と出典'!$C$38*'契約別単価'!J7)</ns0:f>
        <ns0:v>66935.17926671605</ns0:v>
      </ns0:c>
      <ns0:c r="K685" s="16">
        <ns0:f>A685*('前提と出典'!$C$36*'契約別単価'!K5+'前提と出典'!$C$37*'契約別単価'!K6+'前提と出典'!$C$38*'契約別単価'!K7)</ns0:f>
        <ns0:v>286907.70949720667</ns0:v>
      </ns0:c>
      <ns0:c r="L685" s="16">
        <ns0:f>A685*('前提と出典'!$C$36*'契約別単価'!L5+'前提と出典'!$C$37*'契約別単価'!L6+'前提と出典'!$C$38*'契約別単価'!L7)</ns0:f>
        <ns0:v>233601.25762892675</ns0:v>
      </ns0:c>
      <ns0:c r="M685" s="16">
        <ns0:f>IF(('前提と出典'!$C$36+'前提と出典'!$C$38)=0,0,IF(B685&lt;=10,'前提と出典'!B73+'前提と出典'!C73,IF(B685&lt;=100,'前提と出典'!B74+'前提と出典'!C74,IF(B685&lt;=500,'前提と出典'!B75+'前提と出典'!C75,'前提と出典'!B76+'前提と出典'!C76))))</ns0:f>
        <ns0:v>40000</ns0:v>
      </ns0:c>
      <ns0:c r="N685" s="16">
        <ns0:f>IF(('前提と出典'!$C$37+'前提と出典'!$C$38)=0,0,IF(C685&lt;=10,'前提と出典'!D73+'前提と出典'!E73,IF(C685&lt;=100,'前提と出典'!D74+'前提と出典'!E74,IF(C685&lt;=500,'前提と出典'!D75+'前提と出典'!E75,'前提と出典'!D76+'前提と出典'!E76))))</ns0:f>
        <ns0:v>56510.9346263078</ns0:v>
      </ns0:c>
      <ns0:c r="O685" s="16">
        <ns0:f>IF('前提と出典'!$C$36+'前提と出典'!$C$38=0,0,'前提と出典'!$B$4*IF('前提と出典'!$B$20=0,MAX('前提と出典'!$B$6,D685*'前提と出典'!$B$5),'前提と出典'!$B$6+D685*'前提と出典'!$B$5))</ns0:f>
        <ns0:v>676221.5865921788</ns0:v>
      </ns0:c>
      <ns0:c r="P685" s="16">
        <ns0:f>(E685+G685)*(1-'前提と出典'!$B$7)-I685-K685-M685-O685</ns0:f>
        <ns0:v>1545128.9912705135</ns0:v>
      </ns0:c>
      <ns0:c r="Q685" s="16">
        <ns0:f>(F685+H685)*(1-'前提と出典'!$B$7)-J685-L685-N685</ns0:f>
        <ns0:v>594985.5812046154</ns0:v>
      </ns0:c>
      <ns0:c r="R685" s="16">
        <ns0:f>P685-E685*'前提と出典'!$E$4</ns0:f>
        <ns0:v>1149819.7979000912</ns0:v>
      </ns0:c>
      <ns0:c r="S685" s="16">
        <ns0:f>Q685-F685*'前提と出典'!$E$4</ns0:f>
        <ns0:v>439841.0847010871</ns0:v>
      </ns0:c>
      <ns0:c r="T685" s="7">
        <ns0:f>R685+S685</ns0:f>
        <ns0:v>1589660.8826011783</ns0:v>
      </ns0:c>
      <ns0:c r="U685" s="16">
        <ns0:f>P685-E685*'前提と出典'!$E$5</ns0:f>
        <ns0:v>1018050.066776617</ns0:v>
      </ns0:c>
      <ns0:c r="V685" s="16">
        <ns0:f>Q685-F685*'前提と出典'!$E$5</ns0:f>
        <ns0:v>388126.2525332443</ns0:v>
      </ns0:c>
      <ns0:c r="W685" s="7">
        <ns0:f>U685+V685</ns0:f>
        <ns0:v>1406176.3193098614</ns0:v>
      </ns0:c>
      <ns0:c r="X685" s="16">
        <ns0:f>P685-E685*'前提と出典'!$E$6</ns0:f>
        <ns0:v>886280.335653143</ns0:v>
      </ns0:c>
      <ns0:c r="Y685" s="16">
        <ns0:f>Q685-F685*'前提と出典'!$E$6</ns0:f>
        <ns0:v>336411.42036540154</ns0:v>
      </ns0:c>
      <ns0:c r="Z685" s="7">
        <ns0:f>X685+Y685</ns0:f>
        <ns0:v>1222691.7560185445</ns0:v>
      </ns0:c>
      <ns0:c r="AA685" s="7">
        <ns0:f>IF(T685&gt;=0,A685,1001)</ns0:f>
        <ns0:v>681</ns0:v>
      </ns0:c>
      <ns0:c r="AB685" s="7">
        <ns0:f>IF(T685&lt;0,A685,0)</ns0:f>
        <ns0:v>0</ns0:v>
      </ns0:c>
      <ns0:c r="AC685" s="16">
        <ns0:f>IF(AND(OR('前提と出典'!$C$36+'前提と出典'!$C$38=0,R685&gt;=0),OR('前提と出典'!$C$37+'前提と出典'!$C$38=0,S685&gt;=0)),0,A685)</ns0:f>
        <ns0:v>0</ns0:v>
      </ns0:c>
      <ns0:c r="AD685" s="7">
        <ns0:f>IF(W685&gt;=0,A685,1001)</ns0:f>
        <ns0:v>681</ns0:v>
      </ns0:c>
      <ns0:c r="AE685" s="7">
        <ns0:f>IF(W685&lt;0,A685,0)</ns0:f>
        <ns0:v>0</ns0:v>
      </ns0:c>
      <ns0:c r="AF685" s="16">
        <ns0:f>IF(AND(OR('前提と出典'!$C$36+'前提と出典'!$C$38=0,U685&gt;=0),OR('前提と出典'!$C$37+'前提と出典'!$C$38=0,V685&gt;=0)),0,A685)</ns0:f>
        <ns0:v>0</ns0:v>
      </ns0:c>
      <ns0:c r="AG685" s="7">
        <ns0:f>IF(Z685&gt;=0,A685,1001)</ns0:f>
        <ns0:v>681</ns0:v>
      </ns0:c>
      <ns0:c r="AH685" s="4">
        <ns0:f>IF(Z685&lt;0,A685,0)</ns0:f>
        <ns0:v>0</ns0:v>
      </ns0:c>
      <ns0:c r="AI685" s="12">
        <ns0:f>IF(AND(OR('前提と出典'!$C$36+'前提と出典'!$C$38=0,X685&gt;=0),OR('前提と出典'!$C$37+'前提と出典'!$C$38=0,Y685&gt;=0)),0,A685)</ns0:f>
        <ns0:v>0</ns0:v>
      </ns0:c>
    </ns0:row>
    <ns0:row r="686" ht="24" customHeight="1">
      <ns0:c r="A686" s="4" t="n">
        <ns0:v>682</ns0:v>
      </ns0:c>
      <ns0:c r="B686" s="12">
        <ns0:f>A686*('前提と出典'!$C$36+'前提と出典'!$C$38)</ns0:f>
        <ns0:v>477.4</ns0:v>
      </ns0:c>
      <ns0:c r="C686" s="12">
        <ns0:f>A686*('前提と出典'!$C$37+'前提と出典'!$C$38)</ns0:f>
        <ns0:v>409.2</ns0:v>
      </ns0:c>
      <ns0:c r="D686" s="16">
        <ns0:f>A686*('前提と出典'!$C$36*'契約別単価'!C5+'前提と出典'!$C$37*'契約別単価'!C6+'前提と出典'!$C$38*'契約別単価'!C7)</ns0:f>
        <ns0:v>4907.351955307263</ns0:v>
      </ns0:c>
      <ns0:c r="E686" s="16">
        <ns0:f>A686*('前提と出典'!$C$36*'契約別単価'!E5+'前提と出典'!$C$37*'契約別単価'!E6+'前提と出典'!$C$38*'契約別単価'!E7)</ns0:f>
        <ns0:v>1319632.2558914735</ns0:v>
      </ns0:c>
      <ns0:c r="F686" s="16">
        <ns0:f>A686*('前提と出典'!$C$36*'契約別単価'!F5+'前提と出典'!$C$37*'契約別単価'!F6+'前提と出典'!$C$38*'契約別単価'!F7)</ns0:f>
        <ns0:v>517907.71715813177</ns0:v>
      </ns0:c>
      <ns0:c r="G686" s="16">
        <ns0:f>A686*('前提と出典'!$C$36*'契約別単価'!G5+'前提と出典'!$C$37*'契約別単価'!G6+'前提と出典'!$C$38*'契約別単価'!G7)</ns0:f>
        <ns0:v>1357522.905027933</ns0:v>
      </ns0:c>
      <ns0:c r="H686" s="16">
        <ns0:f>A686*('前提と出典'!$C$36*'契約別単価'!H5+'前提と出典'!$C$37*'契約別単価'!H6+'前提と出典'!$C$38*'契約別単価'!H7)</ns0:f>
        <ns0:v>471128.5331686364</ns0:v>
      </ns0:c>
      <ns0:c r="I686" s="16">
        <ns0:f>A686*('前提と出典'!$C$36*'契約別単価'!I5+'前提と出典'!$C$37*'契約別単価'!I6+'前提と出典'!$C$38*'契約別単価'!I7)</ns0:f>
        <ns0:v>28777.35195530726</ns0:v>
      </ns0:c>
      <ns0:c r="J686" s="16">
        <ns0:f>A686*('前提と出典'!$C$36*'契約別単価'!J5+'前提と出典'!$C$37*'契約別単価'!J6+'前提と出典'!$C$38*'契約別単価'!J7)</ns0:f>
        <ns0:v>67033.46881042635</ns0:v>
      </ns0:c>
      <ns0:c r="K686" s="16">
        <ns0:f>A686*('前提と出典'!$C$36*'契約別単価'!K5+'前提と出典'!$C$37*'契約別単価'!K6+'前提と出典'!$C$38*'契約別単価'!K7)</ns0:f>
        <ns0:v>287329.01303538174</ns0:v>
      </ns0:c>
      <ns0:c r="L686" s="16">
        <ns0:f>A686*('前提と出典'!$C$36*'契約別単価'!L5+'前提と出典'!$C$37*'契約別単価'!L6+'前提と出典'!$C$38*'契約別単価'!L7)</ns0:f>
        <ns0:v>233944.28443895455</ns0:v>
      </ns0:c>
      <ns0:c r="M686" s="16">
        <ns0:f>IF(('前提と出典'!$C$36+'前提と出典'!$C$38)=0,0,IF(B686&lt;=10,'前提と出典'!B73+'前提と出典'!C73,IF(B686&lt;=100,'前提と出典'!B74+'前提と出典'!C74,IF(B686&lt;=500,'前提と出典'!B75+'前提と出典'!C75,'前提と出典'!B76+'前提と出典'!C76))))</ns0:f>
        <ns0:v>40000</ns0:v>
      </ns0:c>
      <ns0:c r="N686" s="16">
        <ns0:f>IF(('前提と出典'!$C$37+'前提と出典'!$C$38)=0,0,IF(C686&lt;=10,'前提と出典'!D73+'前提と出典'!E73,IF(C686&lt;=100,'前提と出典'!D74+'前提と出典'!E74,IF(C686&lt;=500,'前提と出典'!D75+'前提と出典'!E75,'前提と出典'!D76+'前提と出典'!E76))))</ns0:f>
        <ns0:v>56510.9346263078</ns0:v>
      </ns0:c>
      <ns0:c r="O686" s="16">
        <ns0:f>IF('前提と出典'!$C$36+'前提と出典'!$C$38=0,0,'前提と出典'!$B$4*IF('前提と出典'!$B$20=0,MAX('前提と出典'!$B$6,D686*'前提と出典'!$B$5),'前提と出典'!$B$6+D686*'前提と出典'!$B$5))</ns0:f>
        <ns0:v>677214.5698324023</ns0:v>
      </ns0:c>
      <ns0:c r="P686" s="16">
        <ns0:f>(E686+G686)*(1-'前提と出典'!$B$7)-I686-K686-M686-O686</ns0:f>
        <ns0:v>1547456.6403032169</ns0:v>
      </ns0:c>
      <ns0:c r="Q686" s="16">
        <ns0:f>(F686+H686)*(1-'前提と出典'!$B$7)-J686-L686-N686</ns0:f>
        <ns0:v>595942.2574393158</ns0:v>
      </ns0:c>
      <ns0:c r="R686" s="16">
        <ns0:f>P686-E686*'前提と出典'!$E$4</ns0:f>
        <ns0:v>1151566.963535775</ns0:v>
      </ns0:c>
      <ns0:c r="S686" s="16">
        <ns0:f>Q686-F686*'前提と出典'!$E$4</ns0:f>
        <ns0:v>440569.9422918763</ns0:v>
      </ns0:c>
      <ns0:c r="T686" s="7">
        <ns0:f>R686+S686</ns0:f>
        <ns0:v>1592136.9058276513</ns0:v>
      </ns0:c>
      <ns0:c r="U686" s="16">
        <ns0:f>P686-E686*'前提と出典'!$E$5</ns0:f>
        <ns0:v>1019603.7379466274</ns0:v>
      </ns0:c>
      <ns0:c r="V686" s="16">
        <ns0:f>Q686-F686*'前提と出典'!$E$5</ns0:f>
        <ns0:v>388779.1705760631</ns0:v>
      </ns0:c>
      <ns0:c r="W686" s="7">
        <ns0:f>U686+V686</ns0:f>
        <ns0:v>1408382.9085226906</ns0:v>
      </ns0:c>
      <ns0:c r="X686" s="16">
        <ns0:f>P686-E686*'前提と出典'!$E$6</ns0:f>
        <ns0:v>887640.5123574799</ns0:v>
      </ns0:c>
      <ns0:c r="Y686" s="16">
        <ns0:f>Q686-F686*'前提と出典'!$E$6</ns0:f>
        <ns0:v>336988.3988602499</ns0:v>
      </ns0:c>
      <ns0:c r="Z686" s="7">
        <ns0:f>X686+Y686</ns0:f>
        <ns0:v>1224628.9112177298</ns0:v>
      </ns0:c>
      <ns0:c r="AA686" s="7">
        <ns0:f>IF(T686&gt;=0,A686,1001)</ns0:f>
        <ns0:v>682</ns0:v>
      </ns0:c>
      <ns0:c r="AB686" s="7">
        <ns0:f>IF(T686&lt;0,A686,0)</ns0:f>
        <ns0:v>0</ns0:v>
      </ns0:c>
      <ns0:c r="AC686" s="16">
        <ns0:f>IF(AND(OR('前提と出典'!$C$36+'前提と出典'!$C$38=0,R686&gt;=0),OR('前提と出典'!$C$37+'前提と出典'!$C$38=0,S686&gt;=0)),0,A686)</ns0:f>
        <ns0:v>0</ns0:v>
      </ns0:c>
      <ns0:c r="AD686" s="7">
        <ns0:f>IF(W686&gt;=0,A686,1001)</ns0:f>
        <ns0:v>682</ns0:v>
      </ns0:c>
      <ns0:c r="AE686" s="7">
        <ns0:f>IF(W686&lt;0,A686,0)</ns0:f>
        <ns0:v>0</ns0:v>
      </ns0:c>
      <ns0:c r="AF686" s="16">
        <ns0:f>IF(AND(OR('前提と出典'!$C$36+'前提と出典'!$C$38=0,U686&gt;=0),OR('前提と出典'!$C$37+'前提と出典'!$C$38=0,V686&gt;=0)),0,A686)</ns0:f>
        <ns0:v>0</ns0:v>
      </ns0:c>
      <ns0:c r="AG686" s="7">
        <ns0:f>IF(Z686&gt;=0,A686,1001)</ns0:f>
        <ns0:v>682</ns0:v>
      </ns0:c>
      <ns0:c r="AH686" s="4">
        <ns0:f>IF(Z686&lt;0,A686,0)</ns0:f>
        <ns0:v>0</ns0:v>
      </ns0:c>
      <ns0:c r="AI686" s="12">
        <ns0:f>IF(AND(OR('前提と出典'!$C$36+'前提と出典'!$C$38=0,X686&gt;=0),OR('前提と出典'!$C$37+'前提と出典'!$C$38=0,Y686&gt;=0)),0,A686)</ns0:f>
        <ns0:v>0</ns0:v>
      </ns0:c>
    </ns0:row>
    <ns0:row r="687" ht="24" customHeight="1">
      <ns0:c r="A687" s="4" t="n">
        <ns0:v>683</ns0:v>
      </ns0:c>
      <ns0:c r="B687" s="12">
        <ns0:f>A687*('前提と出典'!$C$36+'前提と出典'!$C$38)</ns0:f>
        <ns0:v>478.09999999999997</ns0:v>
      </ns0:c>
      <ns0:c r="C687" s="12">
        <ns0:f>A687*('前提と出典'!$C$37+'前提と出典'!$C$38)</ns0:f>
        <ns0:v>409.8</ns0:v>
      </ns0:c>
      <ns0:c r="D687" s="16">
        <ns0:f>A687*('前提と出典'!$C$36*'契約別単価'!C5+'前提と出典'!$C$37*'契約別単価'!C6+'前提と出典'!$C$38*'契約別単価'!C7)</ns0:f>
        <ns0:v>4914.54748603352</ns0:v>
      </ns0:c>
      <ns0:c r="E687" s="16">
        <ns0:f>A687*('前提と出典'!$C$36*'契約別単価'!E5+'前提と出典'!$C$37*'契約別単価'!E6+'前提と出典'!$C$38*'契約別単価'!E7)</ns0:f>
        <ns0:v>1321567.200548206</ns0:v>
      </ns0:c>
      <ns0:c r="F687" s="16">
        <ns0:f>A687*('前提と出典'!$C$36*'契約別単価'!F5+'前提と出典'!$C$37*'契約別単価'!F6+'前提と出典'!$C$38*'契約別単価'!F7)</ns0:f>
        <ns0:v>518667.1126378358</ns0:v>
      </ns0:c>
      <ns0:c r="G687" s="16">
        <ns0:f>A687*('前提と出典'!$C$36*'契約別単価'!G5+'前提と出典'!$C$37*'契約別単価'!G6+'前提と出典'!$C$38*'契約別単価'!G7)</ns0:f>
        <ns0:v>1359513.407821229</ns0:v>
      </ns0:c>
      <ns0:c r="H687" s="16">
        <ns0:f>A687*('前提と出典'!$C$36*'契約別単価'!H5+'前提と出典'!$C$37*'契約別単価'!H6+'前提と出典'!$C$38*'契約別単価'!H7)</ns0:f>
        <ns0:v>471819.33746947016</ns0:v>
      </ns0:c>
      <ns0:c r="I687" s="16">
        <ns0:f>A687*('前提と出典'!$C$36*'契約別単価'!I5+'前提と出典'!$C$37*'契約別単価'!I6+'前提と出典'!$C$38*'契約別単価'!I7)</ns0:f>
        <ns0:v>28819.547486033516</ns0:v>
      </ns0:c>
      <ns0:c r="J687" s="16">
        <ns0:f>A687*('前提と出典'!$C$36*'契約別単価'!J5+'前提と出典'!$C$37*'契約別単価'!J6+'前提と出典'!$C$38*'契約別単価'!J7)</ns0:f>
        <ns0:v>67131.75835413665</ns0:v>
      </ns0:c>
      <ns0:c r="K687" s="16">
        <ns0:f>A687*('前提と出典'!$C$36*'契約別単価'!K5+'前提と出典'!$C$37*'契約別単価'!K6+'前提と出典'!$C$38*'契約別単価'!K7)</ns0:f>
        <ns0:v>287750.3165735568</ns0:v>
      </ns0:c>
      <ns0:c r="L687" s="16">
        <ns0:f>A687*('前提と出典'!$C$36*'契約別単価'!L5+'前提と出典'!$C$37*'契約別単価'!L6+'前提と出典'!$C$38*'契約別単価'!L7)</ns0:f>
        <ns0:v>234287.31124898233</ns0:v>
      </ns0:c>
      <ns0:c r="M687" s="16">
        <ns0:f>IF(('前提と出典'!$C$36+'前提と出典'!$C$38)=0,0,IF(B687&lt;=10,'前提と出典'!B73+'前提と出典'!C73,IF(B687&lt;=100,'前提と出典'!B74+'前提と出典'!C74,IF(B687&lt;=500,'前提と出典'!B75+'前提と出典'!C75,'前提と出典'!B76+'前提と出典'!C76))))</ns0:f>
        <ns0:v>40000</ns0:v>
      </ns0:c>
      <ns0:c r="N687" s="16">
        <ns0:f>IF(('前提と出典'!$C$37+'前提と出典'!$C$38)=0,0,IF(C687&lt;=10,'前提と出典'!D73+'前提と出典'!E73,IF(C687&lt;=100,'前提と出典'!D74+'前提と出典'!E74,IF(C687&lt;=500,'前提と出典'!D75+'前提と出典'!E75,'前提と出典'!D76+'前提と出典'!E76))))</ns0:f>
        <ns0:v>56510.9346263078</ns0:v>
      </ns0:c>
      <ns0:c r="O687" s="16">
        <ns0:f>IF('前提と出典'!$C$36+'前提と出典'!$C$38=0,0,'前提と出典'!$B$4*IF('前提と出典'!$B$20=0,MAX('前提と出典'!$B$6,D687*'前提と出典'!$B$5),'前提と出典'!$B$6+D687*'前提と出典'!$B$5))</ns0:f>
        <ns0:v>678207.5530726258</ns0:v>
      </ns0:c>
      <ns0:c r="P687" s="16">
        <ns0:f>(E687+G687)*(1-'前提と出典'!$B$7)-I687-K687-M687-O687</ns0:f>
        <ns0:v>1549784.2893359195</ns0:v>
      </ns0:c>
      <ns0:c r="Q687" s="16">
        <ns0:f>(F687+H687)*(1-'前提と出典'!$B$7)-J687-L687-N687</ns0:f>
        <ns0:v>596898.9336740163</ns0:v>
      </ns0:c>
      <ns0:c r="R687" s="16">
        <ns0:f>P687-E687*'前提と出典'!$E$4</ns0:f>
        <ns0:v>1153314.1291714578</ns0:v>
      </ns0:c>
      <ns0:c r="S687" s="16">
        <ns0:f>Q687-F687*'前提と出典'!$E$4</ns0:f>
        <ns0:v>441298.7998826655</ns0:v>
      </ns0:c>
      <ns0:c r="T687" s="7">
        <ns0:f>R687+S687</ns0:f>
        <ns0:v>1594612.9290541233</ns0:v>
      </ns0:c>
      <ns0:c r="U687" s="16">
        <ns0:f>P687-E687*'前提と出典'!$E$5</ns0:f>
        <ns0:v>1021157.409116637</ns0:v>
      </ns0:c>
      <ns0:c r="V687" s="16">
        <ns0:f>Q687-F687*'前提と出典'!$E$5</ns0:f>
        <ns0:v>389432.088618882</ns0:v>
      </ns0:c>
      <ns0:c r="W687" s="7">
        <ns0:f>U687+V687</ns0:f>
        <ns0:v>1410589.497735519</ns0:v>
      </ns0:c>
      <ns0:c r="X687" s="16">
        <ns0:f>P687-E687*'前提と出典'!$E$6</ns0:f>
        <ns0:v>889000.6890618165</ns0:v>
      </ns0:c>
      <ns0:c r="Y687" s="16">
        <ns0:f>Q687-F687*'前提と出典'!$E$6</ns0:f>
        <ns0:v>337565.3773550984</ns0:v>
      </ns0:c>
      <ns0:c r="Z687" s="7">
        <ns0:f>X687+Y687</ns0:f>
        <ns0:v>1226566.066416915</ns0:v>
      </ns0:c>
      <ns0:c r="AA687" s="7">
        <ns0:f>IF(T687&gt;=0,A687,1001)</ns0:f>
        <ns0:v>683</ns0:v>
      </ns0:c>
      <ns0:c r="AB687" s="7">
        <ns0:f>IF(T687&lt;0,A687,0)</ns0:f>
        <ns0:v>0</ns0:v>
      </ns0:c>
      <ns0:c r="AC687" s="16">
        <ns0:f>IF(AND(OR('前提と出典'!$C$36+'前提と出典'!$C$38=0,R687&gt;=0),OR('前提と出典'!$C$37+'前提と出典'!$C$38=0,S687&gt;=0)),0,A687)</ns0:f>
        <ns0:v>0</ns0:v>
      </ns0:c>
      <ns0:c r="AD687" s="7">
        <ns0:f>IF(W687&gt;=0,A687,1001)</ns0:f>
        <ns0:v>683</ns0:v>
      </ns0:c>
      <ns0:c r="AE687" s="7">
        <ns0:f>IF(W687&lt;0,A687,0)</ns0:f>
        <ns0:v>0</ns0:v>
      </ns0:c>
      <ns0:c r="AF687" s="16">
        <ns0:f>IF(AND(OR('前提と出典'!$C$36+'前提と出典'!$C$38=0,U687&gt;=0),OR('前提と出典'!$C$37+'前提と出典'!$C$38=0,V687&gt;=0)),0,A687)</ns0:f>
        <ns0:v>0</ns0:v>
      </ns0:c>
      <ns0:c r="AG687" s="7">
        <ns0:f>IF(Z687&gt;=0,A687,1001)</ns0:f>
        <ns0:v>683</ns0:v>
      </ns0:c>
      <ns0:c r="AH687" s="4">
        <ns0:f>IF(Z687&lt;0,A687,0)</ns0:f>
        <ns0:v>0</ns0:v>
      </ns0:c>
      <ns0:c r="AI687" s="12">
        <ns0:f>IF(AND(OR('前提と出典'!$C$36+'前提と出典'!$C$38=0,X687&gt;=0),OR('前提と出典'!$C$37+'前提と出典'!$C$38=0,Y687&gt;=0)),0,A687)</ns0:f>
        <ns0:v>0</ns0:v>
      </ns0:c>
    </ns0:row>
    <ns0:row r="688" ht="24" customHeight="1">
      <ns0:c r="A688" s="4" t="n">
        <ns0:v>684</ns0:v>
      </ns0:c>
      <ns0:c r="B688" s="12">
        <ns0:f>A688*('前提と出典'!$C$36+'前提と出典'!$C$38)</ns0:f>
        <ns0:v>478.79999999999995</ns0:v>
      </ns0:c>
      <ns0:c r="C688" s="12">
        <ns0:f>A688*('前提と出典'!$C$37+'前提と出典'!$C$38)</ns0:f>
        <ns0:v>410.4</ns0:v>
      </ns0:c>
      <ns0:c r="D688" s="16">
        <ns0:f>A688*('前提と出典'!$C$36*'契約別単価'!C5+'前提と出典'!$C$37*'契約別単価'!C6+'前提と出典'!$C$38*'契約別単価'!C7)</ns0:f>
        <ns0:v>4921.743016759777</ns0:v>
      </ns0:c>
      <ns0:c r="E688" s="16">
        <ns0:f>A688*('前提と出典'!$C$36*'契約別単価'!E5+'前提と出典'!$C$37*'契約別単価'!E6+'前提と出典'!$C$38*'契約別単価'!E7)</ns0:f>
        <ns0:v>1323502.1452049382</ns0:v>
      </ns0:c>
      <ns0:c r="F688" s="16">
        <ns0:f>A688*('前提と出典'!$C$36*'契約別単価'!F5+'前提と出典'!$C$37*'契約別単価'!F6+'前提と出典'!$C$38*'契約別単価'!F7)</ns0:f>
        <ns0:v>519426.5081175398</ns0:v>
      </ns0:c>
      <ns0:c r="G688" s="16">
        <ns0:f>A688*('前提と出典'!$C$36*'契約別単価'!G5+'前提と出典'!$C$37*'契約別単価'!G6+'前提と出典'!$C$38*'契約別単価'!G7)</ns0:f>
        <ns0:v>1361503.910614525</ns0:v>
      </ns0:c>
      <ns0:c r="H688" s="16">
        <ns0:f>A688*('前提と出典'!$C$36*'契約別単価'!H5+'前提と出典'!$C$37*'契約別単価'!H6+'前提と出典'!$C$38*'契約別単価'!H7)</ns0:f>
        <ns0:v>472510.14177030395</ns0:v>
      </ns0:c>
      <ns0:c r="I688" s="16">
        <ns0:f>A688*('前提と出典'!$C$36*'契約別単価'!I5+'前提と出典'!$C$37*'契約別単価'!I6+'前提と出典'!$C$38*'契約別単価'!I7)</ns0:f>
        <ns0:v>28861.74301675977</ns0:v>
      </ns0:c>
      <ns0:c r="J688" s="16">
        <ns0:f>A688*('前提と出典'!$C$36*'契約別単価'!J5+'前提と出典'!$C$37*'契約別単価'!J6+'前提と出典'!$C$38*'契約別単価'!J7)</ns0:f>
        <ns0:v>67230.04789784696</ns0:v>
      </ns0:c>
      <ns0:c r="K688" s="16">
        <ns0:f>A688*('前提と出典'!$C$36*'契約別単価'!K5+'前提と出典'!$C$37*'契約別単価'!K6+'前提と出典'!$C$38*'契約別単価'!K7)</ns0:f>
        <ns0:v>288171.6201117318</ns0:v>
      </ns0:c>
      <ns0:c r="L688" s="16">
        <ns0:f>A688*('前提と出典'!$C$36*'契約別単価'!L5+'前提と出典'!$C$37*'契約別単価'!L6+'前提と出典'!$C$38*'契約別単価'!L7)</ns0:f>
        <ns0:v>234630.33805901013</ns0:v>
      </ns0:c>
      <ns0:c r="M688" s="16">
        <ns0:f>IF(('前提と出典'!$C$36+'前提と出典'!$C$38)=0,0,IF(B688&lt;=10,'前提と出典'!B73+'前提と出典'!C73,IF(B688&lt;=100,'前提と出典'!B74+'前提と出典'!C74,IF(B688&lt;=500,'前提と出典'!B75+'前提と出典'!C75,'前提と出典'!B76+'前提と出典'!C76))))</ns0:f>
        <ns0:v>40000</ns0:v>
      </ns0:c>
      <ns0:c r="N688" s="16">
        <ns0:f>IF(('前提と出典'!$C$37+'前提と出典'!$C$38)=0,0,IF(C688&lt;=10,'前提と出典'!D73+'前提と出典'!E73,IF(C688&lt;=100,'前提と出典'!D74+'前提と出典'!E74,IF(C688&lt;=500,'前提と出典'!D75+'前提と出典'!E75,'前提と出典'!D76+'前提と出典'!E76))))</ns0:f>
        <ns0:v>56510.9346263078</ns0:v>
      </ns0:c>
      <ns0:c r="O688" s="16">
        <ns0:f>IF('前提と出典'!$C$36+'前提と出典'!$C$38=0,0,'前提と出典'!$B$4*IF('前提と出典'!$B$20=0,MAX('前提と出典'!$B$6,D688*'前提と出典'!$B$5),'前提と出典'!$B$6+D688*'前提と出典'!$B$5))</ns0:f>
        <ns0:v>679200.5363128493</ns0:v>
      </ns0:c>
      <ns0:c r="P688" s="16">
        <ns0:f>(E688+G688)*(1-'前提と出典'!$B$7)-I688-K688-M688-O688</ns0:f>
        <ns0:v>1552111.9383686213</ns0:v>
      </ns0:c>
      <ns0:c r="Q688" s="16">
        <ns0:f>(F688+H688)*(1-'前提と出典'!$B$7)-J688-L688-N688</ns0:f>
        <ns0:v>597855.6099087166</ns0:v>
      </ns0:c>
      <ns0:c r="R688" s="16">
        <ns0:f>P688-E688*'前提と出典'!$E$4</ns0:f>
        <ns0:v>1155061.2948071398</ns0:v>
      </ns0:c>
      <ns0:c r="S688" s="16">
        <ns0:f>Q688-F688*'前提と出典'!$E$4</ns0:f>
        <ns0:v>442027.6574734546</ns0:v>
      </ns0:c>
      <ns0:c r="T688" s="7">
        <ns0:f>R688+S688</ns0:f>
        <ns0:v>1597088.9522805945</ns0:v>
      </ns0:c>
      <ns0:c r="U688" s="16">
        <ns0:f>P688-E688*'前提と出典'!$E$5</ns0:f>
        <ns0:v>1022711.0802866458</ns0:v>
      </ns0:c>
      <ns0:c r="V688" s="16">
        <ns0:f>Q688-F688*'前提と出典'!$E$5</ns0:f>
        <ns0:v>390085.00666170067</ns0:v>
      </ns0:c>
      <ns0:c r="W688" s="7">
        <ns0:f>U688+V688</ns0:f>
        <ns0:v>1412796.0869483463</ns0:v>
      </ns0:c>
      <ns0:c r="X688" s="16">
        <ns0:f>P688-E688*'前提と出典'!$E$6</ns0:f>
        <ns0:v>890360.8657661523</ns0:v>
      </ns0:c>
      <ns0:c r="Y688" s="16">
        <ns0:f>Q688-F688*'前提と出典'!$E$6</ns0:f>
        <ns0:v>338142.35584994673</ns0:v>
      </ns0:c>
      <ns0:c r="Z688" s="7">
        <ns0:f>X688+Y688</ns0:f>
        <ns0:v>1228503.2216160991</ns0:v>
      </ns0:c>
      <ns0:c r="AA688" s="7">
        <ns0:f>IF(T688&gt;=0,A688,1001)</ns0:f>
        <ns0:v>684</ns0:v>
      </ns0:c>
      <ns0:c r="AB688" s="7">
        <ns0:f>IF(T688&lt;0,A688,0)</ns0:f>
        <ns0:v>0</ns0:v>
      </ns0:c>
      <ns0:c r="AC688" s="16">
        <ns0:f>IF(AND(OR('前提と出典'!$C$36+'前提と出典'!$C$38=0,R688&gt;=0),OR('前提と出典'!$C$37+'前提と出典'!$C$38=0,S688&gt;=0)),0,A688)</ns0:f>
        <ns0:v>0</ns0:v>
      </ns0:c>
      <ns0:c r="AD688" s="7">
        <ns0:f>IF(W688&gt;=0,A688,1001)</ns0:f>
        <ns0:v>684</ns0:v>
      </ns0:c>
      <ns0:c r="AE688" s="7">
        <ns0:f>IF(W688&lt;0,A688,0)</ns0:f>
        <ns0:v>0</ns0:v>
      </ns0:c>
      <ns0:c r="AF688" s="16">
        <ns0:f>IF(AND(OR('前提と出典'!$C$36+'前提と出典'!$C$38=0,U688&gt;=0),OR('前提と出典'!$C$37+'前提と出典'!$C$38=0,V688&gt;=0)),0,A688)</ns0:f>
        <ns0:v>0</ns0:v>
      </ns0:c>
      <ns0:c r="AG688" s="7">
        <ns0:f>IF(Z688&gt;=0,A688,1001)</ns0:f>
        <ns0:v>684</ns0:v>
      </ns0:c>
      <ns0:c r="AH688" s="4">
        <ns0:f>IF(Z688&lt;0,A688,0)</ns0:f>
        <ns0:v>0</ns0:v>
      </ns0:c>
      <ns0:c r="AI688" s="12">
        <ns0:f>IF(AND(OR('前提と出典'!$C$36+'前提と出典'!$C$38=0,X688&gt;=0),OR('前提と出典'!$C$37+'前提と出典'!$C$38=0,Y688&gt;=0)),0,A688)</ns0:f>
        <ns0:v>0</ns0:v>
      </ns0:c>
    </ns0:row>
    <ns0:row r="689" ht="24" customHeight="1">
      <ns0:c r="A689" s="4" t="n">
        <ns0:v>685</ns0:v>
      </ns0:c>
      <ns0:c r="B689" s="12">
        <ns0:f>A689*('前提と出典'!$C$36+'前提と出典'!$C$38)</ns0:f>
        <ns0:v>479.49999999999994</ns0:v>
      </ns0:c>
      <ns0:c r="C689" s="12">
        <ns0:f>A689*('前提と出典'!$C$37+'前提と出典'!$C$38)</ns0:f>
        <ns0:v>411</ns0:v>
      </ns0:c>
      <ns0:c r="D689" s="16">
        <ns0:f>A689*('前提と出典'!$C$36*'契約別単価'!C5+'前提と出典'!$C$37*'契約別単価'!C6+'前提と出典'!$C$38*'契約別単価'!C7)</ns0:f>
        <ns0:v>4928.938547486034</ns0:v>
      </ns0:c>
      <ns0:c r="E689" s="16">
        <ns0:f>A689*('前提と出典'!$C$36*'契約別単価'!E5+'前提と出典'!$C$37*'契約別単価'!E6+'前提と出典'!$C$38*'契約別単価'!E7)</ns0:f>
        <ns0:v>1325437.0898616707</ns0:v>
      </ns0:c>
      <ns0:c r="F689" s="16">
        <ns0:f>A689*('前提と出典'!$C$36*'契約別単価'!F5+'前提と出典'!$C$37*'契約別単価'!F6+'前提と出典'!$C$38*'契約別単価'!F7)</ns0:f>
        <ns0:v>520185.90359724377</ns0:v>
      </ns0:c>
      <ns0:c r="G689" s="16">
        <ns0:f>A689*('前提と出典'!$C$36*'契約別単価'!G5+'前提と出典'!$C$37*'契約別単価'!G6+'前提と出典'!$C$38*'契約別単価'!G7)</ns0:f>
        <ns0:v>1363494.4134078212</ns0:v>
      </ns0:c>
      <ns0:c r="H689" s="16">
        <ns0:f>A689*('前提と出典'!$C$36*'契約別単価'!H5+'前提と出典'!$C$37*'契約別単価'!H6+'前提と出典'!$C$38*'契約別単価'!H7)</ns0:f>
        <ns0:v>473200.94607113773</ns0:v>
      </ns0:c>
      <ns0:c r="I689" s="16">
        <ns0:f>A689*('前提と出典'!$C$36*'契約別単価'!I5+'前提と出典'!$C$37*'契約別単価'!I6+'前提と出典'!$C$38*'契約別単価'!I7)</ns0:f>
        <ns0:v>28903.93854748603</ns0:v>
      </ns0:c>
      <ns0:c r="J689" s="16">
        <ns0:f>A689*('前提と出典'!$C$36*'契約別単価'!J5+'前提と出典'!$C$37*'契約別単価'!J6+'前提と出典'!$C$38*'契約別単価'!J7)</ns0:f>
        <ns0:v>67328.33744155726</ns0:v>
      </ns0:c>
      <ns0:c r="K689" s="16">
        <ns0:f>A689*('前提と出典'!$C$36*'契約別単価'!K5+'前提と出典'!$C$37*'契約別単価'!K6+'前提と出典'!$C$38*'契約別単価'!K7)</ns0:f>
        <ns0:v>288592.9236499069</ns0:v>
      </ns0:c>
      <ns0:c r="L689" s="16">
        <ns0:f>A689*('前提と出典'!$C$36*'契約別単価'!L5+'前提と出典'!$C$37*'契約別単価'!L6+'前提と出典'!$C$38*'契約別単価'!L7)</ns0:f>
        <ns0:v>234973.3648690379</ns0:v>
      </ns0:c>
      <ns0:c r="M689" s="16">
        <ns0:f>IF(('前提と出典'!$C$36+'前提と出典'!$C$38)=0,0,IF(B689&lt;=10,'前提と出典'!B73+'前提と出典'!C73,IF(B689&lt;=100,'前提と出典'!B74+'前提と出典'!C74,IF(B689&lt;=500,'前提と出典'!B75+'前提と出典'!C75,'前提と出典'!B76+'前提と出典'!C76))))</ns0:f>
        <ns0:v>40000</ns0:v>
      </ns0:c>
      <ns0:c r="N689" s="16">
        <ns0:f>IF(('前提と出典'!$C$37+'前提と出典'!$C$38)=0,0,IF(C689&lt;=10,'前提と出典'!D73+'前提と出典'!E73,IF(C689&lt;=100,'前提と出典'!D74+'前提と出典'!E74,IF(C689&lt;=500,'前提と出典'!D75+'前提と出典'!E75,'前提と出典'!D76+'前提と出典'!E76))))</ns0:f>
        <ns0:v>56510.9346263078</ns0:v>
      </ns0:c>
      <ns0:c r="O689" s="16">
        <ns0:f>IF('前提と出典'!$C$36+'前提と出典'!$C$38=0,0,'前提と出典'!$B$4*IF('前提と出典'!$B$20=0,MAX('前提と出典'!$B$6,D689*'前提と出典'!$B$5),'前提と出典'!$B$6+D689*'前提と出典'!$B$5))</ns0:f>
        <ns0:v>680193.5195530728</ns0:v>
      </ns0:c>
      <ns0:c r="P689" s="16">
        <ns0:f>(E689+G689)*(1-'前提と出典'!$B$7)-I689-K689-M689-O689</ns0:f>
        <ns0:v>1554439.5874013244</ns0:v>
      </ns0:c>
      <ns0:c r="Q689" s="16">
        <ns0:f>(F689+H689)*(1-'前提と出典'!$B$7)-J689-L689-N689</ns0:f>
        <ns0:v>598812.2861434169</ns0:v>
      </ns0:c>
      <ns0:c r="R689" s="16">
        <ns0:f>P689-E689*'前提と出典'!$E$4</ns0:f>
        <ns0:v>1156808.4604428231</ns0:v>
      </ns0:c>
      <ns0:c r="S689" s="16">
        <ns0:f>Q689-F689*'前提と出典'!$E$4</ns0:f>
        <ns0:v>442756.5150642437</ns0:v>
      </ns0:c>
      <ns0:c r="T689" s="7">
        <ns0:f>R689+S689</ns0:f>
        <ns0:v>1599564.9755070668</ns0:v>
      </ns0:c>
      <ns0:c r="U689" s="16">
        <ns0:f>P689-E689*'前提と出典'!$E$5</ns0:f>
        <ns0:v>1024264.751456656</ns0:v>
      </ns0:c>
      <ns0:c r="V689" s="16">
        <ns0:f>Q689-F689*'前提と出典'!$E$5</ns0:f>
        <ns0:v>390737.92470451933</ns0:v>
      </ns0:c>
      <ns0:c r="W689" s="7">
        <ns0:f>U689+V689</ns0:f>
        <ns0:v>1415002.6761611754</ns0:v>
      </ns0:c>
      <ns0:c r="X689" s="16">
        <ns0:f>P689-E689*'前提と出典'!$E$6</ns0:f>
        <ns0:v>891721.0424704892</ns0:v>
      </ns0:c>
      <ns0:c r="Y689" s="16">
        <ns0:f>Q689-F689*'前提と出典'!$E$6</ns0:f>
        <ns0:v>338719.334344795</ns0:v>
      </ns0:c>
      <ns0:c r="Z689" s="7">
        <ns0:f>X689+Y689</ns0:f>
        <ns0:v>1230440.3768152841</ns0:v>
      </ns0:c>
      <ns0:c r="AA689" s="7">
        <ns0:f>IF(T689&gt;=0,A689,1001)</ns0:f>
        <ns0:v>685</ns0:v>
      </ns0:c>
      <ns0:c r="AB689" s="7">
        <ns0:f>IF(T689&lt;0,A689,0)</ns0:f>
        <ns0:v>0</ns0:v>
      </ns0:c>
      <ns0:c r="AC689" s="16">
        <ns0:f>IF(AND(OR('前提と出典'!$C$36+'前提と出典'!$C$38=0,R689&gt;=0),OR('前提と出典'!$C$37+'前提と出典'!$C$38=0,S689&gt;=0)),0,A689)</ns0:f>
        <ns0:v>0</ns0:v>
      </ns0:c>
      <ns0:c r="AD689" s="7">
        <ns0:f>IF(W689&gt;=0,A689,1001)</ns0:f>
        <ns0:v>685</ns0:v>
      </ns0:c>
      <ns0:c r="AE689" s="7">
        <ns0:f>IF(W689&lt;0,A689,0)</ns0:f>
        <ns0:v>0</ns0:v>
      </ns0:c>
      <ns0:c r="AF689" s="16">
        <ns0:f>IF(AND(OR('前提と出典'!$C$36+'前提と出典'!$C$38=0,U689&gt;=0),OR('前提と出典'!$C$37+'前提と出典'!$C$38=0,V689&gt;=0)),0,A689)</ns0:f>
        <ns0:v>0</ns0:v>
      </ns0:c>
      <ns0:c r="AG689" s="7">
        <ns0:f>IF(Z689&gt;=0,A689,1001)</ns0:f>
        <ns0:v>685</ns0:v>
      </ns0:c>
      <ns0:c r="AH689" s="4">
        <ns0:f>IF(Z689&lt;0,A689,0)</ns0:f>
        <ns0:v>0</ns0:v>
      </ns0:c>
      <ns0:c r="AI689" s="12">
        <ns0:f>IF(AND(OR('前提と出典'!$C$36+'前提と出典'!$C$38=0,X689&gt;=0),OR('前提と出典'!$C$37+'前提と出典'!$C$38=0,Y689&gt;=0)),0,A689)</ns0:f>
        <ns0:v>0</ns0:v>
      </ns0:c>
    </ns0:row>
    <ns0:row r="690" ht="24" customHeight="1">
      <ns0:c r="A690" s="4" t="n">
        <ns0:v>686</ns0:v>
      </ns0:c>
      <ns0:c r="B690" s="12">
        <ns0:f>A690*('前提と出典'!$C$36+'前提と出典'!$C$38)</ns0:f>
        <ns0:v>480.2</ns0:v>
      </ns0:c>
      <ns0:c r="C690" s="12">
        <ns0:f>A690*('前提と出典'!$C$37+'前提と出典'!$C$38)</ns0:f>
        <ns0:v>411.59999999999997</ns0:v>
      </ns0:c>
      <ns0:c r="D690" s="16">
        <ns0:f>A690*('前提と出典'!$C$36*'契約別単価'!C5+'前提と出典'!$C$37*'契約別単価'!C6+'前提と出典'!$C$38*'契約別単価'!C7)</ns0:f>
        <ns0:v>4936.134078212291</ns0:v>
      </ns0:c>
      <ns0:c r="E690" s="16">
        <ns0:f>A690*('前提と出典'!$C$36*'契約別単価'!E5+'前提と出典'!$C$37*'契約別単価'!E6+'前提と出典'!$C$38*'契約別単価'!E7)</ns0:f>
        <ns0:v>1327372.034518403</ns0:v>
      </ns0:c>
      <ns0:c r="F690" s="16">
        <ns0:f>A690*('前提と出典'!$C$36*'契約別単価'!F5+'前提と出典'!$C$37*'契約別単価'!F6+'前提と出典'!$C$38*'契約別単価'!F7)</ns0:f>
        <ns0:v>520945.2990769478</ns0:v>
      </ns0:c>
      <ns0:c r="G690" s="16">
        <ns0:f>A690*('前提と出典'!$C$36*'契約別単価'!G5+'前提と出典'!$C$37*'契約別単価'!G6+'前提と出典'!$C$38*'契約別単価'!G7)</ns0:f>
        <ns0:v>1365484.9162011172</ns0:v>
      </ns0:c>
      <ns0:c r="H690" s="16">
        <ns0:f>A690*('前提と出典'!$C$36*'契約別単価'!H5+'前提と出典'!$C$37*'契約別単価'!H6+'前提と出典'!$C$38*'契約別単価'!H7)</ns0:f>
        <ns0:v>473891.7503719715</ns0:v>
      </ns0:c>
      <ns0:c r="I690" s="16">
        <ns0:f>A690*('前提と出典'!$C$36*'契約別単価'!I5+'前提と出典'!$C$37*'契約別単価'!I6+'前提と出典'!$C$38*'契約別単価'!I7)</ns0:f>
        <ns0:v>28946.134078212286</ns0:v>
      </ns0:c>
      <ns0:c r="J690" s="16">
        <ns0:f>A690*('前提と出典'!$C$36*'契約別単価'!J5+'前提と出典'!$C$37*'契約別単価'!J6+'前提と出典'!$C$38*'契約別単価'!J7)</ns0:f>
        <ns0:v>67426.62698526756</ns0:v>
      </ns0:c>
      <ns0:c r="K690" s="16">
        <ns0:f>A690*('前提と出典'!$C$36*'契約別単価'!K5+'前提と出典'!$C$37*'契約別単価'!K6+'前提と出典'!$C$38*'契約別単価'!K7)</ns0:f>
        <ns0:v>289014.2271880819</ns0:v>
      </ns0:c>
      <ns0:c r="L690" s="16">
        <ns0:f>A690*('前提と出典'!$C$36*'契約別単価'!L5+'前提と出典'!$C$37*'契約別単価'!L6+'前提と出典'!$C$38*'契約別単価'!L7)</ns0:f>
        <ns0:v>235316.3916790657</ns0:v>
      </ns0:c>
      <ns0:c r="M690" s="16">
        <ns0:f>IF(('前提と出典'!$C$36+'前提と出典'!$C$38)=0,0,IF(B690&lt;=10,'前提と出典'!B73+'前提と出典'!C73,IF(B690&lt;=100,'前提と出典'!B74+'前提と出典'!C74,IF(B690&lt;=500,'前提と出典'!B75+'前提と出典'!C75,'前提と出典'!B76+'前提と出典'!C76))))</ns0:f>
        <ns0:v>40000</ns0:v>
      </ns0:c>
      <ns0:c r="N690" s="16">
        <ns0:f>IF(('前提と出典'!$C$37+'前提と出典'!$C$38)=0,0,IF(C690&lt;=10,'前提と出典'!D73+'前提と出典'!E73,IF(C690&lt;=100,'前提と出典'!D74+'前提と出典'!E74,IF(C690&lt;=500,'前提と出典'!D75+'前提と出典'!E75,'前提と出典'!D76+'前提と出典'!E76))))</ns0:f>
        <ns0:v>56510.9346263078</ns0:v>
      </ns0:c>
      <ns0:c r="O690" s="16">
        <ns0:f>IF('前提と出典'!$C$36+'前提と出典'!$C$38=0,0,'前提と出典'!$B$4*IF('前提と出典'!$B$20=0,MAX('前提と出典'!$B$6,D690*'前提と出典'!$B$5),'前提と出典'!$B$6+D690*'前提と出典'!$B$5))</ns0:f>
        <ns0:v>681186.5027932961</ns0:v>
      </ns0:c>
      <ns0:c r="P690" s="16">
        <ns0:f>(E690+G690)*(1-'前提と出典'!$B$7)-I690-K690-M690-O690</ns0:f>
        <ns0:v>1556767.2364340273</ns0:v>
      </ns0:c>
      <ns0:c r="Q690" s="16">
        <ns0:f>(F690+H690)*(1-'前提と出典'!$B$7)-J690-L690-N690</ns0:f>
        <ns0:v>599768.962378117</ns0:v>
      </ns0:c>
      <ns0:c r="R690" s="16">
        <ns0:f>P690-E690*'前提と出典'!$E$4</ns0:f>
        <ns0:v>1158555.6260785065</ns0:v>
      </ns0:c>
      <ns0:c r="S690" s="16">
        <ns0:f>Q690-F690*'前提と出典'!$E$4</ns0:f>
        <ns0:v>443485.3726550327</ns0:v>
      </ns0:c>
      <ns0:c r="T690" s="7">
        <ns0:f>R690+S690</ns0:f>
        <ns0:v>1602040.9987335391</ns0:v>
      </ns0:c>
      <ns0:c r="U690" s="16">
        <ns0:f>P690-E690*'前提と出典'!$E$5</ns0:f>
        <ns0:v>1025818.4226266661</ns0:v>
      </ns0:c>
      <ns0:c r="V690" s="16">
        <ns0:f>Q690-F690*'前提と出典'!$E$5</ns0:f>
        <ns0:v>391390.84274733794</ns0:v>
      </ns0:c>
      <ns0:c r="W690" s="7">
        <ns0:f>U690+V690</ns0:f>
        <ns0:v>1417209.2653740041</ns0:v>
      </ns0:c>
      <ns0:c r="X690" s="16">
        <ns0:f>P690-E690*'前提と出典'!$E$6</ns0:f>
        <ns0:v>893081.2191748259</ns0:v>
      </ns0:c>
      <ns0:c r="Y690" s="16">
        <ns0:f>Q690-F690*'前提と出典'!$E$6</ns0:f>
        <ns0:v>339296.31283964316</ns0:v>
      </ns0:c>
      <ns0:c r="Z690" s="7">
        <ns0:f>X690+Y690</ns0:f>
        <ns0:v>1232377.5320144692</ns0:v>
      </ns0:c>
      <ns0:c r="AA690" s="7">
        <ns0:f>IF(T690&gt;=0,A690,1001)</ns0:f>
        <ns0:v>686</ns0:v>
      </ns0:c>
      <ns0:c r="AB690" s="7">
        <ns0:f>IF(T690&lt;0,A690,0)</ns0:f>
        <ns0:v>0</ns0:v>
      </ns0:c>
      <ns0:c r="AC690" s="16">
        <ns0:f>IF(AND(OR('前提と出典'!$C$36+'前提と出典'!$C$38=0,R690&gt;=0),OR('前提と出典'!$C$37+'前提と出典'!$C$38=0,S690&gt;=0)),0,A690)</ns0:f>
        <ns0:v>0</ns0:v>
      </ns0:c>
      <ns0:c r="AD690" s="7">
        <ns0:f>IF(W690&gt;=0,A690,1001)</ns0:f>
        <ns0:v>686</ns0:v>
      </ns0:c>
      <ns0:c r="AE690" s="7">
        <ns0:f>IF(W690&lt;0,A690,0)</ns0:f>
        <ns0:v>0</ns0:v>
      </ns0:c>
      <ns0:c r="AF690" s="16">
        <ns0:f>IF(AND(OR('前提と出典'!$C$36+'前提と出典'!$C$38=0,U690&gt;=0),OR('前提と出典'!$C$37+'前提と出典'!$C$38=0,V690&gt;=0)),0,A690)</ns0:f>
        <ns0:v>0</ns0:v>
      </ns0:c>
      <ns0:c r="AG690" s="7">
        <ns0:f>IF(Z690&gt;=0,A690,1001)</ns0:f>
        <ns0:v>686</ns0:v>
      </ns0:c>
      <ns0:c r="AH690" s="4">
        <ns0:f>IF(Z690&lt;0,A690,0)</ns0:f>
        <ns0:v>0</ns0:v>
      </ns0:c>
      <ns0:c r="AI690" s="12">
        <ns0:f>IF(AND(OR('前提と出典'!$C$36+'前提と出典'!$C$38=0,X690&gt;=0),OR('前提と出典'!$C$37+'前提と出典'!$C$38=0,Y690&gt;=0)),0,A690)</ns0:f>
        <ns0:v>0</ns0:v>
      </ns0:c>
    </ns0:row>
    <ns0:row r="691" ht="24" customHeight="1">
      <ns0:c r="A691" s="4" t="n">
        <ns0:v>687</ns0:v>
      </ns0:c>
      <ns0:c r="B691" s="12">
        <ns0:f>A691*('前提と出典'!$C$36+'前提と出典'!$C$38)</ns0:f>
        <ns0:v>480.9</ns0:v>
      </ns0:c>
      <ns0:c r="C691" s="12">
        <ns0:f>A691*('前提と出典'!$C$37+'前提と出典'!$C$38)</ns0:f>
        <ns0:v>412.2</ns0:v>
      </ns0:c>
      <ns0:c r="D691" s="16">
        <ns0:f>A691*('前提と出典'!$C$36*'契約別単価'!C5+'前提と出典'!$C$37*'契約別単価'!C6+'前提と出典'!$C$38*'契約別単価'!C7)</ns0:f>
        <ns0:v>4943.329608938548</ns0:v>
      </ns0:c>
      <ns0:c r="E691" s="16">
        <ns0:f>A691*('前提と出典'!$C$36*'契約別単価'!E5+'前提と出典'!$C$37*'契約別単価'!E6+'前提と出典'!$C$38*'契約別単価'!E7)</ns0:f>
        <ns0:v>1329306.9791751355</ns0:v>
      </ns0:c>
      <ns0:c r="F691" s="16">
        <ns0:f>A691*('前提と出典'!$C$36*'契約別単価'!F5+'前提と出典'!$C$37*'契約別単価'!F6+'前提と出典'!$C$38*'契約別単価'!F7)</ns0:f>
        <ns0:v>521704.6945566518</ns0:v>
      </ns0:c>
      <ns0:c r="G691" s="16">
        <ns0:f>A691*('前提と出典'!$C$36*'契約別単価'!G5+'前提と出典'!$C$37*'契約別単価'!G6+'前提と出典'!$C$38*'契約別単価'!G7)</ns0:f>
        <ns0:v>1367475.4189944135</ns0:v>
      </ns0:c>
      <ns0:c r="H691" s="16">
        <ns0:f>A691*('前提と出典'!$C$36*'契約別単価'!H5+'前提と出典'!$C$37*'契約別単価'!H6+'前提と出典'!$C$38*'契約別単価'!H7)</ns0:f>
        <ns0:v>474582.55467280524</ns0:v>
      </ns0:c>
      <ns0:c r="I691" s="16">
        <ns0:f>A691*('前提と出典'!$C$36*'契約別単価'!I5+'前提と出典'!$C$37*'契約別単価'!I6+'前提と出典'!$C$38*'契約別単価'!I7)</ns0:f>
        <ns0:v>28988.329608938544</ns0:v>
      </ns0:c>
      <ns0:c r="J691" s="16">
        <ns0:f>A691*('前提と出典'!$C$36*'契約別単価'!J5+'前提と出典'!$C$37*'契約別単価'!J6+'前提と出典'!$C$38*'契約別単価'!J7)</ns0:f>
        <ns0:v>67524.91652897786</ns0:v>
      </ns0:c>
      <ns0:c r="K691" s="16">
        <ns0:f>A691*('前提と出典'!$C$36*'契約別単価'!K5+'前提と出典'!$C$37*'契約別単価'!K6+'前提と出典'!$C$38*'契約別単価'!K7)</ns0:f>
        <ns0:v>289435.53072625695</ns0:v>
      </ns0:c>
      <ns0:c r="L691" s="16">
        <ns0:f>A691*('前提と出典'!$C$36*'契約別単価'!L5+'前提と出典'!$C$37*'契約別単価'!L6+'前提と出典'!$C$38*'契約別単価'!L7)</ns0:f>
        <ns0:v>235659.4184890935</ns0:v>
      </ns0:c>
      <ns0:c r="M691" s="16">
        <ns0:f>IF(('前提と出典'!$C$36+'前提と出典'!$C$38)=0,0,IF(B691&lt;=10,'前提と出典'!B73+'前提と出典'!C73,IF(B691&lt;=100,'前提と出典'!B74+'前提と出典'!C74,IF(B691&lt;=500,'前提と出典'!B75+'前提と出典'!C75,'前提と出典'!B76+'前提と出典'!C76))))</ns0:f>
        <ns0:v>40000</ns0:v>
      </ns0:c>
      <ns0:c r="N691" s="16">
        <ns0:f>IF(('前提と出典'!$C$37+'前提と出典'!$C$38)=0,0,IF(C691&lt;=10,'前提と出典'!D73+'前提と出典'!E73,IF(C691&lt;=100,'前提と出典'!D74+'前提と出典'!E74,IF(C691&lt;=500,'前提と出典'!D75+'前提と出典'!E75,'前提と出典'!D76+'前提と出典'!E76))))</ns0:f>
        <ns0:v>56510.9346263078</ns0:v>
      </ns0:c>
      <ns0:c r="O691" s="16">
        <ns0:f>IF('前提と出典'!$C$36+'前提と出典'!$C$38=0,0,'前提と出典'!$B$4*IF('前提と出典'!$B$20=0,MAX('前提と出典'!$B$6,D691*'前提と出典'!$B$5),'前提と出典'!$B$6+D691*'前提と出典'!$B$5))</ns0:f>
        <ns0:v>682179.4860335196</ns0:v>
      </ns0:c>
      <ns0:c r="P691" s="16">
        <ns0:f>(E691+G691)*(1-'前提と出典'!$B$7)-I691-K691-M691-O691</ns0:f>
        <ns0:v>1559094.8854667302</ns0:v>
      </ns0:c>
      <ns0:c r="Q691" s="16">
        <ns0:f>(F691+H691)*(1-'前提と出典'!$B$7)-J691-L691-N691</ns0:f>
        <ns0:v>600725.6386128173</ns0:v>
      </ns0:c>
      <ns0:c r="R691" s="16">
        <ns0:f>P691-E691*'前提と出典'!$E$4</ns0:f>
        <ns0:v>1160302.7917141896</ns0:v>
      </ns0:c>
      <ns0:c r="S691" s="16">
        <ns0:f>Q691-F691*'前提と出典'!$E$4</ns0:f>
        <ns0:v>444214.23024582176</ns0:v>
      </ns0:c>
      <ns0:c r="T691" s="7">
        <ns0:f>R691+S691</ns0:f>
        <ns0:v>1604517.0219600112</ns0:v>
      </ns0:c>
      <ns0:c r="U691" s="16">
        <ns0:f>P691-E691*'前提と出典'!$E$5</ns0:f>
        <ns0:v>1027372.0937966759</ns0:v>
      </ns0:c>
      <ns0:c r="V691" s="16">
        <ns0:f>Q691-F691*'前提と出典'!$E$5</ns0:f>
        <ns0:v>392043.76079015655</ns0:v>
      </ns0:c>
      <ns0:c r="W691" s="7">
        <ns0:f>U691+V691</ns0:f>
        <ns0:v>1419415.8545868325</ns0:v>
      </ns0:c>
      <ns0:c r="X691" s="16">
        <ns0:f>P691-E691*'前提と出典'!$E$6</ns0:f>
        <ns0:v>894441.3958791624</ns0:v>
      </ns0:c>
      <ns0:c r="Y691" s="16">
        <ns0:f>Q691-F691*'前提と出典'!$E$6</ns0:f>
        <ns0:v>339873.29133449134</ns0:v>
      </ns0:c>
      <ns0:c r="Z691" s="7">
        <ns0:f>X691+Y691</ns0:f>
        <ns0:v>1234314.6872136537</ns0:v>
      </ns0:c>
      <ns0:c r="AA691" s="7">
        <ns0:f>IF(T691&gt;=0,A691,1001)</ns0:f>
        <ns0:v>687</ns0:v>
      </ns0:c>
      <ns0:c r="AB691" s="7">
        <ns0:f>IF(T691&lt;0,A691,0)</ns0:f>
        <ns0:v>0</ns0:v>
      </ns0:c>
      <ns0:c r="AC691" s="16">
        <ns0:f>IF(AND(OR('前提と出典'!$C$36+'前提と出典'!$C$38=0,R691&gt;=0),OR('前提と出典'!$C$37+'前提と出典'!$C$38=0,S691&gt;=0)),0,A691)</ns0:f>
        <ns0:v>0</ns0:v>
      </ns0:c>
      <ns0:c r="AD691" s="7">
        <ns0:f>IF(W691&gt;=0,A691,1001)</ns0:f>
        <ns0:v>687</ns0:v>
      </ns0:c>
      <ns0:c r="AE691" s="7">
        <ns0:f>IF(W691&lt;0,A691,0)</ns0:f>
        <ns0:v>0</ns0:v>
      </ns0:c>
      <ns0:c r="AF691" s="16">
        <ns0:f>IF(AND(OR('前提と出典'!$C$36+'前提と出典'!$C$38=0,U691&gt;=0),OR('前提と出典'!$C$37+'前提と出典'!$C$38=0,V691&gt;=0)),0,A691)</ns0:f>
        <ns0:v>0</ns0:v>
      </ns0:c>
      <ns0:c r="AG691" s="7">
        <ns0:f>IF(Z691&gt;=0,A691,1001)</ns0:f>
        <ns0:v>687</ns0:v>
      </ns0:c>
      <ns0:c r="AH691" s="4">
        <ns0:f>IF(Z691&lt;0,A691,0)</ns0:f>
        <ns0:v>0</ns0:v>
      </ns0:c>
      <ns0:c r="AI691" s="12">
        <ns0:f>IF(AND(OR('前提と出典'!$C$36+'前提と出典'!$C$38=0,X691&gt;=0),OR('前提と出典'!$C$37+'前提と出典'!$C$38=0,Y691&gt;=0)),0,A691)</ns0:f>
        <ns0:v>0</ns0:v>
      </ns0:c>
    </ns0:row>
    <ns0:row r="692" ht="24" customHeight="1">
      <ns0:c r="A692" s="4" t="n">
        <ns0:v>688</ns0:v>
      </ns0:c>
      <ns0:c r="B692" s="12">
        <ns0:f>A692*('前提と出典'!$C$36+'前提と出典'!$C$38)</ns0:f>
        <ns0:v>481.59999999999997</ns0:v>
      </ns0:c>
      <ns0:c r="C692" s="12">
        <ns0:f>A692*('前提と出典'!$C$37+'前提と出典'!$C$38)</ns0:f>
        <ns0:v>412.8</ns0:v>
      </ns0:c>
      <ns0:c r="D692" s="16">
        <ns0:f>A692*('前提と出典'!$C$36*'契約別単価'!C5+'前提と出典'!$C$37*'契約別単価'!C6+'前提と出典'!$C$38*'契約別単価'!C7)</ns0:f>
        <ns0:v>4950.525139664805</ns0:v>
      </ns0:c>
      <ns0:c r="E692" s="16">
        <ns0:f>A692*('前提と出典'!$C$36*'契約別単価'!E5+'前提と出典'!$C$37*'契約別単価'!E6+'前提と出典'!$C$38*'契約別単価'!E7)</ns0:f>
        <ns0:v>1331241.9238318678</ns0:v>
      </ns0:c>
      <ns0:c r="F692" s="16">
        <ns0:f>A692*('前提と出典'!$C$36*'契約別単価'!F5+'前提と出典'!$C$37*'契約別単価'!F6+'前提と出典'!$C$38*'契約別単価'!F7)</ns0:f>
        <ns0:v>522464.09003635583</ns0:v>
      </ns0:c>
      <ns0:c r="G692" s="16">
        <ns0:f>A692*('前提と出典'!$C$36*'契約別単価'!G5+'前提と出典'!$C$37*'契約別単価'!G6+'前提と出典'!$C$38*'契約別単価'!G7)</ns0:f>
        <ns0:v>1369465.9217877095</ns0:v>
      </ns0:c>
      <ns0:c r="H692" s="16">
        <ns0:f>A692*('前提と出典'!$C$36*'契約別単価'!H5+'前提と出典'!$C$37*'契約別単価'!H6+'前提と出典'!$C$38*'契約別単価'!H7)</ns0:f>
        <ns0:v>475273.358973639</ns0:v>
      </ns0:c>
      <ns0:c r="I692" s="16">
        <ns0:f>A692*('前提と出典'!$C$36*'契約別単価'!I5+'前提と出典'!$C$37*'契約別単価'!I6+'前提と出典'!$C$38*'契約別単価'!I7)</ns0:f>
        <ns0:v>29030.5251396648</ns0:v>
      </ns0:c>
      <ns0:c r="J692" s="16">
        <ns0:f>A692*('前提と出典'!$C$36*'契約別単価'!J5+'前提と出典'!$C$37*'契約別単価'!J6+'前提と出典'!$C$38*'契約別単価'!J7)</ns0:f>
        <ns0:v>67623.20607268816</ns0:v>
      </ns0:c>
      <ns0:c r="K692" s="16">
        <ns0:f>A692*('前提と出典'!$C$36*'契約別単価'!K5+'前提と出典'!$C$37*'契約別単価'!K6+'前提と出典'!$C$38*'契約別単価'!K7)</ns0:f>
        <ns0:v>289856.834264432</ns0:v>
      </ns0:c>
      <ns0:c r="L692" s="16">
        <ns0:f>A692*('前提と出典'!$C$36*'契約別単価'!L5+'前提と出典'!$C$37*'契約別単価'!L6+'前提と出典'!$C$38*'契約別単価'!L7)</ns0:f>
        <ns0:v>236002.4452991213</ns0:v>
      </ns0:c>
      <ns0:c r="M692" s="16">
        <ns0:f>IF(('前提と出典'!$C$36+'前提と出典'!$C$38)=0,0,IF(B692&lt;=10,'前提と出典'!B73+'前提と出典'!C73,IF(B692&lt;=100,'前提と出典'!B74+'前提と出典'!C74,IF(B692&lt;=500,'前提と出典'!B75+'前提と出典'!C75,'前提と出典'!B76+'前提と出典'!C76))))</ns0:f>
        <ns0:v>40000</ns0:v>
      </ns0:c>
      <ns0:c r="N692" s="16">
        <ns0:f>IF(('前提と出典'!$C$37+'前提と出典'!$C$38)=0,0,IF(C692&lt;=10,'前提と出典'!D73+'前提と出典'!E73,IF(C692&lt;=100,'前提と出典'!D74+'前提と出典'!E74,IF(C692&lt;=500,'前提と出典'!D75+'前提と出典'!E75,'前提と出典'!D76+'前提と出典'!E76))))</ns0:f>
        <ns0:v>56510.9346263078</ns0:v>
      </ns0:c>
      <ns0:c r="O692" s="16">
        <ns0:f>IF('前提と出典'!$C$36+'前提と出典'!$C$38=0,0,'前提と出典'!$B$4*IF('前提と出典'!$B$20=0,MAX('前提と出典'!$B$6,D692*'前提と出典'!$B$5),'前提と出典'!$B$6+D692*'前提と出典'!$B$5))</ns0:f>
        <ns0:v>683172.469273743</ns0:v>
      </ns0:c>
      <ns0:c r="P692" s="16">
        <ns0:f>(E692+G692)*(1-'前提と出典'!$B$7)-I692-K692-M692-O692</ns0:f>
        <ns0:v>1561422.5344994324</ns0:v>
      </ns0:c>
      <ns0:c r="Q692" s="16">
        <ns0:f>(F692+H692)*(1-'前提と出典'!$B$7)-J692-L692-N692</ns0:f>
        <ns0:v>601682.3148475178</ns0:v>
      </ns0:c>
      <ns0:c r="R692" s="16">
        <ns0:f>P692-E692*'前提と出典'!$E$4</ns0:f>
        <ns0:v>1162049.957349872</ns0:v>
      </ns0:c>
      <ns0:c r="S692" s="16">
        <ns0:f>Q692-F692*'前提と出典'!$E$4</ns0:f>
        <ns0:v>444943.0878366111</ns0:v>
      </ns0:c>
      <ns0:c r="T692" s="7">
        <ns0:f>R692+S692</ns0:f>
        <ns0:v>1606993.045186483</ns0:v>
      </ns0:c>
      <ns0:c r="U692" s="16">
        <ns0:f>P692-E692*'前提と出典'!$E$5</ns0:f>
        <ns0:v>1028925.7649666853</ns0:v>
      </ns0:c>
      <ns0:c r="V692" s="16">
        <ns0:f>Q692-F692*'前提と出典'!$E$5</ns0:f>
        <ns0:v>392696.67883297545</ns0:v>
      </ns0:c>
      <ns0:c r="W692" s="7">
        <ns0:f>U692+V692</ns0:f>
        <ns0:v>1421622.4437996608</ns0:v>
      </ns0:c>
      <ns0:c r="X692" s="16">
        <ns0:f>P692-E692*'前提と出典'!$E$6</ns0:f>
        <ns0:v>895801.5725834984</ns0:v>
      </ns0:c>
      <ns0:c r="Y692" s="16">
        <ns0:f>Q692-F692*'前提と出典'!$E$6</ns0:f>
        <ns0:v>340450.2698293398</ns0:v>
      </ns0:c>
      <ns0:c r="Z692" s="7">
        <ns0:f>X692+Y692</ns0:f>
        <ns0:v>1236251.8424128382</ns0:v>
      </ns0:c>
      <ns0:c r="AA692" s="7">
        <ns0:f>IF(T692&gt;=0,A692,1001)</ns0:f>
        <ns0:v>688</ns0:v>
      </ns0:c>
      <ns0:c r="AB692" s="7">
        <ns0:f>IF(T692&lt;0,A692,0)</ns0:f>
        <ns0:v>0</ns0:v>
      </ns0:c>
      <ns0:c r="AC692" s="16">
        <ns0:f>IF(AND(OR('前提と出典'!$C$36+'前提と出典'!$C$38=0,R692&gt;=0),OR('前提と出典'!$C$37+'前提と出典'!$C$38=0,S692&gt;=0)),0,A692)</ns0:f>
        <ns0:v>0</ns0:v>
      </ns0:c>
      <ns0:c r="AD692" s="7">
        <ns0:f>IF(W692&gt;=0,A692,1001)</ns0:f>
        <ns0:v>688</ns0:v>
      </ns0:c>
      <ns0:c r="AE692" s="7">
        <ns0:f>IF(W692&lt;0,A692,0)</ns0:f>
        <ns0:v>0</ns0:v>
      </ns0:c>
      <ns0:c r="AF692" s="16">
        <ns0:f>IF(AND(OR('前提と出典'!$C$36+'前提と出典'!$C$38=0,U692&gt;=0),OR('前提と出典'!$C$37+'前提と出典'!$C$38=0,V692&gt;=0)),0,A692)</ns0:f>
        <ns0:v>0</ns0:v>
      </ns0:c>
      <ns0:c r="AG692" s="7">
        <ns0:f>IF(Z692&gt;=0,A692,1001)</ns0:f>
        <ns0:v>688</ns0:v>
      </ns0:c>
      <ns0:c r="AH692" s="4">
        <ns0:f>IF(Z692&lt;0,A692,0)</ns0:f>
        <ns0:v>0</ns0:v>
      </ns0:c>
      <ns0:c r="AI692" s="12">
        <ns0:f>IF(AND(OR('前提と出典'!$C$36+'前提と出典'!$C$38=0,X692&gt;=0),OR('前提と出典'!$C$37+'前提と出典'!$C$38=0,Y692&gt;=0)),0,A692)</ns0:f>
        <ns0:v>0</ns0:v>
      </ns0:c>
    </ns0:row>
    <ns0:row r="693" ht="24" customHeight="1">
      <ns0:c r="A693" s="4" t="n">
        <ns0:v>689</ns0:v>
      </ns0:c>
      <ns0:c r="B693" s="12">
        <ns0:f>A693*('前提と出典'!$C$36+'前提と出典'!$C$38)</ns0:f>
        <ns0:v>482.29999999999995</ns0:v>
      </ns0:c>
      <ns0:c r="C693" s="12">
        <ns0:f>A693*('前提と出典'!$C$37+'前提と出典'!$C$38)</ns0:f>
        <ns0:v>413.4</ns0:v>
      </ns0:c>
      <ns0:c r="D693" s="16">
        <ns0:f>A693*('前提と出典'!$C$36*'契約別単価'!C5+'前提と出典'!$C$37*'契約別単価'!C6+'前提と出典'!$C$38*'契約別単価'!C7)</ns0:f>
        <ns0:v>4957.7206703910615</ns0:v>
      </ns0:c>
      <ns0:c r="E693" s="16">
        <ns0:f>A693*('前提と出典'!$C$36*'契約別単価'!E5+'前提と出典'!$C$37*'契約別単価'!E6+'前提と出典'!$C$38*'契約別単価'!E7)</ns0:f>
        <ns0:v>1333176.8684886002</ns0:v>
      </ns0:c>
      <ns0:c r="F693" s="16">
        <ns0:f>A693*('前提と出典'!$C$36*'契約別単価'!F5+'前提と出典'!$C$37*'契約別単価'!F6+'前提と出典'!$C$38*'契約別単価'!F7)</ns0:f>
        <ns0:v>523223.4855160598</ns0:v>
      </ns0:c>
      <ns0:c r="G693" s="16">
        <ns0:f>A693*('前提と出典'!$C$36*'契約別単価'!G5+'前提と出典'!$C$37*'契約別単価'!G6+'前提と出典'!$C$38*'契約別単価'!G7)</ns0:f>
        <ns0:v>1371456.4245810055</ns0:v>
      </ns0:c>
      <ns0:c r="H693" s="16">
        <ns0:f>A693*('前提と出典'!$C$36*'契約別単価'!H5+'前提と出典'!$C$37*'契約別単価'!H6+'前提と出典'!$C$38*'契約別単価'!H7)</ns0:f>
        <ns0:v>475964.1632744728</ns0:v>
      </ns0:c>
      <ns0:c r="I693" s="16">
        <ns0:f>A693*('前提と出典'!$C$36*'契約別単価'!I5+'前提と出典'!$C$37*'契約別単価'!I6+'前提と出典'!$C$38*'契約別単価'!I7)</ns0:f>
        <ns0:v>29072.720670391056</ns0:v>
      </ns0:c>
      <ns0:c r="J693" s="16">
        <ns0:f>A693*('前提と出典'!$C$36*'契約別単価'!J5+'前提と出典'!$C$37*'契約別単価'!J6+'前提と出典'!$C$38*'契約別単価'!J7)</ns0:f>
        <ns0:v>67721.49561639848</ns0:v>
      </ns0:c>
      <ns0:c r="K693" s="16">
        <ns0:f>A693*('前提と出典'!$C$36*'契約別単価'!K5+'前提と出典'!$C$37*'契約別単価'!K6+'前提と出典'!$C$38*'契約別単価'!K7)</ns0:f>
        <ns0:v>290278.13780260703</ns0:v>
      </ns0:c>
      <ns0:c r="L693" s="16">
        <ns0:f>A693*('前提と出典'!$C$36*'契約別単価'!L5+'前提と出典'!$C$37*'契約別単価'!L6+'前提と出典'!$C$38*'契約別単価'!L7)</ns0:f>
        <ns0:v>236345.4721091491</ns0:v>
      </ns0:c>
      <ns0:c r="M693" s="16">
        <ns0:f>IF(('前提と出典'!$C$36+'前提と出典'!$C$38)=0,0,IF(B693&lt;=10,'前提と出典'!B73+'前提と出典'!C73,IF(B693&lt;=100,'前提と出典'!B74+'前提と出典'!C74,IF(B693&lt;=500,'前提と出典'!B75+'前提と出典'!C75,'前提と出典'!B76+'前提と出典'!C76))))</ns0:f>
        <ns0:v>40000</ns0:v>
      </ns0:c>
      <ns0:c r="N693" s="16">
        <ns0:f>IF(('前提と出典'!$C$37+'前提と出典'!$C$38)=0,0,IF(C693&lt;=10,'前提と出典'!D73+'前提と出典'!E73,IF(C693&lt;=100,'前提と出典'!D74+'前提と出典'!E74,IF(C693&lt;=500,'前提と出典'!D75+'前提と出典'!E75,'前提と出典'!D76+'前提と出典'!E76))))</ns0:f>
        <ns0:v>56510.9346263078</ns0:v>
      </ns0:c>
      <ns0:c r="O693" s="16">
        <ns0:f>IF('前提と出典'!$C$36+'前提と出典'!$C$38=0,0,'前提と出典'!$B$4*IF('前提と出典'!$B$20=0,MAX('前提と出典'!$B$6,D693*'前提と出典'!$B$5),'前提と出典'!$B$6+D693*'前提と出典'!$B$5))</ns0:f>
        <ns0:v>684165.4525139665</ns0:v>
      </ns0:c>
      <ns0:c r="P693" s="16">
        <ns0:f>(E693+G693)*(1-'前提と出典'!$B$7)-I693-K693-M693-O693</ns0:f>
        <ns0:v>1563750.1835321356</ns0:v>
      </ns0:c>
      <ns0:c r="Q693" s="16">
        <ns0:f>(F693+H693)*(1-'前提と出典'!$B$7)-J693-L693-N693</ns0:f>
        <ns0:v>602638.991082218</ns0:v>
      </ns0:c>
      <ns0:c r="R693" s="16">
        <ns0:f>P693-E693*'前提と出典'!$E$4</ns0:f>
        <ns0:v>1163797.1229855556</ns0:v>
      </ns0:c>
      <ns0:c r="S693" s="16">
        <ns0:f>Q693-F693*'前提と出典'!$E$4</ns0:f>
        <ns0:v>445671.94542740006</ns0:v>
      </ns0:c>
      <ns0:c r="T693" s="7">
        <ns0:f>R693+S693</ns0:f>
        <ns0:v>1609469.0684129556</ns0:v>
      </ns0:c>
      <ns0:c r="U693" s="16">
        <ns0:f>P693-E693*'前提と出典'!$E$5</ns0:f>
        <ns0:v>1030479.4361366953</ns0:v>
      </ns0:c>
      <ns0:c r="V693" s="16">
        <ns0:f>Q693-F693*'前提と出典'!$E$5</ns0:f>
        <ns0:v>393349.5968757941</ns0:v>
      </ns0:c>
      <ns0:c r="W693" s="7">
        <ns0:f>U693+V693</ns0:f>
        <ns0:v>1423829.0330124893</ns0:v>
      </ns0:c>
      <ns0:c r="X693" s="16">
        <ns0:f>P693-E693*'前提と出典'!$E$6</ns0:f>
        <ns0:v>897161.7492878351</ns0:v>
      </ns0:c>
      <ns0:c r="Y693" s="16">
        <ns0:f>Q693-F693*'前提と出典'!$E$6</ns0:f>
        <ns0:v>341027.24832418805</ns0:v>
      </ns0:c>
      <ns0:c r="Z693" s="7">
        <ns0:f>X693+Y693</ns0:f>
        <ns0:v>1238188.9976120233</ns0:v>
      </ns0:c>
      <ns0:c r="AA693" s="7">
        <ns0:f>IF(T693&gt;=0,A693,1001)</ns0:f>
        <ns0:v>689</ns0:v>
      </ns0:c>
      <ns0:c r="AB693" s="7">
        <ns0:f>IF(T693&lt;0,A693,0)</ns0:f>
        <ns0:v>0</ns0:v>
      </ns0:c>
      <ns0:c r="AC693" s="16">
        <ns0:f>IF(AND(OR('前提と出典'!$C$36+'前提と出典'!$C$38=0,R693&gt;=0),OR('前提と出典'!$C$37+'前提と出典'!$C$38=0,S693&gt;=0)),0,A693)</ns0:f>
        <ns0:v>0</ns0:v>
      </ns0:c>
      <ns0:c r="AD693" s="7">
        <ns0:f>IF(W693&gt;=0,A693,1001)</ns0:f>
        <ns0:v>689</ns0:v>
      </ns0:c>
      <ns0:c r="AE693" s="7">
        <ns0:f>IF(W693&lt;0,A693,0)</ns0:f>
        <ns0:v>0</ns0:v>
      </ns0:c>
      <ns0:c r="AF693" s="16">
        <ns0:f>IF(AND(OR('前提と出典'!$C$36+'前提と出典'!$C$38=0,U693&gt;=0),OR('前提と出典'!$C$37+'前提と出典'!$C$38=0,V693&gt;=0)),0,A693)</ns0:f>
        <ns0:v>0</ns0:v>
      </ns0:c>
      <ns0:c r="AG693" s="7">
        <ns0:f>IF(Z693&gt;=0,A693,1001)</ns0:f>
        <ns0:v>689</ns0:v>
      </ns0:c>
      <ns0:c r="AH693" s="4">
        <ns0:f>IF(Z693&lt;0,A693,0)</ns0:f>
        <ns0:v>0</ns0:v>
      </ns0:c>
      <ns0:c r="AI693" s="12">
        <ns0:f>IF(AND(OR('前提と出典'!$C$36+'前提と出典'!$C$38=0,X693&gt;=0),OR('前提と出典'!$C$37+'前提と出典'!$C$38=0,Y693&gt;=0)),0,A693)</ns0:f>
        <ns0:v>0</ns0:v>
      </ns0:c>
    </ns0:row>
    <ns0:row r="694" ht="24" customHeight="1">
      <ns0:c r="A694" s="4" t="n">
        <ns0:v>690</ns0:v>
      </ns0:c>
      <ns0:c r="B694" s="12">
        <ns0:f>A694*('前提と出典'!$C$36+'前提と出典'!$C$38)</ns0:f>
        <ns0:v>482.99999999999994</ns0:v>
      </ns0:c>
      <ns0:c r="C694" s="12">
        <ns0:f>A694*('前提と出典'!$C$37+'前提と出典'!$C$38)</ns0:f>
        <ns0:v>414</ns0:v>
      </ns0:c>
      <ns0:c r="D694" s="16">
        <ns0:f>A694*('前提と出典'!$C$36*'契約別単価'!C5+'前提と出典'!$C$37*'契約別単価'!C6+'前提と出典'!$C$38*'契約別単価'!C7)</ns0:f>
        <ns0:v>4964.916201117318</ns0:v>
      </ns0:c>
      <ns0:c r="E694" s="16">
        <ns0:f>A694*('前提と出典'!$C$36*'契約別単価'!E5+'前提と出典'!$C$37*'契約別単価'!E6+'前提と出典'!$C$38*'契約別単価'!E7)</ns0:f>
        <ns0:v>1335111.8131453325</ns0:v>
      </ns0:c>
      <ns0:c r="F694" s="16">
        <ns0:f>A694*('前提と出典'!$C$36*'契約別単価'!F5+'前提と出典'!$C$37*'契約別単価'!F6+'前提と出典'!$C$38*'契約別単価'!F7)</ns0:f>
        <ns0:v>523982.8809957638</ns0:v>
      </ns0:c>
      <ns0:c r="G694" s="16">
        <ns0:f>A694*('前提と出典'!$C$36*'契約別単価'!G5+'前提と出典'!$C$37*'契約別単価'!G6+'前提と出典'!$C$38*'契約別単価'!G7)</ns0:f>
        <ns0:v>1373446.9273743017</ns0:v>
      </ns0:c>
      <ns0:c r="H694" s="16">
        <ns0:f>A694*('前提と出典'!$C$36*'契約別単価'!H5+'前提と出典'!$C$37*'契約別単価'!H6+'前提と出典'!$C$38*'契約別単価'!H7)</ns0:f>
        <ns0:v>476654.9675753066</ns0:v>
      </ns0:c>
      <ns0:c r="I694" s="16">
        <ns0:f>A694*('前提と出典'!$C$36*'契約別単価'!I5+'前提と出典'!$C$37*'契約別単価'!I6+'前提と出典'!$C$38*'契約別単価'!I7)</ns0:f>
        <ns0:v>29114.916201117314</ns0:v>
      </ns0:c>
      <ns0:c r="J694" s="16">
        <ns0:f>A694*('前提と出典'!$C$36*'契約別単価'!J5+'前提と出典'!$C$37*'契約別単価'!J6+'前提と出典'!$C$38*'契約別単価'!J7)</ns0:f>
        <ns0:v>67819.78516010878</ns0:v>
      </ns0:c>
      <ns0:c r="K694" s="16">
        <ns0:f>A694*('前提と出典'!$C$36*'契約別単価'!K5+'前提と出典'!$C$37*'契約別単価'!K6+'前提と出典'!$C$38*'契約別単価'!K7)</ns0:f>
        <ns0:v>290699.4413407821</ns0:v>
      </ns0:c>
      <ns0:c r="L694" s="16">
        <ns0:f>A694*('前提と出典'!$C$36*'契約別単価'!L5+'前提と出典'!$C$37*'契約別単価'!L6+'前提と出典'!$C$38*'契約別単価'!L7)</ns0:f>
        <ns0:v>236688.49891917687</ns0:v>
      </ns0:c>
      <ns0:c r="M694" s="16">
        <ns0:f>IF(('前提と出典'!$C$36+'前提と出典'!$C$38)=0,0,IF(B694&lt;=10,'前提と出典'!B73+'前提と出典'!C73,IF(B694&lt;=100,'前提と出典'!B74+'前提と出典'!C74,IF(B694&lt;=500,'前提と出典'!B75+'前提と出典'!C75,'前提と出典'!B76+'前提と出典'!C76))))</ns0:f>
        <ns0:v>40000</ns0:v>
      </ns0:c>
      <ns0:c r="N694" s="16">
        <ns0:f>IF(('前提と出典'!$C$37+'前提と出典'!$C$38)=0,0,IF(C694&lt;=10,'前提と出典'!D73+'前提と出典'!E73,IF(C694&lt;=100,'前提と出典'!D74+'前提と出典'!E74,IF(C694&lt;=500,'前提と出典'!D75+'前提と出典'!E75,'前提と出典'!D76+'前提と出典'!E76))))</ns0:f>
        <ns0:v>56510.9346263078</ns0:v>
      </ns0:c>
      <ns0:c r="O694" s="16">
        <ns0:f>IF('前提と出典'!$C$36+'前提と出典'!$C$38=0,0,'前提と出典'!$B$4*IF('前提と出典'!$B$20=0,MAX('前提と出典'!$B$6,D694*'前提と出典'!$B$5),'前提と出典'!$B$6+D694*'前提と出典'!$B$5))</ns0:f>
        <ns0:v>685158.43575419</ns0:v>
      </ns0:c>
      <ns0:c r="P694" s="16">
        <ns0:f>(E694+G694)*(1-'前提と出典'!$B$7)-I694-K694-M694-O694</ns0:f>
        <ns0:v>1566077.8325648387</ns0:v>
      </ns0:c>
      <ns0:c r="Q694" s="16">
        <ns0:f>(F694+H694)*(1-'前提と出典'!$B$7)-J694-L694-N694</ns0:f>
        <ns0:v>603595.6673169185</ns0:v>
      </ns0:c>
      <ns0:c r="R694" s="16">
        <ns0:f>P694-E694*'前提と出典'!$E$4</ns0:f>
        <ns0:v>1165544.2886212382</ns0:v>
      </ns0:c>
      <ns0:c r="S694" s="16">
        <ns0:f>Q694-F694*'前提と出典'!$E$4</ns0:f>
        <ns0:v>446400.8030181894</ns0:v>
      </ns0:c>
      <ns0:c r="T694" s="7">
        <ns0:f>R694+S694</ns0:f>
        <ns0:v>1611945.0916394275</ns0:v>
      </ns0:c>
      <ns0:c r="U694" s="16">
        <ns0:f>P694-E694*'前提と出典'!$E$5</ns0:f>
        <ns0:v>1032033.1073067056</ns0:v>
      </ns0:c>
      <ns0:c r="V694" s="16">
        <ns0:f>Q694-F694*'前提と出典'!$E$5</ns0:f>
        <ns0:v>394002.514918613</ns0:v>
      </ns0:c>
      <ns0:c r="W694" s="7">
        <ns0:f>U694+V694</ns0:f>
        <ns0:v>1426035.6222253186</ns0:v>
      </ns0:c>
      <ns0:c r="X694" s="16">
        <ns0:f>P694-E694*'前提と出典'!$E$6</ns0:f>
        <ns0:v>898521.925992172</ns0:v>
      </ns0:c>
      <ns0:c r="Y694" s="16">
        <ns0:f>Q694-F694*'前提と出典'!$E$6</ns0:f>
        <ns0:v>341604.2268190365</ns0:v>
      </ns0:c>
      <ns0:c r="Z694" s="7">
        <ns0:f>X694+Y694</ns0:f>
        <ns0:v>1240126.1528112085</ns0:v>
      </ns0:c>
      <ns0:c r="AA694" s="7">
        <ns0:f>IF(T694&gt;=0,A694,1001)</ns0:f>
        <ns0:v>690</ns0:v>
      </ns0:c>
      <ns0:c r="AB694" s="7">
        <ns0:f>IF(T694&lt;0,A694,0)</ns0:f>
        <ns0:v>0</ns0:v>
      </ns0:c>
      <ns0:c r="AC694" s="16">
        <ns0:f>IF(AND(OR('前提と出典'!$C$36+'前提と出典'!$C$38=0,R694&gt;=0),OR('前提と出典'!$C$37+'前提と出典'!$C$38=0,S694&gt;=0)),0,A694)</ns0:f>
        <ns0:v>0</ns0:v>
      </ns0:c>
      <ns0:c r="AD694" s="7">
        <ns0:f>IF(W694&gt;=0,A694,1001)</ns0:f>
        <ns0:v>690</ns0:v>
      </ns0:c>
      <ns0:c r="AE694" s="7">
        <ns0:f>IF(W694&lt;0,A694,0)</ns0:f>
        <ns0:v>0</ns0:v>
      </ns0:c>
      <ns0:c r="AF694" s="16">
        <ns0:f>IF(AND(OR('前提と出典'!$C$36+'前提と出典'!$C$38=0,U694&gt;=0),OR('前提と出典'!$C$37+'前提と出典'!$C$38=0,V694&gt;=0)),0,A694)</ns0:f>
        <ns0:v>0</ns0:v>
      </ns0:c>
      <ns0:c r="AG694" s="7">
        <ns0:f>IF(Z694&gt;=0,A694,1001)</ns0:f>
        <ns0:v>690</ns0:v>
      </ns0:c>
      <ns0:c r="AH694" s="4">
        <ns0:f>IF(Z694&lt;0,A694,0)</ns0:f>
        <ns0:v>0</ns0:v>
      </ns0:c>
      <ns0:c r="AI694" s="12">
        <ns0:f>IF(AND(OR('前提と出典'!$C$36+'前提と出典'!$C$38=0,X694&gt;=0),OR('前提と出典'!$C$37+'前提と出典'!$C$38=0,Y694&gt;=0)),0,A694)</ns0:f>
        <ns0:v>0</ns0:v>
      </ns0:c>
    </ns0:row>
    <ns0:row r="695" ht="24" customHeight="1">
      <ns0:c r="A695" s="4" t="n">
        <ns0:v>691</ns0:v>
      </ns0:c>
      <ns0:c r="B695" s="12">
        <ns0:f>A695*('前提と出典'!$C$36+'前提と出典'!$C$38)</ns0:f>
        <ns0:v>483.7</ns0:v>
      </ns0:c>
      <ns0:c r="C695" s="12">
        <ns0:f>A695*('前提と出典'!$C$37+'前提と出典'!$C$38)</ns0:f>
        <ns0:v>414.59999999999997</ns0:v>
      </ns0:c>
      <ns0:c r="D695" s="16">
        <ns0:f>A695*('前提と出典'!$C$36*'契約別単価'!C5+'前提と出典'!$C$37*'契約別単価'!C6+'前提と出典'!$C$38*'契約別単価'!C7)</ns0:f>
        <ns0:v>4972.111731843575</ns0:v>
      </ns0:c>
      <ns0:c r="E695" s="16">
        <ns0:f>A695*('前提と出典'!$C$36*'契約別単価'!E5+'前提と出典'!$C$37*'契約別単価'!E6+'前提と出典'!$C$38*'契約別単価'!E7)</ns0:f>
        <ns0:v>1337046.7578020648</ns0:v>
      </ns0:c>
      <ns0:c r="F695" s="16">
        <ns0:f>A695*('前提と出典'!$C$36*'契約別単価'!F5+'前提と出典'!$C$37*'契約別単価'!F6+'前提と出典'!$C$38*'契約別単価'!F7)</ns0:f>
        <ns0:v>524742.2764754678</ns0:v>
      </ns0:c>
      <ns0:c r="G695" s="16">
        <ns0:f>A695*('前提と出典'!$C$36*'契約別単価'!G5+'前提と出典'!$C$37*'契約別単価'!G6+'前提と出典'!$C$38*'契約別単価'!G7)</ns0:f>
        <ns0:v>1375437.4301675977</ns0:v>
      </ns0:c>
      <ns0:c r="H695" s="16">
        <ns0:f>A695*('前提と出典'!$C$36*'契約別単価'!H5+'前提と出典'!$C$37*'契約別単価'!H6+'前提と出典'!$C$38*'契約別単価'!H7)</ns0:f>
        <ns0:v>477345.7718761404</ns0:v>
      </ns0:c>
      <ns0:c r="I695" s="16">
        <ns0:f>A695*('前提と出典'!$C$36*'契約別単価'!I5+'前提と出典'!$C$37*'契約別単価'!I6+'前提と出典'!$C$38*'契約別単価'!I7)</ns0:f>
        <ns0:v>29157.11173184357</ns0:v>
      </ns0:c>
      <ns0:c r="J695" s="16">
        <ns0:f>A695*('前提と出典'!$C$36*'契約別単価'!J5+'前提と出典'!$C$37*'契約別単価'!J6+'前提と出典'!$C$38*'契約別単価'!J7)</ns0:f>
        <ns0:v>67918.07470381907</ns0:v>
      </ns0:c>
      <ns0:c r="K695" s="16">
        <ns0:f>A695*('前提と出典'!$C$36*'契約別単価'!K5+'前提と出典'!$C$37*'契約別単価'!K6+'前提と出典'!$C$38*'契約別単価'!K7)</ns0:f>
        <ns0:v>291120.74487895716</ns0:v>
      </ns0:c>
      <ns0:c r="L695" s="16">
        <ns0:f>A695*('前提と出典'!$C$36*'契約別単価'!L5+'前提と出典'!$C$37*'契約別単価'!L6+'前提と出典'!$C$38*'契約別単価'!L7)</ns0:f>
        <ns0:v>237031.52572920467</ns0:v>
      </ns0:c>
      <ns0:c r="M695" s="16">
        <ns0:f>IF(('前提と出典'!$C$36+'前提と出典'!$C$38)=0,0,IF(B695&lt;=10,'前提と出典'!B73+'前提と出典'!C73,IF(B695&lt;=100,'前提と出典'!B74+'前提と出典'!C74,IF(B695&lt;=500,'前提と出典'!B75+'前提と出典'!C75,'前提と出典'!B76+'前提と出典'!C76))))</ns0:f>
        <ns0:v>40000</ns0:v>
      </ns0:c>
      <ns0:c r="N695" s="16">
        <ns0:f>IF(('前提と出典'!$C$37+'前提と出典'!$C$38)=0,0,IF(C695&lt;=10,'前提と出典'!D73+'前提と出典'!E73,IF(C695&lt;=100,'前提と出典'!D74+'前提と出典'!E74,IF(C695&lt;=500,'前提と出典'!D75+'前提と出典'!E75,'前提と出典'!D76+'前提と出典'!E76))))</ns0:f>
        <ns0:v>56510.9346263078</ns0:v>
      </ns0:c>
      <ns0:c r="O695" s="16">
        <ns0:f>IF('前提と出典'!$C$36+'前提と出典'!$C$38=0,0,'前提と出典'!$B$4*IF('前提と出典'!$B$20=0,MAX('前提と出典'!$B$6,D695*'前提と出典'!$B$5),'前提と出典'!$B$6+D695*'前提と出典'!$B$5))</ns0:f>
        <ns0:v>686151.4189944135</ns0:v>
      </ns0:c>
      <ns0:c r="P695" s="16">
        <ns0:f>(E695+G695)*(1-'前提と出典'!$B$7)-I695-K695-M695-O695</ns0:f>
        <ns0:v>1568405.4815975404</ns0:v>
      </ns0:c>
      <ns0:c r="Q695" s="16">
        <ns0:f>(F695+H695)*(1-'前提と出典'!$B$7)-J695-L695-N695</ns0:f>
        <ns0:v>604552.3435516187</ns0:v>
      </ns0:c>
      <ns0:c r="R695" s="16">
        <ns0:f>P695-E695*'前提と出典'!$E$4</ns0:f>
        <ns0:v>1167291.4542569208</ns0:v>
      </ns0:c>
      <ns0:c r="S695" s="16">
        <ns0:f>Q695-F695*'前提と出典'!$E$4</ns0:f>
        <ns0:v>447129.66060897836</ns0:v>
      </ns0:c>
      <ns0:c r="T695" s="7">
        <ns0:f>R695+S695</ns0:f>
        <ns0:v>1614421.114865899</ns0:v>
      </ns0:c>
      <ns0:c r="U695" s="16">
        <ns0:f>P695-E695*'前提と出典'!$E$5</ns0:f>
        <ns0:v>1033586.7784767144</ns0:v>
      </ns0:c>
      <ns0:c r="V695" s="16">
        <ns0:f>Q695-F695*'前提と出典'!$E$5</ns0:f>
        <ns0:v>394655.43296143156</ns0:v>
      </ns0:c>
      <ns0:c r="W695" s="7">
        <ns0:f>U695+V695</ns0:f>
        <ns0:v>1428242.211438146</ns0:v>
      </ns0:c>
      <ns0:c r="X695" s="16">
        <ns0:f>P695-E695*'前提と出典'!$E$6</ns0:f>
        <ns0:v>899882.1026965079</ns0:v>
      </ns0:c>
      <ns0:c r="Y695" s="16">
        <ns0:f>Q695-F695*'前提と出典'!$E$6</ns0:f>
        <ns0:v>342181.2053138849</ns0:v>
      </ns0:c>
      <ns0:c r="Z695" s="7">
        <ns0:f>X695+Y695</ns0:f>
        <ns0:v>1242063.3080103928</ns0:v>
      </ns0:c>
      <ns0:c r="AA695" s="7">
        <ns0:f>IF(T695&gt;=0,A695,1001)</ns0:f>
        <ns0:v>691</ns0:v>
      </ns0:c>
      <ns0:c r="AB695" s="7">
        <ns0:f>IF(T695&lt;0,A695,0)</ns0:f>
        <ns0:v>0</ns0:v>
      </ns0:c>
      <ns0:c r="AC695" s="16">
        <ns0:f>IF(AND(OR('前提と出典'!$C$36+'前提と出典'!$C$38=0,R695&gt;=0),OR('前提と出典'!$C$37+'前提と出典'!$C$38=0,S695&gt;=0)),0,A695)</ns0:f>
        <ns0:v>0</ns0:v>
      </ns0:c>
      <ns0:c r="AD695" s="7">
        <ns0:f>IF(W695&gt;=0,A695,1001)</ns0:f>
        <ns0:v>691</ns0:v>
      </ns0:c>
      <ns0:c r="AE695" s="7">
        <ns0:f>IF(W695&lt;0,A695,0)</ns0:f>
        <ns0:v>0</ns0:v>
      </ns0:c>
      <ns0:c r="AF695" s="16">
        <ns0:f>IF(AND(OR('前提と出典'!$C$36+'前提と出典'!$C$38=0,U695&gt;=0),OR('前提と出典'!$C$37+'前提と出典'!$C$38=0,V695&gt;=0)),0,A695)</ns0:f>
        <ns0:v>0</ns0:v>
      </ns0:c>
      <ns0:c r="AG695" s="7">
        <ns0:f>IF(Z695&gt;=0,A695,1001)</ns0:f>
        <ns0:v>691</ns0:v>
      </ns0:c>
      <ns0:c r="AH695" s="4">
        <ns0:f>IF(Z695&lt;0,A695,0)</ns0:f>
        <ns0:v>0</ns0:v>
      </ns0:c>
      <ns0:c r="AI695" s="12">
        <ns0:f>IF(AND(OR('前提と出典'!$C$36+'前提と出典'!$C$38=0,X695&gt;=0),OR('前提と出典'!$C$37+'前提と出典'!$C$38=0,Y695&gt;=0)),0,A695)</ns0:f>
        <ns0:v>0</ns0:v>
      </ns0:c>
    </ns0:row>
    <ns0:row r="696" ht="24" customHeight="1">
      <ns0:c r="A696" s="4" t="n">
        <ns0:v>692</ns0:v>
      </ns0:c>
      <ns0:c r="B696" s="12">
        <ns0:f>A696*('前提と出典'!$C$36+'前提と出典'!$C$38)</ns0:f>
        <ns0:v>484.4</ns0:v>
      </ns0:c>
      <ns0:c r="C696" s="12">
        <ns0:f>A696*('前提と出典'!$C$37+'前提と出典'!$C$38)</ns0:f>
        <ns0:v>415.2</ns0:v>
      </ns0:c>
      <ns0:c r="D696" s="16">
        <ns0:f>A696*('前提と出典'!$C$36*'契約別単価'!C5+'前提と出典'!$C$37*'契約別単価'!C6+'前提と出典'!$C$38*'契約別単価'!C7)</ns0:f>
        <ns0:v>4979.307262569832</ns0:v>
      </ns0:c>
      <ns0:c r="E696" s="16">
        <ns0:f>A696*('前提と出典'!$C$36*'契約別単価'!E5+'前提と出典'!$C$37*'契約別単価'!E6+'前提と出典'!$C$38*'契約別単価'!E7)</ns0:f>
        <ns0:v>1338981.7024587973</ns0:v>
      </ns0:c>
      <ns0:c r="F696" s="16">
        <ns0:f>A696*('前提と出典'!$C$36*'契約別単価'!F5+'前提と出典'!$C$37*'契約別単価'!F6+'前提と出典'!$C$38*'契約別単価'!F7)</ns0:f>
        <ns0:v>525501.6719551719</ns0:v>
      </ns0:c>
      <ns0:c r="G696" s="16">
        <ns0:f>A696*('前提と出典'!$C$36*'契約別単価'!G5+'前提と出典'!$C$37*'契約別単価'!G6+'前提と出典'!$C$38*'契約別単価'!G7)</ns0:f>
        <ns0:v>1377427.9329608937</ns0:v>
      </ns0:c>
      <ns0:c r="H696" s="16">
        <ns0:f>A696*('前提と出典'!$C$36*'契約別単価'!H5+'前提と出典'!$C$37*'契約別単価'!H6+'前提と出典'!$C$38*'契約別単価'!H7)</ns0:f>
        <ns0:v>478036.57617697417</ns0:v>
      </ns0:c>
      <ns0:c r="I696" s="16">
        <ns0:f>A696*('前提と出典'!$C$36*'契約別単価'!I5+'前提と出典'!$C$37*'契約別単価'!I6+'前提と出典'!$C$38*'契約別単価'!I7)</ns0:f>
        <ns0:v>29199.307262569826</ns0:v>
      </ns0:c>
      <ns0:c r="J696" s="16">
        <ns0:f>A696*('前提と出典'!$C$36*'契約別単価'!J5+'前提と出典'!$C$37*'契約別単価'!J6+'前提と出典'!$C$38*'契約別単価'!J7)</ns0:f>
        <ns0:v>68016.36424752937</ns0:v>
      </ns0:c>
      <ns0:c r="K696" s="16">
        <ns0:f>A696*('前提と出典'!$C$36*'契約別単価'!K5+'前提と出典'!$C$37*'契約別単価'!K6+'前提と出典'!$C$38*'契約別単価'!K7)</ns0:f>
        <ns0:v>291542.0484171322</ns0:v>
      </ns0:c>
      <ns0:c r="L696" s="16">
        <ns0:f>A696*('前提と出典'!$C$36*'契約別単価'!L5+'前提と出典'!$C$37*'契約別単価'!L6+'前提と出典'!$C$38*'契約別単価'!L7)</ns0:f>
        <ns0:v>237374.55253923248</ns0:v>
      </ns0:c>
      <ns0:c r="M696" s="16">
        <ns0:f>IF(('前提と出典'!$C$36+'前提と出典'!$C$38)=0,0,IF(B696&lt;=10,'前提と出典'!B73+'前提と出典'!C73,IF(B696&lt;=100,'前提と出典'!B74+'前提と出典'!C74,IF(B696&lt;=500,'前提と出典'!B75+'前提と出典'!C75,'前提と出典'!B76+'前提と出典'!C76))))</ns0:f>
        <ns0:v>40000</ns0:v>
      </ns0:c>
      <ns0:c r="N696" s="16">
        <ns0:f>IF(('前提と出典'!$C$37+'前提と出典'!$C$38)=0,0,IF(C696&lt;=10,'前提と出典'!D73+'前提と出典'!E73,IF(C696&lt;=100,'前提と出典'!D74+'前提と出典'!E74,IF(C696&lt;=500,'前提と出典'!D75+'前提と出典'!E75,'前提と出典'!D76+'前提と出典'!E76))))</ns0:f>
        <ns0:v>56510.9346263078</ns0:v>
      </ns0:c>
      <ns0:c r="O696" s="16">
        <ns0:f>IF('前提と出典'!$C$36+'前提と出典'!$C$38=0,0,'前提と出典'!$B$4*IF('前提と出典'!$B$20=0,MAX('前提と出典'!$B$6,D696*'前提と出典'!$B$5),'前提と出典'!$B$6+D696*'前提と出典'!$B$5))</ns0:f>
        <ns0:v>687144.402234637</ns0:v>
      </ns0:c>
      <ns0:c r="P696" s="16">
        <ns0:f>(E696+G696)*(1-'前提と出典'!$B$7)-I696-K696-M696-O696</ns0:f>
        <ns0:v>1570733.1306302429</ns0:v>
      </ns0:c>
      <ns0:c r="Q696" s="16">
        <ns0:f>(F696+H696)*(1-'前提と出典'!$B$7)-J696-L696-N696</ns0:f>
        <ns0:v>605509.019786319</ns0:v>
      </ns0:c>
      <ns0:c r="R696" s="16">
        <ns0:f>P696-E696*'前提と出典'!$E$4</ns0:f>
        <ns0:v>1169038.6198926046</ns0:v>
      </ns0:c>
      <ns0:c r="S696" s="16">
        <ns0:f>Q696-F696*'前提と出典'!$E$4</ns0:f>
        <ns0:v>447858.5181997675</ns0:v>
      </ns0:c>
      <ns0:c r="T696" s="7">
        <ns0:f>R696+S696</ns0:f>
        <ns0:v>1616897.138092372</ns0:v>
      </ns0:c>
      <ns0:c r="U696" s="16">
        <ns0:f>P696-E696*'前提と出典'!$E$5</ns0:f>
        <ns0:v>1035140.4496467239</ns0:v>
      </ns0:c>
      <ns0:c r="V696" s="16">
        <ns0:f>Q696-F696*'前提と出典'!$E$5</ns0:f>
        <ns0:v>395308.3510042503</ns0:v>
      </ns0:c>
      <ns0:c r="W696" s="7">
        <ns0:f>U696+V696</ns0:f>
        <ns0:v>1430448.8006509743</ns0:v>
      </ns0:c>
      <ns0:c r="X696" s="16">
        <ns0:f>P696-E696*'前提と出典'!$E$6</ns0:f>
        <ns0:v>901242.2794008446</ns0:v>
      </ns0:c>
      <ns0:c r="Y696" s="16">
        <ns0:f>Q696-F696*'前提と出典'!$E$6</ns0:f>
        <ns0:v>342758.18380873307</ns0:v>
      </ns0:c>
      <ns0:c r="Z696" s="7">
        <ns0:f>X696+Y696</ns0:f>
        <ns0:v>1244000.4632095776</ns0:v>
      </ns0:c>
      <ns0:c r="AA696" s="7">
        <ns0:f>IF(T696&gt;=0,A696,1001)</ns0:f>
        <ns0:v>692</ns0:v>
      </ns0:c>
      <ns0:c r="AB696" s="7">
        <ns0:f>IF(T696&lt;0,A696,0)</ns0:f>
        <ns0:v>0</ns0:v>
      </ns0:c>
      <ns0:c r="AC696" s="16">
        <ns0:f>IF(AND(OR('前提と出典'!$C$36+'前提と出典'!$C$38=0,R696&gt;=0),OR('前提と出典'!$C$37+'前提と出典'!$C$38=0,S696&gt;=0)),0,A696)</ns0:f>
        <ns0:v>0</ns0:v>
      </ns0:c>
      <ns0:c r="AD696" s="7">
        <ns0:f>IF(W696&gt;=0,A696,1001)</ns0:f>
        <ns0:v>692</ns0:v>
      </ns0:c>
      <ns0:c r="AE696" s="7">
        <ns0:f>IF(W696&lt;0,A696,0)</ns0:f>
        <ns0:v>0</ns0:v>
      </ns0:c>
      <ns0:c r="AF696" s="16">
        <ns0:f>IF(AND(OR('前提と出典'!$C$36+'前提と出典'!$C$38=0,U696&gt;=0),OR('前提と出典'!$C$37+'前提と出典'!$C$38=0,V696&gt;=0)),0,A696)</ns0:f>
        <ns0:v>0</ns0:v>
      </ns0:c>
      <ns0:c r="AG696" s="7">
        <ns0:f>IF(Z696&gt;=0,A696,1001)</ns0:f>
        <ns0:v>692</ns0:v>
      </ns0:c>
      <ns0:c r="AH696" s="4">
        <ns0:f>IF(Z696&lt;0,A696,0)</ns0:f>
        <ns0:v>0</ns0:v>
      </ns0:c>
      <ns0:c r="AI696" s="12">
        <ns0:f>IF(AND(OR('前提と出典'!$C$36+'前提と出典'!$C$38=0,X696&gt;=0),OR('前提と出典'!$C$37+'前提と出典'!$C$38=0,Y696&gt;=0)),0,A696)</ns0:f>
        <ns0:v>0</ns0:v>
      </ns0:c>
    </ns0:row>
    <ns0:row r="697" ht="24" customHeight="1">
      <ns0:c r="A697" s="4" t="n">
        <ns0:v>693</ns0:v>
      </ns0:c>
      <ns0:c r="B697" s="12">
        <ns0:f>A697*('前提と出典'!$C$36+'前提と出典'!$C$38)</ns0:f>
        <ns0:v>485.09999999999997</ns0:v>
      </ns0:c>
      <ns0:c r="C697" s="12">
        <ns0:f>A697*('前提と出典'!$C$37+'前提と出典'!$C$38)</ns0:f>
        <ns0:v>415.8</ns0:v>
      </ns0:c>
      <ns0:c r="D697" s="16">
        <ns0:f>A697*('前提と出典'!$C$36*'契約別単価'!C5+'前提と出典'!$C$37*'契約別単価'!C6+'前提と出典'!$C$38*'契約別単価'!C7)</ns0:f>
        <ns0:v>4986.502793296089</ns0:v>
      </ns0:c>
      <ns0:c r="E697" s="16">
        <ns0:f>A697*('前提と出典'!$C$36*'契約別単価'!E5+'前提と出典'!$C$37*'契約別単価'!E6+'前提と出典'!$C$38*'契約別単価'!E7)</ns0:f>
        <ns0:v>1340916.6471155295</ns0:v>
      </ns0:c>
      <ns0:c r="F697" s="16">
        <ns0:f>A697*('前提と出典'!$C$36*'契約別単価'!F5+'前提と出典'!$C$37*'契約別単価'!F6+'前提と出典'!$C$38*'契約別単価'!F7)</ns0:f>
        <ns0:v>526261.0674348759</ns0:v>
      </ns0:c>
      <ns0:c r="G697" s="16">
        <ns0:f>A697*('前提と出典'!$C$36*'契約別単価'!G5+'前提と出典'!$C$37*'契約別単価'!G6+'前提と出典'!$C$38*'契約別単価'!G7)</ns0:f>
        <ns0:v>1379418.43575419</ns0:v>
      </ns0:c>
      <ns0:c r="H697" s="16">
        <ns0:f>A697*('前提と出典'!$C$36*'契約別単価'!H5+'前提と出典'!$C$37*'契約別単価'!H6+'前提と出典'!$C$38*'契約別単価'!H7)</ns0:f>
        <ns0:v>478727.38047780795</ns0:v>
      </ns0:c>
      <ns0:c r="I697" s="16">
        <ns0:f>A697*('前提と出典'!$C$36*'契約別単価'!I5+'前提と出典'!$C$37*'契約別単価'!I6+'前提と出典'!$C$38*'契約別単価'!I7)</ns0:f>
        <ns0:v>29241.502793296084</ns0:v>
      </ns0:c>
      <ns0:c r="J697" s="16">
        <ns0:f>A697*('前提と出典'!$C$36*'契約別単価'!J5+'前提と出典'!$C$37*'契約別単価'!J6+'前提と出典'!$C$38*'契約別単価'!J7)</ns0:f>
        <ns0:v>68114.65379123967</ns0:v>
      </ns0:c>
      <ns0:c r="K697" s="16">
        <ns0:f>A697*('前提と出典'!$C$36*'契約別単価'!K5+'前提と出典'!$C$37*'契約別単価'!K6+'前提と出典'!$C$38*'契約別単価'!K7)</ns0:f>
        <ns0:v>291963.35195530724</ns0:v>
      </ns0:c>
      <ns0:c r="L697" s="16">
        <ns0:f>A697*('前提と出典'!$C$36*'契約別単価'!L5+'前提と出典'!$C$37*'契約別単価'!L6+'前提と出典'!$C$38*'契約別単価'!L7)</ns0:f>
        <ns0:v>237717.57934926025</ns0:v>
      </ns0:c>
      <ns0:c r="M697" s="16">
        <ns0:f>IF(('前提と出典'!$C$36+'前提と出典'!$C$38)=0,0,IF(B697&lt;=10,'前提と出典'!B73+'前提と出典'!C73,IF(B697&lt;=100,'前提と出典'!B74+'前提と出典'!C74,IF(B697&lt;=500,'前提と出典'!B75+'前提と出典'!C75,'前提と出典'!B76+'前提と出典'!C76))))</ns0:f>
        <ns0:v>40000</ns0:v>
      </ns0:c>
      <ns0:c r="N697" s="16">
        <ns0:f>IF(('前提と出典'!$C$37+'前提と出典'!$C$38)=0,0,IF(C697&lt;=10,'前提と出典'!D73+'前提と出典'!E73,IF(C697&lt;=100,'前提と出典'!D74+'前提と出典'!E74,IF(C697&lt;=500,'前提と出典'!D75+'前提と出典'!E75,'前提と出典'!D76+'前提と出典'!E76))))</ns0:f>
        <ns0:v>56510.9346263078</ns0:v>
      </ns0:c>
      <ns0:c r="O697" s="16">
        <ns0:f>IF('前提と出典'!$C$36+'前提と出典'!$C$38=0,0,'前提と出典'!$B$4*IF('前提と出典'!$B$20=0,MAX('前提と出典'!$B$6,D697*'前提と出典'!$B$5),'前提と出典'!$B$6+D697*'前提と出典'!$B$5))</ns0:f>
        <ns0:v>688137.3854748603</ns0:v>
      </ns0:c>
      <ns0:c r="P697" s="16">
        <ns0:f>(E697+G697)*(1-'前提と出典'!$B$7)-I697-K697-M697-O697</ns0:f>
        <ns0:v>1573060.7796629467</ns0:v>
      </ns0:c>
      <ns0:c r="Q697" s="16">
        <ns0:f>(F697+H697)*(1-'前提と出典'!$B$7)-J697-L697-N697</ns0:f>
        <ns0:v>606465.6960210195</ns0:v>
      </ns0:c>
      <ns0:c r="R697" s="16">
        <ns0:f>P697-E697*'前提と出典'!$E$4</ns0:f>
        <ns0:v>1170785.7855282873</ns0:v>
      </ns0:c>
      <ns0:c r="S697" s="16">
        <ns0:f>Q697-F697*'前提と出典'!$E$4</ns0:f>
        <ns0:v>448587.3757905567</ns0:v>
      </ns0:c>
      <ns0:c r="T697" s="7">
        <ns0:f>R697+S697</ns0:f>
        <ns0:v>1619373.161318844</ns0:v>
      </ns0:c>
      <ns0:c r="U697" s="16">
        <ns0:f>P697-E697*'前提と出典'!$E$5</ns0:f>
        <ns0:v>1036694.1208167347</ns0:v>
      </ns0:c>
      <ns0:c r="V697" s="16">
        <ns0:f>Q697-F697*'前提と出典'!$E$5</ns0:f>
        <ns0:v>395961.2690470691</ns0:v>
      </ns0:c>
      <ns0:c r="W697" s="7">
        <ns0:f>U697+V697</ns0:f>
        <ns0:v>1432655.3898638037</ns0:v>
      </ns0:c>
      <ns0:c r="X697" s="16">
        <ns0:f>P697-E697*'前提と出典'!$E$6</ns0:f>
        <ns0:v>902602.4561051816</ns0:v>
      </ns0:c>
      <ns0:c r="Y697" s="16">
        <ns0:f>Q697-F697*'前提と出典'!$E$6</ns0:f>
        <ns0:v>343335.1623035814</ns0:v>
      </ns0:c>
      <ns0:c r="Z697" s="7">
        <ns0:f>X697+Y697</ns0:f>
        <ns0:v>1245937.618408763</ns0:v>
      </ns0:c>
      <ns0:c r="AA697" s="7">
        <ns0:f>IF(T697&gt;=0,A697,1001)</ns0:f>
        <ns0:v>693</ns0:v>
      </ns0:c>
      <ns0:c r="AB697" s="7">
        <ns0:f>IF(T697&lt;0,A697,0)</ns0:f>
        <ns0:v>0</ns0:v>
      </ns0:c>
      <ns0:c r="AC697" s="16">
        <ns0:f>IF(AND(OR('前提と出典'!$C$36+'前提と出典'!$C$38=0,R697&gt;=0),OR('前提と出典'!$C$37+'前提と出典'!$C$38=0,S697&gt;=0)),0,A697)</ns0:f>
        <ns0:v>0</ns0:v>
      </ns0:c>
      <ns0:c r="AD697" s="7">
        <ns0:f>IF(W697&gt;=0,A697,1001)</ns0:f>
        <ns0:v>693</ns0:v>
      </ns0:c>
      <ns0:c r="AE697" s="7">
        <ns0:f>IF(W697&lt;0,A697,0)</ns0:f>
        <ns0:v>0</ns0:v>
      </ns0:c>
      <ns0:c r="AF697" s="16">
        <ns0:f>IF(AND(OR('前提と出典'!$C$36+'前提と出典'!$C$38=0,U697&gt;=0),OR('前提と出典'!$C$37+'前提と出典'!$C$38=0,V697&gt;=0)),0,A697)</ns0:f>
        <ns0:v>0</ns0:v>
      </ns0:c>
      <ns0:c r="AG697" s="7">
        <ns0:f>IF(Z697&gt;=0,A697,1001)</ns0:f>
        <ns0:v>693</ns0:v>
      </ns0:c>
      <ns0:c r="AH697" s="4">
        <ns0:f>IF(Z697&lt;0,A697,0)</ns0:f>
        <ns0:v>0</ns0:v>
      </ns0:c>
      <ns0:c r="AI697" s="12">
        <ns0:f>IF(AND(OR('前提と出典'!$C$36+'前提と出典'!$C$38=0,X697&gt;=0),OR('前提と出典'!$C$37+'前提と出典'!$C$38=0,Y697&gt;=0)),0,A697)</ns0:f>
        <ns0:v>0</ns0:v>
      </ns0:c>
    </ns0:row>
    <ns0:row r="698" ht="24" customHeight="1">
      <ns0:c r="A698" s="4" t="n">
        <ns0:v>694</ns0:v>
      </ns0:c>
      <ns0:c r="B698" s="12">
        <ns0:f>A698*('前提と出典'!$C$36+'前提と出典'!$C$38)</ns0:f>
        <ns0:v>485.79999999999995</ns0:v>
      </ns0:c>
      <ns0:c r="C698" s="12">
        <ns0:f>A698*('前提と出典'!$C$37+'前提と出典'!$C$38)</ns0:f>
        <ns0:v>416.4</ns0:v>
      </ns0:c>
      <ns0:c r="D698" s="16">
        <ns0:f>A698*('前提と出典'!$C$36*'契約別単価'!C5+'前提と出典'!$C$37*'契約別単価'!C6+'前提と出典'!$C$38*'契約別単価'!C7)</ns0:f>
        <ns0:v>4993.698324022346</ns0:v>
      </ns0:c>
      <ns0:c r="E698" s="16">
        <ns0:f>A698*('前提と出典'!$C$36*'契約別単価'!E5+'前提と出典'!$C$37*'契約別単価'!E6+'前提と出典'!$C$38*'契約別単価'!E7)</ns0:f>
        <ns0:v>1342851.591772262</ns0:v>
      </ns0:c>
      <ns0:c r="F698" s="16">
        <ns0:f>A698*('前提と出典'!$C$36*'契約別単価'!F5+'前提と出典'!$C$37*'契約別単価'!F6+'前提と出典'!$C$38*'契約別単価'!F7)</ns0:f>
        <ns0:v>527020.4629145799</ns0:v>
      </ns0:c>
      <ns0:c r="G698" s="16">
        <ns0:f>A698*('前提と出典'!$C$36*'契約別単価'!G5+'前提と出典'!$C$37*'契約別単価'!G6+'前提と出典'!$C$38*'契約別単価'!G7)</ns0:f>
        <ns0:v>1381408.938547486</ns0:v>
      </ns0:c>
      <ns0:c r="H698" s="16">
        <ns0:f>A698*('前提と出典'!$C$36*'契約別単価'!H5+'前提と出典'!$C$37*'契約別単価'!H6+'前提と出典'!$C$38*'契約別単価'!H7)</ns0:f>
        <ns0:v>479418.18477864173</ns0:v>
      </ns0:c>
      <ns0:c r="I698" s="16">
        <ns0:f>A698*('前提と出典'!$C$36*'契約別単価'!I5+'前提と出典'!$C$37*'契約別単価'!I6+'前提と出典'!$C$38*'契約別単価'!I7)</ns0:f>
        <ns0:v>29283.69832402234</ns0:v>
      </ns0:c>
      <ns0:c r="J698" s="16">
        <ns0:f>A698*('前提と出典'!$C$36*'契約別単価'!J5+'前提と出典'!$C$37*'契約別単価'!J6+'前提と出典'!$C$38*'契約別単価'!J7)</ns0:f>
        <ns0:v>68212.94333494999</ns0:v>
      </ns0:c>
      <ns0:c r="K698" s="16">
        <ns0:f>A698*('前提と出典'!$C$36*'契約別単価'!K5+'前提と出典'!$C$37*'契約別単価'!K6+'前提と出典'!$C$38*'契約別単価'!K7)</ns0:f>
        <ns0:v>292384.6554934823</ns0:v>
      </ns0:c>
      <ns0:c r="L698" s="16">
        <ns0:f>A698*('前提と出典'!$C$36*'契約別単価'!L5+'前提と出典'!$C$37*'契約別単価'!L6+'前提と出典'!$C$38*'契約別単価'!L7)</ns0:f>
        <ns0:v>238060.60615928806</ns0:v>
      </ns0:c>
      <ns0:c r="M698" s="16">
        <ns0:f>IF(('前提と出典'!$C$36+'前提と出典'!$C$38)=0,0,IF(B698&lt;=10,'前提と出典'!B73+'前提と出典'!C73,IF(B698&lt;=100,'前提と出典'!B74+'前提と出典'!C74,IF(B698&lt;=500,'前提と出典'!B75+'前提と出典'!C75,'前提と出典'!B76+'前提と出典'!C76))))</ns0:f>
        <ns0:v>40000</ns0:v>
      </ns0:c>
      <ns0:c r="N698" s="16">
        <ns0:f>IF(('前提と出典'!$C$37+'前提と出典'!$C$38)=0,0,IF(C698&lt;=10,'前提と出典'!D73+'前提と出典'!E73,IF(C698&lt;=100,'前提と出典'!D74+'前提と出典'!E74,IF(C698&lt;=500,'前提と出典'!D75+'前提と出典'!E75,'前提と出典'!D76+'前提と出典'!E76))))</ns0:f>
        <ns0:v>56510.9346263078</ns0:v>
      </ns0:c>
      <ns0:c r="O698" s="16">
        <ns0:f>IF('前提と出典'!$C$36+'前提と出典'!$C$38=0,0,'前提と出典'!$B$4*IF('前提と出典'!$B$20=0,MAX('前提と出典'!$B$6,D698*'前提と出典'!$B$5),'前提と出典'!$B$6+D698*'前提と出典'!$B$5))</ns0:f>
        <ns0:v>689130.3687150838</ns0:v>
      </ns0:c>
      <ns0:c r="P698" s="16">
        <ns0:f>(E698+G698)*(1-'前提と出典'!$B$7)-I698-K698-M698-O698</ns0:f>
        <ns0:v>1575388.4286956484</ns0:v>
      </ns0:c>
      <ns0:c r="Q698" s="16">
        <ns0:f>(F698+H698)*(1-'前提と出典'!$B$7)-J698-L698-N698</ns0:f>
        <ns0:v>607422.3722557198</ns0:v>
      </ns0:c>
      <ns0:c r="R698" s="16">
        <ns0:f>P698-E698*'前提と出典'!$E$4</ns0:f>
        <ns0:v>1172532.95116397</ns0:v>
      </ns0:c>
      <ns0:c r="S698" s="16">
        <ns0:f>Q698-F698*'前提と出典'!$E$4</ns0:f>
        <ns0:v>449316.23338134587</ns0:v>
      </ns0:c>
      <ns0:c r="T698" s="7">
        <ns0:f>R698+S698</ns0:f>
        <ns0:v>1621849.1845453158</ns0:v>
      </ns0:c>
      <ns0:c r="U698" s="16">
        <ns0:f>P698-E698*'前提と出典'!$E$5</ns0:f>
        <ns0:v>1038247.7919867436</ns0:v>
      </ns0:c>
      <ns0:c r="V698" s="16">
        <ns0:f>Q698-F698*'前提と出典'!$E$5</ns0:f>
        <ns0:v>396614.1870898879</ns0:v>
      </ns0:c>
      <ns0:c r="W698" s="7">
        <ns0:f>U698+V698</ns0:f>
        <ns0:v>1434861.9790766314</ns0:v>
      </ns0:c>
      <ns0:c r="X698" s="16">
        <ns0:f>P698-E698*'前提と出典'!$E$6</ns0:f>
        <ns0:v>903962.6328095176</ns0:v>
      </ns0:c>
      <ns0:c r="Y698" s="16">
        <ns0:f>Q698-F698*'前提と出典'!$E$6</ns0:f>
        <ns0:v>343912.14079842984</ns0:v>
      </ns0:c>
      <ns0:c r="Z698" s="7">
        <ns0:f>X698+Y698</ns0:f>
        <ns0:v>1247874.7736079474</ns0:v>
      </ns0:c>
      <ns0:c r="AA698" s="7">
        <ns0:f>IF(T698&gt;=0,A698,1001)</ns0:f>
        <ns0:v>694</ns0:v>
      </ns0:c>
      <ns0:c r="AB698" s="7">
        <ns0:f>IF(T698&lt;0,A698,0)</ns0:f>
        <ns0:v>0</ns0:v>
      </ns0:c>
      <ns0:c r="AC698" s="16">
        <ns0:f>IF(AND(OR('前提と出典'!$C$36+'前提と出典'!$C$38=0,R698&gt;=0),OR('前提と出典'!$C$37+'前提と出典'!$C$38=0,S698&gt;=0)),0,A698)</ns0:f>
        <ns0:v>0</ns0:v>
      </ns0:c>
      <ns0:c r="AD698" s="7">
        <ns0:f>IF(W698&gt;=0,A698,1001)</ns0:f>
        <ns0:v>694</ns0:v>
      </ns0:c>
      <ns0:c r="AE698" s="7">
        <ns0:f>IF(W698&lt;0,A698,0)</ns0:f>
        <ns0:v>0</ns0:v>
      </ns0:c>
      <ns0:c r="AF698" s="16">
        <ns0:f>IF(AND(OR('前提と出典'!$C$36+'前提と出典'!$C$38=0,U698&gt;=0),OR('前提と出典'!$C$37+'前提と出典'!$C$38=0,V698&gt;=0)),0,A698)</ns0:f>
        <ns0:v>0</ns0:v>
      </ns0:c>
      <ns0:c r="AG698" s="7">
        <ns0:f>IF(Z698&gt;=0,A698,1001)</ns0:f>
        <ns0:v>694</ns0:v>
      </ns0:c>
      <ns0:c r="AH698" s="4">
        <ns0:f>IF(Z698&lt;0,A698,0)</ns0:f>
        <ns0:v>0</ns0:v>
      </ns0:c>
      <ns0:c r="AI698" s="12">
        <ns0:f>IF(AND(OR('前提と出典'!$C$36+'前提と出典'!$C$38=0,X698&gt;=0),OR('前提と出典'!$C$37+'前提と出典'!$C$38=0,Y698&gt;=0)),0,A698)</ns0:f>
        <ns0:v>0</ns0:v>
      </ns0:c>
    </ns0:row>
    <ns0:row r="699" ht="24" customHeight="1">
      <ns0:c r="A699" s="4" t="n">
        <ns0:v>695</ns0:v>
      </ns0:c>
      <ns0:c r="B699" s="12">
        <ns0:f>A699*('前提と出典'!$C$36+'前提と出典'!$C$38)</ns0:f>
        <ns0:v>486.49999999999994</ns0:v>
      </ns0:c>
      <ns0:c r="C699" s="12">
        <ns0:f>A699*('前提と出典'!$C$37+'前提と出典'!$C$38)</ns0:f>
        <ns0:v>417</ns0:v>
      </ns0:c>
      <ns0:c r="D699" s="16">
        <ns0:f>A699*('前提と出典'!$C$36*'契約別単価'!C5+'前提と出典'!$C$37*'契約別単価'!C6+'前提と出典'!$C$38*'契約別単価'!C7)</ns0:f>
        <ns0:v>5000.893854748603</ns0:v>
      </ns0:c>
      <ns0:c r="E699" s="16">
        <ns0:f>A699*('前提と出典'!$C$36*'契約別単価'!E5+'前提と出典'!$C$37*'契約別単価'!E6+'前提と出典'!$C$38*'契約別単価'!E7)</ns0:f>
        <ns0:v>1344786.5364289943</ns0:v>
      </ns0:c>
      <ns0:c r="F699" s="16">
        <ns0:f>A699*('前提と出典'!$C$36*'契約別単価'!F5+'前提と出典'!$C$37*'契約別単価'!F6+'前提と出典'!$C$38*'契約別単価'!F7)</ns0:f>
        <ns0:v>527779.8583942838</ns0:v>
      </ns0:c>
      <ns0:c r="G699" s="16">
        <ns0:f>A699*('前提と出典'!$C$36*'契約別単価'!G5+'前提と出典'!$C$37*'契約別単価'!G6+'前提と出典'!$C$38*'契約別単価'!G7)</ns0:f>
        <ns0:v>1383399.441340782</ns0:v>
      </ns0:c>
      <ns0:c r="H699" s="16">
        <ns0:f>A699*('前提と出典'!$C$36*'契約別単価'!H5+'前提と出典'!$C$37*'契約別単価'!H6+'前提と出典'!$C$38*'契約別単価'!H7)</ns0:f>
        <ns0:v>480108.9890794755</ns0:v>
      </ns0:c>
      <ns0:c r="I699" s="16">
        <ns0:f>A699*('前提と出典'!$C$36*'契約別単価'!I5+'前提と出典'!$C$37*'契約別単価'!I6+'前提と出典'!$C$38*'契約別単価'!I7)</ns0:f>
        <ns0:v>29325.8938547486</ns0:v>
      </ns0:c>
      <ns0:c r="J699" s="16">
        <ns0:f>A699*('前提と出典'!$C$36*'契約別単価'!J5+'前提と出典'!$C$37*'契約別単価'!J6+'前提と出典'!$C$38*'契約別単価'!J7)</ns0:f>
        <ns0:v>68311.23287866029</ns0:v>
      </ns0:c>
      <ns0:c r="K699" s="16">
        <ns0:f>A699*('前提と出典'!$C$36*'契約別単価'!K5+'前提と出典'!$C$37*'契約別単価'!K6+'前提と出典'!$C$38*'契約別単価'!K7)</ns0:f>
        <ns0:v>292805.9590316573</ns0:v>
      </ns0:c>
      <ns0:c r="L699" s="16">
        <ns0:f>A699*('前提と出典'!$C$36*'契約別単価'!L5+'前提と出典'!$C$37*'契約別単価'!L6+'前提と出典'!$C$38*'契約別単価'!L7)</ns0:f>
        <ns0:v>238403.63296931583</ns0:v>
      </ns0:c>
      <ns0:c r="M699" s="16">
        <ns0:f>IF(('前提と出典'!$C$36+'前提と出典'!$C$38)=0,0,IF(B699&lt;=10,'前提と出典'!B73+'前提と出典'!C73,IF(B699&lt;=100,'前提と出典'!B74+'前提と出典'!C74,IF(B699&lt;=500,'前提と出典'!B75+'前提と出典'!C75,'前提と出典'!B76+'前提と出典'!C76))))</ns0:f>
        <ns0:v>40000</ns0:v>
      </ns0:c>
      <ns0:c r="N699" s="16">
        <ns0:f>IF(('前提と出典'!$C$37+'前提と出典'!$C$38)=0,0,IF(C699&lt;=10,'前提と出典'!D73+'前提と出典'!E73,IF(C699&lt;=100,'前提と出典'!D74+'前提と出典'!E74,IF(C699&lt;=500,'前提と出典'!D75+'前提と出典'!E75,'前提と出典'!D76+'前提と出典'!E76))))</ns0:f>
        <ns0:v>56510.9346263078</ns0:v>
      </ns0:c>
      <ns0:c r="O699" s="16">
        <ns0:f>IF('前提と出典'!$C$36+'前提と出典'!$C$38=0,0,'前提と出典'!$B$4*IF('前提と出典'!$B$20=0,MAX('前提と出典'!$B$6,D699*'前提と出典'!$B$5),'前提と出典'!$B$6+D699*'前提と出典'!$B$5))</ns0:f>
        <ns0:v>690123.3519553073</ns0:v>
      </ns0:c>
      <ns0:c r="P699" s="16">
        <ns0:f>(E699+G699)*(1-'前提と出典'!$B$7)-I699-K699-M699-O699</ns0:f>
        <ns0:v>1577716.0777283509</ns0:v>
      </ns0:c>
      <ns0:c r="Q699" s="16">
        <ns0:f>(F699+H699)*(1-'前提と出典'!$B$7)-J699-L699-N699</ns0:f>
        <ns0:v>608379.04849042</ns0:v>
      </ns0:c>
      <ns0:c r="R699" s="16">
        <ns0:f>P699-E699*'前提と出典'!$E$4</ns0:f>
        <ns0:v>1174280.1167996535</ns0:v>
      </ns0:c>
      <ns0:c r="S699" s="16">
        <ns0:f>Q699-F699*'前提と出典'!$E$4</ns0:f>
        <ns0:v>450045.09097213484</ns0:v>
      </ns0:c>
      <ns0:c r="T699" s="7">
        <ns0:f>R699+S699</ns0:f>
        <ns0:v>1624325.2077717884</ns0:v>
      </ns0:c>
      <ns0:c r="U699" s="16">
        <ns0:f>P699-E699*'前提と出典'!$E$5</ns0:f>
        <ns0:v>1039801.4631567531</ns0:v>
      </ns0:c>
      <ns0:c r="V699" s="16">
        <ns0:f>Q699-F699*'前提と出典'!$E$5</ns0:f>
        <ns0:v>397267.10513270646</ns0:v>
      </ns0:c>
      <ns0:c r="W699" s="7">
        <ns0:f>U699+V699</ns0:f>
        <ns0:v>1437068.5682894597</ns0:v>
      </ns0:c>
      <ns0:c r="X699" s="16">
        <ns0:f>P699-E699*'前提と出典'!$E$6</ns0:f>
        <ns0:v>905322.8095138537</ns0:v>
      </ns0:c>
      <ns0:c r="Y699" s="16">
        <ns0:f>Q699-F699*'前提と出典'!$E$6</ns0:f>
        <ns0:v>344489.1192932781</ns0:v>
      </ns0:c>
      <ns0:c r="Z699" s="7">
        <ns0:f>X699+Y699</ns0:f>
        <ns0:v>1249811.928807132</ns0:v>
      </ns0:c>
      <ns0:c r="AA699" s="7">
        <ns0:f>IF(T699&gt;=0,A699,1001)</ns0:f>
        <ns0:v>695</ns0:v>
      </ns0:c>
      <ns0:c r="AB699" s="7">
        <ns0:f>IF(T699&lt;0,A699,0)</ns0:f>
        <ns0:v>0</ns0:v>
      </ns0:c>
      <ns0:c r="AC699" s="16">
        <ns0:f>IF(AND(OR('前提と出典'!$C$36+'前提と出典'!$C$38=0,R699&gt;=0),OR('前提と出典'!$C$37+'前提と出典'!$C$38=0,S699&gt;=0)),0,A699)</ns0:f>
        <ns0:v>0</ns0:v>
      </ns0:c>
      <ns0:c r="AD699" s="7">
        <ns0:f>IF(W699&gt;=0,A699,1001)</ns0:f>
        <ns0:v>695</ns0:v>
      </ns0:c>
      <ns0:c r="AE699" s="7">
        <ns0:f>IF(W699&lt;0,A699,0)</ns0:f>
        <ns0:v>0</ns0:v>
      </ns0:c>
      <ns0:c r="AF699" s="16">
        <ns0:f>IF(AND(OR('前提と出典'!$C$36+'前提と出典'!$C$38=0,U699&gt;=0),OR('前提と出典'!$C$37+'前提と出典'!$C$38=0,V699&gt;=0)),0,A699)</ns0:f>
        <ns0:v>0</ns0:v>
      </ns0:c>
      <ns0:c r="AG699" s="7">
        <ns0:f>IF(Z699&gt;=0,A699,1001)</ns0:f>
        <ns0:v>695</ns0:v>
      </ns0:c>
      <ns0:c r="AH699" s="4">
        <ns0:f>IF(Z699&lt;0,A699,0)</ns0:f>
        <ns0:v>0</ns0:v>
      </ns0:c>
      <ns0:c r="AI699" s="12">
        <ns0:f>IF(AND(OR('前提と出典'!$C$36+'前提と出典'!$C$38=0,X699&gt;=0),OR('前提と出典'!$C$37+'前提と出典'!$C$38=0,Y699&gt;=0)),0,A699)</ns0:f>
        <ns0:v>0</ns0:v>
      </ns0:c>
    </ns0:row>
    <ns0:row r="700" ht="24" customHeight="1">
      <ns0:c r="A700" s="4" t="n">
        <ns0:v>696</ns0:v>
      </ns0:c>
      <ns0:c r="B700" s="12">
        <ns0:f>A700*('前提と出典'!$C$36+'前提と出典'!$C$38)</ns0:f>
        <ns0:v>487.2</ns0:v>
      </ns0:c>
      <ns0:c r="C700" s="12">
        <ns0:f>A700*('前提と出典'!$C$37+'前提と出典'!$C$38)</ns0:f>
        <ns0:v>417.59999999999997</ns0:v>
      </ns0:c>
      <ns0:c r="D700" s="16">
        <ns0:f>A700*('前提と出典'!$C$36*'契約別単価'!C5+'前提と出典'!$C$37*'契約別単価'!C6+'前提と出典'!$C$38*'契約別単価'!C7)</ns0:f>
        <ns0:v>5008.08938547486</ns0:v>
      </ns0:c>
      <ns0:c r="E700" s="16">
        <ns0:f>A700*('前提と出典'!$C$36*'契約別単価'!E5+'前提と出典'!$C$37*'契約別単価'!E6+'前提と出典'!$C$38*'契約別単価'!E7)</ns0:f>
        <ns0:v>1346721.4810857268</ns0:v>
      </ns0:c>
      <ns0:c r="F700" s="16">
        <ns0:f>A700*('前提と出典'!$C$36*'契約別単価'!F5+'前提と出典'!$C$37*'契約別単価'!F6+'前提と出典'!$C$38*'契約別単価'!F7)</ns0:f>
        <ns0:v>528539.2538739878</ns0:v>
      </ns0:c>
      <ns0:c r="G700" s="16">
        <ns0:f>A700*('前提と出典'!$C$36*'契約別単価'!G5+'前提と出典'!$C$37*'契約別単価'!G6+'前提と出典'!$C$38*'契約別単価'!G7)</ns0:f>
        <ns0:v>1385389.9441340782</ns0:v>
      </ns0:c>
      <ns0:c r="H700" s="16">
        <ns0:f>A700*('前提と出典'!$C$36*'契約別単価'!H5+'前提と出典'!$C$37*'契約別単価'!H6+'前提と出典'!$C$38*'契約別単価'!H7)</ns0:f>
        <ns0:v>480799.79338030925</ns0:v>
      </ns0:c>
      <ns0:c r="I700" s="16">
        <ns0:f>A700*('前提と出典'!$C$36*'契約別単価'!I5+'前提と出典'!$C$37*'契約別単価'!I6+'前提と出典'!$C$38*'契約別単価'!I7)</ns0:f>
        <ns0:v>29368.089385474854</ns0:v>
      </ns0:c>
      <ns0:c r="J700" s="16">
        <ns0:f>A700*('前提と出典'!$C$36*'契約別単価'!J5+'前提と出典'!$C$37*'契約別単価'!J6+'前提と出典'!$C$38*'契約別単価'!J7)</ns0:f>
        <ns0:v>68409.52242237059</ns0:v>
      </ns0:c>
      <ns0:c r="K700" s="16">
        <ns0:f>A700*('前提と出典'!$C$36*'契約別単価'!K5+'前提と出典'!$C$37*'契約別単価'!K6+'前提と出典'!$C$38*'契約別単価'!K7)</ns0:f>
        <ns0:v>293227.2625698324</ns0:v>
      </ns0:c>
      <ns0:c r="L700" s="16">
        <ns0:f>A700*('前提と出典'!$C$36*'契約別単価'!L5+'前提と出典'!$C$37*'契約別単価'!L6+'前提と出典'!$C$38*'契約別単価'!L7)</ns0:f>
        <ns0:v>238746.65977934364</ns0:v>
      </ns0:c>
      <ns0:c r="M700" s="16">
        <ns0:f>IF(('前提と出典'!$C$36+'前提と出典'!$C$38)=0,0,IF(B700&lt;=10,'前提と出典'!B73+'前提と出典'!C73,IF(B700&lt;=100,'前提と出典'!B74+'前提と出典'!C74,IF(B700&lt;=500,'前提と出典'!B75+'前提と出典'!C75,'前提と出典'!B76+'前提と出典'!C76))))</ns0:f>
        <ns0:v>40000</ns0:v>
      </ns0:c>
      <ns0:c r="N700" s="16">
        <ns0:f>IF(('前提と出典'!$C$37+'前提と出典'!$C$38)=0,0,IF(C700&lt;=10,'前提と出典'!D73+'前提と出典'!E73,IF(C700&lt;=100,'前提と出典'!D74+'前提と出典'!E74,IF(C700&lt;=500,'前提と出典'!D75+'前提と出典'!E75,'前提と出典'!D76+'前提と出典'!E76))))</ns0:f>
        <ns0:v>56510.9346263078</ns0:v>
      </ns0:c>
      <ns0:c r="O700" s="16">
        <ns0:f>IF('前提と出典'!$C$36+'前提と出典'!$C$38=0,0,'前提と出典'!$B$4*IF('前提と出典'!$B$20=0,MAX('前提と出典'!$B$6,D700*'前提と出典'!$B$5),'前提と出典'!$B$6+D700*'前提と出典'!$B$5))</ns0:f>
        <ns0:v>691116.3351955308</ns0:v>
      </ns0:c>
      <ns0:c r="P700" s="16">
        <ns0:f>(E700+G700)*(1-'前提と出典'!$B$7)-I700-K700-M700-O700</ns0:f>
        <ns0:v>1580043.726761054</ns0:v>
      </ns0:c>
      <ns0:c r="Q700" s="16">
        <ns0:f>(F700+H700)*(1-'前提と出典'!$B$7)-J700-L700-N700</ns0:f>
        <ns0:v>609335.7247251204</ns0:v>
      </ns0:c>
      <ns0:c r="R700" s="16">
        <ns0:f>P700-E700*'前提と出典'!$E$4</ns0:f>
        <ns0:v>1176027.2824353357</ns0:v>
      </ns0:c>
      <ns0:c r="S700" s="16">
        <ns0:f>Q700-F700*'前提と出典'!$E$4</ns0:f>
        <ns0:v>450773.94856292405</ns0:v>
      </ns0:c>
      <ns0:c r="T700" s="7">
        <ns0:f>R700+S700</ns0:f>
        <ns0:v>1626801.2309982597</ns0:v>
      </ns0:c>
      <ns0:c r="U700" s="16">
        <ns0:f>P700-E700*'前提と出典'!$E$5</ns0:f>
        <ns0:v>1041355.1343267633</ns0:v>
      </ns0:c>
      <ns0:c r="V700" s="16">
        <ns0:f>Q700-F700*'前提と出典'!$E$5</ns0:f>
        <ns0:v>397920.02317552525</ns0:v>
      </ns0:c>
      <ns0:c r="W700" s="7">
        <ns0:f>U700+V700</ns0:f>
        <ns0:v>1439275.1575022885</ns0:v>
      </ns0:c>
      <ns0:c r="X700" s="16">
        <ns0:f>P700-E700*'前提と出典'!$E$6</ns0:f>
        <ns0:v>906682.9862181906</ns0:v>
      </ns0:c>
      <ns0:c r="Y700" s="16">
        <ns0:f>Q700-F700*'前提と出典'!$E$6</ns0:f>
        <ns0:v>345066.09778812644</ns0:v>
      </ns0:c>
      <ns0:c r="Z700" s="7">
        <ns0:f>X700+Y700</ns0:f>
        <ns0:v>1251749.084006317</ns0:v>
      </ns0:c>
      <ns0:c r="AA700" s="7">
        <ns0:f>IF(T700&gt;=0,A700,1001)</ns0:f>
        <ns0:v>696</ns0:v>
      </ns0:c>
      <ns0:c r="AB700" s="7">
        <ns0:f>IF(T700&lt;0,A700,0)</ns0:f>
        <ns0:v>0</ns0:v>
      </ns0:c>
      <ns0:c r="AC700" s="16">
        <ns0:f>IF(AND(OR('前提と出典'!$C$36+'前提と出典'!$C$38=0,R700&gt;=0),OR('前提と出典'!$C$37+'前提と出典'!$C$38=0,S700&gt;=0)),0,A700)</ns0:f>
        <ns0:v>0</ns0:v>
      </ns0:c>
      <ns0:c r="AD700" s="7">
        <ns0:f>IF(W700&gt;=0,A700,1001)</ns0:f>
        <ns0:v>696</ns0:v>
      </ns0:c>
      <ns0:c r="AE700" s="7">
        <ns0:f>IF(W700&lt;0,A700,0)</ns0:f>
        <ns0:v>0</ns0:v>
      </ns0:c>
      <ns0:c r="AF700" s="16">
        <ns0:f>IF(AND(OR('前提と出典'!$C$36+'前提と出典'!$C$38=0,U700&gt;=0),OR('前提と出典'!$C$37+'前提と出典'!$C$38=0,V700&gt;=0)),0,A700)</ns0:f>
        <ns0:v>0</ns0:v>
      </ns0:c>
      <ns0:c r="AG700" s="7">
        <ns0:f>IF(Z700&gt;=0,A700,1001)</ns0:f>
        <ns0:v>696</ns0:v>
      </ns0:c>
      <ns0:c r="AH700" s="4">
        <ns0:f>IF(Z700&lt;0,A700,0)</ns0:f>
        <ns0:v>0</ns0:v>
      </ns0:c>
      <ns0:c r="AI700" s="12">
        <ns0:f>IF(AND(OR('前提と出典'!$C$36+'前提と出典'!$C$38=0,X700&gt;=0),OR('前提と出典'!$C$37+'前提と出典'!$C$38=0,Y700&gt;=0)),0,A700)</ns0:f>
        <ns0:v>0</ns0:v>
      </ns0:c>
    </ns0:row>
    <ns0:row r="701" ht="24" customHeight="1">
      <ns0:c r="A701" s="4" t="n">
        <ns0:v>697</ns0:v>
      </ns0:c>
      <ns0:c r="B701" s="12">
        <ns0:f>A701*('前提と出典'!$C$36+'前提と出典'!$C$38)</ns0:f>
        <ns0:v>487.9</ns0:v>
      </ns0:c>
      <ns0:c r="C701" s="12">
        <ns0:f>A701*('前提と出典'!$C$37+'前提と出典'!$C$38)</ns0:f>
        <ns0:v>418.2</ns0:v>
      </ns0:c>
      <ns0:c r="D701" s="16">
        <ns0:f>A701*('前提と出典'!$C$36*'契約別単価'!C5+'前提と出典'!$C$37*'契約別単価'!C6+'前提と出典'!$C$38*'契約別単価'!C7)</ns0:f>
        <ns0:v>5015.284916201117</ns0:v>
      </ns0:c>
      <ns0:c r="E701" s="16">
        <ns0:f>A701*('前提と出典'!$C$36*'契約別単価'!E5+'前提と出典'!$C$37*'契約別単価'!E6+'前提と出典'!$C$38*'契約別単価'!E7)</ns0:f>
        <ns0:v>1348656.425742459</ns0:v>
      </ns0:c>
      <ns0:c r="F701" s="16">
        <ns0:f>A701*('前提と出典'!$C$36*'契約別単価'!F5+'前提と出典'!$C$37*'契約別単価'!F6+'前提と出典'!$C$38*'契約別単価'!F7)</ns0:f>
        <ns0:v>529298.6493536918</ns0:v>
      </ns0:c>
      <ns0:c r="G701" s="16">
        <ns0:f>A701*('前提と出典'!$C$36*'契約別単価'!G5+'前提と出典'!$C$37*'契約別単価'!G6+'前提と出典'!$C$38*'契約別単価'!G7)</ns0:f>
        <ns0:v>1387380.4469273742</ns0:v>
      </ns0:c>
      <ns0:c r="H701" s="16">
        <ns0:f>A701*('前提と出典'!$C$36*'契約別単価'!H5+'前提と出典'!$C$37*'契約別単価'!H6+'前提と出典'!$C$38*'契約別単価'!H7)</ns0:f>
        <ns0:v>481490.59768114303</ns0:v>
      </ns0:c>
      <ns0:c r="I701" s="16">
        <ns0:f>A701*('前提と出典'!$C$36*'契約別単価'!I5+'前提と出典'!$C$37*'契約別単価'!I6+'前提と出典'!$C$38*'契約別単価'!I7)</ns0:f>
        <ns0:v>29410.28491620111</ns0:v>
      </ns0:c>
      <ns0:c r="J701" s="16">
        <ns0:f>A701*('前提と出典'!$C$36*'契約別単価'!J5+'前提と出典'!$C$37*'契約別単価'!J6+'前提と出典'!$C$38*'契約別単価'!J7)</ns0:f>
        <ns0:v>68507.81196608089</ns0:v>
      </ns0:c>
      <ns0:c r="K701" s="16">
        <ns0:f>A701*('前提と出典'!$C$36*'契約別単価'!K5+'前提と出典'!$C$37*'契約別単価'!K6+'前提と出典'!$C$38*'契約別単価'!K7)</ns0:f>
        <ns0:v>293648.56610800745</ns0:v>
      </ns0:c>
      <ns0:c r="L701" s="16">
        <ns0:f>A701*('前提と出典'!$C$36*'契約別単価'!L5+'前提と出典'!$C$37*'契約別単価'!L6+'前提と出典'!$C$38*'契約別単価'!L7)</ns0:f>
        <ns0:v>239089.6865893714</ns0:v>
      </ns0:c>
      <ns0:c r="M701" s="16">
        <ns0:f>IF(('前提と出典'!$C$36+'前提と出典'!$C$38)=0,0,IF(B701&lt;=10,'前提と出典'!B73+'前提と出典'!C73,IF(B701&lt;=100,'前提と出典'!B74+'前提と出典'!C74,IF(B701&lt;=500,'前提と出典'!B75+'前提と出典'!C75,'前提と出典'!B76+'前提と出典'!C76))))</ns0:f>
        <ns0:v>40000</ns0:v>
      </ns0:c>
      <ns0:c r="N701" s="16">
        <ns0:f>IF(('前提と出典'!$C$37+'前提と出典'!$C$38)=0,0,IF(C701&lt;=10,'前提と出典'!D73+'前提と出典'!E73,IF(C701&lt;=100,'前提と出典'!D74+'前提と出典'!E74,IF(C701&lt;=500,'前提と出典'!D75+'前提と出典'!E75,'前提と出典'!D76+'前提と出典'!E76))))</ns0:f>
        <ns0:v>56510.9346263078</ns0:v>
      </ns0:c>
      <ns0:c r="O701" s="16">
        <ns0:f>IF('前提と出典'!$C$36+'前提と出典'!$C$38=0,0,'前提と出典'!$B$4*IF('前提と出典'!$B$20=0,MAX('前提と出典'!$B$6,D701*'前提と出典'!$B$5),'前提と出典'!$B$6+D701*'前提と出典'!$B$5))</ns0:f>
        <ns0:v>692109.3184357542</ns0:v>
      </ns0:c>
      <ns0:c r="P701" s="16">
        <ns0:f>(E701+G701)*(1-'前提と出典'!$B$7)-I701-K701-M701-O701</ns0:f>
        <ns0:v>1582371.3757937565</ns0:v>
      </ns0:c>
      <ns0:c r="Q701" s="16">
        <ns0:f>(F701+H701)*(1-'前提と出典'!$B$7)-J701-L701-N701</ns0:f>
        <ns0:v>610292.4009598207</ns0:v>
      </ns0:c>
      <ns0:c r="R701" s="16">
        <ns0:f>P701-E701*'前提と出典'!$E$4</ns0:f>
        <ns0:v>1177774.4480710188</ns0:v>
      </ns0:c>
      <ns0:c r="S701" s="16">
        <ns0:f>Q701-F701*'前提と出典'!$E$4</ns0:f>
        <ns0:v>451502.80615371314</ns0:v>
      </ns0:c>
      <ns0:c r="T701" s="7">
        <ns0:f>R701+S701</ns0:f>
        <ns0:v>1629277.254224732</ns0:v>
      </ns0:c>
      <ns0:c r="U701" s="16">
        <ns0:f>P701-E701*'前提と出典'!$E$5</ns0:f>
        <ns0:v>1042908.8054967728</ns0:v>
      </ns0:c>
      <ns0:c r="V701" s="16">
        <ns0:f>Q701-F701*'前提と出典'!$E$5</ns0:f>
        <ns0:v>398572.941218344</ns0:v>
      </ns0:c>
      <ns0:c r="W701" s="7">
        <ns0:f>U701+V701</ns0:f>
        <ns0:v>1441481.7467151168</ns0:v>
      </ns0:c>
      <ns0:c r="X701" s="16">
        <ns0:f>P701-E701*'前提と出典'!$E$6</ns0:f>
        <ns0:v>908043.162922527</ns0:v>
      </ns0:c>
      <ns0:c r="Y701" s="16">
        <ns0:f>Q701-F701*'前提と出典'!$E$6</ns0:f>
        <ns0:v>345643.0762829748</ns0:v>
      </ns0:c>
      <ns0:c r="Z701" s="7">
        <ns0:f>X701+Y701</ns0:f>
        <ns0:v>1253686.2392055017</ns0:v>
      </ns0:c>
      <ns0:c r="AA701" s="7">
        <ns0:f>IF(T701&gt;=0,A701,1001)</ns0:f>
        <ns0:v>697</ns0:v>
      </ns0:c>
      <ns0:c r="AB701" s="7">
        <ns0:f>IF(T701&lt;0,A701,0)</ns0:f>
        <ns0:v>0</ns0:v>
      </ns0:c>
      <ns0:c r="AC701" s="16">
        <ns0:f>IF(AND(OR('前提と出典'!$C$36+'前提と出典'!$C$38=0,R701&gt;=0),OR('前提と出典'!$C$37+'前提と出典'!$C$38=0,S701&gt;=0)),0,A701)</ns0:f>
        <ns0:v>0</ns0:v>
      </ns0:c>
      <ns0:c r="AD701" s="7">
        <ns0:f>IF(W701&gt;=0,A701,1001)</ns0:f>
        <ns0:v>697</ns0:v>
      </ns0:c>
      <ns0:c r="AE701" s="7">
        <ns0:f>IF(W701&lt;0,A701,0)</ns0:f>
        <ns0:v>0</ns0:v>
      </ns0:c>
      <ns0:c r="AF701" s="16">
        <ns0:f>IF(AND(OR('前提と出典'!$C$36+'前提と出典'!$C$38=0,U701&gt;=0),OR('前提と出典'!$C$37+'前提と出典'!$C$38=0,V701&gt;=0)),0,A701)</ns0:f>
        <ns0:v>0</ns0:v>
      </ns0:c>
      <ns0:c r="AG701" s="7">
        <ns0:f>IF(Z701&gt;=0,A701,1001)</ns0:f>
        <ns0:v>697</ns0:v>
      </ns0:c>
      <ns0:c r="AH701" s="4">
        <ns0:f>IF(Z701&lt;0,A701,0)</ns0:f>
        <ns0:v>0</ns0:v>
      </ns0:c>
      <ns0:c r="AI701" s="12">
        <ns0:f>IF(AND(OR('前提と出典'!$C$36+'前提と出典'!$C$38=0,X701&gt;=0),OR('前提と出典'!$C$37+'前提と出典'!$C$38=0,Y701&gt;=0)),0,A701)</ns0:f>
        <ns0:v>0</ns0:v>
      </ns0:c>
    </ns0:row>
    <ns0:row r="702" ht="24" customHeight="1">
      <ns0:c r="A702" s="4" t="n">
        <ns0:v>698</ns0:v>
      </ns0:c>
      <ns0:c r="B702" s="12">
        <ns0:f>A702*('前提と出典'!$C$36+'前提と出典'!$C$38)</ns0:f>
        <ns0:v>488.59999999999997</ns0:v>
      </ns0:c>
      <ns0:c r="C702" s="12">
        <ns0:f>A702*('前提と出典'!$C$37+'前提と出典'!$C$38)</ns0:f>
        <ns0:v>418.8</ns0:v>
      </ns0:c>
      <ns0:c r="D702" s="16">
        <ns0:f>A702*('前提と出典'!$C$36*'契約別単価'!C5+'前提と出典'!$C$37*'契約別単価'!C6+'前提と出典'!$C$38*'契約別単価'!C7)</ns0:f>
        <ns0:v>5022.480446927374</ns0:v>
      </ns0:c>
      <ns0:c r="E702" s="16">
        <ns0:f>A702*('前提と出典'!$C$36*'契約別単価'!E5+'前提と出典'!$C$37*'契約別単価'!E6+'前提と出典'!$C$38*'契約別単価'!E7)</ns0:f>
        <ns0:v>1350591.3703991915</ns0:v>
      </ns0:c>
      <ns0:c r="F702" s="16">
        <ns0:f>A702*('前提と出典'!$C$36*'契約別単価'!F5+'前提と出典'!$C$37*'契約別単価'!F6+'前提と出典'!$C$38*'契約別単価'!F7)</ns0:f>
        <ns0:v>530058.0448333959</ns0:v>
      </ns0:c>
      <ns0:c r="G702" s="16">
        <ns0:f>A702*('前提と出典'!$C$36*'契約別単価'!G5+'前提と出典'!$C$37*'契約別単価'!G6+'前提と出典'!$C$38*'契約別単価'!G7)</ns0:f>
        <ns0:v>1389370.9497206702</ns0:v>
      </ns0:c>
      <ns0:c r="H702" s="16">
        <ns0:f>A702*('前提と出典'!$C$36*'契約別単価'!H5+'前提と出典'!$C$37*'契約別単価'!H6+'前提と出典'!$C$38*'契約別単価'!H7)</ns0:f>
        <ns0:v>482181.4019819768</ns0:v>
      </ns0:c>
      <ns0:c r="I702" s="16">
        <ns0:f>A702*('前提と出典'!$C$36*'契約別単価'!I5+'前提と出典'!$C$37*'契約別単価'!I6+'前提と出典'!$C$38*'契約別単価'!I7)</ns0:f>
        <ns0:v>29452.48044692737</ns0:v>
      </ns0:c>
      <ns0:c r="J702" s="16">
        <ns0:f>A702*('前提と出典'!$C$36*'契約別単価'!J5+'前提と出典'!$C$37*'契約別単価'!J6+'前提と出典'!$C$38*'契約別単価'!J7)</ns0:f>
        <ns0:v>68606.10150979119</ns0:v>
      </ns0:c>
      <ns0:c r="K702" s="16">
        <ns0:f>A702*('前提と出典'!$C$36*'契約別単価'!K5+'前提と出典'!$C$37*'契約別単価'!K6+'前提と出典'!$C$38*'契約別単価'!K7)</ns0:f>
        <ns0:v>294069.86964618246</ns0:v>
      </ns0:c>
      <ns0:c r="L702" s="16">
        <ns0:f>A702*('前提と出典'!$C$36*'契約別単価'!L5+'前提と出典'!$C$37*'契約別単価'!L6+'前提と出典'!$C$38*'契約別単価'!L7)</ns0:f>
        <ns0:v>239432.71339939922</ns0:v>
      </ns0:c>
      <ns0:c r="M702" s="16">
        <ns0:f>IF(('前提と出典'!$C$36+'前提と出典'!$C$38)=0,0,IF(B702&lt;=10,'前提と出典'!B73+'前提と出典'!C73,IF(B702&lt;=100,'前提と出典'!B74+'前提と出典'!C74,IF(B702&lt;=500,'前提と出典'!B75+'前提と出典'!C75,'前提と出典'!B76+'前提と出典'!C76))))</ns0:f>
        <ns0:v>40000</ns0:v>
      </ns0:c>
      <ns0:c r="N702" s="16">
        <ns0:f>IF(('前提と出典'!$C$37+'前提と出典'!$C$38)=0,0,IF(C702&lt;=10,'前提と出典'!D73+'前提と出典'!E73,IF(C702&lt;=100,'前提と出典'!D74+'前提と出典'!E74,IF(C702&lt;=500,'前提と出典'!D75+'前提と出典'!E75,'前提と出典'!D76+'前提と出典'!E76))))</ns0:f>
        <ns0:v>56510.9346263078</ns0:v>
      </ns0:c>
      <ns0:c r="O702" s="16">
        <ns0:f>IF('前提と出典'!$C$36+'前提と出典'!$C$38=0,0,'前提と出典'!$B$4*IF('前提と出典'!$B$20=0,MAX('前提と出典'!$B$6,D702*'前提と出典'!$B$5),'前提と出典'!$B$6+D702*'前提と出典'!$B$5))</ns0:f>
        <ns0:v>693102.3016759777</ns0:v>
      </ns0:c>
      <ns0:c r="P702" s="16">
        <ns0:f>(E702+G702)*(1-'前提と出典'!$B$7)-I702-K702-M702-O702</ns0:f>
        <ns0:v>1584699.0248264587</ns0:v>
      </ns0:c>
      <ns0:c r="Q702" s="16">
        <ns0:f>(F702+H702)*(1-'前提と出典'!$B$7)-J702-L702-N702</ns0:f>
        <ns0:v>611249.0771945211</ns0:v>
      </ns0:c>
      <ns0:c r="R702" s="16">
        <ns0:f>P702-E702*'前提と出典'!$E$4</ns0:f>
        <ns0:v>1179521.6137067017</ns0:v>
      </ns0:c>
      <ns0:c r="S702" s="16">
        <ns0:f>Q702-F702*'前提と出典'!$E$4</ns0:f>
        <ns0:v>452231.66374450235</ns0:v>
      </ns0:c>
      <ns0:c r="T702" s="7">
        <ns0:f>R702+S702</ns0:f>
        <ns0:v>1631753.2774512041</ns0:v>
      </ns0:c>
      <ns0:c r="U702" s="16">
        <ns0:f>P702-E702*'前提と出典'!$E$5</ns0:f>
        <ns0:v>1044462.476666782</ns0:v>
      </ns0:c>
      <ns0:c r="V702" s="16">
        <ns0:f>Q702-F702*'前提と出典'!$E$5</ns0:f>
        <ns0:v>399225.8592611627</ns0:v>
      </ns0:c>
      <ns0:c r="W702" s="7">
        <ns0:f>U702+V702</ns0:f>
        <ns0:v>1443688.3359279446</ns0:v>
      </ns0:c>
      <ns0:c r="X702" s="16">
        <ns0:f>P702-E702*'前提と出典'!$E$6</ns0:f>
        <ns0:v>909403.3396268631</ns0:v>
      </ns0:c>
      <ns0:c r="Y702" s="16">
        <ns0:f>Q702-F702*'前提と出典'!$E$6</ns0:f>
        <ns0:v>346220.05477782316</ns0:v>
      </ns0:c>
      <ns0:c r="Z702" s="7">
        <ns0:f>X702+Y702</ns0:f>
        <ns0:v>1255623.3944046863</ns0:v>
      </ns0:c>
      <ns0:c r="AA702" s="7">
        <ns0:f>IF(T702&gt;=0,A702,1001)</ns0:f>
        <ns0:v>698</ns0:v>
      </ns0:c>
      <ns0:c r="AB702" s="7">
        <ns0:f>IF(T702&lt;0,A702,0)</ns0:f>
        <ns0:v>0</ns0:v>
      </ns0:c>
      <ns0:c r="AC702" s="16">
        <ns0:f>IF(AND(OR('前提と出典'!$C$36+'前提と出典'!$C$38=0,R702&gt;=0),OR('前提と出典'!$C$37+'前提と出典'!$C$38=0,S702&gt;=0)),0,A702)</ns0:f>
        <ns0:v>0</ns0:v>
      </ns0:c>
      <ns0:c r="AD702" s="7">
        <ns0:f>IF(W702&gt;=0,A702,1001)</ns0:f>
        <ns0:v>698</ns0:v>
      </ns0:c>
      <ns0:c r="AE702" s="7">
        <ns0:f>IF(W702&lt;0,A702,0)</ns0:f>
        <ns0:v>0</ns0:v>
      </ns0:c>
      <ns0:c r="AF702" s="16">
        <ns0:f>IF(AND(OR('前提と出典'!$C$36+'前提と出典'!$C$38=0,U702&gt;=0),OR('前提と出典'!$C$37+'前提と出典'!$C$38=0,V702&gt;=0)),0,A702)</ns0:f>
        <ns0:v>0</ns0:v>
      </ns0:c>
      <ns0:c r="AG702" s="7">
        <ns0:f>IF(Z702&gt;=0,A702,1001)</ns0:f>
        <ns0:v>698</ns0:v>
      </ns0:c>
      <ns0:c r="AH702" s="4">
        <ns0:f>IF(Z702&lt;0,A702,0)</ns0:f>
        <ns0:v>0</ns0:v>
      </ns0:c>
      <ns0:c r="AI702" s="12">
        <ns0:f>IF(AND(OR('前提と出典'!$C$36+'前提と出典'!$C$38=0,X702&gt;=0),OR('前提と出典'!$C$37+'前提と出典'!$C$38=0,Y702&gt;=0)),0,A702)</ns0:f>
        <ns0:v>0</ns0:v>
      </ns0:c>
    </ns0:row>
    <ns0:row r="703" ht="24" customHeight="1">
      <ns0:c r="A703" s="4" t="n">
        <ns0:v>699</ns0:v>
      </ns0:c>
      <ns0:c r="B703" s="12">
        <ns0:f>A703*('前提と出典'!$C$36+'前提と出典'!$C$38)</ns0:f>
        <ns0:v>489.29999999999995</ns0:v>
      </ns0:c>
      <ns0:c r="C703" s="12">
        <ns0:f>A703*('前提と出典'!$C$37+'前提と出典'!$C$38)</ns0:f>
        <ns0:v>419.4</ns0:v>
      </ns0:c>
      <ns0:c r="D703" s="16">
        <ns0:f>A703*('前提と出典'!$C$36*'契約別単価'!C5+'前提と出典'!$C$37*'契約別単価'!C6+'前提と出典'!$C$38*'契約別単価'!C7)</ns0:f>
        <ns0:v>5029.675977653631</ns0:v>
      </ns0:c>
      <ns0:c r="E703" s="16">
        <ns0:f>A703*('前提と出典'!$C$36*'契約別単価'!E5+'前提と出典'!$C$37*'契約別単価'!E6+'前提と出典'!$C$38*'契約別単価'!E7)</ns0:f>
        <ns0:v>1352526.3150559238</ns0:v>
      </ns0:c>
      <ns0:c r="F703" s="16">
        <ns0:f>A703*('前提と出典'!$C$36*'契約別単価'!F5+'前提と出典'!$C$37*'契約別単価'!F6+'前提と出典'!$C$38*'契約別単価'!F7)</ns0:f>
        <ns0:v>530817.4403130999</ns0:v>
      </ns0:c>
      <ns0:c r="G703" s="16">
        <ns0:f>A703*('前提と出典'!$C$36*'契約別単価'!G5+'前提と出典'!$C$37*'契約別単価'!G6+'前提と出典'!$C$38*'契約別単価'!G7)</ns0:f>
        <ns0:v>1391361.4525139665</ns0:v>
      </ns0:c>
      <ns0:c r="H703" s="16">
        <ns0:f>A703*('前提と出典'!$C$36*'契約別単価'!H5+'前提と出典'!$C$37*'契約別単価'!H6+'前提と出典'!$C$38*'契約別単価'!H7)</ns0:f>
        <ns0:v>482872.2062828106</ns0:v>
      </ns0:c>
      <ns0:c r="I703" s="16">
        <ns0:f>A703*('前提と出典'!$C$36*'契約別単価'!I5+'前提と出典'!$C$37*'契約別単価'!I6+'前提と出典'!$C$38*'契約別単価'!I7)</ns0:f>
        <ns0:v>29494.675977653627</ns0:v>
      </ns0:c>
      <ns0:c r="J703" s="16">
        <ns0:f>A703*('前提と出典'!$C$36*'契約別単価'!J5+'前提と出典'!$C$37*'契約別単価'!J6+'前提と出典'!$C$38*'契約別単価'!J7)</ns0:f>
        <ns0:v>68704.39105350149</ns0:v>
      </ns0:c>
      <ns0:c r="K703" s="16">
        <ns0:f>A703*('前提と出典'!$C$36*'契約別単価'!K5+'前提と出典'!$C$37*'契約別単価'!K6+'前提と出典'!$C$38*'契約別単価'!K7)</ns0:f>
        <ns0:v>294491.1731843575</ns0:v>
      </ns0:c>
      <ns0:c r="L703" s="16">
        <ns0:f>A703*('前提と出典'!$C$36*'契約別単価'!L5+'前提と出典'!$C$37*'契約別単価'!L6+'前提と出典'!$C$38*'契約別単価'!L7)</ns0:f>
        <ns0:v>239775.74020942702</ns0:v>
      </ns0:c>
      <ns0:c r="M703" s="16">
        <ns0:f>IF(('前提と出典'!$C$36+'前提と出典'!$C$38)=0,0,IF(B703&lt;=10,'前提と出典'!B73+'前提と出典'!C73,IF(B703&lt;=100,'前提と出典'!B74+'前提と出典'!C74,IF(B703&lt;=500,'前提と出典'!B75+'前提と出典'!C75,'前提と出典'!B76+'前提と出典'!C76))))</ns0:f>
        <ns0:v>40000</ns0:v>
      </ns0:c>
      <ns0:c r="N703" s="16">
        <ns0:f>IF(('前提と出典'!$C$37+'前提と出典'!$C$38)=0,0,IF(C703&lt;=10,'前提と出典'!D73+'前提と出典'!E73,IF(C703&lt;=100,'前提と出典'!D74+'前提と出典'!E74,IF(C703&lt;=500,'前提と出典'!D75+'前提と出典'!E75,'前提と出典'!D76+'前提と出典'!E76))))</ns0:f>
        <ns0:v>56510.9346263078</ns0:v>
      </ns0:c>
      <ns0:c r="O703" s="16">
        <ns0:f>IF('前提と出典'!$C$36+'前提と出典'!$C$38=0,0,'前提と出典'!$B$4*IF('前提と出典'!$B$20=0,MAX('前提と出典'!$B$6,D703*'前提と出典'!$B$5),'前提と出典'!$B$6+D703*'前提と出典'!$B$5))</ns0:f>
        <ns0:v>694095.284916201</ns0:v>
      </ns0:c>
      <ns0:c r="P703" s="16">
        <ns0:f>(E703+G703)*(1-'前提と出典'!$B$7)-I703-K703-M703-O703</ns0:f>
        <ns0:v>1587026.6738591623</ns0:v>
      </ns0:c>
      <ns0:c r="Q703" s="16">
        <ns0:f>(F703+H703)*(1-'前提と出典'!$B$7)-J703-L703-N703</ns0:f>
        <ns0:v>612205.7534292212</ns0:v>
      </ns0:c>
      <ns0:c r="R703" s="16">
        <ns0:f>P703-E703*'前提と出典'!$E$4</ns0:f>
        <ns0:v>1181268.7793423845</ns0:v>
      </ns0:c>
      <ns0:c r="S703" s="16">
        <ns0:f>Q703-F703*'前提と出典'!$E$4</ns0:f>
        <ns0:v>452960.52133529127</ns0:v>
      </ns0:c>
      <ns0:c r="T703" s="7">
        <ns0:f>R703+S703</ns0:f>
        <ns0:v>1634229.3006776758</ns0:v>
      </ns0:c>
      <ns0:c r="U703" s="16">
        <ns0:f>P703-E703*'前提と出典'!$E$5</ns0:f>
        <ns0:v>1046016.1478367926</ns0:v>
      </ns0:c>
      <ns0:c r="V703" s="16">
        <ns0:f>Q703-F703*'前提と出典'!$E$5</ns0:f>
        <ns0:v>399878.7773039813</ns0:v>
      </ns0:c>
      <ns0:c r="W703" s="7">
        <ns0:f>U703+V703</ns0:f>
        <ns0:v>1445894.9251407739</ns0:v>
      </ns0:c>
      <ns0:c r="X703" s="16">
        <ns0:f>P703-E703*'前提と出典'!$E$6</ns0:f>
        <ns0:v>910763.5163312001</ns0:v>
      </ns0:c>
      <ns0:c r="Y703" s="16">
        <ns0:f>Q703-F703*'前提と出典'!$E$6</ns0:f>
        <ns0:v>346797.03327267134</ns0:v>
      </ns0:c>
      <ns0:c r="Z703" s="7">
        <ns0:f>X703+Y703</ns0:f>
        <ns0:v>1257560.5496038715</ns0:v>
      </ns0:c>
      <ns0:c r="AA703" s="7">
        <ns0:f>IF(T703&gt;=0,A703,1001)</ns0:f>
        <ns0:v>699</ns0:v>
      </ns0:c>
      <ns0:c r="AB703" s="7">
        <ns0:f>IF(T703&lt;0,A703,0)</ns0:f>
        <ns0:v>0</ns0:v>
      </ns0:c>
      <ns0:c r="AC703" s="16">
        <ns0:f>IF(AND(OR('前提と出典'!$C$36+'前提と出典'!$C$38=0,R703&gt;=0),OR('前提と出典'!$C$37+'前提と出典'!$C$38=0,S703&gt;=0)),0,A703)</ns0:f>
        <ns0:v>0</ns0:v>
      </ns0:c>
      <ns0:c r="AD703" s="7">
        <ns0:f>IF(W703&gt;=0,A703,1001)</ns0:f>
        <ns0:v>699</ns0:v>
      </ns0:c>
      <ns0:c r="AE703" s="7">
        <ns0:f>IF(W703&lt;0,A703,0)</ns0:f>
        <ns0:v>0</ns0:v>
      </ns0:c>
      <ns0:c r="AF703" s="16">
        <ns0:f>IF(AND(OR('前提と出典'!$C$36+'前提と出典'!$C$38=0,U703&gt;=0),OR('前提と出典'!$C$37+'前提と出典'!$C$38=0,V703&gt;=0)),0,A703)</ns0:f>
        <ns0:v>0</ns0:v>
      </ns0:c>
      <ns0:c r="AG703" s="7">
        <ns0:f>IF(Z703&gt;=0,A703,1001)</ns0:f>
        <ns0:v>699</ns0:v>
      </ns0:c>
      <ns0:c r="AH703" s="4">
        <ns0:f>IF(Z703&lt;0,A703,0)</ns0:f>
        <ns0:v>0</ns0:v>
      </ns0:c>
      <ns0:c r="AI703" s="12">
        <ns0:f>IF(AND(OR('前提と出典'!$C$36+'前提と出典'!$C$38=0,X703&gt;=0),OR('前提と出典'!$C$37+'前提と出典'!$C$38=0,Y703&gt;=0)),0,A703)</ns0:f>
        <ns0:v>0</ns0:v>
      </ns0:c>
    </ns0:row>
    <ns0:row r="704" ht="24" customHeight="1">
      <ns0:c r="A704" s="4" t="n">
        <ns0:v>700</ns0:v>
      </ns0:c>
      <ns0:c r="B704" s="12">
        <ns0:f>A704*('前提と出典'!$C$36+'前提と出典'!$C$38)</ns0:f>
        <ns0:v>489.99999999999994</ns0:v>
      </ns0:c>
      <ns0:c r="C704" s="12">
        <ns0:f>A704*('前提と出典'!$C$37+'前提と出典'!$C$38)</ns0:f>
        <ns0:v>420</ns0:v>
      </ns0:c>
      <ns0:c r="D704" s="16">
        <ns0:f>A704*('前提と出典'!$C$36*'契約別単価'!C5+'前提と出典'!$C$37*'契約別単価'!C6+'前提と出典'!$C$38*'契約別単価'!C7)</ns0:f>
        <ns0:v>5036.871508379888</ns0:v>
      </ns0:c>
      <ns0:c r="E704" s="16">
        <ns0:f>A704*('前提と出典'!$C$36*'契約別単価'!E5+'前提と出典'!$C$37*'契約別単価'!E6+'前提と出典'!$C$38*'契約別単価'!E7)</ns0:f>
        <ns0:v>1354461.2597126563</ns0:v>
      </ns0:c>
      <ns0:c r="F704" s="16">
        <ns0:f>A704*('前提と出典'!$C$36*'契約別単価'!F5+'前提と出典'!$C$37*'契約別単価'!F6+'前提と出典'!$C$38*'契約別単価'!F7)</ns0:f>
        <ns0:v>531576.8357928039</ns0:v>
      </ns0:c>
      <ns0:c r="G704" s="16">
        <ns0:f>A704*('前提と出典'!$C$36*'契約別単価'!G5+'前提と出典'!$C$37*'契約別単価'!G6+'前提と出典'!$C$38*'契約別単価'!G7)</ns0:f>
        <ns0:v>1393351.9553072625</ns0:v>
      </ns0:c>
      <ns0:c r="H704" s="16">
        <ns0:f>A704*('前提と出典'!$C$36*'契約別単価'!H5+'前提と出典'!$C$37*'契約別単価'!H6+'前提と出典'!$C$38*'契約別単価'!H7)</ns0:f>
        <ns0:v>483563.0105836444</ns0:v>
      </ns0:c>
      <ns0:c r="I704" s="16">
        <ns0:f>A704*('前提と出典'!$C$36*'契約別単価'!I5+'前提と出典'!$C$37*'契約別単価'!I6+'前提と出典'!$C$38*'契約別単価'!I7)</ns0:f>
        <ns0:v>29536.87150837988</ns0:v>
      </ns0:c>
      <ns0:c r="J704" s="16">
        <ns0:f>A704*('前提と出典'!$C$36*'契約別単価'!J5+'前提と出典'!$C$37*'契約別単価'!J6+'前提と出典'!$C$38*'契約別単価'!J7)</ns0:f>
        <ns0:v>68802.6805972118</ns0:v>
      </ns0:c>
      <ns0:c r="K704" s="16">
        <ns0:f>A704*('前提と出典'!$C$36*'契約別単価'!K5+'前提と出典'!$C$37*'契約別単価'!K6+'前提と出典'!$C$38*'契約別単価'!K7)</ns0:f>
        <ns0:v>294912.4767225326</ns0:v>
      </ns0:c>
      <ns0:c r="L704" s="16">
        <ns0:f>A704*('前提と出典'!$C$36*'契約別単価'!L5+'前提と出典'!$C$37*'契約別単価'!L6+'前提と出典'!$C$38*'契約別単価'!L7)</ns0:f>
        <ns0:v>240118.7670194548</ns0:v>
      </ns0:c>
      <ns0:c r="M704" s="16">
        <ns0:f>IF(('前提と出典'!$C$36+'前提と出典'!$C$38)=0,0,IF(B704&lt;=10,'前提と出典'!B73+'前提と出典'!C73,IF(B704&lt;=100,'前提と出典'!B74+'前提と出典'!C74,IF(B704&lt;=500,'前提と出典'!B75+'前提と出典'!C75,'前提と出典'!B76+'前提と出典'!C76))))</ns0:f>
        <ns0:v>40000</ns0:v>
      </ns0:c>
      <ns0:c r="N704" s="16">
        <ns0:f>IF(('前提と出典'!$C$37+'前提と出典'!$C$38)=0,0,IF(C704&lt;=10,'前提と出典'!D73+'前提と出典'!E73,IF(C704&lt;=100,'前提と出典'!D74+'前提と出典'!E74,IF(C704&lt;=500,'前提と出典'!D75+'前提と出典'!E75,'前提と出典'!D76+'前提と出典'!E76))))</ns0:f>
        <ns0:v>56510.9346263078</ns0:v>
      </ns0:c>
      <ns0:c r="O704" s="16">
        <ns0:f>IF('前提と出典'!$C$36+'前提と出典'!$C$38=0,0,'前提と出典'!$B$4*IF('前提と出典'!$B$20=0,MAX('前提と出典'!$B$6,D704*'前提と出典'!$B$5),'前提と出典'!$B$6+D704*'前提と出典'!$B$5))</ns0:f>
        <ns0:v>695088.2681564245</ns0:v>
      </ns0:c>
      <ns0:c r="P704" s="16">
        <ns0:f>(E704+G704)*(1-'前提と出典'!$B$7)-I704-K704-M704-O704</ns0:f>
        <ns0:v>1589354.322891865</ns0:v>
      </ns0:c>
      <ns0:c r="Q704" s="16">
        <ns0:f>(F704+H704)*(1-'前提と出典'!$B$7)-J704-L704-N704</ns0:f>
        <ns0:v>613162.4296639217</ns0:v>
      </ns0:c>
      <ns0:c r="R704" s="16">
        <ns0:f>P704-E704*'前提と出典'!$E$4</ns0:f>
        <ns0:v>1183015.9449780681</ns0:v>
      </ns0:c>
      <ns0:c r="S704" s="16">
        <ns0:f>Q704-F704*'前提と出典'!$E$4</ns0:f>
        <ns0:v>453689.3789260806</ns0:v>
      </ns0:c>
      <ns0:c r="T704" s="7">
        <ns0:f>R704+S704</ns0:f>
        <ns0:v>1636705.3239041488</ns0:v>
      </ns0:c>
      <ns0:c r="U704" s="16">
        <ns0:f>P704-E704*'前提と出典'!$E$5</ns0:f>
        <ns0:v>1047569.8190068024</ns0:v>
      </ns0:c>
      <ns0:c r="V704" s="16">
        <ns0:f>Q704-F704*'前提と出典'!$E$5</ns0:f>
        <ns0:v>400531.6953468002</ns0:v>
      </ns0:c>
      <ns0:c r="W704" s="7">
        <ns0:f>U704+V704</ns0:f>
        <ns0:v>1448101.5143536027</ns0:v>
      </ns0:c>
      <ns0:c r="X704" s="16">
        <ns0:f>P704-E704*'前提と出典'!$E$6</ns0:f>
        <ns0:v>912123.6930355368</ns0:v>
      </ns0:c>
      <ns0:c r="Y704" s="16">
        <ns0:f>Q704-F704*'前提と出典'!$E$6</ns0:f>
        <ns0:v>347374.0117675198</ns0:v>
      </ns0:c>
      <ns0:c r="Z704" s="7">
        <ns0:f>X704+Y704</ns0:f>
        <ns0:v>1259497.7048030565</ns0:v>
      </ns0:c>
      <ns0:c r="AA704" s="7">
        <ns0:f>IF(T704&gt;=0,A704,1001)</ns0:f>
        <ns0:v>700</ns0:v>
      </ns0:c>
      <ns0:c r="AB704" s="7">
        <ns0:f>IF(T704&lt;0,A704,0)</ns0:f>
        <ns0:v>0</ns0:v>
      </ns0:c>
      <ns0:c r="AC704" s="16">
        <ns0:f>IF(AND(OR('前提と出典'!$C$36+'前提と出典'!$C$38=0,R704&gt;=0),OR('前提と出典'!$C$37+'前提と出典'!$C$38=0,S704&gt;=0)),0,A704)</ns0:f>
        <ns0:v>0</ns0:v>
      </ns0:c>
      <ns0:c r="AD704" s="7">
        <ns0:f>IF(W704&gt;=0,A704,1001)</ns0:f>
        <ns0:v>700</ns0:v>
      </ns0:c>
      <ns0:c r="AE704" s="7">
        <ns0:f>IF(W704&lt;0,A704,0)</ns0:f>
        <ns0:v>0</ns0:v>
      </ns0:c>
      <ns0:c r="AF704" s="16">
        <ns0:f>IF(AND(OR('前提と出典'!$C$36+'前提と出典'!$C$38=0,U704&gt;=0),OR('前提と出典'!$C$37+'前提と出典'!$C$38=0,V704&gt;=0)),0,A704)</ns0:f>
        <ns0:v>0</ns0:v>
      </ns0:c>
      <ns0:c r="AG704" s="7">
        <ns0:f>IF(Z704&gt;=0,A704,1001)</ns0:f>
        <ns0:v>700</ns0:v>
      </ns0:c>
      <ns0:c r="AH704" s="4">
        <ns0:f>IF(Z704&lt;0,A704,0)</ns0:f>
        <ns0:v>0</ns0:v>
      </ns0:c>
      <ns0:c r="AI704" s="12">
        <ns0:f>IF(AND(OR('前提と出典'!$C$36+'前提と出典'!$C$38=0,X704&gt;=0),OR('前提と出典'!$C$37+'前提と出典'!$C$38=0,Y704&gt;=0)),0,A704)</ns0:f>
        <ns0:v>0</ns0:v>
      </ns0:c>
    </ns0:row>
    <ns0:row r="705" ht="24" customHeight="1">
      <ns0:c r="A705" s="4" t="n">
        <ns0:v>701</ns0:v>
      </ns0:c>
      <ns0:c r="B705" s="12">
        <ns0:f>A705*('前提と出典'!$C$36+'前提と出典'!$C$38)</ns0:f>
        <ns0:v>490.7</ns0:v>
      </ns0:c>
      <ns0:c r="C705" s="12">
        <ns0:f>A705*('前提と出典'!$C$37+'前提と出典'!$C$38)</ns0:f>
        <ns0:v>420.59999999999997</ns0:v>
      </ns0:c>
      <ns0:c r="D705" s="16">
        <ns0:f>A705*('前提と出典'!$C$36*'契約別単価'!C5+'前提と出典'!$C$37*'契約別単価'!C6+'前提と出典'!$C$38*'契約別単価'!C7)</ns0:f>
        <ns0:v>5044.067039106145</ns0:v>
      </ns0:c>
      <ns0:c r="E705" s="16">
        <ns0:f>A705*('前提と出典'!$C$36*'契約別単価'!E5+'前提と出典'!$C$37*'契約別単価'!E6+'前提と出典'!$C$38*'契約別単価'!E7)</ns0:f>
        <ns0:v>1356396.2043693885</ns0:v>
      </ns0:c>
      <ns0:c r="F705" s="16">
        <ns0:f>A705*('前提と出典'!$C$36*'契約別単価'!F5+'前提と出典'!$C$37*'契約別単価'!F6+'前提と出典'!$C$38*'契約別単価'!F7)</ns0:f>
        <ns0:v>532336.2312725079</ns0:v>
      </ns0:c>
      <ns0:c r="G705" s="16">
        <ns0:f>A705*('前提と出典'!$C$36*'契約別単価'!G5+'前提と出典'!$C$37*'契約別単価'!G6+'前提と出典'!$C$38*'契約別単価'!G7)</ns0:f>
        <ns0:v>1395342.4581005585</ns0:v>
      </ns0:c>
      <ns0:c r="H705" s="16">
        <ns0:f>A705*('前提と出典'!$C$36*'契約別単価'!H5+'前提と出典'!$C$37*'契約別単価'!H6+'前提と出典'!$C$38*'契約別単価'!H7)</ns0:f>
        <ns0:v>484253.81488447817</ns0:v>
      </ns0:c>
      <ns0:c r="I705" s="16">
        <ns0:f>A705*('前提と出典'!$C$36*'契約別単価'!I5+'前提と出典'!$C$37*'契約別単価'!I6+'前提と出典'!$C$38*'契約別単価'!I7)</ns0:f>
        <ns0:v>29579.06703910614</ns0:v>
      </ns0:c>
      <ns0:c r="J705" s="16">
        <ns0:f>A705*('前提と出典'!$C$36*'契約別単価'!J5+'前提と出典'!$C$37*'契約別単価'!J6+'前提と出典'!$C$38*'契約別単価'!J7)</ns0:f>
        <ns0:v>68900.9701409221</ns0:v>
      </ns0:c>
      <ns0:c r="K705" s="16">
        <ns0:f>A705*('前提と出典'!$C$36*'契約別単価'!K5+'前提と出典'!$C$37*'契約別単価'!K6+'前提と出典'!$C$38*'契約別単価'!K7)</ns0:f>
        <ns0:v>295333.7802607076</ns0:v>
      </ns0:c>
      <ns0:c r="L705" s="16">
        <ns0:f>A705*('前提と出典'!$C$36*'契約別単価'!L5+'前提と出典'!$C$37*'契約別単価'!L6+'前提と出典'!$C$38*'契約別単価'!L7)</ns0:f>
        <ns0:v>240461.7938294826</ns0:v>
      </ns0:c>
      <ns0:c r="M705" s="16">
        <ns0:f>IF(('前提と出典'!$C$36+'前提と出典'!$C$38)=0,0,IF(B705&lt;=10,'前提と出典'!B73+'前提と出典'!C73,IF(B705&lt;=100,'前提と出典'!B74+'前提と出典'!C74,IF(B705&lt;=500,'前提と出典'!B75+'前提と出典'!C75,'前提と出典'!B76+'前提と出典'!C76))))</ns0:f>
        <ns0:v>40000</ns0:v>
      </ns0:c>
      <ns0:c r="N705" s="16">
        <ns0:f>IF(('前提と出典'!$C$37+'前提と出典'!$C$38)=0,0,IF(C705&lt;=10,'前提と出典'!D73+'前提と出典'!E73,IF(C705&lt;=100,'前提と出典'!D74+'前提と出典'!E74,IF(C705&lt;=500,'前提と出典'!D75+'前提と出典'!E75,'前提と出典'!D76+'前提と出典'!E76))))</ns0:f>
        <ns0:v>56510.9346263078</ns0:v>
      </ns0:c>
      <ns0:c r="O705" s="16">
        <ns0:f>IF('前提と出典'!$C$36+'前提と出典'!$C$38=0,0,'前提と出典'!$B$4*IF('前提と出典'!$B$20=0,MAX('前提と出典'!$B$6,D705*'前提と出典'!$B$5),'前提と出典'!$B$6+D705*'前提と出典'!$B$5))</ns0:f>
        <ns0:v>696081.251396648</ns0:v>
      </ns0:c>
      <ns0:c r="P705" s="16">
        <ns0:f>(E705+G705)*(1-'前提と出典'!$B$7)-I705-K705-M705-O705</ns0:f>
        <ns0:v>1591681.9719245667</ns0:v>
      </ns0:c>
      <ns0:c r="Q705" s="16">
        <ns0:f>(F705+H705)*(1-'前提と出典'!$B$7)-J705-L705-N705</ns0:f>
        <ns0:v>614119.1058986221</ns0:v>
      </ns0:c>
      <ns0:c r="R705" s="16">
        <ns0:f>P705-E705*'前提と出典'!$E$4</ns0:f>
        <ns0:v>1184763.1106137503</ns0:v>
      </ns0:c>
      <ns0:c r="S705" s="16">
        <ns0:f>Q705-F705*'前提と出典'!$E$4</ns0:f>
        <ns0:v>454418.23651686974</ns0:v>
      </ns0:c>
      <ns0:c r="T705" s="7">
        <ns0:f>R705+S705</ns0:f>
        <ns0:v>1639181.34713062</ns0:v>
      </ns0:c>
      <ns0:c r="U705" s="16">
        <ns0:f>P705-E705*'前提と出典'!$E$5</ns0:f>
        <ns0:v>1049123.4901768113</ns0:v>
      </ns0:c>
      <ns0:c r="V705" s="16">
        <ns0:f>Q705-F705*'前提と出典'!$E$5</ns0:f>
        <ns0:v>401184.6133896189</ns0:v>
      </ns0:c>
      <ns0:c r="W705" s="7">
        <ns0:f>U705+V705</ns0:f>
        <ns0:v>1450308.1035664303</ns0:v>
      </ns0:c>
      <ns0:c r="X705" s="16">
        <ns0:f>P705-E705*'前提と出典'!$E$6</ns0:f>
        <ns0:v>913483.869739873</ns0:v>
      </ns0:c>
      <ns0:c r="Y705" s="16">
        <ns0:f>Q705-F705*'前提と出典'!$E$6</ns0:f>
        <ns0:v>347950.9902623681</ns0:v>
      </ns0:c>
      <ns0:c r="Z705" s="7">
        <ns0:f>X705+Y705</ns0:f>
        <ns0:v>1261434.860002241</ns0:v>
      </ns0:c>
      <ns0:c r="AA705" s="7">
        <ns0:f>IF(T705&gt;=0,A705,1001)</ns0:f>
        <ns0:v>701</ns0:v>
      </ns0:c>
      <ns0:c r="AB705" s="7">
        <ns0:f>IF(T705&lt;0,A705,0)</ns0:f>
        <ns0:v>0</ns0:v>
      </ns0:c>
      <ns0:c r="AC705" s="16">
        <ns0:f>IF(AND(OR('前提と出典'!$C$36+'前提と出典'!$C$38=0,R705&gt;=0),OR('前提と出典'!$C$37+'前提と出典'!$C$38=0,S705&gt;=0)),0,A705)</ns0:f>
        <ns0:v>0</ns0:v>
      </ns0:c>
      <ns0:c r="AD705" s="7">
        <ns0:f>IF(W705&gt;=0,A705,1001)</ns0:f>
        <ns0:v>701</ns0:v>
      </ns0:c>
      <ns0:c r="AE705" s="7">
        <ns0:f>IF(W705&lt;0,A705,0)</ns0:f>
        <ns0:v>0</ns0:v>
      </ns0:c>
      <ns0:c r="AF705" s="16">
        <ns0:f>IF(AND(OR('前提と出典'!$C$36+'前提と出典'!$C$38=0,U705&gt;=0),OR('前提と出典'!$C$37+'前提と出典'!$C$38=0,V705&gt;=0)),0,A705)</ns0:f>
        <ns0:v>0</ns0:v>
      </ns0:c>
      <ns0:c r="AG705" s="7">
        <ns0:f>IF(Z705&gt;=0,A705,1001)</ns0:f>
        <ns0:v>701</ns0:v>
      </ns0:c>
      <ns0:c r="AH705" s="4">
        <ns0:f>IF(Z705&lt;0,A705,0)</ns0:f>
        <ns0:v>0</ns0:v>
      </ns0:c>
      <ns0:c r="AI705" s="12">
        <ns0:f>IF(AND(OR('前提と出典'!$C$36+'前提と出典'!$C$38=0,X705&gt;=0),OR('前提と出典'!$C$37+'前提と出典'!$C$38=0,Y705&gt;=0)),0,A705)</ns0:f>
        <ns0:v>0</ns0:v>
      </ns0:c>
    </ns0:row>
    <ns0:row r="706" ht="24" customHeight="1">
      <ns0:c r="A706" s="4" t="n">
        <ns0:v>702</ns0:v>
      </ns0:c>
      <ns0:c r="B706" s="12">
        <ns0:f>A706*('前提と出典'!$C$36+'前提と出典'!$C$38)</ns0:f>
        <ns0:v>491.4</ns0:v>
      </ns0:c>
      <ns0:c r="C706" s="12">
        <ns0:f>A706*('前提と出典'!$C$37+'前提と出典'!$C$38)</ns0:f>
        <ns0:v>421.2</ns0:v>
      </ns0:c>
      <ns0:c r="D706" s="16">
        <ns0:f>A706*('前提と出典'!$C$36*'契約別単価'!C5+'前提と出典'!$C$37*'契約別単価'!C6+'前提と出典'!$C$38*'契約別単価'!C7)</ns0:f>
        <ns0:v>5051.262569832402</ns0:v>
      </ns0:c>
      <ns0:c r="E706" s="16">
        <ns0:f>A706*('前提と出典'!$C$36*'契約別単価'!E5+'前提と出典'!$C$37*'契約別単価'!E6+'前提と出典'!$C$38*'契約別単価'!E7)</ns0:f>
        <ns0:v>1358331.149026121</ns0:v>
      </ns0:c>
      <ns0:c r="F706" s="16">
        <ns0:f>A706*('前提と出典'!$C$36*'契約別単価'!F5+'前提と出典'!$C$37*'契約別単価'!F6+'前提と出典'!$C$38*'契約別単価'!F7)</ns0:f>
        <ns0:v>533095.626752212</ns0:v>
      </ns0:c>
      <ns0:c r="G706" s="16">
        <ns0:f>A706*('前提と出典'!$C$36*'契約別単価'!G5+'前提と出典'!$C$37*'契約別単価'!G6+'前提と出典'!$C$38*'契約別単価'!G7)</ns0:f>
        <ns0:v>1397332.9608938547</ns0:v>
      </ns0:c>
      <ns0:c r="H706" s="16">
        <ns0:f>A706*('前提と出典'!$C$36*'契約別単価'!H5+'前提と出典'!$C$37*'契約別単価'!H6+'前提と出典'!$C$38*'契約別単価'!H7)</ns0:f>
        <ns0:v>484944.61918531195</ns0:v>
      </ns0:c>
      <ns0:c r="I706" s="16">
        <ns0:f>A706*('前提と出典'!$C$36*'契約別単価'!I5+'前提と出典'!$C$37*'契約別単価'!I6+'前提と出典'!$C$38*'契約別単価'!I7)</ns0:f>
        <ns0:v>29621.262569832397</ns0:v>
      </ns0:c>
      <ns0:c r="J706" s="16">
        <ns0:f>A706*('前提と出典'!$C$36*'契約別単価'!J5+'前提と出典'!$C$37*'契約別単価'!J6+'前提と出典'!$C$38*'契約別単価'!J7)</ns0:f>
        <ns0:v>68999.2596846324</ns0:v>
      </ns0:c>
      <ns0:c r="K706" s="16">
        <ns0:f>A706*('前提と出典'!$C$36*'契約別単価'!K5+'前提と出典'!$C$37*'契約別単価'!K6+'前提と出典'!$C$38*'契約別単価'!K7)</ns0:f>
        <ns0:v>295755.08379888267</ns0:v>
      </ns0:c>
      <ns0:c r="L706" s="16">
        <ns0:f>A706*('前提と出典'!$C$36*'契約別単価'!L5+'前提と出典'!$C$37*'契約別単価'!L6+'前提と出典'!$C$38*'契約別単価'!L7)</ns0:f>
        <ns0:v>240804.82063951038</ns0:v>
      </ns0:c>
      <ns0:c r="M706" s="16">
        <ns0:f>IF(('前提と出典'!$C$36+'前提と出典'!$C$38)=0,0,IF(B706&lt;=10,'前提と出典'!B73+'前提と出典'!C73,IF(B706&lt;=100,'前提と出典'!B74+'前提と出典'!C74,IF(B706&lt;=500,'前提と出典'!B75+'前提と出典'!C75,'前提と出典'!B76+'前提と出典'!C76))))</ns0:f>
        <ns0:v>40000</ns0:v>
      </ns0:c>
      <ns0:c r="N706" s="16">
        <ns0:f>IF(('前提と出典'!$C$37+'前提と出典'!$C$38)=0,0,IF(C706&lt;=10,'前提と出典'!D73+'前提と出典'!E73,IF(C706&lt;=100,'前提と出典'!D74+'前提と出典'!E74,IF(C706&lt;=500,'前提と出典'!D75+'前提と出典'!E75,'前提と出典'!D76+'前提と出典'!E76))))</ns0:f>
        <ns0:v>56510.9346263078</ns0:v>
      </ns0:c>
      <ns0:c r="O706" s="16">
        <ns0:f>IF('前提と出典'!$C$36+'前提と出典'!$C$38=0,0,'前提と出典'!$B$4*IF('前提と出典'!$B$20=0,MAX('前提と出典'!$B$6,D706*'前提と出典'!$B$5),'前提と出典'!$B$6+D706*'前提と出典'!$B$5))</ns0:f>
        <ns0:v>697074.2346368715</ns0:v>
      </ns0:c>
      <ns0:c r="P706" s="16">
        <ns0:f>(E706+G706)*(1-'前提と出典'!$B$7)-I706-K706-M706-O706</ns0:f>
        <ns0:v>1594009.62095727</ns0:v>
      </ns0:c>
      <ns0:c r="Q706" s="16">
        <ns0:f>(F706+H706)*(1-'前提と出典'!$B$7)-J706-L706-N706</ns0:f>
        <ns0:v>615075.7821333224</ns0:v>
      </ns0:c>
      <ns0:c r="R706" s="16">
        <ns0:f>P706-E706*'前提と出典'!$E$4</ns0:f>
        <ns0:v>1186510.2762494334</ns0:v>
      </ns0:c>
      <ns0:c r="S706" s="16">
        <ns0:f>Q706-F706*'前提と出典'!$E$4</ns0:f>
        <ns0:v>455147.09410765884</ns0:v>
      </ns0:c>
      <ns0:c r="T706" s="7">
        <ns0:f>R706+S706</ns0:f>
        <ns0:v>1641657.3703570922</ns0:v>
      </ns0:c>
      <ns0:c r="U706" s="16">
        <ns0:f>P706-E706*'前提と出典'!$E$5</ns0:f>
        <ns0:v>1050677.1613468216</ns0:v>
      </ns0:c>
      <ns0:c r="V706" s="16">
        <ns0:f>Q706-F706*'前提と出典'!$E$5</ns0:f>
        <ns0:v>401837.5314324377</ns0:v>
      </ns0:c>
      <ns0:c r="W706" s="7">
        <ns0:f>U706+V706</ns0:f>
        <ns0:v>1452514.6927792593</ns0:v>
      </ns0:c>
      <ns0:c r="X706" s="16">
        <ns0:f>P706-E706*'前提と出典'!$E$6</ns0:f>
        <ns0:v>914844.0464442094</ns0:v>
      </ns0:c>
      <ns0:c r="Y706" s="16">
        <ns0:f>Q706-F706*'前提と出典'!$E$6</ns0:f>
        <ns0:v>348527.96875721647</ns0:v>
      </ns0:c>
      <ns0:c r="Z706" s="7">
        <ns0:f>X706+Y706</ns0:f>
        <ns0:v>1263372.0152014259</ns0:v>
      </ns0:c>
      <ns0:c r="AA706" s="7">
        <ns0:f>IF(T706&gt;=0,A706,1001)</ns0:f>
        <ns0:v>702</ns0:v>
      </ns0:c>
      <ns0:c r="AB706" s="7">
        <ns0:f>IF(T706&lt;0,A706,0)</ns0:f>
        <ns0:v>0</ns0:v>
      </ns0:c>
      <ns0:c r="AC706" s="16">
        <ns0:f>IF(AND(OR('前提と出典'!$C$36+'前提と出典'!$C$38=0,R706&gt;=0),OR('前提と出典'!$C$37+'前提と出典'!$C$38=0,S706&gt;=0)),0,A706)</ns0:f>
        <ns0:v>0</ns0:v>
      </ns0:c>
      <ns0:c r="AD706" s="7">
        <ns0:f>IF(W706&gt;=0,A706,1001)</ns0:f>
        <ns0:v>702</ns0:v>
      </ns0:c>
      <ns0:c r="AE706" s="7">
        <ns0:f>IF(W706&lt;0,A706,0)</ns0:f>
        <ns0:v>0</ns0:v>
      </ns0:c>
      <ns0:c r="AF706" s="16">
        <ns0:f>IF(AND(OR('前提と出典'!$C$36+'前提と出典'!$C$38=0,U706&gt;=0),OR('前提と出典'!$C$37+'前提と出典'!$C$38=0,V706&gt;=0)),0,A706)</ns0:f>
        <ns0:v>0</ns0:v>
      </ns0:c>
      <ns0:c r="AG706" s="7">
        <ns0:f>IF(Z706&gt;=0,A706,1001)</ns0:f>
        <ns0:v>702</ns0:v>
      </ns0:c>
      <ns0:c r="AH706" s="4">
        <ns0:f>IF(Z706&lt;0,A706,0)</ns0:f>
        <ns0:v>0</ns0:v>
      </ns0:c>
      <ns0:c r="AI706" s="12">
        <ns0:f>IF(AND(OR('前提と出典'!$C$36+'前提と出典'!$C$38=0,X706&gt;=0),OR('前提と出典'!$C$37+'前提と出典'!$C$38=0,Y706&gt;=0)),0,A706)</ns0:f>
        <ns0:v>0</ns0:v>
      </ns0:c>
    </ns0:row>
    <ns0:row r="707" ht="24" customHeight="1">
      <ns0:c r="A707" s="4" t="n">
        <ns0:v>703</ns0:v>
      </ns0:c>
      <ns0:c r="B707" s="12">
        <ns0:f>A707*('前提と出典'!$C$36+'前提と出典'!$C$38)</ns0:f>
        <ns0:v>492.09999999999997</ns0:v>
      </ns0:c>
      <ns0:c r="C707" s="12">
        <ns0:f>A707*('前提と出典'!$C$37+'前提と出典'!$C$38)</ns0:f>
        <ns0:v>421.8</ns0:v>
      </ns0:c>
      <ns0:c r="D707" s="16">
        <ns0:f>A707*('前提と出典'!$C$36*'契約別単価'!C5+'前提と出典'!$C$37*'契約別単価'!C6+'前提と出典'!$C$38*'契約別単価'!C7)</ns0:f>
        <ns0:v>5058.458100558659</ns0:v>
      </ns0:c>
      <ns0:c r="E707" s="16">
        <ns0:f>A707*('前提と出典'!$C$36*'契約別単価'!E5+'前提と出典'!$C$37*'契約別単価'!E6+'前提と出典'!$C$38*'契約別単価'!E7)</ns0:f>
        <ns0:v>1360266.0936828533</ns0:v>
      </ns0:c>
      <ns0:c r="F707" s="16">
        <ns0:f>A707*('前提と出典'!$C$36*'契約別単価'!F5+'前提と出典'!$C$37*'契約別単価'!F6+'前提と出典'!$C$38*'契約別単価'!F7)</ns0:f>
        <ns0:v>533855.0222319158</ns0:v>
      </ns0:c>
      <ns0:c r="G707" s="16">
        <ns0:f>A707*('前提と出典'!$C$36*'契約別単価'!G5+'前提と出典'!$C$37*'契約別単価'!G6+'前提と出典'!$C$38*'契約別単価'!G7)</ns0:f>
        <ns0:v>1399323.4636871507</ns0:v>
      </ns0:c>
      <ns0:c r="H707" s="16">
        <ns0:f>A707*('前提と出典'!$C$36*'契約別単価'!H5+'前提と出典'!$C$37*'契約別単価'!H6+'前提と出典'!$C$38*'契約別単価'!H7)</ns0:f>
        <ns0:v>485635.42348614574</ns0:v>
      </ns0:c>
      <ns0:c r="I707" s="16">
        <ns0:f>A707*('前提と出典'!$C$36*'契約別単価'!I5+'前提と出典'!$C$37*'契約別単価'!I6+'前提と出典'!$C$38*'契約別単価'!I7)</ns0:f>
        <ns0:v>29663.458100558655</ns0:v>
      </ns0:c>
      <ns0:c r="J707" s="16">
        <ns0:f>A707*('前提と出典'!$C$36*'契約別単価'!J5+'前提と出典'!$C$37*'契約別単価'!J6+'前提と出典'!$C$38*'契約別単価'!J7)</ns0:f>
        <ns0:v>69097.5492283427</ns0:v>
      </ns0:c>
      <ns0:c r="K707" s="16">
        <ns0:f>A707*('前提と出典'!$C$36*'契約別単価'!K5+'前提と出典'!$C$37*'契約別単価'!K6+'前提と出典'!$C$38*'契約別単価'!K7)</ns0:f>
        <ns0:v>296176.38733705773</ns0:v>
      </ns0:c>
      <ns0:c r="L707" s="16">
        <ns0:f>A707*('前提と出典'!$C$36*'契約別単価'!L5+'前提と出典'!$C$37*'契約別単価'!L6+'前提と出典'!$C$38*'契約別単価'!L7)</ns0:f>
        <ns0:v>241147.84744953818</ns0:v>
      </ns0:c>
      <ns0:c r="M707" s="16">
        <ns0:f>IF(('前提と出典'!$C$36+'前提と出典'!$C$38)=0,0,IF(B707&lt;=10,'前提と出典'!B73+'前提と出典'!C73,IF(B707&lt;=100,'前提と出典'!B74+'前提と出典'!C74,IF(B707&lt;=500,'前提と出典'!B75+'前提と出典'!C75,'前提と出典'!B76+'前提と出典'!C76))))</ns0:f>
        <ns0:v>40000</ns0:v>
      </ns0:c>
      <ns0:c r="N707" s="16">
        <ns0:f>IF(('前提と出典'!$C$37+'前提と出典'!$C$38)=0,0,IF(C707&lt;=10,'前提と出典'!D73+'前提と出典'!E73,IF(C707&lt;=100,'前提と出典'!D74+'前提と出典'!E74,IF(C707&lt;=500,'前提と出典'!D75+'前提と出典'!E75,'前提と出典'!D76+'前提と出典'!E76))))</ns0:f>
        <ns0:v>56510.9346263078</ns0:v>
      </ns0:c>
      <ns0:c r="O707" s="16">
        <ns0:f>IF('前提と出典'!$C$36+'前提と出典'!$C$38=0,0,'前提と出典'!$B$4*IF('前提と出典'!$B$20=0,MAX('前提と出典'!$B$6,D707*'前提と出典'!$B$5),'前提と出典'!$B$6+D707*'前提と出典'!$B$5))</ns0:f>
        <ns0:v>698067.217877095</ns0:v>
      </ns0:c>
      <ns0:c r="P707" s="16">
        <ns0:f>(E707+G707)*(1-'前提と出典'!$B$7)-I707-K707-M707-O707</ns0:f>
        <ns0:v>1596337.2699899722</ns0:v>
      </ns0:c>
      <ns0:c r="Q707" s="16">
        <ns0:f>(F707+H707)*(1-'前提と出典'!$B$7)-J707-L707-N707</ns0:f>
        <ns0:v>616032.4583680227</ns0:v>
      </ns0:c>
      <ns0:c r="R707" s="16">
        <ns0:f>P707-E707*'前提と出典'!$E$4</ns0:f>
        <ns0:v>1188257.4418851165</ns0:v>
      </ns0:c>
      <ns0:c r="S707" s="16">
        <ns0:f>Q707-F707*'前提と出典'!$E$4</ns0:f>
        <ns0:v>455875.9516984479</ns0:v>
      </ns0:c>
      <ns0:c r="T707" s="7">
        <ns0:f>R707+S707</ns0:f>
        <ns0:v>1644133.3935835646</ns0:v>
      </ns0:c>
      <ns0:c r="U707" s="16">
        <ns0:f>P707-E707*'前提と出典'!$E$5</ns0:f>
        <ns0:v>1052230.8325168309</ns0:v>
      </ns0:c>
      <ns0:c r="V707" s="16">
        <ns0:f>Q707-F707*'前提と出典'!$E$5</ns0:f>
        <ns0:v>402490.4494752564</ns0:v>
      </ns0:c>
      <ns0:c r="W707" s="7">
        <ns0:f>U707+V707</ns0:f>
        <ns0:v>1454721.2819920871</ns0:v>
      </ns0:c>
      <ns0:c r="X707" s="16">
        <ns0:f>P707-E707*'前提と出典'!$E$6</ns0:f>
        <ns0:v>916204.2231485458</ns0:v>
      </ns0:c>
      <ns0:c r="Y707" s="16">
        <ns0:f>Q707-F707*'前提と出典'!$E$6</ns0:f>
        <ns0:v>349104.9472520647</ns0:v>
      </ns0:c>
      <ns0:c r="Z707" s="7">
        <ns0:f>X707+Y707</ns0:f>
        <ns0:v>1265309.1704006107</ns0:v>
      </ns0:c>
      <ns0:c r="AA707" s="7">
        <ns0:f>IF(T707&gt;=0,A707,1001)</ns0:f>
        <ns0:v>703</ns0:v>
      </ns0:c>
      <ns0:c r="AB707" s="7">
        <ns0:f>IF(T707&lt;0,A707,0)</ns0:f>
        <ns0:v>0</ns0:v>
      </ns0:c>
      <ns0:c r="AC707" s="16">
        <ns0:f>IF(AND(OR('前提と出典'!$C$36+'前提と出典'!$C$38=0,R707&gt;=0),OR('前提と出典'!$C$37+'前提と出典'!$C$38=0,S707&gt;=0)),0,A707)</ns0:f>
        <ns0:v>0</ns0:v>
      </ns0:c>
      <ns0:c r="AD707" s="7">
        <ns0:f>IF(W707&gt;=0,A707,1001)</ns0:f>
        <ns0:v>703</ns0:v>
      </ns0:c>
      <ns0:c r="AE707" s="7">
        <ns0:f>IF(W707&lt;0,A707,0)</ns0:f>
        <ns0:v>0</ns0:v>
      </ns0:c>
      <ns0:c r="AF707" s="16">
        <ns0:f>IF(AND(OR('前提と出典'!$C$36+'前提と出典'!$C$38=0,U707&gt;=0),OR('前提と出典'!$C$37+'前提と出典'!$C$38=0,V707&gt;=0)),0,A707)</ns0:f>
        <ns0:v>0</ns0:v>
      </ns0:c>
      <ns0:c r="AG707" s="7">
        <ns0:f>IF(Z707&gt;=0,A707,1001)</ns0:f>
        <ns0:v>703</ns0:v>
      </ns0:c>
      <ns0:c r="AH707" s="4">
        <ns0:f>IF(Z707&lt;0,A707,0)</ns0:f>
        <ns0:v>0</ns0:v>
      </ns0:c>
      <ns0:c r="AI707" s="12">
        <ns0:f>IF(AND(OR('前提と出典'!$C$36+'前提と出典'!$C$38=0,X707&gt;=0),OR('前提と出典'!$C$37+'前提と出典'!$C$38=0,Y707&gt;=0)),0,A707)</ns0:f>
        <ns0:v>0</ns0:v>
      </ns0:c>
    </ns0:row>
    <ns0:row r="708" ht="24" customHeight="1">
      <ns0:c r="A708" s="4" t="n">
        <ns0:v>704</ns0:v>
      </ns0:c>
      <ns0:c r="B708" s="12">
        <ns0:f>A708*('前提と出典'!$C$36+'前提と出典'!$C$38)</ns0:f>
        <ns0:v>492.79999999999995</ns0:v>
      </ns0:c>
      <ns0:c r="C708" s="12">
        <ns0:f>A708*('前提と出典'!$C$37+'前提と出典'!$C$38)</ns0:f>
        <ns0:v>422.4</ns0:v>
      </ns0:c>
      <ns0:c r="D708" s="16">
        <ns0:f>A708*('前提と出典'!$C$36*'契約別単価'!C5+'前提と出典'!$C$37*'契約別単価'!C6+'前提と出典'!$C$38*'契約別単価'!C7)</ns0:f>
        <ns0:v>5065.653631284917</ns0:v>
      </ns0:c>
      <ns0:c r="E708" s="16">
        <ns0:f>A708*('前提と出典'!$C$36*'契約別単価'!E5+'前提と出典'!$C$37*'契約別単価'!E6+'前提と出典'!$C$38*'契約別単価'!E7)</ns0:f>
        <ns0:v>1362201.0383395855</ns0:v>
      </ns0:c>
      <ns0:c r="F708" s="16">
        <ns0:f>A708*('前提と出典'!$C$36*'契約別単価'!F5+'前提と出典'!$C$37*'契約別単価'!F6+'前提と出典'!$C$38*'契約別単価'!F7)</ns0:f>
        <ns0:v>534614.4177116199</ns0:v>
      </ns0:c>
      <ns0:c r="G708" s="16">
        <ns0:f>A708*('前提と出典'!$C$36*'契約別単価'!G5+'前提と出典'!$C$37*'契約別単価'!G6+'前提と出典'!$C$38*'契約別単価'!G7)</ns0:f>
        <ns0:v>1401313.966480447</ns0:v>
      </ns0:c>
      <ns0:c r="H708" s="16">
        <ns0:f>A708*('前提と出典'!$C$36*'契約別単価'!H5+'前提と出典'!$C$37*'契約別単価'!H6+'前提と出典'!$C$38*'契約別単価'!H7)</ns0:f>
        <ns0:v>486326.2277869795</ns0:v>
      </ns0:c>
      <ns0:c r="I708" s="16">
        <ns0:f>A708*('前提と出典'!$C$36*'契約別単価'!I5+'前提と出典'!$C$37*'契約別単価'!I6+'前提と出典'!$C$38*'契約別単価'!I7)</ns0:f>
        <ns0:v>29705.653631284913</ns0:v>
      </ns0:c>
      <ns0:c r="J708" s="16">
        <ns0:f>A708*('前提と出典'!$C$36*'契約別単価'!J5+'前提と出典'!$C$37*'契約別単価'!J6+'前提と出典'!$C$38*'契約別単価'!J7)</ns0:f>
        <ns0:v>69195.838772053</ns0:v>
      </ns0:c>
      <ns0:c r="K708" s="16">
        <ns0:f>A708*('前提と出典'!$C$36*'契約別単価'!K5+'前提と出典'!$C$37*'契約別単価'!K6+'前提と出典'!$C$38*'契約別単価'!K7)</ns0:f>
        <ns0:v>296597.69087523274</ns0:v>
      </ns0:c>
      <ns0:c r="L708" s="16">
        <ns0:f>A708*('前提と出典'!$C$36*'契約別単価'!L5+'前提と出典'!$C$37*'契約別単価'!L6+'前提と出典'!$C$38*'契約別単価'!L7)</ns0:f>
        <ns0:v>241490.874259566</ns0:v>
      </ns0:c>
      <ns0:c r="M708" s="16">
        <ns0:f>IF(('前提と出典'!$C$36+'前提と出典'!$C$38)=0,0,IF(B708&lt;=10,'前提と出典'!B73+'前提と出典'!C73,IF(B708&lt;=100,'前提と出典'!B74+'前提と出典'!C74,IF(B708&lt;=500,'前提と出典'!B75+'前提と出典'!C75,'前提と出典'!B76+'前提と出典'!C76))))</ns0:f>
        <ns0:v>40000</ns0:v>
      </ns0:c>
      <ns0:c r="N708" s="16">
        <ns0:f>IF(('前提と出典'!$C$37+'前提と出典'!$C$38)=0,0,IF(C708&lt;=10,'前提と出典'!D73+'前提と出典'!E73,IF(C708&lt;=100,'前提と出典'!D74+'前提と出典'!E74,IF(C708&lt;=500,'前提と出典'!D75+'前提と出典'!E75,'前提と出典'!D76+'前提と出典'!E76))))</ns0:f>
        <ns0:v>56510.9346263078</ns0:v>
      </ns0:c>
      <ns0:c r="O708" s="16">
        <ns0:f>IF('前提と出典'!$C$36+'前提と出典'!$C$38=0,0,'前提と出典'!$B$4*IF('前提と出典'!$B$20=0,MAX('前提と出典'!$B$6,D708*'前提と出典'!$B$5),'前提と出典'!$B$6+D708*'前提と出典'!$B$5))</ns0:f>
        <ns0:v>699060.2011173186</ns0:v>
      </ns0:c>
      <ns0:c r="P708" s="16">
        <ns0:f>(E708+G708)*(1-'前提と出典'!$B$7)-I708-K708-M708-O708</ns0:f>
        <ns0:v>1598664.919022675</ns0:v>
      </ns0:c>
      <ns0:c r="Q708" s="16">
        <ns0:f>(F708+H708)*(1-'前提と出典'!$B$7)-J708-L708-N708</ns0:f>
        <ns0:v>616989.1346027232</ns0:v>
      </ns0:c>
      <ns0:c r="R708" s="16">
        <ns0:f>P708-E708*'前提と出典'!$E$4</ns0:f>
        <ns0:v>1190004.6075207996</ns0:v>
      </ns0:c>
      <ns0:c r="S708" s="16">
        <ns0:f>Q708-F708*'前提と出典'!$E$4</ns0:f>
        <ns0:v>456604.80928923714</ns0:v>
      </ns0:c>
      <ns0:c r="T708" s="7">
        <ns0:f>R708+S708</ns0:f>
        <ns0:v>1646609.4168100366</ns0:v>
      </ns0:c>
      <ns0:c r="U708" s="16">
        <ns0:f>P708-E708*'前提と出典'!$E$5</ns0:f>
        <ns0:v>1053784.5036868406</ns0:v>
      </ns0:c>
      <ns0:c r="V708" s="16">
        <ns0:f>Q708-F708*'前提と出典'!$E$5</ns0:f>
        <ns0:v>403143.36751807516</ns0:v>
      </ns0:c>
      <ns0:c r="W708" s="7">
        <ns0:f>U708+V708</ns0:f>
        <ns0:v>1456927.871204916</ns0:v>
      </ns0:c>
      <ns0:c r="X708" s="16">
        <ns0:f>P708-E708*'前提と出典'!$E$6</ns0:f>
        <ns0:v>917564.3998528824</ns0:v>
      </ns0:c>
      <ns0:c r="Y708" s="16">
        <ns0:f>Q708-F708*'前提と出典'!$E$6</ns0:f>
        <ns0:v>349681.9257469132</ns0:v>
      </ns0:c>
      <ns0:c r="Z708" s="7">
        <ns0:f>X708+Y708</ns0:f>
        <ns0:v>1267246.3255997957</ns0:v>
      </ns0:c>
      <ns0:c r="AA708" s="7">
        <ns0:f>IF(T708&gt;=0,A708,1001)</ns0:f>
        <ns0:v>704</ns0:v>
      </ns0:c>
      <ns0:c r="AB708" s="7">
        <ns0:f>IF(T708&lt;0,A708,0)</ns0:f>
        <ns0:v>0</ns0:v>
      </ns0:c>
      <ns0:c r="AC708" s="16">
        <ns0:f>IF(AND(OR('前提と出典'!$C$36+'前提と出典'!$C$38=0,R708&gt;=0),OR('前提と出典'!$C$37+'前提と出典'!$C$38=0,S708&gt;=0)),0,A708)</ns0:f>
        <ns0:v>0</ns0:v>
      </ns0:c>
      <ns0:c r="AD708" s="7">
        <ns0:f>IF(W708&gt;=0,A708,1001)</ns0:f>
        <ns0:v>704</ns0:v>
      </ns0:c>
      <ns0:c r="AE708" s="7">
        <ns0:f>IF(W708&lt;0,A708,0)</ns0:f>
        <ns0:v>0</ns0:v>
      </ns0:c>
      <ns0:c r="AF708" s="16">
        <ns0:f>IF(AND(OR('前提と出典'!$C$36+'前提と出典'!$C$38=0,U708&gt;=0),OR('前提と出典'!$C$37+'前提と出典'!$C$38=0,V708&gt;=0)),0,A708)</ns0:f>
        <ns0:v>0</ns0:v>
      </ns0:c>
      <ns0:c r="AG708" s="7">
        <ns0:f>IF(Z708&gt;=0,A708,1001)</ns0:f>
        <ns0:v>704</ns0:v>
      </ns0:c>
      <ns0:c r="AH708" s="4">
        <ns0:f>IF(Z708&lt;0,A708,0)</ns0:f>
        <ns0:v>0</ns0:v>
      </ns0:c>
      <ns0:c r="AI708" s="12">
        <ns0:f>IF(AND(OR('前提と出典'!$C$36+'前提と出典'!$C$38=0,X708&gt;=0),OR('前提と出典'!$C$37+'前提と出典'!$C$38=0,Y708&gt;=0)),0,A708)</ns0:f>
        <ns0:v>0</ns0:v>
      </ns0:c>
    </ns0:row>
    <ns0:row r="709" ht="24" customHeight="1">
      <ns0:c r="A709" s="4" t="n">
        <ns0:v>705</ns0:v>
      </ns0:c>
      <ns0:c r="B709" s="12">
        <ns0:f>A709*('前提と出典'!$C$36+'前提と出典'!$C$38)</ns0:f>
        <ns0:v>493.49999999999994</ns0:v>
      </ns0:c>
      <ns0:c r="C709" s="12">
        <ns0:f>A709*('前提と出典'!$C$37+'前提と出典'!$C$38)</ns0:f>
        <ns0:v>423</ns0:v>
      </ns0:c>
      <ns0:c r="D709" s="16">
        <ns0:f>A709*('前提と出典'!$C$36*'契約別単価'!C5+'前提と出典'!$C$37*'契約別単価'!C6+'前提と出典'!$C$38*'契約別単価'!C7)</ns0:f>
        <ns0:v>5072.849162011174</ns0:v>
      </ns0:c>
      <ns0:c r="E709" s="16">
        <ns0:f>A709*('前提と出典'!$C$36*'契約別単価'!E5+'前提と出典'!$C$37*'契約別単価'!E6+'前提と出典'!$C$38*'契約別単価'!E7)</ns0:f>
        <ns0:v>1364135.982996318</ns0:v>
      </ns0:c>
      <ns0:c r="F709" s="16">
        <ns0:f>A709*('前提と出典'!$C$36*'契約別単価'!F5+'前提と出典'!$C$37*'契約別単価'!F6+'前提と出典'!$C$38*'契約別単価'!F7)</ns0:f>
        <ns0:v>535373.8131913239</ns0:v>
      </ns0:c>
      <ns0:c r="G709" s="16">
        <ns0:f>A709*('前提と出典'!$C$36*'契約別単価'!G5+'前提と出典'!$C$37*'契約別単価'!G6+'前提と出典'!$C$38*'契約別単価'!G7)</ns0:f>
        <ns0:v>1403304.469273743</ns0:v>
      </ns0:c>
      <ns0:c r="H709" s="16">
        <ns0:f>A709*('前提と出典'!$C$36*'契約別単価'!H5+'前提と出典'!$C$37*'契約別単価'!H6+'前提と出典'!$C$38*'契約別単価'!H7)</ns0:f>
        <ns0:v>487017.03208781325</ns0:v>
      </ns0:c>
      <ns0:c r="I709" s="16">
        <ns0:f>A709*('前提と出典'!$C$36*'契約別単価'!I5+'前提と出典'!$C$37*'契約別単価'!I6+'前提と出典'!$C$38*'契約別単価'!I7)</ns0:f>
        <ns0:v>29747.849162011167</ns0:v>
      </ns0:c>
      <ns0:c r="J709" s="16">
        <ns0:f>A709*('前提と出典'!$C$36*'契約別単価'!J5+'前提と出典'!$C$37*'契約別単価'!J6+'前提と出典'!$C$38*'契約別単価'!J7)</ns0:f>
        <ns0:v>69294.12831576332</ns0:v>
      </ns0:c>
      <ns0:c r="K709" s="16">
        <ns0:f>A709*('前提と出典'!$C$36*'契約別単価'!K5+'前提と出典'!$C$37*'契約別単価'!K6+'前提と出典'!$C$38*'契約別単価'!K7)</ns0:f>
        <ns0:v>297018.9944134078</ns0:v>
      </ns0:c>
      <ns0:c r="L709" s="16">
        <ns0:f>A709*('前提と出典'!$C$36*'契約別単価'!L5+'前提と出典'!$C$37*'契約別単価'!L6+'前提と出典'!$C$38*'契約別単価'!L7)</ns0:f>
        <ns0:v>241833.90106959376</ns0:v>
      </ns0:c>
      <ns0:c r="M709" s="16">
        <ns0:f>IF(('前提と出典'!$C$36+'前提と出典'!$C$38)=0,0,IF(B709&lt;=10,'前提と出典'!B73+'前提と出典'!C73,IF(B709&lt;=100,'前提と出典'!B74+'前提と出典'!C74,IF(B709&lt;=500,'前提と出典'!B75+'前提と出典'!C75,'前提と出典'!B76+'前提と出典'!C76))))</ns0:f>
        <ns0:v>40000</ns0:v>
      </ns0:c>
      <ns0:c r="N709" s="16">
        <ns0:f>IF(('前提と出典'!$C$37+'前提と出典'!$C$38)=0,0,IF(C709&lt;=10,'前提と出典'!D73+'前提と出典'!E73,IF(C709&lt;=100,'前提と出典'!D74+'前提と出典'!E74,IF(C709&lt;=500,'前提と出典'!D75+'前提と出典'!E75,'前提と出典'!D76+'前提と出典'!E76))))</ns0:f>
        <ns0:v>56510.9346263078</ns0:v>
      </ns0:c>
      <ns0:c r="O709" s="16">
        <ns0:f>IF('前提と出典'!$C$36+'前提と出典'!$C$38=0,0,'前提と出典'!$B$4*IF('前提と出典'!$B$20=0,MAX('前提と出典'!$B$6,D709*'前提と出典'!$B$5),'前提と出典'!$B$6+D709*'前提と出典'!$B$5))</ns0:f>
        <ns0:v>700053.184357542</ns0:v>
      </ns0:c>
      <ns0:c r="P709" s="16">
        <ns0:f>(E709+G709)*(1-'前提と出典'!$B$7)-I709-K709-M709-O709</ns0:f>
        <ns0:v>1600992.5680553778</ns0:v>
      </ns0:c>
      <ns0:c r="Q709" s="16">
        <ns0:f>(F709+H709)*(1-'前提と出典'!$B$7)-J709-L709-N709</ns0:f>
        <ns0:v>617945.8108374233</ns0:v>
      </ns0:c>
      <ns0:c r="R709" s="16">
        <ns0:f>P709-E709*'前提と出典'!$E$4</ns0:f>
        <ns0:v>1191751.7731564827</ns0:v>
      </ns0:c>
      <ns0:c r="S709" s="16">
        <ns0:f>Q709-F709*'前提と出典'!$E$4</ns0:f>
        <ns0:v>457333.6668800261</ns0:v>
      </ns0:c>
      <ns0:c r="T709" s="7">
        <ns0:f>R709+S709</ns0:f>
        <ns0:v>1649085.4400365087</ns0:v>
      </ns0:c>
      <ns0:c r="U709" s="16">
        <ns0:f>P709-E709*'前提と出典'!$E$5</ns0:f>
        <ns0:v>1055338.1748568504</ns0:v>
      </ns0:c>
      <ns0:c r="V709" s="16">
        <ns0:f>Q709-F709*'前提と出典'!$E$5</ns0:f>
        <ns0:v>403796.2855608937</ns0:v>
      </ns0:c>
      <ns0:c r="W709" s="7">
        <ns0:f>U709+V709</ns0:f>
        <ns0:v>1459134.4604177442</ns0:v>
      </ns0:c>
      <ns0:c r="X709" s="16">
        <ns0:f>P709-E709*'前提と出典'!$E$6</ns0:f>
        <ns0:v>918924.5765572187</ns0:v>
      </ns0:c>
      <ns0:c r="Y709" s="16">
        <ns0:f>Q709-F709*'前提と出典'!$E$6</ns0:f>
        <ns0:v>350258.9042417613</ns0:v>
      </ns0:c>
      <ns0:c r="Z709" s="7">
        <ns0:f>X709+Y709</ns0:f>
        <ns0:v>1269183.48079898</ns0:v>
      </ns0:c>
      <ns0:c r="AA709" s="7">
        <ns0:f>IF(T709&gt;=0,A709,1001)</ns0:f>
        <ns0:v>705</ns0:v>
      </ns0:c>
      <ns0:c r="AB709" s="7">
        <ns0:f>IF(T709&lt;0,A709,0)</ns0:f>
        <ns0:v>0</ns0:v>
      </ns0:c>
      <ns0:c r="AC709" s="16">
        <ns0:f>IF(AND(OR('前提と出典'!$C$36+'前提と出典'!$C$38=0,R709&gt;=0),OR('前提と出典'!$C$37+'前提と出典'!$C$38=0,S709&gt;=0)),0,A709)</ns0:f>
        <ns0:v>0</ns0:v>
      </ns0:c>
      <ns0:c r="AD709" s="7">
        <ns0:f>IF(W709&gt;=0,A709,1001)</ns0:f>
        <ns0:v>705</ns0:v>
      </ns0:c>
      <ns0:c r="AE709" s="7">
        <ns0:f>IF(W709&lt;0,A709,0)</ns0:f>
        <ns0:v>0</ns0:v>
      </ns0:c>
      <ns0:c r="AF709" s="16">
        <ns0:f>IF(AND(OR('前提と出典'!$C$36+'前提と出典'!$C$38=0,U709&gt;=0),OR('前提と出典'!$C$37+'前提と出典'!$C$38=0,V709&gt;=0)),0,A709)</ns0:f>
        <ns0:v>0</ns0:v>
      </ns0:c>
      <ns0:c r="AG709" s="7">
        <ns0:f>IF(Z709&gt;=0,A709,1001)</ns0:f>
        <ns0:v>705</ns0:v>
      </ns0:c>
      <ns0:c r="AH709" s="4">
        <ns0:f>IF(Z709&lt;0,A709,0)</ns0:f>
        <ns0:v>0</ns0:v>
      </ns0:c>
      <ns0:c r="AI709" s="12">
        <ns0:f>IF(AND(OR('前提と出典'!$C$36+'前提と出典'!$C$38=0,X709&gt;=0),OR('前提と出典'!$C$37+'前提と出典'!$C$38=0,Y709&gt;=0)),0,A709)</ns0:f>
        <ns0:v>0</ns0:v>
      </ns0:c>
    </ns0:row>
    <ns0:row r="710" ht="24" customHeight="1">
      <ns0:c r="A710" s="4" t="n">
        <ns0:v>706</ns0:v>
      </ns0:c>
      <ns0:c r="B710" s="12">
        <ns0:f>A710*('前提と出典'!$C$36+'前提と出典'!$C$38)</ns0:f>
        <ns0:v>494.2</ns0:v>
      </ns0:c>
      <ns0:c r="C710" s="12">
        <ns0:f>A710*('前提と出典'!$C$37+'前提と出典'!$C$38)</ns0:f>
        <ns0:v>423.59999999999997</ns0:v>
      </ns0:c>
      <ns0:c r="D710" s="16">
        <ns0:f>A710*('前提と出典'!$C$36*'契約別単価'!C5+'前提と出典'!$C$37*'契約別単価'!C6+'前提と出典'!$C$38*'契約別単価'!C7)</ns0:f>
        <ns0:v>5080.0446927374305</ns0:v>
      </ns0:c>
      <ns0:c r="E710" s="16">
        <ns0:f>A710*('前提と出典'!$C$36*'契約別単価'!E5+'前提と出典'!$C$37*'契約別単価'!E6+'前提と出典'!$C$38*'契約別単価'!E7)</ns0:f>
        <ns0:v>1366070.9276530503</ns0:v>
      </ns0:c>
      <ns0:c r="F710" s="16">
        <ns0:f>A710*('前提と出典'!$C$36*'契約別単価'!F5+'前提と出典'!$C$37*'契約別単価'!F6+'前提と出典'!$C$38*'契約別単価'!F7)</ns0:f>
        <ns0:v>536133.2086710279</ns0:v>
      </ns0:c>
      <ns0:c r="G710" s="16">
        <ns0:f>A710*('前提と出典'!$C$36*'契約別単価'!G5+'前提と出典'!$C$37*'契約別単価'!G6+'前提と出典'!$C$38*'契約別単価'!G7)</ns0:f>
        <ns0:v>1405294.972067039</ns0:v>
      </ns0:c>
      <ns0:c r="H710" s="16">
        <ns0:f>A710*('前提と出典'!$C$36*'契約別単価'!H5+'前提と出典'!$C$37*'契約別単価'!H6+'前提と出典'!$C$38*'契約別単価'!H7)</ns0:f>
        <ns0:v>487707.83638864703</ns0:v>
      </ns0:c>
      <ns0:c r="I710" s="16">
        <ns0:f>A710*('前提と出典'!$C$36*'契約別単価'!I5+'前提と出典'!$C$37*'契約別単価'!I6+'前提と出典'!$C$38*'契約別単価'!I7)</ns0:f>
        <ns0:v>29790.044692737425</ns0:v>
      </ns0:c>
      <ns0:c r="J710" s="16">
        <ns0:f>A710*('前提と出典'!$C$36*'契約別単価'!J5+'前提と出典'!$C$37*'契約別単価'!J6+'前提と出典'!$C$38*'契約別単価'!J7)</ns0:f>
        <ns0:v>69392.41785947361</ns0:v>
      </ns0:c>
      <ns0:c r="K710" s="16">
        <ns0:f>A710*('前提と出典'!$C$36*'契約別単価'!K5+'前提と出典'!$C$37*'契約別単価'!K6+'前提と出典'!$C$38*'契約別単価'!K7)</ns0:f>
        <ns0:v>297440.2979515828</ns0:v>
      </ns0:c>
      <ns0:c r="L710" s="16">
        <ns0:f>A710*('前提と出典'!$C$36*'契約別単価'!L5+'前提と出典'!$C$37*'契約別単価'!L6+'前提と出典'!$C$38*'契約別単価'!L7)</ns0:f>
        <ns0:v>242176.92787962157</ns0:v>
      </ns0:c>
      <ns0:c r="M710" s="16">
        <ns0:f>IF(('前提と出典'!$C$36+'前提と出典'!$C$38)=0,0,IF(B710&lt;=10,'前提と出典'!B73+'前提と出典'!C73,IF(B710&lt;=100,'前提と出典'!B74+'前提と出典'!C74,IF(B710&lt;=500,'前提と出典'!B75+'前提と出典'!C75,'前提と出典'!B76+'前提と出典'!C76))))</ns0:f>
        <ns0:v>40000</ns0:v>
      </ns0:c>
      <ns0:c r="N710" s="16">
        <ns0:f>IF(('前提と出典'!$C$37+'前提と出典'!$C$38)=0,0,IF(C710&lt;=10,'前提と出典'!D73+'前提と出典'!E73,IF(C710&lt;=100,'前提と出典'!D74+'前提と出典'!E74,IF(C710&lt;=500,'前提と出典'!D75+'前提と出典'!E75,'前提と出典'!D76+'前提と出典'!E76))))</ns0:f>
        <ns0:v>56510.9346263078</ns0:v>
      </ns0:c>
      <ns0:c r="O710" s="16">
        <ns0:f>IF('前提と出典'!$C$36+'前提と出典'!$C$38=0,0,'前提と出典'!$B$4*IF('前提と出典'!$B$20=0,MAX('前提と出典'!$B$6,D710*'前提と出典'!$B$5),'前提と出典'!$B$6+D710*'前提と出典'!$B$5))</ns0:f>
        <ns0:v>701046.1675977655</ns0:v>
      </ns0:c>
      <ns0:c r="P710" s="16">
        <ns0:f>(E710+G710)*(1-'前提と出典'!$B$7)-I710-K710-M710-O710</ns0:f>
        <ns0:v>1603320.2170880805</ns0:v>
      </ns0:c>
      <ns0:c r="Q710" s="16">
        <ns0:f>(F710+H710)*(1-'前提と出典'!$B$7)-J710-L710-N710</ns0:f>
        <ns0:v>618902.4870721237</ns0:v>
      </ns0:c>
      <ns0:c r="R710" s="16">
        <ns0:f>P710-E710*'前提と出典'!$E$4</ns0:f>
        <ns0:v>1193498.9387921654</ns0:v>
      </ns0:c>
      <ns0:c r="S710" s="16">
        <ns0:f>Q710-F710*'前提と出典'!$E$4</ns0:f>
        <ns0:v>458062.52447081526</ns0:v>
      </ns0:c>
      <ns0:c r="T710" s="7">
        <ns0:f>R710+S710</ns0:f>
        <ns0:v>1651561.4632629806</ns0:v>
      </ns0:c>
      <ns0:c r="U710" s="16">
        <ns0:f>P710-E710*'前提と出典'!$E$5</ns0:f>
        <ns0:v>1056891.8460268602</ns0:v>
      </ns0:c>
      <ns0:c r="V710" s="16">
        <ns0:f>Q710-F710*'前提と出典'!$E$5</ns0:f>
        <ns0:v>404449.20360371243</ns0:v>
      </ns0:c>
      <ns0:c r="W710" s="7">
        <ns0:f>U710+V710</ns0:f>
        <ns0:v>1461341.0496305726</ns0:v>
      </ns0:c>
      <ns0:c r="X710" s="16">
        <ns0:f>P710-E710*'前提と出典'!$E$6</ns0:f>
        <ns0:v>920284.7532615556</ns0:v>
      </ns0:c>
      <ns0:c r="Y710" s="16">
        <ns0:f>Q710-F710*'前提と出典'!$E$6</ns0:f>
        <ns0:v>350835.8827366097</ns0:v>
      </ns0:c>
      <ns0:c r="Z710" s="7">
        <ns0:f>X710+Y710</ns0:f>
        <ns0:v>1271120.6359981652</ns0:v>
      </ns0:c>
      <ns0:c r="AA710" s="7">
        <ns0:f>IF(T710&gt;=0,A710,1001)</ns0:f>
        <ns0:v>706</ns0:v>
      </ns0:c>
      <ns0:c r="AB710" s="7">
        <ns0:f>IF(T710&lt;0,A710,0)</ns0:f>
        <ns0:v>0</ns0:v>
      </ns0:c>
      <ns0:c r="AC710" s="16">
        <ns0:f>IF(AND(OR('前提と出典'!$C$36+'前提と出典'!$C$38=0,R710&gt;=0),OR('前提と出典'!$C$37+'前提と出典'!$C$38=0,S710&gt;=0)),0,A710)</ns0:f>
        <ns0:v>0</ns0:v>
      </ns0:c>
      <ns0:c r="AD710" s="7">
        <ns0:f>IF(W710&gt;=0,A710,1001)</ns0:f>
        <ns0:v>706</ns0:v>
      </ns0:c>
      <ns0:c r="AE710" s="7">
        <ns0:f>IF(W710&lt;0,A710,0)</ns0:f>
        <ns0:v>0</ns0:v>
      </ns0:c>
      <ns0:c r="AF710" s="16">
        <ns0:f>IF(AND(OR('前提と出典'!$C$36+'前提と出典'!$C$38=0,U710&gt;=0),OR('前提と出典'!$C$37+'前提と出典'!$C$38=0,V710&gt;=0)),0,A710)</ns0:f>
        <ns0:v>0</ns0:v>
      </ns0:c>
      <ns0:c r="AG710" s="7">
        <ns0:f>IF(Z710&gt;=0,A710,1001)</ns0:f>
        <ns0:v>706</ns0:v>
      </ns0:c>
      <ns0:c r="AH710" s="4">
        <ns0:f>IF(Z710&lt;0,A710,0)</ns0:f>
        <ns0:v>0</ns0:v>
      </ns0:c>
      <ns0:c r="AI710" s="12">
        <ns0:f>IF(AND(OR('前提と出典'!$C$36+'前提と出典'!$C$38=0,X710&gt;=0),OR('前提と出典'!$C$37+'前提と出典'!$C$38=0,Y710&gt;=0)),0,A710)</ns0:f>
        <ns0:v>0</ns0:v>
      </ns0:c>
    </ns0:row>
    <ns0:row r="711" ht="24" customHeight="1">
      <ns0:c r="A711" s="4" t="n">
        <ns0:v>707</ns0:v>
      </ns0:c>
      <ns0:c r="B711" s="12">
        <ns0:f>A711*('前提と出典'!$C$36+'前提と出典'!$C$38)</ns0:f>
        <ns0:v>494.9</ns0:v>
      </ns0:c>
      <ns0:c r="C711" s="12">
        <ns0:f>A711*('前提と出典'!$C$37+'前提と出典'!$C$38)</ns0:f>
        <ns0:v>424.2</ns0:v>
      </ns0:c>
      <ns0:c r="D711" s="16">
        <ns0:f>A711*('前提と出典'!$C$36*'契約別単価'!C5+'前提と出典'!$C$37*'契約別単価'!C6+'前提と出典'!$C$38*'契約別単価'!C7)</ns0:f>
        <ns0:v>5087.2402234636875</ns0:v>
      </ns0:c>
      <ns0:c r="E711" s="16">
        <ns0:f>A711*('前提と出典'!$C$36*'契約別単価'!E5+'前提と出典'!$C$37*'契約別単価'!E6+'前提と出典'!$C$38*'契約別単価'!E7)</ns0:f>
        <ns0:v>1368005.8723097828</ns0:v>
      </ns0:c>
      <ns0:c r="F711" s="16">
        <ns0:f>A711*('前提と出典'!$C$36*'契約別単価'!F5+'前提と出典'!$C$37*'契約別単価'!F6+'前提と出典'!$C$38*'契約別単価'!F7)</ns0:f>
        <ns0:v>536892.6041507319</ns0:v>
      </ns0:c>
      <ns0:c r="G711" s="16">
        <ns0:f>A711*('前提と出典'!$C$36*'契約別単価'!G5+'前提と出典'!$C$37*'契約別単価'!G6+'前提と出典'!$C$38*'契約別単価'!G7)</ns0:f>
        <ns0:v>1407285.4748603352</ns0:v>
      </ns0:c>
      <ns0:c r="H711" s="16">
        <ns0:f>A711*('前提と出典'!$C$36*'契約別単価'!H5+'前提と出典'!$C$37*'契約別単価'!H6+'前提と出典'!$C$38*'契約別単価'!H7)</ns0:f>
        <ns0:v>488398.6406894808</ns0:v>
      </ns0:c>
      <ns0:c r="I711" s="16">
        <ns0:f>A711*('前提と出典'!$C$36*'契約別単価'!I5+'前提と出典'!$C$37*'契約別単価'!I6+'前提と出典'!$C$38*'契約別単価'!I7)</ns0:f>
        <ns0:v>29832.240223463683</ns0:v>
      </ns0:c>
      <ns0:c r="J711" s="16">
        <ns0:f>A711*('前提と出典'!$C$36*'契約別単価'!J5+'前提と出典'!$C$37*'契約別単価'!J6+'前提と出典'!$C$38*'契約別単価'!J7)</ns0:f>
        <ns0:v>69490.70740318391</ns0:v>
      </ns0:c>
      <ns0:c r="K711" s="16">
        <ns0:f>A711*('前提と出典'!$C$36*'契約別単価'!K5+'前提と出典'!$C$37*'契約別単価'!K6+'前提と出典'!$C$38*'契約別単価'!K7)</ns0:f>
        <ns0:v>297861.6014897579</ns0:v>
      </ns0:c>
      <ns0:c r="L711" s="16">
        <ns0:f>A711*('前提と出典'!$C$36*'契約別単価'!L5+'前提と出典'!$C$37*'契約別単価'!L6+'前提と出典'!$C$38*'契約別単価'!L7)</ns0:f>
        <ns0:v>242519.95468964934</ns0:v>
      </ns0:c>
      <ns0:c r="M711" s="16">
        <ns0:f>IF(('前提と出典'!$C$36+'前提と出典'!$C$38)=0,0,IF(B711&lt;=10,'前提と出典'!B73+'前提と出典'!C73,IF(B711&lt;=100,'前提と出典'!B74+'前提と出典'!C74,IF(B711&lt;=500,'前提と出典'!B75+'前提と出典'!C75,'前提と出典'!B76+'前提と出典'!C76))))</ns0:f>
        <ns0:v>40000</ns0:v>
      </ns0:c>
      <ns0:c r="N711" s="16">
        <ns0:f>IF(('前提と出典'!$C$37+'前提と出典'!$C$38)=0,0,IF(C711&lt;=10,'前提と出典'!D73+'前提と出典'!E73,IF(C711&lt;=100,'前提と出典'!D74+'前提と出典'!E74,IF(C711&lt;=500,'前提と出典'!D75+'前提と出典'!E75,'前提と出典'!D76+'前提と出典'!E76))))</ns0:f>
        <ns0:v>56510.9346263078</ns0:v>
      </ns0:c>
      <ns0:c r="O711" s="16">
        <ns0:f>IF('前提と出典'!$C$36+'前提と出典'!$C$38=0,0,'前提と出典'!$B$4*IF('前提と出典'!$B$20=0,MAX('前提と出典'!$B$6,D711*'前提と出典'!$B$5),'前提と出典'!$B$6+D711*'前提と出典'!$B$5))</ns0:f>
        <ns0:v>702039.1508379888</ns0:v>
      </ns0:c>
      <ns0:c r="P711" s="16">
        <ns0:f>(E711+G711)*(1-'前提と出典'!$B$7)-I711-K711-M711-O711</ns0:f>
        <ns0:v>1605647.8661207836</ns0:v>
      </ns0:c>
      <ns0:c r="Q711" s="16">
        <ns0:f>(F711+H711)*(1-'前提と出典'!$B$7)-J711-L711-N711</ns0:f>
        <ns0:v>619859.1633068239</ns0:v>
      </ns0:c>
      <ns0:c r="R711" s="16">
        <ns0:f>P711-E711*'前提と出典'!$E$4</ns0:f>
        <ns0:v>1195246.104427849</ns0:v>
      </ns0:c>
      <ns0:c r="S711" s="16">
        <ns0:f>Q711-F711*'前提と出典'!$E$4</ns0:f>
        <ns0:v>458791.38206160435</ns0:v>
      </ns0:c>
      <ns0:c r="T711" s="7">
        <ns0:f>R711+S711</ns0:f>
        <ns0:v>1654037.4864894534</ns0:v>
      </ns0:c>
      <ns0:c r="U711" s="16">
        <ns0:f>P711-E711*'前提と出典'!$E$5</ns0:f>
        <ns0:v>1058445.5171968704</ns0:v>
      </ns0:c>
      <ns0:c r="V711" s="16">
        <ns0:f>Q711-F711*'前提と出典'!$E$5</ns0:f>
        <ns0:v>405102.1216465312</ns0:v>
      </ns0:c>
      <ns0:c r="W711" s="7">
        <ns0:f>U711+V711</ns0:f>
        <ns0:v>1463547.6388434016</ns0:v>
      </ns0:c>
      <ns0:c r="X711" s="16">
        <ns0:f>P711-E711*'前提と出典'!$E$6</ns0:f>
        <ns0:v>921644.9299658923</ns0:v>
      </ns0:c>
      <ns0:c r="Y711" s="16">
        <ns0:f>Q711-F711*'前提と出典'!$E$6</ns0:f>
        <ns0:v>351412.8612314581</ns0:v>
      </ns0:c>
      <ns0:c r="Z711" s="7">
        <ns0:f>X711+Y711</ns0:f>
        <ns0:v>1273057.7911973505</ns0:v>
      </ns0:c>
      <ns0:c r="AA711" s="7">
        <ns0:f>IF(T711&gt;=0,A711,1001)</ns0:f>
        <ns0:v>707</ns0:v>
      </ns0:c>
      <ns0:c r="AB711" s="7">
        <ns0:f>IF(T711&lt;0,A711,0)</ns0:f>
        <ns0:v>0</ns0:v>
      </ns0:c>
      <ns0:c r="AC711" s="16">
        <ns0:f>IF(AND(OR('前提と出典'!$C$36+'前提と出典'!$C$38=0,R711&gt;=0),OR('前提と出典'!$C$37+'前提と出典'!$C$38=0,S711&gt;=0)),0,A711)</ns0:f>
        <ns0:v>0</ns0:v>
      </ns0:c>
      <ns0:c r="AD711" s="7">
        <ns0:f>IF(W711&gt;=0,A711,1001)</ns0:f>
        <ns0:v>707</ns0:v>
      </ns0:c>
      <ns0:c r="AE711" s="7">
        <ns0:f>IF(W711&lt;0,A711,0)</ns0:f>
        <ns0:v>0</ns0:v>
      </ns0:c>
      <ns0:c r="AF711" s="16">
        <ns0:f>IF(AND(OR('前提と出典'!$C$36+'前提と出典'!$C$38=0,U711&gt;=0),OR('前提と出典'!$C$37+'前提と出典'!$C$38=0,V711&gt;=0)),0,A711)</ns0:f>
        <ns0:v>0</ns0:v>
      </ns0:c>
      <ns0:c r="AG711" s="7">
        <ns0:f>IF(Z711&gt;=0,A711,1001)</ns0:f>
        <ns0:v>707</ns0:v>
      </ns0:c>
      <ns0:c r="AH711" s="4">
        <ns0:f>IF(Z711&lt;0,A711,0)</ns0:f>
        <ns0:v>0</ns0:v>
      </ns0:c>
      <ns0:c r="AI711" s="12">
        <ns0:f>IF(AND(OR('前提と出典'!$C$36+'前提と出典'!$C$38=0,X711&gt;=0),OR('前提と出典'!$C$37+'前提と出典'!$C$38=0,Y711&gt;=0)),0,A711)</ns0:f>
        <ns0:v>0</ns0:v>
      </ns0:c>
    </ns0:row>
    <ns0:row r="712" ht="24" customHeight="1">
      <ns0:c r="A712" s="4" t="n">
        <ns0:v>708</ns0:v>
      </ns0:c>
      <ns0:c r="B712" s="12">
        <ns0:f>A712*('前提と出典'!$C$36+'前提と出典'!$C$38)</ns0:f>
        <ns0:v>495.59999999999997</ns0:v>
      </ns0:c>
      <ns0:c r="C712" s="12">
        <ns0:f>A712*('前提と出典'!$C$37+'前提と出典'!$C$38)</ns0:f>
        <ns0:v>424.8</ns0:v>
      </ns0:c>
      <ns0:c r="D712" s="16">
        <ns0:f>A712*('前提と出典'!$C$36*'契約別単価'!C5+'前提と出典'!$C$37*'契約別単価'!C6+'前提と出典'!$C$38*'契約別単価'!C7)</ns0:f>
        <ns0:v>5094.435754189944</ns0:v>
      </ns0:c>
      <ns0:c r="E712" s="16">
        <ns0:f>A712*('前提と出典'!$C$36*'契約別単価'!E5+'前提と出典'!$C$37*'契約別単価'!E6+'前提と出典'!$C$38*'契約別単価'!E7)</ns0:f>
        <ns0:v>1369940.816966515</ns0:v>
      </ns0:c>
      <ns0:c r="F712" s="16">
        <ns0:f>A712*('前提と出典'!$C$36*'契約別単価'!F5+'前提と出典'!$C$37*'契約別単価'!F6+'前提と出典'!$C$38*'契約別単価'!F7)</ns0:f>
        <ns0:v>537651.999630436</ns0:v>
      </ns0:c>
      <ns0:c r="G712" s="16">
        <ns0:f>A712*('前提と出典'!$C$36*'契約別単価'!G5+'前提と出典'!$C$37*'契約別単価'!G6+'前提と出典'!$C$38*'契約別単価'!G7)</ns0:f>
        <ns0:v>1409275.9776536312</ns0:v>
      </ns0:c>
      <ns0:c r="H712" s="16">
        <ns0:f>A712*('前提と出典'!$C$36*'契約別単価'!H5+'前提と出典'!$C$37*'契約別単価'!H6+'前提と出典'!$C$38*'契約別単価'!H7)</ns0:f>
        <ns0:v>489089.4449903146</ns0:v>
      </ns0:c>
      <ns0:c r="I712" s="16">
        <ns0:f>A712*('前提と出典'!$C$36*'契約別単価'!I5+'前提と出典'!$C$37*'契約別単価'!I6+'前提と出典'!$C$38*'契約別単価'!I7)</ns0:f>
        <ns0:v>29874.43575418994</ns0:v>
      </ns0:c>
      <ns0:c r="J712" s="16">
        <ns0:f>A712*('前提と出典'!$C$36*'契約別単価'!J5+'前提と出典'!$C$37*'契約別単価'!J6+'前提と出典'!$C$38*'契約別単価'!J7)</ns0:f>
        <ns0:v>69588.99694689421</ns0:v>
      </ns0:c>
      <ns0:c r="K712" s="16">
        <ns0:f>A712*('前提と出典'!$C$36*'契約別単価'!K5+'前提と出典'!$C$37*'契約別単価'!K6+'前提と出典'!$C$38*'契約別単価'!K7)</ns0:f>
        <ns0:v>298282.90502793295</ns0:v>
      </ns0:c>
      <ns0:c r="L712" s="16">
        <ns0:f>A712*('前提と出典'!$C$36*'契約別単価'!L5+'前提と出典'!$C$37*'契約別単価'!L6+'前提と出典'!$C$38*'契約別単価'!L7)</ns0:f>
        <ns0:v>242862.98149967715</ns0:v>
      </ns0:c>
      <ns0:c r="M712" s="16">
        <ns0:f>IF(('前提と出典'!$C$36+'前提と出典'!$C$38)=0,0,IF(B712&lt;=10,'前提と出典'!B73+'前提と出典'!C73,IF(B712&lt;=100,'前提と出典'!B74+'前提と出典'!C74,IF(B712&lt;=500,'前提と出典'!B75+'前提と出典'!C75,'前提と出典'!B76+'前提と出典'!C76))))</ns0:f>
        <ns0:v>40000</ns0:v>
      </ns0:c>
      <ns0:c r="N712" s="16">
        <ns0:f>IF(('前提と出典'!$C$37+'前提と出典'!$C$38)=0,0,IF(C712&lt;=10,'前提と出典'!D73+'前提と出典'!E73,IF(C712&lt;=100,'前提と出典'!D74+'前提と出典'!E74,IF(C712&lt;=500,'前提と出典'!D75+'前提と出典'!E75,'前提と出典'!D76+'前提と出典'!E76))))</ns0:f>
        <ns0:v>56510.9346263078</ns0:v>
      </ns0:c>
      <ns0:c r="O712" s="16">
        <ns0:f>IF('前提と出典'!$C$36+'前提と出典'!$C$38=0,0,'前提と出典'!$B$4*IF('前提と出典'!$B$20=0,MAX('前提と出典'!$B$6,D712*'前提と出典'!$B$5),'前提と出典'!$B$6+D712*'前提と出典'!$B$5))</ns0:f>
        <ns0:v>703032.1340782123</ns0:v>
      </ns0:c>
      <ns0:c r="P712" s="16">
        <ns0:f>(E712+G712)*(1-'前提と出典'!$B$7)-I712-K712-M712-O712</ns0:f>
        <ns0:v>1607975.5151534854</ns0:v>
      </ns0:c>
      <ns0:c r="Q712" s="16">
        <ns0:f>(F712+H712)*(1-'前提と出典'!$B$7)-J712-L712-N712</ns0:f>
        <ns0:v>620815.8395415244</ns0:v>
      </ns0:c>
      <ns0:c r="R712" s="16">
        <ns0:f>P712-E712*'前提と出典'!$E$4</ns0:f>
        <ns0:v>1196993.270063531</ns0:v>
      </ns0:c>
      <ns0:c r="S712" s="16">
        <ns0:f>Q712-F712*'前提と出典'!$E$4</ns0:f>
        <ns0:v>459520.2396523936</ns0:v>
      </ns0:c>
      <ns0:c r="T712" s="7">
        <ns0:f>R712+S712</ns0:f>
        <ns0:v>1656513.5097159245</ns0:v>
      </ns0:c>
      <ns0:c r="U712" s="16">
        <ns0:f>P712-E712*'前提と出典'!$E$5</ns0:f>
        <ns0:v>1059999.1883668795</ns0:v>
      </ns0:c>
      <ns0:c r="V712" s="16">
        <ns0:f>Q712-F712*'前提と出典'!$E$5</ns0:f>
        <ns0:v>405755.03968935006</ns0:v>
      </ns0:c>
      <ns0:c r="W712" s="7">
        <ns0:f>U712+V712</ns0:f>
        <ns0:v>1465754.2280562297</ns0:v>
      </ns0:c>
      <ns0:c r="X712" s="16">
        <ns0:f>P712-E712*'前提と出典'!$E$6</ns0:f>
        <ns0:v>923005.1066702281</ns0:v>
      </ns0:c>
      <ns0:c r="Y712" s="16">
        <ns0:f>Q712-F712*'前提と出典'!$E$6</ns0:f>
        <ns0:v>351989.8397263065</ns0:v>
      </ns0:c>
      <ns0:c r="Z712" s="7">
        <ns0:f>X712+Y712</ns0:f>
        <ns0:v>1274994.9463965346</ns0:v>
      </ns0:c>
      <ns0:c r="AA712" s="7">
        <ns0:f>IF(T712&gt;=0,A712,1001)</ns0:f>
        <ns0:v>708</ns0:v>
      </ns0:c>
      <ns0:c r="AB712" s="7">
        <ns0:f>IF(T712&lt;0,A712,0)</ns0:f>
        <ns0:v>0</ns0:v>
      </ns0:c>
      <ns0:c r="AC712" s="16">
        <ns0:f>IF(AND(OR('前提と出典'!$C$36+'前提と出典'!$C$38=0,R712&gt;=0),OR('前提と出典'!$C$37+'前提と出典'!$C$38=0,S712&gt;=0)),0,A712)</ns0:f>
        <ns0:v>0</ns0:v>
      </ns0:c>
      <ns0:c r="AD712" s="7">
        <ns0:f>IF(W712&gt;=0,A712,1001)</ns0:f>
        <ns0:v>708</ns0:v>
      </ns0:c>
      <ns0:c r="AE712" s="7">
        <ns0:f>IF(W712&lt;0,A712,0)</ns0:f>
        <ns0:v>0</ns0:v>
      </ns0:c>
      <ns0:c r="AF712" s="16">
        <ns0:f>IF(AND(OR('前提と出典'!$C$36+'前提と出典'!$C$38=0,U712&gt;=0),OR('前提と出典'!$C$37+'前提と出典'!$C$38=0,V712&gt;=0)),0,A712)</ns0:f>
        <ns0:v>0</ns0:v>
      </ns0:c>
      <ns0:c r="AG712" s="7">
        <ns0:f>IF(Z712&gt;=0,A712,1001)</ns0:f>
        <ns0:v>708</ns0:v>
      </ns0:c>
      <ns0:c r="AH712" s="4">
        <ns0:f>IF(Z712&lt;0,A712,0)</ns0:f>
        <ns0:v>0</ns0:v>
      </ns0:c>
      <ns0:c r="AI712" s="12">
        <ns0:f>IF(AND(OR('前提と出典'!$C$36+'前提と出典'!$C$38=0,X712&gt;=0),OR('前提と出典'!$C$37+'前提と出典'!$C$38=0,Y712&gt;=0)),0,A712)</ns0:f>
        <ns0:v>0</ns0:v>
      </ns0:c>
    </ns0:row>
    <ns0:row r="713" ht="24" customHeight="1">
      <ns0:c r="A713" s="4" t="n">
        <ns0:v>709</ns0:v>
      </ns0:c>
      <ns0:c r="B713" s="12">
        <ns0:f>A713*('前提と出典'!$C$36+'前提と出典'!$C$38)</ns0:f>
        <ns0:v>496.29999999999995</ns0:v>
      </ns0:c>
      <ns0:c r="C713" s="12">
        <ns0:f>A713*('前提と出典'!$C$37+'前提と出典'!$C$38)</ns0:f>
        <ns0:v>425.4</ns0:v>
      </ns0:c>
      <ns0:c r="D713" s="16">
        <ns0:f>A713*('前提と出典'!$C$36*'契約別単価'!C5+'前提と出典'!$C$37*'契約別単価'!C6+'前提と出典'!$C$38*'契約別単価'!C7)</ns0:f>
        <ns0:v>5101.631284916201</ns0:v>
      </ns0:c>
      <ns0:c r="E713" s="16">
        <ns0:f>A713*('前提と出典'!$C$36*'契約別単価'!E5+'前提と出典'!$C$37*'契約別単価'!E6+'前提と出典'!$C$38*'契約別単価'!E7)</ns0:f>
        <ns0:v>1371875.7616232475</ns0:v>
      </ns0:c>
      <ns0:c r="F713" s="16">
        <ns0:f>A713*('前提と出典'!$C$36*'契約別単価'!F5+'前提と出典'!$C$37*'契約別単価'!F6+'前提と出典'!$C$38*'契約別単価'!F7)</ns0:f>
        <ns0:v>538411.39511014</ns0:v>
      </ns0:c>
      <ns0:c r="G713" s="16">
        <ns0:f>A713*('前提と出典'!$C$36*'契約別単価'!G5+'前提と出典'!$C$37*'契約別単価'!G6+'前提と出典'!$C$38*'契約別単価'!G7)</ns0:f>
        <ns0:v>1411266.4804469272</ns0:v>
      </ns0:c>
      <ns0:c r="H713" s="16">
        <ns0:f>A713*('前提と出典'!$C$36*'契約別単価'!H5+'前提と出典'!$C$37*'契約別単価'!H6+'前提と出典'!$C$38*'契約別単価'!H7)</ns0:f>
        <ns0:v>489780.2492911484</ns0:v>
      </ns0:c>
      <ns0:c r="I713" s="16">
        <ns0:f>A713*('前提と出典'!$C$36*'契約別単価'!I5+'前提と出典'!$C$37*'契約別単価'!I6+'前提と出典'!$C$38*'契約別単価'!I7)</ns0:f>
        <ns0:v>29916.631284916195</ns0:v>
      </ns0:c>
      <ns0:c r="J713" s="16">
        <ns0:f>A713*('前提と出典'!$C$36*'契約別単価'!J5+'前提と出典'!$C$37*'契約別単価'!J6+'前提と出典'!$C$38*'契約別単価'!J7)</ns0:f>
        <ns0:v>69687.28649060451</ns0:v>
      </ns0:c>
      <ns0:c r="K713" s="16">
        <ns0:f>A713*('前提と出典'!$C$36*'契約別単価'!K5+'前提と出典'!$C$37*'契約別単価'!K6+'前提と出典'!$C$38*'契約別単価'!K7)</ns0:f>
        <ns0:v>298704.20856610796</ns0:v>
      </ns0:c>
      <ns0:c r="L713" s="16">
        <ns0:f>A713*('前提と出典'!$C$36*'契約別単価'!L5+'前提と出典'!$C$37*'契約別単価'!L6+'前提と出典'!$C$38*'契約別単価'!L7)</ns0:f>
        <ns0:v>243206.00830970495</ns0:v>
      </ns0:c>
      <ns0:c r="M713" s="16">
        <ns0:f>IF(('前提と出典'!$C$36+'前提と出典'!$C$38)=0,0,IF(B713&lt;=10,'前提と出典'!B73+'前提と出典'!C73,IF(B713&lt;=100,'前提と出典'!B74+'前提と出典'!C74,IF(B713&lt;=500,'前提と出典'!B75+'前提と出典'!C75,'前提と出典'!B76+'前提と出典'!C76))))</ns0:f>
        <ns0:v>40000</ns0:v>
      </ns0:c>
      <ns0:c r="N713" s="16">
        <ns0:f>IF(('前提と出典'!$C$37+'前提と出典'!$C$38)=0,0,IF(C713&lt;=10,'前提と出典'!D73+'前提と出典'!E73,IF(C713&lt;=100,'前提と出典'!D74+'前提と出典'!E74,IF(C713&lt;=500,'前提と出典'!D75+'前提と出典'!E75,'前提と出典'!D76+'前提と出典'!E76))))</ns0:f>
        <ns0:v>56510.9346263078</ns0:v>
      </ns0:c>
      <ns0:c r="O713" s="16">
        <ns0:f>IF('前提と出典'!$C$36+'前提と出典'!$C$38=0,0,'前提と出典'!$B$4*IF('前提と出典'!$B$20=0,MAX('前提と出典'!$B$6,D713*'前提と出典'!$B$5),'前提と出典'!$B$6+D713*'前提と出典'!$B$5))</ns0:f>
        <ns0:v>704025.1173184358</ns0:v>
      </ns0:c>
      <ns0:c r="P713" s="16">
        <ns0:f>(E713+G713)*(1-'前提と出典'!$B$7)-I713-K713-M713-O713</ns0:f>
        <ns0:v>1610303.1641861885</ns0:v>
      </ns0:c>
      <ns0:c r="Q713" s="16">
        <ns0:f>(F713+H713)*(1-'前提と出典'!$B$7)-J713-L713-N713</ns0:f>
        <ns0:v>621772.5157762247</ns0:v>
      </ns0:c>
      <ns0:c r="R713" s="16">
        <ns0:f>P713-E713*'前提と出典'!$E$4</ns0:f>
        <ns0:v>1198740.4356992142</ns0:v>
      </ns0:c>
      <ns0:c r="S713" s="16">
        <ns0:f>Q713-F713*'前提と出典'!$E$4</ns0:f>
        <ns0:v>460249.0972431827</ns0:v>
      </ns0:c>
      <ns0:c r="T713" s="7">
        <ns0:f>R713+S713</ns0:f>
        <ns0:v>1658989.532942397</ns0:v>
      </ns0:c>
      <ns0:c r="U713" s="16">
        <ns0:f>P713-E713*'前提と出典'!$E$5</ns0:f>
        <ns0:v>1061552.8595368895</ns0:v>
      </ns0:c>
      <ns0:c r="V713" s="16">
        <ns0:f>Q713-F713*'前提と出典'!$E$5</ns0:f>
        <ns0:v>406407.9577321687</ns0:v>
      </ns0:c>
      <ns0:c r="W713" s="7">
        <ns0:f>U713+V713</ns0:f>
        <ns0:v>1467960.8172690582</ns0:v>
      </ns0:c>
      <ns0:c r="X713" s="16">
        <ns0:f>P713-E713*'前提と出典'!$E$6</ns0:f>
        <ns0:v>924365.2833745645</ns0:v>
      </ns0:c>
      <ns0:c r="Y713" s="16">
        <ns0:f>Q713-F713*'前提と出典'!$E$6</ns0:f>
        <ns0:v>352566.8182211546</ns0:v>
      </ns0:c>
      <ns0:c r="Z713" s="7">
        <ns0:f>X713+Y713</ns0:f>
        <ns0:v>1276932.101595719</ns0:v>
      </ns0:c>
      <ns0:c r="AA713" s="7">
        <ns0:f>IF(T713&gt;=0,A713,1001)</ns0:f>
        <ns0:v>709</ns0:v>
      </ns0:c>
      <ns0:c r="AB713" s="7">
        <ns0:f>IF(T713&lt;0,A713,0)</ns0:f>
        <ns0:v>0</ns0:v>
      </ns0:c>
      <ns0:c r="AC713" s="16">
        <ns0:f>IF(AND(OR('前提と出典'!$C$36+'前提と出典'!$C$38=0,R713&gt;=0),OR('前提と出典'!$C$37+'前提と出典'!$C$38=0,S713&gt;=0)),0,A713)</ns0:f>
        <ns0:v>0</ns0:v>
      </ns0:c>
      <ns0:c r="AD713" s="7">
        <ns0:f>IF(W713&gt;=0,A713,1001)</ns0:f>
        <ns0:v>709</ns0:v>
      </ns0:c>
      <ns0:c r="AE713" s="7">
        <ns0:f>IF(W713&lt;0,A713,0)</ns0:f>
        <ns0:v>0</ns0:v>
      </ns0:c>
      <ns0:c r="AF713" s="16">
        <ns0:f>IF(AND(OR('前提と出典'!$C$36+'前提と出典'!$C$38=0,U713&gt;=0),OR('前提と出典'!$C$37+'前提と出典'!$C$38=0,V713&gt;=0)),0,A713)</ns0:f>
        <ns0:v>0</ns0:v>
      </ns0:c>
      <ns0:c r="AG713" s="7">
        <ns0:f>IF(Z713&gt;=0,A713,1001)</ns0:f>
        <ns0:v>709</ns0:v>
      </ns0:c>
      <ns0:c r="AH713" s="4">
        <ns0:f>IF(Z713&lt;0,A713,0)</ns0:f>
        <ns0:v>0</ns0:v>
      </ns0:c>
      <ns0:c r="AI713" s="12">
        <ns0:f>IF(AND(OR('前提と出典'!$C$36+'前提と出典'!$C$38=0,X713&gt;=0),OR('前提と出典'!$C$37+'前提と出典'!$C$38=0,Y713&gt;=0)),0,A713)</ns0:f>
        <ns0:v>0</ns0:v>
      </ns0:c>
    </ns0:row>
    <ns0:row r="714" ht="24" customHeight="1">
      <ns0:c r="A714" s="4" t="n">
        <ns0:v>710</ns0:v>
      </ns0:c>
      <ns0:c r="B714" s="12">
        <ns0:f>A714*('前提と出典'!$C$36+'前提と出典'!$C$38)</ns0:f>
        <ns0:v>496.99999999999994</ns0:v>
      </ns0:c>
      <ns0:c r="C714" s="12">
        <ns0:f>A714*('前提と出典'!$C$37+'前提と出典'!$C$38)</ns0:f>
        <ns0:v>426</ns0:v>
      </ns0:c>
      <ns0:c r="D714" s="16">
        <ns0:f>A714*('前提と出典'!$C$36*'契約別単価'!C5+'前提と出典'!$C$37*'契約別単価'!C6+'前提と出典'!$C$38*'契約別単価'!C7)</ns0:f>
        <ns0:v>5108.826815642458</ns0:v>
      </ns0:c>
      <ns0:c r="E714" s="16">
        <ns0:f>A714*('前提と出典'!$C$36*'契約別単価'!E5+'前提と出典'!$C$37*'契約別単価'!E6+'前提と出典'!$C$38*'契約別単価'!E7)</ns0:f>
        <ns0:v>1373810.7062799798</ns0:v>
      </ns0:c>
      <ns0:c r="F714" s="16">
        <ns0:f>A714*('前提と出典'!$C$36*'契約別単価'!F5+'前提と出典'!$C$37*'契約別単価'!F6+'前提と出典'!$C$38*'契約別単価'!F7)</ns0:f>
        <ns0:v>539170.7905898439</ns0:v>
      </ns0:c>
      <ns0:c r="G714" s="16">
        <ns0:f>A714*('前提と出典'!$C$36*'契約別単価'!G5+'前提と出典'!$C$37*'契約別単価'!G6+'前提と出典'!$C$38*'契約別単価'!G7)</ns0:f>
        <ns0:v>1413256.9832402235</ns0:v>
      </ns0:c>
      <ns0:c r="H714" s="16">
        <ns0:f>A714*('前提と出典'!$C$36*'契約別単価'!H5+'前提と出典'!$C$37*'契約別単価'!H6+'前提と出典'!$C$38*'契約別単価'!H7)</ns0:f>
        <ns0:v>490471.05359198217</ns0:v>
      </ns0:c>
      <ns0:c r="I714" s="16">
        <ns0:f>A714*('前提と出典'!$C$36*'契約別単価'!I5+'前提と出典'!$C$37*'契約別単価'!I6+'前提と出典'!$C$38*'契約別単価'!I7)</ns0:f>
        <ns0:v>29958.826815642453</ns0:v>
      </ns0:c>
      <ns0:c r="J714" s="16">
        <ns0:f>A714*('前提と出典'!$C$36*'契約別単価'!J5+'前提と出典'!$C$37*'契約別単価'!J6+'前提と出典'!$C$38*'契約別単価'!J7)</ns0:f>
        <ns0:v>69785.57603431483</ns0:v>
      </ns0:c>
      <ns0:c r="K714" s="16">
        <ns0:f>A714*('前提と出典'!$C$36*'契約別単価'!K5+'前提と出典'!$C$37*'契約別単価'!K6+'前提と出典'!$C$38*'契約別単価'!K7)</ns0:f>
        <ns0:v>299125.512104283</ns0:v>
      </ns0:c>
      <ns0:c r="L714" s="16">
        <ns0:f>A714*('前提と出典'!$C$36*'契約別単価'!L5+'前提と出典'!$C$37*'契約別単価'!L6+'前提と出典'!$C$38*'契約別単価'!L7)</ns0:f>
        <ns0:v>243549.03511973273</ns0:v>
      </ns0:c>
      <ns0:c r="M714" s="16">
        <ns0:f>IF(('前提と出典'!$C$36+'前提と出典'!$C$38)=0,0,IF(B714&lt;=10,'前提と出典'!B73+'前提と出典'!C73,IF(B714&lt;=100,'前提と出典'!B74+'前提と出典'!C74,IF(B714&lt;=500,'前提と出典'!B75+'前提と出典'!C75,'前提と出典'!B76+'前提と出典'!C76))))</ns0:f>
        <ns0:v>40000</ns0:v>
      </ns0:c>
      <ns0:c r="N714" s="16">
        <ns0:f>IF(('前提と出典'!$C$37+'前提と出典'!$C$38)=0,0,IF(C714&lt;=10,'前提と出典'!D73+'前提と出典'!E73,IF(C714&lt;=100,'前提と出典'!D74+'前提と出典'!E74,IF(C714&lt;=500,'前提と出典'!D75+'前提と出典'!E75,'前提と出典'!D76+'前提と出典'!E76))))</ns0:f>
        <ns0:v>56510.9346263078</ns0:v>
      </ns0:c>
      <ns0:c r="O714" s="16">
        <ns0:f>IF('前提と出典'!$C$36+'前提と出典'!$C$38=0,0,'前提と出典'!$B$4*IF('前提と出典'!$B$20=0,MAX('前提と出典'!$B$6,D714*'前提と出典'!$B$5),'前提と出典'!$B$6+D714*'前提と出典'!$B$5))</ns0:f>
        <ns0:v>705018.1005586593</ns0:v>
      </ns0:c>
      <ns0:c r="P714" s="16">
        <ns0:f>(E714+G714)*(1-'前提と出典'!$B$7)-I714-K714-M714-O714</ns0:f>
        <ns0:v>1612630.8132188914</ns0:v>
      </ns0:c>
      <ns0:c r="Q714" s="16">
        <ns0:f>(F714+H714)*(1-'前提と出典'!$B$7)-J714-L714-N714</ns0:f>
        <ns0:v>622729.192010925</ns0:v>
      </ns0:c>
      <ns0:c r="R714" s="16">
        <ns0:f>P714-E714*'前提と出典'!$E$4</ns0:f>
        <ns0:v>1200487.6013348976</ns0:v>
      </ns0:c>
      <ns0:c r="S714" s="16">
        <ns0:f>Q714-F714*'前提と出典'!$E$4</ns0:f>
        <ns0:v>460977.9548339719</ns0:v>
      </ns0:c>
      <ns0:c r="T714" s="7">
        <ns0:f>R714+S714</ns0:f>
        <ns0:v>1661465.5561688696</ns0:v>
      </ns0:c>
      <ns0:c r="U714" s="16">
        <ns0:f>P714-E714*'前提と出典'!$E$5</ns0:f>
        <ns0:v>1063106.5307068995</ns0:v>
      </ns0:c>
      <ns0:c r="V714" s="16">
        <ns0:f>Q714-F714*'前提と出典'!$E$5</ns0:f>
        <ns0:v>407060.8757749875</ns0:v>
      </ns0:c>
      <ns0:c r="W714" s="7">
        <ns0:f>U714+V714</ns0:f>
        <ns0:v>1470167.406481887</ns0:v>
      </ns0:c>
      <ns0:c r="X714" s="16">
        <ns0:f>P714-E714*'前提と出典'!$E$6</ns0:f>
        <ns0:v>925725.4600789014</ns0:v>
      </ns0:c>
      <ns0:c r="Y714" s="16">
        <ns0:f>Q714-F714*'前提と出典'!$E$6</ns0:f>
        <ns0:v>353143.7967160031</ns0:v>
      </ns0:c>
      <ns0:c r="Z714" s="7">
        <ns0:f>X714+Y714</ns0:f>
        <ns0:v>1278869.2567949044</ns0:v>
      </ns0:c>
      <ns0:c r="AA714" s="7">
        <ns0:f>IF(T714&gt;=0,A714,1001)</ns0:f>
        <ns0:v>710</ns0:v>
      </ns0:c>
      <ns0:c r="AB714" s="7">
        <ns0:f>IF(T714&lt;0,A714,0)</ns0:f>
        <ns0:v>0</ns0:v>
      </ns0:c>
      <ns0:c r="AC714" s="16">
        <ns0:f>IF(AND(OR('前提と出典'!$C$36+'前提と出典'!$C$38=0,R714&gt;=0),OR('前提と出典'!$C$37+'前提と出典'!$C$38=0,S714&gt;=0)),0,A714)</ns0:f>
        <ns0:v>0</ns0:v>
      </ns0:c>
      <ns0:c r="AD714" s="7">
        <ns0:f>IF(W714&gt;=0,A714,1001)</ns0:f>
        <ns0:v>710</ns0:v>
      </ns0:c>
      <ns0:c r="AE714" s="7">
        <ns0:f>IF(W714&lt;0,A714,0)</ns0:f>
        <ns0:v>0</ns0:v>
      </ns0:c>
      <ns0:c r="AF714" s="16">
        <ns0:f>IF(AND(OR('前提と出典'!$C$36+'前提と出典'!$C$38=0,U714&gt;=0),OR('前提と出典'!$C$37+'前提と出典'!$C$38=0,V714&gt;=0)),0,A714)</ns0:f>
        <ns0:v>0</ns0:v>
      </ns0:c>
      <ns0:c r="AG714" s="7">
        <ns0:f>IF(Z714&gt;=0,A714,1001)</ns0:f>
        <ns0:v>710</ns0:v>
      </ns0:c>
      <ns0:c r="AH714" s="4">
        <ns0:f>IF(Z714&lt;0,A714,0)</ns0:f>
        <ns0:v>0</ns0:v>
      </ns0:c>
      <ns0:c r="AI714" s="12">
        <ns0:f>IF(AND(OR('前提と出典'!$C$36+'前提と出典'!$C$38=0,X714&gt;=0),OR('前提と出典'!$C$37+'前提と出典'!$C$38=0,Y714&gt;=0)),0,A714)</ns0:f>
        <ns0:v>0</ns0:v>
      </ns0:c>
    </ns0:row>
    <ns0:row r="715" ht="24" customHeight="1">
      <ns0:c r="A715" s="4" t="n">
        <ns0:v>711</ns0:v>
      </ns0:c>
      <ns0:c r="B715" s="12">
        <ns0:f>A715*('前提と出典'!$C$36+'前提と出典'!$C$38)</ns0:f>
        <ns0:v>497.7</ns0:v>
      </ns0:c>
      <ns0:c r="C715" s="12">
        <ns0:f>A715*('前提と出典'!$C$37+'前提と出典'!$C$38)</ns0:f>
        <ns0:v>426.59999999999997</ns0:v>
      </ns0:c>
      <ns0:c r="D715" s="16">
        <ns0:f>A715*('前提と出典'!$C$36*'契約別単価'!C5+'前提と出典'!$C$37*'契約別単価'!C6+'前提と出典'!$C$38*'契約別単価'!C7)</ns0:f>
        <ns0:v>5116.022346368715</ns0:v>
      </ns0:c>
      <ns0:c r="E715" s="16">
        <ns0:f>A715*('前提と出典'!$C$36*'契約別単価'!E5+'前提と出典'!$C$37*'契約別単価'!E6+'前提と出典'!$C$38*'契約別単価'!E7)</ns0:f>
        <ns0:v>1375745.6509367123</ns0:v>
      </ns0:c>
      <ns0:c r="F715" s="16">
        <ns0:f>A715*('前提と出典'!$C$36*'契約別単価'!F5+'前提と出典'!$C$37*'契約別単価'!F6+'前提と出典'!$C$38*'契約別単価'!F7)</ns0:f>
        <ns0:v>539930.1860695479</ns0:v>
      </ns0:c>
      <ns0:c r="G715" s="16">
        <ns0:f>A715*('前提と出典'!$C$36*'契約別単価'!G5+'前提と出典'!$C$37*'契約別単価'!G6+'前提と出典'!$C$38*'契約別単価'!G7)</ns0:f>
        <ns0:v>1415247.4860335195</ns0:v>
      </ns0:c>
      <ns0:c r="H715" s="16">
        <ns0:f>A715*('前提と出典'!$C$36*'契約別単価'!H5+'前提と出典'!$C$37*'契約別単価'!H6+'前提と出典'!$C$38*'契約別単価'!H7)</ns0:f>
        <ns0:v>491161.85789281595</ns0:v>
      </ns0:c>
      <ns0:c r="I715" s="16">
        <ns0:f>A715*('前提と出典'!$C$36*'契約別単価'!I5+'前提と出典'!$C$37*'契約別単価'!I6+'前提と出典'!$C$38*'契約別単価'!I7)</ns0:f>
        <ns0:v>30001.02234636871</ns0:v>
      </ns0:c>
      <ns0:c r="J715" s="16">
        <ns0:f>A715*('前提と出典'!$C$36*'契約別単価'!J5+'前提と出典'!$C$37*'契約別単価'!J6+'前提と出典'!$C$38*'契約別単価'!J7)</ns0:f>
        <ns0:v>69883.86557802513</ns0:v>
      </ns0:c>
      <ns0:c r="K715" s="16">
        <ns0:f>A715*('前提と出典'!$C$36*'契約別単価'!K5+'前提と出典'!$C$37*'契約別単価'!K6+'前提と出典'!$C$38*'契約別単価'!K7)</ns0:f>
        <ns0:v>299546.8156424581</ns0:v>
      </ns0:c>
      <ns0:c r="L715" s="16">
        <ns0:f>A715*('前提と出典'!$C$36*'契約別単価'!L5+'前提と出典'!$C$37*'契約別単価'!L6+'前提と出典'!$C$38*'契約別単価'!L7)</ns0:f>
        <ns0:v>243892.06192976053</ns0:v>
      </ns0:c>
      <ns0:c r="M715" s="16">
        <ns0:f>IF(('前提と出典'!$C$36+'前提と出典'!$C$38)=0,0,IF(B715&lt;=10,'前提と出典'!B73+'前提と出典'!C73,IF(B715&lt;=100,'前提と出典'!B74+'前提と出典'!C74,IF(B715&lt;=500,'前提と出典'!B75+'前提と出典'!C75,'前提と出典'!B76+'前提と出典'!C76))))</ns0:f>
        <ns0:v>40000</ns0:v>
      </ns0:c>
      <ns0:c r="N715" s="16">
        <ns0:f>IF(('前提と出典'!$C$37+'前提と出典'!$C$38)=0,0,IF(C715&lt;=10,'前提と出典'!D73+'前提と出典'!E73,IF(C715&lt;=100,'前提と出典'!D74+'前提と出典'!E74,IF(C715&lt;=500,'前提と出典'!D75+'前提と出典'!E75,'前提と出典'!D76+'前提と出典'!E76))))</ns0:f>
        <ns0:v>56510.9346263078</ns0:v>
      </ns0:c>
      <ns0:c r="O715" s="16">
        <ns0:f>IF('前提と出典'!$C$36+'前提と出典'!$C$38=0,0,'前提と出典'!$B$4*IF('前提と出典'!$B$20=0,MAX('前提と出典'!$B$6,D715*'前提と出典'!$B$5),'前提と出典'!$B$6+D715*'前提と出典'!$B$5))</ns0:f>
        <ns0:v>706011.0837988828</ns0:v>
      </ns0:c>
      <ns0:c r="P715" s="16">
        <ns0:f>(E715+G715)*(1-'前提と出典'!$B$7)-I715-K715-M715-O715</ns0:f>
        <ns0:v>1614958.4622515938</ns0:v>
      </ns0:c>
      <ns0:c r="Q715" s="16">
        <ns0:f>(F715+H715)*(1-'前提と出典'!$B$7)-J715-L715-N715</ns0:f>
        <ns0:v>623685.8682456254</ns0:v>
      </ns0:c>
      <ns0:c r="R715" s="16">
        <ns0:f>P715-E715*'前提と出典'!$E$4</ns0:f>
        <ns0:v>1202234.76697058</ns0:v>
      </ns0:c>
      <ns0:c r="S715" s="16">
        <ns0:f>Q715-F715*'前提と出典'!$E$4</ns0:f>
        <ns0:v>461706.8124247609</ns0:v>
      </ns0:c>
      <ns0:c r="T715" s="7">
        <ns0:f>R715+S715</ns0:f>
        <ns0:v>1663941.5793953408</ns0:v>
      </ns0:c>
      <ns0:c r="U715" s="16">
        <ns0:f>P715-E715*'前提と出典'!$E$5</ns0:f>
        <ns0:v>1064660.201876909</ns0:v>
      </ns0:c>
      <ns0:c r="V715" s="16">
        <ns0:f>Q715-F715*'前提と出典'!$E$5</ns0:f>
        <ns0:v>407713.7938178062</ns0:v>
      </ns0:c>
      <ns0:c r="W715" s="7">
        <ns0:f>U715+V715</ns0:f>
        <ns0:v>1472373.995694715</ns0:v>
      </ns0:c>
      <ns0:c r="X715" s="16">
        <ns0:f>P715-E715*'前提と出典'!$E$6</ns0:f>
        <ns0:v>927085.6367832376</ns0:v>
      </ns0:c>
      <ns0:c r="Y715" s="16">
        <ns0:f>Q715-F715*'前提と出典'!$E$6</ns0:f>
        <ns0:v>353720.77521085134</ns0:v>
      </ns0:c>
      <ns0:c r="Z715" s="7">
        <ns0:f>X715+Y715</ns0:f>
        <ns0:v>1280806.411994089</ns0:v>
      </ns0:c>
      <ns0:c r="AA715" s="7">
        <ns0:f>IF(T715&gt;=0,A715,1001)</ns0:f>
        <ns0:v>711</ns0:v>
      </ns0:c>
      <ns0:c r="AB715" s="7">
        <ns0:f>IF(T715&lt;0,A715,0)</ns0:f>
        <ns0:v>0</ns0:v>
      </ns0:c>
      <ns0:c r="AC715" s="16">
        <ns0:f>IF(AND(OR('前提と出典'!$C$36+'前提と出典'!$C$38=0,R715&gt;=0),OR('前提と出典'!$C$37+'前提と出典'!$C$38=0,S715&gt;=0)),0,A715)</ns0:f>
        <ns0:v>0</ns0:v>
      </ns0:c>
      <ns0:c r="AD715" s="7">
        <ns0:f>IF(W715&gt;=0,A715,1001)</ns0:f>
        <ns0:v>711</ns0:v>
      </ns0:c>
      <ns0:c r="AE715" s="7">
        <ns0:f>IF(W715&lt;0,A715,0)</ns0:f>
        <ns0:v>0</ns0:v>
      </ns0:c>
      <ns0:c r="AF715" s="16">
        <ns0:f>IF(AND(OR('前提と出典'!$C$36+'前提と出典'!$C$38=0,U715&gt;=0),OR('前提と出典'!$C$37+'前提と出典'!$C$38=0,V715&gt;=0)),0,A715)</ns0:f>
        <ns0:v>0</ns0:v>
      </ns0:c>
      <ns0:c r="AG715" s="7">
        <ns0:f>IF(Z715&gt;=0,A715,1001)</ns0:f>
        <ns0:v>711</ns0:v>
      </ns0:c>
      <ns0:c r="AH715" s="4">
        <ns0:f>IF(Z715&lt;0,A715,0)</ns0:f>
        <ns0:v>0</ns0:v>
      </ns0:c>
      <ns0:c r="AI715" s="12">
        <ns0:f>IF(AND(OR('前提と出典'!$C$36+'前提と出典'!$C$38=0,X715&gt;=0),OR('前提と出典'!$C$37+'前提と出典'!$C$38=0,Y715&gt;=0)),0,A715)</ns0:f>
        <ns0:v>0</ns0:v>
      </ns0:c>
    </ns0:row>
    <ns0:row r="716" ht="24" customHeight="1">
      <ns0:c r="A716" s="4" t="n">
        <ns0:v>712</ns0:v>
      </ns0:c>
      <ns0:c r="B716" s="12">
        <ns0:f>A716*('前提と出典'!$C$36+'前提と出典'!$C$38)</ns0:f>
        <ns0:v>498.4</ns0:v>
      </ns0:c>
      <ns0:c r="C716" s="12">
        <ns0:f>A716*('前提と出典'!$C$37+'前提と出典'!$C$38)</ns0:f>
        <ns0:v>427.2</ns0:v>
      </ns0:c>
      <ns0:c r="D716" s="16">
        <ns0:f>A716*('前提と出典'!$C$36*'契約別単価'!C5+'前提と出典'!$C$37*'契約別単価'!C6+'前提と出典'!$C$38*'契約別単価'!C7)</ns0:f>
        <ns0:v>5123.217877094972</ns0:v>
      </ns0:c>
      <ns0:c r="E716" s="16">
        <ns0:f>A716*('前提と出典'!$C$36*'契約別単価'!E5+'前提と出典'!$C$37*'契約別単価'!E6+'前提と出典'!$C$38*'契約別単価'!E7)</ns0:f>
        <ns0:v>1377680.5955934445</ns0:v>
      </ns0:c>
      <ns0:c r="F716" s="16">
        <ns0:f>A716*('前提と出典'!$C$36*'契約別単価'!F5+'前提と出典'!$C$37*'契約別単価'!F6+'前提と出典'!$C$38*'契約別単価'!F7)</ns0:f>
        <ns0:v>540689.5815492519</ns0:v>
      </ns0:c>
      <ns0:c r="G716" s="16">
        <ns0:f>A716*('前提と出典'!$C$36*'契約別単価'!G5+'前提と出典'!$C$37*'契約別単価'!G6+'前提と出典'!$C$38*'契約別単価'!G7)</ns0:f>
        <ns0:v>1417237.9888268155</ns0:v>
      </ns0:c>
      <ns0:c r="H716" s="16">
        <ns0:f>A716*('前提と出典'!$C$36*'契約別単価'!H5+'前提と出典'!$C$37*'契約別単価'!H6+'前提と出典'!$C$38*'契約別単価'!H7)</ns0:f>
        <ns0:v>491852.66219364974</ns0:v>
      </ns0:c>
      <ns0:c r="I716" s="16">
        <ns0:f>A716*('前提と出典'!$C$36*'契約別単価'!I5+'前提と出典'!$C$37*'契約別単価'!I6+'前提と出典'!$C$38*'契約別単価'!I7)</ns0:f>
        <ns0:v>30043.21787709497</ns0:v>
      </ns0:c>
      <ns0:c r="J716" s="16">
        <ns0:f>A716*('前提と出典'!$C$36*'契約別単価'!J5+'前提と出典'!$C$37*'契約別単価'!J6+'前提と出典'!$C$38*'契約別単価'!J7)</ns0:f>
        <ns0:v>69982.15512173543</ns0:v>
      </ns0:c>
      <ns0:c r="K716" s="16">
        <ns0:f>A716*('前提と出典'!$C$36*'契約別単価'!K5+'前提と出典'!$C$37*'契約別単価'!K6+'前提と出典'!$C$38*'契約別単価'!K7)</ns0:f>
        <ns0:v>299968.1191806331</ns0:v>
      </ns0:c>
      <ns0:c r="L716" s="16">
        <ns0:f>A716*('前提と出典'!$C$36*'契約別単価'!L5+'前提と出典'!$C$37*'契約別単価'!L6+'前提と出典'!$C$38*'契約別単価'!L7)</ns0:f>
        <ns0:v>244235.0887397883</ns0:v>
      </ns0:c>
      <ns0:c r="M716" s="16">
        <ns0:f>IF(('前提と出典'!$C$36+'前提と出典'!$C$38)=0,0,IF(B716&lt;=10,'前提と出典'!B73+'前提と出典'!C73,IF(B716&lt;=100,'前提と出典'!B74+'前提と出典'!C74,IF(B716&lt;=500,'前提と出典'!B75+'前提と出典'!C75,'前提と出典'!B76+'前提と出典'!C76))))</ns0:f>
        <ns0:v>40000</ns0:v>
      </ns0:c>
      <ns0:c r="N716" s="16">
        <ns0:f>IF(('前提と出典'!$C$37+'前提と出典'!$C$38)=0,0,IF(C716&lt;=10,'前提と出典'!D73+'前提と出典'!E73,IF(C716&lt;=100,'前提と出典'!D74+'前提と出典'!E74,IF(C716&lt;=500,'前提と出典'!D75+'前提と出典'!E75,'前提と出典'!D76+'前提と出典'!E76))))</ns0:f>
        <ns0:v>56510.9346263078</ns0:v>
      </ns0:c>
      <ns0:c r="O716" s="16">
        <ns0:f>IF('前提と出典'!$C$36+'前提と出典'!$C$38=0,0,'前提と出典'!$B$4*IF('前提と出典'!$B$20=0,MAX('前提と出典'!$B$6,D716*'前提と出典'!$B$5),'前提と出典'!$B$6+D716*'前提と出典'!$B$5))</ns0:f>
        <ns0:v>707004.0670391063</ns0:v>
      </ns0:c>
      <ns0:c r="P716" s="16">
        <ns0:f>(E716+G716)*(1-'前提と出典'!$B$7)-I716-K716-M716-O716</ns0:f>
        <ns0:v>1617286.1112842965</ns0:v>
      </ns0:c>
      <ns0:c r="Q716" s="16">
        <ns0:f>(F716+H716)*(1-'前提と出典'!$B$7)-J716-L716-N716</ns0:f>
        <ns0:v>624642.5444803257</ns0:v>
      </ns0:c>
      <ns0:c r="R716" s="16">
        <ns0:f>P716-E716*'前提と出典'!$E$4</ns0:f>
        <ns0:v>1203981.9326062629</ns0:v>
      </ns0:c>
      <ns0:c r="S716" s="16">
        <ns0:f>Q716-F716*'前提と出典'!$E$4</ns0:f>
        <ns0:v>462435.6700155501</ns0:v>
      </ns0:c>
      <ns0:c r="T716" s="7">
        <ns0:f>R716+S716</ns0:f>
        <ns0:v>1666417.6026218128</ns0:v>
      </ns0:c>
      <ns0:c r="U716" s="16">
        <ns0:f>P716-E716*'前提と出典'!$E$5</ns0:f>
        <ns0:v>1066213.8730469185</ns0:v>
      </ns0:c>
      <ns0:c r="V716" s="16">
        <ns0:f>Q716-F716*'前提と出典'!$E$5</ns0:f>
        <ns0:v>408366.71186062484</ns0:v>
      </ns0:c>
      <ns0:c r="W716" s="7">
        <ns0:f>U716+V716</ns0:f>
        <ns0:v>1474580.5849075434</ns0:v>
      </ns0:c>
      <ns0:c r="X716" s="16">
        <ns0:f>P716-E716*'前提と出典'!$E$6</ns0:f>
        <ns0:v>928445.8134875738</ns0:v>
      </ns0:c>
      <ns0:c r="Y716" s="16">
        <ns0:f>Q716-F716*'前提と出典'!$E$6</ns0:f>
        <ns0:v>354297.7537056997</ns0:v>
      </ns0:c>
      <ns0:c r="Z716" s="7">
        <ns0:f>X716+Y716</ns0:f>
        <ns0:v>1282743.5671932735</ns0:v>
      </ns0:c>
      <ns0:c r="AA716" s="7">
        <ns0:f>IF(T716&gt;=0,A716,1001)</ns0:f>
        <ns0:v>712</ns0:v>
      </ns0:c>
      <ns0:c r="AB716" s="7">
        <ns0:f>IF(T716&lt;0,A716,0)</ns0:f>
        <ns0:v>0</ns0:v>
      </ns0:c>
      <ns0:c r="AC716" s="16">
        <ns0:f>IF(AND(OR('前提と出典'!$C$36+'前提と出典'!$C$38=0,R716&gt;=0),OR('前提と出典'!$C$37+'前提と出典'!$C$38=0,S716&gt;=0)),0,A716)</ns0:f>
        <ns0:v>0</ns0:v>
      </ns0:c>
      <ns0:c r="AD716" s="7">
        <ns0:f>IF(W716&gt;=0,A716,1001)</ns0:f>
        <ns0:v>712</ns0:v>
      </ns0:c>
      <ns0:c r="AE716" s="7">
        <ns0:f>IF(W716&lt;0,A716,0)</ns0:f>
        <ns0:v>0</ns0:v>
      </ns0:c>
      <ns0:c r="AF716" s="16">
        <ns0:f>IF(AND(OR('前提と出典'!$C$36+'前提と出典'!$C$38=0,U716&gt;=0),OR('前提と出典'!$C$37+'前提と出典'!$C$38=0,V716&gt;=0)),0,A716)</ns0:f>
        <ns0:v>0</ns0:v>
      </ns0:c>
      <ns0:c r="AG716" s="7">
        <ns0:f>IF(Z716&gt;=0,A716,1001)</ns0:f>
        <ns0:v>712</ns0:v>
      </ns0:c>
      <ns0:c r="AH716" s="4">
        <ns0:f>IF(Z716&lt;0,A716,0)</ns0:f>
        <ns0:v>0</ns0:v>
      </ns0:c>
      <ns0:c r="AI716" s="12">
        <ns0:f>IF(AND(OR('前提と出典'!$C$36+'前提と出典'!$C$38=0,X716&gt;=0),OR('前提と出典'!$C$37+'前提と出典'!$C$38=0,Y716&gt;=0)),0,A716)</ns0:f>
        <ns0:v>0</ns0:v>
      </ns0:c>
    </ns0:row>
    <ns0:row r="717" ht="24" customHeight="1">
      <ns0:c r="A717" s="4" t="n">
        <ns0:v>713</ns0:v>
      </ns0:c>
      <ns0:c r="B717" s="12">
        <ns0:f>A717*('前提と出典'!$C$36+'前提と出典'!$C$38)</ns0:f>
        <ns0:v>499.09999999999997</ns0:v>
      </ns0:c>
      <ns0:c r="C717" s="12">
        <ns0:f>A717*('前提と出典'!$C$37+'前提と出典'!$C$38)</ns0:f>
        <ns0:v>427.8</ns0:v>
      </ns0:c>
      <ns0:c r="D717" s="16">
        <ns0:f>A717*('前提と出典'!$C$36*'契約別単価'!C5+'前提と出典'!$C$37*'契約別単価'!C6+'前提と出典'!$C$38*'契約別単価'!C7)</ns0:f>
        <ns0:v>5130.413407821229</ns0:v>
      </ns0:c>
      <ns0:c r="E717" s="16">
        <ns0:f>A717*('前提と出典'!$C$36*'契約別単価'!E5+'前提と出典'!$C$37*'契約別単価'!E6+'前提と出典'!$C$38*'契約別単価'!E7)</ns0:f>
        <ns0:v>1379615.540250177</ns0:v>
      </ns0:c>
      <ns0:c r="F717" s="16">
        <ns0:f>A717*('前提と出典'!$C$36*'契約別単価'!F5+'前提と出典'!$C$37*'契約別単価'!F6+'前提と出典'!$C$38*'契約別単価'!F7)</ns0:f>
        <ns0:v>541448.9770289559</ns0:v>
      </ns0:c>
      <ns0:c r="G717" s="16">
        <ns0:f>A717*('前提と出典'!$C$36*'契約別単価'!G5+'前提と出典'!$C$37*'契約別単価'!G6+'前提と出典'!$C$38*'契約別単価'!G7)</ns0:f>
        <ns0:v>1419228.4916201117</ns0:v>
      </ns0:c>
      <ns0:c r="H717" s="16">
        <ns0:f>A717*('前提と出典'!$C$36*'契約別単価'!H5+'前提と出典'!$C$37*'契約別単価'!H6+'前提と出典'!$C$38*'契約別単価'!H7)</ns0:f>
        <ns0:v>492543.46649448347</ns0:v>
      </ns0:c>
      <ns0:c r="I717" s="16">
        <ns0:f>A717*('前提と出典'!$C$36*'契約別単価'!I5+'前提と出典'!$C$37*'契約別単価'!I6+'前提と出典'!$C$38*'契約別単価'!I7)</ns0:f>
        <ns0:v>30085.413407821223</ns0:v>
      </ns0:c>
      <ns0:c r="J717" s="16">
        <ns0:f>A717*('前提と出典'!$C$36*'契約別単価'!J5+'前提と出典'!$C$37*'契約別単価'!J6+'前提と出典'!$C$38*'契約別単価'!J7)</ns0:f>
        <ns0:v>70080.44466544573</ns0:v>
      </ns0:c>
      <ns0:c r="K717" s="16">
        <ns0:f>A717*('前提と出典'!$C$36*'契約別単価'!K5+'前提と出典'!$C$37*'契約別単価'!K6+'前提と出典'!$C$38*'契約別単価'!K7)</ns0:f>
        <ns0:v>300389.4227188082</ns0:v>
      </ns0:c>
      <ns0:c r="L717" s="16">
        <ns0:f>A717*('前提と出典'!$C$36*'契約別単価'!L5+'前提と出典'!$C$37*'契約別単価'!L6+'前提と出典'!$C$38*'契約別単価'!L7)</ns0:f>
        <ns0:v>244578.1155498161</ns0:v>
      </ns0:c>
      <ns0:c r="M717" s="16">
        <ns0:f>IF(('前提と出典'!$C$36+'前提と出典'!$C$38)=0,0,IF(B717&lt;=10,'前提と出典'!B73+'前提と出典'!C73,IF(B717&lt;=100,'前提と出典'!B74+'前提と出典'!C74,IF(B717&lt;=500,'前提と出典'!B75+'前提と出典'!C75,'前提と出典'!B76+'前提と出典'!C76))))</ns0:f>
        <ns0:v>40000</ns0:v>
      </ns0:c>
      <ns0:c r="N717" s="16">
        <ns0:f>IF(('前提と出典'!$C$37+'前提と出典'!$C$38)=0,0,IF(C717&lt;=10,'前提と出典'!D73+'前提と出典'!E73,IF(C717&lt;=100,'前提と出典'!D74+'前提と出典'!E74,IF(C717&lt;=500,'前提と出典'!D75+'前提と出典'!E75,'前提と出典'!D76+'前提と出典'!E76))))</ns0:f>
        <ns0:v>56510.9346263078</ns0:v>
      </ns0:c>
      <ns0:c r="O717" s="16">
        <ns0:f>IF('前提と出典'!$C$36+'前提と出典'!$C$38=0,0,'前提と出典'!$B$4*IF('前提と出典'!$B$20=0,MAX('前提と出典'!$B$6,D717*'前提と出典'!$B$5),'前提と出典'!$B$6+D717*'前提と出典'!$B$5))</ns0:f>
        <ns0:v>707997.0502793296</ns0:v>
      </ns0:c>
      <ns0:c r="P717" s="16">
        <ns0:f>(E717+G717)*(1-'前提と出典'!$B$7)-I717-K717-M717-O717</ns0:f>
        <ns0:v>1619613.7603169999</ns0:v>
      </ns0:c>
      <ns0:c r="Q717" s="16">
        <ns0:f>(F717+H717)*(1-'前提と出典'!$B$7)-J717-L717-N717</ns0:f>
        <ns0:v>625599.2207150259</ns0:v>
      </ns0:c>
      <ns0:c r="R717" s="16">
        <ns0:f>P717-E717*'前提と出典'!$E$4</ns0:f>
        <ns0:v>1205729.0982419467</ns0:v>
      </ns0:c>
      <ns0:c r="S717" s="16">
        <ns0:f>Q717-F717*'前提と出典'!$E$4</ns0:f>
        <ns0:v>463164.52760633914</ns0:v>
      </ns0:c>
      <ns0:c r="T717" s="7">
        <ns0:f>R717+S717</ns0:f>
        <ns0:v>1668893.6258482859</ns0:v>
      </ns0:c>
      <ns0:c r="U717" s="16">
        <ns0:f>P717-E717*'前提と出典'!$E$5</ns0:f>
        <ns0:v>1067767.544216929</ns0:v>
      </ns0:c>
      <ns0:c r="V717" s="16">
        <ns0:f>Q717-F717*'前提と出典'!$E$5</ns0:f>
        <ns0:v>409019.62990344357</ns0:v>
      </ns0:c>
      <ns0:c r="W717" s="7">
        <ns0:f>U717+V717</ns0:f>
        <ns0:v>1476787.1741203726</ns0:v>
      </ns0:c>
      <ns0:c r="X717" s="16">
        <ns0:f>P717-E717*'前提と出典'!$E$6</ns0:f>
        <ns0:v>929805.9901919112</ns0:v>
      </ns0:c>
      <ns0:c r="Y717" s="16">
        <ns0:f>Q717-F717*'前提と出典'!$E$6</ns0:f>
        <ns0:v>354874.732200548</ns0:v>
      </ns0:c>
      <ns0:c r="Z717" s="7">
        <ns0:f>X717+Y717</ns0:f>
        <ns0:v>1284680.7223924592</ns0:v>
      </ns0:c>
      <ns0:c r="AA717" s="7">
        <ns0:f>IF(T717&gt;=0,A717,1001)</ns0:f>
        <ns0:v>713</ns0:v>
      </ns0:c>
      <ns0:c r="AB717" s="7">
        <ns0:f>IF(T717&lt;0,A717,0)</ns0:f>
        <ns0:v>0</ns0:v>
      </ns0:c>
      <ns0:c r="AC717" s="16">
        <ns0:f>IF(AND(OR('前提と出典'!$C$36+'前提と出典'!$C$38=0,R717&gt;=0),OR('前提と出典'!$C$37+'前提と出典'!$C$38=0,S717&gt;=0)),0,A717)</ns0:f>
        <ns0:v>0</ns0:v>
      </ns0:c>
      <ns0:c r="AD717" s="7">
        <ns0:f>IF(W717&gt;=0,A717,1001)</ns0:f>
        <ns0:v>713</ns0:v>
      </ns0:c>
      <ns0:c r="AE717" s="7">
        <ns0:f>IF(W717&lt;0,A717,0)</ns0:f>
        <ns0:v>0</ns0:v>
      </ns0:c>
      <ns0:c r="AF717" s="16">
        <ns0:f>IF(AND(OR('前提と出典'!$C$36+'前提と出典'!$C$38=0,U717&gt;=0),OR('前提と出典'!$C$37+'前提と出典'!$C$38=0,V717&gt;=0)),0,A717)</ns0:f>
        <ns0:v>0</ns0:v>
      </ns0:c>
      <ns0:c r="AG717" s="7">
        <ns0:f>IF(Z717&gt;=0,A717,1001)</ns0:f>
        <ns0:v>713</ns0:v>
      </ns0:c>
      <ns0:c r="AH717" s="4">
        <ns0:f>IF(Z717&lt;0,A717,0)</ns0:f>
        <ns0:v>0</ns0:v>
      </ns0:c>
      <ns0:c r="AI717" s="12">
        <ns0:f>IF(AND(OR('前提と出典'!$C$36+'前提と出典'!$C$38=0,X717&gt;=0),OR('前提と出典'!$C$37+'前提と出典'!$C$38=0,Y717&gt;=0)),0,A717)</ns0:f>
        <ns0:v>0</ns0:v>
      </ns0:c>
    </ns0:row>
    <ns0:row r="718" ht="24" customHeight="1">
      <ns0:c r="A718" s="4" t="n">
        <ns0:v>714</ns0:v>
      </ns0:c>
      <ns0:c r="B718" s="12">
        <ns0:f>A718*('前提と出典'!$C$36+'前提と出典'!$C$38)</ns0:f>
        <ns0:v>499.79999999999995</ns0:v>
      </ns0:c>
      <ns0:c r="C718" s="12">
        <ns0:f>A718*('前提と出典'!$C$37+'前提と出典'!$C$38)</ns0:f>
        <ns0:v>428.4</ns0:v>
      </ns0:c>
      <ns0:c r="D718" s="16">
        <ns0:f>A718*('前提と出典'!$C$36*'契約別単価'!C5+'前提と出典'!$C$37*'契約別単価'!C6+'前提と出典'!$C$38*'契約別単価'!C7)</ns0:f>
        <ns0:v>5137.608938547486</ns0:v>
      </ns0:c>
      <ns0:c r="E718" s="16">
        <ns0:f>A718*('前提と出典'!$C$36*'契約別単価'!E5+'前提と出典'!$C$37*'契約別単価'!E6+'前提と出典'!$C$38*'契約別単価'!E7)</ns0:f>
        <ns0:v>1381550.4849069093</ns0:v>
      </ns0:c>
      <ns0:c r="F718" s="16">
        <ns0:f>A718*('前提と出典'!$C$36*'契約別単価'!F5+'前提と出典'!$C$37*'契約別単価'!F6+'前提と出典'!$C$38*'契約別単価'!F7)</ns0:f>
        <ns0:v>542208.37250866</ns0:v>
      </ns0:c>
      <ns0:c r="G718" s="16">
        <ns0:f>A718*('前提と出典'!$C$36*'契約別単価'!G5+'前提と出典'!$C$37*'契約別単価'!G6+'前提と出典'!$C$38*'契約別単価'!G7)</ns0:f>
        <ns0:v>1421218.9944134078</ns0:v>
      </ns0:c>
      <ns0:c r="H718" s="16">
        <ns0:f>A718*('前提と出典'!$C$36*'契約別単価'!H5+'前提と出典'!$C$37*'契約別単価'!H6+'前提と出典'!$C$38*'契約別単価'!H7)</ns0:f>
        <ns0:v>493234.27079531725</ns0:v>
      </ns0:c>
      <ns0:c r="I718" s="16">
        <ns0:f>A718*('前提と出典'!$C$36*'契約別単価'!I5+'前提と出典'!$C$37*'契約別単価'!I6+'前提と出典'!$C$38*'契約別単価'!I7)</ns0:f>
        <ns0:v>30127.60893854748</ns0:v>
      </ns0:c>
      <ns0:c r="J718" s="16">
        <ns0:f>A718*('前提と出典'!$C$36*'契約別単価'!J5+'前提と出典'!$C$37*'契約別単価'!J6+'前提と出典'!$C$38*'契約別単価'!J7)</ns0:f>
        <ns0:v>70178.73420915603</ns0:v>
      </ns0:c>
      <ns0:c r="K718" s="16">
        <ns0:f>A718*('前提と出典'!$C$36*'契約別単価'!K5+'前提と出典'!$C$37*'契約別単価'!K6+'前提と出典'!$C$38*'契約別単価'!K7)</ns0:f>
        <ns0:v>300810.72625698324</ns0:v>
      </ns0:c>
      <ns0:c r="L718" s="16">
        <ns0:f>A718*('前提と出典'!$C$36*'契約別単価'!L5+'前提と出典'!$C$37*'契約別単価'!L6+'前提と出典'!$C$38*'契約別単価'!L7)</ns0:f>
        <ns0:v>244921.1423598439</ns0:v>
      </ns0:c>
      <ns0:c r="M718" s="16">
        <ns0:f>IF(('前提と出典'!$C$36+'前提と出典'!$C$38)=0,0,IF(B718&lt;=10,'前提と出典'!B73+'前提と出典'!C73,IF(B718&lt;=100,'前提と出典'!B74+'前提と出典'!C74,IF(B718&lt;=500,'前提と出典'!B75+'前提と出典'!C75,'前提と出典'!B76+'前提と出典'!C76))))</ns0:f>
        <ns0:v>40000</ns0:v>
      </ns0:c>
      <ns0:c r="N718" s="16">
        <ns0:f>IF(('前提と出典'!$C$37+'前提と出典'!$C$38)=0,0,IF(C718&lt;=10,'前提と出典'!D73+'前提と出典'!E73,IF(C718&lt;=100,'前提と出典'!D74+'前提と出典'!E74,IF(C718&lt;=500,'前提と出典'!D75+'前提と出典'!E75,'前提と出典'!D76+'前提と出典'!E76))))</ns0:f>
        <ns0:v>56510.9346263078</ns0:v>
      </ns0:c>
      <ns0:c r="O718" s="16">
        <ns0:f>IF('前提と出典'!$C$36+'前提と出典'!$C$38=0,0,'前提と出典'!$B$4*IF('前提と出典'!$B$20=0,MAX('前提と出典'!$B$6,D718*'前提と出典'!$B$5),'前提と出典'!$B$6+D718*'前提と出典'!$B$5))</ns0:f>
        <ns0:v>708990.033519553</ns0:v>
      </ns0:c>
      <ns0:c r="P718" s="16">
        <ns0:f>(E718+G718)*(1-'前提と出典'!$B$7)-I718-K718-M718-O718</ns0:f>
        <ns0:v>1621941.409349702</ns0:v>
      </ns0:c>
      <ns0:c r="Q718" s="16">
        <ns0:f>(F718+H718)*(1-'前提と出典'!$B$7)-J718-L718-N718</ns0:f>
        <ns0:v>626555.8969497263</ns0:v>
      </ns0:c>
      <ns0:c r="R718" s="16">
        <ns0:f>P718-E718*'前提と出典'!$E$4</ns0:f>
        <ns0:v>1207476.2638776293</ns0:v>
      </ns0:c>
      <ns0:c r="S718" s="16">
        <ns0:f>Q718-F718*'前提と出典'!$E$4</ns0:f>
        <ns0:v>463893.3851971283</ns0:v>
      </ns0:c>
      <ns0:c r="T718" s="7">
        <ns0:f>R718+S718</ns0:f>
        <ns0:v>1671369.6490747575</ns0:v>
      </ns0:c>
      <ns0:c r="U718" s="16">
        <ns0:f>P718-E718*'前提と出典'!$E$5</ns0:f>
        <ns0:v>1069321.2153869383</ns0:v>
      </ns0:c>
      <ns0:c r="V718" s="16">
        <ns0:f>Q718-F718*'前提と出典'!$E$5</ns0:f>
        <ns0:v>409672.5479462623</ns0:v>
      </ns0:c>
      <ns0:c r="W718" s="7">
        <ns0:f>U718+V718</ns0:f>
        <ns0:v>1478993.7633332005</ns0:v>
      </ns0:c>
      <ns0:c r="X718" s="16">
        <ns0:f>P718-E718*'前提と出典'!$E$6</ns0:f>
        <ns0:v>931166.1668962473</ns0:v>
      </ns0:c>
      <ns0:c r="Y718" s="16">
        <ns0:f>Q718-F718*'前提と出典'!$E$6</ns0:f>
        <ns0:v>355451.7106953963</ns0:v>
      </ns0:c>
      <ns0:c r="Z718" s="7">
        <ns0:f>X718+Y718</ns0:f>
        <ns0:v>1286617.8775916435</ns0:v>
      </ns0:c>
      <ns0:c r="AA718" s="7">
        <ns0:f>IF(T718&gt;=0,A718,1001)</ns0:f>
        <ns0:v>714</ns0:v>
      </ns0:c>
      <ns0:c r="AB718" s="7">
        <ns0:f>IF(T718&lt;0,A718,0)</ns0:f>
        <ns0:v>0</ns0:v>
      </ns0:c>
      <ns0:c r="AC718" s="16">
        <ns0:f>IF(AND(OR('前提と出典'!$C$36+'前提と出典'!$C$38=0,R718&gt;=0),OR('前提と出典'!$C$37+'前提と出典'!$C$38=0,S718&gt;=0)),0,A718)</ns0:f>
        <ns0:v>0</ns0:v>
      </ns0:c>
      <ns0:c r="AD718" s="7">
        <ns0:f>IF(W718&gt;=0,A718,1001)</ns0:f>
        <ns0:v>714</ns0:v>
      </ns0:c>
      <ns0:c r="AE718" s="7">
        <ns0:f>IF(W718&lt;0,A718,0)</ns0:f>
        <ns0:v>0</ns0:v>
      </ns0:c>
      <ns0:c r="AF718" s="16">
        <ns0:f>IF(AND(OR('前提と出典'!$C$36+'前提と出典'!$C$38=0,U718&gt;=0),OR('前提と出典'!$C$37+'前提と出典'!$C$38=0,V718&gt;=0)),0,A718)</ns0:f>
        <ns0:v>0</ns0:v>
      </ns0:c>
      <ns0:c r="AG718" s="7">
        <ns0:f>IF(Z718&gt;=0,A718,1001)</ns0:f>
        <ns0:v>714</ns0:v>
      </ns0:c>
      <ns0:c r="AH718" s="4">
        <ns0:f>IF(Z718&lt;0,A718,0)</ns0:f>
        <ns0:v>0</ns0:v>
      </ns0:c>
      <ns0:c r="AI718" s="12">
        <ns0:f>IF(AND(OR('前提と出典'!$C$36+'前提と出典'!$C$38=0,X718&gt;=0),OR('前提と出典'!$C$37+'前提と出典'!$C$38=0,Y718&gt;=0)),0,A718)</ns0:f>
        <ns0:v>0</ns0:v>
      </ns0:c>
    </ns0:row>
    <ns0:row r="719" ht="24" customHeight="1">
      <ns0:c r="A719" s="4" t="n">
        <ns0:v>715</ns0:v>
      </ns0:c>
      <ns0:c r="B719" s="12">
        <ns0:f>A719*('前提と出典'!$C$36+'前提と出典'!$C$38)</ns0:f>
        <ns0:v>500.49999999999994</ns0:v>
      </ns0:c>
      <ns0:c r="C719" s="12">
        <ns0:f>A719*('前提と出典'!$C$37+'前提と出典'!$C$38)</ns0:f>
        <ns0:v>429</ns0:v>
      </ns0:c>
      <ns0:c r="D719" s="16">
        <ns0:f>A719*('前提と出典'!$C$36*'契約別単価'!C5+'前提と出典'!$C$37*'契約別単価'!C6+'前提と出典'!$C$38*'契約別単価'!C7)</ns0:f>
        <ns0:v>5144.804469273743</ns0:v>
      </ns0:c>
      <ns0:c r="E719" s="16">
        <ns0:f>A719*('前提と出典'!$C$36*'契約別単価'!E5+'前提と出典'!$C$37*'契約別単価'!E6+'前提と出典'!$C$38*'契約別単価'!E7)</ns0:f>
        <ns0:v>1383485.4295636415</ns0:v>
      </ns0:c>
      <ns0:c r="F719" s="16">
        <ns0:f>A719*('前提と出典'!$C$36*'契約別単価'!F5+'前提と出典'!$C$37*'契約別単価'!F6+'前提と出典'!$C$38*'契約別単価'!F7)</ns0:f>
        <ns0:v>542967.767988364</ns0:v>
      </ns0:c>
      <ns0:c r="G719" s="16">
        <ns0:f>A719*('前提と出典'!$C$36*'契約別単価'!G5+'前提と出典'!$C$37*'契約別単価'!G6+'前提と出典'!$C$38*'契約別単価'!G7)</ns0:f>
        <ns0:v>1423209.4972067038</ns0:v>
      </ns0:c>
      <ns0:c r="H719" s="16">
        <ns0:f>A719*('前提と出典'!$C$36*'契約別単価'!H5+'前提と出典'!$C$37*'契約別単価'!H6+'前提と出典'!$C$38*'契約別単価'!H7)</ns0:f>
        <ns0:v>493925.07509615103</ns0:v>
      </ns0:c>
      <ns0:c r="I719" s="16">
        <ns0:f>A719*('前提と出典'!$C$36*'契約別単価'!I5+'前提と出典'!$C$37*'契約別単価'!I6+'前提と出典'!$C$38*'契約別単価'!I7)</ns0:f>
        <ns0:v>30169.80446927374</ns0:v>
      </ns0:c>
      <ns0:c r="J719" s="16">
        <ns0:f>A719*('前提と出典'!$C$36*'契約別単価'!J5+'前提と出典'!$C$37*'契約別単価'!J6+'前提と出典'!$C$38*'契約別単価'!J7)</ns0:f>
        <ns0:v>70277.02375286634</ns0:v>
      </ns0:c>
      <ns0:c r="K719" s="16">
        <ns0:f>A719*('前提と出典'!$C$36*'契約別単価'!K5+'前提と出典'!$C$37*'契約別単価'!K6+'前提と出典'!$C$38*'契約別単価'!K7)</ns0:f>
        <ns0:v>301232.02979515825</ns0:v>
      </ns0:c>
      <ns0:c r="L719" s="16">
        <ns0:f>A719*('前提と出典'!$C$36*'契約別単価'!L5+'前提と出典'!$C$37*'契約別単価'!L6+'前提と出典'!$C$38*'契約別単価'!L7)</ns0:f>
        <ns0:v>245264.1691698717</ns0:v>
      </ns0:c>
      <ns0:c r="M719" s="16">
        <ns0:f>IF(('前提と出典'!$C$36+'前提と出典'!$C$38)=0,0,IF(B719&lt;=10,'前提と出典'!B73+'前提と出典'!C73,IF(B719&lt;=100,'前提と出典'!B74+'前提と出典'!C74,IF(B719&lt;=500,'前提と出典'!B75+'前提と出典'!C75,'前提と出典'!B76+'前提と出典'!C76))))</ns0:f>
        <ns0:v>80000</ns0:v>
      </ns0:c>
      <ns0:c r="N719" s="16">
        <ns0:f>IF(('前提と出典'!$C$37+'前提と出典'!$C$38)=0,0,IF(C719&lt;=10,'前提と出典'!D73+'前提と出典'!E73,IF(C719&lt;=100,'前提と出典'!D74+'前提と出典'!E74,IF(C719&lt;=500,'前提と出典'!D75+'前提と出典'!E75,'前提と出典'!D76+'前提と出典'!E76))))</ns0:f>
        <ns0:v>56510.9346263078</ns0:v>
      </ns0:c>
      <ns0:c r="O719" s="16">
        <ns0:f>IF('前提と出典'!$C$36+'前提と出典'!$C$38=0,0,'前提と出典'!$B$4*IF('前提と出典'!$B$20=0,MAX('前提と出典'!$B$6,D719*'前提と出典'!$B$5),'前提と出典'!$B$6+D719*'前提と出典'!$B$5))</ns0:f>
        <ns0:v>709983.0167597765</ns0:v>
      </ns0:c>
      <ns0:c r="P719" s="16">
        <ns0:f>(E719+G719)*(1-'前提と出典'!$B$7)-I719-K719-M719-O719</ns0:f>
        <ns0:v>1584269.0583824047</ns0:v>
      </ns0:c>
      <ns0:c r="Q719" s="16">
        <ns0:f>(F719+H719)*(1-'前提と出典'!$B$7)-J719-L719-N719</ns0:f>
        <ns0:v>627512.5731844266</ns0:v>
      </ns0:c>
      <ns0:c r="R719" s="16">
        <ns0:f>P719-E719*'前提と出典'!$E$4</ns0:f>
        <ns0:v>1169223.429513312</ns0:v>
      </ns0:c>
      <ns0:c r="S719" s="16">
        <ns0:f>Q719-F719*'前提と出典'!$E$4</ns0:f>
        <ns0:v>464622.2427879175</ns0:v>
      </ns0:c>
      <ns0:c r="T719" s="7">
        <ns0:f>R719+S719</ns0:f>
        <ns0:v>1633845.6723012296</ns0:v>
      </ns0:c>
      <ns0:c r="U719" s="16">
        <ns0:f>P719-E719*'前提と出典'!$E$5</ns0:f>
        <ns0:v>1030874.8865569481</ns0:v>
      </ns0:c>
      <ns0:c r="V719" s="16">
        <ns0:f>Q719-F719*'前提と出典'!$E$5</ns0:f>
        <ns0:v>410325.4659890811</ns0:v>
      </ns0:c>
      <ns0:c r="W719" s="7">
        <ns0:f>U719+V719</ns0:f>
        <ns0:v>1441200.3525460293</ns0:v>
      </ns0:c>
      <ns0:c r="X719" s="16">
        <ns0:f>P719-E719*'前提と出典'!$E$6</ns0:f>
        <ns0:v>892526.3436005837</ns0:v>
      </ns0:c>
      <ns0:c r="Y719" s="16">
        <ns0:f>Q719-F719*'前提と出典'!$E$6</ns0:f>
        <ns0:v>356028.68919024465</ns0:v>
      </ns0:c>
      <ns0:c r="Z719" s="7">
        <ns0:f>X719+Y719</ns0:f>
        <ns0:v>1248555.0327908285</ns0:v>
      </ns0:c>
      <ns0:c r="AA719" s="7">
        <ns0:f>IF(T719&gt;=0,A719,1001)</ns0:f>
        <ns0:v>715</ns0:v>
      </ns0:c>
      <ns0:c r="AB719" s="7">
        <ns0:f>IF(T719&lt;0,A719,0)</ns0:f>
        <ns0:v>0</ns0:v>
      </ns0:c>
      <ns0:c r="AC719" s="16">
        <ns0:f>IF(AND(OR('前提と出典'!$C$36+'前提と出典'!$C$38=0,R719&gt;=0),OR('前提と出典'!$C$37+'前提と出典'!$C$38=0,S719&gt;=0)),0,A719)</ns0:f>
        <ns0:v>0</ns0:v>
      </ns0:c>
      <ns0:c r="AD719" s="7">
        <ns0:f>IF(W719&gt;=0,A719,1001)</ns0:f>
        <ns0:v>715</ns0:v>
      </ns0:c>
      <ns0:c r="AE719" s="7">
        <ns0:f>IF(W719&lt;0,A719,0)</ns0:f>
        <ns0:v>0</ns0:v>
      </ns0:c>
      <ns0:c r="AF719" s="16">
        <ns0:f>IF(AND(OR('前提と出典'!$C$36+'前提と出典'!$C$38=0,U719&gt;=0),OR('前提と出典'!$C$37+'前提と出典'!$C$38=0,V719&gt;=0)),0,A719)</ns0:f>
        <ns0:v>0</ns0:v>
      </ns0:c>
      <ns0:c r="AG719" s="7">
        <ns0:f>IF(Z719&gt;=0,A719,1001)</ns0:f>
        <ns0:v>715</ns0:v>
      </ns0:c>
      <ns0:c r="AH719" s="4">
        <ns0:f>IF(Z719&lt;0,A719,0)</ns0:f>
        <ns0:v>0</ns0:v>
      </ns0:c>
      <ns0:c r="AI719" s="12">
        <ns0:f>IF(AND(OR('前提と出典'!$C$36+'前提と出典'!$C$38=0,X719&gt;=0),OR('前提と出典'!$C$37+'前提と出典'!$C$38=0,Y719&gt;=0)),0,A719)</ns0:f>
        <ns0:v>0</ns0:v>
      </ns0:c>
    </ns0:row>
    <ns0:row r="720" ht="24" customHeight="1">
      <ns0:c r="A720" s="4" t="n">
        <ns0:v>716</ns0:v>
      </ns0:c>
      <ns0:c r="B720" s="12">
        <ns0:f>A720*('前提と出典'!$C$36+'前提と出典'!$C$38)</ns0:f>
        <ns0:v>501.2</ns0:v>
      </ns0:c>
      <ns0:c r="C720" s="12">
        <ns0:f>A720*('前提と出典'!$C$37+'前提と出典'!$C$38)</ns0:f>
        <ns0:v>429.59999999999997</ns0:v>
      </ns0:c>
      <ns0:c r="D720" s="16">
        <ns0:f>A720*('前提と出典'!$C$36*'契約別単価'!C5+'前提と出典'!$C$37*'契約別単価'!C6+'前提と出典'!$C$38*'契約別単価'!C7)</ns0:f>
        <ns0:v>5152</ns0:v>
      </ns0:c>
      <ns0:c r="E720" s="16">
        <ns0:f>A720*('前提と出典'!$C$36*'契約別単価'!E5+'前提と出典'!$C$37*'契約別単価'!E6+'前提と出典'!$C$38*'契約別単価'!E7)</ns0:f>
        <ns0:v>1385420.374220374</ns0:v>
      </ns0:c>
      <ns0:c r="F720" s="16">
        <ns0:f>A720*('前提と出典'!$C$36*'契約別単価'!F5+'前提と出典'!$C$37*'契約別単価'!F6+'前提と出典'!$C$38*'契約別単価'!F7)</ns0:f>
        <ns0:v>543727.163468068</ns0:v>
      </ns0:c>
      <ns0:c r="G720" s="16">
        <ns0:f>A720*('前提と出典'!$C$36*'契約別単価'!G5+'前提と出典'!$C$37*'契約別単価'!G6+'前提と出典'!$C$38*'契約別単価'!G7)</ns0:f>
        <ns0:v>1425200</ns0:v>
      </ns0:c>
      <ns0:c r="H720" s="16">
        <ns0:f>A720*('前提と出典'!$C$36*'契約別単価'!H5+'前提と出典'!$C$37*'契約別単価'!H6+'前提と出典'!$C$38*'契約別単価'!H7)</ns0:f>
        <ns0:v>494615.8793969848</ns0:v>
      </ns0:c>
      <ns0:c r="I720" s="16">
        <ns0:f>A720*('前提と出典'!$C$36*'契約別単価'!I5+'前提と出典'!$C$37*'契約別単価'!I6+'前提と出典'!$C$38*'契約別単価'!I7)</ns0:f>
        <ns0:v>30211.999999999996</ns0:v>
      </ns0:c>
      <ns0:c r="J720" s="16">
        <ns0:f>A720*('前提と出典'!$C$36*'契約別単価'!J5+'前提と出典'!$C$37*'契約別単価'!J6+'前提と出典'!$C$38*'契約別単価'!J7)</ns0:f>
        <ns0:v>70375.31329657664</ns0:v>
      </ns0:c>
      <ns0:c r="K720" s="16">
        <ns0:f>A720*('前提と出典'!$C$36*'契約別単価'!K5+'前提と出典'!$C$37*'契約別単価'!K6+'前提と出典'!$C$38*'契約別単価'!K7)</ns0:f>
        <ns0:v>301653.3333333333</ns0:v>
      </ns0:c>
      <ns0:c r="L720" s="16">
        <ns0:f>A720*('前提と出典'!$C$36*'契約別単価'!L5+'前提と出典'!$C$37*'契約別単価'!L6+'前提と出典'!$C$38*'契約別単価'!L7)</ns0:f>
        <ns0:v>245607.1959798995</ns0:v>
      </ns0:c>
      <ns0:c r="M720" s="16">
        <ns0:f>IF(('前提と出典'!$C$36+'前提と出典'!$C$38)=0,0,IF(B720&lt;=10,'前提と出典'!B73+'前提と出典'!C73,IF(B720&lt;=100,'前提と出典'!B74+'前提と出典'!C74,IF(B720&lt;=500,'前提と出典'!B75+'前提と出典'!C75,'前提と出典'!B76+'前提と出典'!C76))))</ns0:f>
        <ns0:v>80000</ns0:v>
      </ns0:c>
      <ns0:c r="N720" s="16">
        <ns0:f>IF(('前提と出典'!$C$37+'前提と出典'!$C$38)=0,0,IF(C720&lt;=10,'前提と出典'!D73+'前提と出典'!E73,IF(C720&lt;=100,'前提と出典'!D74+'前提と出典'!E74,IF(C720&lt;=500,'前提と出典'!D75+'前提と出典'!E75,'前提と出典'!D76+'前提と出典'!E76))))</ns0:f>
        <ns0:v>56510.9346263078</ns0:v>
      </ns0:c>
      <ns0:c r="O720" s="16">
        <ns0:f>IF('前提と出典'!$C$36+'前提と出典'!$C$38=0,0,'前提と出典'!$B$4*IF('前提と出典'!$B$20=0,MAX('前提と出典'!$B$6,D720*'前提と出典'!$B$5),'前提と出典'!$B$6+D720*'前提と出典'!$B$5))</ns0:f>
        <ns0:v>710976</ns0:v>
      </ns0:c>
      <ns0:c r="P720" s="16">
        <ns0:f>(E720+G720)*(1-'前提と出典'!$B$7)-I720-K720-M720-O720</ns0:f>
        <ns0:v>1586596.7074151072</ns0:v>
      </ns0:c>
      <ns0:c r="Q720" s="16">
        <ns0:f>(F720+H720)*(1-'前提と出典'!$B$7)-J720-L720-N720</ns0:f>
        <ns0:v>628469.2494191271</ns0:v>
      </ns0:c>
      <ns0:c r="R720" s="16">
        <ns0:f>P720-E720*'前提と出典'!$E$4</ns0:f>
        <ns0:v>1170970.5951489953</ns0:v>
      </ns0:c>
      <ns0:c r="S720" s="16">
        <ns0:f>Q720-F720*'前提と出典'!$E$4</ns0:f>
        <ns0:v>465351.1003787066</ns0:v>
      </ns0:c>
      <ns0:c r="T720" s="7">
        <ns0:f>R720+S720</ns0:f>
        <ns0:v>1636321.6955277019</ns0:v>
      </ns0:c>
      <ns0:c r="U720" s="16">
        <ns0:f>P720-E720*'前提と出典'!$E$5</ns0:f>
        <ns0:v>1032428.5577269576</ns0:v>
      </ns0:c>
      <ns0:c r="V720" s="16">
        <ns0:f>Q720-F720*'前提と出典'!$E$5</ns0:f>
        <ns0:v>410978.38403189986</ns0:v>
      </ns0:c>
      <ns0:c r="W720" s="7">
        <ns0:f>U720+V720</ns0:f>
        <ns0:v>1443406.9417588576</ns0:v>
      </ns0:c>
      <ns0:c r="X720" s="16">
        <ns0:f>P720-E720*'前提と出典'!$E$6</ns0:f>
        <ns0:v>893886.5203049204</ns0:v>
      </ns0:c>
      <ns0:c r="Y720" s="16">
        <ns0:f>Q720-F720*'前提と出典'!$E$6</ns0:f>
        <ns0:v>356605.667685093</ns0:v>
      </ns0:c>
      <ns0:c r="Z720" s="7">
        <ns0:f>X720+Y720</ns0:f>
        <ns0:v>1250492.1879900135</ns0:v>
      </ns0:c>
      <ns0:c r="AA720" s="7">
        <ns0:f>IF(T720&gt;=0,A720,1001)</ns0:f>
        <ns0:v>716</ns0:v>
      </ns0:c>
      <ns0:c r="AB720" s="7">
        <ns0:f>IF(T720&lt;0,A720,0)</ns0:f>
        <ns0:v>0</ns0:v>
      </ns0:c>
      <ns0:c r="AC720" s="16">
        <ns0:f>IF(AND(OR('前提と出典'!$C$36+'前提と出典'!$C$38=0,R720&gt;=0),OR('前提と出典'!$C$37+'前提と出典'!$C$38=0,S720&gt;=0)),0,A720)</ns0:f>
        <ns0:v>0</ns0:v>
      </ns0:c>
      <ns0:c r="AD720" s="7">
        <ns0:f>IF(W720&gt;=0,A720,1001)</ns0:f>
        <ns0:v>716</ns0:v>
      </ns0:c>
      <ns0:c r="AE720" s="7">
        <ns0:f>IF(W720&lt;0,A720,0)</ns0:f>
        <ns0:v>0</ns0:v>
      </ns0:c>
      <ns0:c r="AF720" s="16">
        <ns0:f>IF(AND(OR('前提と出典'!$C$36+'前提と出典'!$C$38=0,U720&gt;=0),OR('前提と出典'!$C$37+'前提と出典'!$C$38=0,V720&gt;=0)),0,A720)</ns0:f>
        <ns0:v>0</ns0:v>
      </ns0:c>
      <ns0:c r="AG720" s="7">
        <ns0:f>IF(Z720&gt;=0,A720,1001)</ns0:f>
        <ns0:v>716</ns0:v>
      </ns0:c>
      <ns0:c r="AH720" s="4">
        <ns0:f>IF(Z720&lt;0,A720,0)</ns0:f>
        <ns0:v>0</ns0:v>
      </ns0:c>
      <ns0:c r="AI720" s="12">
        <ns0:f>IF(AND(OR('前提と出典'!$C$36+'前提と出典'!$C$38=0,X720&gt;=0),OR('前提と出典'!$C$37+'前提と出典'!$C$38=0,Y720&gt;=0)),0,A720)</ns0:f>
        <ns0:v>0</ns0:v>
      </ns0:c>
    </ns0:row>
    <ns0:row r="721" ht="24" customHeight="1">
      <ns0:c r="A721" s="4" t="n">
        <ns0:v>717</ns0:v>
      </ns0:c>
      <ns0:c r="B721" s="12">
        <ns0:f>A721*('前提と出典'!$C$36+'前提と出典'!$C$38)</ns0:f>
        <ns0:v>501.9</ns0:v>
      </ns0:c>
      <ns0:c r="C721" s="12">
        <ns0:f>A721*('前提と出典'!$C$37+'前提と出典'!$C$38)</ns0:f>
        <ns0:v>430.2</ns0:v>
      </ns0:c>
      <ns0:c r="D721" s="16">
        <ns0:f>A721*('前提と出典'!$C$36*'契約別単価'!C5+'前提と出典'!$C$37*'契約別単価'!C6+'前提と出典'!$C$38*'契約別単価'!C7)</ns0:f>
        <ns0:v>5159.195530726257</ns0:v>
      </ns0:c>
      <ns0:c r="E721" s="16">
        <ns0:f>A721*('前提と出典'!$C$36*'契約別単価'!E5+'前提と出典'!$C$37*'契約別単価'!E6+'前提と出典'!$C$38*'契約別単価'!E7)</ns0:f>
        <ns0:v>1387355.3188771063</ns0:v>
      </ns0:c>
      <ns0:c r="F721" s="16">
        <ns0:f>A721*('前提と出典'!$C$36*'契約別単価'!F5+'前提と出典'!$C$37*'契約別単価'!F6+'前提と出典'!$C$38*'契約別単価'!F7)</ns0:f>
        <ns0:v>544486.558947772</ns0:v>
      </ns0:c>
      <ns0:c r="G721" s="16">
        <ns0:f>A721*('前提と出典'!$C$36*'契約別単価'!G5+'前提と出典'!$C$37*'契約別単価'!G6+'前提と出典'!$C$38*'契約別単価'!G7)</ns0:f>
        <ns0:v>1427190.502793296</ns0:v>
      </ns0:c>
      <ns0:c r="H721" s="16">
        <ns0:f>A721*('前提と出典'!$C$36*'契約別単価'!H5+'前提と出典'!$C$37*'契約別単価'!H6+'前提と出典'!$C$38*'契約別単価'!H7)</ns0:f>
        <ns0:v>495306.6836978186</ns0:v>
      </ns0:c>
      <ns0:c r="I721" s="16">
        <ns0:f>A721*('前提と出典'!$C$36*'契約別単価'!I5+'前提と出典'!$C$37*'契約別単価'!I6+'前提と出典'!$C$38*'契約別単価'!I7)</ns0:f>
        <ns0:v>30254.19553072625</ns0:v>
      </ns0:c>
      <ns0:c r="J721" s="16">
        <ns0:f>A721*('前提と出典'!$C$36*'契約別単価'!J5+'前提と出典'!$C$37*'契約別単価'!J6+'前提と出典'!$C$38*'契約別単価'!J7)</ns0:f>
        <ns0:v>70473.60284028694</ns0:v>
      </ns0:c>
      <ns0:c r="K721" s="16">
        <ns0:f>A721*('前提と出典'!$C$36*'契約別単価'!K5+'前提と出典'!$C$37*'契約別単価'!K6+'前提と出典'!$C$38*'契約別単価'!K7)</ns0:f>
        <ns0:v>302074.6368715084</ns0:v>
      </ns0:c>
      <ns0:c r="L721" s="16">
        <ns0:f>A721*('前提と出典'!$C$36*'契約別単価'!L5+'前提と出典'!$C$37*'契約別単価'!L6+'前提と出典'!$C$38*'契約別単価'!L7)</ns0:f>
        <ns0:v>245950.22278992727</ns0:v>
      </ns0:c>
      <ns0:c r="M721" s="16">
        <ns0:f>IF(('前提と出典'!$C$36+'前提と出典'!$C$38)=0,0,IF(B721&lt;=10,'前提と出典'!B73+'前提と出典'!C73,IF(B721&lt;=100,'前提と出典'!B74+'前提と出典'!C74,IF(B721&lt;=500,'前提と出典'!B75+'前提と出典'!C75,'前提と出典'!B76+'前提と出典'!C76))))</ns0:f>
        <ns0:v>80000</ns0:v>
      </ns0:c>
      <ns0:c r="N721" s="16">
        <ns0:f>IF(('前提と出典'!$C$37+'前提と出典'!$C$38)=0,0,IF(C721&lt;=10,'前提と出典'!D73+'前提と出典'!E73,IF(C721&lt;=100,'前提と出典'!D74+'前提と出典'!E74,IF(C721&lt;=500,'前提と出典'!D75+'前提と出典'!E75,'前提と出典'!D76+'前提と出典'!E76))))</ns0:f>
        <ns0:v>56510.9346263078</ns0:v>
      </ns0:c>
      <ns0:c r="O721" s="16">
        <ns0:f>IF('前提と出典'!$C$36+'前提と出典'!$C$38=0,0,'前提と出典'!$B$4*IF('前提と出典'!$B$20=0,MAX('前提と出典'!$B$6,D721*'前提と出典'!$B$5),'前提と出典'!$B$6+D721*'前提と出典'!$B$5))</ns0:f>
        <ns0:v>711968.9832402235</ns0:v>
      </ns0:c>
      <ns0:c r="P721" s="16">
        <ns0:f>(E721+G721)*(1-'前提と出典'!$B$7)-I721-K721-M721-O721</ns0:f>
        <ns0:v>1588924.3564478098</ns0:v>
      </ns0:c>
      <ns0:c r="Q721" s="16">
        <ns0:f>(F721+H721)*(1-'前提と出典'!$B$7)-J721-L721-N721</ns0:f>
        <ns0:v>629425.9256538274</ns0:v>
      </ns0:c>
      <ns0:c r="R721" s="16">
        <ns0:f>P721-E721*'前提と出典'!$E$4</ns0:f>
        <ns0:v>1172717.7607846782</ns0:v>
      </ns0:c>
      <ns0:c r="S721" s="16">
        <ns0:f>Q721-F721*'前提と出典'!$E$4</ns0:f>
        <ns0:v>466079.9579694958</ns0:v>
      </ns0:c>
      <ns0:c r="T721" s="7">
        <ns0:f>R721+S721</ns0:f>
        <ns0:v>1638797.718754174</ns0:v>
      </ns0:c>
      <ns0:c r="U721" s="16">
        <ns0:f>P721-E721*'前提と出典'!$E$5</ns0:f>
        <ns0:v>1033982.2288969671</ns0:v>
      </ns0:c>
      <ns0:c r="V721" s="16">
        <ns0:f>Q721-F721*'前提と出典'!$E$5</ns0:f>
        <ns0:v>411631.3020747185</ns0:v>
      </ns0:c>
      <ns0:c r="W721" s="7">
        <ns0:f>U721+V721</ns0:f>
        <ns0:v>1445613.5309716857</ns0:v>
      </ns0:c>
      <ns0:c r="X721" s="16">
        <ns0:f>P721-E721*'前提と出典'!$E$6</ns0:f>
        <ns0:v>895246.6970092563</ns0:v>
      </ns0:c>
      <ns0:c r="Y721" s="16">
        <ns0:f>Q721-F721*'前提と出典'!$E$6</ns0:f>
        <ns0:v>357182.64617994137</ns0:v>
      </ns0:c>
      <ns0:c r="Z721" s="7">
        <ns0:f>X721+Y721</ns0:f>
        <ns0:v>1252429.3431891976</ns0:v>
      </ns0:c>
      <ns0:c r="AA721" s="7">
        <ns0:f>IF(T721&gt;=0,A721,1001)</ns0:f>
        <ns0:v>717</ns0:v>
      </ns0:c>
      <ns0:c r="AB721" s="7">
        <ns0:f>IF(T721&lt;0,A721,0)</ns0:f>
        <ns0:v>0</ns0:v>
      </ns0:c>
      <ns0:c r="AC721" s="16">
        <ns0:f>IF(AND(OR('前提と出典'!$C$36+'前提と出典'!$C$38=0,R721&gt;=0),OR('前提と出典'!$C$37+'前提と出典'!$C$38=0,S721&gt;=0)),0,A721)</ns0:f>
        <ns0:v>0</ns0:v>
      </ns0:c>
      <ns0:c r="AD721" s="7">
        <ns0:f>IF(W721&gt;=0,A721,1001)</ns0:f>
        <ns0:v>717</ns0:v>
      </ns0:c>
      <ns0:c r="AE721" s="7">
        <ns0:f>IF(W721&lt;0,A721,0)</ns0:f>
        <ns0:v>0</ns0:v>
      </ns0:c>
      <ns0:c r="AF721" s="16">
        <ns0:f>IF(AND(OR('前提と出典'!$C$36+'前提と出典'!$C$38=0,U721&gt;=0),OR('前提と出典'!$C$37+'前提と出典'!$C$38=0,V721&gt;=0)),0,A721)</ns0:f>
        <ns0:v>0</ns0:v>
      </ns0:c>
      <ns0:c r="AG721" s="7">
        <ns0:f>IF(Z721&gt;=0,A721,1001)</ns0:f>
        <ns0:v>717</ns0:v>
      </ns0:c>
      <ns0:c r="AH721" s="4">
        <ns0:f>IF(Z721&lt;0,A721,0)</ns0:f>
        <ns0:v>0</ns0:v>
      </ns0:c>
      <ns0:c r="AI721" s="12">
        <ns0:f>IF(AND(OR('前提と出典'!$C$36+'前提と出典'!$C$38=0,X721&gt;=0),OR('前提と出典'!$C$37+'前提と出典'!$C$38=0,Y721&gt;=0)),0,A721)</ns0:f>
        <ns0:v>0</ns0:v>
      </ns0:c>
    </ns0:row>
    <ns0:row r="722" ht="24" customHeight="1">
      <ns0:c r="A722" s="4" t="n">
        <ns0:v>718</ns0:v>
      </ns0:c>
      <ns0:c r="B722" s="12">
        <ns0:f>A722*('前提と出典'!$C$36+'前提と出典'!$C$38)</ns0:f>
        <ns0:v>502.59999999999997</ns0:v>
      </ns0:c>
      <ns0:c r="C722" s="12">
        <ns0:f>A722*('前提と出典'!$C$37+'前提と出典'!$C$38)</ns0:f>
        <ns0:v>430.8</ns0:v>
      </ns0:c>
      <ns0:c r="D722" s="16">
        <ns0:f>A722*('前提と出典'!$C$36*'契約別単価'!C5+'前提と出典'!$C$37*'契約別単価'!C6+'前提と出典'!$C$38*'契約別単価'!C7)</ns0:f>
        <ns0:v>5166.391061452514</ns0:v>
      </ns0:c>
      <ns0:c r="E722" s="16">
        <ns0:f>A722*('前提と出典'!$C$36*'契約別単価'!E5+'前提と出典'!$C$37*'契約別単価'!E6+'前提と出典'!$C$38*'契約別単価'!E7)</ns0:f>
        <ns0:v>1389290.2635338388</ns0:v>
      </ns0:c>
      <ns0:c r="F722" s="16">
        <ns0:f>A722*('前提と出典'!$C$36*'契約別単価'!F5+'前提と出典'!$C$37*'契約別単価'!F6+'前提と出典'!$C$38*'契約別単価'!F7)</ns0:f>
        <ns0:v>545245.9544274759</ns0:v>
      </ns0:c>
      <ns0:c r="G722" s="16">
        <ns0:f>A722*('前提と出典'!$C$36*'契約別単価'!G5+'前提と出典'!$C$37*'契約別単価'!G6+'前提と出典'!$C$38*'契約別単価'!G7)</ns0:f>
        <ns0:v>1429181.005586592</ns0:v>
      </ns0:c>
      <ns0:c r="H722" s="16">
        <ns0:f>A722*('前提と出典'!$C$36*'契約別単価'!H5+'前提と出典'!$C$37*'契約別単価'!H6+'前提と出典'!$C$38*'契約別単価'!H7)</ns0:f>
        <ns0:v>495997.4879986524</ns0:v>
      </ns0:c>
      <ns0:c r="I722" s="16">
        <ns0:f>A722*('前提と出典'!$C$36*'契約別単価'!I5+'前提と出典'!$C$37*'契約別単価'!I6+'前提と出典'!$C$38*'契約別単価'!I7)</ns0:f>
        <ns0:v>30296.39106145251</ns0:v>
      </ns0:c>
      <ns0:c r="J722" s="16">
        <ns0:f>A722*('前提と出典'!$C$36*'契約別単価'!J5+'前提と出典'!$C$37*'契約別単価'!J6+'前提と出典'!$C$38*'契約別単価'!J7)</ns0:f>
        <ns0:v>70571.89238399724</ns0:v>
      </ns0:c>
      <ns0:c r="K722" s="16">
        <ns0:f>A722*('前提と出典'!$C$36*'契約別単価'!K5+'前提と出典'!$C$37*'契約別単価'!K6+'前提と出典'!$C$38*'契約別単価'!K7)</ns0:f>
        <ns0:v>302495.9404096834</ns0:v>
      </ns0:c>
      <ns0:c r="L722" s="16">
        <ns0:f>A722*('前提と出典'!$C$36*'契約別単価'!L5+'前提と出典'!$C$37*'契約別単価'!L6+'前提と出典'!$C$38*'契約別単価'!L7)</ns0:f>
        <ns0:v>246293.24959995507</ns0:v>
      </ns0:c>
      <ns0:c r="M722" s="16">
        <ns0:f>IF(('前提と出典'!$C$36+'前提と出典'!$C$38)=0,0,IF(B722&lt;=10,'前提と出典'!B73+'前提と出典'!C73,IF(B722&lt;=100,'前提と出典'!B74+'前提と出典'!C74,IF(B722&lt;=500,'前提と出典'!B75+'前提と出典'!C75,'前提と出典'!B76+'前提と出典'!C76))))</ns0:f>
        <ns0:v>80000</ns0:v>
      </ns0:c>
      <ns0:c r="N722" s="16">
        <ns0:f>IF(('前提と出典'!$C$37+'前提と出典'!$C$38)=0,0,IF(C722&lt;=10,'前提と出典'!D73+'前提と出典'!E73,IF(C722&lt;=100,'前提と出典'!D74+'前提と出典'!E74,IF(C722&lt;=500,'前提と出典'!D75+'前提と出典'!E75,'前提と出典'!D76+'前提と出典'!E76))))</ns0:f>
        <ns0:v>56510.9346263078</ns0:v>
      </ns0:c>
      <ns0:c r="O722" s="16">
        <ns0:f>IF('前提と出典'!$C$36+'前提と出典'!$C$38=0,0,'前提と出典'!$B$4*IF('前提と出典'!$B$20=0,MAX('前提と出典'!$B$6,D722*'前提と出典'!$B$5),'前提と出典'!$B$6+D722*'前提と出典'!$B$5))</ns0:f>
        <ns0:v>712961.966480447</ns0:v>
      </ns0:c>
      <ns0:c r="P722" s="16">
        <ns0:f>(E722+G722)*(1-'前提と出典'!$B$7)-I722-K722-M722-O722</ns0:f>
        <ns0:v>1591252.0054805116</ns0:v>
      </ns0:c>
      <ns0:c r="Q722" s="16">
        <ns0:f>(F722+H722)*(1-'前提と出典'!$B$7)-J722-L722-N722</ns0:f>
        <ns0:v>630382.6018885276</ns0:v>
      </ns0:c>
      <ns0:c r="R722" s="16">
        <ns0:f>P722-E722*'前提と出典'!$E$4</ns0:f>
        <ns0:v>1174464.92642036</ns0:v>
      </ns0:c>
      <ns0:c r="S722" s="16">
        <ns0:f>Q722-F722*'前提と出典'!$E$4</ns0:f>
        <ns0:v>466808.8155602849</ns0:v>
      </ns0:c>
      <ns0:c r="T722" s="7">
        <ns0:f>R722+S722</ns0:f>
        <ns0:v>1641273.7419806449</ns0:v>
      </ns0:c>
      <ns0:c r="U722" s="16">
        <ns0:f>P722-E722*'前提と出典'!$E$5</ns0:f>
        <ns0:v>1035535.9000669762</ns0:v>
      </ns0:c>
      <ns0:c r="V722" s="16">
        <ns0:f>Q722-F722*'前提と出典'!$E$5</ns0:f>
        <ns0:v>412284.2201175373</ns0:v>
      </ns0:c>
      <ns0:c r="W722" s="7">
        <ns0:f>U722+V722</ns0:f>
        <ns0:v>1447820.1201845135</ns0:v>
      </ns0:c>
      <ns0:c r="X722" s="16">
        <ns0:f>P722-E722*'前提と出典'!$E$6</ns0:f>
        <ns0:v>896606.8737135928</ns0:v>
      </ns0:c>
      <ns0:c r="Y722" s="16">
        <ns0:f>Q722-F722*'前提と出典'!$E$6</ns0:f>
        <ns0:v>357759.6246747896</ns0:v>
      </ns0:c>
      <ns0:c r="Z722" s="7">
        <ns0:f>X722+Y722</ns0:f>
        <ns0:v>1254366.4983883824</ns0:v>
      </ns0:c>
      <ns0:c r="AA722" s="7">
        <ns0:f>IF(T722&gt;=0,A722,1001)</ns0:f>
        <ns0:v>718</ns0:v>
      </ns0:c>
      <ns0:c r="AB722" s="7">
        <ns0:f>IF(T722&lt;0,A722,0)</ns0:f>
        <ns0:v>0</ns0:v>
      </ns0:c>
      <ns0:c r="AC722" s="16">
        <ns0:f>IF(AND(OR('前提と出典'!$C$36+'前提と出典'!$C$38=0,R722&gt;=0),OR('前提と出典'!$C$37+'前提と出典'!$C$38=0,S722&gt;=0)),0,A722)</ns0:f>
        <ns0:v>0</ns0:v>
      </ns0:c>
      <ns0:c r="AD722" s="7">
        <ns0:f>IF(W722&gt;=0,A722,1001)</ns0:f>
        <ns0:v>718</ns0:v>
      </ns0:c>
      <ns0:c r="AE722" s="7">
        <ns0:f>IF(W722&lt;0,A722,0)</ns0:f>
        <ns0:v>0</ns0:v>
      </ns0:c>
      <ns0:c r="AF722" s="16">
        <ns0:f>IF(AND(OR('前提と出典'!$C$36+'前提と出典'!$C$38=0,U722&gt;=0),OR('前提と出典'!$C$37+'前提と出典'!$C$38=0,V722&gt;=0)),0,A722)</ns0:f>
        <ns0:v>0</ns0:v>
      </ns0:c>
      <ns0:c r="AG722" s="7">
        <ns0:f>IF(Z722&gt;=0,A722,1001)</ns0:f>
        <ns0:v>718</ns0:v>
      </ns0:c>
      <ns0:c r="AH722" s="4">
        <ns0:f>IF(Z722&lt;0,A722,0)</ns0:f>
        <ns0:v>0</ns0:v>
      </ns0:c>
      <ns0:c r="AI722" s="12">
        <ns0:f>IF(AND(OR('前提と出典'!$C$36+'前提と出典'!$C$38=0,X722&gt;=0),OR('前提と出典'!$C$37+'前提と出典'!$C$38=0,Y722&gt;=0)),0,A722)</ns0:f>
        <ns0:v>0</ns0:v>
      </ns0:c>
    </ns0:row>
    <ns0:row r="723" ht="24" customHeight="1">
      <ns0:c r="A723" s="4" t="n">
        <ns0:v>719</ns0:v>
      </ns0:c>
      <ns0:c r="B723" s="12">
        <ns0:f>A723*('前提と出典'!$C$36+'前提と出典'!$C$38)</ns0:f>
        <ns0:v>503.29999999999995</ns0:v>
      </ns0:c>
      <ns0:c r="C723" s="12">
        <ns0:f>A723*('前提と出典'!$C$37+'前提と出典'!$C$38)</ns0:f>
        <ns0:v>431.4</ns0:v>
      </ns0:c>
      <ns0:c r="D723" s="16">
        <ns0:f>A723*('前提と出典'!$C$36*'契約別単価'!C5+'前提と出典'!$C$37*'契約別単価'!C6+'前提と出典'!$C$38*'契約別単価'!C7)</ns0:f>
        <ns0:v>5173.586592178771</ns0:v>
      </ns0:c>
      <ns0:c r="E723" s="16">
        <ns0:f>A723*('前提と出典'!$C$36*'契約別単価'!E5+'前提と出典'!$C$37*'契約別単価'!E6+'前提と出典'!$C$38*'契約別単価'!E7)</ns0:f>
        <ns0:v>1391225.208190571</ns0:v>
      </ns0:c>
      <ns0:c r="F723" s="16">
        <ns0:f>A723*('前提と出典'!$C$36*'契約別単価'!F5+'前提と出典'!$C$37*'契約別単価'!F6+'前提と出典'!$C$38*'契約別単価'!F7)</ns0:f>
        <ns0:v>546005.34990718</ns0:v>
      </ns0:c>
      <ns0:c r="G723" s="16">
        <ns0:f>A723*('前提と出典'!$C$36*'契約別単価'!G5+'前提と出典'!$C$37*'契約別単価'!G6+'前提と出典'!$C$38*'契約別単価'!G7)</ns0:f>
        <ns0:v>1431171.5083798883</ns0:v>
      </ns0:c>
      <ns0:c r="H723" s="16">
        <ns0:f>A723*('前提と出典'!$C$36*'契約別単価'!H5+'前提と出典'!$C$37*'契約別単価'!H6+'前提と出典'!$C$38*'契約別単価'!H7)</ns0:f>
        <ns0:v>496688.2922994862</ns0:v>
      </ns0:c>
      <ns0:c r="I723" s="16">
        <ns0:f>A723*('前提と出典'!$C$36*'契約別単価'!I5+'前提と出典'!$C$37*'契約別単価'!I6+'前提と出典'!$C$38*'契約別単価'!I7)</ns0:f>
        <ns0:v>30338.586592178766</ns0:v>
      </ns0:c>
      <ns0:c r="J723" s="16">
        <ns0:f>A723*('前提と出典'!$C$36*'契約別単価'!J5+'前提と出典'!$C$37*'契約別単価'!J6+'前提と出典'!$C$38*'契約別単価'!J7)</ns0:f>
        <ns0:v>70670.18192770754</ns0:v>
      </ns0:c>
      <ns0:c r="K723" s="16">
        <ns0:f>A723*('前提と出典'!$C$36*'契約別単価'!K5+'前提と出典'!$C$37*'契約別単価'!K6+'前提と出典'!$C$38*'契約別単価'!K7)</ns0:f>
        <ns0:v>302917.24394785846</ns0:v>
      </ns0:c>
      <ns0:c r="L723" s="16">
        <ns0:f>A723*('前提と出典'!$C$36*'契約別単価'!L5+'前提と出典'!$C$37*'契約別単価'!L6+'前提と出典'!$C$38*'契約別単価'!L7)</ns0:f>
        <ns0:v>246636.27640998288</ns0:v>
      </ns0:c>
      <ns0:c r="M723" s="16">
        <ns0:f>IF(('前提と出典'!$C$36+'前提と出典'!$C$38)=0,0,IF(B723&lt;=10,'前提と出典'!B73+'前提と出典'!C73,IF(B723&lt;=100,'前提と出典'!B74+'前提と出典'!C74,IF(B723&lt;=500,'前提と出典'!B75+'前提と出典'!C75,'前提と出典'!B76+'前提と出典'!C76))))</ns0:f>
        <ns0:v>80000</ns0:v>
      </ns0:c>
      <ns0:c r="N723" s="16">
        <ns0:f>IF(('前提と出典'!$C$37+'前提と出典'!$C$38)=0,0,IF(C723&lt;=10,'前提と出典'!D73+'前提と出典'!E73,IF(C723&lt;=100,'前提と出典'!D74+'前提と出典'!E74,IF(C723&lt;=500,'前提と出典'!D75+'前提と出典'!E75,'前提と出典'!D76+'前提と出典'!E76))))</ns0:f>
        <ns0:v>56510.9346263078</ns0:v>
      </ns0:c>
      <ns0:c r="O723" s="16">
        <ns0:f>IF('前提と出典'!$C$36+'前提と出典'!$C$38=0,0,'前提と出典'!$B$4*IF('前提と出典'!$B$20=0,MAX('前提と出典'!$B$6,D723*'前提と出典'!$B$5),'前提と出典'!$B$6+D723*'前提と出典'!$B$5))</ns0:f>
        <ns0:v>713954.9497206705</ns0:v>
      </ns0:c>
      <ns0:c r="P723" s="16">
        <ns0:f>(E723+G723)*(1-'前提と出典'!$B$7)-I723-K723-M723-O723</ns0:f>
        <ns0:v>1593579.6545132152</ns0:v>
      </ns0:c>
      <ns0:c r="Q723" s="16">
        <ns0:f>(F723+H723)*(1-'前提と出典'!$B$7)-J723-L723-N723</ns0:f>
        <ns0:v>631339.2781232279</ns0:v>
      </ns0:c>
      <ns0:c r="R723" s="16">
        <ns0:f>P723-E723*'前提と出典'!$E$4</ns0:f>
        <ns0:v>1176212.092056044</ns0:v>
      </ns0:c>
      <ns0:c r="S723" s="16">
        <ns0:f>Q723-F723*'前提と出典'!$E$4</ns0:f>
        <ns0:v>467537.6731510739</ns0:v>
      </ns0:c>
      <ns0:c r="T723" s="7">
        <ns0:f>R723+S723</ns0:f>
        <ns0:v>1643749.765207118</ns0:v>
      </ns0:c>
      <ns0:c r="U723" s="16">
        <ns0:f>P723-E723*'前提と出典'!$E$5</ns0:f>
        <ns0:v>1037089.5712369867</ns0:v>
      </ns0:c>
      <ns0:c r="V723" s="16">
        <ns0:f>Q723-F723*'前提と出典'!$E$5</ns0:f>
        <ns0:v>412937.1381603559</ns0:v>
      </ns0:c>
      <ns0:c r="W723" s="7">
        <ns0:f>U723+V723</ns0:f>
        <ns0:v>1450026.7093973425</ns0:v>
      </ns0:c>
      <ns0:c r="X723" s="16">
        <ns0:f>P723-E723*'前提と出典'!$E$6</ns0:f>
        <ns0:v>897967.0504179294</ns0:v>
      </ns0:c>
      <ns0:c r="Y723" s="16">
        <ns0:f>Q723-F723*'前提と出典'!$E$6</ns0:f>
        <ns0:v>358336.603169638</ns0:v>
      </ns0:c>
      <ns0:c r="Z723" s="7">
        <ns0:f>X723+Y723</ns0:f>
        <ns0:v>1256303.6535875674</ns0:v>
      </ns0:c>
      <ns0:c r="AA723" s="7">
        <ns0:f>IF(T723&gt;=0,A723,1001)</ns0:f>
        <ns0:v>719</ns0:v>
      </ns0:c>
      <ns0:c r="AB723" s="7">
        <ns0:f>IF(T723&lt;0,A723,0)</ns0:f>
        <ns0:v>0</ns0:v>
      </ns0:c>
      <ns0:c r="AC723" s="16">
        <ns0:f>IF(AND(OR('前提と出典'!$C$36+'前提と出典'!$C$38=0,R723&gt;=0),OR('前提と出典'!$C$37+'前提と出典'!$C$38=0,S723&gt;=0)),0,A723)</ns0:f>
        <ns0:v>0</ns0:v>
      </ns0:c>
      <ns0:c r="AD723" s="7">
        <ns0:f>IF(W723&gt;=0,A723,1001)</ns0:f>
        <ns0:v>719</ns0:v>
      </ns0:c>
      <ns0:c r="AE723" s="7">
        <ns0:f>IF(W723&lt;0,A723,0)</ns0:f>
        <ns0:v>0</ns0:v>
      </ns0:c>
      <ns0:c r="AF723" s="16">
        <ns0:f>IF(AND(OR('前提と出典'!$C$36+'前提と出典'!$C$38=0,U723&gt;=0),OR('前提と出典'!$C$37+'前提と出典'!$C$38=0,V723&gt;=0)),0,A723)</ns0:f>
        <ns0:v>0</ns0:v>
      </ns0:c>
      <ns0:c r="AG723" s="7">
        <ns0:f>IF(Z723&gt;=0,A723,1001)</ns0:f>
        <ns0:v>719</ns0:v>
      </ns0:c>
      <ns0:c r="AH723" s="4">
        <ns0:f>IF(Z723&lt;0,A723,0)</ns0:f>
        <ns0:v>0</ns0:v>
      </ns0:c>
      <ns0:c r="AI723" s="12">
        <ns0:f>IF(AND(OR('前提と出典'!$C$36+'前提と出典'!$C$38=0,X723&gt;=0),OR('前提と出典'!$C$37+'前提と出典'!$C$38=0,Y723&gt;=0)),0,A723)</ns0:f>
        <ns0:v>0</ns0:v>
      </ns0:c>
    </ns0:row>
    <ns0:row r="724" ht="24" customHeight="1">
      <ns0:c r="A724" s="4" t="n">
        <ns0:v>720</ns0:v>
      </ns0:c>
      <ns0:c r="B724" s="12">
        <ns0:f>A724*('前提と出典'!$C$36+'前提と出典'!$C$38)</ns0:f>
        <ns0:v>503.99999999999994</ns0:v>
      </ns0:c>
      <ns0:c r="C724" s="12">
        <ns0:f>A724*('前提と出典'!$C$37+'前提と出典'!$C$38)</ns0:f>
        <ns0:v>432</ns0:v>
      </ns0:c>
      <ns0:c r="D724" s="16">
        <ns0:f>A724*('前提と出典'!$C$36*'契約別単価'!C5+'前提と出典'!$C$37*'契約別単価'!C6+'前提と出典'!$C$38*'契約別単価'!C7)</ns0:f>
        <ns0:v>5180.782122905028</ns0:v>
      </ns0:c>
      <ns0:c r="E724" s="16">
        <ns0:f>A724*('前提と出典'!$C$36*'契約別単価'!E5+'前提と出典'!$C$37*'契約別単価'!E6+'前提と出典'!$C$38*'契約別単価'!E7)</ns0:f>
        <ns0:v>1393160.1528473035</ns0:v>
      </ns0:c>
      <ns0:c r="F724" s="16">
        <ns0:f>A724*('前提と出典'!$C$36*'契約別単価'!F5+'前提と出典'!$C$37*'契約別単価'!F6+'前提と出典'!$C$38*'契約別単価'!F7)</ns0:f>
        <ns0:v>546764.745386884</ns0:v>
      </ns0:c>
      <ns0:c r="G724" s="16">
        <ns0:f>A724*('前提と出典'!$C$36*'契約別単価'!G5+'前提と出典'!$C$37*'契約別単価'!G6+'前提と出典'!$C$38*'契約別単価'!G7)</ns0:f>
        <ns0:v>1433162.0111731843</ns0:v>
      </ns0:c>
      <ns0:c r="H724" s="16">
        <ns0:f>A724*('前提と出典'!$C$36*'契約別単価'!H5+'前提と出典'!$C$37*'契約別単価'!H6+'前提と出典'!$C$38*'契約別単価'!H7)</ns0:f>
        <ns0:v>497379.09660031996</ns0:v>
      </ns0:c>
      <ns0:c r="I724" s="16">
        <ns0:f>A724*('前提と出典'!$C$36*'契約別単価'!I5+'前提と出典'!$C$37*'契約別単価'!I6+'前提と出典'!$C$38*'契約別単価'!I7)</ns0:f>
        <ns0:v>30380.782122905024</ns0:v>
      </ns0:c>
      <ns0:c r="J724" s="16">
        <ns0:f>A724*('前提と出典'!$C$36*'契約別単価'!J5+'前提と出典'!$C$37*'契約別単価'!J6+'前提と出典'!$C$38*'契約別単価'!J7)</ns0:f>
        <ns0:v>70768.47147141786</ns0:v>
      </ns0:c>
      <ns0:c r="K724" s="16">
        <ns0:f>A724*('前提と出典'!$C$36*'契約別単価'!K5+'前提と出典'!$C$37*'契約別単価'!K6+'前提と出典'!$C$38*'契約別単価'!K7)</ns0:f>
        <ns0:v>303338.5474860335</ns0:v>
      </ns0:c>
      <ns0:c r="L724" s="16">
        <ns0:f>A724*('前提と出典'!$C$36*'契約別単価'!L5+'前提と出典'!$C$37*'契約別単価'!L6+'前提と出典'!$C$38*'契約別単価'!L7)</ns0:f>
        <ns0:v>246979.30322001065</ns0:v>
      </ns0:c>
      <ns0:c r="M724" s="16">
        <ns0:f>IF(('前提と出典'!$C$36+'前提と出典'!$C$38)=0,0,IF(B724&lt;=10,'前提と出典'!B73+'前提と出典'!C73,IF(B724&lt;=100,'前提と出典'!B74+'前提と出典'!C74,IF(B724&lt;=500,'前提と出典'!B75+'前提と出典'!C75,'前提と出典'!B76+'前提と出典'!C76))))</ns0:f>
        <ns0:v>80000</ns0:v>
      </ns0:c>
      <ns0:c r="N724" s="16">
        <ns0:f>IF(('前提と出典'!$C$37+'前提と出典'!$C$38)=0,0,IF(C724&lt;=10,'前提と出典'!D73+'前提と出典'!E73,IF(C724&lt;=100,'前提と出典'!D74+'前提と出典'!E74,IF(C724&lt;=500,'前提と出典'!D75+'前提と出典'!E75,'前提と出典'!D76+'前提と出典'!E76))))</ns0:f>
        <ns0:v>56510.9346263078</ns0:v>
      </ns0:c>
      <ns0:c r="O724" s="16">
        <ns0:f>IF('前提と出典'!$C$36+'前提と出典'!$C$38=0,0,'前提と出典'!$B$4*IF('前提と出典'!$B$20=0,MAX('前提と出典'!$B$6,D724*'前提と出典'!$B$5),'前提と出典'!$B$6+D724*'前提と出典'!$B$5))</ns0:f>
        <ns0:v>714947.932960894</ns0:v>
      </ns0:c>
      <ns0:c r="P724" s="16">
        <ns0:f>(E724+G724)*(1-'前提と出典'!$B$7)-I724-K724-M724-O724</ns0:f>
        <ns0:v>1595907.303545918</ns0:v>
      </ns0:c>
      <ns0:c r="Q724" s="16">
        <ns0:f>(F724+H724)*(1-'前提と出典'!$B$7)-J724-L724-N724</ns0:f>
        <ns0:v>632295.9543579284</ns0:v>
      </ns0:c>
      <ns0:c r="R724" s="16">
        <ns0:f>P724-E724*'前提と出典'!$E$4</ns0:f>
        <ns0:v>1177959.2576917268</ns0:v>
      </ns0:c>
      <ns0:c r="S724" s="16">
        <ns0:f>Q724-F724*'前提と出典'!$E$4</ns0:f>
        <ns0:v>468266.5307418632</ns0:v>
      </ns0:c>
      <ns0:c r="T724" s="7">
        <ns0:f>R724+S724</ns0:f>
        <ns0:v>1646225.78843359</ns0:v>
      </ns0:c>
      <ns0:c r="U724" s="16">
        <ns0:f>P724-E724*'前提と出典'!$E$5</ns0:f>
        <ns0:v>1038643.2424069967</ns0:v>
      </ns0:c>
      <ns0:c r="V724" s="16">
        <ns0:f>Q724-F724*'前提と出典'!$E$5</ns0:f>
        <ns0:v>413590.0562031747</ns0:v>
      </ns0:c>
      <ns0:c r="W724" s="7">
        <ns0:f>U724+V724</ns0:f>
        <ns0:v>1452233.2986101713</ns0:v>
      </ns0:c>
      <ns0:c r="X724" s="16">
        <ns0:f>P724-E724*'前提と出典'!$E$6</ns0:f>
        <ns0:v>899327.2271222663</ns0:v>
      </ns0:c>
      <ns0:c r="Y724" s="16">
        <ns0:f>Q724-F724*'前提と出典'!$E$6</ns0:f>
        <ns0:v>358913.5816644864</ns0:v>
      </ns0:c>
      <ns0:c r="Z724" s="7">
        <ns0:f>X724+Y724</ns0:f>
        <ns0:v>1258240.8087867526</ns0:v>
      </ns0:c>
      <ns0:c r="AA724" s="7">
        <ns0:f>IF(T724&gt;=0,A724,1001)</ns0:f>
        <ns0:v>720</ns0:v>
      </ns0:c>
      <ns0:c r="AB724" s="7">
        <ns0:f>IF(T724&lt;0,A724,0)</ns0:f>
        <ns0:v>0</ns0:v>
      </ns0:c>
      <ns0:c r="AC724" s="16">
        <ns0:f>IF(AND(OR('前提と出典'!$C$36+'前提と出典'!$C$38=0,R724&gt;=0),OR('前提と出典'!$C$37+'前提と出典'!$C$38=0,S724&gt;=0)),0,A724)</ns0:f>
        <ns0:v>0</ns0:v>
      </ns0:c>
      <ns0:c r="AD724" s="7">
        <ns0:f>IF(W724&gt;=0,A724,1001)</ns0:f>
        <ns0:v>720</ns0:v>
      </ns0:c>
      <ns0:c r="AE724" s="7">
        <ns0:f>IF(W724&lt;0,A724,0)</ns0:f>
        <ns0:v>0</ns0:v>
      </ns0:c>
      <ns0:c r="AF724" s="16">
        <ns0:f>IF(AND(OR('前提と出典'!$C$36+'前提と出典'!$C$38=0,U724&gt;=0),OR('前提と出典'!$C$37+'前提と出典'!$C$38=0,V724&gt;=0)),0,A724)</ns0:f>
        <ns0:v>0</ns0:v>
      </ns0:c>
      <ns0:c r="AG724" s="7">
        <ns0:f>IF(Z724&gt;=0,A724,1001)</ns0:f>
        <ns0:v>720</ns0:v>
      </ns0:c>
      <ns0:c r="AH724" s="4">
        <ns0:f>IF(Z724&lt;0,A724,0)</ns0:f>
        <ns0:v>0</ns0:v>
      </ns0:c>
      <ns0:c r="AI724" s="12">
        <ns0:f>IF(AND(OR('前提と出典'!$C$36+'前提と出典'!$C$38=0,X724&gt;=0),OR('前提と出典'!$C$37+'前提と出典'!$C$38=0,Y724&gt;=0)),0,A724)</ns0:f>
        <ns0:v>0</ns0:v>
      </ns0:c>
    </ns0:row>
    <ns0:row r="725" ht="24" customHeight="1">
      <ns0:c r="A725" s="4" t="n">
        <ns0:v>721</ns0:v>
      </ns0:c>
      <ns0:c r="B725" s="12">
        <ns0:f>A725*('前提と出典'!$C$36+'前提と出典'!$C$38)</ns0:f>
        <ns0:v>504.7</ns0:v>
      </ns0:c>
      <ns0:c r="C725" s="12">
        <ns0:f>A725*('前提と出典'!$C$37+'前提と出典'!$C$38)</ns0:f>
        <ns0:v>432.59999999999997</ns0:v>
      </ns0:c>
      <ns0:c r="D725" s="16">
        <ns0:f>A725*('前提と出典'!$C$36*'契約別単価'!C5+'前提と出典'!$C$37*'契約別単価'!C6+'前提と出典'!$C$38*'契約別単価'!C7)</ns0:f>
        <ns0:v>5187.977653631285</ns0:v>
      </ns0:c>
      <ns0:c r="E725" s="16">
        <ns0:f>A725*('前提と出典'!$C$36*'契約別単価'!E5+'前提と出典'!$C$37*'契約別単価'!E6+'前提と出典'!$C$38*'契約別単価'!E7)</ns0:f>
        <ns0:v>1395095.0975040358</ns0:v>
      </ns0:c>
      <ns0:c r="F725" s="16">
        <ns0:f>A725*('前提と出典'!$C$36*'契約別単価'!F5+'前提と出典'!$C$37*'契約別単価'!F6+'前提と出典'!$C$38*'契約別単価'!F7)</ns0:f>
        <ns0:v>547524.140866588</ns0:v>
      </ns0:c>
      <ns0:c r="G725" s="16">
        <ns0:f>A725*('前提と出典'!$C$36*'契約別単価'!G5+'前提と出典'!$C$37*'契約別単価'!G6+'前提と出典'!$C$38*'契約別単価'!G7)</ns0:f>
        <ns0:v>1435152.5139664803</ns0:v>
      </ns0:c>
      <ns0:c r="H725" s="16">
        <ns0:f>A725*('前提と出典'!$C$36*'契約別単価'!H5+'前提と出典'!$C$37*'契約別単価'!H6+'前提と出典'!$C$38*'契約別単価'!H7)</ns0:f>
        <ns0:v>498069.90090115374</ns0:v>
      </ns0:c>
      <ns0:c r="I725" s="16">
        <ns0:f>A725*('前提と出典'!$C$36*'契約別単価'!I5+'前提と出典'!$C$37*'契約別単価'!I6+'前提と出典'!$C$38*'契約別単価'!I7)</ns0:f>
        <ns0:v>30422.97765363128</ns0:v>
      </ns0:c>
      <ns0:c r="J725" s="16">
        <ns0:f>A725*('前提と出典'!$C$36*'契約別単価'!J5+'前提と出典'!$C$37*'契約別単価'!J6+'前提と出典'!$C$38*'契約別単価'!J7)</ns0:f>
        <ns0:v>70866.76101512816</ns0:v>
      </ns0:c>
      <ns0:c r="K725" s="16">
        <ns0:f>A725*('前提と出典'!$C$36*'契約別単価'!K5+'前提と出典'!$C$37*'契約別単価'!K6+'前提と出典'!$C$38*'契約別単価'!K7)</ns0:f>
        <ns0:v>303759.85102420853</ns0:v>
      </ns0:c>
      <ns0:c r="L725" s="16">
        <ns0:f>A725*('前提と出典'!$C$36*'契約別単価'!L5+'前提と出典'!$C$37*'契約別単価'!L6+'前提と出典'!$C$38*'契約別単価'!L7)</ns0:f>
        <ns0:v>247322.33003003846</ns0:v>
      </ns0:c>
      <ns0:c r="M725" s="16">
        <ns0:f>IF(('前提と出典'!$C$36+'前提と出典'!$C$38)=0,0,IF(B725&lt;=10,'前提と出典'!B73+'前提と出典'!C73,IF(B725&lt;=100,'前提と出典'!B74+'前提と出典'!C74,IF(B725&lt;=500,'前提と出典'!B75+'前提と出典'!C75,'前提と出典'!B76+'前提と出典'!C76))))</ns0:f>
        <ns0:v>80000</ns0:v>
      </ns0:c>
      <ns0:c r="N725" s="16">
        <ns0:f>IF(('前提と出典'!$C$37+'前提と出典'!$C$38)=0,0,IF(C725&lt;=10,'前提と出典'!D73+'前提と出典'!E73,IF(C725&lt;=100,'前提と出典'!D74+'前提と出典'!E74,IF(C725&lt;=500,'前提と出典'!D75+'前提と出典'!E75,'前提と出典'!D76+'前提と出典'!E76))))</ns0:f>
        <ns0:v>56510.9346263078</ns0:v>
      </ns0:c>
      <ns0:c r="O725" s="16">
        <ns0:f>IF('前提と出典'!$C$36+'前提と出典'!$C$38=0,0,'前提と出典'!$B$4*IF('前提と出典'!$B$20=0,MAX('前提と出典'!$B$6,D725*'前提と出典'!$B$5),'前提と出典'!$B$6+D725*'前提と出典'!$B$5))</ns0:f>
        <ns0:v>715940.9162011172</ns0:v>
      </ns0:c>
      <ns0:c r="P725" s="16">
        <ns0:f>(E725+G725)*(1-'前提と出典'!$B$7)-I725-K725-M725-O725</ns0:f>
        <ns0:v>1598234.9525786198</ns0:v>
      </ns0:c>
      <ns0:c r="Q725" s="16">
        <ns0:f>(F725+H725)*(1-'前提と出典'!$B$7)-J725-L725-N725</ns0:f>
        <ns0:v>633252.6305926287</ns0:v>
      </ns0:c>
      <ns0:c r="R725" s="16">
        <ns0:f>P725-E725*'前提と出典'!$E$4</ns0:f>
        <ns0:v>1179706.423327409</ns0:v>
      </ns0:c>
      <ns0:c r="S725" s="16">
        <ns0:f>Q725-F725*'前提と出典'!$E$4</ns0:f>
        <ns0:v>468995.3883326523</ns0:v>
      </ns0:c>
      <ns0:c r="T725" s="7">
        <ns0:f>R725+S725</ns0:f>
        <ns0:v>1648701.8116600611</ns0:v>
      </ns0:c>
      <ns0:c r="U725" s="16">
        <ns0:f>P725-E725*'前提と出典'!$E$5</ns0:f>
        <ns0:v>1040196.9135770055</ns0:v>
      </ns0:c>
      <ns0:c r="V725" s="16">
        <ns0:f>Q725-F725*'前提と出典'!$E$5</ns0:f>
        <ns0:v>414242.97424599354</ns0:v>
      </ns0:c>
      <ns0:c r="W725" s="7">
        <ns0:f>U725+V725</ns0:f>
        <ns0:v>1454439.8878229992</ns0:v>
      </ns0:c>
      <ns0:c r="X725" s="16">
        <ns0:f>P725-E725*'前提と出典'!$E$6</ns0:f>
        <ns0:v>900687.4038266025</ns0:v>
      </ns0:c>
      <ns0:c r="Y725" s="16">
        <ns0:f>Q725-F725*'前提と出典'!$E$6</ns0:f>
        <ns0:v>359490.5601593348</ns0:v>
      </ns0:c>
      <ns0:c r="Z725" s="7">
        <ns0:f>X725+Y725</ns0:f>
        <ns0:v>1260177.9639859372</ns0:v>
      </ns0:c>
      <ns0:c r="AA725" s="7">
        <ns0:f>IF(T725&gt;=0,A725,1001)</ns0:f>
        <ns0:v>721</ns0:v>
      </ns0:c>
      <ns0:c r="AB725" s="7">
        <ns0:f>IF(T725&lt;0,A725,0)</ns0:f>
        <ns0:v>0</ns0:v>
      </ns0:c>
      <ns0:c r="AC725" s="16">
        <ns0:f>IF(AND(OR('前提と出典'!$C$36+'前提と出典'!$C$38=0,R725&gt;=0),OR('前提と出典'!$C$37+'前提と出典'!$C$38=0,S725&gt;=0)),0,A725)</ns0:f>
        <ns0:v>0</ns0:v>
      </ns0:c>
      <ns0:c r="AD725" s="7">
        <ns0:f>IF(W725&gt;=0,A725,1001)</ns0:f>
        <ns0:v>721</ns0:v>
      </ns0:c>
      <ns0:c r="AE725" s="7">
        <ns0:f>IF(W725&lt;0,A725,0)</ns0:f>
        <ns0:v>0</ns0:v>
      </ns0:c>
      <ns0:c r="AF725" s="16">
        <ns0:f>IF(AND(OR('前提と出典'!$C$36+'前提と出典'!$C$38=0,U725&gt;=0),OR('前提と出典'!$C$37+'前提と出典'!$C$38=0,V725&gt;=0)),0,A725)</ns0:f>
        <ns0:v>0</ns0:v>
      </ns0:c>
      <ns0:c r="AG725" s="7">
        <ns0:f>IF(Z725&gt;=0,A725,1001)</ns0:f>
        <ns0:v>721</ns0:v>
      </ns0:c>
      <ns0:c r="AH725" s="4">
        <ns0:f>IF(Z725&lt;0,A725,0)</ns0:f>
        <ns0:v>0</ns0:v>
      </ns0:c>
      <ns0:c r="AI725" s="12">
        <ns0:f>IF(AND(OR('前提と出典'!$C$36+'前提と出典'!$C$38=0,X725&gt;=0),OR('前提と出典'!$C$37+'前提と出典'!$C$38=0,Y725&gt;=0)),0,A725)</ns0:f>
        <ns0:v>0</ns0:v>
      </ns0:c>
    </ns0:row>
    <ns0:row r="726" ht="24" customHeight="1">
      <ns0:c r="A726" s="4" t="n">
        <ns0:v>722</ns0:v>
      </ns0:c>
      <ns0:c r="B726" s="12">
        <ns0:f>A726*('前提と出典'!$C$36+'前提と出典'!$C$38)</ns0:f>
        <ns0:v>505.4</ns0:v>
      </ns0:c>
      <ns0:c r="C726" s="12">
        <ns0:f>A726*('前提と出典'!$C$37+'前提と出典'!$C$38)</ns0:f>
        <ns0:v>433.2</ns0:v>
      </ns0:c>
      <ns0:c r="D726" s="16">
        <ns0:f>A726*('前提と出典'!$C$36*'契約別単価'!C5+'前提と出典'!$C$37*'契約別単価'!C6+'前提と出典'!$C$38*'契約別単価'!C7)</ns0:f>
        <ns0:v>5195.173184357542</ns0:v>
      </ns0:c>
      <ns0:c r="E726" s="16">
        <ns0:f>A726*('前提と出典'!$C$36*'契約別単価'!E5+'前提と出典'!$C$37*'契約別単価'!E6+'前提と出典'!$C$38*'契約別単価'!E7)</ns0:f>
        <ns0:v>1397030.0421607683</ns0:v>
      </ns0:c>
      <ns0:c r="F726" s="16">
        <ns0:f>A726*('前提と出典'!$C$36*'契約別単価'!F5+'前提と出典'!$C$37*'契約別単価'!F6+'前提と出典'!$C$38*'契約別単価'!F7)</ns0:f>
        <ns0:v>548283.536346292</ns0:v>
      </ns0:c>
      <ns0:c r="G726" s="16">
        <ns0:f>A726*('前提と出典'!$C$36*'契約別単価'!G5+'前提と出典'!$C$37*'契約別単価'!G6+'前提と出典'!$C$38*'契約別単価'!G7)</ns0:f>
        <ns0:v>1437143.0167597765</ns0:v>
      </ns0:c>
      <ns0:c r="H726" s="16">
        <ns0:f>A726*('前提と出典'!$C$36*'契約別単価'!H5+'前提と出典'!$C$37*'契約別単価'!H6+'前提と出典'!$C$38*'契約別単価'!H7)</ns0:f>
        <ns0:v>498760.70520198747</ns0:v>
      </ns0:c>
      <ns0:c r="I726" s="16">
        <ns0:f>A726*('前提と出典'!$C$36*'契約別単価'!I5+'前提と出典'!$C$37*'契約別単価'!I6+'前提と出典'!$C$38*'契約別単価'!I7)</ns0:f>
        <ns0:v>30465.173184357536</ns0:v>
      </ns0:c>
      <ns0:c r="J726" s="16">
        <ns0:f>A726*('前提と出典'!$C$36*'契約別単価'!J5+'前提と出典'!$C$37*'契約別単価'!J6+'前提と出典'!$C$38*'契約別単価'!J7)</ns0:f>
        <ns0:v>70965.05055883845</ns0:v>
      </ns0:c>
      <ns0:c r="K726" s="16">
        <ns0:f>A726*('前提と出典'!$C$36*'契約別単価'!K5+'前提と出典'!$C$37*'契約別単価'!K6+'前提と出典'!$C$38*'契約別単価'!K7)</ns0:f>
        <ns0:v>304181.1545623836</ns0:v>
      </ns0:c>
      <ns0:c r="L726" s="16">
        <ns0:f>A726*('前提と出典'!$C$36*'契約別単価'!L5+'前提と出典'!$C$37*'契約別単価'!L6+'前提と出典'!$C$38*'契約別単価'!L7)</ns0:f>
        <ns0:v>247665.35684006623</ns0:v>
      </ns0:c>
      <ns0:c r="M726" s="16">
        <ns0:f>IF(('前提と出典'!$C$36+'前提と出典'!$C$38)=0,0,IF(B726&lt;=10,'前提と出典'!B73+'前提と出典'!C73,IF(B726&lt;=100,'前提と出典'!B74+'前提と出典'!C74,IF(B726&lt;=500,'前提と出典'!B75+'前提と出典'!C75,'前提と出典'!B76+'前提と出典'!C76))))</ns0:f>
        <ns0:v>80000</ns0:v>
      </ns0:c>
      <ns0:c r="N726" s="16">
        <ns0:f>IF(('前提と出典'!$C$37+'前提と出典'!$C$38)=0,0,IF(C726&lt;=10,'前提と出典'!D73+'前提と出典'!E73,IF(C726&lt;=100,'前提と出典'!D74+'前提と出典'!E74,IF(C726&lt;=500,'前提と出典'!D75+'前提と出典'!E75,'前提と出典'!D76+'前提と出典'!E76))))</ns0:f>
        <ns0:v>56510.9346263078</ns0:v>
      </ns0:c>
      <ns0:c r="O726" s="16">
        <ns0:f>IF('前提と出典'!$C$36+'前提と出典'!$C$38=0,0,'前提と出典'!$B$4*IF('前提と出典'!$B$20=0,MAX('前提と出典'!$B$6,D726*'前提と出典'!$B$5),'前提と出典'!$B$6+D726*'前提と出典'!$B$5))</ns0:f>
        <ns0:v>716933.8994413407</ns0:v>
      </ns0:c>
      <ns0:c r="P726" s="16">
        <ns0:f>(E726+G726)*(1-'前提と出典'!$B$7)-I726-K726-M726-O726</ns0:f>
        <ns0:v>1600562.6016113232</ns0:v>
      </ns0:c>
      <ns0:c r="Q726" s="16">
        <ns0:f>(F726+H726)*(1-'前提と出典'!$B$7)-J726-L726-N726</ns0:f>
        <ns0:v>634209.306827329</ns0:v>
      </ns0:c>
      <ns0:c r="R726" s="16">
        <ns0:f>P726-E726*'前提と出典'!$E$4</ns0:f>
        <ns0:v>1181453.5889630928</ns0:v>
      </ns0:c>
      <ns0:c r="S726" s="16">
        <ns0:f>Q726-F726*'前提と出典'!$E$4</ns0:f>
        <ns0:v>469724.24592344137</ns0:v>
      </ns0:c>
      <ns0:c r="T726" s="7">
        <ns0:f>R726+S726</ns0:f>
        <ns0:v>1651177.8348865341</ns0:v>
      </ns0:c>
      <ns0:c r="U726" s="16">
        <ns0:f>P726-E726*'前提と出典'!$E$5</ns0:f>
        <ns0:v>1041750.584747016</ns0:v>
      </ns0:c>
      <ns0:c r="V726" s="16">
        <ns0:f>Q726-F726*'前提と出典'!$E$5</ns0:f>
        <ns0:v>414895.8922888122</ns0:v>
      </ns0:c>
      <ns0:c r="W726" s="7">
        <ns0:f>U726+V726</ns0:f>
        <ns0:v>1456646.4770358282</ns0:v>
      </ns0:c>
      <ns0:c r="X726" s="16">
        <ns0:f>P726-E726*'前提と出典'!$E$6</ns0:f>
        <ns0:v>902047.5805309389</ns0:v>
      </ns0:c>
      <ns0:c r="Y726" s="16">
        <ns0:f>Q726-F726*'前提と出典'!$E$6</ns0:f>
        <ns0:v>360067.5386541829</ns0:v>
      </ns0:c>
      <ns0:c r="Z726" s="7">
        <ns0:f>X726+Y726</ns0:f>
        <ns0:v>1262115.1191851217</ns0:v>
      </ns0:c>
      <ns0:c r="AA726" s="7">
        <ns0:f>IF(T726&gt;=0,A726,1001)</ns0:f>
        <ns0:v>722</ns0:v>
      </ns0:c>
      <ns0:c r="AB726" s="7">
        <ns0:f>IF(T726&lt;0,A726,0)</ns0:f>
        <ns0:v>0</ns0:v>
      </ns0:c>
      <ns0:c r="AC726" s="16">
        <ns0:f>IF(AND(OR('前提と出典'!$C$36+'前提と出典'!$C$38=0,R726&gt;=0),OR('前提と出典'!$C$37+'前提と出典'!$C$38=0,S726&gt;=0)),0,A726)</ns0:f>
        <ns0:v>0</ns0:v>
      </ns0:c>
      <ns0:c r="AD726" s="7">
        <ns0:f>IF(W726&gt;=0,A726,1001)</ns0:f>
        <ns0:v>722</ns0:v>
      </ns0:c>
      <ns0:c r="AE726" s="7">
        <ns0:f>IF(W726&lt;0,A726,0)</ns0:f>
        <ns0:v>0</ns0:v>
      </ns0:c>
      <ns0:c r="AF726" s="16">
        <ns0:f>IF(AND(OR('前提と出典'!$C$36+'前提と出典'!$C$38=0,U726&gt;=0),OR('前提と出典'!$C$37+'前提と出典'!$C$38=0,V726&gt;=0)),0,A726)</ns0:f>
        <ns0:v>0</ns0:v>
      </ns0:c>
      <ns0:c r="AG726" s="7">
        <ns0:f>IF(Z726&gt;=0,A726,1001)</ns0:f>
        <ns0:v>722</ns0:v>
      </ns0:c>
      <ns0:c r="AH726" s="4">
        <ns0:f>IF(Z726&lt;0,A726,0)</ns0:f>
        <ns0:v>0</ns0:v>
      </ns0:c>
      <ns0:c r="AI726" s="12">
        <ns0:f>IF(AND(OR('前提と出典'!$C$36+'前提と出典'!$C$38=0,X726&gt;=0),OR('前提と出典'!$C$37+'前提と出典'!$C$38=0,Y726&gt;=0)),0,A726)</ns0:f>
        <ns0:v>0</ns0:v>
      </ns0:c>
    </ns0:row>
    <ns0:row r="727" ht="24" customHeight="1">
      <ns0:c r="A727" s="4" t="n">
        <ns0:v>723</ns0:v>
      </ns0:c>
      <ns0:c r="B727" s="12">
        <ns0:f>A727*('前提と出典'!$C$36+'前提と出典'!$C$38)</ns0:f>
        <ns0:v>506.09999999999997</ns0:v>
      </ns0:c>
      <ns0:c r="C727" s="12">
        <ns0:f>A727*('前提と出典'!$C$37+'前提と出典'!$C$38)</ns0:f>
        <ns0:v>433.8</ns0:v>
      </ns0:c>
      <ns0:c r="D727" s="16">
        <ns0:f>A727*('前提と出典'!$C$36*'契約別単価'!C5+'前提と出典'!$C$37*'契約別単価'!C6+'前提と出典'!$C$38*'契約別単価'!C7)</ns0:f>
        <ns0:v>5202.368715083799</ns0:v>
      </ns0:c>
      <ns0:c r="E727" s="16">
        <ns0:f>A727*('前提と出典'!$C$36*'契約別単価'!E5+'前提と出典'!$C$37*'契約別単価'!E6+'前提と出典'!$C$38*'契約別単価'!E7)</ns0:f>
        <ns0:v>1398964.9868175006</ns0:v>
      </ns0:c>
      <ns0:c r="F727" s="16">
        <ns0:f>A727*('前提と出典'!$C$36*'契約別単価'!F5+'前提と出典'!$C$37*'契約別単価'!F6+'前提と出典'!$C$38*'契約別単価'!F7)</ns0:f>
        <ns0:v>549042.931825996</ns0:v>
      </ns0:c>
      <ns0:c r="G727" s="16">
        <ns0:f>A727*('前提と出典'!$C$36*'契約別単価'!G5+'前提と出典'!$C$37*'契約別単価'!G6+'前提と出典'!$C$38*'契約別単価'!G7)</ns0:f>
        <ns0:v>1439133.5195530725</ns0:v>
      </ns0:c>
      <ns0:c r="H727" s="16">
        <ns0:f>A727*('前提と出典'!$C$36*'契約別単価'!H5+'前提と出典'!$C$37*'契約別単価'!H6+'前提と出典'!$C$38*'契約別単価'!H7)</ns0:f>
        <ns0:v>499451.50950282125</ns0:v>
      </ns0:c>
      <ns0:c r="I727" s="16">
        <ns0:f>A727*('前提と出典'!$C$36*'契約別単価'!I5+'前提と出典'!$C$37*'契約別単価'!I6+'前提と出典'!$C$38*'契約別単価'!I7)</ns0:f>
        <ns0:v>30507.368715083794</ns0:v>
      </ns0:c>
      <ns0:c r="J727" s="16">
        <ns0:f>A727*('前提と出典'!$C$36*'契約別単価'!J5+'前提と出典'!$C$37*'契約別単価'!J6+'前提と出典'!$C$38*'契約別単価'!J7)</ns0:f>
        <ns0:v>71063.34010254875</ns0:v>
      </ns0:c>
      <ns0:c r="K727" s="16">
        <ns0:f>A727*('前提と出典'!$C$36*'契約別単価'!K5+'前提と出典'!$C$37*'契約別単価'!K6+'前提と出典'!$C$38*'契約別単価'!K7)</ns0:f>
        <ns0:v>304602.45810055867</ns0:v>
      </ns0:c>
      <ns0:c r="L727" s="16">
        <ns0:f>A727*('前提と出典'!$C$36*'契約別単価'!L5+'前提と出典'!$C$37*'契約別単価'!L6+'前提と出典'!$C$38*'契約別単価'!L7)</ns0:f>
        <ns0:v>248008.38365009404</ns0:v>
      </ns0:c>
      <ns0:c r="M727" s="16">
        <ns0:f>IF(('前提と出典'!$C$36+'前提と出典'!$C$38)=0,0,IF(B727&lt;=10,'前提と出典'!B73+'前提と出典'!C73,IF(B727&lt;=100,'前提と出典'!B74+'前提と出典'!C74,IF(B727&lt;=500,'前提と出典'!B75+'前提と出典'!C75,'前提と出典'!B76+'前提と出典'!C76))))</ns0:f>
        <ns0:v>80000</ns0:v>
      </ns0:c>
      <ns0:c r="N727" s="16">
        <ns0:f>IF(('前提と出典'!$C$37+'前提と出典'!$C$38)=0,0,IF(C727&lt;=10,'前提と出典'!D73+'前提と出典'!E73,IF(C727&lt;=100,'前提と出典'!D74+'前提と出典'!E74,IF(C727&lt;=500,'前提と出典'!D75+'前提と出典'!E75,'前提と出典'!D76+'前提と出典'!E76))))</ns0:f>
        <ns0:v>56510.9346263078</ns0:v>
      </ns0:c>
      <ns0:c r="O727" s="16">
        <ns0:f>IF('前提と出典'!$C$36+'前提と出典'!$C$38=0,0,'前提と出典'!$B$4*IF('前提と出典'!$B$20=0,MAX('前提と出典'!$B$6,D727*'前提と出典'!$B$5),'前提と出典'!$B$6+D727*'前提と出典'!$B$5))</ns0:f>
        <ns0:v>717926.8826815642</ns0:v>
      </ns0:c>
      <ns0:c r="P727" s="16">
        <ns0:f>(E727+G727)*(1-'前提と出典'!$B$7)-I727-K727-M727-O727</ns0:f>
        <ns0:v>1602890.2506440263</ns0:v>
      </ns0:c>
      <ns0:c r="Q727" s="16">
        <ns0:f>(F727+H727)*(1-'前提と出典'!$B$7)-J727-L727-N727</ns0:f>
        <ns0:v>635165.9830620294</ns0:v>
      </ns0:c>
      <ns0:c r="R727" s="16">
        <ns0:f>P727-E727*'前提と出典'!$E$4</ns0:f>
        <ns0:v>1183200.754598776</ns0:v>
      </ns0:c>
      <ns0:c r="S727" s="16">
        <ns0:f>Q727-F727*'前提と出典'!$E$4</ns0:f>
        <ns0:v>470453.1035142306</ns0:v>
      </ns0:c>
      <ns0:c r="T727" s="7">
        <ns0:f>R727+S727</ns0:f>
        <ns0:v>1653653.8581130067</ns0:v>
      </ns0:c>
      <ns0:c r="U727" s="16">
        <ns0:f>P727-E727*'前提と出典'!$E$5</ns0:f>
        <ns0:v>1043304.255917026</ns0:v>
      </ns0:c>
      <ns0:c r="V727" s="16">
        <ns0:f>Q727-F727*'前提と出典'!$E$5</ns0:f>
        <ns0:v>415548.810331631</ns0:v>
      </ns0:c>
      <ns0:c r="W727" s="7">
        <ns0:f>U727+V727</ns0:f>
        <ns0:v>1458853.066248657</ns0:v>
      </ns0:c>
      <ns0:c r="X727" s="16">
        <ns0:f>P727-E727*'前提と出典'!$E$6</ns0:f>
        <ns0:v>903407.7572352758</ns0:v>
      </ns0:c>
      <ns0:c r="Y727" s="16">
        <ns0:f>Q727-F727*'前提と出典'!$E$6</ns0:f>
        <ns0:v>360644.5171490314</ns0:v>
      </ns0:c>
      <ns0:c r="Z727" s="7">
        <ns0:f>X727+Y727</ns0:f>
        <ns0:v>1264052.2743843072</ns0:v>
      </ns0:c>
      <ns0:c r="AA727" s="7">
        <ns0:f>IF(T727&gt;=0,A727,1001)</ns0:f>
        <ns0:v>723</ns0:v>
      </ns0:c>
      <ns0:c r="AB727" s="7">
        <ns0:f>IF(T727&lt;0,A727,0)</ns0:f>
        <ns0:v>0</ns0:v>
      </ns0:c>
      <ns0:c r="AC727" s="16">
        <ns0:f>IF(AND(OR('前提と出典'!$C$36+'前提と出典'!$C$38=0,R727&gt;=0),OR('前提と出典'!$C$37+'前提と出典'!$C$38=0,S727&gt;=0)),0,A727)</ns0:f>
        <ns0:v>0</ns0:v>
      </ns0:c>
      <ns0:c r="AD727" s="7">
        <ns0:f>IF(W727&gt;=0,A727,1001)</ns0:f>
        <ns0:v>723</ns0:v>
      </ns0:c>
      <ns0:c r="AE727" s="7">
        <ns0:f>IF(W727&lt;0,A727,0)</ns0:f>
        <ns0:v>0</ns0:v>
      </ns0:c>
      <ns0:c r="AF727" s="16">
        <ns0:f>IF(AND(OR('前提と出典'!$C$36+'前提と出典'!$C$38=0,U727&gt;=0),OR('前提と出典'!$C$37+'前提と出典'!$C$38=0,V727&gt;=0)),0,A727)</ns0:f>
        <ns0:v>0</ns0:v>
      </ns0:c>
      <ns0:c r="AG727" s="7">
        <ns0:f>IF(Z727&gt;=0,A727,1001)</ns0:f>
        <ns0:v>723</ns0:v>
      </ns0:c>
      <ns0:c r="AH727" s="4">
        <ns0:f>IF(Z727&lt;0,A727,0)</ns0:f>
        <ns0:v>0</ns0:v>
      </ns0:c>
      <ns0:c r="AI727" s="12">
        <ns0:f>IF(AND(OR('前提と出典'!$C$36+'前提と出典'!$C$38=0,X727&gt;=0),OR('前提と出典'!$C$37+'前提と出典'!$C$38=0,Y727&gt;=0)),0,A727)</ns0:f>
        <ns0:v>0</ns0:v>
      </ns0:c>
    </ns0:row>
    <ns0:row r="728" ht="24" customHeight="1">
      <ns0:c r="A728" s="4" t="n">
        <ns0:v>724</ns0:v>
      </ns0:c>
      <ns0:c r="B728" s="12">
        <ns0:f>A728*('前提と出典'!$C$36+'前提と出典'!$C$38)</ns0:f>
        <ns0:v>506.79999999999995</ns0:v>
      </ns0:c>
      <ns0:c r="C728" s="12">
        <ns0:f>A728*('前提と出典'!$C$37+'前提と出典'!$C$38)</ns0:f>
        <ns0:v>434.4</ns0:v>
      </ns0:c>
      <ns0:c r="D728" s="16">
        <ns0:f>A728*('前提と出典'!$C$36*'契約別単価'!C5+'前提と出典'!$C$37*'契約別単価'!C6+'前提と出典'!$C$38*'契約別単価'!C7)</ns0:f>
        <ns0:v>5209.564245810056</ns0:v>
      </ns0:c>
      <ns0:c r="E728" s="16">
        <ns0:f>A728*('前提と出典'!$C$36*'契約別単価'!E5+'前提と出典'!$C$37*'契約別単価'!E6+'前提と出典'!$C$38*'契約別単価'!E7)</ns0:f>
        <ns0:v>1400899.931474233</ns0:v>
      </ns0:c>
      <ns0:c r="F728" s="16">
        <ns0:f>A728*('前提と出典'!$C$36*'契約別単価'!F5+'前提と出典'!$C$37*'契約別単価'!F6+'前提と出典'!$C$38*'契約別単価'!F7)</ns0:f>
        <ns0:v>549802.3273057</ns0:v>
      </ns0:c>
      <ns0:c r="G728" s="16">
        <ns0:f>A728*('前提と出典'!$C$36*'契約別単価'!G5+'前提と出典'!$C$37*'契約別単価'!G6+'前提と出典'!$C$38*'契約別単価'!G7)</ns0:f>
        <ns0:v>1441124.0223463688</ns0:v>
      </ns0:c>
      <ns0:c r="H728" s="16">
        <ns0:f>A728*('前提と出典'!$C$36*'契約別単価'!H5+'前提と出典'!$C$37*'契約別単価'!H6+'前提と出典'!$C$38*'契約別単価'!H7)</ns0:f>
        <ns0:v>500142.31380365504</ns0:v>
      </ns0:c>
      <ns0:c r="I728" s="16">
        <ns0:f>A728*('前提と出典'!$C$36*'契約別単価'!I5+'前提と出典'!$C$37*'契約別単価'!I6+'前提と出典'!$C$38*'契約別単価'!I7)</ns0:f>
        <ns0:v>30549.564245810052</ns0:v>
      </ns0:c>
      <ns0:c r="J728" s="16">
        <ns0:f>A728*('前提と出典'!$C$36*'契約別単価'!J5+'前提と出典'!$C$37*'契約別単価'!J6+'前提と出典'!$C$38*'契約別単価'!J7)</ns0:f>
        <ns0:v>71161.62964625905</ns0:v>
      </ns0:c>
      <ns0:c r="K728" s="16">
        <ns0:f>A728*('前提と出典'!$C$36*'契約別単価'!K5+'前提と出典'!$C$37*'契約別単価'!K6+'前提と出典'!$C$38*'契約別単価'!K7)</ns0:f>
        <ns0:v>305023.7616387337</ns0:v>
      </ns0:c>
      <ns0:c r="L728" s="16">
        <ns0:f>A728*('前提と出典'!$C$36*'契約別単価'!L5+'前提と出典'!$C$37*'契約別単価'!L6+'前提と出典'!$C$38*'契約別単価'!L7)</ns0:f>
        <ns0:v>248351.4104601218</ns0:v>
      </ns0:c>
      <ns0:c r="M728" s="16">
        <ns0:f>IF(('前提と出典'!$C$36+'前提と出典'!$C$38)=0,0,IF(B728&lt;=10,'前提と出典'!B73+'前提と出典'!C73,IF(B728&lt;=100,'前提と出典'!B74+'前提と出典'!C74,IF(B728&lt;=500,'前提と出典'!B75+'前提と出典'!C75,'前提と出典'!B76+'前提と出典'!C76))))</ns0:f>
        <ns0:v>80000</ns0:v>
      </ns0:c>
      <ns0:c r="N728" s="16">
        <ns0:f>IF(('前提と出典'!$C$37+'前提と出典'!$C$38)=0,0,IF(C728&lt;=10,'前提と出典'!D73+'前提と出典'!E73,IF(C728&lt;=100,'前提と出典'!D74+'前提と出典'!E74,IF(C728&lt;=500,'前提と出典'!D75+'前提と出典'!E75,'前提と出典'!D76+'前提と出典'!E76))))</ns0:f>
        <ns0:v>56510.9346263078</ns0:v>
      </ns0:c>
      <ns0:c r="O728" s="16">
        <ns0:f>IF('前提と出典'!$C$36+'前提と出典'!$C$38=0,0,'前提と出典'!$B$4*IF('前提と出典'!$B$20=0,MAX('前提と出典'!$B$6,D728*'前提と出典'!$B$5),'前提と出典'!$B$6+D728*'前提と出典'!$B$5))</ns0:f>
        <ns0:v>718919.8659217877</ns0:v>
      </ns0:c>
      <ns0:c r="P728" s="16">
        <ns0:f>(E728+G728)*(1-'前提と出典'!$B$7)-I728-K728-M728-O728</ns0:f>
        <ns0:v>1605217.899676729</ns0:v>
      </ns0:c>
      <ns0:c r="Q728" s="16">
        <ns0:f>(F728+H728)*(1-'前提と出典'!$B$7)-J728-L728-N728</ns0:f>
        <ns0:v>636122.6592967296</ns0:v>
      </ns0:c>
      <ns0:c r="R728" s="16">
        <ns0:f>P728-E728*'前提と出典'!$E$4</ns0:f>
        <ns0:v>1184947.9202344588</ns0:v>
      </ns0:c>
      <ns0:c r="S728" s="16">
        <ns0:f>Q728-F728*'前提と出典'!$E$4</ns0:f>
        <ns0:v>471181.96110501955</ns0:v>
      </ns0:c>
      <ns0:c r="T728" s="7">
        <ns0:f>R728+S728</ns0:f>
        <ns0:v>1656129.8813394783</ns0:v>
      </ns0:c>
      <ns0:c r="U728" s="16">
        <ns0:f>P728-E728*'前提と出典'!$E$5</ns0:f>
        <ns0:v>1044857.9270870357</ns0:v>
      </ns0:c>
      <ns0:c r="V728" s="16">
        <ns0:f>Q728-F728*'前提と出典'!$E$5</ns0:f>
        <ns0:v>416201.72837444954</ns0:v>
      </ns0:c>
      <ns0:c r="W728" s="7">
        <ns0:f>U728+V728</ns0:f>
        <ns0:v>1461059.6554614853</ns0:v>
      </ns0:c>
      <ns0:c r="X728" s="16">
        <ns0:f>P728-E728*'前提と出典'!$E$6</ns0:f>
        <ns0:v>904767.9339396122</ns0:v>
      </ns0:c>
      <ns0:c r="Y728" s="16">
        <ns0:f>Q728-F728*'前提と出典'!$E$6</ns0:f>
        <ns0:v>361221.4956438795</ns0:v>
      </ns0:c>
      <ns0:c r="Z728" s="7">
        <ns0:f>X728+Y728</ns0:f>
        <ns0:v>1265989.4295834918</ns0:v>
      </ns0:c>
      <ns0:c r="AA728" s="7">
        <ns0:f>IF(T728&gt;=0,A728,1001)</ns0:f>
        <ns0:v>724</ns0:v>
      </ns0:c>
      <ns0:c r="AB728" s="7">
        <ns0:f>IF(T728&lt;0,A728,0)</ns0:f>
        <ns0:v>0</ns0:v>
      </ns0:c>
      <ns0:c r="AC728" s="16">
        <ns0:f>IF(AND(OR('前提と出典'!$C$36+'前提と出典'!$C$38=0,R728&gt;=0),OR('前提と出典'!$C$37+'前提と出典'!$C$38=0,S728&gt;=0)),0,A728)</ns0:f>
        <ns0:v>0</ns0:v>
      </ns0:c>
      <ns0:c r="AD728" s="7">
        <ns0:f>IF(W728&gt;=0,A728,1001)</ns0:f>
        <ns0:v>724</ns0:v>
      </ns0:c>
      <ns0:c r="AE728" s="7">
        <ns0:f>IF(W728&lt;0,A728,0)</ns0:f>
        <ns0:v>0</ns0:v>
      </ns0:c>
      <ns0:c r="AF728" s="16">
        <ns0:f>IF(AND(OR('前提と出典'!$C$36+'前提と出典'!$C$38=0,U728&gt;=0),OR('前提と出典'!$C$37+'前提と出典'!$C$38=0,V728&gt;=0)),0,A728)</ns0:f>
        <ns0:v>0</ns0:v>
      </ns0:c>
      <ns0:c r="AG728" s="7">
        <ns0:f>IF(Z728&gt;=0,A728,1001)</ns0:f>
        <ns0:v>724</ns0:v>
      </ns0:c>
      <ns0:c r="AH728" s="4">
        <ns0:f>IF(Z728&lt;0,A728,0)</ns0:f>
        <ns0:v>0</ns0:v>
      </ns0:c>
      <ns0:c r="AI728" s="12">
        <ns0:f>IF(AND(OR('前提と出典'!$C$36+'前提と出典'!$C$38=0,X728&gt;=0),OR('前提と出典'!$C$37+'前提と出典'!$C$38=0,Y728&gt;=0)),0,A728)</ns0:f>
        <ns0:v>0</ns0:v>
      </ns0:c>
    </ns0:row>
    <ns0:row r="729" ht="24" customHeight="1">
      <ns0:c r="A729" s="4" t="n">
        <ns0:v>725</ns0:v>
      </ns0:c>
      <ns0:c r="B729" s="12">
        <ns0:f>A729*('前提と出典'!$C$36+'前提と出典'!$C$38)</ns0:f>
        <ns0:v>507.49999999999994</ns0:v>
      </ns0:c>
      <ns0:c r="C729" s="12">
        <ns0:f>A729*('前提と出典'!$C$37+'前提と出典'!$C$38)</ns0:f>
        <ns0:v>435</ns0:v>
      </ns0:c>
      <ns0:c r="D729" s="16">
        <ns0:f>A729*('前提と出典'!$C$36*'契約別単価'!C5+'前提と出典'!$C$37*'契約別単価'!C6+'前提と出典'!$C$38*'契約別単価'!C7)</ns0:f>
        <ns0:v>5216.7597765363125</ns0:v>
      </ns0:c>
      <ns0:c r="E729" s="16">
        <ns0:f>A729*('前提と出典'!$C$36*'契約別単価'!E5+'前提と出典'!$C$37*'契約別単価'!E6+'前提と出典'!$C$38*'契約別単価'!E7)</ns0:f>
        <ns0:v>1402834.8761309653</ns0:v>
      </ns0:c>
      <ns0:c r="F729" s="16">
        <ns0:f>A729*('前提と出典'!$C$36*'契約別単価'!F5+'前提と出典'!$C$37*'契約別単価'!F6+'前提と出典'!$C$38*'契約別単価'!F7)</ns0:f>
        <ns0:v>550561.7227854041</ns0:v>
      </ns0:c>
      <ns0:c r="G729" s="16">
        <ns0:f>A729*('前提と出典'!$C$36*'契約別単価'!G5+'前提と出典'!$C$37*'契約別単価'!G6+'前提と出典'!$C$38*'契約別単価'!G7)</ns0:f>
        <ns0:v>1443114.5251396648</ns0:v>
      </ns0:c>
      <ns0:c r="H729" s="16">
        <ns0:f>A729*('前提と出典'!$C$36*'契約別単価'!H5+'前提と出典'!$C$37*'契約別単価'!H6+'前提と出典'!$C$38*'契約別単価'!H7)</ns0:f>
        <ns0:v>500833.1181044888</ns0:v>
      </ns0:c>
      <ns0:c r="I729" s="16">
        <ns0:f>A729*('前提と出典'!$C$36*'契約別単価'!I5+'前提と出典'!$C$37*'契約別単価'!I6+'前提と出典'!$C$38*'契約別単価'!I7)</ns0:f>
        <ns0:v>30591.759776536306</ns0:v>
      </ns0:c>
      <ns0:c r="J729" s="16">
        <ns0:f>A729*('前提と出典'!$C$36*'契約別単価'!J5+'前提と出典'!$C$37*'契約別単価'!J6+'前提と出典'!$C$38*'契約別単価'!J7)</ns0:f>
        <ns0:v>71259.91918996935</ns0:v>
      </ns0:c>
      <ns0:c r="K729" s="16">
        <ns0:f>A729*('前提と出典'!$C$36*'契約別単価'!K5+'前提と出典'!$C$37*'契約別単価'!K6+'前提と出典'!$C$38*'契約別単価'!K7)</ns0:f>
        <ns0:v>305445.06517690874</ns0:v>
      </ns0:c>
      <ns0:c r="L729" s="16">
        <ns0:f>A729*('前提と出典'!$C$36*'契約別単価'!L5+'前提と出典'!$C$37*'契約別単価'!L6+'前提と出典'!$C$38*'契約別単価'!L7)</ns0:f>
        <ns0:v>248694.43727014962</ns0:v>
      </ns0:c>
      <ns0:c r="M729" s="16">
        <ns0:f>IF(('前提と出典'!$C$36+'前提と出典'!$C$38)=0,0,IF(B729&lt;=10,'前提と出典'!B73+'前提と出典'!C73,IF(B729&lt;=100,'前提と出典'!B74+'前提と出典'!C74,IF(B729&lt;=500,'前提と出典'!B75+'前提と出典'!C75,'前提と出典'!B76+'前提と出典'!C76))))</ns0:f>
        <ns0:v>80000</ns0:v>
      </ns0:c>
      <ns0:c r="N729" s="16">
        <ns0:f>IF(('前提と出典'!$C$37+'前提と出典'!$C$38)=0,0,IF(C729&lt;=10,'前提と出典'!D73+'前提と出典'!E73,IF(C729&lt;=100,'前提と出典'!D74+'前提と出典'!E74,IF(C729&lt;=500,'前提と出典'!D75+'前提と出典'!E75,'前提と出典'!D76+'前提と出典'!E76))))</ns0:f>
        <ns0:v>56510.9346263078</ns0:v>
      </ns0:c>
      <ns0:c r="O729" s="16">
        <ns0:f>IF('前提と出典'!$C$36+'前提と出典'!$C$38=0,0,'前提と出典'!$B$4*IF('前提と出典'!$B$20=0,MAX('前提と出典'!$B$6,D729*'前提と出典'!$B$5),'前提と出典'!$B$6+D729*'前提と出典'!$B$5))</ns0:f>
        <ns0:v>719912.8491620112</ns0:v>
      </ns0:c>
      <ns0:c r="P729" s="16">
        <ns0:f>(E729+G729)*(1-'前提と出典'!$B$7)-I729-K729-M729-O729</ns0:f>
        <ns0:v>1607545.5487094307</ns0:v>
      </ns0:c>
      <ns0:c r="Q729" s="16">
        <ns0:f>(F729+H729)*(1-'前提と出典'!$B$7)-J729-L729-N729</ns0:f>
        <ns0:v>637079.3355314302</ns0:v>
      </ns0:c>
      <ns0:c r="R729" s="16">
        <ns0:f>P729-E729*'前提と出典'!$E$4</ns0:f>
        <ns0:v>1186695.0858701414</ns0:v>
      </ns0:c>
      <ns0:c r="S729" s="16">
        <ns0:f>Q729-F729*'前提と出典'!$E$4</ns0:f>
        <ns0:v>471910.818695809</ns0:v>
      </ns0:c>
      <ns0:c r="T729" s="7">
        <ns0:f>R729+S729</ns0:f>
        <ns0:v>1658605.9045659504</ns0:v>
      </ns0:c>
      <ns0:c r="U729" s="16">
        <ns0:f>P729-E729*'前提と出典'!$E$5</ns0:f>
        <ns0:v>1046411.5982570446</ns0:v>
      </ns0:c>
      <ns0:c r="V729" s="16">
        <ns0:f>Q729-F729*'前提と出典'!$E$5</ns0:f>
        <ns0:v>416854.64641726855</ns0:v>
      </ns0:c>
      <ns0:c r="W729" s="7">
        <ns0:f>U729+V729</ns0:f>
        <ns0:v>1463266.244674313</ns0:v>
      </ns0:c>
      <ns0:c r="X729" s="16">
        <ns0:f>P729-E729*'前提と出典'!$E$6</ns0:f>
        <ns0:v>906128.1106439482</ns0:v>
      </ns0:c>
      <ns0:c r="Y729" s="16">
        <ns0:f>Q729-F729*'前提と出典'!$E$6</ns0:f>
        <ns0:v>361798.4741387282</ns0:v>
      </ns0:c>
      <ns0:c r="Z729" s="7">
        <ns0:f>X729+Y729</ns0:f>
        <ns0:v>1267926.5847826763</ns0:v>
      </ns0:c>
      <ns0:c r="AA729" s="7">
        <ns0:f>IF(T729&gt;=0,A729,1001)</ns0:f>
        <ns0:v>725</ns0:v>
      </ns0:c>
      <ns0:c r="AB729" s="7">
        <ns0:f>IF(T729&lt;0,A729,0)</ns0:f>
        <ns0:v>0</ns0:v>
      </ns0:c>
      <ns0:c r="AC729" s="16">
        <ns0:f>IF(AND(OR('前提と出典'!$C$36+'前提と出典'!$C$38=0,R729&gt;=0),OR('前提と出典'!$C$37+'前提と出典'!$C$38=0,S729&gt;=0)),0,A729)</ns0:f>
        <ns0:v>0</ns0:v>
      </ns0:c>
      <ns0:c r="AD729" s="7">
        <ns0:f>IF(W729&gt;=0,A729,1001)</ns0:f>
        <ns0:v>725</ns0:v>
      </ns0:c>
      <ns0:c r="AE729" s="7">
        <ns0:f>IF(W729&lt;0,A729,0)</ns0:f>
        <ns0:v>0</ns0:v>
      </ns0:c>
      <ns0:c r="AF729" s="16">
        <ns0:f>IF(AND(OR('前提と出典'!$C$36+'前提と出典'!$C$38=0,U729&gt;=0),OR('前提と出典'!$C$37+'前提と出典'!$C$38=0,V729&gt;=0)),0,A729)</ns0:f>
        <ns0:v>0</ns0:v>
      </ns0:c>
      <ns0:c r="AG729" s="7">
        <ns0:f>IF(Z729&gt;=0,A729,1001)</ns0:f>
        <ns0:v>725</ns0:v>
      </ns0:c>
      <ns0:c r="AH729" s="4">
        <ns0:f>IF(Z729&lt;0,A729,0)</ns0:f>
        <ns0:v>0</ns0:v>
      </ns0:c>
      <ns0:c r="AI729" s="12">
        <ns0:f>IF(AND(OR('前提と出典'!$C$36+'前提と出典'!$C$38=0,X729&gt;=0),OR('前提と出典'!$C$37+'前提と出典'!$C$38=0,Y729&gt;=0)),0,A729)</ns0:f>
        <ns0:v>0</ns0:v>
      </ns0:c>
    </ns0:row>
    <ns0:row r="730" ht="24" customHeight="1">
      <ns0:c r="A730" s="4" t="n">
        <ns0:v>726</ns0:v>
      </ns0:c>
      <ns0:c r="B730" s="12">
        <ns0:f>A730*('前提と出典'!$C$36+'前提と出典'!$C$38)</ns0:f>
        <ns0:v>508.2</ns0:v>
      </ns0:c>
      <ns0:c r="C730" s="12">
        <ns0:f>A730*('前提と出典'!$C$37+'前提と出典'!$C$38)</ns0:f>
        <ns0:v>435.59999999999997</ns0:v>
      </ns0:c>
      <ns0:c r="D730" s="16">
        <ns0:f>A730*('前提と出典'!$C$36*'契約別単価'!C5+'前提と出典'!$C$37*'契約別単価'!C6+'前提と出典'!$C$38*'契約別単価'!C7)</ns0:f>
        <ns0:v>5223.9553072625695</ns0:v>
      </ns0:c>
      <ns0:c r="E730" s="16">
        <ns0:f>A730*('前提と出典'!$C$36*'契約別単価'!E5+'前提と出典'!$C$37*'契約別単価'!E6+'前提と出典'!$C$38*'契約別単価'!E7)</ns0:f>
        <ns0:v>1404769.8207876978</ns0:v>
      </ns0:c>
      <ns0:c r="F730" s="16">
        <ns0:f>A730*('前提と出典'!$C$36*'契約別単価'!F5+'前提と出典'!$C$37*'契約別単価'!F6+'前提と出典'!$C$38*'契約別単価'!F7)</ns0:f>
        <ns0:v>551321.118265108</ns0:v>
      </ns0:c>
      <ns0:c r="G730" s="16">
        <ns0:f>A730*('前提と出典'!$C$36*'契約別単価'!G5+'前提と出典'!$C$37*'契約別単価'!G6+'前提と出典'!$C$38*'契約別単価'!G7)</ns0:f>
        <ns0:v>1445105.0279329608</ns0:v>
      </ns0:c>
      <ns0:c r="H730" s="16">
        <ns0:f>A730*('前提と出典'!$C$36*'契約別単価'!H5+'前提と出典'!$C$37*'契約別単価'!H6+'前提と出典'!$C$38*'契約別単価'!H7)</ns0:f>
        <ns0:v>501523.9224053226</ns0:v>
      </ns0:c>
      <ns0:c r="I730" s="16">
        <ns0:f>A730*('前提と出典'!$C$36*'契約別単価'!I5+'前提と出典'!$C$37*'契約別単価'!I6+'前提と出典'!$C$38*'契約別単価'!I7)</ns0:f>
        <ns0:v>30633.955307262564</ns0:v>
      </ns0:c>
      <ns0:c r="J730" s="16">
        <ns0:f>A730*('前提と出典'!$C$36*'契約別単価'!J5+'前提と出典'!$C$37*'契約別単価'!J6+'前提と出典'!$C$38*'契約別単価'!J7)</ns0:f>
        <ns0:v>71358.20873367967</ns0:v>
      </ns0:c>
      <ns0:c r="K730" s="16">
        <ns0:f>A730*('前提と出典'!$C$36*'契約別単価'!K5+'前提と出典'!$C$37*'契約別単価'!K6+'前提と出典'!$C$38*'契約別単価'!K7)</ns0:f>
        <ns0:v>305866.36871508375</ns0:v>
      </ns0:c>
      <ns0:c r="L730" s="16">
        <ns0:f>A730*('前提と出典'!$C$36*'契約別単価'!L5+'前提と出典'!$C$37*'契約別単価'!L6+'前提と出典'!$C$38*'契約別単価'!L7)</ns0:f>
        <ns0:v>249037.46408017742</ns0:v>
      </ns0:c>
      <ns0:c r="M730" s="16">
        <ns0:f>IF(('前提と出典'!$C$36+'前提と出典'!$C$38)=0,0,IF(B730&lt;=10,'前提と出典'!B73+'前提と出典'!C73,IF(B730&lt;=100,'前提と出典'!B74+'前提と出典'!C74,IF(B730&lt;=500,'前提と出典'!B75+'前提と出典'!C75,'前提と出典'!B76+'前提と出典'!C76))))</ns0:f>
        <ns0:v>80000</ns0:v>
      </ns0:c>
      <ns0:c r="N730" s="16">
        <ns0:f>IF(('前提と出典'!$C$37+'前提と出典'!$C$38)=0,0,IF(C730&lt;=10,'前提と出典'!D73+'前提と出典'!E73,IF(C730&lt;=100,'前提と出典'!D74+'前提と出典'!E74,IF(C730&lt;=500,'前提と出典'!D75+'前提と出典'!E75,'前提と出典'!D76+'前提と出典'!E76))))</ns0:f>
        <ns0:v>56510.9346263078</ns0:v>
      </ns0:c>
      <ns0:c r="O730" s="16">
        <ns0:f>IF('前提と出典'!$C$36+'前提と出典'!$C$38=0,0,'前提と出典'!$B$4*IF('前提と出典'!$B$20=0,MAX('前提と出典'!$B$6,D730*'前提と出典'!$B$5),'前提と出典'!$B$6+D730*'前提と出典'!$B$5))</ns0:f>
        <ns0:v>720905.8324022347</ns0:v>
      </ns0:c>
      <ns0:c r="P730" s="16">
        <ns0:f>(E730+G730)*(1-'前提と出典'!$B$7)-I730-K730-M730-O730</ns0:f>
        <ns0:v>1609873.1977421339</ns0:v>
      </ns0:c>
      <ns0:c r="Q730" s="16">
        <ns0:f>(F730+H730)*(1-'前提と出典'!$B$7)-J730-L730-N730</ns0:f>
        <ns0:v>638036.0117661301</ns0:v>
      </ns0:c>
      <ns0:c r="R730" s="16">
        <ns0:f>P730-E730*'前提と出典'!$E$4</ns0:f>
        <ns0:v>1188442.251505825</ns0:v>
      </ns0:c>
      <ns0:c r="S730" s="16">
        <ns0:f>Q730-F730*'前提と出典'!$E$4</ns0:f>
        <ns0:v>472639.67628659774</ns0:v>
      </ns0:c>
      <ns0:c r="T730" s="7">
        <ns0:f>R730+S730</ns0:f>
        <ns0:v>1661081.9277924227</ns0:v>
      </ns0:c>
      <ns0:c r="U730" s="16">
        <ns0:f>P730-E730*'前提と出典'!$E$5</ns0:f>
        <ns0:v>1047965.2694270548</ns0:v>
      </ns0:c>
      <ns0:c r="V730" s="16">
        <ns0:f>Q730-F730*'前提と出典'!$E$5</ns0:f>
        <ns0:v>417507.5644600869</ns0:v>
      </ns0:c>
      <ns0:c r="W730" s="7">
        <ns0:f>U730+V730</ns0:f>
        <ns0:v>1465472.8338871417</ns0:v>
      </ns0:c>
      <ns0:c r="X730" s="16">
        <ns0:f>P730-E730*'前提と出典'!$E$6</ns0:f>
        <ns0:v>907488.2873482851</ns0:v>
      </ns0:c>
      <ns0:c r="Y730" s="16">
        <ns0:f>Q730-F730*'前提と出典'!$E$6</ns0:f>
        <ns0:v>362375.45263357606</ns0:v>
      </ns0:c>
      <ns0:c r="Z730" s="7">
        <ns0:f>X730+Y730</ns0:f>
        <ns0:v>1269863.739981861</ns0:v>
      </ns0:c>
      <ns0:c r="AA730" s="7">
        <ns0:f>IF(T730&gt;=0,A730,1001)</ns0:f>
        <ns0:v>726</ns0:v>
      </ns0:c>
      <ns0:c r="AB730" s="7">
        <ns0:f>IF(T730&lt;0,A730,0)</ns0:f>
        <ns0:v>0</ns0:v>
      </ns0:c>
      <ns0:c r="AC730" s="16">
        <ns0:f>IF(AND(OR('前提と出典'!$C$36+'前提と出典'!$C$38=0,R730&gt;=0),OR('前提と出典'!$C$37+'前提と出典'!$C$38=0,S730&gt;=0)),0,A730)</ns0:f>
        <ns0:v>0</ns0:v>
      </ns0:c>
      <ns0:c r="AD730" s="7">
        <ns0:f>IF(W730&gt;=0,A730,1001)</ns0:f>
        <ns0:v>726</ns0:v>
      </ns0:c>
      <ns0:c r="AE730" s="7">
        <ns0:f>IF(W730&lt;0,A730,0)</ns0:f>
        <ns0:v>0</ns0:v>
      </ns0:c>
      <ns0:c r="AF730" s="16">
        <ns0:f>IF(AND(OR('前提と出典'!$C$36+'前提と出典'!$C$38=0,U730&gt;=0),OR('前提と出典'!$C$37+'前提と出典'!$C$38=0,V730&gt;=0)),0,A730)</ns0:f>
        <ns0:v>0</ns0:v>
      </ns0:c>
      <ns0:c r="AG730" s="7">
        <ns0:f>IF(Z730&gt;=0,A730,1001)</ns0:f>
        <ns0:v>726</ns0:v>
      </ns0:c>
      <ns0:c r="AH730" s="4">
        <ns0:f>IF(Z730&lt;0,A730,0)</ns0:f>
        <ns0:v>0</ns0:v>
      </ns0:c>
      <ns0:c r="AI730" s="12">
        <ns0:f>IF(AND(OR('前提と出典'!$C$36+'前提と出典'!$C$38=0,X730&gt;=0),OR('前提と出典'!$C$37+'前提と出典'!$C$38=0,Y730&gt;=0)),0,A730)</ns0:f>
        <ns0:v>0</ns0:v>
      </ns0:c>
    </ns0:row>
    <ns0:row r="731" ht="24" customHeight="1">
      <ns0:c r="A731" s="4" t="n">
        <ns0:v>727</ns0:v>
      </ns0:c>
      <ns0:c r="B731" s="12">
        <ns0:f>A731*('前提と出典'!$C$36+'前提と出典'!$C$38)</ns0:f>
        <ns0:v>508.9</ns0:v>
      </ns0:c>
      <ns0:c r="C731" s="12">
        <ns0:f>A731*('前提と出典'!$C$37+'前提と出典'!$C$38)</ns0:f>
        <ns0:v>436.2</ns0:v>
      </ns0:c>
      <ns0:c r="D731" s="16">
        <ns0:f>A731*('前提と出典'!$C$36*'契約別単価'!C5+'前提と出典'!$C$37*'契約別単価'!C6+'前提と出典'!$C$38*'契約別単価'!C7)</ns0:f>
        <ns0:v>5231.150837988826</ns0:v>
      </ns0:c>
      <ns0:c r="E731" s="16">
        <ns0:f>A731*('前提と出典'!$C$36*'契約別単価'!E5+'前提と出典'!$C$37*'契約別単価'!E6+'前提と出典'!$C$38*'契約別単価'!E7)</ns0:f>
        <ns0:v>1406704.76544443</ns0:v>
      </ns0:c>
      <ns0:c r="F731" s="16">
        <ns0:f>A731*('前提と出典'!$C$36*'契約別単価'!F5+'前提と出典'!$C$37*'契約別単価'!F6+'前提と出典'!$C$38*'契約別単価'!F7)</ns0:f>
        <ns0:v>552080.513744812</ns0:v>
      </ns0:c>
      <ns0:c r="G731" s="16">
        <ns0:f>A731*('前提と出典'!$C$36*'契約別単価'!G5+'前提と出典'!$C$37*'契約別単価'!G6+'前提と出典'!$C$38*'契約別単価'!G7)</ns0:f>
        <ns0:v>1447095.530726257</ns0:v>
      </ns0:c>
      <ns0:c r="H731" s="16">
        <ns0:f>A731*('前提と出典'!$C$36*'契約別単価'!H5+'前提と出典'!$C$37*'契約別単価'!H6+'前提と出典'!$C$38*'契約別単価'!H7)</ns0:f>
        <ns0:v>502214.7267061564</ns0:v>
      </ns0:c>
      <ns0:c r="I731" s="16">
        <ns0:f>A731*('前提と出典'!$C$36*'契約別単価'!I5+'前提と出典'!$C$37*'契約別単価'!I6+'前提と出典'!$C$38*'契約別単価'!I7)</ns0:f>
        <ns0:v>30676.150837988822</ns0:v>
      </ns0:c>
      <ns0:c r="J731" s="16">
        <ns0:f>A731*('前提と出典'!$C$36*'契約別単価'!J5+'前提と出典'!$C$37*'契約別単価'!J6+'前提と出典'!$C$38*'契約別単価'!J7)</ns0:f>
        <ns0:v>71456.49827738997</ns0:v>
      </ns0:c>
      <ns0:c r="K731" s="16">
        <ns0:f>A731*('前提と出典'!$C$36*'契約別単価'!K5+'前提と出典'!$C$37*'契約別単価'!K6+'前提と出典'!$C$38*'契約別単価'!K7)</ns0:f>
        <ns0:v>306287.6722532588</ns0:v>
      </ns0:c>
      <ns0:c r="L731" s="16">
        <ns0:f>A731*('前提と出典'!$C$36*'契約別単価'!L5+'前提と出典'!$C$37*'契約別単価'!L6+'前提と出典'!$C$38*'契約別単価'!L7)</ns0:f>
        <ns0:v>249380.4908902052</ns0:v>
      </ns0:c>
      <ns0:c r="M731" s="16">
        <ns0:f>IF(('前提と出典'!$C$36+'前提と出典'!$C$38)=0,0,IF(B731&lt;=10,'前提と出典'!B73+'前提と出典'!C73,IF(B731&lt;=100,'前提と出典'!B74+'前提と出典'!C74,IF(B731&lt;=500,'前提と出典'!B75+'前提と出典'!C75,'前提と出典'!B76+'前提と出典'!C76))))</ns0:f>
        <ns0:v>80000</ns0:v>
      </ns0:c>
      <ns0:c r="N731" s="16">
        <ns0:f>IF(('前提と出典'!$C$37+'前提と出典'!$C$38)=0,0,IF(C731&lt;=10,'前提と出典'!D73+'前提と出典'!E73,IF(C731&lt;=100,'前提と出典'!D74+'前提と出典'!E74,IF(C731&lt;=500,'前提と出典'!D75+'前提と出典'!E75,'前提と出典'!D76+'前提と出典'!E76))))</ns0:f>
        <ns0:v>56510.9346263078</ns0:v>
      </ns0:c>
      <ns0:c r="O731" s="16">
        <ns0:f>IF('前提と出典'!$C$36+'前提と出典'!$C$38=0,0,'前提と出典'!$B$4*IF('前提と出典'!$B$20=0,MAX('前提と出典'!$B$6,D731*'前提と出典'!$B$5),'前提と出典'!$B$6+D731*'前提と出典'!$B$5))</ns0:f>
        <ns0:v>721898.8156424582</ns0:v>
      </ns0:c>
      <ns0:c r="P731" s="16">
        <ns0:f>(E731+G731)*(1-'前提と出典'!$B$7)-I731-K731-M731-O731</ns0:f>
        <ns0:v>1612200.846774837</ns0:v>
      </ns0:c>
      <ns0:c r="Q731" s="16">
        <ns0:f>(F731+H731)*(1-'前提と出典'!$B$7)-J731-L731-N731</ns0:f>
        <ns0:v>638992.6880008306</ns0:v>
      </ns0:c>
      <ns0:c r="R731" s="16">
        <ns0:f>P731-E731*'前提と出典'!$E$4</ns0:f>
        <ns0:v>1190189.4171415078</ns0:v>
      </ns0:c>
      <ns0:c r="S731" s="16">
        <ns0:f>Q731-F731*'前提と出典'!$E$4</ns0:f>
        <ns0:v>473368.5338773872</ns0:v>
      </ns0:c>
      <ns0:c r="T731" s="7">
        <ns0:f>R731+S731</ns0:f>
        <ns0:v>1663557.951018895</ns0:v>
      </ns0:c>
      <ns0:c r="U731" s="16">
        <ns0:f>P731-E731*'前提と出典'!$E$5</ns0:f>
        <ns0:v>1049518.9405970648</ns0:v>
      </ns0:c>
      <ns0:c r="V731" s="16">
        <ns0:f>Q731-F731*'前提と出典'!$E$5</ns0:f>
        <ns0:v>418160.4825029058</ns0:v>
      </ns0:c>
      <ns0:c r="W731" s="7">
        <ns0:f>U731+V731</ns0:f>
        <ns0:v>1467679.4230999707</ns0:v>
      </ns0:c>
      <ns0:c r="X731" s="16">
        <ns0:f>P731-E731*'前提と出典'!$E$6</ns0:f>
        <ns0:v>908848.464052622</ns0:v>
      </ns0:c>
      <ns0:c r="Y731" s="16">
        <ns0:f>Q731-F731*'前提と出典'!$E$6</ns0:f>
        <ns0:v>362952.43112842477</ns0:v>
      </ns0:c>
      <ns0:c r="Z731" s="7">
        <ns0:f>X731+Y731</ns0:f>
        <ns0:v>1271800.8951810468</ns0:v>
      </ns0:c>
      <ns0:c r="AA731" s="7">
        <ns0:f>IF(T731&gt;=0,A731,1001)</ns0:f>
        <ns0:v>727</ns0:v>
      </ns0:c>
      <ns0:c r="AB731" s="7">
        <ns0:f>IF(T731&lt;0,A731,0)</ns0:f>
        <ns0:v>0</ns0:v>
      </ns0:c>
      <ns0:c r="AC731" s="16">
        <ns0:f>IF(AND(OR('前提と出典'!$C$36+'前提と出典'!$C$38=0,R731&gt;=0),OR('前提と出典'!$C$37+'前提と出典'!$C$38=0,S731&gt;=0)),0,A731)</ns0:f>
        <ns0:v>0</ns0:v>
      </ns0:c>
      <ns0:c r="AD731" s="7">
        <ns0:f>IF(W731&gt;=0,A731,1001)</ns0:f>
        <ns0:v>727</ns0:v>
      </ns0:c>
      <ns0:c r="AE731" s="7">
        <ns0:f>IF(W731&lt;0,A731,0)</ns0:f>
        <ns0:v>0</ns0:v>
      </ns0:c>
      <ns0:c r="AF731" s="16">
        <ns0:f>IF(AND(OR('前提と出典'!$C$36+'前提と出典'!$C$38=0,U731&gt;=0),OR('前提と出典'!$C$37+'前提と出典'!$C$38=0,V731&gt;=0)),0,A731)</ns0:f>
        <ns0:v>0</ns0:v>
      </ns0:c>
      <ns0:c r="AG731" s="7">
        <ns0:f>IF(Z731&gt;=0,A731,1001)</ns0:f>
        <ns0:v>727</ns0:v>
      </ns0:c>
      <ns0:c r="AH731" s="4">
        <ns0:f>IF(Z731&lt;0,A731,0)</ns0:f>
        <ns0:v>0</ns0:v>
      </ns0:c>
      <ns0:c r="AI731" s="12">
        <ns0:f>IF(AND(OR('前提と出典'!$C$36+'前提と出典'!$C$38=0,X731&gt;=0),OR('前提と出典'!$C$37+'前提と出典'!$C$38=0,Y731&gt;=0)),0,A731)</ns0:f>
        <ns0:v>0</ns0:v>
      </ns0:c>
    </ns0:row>
    <ns0:row r="732" ht="24" customHeight="1">
      <ns0:c r="A732" s="4" t="n">
        <ns0:v>728</ns0:v>
      </ns0:c>
      <ns0:c r="B732" s="12">
        <ns0:f>A732*('前提と出典'!$C$36+'前提と出典'!$C$38)</ns0:f>
        <ns0:v>509.59999999999997</ns0:v>
      </ns0:c>
      <ns0:c r="C732" s="12">
        <ns0:f>A732*('前提と出典'!$C$37+'前提と出典'!$C$38)</ns0:f>
        <ns0:v>436.8</ns0:v>
      </ns0:c>
      <ns0:c r="D732" s="16">
        <ns0:f>A732*('前提と出典'!$C$36*'契約別単価'!C5+'前提と出典'!$C$37*'契約別単価'!C6+'前提と出典'!$C$38*'契約別単価'!C7)</ns0:f>
        <ns0:v>5238.346368715083</ns0:v>
      </ns0:c>
      <ns0:c r="E732" s="16">
        <ns0:f>A732*('前提と出典'!$C$36*'契約別単価'!E5+'前提と出典'!$C$37*'契約別単価'!E6+'前提と出典'!$C$38*'契約別単価'!E7)</ns0:f>
        <ns0:v>1408639.7101011623</ns0:v>
      </ns0:c>
      <ns0:c r="F732" s="16">
        <ns0:f>A732*('前提と出典'!$C$36*'契約別単価'!F5+'前提と出典'!$C$37*'契約別単価'!F6+'前提と出典'!$C$38*'契約別単価'!F7)</ns0:f>
        <ns0:v>552839.909224516</ns0:v>
      </ns0:c>
      <ns0:c r="G732" s="16">
        <ns0:f>A732*('前提と出典'!$C$36*'契約別単価'!G5+'前提と出典'!$C$37*'契約別単価'!G6+'前提と出典'!$C$38*'契約別単価'!G7)</ns0:f>
        <ns0:v>1449086.033519553</ns0:v>
      </ns0:c>
      <ns0:c r="H732" s="16">
        <ns0:f>A732*('前提と出典'!$C$36*'契約別単価'!H5+'前提と出典'!$C$37*'契約別単価'!H6+'前提と出典'!$C$38*'契約別単価'!H7)</ns0:f>
        <ns0:v>502905.5310069902</ns0:v>
      </ns0:c>
      <ns0:c r="I732" s="16">
        <ns0:f>A732*('前提と出典'!$C$36*'契約別単価'!I5+'前提と出典'!$C$37*'契約別単価'!I6+'前提と出典'!$C$38*'契約別単価'!I7)</ns0:f>
        <ns0:v>30718.34636871508</ns0:v>
      </ns0:c>
      <ns0:c r="J732" s="16">
        <ns0:f>A732*('前提と出典'!$C$36*'契約別単価'!J5+'前提と出典'!$C$37*'契約別単価'!J6+'前提と出典'!$C$38*'契約別単価'!J7)</ns0:f>
        <ns0:v>71554.78782110027</ns0:v>
      </ns0:c>
      <ns0:c r="K732" s="16">
        <ns0:f>A732*('前提と出典'!$C$36*'契約別単価'!K5+'前提と出典'!$C$37*'契約別単価'!K6+'前提と出典'!$C$38*'契約別単価'!K7)</ns0:f>
        <ns0:v>306708.9757914339</ns0:v>
      </ns0:c>
      <ns0:c r="L732" s="16">
        <ns0:f>A732*('前提と出典'!$C$36*'契約別単価'!L5+'前提と出典'!$C$37*'契約別単価'!L6+'前提と出典'!$C$38*'契約別単価'!L7)</ns0:f>
        <ns0:v>249723.517700233</ns0:v>
      </ns0:c>
      <ns0:c r="M732" s="16">
        <ns0:f>IF(('前提と出典'!$C$36+'前提と出典'!$C$38)=0,0,IF(B732&lt;=10,'前提と出典'!B73+'前提と出典'!C73,IF(B732&lt;=100,'前提と出典'!B74+'前提と出典'!C74,IF(B732&lt;=500,'前提と出典'!B75+'前提と出典'!C75,'前提と出典'!B76+'前提と出典'!C76))))</ns0:f>
        <ns0:v>80000</ns0:v>
      </ns0:c>
      <ns0:c r="N732" s="16">
        <ns0:f>IF(('前提と出典'!$C$37+'前提と出典'!$C$38)=0,0,IF(C732&lt;=10,'前提と出典'!D73+'前提と出典'!E73,IF(C732&lt;=100,'前提と出典'!D74+'前提と出典'!E74,IF(C732&lt;=500,'前提と出典'!D75+'前提と出典'!E75,'前提と出典'!D76+'前提と出典'!E76))))</ns0:f>
        <ns0:v>56510.9346263078</ns0:v>
      </ns0:c>
      <ns0:c r="O732" s="16">
        <ns0:f>IF('前提と出典'!$C$36+'前提と出典'!$C$38=0,0,'前提と出典'!$B$4*IF('前提と出典'!$B$20=0,MAX('前提と出典'!$B$6,D732*'前提と出典'!$B$5),'前提と出典'!$B$6+D732*'前提と出典'!$B$5))</ns0:f>
        <ns0:v>722891.7988826816</ns0:v>
      </ns0:c>
      <ns0:c r="P732" s="16">
        <ns0:f>(E732+G732)*(1-'前提と出典'!$B$7)-I732-K732-M732-O732</ns0:f>
        <ns0:v>1614528.4958075383</ns0:v>
      </ns0:c>
      <ns0:c r="Q732" s="16">
        <ns0:f>(F732+H732)*(1-'前提と出典'!$B$7)-J732-L732-N732</ns0:f>
        <ns0:v>639949.3642355308</ns0:v>
      </ns0:c>
      <ns0:c r="R732" s="16">
        <ns0:f>P732-E732*'前提と出典'!$E$4</ns0:f>
        <ns0:v>1191936.5827771898</ns0:v>
      </ns0:c>
      <ns0:c r="S732" s="16">
        <ns0:f>Q732-F732*'前提と出典'!$E$4</ns0:f>
        <ns0:v>474097.39146817615</ns0:v>
      </ns0:c>
      <ns0:c r="T732" s="7">
        <ns0:f>R732+S732</ns0:f>
        <ns0:v>1666033.974245366</ns0:v>
      </ns0:c>
      <ns0:c r="U732" s="16">
        <ns0:f>P732-E732*'前提と出典'!$E$5</ns0:f>
        <ns0:v>1051072.6117670734</ns0:v>
      </ns0:c>
      <ns0:c r="V732" s="16">
        <ns0:f>Q732-F732*'前提と出典'!$E$5</ns0:f>
        <ns0:v>418813.40054572443</ns0:v>
      </ns0:c>
      <ns0:c r="W732" s="7">
        <ns0:f>U732+V732</ns0:f>
        <ns0:v>1469886.0123127978</ns0:v>
      </ns0:c>
      <ns0:c r="X732" s="16">
        <ns0:f>P732-E732*'前提と出典'!$E$6</ns0:f>
        <ns0:v>910208.6407569577</ns0:v>
      </ns0:c>
      <ns0:c r="Y732" s="16">
        <ns0:f>Q732-F732*'前提と出典'!$E$6</ns0:f>
        <ns0:v>363529.40962327295</ns0:v>
      </ns0:c>
      <ns0:c r="Z732" s="7">
        <ns0:f>X732+Y732</ns0:f>
        <ns0:v>1273738.0503802306</ns0:v>
      </ns0:c>
      <ns0:c r="AA732" s="7">
        <ns0:f>IF(T732&gt;=0,A732,1001)</ns0:f>
        <ns0:v>728</ns0:v>
      </ns0:c>
      <ns0:c r="AB732" s="7">
        <ns0:f>IF(T732&lt;0,A732,0)</ns0:f>
        <ns0:v>0</ns0:v>
      </ns0:c>
      <ns0:c r="AC732" s="16">
        <ns0:f>IF(AND(OR('前提と出典'!$C$36+'前提と出典'!$C$38=0,R732&gt;=0),OR('前提と出典'!$C$37+'前提と出典'!$C$38=0,S732&gt;=0)),0,A732)</ns0:f>
        <ns0:v>0</ns0:v>
      </ns0:c>
      <ns0:c r="AD732" s="7">
        <ns0:f>IF(W732&gt;=0,A732,1001)</ns0:f>
        <ns0:v>728</ns0:v>
      </ns0:c>
      <ns0:c r="AE732" s="7">
        <ns0:f>IF(W732&lt;0,A732,0)</ns0:f>
        <ns0:v>0</ns0:v>
      </ns0:c>
      <ns0:c r="AF732" s="16">
        <ns0:f>IF(AND(OR('前提と出典'!$C$36+'前提と出典'!$C$38=0,U732&gt;=0),OR('前提と出典'!$C$37+'前提と出典'!$C$38=0,V732&gt;=0)),0,A732)</ns0:f>
        <ns0:v>0</ns0:v>
      </ns0:c>
      <ns0:c r="AG732" s="7">
        <ns0:f>IF(Z732&gt;=0,A732,1001)</ns0:f>
        <ns0:v>728</ns0:v>
      </ns0:c>
      <ns0:c r="AH732" s="4">
        <ns0:f>IF(Z732&lt;0,A732,0)</ns0:f>
        <ns0:v>0</ns0:v>
      </ns0:c>
      <ns0:c r="AI732" s="12">
        <ns0:f>IF(AND(OR('前提と出典'!$C$36+'前提と出典'!$C$38=0,X732&gt;=0),OR('前提と出典'!$C$37+'前提と出典'!$C$38=0,Y732&gt;=0)),0,A732)</ns0:f>
        <ns0:v>0</ns0:v>
      </ns0:c>
    </ns0:row>
    <ns0:row r="733" ht="24" customHeight="1">
      <ns0:c r="A733" s="4" t="n">
        <ns0:v>729</ns0:v>
      </ns0:c>
      <ns0:c r="B733" s="12">
        <ns0:f>A733*('前提と出典'!$C$36+'前提と出典'!$C$38)</ns0:f>
        <ns0:v>510.29999999999995</ns0:v>
      </ns0:c>
      <ns0:c r="C733" s="12">
        <ns0:f>A733*('前提と出典'!$C$37+'前提と出典'!$C$38)</ns0:f>
        <ns0:v>437.4</ns0:v>
      </ns0:c>
      <ns0:c r="D733" s="16">
        <ns0:f>A733*('前提と出典'!$C$36*'契約別単価'!C5+'前提と出典'!$C$37*'契約別単価'!C6+'前提と出典'!$C$38*'契約別単価'!C7)</ns0:f>
        <ns0:v>5245.54189944134</ns0:v>
      </ns0:c>
      <ns0:c r="E733" s="16">
        <ns0:f>A733*('前提と出典'!$C$36*'契約別単価'!E5+'前提と出典'!$C$37*'契約別単価'!E6+'前提と出典'!$C$38*'契約別単価'!E7)</ns0:f>
        <ns0:v>1410574.6547578948</ns0:v>
      </ns0:c>
      <ns0:c r="F733" s="16">
        <ns0:f>A733*('前提と出典'!$C$36*'契約別単価'!F5+'前提と出典'!$C$37*'契約別単価'!F6+'前提と出典'!$C$38*'契約別単価'!F7)</ns0:f>
        <ns0:v>553599.30470422</ns0:v>
      </ns0:c>
      <ns0:c r="G733" s="16">
        <ns0:f>A733*('前提と出典'!$C$36*'契約別単価'!G5+'前提と出典'!$C$37*'契約別単価'!G6+'前提と出典'!$C$38*'契約別単価'!G7)</ns0:f>
        <ns0:v>1451076.536312849</ns0:v>
      </ns0:c>
      <ns0:c r="H733" s="16">
        <ns0:f>A733*('前提と出典'!$C$36*'契約別単価'!H5+'前提と出典'!$C$37*'契約別単価'!H6+'前提と出典'!$C$38*'契約別単価'!H7)</ns0:f>
        <ns0:v>503596.33530782396</ns0:v>
      </ns0:c>
      <ns0:c r="I733" s="16">
        <ns0:f>A733*('前提と出典'!$C$36*'契約別単価'!I5+'前提と出典'!$C$37*'契約別単価'!I6+'前提と出典'!$C$38*'契約別単価'!I7)</ns0:f>
        <ns0:v>30760.541899441334</ns0:v>
      </ns0:c>
      <ns0:c r="J733" s="16">
        <ns0:f>A733*('前提と出典'!$C$36*'契約別単価'!J5+'前提と出典'!$C$37*'契約別単価'!J6+'前提と出典'!$C$38*'契約別単価'!J7)</ns0:f>
        <ns0:v>71653.07736481057</ns0:v>
      </ns0:c>
      <ns0:c r="K733" s="16">
        <ns0:f>A733*('前提と出典'!$C$36*'契約別単価'!K5+'前提と出典'!$C$37*'契約別単価'!K6+'前提と出典'!$C$38*'契約別単価'!K7)</ns0:f>
        <ns0:v>307130.2793296089</ns0:v>
      </ns0:c>
      <ns0:c r="L733" s="16">
        <ns0:f>A733*('前提と出典'!$C$36*'契約別単価'!L5+'前提と出典'!$C$37*'契約別単価'!L6+'前提と出典'!$C$38*'契約別単価'!L7)</ns0:f>
        <ns0:v>250066.54451026078</ns0:v>
      </ns0:c>
      <ns0:c r="M733" s="16">
        <ns0:f>IF(('前提と出典'!$C$36+'前提と出典'!$C$38)=0,0,IF(B733&lt;=10,'前提と出典'!B73+'前提と出典'!C73,IF(B733&lt;=100,'前提と出典'!B74+'前提と出典'!C74,IF(B733&lt;=500,'前提と出典'!B75+'前提と出典'!C75,'前提と出典'!B76+'前提と出典'!C76))))</ns0:f>
        <ns0:v>80000</ns0:v>
      </ns0:c>
      <ns0:c r="N733" s="16">
        <ns0:f>IF(('前提と出典'!$C$37+'前提と出典'!$C$38)=0,0,IF(C733&lt;=10,'前提と出典'!D73+'前提と出典'!E73,IF(C733&lt;=100,'前提と出典'!D74+'前提と出典'!E74,IF(C733&lt;=500,'前提と出典'!D75+'前提と出典'!E75,'前提と出典'!D76+'前提と出典'!E76))))</ns0:f>
        <ns0:v>56510.9346263078</ns0:v>
      </ns0:c>
      <ns0:c r="O733" s="16">
        <ns0:f>IF('前提と出典'!$C$36+'前提と出典'!$C$38=0,0,'前提と出典'!$B$4*IF('前提と出典'!$B$20=0,MAX('前提と出典'!$B$6,D733*'前提と出典'!$B$5),'前提と出典'!$B$6+D733*'前提と出典'!$B$5))</ns0:f>
        <ns0:v>723884.782122905</ns0:v>
      </ns0:c>
      <ns0:c r="P733" s="16">
        <ns0:f>(E733+G733)*(1-'前提と出典'!$B$7)-I733-K733-M733-O733</ns0:f>
        <ns0:v>1616856.1448402419</ns0:v>
      </ns0:c>
      <ns0:c r="Q733" s="16">
        <ns0:f>(F733+H733)*(1-'前提と出典'!$B$7)-J733-L733-N733</ns0:f>
        <ns0:v>640906.0404702313</ns0:v>
      </ns0:c>
      <ns0:c r="R733" s="16">
        <ns0:f>P733-E733*'前提と出典'!$E$4</ns0:f>
        <ns0:v>1193683.7484128736</ns0:v>
      </ns0:c>
      <ns0:c r="S733" s="16">
        <ns0:f>Q733-F733*'前提と出典'!$E$4</ns0:f>
        <ns0:v>474826.24905896524</ns0:v>
      </ns0:c>
      <ns0:c r="T733" s="7">
        <ns0:f>R733+S733</ns0:f>
        <ns0:v>1668509.9974718387</ns0:v>
      </ns0:c>
      <ns0:c r="U733" s="16">
        <ns0:f>P733-E733*'前提と出典'!$E$5</ns0:f>
        <ns0:v>1052626.2829370839</ns0:v>
      </ns0:c>
      <ns0:c r="V733" s="16">
        <ns0:f>Q733-F733*'前提と出典'!$E$5</ns0:f>
        <ns0:v>419466.31858854333</ns0:v>
      </ns0:c>
      <ns0:c r="W733" s="7">
        <ns0:f>U733+V733</ns0:f>
        <ns0:v>1472092.601525627</ns0:v>
      </ns0:c>
      <ns0:c r="X733" s="16">
        <ns0:f>P733-E733*'前提と出典'!$E$6</ns0:f>
        <ns0:v>911568.8174612947</ns0:v>
      </ns0:c>
      <ns0:c r="Y733" s="16">
        <ns0:f>Q733-F733*'前提と出典'!$E$6</ns0:f>
        <ns0:v>364106.3881181212</ns0:v>
      </ns0:c>
      <ns0:c r="Z733" s="7">
        <ns0:f>X733+Y733</ns0:f>
        <ns0:v>1275675.205579416</ns0:v>
      </ns0:c>
      <ns0:c r="AA733" s="7">
        <ns0:f>IF(T733&gt;=0,A733,1001)</ns0:f>
        <ns0:v>729</ns0:v>
      </ns0:c>
      <ns0:c r="AB733" s="7">
        <ns0:f>IF(T733&lt;0,A733,0)</ns0:f>
        <ns0:v>0</ns0:v>
      </ns0:c>
      <ns0:c r="AC733" s="16">
        <ns0:f>IF(AND(OR('前提と出典'!$C$36+'前提と出典'!$C$38=0,R733&gt;=0),OR('前提と出典'!$C$37+'前提と出典'!$C$38=0,S733&gt;=0)),0,A733)</ns0:f>
        <ns0:v>0</ns0:v>
      </ns0:c>
      <ns0:c r="AD733" s="7">
        <ns0:f>IF(W733&gt;=0,A733,1001)</ns0:f>
        <ns0:v>729</ns0:v>
      </ns0:c>
      <ns0:c r="AE733" s="7">
        <ns0:f>IF(W733&lt;0,A733,0)</ns0:f>
        <ns0:v>0</ns0:v>
      </ns0:c>
      <ns0:c r="AF733" s="16">
        <ns0:f>IF(AND(OR('前提と出典'!$C$36+'前提と出典'!$C$38=0,U733&gt;=0),OR('前提と出典'!$C$37+'前提と出典'!$C$38=0,V733&gt;=0)),0,A733)</ns0:f>
        <ns0:v>0</ns0:v>
      </ns0:c>
      <ns0:c r="AG733" s="7">
        <ns0:f>IF(Z733&gt;=0,A733,1001)</ns0:f>
        <ns0:v>729</ns0:v>
      </ns0:c>
      <ns0:c r="AH733" s="4">
        <ns0:f>IF(Z733&lt;0,A733,0)</ns0:f>
        <ns0:v>0</ns0:v>
      </ns0:c>
      <ns0:c r="AI733" s="12">
        <ns0:f>IF(AND(OR('前提と出典'!$C$36+'前提と出典'!$C$38=0,X733&gt;=0),OR('前提と出典'!$C$37+'前提と出典'!$C$38=0,Y733&gt;=0)),0,A733)</ns0:f>
        <ns0:v>0</ns0:v>
      </ns0:c>
    </ns0:row>
    <ns0:row r="734" ht="24" customHeight="1">
      <ns0:c r="A734" s="4" t="n">
        <ns0:v>730</ns0:v>
      </ns0:c>
      <ns0:c r="B734" s="12">
        <ns0:f>A734*('前提と出典'!$C$36+'前提と出典'!$C$38)</ns0:f>
        <ns0:v>510.99999999999994</ns0:v>
      </ns0:c>
      <ns0:c r="C734" s="12">
        <ns0:f>A734*('前提と出典'!$C$37+'前提と出典'!$C$38)</ns0:f>
        <ns0:v>438</ns0:v>
      </ns0:c>
      <ns0:c r="D734" s="16">
        <ns0:f>A734*('前提と出典'!$C$36*'契約別単価'!C5+'前提と出典'!$C$37*'契約別単価'!C6+'前提と出典'!$C$38*'契約別単価'!C7)</ns0:f>
        <ns0:v>5252.737430167598</ns0:v>
      </ns0:c>
      <ns0:c r="E734" s="16">
        <ns0:f>A734*('前提と出典'!$C$36*'契約別単価'!E5+'前提と出典'!$C$37*'契約別単価'!E6+'前提と出典'!$C$38*'契約別単価'!E7)</ns0:f>
        <ns0:v>1412509.599414627</ns0:v>
      </ns0:c>
      <ns0:c r="F734" s="16">
        <ns0:f>A734*('前提と出典'!$C$36*'契約別単価'!F5+'前提と出典'!$C$37*'契約別単価'!F6+'前提と出典'!$C$38*'契約別単価'!F7)</ns0:f>
        <ns0:v>554358.700183924</ns0:v>
      </ns0:c>
      <ns0:c r="G734" s="16">
        <ns0:f>A734*('前提と出典'!$C$36*'契約別単価'!G5+'前提と出典'!$C$37*'契約別単価'!G6+'前提と出典'!$C$38*'契約別単価'!G7)</ns0:f>
        <ns0:v>1453067.0391061453</ns0:v>
      </ns0:c>
      <ns0:c r="H734" s="16">
        <ns0:f>A734*('前提と出典'!$C$36*'契約別単価'!H5+'前提と出典'!$C$37*'契約別単価'!H6+'前提と出典'!$C$38*'契約別単価'!H7)</ns0:f>
        <ns0:v>504287.1396086577</ns0:v>
      </ns0:c>
      <ns0:c r="I734" s="16">
        <ns0:f>A734*('前提と出典'!$C$36*'契約別単価'!I5+'前提と出典'!$C$37*'契約別単価'!I6+'前提と出典'!$C$38*'契約別単価'!I7)</ns0:f>
        <ns0:v>30802.73743016759</ns0:v>
      </ns0:c>
      <ns0:c r="J734" s="16">
        <ns0:f>A734*('前提と出典'!$C$36*'契約別単価'!J5+'前提と出典'!$C$37*'契約別単価'!J6+'前提と出典'!$C$38*'契約別単価'!J7)</ns0:f>
        <ns0:v>71751.36690852087</ns0:v>
      </ns0:c>
      <ns0:c r="K734" s="16">
        <ns0:f>A734*('前提と出典'!$C$36*'契約別単価'!K5+'前提と出典'!$C$37*'契約別単価'!K6+'前提と出典'!$C$38*'契約別単価'!K7)</ns0:f>
        <ns0:v>307551.58286778396</ns0:v>
      </ns0:c>
      <ns0:c r="L734" s="16">
        <ns0:f>A734*('前提と出典'!$C$36*'契約別単価'!L5+'前提と出典'!$C$37*'契約別単価'!L6+'前提と出典'!$C$38*'契約別単価'!L7)</ns0:f>
        <ns0:v>250409.57132028858</ns0:v>
      </ns0:c>
      <ns0:c r="M734" s="16">
        <ns0:f>IF(('前提と出典'!$C$36+'前提と出典'!$C$38)=0,0,IF(B734&lt;=10,'前提と出典'!B73+'前提と出典'!C73,IF(B734&lt;=100,'前提と出典'!B74+'前提と出典'!C74,IF(B734&lt;=500,'前提と出典'!B75+'前提と出典'!C75,'前提と出典'!B76+'前提と出典'!C76))))</ns0:f>
        <ns0:v>80000</ns0:v>
      </ns0:c>
      <ns0:c r="N734" s="16">
        <ns0:f>IF(('前提と出典'!$C$37+'前提と出典'!$C$38)=0,0,IF(C734&lt;=10,'前提と出典'!D73+'前提と出典'!E73,IF(C734&lt;=100,'前提と出典'!D74+'前提と出典'!E74,IF(C734&lt;=500,'前提と出典'!D75+'前提と出典'!E75,'前提と出典'!D76+'前提と出典'!E76))))</ns0:f>
        <ns0:v>56510.9346263078</ns0:v>
      </ns0:c>
      <ns0:c r="O734" s="16">
        <ns0:f>IF('前提と出典'!$C$36+'前提と出典'!$C$38=0,0,'前提と出典'!$B$4*IF('前提と出典'!$B$20=0,MAX('前提と出典'!$B$6,D734*'前提と出典'!$B$5),'前提と出典'!$B$6+D734*'前提と出典'!$B$5))</ns0:f>
        <ns0:v>724877.7653631285</ns0:v>
      </ns0:c>
      <ns0:c r="P734" s="16">
        <ns0:f>(E734+G734)*(1-'前提と出典'!$B$7)-I734-K734-M734-O734</ns0:f>
        <ns0:v>1619183.793872945</ns0:v>
      </ns0:c>
      <ns0:c r="Q734" s="16">
        <ns0:f>(F734+H734)*(1-'前提と出典'!$B$7)-J734-L734-N734</ns0:f>
        <ns0:v>641862.7167049316</ns0:v>
      </ns0:c>
      <ns0:c r="R734" s="16">
        <ns0:f>P734-E734*'前提と出典'!$E$4</ns0:f>
        <ns0:v>1195430.9140485567</ns0:v>
      </ns0:c>
      <ns0:c r="S734" s="16">
        <ns0:f>Q734-F734*'前提と出典'!$E$4</ns0:f>
        <ns0:v>475555.10664975434</ns0:v>
      </ns0:c>
      <ns0:c r="T734" s="7">
        <ns0:f>R734+S734</ns0:f>
        <ns0:v>1670986.020698311</ns0:v>
      </ns0:c>
      <ns0:c r="U734" s="16">
        <ns0:f>P734-E734*'前提と出典'!$E$5</ns0:f>
        <ns0:v>1054179.954107094</ns0:v>
      </ns0:c>
      <ns0:c r="V734" s="16">
        <ns0:f>Q734-F734*'前提と出典'!$E$5</ns0:f>
        <ns0:v>420119.236631362</ns0:v>
      </ns0:c>
      <ns0:c r="W734" s="7">
        <ns0:f>U734+V734</ns0:f>
        <ns0:v>1474299.190738456</ns0:v>
      </ns0:c>
      <ns0:c r="X734" s="16">
        <ns0:f>P734-E734*'前提と出典'!$E$6</ns0:f>
        <ns0:v>912928.9941656311</ns0:v>
      </ns0:c>
      <ns0:c r="Y734" s="16">
        <ns0:f>Q734-F734*'前提と出典'!$E$6</ns0:f>
        <ns0:v>364683.36661296943</ns0:v>
      </ns0:c>
      <ns0:c r="Z734" s="7">
        <ns0:f>X734+Y734</ns0:f>
        <ns0:v>1277612.3607786004</ns0:v>
      </ns0:c>
      <ns0:c r="AA734" s="7">
        <ns0:f>IF(T734&gt;=0,A734,1001)</ns0:f>
        <ns0:v>730</ns0:v>
      </ns0:c>
      <ns0:c r="AB734" s="7">
        <ns0:f>IF(T734&lt;0,A734,0)</ns0:f>
        <ns0:v>0</ns0:v>
      </ns0:c>
      <ns0:c r="AC734" s="16">
        <ns0:f>IF(AND(OR('前提と出典'!$C$36+'前提と出典'!$C$38=0,R734&gt;=0),OR('前提と出典'!$C$37+'前提と出典'!$C$38=0,S734&gt;=0)),0,A734)</ns0:f>
        <ns0:v>0</ns0:v>
      </ns0:c>
      <ns0:c r="AD734" s="7">
        <ns0:f>IF(W734&gt;=0,A734,1001)</ns0:f>
        <ns0:v>730</ns0:v>
      </ns0:c>
      <ns0:c r="AE734" s="7">
        <ns0:f>IF(W734&lt;0,A734,0)</ns0:f>
        <ns0:v>0</ns0:v>
      </ns0:c>
      <ns0:c r="AF734" s="16">
        <ns0:f>IF(AND(OR('前提と出典'!$C$36+'前提と出典'!$C$38=0,U734&gt;=0),OR('前提と出典'!$C$37+'前提と出典'!$C$38=0,V734&gt;=0)),0,A734)</ns0:f>
        <ns0:v>0</ns0:v>
      </ns0:c>
      <ns0:c r="AG734" s="7">
        <ns0:f>IF(Z734&gt;=0,A734,1001)</ns0:f>
        <ns0:v>730</ns0:v>
      </ns0:c>
      <ns0:c r="AH734" s="4">
        <ns0:f>IF(Z734&lt;0,A734,0)</ns0:f>
        <ns0:v>0</ns0:v>
      </ns0:c>
      <ns0:c r="AI734" s="12">
        <ns0:f>IF(AND(OR('前提と出典'!$C$36+'前提と出典'!$C$38=0,X734&gt;=0),OR('前提と出典'!$C$37+'前提と出典'!$C$38=0,Y734&gt;=0)),0,A734)</ns0:f>
        <ns0:v>0</ns0:v>
      </ns0:c>
    </ns0:row>
    <ns0:row r="735" ht="24" customHeight="1">
      <ns0:c r="A735" s="4" t="n">
        <ns0:v>731</ns0:v>
      </ns0:c>
      <ns0:c r="B735" s="12">
        <ns0:f>A735*('前提と出典'!$C$36+'前提と出典'!$C$38)</ns0:f>
        <ns0:v>511.7</ns0:v>
      </ns0:c>
      <ns0:c r="C735" s="12">
        <ns0:f>A735*('前提と出典'!$C$37+'前提と出典'!$C$38)</ns0:f>
        <ns0:v>438.59999999999997</ns0:v>
      </ns0:c>
      <ns0:c r="D735" s="16">
        <ns0:f>A735*('前提と出典'!$C$36*'契約別単価'!C5+'前提と出典'!$C$37*'契約別単価'!C6+'前提と出典'!$C$38*'契約別単価'!C7)</ns0:f>
        <ns0:v>5259.932960893855</ns0:v>
      </ns0:c>
      <ns0:c r="E735" s="16">
        <ns0:f>A735*('前提と出典'!$C$36*'契約別単価'!E5+'前提と出典'!$C$37*'契約別単価'!E6+'前提と出典'!$C$38*'契約別単価'!E7)</ns0:f>
        <ns0:v>1414444.5440713596</ns0:v>
      </ns0:c>
      <ns0:c r="F735" s="16">
        <ns0:f>A735*('前提と出典'!$C$36*'契約別単価'!F5+'前提と出典'!$C$37*'契約別単価'!F6+'前提と出典'!$C$38*'契約別単価'!F7)</ns0:f>
        <ns0:v>555118.0956636281</ns0:v>
      </ns0:c>
      <ns0:c r="G735" s="16">
        <ns0:f>A735*('前提と出典'!$C$36*'契約別単価'!G5+'前提と出典'!$C$37*'契約別単価'!G6+'前提と出典'!$C$38*'契約別単価'!G7)</ns0:f>
        <ns0:v>1455057.5418994413</ns0:v>
      </ns0:c>
      <ns0:c r="H735" s="16">
        <ns0:f>A735*('前提と出典'!$C$36*'契約別単価'!H5+'前提と出典'!$C$37*'契約別単価'!H6+'前提と出典'!$C$38*'契約別単価'!H7)</ns0:f>
        <ns0:v>504977.94390949147</ns0:v>
      </ns0:c>
      <ns0:c r="I735" s="16">
        <ns0:f>A735*('前提と出典'!$C$36*'契約別単価'!I5+'前提と出典'!$C$37*'契約別単価'!I6+'前提と出典'!$C$38*'契約別単価'!I7)</ns0:f>
        <ns0:v>30844.93296089385</ns0:v>
      </ns0:c>
      <ns0:c r="J735" s="16">
        <ns0:f>A735*('前提と出典'!$C$36*'契約別単価'!J5+'前提と出典'!$C$37*'契約別単価'!J6+'前提と出典'!$C$38*'契約別単価'!J7)</ns0:f>
        <ns0:v>71849.65645223118</ns0:v>
      </ns0:c>
      <ns0:c r="K735" s="16">
        <ns0:f>A735*('前提と出典'!$C$36*'契約別単価'!K5+'前提と出典'!$C$37*'契約別単価'!K6+'前提と出典'!$C$38*'契約別単価'!K7)</ns0:f>
        <ns0:v>307972.886405959</ns0:v>
      </ns0:c>
      <ns0:c r="L735" s="16">
        <ns0:f>A735*('前提と出典'!$C$36*'契約別単価'!L5+'前提と出典'!$C$37*'契約別単価'!L6+'前提と出典'!$C$38*'契約別単価'!L7)</ns0:f>
        <ns0:v>250752.5981303164</ns0:v>
      </ns0:c>
      <ns0:c r="M735" s="16">
        <ns0:f>IF(('前提と出典'!$C$36+'前提と出典'!$C$38)=0,0,IF(B735&lt;=10,'前提と出典'!B73+'前提と出典'!C73,IF(B735&lt;=100,'前提と出典'!B74+'前提と出典'!C74,IF(B735&lt;=500,'前提と出典'!B75+'前提と出典'!C75,'前提と出典'!B76+'前提と出典'!C76))))</ns0:f>
        <ns0:v>80000</ns0:v>
      </ns0:c>
      <ns0:c r="N735" s="16">
        <ns0:f>IF(('前提と出典'!$C$37+'前提と出典'!$C$38)=0,0,IF(C735&lt;=10,'前提と出典'!D73+'前提と出典'!E73,IF(C735&lt;=100,'前提と出典'!D74+'前提と出典'!E74,IF(C735&lt;=500,'前提と出典'!D75+'前提と出典'!E75,'前提と出典'!D76+'前提と出典'!E76))))</ns0:f>
        <ns0:v>56510.9346263078</ns0:v>
      </ns0:c>
      <ns0:c r="O735" s="16">
        <ns0:f>IF('前提と出典'!$C$36+'前提と出典'!$C$38=0,0,'前提と出典'!$B$4*IF('前提と出典'!$B$20=0,MAX('前提と出典'!$B$6,D735*'前提と出典'!$B$5),'前提と出典'!$B$6+D735*'前提と出典'!$B$5))</ns0:f>
        <ns0:v>725870.748603352</ns0:v>
      </ns0:c>
      <ns0:c r="P735" s="16">
        <ns0:f>(E735+G735)*(1-'前提と出典'!$B$7)-I735-K735-M735-O735</ns0:f>
        <ns0:v>1621511.4429056467</ns0:v>
      </ns0:c>
      <ns0:c r="Q735" s="16">
        <ns0:f>(F735+H735)*(1-'前提と出典'!$B$7)-J735-L735-N735</ns0:f>
        <ns0:v>642819.3929396318</ns0:v>
      </ns0:c>
      <ns0:c r="R735" s="16">
        <ns0:f>P735-E735*'前提と出典'!$E$4</ns0:f>
        <ns0:v>1197178.0796842389</ns0:v>
      </ns0:c>
      <ns0:c r="S735" s="16">
        <ns0:f>Q735-F735*'前提と出典'!$E$4</ns0:f>
        <ns0:v>476283.9642405434</ns0:v>
      </ns0:c>
      <ns0:c r="T735" s="7">
        <ns0:f>R735+S735</ns0:f>
        <ns0:v>1673462.0439247824</ns0:v>
      </ns0:c>
      <ns0:c r="U735" s="16">
        <ns0:f>P735-E735*'前提と出典'!$E$5</ns0:f>
        <ns0:v>1055733.625277103</ns0:v>
      </ns0:c>
      <ns0:c r="V735" s="16">
        <ns0:f>Q735-F735*'前提と出典'!$E$5</ns0:f>
        <ns0:v>420772.15467418055</ns0:v>
      </ns0:c>
      <ns0:c r="W735" s="7">
        <ns0:f>U735+V735</ns0:f>
        <ns0:v>1476505.7799512835</ns0:v>
      </ns0:c>
      <ns0:c r="X735" s="16">
        <ns0:f>P735-E735*'前提と出典'!$E$6</ns0:f>
        <ns0:v>914289.1708699673</ns0:v>
      </ns0:c>
      <ns0:c r="Y735" s="16">
        <ns0:f>Q735-F735*'前提と出典'!$E$6</ns0:f>
        <ns0:v>365260.3451078178</ns0:v>
      </ns0:c>
      <ns0:c r="Z735" s="7">
        <ns0:f>X735+Y735</ns0:f>
        <ns0:v>1279549.515977785</ns0:v>
      </ns0:c>
      <ns0:c r="AA735" s="7">
        <ns0:f>IF(T735&gt;=0,A735,1001)</ns0:f>
        <ns0:v>731</ns0:v>
      </ns0:c>
      <ns0:c r="AB735" s="7">
        <ns0:f>IF(T735&lt;0,A735,0)</ns0:f>
        <ns0:v>0</ns0:v>
      </ns0:c>
      <ns0:c r="AC735" s="16">
        <ns0:f>IF(AND(OR('前提と出典'!$C$36+'前提と出典'!$C$38=0,R735&gt;=0),OR('前提と出典'!$C$37+'前提と出典'!$C$38=0,S735&gt;=0)),0,A735)</ns0:f>
        <ns0:v>0</ns0:v>
      </ns0:c>
      <ns0:c r="AD735" s="7">
        <ns0:f>IF(W735&gt;=0,A735,1001)</ns0:f>
        <ns0:v>731</ns0:v>
      </ns0:c>
      <ns0:c r="AE735" s="7">
        <ns0:f>IF(W735&lt;0,A735,0)</ns0:f>
        <ns0:v>0</ns0:v>
      </ns0:c>
      <ns0:c r="AF735" s="16">
        <ns0:f>IF(AND(OR('前提と出典'!$C$36+'前提と出典'!$C$38=0,U735&gt;=0),OR('前提と出典'!$C$37+'前提と出典'!$C$38=0,V735&gt;=0)),0,A735)</ns0:f>
        <ns0:v>0</ns0:v>
      </ns0:c>
      <ns0:c r="AG735" s="7">
        <ns0:f>IF(Z735&gt;=0,A735,1001)</ns0:f>
        <ns0:v>731</ns0:v>
      </ns0:c>
      <ns0:c r="AH735" s="4">
        <ns0:f>IF(Z735&lt;0,A735,0)</ns0:f>
        <ns0:v>0</ns0:v>
      </ns0:c>
      <ns0:c r="AI735" s="12">
        <ns0:f>IF(AND(OR('前提と出典'!$C$36+'前提と出典'!$C$38=0,X735&gt;=0),OR('前提と出典'!$C$37+'前提と出典'!$C$38=0,Y735&gt;=0)),0,A735)</ns0:f>
        <ns0:v>0</ns0:v>
      </ns0:c>
    </ns0:row>
    <ns0:row r="736" ht="24" customHeight="1">
      <ns0:c r="A736" s="4" t="n">
        <ns0:v>732</ns0:v>
      </ns0:c>
      <ns0:c r="B736" s="12">
        <ns0:f>A736*('前提と出典'!$C$36+'前提と出典'!$C$38)</ns0:f>
        <ns0:v>512.4</ns0:v>
      </ns0:c>
      <ns0:c r="C736" s="12">
        <ns0:f>A736*('前提と出典'!$C$37+'前提と出典'!$C$38)</ns0:f>
        <ns0:v>439.2</ns0:v>
      </ns0:c>
      <ns0:c r="D736" s="16">
        <ns0:f>A736*('前提と出典'!$C$36*'契約別単価'!C5+'前提と出典'!$C$37*'契約別単価'!C6+'前提と出典'!$C$38*'契約別単価'!C7)</ns0:f>
        <ns0:v>5267.128491620112</ns0:v>
      </ns0:c>
      <ns0:c r="E736" s="16">
        <ns0:f>A736*('前提と出典'!$C$36*'契約別単価'!E5+'前提と出典'!$C$37*'契約別単価'!E6+'前提と出典'!$C$38*'契約別単価'!E7)</ns0:f>
        <ns0:v>1416379.4887280918</ns0:v>
      </ns0:c>
      <ns0:c r="F736" s="16">
        <ns0:f>A736*('前提と出典'!$C$36*'契約別単価'!F5+'前提と出典'!$C$37*'契約別単価'!F6+'前提と出典'!$C$38*'契約別単価'!F7)</ns0:f>
        <ns0:v>555877.4911433321</ns0:v>
      </ns0:c>
      <ns0:c r="G736" s="16">
        <ns0:f>A736*('前提と出典'!$C$36*'契約別単価'!G5+'前提と出典'!$C$37*'契約別単価'!G6+'前提と出典'!$C$38*'契約別単価'!G7)</ns0:f>
        <ns0:v>1457048.0446927373</ns0:v>
      </ns0:c>
      <ns0:c r="H736" s="16">
        <ns0:f>A736*('前提と出典'!$C$36*'契約別単価'!H5+'前提と出典'!$C$37*'契約別単価'!H6+'前提と出典'!$C$38*'契約別単価'!H7)</ns0:f>
        <ns0:v>505668.74821032526</ns0:v>
      </ns0:c>
      <ns0:c r="I736" s="16">
        <ns0:f>A736*('前提と出典'!$C$36*'契約別単価'!I5+'前提と出典'!$C$37*'契約別単価'!I6+'前提と出典'!$C$38*'契約別単価'!I7)</ns0:f>
        <ns0:v>30887.128491620108</ns0:v>
      </ns0:c>
      <ns0:c r="J736" s="16">
        <ns0:f>A736*('前提と出典'!$C$36*'契約別単価'!J5+'前提と出典'!$C$37*'契約別単価'!J6+'前提と出典'!$C$38*'契約別単価'!J7)</ns0:f>
        <ns0:v>71947.94599594148</ns0:v>
      </ns0:c>
      <ns0:c r="K736" s="16">
        <ns0:f>A736*('前提と出典'!$C$36*'契約別単価'!K5+'前提と出典'!$C$37*'契約別単価'!K6+'前提と出典'!$C$38*'契約別単価'!K7)</ns0:f>
        <ns0:v>308394.18994413404</ns0:v>
      </ns0:c>
      <ns0:c r="L736" s="16">
        <ns0:f>A736*('前提と出典'!$C$36*'契約別単価'!L5+'前提と出典'!$C$37*'契約別単価'!L6+'前提と出典'!$C$38*'契約別単価'!L7)</ns0:f>
        <ns0:v>251095.62494034416</ns0:v>
      </ns0:c>
      <ns0:c r="M736" s="16">
        <ns0:f>IF(('前提と出典'!$C$36+'前提と出典'!$C$38)=0,0,IF(B736&lt;=10,'前提と出典'!B73+'前提と出典'!C73,IF(B736&lt;=100,'前提と出典'!B74+'前提と出典'!C74,IF(B736&lt;=500,'前提と出典'!B75+'前提と出典'!C75,'前提と出典'!B76+'前提と出典'!C76))))</ns0:f>
        <ns0:v>80000</ns0:v>
      </ns0:c>
      <ns0:c r="N736" s="16">
        <ns0:f>IF(('前提と出典'!$C$37+'前提と出典'!$C$38)=0,0,IF(C736&lt;=10,'前提と出典'!D73+'前提と出典'!E73,IF(C736&lt;=100,'前提と出典'!D74+'前提と出典'!E74,IF(C736&lt;=500,'前提と出典'!D75+'前提と出典'!E75,'前提と出典'!D76+'前提と出典'!E76))))</ns0:f>
        <ns0:v>56510.9346263078</ns0:v>
      </ns0:c>
      <ns0:c r="O736" s="16">
        <ns0:f>IF('前提と出典'!$C$36+'前提と出典'!$C$38=0,0,'前提と出典'!$B$4*IF('前提と出典'!$B$20=0,MAX('前提と出典'!$B$6,D736*'前提と出典'!$B$5),'前提と出典'!$B$6+D736*'前提と出典'!$B$5))</ns0:f>
        <ns0:v>726863.7318435755</ns0:v>
      </ns0:c>
      <ns0:c r="P736" s="16">
        <ns0:f>(E736+G736)*(1-'前提と出典'!$B$7)-I736-K736-M736-O736</ns0:f>
        <ns0:v>1623839.09193835</ns0:v>
      </ns0:c>
      <ns0:c r="Q736" s="16">
        <ns0:f>(F736+H736)*(1-'前提と出典'!$B$7)-J736-L736-N736</ns0:f>
        <ns0:v>643776.0691743321</ns0:v>
      </ns0:c>
      <ns0:c r="R736" s="16">
        <ns0:f>P736-E736*'前提と出典'!$E$4</ns0:f>
        <ns0:v>1198925.2453199225</ns0:v>
      </ns0:c>
      <ns0:c r="S736" s="16">
        <ns0:f>Q736-F736*'前提と出典'!$E$4</ns0:f>
        <ns0:v>477012.8218313325</ns0:v>
      </ns0:c>
      <ns0:c r="T736" s="7">
        <ns0:f>R736+S736</ns0:f>
        <ns0:v>1675938.067151255</ns0:v>
      </ns0:c>
      <ns0:c r="U736" s="16">
        <ns0:f>P736-E736*'前提と出典'!$E$5</ns0:f>
        <ns0:v>1057287.2964471132</ns0:v>
      </ns0:c>
      <ns0:c r="V736" s="16">
        <ns0:f>Q736-F736*'前提と出典'!$E$5</ns0:f>
        <ns0:v>421425.0727169992</ns0:v>
      </ns0:c>
      <ns0:c r="W736" s="7">
        <ns0:f>U736+V736</ns0:f>
        <ns0:v>1478712.3691641125</ns0:v>
      </ns0:c>
      <ns0:c r="X736" s="16">
        <ns0:f>P736-E736*'前提と出典'!$E$6</ns0:f>
        <ns0:v>915649.3475743035</ns0:v>
      </ns0:c>
      <ns0:c r="Y736" s="16">
        <ns0:f>Q736-F736*'前提と出典'!$E$6</ns0:f>
        <ns0:v>365837.32360266603</ns0:v>
      </ns0:c>
      <ns0:c r="Z736" s="7">
        <ns0:f>X736+Y736</ns0:f>
        <ns0:v>1281486.6711769695</ns0:v>
      </ns0:c>
      <ns0:c r="AA736" s="7">
        <ns0:f>IF(T736&gt;=0,A736,1001)</ns0:f>
        <ns0:v>732</ns0:v>
      </ns0:c>
      <ns0:c r="AB736" s="7">
        <ns0:f>IF(T736&lt;0,A736,0)</ns0:f>
        <ns0:v>0</ns0:v>
      </ns0:c>
      <ns0:c r="AC736" s="16">
        <ns0:f>IF(AND(OR('前提と出典'!$C$36+'前提と出典'!$C$38=0,R736&gt;=0),OR('前提と出典'!$C$37+'前提と出典'!$C$38=0,S736&gt;=0)),0,A736)</ns0:f>
        <ns0:v>0</ns0:v>
      </ns0:c>
      <ns0:c r="AD736" s="7">
        <ns0:f>IF(W736&gt;=0,A736,1001)</ns0:f>
        <ns0:v>732</ns0:v>
      </ns0:c>
      <ns0:c r="AE736" s="7">
        <ns0:f>IF(W736&lt;0,A736,0)</ns0:f>
        <ns0:v>0</ns0:v>
      </ns0:c>
      <ns0:c r="AF736" s="16">
        <ns0:f>IF(AND(OR('前提と出典'!$C$36+'前提と出典'!$C$38=0,U736&gt;=0),OR('前提と出典'!$C$37+'前提と出典'!$C$38=0,V736&gt;=0)),0,A736)</ns0:f>
        <ns0:v>0</ns0:v>
      </ns0:c>
      <ns0:c r="AG736" s="7">
        <ns0:f>IF(Z736&gt;=0,A736,1001)</ns0:f>
        <ns0:v>732</ns0:v>
      </ns0:c>
      <ns0:c r="AH736" s="4">
        <ns0:f>IF(Z736&lt;0,A736,0)</ns0:f>
        <ns0:v>0</ns0:v>
      </ns0:c>
      <ns0:c r="AI736" s="12">
        <ns0:f>IF(AND(OR('前提と出典'!$C$36+'前提と出典'!$C$38=0,X736&gt;=0),OR('前提と出典'!$C$37+'前提と出典'!$C$38=0,Y736&gt;=0)),0,A736)</ns0:f>
        <ns0:v>0</ns0:v>
      </ns0:c>
    </ns0:row>
    <ns0:row r="737" ht="24" customHeight="1">
      <ns0:c r="A737" s="4" t="n">
        <ns0:v>733</ns0:v>
      </ns0:c>
      <ns0:c r="B737" s="12">
        <ns0:f>A737*('前提と出典'!$C$36+'前提と出典'!$C$38)</ns0:f>
        <ns0:v>513.1</ns0:v>
      </ns0:c>
      <ns0:c r="C737" s="12">
        <ns0:f>A737*('前提と出典'!$C$37+'前提と出典'!$C$38)</ns0:f>
        <ns0:v>439.8</ns0:v>
      </ns0:c>
      <ns0:c r="D737" s="16">
        <ns0:f>A737*('前提と出典'!$C$36*'契約別単価'!C5+'前提と出典'!$C$37*'契約別単価'!C6+'前提と出典'!$C$38*'契約別単価'!C7)</ns0:f>
        <ns0:v>5274.324022346369</ns0:v>
      </ns0:c>
      <ns0:c r="E737" s="16">
        <ns0:f>A737*('前提と出典'!$C$36*'契約別単価'!E5+'前提と出典'!$C$37*'契約別単価'!E6+'前提と出典'!$C$38*'契約別単価'!E7)</ns0:f>
        <ns0:v>1418314.4333848243</ns0:v>
      </ns0:c>
      <ns0:c r="F737" s="16">
        <ns0:f>A737*('前提と出典'!$C$36*'契約別単価'!F5+'前提と出典'!$C$37*'契約別単価'!F6+'前提と出典'!$C$38*'契約別単価'!F7)</ns0:f>
        <ns0:v>556636.8866230361</ns0:v>
      </ns0:c>
      <ns0:c r="G737" s="16">
        <ns0:f>A737*('前提と出典'!$C$36*'契約別単価'!G5+'前提と出典'!$C$37*'契約別単価'!G6+'前提と出典'!$C$38*'契約別単価'!G7)</ns0:f>
        <ns0:v>1459038.5474860335</ns0:v>
      </ns0:c>
      <ns0:c r="H737" s="16">
        <ns0:f>A737*('前提と出典'!$C$36*'契約別単価'!H5+'前提と出典'!$C$37*'契約別単価'!H6+'前提と出典'!$C$38*'契約別単価'!H7)</ns0:f>
        <ns0:v>506359.55251115904</ns0:v>
      </ns0:c>
      <ns0:c r="I737" s="16">
        <ns0:f>A737*('前提と出典'!$C$36*'契約別単価'!I5+'前提と出典'!$C$37*'契約別単価'!I6+'前提と出典'!$C$38*'契約別単価'!I7)</ns0:f>
        <ns0:v>30929.32402234636</ns0:v>
      </ns0:c>
      <ns0:c r="J737" s="16">
        <ns0:f>A737*('前提と出典'!$C$36*'契約別単価'!J5+'前提と出典'!$C$37*'契約別単価'!J6+'前提と出典'!$C$38*'契約別単価'!J7)</ns0:f>
        <ns0:v>72046.23553965178</ns0:v>
      </ns0:c>
      <ns0:c r="K737" s="16">
        <ns0:f>A737*('前提と出典'!$C$36*'契約別単価'!K5+'前提と出典'!$C$37*'契約別単価'!K6+'前提と出典'!$C$38*'契約別単価'!K7)</ns0:f>
        <ns0:v>308815.4934823091</ns0:v>
      </ns0:c>
      <ns0:c r="L737" s="16">
        <ns0:f>A737*('前提と出典'!$C$36*'契約別単価'!L5+'前提と出典'!$C$37*'契約別単価'!L6+'前提と出典'!$C$38*'契約別単価'!L7)</ns0:f>
        <ns0:v>251438.65175037197</ns0:v>
      </ns0:c>
      <ns0:c r="M737" s="16">
        <ns0:f>IF(('前提と出典'!$C$36+'前提と出典'!$C$38)=0,0,IF(B737&lt;=10,'前提と出典'!B73+'前提と出典'!C73,IF(B737&lt;=100,'前提と出典'!B74+'前提と出典'!C74,IF(B737&lt;=500,'前提と出典'!B75+'前提と出典'!C75,'前提と出典'!B76+'前提と出典'!C76))))</ns0:f>
        <ns0:v>80000</ns0:v>
      </ns0:c>
      <ns0:c r="N737" s="16">
        <ns0:f>IF(('前提と出典'!$C$37+'前提と出典'!$C$38)=0,0,IF(C737&lt;=10,'前提と出典'!D73+'前提と出典'!E73,IF(C737&lt;=100,'前提と出典'!D74+'前提と出典'!E74,IF(C737&lt;=500,'前提と出典'!D75+'前提と出典'!E75,'前提と出典'!D76+'前提と出典'!E76))))</ns0:f>
        <ns0:v>56510.9346263078</ns0:v>
      </ns0:c>
      <ns0:c r="O737" s="16">
        <ns0:f>IF('前提と出典'!$C$36+'前提と出典'!$C$38=0,0,'前提と出典'!$B$4*IF('前提と出典'!$B$20=0,MAX('前提と出典'!$B$6,D737*'前提と出典'!$B$5),'前提と出典'!$B$6+D737*'前提と出典'!$B$5))</ns0:f>
        <ns0:v>727856.715083799</ns0:v>
      </ns0:c>
      <ns0:c r="P737" s="16">
        <ns0:f>(E737+G737)*(1-'前提と出典'!$B$7)-I737-K737-M737-O737</ns0:f>
        <ns0:v>1626166.7409710526</ns0:v>
      </ns0:c>
      <ns0:c r="Q737" s="16">
        <ns0:f>(F737+H737)*(1-'前提と出典'!$B$7)-J737-L737-N737</ns0:f>
        <ns0:v>644732.7454090326</ns0:v>
      </ns0:c>
      <ns0:c r="R737" s="16">
        <ns0:f>P737-E737*'前提と出典'!$E$4</ns0:f>
        <ns0:v>1200672.410955605</ns0:v>
      </ns0:c>
      <ns0:c r="S737" s="16">
        <ns0:f>Q737-F737*'前提と出典'!$E$4</ns0:f>
        <ns0:v>477741.6794221217</ns0:v>
      </ns0:c>
      <ns0:c r="T737" s="7">
        <ns0:f>R737+S737</ns0:f>
        <ns0:v>1678414.0903777268</ns0:v>
      </ns0:c>
      <ns0:c r="U737" s="16">
        <ns0:f>P737-E737*'前提と出典'!$E$5</ns0:f>
        <ns0:v>1058840.967617123</ns0:v>
      </ns0:c>
      <ns0:c r="V737" s="16">
        <ns0:f>Q737-F737*'前提と出典'!$E$5</ns0:f>
        <ns0:v>422077.9907598182</ns0:v>
      </ns0:c>
      <ns0:c r="W737" s="7">
        <ns0:f>U737+V737</ns0:f>
        <ns0:v>1480918.958376941</ns0:v>
      </ns0:c>
      <ns0:c r="X737" s="16">
        <ns0:f>P737-E737*'前提と出典'!$E$6</ns0:f>
        <ns0:v>917009.5242786402</ns0:v>
      </ns0:c>
      <ns0:c r="Y737" s="16">
        <ns0:f>Q737-F737*'前提と出典'!$E$6</ns0:f>
        <ns0:v>366414.30209751456</ns0:v>
      </ns0:c>
      <ns0:c r="Z737" s="7">
        <ns0:f>X737+Y737</ns0:f>
        <ns0:v>1283423.8263761548</ns0:v>
      </ns0:c>
      <ns0:c r="AA737" s="7">
        <ns0:f>IF(T737&gt;=0,A737,1001)</ns0:f>
        <ns0:v>733</ns0:v>
      </ns0:c>
      <ns0:c r="AB737" s="7">
        <ns0:f>IF(T737&lt;0,A737,0)</ns0:f>
        <ns0:v>0</ns0:v>
      </ns0:c>
      <ns0:c r="AC737" s="16">
        <ns0:f>IF(AND(OR('前提と出典'!$C$36+'前提と出典'!$C$38=0,R737&gt;=0),OR('前提と出典'!$C$37+'前提と出典'!$C$38=0,S737&gt;=0)),0,A737)</ns0:f>
        <ns0:v>0</ns0:v>
      </ns0:c>
      <ns0:c r="AD737" s="7">
        <ns0:f>IF(W737&gt;=0,A737,1001)</ns0:f>
        <ns0:v>733</ns0:v>
      </ns0:c>
      <ns0:c r="AE737" s="7">
        <ns0:f>IF(W737&lt;0,A737,0)</ns0:f>
        <ns0:v>0</ns0:v>
      </ns0:c>
      <ns0:c r="AF737" s="16">
        <ns0:f>IF(AND(OR('前提と出典'!$C$36+'前提と出典'!$C$38=0,U737&gt;=0),OR('前提と出典'!$C$37+'前提と出典'!$C$38=0,V737&gt;=0)),0,A737)</ns0:f>
        <ns0:v>0</ns0:v>
      </ns0:c>
      <ns0:c r="AG737" s="7">
        <ns0:f>IF(Z737&gt;=0,A737,1001)</ns0:f>
        <ns0:v>733</ns0:v>
      </ns0:c>
      <ns0:c r="AH737" s="4">
        <ns0:f>IF(Z737&lt;0,A737,0)</ns0:f>
        <ns0:v>0</ns0:v>
      </ns0:c>
      <ns0:c r="AI737" s="12">
        <ns0:f>IF(AND(OR('前提と出典'!$C$36+'前提と出典'!$C$38=0,X737&gt;=0),OR('前提と出典'!$C$37+'前提と出典'!$C$38=0,Y737&gt;=0)),0,A737)</ns0:f>
        <ns0:v>0</ns0:v>
      </ns0:c>
    </ns0:row>
    <ns0:row r="738" ht="24" customHeight="1">
      <ns0:c r="A738" s="4" t="n">
        <ns0:v>734</ns0:v>
      </ns0:c>
      <ns0:c r="B738" s="12">
        <ns0:f>A738*('前提と出典'!$C$36+'前提と出典'!$C$38)</ns0:f>
        <ns0:v>513.8</ns0:v>
      </ns0:c>
      <ns0:c r="C738" s="12">
        <ns0:f>A738*('前提と出典'!$C$37+'前提と出典'!$C$38)</ns0:f>
        <ns0:v>440.4</ns0:v>
      </ns0:c>
      <ns0:c r="D738" s="16">
        <ns0:f>A738*('前提と出典'!$C$36*'契約別単価'!C5+'前提と出典'!$C$37*'契約別単価'!C6+'前提と出典'!$C$38*'契約別単価'!C7)</ns0:f>
        <ns0:v>5281.519553072626</ns0:v>
      </ns0:c>
      <ns0:c r="E738" s="16">
        <ns0:f>A738*('前提と出典'!$C$36*'契約別単価'!E5+'前提と出典'!$C$37*'契約別単価'!E6+'前提と出典'!$C$38*'契約別単価'!E7)</ns0:f>
        <ns0:v>1420249.3780415566</ns0:v>
      </ns0:c>
      <ns0:c r="F738" s="16">
        <ns0:f>A738*('前提と出典'!$C$36*'契約別単価'!F5+'前提と出典'!$C$37*'契約別単価'!F6+'前提と出典'!$C$38*'契約別単価'!F7)</ns0:f>
        <ns0:v>557396.28210274</ns0:v>
      </ns0:c>
      <ns0:c r="G738" s="16">
        <ns0:f>A738*('前提と出典'!$C$36*'契約別単価'!G5+'前提と出典'!$C$37*'契約別単価'!G6+'前提と出典'!$C$38*'契約別単価'!G7)</ns0:f>
        <ns0:v>1461029.0502793295</ns0:v>
      </ns0:c>
      <ns0:c r="H738" s="16">
        <ns0:f>A738*('前提と出典'!$C$36*'契約別単価'!H5+'前提と出典'!$C$37*'契約別単価'!H6+'前提と出典'!$C$38*'契約別単価'!H7)</ns0:f>
        <ns0:v>507050.3568119928</ns0:v>
      </ns0:c>
      <ns0:c r="I738" s="16">
        <ns0:f>A738*('前提と出典'!$C$36*'契約別単価'!I5+'前提と出典'!$C$37*'契約別単価'!I6+'前提と出典'!$C$38*'契約別単価'!I7)</ns0:f>
        <ns0:v>30971.51955307262</ns0:v>
      </ns0:c>
      <ns0:c r="J738" s="16">
        <ns0:f>A738*('前提と出典'!$C$36*'契約別単価'!J5+'前提と出典'!$C$37*'契約別単価'!J6+'前提と出典'!$C$38*'契約別単価'!J7)</ns0:f>
        <ns0:v>72144.52508336208</ns0:v>
      </ns0:c>
      <ns0:c r="K738" s="16">
        <ns0:f>A738*('前提と出典'!$C$36*'契約別単価'!K5+'前提と出典'!$C$37*'契約別単価'!K6+'前提と出典'!$C$38*'契約別単価'!K7)</ns0:f>
        <ns0:v>309236.79702048417</ns0:v>
      </ns0:c>
      <ns0:c r="L738" s="16">
        <ns0:f>A738*('前提と出典'!$C$36*'契約別単価'!L5+'前提と出典'!$C$37*'契約別単価'!L6+'前提と出典'!$C$38*'契約別単価'!L7)</ns0:f>
        <ns0:v>251781.67856039974</ns0:v>
      </ns0:c>
      <ns0:c r="M738" s="16">
        <ns0:f>IF(('前提と出典'!$C$36+'前提と出典'!$C$38)=0,0,IF(B738&lt;=10,'前提と出典'!B73+'前提と出典'!C73,IF(B738&lt;=100,'前提と出典'!B74+'前提と出典'!C74,IF(B738&lt;=500,'前提と出典'!B75+'前提と出典'!C75,'前提と出典'!B76+'前提と出典'!C76))))</ns0:f>
        <ns0:v>80000</ns0:v>
      </ns0:c>
      <ns0:c r="N738" s="16">
        <ns0:f>IF(('前提と出典'!$C$37+'前提と出典'!$C$38)=0,0,IF(C738&lt;=10,'前提と出典'!D73+'前提と出典'!E73,IF(C738&lt;=100,'前提と出典'!D74+'前提と出典'!E74,IF(C738&lt;=500,'前提と出典'!D75+'前提と出典'!E75,'前提と出典'!D76+'前提と出典'!E76))))</ns0:f>
        <ns0:v>56510.9346263078</ns0:v>
      </ns0:c>
      <ns0:c r="O738" s="16">
        <ns0:f>IF('前提と出典'!$C$36+'前提と出典'!$C$38=0,0,'前提と出典'!$B$4*IF('前提と出典'!$B$20=0,MAX('前提と出典'!$B$6,D738*'前提と出典'!$B$5),'前提と出典'!$B$6+D738*'前提と出典'!$B$5))</ns0:f>
        <ns0:v>728849.6983240225</ns0:v>
      </ns0:c>
      <ns0:c r="P738" s="16">
        <ns0:f>(E738+G738)*(1-'前提と出典'!$B$7)-I738-K738-M738-O738</ns0:f>
        <ns0:v>1628494.3900037548</ns0:v>
      </ns0:c>
      <ns0:c r="Q738" s="16">
        <ns0:f>(F738+H738)*(1-'前提と出典'!$B$7)-J738-L738-N738</ns0:f>
        <ns0:v>645689.4216437326</ns0:v>
      </ns0:c>
      <ns0:c r="R738" s="16">
        <ns0:f>P738-E738*'前提と出典'!$E$4</ns0:f>
        <ns0:v>1202419.5765912877</ns0:v>
      </ns0:c>
      <ns0:c r="S738" s="16">
        <ns0:f>Q738-F738*'前提と出典'!$E$4</ns0:f>
        <ns0:v>478470.5370129107</ns0:v>
      </ns0:c>
      <ns0:c r="T738" s="7">
        <ns0:f>R738+S738</ns0:f>
        <ns0:v>1680890.1136041984</ns0:v>
      </ns0:c>
      <ns0:c r="U738" s="16">
        <ns0:f>P738-E738*'前提と出典'!$E$5</ns0:f>
        <ns0:v>1060394.6387871322</ns0:v>
      </ns0:c>
      <ns0:c r="V738" s="16">
        <ns0:f>Q738-F738*'前提と出典'!$E$5</ns0:f>
        <ns0:v>422730.9088026366</ns0:v>
      </ns0:c>
      <ns0:c r="W738" s="7">
        <ns0:f>U738+V738</ns0:f>
        <ns0:v>1483125.547589769</ns0:v>
      </ns0:c>
      <ns0:c r="X738" s="16">
        <ns0:f>P738-E738*'前提と出典'!$E$6</ns0:f>
        <ns0:v>918369.7009829766</ns0:v>
      </ns0:c>
      <ns0:c r="Y738" s="16">
        <ns0:f>Q738-F738*'前提と出典'!$E$6</ns0:f>
        <ns0:v>366991.2805923627</ns0:v>
      </ns0:c>
      <ns0:c r="Z738" s="7">
        <ns0:f>X738+Y738</ns0:f>
        <ns0:v>1285360.9815753393</ns0:v>
      </ns0:c>
      <ns0:c r="AA738" s="7">
        <ns0:f>IF(T738&gt;=0,A738,1001)</ns0:f>
        <ns0:v>734</ns0:v>
      </ns0:c>
      <ns0:c r="AB738" s="7">
        <ns0:f>IF(T738&lt;0,A738,0)</ns0:f>
        <ns0:v>0</ns0:v>
      </ns0:c>
      <ns0:c r="AC738" s="16">
        <ns0:f>IF(AND(OR('前提と出典'!$C$36+'前提と出典'!$C$38=0,R738&gt;=0),OR('前提と出典'!$C$37+'前提と出典'!$C$38=0,S738&gt;=0)),0,A738)</ns0:f>
        <ns0:v>0</ns0:v>
      </ns0:c>
      <ns0:c r="AD738" s="7">
        <ns0:f>IF(W738&gt;=0,A738,1001)</ns0:f>
        <ns0:v>734</ns0:v>
      </ns0:c>
      <ns0:c r="AE738" s="7">
        <ns0:f>IF(W738&lt;0,A738,0)</ns0:f>
        <ns0:v>0</ns0:v>
      </ns0:c>
      <ns0:c r="AF738" s="16">
        <ns0:f>IF(AND(OR('前提と出典'!$C$36+'前提と出典'!$C$38=0,U738&gt;=0),OR('前提と出典'!$C$37+'前提と出典'!$C$38=0,V738&gt;=0)),0,A738)</ns0:f>
        <ns0:v>0</ns0:v>
      </ns0:c>
      <ns0:c r="AG738" s="7">
        <ns0:f>IF(Z738&gt;=0,A738,1001)</ns0:f>
        <ns0:v>734</ns0:v>
      </ns0:c>
      <ns0:c r="AH738" s="4">
        <ns0:f>IF(Z738&lt;0,A738,0)</ns0:f>
        <ns0:v>0</ns0:v>
      </ns0:c>
      <ns0:c r="AI738" s="12">
        <ns0:f>IF(AND(OR('前提と出典'!$C$36+'前提と出典'!$C$38=0,X738&gt;=0),OR('前提と出典'!$C$37+'前提と出典'!$C$38=0,Y738&gt;=0)),0,A738)</ns0:f>
        <ns0:v>0</ns0:v>
      </ns0:c>
    </ns0:row>
    <ns0:row r="739" ht="24" customHeight="1">
      <ns0:c r="A739" s="4" t="n">
        <ns0:v>735</ns0:v>
      </ns0:c>
      <ns0:c r="B739" s="12">
        <ns0:f>A739*('前提と出典'!$C$36+'前提と出典'!$C$38)</ns0:f>
        <ns0:v>514.5</ns0:v>
      </ns0:c>
      <ns0:c r="C739" s="12">
        <ns0:f>A739*('前提と出典'!$C$37+'前提と出典'!$C$38)</ns0:f>
        <ns0:v>441</ns0:v>
      </ns0:c>
      <ns0:c r="D739" s="16">
        <ns0:f>A739*('前提と出典'!$C$36*'契約別単価'!C5+'前提と出典'!$C$37*'契約別単価'!C6+'前提と出典'!$C$38*'契約別単価'!C7)</ns0:f>
        <ns0:v>5288.715083798883</ns0:v>
      </ns0:c>
      <ns0:c r="E739" s="16">
        <ns0:f>A739*('前提と出典'!$C$36*'契約別単価'!E5+'前提と出典'!$C$37*'契約別単価'!E6+'前提と出典'!$C$38*'契約別単価'!E7)</ns0:f>
        <ns0:v>1422184.322698289</ns0:v>
      </ns0:c>
      <ns0:c r="F739" s="16">
        <ns0:f>A739*('前提と出典'!$C$36*'契約別単価'!F5+'前提と出典'!$C$37*'契約別単価'!F6+'前提と出典'!$C$38*'契約別単価'!F7)</ns0:f>
        <ns0:v>558155.677582444</ns0:v>
      </ns0:c>
      <ns0:c r="G739" s="16">
        <ns0:f>A739*('前提と出典'!$C$36*'契約別単価'!G5+'前提と出典'!$C$37*'契約別単価'!G6+'前提と出典'!$C$38*'契約別単価'!G7)</ns0:f>
        <ns0:v>1463019.5530726255</ns0:v>
      </ns0:c>
      <ns0:c r="H739" s="16">
        <ns0:f>A739*('前提と出典'!$C$36*'契約別単価'!H5+'前提と出典'!$C$37*'契約別単価'!H6+'前提と出典'!$C$38*'契約別単価'!H7)</ns0:f>
        <ns0:v>507741.1611128266</ns0:v>
      </ns0:c>
      <ns0:c r="I739" s="16">
        <ns0:f>A739*('前提と出典'!$C$36*'契約別単価'!I5+'前提と出典'!$C$37*'契約別単価'!I6+'前提と出典'!$C$38*'契約別単価'!I7)</ns0:f>
        <ns0:v>31013.715083798877</ns0:v>
      </ns0:c>
      <ns0:c r="J739" s="16">
        <ns0:f>A739*('前提と出典'!$C$36*'契約別単価'!J5+'前提と出典'!$C$37*'契約別単価'!J6+'前提と出典'!$C$38*'契約別単価'!J7)</ns0:f>
        <ns0:v>72242.81462707238</ns0:v>
      </ns0:c>
      <ns0:c r="K739" s="16">
        <ns0:f>A739*('前提と出典'!$C$36*'契約別単価'!K5+'前提と出典'!$C$37*'契約別単価'!K6+'前提と出典'!$C$38*'契約別単価'!K7)</ns0:f>
        <ns0:v>309658.1005586592</ns0:v>
      </ns0:c>
      <ns0:c r="L739" s="16">
        <ns0:f>A739*('前提と出典'!$C$36*'契約別単価'!L5+'前提と出典'!$C$37*'契約別単価'!L6+'前提と出典'!$C$38*'契約別単価'!L7)</ns0:f>
        <ns0:v>252124.70537042755</ns0:v>
      </ns0:c>
      <ns0:c r="M739" s="16">
        <ns0:f>IF(('前提と出典'!$C$36+'前提と出典'!$C$38)=0,0,IF(B739&lt;=10,'前提と出典'!B73+'前提と出典'!C73,IF(B739&lt;=100,'前提と出典'!B74+'前提と出典'!C74,IF(B739&lt;=500,'前提と出典'!B75+'前提と出典'!C75,'前提と出典'!B76+'前提と出典'!C76))))</ns0:f>
        <ns0:v>80000</ns0:v>
      </ns0:c>
      <ns0:c r="N739" s="16">
        <ns0:f>IF(('前提と出典'!$C$37+'前提と出典'!$C$38)=0,0,IF(C739&lt;=10,'前提と出典'!D73+'前提と出典'!E73,IF(C739&lt;=100,'前提と出典'!D74+'前提と出典'!E74,IF(C739&lt;=500,'前提と出典'!D75+'前提と出典'!E75,'前提と出典'!D76+'前提と出典'!E76))))</ns0:f>
        <ns0:v>56510.9346263078</ns0:v>
      </ns0:c>
      <ns0:c r="O739" s="16">
        <ns0:f>IF('前提と出典'!$C$36+'前提と出典'!$C$38=0,0,'前提と出典'!$B$4*IF('前提と出典'!$B$20=0,MAX('前提と出典'!$B$6,D739*'前提と出典'!$B$5),'前提と出典'!$B$6+D739*'前提と出典'!$B$5))</ns0:f>
        <ns0:v>729842.681564246</ns0:v>
      </ns0:c>
      <ns0:c r="P739" s="16">
        <ns0:f>(E739+G739)*(1-'前提と出典'!$B$7)-I739-K739-M739-O739</ns0:f>
        <ns0:v>1630822.0390364581</ns0:v>
      </ns0:c>
      <ns0:c r="Q739" s="16">
        <ns0:f>(F739+H739)*(1-'前提と出典'!$B$7)-J739-L739-N739</ns0:f>
        <ns0:v>646646.0978784332</ns0:v>
      </ns0:c>
      <ns0:c r="R739" s="16">
        <ns0:f>P739-E739*'前提と出典'!$E$4</ns0:f>
        <ns0:v>1204166.7422269713</ns0:v>
      </ns0:c>
      <ns0:c r="S739" s="16">
        <ns0:f>Q739-F739*'前提と出典'!$E$4</ns0:f>
        <ns0:v>479199.3946037</ns0:v>
      </ns0:c>
      <ns0:c r="T739" s="7">
        <ns0:f>R739+S739</ns0:f>
        <ns0:v>1683366.1368306712</ns0:v>
      </ns0:c>
      <ns0:c r="U739" s="16">
        <ns0:f>P739-E739*'前提と出典'!$E$5</ns0:f>
        <ns0:v>1061948.3099571425</ns0:v>
      </ns0:c>
      <ns0:c r="V739" s="16">
        <ns0:f>Q739-F739*'前提と出典'!$E$5</ns0:f>
        <ns0:v>423383.82684545557</ns0:v>
      </ns0:c>
      <ns0:c r="W739" s="7">
        <ns0:f>U739+V739</ns0:f>
        <ns0:v>1485332.136802598</ns0:v>
      </ns0:c>
      <ns0:c r="X739" s="16">
        <ns0:f>P739-E739*'前提と出典'!$E$6</ns0:f>
        <ns0:v>919729.8776873125</ns0:v>
      </ns0:c>
      <ns0:c r="Y739" s="16">
        <ns0:f>Q739-F739*'前提と出典'!$E$6</ns0:f>
        <ns0:v>367568.2590872111</ns0:v>
      </ns0:c>
      <ns0:c r="Z739" s="7">
        <ns0:f>X739+Y739</ns0:f>
        <ns0:v>1287298.1367745236</ns0:v>
      </ns0:c>
      <ns0:c r="AA739" s="7">
        <ns0:f>IF(T739&gt;=0,A739,1001)</ns0:f>
        <ns0:v>735</ns0:v>
      </ns0:c>
      <ns0:c r="AB739" s="7">
        <ns0:f>IF(T739&lt;0,A739,0)</ns0:f>
        <ns0:v>0</ns0:v>
      </ns0:c>
      <ns0:c r="AC739" s="16">
        <ns0:f>IF(AND(OR('前提と出典'!$C$36+'前提と出典'!$C$38=0,R739&gt;=0),OR('前提と出典'!$C$37+'前提と出典'!$C$38=0,S739&gt;=0)),0,A739)</ns0:f>
        <ns0:v>0</ns0:v>
      </ns0:c>
      <ns0:c r="AD739" s="7">
        <ns0:f>IF(W739&gt;=0,A739,1001)</ns0:f>
        <ns0:v>735</ns0:v>
      </ns0:c>
      <ns0:c r="AE739" s="7">
        <ns0:f>IF(W739&lt;0,A739,0)</ns0:f>
        <ns0:v>0</ns0:v>
      </ns0:c>
      <ns0:c r="AF739" s="16">
        <ns0:f>IF(AND(OR('前提と出典'!$C$36+'前提と出典'!$C$38=0,U739&gt;=0),OR('前提と出典'!$C$37+'前提と出典'!$C$38=0,V739&gt;=0)),0,A739)</ns0:f>
        <ns0:v>0</ns0:v>
      </ns0:c>
      <ns0:c r="AG739" s="7">
        <ns0:f>IF(Z739&gt;=0,A739,1001)</ns0:f>
        <ns0:v>735</ns0:v>
      </ns0:c>
      <ns0:c r="AH739" s="4">
        <ns0:f>IF(Z739&lt;0,A739,0)</ns0:f>
        <ns0:v>0</ns0:v>
      </ns0:c>
      <ns0:c r="AI739" s="12">
        <ns0:f>IF(AND(OR('前提と出典'!$C$36+'前提と出典'!$C$38=0,X739&gt;=0),OR('前提と出典'!$C$37+'前提と出典'!$C$38=0,Y739&gt;=0)),0,A739)</ns0:f>
        <ns0:v>0</ns0:v>
      </ns0:c>
    </ns0:row>
    <ns0:row r="740" ht="24" customHeight="1">
      <ns0:c r="A740" s="4" t="n">
        <ns0:v>736</ns0:v>
      </ns0:c>
      <ns0:c r="B740" s="12">
        <ns0:f>A740*('前提と出典'!$C$36+'前提と出典'!$C$38)</ns0:f>
        <ns0:v>515.1999999999999</ns0:v>
      </ns0:c>
      <ns0:c r="C740" s="12">
        <ns0:f>A740*('前提と出典'!$C$37+'前提と出典'!$C$38)</ns0:f>
        <ns0:v>441.59999999999997</ns0:v>
      </ns0:c>
      <ns0:c r="D740" s="16">
        <ns0:f>A740*('前提と出典'!$C$36*'契約別単価'!C5+'前提と出典'!$C$37*'契約別単価'!C6+'前提と出典'!$C$38*'契約別単価'!C7)</ns0:f>
        <ns0:v>5295.91061452514</ns0:v>
      </ns0:c>
      <ns0:c r="E740" s="16">
        <ns0:f>A740*('前提と出典'!$C$36*'契約別単価'!E5+'前提と出典'!$C$37*'契約別単価'!E6+'前提と出典'!$C$38*'契約別単価'!E7)</ns0:f>
        <ns0:v>1424119.2673550213</ns0:v>
      </ns0:c>
      <ns0:c r="F740" s="16">
        <ns0:f>A740*('前提と出典'!$C$36*'契約別単価'!F5+'前提と出典'!$C$37*'契約別単価'!F6+'前提と出典'!$C$38*'契約別単価'!F7)</ns0:f>
        <ns0:v>558915.0730621481</ns0:v>
      </ns0:c>
      <ns0:c r="G740" s="16">
        <ns0:f>A740*('前提と出典'!$C$36*'契約別単価'!G5+'前提と出典'!$C$37*'契約別単価'!G6+'前提と出典'!$C$38*'契約別単価'!G7)</ns0:f>
        <ns0:v>1465010.0558659218</ns0:v>
      </ns0:c>
      <ns0:c r="H740" s="16">
        <ns0:f>A740*('前提と出典'!$C$36*'契約別単価'!H5+'前提と出典'!$C$37*'契約別単価'!H6+'前提と出典'!$C$38*'契約別単価'!H7)</ns0:f>
        <ns0:v>508431.9654136604</ns0:v>
      </ns0:c>
      <ns0:c r="I740" s="16">
        <ns0:f>A740*('前提と出典'!$C$36*'契約別単価'!I5+'前提と出典'!$C$37*'契約別単価'!I6+'前提と出典'!$C$38*'契約別単価'!I7)</ns0:f>
        <ns0:v>31055.910614525135</ns0:v>
      </ns0:c>
      <ns0:c r="J740" s="16">
        <ns0:f>A740*('前提と出典'!$C$36*'契約別単価'!J5+'前提と出典'!$C$37*'契約別単価'!J6+'前提と出典'!$C$38*'契約別単価'!J7)</ns0:f>
        <ns0:v>72341.1041707827</ns0:v>
      </ns0:c>
      <ns0:c r="K740" s="16">
        <ns0:f>A740*('前提と出典'!$C$36*'契約別単価'!K5+'前提と出典'!$C$37*'契約別単価'!K6+'前提と出典'!$C$38*'契約別単価'!K7)</ns0:f>
        <ns0:v>310079.40409683425</ns0:v>
      </ns0:c>
      <ns0:c r="L740" s="16">
        <ns0:f>A740*('前提と出典'!$C$36*'契約別単価'!L5+'前提と出典'!$C$37*'契約別単価'!L6+'前提と出典'!$C$38*'契約別単価'!L7)</ns0:f>
        <ns0:v>252467.73218045535</ns0:v>
      </ns0:c>
      <ns0:c r="M740" s="16">
        <ns0:f>IF(('前提と出典'!$C$36+'前提と出典'!$C$38)=0,0,IF(B740&lt;=10,'前提と出典'!B73+'前提と出典'!C73,IF(B740&lt;=100,'前提と出典'!B74+'前提と出典'!C74,IF(B740&lt;=500,'前提と出典'!B75+'前提と出典'!C75,'前提と出典'!B76+'前提と出典'!C76))))</ns0:f>
        <ns0:v>80000</ns0:v>
      </ns0:c>
      <ns0:c r="N740" s="16">
        <ns0:f>IF(('前提と出典'!$C$37+'前提と出典'!$C$38)=0,0,IF(C740&lt;=10,'前提と出典'!D73+'前提と出典'!E73,IF(C740&lt;=100,'前提と出典'!D74+'前提と出典'!E74,IF(C740&lt;=500,'前提と出典'!D75+'前提と出典'!E75,'前提と出典'!D76+'前提と出典'!E76))))</ns0:f>
        <ns0:v>56510.9346263078</ns0:v>
      </ns0:c>
      <ns0:c r="O740" s="16">
        <ns0:f>IF('前提と出典'!$C$36+'前提と出典'!$C$38=0,0,'前提と出典'!$B$4*IF('前提と出典'!$B$20=0,MAX('前提と出典'!$B$6,D740*'前提と出典'!$B$5),'前提と出典'!$B$6+D740*'前提と出典'!$B$5))</ns0:f>
        <ns0:v>730835.6648044694</ns0:v>
      </ns0:c>
      <ns0:c r="P740" s="16">
        <ns0:f>(E740+G740)*(1-'前提と出典'!$B$7)-I740-K740-M740-O740</ns0:f>
        <ns0:v>1633149.6880691603</ns0:v>
      </ns0:c>
      <ns0:c r="Q740" s="16">
        <ns0:f>(F740+H740)*(1-'前提と出典'!$B$7)-J740-L740-N740</ns0:f>
        <ns0:v>647602.7741131334</ns0:v>
      </ns0:c>
      <ns0:c r="R740" s="16">
        <ns0:f>P740-E740*'前提と出典'!$E$4</ns0:f>
        <ns0:v>1205913.9078626544</ns0:v>
      </ns0:c>
      <ns0:c r="S740" s="16">
        <ns0:f>Q740-F740*'前提と出典'!$E$4</ns0:f>
        <ns0:v>479928.252194489</ns0:v>
      </ns0:c>
      <ns0:c r="T740" s="7">
        <ns0:f>R740+S740</ns0:f>
        <ns0:v>1685842.1600571433</ns0:v>
      </ns0:c>
      <ns0:c r="U740" s="16">
        <ns0:f>P740-E740*'前提と出典'!$E$5</ns0:f>
        <ns0:v>1063501.9811271518</ns0:v>
      </ns0:c>
      <ns0:c r="V740" s="16">
        <ns0:f>Q740-F740*'前提と出典'!$E$5</ns0:f>
        <ns0:v>424036.74488827423</ns0:v>
      </ns0:c>
      <ns0:c r="W740" s="7">
        <ns0:f>U740+V740</ns0:f>
        <ns0:v>1487538.726015426</ns0:v>
      </ns0:c>
      <ns0:c r="X740" s="16">
        <ns0:f>P740-E740*'前提と出典'!$E$6</ns0:f>
        <ns0:v>921090.0543916499</ns0:v>
      </ns0:c>
      <ns0:c r="Y740" s="16">
        <ns0:f>Q740-F740*'前提と出典'!$E$6</ns0:f>
        <ns0:v>368145.23758205946</ns0:v>
      </ns0:c>
      <ns0:c r="Z740" s="7">
        <ns0:f>X740+Y740</ns0:f>
        <ns0:v>1289235.2919737094</ns0:v>
      </ns0:c>
      <ns0:c r="AA740" s="7">
        <ns0:f>IF(T740&gt;=0,A740,1001)</ns0:f>
        <ns0:v>736</ns0:v>
      </ns0:c>
      <ns0:c r="AB740" s="7">
        <ns0:f>IF(T740&lt;0,A740,0)</ns0:f>
        <ns0:v>0</ns0:v>
      </ns0:c>
      <ns0:c r="AC740" s="16">
        <ns0:f>IF(AND(OR('前提と出典'!$C$36+'前提と出典'!$C$38=0,R740&gt;=0),OR('前提と出典'!$C$37+'前提と出典'!$C$38=0,S740&gt;=0)),0,A740)</ns0:f>
        <ns0:v>0</ns0:v>
      </ns0:c>
      <ns0:c r="AD740" s="7">
        <ns0:f>IF(W740&gt;=0,A740,1001)</ns0:f>
        <ns0:v>736</ns0:v>
      </ns0:c>
      <ns0:c r="AE740" s="7">
        <ns0:f>IF(W740&lt;0,A740,0)</ns0:f>
        <ns0:v>0</ns0:v>
      </ns0:c>
      <ns0:c r="AF740" s="16">
        <ns0:f>IF(AND(OR('前提と出典'!$C$36+'前提と出典'!$C$38=0,U740&gt;=0),OR('前提と出典'!$C$37+'前提と出典'!$C$38=0,V740&gt;=0)),0,A740)</ns0:f>
        <ns0:v>0</ns0:v>
      </ns0:c>
      <ns0:c r="AG740" s="7">
        <ns0:f>IF(Z740&gt;=0,A740,1001)</ns0:f>
        <ns0:v>736</ns0:v>
      </ns0:c>
      <ns0:c r="AH740" s="4">
        <ns0:f>IF(Z740&lt;0,A740,0)</ns0:f>
        <ns0:v>0</ns0:v>
      </ns0:c>
      <ns0:c r="AI740" s="12">
        <ns0:f>IF(AND(OR('前提と出典'!$C$36+'前提と出典'!$C$38=0,X740&gt;=0),OR('前提と出典'!$C$37+'前提と出典'!$C$38=0,Y740&gt;=0)),0,A740)</ns0:f>
        <ns0:v>0</ns0:v>
      </ns0:c>
    </ns0:row>
    <ns0:row r="741" ht="24" customHeight="1">
      <ns0:c r="A741" s="4" t="n">
        <ns0:v>737</ns0:v>
      </ns0:c>
      <ns0:c r="B741" s="12">
        <ns0:f>A741*('前提と出典'!$C$36+'前提と出典'!$C$38)</ns0:f>
        <ns0:v>515.9</ns0:v>
      </ns0:c>
      <ns0:c r="C741" s="12">
        <ns0:f>A741*('前提と出典'!$C$37+'前提と出典'!$C$38)</ns0:f>
        <ns0:v>442.2</ns0:v>
      </ns0:c>
      <ns0:c r="D741" s="16">
        <ns0:f>A741*('前提と出典'!$C$36*'契約別単価'!C5+'前提と出典'!$C$37*'契約別単価'!C6+'前提と出典'!$C$38*'契約別単価'!C7)</ns0:f>
        <ns0:v>5303.106145251397</ns0:v>
      </ns0:c>
      <ns0:c r="E741" s="16">
        <ns0:f>A741*('前提と出典'!$C$36*'契約別単価'!E5+'前提と出典'!$C$37*'契約別単価'!E6+'前提と出典'!$C$38*'契約別単価'!E7)</ns0:f>
        <ns0:v>1426054.2120117538</ns0:v>
      </ns0:c>
      <ns0:c r="F741" s="16">
        <ns0:f>A741*('前提と出典'!$C$36*'契約別単価'!F5+'前提と出典'!$C$37*'契約別単価'!F6+'前提と出典'!$C$38*'契約別単価'!F7)</ns0:f>
        <ns0:v>559674.4685418521</ns0:v>
      </ns0:c>
      <ns0:c r="G741" s="16">
        <ns0:f>A741*('前提と出典'!$C$36*'契約別単価'!G5+'前提と出典'!$C$37*'契約別単価'!G6+'前提と出典'!$C$38*'契約別単価'!G7)</ns0:f>
        <ns0:v>1467000.5586592178</ns0:v>
      </ns0:c>
      <ns0:c r="H741" s="16">
        <ns0:f>A741*('前提と出典'!$C$36*'契約別単価'!H5+'前提と出典'!$C$37*'契約別単価'!H6+'前提と出典'!$C$38*'契約別単価'!H7)</ns0:f>
        <ns0:v>509122.7697144942</ns0:v>
      </ns0:c>
      <ns0:c r="I741" s="16">
        <ns0:f>A741*('前提と出典'!$C$36*'契約別単価'!I5+'前提と出典'!$C$37*'契約別単価'!I6+'前提と出典'!$C$38*'契約別単価'!I7)</ns0:f>
        <ns0:v>31098.106145251393</ns0:v>
      </ns0:c>
      <ns0:c r="J741" s="16">
        <ns0:f>A741*('前提と出典'!$C$36*'契約別単価'!J5+'前提と出典'!$C$37*'契約別単価'!J6+'前提と出典'!$C$38*'契約別単価'!J7)</ns0:f>
        <ns0:v>72439.393714493</ns0:v>
      </ns0:c>
      <ns0:c r="K741" s="16">
        <ns0:f>A741*('前提と出典'!$C$36*'契約別単価'!K5+'前提と出典'!$C$37*'契約別単価'!K6+'前提と出典'!$C$38*'契約別単価'!K7)</ns0:f>
        <ns0:v>310500.7076350093</ns0:v>
      </ns0:c>
      <ns0:c r="L741" s="16">
        <ns0:f>A741*('前提と出典'!$C$36*'契約別単価'!L5+'前提と出典'!$C$37*'契約別単価'!L6+'前提と出典'!$C$38*'契約別単価'!L7)</ns0:f>
        <ns0:v>252810.75899048313</ns0:v>
      </ns0:c>
      <ns0:c r="M741" s="16">
        <ns0:f>IF(('前提と出典'!$C$36+'前提と出典'!$C$38)=0,0,IF(B741&lt;=10,'前提と出典'!B73+'前提と出典'!C73,IF(B741&lt;=100,'前提と出典'!B74+'前提と出典'!C74,IF(B741&lt;=500,'前提と出典'!B75+'前提と出典'!C75,'前提と出典'!B76+'前提と出典'!C76))))</ns0:f>
        <ns0:v>80000</ns0:v>
      </ns0:c>
      <ns0:c r="N741" s="16">
        <ns0:f>IF(('前提と出典'!$C$37+'前提と出典'!$C$38)=0,0,IF(C741&lt;=10,'前提と出典'!D73+'前提と出典'!E73,IF(C741&lt;=100,'前提と出典'!D74+'前提と出典'!E74,IF(C741&lt;=500,'前提と出典'!D75+'前提と出典'!E75,'前提と出典'!D76+'前提と出典'!E76))))</ns0:f>
        <ns0:v>56510.9346263078</ns0:v>
      </ns0:c>
      <ns0:c r="O741" s="16">
        <ns0:f>IF('前提と出典'!$C$36+'前提と出典'!$C$38=0,0,'前提と出典'!$B$4*IF('前提と出典'!$B$20=0,MAX('前提と出典'!$B$6,D741*'前提と出典'!$B$5),'前提と出典'!$B$6+D741*'前提と出典'!$B$5))</ns0:f>
        <ns0:v>731828.6480446927</ns0:v>
      </ns0:c>
      <ns0:c r="P741" s="16">
        <ns0:f>(E741+G741)*(1-'前提と出典'!$B$7)-I741-K741-M741-O741</ns0:f>
        <ns0:v>1635477.3371018632</ns0:v>
      </ns0:c>
      <ns0:c r="Q741" s="16">
        <ns0:f>(F741+H741)*(1-'前提と出典'!$B$7)-J741-L741-N741</ns0:f>
        <ns0:v>648559.4503478338</ns0:v>
      </ns0:c>
      <ns0:c r="R741" s="16">
        <ns0:f>P741-E741*'前提と出典'!$E$4</ns0:f>
        <ns0:v>1207661.073498337</ns0:v>
      </ns0:c>
      <ns0:c r="S741" s="16">
        <ns0:f>Q741-F741*'前提と出典'!$E$4</ns0:f>
        <ns0:v>480657.1097852782</ns0:v>
      </ns0:c>
      <ns0:c r="T741" s="7">
        <ns0:f>R741+S741</ns0:f>
        <ns0:v>1688318.1832836154</ns0:v>
      </ns0:c>
      <ns0:c r="U741" s="16">
        <ns0:f>P741-E741*'前提と出典'!$E$5</ns0:f>
        <ns0:v>1065055.6522971615</ns0:v>
      </ns0:c>
      <ns0:c r="V741" s="16">
        <ns0:f>Q741-F741*'前提と出典'!$E$5</ns0:f>
        <ns0:v>424689.662931093</ns0:v>
      </ns0:c>
      <ns0:c r="W741" s="7">
        <ns0:f>U741+V741</ns0:f>
        <ns0:v>1489745.3152282545</ns0:v>
      </ns0:c>
      <ns0:c r="X741" s="16">
        <ns0:f>P741-E741*'前提と出典'!$E$6</ns0:f>
        <ns0:v>922450.2310959866</ns0:v>
      </ns0:c>
      <ns0:c r="Y741" s="16">
        <ns0:f>Q741-F741*'前提と出典'!$E$6</ns0:f>
        <ns0:v>368722.2160769077</ns0:v>
      </ns0:c>
      <ns0:c r="Z741" s="7">
        <ns0:f>X741+Y741</ns0:f>
        <ns0:v>1291172.4471728941</ns0:v>
      </ns0:c>
      <ns0:c r="AA741" s="7">
        <ns0:f>IF(T741&gt;=0,A741,1001)</ns0:f>
        <ns0:v>737</ns0:v>
      </ns0:c>
      <ns0:c r="AB741" s="7">
        <ns0:f>IF(T741&lt;0,A741,0)</ns0:f>
        <ns0:v>0</ns0:v>
      </ns0:c>
      <ns0:c r="AC741" s="16">
        <ns0:f>IF(AND(OR('前提と出典'!$C$36+'前提と出典'!$C$38=0,R741&gt;=0),OR('前提と出典'!$C$37+'前提と出典'!$C$38=0,S741&gt;=0)),0,A741)</ns0:f>
        <ns0:v>0</ns0:v>
      </ns0:c>
      <ns0:c r="AD741" s="7">
        <ns0:f>IF(W741&gt;=0,A741,1001)</ns0:f>
        <ns0:v>737</ns0:v>
      </ns0:c>
      <ns0:c r="AE741" s="7">
        <ns0:f>IF(W741&lt;0,A741,0)</ns0:f>
        <ns0:v>0</ns0:v>
      </ns0:c>
      <ns0:c r="AF741" s="16">
        <ns0:f>IF(AND(OR('前提と出典'!$C$36+'前提と出典'!$C$38=0,U741&gt;=0),OR('前提と出典'!$C$37+'前提と出典'!$C$38=0,V741&gt;=0)),0,A741)</ns0:f>
        <ns0:v>0</ns0:v>
      </ns0:c>
      <ns0:c r="AG741" s="7">
        <ns0:f>IF(Z741&gt;=0,A741,1001)</ns0:f>
        <ns0:v>737</ns0:v>
      </ns0:c>
      <ns0:c r="AH741" s="4">
        <ns0:f>IF(Z741&lt;0,A741,0)</ns0:f>
        <ns0:v>0</ns0:v>
      </ns0:c>
      <ns0:c r="AI741" s="12">
        <ns0:f>IF(AND(OR('前提と出典'!$C$36+'前提と出典'!$C$38=0,X741&gt;=0),OR('前提と出典'!$C$37+'前提と出典'!$C$38=0,Y741&gt;=0)),0,A741)</ns0:f>
        <ns0:v>0</ns0:v>
      </ns0:c>
    </ns0:row>
    <ns0:row r="742" ht="24" customHeight="1">
      <ns0:c r="A742" s="4" t="n">
        <ns0:v>738</ns0:v>
      </ns0:c>
      <ns0:c r="B742" s="12">
        <ns0:f>A742*('前提と出典'!$C$36+'前提と出典'!$C$38)</ns0:f>
        <ns0:v>516.6</ns0:v>
      </ns0:c>
      <ns0:c r="C742" s="12">
        <ns0:f>A742*('前提と出典'!$C$37+'前提と出典'!$C$38)</ns0:f>
        <ns0:v>442.8</ns0:v>
      </ns0:c>
      <ns0:c r="D742" s="16">
        <ns0:f>A742*('前提と出典'!$C$36*'契約別単価'!C5+'前提と出典'!$C$37*'契約別単価'!C6+'前提と出典'!$C$38*'契約別単価'!C7)</ns0:f>
        <ns0:v>5310.301675977654</ns0:v>
      </ns0:c>
      <ns0:c r="E742" s="16">
        <ns0:f>A742*('前提と出典'!$C$36*'契約別単価'!E5+'前提と出典'!$C$37*'契約別単価'!E6+'前提と出典'!$C$38*'契約別単価'!E7)</ns0:f>
        <ns0:v>1427989.156668486</ns0:v>
      </ns0:c>
      <ns0:c r="F742" s="16">
        <ns0:f>A742*('前提と出典'!$C$36*'契約別単価'!F5+'前提と出典'!$C$37*'契約別単価'!F6+'前提と出典'!$C$38*'契約別単価'!F7)</ns0:f>
        <ns0:v>560433.8640215561</ns0:v>
      </ns0:c>
      <ns0:c r="G742" s="16">
        <ns0:f>A742*('前提と出典'!$C$36*'契約別単価'!G5+'前提と出典'!$C$37*'契約別単価'!G6+'前提と出典'!$C$38*'契約別単価'!G7)</ns0:f>
        <ns0:v>1468991.0614525138</ns0:v>
      </ns0:c>
      <ns0:c r="H742" s="16">
        <ns0:f>A742*('前提と出典'!$C$36*'契約別単価'!H5+'前提と出典'!$C$37*'契約別単価'!H6+'前提と出典'!$C$38*'契約別単価'!H7)</ns0:f>
        <ns0:v>509813.57401532796</ns0:v>
      </ns0:c>
      <ns0:c r="I742" s="16">
        <ns0:f>A742*('前提と出典'!$C$36*'契約別単価'!I5+'前提と出典'!$C$37*'契約別単価'!I6+'前提と出典'!$C$38*'契約別単価'!I7)</ns0:f>
        <ns0:v>31140.301675977647</ns0:v>
      </ns0:c>
      <ns0:c r="J742" s="16">
        <ns0:f>A742*('前提と出典'!$C$36*'契約別単価'!J5+'前提と出典'!$C$37*'契約別単価'!J6+'前提と出典'!$C$38*'契約別単価'!J7)</ns0:f>
        <ns0:v>72537.6832582033</ns0:v>
      </ns0:c>
      <ns0:c r="K742" s="16">
        <ns0:f>A742*('前提と出典'!$C$36*'契約別単価'!K5+'前提と出典'!$C$37*'契約別単価'!K6+'前提と出典'!$C$38*'契約別単価'!K7)</ns0:f>
        <ns0:v>310922.0111731843</ns0:v>
      </ns0:c>
      <ns0:c r="L742" s="16">
        <ns0:f>A742*('前提と出典'!$C$36*'契約別単価'!L5+'前提と出典'!$C$37*'契約別単価'!L6+'前提と出典'!$C$38*'契約別単価'!L7)</ns0:f>
        <ns0:v>253153.78580051093</ns0:v>
      </ns0:c>
      <ns0:c r="M742" s="16">
        <ns0:f>IF(('前提と出典'!$C$36+'前提と出典'!$C$38)=0,0,IF(B742&lt;=10,'前提と出典'!B73+'前提と出典'!C73,IF(B742&lt;=100,'前提と出典'!B74+'前提と出典'!C74,IF(B742&lt;=500,'前提と出典'!B75+'前提と出典'!C75,'前提と出典'!B76+'前提と出典'!C76))))</ns0:f>
        <ns0:v>80000</ns0:v>
      </ns0:c>
      <ns0:c r="N742" s="16">
        <ns0:f>IF(('前提と出典'!$C$37+'前提と出典'!$C$38)=0,0,IF(C742&lt;=10,'前提と出典'!D73+'前提と出典'!E73,IF(C742&lt;=100,'前提と出典'!D74+'前提と出典'!E74,IF(C742&lt;=500,'前提と出典'!D75+'前提と出典'!E75,'前提と出典'!D76+'前提と出典'!E76))))</ns0:f>
        <ns0:v>56510.9346263078</ns0:v>
      </ns0:c>
      <ns0:c r="O742" s="16">
        <ns0:f>IF('前提と出典'!$C$36+'前提と出典'!$C$38=0,0,'前提と出典'!$B$4*IF('前提と出典'!$B$20=0,MAX('前提と出典'!$B$6,D742*'前提と出典'!$B$5),'前提と出典'!$B$6+D742*'前提と出典'!$B$5))</ns0:f>
        <ns0:v>732821.6312849162</ns0:v>
      </ns0:c>
      <ns0:c r="P742" s="16">
        <ns0:f>(E742+G742)*(1-'前提と出典'!$B$7)-I742-K742-M742-O742</ns0:f>
        <ns0:v>1637804.9861345654</ns0:v>
      </ns0:c>
      <ns0:c r="Q742" s="16">
        <ns0:f>(F742+H742)*(1-'前提と出典'!$B$7)-J742-L742-N742</ns0:f>
        <ns0:v>649516.1265825343</ns0:v>
      </ns0:c>
      <ns0:c r="R742" s="16">
        <ns0:f>P742-E742*'前提と出典'!$E$4</ns0:f>
        <ns0:v>1209408.2391340202</ns0:v>
      </ns0:c>
      <ns0:c r="S742" s="16">
        <ns0:f>Q742-F742*'前提と出典'!$E$4</ns0:f>
        <ns0:v>481385.9673760674</ns0:v>
      </ns0:c>
      <ns0:c r="T742" s="7">
        <ns0:f>R742+S742</ns0:f>
        <ns0:v>1690794.2065100875</ns0:v>
      </ns0:c>
      <ns0:c r="U742" s="16">
        <ns0:f>P742-E742*'前提と出典'!$E$5</ns0:f>
        <ns0:v>1066609.3234671708</ns0:v>
      </ns0:c>
      <ns0:c r="V742" s="16">
        <ns0:f>Q742-F742*'前提と出典'!$E$5</ns0:f>
        <ns0:v>425342.5809739118</ns0:v>
      </ns0:c>
      <ns0:c r="W742" s="7">
        <ns0:f>U742+V742</ns0:f>
        <ns0:v>1491951.9044410826</ns0:v>
      </ns0:c>
      <ns0:c r="X742" s="16">
        <ns0:f>P742-E742*'前提と出典'!$E$6</ns0:f>
        <ns0:v>923810.4078003225</ns0:v>
      </ns0:c>
      <ns0:c r="Y742" s="16">
        <ns0:f>Q742-F742*'前提と出典'!$E$6</ns0:f>
        <ns0:v>369299.1945717563</ns0:v>
      </ns0:c>
      <ns0:c r="Z742" s="7">
        <ns0:f>X742+Y742</ns0:f>
        <ns0:v>1293109.6023720787</ns0:v>
      </ns0:c>
      <ns0:c r="AA742" s="7">
        <ns0:f>IF(T742&gt;=0,A742,1001)</ns0:f>
        <ns0:v>738</ns0:v>
      </ns0:c>
      <ns0:c r="AB742" s="7">
        <ns0:f>IF(T742&lt;0,A742,0)</ns0:f>
        <ns0:v>0</ns0:v>
      </ns0:c>
      <ns0:c r="AC742" s="16">
        <ns0:f>IF(AND(OR('前提と出典'!$C$36+'前提と出典'!$C$38=0,R742&gt;=0),OR('前提と出典'!$C$37+'前提と出典'!$C$38=0,S742&gt;=0)),0,A742)</ns0:f>
        <ns0:v>0</ns0:v>
      </ns0:c>
      <ns0:c r="AD742" s="7">
        <ns0:f>IF(W742&gt;=0,A742,1001)</ns0:f>
        <ns0:v>738</ns0:v>
      </ns0:c>
      <ns0:c r="AE742" s="7">
        <ns0:f>IF(W742&lt;0,A742,0)</ns0:f>
        <ns0:v>0</ns0:v>
      </ns0:c>
      <ns0:c r="AF742" s="16">
        <ns0:f>IF(AND(OR('前提と出典'!$C$36+'前提と出典'!$C$38=0,U742&gt;=0),OR('前提と出典'!$C$37+'前提と出典'!$C$38=0,V742&gt;=0)),0,A742)</ns0:f>
        <ns0:v>0</ns0:v>
      </ns0:c>
      <ns0:c r="AG742" s="7">
        <ns0:f>IF(Z742&gt;=0,A742,1001)</ns0:f>
        <ns0:v>738</ns0:v>
      </ns0:c>
      <ns0:c r="AH742" s="4">
        <ns0:f>IF(Z742&lt;0,A742,0)</ns0:f>
        <ns0:v>0</ns0:v>
      </ns0:c>
      <ns0:c r="AI742" s="12">
        <ns0:f>IF(AND(OR('前提と出典'!$C$36+'前提と出典'!$C$38=0,X742&gt;=0),OR('前提と出典'!$C$37+'前提と出典'!$C$38=0,Y742&gt;=0)),0,A742)</ns0:f>
        <ns0:v>0</ns0:v>
      </ns0:c>
    </ns0:row>
    <ns0:row r="743" ht="24" customHeight="1">
      <ns0:c r="A743" s="4" t="n">
        <ns0:v>739</ns0:v>
      </ns0:c>
      <ns0:c r="B743" s="12">
        <ns0:f>A743*('前提と出典'!$C$36+'前提と出典'!$C$38)</ns0:f>
        <ns0:v>517.3</ns0:v>
      </ns0:c>
      <ns0:c r="C743" s="12">
        <ns0:f>A743*('前提と出典'!$C$37+'前提と出典'!$C$38)</ns0:f>
        <ns0:v>443.4</ns0:v>
      </ns0:c>
      <ns0:c r="D743" s="16">
        <ns0:f>A743*('前提と出典'!$C$36*'契約別単価'!C5+'前提と出典'!$C$37*'契約別単価'!C6+'前提と出典'!$C$38*'契約別単価'!C7)</ns0:f>
        <ns0:v>5317.497206703911</ns0:v>
      </ns0:c>
      <ns0:c r="E743" s="16">
        <ns0:f>A743*('前提と出典'!$C$36*'契約別単価'!E5+'前提と出典'!$C$37*'契約別単価'!E6+'前提と出典'!$C$38*'契約別単価'!E7)</ns0:f>
        <ns0:v>1429924.1013252183</ns0:v>
      </ns0:c>
      <ns0:c r="F743" s="16">
        <ns0:f>A743*('前提と出典'!$C$36*'契約別単価'!F5+'前提と出典'!$C$37*'契約別単価'!F6+'前提と出典'!$C$38*'契約別単価'!F7)</ns0:f>
        <ns0:v>561193.2595012601</ns0:v>
      </ns0:c>
      <ns0:c r="G743" s="16">
        <ns0:f>A743*('前提と出典'!$C$36*'契約別単価'!G5+'前提と出典'!$C$37*'契約別単価'!G6+'前提と出典'!$C$38*'契約別単価'!G7)</ns0:f>
        <ns0:v>1470981.56424581</ns0:v>
      </ns0:c>
      <ns0:c r="H743" s="16">
        <ns0:f>A743*('前提と出典'!$C$36*'契約別単価'!H5+'前提と出典'!$C$37*'契約別単価'!H6+'前提と出典'!$C$38*'契約別単価'!H7)</ns0:f>
        <ns0:v>510504.3783161617</ns0:v>
      </ns0:c>
      <ns0:c r="I743" s="16">
        <ns0:f>A743*('前提と出典'!$C$36*'契約別単価'!I5+'前提と出典'!$C$37*'契約別単価'!I6+'前提と出典'!$C$38*'契約別単価'!I7)</ns0:f>
        <ns0:v>31182.497206703905</ns0:v>
      </ns0:c>
      <ns0:c r="J743" s="16">
        <ns0:f>A743*('前提と出典'!$C$36*'契約別単価'!J5+'前提と出典'!$C$37*'契約別単価'!J6+'前提と出典'!$C$38*'契約別単価'!J7)</ns0:f>
        <ns0:v>72635.9728019136</ns0:v>
      </ns0:c>
      <ns0:c r="K743" s="16">
        <ns0:f>A743*('前提と出典'!$C$36*'契約別単価'!K5+'前提と出典'!$C$37*'契約別単価'!K6+'前提と出典'!$C$38*'契約別単価'!K7)</ns0:f>
        <ns0:v>311343.3147113594</ns0:v>
      </ns0:c>
      <ns0:c r="L743" s="16">
        <ns0:f>A743*('前提と出典'!$C$36*'契約別単価'!L5+'前提と出典'!$C$37*'契約別単価'!L6+'前提と出典'!$C$38*'契約別単価'!L7)</ns0:f>
        <ns0:v>253496.8126105387</ns0:v>
      </ns0:c>
      <ns0:c r="M743" s="16">
        <ns0:f>IF(('前提と出典'!$C$36+'前提と出典'!$C$38)=0,0,IF(B743&lt;=10,'前提と出典'!B73+'前提と出典'!C73,IF(B743&lt;=100,'前提と出典'!B74+'前提と出典'!C74,IF(B743&lt;=500,'前提と出典'!B75+'前提と出典'!C75,'前提と出典'!B76+'前提と出典'!C76))))</ns0:f>
        <ns0:v>80000</ns0:v>
      </ns0:c>
      <ns0:c r="N743" s="16">
        <ns0:f>IF(('前提と出典'!$C$37+'前提と出典'!$C$38)=0,0,IF(C743&lt;=10,'前提と出典'!D73+'前提と出典'!E73,IF(C743&lt;=100,'前提と出典'!D74+'前提と出典'!E74,IF(C743&lt;=500,'前提と出典'!D75+'前提と出典'!E75,'前提と出典'!D76+'前提と出典'!E76))))</ns0:f>
        <ns0:v>56510.9346263078</ns0:v>
      </ns0:c>
      <ns0:c r="O743" s="16">
        <ns0:f>IF('前提と出典'!$C$36+'前提と出典'!$C$38=0,0,'前提と出典'!$B$4*IF('前提と出典'!$B$20=0,MAX('前提と出典'!$B$6,D743*'前提と出典'!$B$5),'前提と出典'!$B$6+D743*'前提と出典'!$B$5))</ns0:f>
        <ns0:v>733814.6145251397</ns0:v>
      </ns0:c>
      <ns0:c r="P743" s="16">
        <ns0:f>(E743+G743)*(1-'前提と出典'!$B$7)-I743-K743-M743-O743</ns0:f>
        <ns0:v>1640132.6351672686</ns0:v>
      </ns0:c>
      <ns0:c r="Q743" s="16">
        <ns0:f>(F743+H743)*(1-'前提と出典'!$B$7)-J743-L743-N743</ns0:f>
        <ns0:v>650472.8028172347</ns0:v>
      </ns0:c>
      <ns0:c r="R743" s="16">
        <ns0:f>P743-E743*'前提と出典'!$E$4</ns0:f>
        <ns0:v>1211155.4047697033</ns0:v>
      </ns0:c>
      <ns0:c r="S743" s="16">
        <ns0:f>Q743-F743*'前提と出典'!$E$4</ns0:f>
        <ns0:v>482114.8249668566</ns0:v>
      </ns0:c>
      <ns0:c r="T743" s="7">
        <ns0:f>R743+S743</ns0:f>
        <ns0:v>1693270.22973656</ns0:v>
      </ns0:c>
      <ns0:c r="U743" s="16">
        <ns0:f>P743-E743*'前提と出典'!$E$5</ns0:f>
        <ns0:v>1068162.994637181</ns0:v>
      </ns0:c>
      <ns0:c r="V743" s="16">
        <ns0:f>Q743-F743*'前提と出典'!$E$5</ns0:f>
        <ns0:v>425995.4990167306</ns0:v>
      </ns0:c>
      <ns0:c r="W743" s="7">
        <ns0:f>U743+V743</ns0:f>
        <ns0:v>1494158.4936539116</ns0:v>
      </ns0:c>
      <ns0:c r="X743" s="16">
        <ns0:f>P743-E743*'前提と出典'!$E$6</ns0:f>
        <ns0:v>925170.5845046592</ns0:v>
      </ns0:c>
      <ns0:c r="Y743" s="16">
        <ns0:f>Q743-F743*'前提と出典'!$E$6</ns0:f>
        <ns0:v>369876.17306660453</ns0:v>
      </ns0:c>
      <ns0:c r="Z743" s="7">
        <ns0:f>X743+Y743</ns0:f>
        <ns0:v>1295046.7575712637</ns0:v>
      </ns0:c>
      <ns0:c r="AA743" s="7">
        <ns0:f>IF(T743&gt;=0,A743,1001)</ns0:f>
        <ns0:v>739</ns0:v>
      </ns0:c>
      <ns0:c r="AB743" s="7">
        <ns0:f>IF(T743&lt;0,A743,0)</ns0:f>
        <ns0:v>0</ns0:v>
      </ns0:c>
      <ns0:c r="AC743" s="16">
        <ns0:f>IF(AND(OR('前提と出典'!$C$36+'前提と出典'!$C$38=0,R743&gt;=0),OR('前提と出典'!$C$37+'前提と出典'!$C$38=0,S743&gt;=0)),0,A743)</ns0:f>
        <ns0:v>0</ns0:v>
      </ns0:c>
      <ns0:c r="AD743" s="7">
        <ns0:f>IF(W743&gt;=0,A743,1001)</ns0:f>
        <ns0:v>739</ns0:v>
      </ns0:c>
      <ns0:c r="AE743" s="7">
        <ns0:f>IF(W743&lt;0,A743,0)</ns0:f>
        <ns0:v>0</ns0:v>
      </ns0:c>
      <ns0:c r="AF743" s="16">
        <ns0:f>IF(AND(OR('前提と出典'!$C$36+'前提と出典'!$C$38=0,U743&gt;=0),OR('前提と出典'!$C$37+'前提と出典'!$C$38=0,V743&gt;=0)),0,A743)</ns0:f>
        <ns0:v>0</ns0:v>
      </ns0:c>
      <ns0:c r="AG743" s="7">
        <ns0:f>IF(Z743&gt;=0,A743,1001)</ns0:f>
        <ns0:v>739</ns0:v>
      </ns0:c>
      <ns0:c r="AH743" s="4">
        <ns0:f>IF(Z743&lt;0,A743,0)</ns0:f>
        <ns0:v>0</ns0:v>
      </ns0:c>
      <ns0:c r="AI743" s="12">
        <ns0:f>IF(AND(OR('前提と出典'!$C$36+'前提と出典'!$C$38=0,X743&gt;=0),OR('前提と出典'!$C$37+'前提と出典'!$C$38=0,Y743&gt;=0)),0,A743)</ns0:f>
        <ns0:v>0</ns0:v>
      </ns0:c>
    </ns0:row>
    <ns0:row r="744" ht="24" customHeight="1">
      <ns0:c r="A744" s="4" t="n">
        <ns0:v>740</ns0:v>
      </ns0:c>
      <ns0:c r="B744" s="12">
        <ns0:f>A744*('前提と出典'!$C$36+'前提と出典'!$C$38)</ns0:f>
        <ns0:v>518</ns0:v>
      </ns0:c>
      <ns0:c r="C744" s="12">
        <ns0:f>A744*('前提と出典'!$C$37+'前提と出典'!$C$38)</ns0:f>
        <ns0:v>444</ns0:v>
      </ns0:c>
      <ns0:c r="D744" s="16">
        <ns0:f>A744*('前提と出典'!$C$36*'契約別単価'!C5+'前提と出典'!$C$37*'契約別単価'!C6+'前提と出典'!$C$38*'契約別単価'!C7)</ns0:f>
        <ns0:v>5324.692737430168</ns0:v>
      </ns0:c>
      <ns0:c r="E744" s="16">
        <ns0:f>A744*('前提と出典'!$C$36*'契約別単価'!E5+'前提と出典'!$C$37*'契約別単価'!E6+'前提と出典'!$C$38*'契約別単価'!E7)</ns0:f>
        <ns0:v>1431859.0459819508</ns0:v>
      </ns0:c>
      <ns0:c r="F744" s="16">
        <ns0:f>A744*('前提と出典'!$C$36*'契約別単価'!F5+'前提と出典'!$C$37*'契約別単価'!F6+'前提と出典'!$C$38*'契約別単価'!F7)</ns0:f>
        <ns0:v>561952.6549809641</ns0:v>
      </ns0:c>
      <ns0:c r="G744" s="16">
        <ns0:f>A744*('前提と出典'!$C$36*'契約別単価'!G5+'前提と出典'!$C$37*'契約別単価'!G6+'前提と出典'!$C$38*'契約別単価'!G7)</ns0:f>
        <ns0:v>1472972.067039106</ns0:v>
      </ns0:c>
      <ns0:c r="H744" s="16">
        <ns0:f>A744*('前提と出典'!$C$36*'契約別単価'!H5+'前提と出典'!$C$37*'契約別単価'!H6+'前提と出典'!$C$38*'契約別単価'!H7)</ns0:f>
        <ns0:v>511195.1826169955</ns0:v>
      </ns0:c>
      <ns0:c r="I744" s="16">
        <ns0:f>A744*('前提と出典'!$C$36*'契約別単価'!I5+'前提と出典'!$C$37*'契約別単価'!I6+'前提と出典'!$C$38*'契約別単価'!I7)</ns0:f>
        <ns0:v>31224.692737430163</ns0:v>
      </ns0:c>
      <ns0:c r="J744" s="16">
        <ns0:f>A744*('前提と出典'!$C$36*'契約別単価'!J5+'前提と出典'!$C$37*'契約別単価'!J6+'前提と出典'!$C$38*'契約別単価'!J7)</ns0:f>
        <ns0:v>72734.2623456239</ns0:v>
      </ns0:c>
      <ns0:c r="K744" s="16">
        <ns0:f>A744*('前提と出典'!$C$36*'契約別単価'!K5+'前提と出典'!$C$37*'契約別単価'!K6+'前提と出典'!$C$38*'契約別単価'!K7)</ns0:f>
        <ns0:v>311764.61824953445</ns0:v>
      </ns0:c>
      <ns0:c r="L744" s="16">
        <ns0:f>A744*('前提と出典'!$C$36*'契約別単価'!L5+'前提と出典'!$C$37*'契約別単価'!L6+'前提と出典'!$C$38*'契約別単価'!L7)</ns0:f>
        <ns0:v>253839.8394205665</ns0:v>
      </ns0:c>
      <ns0:c r="M744" s="16">
        <ns0:f>IF(('前提と出典'!$C$36+'前提と出典'!$C$38)=0,0,IF(B744&lt;=10,'前提と出典'!B73+'前提と出典'!C73,IF(B744&lt;=100,'前提と出典'!B74+'前提と出典'!C74,IF(B744&lt;=500,'前提と出典'!B75+'前提と出典'!C75,'前提と出典'!B76+'前提と出典'!C76))))</ns0:f>
        <ns0:v>80000</ns0:v>
      </ns0:c>
      <ns0:c r="N744" s="16">
        <ns0:f>IF(('前提と出典'!$C$37+'前提と出典'!$C$38)=0,0,IF(C744&lt;=10,'前提と出典'!D73+'前提と出典'!E73,IF(C744&lt;=100,'前提と出典'!D74+'前提と出典'!E74,IF(C744&lt;=500,'前提と出典'!D75+'前提と出典'!E75,'前提と出典'!D76+'前提と出典'!E76))))</ns0:f>
        <ns0:v>56510.9346263078</ns0:v>
      </ns0:c>
      <ns0:c r="O744" s="16">
        <ns0:f>IF('前提と出典'!$C$36+'前提と出典'!$C$38=0,0,'前提と出典'!$B$4*IF('前提と出典'!$B$20=0,MAX('前提と出典'!$B$6,D744*'前提と出典'!$B$5),'前提と出典'!$B$6+D744*'前提と出典'!$B$5))</ns0:f>
        <ns0:v>734807.5977653632</ns0:v>
      </ns0:c>
      <ns0:c r="P744" s="16">
        <ns0:f>(E744+G744)*(1-'前提と出典'!$B$7)-I744-K744-M744-O744</ns0:f>
        <ns0:v>1642460.2841999712</ns0:v>
      </ns0:c>
      <ns0:c r="Q744" s="16">
        <ns0:f>(F744+H744)*(1-'前提と出典'!$B$7)-J744-L744-N744</ns0:f>
        <ns0:v>651429.4790519348</ns0:v>
      </ns0:c>
      <ns0:c r="R744" s="16">
        <ns0:f>P744-E744*'前提と出典'!$E$4</ns0:f>
        <ns0:v>1212902.570405386</ns0:v>
      </ns0:c>
      <ns0:c r="S744" s="16">
        <ns0:f>Q744-F744*'前提と出典'!$E$4</ns0:f>
        <ns0:v>482843.6825576455</ns0:v>
      </ns0:c>
      <ns0:c r="T744" s="7">
        <ns0:f>R744+S744</ns0:f>
        <ns0:v>1695746.2529630314</ns0:v>
      </ns0:c>
      <ns0:c r="U744" s="16">
        <ns0:f>P744-E744*'前提と出典'!$E$5</ns0:f>
        <ns0:v>1069716.6658071908</ns0:v>
      </ns0:c>
      <ns0:c r="V744" s="16">
        <ns0:f>Q744-F744*'前提と出典'!$E$5</ns0:f>
        <ns0:v>426648.4170595492</ns0:v>
      </ns0:c>
      <ns0:c r="W744" s="7">
        <ns0:f>U744+V744</ns0:f>
        <ns0:v>1496365.08286674</ns0:v>
      </ns0:c>
      <ns0:c r="X744" s="16">
        <ns0:f>P744-E744*'前提と出典'!$E$6</ns0:f>
        <ns0:v>926530.7612089958</ns0:v>
      </ns0:c>
      <ns0:c r="Y744" s="16">
        <ns0:f>Q744-F744*'前提と出典'!$E$6</ns0:f>
        <ns0:v>370453.15156145283</ns0:v>
      </ns0:c>
      <ns0:c r="Z744" s="7">
        <ns0:f>X744+Y744</ns0:f>
        <ns0:v>1296983.9127704487</ns0:v>
      </ns0:c>
      <ns0:c r="AA744" s="7">
        <ns0:f>IF(T744&gt;=0,A744,1001)</ns0:f>
        <ns0:v>740</ns0:v>
      </ns0:c>
      <ns0:c r="AB744" s="7">
        <ns0:f>IF(T744&lt;0,A744,0)</ns0:f>
        <ns0:v>0</ns0:v>
      </ns0:c>
      <ns0:c r="AC744" s="16">
        <ns0:f>IF(AND(OR('前提と出典'!$C$36+'前提と出典'!$C$38=0,R744&gt;=0),OR('前提と出典'!$C$37+'前提と出典'!$C$38=0,S744&gt;=0)),0,A744)</ns0:f>
        <ns0:v>0</ns0:v>
      </ns0:c>
      <ns0:c r="AD744" s="7">
        <ns0:f>IF(W744&gt;=0,A744,1001)</ns0:f>
        <ns0:v>740</ns0:v>
      </ns0:c>
      <ns0:c r="AE744" s="7">
        <ns0:f>IF(W744&lt;0,A744,0)</ns0:f>
        <ns0:v>0</ns0:v>
      </ns0:c>
      <ns0:c r="AF744" s="16">
        <ns0:f>IF(AND(OR('前提と出典'!$C$36+'前提と出典'!$C$38=0,U744&gt;=0),OR('前提と出典'!$C$37+'前提と出典'!$C$38=0,V744&gt;=0)),0,A744)</ns0:f>
        <ns0:v>0</ns0:v>
      </ns0:c>
      <ns0:c r="AG744" s="7">
        <ns0:f>IF(Z744&gt;=0,A744,1001)</ns0:f>
        <ns0:v>740</ns0:v>
      </ns0:c>
      <ns0:c r="AH744" s="4">
        <ns0:f>IF(Z744&lt;0,A744,0)</ns0:f>
        <ns0:v>0</ns0:v>
      </ns0:c>
      <ns0:c r="AI744" s="12">
        <ns0:f>IF(AND(OR('前提と出典'!$C$36+'前提と出典'!$C$38=0,X744&gt;=0),OR('前提と出典'!$C$37+'前提と出典'!$C$38=0,Y744&gt;=0)),0,A744)</ns0:f>
        <ns0:v>0</ns0:v>
      </ns0:c>
    </ns0:row>
    <ns0:row r="745" ht="24" customHeight="1">
      <ns0:c r="A745" s="4" t="n">
        <ns0:v>741</ns0:v>
      </ns0:c>
      <ns0:c r="B745" s="12">
        <ns0:f>A745*('前提と出典'!$C$36+'前提と出典'!$C$38)</ns0:f>
        <ns0:v>518.6999999999999</ns0:v>
      </ns0:c>
      <ns0:c r="C745" s="12">
        <ns0:f>A745*('前提と出典'!$C$37+'前提と出典'!$C$38)</ns0:f>
        <ns0:v>444.59999999999997</ns0:v>
      </ns0:c>
      <ns0:c r="D745" s="16">
        <ns0:f>A745*('前提と出典'!$C$36*'契約別単価'!C5+'前提と出典'!$C$37*'契約別単価'!C6+'前提と出典'!$C$38*'契約別単価'!C7)</ns0:f>
        <ns0:v>5331.888268156425</ns0:v>
      </ns0:c>
      <ns0:c r="E745" s="16">
        <ns0:f>A745*('前提と出典'!$C$36*'契約別単価'!E5+'前提と出典'!$C$37*'契約別単価'!E6+'前提と出典'!$C$38*'契約別単価'!E7)</ns0:f>
        <ns0:v>1433793.990638683</ns0:v>
      </ns0:c>
      <ns0:c r="F745" s="16">
        <ns0:f>A745*('前提と出典'!$C$36*'契約別単価'!F5+'前提と出典'!$C$37*'契約別単価'!F6+'前提と出典'!$C$38*'契約別単価'!F7)</ns0:f>
        <ns0:v>562712.050460668</ns0:v>
      </ns0:c>
      <ns0:c r="G745" s="16">
        <ns0:f>A745*('前提と出典'!$C$36*'契約別単価'!G5+'前提と出典'!$C$37*'契約別単価'!G6+'前提と出典'!$C$38*'契約別単価'!G7)</ns0:f>
        <ns0:v>1474962.5698324023</ns0:v>
      </ns0:c>
      <ns0:c r="H745" s="16">
        <ns0:f>A745*('前提と出典'!$C$36*'契約別単価'!H5+'前提と出典'!$C$37*'契約別単価'!H6+'前提と出典'!$C$38*'契約別単価'!H7)</ns0:f>
        <ns0:v>511885.98691782926</ns0:v>
      </ns0:c>
      <ns0:c r="I745" s="16">
        <ns0:f>A745*('前提と出典'!$C$36*'契約別単価'!I5+'前提と出典'!$C$37*'契約別単価'!I6+'前提と出典'!$C$38*'契約別単価'!I7)</ns0:f>
        <ns0:v>31266.88826815642</ns0:v>
      </ns0:c>
      <ns0:c r="J745" s="16">
        <ns0:f>A745*('前提と出典'!$C$36*'契約別単価'!J5+'前提と出典'!$C$37*'契約別単価'!J6+'前提と出典'!$C$38*'契約別単価'!J7)</ns0:f>
        <ns0:v>72832.55188933421</ns0:v>
      </ns0:c>
      <ns0:c r="K745" s="16">
        <ns0:f>A745*('前提と出典'!$C$36*'契約別単価'!K5+'前提と出典'!$C$37*'契約別単価'!K6+'前提と出典'!$C$38*'契約別単価'!K7)</ns0:f>
        <ns0:v>312185.92178770946</ns0:v>
      </ns0:c>
      <ns0:c r="L745" s="16">
        <ns0:f>A745*('前提と出典'!$C$36*'契約別単価'!L5+'前提と出典'!$C$37*'契約別単価'!L6+'前提と出典'!$C$38*'契約別単価'!L7)</ns0:f>
        <ns0:v>254182.8662305943</ns0:v>
      </ns0:c>
      <ns0:c r="M745" s="16">
        <ns0:f>IF(('前提と出典'!$C$36+'前提と出典'!$C$38)=0,0,IF(B745&lt;=10,'前提と出典'!B73+'前提と出典'!C73,IF(B745&lt;=100,'前提と出典'!B74+'前提と出典'!C74,IF(B745&lt;=500,'前提と出典'!B75+'前提と出典'!C75,'前提と出典'!B76+'前提と出典'!C76))))</ns0:f>
        <ns0:v>80000</ns0:v>
      </ns0:c>
      <ns0:c r="N745" s="16">
        <ns0:f>IF(('前提と出典'!$C$37+'前提と出典'!$C$38)=0,0,IF(C745&lt;=10,'前提と出典'!D73+'前提と出典'!E73,IF(C745&lt;=100,'前提と出典'!D74+'前提と出典'!E74,IF(C745&lt;=500,'前提と出典'!D75+'前提と出典'!E75,'前提と出典'!D76+'前提と出典'!E76))))</ns0:f>
        <ns0:v>56510.9346263078</ns0:v>
      </ns0:c>
      <ns0:c r="O745" s="16">
        <ns0:f>IF('前提と出典'!$C$36+'前提と出典'!$C$38=0,0,'前提と出典'!$B$4*IF('前提と出典'!$B$20=0,MAX('前提と出典'!$B$6,D745*'前提と出典'!$B$5),'前提と出典'!$B$6+D745*'前提と出典'!$B$5))</ns0:f>
        <ns0:v>735800.5810055867</ns0:v>
      </ns0:c>
      <ns0:c r="P745" s="16">
        <ns0:f>(E745+G745)*(1-'前提と出典'!$B$7)-I745-K745-M745-O745</ns0:f>
        <ns0:v>1644787.9332326734</ns0:v>
      </ns0:c>
      <ns0:c r="Q745" s="16">
        <ns0:f>(F745+H745)*(1-'前提と出典'!$B$7)-J745-L745-N745</ns0:f>
        <ns0:v>652386.1552866352</ns0:v>
      </ns0:c>
      <ns0:c r="R745" s="16">
        <ns0:f>P745-E745*'前提と出典'!$E$4</ns0:f>
        <ns0:v>1214649.7360410686</ns0:v>
      </ns0:c>
      <ns0:c r="S745" s="16">
        <ns0:f>Q745-F745*'前提と出典'!$E$4</ns0:f>
        <ns0:v>483572.5401484348</ns0:v>
      </ns0:c>
      <ns0:c r="T745" s="7">
        <ns0:f>R745+S745</ns0:f>
        <ns0:v>1698222.2761895033</ns0:v>
      </ns0:c>
      <ns0:c r="U745" s="16">
        <ns0:f>P745-E745*'前提と出典'!$E$5</ns0:f>
        <ns0:v>1071270.3369772001</ns0:v>
      </ns0:c>
      <ns0:c r="V745" s="16">
        <ns0:f>Q745-F745*'前提と出典'!$E$5</ns0:f>
        <ns0:v>427301.3351023679</ns0:v>
      </ns0:c>
      <ns0:c r="W745" s="7">
        <ns0:f>U745+V745</ns0:f>
        <ns0:v>1498571.672079568</ns0:v>
      </ns0:c>
      <ns0:c r="X745" s="16">
        <ns0:f>P745-E745*'前提と出典'!$E$6</ns0:f>
        <ns0:v>927890.937913332</ns0:v>
      </ns0:c>
      <ns0:c r="Y745" s="16">
        <ns0:f>Q745-F745*'前提と出典'!$E$6</ns0:f>
        <ns0:v>371030.13005630113</ns0:v>
      </ns0:c>
      <ns0:c r="Z745" s="7">
        <ns0:f>X745+Y745</ns0:f>
        <ns0:v>1298921.0679696333</ns0:v>
      </ns0:c>
      <ns0:c r="AA745" s="7">
        <ns0:f>IF(T745&gt;=0,A745,1001)</ns0:f>
        <ns0:v>741</ns0:v>
      </ns0:c>
      <ns0:c r="AB745" s="7">
        <ns0:f>IF(T745&lt;0,A745,0)</ns0:f>
        <ns0:v>0</ns0:v>
      </ns0:c>
      <ns0:c r="AC745" s="16">
        <ns0:f>IF(AND(OR('前提と出典'!$C$36+'前提と出典'!$C$38=0,R745&gt;=0),OR('前提と出典'!$C$37+'前提と出典'!$C$38=0,S745&gt;=0)),0,A745)</ns0:f>
        <ns0:v>0</ns0:v>
      </ns0:c>
      <ns0:c r="AD745" s="7">
        <ns0:f>IF(W745&gt;=0,A745,1001)</ns0:f>
        <ns0:v>741</ns0:v>
      </ns0:c>
      <ns0:c r="AE745" s="7">
        <ns0:f>IF(W745&lt;0,A745,0)</ns0:f>
        <ns0:v>0</ns0:v>
      </ns0:c>
      <ns0:c r="AF745" s="16">
        <ns0:f>IF(AND(OR('前提と出典'!$C$36+'前提と出典'!$C$38=0,U745&gt;=0),OR('前提と出典'!$C$37+'前提と出典'!$C$38=0,V745&gt;=0)),0,A745)</ns0:f>
        <ns0:v>0</ns0:v>
      </ns0:c>
      <ns0:c r="AG745" s="7">
        <ns0:f>IF(Z745&gt;=0,A745,1001)</ns0:f>
        <ns0:v>741</ns0:v>
      </ns0:c>
      <ns0:c r="AH745" s="4">
        <ns0:f>IF(Z745&lt;0,A745,0)</ns0:f>
        <ns0:v>0</ns0:v>
      </ns0:c>
      <ns0:c r="AI745" s="12">
        <ns0:f>IF(AND(OR('前提と出典'!$C$36+'前提と出典'!$C$38=0,X745&gt;=0),OR('前提と出典'!$C$37+'前提と出典'!$C$38=0,Y745&gt;=0)),0,A745)</ns0:f>
        <ns0:v>0</ns0:v>
      </ns0:c>
    </ns0:row>
    <ns0:row r="746" ht="24" customHeight="1">
      <ns0:c r="A746" s="4" t="n">
        <ns0:v>742</ns0:v>
      </ns0:c>
      <ns0:c r="B746" s="12">
        <ns0:f>A746*('前提と出典'!$C$36+'前提と出典'!$C$38)</ns0:f>
        <ns0:v>519.4</ns0:v>
      </ns0:c>
      <ns0:c r="C746" s="12">
        <ns0:f>A746*('前提と出典'!$C$37+'前提と出典'!$C$38)</ns0:f>
        <ns0:v>445.2</ns0:v>
      </ns0:c>
      <ns0:c r="D746" s="16">
        <ns0:f>A746*('前提と出典'!$C$36*'契約別単価'!C5+'前提と出典'!$C$37*'契約別単価'!C6+'前提と出典'!$C$38*'契約別単価'!C7)</ns0:f>
        <ns0:v>5339.083798882682</ns0:v>
      </ns0:c>
      <ns0:c r="E746" s="16">
        <ns0:f>A746*('前提と出典'!$C$36*'契約別単価'!E5+'前提と出典'!$C$37*'契約別単価'!E6+'前提と出典'!$C$38*'契約別単価'!E7)</ns0:f>
        <ns0:v>1435728.9352954156</ns0:v>
      </ns0:c>
      <ns0:c r="F746" s="16">
        <ns0:f>A746*('前提と出典'!$C$36*'契約別単価'!F5+'前提と出典'!$C$37*'契約別単価'!F6+'前提と出典'!$C$38*'契約別単価'!F7)</ns0:f>
        <ns0:v>563471.4459403721</ns0:v>
      </ns0:c>
      <ns0:c r="G746" s="16">
        <ns0:f>A746*('前提と出典'!$C$36*'契約別単価'!G5+'前提と出典'!$C$37*'契約別単価'!G6+'前提と出典'!$C$38*'契約別単価'!G7)</ns0:f>
        <ns0:v>1476953.0726256983</ns0:v>
      </ns0:c>
      <ns0:c r="H746" s="16">
        <ns0:f>A746*('前提と出典'!$C$36*'契約別単価'!H5+'前提と出典'!$C$37*'契約別単価'!H6+'前提と出典'!$C$38*'契約別単価'!H7)</ns0:f>
        <ns0:v>512576.79121866304</ns0:v>
      </ns0:c>
      <ns0:c r="I746" s="16">
        <ns0:f>A746*('前提と出典'!$C$36*'契約別単価'!I5+'前提と出典'!$C$37*'契約別単価'!I6+'前提と出典'!$C$38*'契約別単価'!I7)</ns0:f>
        <ns0:v>31309.083798882675</ns0:v>
      </ns0:c>
      <ns0:c r="J746" s="16">
        <ns0:f>A746*('前提と出典'!$C$36*'契約別単価'!J5+'前提と出典'!$C$37*'契約別単価'!J6+'前提と出典'!$C$38*'契約別単価'!J7)</ns0:f>
        <ns0:v>72930.84143304451</ns0:v>
      </ns0:c>
      <ns0:c r="K746" s="16">
        <ns0:f>A746*('前提と出典'!$C$36*'契約別単価'!K5+'前提と出典'!$C$37*'契約別単価'!K6+'前提と出典'!$C$38*'契約別単価'!K7)</ns0:f>
        <ns0:v>312607.22532588453</ns0:v>
      </ns0:c>
      <ns0:c r="L746" s="16">
        <ns0:f>A746*('前提と出典'!$C$36*'契約別単価'!L5+'前提と出典'!$C$37*'契約別単価'!L6+'前提と出典'!$C$38*'契約別単価'!L7)</ns0:f>
        <ns0:v>254525.8930406221</ns0:v>
      </ns0:c>
      <ns0:c r="M746" s="16">
        <ns0:f>IF(('前提と出典'!$C$36+'前提と出典'!$C$38)=0,0,IF(B746&lt;=10,'前提と出典'!B73+'前提と出典'!C73,IF(B746&lt;=100,'前提と出典'!B74+'前提と出典'!C74,IF(B746&lt;=500,'前提と出典'!B75+'前提と出典'!C75,'前提と出典'!B76+'前提と出典'!C76))))</ns0:f>
        <ns0:v>80000</ns0:v>
      </ns0:c>
      <ns0:c r="N746" s="16">
        <ns0:f>IF(('前提と出典'!$C$37+'前提と出典'!$C$38)=0,0,IF(C746&lt;=10,'前提と出典'!D73+'前提と出典'!E73,IF(C746&lt;=100,'前提と出典'!D74+'前提と出典'!E74,IF(C746&lt;=500,'前提と出典'!D75+'前提と出典'!E75,'前提と出典'!D76+'前提と出典'!E76))))</ns0:f>
        <ns0:v>56510.9346263078</ns0:v>
      </ns0:c>
      <ns0:c r="O746" s="16">
        <ns0:f>IF('前提と出典'!$C$36+'前提と出典'!$C$38=0,0,'前提と出典'!$B$4*IF('前提と出典'!$B$20=0,MAX('前提と出典'!$B$6,D746*'前提と出典'!$B$5),'前提と出典'!$B$6+D746*'前提と出典'!$B$5))</ns0:f>
        <ns0:v>736793.5642458102</ns0:v>
      </ns0:c>
      <ns0:c r="P746" s="16">
        <ns0:f>(E746+G746)*(1-'前提と出典'!$B$7)-I746-K746-M746-O746</ns0:f>
        <ns0:v>1647115.5822653766</ns0:v>
      </ns0:c>
      <ns0:c r="Q746" s="16">
        <ns0:f>(F746+H746)*(1-'前提と出典'!$B$7)-J746-L746-N746</ns0:f>
        <ns0:v>653342.8315213354</ns0:v>
      </ns0:c>
      <ns0:c r="R746" s="16">
        <ns0:f>P746-E746*'前提と出典'!$E$4</ns0:f>
        <ns0:v>1216396.9016767521</ns0:v>
      </ns0:c>
      <ns0:c r="S746" s="16">
        <ns0:f>Q746-F746*'前提と出典'!$E$4</ns0:f>
        <ns0:v>484301.3977392238</ns0:v>
      </ns0:c>
      <ns0:c r="T746" s="7">
        <ns0:f>R746+S746</ns0:f>
        <ns0:v>1700698.2994159758</ns0:v>
      </ns0:c>
      <ns0:c r="U746" s="16">
        <ns0:f>P746-E746*'前提と出典'!$E$5</ns0:f>
        <ns0:v>1072824.0081472103</ns0:v>
      </ns0:c>
      <ns0:c r="V746" s="16">
        <ns0:f>Q746-F746*'前提と出典'!$E$5</ns0:f>
        <ns0:v>427954.2531451866</ns0:v>
      </ns0:c>
      <ns0:c r="W746" s="7">
        <ns0:f>U746+V746</ns0:f>
        <ns0:v>1500778.261292397</ns0:v>
      </ns0:c>
      <ns0:c r="X746" s="16">
        <ns0:f>P746-E746*'前提と出典'!$E$6</ns0:f>
        <ns0:v>929251.114617668</ns0:v>
      </ns0:c>
      <ns0:c r="Y746" s="16">
        <ns0:f>Q746-F746*'前提と出典'!$E$6</ns0:f>
        <ns0:v>371607.1085511494</ns0:v>
      </ns0:c>
      <ns0:c r="Z746" s="7">
        <ns0:f>X746+Y746</ns0:f>
        <ns0:v>1300858.2231688173</ns0:v>
      </ns0:c>
      <ns0:c r="AA746" s="7">
        <ns0:f>IF(T746&gt;=0,A746,1001)</ns0:f>
        <ns0:v>742</ns0:v>
      </ns0:c>
      <ns0:c r="AB746" s="7">
        <ns0:f>IF(T746&lt;0,A746,0)</ns0:f>
        <ns0:v>0</ns0:v>
      </ns0:c>
      <ns0:c r="AC746" s="16">
        <ns0:f>IF(AND(OR('前提と出典'!$C$36+'前提と出典'!$C$38=0,R746&gt;=0),OR('前提と出典'!$C$37+'前提と出典'!$C$38=0,S746&gt;=0)),0,A746)</ns0:f>
        <ns0:v>0</ns0:v>
      </ns0:c>
      <ns0:c r="AD746" s="7">
        <ns0:f>IF(W746&gt;=0,A746,1001)</ns0:f>
        <ns0:v>742</ns0:v>
      </ns0:c>
      <ns0:c r="AE746" s="7">
        <ns0:f>IF(W746&lt;0,A746,0)</ns0:f>
        <ns0:v>0</ns0:v>
      </ns0:c>
      <ns0:c r="AF746" s="16">
        <ns0:f>IF(AND(OR('前提と出典'!$C$36+'前提と出典'!$C$38=0,U746&gt;=0),OR('前提と出典'!$C$37+'前提と出典'!$C$38=0,V746&gt;=0)),0,A746)</ns0:f>
        <ns0:v>0</ns0:v>
      </ns0:c>
      <ns0:c r="AG746" s="7">
        <ns0:f>IF(Z746&gt;=0,A746,1001)</ns0:f>
        <ns0:v>742</ns0:v>
      </ns0:c>
      <ns0:c r="AH746" s="4">
        <ns0:f>IF(Z746&lt;0,A746,0)</ns0:f>
        <ns0:v>0</ns0:v>
      </ns0:c>
      <ns0:c r="AI746" s="12">
        <ns0:f>IF(AND(OR('前提と出典'!$C$36+'前提と出典'!$C$38=0,X746&gt;=0),OR('前提と出典'!$C$37+'前提と出典'!$C$38=0,Y746&gt;=0)),0,A746)</ns0:f>
        <ns0:v>0</ns0:v>
      </ns0:c>
    </ns0:row>
    <ns0:row r="747" ht="24" customHeight="1">
      <ns0:c r="A747" s="4" t="n">
        <ns0:v>743</ns0:v>
      </ns0:c>
      <ns0:c r="B747" s="12">
        <ns0:f>A747*('前提と出典'!$C$36+'前提と出典'!$C$38)</ns0:f>
        <ns0:v>520.1</ns0:v>
      </ns0:c>
      <ns0:c r="C747" s="12">
        <ns0:f>A747*('前提と出典'!$C$37+'前提と出典'!$C$38)</ns0:f>
        <ns0:v>445.8</ns0:v>
      </ns0:c>
      <ns0:c r="D747" s="16">
        <ns0:f>A747*('前提と出典'!$C$36*'契約別単価'!C5+'前提と出典'!$C$37*'契約別単価'!C6+'前提と出典'!$C$38*'契約別単価'!C7)</ns0:f>
        <ns0:v>5346.2793296089385</ns0:v>
      </ns0:c>
      <ns0:c r="E747" s="16">
        <ns0:f>A747*('前提と出典'!$C$36*'契約別単価'!E5+'前提と出典'!$C$37*'契約別単価'!E6+'前提と出典'!$C$38*'契約別単価'!E7)</ns0:f>
        <ns0:v>1437663.8799521478</ns0:v>
      </ns0:c>
      <ns0:c r="F747" s="16">
        <ns0:f>A747*('前提と出典'!$C$36*'契約別単価'!F5+'前提と出典'!$C$37*'契約別単価'!F6+'前提と出典'!$C$38*'契約別単価'!F7)</ns0:f>
        <ns0:v>564230.8414200761</ns0:v>
      </ns0:c>
      <ns0:c r="G747" s="16">
        <ns0:f>A747*('前提と出典'!$C$36*'契約別単価'!G5+'前提と出典'!$C$37*'契約別単価'!G6+'前提と出典'!$C$38*'契約別単価'!G7)</ns0:f>
        <ns0:v>1478943.5754189943</ns0:v>
      </ns0:c>
      <ns0:c r="H747" s="16">
        <ns0:f>A747*('前提と出典'!$C$36*'契約別単価'!H5+'前提と出典'!$C$37*'契約別単価'!H6+'前提と出典'!$C$38*'契約別単価'!H7)</ns0:f>
        <ns0:v>513267.5955194968</ns0:v>
      </ns0:c>
      <ns0:c r="I747" s="16">
        <ns0:f>A747*('前提と出典'!$C$36*'契約別単価'!I5+'前提と出典'!$C$37*'契約別単価'!I6+'前提と出典'!$C$38*'契約別単価'!I7)</ns0:f>
        <ns0:v>31351.279329608933</ns0:v>
      </ns0:c>
      <ns0:c r="J747" s="16">
        <ns0:f>A747*('前提と出典'!$C$36*'契約別単価'!J5+'前提と出典'!$C$37*'契約別単価'!J6+'前提と出典'!$C$38*'契約別単価'!J7)</ns0:f>
        <ns0:v>73029.13097675481</ns0:v>
      </ns0:c>
      <ns0:c r="K747" s="16">
        <ns0:f>A747*('前提と出典'!$C$36*'契約別単価'!K5+'前提と出典'!$C$37*'契約別単価'!K6+'前提と出典'!$C$38*'契約別単価'!K7)</ns0:f>
        <ns0:v>313028.5288640596</ns0:v>
      </ns0:c>
      <ns0:c r="L747" s="16">
        <ns0:f>A747*('前提と出典'!$C$36*'契約別単価'!L5+'前提と出典'!$C$37*'契約別単価'!L6+'前提と出典'!$C$38*'契約別単価'!L7)</ns0:f>
        <ns0:v>254868.9198506499</ns0:v>
      </ns0:c>
      <ns0:c r="M747" s="16">
        <ns0:f>IF(('前提と出典'!$C$36+'前提と出典'!$C$38)=0,0,IF(B747&lt;=10,'前提と出典'!B73+'前提と出典'!C73,IF(B747&lt;=100,'前提と出典'!B74+'前提と出典'!C74,IF(B747&lt;=500,'前提と出典'!B75+'前提と出典'!C75,'前提と出典'!B76+'前提と出典'!C76))))</ns0:f>
        <ns0:v>80000</ns0:v>
      </ns0:c>
      <ns0:c r="N747" s="16">
        <ns0:f>IF(('前提と出典'!$C$37+'前提と出典'!$C$38)=0,0,IF(C747&lt;=10,'前提と出典'!D73+'前提と出典'!E73,IF(C747&lt;=100,'前提と出典'!D74+'前提と出典'!E74,IF(C747&lt;=500,'前提と出典'!D75+'前提と出典'!E75,'前提と出典'!D76+'前提と出典'!E76))))</ns0:f>
        <ns0:v>56510.9346263078</ns0:v>
      </ns0:c>
      <ns0:c r="O747" s="16">
        <ns0:f>IF('前提と出典'!$C$36+'前提と出典'!$C$38=0,0,'前提と出典'!$B$4*IF('前提と出典'!$B$20=0,MAX('前提と出典'!$B$6,D747*'前提と出典'!$B$5),'前提と出典'!$B$6+D747*'前提と出典'!$B$5))</ns0:f>
        <ns0:v>737786.5474860335</ns0:v>
      </ns0:c>
      <ns0:c r="P747" s="16">
        <ns0:f>(E747+G747)*(1-'前提と出典'!$B$7)-I747-K747-M747-O747</ns0:f>
        <ns0:v>1649443.231298079</ns0:v>
      </ns0:c>
      <ns0:c r="Q747" s="16">
        <ns0:f>(F747+H747)*(1-'前提と出典'!$B$7)-J747-L747-N747</ns0:f>
        <ns0:v>654299.5077560358</ns0:v>
      </ns0:c>
      <ns0:c r="R747" s="16">
        <ns0:f>P747-E747*'前提と出典'!$E$4</ns0:f>
        <ns0:v>1218144.0673124345</ns0:v>
      </ns0:c>
      <ns0:c r="S747" s="16">
        <ns0:f>Q747-F747*'前提と出典'!$E$4</ns0:f>
        <ns0:v>485030.255330013</ns0:v>
      </ns0:c>
      <ns0:c r="T747" s="7">
        <ns0:f>R747+S747</ns0:f>
        <ns0:v>1703174.3226424474</ns0:v>
      </ns0:c>
      <ns0:c r="U747" s="16">
        <ns0:f>P747-E747*'前提と出典'!$E$5</ns0:f>
        <ns0:v>1074377.6793172199</ns0:v>
      </ns0:c>
      <ns0:c r="V747" s="16">
        <ns0:f>Q747-F747*'前提と出典'!$E$5</ns0:f>
        <ns0:v>428607.17118800536</ns0:v>
      </ns0:c>
      <ns0:c r="W747" s="7">
        <ns0:f>U747+V747</ns0:f>
        <ns0:v>1502984.8505052254</ns0:v>
      </ns0:c>
      <ns0:c r="X747" s="16">
        <ns0:f>P747-E747*'前提と出典'!$E$6</ns0:f>
        <ns0:v>930611.2913220054</ns0:v>
      </ns0:c>
      <ns0:c r="Y747" s="16">
        <ns0:f>Q747-F747*'前提と出典'!$E$6</ns0:f>
        <ns0:v>372184.08704599773</ns0:v>
      </ns0:c>
      <ns0:c r="Z747" s="7">
        <ns0:f>X747+Y747</ns0:f>
        <ns0:v>1302795.3783680033</ns0:v>
      </ns0:c>
      <ns0:c r="AA747" s="7">
        <ns0:f>IF(T747&gt;=0,A747,1001)</ns0:f>
        <ns0:v>743</ns0:v>
      </ns0:c>
      <ns0:c r="AB747" s="7">
        <ns0:f>IF(T747&lt;0,A747,0)</ns0:f>
        <ns0:v>0</ns0:v>
      </ns0:c>
      <ns0:c r="AC747" s="16">
        <ns0:f>IF(AND(OR('前提と出典'!$C$36+'前提と出典'!$C$38=0,R747&gt;=0),OR('前提と出典'!$C$37+'前提と出典'!$C$38=0,S747&gt;=0)),0,A747)</ns0:f>
        <ns0:v>0</ns0:v>
      </ns0:c>
      <ns0:c r="AD747" s="7">
        <ns0:f>IF(W747&gt;=0,A747,1001)</ns0:f>
        <ns0:v>743</ns0:v>
      </ns0:c>
      <ns0:c r="AE747" s="7">
        <ns0:f>IF(W747&lt;0,A747,0)</ns0:f>
        <ns0:v>0</ns0:v>
      </ns0:c>
      <ns0:c r="AF747" s="16">
        <ns0:f>IF(AND(OR('前提と出典'!$C$36+'前提と出典'!$C$38=0,U747&gt;=0),OR('前提と出典'!$C$37+'前提と出典'!$C$38=0,V747&gt;=0)),0,A747)</ns0:f>
        <ns0:v>0</ns0:v>
      </ns0:c>
      <ns0:c r="AG747" s="7">
        <ns0:f>IF(Z747&gt;=0,A747,1001)</ns0:f>
        <ns0:v>743</ns0:v>
      </ns0:c>
      <ns0:c r="AH747" s="4">
        <ns0:f>IF(Z747&lt;0,A747,0)</ns0:f>
        <ns0:v>0</ns0:v>
      </ns0:c>
      <ns0:c r="AI747" s="12">
        <ns0:f>IF(AND(OR('前提と出典'!$C$36+'前提と出典'!$C$38=0,X747&gt;=0),OR('前提と出典'!$C$37+'前提と出典'!$C$38=0,Y747&gt;=0)),0,A747)</ns0:f>
        <ns0:v>0</ns0:v>
      </ns0:c>
    </ns0:row>
    <ns0:row r="748" ht="24" customHeight="1">
      <ns0:c r="A748" s="4" t="n">
        <ns0:v>744</ns0:v>
      </ns0:c>
      <ns0:c r="B748" s="12">
        <ns0:f>A748*('前提と出典'!$C$36+'前提と出典'!$C$38)</ns0:f>
        <ns0:v>520.8</ns0:v>
      </ns0:c>
      <ns0:c r="C748" s="12">
        <ns0:f>A748*('前提と出典'!$C$37+'前提と出典'!$C$38)</ns0:f>
        <ns0:v>446.4</ns0:v>
      </ns0:c>
      <ns0:c r="D748" s="16">
        <ns0:f>A748*('前提と出典'!$C$36*'契約別単価'!C5+'前提と出典'!$C$37*'契約別単価'!C6+'前提と出典'!$C$38*'契約別単価'!C7)</ns0:f>
        <ns0:v>5353.474860335195</ns0:v>
      </ns0:c>
      <ns0:c r="E748" s="16">
        <ns0:f>A748*('前提と出典'!$C$36*'契約別単価'!E5+'前提と出典'!$C$37*'契約別単価'!E6+'前提と出典'!$C$38*'契約別単価'!E7)</ns0:f>
        <ns0:v>1439598.8246088803</ns0:v>
      </ns0:c>
      <ns0:c r="F748" s="16">
        <ns0:f>A748*('前提と出典'!$C$36*'契約別単価'!F5+'前提と出典'!$C$37*'契約別単価'!F6+'前提と出典'!$C$38*'契約別単価'!F7)</ns0:f>
        <ns0:v>564990.2368997801</ns0:v>
      </ns0:c>
      <ns0:c r="G748" s="16">
        <ns0:f>A748*('前提と出典'!$C$36*'契約別単価'!G5+'前提と出典'!$C$37*'契約別単価'!G6+'前提と出典'!$C$38*'契約別単価'!G7)</ns0:f>
        <ns0:v>1480934.0782122905</ns0:v>
      </ns0:c>
      <ns0:c r="H748" s="16">
        <ns0:f>A748*('前提と出典'!$C$36*'契約別単価'!H5+'前提と出典'!$C$37*'契約別単価'!H6+'前提と出典'!$C$38*'契約別単価'!H7)</ns0:f>
        <ns0:v>513958.3998203306</ns0:v>
      </ns0:c>
      <ns0:c r="I748" s="16">
        <ns0:f>A748*('前提と出典'!$C$36*'契約別単価'!I5+'前提と出典'!$C$37*'契約別単価'!I6+'前提と出典'!$C$38*'契約別単価'!I7)</ns0:f>
        <ns0:v>31393.47486033519</ns0:v>
      </ns0:c>
      <ns0:c r="J748" s="16">
        <ns0:f>A748*('前提と出典'!$C$36*'契約別単価'!J5+'前提と出典'!$C$37*'契約別単価'!J6+'前提と出典'!$C$38*'契約別単価'!J7)</ns0:f>
        <ns0:v>73127.42052046511</ns0:v>
      </ns0:c>
      <ns0:c r="K748" s="16">
        <ns0:f>A748*('前提と出典'!$C$36*'契約別単価'!K5+'前提と出典'!$C$37*'契約別単価'!K6+'前提と出典'!$C$38*'契約別単価'!K7)</ns0:f>
        <ns0:v>313449.8324022346</ns0:v>
      </ns0:c>
      <ns0:c r="L748" s="16">
        <ns0:f>A748*('前提と出典'!$C$36*'契約別単価'!L5+'前提と出典'!$C$37*'契約別単価'!L6+'前提と出典'!$C$38*'契約別単価'!L7)</ns0:f>
        <ns0:v>255211.94666067767</ns0:v>
      </ns0:c>
      <ns0:c r="M748" s="16">
        <ns0:f>IF(('前提と出典'!$C$36+'前提と出典'!$C$38)=0,0,IF(B748&lt;=10,'前提と出典'!B73+'前提と出典'!C73,IF(B748&lt;=100,'前提と出典'!B74+'前提と出典'!C74,IF(B748&lt;=500,'前提と出典'!B75+'前提と出典'!C75,'前提と出典'!B76+'前提と出典'!C76))))</ns0:f>
        <ns0:v>80000</ns0:v>
      </ns0:c>
      <ns0:c r="N748" s="16">
        <ns0:f>IF(('前提と出典'!$C$37+'前提と出典'!$C$38)=0,0,IF(C748&lt;=10,'前提と出典'!D73+'前提と出典'!E73,IF(C748&lt;=100,'前提と出典'!D74+'前提と出典'!E74,IF(C748&lt;=500,'前提と出典'!D75+'前提と出典'!E75,'前提と出典'!D76+'前提と出典'!E76))))</ns0:f>
        <ns0:v>56510.9346263078</ns0:v>
      </ns0:c>
      <ns0:c r="O748" s="16">
        <ns0:f>IF('前提と出典'!$C$36+'前提と出典'!$C$38=0,0,'前提と出典'!$B$4*IF('前提と出典'!$B$20=0,MAX('前提と出典'!$B$6,D748*'前提と出典'!$B$5),'前提と出典'!$B$6+D748*'前提と出典'!$B$5))</ns0:f>
        <ns0:v>738779.530726257</ns0:v>
      </ns0:c>
      <ns0:c r="P748" s="16">
        <ns0:f>(E748+G748)*(1-'前提と出典'!$B$7)-I748-K748-M748-O748</ns0:f>
        <ns0:v>1651770.880330782</ns0:v>
      </ns0:c>
      <ns0:c r="Q748" s="16">
        <ns0:f>(F748+H748)*(1-'前提と出典'!$B$7)-J748-L748-N748</ns0:f>
        <ns0:v>655256.183990736</ns0:v>
      </ns0:c>
      <ns0:c r="R748" s="16">
        <ns0:f>P748-E748*'前提と出典'!$E$4</ns0:f>
        <ns0:v>1219891.232948118</ns0:v>
      </ns0:c>
      <ns0:c r="S748" s="16">
        <ns0:f>Q748-F748*'前提と出典'!$E$4</ns0:f>
        <ns0:v>485759.1129208021</ns0:v>
      </ns0:c>
      <ns0:c r="T748" s="7">
        <ns0:f>R748+S748</ns0:f>
        <ns0:v>1705650.34586892</ns0:v>
      </ns0:c>
      <ns0:c r="U748" s="16">
        <ns0:f>P748-E748*'前提と出典'!$E$5</ns0:f>
        <ns0:v>1075931.3504872299</ns0:v>
      </ns0:c>
      <ns0:c r="V748" s="16">
        <ns0:f>Q748-F748*'前提と出典'!$E$5</ns0:f>
        <ns0:v>429260.089230824</ns0:v>
      </ns0:c>
      <ns0:c r="W748" s="7">
        <ns0:f>U748+V748</ns0:f>
        <ns0:v>1505191.439718054</ns0:v>
      </ns0:c>
      <ns0:c r="X748" s="16">
        <ns0:f>P748-E748*'前提と出典'!$E$6</ns0:f>
        <ns0:v>931971.4680263419</ns0:v>
      </ns0:c>
      <ns0:c r="Y748" s="16">
        <ns0:f>Q748-F748*'前提と出典'!$E$6</ns0:f>
        <ns0:v>372761.065540846</ns0:v>
      </ns0:c>
      <ns0:c r="Z748" s="7">
        <ns0:f>X748+Y748</ns0:f>
        <ns0:v>1304732.5335671878</ns0:v>
      </ns0:c>
      <ns0:c r="AA748" s="7">
        <ns0:f>IF(T748&gt;=0,A748,1001)</ns0:f>
        <ns0:v>744</ns0:v>
      </ns0:c>
      <ns0:c r="AB748" s="7">
        <ns0:f>IF(T748&lt;0,A748,0)</ns0:f>
        <ns0:v>0</ns0:v>
      </ns0:c>
      <ns0:c r="AC748" s="16">
        <ns0:f>IF(AND(OR('前提と出典'!$C$36+'前提と出典'!$C$38=0,R748&gt;=0),OR('前提と出典'!$C$37+'前提と出典'!$C$38=0,S748&gt;=0)),0,A748)</ns0:f>
        <ns0:v>0</ns0:v>
      </ns0:c>
      <ns0:c r="AD748" s="7">
        <ns0:f>IF(W748&gt;=0,A748,1001)</ns0:f>
        <ns0:v>744</ns0:v>
      </ns0:c>
      <ns0:c r="AE748" s="7">
        <ns0:f>IF(W748&lt;0,A748,0)</ns0:f>
        <ns0:v>0</ns0:v>
      </ns0:c>
      <ns0:c r="AF748" s="16">
        <ns0:f>IF(AND(OR('前提と出典'!$C$36+'前提と出典'!$C$38=0,U748&gt;=0),OR('前提と出典'!$C$37+'前提と出典'!$C$38=0,V748&gt;=0)),0,A748)</ns0:f>
        <ns0:v>0</ns0:v>
      </ns0:c>
      <ns0:c r="AG748" s="7">
        <ns0:f>IF(Z748&gt;=0,A748,1001)</ns0:f>
        <ns0:v>744</ns0:v>
      </ns0:c>
      <ns0:c r="AH748" s="4">
        <ns0:f>IF(Z748&lt;0,A748,0)</ns0:f>
        <ns0:v>0</ns0:v>
      </ns0:c>
      <ns0:c r="AI748" s="12">
        <ns0:f>IF(AND(OR('前提と出典'!$C$36+'前提と出典'!$C$38=0,X748&gt;=0),OR('前提と出典'!$C$37+'前提と出典'!$C$38=0,Y748&gt;=0)),0,A748)</ns0:f>
        <ns0:v>0</ns0:v>
      </ns0:c>
    </ns0:row>
    <ns0:row r="749" ht="24" customHeight="1">
      <ns0:c r="A749" s="4" t="n">
        <ns0:v>745</ns0:v>
      </ns0:c>
      <ns0:c r="B749" s="12">
        <ns0:f>A749*('前提と出典'!$C$36+'前提と出典'!$C$38)</ns0:f>
        <ns0:v>521.5</ns0:v>
      </ns0:c>
      <ns0:c r="C749" s="12">
        <ns0:f>A749*('前提と出典'!$C$37+'前提と出典'!$C$38)</ns0:f>
        <ns0:v>447</ns0:v>
      </ns0:c>
      <ns0:c r="D749" s="16">
        <ns0:f>A749*('前提と出典'!$C$36*'契約別単価'!C5+'前提と出典'!$C$37*'契約別単価'!C6+'前提と出典'!$C$38*'契約別単価'!C7)</ns0:f>
        <ns0:v>5360.670391061452</ns0:v>
      </ns0:c>
      <ns0:c r="E749" s="16">
        <ns0:f>A749*('前提と出典'!$C$36*'契約別単価'!E5+'前提と出典'!$C$37*'契約別単価'!E6+'前提と出典'!$C$38*'契約別単価'!E7)</ns0:f>
        <ns0:v>1441533.7692656126</ns0:v>
      </ns0:c>
      <ns0:c r="F749" s="16">
        <ns0:f>A749*('前提と出典'!$C$36*'契約別単価'!F5+'前提と出典'!$C$37*'契約別単価'!F6+'前提と出典'!$C$38*'契約別単価'!F7)</ns0:f>
        <ns0:v>565749.6323794841</ns0:v>
      </ns0:c>
      <ns0:c r="G749" s="16">
        <ns0:f>A749*('前提と出典'!$C$36*'契約別単価'!G5+'前提と出典'!$C$37*'契約別単価'!G6+'前提と出典'!$C$38*'契約別単価'!G7)</ns0:f>
        <ns0:v>1482924.5810055865</ns0:v>
      </ns0:c>
      <ns0:c r="H749" s="16">
        <ns0:f>A749*('前提と出典'!$C$36*'契約別単価'!H5+'前提と出典'!$C$37*'契約別単価'!H6+'前提と出典'!$C$38*'契約別単価'!H7)</ns0:f>
        <ns0:v>514649.2041211644</ns0:v>
      </ns0:c>
      <ns0:c r="I749" s="16">
        <ns0:f>A749*('前提と出典'!$C$36*'契約別単価'!I5+'前提と出典'!$C$37*'契約別単価'!I6+'前提と出典'!$C$38*'契約別単価'!I7)</ns0:f>
        <ns0:v>31435.67039106145</ns0:v>
      </ns0:c>
      <ns0:c r="J749" s="16">
        <ns0:f>A749*('前提と出典'!$C$36*'契約別単価'!J5+'前提と出典'!$C$37*'契約別単価'!J6+'前提と出典'!$C$38*'契約別単価'!J7)</ns0:f>
        <ns0:v>73225.71006417541</ns0:v>
      </ns0:c>
      <ns0:c r="K749" s="16">
        <ns0:f>A749*('前提と出典'!$C$36*'契約別単価'!K5+'前提と出典'!$C$37*'契約別単価'!K6+'前提と出典'!$C$38*'契約別単価'!K7)</ns0:f>
        <ns0:v>313871.1359404097</ns0:v>
      </ns0:c>
      <ns0:c r="L749" s="16">
        <ns0:f>A749*('前提と出典'!$C$36*'契約別単価'!L5+'前提と出典'!$C$37*'契約別単価'!L6+'前提と出典'!$C$38*'契約別単価'!L7)</ns0:f>
        <ns0:v>255554.97347070547</ns0:v>
      </ns0:c>
      <ns0:c r="M749" s="16">
        <ns0:f>IF(('前提と出典'!$C$36+'前提と出典'!$C$38)=0,0,IF(B749&lt;=10,'前提と出典'!B73+'前提と出典'!C73,IF(B749&lt;=100,'前提と出典'!B74+'前提と出典'!C74,IF(B749&lt;=500,'前提と出典'!B75+'前提と出典'!C75,'前提と出典'!B76+'前提と出典'!C76))))</ns0:f>
        <ns0:v>80000</ns0:v>
      </ns0:c>
      <ns0:c r="N749" s="16">
        <ns0:f>IF(('前提と出典'!$C$37+'前提と出典'!$C$38)=0,0,IF(C749&lt;=10,'前提と出典'!D73+'前提と出典'!E73,IF(C749&lt;=100,'前提と出典'!D74+'前提と出典'!E74,IF(C749&lt;=500,'前提と出典'!D75+'前提と出典'!E75,'前提と出典'!D76+'前提と出典'!E76))))</ns0:f>
        <ns0:v>56510.9346263078</ns0:v>
      </ns0:c>
      <ns0:c r="O749" s="16">
        <ns0:f>IF('前提と出典'!$C$36+'前提と出典'!$C$38=0,0,'前提と出典'!$B$4*IF('前提と出典'!$B$20=0,MAX('前提と出典'!$B$6,D749*'前提と出典'!$B$5),'前提と出典'!$B$6+D749*'前提と出典'!$B$5))</ns0:f>
        <ns0:v>739772.5139664805</ns0:v>
      </ns0:c>
      <ns0:c r="P749" s="16">
        <ns0:f>(E749+G749)*(1-'前提と出典'!$B$7)-I749-K749-M749-O749</ns0:f>
        <ns0:v>1654098.5293634846</ns0:v>
      </ns0:c>
      <ns0:c r="Q749" s="16">
        <ns0:f>(F749+H749)*(1-'前提と出典'!$B$7)-J749-L749-N749</ns0:f>
        <ns0:v>656212.8602254364</ns0:v>
      </ns0:c>
      <ns0:c r="R749" s="16">
        <ns0:f>P749-E749*'前提と出典'!$E$4</ns0:f>
        <ns0:v>1221638.3985838008</ns0:v>
      </ns0:c>
      <ns0:c r="S749" s="16">
        <ns0:f>Q749-F749*'前提と出典'!$E$4</ns0:f>
        <ns0:v>486487.9705115912</ns0:v>
      </ns0:c>
      <ns0:c r="T749" s="7">
        <ns0:f>R749+S749</ns0:f>
        <ns0:v>1708126.369095392</ns0:v>
      </ns0:c>
      <ns0:c r="U749" s="16">
        <ns0:f>P749-E749*'前提と出典'!$E$5</ns0:f>
        <ns0:v>1077485.0216572394</ns0:v>
      </ns0:c>
      <ns0:c r="V749" s="16">
        <ns0:f>Q749-F749*'前提と出典'!$E$5</ns0:f>
        <ns0:v>429913.0072736427</ns0:v>
      </ns0:c>
      <ns0:c r="W749" s="7">
        <ns0:f>U749+V749</ns0:f>
        <ns0:v>1507398.028930882</ns0:v>
      </ns0:c>
      <ns0:c r="X749" s="16">
        <ns0:f>P749-E749*'前提と出典'!$E$6</ns0:f>
        <ns0:v>933331.6447306781</ns0:v>
      </ns0:c>
      <ns0:c r="Y749" s="16">
        <ns0:f>Q749-F749*'前提と出典'!$E$6</ns0:f>
        <ns0:v>373338.0440356943</ns0:v>
      </ns0:c>
      <ns0:c r="Z749" s="7">
        <ns0:f>X749+Y749</ns0:f>
        <ns0:v>1306669.6887663724</ns0:v>
      </ns0:c>
      <ns0:c r="AA749" s="7">
        <ns0:f>IF(T749&gt;=0,A749,1001)</ns0:f>
        <ns0:v>745</ns0:v>
      </ns0:c>
      <ns0:c r="AB749" s="7">
        <ns0:f>IF(T749&lt;0,A749,0)</ns0:f>
        <ns0:v>0</ns0:v>
      </ns0:c>
      <ns0:c r="AC749" s="16">
        <ns0:f>IF(AND(OR('前提と出典'!$C$36+'前提と出典'!$C$38=0,R749&gt;=0),OR('前提と出典'!$C$37+'前提と出典'!$C$38=0,S749&gt;=0)),0,A749)</ns0:f>
        <ns0:v>0</ns0:v>
      </ns0:c>
      <ns0:c r="AD749" s="7">
        <ns0:f>IF(W749&gt;=0,A749,1001)</ns0:f>
        <ns0:v>745</ns0:v>
      </ns0:c>
      <ns0:c r="AE749" s="7">
        <ns0:f>IF(W749&lt;0,A749,0)</ns0:f>
        <ns0:v>0</ns0:v>
      </ns0:c>
      <ns0:c r="AF749" s="16">
        <ns0:f>IF(AND(OR('前提と出典'!$C$36+'前提と出典'!$C$38=0,U749&gt;=0),OR('前提と出典'!$C$37+'前提と出典'!$C$38=0,V749&gt;=0)),0,A749)</ns0:f>
        <ns0:v>0</ns0:v>
      </ns0:c>
      <ns0:c r="AG749" s="7">
        <ns0:f>IF(Z749&gt;=0,A749,1001)</ns0:f>
        <ns0:v>745</ns0:v>
      </ns0:c>
      <ns0:c r="AH749" s="4">
        <ns0:f>IF(Z749&lt;0,A749,0)</ns0:f>
        <ns0:v>0</ns0:v>
      </ns0:c>
      <ns0:c r="AI749" s="12">
        <ns0:f>IF(AND(OR('前提と出典'!$C$36+'前提と出典'!$C$38=0,X749&gt;=0),OR('前提と出典'!$C$37+'前提と出典'!$C$38=0,Y749&gt;=0)),0,A749)</ns0:f>
        <ns0:v>0</ns0:v>
      </ns0:c>
    </ns0:row>
    <ns0:row r="750" ht="24" customHeight="1">
      <ns0:c r="A750" s="4" t="n">
        <ns0:v>746</ns0:v>
      </ns0:c>
      <ns0:c r="B750" s="12">
        <ns0:f>A750*('前提と出典'!$C$36+'前提と出典'!$C$38)</ns0:f>
        <ns0:v>522.1999999999999</ns0:v>
      </ns0:c>
      <ns0:c r="C750" s="12">
        <ns0:f>A750*('前提と出典'!$C$37+'前提と出典'!$C$38)</ns0:f>
        <ns0:v>447.59999999999997</ns0:v>
      </ns0:c>
      <ns0:c r="D750" s="16">
        <ns0:f>A750*('前提と出典'!$C$36*'契約別単価'!C5+'前提と出典'!$C$37*'契約別単価'!C6+'前提と出典'!$C$38*'契約別単価'!C7)</ns0:f>
        <ns0:v>5367.865921787709</ns0:v>
      </ns0:c>
      <ns0:c r="E750" s="16">
        <ns0:f>A750*('前提と出典'!$C$36*'契約別単価'!E5+'前提と出典'!$C$37*'契約別単価'!E6+'前提と出典'!$C$38*'契約別単価'!E7)</ns0:f>
        <ns0:v>1443468.713922345</ns0:v>
      </ns0:c>
      <ns0:c r="F750" s="16">
        <ns0:f>A750*('前提と出典'!$C$36*'契約別単価'!F5+'前提と出典'!$C$37*'契約別単価'!F6+'前提と出典'!$C$38*'契約別単価'!F7)</ns0:f>
        <ns0:v>566509.0278591882</ns0:v>
      </ns0:c>
      <ns0:c r="G750" s="16">
        <ns0:f>A750*('前提と出典'!$C$36*'契約別単価'!G5+'前提と出典'!$C$37*'契約別単価'!G6+'前提と出典'!$C$38*'契約別単価'!G7)</ns0:f>
        <ns0:v>1484915.0837988826</ns0:v>
      </ns0:c>
      <ns0:c r="H750" s="16">
        <ns0:f>A750*('前提と出典'!$C$36*'契約別単価'!H5+'前提と出典'!$C$37*'契約別単価'!H6+'前提と出典'!$C$38*'契約別単価'!H7)</ns0:f>
        <ns0:v>515340.0084219982</ns0:v>
      </ns0:c>
      <ns0:c r="I750" s="16">
        <ns0:f>A750*('前提と出典'!$C$36*'契約別単価'!I5+'前提と出典'!$C$37*'契約別単価'!I6+'前提と出典'!$C$38*'契約別単価'!I7)</ns0:f>
        <ns0:v>31477.865921787703</ns0:v>
      </ns0:c>
      <ns0:c r="J750" s="16">
        <ns0:f>A750*('前提と出典'!$C$36*'契約別単価'!J5+'前提と出典'!$C$37*'契約別単価'!J6+'前提と出典'!$C$38*'契約別単価'!J7)</ns0:f>
        <ns0:v>73323.99960788572</ns0:v>
      </ns0:c>
      <ns0:c r="K750" s="16">
        <ns0:f>A750*('前提と出典'!$C$36*'契約別単価'!K5+'前提と出典'!$C$37*'契約別単価'!K6+'前提と出典'!$C$38*'契約別単価'!K7)</ns0:f>
        <ns0:v>314292.4394785847</ns0:v>
      </ns0:c>
      <ns0:c r="L750" s="16">
        <ns0:f>A750*('前提と出典'!$C$36*'契約別単価'!L5+'前提と出典'!$C$37*'契約別単価'!L6+'前提と出典'!$C$38*'契約別単価'!L7)</ns0:f>
        <ns0:v>255898.00028073325</ns0:v>
      </ns0:c>
      <ns0:c r="M750" s="16">
        <ns0:f>IF(('前提と出典'!$C$36+'前提と出典'!$C$38)=0,0,IF(B750&lt;=10,'前提と出典'!B73+'前提と出典'!C73,IF(B750&lt;=100,'前提と出典'!B74+'前提と出典'!C74,IF(B750&lt;=500,'前提と出典'!B75+'前提と出典'!C75,'前提と出典'!B76+'前提と出典'!C76))))</ns0:f>
        <ns0:v>80000</ns0:v>
      </ns0:c>
      <ns0:c r="N750" s="16">
        <ns0:f>IF(('前提と出典'!$C$37+'前提と出典'!$C$38)=0,0,IF(C750&lt;=10,'前提と出典'!D73+'前提と出典'!E73,IF(C750&lt;=100,'前提と出典'!D74+'前提と出典'!E74,IF(C750&lt;=500,'前提と出典'!D75+'前提と出典'!E75,'前提と出典'!D76+'前提と出典'!E76))))</ns0:f>
        <ns0:v>56510.9346263078</ns0:v>
      </ns0:c>
      <ns0:c r="O750" s="16">
        <ns0:f>IF('前提と出典'!$C$36+'前提と出典'!$C$38=0,0,'前提と出典'!$B$4*IF('前提と出典'!$B$20=0,MAX('前提と出典'!$B$6,D750*'前提と出典'!$B$5),'前提と出典'!$B$6+D750*'前提と出典'!$B$5))</ns0:f>
        <ns0:v>740765.4972067039</ns0:v>
      </ns0:c>
      <ns0:c r="P750" s="16">
        <ns0:f>(E750+G750)*(1-'前提と出典'!$B$7)-I750-K750-M750-O750</ns0:f>
        <ns0:v>1656426.1783961875</ns0:v>
      </ns0:c>
      <ns0:c r="Q750" s="16">
        <ns0:f>(F750+H750)*(1-'前提と出典'!$B$7)-J750-L750-N750</ns0:f>
        <ns0:v>657169.5364601369</ns0:v>
      </ns0:c>
      <ns0:c r="R750" s="16">
        <ns0:f>P750-E750*'前提と出典'!$E$4</ns0:f>
        <ns0:v>1223385.5642194836</ns0:v>
      </ns0:c>
      <ns0:c r="S750" s="16">
        <ns0:f>Q750-F750*'前提と出典'!$E$4</ns0:f>
        <ns0:v>487216.8281023805</ns0:v>
      </ns0:c>
      <ns0:c r="T750" s="7">
        <ns0:f>R750+S750</ns0:f>
        <ns0:v>1710602.3923218641</ns0:v>
      </ns0:c>
      <ns0:c r="U750" s="16">
        <ns0:f>P750-E750*'前提と出典'!$E$5</ns0:f>
        <ns0:v>1079038.6928272494</ns0:v>
      </ns0:c>
      <ns0:c r="V750" s="16">
        <ns0:f>Q750-F750*'前提と出典'!$E$5</ns0:f>
        <ns0:v>430565.9253164616</ns0:v>
      </ns0:c>
      <ns0:c r="W750" s="7">
        <ns0:f>U750+V750</ns0:f>
        <ns0:v>1509604.618143711</ns0:v>
      </ns0:c>
      <ns0:c r="X750" s="16">
        <ns0:f>P750-E750*'前提と出典'!$E$6</ns0:f>
        <ns0:v>934691.8214350146</ns0:v>
      </ns0:c>
      <ns0:c r="Y750" s="16">
        <ns0:f>Q750-F750*'前提と出典'!$E$6</ns0:f>
        <ns0:v>373915.0225305429</ns0:v>
      </ns0:c>
      <ns0:c r="Z750" s="7">
        <ns0:f>X750+Y750</ns0:f>
        <ns0:v>1308606.8439655574</ns0:v>
      </ns0:c>
      <ns0:c r="AA750" s="7">
        <ns0:f>IF(T750&gt;=0,A750,1001)</ns0:f>
        <ns0:v>746</ns0:v>
      </ns0:c>
      <ns0:c r="AB750" s="7">
        <ns0:f>IF(T750&lt;0,A750,0)</ns0:f>
        <ns0:v>0</ns0:v>
      </ns0:c>
      <ns0:c r="AC750" s="16">
        <ns0:f>IF(AND(OR('前提と出典'!$C$36+'前提と出典'!$C$38=0,R750&gt;=0),OR('前提と出典'!$C$37+'前提と出典'!$C$38=0,S750&gt;=0)),0,A750)</ns0:f>
        <ns0:v>0</ns0:v>
      </ns0:c>
      <ns0:c r="AD750" s="7">
        <ns0:f>IF(W750&gt;=0,A750,1001)</ns0:f>
        <ns0:v>746</ns0:v>
      </ns0:c>
      <ns0:c r="AE750" s="7">
        <ns0:f>IF(W750&lt;0,A750,0)</ns0:f>
        <ns0:v>0</ns0:v>
      </ns0:c>
      <ns0:c r="AF750" s="16">
        <ns0:f>IF(AND(OR('前提と出典'!$C$36+'前提と出典'!$C$38=0,U750&gt;=0),OR('前提と出典'!$C$37+'前提と出典'!$C$38=0,V750&gt;=0)),0,A750)</ns0:f>
        <ns0:v>0</ns0:v>
      </ns0:c>
      <ns0:c r="AG750" s="7">
        <ns0:f>IF(Z750&gt;=0,A750,1001)</ns0:f>
        <ns0:v>746</ns0:v>
      </ns0:c>
      <ns0:c r="AH750" s="4">
        <ns0:f>IF(Z750&lt;0,A750,0)</ns0:f>
        <ns0:v>0</ns0:v>
      </ns0:c>
      <ns0:c r="AI750" s="12">
        <ns0:f>IF(AND(OR('前提と出典'!$C$36+'前提と出典'!$C$38=0,X750&gt;=0),OR('前提と出典'!$C$37+'前提と出典'!$C$38=0,Y750&gt;=0)),0,A750)</ns0:f>
        <ns0:v>0</ns0:v>
      </ns0:c>
    </ns0:row>
    <ns0:row r="751" ht="24" customHeight="1">
      <ns0:c r="A751" s="4" t="n">
        <ns0:v>747</ns0:v>
      </ns0:c>
      <ns0:c r="B751" s="12">
        <ns0:f>A751*('前提と出典'!$C$36+'前提と出典'!$C$38)</ns0:f>
        <ns0:v>522.9</ns0:v>
      </ns0:c>
      <ns0:c r="C751" s="12">
        <ns0:f>A751*('前提と出典'!$C$37+'前提と出典'!$C$38)</ns0:f>
        <ns0:v>448.2</ns0:v>
      </ns0:c>
      <ns0:c r="D751" s="16">
        <ns0:f>A751*('前提と出典'!$C$36*'契約別単価'!C5+'前提と出典'!$C$37*'契約別単価'!C6+'前提と出典'!$C$38*'契約別単価'!C7)</ns0:f>
        <ns0:v>5375.061452513966</ns0:v>
      </ns0:c>
      <ns0:c r="E751" s="16">
        <ns0:f>A751*('前提と出典'!$C$36*'契約別単価'!E5+'前提と出典'!$C$37*'契約別単価'!E6+'前提と出典'!$C$38*'契約別単価'!E7)</ns0:f>
        <ns0:v>1445403.6585790773</ns0:v>
      </ns0:c>
      <ns0:c r="F751" s="16">
        <ns0:f>A751*('前提と出典'!$C$36*'契約別単価'!F5+'前提と出典'!$C$37*'契約別単価'!F6+'前提と出典'!$C$38*'契約別単価'!F7)</ns0:f>
        <ns0:v>567268.4233388922</ns0:v>
      </ns0:c>
      <ns0:c r="G751" s="16">
        <ns0:f>A751*('前提と出典'!$C$36*'契約別単価'!G5+'前提と出典'!$C$37*'契約別単価'!G6+'前提と出典'!$C$38*'契約別単価'!G7)</ns0:f>
        <ns0:v>1486905.5865921788</ns0:v>
      </ns0:c>
      <ns0:c r="H751" s="16">
        <ns0:f>A751*('前提と出典'!$C$36*'契約別単価'!H5+'前提と出典'!$C$37*'契約別単価'!H6+'前提と出典'!$C$38*'契約別単価'!H7)</ns0:f>
        <ns0:v>516030.8127228319</ns0:v>
      </ns0:c>
      <ns0:c r="I751" s="16">
        <ns0:f>A751*('前提と出典'!$C$36*'契約別単価'!I5+'前提と出典'!$C$37*'契約別単価'!I6+'前提と出典'!$C$38*'契約別単価'!I7)</ns0:f>
        <ns0:v>31520.06145251396</ns0:v>
      </ns0:c>
      <ns0:c r="J751" s="16">
        <ns0:f>A751*('前提と出典'!$C$36*'契約別単価'!J5+'前提と出典'!$C$37*'契約別単価'!J6+'前提と出典'!$C$38*'契約別単価'!J7)</ns0:f>
        <ns0:v>73422.28915159602</ns0:v>
      </ns0:c>
      <ns0:c r="K751" s="16">
        <ns0:f>A751*('前提と出典'!$C$36*'契約別単価'!K5+'前提と出典'!$C$37*'契約別単価'!K6+'前提と出典'!$C$38*'契約別単価'!K7)</ns0:f>
        <ns0:v>314713.74301675975</ns0:v>
      </ns0:c>
      <ns0:c r="L751" s="16">
        <ns0:f>A751*('前提と出典'!$C$36*'契約別単価'!L5+'前提と出典'!$C$37*'契約別単価'!L6+'前提と出典'!$C$38*'契約別単価'!L7)</ns0:f>
        <ns0:v>256241.02709076105</ns0:v>
      </ns0:c>
      <ns0:c r="M751" s="16">
        <ns0:f>IF(('前提と出典'!$C$36+'前提と出典'!$C$38)=0,0,IF(B751&lt;=10,'前提と出典'!B73+'前提と出典'!C73,IF(B751&lt;=100,'前提と出典'!B74+'前提と出典'!C74,IF(B751&lt;=500,'前提と出典'!B75+'前提と出典'!C75,'前提と出典'!B76+'前提と出典'!C76))))</ns0:f>
        <ns0:v>80000</ns0:v>
      </ns0:c>
      <ns0:c r="N751" s="16">
        <ns0:f>IF(('前提と出典'!$C$37+'前提と出典'!$C$38)=0,0,IF(C751&lt;=10,'前提と出典'!D73+'前提と出典'!E73,IF(C751&lt;=100,'前提と出典'!D74+'前提と出典'!E74,IF(C751&lt;=500,'前提と出典'!D75+'前提と出典'!E75,'前提と出典'!D76+'前提と出典'!E76))))</ns0:f>
        <ns0:v>56510.9346263078</ns0:v>
      </ns0:c>
      <ns0:c r="O751" s="16">
        <ns0:f>IF('前提と出典'!$C$36+'前提と出典'!$C$38=0,0,'前提と出典'!$B$4*IF('前提と出典'!$B$20=0,MAX('前提と出典'!$B$6,D751*'前提と出典'!$B$5),'前提と出典'!$B$6+D751*'前提と出典'!$B$5))</ns0:f>
        <ns0:v>741758.4804469274</ns0:v>
      </ns0:c>
      <ns0:c r="P751" s="16">
        <ns0:f>(E751+G751)*(1-'前提と出典'!$B$7)-I751-K751-M751-O751</ns0:f>
        <ns0:v>1658753.8274288897</ns0:v>
      </ns0:c>
      <ns0:c r="Q751" s="16">
        <ns0:f>(F751+H751)*(1-'前提と出典'!$B$7)-J751-L751-N751</ns0:f>
        <ns0:v>658126.2126948372</ns0:v>
      </ns0:c>
      <ns0:c r="R751" s="16">
        <ns0:f>P751-E751*'前提と出典'!$E$4</ns0:f>
        <ns0:v>1225132.7298551667</ns0:v>
      </ns0:c>
      <ns0:c r="S751" s="16">
        <ns0:f>Q751-F751*'前提と出典'!$E$4</ns0:f>
        <ns0:v>487945.6856931695</ns0:v>
      </ns0:c>
      <ns0:c r="T751" s="7">
        <ns0:f>R751+S751</ns0:f>
        <ns0:v>1713078.4155483362</ns0:v>
      </ns0:c>
      <ns0:c r="U751" s="16">
        <ns0:f>P751-E751*'前提と出典'!$E$5</ns0:f>
        <ns0:v>1080592.3639972587</ns0:v>
      </ns0:c>
      <ns0:c r="V751" s="16">
        <ns0:f>Q751-F751*'前提と出典'!$E$5</ns0:f>
        <ns0:v>431218.8433592803</ns0:v>
      </ns0:c>
      <ns0:c r="W751" s="7">
        <ns0:f>U751+V751</ns0:f>
        <ns0:v>1511811.207356539</ns0:v>
      </ns0:c>
      <ns0:c r="X751" s="16">
        <ns0:f>P751-E751*'前提と出典'!$E$6</ns0:f>
        <ns0:v>936051.998139351</ns0:v>
      </ns0:c>
      <ns0:c r="Y751" s="16">
        <ns0:f>Q751-F751*'前提と出典'!$E$6</ns0:f>
        <ns0:v>374492.0010253911</ns0:v>
      </ns0:c>
      <ns0:c r="Z751" s="7">
        <ns0:f>X751+Y751</ns0:f>
        <ns0:v>1310543.9991647422</ns0:v>
      </ns0:c>
      <ns0:c r="AA751" s="7">
        <ns0:f>IF(T751&gt;=0,A751,1001)</ns0:f>
        <ns0:v>747</ns0:v>
      </ns0:c>
      <ns0:c r="AB751" s="7">
        <ns0:f>IF(T751&lt;0,A751,0)</ns0:f>
        <ns0:v>0</ns0:v>
      </ns0:c>
      <ns0:c r="AC751" s="16">
        <ns0:f>IF(AND(OR('前提と出典'!$C$36+'前提と出典'!$C$38=0,R751&gt;=0),OR('前提と出典'!$C$37+'前提と出典'!$C$38=0,S751&gt;=0)),0,A751)</ns0:f>
        <ns0:v>0</ns0:v>
      </ns0:c>
      <ns0:c r="AD751" s="7">
        <ns0:f>IF(W751&gt;=0,A751,1001)</ns0:f>
        <ns0:v>747</ns0:v>
      </ns0:c>
      <ns0:c r="AE751" s="7">
        <ns0:f>IF(W751&lt;0,A751,0)</ns0:f>
        <ns0:v>0</ns0:v>
      </ns0:c>
      <ns0:c r="AF751" s="16">
        <ns0:f>IF(AND(OR('前提と出典'!$C$36+'前提と出典'!$C$38=0,U751&gt;=0),OR('前提と出典'!$C$37+'前提と出典'!$C$38=0,V751&gt;=0)),0,A751)</ns0:f>
        <ns0:v>0</ns0:v>
      </ns0:c>
      <ns0:c r="AG751" s="7">
        <ns0:f>IF(Z751&gt;=0,A751,1001)</ns0:f>
        <ns0:v>747</ns0:v>
      </ns0:c>
      <ns0:c r="AH751" s="4">
        <ns0:f>IF(Z751&lt;0,A751,0)</ns0:f>
        <ns0:v>0</ns0:v>
      </ns0:c>
      <ns0:c r="AI751" s="12">
        <ns0:f>IF(AND(OR('前提と出典'!$C$36+'前提と出典'!$C$38=0,X751&gt;=0),OR('前提と出典'!$C$37+'前提と出典'!$C$38=0,Y751&gt;=0)),0,A751)</ns0:f>
        <ns0:v>0</ns0:v>
      </ns0:c>
    </ns0:row>
    <ns0:row r="752" ht="24" customHeight="1">
      <ns0:c r="A752" s="4" t="n">
        <ns0:v>748</ns0:v>
      </ns0:c>
      <ns0:c r="B752" s="12">
        <ns0:f>A752*('前提と出典'!$C$36+'前提と出典'!$C$38)</ns0:f>
        <ns0:v>523.6</ns0:v>
      </ns0:c>
      <ns0:c r="C752" s="12">
        <ns0:f>A752*('前提と出典'!$C$37+'前提と出典'!$C$38)</ns0:f>
        <ns0:v>448.8</ns0:v>
      </ns0:c>
      <ns0:c r="D752" s="16">
        <ns0:f>A752*('前提と出典'!$C$36*'契約別単価'!C5+'前提と出典'!$C$37*'契約別単価'!C6+'前提と出典'!$C$38*'契約別単価'!C7)</ns0:f>
        <ns0:v>5382.256983240223</ns0:v>
      </ns0:c>
      <ns0:c r="E752" s="16">
        <ns0:f>A752*('前提と出典'!$C$36*'契約別単価'!E5+'前提と出典'!$C$37*'契約別単価'!E6+'前提と出典'!$C$38*'契約別単価'!E7)</ns0:f>
        <ns0:v>1447338.6032358098</ns0:v>
      </ns0:c>
      <ns0:c r="F752" s="16">
        <ns0:f>A752*('前提と出典'!$C$36*'契約別単価'!F5+'前提と出典'!$C$37*'契約別単価'!F6+'前提と出典'!$C$38*'契約別単価'!F7)</ns0:f>
        <ns0:v>568027.8188185962</ns0:v>
      </ns0:c>
      <ns0:c r="G752" s="16">
        <ns0:f>A752*('前提と出典'!$C$36*'契約別単価'!G5+'前提と出典'!$C$37*'契約別単価'!G6+'前提と出典'!$C$38*'契約別単価'!G7)</ns0:f>
        <ns0:v>1488896.0893854748</ns0:v>
      </ns0:c>
      <ns0:c r="H752" s="16">
        <ns0:f>A752*('前提と出典'!$C$36*'契約別単価'!H5+'前提と出典'!$C$37*'契約別単価'!H6+'前提と出典'!$C$38*'契約別単価'!H7)</ns0:f>
        <ns0:v>516721.6170236657</ns0:v>
      </ns0:c>
      <ns0:c r="I752" s="16">
        <ns0:f>A752*('前提と出典'!$C$36*'契約別単価'!I5+'前提と出典'!$C$37*'契約別単価'!I6+'前提と出典'!$C$38*'契約別単価'!I7)</ns0:f>
        <ns0:v>31562.25698324022</ns0:v>
      </ns0:c>
      <ns0:c r="J752" s="16">
        <ns0:f>A752*('前提と出典'!$C$36*'契約別単価'!J5+'前提と出典'!$C$37*'契約別単価'!J6+'前提と出典'!$C$38*'契約別単価'!J7)</ns0:f>
        <ns0:v>73520.57869530632</ns0:v>
      </ns0:c>
      <ns0:c r="K752" s="16">
        <ns0:f>A752*('前提と出典'!$C$36*'契約別単価'!K5+'前提と出典'!$C$37*'契約別単価'!K6+'前提と出典'!$C$38*'契約別単価'!K7)</ns0:f>
        <ns0:v>315135.0465549348</ns0:v>
      </ns0:c>
      <ns0:c r="L752" s="16">
        <ns0:f>A752*('前提と出典'!$C$36*'契約別単価'!L5+'前提と出典'!$C$37*'契約別単価'!L6+'前提と出典'!$C$38*'契約別単価'!L7)</ns0:f>
        <ns0:v>256584.05390078886</ns0:v>
      </ns0:c>
      <ns0:c r="M752" s="16">
        <ns0:f>IF(('前提と出典'!$C$36+'前提と出典'!$C$38)=0,0,IF(B752&lt;=10,'前提と出典'!B73+'前提と出典'!C73,IF(B752&lt;=100,'前提と出典'!B74+'前提と出典'!C74,IF(B752&lt;=500,'前提と出典'!B75+'前提と出典'!C75,'前提と出典'!B76+'前提と出典'!C76))))</ns0:f>
        <ns0:v>80000</ns0:v>
      </ns0:c>
      <ns0:c r="N752" s="16">
        <ns0:f>IF(('前提と出典'!$C$37+'前提と出典'!$C$38)=0,0,IF(C752&lt;=10,'前提と出典'!D73+'前提と出典'!E73,IF(C752&lt;=100,'前提と出典'!D74+'前提と出典'!E74,IF(C752&lt;=500,'前提と出典'!D75+'前提と出典'!E75,'前提と出典'!D76+'前提と出典'!E76))))</ns0:f>
        <ns0:v>56510.9346263078</ns0:v>
      </ns0:c>
      <ns0:c r="O752" s="16">
        <ns0:f>IF('前提と出典'!$C$36+'前提と出典'!$C$38=0,0,'前提と出典'!$B$4*IF('前提と出典'!$B$20=0,MAX('前提と出典'!$B$6,D752*'前提と出典'!$B$5),'前提と出典'!$B$6+D752*'前提と出典'!$B$5))</ns0:f>
        <ns0:v>742751.4636871509</ns0:v>
      </ns0:c>
      <ns0:c r="P752" s="16">
        <ns0:f>(E752+G752)*(1-'前提と出典'!$B$7)-I752-K752-M752-O752</ns0:f>
        <ns0:v>1661081.4764615926</ns0:v>
      </ns0:c>
      <ns0:c r="Q752" s="16">
        <ns0:f>(F752+H752)*(1-'前提と出典'!$B$7)-J752-L752-N752</ns0:f>
        <ns0:v>659082.8889295375</ns0:v>
      </ns0:c>
      <ns0:c r="R752" s="16">
        <ns0:f>P752-E752*'前提と出典'!$E$4</ns0:f>
        <ns0:v>1226879.8954908499</ns0:v>
      </ns0:c>
      <ns0:c r="S752" s="16">
        <ns0:f>Q752-F752*'前提と出典'!$E$4</ns0:f>
        <ns0:v>488674.5432839587</ns0:v>
      </ns0:c>
      <ns0:c r="T752" s="7">
        <ns0:f>R752+S752</ns0:f>
        <ns0:v>1715554.4387748085</ns0:v>
      </ns0:c>
      <ns0:c r="U752" s="16">
        <ns0:f>P752-E752*'前提と出典'!$E$5</ns0:f>
        <ns0:v>1082146.0351672685</ns0:v>
      </ns0:c>
      <ns0:c r="V752" s="16">
        <ns0:f>Q752-F752*'前提と出典'!$E$5</ns0:f>
        <ns0:v>431871.76140209904</ns0:v>
      </ns0:c>
      <ns0:c r="W752" s="7">
        <ns0:f>U752+V752</ns0:f>
        <ns0:v>1514017.7965693674</ns0:v>
      </ns0:c>
      <ns0:c r="X752" s="16">
        <ns0:f>P752-E752*'前提と出典'!$E$6</ns0:f>
        <ns0:v>937412.1748436874</ns0:v>
      </ns0:c>
      <ns0:c r="Y752" s="16">
        <ns0:f>Q752-F752*'前提と出典'!$E$6</ns0:f>
        <ns0:v>375068.9795202394</ns0:v>
      </ns0:c>
      <ns0:c r="Z752" s="7">
        <ns0:f>X752+Y752</ns0:f>
        <ns0:v>1312481.154363927</ns0:v>
      </ns0:c>
      <ns0:c r="AA752" s="7">
        <ns0:f>IF(T752&gt;=0,A752,1001)</ns0:f>
        <ns0:v>748</ns0:v>
      </ns0:c>
      <ns0:c r="AB752" s="7">
        <ns0:f>IF(T752&lt;0,A752,0)</ns0:f>
        <ns0:v>0</ns0:v>
      </ns0:c>
      <ns0:c r="AC752" s="16">
        <ns0:f>IF(AND(OR('前提と出典'!$C$36+'前提と出典'!$C$38=0,R752&gt;=0),OR('前提と出典'!$C$37+'前提と出典'!$C$38=0,S752&gt;=0)),0,A752)</ns0:f>
        <ns0:v>0</ns0:v>
      </ns0:c>
      <ns0:c r="AD752" s="7">
        <ns0:f>IF(W752&gt;=0,A752,1001)</ns0:f>
        <ns0:v>748</ns0:v>
      </ns0:c>
      <ns0:c r="AE752" s="7">
        <ns0:f>IF(W752&lt;0,A752,0)</ns0:f>
        <ns0:v>0</ns0:v>
      </ns0:c>
      <ns0:c r="AF752" s="16">
        <ns0:f>IF(AND(OR('前提と出典'!$C$36+'前提と出典'!$C$38=0,U752&gt;=0),OR('前提と出典'!$C$37+'前提と出典'!$C$38=0,V752&gt;=0)),0,A752)</ns0:f>
        <ns0:v>0</ns0:v>
      </ns0:c>
      <ns0:c r="AG752" s="7">
        <ns0:f>IF(Z752&gt;=0,A752,1001)</ns0:f>
        <ns0:v>748</ns0:v>
      </ns0:c>
      <ns0:c r="AH752" s="4">
        <ns0:f>IF(Z752&lt;0,A752,0)</ns0:f>
        <ns0:v>0</ns0:v>
      </ns0:c>
      <ns0:c r="AI752" s="12">
        <ns0:f>IF(AND(OR('前提と出典'!$C$36+'前提と出典'!$C$38=0,X752&gt;=0),OR('前提と出典'!$C$37+'前提と出典'!$C$38=0,Y752&gt;=0)),0,A752)</ns0:f>
        <ns0:v>0</ns0:v>
      </ns0:c>
    </ns0:row>
    <ns0:row r="753" ht="24" customHeight="1">
      <ns0:c r="A753" s="4" t="n">
        <ns0:v>749</ns0:v>
      </ns0:c>
      <ns0:c r="B753" s="12">
        <ns0:f>A753*('前提と出典'!$C$36+'前提と出典'!$C$38)</ns0:f>
        <ns0:v>524.3</ns0:v>
      </ns0:c>
      <ns0:c r="C753" s="12">
        <ns0:f>A753*('前提と出典'!$C$37+'前提と出典'!$C$38)</ns0:f>
        <ns0:v>449.4</ns0:v>
      </ns0:c>
      <ns0:c r="D753" s="16">
        <ns0:f>A753*('前提と出典'!$C$36*'契約別単価'!C5+'前提と出典'!$C$37*'契約別単価'!C6+'前提と出典'!$C$38*'契約別単価'!C7)</ns0:f>
        <ns0:v>5389.45251396648</ns0:v>
      </ns0:c>
      <ns0:c r="E753" s="16">
        <ns0:f>A753*('前提と出典'!$C$36*'契約別単価'!E5+'前提と出典'!$C$37*'契約別単価'!E6+'前提と出典'!$C$38*'契約別単価'!E7)</ns0:f>
        <ns0:v>1449273.547892542</ns0:v>
      </ns0:c>
      <ns0:c r="F753" s="16">
        <ns0:f>A753*('前提と出典'!$C$36*'契約別単価'!F5+'前提と出典'!$C$37*'契約別単価'!F6+'前提と出典'!$C$38*'契約別単価'!F7)</ns0:f>
        <ns0:v>568787.2142983001</ns0:v>
      </ns0:c>
      <ns0:c r="G753" s="16">
        <ns0:f>A753*('前提と出典'!$C$36*'契約別単価'!G5+'前提と出典'!$C$37*'契約別単価'!G6+'前提と出典'!$C$38*'契約別単価'!G7)</ns0:f>
        <ns0:v>1490886.5921787708</ns0:v>
      </ns0:c>
      <ns0:c r="H753" s="16">
        <ns0:f>A753*('前提と出典'!$C$36*'契約別単価'!H5+'前提と出典'!$C$37*'契約別単価'!H6+'前提と出典'!$C$38*'契約別単価'!H7)</ns0:f>
        <ns0:v>517412.4213244995</ns0:v>
      </ns0:c>
      <ns0:c r="I753" s="16">
        <ns0:f>A753*('前提と出典'!$C$36*'契約別単価'!I5+'前提と出典'!$C$37*'契約別単価'!I6+'前提と出典'!$C$38*'契約別単価'!I7)</ns0:f>
        <ns0:v>31604.452513966477</ns0:v>
      </ns0:c>
      <ns0:c r="J753" s="16">
        <ns0:f>A753*('前提と出典'!$C$36*'契約別単価'!J5+'前提と出典'!$C$37*'契約別単価'!J6+'前提と出典'!$C$38*'契約別単価'!J7)</ns0:f>
        <ns0:v>73618.86823901662</ns0:v>
      </ns0:c>
      <ns0:c r="K753" s="16">
        <ns0:f>A753*('前提と出典'!$C$36*'契約別単価'!K5+'前提と出典'!$C$37*'契約別単価'!K6+'前提と出典'!$C$38*'契約別単価'!K7)</ns0:f>
        <ns0:v>315556.3500931098</ns0:v>
      </ns0:c>
      <ns0:c r="L753" s="16">
        <ns0:f>A753*('前提と出典'!$C$36*'契約別単価'!L5+'前提と出典'!$C$37*'契約別単価'!L6+'前提と出典'!$C$38*'契約別単価'!L7)</ns0:f>
        <ns0:v>256927.08071081663</ns0:v>
      </ns0:c>
      <ns0:c r="M753" s="16">
        <ns0:f>IF(('前提と出典'!$C$36+'前提と出典'!$C$38)=0,0,IF(B753&lt;=10,'前提と出典'!B73+'前提と出典'!C73,IF(B753&lt;=100,'前提と出典'!B74+'前提と出典'!C74,IF(B753&lt;=500,'前提と出典'!B75+'前提と出典'!C75,'前提と出典'!B76+'前提と出典'!C76))))</ns0:f>
        <ns0:v>80000</ns0:v>
      </ns0:c>
      <ns0:c r="N753" s="16">
        <ns0:f>IF(('前提と出典'!$C$37+'前提と出典'!$C$38)=0,0,IF(C753&lt;=10,'前提と出典'!D73+'前提と出典'!E73,IF(C753&lt;=100,'前提と出典'!D74+'前提と出典'!E74,IF(C753&lt;=500,'前提と出典'!D75+'前提と出典'!E75,'前提と出典'!D76+'前提と出典'!E76))))</ns0:f>
        <ns0:v>56510.9346263078</ns0:v>
      </ns0:c>
      <ns0:c r="O753" s="16">
        <ns0:f>IF('前提と出典'!$C$36+'前提と出典'!$C$38=0,0,'前提と出典'!$B$4*IF('前提と出典'!$B$20=0,MAX('前提と出典'!$B$6,D753*'前提と出典'!$B$5),'前提と出典'!$B$6+D753*'前提と出典'!$B$5))</ns0:f>
        <ns0:v>743744.4469273743</ns0:v>
      </ns0:c>
      <ns0:c r="P753" s="16">
        <ns0:f>(E753+G753)*(1-'前提と出典'!$B$7)-I753-K753-M753-O753</ns0:f>
        <ns0:v>1663409.1254942953</ns0:v>
      </ns0:c>
      <ns0:c r="Q753" s="16">
        <ns0:f>(F753+H753)*(1-'前提と出典'!$B$7)-J753-L753-N753</ns0:f>
        <ns0:v>660039.5651642377</ns0:v>
      </ns0:c>
      <ns0:c r="R753" s="16">
        <ns0:f>P753-E753*'前提と出典'!$E$4</ns0:f>
        <ns0:v>1228627.0611265325</ns0:v>
      </ns0:c>
      <ns0:c r="S753" s="16">
        <ns0:f>Q753-F753*'前提と出典'!$E$4</ns0:f>
        <ns0:v>489403.40087474766</ns0:v>
      </ns0:c>
      <ns0:c r="T753" s="7">
        <ns0:f>R753+S753</ns0:f>
        <ns0:v>1718030.4620012802</ns0:v>
      </ns0:c>
      <ns0:c r="U753" s="16">
        <ns0:f>P753-E753*'前提と出典'!$E$5</ns0:f>
        <ns0:v>1083699.7063372782</ns0:v>
      </ns0:c>
      <ns0:c r="V753" s="16">
        <ns0:f>Q753-F753*'前提と出典'!$E$5</ns0:f>
        <ns0:v>432524.6794449177</ns0:v>
      </ns0:c>
      <ns0:c r="W753" s="7">
        <ns0:f>U753+V753</ns0:f>
        <ns0:v>1516224.385782196</ns0:v>
      </ns0:c>
      <ns0:c r="X753" s="16">
        <ns0:f>P753-E753*'前提と出典'!$E$6</ns0:f>
        <ns0:v>938772.3515480239</ns0:v>
      </ns0:c>
      <ns0:c r="Y753" s="16">
        <ns0:f>Q753-F753*'前提と出典'!$E$6</ns0:f>
        <ns0:v>375645.95801508776</ns0:v>
      </ns0:c>
      <ns0:c r="Z753" s="7">
        <ns0:f>X753+Y753</ns0:f>
        <ns0:v>1314418.3095631115</ns0:v>
      </ns0:c>
      <ns0:c r="AA753" s="7">
        <ns0:f>IF(T753&gt;=0,A753,1001)</ns0:f>
        <ns0:v>749</ns0:v>
      </ns0:c>
      <ns0:c r="AB753" s="7">
        <ns0:f>IF(T753&lt;0,A753,0)</ns0:f>
        <ns0:v>0</ns0:v>
      </ns0:c>
      <ns0:c r="AC753" s="16">
        <ns0:f>IF(AND(OR('前提と出典'!$C$36+'前提と出典'!$C$38=0,R753&gt;=0),OR('前提と出典'!$C$37+'前提と出典'!$C$38=0,S753&gt;=0)),0,A753)</ns0:f>
        <ns0:v>0</ns0:v>
      </ns0:c>
      <ns0:c r="AD753" s="7">
        <ns0:f>IF(W753&gt;=0,A753,1001)</ns0:f>
        <ns0:v>749</ns0:v>
      </ns0:c>
      <ns0:c r="AE753" s="7">
        <ns0:f>IF(W753&lt;0,A753,0)</ns0:f>
        <ns0:v>0</ns0:v>
      </ns0:c>
      <ns0:c r="AF753" s="16">
        <ns0:f>IF(AND(OR('前提と出典'!$C$36+'前提と出典'!$C$38=0,U753&gt;=0),OR('前提と出典'!$C$37+'前提と出典'!$C$38=0,V753&gt;=0)),0,A753)</ns0:f>
        <ns0:v>0</ns0:v>
      </ns0:c>
      <ns0:c r="AG753" s="7">
        <ns0:f>IF(Z753&gt;=0,A753,1001)</ns0:f>
        <ns0:v>749</ns0:v>
      </ns0:c>
      <ns0:c r="AH753" s="4">
        <ns0:f>IF(Z753&lt;0,A753,0)</ns0:f>
        <ns0:v>0</ns0:v>
      </ns0:c>
      <ns0:c r="AI753" s="12">
        <ns0:f>IF(AND(OR('前提と出典'!$C$36+'前提と出典'!$C$38=0,X753&gt;=0),OR('前提と出典'!$C$37+'前提と出典'!$C$38=0,Y753&gt;=0)),0,A753)</ns0:f>
        <ns0:v>0</ns0:v>
      </ns0:c>
    </ns0:row>
    <ns0:row r="754" ht="24" customHeight="1">
      <ns0:c r="A754" s="4" t="n">
        <ns0:v>750</ns0:v>
      </ns0:c>
      <ns0:c r="B754" s="12">
        <ns0:f>A754*('前提と出典'!$C$36+'前提と出典'!$C$38)</ns0:f>
        <ns0:v>525</ns0:v>
      </ns0:c>
      <ns0:c r="C754" s="12">
        <ns0:f>A754*('前提と出典'!$C$37+'前提と出典'!$C$38)</ns0:f>
        <ns0:v>450</ns0:v>
      </ns0:c>
      <ns0:c r="D754" s="16">
        <ns0:f>A754*('前提と出典'!$C$36*'契約別単価'!C5+'前提と出典'!$C$37*'契約別単価'!C6+'前提と出典'!$C$38*'契約別単価'!C7)</ns0:f>
        <ns0:v>5396.648044692737</ns0:v>
      </ns0:c>
      <ns0:c r="E754" s="16">
        <ns0:f>A754*('前提と出典'!$C$36*'契約別単価'!E5+'前提と出典'!$C$37*'契約別単価'!E6+'前提と出典'!$C$38*'契約別単価'!E7)</ns0:f>
        <ns0:v>1451208.4925492746</ns0:v>
      </ns0:c>
      <ns0:c r="F754" s="16">
        <ns0:f>A754*('前提と出典'!$C$36*'契約別単価'!F5+'前提と出典'!$C$37*'契約別単価'!F6+'前提と出典'!$C$38*'契約別単価'!F7)</ns0:f>
        <ns0:v>569546.6097780041</ns0:v>
      </ns0:c>
      <ns0:c r="G754" s="16">
        <ns0:f>A754*('前提と出典'!$C$36*'契約別単価'!G5+'前提と出典'!$C$37*'契約別単価'!G6+'前提と出典'!$C$38*'契約別単価'!G7)</ns0:f>
        <ns0:v>1492877.094972067</ns0:v>
      </ns0:c>
      <ns0:c r="H754" s="16">
        <ns0:f>A754*('前提と出典'!$C$36*'契約別単価'!H5+'前提と出典'!$C$37*'契約別単価'!H6+'前提と出典'!$C$38*'契約別単価'!H7)</ns0:f>
        <ns0:v>518103.22562533326</ns0:v>
      </ns0:c>
      <ns0:c r="I754" s="16">
        <ns0:f>A754*('前提と出典'!$C$36*'契約別単価'!I5+'前提と出典'!$C$37*'契約別単価'!I6+'前提と出典'!$C$38*'契約別単価'!I7)</ns0:f>
        <ns0:v>31646.64804469273</ns0:v>
      </ns0:c>
      <ns0:c r="J754" s="16">
        <ns0:f>A754*('前提と出典'!$C$36*'契約別単価'!J5+'前提と出典'!$C$37*'契約別単価'!J6+'前提と出典'!$C$38*'契約別単価'!J7)</ns0:f>
        <ns0:v>73717.15778272692</ns0:v>
      </ns0:c>
      <ns0:c r="K754" s="16">
        <ns0:f>A754*('前提と出典'!$C$36*'契約別単価'!K5+'前提と出典'!$C$37*'契約別単価'!K6+'前提と出典'!$C$38*'契約別単価'!K7)</ns0:f>
        <ns0:v>315977.6536312849</ns0:v>
      </ns0:c>
      <ns0:c r="L754" s="16">
        <ns0:f>A754*('前提と出典'!$C$36*'契約別単価'!L5+'前提と出典'!$C$37*'契約別単価'!L6+'前提と出典'!$C$38*'契約別単価'!L7)</ns0:f>
        <ns0:v>257270.10752084444</ns0:v>
      </ns0:c>
      <ns0:c r="M754" s="16">
        <ns0:f>IF(('前提と出典'!$C$36+'前提と出典'!$C$38)=0,0,IF(B754&lt;=10,'前提と出典'!B73+'前提と出典'!C73,IF(B754&lt;=100,'前提と出典'!B74+'前提と出典'!C74,IF(B754&lt;=500,'前提と出典'!B75+'前提と出典'!C75,'前提と出典'!B76+'前提と出典'!C76))))</ns0:f>
        <ns0:v>80000</ns0:v>
      </ns0:c>
      <ns0:c r="N754" s="16">
        <ns0:f>IF(('前提と出典'!$C$37+'前提と出典'!$C$38)=0,0,IF(C754&lt;=10,'前提と出典'!D73+'前提と出典'!E73,IF(C754&lt;=100,'前提と出典'!D74+'前提と出典'!E74,IF(C754&lt;=500,'前提と出典'!D75+'前提と出典'!E75,'前提と出典'!D76+'前提と出典'!E76))))</ns0:f>
        <ns0:v>56510.9346263078</ns0:v>
      </ns0:c>
      <ns0:c r="O754" s="16">
        <ns0:f>IF('前提と出典'!$C$36+'前提と出典'!$C$38=0,0,'前提と出典'!$B$4*IF('前提と出典'!$B$20=0,MAX('前提と出典'!$B$6,D754*'前提と出典'!$B$5),'前提と出典'!$B$6+D754*'前提と出典'!$B$5))</ns0:f>
        <ns0:v>744737.4301675977</ns0:v>
      </ns0:c>
      <ns0:c r="P754" s="16">
        <ns0:f>(E754+G754)*(1-'前提と出典'!$B$7)-I754-K754-M754-O754</ns0:f>
        <ns0:v>1665736.774526998</ns0:v>
      </ns0:c>
      <ns0:c r="Q754" s="16">
        <ns0:f>(F754+H754)*(1-'前提と出典'!$B$7)-J754-L754-N754</ns0:f>
        <ns0:v>660996.2413989381</ns0:v>
      </ns0:c>
      <ns0:c r="R754" s="16">
        <ns0:f>P754-E754*'前提と出典'!$E$4</ns0:f>
        <ns0:v>1230374.2267622156</ns0:v>
      </ns0:c>
      <ns0:c r="S754" s="16">
        <ns0:f>Q754-F754*'前提と出典'!$E$4</ns0:f>
        <ns0:v>490132.25846553687</ns0:v>
      </ns0:c>
      <ns0:c r="T754" s="7">
        <ns0:f>R754+S754</ns0:f>
        <ns0:v>1720506.4852277525</ns0:v>
      </ns0:c>
      <ns0:c r="U754" s="16">
        <ns0:f>P754-E754*'前提と出典'!$E$5</ns0:f>
        <ns0:v>1085253.377507288</ns0:v>
      </ns0:c>
      <ns0:c r="V754" s="16">
        <ns0:f>Q754-F754*'前提と出典'!$E$5</ns0:f>
        <ns0:v>433177.5974877365</ns0:v>
      </ns0:c>
      <ns0:c r="W754" s="7">
        <ns0:f>U754+V754</ns0:f>
        <ns0:v>1518430.9749950245</ns0:v>
      </ns0:c>
      <ns0:c r="X754" s="16">
        <ns0:f>P754-E754*'前提と出典'!$E$6</ns0:f>
        <ns0:v>940132.5282523609</ns0:v>
      </ns0:c>
      <ns0:c r="Y754" s="16">
        <ns0:f>Q754-F754*'前提と出典'!$E$6</ns0:f>
        <ns0:v>376222.936509936</ns0:v>
      </ns0:c>
      <ns0:c r="Z754" s="7">
        <ns0:f>X754+Y754</ns0:f>
        <ns0:v>1316355.464762297</ns0:v>
      </ns0:c>
      <ns0:c r="AA754" s="7">
        <ns0:f>IF(T754&gt;=0,A754,1001)</ns0:f>
        <ns0:v>750</ns0:v>
      </ns0:c>
      <ns0:c r="AB754" s="7">
        <ns0:f>IF(T754&lt;0,A754,0)</ns0:f>
        <ns0:v>0</ns0:v>
      </ns0:c>
      <ns0:c r="AC754" s="16">
        <ns0:f>IF(AND(OR('前提と出典'!$C$36+'前提と出典'!$C$38=0,R754&gt;=0),OR('前提と出典'!$C$37+'前提と出典'!$C$38=0,S754&gt;=0)),0,A754)</ns0:f>
        <ns0:v>0</ns0:v>
      </ns0:c>
      <ns0:c r="AD754" s="7">
        <ns0:f>IF(W754&gt;=0,A754,1001)</ns0:f>
        <ns0:v>750</ns0:v>
      </ns0:c>
      <ns0:c r="AE754" s="7">
        <ns0:f>IF(W754&lt;0,A754,0)</ns0:f>
        <ns0:v>0</ns0:v>
      </ns0:c>
      <ns0:c r="AF754" s="16">
        <ns0:f>IF(AND(OR('前提と出典'!$C$36+'前提と出典'!$C$38=0,U754&gt;=0),OR('前提と出典'!$C$37+'前提と出典'!$C$38=0,V754&gt;=0)),0,A754)</ns0:f>
        <ns0:v>0</ns0:v>
      </ns0:c>
      <ns0:c r="AG754" s="7">
        <ns0:f>IF(Z754&gt;=0,A754,1001)</ns0:f>
        <ns0:v>750</ns0:v>
      </ns0:c>
      <ns0:c r="AH754" s="4">
        <ns0:f>IF(Z754&lt;0,A754,0)</ns0:f>
        <ns0:v>0</ns0:v>
      </ns0:c>
      <ns0:c r="AI754" s="12">
        <ns0:f>IF(AND(OR('前提と出典'!$C$36+'前提と出典'!$C$38=0,X754&gt;=0),OR('前提と出典'!$C$37+'前提と出典'!$C$38=0,Y754&gt;=0)),0,A754)</ns0:f>
        <ns0:v>0</ns0:v>
      </ns0:c>
    </ns0:row>
    <ns0:row r="755" ht="24" customHeight="1">
      <ns0:c r="A755" s="4" t="n">
        <ns0:v>751</ns0:v>
      </ns0:c>
      <ns0:c r="B755" s="12">
        <ns0:f>A755*('前提と出典'!$C$36+'前提と出典'!$C$38)</ns0:f>
        <ns0:v>525.6999999999999</ns0:v>
      </ns0:c>
      <ns0:c r="C755" s="12">
        <ns0:f>A755*('前提と出典'!$C$37+'前提と出典'!$C$38)</ns0:f>
        <ns0:v>450.59999999999997</ns0:v>
      </ns0:c>
      <ns0:c r="D755" s="16">
        <ns0:f>A755*('前提と出典'!$C$36*'契約別単価'!C5+'前提と出典'!$C$37*'契約別単価'!C6+'前提と出典'!$C$38*'契約別単価'!C7)</ns0:f>
        <ns0:v>5403.843575418994</ns0:v>
      </ns0:c>
      <ns0:c r="E755" s="16">
        <ns0:f>A755*('前提と出典'!$C$36*'契約別単価'!E5+'前提と出典'!$C$37*'契約別単価'!E6+'前提と出典'!$C$38*'契約別単価'!E7)</ns0:f>
        <ns0:v>1453143.4372060068</ns0:v>
      </ns0:c>
      <ns0:c r="F755" s="16">
        <ns0:f>A755*('前提と出典'!$C$36*'契約別単価'!F5+'前提と出典'!$C$37*'契約別単価'!F6+'前提と出典'!$C$38*'契約別単価'!F7)</ns0:f>
        <ns0:v>570306.0052577081</ns0:v>
      </ns0:c>
      <ns0:c r="G755" s="16">
        <ns0:f>A755*('前提と出典'!$C$36*'契約別単価'!G5+'前提と出典'!$C$37*'契約別単価'!G6+'前提と出典'!$C$38*'契約別単価'!G7)</ns0:f>
        <ns0:v>1494867.597765363</ns0:v>
      </ns0:c>
      <ns0:c r="H755" s="16">
        <ns0:f>A755*('前提と出典'!$C$36*'契約別単価'!H5+'前提と出典'!$C$37*'契約別単価'!H6+'前提と出典'!$C$38*'契約別単価'!H7)</ns0:f>
        <ns0:v>518794.02992616704</ns0:v>
      </ns0:c>
      <ns0:c r="I755" s="16">
        <ns0:f>A755*('前提と出典'!$C$36*'契約別単価'!I5+'前提と出典'!$C$37*'契約別単価'!I6+'前提と出典'!$C$38*'契約別単価'!I7)</ns0:f>
        <ns0:v>31688.84357541899</ns0:v>
      </ns0:c>
      <ns0:c r="J755" s="16">
        <ns0:f>A755*('前提と出典'!$C$36*'契約別単価'!J5+'前提と出典'!$C$37*'契約別単価'!J6+'前提と出典'!$C$38*'契約別単価'!J7)</ns0:f>
        <ns0:v>73815.44732643722</ns0:v>
      </ns0:c>
      <ns0:c r="K755" s="16">
        <ns0:f>A755*('前提と出典'!$C$36*'契約別単価'!K5+'前提と出典'!$C$37*'契約別単価'!K6+'前提と出典'!$C$38*'契約別単価'!K7)</ns0:f>
        <ns0:v>316398.95716945996</ns0:v>
      </ns0:c>
      <ns0:c r="L755" s="16">
        <ns0:f>A755*('前提と出典'!$C$36*'契約別単価'!L5+'前提と出典'!$C$37*'契約別単価'!L6+'前提と出典'!$C$38*'契約別単価'!L7)</ns0:f>
        <ns0:v>257613.1343308722</ns0:v>
      </ns0:c>
      <ns0:c r="M755" s="16">
        <ns0:f>IF(('前提と出典'!$C$36+'前提と出典'!$C$38)=0,0,IF(B755&lt;=10,'前提と出典'!B73+'前提と出典'!C73,IF(B755&lt;=100,'前提と出典'!B74+'前提と出典'!C74,IF(B755&lt;=500,'前提と出典'!B75+'前提と出典'!C75,'前提と出典'!B76+'前提と出典'!C76))))</ns0:f>
        <ns0:v>80000</ns0:v>
      </ns0:c>
      <ns0:c r="N755" s="16">
        <ns0:f>IF(('前提と出典'!$C$37+'前提と出典'!$C$38)=0,0,IF(C755&lt;=10,'前提と出典'!D73+'前提と出典'!E73,IF(C755&lt;=100,'前提と出典'!D74+'前提と出典'!E74,IF(C755&lt;=500,'前提と出典'!D75+'前提と出典'!E75,'前提と出典'!D76+'前提と出典'!E76))))</ns0:f>
        <ns0:v>56510.9346263078</ns0:v>
      </ns0:c>
      <ns0:c r="O755" s="16">
        <ns0:f>IF('前提と出典'!$C$36+'前提と出典'!$C$38=0,0,'前提と出典'!$B$4*IF('前提と出典'!$B$20=0,MAX('前提と出典'!$B$6,D755*'前提と出典'!$B$5),'前提と出典'!$B$6+D755*'前提と出典'!$B$5))</ns0:f>
        <ns0:v>745730.4134078212</ns0:v>
      </ns0:c>
      <ns0:c r="P755" s="16">
        <ns0:f>(E755+G755)*(1-'前提と出典'!$B$7)-I755-K755-M755-O755</ns0:f>
        <ns0:v>1668064.4235597001</ns0:v>
      </ns0:c>
      <ns0:c r="Q755" s="16">
        <ns0:f>(F755+H755)*(1-'前提と出典'!$B$7)-J755-L755-N755</ns0:f>
        <ns0:v>661952.9176336385</ns0:v>
      </ns0:c>
      <ns0:c r="R755" s="16">
        <ns0:f>P755-E755*'前提と出典'!$E$4</ns0:f>
        <ns0:v>1232121.3923978985</ns0:v>
      </ns0:c>
      <ns0:c r="S755" s="16">
        <ns0:f>Q755-F755*'前提と出典'!$E$4</ns0:f>
        <ns0:v>490861.11605632596</ns0:v>
      </ns0:c>
      <ns0:c r="T755" s="7">
        <ns0:f>R755+S755</ns0:f>
        <ns0:v>1722982.5084542246</ns0:v>
      </ns0:c>
      <ns0:c r="U755" s="16">
        <ns0:f>P755-E755*'前提と出典'!$E$5</ns0:f>
        <ns0:v>1086807.0486772975</ns0:v>
      </ns0:c>
      <ns0:c r="V755" s="16">
        <ns0:f>Q755-F755*'前提と出典'!$E$5</ns0:f>
        <ns0:v>433830.51553055516</ns0:v>
      </ns0:c>
      <ns0:c r="W755" s="7">
        <ns0:f>U755+V755</ns0:f>
        <ns0:v>1520637.5642078528</ns0:v>
      </ns0:c>
      <ns0:c r="X755" s="16">
        <ns0:f>P755-E755*'前提と出典'!$E$6</ns0:f>
        <ns0:v>941492.7049566971</ns0:v>
      </ns0:c>
      <ns0:c r="Y755" s="16">
        <ns0:f>Q755-F755*'前提と出典'!$E$6</ns0:f>
        <ns0:v>376799.91500478436</ns0:v>
      </ns0:c>
      <ns0:c r="Z755" s="7">
        <ns0:f>X755+Y755</ns0:f>
        <ns0:v>1318292.6199614815</ns0:v>
      </ns0:c>
      <ns0:c r="AA755" s="7">
        <ns0:f>IF(T755&gt;=0,A755,1001)</ns0:f>
        <ns0:v>751</ns0:v>
      </ns0:c>
      <ns0:c r="AB755" s="7">
        <ns0:f>IF(T755&lt;0,A755,0)</ns0:f>
        <ns0:v>0</ns0:v>
      </ns0:c>
      <ns0:c r="AC755" s="16">
        <ns0:f>IF(AND(OR('前提と出典'!$C$36+'前提と出典'!$C$38=0,R755&gt;=0),OR('前提と出典'!$C$37+'前提と出典'!$C$38=0,S755&gt;=0)),0,A755)</ns0:f>
        <ns0:v>0</ns0:v>
      </ns0:c>
      <ns0:c r="AD755" s="7">
        <ns0:f>IF(W755&gt;=0,A755,1001)</ns0:f>
        <ns0:v>751</ns0:v>
      </ns0:c>
      <ns0:c r="AE755" s="7">
        <ns0:f>IF(W755&lt;0,A755,0)</ns0:f>
        <ns0:v>0</ns0:v>
      </ns0:c>
      <ns0:c r="AF755" s="16">
        <ns0:f>IF(AND(OR('前提と出典'!$C$36+'前提と出典'!$C$38=0,U755&gt;=0),OR('前提と出典'!$C$37+'前提と出典'!$C$38=0,V755&gt;=0)),0,A755)</ns0:f>
        <ns0:v>0</ns0:v>
      </ns0:c>
      <ns0:c r="AG755" s="7">
        <ns0:f>IF(Z755&gt;=0,A755,1001)</ns0:f>
        <ns0:v>751</ns0:v>
      </ns0:c>
      <ns0:c r="AH755" s="4">
        <ns0:f>IF(Z755&lt;0,A755,0)</ns0:f>
        <ns0:v>0</ns0:v>
      </ns0:c>
      <ns0:c r="AI755" s="12">
        <ns0:f>IF(AND(OR('前提と出典'!$C$36+'前提と出典'!$C$38=0,X755&gt;=0),OR('前提と出典'!$C$37+'前提と出典'!$C$38=0,Y755&gt;=0)),0,A755)</ns0:f>
        <ns0:v>0</ns0:v>
      </ns0:c>
    </ns0:row>
    <ns0:row r="756" ht="24" customHeight="1">
      <ns0:c r="A756" s="4" t="n">
        <ns0:v>752</ns0:v>
      </ns0:c>
      <ns0:c r="B756" s="12">
        <ns0:f>A756*('前提と出典'!$C$36+'前提と出典'!$C$38)</ns0:f>
        <ns0:v>526.4</ns0:v>
      </ns0:c>
      <ns0:c r="C756" s="12">
        <ns0:f>A756*('前提と出典'!$C$37+'前提と出典'!$C$38)</ns0:f>
        <ns0:v>451.2</ns0:v>
      </ns0:c>
      <ns0:c r="D756" s="16">
        <ns0:f>A756*('前提と出典'!$C$36*'契約別単価'!C5+'前提と出典'!$C$37*'契約別単価'!C6+'前提と出典'!$C$38*'契約別単価'!C7)</ns0:f>
        <ns0:v>5411.039106145251</ns0:v>
      </ns0:c>
      <ns0:c r="E756" s="16">
        <ns0:f>A756*('前提と出典'!$C$36*'契約別単価'!E5+'前提と出典'!$C$37*'契約別単価'!E6+'前提と出典'!$C$38*'契約別単価'!E7)</ns0:f>
        <ns0:v>1455078.381862739</ns0:v>
      </ns0:c>
      <ns0:c r="F756" s="16">
        <ns0:f>A756*('前提と出典'!$C$36*'契約別単価'!F5+'前提と出典'!$C$37*'契約別単価'!F6+'前提と出典'!$C$38*'契約別単価'!F7)</ns0:f>
        <ns0:v>571065.4007374122</ns0:v>
      </ns0:c>
      <ns0:c r="G756" s="16">
        <ns0:f>A756*('前提と出典'!$C$36*'契約別単価'!G5+'前提と出典'!$C$37*'契約別単価'!G6+'前提と出典'!$C$38*'契約別単価'!G7)</ns0:f>
        <ns0:v>1496858.100558659</ns0:v>
      </ns0:c>
      <ns0:c r="H756" s="16">
        <ns0:f>A756*('前提と出典'!$C$36*'契約別単価'!H5+'前提と出典'!$C$37*'契約別単価'!H6+'前提と出典'!$C$38*'契約別単価'!H7)</ns0:f>
        <ns0:v>519484.8342270008</ns0:v>
      </ns0:c>
      <ns0:c r="I756" s="16">
        <ns0:f>A756*('前提と出典'!$C$36*'契約別単価'!I5+'前提と出典'!$C$37*'契約別単価'!I6+'前提と出典'!$C$38*'契約別単価'!I7)</ns0:f>
        <ns0:v>31731.039106145246</ns0:v>
      </ns0:c>
      <ns0:c r="J756" s="16">
        <ns0:f>A756*('前提と出典'!$C$36*'契約別単価'!J5+'前提と出典'!$C$37*'契約別単価'!J6+'前提と出典'!$C$38*'契約別単価'!J7)</ns0:f>
        <ns0:v>73913.73687014754</ns0:v>
      </ns0:c>
      <ns0:c r="K756" s="16">
        <ns0:f>A756*('前提と出典'!$C$36*'契約別単価'!K5+'前提と出典'!$C$37*'契約別単価'!K6+'前提と出典'!$C$38*'契約別単価'!K7)</ns0:f>
        <ns0:v>316820.26070763497</ns0:v>
      </ns0:c>
      <ns0:c r="L756" s="16">
        <ns0:f>A756*('前提と出典'!$C$36*'契約別単価'!L5+'前提と出典'!$C$37*'契約別単価'!L6+'前提と出典'!$C$38*'契約別単価'!L7)</ns0:f>
        <ns0:v>257956.16114090002</ns0:v>
      </ns0:c>
      <ns0:c r="M756" s="16">
        <ns0:f>IF(('前提と出典'!$C$36+'前提と出典'!$C$38)=0,0,IF(B756&lt;=10,'前提と出典'!B73+'前提と出典'!C73,IF(B756&lt;=100,'前提と出典'!B74+'前提と出典'!C74,IF(B756&lt;=500,'前提と出典'!B75+'前提と出典'!C75,'前提と出典'!B76+'前提と出典'!C76))))</ns0:f>
        <ns0:v>80000</ns0:v>
      </ns0:c>
      <ns0:c r="N756" s="16">
        <ns0:f>IF(('前提と出典'!$C$37+'前提と出典'!$C$38)=0,0,IF(C756&lt;=10,'前提と出典'!D73+'前提と出典'!E73,IF(C756&lt;=100,'前提と出典'!D74+'前提と出典'!E74,IF(C756&lt;=500,'前提と出典'!D75+'前提と出典'!E75,'前提と出典'!D76+'前提と出典'!E76))))</ns0:f>
        <ns0:v>56510.9346263078</ns0:v>
      </ns0:c>
      <ns0:c r="O756" s="16">
        <ns0:f>IF('前提と出典'!$C$36+'前提と出典'!$C$38=0,0,'前提と出典'!$B$4*IF('前提と出典'!$B$20=0,MAX('前提と出典'!$B$6,D756*'前提と出典'!$B$5),'前提と出典'!$B$6+D756*'前提と出典'!$B$5))</ns0:f>
        <ns0:v>746723.3966480447</ns0:v>
      </ns0:c>
      <ns0:c r="P756" s="16">
        <ns0:f>(E756+G756)*(1-'前提と出典'!$B$7)-I756-K756-M756-O756</ns0:f>
        <ns0:v>1670392.0725924033</ns0:v>
      </ns0:c>
      <ns0:c r="Q756" s="16">
        <ns0:f>(F756+H756)*(1-'前提と出典'!$B$7)-J756-L756-N756</ns0:f>
        <ns0:v>662909.593868339</ns0:v>
      </ns0:c>
      <ns0:c r="R756" s="16">
        <ns0:f>P756-E756*'前提と出典'!$E$4</ns0:f>
        <ns0:v>1233868.5580335814</ns0:v>
      </ns0:c>
      <ns0:c r="S756" s="16">
        <ns0:f>Q756-F756*'前提と出典'!$E$4</ns0:f>
        <ns0:v>491589.9736471153</ns0:v>
      </ns0:c>
      <ns0:c r="T756" s="7">
        <ns0:f>R756+S756</ns0:f>
        <ns0:v>1725458.5316806966</ns0:v>
      </ns0:c>
      <ns0:c r="U756" s="16">
        <ns0:f>P756-E756*'前提と出典'!$E$5</ns0:f>
        <ns0:v>1088360.7198473075</ns0:v>
      </ns0:c>
      <ns0:c r="V756" s="16">
        <ns0:f>Q756-F756*'前提と出典'!$E$5</ns0:f>
        <ns0:v>434483.43357337406</ns0:v>
      </ns0:c>
      <ns0:c r="W756" s="7">
        <ns0:f>U756+V756</ns0:f>
        <ns0:v>1522844.1534206816</ns0:v>
      </ns0:c>
      <ns0:c r="X756" s="16">
        <ns0:f>P756-E756*'前提と出典'!$E$6</ns0:f>
        <ns0:v>942852.8816610335</ns0:v>
      </ns0:c>
      <ns0:c r="Y756" s="16">
        <ns0:f>Q756-F756*'前提と出典'!$E$6</ns0:f>
        <ns0:v>377376.89349963283</ns0:v>
      </ns0:c>
      <ns0:c r="Z756" s="7">
        <ns0:f>X756+Y756</ns0:f>
        <ns0:v>1320229.7751606663</ns0:v>
      </ns0:c>
      <ns0:c r="AA756" s="7">
        <ns0:f>IF(T756&gt;=0,A756,1001)</ns0:f>
        <ns0:v>752</ns0:v>
      </ns0:c>
      <ns0:c r="AB756" s="7">
        <ns0:f>IF(T756&lt;0,A756,0)</ns0:f>
        <ns0:v>0</ns0:v>
      </ns0:c>
      <ns0:c r="AC756" s="16">
        <ns0:f>IF(AND(OR('前提と出典'!$C$36+'前提と出典'!$C$38=0,R756&gt;=0),OR('前提と出典'!$C$37+'前提と出典'!$C$38=0,S756&gt;=0)),0,A756)</ns0:f>
        <ns0:v>0</ns0:v>
      </ns0:c>
      <ns0:c r="AD756" s="7">
        <ns0:f>IF(W756&gt;=0,A756,1001)</ns0:f>
        <ns0:v>752</ns0:v>
      </ns0:c>
      <ns0:c r="AE756" s="7">
        <ns0:f>IF(W756&lt;0,A756,0)</ns0:f>
        <ns0:v>0</ns0:v>
      </ns0:c>
      <ns0:c r="AF756" s="16">
        <ns0:f>IF(AND(OR('前提と出典'!$C$36+'前提と出典'!$C$38=0,U756&gt;=0),OR('前提と出典'!$C$37+'前提と出典'!$C$38=0,V756&gt;=0)),0,A756)</ns0:f>
        <ns0:v>0</ns0:v>
      </ns0:c>
      <ns0:c r="AG756" s="7">
        <ns0:f>IF(Z756&gt;=0,A756,1001)</ns0:f>
        <ns0:v>752</ns0:v>
      </ns0:c>
      <ns0:c r="AH756" s="4">
        <ns0:f>IF(Z756&lt;0,A756,0)</ns0:f>
        <ns0:v>0</ns0:v>
      </ns0:c>
      <ns0:c r="AI756" s="12">
        <ns0:f>IF(AND(OR('前提と出典'!$C$36+'前提と出典'!$C$38=0,X756&gt;=0),OR('前提と出典'!$C$37+'前提と出典'!$C$38=0,Y756&gt;=0)),0,A756)</ns0:f>
        <ns0:v>0</ns0:v>
      </ns0:c>
    </ns0:row>
    <ns0:row r="757" ht="24" customHeight="1">
      <ns0:c r="A757" s="4" t="n">
        <ns0:v>753</ns0:v>
      </ns0:c>
      <ns0:c r="B757" s="12">
        <ns0:f>A757*('前提と出典'!$C$36+'前提と出典'!$C$38)</ns0:f>
        <ns0:v>527.1</ns0:v>
      </ns0:c>
      <ns0:c r="C757" s="12">
        <ns0:f>A757*('前提と出典'!$C$37+'前提と出典'!$C$38)</ns0:f>
        <ns0:v>451.8</ns0:v>
      </ns0:c>
      <ns0:c r="D757" s="16">
        <ns0:f>A757*('前提と出典'!$C$36*'契約別単価'!C5+'前提と出典'!$C$37*'契約別単価'!C6+'前提と出典'!$C$38*'契約別単価'!C7)</ns0:f>
        <ns0:v>5418.234636871508</ns0:v>
      </ns0:c>
      <ns0:c r="E757" s="16">
        <ns0:f>A757*('前提と出典'!$C$36*'契約別単価'!E5+'前提と出典'!$C$37*'契約別単価'!E6+'前提と出典'!$C$38*'契約別単価'!E7)</ns0:f>
        <ns0:v>1457013.3265194716</ns0:v>
      </ns0:c>
      <ns0:c r="F757" s="16">
        <ns0:f>A757*('前提と出典'!$C$36*'契約別単価'!F5+'前提と出典'!$C$37*'契約別単価'!F6+'前提と出典'!$C$38*'契約別単価'!F7)</ns0:f>
        <ns0:v>571824.7962171162</ns0:v>
      </ns0:c>
      <ns0:c r="G757" s="16">
        <ns0:f>A757*('前提と出典'!$C$36*'契約別単価'!G5+'前提と出典'!$C$37*'契約別単価'!G6+'前提と出典'!$C$38*'契約別単価'!G7)</ns0:f>
        <ns0:v>1498848.6033519553</ns0:v>
      </ns0:c>
      <ns0:c r="H757" s="16">
        <ns0:f>A757*('前提と出典'!$C$36*'契約別単価'!H5+'前提と出典'!$C$37*'契約別単価'!H6+'前提と出典'!$C$38*'契約別単価'!H7)</ns0:f>
        <ns0:v>520175.6385278346</ns0:v>
      </ns0:c>
      <ns0:c r="I757" s="16">
        <ns0:f>A757*('前提と出典'!$C$36*'契約別単価'!I5+'前提と出典'!$C$37*'契約別単価'!I6+'前提と出典'!$C$38*'契約別単価'!I7)</ns0:f>
        <ns0:v>31773.234636871504</ns0:v>
      </ns0:c>
      <ns0:c r="J757" s="16">
        <ns0:f>A757*('前提と出典'!$C$36*'契約別単価'!J5+'前提と出典'!$C$37*'契約別単価'!J6+'前提と出典'!$C$38*'契約別単価'!J7)</ns0:f>
        <ns0:v>74012.02641385783</ns0:v>
      </ns0:c>
      <ns0:c r="K757" s="16">
        <ns0:f>A757*('前提と出典'!$C$36*'契約別単価'!K5+'前提と出典'!$C$37*'契約別単価'!K6+'前提と出典'!$C$38*'契約別単価'!K7)</ns0:f>
        <ns0:v>317241.56424581003</ns0:v>
      </ns0:c>
      <ns0:c r="L757" s="16">
        <ns0:f>A757*('前提と出典'!$C$36*'契約別単価'!L5+'前提と出典'!$C$37*'契約別単価'!L6+'前提と出典'!$C$38*'契約別単価'!L7)</ns0:f>
        <ns0:v>258299.18795092782</ns0:v>
      </ns0:c>
      <ns0:c r="M757" s="16">
        <ns0:f>IF(('前提と出典'!$C$36+'前提と出典'!$C$38)=0,0,IF(B757&lt;=10,'前提と出典'!B73+'前提と出典'!C73,IF(B757&lt;=100,'前提と出典'!B74+'前提と出典'!C74,IF(B757&lt;=500,'前提と出典'!B75+'前提と出典'!C75,'前提と出典'!B76+'前提と出典'!C76))))</ns0:f>
        <ns0:v>80000</ns0:v>
      </ns0:c>
      <ns0:c r="N757" s="16">
        <ns0:f>IF(('前提と出典'!$C$37+'前提と出典'!$C$38)=0,0,IF(C757&lt;=10,'前提と出典'!D73+'前提と出典'!E73,IF(C757&lt;=100,'前提と出典'!D74+'前提と出典'!E74,IF(C757&lt;=500,'前提と出典'!D75+'前提と出典'!E75,'前提と出典'!D76+'前提と出典'!E76))))</ns0:f>
        <ns0:v>56510.9346263078</ns0:v>
      </ns0:c>
      <ns0:c r="O757" s="16">
        <ns0:f>IF('前提と出典'!$C$36+'前提と出典'!$C$38=0,0,'前提と出典'!$B$4*IF('前提と出典'!$B$20=0,MAX('前提と出典'!$B$6,D757*'前提と出典'!$B$5),'前提と出典'!$B$6+D757*'前提と出典'!$B$5))</ns0:f>
        <ns0:v>747716.3798882682</ns0:v>
      </ns0:c>
      <ns0:c r="P757" s="16">
        <ns0:f>(E757+G757)*(1-'前提と出典'!$B$7)-I757-K757-M757-O757</ns0:f>
        <ns0:v>1672719.7216251057</ns0:v>
      </ns0:c>
      <ns0:c r="Q757" s="16">
        <ns0:f>(F757+H757)*(1-'前提と出典'!$B$7)-J757-L757-N757</ns0:f>
        <ns0:v>663866.2701030392</ns0:v>
      </ns0:c>
      <ns0:c r="R757" s="16">
        <ns0:f>P757-E757*'前提と出典'!$E$4</ns0:f>
        <ns0:v>1235615.7236692642</ns0:v>
      </ns0:c>
      <ns0:c r="S757" s="16">
        <ns0:f>Q757-F757*'前提と出典'!$E$4</ns0:f>
        <ns0:v>492318.83123790426</ns0:v>
      </ns0:c>
      <ns0:c r="T757" s="7">
        <ns0:f>R757+S757</ns0:f>
        <ns0:v>1727934.5549071685</ns0:v>
      </ns0:c>
      <ns0:c r="U757" s="16">
        <ns0:f>P757-E757*'前提と出典'!$E$5</ns0:f>
        <ns0:v>1089914.391017317</ns0:v>
      </ns0:c>
      <ns0:c r="V757" s="16">
        <ns0:f>Q757-F757*'前提と出典'!$E$5</ns0:f>
        <ns0:v>435136.35161619267</ns0:v>
      </ns0:c>
      <ns0:c r="W757" s="7">
        <ns0:f>U757+V757</ns0:f>
        <ns0:v>1525050.7426335097</ns0:v>
      </ns0:c>
      <ns0:c r="X757" s="16">
        <ns0:f>P757-E757*'前提と出典'!$E$6</ns0:f>
        <ns0:v>944213.0583653699</ns0:v>
      </ns0:c>
      <ns0:c r="Y757" s="16">
        <ns0:f>Q757-F757*'前提と出典'!$E$6</ns0:f>
        <ns0:v>377953.87199448113</ns0:v>
      </ns0:c>
      <ns0:c r="Z757" s="7">
        <ns0:f>X757+Y757</ns0:f>
        <ns0:v>1322166.930359851</ns0:v>
      </ns0:c>
      <ns0:c r="AA757" s="7">
        <ns0:f>IF(T757&gt;=0,A757,1001)</ns0:f>
        <ns0:v>753</ns0:v>
      </ns0:c>
      <ns0:c r="AB757" s="7">
        <ns0:f>IF(T757&lt;0,A757,0)</ns0:f>
        <ns0:v>0</ns0:v>
      </ns0:c>
      <ns0:c r="AC757" s="16">
        <ns0:f>IF(AND(OR('前提と出典'!$C$36+'前提と出典'!$C$38=0,R757&gt;=0),OR('前提と出典'!$C$37+'前提と出典'!$C$38=0,S757&gt;=0)),0,A757)</ns0:f>
        <ns0:v>0</ns0:v>
      </ns0:c>
      <ns0:c r="AD757" s="7">
        <ns0:f>IF(W757&gt;=0,A757,1001)</ns0:f>
        <ns0:v>753</ns0:v>
      </ns0:c>
      <ns0:c r="AE757" s="7">
        <ns0:f>IF(W757&lt;0,A757,0)</ns0:f>
        <ns0:v>0</ns0:v>
      </ns0:c>
      <ns0:c r="AF757" s="16">
        <ns0:f>IF(AND(OR('前提と出典'!$C$36+'前提と出典'!$C$38=0,U757&gt;=0),OR('前提と出典'!$C$37+'前提と出典'!$C$38=0,V757&gt;=0)),0,A757)</ns0:f>
        <ns0:v>0</ns0:v>
      </ns0:c>
      <ns0:c r="AG757" s="7">
        <ns0:f>IF(Z757&gt;=0,A757,1001)</ns0:f>
        <ns0:v>753</ns0:v>
      </ns0:c>
      <ns0:c r="AH757" s="4">
        <ns0:f>IF(Z757&lt;0,A757,0)</ns0:f>
        <ns0:v>0</ns0:v>
      </ns0:c>
      <ns0:c r="AI757" s="12">
        <ns0:f>IF(AND(OR('前提と出典'!$C$36+'前提と出典'!$C$38=0,X757&gt;=0),OR('前提と出典'!$C$37+'前提と出典'!$C$38=0,Y757&gt;=0)),0,A757)</ns0:f>
        <ns0:v>0</ns0:v>
      </ns0:c>
    </ns0:row>
    <ns0:row r="758" ht="24" customHeight="1">
      <ns0:c r="A758" s="4" t="n">
        <ns0:v>754</ns0:v>
      </ns0:c>
      <ns0:c r="B758" s="12">
        <ns0:f>A758*('前提と出典'!$C$36+'前提と出典'!$C$38)</ns0:f>
        <ns0:v>527.8</ns0:v>
      </ns0:c>
      <ns0:c r="C758" s="12">
        <ns0:f>A758*('前提と出典'!$C$37+'前提と出典'!$C$38)</ns0:f>
        <ns0:v>452.4</ns0:v>
      </ns0:c>
      <ns0:c r="D758" s="16">
        <ns0:f>A758*('前提と出典'!$C$36*'契約別単価'!C5+'前提と出典'!$C$37*'契約別単価'!C6+'前提と出典'!$C$38*'契約別単価'!C7)</ns0:f>
        <ns0:v>5425.430167597765</ns0:v>
      </ns0:c>
      <ns0:c r="E758" s="16">
        <ns0:f>A758*('前提と出典'!$C$36*'契約別単価'!E5+'前提と出典'!$C$37*'契約別単価'!E6+'前提と出典'!$C$38*'契約別単価'!E7)</ns0:f>
        <ns0:v>1458948.2711762039</ns0:v>
      </ns0:c>
      <ns0:c r="F758" s="16">
        <ns0:f>A758*('前提と出典'!$C$36*'契約別単価'!F5+'前提と出典'!$C$37*'契約別単価'!F6+'前提と出典'!$C$38*'契約別単価'!F7)</ns0:f>
        <ns0:v>572584.1916968202</ns0:v>
      </ns0:c>
      <ns0:c r="G758" s="16">
        <ns0:f>A758*('前提と出典'!$C$36*'契約別単価'!G5+'前提と出典'!$C$37*'契約別単価'!G6+'前提と出典'!$C$38*'契約別単価'!G7)</ns0:f>
        <ns0:v>1500839.1061452513</ns0:v>
      </ns0:c>
      <ns0:c r="H758" s="16">
        <ns0:f>A758*('前提と出典'!$C$36*'契約別単価'!H5+'前提と出典'!$C$37*'契約別単価'!H6+'前提と出典'!$C$38*'契約別単価'!H7)</ns0:f>
        <ns0:v>520866.4428286684</ns0:v>
      </ns0:c>
      <ns0:c r="I758" s="16">
        <ns0:f>A758*('前提と出典'!$C$36*'契約別単価'!I5+'前提と出典'!$C$37*'契約別単価'!I6+'前提と出典'!$C$38*'契約別単価'!I7)</ns0:f>
        <ns0:v>31815.43016759776</ns0:v>
      </ns0:c>
      <ns0:c r="J758" s="16">
        <ns0:f>A758*('前提と出典'!$C$36*'契約別単価'!J5+'前提と出典'!$C$37*'契約別単価'!J6+'前提と出典'!$C$38*'契約別単価'!J7)</ns0:f>
        <ns0:v>74110.31595756813</ns0:v>
      </ns0:c>
      <ns0:c r="K758" s="16">
        <ns0:f>A758*('前提と出典'!$C$36*'契約別単価'!K5+'前提と出典'!$C$37*'契約別単価'!K6+'前提と出典'!$C$38*'契約別単価'!K7)</ns0:f>
        <ns0:v>317662.8677839851</ns0:v>
      </ns0:c>
      <ns0:c r="L758" s="16">
        <ns0:f>A758*('前提と出典'!$C$36*'契約別単価'!L5+'前提と出典'!$C$37*'契約別単価'!L6+'前提と出典'!$C$38*'契約別単価'!L7)</ns0:f>
        <ns0:v>258642.2147609556</ns0:v>
      </ns0:c>
      <ns0:c r="M758" s="16">
        <ns0:f>IF(('前提と出典'!$C$36+'前提と出典'!$C$38)=0,0,IF(B758&lt;=10,'前提と出典'!B73+'前提と出典'!C73,IF(B758&lt;=100,'前提と出典'!B74+'前提と出典'!C74,IF(B758&lt;=500,'前提と出典'!B75+'前提と出典'!C75,'前提と出典'!B76+'前提と出典'!C76))))</ns0:f>
        <ns0:v>80000</ns0:v>
      </ns0:c>
      <ns0:c r="N758" s="16">
        <ns0:f>IF(('前提と出典'!$C$37+'前提と出典'!$C$38)=0,0,IF(C758&lt;=10,'前提と出典'!D73+'前提と出典'!E73,IF(C758&lt;=100,'前提と出典'!D74+'前提と出典'!E74,IF(C758&lt;=500,'前提と出典'!D75+'前提と出典'!E75,'前提と出典'!D76+'前提と出典'!E76))))</ns0:f>
        <ns0:v>56510.9346263078</ns0:v>
      </ns0:c>
      <ns0:c r="O758" s="16">
        <ns0:f>IF('前提と出典'!$C$36+'前提と出典'!$C$38=0,0,'前提と出典'!$B$4*IF('前提と出典'!$B$20=0,MAX('前提と出典'!$B$6,D758*'前提と出典'!$B$5),'前提と出典'!$B$6+D758*'前提と出典'!$B$5))</ns0:f>
        <ns0:v>748709.3631284916</ns0:v>
      </ns0:c>
      <ns0:c r="P758" s="16">
        <ns0:f>(E758+G758)*(1-'前提と出典'!$B$7)-I758-K758-M758-O758</ns0:f>
        <ns0:v>1675047.3706578081</ns0:v>
      </ns0:c>
      <ns0:c r="Q758" s="16">
        <ns0:f>(F758+H758)*(1-'前提と出典'!$B$7)-J758-L758-N758</ns0:f>
        <ns0:v>664822.9463377395</ns0:v>
      </ns0:c>
      <ns0:c r="R758" s="16">
        <ns0:f>P758-E758*'前提と出典'!$E$4</ns0:f>
        <ns0:v>1237362.889304947</ns0:v>
      </ns0:c>
      <ns0:c r="S758" s="16">
        <ns0:f>Q758-F758*'前提と出典'!$E$4</ns0:f>
        <ns0:v>493047.68882869347</ns0:v>
      </ns0:c>
      <ns0:c r="T758" s="7">
        <ns0:f>R758+S758</ns0:f>
        <ns0:v>1730410.5781336406</ns0:v>
      </ns0:c>
      <ns0:c r="U758" s="16">
        <ns0:f>P758-E758*'前提と出典'!$E$5</ns0:f>
        <ns0:v>1091468.0621873266</ns0:v>
      </ns0:c>
      <ns0:c r="V758" s="16">
        <ns0:f>Q758-F758*'前提と出典'!$E$5</ns0:f>
        <ns0:v>435789.26965901145</ns0:v>
      </ns0:c>
      <ns0:c r="W758" s="7">
        <ns0:f>U758+V758</ns0:f>
        <ns0:v>1527257.331846338</ns0:v>
      </ns0:c>
      <ns0:c r="X758" s="16">
        <ns0:f>P758-E758*'前提と出典'!$E$6</ns0:f>
        <ns0:v>945573.2350697062</ns0:v>
      </ns0:c>
      <ns0:c r="Y758" s="16">
        <ns0:f>Q758-F758*'前提と出典'!$E$6</ns0:f>
        <ns0:v>378530.8504893294</ns0:v>
      </ns0:c>
      <ns0:c r="Z758" s="7">
        <ns0:f>X758+Y758</ns0:f>
        <ns0:v>1324104.0855590357</ns0:v>
      </ns0:c>
      <ns0:c r="AA758" s="7">
        <ns0:f>IF(T758&gt;=0,A758,1001)</ns0:f>
        <ns0:v>754</ns0:v>
      </ns0:c>
      <ns0:c r="AB758" s="7">
        <ns0:f>IF(T758&lt;0,A758,0)</ns0:f>
        <ns0:v>0</ns0:v>
      </ns0:c>
      <ns0:c r="AC758" s="16">
        <ns0:f>IF(AND(OR('前提と出典'!$C$36+'前提と出典'!$C$38=0,R758&gt;=0),OR('前提と出典'!$C$37+'前提と出典'!$C$38=0,S758&gt;=0)),0,A758)</ns0:f>
        <ns0:v>0</ns0:v>
      </ns0:c>
      <ns0:c r="AD758" s="7">
        <ns0:f>IF(W758&gt;=0,A758,1001)</ns0:f>
        <ns0:v>754</ns0:v>
      </ns0:c>
      <ns0:c r="AE758" s="7">
        <ns0:f>IF(W758&lt;0,A758,0)</ns0:f>
        <ns0:v>0</ns0:v>
      </ns0:c>
      <ns0:c r="AF758" s="16">
        <ns0:f>IF(AND(OR('前提と出典'!$C$36+'前提と出典'!$C$38=0,U758&gt;=0),OR('前提と出典'!$C$37+'前提と出典'!$C$38=0,V758&gt;=0)),0,A758)</ns0:f>
        <ns0:v>0</ns0:v>
      </ns0:c>
      <ns0:c r="AG758" s="7">
        <ns0:f>IF(Z758&gt;=0,A758,1001)</ns0:f>
        <ns0:v>754</ns0:v>
      </ns0:c>
      <ns0:c r="AH758" s="4">
        <ns0:f>IF(Z758&lt;0,A758,0)</ns0:f>
        <ns0:v>0</ns0:v>
      </ns0:c>
      <ns0:c r="AI758" s="12">
        <ns0:f>IF(AND(OR('前提と出典'!$C$36+'前提と出典'!$C$38=0,X758&gt;=0),OR('前提と出典'!$C$37+'前提と出典'!$C$38=0,Y758&gt;=0)),0,A758)</ns0:f>
        <ns0:v>0</ns0:v>
      </ns0:c>
    </ns0:row>
    <ns0:row r="759" ht="24" customHeight="1">
      <ns0:c r="A759" s="4" t="n">
        <ns0:v>755</ns0:v>
      </ns0:c>
      <ns0:c r="B759" s="12">
        <ns0:f>A759*('前提と出典'!$C$36+'前提と出典'!$C$38)</ns0:f>
        <ns0:v>528.5</ns0:v>
      </ns0:c>
      <ns0:c r="C759" s="12">
        <ns0:f>A759*('前提と出典'!$C$37+'前提と出典'!$C$38)</ns0:f>
        <ns0:v>453</ns0:v>
      </ns0:c>
      <ns0:c r="D759" s="16">
        <ns0:f>A759*('前提と出典'!$C$36*'契約別単価'!C5+'前提と出典'!$C$37*'契約別単価'!C6+'前提と出典'!$C$38*'契約別単価'!C7)</ns0:f>
        <ns0:v>5432.625698324022</ns0:v>
      </ns0:c>
      <ns0:c r="E759" s="16">
        <ns0:f>A759*('前提と出典'!$C$36*'契約別単価'!E5+'前提と出典'!$C$37*'契約別単価'!E6+'前提と出典'!$C$38*'契約別単価'!E7)</ns0:f>
        <ns0:v>1460883.2158329363</ns0:v>
      </ns0:c>
      <ns0:c r="F759" s="16">
        <ns0:f>A759*('前提と出典'!$C$36*'契約別単価'!F5+'前提と出典'!$C$37*'契約別単価'!F6+'前提と出典'!$C$38*'契約別単価'!F7)</ns0:f>
        <ns0:v>573343.5871765242</ns0:v>
      </ns0:c>
      <ns0:c r="G759" s="16">
        <ns0:f>A759*('前提と出典'!$C$36*'契約別単価'!G5+'前提と出典'!$C$37*'契約別単価'!G6+'前提と出典'!$C$38*'契約別単価'!G7)</ns0:f>
        <ns0:v>1502829.6089385473</ns0:v>
      </ns0:c>
      <ns0:c r="H759" s="16">
        <ns0:f>A759*('前提と出典'!$C$36*'契約別単価'!H5+'前提と出典'!$C$37*'契約別単価'!H6+'前提と出典'!$C$38*'契約別単価'!H7)</ns0:f>
        <ns0:v>521557.2471295022</ns0:v>
      </ns0:c>
      <ns0:c r="I759" s="16">
        <ns0:f>A759*('前提と出典'!$C$36*'契約別単価'!I5+'前提と出典'!$C$37*'契約別単価'!I6+'前提と出典'!$C$38*'契約別単価'!I7)</ns0:f>
        <ns0:v>31857.625698324016</ns0:v>
      </ns0:c>
      <ns0:c r="J759" s="16">
        <ns0:f>A759*('前提と出典'!$C$36*'契約別単価'!J5+'前提と出典'!$C$37*'契約別単価'!J6+'前提と出典'!$C$38*'契約別単価'!J7)</ns0:f>
        <ns0:v>74208.60550127843</ns0:v>
      </ns0:c>
      <ns0:c r="K759" s="16">
        <ns0:f>A759*('前提と出典'!$C$36*'契約別単価'!K5+'前提と出典'!$C$37*'契約別単価'!K6+'前提と出典'!$C$38*'契約別単価'!K7)</ns0:f>
        <ns0:v>318084.1713221601</ns0:v>
      </ns0:c>
      <ns0:c r="L759" s="16">
        <ns0:f>A759*('前提と出典'!$C$36*'契約別単価'!L5+'前提と出典'!$C$37*'契約別単価'!L6+'前提と出典'!$C$38*'契約別単価'!L7)</ns0:f>
        <ns0:v>258985.2415709834</ns0:v>
      </ns0:c>
      <ns0:c r="M759" s="16">
        <ns0:f>IF(('前提と出典'!$C$36+'前提と出典'!$C$38)=0,0,IF(B759&lt;=10,'前提と出典'!B73+'前提と出典'!C73,IF(B759&lt;=100,'前提と出典'!B74+'前提と出典'!C74,IF(B759&lt;=500,'前提と出典'!B75+'前提と出典'!C75,'前提と出典'!B76+'前提と出典'!C76))))</ns0:f>
        <ns0:v>80000</ns0:v>
      </ns0:c>
      <ns0:c r="N759" s="16">
        <ns0:f>IF(('前提と出典'!$C$37+'前提と出典'!$C$38)=0,0,IF(C759&lt;=10,'前提と出典'!D73+'前提と出典'!E73,IF(C759&lt;=100,'前提と出典'!D74+'前提と出典'!E74,IF(C759&lt;=500,'前提と出典'!D75+'前提と出典'!E75,'前提と出典'!D76+'前提と出典'!E76))))</ns0:f>
        <ns0:v>56510.9346263078</ns0:v>
      </ns0:c>
      <ns0:c r="O759" s="16">
        <ns0:f>IF('前提と出典'!$C$36+'前提と出典'!$C$38=0,0,'前提と出典'!$B$4*IF('前提と出典'!$B$20=0,MAX('前提と出典'!$B$6,D759*'前提と出典'!$B$5),'前提と出典'!$B$6+D759*'前提と出典'!$B$5))</ns0:f>
        <ns0:v>749702.346368715</ns0:v>
      </ns0:c>
      <ns0:c r="P759" s="16">
        <ns0:f>(E759+G759)*(1-'前提と出典'!$B$7)-I759-K759-M759-O759</ns0:f>
        <ns0:v>1677375.0196905113</ns0:v>
      </ns0:c>
      <ns0:c r="Q759" s="16">
        <ns0:f>(F759+H759)*(1-'前提と出典'!$B$7)-J759-L759-N759</ns0:f>
        <ns0:v>665779.6225724397</ns0:v>
      </ns0:c>
      <ns0:c r="R759" s="16">
        <ns0:f>P759-E759*'前提と出典'!$E$4</ns0:f>
        <ns0:v>1239110.0549406302</ns0:v>
      </ns0:c>
      <ns0:c r="S759" s="16">
        <ns0:f>Q759-F759*'前提と出典'!$E$4</ns0:f>
        <ns0:v>493776.54641948245</ns0:v>
      </ns0:c>
      <ns0:c r="T759" s="7">
        <ns0:f>R759+S759</ns0:f>
        <ns0:v>1732886.6013601127</ns0:v>
      </ns0:c>
      <ns0:c r="U759" s="16">
        <ns0:f>P759-E759*'前提と出典'!$E$5</ns0:f>
        <ns0:v>1093021.7333573368</ns0:v>
      </ns0:c>
      <ns0:c r="V759" s="16">
        <ns0:f>Q759-F759*'前提と出典'!$E$5</ns0:f>
        <ns0:v>436442.18770183006</ns0:v>
      </ns0:c>
      <ns0:c r="W759" s="7">
        <ns0:f>U759+V759</ns0:f>
        <ns0:v>1529463.921059167</ns0:v>
      </ns0:c>
      <ns0:c r="X759" s="16">
        <ns0:f>P759-E759*'前提と出典'!$E$6</ns0:f>
        <ns0:v>946933.4117740426</ns0:v>
      </ns0:c>
      <ns0:c r="Y759" s="16">
        <ns0:f>Q759-F759*'前提と出典'!$E$6</ns0:f>
        <ns0:v>379107.8289841777</ns0:v>
      </ns0:c>
      <ns0:c r="Z759" s="7">
        <ns0:f>X759+Y759</ns0:f>
        <ns0:v>1326041.2407582202</ns0:v>
      </ns0:c>
      <ns0:c r="AA759" s="7">
        <ns0:f>IF(T759&gt;=0,A759,1001)</ns0:f>
        <ns0:v>755</ns0:v>
      </ns0:c>
      <ns0:c r="AB759" s="7">
        <ns0:f>IF(T759&lt;0,A759,0)</ns0:f>
        <ns0:v>0</ns0:v>
      </ns0:c>
      <ns0:c r="AC759" s="16">
        <ns0:f>IF(AND(OR('前提と出典'!$C$36+'前提と出典'!$C$38=0,R759&gt;=0),OR('前提と出典'!$C$37+'前提と出典'!$C$38=0,S759&gt;=0)),0,A759)</ns0:f>
        <ns0:v>0</ns0:v>
      </ns0:c>
      <ns0:c r="AD759" s="7">
        <ns0:f>IF(W759&gt;=0,A759,1001)</ns0:f>
        <ns0:v>755</ns0:v>
      </ns0:c>
      <ns0:c r="AE759" s="7">
        <ns0:f>IF(W759&lt;0,A759,0)</ns0:f>
        <ns0:v>0</ns0:v>
      </ns0:c>
      <ns0:c r="AF759" s="16">
        <ns0:f>IF(AND(OR('前提と出典'!$C$36+'前提と出典'!$C$38=0,U759&gt;=0),OR('前提と出典'!$C$37+'前提と出典'!$C$38=0,V759&gt;=0)),0,A759)</ns0:f>
        <ns0:v>0</ns0:v>
      </ns0:c>
      <ns0:c r="AG759" s="7">
        <ns0:f>IF(Z759&gt;=0,A759,1001)</ns0:f>
        <ns0:v>755</ns0:v>
      </ns0:c>
      <ns0:c r="AH759" s="4">
        <ns0:f>IF(Z759&lt;0,A759,0)</ns0:f>
        <ns0:v>0</ns0:v>
      </ns0:c>
      <ns0:c r="AI759" s="12">
        <ns0:f>IF(AND(OR('前提と出典'!$C$36+'前提と出典'!$C$38=0,X759&gt;=0),OR('前提と出典'!$C$37+'前提と出典'!$C$38=0,Y759&gt;=0)),0,A759)</ns0:f>
        <ns0:v>0</ns0:v>
      </ns0:c>
    </ns0:row>
    <ns0:row r="760" ht="24" customHeight="1">
      <ns0:c r="A760" s="4" t="n">
        <ns0:v>756</ns0:v>
      </ns0:c>
      <ns0:c r="B760" s="12">
        <ns0:f>A760*('前提と出典'!$C$36+'前提と出典'!$C$38)</ns0:f>
        <ns0:v>529.1999999999999</ns0:v>
      </ns0:c>
      <ns0:c r="C760" s="12">
        <ns0:f>A760*('前提と出典'!$C$37+'前提と出典'!$C$38)</ns0:f>
        <ns0:v>453.59999999999997</ns0:v>
      </ns0:c>
      <ns0:c r="D760" s="16">
        <ns0:f>A760*('前提と出典'!$C$36*'契約別単価'!C5+'前提と出典'!$C$37*'契約別単価'!C6+'前提と出典'!$C$38*'契約別単価'!C7)</ns0:f>
        <ns0:v>5439.82122905028</ns0:v>
      </ns0:c>
      <ns0:c r="E760" s="16">
        <ns0:f>A760*('前提と出典'!$C$36*'契約別単価'!E5+'前提と出典'!$C$37*'契約別単価'!E6+'前提と出典'!$C$38*'契約別単価'!E7)</ns0:f>
        <ns0:v>1462818.1604896686</ns0:v>
      </ns0:c>
      <ns0:c r="F760" s="16">
        <ns0:f>A760*('前提と出典'!$C$36*'契約別単価'!F5+'前提と出典'!$C$37*'契約別単価'!F6+'前提と出典'!$C$38*'契約別単価'!F7)</ns0:f>
        <ns0:v>574102.9826562282</ns0:v>
      </ns0:c>
      <ns0:c r="G760" s="16">
        <ns0:f>A760*('前提と出典'!$C$36*'契約別単価'!G5+'前提と出典'!$C$37*'契約別単価'!G6+'前提と出典'!$C$38*'契約別単価'!G7)</ns0:f>
        <ns0:v>1504820.1117318436</ns0:v>
      </ns0:c>
      <ns0:c r="H760" s="16">
        <ns0:f>A760*('前提と出典'!$C$36*'契約別単価'!H5+'前提と出典'!$C$37*'契約別単価'!H6+'前提と出典'!$C$38*'契約別単価'!H7)</ns0:f>
        <ns0:v>522248.0514303359</ns0:v>
      </ns0:c>
      <ns0:c r="I760" s="16">
        <ns0:f>A760*('前提と出典'!$C$36*'契約別単価'!I5+'前提と出典'!$C$37*'契約別単価'!I6+'前提と出典'!$C$38*'契約別単価'!I7)</ns0:f>
        <ns0:v>31899.821229050274</ns0:v>
      </ns0:c>
      <ns0:c r="J760" s="16">
        <ns0:f>A760*('前提と出典'!$C$36*'契約別単価'!J5+'前提と出典'!$C$37*'契約別単価'!J6+'前提と出典'!$C$38*'契約別単価'!J7)</ns0:f>
        <ns0:v>74306.89504498873</ns0:v>
      </ns0:c>
      <ns0:c r="K760" s="16">
        <ns0:f>A760*('前提と出典'!$C$36*'契約別単価'!K5+'前提と出典'!$C$37*'契約別単価'!K6+'前提と出典'!$C$38*'契約別単価'!K7)</ns0:f>
        <ns0:v>318505.4748603352</ns0:v>
      </ns0:c>
      <ns0:c r="L760" s="16">
        <ns0:f>A760*('前提と出典'!$C$36*'契約別単価'!L5+'前提と出典'!$C$37*'契約別単価'!L6+'前提と出典'!$C$38*'契約別単価'!L7)</ns0:f>
        <ns0:v>259328.26838101118</ns0:v>
      </ns0:c>
      <ns0:c r="M760" s="16">
        <ns0:f>IF(('前提と出典'!$C$36+'前提と出典'!$C$38)=0,0,IF(B760&lt;=10,'前提と出典'!B73+'前提と出典'!C73,IF(B760&lt;=100,'前提と出典'!B74+'前提と出典'!C74,IF(B760&lt;=500,'前提と出典'!B75+'前提と出典'!C75,'前提と出典'!B76+'前提と出典'!C76))))</ns0:f>
        <ns0:v>80000</ns0:v>
      </ns0:c>
      <ns0:c r="N760" s="16">
        <ns0:f>IF(('前提と出典'!$C$37+'前提と出典'!$C$38)=0,0,IF(C760&lt;=10,'前提と出典'!D73+'前提と出典'!E73,IF(C760&lt;=100,'前提と出典'!D74+'前提と出典'!E74,IF(C760&lt;=500,'前提と出典'!D75+'前提と出典'!E75,'前提と出典'!D76+'前提と出典'!E76))))</ns0:f>
        <ns0:v>56510.9346263078</ns0:v>
      </ns0:c>
      <ns0:c r="O760" s="16">
        <ns0:f>IF('前提と出典'!$C$36+'前提と出典'!$C$38=0,0,'前提と出典'!$B$4*IF('前提と出典'!$B$20=0,MAX('前提と出典'!$B$6,D760*'前提と出典'!$B$5),'前提と出典'!$B$6+D760*'前提と出典'!$B$5))</ns0:f>
        <ns0:v>750695.3296089387</ns0:v>
      </ns0:c>
      <ns0:c r="P760" s="16">
        <ns0:f>(E760+G760)*(1-'前提と出典'!$B$7)-I760-K760-M760-O760</ns0:f>
        <ns0:v>1679702.6687232135</ns0:v>
      </ns0:c>
      <ns0:c r="Q760" s="16">
        <ns0:f>(F760+H760)*(1-'前提と出典'!$B$7)-J760-L760-N760</ns0:f>
        <ns0:v>666736.2988071402</ns0:v>
      </ns0:c>
      <ns0:c r="R760" s="16">
        <ns0:f>P760-E760*'前提と出典'!$E$4</ns0:f>
        <ns0:v>1240857.2205763129</ns0:v>
      </ns0:c>
      <ns0:c r="S760" s="16">
        <ns0:f>Q760-F760*'前提と出典'!$E$4</ns0:f>
        <ns0:v>494505.40401027165</ns0:v>
      </ns0:c>
      <ns0:c r="T760" s="7">
        <ns0:f>R760+S760</ns0:f>
        <ns0:v>1735362.6245865845</ns0:v>
      </ns0:c>
      <ns0:c r="U760" s="16">
        <ns0:f>P760-E760*'前提と出典'!$E$5</ns0:f>
        <ns0:v>1094575.4045273461</ns0:v>
      </ns0:c>
      <ns0:c r="V760" s="16">
        <ns0:f>Q760-F760*'前提と出典'!$E$5</ns0:f>
        <ns0:v>437095.10574464884</ns0:v>
      </ns0:c>
      <ns0:c r="W760" s="7">
        <ns0:f>U760+V760</ns0:f>
        <ns0:v>1531670.5102719949</ns0:v>
      </ns0:c>
      <ns0:c r="X760" s="16">
        <ns0:f>P760-E760*'前提と出典'!$E$6</ns0:f>
        <ns0:v>948293.588478379</ns0:v>
      </ns0:c>
      <ns0:c r="Y760" s="16">
        <ns0:f>Q760-F760*'前提と出典'!$E$6</ns0:f>
        <ns0:v>379684.8074790259</ns0:v>
      </ns0:c>
      <ns0:c r="Z760" s="7">
        <ns0:f>X760+Y760</ns0:f>
        <ns0:v>1327978.3959574047</ns0:v>
      </ns0:c>
      <ns0:c r="AA760" s="7">
        <ns0:f>IF(T760&gt;=0,A760,1001)</ns0:f>
        <ns0:v>756</ns0:v>
      </ns0:c>
      <ns0:c r="AB760" s="7">
        <ns0:f>IF(T760&lt;0,A760,0)</ns0:f>
        <ns0:v>0</ns0:v>
      </ns0:c>
      <ns0:c r="AC760" s="16">
        <ns0:f>IF(AND(OR('前提と出典'!$C$36+'前提と出典'!$C$38=0,R760&gt;=0),OR('前提と出典'!$C$37+'前提と出典'!$C$38=0,S760&gt;=0)),0,A760)</ns0:f>
        <ns0:v>0</ns0:v>
      </ns0:c>
      <ns0:c r="AD760" s="7">
        <ns0:f>IF(W760&gt;=0,A760,1001)</ns0:f>
        <ns0:v>756</ns0:v>
      </ns0:c>
      <ns0:c r="AE760" s="7">
        <ns0:f>IF(W760&lt;0,A760,0)</ns0:f>
        <ns0:v>0</ns0:v>
      </ns0:c>
      <ns0:c r="AF760" s="16">
        <ns0:f>IF(AND(OR('前提と出典'!$C$36+'前提と出典'!$C$38=0,U760&gt;=0),OR('前提と出典'!$C$37+'前提と出典'!$C$38=0,V760&gt;=0)),0,A760)</ns0:f>
        <ns0:v>0</ns0:v>
      </ns0:c>
      <ns0:c r="AG760" s="7">
        <ns0:f>IF(Z760&gt;=0,A760,1001)</ns0:f>
        <ns0:v>756</ns0:v>
      </ns0:c>
      <ns0:c r="AH760" s="4">
        <ns0:f>IF(Z760&lt;0,A760,0)</ns0:f>
        <ns0:v>0</ns0:v>
      </ns0:c>
      <ns0:c r="AI760" s="12">
        <ns0:f>IF(AND(OR('前提と出典'!$C$36+'前提と出典'!$C$38=0,X760&gt;=0),OR('前提と出典'!$C$37+'前提と出典'!$C$38=0,Y760&gt;=0)),0,A760)</ns0:f>
        <ns0:v>0</ns0:v>
      </ns0:c>
    </ns0:row>
    <ns0:row r="761" ht="24" customHeight="1">
      <ns0:c r="A761" s="4" t="n">
        <ns0:v>757</ns0:v>
      </ns0:c>
      <ns0:c r="B761" s="12">
        <ns0:f>A761*('前提と出典'!$C$36+'前提と出典'!$C$38)</ns0:f>
        <ns0:v>529.9</ns0:v>
      </ns0:c>
      <ns0:c r="C761" s="12">
        <ns0:f>A761*('前提と出典'!$C$37+'前提と出典'!$C$38)</ns0:f>
        <ns0:v>454.2</ns0:v>
      </ns0:c>
      <ns0:c r="D761" s="16">
        <ns0:f>A761*('前提と出典'!$C$36*'契約別単価'!C5+'前提と出典'!$C$37*'契約別単価'!C6+'前提と出典'!$C$38*'契約別単価'!C7)</ns0:f>
        <ns0:v>5447.016759776537</ns0:v>
      </ns0:c>
      <ns0:c r="E761" s="16">
        <ns0:f>A761*('前提と出典'!$C$36*'契約別単価'!E5+'前提と出典'!$C$37*'契約別単価'!E6+'前提と出典'!$C$38*'契約別単価'!E7)</ns0:f>
        <ns0:v>1464753.105146401</ns0:v>
      </ns0:c>
      <ns0:c r="F761" s="16">
        <ns0:f>A761*('前提と出典'!$C$36*'契約別単価'!F5+'前提と出典'!$C$37*'契約別単価'!F6+'前提と出典'!$C$38*'契約別単価'!F7)</ns0:f>
        <ns0:v>574862.3781359321</ns0:v>
      </ns0:c>
      <ns0:c r="G761" s="16">
        <ns0:f>A761*('前提と出典'!$C$36*'契約別単価'!G5+'前提と出典'!$C$37*'契約別単価'!G6+'前提と出典'!$C$38*'契約別単価'!G7)</ns0:f>
        <ns0:v>1506810.6145251396</ns0:v>
      </ns0:c>
      <ns0:c r="H761" s="16">
        <ns0:f>A761*('前提と出典'!$C$36*'契約別単価'!H5+'前提と出典'!$C$37*'契約別単価'!H6+'前提と出典'!$C$38*'契約別単価'!H7)</ns0:f>
        <ns0:v>522938.8557311697</ns0:v>
      </ns0:c>
      <ns0:c r="I761" s="16">
        <ns0:f>A761*('前提と出典'!$C$36*'契約別単価'!I5+'前提と出典'!$C$37*'契約別単価'!I6+'前提と出典'!$C$38*'契約別単価'!I7)</ns0:f>
        <ns0:v>31942.016759776532</ns0:v>
      </ns0:c>
      <ns0:c r="J761" s="16">
        <ns0:f>A761*('前提と出典'!$C$36*'契約別単価'!J5+'前提と出典'!$C$37*'契約別単価'!J6+'前提と出典'!$C$38*'契約別単価'!J7)</ns0:f>
        <ns0:v>74405.18458869905</ns0:v>
      </ns0:c>
      <ns0:c r="K761" s="16">
        <ns0:f>A761*('前提と出典'!$C$36*'契約別単価'!K5+'前提と出典'!$C$37*'契約別単価'!K6+'前提と出典'!$C$38*'契約別単価'!K7)</ns0:f>
        <ns0:v>318926.77839851024</ns0:v>
      </ns0:c>
      <ns0:c r="L761" s="16">
        <ns0:f>A761*('前提と出典'!$C$36*'契約別単価'!L5+'前提と出典'!$C$37*'契約別単価'!L6+'前提と出典'!$C$38*'契約別単価'!L7)</ns0:f>
        <ns0:v>259671.29519103898</ns0:v>
      </ns0:c>
      <ns0:c r="M761" s="16">
        <ns0:f>IF(('前提と出典'!$C$36+'前提と出典'!$C$38)=0,0,IF(B761&lt;=10,'前提と出典'!B73+'前提と出典'!C73,IF(B761&lt;=100,'前提と出典'!B74+'前提と出典'!C74,IF(B761&lt;=500,'前提と出典'!B75+'前提と出典'!C75,'前提と出典'!B76+'前提と出典'!C76))))</ns0:f>
        <ns0:v>80000</ns0:v>
      </ns0:c>
      <ns0:c r="N761" s="16">
        <ns0:f>IF(('前提と出典'!$C$37+'前提と出典'!$C$38)=0,0,IF(C761&lt;=10,'前提と出典'!D73+'前提と出典'!E73,IF(C761&lt;=100,'前提と出典'!D74+'前提と出典'!E74,IF(C761&lt;=500,'前提と出典'!D75+'前提と出典'!E75,'前提と出典'!D76+'前提と出典'!E76))))</ns0:f>
        <ns0:v>56510.9346263078</ns0:v>
      </ns0:c>
      <ns0:c r="O761" s="16">
        <ns0:f>IF('前提と出典'!$C$36+'前提と出典'!$C$38=0,0,'前提と出典'!$B$4*IF('前提と出典'!$B$20=0,MAX('前提と出典'!$B$6,D761*'前提と出典'!$B$5),'前提と出典'!$B$6+D761*'前提と出典'!$B$5))</ns0:f>
        <ns0:v>751688.3128491621</ns0:v>
      </ns0:c>
      <ns0:c r="P761" s="16">
        <ns0:f>(E761+G761)*(1-'前提と出典'!$B$7)-I761-K761-M761-O761</ns0:f>
        <ns0:v>1682030.3177559166</ns0:v>
      </ns0:c>
      <ns0:c r="Q761" s="16">
        <ns0:f>(F761+H761)*(1-'前提と出典'!$B$7)-J761-L761-N761</ns0:f>
        <ns0:v>667692.9750418403</ns0:v>
      </ns0:c>
      <ns0:c r="R761" s="16">
        <ns0:f>P761-E761*'前提と出典'!$E$4</ns0:f>
        <ns0:v>1242604.3862119962</ns0:v>
      </ns0:c>
      <ns0:c r="S761" s="16">
        <ns0:f>Q761-F761*'前提と出典'!$E$4</ns0:f>
        <ns0:v>495234.26160106075</ns0:v>
      </ns0:c>
      <ns0:c r="T761" s="7">
        <ns0:f>R761+S761</ns0:f>
        <ns0:v>1737838.647813057</ns0:v>
      </ns0:c>
      <ns0:c r="U761" s="16">
        <ns0:f>P761-E761*'前提と出典'!$E$5</ns0:f>
        <ns0:v>1096129.0756973561</ns0:v>
      </ns0:c>
      <ns0:c r="V761" s="16">
        <ns0:f>Q761-F761*'前提と出典'!$E$5</ns0:f>
        <ns0:v>437748.0237874675</ns0:v>
      </ns0:c>
      <ns0:c r="W761" s="7">
        <ns0:f>U761+V761</ns0:f>
        <ns0:v>1533877.0994848236</ns0:v>
      </ns0:c>
      <ns0:c r="X761" s="16">
        <ns0:f>P761-E761*'前提と出典'!$E$6</ns0:f>
        <ns0:v>949653.7651827161</ns0:v>
      </ns0:c>
      <ns0:c r="Y761" s="16">
        <ns0:f>Q761-F761*'前提と出典'!$E$6</ns0:f>
        <ns0:v>380261.78597387427</ns0:v>
      </ns0:c>
      <ns0:c r="Z761" s="7">
        <ns0:f>X761+Y761</ns0:f>
        <ns0:v>1329915.5511565902</ns0:v>
      </ns0:c>
      <ns0:c r="AA761" s="7">
        <ns0:f>IF(T761&gt;=0,A761,1001)</ns0:f>
        <ns0:v>757</ns0:v>
      </ns0:c>
      <ns0:c r="AB761" s="7">
        <ns0:f>IF(T761&lt;0,A761,0)</ns0:f>
        <ns0:v>0</ns0:v>
      </ns0:c>
      <ns0:c r="AC761" s="16">
        <ns0:f>IF(AND(OR('前提と出典'!$C$36+'前提と出典'!$C$38=0,R761&gt;=0),OR('前提と出典'!$C$37+'前提と出典'!$C$38=0,S761&gt;=0)),0,A761)</ns0:f>
        <ns0:v>0</ns0:v>
      </ns0:c>
      <ns0:c r="AD761" s="7">
        <ns0:f>IF(W761&gt;=0,A761,1001)</ns0:f>
        <ns0:v>757</ns0:v>
      </ns0:c>
      <ns0:c r="AE761" s="7">
        <ns0:f>IF(W761&lt;0,A761,0)</ns0:f>
        <ns0:v>0</ns0:v>
      </ns0:c>
      <ns0:c r="AF761" s="16">
        <ns0:f>IF(AND(OR('前提と出典'!$C$36+'前提と出典'!$C$38=0,U761&gt;=0),OR('前提と出典'!$C$37+'前提と出典'!$C$38=0,V761&gt;=0)),0,A761)</ns0:f>
        <ns0:v>0</ns0:v>
      </ns0:c>
      <ns0:c r="AG761" s="7">
        <ns0:f>IF(Z761&gt;=0,A761,1001)</ns0:f>
        <ns0:v>757</ns0:v>
      </ns0:c>
      <ns0:c r="AH761" s="4">
        <ns0:f>IF(Z761&lt;0,A761,0)</ns0:f>
        <ns0:v>0</ns0:v>
      </ns0:c>
      <ns0:c r="AI761" s="12">
        <ns0:f>IF(AND(OR('前提と出典'!$C$36+'前提と出典'!$C$38=0,X761&gt;=0),OR('前提と出典'!$C$37+'前提と出典'!$C$38=0,Y761&gt;=0)),0,A761)</ns0:f>
        <ns0:v>0</ns0:v>
      </ns0:c>
    </ns0:row>
    <ns0:row r="762" ht="24" customHeight="1">
      <ns0:c r="A762" s="4" t="n">
        <ns0:v>758</ns0:v>
      </ns0:c>
      <ns0:c r="B762" s="12">
        <ns0:f>A762*('前提と出典'!$C$36+'前提と出典'!$C$38)</ns0:f>
        <ns0:v>530.6</ns0:v>
      </ns0:c>
      <ns0:c r="C762" s="12">
        <ns0:f>A762*('前提と出典'!$C$37+'前提と出典'!$C$38)</ns0:f>
        <ns0:v>454.8</ns0:v>
      </ns0:c>
      <ns0:c r="D762" s="16">
        <ns0:f>A762*('前提と出典'!$C$36*'契約別単価'!C5+'前提と出典'!$C$37*'契約別単価'!C6+'前提と出典'!$C$38*'契約別単価'!C7)</ns0:f>
        <ns0:v>5454.212290502794</ns0:v>
      </ns0:c>
      <ns0:c r="E762" s="16">
        <ns0:f>A762*('前提と出典'!$C$36*'契約別単価'!E5+'前提と出典'!$C$37*'契約別単価'!E6+'前提と出典'!$C$38*'契約別単価'!E7)</ns0:f>
        <ns0:v>1466688.0498031334</ns0:v>
      </ns0:c>
      <ns0:c r="F762" s="16">
        <ns0:f>A762*('前提と出典'!$C$36*'契約別単価'!F5+'前提と出典'!$C$37*'契約別単価'!F6+'前提と出典'!$C$38*'契約別単価'!F7)</ns0:f>
        <ns0:v>575621.7736156362</ns0:v>
      </ns0:c>
      <ns0:c r="G762" s="16">
        <ns0:f>A762*('前提と出典'!$C$36*'契約別単価'!G5+'前提と出典'!$C$37*'契約別単価'!G6+'前提と出典'!$C$38*'契約別単価'!G7)</ns0:f>
        <ns0:v>1508801.1173184356</ns0:v>
      </ns0:c>
      <ns0:c r="H762" s="16">
        <ns0:f>A762*('前提と出典'!$C$36*'契約別単価'!H5+'前提と出典'!$C$37*'契約別単価'!H6+'前提と出典'!$C$38*'契約別単価'!H7)</ns0:f>
        <ns0:v>523629.6600320035</ns0:v>
      </ns0:c>
      <ns0:c r="I762" s="16">
        <ns0:f>A762*('前提と出典'!$C$36*'契約別単価'!I5+'前提と出典'!$C$37*'契約別単価'!I6+'前提と出典'!$C$38*'契約別単価'!I7)</ns0:f>
        <ns0:v>31984.212290502786</ns0:v>
      </ns0:c>
      <ns0:c r="J762" s="16">
        <ns0:f>A762*('前提と出典'!$C$36*'契約別単価'!J5+'前提と出典'!$C$37*'契約別単価'!J6+'前提と出典'!$C$38*'契約別単価'!J7)</ns0:f>
        <ns0:v>74503.47413240935</ns0:v>
      </ns0:c>
      <ns0:c r="K762" s="16">
        <ns0:f>A762*('前提と出典'!$C$36*'契約別単価'!K5+'前提と出典'!$C$37*'契約別単価'!K6+'前提と出典'!$C$38*'契約別単価'!K7)</ns0:f>
        <ns0:v>319348.08193668525</ns0:v>
      </ns0:c>
      <ns0:c r="L762" s="16">
        <ns0:f>A762*('前提と出典'!$C$36*'契約別単価'!L5+'前提と出典'!$C$37*'契約別単価'!L6+'前提と出典'!$C$38*'契約別単価'!L7)</ns0:f>
        <ns0:v>260014.3220010668</ns0:v>
      </ns0:c>
      <ns0:c r="M762" s="16">
        <ns0:f>IF(('前提と出典'!$C$36+'前提と出典'!$C$38)=0,0,IF(B762&lt;=10,'前提と出典'!B73+'前提と出典'!C73,IF(B762&lt;=100,'前提と出典'!B74+'前提と出典'!C74,IF(B762&lt;=500,'前提と出典'!B75+'前提と出典'!C75,'前提と出典'!B76+'前提と出典'!C76))))</ns0:f>
        <ns0:v>80000</ns0:v>
      </ns0:c>
      <ns0:c r="N762" s="16">
        <ns0:f>IF(('前提と出典'!$C$37+'前提と出典'!$C$38)=0,0,IF(C762&lt;=10,'前提と出典'!D73+'前提と出典'!E73,IF(C762&lt;=100,'前提と出典'!D74+'前提と出典'!E74,IF(C762&lt;=500,'前提と出典'!D75+'前提と出典'!E75,'前提と出典'!D76+'前提と出典'!E76))))</ns0:f>
        <ns0:v>56510.9346263078</ns0:v>
      </ns0:c>
      <ns0:c r="O762" s="16">
        <ns0:f>IF('前提と出典'!$C$36+'前提と出典'!$C$38=0,0,'前提と出典'!$B$4*IF('前提と出典'!$B$20=0,MAX('前提と出典'!$B$6,D762*'前提と出典'!$B$5),'前提と出典'!$B$6+D762*'前提と出典'!$B$5))</ns0:f>
        <ns0:v>752681.2960893855</ns0:v>
      </ns0:c>
      <ns0:c r="P762" s="16">
        <ns0:f>(E762+G762)*(1-'前提と出典'!$B$7)-I762-K762-M762-O762</ns0:f>
        <ns0:v>1684357.9667886186</ns0:v>
      </ns0:c>
      <ns0:c r="Q762" s="16">
        <ns0:f>(F762+H762)*(1-'前提と出典'!$B$7)-J762-L762-N762</ns0:f>
        <ns0:v>668649.6512765407</ns0:v>
      </ns0:c>
      <ns0:c r="R762" s="16">
        <ns0:f>P762-E762*'前提と出典'!$E$4</ns0:f>
        <ns0:v>1244351.5518476786</ns0:v>
      </ns0:c>
      <ns0:c r="S762" s="16">
        <ns0:f>Q762-F762*'前提と出典'!$E$4</ns0:f>
        <ns0:v>495963.11919184984</ns0:v>
      </ns0:c>
      <ns0:c r="T762" s="7">
        <ns0:f>R762+S762</ns0:f>
        <ns0:v>1740314.6710395284</ns0:v>
      </ns0:c>
      <ns0:c r="U762" s="16">
        <ns0:f>P762-E762*'前提と出典'!$E$5</ns0:f>
        <ns0:v>1097682.7468673652</ns0:v>
      </ns0:c>
      <ns0:c r="V762" s="16">
        <ns0:f>Q762-F762*'前提と出典'!$E$5</ns0:f>
        <ns0:v>438400.9418302863</ns0:v>
      </ns0:c>
      <ns0:c r="W762" s="7">
        <ns0:f>U762+V762</ns0:f>
        <ns0:v>1536083.6886976515</ns0:v>
      </ns0:c>
      <ns0:c r="X762" s="16">
        <ns0:f>P762-E762*'前提と出典'!$E$6</ns0:f>
        <ns0:v>951013.9418870524</ns0:v>
      </ns0:c>
      <ns0:c r="Y762" s="16">
        <ns0:f>Q762-F762*'前提と出典'!$E$6</ns0:f>
        <ns0:v>380838.7644687226</ns0:v>
      </ns0:c>
      <ns0:c r="Z762" s="7">
        <ns0:f>X762+Y762</ns0:f>
        <ns0:v>1331852.706355775</ns0:v>
      </ns0:c>
      <ns0:c r="AA762" s="7">
        <ns0:f>IF(T762&gt;=0,A762,1001)</ns0:f>
        <ns0:v>758</ns0:v>
      </ns0:c>
      <ns0:c r="AB762" s="7">
        <ns0:f>IF(T762&lt;0,A762,0)</ns0:f>
        <ns0:v>0</ns0:v>
      </ns0:c>
      <ns0:c r="AC762" s="16">
        <ns0:f>IF(AND(OR('前提と出典'!$C$36+'前提と出典'!$C$38=0,R762&gt;=0),OR('前提と出典'!$C$37+'前提と出典'!$C$38=0,S762&gt;=0)),0,A762)</ns0:f>
        <ns0:v>0</ns0:v>
      </ns0:c>
      <ns0:c r="AD762" s="7">
        <ns0:f>IF(W762&gt;=0,A762,1001)</ns0:f>
        <ns0:v>758</ns0:v>
      </ns0:c>
      <ns0:c r="AE762" s="7">
        <ns0:f>IF(W762&lt;0,A762,0)</ns0:f>
        <ns0:v>0</ns0:v>
      </ns0:c>
      <ns0:c r="AF762" s="16">
        <ns0:f>IF(AND(OR('前提と出典'!$C$36+'前提と出典'!$C$38=0,U762&gt;=0),OR('前提と出典'!$C$37+'前提と出典'!$C$38=0,V762&gt;=0)),0,A762)</ns0:f>
        <ns0:v>0</ns0:v>
      </ns0:c>
      <ns0:c r="AG762" s="7">
        <ns0:f>IF(Z762&gt;=0,A762,1001)</ns0:f>
        <ns0:v>758</ns0:v>
      </ns0:c>
      <ns0:c r="AH762" s="4">
        <ns0:f>IF(Z762&lt;0,A762,0)</ns0:f>
        <ns0:v>0</ns0:v>
      </ns0:c>
      <ns0:c r="AI762" s="12">
        <ns0:f>IF(AND(OR('前提と出典'!$C$36+'前提と出典'!$C$38=0,X762&gt;=0),OR('前提と出典'!$C$37+'前提と出典'!$C$38=0,Y762&gt;=0)),0,A762)</ns0:f>
        <ns0:v>0</ns0:v>
      </ns0:c>
    </ns0:row>
    <ns0:row r="763" ht="24" customHeight="1">
      <ns0:c r="A763" s="4" t="n">
        <ns0:v>759</ns0:v>
      </ns0:c>
      <ns0:c r="B763" s="12">
        <ns0:f>A763*('前提と出典'!$C$36+'前提と出典'!$C$38)</ns0:f>
        <ns0:v>531.3</ns0:v>
      </ns0:c>
      <ns0:c r="C763" s="12">
        <ns0:f>A763*('前提と出典'!$C$37+'前提と出典'!$C$38)</ns0:f>
        <ns0:v>455.4</ns0:v>
      </ns0:c>
      <ns0:c r="D763" s="16">
        <ns0:f>A763*('前提と出典'!$C$36*'契約別単価'!C5+'前提と出典'!$C$37*'契約別単価'!C6+'前提と出典'!$C$38*'契約別単価'!C7)</ns0:f>
        <ns0:v>5461.407821229051</ns0:v>
      </ns0:c>
      <ns0:c r="E763" s="16">
        <ns0:f>A763*('前提と出典'!$C$36*'契約別単価'!E5+'前提と出典'!$C$37*'契約別単価'!E6+'前提と出典'!$C$38*'契約別単価'!E7)</ns0:f>
        <ns0:v>1468622.9944598658</ns0:v>
      </ns0:c>
      <ns0:c r="F763" s="16">
        <ns0:f>A763*('前提と出典'!$C$36*'契約別単価'!F5+'前提と出典'!$C$37*'契約別単価'!F6+'前提と出典'!$C$38*'契約別単価'!F7)</ns0:f>
        <ns0:v>576381.1690953402</ns0:v>
      </ns0:c>
      <ns0:c r="G763" s="16">
        <ns0:f>A763*('前提と出典'!$C$36*'契約別単価'!G5+'前提と出典'!$C$37*'契約別単価'!G6+'前提と出典'!$C$38*'契約別単価'!G7)</ns0:f>
        <ns0:v>1510791.6201117318</ns0:v>
      </ns0:c>
      <ns0:c r="H763" s="16">
        <ns0:f>A763*('前提と出典'!$C$36*'契約別単価'!H5+'前提と出典'!$C$37*'契約別単価'!H6+'前提と出典'!$C$38*'契約別単価'!H7)</ns0:f>
        <ns0:v>524320.4643328373</ns0:v>
      </ns0:c>
      <ns0:c r="I763" s="16">
        <ns0:f>A763*('前提と出典'!$C$36*'契約別単価'!I5+'前提と出典'!$C$37*'契約別単価'!I6+'前提と出典'!$C$38*'契約別単価'!I7)</ns0:f>
        <ns0:v>32026.407821229044</ns0:v>
      </ns0:c>
      <ns0:c r="J763" s="16">
        <ns0:f>A763*('前提と出典'!$C$36*'契約別単価'!J5+'前提と出典'!$C$37*'契約別単価'!J6+'前提と出典'!$C$38*'契約別単価'!J7)</ns0:f>
        <ns0:v>74601.76367611965</ns0:v>
      </ns0:c>
      <ns0:c r="K763" s="16">
        <ns0:f>A763*('前提と出典'!$C$36*'契約別単価'!K5+'前提と出典'!$C$37*'契約別単価'!K6+'前提と出典'!$C$38*'契約別単価'!K7)</ns0:f>
        <ns0:v>319769.3854748603</ns0:v>
      </ns0:c>
      <ns0:c r="L763" s="16">
        <ns0:f>A763*('前提と出典'!$C$36*'契約別単価'!L5+'前提と出典'!$C$37*'契約別単価'!L6+'前提と出典'!$C$38*'契約別単価'!L7)</ns0:f>
        <ns0:v>260357.34881109456</ns0:v>
      </ns0:c>
      <ns0:c r="M763" s="16">
        <ns0:f>IF(('前提と出典'!$C$36+'前提と出典'!$C$38)=0,0,IF(B763&lt;=10,'前提と出典'!B73+'前提と出典'!C73,IF(B763&lt;=100,'前提と出典'!B74+'前提と出典'!C74,IF(B763&lt;=500,'前提と出典'!B75+'前提と出典'!C75,'前提と出典'!B76+'前提と出典'!C76))))</ns0:f>
        <ns0:v>80000</ns0:v>
      </ns0:c>
      <ns0:c r="N763" s="16">
        <ns0:f>IF(('前提と出典'!$C$37+'前提と出典'!$C$38)=0,0,IF(C763&lt;=10,'前提と出典'!D73+'前提と出典'!E73,IF(C763&lt;=100,'前提と出典'!D74+'前提と出典'!E74,IF(C763&lt;=500,'前提と出典'!D75+'前提と出典'!E75,'前提と出典'!D76+'前提と出典'!E76))))</ns0:f>
        <ns0:v>56510.9346263078</ns0:v>
      </ns0:c>
      <ns0:c r="O763" s="16">
        <ns0:f>IF('前提と出典'!$C$36+'前提と出典'!$C$38=0,0,'前提と出典'!$B$4*IF('前提と出典'!$B$20=0,MAX('前提と出典'!$B$6,D763*'前提と出典'!$B$5),'前提と出典'!$B$6+D763*'前提と出典'!$B$5))</ns0:f>
        <ns0:v>753674.279329609</ns0:v>
      </ns0:c>
      <ns0:c r="P763" s="16">
        <ns0:f>(E763+G763)*(1-'前提と出典'!$B$7)-I763-K763-M763-O763</ns0:f>
        <ns0:v>1686685.6158213215</ns0:v>
      </ns0:c>
      <ns0:c r="Q763" s="16">
        <ns0:f>(F763+H763)*(1-'前提と出典'!$B$7)-J763-L763-N763</ns0:f>
        <ns0:v>669606.327511241</ns0:v>
      </ns0:c>
      <ns0:c r="R763" s="16">
        <ns0:f>P763-E763*'前提と出典'!$E$4</ns0:f>
        <ns0:v>1246098.7174833617</ns0:v>
      </ns0:c>
      <ns0:c r="S763" s="16">
        <ns0:f>Q763-F763*'前提と出典'!$E$4</ns0:f>
        <ns0:v>496691.9767826389</ns0:v>
      </ns0:c>
      <ns0:c r="T763" s="7">
        <ns0:f>R763+S763</ns0:f>
        <ns0:v>1742790.6942660008</ns0:v>
      </ns0:c>
      <ns0:c r="U763" s="16">
        <ns0:f>P763-E763*'前提と出典'!$E$5</ns0:f>
        <ns0:v>1099236.418037375</ns0:v>
      </ns0:c>
      <ns0:c r="V763" s="16">
        <ns0:f>Q763-F763*'前提と出典'!$E$5</ns0:f>
        <ns0:v>439053.85987310484</ns0:v>
      </ns0:c>
      <ns0:c r="W763" s="7">
        <ns0:f>U763+V763</ns0:f>
        <ns0:v>1538290.2779104798</ns0:v>
      </ns0:c>
      <ns0:c r="X763" s="16">
        <ns0:f>P763-E763*'前提と出典'!$E$6</ns0:f>
        <ns0:v>952374.1185913888</ns0:v>
      </ns0:c>
      <ns0:c r="Y763" s="16">
        <ns0:f>Q763-F763*'前提と出典'!$E$6</ns0:f>
        <ns0:v>381415.74296357087</ns0:v>
      </ns0:c>
      <ns0:c r="Z763" s="7">
        <ns0:f>X763+Y763</ns0:f>
        <ns0:v>1333789.8615549598</ns0:v>
      </ns0:c>
      <ns0:c r="AA763" s="7">
        <ns0:f>IF(T763&gt;=0,A763,1001)</ns0:f>
        <ns0:v>759</ns0:v>
      </ns0:c>
      <ns0:c r="AB763" s="7">
        <ns0:f>IF(T763&lt;0,A763,0)</ns0:f>
        <ns0:v>0</ns0:v>
      </ns0:c>
      <ns0:c r="AC763" s="16">
        <ns0:f>IF(AND(OR('前提と出典'!$C$36+'前提と出典'!$C$38=0,R763&gt;=0),OR('前提と出典'!$C$37+'前提と出典'!$C$38=0,S763&gt;=0)),0,A763)</ns0:f>
        <ns0:v>0</ns0:v>
      </ns0:c>
      <ns0:c r="AD763" s="7">
        <ns0:f>IF(W763&gt;=0,A763,1001)</ns0:f>
        <ns0:v>759</ns0:v>
      </ns0:c>
      <ns0:c r="AE763" s="7">
        <ns0:f>IF(W763&lt;0,A763,0)</ns0:f>
        <ns0:v>0</ns0:v>
      </ns0:c>
      <ns0:c r="AF763" s="16">
        <ns0:f>IF(AND(OR('前提と出典'!$C$36+'前提と出典'!$C$38=0,U763&gt;=0),OR('前提と出典'!$C$37+'前提と出典'!$C$38=0,V763&gt;=0)),0,A763)</ns0:f>
        <ns0:v>0</ns0:v>
      </ns0:c>
      <ns0:c r="AG763" s="7">
        <ns0:f>IF(Z763&gt;=0,A763,1001)</ns0:f>
        <ns0:v>759</ns0:v>
      </ns0:c>
      <ns0:c r="AH763" s="4">
        <ns0:f>IF(Z763&lt;0,A763,0)</ns0:f>
        <ns0:v>0</ns0:v>
      </ns0:c>
      <ns0:c r="AI763" s="12">
        <ns0:f>IF(AND(OR('前提と出典'!$C$36+'前提と出典'!$C$38=0,X763&gt;=0),OR('前提と出典'!$C$37+'前提と出典'!$C$38=0,Y763&gt;=0)),0,A763)</ns0:f>
        <ns0:v>0</ns0:v>
      </ns0:c>
    </ns0:row>
    <ns0:row r="764" ht="24" customHeight="1">
      <ns0:c r="A764" s="4" t="n">
        <ns0:v>760</ns0:v>
      </ns0:c>
      <ns0:c r="B764" s="12">
        <ns0:f>A764*('前提と出典'!$C$36+'前提と出典'!$C$38)</ns0:f>
        <ns0:v>532</ns0:v>
      </ns0:c>
      <ns0:c r="C764" s="12">
        <ns0:f>A764*('前提と出典'!$C$37+'前提と出典'!$C$38)</ns0:f>
        <ns0:v>456</ns0:v>
      </ns0:c>
      <ns0:c r="D764" s="16">
        <ns0:f>A764*('前提と出典'!$C$36*'契約別単価'!C5+'前提と出典'!$C$37*'契約別単価'!C6+'前提と出典'!$C$38*'契約別単価'!C7)</ns0:f>
        <ns0:v>5468.6033519553075</ns0:v>
      </ns0:c>
      <ns0:c r="E764" s="16">
        <ns0:f>A764*('前提と出典'!$C$36*'契約別単価'!E5+'前提と出典'!$C$37*'契約別単価'!E6+'前提と出典'!$C$38*'契約別単価'!E7)</ns0:f>
        <ns0:v>1470557.939116598</ns0:v>
      </ns0:c>
      <ns0:c r="F764" s="16">
        <ns0:f>A764*('前提と出典'!$C$36*'契約別単価'!F5+'前提と出典'!$C$37*'契約別単価'!F6+'前提と出典'!$C$38*'契約別単価'!F7)</ns0:f>
        <ns0:v>577140.5645750442</ns0:v>
      </ns0:c>
      <ns0:c r="G764" s="16">
        <ns0:f>A764*('前提と出典'!$C$36*'契約別単価'!G5+'前提と出典'!$C$37*'契約別単価'!G6+'前提と出典'!$C$38*'契約別単価'!G7)</ns0:f>
        <ns0:v>1512782.1229050278</ns0:v>
      </ns0:c>
      <ns0:c r="H764" s="16">
        <ns0:f>A764*('前提と出典'!$C$36*'契約別単価'!H5+'前提と出典'!$C$37*'契約別単価'!H6+'前提と出典'!$C$38*'契約別単価'!H7)</ns0:f>
        <ns0:v>525011.268633671</ns0:v>
      </ns0:c>
      <ns0:c r="I764" s="16">
        <ns0:f>A764*('前提と出典'!$C$36*'契約別単価'!I5+'前提と出典'!$C$37*'契約別単価'!I6+'前提と出典'!$C$38*'契約別単価'!I7)</ns0:f>
        <ns0:v>32068.603351955302</ns0:v>
      </ns0:c>
      <ns0:c r="J764" s="16">
        <ns0:f>A764*('前提と出典'!$C$36*'契約別単価'!J5+'前提と出典'!$C$37*'契約別単価'!J6+'前提と出典'!$C$38*'契約別単価'!J7)</ns0:f>
        <ns0:v>74700.05321982995</ns0:v>
      </ns0:c>
      <ns0:c r="K764" s="16">
        <ns0:f>A764*('前提と出典'!$C$36*'契約別単価'!K5+'前提と出典'!$C$37*'契約別単価'!K6+'前提と出典'!$C$38*'契約別単価'!K7)</ns0:f>
        <ns0:v>320190.6890130354</ns0:v>
      </ns0:c>
      <ns0:c r="L764" s="16">
        <ns0:f>A764*('前提と出典'!$C$36*'契約別単価'!L5+'前提と出典'!$C$37*'契約別単価'!L6+'前提と出典'!$C$38*'契約別単価'!L7)</ns0:f>
        <ns0:v>260700.37562112237</ns0:v>
      </ns0:c>
      <ns0:c r="M764" s="16">
        <ns0:f>IF(('前提と出典'!$C$36+'前提と出典'!$C$38)=0,0,IF(B764&lt;=10,'前提と出典'!B73+'前提と出典'!C73,IF(B764&lt;=100,'前提と出典'!B74+'前提と出典'!C74,IF(B764&lt;=500,'前提と出典'!B75+'前提と出典'!C75,'前提と出典'!B76+'前提と出典'!C76))))</ns0:f>
        <ns0:v>80000</ns0:v>
      </ns0:c>
      <ns0:c r="N764" s="16">
        <ns0:f>IF(('前提と出典'!$C$37+'前提と出典'!$C$38)=0,0,IF(C764&lt;=10,'前提と出典'!D73+'前提と出典'!E73,IF(C764&lt;=100,'前提と出典'!D74+'前提と出典'!E74,IF(C764&lt;=500,'前提と出典'!D75+'前提と出典'!E75,'前提と出典'!D76+'前提と出典'!E76))))</ns0:f>
        <ns0:v>56510.9346263078</ns0:v>
      </ns0:c>
      <ns0:c r="O764" s="16">
        <ns0:f>IF('前提と出典'!$C$36+'前提と出典'!$C$38=0,0,'前提と出典'!$B$4*IF('前提と出典'!$B$20=0,MAX('前提と出典'!$B$6,D764*'前提と出典'!$B$5),'前提と出典'!$B$6+D764*'前提と出典'!$B$5))</ns0:f>
        <ns0:v>754667.2625698325</ns0:v>
      </ns0:c>
      <ns0:c r="P764" s="16">
        <ns0:f>(E764+G764)*(1-'前提と出典'!$B$7)-I764-K764-M764-O764</ns0:f>
        <ns0:v>1689013.2648540242</ns0:v>
      </ns0:c>
      <ns0:c r="Q764" s="16">
        <ns0:f>(F764+H764)*(1-'前提と出典'!$B$7)-J764-L764-N764</ns0:f>
        <ns0:v>670563.0037459412</ns0:v>
      </ns0:c>
      <ns0:c r="R764" s="16">
        <ns0:f>P764-E764*'前提と出典'!$E$4</ns0:f>
        <ns0:v>1247845.8831190448</ns0:v>
      </ns0:c>
      <ns0:c r="S764" s="16">
        <ns0:f>Q764-F764*'前提と出典'!$E$4</ns0:f>
        <ns0:v>497420.834373428</ns0:v>
      </ns0:c>
      <ns0:c r="T764" s="7">
        <ns0:f>R764+S764</ns0:f>
        <ns0:v>1745266.7174924728</ns0:v>
      </ns0:c>
      <ns0:c r="U764" s="16">
        <ns0:f>P764-E764*'前提と出典'!$E$5</ns0:f>
        <ns0:v>1100790.0892073847</ns0:v>
      </ns0:c>
      <ns0:c r="V764" s="16">
        <ns0:f>Q764-F764*'前提と出典'!$E$5</ns0:f>
        <ns0:v>439706.77791592357</ns0:v>
      </ns0:c>
      <ns0:c r="W764" s="7">
        <ns0:f>U764+V764</ns0:f>
        <ns0:v>1540496.8671233084</ns0:v>
      </ns0:c>
      <ns0:c r="X764" s="16">
        <ns0:f>P764-E764*'前提と出典'!$E$6</ns0:f>
        <ns0:v>953734.2952957252</ns0:v>
      </ns0:c>
      <ns0:c r="Y764" s="16">
        <ns0:f>Q764-F764*'前提と出典'!$E$6</ns0:f>
        <ns0:v>381992.72145841917</ns0:v>
      </ns0:c>
      <ns0:c r="Z764" s="7">
        <ns0:f>X764+Y764</ns0:f>
        <ns0:v>1335727.0167541443</ns0:v>
      </ns0:c>
      <ns0:c r="AA764" s="7">
        <ns0:f>IF(T764&gt;=0,A764,1001)</ns0:f>
        <ns0:v>760</ns0:v>
      </ns0:c>
      <ns0:c r="AB764" s="7">
        <ns0:f>IF(T764&lt;0,A764,0)</ns0:f>
        <ns0:v>0</ns0:v>
      </ns0:c>
      <ns0:c r="AC764" s="16">
        <ns0:f>IF(AND(OR('前提と出典'!$C$36+'前提と出典'!$C$38=0,R764&gt;=0),OR('前提と出典'!$C$37+'前提と出典'!$C$38=0,S764&gt;=0)),0,A764)</ns0:f>
        <ns0:v>0</ns0:v>
      </ns0:c>
      <ns0:c r="AD764" s="7">
        <ns0:f>IF(W764&gt;=0,A764,1001)</ns0:f>
        <ns0:v>760</ns0:v>
      </ns0:c>
      <ns0:c r="AE764" s="7">
        <ns0:f>IF(W764&lt;0,A764,0)</ns0:f>
        <ns0:v>0</ns0:v>
      </ns0:c>
      <ns0:c r="AF764" s="16">
        <ns0:f>IF(AND(OR('前提と出典'!$C$36+'前提と出典'!$C$38=0,U764&gt;=0),OR('前提と出典'!$C$37+'前提と出典'!$C$38=0,V764&gt;=0)),0,A764)</ns0:f>
        <ns0:v>0</ns0:v>
      </ns0:c>
      <ns0:c r="AG764" s="7">
        <ns0:f>IF(Z764&gt;=0,A764,1001)</ns0:f>
        <ns0:v>760</ns0:v>
      </ns0:c>
      <ns0:c r="AH764" s="4">
        <ns0:f>IF(Z764&lt;0,A764,0)</ns0:f>
        <ns0:v>0</ns0:v>
      </ns0:c>
      <ns0:c r="AI764" s="12">
        <ns0:f>IF(AND(OR('前提と出典'!$C$36+'前提と出典'!$C$38=0,X764&gt;=0),OR('前提と出典'!$C$37+'前提と出典'!$C$38=0,Y764&gt;=0)),0,A764)</ns0:f>
        <ns0:v>0</ns0:v>
      </ns0:c>
    </ns0:row>
    <ns0:row r="765" ht="24" customHeight="1">
      <ns0:c r="A765" s="4" t="n">
        <ns0:v>761</ns0:v>
      </ns0:c>
      <ns0:c r="B765" s="12">
        <ns0:f>A765*('前提と出典'!$C$36+'前提と出典'!$C$38)</ns0:f>
        <ns0:v>532.6999999999999</ns0:v>
      </ns0:c>
      <ns0:c r="C765" s="12">
        <ns0:f>A765*('前提と出典'!$C$37+'前提と出典'!$C$38)</ns0:f>
        <ns0:v>456.59999999999997</ns0:v>
      </ns0:c>
      <ns0:c r="D765" s="16">
        <ns0:f>A765*('前提と出典'!$C$36*'契約別単価'!C5+'前提と出典'!$C$37*'契約別単価'!C6+'前提と出典'!$C$38*'契約別単価'!C7)</ns0:f>
        <ns0:v>5475.7988826815645</ns0:v>
      </ns0:c>
      <ns0:c r="E765" s="16">
        <ns0:f>A765*('前提と出典'!$C$36*'契約別単価'!E5+'前提と出典'!$C$37*'契約別単価'!E6+'前提と出典'!$C$38*'契約別単価'!E7)</ns0:f>
        <ns0:v>1472492.8837733306</ns0:v>
      </ns0:c>
      <ns0:c r="F765" s="16">
        <ns0:f>A765*('前提と出典'!$C$36*'契約別単価'!F5+'前提と出典'!$C$37*'契約別単価'!F6+'前提と出典'!$C$38*'契約別単価'!F7)</ns0:f>
        <ns0:v>577899.9600547482</ns0:v>
      </ns0:c>
      <ns0:c r="G765" s="16">
        <ns0:f>A765*('前提と出典'!$C$36*'契約別単価'!G5+'前提と出典'!$C$37*'契約別単価'!G6+'前提と出典'!$C$38*'契約別単価'!G7)</ns0:f>
        <ns0:v>1514772.625698324</ns0:v>
      </ns0:c>
      <ns0:c r="H765" s="16">
        <ns0:f>A765*('前提と出典'!$C$36*'契約別単価'!H5+'前提と出典'!$C$37*'契約別単価'!H6+'前提と出典'!$C$38*'契約別単価'!H7)</ns0:f>
        <ns0:v>525702.0729345048</ns0:v>
      </ns0:c>
      <ns0:c r="I765" s="16">
        <ns0:f>A765*('前提と出典'!$C$36*'契約別単価'!I5+'前提と出典'!$C$37*'契約別単価'!I6+'前提と出典'!$C$38*'契約別単価'!I7)</ns0:f>
        <ns0:v>32110.79888268156</ns0:v>
      </ns0:c>
      <ns0:c r="J765" s="16">
        <ns0:f>A765*('前提と出典'!$C$36*'契約別単価'!J5+'前提と出典'!$C$37*'契約別単価'!J6+'前提と出典'!$C$38*'契約別単価'!J7)</ns0:f>
        <ns0:v>74798.34276354025</ns0:v>
      </ns0:c>
      <ns0:c r="K765" s="16">
        <ns0:f>A765*('前提と出典'!$C$36*'契約別単価'!K5+'前提と出典'!$C$37*'契約別単価'!K6+'前提と出典'!$C$38*'契約別単価'!K7)</ns0:f>
        <ns0:v>320611.9925512104</ns0:v>
      </ns0:c>
      <ns0:c r="L765" s="16">
        <ns0:f>A765*('前提と出典'!$C$36*'契約別単価'!L5+'前提と出典'!$C$37*'契約別単価'!L6+'前提と出典'!$C$38*'契約別単価'!L7)</ns0:f>
        <ns0:v>261043.40243115014</ns0:v>
      </ns0:c>
      <ns0:c r="M765" s="16">
        <ns0:f>IF(('前提と出典'!$C$36+'前提と出典'!$C$38)=0,0,IF(B765&lt;=10,'前提と出典'!B73+'前提と出典'!C73,IF(B765&lt;=100,'前提と出典'!B74+'前提と出典'!C74,IF(B765&lt;=500,'前提と出典'!B75+'前提と出典'!C75,'前提と出典'!B76+'前提と出典'!C76))))</ns0:f>
        <ns0:v>80000</ns0:v>
      </ns0:c>
      <ns0:c r="N765" s="16">
        <ns0:f>IF(('前提と出典'!$C$37+'前提と出典'!$C$38)=0,0,IF(C765&lt;=10,'前提と出典'!D73+'前提と出典'!E73,IF(C765&lt;=100,'前提と出典'!D74+'前提と出典'!E74,IF(C765&lt;=500,'前提と出典'!D75+'前提と出典'!E75,'前提と出典'!D76+'前提と出典'!E76))))</ns0:f>
        <ns0:v>56510.9346263078</ns0:v>
      </ns0:c>
      <ns0:c r="O765" s="16">
        <ns0:f>IF('前提と出典'!$C$36+'前提と出典'!$C$38=0,0,'前提と出典'!$B$4*IF('前提と出典'!$B$20=0,MAX('前提と出典'!$B$6,D765*'前提と出典'!$B$5),'前提と出典'!$B$6+D765*'前提と出典'!$B$5))</ns0:f>
        <ns0:v>755660.245810056</ns0:v>
      </ns0:c>
      <ns0:c r="P765" s="16">
        <ns0:f>(E765+G765)*(1-'前提と出典'!$B$7)-I765-K765-M765-O765</ns0:f>
        <ns0:v>1691340.9138867273</ns0:v>
      </ns0:c>
      <ns0:c r="Q765" s="16">
        <ns0:f>(F765+H765)*(1-'前提と出典'!$B$7)-J765-L765-N765</ns0:f>
        <ns0:v>671519.6799806417</ns0:v>
      </ns0:c>
      <ns0:c r="R765" s="16">
        <ns0:f>P765-E765*'前提と出典'!$E$4</ns0:f>
        <ns0:v>1249593.048754728</ns0:v>
      </ns0:c>
      <ns0:c r="S765" s="16">
        <ns0:f>Q765-F765*'前提と出典'!$E$4</ns0:f>
        <ns0:v>498149.6919642172</ns0:v>
      </ns0:c>
      <ns0:c r="T765" s="7">
        <ns0:f>R765+S765</ns0:f>
        <ns0:v>1747742.7407189452</ns0:v>
      </ns0:c>
      <ns0:c r="U765" s="16">
        <ns0:f>P765-E765*'前提と出典'!$E$5</ns0:f>
        <ns0:v>1102343.760377395</ns0:v>
      </ns0:c>
      <ns0:c r="V765" s="16">
        <ns0:f>Q765-F765*'前提と出典'!$E$5</ns0:f>
        <ns0:v>440359.69595874246</ns0:v>
      </ns0:c>
      <ns0:c r="W765" s="7">
        <ns0:f>U765+V765</ns0:f>
        <ns0:v>1542703.4563361374</ns0:v>
      </ns0:c>
      <ns0:c r="X765" s="16">
        <ns0:f>P765-E765*'前提と出典'!$E$6</ns0:f>
        <ns0:v>955094.4720000621</ns0:v>
      </ns0:c>
      <ns0:c r="Y765" s="16">
        <ns0:f>Q765-F765*'前提と出典'!$E$6</ns0:f>
        <ns0:v>382569.69995326764</ns0:v>
      </ns0:c>
      <ns0:c r="Z765" s="7">
        <ns0:f>X765+Y765</ns0:f>
        <ns0:v>1337664.1719533298</ns0:v>
      </ns0:c>
      <ns0:c r="AA765" s="7">
        <ns0:f>IF(T765&gt;=0,A765,1001)</ns0:f>
        <ns0:v>761</ns0:v>
      </ns0:c>
      <ns0:c r="AB765" s="7">
        <ns0:f>IF(T765&lt;0,A765,0)</ns0:f>
        <ns0:v>0</ns0:v>
      </ns0:c>
      <ns0:c r="AC765" s="16">
        <ns0:f>IF(AND(OR('前提と出典'!$C$36+'前提と出典'!$C$38=0,R765&gt;=0),OR('前提と出典'!$C$37+'前提と出典'!$C$38=0,S765&gt;=0)),0,A765)</ns0:f>
        <ns0:v>0</ns0:v>
      </ns0:c>
      <ns0:c r="AD765" s="7">
        <ns0:f>IF(W765&gt;=0,A765,1001)</ns0:f>
        <ns0:v>761</ns0:v>
      </ns0:c>
      <ns0:c r="AE765" s="7">
        <ns0:f>IF(W765&lt;0,A765,0)</ns0:f>
        <ns0:v>0</ns0:v>
      </ns0:c>
      <ns0:c r="AF765" s="16">
        <ns0:f>IF(AND(OR('前提と出典'!$C$36+'前提と出典'!$C$38=0,U765&gt;=0),OR('前提と出典'!$C$37+'前提と出典'!$C$38=0,V765&gt;=0)),0,A765)</ns0:f>
        <ns0:v>0</ns0:v>
      </ns0:c>
      <ns0:c r="AG765" s="7">
        <ns0:f>IF(Z765&gt;=0,A765,1001)</ns0:f>
        <ns0:v>761</ns0:v>
      </ns0:c>
      <ns0:c r="AH765" s="4">
        <ns0:f>IF(Z765&lt;0,A765,0)</ns0:f>
        <ns0:v>0</ns0:v>
      </ns0:c>
      <ns0:c r="AI765" s="12">
        <ns0:f>IF(AND(OR('前提と出典'!$C$36+'前提と出典'!$C$38=0,X765&gt;=0),OR('前提と出典'!$C$37+'前提と出典'!$C$38=0,Y765&gt;=0)),0,A765)</ns0:f>
        <ns0:v>0</ns0:v>
      </ns0:c>
    </ns0:row>
    <ns0:row r="766" ht="24" customHeight="1">
      <ns0:c r="A766" s="4" t="n">
        <ns0:v>762</ns0:v>
      </ns0:c>
      <ns0:c r="B766" s="12">
        <ns0:f>A766*('前提と出典'!$C$36+'前提と出典'!$C$38)</ns0:f>
        <ns0:v>533.4</ns0:v>
      </ns0:c>
      <ns0:c r="C766" s="12">
        <ns0:f>A766*('前提と出典'!$C$37+'前提と出典'!$C$38)</ns0:f>
        <ns0:v>457.2</ns0:v>
      </ns0:c>
      <ns0:c r="D766" s="16">
        <ns0:f>A766*('前提と出典'!$C$36*'契約別単価'!C5+'前提と出典'!$C$37*'契約別単価'!C6+'前提と出典'!$C$38*'契約別単価'!C7)</ns0:f>
        <ns0:v>5482.994413407821</ns0:v>
      </ns0:c>
      <ns0:c r="E766" s="16">
        <ns0:f>A766*('前提と出典'!$C$36*'契約別単価'!E5+'前提と出典'!$C$37*'契約別単価'!E6+'前提と出典'!$C$38*'契約別単価'!E7)</ns0:f>
        <ns0:v>1474427.8284300629</ns0:v>
      </ns0:c>
      <ns0:c r="F766" s="16">
        <ns0:f>A766*('前提と出典'!$C$36*'契約別単価'!F5+'前提と出典'!$C$37*'契約別単価'!F6+'前提と出典'!$C$38*'契約別単価'!F7)</ns0:f>
        <ns0:v>578659.3555344522</ns0:v>
      </ns0:c>
      <ns0:c r="G766" s="16">
        <ns0:f>A766*('前提と出典'!$C$36*'契約別単価'!G5+'前提と出典'!$C$37*'契約別単価'!G6+'前提と出典'!$C$38*'契約別単価'!G7)</ns0:f>
        <ns0:v>1516763.12849162</ns0:v>
      </ns0:c>
      <ns0:c r="H766" s="16">
        <ns0:f>A766*('前提と出典'!$C$36*'契約別単価'!H5+'前提と出典'!$C$37*'契約別単価'!H6+'前提と出典'!$C$38*'契約別単価'!H7)</ns0:f>
        <ns0:v>526392.8772353386</ns0:v>
      </ns0:c>
      <ns0:c r="I766" s="16">
        <ns0:f>A766*('前提と出典'!$C$36*'契約別単価'!I5+'前提と出典'!$C$37*'契約別単価'!I6+'前提と出典'!$C$38*'契約別単価'!I7)</ns0:f>
        <ns0:v>32152.994413407814</ns0:v>
      </ns0:c>
      <ns0:c r="J766" s="16">
        <ns0:f>A766*('前提と出典'!$C$36*'契約別単価'!J5+'前提と出典'!$C$37*'契約別単価'!J6+'前提と出典'!$C$38*'契約別単価'!J7)</ns0:f>
        <ns0:v>74896.63230725056</ns0:v>
      </ns0:c>
      <ns0:c r="K766" s="16">
        <ns0:f>A766*('前提と出典'!$C$36*'契約別単価'!K5+'前提と出典'!$C$37*'契約別単価'!K6+'前提と出典'!$C$38*'契約別単価'!K7)</ns0:f>
        <ns0:v>321033.29608938546</ns0:v>
      </ns0:c>
      <ns0:c r="L766" s="16">
        <ns0:f>A766*('前提と出典'!$C$36*'契約別単価'!L5+'前提と出典'!$C$37*'契約別単価'!L6+'前提と出典'!$C$38*'契約別単価'!L7)</ns0:f>
        <ns0:v>261386.42924117795</ns0:v>
      </ns0:c>
      <ns0:c r="M766" s="16">
        <ns0:f>IF(('前提と出典'!$C$36+'前提と出典'!$C$38)=0,0,IF(B766&lt;=10,'前提と出典'!B73+'前提と出典'!C73,IF(B766&lt;=100,'前提と出典'!B74+'前提と出典'!C74,IF(B766&lt;=500,'前提と出典'!B75+'前提と出典'!C75,'前提と出典'!B76+'前提と出典'!C76))))</ns0:f>
        <ns0:v>80000</ns0:v>
      </ns0:c>
      <ns0:c r="N766" s="16">
        <ns0:f>IF(('前提と出典'!$C$37+'前提と出典'!$C$38)=0,0,IF(C766&lt;=10,'前提と出典'!D73+'前提と出典'!E73,IF(C766&lt;=100,'前提と出典'!D74+'前提と出典'!E74,IF(C766&lt;=500,'前提と出典'!D75+'前提と出典'!E75,'前提と出典'!D76+'前提と出典'!E76))))</ns0:f>
        <ns0:v>56510.9346263078</ns0:v>
      </ns0:c>
      <ns0:c r="O766" s="16">
        <ns0:f>IF('前提と出典'!$C$36+'前提と出典'!$C$38=0,0,'前提と出典'!$B$4*IF('前提と出典'!$B$20=0,MAX('前提と出典'!$B$6,D766*'前提と出典'!$B$5),'前提と出典'!$B$6+D766*'前提と出典'!$B$5))</ns0:f>
        <ns0:v>756653.2290502794</ns0:v>
      </ns0:c>
      <ns0:c r="P766" s="16">
        <ns0:f>(E766+G766)*(1-'前提と出典'!$B$7)-I766-K766-M766-O766</ns0:f>
        <ns0:v>1693668.5629194295</ns0:v>
      </ns0:c>
      <ns0:c r="Q766" s="16">
        <ns0:f>(F766+H766)*(1-'前提と出典'!$B$7)-J766-L766-N766</ns0:f>
        <ns0:v>672476.3562153421</ns0:v>
      </ns0:c>
      <ns0:c r="R766" s="16">
        <ns0:f>P766-E766*'前提と出典'!$E$4</ns0:f>
        <ns0:v>1251340.2143904106</ns0:v>
      </ns0:c>
      <ns0:c r="S766" s="16">
        <ns0:f>Q766-F766*'前提と出典'!$E$4</ns0:f>
        <ns0:v>498878.54955500644</ns0:v>
      </ns0:c>
      <ns0:c r="T766" s="7">
        <ns0:f>R766+S766</ns0:f>
        <ns0:v>1750218.763945417</ns0:v>
      </ns0:c>
      <ns0:c r="U766" s="16">
        <ns0:f>P766-E766*'前提と出典'!$E$5</ns0:f>
        <ns0:v>1103897.4315474043</ns0:v>
      </ns0:c>
      <ns0:c r="V766" s="16">
        <ns0:f>Q766-F766*'前提と出典'!$E$5</ns0:f>
        <ns0:v>441012.6140015612</ns0:v>
      </ns0:c>
      <ns0:c r="W766" s="7">
        <ns0:f>U766+V766</ns0:f>
        <ns0:v>1544910.0455489655</ns0:v>
      </ns0:c>
      <ns0:c r="X766" s="16">
        <ns0:f>P766-E766*'前提と出典'!$E$6</ns0:f>
        <ns0:v>956454.648704398</ns0:v>
      </ns0:c>
      <ns0:c r="Y766" s="16">
        <ns0:f>Q766-F766*'前提と出典'!$E$6</ns0:f>
        <ns0:v>383146.67844811594</ns0:v>
      </ns0:c>
      <ns0:c r="Z766" s="7">
        <ns0:f>X766+Y766</ns0:f>
        <ns0:v>1339601.327152514</ns0:v>
      </ns0:c>
      <ns0:c r="AA766" s="7">
        <ns0:f>IF(T766&gt;=0,A766,1001)</ns0:f>
        <ns0:v>762</ns0:v>
      </ns0:c>
      <ns0:c r="AB766" s="7">
        <ns0:f>IF(T766&lt;0,A766,0)</ns0:f>
        <ns0:v>0</ns0:v>
      </ns0:c>
      <ns0:c r="AC766" s="16">
        <ns0:f>IF(AND(OR('前提と出典'!$C$36+'前提と出典'!$C$38=0,R766&gt;=0),OR('前提と出典'!$C$37+'前提と出典'!$C$38=0,S766&gt;=0)),0,A766)</ns0:f>
        <ns0:v>0</ns0:v>
      </ns0:c>
      <ns0:c r="AD766" s="7">
        <ns0:f>IF(W766&gt;=0,A766,1001)</ns0:f>
        <ns0:v>762</ns0:v>
      </ns0:c>
      <ns0:c r="AE766" s="7">
        <ns0:f>IF(W766&lt;0,A766,0)</ns0:f>
        <ns0:v>0</ns0:v>
      </ns0:c>
      <ns0:c r="AF766" s="16">
        <ns0:f>IF(AND(OR('前提と出典'!$C$36+'前提と出典'!$C$38=0,U766&gt;=0),OR('前提と出典'!$C$37+'前提と出典'!$C$38=0,V766&gt;=0)),0,A766)</ns0:f>
        <ns0:v>0</ns0:v>
      </ns0:c>
      <ns0:c r="AG766" s="7">
        <ns0:f>IF(Z766&gt;=0,A766,1001)</ns0:f>
        <ns0:v>762</ns0:v>
      </ns0:c>
      <ns0:c r="AH766" s="4">
        <ns0:f>IF(Z766&lt;0,A766,0)</ns0:f>
        <ns0:v>0</ns0:v>
      </ns0:c>
      <ns0:c r="AI766" s="12">
        <ns0:f>IF(AND(OR('前提と出典'!$C$36+'前提と出典'!$C$38=0,X766&gt;=0),OR('前提と出典'!$C$37+'前提と出典'!$C$38=0,Y766&gt;=0)),0,A766)</ns0:f>
        <ns0:v>0</ns0:v>
      </ns0:c>
    </ns0:row>
    <ns0:row r="767" ht="24" customHeight="1">
      <ns0:c r="A767" s="4" t="n">
        <ns0:v>763</ns0:v>
      </ns0:c>
      <ns0:c r="B767" s="12">
        <ns0:f>A767*('前提と出典'!$C$36+'前提と出典'!$C$38)</ns0:f>
        <ns0:v>534.1</ns0:v>
      </ns0:c>
      <ns0:c r="C767" s="12">
        <ns0:f>A767*('前提と出典'!$C$37+'前提と出典'!$C$38)</ns0:f>
        <ns0:v>457.8</ns0:v>
      </ns0:c>
      <ns0:c r="D767" s="16">
        <ns0:f>A767*('前提と出典'!$C$36*'契約別単価'!C5+'前提と出典'!$C$37*'契約別単価'!C6+'前提と出典'!$C$38*'契約別単価'!C7)</ns0:f>
        <ns0:v>5490.189944134078</ns0:v>
      </ns0:c>
      <ns0:c r="E767" s="16">
        <ns0:f>A767*('前提と出典'!$C$36*'契約別単価'!E5+'前提と出典'!$C$37*'契約別単価'!E6+'前提と出典'!$C$38*'契約別単価'!E7)</ns0:f>
        <ns0:v>1476362.7730867951</ns0:v>
      </ns0:c>
      <ns0:c r="F767" s="16">
        <ns0:f>A767*('前提と出典'!$C$36*'契約別単価'!F5+'前提と出典'!$C$37*'契約別単価'!F6+'前提と出典'!$C$38*'契約別単価'!F7)</ns0:f>
        <ns0:v>579418.7510141563</ns0:v>
      </ns0:c>
      <ns0:c r="G767" s="16">
        <ns0:f>A767*('前提と出典'!$C$36*'契約別単価'!G5+'前提と出典'!$C$37*'契約別単価'!G6+'前提と出典'!$C$38*'契約別単価'!G7)</ns0:f>
        <ns0:v>1518753.631284916</ns0:v>
      </ns0:c>
      <ns0:c r="H767" s="16">
        <ns0:f>A767*('前提と出典'!$C$36*'契約別単価'!H5+'前提と出典'!$C$37*'契約別単価'!H6+'前提と出典'!$C$38*'契約別単価'!H7)</ns0:f>
        <ns0:v>527083.6815361724</ns0:v>
      </ns0:c>
      <ns0:c r="I767" s="16">
        <ns0:f>A767*('前提と出典'!$C$36*'契約別単価'!I5+'前提と出典'!$C$37*'契約別単価'!I6+'前提と出典'!$C$38*'契約別単価'!I7)</ns0:f>
        <ns0:v>32195.189944134072</ns0:v>
      </ns0:c>
      <ns0:c r="J767" s="16">
        <ns0:f>A767*('前提と出典'!$C$36*'契約別単価'!J5+'前提と出典'!$C$37*'契約別単価'!J6+'前提と出典'!$C$38*'契約別単価'!J7)</ns0:f>
        <ns0:v>74994.92185096086</ns0:v>
      </ns0:c>
      <ns0:c r="K767" s="16">
        <ns0:f>A767*('前提と出典'!$C$36*'契約別単価'!K5+'前提と出典'!$C$37*'契約別単価'!K6+'前提と出典'!$C$38*'契約別単価'!K7)</ns0:f>
        <ns0:v>321454.5996275605</ns0:v>
      </ns0:c>
      <ns0:c r="L767" s="16">
        <ns0:f>A767*('前提と出典'!$C$36*'契約別単価'!L5+'前提と出典'!$C$37*'契約別単価'!L6+'前提と出典'!$C$38*'契約別単価'!L7)</ns0:f>
        <ns0:v>261729.45605120575</ns0:v>
      </ns0:c>
      <ns0:c r="M767" s="16">
        <ns0:f>IF(('前提と出典'!$C$36+'前提と出典'!$C$38)=0,0,IF(B767&lt;=10,'前提と出典'!B73+'前提と出典'!C73,IF(B767&lt;=100,'前提と出典'!B74+'前提と出典'!C74,IF(B767&lt;=500,'前提と出典'!B75+'前提と出典'!C75,'前提と出典'!B76+'前提と出典'!C76))))</ns0:f>
        <ns0:v>80000</ns0:v>
      </ns0:c>
      <ns0:c r="N767" s="16">
        <ns0:f>IF(('前提と出典'!$C$37+'前提と出典'!$C$38)=0,0,IF(C767&lt;=10,'前提と出典'!D73+'前提と出典'!E73,IF(C767&lt;=100,'前提と出典'!D74+'前提と出典'!E74,IF(C767&lt;=500,'前提と出典'!D75+'前提と出典'!E75,'前提と出典'!D76+'前提と出典'!E76))))</ns0:f>
        <ns0:v>56510.9346263078</ns0:v>
      </ns0:c>
      <ns0:c r="O767" s="16">
        <ns0:f>IF('前提と出典'!$C$36+'前提と出典'!$C$38=0,0,'前提と出典'!$B$4*IF('前提と出典'!$B$20=0,MAX('前提と出典'!$B$6,D767*'前提と出典'!$B$5),'前提と出典'!$B$6+D767*'前提と出典'!$B$5))</ns0:f>
        <ns0:v>757646.2122905029</ns0:v>
      </ns0:c>
      <ns0:c r="P767" s="16">
        <ns0:f>(E767+G767)*(1-'前提と出典'!$B$7)-I767-K767-M767-O767</ns0:f>
        <ns0:v>1695996.2119521322</ns0:v>
      </ns0:c>
      <ns0:c r="Q767" s="16">
        <ns0:f>(F767+H767)*(1-'前提と出典'!$B$7)-J767-L767-N767</ns0:f>
        <ns0:v>673433.0324500427</ns0:v>
      </ns0:c>
      <ns0:c r="R767" s="16">
        <ns0:f>P767-E767*'前提と出典'!$E$4</ns0:f>
        <ns0:v>1253087.380026094</ns0:v>
      </ns0:c>
      <ns0:c r="S767" s="16">
        <ns0:f>Q767-F767*'前提と出典'!$E$4</ns0:f>
        <ns0:v>499607.40714579565</ns0:v>
      </ns0:c>
      <ns0:c r="T767" s="7">
        <ns0:f>R767+S767</ns0:f>
        <ns0:v>1752694.7871718896</ns0:v>
      </ns0:c>
      <ns0:c r="U767" s="16">
        <ns0:f>P767-E767*'前提と出典'!$E$5</ns0:f>
        <ns0:v>1105451.1027174143</ns0:v>
      </ns0:c>
      <ns0:c r="V767" s="16">
        <ns0:f>Q767-F767*'前提と出典'!$E$5</ns0:f>
        <ns0:v>441665.5320443801</ns0:v>
      </ns0:c>
      <ns0:c r="W767" s="7">
        <ns0:f>U767+V767</ns0:f>
        <ns0:v>1547116.6347617945</ns0:v>
      </ns0:c>
      <ns0:c r="X767" s="16">
        <ns0:f>P767-E767*'前提と出典'!$E$6</ns0:f>
        <ns0:v>957814.8254087346</ns0:v>
      </ns0:c>
      <ns0:c r="Y767" s="16">
        <ns0:f>Q767-F767*'前提と出典'!$E$6</ns0:f>
        <ns0:v>383723.6569429644</ns0:v>
      </ns0:c>
      <ns0:c r="Z767" s="7">
        <ns0:f>X767+Y767</ns0:f>
        <ns0:v>1341538.482351699</ns0:v>
      </ns0:c>
      <ns0:c r="AA767" s="7">
        <ns0:f>IF(T767&gt;=0,A767,1001)</ns0:f>
        <ns0:v>763</ns0:v>
      </ns0:c>
      <ns0:c r="AB767" s="7">
        <ns0:f>IF(T767&lt;0,A767,0)</ns0:f>
        <ns0:v>0</ns0:v>
      </ns0:c>
      <ns0:c r="AC767" s="16">
        <ns0:f>IF(AND(OR('前提と出典'!$C$36+'前提と出典'!$C$38=0,R767&gt;=0),OR('前提と出典'!$C$37+'前提と出典'!$C$38=0,S767&gt;=0)),0,A767)</ns0:f>
        <ns0:v>0</ns0:v>
      </ns0:c>
      <ns0:c r="AD767" s="7">
        <ns0:f>IF(W767&gt;=0,A767,1001)</ns0:f>
        <ns0:v>763</ns0:v>
      </ns0:c>
      <ns0:c r="AE767" s="7">
        <ns0:f>IF(W767&lt;0,A767,0)</ns0:f>
        <ns0:v>0</ns0:v>
      </ns0:c>
      <ns0:c r="AF767" s="16">
        <ns0:f>IF(AND(OR('前提と出典'!$C$36+'前提と出典'!$C$38=0,U767&gt;=0),OR('前提と出典'!$C$37+'前提と出典'!$C$38=0,V767&gt;=0)),0,A767)</ns0:f>
        <ns0:v>0</ns0:v>
      </ns0:c>
      <ns0:c r="AG767" s="7">
        <ns0:f>IF(Z767&gt;=0,A767,1001)</ns0:f>
        <ns0:v>763</ns0:v>
      </ns0:c>
      <ns0:c r="AH767" s="4">
        <ns0:f>IF(Z767&lt;0,A767,0)</ns0:f>
        <ns0:v>0</ns0:v>
      </ns0:c>
      <ns0:c r="AI767" s="12">
        <ns0:f>IF(AND(OR('前提と出典'!$C$36+'前提と出典'!$C$38=0,X767&gt;=0),OR('前提と出典'!$C$37+'前提と出典'!$C$38=0,Y767&gt;=0)),0,A767)</ns0:f>
        <ns0:v>0</ns0:v>
      </ns0:c>
    </ns0:row>
    <ns0:row r="768" ht="24" customHeight="1">
      <ns0:c r="A768" s="4" t="n">
        <ns0:v>764</ns0:v>
      </ns0:c>
      <ns0:c r="B768" s="12">
        <ns0:f>A768*('前提と出典'!$C$36+'前提と出典'!$C$38)</ns0:f>
        <ns0:v>534.8</ns0:v>
      </ns0:c>
      <ns0:c r="C768" s="12">
        <ns0:f>A768*('前提と出典'!$C$37+'前提と出典'!$C$38)</ns0:f>
        <ns0:v>458.4</ns0:v>
      </ns0:c>
      <ns0:c r="D768" s="16">
        <ns0:f>A768*('前提と出典'!$C$36*'契約別単価'!C5+'前提と出典'!$C$37*'契約別単価'!C6+'前提と出典'!$C$38*'契約別単価'!C7)</ns0:f>
        <ns0:v>5497.385474860335</ns0:v>
      </ns0:c>
      <ns0:c r="E768" s="16">
        <ns0:f>A768*('前提と出典'!$C$36*'契約別単価'!E5+'前提と出典'!$C$37*'契約別単価'!E6+'前提と出典'!$C$38*'契約別単価'!E7)</ns0:f>
        <ns0:v>1478297.7177435276</ns0:v>
      </ns0:c>
      <ns0:c r="F768" s="16">
        <ns0:f>A768*('前提と出典'!$C$36*'契約別単価'!F5+'前提と出典'!$C$37*'契約別単価'!F6+'前提と出典'!$C$38*'契約別単価'!F7)</ns0:f>
        <ns0:v>580178.1464938603</ns0:v>
      </ns0:c>
      <ns0:c r="G768" s="16">
        <ns0:f>A768*('前提と出典'!$C$36*'契約別単価'!G5+'前提と出典'!$C$37*'契約別単価'!G6+'前提と出典'!$C$38*'契約別単価'!G7)</ns0:f>
        <ns0:v>1520744.1340782123</ns0:v>
      </ns0:c>
      <ns0:c r="H768" s="16">
        <ns0:f>A768*('前提と出典'!$C$36*'契約別単価'!H5+'前提と出典'!$C$37*'契約別単価'!H6+'前提と出典'!$C$38*'契約別単価'!H7)</ns0:f>
        <ns0:v>527774.4858370061</ns0:v>
      </ns0:c>
      <ns0:c r="I768" s="16">
        <ns0:f>A768*('前提と出典'!$C$36*'契約別単価'!I5+'前提と出典'!$C$37*'契約別単価'!I6+'前提と出典'!$C$38*'契約別単価'!I7)</ns0:f>
        <ns0:v>32237.38547486033</ns0:v>
      </ns0:c>
      <ns0:c r="J768" s="16">
        <ns0:f>A768*('前提と出典'!$C$36*'契約別単価'!J5+'前提と出典'!$C$37*'契約別単価'!J6+'前提と出典'!$C$38*'契約別単価'!J7)</ns0:f>
        <ns0:v>75093.21139467116</ns0:v>
      </ns0:c>
      <ns0:c r="K768" s="16">
        <ns0:f>A768*('前提と出典'!$C$36*'契約別単価'!K5+'前提と出典'!$C$37*'契約別単価'!K6+'前提と出典'!$C$38*'契約別単価'!K7)</ns0:f>
        <ns0:v>321875.90316573554</ns0:v>
      </ns0:c>
      <ns0:c r="L768" s="16">
        <ns0:f>A768*('前提と出典'!$C$36*'契約別単価'!L5+'前提と出典'!$C$37*'契約別単価'!L6+'前提と出典'!$C$38*'契約別単価'!L7)</ns0:f>
        <ns0:v>262072.48286123353</ns0:v>
      </ns0:c>
      <ns0:c r="M768" s="16">
        <ns0:f>IF(('前提と出典'!$C$36+'前提と出典'!$C$38)=0,0,IF(B768&lt;=10,'前提と出典'!B73+'前提と出典'!C73,IF(B768&lt;=100,'前提と出典'!B74+'前提と出典'!C74,IF(B768&lt;=500,'前提と出典'!B75+'前提と出典'!C75,'前提と出典'!B76+'前提と出典'!C76))))</ns0:f>
        <ns0:v>80000</ns0:v>
      </ns0:c>
      <ns0:c r="N768" s="16">
        <ns0:f>IF(('前提と出典'!$C$37+'前提と出典'!$C$38)=0,0,IF(C768&lt;=10,'前提と出典'!D73+'前提と出典'!E73,IF(C768&lt;=100,'前提と出典'!D74+'前提と出典'!E74,IF(C768&lt;=500,'前提と出典'!D75+'前提と出典'!E75,'前提と出典'!D76+'前提と出典'!E76))))</ns0:f>
        <ns0:v>56510.9346263078</ns0:v>
      </ns0:c>
      <ns0:c r="O768" s="16">
        <ns0:f>IF('前提と出典'!$C$36+'前提と出典'!$C$38=0,0,'前提と出典'!$B$4*IF('前提と出典'!$B$20=0,MAX('前提と出典'!$B$6,D768*'前提と出典'!$B$5),'前提と出典'!$B$6+D768*'前提と出典'!$B$5))</ns0:f>
        <ns0:v>758639.1955307263</ns0:v>
      </ns0:c>
      <ns0:c r="P768" s="16">
        <ns0:f>(E768+G768)*(1-'前提と出典'!$B$7)-I768-K768-M768-O768</ns0:f>
        <ns0:v>1698323.8609848353</ns0:v>
      </ns0:c>
      <ns0:c r="Q768" s="16">
        <ns0:f>(F768+H768)*(1-'前提と出典'!$B$7)-J768-L768-N768</ns0:f>
        <ns0:v>674389.7086847429</ns0:v>
      </ns0:c>
      <ns0:c r="R768" s="16">
        <ns0:f>P768-E768*'前提と出典'!$E$4</ns0:f>
        <ns0:v>1254834.5456617768</ns0:v>
      </ns0:c>
      <ns0:c r="S768" s="16">
        <ns0:f>Q768-F768*'前提と出典'!$E$4</ns0:f>
        <ns0:v>500336.26473658485</ns0:v>
      </ns0:c>
      <ns0:c r="T768" s="7">
        <ns0:f>R768+S768</ns0:f>
        <ns0:v>1755170.8103983616</ns0:v>
      </ns0:c>
      <ns0:c r="U768" s="16">
        <ns0:f>P768-E768*'前提と出典'!$E$5</ns0:f>
        <ns0:v>1107004.7738874243</ns0:v>
      </ns0:c>
      <ns0:c r="V768" s="16">
        <ns0:f>Q768-F768*'前提と出典'!$E$5</ns0:f>
        <ns0:v>442318.45008719875</ns0:v>
      </ns0:c>
      <ns0:c r="W768" s="7">
        <ns0:f>U768+V768</ns0:f>
        <ns0:v>1549323.223974623</ns0:v>
      </ns0:c>
      <ns0:c r="X768" s="16">
        <ns0:f>P768-E768*'前提と出典'!$E$6</ns0:f>
        <ns0:v>959175.0021130717</ns0:v>
      </ns0:c>
      <ns0:c r="Y768" s="16">
        <ns0:f>Q768-F768*'前提と出典'!$E$6</ns0:f>
        <ns0:v>384300.6354378128</ns0:v>
      </ns0:c>
      <ns0:c r="Z768" s="7">
        <ns0:f>X768+Y768</ns0:f>
        <ns0:v>1343475.6375508844</ns0:v>
      </ns0:c>
      <ns0:c r="AA768" s="7">
        <ns0:f>IF(T768&gt;=0,A768,1001)</ns0:f>
        <ns0:v>764</ns0:v>
      </ns0:c>
      <ns0:c r="AB768" s="7">
        <ns0:f>IF(T768&lt;0,A768,0)</ns0:f>
        <ns0:v>0</ns0:v>
      </ns0:c>
      <ns0:c r="AC768" s="16">
        <ns0:f>IF(AND(OR('前提と出典'!$C$36+'前提と出典'!$C$38=0,R768&gt;=0),OR('前提と出典'!$C$37+'前提と出典'!$C$38=0,S768&gt;=0)),0,A768)</ns0:f>
        <ns0:v>0</ns0:v>
      </ns0:c>
      <ns0:c r="AD768" s="7">
        <ns0:f>IF(W768&gt;=0,A768,1001)</ns0:f>
        <ns0:v>764</ns0:v>
      </ns0:c>
      <ns0:c r="AE768" s="7">
        <ns0:f>IF(W768&lt;0,A768,0)</ns0:f>
        <ns0:v>0</ns0:v>
      </ns0:c>
      <ns0:c r="AF768" s="16">
        <ns0:f>IF(AND(OR('前提と出典'!$C$36+'前提と出典'!$C$38=0,U768&gt;=0),OR('前提と出典'!$C$37+'前提と出典'!$C$38=0,V768&gt;=0)),0,A768)</ns0:f>
        <ns0:v>0</ns0:v>
      </ns0:c>
      <ns0:c r="AG768" s="7">
        <ns0:f>IF(Z768&gt;=0,A768,1001)</ns0:f>
        <ns0:v>764</ns0:v>
      </ns0:c>
      <ns0:c r="AH768" s="4">
        <ns0:f>IF(Z768&lt;0,A768,0)</ns0:f>
        <ns0:v>0</ns0:v>
      </ns0:c>
      <ns0:c r="AI768" s="12">
        <ns0:f>IF(AND(OR('前提と出典'!$C$36+'前提と出典'!$C$38=0,X768&gt;=0),OR('前提と出典'!$C$37+'前提と出典'!$C$38=0,Y768&gt;=0)),0,A768)</ns0:f>
        <ns0:v>0</ns0:v>
      </ns0:c>
    </ns0:row>
    <ns0:row r="769" ht="24" customHeight="1">
      <ns0:c r="A769" s="4" t="n">
        <ns0:v>765</ns0:v>
      </ns0:c>
      <ns0:c r="B769" s="12">
        <ns0:f>A769*('前提と出典'!$C$36+'前提と出典'!$C$38)</ns0:f>
        <ns0:v>535.5</ns0:v>
      </ns0:c>
      <ns0:c r="C769" s="12">
        <ns0:f>A769*('前提と出典'!$C$37+'前提と出典'!$C$38)</ns0:f>
        <ns0:v>459</ns0:v>
      </ns0:c>
      <ns0:c r="D769" s="16">
        <ns0:f>A769*('前提と出典'!$C$36*'契約別単価'!C5+'前提と出典'!$C$37*'契約別単価'!C6+'前提と出典'!$C$38*'契約別単価'!C7)</ns0:f>
        <ns0:v>5504.581005586592</ns0:v>
      </ns0:c>
      <ns0:c r="E769" s="16">
        <ns0:f>A769*('前提と出典'!$C$36*'契約別単価'!E5+'前提と出典'!$C$37*'契約別単価'!E6+'前提と出典'!$C$38*'契約別単価'!E7)</ns0:f>
        <ns0:v>1480232.6624002599</ns0:v>
      </ns0:c>
      <ns0:c r="F769" s="16">
        <ns0:f>A769*('前提と出典'!$C$36*'契約別単価'!F5+'前提と出典'!$C$37*'契約別単価'!F6+'前提と出典'!$C$38*'契約別単価'!F7)</ns0:f>
        <ns0:v>580937.5419735642</ns0:v>
      </ns0:c>
      <ns0:c r="G769" s="16">
        <ns0:f>A769*('前提と出典'!$C$36*'契約別単価'!G5+'前提と出典'!$C$37*'契約別単価'!G6+'前提と出典'!$C$38*'契約別単価'!G7)</ns0:f>
        <ns0:v>1522734.6368715083</ns0:v>
      </ns0:c>
      <ns0:c r="H769" s="16">
        <ns0:f>A769*('前提と出典'!$C$36*'契約別単価'!H5+'前提と出典'!$C$37*'契約別単価'!H6+'前提と出典'!$C$38*'契約別単価'!H7)</ns0:f>
        <ns0:v>528465.29013784</ns0:v>
      </ns0:c>
      <ns0:c r="I769" s="16">
        <ns0:f>A769*('前提と出典'!$C$36*'契約別単価'!I5+'前提と出典'!$C$37*'契約別単価'!I6+'前提と出典'!$C$38*'契約別単価'!I7)</ns0:f>
        <ns0:v>32279.581005586588</ns0:v>
      </ns0:c>
      <ns0:c r="J769" s="16">
        <ns0:f>A769*('前提と出典'!$C$36*'契約別単価'!J5+'前提と出典'!$C$37*'契約別単価'!J6+'前提と出典'!$C$38*'契約別単価'!J7)</ns0:f>
        <ns0:v>75191.50093838146</ns0:v>
      </ns0:c>
      <ns0:c r="K769" s="16">
        <ns0:f>A769*('前提と出典'!$C$36*'契約別単価'!K5+'前提と出典'!$C$37*'契約別単価'!K6+'前提と出典'!$C$38*'契約別単価'!K7)</ns0:f>
        <ns0:v>322297.2067039106</ns0:v>
      </ns0:c>
      <ns0:c r="L769" s="16">
        <ns0:f>A769*('前提と出典'!$C$36*'契約別単価'!L5+'前提と出典'!$C$37*'契約別単価'!L6+'前提と出典'!$C$38*'契約別単価'!L7)</ns0:f>
        <ns0:v>262415.5096712613</ns0:v>
      </ns0:c>
      <ns0:c r="M769" s="16">
        <ns0:f>IF(('前提と出典'!$C$36+'前提と出典'!$C$38)=0,0,IF(B769&lt;=10,'前提と出典'!B73+'前提と出典'!C73,IF(B769&lt;=100,'前提と出典'!B74+'前提と出典'!C74,IF(B769&lt;=500,'前提と出典'!B75+'前提と出典'!C75,'前提と出典'!B76+'前提と出典'!C76))))</ns0:f>
        <ns0:v>80000</ns0:v>
      </ns0:c>
      <ns0:c r="N769" s="16">
        <ns0:f>IF(('前提と出典'!$C$37+'前提と出典'!$C$38)=0,0,IF(C769&lt;=10,'前提と出典'!D73+'前提と出典'!E73,IF(C769&lt;=100,'前提と出典'!D74+'前提と出典'!E74,IF(C769&lt;=500,'前提と出典'!D75+'前提と出典'!E75,'前提と出典'!D76+'前提と出典'!E76))))</ns0:f>
        <ns0:v>56510.9346263078</ns0:v>
      </ns0:c>
      <ns0:c r="O769" s="16">
        <ns0:f>IF('前提と出典'!$C$36+'前提と出典'!$C$38=0,0,'前提と出典'!$B$4*IF('前提と出典'!$B$20=0,MAX('前提と出典'!$B$6,D769*'前提と出典'!$B$5),'前提と出典'!$B$6+D769*'前提と出典'!$B$5))</ns0:f>
        <ns0:v>759632.1787709497</ns0:v>
      </ns0:c>
      <ns0:c r="P769" s="16">
        <ns0:f>(E769+G769)*(1-'前提と出典'!$B$7)-I769-K769-M769-O769</ns0:f>
        <ns0:v>1700651.5100175375</ns0:v>
      </ns0:c>
      <ns0:c r="Q769" s="16">
        <ns0:f>(F769+H769)*(1-'前提と出典'!$B$7)-J769-L769-N769</ns0:f>
        <ns0:v>675346.3849194432</ns0:v>
      </ns0:c>
      <ns0:c r="R769" s="16">
        <ns0:f>P769-E769*'前提と出典'!$E$4</ns0:f>
        <ns0:v>1256581.7112974594</ns0:v>
      </ns0:c>
      <ns0:c r="S769" s="16">
        <ns0:f>Q769-F769*'前提と出典'!$E$4</ns0:f>
        <ns0:v>501065.12232737395</ns0:v>
      </ns0:c>
      <ns0:c r="T769" s="7">
        <ns0:f>R769+S769</ns0:f>
        <ns0:v>1757646.8336248333</ns0:v>
      </ns0:c>
      <ns0:c r="U769" s="16">
        <ns0:f>P769-E769*'前提と出典'!$E$5</ns0:f>
        <ns0:v>1108558.4450574336</ns0:v>
      </ns0:c>
      <ns0:c r="V769" s="16">
        <ns0:f>Q769-F769*'前提と出典'!$E$5</ns0:f>
        <ns0:v>442971.36813001754</ns0:v>
      </ns0:c>
      <ns0:c r="W769" s="7">
        <ns0:f>U769+V769</ns0:f>
        <ns0:v>1551529.813187451</ns0:v>
      </ns0:c>
      <ns0:c r="X769" s="16">
        <ns0:f>P769-E769*'前提と出典'!$E$6</ns0:f>
        <ns0:v>960535.1788174076</ns0:v>
      </ns0:c>
      <ns0:c r="Y769" s="16">
        <ns0:f>Q769-F769*'前提と出典'!$E$6</ns0:f>
        <ns0:v>384877.613932661</ns0:v>
      </ns0:c>
      <ns0:c r="Z769" s="7">
        <ns0:f>X769+Y769</ns0:f>
        <ns0:v>1345412.7927500685</ns0:v>
      </ns0:c>
      <ns0:c r="AA769" s="7">
        <ns0:f>IF(T769&gt;=0,A769,1001)</ns0:f>
        <ns0:v>765</ns0:v>
      </ns0:c>
      <ns0:c r="AB769" s="7">
        <ns0:f>IF(T769&lt;0,A769,0)</ns0:f>
        <ns0:v>0</ns0:v>
      </ns0:c>
      <ns0:c r="AC769" s="16">
        <ns0:f>IF(AND(OR('前提と出典'!$C$36+'前提と出典'!$C$38=0,R769&gt;=0),OR('前提と出典'!$C$37+'前提と出典'!$C$38=0,S769&gt;=0)),0,A769)</ns0:f>
        <ns0:v>0</ns0:v>
      </ns0:c>
      <ns0:c r="AD769" s="7">
        <ns0:f>IF(W769&gt;=0,A769,1001)</ns0:f>
        <ns0:v>765</ns0:v>
      </ns0:c>
      <ns0:c r="AE769" s="7">
        <ns0:f>IF(W769&lt;0,A769,0)</ns0:f>
        <ns0:v>0</ns0:v>
      </ns0:c>
      <ns0:c r="AF769" s="16">
        <ns0:f>IF(AND(OR('前提と出典'!$C$36+'前提と出典'!$C$38=0,U769&gt;=0),OR('前提と出典'!$C$37+'前提と出典'!$C$38=0,V769&gt;=0)),0,A769)</ns0:f>
        <ns0:v>0</ns0:v>
      </ns0:c>
      <ns0:c r="AG769" s="7">
        <ns0:f>IF(Z769&gt;=0,A769,1001)</ns0:f>
        <ns0:v>765</ns0:v>
      </ns0:c>
      <ns0:c r="AH769" s="4">
        <ns0:f>IF(Z769&lt;0,A769,0)</ns0:f>
        <ns0:v>0</ns0:v>
      </ns0:c>
      <ns0:c r="AI769" s="12">
        <ns0:f>IF(AND(OR('前提と出典'!$C$36+'前提と出典'!$C$38=0,X769&gt;=0),OR('前提と出典'!$C$37+'前提と出典'!$C$38=0,Y769&gt;=0)),0,A769)</ns0:f>
        <ns0:v>0</ns0:v>
      </ns0:c>
    </ns0:row>
    <ns0:row r="770" ht="24" customHeight="1">
      <ns0:c r="A770" s="4" t="n">
        <ns0:v>766</ns0:v>
      </ns0:c>
      <ns0:c r="B770" s="12">
        <ns0:f>A770*('前提と出典'!$C$36+'前提と出典'!$C$38)</ns0:f>
        <ns0:v>536.1999999999999</ns0:v>
      </ns0:c>
      <ns0:c r="C770" s="12">
        <ns0:f>A770*('前提と出典'!$C$37+'前提と出典'!$C$38)</ns0:f>
        <ns0:v>459.59999999999997</ns0:v>
      </ns0:c>
      <ns0:c r="D770" s="16">
        <ns0:f>A770*('前提と出典'!$C$36*'契約別単価'!C5+'前提と出典'!$C$37*'契約別単価'!C6+'前提と出典'!$C$38*'契約別単価'!C7)</ns0:f>
        <ns0:v>5511.776536312849</ns0:v>
      </ns0:c>
      <ns0:c r="E770" s="16">
        <ns0:f>A770*('前提と出典'!$C$36*'契約別単価'!E5+'前提と出典'!$C$37*'契約別単価'!E6+'前提と出典'!$C$38*'契約別単価'!E7)</ns0:f>
        <ns0:v>1482167.6070569924</ns0:v>
      </ns0:c>
      <ns0:c r="F770" s="16">
        <ns0:f>A770*('前提と出典'!$C$36*'契約別単価'!F5+'前提と出典'!$C$37*'契約別単価'!F6+'前提と出典'!$C$38*'契約別単価'!F7)</ns0:f>
        <ns0:v>581696.9374532682</ns0:v>
      </ns0:c>
      <ns0:c r="G770" s="16">
        <ns0:f>A770*('前提と出典'!$C$36*'契約別単価'!G5+'前提と出典'!$C$37*'契約別単価'!G6+'前提と出典'!$C$38*'契約別単価'!G7)</ns0:f>
        <ns0:v>1524725.1396648043</ns0:v>
      </ns0:c>
      <ns0:c r="H770" s="16">
        <ns0:f>A770*('前提と出典'!$C$36*'契約別単価'!H5+'前提と出典'!$C$37*'契約別単価'!H6+'前提と出典'!$C$38*'契約別単価'!H7)</ns0:f>
        <ns0:v>529156.0944386737</ns0:v>
      </ns0:c>
      <ns0:c r="I770" s="16">
        <ns0:f>A770*('前提と出典'!$C$36*'契約別単価'!I5+'前提と出典'!$C$37*'契約別単価'!I6+'前提と出典'!$C$38*'契約別単価'!I7)</ns0:f>
        <ns0:v>32321.776536312842</ns0:v>
      </ns0:c>
      <ns0:c r="J770" s="16">
        <ns0:f>A770*('前提と出典'!$C$36*'契約別単価'!J5+'前提と出典'!$C$37*'契約別単価'!J6+'前提と出典'!$C$38*'契約別単価'!J7)</ns0:f>
        <ns0:v>75289.79048209176</ns0:v>
      </ns0:c>
      <ns0:c r="K770" s="16">
        <ns0:f>A770*('前提と出典'!$C$36*'契約別単価'!K5+'前提と出典'!$C$37*'契約別単価'!K6+'前提と出典'!$C$38*'契約別単価'!K7)</ns0:f>
        <ns0:v>322718.5102420856</ns0:v>
      </ns0:c>
      <ns0:c r="L770" s="16">
        <ns0:f>A770*('前提と出典'!$C$36*'契約別単価'!L5+'前提と出典'!$C$37*'契約別単価'!L6+'前提と出典'!$C$38*'契約別単価'!L7)</ns0:f>
        <ns0:v>262758.53648128913</ns0:v>
      </ns0:c>
      <ns0:c r="M770" s="16">
        <ns0:f>IF(('前提と出典'!$C$36+'前提と出典'!$C$38)=0,0,IF(B770&lt;=10,'前提と出典'!B73+'前提と出典'!C73,IF(B770&lt;=100,'前提と出典'!B74+'前提と出典'!C74,IF(B770&lt;=500,'前提と出典'!B75+'前提と出典'!C75,'前提と出典'!B76+'前提と出典'!C76))))</ns0:f>
        <ns0:v>80000</ns0:v>
      </ns0:c>
      <ns0:c r="N770" s="16">
        <ns0:f>IF(('前提と出典'!$C$37+'前提と出典'!$C$38)=0,0,IF(C770&lt;=10,'前提と出典'!D73+'前提と出典'!E73,IF(C770&lt;=100,'前提と出典'!D74+'前提と出典'!E74,IF(C770&lt;=500,'前提と出典'!D75+'前提と出典'!E75,'前提と出典'!D76+'前提と出典'!E76))))</ns0:f>
        <ns0:v>56510.9346263078</ns0:v>
      </ns0:c>
      <ns0:c r="O770" s="16">
        <ns0:f>IF('前提と出典'!$C$36+'前提と出典'!$C$38=0,0,'前提と出典'!$B$4*IF('前提と出典'!$B$20=0,MAX('前提と出典'!$B$6,D770*'前提と出典'!$B$5),'前提と出典'!$B$6+D770*'前提と出典'!$B$5))</ns0:f>
        <ns0:v>760625.1620111732</ns0:v>
      </ns0:c>
      <ns0:c r="P770" s="16">
        <ns0:f>(E770+G770)*(1-'前提と出典'!$B$7)-I770-K770-M770-O770</ns0:f>
        <ns0:v>1702979.1590502402</ns0:v>
      </ns0:c>
      <ns0:c r="Q770" s="16">
        <ns0:f>(F770+H770)*(1-'前提と出典'!$B$7)-J770-L770-N770</ns0:f>
        <ns0:v>676303.0611541434</ns0:v>
      </ns0:c>
      <ns0:c r="R770" s="16">
        <ns0:f>P770-E770*'前提と出典'!$E$4</ns0:f>
        <ns0:v>1258328.876933143</ns0:v>
      </ns0:c>
      <ns0:c r="S770" s="16">
        <ns0:f>Q770-F770*'前提と出典'!$E$4</ns0:f>
        <ns0:v>501793.97991816304</ns0:v>
      </ns0:c>
      <ns0:c r="T770" s="7">
        <ns0:f>R770+S770</ns0:f>
        <ns0:v>1760122.856851306</ns0:v>
      </ns0:c>
      <ns0:c r="U770" s="16">
        <ns0:f>P770-E770*'前提と出典'!$E$5</ns0:f>
        <ns0:v>1110112.1162274433</ns0:v>
      </ns0:c>
      <ns0:c r="V770" s="16">
        <ns0:f>Q770-F770*'前提と出典'!$E$5</ns0:f>
        <ns0:v>443624.28617283615</ns0:v>
      </ns0:c>
      <ns0:c r="W770" s="7">
        <ns0:f>U770+V770</ns0:f>
        <ns0:v>1553736.4024002794</ns0:v>
      </ns0:c>
      <ns0:c r="X770" s="16">
        <ns0:f>P770-E770*'前提と出典'!$E$6</ns0:f>
        <ns0:v>961895.3555217442</ns0:v>
      </ns0:c>
      <ns0:c r="Y770" s="16">
        <ns0:f>Q770-F770*'前提と出典'!$E$6</ns0:f>
        <ns0:v>385454.59242750943</ns0:v>
      </ns0:c>
      <ns0:c r="Z770" s="7">
        <ns0:f>X770+Y770</ns0:f>
        <ns0:v>1347349.9479492537</ns0:v>
      </ns0:c>
      <ns0:c r="AA770" s="7">
        <ns0:f>IF(T770&gt;=0,A770,1001)</ns0:f>
        <ns0:v>766</ns0:v>
      </ns0:c>
      <ns0:c r="AB770" s="7">
        <ns0:f>IF(T770&lt;0,A770,0)</ns0:f>
        <ns0:v>0</ns0:v>
      </ns0:c>
      <ns0:c r="AC770" s="16">
        <ns0:f>IF(AND(OR('前提と出典'!$C$36+'前提と出典'!$C$38=0,R770&gt;=0),OR('前提と出典'!$C$37+'前提と出典'!$C$38=0,S770&gt;=0)),0,A770)</ns0:f>
        <ns0:v>0</ns0:v>
      </ns0:c>
      <ns0:c r="AD770" s="7">
        <ns0:f>IF(W770&gt;=0,A770,1001)</ns0:f>
        <ns0:v>766</ns0:v>
      </ns0:c>
      <ns0:c r="AE770" s="7">
        <ns0:f>IF(W770&lt;0,A770,0)</ns0:f>
        <ns0:v>0</ns0:v>
      </ns0:c>
      <ns0:c r="AF770" s="16">
        <ns0:f>IF(AND(OR('前提と出典'!$C$36+'前提と出典'!$C$38=0,U770&gt;=0),OR('前提と出典'!$C$37+'前提と出典'!$C$38=0,V770&gt;=0)),0,A770)</ns0:f>
        <ns0:v>0</ns0:v>
      </ns0:c>
      <ns0:c r="AG770" s="7">
        <ns0:f>IF(Z770&gt;=0,A770,1001)</ns0:f>
        <ns0:v>766</ns0:v>
      </ns0:c>
      <ns0:c r="AH770" s="4">
        <ns0:f>IF(Z770&lt;0,A770,0)</ns0:f>
        <ns0:v>0</ns0:v>
      </ns0:c>
      <ns0:c r="AI770" s="12">
        <ns0:f>IF(AND(OR('前提と出典'!$C$36+'前提と出典'!$C$38=0,X770&gt;=0),OR('前提と出典'!$C$37+'前提と出典'!$C$38=0,Y770&gt;=0)),0,A770)</ns0:f>
        <ns0:v>0</ns0:v>
      </ns0:c>
    </ns0:row>
    <ns0:row r="771" ht="24" customHeight="1">
      <ns0:c r="A771" s="4" t="n">
        <ns0:v>767</ns0:v>
      </ns0:c>
      <ns0:c r="B771" s="12">
        <ns0:f>A771*('前提と出典'!$C$36+'前提と出典'!$C$38)</ns0:f>
        <ns0:v>536.9</ns0:v>
      </ns0:c>
      <ns0:c r="C771" s="12">
        <ns0:f>A771*('前提と出典'!$C$37+'前提と出典'!$C$38)</ns0:f>
        <ns0:v>460.2</ns0:v>
      </ns0:c>
      <ns0:c r="D771" s="16">
        <ns0:f>A771*('前提と出典'!$C$36*'契約別単価'!C5+'前提と出典'!$C$37*'契約別単価'!C6+'前提と出典'!$C$38*'契約別単価'!C7)</ns0:f>
        <ns0:v>5518.972067039106</ns0:v>
      </ns0:c>
      <ns0:c r="E771" s="16">
        <ns0:f>A771*('前提と出典'!$C$36*'契約別単価'!E5+'前提と出典'!$C$37*'契約別単価'!E6+'前提と出典'!$C$38*'契約別単価'!E7)</ns0:f>
        <ns0:v>1484102.5517137246</ns0:v>
      </ns0:c>
      <ns0:c r="F771" s="16">
        <ns0:f>A771*('前提と出典'!$C$36*'契約別単価'!F5+'前提と出典'!$C$37*'契約別単価'!F6+'前提と出典'!$C$38*'契約別単価'!F7)</ns0:f>
        <ns0:v>582456.3329329722</ns0:v>
      </ns0:c>
      <ns0:c r="G771" s="16">
        <ns0:f>A771*('前提と出典'!$C$36*'契約別単価'!G5+'前提と出典'!$C$37*'契約別単価'!G6+'前提と出典'!$C$38*'契約別単価'!G7)</ns0:f>
        <ns0:v>1526715.6424581006</ns0:v>
      </ns0:c>
      <ns0:c r="H771" s="16">
        <ns0:f>A771*('前提と出典'!$C$36*'契約別単価'!H5+'前提と出典'!$C$37*'契約別単価'!H6+'前提と出典'!$C$38*'契約別単価'!H7)</ns0:f>
        <ns0:v>529846.8987395075</ns0:v>
      </ns0:c>
      <ns0:c r="I771" s="16">
        <ns0:f>A771*('前提と出典'!$C$36*'契約別単価'!I5+'前提と出典'!$C$37*'契約別単価'!I6+'前提と出典'!$C$38*'契約別単価'!I7)</ns0:f>
        <ns0:v>32363.9720670391</ns0:v>
      </ns0:c>
      <ns0:c r="J771" s="16">
        <ns0:f>A771*('前提と出典'!$C$36*'契約別単価'!J5+'前提と出典'!$C$37*'契約別単価'!J6+'前提と出典'!$C$38*'契約別単価'!J7)</ns0:f>
        <ns0:v>75388.08002580208</ns0:v>
      </ns0:c>
      <ns0:c r="K771" s="16">
        <ns0:f>A771*('前提と出典'!$C$36*'契約別単価'!K5+'前提と出典'!$C$37*'契約別単価'!K6+'前提と出典'!$C$38*'契約別単価'!K7)</ns0:f>
        <ns0:v>323139.8137802607</ns0:v>
      </ns0:c>
      <ns0:c r="L771" s="16">
        <ns0:f>A771*('前提と出典'!$C$36*'契約別単価'!L5+'前提と出典'!$C$37*'契約別単価'!L6+'前提と出典'!$C$38*'契約別単価'!L7)</ns0:f>
        <ns0:v>263101.5632913169</ns0:v>
      </ns0:c>
      <ns0:c r="M771" s="16">
        <ns0:f>IF(('前提と出典'!$C$36+'前提と出典'!$C$38)=0,0,IF(B771&lt;=10,'前提と出典'!B73+'前提と出典'!C73,IF(B771&lt;=100,'前提と出典'!B74+'前提と出典'!C74,IF(B771&lt;=500,'前提と出典'!B75+'前提と出典'!C75,'前提と出典'!B76+'前提と出典'!C76))))</ns0:f>
        <ns0:v>80000</ns0:v>
      </ns0:c>
      <ns0:c r="N771" s="16">
        <ns0:f>IF(('前提と出典'!$C$37+'前提と出典'!$C$38)=0,0,IF(C771&lt;=10,'前提と出典'!D73+'前提と出典'!E73,IF(C771&lt;=100,'前提と出典'!D74+'前提と出典'!E74,IF(C771&lt;=500,'前提と出典'!D75+'前提と出典'!E75,'前提と出典'!D76+'前提と出典'!E76))))</ns0:f>
        <ns0:v>56510.9346263078</ns0:v>
      </ns0:c>
      <ns0:c r="O771" s="16">
        <ns0:f>IF('前提と出典'!$C$36+'前提と出典'!$C$38=0,0,'前提と出典'!$B$4*IF('前提と出典'!$B$20=0,MAX('前提と出典'!$B$6,D771*'前提と出典'!$B$5),'前提と出典'!$B$6+D771*'前提と出典'!$B$5))</ns0:f>
        <ns0:v>761618.1452513967</ns0:v>
      </ns0:c>
      <ns0:c r="P771" s="16">
        <ns0:f>(E771+G771)*(1-'前提と出典'!$B$7)-I771-K771-M771-O771</ns0:f>
        <ns0:v>1705306.8080829433</ns0:v>
      </ns0:c>
      <ns0:c r="Q771" s="16">
        <ns0:f>(F771+H771)*(1-'前提と出典'!$B$7)-J771-L771-N771</ns0:f>
        <ns0:v>677259.7373888437</ns0:v>
      </ns0:c>
      <ns0:c r="R771" s="16">
        <ns0:f>P771-E771*'前提と出典'!$E$4</ns0:f>
        <ns0:v>1260076.0425688261</ns0:v>
      </ns0:c>
      <ns0:c r="S771" s="16">
        <ns0:f>Q771-F771*'前提と出典'!$E$4</ns0:f>
        <ns0:v>502522.837508952</ns0:v>
      </ns0:c>
      <ns0:c r="T771" s="7">
        <ns0:f>R771+S771</ns0:f>
        <ns0:v>1762598.8800777781</ns0:v>
      </ns0:c>
      <ns0:c r="U771" s="16">
        <ns0:f>P771-E771*'前提と出典'!$E$5</ns0:f>
        <ns0:v>1111665.7873974536</ns0:v>
      </ns0:c>
      <ns0:c r="V771" s="16">
        <ns0:f>Q771-F771*'前提と出典'!$E$5</ns0:f>
        <ns0:v>444277.2042156548</ns0:v>
      </ns0:c>
      <ns0:c r="W771" s="7">
        <ns0:f>U771+V771</ns0:f>
        <ns0:v>1555942.9916131084</ns0:v>
      </ns0:c>
      <ns0:c r="X771" s="16">
        <ns0:f>P771-E771*'前提と出典'!$E$6</ns0:f>
        <ns0:v>963255.5322260809</ns0:v>
      </ns0:c>
      <ns0:c r="Y771" s="16">
        <ns0:f>Q771-F771*'前提と出典'!$E$6</ns0:f>
        <ns0:v>386031.57092235744</ns0:v>
      </ns0:c>
      <ns0:c r="Z771" s="7">
        <ns0:f>X771+Y771</ns0:f>
        <ns0:v>1349287.1031484383</ns0:v>
      </ns0:c>
      <ns0:c r="AA771" s="7">
        <ns0:f>IF(T771&gt;=0,A771,1001)</ns0:f>
        <ns0:v>767</ns0:v>
      </ns0:c>
      <ns0:c r="AB771" s="7">
        <ns0:f>IF(T771&lt;0,A771,0)</ns0:f>
        <ns0:v>0</ns0:v>
      </ns0:c>
      <ns0:c r="AC771" s="16">
        <ns0:f>IF(AND(OR('前提と出典'!$C$36+'前提と出典'!$C$38=0,R771&gt;=0),OR('前提と出典'!$C$37+'前提と出典'!$C$38=0,S771&gt;=0)),0,A771)</ns0:f>
        <ns0:v>0</ns0:v>
      </ns0:c>
      <ns0:c r="AD771" s="7">
        <ns0:f>IF(W771&gt;=0,A771,1001)</ns0:f>
        <ns0:v>767</ns0:v>
      </ns0:c>
      <ns0:c r="AE771" s="7">
        <ns0:f>IF(W771&lt;0,A771,0)</ns0:f>
        <ns0:v>0</ns0:v>
      </ns0:c>
      <ns0:c r="AF771" s="16">
        <ns0:f>IF(AND(OR('前提と出典'!$C$36+'前提と出典'!$C$38=0,U771&gt;=0),OR('前提と出典'!$C$37+'前提と出典'!$C$38=0,V771&gt;=0)),0,A771)</ns0:f>
        <ns0:v>0</ns0:v>
      </ns0:c>
      <ns0:c r="AG771" s="7">
        <ns0:f>IF(Z771&gt;=0,A771,1001)</ns0:f>
        <ns0:v>767</ns0:v>
      </ns0:c>
      <ns0:c r="AH771" s="4">
        <ns0:f>IF(Z771&lt;0,A771,0)</ns0:f>
        <ns0:v>0</ns0:v>
      </ns0:c>
      <ns0:c r="AI771" s="12">
        <ns0:f>IF(AND(OR('前提と出典'!$C$36+'前提と出典'!$C$38=0,X771&gt;=0),OR('前提と出典'!$C$37+'前提と出典'!$C$38=0,Y771&gt;=0)),0,A771)</ns0:f>
        <ns0:v>0</ns0:v>
      </ns0:c>
    </ns0:row>
    <ns0:row r="772" ht="24" customHeight="1">
      <ns0:c r="A772" s="4" t="n">
        <ns0:v>768</ns0:v>
      </ns0:c>
      <ns0:c r="B772" s="12">
        <ns0:f>A772*('前提と出典'!$C$36+'前提と出典'!$C$38)</ns0:f>
        <ns0:v>537.5999999999999</ns0:v>
      </ns0:c>
      <ns0:c r="C772" s="12">
        <ns0:f>A772*('前提と出典'!$C$37+'前提と出典'!$C$38)</ns0:f>
        <ns0:v>460.79999999999995</ns0:v>
      </ns0:c>
      <ns0:c r="D772" s="16">
        <ns0:f>A772*('前提と出典'!$C$36*'契約別単価'!C5+'前提と出典'!$C$37*'契約別単価'!C6+'前提と出典'!$C$38*'契約別単価'!C7)</ns0:f>
        <ns0:v>5526.167597765363</ns0:v>
      </ns0:c>
      <ns0:c r="E772" s="16">
        <ns0:f>A772*('前提と出典'!$C$36*'契約別単価'!E5+'前提と出典'!$C$37*'契約別単価'!E6+'前提と出典'!$C$38*'契約別単価'!E7)</ns0:f>
        <ns0:v>1486037.496370457</ns0:v>
      </ns0:c>
      <ns0:c r="F772" s="16">
        <ns0:f>A772*('前提と出典'!$C$36*'契約別単価'!F5+'前提と出典'!$C$37*'契約別単価'!F6+'前提と出典'!$C$38*'契約別単価'!F7)</ns0:f>
        <ns0:v>583215.7284126763</ns0:v>
      </ns0:c>
      <ns0:c r="G772" s="16">
        <ns0:f>A772*('前提と出典'!$C$36*'契約別単価'!G5+'前提と出典'!$C$37*'契約別単価'!G6+'前提と出典'!$C$38*'契約別単価'!G7)</ns0:f>
        <ns0:v>1528706.1452513966</ns0:v>
      </ns0:c>
      <ns0:c r="H772" s="16">
        <ns0:f>A772*('前提と出典'!$C$36*'契約別単価'!H5+'前提と出典'!$C$37*'契約別単価'!H6+'前提と出典'!$C$38*'契約別単価'!H7)</ns0:f>
        <ns0:v>530537.7030403413</ns0:v>
      </ns0:c>
      <ns0:c r="I772" s="16">
        <ns0:f>A772*('前提と出典'!$C$36*'契約別単価'!I5+'前提と出典'!$C$37*'契約別単価'!I6+'前提と出典'!$C$38*'契約別単価'!I7)</ns0:f>
        <ns0:v>32406.167597765358</ns0:v>
      </ns0:c>
      <ns0:c r="J772" s="16">
        <ns0:f>A772*('前提と出典'!$C$36*'契約別単価'!J5+'前提と出典'!$C$37*'契約別単価'!J6+'前提と出典'!$C$38*'契約別単価'!J7)</ns0:f>
        <ns0:v>75486.36956951238</ns0:v>
      </ns0:c>
      <ns0:c r="K772" s="16">
        <ns0:f>A772*('前提と出典'!$C$36*'契約別単価'!K5+'前提と出典'!$C$37*'契約別単価'!K6+'前提と出典'!$C$38*'契約別単価'!K7)</ns0:f>
        <ns0:v>323561.11731843575</ns0:v>
      </ns0:c>
      <ns0:c r="L772" s="16">
        <ns0:f>A772*('前提と出典'!$C$36*'契約別単価'!L5+'前提と出典'!$C$37*'契約別単価'!L6+'前提と出典'!$C$38*'契約別単価'!L7)</ns0:f>
        <ns0:v>263444.5901013447</ns0:v>
      </ns0:c>
      <ns0:c r="M772" s="16">
        <ns0:f>IF(('前提と出典'!$C$36+'前提と出典'!$C$38)=0,0,IF(B772&lt;=10,'前提と出典'!B73+'前提と出典'!C73,IF(B772&lt;=100,'前提と出典'!B74+'前提と出典'!C74,IF(B772&lt;=500,'前提と出典'!B75+'前提と出典'!C75,'前提と出典'!B76+'前提と出典'!C76))))</ns0:f>
        <ns0:v>80000</ns0:v>
      </ns0:c>
      <ns0:c r="N772" s="16">
        <ns0:f>IF(('前提と出典'!$C$37+'前提と出典'!$C$38)=0,0,IF(C772&lt;=10,'前提と出典'!D73+'前提と出典'!E73,IF(C772&lt;=100,'前提と出典'!D74+'前提と出典'!E74,IF(C772&lt;=500,'前提と出典'!D75+'前提と出典'!E75,'前提と出典'!D76+'前提と出典'!E76))))</ns0:f>
        <ns0:v>56510.9346263078</ns0:v>
      </ns0:c>
      <ns0:c r="O772" s="16">
        <ns0:f>IF('前提と出典'!$C$36+'前提と出典'!$C$38=0,0,'前提と出典'!$B$4*IF('前提と出典'!$B$20=0,MAX('前提と出典'!$B$6,D772*'前提と出典'!$B$5),'前提と出典'!$B$6+D772*'前提と出典'!$B$5))</ns0:f>
        <ns0:v>762611.1284916202</ns0:v>
      </ns0:c>
      <ns0:c r="P772" s="16">
        <ns0:f>(E772+G772)*(1-'前提と出典'!$B$7)-I772-K772-M772-O772</ns0:f>
        <ns0:v>1707634.4571156453</ns0:v>
      </ns0:c>
      <ns0:c r="Q772" s="16">
        <ns0:f>(F772+H772)*(1-'前提と出典'!$B$7)-J772-L772-N772</ns0:f>
        <ns0:v>678216.4136235439</ns0:v>
      </ns0:c>
      <ns0:c r="R772" s="16">
        <ns0:f>P772-E772*'前提と出典'!$E$4</ns0:f>
        <ns0:v>1261823.2082045088</ns0:v>
      </ns0:c>
      <ns0:c r="S772" s="16">
        <ns0:f>Q772-F772*'前提と出典'!$E$4</ns0:f>
        <ns0:v>503251.695099741</ns0:v>
      </ns0:c>
      <ns0:c r="T772" s="7">
        <ns0:f>R772+S772</ns0:f>
        <ns0:v>1765074.9033042497</ns0:v>
      </ns0:c>
      <ns0:c r="U772" s="16">
        <ns0:f>P772-E772*'前提と出典'!$E$5</ns0:f>
        <ns0:v>1113219.4585674624</ns0:v>
      </ns0:c>
      <ns0:c r="V772" s="16">
        <ns0:f>Q772-F772*'前提と出典'!$E$5</ns0:f>
        <ns0:v>444930.1222584735</ns0:v>
      </ns0:c>
      <ns0:c r="W772" s="7">
        <ns0:f>U772+V772</ns0:f>
        <ns0:v>1558149.5808259358</ns0:v>
      </ns0:c>
      <ns0:c r="X772" s="16">
        <ns0:f>P772-E772*'前提と出典'!$E$6</ns0:f>
        <ns0:v>964615.7089304166</ns0:v>
      </ns0:c>
      <ns0:c r="Y772" s="16">
        <ns0:f>Q772-F772*'前提と出典'!$E$6</ns0:f>
        <ns0:v>386608.5494172059</ns0:v>
      </ns0:c>
      <ns0:c r="Z772" s="7">
        <ns0:f>X772+Y772</ns0:f>
        <ns0:v>1351224.2583476226</ns0:v>
      </ns0:c>
      <ns0:c r="AA772" s="7">
        <ns0:f>IF(T772&gt;=0,A772,1001)</ns0:f>
        <ns0:v>768</ns0:v>
      </ns0:c>
      <ns0:c r="AB772" s="7">
        <ns0:f>IF(T772&lt;0,A772,0)</ns0:f>
        <ns0:v>0</ns0:v>
      </ns0:c>
      <ns0:c r="AC772" s="16">
        <ns0:f>IF(AND(OR('前提と出典'!$C$36+'前提と出典'!$C$38=0,R772&gt;=0),OR('前提と出典'!$C$37+'前提と出典'!$C$38=0,S772&gt;=0)),0,A772)</ns0:f>
        <ns0:v>0</ns0:v>
      </ns0:c>
      <ns0:c r="AD772" s="7">
        <ns0:f>IF(W772&gt;=0,A772,1001)</ns0:f>
        <ns0:v>768</ns0:v>
      </ns0:c>
      <ns0:c r="AE772" s="7">
        <ns0:f>IF(W772&lt;0,A772,0)</ns0:f>
        <ns0:v>0</ns0:v>
      </ns0:c>
      <ns0:c r="AF772" s="16">
        <ns0:f>IF(AND(OR('前提と出典'!$C$36+'前提と出典'!$C$38=0,U772&gt;=0),OR('前提と出典'!$C$37+'前提と出典'!$C$38=0,V772&gt;=0)),0,A772)</ns0:f>
        <ns0:v>0</ns0:v>
      </ns0:c>
      <ns0:c r="AG772" s="7">
        <ns0:f>IF(Z772&gt;=0,A772,1001)</ns0:f>
        <ns0:v>768</ns0:v>
      </ns0:c>
      <ns0:c r="AH772" s="4">
        <ns0:f>IF(Z772&lt;0,A772,0)</ns0:f>
        <ns0:v>0</ns0:v>
      </ns0:c>
      <ns0:c r="AI772" s="12">
        <ns0:f>IF(AND(OR('前提と出典'!$C$36+'前提と出典'!$C$38=0,X772&gt;=0),OR('前提と出典'!$C$37+'前提と出典'!$C$38=0,Y772&gt;=0)),0,A772)</ns0:f>
        <ns0:v>0</ns0:v>
      </ns0:c>
    </ns0:row>
    <ns0:row r="773" ht="24" customHeight="1">
      <ns0:c r="A773" s="4" t="n">
        <ns0:v>769</ns0:v>
      </ns0:c>
      <ns0:c r="B773" s="12">
        <ns0:f>A773*('前提と出典'!$C$36+'前提と出典'!$C$38)</ns0:f>
        <ns0:v>538.3</ns0:v>
      </ns0:c>
      <ns0:c r="C773" s="12">
        <ns0:f>A773*('前提と出典'!$C$37+'前提と出典'!$C$38)</ns0:f>
        <ns0:v>461.4</ns0:v>
      </ns0:c>
      <ns0:c r="D773" s="16">
        <ns0:f>A773*('前提と出典'!$C$36*'契約別単価'!C5+'前提と出典'!$C$37*'契約別単価'!C6+'前提と出典'!$C$38*'契約別単価'!C7)</ns0:f>
        <ns0:v>5533.36312849162</ns0:v>
      </ns0:c>
      <ns0:c r="E773" s="16">
        <ns0:f>A773*('前提と出典'!$C$36*'契約別単価'!E5+'前提と出典'!$C$37*'契約別単価'!E6+'前提と出典'!$C$38*'契約別単価'!E7)</ns0:f>
        <ns0:v>1487972.4410271894</ns0:v>
      </ns0:c>
      <ns0:c r="F773" s="16">
        <ns0:f>A773*('前提と出典'!$C$36*'契約別単価'!F5+'前提と出典'!$C$37*'契約別単価'!F6+'前提と出典'!$C$38*'契約別単価'!F7)</ns0:f>
        <ns0:v>583975.1238923803</ns0:v>
      </ns0:c>
      <ns0:c r="G773" s="16">
        <ns0:f>A773*('前提と出典'!$C$36*'契約別単価'!G5+'前提と出典'!$C$37*'契約別単価'!G6+'前提と出典'!$C$38*'契約別単価'!G7)</ns0:f>
        <ns0:v>1530696.6480446926</ns0:v>
      </ns0:c>
      <ns0:c r="H773" s="16">
        <ns0:f>A773*('前提と出典'!$C$36*'契約別単価'!H5+'前提と出典'!$C$37*'契約別単価'!H6+'前提と出典'!$C$38*'契約別単価'!H7)</ns0:f>
        <ns0:v>531228.507341175</ns0:v>
      </ns0:c>
      <ns0:c r="I773" s="16">
        <ns0:f>A773*('前提と出典'!$C$36*'契約別単価'!I5+'前提と出典'!$C$37*'契約別単価'!I6+'前提と出典'!$C$38*'契約別単価'!I7)</ns0:f>
        <ns0:v>32448.363128491615</ns0:v>
      </ns0:c>
      <ns0:c r="J773" s="16">
        <ns0:f>A773*('前提と出典'!$C$36*'契約別単価'!J5+'前提と出典'!$C$37*'契約別単価'!J6+'前提と出典'!$C$38*'契約別単価'!J7)</ns0:f>
        <ns0:v>75584.65911322267</ns0:v>
      </ns0:c>
      <ns0:c r="K773" s="16">
        <ns0:f>A773*('前提と出典'!$C$36*'契約別単価'!K5+'前提と出典'!$C$37*'契約別単価'!K6+'前提と出典'!$C$38*'契約別単価'!K7)</ns0:f>
        <ns0:v>323982.42085661076</ns0:v>
      </ns0:c>
      <ns0:c r="L773" s="16">
        <ns0:f>A773*('前提と出典'!$C$36*'契約別単価'!L5+'前提と出典'!$C$37*'契約別単価'!L6+'前提と出典'!$C$38*'契約別単価'!L7)</ns0:f>
        <ns0:v>263787.6169113725</ns0:v>
      </ns0:c>
      <ns0:c r="M773" s="16">
        <ns0:f>IF(('前提と出典'!$C$36+'前提と出典'!$C$38)=0,0,IF(B773&lt;=10,'前提と出典'!B73+'前提と出典'!C73,IF(B773&lt;=100,'前提と出典'!B74+'前提と出典'!C74,IF(B773&lt;=500,'前提と出典'!B75+'前提と出典'!C75,'前提と出典'!B76+'前提と出典'!C76))))</ns0:f>
        <ns0:v>80000</ns0:v>
      </ns0:c>
      <ns0:c r="N773" s="16">
        <ns0:f>IF(('前提と出典'!$C$37+'前提と出典'!$C$38)=0,0,IF(C773&lt;=10,'前提と出典'!D73+'前提と出典'!E73,IF(C773&lt;=100,'前提と出典'!D74+'前提と出典'!E74,IF(C773&lt;=500,'前提と出典'!D75+'前提と出典'!E75,'前提と出典'!D76+'前提と出典'!E76))))</ns0:f>
        <ns0:v>56510.9346263078</ns0:v>
      </ns0:c>
      <ns0:c r="O773" s="16">
        <ns0:f>IF('前提と出典'!$C$36+'前提と出典'!$C$38=0,0,'前提と出典'!$B$4*IF('前提と出典'!$B$20=0,MAX('前提と出典'!$B$6,D773*'前提と出典'!$B$5),'前提と出典'!$B$6+D773*'前提と出典'!$B$5))</ns0:f>
        <ns0:v>763604.1117318437</ns0:v>
      </ns0:c>
      <ns0:c r="P773" s="16">
        <ns0:f>(E773+G773)*(1-'前提と出典'!$B$7)-I773-K773-M773-O773</ns0:f>
        <ns0:v>1709962.106148348</ns0:v>
      </ns0:c>
      <ns0:c r="Q773" s="16">
        <ns0:f>(F773+H773)*(1-'前提と出典'!$B$7)-J773-L773-N773</ns0:f>
        <ns0:v>679173.0898582442</ns0:v>
      </ns0:c>
      <ns0:c r="R773" s="16">
        <ns0:f>P773-E773*'前提と出典'!$E$4</ns0:f>
        <ns0:v>1263570.3738401914</ns0:v>
      </ns0:c>
      <ns0:c r="S773" s="16">
        <ns0:f>Q773-F773*'前提と出典'!$E$4</ns0:f>
        <ns0:v>503980.5526905301</ns0:v>
      </ns0:c>
      <ns0:c r="T773" s="7">
        <ns0:f>R773+S773</ns0:f>
        <ns0:v>1767550.9265307216</ns0:v>
      </ns0:c>
      <ns0:c r="U773" s="16">
        <ns0:f>P773-E773*'前提と出典'!$E$5</ns0:f>
        <ns0:v>1114773.1297374722</ns0:v>
      </ns0:c>
      <ns0:c r="V773" s="16">
        <ns0:f>Q773-F773*'前提と出典'!$E$5</ns0:f>
        <ns0:v>445583.0403012921</ns0:v>
      </ns0:c>
      <ns0:c r="W773" s="7">
        <ns0:f>U773+V773</ns0:f>
        <ns0:v>1560356.1700387644</ns0:v>
      </ns0:c>
      <ns0:c r="X773" s="16">
        <ns0:f>P773-E773*'前提と出典'!$E$6</ns0:f>
        <ns0:v>965975.8856347533</ns0:v>
      </ns0:c>
      <ns0:c r="Y773" s="16">
        <ns0:f>Q773-F773*'前提と出典'!$E$6</ns0:f>
        <ns0:v>387185.5279120541</ns0:v>
      </ns0:c>
      <ns0:c r="Z773" s="7">
        <ns0:f>X773+Y773</ns0:f>
        <ns0:v>1353161.4135468074</ns0:v>
      </ns0:c>
      <ns0:c r="AA773" s="7">
        <ns0:f>IF(T773&gt;=0,A773,1001)</ns0:f>
        <ns0:v>769</ns0:v>
      </ns0:c>
      <ns0:c r="AB773" s="7">
        <ns0:f>IF(T773&lt;0,A773,0)</ns0:f>
        <ns0:v>0</ns0:v>
      </ns0:c>
      <ns0:c r="AC773" s="16">
        <ns0:f>IF(AND(OR('前提と出典'!$C$36+'前提と出典'!$C$38=0,R773&gt;=0),OR('前提と出典'!$C$37+'前提と出典'!$C$38=0,S773&gt;=0)),0,A773)</ns0:f>
        <ns0:v>0</ns0:v>
      </ns0:c>
      <ns0:c r="AD773" s="7">
        <ns0:f>IF(W773&gt;=0,A773,1001)</ns0:f>
        <ns0:v>769</ns0:v>
      </ns0:c>
      <ns0:c r="AE773" s="7">
        <ns0:f>IF(W773&lt;0,A773,0)</ns0:f>
        <ns0:v>0</ns0:v>
      </ns0:c>
      <ns0:c r="AF773" s="16">
        <ns0:f>IF(AND(OR('前提と出典'!$C$36+'前提と出典'!$C$38=0,U773&gt;=0),OR('前提と出典'!$C$37+'前提と出典'!$C$38=0,V773&gt;=0)),0,A773)</ns0:f>
        <ns0:v>0</ns0:v>
      </ns0:c>
      <ns0:c r="AG773" s="7">
        <ns0:f>IF(Z773&gt;=0,A773,1001)</ns0:f>
        <ns0:v>769</ns0:v>
      </ns0:c>
      <ns0:c r="AH773" s="4">
        <ns0:f>IF(Z773&lt;0,A773,0)</ns0:f>
        <ns0:v>0</ns0:v>
      </ns0:c>
      <ns0:c r="AI773" s="12">
        <ns0:f>IF(AND(OR('前提と出典'!$C$36+'前提と出典'!$C$38=0,X773&gt;=0),OR('前提と出典'!$C$37+'前提と出典'!$C$38=0,Y773&gt;=0)),0,A773)</ns0:f>
        <ns0:v>0</ns0:v>
      </ns0:c>
    </ns0:row>
    <ns0:row r="774" ht="24" customHeight="1">
      <ns0:c r="A774" s="4" t="n">
        <ns0:v>770</ns0:v>
      </ns0:c>
      <ns0:c r="B774" s="12">
        <ns0:f>A774*('前提と出典'!$C$36+'前提と出典'!$C$38)</ns0:f>
        <ns0:v>539</ns0:v>
      </ns0:c>
      <ns0:c r="C774" s="12">
        <ns0:f>A774*('前提と出典'!$C$37+'前提と出典'!$C$38)</ns0:f>
        <ns0:v>462</ns0:v>
      </ns0:c>
      <ns0:c r="D774" s="16">
        <ns0:f>A774*('前提と出典'!$C$36*'契約別単価'!C5+'前提と出典'!$C$37*'契約別単価'!C6+'前提と出典'!$C$38*'契約別単価'!C7)</ns0:f>
        <ns0:v>5540.558659217877</ns0:v>
      </ns0:c>
      <ns0:c r="E774" s="16">
        <ns0:f>A774*('前提と出典'!$C$36*'契約別単価'!E5+'前提と出典'!$C$37*'契約別単価'!E6+'前提と出典'!$C$38*'契約別単価'!E7)</ns0:f>
        <ns0:v>1489907.3856839219</ns0:v>
      </ns0:c>
      <ns0:c r="F774" s="16">
        <ns0:f>A774*('前提と出典'!$C$36*'契約別単価'!F5+'前提と出典'!$C$37*'契約別単価'!F6+'前提と出典'!$C$38*'契約別単価'!F7)</ns0:f>
        <ns0:v>584734.5193720843</ns0:v>
      </ns0:c>
      <ns0:c r="G774" s="16">
        <ns0:f>A774*('前提と出典'!$C$36*'契約別単価'!G5+'前提と出典'!$C$37*'契約別単価'!G6+'前提と出典'!$C$38*'契約別単価'!G7)</ns0:f>
        <ns0:v>1532687.1508379888</ns0:v>
      </ns0:c>
      <ns0:c r="H774" s="16">
        <ns0:f>A774*('前提と出典'!$C$36*'契約別単価'!H5+'前提と出典'!$C$37*'契約別単価'!H6+'前提と出典'!$C$38*'契約別単価'!H7)</ns0:f>
        <ns0:v>531919.3116420088</ns0:v>
      </ns0:c>
      <ns0:c r="I774" s="16">
        <ns0:f>A774*('前提と出典'!$C$36*'契約別単価'!I5+'前提と出典'!$C$37*'契約別単価'!I6+'前提と出典'!$C$38*'契約別単価'!I7)</ns0:f>
        <ns0:v>32490.558659217873</ns0:v>
      </ns0:c>
      <ns0:c r="J774" s="16">
        <ns0:f>A774*('前提と出典'!$C$36*'契約別単価'!J5+'前提と出典'!$C$37*'契約別単価'!J6+'前提と出典'!$C$38*'契約別単価'!J7)</ns0:f>
        <ns0:v>75682.94865693297</ns0:v>
      </ns0:c>
      <ns0:c r="K774" s="16">
        <ns0:f>A774*('前提と出典'!$C$36*'契約別単価'!K5+'前提と出典'!$C$37*'契約別単価'!K6+'前提と出典'!$C$38*'契約別単価'!K7)</ns0:f>
        <ns0:v>324403.7243947858</ns0:v>
      </ns0:c>
      <ns0:c r="L774" s="16">
        <ns0:f>A774*('前提と出典'!$C$36*'契約別単価'!L5+'前提と出典'!$C$37*'契約別単価'!L6+'前提と出典'!$C$38*'契約別単価'!L7)</ns0:f>
        <ns0:v>264130.6437214003</ns0:v>
      </ns0:c>
      <ns0:c r="M774" s="16">
        <ns0:f>IF(('前提と出典'!$C$36+'前提と出典'!$C$38)=0,0,IF(B774&lt;=10,'前提と出典'!B73+'前提と出典'!C73,IF(B774&lt;=100,'前提と出典'!B74+'前提と出典'!C74,IF(B774&lt;=500,'前提と出典'!B75+'前提と出典'!C75,'前提と出典'!B76+'前提と出典'!C76))))</ns0:f>
        <ns0:v>80000</ns0:v>
      </ns0:c>
      <ns0:c r="N774" s="16">
        <ns0:f>IF(('前提と出典'!$C$37+'前提と出典'!$C$38)=0,0,IF(C774&lt;=10,'前提と出典'!D73+'前提と出典'!E73,IF(C774&lt;=100,'前提と出典'!D74+'前提と出典'!E74,IF(C774&lt;=500,'前提と出典'!D75+'前提と出典'!E75,'前提と出典'!D76+'前提と出典'!E76))))</ns0:f>
        <ns0:v>56510.9346263078</ns0:v>
      </ns0:c>
      <ns0:c r="O774" s="16">
        <ns0:f>IF('前提と出典'!$C$36+'前提と出典'!$C$38=0,0,'前提と出典'!$B$4*IF('前提と出典'!$B$20=0,MAX('前提と出典'!$B$6,D774*'前提と出典'!$B$5),'前提と出典'!$B$6+D774*'前提と出典'!$B$5))</ns0:f>
        <ns0:v>764597.094972067</ns0:v>
      </ns0:c>
      <ns0:c r="P774" s="16">
        <ns0:f>(E774+G774)*(1-'前提と出典'!$B$7)-I774-K774-M774-O774</ns0:f>
        <ns0:v>1712289.7551810513</ns0:v>
      </ns0:c>
      <ns0:c r="Q774" s="16">
        <ns0:f>(F774+H774)*(1-'前提と出典'!$B$7)-J774-L774-N774</ns0:f>
        <ns0:v>680129.7660929447</ns0:v>
      </ns0:c>
      <ns0:c r="R774" s="16">
        <ns0:f>P774-E774*'前提と出典'!$E$4</ns0:f>
        <ns0:v>1265317.539475875</ns0:v>
      </ns0:c>
      <ns0:c r="S774" s="16">
        <ns0:f>Q774-F774*'前提と出典'!$E$4</ns0:f>
        <ns0:v>504709.4102813194</ns0:v>
      </ns0:c>
      <ns0:c r="T774" s="7">
        <ns0:f>R774+S774</ns0:f>
        <ns0:v>1770026.9497571944</ns0:v>
      </ns0:c>
      <ns0:c r="U774" s="16">
        <ns0:f>P774-E774*'前提と出典'!$E$5</ns0:f>
        <ns0:v>1116326.8009074824</ns0:v>
      </ns0:c>
      <ns0:c r="V774" s="16">
        <ns0:f>Q774-F774*'前提と出典'!$E$5</ns0:f>
        <ns0:v>446235.958344111</ns0:v>
      </ns0:c>
      <ns0:c r="W774" s="7">
        <ns0:f>U774+V774</ns0:f>
        <ns0:v>1562562.7592515934</ns0:v>
      </ns0:c>
      <ns0:c r="X774" s="16">
        <ns0:f>P774-E774*'前提と出典'!$E$6</ns0:f>
        <ns0:v>967336.0623390903</ns0:v>
      </ns0:c>
      <ns0:c r="Y774" s="16">
        <ns0:f>Q774-F774*'前提と出典'!$E$6</ns0:f>
        <ns0:v>387762.50640690257</ns0:v>
      </ns0:c>
      <ns0:c r="Z774" s="7">
        <ns0:f>X774+Y774</ns0:f>
        <ns0:v>1355098.5687459928</ns0:v>
      </ns0:c>
      <ns0:c r="AA774" s="7">
        <ns0:f>IF(T774&gt;=0,A774,1001)</ns0:f>
        <ns0:v>770</ns0:v>
      </ns0:c>
      <ns0:c r="AB774" s="7">
        <ns0:f>IF(T774&lt;0,A774,0)</ns0:f>
        <ns0:v>0</ns0:v>
      </ns0:c>
      <ns0:c r="AC774" s="16">
        <ns0:f>IF(AND(OR('前提と出典'!$C$36+'前提と出典'!$C$38=0,R774&gt;=0),OR('前提と出典'!$C$37+'前提と出典'!$C$38=0,S774&gt;=0)),0,A774)</ns0:f>
        <ns0:v>0</ns0:v>
      </ns0:c>
      <ns0:c r="AD774" s="7">
        <ns0:f>IF(W774&gt;=0,A774,1001)</ns0:f>
        <ns0:v>770</ns0:v>
      </ns0:c>
      <ns0:c r="AE774" s="7">
        <ns0:f>IF(W774&lt;0,A774,0)</ns0:f>
        <ns0:v>0</ns0:v>
      </ns0:c>
      <ns0:c r="AF774" s="16">
        <ns0:f>IF(AND(OR('前提と出典'!$C$36+'前提と出典'!$C$38=0,U774&gt;=0),OR('前提と出典'!$C$37+'前提と出典'!$C$38=0,V774&gt;=0)),0,A774)</ns0:f>
        <ns0:v>0</ns0:v>
      </ns0:c>
      <ns0:c r="AG774" s="7">
        <ns0:f>IF(Z774&gt;=0,A774,1001)</ns0:f>
        <ns0:v>770</ns0:v>
      </ns0:c>
      <ns0:c r="AH774" s="4">
        <ns0:f>IF(Z774&lt;0,A774,0)</ns0:f>
        <ns0:v>0</ns0:v>
      </ns0:c>
      <ns0:c r="AI774" s="12">
        <ns0:f>IF(AND(OR('前提と出典'!$C$36+'前提と出典'!$C$38=0,X774&gt;=0),OR('前提と出典'!$C$37+'前提と出典'!$C$38=0,Y774&gt;=0)),0,A774)</ns0:f>
        <ns0:v>0</ns0:v>
      </ns0:c>
    </ns0:row>
    <ns0:row r="775" ht="24" customHeight="1">
      <ns0:c r="A775" s="4" t="n">
        <ns0:v>771</ns0:v>
      </ns0:c>
      <ns0:c r="B775" s="12">
        <ns0:f>A775*('前提と出典'!$C$36+'前提と出典'!$C$38)</ns0:f>
        <ns0:v>539.6999999999999</ns0:v>
      </ns0:c>
      <ns0:c r="C775" s="12">
        <ns0:f>A775*('前提と出典'!$C$37+'前提と出典'!$C$38)</ns0:f>
        <ns0:v>462.59999999999997</ns0:v>
      </ns0:c>
      <ns0:c r="D775" s="16">
        <ns0:f>A775*('前提と出典'!$C$36*'契約別単価'!C5+'前提と出典'!$C$37*'契約別単価'!C6+'前提と出典'!$C$38*'契約別単価'!C7)</ns0:f>
        <ns0:v>5547.754189944134</ns0:v>
      </ns0:c>
      <ns0:c r="E775" s="16">
        <ns0:f>A775*('前提と出典'!$C$36*'契約別単価'!E5+'前提と出典'!$C$37*'契約別単価'!E6+'前提と出典'!$C$38*'契約別単価'!E7)</ns0:f>
        <ns0:v>1491842.3303406541</ns0:v>
      </ns0:c>
      <ns0:c r="F775" s="16">
        <ns0:f>A775*('前提と出典'!$C$36*'契約別単価'!F5+'前提と出典'!$C$37*'契約別単価'!F6+'前提と出典'!$C$38*'契約別単価'!F7)</ns0:f>
        <ns0:v>585493.9148517883</ns0:v>
      </ns0:c>
      <ns0:c r="G775" s="16">
        <ns0:f>A775*('前提と出典'!$C$36*'契約別単価'!G5+'前提と出典'!$C$37*'契約別単価'!G6+'前提と出典'!$C$38*'契約別単価'!G7)</ns0:f>
        <ns0:v>1534677.6536312848</ns0:v>
      </ns0:c>
      <ns0:c r="H775" s="16">
        <ns0:f>A775*('前提と出典'!$C$36*'契約別単価'!H5+'前提と出典'!$C$37*'契約別単価'!H6+'前提と出典'!$C$38*'契約別単価'!H7)</ns0:f>
        <ns0:v>532610.1159428426</ns0:v>
      </ns0:c>
      <ns0:c r="I775" s="16">
        <ns0:f>A775*('前提と出典'!$C$36*'契約別単価'!I5+'前提と出典'!$C$37*'契約別単価'!I6+'前提と出典'!$C$38*'契約別単価'!I7)</ns0:f>
        <ns0:v>32532.754189944128</ns0:v>
      </ns0:c>
      <ns0:c r="J775" s="16">
        <ns0:f>A775*('前提と出典'!$C$36*'契約別単価'!J5+'前提と出典'!$C$37*'契約別単価'!J6+'前提と出典'!$C$38*'契約別単価'!J7)</ns0:f>
        <ns0:v>75781.23820064327</ns0:v>
      </ns0:c>
      <ns0:c r="K775" s="16">
        <ns0:f>A775*('前提と出典'!$C$36*'契約別単価'!K5+'前提と出典'!$C$37*'契約別単価'!K6+'前提と出典'!$C$38*'契約別単価'!K7)</ns0:f>
        <ns0:v>324825.0279329609</ns0:v>
      </ns0:c>
      <ns0:c r="L775" s="16">
        <ns0:f>A775*('前提と出典'!$C$36*'契約別単価'!L5+'前提と出典'!$C$37*'契約別単価'!L6+'前提と出典'!$C$38*'契約別単価'!L7)</ns0:f>
        <ns0:v>264473.67053142807</ns0:v>
      </ns0:c>
      <ns0:c r="M775" s="16">
        <ns0:f>IF(('前提と出典'!$C$36+'前提と出典'!$C$38)=0,0,IF(B775&lt;=10,'前提と出典'!B73+'前提と出典'!C73,IF(B775&lt;=100,'前提と出典'!B74+'前提と出典'!C74,IF(B775&lt;=500,'前提と出典'!B75+'前提と出典'!C75,'前提と出典'!B76+'前提と出典'!C76))))</ns0:f>
        <ns0:v>80000</ns0:v>
      </ns0:c>
      <ns0:c r="N775" s="16">
        <ns0:f>IF(('前提と出典'!$C$37+'前提と出典'!$C$38)=0,0,IF(C775&lt;=10,'前提と出典'!D73+'前提と出典'!E73,IF(C775&lt;=100,'前提と出典'!D74+'前提と出典'!E74,IF(C775&lt;=500,'前提と出典'!D75+'前提と出典'!E75,'前提と出典'!D76+'前提と出典'!E76))))</ns0:f>
        <ns0:v>56510.9346263078</ns0:v>
      </ns0:c>
      <ns0:c r="O775" s="16">
        <ns0:f>IF('前提と出典'!$C$36+'前提と出典'!$C$38=0,0,'前提と出典'!$B$4*IF('前提と出典'!$B$20=0,MAX('前提と出典'!$B$6,D775*'前提と出典'!$B$5),'前提と出典'!$B$6+D775*'前提と出典'!$B$5))</ns0:f>
        <ns0:v>765590.0782122904</ns0:v>
      </ns0:c>
      <ns0:c r="P775" s="16">
        <ns0:f>(E775+G775)*(1-'前提と出典'!$B$7)-I775-K775-M775-O775</ns0:f>
        <ns0:v>1714617.4042137535</ns0:v>
      </ns0:c>
      <ns0:c r="Q775" s="16">
        <ns0:f>(F775+H775)*(1-'前提と出典'!$B$7)-J775-L775-N775</ns0:f>
        <ns0:v>681086.4423276448</ns0:v>
      </ns0:c>
      <ns0:c r="R775" s="16">
        <ns0:f>P775-E775*'前提と出典'!$E$4</ns0:f>
        <ns0:v>1267064.7051115567</ns0:v>
      </ns0:c>
      <ns0:c r="S775" s="16">
        <ns0:f>Q775-F775*'前提と出典'!$E$4</ns0:f>
        <ns0:v>505438.26787210826</ns0:v>
      </ns0:c>
      <ns0:c r="T775" s="7">
        <ns0:f>R775+S775</ns0:f>
        <ns0:v>1772502.9729836648</ns0:v>
      </ns0:c>
      <ns0:c r="U775" s="16">
        <ns0:f>P775-E775*'前提と出典'!$E$5</ns0:f>
        <ns0:v>1117880.4720774917</ns0:v>
      </ns0:c>
      <ns0:c r="V775" s="16">
        <ns0:f>Q775-F775*'前提と出典'!$E$5</ns0:f>
        <ns0:v>446888.8763869294</ns0:v>
      </ns0:c>
      <ns0:c r="W775" s="7">
        <ns0:f>U775+V775</ns0:f>
        <ns0:v>1564769.348464421</ns0:v>
      </ns0:c>
      <ns0:c r="X775" s="16">
        <ns0:f>P775-E775*'前提と出典'!$E$6</ns0:f>
        <ns0:v>968696.2390434259</ns0:v>
      </ns0:c>
      <ns0:c r="Y775" s="16">
        <ns0:f>Q775-F775*'前提と出典'!$E$6</ns0:f>
        <ns0:v>388339.4849017506</ns0:v>
      </ns0:c>
      <ns0:c r="Z775" s="7">
        <ns0:f>X775+Y775</ns0:f>
        <ns0:v>1357035.7239451765</ns0:v>
      </ns0:c>
      <ns0:c r="AA775" s="7">
        <ns0:f>IF(T775&gt;=0,A775,1001)</ns0:f>
        <ns0:v>771</ns0:v>
      </ns0:c>
      <ns0:c r="AB775" s="7">
        <ns0:f>IF(T775&lt;0,A775,0)</ns0:f>
        <ns0:v>0</ns0:v>
      </ns0:c>
      <ns0:c r="AC775" s="16">
        <ns0:f>IF(AND(OR('前提と出典'!$C$36+'前提と出典'!$C$38=0,R775&gt;=0),OR('前提と出典'!$C$37+'前提と出典'!$C$38=0,S775&gt;=0)),0,A775)</ns0:f>
        <ns0:v>0</ns0:v>
      </ns0:c>
      <ns0:c r="AD775" s="7">
        <ns0:f>IF(W775&gt;=0,A775,1001)</ns0:f>
        <ns0:v>771</ns0:v>
      </ns0:c>
      <ns0:c r="AE775" s="7">
        <ns0:f>IF(W775&lt;0,A775,0)</ns0:f>
        <ns0:v>0</ns0:v>
      </ns0:c>
      <ns0:c r="AF775" s="16">
        <ns0:f>IF(AND(OR('前提と出典'!$C$36+'前提と出典'!$C$38=0,U775&gt;=0),OR('前提と出典'!$C$37+'前提と出典'!$C$38=0,V775&gt;=0)),0,A775)</ns0:f>
        <ns0:v>0</ns0:v>
      </ns0:c>
      <ns0:c r="AG775" s="7">
        <ns0:f>IF(Z775&gt;=0,A775,1001)</ns0:f>
        <ns0:v>771</ns0:v>
      </ns0:c>
      <ns0:c r="AH775" s="4">
        <ns0:f>IF(Z775&lt;0,A775,0)</ns0:f>
        <ns0:v>0</ns0:v>
      </ns0:c>
      <ns0:c r="AI775" s="12">
        <ns0:f>IF(AND(OR('前提と出典'!$C$36+'前提と出典'!$C$38=0,X775&gt;=0),OR('前提と出典'!$C$37+'前提と出典'!$C$38=0,Y775&gt;=0)),0,A775)</ns0:f>
        <ns0:v>0</ns0:v>
      </ns0:c>
    </ns0:row>
    <ns0:row r="776" ht="24" customHeight="1">
      <ns0:c r="A776" s="4" t="n">
        <ns0:v>772</ns0:v>
      </ns0:c>
      <ns0:c r="B776" s="12">
        <ns0:f>A776*('前提と出典'!$C$36+'前提と出典'!$C$38)</ns0:f>
        <ns0:v>540.4</ns0:v>
      </ns0:c>
      <ns0:c r="C776" s="12">
        <ns0:f>A776*('前提と出典'!$C$37+'前提と出典'!$C$38)</ns0:f>
        <ns0:v>463.2</ns0:v>
      </ns0:c>
      <ns0:c r="D776" s="16">
        <ns0:f>A776*('前提と出典'!$C$36*'契約別単価'!C5+'前提と出典'!$C$37*'契約別単価'!C6+'前提と出典'!$C$38*'契約別単価'!C7)</ns0:f>
        <ns0:v>5554.949720670391</ns0:v>
      </ns0:c>
      <ns0:c r="E776" s="16">
        <ns0:f>A776*('前提と出典'!$C$36*'契約別単価'!E5+'前提と出典'!$C$37*'契約別単価'!E6+'前提と出典'!$C$38*'契約別単価'!E7)</ns0:f>
        <ns0:v>1493777.2749973866</ns0:v>
      </ns0:c>
      <ns0:c r="F776" s="16">
        <ns0:f>A776*('前提と出典'!$C$36*'契約別単価'!F5+'前提と出典'!$C$37*'契約別単価'!F6+'前提と出典'!$C$38*'契約別単価'!F7)</ns0:f>
        <ns0:v>586253.3103314922</ns0:v>
      </ns0:c>
      <ns0:c r="G776" s="16">
        <ns0:f>A776*('前提と出典'!$C$36*'契約別単価'!G5+'前提と出典'!$C$37*'契約別単価'!G6+'前提と出典'!$C$38*'契約別単価'!G7)</ns0:f>
        <ns0:v>1536668.1564245808</ns0:v>
      </ns0:c>
      <ns0:c r="H776" s="16">
        <ns0:f>A776*('前提と出典'!$C$36*'契約別単価'!H5+'前提と出典'!$C$37*'契約別単価'!H6+'前提と出典'!$C$38*'契約別単価'!H7)</ns0:f>
        <ns0:v>533300.9202436764</ns0:v>
      </ns0:c>
      <ns0:c r="I776" s="16">
        <ns0:f>A776*('前提と出典'!$C$36*'契約別単価'!I5+'前提と出典'!$C$37*'契約別単価'!I6+'前提と出典'!$C$38*'契約別単価'!I7)</ns0:f>
        <ns0:v>32574.949720670385</ns0:v>
      </ns0:c>
      <ns0:c r="J776" s="16">
        <ns0:f>A776*('前提と出典'!$C$36*'契約別単価'!J5+'前提と出典'!$C$37*'契約別単価'!J6+'前提と出典'!$C$38*'契約別単価'!J7)</ns0:f>
        <ns0:v>75879.52774435359</ns0:v>
      </ns0:c>
      <ns0:c r="K776" s="16">
        <ns0:f>A776*('前提と出典'!$C$36*'契約別単価'!K5+'前提と出典'!$C$37*'契約別単価'!K6+'前提と出典'!$C$38*'契約別単価'!K7)</ns0:f>
        <ns0:v>325246.3314711359</ns0:v>
      </ns0:c>
      <ns0:c r="L776" s="16">
        <ns0:f>A776*('前提と出典'!$C$36*'契約別単価'!L5+'前提と出典'!$C$37*'契約別単価'!L6+'前提と出典'!$C$38*'契約別単価'!L7)</ns0:f>
        <ns0:v>264816.69734145585</ns0:v>
      </ns0:c>
      <ns0:c r="M776" s="16">
        <ns0:f>IF(('前提と出典'!$C$36+'前提と出典'!$C$38)=0,0,IF(B776&lt;=10,'前提と出典'!B73+'前提と出典'!C73,IF(B776&lt;=100,'前提と出典'!B74+'前提と出典'!C74,IF(B776&lt;=500,'前提と出典'!B75+'前提と出典'!C75,'前提と出典'!B76+'前提と出典'!C76))))</ns0:f>
        <ns0:v>80000</ns0:v>
      </ns0:c>
      <ns0:c r="N776" s="16">
        <ns0:f>IF(('前提と出典'!$C$37+'前提と出典'!$C$38)=0,0,IF(C776&lt;=10,'前提と出典'!D73+'前提と出典'!E73,IF(C776&lt;=100,'前提と出典'!D74+'前提と出典'!E74,IF(C776&lt;=500,'前提と出典'!D75+'前提と出典'!E75,'前提と出典'!D76+'前提と出典'!E76))))</ns0:f>
        <ns0:v>56510.9346263078</ns0:v>
      </ns0:c>
      <ns0:c r="O776" s="16">
        <ns0:f>IF('前提と出典'!$C$36+'前提と出典'!$C$38=0,0,'前提と出典'!$B$4*IF('前提と出典'!$B$20=0,MAX('前提と出典'!$B$6,D776*'前提と出典'!$B$5),'前提と出典'!$B$6+D776*'前提と出典'!$B$5))</ns0:f>
        <ns0:v>766583.0614525139</ns0:v>
      </ns0:c>
      <ns0:c r="P776" s="16">
        <ns0:f>(E776+G776)*(1-'前提と出典'!$B$7)-I776-K776-M776-O776</ns0:f>
        <ns0:v>1716945.0532464562</ns0:v>
      </ns0:c>
      <ns0:c r="Q776" s="16">
        <ns0:f>(F776+H776)*(1-'前提と出典'!$B$7)-J776-L776-N776</ns0:f>
        <ns0:v>682043.1185623452</ns0:v>
      </ns0:c>
      <ns0:c r="R776" s="16">
        <ns0:f>P776-E776*'前提と出典'!$E$4</ns0:f>
        <ns0:v>1268811.8707472403</ns0:v>
      </ns0:c>
      <ns0:c r="S776" s="16">
        <ns0:f>Q776-F776*'前提と出典'!$E$4</ns0:f>
        <ns0:v>506167.1254628975</ns0:v>
      </ns0:c>
      <ns0:c r="T776" s="7">
        <ns0:f>R776+S776</ns0:f>
        <ns0:v>1774978.9962101378</ns0:v>
      </ns0:c>
      <ns0:c r="U776" s="16">
        <ns0:f>P776-E776*'前提と出典'!$E$5</ns0:f>
        <ns0:v>1119434.1432475015</ns0:v>
      </ns0:c>
      <ns0:c r="V776" s="16">
        <ns0:f>Q776-F776*'前提と出典'!$E$5</ns0:f>
        <ns0:v>447541.7944297483</ns0:v>
      </ns0:c>
      <ns0:c r="W776" s="7">
        <ns0:f>U776+V776</ns0:f>
        <ns0:v>1566975.9376772498</ns0:v>
      </ns0:c>
      <ns0:c r="X776" s="16">
        <ns0:f>P776-E776*'前提と出典'!$E$6</ns0:f>
        <ns0:v>970056.4157477628</ns0:v>
      </ns0:c>
      <ns0:c r="Y776" s="16">
        <ns0:f>Q776-F776*'前提と出典'!$E$6</ns0:f>
        <ns0:v>388916.46339659905</ns0:v>
      </ns0:c>
      <ns0:c r="Z776" s="7">
        <ns0:f>X776+Y776</ns0:f>
        <ns0:v>1358972.8791443617</ns0:v>
      </ns0:c>
      <ns0:c r="AA776" s="7">
        <ns0:f>IF(T776&gt;=0,A776,1001)</ns0:f>
        <ns0:v>772</ns0:v>
      </ns0:c>
      <ns0:c r="AB776" s="7">
        <ns0:f>IF(T776&lt;0,A776,0)</ns0:f>
        <ns0:v>0</ns0:v>
      </ns0:c>
      <ns0:c r="AC776" s="16">
        <ns0:f>IF(AND(OR('前提と出典'!$C$36+'前提と出典'!$C$38=0,R776&gt;=0),OR('前提と出典'!$C$37+'前提と出典'!$C$38=0,S776&gt;=0)),0,A776)</ns0:f>
        <ns0:v>0</ns0:v>
      </ns0:c>
      <ns0:c r="AD776" s="7">
        <ns0:f>IF(W776&gt;=0,A776,1001)</ns0:f>
        <ns0:v>772</ns0:v>
      </ns0:c>
      <ns0:c r="AE776" s="7">
        <ns0:f>IF(W776&lt;0,A776,0)</ns0:f>
        <ns0:v>0</ns0:v>
      </ns0:c>
      <ns0:c r="AF776" s="16">
        <ns0:f>IF(AND(OR('前提と出典'!$C$36+'前提と出典'!$C$38=0,U776&gt;=0),OR('前提と出典'!$C$37+'前提と出典'!$C$38=0,V776&gt;=0)),0,A776)</ns0:f>
        <ns0:v>0</ns0:v>
      </ns0:c>
      <ns0:c r="AG776" s="7">
        <ns0:f>IF(Z776&gt;=0,A776,1001)</ns0:f>
        <ns0:v>772</ns0:v>
      </ns0:c>
      <ns0:c r="AH776" s="4">
        <ns0:f>IF(Z776&lt;0,A776,0)</ns0:f>
        <ns0:v>0</ns0:v>
      </ns0:c>
      <ns0:c r="AI776" s="12">
        <ns0:f>IF(AND(OR('前提と出典'!$C$36+'前提と出典'!$C$38=0,X776&gt;=0),OR('前提と出典'!$C$37+'前提と出典'!$C$38=0,Y776&gt;=0)),0,A776)</ns0:f>
        <ns0:v>0</ns0:v>
      </ns0:c>
    </ns0:row>
    <ns0:row r="777" ht="24" customHeight="1">
      <ns0:c r="A777" s="4" t="n">
        <ns0:v>773</ns0:v>
      </ns0:c>
      <ns0:c r="B777" s="12">
        <ns0:f>A777*('前提と出典'!$C$36+'前提と出典'!$C$38)</ns0:f>
        <ns0:v>541.0999999999999</ns0:v>
      </ns0:c>
      <ns0:c r="C777" s="12">
        <ns0:f>A777*('前提と出典'!$C$37+'前提と出典'!$C$38)</ns0:f>
        <ns0:v>463.79999999999995</ns0:v>
      </ns0:c>
      <ns0:c r="D777" s="16">
        <ns0:f>A777*('前提と出典'!$C$36*'契約別単価'!C5+'前提と出典'!$C$37*'契約別単価'!C6+'前提と出典'!$C$38*'契約別単価'!C7)</ns0:f>
        <ns0:v>5562.145251396648</ns0:v>
      </ns0:c>
      <ns0:c r="E777" s="16">
        <ns0:f>A777*('前提と出典'!$C$36*'契約別単価'!E5+'前提と出典'!$C$37*'契約別単価'!E6+'前提と出典'!$C$38*'契約別単価'!E7)</ns0:f>
        <ns0:v>1495712.2196541189</ns0:v>
      </ns0:c>
      <ns0:c r="F777" s="16">
        <ns0:f>A777*('前提と出典'!$C$36*'契約別単価'!F5+'前提と出典'!$C$37*'契約別単価'!F6+'前提と出典'!$C$38*'契約別単価'!F7)</ns0:f>
        <ns0:v>587012.7058111962</ns0:v>
      </ns0:c>
      <ns0:c r="G777" s="16">
        <ns0:f>A777*('前提と出典'!$C$36*'契約別単価'!G5+'前提と出典'!$C$37*'契約別単価'!G6+'前提と出典'!$C$38*'契約別単価'!G7)</ns0:f>
        <ns0:v>1538658.659217877</ns0:v>
      </ns0:c>
      <ns0:c r="H777" s="16">
        <ns0:f>A777*('前提と出典'!$C$36*'契約別単価'!H5+'前提と出典'!$C$37*'契約別単価'!H6+'前提と出典'!$C$38*'契約別単価'!H7)</ns0:f>
        <ns0:v>533991.7245445101</ns0:v>
      </ns0:c>
      <ns0:c r="I777" s="16">
        <ns0:f>A777*('前提と出典'!$C$36*'契約別単価'!I5+'前提と出典'!$C$37*'契約別単価'!I6+'前提と出典'!$C$38*'契約別単価'!I7)</ns0:f>
        <ns0:v>32617.145251396643</ns0:v>
      </ns0:c>
      <ns0:c r="J777" s="16">
        <ns0:f>A777*('前提と出典'!$C$36*'契約別単価'!J5+'前提と出典'!$C$37*'契約別単価'!J6+'前提と出典'!$C$38*'契約別単価'!J7)</ns0:f>
        <ns0:v>75977.81728806389</ns0:v>
      </ns0:c>
      <ns0:c r="K777" s="16">
        <ns0:f>A777*('前提と出典'!$C$36*'契約別単価'!K5+'前提と出典'!$C$37*'契約別単価'!K6+'前提と出典'!$C$38*'契約別単価'!K7)</ns0:f>
        <ns0:v>325667.63500931096</ns0:v>
      </ns0:c>
      <ns0:c r="L777" s="16">
        <ns0:f>A777*('前提と出典'!$C$36*'契約別単価'!L5+'前提と出典'!$C$37*'契約別単価'!L6+'前提と出典'!$C$38*'契約別単価'!L7)</ns0:f>
        <ns0:v>265159.7241514837</ns0:v>
      </ns0:c>
      <ns0:c r="M777" s="16">
        <ns0:f>IF(('前提と出典'!$C$36+'前提と出典'!$C$38)=0,0,IF(B777&lt;=10,'前提と出典'!B73+'前提と出典'!C73,IF(B777&lt;=100,'前提と出典'!B74+'前提と出典'!C74,IF(B777&lt;=500,'前提と出典'!B75+'前提と出典'!C75,'前提と出典'!B76+'前提と出典'!C76))))</ns0:f>
        <ns0:v>80000</ns0:v>
      </ns0:c>
      <ns0:c r="N777" s="16">
        <ns0:f>IF(('前提と出典'!$C$37+'前提と出典'!$C$38)=0,0,IF(C777&lt;=10,'前提と出典'!D73+'前提と出典'!E73,IF(C777&lt;=100,'前提と出典'!D74+'前提と出典'!E74,IF(C777&lt;=500,'前提と出典'!D75+'前提と出典'!E75,'前提と出典'!D76+'前提と出典'!E76))))</ns0:f>
        <ns0:v>56510.9346263078</ns0:v>
      </ns0:c>
      <ns0:c r="O777" s="16">
        <ns0:f>IF('前提と出典'!$C$36+'前提と出典'!$C$38=0,0,'前提と出典'!$B$4*IF('前提と出典'!$B$20=0,MAX('前提と出典'!$B$6,D777*'前提と出典'!$B$5),'前提と出典'!$B$6+D777*'前提と出典'!$B$5))</ns0:f>
        <ns0:v>767576.0446927374</ns0:v>
      </ns0:c>
      <ns0:c r="P777" s="16">
        <ns0:f>(E777+G777)*(1-'前提と出典'!$B$7)-I777-K777-M777-O777</ns0:f>
        <ns0:v>1719272.7022791593</ns0:v>
      </ns0:c>
      <ns0:c r="Q777" s="16">
        <ns0:f>(F777+H777)*(1-'前提と出典'!$B$7)-J777-L777-N777</ns0:f>
        <ns0:v>682999.7947970454</ns0:v>
      </ns0:c>
      <ns0:c r="R777" s="16">
        <ns0:f>P777-E777*'前提と出典'!$E$4</ns0:f>
        <ns0:v>1270559.0363829234</ns0:v>
      </ns0:c>
      <ns0:c r="S777" s="16">
        <ns0:f>Q777-F777*'前提と出典'!$E$4</ns0:f>
        <ns0:v>506895.98305368656</ns0:v>
      </ns0:c>
      <ns0:c r="T777" s="7">
        <ns0:f>R777+S777</ns0:f>
        <ns0:v>1777455.01943661</ns0:v>
      </ns0:c>
      <ns0:c r="U777" s="16">
        <ns0:f>P777-E777*'前提と出典'!$E$5</ns0:f>
        <ns0:v>1120987.8144175117</ns0:v>
      </ns0:c>
      <ns0:c r="V777" s="16">
        <ns0:f>Q777-F777*'前提と出典'!$E$5</ns0:f>
        <ns0:v>448194.7124725669</ns0:v>
      </ns0:c>
      <ns0:c r="W777" s="7">
        <ns0:f>U777+V777</ns0:f>
        <ns0:v>1569182.5268900786</ns0:v>
      </ns0:c>
      <ns0:c r="X777" s="16">
        <ns0:f>P777-E777*'前提と出典'!$E$6</ns0:f>
        <ns0:v>971416.5924520999</ns0:v>
      </ns0:c>
      <ns0:c r="Y777" s="16">
        <ns0:f>Q777-F777*'前提と出典'!$E$6</ns0:f>
        <ns0:v>389493.44189144723</ns0:v>
      </ns0:c>
      <ns0:c r="Z777" s="7">
        <ns0:f>X777+Y777</ns0:f>
        <ns0:v>1360910.0343435472</ns0:v>
      </ns0:c>
      <ns0:c r="AA777" s="7">
        <ns0:f>IF(T777&gt;=0,A777,1001)</ns0:f>
        <ns0:v>773</ns0:v>
      </ns0:c>
      <ns0:c r="AB777" s="7">
        <ns0:f>IF(T777&lt;0,A777,0)</ns0:f>
        <ns0:v>0</ns0:v>
      </ns0:c>
      <ns0:c r="AC777" s="16">
        <ns0:f>IF(AND(OR('前提と出典'!$C$36+'前提と出典'!$C$38=0,R777&gt;=0),OR('前提と出典'!$C$37+'前提と出典'!$C$38=0,S777&gt;=0)),0,A777)</ns0:f>
        <ns0:v>0</ns0:v>
      </ns0:c>
      <ns0:c r="AD777" s="7">
        <ns0:f>IF(W777&gt;=0,A777,1001)</ns0:f>
        <ns0:v>773</ns0:v>
      </ns0:c>
      <ns0:c r="AE777" s="7">
        <ns0:f>IF(W777&lt;0,A777,0)</ns0:f>
        <ns0:v>0</ns0:v>
      </ns0:c>
      <ns0:c r="AF777" s="16">
        <ns0:f>IF(AND(OR('前提と出典'!$C$36+'前提と出典'!$C$38=0,U777&gt;=0),OR('前提と出典'!$C$37+'前提と出典'!$C$38=0,V777&gt;=0)),0,A777)</ns0:f>
        <ns0:v>0</ns0:v>
      </ns0:c>
      <ns0:c r="AG777" s="7">
        <ns0:f>IF(Z777&gt;=0,A777,1001)</ns0:f>
        <ns0:v>773</ns0:v>
      </ns0:c>
      <ns0:c r="AH777" s="4">
        <ns0:f>IF(Z777&lt;0,A777,0)</ns0:f>
        <ns0:v>0</ns0:v>
      </ns0:c>
      <ns0:c r="AI777" s="12">
        <ns0:f>IF(AND(OR('前提と出典'!$C$36+'前提と出典'!$C$38=0,X777&gt;=0),OR('前提と出典'!$C$37+'前提と出典'!$C$38=0,Y777&gt;=0)),0,A777)</ns0:f>
        <ns0:v>0</ns0:v>
      </ns0:c>
    </ns0:row>
    <ns0:row r="778" ht="24" customHeight="1">
      <ns0:c r="A778" s="4" t="n">
        <ns0:v>774</ns0:v>
      </ns0:c>
      <ns0:c r="B778" s="12">
        <ns0:f>A778*('前提と出典'!$C$36+'前提と出典'!$C$38)</ns0:f>
        <ns0:v>541.8</ns0:v>
      </ns0:c>
      <ns0:c r="C778" s="12">
        <ns0:f>A778*('前提と出典'!$C$37+'前提と出典'!$C$38)</ns0:f>
        <ns0:v>464.4</ns0:v>
      </ns0:c>
      <ns0:c r="D778" s="16">
        <ns0:f>A778*('前提と出典'!$C$36*'契約別単価'!C5+'前提と出典'!$C$37*'契約別単価'!C6+'前提と出典'!$C$38*'契約別単価'!C7)</ns0:f>
        <ns0:v>5569.340782122905</ns0:v>
      </ns0:c>
      <ns0:c r="E778" s="16">
        <ns0:f>A778*('前提と出典'!$C$36*'契約別単価'!E5+'前提と出典'!$C$37*'契約別単価'!E6+'前提と出典'!$C$38*'契約別単価'!E7)</ns0:f>
        <ns0:v>1497647.1643108511</ns0:v>
      </ns0:c>
      <ns0:c r="F778" s="16">
        <ns0:f>A778*('前提と出典'!$C$36*'契約別単価'!F5+'前提と出典'!$C$37*'契約別単価'!F6+'前提と出典'!$C$38*'契約別単価'!F7)</ns0:f>
        <ns0:v>587772.1012909003</ns0:v>
      </ns0:c>
      <ns0:c r="G778" s="16">
        <ns0:f>A778*('前提と出典'!$C$36*'契約別単価'!G5+'前提と出典'!$C$37*'契約別単価'!G6+'前提と出典'!$C$38*'契約別単価'!G7)</ns0:f>
        <ns0:v>1540649.162011173</ns0:v>
      </ns0:c>
      <ns0:c r="H778" s="16">
        <ns0:f>A778*('前提と出典'!$C$36*'契約別単価'!H5+'前提と出典'!$C$37*'契約別単価'!H6+'前提と出典'!$C$38*'契約別単価'!H7)</ns0:f>
        <ns0:v>534682.528845344</ns0:v>
      </ns0:c>
      <ns0:c r="I778" s="16">
        <ns0:f>A778*('前提と出典'!$C$36*'契約別単価'!I5+'前提と出典'!$C$37*'契約別単価'!I6+'前提と出典'!$C$38*'契約別単価'!I7)</ns0:f>
        <ns0:v>32659.3407821229</ns0:v>
      </ns0:c>
      <ns0:c r="J778" s="16">
        <ns0:f>A778*('前提と出典'!$C$36*'契約別単価'!J5+'前提と出典'!$C$37*'契約別単価'!J6+'前提と出典'!$C$38*'契約別単価'!J7)</ns0:f>
        <ns0:v>76076.10683177419</ns0:v>
      </ns0:c>
      <ns0:c r="K778" s="16">
        <ns0:f>A778*('前提と出典'!$C$36*'契約別単価'!K5+'前提と出典'!$C$37*'契約別単価'!K6+'前提と出典'!$C$38*'契約別単価'!K7)</ns0:f>
        <ns0:v>326088.93854748603</ns0:v>
      </ns0:c>
      <ns0:c r="L778" s="16">
        <ns0:f>A778*('前提と出典'!$C$36*'契約別単価'!L5+'前提と出典'!$C$37*'契約別単価'!L6+'前提と出典'!$C$38*'契約別単価'!L7)</ns0:f>
        <ns0:v>265502.75096151145</ns0:v>
      </ns0:c>
      <ns0:c r="M778" s="16">
        <ns0:f>IF(('前提と出典'!$C$36+'前提と出典'!$C$38)=0,0,IF(B778&lt;=10,'前提と出典'!B73+'前提と出典'!C73,IF(B778&lt;=100,'前提と出典'!B74+'前提と出典'!C74,IF(B778&lt;=500,'前提と出典'!B75+'前提と出典'!C75,'前提と出典'!B76+'前提と出典'!C76))))</ns0:f>
        <ns0:v>80000</ns0:v>
      </ns0:c>
      <ns0:c r="N778" s="16">
        <ns0:f>IF(('前提と出典'!$C$37+'前提と出典'!$C$38)=0,0,IF(C778&lt;=10,'前提と出典'!D73+'前提と出典'!E73,IF(C778&lt;=100,'前提と出典'!D74+'前提と出典'!E74,IF(C778&lt;=500,'前提と出典'!D75+'前提と出典'!E75,'前提と出典'!D76+'前提と出典'!E76))))</ns0:f>
        <ns0:v>56510.9346263078</ns0:v>
      </ns0:c>
      <ns0:c r="O778" s="16">
        <ns0:f>IF('前提と出典'!$C$36+'前提と出典'!$C$38=0,0,'前提と出典'!$B$4*IF('前提と出典'!$B$20=0,MAX('前提と出典'!$B$6,D778*'前提と出典'!$B$5),'前提と出典'!$B$6+D778*'前提と出典'!$B$5))</ns0:f>
        <ns0:v>768569.0279329609</ns0:v>
      </ns0:c>
      <ns0:c r="P778" s="16">
        <ns0:f>(E778+G778)*(1-'前提と出典'!$B$7)-I778-K778-M778-O778</ns0:f>
        <ns0:v>1721600.3513118615</ns0:v>
      </ns0:c>
      <ns0:c r="Q778" s="16">
        <ns0:f>(F778+H778)*(1-'前提と出典'!$B$7)-J778-L778-N778</ns0:f>
        <ns0:v>683956.4710317459</ns0:v>
      </ns0:c>
      <ns0:c r="R778" s="16">
        <ns0:f>P778-E778*'前提と出典'!$E$4</ns0:f>
        <ns0:v>1272306.202018606</ns0:v>
      </ns0:c>
      <ns0:c r="S778" s="16">
        <ns0:f>Q778-F778*'前提と出典'!$E$4</ns0:f>
        <ns0:v>507624.8406444758</ns0:v>
      </ns0:c>
      <ns0:c r="T778" s="7">
        <ns0:f>R778+S778</ns0:f>
        <ns0:v>1779931.0426630818</ns0:v>
      </ns0:c>
      <ns0:c r="U778" s="16">
        <ns0:f>P778-E778*'前提と出典'!$E$5</ns0:f>
        <ns0:v>1122541.485587521</ns0:v>
      </ns0:c>
      <ns0:c r="V778" s="16">
        <ns0:f>Q778-F778*'前提と出典'!$E$5</ns0:f>
        <ns0:v>448847.6305153858</ns0:v>
      </ns0:c>
      <ns0:c r="W778" s="7">
        <ns0:f>U778+V778</ns0:f>
        <ns0:v>1571389.1161029069</ns0:v>
      </ns0:c>
      <ns0:c r="X778" s="16">
        <ns0:f>P778-E778*'前提と出典'!$E$6</ns0:f>
        <ns0:v>972776.7691564361</ns0:v>
      </ns0:c>
      <ns0:c r="Y778" s="16">
        <ns0:f>Q778-F778*'前提と出典'!$E$6</ns0:f>
        <ns0:v>390070.4203862958</ns0:v>
      </ns0:c>
      <ns0:c r="Z778" s="7">
        <ns0:f>X778+Y778</ns0:f>
        <ns0:v>1362847.189542732</ns0:v>
      </ns0:c>
      <ns0:c r="AA778" s="7">
        <ns0:f>IF(T778&gt;=0,A778,1001)</ns0:f>
        <ns0:v>774</ns0:v>
      </ns0:c>
      <ns0:c r="AB778" s="7">
        <ns0:f>IF(T778&lt;0,A778,0)</ns0:f>
        <ns0:v>0</ns0:v>
      </ns0:c>
      <ns0:c r="AC778" s="16">
        <ns0:f>IF(AND(OR('前提と出典'!$C$36+'前提と出典'!$C$38=0,R778&gt;=0),OR('前提と出典'!$C$37+'前提と出典'!$C$38=0,S778&gt;=0)),0,A778)</ns0:f>
        <ns0:v>0</ns0:v>
      </ns0:c>
      <ns0:c r="AD778" s="7">
        <ns0:f>IF(W778&gt;=0,A778,1001)</ns0:f>
        <ns0:v>774</ns0:v>
      </ns0:c>
      <ns0:c r="AE778" s="7">
        <ns0:f>IF(W778&lt;0,A778,0)</ns0:f>
        <ns0:v>0</ns0:v>
      </ns0:c>
      <ns0:c r="AF778" s="16">
        <ns0:f>IF(AND(OR('前提と出典'!$C$36+'前提と出典'!$C$38=0,U778&gt;=0),OR('前提と出典'!$C$37+'前提と出典'!$C$38=0,V778&gt;=0)),0,A778)</ns0:f>
        <ns0:v>0</ns0:v>
      </ns0:c>
      <ns0:c r="AG778" s="7">
        <ns0:f>IF(Z778&gt;=0,A778,1001)</ns0:f>
        <ns0:v>774</ns0:v>
      </ns0:c>
      <ns0:c r="AH778" s="4">
        <ns0:f>IF(Z778&lt;0,A778,0)</ns0:f>
        <ns0:v>0</ns0:v>
      </ns0:c>
      <ns0:c r="AI778" s="12">
        <ns0:f>IF(AND(OR('前提と出典'!$C$36+'前提と出典'!$C$38=0,X778&gt;=0),OR('前提と出典'!$C$37+'前提と出典'!$C$38=0,Y778&gt;=0)),0,A778)</ns0:f>
        <ns0:v>0</ns0:v>
      </ns0:c>
    </ns0:row>
    <ns0:row r="779" ht="24" customHeight="1">
      <ns0:c r="A779" s="4" t="n">
        <ns0:v>775</ns0:v>
      </ns0:c>
      <ns0:c r="B779" s="12">
        <ns0:f>A779*('前提と出典'!$C$36+'前提と出典'!$C$38)</ns0:f>
        <ns0:v>542.5</ns0:v>
      </ns0:c>
      <ns0:c r="C779" s="12">
        <ns0:f>A779*('前提と出典'!$C$37+'前提と出典'!$C$38)</ns0:f>
        <ns0:v>465</ns0:v>
      </ns0:c>
      <ns0:c r="D779" s="16">
        <ns0:f>A779*('前提と出典'!$C$36*'契約別単価'!C5+'前提と出典'!$C$37*'契約別単価'!C6+'前提と出典'!$C$38*'契約別単価'!C7)</ns0:f>
        <ns0:v>5576.536312849162</ns0:v>
      </ns0:c>
      <ns0:c r="E779" s="16">
        <ns0:f>A779*('前提と出典'!$C$36*'契約別単価'!E5+'前提と出典'!$C$37*'契約別単価'!E6+'前提と出典'!$C$38*'契約別単価'!E7)</ns0:f>
        <ns0:v>1499582.1089675836</ns0:v>
      </ns0:c>
      <ns0:c r="F779" s="16">
        <ns0:f>A779*('前提と出典'!$C$36*'契約別単価'!F5+'前提と出典'!$C$37*'契約別単価'!F6+'前提と出典'!$C$38*'契約別単価'!F7)</ns0:f>
        <ns0:v>588531.4967706043</ns0:v>
      </ns0:c>
      <ns0:c r="G779" s="16">
        <ns0:f>A779*('前提と出典'!$C$36*'契約別単価'!G5+'前提と出典'!$C$37*'契約別単価'!G6+'前提と出典'!$C$38*'契約別単価'!G7)</ns0:f>
        <ns0:v>1542639.664804469</ns0:v>
      </ns0:c>
      <ns0:c r="H779" s="16">
        <ns0:f>A779*('前提と出典'!$C$36*'契約別単価'!H5+'前提と出典'!$C$37*'契約別単価'!H6+'前提と出典'!$C$38*'契約別単価'!H7)</ns0:f>
        <ns0:v>535373.3331461777</ns0:v>
      </ns0:c>
      <ns0:c r="I779" s="16">
        <ns0:f>A779*('前提と出典'!$C$36*'契約別単価'!I5+'前提と出典'!$C$37*'契約別単価'!I6+'前提と出典'!$C$38*'契約別単価'!I7)</ns0:f>
        <ns0:v>32701.536312849155</ns0:v>
      </ns0:c>
      <ns0:c r="J779" s="16">
        <ns0:f>A779*('前提と出典'!$C$36*'契約別単価'!J5+'前提と出典'!$C$37*'契約別単価'!J6+'前提と出典'!$C$38*'契約別単価'!J7)</ns0:f>
        <ns0:v>76174.39637548449</ns0:v>
      </ns0:c>
      <ns0:c r="K779" s="16">
        <ns0:f>A779*('前提と出典'!$C$36*'契約別単価'!K5+'前提と出典'!$C$37*'契約別単価'!K6+'前提と出典'!$C$38*'契約別単価'!K7)</ns0:f>
        <ns0:v>326510.24208566104</ns0:v>
      </ns0:c>
      <ns0:c r="L779" s="16">
        <ns0:f>A779*('前提と出典'!$C$36*'契約別単価'!L5+'前提と出典'!$C$37*'契約別単価'!L6+'前提と出典'!$C$38*'契約別単価'!L7)</ns0:f>
        <ns0:v>265845.77777153923</ns0:v>
      </ns0:c>
      <ns0:c r="M779" s="16">
        <ns0:f>IF(('前提と出典'!$C$36+'前提と出典'!$C$38)=0,0,IF(B779&lt;=10,'前提と出典'!B73+'前提と出典'!C73,IF(B779&lt;=100,'前提と出典'!B74+'前提と出典'!C74,IF(B779&lt;=500,'前提と出典'!B75+'前提と出典'!C75,'前提と出典'!B76+'前提と出典'!C76))))</ns0:f>
        <ns0:v>80000</ns0:v>
      </ns0:c>
      <ns0:c r="N779" s="16">
        <ns0:f>IF(('前提と出典'!$C$37+'前提と出典'!$C$38)=0,0,IF(C779&lt;=10,'前提と出典'!D73+'前提と出典'!E73,IF(C779&lt;=100,'前提と出典'!D74+'前提と出典'!E74,IF(C779&lt;=500,'前提と出典'!D75+'前提と出典'!E75,'前提と出典'!D76+'前提と出典'!E76))))</ns0:f>
        <ns0:v>56510.9346263078</ns0:v>
      </ns0:c>
      <ns0:c r="O779" s="16">
        <ns0:f>IF('前提と出典'!$C$36+'前提と出典'!$C$38=0,0,'前提と出典'!$B$4*IF('前提と出典'!$B$20=0,MAX('前提と出典'!$B$6,D779*'前提と出典'!$B$5),'前提と出典'!$B$6+D779*'前提と出典'!$B$5))</ns0:f>
        <ns0:v>769562.0111731844</ns0:v>
      </ns0:c>
      <ns0:c r="P779" s="16">
        <ns0:f>(E779+G779)*(1-'前提と出典'!$B$7)-I779-K779-M779-O779</ns0:f>
        <ns0:v>1723928.0003445642</ns0:v>
      </ns0:c>
      <ns0:c r="Q779" s="16">
        <ns0:f>(F779+H779)*(1-'前提と出典'!$B$7)-J779-L779-N779</ns0:f>
        <ns0:v>684913.1472664461</ns0:v>
      </ns0:c>
      <ns0:c r="R779" s="16">
        <ns0:f>P779-E779*'前提と出典'!$E$4</ns0:f>
        <ns0:v>1274053.3676542887</ns0:v>
      </ns0:c>
      <ns0:c r="S779" s="16">
        <ns0:f>Q779-F779*'前提と出典'!$E$4</ns0:f>
        <ns0:v>508353.698235265</ns0:v>
      </ns0:c>
      <ns0:c r="T779" s="7">
        <ns0:f>R779+S779</ns0:f>
        <ns0:v>1782407.0658895536</ns0:v>
      </ns0:c>
      <ns0:c r="U779" s="16">
        <ns0:f>P779-E779*'前提と出典'!$E$5</ns0:f>
        <ns0:v>1124095.1567575308</ns0:v>
      </ns0:c>
      <ns0:c r="V779" s="16">
        <ns0:f>Q779-F779*'前提と出典'!$E$5</ns0:f>
        <ns0:v>449500.5485582045</ns0:v>
      </ns0:c>
      <ns0:c r="W779" s="7">
        <ns0:f>U779+V779</ns0:f>
        <ns0:v>1573595.7053157352</ns0:v>
      </ns0:c>
      <ns0:c r="X779" s="16">
        <ns0:f>P779-E779*'前提と出典'!$E$6</ns0:f>
        <ns0:v>974136.9458607723</ns0:v>
      </ns0:c>
      <ns0:c r="Y779" s="16">
        <ns0:f>Q779-F779*'前提と出典'!$E$6</ns0:f>
        <ns0:v>390647.3988811442</ns0:v>
      </ns0:c>
      <ns0:c r="Z779" s="7">
        <ns0:f>X779+Y779</ns0:f>
        <ns0:v>1364784.3447419165</ns0:v>
      </ns0:c>
      <ns0:c r="AA779" s="7">
        <ns0:f>IF(T779&gt;=0,A779,1001)</ns0:f>
        <ns0:v>775</ns0:v>
      </ns0:c>
      <ns0:c r="AB779" s="7">
        <ns0:f>IF(T779&lt;0,A779,0)</ns0:f>
        <ns0:v>0</ns0:v>
      </ns0:c>
      <ns0:c r="AC779" s="16">
        <ns0:f>IF(AND(OR('前提と出典'!$C$36+'前提と出典'!$C$38=0,R779&gt;=0),OR('前提と出典'!$C$37+'前提と出典'!$C$38=0,S779&gt;=0)),0,A779)</ns0:f>
        <ns0:v>0</ns0:v>
      </ns0:c>
      <ns0:c r="AD779" s="7">
        <ns0:f>IF(W779&gt;=0,A779,1001)</ns0:f>
        <ns0:v>775</ns0:v>
      </ns0:c>
      <ns0:c r="AE779" s="7">
        <ns0:f>IF(W779&lt;0,A779,0)</ns0:f>
        <ns0:v>0</ns0:v>
      </ns0:c>
      <ns0:c r="AF779" s="16">
        <ns0:f>IF(AND(OR('前提と出典'!$C$36+'前提と出典'!$C$38=0,U779&gt;=0),OR('前提と出典'!$C$37+'前提と出典'!$C$38=0,V779&gt;=0)),0,A779)</ns0:f>
        <ns0:v>0</ns0:v>
      </ns0:c>
      <ns0:c r="AG779" s="7">
        <ns0:f>IF(Z779&gt;=0,A779,1001)</ns0:f>
        <ns0:v>775</ns0:v>
      </ns0:c>
      <ns0:c r="AH779" s="4">
        <ns0:f>IF(Z779&lt;0,A779,0)</ns0:f>
        <ns0:v>0</ns0:v>
      </ns0:c>
      <ns0:c r="AI779" s="12">
        <ns0:f>IF(AND(OR('前提と出典'!$C$36+'前提と出典'!$C$38=0,X779&gt;=0),OR('前提と出典'!$C$37+'前提と出典'!$C$38=0,Y779&gt;=0)),0,A779)</ns0:f>
        <ns0:v>0</ns0:v>
      </ns0:c>
    </ns0:row>
    <ns0:row r="780" ht="24" customHeight="1">
      <ns0:c r="A780" s="4" t="n">
        <ns0:v>776</ns0:v>
      </ns0:c>
      <ns0:c r="B780" s="12">
        <ns0:f>A780*('前提と出典'!$C$36+'前提と出典'!$C$38)</ns0:f>
        <ns0:v>543.1999999999999</ns0:v>
      </ns0:c>
      <ns0:c r="C780" s="12">
        <ns0:f>A780*('前提と出典'!$C$37+'前提と出典'!$C$38)</ns0:f>
        <ns0:v>465.59999999999997</ns0:v>
      </ns0:c>
      <ns0:c r="D780" s="16">
        <ns0:f>A780*('前提と出典'!$C$36*'契約別単価'!C5+'前提と出典'!$C$37*'契約別単価'!C6+'前提と出典'!$C$38*'契約別単価'!C7)</ns0:f>
        <ns0:v>5583.731843575419</ns0:v>
      </ns0:c>
      <ns0:c r="E780" s="16">
        <ns0:f>A780*('前提と出典'!$C$36*'契約別単価'!E5+'前提と出典'!$C$37*'契約別単価'!E6+'前提と出典'!$C$38*'契約別単価'!E7)</ns0:f>
        <ns0:v>1501517.053624316</ns0:v>
      </ns0:c>
      <ns0:c r="F780" s="16">
        <ns0:f>A780*('前提と出典'!$C$36*'契約別単価'!F5+'前提と出典'!$C$37*'契約別単価'!F6+'前提と出典'!$C$38*'契約別単価'!F7)</ns0:f>
        <ns0:v>589290.8922503083</ns0:v>
      </ns0:c>
      <ns0:c r="G780" s="16">
        <ns0:f>A780*('前提と出典'!$C$36*'契約別単価'!G5+'前提と出典'!$C$37*'契約別単価'!G6+'前提と出典'!$C$38*'契約別単価'!G7)</ns0:f>
        <ns0:v>1544630.1675977653</ns0:v>
      </ns0:c>
      <ns0:c r="H780" s="16">
        <ns0:f>A780*('前提と出典'!$C$36*'契約別単価'!H5+'前提と出典'!$C$37*'契約別単価'!H6+'前提と出典'!$C$38*'契約別単価'!H7)</ns0:f>
        <ns0:v>536064.1374470115</ns0:v>
      </ns0:c>
      <ns0:c r="I780" s="16">
        <ns0:f>A780*('前提と出典'!$C$36*'契約別単価'!I5+'前提と出典'!$C$37*'契約別単価'!I6+'前提と出典'!$C$38*'契約別単価'!I7)</ns0:f>
        <ns0:v>32743.731843575413</ns0:v>
      </ns0:c>
      <ns0:c r="J780" s="16">
        <ns0:f>A780*('前提と出典'!$C$36*'契約別単価'!J5+'前提と出典'!$C$37*'契約別単価'!J6+'前提と出典'!$C$38*'契約別単価'!J7)</ns0:f>
        <ns0:v>76272.68591919479</ns0:v>
      </ns0:c>
      <ns0:c r="K780" s="16">
        <ns0:f>A780*('前提と出典'!$C$36*'契約別単価'!K5+'前提と出典'!$C$37*'契約別単価'!K6+'前提と出典'!$C$38*'契約別単価'!K7)</ns0:f>
        <ns0:v>326931.5456238361</ns0:v>
      </ns0:c>
      <ns0:c r="L780" s="16">
        <ns0:f>A780*('前提と出典'!$C$36*'契約別単価'!L5+'前提と出典'!$C$37*'契約別単価'!L6+'前提と出典'!$C$38*'契約別単価'!L7)</ns0:f>
        <ns0:v>266188.80458156706</ns0:v>
      </ns0:c>
      <ns0:c r="M780" s="16">
        <ns0:f>IF(('前提と出典'!$C$36+'前提と出典'!$C$38)=0,0,IF(B780&lt;=10,'前提と出典'!B73+'前提と出典'!C73,IF(B780&lt;=100,'前提と出典'!B74+'前提と出典'!C74,IF(B780&lt;=500,'前提と出典'!B75+'前提と出典'!C75,'前提と出典'!B76+'前提と出典'!C76))))</ns0:f>
        <ns0:v>80000</ns0:v>
      </ns0:c>
      <ns0:c r="N780" s="16">
        <ns0:f>IF(('前提と出典'!$C$37+'前提と出典'!$C$38)=0,0,IF(C780&lt;=10,'前提と出典'!D73+'前提と出典'!E73,IF(C780&lt;=100,'前提と出典'!D74+'前提と出典'!E74,IF(C780&lt;=500,'前提と出典'!D75+'前提と出典'!E75,'前提と出典'!D76+'前提と出典'!E76))))</ns0:f>
        <ns0:v>56510.9346263078</ns0:v>
      </ns0:c>
      <ns0:c r="O780" s="16">
        <ns0:f>IF('前提と出典'!$C$36+'前提と出典'!$C$38=0,0,'前提と出典'!$B$4*IF('前提と出典'!$B$20=0,MAX('前提と出典'!$B$6,D780*'前提と出典'!$B$5),'前提と出典'!$B$6+D780*'前提と出典'!$B$5))</ns0:f>
        <ns0:v>770554.9944134079</ns0:v>
      </ns0:c>
      <ns0:c r="P780" s="16">
        <ns0:f>(E780+G780)*(1-'前提と出典'!$B$7)-I780-K780-M780-O780</ns0:f>
        <ns0:v>1726255.6493772669</ns0:v>
      </ns0:c>
      <ns0:c r="Q780" s="16">
        <ns0:f>(F780+H780)*(1-'前提と出典'!$B$7)-J780-L780-N780</ns0:f>
        <ns0:v>685869.8235011467</ns0:v>
      </ns0:c>
      <ns0:c r="R780" s="16">
        <ns0:f>P780-E780*'前提と出典'!$E$4</ns0:f>
        <ns0:v>1275800.5332899722</ns0:v>
      </ns0:c>
      <ns0:c r="S780" s="16">
        <ns0:f>Q780-F780*'前提と出典'!$E$4</ns0:f>
        <ns0:v>509082.5558260543</ns0:v>
      </ns0:c>
      <ns0:c r="T780" s="7">
        <ns0:f>R780+S780</ns0:f>
        <ns0:v>1784883.0891160266</ns0:v>
      </ns0:c>
      <ns0:c r="U780" s="16">
        <ns0:f>P780-E780*'前提と出典'!$E$5</ns0:f>
        <ns0:v>1125648.8279275405</ns0:v>
      </ns0:c>
      <ns0:c r="V780" s="16">
        <ns0:f>Q780-F780*'前提と出典'!$E$5</ns0:f>
        <ns0:v>450153.46660102345</ns0:v>
      </ns0:c>
      <ns0:c r="W780" s="7">
        <ns0:f>U780+V780</ns0:f>
        <ns0:v>1575802.294528564</ns0:v>
      </ns0:c>
      <ns0:c r="X780" s="16">
        <ns0:f>P780-E780*'前提と出典'!$E$6</ns0:f>
        <ns0:v>975497.1225651089</ns0:v>
      </ns0:c>
      <ns0:c r="Y780" s="16">
        <ns0:f>Q780-F780*'前提と出典'!$E$6</ns0:f>
        <ns0:v>391224.3773759926</ns0:v>
      </ns0:c>
      <ns0:c r="Z780" s="7">
        <ns0:f>X780+Y780</ns0:f>
        <ns0:v>1366721.4999411015</ns0:v>
      </ns0:c>
      <ns0:c r="AA780" s="7">
        <ns0:f>IF(T780&gt;=0,A780,1001)</ns0:f>
        <ns0:v>776</ns0:v>
      </ns0:c>
      <ns0:c r="AB780" s="7">
        <ns0:f>IF(T780&lt;0,A780,0)</ns0:f>
        <ns0:v>0</ns0:v>
      </ns0:c>
      <ns0:c r="AC780" s="16">
        <ns0:f>IF(AND(OR('前提と出典'!$C$36+'前提と出典'!$C$38=0,R780&gt;=0),OR('前提と出典'!$C$37+'前提と出典'!$C$38=0,S780&gt;=0)),0,A780)</ns0:f>
        <ns0:v>0</ns0:v>
      </ns0:c>
      <ns0:c r="AD780" s="7">
        <ns0:f>IF(W780&gt;=0,A780,1001)</ns0:f>
        <ns0:v>776</ns0:v>
      </ns0:c>
      <ns0:c r="AE780" s="7">
        <ns0:f>IF(W780&lt;0,A780,0)</ns0:f>
        <ns0:v>0</ns0:v>
      </ns0:c>
      <ns0:c r="AF780" s="16">
        <ns0:f>IF(AND(OR('前提と出典'!$C$36+'前提と出典'!$C$38=0,U780&gt;=0),OR('前提と出典'!$C$37+'前提と出典'!$C$38=0,V780&gt;=0)),0,A780)</ns0:f>
        <ns0:v>0</ns0:v>
      </ns0:c>
      <ns0:c r="AG780" s="7">
        <ns0:f>IF(Z780&gt;=0,A780,1001)</ns0:f>
        <ns0:v>776</ns0:v>
      </ns0:c>
      <ns0:c r="AH780" s="4">
        <ns0:f>IF(Z780&lt;0,A780,0)</ns0:f>
        <ns0:v>0</ns0:v>
      </ns0:c>
      <ns0:c r="AI780" s="12">
        <ns0:f>IF(AND(OR('前提と出典'!$C$36+'前提と出典'!$C$38=0,X780&gt;=0),OR('前提と出典'!$C$37+'前提と出典'!$C$38=0,Y780&gt;=0)),0,A780)</ns0:f>
        <ns0:v>0</ns0:v>
      </ns0:c>
    </ns0:row>
    <ns0:row r="781" ht="24" customHeight="1">
      <ns0:c r="A781" s="4" t="n">
        <ns0:v>777</ns0:v>
      </ns0:c>
      <ns0:c r="B781" s="12">
        <ns0:f>A781*('前提と出典'!$C$36+'前提と出典'!$C$38)</ns0:f>
        <ns0:v>543.9</ns0:v>
      </ns0:c>
      <ns0:c r="C781" s="12">
        <ns0:f>A781*('前提と出典'!$C$37+'前提と出典'!$C$38)</ns0:f>
        <ns0:v>466.2</ns0:v>
      </ns0:c>
      <ns0:c r="D781" s="16">
        <ns0:f>A781*('前提と出典'!$C$36*'契約別単価'!C5+'前提と出典'!$C$37*'契約別単価'!C6+'前提と出典'!$C$38*'契約別単価'!C7)</ns0:f>
        <ns0:v>5590.927374301676</ns0:v>
      </ns0:c>
      <ns0:c r="E781" s="16">
        <ns0:f>A781*('前提と出典'!$C$36*'契約別単価'!E5+'前提と出典'!$C$37*'契約別単価'!E6+'前提と出典'!$C$38*'契約別単価'!E7)</ns0:f>
        <ns0:v>1503451.9982810484</ns0:v>
      </ns0:c>
      <ns0:c r="F781" s="16">
        <ns0:f>A781*('前提と出典'!$C$36*'契約別単価'!F5+'前提と出典'!$C$37*'契約別単価'!F6+'前提と出典'!$C$38*'契約別単価'!F7)</ns0:f>
        <ns0:v>590050.2877300123</ns0:v>
      </ns0:c>
      <ns0:c r="G781" s="16">
        <ns0:f>A781*('前提と出典'!$C$36*'契約別単価'!G5+'前提と出典'!$C$37*'契約別単価'!G6+'前提と出典'!$C$38*'契約別単価'!G7)</ns0:f>
        <ns0:v>1546620.6703910613</ns0:v>
      </ns0:c>
      <ns0:c r="H781" s="16">
        <ns0:f>A781*('前提と出典'!$C$36*'契約別単価'!H5+'前提と出典'!$C$37*'契約別単価'!H6+'前提と出典'!$C$38*'契約別単価'!H7)</ns0:f>
        <ns0:v>536754.9417478453</ns0:v>
      </ns0:c>
      <ns0:c r="I781" s="16">
        <ns0:f>A781*('前提と出典'!$C$36*'契約別単価'!I5+'前提と出典'!$C$37*'契約別単価'!I6+'前提と出典'!$C$38*'契約別単価'!I7)</ns0:f>
        <ns0:v>32785.92737430167</ns0:v>
      </ns0:c>
      <ns0:c r="J781" s="16">
        <ns0:f>A781*('前提と出典'!$C$36*'契約別単価'!J5+'前提と出典'!$C$37*'契約別単価'!J6+'前提と出典'!$C$38*'契約別単価'!J7)</ns0:f>
        <ns0:v>76370.97546290509</ns0:v>
      </ns0:c>
      <ns0:c r="K781" s="16">
        <ns0:f>A781*('前提と出典'!$C$36*'契約別単価'!K5+'前提と出典'!$C$37*'契約別単価'!K6+'前提と出典'!$C$38*'契約別単価'!K7)</ns0:f>
        <ns0:v>327352.8491620112</ns0:v>
      </ns0:c>
      <ns0:c r="L781" s="16">
        <ns0:f>A781*('前提と出典'!$C$36*'契約別単価'!L5+'前提と出典'!$C$37*'契約別単価'!L6+'前提と出典'!$C$38*'契約別単価'!L7)</ns0:f>
        <ns0:v>266531.83139159484</ns0:v>
      </ns0:c>
      <ns0:c r="M781" s="16">
        <ns0:f>IF(('前提と出典'!$C$36+'前提と出典'!$C$38)=0,0,IF(B781&lt;=10,'前提と出典'!B73+'前提と出典'!C73,IF(B781&lt;=100,'前提と出典'!B74+'前提と出典'!C74,IF(B781&lt;=500,'前提と出典'!B75+'前提と出典'!C75,'前提と出典'!B76+'前提と出典'!C76))))</ns0:f>
        <ns0:v>80000</ns0:v>
      </ns0:c>
      <ns0:c r="N781" s="16">
        <ns0:f>IF(('前提と出典'!$C$37+'前提と出典'!$C$38)=0,0,IF(C781&lt;=10,'前提と出典'!D73+'前提と出典'!E73,IF(C781&lt;=100,'前提と出典'!D74+'前提と出典'!E74,IF(C781&lt;=500,'前提と出典'!D75+'前提と出典'!E75,'前提と出典'!D76+'前提と出典'!E76))))</ns0:f>
        <ns0:v>56510.9346263078</ns0:v>
      </ns0:c>
      <ns0:c r="O781" s="16">
        <ns0:f>IF('前提と出典'!$C$36+'前提と出典'!$C$38=0,0,'前提と出典'!$B$4*IF('前提と出典'!$B$20=0,MAX('前提と出典'!$B$6,D781*'前提と出典'!$B$5),'前提と出典'!$B$6+D781*'前提と出典'!$B$5))</ns0:f>
        <ns0:v>771547.9776536314</ns0:v>
      </ns0:c>
      <ns0:c r="P781" s="16">
        <ns0:f>(E781+G781)*(1-'前提と出典'!$B$7)-I781-K781-M781-O781</ns0:f>
        <ns0:v>1728583.29840997</ns0:v>
      </ns0:c>
      <ns0:c r="Q781" s="16">
        <ns0:f>(F781+H781)*(1-'前提と出典'!$B$7)-J781-L781-N781</ns0:f>
        <ns0:v>686826.4997358471</ns0:v>
      </ns0:c>
      <ns0:c r="R781" s="16">
        <ns0:f>P781-E781*'前提と出典'!$E$4</ns0:f>
        <ns0:v>1277547.6989256549</ns0:v>
      </ns0:c>
      <ns0:c r="S781" s="16">
        <ns0:f>Q781-F781*'前提と出典'!$E$4</ns0:f>
        <ns0:v>509811.4134168434</ns0:v>
      </ns0:c>
      <ns0:c r="T781" s="7">
        <ns0:f>R781+S781</ns0:f>
        <ns0:v>1787359.1123424983</ns0:v>
      </ns0:c>
      <ns0:c r="U781" s="16">
        <ns0:f>P781-E781*'前提と出典'!$E$5</ns0:f>
        <ns0:v>1127202.4990975508</ns0:v>
      </ns0:c>
      <ns0:c r="V781" s="16">
        <ns0:f>Q781-F781*'前提と出典'!$E$5</ns0:f>
        <ns0:v>450806.38464384223</ns0:v>
      </ns0:c>
      <ns0:c r="W781" s="7">
        <ns0:f>U781+V781</ns0:f>
        <ns0:v>1578008.883741393</ns0:v>
      </ns0:c>
      <ns0:c r="X781" s="16">
        <ns0:f>P781-E781*'前提と出典'!$E$6</ns0:f>
        <ns0:v>976857.2992694456</ns0:v>
      </ns0:c>
      <ns0:c r="Y781" s="16">
        <ns0:f>Q781-F781*'前提と出典'!$E$6</ns0:f>
        <ns0:v>391801.35587084084</ns0:v>
      </ns0:c>
      <ns0:c r="Z781" s="7">
        <ns0:f>X781+Y781</ns0:f>
        <ns0:v>1368658.6551402863</ns0:v>
      </ns0:c>
      <ns0:c r="AA781" s="7">
        <ns0:f>IF(T781&gt;=0,A781,1001)</ns0:f>
        <ns0:v>777</ns0:v>
      </ns0:c>
      <ns0:c r="AB781" s="7">
        <ns0:f>IF(T781&lt;0,A781,0)</ns0:f>
        <ns0:v>0</ns0:v>
      </ns0:c>
      <ns0:c r="AC781" s="16">
        <ns0:f>IF(AND(OR('前提と出典'!$C$36+'前提と出典'!$C$38=0,R781&gt;=0),OR('前提と出典'!$C$37+'前提と出典'!$C$38=0,S781&gt;=0)),0,A781)</ns0:f>
        <ns0:v>0</ns0:v>
      </ns0:c>
      <ns0:c r="AD781" s="7">
        <ns0:f>IF(W781&gt;=0,A781,1001)</ns0:f>
        <ns0:v>777</ns0:v>
      </ns0:c>
      <ns0:c r="AE781" s="7">
        <ns0:f>IF(W781&lt;0,A781,0)</ns0:f>
        <ns0:v>0</ns0:v>
      </ns0:c>
      <ns0:c r="AF781" s="16">
        <ns0:f>IF(AND(OR('前提と出典'!$C$36+'前提と出典'!$C$38=0,U781&gt;=0),OR('前提と出典'!$C$37+'前提と出典'!$C$38=0,V781&gt;=0)),0,A781)</ns0:f>
        <ns0:v>0</ns0:v>
      </ns0:c>
      <ns0:c r="AG781" s="7">
        <ns0:f>IF(Z781&gt;=0,A781,1001)</ns0:f>
        <ns0:v>777</ns0:v>
      </ns0:c>
      <ns0:c r="AH781" s="4">
        <ns0:f>IF(Z781&lt;0,A781,0)</ns0:f>
        <ns0:v>0</ns0:v>
      </ns0:c>
      <ns0:c r="AI781" s="12">
        <ns0:f>IF(AND(OR('前提と出典'!$C$36+'前提と出典'!$C$38=0,X781&gt;=0),OR('前提と出典'!$C$37+'前提と出典'!$C$38=0,Y781&gt;=0)),0,A781)</ns0:f>
        <ns0:v>0</ns0:v>
      </ns0:c>
    </ns0:row>
    <ns0:row r="782" ht="24" customHeight="1">
      <ns0:c r="A782" s="4" t="n">
        <ns0:v>778</ns0:v>
      </ns0:c>
      <ns0:c r="B782" s="12">
        <ns0:f>A782*('前提と出典'!$C$36+'前提と出典'!$C$38)</ns0:f>
        <ns0:v>544.5999999999999</ns0:v>
      </ns0:c>
      <ns0:c r="C782" s="12">
        <ns0:f>A782*('前提と出典'!$C$37+'前提と出典'!$C$38)</ns0:f>
        <ns0:v>466.79999999999995</ns0:v>
      </ns0:c>
      <ns0:c r="D782" s="16">
        <ns0:f>A782*('前提と出典'!$C$36*'契約別単価'!C5+'前提と出典'!$C$37*'契約別単価'!C6+'前提と出典'!$C$38*'契約別単価'!C7)</ns0:f>
        <ns0:v>5598.122905027933</ns0:v>
      </ns0:c>
      <ns0:c r="E782" s="16">
        <ns0:f>A782*('前提と出典'!$C$36*'契約別単価'!E5+'前提と出典'!$C$37*'契約別単価'!E6+'前提と出典'!$C$38*'契約別単価'!E7)</ns0:f>
        <ns0:v>1505386.9429377806</ns0:v>
      </ns0:c>
      <ns0:c r="F782" s="16">
        <ns0:f>A782*('前提と出典'!$C$36*'契約別単価'!F5+'前提と出典'!$C$37*'契約別単価'!F6+'前提と出典'!$C$38*'契約別単価'!F7)</ns0:f>
        <ns0:v>590809.6832097163</ns0:v>
      </ns0:c>
      <ns0:c r="G782" s="16">
        <ns0:f>A782*('前提と出典'!$C$36*'契約別単価'!G5+'前提と出典'!$C$37*'契約別単価'!G6+'前提と出典'!$C$38*'契約別単価'!G7)</ns0:f>
        <ns0:v>1548611.1731843576</ns0:v>
      </ns0:c>
      <ns0:c r="H782" s="16">
        <ns0:f>A782*('前提と出典'!$C$36*'契約別単価'!H5+'前提と出典'!$C$37*'契約別単価'!H6+'前提と出典'!$C$38*'契約別単価'!H7)</ns0:f>
        <ns0:v>537445.746048679</ns0:v>
      </ns0:c>
      <ns0:c r="I782" s="16">
        <ns0:f>A782*('前提と出典'!$C$36*'契約別単価'!I5+'前提と出典'!$C$37*'契約別単価'!I6+'前提と出典'!$C$38*'契約別単価'!I7)</ns0:f>
        <ns0:v>32828.12290502793</ns0:v>
      </ns0:c>
      <ns0:c r="J782" s="16">
        <ns0:f>A782*('前提と出典'!$C$36*'契約別単価'!J5+'前提と出典'!$C$37*'契約別単価'!J6+'前提と出典'!$C$38*'契約別単価'!J7)</ns0:f>
        <ns0:v>76469.2650066154</ns0:v>
      </ns0:c>
      <ns0:c r="K782" s="16">
        <ns0:f>A782*('前提と出典'!$C$36*'契約別単価'!K5+'前提と出典'!$C$37*'契約別単価'!K6+'前提と出典'!$C$38*'契約別単価'!K7)</ns0:f>
        <ns0:v>327774.1527001862</ns0:v>
      </ns0:c>
      <ns0:c r="L782" s="16">
        <ns0:f>A782*('前提と出典'!$C$36*'契約別単価'!L5+'前提と出典'!$C$37*'契約別単価'!L6+'前提と出典'!$C$38*'契約別単価'!L7)</ns0:f>
        <ns0:v>266874.8582016226</ns0:v>
      </ns0:c>
      <ns0:c r="M782" s="16">
        <ns0:f>IF(('前提と出典'!$C$36+'前提と出典'!$C$38)=0,0,IF(B782&lt;=10,'前提と出典'!B73+'前提と出典'!C73,IF(B782&lt;=100,'前提と出典'!B74+'前提と出典'!C74,IF(B782&lt;=500,'前提と出典'!B75+'前提と出典'!C75,'前提と出典'!B76+'前提と出典'!C76))))</ns0:f>
        <ns0:v>80000</ns0:v>
      </ns0:c>
      <ns0:c r="N782" s="16">
        <ns0:f>IF(('前提と出典'!$C$37+'前提と出典'!$C$38)=0,0,IF(C782&lt;=10,'前提と出典'!D73+'前提と出典'!E73,IF(C782&lt;=100,'前提と出典'!D74+'前提と出典'!E74,IF(C782&lt;=500,'前提と出典'!D75+'前提と出典'!E75,'前提と出典'!D76+'前提と出典'!E76))))</ns0:f>
        <ns0:v>56510.9346263078</ns0:v>
      </ns0:c>
      <ns0:c r="O782" s="16">
        <ns0:f>IF('前提と出典'!$C$36+'前提と出典'!$C$38=0,0,'前提と出典'!$B$4*IF('前提と出典'!$B$20=0,MAX('前提と出典'!$B$6,D782*'前提と出典'!$B$5),'前提と出典'!$B$6+D782*'前提と出典'!$B$5))</ns0:f>
        <ns0:v>772540.9608938546</ns0:v>
      </ns0:c>
      <ns0:c r="P782" s="16">
        <ns0:f>(E782+G782)*(1-'前提と出典'!$B$7)-I782-K782-M782-O782</ns0:f>
        <ns0:v>1730910.9474426727</ns0:v>
      </ns0:c>
      <ns0:c r="Q782" s="16">
        <ns0:f>(F782+H782)*(1-'前提と出典'!$B$7)-J782-L782-N782</ns0:f>
        <ns0:v>687783.1759705474</ns0:v>
      </ns0:c>
      <ns0:c r="R782" s="16">
        <ns0:f>P782-E782*'前提と出典'!$E$4</ns0:f>
        <ns0:v>1279294.8645613384</ns0:v>
      </ns0:c>
      <ns0:c r="S782" s="16">
        <ns0:f>Q782-F782*'前提と出典'!$E$4</ns0:f>
        <ns0:v>510540.2710076325</ns0:v>
      </ns0:c>
      <ns0:c r="T782" s="7">
        <ns0:f>R782+S782</ns0:f>
        <ns0:v>1789835.1355689708</ns0:v>
      </ns0:c>
      <ns0:c r="U782" s="16">
        <ns0:f>P782-E782*'前提と出典'!$E$5</ns0:f>
        <ns0:v>1128756.1702675605</ns0:v>
      </ns0:c>
      <ns0:c r="V782" s="16">
        <ns0:f>Q782-F782*'前提と出典'!$E$5</ns0:f>
        <ns0:v>451459.3026866608</ns0:v>
      </ns0:c>
      <ns0:c r="W782" s="7">
        <ns0:f>U782+V782</ns0:f>
        <ns0:v>1580215.4729542213</ns0:v>
      </ns0:c>
      <ns0:c r="X782" s="16">
        <ns0:f>P782-E782*'前提と出典'!$E$6</ns0:f>
        <ns0:v>978217.475973782</ns0:v>
      </ns0:c>
      <ns0:c r="Y782" s="16">
        <ns0:f>Q782-F782*'前提と出典'!$E$6</ns0:f>
        <ns0:v>392378.3343656892</ns0:v>
      </ns0:c>
      <ns0:c r="Z782" s="7">
        <ns0:f>X782+Y782</ns0:f>
        <ns0:v>1370595.8103394713</ns0:v>
      </ns0:c>
      <ns0:c r="AA782" s="7">
        <ns0:f>IF(T782&gt;=0,A782,1001)</ns0:f>
        <ns0:v>778</ns0:v>
      </ns0:c>
      <ns0:c r="AB782" s="7">
        <ns0:f>IF(T782&lt;0,A782,0)</ns0:f>
        <ns0:v>0</ns0:v>
      </ns0:c>
      <ns0:c r="AC782" s="16">
        <ns0:f>IF(AND(OR('前提と出典'!$C$36+'前提と出典'!$C$38=0,R782&gt;=0),OR('前提と出典'!$C$37+'前提と出典'!$C$38=0,S782&gt;=0)),0,A782)</ns0:f>
        <ns0:v>0</ns0:v>
      </ns0:c>
      <ns0:c r="AD782" s="7">
        <ns0:f>IF(W782&gt;=0,A782,1001)</ns0:f>
        <ns0:v>778</ns0:v>
      </ns0:c>
      <ns0:c r="AE782" s="7">
        <ns0:f>IF(W782&lt;0,A782,0)</ns0:f>
        <ns0:v>0</ns0:v>
      </ns0:c>
      <ns0:c r="AF782" s="16">
        <ns0:f>IF(AND(OR('前提と出典'!$C$36+'前提と出典'!$C$38=0,U782&gt;=0),OR('前提と出典'!$C$37+'前提と出典'!$C$38=0,V782&gt;=0)),0,A782)</ns0:f>
        <ns0:v>0</ns0:v>
      </ns0:c>
      <ns0:c r="AG782" s="7">
        <ns0:f>IF(Z782&gt;=0,A782,1001)</ns0:f>
        <ns0:v>778</ns0:v>
      </ns0:c>
      <ns0:c r="AH782" s="4">
        <ns0:f>IF(Z782&lt;0,A782,0)</ns0:f>
        <ns0:v>0</ns0:v>
      </ns0:c>
      <ns0:c r="AI782" s="12">
        <ns0:f>IF(AND(OR('前提と出典'!$C$36+'前提と出典'!$C$38=0,X782&gt;=0),OR('前提と出典'!$C$37+'前提と出典'!$C$38=0,Y782&gt;=0)),0,A782)</ns0:f>
        <ns0:v>0</ns0:v>
      </ns0:c>
    </ns0:row>
    <ns0:row r="783" ht="24" customHeight="1">
      <ns0:c r="A783" s="4" t="n">
        <ns0:v>779</ns0:v>
      </ns0:c>
      <ns0:c r="B783" s="12">
        <ns0:f>A783*('前提と出典'!$C$36+'前提と出典'!$C$38)</ns0:f>
        <ns0:v>545.3</ns0:v>
      </ns0:c>
      <ns0:c r="C783" s="12">
        <ns0:f>A783*('前提と出典'!$C$37+'前提と出典'!$C$38)</ns0:f>
        <ns0:v>467.4</ns0:v>
      </ns0:c>
      <ns0:c r="D783" s="16">
        <ns0:f>A783*('前提と出典'!$C$36*'契約別単価'!C5+'前提と出典'!$C$37*'契約別単価'!C6+'前提と出典'!$C$38*'契約別単価'!C7)</ns0:f>
        <ns0:v>5605.3184357541895</ns0:v>
      </ns0:c>
      <ns0:c r="E783" s="16">
        <ns0:f>A783*('前提と出典'!$C$36*'契約別単価'!E5+'前提と出典'!$C$37*'契約別単価'!E6+'前提と出典'!$C$38*'契約別単価'!E7)</ns0:f>
        <ns0:v>1507321.8875945131</ns0:v>
      </ns0:c>
      <ns0:c r="F783" s="16">
        <ns0:f>A783*('前提と出典'!$C$36*'契約別単価'!F5+'前提と出典'!$C$37*'契約別単価'!F6+'前提と出典'!$C$38*'契約別単価'!F7)</ns0:f>
        <ns0:v>591569.0786894204</ns0:v>
      </ns0:c>
      <ns0:c r="G783" s="16">
        <ns0:f>A783*('前提と出典'!$C$36*'契約別単価'!G5+'前提と出典'!$C$37*'契約別単価'!G6+'前提と出典'!$C$38*'契約別単価'!G7)</ns0:f>
        <ns0:v>1550601.6759776536</ns0:v>
      </ns0:c>
      <ns0:c r="H783" s="16">
        <ns0:f>A783*('前提と出典'!$C$36*'契約別単価'!H5+'前提と出典'!$C$37*'契約別単価'!H6+'前提と出典'!$C$38*'契約別単価'!H7)</ns0:f>
        <ns0:v>538136.5503495128</ns0:v>
      </ns0:c>
      <ns0:c r="I783" s="16">
        <ns0:f>A783*('前提と出典'!$C$36*'契約別単価'!I5+'前提と出典'!$C$37*'契約別単価'!I6+'前提と出典'!$C$38*'契約別単価'!I7)</ns0:f>
        <ns0:v>32870.31843575418</ns0:v>
      </ns0:c>
      <ns0:c r="J783" s="16">
        <ns0:f>A783*('前提と出典'!$C$36*'契約別単価'!J5+'前提と出典'!$C$37*'契約別単価'!J6+'前提と出典'!$C$38*'契約別単価'!J7)</ns0:f>
        <ns0:v>76567.5545503257</ns0:v>
      </ns0:c>
      <ns0:c r="K783" s="16">
        <ns0:f>A783*('前提と出典'!$C$36*'契約別単価'!K5+'前提と出典'!$C$37*'契約別単価'!K6+'前提と出典'!$C$38*'契約別単価'!K7)</ns0:f>
        <ns0:v>328195.45623836125</ns0:v>
      </ns0:c>
      <ns0:c r="L783" s="16">
        <ns0:f>A783*('前提と出典'!$C$36*'契約別単価'!L5+'前提と出典'!$C$37*'契約別単価'!L6+'前提と出典'!$C$38*'契約別単価'!L7)</ns0:f>
        <ns0:v>267217.88501165045</ns0:v>
      </ns0:c>
      <ns0:c r="M783" s="16">
        <ns0:f>IF(('前提と出典'!$C$36+'前提と出典'!$C$38)=0,0,IF(B783&lt;=10,'前提と出典'!B73+'前提と出典'!C73,IF(B783&lt;=100,'前提と出典'!B74+'前提と出典'!C74,IF(B783&lt;=500,'前提と出典'!B75+'前提と出典'!C75,'前提と出典'!B76+'前提と出典'!C76))))</ns0:f>
        <ns0:v>80000</ns0:v>
      </ns0:c>
      <ns0:c r="N783" s="16">
        <ns0:f>IF(('前提と出典'!$C$37+'前提と出典'!$C$38)=0,0,IF(C783&lt;=10,'前提と出典'!D73+'前提と出典'!E73,IF(C783&lt;=100,'前提と出典'!D74+'前提と出典'!E74,IF(C783&lt;=500,'前提と出典'!D75+'前提と出典'!E75,'前提と出典'!D76+'前提と出典'!E76))))</ns0:f>
        <ns0:v>56510.9346263078</ns0:v>
      </ns0:c>
      <ns0:c r="O783" s="16">
        <ns0:f>IF('前提と出典'!$C$36+'前提と出典'!$C$38=0,0,'前提と出典'!$B$4*IF('前提と出典'!$B$20=0,MAX('前提と出典'!$B$6,D783*'前提と出典'!$B$5),'前提と出典'!$B$6+D783*'前提と出典'!$B$5))</ns0:f>
        <ns0:v>773533.9441340781</ns0:v>
      </ns0:c>
      <ns0:c r="P783" s="16">
        <ns0:f>(E783+G783)*(1-'前提と出典'!$B$7)-I783-K783-M783-O783</ns0:f>
        <ns0:v>1733238.5964753751</ns0:v>
      </ns0:c>
      <ns0:c r="Q783" s="16">
        <ns0:f>(F783+H783)*(1-'前提と出典'!$B$7)-J783-L783-N783</ns0:f>
        <ns0:v>688739.8522052476</ns0:v>
      </ns0:c>
      <ns0:c r="R783" s="16">
        <ns0:f>P783-E783*'前提と出典'!$E$4</ns0:f>
        <ns0:v>1281042.0301970216</ns0:v>
      </ns0:c>
      <ns0:c r="S783" s="16">
        <ns0:f>Q783-F783*'前提と出典'!$E$4</ns0:f>
        <ns0:v>511269.1285984216</ns0:v>
      </ns0:c>
      <ns0:c r="T783" s="7">
        <ns0:f>R783+S783</ns0:f>
        <ns0:v>1792311.1587954431</ns0:v>
      </ns0:c>
      <ns0:c r="U783" s="16">
        <ns0:f>P783-E783*'前提と出典'!$E$5</ns0:f>
        <ns0:v>1130309.8414375698</ns0:v>
      </ns0:c>
      <ns0:c r="V783" s="16">
        <ns0:f>Q783-F783*'前提と出典'!$E$5</ns0:f>
        <ns0:v>452112.2207294795</ns0:v>
      </ns0:c>
      <ns0:c r="W783" s="7">
        <ns0:f>U783+V783</ns0:f>
        <ns0:v>1582422.0621670494</ns0:v>
      </ns0:c>
      <ns0:c r="X783" s="16">
        <ns0:f>P783-E783*'前提と出典'!$E$6</ns0:f>
        <ns0:v>979577.6526781182</ns0:v>
      </ns0:c>
      <ns0:c r="Y783" s="16">
        <ns0:f>Q783-F783*'前提と出典'!$E$6</ns0:f>
        <ns0:v>392955.3128605375</ns0:v>
      </ns0:c>
      <ns0:c r="Z783" s="7">
        <ns0:f>X783+Y783</ns0:f>
        <ns0:v>1372532.9655386556</ns0:v>
      </ns0:c>
      <ns0:c r="AA783" s="7">
        <ns0:f>IF(T783&gt;=0,A783,1001)</ns0:f>
        <ns0:v>779</ns0:v>
      </ns0:c>
      <ns0:c r="AB783" s="7">
        <ns0:f>IF(T783&lt;0,A783,0)</ns0:f>
        <ns0:v>0</ns0:v>
      </ns0:c>
      <ns0:c r="AC783" s="16">
        <ns0:f>IF(AND(OR('前提と出典'!$C$36+'前提と出典'!$C$38=0,R783&gt;=0),OR('前提と出典'!$C$37+'前提と出典'!$C$38=0,S783&gt;=0)),0,A783)</ns0:f>
        <ns0:v>0</ns0:v>
      </ns0:c>
      <ns0:c r="AD783" s="7">
        <ns0:f>IF(W783&gt;=0,A783,1001)</ns0:f>
        <ns0:v>779</ns0:v>
      </ns0:c>
      <ns0:c r="AE783" s="7">
        <ns0:f>IF(W783&lt;0,A783,0)</ns0:f>
        <ns0:v>0</ns0:v>
      </ns0:c>
      <ns0:c r="AF783" s="16">
        <ns0:f>IF(AND(OR('前提と出典'!$C$36+'前提と出典'!$C$38=0,U783&gt;=0),OR('前提と出典'!$C$37+'前提と出典'!$C$38=0,V783&gt;=0)),0,A783)</ns0:f>
        <ns0:v>0</ns0:v>
      </ns0:c>
      <ns0:c r="AG783" s="7">
        <ns0:f>IF(Z783&gt;=0,A783,1001)</ns0:f>
        <ns0:v>779</ns0:v>
      </ns0:c>
      <ns0:c r="AH783" s="4">
        <ns0:f>IF(Z783&lt;0,A783,0)</ns0:f>
        <ns0:v>0</ns0:v>
      </ns0:c>
      <ns0:c r="AI783" s="12">
        <ns0:f>IF(AND(OR('前提と出典'!$C$36+'前提と出典'!$C$38=0,X783&gt;=0),OR('前提と出典'!$C$37+'前提と出典'!$C$38=0,Y783&gt;=0)),0,A783)</ns0:f>
        <ns0:v>0</ns0:v>
      </ns0:c>
    </ns0:row>
    <ns0:row r="784" ht="24" customHeight="1">
      <ns0:c r="A784" s="4" t="n">
        <ns0:v>780</ns0:v>
      </ns0:c>
      <ns0:c r="B784" s="12">
        <ns0:f>A784*('前提と出典'!$C$36+'前提と出典'!$C$38)</ns0:f>
        <ns0:v>546</ns0:v>
      </ns0:c>
      <ns0:c r="C784" s="12">
        <ns0:f>A784*('前提と出典'!$C$37+'前提と出典'!$C$38)</ns0:f>
        <ns0:v>468</ns0:v>
      </ns0:c>
      <ns0:c r="D784" s="16">
        <ns0:f>A784*('前提と出典'!$C$36*'契約別単価'!C5+'前提と出典'!$C$37*'契約別単価'!C6+'前提と出典'!$C$38*'契約別単価'!C7)</ns0:f>
        <ns0:v>5612.5139664804465</ns0:v>
      </ns0:c>
      <ns0:c r="E784" s="16">
        <ns0:f>A784*('前提と出典'!$C$36*'契約別単価'!E5+'前提と出典'!$C$37*'契約別単価'!E6+'前提と出典'!$C$38*'契約別単価'!E7)</ns0:f>
        <ns0:v>1509256.8322512454</ns0:v>
      </ns0:c>
      <ns0:c r="F784" s="16">
        <ns0:f>A784*('前提と出典'!$C$36*'契約別単価'!F5+'前提と出典'!$C$37*'契約別単価'!F6+'前提と出典'!$C$38*'契約別単価'!F7)</ns0:f>
        <ns0:v>592328.4741691243</ns0:v>
      </ns0:c>
      <ns0:c r="G784" s="16">
        <ns0:f>A784*('前提と出典'!$C$36*'契約別単価'!G5+'前提と出典'!$C$37*'契約別単価'!G6+'前提と出典'!$C$38*'契約別単価'!G7)</ns0:f>
        <ns0:v>1552592.1787709496</ns0:v>
      </ns0:c>
      <ns0:c r="H784" s="16">
        <ns0:f>A784*('前提と出典'!$C$36*'契約別単価'!H5+'前提と出典'!$C$37*'契約別単価'!H6+'前提と出典'!$C$38*'契約別単価'!H7)</ns0:f>
        <ns0:v>538827.3546503466</ns0:v>
      </ns0:c>
      <ns0:c r="I784" s="16">
        <ns0:f>A784*('前提と出典'!$C$36*'契約別単価'!I5+'前提と出典'!$C$37*'契約別単価'!I6+'前提と出典'!$C$38*'契約別単価'!I7)</ns0:f>
        <ns0:v>32912.513966480445</ns0:v>
      </ns0:c>
      <ns0:c r="J784" s="16">
        <ns0:f>A784*('前提と出典'!$C$36*'契約別単価'!J5+'前提と出典'!$C$37*'契約別単価'!J6+'前提と出典'!$C$38*'契約別単価'!J7)</ns0:f>
        <ns0:v>76665.844094036</ns0:v>
      </ns0:c>
      <ns0:c r="K784" s="16">
        <ns0:f>A784*('前提と出典'!$C$36*'契約別単価'!K5+'前提と出典'!$C$37*'契約別単価'!K6+'前提と出典'!$C$38*'契約別単価'!K7)</ns0:f>
        <ns0:v>328616.7597765363</ns0:v>
      </ns0:c>
      <ns0:c r="L784" s="16">
        <ns0:f>A784*('前提と出典'!$C$36*'契約別単価'!L5+'前提と出典'!$C$37*'契約別単価'!L6+'前提と出典'!$C$38*'契約別単価'!L7)</ns0:f>
        <ns0:v>267560.9118216782</ns0:v>
      </ns0:c>
      <ns0:c r="M784" s="16">
        <ns0:f>IF(('前提と出典'!$C$36+'前提と出典'!$C$38)=0,0,IF(B784&lt;=10,'前提と出典'!B73+'前提と出典'!C73,IF(B784&lt;=100,'前提と出典'!B74+'前提と出典'!C74,IF(B784&lt;=500,'前提と出典'!B75+'前提と出典'!C75,'前提と出典'!B76+'前提と出典'!C76))))</ns0:f>
        <ns0:v>80000</ns0:v>
      </ns0:c>
      <ns0:c r="N784" s="16">
        <ns0:f>IF(('前提と出典'!$C$37+'前提と出典'!$C$38)=0,0,IF(C784&lt;=10,'前提と出典'!D73+'前提と出典'!E73,IF(C784&lt;=100,'前提と出典'!D74+'前提と出典'!E74,IF(C784&lt;=500,'前提と出典'!D75+'前提と出典'!E75,'前提と出典'!D76+'前提と出典'!E76))))</ns0:f>
        <ns0:v>56510.9346263078</ns0:v>
      </ns0:c>
      <ns0:c r="O784" s="16">
        <ns0:f>IF('前提と出典'!$C$36+'前提と出典'!$C$38=0,0,'前提と出典'!$B$4*IF('前提と出典'!$B$20=0,MAX('前提と出典'!$B$6,D784*'前提と出典'!$B$5),'前提と出典'!$B$6+D784*'前提と出典'!$B$5))</ns0:f>
        <ns0:v>774526.9273743016</ns0:v>
      </ns0:c>
      <ns0:c r="P784" s="16">
        <ns0:f>(E784+G784)*(1-'前提と出典'!$B$7)-I784-K784-M784-O784</ns0:f>
        <ns0:v>1735566.2455080778</ns0:v>
      </ns0:c>
      <ns0:c r="Q784" s="16">
        <ns0:f>(F784+H784)*(1-'前提と出典'!$B$7)-J784-L784-N784</ns0:f>
        <ns0:v>689696.5284399479</ns0:v>
      </ns0:c>
      <ns0:c r="R784" s="16">
        <ns0:f>P784-E784*'前提と出典'!$E$4</ns0:f>
        <ns0:v>1282789.1958327047</ns0:v>
      </ns0:c>
      <ns0:c r="S784" s="16">
        <ns0:f>Q784-F784*'前提と出典'!$E$4</ns0:f>
        <ns0:v>511997.98618921055</ns0:v>
      </ns0:c>
      <ns0:c r="T784" s="7">
        <ns0:f>R784+S784</ns0:f>
        <ns0:v>1794787.1820219152</ns0:v>
      </ns0:c>
      <ns0:c r="U784" s="16">
        <ns0:f>P784-E784*'前提と出典'!$E$5</ns0:f>
        <ns0:v>1131863.5126075796</ns0:v>
      </ns0:c>
      <ns0:c r="V784" s="16">
        <ns0:f>Q784-F784*'前提と出典'!$E$5</ns0:f>
        <ns0:v>452765.1387722982</ns0:v>
      </ns0:c>
      <ns0:c r="W784" s="7">
        <ns0:f>U784+V784</ns0:f>
        <ns0:v>1584628.6513798777</ns0:v>
      </ns0:c>
      <ns0:c r="X784" s="16">
        <ns0:f>P784-E784*'前提と出典'!$E$6</ns0:f>
        <ns0:v>980937.8293824553</ns0:v>
      </ns0:c>
      <ns0:c r="Y784" s="16">
        <ns0:f>Q784-F784*'前提と出典'!$E$6</ns0:f>
        <ns0:v>393532.29135538574</ns0:v>
      </ns0:c>
      <ns0:c r="Z784" s="7">
        <ns0:f>X784+Y784</ns0:f>
        <ns0:v>1374470.1207378411</ns0:v>
      </ns0:c>
      <ns0:c r="AA784" s="7">
        <ns0:f>IF(T784&gt;=0,A784,1001)</ns0:f>
        <ns0:v>780</ns0:v>
      </ns0:c>
      <ns0:c r="AB784" s="7">
        <ns0:f>IF(T784&lt;0,A784,0)</ns0:f>
        <ns0:v>0</ns0:v>
      </ns0:c>
      <ns0:c r="AC784" s="16">
        <ns0:f>IF(AND(OR('前提と出典'!$C$36+'前提と出典'!$C$38=0,R784&gt;=0),OR('前提と出典'!$C$37+'前提と出典'!$C$38=0,S784&gt;=0)),0,A784)</ns0:f>
        <ns0:v>0</ns0:v>
      </ns0:c>
      <ns0:c r="AD784" s="7">
        <ns0:f>IF(W784&gt;=0,A784,1001)</ns0:f>
        <ns0:v>780</ns0:v>
      </ns0:c>
      <ns0:c r="AE784" s="7">
        <ns0:f>IF(W784&lt;0,A784,0)</ns0:f>
        <ns0:v>0</ns0:v>
      </ns0:c>
      <ns0:c r="AF784" s="16">
        <ns0:f>IF(AND(OR('前提と出典'!$C$36+'前提と出典'!$C$38=0,U784&gt;=0),OR('前提と出典'!$C$37+'前提と出典'!$C$38=0,V784&gt;=0)),0,A784)</ns0:f>
        <ns0:v>0</ns0:v>
      </ns0:c>
      <ns0:c r="AG784" s="7">
        <ns0:f>IF(Z784&gt;=0,A784,1001)</ns0:f>
        <ns0:v>780</ns0:v>
      </ns0:c>
      <ns0:c r="AH784" s="4">
        <ns0:f>IF(Z784&lt;0,A784,0)</ns0:f>
        <ns0:v>0</ns0:v>
      </ns0:c>
      <ns0:c r="AI784" s="12">
        <ns0:f>IF(AND(OR('前提と出典'!$C$36+'前提と出典'!$C$38=0,X784&gt;=0),OR('前提と出典'!$C$37+'前提と出典'!$C$38=0,Y784&gt;=0)),0,A784)</ns0:f>
        <ns0:v>0</ns0:v>
      </ns0:c>
    </ns0:row>
    <ns0:row r="785" ht="24" customHeight="1">
      <ns0:c r="A785" s="4" t="n">
        <ns0:v>781</ns0:v>
      </ns0:c>
      <ns0:c r="B785" s="12">
        <ns0:f>A785*('前提と出典'!$C$36+'前提と出典'!$C$38)</ns0:f>
        <ns0:v>546.6999999999999</ns0:v>
      </ns0:c>
      <ns0:c r="C785" s="12">
        <ns0:f>A785*('前提と出典'!$C$37+'前提と出典'!$C$38)</ns0:f>
        <ns0:v>468.59999999999997</ns0:v>
      </ns0:c>
      <ns0:c r="D785" s="16">
        <ns0:f>A785*('前提と出典'!$C$36*'契約別単価'!C5+'前提と出典'!$C$37*'契約別単価'!C6+'前提と出典'!$C$38*'契約別単価'!C7)</ns0:f>
        <ns0:v>5619.709497206704</ns0:v>
      </ns0:c>
      <ns0:c r="E785" s="16">
        <ns0:f>A785*('前提と出典'!$C$36*'契約別単価'!E5+'前提と出典'!$C$37*'契約別単価'!E6+'前提と出典'!$C$38*'契約別単価'!E7)</ns0:f>
        <ns0:v>1511191.7769079779</ns0:v>
      </ns0:c>
      <ns0:c r="F785" s="16">
        <ns0:f>A785*('前提と出典'!$C$36*'契約別単価'!F5+'前提と出典'!$C$37*'契約別単価'!F6+'前提と出典'!$C$38*'契約別単価'!F7)</ns0:f>
        <ns0:v>593087.8696488283</ns0:v>
      </ns0:c>
      <ns0:c r="G785" s="16">
        <ns0:f>A785*('前提と出典'!$C$36*'契約別単価'!G5+'前提と出典'!$C$37*'契約別単価'!G6+'前提と出典'!$C$38*'契約別単価'!G7)</ns0:f>
        <ns0:v>1554582.6815642458</ns0:v>
      </ns0:c>
      <ns0:c r="H785" s="16">
        <ns0:f>A785*('前提と出典'!$C$36*'契約別単価'!H5+'前提と出典'!$C$37*'契約別単価'!H6+'前提と出典'!$C$38*'契約別単価'!H7)</ns0:f>
        <ns0:v>539518.1589511804</ns0:v>
      </ns0:c>
      <ns0:c r="I785" s="16">
        <ns0:f>A785*('前提と出典'!$C$36*'契約別単価'!I5+'前提と出典'!$C$37*'契約別単価'!I6+'前提と出典'!$C$38*'契約別単価'!I7)</ns0:f>
        <ns0:v>32954.7094972067</ns0:v>
      </ns0:c>
      <ns0:c r="J785" s="16">
        <ns0:f>A785*('前提と出典'!$C$36*'契約別単価'!J5+'前提と出典'!$C$37*'契約別単価'!J6+'前提と出典'!$C$38*'契約別単価'!J7)</ns0:f>
        <ns0:v>76764.1336377463</ns0:v>
      </ns0:c>
      <ns0:c r="K785" s="16">
        <ns0:f>A785*('前提と出典'!$C$36*'契約別単価'!K5+'前提と出典'!$C$37*'契約別単価'!K6+'前提と出典'!$C$38*'契約別単価'!K7)</ns0:f>
        <ns0:v>329038.0633147113</ns0:v>
      </ns0:c>
      <ns0:c r="L785" s="16">
        <ns0:f>A785*('前提と出典'!$C$36*'契約別単価'!L5+'前提と出典'!$C$37*'契約別単価'!L6+'前提と出典'!$C$38*'契約別単価'!L7)</ns0:f>
        <ns0:v>267903.938631706</ns0:v>
      </ns0:c>
      <ns0:c r="M785" s="16">
        <ns0:f>IF(('前提と出典'!$C$36+'前提と出典'!$C$38)=0,0,IF(B785&lt;=10,'前提と出典'!B73+'前提と出典'!C73,IF(B785&lt;=100,'前提と出典'!B74+'前提と出典'!C74,IF(B785&lt;=500,'前提と出典'!B75+'前提と出典'!C75,'前提と出典'!B76+'前提と出典'!C76))))</ns0:f>
        <ns0:v>80000</ns0:v>
      </ns0:c>
      <ns0:c r="N785" s="16">
        <ns0:f>IF(('前提と出典'!$C$37+'前提と出典'!$C$38)=0,0,IF(C785&lt;=10,'前提と出典'!D73+'前提と出典'!E73,IF(C785&lt;=100,'前提と出典'!D74+'前提と出典'!E74,IF(C785&lt;=500,'前提と出典'!D75+'前提と出典'!E75,'前提と出典'!D76+'前提と出典'!E76))))</ns0:f>
        <ns0:v>56510.9346263078</ns0:v>
      </ns0:c>
      <ns0:c r="O785" s="16">
        <ns0:f>IF('前提と出典'!$C$36+'前提と出典'!$C$38=0,0,'前提と出典'!$B$4*IF('前提と出典'!$B$20=0,MAX('前提と出典'!$B$6,D785*'前提と出典'!$B$5),'前提と出典'!$B$6+D785*'前提と出典'!$B$5))</ns0:f>
        <ns0:v>775519.9106145252</ns0:v>
      </ns0:c>
      <ns0:c r="P785" s="16">
        <ns0:f>(E785+G785)*(1-'前提と出典'!$B$7)-I785-K785-M785-O785</ns0:f>
        <ns0:v>1737893.8945407802</ns0:v>
      </ns0:c>
      <ns0:c r="Q785" s="16">
        <ns0:f>(F785+H785)*(1-'前提と出典'!$B$7)-J785-L785-N785</ns0:f>
        <ns0:v>690653.2046746484</ns0:v>
      </ns0:c>
      <ns0:c r="R785" s="16">
        <ns0:f>P785-E785*'前提と出典'!$E$4</ns0:f>
        <ns0:v>1284536.361468387</ns0:v>
      </ns0:c>
      <ns0:c r="S785" s="16">
        <ns0:f>Q785-F785*'前提と出典'!$E$4</ns0:f>
        <ns0:v>512726.84377999976</ns0:v>
      </ns0:c>
      <ns0:c r="T785" s="7">
        <ns0:f>R785+S785</ns0:f>
        <ns0:v>1797263.2052483868</ns0:v>
      </ns0:c>
      <ns0:c r="U785" s="16">
        <ns0:f>P785-E785*'前提と出典'!$E$5</ns0:f>
        <ns0:v>1133417.1837775891</ns0:v>
      </ns0:c>
      <ns0:c r="V785" s="16">
        <ns0:f>Q785-F785*'前提と出典'!$E$5</ns0:f>
        <ns0:v>453418.05681511696</ns0:v>
      </ns0:c>
      <ns0:c r="W785" s="7">
        <ns0:f>U785+V785</ns0:f>
        <ns0:v>1586835.240592706</ns0:v>
      </ns0:c>
      <ns0:c r="X785" s="16">
        <ns0:f>P785-E785*'前提と出典'!$E$6</ns0:f>
        <ns0:v>982298.0060867916</ns0:v>
      </ns0:c>
      <ns0:c r="Y785" s="16">
        <ns0:f>Q785-F785*'前提と出典'!$E$6</ns0:f>
        <ns0:v>394109.2698502342</ns0:v>
      </ns0:c>
      <ns0:c r="Z785" s="7">
        <ns0:f>X785+Y785</ns0:f>
        <ns0:v>1376407.275937026</ns0:v>
      </ns0:c>
      <ns0:c r="AA785" s="7">
        <ns0:f>IF(T785&gt;=0,A785,1001)</ns0:f>
        <ns0:v>781</ns0:v>
      </ns0:c>
      <ns0:c r="AB785" s="7">
        <ns0:f>IF(T785&lt;0,A785,0)</ns0:f>
        <ns0:v>0</ns0:v>
      </ns0:c>
      <ns0:c r="AC785" s="16">
        <ns0:f>IF(AND(OR('前提と出典'!$C$36+'前提と出典'!$C$38=0,R785&gt;=0),OR('前提と出典'!$C$37+'前提と出典'!$C$38=0,S785&gt;=0)),0,A785)</ns0:f>
        <ns0:v>0</ns0:v>
      </ns0:c>
      <ns0:c r="AD785" s="7">
        <ns0:f>IF(W785&gt;=0,A785,1001)</ns0:f>
        <ns0:v>781</ns0:v>
      </ns0:c>
      <ns0:c r="AE785" s="7">
        <ns0:f>IF(W785&lt;0,A785,0)</ns0:f>
        <ns0:v>0</ns0:v>
      </ns0:c>
      <ns0:c r="AF785" s="16">
        <ns0:f>IF(AND(OR('前提と出典'!$C$36+'前提と出典'!$C$38=0,U785&gt;=0),OR('前提と出典'!$C$37+'前提と出典'!$C$38=0,V785&gt;=0)),0,A785)</ns0:f>
        <ns0:v>0</ns0:v>
      </ns0:c>
      <ns0:c r="AG785" s="7">
        <ns0:f>IF(Z785&gt;=0,A785,1001)</ns0:f>
        <ns0:v>781</ns0:v>
      </ns0:c>
      <ns0:c r="AH785" s="4">
        <ns0:f>IF(Z785&lt;0,A785,0)</ns0:f>
        <ns0:v>0</ns0:v>
      </ns0:c>
      <ns0:c r="AI785" s="12">
        <ns0:f>IF(AND(OR('前提と出典'!$C$36+'前提と出典'!$C$38=0,X785&gt;=0),OR('前提と出典'!$C$37+'前提と出典'!$C$38=0,Y785&gt;=0)),0,A785)</ns0:f>
        <ns0:v>0</ns0:v>
      </ns0:c>
    </ns0:row>
    <ns0:row r="786" ht="24" customHeight="1">
      <ns0:c r="A786" s="4" t="n">
        <ns0:v>782</ns0:v>
      </ns0:c>
      <ns0:c r="B786" s="12">
        <ns0:f>A786*('前提と出典'!$C$36+'前提と出典'!$C$38)</ns0:f>
        <ns0:v>547.4</ns0:v>
      </ns0:c>
      <ns0:c r="C786" s="12">
        <ns0:f>A786*('前提と出典'!$C$37+'前提と出典'!$C$38)</ns0:f>
        <ns0:v>469.2</ns0:v>
      </ns0:c>
      <ns0:c r="D786" s="16">
        <ns0:f>A786*('前提と出典'!$C$36*'契約別単価'!C5+'前提と出典'!$C$37*'契約別単価'!C6+'前提と出典'!$C$38*'契約別単価'!C7)</ns0:f>
        <ns0:v>5626.905027932961</ns0:v>
      </ns0:c>
      <ns0:c r="E786" s="16">
        <ns0:f>A786*('前提と出典'!$C$36*'契約別単価'!E5+'前提と出典'!$C$37*'契約別単価'!E6+'前提と出典'!$C$38*'契約別単価'!E7)</ns0:f>
        <ns0:v>1513126.7215647101</ns0:v>
      </ns0:c>
      <ns0:c r="F786" s="16">
        <ns0:f>A786*('前提と出典'!$C$36*'契約別単価'!F5+'前提と出典'!$C$37*'契約別単価'!F6+'前提と出典'!$C$38*'契約別単価'!F7)</ns0:f>
        <ns0:v>593847.2651285323</ns0:v>
      </ns0:c>
      <ns0:c r="G786" s="16">
        <ns0:f>A786*('前提と出典'!$C$36*'契約別単価'!G5+'前提と出典'!$C$37*'契約別単価'!G6+'前提と出典'!$C$38*'契約別単価'!G7)</ns0:f>
        <ns0:v>1556573.1843575418</ns0:v>
      </ns0:c>
      <ns0:c r="H786" s="16">
        <ns0:f>A786*('前提と出典'!$C$36*'契約別単価'!H5+'前提と出典'!$C$37*'契約別単価'!H6+'前提と出典'!$C$38*'契約別単価'!H7)</ns0:f>
        <ns0:v>540208.9632520141</ns0:v>
      </ns0:c>
      <ns0:c r="I786" s="16">
        <ns0:f>A786*('前提と出典'!$C$36*'契約別単価'!I5+'前提と出典'!$C$37*'契約別単価'!I6+'前提と出典'!$C$38*'契約別単価'!I7)</ns0:f>
        <ns0:v>32996.90502793295</ns0:v>
      </ns0:c>
      <ns0:c r="J786" s="16">
        <ns0:f>A786*('前提と出典'!$C$36*'契約別単価'!J5+'前提と出典'!$C$37*'契約別単価'!J6+'前提と出典'!$C$38*'契約別単価'!J7)</ns0:f>
        <ns0:v>76862.4231814566</ns0:v>
      </ns0:c>
      <ns0:c r="K786" s="16">
        <ns0:f>A786*('前提と出典'!$C$36*'契約別単価'!K5+'前提と出典'!$C$37*'契約別単価'!K6+'前提と出典'!$C$38*'契約別単価'!K7)</ns0:f>
        <ns0:v>329459.3668528864</ns0:v>
      </ns0:c>
      <ns0:c r="L786" s="16">
        <ns0:f>A786*('前提と出典'!$C$36*'契約別単価'!L5+'前提と出典'!$C$37*'契約別単価'!L6+'前提と出典'!$C$38*'契約別単価'!L7)</ns0:f>
        <ns0:v>268246.9654417338</ns0:v>
      </ns0:c>
      <ns0:c r="M786" s="16">
        <ns0:f>IF(('前提と出典'!$C$36+'前提と出典'!$C$38)=0,0,IF(B786&lt;=10,'前提と出典'!B73+'前提と出典'!C73,IF(B786&lt;=100,'前提と出典'!B74+'前提と出典'!C74,IF(B786&lt;=500,'前提と出典'!B75+'前提と出典'!C75,'前提と出典'!B76+'前提と出典'!C76))))</ns0:f>
        <ns0:v>80000</ns0:v>
      </ns0:c>
      <ns0:c r="N786" s="16">
        <ns0:f>IF(('前提と出典'!$C$37+'前提と出典'!$C$38)=0,0,IF(C786&lt;=10,'前提と出典'!D73+'前提と出典'!E73,IF(C786&lt;=100,'前提と出典'!D74+'前提と出典'!E74,IF(C786&lt;=500,'前提と出典'!D75+'前提と出典'!E75,'前提と出典'!D76+'前提と出典'!E76))))</ns0:f>
        <ns0:v>56510.9346263078</ns0:v>
      </ns0:c>
      <ns0:c r="O786" s="16">
        <ns0:f>IF('前提と出典'!$C$36+'前提と出典'!$C$38=0,0,'前提と出典'!$B$4*IF('前提と出典'!$B$20=0,MAX('前提と出典'!$B$6,D786*'前提と出典'!$B$5),'前提と出典'!$B$6+D786*'前提と出典'!$B$5))</ns0:f>
        <ns0:v>776512.8938547487</ns0:v>
      </ns0:c>
      <ns0:c r="P786" s="16">
        <ns0:f>(E786+G786)*(1-'前提と出典'!$B$7)-I786-K786-M786-O786</ns0:f>
        <ns0:v>1740221.5435734824</ns0:v>
      </ns0:c>
      <ns0:c r="Q786" s="16">
        <ns0:f>(F786+H786)*(1-'前提と出典'!$B$7)-J786-L786-N786</ns0:f>
        <ns0:v>691609.8809093486</ns0:v>
      </ns0:c>
      <ns0:c r="R786" s="16">
        <ns0:f>P786-E786*'前提と出典'!$E$4</ns0:f>
        <ns0:v>1286283.5271040697</ns0:v>
      </ns0:c>
      <ns0:c r="S786" s="16">
        <ns0:f>Q786-F786*'前提と出典'!$E$4</ns0:f>
        <ns0:v>513455.701370789</ns0:v>
      </ns0:c>
      <ns0:c r="T786" s="7">
        <ns0:f>R786+S786</ns0:f>
        <ns0:v>1799739.2284748587</ns0:v>
      </ns0:c>
      <ns0:c r="U786" s="16">
        <ns0:f>P786-E786*'前提と出典'!$E$5</ns0:f>
        <ns0:v>1134970.8549475984</ns0:v>
      </ns0:c>
      <ns0:c r="V786" s="16">
        <ns0:f>Q786-F786*'前提と出典'!$E$5</ns0:f>
        <ns0:v>454070.9748579356</ns0:v>
      </ns0:c>
      <ns0:c r="W786" s="7">
        <ns0:f>U786+V786</ns0:f>
        <ns0:v>1589041.829805534</ns0:v>
      </ns0:c>
      <ns0:c r="X786" s="16">
        <ns0:f>P786-E786*'前提と出典'!$E$6</ns0:f>
        <ns0:v>983658.1827911276</ns0:v>
      </ns0:c>
      <ns0:c r="Y786" s="16">
        <ns0:f>Q786-F786*'前提と出典'!$E$6</ns0:f>
        <ns0:v>394686.24834508233</ns0:v>
      </ns0:c>
      <ns0:c r="Z786" s="7">
        <ns0:f>X786+Y786</ns0:f>
        <ns0:v>1378344.43113621</ns0:v>
      </ns0:c>
      <ns0:c r="AA786" s="7">
        <ns0:f>IF(T786&gt;=0,A786,1001)</ns0:f>
        <ns0:v>782</ns0:v>
      </ns0:c>
      <ns0:c r="AB786" s="7">
        <ns0:f>IF(T786&lt;0,A786,0)</ns0:f>
        <ns0:v>0</ns0:v>
      </ns0:c>
      <ns0:c r="AC786" s="16">
        <ns0:f>IF(AND(OR('前提と出典'!$C$36+'前提と出典'!$C$38=0,R786&gt;=0),OR('前提と出典'!$C$37+'前提と出典'!$C$38=0,S786&gt;=0)),0,A786)</ns0:f>
        <ns0:v>0</ns0:v>
      </ns0:c>
      <ns0:c r="AD786" s="7">
        <ns0:f>IF(W786&gt;=0,A786,1001)</ns0:f>
        <ns0:v>782</ns0:v>
      </ns0:c>
      <ns0:c r="AE786" s="7">
        <ns0:f>IF(W786&lt;0,A786,0)</ns0:f>
        <ns0:v>0</ns0:v>
      </ns0:c>
      <ns0:c r="AF786" s="16">
        <ns0:f>IF(AND(OR('前提と出典'!$C$36+'前提と出典'!$C$38=0,U786&gt;=0),OR('前提と出典'!$C$37+'前提と出典'!$C$38=0,V786&gt;=0)),0,A786)</ns0:f>
        <ns0:v>0</ns0:v>
      </ns0:c>
      <ns0:c r="AG786" s="7">
        <ns0:f>IF(Z786&gt;=0,A786,1001)</ns0:f>
        <ns0:v>782</ns0:v>
      </ns0:c>
      <ns0:c r="AH786" s="4">
        <ns0:f>IF(Z786&lt;0,A786,0)</ns0:f>
        <ns0:v>0</ns0:v>
      </ns0:c>
      <ns0:c r="AI786" s="12">
        <ns0:f>IF(AND(OR('前提と出典'!$C$36+'前提と出典'!$C$38=0,X786&gt;=0),OR('前提と出典'!$C$37+'前提と出典'!$C$38=0,Y786&gt;=0)),0,A786)</ns0:f>
        <ns0:v>0</ns0:v>
      </ns0:c>
    </ns0:row>
    <ns0:row r="787" ht="24" customHeight="1">
      <ns0:c r="A787" s="4" t="n">
        <ns0:v>783</ns0:v>
      </ns0:c>
      <ns0:c r="B787" s="12">
        <ns0:f>A787*('前提と出典'!$C$36+'前提と出典'!$C$38)</ns0:f>
        <ns0:v>548.0999999999999</ns0:v>
      </ns0:c>
      <ns0:c r="C787" s="12">
        <ns0:f>A787*('前提と出典'!$C$37+'前提と出典'!$C$38)</ns0:f>
        <ns0:v>469.79999999999995</ns0:v>
      </ns0:c>
      <ns0:c r="D787" s="16">
        <ns0:f>A787*('前提と出典'!$C$36*'契約別単価'!C5+'前提と出典'!$C$37*'契約別単価'!C6+'前提と出典'!$C$38*'契約別単価'!C7)</ns0:f>
        <ns0:v>5634.100558659218</ns0:v>
      </ns0:c>
      <ns0:c r="E787" s="16">
        <ns0:f>A787*('前提と出典'!$C$36*'契約別単価'!E5+'前提と出典'!$C$37*'契約別単価'!E6+'前提と出典'!$C$38*'契約別単価'!E7)</ns0:f>
        <ns0:v>1515061.6662214426</ns0:v>
      </ns0:c>
      <ns0:c r="F787" s="16">
        <ns0:f>A787*('前提と出典'!$C$36*'契約別単価'!F5+'前提と出典'!$C$37*'契約別単価'!F6+'前提と出典'!$C$38*'契約別単価'!F7)</ns0:f>
        <ns0:v>594606.6606082363</ns0:v>
      </ns0:c>
      <ns0:c r="G787" s="16">
        <ns0:f>A787*('前提と出典'!$C$36*'契約別単価'!G5+'前提と出典'!$C$37*'契約別単価'!G6+'前提と出典'!$C$38*'契約別単価'!G7)</ns0:f>
        <ns0:v>1558563.6871508379</ns0:v>
      </ns0:c>
      <ns0:c r="H787" s="16">
        <ns0:f>A787*('前提と出典'!$C$36*'契約別単価'!H5+'前提と出典'!$C$37*'契約別単価'!H6+'前提と出典'!$C$38*'契約別単価'!H7)</ns0:f>
        <ns0:v>540899.767552848</ns0:v>
      </ns0:c>
      <ns0:c r="I787" s="16">
        <ns0:f>A787*('前提と出典'!$C$36*'契約別単価'!I5+'前提と出典'!$C$37*'契約別単価'!I6+'前提と出典'!$C$38*'契約別単価'!I7)</ns0:f>
        <ns0:v>33039.100558659215</ns0:v>
      </ns0:c>
      <ns0:c r="J787" s="16">
        <ns0:f>A787*('前提と出典'!$C$36*'契約別単価'!J5+'前提と出典'!$C$37*'契約別単価'!J6+'前提と出典'!$C$38*'契約別単価'!J7)</ns0:f>
        <ns0:v>76960.71272516692</ns0:v>
      </ns0:c>
      <ns0:c r="K787" s="16">
        <ns0:f>A787*('前提と出典'!$C$36*'契約別単価'!K5+'前提と出典'!$C$37*'契約別単価'!K6+'前提と出典'!$C$38*'契約別単価'!K7)</ns0:f>
        <ns0:v>329880.6703910614</ns0:v>
      </ns0:c>
      <ns0:c r="L787" s="16">
        <ns0:f>A787*('前提と出典'!$C$36*'契約別単価'!L5+'前提と出典'!$C$37*'契約別単価'!L6+'前提と出典'!$C$38*'契約別単価'!L7)</ns0:f>
        <ns0:v>268589.9922517616</ns0:v>
      </ns0:c>
      <ns0:c r="M787" s="16">
        <ns0:f>IF(('前提と出典'!$C$36+'前提と出典'!$C$38)=0,0,IF(B787&lt;=10,'前提と出典'!B73+'前提と出典'!C73,IF(B787&lt;=100,'前提と出典'!B74+'前提と出典'!C74,IF(B787&lt;=500,'前提と出典'!B75+'前提と出典'!C75,'前提と出典'!B76+'前提と出典'!C76))))</ns0:f>
        <ns0:v>80000</ns0:v>
      </ns0:c>
      <ns0:c r="N787" s="16">
        <ns0:f>IF(('前提と出典'!$C$37+'前提と出典'!$C$38)=0,0,IF(C787&lt;=10,'前提と出典'!D73+'前提と出典'!E73,IF(C787&lt;=100,'前提と出典'!D74+'前提と出典'!E74,IF(C787&lt;=500,'前提と出典'!D75+'前提と出典'!E75,'前提と出典'!D76+'前提と出典'!E76))))</ns0:f>
        <ns0:v>56510.9346263078</ns0:v>
      </ns0:c>
      <ns0:c r="O787" s="16">
        <ns0:f>IF('前提と出典'!$C$36+'前提と出典'!$C$38=0,0,'前提と出典'!$B$4*IF('前提と出典'!$B$20=0,MAX('前提と出典'!$B$6,D787*'前提と出典'!$B$5),'前提と出典'!$B$6+D787*'前提と出典'!$B$5))</ns0:f>
        <ns0:v>777505.8770949722</ns0:v>
      </ns0:c>
      <ns0:c r="P787" s="16">
        <ns0:f>(E787+G787)*(1-'前提と出典'!$B$7)-I787-K787-M787-O787</ns0:f>
        <ns0:v>1742549.1926061856</ns0:v>
      </ns0:c>
      <ns0:c r="Q787" s="16">
        <ns0:f>(F787+H787)*(1-'前提と出典'!$B$7)-J787-L787-N787</ns0:f>
        <ns0:v>692566.5571440489</ns0:v>
      </ns0:c>
      <ns0:c r="R787" s="16">
        <ns0:f>P787-E787*'前提と出典'!$E$4</ns0:f>
        <ns0:v>1288030.6927397528</ns0:v>
      </ns0:c>
      <ns0:c r="S787" s="16">
        <ns0:f>Q787-F787*'前提と出典'!$E$4</ns0:f>
        <ns0:v>514184.55896157795</ns0:v>
      </ns0:c>
      <ns0:c r="T787" s="7">
        <ns0:f>R787+S787</ns0:f>
        <ns0:v>1802215.2517013308</ns0:v>
      </ns0:c>
      <ns0:c r="U787" s="16">
        <ns0:f>P787-E787*'前提と出典'!$E$5</ns0:f>
        <ns0:v>1136524.5261176086</ns0:v>
      </ns0:c>
      <ns0:c r="V787" s="16">
        <ns0:f>Q787-F787*'前提と出典'!$E$5</ns0:f>
        <ns0:v>454723.89290075435</ns0:v>
      </ns0:c>
      <ns0:c r="W787" s="7">
        <ns0:f>U787+V787</ns0:f>
        <ns0:v>1591248.419018363</ns0:v>
      </ns0:c>
      <ns0:c r="X787" s="16">
        <ns0:f>P787-E787*'前提と出典'!$E$6</ns0:f>
        <ns0:v>985018.3594954645</ns0:v>
      </ns0:c>
      <ns0:c r="Y787" s="16">
        <ns0:f>Q787-F787*'前提と出典'!$E$6</ns0:f>
        <ns0:v>395263.22683993075</ns0:v>
      </ns0:c>
      <ns0:c r="Z787" s="7">
        <ns0:f>X787+Y787</ns0:f>
        <ns0:v>1380281.5863353952</ns0:v>
      </ns0:c>
      <ns0:c r="AA787" s="7">
        <ns0:f>IF(T787&gt;=0,A787,1001)</ns0:f>
        <ns0:v>783</ns0:v>
      </ns0:c>
      <ns0:c r="AB787" s="7">
        <ns0:f>IF(T787&lt;0,A787,0)</ns0:f>
        <ns0:v>0</ns0:v>
      </ns0:c>
      <ns0:c r="AC787" s="16">
        <ns0:f>IF(AND(OR('前提と出典'!$C$36+'前提と出典'!$C$38=0,R787&gt;=0),OR('前提と出典'!$C$37+'前提と出典'!$C$38=0,S787&gt;=0)),0,A787)</ns0:f>
        <ns0:v>0</ns0:v>
      </ns0:c>
      <ns0:c r="AD787" s="7">
        <ns0:f>IF(W787&gt;=0,A787,1001)</ns0:f>
        <ns0:v>783</ns0:v>
      </ns0:c>
      <ns0:c r="AE787" s="7">
        <ns0:f>IF(W787&lt;0,A787,0)</ns0:f>
        <ns0:v>0</ns0:v>
      </ns0:c>
      <ns0:c r="AF787" s="16">
        <ns0:f>IF(AND(OR('前提と出典'!$C$36+'前提と出典'!$C$38=0,U787&gt;=0),OR('前提と出典'!$C$37+'前提と出典'!$C$38=0,V787&gt;=0)),0,A787)</ns0:f>
        <ns0:v>0</ns0:v>
      </ns0:c>
      <ns0:c r="AG787" s="7">
        <ns0:f>IF(Z787&gt;=0,A787,1001)</ns0:f>
        <ns0:v>783</ns0:v>
      </ns0:c>
      <ns0:c r="AH787" s="4">
        <ns0:f>IF(Z787&lt;0,A787,0)</ns0:f>
        <ns0:v>0</ns0:v>
      </ns0:c>
      <ns0:c r="AI787" s="12">
        <ns0:f>IF(AND(OR('前提と出典'!$C$36+'前提と出典'!$C$38=0,X787&gt;=0),OR('前提と出典'!$C$37+'前提と出典'!$C$38=0,Y787&gt;=0)),0,A787)</ns0:f>
        <ns0:v>0</ns0:v>
      </ns0:c>
    </ns0:row>
    <ns0:row r="788" ht="24" customHeight="1">
      <ns0:c r="A788" s="4" t="n">
        <ns0:v>784</ns0:v>
      </ns0:c>
      <ns0:c r="B788" s="12">
        <ns0:f>A788*('前提と出典'!$C$36+'前提と出典'!$C$38)</ns0:f>
        <ns0:v>548.8</ns0:v>
      </ns0:c>
      <ns0:c r="C788" s="12">
        <ns0:f>A788*('前提と出典'!$C$37+'前提と出典'!$C$38)</ns0:f>
        <ns0:v>470.4</ns0:v>
      </ns0:c>
      <ns0:c r="D788" s="16">
        <ns0:f>A788*('前提と出典'!$C$36*'契約別単価'!C5+'前提と出典'!$C$37*'契約別単価'!C6+'前提と出典'!$C$38*'契約別単価'!C7)</ns0:f>
        <ns0:v>5641.296089385475</ns0:v>
      </ns0:c>
      <ns0:c r="E788" s="16">
        <ns0:f>A788*('前提と出典'!$C$36*'契約別単価'!E5+'前提と出典'!$C$37*'契約別単価'!E6+'前提と出典'!$C$38*'契約別単価'!E7)</ns0:f>
        <ns0:v>1516996.610878175</ns0:v>
      </ns0:c>
      <ns0:c r="F788" s="16">
        <ns0:f>A788*('前提と出典'!$C$36*'契約別単価'!F5+'前提と出典'!$C$37*'契約別単価'!F6+'前提と出典'!$C$38*'契約別単価'!F7)</ns0:f>
        <ns0:v>595366.0560879403</ns0:v>
      </ns0:c>
      <ns0:c r="G788" s="16">
        <ns0:f>A788*('前提と出典'!$C$36*'契約別単価'!G5+'前提と出典'!$C$37*'契約別単価'!G6+'前提と出典'!$C$38*'契約別単価'!G7)</ns0:f>
        <ns0:v>1560554.189944134</ns0:v>
      </ns0:c>
      <ns0:c r="H788" s="16">
        <ns0:f>A788*('前提と出典'!$C$36*'契約別単価'!H5+'前提と出典'!$C$37*'契約別単価'!H6+'前提と出典'!$C$38*'契約別単価'!H7)</ns0:f>
        <ns0:v>541590.5718536817</ns0:v>
      </ns0:c>
      <ns0:c r="I788" s="16">
        <ns0:f>A788*('前提と出典'!$C$36*'契約別単価'!I5+'前提と出典'!$C$37*'契約別単価'!I6+'前提と出典'!$C$38*'契約別単価'!I7)</ns0:f>
        <ns0:v>33081.29608938547</ns0:v>
      </ns0:c>
      <ns0:c r="J788" s="16">
        <ns0:f>A788*('前提と出典'!$C$36*'契約別単価'!J5+'前提と出典'!$C$37*'契約別単価'!J6+'前提と出典'!$C$38*'契約別単価'!J7)</ns0:f>
        <ns0:v>77059.00226887722</ns0:v>
      </ns0:c>
      <ns0:c r="K788" s="16">
        <ns0:f>A788*('前提と出典'!$C$36*'契約別単価'!K5+'前提と出典'!$C$37*'契約別単価'!K6+'前提と出典'!$C$38*'契約別単価'!K7)</ns0:f>
        <ns0:v>330301.97392923647</ns0:v>
      </ns0:c>
      <ns0:c r="L788" s="16">
        <ns0:f>A788*('前提と出典'!$C$36*'契約別単価'!L5+'前提と出典'!$C$37*'契約別単価'!L6+'前提と出典'!$C$38*'契約別単価'!L7)</ns0:f>
        <ns0:v>268933.0190617894</ns0:v>
      </ns0:c>
      <ns0:c r="M788" s="16">
        <ns0:f>IF(('前提と出典'!$C$36+'前提と出典'!$C$38)=0,0,IF(B788&lt;=10,'前提と出典'!B73+'前提と出典'!C73,IF(B788&lt;=100,'前提と出典'!B74+'前提と出典'!C74,IF(B788&lt;=500,'前提と出典'!B75+'前提と出典'!C75,'前提と出典'!B76+'前提と出典'!C76))))</ns0:f>
        <ns0:v>80000</ns0:v>
      </ns0:c>
      <ns0:c r="N788" s="16">
        <ns0:f>IF(('前提と出典'!$C$37+'前提と出典'!$C$38)=0,0,IF(C788&lt;=10,'前提と出典'!D73+'前提と出典'!E73,IF(C788&lt;=100,'前提と出典'!D74+'前提と出典'!E74,IF(C788&lt;=500,'前提と出典'!D75+'前提と出典'!E75,'前提と出典'!D76+'前提と出典'!E76))))</ns0:f>
        <ns0:v>56510.9346263078</ns0:v>
      </ns0:c>
      <ns0:c r="O788" s="16">
        <ns0:f>IF('前提と出典'!$C$36+'前提と出典'!$C$38=0,0,'前提と出典'!$B$4*IF('前提と出典'!$B$20=0,MAX('前提と出典'!$B$6,D788*'前提と出典'!$B$5),'前提と出典'!$B$6+D788*'前提と出典'!$B$5))</ns0:f>
        <ns0:v>778498.8603351957</ns0:v>
      </ns0:c>
      <ns0:c r="P788" s="16">
        <ns0:f>(E788+G788)*(1-'前提と出典'!$B$7)-I788-K788-M788-O788</ns0:f>
        <ns0:v>1744876.8416388882</ns0:v>
      </ns0:c>
      <ns0:c r="Q788" s="16">
        <ns0:f>(F788+H788)*(1-'前提と出典'!$B$7)-J788-L788-N788</ns0:f>
        <ns0:v>693523.2333787491</ns0:v>
      </ns0:c>
      <ns0:c r="R788" s="16">
        <ns0:f>P788-E788*'前提と出典'!$E$4</ns0:f>
        <ns0:v>1289777.8583754355</ns0:v>
      </ns0:c>
      <ns0:c r="S788" s="16">
        <ns0:f>Q788-F788*'前提と出典'!$E$4</ns0:f>
        <ns0:v>514913.41655236704</ns0:v>
      </ns0:c>
      <ns0:c r="T788" s="7">
        <ns0:f>R788+S788</ns0:f>
        <ns0:v>1804691.2749278024</ns0:v>
      </ns0:c>
      <ns0:c r="U788" s="16">
        <ns0:f>P788-E788*'前提と出典'!$E$5</ns0:f>
        <ns0:v>1138078.1972876182</ns0:v>
      </ns0:c>
      <ns0:c r="V788" s="16">
        <ns0:f>Q788-F788*'前提と出典'!$E$5</ns0:f>
        <ns0:v>455376.810943573</ns0:v>
      </ns0:c>
      <ns0:c r="W788" s="7">
        <ns0:f>U788+V788</ns0:f>
        <ns0:v>1593455.0082311912</ns0:v>
      </ns0:c>
      <ns0:c r="X788" s="16">
        <ns0:f>P788-E788*'前提と出典'!$E$6</ns0:f>
        <ns0:v>986378.5361998007</ns0:v>
      </ns0:c>
      <ns0:c r="Y788" s="16">
        <ns0:f>Q788-F788*'前提と出典'!$E$6</ns0:f>
        <ns0:v>395840.2053347789</ns0:v>
      </ns0:c>
      <ns0:c r="Z788" s="7">
        <ns0:f>X788+Y788</ns0:f>
        <ns0:v>1382218.7415345795</ns0:v>
      </ns0:c>
      <ns0:c r="AA788" s="7">
        <ns0:f>IF(T788&gt;=0,A788,1001)</ns0:f>
        <ns0:v>784</ns0:v>
      </ns0:c>
      <ns0:c r="AB788" s="7">
        <ns0:f>IF(T788&lt;0,A788,0)</ns0:f>
        <ns0:v>0</ns0:v>
      </ns0:c>
      <ns0:c r="AC788" s="16">
        <ns0:f>IF(AND(OR('前提と出典'!$C$36+'前提と出典'!$C$38=0,R788&gt;=0),OR('前提と出典'!$C$37+'前提と出典'!$C$38=0,S788&gt;=0)),0,A788)</ns0:f>
        <ns0:v>0</ns0:v>
      </ns0:c>
      <ns0:c r="AD788" s="7">
        <ns0:f>IF(W788&gt;=0,A788,1001)</ns0:f>
        <ns0:v>784</ns0:v>
      </ns0:c>
      <ns0:c r="AE788" s="7">
        <ns0:f>IF(W788&lt;0,A788,0)</ns0:f>
        <ns0:v>0</ns0:v>
      </ns0:c>
      <ns0:c r="AF788" s="16">
        <ns0:f>IF(AND(OR('前提と出典'!$C$36+'前提と出典'!$C$38=0,U788&gt;=0),OR('前提と出典'!$C$37+'前提と出典'!$C$38=0,V788&gt;=0)),0,A788)</ns0:f>
        <ns0:v>0</ns0:v>
      </ns0:c>
      <ns0:c r="AG788" s="7">
        <ns0:f>IF(Z788&gt;=0,A788,1001)</ns0:f>
        <ns0:v>784</ns0:v>
      </ns0:c>
      <ns0:c r="AH788" s="4">
        <ns0:f>IF(Z788&lt;0,A788,0)</ns0:f>
        <ns0:v>0</ns0:v>
      </ns0:c>
      <ns0:c r="AI788" s="12">
        <ns0:f>IF(AND(OR('前提と出典'!$C$36+'前提と出典'!$C$38=0,X788&gt;=0),OR('前提と出典'!$C$37+'前提と出典'!$C$38=0,Y788&gt;=0)),0,A788)</ns0:f>
        <ns0:v>0</ns0:v>
      </ns0:c>
    </ns0:row>
    <ns0:row r="789" ht="24" customHeight="1">
      <ns0:c r="A789" s="4" t="n">
        <ns0:v>785</ns0:v>
      </ns0:c>
      <ns0:c r="B789" s="12">
        <ns0:f>A789*('前提と出典'!$C$36+'前提と出典'!$C$38)</ns0:f>
        <ns0:v>549.5</ns0:v>
      </ns0:c>
      <ns0:c r="C789" s="12">
        <ns0:f>A789*('前提と出典'!$C$37+'前提と出典'!$C$38)</ns0:f>
        <ns0:v>471</ns0:v>
      </ns0:c>
      <ns0:c r="D789" s="16">
        <ns0:f>A789*('前提と出典'!$C$36*'契約別単価'!C5+'前提と出典'!$C$37*'契約別単価'!C6+'前提と出典'!$C$38*'契約別単価'!C7)</ns0:f>
        <ns0:v>5648.491620111732</ns0:v>
      </ns0:c>
      <ns0:c r="E789" s="16">
        <ns0:f>A789*('前提と出典'!$C$36*'契約別単価'!E5+'前提と出典'!$C$37*'契約別単価'!E6+'前提と出典'!$C$38*'契約別単価'!E7)</ns0:f>
        <ns0:v>1518931.5555349074</ns0:v>
      </ns0:c>
      <ns0:c r="F789" s="16">
        <ns0:f>A789*('前提と出典'!$C$36*'契約別単価'!F5+'前提と出典'!$C$37*'契約別単価'!F6+'前提と出典'!$C$38*'契約別単価'!F7)</ns0:f>
        <ns0:v>596125.4515676444</ns0:v>
      </ns0:c>
      <ns0:c r="G789" s="16">
        <ns0:f>A789*('前提と出典'!$C$36*'契約別単価'!G5+'前提と出典'!$C$37*'契約別単価'!G6+'前提と出典'!$C$38*'契約別単価'!G7)</ns0:f>
        <ns0:v>1562544.69273743</ns0:v>
      </ns0:c>
      <ns0:c r="H789" s="16">
        <ns0:f>A789*('前提と出典'!$C$36*'契約別単価'!H5+'前提と出典'!$C$37*'契約別単価'!H6+'前提と出典'!$C$38*'契約別単価'!H7)</ns0:f>
        <ns0:v>542281.3761545155</ns0:v>
      </ns0:c>
      <ns0:c r="I789" s="16">
        <ns0:f>A789*('前提と出典'!$C$36*'契約別単価'!I5+'前提と出典'!$C$37*'契約別単価'!I6+'前提と出典'!$C$38*'契約別単価'!I7)</ns0:f>
        <ns0:v>33123.49162011172</ns0:v>
      </ns0:c>
      <ns0:c r="J789" s="16">
        <ns0:f>A789*('前提と出典'!$C$36*'契約別単価'!J5+'前提と出典'!$C$37*'契約別単価'!J6+'前提と出典'!$C$38*'契約別単価'!J7)</ns0:f>
        <ns0:v>77157.29181258751</ns0:v>
      </ns0:c>
      <ns0:c r="K789" s="16">
        <ns0:f>A789*('前提と出典'!$C$36*'契約別単価'!K5+'前提と出典'!$C$37*'契約別単価'!K6+'前提と出典'!$C$38*'契約別単価'!K7)</ns0:f>
        <ns0:v>330723.27746741154</ns0:v>
      </ns0:c>
      <ns0:c r="L789" s="16">
        <ns0:f>A789*('前提と出典'!$C$36*'契約別単価'!L5+'前提と出典'!$C$37*'契約別単価'!L6+'前提と出典'!$C$38*'契約別単価'!L7)</ns0:f>
        <ns0:v>269276.04587181716</ns0:v>
      </ns0:c>
      <ns0:c r="M789" s="16">
        <ns0:f>IF(('前提と出典'!$C$36+'前提と出典'!$C$38)=0,0,IF(B789&lt;=10,'前提と出典'!B73+'前提と出典'!C73,IF(B789&lt;=100,'前提と出典'!B74+'前提と出典'!C74,IF(B789&lt;=500,'前提と出典'!B75+'前提と出典'!C75,'前提と出典'!B76+'前提と出典'!C76))))</ns0:f>
        <ns0:v>80000</ns0:v>
      </ns0:c>
      <ns0:c r="N789" s="16">
        <ns0:f>IF(('前提と出典'!$C$37+'前提と出典'!$C$38)=0,0,IF(C789&lt;=10,'前提と出典'!D73+'前提と出典'!E73,IF(C789&lt;=100,'前提と出典'!D74+'前提と出典'!E74,IF(C789&lt;=500,'前提と出典'!D75+'前提と出典'!E75,'前提と出典'!D76+'前提と出典'!E76))))</ns0:f>
        <ns0:v>56510.9346263078</ns0:v>
      </ns0:c>
      <ns0:c r="O789" s="16">
        <ns0:f>IF('前提と出典'!$C$36+'前提と出典'!$C$38=0,0,'前提と出典'!$B$4*IF('前提と出典'!$B$20=0,MAX('前提と出典'!$B$6,D789*'前提と出典'!$B$5),'前提と出典'!$B$6+D789*'前提と出典'!$B$5))</ns0:f>
        <ns0:v>779491.8435754192</ns0:v>
      </ns0:c>
      <ns0:c r="P789" s="16">
        <ns0:f>(E789+G789)*(1-'前提と出典'!$B$7)-I789-K789-M789-O789</ns0:f>
        <ns0:v>1747204.4906715911</ns0:v>
      </ns0:c>
      <ns0:c r="Q789" s="16">
        <ns0:f>(F789+H789)*(1-'前提と出典'!$B$7)-J789-L789-N789</ns0:f>
        <ns0:v>694479.9096134497</ns0:v>
      </ns0:c>
      <ns0:c r="R789" s="16">
        <ns0:f>P789-E789*'前提と出典'!$E$4</ns0:f>
        <ns0:v>1291525.024011119</ns0:v>
      </ns0:c>
      <ns0:c r="S789" s="16">
        <ns0:f>Q789-F789*'前提と出典'!$E$4</ns0:f>
        <ns0:v>515642.27414315636</ns0:v>
      </ns0:c>
      <ns0:c r="T789" s="7">
        <ns0:f>R789+S789</ns0:f>
        <ns0:v>1807167.2981542754</ns0:v>
      </ns0:c>
      <ns0:c r="U789" s="16">
        <ns0:f>P789-E789*'前提と出典'!$E$5</ns0:f>
        <ns0:v>1139631.8684576282</ns0:v>
      </ns0:c>
      <ns0:c r="V789" s="16">
        <ns0:f>Q789-F789*'前提と出典'!$E$5</ns0:f>
        <ns0:v>456029.7289863919</ns0:v>
      </ns0:c>
      <ns0:c r="W789" s="7">
        <ns0:f>U789+V789</ns0:f>
        <ns0:v>1595661.5974440202</ns0:v>
      </ns0:c>
      <ns0:c r="X789" s="16">
        <ns0:f>P789-E789*'前提と出典'!$E$6</ns0:f>
        <ns0:v>987738.7129041373</ns0:v>
      </ns0:c>
      <ns0:c r="Y789" s="16">
        <ns0:f>Q789-F789*'前提と出典'!$E$6</ns0:f>
        <ns0:v>396417.1838296276</ns0:v>
      </ns0:c>
      <ns0:c r="Z789" s="7">
        <ns0:f>X789+Y789</ns0:f>
        <ns0:v>1384155.896733765</ns0:v>
      </ns0:c>
      <ns0:c r="AA789" s="7">
        <ns0:f>IF(T789&gt;=0,A789,1001)</ns0:f>
        <ns0:v>785</ns0:v>
      </ns0:c>
      <ns0:c r="AB789" s="7">
        <ns0:f>IF(T789&lt;0,A789,0)</ns0:f>
        <ns0:v>0</ns0:v>
      </ns0:c>
      <ns0:c r="AC789" s="16">
        <ns0:f>IF(AND(OR('前提と出典'!$C$36+'前提と出典'!$C$38=0,R789&gt;=0),OR('前提と出典'!$C$37+'前提と出典'!$C$38=0,S789&gt;=0)),0,A789)</ns0:f>
        <ns0:v>0</ns0:v>
      </ns0:c>
      <ns0:c r="AD789" s="7">
        <ns0:f>IF(W789&gt;=0,A789,1001)</ns0:f>
        <ns0:v>785</ns0:v>
      </ns0:c>
      <ns0:c r="AE789" s="7">
        <ns0:f>IF(W789&lt;0,A789,0)</ns0:f>
        <ns0:v>0</ns0:v>
      </ns0:c>
      <ns0:c r="AF789" s="16">
        <ns0:f>IF(AND(OR('前提と出典'!$C$36+'前提と出典'!$C$38=0,U789&gt;=0),OR('前提と出典'!$C$37+'前提と出典'!$C$38=0,V789&gt;=0)),0,A789)</ns0:f>
        <ns0:v>0</ns0:v>
      </ns0:c>
      <ns0:c r="AG789" s="7">
        <ns0:f>IF(Z789&gt;=0,A789,1001)</ns0:f>
        <ns0:v>785</ns0:v>
      </ns0:c>
      <ns0:c r="AH789" s="4">
        <ns0:f>IF(Z789&lt;0,A789,0)</ns0:f>
        <ns0:v>0</ns0:v>
      </ns0:c>
      <ns0:c r="AI789" s="12">
        <ns0:f>IF(AND(OR('前提と出典'!$C$36+'前提と出典'!$C$38=0,X789&gt;=0),OR('前提と出典'!$C$37+'前提と出典'!$C$38=0,Y789&gt;=0)),0,A789)</ns0:f>
        <ns0:v>0</ns0:v>
      </ns0:c>
    </ns0:row>
    <ns0:row r="790" ht="24" customHeight="1">
      <ns0:c r="A790" s="4" t="n">
        <ns0:v>786</ns0:v>
      </ns0:c>
      <ns0:c r="B790" s="12">
        <ns0:f>A790*('前提と出典'!$C$36+'前提と出典'!$C$38)</ns0:f>
        <ns0:v>550.1999999999999</ns0:v>
      </ns0:c>
      <ns0:c r="C790" s="12">
        <ns0:f>A790*('前提と出典'!$C$37+'前提と出典'!$C$38)</ns0:f>
        <ns0:v>471.59999999999997</ns0:v>
      </ns0:c>
      <ns0:c r="D790" s="16">
        <ns0:f>A790*('前提と出典'!$C$36*'契約別単価'!C5+'前提と出典'!$C$37*'契約別単価'!C6+'前提と出典'!$C$38*'契約別単価'!C7)</ns0:f>
        <ns0:v>5655.687150837989</ns0:v>
      </ns0:c>
      <ns0:c r="E790" s="16">
        <ns0:f>A790*('前提と出典'!$C$36*'契約別単価'!E5+'前提と出典'!$C$37*'契約別単価'!E6+'前提と出典'!$C$38*'契約別単価'!E7)</ns0:f>
        <ns0:v>1520866.5001916396</ns0:v>
      </ns0:c>
      <ns0:c r="F790" s="16">
        <ns0:f>A790*('前提と出典'!$C$36*'契約別単価'!F5+'前提と出典'!$C$37*'契約別単価'!F6+'前提と出典'!$C$38*'契約別単価'!F7)</ns0:f>
        <ns0:v>596884.8470473484</ns0:v>
      </ns0:c>
      <ns0:c r="G790" s="16">
        <ns0:f>A790*('前提と出典'!$C$36*'契約別単価'!G5+'前提と出典'!$C$37*'契約別単価'!G6+'前提と出典'!$C$38*'契約別単価'!G7)</ns0:f>
        <ns0:v>1564535.195530726</ns0:v>
      </ns0:c>
      <ns0:c r="H790" s="16">
        <ns0:f>A790*('前提と出典'!$C$36*'契約別単価'!H5+'前提と出典'!$C$37*'契約別単価'!H6+'前提と出典'!$C$38*'契約別単価'!H7)</ns0:f>
        <ns0:v>542972.1804553493</ns0:v>
      </ns0:c>
      <ns0:c r="I790" s="16">
        <ns0:f>A790*('前提と出典'!$C$36*'契約別単価'!I5+'前提と出典'!$C$37*'契約別単価'!I6+'前提と出典'!$C$38*'契約別単価'!I7)</ns0:f>
        <ns0:v>33165.687150837985</ns0:v>
      </ns0:c>
      <ns0:c r="J790" s="16">
        <ns0:f>A790*('前提と出典'!$C$36*'契約別単価'!J5+'前提と出典'!$C$37*'契約別単価'!J6+'前提と出典'!$C$38*'契約別単価'!J7)</ns0:f>
        <ns0:v>77255.58135629781</ns0:v>
      </ns0:c>
      <ns0:c r="K790" s="16">
        <ns0:f>A790*('前提と出典'!$C$36*'契約別単価'!K5+'前提と出典'!$C$37*'契約別単価'!K6+'前提と出典'!$C$38*'契約別単価'!K7)</ns0:f>
        <ns0:v>331144.58100558654</ns0:v>
      </ns0:c>
      <ns0:c r="L790" s="16">
        <ns0:f>A790*('前提と出典'!$C$36*'契約別単価'!L5+'前提と出典'!$C$37*'契約別単価'!L6+'前提と出典'!$C$38*'契約別単価'!L7)</ns0:f>
        <ns0:v>269619.072681845</ns0:v>
      </ns0:c>
      <ns0:c r="M790" s="16">
        <ns0:f>IF(('前提と出典'!$C$36+'前提と出典'!$C$38)=0,0,IF(B790&lt;=10,'前提と出典'!B73+'前提と出典'!C73,IF(B790&lt;=100,'前提と出典'!B74+'前提と出典'!C74,IF(B790&lt;=500,'前提と出典'!B75+'前提と出典'!C75,'前提と出典'!B76+'前提と出典'!C76))))</ns0:f>
        <ns0:v>80000</ns0:v>
      </ns0:c>
      <ns0:c r="N790" s="16">
        <ns0:f>IF(('前提と出典'!$C$37+'前提と出典'!$C$38)=0,0,IF(C790&lt;=10,'前提と出典'!D73+'前提と出典'!E73,IF(C790&lt;=100,'前提と出典'!D74+'前提と出典'!E74,IF(C790&lt;=500,'前提と出典'!D75+'前提と出典'!E75,'前提と出典'!D76+'前提と出典'!E76))))</ns0:f>
        <ns0:v>56510.9346263078</ns0:v>
      </ns0:c>
      <ns0:c r="O790" s="16">
        <ns0:f>IF('前提と出典'!$C$36+'前提と出典'!$C$38=0,0,'前提と出典'!$B$4*IF('前提と出典'!$B$20=0,MAX('前提と出典'!$B$6,D790*'前提と出典'!$B$5),'前提と出典'!$B$6+D790*'前提と出典'!$B$5))</ns0:f>
        <ns0:v>780484.8268156424</ns0:v>
      </ns0:c>
      <ns0:c r="P790" s="16">
        <ns0:f>(E790+G790)*(1-'前提と出典'!$B$7)-I790-K790-M790-O790</ns0:f>
        <ns0:v>1749532.1397042938</ns0:v>
      </ns0:c>
      <ns0:c r="Q790" s="16">
        <ns0:f>(F790+H790)*(1-'前提と出典'!$B$7)-J790-L790-N790</ns0:f>
        <ns0:v>695436.5858481498</ns0:v>
      </ns0:c>
      <ns0:c r="R790" s="16">
        <ns0:f>P790-E790*'前提と出典'!$E$4</ns0:f>
        <ns0:v>1293272.189646802</ns0:v>
      </ns0:c>
      <ns0:c r="S790" s="16">
        <ns0:f>Q790-F790*'前提と出典'!$E$4</ns0:f>
        <ns0:v>516371.13173394534</ns0:v>
      </ns0:c>
      <ns0:c r="T790" s="7">
        <ns0:f>R790+S790</ns0:f>
        <ns0:v>1809643.3213807472</ns0:v>
      </ns0:c>
      <ns0:c r="U790" s="16">
        <ns0:f>P790-E790*'前提と出典'!$E$5</ns0:f>
        <ns0:v>1141185.539627638</ns0:v>
      </ns0:c>
      <ns0:c r="V790" s="16">
        <ns0:f>Q790-F790*'前提と出典'!$E$5</ns0:f>
        <ns0:v>456682.6470292105</ns0:v>
      </ns0:c>
      <ns0:c r="W790" s="7">
        <ns0:f>U790+V790</ns0:f>
        <ns0:v>1597868.1866568485</ns0:v>
      </ns0:c>
      <ns0:c r="X790" s="16">
        <ns0:f>P790-E790*'前提と出典'!$E$6</ns0:f>
        <ns0:v>989098.8896084737</ns0:v>
      </ns0:c>
      <ns0:c r="Y790" s="16">
        <ns0:f>Q790-F790*'前提と出典'!$E$6</ns0:f>
        <ns0:v>396994.16232447565</ns0:v>
      </ns0:c>
      <ns0:c r="Z790" s="7">
        <ns0:f>X790+Y790</ns0:f>
        <ns0:v>1386093.0519329493</ns0:v>
      </ns0:c>
      <ns0:c r="AA790" s="7">
        <ns0:f>IF(T790&gt;=0,A790,1001)</ns0:f>
        <ns0:v>786</ns0:v>
      </ns0:c>
      <ns0:c r="AB790" s="7">
        <ns0:f>IF(T790&lt;0,A790,0)</ns0:f>
        <ns0:v>0</ns0:v>
      </ns0:c>
      <ns0:c r="AC790" s="16">
        <ns0:f>IF(AND(OR('前提と出典'!$C$36+'前提と出典'!$C$38=0,R790&gt;=0),OR('前提と出典'!$C$37+'前提と出典'!$C$38=0,S790&gt;=0)),0,A790)</ns0:f>
        <ns0:v>0</ns0:v>
      </ns0:c>
      <ns0:c r="AD790" s="7">
        <ns0:f>IF(W790&gt;=0,A790,1001)</ns0:f>
        <ns0:v>786</ns0:v>
      </ns0:c>
      <ns0:c r="AE790" s="7">
        <ns0:f>IF(W790&lt;0,A790,0)</ns0:f>
        <ns0:v>0</ns0:v>
      </ns0:c>
      <ns0:c r="AF790" s="16">
        <ns0:f>IF(AND(OR('前提と出典'!$C$36+'前提と出典'!$C$38=0,U790&gt;=0),OR('前提と出典'!$C$37+'前提と出典'!$C$38=0,V790&gt;=0)),0,A790)</ns0:f>
        <ns0:v>0</ns0:v>
      </ns0:c>
      <ns0:c r="AG790" s="7">
        <ns0:f>IF(Z790&gt;=0,A790,1001)</ns0:f>
        <ns0:v>786</ns0:v>
      </ns0:c>
      <ns0:c r="AH790" s="4">
        <ns0:f>IF(Z790&lt;0,A790,0)</ns0:f>
        <ns0:v>0</ns0:v>
      </ns0:c>
      <ns0:c r="AI790" s="12">
        <ns0:f>IF(AND(OR('前提と出典'!$C$36+'前提と出典'!$C$38=0,X790&gt;=0),OR('前提と出典'!$C$37+'前提と出典'!$C$38=0,Y790&gt;=0)),0,A790)</ns0:f>
        <ns0:v>0</ns0:v>
      </ns0:c>
    </ns0:row>
    <ns0:row r="791" ht="24" customHeight="1">
      <ns0:c r="A791" s="4" t="n">
        <ns0:v>787</ns0:v>
      </ns0:c>
      <ns0:c r="B791" s="12">
        <ns0:f>A791*('前提と出典'!$C$36+'前提と出典'!$C$38)</ns0:f>
        <ns0:v>550.9</ns0:v>
      </ns0:c>
      <ns0:c r="C791" s="12">
        <ns0:f>A791*('前提と出典'!$C$37+'前提と出典'!$C$38)</ns0:f>
        <ns0:v>472.2</ns0:v>
      </ns0:c>
      <ns0:c r="D791" s="16">
        <ns0:f>A791*('前提と出典'!$C$36*'契約別単価'!C5+'前提と出典'!$C$37*'契約別単価'!C6+'前提と出典'!$C$38*'契約別単価'!C7)</ns0:f>
        <ns0:v>5662.882681564246</ns0:v>
      </ns0:c>
      <ns0:c r="E791" s="16">
        <ns0:f>A791*('前提と出典'!$C$36*'契約別単価'!E5+'前提と出典'!$C$37*'契約別単価'!E6+'前提と出典'!$C$38*'契約別単価'!E7)</ns0:f>
        <ns0:v>1522801.444848372</ns0:v>
      </ns0:c>
      <ns0:c r="F791" s="16">
        <ns0:f>A791*('前提と出典'!$C$36*'契約別単価'!F5+'前提と出典'!$C$37*'契約別単価'!F6+'前提と出典'!$C$38*'契約別単価'!F7)</ns0:f>
        <ns0:v>597644.2425270524</ns0:v>
      </ns0:c>
      <ns0:c r="G791" s="16">
        <ns0:f>A791*('前提と出典'!$C$36*'契約別単価'!G5+'前提と出典'!$C$37*'契約別単価'!G6+'前提と出典'!$C$38*'契約別単価'!G7)</ns0:f>
        <ns0:v>1566525.6983240223</ns0:v>
      </ns0:c>
      <ns0:c r="H791" s="16">
        <ns0:f>A791*('前提と出典'!$C$36*'契約別単価'!H5+'前提と出典'!$C$37*'契約別単価'!H6+'前提と出典'!$C$38*'契約別単価'!H7)</ns0:f>
        <ns0:v>543662.984756183</ns0:v>
      </ns0:c>
      <ns0:c r="I791" s="16">
        <ns0:f>A791*('前提と出典'!$C$36*'契約別単価'!I5+'前提と出典'!$C$37*'契約別単価'!I6+'前提と出典'!$C$38*'契約別単価'!I7)</ns0:f>
        <ns0:v>33207.88268156424</ns0:v>
      </ns0:c>
      <ns0:c r="J791" s="16">
        <ns0:f>A791*('前提と出典'!$C$36*'契約別単価'!J5+'前提と出典'!$C$37*'契約別単価'!J6+'前提と出典'!$C$38*'契約別単価'!J7)</ns0:f>
        <ns0:v>77353.87090000811</ns0:v>
      </ns0:c>
      <ns0:c r="K791" s="16">
        <ns0:f>A791*('前提と出典'!$C$36*'契約別単価'!K5+'前提と出典'!$C$37*'契約別単価'!K6+'前提と出典'!$C$38*'契約別単価'!K7)</ns0:f>
        <ns0:v>331565.8845437616</ns0:v>
      </ns0:c>
      <ns0:c r="L791" s="16">
        <ns0:f>A791*('前提と出典'!$C$36*'契約別単価'!L5+'前提と出典'!$C$37*'契約別単価'!L6+'前提と出典'!$C$38*'契約別単価'!L7)</ns0:f>
        <ns0:v>269962.09949187277</ns0:v>
      </ns0:c>
      <ns0:c r="M791" s="16">
        <ns0:f>IF(('前提と出典'!$C$36+'前提と出典'!$C$38)=0,0,IF(B791&lt;=10,'前提と出典'!B73+'前提と出典'!C73,IF(B791&lt;=100,'前提と出典'!B74+'前提と出典'!C74,IF(B791&lt;=500,'前提と出典'!B75+'前提と出典'!C75,'前提と出典'!B76+'前提と出典'!C76))))</ns0:f>
        <ns0:v>80000</ns0:v>
      </ns0:c>
      <ns0:c r="N791" s="16">
        <ns0:f>IF(('前提と出典'!$C$37+'前提と出典'!$C$38)=0,0,IF(C791&lt;=10,'前提と出典'!D73+'前提と出典'!E73,IF(C791&lt;=100,'前提と出典'!D74+'前提と出典'!E74,IF(C791&lt;=500,'前提と出典'!D75+'前提と出典'!E75,'前提と出典'!D76+'前提と出典'!E76))))</ns0:f>
        <ns0:v>56510.9346263078</ns0:v>
      </ns0:c>
      <ns0:c r="O791" s="16">
        <ns0:f>IF('前提と出典'!$C$36+'前提と出典'!$C$38=0,0,'前提と出典'!$B$4*IF('前提と出典'!$B$20=0,MAX('前提と出典'!$B$6,D791*'前提と出典'!$B$5),'前提と出典'!$B$6+D791*'前提と出典'!$B$5))</ns0:f>
        <ns0:v>781477.8100558659</ns0:v>
      </ns0:c>
      <ns0:c r="P791" s="16">
        <ns0:f>(E791+G791)*(1-'前提と出典'!$B$7)-I791-K791-M791-O791</ns0:f>
        <ns0:v>1751859.7887369962</ns0:v>
      </ns0:c>
      <ns0:c r="Q791" s="16">
        <ns0:f>(F791+H791)*(1-'前提と出典'!$B$7)-J791-L791-N791</ns0:f>
        <ns0:v>696393.2620828503</ns0:v>
      </ns0:c>
      <ns0:c r="R791" s="16">
        <ns0:f>P791-E791*'前提と出典'!$E$4</ns0:f>
        <ns0:v>1295019.3552824846</ns0:v>
      </ns0:c>
      <ns0:c r="S791" s="16">
        <ns0:f>Q791-F791*'前提と出典'!$E$4</ns0:f>
        <ns0:v>517099.98932473455</ns0:v>
      </ns0:c>
      <ns0:c r="T791" s="7">
        <ns0:f>R791+S791</ns0:f>
        <ns0:v>1812119.344607219</ns0:v>
      </ns0:c>
      <ns0:c r="U791" s="16">
        <ns0:f>P791-E791*'前提と出典'!$E$5</ns0:f>
        <ns0:v>1142739.2107976475</ns0:v>
      </ns0:c>
      <ns0:c r="V791" s="16">
        <ns0:f>Q791-F791*'前提と出典'!$E$5</ns0:f>
        <ns0:v>457335.5650720293</ns0:v>
      </ns0:c>
      <ns0:c r="W791" s="7">
        <ns0:f>U791+V791</ns0:f>
        <ns0:v>1600074.7758696768</ns0:v>
      </ns0:c>
      <ns0:c r="X791" s="16">
        <ns0:f>P791-E791*'前提と出典'!$E$6</ns0:f>
        <ns0:v>990459.0663128104</ns0:v>
      </ns0:c>
      <ns0:c r="Y791" s="16">
        <ns0:f>Q791-F791*'前提と出典'!$E$6</ns0:f>
        <ns0:v>397571.1408193241</ns0:v>
      </ns0:c>
      <ns0:c r="Z791" s="7">
        <ns0:f>X791+Y791</ns0:f>
        <ns0:v>1388030.2071321346</ns0:v>
      </ns0:c>
      <ns0:c r="AA791" s="7">
        <ns0:f>IF(T791&gt;=0,A791,1001)</ns0:f>
        <ns0:v>787</ns0:v>
      </ns0:c>
      <ns0:c r="AB791" s="7">
        <ns0:f>IF(T791&lt;0,A791,0)</ns0:f>
        <ns0:v>0</ns0:v>
      </ns0:c>
      <ns0:c r="AC791" s="16">
        <ns0:f>IF(AND(OR('前提と出典'!$C$36+'前提と出典'!$C$38=0,R791&gt;=0),OR('前提と出典'!$C$37+'前提と出典'!$C$38=0,S791&gt;=0)),0,A791)</ns0:f>
        <ns0:v>0</ns0:v>
      </ns0:c>
      <ns0:c r="AD791" s="7">
        <ns0:f>IF(W791&gt;=0,A791,1001)</ns0:f>
        <ns0:v>787</ns0:v>
      </ns0:c>
      <ns0:c r="AE791" s="7">
        <ns0:f>IF(W791&lt;0,A791,0)</ns0:f>
        <ns0:v>0</ns0:v>
      </ns0:c>
      <ns0:c r="AF791" s="16">
        <ns0:f>IF(AND(OR('前提と出典'!$C$36+'前提と出典'!$C$38=0,U791&gt;=0),OR('前提と出典'!$C$37+'前提と出典'!$C$38=0,V791&gt;=0)),0,A791)</ns0:f>
        <ns0:v>0</ns0:v>
      </ns0:c>
      <ns0:c r="AG791" s="7">
        <ns0:f>IF(Z791&gt;=0,A791,1001)</ns0:f>
        <ns0:v>787</ns0:v>
      </ns0:c>
      <ns0:c r="AH791" s="4">
        <ns0:f>IF(Z791&lt;0,A791,0)</ns0:f>
        <ns0:v>0</ns0:v>
      </ns0:c>
      <ns0:c r="AI791" s="12">
        <ns0:f>IF(AND(OR('前提と出典'!$C$36+'前提と出典'!$C$38=0,X791&gt;=0),OR('前提と出典'!$C$37+'前提と出典'!$C$38=0,Y791&gt;=0)),0,A791)</ns0:f>
        <ns0:v>0</ns0:v>
      </ns0:c>
    </ns0:row>
    <ns0:row r="792" ht="24" customHeight="1">
      <ns0:c r="A792" s="4" t="n">
        <ns0:v>788</ns0:v>
      </ns0:c>
      <ns0:c r="B792" s="12">
        <ns0:f>A792*('前提と出典'!$C$36+'前提と出典'!$C$38)</ns0:f>
        <ns0:v>551.5999999999999</ns0:v>
      </ns0:c>
      <ns0:c r="C792" s="12">
        <ns0:f>A792*('前提と出典'!$C$37+'前提と出典'!$C$38)</ns0:f>
        <ns0:v>472.79999999999995</ns0:v>
      </ns0:c>
      <ns0:c r="D792" s="16">
        <ns0:f>A792*('前提と出典'!$C$36*'契約別単価'!C5+'前提と出典'!$C$37*'契約別単価'!C6+'前提と出典'!$C$38*'契約別単価'!C7)</ns0:f>
        <ns0:v>5670.078212290503</ns0:v>
      </ns0:c>
      <ns0:c r="E792" s="16">
        <ns0:f>A792*('前提と出典'!$C$36*'契約別単価'!E5+'前提と出典'!$C$37*'契約別単価'!E6+'前提と出典'!$C$38*'契約別単価'!E7)</ns0:f>
        <ns0:v>1524736.3895051044</ns0:v>
      </ns0:c>
      <ns0:c r="F792" s="16">
        <ns0:f>A792*('前提と出典'!$C$36*'契約別単価'!F5+'前提と出典'!$C$37*'契約別単価'!F6+'前提と出典'!$C$38*'契約別単価'!F7)</ns0:f>
        <ns0:v>598403.6380067563</ns0:v>
      </ns0:c>
      <ns0:c r="G792" s="16">
        <ns0:f>A792*('前提と出典'!$C$36*'契約別単価'!G5+'前提と出典'!$C$37*'契約別単価'!G6+'前提と出典'!$C$38*'契約別単価'!G7)</ns0:f>
        <ns0:v>1568516.2011173184</ns0:v>
      </ns0:c>
      <ns0:c r="H792" s="16">
        <ns0:f>A792*('前提と出典'!$C$36*'契約別単価'!H5+'前提と出典'!$C$37*'契約別単価'!H6+'前提と出典'!$C$38*'契約別単価'!H7)</ns0:f>
        <ns0:v>544353.7890570168</ns0:v>
      </ns0:c>
      <ns0:c r="I792" s="16">
        <ns0:f>A792*('前提と出典'!$C$36*'契約別単価'!I5+'前提と出典'!$C$37*'契約別単価'!I6+'前提と出典'!$C$38*'契約別単価'!I7)</ns0:f>
        <ns0:v>33250.0782122905</ns0:v>
      </ns0:c>
      <ns0:c r="J792" s="16">
        <ns0:f>A792*('前提と出典'!$C$36*'契約別単価'!J5+'前提と出典'!$C$37*'契約別単価'!J6+'前提と出典'!$C$38*'契約別単価'!J7)</ns0:f>
        <ns0:v>77452.16044371843</ns0:v>
      </ns0:c>
      <ns0:c r="K792" s="16">
        <ns0:f>A792*('前提と出典'!$C$36*'契約別単価'!K5+'前提と出典'!$C$37*'契約別単価'!K6+'前提と出典'!$C$38*'契約別単価'!K7)</ns0:f>
        <ns0:v>331987.1880819367</ns0:v>
      </ns0:c>
      <ns0:c r="L792" s="16">
        <ns0:f>A792*('前提と出典'!$C$36*'契約別単価'!L5+'前提と出典'!$C$37*'契約別単価'!L6+'前提と出典'!$C$38*'契約別単価'!L7)</ns0:f>
        <ns0:v>270305.12630190054</ns0:v>
      </ns0:c>
      <ns0:c r="M792" s="16">
        <ns0:f>IF(('前提と出典'!$C$36+'前提と出典'!$C$38)=0,0,IF(B792&lt;=10,'前提と出典'!B73+'前提と出典'!C73,IF(B792&lt;=100,'前提と出典'!B74+'前提と出典'!C74,IF(B792&lt;=500,'前提と出典'!B75+'前提と出典'!C75,'前提と出典'!B76+'前提と出典'!C76))))</ns0:f>
        <ns0:v>80000</ns0:v>
      </ns0:c>
      <ns0:c r="N792" s="16">
        <ns0:f>IF(('前提と出典'!$C$37+'前提と出典'!$C$38)=0,0,IF(C792&lt;=10,'前提と出典'!D73+'前提と出典'!E73,IF(C792&lt;=100,'前提と出典'!D74+'前提と出典'!E74,IF(C792&lt;=500,'前提と出典'!D75+'前提と出典'!E75,'前提と出典'!D76+'前提と出典'!E76))))</ns0:f>
        <ns0:v>56510.9346263078</ns0:v>
      </ns0:c>
      <ns0:c r="O792" s="16">
        <ns0:f>IF('前提と出典'!$C$36+'前提と出典'!$C$38=0,0,'前提と出典'!$B$4*IF('前提と出典'!$B$20=0,MAX('前提と出典'!$B$6,D792*'前提と出典'!$B$5),'前提と出典'!$B$6+D792*'前提と出典'!$B$5))</ns0:f>
        <ns0:v>782470.7932960894</ns0:v>
      </ns0:c>
      <ns0:c r="P792" s="16">
        <ns0:f>(E792+G792)*(1-'前提と出典'!$B$7)-I792-K792-M792-O792</ns0:f>
        <ns0:v>1754187.4377696994</ns0:v>
      </ns0:c>
      <ns0:c r="Q792" s="16">
        <ns0:f>(F792+H792)*(1-'前提と出典'!$B$7)-J792-L792-N792</ns0:f>
        <ns0:v>697349.9383175506</ns0:v>
      </ns0:c>
      <ns0:c r="R792" s="16">
        <ns0:f>P792-E792*'前提と出典'!$E$4</ns0:f>
        <ns0:v>1296766.5209181681</ns0:v>
      </ns0:c>
      <ns0:c r="S792" s="16">
        <ns0:f>Q792-F792*'前提と出典'!$E$4</ns0:f>
        <ns0:v>517828.84691552375</ns0:v>
      </ns0:c>
      <ns0:c r="T792" s="7">
        <ns0:f>R792+S792</ns0:f>
        <ns0:v>1814595.3678336919</ns0:v>
      </ns0:c>
      <ns0:c r="U792" s="16">
        <ns0:f>P792-E792*'前提と出典'!$E$5</ns0:f>
        <ns0:v>1144292.8819676575</ns0:v>
      </ns0:c>
      <ns0:c r="V792" s="16">
        <ns0:f>Q792-F792*'前提と出典'!$E$5</ns0:f>
        <ns0:v>457988.483114848</ns0:v>
      </ns0:c>
      <ns0:c r="W792" s="7">
        <ns0:f>U792+V792</ns0:f>
        <ns0:v>1602281.3650825054</ns0:v>
      </ns0:c>
      <ns0:c r="X792" s="16">
        <ns0:f>P792-E792*'前提と出典'!$E$6</ns0:f>
        <ns0:v>991819.2430171471</ns0:v>
      </ns0:c>
      <ns0:c r="Y792" s="16">
        <ns0:f>Q792-F792*'前提と出典'!$E$6</ns0:f>
        <ns0:v>398148.11931417236</ns0:v>
      </ns0:c>
      <ns0:c r="Z792" s="7">
        <ns0:f>X792+Y792</ns0:f>
        <ns0:v>1389967.3623313194</ns0:v>
      </ns0:c>
      <ns0:c r="AA792" s="7">
        <ns0:f>IF(T792&gt;=0,A792,1001)</ns0:f>
        <ns0:v>788</ns0:v>
      </ns0:c>
      <ns0:c r="AB792" s="7">
        <ns0:f>IF(T792&lt;0,A792,0)</ns0:f>
        <ns0:v>0</ns0:v>
      </ns0:c>
      <ns0:c r="AC792" s="16">
        <ns0:f>IF(AND(OR('前提と出典'!$C$36+'前提と出典'!$C$38=0,R792&gt;=0),OR('前提と出典'!$C$37+'前提と出典'!$C$38=0,S792&gt;=0)),0,A792)</ns0:f>
        <ns0:v>0</ns0:v>
      </ns0:c>
      <ns0:c r="AD792" s="7">
        <ns0:f>IF(W792&gt;=0,A792,1001)</ns0:f>
        <ns0:v>788</ns0:v>
      </ns0:c>
      <ns0:c r="AE792" s="7">
        <ns0:f>IF(W792&lt;0,A792,0)</ns0:f>
        <ns0:v>0</ns0:v>
      </ns0:c>
      <ns0:c r="AF792" s="16">
        <ns0:f>IF(AND(OR('前提と出典'!$C$36+'前提と出典'!$C$38=0,U792&gt;=0),OR('前提と出典'!$C$37+'前提と出典'!$C$38=0,V792&gt;=0)),0,A792)</ns0:f>
        <ns0:v>0</ns0:v>
      </ns0:c>
      <ns0:c r="AG792" s="7">
        <ns0:f>IF(Z792&gt;=0,A792,1001)</ns0:f>
        <ns0:v>788</ns0:v>
      </ns0:c>
      <ns0:c r="AH792" s="4">
        <ns0:f>IF(Z792&lt;0,A792,0)</ns0:f>
        <ns0:v>0</ns0:v>
      </ns0:c>
      <ns0:c r="AI792" s="12">
        <ns0:f>IF(AND(OR('前提と出典'!$C$36+'前提と出典'!$C$38=0,X792&gt;=0),OR('前提と出典'!$C$37+'前提と出典'!$C$38=0,Y792&gt;=0)),0,A792)</ns0:f>
        <ns0:v>0</ns0:v>
      </ns0:c>
    </ns0:row>
    <ns0:row r="793" ht="24" customHeight="1">
      <ns0:c r="A793" s="4" t="n">
        <ns0:v>789</ns0:v>
      </ns0:c>
      <ns0:c r="B793" s="12">
        <ns0:f>A793*('前提と出典'!$C$36+'前提と出典'!$C$38)</ns0:f>
        <ns0:v>552.3</ns0:v>
      </ns0:c>
      <ns0:c r="C793" s="12">
        <ns0:f>A793*('前提と出典'!$C$37+'前提と出典'!$C$38)</ns0:f>
        <ns0:v>473.4</ns0:v>
      </ns0:c>
      <ns0:c r="D793" s="16">
        <ns0:f>A793*('前提と出典'!$C$36*'契約別単価'!C5+'前提と出典'!$C$37*'契約別単価'!C6+'前提と出典'!$C$38*'契約別単価'!C7)</ns0:f>
        <ns0:v>5677.27374301676</ns0:v>
      </ns0:c>
      <ns0:c r="E793" s="16">
        <ns0:f>A793*('前提と出典'!$C$36*'契約別単価'!E5+'前提と出典'!$C$37*'契約別単価'!E6+'前提と出典'!$C$38*'契約別単価'!E7)</ns0:f>
        <ns0:v>1526671.3341618367</ns0:v>
      </ns0:c>
      <ns0:c r="F793" s="16">
        <ns0:f>A793*('前提と出典'!$C$36*'契約別単価'!F5+'前提と出典'!$C$37*'契約別単価'!F6+'前提と出典'!$C$38*'契約別単価'!F7)</ns0:f>
        <ns0:v>599163.0334864603</ns0:v>
      </ns0:c>
      <ns0:c r="G793" s="16">
        <ns0:f>A793*('前提と出典'!$C$36*'契約別単価'!G5+'前提と出典'!$C$37*'契約別単価'!G6+'前提と出典'!$C$38*'契約別単価'!G7)</ns0:f>
        <ns0:v>1570506.7039106144</ns0:v>
      </ns0:c>
      <ns0:c r="H793" s="16">
        <ns0:f>A793*('前提と出典'!$C$36*'契約別単価'!H5+'前提と出典'!$C$37*'契約別単価'!H6+'前提と出典'!$C$38*'契約別単価'!H7)</ns0:f>
        <ns0:v>545044.5933578506</ns0:v>
      </ns0:c>
      <ns0:c r="I793" s="16">
        <ns0:f>A793*('前提と出典'!$C$36*'契約別単価'!I5+'前提と出典'!$C$37*'契約別単価'!I6+'前提と出典'!$C$38*'契約別単価'!I7)</ns0:f>
        <ns0:v>33292.273743016754</ns0:v>
      </ns0:c>
      <ns0:c r="J793" s="16">
        <ns0:f>A793*('前提と出典'!$C$36*'契約別単価'!J5+'前提と出典'!$C$37*'契約別単価'!J6+'前提と出典'!$C$38*'契約別単価'!J7)</ns0:f>
        <ns0:v>77550.44998742873</ns0:v>
      </ns0:c>
      <ns0:c r="K793" s="16">
        <ns0:f>A793*('前提と出典'!$C$36*'契約別単価'!K5+'前提と出典'!$C$37*'契約別単価'!K6+'前提と出典'!$C$38*'契約別単価'!K7)</ns0:f>
        <ns0:v>332408.4916201117</ns0:v>
      </ns0:c>
      <ns0:c r="L793" s="16">
        <ns0:f>A793*('前提と出典'!$C$36*'契約別単価'!L5+'前提と出典'!$C$37*'契約別単価'!L6+'前提と出典'!$C$38*'契約別単価'!L7)</ns0:f>
        <ns0:v>270648.1531119283</ns0:v>
      </ns0:c>
      <ns0:c r="M793" s="16">
        <ns0:f>IF(('前提と出典'!$C$36+'前提と出典'!$C$38)=0,0,IF(B793&lt;=10,'前提と出典'!B73+'前提と出典'!C73,IF(B793&lt;=100,'前提と出典'!B74+'前提と出典'!C74,IF(B793&lt;=500,'前提と出典'!B75+'前提と出典'!C75,'前提と出典'!B76+'前提と出典'!C76))))</ns0:f>
        <ns0:v>80000</ns0:v>
      </ns0:c>
      <ns0:c r="N793" s="16">
        <ns0:f>IF(('前提と出典'!$C$37+'前提と出典'!$C$38)=0,0,IF(C793&lt;=10,'前提と出典'!D73+'前提と出典'!E73,IF(C793&lt;=100,'前提と出典'!D74+'前提と出典'!E74,IF(C793&lt;=500,'前提と出典'!D75+'前提と出典'!E75,'前提と出典'!D76+'前提と出典'!E76))))</ns0:f>
        <ns0:v>56510.9346263078</ns0:v>
      </ns0:c>
      <ns0:c r="O793" s="16">
        <ns0:f>IF('前提と出典'!$C$36+'前提と出典'!$C$38=0,0,'前提と出典'!$B$4*IF('前提と出典'!$B$20=0,MAX('前提と出典'!$B$6,D793*'前提と出典'!$B$5),'前提と出典'!$B$6+D793*'前提と出典'!$B$5))</ns0:f>
        <ns0:v>783463.7765363129</ns0:v>
      </ns0:c>
      <ns0:c r="P793" s="16">
        <ns0:f>(E793+G793)*(1-'前提と出典'!$B$7)-I793-K793-M793-O793</ns0:f>
        <ns0:v>1756515.0868024016</ns0:v>
      </ns0:c>
      <ns0:c r="Q793" s="16">
        <ns0:f>(F793+H793)*(1-'前提と出典'!$B$7)-J793-L793-N793</ns0:f>
        <ns0:v>698306.6145522508</ns0:v>
      </ns0:c>
      <ns0:c r="R793" s="16">
        <ns0:f>P793-E793*'前提と出典'!$E$4</ns0:f>
        <ns0:v>1298513.6865538508</ns0:v>
      </ns0:c>
      <ns0:c r="S793" s="16">
        <ns0:f>Q793-F793*'前提と出典'!$E$4</ns0:f>
        <ns0:v>518557.70450631273</ns0:v>
      </ns0:c>
      <ns0:c r="T793" s="7">
        <ns0:f>R793+S793</ns0:f>
        <ns0:v>1817071.3910601635</ns0:v>
      </ns0:c>
      <ns0:c r="U793" s="16">
        <ns0:f>P793-E793*'前提と出典'!$E$5</ns0:f>
        <ns0:v>1145846.553137667</ns0:v>
      </ns0:c>
      <ns0:c r="V793" s="16">
        <ns0:f>Q793-F793*'前提と出典'!$E$5</ns0:f>
        <ns0:v>458641.40115766675</ns0:v>
      </ns0:c>
      <ns0:c r="W793" s="7">
        <ns0:f>U793+V793</ns0:f>
        <ns0:v>1604487.9542953337</ns0:v>
      </ns0:c>
      <ns0:c r="X793" s="16">
        <ns0:f>P793-E793*'前提と出典'!$E$6</ns0:f>
        <ns0:v>993179.4197214833</ns0:v>
      </ns0:c>
      <ns0:c r="Y793" s="16">
        <ns0:f>Q793-F793*'前提と出典'!$E$6</ns0:f>
        <ns0:v>398725.0978090207</ns0:v>
      </ns0:c>
      <ns0:c r="Z793" s="7">
        <ns0:f>X793+Y793</ns0:f>
        <ns0:v>1391904.517530504</ns0:v>
      </ns0:c>
      <ns0:c r="AA793" s="7">
        <ns0:f>IF(T793&gt;=0,A793,1001)</ns0:f>
        <ns0:v>789</ns0:v>
      </ns0:c>
      <ns0:c r="AB793" s="7">
        <ns0:f>IF(T793&lt;0,A793,0)</ns0:f>
        <ns0:v>0</ns0:v>
      </ns0:c>
      <ns0:c r="AC793" s="16">
        <ns0:f>IF(AND(OR('前提と出典'!$C$36+'前提と出典'!$C$38=0,R793&gt;=0),OR('前提と出典'!$C$37+'前提と出典'!$C$38=0,S793&gt;=0)),0,A793)</ns0:f>
        <ns0:v>0</ns0:v>
      </ns0:c>
      <ns0:c r="AD793" s="7">
        <ns0:f>IF(W793&gt;=0,A793,1001)</ns0:f>
        <ns0:v>789</ns0:v>
      </ns0:c>
      <ns0:c r="AE793" s="7">
        <ns0:f>IF(W793&lt;0,A793,0)</ns0:f>
        <ns0:v>0</ns0:v>
      </ns0:c>
      <ns0:c r="AF793" s="16">
        <ns0:f>IF(AND(OR('前提と出典'!$C$36+'前提と出典'!$C$38=0,U793&gt;=0),OR('前提と出典'!$C$37+'前提と出典'!$C$38=0,V793&gt;=0)),0,A793)</ns0:f>
        <ns0:v>0</ns0:v>
      </ns0:c>
      <ns0:c r="AG793" s="7">
        <ns0:f>IF(Z793&gt;=0,A793,1001)</ns0:f>
        <ns0:v>789</ns0:v>
      </ns0:c>
      <ns0:c r="AH793" s="4">
        <ns0:f>IF(Z793&lt;0,A793,0)</ns0:f>
        <ns0:v>0</ns0:v>
      </ns0:c>
      <ns0:c r="AI793" s="12">
        <ns0:f>IF(AND(OR('前提と出典'!$C$36+'前提と出典'!$C$38=0,X793&gt;=0),OR('前提と出典'!$C$37+'前提と出典'!$C$38=0,Y793&gt;=0)),0,A793)</ns0:f>
        <ns0:v>0</ns0:v>
      </ns0:c>
    </ns0:row>
    <ns0:row r="794" ht="24" customHeight="1">
      <ns0:c r="A794" s="4" t="n">
        <ns0:v>790</ns0:v>
      </ns0:c>
      <ns0:c r="B794" s="12">
        <ns0:f>A794*('前提と出典'!$C$36+'前提と出典'!$C$38)</ns0:f>
        <ns0:v>553</ns0:v>
      </ns0:c>
      <ns0:c r="C794" s="12">
        <ns0:f>A794*('前提と出典'!$C$37+'前提と出典'!$C$38)</ns0:f>
        <ns0:v>474</ns0:v>
      </ns0:c>
      <ns0:c r="D794" s="16">
        <ns0:f>A794*('前提と出典'!$C$36*'契約別単価'!C5+'前提と出典'!$C$37*'契約別単価'!C6+'前提と出典'!$C$38*'契約別単価'!C7)</ns0:f>
        <ns0:v>5684.469273743017</ns0:v>
      </ns0:c>
      <ns0:c r="E794" s="16">
        <ns0:f>A794*('前提と出典'!$C$36*'契約別単価'!E5+'前提と出典'!$C$37*'契約別単価'!E6+'前提と出典'!$C$38*'契約別単価'!E7)</ns0:f>
        <ns0:v>1528606.2788185691</ns0:v>
      </ns0:c>
      <ns0:c r="F794" s="16">
        <ns0:f>A794*('前提と出典'!$C$36*'契約別単価'!F5+'前提と出典'!$C$37*'契約別単価'!F6+'前提と出典'!$C$38*'契約別単価'!F7)</ns0:f>
        <ns0:v>599922.4289661644</ns0:v>
      </ns0:c>
      <ns0:c r="G794" s="16">
        <ns0:f>A794*('前提と出典'!$C$36*'契約別単価'!G5+'前提と出典'!$C$37*'契約別単価'!G6+'前提と出典'!$C$38*'契約別単価'!G7)</ns0:f>
        <ns0:v>1572497.2067039106</ns0:v>
      </ns0:c>
      <ns0:c r="H794" s="16">
        <ns0:f>A794*('前提と出典'!$C$36*'契約別単価'!H5+'前提と出典'!$C$37*'契約別単価'!H6+'前提と出典'!$C$38*'契約別単価'!H7)</ns0:f>
        <ns0:v>545735.3976586844</ns0:v>
      </ns0:c>
      <ns0:c r="I794" s="16">
        <ns0:f>A794*('前提と出典'!$C$36*'契約別単価'!I5+'前提と出典'!$C$37*'契約別単価'!I6+'前提と出典'!$C$38*'契約別単価'!I7)</ns0:f>
        <ns0:v>33334.46927374301</ns0:v>
      </ns0:c>
      <ns0:c r="J794" s="16">
        <ns0:f>A794*('前提と出典'!$C$36*'契約別単価'!J5+'前提と出典'!$C$37*'契約別単価'!J6+'前提と出典'!$C$38*'契約別単価'!J7)</ns0:f>
        <ns0:v>77648.73953113903</ns0:v>
      </ns0:c>
      <ns0:c r="K794" s="16">
        <ns0:f>A794*('前提と出典'!$C$36*'契約別単価'!K5+'前提と出典'!$C$37*'契約別単価'!K6+'前提と出典'!$C$38*'契約別単価'!K7)</ns0:f>
        <ns0:v>332829.79515828675</ns0:v>
      </ns0:c>
      <ns0:c r="L794" s="16">
        <ns0:f>A794*('前提と出典'!$C$36*'契約別単価'!L5+'前提と出典'!$C$37*'契約別単価'!L6+'前提と出典'!$C$38*'契約別単価'!L7)</ns0:f>
        <ns0:v>270991.17992195615</ns0:v>
      </ns0:c>
      <ns0:c r="M794" s="16">
        <ns0:f>IF(('前提と出典'!$C$36+'前提と出典'!$C$38)=0,0,IF(B794&lt;=10,'前提と出典'!B73+'前提と出典'!C73,IF(B794&lt;=100,'前提と出典'!B74+'前提と出典'!C74,IF(B794&lt;=500,'前提と出典'!B75+'前提と出典'!C75,'前提と出典'!B76+'前提と出典'!C76))))</ns0:f>
        <ns0:v>80000</ns0:v>
      </ns0:c>
      <ns0:c r="N794" s="16">
        <ns0:f>IF(('前提と出典'!$C$37+'前提と出典'!$C$38)=0,0,IF(C794&lt;=10,'前提と出典'!D73+'前提と出典'!E73,IF(C794&lt;=100,'前提と出典'!D74+'前提と出典'!E74,IF(C794&lt;=500,'前提と出典'!D75+'前提と出典'!E75,'前提と出典'!D76+'前提と出典'!E76))))</ns0:f>
        <ns0:v>56510.9346263078</ns0:v>
      </ns0:c>
      <ns0:c r="O794" s="16">
        <ns0:f>IF('前提と出典'!$C$36+'前提と出典'!$C$38=0,0,'前提と出典'!$B$4*IF('前提と出典'!$B$20=0,MAX('前提と出典'!$B$6,D794*'前提と出典'!$B$5),'前提と出典'!$B$6+D794*'前提と出典'!$B$5))</ns0:f>
        <ns0:v>784456.7597765364</ns0:v>
      </ns0:c>
      <ns0:c r="P794" s="16">
        <ns0:f>(E794+G794)*(1-'前提と出典'!$B$7)-I794-K794-M794-O794</ns0:f>
        <ns0:v>1758842.7358351042</ns0:v>
      </ns0:c>
      <ns0:c r="Q794" s="16">
        <ns0:f>(F794+H794)*(1-'前提と出典'!$B$7)-J794-L794-N794</ns0:f>
        <ns0:v>699263.2907869513</ns0:v>
      </ns0:c>
      <ns0:c r="R794" s="16">
        <ns0:f>P794-E794*'前提と出典'!$E$4</ns0:f>
        <ns0:v>1300260.8521895334</ns0:v>
      </ns0:c>
      <ns0:c r="S794" s="16">
        <ns0:f>Q794-F794*'前提と出典'!$E$4</ns0:f>
        <ns0:v>519286.56209710205</ns0:v>
      </ns0:c>
      <ns0:c r="T794" s="7">
        <ns0:f>R794+S794</ns0:f>
        <ns0:v>1819547.4142866354</ns0:v>
      </ns0:c>
      <ns0:c r="U794" s="16">
        <ns0:f>P794-E794*'前提と出典'!$E$5</ns0:f>
        <ns0:v>1147400.2243076765</ns0:v>
      </ns0:c>
      <ns0:c r="V794" s="16">
        <ns0:f>Q794-F794*'前提と出典'!$E$5</ns0:f>
        <ns0:v>459294.3192004856</ns0:v>
      </ns0:c>
      <ns0:c r="W794" s="7">
        <ns0:f>U794+V794</ns0:f>
        <ns0:v>1606694.5435081623</ns0:v>
      </ns0:c>
      <ns0:c r="X794" s="16">
        <ns0:f>P794-E794*'前提と出典'!$E$6</ns0:f>
        <ns0:v>994539.5964258194</ns0:v>
      </ns0:c>
      <ns0:c r="Y794" s="16">
        <ns0:f>Q794-F794*'前提と出典'!$E$6</ns0:f>
        <ns0:v>399302.07630386914</ns0:v>
      </ns0:c>
      <ns0:c r="Z794" s="7">
        <ns0:f>X794+Y794</ns0:f>
        <ns0:v>1393841.6727296887</ns0:v>
      </ns0:c>
      <ns0:c r="AA794" s="7">
        <ns0:f>IF(T794&gt;=0,A794,1001)</ns0:f>
        <ns0:v>790</ns0:v>
      </ns0:c>
      <ns0:c r="AB794" s="7">
        <ns0:f>IF(T794&lt;0,A794,0)</ns0:f>
        <ns0:v>0</ns0:v>
      </ns0:c>
      <ns0:c r="AC794" s="16">
        <ns0:f>IF(AND(OR('前提と出典'!$C$36+'前提と出典'!$C$38=0,R794&gt;=0),OR('前提と出典'!$C$37+'前提と出典'!$C$38=0,S794&gt;=0)),0,A794)</ns0:f>
        <ns0:v>0</ns0:v>
      </ns0:c>
      <ns0:c r="AD794" s="7">
        <ns0:f>IF(W794&gt;=0,A794,1001)</ns0:f>
        <ns0:v>790</ns0:v>
      </ns0:c>
      <ns0:c r="AE794" s="7">
        <ns0:f>IF(W794&lt;0,A794,0)</ns0:f>
        <ns0:v>0</ns0:v>
      </ns0:c>
      <ns0:c r="AF794" s="16">
        <ns0:f>IF(AND(OR('前提と出典'!$C$36+'前提と出典'!$C$38=0,U794&gt;=0),OR('前提と出典'!$C$37+'前提と出典'!$C$38=0,V794&gt;=0)),0,A794)</ns0:f>
        <ns0:v>0</ns0:v>
      </ns0:c>
      <ns0:c r="AG794" s="7">
        <ns0:f>IF(Z794&gt;=0,A794,1001)</ns0:f>
        <ns0:v>790</ns0:v>
      </ns0:c>
      <ns0:c r="AH794" s="4">
        <ns0:f>IF(Z794&lt;0,A794,0)</ns0:f>
        <ns0:v>0</ns0:v>
      </ns0:c>
      <ns0:c r="AI794" s="12">
        <ns0:f>IF(AND(OR('前提と出典'!$C$36+'前提と出典'!$C$38=0,X794&gt;=0),OR('前提と出典'!$C$37+'前提と出典'!$C$38=0,Y794&gt;=0)),0,A794)</ns0:f>
        <ns0:v>0</ns0:v>
      </ns0:c>
    </ns0:row>
    <ns0:row r="795" ht="24" customHeight="1">
      <ns0:c r="A795" s="4" t="n">
        <ns0:v>791</ns0:v>
      </ns0:c>
      <ns0:c r="B795" s="12">
        <ns0:f>A795*('前提と出典'!$C$36+'前提と出典'!$C$38)</ns0:f>
        <ns0:v>553.6999999999999</ns0:v>
      </ns0:c>
      <ns0:c r="C795" s="12">
        <ns0:f>A795*('前提と出典'!$C$37+'前提と出典'!$C$38)</ns0:f>
        <ns0:v>474.59999999999997</ns0:v>
      </ns0:c>
      <ns0:c r="D795" s="16">
        <ns0:f>A795*('前提と出典'!$C$36*'契約別単価'!C5+'前提と出典'!$C$37*'契約別単価'!C6+'前提と出典'!$C$38*'契約別単価'!C7)</ns0:f>
        <ns0:v>5691.664804469274</ns0:v>
      </ns0:c>
      <ns0:c r="E795" s="16">
        <ns0:f>A795*('前提と出典'!$C$36*'契約別単価'!E5+'前提と出典'!$C$37*'契約別単価'!E6+'前提と出典'!$C$38*'契約別単価'!E7)</ns0:f>
        <ns0:v>1530541.2234753014</ns0:v>
      </ns0:c>
      <ns0:c r="F795" s="16">
        <ns0:f>A795*('前提と出典'!$C$36*'契約別単価'!F5+'前提と出典'!$C$37*'契約別単価'!F6+'前提と出典'!$C$38*'契約別単価'!F7)</ns0:f>
        <ns0:v>600681.8244458684</ns0:v>
      </ns0:c>
      <ns0:c r="G795" s="16">
        <ns0:f>A795*('前提と出典'!$C$36*'契約別単価'!G5+'前提と出典'!$C$37*'契約別単価'!G6+'前提と出典'!$C$38*'契約別単価'!G7)</ns0:f>
        <ns0:v>1574487.7094972066</ns0:v>
      </ns0:c>
      <ns0:c r="H795" s="16">
        <ns0:f>A795*('前提と出典'!$C$36*'契約別単価'!H5+'前提と出典'!$C$37*'契約別単価'!H6+'前提と出典'!$C$38*'契約別単価'!H7)</ns0:f>
        <ns0:v>546426.2019595181</ns0:v>
      </ns0:c>
      <ns0:c r="I795" s="16">
        <ns0:f>A795*('前提と出典'!$C$36*'契約別単価'!I5+'前提と出典'!$C$37*'契約別単価'!I6+'前提と出典'!$C$38*'契約別単価'!I7)</ns0:f>
        <ns0:v>33376.66480446927</ns0:v>
      </ns0:c>
      <ns0:c r="J795" s="16">
        <ns0:f>A795*('前提と出典'!$C$36*'契約別単価'!J5+'前提と出典'!$C$37*'契約別単価'!J6+'前提と出典'!$C$38*'契約別単価'!J7)</ns0:f>
        <ns0:v>77747.02907484933</ns0:v>
      </ns0:c>
      <ns0:c r="K795" s="16">
        <ns0:f>A795*('前提と出典'!$C$36*'契約別単価'!K5+'前提と出典'!$C$37*'契約別単価'!K6+'前提と出典'!$C$38*'契約別単価'!K7)</ns0:f>
        <ns0:v>333251.0986964618</ns0:v>
      </ns0:c>
      <ns0:c r="L795" s="16">
        <ns0:f>A795*('前提と出典'!$C$36*'契約別単価'!L5+'前提と出典'!$C$37*'契約別単価'!L6+'前提と出典'!$C$38*'契約別単価'!L7)</ns0:f>
        <ns0:v>271334.2067319839</ns0:v>
      </ns0:c>
      <ns0:c r="M795" s="16">
        <ns0:f>IF(('前提と出典'!$C$36+'前提と出典'!$C$38)=0,0,IF(B795&lt;=10,'前提と出典'!B73+'前提と出典'!C73,IF(B795&lt;=100,'前提と出典'!B74+'前提と出典'!C74,IF(B795&lt;=500,'前提と出典'!B75+'前提と出典'!C75,'前提と出典'!B76+'前提と出典'!C76))))</ns0:f>
        <ns0:v>80000</ns0:v>
      </ns0:c>
      <ns0:c r="N795" s="16">
        <ns0:f>IF(('前提と出典'!$C$37+'前提と出典'!$C$38)=0,0,IF(C795&lt;=10,'前提と出典'!D73+'前提と出典'!E73,IF(C795&lt;=100,'前提と出典'!D74+'前提と出典'!E74,IF(C795&lt;=500,'前提と出典'!D75+'前提と出典'!E75,'前提と出典'!D76+'前提と出典'!E76))))</ns0:f>
        <ns0:v>56510.9346263078</ns0:v>
      </ns0:c>
      <ns0:c r="O795" s="16">
        <ns0:f>IF('前提と出典'!$C$36+'前提と出典'!$C$38=0,0,'前提と出典'!$B$4*IF('前提と出典'!$B$20=0,MAX('前提と出典'!$B$6,D795*'前提と出典'!$B$5),'前提と出典'!$B$6+D795*'前提と出典'!$B$5))</ns0:f>
        <ns0:v>785449.7430167599</ns0:v>
      </ns0:c>
      <ns0:c r="P795" s="16">
        <ns0:f>(E795+G795)*(1-'前提と出典'!$B$7)-I795-K795-M795-O795</ns0:f>
        <ns0:v>1761170.3848678067</ns0:v>
      </ns0:c>
      <ns0:c r="Q795" s="16">
        <ns0:f>(F795+H795)*(1-'前提と出典'!$B$7)-J795-L795-N795</ns0:f>
        <ns0:v>700219.9670216518</ns0:v>
      </ns0:c>
      <ns0:c r="R795" s="16">
        <ns0:f>P795-E795*'前提と出典'!$E$4</ns0:f>
        <ns0:v>1302008.017825216</ns0:v>
      </ns0:c>
      <ns0:c r="S795" s="16">
        <ns0:f>Q795-F795*'前提と出典'!$E$4</ns0:f>
        <ns0:v>520015.41968789115</ns0:v>
      </ns0:c>
      <ns0:c r="T795" s="7">
        <ns0:f>R795+S795</ns0:f>
        <ns0:v>1822023.4375131072</ns0:v>
      </ns0:c>
      <ns0:c r="U795" s="16">
        <ns0:f>P795-E795*'前提と出典'!$E$5</ns0:f>
        <ns0:v>1148953.895477686</ns0:v>
      </ns0:c>
      <ns0:c r="V795" s="16">
        <ns0:f>Q795-F795*'前提と出典'!$E$5</ns0:f>
        <ns0:v>459947.2372433044</ns0:v>
      </ns0:c>
      <ns0:c r="W795" s="7">
        <ns0:f>U795+V795</ns0:f>
        <ns0:v>1608901.1327209906</ns0:v>
      </ns0:c>
      <ns0:c r="X795" s="16">
        <ns0:f>P795-E795*'前提と出典'!$E$6</ns0:f>
        <ns0:v>995899.7731301556</ns0:v>
      </ns0:c>
      <ns0:c r="Y795" s="16">
        <ns0:f>Q795-F795*'前提と出典'!$E$6</ns0:f>
        <ns0:v>399879.0547987175</ns0:v>
      </ns0:c>
      <ns0:c r="Z795" s="7">
        <ns0:f>X795+Y795</ns0:f>
        <ns0:v>1395778.8279288732</ns0:v>
      </ns0:c>
      <ns0:c r="AA795" s="7">
        <ns0:f>IF(T795&gt;=0,A795,1001)</ns0:f>
        <ns0:v>791</ns0:v>
      </ns0:c>
      <ns0:c r="AB795" s="7">
        <ns0:f>IF(T795&lt;0,A795,0)</ns0:f>
        <ns0:v>0</ns0:v>
      </ns0:c>
      <ns0:c r="AC795" s="16">
        <ns0:f>IF(AND(OR('前提と出典'!$C$36+'前提と出典'!$C$38=0,R795&gt;=0),OR('前提と出典'!$C$37+'前提と出典'!$C$38=0,S795&gt;=0)),0,A795)</ns0:f>
        <ns0:v>0</ns0:v>
      </ns0:c>
      <ns0:c r="AD795" s="7">
        <ns0:f>IF(W795&gt;=0,A795,1001)</ns0:f>
        <ns0:v>791</ns0:v>
      </ns0:c>
      <ns0:c r="AE795" s="7">
        <ns0:f>IF(W795&lt;0,A795,0)</ns0:f>
        <ns0:v>0</ns0:v>
      </ns0:c>
      <ns0:c r="AF795" s="16">
        <ns0:f>IF(AND(OR('前提と出典'!$C$36+'前提と出典'!$C$38=0,U795&gt;=0),OR('前提と出典'!$C$37+'前提と出典'!$C$38=0,V795&gt;=0)),0,A795)</ns0:f>
        <ns0:v>0</ns0:v>
      </ns0:c>
      <ns0:c r="AG795" s="7">
        <ns0:f>IF(Z795&gt;=0,A795,1001)</ns0:f>
        <ns0:v>791</ns0:v>
      </ns0:c>
      <ns0:c r="AH795" s="4">
        <ns0:f>IF(Z795&lt;0,A795,0)</ns0:f>
        <ns0:v>0</ns0:v>
      </ns0:c>
      <ns0:c r="AI795" s="12">
        <ns0:f>IF(AND(OR('前提と出典'!$C$36+'前提と出典'!$C$38=0,X795&gt;=0),OR('前提と出典'!$C$37+'前提と出典'!$C$38=0,Y795&gt;=0)),0,A795)</ns0:f>
        <ns0:v>0</ns0:v>
      </ns0:c>
    </ns0:row>
    <ns0:row r="796" ht="24" customHeight="1">
      <ns0:c r="A796" s="4" t="n">
        <ns0:v>792</ns0:v>
      </ns0:c>
      <ns0:c r="B796" s="12">
        <ns0:f>A796*('前提と出典'!$C$36+'前提と出典'!$C$38)</ns0:f>
        <ns0:v>554.4</ns0:v>
      </ns0:c>
      <ns0:c r="C796" s="12">
        <ns0:f>A796*('前提と出典'!$C$37+'前提と出典'!$C$38)</ns0:f>
        <ns0:v>475.2</ns0:v>
      </ns0:c>
      <ns0:c r="D796" s="16">
        <ns0:f>A796*('前提と出典'!$C$36*'契約別単価'!C5+'前提と出典'!$C$37*'契約別単価'!C6+'前提と出典'!$C$38*'契約別単価'!C7)</ns0:f>
        <ns0:v>5698.860335195531</ns0:v>
      </ns0:c>
      <ns0:c r="E796" s="16">
        <ns0:f>A796*('前提と出典'!$C$36*'契約別単価'!E5+'前提と出典'!$C$37*'契約別単価'!E6+'前提と出典'!$C$38*'契約別単価'!E7)</ns0:f>
        <ns0:v>1532476.168132034</ns0:v>
      </ns0:c>
      <ns0:c r="F796" s="16">
        <ns0:f>A796*('前提と出典'!$C$36*'契約別単価'!F5+'前提と出典'!$C$37*'契約別単価'!F6+'前提と出典'!$C$38*'契約別単価'!F7)</ns0:f>
        <ns0:v>601441.2199255724</ns0:v>
      </ns0:c>
      <ns0:c r="G796" s="16">
        <ns0:f>A796*('前提と出典'!$C$36*'契約別単価'!G5+'前提と出典'!$C$37*'契約別単価'!G6+'前提と出典'!$C$38*'契約別単価'!G7)</ns0:f>
        <ns0:v>1576478.2122905026</ns0:v>
      </ns0:c>
      <ns0:c r="H796" s="16">
        <ns0:f>A796*('前提と出典'!$C$36*'契約別単価'!H5+'前提と出典'!$C$37*'契約別単価'!H6+'前提と出典'!$C$38*'契約別単価'!H7)</ns0:f>
        <ns0:v>547117.006260352</ns0:v>
      </ns0:c>
      <ns0:c r="I796" s="16">
        <ns0:f>A796*('前提と出典'!$C$36*'契約別単価'!I5+'前提と出典'!$C$37*'契約別単価'!I6+'前提と出典'!$C$38*'契約別単価'!I7)</ns0:f>
        <ns0:v>33418.860335195524</ns0:v>
      </ns0:c>
      <ns0:c r="J796" s="16">
        <ns0:f>A796*('前提と出典'!$C$36*'契約別単価'!J5+'前提と出典'!$C$37*'契約別単価'!J6+'前提と出典'!$C$38*'契約別単価'!J7)</ns0:f>
        <ns0:v>77845.31861855963</ns0:v>
      </ns0:c>
      <ns0:c r="K796" s="16">
        <ns0:f>A796*('前提と出典'!$C$36*'契約別単価'!K5+'前提と出典'!$C$37*'契約別単価'!K6+'前提と出典'!$C$38*'契約別単価'!K7)</ns0:f>
        <ns0:v>333672.40223463683</ns0:v>
      </ns0:c>
      <ns0:c r="L796" s="16">
        <ns0:f>A796*('前提と出典'!$C$36*'契約別単価'!L5+'前提と出典'!$C$37*'契約別単価'!L6+'前提と出典'!$C$38*'契約別単価'!L7)</ns0:f>
        <ns0:v>271677.2335420117</ns0:v>
      </ns0:c>
      <ns0:c r="M796" s="16">
        <ns0:f>IF(('前提と出典'!$C$36+'前提と出典'!$C$38)=0,0,IF(B796&lt;=10,'前提と出典'!B73+'前提と出典'!C73,IF(B796&lt;=100,'前提と出典'!B74+'前提と出典'!C74,IF(B796&lt;=500,'前提と出典'!B75+'前提と出典'!C75,'前提と出典'!B76+'前提と出典'!C76))))</ns0:f>
        <ns0:v>80000</ns0:v>
      </ns0:c>
      <ns0:c r="N796" s="16">
        <ns0:f>IF(('前提と出典'!$C$37+'前提と出典'!$C$38)=0,0,IF(C796&lt;=10,'前提と出典'!D73+'前提と出典'!E73,IF(C796&lt;=100,'前提と出典'!D74+'前提と出典'!E74,IF(C796&lt;=500,'前提と出典'!D75+'前提と出典'!E75,'前提と出典'!D76+'前提と出典'!E76))))</ns0:f>
        <ns0:v>56510.9346263078</ns0:v>
      </ns0:c>
      <ns0:c r="O796" s="16">
        <ns0:f>IF('前提と出典'!$C$36+'前提と出典'!$C$38=0,0,'前提と出典'!$B$4*IF('前提と出典'!$B$20=0,MAX('前提と出典'!$B$6,D796*'前提と出典'!$B$5),'前提と出典'!$B$6+D796*'前提と出典'!$B$5))</ns0:f>
        <ns0:v>786442.7262569834</ns0:v>
      </ns0:c>
      <ns0:c r="P796" s="16">
        <ns0:f>(E796+G796)*(1-'前提と出典'!$B$7)-I796-K796-M796-O796</ns0:f>
        <ns0:v>1763498.0339005096</ns0:v>
      </ns0:c>
      <ns0:c r="Q796" s="16">
        <ns0:f>(F796+H796)*(1-'前提と出典'!$B$7)-J796-L796-N796</ns0:f>
        <ns0:v>701176.6432563519</ns0:v>
      </ns0:c>
      <ns0:c r="R796" s="16">
        <ns0:f>P796-E796*'前提と出典'!$E$4</ns0:f>
        <ns0:v>1303755.1834608996</ns0:v>
      </ns0:c>
      <ns0:c r="S796" s="16">
        <ns0:f>Q796-F796*'前提と出典'!$E$4</ns0:f>
        <ns0:v>520744.27727868024</ns0:v>
      </ns0:c>
      <ns0:c r="T796" s="7">
        <ns0:f>R796+S796</ns0:f>
        <ns0:v>1824499.46073958</ns0:v>
      </ns0:c>
      <ns0:c r="U796" s="16">
        <ns0:f>P796-E796*'前提と出典'!$E$5</ns0:f>
        <ns0:v>1150507.5666476958</ns0:v>
      </ns0:c>
      <ns0:c r="V796" s="16">
        <ns0:f>Q796-F796*'前提と出典'!$E$5</ns0:f>
        <ns0:v>460600.1552861229</ns0:v>
      </ns0:c>
      <ns0:c r="W796" s="7">
        <ns0:f>U796+V796</ns0:f>
        <ns0:v>1611107.721933819</ns0:v>
      </ns0:c>
      <ns0:c r="X796" s="16">
        <ns0:f>P796-E796*'前提と出典'!$E$6</ns0:f>
        <ns0:v>997259.9498344925</ns0:v>
      </ns0:c>
      <ns0:c r="Y796" s="16">
        <ns0:f>Q796-F796*'前提と出典'!$E$6</ns0:f>
        <ns0:v>400456.03329356574</ns0:v>
      </ns0:c>
      <ns0:c r="Z796" s="7">
        <ns0:f>X796+Y796</ns0:f>
        <ns0:v>1397715.9831280583</ns0:v>
      </ns0:c>
      <ns0:c r="AA796" s="7">
        <ns0:f>IF(T796&gt;=0,A796,1001)</ns0:f>
        <ns0:v>792</ns0:v>
      </ns0:c>
      <ns0:c r="AB796" s="7">
        <ns0:f>IF(T796&lt;0,A796,0)</ns0:f>
        <ns0:v>0</ns0:v>
      </ns0:c>
      <ns0:c r="AC796" s="16">
        <ns0:f>IF(AND(OR('前提と出典'!$C$36+'前提と出典'!$C$38=0,R796&gt;=0),OR('前提と出典'!$C$37+'前提と出典'!$C$38=0,S796&gt;=0)),0,A796)</ns0:f>
        <ns0:v>0</ns0:v>
      </ns0:c>
      <ns0:c r="AD796" s="7">
        <ns0:f>IF(W796&gt;=0,A796,1001)</ns0:f>
        <ns0:v>792</ns0:v>
      </ns0:c>
      <ns0:c r="AE796" s="7">
        <ns0:f>IF(W796&lt;0,A796,0)</ns0:f>
        <ns0:v>0</ns0:v>
      </ns0:c>
      <ns0:c r="AF796" s="16">
        <ns0:f>IF(AND(OR('前提と出典'!$C$36+'前提と出典'!$C$38=0,U796&gt;=0),OR('前提と出典'!$C$37+'前提と出典'!$C$38=0,V796&gt;=0)),0,A796)</ns0:f>
        <ns0:v>0</ns0:v>
      </ns0:c>
      <ns0:c r="AG796" s="7">
        <ns0:f>IF(Z796&gt;=0,A796,1001)</ns0:f>
        <ns0:v>792</ns0:v>
      </ns0:c>
      <ns0:c r="AH796" s="4">
        <ns0:f>IF(Z796&lt;0,A796,0)</ns0:f>
        <ns0:v>0</ns0:v>
      </ns0:c>
      <ns0:c r="AI796" s="12">
        <ns0:f>IF(AND(OR('前提と出典'!$C$36+'前提と出典'!$C$38=0,X796&gt;=0),OR('前提と出典'!$C$37+'前提と出典'!$C$38=0,Y796&gt;=0)),0,A796)</ns0:f>
        <ns0:v>0</ns0:v>
      </ns0:c>
    </ns0:row>
    <ns0:row r="797" ht="24" customHeight="1">
      <ns0:c r="A797" s="4" t="n">
        <ns0:v>793</ns0:v>
      </ns0:c>
      <ns0:c r="B797" s="12">
        <ns0:f>A797*('前提と出典'!$C$36+'前提と出典'!$C$38)</ns0:f>
        <ns0:v>555.0999999999999</ns0:v>
      </ns0:c>
      <ns0:c r="C797" s="12">
        <ns0:f>A797*('前提と出典'!$C$37+'前提と出典'!$C$38)</ns0:f>
        <ns0:v>475.79999999999995</ns0:v>
      </ns0:c>
      <ns0:c r="D797" s="16">
        <ns0:f>A797*('前提と出典'!$C$36*'契約別単価'!C5+'前提と出典'!$C$37*'契約別単価'!C6+'前提と出典'!$C$38*'契約別単価'!C7)</ns0:f>
        <ns0:v>5706.055865921788</ns0:v>
      </ns0:c>
      <ns0:c r="E797" s="16">
        <ns0:f>A797*('前提と出典'!$C$36*'契約別単価'!E5+'前提と出典'!$C$37*'契約別単価'!E6+'前提と出典'!$C$38*'契約別単価'!E7)</ns0:f>
        <ns0:v>1534411.1127887662</ns0:v>
      </ns0:c>
      <ns0:c r="F797" s="16">
        <ns0:f>A797*('前提と出典'!$C$36*'契約別単価'!F5+'前提と出典'!$C$37*'契約別単価'!F6+'前提と出典'!$C$38*'契約別単価'!F7)</ns0:f>
        <ns0:v>602200.6154052764</ns0:v>
      </ns0:c>
      <ns0:c r="G797" s="16">
        <ns0:f>A797*('前提と出典'!$C$36*'契約別単価'!G5+'前提と出典'!$C$37*'契約別単価'!G6+'前提と出典'!$C$38*'契約別単価'!G7)</ns0:f>
        <ns0:v>1578468.7150837989</ns0:v>
      </ns0:c>
      <ns0:c r="H797" s="16">
        <ns0:f>A797*('前提と出典'!$C$36*'契約別単価'!H5+'前提と出典'!$C$37*'契約別単価'!H6+'前提と出典'!$C$38*'契約別単価'!H7)</ns0:f>
        <ns0:v>547807.8105611857</ns0:v>
      </ns0:c>
      <ns0:c r="I797" s="16">
        <ns0:f>A797*('前提と出典'!$C$36*'契約別単価'!I5+'前提と出典'!$C$37*'契約別単価'!I6+'前提と出典'!$C$38*'契約別単価'!I7)</ns0:f>
        <ns0:v>33461.05586592178</ns0:v>
      </ns0:c>
      <ns0:c r="J797" s="16">
        <ns0:f>A797*('前提と出典'!$C$36*'契約別単価'!J5+'前提と出典'!$C$37*'契約別単価'!J6+'前提と出典'!$C$38*'契約別単価'!J7)</ns0:f>
        <ns0:v>77943.60816226994</ns0:v>
      </ns0:c>
      <ns0:c r="K797" s="16">
        <ns0:f>A797*('前提と出典'!$C$36*'契約別単価'!K5+'前提と出典'!$C$37*'契約別単価'!K6+'前提と出典'!$C$38*'契約別単価'!K7)</ns0:f>
        <ns0:v>334093.7057728119</ns0:v>
      </ns0:c>
      <ns0:c r="L797" s="16">
        <ns0:f>A797*('前提と出典'!$C$36*'契約別単価'!L5+'前提と出典'!$C$37*'契約別単価'!L6+'前提と出典'!$C$38*'契約別単価'!L7)</ns0:f>
        <ns0:v>272020.26035203954</ns0:v>
      </ns0:c>
      <ns0:c r="M797" s="16">
        <ns0:f>IF(('前提と出典'!$C$36+'前提と出典'!$C$38)=0,0,IF(B797&lt;=10,'前提と出典'!B73+'前提と出典'!C73,IF(B797&lt;=100,'前提と出典'!B74+'前提と出典'!C74,IF(B797&lt;=500,'前提と出典'!B75+'前提と出典'!C75,'前提と出典'!B76+'前提と出典'!C76))))</ns0:f>
        <ns0:v>80000</ns0:v>
      </ns0:c>
      <ns0:c r="N797" s="16">
        <ns0:f>IF(('前提と出典'!$C$37+'前提と出典'!$C$38)=0,0,IF(C797&lt;=10,'前提と出典'!D73+'前提と出典'!E73,IF(C797&lt;=100,'前提と出典'!D74+'前提と出典'!E74,IF(C797&lt;=500,'前提と出典'!D75+'前提と出典'!E75,'前提と出典'!D76+'前提と出典'!E76))))</ns0:f>
        <ns0:v>56510.9346263078</ns0:v>
      </ns0:c>
      <ns0:c r="O797" s="16">
        <ns0:f>IF('前提と出典'!$C$36+'前提と出典'!$C$38=0,0,'前提と出典'!$B$4*IF('前提と出典'!$B$20=0,MAX('前提と出典'!$B$6,D797*'前提と出典'!$B$5),'前提と出典'!$B$6+D797*'前提と出典'!$B$5))</ns0:f>
        <ns0:v>787435.7094972068</ns0:v>
      </ns0:c>
      <ns0:c r="P797" s="16">
        <ns0:f>(E797+G797)*(1-'前提と出典'!$B$7)-I797-K797-M797-O797</ns0:f>
        <ns0:v>1765825.6829332118</ns0:v>
      </ns0:c>
      <ns0:c r="Q797" s="16">
        <ns0:f>(F797+H797)*(1-'前提と出典'!$B$7)-J797-L797-N797</ns0:f>
        <ns0:v>702133.3194910523</ns0:v>
      </ns0:c>
      <ns0:c r="R797" s="16">
        <ns0:f>P797-E797*'前提と出典'!$E$4</ns0:f>
        <ns0:v>1305502.3490965818</ns0:v>
      </ns0:c>
      <ns0:c r="S797" s="16">
        <ns0:f>Q797-F797*'前提と出典'!$E$4</ns0:f>
        <ns0:v>521473.13486946933</ns0:v>
      </ns0:c>
      <ns0:c r="T797" s="7">
        <ns0:f>R797+S797</ns0:f>
        <ns0:v>1826975.4839660511</ns0:v>
      </ns0:c>
      <ns0:c r="U797" s="16">
        <ns0:f>P797-E797*'前提と出典'!$E$5</ns0:f>
        <ns0:v>1152061.2378177051</ns0:v>
      </ns0:c>
      <ns0:c r="V797" s="16">
        <ns0:f>Q797-F797*'前提と出典'!$E$5</ns0:f>
        <ns0:v>461253.07332894165</ns0:v>
      </ns0:c>
      <ns0:c r="W797" s="7">
        <ns0:f>U797+V797</ns0:f>
        <ns0:v>1613314.3111466467</ns0:v>
      </ns0:c>
      <ns0:c r="X797" s="16">
        <ns0:f>P797-E797*'前提と出典'!$E$6</ns0:f>
        <ns0:v>998620.1265388285</ns0:v>
      </ns0:c>
      <ns0:c r="Y797" s="16">
        <ns0:f>Q797-F797*'前提と出典'!$E$6</ns0:f>
        <ns0:v>401033.01178841403</ns0:v>
      </ns0:c>
      <ns0:c r="Z797" s="7">
        <ns0:f>X797+Y797</ns0:f>
        <ns0:v>1399653.1383272426</ns0:v>
      </ns0:c>
      <ns0:c r="AA797" s="7">
        <ns0:f>IF(T797&gt;=0,A797,1001)</ns0:f>
        <ns0:v>793</ns0:v>
      </ns0:c>
      <ns0:c r="AB797" s="7">
        <ns0:f>IF(T797&lt;0,A797,0)</ns0:f>
        <ns0:v>0</ns0:v>
      </ns0:c>
      <ns0:c r="AC797" s="16">
        <ns0:f>IF(AND(OR('前提と出典'!$C$36+'前提と出典'!$C$38=0,R797&gt;=0),OR('前提と出典'!$C$37+'前提と出典'!$C$38=0,S797&gt;=0)),0,A797)</ns0:f>
        <ns0:v>0</ns0:v>
      </ns0:c>
      <ns0:c r="AD797" s="7">
        <ns0:f>IF(W797&gt;=0,A797,1001)</ns0:f>
        <ns0:v>793</ns0:v>
      </ns0:c>
      <ns0:c r="AE797" s="7">
        <ns0:f>IF(W797&lt;0,A797,0)</ns0:f>
        <ns0:v>0</ns0:v>
      </ns0:c>
      <ns0:c r="AF797" s="16">
        <ns0:f>IF(AND(OR('前提と出典'!$C$36+'前提と出典'!$C$38=0,U797&gt;=0),OR('前提と出典'!$C$37+'前提と出典'!$C$38=0,V797&gt;=0)),0,A797)</ns0:f>
        <ns0:v>0</ns0:v>
      </ns0:c>
      <ns0:c r="AG797" s="7">
        <ns0:f>IF(Z797&gt;=0,A797,1001)</ns0:f>
        <ns0:v>793</ns0:v>
      </ns0:c>
      <ns0:c r="AH797" s="4">
        <ns0:f>IF(Z797&lt;0,A797,0)</ns0:f>
        <ns0:v>0</ns0:v>
      </ns0:c>
      <ns0:c r="AI797" s="12">
        <ns0:f>IF(AND(OR('前提と出典'!$C$36+'前提と出典'!$C$38=0,X797&gt;=0),OR('前提と出典'!$C$37+'前提と出典'!$C$38=0,Y797&gt;=0)),0,A797)</ns0:f>
        <ns0:v>0</ns0:v>
      </ns0:c>
    </ns0:row>
    <ns0:row r="798" ht="24" customHeight="1">
      <ns0:c r="A798" s="4" t="n">
        <ns0:v>794</ns0:v>
      </ns0:c>
      <ns0:c r="B798" s="12">
        <ns0:f>A798*('前提と出典'!$C$36+'前提と出典'!$C$38)</ns0:f>
        <ns0:v>555.8</ns0:v>
      </ns0:c>
      <ns0:c r="C798" s="12">
        <ns0:f>A798*('前提と出典'!$C$37+'前提と出典'!$C$38)</ns0:f>
        <ns0:v>476.4</ns0:v>
      </ns0:c>
      <ns0:c r="D798" s="16">
        <ns0:f>A798*('前提と出典'!$C$36*'契約別単価'!C5+'前提と出典'!$C$37*'契約別単価'!C6+'前提と出典'!$C$38*'契約別単価'!C7)</ns0:f>
        <ns0:v>5713.251396648045</ns0:v>
      </ns0:c>
      <ns0:c r="E798" s="16">
        <ns0:f>A798*('前提と出典'!$C$36*'契約別単価'!E5+'前提と出典'!$C$37*'契約別単価'!E6+'前提と出典'!$C$38*'契約別単価'!E7)</ns0:f>
        <ns0:v>1536346.0574454986</ns0:v>
      </ns0:c>
      <ns0:c r="F798" s="16">
        <ns0:f>A798*('前提と出典'!$C$36*'契約別単価'!F5+'前提と出典'!$C$37*'契約別単価'!F6+'前提と出典'!$C$38*'契約別単価'!F7)</ns0:f>
        <ns0:v>602960.0108849804</ns0:v>
      </ns0:c>
      <ns0:c r="G798" s="16">
        <ns0:f>A798*('前提と出典'!$C$36*'契約別単価'!G5+'前提と出典'!$C$37*'契約別単価'!G6+'前提と出典'!$C$38*'契約別単価'!G7)</ns0:f>
        <ns0:v>1580459.2178770949</ns0:v>
      </ns0:c>
      <ns0:c r="H798" s="16">
        <ns0:f>A798*('前提と出典'!$C$36*'契約別単価'!H5+'前提と出典'!$C$37*'契約別単価'!H6+'前提と出典'!$C$38*'契約別単価'!H7)</ns0:f>
        <ns0:v>548498.6148620194</ns0:v>
      </ns0:c>
      <ns0:c r="I798" s="16">
        <ns0:f>A798*('前提と出典'!$C$36*'契約別単価'!I5+'前提と出典'!$C$37*'契約別単価'!I6+'前提と出典'!$C$38*'契約別単価'!I7)</ns0:f>
        <ns0:v>33503.25139664804</ns0:v>
      </ns0:c>
      <ns0:c r="J798" s="16">
        <ns0:f>A798*('前提と出典'!$C$36*'契約別単価'!J5+'前提と出典'!$C$37*'契約別単価'!J6+'前提と出典'!$C$38*'契約別単価'!J7)</ns0:f>
        <ns0:v>78041.89770598024</ns0:v>
      </ns0:c>
      <ns0:c r="K798" s="16">
        <ns0:f>A798*('前提と出典'!$C$36*'契約別単価'!K5+'前提と出典'!$C$37*'契約別単価'!K6+'前提と出典'!$C$38*'契約別単価'!K7)</ns0:f>
        <ns0:v>334515.00931098696</ns0:v>
      </ns0:c>
      <ns0:c r="L798" s="16">
        <ns0:f>A798*('前提と出典'!$C$36*'契約別単価'!L5+'前提と出典'!$C$37*'契約別単価'!L6+'前提と出典'!$C$38*'契約別単価'!L7)</ns0:f>
        <ns0:v>272363.2871620673</ns0:v>
      </ns0:c>
      <ns0:c r="M798" s="16">
        <ns0:f>IF(('前提と出典'!$C$36+'前提と出典'!$C$38)=0,0,IF(B798&lt;=10,'前提と出典'!B73+'前提と出典'!C73,IF(B798&lt;=100,'前提と出典'!B74+'前提と出典'!C74,IF(B798&lt;=500,'前提と出典'!B75+'前提と出典'!C75,'前提と出典'!B76+'前提と出典'!C76))))</ns0:f>
        <ns0:v>80000</ns0:v>
      </ns0:c>
      <ns0:c r="N798" s="16">
        <ns0:f>IF(('前提と出典'!$C$37+'前提と出典'!$C$38)=0,0,IF(C798&lt;=10,'前提と出典'!D73+'前提と出典'!E73,IF(C798&lt;=100,'前提と出典'!D74+'前提と出典'!E74,IF(C798&lt;=500,'前提と出典'!D75+'前提と出典'!E75,'前提と出典'!D76+'前提と出典'!E76))))</ns0:f>
        <ns0:v>56510.9346263078</ns0:v>
      </ns0:c>
      <ns0:c r="O798" s="16">
        <ns0:f>IF('前提と出典'!$C$36+'前提と出典'!$C$38=0,0,'前提と出典'!$B$4*IF('前提と出典'!$B$20=0,MAX('前提と出典'!$B$6,D798*'前提と出典'!$B$5),'前提と出典'!$B$6+D798*'前提と出典'!$B$5))</ns0:f>
        <ns0:v>788428.6927374301</ns0:v>
      </ns0:c>
      <ns0:c r="P798" s="16">
        <ns0:f>(E798+G798)*(1-'前提と出典'!$B$7)-I798-K798-M798-O798</ns0:f>
        <ns0:v>1768153.331965915</ns0:v>
      </ns0:c>
      <ns0:c r="Q798" s="16">
        <ns0:f>(F798+H798)*(1-'前提と出典'!$B$7)-J798-L798-N798</ns0:f>
        <ns0:v>703089.9957257526</ns0:v>
      </ns0:c>
      <ns0:c r="R798" s="16">
        <ns0:f>P798-E798*'前提と出典'!$E$4</ns0:f>
        <ns0:v>1307249.5147322656</ns0:v>
      </ns0:c>
      <ns0:c r="S798" s="16">
        <ns0:f>Q798-F798*'前提と出典'!$E$4</ns0:f>
        <ns0:v>522201.9924602583</ns0:v>
      </ns0:c>
      <ns0:c r="T798" s="7">
        <ns0:f>R798+S798</ns0:f>
        <ns0:v>1829451.507192524</ns0:v>
      </ns0:c>
      <ns0:c r="U798" s="16">
        <ns0:f>P798-E798*'前提と出典'!$E$5</ns0:f>
        <ns0:v>1153614.9089877156</ns0:v>
      </ns0:c>
      <ns0:c r="V798" s="16">
        <ns0:f>Q798-F798*'前提と出典'!$E$5</ns0:f>
        <ns0:v>461905.9913717603</ns0:v>
      </ns0:c>
      <ns0:c r="W798" s="7">
        <ns0:f>U798+V798</ns0:f>
        <ns0:v>1615520.900359476</ns0:v>
      </ns0:c>
      <ns0:c r="X798" s="16">
        <ns0:f>P798-E798*'前提と出典'!$E$6</ns0:f>
        <ns0:v>999980.3032431661</ns0:v>
      </ns0:c>
      <ns0:c r="Y798" s="16">
        <ns0:f>Q798-F798*'前提と出典'!$E$6</ns0:f>
        <ns0:v>401609.9902832623</ns0:v>
      </ns0:c>
      <ns0:c r="Z798" s="7">
        <ns0:f>X798+Y798</ns0:f>
        <ns0:v>1401590.2935264283</ns0:v>
      </ns0:c>
      <ns0:c r="AA798" s="7">
        <ns0:f>IF(T798&gt;=0,A798,1001)</ns0:f>
        <ns0:v>794</ns0:v>
      </ns0:c>
      <ns0:c r="AB798" s="7">
        <ns0:f>IF(T798&lt;0,A798,0)</ns0:f>
        <ns0:v>0</ns0:v>
      </ns0:c>
      <ns0:c r="AC798" s="16">
        <ns0:f>IF(AND(OR('前提と出典'!$C$36+'前提と出典'!$C$38=0,R798&gt;=0),OR('前提と出典'!$C$37+'前提と出典'!$C$38=0,S798&gt;=0)),0,A798)</ns0:f>
        <ns0:v>0</ns0:v>
      </ns0:c>
      <ns0:c r="AD798" s="7">
        <ns0:f>IF(W798&gt;=0,A798,1001)</ns0:f>
        <ns0:v>794</ns0:v>
      </ns0:c>
      <ns0:c r="AE798" s="7">
        <ns0:f>IF(W798&lt;0,A798,0)</ns0:f>
        <ns0:v>0</ns0:v>
      </ns0:c>
      <ns0:c r="AF798" s="16">
        <ns0:f>IF(AND(OR('前提と出典'!$C$36+'前提と出典'!$C$38=0,U798&gt;=0),OR('前提と出典'!$C$37+'前提と出典'!$C$38=0,V798&gt;=0)),0,A798)</ns0:f>
        <ns0:v>0</ns0:v>
      </ns0:c>
      <ns0:c r="AG798" s="7">
        <ns0:f>IF(Z798&gt;=0,A798,1001)</ns0:f>
        <ns0:v>794</ns0:v>
      </ns0:c>
      <ns0:c r="AH798" s="4">
        <ns0:f>IF(Z798&lt;0,A798,0)</ns0:f>
        <ns0:v>0</ns0:v>
      </ns0:c>
      <ns0:c r="AI798" s="12">
        <ns0:f>IF(AND(OR('前提と出典'!$C$36+'前提と出典'!$C$38=0,X798&gt;=0),OR('前提と出典'!$C$37+'前提と出典'!$C$38=0,Y798&gt;=0)),0,A798)</ns0:f>
        <ns0:v>0</ns0:v>
      </ns0:c>
    </ns0:row>
    <ns0:row r="799" ht="24" customHeight="1">
      <ns0:c r="A799" s="4" t="n">
        <ns0:v>795</ns0:v>
      </ns0:c>
      <ns0:c r="B799" s="12">
        <ns0:f>A799*('前提と出典'!$C$36+'前提と出典'!$C$38)</ns0:f>
        <ns0:v>556.5</ns0:v>
      </ns0:c>
      <ns0:c r="C799" s="12">
        <ns0:f>A799*('前提と出典'!$C$37+'前提と出典'!$C$38)</ns0:f>
        <ns0:v>477</ns0:v>
      </ns0:c>
      <ns0:c r="D799" s="16">
        <ns0:f>A799*('前提と出典'!$C$36*'契約別単価'!C5+'前提と出典'!$C$37*'契約別単価'!C6+'前提と出典'!$C$38*'契約別単価'!C7)</ns0:f>
        <ns0:v>5720.446927374302</ns0:v>
      </ns0:c>
      <ns0:c r="E799" s="16">
        <ns0:f>A799*('前提と出典'!$C$36*'契約別単価'!E5+'前提と出典'!$C$37*'契約別単価'!E6+'前提と出典'!$C$38*'契約別単価'!E7)</ns0:f>
        <ns0:v>1538281.002102231</ns0:v>
      </ns0:c>
      <ns0:c r="F799" s="16">
        <ns0:f>A799*('前提と出典'!$C$36*'契約別単価'!F5+'前提と出典'!$C$37*'契約別単価'!F6+'前提と出典'!$C$38*'契約別単価'!F7)</ns0:f>
        <ns0:v>603719.4063646845</ns0:v>
      </ns0:c>
      <ns0:c r="G799" s="16">
        <ns0:f>A799*('前提と出典'!$C$36*'契約別単価'!G5+'前提と出典'!$C$37*'契約別単価'!G6+'前提と出典'!$C$38*'契約別単価'!G7)</ns0:f>
        <ns0:v>1582449.7206703909</ns0:v>
      </ns0:c>
      <ns0:c r="H799" s="16">
        <ns0:f>A799*('前提と出典'!$C$36*'契約別単価'!H5+'前提と出典'!$C$37*'契約別単価'!H6+'前提と出典'!$C$38*'契約別単価'!H7)</ns0:f>
        <ns0:v>549189.4191628533</ns0:v>
      </ns0:c>
      <ns0:c r="I799" s="16">
        <ns0:f>A799*('前提と出典'!$C$36*'契約別単価'!I5+'前提と出典'!$C$37*'契約別単価'!I6+'前提と出典'!$C$38*'契約別単価'!I7)</ns0:f>
        <ns0:v>33545.446927374294</ns0:v>
      </ns0:c>
      <ns0:c r="J799" s="16">
        <ns0:f>A799*('前提と出典'!$C$36*'契約別単価'!J5+'前提と出典'!$C$37*'契約別単価'!J6+'前提と出典'!$C$38*'契約別単価'!J7)</ns0:f>
        <ns0:v>78140.18724969054</ns0:v>
      </ns0:c>
      <ns0:c r="K799" s="16">
        <ns0:f>A799*('前提と出典'!$C$36*'契約別単価'!K5+'前提と出典'!$C$37*'契約別単価'!K6+'前提と出典'!$C$38*'契約別単価'!K7)</ns0:f>
        <ns0:v>334936.312849162</ns0:v>
      </ns0:c>
      <ns0:c r="L799" s="16">
        <ns0:f>A799*('前提と出典'!$C$36*'契約別単価'!L5+'前提と出典'!$C$37*'契約別単価'!L6+'前提と出典'!$C$38*'契約別単価'!L7)</ns0:f>
        <ns0:v>272706.3139720951</ns0:v>
      </ns0:c>
      <ns0:c r="M799" s="16">
        <ns0:f>IF(('前提と出典'!$C$36+'前提と出典'!$C$38)=0,0,IF(B799&lt;=10,'前提と出典'!B73+'前提と出典'!C73,IF(B799&lt;=100,'前提と出典'!B74+'前提と出典'!C74,IF(B799&lt;=500,'前提と出典'!B75+'前提と出典'!C75,'前提と出典'!B76+'前提と出典'!C76))))</ns0:f>
        <ns0:v>80000</ns0:v>
      </ns0:c>
      <ns0:c r="N799" s="16">
        <ns0:f>IF(('前提と出典'!$C$37+'前提と出典'!$C$38)=0,0,IF(C799&lt;=10,'前提と出典'!D73+'前提と出典'!E73,IF(C799&lt;=100,'前提と出典'!D74+'前提と出典'!E74,IF(C799&lt;=500,'前提と出典'!D75+'前提と出典'!E75,'前提と出典'!D76+'前提と出典'!E76))))</ns0:f>
        <ns0:v>56510.9346263078</ns0:v>
      </ns0:c>
      <ns0:c r="O799" s="16">
        <ns0:f>IF('前提と出典'!$C$36+'前提と出典'!$C$38=0,0,'前提と出典'!$B$4*IF('前提と出典'!$B$20=0,MAX('前提と出典'!$B$6,D799*'前提と出典'!$B$5),'前提と出典'!$B$6+D799*'前提と出典'!$B$5))</ns0:f>
        <ns0:v>789421.6759776536</ns0:v>
      </ns0:c>
      <ns0:c r="P799" s="16">
        <ns0:f>(E799+G799)*(1-'前提と出典'!$B$7)-I799-K799-M799-O799</ns0:f>
        <ns0:v>1770480.9809986176</ns0:v>
      </ns0:c>
      <ns0:c r="Q799" s="16">
        <ns0:f>(F799+H799)*(1-'前提と出典'!$B$7)-J799-L799-N799</ns0:f>
        <ns0:v>704046.6719604529</ns0:v>
      </ns0:c>
      <ns0:c r="R799" s="16">
        <ns0:f>P799-E799*'前提と出典'!$E$4</ns0:f>
        <ns0:v>1308996.6803679483</ns0:v>
      </ns0:c>
      <ns0:c r="S799" s="16">
        <ns0:f>Q799-F799*'前提と出典'!$E$4</ns0:f>
        <ns0:v>522930.8500510475</ns0:v>
      </ns0:c>
      <ns0:c r="T799" s="7">
        <ns0:f>R799+S799</ns0:f>
        <ns0:v>1831927.5304189958</ns0:v>
      </ns0:c>
      <ns0:c r="U799" s="16">
        <ns0:f>P799-E799*'前提と出典'!$E$5</ns0:f>
        <ns0:v>1155168.5801577251</ns0:v>
      </ns0:c>
      <ns0:c r="V799" s="16">
        <ns0:f>Q799-F799*'前提と出典'!$E$5</ns0:f>
        <ns0:v>462558.9094145791</ns0:v>
      </ns0:c>
      <ns0:c r="W799" s="7">
        <ns0:f>U799+V799</ns0:f>
        <ns0:v>1617727.4895723043</ns0:v>
      </ns0:c>
      <ns0:c r="X799" s="16">
        <ns0:f>P799-E799*'前提と出典'!$E$6</ns0:f>
        <ns0:v>1001340.4799475023</ns0:v>
      </ns0:c>
      <ns0:c r="Y799" s="16">
        <ns0:f>Q799-F799*'前提と出典'!$E$6</ns0:f>
        <ns0:v>402186.96877811063</ns0:v>
      </ns0:c>
      <ns0:c r="Z799" s="7">
        <ns0:f>X799+Y799</ns0:f>
        <ns0:v>1403527.4487256128</ns0:v>
      </ns0:c>
      <ns0:c r="AA799" s="7">
        <ns0:f>IF(T799&gt;=0,A799,1001)</ns0:f>
        <ns0:v>795</ns0:v>
      </ns0:c>
      <ns0:c r="AB799" s="7">
        <ns0:f>IF(T799&lt;0,A799,0)</ns0:f>
        <ns0:v>0</ns0:v>
      </ns0:c>
      <ns0:c r="AC799" s="16">
        <ns0:f>IF(AND(OR('前提と出典'!$C$36+'前提と出典'!$C$38=0,R799&gt;=0),OR('前提と出典'!$C$37+'前提と出典'!$C$38=0,S799&gt;=0)),0,A799)</ns0:f>
        <ns0:v>0</ns0:v>
      </ns0:c>
      <ns0:c r="AD799" s="7">
        <ns0:f>IF(W799&gt;=0,A799,1001)</ns0:f>
        <ns0:v>795</ns0:v>
      </ns0:c>
      <ns0:c r="AE799" s="7">
        <ns0:f>IF(W799&lt;0,A799,0)</ns0:f>
        <ns0:v>0</ns0:v>
      </ns0:c>
      <ns0:c r="AF799" s="16">
        <ns0:f>IF(AND(OR('前提と出典'!$C$36+'前提と出典'!$C$38=0,U799&gt;=0),OR('前提と出典'!$C$37+'前提と出典'!$C$38=0,V799&gt;=0)),0,A799)</ns0:f>
        <ns0:v>0</ns0:v>
      </ns0:c>
      <ns0:c r="AG799" s="7">
        <ns0:f>IF(Z799&gt;=0,A799,1001)</ns0:f>
        <ns0:v>795</ns0:v>
      </ns0:c>
      <ns0:c r="AH799" s="4">
        <ns0:f>IF(Z799&lt;0,A799,0)</ns0:f>
        <ns0:v>0</ns0:v>
      </ns0:c>
      <ns0:c r="AI799" s="12">
        <ns0:f>IF(AND(OR('前提と出典'!$C$36+'前提と出典'!$C$38=0,X799&gt;=0),OR('前提と出典'!$C$37+'前提と出典'!$C$38=0,Y799&gt;=0)),0,A799)</ns0:f>
        <ns0:v>0</ns0:v>
      </ns0:c>
    </ns0:row>
    <ns0:row r="800" ht="24" customHeight="1">
      <ns0:c r="A800" s="4" t="n">
        <ns0:v>796</ns0:v>
      </ns0:c>
      <ns0:c r="B800" s="12">
        <ns0:f>A800*('前提と出典'!$C$36+'前提と出典'!$C$38)</ns0:f>
        <ns0:v>557.1999999999999</ns0:v>
      </ns0:c>
      <ns0:c r="C800" s="12">
        <ns0:f>A800*('前提と出典'!$C$37+'前提と出典'!$C$38)</ns0:f>
        <ns0:v>477.59999999999997</ns0:v>
      </ns0:c>
      <ns0:c r="D800" s="16">
        <ns0:f>A800*('前提と出典'!$C$36*'契約別単価'!C5+'前提と出典'!$C$37*'契約別単価'!C6+'前提と出典'!$C$38*'契約別単価'!C7)</ns0:f>
        <ns0:v>5727.6424581005585</ns0:v>
      </ns0:c>
      <ns0:c r="E800" s="16">
        <ns0:f>A800*('前提と出典'!$C$36*'契約別単価'!E5+'前提と出典'!$C$37*'契約別単価'!E6+'前提と出典'!$C$38*'契約別単価'!E7)</ns0:f>
        <ns0:v>1540215.9467589634</ns0:v>
      </ns0:c>
      <ns0:c r="F800" s="16">
        <ns0:f>A800*('前提と出典'!$C$36*'契約別単価'!F5+'前提と出典'!$C$37*'契約別単価'!F6+'前提と出典'!$C$38*'契約別単価'!F7)</ns0:f>
        <ns0:v>604478.8018443884</ns0:v>
      </ns0:c>
      <ns0:c r="G800" s="16">
        <ns0:f>A800*('前提と出典'!$C$36*'契約別単価'!G5+'前提と出典'!$C$37*'契約別単価'!G6+'前提と出典'!$C$38*'契約別単価'!G7)</ns0:f>
        <ns0:v>1584440.223463687</ns0:v>
      </ns0:c>
      <ns0:c r="H800" s="16">
        <ns0:f>A800*('前提と出典'!$C$36*'契約別単価'!H5+'前提と出典'!$C$37*'契約別単価'!H6+'前提と出典'!$C$38*'契約別単価'!H7)</ns0:f>
        <ns0:v>549880.223463687</ns0:v>
      </ns0:c>
      <ns0:c r="I800" s="16">
        <ns0:f>A800*('前提と出典'!$C$36*'契約別単価'!I5+'前提と出典'!$C$37*'契約別単価'!I6+'前提と出典'!$C$38*'契約別単価'!I7)</ns0:f>
        <ns0:v>33587.642458100556</ns0:v>
      </ns0:c>
      <ns0:c r="J800" s="16">
        <ns0:f>A800*('前提と出典'!$C$36*'契約別単価'!J5+'前提と出典'!$C$37*'契約別単価'!J6+'前提と出典'!$C$38*'契約別単価'!J7)</ns0:f>
        <ns0:v>78238.47679340084</ns0:v>
      </ns0:c>
      <ns0:c r="K800" s="16">
        <ns0:f>A800*('前提と出典'!$C$36*'契約別単価'!K5+'前提と出典'!$C$37*'契約別単価'!K6+'前提と出典'!$C$38*'契約別単価'!K7)</ns0:f>
        <ns0:v>335357.61638733704</ns0:v>
      </ns0:c>
      <ns0:c r="L800" s="16">
        <ns0:f>A800*('前提と出典'!$C$36*'契約別単価'!L5+'前提と出典'!$C$37*'契約別単価'!L6+'前提と出典'!$C$38*'契約別単価'!L7)</ns0:f>
        <ns0:v>273049.3407821229</ns0:v>
      </ns0:c>
      <ns0:c r="M800" s="16">
        <ns0:f>IF(('前提と出典'!$C$36+'前提と出典'!$C$38)=0,0,IF(B800&lt;=10,'前提と出典'!B73+'前提と出典'!C73,IF(B800&lt;=100,'前提と出典'!B74+'前提と出典'!C74,IF(B800&lt;=500,'前提と出典'!B75+'前提と出典'!C75,'前提と出典'!B76+'前提と出典'!C76))))</ns0:f>
        <ns0:v>80000</ns0:v>
      </ns0:c>
      <ns0:c r="N800" s="16">
        <ns0:f>IF(('前提と出典'!$C$37+'前提と出典'!$C$38)=0,0,IF(C800&lt;=10,'前提と出典'!D73+'前提と出典'!E73,IF(C800&lt;=100,'前提と出典'!D74+'前提と出典'!E74,IF(C800&lt;=500,'前提と出典'!D75+'前提と出典'!E75,'前提と出典'!D76+'前提と出典'!E76))))</ns0:f>
        <ns0:v>56510.9346263078</ns0:v>
      </ns0:c>
      <ns0:c r="O800" s="16">
        <ns0:f>IF('前提と出典'!$C$36+'前提と出典'!$C$38=0,0,'前提と出典'!$B$4*IF('前提と出典'!$B$20=0,MAX('前提と出典'!$B$6,D800*'前提と出典'!$B$5),'前提と出典'!$B$6+D800*'前提と出典'!$B$5))</ns0:f>
        <ns0:v>790414.6592178771</ns0:v>
      </ns0:c>
      <ns0:c r="P800" s="16">
        <ns0:f>(E800+G800)*(1-'前提と出典'!$B$7)-I800-K800-M800-O800</ns0:f>
        <ns0:v>1772808.6300313205</ns0:v>
      </ns0:c>
      <ns0:c r="Q800" s="16">
        <ns0:f>(F800+H800)*(1-'前提と出典'!$B$7)-J800-L800-N800</ns0:f>
        <ns0:v>705003.348195153</ns0:v>
      </ns0:c>
      <ns0:c r="R800" s="16">
        <ns0:f>P800-E800*'前提と出典'!$E$4</ns0:f>
        <ns0:v>1310743.8460036314</ns0:v>
      </ns0:c>
      <ns0:c r="S800" s="16">
        <ns0:f>Q800-F800*'前提と出典'!$E$4</ns0:f>
        <ns0:v>523659.7076418365</ns0:v>
      </ns0:c>
      <ns0:c r="T800" s="7">
        <ns0:f>R800+S800</ns0:f>
        <ns0:v>1834403.5536454679</ns0:v>
      </ns0:c>
      <ns0:c r="U800" s="16">
        <ns0:f>P800-E800*'前提と出典'!$E$5</ns0:f>
        <ns0:v>1156722.2513277351</ns0:v>
      </ns0:c>
      <ns0:c r="V800" s="16">
        <ns0:f>Q800-F800*'前提と出典'!$E$5</ns0:f>
        <ns0:v>463211.8274573977</ns0:v>
      </ns0:c>
      <ns0:c r="W800" s="7">
        <ns0:f>U800+V800</ns0:f>
        <ns0:v>1619934.0787851328</ns0:v>
      </ns0:c>
      <ns0:c r="X800" s="16">
        <ns0:f>P800-E800*'前提と出典'!$E$6</ns0:f>
        <ns0:v>1002700.6566518389</ns0:v>
      </ns0:c>
      <ns0:c r="Y800" s="16">
        <ns0:f>Q800-F800*'前提と出典'!$E$6</ns0:f>
        <ns0:v>402763.94727295893</ns0:v>
      </ns0:c>
      <ns0:c r="Z800" s="7">
        <ns0:f>X800+Y800</ns0:f>
        <ns0:v>1405464.6039247978</ns0:v>
      </ns0:c>
      <ns0:c r="AA800" s="7">
        <ns0:f>IF(T800&gt;=0,A800,1001)</ns0:f>
        <ns0:v>796</ns0:v>
      </ns0:c>
      <ns0:c r="AB800" s="7">
        <ns0:f>IF(T800&lt;0,A800,0)</ns0:f>
        <ns0:v>0</ns0:v>
      </ns0:c>
      <ns0:c r="AC800" s="16">
        <ns0:f>IF(AND(OR('前提と出典'!$C$36+'前提と出典'!$C$38=0,R800&gt;=0),OR('前提と出典'!$C$37+'前提と出典'!$C$38=0,S800&gt;=0)),0,A800)</ns0:f>
        <ns0:v>0</ns0:v>
      </ns0:c>
      <ns0:c r="AD800" s="7">
        <ns0:f>IF(W800&gt;=0,A800,1001)</ns0:f>
        <ns0:v>796</ns0:v>
      </ns0:c>
      <ns0:c r="AE800" s="7">
        <ns0:f>IF(W800&lt;0,A800,0)</ns0:f>
        <ns0:v>0</ns0:v>
      </ns0:c>
      <ns0:c r="AF800" s="16">
        <ns0:f>IF(AND(OR('前提と出典'!$C$36+'前提と出典'!$C$38=0,U800&gt;=0),OR('前提と出典'!$C$37+'前提と出典'!$C$38=0,V800&gt;=0)),0,A800)</ns0:f>
        <ns0:v>0</ns0:v>
      </ns0:c>
      <ns0:c r="AG800" s="7">
        <ns0:f>IF(Z800&gt;=0,A800,1001)</ns0:f>
        <ns0:v>796</ns0:v>
      </ns0:c>
      <ns0:c r="AH800" s="4">
        <ns0:f>IF(Z800&lt;0,A800,0)</ns0:f>
        <ns0:v>0</ns0:v>
      </ns0:c>
      <ns0:c r="AI800" s="12">
        <ns0:f>IF(AND(OR('前提と出典'!$C$36+'前提と出典'!$C$38=0,X800&gt;=0),OR('前提と出典'!$C$37+'前提と出典'!$C$38=0,Y800&gt;=0)),0,A800)</ns0:f>
        <ns0:v>0</ns0:v>
      </ns0:c>
    </ns0:row>
    <ns0:row r="801" ht="24" customHeight="1">
      <ns0:c r="A801" s="4" t="n">
        <ns0:v>797</ns0:v>
      </ns0:c>
      <ns0:c r="B801" s="12">
        <ns0:f>A801*('前提と出典'!$C$36+'前提と出典'!$C$38)</ns0:f>
        <ns0:v>557.9</ns0:v>
      </ns0:c>
      <ns0:c r="C801" s="12">
        <ns0:f>A801*('前提と出典'!$C$37+'前提と出典'!$C$38)</ns0:f>
        <ns0:v>478.2</ns0:v>
      </ns0:c>
      <ns0:c r="D801" s="16">
        <ns0:f>A801*('前提と出典'!$C$36*'契約別単価'!C5+'前提と出典'!$C$37*'契約別単価'!C6+'前提と出典'!$C$38*'契約別単価'!C7)</ns0:f>
        <ns0:v>5734.8379888268155</ns0:v>
      </ns0:c>
      <ns0:c r="E801" s="16">
        <ns0:f>A801*('前提と出典'!$C$36*'契約別単価'!E5+'前提と出典'!$C$37*'契約別単価'!E6+'前提と出典'!$C$38*'契約別単価'!E7)</ns0:f>
        <ns0:v>1542150.8914156957</ns0:v>
      </ns0:c>
      <ns0:c r="F801" s="16">
        <ns0:f>A801*('前提と出典'!$C$36*'契約別単価'!F5+'前提と出典'!$C$37*'契約別単価'!F6+'前提と出典'!$C$38*'契約別単価'!F7)</ns0:f>
        <ns0:v>605238.1973240924</ns0:v>
      </ns0:c>
      <ns0:c r="G801" s="16">
        <ns0:f>A801*('前提と出典'!$C$36*'契約別単価'!G5+'前提と出典'!$C$37*'契約別単価'!G6+'前提と出典'!$C$38*'契約別単価'!G7)</ns0:f>
        <ns0:v>1586430.7262569831</ns0:v>
      </ns0:c>
      <ns0:c r="H801" s="16">
        <ns0:f>A801*('前提と出典'!$C$36*'契約別単価'!H5+'前提と出典'!$C$37*'契約別単価'!H6+'前提と出典'!$C$38*'契約別単価'!H7)</ns0:f>
        <ns0:v>550571.0277645208</ns0:v>
      </ns0:c>
      <ns0:c r="I801" s="16">
        <ns0:f>A801*('前提と出典'!$C$36*'契約別単価'!I5+'前提と出典'!$C$37*'契約別単価'!I6+'前提と出典'!$C$38*'契約別単価'!I7)</ns0:f>
        <ns0:v>33629.83798882681</ns0:v>
      </ns0:c>
      <ns0:c r="J801" s="16">
        <ns0:f>A801*('前提と出典'!$C$36*'契約別単価'!J5+'前提と出典'!$C$37*'契約別単価'!J6+'前提と出典'!$C$38*'契約別単価'!J7)</ns0:f>
        <ns0:v>78336.76633711114</ns0:v>
      </ns0:c>
      <ns0:c r="K801" s="16">
        <ns0:f>A801*('前提と出典'!$C$36*'契約別単価'!K5+'前提と出典'!$C$37*'契約別単価'!K6+'前提と出典'!$C$38*'契約別単価'!K7)</ns0:f>
        <ns0:v>335778.9199255121</ns0:v>
      </ns0:c>
      <ns0:c r="L801" s="16">
        <ns0:f>A801*('前提と出典'!$C$36*'契約別単価'!L5+'前提と出典'!$C$37*'契約別単価'!L6+'前提と出典'!$C$38*'契約別単価'!L7)</ns0:f>
        <ns0:v>273392.3675921507</ns0:v>
      </ns0:c>
      <ns0:c r="M801" s="16">
        <ns0:f>IF(('前提と出典'!$C$36+'前提と出典'!$C$38)=0,0,IF(B801&lt;=10,'前提と出典'!B73+'前提と出典'!C73,IF(B801&lt;=100,'前提と出典'!B74+'前提と出典'!C74,IF(B801&lt;=500,'前提と出典'!B75+'前提と出典'!C75,'前提と出典'!B76+'前提と出典'!C76))))</ns0:f>
        <ns0:v>80000</ns0:v>
      </ns0:c>
      <ns0:c r="N801" s="16">
        <ns0:f>IF(('前提と出典'!$C$37+'前提と出典'!$C$38)=0,0,IF(C801&lt;=10,'前提と出典'!D73+'前提と出典'!E73,IF(C801&lt;=100,'前提と出典'!D74+'前提と出典'!E74,IF(C801&lt;=500,'前提と出典'!D75+'前提と出典'!E75,'前提と出典'!D76+'前提と出典'!E76))))</ns0:f>
        <ns0:v>56510.9346263078</ns0:v>
      </ns0:c>
      <ns0:c r="O801" s="16">
        <ns0:f>IF('前提と出典'!$C$36+'前提と出典'!$C$38=0,0,'前提と出典'!$B$4*IF('前提と出典'!$B$20=0,MAX('前提と出典'!$B$6,D801*'前提と出典'!$B$5),'前提と出典'!$B$6+D801*'前提と出典'!$B$5))</ns0:f>
        <ns0:v>791407.6424581006</ns0:v>
      </ns0:c>
      <ns0:c r="P801" s="16">
        <ns0:f>(E801+G801)*(1-'前提と出典'!$B$7)-I801-K801-M801-O801</ns0:f>
        <ns0:v>1775136.279064023</ns0:v>
      </ns0:c>
      <ns0:c r="Q801" s="16">
        <ns0:f>(F801+H801)*(1-'前提と出典'!$B$7)-J801-L801-N801</ns0:f>
        <ns0:v>705960.0244298534</ns0:v>
      </ns0:c>
      <ns0:c r="R801" s="16">
        <ns0:f>P801-E801*'前提と出典'!$E$4</ns0:f>
        <ns0:v>1312491.011639314</ns0:v>
      </ns0:c>
      <ns0:c r="S801" s="16">
        <ns0:f>Q801-F801*'前提と出典'!$E$4</ns0:f>
        <ns0:v>524388.5652326257</ns0:v>
      </ns0:c>
      <ns0:c r="T801" s="7">
        <ns0:f>R801+S801</ns0:f>
        <ns0:v>1836879.5768719397</ns0:v>
      </ns0:c>
      <ns0:c r="U801" s="16">
        <ns0:f>P801-E801*'前提と出典'!$E$5</ns0:f>
        <ns0:v>1158275.9224977447</ns0:v>
      </ns0:c>
      <ns0:c r="V801" s="16">
        <ns0:f>Q801-F801*'前提と出典'!$E$5</ns0:f>
        <ns0:v>463864.7455002165</ns0:v>
      </ns0:c>
      <ns0:c r="W801" s="7">
        <ns0:f>U801+V801</ns0:f>
        <ns0:v>1622140.6679979612</ns0:v>
      </ns0:c>
      <ns0:c r="X801" s="16">
        <ns0:f>P801-E801*'前提と出典'!$E$6</ns0:f>
        <ns0:v>1004060.8333561751</ns0:v>
      </ns0:c>
      <ns0:c r="Y801" s="16">
        <ns0:f>Q801-F801*'前提と出典'!$E$6</ns0:f>
        <ns0:v>403340.9257678072</ns0:v>
      </ns0:c>
      <ns0:c r="Z801" s="7">
        <ns0:f>X801+Y801</ns0:f>
        <ns0:v>1407401.7591239824</ns0:v>
      </ns0:c>
      <ns0:c r="AA801" s="7">
        <ns0:f>IF(T801&gt;=0,A801,1001)</ns0:f>
        <ns0:v>797</ns0:v>
      </ns0:c>
      <ns0:c r="AB801" s="7">
        <ns0:f>IF(T801&lt;0,A801,0)</ns0:f>
        <ns0:v>0</ns0:v>
      </ns0:c>
      <ns0:c r="AC801" s="16">
        <ns0:f>IF(AND(OR('前提と出典'!$C$36+'前提と出典'!$C$38=0,R801&gt;=0),OR('前提と出典'!$C$37+'前提と出典'!$C$38=0,S801&gt;=0)),0,A801)</ns0:f>
        <ns0:v>0</ns0:v>
      </ns0:c>
      <ns0:c r="AD801" s="7">
        <ns0:f>IF(W801&gt;=0,A801,1001)</ns0:f>
        <ns0:v>797</ns0:v>
      </ns0:c>
      <ns0:c r="AE801" s="7">
        <ns0:f>IF(W801&lt;0,A801,0)</ns0:f>
        <ns0:v>0</ns0:v>
      </ns0:c>
      <ns0:c r="AF801" s="16">
        <ns0:f>IF(AND(OR('前提と出典'!$C$36+'前提と出典'!$C$38=0,U801&gt;=0),OR('前提と出典'!$C$37+'前提と出典'!$C$38=0,V801&gt;=0)),0,A801)</ns0:f>
        <ns0:v>0</ns0:v>
      </ns0:c>
      <ns0:c r="AG801" s="7">
        <ns0:f>IF(Z801&gt;=0,A801,1001)</ns0:f>
        <ns0:v>797</ns0:v>
      </ns0:c>
      <ns0:c r="AH801" s="4">
        <ns0:f>IF(Z801&lt;0,A801,0)</ns0:f>
        <ns0:v>0</ns0:v>
      </ns0:c>
      <ns0:c r="AI801" s="12">
        <ns0:f>IF(AND(OR('前提と出典'!$C$36+'前提と出典'!$C$38=0,X801&gt;=0),OR('前提と出典'!$C$37+'前提と出典'!$C$38=0,Y801&gt;=0)),0,A801)</ns0:f>
        <ns0:v>0</ns0:v>
      </ns0:c>
    </ns0:row>
    <ns0:row r="802" ht="24" customHeight="1">
      <ns0:c r="A802" s="4" t="n">
        <ns0:v>798</ns0:v>
      </ns0:c>
      <ns0:c r="B802" s="12">
        <ns0:f>A802*('前提と出典'!$C$36+'前提と出典'!$C$38)</ns0:f>
        <ns0:v>558.5999999999999</ns0:v>
      </ns0:c>
      <ns0:c r="C802" s="12">
        <ns0:f>A802*('前提と出典'!$C$37+'前提と出典'!$C$38)</ns0:f>
        <ns0:v>478.79999999999995</ns0:v>
      </ns0:c>
      <ns0:c r="D802" s="16">
        <ns0:f>A802*('前提と出典'!$C$36*'契約別単価'!C5+'前提と出典'!$C$37*'契約別単価'!C6+'前提と出典'!$C$38*'契約別単価'!C7)</ns0:f>
        <ns0:v>5742.033519553072</ns0:v>
      </ns0:c>
      <ns0:c r="E802" s="16">
        <ns0:f>A802*('前提と出典'!$C$36*'契約別単価'!E5+'前提と出典'!$C$37*'契約別単価'!E6+'前提と出典'!$C$38*'契約別単価'!E7)</ns0:f>
        <ns0:v>1544085.836072428</ns0:v>
      </ns0:c>
      <ns0:c r="F802" s="16">
        <ns0:f>A802*('前提と出典'!$C$36*'契約別単価'!F5+'前提と出典'!$C$37*'契約別単価'!F6+'前提と出典'!$C$38*'契約別単価'!F7)</ns0:f>
        <ns0:v>605997.5928037964</ns0:v>
      </ns0:c>
      <ns0:c r="G802" s="16">
        <ns0:f>A802*('前提と出典'!$C$36*'契約別単価'!G5+'前提と出典'!$C$37*'契約別単価'!G6+'前提と出典'!$C$38*'契約別単価'!G7)</ns0:f>
        <ns0:v>1588421.2290502794</ns0:v>
      </ns0:c>
      <ns0:c r="H802" s="16">
        <ns0:f>A802*('前提と出典'!$C$36*'契約別単価'!H5+'前提と出典'!$C$37*'契約別単価'!H6+'前提と出典'!$C$38*'契約別単価'!H7)</ns0:f>
        <ns0:v>551261.8320653546</ns0:v>
      </ns0:c>
      <ns0:c r="I802" s="16">
        <ns0:f>A802*('前提と出典'!$C$36*'契約別単価'!I5+'前提と出典'!$C$37*'契約別単価'!I6+'前提と出典'!$C$38*'契約別単価'!I7)</ns0:f>
        <ns0:v>33672.033519553064</ns0:v>
      </ns0:c>
      <ns0:c r="J802" s="16">
        <ns0:f>A802*('前提と出典'!$C$36*'契約別単価'!J5+'前提と出典'!$C$37*'契約別単価'!J6+'前提と出典'!$C$38*'契約別単価'!J7)</ns0:f>
        <ns0:v>78435.05588082146</ns0:v>
      </ns0:c>
      <ns0:c r="K802" s="16">
        <ns0:f>A802*('前提と出典'!$C$36*'契約別単価'!K5+'前提と出典'!$C$37*'契約別単価'!K6+'前提と出典'!$C$38*'契約別単価'!K7)</ns0:f>
        <ns0:v>336200.2234636871</ns0:v>
      </ns0:c>
      <ns0:c r="L802" s="16">
        <ns0:f>A802*('前提と出典'!$C$36*'契約別単価'!L5+'前提と出典'!$C$37*'契約別単価'!L6+'前提と出典'!$C$38*'契約別単価'!L7)</ns0:f>
        <ns0:v>273735.39440217847</ns0:v>
      </ns0:c>
      <ns0:c r="M802" s="16">
        <ns0:f>IF(('前提と出典'!$C$36+'前提と出典'!$C$38)=0,0,IF(B802&lt;=10,'前提と出典'!B73+'前提と出典'!C73,IF(B802&lt;=100,'前提と出典'!B74+'前提と出典'!C74,IF(B802&lt;=500,'前提と出典'!B75+'前提と出典'!C75,'前提と出典'!B76+'前提と出典'!C76))))</ns0:f>
        <ns0:v>80000</ns0:v>
      </ns0:c>
      <ns0:c r="N802" s="16">
        <ns0:f>IF(('前提と出典'!$C$37+'前提と出典'!$C$38)=0,0,IF(C802&lt;=10,'前提と出典'!D73+'前提と出典'!E73,IF(C802&lt;=100,'前提と出典'!D74+'前提と出典'!E74,IF(C802&lt;=500,'前提と出典'!D75+'前提と出典'!E75,'前提と出典'!D76+'前提と出典'!E76))))</ns0:f>
        <ns0:v>56510.9346263078</ns0:v>
      </ns0:c>
      <ns0:c r="O802" s="16">
        <ns0:f>IF('前提と出典'!$C$36+'前提と出典'!$C$38=0,0,'前提と出典'!$B$4*IF('前提と出典'!$B$20=0,MAX('前提と出典'!$B$6,D802*'前提と出典'!$B$5),'前提と出典'!$B$6+D802*'前提と出典'!$B$5))</ns0:f>
        <ns0:v>792400.6256983241</ns0:v>
      </ns0:c>
      <ns0:c r="P802" s="16">
        <ns0:f>(E802+G802)*(1-'前提と出典'!$B$7)-I802-K802-M802-O802</ns0:f>
        <ns0:v>1777463.9280967258</ns0:v>
      </ns0:c>
      <ns0:c r="Q802" s="16">
        <ns0:f>(F802+H802)*(1-'前提と出典'!$B$7)-J802-L802-N802</ns0:f>
        <ns0:v>706916.7006645538</ns0:v>
      </ns0:c>
      <ns0:c r="R802" s="16">
        <ns0:f>P802-E802*'前提と出典'!$E$4</ns0:f>
        <ns0:v>1314238.1772749976</ns0:v>
      </ns0:c>
      <ns0:c r="S802" s="16">
        <ns0:f>Q802-F802*'前提と出典'!$E$4</ns0:f>
        <ns0:v>525117.4228234148</ns0:v>
      </ns0:c>
      <ns0:c r="T802" s="7">
        <ns0:f>R802+S802</ns0:f>
        <ns0:v>1839355.6000984125</ns0:v>
      </ns0:c>
      <ns0:c r="U802" s="16">
        <ns0:f>P802-E802*'前提と出典'!$E$5</ns0:f>
        <ns0:v>1159829.5936677547</ns0:v>
      </ns0:c>
      <ns0:c r="V802" s="16">
        <ns0:f>Q802-F802*'前提と出典'!$E$5</ns0:f>
        <ns0:v>464517.66354303516</ns0:v>
      </ns0:c>
      <ns0:c r="W802" s="7">
        <ns0:f>U802+V802</ns0:f>
        <ns0:v>1624347.2572107897</ns0:v>
      </ns0:c>
      <ns0:c r="X802" s="16">
        <ns0:f>P802-E802*'前提と出典'!$E$6</ns0:f>
        <ns0:v>1005421.0100605118</ns0:v>
      </ns0:c>
      <ns0:c r="Y802" s="16">
        <ns0:f>Q802-F802*'前提と出典'!$E$6</ns0:f>
        <ns0:v>403917.90426265553</ns0:v>
      </ns0:c>
      <ns0:c r="Z802" s="7">
        <ns0:f>X802+Y802</ns0:f>
        <ns0:v>1409338.9143231674</ns0:v>
      </ns0:c>
      <ns0:c r="AA802" s="7">
        <ns0:f>IF(T802&gt;=0,A802,1001)</ns0:f>
        <ns0:v>798</ns0:v>
      </ns0:c>
      <ns0:c r="AB802" s="7">
        <ns0:f>IF(T802&lt;0,A802,0)</ns0:f>
        <ns0:v>0</ns0:v>
      </ns0:c>
      <ns0:c r="AC802" s="16">
        <ns0:f>IF(AND(OR('前提と出典'!$C$36+'前提と出典'!$C$38=0,R802&gt;=0),OR('前提と出典'!$C$37+'前提と出典'!$C$38=0,S802&gt;=0)),0,A802)</ns0:f>
        <ns0:v>0</ns0:v>
      </ns0:c>
      <ns0:c r="AD802" s="7">
        <ns0:f>IF(W802&gt;=0,A802,1001)</ns0:f>
        <ns0:v>798</ns0:v>
      </ns0:c>
      <ns0:c r="AE802" s="7">
        <ns0:f>IF(W802&lt;0,A802,0)</ns0:f>
        <ns0:v>0</ns0:v>
      </ns0:c>
      <ns0:c r="AF802" s="16">
        <ns0:f>IF(AND(OR('前提と出典'!$C$36+'前提と出典'!$C$38=0,U802&gt;=0),OR('前提と出典'!$C$37+'前提と出典'!$C$38=0,V802&gt;=0)),0,A802)</ns0:f>
        <ns0:v>0</ns0:v>
      </ns0:c>
      <ns0:c r="AG802" s="7">
        <ns0:f>IF(Z802&gt;=0,A802,1001)</ns0:f>
        <ns0:v>798</ns0:v>
      </ns0:c>
      <ns0:c r="AH802" s="4">
        <ns0:f>IF(Z802&lt;0,A802,0)</ns0:f>
        <ns0:v>0</ns0:v>
      </ns0:c>
      <ns0:c r="AI802" s="12">
        <ns0:f>IF(AND(OR('前提と出典'!$C$36+'前提と出典'!$C$38=0,X802&gt;=0),OR('前提と出典'!$C$37+'前提と出典'!$C$38=0,Y802&gt;=0)),0,A802)</ns0:f>
        <ns0:v>0</ns0:v>
      </ns0:c>
    </ns0:row>
    <ns0:row r="803" ht="24" customHeight="1">
      <ns0:c r="A803" s="4" t="n">
        <ns0:v>799</ns0:v>
      </ns0:c>
      <ns0:c r="B803" s="12">
        <ns0:f>A803*('前提と出典'!$C$36+'前提と出典'!$C$38)</ns0:f>
        <ns0:v>559.3</ns0:v>
      </ns0:c>
      <ns0:c r="C803" s="12">
        <ns0:f>A803*('前提と出典'!$C$37+'前提と出典'!$C$38)</ns0:f>
        <ns0:v>479.4</ns0:v>
      </ns0:c>
      <ns0:c r="D803" s="16">
        <ns0:f>A803*('前提と出典'!$C$36*'契約別単価'!C5+'前提と出典'!$C$37*'契約別単価'!C6+'前提と出典'!$C$38*'契約別単価'!C7)</ns0:f>
        <ns0:v>5749.229050279329</ns0:v>
      </ns0:c>
      <ns0:c r="E803" s="16">
        <ns0:f>A803*('前提と出典'!$C$36*'契約別単価'!E5+'前提と出典'!$C$37*'契約別単価'!E6+'前提と出典'!$C$38*'契約別単価'!E7)</ns0:f>
        <ns0:v>1546020.7807291604</ns0:v>
      </ns0:c>
      <ns0:c r="F803" s="16">
        <ns0:f>A803*('前提と出典'!$C$36*'契約別単価'!F5+'前提と出典'!$C$37*'契約別単価'!F6+'前提と出典'!$C$38*'契約別単価'!F7)</ns0:f>
        <ns0:v>606756.9882835004</ns0:v>
      </ns0:c>
      <ns0:c r="G803" s="16">
        <ns0:f>A803*('前提と出典'!$C$36*'契約別単価'!G5+'前提と出典'!$C$37*'契約別単価'!G6+'前提と出典'!$C$38*'契約別単価'!G7)</ns0:f>
        <ns0:v>1590411.7318435754</ns0:v>
      </ns0:c>
      <ns0:c r="H803" s="16">
        <ns0:f>A803*('前提と出典'!$C$36*'契約別単価'!H5+'前提と出典'!$C$37*'契約別単価'!H6+'前提と出典'!$C$38*'契約別単価'!H7)</ns0:f>
        <ns0:v>551952.6363661884</ns0:v>
      </ns0:c>
      <ns0:c r="I803" s="16">
        <ns0:f>A803*('前提と出典'!$C$36*'契約別単価'!I5+'前提と出典'!$C$37*'契約別単価'!I6+'前提と出典'!$C$38*'契約別単価'!I7)</ns0:f>
        <ns0:v>33714.229050279326</ns0:v>
      </ns0:c>
      <ns0:c r="J803" s="16">
        <ns0:f>A803*('前提と出典'!$C$36*'契約別単価'!J5+'前提と出典'!$C$37*'契約別単価'!J6+'前提と出典'!$C$38*'契約別単価'!J7)</ns0:f>
        <ns0:v>78533.34542453176</ns0:v>
      </ns0:c>
      <ns0:c r="K803" s="16">
        <ns0:f>A803*('前提と出典'!$C$36*'契約別単価'!K5+'前提と出典'!$C$37*'契約別単価'!K6+'前提と出典'!$C$38*'契約別単価'!K7)</ns0:f>
        <ns0:v>336621.5270018622</ns0:v>
      </ns0:c>
      <ns0:c r="L803" s="16">
        <ns0:f>A803*('前提と出典'!$C$36*'契約別単価'!L5+'前提と出典'!$C$37*'契約別単価'!L6+'前提と出典'!$C$38*'契約別単価'!L7)</ns0:f>
        <ns0:v>274078.42121220625</ns0:v>
      </ns0:c>
      <ns0:c r="M803" s="16">
        <ns0:f>IF(('前提と出典'!$C$36+'前提と出典'!$C$38)=0,0,IF(B803&lt;=10,'前提と出典'!B73+'前提と出典'!C73,IF(B803&lt;=100,'前提と出典'!B74+'前提と出典'!C74,IF(B803&lt;=500,'前提と出典'!B75+'前提と出典'!C75,'前提と出典'!B76+'前提と出典'!C76))))</ns0:f>
        <ns0:v>80000</ns0:v>
      </ns0:c>
      <ns0:c r="N803" s="16">
        <ns0:f>IF(('前提と出典'!$C$37+'前提と出典'!$C$38)=0,0,IF(C803&lt;=10,'前提と出典'!D73+'前提と出典'!E73,IF(C803&lt;=100,'前提と出典'!D74+'前提と出典'!E74,IF(C803&lt;=500,'前提と出典'!D75+'前提と出典'!E75,'前提と出典'!D76+'前提と出典'!E76))))</ns0:f>
        <ns0:v>56510.9346263078</ns0:v>
      </ns0:c>
      <ns0:c r="O803" s="16">
        <ns0:f>IF('前提と出典'!$C$36+'前提と出典'!$C$38=0,0,'前提と出典'!$B$4*IF('前提と出典'!$B$20=0,MAX('前提と出典'!$B$6,D803*'前提と出典'!$B$5),'前提と出典'!$B$6+D803*'前提と出典'!$B$5))</ns0:f>
        <ns0:v>793393.6089385475</ns0:v>
      </ns0:c>
      <ns0:c r="P803" s="16">
        <ns0:f>(E803+G803)*(1-'前提と出典'!$B$7)-I803-K803-M803-O803</ns0:f>
        <ns0:v>1779791.5771294283</ns0:v>
      </ns0:c>
      <ns0:c r="Q803" s="16">
        <ns0:f>(F803+H803)*(1-'前提と出典'!$B$7)-J803-L803-N803</ns0:f>
        <ns0:v>707873.3768992543</ns0:v>
      </ns0:c>
      <ns0:c r="R803" s="16">
        <ns0:f>P803-E803*'前提と出典'!$E$4</ns0:f>
        <ns0:v>1315985.3429106802</ns0:v>
      </ns0:c>
      <ns0:c r="S803" s="16">
        <ns0:f>Q803-F803*'前提と出典'!$E$4</ns0:f>
        <ns0:v>525846.2804142041</ns0:v>
      </ns0:c>
      <ns0:c r="T803" s="7">
        <ns0:f>R803+S803</ns0:f>
        <ns0:v>1841831.6233248843</ns0:v>
      </ns0:c>
      <ns0:c r="U803" s="16">
        <ns0:f>P803-E803*'前提と出典'!$E$5</ns0:f>
        <ns0:v>1161383.2648377642</ns0:v>
      </ns0:c>
      <ns0:c r="V803" s="16">
        <ns0:f>Q803-F803*'前提と出典'!$E$5</ns0:f>
        <ns0:v>465170.58158585406</ns0:v>
      </ns0:c>
      <ns0:c r="W803" s="7">
        <ns0:f>U803+V803</ns0:f>
        <ns0:v>1626553.8464236183</ns0:v>
      </ns0:c>
      <ns0:c r="X803" s="16">
        <ns0:f>P803-E803*'前提と出典'!$E$6</ns0:f>
        <ns0:v>1006781.186764848</ns0:v>
      </ns0:c>
      <ns0:c r="Y803" s="16">
        <ns0:f>Q803-F803*'前提と出典'!$E$6</ns0:f>
        <ns0:v>404494.882757504</ns0:v>
      </ns0:c>
      <ns0:c r="Z803" s="7">
        <ns0:f>X803+Y803</ns0:f>
        <ns0:v>1411276.069522352</ns0:v>
      </ns0:c>
      <ns0:c r="AA803" s="7">
        <ns0:f>IF(T803&gt;=0,A803,1001)</ns0:f>
        <ns0:v>799</ns0:v>
      </ns0:c>
      <ns0:c r="AB803" s="7">
        <ns0:f>IF(T803&lt;0,A803,0)</ns0:f>
        <ns0:v>0</ns0:v>
      </ns0:c>
      <ns0:c r="AC803" s="16">
        <ns0:f>IF(AND(OR('前提と出典'!$C$36+'前提と出典'!$C$38=0,R803&gt;=0),OR('前提と出典'!$C$37+'前提と出典'!$C$38=0,S803&gt;=0)),0,A803)</ns0:f>
        <ns0:v>0</ns0:v>
      </ns0:c>
      <ns0:c r="AD803" s="7">
        <ns0:f>IF(W803&gt;=0,A803,1001)</ns0:f>
        <ns0:v>799</ns0:v>
      </ns0:c>
      <ns0:c r="AE803" s="7">
        <ns0:f>IF(W803&lt;0,A803,0)</ns0:f>
        <ns0:v>0</ns0:v>
      </ns0:c>
      <ns0:c r="AF803" s="16">
        <ns0:f>IF(AND(OR('前提と出典'!$C$36+'前提と出典'!$C$38=0,U803&gt;=0),OR('前提と出典'!$C$37+'前提と出典'!$C$38=0,V803&gt;=0)),0,A803)</ns0:f>
        <ns0:v>0</ns0:v>
      </ns0:c>
      <ns0:c r="AG803" s="7">
        <ns0:f>IF(Z803&gt;=0,A803,1001)</ns0:f>
        <ns0:v>799</ns0:v>
      </ns0:c>
      <ns0:c r="AH803" s="4">
        <ns0:f>IF(Z803&lt;0,A803,0)</ns0:f>
        <ns0:v>0</ns0:v>
      </ns0:c>
      <ns0:c r="AI803" s="12">
        <ns0:f>IF(AND(OR('前提と出典'!$C$36+'前提と出典'!$C$38=0,X803&gt;=0),OR('前提と出典'!$C$37+'前提と出典'!$C$38=0,Y803&gt;=0)),0,A803)</ns0:f>
        <ns0:v>0</ns0:v>
      </ns0:c>
    </ns0:row>
    <ns0:row r="804" ht="24" customHeight="1">
      <ns0:c r="A804" s="4" t="n">
        <ns0:v>800</ns0:v>
      </ns0:c>
      <ns0:c r="B804" s="12">
        <ns0:f>A804*('前提と出典'!$C$36+'前提と出典'!$C$38)</ns0:f>
        <ns0:v>560</ns0:v>
      </ns0:c>
      <ns0:c r="C804" s="12">
        <ns0:f>A804*('前提と出典'!$C$37+'前提と出典'!$C$38)</ns0:f>
        <ns0:v>480</ns0:v>
      </ns0:c>
      <ns0:c r="D804" s="16">
        <ns0:f>A804*('前提と出典'!$C$36*'契約別単価'!C5+'前提と出典'!$C$37*'契約別単価'!C6+'前提と出典'!$C$38*'契約別単価'!C7)</ns0:f>
        <ns0:v>5756.424581005586</ns0:v>
      </ns0:c>
      <ns0:c r="E804" s="16">
        <ns0:f>A804*('前提と出典'!$C$36*'契約別単価'!E5+'前提と出典'!$C$37*'契約別単価'!E6+'前提と出典'!$C$38*'契約別単価'!E7)</ns0:f>
        <ns0:v>1547955.7253858927</ns0:v>
      </ns0:c>
      <ns0:c r="F804" s="16">
        <ns0:f>A804*('前提と出典'!$C$36*'契約別単価'!F5+'前提と出典'!$C$37*'契約別単価'!F6+'前提と出典'!$C$38*'契約別単価'!F7)</ns0:f>
        <ns0:v>607516.3837632044</ns0:v>
      </ns0:c>
      <ns0:c r="G804" s="16">
        <ns0:f>A804*('前提と出典'!$C$36*'契約別単価'!G5+'前提と出典'!$C$37*'契約別単価'!G6+'前提と出典'!$C$38*'契約別単価'!G7)</ns0:f>
        <ns0:v>1592402.2346368714</ns0:v>
      </ns0:c>
      <ns0:c r="H804" s="16">
        <ns0:f>A804*('前提と出典'!$C$36*'契約別単価'!H5+'前提と出典'!$C$37*'契約別単価'!H6+'前提と出典'!$C$38*'契約別単価'!H7)</ns0:f>
        <ns0:v>552643.4406670221</ns0:v>
      </ns0:c>
      <ns0:c r="I804" s="16">
        <ns0:f>A804*('前提と出典'!$C$36*'契約別単価'!I5+'前提と出典'!$C$37*'契約別単価'!I6+'前提と出典'!$C$38*'契約別単価'!I7)</ns0:f>
        <ns0:v>33756.42458100558</ns0:v>
      </ns0:c>
      <ns0:c r="J804" s="16">
        <ns0:f>A804*('前提と出典'!$C$36*'契約別単価'!J5+'前提と出典'!$C$37*'契約別単価'!J6+'前提と出典'!$C$38*'契約別単価'!J7)</ns0:f>
        <ns0:v>78631.63496824206</ns0:v>
      </ns0:c>
      <ns0:c r="K804" s="16">
        <ns0:f>A804*('前提と出典'!$C$36*'契約別単価'!K5+'前提と出典'!$C$37*'契約別単価'!K6+'前提と出典'!$C$38*'契約別単価'!K7)</ns0:f>
        <ns0:v>337042.83054003725</ns0:v>
      </ns0:c>
      <ns0:c r="L804" s="16">
        <ns0:f>A804*('前提と出典'!$C$36*'契約別単価'!L5+'前提と出典'!$C$37*'契約別単価'!L6+'前提と出典'!$C$38*'契約別単価'!L7)</ns0:f>
        <ns0:v>274421.4480222341</ns0:v>
      </ns0:c>
      <ns0:c r="M804" s="16">
        <ns0:f>IF(('前提と出典'!$C$36+'前提と出典'!$C$38)=0,0,IF(B804&lt;=10,'前提と出典'!B73+'前提と出典'!C73,IF(B804&lt;=100,'前提と出典'!B74+'前提と出典'!C74,IF(B804&lt;=500,'前提と出典'!B75+'前提と出典'!C75,'前提と出典'!B76+'前提と出典'!C76))))</ns0:f>
        <ns0:v>80000</ns0:v>
      </ns0:c>
      <ns0:c r="N804" s="16">
        <ns0:f>IF(('前提と出典'!$C$37+'前提と出典'!$C$38)=0,0,IF(C804&lt;=10,'前提と出典'!D73+'前提と出典'!E73,IF(C804&lt;=100,'前提と出典'!D74+'前提と出典'!E74,IF(C804&lt;=500,'前提と出典'!D75+'前提と出典'!E75,'前提と出典'!D76+'前提と出典'!E76))))</ns0:f>
        <ns0:v>56510.9346263078</ns0:v>
      </ns0:c>
      <ns0:c r="O804" s="16">
        <ns0:f>IF('前提と出典'!$C$36+'前提と出典'!$C$38=0,0,'前提と出典'!$B$4*IF('前提と出典'!$B$20=0,MAX('前提と出典'!$B$6,D804*'前提と出典'!$B$5),'前提と出典'!$B$6+D804*'前提と出典'!$B$5))</ns0:f>
        <ns0:v>794386.5921787709</ns0:v>
      </ns0:c>
      <ns0:c r="P804" s="16">
        <ns0:f>(E804+G804)*(1-'前提と出典'!$B$7)-I804-K804-M804-O804</ns0:f>
        <ns0:v>1782119.226162131</ns0:v>
      </ns0:c>
      <ns0:c r="Q804" s="16">
        <ns0:f>(F804+H804)*(1-'前提と出典'!$B$7)-J804-L804-N804</ns0:f>
        <ns0:v>708830.0531339545</ns0:v>
      </ns0:c>
      <ns0:c r="R804" s="16">
        <ns0:f>P804-E804*'前提と出典'!$E$4</ns0:f>
        <ns0:v>1317732.508546363</ns0:v>
      </ns0:c>
      <ns0:c r="S804" s="16">
        <ns0:f>Q804-F804*'前提と出典'!$E$4</ns0:f>
        <ns0:v>526575.1380049931</ns0:v>
      </ns0:c>
      <ns0:c r="T804" s="7">
        <ns0:f>R804+S804</ns0:f>
        <ns0:v>1844307.6465513562</ns0:v>
      </ns0:c>
      <ns0:c r="U804" s="16">
        <ns0:f>P804-E804*'前提と出典'!$E$5</ns0:f>
        <ns0:v>1162936.936007774</ns0:v>
      </ns0:c>
      <ns0:c r="V804" s="16">
        <ns0:f>Q804-F804*'前提と出典'!$E$5</ns0:f>
        <ns0:v>465823.49962867267</ns0:v>
      </ns0:c>
      <ns0:c r="W804" s="7">
        <ns0:f>U804+V804</ns0:f>
        <ns0:v>1628760.4356364466</ns0:v>
      </ns0:c>
      <ns0:c r="X804" s="16">
        <ns0:f>P804-E804*'前提と出典'!$E$6</ns0:f>
        <ns0:v>1008141.3634691843</ns0:v>
      </ns0:c>
      <ns0:c r="Y804" s="16">
        <ns0:f>Q804-F804*'前提と出典'!$E$6</ns0:f>
        <ns0:v>405071.8612523523</ns0:v>
      </ns0:c>
      <ns0:c r="Z804" s="7">
        <ns0:f>X804+Y804</ns0:f>
        <ns0:v>1413213.2247215365</ns0:v>
      </ns0:c>
      <ns0:c r="AA804" s="7">
        <ns0:f>IF(T804&gt;=0,A804,1001)</ns0:f>
        <ns0:v>800</ns0:v>
      </ns0:c>
      <ns0:c r="AB804" s="7">
        <ns0:f>IF(T804&lt;0,A804,0)</ns0:f>
        <ns0:v>0</ns0:v>
      </ns0:c>
      <ns0:c r="AC804" s="16">
        <ns0:f>IF(AND(OR('前提と出典'!$C$36+'前提と出典'!$C$38=0,R804&gt;=0),OR('前提と出典'!$C$37+'前提と出典'!$C$38=0,S804&gt;=0)),0,A804)</ns0:f>
        <ns0:v>0</ns0:v>
      </ns0:c>
      <ns0:c r="AD804" s="7">
        <ns0:f>IF(W804&gt;=0,A804,1001)</ns0:f>
        <ns0:v>800</ns0:v>
      </ns0:c>
      <ns0:c r="AE804" s="7">
        <ns0:f>IF(W804&lt;0,A804,0)</ns0:f>
        <ns0:v>0</ns0:v>
      </ns0:c>
      <ns0:c r="AF804" s="16">
        <ns0:f>IF(AND(OR('前提と出典'!$C$36+'前提と出典'!$C$38=0,U804&gt;=0),OR('前提と出典'!$C$37+'前提と出典'!$C$38=0,V804&gt;=0)),0,A804)</ns0:f>
        <ns0:v>0</ns0:v>
      </ns0:c>
      <ns0:c r="AG804" s="7">
        <ns0:f>IF(Z804&gt;=0,A804,1001)</ns0:f>
        <ns0:v>800</ns0:v>
      </ns0:c>
      <ns0:c r="AH804" s="4">
        <ns0:f>IF(Z804&lt;0,A804,0)</ns0:f>
        <ns0:v>0</ns0:v>
      </ns0:c>
      <ns0:c r="AI804" s="12">
        <ns0:f>IF(AND(OR('前提と出典'!$C$36+'前提と出典'!$C$38=0,X804&gt;=0),OR('前提と出典'!$C$37+'前提と出典'!$C$38=0,Y804&gt;=0)),0,A804)</ns0:f>
        <ns0:v>0</ns0:v>
      </ns0:c>
    </ns0:row>
    <ns0:row r="805" ht="24" customHeight="1">
      <ns0:c r="A805" s="4" t="n">
        <ns0:v>801</ns0:v>
      </ns0:c>
      <ns0:c r="B805" s="12">
        <ns0:f>A805*('前提と出典'!$C$36+'前提と出典'!$C$38)</ns0:f>
        <ns0:v>560.6999999999999</ns0:v>
      </ns0:c>
      <ns0:c r="C805" s="12">
        <ns0:f>A805*('前提と出典'!$C$37+'前提と出典'!$C$38)</ns0:f>
        <ns0:v>480.59999999999997</ns0:v>
      </ns0:c>
      <ns0:c r="D805" s="16">
        <ns0:f>A805*('前提と出典'!$C$36*'契約別単価'!C5+'前提と出典'!$C$37*'契約別単価'!C6+'前提と出典'!$C$38*'契約別単価'!C7)</ns0:f>
        <ns0:v>5763.620111731843</ns0:v>
      </ns0:c>
      <ns0:c r="E805" s="16">
        <ns0:f>A805*('前提と出典'!$C$36*'契約別単価'!E5+'前提と出典'!$C$37*'契約別単価'!E6+'前提と出典'!$C$38*'契約別単価'!E7)</ns0:f>
        <ns0:v>1549890.6700426252</ns0:v>
      </ns0:c>
      <ns0:c r="F805" s="16">
        <ns0:f>A805*('前提と出典'!$C$36*'契約別単価'!F5+'前提と出典'!$C$37*'契約別単価'!F6+'前提と出典'!$C$38*'契約別単価'!F7)</ns0:f>
        <ns0:v>608275.7792429085</ns0:v>
      </ns0:c>
      <ns0:c r="G805" s="16">
        <ns0:f>A805*('前提と出典'!$C$36*'契約別単価'!G5+'前提と出典'!$C$37*'契約別単価'!G6+'前提と出典'!$C$38*'契約別単価'!G7)</ns0:f>
        <ns0:v>1594392.7374301676</ns0:v>
      </ns0:c>
      <ns0:c r="H805" s="16">
        <ns0:f>A805*('前提と出典'!$C$36*'契約別単価'!H5+'前提と出典'!$C$37*'契約別単価'!H6+'前提と出典'!$C$38*'契約別単価'!H7)</ns0:f>
        <ns0:v>553334.244967856</ns0:v>
      </ns0:c>
      <ns0:c r="I805" s="16">
        <ns0:f>A805*('前提と出典'!$C$36*'契約別単価'!I5+'前提と出典'!$C$37*'契約別単価'!I6+'前提と出典'!$C$38*'契約別単価'!I7)</ns0:f>
        <ns0:v>33798.62011173184</ns0:v>
      </ns0:c>
      <ns0:c r="J805" s="16">
        <ns0:f>A805*('前提と出典'!$C$36*'契約別単価'!J5+'前提と出典'!$C$37*'契約別単価'!J6+'前提と出典'!$C$38*'契約別単価'!J7)</ns0:f>
        <ns0:v>78729.92451195235</ns0:v>
      </ns0:c>
      <ns0:c r="K805" s="16">
        <ns0:f>A805*('前提と出典'!$C$36*'契約別単価'!K5+'前提と出典'!$C$37*'契約別単価'!K6+'前提と出典'!$C$38*'契約別単価'!K7)</ns0:f>
        <ns0:v>337464.13407821226</ns0:v>
      </ns0:c>
      <ns0:c r="L805" s="16">
        <ns0:f>A805*('前提と出典'!$C$36*'契約別単価'!L5+'前提と出典'!$C$37*'契約別単価'!L6+'前提と出典'!$C$38*'契約別単価'!L7)</ns0:f>
        <ns0:v>274764.47483226185</ns0:v>
      </ns0:c>
      <ns0:c r="M805" s="16">
        <ns0:f>IF(('前提と出典'!$C$36+'前提と出典'!$C$38)=0,0,IF(B805&lt;=10,'前提と出典'!B73+'前提と出典'!C73,IF(B805&lt;=100,'前提と出典'!B74+'前提と出典'!C74,IF(B805&lt;=500,'前提と出典'!B75+'前提と出典'!C75,'前提と出典'!B76+'前提と出典'!C76))))</ns0:f>
        <ns0:v>80000</ns0:v>
      </ns0:c>
      <ns0:c r="N805" s="16">
        <ns0:f>IF(('前提と出典'!$C$37+'前提と出典'!$C$38)=0,0,IF(C805&lt;=10,'前提と出典'!D73+'前提と出典'!E73,IF(C805&lt;=100,'前提と出典'!D74+'前提と出典'!E74,IF(C805&lt;=500,'前提と出典'!D75+'前提と出典'!E75,'前提と出典'!D76+'前提と出典'!E76))))</ns0:f>
        <ns0:v>56510.9346263078</ns0:v>
      </ns0:c>
      <ns0:c r="O805" s="16">
        <ns0:f>IF('前提と出典'!$C$36+'前提と出典'!$C$38=0,0,'前提と出典'!$B$4*IF('前提と出典'!$B$20=0,MAX('前提と出典'!$B$6,D805*'前提と出典'!$B$5),'前提と出典'!$B$6+D805*'前提と出典'!$B$5))</ns0:f>
        <ns0:v>795379.5754189944</ns0:v>
      </ns0:c>
      <ns0:c r="P805" s="16">
        <ns0:f>(E805+G805)*(1-'前提と出典'!$B$7)-I805-K805-M805-O805</ns0:f>
        <ns0:v>1784446.8751948338</ns0:v>
      </ns0:c>
      <ns0:c r="Q805" s="16">
        <ns0:f>(F805+H805)*(1-'前提と出典'!$B$7)-J805-L805-N805</ns0:f>
        <ns0:v>709786.729368655</ns0:v>
      </ns0:c>
      <ns0:c r="R805" s="16">
        <ns0:f>P805-E805*'前提と出典'!$E$4</ns0:f>
        <ns0:v>1319479.6741820467</ns0:v>
      </ns0:c>
      <ns0:c r="S805" s="16">
        <ns0:f>Q805-F805*'前提と出典'!$E$4</ns0:f>
        <ns0:v>527303.9955957825</ns0:v>
      </ns0:c>
      <ns0:c r="T805" s="7">
        <ns0:f>R805+S805</ns0:f>
        <ns0:v>1846783.6697778292</ns0:v>
      </ns0:c>
      <ns0:c r="U805" s="16">
        <ns0:f>P805-E805*'前提と出典'!$E$5</ns0:f>
        <ns0:v>1164490.6071777837</ns0:v>
      </ns0:c>
      <ns0:c r="V805" s="16">
        <ns0:f>Q805-F805*'前提と出典'!$E$5</ns0:f>
        <ns0:v>466476.4176714917</ns0:v>
      </ns0:c>
      <ns0:c r="W805" s="7">
        <ns0:f>U805+V805</ns0:f>
        <ns0:v>1630967.0248492754</ns0:v>
      </ns0:c>
      <ns0:c r="X805" s="16">
        <ns0:f>P805-E805*'前提と出典'!$E$6</ns0:f>
        <ns0:v>1009501.5401735214</ns0:v>
      </ns0:c>
      <ns0:c r="Y805" s="16">
        <ns0:f>Q805-F805*'前提と出典'!$E$6</ns0:f>
        <ns0:v>405648.8397472008</ns0:v>
      </ns0:c>
      <ns0:c r="Z805" s="7">
        <ns0:f>X805+Y805</ns0:f>
        <ns0:v>1415150.3799207222</ns0:v>
      </ns0:c>
      <ns0:c r="AA805" s="7">
        <ns0:f>IF(T805&gt;=0,A805,1001)</ns0:f>
        <ns0:v>801</ns0:v>
      </ns0:c>
      <ns0:c r="AB805" s="7">
        <ns0:f>IF(T805&lt;0,A805,0)</ns0:f>
        <ns0:v>0</ns0:v>
      </ns0:c>
      <ns0:c r="AC805" s="16">
        <ns0:f>IF(AND(OR('前提と出典'!$C$36+'前提と出典'!$C$38=0,R805&gt;=0),OR('前提と出典'!$C$37+'前提と出典'!$C$38=0,S805&gt;=0)),0,A805)</ns0:f>
        <ns0:v>0</ns0:v>
      </ns0:c>
      <ns0:c r="AD805" s="7">
        <ns0:f>IF(W805&gt;=0,A805,1001)</ns0:f>
        <ns0:v>801</ns0:v>
      </ns0:c>
      <ns0:c r="AE805" s="7">
        <ns0:f>IF(W805&lt;0,A805,0)</ns0:f>
        <ns0:v>0</ns0:v>
      </ns0:c>
      <ns0:c r="AF805" s="16">
        <ns0:f>IF(AND(OR('前提と出典'!$C$36+'前提と出典'!$C$38=0,U805&gt;=0),OR('前提と出典'!$C$37+'前提と出典'!$C$38=0,V805&gt;=0)),0,A805)</ns0:f>
        <ns0:v>0</ns0:v>
      </ns0:c>
      <ns0:c r="AG805" s="7">
        <ns0:f>IF(Z805&gt;=0,A805,1001)</ns0:f>
        <ns0:v>801</ns0:v>
      </ns0:c>
      <ns0:c r="AH805" s="4">
        <ns0:f>IF(Z805&lt;0,A805,0)</ns0:f>
        <ns0:v>0</ns0:v>
      </ns0:c>
      <ns0:c r="AI805" s="12">
        <ns0:f>IF(AND(OR('前提と出典'!$C$36+'前提と出典'!$C$38=0,X805&gt;=0),OR('前提と出典'!$C$37+'前提と出典'!$C$38=0,Y805&gt;=0)),0,A805)</ns0:f>
        <ns0:v>0</ns0:v>
      </ns0:c>
    </ns0:row>
    <ns0:row r="806" ht="24" customHeight="1">
      <ns0:c r="A806" s="4" t="n">
        <ns0:v>802</ns0:v>
      </ns0:c>
      <ns0:c r="B806" s="12">
        <ns0:f>A806*('前提と出典'!$C$36+'前提と出典'!$C$38)</ns0:f>
        <ns0:v>561.4</ns0:v>
      </ns0:c>
      <ns0:c r="C806" s="12">
        <ns0:f>A806*('前提と出典'!$C$37+'前提と出典'!$C$38)</ns0:f>
        <ns0:v>481.2</ns0:v>
      </ns0:c>
      <ns0:c r="D806" s="16">
        <ns0:f>A806*('前提と出典'!$C$36*'契約別単価'!C5+'前提と出典'!$C$37*'契約別単価'!C6+'前提と出典'!$C$38*'契約別単価'!C7)</ns0:f>
        <ns0:v>5770.8156424581</ns0:v>
      </ns0:c>
      <ns0:c r="E806" s="16">
        <ns0:f>A806*('前提と出典'!$C$36*'契約別単価'!E5+'前提と出典'!$C$37*'契約別単価'!E6+'前提と出典'!$C$38*'契約別単価'!E7)</ns0:f>
        <ns0:v>1551825.6146993574</ns0:v>
      </ns0:c>
      <ns0:c r="F806" s="16">
        <ns0:f>A806*('前提と出典'!$C$36*'契約別単価'!F5+'前提と出典'!$C$37*'契約別単価'!F6+'前提と出典'!$C$38*'契約別単価'!F7)</ns0:f>
        <ns0:v>609035.1747226125</ns0:v>
      </ns0:c>
      <ns0:c r="G806" s="16">
        <ns0:f>A806*('前提と出典'!$C$36*'契約別単価'!G5+'前提と出典'!$C$37*'契約別単価'!G6+'前提と出典'!$C$38*'契約別単価'!G7)</ns0:f>
        <ns0:v>1596383.2402234636</ns0:v>
      </ns0:c>
      <ns0:c r="H806" s="16">
        <ns0:f>A806*('前提と出典'!$C$36*'契約別単価'!H5+'前提と出典'!$C$37*'契約別単価'!H6+'前提と出典'!$C$38*'契約別単価'!H7)</ns0:f>
        <ns0:v>554025.0492686897</ns0:v>
      </ns0:c>
      <ns0:c r="I806" s="16">
        <ns0:f>A806*('前提と出典'!$C$36*'契約別単価'!I5+'前提と出典'!$C$37*'契約別単価'!I6+'前提と出典'!$C$38*'契約別単価'!I7)</ns0:f>
        <ns0:v>33840.815642458096</ns0:v>
      </ns0:c>
      <ns0:c r="J806" s="16">
        <ns0:f>A806*('前提と出典'!$C$36*'契約別単価'!J5+'前提と出典'!$C$37*'契約別単価'!J6+'前提と出典'!$C$38*'契約別単価'!J7)</ns0:f>
        <ns0:v>78828.21405566265</ns0:v>
      </ns0:c>
      <ns0:c r="K806" s="16">
        <ns0:f>A806*('前提と出典'!$C$36*'契約別単価'!K5+'前提と出典'!$C$37*'契約別単価'!K6+'前提と出典'!$C$38*'契約別単価'!K7)</ns0:f>
        <ns0:v>337885.4376163873</ns0:v>
      </ns0:c>
      <ns0:c r="L806" s="16">
        <ns0:f>A806*('前提と出典'!$C$36*'契約別単価'!L5+'前提と出典'!$C$37*'契約別単価'!L6+'前提と出典'!$C$38*'契約別単価'!L7)</ns0:f>
        <ns0:v>275107.50164228963</ns0:v>
      </ns0:c>
      <ns0:c r="M806" s="16">
        <ns0:f>IF(('前提と出典'!$C$36+'前提と出典'!$C$38)=0,0,IF(B806&lt;=10,'前提と出典'!B73+'前提と出典'!C73,IF(B806&lt;=100,'前提と出典'!B74+'前提と出典'!C74,IF(B806&lt;=500,'前提と出典'!B75+'前提と出典'!C75,'前提と出典'!B76+'前提と出典'!C76))))</ns0:f>
        <ns0:v>80000</ns0:v>
      </ns0:c>
      <ns0:c r="N806" s="16">
        <ns0:f>IF(('前提と出典'!$C$37+'前提と出典'!$C$38)=0,0,IF(C806&lt;=10,'前提と出典'!D73+'前提と出典'!E73,IF(C806&lt;=100,'前提と出典'!D74+'前提と出典'!E74,IF(C806&lt;=500,'前提と出典'!D75+'前提と出典'!E75,'前提と出典'!D76+'前提と出典'!E76))))</ns0:f>
        <ns0:v>56510.9346263078</ns0:v>
      </ns0:c>
      <ns0:c r="O806" s="16">
        <ns0:f>IF('前提と出典'!$C$36+'前提と出典'!$C$38=0,0,'前提と出典'!$B$4*IF('前提と出典'!$B$20=0,MAX('前提と出典'!$B$6,D806*'前提と出典'!$B$5),'前提と出典'!$B$6+D806*'前提と出典'!$B$5))</ns0:f>
        <ns0:v>796372.5586592179</ns0:v>
      </ns0:c>
      <ns0:c r="P806" s="16">
        <ns0:f>(E806+G806)*(1-'前提と出典'!$B$7)-I806-K806-M806-O806</ns0:f>
        <ns0:v>1786774.524227536</ns0:v>
      </ns0:c>
      <ns0:c r="Q806" s="16">
        <ns0:f>(F806+H806)*(1-'前提と出典'!$B$7)-J806-L806-N806</ns0:f>
        <ns0:v>710743.4056033554</ns0:v>
      </ns0:c>
      <ns0:c r="R806" s="16">
        <ns0:f>P806-E806*'前提と出典'!$E$4</ns0:f>
        <ns0:v>1321226.8398177288</ns0:v>
      </ns0:c>
      <ns0:c r="S806" s="16">
        <ns0:f>Q806-F806*'前提と出典'!$E$4</ns0:f>
        <ns0:v>528032.8531865715</ns0:v>
      </ns0:c>
      <ns0:c r="T806" s="7">
        <ns0:f>R806+S806</ns0:f>
        <ns0:v>1849259.6930043004</ns0:v>
      </ns0:c>
      <ns0:c r="U806" s="16">
        <ns0:f>P806-E806*'前提と出典'!$E$5</ns0:f>
        <ns0:v>1166044.278347793</ns0:v>
      </ns0:c>
      <ns0:c r="V806" s="16">
        <ns0:f>Q806-F806*'前提と出典'!$E$5</ns0:f>
        <ns0:v>467129.33571431035</ns0:v>
      </ns0:c>
      <ns0:c r="W806" s="7">
        <ns0:f>U806+V806</ns0:f>
        <ns0:v>1633173.6140621034</ns0:v>
      </ns0:c>
      <ns0:c r="X806" s="16">
        <ns0:f>P806-E806*'前提と出典'!$E$6</ns0:f>
        <ns0:v>1010861.7168778576</ns0:v>
      </ns0:c>
      <ns0:c r="Y806" s="16">
        <ns0:f>Q806-F806*'前提と出典'!$E$6</ns0:f>
        <ns0:v>406225.81824204914</ns0:v>
      </ns0:c>
      <ns0:c r="Z806" s="7">
        <ns0:f>X806+Y806</ns0:f>
        <ns0:v>1417087.5351199068</ns0:v>
      </ns0:c>
      <ns0:c r="AA806" s="7">
        <ns0:f>IF(T806&gt;=0,A806,1001)</ns0:f>
        <ns0:v>802</ns0:v>
      </ns0:c>
      <ns0:c r="AB806" s="7">
        <ns0:f>IF(T806&lt;0,A806,0)</ns0:f>
        <ns0:v>0</ns0:v>
      </ns0:c>
      <ns0:c r="AC806" s="16">
        <ns0:f>IF(AND(OR('前提と出典'!$C$36+'前提と出典'!$C$38=0,R806&gt;=0),OR('前提と出典'!$C$37+'前提と出典'!$C$38=0,S806&gt;=0)),0,A806)</ns0:f>
        <ns0:v>0</ns0:v>
      </ns0:c>
      <ns0:c r="AD806" s="7">
        <ns0:f>IF(W806&gt;=0,A806,1001)</ns0:f>
        <ns0:v>802</ns0:v>
      </ns0:c>
      <ns0:c r="AE806" s="7">
        <ns0:f>IF(W806&lt;0,A806,0)</ns0:f>
        <ns0:v>0</ns0:v>
      </ns0:c>
      <ns0:c r="AF806" s="16">
        <ns0:f>IF(AND(OR('前提と出典'!$C$36+'前提と出典'!$C$38=0,U806&gt;=0),OR('前提と出典'!$C$37+'前提と出典'!$C$38=0,V806&gt;=0)),0,A806)</ns0:f>
        <ns0:v>0</ns0:v>
      </ns0:c>
      <ns0:c r="AG806" s="7">
        <ns0:f>IF(Z806&gt;=0,A806,1001)</ns0:f>
        <ns0:v>802</ns0:v>
      </ns0:c>
      <ns0:c r="AH806" s="4">
        <ns0:f>IF(Z806&lt;0,A806,0)</ns0:f>
        <ns0:v>0</ns0:v>
      </ns0:c>
      <ns0:c r="AI806" s="12">
        <ns0:f>IF(AND(OR('前提と出典'!$C$36+'前提と出典'!$C$38=0,X806&gt;=0),OR('前提と出典'!$C$37+'前提と出典'!$C$38=0,Y806&gt;=0)),0,A806)</ns0:f>
        <ns0:v>0</ns0:v>
      </ns0:c>
    </ns0:row>
    <ns0:row r="807" ht="24" customHeight="1">
      <ns0:c r="A807" s="4" t="n">
        <ns0:v>803</ns0:v>
      </ns0:c>
      <ns0:c r="B807" s="12">
        <ns0:f>A807*('前提と出典'!$C$36+'前提と出典'!$C$38)</ns0:f>
        <ns0:v>562.0999999999999</ns0:v>
      </ns0:c>
      <ns0:c r="C807" s="12">
        <ns0:f>A807*('前提と出典'!$C$37+'前提と出典'!$C$38)</ns0:f>
        <ns0:v>481.79999999999995</ns0:v>
      </ns0:c>
      <ns0:c r="D807" s="16">
        <ns0:f>A807*('前提と出典'!$C$36*'契約別単価'!C5+'前提と出典'!$C$37*'契約別単価'!C6+'前提と出典'!$C$38*'契約別単価'!C7)</ns0:f>
        <ns0:v>5778.011173184357</ns0:v>
      </ns0:c>
      <ns0:c r="E807" s="16">
        <ns0:f>A807*('前提と出典'!$C$36*'契約別単価'!E5+'前提と出典'!$C$37*'契約別単価'!E6+'前提と出典'!$C$38*'契約別単価'!E7)</ns0:f>
        <ns0:v>1553760.55935609</ns0:v>
      </ns0:c>
      <ns0:c r="F807" s="16">
        <ns0:f>A807*('前提と出典'!$C$36*'契約別単価'!F5+'前提と出典'!$C$37*'契約別単価'!F6+'前提と出典'!$C$38*'契約別単価'!F7)</ns0:f>
        <ns0:v>609794.5702023164</ns0:v>
      </ns0:c>
      <ns0:c r="G807" s="16">
        <ns0:f>A807*('前提と出典'!$C$36*'契約別単価'!G5+'前提と出典'!$C$37*'契約別単価'!G6+'前提と出典'!$C$38*'契約別単価'!G7)</ns0:f>
        <ns0:v>1598373.7430167596</ns0:v>
      </ns0:c>
      <ns0:c r="H807" s="16">
        <ns0:f>A807*('前提と出典'!$C$36*'契約別単価'!H5+'前提と出典'!$C$37*'契約別単価'!H6+'前提と出典'!$C$38*'契約別単価'!H7)</ns0:f>
        <ns0:v>554715.8535695234</ns0:v>
      </ns0:c>
      <ns0:c r="I807" s="16">
        <ns0:f>A807*('前提と出典'!$C$36*'契約別単価'!I5+'前提と出典'!$C$37*'契約別単価'!I6+'前提と出典'!$C$38*'契約別単価'!I7)</ns0:f>
        <ns0:v>33883.01117318435</ns0:v>
      </ns0:c>
      <ns0:c r="J807" s="16">
        <ns0:f>A807*('前提と出典'!$C$36*'契約別単価'!J5+'前提と出典'!$C$37*'契約別単価'!J6+'前提と出典'!$C$38*'契約別単価'!J7)</ns0:f>
        <ns0:v>78926.50359937295</ns0:v>
      </ns0:c>
      <ns0:c r="K807" s="16">
        <ns0:f>A807*('前提と出典'!$C$36*'契約別単価'!K5+'前提と出典'!$C$37*'契約別単価'!K6+'前提と出典'!$C$38*'契約別単価'!K7)</ns0:f>
        <ns0:v>338306.74115456233</ns0:v>
      </ns0:c>
      <ns0:c r="L807" s="16">
        <ns0:f>A807*('前提と出典'!$C$36*'契約別単価'!L5+'前提と出典'!$C$37*'契約別単価'!L6+'前提と出典'!$C$38*'契約別単価'!L7)</ns0:f>
        <ns0:v>275450.52845231746</ns0:v>
      </ns0:c>
      <ns0:c r="M807" s="16">
        <ns0:f>IF(('前提と出典'!$C$36+'前提と出典'!$C$38)=0,0,IF(B807&lt;=10,'前提と出典'!B73+'前提と出典'!C73,IF(B807&lt;=100,'前提と出典'!B74+'前提と出典'!C74,IF(B807&lt;=500,'前提と出典'!B75+'前提と出典'!C75,'前提と出典'!B76+'前提と出典'!C76))))</ns0:f>
        <ns0:v>80000</ns0:v>
      </ns0:c>
      <ns0:c r="N807" s="16">
        <ns0:f>IF(('前提と出典'!$C$37+'前提と出典'!$C$38)=0,0,IF(C807&lt;=10,'前提と出典'!D73+'前提と出典'!E73,IF(C807&lt;=100,'前提と出典'!D74+'前提と出典'!E74,IF(C807&lt;=500,'前提と出典'!D75+'前提と出典'!E75,'前提と出典'!D76+'前提と出典'!E76))))</ns0:f>
        <ns0:v>56510.9346263078</ns0:v>
      </ns0:c>
      <ns0:c r="O807" s="16">
        <ns0:f>IF('前提と出典'!$C$36+'前提と出典'!$C$38=0,0,'前提と出典'!$B$4*IF('前提と出典'!$B$20=0,MAX('前提と出典'!$B$6,D807*'前提と出典'!$B$5),'前提と出典'!$B$6+D807*'前提と出典'!$B$5))</ns0:f>
        <ns0:v>797365.5418994413</ns0:v>
      </ns0:c>
      <ns0:c r="P807" s="16">
        <ns0:f>(E807+G807)*(1-'前提と出典'!$B$7)-I807-K807-M807-O807</ns0:f>
        <ns0:v>1789102.173260239</ns0:v>
      </ns0:c>
      <ns0:c r="Q807" s="16">
        <ns0:f>(F807+H807)*(1-'前提と出典'!$B$7)-J807-L807-N807</ns0:f>
        <ns0:v>711700.0818380554</ns0:v>
      </ns0:c>
      <ns0:c r="R807" s="16">
        <ns0:f>P807-E807*'前提と出典'!$E$4</ns0:f>
        <ns0:v>1322974.005453412</ns0:v>
      </ns0:c>
      <ns0:c r="S807" s="16">
        <ns0:f>Q807-F807*'前提と出典'!$E$4</ns0:f>
        <ns0:v>528761.7107773605</ns0:v>
      </ns0:c>
      <ns0:c r="T807" s="7">
        <ns0:f>R807+S807</ns0:f>
        <ns0:v>1851735.7162307724</ns0:v>
      </ns0:c>
      <ns0:c r="U807" s="16">
        <ns0:f>P807-E807*'前提と出典'!$E$5</ns0:f>
        <ns0:v>1167597.9495178028</ns0:v>
      </ns0:c>
      <ns0:c r="V807" s="16">
        <ns0:f>Q807-F807*'前提と出典'!$E$5</ns0:f>
        <ns0:v>467782.25375712884</ns0:v>
      </ns0:c>
      <ns0:c r="W807" s="7">
        <ns0:f>U807+V807</ns0:f>
        <ns0:v>1635380.2032749318</ns0:v>
      </ns0:c>
      <ns0:c r="X807" s="16">
        <ns0:f>P807-E807*'前提と出典'!$E$6</ns0:f>
        <ns0:v>1012221.8935821941</ns0:v>
      </ns0:c>
      <ns0:c r="Y807" s="16">
        <ns0:f>Q807-F807*'前提と出典'!$E$6</ns0:f>
        <ns0:v>406802.7967368972</ns0:v>
      </ns0:c>
      <ns0:c r="Z807" s="7">
        <ns0:f>X807+Y807</ns0:f>
        <ns0:v>1419024.6903190913</ns0:v>
      </ns0:c>
      <ns0:c r="AA807" s="7">
        <ns0:f>IF(T807&gt;=0,A807,1001)</ns0:f>
        <ns0:v>803</ns0:v>
      </ns0:c>
      <ns0:c r="AB807" s="7">
        <ns0:f>IF(T807&lt;0,A807,0)</ns0:f>
        <ns0:v>0</ns0:v>
      </ns0:c>
      <ns0:c r="AC807" s="16">
        <ns0:f>IF(AND(OR('前提と出典'!$C$36+'前提と出典'!$C$38=0,R807&gt;=0),OR('前提と出典'!$C$37+'前提と出典'!$C$38=0,S807&gt;=0)),0,A807)</ns0:f>
        <ns0:v>0</ns0:v>
      </ns0:c>
      <ns0:c r="AD807" s="7">
        <ns0:f>IF(W807&gt;=0,A807,1001)</ns0:f>
        <ns0:v>803</ns0:v>
      </ns0:c>
      <ns0:c r="AE807" s="7">
        <ns0:f>IF(W807&lt;0,A807,0)</ns0:f>
        <ns0:v>0</ns0:v>
      </ns0:c>
      <ns0:c r="AF807" s="16">
        <ns0:f>IF(AND(OR('前提と出典'!$C$36+'前提と出典'!$C$38=0,U807&gt;=0),OR('前提と出典'!$C$37+'前提と出典'!$C$38=0,V807&gt;=0)),0,A807)</ns0:f>
        <ns0:v>0</ns0:v>
      </ns0:c>
      <ns0:c r="AG807" s="7">
        <ns0:f>IF(Z807&gt;=0,A807,1001)</ns0:f>
        <ns0:v>803</ns0:v>
      </ns0:c>
      <ns0:c r="AH807" s="4">
        <ns0:f>IF(Z807&lt;0,A807,0)</ns0:f>
        <ns0:v>0</ns0:v>
      </ns0:c>
      <ns0:c r="AI807" s="12">
        <ns0:f>IF(AND(OR('前提と出典'!$C$36+'前提と出典'!$C$38=0,X807&gt;=0),OR('前提と出典'!$C$37+'前提と出典'!$C$38=0,Y807&gt;=0)),0,A807)</ns0:f>
        <ns0:v>0</ns0:v>
      </ns0:c>
    </ns0:row>
    <ns0:row r="808" ht="24" customHeight="1">
      <ns0:c r="A808" s="4" t="n">
        <ns0:v>804</ns0:v>
      </ns0:c>
      <ns0:c r="B808" s="12">
        <ns0:f>A808*('前提と出典'!$C$36+'前提と出典'!$C$38)</ns0:f>
        <ns0:v>562.8</ns0:v>
      </ns0:c>
      <ns0:c r="C808" s="12">
        <ns0:f>A808*('前提と出典'!$C$37+'前提と出典'!$C$38)</ns0:f>
        <ns0:v>482.4</ns0:v>
      </ns0:c>
      <ns0:c r="D808" s="16">
        <ns0:f>A808*('前提と出典'!$C$36*'契約別単価'!C5+'前提と出典'!$C$37*'契約別単価'!C6+'前提と出典'!$C$38*'契約別単価'!C7)</ns0:f>
        <ns0:v>5785.206703910614</ns0:v>
      </ns0:c>
      <ns0:c r="E808" s="16">
        <ns0:f>A808*('前提と出典'!$C$36*'契約別単価'!E5+'前提と出典'!$C$37*'契約別単価'!E6+'前提と出典'!$C$38*'契約別単価'!E7)</ns0:f>
        <ns0:v>1555695.5040128222</ns0:v>
      </ns0:c>
      <ns0:c r="F808" s="16">
        <ns0:f>A808*('前提と出典'!$C$36*'契約別単価'!F5+'前提と出典'!$C$37*'契約別単価'!F6+'前提と出典'!$C$38*'契約別単価'!F7)</ns0:f>
        <ns0:v>610553.9656820204</ns0:v>
      </ns0:c>
      <ns0:c r="G808" s="16">
        <ns0:f>A808*('前提と出典'!$C$36*'契約別単価'!G5+'前提と出典'!$C$37*'契約別単価'!G6+'前提と出典'!$C$38*'契約別単価'!G7)</ns0:f>
        <ns0:v>1600364.2458100559</ns0:v>
      </ns0:c>
      <ns0:c r="H808" s="16">
        <ns0:f>A808*('前提と出典'!$C$36*'契約別単価'!H5+'前提と出典'!$C$37*'契約別単価'!H6+'前提と出典'!$C$38*'契約別単価'!H7)</ns0:f>
        <ns0:v>555406.6578703573</ns0:v>
      </ns0:c>
      <ns0:c r="I808" s="16">
        <ns0:f>A808*('前提と出典'!$C$36*'契約別単価'!I5+'前提と出典'!$C$37*'契約別単価'!I6+'前提と出典'!$C$38*'契約別単価'!I7)</ns0:f>
        <ns0:v>33925.20670391061</ns0:v>
      </ns0:c>
      <ns0:c r="J808" s="16">
        <ns0:f>A808*('前提と出典'!$C$36*'契約別単価'!J5+'前提と出典'!$C$37*'契約別単価'!J6+'前提と出典'!$C$38*'契約別単価'!J7)</ns0:f>
        <ns0:v>79024.79314308327</ns0:v>
      </ns0:c>
      <ns0:c r="K808" s="16">
        <ns0:f>A808*('前提と出典'!$C$36*'契約別単価'!K5+'前提と出典'!$C$37*'契約別単価'!K6+'前提と出典'!$C$38*'契約別単価'!K7)</ns0:f>
        <ns0:v>338728.0446927374</ns0:v>
      </ns0:c>
      <ns0:c r="L808" s="16">
        <ns0:f>A808*('前提と出典'!$C$36*'契約別単価'!L5+'前提と出典'!$C$37*'契約別単価'!L6+'前提と出典'!$C$38*'契約別単価'!L7)</ns0:f>
        <ns0:v>275793.55526234524</ns0:v>
      </ns0:c>
      <ns0:c r="M808" s="16">
        <ns0:f>IF(('前提と出典'!$C$36+'前提と出典'!$C$38)=0,0,IF(B808&lt;=10,'前提と出典'!B73+'前提と出典'!C73,IF(B808&lt;=100,'前提と出典'!B74+'前提と出典'!C74,IF(B808&lt;=500,'前提と出典'!B75+'前提と出典'!C75,'前提と出典'!B76+'前提と出典'!C76))))</ns0:f>
        <ns0:v>80000</ns0:v>
      </ns0:c>
      <ns0:c r="N808" s="16">
        <ns0:f>IF(('前提と出典'!$C$37+'前提と出典'!$C$38)=0,0,IF(C808&lt;=10,'前提と出典'!D73+'前提と出典'!E73,IF(C808&lt;=100,'前提と出典'!D74+'前提と出典'!E74,IF(C808&lt;=500,'前提と出典'!D75+'前提と出典'!E75,'前提と出典'!D76+'前提と出典'!E76))))</ns0:f>
        <ns0:v>56510.9346263078</ns0:v>
      </ns0:c>
      <ns0:c r="O808" s="16">
        <ns0:f>IF('前提と出典'!$C$36+'前提と出典'!$C$38=0,0,'前提と出典'!$B$4*IF('前提と出典'!$B$20=0,MAX('前提と出典'!$B$6,D808*'前提と出典'!$B$5),'前提と出典'!$B$6+D808*'前提と出典'!$B$5))</ns0:f>
        <ns0:v>798358.5251396648</ns0:v>
      </ns0:c>
      <ns0:c r="P808" s="16">
        <ns0:f>(E808+G808)*(1-'前提と出典'!$B$7)-I808-K808-M808-O808</ns0:f>
        <ns0:v>1791429.8222929416</ns0:v>
      </ns0:c>
      <ns0:c r="Q808" s="16">
        <ns0:f>(F808+H808)*(1-'前提と出典'!$B$7)-J808-L808-N808</ns0:f>
        <ns0:v>712656.7580727559</ns0:v>
      </ns0:c>
      <ns0:c r="R808" s="16">
        <ns0:f>P808-E808*'前提と出典'!$E$4</ns0:f>
        <ns0:v>1324721.171089095</ns0:v>
      </ns0:c>
      <ns0:c r="S808" s="16">
        <ns0:f>Q808-F808*'前提と出典'!$E$4</ns0:f>
        <ns0:v>529490.5683681498</ns0:v>
      </ns0:c>
      <ns0:c r="T808" s="7">
        <ns0:f>R808+S808</ns0:f>
        <ns0:v>1854211.739457245</ns0:v>
      </ns0:c>
      <ns0:c r="U808" s="16">
        <ns0:f>P808-E808*'前提と出典'!$E$5</ns0:f>
        <ns0:v>1169151.6206878126</ns0:v>
      </ns0:c>
      <ns0:c r="V808" s="16">
        <ns0:f>Q808-F808*'前提と出典'!$E$5</ns0:f>
        <ns0:v>468435.17179994774</ns0:v>
      </ns0:c>
      <ns0:c r="W808" s="7">
        <ns0:f>U808+V808</ns0:f>
        <ns0:v>1637586.7924877603</ns0:v>
      </ns0:c>
      <ns0:c r="X808" s="16">
        <ns0:f>P808-E808*'前提と出典'!$E$6</ns0:f>
        <ns0:v>1013582.0702865305</ns0:v>
      </ns0:c>
      <ns0:c r="Y808" s="16">
        <ns0:f>Q808-F808*'前提と出典'!$E$6</ns0:f>
        <ns0:v>407379.7752317457</ns0:v>
      </ns0:c>
      <ns0:c r="Z808" s="7">
        <ns0:f>X808+Y808</ns0:f>
        <ns0:v>1420961.845518276</ns0:v>
      </ns0:c>
      <ns0:c r="AA808" s="7">
        <ns0:f>IF(T808&gt;=0,A808,1001)</ns0:f>
        <ns0:v>804</ns0:v>
      </ns0:c>
      <ns0:c r="AB808" s="7">
        <ns0:f>IF(T808&lt;0,A808,0)</ns0:f>
        <ns0:v>0</ns0:v>
      </ns0:c>
      <ns0:c r="AC808" s="16">
        <ns0:f>IF(AND(OR('前提と出典'!$C$36+'前提と出典'!$C$38=0,R808&gt;=0),OR('前提と出典'!$C$37+'前提と出典'!$C$38=0,S808&gt;=0)),0,A808)</ns0:f>
        <ns0:v>0</ns0:v>
      </ns0:c>
      <ns0:c r="AD808" s="7">
        <ns0:f>IF(W808&gt;=0,A808,1001)</ns0:f>
        <ns0:v>804</ns0:v>
      </ns0:c>
      <ns0:c r="AE808" s="7">
        <ns0:f>IF(W808&lt;0,A808,0)</ns0:f>
        <ns0:v>0</ns0:v>
      </ns0:c>
      <ns0:c r="AF808" s="16">
        <ns0:f>IF(AND(OR('前提と出典'!$C$36+'前提と出典'!$C$38=0,U808&gt;=0),OR('前提と出典'!$C$37+'前提と出典'!$C$38=0,V808&gt;=0)),0,A808)</ns0:f>
        <ns0:v>0</ns0:v>
      </ns0:c>
      <ns0:c r="AG808" s="7">
        <ns0:f>IF(Z808&gt;=0,A808,1001)</ns0:f>
        <ns0:v>804</ns0:v>
      </ns0:c>
      <ns0:c r="AH808" s="4">
        <ns0:f>IF(Z808&lt;0,A808,0)</ns0:f>
        <ns0:v>0</ns0:v>
      </ns0:c>
      <ns0:c r="AI808" s="12">
        <ns0:f>IF(AND(OR('前提と出典'!$C$36+'前提と出典'!$C$38=0,X808&gt;=0),OR('前提と出典'!$C$37+'前提と出典'!$C$38=0,Y808&gt;=0)),0,A808)</ns0:f>
        <ns0:v>0</ns0:v>
      </ns0:c>
    </ns0:row>
    <ns0:row r="809" ht="24" customHeight="1">
      <ns0:c r="A809" s="4" t="n">
        <ns0:v>805</ns0:v>
      </ns0:c>
      <ns0:c r="B809" s="12">
        <ns0:f>A809*('前提と出典'!$C$36+'前提と出典'!$C$38)</ns0:f>
        <ns0:v>563.5</ns0:v>
      </ns0:c>
      <ns0:c r="C809" s="12">
        <ns0:f>A809*('前提と出典'!$C$37+'前提と出典'!$C$38)</ns0:f>
        <ns0:v>483</ns0:v>
      </ns0:c>
      <ns0:c r="D809" s="16">
        <ns0:f>A809*('前提と出典'!$C$36*'契約別単価'!C5+'前提と出典'!$C$37*'契約別単価'!C6+'前提と出典'!$C$38*'契約別単価'!C7)</ns0:f>
        <ns0:v>5792.402234636871</ns0:v>
      </ns0:c>
      <ns0:c r="E809" s="16">
        <ns0:f>A809*('前提と出典'!$C$36*'契約別単価'!E5+'前提と出典'!$C$37*'契約別単価'!E6+'前提と出典'!$C$38*'契約別単価'!E7)</ns0:f>
        <ns0:v>1557630.4486695547</ns0:v>
      </ns0:c>
      <ns0:c r="F809" s="16">
        <ns0:f>A809*('前提と出典'!$C$36*'契約別単価'!F5+'前提と出典'!$C$37*'契約別単価'!F6+'前提と出典'!$C$38*'契約別単価'!F7)</ns0:f>
        <ns0:v>611313.3611617244</ns0:v>
      </ns0:c>
      <ns0:c r="G809" s="16">
        <ns0:f>A809*('前提と出典'!$C$36*'契約別単価'!G5+'前提と出典'!$C$37*'契約別単価'!G6+'前提と出典'!$C$38*'契約別単価'!G7)</ns0:f>
        <ns0:v>1602354.7486033519</ns0:v>
      </ns0:c>
      <ns0:c r="H809" s="16">
        <ns0:f>A809*('前提と出典'!$C$36*'契約別単価'!H5+'前提と出典'!$C$37*'契約別単価'!H6+'前提と出典'!$C$38*'契約別単価'!H7)</ns0:f>
        <ns0:v>556097.462171191</ns0:v>
      </ns0:c>
      <ns0:c r="I809" s="16">
        <ns0:f>A809*('前提と出典'!$C$36*'契約別単価'!I5+'前提と出典'!$C$37*'契約別単価'!I6+'前提と出典'!$C$38*'契約別単価'!I7)</ns0:f>
        <ns0:v>33967.402234636866</ns0:v>
      </ns0:c>
      <ns0:c r="J809" s="16">
        <ns0:f>A809*('前提と出典'!$C$36*'契約別単価'!J5+'前提と出典'!$C$37*'契約別単価'!J6+'前提と出典'!$C$38*'契約別単価'!J7)</ns0:f>
        <ns0:v>79123.08268679357</ns0:v>
      </ns0:c>
      <ns0:c r="K809" s="16">
        <ns0:f>A809*('前提と出典'!$C$36*'契約別単価'!K5+'前提と出典'!$C$37*'契約別単価'!K6+'前提と出典'!$C$38*'契約別単価'!K7)</ns0:f>
        <ns0:v>339149.34823091247</ns0:v>
      </ns0:c>
      <ns0:c r="L809" s="16">
        <ns0:f>A809*('前提と出典'!$C$36*'契約別単価'!L5+'前提と出典'!$C$37*'契約別単価'!L6+'前提と出典'!$C$38*'契約別単価'!L7)</ns0:f>
        <ns0:v>276136.582072373</ns0:v>
      </ns0:c>
      <ns0:c r="M809" s="16">
        <ns0:f>IF(('前提と出典'!$C$36+'前提と出典'!$C$38)=0,0,IF(B809&lt;=10,'前提と出典'!B73+'前提と出典'!C73,IF(B809&lt;=100,'前提と出典'!B74+'前提と出典'!C74,IF(B809&lt;=500,'前提と出典'!B75+'前提と出典'!C75,'前提と出典'!B76+'前提と出典'!C76))))</ns0:f>
        <ns0:v>80000</ns0:v>
      </ns0:c>
      <ns0:c r="N809" s="16">
        <ns0:f>IF(('前提と出典'!$C$37+'前提と出典'!$C$38)=0,0,IF(C809&lt;=10,'前提と出典'!D73+'前提と出典'!E73,IF(C809&lt;=100,'前提と出典'!D74+'前提と出典'!E74,IF(C809&lt;=500,'前提と出典'!D75+'前提と出典'!E75,'前提と出典'!D76+'前提と出典'!E76))))</ns0:f>
        <ns0:v>56510.9346263078</ns0:v>
      </ns0:c>
      <ns0:c r="O809" s="16">
        <ns0:f>IF('前提と出典'!$C$36+'前提と出典'!$C$38=0,0,'前提と出典'!$B$4*IF('前提と出典'!$B$20=0,MAX('前提と出典'!$B$6,D809*'前提と出典'!$B$5),'前提と出典'!$B$6+D809*'前提と出典'!$B$5))</ns0:f>
        <ns0:v>799351.5083798883</ns0:v>
      </ns0:c>
      <ns0:c r="P809" s="16">
        <ns0:f>(E809+G809)*(1-'前提と出典'!$B$7)-I809-K809-M809-O809</ns0:f>
        <ns0:v>1793757.4713256448</ns0:v>
      </ns0:c>
      <ns0:c r="Q809" s="16">
        <ns0:f>(F809+H809)*(1-'前提と出典'!$B$7)-J809-L809-N809</ns0:f>
        <ns0:v>713613.4343074562</ns0:v>
      </ns0:c>
      <ns0:c r="R809" s="16">
        <ns0:f>P809-E809*'前提と出典'!$E$4</ns0:f>
        <ns0:v>1326468.3367247782</ns0:v>
      </ns0:c>
      <ns0:c r="S809" s="16">
        <ns0:f>Q809-F809*'前提と出典'!$E$4</ns0:f>
        <ns0:v>530219.4259589389</ns0:v>
      </ns0:c>
      <ns0:c r="T809" s="7">
        <ns0:f>R809+S809</ns0:f>
        <ns0:v>1856687.762683717</ns0:v>
      </ns0:c>
      <ns0:c r="U809" s="16">
        <ns0:f>P809-E809*'前提と出典'!$E$5</ns0:f>
        <ns0:v>1170705.2918578228</ns0:v>
      </ns0:c>
      <ns0:c r="V809" s="16">
        <ns0:f>Q809-F809*'前提と出典'!$E$5</ns0:f>
        <ns0:v>469088.0898427665</ns0:v>
      </ns0:c>
      <ns0:c r="W809" s="7">
        <ns0:f>U809+V809</ns0:f>
        <ns0:v>1639793.3817005893</ns0:v>
      </ns0:c>
      <ns0:c r="X809" s="16">
        <ns0:f>P809-E809*'前提と出典'!$E$6</ns0:f>
        <ns0:v>1014942.2469908674</ns0:v>
      </ns0:c>
      <ns0:c r="Y809" s="16">
        <ns0:f>Q809-F809*'前提と出典'!$E$6</ns0:f>
        <ns0:v>407956.75372659403</ns0:v>
      </ns0:c>
      <ns0:c r="Z809" s="7">
        <ns0:f>X809+Y809</ns0:f>
        <ns0:v>1422899.0007174616</ns0:v>
      </ns0:c>
      <ns0:c r="AA809" s="7">
        <ns0:f>IF(T809&gt;=0,A809,1001)</ns0:f>
        <ns0:v>805</ns0:v>
      </ns0:c>
      <ns0:c r="AB809" s="7">
        <ns0:f>IF(T809&lt;0,A809,0)</ns0:f>
        <ns0:v>0</ns0:v>
      </ns0:c>
      <ns0:c r="AC809" s="16">
        <ns0:f>IF(AND(OR('前提と出典'!$C$36+'前提と出典'!$C$38=0,R809&gt;=0),OR('前提と出典'!$C$37+'前提と出典'!$C$38=0,S809&gt;=0)),0,A809)</ns0:f>
        <ns0:v>0</ns0:v>
      </ns0:c>
      <ns0:c r="AD809" s="7">
        <ns0:f>IF(W809&gt;=0,A809,1001)</ns0:f>
        <ns0:v>805</ns0:v>
      </ns0:c>
      <ns0:c r="AE809" s="7">
        <ns0:f>IF(W809&lt;0,A809,0)</ns0:f>
        <ns0:v>0</ns0:v>
      </ns0:c>
      <ns0:c r="AF809" s="16">
        <ns0:f>IF(AND(OR('前提と出典'!$C$36+'前提と出典'!$C$38=0,U809&gt;=0),OR('前提と出典'!$C$37+'前提と出典'!$C$38=0,V809&gt;=0)),0,A809)</ns0:f>
        <ns0:v>0</ns0:v>
      </ns0:c>
      <ns0:c r="AG809" s="7">
        <ns0:f>IF(Z809&gt;=0,A809,1001)</ns0:f>
        <ns0:v>805</ns0:v>
      </ns0:c>
      <ns0:c r="AH809" s="4">
        <ns0:f>IF(Z809&lt;0,A809,0)</ns0:f>
        <ns0:v>0</ns0:v>
      </ns0:c>
      <ns0:c r="AI809" s="12">
        <ns0:f>IF(AND(OR('前提と出典'!$C$36+'前提と出典'!$C$38=0,X809&gt;=0),OR('前提と出典'!$C$37+'前提と出典'!$C$38=0,Y809&gt;=0)),0,A809)</ns0:f>
        <ns0:v>0</ns0:v>
      </ns0:c>
    </ns0:row>
    <ns0:row r="810" ht="24" customHeight="1">
      <ns0:c r="A810" s="4" t="n">
        <ns0:v>806</ns0:v>
      </ns0:c>
      <ns0:c r="B810" s="12">
        <ns0:f>A810*('前提と出典'!$C$36+'前提と出典'!$C$38)</ns0:f>
        <ns0:v>564.1999999999999</ns0:v>
      </ns0:c>
      <ns0:c r="C810" s="12">
        <ns0:f>A810*('前提と出典'!$C$37+'前提と出典'!$C$38)</ns0:f>
        <ns0:v>483.59999999999997</ns0:v>
      </ns0:c>
      <ns0:c r="D810" s="16">
        <ns0:f>A810*('前提と出典'!$C$36*'契約別単価'!C5+'前提と出典'!$C$37*'契約別単価'!C6+'前提と出典'!$C$38*'契約別単価'!C7)</ns0:f>
        <ns0:v>5799.597765363128</ns0:v>
      </ns0:c>
      <ns0:c r="E810" s="16">
        <ns0:f>A810*('前提と出典'!$C$36*'契約別単価'!E5+'前提と出典'!$C$37*'契約別単価'!E6+'前提と出典'!$C$38*'契約別単価'!E7)</ns0:f>
        <ns0:v>1559565.393326287</ns0:v>
      </ns0:c>
      <ns0:c r="F810" s="16">
        <ns0:f>A810*('前提と出典'!$C$36*'契約別単価'!F5+'前提と出典'!$C$37*'契約別単価'!F6+'前提と出典'!$C$38*'契約別単価'!F7)</ns0:f>
        <ns0:v>612072.7566414285</ns0:v>
      </ns0:c>
      <ns0:c r="G810" s="16">
        <ns0:f>A810*('前提と出典'!$C$36*'契約別単価'!G5+'前提と出典'!$C$37*'契約別単価'!G6+'前提と出典'!$C$38*'契約別単価'!G7)</ns0:f>
        <ns0:v>1604345.251396648</ns0:v>
      </ns0:c>
      <ns0:c r="H810" s="16">
        <ns0:f>A810*('前提と出典'!$C$36*'契約別単価'!H5+'前提と出典'!$C$37*'契約別単価'!H6+'前提と出典'!$C$38*'契約別単価'!H7)</ns0:f>
        <ns0:v>556788.2664720248</ns0:v>
      </ns0:c>
      <ns0:c r="I810" s="16">
        <ns0:f>A810*('前提と出典'!$C$36*'契約別単価'!I5+'前提と出典'!$C$37*'契約別単価'!I6+'前提と出典'!$C$38*'契約別単価'!I7)</ns0:f>
        <ns0:v>34009.59776536312</ns0:v>
      </ns0:c>
      <ns0:c r="J810" s="16">
        <ns0:f>A810*('前提と出典'!$C$36*'契約別単価'!J5+'前提と出典'!$C$37*'契約別単価'!J6+'前提と出典'!$C$38*'契約別単価'!J7)</ns0:f>
        <ns0:v>79221.37223050387</ns0:v>
      </ns0:c>
      <ns0:c r="K810" s="16">
        <ns0:f>A810*('前提と出典'!$C$36*'契約別単価'!K5+'前提と出典'!$C$37*'契約別単価'!K6+'前提と出典'!$C$38*'契約別単価'!K7)</ns0:f>
        <ns0:v>339570.6517690875</ns0:v>
      </ns0:c>
      <ns0:c r="L810" s="16">
        <ns0:f>A810*('前提と出典'!$C$36*'契約別単価'!L5+'前提と出典'!$C$37*'契約別単価'!L6+'前提と出典'!$C$38*'契約別単価'!L7)</ns0:f>
        <ns0:v>276479.6088824008</ns0:v>
      </ns0:c>
      <ns0:c r="M810" s="16">
        <ns0:f>IF(('前提と出典'!$C$36+'前提と出典'!$C$38)=0,0,IF(B810&lt;=10,'前提と出典'!B73+'前提と出典'!C73,IF(B810&lt;=100,'前提と出典'!B74+'前提と出典'!C74,IF(B810&lt;=500,'前提と出典'!B75+'前提と出典'!C75,'前提と出典'!B76+'前提と出典'!C76))))</ns0:f>
        <ns0:v>80000</ns0:v>
      </ns0:c>
      <ns0:c r="N810" s="16">
        <ns0:f>IF(('前提と出典'!$C$37+'前提と出典'!$C$38)=0,0,IF(C810&lt;=10,'前提と出典'!D73+'前提と出典'!E73,IF(C810&lt;=100,'前提と出典'!D74+'前提と出典'!E74,IF(C810&lt;=500,'前提と出典'!D75+'前提と出典'!E75,'前提と出典'!D76+'前提と出典'!E76))))</ns0:f>
        <ns0:v>56510.9346263078</ns0:v>
      </ns0:c>
      <ns0:c r="O810" s="16">
        <ns0:f>IF('前提と出典'!$C$36+'前提と出典'!$C$38=0,0,'前提と出典'!$B$4*IF('前提と出典'!$B$20=0,MAX('前提と出典'!$B$6,D810*'前提と出典'!$B$5),'前提と出典'!$B$6+D810*'前提と出典'!$B$5))</ns0:f>
        <ns0:v>800344.4916201117</ns0:v>
      </ns0:c>
      <ns0:c r="P810" s="16">
        <ns0:f>(E810+G810)*(1-'前提と出典'!$B$7)-I810-K810-M810-O810</ns0:f>
        <ns0:v>1796085.1203583465</ns0:v>
      </ns0:c>
      <ns0:c r="Q810" s="16">
        <ns0:f>(F810+H810)*(1-'前提と出典'!$B$7)-J810-L810-N810</ns0:f>
        <ns0:v>714570.1105421565</ns0:v>
      </ns0:c>
      <ns0:c r="R810" s="16">
        <ns0:f>P810-E810*'前提と出典'!$E$4</ns0:f>
        <ns0:v>1328215.5023604603</ns0:v>
      </ns0:c>
      <ns0:c r="S810" s="16">
        <ns0:f>Q810-F810*'前提と出典'!$E$4</ns0:f>
        <ns0:v>530948.2835497281</ns0:v>
      </ns0:c>
      <ns0:c r="T810" s="7">
        <ns0:f>R810+S810</ns0:f>
        <ns0:v>1859163.7859101885</ns0:v>
      </ns0:c>
      <ns0:c r="U810" s="16">
        <ns0:f>P810-E810*'前提と出典'!$E$5</ns0:f>
        <ns0:v>1172258.9630278319</ns0:v>
      </ns0:c>
      <ns0:c r="V810" s="16">
        <ns0:f>Q810-F810*'前提と出典'!$E$5</ns0:f>
        <ns0:v>469741.0078855851</ns0:v>
      </ns0:c>
      <ns0:c r="W810" s="7">
        <ns0:f>U810+V810</ns0:f>
        <ns0:v>1641999.970913417</ns0:v>
      </ns0:c>
      <ns0:c r="X810" s="16">
        <ns0:f>P810-E810*'前提と出典'!$E$6</ns0:f>
        <ns0:v>1016302.4236952031</ns0:v>
      </ns0:c>
      <ns0:c r="Y810" s="16">
        <ns0:f>Q810-F810*'前提と出典'!$E$6</ns0:f>
        <ns0:v>408533.7322214423</ns0:v>
      </ns0:c>
      <ns0:c r="Z810" s="7">
        <ns0:f>X810+Y810</ns0:f>
        <ns0:v>1424836.1559166454</ns0:v>
      </ns0:c>
      <ns0:c r="AA810" s="7">
        <ns0:f>IF(T810&gt;=0,A810,1001)</ns0:f>
        <ns0:v>806</ns0:v>
      </ns0:c>
      <ns0:c r="AB810" s="7">
        <ns0:f>IF(T810&lt;0,A810,0)</ns0:f>
        <ns0:v>0</ns0:v>
      </ns0:c>
      <ns0:c r="AC810" s="16">
        <ns0:f>IF(AND(OR('前提と出典'!$C$36+'前提と出典'!$C$38=0,R810&gt;=0),OR('前提と出典'!$C$37+'前提と出典'!$C$38=0,S810&gt;=0)),0,A810)</ns0:f>
        <ns0:v>0</ns0:v>
      </ns0:c>
      <ns0:c r="AD810" s="7">
        <ns0:f>IF(W810&gt;=0,A810,1001)</ns0:f>
        <ns0:v>806</ns0:v>
      </ns0:c>
      <ns0:c r="AE810" s="7">
        <ns0:f>IF(W810&lt;0,A810,0)</ns0:f>
        <ns0:v>0</ns0:v>
      </ns0:c>
      <ns0:c r="AF810" s="16">
        <ns0:f>IF(AND(OR('前提と出典'!$C$36+'前提と出典'!$C$38=0,U810&gt;=0),OR('前提と出典'!$C$37+'前提と出典'!$C$38=0,V810&gt;=0)),0,A810)</ns0:f>
        <ns0:v>0</ns0:v>
      </ns0:c>
      <ns0:c r="AG810" s="7">
        <ns0:f>IF(Z810&gt;=0,A810,1001)</ns0:f>
        <ns0:v>806</ns0:v>
      </ns0:c>
      <ns0:c r="AH810" s="4">
        <ns0:f>IF(Z810&lt;0,A810,0)</ns0:f>
        <ns0:v>0</ns0:v>
      </ns0:c>
      <ns0:c r="AI810" s="12">
        <ns0:f>IF(AND(OR('前提と出典'!$C$36+'前提と出典'!$C$38=0,X810&gt;=0),OR('前提と出典'!$C$37+'前提と出典'!$C$38=0,Y810&gt;=0)),0,A810)</ns0:f>
        <ns0:v>0</ns0:v>
      </ns0:c>
    </ns0:row>
    <ns0:row r="811" ht="24" customHeight="1">
      <ns0:c r="A811" s="4" t="n">
        <ns0:v>807</ns0:v>
      </ns0:c>
      <ns0:c r="B811" s="12">
        <ns0:f>A811*('前提と出典'!$C$36+'前提と出典'!$C$38)</ns0:f>
        <ns0:v>564.9</ns0:v>
      </ns0:c>
      <ns0:c r="C811" s="12">
        <ns0:f>A811*('前提と出典'!$C$37+'前提と出典'!$C$38)</ns0:f>
        <ns0:v>484.2</ns0:v>
      </ns0:c>
      <ns0:c r="D811" s="16">
        <ns0:f>A811*('前提と出典'!$C$36*'契約別単価'!C5+'前提と出典'!$C$37*'契約別単価'!C6+'前提と出典'!$C$38*'契約別単価'!C7)</ns0:f>
        <ns0:v>5806.793296089386</ns0:v>
      </ns0:c>
      <ns0:c r="E811" s="16">
        <ns0:f>A811*('前提と出典'!$C$36*'契約別単価'!E5+'前提と出典'!$C$37*'契約別単価'!E6+'前提と出典'!$C$38*'契約別単価'!E7)</ns0:f>
        <ns0:v>1561500.3379830194</ns0:v>
      </ns0:c>
      <ns0:c r="F811" s="16">
        <ns0:f>A811*('前提と出典'!$C$36*'契約別単価'!F5+'前提と出典'!$C$37*'契約別単価'!F6+'前提と出典'!$C$38*'契約別単価'!F7)</ns0:f>
        <ns0:v>612832.1521211325</ns0:v>
      </ns0:c>
      <ns0:c r="G811" s="16">
        <ns0:f>A811*('前提と出典'!$C$36*'契約別単価'!G5+'前提と出典'!$C$37*'契約別単価'!G6+'前提と出典'!$C$38*'契約別単価'!G7)</ns0:f>
        <ns0:v>1606335.7541899441</ns0:v>
      </ns0:c>
      <ns0:c r="H811" s="16">
        <ns0:f>A811*('前提と出典'!$C$36*'契約別単価'!H5+'前提と出典'!$C$37*'契約別単価'!H6+'前提と出典'!$C$38*'契約別単価'!H7)</ns0:f>
        <ns0:v>557479.0707728586</ns0:v>
      </ns0:c>
      <ns0:c r="I811" s="16">
        <ns0:f>A811*('前提と出典'!$C$36*'契約別単価'!I5+'前提と出典'!$C$37*'契約別単価'!I6+'前提と出典'!$C$38*'契約別単価'!I7)</ns0:f>
        <ns0:v>34051.79329608938</ns0:v>
      </ns0:c>
      <ns0:c r="J811" s="16">
        <ns0:f>A811*('前提と出典'!$C$36*'契約別単価'!J5+'前提と出典'!$C$37*'契約別単価'!J6+'前提と出典'!$C$38*'契約別単価'!J7)</ns0:f>
        <ns0:v>79319.66177421417</ns0:v>
      </ns0:c>
      <ns0:c r="K811" s="16">
        <ns0:f>A811*('前提と出典'!$C$36*'契約別単価'!K5+'前提と出典'!$C$37*'契約別単価'!K6+'前提と出典'!$C$38*'契約別単価'!K7)</ns0:f>
        <ns0:v>339991.95530726254</ns0:v>
      </ns0:c>
      <ns0:c r="L811" s="16">
        <ns0:f>A811*('前提と出典'!$C$36*'契約別単価'!L5+'前提と出典'!$C$37*'契約別単価'!L6+'前提と出典'!$C$38*'契約別単価'!L7)</ns0:f>
        <ns0:v>276822.6356924286</ns0:v>
      </ns0:c>
      <ns0:c r="M811" s="16">
        <ns0:f>IF(('前提と出典'!$C$36+'前提と出典'!$C$38)=0,0,IF(B811&lt;=10,'前提と出典'!B73+'前提と出典'!C73,IF(B811&lt;=100,'前提と出典'!B74+'前提と出典'!C74,IF(B811&lt;=500,'前提と出典'!B75+'前提と出典'!C75,'前提と出典'!B76+'前提と出典'!C76))))</ns0:f>
        <ns0:v>80000</ns0:v>
      </ns0:c>
      <ns0:c r="N811" s="16">
        <ns0:f>IF(('前提と出典'!$C$37+'前提と出典'!$C$38)=0,0,IF(C811&lt;=10,'前提と出典'!D73+'前提と出典'!E73,IF(C811&lt;=100,'前提と出典'!D74+'前提と出典'!E74,IF(C811&lt;=500,'前提と出典'!D75+'前提と出典'!E75,'前提と出典'!D76+'前提と出典'!E76))))</ns0:f>
        <ns0:v>56510.9346263078</ns0:v>
      </ns0:c>
      <ns0:c r="O811" s="16">
        <ns0:f>IF('前提と出典'!$C$36+'前提と出典'!$C$38=0,0,'前提と出典'!$B$4*IF('前提と出典'!$B$20=0,MAX('前提と出典'!$B$6,D811*'前提と出典'!$B$5),'前提と出典'!$B$6+D811*'前提と出典'!$B$5))</ns0:f>
        <ns0:v>801337.4748603354</ns0:v>
      </ns0:c>
      <ns0:c r="P811" s="16">
        <ns0:f>(E811+G811)*(1-'前提と出典'!$B$7)-I811-K811-M811-O811</ns0:f>
        <ns0:v>1798412.7693910496</ns0:v>
      </ns0:c>
      <ns0:c r="Q811" s="16">
        <ns0:f>(F811+H811)*(1-'前提と出典'!$B$7)-J811-L811-N811</ns0:f>
        <ns0:v>715526.7867768569</ns0:v>
      </ns0:c>
      <ns0:c r="R811" s="16">
        <ns0:f>P811-E811*'前提と出典'!$E$4</ns0:f>
        <ns0:v>1329962.667996144</ns0:v>
      </ns0:c>
      <ns0:c r="S811" s="16">
        <ns0:f>Q811-F811*'前提と出典'!$E$4</ns0:f>
        <ns0:v>531677.1411405171</ns0:v>
      </ns0:c>
      <ns0:c r="T811" s="7">
        <ns0:f>R811+S811</ns0:f>
        <ns0:v>1861639.809136661</ns0:v>
      </ns0:c>
      <ns0:c r="U811" s="16">
        <ns0:f>P811-E811*'前提と出典'!$E$5</ns0:f>
        <ns0:v>1173812.6341978419</ns0:v>
      </ns0:c>
      <ns0:c r="V811" s="16">
        <ns0:f>Q811-F811*'前提と出典'!$E$5</ns0:f>
        <ns0:v>470393.92592840386</ns0:v>
      </ns0:c>
      <ns0:c r="W811" s="7">
        <ns0:f>U811+V811</ns0:f>
        <ns0:v>1644206.5601262457</ns0:v>
      </ns0:c>
      <ns0:c r="X811" s="16">
        <ns0:f>P811-E811*'前提と出典'!$E$6</ns0:f>
        <ns0:v>1017662.6003995397</ns0:v>
      </ns0:c>
      <ns0:c r="Y811" s="16">
        <ns0:f>Q811-F811*'前提と出典'!$E$6</ns0:f>
        <ns0:v>409110.7107162906</ns0:v>
      </ns0:c>
      <ns0:c r="Z811" s="7">
        <ns0:f>X811+Y811</ns0:f>
        <ns0:v>1426773.3111158302</ns0:v>
      </ns0:c>
      <ns0:c r="AA811" s="7">
        <ns0:f>IF(T811&gt;=0,A811,1001)</ns0:f>
        <ns0:v>807</ns0:v>
      </ns0:c>
      <ns0:c r="AB811" s="7">
        <ns0:f>IF(T811&lt;0,A811,0)</ns0:f>
        <ns0:v>0</ns0:v>
      </ns0:c>
      <ns0:c r="AC811" s="16">
        <ns0:f>IF(AND(OR('前提と出典'!$C$36+'前提と出典'!$C$38=0,R811&gt;=0),OR('前提と出典'!$C$37+'前提と出典'!$C$38=0,S811&gt;=0)),0,A811)</ns0:f>
        <ns0:v>0</ns0:v>
      </ns0:c>
      <ns0:c r="AD811" s="7">
        <ns0:f>IF(W811&gt;=0,A811,1001)</ns0:f>
        <ns0:v>807</ns0:v>
      </ns0:c>
      <ns0:c r="AE811" s="7">
        <ns0:f>IF(W811&lt;0,A811,0)</ns0:f>
        <ns0:v>0</ns0:v>
      </ns0:c>
      <ns0:c r="AF811" s="16">
        <ns0:f>IF(AND(OR('前提と出典'!$C$36+'前提と出典'!$C$38=0,U811&gt;=0),OR('前提と出典'!$C$37+'前提と出典'!$C$38=0,V811&gt;=0)),0,A811)</ns0:f>
        <ns0:v>0</ns0:v>
      </ns0:c>
      <ns0:c r="AG811" s="7">
        <ns0:f>IF(Z811&gt;=0,A811,1001)</ns0:f>
        <ns0:v>807</ns0:v>
      </ns0:c>
      <ns0:c r="AH811" s="4">
        <ns0:f>IF(Z811&lt;0,A811,0)</ns0:f>
        <ns0:v>0</ns0:v>
      </ns0:c>
      <ns0:c r="AI811" s="12">
        <ns0:f>IF(AND(OR('前提と出典'!$C$36+'前提と出典'!$C$38=0,X811&gt;=0),OR('前提と出典'!$C$37+'前提と出典'!$C$38=0,Y811&gt;=0)),0,A811)</ns0:f>
        <ns0:v>0</ns0:v>
      </ns0:c>
    </ns0:row>
    <ns0:row r="812" ht="24" customHeight="1">
      <ns0:c r="A812" s="4" t="n">
        <ns0:v>808</ns0:v>
      </ns0:c>
      <ns0:c r="B812" s="12">
        <ns0:f>A812*('前提と出典'!$C$36+'前提と出典'!$C$38)</ns0:f>
        <ns0:v>565.5999999999999</ns0:v>
      </ns0:c>
      <ns0:c r="C812" s="12">
        <ns0:f>A812*('前提と出典'!$C$37+'前提と出典'!$C$38)</ns0:f>
        <ns0:v>484.79999999999995</ns0:v>
      </ns0:c>
      <ns0:c r="D812" s="16">
        <ns0:f>A812*('前提と出典'!$C$36*'契約別単価'!C5+'前提と出典'!$C$37*'契約別単価'!C6+'前提と出典'!$C$38*'契約別単価'!C7)</ns0:f>
        <ns0:v>5813.988826815643</ns0:v>
      </ns0:c>
      <ns0:c r="E812" s="16">
        <ns0:f>A812*('前提と出典'!$C$36*'契約別単価'!E5+'前提と出典'!$C$37*'契約別単価'!E6+'前提と出典'!$C$38*'契約別単価'!E7)</ns0:f>
        <ns0:v>1563435.2826397517</ns0:v>
      </ns0:c>
      <ns0:c r="F812" s="16">
        <ns0:f>A812*('前提と出典'!$C$36*'契約別単価'!F5+'前提と出典'!$C$37*'契約別単価'!F6+'前提と出典'!$C$38*'契約別単価'!F7)</ns0:f>
        <ns0:v>613591.5476008365</ns0:v>
      </ns0:c>
      <ns0:c r="G812" s="16">
        <ns0:f>A812*('前提と出典'!$C$36*'契約別単価'!G5+'前提と出典'!$C$37*'契約別単価'!G6+'前提と出典'!$C$38*'契約別単価'!G7)</ns0:f>
        <ns0:v>1608326.2569832401</ns0:v>
      </ns0:c>
      <ns0:c r="H812" s="16">
        <ns0:f>A812*('前提と出典'!$C$36*'契約別単価'!H5+'前提と出典'!$C$37*'契約別単価'!H6+'前提と出典'!$C$38*'契約別単価'!H7)</ns0:f>
        <ns0:v>558169.8750736924</ns0:v>
      </ns0:c>
      <ns0:c r="I812" s="16">
        <ns0:f>A812*('前提と出典'!$C$36*'契約別単価'!I5+'前提と出典'!$C$37*'契約別単価'!I6+'前提と出典'!$C$38*'契約別単価'!I7)</ns0:f>
        <ns0:v>34093.988826815636</ns0:v>
      </ns0:c>
      <ns0:c r="J812" s="16">
        <ns0:f>A812*('前提と出典'!$C$36*'契約別単価'!J5+'前提と出典'!$C$37*'契約別単価'!J6+'前提と出典'!$C$38*'契約別単価'!J7)</ns0:f>
        <ns0:v>79417.95131792447</ns0:v>
      </ns0:c>
      <ns0:c r="K812" s="16">
        <ns0:f>A812*('前提と出典'!$C$36*'契約別単価'!K5+'前提と出典'!$C$37*'契約別単価'!K6+'前提と出典'!$C$38*'契約別単価'!K7)</ns0:f>
        <ns0:v>340413.2588454376</ns0:v>
      </ns0:c>
      <ns0:c r="L812" s="16">
        <ns0:f>A812*('前提と出典'!$C$36*'契約別単価'!L5+'前提と出典'!$C$37*'契約別単価'!L6+'前提と出典'!$C$38*'契約別単価'!L7)</ns0:f>
        <ns0:v>277165.6625024564</ns0:v>
      </ns0:c>
      <ns0:c r="M812" s="16">
        <ns0:f>IF(('前提と出典'!$C$36+'前提と出典'!$C$38)=0,0,IF(B812&lt;=10,'前提と出典'!B73+'前提と出典'!C73,IF(B812&lt;=100,'前提と出典'!B74+'前提と出典'!C74,IF(B812&lt;=500,'前提と出典'!B75+'前提と出典'!C75,'前提と出典'!B76+'前提と出典'!C76))))</ns0:f>
        <ns0:v>80000</ns0:v>
      </ns0:c>
      <ns0:c r="N812" s="16">
        <ns0:f>IF(('前提と出典'!$C$37+'前提と出典'!$C$38)=0,0,IF(C812&lt;=10,'前提と出典'!D73+'前提と出典'!E73,IF(C812&lt;=100,'前提と出典'!D74+'前提と出典'!E74,IF(C812&lt;=500,'前提と出典'!D75+'前提と出典'!E75,'前提と出典'!D76+'前提と出典'!E76))))</ns0:f>
        <ns0:v>56510.9346263078</ns0:v>
      </ns0:c>
      <ns0:c r="O812" s="16">
        <ns0:f>IF('前提と出典'!$C$36+'前提と出典'!$C$38=0,0,'前提と出典'!$B$4*IF('前提と出典'!$B$20=0,MAX('前提と出典'!$B$6,D812*'前提と出典'!$B$5),'前提と出典'!$B$6+D812*'前提と出典'!$B$5))</ns0:f>
        <ns0:v>802330.4581005587</ns0:v>
      </ns0:c>
      <ns0:c r="P812" s="16">
        <ns0:f>(E812+G812)*(1-'前提と出典'!$B$7)-I812-K812-M812-O812</ns0:f>
        <ns0:v>1800740.4184237525</ns0:v>
      </ns0:c>
      <ns0:c r="Q812" s="16">
        <ns0:f>(F812+H812)*(1-'前提と出典'!$B$7)-J812-L812-N812</ns0:f>
        <ns0:v>716483.4630115572</ns0:v>
      </ns0:c>
      <ns0:c r="R812" s="16">
        <ns0:f>P812-E812*'前提と出典'!$E$4</ns0:f>
        <ns0:v>1331709.833631827</ns0:v>
      </ns0:c>
      <ns0:c r="S812" s="16">
        <ns0:f>Q812-F812*'前提と出典'!$E$4</ns0:f>
        <ns0:v>532405.9987313063</ns0:v>
      </ns0:c>
      <ns0:c r="T812" s="7">
        <ns0:f>R812+S812</ns0:f>
        <ns0:v>1864115.8323631333</ns0:v>
      </ns0:c>
      <ns0:c r="U812" s="16">
        <ns0:f>P812-E812*'前提と出典'!$E$5</ns0:f>
        <ns0:v>1175366.3053678519</ns0:v>
      </ns0:c>
      <ns0:c r="V812" s="16">
        <ns0:f>Q812-F812*'前提と出典'!$E$5</ns0:f>
        <ns0:v>471046.84397122264</ns0:v>
      </ns0:c>
      <ns0:c r="W812" s="7">
        <ns0:f>U812+V812</ns0:f>
        <ns0:v>1646413.1493390745</ns0:v>
      </ns0:c>
      <ns0:c r="X812" s="16">
        <ns0:f>P812-E812*'前提と出典'!$E$6</ns0:f>
        <ns0:v>1019022.7771038765</ns0:v>
      </ns0:c>
      <ns0:c r="Y812" s="16">
        <ns0:f>Q812-F812*'前提と出典'!$E$6</ns0:f>
        <ns0:v>409687.68921113893</ns0:v>
      </ns0:c>
      <ns0:c r="Z812" s="7">
        <ns0:f>X812+Y812</ns0:f>
        <ns0:v>1428710.4663150155</ns0:v>
      </ns0:c>
      <ns0:c r="AA812" s="7">
        <ns0:f>IF(T812&gt;=0,A812,1001)</ns0:f>
        <ns0:v>808</ns0:v>
      </ns0:c>
      <ns0:c r="AB812" s="7">
        <ns0:f>IF(T812&lt;0,A812,0)</ns0:f>
        <ns0:v>0</ns0:v>
      </ns0:c>
      <ns0:c r="AC812" s="16">
        <ns0:f>IF(AND(OR('前提と出典'!$C$36+'前提と出典'!$C$38=0,R812&gt;=0),OR('前提と出典'!$C$37+'前提と出典'!$C$38=0,S812&gt;=0)),0,A812)</ns0:f>
        <ns0:v>0</ns0:v>
      </ns0:c>
      <ns0:c r="AD812" s="7">
        <ns0:f>IF(W812&gt;=0,A812,1001)</ns0:f>
        <ns0:v>808</ns0:v>
      </ns0:c>
      <ns0:c r="AE812" s="7">
        <ns0:f>IF(W812&lt;0,A812,0)</ns0:f>
        <ns0:v>0</ns0:v>
      </ns0:c>
      <ns0:c r="AF812" s="16">
        <ns0:f>IF(AND(OR('前提と出典'!$C$36+'前提と出典'!$C$38=0,U812&gt;=0),OR('前提と出典'!$C$37+'前提と出典'!$C$38=0,V812&gt;=0)),0,A812)</ns0:f>
        <ns0:v>0</ns0:v>
      </ns0:c>
      <ns0:c r="AG812" s="7">
        <ns0:f>IF(Z812&gt;=0,A812,1001)</ns0:f>
        <ns0:v>808</ns0:v>
      </ns0:c>
      <ns0:c r="AH812" s="4">
        <ns0:f>IF(Z812&lt;0,A812,0)</ns0:f>
        <ns0:v>0</ns0:v>
      </ns0:c>
      <ns0:c r="AI812" s="12">
        <ns0:f>IF(AND(OR('前提と出典'!$C$36+'前提と出典'!$C$38=0,X812&gt;=0),OR('前提と出典'!$C$37+'前提と出典'!$C$38=0,Y812&gt;=0)),0,A812)</ns0:f>
        <ns0:v>0</ns0:v>
      </ns0:c>
    </ns0:row>
    <ns0:row r="813" ht="24" customHeight="1">
      <ns0:c r="A813" s="4" t="n">
        <ns0:v>809</ns0:v>
      </ns0:c>
      <ns0:c r="B813" s="12">
        <ns0:f>A813*('前提と出典'!$C$36+'前提と出典'!$C$38)</ns0:f>
        <ns0:v>566.3</ns0:v>
      </ns0:c>
      <ns0:c r="C813" s="12">
        <ns0:f>A813*('前提と出典'!$C$37+'前提と出典'!$C$38)</ns0:f>
        <ns0:v>485.4</ns0:v>
      </ns0:c>
      <ns0:c r="D813" s="16">
        <ns0:f>A813*('前提と出典'!$C$36*'契約別単価'!C5+'前提と出典'!$C$37*'契約別単価'!C6+'前提と出典'!$C$38*'契約別単価'!C7)</ns0:f>
        <ns0:v>5821.1843575419</ns0:v>
      </ns0:c>
      <ns0:c r="E813" s="16">
        <ns0:f>A813*('前提と出典'!$C$36*'契約別単価'!E5+'前提と出典'!$C$37*'契約別単価'!E6+'前提と出典'!$C$38*'契約別単価'!E7)</ns0:f>
        <ns0:v>1565370.2272964842</ns0:v>
      </ns0:c>
      <ns0:c r="F813" s="16">
        <ns0:f>A813*('前提と出典'!$C$36*'契約別単価'!F5+'前提と出典'!$C$37*'契約別単価'!F6+'前提と出典'!$C$38*'契約別単価'!F7)</ns0:f>
        <ns0:v>614350.9430805405</ns0:v>
      </ns0:c>
      <ns0:c r="G813" s="16">
        <ns0:f>A813*('前提と出典'!$C$36*'契約別単価'!G5+'前提と出典'!$C$37*'契約別単価'!G6+'前提と出典'!$C$38*'契約別単価'!G7)</ns0:f>
        <ns0:v>1610316.7597765361</ns0:v>
      </ns0:c>
      <ns0:c r="H813" s="16">
        <ns0:f>A813*('前提と出典'!$C$36*'契約別単価'!H5+'前提と出典'!$C$37*'契約別単価'!H6+'前提と出典'!$C$38*'契約別単価'!H7)</ns0:f>
        <ns0:v>558860.6793745261</ns0:v>
      </ns0:c>
      <ns0:c r="I813" s="16">
        <ns0:f>A813*('前提と出典'!$C$36*'契約別単価'!I5+'前提と出典'!$C$37*'契約別単価'!I6+'前提と出典'!$C$38*'契約別単価'!I7)</ns0:f>
        <ns0:v>34136.1843575419</ns0:v>
      </ns0:c>
      <ns0:c r="J813" s="16">
        <ns0:f>A813*('前提と出典'!$C$36*'契約別単価'!J5+'前提と出典'!$C$37*'契約別単価'!J6+'前提と出典'!$C$38*'契約別単価'!J7)</ns0:f>
        <ns0:v>79516.24086163478</ns0:v>
      </ns0:c>
      <ns0:c r="K813" s="16">
        <ns0:f>A813*('前提と出典'!$C$36*'契約別単価'!K5+'前提と出典'!$C$37*'契約別単価'!K6+'前提と出典'!$C$38*'契約別単価'!K7)</ns0:f>
        <ns0:v>340834.5623836126</ns0:v>
      </ns0:c>
      <ns0:c r="L813" s="16">
        <ns0:f>A813*('前提と出典'!$C$36*'契約別単価'!L5+'前提と出典'!$C$37*'契約別単価'!L6+'前提と出典'!$C$38*'契約別単価'!L7)</ns0:f>
        <ns0:v>277508.6893124842</ns0:v>
      </ns0:c>
      <ns0:c r="M813" s="16">
        <ns0:f>IF(('前提と出典'!$C$36+'前提と出典'!$C$38)=0,0,IF(B813&lt;=10,'前提と出典'!B73+'前提と出典'!C73,IF(B813&lt;=100,'前提と出典'!B74+'前提と出典'!C74,IF(B813&lt;=500,'前提と出典'!B75+'前提と出典'!C75,'前提と出典'!B76+'前提と出典'!C76))))</ns0:f>
        <ns0:v>80000</ns0:v>
      </ns0:c>
      <ns0:c r="N813" s="16">
        <ns0:f>IF(('前提と出典'!$C$37+'前提と出典'!$C$38)=0,0,IF(C813&lt;=10,'前提と出典'!D73+'前提と出典'!E73,IF(C813&lt;=100,'前提と出典'!D74+'前提と出典'!E74,IF(C813&lt;=500,'前提と出典'!D75+'前提と出典'!E75,'前提と出典'!D76+'前提と出典'!E76))))</ns0:f>
        <ns0:v>56510.9346263078</ns0:v>
      </ns0:c>
      <ns0:c r="O813" s="16">
        <ns0:f>IF('前提と出典'!$C$36+'前提と出典'!$C$38=0,0,'前提と出典'!$B$4*IF('前提と出典'!$B$20=0,MAX('前提と出典'!$B$6,D813*'前提と出典'!$B$5),'前提と出典'!$B$6+D813*'前提と出典'!$B$5))</ns0:f>
        <ns0:v>803323.4413407822</ns0:v>
      </ns0:c>
      <ns0:c r="P813" s="16">
        <ns0:f>(E813+G813)*(1-'前提と出典'!$B$7)-I813-K813-M813-O813</ns0:f>
        <ns0:v>1803068.0674564545</ns0:v>
      </ns0:c>
      <ns0:c r="Q813" s="16">
        <ns0:f>(F813+H813)*(1-'前提と出典'!$B$7)-J813-L813-N813</ns0:f>
        <ns0:v>717440.1392462574</ns0:v>
      </ns0:c>
      <ns0:c r="R813" s="16">
        <ns0:f>P813-E813*'前提と出典'!$E$4</ns0:f>
        <ns0:v>1333456.9992675092</ns0:v>
      </ns0:c>
      <ns0:c r="S813" s="16">
        <ns0:f>Q813-F813*'前提と出典'!$E$4</ns0:f>
        <ns0:v>533134.8563220953</ns0:v>
      </ns0:c>
      <ns0:c r="T813" s="7">
        <ns0:f>R813+S813</ns0:f>
        <ns0:v>1866591.8555896045</ns0:v>
      </ns0:c>
      <ns0:c r="U813" s="16">
        <ns0:f>P813-E813*'前提と出典'!$E$5</ns0:f>
        <ns0:v>1176919.976537861</ns0:v>
      </ns0:c>
      <ns0:c r="V813" s="16">
        <ns0:f>Q813-F813*'前提と出典'!$E$5</ns0:f>
        <ns0:v>471699.7620140412</ns0:v>
      </ns0:c>
      <ns0:c r="W813" s="7">
        <ns0:f>U813+V813</ns0:f>
        <ns0:v>1648619.7385519021</ns0:v>
      </ns0:c>
      <ns0:c r="X813" s="16">
        <ns0:f>P813-E813*'前提と出典'!$E$6</ns0:f>
        <ns0:v>1020382.9538082122</ns0:v>
      </ns0:c>
      <ns0:c r="Y813" s="16">
        <ns0:f>Q813-F813*'前提と出典'!$E$6</ns0:f>
        <ns0:v>410264.66770598706</ns0:v>
      </ns0:c>
      <ns0:c r="Z813" s="7">
        <ns0:f>X813+Y813</ns0:f>
        <ns0:v>1430647.6215141993</ns0:v>
      </ns0:c>
      <ns0:c r="AA813" s="7">
        <ns0:f>IF(T813&gt;=0,A813,1001)</ns0:f>
        <ns0:v>809</ns0:v>
      </ns0:c>
      <ns0:c r="AB813" s="7">
        <ns0:f>IF(T813&lt;0,A813,0)</ns0:f>
        <ns0:v>0</ns0:v>
      </ns0:c>
      <ns0:c r="AC813" s="16">
        <ns0:f>IF(AND(OR('前提と出典'!$C$36+'前提と出典'!$C$38=0,R813&gt;=0),OR('前提と出典'!$C$37+'前提と出典'!$C$38=0,S813&gt;=0)),0,A813)</ns0:f>
        <ns0:v>0</ns0:v>
      </ns0:c>
      <ns0:c r="AD813" s="7">
        <ns0:f>IF(W813&gt;=0,A813,1001)</ns0:f>
        <ns0:v>809</ns0:v>
      </ns0:c>
      <ns0:c r="AE813" s="7">
        <ns0:f>IF(W813&lt;0,A813,0)</ns0:f>
        <ns0:v>0</ns0:v>
      </ns0:c>
      <ns0:c r="AF813" s="16">
        <ns0:f>IF(AND(OR('前提と出典'!$C$36+'前提と出典'!$C$38=0,U813&gt;=0),OR('前提と出典'!$C$37+'前提と出典'!$C$38=0,V813&gt;=0)),0,A813)</ns0:f>
        <ns0:v>0</ns0:v>
      </ns0:c>
      <ns0:c r="AG813" s="7">
        <ns0:f>IF(Z813&gt;=0,A813,1001)</ns0:f>
        <ns0:v>809</ns0:v>
      </ns0:c>
      <ns0:c r="AH813" s="4">
        <ns0:f>IF(Z813&lt;0,A813,0)</ns0:f>
        <ns0:v>0</ns0:v>
      </ns0:c>
      <ns0:c r="AI813" s="12">
        <ns0:f>IF(AND(OR('前提と出典'!$C$36+'前提と出典'!$C$38=0,X813&gt;=0),OR('前提と出典'!$C$37+'前提と出典'!$C$38=0,Y813&gt;=0)),0,A813)</ns0:f>
        <ns0:v>0</ns0:v>
      </ns0:c>
    </ns0:row>
    <ns0:row r="814" ht="24" customHeight="1">
      <ns0:c r="A814" s="4" t="n">
        <ns0:v>810</ns0:v>
      </ns0:c>
      <ns0:c r="B814" s="12">
        <ns0:f>A814*('前提と出典'!$C$36+'前提と出典'!$C$38)</ns0:f>
        <ns0:v>567</ns0:v>
      </ns0:c>
      <ns0:c r="C814" s="12">
        <ns0:f>A814*('前提と出典'!$C$37+'前提と出典'!$C$38)</ns0:f>
        <ns0:v>486</ns0:v>
      </ns0:c>
      <ns0:c r="D814" s="16">
        <ns0:f>A814*('前提と出典'!$C$36*'契約別単価'!C5+'前提と出典'!$C$37*'契約別単価'!C6+'前提と出典'!$C$38*'契約別単価'!C7)</ns0:f>
        <ns0:v>5828.379888268157</ns0:v>
      </ns0:c>
      <ns0:c r="E814" s="16">
        <ns0:f>A814*('前提と出典'!$C$36*'契約別単価'!E5+'前提と出典'!$C$37*'契約別単価'!E6+'前提と出典'!$C$38*'契約別単価'!E7)</ns0:f>
        <ns0:v>1567305.1719532164</ns0:v>
      </ns0:c>
      <ns0:c r="F814" s="16">
        <ns0:f>A814*('前提と出典'!$C$36*'契約別単価'!F5+'前提と出典'!$C$37*'契約別単価'!F6+'前提と出典'!$C$38*'契約別単価'!F7)</ns0:f>
        <ns0:v>615110.3385602445</ns0:v>
      </ns0:c>
      <ns0:c r="G814" s="16">
        <ns0:f>A814*('前提と出典'!$C$36*'契約別単価'!G5+'前提と出典'!$C$37*'契約別単価'!G6+'前提と出典'!$C$38*'契約別単価'!G7)</ns0:f>
        <ns0:v>1612307.2625698324</ns0:v>
      </ns0:c>
      <ns0:c r="H814" s="16">
        <ns0:f>A814*('前提と出典'!$C$36*'契約別単価'!H5+'前提と出典'!$C$37*'契約別単価'!H6+'前提と出典'!$C$38*'契約別単価'!H7)</ns0:f>
        <ns0:v>559551.48367536</ns0:v>
      </ns0:c>
      <ns0:c r="I814" s="16">
        <ns0:f>A814*('前提と出典'!$C$36*'契約別単価'!I5+'前提と出典'!$C$37*'契約別単価'!I6+'前提と出典'!$C$38*'契約別単価'!I7)</ns0:f>
        <ns0:v>34178.37988826815</ns0:v>
      </ns0:c>
      <ns0:c r="J814" s="16">
        <ns0:f>A814*('前提と出典'!$C$36*'契約別単価'!J5+'前提と出典'!$C$37*'契約別単価'!J6+'前提と出典'!$C$38*'契約別単価'!J7)</ns0:f>
        <ns0:v>79614.53040534508</ns0:v>
      </ns0:c>
      <ns0:c r="K814" s="16">
        <ns0:f>A814*('前提と出典'!$C$36*'契約別単価'!K5+'前提と出典'!$C$37*'契約別単価'!K6+'前提と出典'!$C$38*'契約別単価'!K7)</ns0:f>
        <ns0:v>341255.8659217877</ns0:v>
      </ns0:c>
      <ns0:c r="L814" s="16">
        <ns0:f>A814*('前提と出典'!$C$36*'契約別単価'!L5+'前提と出典'!$C$37*'契約別単価'!L6+'前提と出典'!$C$38*'契約別単価'!L7)</ns0:f>
        <ns0:v>277851.716122512</ns0:v>
      </ns0:c>
      <ns0:c r="M814" s="16">
        <ns0:f>IF(('前提と出典'!$C$36+'前提と出典'!$C$38)=0,0,IF(B814&lt;=10,'前提と出典'!B73+'前提と出典'!C73,IF(B814&lt;=100,'前提と出典'!B74+'前提と出典'!C74,IF(B814&lt;=500,'前提と出典'!B75+'前提と出典'!C75,'前提と出典'!B76+'前提と出典'!C76))))</ns0:f>
        <ns0:v>80000</ns0:v>
      </ns0:c>
      <ns0:c r="N814" s="16">
        <ns0:f>IF(('前提と出典'!$C$37+'前提と出典'!$C$38)=0,0,IF(C814&lt;=10,'前提と出典'!D73+'前提と出典'!E73,IF(C814&lt;=100,'前提と出典'!D74+'前提と出典'!E74,IF(C814&lt;=500,'前提と出典'!D75+'前提と出典'!E75,'前提と出典'!D76+'前提と出典'!E76))))</ns0:f>
        <ns0:v>56510.9346263078</ns0:v>
      </ns0:c>
      <ns0:c r="O814" s="16">
        <ns0:f>IF('前提と出典'!$C$36+'前提と出典'!$C$38=0,0,'前提と出典'!$B$4*IF('前提と出典'!$B$20=0,MAX('前提と出典'!$B$6,D814*'前提と出典'!$B$5),'前提と出典'!$B$6+D814*'前提と出典'!$B$5))</ns0:f>
        <ns0:v>804316.4245810056</ns0:v>
      </ns0:c>
      <ns0:c r="P814" s="16">
        <ns0:f>(E814+G814)*(1-'前提と出典'!$B$7)-I814-K814-M814-O814</ns0:f>
        <ns0:v>1805395.7164891576</ns0:v>
      </ns0:c>
      <ns0:c r="Q814" s="16">
        <ns0:f>(F814+H814)*(1-'前提と出典'!$B$7)-J814-L814-N814</ns0:f>
        <ns0:v>718396.815480958</ns0:v>
      </ns0:c>
      <ns0:c r="R814" s="16">
        <ns0:f>P814-E814*'前提と出典'!$E$4</ns0:f>
        <ns0:v>1335204.1649031923</ns0:v>
      </ns0:c>
      <ns0:c r="S814" s="16">
        <ns0:f>Q814-F814*'前提と出典'!$E$4</ns0:f>
        <ns0:v>533863.7139128845</ns0:v>
      </ns0:c>
      <ns0:c r="T814" s="7">
        <ns0:f>R814+S814</ns0:f>
        <ns0:v>1869067.8788160768</ns0:v>
      </ns0:c>
      <ns0:c r="U814" s="16">
        <ns0:f>P814-E814*'前提と出典'!$E$5</ns0:f>
        <ns0:v>1178473.6477078712</ns0:v>
      </ns0:c>
      <ns0:c r="V814" s="16">
        <ns0:f>Q814-F814*'前提と出典'!$E$5</ns0:f>
        <ns0:v>472352.6800568602</ns0:v>
      </ns0:c>
      <ns0:c r="W814" s="7">
        <ns0:f>U814+V814</ns0:f>
        <ns0:v>1650826.3277647314</ns0:v>
      </ns0:c>
      <ns0:c r="X814" s="16">
        <ns0:f>P814-E814*'前提と出典'!$E$6</ns0:f>
        <ns0:v>1021743.1305125494</ns0:v>
      </ns0:c>
      <ns0:c r="Y814" s="16">
        <ns0:f>Q814-F814*'前提と出典'!$E$6</ns0:f>
        <ns0:v>410841.6462008357</ns0:v>
      </ns0:c>
      <ns0:c r="Z814" s="7">
        <ns0:f>X814+Y814</ns0:f>
        <ns0:v>1432584.7767133852</ns0:v>
      </ns0:c>
      <ns0:c r="AA814" s="7">
        <ns0:f>IF(T814&gt;=0,A814,1001)</ns0:f>
        <ns0:v>810</ns0:v>
      </ns0:c>
      <ns0:c r="AB814" s="7">
        <ns0:f>IF(T814&lt;0,A814,0)</ns0:f>
        <ns0:v>0</ns0:v>
      </ns0:c>
      <ns0:c r="AC814" s="16">
        <ns0:f>IF(AND(OR('前提と出典'!$C$36+'前提と出典'!$C$38=0,R814&gt;=0),OR('前提と出典'!$C$37+'前提と出典'!$C$38=0,S814&gt;=0)),0,A814)</ns0:f>
        <ns0:v>0</ns0:v>
      </ns0:c>
      <ns0:c r="AD814" s="7">
        <ns0:f>IF(W814&gt;=0,A814,1001)</ns0:f>
        <ns0:v>810</ns0:v>
      </ns0:c>
      <ns0:c r="AE814" s="7">
        <ns0:f>IF(W814&lt;0,A814,0)</ns0:f>
        <ns0:v>0</ns0:v>
      </ns0:c>
      <ns0:c r="AF814" s="16">
        <ns0:f>IF(AND(OR('前提と出典'!$C$36+'前提と出典'!$C$38=0,U814&gt;=0),OR('前提と出典'!$C$37+'前提と出典'!$C$38=0,V814&gt;=0)),0,A814)</ns0:f>
        <ns0:v>0</ns0:v>
      </ns0:c>
      <ns0:c r="AG814" s="7">
        <ns0:f>IF(Z814&gt;=0,A814,1001)</ns0:f>
        <ns0:v>810</ns0:v>
      </ns0:c>
      <ns0:c r="AH814" s="4">
        <ns0:f>IF(Z814&lt;0,A814,0)</ns0:f>
        <ns0:v>0</ns0:v>
      </ns0:c>
      <ns0:c r="AI814" s="12">
        <ns0:f>IF(AND(OR('前提と出典'!$C$36+'前提と出典'!$C$38=0,X814&gt;=0),OR('前提と出典'!$C$37+'前提と出典'!$C$38=0,Y814&gt;=0)),0,A814)</ns0:f>
        <ns0:v>0</ns0:v>
      </ns0:c>
    </ns0:row>
    <ns0:row r="815" ht="24" customHeight="1">
      <ns0:c r="A815" s="4" t="n">
        <ns0:v>811</ns0:v>
      </ns0:c>
      <ns0:c r="B815" s="12">
        <ns0:f>A815*('前提と出典'!$C$36+'前提と出典'!$C$38)</ns0:f>
        <ns0:v>567.6999999999999</ns0:v>
      </ns0:c>
      <ns0:c r="C815" s="12">
        <ns0:f>A815*('前提と出典'!$C$37+'前提と出典'!$C$38)</ns0:f>
        <ns0:v>486.59999999999997</ns0:v>
      </ns0:c>
      <ns0:c r="D815" s="16">
        <ns0:f>A815*('前提と出典'!$C$36*'契約別単価'!C5+'前提と出典'!$C$37*'契約別単価'!C6+'前提と出典'!$C$38*'契約別単価'!C7)</ns0:f>
        <ns0:v>5835.575418994414</ns0:v>
      </ns0:c>
      <ns0:c r="E815" s="16">
        <ns0:f>A815*('前提と出典'!$C$36*'契約別単価'!E5+'前提と出典'!$C$37*'契約別単価'!E6+'前提と出典'!$C$38*'契約別単価'!E7)</ns0:f>
        <ns0:v>1569240.1166099487</ns0:v>
      </ns0:c>
      <ns0:c r="F815" s="16">
        <ns0:f>A815*('前提と出典'!$C$36*'契約別単価'!F5+'前提と出典'!$C$37*'契約別単価'!F6+'前提と出典'!$C$38*'契約別単価'!F7)</ns0:f>
        <ns0:v>615869.7340399484</ns0:v>
      </ns0:c>
      <ns0:c r="G815" s="16">
        <ns0:f>A815*('前提と出典'!$C$36*'契約別単価'!G5+'前提と出典'!$C$37*'契約別単価'!G6+'前提と出典'!$C$38*'契約別単価'!G7)</ns0:f>
        <ns0:v>1614297.7653631284</ns0:v>
      </ns0:c>
      <ns0:c r="H815" s="16">
        <ns0:f>A815*('前提と出典'!$C$36*'契約別単価'!H5+'前提と出典'!$C$37*'契約別単価'!H6+'前提と出典'!$C$38*'契約別単価'!H7)</ns0:f>
        <ns0:v>560242.2879761937</ns0:v>
      </ns0:c>
      <ns0:c r="I815" s="16">
        <ns0:f>A815*('前提と出典'!$C$36*'契約別単価'!I5+'前提と出典'!$C$37*'契約別単価'!I6+'前提と出典'!$C$38*'契約別単価'!I7)</ns0:f>
        <ns0:v>34220.575418994405</ns0:v>
      </ns0:c>
      <ns0:c r="J815" s="16">
        <ns0:f>A815*('前提と出典'!$C$36*'契約別単価'!J5+'前提と出典'!$C$37*'契約別単価'!J6+'前提と出典'!$C$38*'契約別単価'!J7)</ns0:f>
        <ns0:v>79712.81994905538</ns0:v>
      </ns0:c>
      <ns0:c r="K815" s="16">
        <ns0:f>A815*('前提と出典'!$C$36*'契約別単価'!K5+'前提と出典'!$C$37*'契約別単価'!K6+'前提と出典'!$C$38*'契約別単価'!K7)</ns0:f>
        <ns0:v>341677.16945996275</ns0:v>
      </ns0:c>
      <ns0:c r="L815" s="16">
        <ns0:f>A815*('前提と出典'!$C$36*'契約別単価'!L5+'前提と出典'!$C$37*'契約別単価'!L6+'前提と出典'!$C$38*'契約別単価'!L7)</ns0:f>
        <ns0:v>278194.7429325398</ns0:v>
      </ns0:c>
      <ns0:c r="M815" s="16">
        <ns0:f>IF(('前提と出典'!$C$36+'前提と出典'!$C$38)=0,0,IF(B815&lt;=10,'前提と出典'!B73+'前提と出典'!C73,IF(B815&lt;=100,'前提と出典'!B74+'前提と出典'!C74,IF(B815&lt;=500,'前提と出典'!B75+'前提と出典'!C75,'前提と出典'!B76+'前提と出典'!C76))))</ns0:f>
        <ns0:v>80000</ns0:v>
      </ns0:c>
      <ns0:c r="N815" s="16">
        <ns0:f>IF(('前提と出典'!$C$37+'前提と出典'!$C$38)=0,0,IF(C815&lt;=10,'前提と出典'!D73+'前提と出典'!E73,IF(C815&lt;=100,'前提と出典'!D74+'前提と出典'!E74,IF(C815&lt;=500,'前提と出典'!D75+'前提と出典'!E75,'前提と出典'!D76+'前提と出典'!E76))))</ns0:f>
        <ns0:v>56510.9346263078</ns0:v>
      </ns0:c>
      <ns0:c r="O815" s="16">
        <ns0:f>IF('前提と出典'!$C$36+'前提と出典'!$C$38=0,0,'前提と出典'!$B$4*IF('前提と出典'!$B$20=0,MAX('前提と出典'!$B$6,D815*'前提と出典'!$B$5),'前提と出典'!$B$6+D815*'前提と出典'!$B$5))</ns0:f>
        <ns0:v>805309.4078212291</ns0:v>
      </ns0:c>
      <ns0:c r="P815" s="16">
        <ns0:f>(E815+G815)*(1-'前提と出典'!$B$7)-I815-K815-M815-O815</ns0:f>
        <ns0:v>1807723.3655218603</ns0:v>
      </ns0:c>
      <ns0:c r="Q815" s="16">
        <ns0:f>(F815+H815)*(1-'前提と出典'!$B$7)-J815-L815-N815</ns0:f>
        <ns0:v>719353.491715658</ns0:v>
      </ns0:c>
      <ns0:c r="R815" s="16">
        <ns0:f>P815-E815*'前提と出典'!$E$4</ns0:f>
        <ns0:v>1336951.330538876</ns0:v>
      </ns0:c>
      <ns0:c r="S815" s="16">
        <ns0:f>Q815-F815*'前提と出典'!$E$4</ns0:f>
        <ns0:v>534592.5715036733</ns0:v>
      </ns0:c>
      <ns0:c r="T815" s="7">
        <ns0:f>R815+S815</ns0:f>
        <ns0:v>1871543.902042549</ns0:v>
      </ns0:c>
      <ns0:c r="U815" s="16">
        <ns0:f>P815-E815*'前提と出典'!$E$5</ns0:f>
        <ns0:v>1180027.318877881</ns0:v>
      </ns0:c>
      <ns0:c r="V815" s="16">
        <ns0:f>Q815-F815*'前提と出典'!$E$5</ns0:f>
        <ns0:v>473005.59809967864</ns0:v>
      </ns0:c>
      <ns0:c r="W815" s="7">
        <ns0:f>U815+V815</ns0:f>
        <ns0:v>1653032.9169775597</ns0:v>
      </ns0:c>
      <ns0:c r="X815" s="16">
        <ns0:f>P815-E815*'前提と出典'!$E$6</ns0:f>
        <ns0:v>1023103.3072168861</ns0:v>
      </ns0:c>
      <ns0:c r="Y815" s="16">
        <ns0:f>Q815-F815*'前提と出典'!$E$6</ns0:f>
        <ns0:v>411418.6246956837</ns0:v>
      </ns0:c>
      <ns0:c r="Z815" s="7">
        <ns0:f>X815+Y815</ns0:f>
        <ns0:v>1434521.9319125698</ns0:v>
      </ns0:c>
      <ns0:c r="AA815" s="7">
        <ns0:f>IF(T815&gt;=0,A815,1001)</ns0:f>
        <ns0:v>811</ns0:v>
      </ns0:c>
      <ns0:c r="AB815" s="7">
        <ns0:f>IF(T815&lt;0,A815,0)</ns0:f>
        <ns0:v>0</ns0:v>
      </ns0:c>
      <ns0:c r="AC815" s="16">
        <ns0:f>IF(AND(OR('前提と出典'!$C$36+'前提と出典'!$C$38=0,R815&gt;=0),OR('前提と出典'!$C$37+'前提と出典'!$C$38=0,S815&gt;=0)),0,A815)</ns0:f>
        <ns0:v>0</ns0:v>
      </ns0:c>
      <ns0:c r="AD815" s="7">
        <ns0:f>IF(W815&gt;=0,A815,1001)</ns0:f>
        <ns0:v>811</ns0:v>
      </ns0:c>
      <ns0:c r="AE815" s="7">
        <ns0:f>IF(W815&lt;0,A815,0)</ns0:f>
        <ns0:v>0</ns0:v>
      </ns0:c>
      <ns0:c r="AF815" s="16">
        <ns0:f>IF(AND(OR('前提と出典'!$C$36+'前提と出典'!$C$38=0,U815&gt;=0),OR('前提と出典'!$C$37+'前提と出典'!$C$38=0,V815&gt;=0)),0,A815)</ns0:f>
        <ns0:v>0</ns0:v>
      </ns0:c>
      <ns0:c r="AG815" s="7">
        <ns0:f>IF(Z815&gt;=0,A815,1001)</ns0:f>
        <ns0:v>811</ns0:v>
      </ns0:c>
      <ns0:c r="AH815" s="4">
        <ns0:f>IF(Z815&lt;0,A815,0)</ns0:f>
        <ns0:v>0</ns0:v>
      </ns0:c>
      <ns0:c r="AI815" s="12">
        <ns0:f>IF(AND(OR('前提と出典'!$C$36+'前提と出典'!$C$38=0,X815&gt;=0),OR('前提と出典'!$C$37+'前提と出典'!$C$38=0,Y815&gt;=0)),0,A815)</ns0:f>
        <ns0:v>0</ns0:v>
      </ns0:c>
    </ns0:row>
    <ns0:row r="816" ht="24" customHeight="1">
      <ns0:c r="A816" s="4" t="n">
        <ns0:v>812</ns0:v>
      </ns0:c>
      <ns0:c r="B816" s="12">
        <ns0:f>A816*('前提と出典'!$C$36+'前提と出典'!$C$38)</ns0:f>
        <ns0:v>568.4</ns0:v>
      </ns0:c>
      <ns0:c r="C816" s="12">
        <ns0:f>A816*('前提と出典'!$C$37+'前提と出典'!$C$38)</ns0:f>
        <ns0:v>487.2</ns0:v>
      </ns0:c>
      <ns0:c r="D816" s="16">
        <ns0:f>A816*('前提と出典'!$C$36*'契約別単価'!C5+'前提と出典'!$C$37*'契約別単価'!C6+'前提と出典'!$C$38*'契約別単価'!C7)</ns0:f>
        <ns0:v>5842.770949720671</ns0:v>
      </ns0:c>
      <ns0:c r="E816" s="16">
        <ns0:f>A816*('前提と出典'!$C$36*'契約別単価'!E5+'前提と出典'!$C$37*'契約別単価'!E6+'前提と出典'!$C$38*'契約別単価'!E7)</ns0:f>
        <ns0:v>1571175.0612666812</ns0:v>
      </ns0:c>
      <ns0:c r="F816" s="16">
        <ns0:f>A816*('前提と出典'!$C$36*'契約別単価'!F5+'前提と出典'!$C$37*'契約別単価'!F6+'前提と出典'!$C$38*'契約別単価'!F7)</ns0:f>
        <ns0:v>616629.1295196525</ns0:v>
      </ns0:c>
      <ns0:c r="G816" s="16">
        <ns0:f>A816*('前提と出典'!$C$36*'契約別単価'!G5+'前提と出典'!$C$37*'契約別単価'!G6+'前提と出典'!$C$38*'契約別単価'!G7)</ns0:f>
        <ns0:v>1616288.2681564244</ns0:v>
      </ns0:c>
      <ns0:c r="H816" s="16">
        <ns0:f>A816*('前提と出典'!$C$36*'契約別単価'!H5+'前提と出典'!$C$37*'契約別単価'!H6+'前提と出典'!$C$38*'契約別単価'!H7)</ns0:f>
        <ns0:v>560933.0922770274</ns0:v>
      </ns0:c>
      <ns0:c r="I816" s="16">
        <ns0:f>A816*('前提と出典'!$C$36*'契約別単価'!I5+'前提と出典'!$C$37*'契約別単価'!I6+'前提と出典'!$C$38*'契約別単価'!I7)</ns0:f>
        <ns0:v>34262.77094972067</ns0:v>
      </ns0:c>
      <ns0:c r="J816" s="16">
        <ns0:f>A816*('前提と出典'!$C$36*'契約別単価'!J5+'前提と出典'!$C$37*'契約別単価'!J6+'前提と出典'!$C$38*'契約別単価'!J7)</ns0:f>
        <ns0:v>79811.10949276568</ns0:v>
      </ns0:c>
      <ns0:c r="K816" s="16">
        <ns0:f>A816*('前提と出典'!$C$36*'契約別単価'!K5+'前提と出典'!$C$37*'契約別単価'!K6+'前提と出典'!$C$38*'契約別単価'!K7)</ns0:f>
        <ns0:v>342098.47299813776</ns0:v>
      </ns0:c>
      <ns0:c r="L816" s="16">
        <ns0:f>A816*('前提と出典'!$C$36*'契約別単価'!L5+'前提と出典'!$C$37*'契約別単価'!L6+'前提と出典'!$C$38*'契約別単価'!L7)</ns0:f>
        <ns0:v>278537.76974256756</ns0:v>
      </ns0:c>
      <ns0:c r="M816" s="16">
        <ns0:f>IF(('前提と出典'!$C$36+'前提と出典'!$C$38)=0,0,IF(B816&lt;=10,'前提と出典'!B73+'前提と出典'!C73,IF(B816&lt;=100,'前提と出典'!B74+'前提と出典'!C74,IF(B816&lt;=500,'前提と出典'!B75+'前提と出典'!C75,'前提と出典'!B76+'前提と出典'!C76))))</ns0:f>
        <ns0:v>80000</ns0:v>
      </ns0:c>
      <ns0:c r="N816" s="16">
        <ns0:f>IF(('前提と出典'!$C$37+'前提と出典'!$C$38)=0,0,IF(C816&lt;=10,'前提と出典'!D73+'前提と出典'!E73,IF(C816&lt;=100,'前提と出典'!D74+'前提と出典'!E74,IF(C816&lt;=500,'前提と出典'!D75+'前提と出典'!E75,'前提と出典'!D76+'前提と出典'!E76))))</ns0:f>
        <ns0:v>56510.9346263078</ns0:v>
      </ns0:c>
      <ns0:c r="O816" s="16">
        <ns0:f>IF('前提と出典'!$C$36+'前提と出典'!$C$38=0,0,'前提と出典'!$B$4*IF('前提と出典'!$B$20=0,MAX('前提と出典'!$B$6,D816*'前提と出典'!$B$5),'前提と出典'!$B$6+D816*'前提と出典'!$B$5))</ns0:f>
        <ns0:v>806302.3910614526</ns0:v>
      </ns0:c>
      <ns0:c r="P816" s="16">
        <ns0:f>(E816+G816)*(1-'前提と出典'!$B$7)-I816-K816-M816-O816</ns0:f>
        <ns0:v>1810051.0145545627</ns0:v>
      </ns0:c>
      <ns0:c r="Q816" s="16">
        <ns0:f>(F816+H816)*(1-'前提と出典'!$B$7)-J816-L816-N816</ns0:f>
        <ns0:v>720310.1679503582</ns0:v>
      </ns0:c>
      <ns0:c r="R816" s="16">
        <ns0:f>P816-E816*'前提と出典'!$E$4</ns0:f>
        <ns0:v>1338698.496174558</ns0:v>
      </ns0:c>
      <ns0:c r="S816" s="16">
        <ns0:f>Q816-F816*'前提と出典'!$E$4</ns0:f>
        <ns0:v>535321.4290944627</ns0:v>
      </ns0:c>
      <ns0:c r="T816" s="7">
        <ns0:f>R816+S816</ns0:f>
        <ns0:v>1874019.9252690207</ns0:v>
      </ns0:c>
      <ns0:c r="U816" s="16">
        <ns0:f>P816-E816*'前提と出典'!$E$5</ns0:f>
        <ns0:v>1181580.9900478902</ns0:v>
      </ns0:c>
      <ns0:c r="V816" s="16">
        <ns0:f>Q816-F816*'前提と出典'!$E$5</ns0:f>
        <ns0:v>473658.5161424973</ns0:v>
      </ns0:c>
      <ns0:c r="W816" s="7">
        <ns0:f>U816+V816</ns0:f>
        <ns0:v>1655239.5061903875</ns0:v>
      </ns0:c>
      <ns0:c r="X816" s="16">
        <ns0:f>P816-E816*'前提と出典'!$E$6</ns0:f>
        <ns0:v>1024463.4839212218</ns0:v>
      </ns0:c>
      <ns0:c r="Y816" s="16">
        <ns0:f>Q816-F816*'前提と出典'!$E$6</ns0:f>
        <ns0:v>411995.60319053195</ns0:v>
      </ns0:c>
      <ns0:c r="Z816" s="7">
        <ns0:f>X816+Y816</ns0:f>
        <ns0:v>1436459.0871117539</ns0:v>
      </ns0:c>
      <ns0:c r="AA816" s="7">
        <ns0:f>IF(T816&gt;=0,A816,1001)</ns0:f>
        <ns0:v>812</ns0:v>
      </ns0:c>
      <ns0:c r="AB816" s="7">
        <ns0:f>IF(T816&lt;0,A816,0)</ns0:f>
        <ns0:v>0</ns0:v>
      </ns0:c>
      <ns0:c r="AC816" s="16">
        <ns0:f>IF(AND(OR('前提と出典'!$C$36+'前提と出典'!$C$38=0,R816&gt;=0),OR('前提と出典'!$C$37+'前提と出典'!$C$38=0,S816&gt;=0)),0,A816)</ns0:f>
        <ns0:v>0</ns0:v>
      </ns0:c>
      <ns0:c r="AD816" s="7">
        <ns0:f>IF(W816&gt;=0,A816,1001)</ns0:f>
        <ns0:v>812</ns0:v>
      </ns0:c>
      <ns0:c r="AE816" s="7">
        <ns0:f>IF(W816&lt;0,A816,0)</ns0:f>
        <ns0:v>0</ns0:v>
      </ns0:c>
      <ns0:c r="AF816" s="16">
        <ns0:f>IF(AND(OR('前提と出典'!$C$36+'前提と出典'!$C$38=0,U816&gt;=0),OR('前提と出典'!$C$37+'前提と出典'!$C$38=0,V816&gt;=0)),0,A816)</ns0:f>
        <ns0:v>0</ns0:v>
      </ns0:c>
      <ns0:c r="AG816" s="7">
        <ns0:f>IF(Z816&gt;=0,A816,1001)</ns0:f>
        <ns0:v>812</ns0:v>
      </ns0:c>
      <ns0:c r="AH816" s="4">
        <ns0:f>IF(Z816&lt;0,A816,0)</ns0:f>
        <ns0:v>0</ns0:v>
      </ns0:c>
      <ns0:c r="AI816" s="12">
        <ns0:f>IF(AND(OR('前提と出典'!$C$36+'前提と出典'!$C$38=0,X816&gt;=0),OR('前提と出典'!$C$37+'前提と出典'!$C$38=0,Y816&gt;=0)),0,A816)</ns0:f>
        <ns0:v>0</ns0:v>
      </ns0:c>
    </ns0:row>
    <ns0:row r="817" ht="24" customHeight="1">
      <ns0:c r="A817" s="4" t="n">
        <ns0:v>813</ns0:v>
      </ns0:c>
      <ns0:c r="B817" s="12">
        <ns0:f>A817*('前提と出典'!$C$36+'前提と出典'!$C$38)</ns0:f>
        <ns0:v>569.0999999999999</ns0:v>
      </ns0:c>
      <ns0:c r="C817" s="12">
        <ns0:f>A817*('前提と出典'!$C$37+'前提と出典'!$C$38)</ns0:f>
        <ns0:v>487.79999999999995</ns0:v>
      </ns0:c>
      <ns0:c r="D817" s="16">
        <ns0:f>A817*('前提と出典'!$C$36*'契約別単価'!C5+'前提と出典'!$C$37*'契約別単価'!C6+'前提と出典'!$C$38*'契約別単価'!C7)</ns0:f>
        <ns0:v>5849.966480446928</ns0:v>
      </ns0:c>
      <ns0:c r="E817" s="16">
        <ns0:f>A817*('前提と出典'!$C$36*'契約別単価'!E5+'前提と出典'!$C$37*'契約別単価'!E6+'前提と出典'!$C$38*'契約別単価'!E7)</ns0:f>
        <ns0:v>1573110.0059234134</ns0:v>
      </ns0:c>
      <ns0:c r="F817" s="16">
        <ns0:f>A817*('前提と出典'!$C$36*'契約別単価'!F5+'前提と出典'!$C$37*'契約別単価'!F6+'前提と出典'!$C$38*'契約別単価'!F7)</ns0:f>
        <ns0:v>617388.5249993565</ns0:v>
      </ns0:c>
      <ns0:c r="G817" s="16">
        <ns0:f>A817*('前提と出典'!$C$36*'契約別単価'!G5+'前提と出典'!$C$37*'契約別単価'!G6+'前提と出典'!$C$38*'契約別単価'!G7)</ns0:f>
        <ns0:v>1618278.7709497206</ns0:v>
      </ns0:c>
      <ns0:c r="H817" s="16">
        <ns0:f>A817*('前提と出典'!$C$36*'契約別単価'!H5+'前提と出典'!$C$37*'契約別単価'!H6+'前提と出典'!$C$38*'契約別単価'!H7)</ns0:f>
        <ns0:v>561623.8965778613</ns0:v>
      </ns0:c>
      <ns0:c r="I817" s="16">
        <ns0:f>A817*('前提と出典'!$C$36*'契約別単価'!I5+'前提と出典'!$C$37*'契約別単価'!I6+'前提と出典'!$C$38*'契約別単価'!I7)</ns0:f>
        <ns0:v>34304.96648044692</ns0:v>
      </ns0:c>
      <ns0:c r="J817" s="16">
        <ns0:f>A817*('前提と出典'!$C$36*'契約別単価'!J5+'前提と出典'!$C$37*'契約別単価'!J6+'前提と出典'!$C$38*'契約別単価'!J7)</ns0:f>
        <ns0:v>79909.39903647598</ns0:v>
      </ns0:c>
      <ns0:c r="K817" s="16">
        <ns0:f>A817*('前提と出典'!$C$36*'契約別単価'!K5+'前提と出典'!$C$37*'契約別単価'!K6+'前提と出典'!$C$38*'契約別単価'!K7)</ns0:f>
        <ns0:v>342519.7765363128</ns0:v>
      </ns0:c>
      <ns0:c r="L817" s="16">
        <ns0:f>A817*('前提と出典'!$C$36*'契約別単価'!L5+'前提と出典'!$C$37*'契約別単価'!L6+'前提と出典'!$C$38*'契約別単価'!L7)</ns0:f>
        <ns0:v>278880.7965525954</ns0:v>
      </ns0:c>
      <ns0:c r="M817" s="16">
        <ns0:f>IF(('前提と出典'!$C$36+'前提と出典'!$C$38)=0,0,IF(B817&lt;=10,'前提と出典'!B73+'前提と出典'!C73,IF(B817&lt;=100,'前提と出典'!B74+'前提と出典'!C74,IF(B817&lt;=500,'前提と出典'!B75+'前提と出典'!C75,'前提と出典'!B76+'前提と出典'!C76))))</ns0:f>
        <ns0:v>80000</ns0:v>
      </ns0:c>
      <ns0:c r="N817" s="16">
        <ns0:f>IF(('前提と出典'!$C$37+'前提と出典'!$C$38)=0,0,IF(C817&lt;=10,'前提と出典'!D73+'前提と出典'!E73,IF(C817&lt;=100,'前提と出典'!D74+'前提と出典'!E74,IF(C817&lt;=500,'前提と出典'!D75+'前提と出典'!E75,'前提と出典'!D76+'前提と出典'!E76))))</ns0:f>
        <ns0:v>56510.9346263078</ns0:v>
      </ns0:c>
      <ns0:c r="O817" s="16">
        <ns0:f>IF('前提と出典'!$C$36+'前提と出典'!$C$38=0,0,'前提と出典'!$B$4*IF('前提と出典'!$B$20=0,MAX('前提と出典'!$B$6,D817*'前提と出典'!$B$5),'前提と出典'!$B$6+D817*'前提と出典'!$B$5))</ns0:f>
        <ns0:v>807295.374301676</ns0:v>
      </ns0:c>
      <ns0:c r="P817" s="16">
        <ns0:f>(E817+G817)*(1-'前提と出典'!$B$7)-I817-K817-M817-O817</ns0:f>
        <ns0:v>1812378.663587265</ns0:v>
      </ns0:c>
      <ns0:c r="Q817" s="16">
        <ns0:f>(F817+H817)*(1-'前提と出典'!$B$7)-J817-L817-N817</ns0:f>
        <ns0:v>721266.8441850587</ns0:v>
      </ns0:c>
      <ns0:c r="R817" s="16">
        <ns0:f>P817-E817*'前提と出典'!$E$4</ns0:f>
        <ns0:v>1340445.6618102412</ns0:v>
      </ns0:c>
      <ns0:c r="S817" s="16">
        <ns0:f>Q817-F817*'前提と出典'!$E$4</ns0:f>
        <ns0:v>536050.2866852516</ns0:v>
      </ns0:c>
      <ns0:c r="T817" s="7">
        <ns0:f>R817+S817</ns0:f>
        <ns0:v>1876495.9484954928</ns0:v>
      </ns0:c>
      <ns0:c r="U817" s="16">
        <ns0:f>P817-E817*'前提と出典'!$E$5</ns0:f>
        <ns0:v>1183134.6612178995</ns0:v>
      </ns0:c>
      <ns0:c r="V817" s="16">
        <ns0:f>Q817-F817*'前提と出典'!$E$5</ns0:f>
        <ns0:v>474311.4341853161</ns0:v>
      </ns0:c>
      <ns0:c r="W817" s="7">
        <ns0:f>U817+V817</ns0:f>
        <ns0:v>1657446.0954032156</ns0:v>
      </ns0:c>
      <ns0:c r="X817" s="16">
        <ns0:f>P817-E817*'前提と出典'!$E$6</ns0:f>
        <ns0:v>1025823.6606255585</ns0:v>
      </ns0:c>
      <ns0:c r="Y817" s="16">
        <ns0:f>Q817-F817*'前提と出典'!$E$6</ns0:f>
        <ns0:v>412572.5816853806</ns0:v>
      </ns0:c>
      <ns0:c r="Z817" s="7">
        <ns0:f>X817+Y817</ns0:f>
        <ns0:v>1438396.2423109391</ns0:v>
      </ns0:c>
      <ns0:c r="AA817" s="7">
        <ns0:f>IF(T817&gt;=0,A817,1001)</ns0:f>
        <ns0:v>813</ns0:v>
      </ns0:c>
      <ns0:c r="AB817" s="7">
        <ns0:f>IF(T817&lt;0,A817,0)</ns0:f>
        <ns0:v>0</ns0:v>
      </ns0:c>
      <ns0:c r="AC817" s="16">
        <ns0:f>IF(AND(OR('前提と出典'!$C$36+'前提と出典'!$C$38=0,R817&gt;=0),OR('前提と出典'!$C$37+'前提と出典'!$C$38=0,S817&gt;=0)),0,A817)</ns0:f>
        <ns0:v>0</ns0:v>
      </ns0:c>
      <ns0:c r="AD817" s="7">
        <ns0:f>IF(W817&gt;=0,A817,1001)</ns0:f>
        <ns0:v>813</ns0:v>
      </ns0:c>
      <ns0:c r="AE817" s="7">
        <ns0:f>IF(W817&lt;0,A817,0)</ns0:f>
        <ns0:v>0</ns0:v>
      </ns0:c>
      <ns0:c r="AF817" s="16">
        <ns0:f>IF(AND(OR('前提と出典'!$C$36+'前提と出典'!$C$38=0,U817&gt;=0),OR('前提と出典'!$C$37+'前提と出典'!$C$38=0,V817&gt;=0)),0,A817)</ns0:f>
        <ns0:v>0</ns0:v>
      </ns0:c>
      <ns0:c r="AG817" s="7">
        <ns0:f>IF(Z817&gt;=0,A817,1001)</ns0:f>
        <ns0:v>813</ns0:v>
      </ns0:c>
      <ns0:c r="AH817" s="4">
        <ns0:f>IF(Z817&lt;0,A817,0)</ns0:f>
        <ns0:v>0</ns0:v>
      </ns0:c>
      <ns0:c r="AI817" s="12">
        <ns0:f>IF(AND(OR('前提と出典'!$C$36+'前提と出典'!$C$38=0,X817&gt;=0),OR('前提と出典'!$C$37+'前提と出典'!$C$38=0,Y817&gt;=0)),0,A817)</ns0:f>
        <ns0:v>0</ns0:v>
      </ns0:c>
    </ns0:row>
    <ns0:row r="818" ht="24" customHeight="1">
      <ns0:c r="A818" s="4" t="n">
        <ns0:v>814</ns0:v>
      </ns0:c>
      <ns0:c r="B818" s="12">
        <ns0:f>A818*('前提と出典'!$C$36+'前提と出典'!$C$38)</ns0:f>
        <ns0:v>569.8</ns0:v>
      </ns0:c>
      <ns0:c r="C818" s="12">
        <ns0:f>A818*('前提と出典'!$C$37+'前提と出典'!$C$38)</ns0:f>
        <ns0:v>488.4</ns0:v>
      </ns0:c>
      <ns0:c r="D818" s="16">
        <ns0:f>A818*('前提と出典'!$C$36*'契約別単価'!C5+'前提と出典'!$C$37*'契約別単価'!C6+'前提と出典'!$C$38*'契約別単価'!C7)</ns0:f>
        <ns0:v>5857.1620111731845</ns0:v>
      </ns0:c>
      <ns0:c r="E818" s="16">
        <ns0:f>A818*('前提と出典'!$C$36*'契約別単価'!E5+'前提と出典'!$C$37*'契約別単価'!E6+'前提と出典'!$C$38*'契約別単価'!E7)</ns0:f>
        <ns0:v>1575044.950580146</ns0:v>
      </ns0:c>
      <ns0:c r="F818" s="16">
        <ns0:f>A818*('前提と出典'!$C$36*'契約別単価'!F5+'前提と出典'!$C$37*'契約別単価'!F6+'前提と出典'!$C$38*'契約別単価'!F7)</ns0:f>
        <ns0:v>618147.9204790605</ns0:v>
      </ns0:c>
      <ns0:c r="G818" s="16">
        <ns0:f>A818*('前提と出典'!$C$36*'契約別単価'!G5+'前提と出典'!$C$37*'契約別単価'!G6+'前提と出典'!$C$38*'契約別単価'!G7)</ns0:f>
        <ns0:v>1620269.2737430166</ns0:v>
      </ns0:c>
      <ns0:c r="H818" s="16">
        <ns0:f>A818*('前提と出典'!$C$36*'契約別単価'!H5+'前提と出典'!$C$37*'契約別単価'!H6+'前提と出典'!$C$38*'契約別単価'!H7)</ns0:f>
        <ns0:v>562314.700878695</ns0:v>
      </ns0:c>
      <ns0:c r="I818" s="16">
        <ns0:f>A818*('前提と出典'!$C$36*'契約別単価'!I5+'前提と出典'!$C$37*'契約別単価'!I6+'前提と出典'!$C$38*'契約別単価'!I7)</ns0:f>
        <ns0:v>34347.162011173175</ns0:v>
      </ns0:c>
      <ns0:c r="J818" s="16">
        <ns0:f>A818*('前提と出典'!$C$36*'契約別単価'!J5+'前提と出典'!$C$37*'契約別単価'!J6+'前提と出典'!$C$38*'契約別単価'!J7)</ns0:f>
        <ns0:v>80007.6885801863</ns0:v>
      </ns0:c>
      <ns0:c r="K818" s="16">
        <ns0:f>A818*('前提と出典'!$C$36*'契約別単価'!K5+'前提と出典'!$C$37*'契約別単価'!K6+'前提と出典'!$C$38*'契約別単価'!K7)</ns0:f>
        <ns0:v>342941.0800744879</ns0:v>
      </ns0:c>
      <ns0:c r="L818" s="16">
        <ns0:f>A818*('前提と出典'!$C$36*'契約別単価'!L5+'前提と出典'!$C$37*'契約別単価'!L6+'前提と出典'!$C$38*'契約別単価'!L7)</ns0:f>
        <ns0:v>279223.82336262317</ns0:v>
      </ns0:c>
      <ns0:c r="M818" s="16">
        <ns0:f>IF(('前提と出典'!$C$36+'前提と出典'!$C$38)=0,0,IF(B818&lt;=10,'前提と出典'!B73+'前提と出典'!C73,IF(B818&lt;=100,'前提と出典'!B74+'前提と出典'!C74,IF(B818&lt;=500,'前提と出典'!B75+'前提と出典'!C75,'前提と出典'!B76+'前提と出典'!C76))))</ns0:f>
        <ns0:v>80000</ns0:v>
      </ns0:c>
      <ns0:c r="N818" s="16">
        <ns0:f>IF(('前提と出典'!$C$37+'前提と出典'!$C$38)=0,0,IF(C818&lt;=10,'前提と出典'!D73+'前提と出典'!E73,IF(C818&lt;=100,'前提と出典'!D74+'前提と出典'!E74,IF(C818&lt;=500,'前提と出典'!D75+'前提と出典'!E75,'前提と出典'!D76+'前提と出典'!E76))))</ns0:f>
        <ns0:v>56510.9346263078</ns0:v>
      </ns0:c>
      <ns0:c r="O818" s="16">
        <ns0:f>IF('前提と出典'!$C$36+'前提と出典'!$C$38=0,0,'前提と出典'!$B$4*IF('前提と出典'!$B$20=0,MAX('前提と出典'!$B$6,D818*'前提と出典'!$B$5),'前提と出典'!$B$6+D818*'前提と出典'!$B$5))</ns0:f>
        <ns0:v>808288.3575418995</ns0:v>
      </ns0:c>
      <ns0:c r="P818" s="16">
        <ns0:f>(E818+G818)*(1-'前提と出典'!$B$7)-I818-K818-M818-O818</ns0:f>
        <ns0:v>1814706.3126199683</ns0:v>
      </ns0:c>
      <ns0:c r="Q818" s="16">
        <ns0:f>(F818+H818)*(1-'前提と出典'!$B$7)-J818-L818-N818</ns0:f>
        <ns0:v>722223.5204197591</ns0:v>
      </ns0:c>
      <ns0:c r="R818" s="16">
        <ns0:f>P818-E818*'前提と出典'!$E$4</ns0:f>
        <ns0:v>1342192.8274459247</ns0:v>
      </ns0:c>
      <ns0:c r="S818" s="16">
        <ns0:f>Q818-F818*'前提と出典'!$E$4</ns0:f>
        <ns0:v>536779.1442760408</ns0:v>
      </ns0:c>
      <ns0:c r="T818" s="7">
        <ns0:f>R818+S818</ns0:f>
        <ns0:v>1878971.9717219656</ns0:v>
      </ns0:c>
      <ns0:c r="U818" s="16">
        <ns0:f>P818-E818*'前提と出典'!$E$5</ns0:f>
        <ns0:v>1184688.3323879098</ns0:v>
      </ns0:c>
      <ns0:c r="V818" s="16">
        <ns0:f>Q818-F818*'前提と出典'!$E$5</ns0:f>
        <ns0:v>474964.35222813487</ns0:v>
      </ns0:c>
      <ns0:c r="W818" s="7">
        <ns0:f>U818+V818</ns0:f>
        <ns0:v>1659652.6846160446</ns0:v>
      </ns0:c>
      <ns0:c r="X818" s="16">
        <ns0:f>P818-E818*'前提と出典'!$E$6</ns0:f>
        <ns0:v>1027183.8373298951</ns0:v>
      </ns0:c>
      <ns0:c r="Y818" s="16">
        <ns0:f>Q818-F818*'前提と出典'!$E$6</ns0:f>
        <ns0:v>413149.5601802287</ns0:v>
      </ns0:c>
      <ns0:c r="Z818" s="7">
        <ns0:f>X818+Y818</ns0:f>
        <ns0:v>1440333.397510124</ns0:v>
      </ns0:c>
      <ns0:c r="AA818" s="7">
        <ns0:f>IF(T818&gt;=0,A818,1001)</ns0:f>
        <ns0:v>814</ns0:v>
      </ns0:c>
      <ns0:c r="AB818" s="7">
        <ns0:f>IF(T818&lt;0,A818,0)</ns0:f>
        <ns0:v>0</ns0:v>
      </ns0:c>
      <ns0:c r="AC818" s="16">
        <ns0:f>IF(AND(OR('前提と出典'!$C$36+'前提と出典'!$C$38=0,R818&gt;=0),OR('前提と出典'!$C$37+'前提と出典'!$C$38=0,S818&gt;=0)),0,A818)</ns0:f>
        <ns0:v>0</ns0:v>
      </ns0:c>
      <ns0:c r="AD818" s="7">
        <ns0:f>IF(W818&gt;=0,A818,1001)</ns0:f>
        <ns0:v>814</ns0:v>
      </ns0:c>
      <ns0:c r="AE818" s="7">
        <ns0:f>IF(W818&lt;0,A818,0)</ns0:f>
        <ns0:v>0</ns0:v>
      </ns0:c>
      <ns0:c r="AF818" s="16">
        <ns0:f>IF(AND(OR('前提と出典'!$C$36+'前提と出典'!$C$38=0,U818&gt;=0),OR('前提と出典'!$C$37+'前提と出典'!$C$38=0,V818&gt;=0)),0,A818)</ns0:f>
        <ns0:v>0</ns0:v>
      </ns0:c>
      <ns0:c r="AG818" s="7">
        <ns0:f>IF(Z818&gt;=0,A818,1001)</ns0:f>
        <ns0:v>814</ns0:v>
      </ns0:c>
      <ns0:c r="AH818" s="4">
        <ns0:f>IF(Z818&lt;0,A818,0)</ns0:f>
        <ns0:v>0</ns0:v>
      </ns0:c>
      <ns0:c r="AI818" s="12">
        <ns0:f>IF(AND(OR('前提と出典'!$C$36+'前提と出典'!$C$38=0,X818&gt;=0),OR('前提と出典'!$C$37+'前提と出典'!$C$38=0,Y818&gt;=0)),0,A818)</ns0:f>
        <ns0:v>0</ns0:v>
      </ns0:c>
    </ns0:row>
    <ns0:row r="819" ht="24" customHeight="1">
      <ns0:c r="A819" s="4" t="n">
        <ns0:v>815</ns0:v>
      </ns0:c>
      <ns0:c r="B819" s="12">
        <ns0:f>A819*('前提と出典'!$C$36+'前提と出典'!$C$38)</ns0:f>
        <ns0:v>570.5</ns0:v>
      </ns0:c>
      <ns0:c r="C819" s="12">
        <ns0:f>A819*('前提と出典'!$C$37+'前提と出典'!$C$38)</ns0:f>
        <ns0:v>489</ns0:v>
      </ns0:c>
      <ns0:c r="D819" s="16">
        <ns0:f>A819*('前提と出典'!$C$36*'契約別単価'!C5+'前提と出典'!$C$37*'契約別単価'!C6+'前提と出典'!$C$38*'契約別単価'!C7)</ns0:f>
        <ns0:v>5864.3575418994415</ns0:v>
      </ns0:c>
      <ns0:c r="E819" s="16">
        <ns0:f>A819*('前提と出典'!$C$36*'契約別単価'!E5+'前提と出典'!$C$37*'契約別単価'!E6+'前提と出典'!$C$38*'契約別単価'!E7)</ns0:f>
        <ns0:v>1576979.8952368782</ns0:v>
      </ns0:c>
      <ns0:c r="F819" s="16">
        <ns0:f>A819*('前提と出典'!$C$36*'契約別単価'!F5+'前提と出典'!$C$37*'契約別単価'!F6+'前提と出典'!$C$38*'契約別単価'!F7)</ns0:f>
        <ns0:v>618907.3159587645</ns0:v>
      </ns0:c>
      <ns0:c r="G819" s="16">
        <ns0:f>A819*('前提と出典'!$C$36*'契約別単価'!G5+'前提と出典'!$C$37*'契約別単価'!G6+'前提と出典'!$C$38*'契約別単価'!G7)</ns0:f>
        <ns0:v>1622259.776536313</ns0:v>
      </ns0:c>
      <ns0:c r="H819" s="16">
        <ns0:f>A819*('前提と出典'!$C$36*'契約別単価'!H5+'前提と出典'!$C$37*'契約別単価'!H6+'前提と出典'!$C$38*'契約別単価'!H7)</ns0:f>
        <ns0:v>563005.5051795288</ns0:v>
      </ns0:c>
      <ns0:c r="I819" s="16">
        <ns0:f>A819*('前提と出典'!$C$36*'契約別単価'!I5+'前提と出典'!$C$37*'契約別単価'!I6+'前提と出典'!$C$38*'契約別単価'!I7)</ns0:f>
        <ns0:v>34389.35754189944</ns0:v>
      </ns0:c>
      <ns0:c r="J819" s="16">
        <ns0:f>A819*('前提と出典'!$C$36*'契約別単価'!J5+'前提と出典'!$C$37*'契約別単価'!J6+'前提と出典'!$C$38*'契約別単価'!J7)</ns0:f>
        <ns0:v>80105.9781238966</ns0:v>
      </ns0:c>
      <ns0:c r="K819" s="16">
        <ns0:f>A819*('前提と出典'!$C$36*'契約別単価'!K5+'前提と出典'!$C$37*'契約別単価'!K6+'前提と出典'!$C$38*'契約別単価'!K7)</ns0:f>
        <ns0:v>343362.3836126629</ns0:v>
      </ns0:c>
      <ns0:c r="L819" s="16">
        <ns0:f>A819*('前提と出典'!$C$36*'契約別単価'!L5+'前提と出典'!$C$37*'契約別単価'!L6+'前提と出典'!$C$38*'契約別単価'!L7)</ns0:f>
        <ns0:v>279566.85017265094</ns0:v>
      </ns0:c>
      <ns0:c r="M819" s="16">
        <ns0:f>IF(('前提と出典'!$C$36+'前提と出典'!$C$38)=0,0,IF(B819&lt;=10,'前提と出典'!B73+'前提と出典'!C73,IF(B819&lt;=100,'前提と出典'!B74+'前提と出典'!C74,IF(B819&lt;=500,'前提と出典'!B75+'前提と出典'!C75,'前提と出典'!B76+'前提と出典'!C76))))</ns0:f>
        <ns0:v>80000</ns0:v>
      </ns0:c>
      <ns0:c r="N819" s="16">
        <ns0:f>IF(('前提と出典'!$C$37+'前提と出典'!$C$38)=0,0,IF(C819&lt;=10,'前提と出典'!D73+'前提と出典'!E73,IF(C819&lt;=100,'前提と出典'!D74+'前提と出典'!E74,IF(C819&lt;=500,'前提と出典'!D75+'前提と出典'!E75,'前提と出典'!D76+'前提と出典'!E76))))</ns0:f>
        <ns0:v>56510.9346263078</ns0:v>
      </ns0:c>
      <ns0:c r="O819" s="16">
        <ns0:f>IF('前提と出典'!$C$36+'前提と出典'!$C$38=0,0,'前提と出典'!$B$4*IF('前提と出典'!$B$20=0,MAX('前提と出典'!$B$6,D819*'前提と出典'!$B$5),'前提と出典'!$B$6+D819*'前提と出典'!$B$5))</ns0:f>
        <ns0:v>809281.3407821229</ns0:v>
      </ns0:c>
      <ns0:c r="P819" s="16">
        <ns0:f>(E819+G819)*(1-'前提と出典'!$B$7)-I819-K819-M819-O819</ns0:f>
        <ns0:v>1817033.9616526705</ns0:v>
      </ns0:c>
      <ns0:c r="Q819" s="16">
        <ns0:f>(F819+H819)*(1-'前提と出典'!$B$7)-J819-L819-N819</ns0:f>
        <ns0:v>723180.1966544595</ns0:v>
      </ns0:c>
      <ns0:c r="R819" s="16">
        <ns0:f>P819-E819*'前提と出典'!$E$4</ns0:f>
        <ns0:v>1343939.9930816072</ns0:v>
      </ns0:c>
      <ns0:c r="S819" s="16">
        <ns0:f>Q819-F819*'前提と出典'!$E$4</ns0:f>
        <ns0:v>537508.00186683</ns0:v>
      </ns0:c>
      <ns0:c r="T819" s="7">
        <ns0:f>R819+S819</ns0:f>
        <ns0:v>1881447.9949484372</ns0:v>
      </ns0:c>
      <ns0:c r="U819" s="16">
        <ns0:f>P819-E819*'前提と出典'!$E$5</ns0:f>
        <ns0:v>1186242.0035579193</ns0:v>
      </ns0:c>
      <ns0:c r="V819" s="16">
        <ns0:f>Q819-F819*'前提と出典'!$E$5</ns0:f>
        <ns0:v>475617.27027095365</ns0:v>
      </ns0:c>
      <ns0:c r="W819" s="7">
        <ns0:f>U819+V819</ns0:f>
        <ns0:v>1661859.273828873</ns0:v>
      </ns0:c>
      <ns0:c r="X819" s="16">
        <ns0:f>P819-E819*'前提と出典'!$E$6</ns0:f>
        <ns0:v>1028544.0140342314</ns0:v>
      </ns0:c>
      <ns0:c r="Y819" s="16">
        <ns0:f>Q819-F819*'前提と出典'!$E$6</ns0:f>
        <ns0:v>413726.5386750773</ns0:v>
      </ns0:c>
      <ns0:c r="Z819" s="7">
        <ns0:f>X819+Y819</ns0:f>
        <ns0:v>1442270.5527093087</ns0:v>
      </ns0:c>
      <ns0:c r="AA819" s="7">
        <ns0:f>IF(T819&gt;=0,A819,1001)</ns0:f>
        <ns0:v>815</ns0:v>
      </ns0:c>
      <ns0:c r="AB819" s="7">
        <ns0:f>IF(T819&lt;0,A819,0)</ns0:f>
        <ns0:v>0</ns0:v>
      </ns0:c>
      <ns0:c r="AC819" s="16">
        <ns0:f>IF(AND(OR('前提と出典'!$C$36+'前提と出典'!$C$38=0,R819&gt;=0),OR('前提と出典'!$C$37+'前提と出典'!$C$38=0,S819&gt;=0)),0,A819)</ns0:f>
        <ns0:v>0</ns0:v>
      </ns0:c>
      <ns0:c r="AD819" s="7">
        <ns0:f>IF(W819&gt;=0,A819,1001)</ns0:f>
        <ns0:v>815</ns0:v>
      </ns0:c>
      <ns0:c r="AE819" s="7">
        <ns0:f>IF(W819&lt;0,A819,0)</ns0:f>
        <ns0:v>0</ns0:v>
      </ns0:c>
      <ns0:c r="AF819" s="16">
        <ns0:f>IF(AND(OR('前提と出典'!$C$36+'前提と出典'!$C$38=0,U819&gt;=0),OR('前提と出典'!$C$37+'前提と出典'!$C$38=0,V819&gt;=0)),0,A819)</ns0:f>
        <ns0:v>0</ns0:v>
      </ns0:c>
      <ns0:c r="AG819" s="7">
        <ns0:f>IF(Z819&gt;=0,A819,1001)</ns0:f>
        <ns0:v>815</ns0:v>
      </ns0:c>
      <ns0:c r="AH819" s="4">
        <ns0:f>IF(Z819&lt;0,A819,0)</ns0:f>
        <ns0:v>0</ns0:v>
      </ns0:c>
      <ns0:c r="AI819" s="12">
        <ns0:f>IF(AND(OR('前提と出典'!$C$36+'前提と出典'!$C$38=0,X819&gt;=0),OR('前提と出典'!$C$37+'前提と出典'!$C$38=0,Y819&gt;=0)),0,A819)</ns0:f>
        <ns0:v>0</ns0:v>
      </ns0:c>
    </ns0:row>
    <ns0:row r="820" ht="24" customHeight="1">
      <ns0:c r="A820" s="4" t="n">
        <ns0:v>816</ns0:v>
      </ns0:c>
      <ns0:c r="B820" s="12">
        <ns0:f>A820*('前提と出典'!$C$36+'前提と出典'!$C$38)</ns0:f>
        <ns0:v>571.1999999999999</ns0:v>
      </ns0:c>
      <ns0:c r="C820" s="12">
        <ns0:f>A820*('前提と出典'!$C$37+'前提と出典'!$C$38)</ns0:f>
        <ns0:v>489.59999999999997</ns0:v>
      </ns0:c>
      <ns0:c r="D820" s="16">
        <ns0:f>A820*('前提と出典'!$C$36*'契約別単価'!C5+'前提と出典'!$C$37*'契約別単価'!C6+'前提と出典'!$C$38*'契約別単価'!C7)</ns0:f>
        <ns0:v>5871.553072625698</ns0:v>
      </ns0:c>
      <ns0:c r="E820" s="16">
        <ns0:f>A820*('前提と出典'!$C$36*'契約別単価'!E5+'前提と出典'!$C$37*'契約別単価'!E6+'前提と出典'!$C$38*'契約別単価'!E7)</ns0:f>
        <ns0:v>1578914.8398936107</ns0:v>
      </ns0:c>
      <ns0:c r="F820" s="16">
        <ns0:f>A820*('前提と出典'!$C$36*'契約別単価'!F5+'前提と出典'!$C$37*'契約別単価'!F6+'前提と出典'!$C$38*'契約別単価'!F7)</ns0:f>
        <ns0:v>619666.7114384685</ns0:v>
      </ns0:c>
      <ns0:c r="G820" s="16">
        <ns0:f>A820*('前提と出典'!$C$36*'契約別単価'!G5+'前提と出典'!$C$37*'契約別単価'!G6+'前提と出典'!$C$38*'契約別単価'!G7)</ns0:f>
        <ns0:v>1624250.279329609</ns0:v>
      </ns0:c>
      <ns0:c r="H820" s="16">
        <ns0:f>A820*('前提と出典'!$C$36*'契約別単価'!H5+'前提と出典'!$C$37*'契約別単価'!H6+'前提と出典'!$C$38*'契約別単価'!H7)</ns0:f>
        <ns0:v>563696.3094803626</ns0:v>
      </ns0:c>
      <ns0:c r="I820" s="16">
        <ns0:f>A820*('前提と出典'!$C$36*'契約別単価'!I5+'前提と出典'!$C$37*'契約別単価'!I6+'前提と出典'!$C$38*'契約別単価'!I7)</ns0:f>
        <ns0:v>34431.55307262569</ns0:v>
      </ns0:c>
      <ns0:c r="J820" s="16">
        <ns0:f>A820*('前提と出典'!$C$36*'契約別単価'!J5+'前提と出典'!$C$37*'契約別単価'!J6+'前提と出典'!$C$38*'契約別単価'!J7)</ns0:f>
        <ns0:v>80204.2676676069</ns0:v>
      </ns0:c>
      <ns0:c r="K820" s="16">
        <ns0:f>A820*('前提と出典'!$C$36*'契約別単価'!K5+'前提と出典'!$C$37*'契約別単価'!K6+'前提と出典'!$C$38*'契約別単価'!K7)</ns0:f>
        <ns0:v>343783.68715083797</ns0:v>
      </ns0:c>
      <ns0:c r="L820" s="16">
        <ns0:f>A820*('前提と出典'!$C$36*'契約別単価'!L5+'前提と出典'!$C$37*'契約別単価'!L6+'前提と出典'!$C$38*'契約別単価'!L7)</ns0:f>
        <ns0:v>279909.8769826787</ns0:v>
      </ns0:c>
      <ns0:c r="M820" s="16">
        <ns0:f>IF(('前提と出典'!$C$36+'前提と出典'!$C$38)=0,0,IF(B820&lt;=10,'前提と出典'!B73+'前提と出典'!C73,IF(B820&lt;=100,'前提と出典'!B74+'前提と出典'!C74,IF(B820&lt;=500,'前提と出典'!B75+'前提と出典'!C75,'前提と出典'!B76+'前提と出典'!C76))))</ns0:f>
        <ns0:v>80000</ns0:v>
      </ns0:c>
      <ns0:c r="N820" s="16">
        <ns0:f>IF(('前提と出典'!$C$37+'前提と出典'!$C$38)=0,0,IF(C820&lt;=10,'前提と出典'!D73+'前提と出典'!E73,IF(C820&lt;=100,'前提と出典'!D74+'前提と出典'!E74,IF(C820&lt;=500,'前提と出典'!D75+'前提と出典'!E75,'前提と出典'!D76+'前提と出典'!E76))))</ns0:f>
        <ns0:v>56510.9346263078</ns0:v>
      </ns0:c>
      <ns0:c r="O820" s="16">
        <ns0:f>IF('前提と出典'!$C$36+'前提と出典'!$C$38=0,0,'前提と出典'!$B$4*IF('前提と出典'!$B$20=0,MAX('前提と出典'!$B$6,D820*'前提と出典'!$B$5),'前提と出典'!$B$6+D820*'前提と出典'!$B$5))</ns0:f>
        <ns0:v>810274.3240223464</ns0:v>
      </ns0:c>
      <ns0:c r="P820" s="16">
        <ns0:f>(E820+G820)*(1-'前提と出典'!$B$7)-I820-K820-M820-O820</ns0:f>
        <ns0:v>1819361.6106853734</ns0:v>
      </ns0:c>
      <ns0:c r="Q820" s="16">
        <ns0:f>(F820+H820)*(1-'前提と出典'!$B$7)-J820-L820-N820</ns0:f>
        <ns0:v>724136.8728891598</ns0:v>
      </ns0:c>
      <ns0:c r="R820" s="16">
        <ns0:f>P820-E820*'前提と出典'!$E$4</ns0:f>
        <ns0:v>1345687.1587172903</ns0:v>
      </ns0:c>
      <ns0:c r="S820" s="16">
        <ns0:f>Q820-F820*'前提と出典'!$E$4</ns0:f>
        <ns0:v>538236.8594576193</ns0:v>
      </ns0:c>
      <ns0:c r="T820" s="7">
        <ns0:f>R820+S820</ns0:f>
        <ns0:v>1883924.0181749095</ns0:v>
      </ns0:c>
      <ns0:c r="U820" s="16">
        <ns0:f>P820-E820*'前提と出典'!$E$5</ns0:f>
        <ns0:v>1187795.674727929</ns0:v>
      </ns0:c>
      <ns0:c r="V820" s="16">
        <ns0:f>Q820-F820*'前提と出典'!$E$5</ns0:f>
        <ns0:v>476270.18831377244</ns0:v>
      </ns0:c>
      <ns0:c r="W820" s="7">
        <ns0:f>U820+V820</ns0:f>
        <ns0:v>1664065.8630417015</ns0:v>
      </ns0:c>
      <ns0:c r="X820" s="16">
        <ns0:f>P820-E820*'前提と出典'!$E$6</ns0:f>
        <ns0:v>1029904.1907385678</ns0:v>
      </ns0:c>
      <ns0:c r="Y820" s="16">
        <ns0:f>Q820-F820*'前提と出典'!$E$6</ns0:f>
        <ns0:v>414303.51716992556</ns0:v>
      </ns0:c>
      <ns0:c r="Z820" s="7">
        <ns0:f>X820+Y820</ns0:f>
        <ns0:v>1444207.7079084935</ns0:v>
      </ns0:c>
      <ns0:c r="AA820" s="7">
        <ns0:f>IF(T820&gt;=0,A820,1001)</ns0:f>
        <ns0:v>816</ns0:v>
      </ns0:c>
      <ns0:c r="AB820" s="7">
        <ns0:f>IF(T820&lt;0,A820,0)</ns0:f>
        <ns0:v>0</ns0:v>
      </ns0:c>
      <ns0:c r="AC820" s="16">
        <ns0:f>IF(AND(OR('前提と出典'!$C$36+'前提と出典'!$C$38=0,R820&gt;=0),OR('前提と出典'!$C$37+'前提と出典'!$C$38=0,S820&gt;=0)),0,A820)</ns0:f>
        <ns0:v>0</ns0:v>
      </ns0:c>
      <ns0:c r="AD820" s="7">
        <ns0:f>IF(W820&gt;=0,A820,1001)</ns0:f>
        <ns0:v>816</ns0:v>
      </ns0:c>
      <ns0:c r="AE820" s="7">
        <ns0:f>IF(W820&lt;0,A820,0)</ns0:f>
        <ns0:v>0</ns0:v>
      </ns0:c>
      <ns0:c r="AF820" s="16">
        <ns0:f>IF(AND(OR('前提と出典'!$C$36+'前提と出典'!$C$38=0,U820&gt;=0),OR('前提と出典'!$C$37+'前提と出典'!$C$38=0,V820&gt;=0)),0,A820)</ns0:f>
        <ns0:v>0</ns0:v>
      </ns0:c>
      <ns0:c r="AG820" s="7">
        <ns0:f>IF(Z820&gt;=0,A820,1001)</ns0:f>
        <ns0:v>816</ns0:v>
      </ns0:c>
      <ns0:c r="AH820" s="4">
        <ns0:f>IF(Z820&lt;0,A820,0)</ns0:f>
        <ns0:v>0</ns0:v>
      </ns0:c>
      <ns0:c r="AI820" s="12">
        <ns0:f>IF(AND(OR('前提と出典'!$C$36+'前提と出典'!$C$38=0,X820&gt;=0),OR('前提と出典'!$C$37+'前提と出典'!$C$38=0,Y820&gt;=0)),0,A820)</ns0:f>
        <ns0:v>0</ns0:v>
      </ns0:c>
    </ns0:row>
    <ns0:row r="821" ht="24" customHeight="1">
      <ns0:c r="A821" s="4" t="n">
        <ns0:v>817</ns0:v>
      </ns0:c>
      <ns0:c r="B821" s="12">
        <ns0:f>A821*('前提と出典'!$C$36+'前提と出典'!$C$38)</ns0:f>
        <ns0:v>571.9</ns0:v>
      </ns0:c>
      <ns0:c r="C821" s="12">
        <ns0:f>A821*('前提と出典'!$C$37+'前提と出典'!$C$38)</ns0:f>
        <ns0:v>490.2</ns0:v>
      </ns0:c>
      <ns0:c r="D821" s="16">
        <ns0:f>A821*('前提と出典'!$C$36*'契約別単価'!C5+'前提と出典'!$C$37*'契約別単価'!C6+'前提と出典'!$C$38*'契約別単価'!C7)</ns0:f>
        <ns0:v>5878.748603351955</ns0:v>
      </ns0:c>
      <ns0:c r="E821" s="16">
        <ns0:f>A821*('前提と出典'!$C$36*'契約別単価'!E5+'前提と出典'!$C$37*'契約別単価'!E6+'前提と出典'!$C$38*'契約別単価'!E7)</ns0:f>
        <ns0:v>1580849.784550343</ns0:v>
      </ns0:c>
      <ns0:c r="F821" s="16">
        <ns0:f>A821*('前提と出典'!$C$36*'契約別単価'!F5+'前提と出典'!$C$37*'契約別単価'!F6+'前提と出典'!$C$38*'契約別単価'!F7)</ns0:f>
        <ns0:v>620426.1069181726</ns0:v>
      </ns0:c>
      <ns0:c r="G821" s="16">
        <ns0:f>A821*('前提と出典'!$C$36*'契約別単価'!G5+'前提と出典'!$C$37*'契約別単価'!G6+'前提と出典'!$C$38*'契約別単価'!G7)</ns0:f>
        <ns0:v>1626240.782122905</ns0:v>
      </ns0:c>
      <ns0:c r="H821" s="16">
        <ns0:f>A821*('前提と出典'!$C$36*'契約別単価'!H5+'前提と出典'!$C$37*'契約別単価'!H6+'前提と出典'!$C$38*'契約別単価'!H7)</ns0:f>
        <ns0:v>564387.1137811964</ns0:v>
      </ns0:c>
      <ns0:c r="I821" s="16">
        <ns0:f>A821*('前提と出典'!$C$36*'契約別単価'!I5+'前提と出典'!$C$37*'契約別単価'!I6+'前提と出典'!$C$38*'契約別単価'!I7)</ns0:f>
        <ns0:v>34473.74860335195</ns0:v>
      </ns0:c>
      <ns0:c r="J821" s="16">
        <ns0:f>A821*('前提と出典'!$C$36*'契約別単価'!J5+'前提と出典'!$C$37*'契約別単価'!J6+'前提と出典'!$C$38*'契約別単価'!J7)</ns0:f>
        <ns0:v>80302.5572113172</ns0:v>
      </ns0:c>
      <ns0:c r="K821" s="16">
        <ns0:f>A821*('前提と出典'!$C$36*'契約別単価'!K5+'前提と出典'!$C$37*'契約別単価'!K6+'前提と出典'!$C$38*'契約別単価'!K7)</ns0:f>
        <ns0:v>344204.99068901304</ns0:v>
      </ns0:c>
      <ns0:c r="L821" s="16">
        <ns0:f>A821*('前提と出典'!$C$36*'契約別単価'!L5+'前提と出典'!$C$37*'契約別単価'!L6+'前提と出典'!$C$38*'契約別単価'!L7)</ns0:f>
        <ns0:v>280252.90379270655</ns0:v>
      </ns0:c>
      <ns0:c r="M821" s="16">
        <ns0:f>IF(('前提と出典'!$C$36+'前提と出典'!$C$38)=0,0,IF(B821&lt;=10,'前提と出典'!B73+'前提と出典'!C73,IF(B821&lt;=100,'前提と出典'!B74+'前提と出典'!C74,IF(B821&lt;=500,'前提と出典'!B75+'前提と出典'!C75,'前提と出典'!B76+'前提と出典'!C76))))</ns0:f>
        <ns0:v>80000</ns0:v>
      </ns0:c>
      <ns0:c r="N821" s="16">
        <ns0:f>IF(('前提と出典'!$C$37+'前提と出典'!$C$38)=0,0,IF(C821&lt;=10,'前提と出典'!D73+'前提と出典'!E73,IF(C821&lt;=100,'前提と出典'!D74+'前提と出典'!E74,IF(C821&lt;=500,'前提と出典'!D75+'前提と出典'!E75,'前提と出典'!D76+'前提と出典'!E76))))</ns0:f>
        <ns0:v>56510.9346263078</ns0:v>
      </ns0:c>
      <ns0:c r="O821" s="16">
        <ns0:f>IF('前提と出典'!$C$36+'前提と出典'!$C$38=0,0,'前提と出典'!$B$4*IF('前提と出典'!$B$20=0,MAX('前提と出典'!$B$6,D821*'前提と出典'!$B$5),'前提と出典'!$B$6+D821*'前提と出典'!$B$5))</ns0:f>
        <ns0:v>811267.3072625699</ns0:v>
      </ns0:c>
      <ns0:c r="P821" s="16">
        <ns0:f>(E821+G821)*(1-'前提と出典'!$B$7)-I821-K821-M821-O821</ns0:f>
        <ns0:v>1821689.259718076</ns0:v>
      </ns0:c>
      <ns0:c r="Q821" s="16">
        <ns0:f>(F821+H821)*(1-'前提と出典'!$B$7)-J821-L821-N821</ns0:f>
        <ns0:v>725093.5491238602</ns0:v>
      </ns0:c>
      <ns0:c r="R821" s="16">
        <ns0:f>P821-E821*'前提と出典'!$E$4</ns0:f>
        <ns0:v>1347434.3243529734</ns0:v>
      </ns0:c>
      <ns0:c r="S821" s="16">
        <ns0:f>Q821-F821*'前提と出典'!$E$4</ns0:f>
        <ns0:v>538965.7170484083</ns0:v>
      </ns0:c>
      <ns0:c r="T821" s="7">
        <ns0:f>R821+S821</ns0:f>
        <ns0:v>1886400.0414013816</ns0:v>
      </ns0:c>
      <ns0:c r="U821" s="16">
        <ns0:f>P821-E821*'前提と出典'!$E$5</ns0:f>
        <ns0:v>1189349.3458979388</ns0:v>
      </ns0:c>
      <ns0:c r="V821" s="16">
        <ns0:f>Q821-F821*'前提と出典'!$E$5</ns0:f>
        <ns0:v>476923.1063565911</ns0:v>
      </ns0:c>
      <ns0:c r="W821" s="7">
        <ns0:f>U821+V821</ns0:f>
        <ns0:v>1666272.45225453</ns0:v>
      </ns0:c>
      <ns0:c r="X821" s="16">
        <ns0:f>P821-E821*'前提と出典'!$E$6</ns0:f>
        <ns0:v>1031264.3674429047</ns0:v>
      </ns0:c>
      <ns0:c r="Y821" s="16">
        <ns0:f>Q821-F821*'前提と出典'!$E$6</ns0:f>
        <ns0:v>414880.49566477386</ns0:v>
      </ns0:c>
      <ns0:c r="Z821" s="7">
        <ns0:f>X821+Y821</ns0:f>
        <ns0:v>1446144.8631076785</ns0:v>
      </ns0:c>
      <ns0:c r="AA821" s="7">
        <ns0:f>IF(T821&gt;=0,A821,1001)</ns0:f>
        <ns0:v>817</ns0:v>
      </ns0:c>
      <ns0:c r="AB821" s="7">
        <ns0:f>IF(T821&lt;0,A821,0)</ns0:f>
        <ns0:v>0</ns0:v>
      </ns0:c>
      <ns0:c r="AC821" s="16">
        <ns0:f>IF(AND(OR('前提と出典'!$C$36+'前提と出典'!$C$38=0,R821&gt;=0),OR('前提と出典'!$C$37+'前提と出典'!$C$38=0,S821&gt;=0)),0,A821)</ns0:f>
        <ns0:v>0</ns0:v>
      </ns0:c>
      <ns0:c r="AD821" s="7">
        <ns0:f>IF(W821&gt;=0,A821,1001)</ns0:f>
        <ns0:v>817</ns0:v>
      </ns0:c>
      <ns0:c r="AE821" s="7">
        <ns0:f>IF(W821&lt;0,A821,0)</ns0:f>
        <ns0:v>0</ns0:v>
      </ns0:c>
      <ns0:c r="AF821" s="16">
        <ns0:f>IF(AND(OR('前提と出典'!$C$36+'前提と出典'!$C$38=0,U821&gt;=0),OR('前提と出典'!$C$37+'前提と出典'!$C$38=0,V821&gt;=0)),0,A821)</ns0:f>
        <ns0:v>0</ns0:v>
      </ns0:c>
      <ns0:c r="AG821" s="7">
        <ns0:f>IF(Z821&gt;=0,A821,1001)</ns0:f>
        <ns0:v>817</ns0:v>
      </ns0:c>
      <ns0:c r="AH821" s="4">
        <ns0:f>IF(Z821&lt;0,A821,0)</ns0:f>
        <ns0:v>0</ns0:v>
      </ns0:c>
      <ns0:c r="AI821" s="12">
        <ns0:f>IF(AND(OR('前提と出典'!$C$36+'前提と出典'!$C$38=0,X821&gt;=0),OR('前提と出典'!$C$37+'前提と出典'!$C$38=0,Y821&gt;=0)),0,A821)</ns0:f>
        <ns0:v>0</ns0:v>
      </ns0:c>
    </ns0:row>
    <ns0:row r="822" ht="24" customHeight="1">
      <ns0:c r="A822" s="4" t="n">
        <ns0:v>818</ns0:v>
      </ns0:c>
      <ns0:c r="B822" s="12">
        <ns0:f>A822*('前提と出典'!$C$36+'前提と出典'!$C$38)</ns0:f>
        <ns0:v>572.5999999999999</ns0:v>
      </ns0:c>
      <ns0:c r="C822" s="12">
        <ns0:f>A822*('前提と出典'!$C$37+'前提と出典'!$C$38)</ns0:f>
        <ns0:v>490.79999999999995</ns0:v>
      </ns0:c>
      <ns0:c r="D822" s="16">
        <ns0:f>A822*('前提と出典'!$C$36*'契約別単価'!C5+'前提と出典'!$C$37*'契約別単価'!C6+'前提と出典'!$C$38*'契約別単価'!C7)</ns0:f>
        <ns0:v>5885.944134078212</ns0:v>
      </ns0:c>
      <ns0:c r="E822" s="16">
        <ns0:f>A822*('前提と出典'!$C$36*'契約別単価'!E5+'前提と出典'!$C$37*'契約別単価'!E6+'前提と出典'!$C$38*'契約別単価'!E7)</ns0:f>
        <ns0:v>1582784.7292070754</ns0:v>
      </ns0:c>
      <ns0:c r="F822" s="16">
        <ns0:f>A822*('前提と出典'!$C$36*'契約別単価'!F5+'前提と出典'!$C$37*'契約別単価'!F6+'前提と出典'!$C$38*'契約別単価'!F7)</ns0:f>
        <ns0:v>621185.5023978766</ns0:v>
      </ns0:c>
      <ns0:c r="G822" s="16">
        <ns0:f>A822*('前提と出典'!$C$36*'契約別単価'!G5+'前提と出典'!$C$37*'契約別単価'!G6+'前提と出典'!$C$38*'契約別単価'!G7)</ns0:f>
        <ns0:v>1628231.2849162011</ns0:v>
      </ns0:c>
      <ns0:c r="H822" s="16">
        <ns0:f>A822*('前提と出典'!$C$36*'契約別単価'!H5+'前提と出典'!$C$37*'契約別単価'!H6+'前提と出典'!$C$38*'契約別単価'!H7)</ns0:f>
        <ns0:v>565077.9180820301</ns0:v>
      </ns0:c>
      <ns0:c r="I822" s="16">
        <ns0:f>A822*('前提と出典'!$C$36*'契約別単価'!I5+'前提と出典'!$C$37*'契約別単価'!I6+'前提と出典'!$C$38*'契約別単価'!I7)</ns0:f>
        <ns0:v>34515.94413407821</ns0:v>
      </ns0:c>
      <ns0:c r="J822" s="16">
        <ns0:f>A822*('前提と出典'!$C$36*'契約別単価'!J5+'前提と出典'!$C$37*'契約別単価'!J6+'前提と出典'!$C$38*'契約別単価'!J7)</ns0:f>
        <ns0:v>80400.8467550275</ns0:v>
      </ns0:c>
      <ns0:c r="K822" s="16">
        <ns0:f>A822*('前提と出典'!$C$36*'契約別単価'!K5+'前提と出典'!$C$37*'契約別単価'!K6+'前提と出典'!$C$38*'契約別単価'!K7)</ns0:f>
        <ns0:v>344626.29422718805</ns0:v>
      </ns0:c>
      <ns0:c r="L822" s="16">
        <ns0:f>A822*('前提と出典'!$C$36*'契約別単価'!L5+'前提と出典'!$C$37*'契約別単価'!L6+'前提と出典'!$C$38*'契約別単価'!L7)</ns0:f>
        <ns0:v>280595.9306027343</ns0:v>
      </ns0:c>
      <ns0:c r="M822" s="16">
        <ns0:f>IF(('前提と出典'!$C$36+'前提と出典'!$C$38)=0,0,IF(B822&lt;=10,'前提と出典'!B73+'前提と出典'!C73,IF(B822&lt;=100,'前提と出典'!B74+'前提と出典'!C74,IF(B822&lt;=500,'前提と出典'!B75+'前提と出典'!C75,'前提と出典'!B76+'前提と出典'!C76))))</ns0:f>
        <ns0:v>80000</ns0:v>
      </ns0:c>
      <ns0:c r="N822" s="16">
        <ns0:f>IF(('前提と出典'!$C$37+'前提と出典'!$C$38)=0,0,IF(C822&lt;=10,'前提と出典'!D73+'前提と出典'!E73,IF(C822&lt;=100,'前提と出典'!D74+'前提と出典'!E74,IF(C822&lt;=500,'前提と出典'!D75+'前提と出典'!E75,'前提と出典'!D76+'前提と出典'!E76))))</ns0:f>
        <ns0:v>56510.9346263078</ns0:v>
      </ns0:c>
      <ns0:c r="O822" s="16">
        <ns0:f>IF('前提と出典'!$C$36+'前提と出典'!$C$38=0,0,'前提と出典'!$B$4*IF('前提と出典'!$B$20=0,MAX('前提と出典'!$B$6,D822*'前提と出典'!$B$5),'前提と出典'!$B$6+D822*'前提と出典'!$B$5))</ns0:f>
        <ns0:v>812260.2905027934</ns0:v>
      </ns0:c>
      <ns0:c r="P822" s="16">
        <ns0:f>(E822+G822)*(1-'前提と出典'!$B$7)-I822-K822-M822-O822</ns0:f>
        <ns0:v>1824016.9087507797</ns0:v>
      </ns0:c>
      <ns0:c r="Q822" s="16">
        <ns0:f>(F822+H822)*(1-'前提と出典'!$B$7)-J822-L822-N822</ns0:f>
        <ns0:v>726050.2253585604</ns0:v>
      </ns0:c>
      <ns0:c r="R822" s="16">
        <ns0:f>P822-E822*'前提と出典'!$E$4</ns0:f>
        <ns0:v>1349181.489988657</ns0:v>
      </ns0:c>
      <ns0:c r="S822" s="16">
        <ns0:f>Q822-F822*'前提と出典'!$E$4</ns0:f>
        <ns0:v>539694.5746391974</ns0:v>
      </ns0:c>
      <ns0:c r="T822" s="7">
        <ns0:f>R822+S822</ns0:f>
        <ns0:v>1888876.0646278544</ns0:v>
      </ns0:c>
      <ns0:c r="U822" s="16">
        <ns0:f>P822-E822*'前提と出典'!$E$5</ns0:f>
        <ns0:v>1190903.0170679495</ns0:v>
      </ns0:c>
      <ns0:c r="V822" s="16">
        <ns0:f>Q822-F822*'前提と出典'!$E$5</ns0:f>
        <ns0:v>477576.02439940977</ns0:v>
      </ns0:c>
      <ns0:c r="W822" s="7">
        <ns0:f>U822+V822</ns0:f>
        <ns0:v>1668479.0414673593</ns0:v>
      </ns0:c>
      <ns0:c r="X822" s="16">
        <ns0:f>P822-E822*'前提と出典'!$E$6</ns0:f>
        <ns0:v>1032624.5441472421</ns0:v>
      </ns0:c>
      <ns0:c r="Y822" s="16">
        <ns0:f>Q822-F822*'前提と出典'!$E$6</ns0:f>
        <ns0:v>415457.4741596221</ns0:v>
      </ns0:c>
      <ns0:c r="Z822" s="7">
        <ns0:f>X822+Y822</ns0:f>
        <ns0:v>1448082.0183068642</ns0:v>
      </ns0:c>
      <ns0:c r="AA822" s="7">
        <ns0:f>IF(T822&gt;=0,A822,1001)</ns0:f>
        <ns0:v>818</ns0:v>
      </ns0:c>
      <ns0:c r="AB822" s="7">
        <ns0:f>IF(T822&lt;0,A822,0)</ns0:f>
        <ns0:v>0</ns0:v>
      </ns0:c>
      <ns0:c r="AC822" s="16">
        <ns0:f>IF(AND(OR('前提と出典'!$C$36+'前提と出典'!$C$38=0,R822&gt;=0),OR('前提と出典'!$C$37+'前提と出典'!$C$38=0,S822&gt;=0)),0,A822)</ns0:f>
        <ns0:v>0</ns0:v>
      </ns0:c>
      <ns0:c r="AD822" s="7">
        <ns0:f>IF(W822&gt;=0,A822,1001)</ns0:f>
        <ns0:v>818</ns0:v>
      </ns0:c>
      <ns0:c r="AE822" s="7">
        <ns0:f>IF(W822&lt;0,A822,0)</ns0:f>
        <ns0:v>0</ns0:v>
      </ns0:c>
      <ns0:c r="AF822" s="16">
        <ns0:f>IF(AND(OR('前提と出典'!$C$36+'前提と出典'!$C$38=0,U822&gt;=0),OR('前提と出典'!$C$37+'前提と出典'!$C$38=0,V822&gt;=0)),0,A822)</ns0:f>
        <ns0:v>0</ns0:v>
      </ns0:c>
      <ns0:c r="AG822" s="7">
        <ns0:f>IF(Z822&gt;=0,A822,1001)</ns0:f>
        <ns0:v>818</ns0:v>
      </ns0:c>
      <ns0:c r="AH822" s="4">
        <ns0:f>IF(Z822&lt;0,A822,0)</ns0:f>
        <ns0:v>0</ns0:v>
      </ns0:c>
      <ns0:c r="AI822" s="12">
        <ns0:f>IF(AND(OR('前提と出典'!$C$36+'前提と出典'!$C$38=0,X822&gt;=0),OR('前提と出典'!$C$37+'前提と出典'!$C$38=0,Y822&gt;=0)),0,A822)</ns0:f>
        <ns0:v>0</ns0:v>
      </ns0:c>
    </ns0:row>
    <ns0:row r="823" ht="24" customHeight="1">
      <ns0:c r="A823" s="4" t="n">
        <ns0:v>819</ns0:v>
      </ns0:c>
      <ns0:c r="B823" s="12">
        <ns0:f>A823*('前提と出典'!$C$36+'前提と出典'!$C$38)</ns0:f>
        <ns0:v>573.3</ns0:v>
      </ns0:c>
      <ns0:c r="C823" s="12">
        <ns0:f>A823*('前提と出典'!$C$37+'前提と出典'!$C$38)</ns0:f>
        <ns0:v>491.4</ns0:v>
      </ns0:c>
      <ns0:c r="D823" s="16">
        <ns0:f>A823*('前提と出典'!$C$36*'契約別単価'!C5+'前提と出典'!$C$37*'契約別単価'!C6+'前提と出典'!$C$38*'契約別単価'!C7)</ns0:f>
        <ns0:v>5893.139664804469</ns0:v>
      </ns0:c>
      <ns0:c r="E823" s="16">
        <ns0:f>A823*('前提と出典'!$C$36*'契約別単価'!E5+'前提と出典'!$C$37*'契約別単価'!E6+'前提と出典'!$C$38*'契約別単価'!E7)</ns0:f>
        <ns0:v>1584719.6738638077</ns0:v>
      </ns0:c>
      <ns0:c r="F823" s="16">
        <ns0:f>A823*('前提と出典'!$C$36*'契約別単価'!F5+'前提と出典'!$C$37*'契約別単価'!F6+'前提と出典'!$C$38*'契約別単価'!F7)</ns0:f>
        <ns0:v>621944.8978775805</ns0:v>
      </ns0:c>
      <ns0:c r="G823" s="16">
        <ns0:f>A823*('前提と出典'!$C$36*'契約別単価'!G5+'前提と出典'!$C$37*'契約別単価'!G6+'前提と出典'!$C$38*'契約別単価'!G7)</ns0:f>
        <ns0:v>1630221.7877094971</ns0:v>
      </ns0:c>
      <ns0:c r="H823" s="16">
        <ns0:f>A823*('前提と出典'!$C$36*'契約別単価'!H5+'前提と出典'!$C$37*'契約別単価'!H6+'前提と出典'!$C$38*'契約別単価'!H7)</ns0:f>
        <ns0:v>565768.722382864</ns0:v>
      </ns0:c>
      <ns0:c r="I823" s="16">
        <ns0:f>A823*('前提と出典'!$C$36*'契約別単価'!I5+'前提と出典'!$C$37*'契約別単価'!I6+'前提と出典'!$C$38*'契約別単価'!I7)</ns0:f>
        <ns0:v>34558.13966480446</ns0:v>
      </ns0:c>
      <ns0:c r="J823" s="16">
        <ns0:f>A823*('前提と出典'!$C$36*'契約別単価'!J5+'前提と出典'!$C$37*'契約別単価'!J6+'前提と出典'!$C$38*'契約別単価'!J7)</ns0:f>
        <ns0:v>80499.13629873781</ns0:v>
      </ns0:c>
      <ns0:c r="K823" s="16">
        <ns0:f>A823*('前提と出典'!$C$36*'契約別単価'!K5+'前提と出典'!$C$37*'契約別単価'!K6+'前提と出典'!$C$38*'契約別単価'!K7)</ns0:f>
        <ns0:v>345047.5977653631</ns0:v>
      </ns0:c>
      <ns0:c r="L823" s="16">
        <ns0:f>A823*('前提と出典'!$C$36*'契約別単価'!L5+'前提と出典'!$C$37*'契約別単価'!L6+'前提と出典'!$C$38*'契約別単価'!L7)</ns0:f>
        <ns0:v>280938.9574127621</ns0:v>
      </ns0:c>
      <ns0:c r="M823" s="16">
        <ns0:f>IF(('前提と出典'!$C$36+'前提と出典'!$C$38)=0,0,IF(B823&lt;=10,'前提と出典'!B73+'前提と出典'!C73,IF(B823&lt;=100,'前提と出典'!B74+'前提と出典'!C74,IF(B823&lt;=500,'前提と出典'!B75+'前提と出典'!C75,'前提と出典'!B76+'前提と出典'!C76))))</ns0:f>
        <ns0:v>80000</ns0:v>
      </ns0:c>
      <ns0:c r="N823" s="16">
        <ns0:f>IF(('前提と出典'!$C$37+'前提と出典'!$C$38)=0,0,IF(C823&lt;=10,'前提と出典'!D73+'前提と出典'!E73,IF(C823&lt;=100,'前提と出典'!D74+'前提と出典'!E74,IF(C823&lt;=500,'前提と出典'!D75+'前提と出典'!E75,'前提と出典'!D76+'前提と出典'!E76))))</ns0:f>
        <ns0:v>56510.9346263078</ns0:v>
      </ns0:c>
      <ns0:c r="O823" s="16">
        <ns0:f>IF('前提と出典'!$C$36+'前提と出典'!$C$38=0,0,'前提と出典'!$B$4*IF('前提と出典'!$B$20=0,MAX('前提と出典'!$B$6,D823*'前提と出典'!$B$5),'前提と出典'!$B$6+D823*'前提と出典'!$B$5))</ns0:f>
        <ns0:v>813253.2737430168</ns0:v>
      </ns0:c>
      <ns0:c r="P823" s="16">
        <ns0:f>(E823+G823)*(1-'前提と出典'!$B$7)-I823-K823-M823-O823</ns0:f>
        <ns0:v>1826344.5577834812</ns0:v>
      </ns0:c>
      <ns0:c r="Q823" s="16">
        <ns0:f>(F823+H823)*(1-'前提と出典'!$B$7)-J823-L823-N823</ns0:f>
        <ns0:v>727006.9015932607</ns0:v>
      </ns0:c>
      <ns0:c r="R823" s="16">
        <ns0:f>P823-E823*'前提と出典'!$E$4</ns0:f>
        <ns0:v>1350928.655624339</ns0:v>
      </ns0:c>
      <ns0:c r="S823" s="16">
        <ns0:f>Q823-F823*'前提と出典'!$E$4</ns0:f>
        <ns0:v>540423.4322299865</ns0:v>
      </ns0:c>
      <ns0:c r="T823" s="7">
        <ns0:f>R823+S823</ns0:f>
        <ns0:v>1891352.0878543253</ns0:v>
      </ns0:c>
      <ns0:c r="U823" s="16">
        <ns0:f>P823-E823*'前提と出典'!$E$5</ns0:f>
        <ns0:v>1192456.6882379581</ns0:v>
      </ns0:c>
      <ns0:c r="V823" s="16">
        <ns0:f>Q823-F823*'前提と出典'!$E$5</ns0:f>
        <ns0:v>478228.94244222855</ns0:v>
      </ns0:c>
      <ns0:c r="W823" s="7">
        <ns0:f>U823+V823</ns0:f>
        <ns0:v>1670685.6306801867</ns0:v>
      </ns0:c>
      <ns0:c r="X823" s="16">
        <ns0:f>P823-E823*'前提と出典'!$E$6</ns0:f>
        <ns0:v>1033984.7208515775</ns0:v>
      </ns0:c>
      <ns0:c r="Y823" s="16">
        <ns0:f>Q823-F823*'前提と出典'!$E$6</ns0:f>
        <ns0:v>416034.45265447046</ns0:v>
      </ns0:c>
      <ns0:c r="Z823" s="7">
        <ns0:f>X823+Y823</ns0:f>
        <ns0:v>1450019.173506048</ns0:v>
      </ns0:c>
      <ns0:c r="AA823" s="7">
        <ns0:f>IF(T823&gt;=0,A823,1001)</ns0:f>
        <ns0:v>819</ns0:v>
      </ns0:c>
      <ns0:c r="AB823" s="7">
        <ns0:f>IF(T823&lt;0,A823,0)</ns0:f>
        <ns0:v>0</ns0:v>
      </ns0:c>
      <ns0:c r="AC823" s="16">
        <ns0:f>IF(AND(OR('前提と出典'!$C$36+'前提と出典'!$C$38=0,R823&gt;=0),OR('前提と出典'!$C$37+'前提と出典'!$C$38=0,S823&gt;=0)),0,A823)</ns0:f>
        <ns0:v>0</ns0:v>
      </ns0:c>
      <ns0:c r="AD823" s="7">
        <ns0:f>IF(W823&gt;=0,A823,1001)</ns0:f>
        <ns0:v>819</ns0:v>
      </ns0:c>
      <ns0:c r="AE823" s="7">
        <ns0:f>IF(W823&lt;0,A823,0)</ns0:f>
        <ns0:v>0</ns0:v>
      </ns0:c>
      <ns0:c r="AF823" s="16">
        <ns0:f>IF(AND(OR('前提と出典'!$C$36+'前提と出典'!$C$38=0,U823&gt;=0),OR('前提と出典'!$C$37+'前提と出典'!$C$38=0,V823&gt;=0)),0,A823)</ns0:f>
        <ns0:v>0</ns0:v>
      </ns0:c>
      <ns0:c r="AG823" s="7">
        <ns0:f>IF(Z823&gt;=0,A823,1001)</ns0:f>
        <ns0:v>819</ns0:v>
      </ns0:c>
      <ns0:c r="AH823" s="4">
        <ns0:f>IF(Z823&lt;0,A823,0)</ns0:f>
        <ns0:v>0</ns0:v>
      </ns0:c>
      <ns0:c r="AI823" s="12">
        <ns0:f>IF(AND(OR('前提と出典'!$C$36+'前提と出典'!$C$38=0,X823&gt;=0),OR('前提と出典'!$C$37+'前提と出典'!$C$38=0,Y823&gt;=0)),0,A823)</ns0:f>
        <ns0:v>0</ns0:v>
      </ns0:c>
    </ns0:row>
    <ns0:row r="824" ht="24" customHeight="1">
      <ns0:c r="A824" s="4" t="n">
        <ns0:v>820</ns0:v>
      </ns0:c>
      <ns0:c r="B824" s="12">
        <ns0:f>A824*('前提と出典'!$C$36+'前提と出典'!$C$38)</ns0:f>
        <ns0:v>574</ns0:v>
      </ns0:c>
      <ns0:c r="C824" s="12">
        <ns0:f>A824*('前提と出典'!$C$37+'前提と出典'!$C$38)</ns0:f>
        <ns0:v>492</ns0:v>
      </ns0:c>
      <ns0:c r="D824" s="16">
        <ns0:f>A824*('前提と出典'!$C$36*'契約別単価'!C5+'前提と出典'!$C$37*'契約別単価'!C6+'前提と出典'!$C$38*'契約別単価'!C7)</ns0:f>
        <ns0:v>5900.335195530726</ns0:v>
      </ns0:c>
      <ns0:c r="E824" s="16">
        <ns0:f>A824*('前提と出典'!$C$36*'契約別単価'!E5+'前提と出典'!$C$37*'契約別単価'!E6+'前提と出典'!$C$38*'契約別単価'!E7)</ns0:f>
        <ns0:v>1586654.6185205402</ns0:v>
      </ns0:c>
      <ns0:c r="F824" s="16">
        <ns0:f>A824*('前提と出典'!$C$36*'契約別単価'!F5+'前提と出典'!$C$37*'契約別単価'!F6+'前提と出典'!$C$38*'契約別単価'!F7)</ns0:f>
        <ns0:v>622704.2933572845</ns0:v>
      </ns0:c>
      <ns0:c r="G824" s="16">
        <ns0:f>A824*('前提と出典'!$C$36*'契約別単価'!G5+'前提と出典'!$C$37*'契約別単価'!G6+'前提と出典'!$C$38*'契約別単価'!G7)</ns0:f>
        <ns0:v>1632212.2905027932</ns0:v>
      </ns0:c>
      <ns0:c r="H824" s="16">
        <ns0:f>A824*('前提と出典'!$C$36*'契約別単価'!H5+'前提と出典'!$C$37*'契約別単価'!H6+'前提と出典'!$C$38*'契約別単価'!H7)</ns0:f>
        <ns0:v>566459.5266836977</ns0:v>
      </ns0:c>
      <ns0:c r="I824" s="16">
        <ns0:f>A824*('前提と出典'!$C$36*'契約別単価'!I5+'前提と出典'!$C$37*'契約別単価'!I6+'前提と出典'!$C$38*'契約別単価'!I7)</ns0:f>
        <ns0:v>34600.33519553072</ns0:v>
      </ns0:c>
      <ns0:c r="J824" s="16">
        <ns0:f>A824*('前提と出典'!$C$36*'契約別単価'!J5+'前提と出典'!$C$37*'契約別単価'!J6+'前提と出典'!$C$38*'契約別単価'!J7)</ns0:f>
        <ns0:v>80597.42584244811</ns0:v>
      </ns0:c>
      <ns0:c r="K824" s="16">
        <ns0:f>A824*('前提と出典'!$C$36*'契約別単価'!K5+'前提と出典'!$C$37*'契約別単価'!K6+'前提と出典'!$C$38*'契約別単価'!K7)</ns0:f>
        <ns0:v>345468.9013035382</ns0:v>
      </ns0:c>
      <ns0:c r="L824" s="16">
        <ns0:f>A824*('前提と出典'!$C$36*'契約別単価'!L5+'前提と出典'!$C$37*'契約別単価'!L6+'前提と出典'!$C$38*'契約別単価'!L7)</ns0:f>
        <ns0:v>281281.98422278994</ns0:v>
      </ns0:c>
      <ns0:c r="M824" s="16">
        <ns0:f>IF(('前提と出典'!$C$36+'前提と出典'!$C$38)=0,0,IF(B824&lt;=10,'前提と出典'!B73+'前提と出典'!C73,IF(B824&lt;=100,'前提と出典'!B74+'前提と出典'!C74,IF(B824&lt;=500,'前提と出典'!B75+'前提と出典'!C75,'前提と出典'!B76+'前提と出典'!C76))))</ns0:f>
        <ns0:v>80000</ns0:v>
      </ns0:c>
      <ns0:c r="N824" s="16">
        <ns0:f>IF(('前提と出典'!$C$37+'前提と出典'!$C$38)=0,0,IF(C824&lt;=10,'前提と出典'!D73+'前提と出典'!E73,IF(C824&lt;=100,'前提と出典'!D74+'前提と出典'!E74,IF(C824&lt;=500,'前提と出典'!D75+'前提と出典'!E75,'前提と出典'!D76+'前提と出典'!E76))))</ns0:f>
        <ns0:v>56510.9346263078</ns0:v>
      </ns0:c>
      <ns0:c r="O824" s="16">
        <ns0:f>IF('前提と出典'!$C$36+'前提と出典'!$C$38=0,0,'前提と出典'!$B$4*IF('前提と出典'!$B$20=0,MAX('前提と出典'!$B$6,D824*'前提と出典'!$B$5),'前提と出典'!$B$6+D824*'前提と出典'!$B$5))</ns0:f>
        <ns0:v>814246.2569832403</ns0:v>
      </ns0:c>
      <ns0:c r="P824" s="16">
        <ns0:f>(E824+G824)*(1-'前提と出典'!$B$7)-I824-K824-M824-O824</ns0:f>
        <ns0:v>1828672.2068161843</ns0:v>
      </ns0:c>
      <ns0:c r="Q824" s="16">
        <ns0:f>(F824+H824)*(1-'前提と出典'!$B$7)-J824-L824-N824</ns0:f>
        <ns0:v>727963.577827961</ns0:v>
      </ns0:c>
      <ns0:c r="R824" s="16">
        <ns0:f>P824-E824*'前提と出典'!$E$4</ns0:f>
        <ns0:v>1352675.8212600225</ns0:v>
      </ns0:c>
      <ns0:c r="S824" s="16">
        <ns0:f>Q824-F824*'前提と出典'!$E$4</ns0:f>
        <ns0:v>541152.2898207756</ns0:v>
      </ns0:c>
      <ns0:c r="T824" s="7">
        <ns0:f>R824+S824</ns0:f>
        <ns0:v>1893828.111080798</ns0:v>
      </ns0:c>
      <ns0:c r="U824" s="16">
        <ns0:f>P824-E824*'前提と出典'!$E$5</ns0:f>
        <ns0:v>1194010.3594079684</ns0:v>
      </ns0:c>
      <ns0:c r="V824" s="16">
        <ns0:f>Q824-F824*'前提と出典'!$E$5</ns0:f>
        <ns0:v>478881.8604850471</ns0:v>
      </ns0:c>
      <ns0:c r="W824" s="7">
        <ns0:f>U824+V824</ns0:f>
        <ns0:v>1672892.2198930155</ns0:v>
      </ns0:c>
      <ns0:c r="X824" s="16">
        <ns0:f>P824-E824*'前提と出典'!$E$6</ns0:f>
        <ns0:v>1035344.8975559141</ns0:v>
      </ns0:c>
      <ns0:c r="Y824" s="16">
        <ns0:f>Q824-F824*'前提と出典'!$E$6</ns0:f>
        <ns0:v>416611.43114931876</ns0:v>
      </ns0:c>
      <ns0:c r="Z824" s="7">
        <ns0:f>X824+Y824</ns0:f>
        <ns0:v>1451956.3287052328</ns0:v>
      </ns0:c>
      <ns0:c r="AA824" s="7">
        <ns0:f>IF(T824&gt;=0,A824,1001)</ns0:f>
        <ns0:v>820</ns0:v>
      </ns0:c>
      <ns0:c r="AB824" s="7">
        <ns0:f>IF(T824&lt;0,A824,0)</ns0:f>
        <ns0:v>0</ns0:v>
      </ns0:c>
      <ns0:c r="AC824" s="16">
        <ns0:f>IF(AND(OR('前提と出典'!$C$36+'前提と出典'!$C$38=0,R824&gt;=0),OR('前提と出典'!$C$37+'前提と出典'!$C$38=0,S824&gt;=0)),0,A824)</ns0:f>
        <ns0:v>0</ns0:v>
      </ns0:c>
      <ns0:c r="AD824" s="7">
        <ns0:f>IF(W824&gt;=0,A824,1001)</ns0:f>
        <ns0:v>820</ns0:v>
      </ns0:c>
      <ns0:c r="AE824" s="7">
        <ns0:f>IF(W824&lt;0,A824,0)</ns0:f>
        <ns0:v>0</ns0:v>
      </ns0:c>
      <ns0:c r="AF824" s="16">
        <ns0:f>IF(AND(OR('前提と出典'!$C$36+'前提と出典'!$C$38=0,U824&gt;=0),OR('前提と出典'!$C$37+'前提と出典'!$C$38=0,V824&gt;=0)),0,A824)</ns0:f>
        <ns0:v>0</ns0:v>
      </ns0:c>
      <ns0:c r="AG824" s="7">
        <ns0:f>IF(Z824&gt;=0,A824,1001)</ns0:f>
        <ns0:v>820</ns0:v>
      </ns0:c>
      <ns0:c r="AH824" s="4">
        <ns0:f>IF(Z824&lt;0,A824,0)</ns0:f>
        <ns0:v>0</ns0:v>
      </ns0:c>
      <ns0:c r="AI824" s="12">
        <ns0:f>IF(AND(OR('前提と出典'!$C$36+'前提と出典'!$C$38=0,X824&gt;=0),OR('前提と出典'!$C$37+'前提と出典'!$C$38=0,Y824&gt;=0)),0,A824)</ns0:f>
        <ns0:v>0</ns0:v>
      </ns0:c>
    </ns0:row>
    <ns0:row r="825" ht="24" customHeight="1">
      <ns0:c r="A825" s="4" t="n">
        <ns0:v>821</ns0:v>
      </ns0:c>
      <ns0:c r="B825" s="12">
        <ns0:f>A825*('前提と出典'!$C$36+'前提と出典'!$C$38)</ns0:f>
        <ns0:v>574.6999999999999</ns0:v>
      </ns0:c>
      <ns0:c r="C825" s="12">
        <ns0:f>A825*('前提と出典'!$C$37+'前提と出典'!$C$38)</ns0:f>
        <ns0:v>492.59999999999997</ns0:v>
      </ns0:c>
      <ns0:c r="D825" s="16">
        <ns0:f>A825*('前提と出典'!$C$36*'契約別単価'!C5+'前提と出典'!$C$37*'契約別単価'!C6+'前提と出典'!$C$38*'契約別単価'!C7)</ns0:f>
        <ns0:v>5907.530726256983</ns0:v>
      </ns0:c>
      <ns0:c r="E825" s="16">
        <ns0:f>A825*('前提と出典'!$C$36*'契約別単価'!E5+'前提と出典'!$C$37*'契約別単価'!E6+'前提と出典'!$C$38*'契約別単価'!E7)</ns0:f>
        <ns0:v>1588589.5631772724</ns0:v>
      </ns0:c>
      <ns0:c r="F825" s="16">
        <ns0:f>A825*('前提と出典'!$C$36*'契約別単価'!F5+'前提と出典'!$C$37*'契約別単価'!F6+'前提と出典'!$C$38*'契約別単価'!F7)</ns0:f>
        <ns0:v>623463.6888369885</ns0:v>
      </ns0:c>
      <ns0:c r="G825" s="16">
        <ns0:f>A825*('前提と出典'!$C$36*'契約別単価'!G5+'前提と出典'!$C$37*'契約別単価'!G6+'前提と出典'!$C$38*'契約別単価'!G7)</ns0:f>
        <ns0:v>1634202.7932960894</ns0:v>
      </ns0:c>
      <ns0:c r="H825" s="16">
        <ns0:f>A825*('前提と出典'!$C$36*'契約別単価'!H5+'前提と出典'!$C$37*'契約別単価'!H6+'前提と出典'!$C$38*'契約別単価'!H7)</ns0:f>
        <ns0:v>567150.3309845314</ns0:v>
      </ns0:c>
      <ns0:c r="I825" s="16">
        <ns0:f>A825*('前提と出典'!$C$36*'契約別単価'!I5+'前提と出典'!$C$37*'契約別単価'!I6+'前提と出典'!$C$38*'契約別単価'!I7)</ns0:f>
        <ns0:v>34642.53072625698</ns0:v>
      </ns0:c>
      <ns0:c r="J825" s="16">
        <ns0:f>A825*('前提と出典'!$C$36*'契約別単価'!J5+'前提と出典'!$C$37*'契約別単価'!J6+'前提と出典'!$C$38*'契約別単価'!J7)</ns0:f>
        <ns0:v>80695.71538615841</ns0:v>
      </ns0:c>
      <ns0:c r="K825" s="16">
        <ns0:f>A825*('前提と出典'!$C$36*'契約別単価'!K5+'前提と出典'!$C$37*'契約別単価'!K6+'前提と出典'!$C$38*'契約別単価'!K7)</ns0:f>
        <ns0:v>345890.2048417132</ns0:v>
      </ns0:c>
      <ns0:c r="L825" s="16">
        <ns0:f>A825*('前提と出典'!$C$36*'契約別単価'!L5+'前提と出典'!$C$37*'契約別単価'!L6+'前提と出典'!$C$38*'契約別単価'!L7)</ns0:f>
        <ns0:v>281625.0110328177</ns0:v>
      </ns0:c>
      <ns0:c r="M825" s="16">
        <ns0:f>IF(('前提と出典'!$C$36+'前提と出典'!$C$38)=0,0,IF(B825&lt;=10,'前提と出典'!B73+'前提と出典'!C73,IF(B825&lt;=100,'前提と出典'!B74+'前提と出典'!C74,IF(B825&lt;=500,'前提と出典'!B75+'前提と出典'!C75,'前提と出典'!B76+'前提と出典'!C76))))</ns0:f>
        <ns0:v>80000</ns0:v>
      </ns0:c>
      <ns0:c r="N825" s="16">
        <ns0:f>IF(('前提と出典'!$C$37+'前提と出典'!$C$38)=0,0,IF(C825&lt;=10,'前提と出典'!D73+'前提と出典'!E73,IF(C825&lt;=100,'前提と出典'!D74+'前提と出典'!E74,IF(C825&lt;=500,'前提と出典'!D75+'前提と出典'!E75,'前提と出典'!D76+'前提と出典'!E76))))</ns0:f>
        <ns0:v>56510.9346263078</ns0:v>
      </ns0:c>
      <ns0:c r="O825" s="16">
        <ns0:f>IF('前提と出典'!$C$36+'前提と出典'!$C$38=0,0,'前提と出典'!$B$4*IF('前提と出典'!$B$20=0,MAX('前提と出典'!$B$6,D825*'前提と出典'!$B$5),'前提と出典'!$B$6+D825*'前提と出典'!$B$5))</ns0:f>
        <ns0:v>815239.2402234637</ns0:v>
      </ns0:c>
      <ns0:c r="P825" s="16">
        <ns0:f>(E825+G825)*(1-'前提と出典'!$B$7)-I825-K825-M825-O825</ns0:f>
        <ns0:v>1830999.855848887</ns0:v>
      </ns0:c>
      <ns0:c r="Q825" s="16">
        <ns0:f>(F825+H825)*(1-'前提と出典'!$B$7)-J825-L825-N825</ns0:f>
        <ns0:v>728920.2540626613</ns0:v>
      </ns0:c>
      <ns0:c r="R825" s="16">
        <ns0:f>P825-E825*'前提と出典'!$E$4</ns0:f>
        <ns0:v>1354422.9868957056</ns0:v>
      </ns0:c>
      <ns0:c r="S825" s="16">
        <ns0:f>Q825-F825*'前提と出典'!$E$4</ns0:f>
        <ns0:v>541881.1474115646</ns0:v>
      </ns0:c>
      <ns0:c r="T825" s="7">
        <ns0:f>R825+S825</ns0:f>
        <ns0:v>1896304.1343072702</ns0:v>
      </ns0:c>
      <ns0:c r="U825" s="16">
        <ns0:f>P825-E825*'前提と出典'!$E$5</ns0:f>
        <ns0:v>1195564.0305779781</ns0:v>
      </ns0:c>
      <ns0:c r="V825" s="16">
        <ns0:f>Q825-F825*'前提と出典'!$E$5</ns0:f>
        <ns0:v>479534.7785278659</ns0:v>
      </ns0:c>
      <ns0:c r="W825" s="7">
        <ns0:f>U825+V825</ns0:f>
        <ns0:v>1675098.809105844</ns0:v>
      </ns0:c>
      <ns0:c r="X825" s="16">
        <ns0:f>P825-E825*'前提と出典'!$E$6</ns0:f>
        <ns0:v>1036705.0742602508</ns0:v>
      </ns0:c>
      <ns0:c r="Y825" s="16">
        <ns0:f>Q825-F825*'前提と出典'!$E$6</ns0:f>
        <ns0:v>417188.409644167</ns0:v>
      </ns0:c>
      <ns0:c r="Z825" s="7">
        <ns0:f>X825+Y825</ns0:f>
        <ns0:v>1453893.4839044178</ns0:v>
      </ns0:c>
      <ns0:c r="AA825" s="7">
        <ns0:f>IF(T825&gt;=0,A825,1001)</ns0:f>
        <ns0:v>821</ns0:v>
      </ns0:c>
      <ns0:c r="AB825" s="7">
        <ns0:f>IF(T825&lt;0,A825,0)</ns0:f>
        <ns0:v>0</ns0:v>
      </ns0:c>
      <ns0:c r="AC825" s="16">
        <ns0:f>IF(AND(OR('前提と出典'!$C$36+'前提と出典'!$C$38=0,R825&gt;=0),OR('前提と出典'!$C$37+'前提と出典'!$C$38=0,S825&gt;=0)),0,A825)</ns0:f>
        <ns0:v>0</ns0:v>
      </ns0:c>
      <ns0:c r="AD825" s="7">
        <ns0:f>IF(W825&gt;=0,A825,1001)</ns0:f>
        <ns0:v>821</ns0:v>
      </ns0:c>
      <ns0:c r="AE825" s="7">
        <ns0:f>IF(W825&lt;0,A825,0)</ns0:f>
        <ns0:v>0</ns0:v>
      </ns0:c>
      <ns0:c r="AF825" s="16">
        <ns0:f>IF(AND(OR('前提と出典'!$C$36+'前提と出典'!$C$38=0,U825&gt;=0),OR('前提と出典'!$C$37+'前提と出典'!$C$38=0,V825&gt;=0)),0,A825)</ns0:f>
        <ns0:v>0</ns0:v>
      </ns0:c>
      <ns0:c r="AG825" s="7">
        <ns0:f>IF(Z825&gt;=0,A825,1001)</ns0:f>
        <ns0:v>821</ns0:v>
      </ns0:c>
      <ns0:c r="AH825" s="4">
        <ns0:f>IF(Z825&lt;0,A825,0)</ns0:f>
        <ns0:v>0</ns0:v>
      </ns0:c>
      <ns0:c r="AI825" s="12">
        <ns0:f>IF(AND(OR('前提と出典'!$C$36+'前提と出典'!$C$38=0,X825&gt;=0),OR('前提と出典'!$C$37+'前提と出典'!$C$38=0,Y825&gt;=0)),0,A825)</ns0:f>
        <ns0:v>0</ns0:v>
      </ns0:c>
    </ns0:row>
    <ns0:row r="826" ht="24" customHeight="1">
      <ns0:c r="A826" s="4" t="n">
        <ns0:v>822</ns0:v>
      </ns0:c>
      <ns0:c r="B826" s="12">
        <ns0:f>A826*('前提と出典'!$C$36+'前提と出典'!$C$38)</ns0:f>
        <ns0:v>575.4</ns0:v>
      </ns0:c>
      <ns0:c r="C826" s="12">
        <ns0:f>A826*('前提と出典'!$C$37+'前提と出典'!$C$38)</ns0:f>
        <ns0:v>493.2</ns0:v>
      </ns0:c>
      <ns0:c r="D826" s="16">
        <ns0:f>A826*('前提と出典'!$C$36*'契約別単価'!C5+'前提と出典'!$C$37*'契約別単価'!C6+'前提と出典'!$C$38*'契約別単価'!C7)</ns0:f>
        <ns0:v>5914.72625698324</ns0:v>
      </ns0:c>
      <ns0:c r="E826" s="16">
        <ns0:f>A826*('前提と出典'!$C$36*'契約別単価'!E5+'前提と出典'!$C$37*'契約別単価'!E6+'前提と出典'!$C$38*'契約別単価'!E7)</ns0:f>
        <ns0:v>1590524.5078340047</ns0:v>
      </ns0:c>
      <ns0:c r="F826" s="16">
        <ns0:f>A826*('前提と出典'!$C$36*'契約別単価'!F5+'前提と出典'!$C$37*'契約別単価'!F6+'前提と出典'!$C$38*'契約別単価'!F7)</ns0:f>
        <ns0:v>624223.0843166925</ns0:v>
      </ns0:c>
      <ns0:c r="G826" s="16">
        <ns0:f>A826*('前提と出典'!$C$36*'契約別単価'!G5+'前提と出典'!$C$37*'契約別単価'!G6+'前提と出典'!$C$38*'契約別単価'!G7)</ns0:f>
        <ns0:v>1636193.2960893854</ns0:v>
      </ns0:c>
      <ns0:c r="H826" s="16">
        <ns0:f>A826*('前提と出典'!$C$36*'契約別単価'!H5+'前提と出典'!$C$37*'契約別単価'!H6+'前提と出典'!$C$38*'契約別単価'!H7)</ns0:f>
        <ns0:v>567841.1352853653</ns0:v>
      </ns0:c>
      <ns0:c r="I826" s="16">
        <ns0:f>A826*('前提と出典'!$C$36*'契約別単価'!I5+'前提と出典'!$C$37*'契約別単価'!I6+'前提と出典'!$C$38*'契約別単価'!I7)</ns0:f>
        <ns0:v>34684.72625698323</ns0:v>
      </ns0:c>
      <ns0:c r="J826" s="16">
        <ns0:f>A826*('前提と出典'!$C$36*'契約別単価'!J5+'前提と出典'!$C$37*'契約別単価'!J6+'前提と出典'!$C$38*'契約別単価'!J7)</ns0:f>
        <ns0:v>80794.00492986871</ns0:v>
      </ns0:c>
      <ns0:c r="K826" s="16">
        <ns0:f>A826*('前提と出典'!$C$36*'契約別単価'!K5+'前提と出典'!$C$37*'契約別単価'!K6+'前提と出典'!$C$38*'契約別単価'!K7)</ns0:f>
        <ns0:v>346311.50837988826</ns0:v>
      </ns0:c>
      <ns0:c r="L826" s="16">
        <ns0:f>A826*('前提と出典'!$C$36*'契約別単価'!L5+'前提と出典'!$C$37*'契約別単価'!L6+'前提と出典'!$C$38*'契約別単価'!L7)</ns0:f>
        <ns0:v>281968.0378428455</ns0:v>
      </ns0:c>
      <ns0:c r="M826" s="16">
        <ns0:f>IF(('前提と出典'!$C$36+'前提と出典'!$C$38)=0,0,IF(B826&lt;=10,'前提と出典'!B73+'前提と出典'!C73,IF(B826&lt;=100,'前提と出典'!B74+'前提と出典'!C74,IF(B826&lt;=500,'前提と出典'!B75+'前提と出典'!C75,'前提と出典'!B76+'前提と出典'!C76))))</ns0:f>
        <ns0:v>80000</ns0:v>
      </ns0:c>
      <ns0:c r="N826" s="16">
        <ns0:f>IF(('前提と出典'!$C$37+'前提と出典'!$C$38)=0,0,IF(C826&lt;=10,'前提と出典'!D73+'前提と出典'!E73,IF(C826&lt;=100,'前提と出典'!D74+'前提と出典'!E74,IF(C826&lt;=500,'前提と出典'!D75+'前提と出典'!E75,'前提と出典'!D76+'前提と出典'!E76))))</ns0:f>
        <ns0:v>56510.9346263078</ns0:v>
      </ns0:c>
      <ns0:c r="O826" s="16">
        <ns0:f>IF('前提と出典'!$C$36+'前提と出典'!$C$38=0,0,'前提と出典'!$B$4*IF('前提と出典'!$B$20=0,MAX('前提と出典'!$B$6,D826*'前提と出典'!$B$5),'前提と出典'!$B$6+D826*'前提と出典'!$B$5))</ns0:f>
        <ns0:v>816232.2234636871</ns0:v>
      </ns0:c>
      <ns0:c r="P826" s="16">
        <ns0:f>(E826+G826)*(1-'前提と出典'!$B$7)-I826-K826-M826-O826</ns0:f>
        <ns0:v>1833327.5048815892</ns0:v>
      </ns0:c>
      <ns0:c r="Q826" s="16">
        <ns0:f>(F826+H826)*(1-'前提と出典'!$B$7)-J826-L826-N826</ns0:f>
        <ns0:v>729876.9302973617</ns0:v>
      </ns0:c>
      <ns0:c r="R826" s="16">
        <ns0:f>P826-E826*'前提と出典'!$E$4</ns0:f>
        <ns0:v>1356170.1525313878</ns0:v>
      </ns0:c>
      <ns0:c r="S826" s="16">
        <ns0:f>Q826-F826*'前提と出典'!$E$4</ns0:f>
        <ns0:v>542610.0050023538</ns0:v>
      </ns0:c>
      <ns0:c r="T826" s="7">
        <ns0:f>R826+S826</ns0:f>
        <ns0:v>1898780.1575337416</ns0:v>
      </ns0:c>
      <ns0:c r="U826" s="16">
        <ns0:f>P826-E826*'前提と出典'!$E$5</ns0:f>
        <ns0:v>1197117.7017479874</ns0:v>
      </ns0:c>
      <ns0:c r="V826" s="16">
        <ns0:f>Q826-F826*'前提と出典'!$E$5</ns0:f>
        <ns0:v>480187.69657068467</ns0:v>
      </ns0:c>
      <ns0:c r="W826" s="7">
        <ns0:f>U826+V826</ns0:f>
        <ns0:v>1677305.398318672</ns0:v>
      </ns0:c>
      <ns0:c r="X826" s="16">
        <ns0:f>P826-E826*'前提と出典'!$E$6</ns0:f>
        <ns0:v>1038065.2509645871</ns0:v>
      </ns0:c>
      <ns0:c r="Y826" s="16">
        <ns0:f>Q826-F826*'前提と出典'!$E$6</ns0:f>
        <ns0:v>417765.38813901535</ns0:v>
      </ns0:c>
      <ns0:c r="Z826" s="7">
        <ns0:f>X826+Y826</ns0:f>
        <ns0:v>1455830.6391036024</ns0:v>
      </ns0:c>
      <ns0:c r="AA826" s="7">
        <ns0:f>IF(T826&gt;=0,A826,1001)</ns0:f>
        <ns0:v>822</ns0:v>
      </ns0:c>
      <ns0:c r="AB826" s="7">
        <ns0:f>IF(T826&lt;0,A826,0)</ns0:f>
        <ns0:v>0</ns0:v>
      </ns0:c>
      <ns0:c r="AC826" s="16">
        <ns0:f>IF(AND(OR('前提と出典'!$C$36+'前提と出典'!$C$38=0,R826&gt;=0),OR('前提と出典'!$C$37+'前提と出典'!$C$38=0,S826&gt;=0)),0,A826)</ns0:f>
        <ns0:v>0</ns0:v>
      </ns0:c>
      <ns0:c r="AD826" s="7">
        <ns0:f>IF(W826&gt;=0,A826,1001)</ns0:f>
        <ns0:v>822</ns0:v>
      </ns0:c>
      <ns0:c r="AE826" s="7">
        <ns0:f>IF(W826&lt;0,A826,0)</ns0:f>
        <ns0:v>0</ns0:v>
      </ns0:c>
      <ns0:c r="AF826" s="16">
        <ns0:f>IF(AND(OR('前提と出典'!$C$36+'前提と出典'!$C$38=0,U826&gt;=0),OR('前提と出典'!$C$37+'前提と出典'!$C$38=0,V826&gt;=0)),0,A826)</ns0:f>
        <ns0:v>0</ns0:v>
      </ns0:c>
      <ns0:c r="AG826" s="7">
        <ns0:f>IF(Z826&gt;=0,A826,1001)</ns0:f>
        <ns0:v>822</ns0:v>
      </ns0:c>
      <ns0:c r="AH826" s="4">
        <ns0:f>IF(Z826&lt;0,A826,0)</ns0:f>
        <ns0:v>0</ns0:v>
      </ns0:c>
      <ns0:c r="AI826" s="12">
        <ns0:f>IF(AND(OR('前提と出典'!$C$36+'前提と出典'!$C$38=0,X826&gt;=0),OR('前提と出典'!$C$37+'前提と出典'!$C$38=0,Y826&gt;=0)),0,A826)</ns0:f>
        <ns0:v>0</ns0:v>
      </ns0:c>
    </ns0:row>
    <ns0:row r="827" ht="24" customHeight="1">
      <ns0:c r="A827" s="4" t="n">
        <ns0:v>823</ns0:v>
      </ns0:c>
      <ns0:c r="B827" s="12">
        <ns0:f>A827*('前提と出典'!$C$36+'前提と出典'!$C$38)</ns0:f>
        <ns0:v>576.0999999999999</ns0:v>
      </ns0:c>
      <ns0:c r="C827" s="12">
        <ns0:f>A827*('前提と出典'!$C$37+'前提と出典'!$C$38)</ns0:f>
        <ns0:v>493.79999999999995</ns0:v>
      </ns0:c>
      <ns0:c r="D827" s="16">
        <ns0:f>A827*('前提と出典'!$C$36*'契約別単価'!C5+'前提と出典'!$C$37*'契約別単価'!C6+'前提と出典'!$C$38*'契約別単価'!C7)</ns0:f>
        <ns0:v>5921.921787709497</ns0:v>
      </ns0:c>
      <ns0:c r="E827" s="16">
        <ns0:f>A827*('前提と出典'!$C$36*'契約別単価'!E5+'前提と出典'!$C$37*'契約別単価'!E6+'前提と出典'!$C$38*'契約別単価'!E7)</ns0:f>
        <ns0:v>1592459.4524907372</ns0:v>
      </ns0:c>
      <ns0:c r="F827" s="16">
        <ns0:f>A827*('前提と出典'!$C$36*'契約別単価'!F5+'前提と出典'!$C$37*'契約別単価'!F6+'前提と出典'!$C$38*'契約別単価'!F7)</ns0:f>
        <ns0:v>624982.4797963966</ns0:v>
      </ns0:c>
      <ns0:c r="G827" s="16">
        <ns0:f>A827*('前提と出典'!$C$36*'契約別単価'!G5+'前提と出典'!$C$37*'契約別単価'!G6+'前提と出典'!$C$38*'契約別単価'!G7)</ns0:f>
        <ns0:v>1638183.7988826814</ns0:v>
      </ns0:c>
      <ns0:c r="H827" s="16">
        <ns0:f>A827*('前提と出典'!$C$36*'契約別単価'!H5+'前提と出典'!$C$37*'契約別単価'!H6+'前提と出典'!$C$38*'契約別単価'!H7)</ns0:f>
        <ns0:v>568531.939586199</ns0:v>
      </ns0:c>
      <ns0:c r="I827" s="16">
        <ns0:f>A827*('前提と出典'!$C$36*'契約別単価'!I5+'前提と出典'!$C$37*'契約別単価'!I6+'前提と出典'!$C$38*'契約別単価'!I7)</ns0:f>
        <ns0:v>34726.92178770949</ns0:v>
      </ns0:c>
      <ns0:c r="J827" s="16">
        <ns0:f>A827*('前提と出典'!$C$36*'契約別単価'!J5+'前提と出典'!$C$37*'契約別単価'!J6+'前提と出典'!$C$38*'契約別単価'!J7)</ns0:f>
        <ns0:v>80892.29447357901</ns0:v>
      </ns0:c>
      <ns0:c r="K827" s="16">
        <ns0:f>A827*('前提と出典'!$C$36*'契約別単価'!K5+'前提と出典'!$C$37*'契約別単価'!K6+'前提と出典'!$C$38*'契約別単価'!K7)</ns0:f>
        <ns0:v>346732.81191806326</ns0:v>
      </ns0:c>
      <ns0:c r="L827" s="16">
        <ns0:f>A827*('前提と出典'!$C$36*'契約別単価'!L5+'前提と出典'!$C$37*'契約別単価'!L6+'前提と出典'!$C$38*'契約別単価'!L7)</ns0:f>
        <ns0:v>282311.0646528733</ns0:v>
      </ns0:c>
      <ns0:c r="M827" s="16">
        <ns0:f>IF(('前提と出典'!$C$36+'前提と出典'!$C$38)=0,0,IF(B827&lt;=10,'前提と出典'!B73+'前提と出典'!C73,IF(B827&lt;=100,'前提と出典'!B74+'前提と出典'!C74,IF(B827&lt;=500,'前提と出典'!B75+'前提と出典'!C75,'前提と出典'!B76+'前提と出典'!C76))))</ns0:f>
        <ns0:v>80000</ns0:v>
      </ns0:c>
      <ns0:c r="N827" s="16">
        <ns0:f>IF(('前提と出典'!$C$37+'前提と出典'!$C$38)=0,0,IF(C827&lt;=10,'前提と出典'!D73+'前提と出典'!E73,IF(C827&lt;=100,'前提と出典'!D74+'前提と出典'!E74,IF(C827&lt;=500,'前提と出典'!D75+'前提と出典'!E75,'前提と出典'!D76+'前提と出典'!E76))))</ns0:f>
        <ns0:v>56510.9346263078</ns0:v>
      </ns0:c>
      <ns0:c r="O827" s="16">
        <ns0:f>IF('前提と出典'!$C$36+'前提と出典'!$C$38=0,0,'前提と出典'!$B$4*IF('前提と出典'!$B$20=0,MAX('前提と出典'!$B$6,D827*'前提と出典'!$B$5),'前提と出典'!$B$6+D827*'前提と出典'!$B$5))</ns0:f>
        <ns0:v>817225.2067039106</ns0:v>
      </ns0:c>
      <ns0:c r="P827" s="16">
        <ns0:f>(E827+G827)*(1-'前提と出典'!$B$7)-I827-K827-M827-O827</ns0:f>
        <ns0:v>1835655.1539142923</ns0:v>
      </ns0:c>
      <ns0:c r="Q827" s="16">
        <ns0:f>(F827+H827)*(1-'前提と出典'!$B$7)-J827-L827-N827</ns0:f>
        <ns0:v>730833.6065320618</ns0:v>
      </ns0:c>
      <ns0:c r="R827" s="16">
        <ns0:f>P827-E827*'前提と出典'!$E$4</ns0:f>
        <ns0:v>1357917.3181670713</ns0:v>
      </ns0:c>
      <ns0:c r="S827" s="16">
        <ns0:f>Q827-F827*'前提と出典'!$E$4</ns0:f>
        <ns0:v>543338.8625931429</ns0:v>
      </ns0:c>
      <ns0:c r="T827" s="7">
        <ns0:f>R827+S827</ns0:f>
        <ns0:v>1901256.180760214</ns0:v>
      </ns0:c>
      <ns0:c r="U827" s="16">
        <ns0:f>P827-E827*'前提と出典'!$E$5</ns0:f>
        <ns0:v>1198671.3729179974</ns0:v>
      </ns0:c>
      <ns0:c r="V827" s="16">
        <ns0:f>Q827-F827*'前提と出典'!$E$5</ns0:f>
        <ns0:v>480840.6146135032</ns0:v>
      </ns0:c>
      <ns0:c r="W827" s="7">
        <ns0:f>U827+V827</ns0:f>
        <ns0:v>1679511.9875315006</ns0:v>
      </ns0:c>
      <ns0:c r="X827" s="16">
        <ns0:f>P827-E827*'前提と出典'!$E$6</ns0:f>
        <ns0:v>1039425.4276689233</ns0:v>
      </ns0:c>
      <ns0:c r="Y827" s="16">
        <ns0:f>Q827-F827*'前提と出典'!$E$6</ns0:f>
        <ns0:v>418342.36663386354</ns0:v>
      </ns0:c>
      <ns0:c r="Z827" s="7">
        <ns0:f>X827+Y827</ns0:f>
        <ns0:v>1457767.7943027867</ns0:v>
      </ns0:c>
      <ns0:c r="AA827" s="7">
        <ns0:f>IF(T827&gt;=0,A827,1001)</ns0:f>
        <ns0:v>823</ns0:v>
      </ns0:c>
      <ns0:c r="AB827" s="7">
        <ns0:f>IF(T827&lt;0,A827,0)</ns0:f>
        <ns0:v>0</ns0:v>
      </ns0:c>
      <ns0:c r="AC827" s="16">
        <ns0:f>IF(AND(OR('前提と出典'!$C$36+'前提と出典'!$C$38=0,R827&gt;=0),OR('前提と出典'!$C$37+'前提と出典'!$C$38=0,S827&gt;=0)),0,A827)</ns0:f>
        <ns0:v>0</ns0:v>
      </ns0:c>
      <ns0:c r="AD827" s="7">
        <ns0:f>IF(W827&gt;=0,A827,1001)</ns0:f>
        <ns0:v>823</ns0:v>
      </ns0:c>
      <ns0:c r="AE827" s="7">
        <ns0:f>IF(W827&lt;0,A827,0)</ns0:f>
        <ns0:v>0</ns0:v>
      </ns0:c>
      <ns0:c r="AF827" s="16">
        <ns0:f>IF(AND(OR('前提と出典'!$C$36+'前提と出典'!$C$38=0,U827&gt;=0),OR('前提と出典'!$C$37+'前提と出典'!$C$38=0,V827&gt;=0)),0,A827)</ns0:f>
        <ns0:v>0</ns0:v>
      </ns0:c>
      <ns0:c r="AG827" s="7">
        <ns0:f>IF(Z827&gt;=0,A827,1001)</ns0:f>
        <ns0:v>823</ns0:v>
      </ns0:c>
      <ns0:c r="AH827" s="4">
        <ns0:f>IF(Z827&lt;0,A827,0)</ns0:f>
        <ns0:v>0</ns0:v>
      </ns0:c>
      <ns0:c r="AI827" s="12">
        <ns0:f>IF(AND(OR('前提と出典'!$C$36+'前提と出典'!$C$38=0,X827&gt;=0),OR('前提と出典'!$C$37+'前提と出典'!$C$38=0,Y827&gt;=0)),0,A827)</ns0:f>
        <ns0:v>0</ns0:v>
      </ns0:c>
    </ns0:row>
    <ns0:row r="828" ht="24" customHeight="1">
      <ns0:c r="A828" s="4" t="n">
        <ns0:v>824</ns0:v>
      </ns0:c>
      <ns0:c r="B828" s="12">
        <ns0:f>A828*('前提と出典'!$C$36+'前提と出典'!$C$38)</ns0:f>
        <ns0:v>576.8</ns0:v>
      </ns0:c>
      <ns0:c r="C828" s="12">
        <ns0:f>A828*('前提と出典'!$C$37+'前提と出典'!$C$38)</ns0:f>
        <ns0:v>494.4</ns0:v>
      </ns0:c>
      <ns0:c r="D828" s="16">
        <ns0:f>A828*('前提と出典'!$C$36*'契約別単価'!C5+'前提と出典'!$C$37*'契約別単価'!C6+'前提と出典'!$C$38*'契約別単価'!C7)</ns0:f>
        <ns0:v>5929.117318435754</ns0:v>
      </ns0:c>
      <ns0:c r="E828" s="16">
        <ns0:f>A828*('前提と出典'!$C$36*'契約別単価'!E5+'前提と出典'!$C$37*'契約別単価'!E6+'前提と出典'!$C$38*'契約別単価'!E7)</ns0:f>
        <ns0:v>1594394.3971474695</ns0:v>
      </ns0:c>
      <ns0:c r="F828" s="16">
        <ns0:f>A828*('前提と出典'!$C$36*'契約別単価'!F5+'前提と出典'!$C$37*'契約別単価'!F6+'前提と出典'!$C$38*'契約別単価'!F7)</ns0:f>
        <ns0:v>625741.8752761006</ns0:v>
      </ns0:c>
      <ns0:c r="G828" s="16">
        <ns0:f>A828*('前提と出典'!$C$36*'契約別単価'!G5+'前提と出典'!$C$37*'契約別単価'!G6+'前提と出典'!$C$38*'契約別単価'!G7)</ns0:f>
        <ns0:v>1640174.3016759777</ns0:v>
      </ns0:c>
      <ns0:c r="H828" s="16">
        <ns0:f>A828*('前提と出典'!$C$36*'契約別単価'!H5+'前提と出典'!$C$37*'契約別単価'!H6+'前提と出典'!$C$38*'契約別単価'!H7)</ns0:f>
        <ns0:v>569222.7438870328</ns0:v>
      </ns0:c>
      <ns0:c r="I828" s="16">
        <ns0:f>A828*('前提と出典'!$C$36*'契約別単価'!I5+'前提と出典'!$C$37*'契約別単価'!I6+'前提と出典'!$C$38*'契約別単価'!I7)</ns0:f>
        <ns0:v>34769.11731843575</ns0:v>
      </ns0:c>
      <ns0:c r="J828" s="16">
        <ns0:f>A828*('前提と出典'!$C$36*'契約別単価'!J5+'前提と出典'!$C$37*'契約別単価'!J6+'前提と出典'!$C$38*'契約別単価'!J7)</ns0:f>
        <ns0:v>80990.58401728932</ns0:v>
      </ns0:c>
      <ns0:c r="K828" s="16">
        <ns0:f>A828*('前提と出典'!$C$36*'契約別単価'!K5+'前提と出典'!$C$37*'契約別単価'!K6+'前提と出典'!$C$38*'契約別単価'!K7)</ns0:f>
        <ns0:v>347154.11545623833</ns0:v>
      </ns0:c>
      <ns0:c r="L828" s="16">
        <ns0:f>A828*('前提と出典'!$C$36*'契約別単価'!L5+'前提と出典'!$C$37*'契約別単価'!L6+'前提と出典'!$C$38*'契約別単価'!L7)</ns0:f>
        <ns0:v>282654.0914629011</ns0:v>
      </ns0:c>
      <ns0:c r="M828" s="16">
        <ns0:f>IF(('前提と出典'!$C$36+'前提と出典'!$C$38)=0,0,IF(B828&lt;=10,'前提と出典'!B73+'前提と出典'!C73,IF(B828&lt;=100,'前提と出典'!B74+'前提と出典'!C74,IF(B828&lt;=500,'前提と出典'!B75+'前提と出典'!C75,'前提と出典'!B76+'前提と出典'!C76))))</ns0:f>
        <ns0:v>80000</ns0:v>
      </ns0:c>
      <ns0:c r="N828" s="16">
        <ns0:f>IF(('前提と出典'!$C$37+'前提と出典'!$C$38)=0,0,IF(C828&lt;=10,'前提と出典'!D73+'前提と出典'!E73,IF(C828&lt;=100,'前提と出典'!D74+'前提と出典'!E74,IF(C828&lt;=500,'前提と出典'!D75+'前提と出典'!E75,'前提と出典'!D76+'前提と出典'!E76))))</ns0:f>
        <ns0:v>56510.9346263078</ns0:v>
      </ns0:c>
      <ns0:c r="O828" s="16">
        <ns0:f>IF('前提と出典'!$C$36+'前提と出典'!$C$38=0,0,'前提と出典'!$B$4*IF('前提と出典'!$B$20=0,MAX('前提と出典'!$B$6,D828*'前提と出典'!$B$5),'前提と出典'!$B$6+D828*'前提と出典'!$B$5))</ns0:f>
        <ns0:v>818218.1899441341</ns0:v>
      </ns0:c>
      <ns0:c r="P828" s="16">
        <ns0:f>(E828+G828)*(1-'前提と出典'!$B$7)-I828-K828-M828-O828</ns0:f>
        <ns0:v>1837982.8029469948</ns0:v>
      </ns0:c>
      <ns0:c r="Q828" s="16">
        <ns0:f>(F828+H828)*(1-'前提と出典'!$B$7)-J828-L828-N828</ns0:f>
        <ns0:v>731790.2827667624</ns0:v>
      </ns0:c>
      <ns0:c r="R828" s="16">
        <ns0:f>P828-E828*'前提と出典'!$E$4</ns0:f>
        <ns0:v>1359664.4838027544</ns0:v>
      </ns0:c>
      <ns0:c r="S828" s="16">
        <ns0:f>Q828-F828*'前提と出典'!$E$4</ns0:f>
        <ns0:v>544067.7201839322</ns0:v>
      </ns0:c>
      <ns0:c r="T828" s="7">
        <ns0:f>R828+S828</ns0:f>
        <ns0:v>1903732.2039866867</ns0:v>
      </ns0:c>
      <ns0:c r="U828" s="16">
        <ns0:f>P828-E828*'前提と出典'!$E$5</ns0:f>
        <ns0:v>1200225.044088007</ns0:v>
      </ns0:c>
      <ns0:c r="V828" s="16">
        <ns0:f>Q828-F828*'前提と出典'!$E$5</ns0:f>
        <ns0:v>481493.53265632223</ns0:v>
      </ns0:c>
      <ns0:c r="W828" s="7">
        <ns0:f>U828+V828</ns0:f>
        <ns0:v>1681718.5767443292</ns0:v>
      </ns0:c>
      <ns0:c r="X828" s="16">
        <ns0:f>P828-E828*'前提と出典'!$E$6</ns0:f>
        <ns0:v>1040785.6043732604</ns0:v>
      </ns0:c>
      <ns0:c r="Y828" s="16">
        <ns0:f>Q828-F828*'前提と出典'!$E$6</ns0:f>
        <ns0:v>418919.3451287121</ns0:v>
      </ns0:c>
      <ns0:c r="Z828" s="7">
        <ns0:f>X828+Y828</ns0:f>
        <ns0:v>1459704.9495019726</ns0:v>
      </ns0:c>
      <ns0:c r="AA828" s="7">
        <ns0:f>IF(T828&gt;=0,A828,1001)</ns0:f>
        <ns0:v>824</ns0:v>
      </ns0:c>
      <ns0:c r="AB828" s="7">
        <ns0:f>IF(T828&lt;0,A828,0)</ns0:f>
        <ns0:v>0</ns0:v>
      </ns0:c>
      <ns0:c r="AC828" s="16">
        <ns0:f>IF(AND(OR('前提と出典'!$C$36+'前提と出典'!$C$38=0,R828&gt;=0),OR('前提と出典'!$C$37+'前提と出典'!$C$38=0,S828&gt;=0)),0,A828)</ns0:f>
        <ns0:v>0</ns0:v>
      </ns0:c>
      <ns0:c r="AD828" s="7">
        <ns0:f>IF(W828&gt;=0,A828,1001)</ns0:f>
        <ns0:v>824</ns0:v>
      </ns0:c>
      <ns0:c r="AE828" s="7">
        <ns0:f>IF(W828&lt;0,A828,0)</ns0:f>
        <ns0:v>0</ns0:v>
      </ns0:c>
      <ns0:c r="AF828" s="16">
        <ns0:f>IF(AND(OR('前提と出典'!$C$36+'前提と出典'!$C$38=0,U828&gt;=0),OR('前提と出典'!$C$37+'前提と出典'!$C$38=0,V828&gt;=0)),0,A828)</ns0:f>
        <ns0:v>0</ns0:v>
      </ns0:c>
      <ns0:c r="AG828" s="7">
        <ns0:f>IF(Z828&gt;=0,A828,1001)</ns0:f>
        <ns0:v>824</ns0:v>
      </ns0:c>
      <ns0:c r="AH828" s="4">
        <ns0:f>IF(Z828&lt;0,A828,0)</ns0:f>
        <ns0:v>0</ns0:v>
      </ns0:c>
      <ns0:c r="AI828" s="12">
        <ns0:f>IF(AND(OR('前提と出典'!$C$36+'前提と出典'!$C$38=0,X828&gt;=0),OR('前提と出典'!$C$37+'前提と出典'!$C$38=0,Y828&gt;=0)),0,A828)</ns0:f>
        <ns0:v>0</ns0:v>
      </ns0:c>
    </ns0:row>
    <ns0:row r="829" ht="24" customHeight="1">
      <ns0:c r="A829" s="4" t="n">
        <ns0:v>825</ns0:v>
      </ns0:c>
      <ns0:c r="B829" s="12">
        <ns0:f>A829*('前提と出典'!$C$36+'前提と出典'!$C$38)</ns0:f>
        <ns0:v>577.5</ns0:v>
      </ns0:c>
      <ns0:c r="C829" s="12">
        <ns0:f>A829*('前提と出典'!$C$37+'前提と出典'!$C$38)</ns0:f>
        <ns0:v>495</ns0:v>
      </ns0:c>
      <ns0:c r="D829" s="16">
        <ns0:f>A829*('前提と出典'!$C$36*'契約別単価'!C5+'前提と出典'!$C$37*'契約別単価'!C6+'前提と出典'!$C$38*'契約別単価'!C7)</ns0:f>
        <ns0:v>5936.312849162011</ns0:v>
      </ns0:c>
      <ns0:c r="E829" s="16">
        <ns0:f>A829*('前提と出典'!$C$36*'契約別単価'!E5+'前提と出典'!$C$37*'契約別単価'!E6+'前提と出典'!$C$38*'契約別単価'!E7)</ns0:f>
        <ns0:v>1596329.341804202</ns0:v>
      </ns0:c>
      <ns0:c r="F829" s="16">
        <ns0:f>A829*('前提と出典'!$C$36*'契約別単価'!F5+'前提と出典'!$C$37*'契約別単価'!F6+'前提と出典'!$C$38*'契約別単価'!F7)</ns0:f>
        <ns0:v>626501.2707558046</ns0:v>
      </ns0:c>
      <ns0:c r="G829" s="16">
        <ns0:f>A829*('前提と出典'!$C$36*'契約別単価'!G5+'前提と出典'!$C$37*'契約別単価'!G6+'前提と出典'!$C$38*'契約別単価'!G7)</ns0:f>
        <ns0:v>1642164.8044692737</ns0:v>
      </ns0:c>
      <ns0:c r="H829" s="16">
        <ns0:f>A829*('前提と出典'!$C$36*'契約別単価'!H5+'前提と出典'!$C$37*'契約別単価'!H6+'前提と出典'!$C$38*'契約別単価'!H7)</ns0:f>
        <ns0:v>569913.5481878666</ns0:v>
      </ns0:c>
      <ns0:c r="I829" s="16">
        <ns0:f>A829*('前提と出典'!$C$36*'契約別単価'!I5+'前提と出典'!$C$37*'契約別単価'!I6+'前提と出典'!$C$38*'契約別単価'!I7)</ns0:f>
        <ns0:v>34811.31284916201</ns0:v>
      </ns0:c>
      <ns0:c r="J829" s="16">
        <ns0:f>A829*('前提と出典'!$C$36*'契約別単価'!J5+'前提と出典'!$C$37*'契約別単価'!J6+'前提と出典'!$C$38*'契約別単価'!J7)</ns0:f>
        <ns0:v>81088.87356099962</ns0:v>
      </ns0:c>
      <ns0:c r="K829" s="16">
        <ns0:f>A829*('前提と出典'!$C$36*'契約別単価'!K5+'前提と出典'!$C$37*'契約別単価'!K6+'前提と出典'!$C$38*'契約別単価'!K7)</ns0:f>
        <ns0:v>347575.4189944134</ns0:v>
      </ns0:c>
      <ns0:c r="L829" s="16">
        <ns0:f>A829*('前提と出典'!$C$36*'契約別単価'!L5+'前提と出典'!$C$37*'契約別単価'!L6+'前提と出典'!$C$38*'契約別単価'!L7)</ns0:f>
        <ns0:v>282997.11827292887</ns0:v>
      </ns0:c>
      <ns0:c r="M829" s="16">
        <ns0:f>IF(('前提と出典'!$C$36+'前提と出典'!$C$38)=0,0,IF(B829&lt;=10,'前提と出典'!B73+'前提と出典'!C73,IF(B829&lt;=100,'前提と出典'!B74+'前提と出典'!C74,IF(B829&lt;=500,'前提と出典'!B75+'前提と出典'!C75,'前提と出典'!B76+'前提と出典'!C76))))</ns0:f>
        <ns0:v>80000</ns0:v>
      </ns0:c>
      <ns0:c r="N829" s="16">
        <ns0:f>IF(('前提と出典'!$C$37+'前提と出典'!$C$38)=0,0,IF(C829&lt;=10,'前提と出典'!D73+'前提と出典'!E73,IF(C829&lt;=100,'前提と出典'!D74+'前提と出典'!E74,IF(C829&lt;=500,'前提と出典'!D75+'前提と出典'!E75,'前提と出典'!D76+'前提と出典'!E76))))</ns0:f>
        <ns0:v>56510.9346263078</ns0:v>
      </ns0:c>
      <ns0:c r="O829" s="16">
        <ns0:f>IF('前提と出典'!$C$36+'前提と出典'!$C$38=0,0,'前提と出典'!$B$4*IF('前提と出典'!$B$20=0,MAX('前提と出典'!$B$6,D829*'前提と出典'!$B$5),'前提と出典'!$B$6+D829*'前提と出典'!$B$5))</ns0:f>
        <ns0:v>819211.1731843576</ns0:v>
      </ns0:c>
      <ns0:c r="P829" s="16">
        <ns0:f>(E829+G829)*(1-'前提と出典'!$B$7)-I829-K829-M829-O829</ns0:f>
        <ns0:v>1840310.4519796977</ns0:v>
      </ns0:c>
      <ns0:c r="Q829" s="16">
        <ns0:f>(F829+H829)*(1-'前提と出典'!$B$7)-J829-L829-N829</ns0:f>
        <ns0:v>732746.9590014627</ns0:v>
      </ns0:c>
      <ns0:c r="R829" s="16">
        <ns0:f>P829-E829*'前提と出典'!$E$4</ns0:f>
        <ns0:v>1361411.649438437</ns0:v>
      </ns0:c>
      <ns0:c r="S829" s="16">
        <ns0:f>Q829-F829*'前提と出典'!$E$4</ns0:f>
        <ns0:v>544796.5777747213</ns0:v>
      </ns0:c>
      <ns0:c r="T829" s="7">
        <ns0:f>R829+S829</ns0:f>
        <ns0:v>1906208.2272131583</ns0:v>
      </ns0:c>
      <ns0:c r="U829" s="16">
        <ns0:f>P829-E829*'前提と出典'!$E$5</ns0:f>
        <ns0:v>1201778.7152580167</ns0:v>
      </ns0:c>
      <ns0:c r="V829" s="16">
        <ns0:f>Q829-F829*'前提と出典'!$E$5</ns0:f>
        <ns0:v>482146.4506991408</ns0:v>
      </ns0:c>
      <ns0:c r="W829" s="7">
        <ns0:f>U829+V829</ns0:f>
        <ns0:v>1683925.1659571575</ns0:v>
      </ns0:c>
      <ns0:c r="X829" s="16">
        <ns0:f>P829-E829*'前提と出典'!$E$6</ns0:f>
        <ns0:v>1042145.7810775966</ns0:v>
      </ns0:c>
      <ns0:c r="Y829" s="16">
        <ns0:f>Q829-F829*'前提と出典'!$E$6</ns0:f>
        <ns0:v>419496.32362356037</ns0:v>
      </ns0:c>
      <ns0:c r="Z829" s="7">
        <ns0:f>X829+Y829</ns0:f>
        <ns0:v>1461642.104701157</ns0:v>
      </ns0:c>
      <ns0:c r="AA829" s="7">
        <ns0:f>IF(T829&gt;=0,A829,1001)</ns0:f>
        <ns0:v>825</ns0:v>
      </ns0:c>
      <ns0:c r="AB829" s="7">
        <ns0:f>IF(T829&lt;0,A829,0)</ns0:f>
        <ns0:v>0</ns0:v>
      </ns0:c>
      <ns0:c r="AC829" s="16">
        <ns0:f>IF(AND(OR('前提と出典'!$C$36+'前提と出典'!$C$38=0,R829&gt;=0),OR('前提と出典'!$C$37+'前提と出典'!$C$38=0,S829&gt;=0)),0,A829)</ns0:f>
        <ns0:v>0</ns0:v>
      </ns0:c>
      <ns0:c r="AD829" s="7">
        <ns0:f>IF(W829&gt;=0,A829,1001)</ns0:f>
        <ns0:v>825</ns0:v>
      </ns0:c>
      <ns0:c r="AE829" s="7">
        <ns0:f>IF(W829&lt;0,A829,0)</ns0:f>
        <ns0:v>0</ns0:v>
      </ns0:c>
      <ns0:c r="AF829" s="16">
        <ns0:f>IF(AND(OR('前提と出典'!$C$36+'前提と出典'!$C$38=0,U829&gt;=0),OR('前提と出典'!$C$37+'前提と出典'!$C$38=0,V829&gt;=0)),0,A829)</ns0:f>
        <ns0:v>0</ns0:v>
      </ns0:c>
      <ns0:c r="AG829" s="7">
        <ns0:f>IF(Z829&gt;=0,A829,1001)</ns0:f>
        <ns0:v>825</ns0:v>
      </ns0:c>
      <ns0:c r="AH829" s="4">
        <ns0:f>IF(Z829&lt;0,A829,0)</ns0:f>
        <ns0:v>0</ns0:v>
      </ns0:c>
      <ns0:c r="AI829" s="12">
        <ns0:f>IF(AND(OR('前提と出典'!$C$36+'前提と出典'!$C$38=0,X829&gt;=0),OR('前提と出典'!$C$37+'前提と出典'!$C$38=0,Y829&gt;=0)),0,A829)</ns0:f>
        <ns0:v>0</ns0:v>
      </ns0:c>
    </ns0:row>
    <ns0:row r="830" ht="24" customHeight="1">
      <ns0:c r="A830" s="4" t="n">
        <ns0:v>826</ns0:v>
      </ns0:c>
      <ns0:c r="B830" s="12">
        <ns0:f>A830*('前提と出典'!$C$36+'前提と出典'!$C$38)</ns0:f>
        <ns0:v>578.1999999999999</ns0:v>
      </ns0:c>
      <ns0:c r="C830" s="12">
        <ns0:f>A830*('前提と出典'!$C$37+'前提と出典'!$C$38)</ns0:f>
        <ns0:v>495.59999999999997</ns0:v>
      </ns0:c>
      <ns0:c r="D830" s="16">
        <ns0:f>A830*('前提と出典'!$C$36*'契約別単価'!C5+'前提と出典'!$C$37*'契約別単価'!C6+'前提と出典'!$C$38*'契約別単価'!C7)</ns0:f>
        <ns0:v>5943.508379888268</ns0:v>
      </ns0:c>
      <ns0:c r="E830" s="16">
        <ns0:f>A830*('前提と出典'!$C$36*'契約別単価'!E5+'前提と出典'!$C$37*'契約別単価'!E6+'前提と出典'!$C$38*'契約別単価'!E7)</ns0:f>
        <ns0:v>1598264.2864609342</ns0:v>
      </ns0:c>
      <ns0:c r="F830" s="16">
        <ns0:f>A830*('前提と出典'!$C$36*'契約別単価'!F5+'前提と出典'!$C$37*'契約別単価'!F6+'前提と出典'!$C$38*'契約別単価'!F7)</ns0:f>
        <ns0:v>627260.6662355086</ns0:v>
      </ns0:c>
      <ns0:c r="G830" s="16">
        <ns0:f>A830*('前提と出典'!$C$36*'契約別単価'!G5+'前提と出典'!$C$37*'契約別単価'!G6+'前提と出典'!$C$38*'契約別単価'!G7)</ns0:f>
        <ns0:v>1644155.3072625697</ns0:v>
      </ns0:c>
      <ns0:c r="H830" s="16">
        <ns0:f>A830*('前提と出典'!$C$36*'契約別単価'!H5+'前提と出典'!$C$37*'契約別単価'!H6+'前提と出典'!$C$38*'契約別単価'!H7)</ns0:f>
        <ns0:v>570604.3524887004</ns0:v>
      </ns0:c>
      <ns0:c r="I830" s="16">
        <ns0:f>A830*('前提と出典'!$C$36*'契約別単価'!I5+'前提と出典'!$C$37*'契約別単価'!I6+'前提と出典'!$C$38*'契約別単価'!I7)</ns0:f>
        <ns0:v>34853.50837988826</ns0:v>
      </ns0:c>
      <ns0:c r="J830" s="16">
        <ns0:f>A830*('前提と出典'!$C$36*'契約別単価'!J5+'前提と出典'!$C$37*'契約別単価'!J6+'前提と出典'!$C$38*'契約別単価'!J7)</ns0:f>
        <ns0:v>81187.16310470992</ns0:v>
      </ns0:c>
      <ns0:c r="K830" s="16">
        <ns0:f>A830*('前提と出典'!$C$36*'契約別単価'!K5+'前提と出典'!$C$37*'契約別単価'!K6+'前提と出典'!$C$38*'契約別単価'!K7)</ns0:f>
        <ns0:v>347996.7225325884</ns0:v>
      </ns0:c>
      <ns0:c r="L830" s="16">
        <ns0:f>A830*('前提と出典'!$C$36*'契約別単価'!L5+'前提と出典'!$C$37*'契約別単価'!L6+'前提と出典'!$C$38*'契約別単価'!L7)</ns0:f>
        <ns0:v>283340.14508295665</ns0:v>
      </ns0:c>
      <ns0:c r="M830" s="16">
        <ns0:f>IF(('前提と出典'!$C$36+'前提と出典'!$C$38)=0,0,IF(B830&lt;=10,'前提と出典'!B73+'前提と出典'!C73,IF(B830&lt;=100,'前提と出典'!B74+'前提と出典'!C74,IF(B830&lt;=500,'前提と出典'!B75+'前提と出典'!C75,'前提と出典'!B76+'前提と出典'!C76))))</ns0:f>
        <ns0:v>80000</ns0:v>
      </ns0:c>
      <ns0:c r="N830" s="16">
        <ns0:f>IF(('前提と出典'!$C$37+'前提と出典'!$C$38)=0,0,IF(C830&lt;=10,'前提と出典'!D73+'前提と出典'!E73,IF(C830&lt;=100,'前提と出典'!D74+'前提と出典'!E74,IF(C830&lt;=500,'前提と出典'!D75+'前提と出典'!E75,'前提と出典'!D76+'前提と出典'!E76))))</ns0:f>
        <ns0:v>56510.9346263078</ns0:v>
      </ns0:c>
      <ns0:c r="O830" s="16">
        <ns0:f>IF('前提と出典'!$C$36+'前提と出典'!$C$38=0,0,'前提と出典'!$B$4*IF('前提と出典'!$B$20=0,MAX('前提と出典'!$B$6,D830*'前提と出典'!$B$5),'前提と出典'!$B$6+D830*'前提と出典'!$B$5))</ns0:f>
        <ns0:v>820204.1564245811</ns0:v>
      </ns0:c>
      <ns0:c r="P830" s="16">
        <ns0:f>(E830+G830)*(1-'前提と出典'!$B$7)-I830-K830-M830-O830</ns0:f>
        <ns0:v>1842638.1010124</ns0:v>
      </ns0:c>
      <ns0:c r="Q830" s="16">
        <ns0:f>(F830+H830)*(1-'前提と出典'!$B$7)-J830-L830-N830</ns0:f>
        <ns0:v>733703.6352361633</ns0:v>
      </ns0:c>
      <ns0:c r="R830" s="16">
        <ns0:f>P830-E830*'前提と出典'!$E$4</ns0:f>
        <ns0:v>1363158.8150741197</ns0:v>
      </ns0:c>
      <ns0:c r="S830" s="16">
        <ns0:f>Q830-F830*'前提と出典'!$E$4</ns0:f>
        <ns0:v>545525.4353655108</ns0:v>
      </ns0:c>
      <ns0:c r="T830" s="7">
        <ns0:f>R830+S830</ns0:f>
        <ns0:v>1908684.2504396304</ns0:v>
      </ns0:c>
      <ns0:c r="U830" s="16">
        <ns0:f>P830-E830*'前提と出典'!$E$5</ns0:f>
        <ns0:v>1203332.386428026</ns0:v>
      </ns0:c>
      <ns0:c r="V830" s="16">
        <ns0:f>Q830-F830*'前提と出典'!$E$5</ns0:f>
        <ns0:v>482799.3687419598</ns0:v>
      </ns0:c>
      <ns0:c r="W830" s="7">
        <ns0:f>U830+V830</ns0:f>
        <ns0:v>1686131.7551699858</ns0:v>
      </ns0:c>
      <ns0:c r="X830" s="16">
        <ns0:f>P830-E830*'前提と出典'!$E$6</ns0:f>
        <ns0:v>1043505.9577819328</ns0:v>
      </ns0:c>
      <ns0:c r="Y830" s="16">
        <ns0:f>Q830-F830*'前提と出典'!$E$6</ns0:f>
        <ns0:v>420073.30211840896</ns0:v>
      </ns0:c>
      <ns0:c r="Z830" s="7">
        <ns0:f>X830+Y830</ns0:f>
        <ns0:v>1463579.2599003417</ns0:v>
      </ns0:c>
      <ns0:c r="AA830" s="7">
        <ns0:f>IF(T830&gt;=0,A830,1001)</ns0:f>
        <ns0:v>826</ns0:v>
      </ns0:c>
      <ns0:c r="AB830" s="7">
        <ns0:f>IF(T830&lt;0,A830,0)</ns0:f>
        <ns0:v>0</ns0:v>
      </ns0:c>
      <ns0:c r="AC830" s="16">
        <ns0:f>IF(AND(OR('前提と出典'!$C$36+'前提と出典'!$C$38=0,R830&gt;=0),OR('前提と出典'!$C$37+'前提と出典'!$C$38=0,S830&gt;=0)),0,A830)</ns0:f>
        <ns0:v>0</ns0:v>
      </ns0:c>
      <ns0:c r="AD830" s="7">
        <ns0:f>IF(W830&gt;=0,A830,1001)</ns0:f>
        <ns0:v>826</ns0:v>
      </ns0:c>
      <ns0:c r="AE830" s="7">
        <ns0:f>IF(W830&lt;0,A830,0)</ns0:f>
        <ns0:v>0</ns0:v>
      </ns0:c>
      <ns0:c r="AF830" s="16">
        <ns0:f>IF(AND(OR('前提と出典'!$C$36+'前提と出典'!$C$38=0,U830&gt;=0),OR('前提と出典'!$C$37+'前提と出典'!$C$38=0,V830&gt;=0)),0,A830)</ns0:f>
        <ns0:v>0</ns0:v>
      </ns0:c>
      <ns0:c r="AG830" s="7">
        <ns0:f>IF(Z830&gt;=0,A830,1001)</ns0:f>
        <ns0:v>826</ns0:v>
      </ns0:c>
      <ns0:c r="AH830" s="4">
        <ns0:f>IF(Z830&lt;0,A830,0)</ns0:f>
        <ns0:v>0</ns0:v>
      </ns0:c>
      <ns0:c r="AI830" s="12">
        <ns0:f>IF(AND(OR('前提と出典'!$C$36+'前提と出典'!$C$38=0,X830&gt;=0),OR('前提と出典'!$C$37+'前提と出典'!$C$38=0,Y830&gt;=0)),0,A830)</ns0:f>
        <ns0:v>0</ns0:v>
      </ns0:c>
    </ns0:row>
    <ns0:row r="831" ht="24" customHeight="1">
      <ns0:c r="A831" s="4" t="n">
        <ns0:v>827</ns0:v>
      </ns0:c>
      <ns0:c r="B831" s="12">
        <ns0:f>A831*('前提と出典'!$C$36+'前提と出典'!$C$38)</ns0:f>
        <ns0:v>578.9</ns0:v>
      </ns0:c>
      <ns0:c r="C831" s="12">
        <ns0:f>A831*('前提と出典'!$C$37+'前提と出典'!$C$38)</ns0:f>
        <ns0:v>496.2</ns0:v>
      </ns0:c>
      <ns0:c r="D831" s="16">
        <ns0:f>A831*('前提と出典'!$C$36*'契約別単価'!C5+'前提と出典'!$C$37*'契約別単価'!C6+'前提と出典'!$C$38*'契約別単価'!C7)</ns0:f>
        <ns0:v>5950.703910614525</ns0:v>
      </ns0:c>
      <ns0:c r="E831" s="16">
        <ns0:f>A831*('前提と出典'!$C$36*'契約別単価'!E5+'前提と出典'!$C$37*'契約別単価'!E6+'前提と出典'!$C$38*'契約別単価'!E7)</ns0:f>
        <ns0:v>1600199.2311176667</ns0:v>
      </ns0:c>
      <ns0:c r="F831" s="16">
        <ns0:f>A831*('前提と出典'!$C$36*'契約別単価'!F5+'前提と出典'!$C$37*'契約別単価'!F6+'前提と出典'!$C$38*'契約別単価'!F7)</ns0:f>
        <ns0:v>628020.0617152125</ns0:v>
      </ns0:c>
      <ns0:c r="G831" s="16">
        <ns0:f>A831*('前提と出典'!$C$36*'契約別単価'!G5+'前提と出典'!$C$37*'契約別単価'!G6+'前提と出典'!$C$38*'契約別単価'!G7)</ns0:f>
        <ns0:v>1646145.810055866</ns0:v>
      </ns0:c>
      <ns0:c r="H831" s="16">
        <ns0:f>A831*('前提と出典'!$C$36*'契約別単価'!H5+'前提と出典'!$C$37*'契約別単価'!H6+'前提と出典'!$C$38*'契約別単価'!H7)</ns0:f>
        <ns0:v>571295.1567895341</ns0:v>
      </ns0:c>
      <ns0:c r="I831" s="16">
        <ns0:f>A831*('前提と出典'!$C$36*'契約別単価'!I5+'前提と出典'!$C$37*'契約別単価'!I6+'前提と出典'!$C$38*'契約別単価'!I7)</ns0:f>
        <ns0:v>34895.70391061452</ns0:v>
      </ns0:c>
      <ns0:c r="J831" s="16">
        <ns0:f>A831*('前提と出典'!$C$36*'契約別単価'!J5+'前提と出典'!$C$37*'契約別単価'!J6+'前提と出典'!$C$38*'契約別単価'!J7)</ns0:f>
        <ns0:v>81285.45264842022</ns0:v>
      </ns0:c>
      <ns0:c r="K831" s="16">
        <ns0:f>A831*('前提と出典'!$C$36*'契約別単価'!K5+'前提と出典'!$C$37*'契約別単価'!K6+'前提と出典'!$C$38*'契約別単価'!K7)</ns0:f>
        <ns0:v>348418.0260707635</ns0:v>
      </ns0:c>
      <ns0:c r="L831" s="16">
        <ns0:f>A831*('前提と出典'!$C$36*'契約別単価'!L5+'前提と出典'!$C$37*'契約別単価'!L6+'前提と出典'!$C$38*'契約別単価'!L7)</ns0:f>
        <ns0:v>283683.1718929845</ns0:v>
      </ns0:c>
      <ns0:c r="M831" s="16">
        <ns0:f>IF(('前提と出典'!$C$36+'前提と出典'!$C$38)=0,0,IF(B831&lt;=10,'前提と出典'!B73+'前提と出典'!C73,IF(B831&lt;=100,'前提と出典'!B74+'前提と出典'!C74,IF(B831&lt;=500,'前提と出典'!B75+'前提と出典'!C75,'前提と出典'!B76+'前提と出典'!C76))))</ns0:f>
        <ns0:v>80000</ns0:v>
      </ns0:c>
      <ns0:c r="N831" s="16">
        <ns0:f>IF(('前提と出典'!$C$37+'前提と出典'!$C$38)=0,0,IF(C831&lt;=10,'前提と出典'!D73+'前提と出典'!E73,IF(C831&lt;=100,'前提と出典'!D74+'前提と出典'!E74,IF(C831&lt;=500,'前提と出典'!D75+'前提と出典'!E75,'前提と出典'!D76+'前提と出典'!E76))))</ns0:f>
        <ns0:v>56510.9346263078</ns0:v>
      </ns0:c>
      <ns0:c r="O831" s="16">
        <ns0:f>IF('前提と出典'!$C$36+'前提と出典'!$C$38=0,0,'前提と出典'!$B$4*IF('前提と出典'!$B$20=0,MAX('前提と出典'!$B$6,D831*'前提と出典'!$B$5),'前提と出典'!$B$6+D831*'前提と出典'!$B$5))</ns0:f>
        <ns0:v>821197.1396648044</ns0:v>
      </ns0:c>
      <ns0:c r="P831" s="16">
        <ns0:f>(E831+G831)*(1-'前提と出典'!$B$7)-I831-K831-M831-O831</ns0:f>
        <ns0:v>1844965.750045103</ns0:v>
      </ns0:c>
      <ns0:c r="Q831" s="16">
        <ns0:f>(F831+H831)*(1-'前提と出典'!$B$7)-J831-L831-N831</ns0:f>
        <ns0:v>734660.3114708632</ns0:v>
      </ns0:c>
      <ns0:c r="R831" s="16">
        <ns0:f>P831-E831*'前提と出典'!$E$4</ns0:f>
        <ns0:v>1364905.9807098033</ns0:v>
      </ns0:c>
      <ns0:c r="S831" s="16">
        <ns0:f>Q831-F831*'前提と出典'!$E$4</ns0:f>
        <ns0:v>546254.2929562994</ns0:v>
      </ns0:c>
      <ns0:c r="T831" s="7">
        <ns0:f>R831+S831</ns0:f>
        <ns0:v>1911160.2736661027</ns0:v>
      </ns0:c>
      <ns0:c r="U831" s="16">
        <ns0:f>P831-E831*'前提と出典'!$E$5</ns0:f>
        <ns0:v>1204886.0575980362</ns0:v>
      </ns0:c>
      <ns0:c r="V831" s="16">
        <ns0:f>Q831-F831*'前提と出典'!$E$5</ns0:f>
        <ns0:v>483452.2867847781</ns0:v>
      </ns0:c>
      <ns0:c r="W831" s="7">
        <ns0:f>U831+V831</ns0:f>
        <ns0:v>1688338.3443828144</ns0:v>
      </ns0:c>
      <ns0:c r="X831" s="16">
        <ns0:f>P831-E831*'前提と出典'!$E$6</ns0:f>
        <ns0:v>1044866.1344862698</ns0:v>
      </ns0:c>
      <ns0:c r="Y831" s="16">
        <ns0:f>Q831-F831*'前提と出典'!$E$6</ns0:f>
        <ns0:v>420650.2806132569</ns0:v>
      </ns0:c>
      <ns0:c r="Z831" s="7">
        <ns0:f>X831+Y831</ns0:f>
        <ns0:v>1465516.4150995268</ns0:v>
      </ns0:c>
      <ns0:c r="AA831" s="7">
        <ns0:f>IF(T831&gt;=0,A831,1001)</ns0:f>
        <ns0:v>827</ns0:v>
      </ns0:c>
      <ns0:c r="AB831" s="7">
        <ns0:f>IF(T831&lt;0,A831,0)</ns0:f>
        <ns0:v>0</ns0:v>
      </ns0:c>
      <ns0:c r="AC831" s="16">
        <ns0:f>IF(AND(OR('前提と出典'!$C$36+'前提と出典'!$C$38=0,R831&gt;=0),OR('前提と出典'!$C$37+'前提と出典'!$C$38=0,S831&gt;=0)),0,A831)</ns0:f>
        <ns0:v>0</ns0:v>
      </ns0:c>
      <ns0:c r="AD831" s="7">
        <ns0:f>IF(W831&gt;=0,A831,1001)</ns0:f>
        <ns0:v>827</ns0:v>
      </ns0:c>
      <ns0:c r="AE831" s="7">
        <ns0:f>IF(W831&lt;0,A831,0)</ns0:f>
        <ns0:v>0</ns0:v>
      </ns0:c>
      <ns0:c r="AF831" s="16">
        <ns0:f>IF(AND(OR('前提と出典'!$C$36+'前提と出典'!$C$38=0,U831&gt;=0),OR('前提と出典'!$C$37+'前提と出典'!$C$38=0,V831&gt;=0)),0,A831)</ns0:f>
        <ns0:v>0</ns0:v>
      </ns0:c>
      <ns0:c r="AG831" s="7">
        <ns0:f>IF(Z831&gt;=0,A831,1001)</ns0:f>
        <ns0:v>827</ns0:v>
      </ns0:c>
      <ns0:c r="AH831" s="4">
        <ns0:f>IF(Z831&lt;0,A831,0)</ns0:f>
        <ns0:v>0</ns0:v>
      </ns0:c>
      <ns0:c r="AI831" s="12">
        <ns0:f>IF(AND(OR('前提と出典'!$C$36+'前提と出典'!$C$38=0,X831&gt;=0),OR('前提と出典'!$C$37+'前提と出典'!$C$38=0,Y831&gt;=0)),0,A831)</ns0:f>
        <ns0:v>0</ns0:v>
      </ns0:c>
    </ns0:row>
    <ns0:row r="832" ht="24" customHeight="1">
      <ns0:c r="A832" s="4" t="n">
        <ns0:v>828</ns0:v>
      </ns0:c>
      <ns0:c r="B832" s="12">
        <ns0:f>A832*('前提と出典'!$C$36+'前提と出典'!$C$38)</ns0:f>
        <ns0:v>579.5999999999999</ns0:v>
      </ns0:c>
      <ns0:c r="C832" s="12">
        <ns0:f>A832*('前提と出典'!$C$37+'前提と出典'!$C$38)</ns0:f>
        <ns0:v>496.79999999999995</ns0:v>
      </ns0:c>
      <ns0:c r="D832" s="16">
        <ns0:f>A832*('前提と出典'!$C$36*'契約別単価'!C5+'前提と出典'!$C$37*'契約別単価'!C6+'前提と出典'!$C$38*'契約別単価'!C7)</ns0:f>
        <ns0:v>5957.899441340782</ns0:v>
      </ns0:c>
      <ns0:c r="E832" s="16">
        <ns0:f>A832*('前提と出典'!$C$36*'契約別単価'!E5+'前提と出典'!$C$37*'契約別単価'!E6+'前提と出典'!$C$38*'契約別単価'!E7)</ns0:f>
        <ns0:v>1602134.175774399</ns0:v>
      </ns0:c>
      <ns0:c r="F832" s="16">
        <ns0:f>A832*('前提と出典'!$C$36*'契約別単価'!F5+'前提と出典'!$C$37*'契約別単価'!F6+'前提と出典'!$C$38*'契約別単価'!F7)</ns0:f>
        <ns0:v>628779.4571949166</ns0:v>
      </ns0:c>
      <ns0:c r="G832" s="16">
        <ns0:f>A832*('前提と出典'!$C$36*'契約別単価'!G5+'前提と出典'!$C$37*'契約別単価'!G6+'前提と出典'!$C$38*'契約別単価'!G7)</ns0:f>
        <ns0:v>1648136.312849162</ns0:v>
      </ns0:c>
      <ns0:c r="H832" s="16">
        <ns0:f>A832*('前提と出典'!$C$36*'契約別単価'!H5+'前提と出典'!$C$37*'契約別単価'!H6+'前提と出典'!$C$38*'契約別単価'!H7)</ns0:f>
        <ns0:v>571985.9610903679</ns0:v>
      </ns0:c>
      <ns0:c r="I832" s="16">
        <ns0:f>A832*('前提と出典'!$C$36*'契約別単価'!I5+'前提と出典'!$C$37*'契約別単価'!I6+'前提と出典'!$C$38*'契約別単価'!I7)</ns0:f>
        <ns0:v>34937.89944134078</ns0:v>
      </ns0:c>
      <ns0:c r="J832" s="16">
        <ns0:f>A832*('前提と出典'!$C$36*'契約別単価'!J5+'前提と出典'!$C$37*'契約別単価'!J6+'前提と出典'!$C$38*'契約別単価'!J7)</ns0:f>
        <ns0:v>81383.74219213052</ns0:v>
      </ns0:c>
      <ns0:c r="K832" s="16">
        <ns0:f>A832*('前提と出典'!$C$36*'契約別単価'!K5+'前提と出典'!$C$37*'契約別単価'!K6+'前提と出典'!$C$38*'契約別単価'!K7)</ns0:f>
        <ns0:v>348839.32960893854</ns0:v>
      </ns0:c>
      <ns0:c r="L832" s="16">
        <ns0:f>A832*('前提と出典'!$C$36*'契約別単価'!L5+'前提と出典'!$C$37*'契約別単価'!L6+'前提と出典'!$C$38*'契約別単価'!L7)</ns0:f>
        <ns0:v>284026.19870301225</ns0:v>
      </ns0:c>
      <ns0:c r="M832" s="16">
        <ns0:f>IF(('前提と出典'!$C$36+'前提と出典'!$C$38)=0,0,IF(B832&lt;=10,'前提と出典'!B73+'前提と出典'!C73,IF(B832&lt;=100,'前提と出典'!B74+'前提と出典'!C74,IF(B832&lt;=500,'前提と出典'!B75+'前提と出典'!C75,'前提と出典'!B76+'前提と出典'!C76))))</ns0:f>
        <ns0:v>80000</ns0:v>
      </ns0:c>
      <ns0:c r="N832" s="16">
        <ns0:f>IF(('前提と出典'!$C$37+'前提と出典'!$C$38)=0,0,IF(C832&lt;=10,'前提と出典'!D73+'前提と出典'!E73,IF(C832&lt;=100,'前提と出典'!D74+'前提と出典'!E74,IF(C832&lt;=500,'前提と出典'!D75+'前提と出典'!E75,'前提と出典'!D76+'前提と出典'!E76))))</ns0:f>
        <ns0:v>56510.9346263078</ns0:v>
      </ns0:c>
      <ns0:c r="O832" s="16">
        <ns0:f>IF('前提と出典'!$C$36+'前提と出典'!$C$38=0,0,'前提と出典'!$B$4*IF('前提と出典'!$B$20=0,MAX('前提と出典'!$B$6,D832*'前提と出典'!$B$5),'前提と出典'!$B$6+D832*'前提と出典'!$B$5))</ns0:f>
        <ns0:v>822190.1229050278</ns0:v>
      </ns0:c>
      <ns0:c r="P832" s="16">
        <ns0:f>(E832+G832)*(1-'前提と出典'!$B$7)-I832-K832-M832-O832</ns0:f>
        <ns0:v>1847293.3990778055</ns0:v>
      </ns0:c>
      <ns0:c r="Q832" s="16">
        <ns0:f>(F832+H832)*(1-'前提と出典'!$B$7)-J832-L832-N832</ns0:f>
        <ns0:v>735616.9877055635</ns0:v>
      </ns0:c>
      <ns0:c r="R832" s="16">
        <ns0:f>P832-E832*'前提と出典'!$E$4</ns0:f>
        <ns0:v>1366653.1463454857</ns0:v>
      </ns0:c>
      <ns0:c r="S832" s="16">
        <ns0:f>Q832-F832*'前提と出典'!$E$4</ns0:f>
        <ns0:v>546983.1505470886</ns0:v>
      </ns0:c>
      <ns0:c r="T832" s="7">
        <ns0:f>R832+S832</ns0:f>
        <ns0:v>1913636.2968925743</ns0:v>
      </ns0:c>
      <ns0:c r="U832" s="16">
        <ns0:f>P832-E832*'前提と出典'!$E$5</ns0:f>
        <ns0:v>1206439.7287680458</ns0:v>
      </ns0:c>
      <ns0:c r="V832" s="16">
        <ns0:f>Q832-F832*'前提と出典'!$E$5</ns0:f>
        <ns0:v>484105.2048275969</ns0:v>
      </ns0:c>
      <ns0:c r="W832" s="7">
        <ns0:f>U832+V832</ns0:f>
        <ns0:v>1690544.9335956427</ns0:v>
      </ns0:c>
      <ns0:c r="X832" s="16">
        <ns0:f>P832-E832*'前提と出典'!$E$6</ns0:f>
        <ns0:v>1046226.3111906059</ns0:v>
      </ns0:c>
      <ns0:c r="Y832" s="16">
        <ns0:f>Q832-F832*'前提と出典'!$E$6</ns0:f>
        <ns0:v>421227.2591081054</ns0:v>
      </ns0:c>
      <ns0:c r="Z832" s="7">
        <ns0:f>X832+Y832</ns0:f>
        <ns0:v>1467453.5702987113</ns0:v>
      </ns0:c>
      <ns0:c r="AA832" s="7">
        <ns0:f>IF(T832&gt;=0,A832,1001)</ns0:f>
        <ns0:v>828</ns0:v>
      </ns0:c>
      <ns0:c r="AB832" s="7">
        <ns0:f>IF(T832&lt;0,A832,0)</ns0:f>
        <ns0:v>0</ns0:v>
      </ns0:c>
      <ns0:c r="AC832" s="16">
        <ns0:f>IF(AND(OR('前提と出典'!$C$36+'前提と出典'!$C$38=0,R832&gt;=0),OR('前提と出典'!$C$37+'前提と出典'!$C$38=0,S832&gt;=0)),0,A832)</ns0:f>
        <ns0:v>0</ns0:v>
      </ns0:c>
      <ns0:c r="AD832" s="7">
        <ns0:f>IF(W832&gt;=0,A832,1001)</ns0:f>
        <ns0:v>828</ns0:v>
      </ns0:c>
      <ns0:c r="AE832" s="7">
        <ns0:f>IF(W832&lt;0,A832,0)</ns0:f>
        <ns0:v>0</ns0:v>
      </ns0:c>
      <ns0:c r="AF832" s="16">
        <ns0:f>IF(AND(OR('前提と出典'!$C$36+'前提と出典'!$C$38=0,U832&gt;=0),OR('前提と出典'!$C$37+'前提と出典'!$C$38=0,V832&gt;=0)),0,A832)</ns0:f>
        <ns0:v>0</ns0:v>
      </ns0:c>
      <ns0:c r="AG832" s="7">
        <ns0:f>IF(Z832&gt;=0,A832,1001)</ns0:f>
        <ns0:v>828</ns0:v>
      </ns0:c>
      <ns0:c r="AH832" s="4">
        <ns0:f>IF(Z832&lt;0,A832,0)</ns0:f>
        <ns0:v>0</ns0:v>
      </ns0:c>
      <ns0:c r="AI832" s="12">
        <ns0:f>IF(AND(OR('前提と出典'!$C$36+'前提と出典'!$C$38=0,X832&gt;=0),OR('前提と出典'!$C$37+'前提と出典'!$C$38=0,Y832&gt;=0)),0,A832)</ns0:f>
        <ns0:v>0</ns0:v>
      </ns0:c>
    </ns0:row>
    <ns0:row r="833" ht="24" customHeight="1">
      <ns0:c r="A833" s="4" t="n">
        <ns0:v>829</ns0:v>
      </ns0:c>
      <ns0:c r="B833" s="12">
        <ns0:f>A833*('前提と出典'!$C$36+'前提と出典'!$C$38)</ns0:f>
        <ns0:v>580.3</ns0:v>
      </ns0:c>
      <ns0:c r="C833" s="12">
        <ns0:f>A833*('前提と出典'!$C$37+'前提と出典'!$C$38)</ns0:f>
        <ns0:v>497.4</ns0:v>
      </ns0:c>
      <ns0:c r="D833" s="16">
        <ns0:f>A833*('前提と出典'!$C$36*'契約別単価'!C5+'前提と出典'!$C$37*'契約別単価'!C6+'前提と出典'!$C$38*'契約別単価'!C7)</ns0:f>
        <ns0:v>5965.094972067039</ns0:v>
      </ns0:c>
      <ns0:c r="E833" s="16">
        <ns0:f>A833*('前提と出典'!$C$36*'契約別単価'!E5+'前提と出典'!$C$37*'契約別単価'!E6+'前提と出典'!$C$38*'契約別単価'!E7)</ns0:f>
        <ns0:v>1604069.1204311315</ns0:v>
      </ns0:c>
      <ns0:c r="F833" s="16">
        <ns0:f>A833*('前提と出典'!$C$36*'契約別単価'!F5+'前提と出典'!$C$37*'契約別単価'!F6+'前提と出典'!$C$38*'契約別単価'!F7)</ns0:f>
        <ns0:v>629538.8526746206</ns0:v>
      </ns0:c>
      <ns0:c r="G833" s="16">
        <ns0:f>A833*('前提と出典'!$C$36*'契約別単価'!G5+'前提と出典'!$C$37*'契約別単価'!G6+'前提と出典'!$C$38*'契約別単価'!G7)</ns0:f>
        <ns0:v>1650126.815642458</ns0:v>
      </ns0:c>
      <ns0:c r="H833" s="16">
        <ns0:f>A833*('前提と出典'!$C$36*'契約別単価'!H5+'前提と出典'!$C$37*'契約別単価'!H6+'前提と出典'!$C$38*'契約別単価'!H7)</ns0:f>
        <ns0:v>572676.7653912017</ns0:v>
      </ns0:c>
      <ns0:c r="I833" s="16">
        <ns0:f>A833*('前提と出典'!$C$36*'契約別単価'!I5+'前提と出典'!$C$37*'契約別単価'!I6+'前提と出典'!$C$38*'契約別単価'!I7)</ns0:f>
        <ns0:v>34980.09497206703</ns0:v>
      </ns0:c>
      <ns0:c r="J833" s="16">
        <ns0:f>A833*('前提と出典'!$C$36*'契約別単価'!J5+'前提と出典'!$C$37*'契約別単価'!J6+'前提と出典'!$C$38*'契約別単価'!J7)</ns0:f>
        <ns0:v>81482.03173584082</ns0:v>
      </ns0:c>
      <ns0:c r="K833" s="16">
        <ns0:f>A833*('前提と出典'!$C$36*'契約別単価'!K5+'前提と出典'!$C$37*'契約別単価'!K6+'前提と出典'!$C$38*'契約別単価'!K7)</ns0:f>
        <ns0:v>349260.63314711355</ns0:v>
      </ns0:c>
      <ns0:c r="L833" s="16">
        <ns0:f>A833*('前提と出典'!$C$36*'契約別単価'!L5+'前提と出典'!$C$37*'契約別単価'!L6+'前提と出典'!$C$38*'契約別単価'!L7)</ns0:f>
        <ns0:v>284369.22551304003</ns0:v>
      </ns0:c>
      <ns0:c r="M833" s="16">
        <ns0:f>IF(('前提と出典'!$C$36+'前提と出典'!$C$38)=0,0,IF(B833&lt;=10,'前提と出典'!B73+'前提と出典'!C73,IF(B833&lt;=100,'前提と出典'!B74+'前提と出典'!C74,IF(B833&lt;=500,'前提と出典'!B75+'前提と出典'!C75,'前提と出典'!B76+'前提と出典'!C76))))</ns0:f>
        <ns0:v>80000</ns0:v>
      </ns0:c>
      <ns0:c r="N833" s="16">
        <ns0:f>IF(('前提と出典'!$C$37+'前提と出典'!$C$38)=0,0,IF(C833&lt;=10,'前提と出典'!D73+'前提と出典'!E73,IF(C833&lt;=100,'前提と出典'!D74+'前提と出典'!E74,IF(C833&lt;=500,'前提と出典'!D75+'前提と出典'!E75,'前提と出典'!D76+'前提と出典'!E76))))</ns0:f>
        <ns0:v>56510.9346263078</ns0:v>
      </ns0:c>
      <ns0:c r="O833" s="16">
        <ns0:f>IF('前提と出典'!$C$36+'前提と出典'!$C$38=0,0,'前提と出典'!$B$4*IF('前提と出典'!$B$20=0,MAX('前提と出典'!$B$6,D833*'前提と出典'!$B$5),'前提と出典'!$B$6+D833*'前提と出典'!$B$5))</ns0:f>
        <ns0:v>823183.1061452513</ns0:v>
      </ns0:c>
      <ns0:c r="P833" s="16">
        <ns0:f>(E833+G833)*(1-'前提と出典'!$B$7)-I833-K833-M833-O833</ns0:f>
        <ns0:v>1849621.0481105081</ns0:v>
      </ns0:c>
      <ns0:c r="Q833" s="16">
        <ns0:f>(F833+H833)*(1-'前提と出典'!$B$7)-J833-L833-N833</ns0:f>
        <ns0:v>736573.6639402641</ns0:v>
      </ns0:c>
      <ns0:c r="R833" s="16">
        <ns0:f>P833-E833*'前提と出典'!$E$4</ns0:f>
        <ns0:v>1368400.3119811688</ns0:v>
      </ns0:c>
      <ns0:c r="S833" s="16">
        <ns0:f>Q833-F833*'前提と出典'!$E$4</ns0:f>
        <ns0:v>547712.008137878</ns0:v>
      </ns0:c>
      <ns0:c r="T833" s="7">
        <ns0:f>R833+S833</ns0:f>
        <ns0:v>1916112.3201190468</ns0:v>
      </ns0:c>
      <ns0:c r="U833" s="16">
        <ns0:f>P833-E833*'前提と出典'!$E$5</ns0:f>
        <ns0:v>1207993.3999380555</ns0:v>
      </ns0:c>
      <ns0:c r="V833" s="16">
        <ns0:f>Q833-F833*'前提と出典'!$E$5</ns0:f>
        <ns0:v>484758.1228704159</ns0:v>
      </ns0:c>
      <ns0:c r="W833" s="7">
        <ns0:f>U833+V833</ns0:f>
        <ns0:v>1692751.5228084715</ns0:v>
      </ns0:c>
      <ns0:c r="X833" s="16">
        <ns0:f>P833-E833*'前提と出典'!$E$6</ns0:f>
        <ns0:v>1047586.4878949423</ns0:v>
      </ns0:c>
      <ns0:c r="Y833" s="16">
        <ns0:f>Q833-F833*'前提と出典'!$E$6</ns0:f>
        <ns0:v>421804.23760295374</ns0:v>
      </ns0:c>
      <ns0:c r="Z833" s="7">
        <ns0:f>X833+Y833</ns0:f>
        <ns0:v>1469390.725497896</ns0:v>
      </ns0:c>
      <ns0:c r="AA833" s="7">
        <ns0:f>IF(T833&gt;=0,A833,1001)</ns0:f>
        <ns0:v>829</ns0:v>
      </ns0:c>
      <ns0:c r="AB833" s="7">
        <ns0:f>IF(T833&lt;0,A833,0)</ns0:f>
        <ns0:v>0</ns0:v>
      </ns0:c>
      <ns0:c r="AC833" s="16">
        <ns0:f>IF(AND(OR('前提と出典'!$C$36+'前提と出典'!$C$38=0,R833&gt;=0),OR('前提と出典'!$C$37+'前提と出典'!$C$38=0,S833&gt;=0)),0,A833)</ns0:f>
        <ns0:v>0</ns0:v>
      </ns0:c>
      <ns0:c r="AD833" s="7">
        <ns0:f>IF(W833&gt;=0,A833,1001)</ns0:f>
        <ns0:v>829</ns0:v>
      </ns0:c>
      <ns0:c r="AE833" s="7">
        <ns0:f>IF(W833&lt;0,A833,0)</ns0:f>
        <ns0:v>0</ns0:v>
      </ns0:c>
      <ns0:c r="AF833" s="16">
        <ns0:f>IF(AND(OR('前提と出典'!$C$36+'前提と出典'!$C$38=0,U833&gt;=0),OR('前提と出典'!$C$37+'前提と出典'!$C$38=0,V833&gt;=0)),0,A833)</ns0:f>
        <ns0:v>0</ns0:v>
      </ns0:c>
      <ns0:c r="AG833" s="7">
        <ns0:f>IF(Z833&gt;=0,A833,1001)</ns0:f>
        <ns0:v>829</ns0:v>
      </ns0:c>
      <ns0:c r="AH833" s="4">
        <ns0:f>IF(Z833&lt;0,A833,0)</ns0:f>
        <ns0:v>0</ns0:v>
      </ns0:c>
      <ns0:c r="AI833" s="12">
        <ns0:f>IF(AND(OR('前提と出典'!$C$36+'前提と出典'!$C$38=0,X833&gt;=0),OR('前提と出典'!$C$37+'前提と出典'!$C$38=0,Y833&gt;=0)),0,A833)</ns0:f>
        <ns0:v>0</ns0:v>
      </ns0:c>
    </ns0:row>
    <ns0:row r="834" ht="24" customHeight="1">
      <ns0:c r="A834" s="4" t="n">
        <ns0:v>830</ns0:v>
      </ns0:c>
      <ns0:c r="B834" s="12">
        <ns0:f>A834*('前提と出典'!$C$36+'前提と出典'!$C$38)</ns0:f>
        <ns0:v>581</ns0:v>
      </ns0:c>
      <ns0:c r="C834" s="12">
        <ns0:f>A834*('前提と出典'!$C$37+'前提と出典'!$C$38)</ns0:f>
        <ns0:v>498</ns0:v>
      </ns0:c>
      <ns0:c r="D834" s="16">
        <ns0:f>A834*('前提と出典'!$C$36*'契約別単価'!C5+'前提と出典'!$C$37*'契約別単価'!C6+'前提と出典'!$C$38*'契約別単価'!C7)</ns0:f>
        <ns0:v>5972.290502793296</ns0:v>
      </ns0:c>
      <ns0:c r="E834" s="16">
        <ns0:f>A834*('前提と出典'!$C$36*'契約別単価'!E5+'前提と出典'!$C$37*'契約別単価'!E6+'前提と出典'!$C$38*'契約別単価'!E7)</ns0:f>
        <ns0:v>1606004.0650878637</ns0:v>
      </ns0:c>
      <ns0:c r="F834" s="16">
        <ns0:f>A834*('前提と出典'!$C$36*'契約別単価'!F5+'前提と出典'!$C$37*'契約別単価'!F6+'前提と出典'!$C$38*'契約別単価'!F7)</ns0:f>
        <ns0:v>630298.2481543246</ns0:v>
      </ns0:c>
      <ns0:c r="G834" s="16">
        <ns0:f>A834*('前提と出典'!$C$36*'契約別単価'!G5+'前提と出典'!$C$37*'契約別単価'!G6+'前提と出典'!$C$38*'契約別単価'!G7)</ns0:f>
        <ns0:v>1652117.3184357542</ns0:v>
      </ns0:c>
      <ns0:c r="H834" s="16">
        <ns0:f>A834*('前提と出典'!$C$36*'契約別単価'!H5+'前提と出典'!$C$37*'契約別単価'!H6+'前提と出典'!$C$38*'契約別単価'!H7)</ns0:f>
        <ns0:v>573367.5696920354</ns0:v>
      </ns0:c>
      <ns0:c r="I834" s="16">
        <ns0:f>A834*('前提と出典'!$C$36*'契約別単価'!I5+'前提と出典'!$C$37*'契約別単価'!I6+'前提と出典'!$C$38*'契約別単価'!I7)</ns0:f>
        <ns0:v>35022.29050279329</ns0:v>
      </ns0:c>
      <ns0:c r="J834" s="16">
        <ns0:f>A834*('前提と出典'!$C$36*'契約別単価'!J5+'前提と出典'!$C$37*'契約別単価'!J6+'前提と出典'!$C$38*'契約別単価'!J7)</ns0:f>
        <ns0:v>81580.32127955114</ns0:v>
      </ns0:c>
      <ns0:c r="K834" s="16">
        <ns0:f>A834*('前提と出典'!$C$36*'契約別単価'!K5+'前提と出典'!$C$37*'契約別単価'!K6+'前提と出典'!$C$38*'契約別単価'!K7)</ns0:f>
        <ns0:v>349681.9366852886</ns0:v>
      </ns0:c>
      <ns0:c r="L834" s="16">
        <ns0:f>A834*('前提と出典'!$C$36*'契約別単価'!L5+'前提と出典'!$C$37*'契約別単価'!L6+'前提と出典'!$C$38*'契約別単価'!L7)</ns0:f>
        <ns0:v>284712.25232306786</ns0:v>
      </ns0:c>
      <ns0:c r="M834" s="16">
        <ns0:f>IF(('前提と出典'!$C$36+'前提と出典'!$C$38)=0,0,IF(B834&lt;=10,'前提と出典'!B73+'前提と出典'!C73,IF(B834&lt;=100,'前提と出典'!B74+'前提と出典'!C74,IF(B834&lt;=500,'前提と出典'!B75+'前提と出典'!C75,'前提と出典'!B76+'前提と出典'!C76))))</ns0:f>
        <ns0:v>80000</ns0:v>
      </ns0:c>
      <ns0:c r="N834" s="16">
        <ns0:f>IF(('前提と出典'!$C$37+'前提と出典'!$C$38)=0,0,IF(C834&lt;=10,'前提と出典'!D73+'前提と出典'!E73,IF(C834&lt;=100,'前提と出典'!D74+'前提と出典'!E74,IF(C834&lt;=500,'前提と出典'!D75+'前提と出典'!E75,'前提と出典'!D76+'前提と出典'!E76))))</ns0:f>
        <ns0:v>56510.9346263078</ns0:v>
      </ns0:c>
      <ns0:c r="O834" s="16">
        <ns0:f>IF('前提と出典'!$C$36+'前提と出典'!$C$38=0,0,'前提と出典'!$B$4*IF('前提と出典'!$B$20=0,MAX('前提と出典'!$B$6,D834*'前提と出典'!$B$5),'前提と出典'!$B$6+D834*'前提と出典'!$B$5))</ns0:f>
        <ns0:v>824176.0893854748</ns0:v>
      </ns0:c>
      <ns0:c r="P834" s="16">
        <ns0:f>(E834+G834)*(1-'前提と出典'!$B$7)-I834-K834-M834-O834</ns0:f>
        <ns0:v>1851948.6971432108</ns0:v>
      </ns0:c>
      <ns0:c r="Q834" s="16">
        <ns0:f>(F834+H834)*(1-'前提と出典'!$B$7)-J834-L834-N834</ns0:f>
        <ns0:v>737530.3401749644</ns0:v>
      </ns0:c>
      <ns0:c r="R834" s="16">
        <ns0:f>P834-E834*'前提と出典'!$E$4</ns0:f>
        <ns0:v>1370147.477616852</ns0:v>
      </ns0:c>
      <ns0:c r="S834" s="16">
        <ns0:f>Q834-F834*'前提と出典'!$E$4</ns0:f>
        <ns0:v>548440.865728667</ns0:v>
      </ns0:c>
      <ns0:c r="T834" s="7">
        <ns0:f>R834+S834</ns0:f>
        <ns0:v>1918588.343345519</ns0:v>
      </ns0:c>
      <ns0:c r="U834" s="16">
        <ns0:f>P834-E834*'前提と出典'!$E$5</ns0:f>
        <ns0:v>1209547.0711080653</ns0:v>
      </ns0:c>
      <ns0:c r="V834" s="16">
        <ns0:f>Q834-F834*'前提と出典'!$E$5</ns0:f>
        <ns0:v>485411.0409132346</ns0:v>
      </ns0:c>
      <ns0:c r="W834" s="7">
        <ns0:f>U834+V834</ns0:f>
        <ns0:v>1694958.1120213</ns0:v>
      </ns0:c>
      <ns0:c r="X834" s="16">
        <ns0:f>P834-E834*'前提と出典'!$E$6</ns0:f>
        <ns0:v>1048946.664599279</ns0:v>
      </ns0:c>
      <ns0:c r="Y834" s="16">
        <ns0:f>Q834-F834*'前提と出典'!$E$6</ns0:f>
        <ns0:v>422381.21609780216</ns0:v>
      </ns0:c>
      <ns0:c r="Z834" s="7">
        <ns0:f>X834+Y834</ns0:f>
        <ns0:v>1471327.880697081</ns0:v>
      </ns0:c>
      <ns0:c r="AA834" s="7">
        <ns0:f>IF(T834&gt;=0,A834,1001)</ns0:f>
        <ns0:v>830</ns0:v>
      </ns0:c>
      <ns0:c r="AB834" s="7">
        <ns0:f>IF(T834&lt;0,A834,0)</ns0:f>
        <ns0:v>0</ns0:v>
      </ns0:c>
      <ns0:c r="AC834" s="16">
        <ns0:f>IF(AND(OR('前提と出典'!$C$36+'前提と出典'!$C$38=0,R834&gt;=0),OR('前提と出典'!$C$37+'前提と出典'!$C$38=0,S834&gt;=0)),0,A834)</ns0:f>
        <ns0:v>0</ns0:v>
      </ns0:c>
      <ns0:c r="AD834" s="7">
        <ns0:f>IF(W834&gt;=0,A834,1001)</ns0:f>
        <ns0:v>830</ns0:v>
      </ns0:c>
      <ns0:c r="AE834" s="7">
        <ns0:f>IF(W834&lt;0,A834,0)</ns0:f>
        <ns0:v>0</ns0:v>
      </ns0:c>
      <ns0:c r="AF834" s="16">
        <ns0:f>IF(AND(OR('前提と出典'!$C$36+'前提と出典'!$C$38=0,U834&gt;=0),OR('前提と出典'!$C$37+'前提と出典'!$C$38=0,V834&gt;=0)),0,A834)</ns0:f>
        <ns0:v>0</ns0:v>
      </ns0:c>
      <ns0:c r="AG834" s="7">
        <ns0:f>IF(Z834&gt;=0,A834,1001)</ns0:f>
        <ns0:v>830</ns0:v>
      </ns0:c>
      <ns0:c r="AH834" s="4">
        <ns0:f>IF(Z834&lt;0,A834,0)</ns0:f>
        <ns0:v>0</ns0:v>
      </ns0:c>
      <ns0:c r="AI834" s="12">
        <ns0:f>IF(AND(OR('前提と出典'!$C$36+'前提と出典'!$C$38=0,X834&gt;=0),OR('前提と出典'!$C$37+'前提と出典'!$C$38=0,Y834&gt;=0)),0,A834)</ns0:f>
        <ns0:v>0</ns0:v>
      </ns0:c>
    </ns0:row>
    <ns0:row r="835" ht="24" customHeight="1">
      <ns0:c r="A835" s="4" t="n">
        <ns0:v>831</ns0:v>
      </ns0:c>
      <ns0:c r="B835" s="12">
        <ns0:f>A835*('前提と出典'!$C$36+'前提と出典'!$C$38)</ns0:f>
        <ns0:v>581.6999999999999</ns0:v>
      </ns0:c>
      <ns0:c r="C835" s="12">
        <ns0:f>A835*('前提と出典'!$C$37+'前提と出典'!$C$38)</ns0:f>
        <ns0:v>498.59999999999997</ns0:v>
      </ns0:c>
      <ns0:c r="D835" s="16">
        <ns0:f>A835*('前提と出典'!$C$36*'契約別単価'!C5+'前提と出典'!$C$37*'契約別単価'!C6+'前提と出典'!$C$38*'契約別単価'!C7)</ns0:f>
        <ns0:v>5979.486033519553</ns0:v>
      </ns0:c>
      <ns0:c r="E835" s="16">
        <ns0:f>A835*('前提と出典'!$C$36*'契約別単価'!E5+'前提と出典'!$C$37*'契約別単価'!E6+'前提と出典'!$C$38*'契約別単価'!E7)</ns0:f>
        <ns0:v>1607939.0097445962</ns0:v>
      </ns0:c>
      <ns0:c r="F835" s="16">
        <ns0:f>A835*('前提と出典'!$C$36*'契約別単価'!F5+'前提と出典'!$C$37*'契約別単価'!F6+'前提と出典'!$C$38*'契約別単価'!F7)</ns0:f>
        <ns0:v>631057.6436340286</ns0:v>
      </ns0:c>
      <ns0:c r="G835" s="16">
        <ns0:f>A835*('前提と出典'!$C$36*'契約別単価'!G5+'前提と出典'!$C$37*'契約別単価'!G6+'前提と出典'!$C$38*'契約別単価'!G7)</ns0:f>
        <ns0:v>1654107.8212290502</ns0:v>
      </ns0:c>
      <ns0:c r="H835" s="16">
        <ns0:f>A835*('前提と出典'!$C$36*'契約別単価'!H5+'前提と出典'!$C$37*'契約別単価'!H6+'前提と出典'!$C$38*'契約別単価'!H7)</ns0:f>
        <ns0:v>574058.3739928693</ns0:v>
      </ns0:c>
      <ns0:c r="I835" s="16">
        <ns0:f>A835*('前提と出典'!$C$36*'契約別単価'!I5+'前提と出典'!$C$37*'契約別単価'!I6+'前提と出典'!$C$38*'契約別単価'!I7)</ns0:f>
        <ns0:v>35064.48603351955</ns0:v>
      </ns0:c>
      <ns0:c r="J835" s="16">
        <ns0:f>A835*('前提と出典'!$C$36*'契約別単価'!J5+'前提と出典'!$C$37*'契約別単価'!J6+'前提と出典'!$C$38*'契約別単価'!J7)</ns0:f>
        <ns0:v>81678.61082326144</ns0:v>
      </ns0:c>
      <ns0:c r="K835" s="16">
        <ns0:f>A835*('前提と出典'!$C$36*'契約別単価'!K5+'前提と出典'!$C$37*'契約別単価'!K6+'前提と出典'!$C$38*'契約別単価'!K7)</ns0:f>
        <ns0:v>350103.2402234637</ns0:v>
      </ns0:c>
      <ns0:c r="L835" s="16">
        <ns0:f>A835*('前提と出典'!$C$36*'契約別単価'!L5+'前提と出典'!$C$37*'契約別単価'!L6+'前提と出典'!$C$38*'契約別単価'!L7)</ns0:f>
        <ns0:v>285055.27913309564</ns0:v>
      </ns0:c>
      <ns0:c r="M835" s="16">
        <ns0:f>IF(('前提と出典'!$C$36+'前提と出典'!$C$38)=0,0,IF(B835&lt;=10,'前提と出典'!B73+'前提と出典'!C73,IF(B835&lt;=100,'前提と出典'!B74+'前提と出典'!C74,IF(B835&lt;=500,'前提と出典'!B75+'前提と出典'!C75,'前提と出典'!B76+'前提と出典'!C76))))</ns0:f>
        <ns0:v>80000</ns0:v>
      </ns0:c>
      <ns0:c r="N835" s="16">
        <ns0:f>IF(('前提と出典'!$C$37+'前提と出典'!$C$38)=0,0,IF(C835&lt;=10,'前提と出典'!D73+'前提と出典'!E73,IF(C835&lt;=100,'前提と出典'!D74+'前提と出典'!E74,IF(C835&lt;=500,'前提と出典'!D75+'前提と出典'!E75,'前提と出典'!D76+'前提と出典'!E76))))</ns0:f>
        <ns0:v>56510.9346263078</ns0:v>
      </ns0:c>
      <ns0:c r="O835" s="16">
        <ns0:f>IF('前提と出典'!$C$36+'前提と出典'!$C$38=0,0,'前提と出典'!$B$4*IF('前提と出典'!$B$20=0,MAX('前提と出典'!$B$6,D835*'前提と出典'!$B$5),'前提と出典'!$B$6+D835*'前提と出典'!$B$5))</ns0:f>
        <ns0:v>825169.0726256983</ns0:v>
      </ns0:c>
      <ns0:c r="P835" s="16">
        <ns0:f>(E835+G835)*(1-'前提と出典'!$B$7)-I835-K835-M835-O835</ns0:f>
        <ns0:v>1854276.3461759137</ns0:v>
      </ns0:c>
      <ns0:c r="Q835" s="16">
        <ns0:f>(F835+H835)*(1-'前提と出典'!$B$7)-J835-L835-N835</ns0:f>
        <ns0:v>738487.0164096646</ns0:v>
      </ns0:c>
      <ns0:c r="R835" s="16">
        <ns0:f>P835-E835*'前提と出典'!$E$4</ns0:f>
        <ns0:v>1371894.6432525346</ns0:v>
      </ns0:c>
      <ns0:c r="S835" s="16">
        <ns0:f>Q835-F835*'前提と出典'!$E$4</ns0:f>
        <ns0:v>549169.7233194561</ns0:v>
      </ns0:c>
      <ns0:c r="T835" s="7">
        <ns0:f>R835+S835</ns0:f>
        <ns0:v>1921064.3665719908</ns0:v>
      </ns0:c>
      <ns0:c r="U835" s="16">
        <ns0:f>P835-E835*'前提と出典'!$E$5</ns0:f>
        <ns0:v>1211100.742278075</ns0:v>
      </ns0:c>
      <ns0:c r="V835" s="16">
        <ns0:f>Q835-F835*'前提と出典'!$E$5</ns0:f>
        <ns0:v>486063.95895605325</ns0:v>
      </ns0:c>
      <ns0:c r="W835" s="7">
        <ns0:f>U835+V835</ns0:f>
        <ns0:v>1697164.7012341283</ns0:v>
      </ns0:c>
      <ns0:c r="X835" s="16">
        <ns0:f>P835-E835*'前提と出典'!$E$6</ns0:f>
        <ns0:v>1050306.8413036156</ns0:v>
      </ns0:c>
      <ns0:c r="Y835" s="16">
        <ns0:f>Q835-F835*'前提と出典'!$E$6</ns0:f>
        <ns0:v>422958.1945926503</ns0:v>
      </ns0:c>
      <ns0:c r="Z835" s="7">
        <ns0:f>X835+Y835</ns0:f>
        <ns0:v>1473265.0358962659</ns0:v>
      </ns0:c>
      <ns0:c r="AA835" s="7">
        <ns0:f>IF(T835&gt;=0,A835,1001)</ns0:f>
        <ns0:v>831</ns0:v>
      </ns0:c>
      <ns0:c r="AB835" s="7">
        <ns0:f>IF(T835&lt;0,A835,0)</ns0:f>
        <ns0:v>0</ns0:v>
      </ns0:c>
      <ns0:c r="AC835" s="16">
        <ns0:f>IF(AND(OR('前提と出典'!$C$36+'前提と出典'!$C$38=0,R835&gt;=0),OR('前提と出典'!$C$37+'前提と出典'!$C$38=0,S835&gt;=0)),0,A835)</ns0:f>
        <ns0:v>0</ns0:v>
      </ns0:c>
      <ns0:c r="AD835" s="7">
        <ns0:f>IF(W835&gt;=0,A835,1001)</ns0:f>
        <ns0:v>831</ns0:v>
      </ns0:c>
      <ns0:c r="AE835" s="7">
        <ns0:f>IF(W835&lt;0,A835,0)</ns0:f>
        <ns0:v>0</ns0:v>
      </ns0:c>
      <ns0:c r="AF835" s="16">
        <ns0:f>IF(AND(OR('前提と出典'!$C$36+'前提と出典'!$C$38=0,U835&gt;=0),OR('前提と出典'!$C$37+'前提と出典'!$C$38=0,V835&gt;=0)),0,A835)</ns0:f>
        <ns0:v>0</ns0:v>
      </ns0:c>
      <ns0:c r="AG835" s="7">
        <ns0:f>IF(Z835&gt;=0,A835,1001)</ns0:f>
        <ns0:v>831</ns0:v>
      </ns0:c>
      <ns0:c r="AH835" s="4">
        <ns0:f>IF(Z835&lt;0,A835,0)</ns0:f>
        <ns0:v>0</ns0:v>
      </ns0:c>
      <ns0:c r="AI835" s="12">
        <ns0:f>IF(AND(OR('前提と出典'!$C$36+'前提と出典'!$C$38=0,X835&gt;=0),OR('前提と出典'!$C$37+'前提と出典'!$C$38=0,Y835&gt;=0)),0,A835)</ns0:f>
        <ns0:v>0</ns0:v>
      </ns0:c>
    </ns0:row>
    <ns0:row r="836" ht="24" customHeight="1">
      <ns0:c r="A836" s="4" t="n">
        <ns0:v>832</ns0:v>
      </ns0:c>
      <ns0:c r="B836" s="12">
        <ns0:f>A836*('前提と出典'!$C$36+'前提と出典'!$C$38)</ns0:f>
        <ns0:v>582.4</ns0:v>
      </ns0:c>
      <ns0:c r="C836" s="12">
        <ns0:f>A836*('前提と出典'!$C$37+'前提と出典'!$C$38)</ns0:f>
        <ns0:v>499.2</ns0:v>
      </ns0:c>
      <ns0:c r="D836" s="16">
        <ns0:f>A836*('前提と出典'!$C$36*'契約別単価'!C5+'前提と出典'!$C$37*'契約別単価'!C6+'前提と出典'!$C$38*'契約別単価'!C7)</ns0:f>
        <ns0:v>5986.68156424581</ns0:v>
      </ns0:c>
      <ns0:c r="E836" s="16">
        <ns0:f>A836*('前提と出典'!$C$36*'契約別単価'!E5+'前提と出典'!$C$37*'契約別単価'!E6+'前提と出典'!$C$38*'契約別単価'!E7)</ns0:f>
        <ns0:v>1609873.9544013285</ns0:v>
      </ns0:c>
      <ns0:c r="F836" s="16">
        <ns0:f>A836*('前提と出典'!$C$36*'契約別単価'!F5+'前提と出典'!$C$37*'契約別単価'!F6+'前提と出典'!$C$38*'契約別単価'!F7)</ns0:f>
        <ns0:v>631817.0391137326</ns0:v>
      </ns0:c>
      <ns0:c r="G836" s="16">
        <ns0:f>A836*('前提と出典'!$C$36*'契約別単価'!G5+'前提と出典'!$C$37*'契約別単価'!G6+'前提と出典'!$C$38*'契約別単価'!G7)</ns0:f>
        <ns0:v>1656098.3240223462</ns0:v>
      </ns0:c>
      <ns0:c r="H836" s="16">
        <ns0:f>A836*('前提と出典'!$C$36*'契約別単価'!H5+'前提と出典'!$C$37*'契約別単価'!H6+'前提と出典'!$C$38*'契約別単価'!H7)</ns0:f>
        <ns0:v>574749.178293703</ns0:v>
      </ns0:c>
      <ns0:c r="I836" s="16">
        <ns0:f>A836*('前提と出典'!$C$36*'契約別単価'!I5+'前提と出典'!$C$37*'契約別単価'!I6+'前提と出典'!$C$38*'契約別単価'!I7)</ns0:f>
        <ns0:v>35106.6815642458</ns0:v>
      </ns0:c>
      <ns0:c r="J836" s="16">
        <ns0:f>A836*('前提と出典'!$C$36*'契約別単価'!J5+'前提と出典'!$C$37*'契約別単価'!J6+'前提と出典'!$C$38*'契約別単価'!J7)</ns0:f>
        <ns0:v>81776.90036697173</ns0:v>
      </ns0:c>
      <ns0:c r="K836" s="16">
        <ns0:f>A836*('前提と出典'!$C$36*'契約別単価'!K5+'前提と出典'!$C$37*'契約別単価'!K6+'前提と出典'!$C$38*'契約別単価'!K7)</ns0:f>
        <ns0:v>350524.5437616387</ns0:v>
      </ns0:c>
      <ns0:c r="L836" s="16">
        <ns0:f>A836*('前提と出典'!$C$36*'契約別単価'!L5+'前提と出典'!$C$37*'契約別単価'!L6+'前提と出典'!$C$38*'契約別単価'!L7)</ns0:f>
        <ns0:v>285398.3059431234</ns0:v>
      </ns0:c>
      <ns0:c r="M836" s="16">
        <ns0:f>IF(('前提と出典'!$C$36+'前提と出典'!$C$38)=0,0,IF(B836&lt;=10,'前提と出典'!B73+'前提と出典'!C73,IF(B836&lt;=100,'前提と出典'!B74+'前提と出典'!C74,IF(B836&lt;=500,'前提と出典'!B75+'前提と出典'!C75,'前提と出典'!B76+'前提と出典'!C76))))</ns0:f>
        <ns0:v>80000</ns0:v>
      </ns0:c>
      <ns0:c r="N836" s="16">
        <ns0:f>IF(('前提と出典'!$C$37+'前提と出典'!$C$38)=0,0,IF(C836&lt;=10,'前提と出典'!D73+'前提と出典'!E73,IF(C836&lt;=100,'前提と出典'!D74+'前提と出典'!E74,IF(C836&lt;=500,'前提と出典'!D75+'前提と出典'!E75,'前提と出典'!D76+'前提と出典'!E76))))</ns0:f>
        <ns0:v>56510.9346263078</ns0:v>
      </ns0:c>
      <ns0:c r="O836" s="16">
        <ns0:f>IF('前提と出典'!$C$36+'前提と出典'!$C$38=0,0,'前提と出典'!$B$4*IF('前提と出典'!$B$20=0,MAX('前提と出典'!$B$6,D836*'前提と出典'!$B$5),'前提と出典'!$B$6+D836*'前提と出典'!$B$5))</ns0:f>
        <ns0:v>826162.0558659218</ns0:v>
      </ns0:c>
      <ns0:c r="P836" s="16">
        <ns0:f>(E836+G836)*(1-'前提と出典'!$B$7)-I836-K836-M836-O836</ns0:f>
        <ns0:v>1856603.995208616</ns0:v>
      </ns0:c>
      <ns0:c r="Q836" s="16">
        <ns0:f>(F836+H836)*(1-'前提と出典'!$B$7)-J836-L836-N836</ns0:f>
        <ns0:v>739443.692644365</ns0:v>
      </ns0:c>
      <ns0:c r="R836" s="16">
        <ns0:f>P836-E836*'前提と出典'!$E$4</ns0:f>
        <ns0:v>1373641.8088882177</ns0:v>
      </ns0:c>
      <ns0:c r="S836" s="16">
        <ns0:f>Q836-F836*'前提と出典'!$E$4</ns0:f>
        <ns0:v>549898.5809102452</ns0:v>
      </ns0:c>
      <ns0:c r="T836" s="7">
        <ns0:f>R836+S836</ns0:f>
        <ns0:v>1923540.3897984629</ns0:v>
      </ns0:c>
      <ns0:c r="U836" s="16">
        <ns0:f>P836-E836*'前提と出典'!$E$5</ns0:f>
        <ns0:v>1212654.4134480844</ns0:v>
      </ns0:c>
      <ns0:c r="V836" s="16">
        <ns0:f>Q836-F836*'前提と出典'!$E$5</ns0:f>
        <ns0:v>486716.8769988719</ns0:v>
      </ns0:c>
      <ns0:c r="W836" s="7">
        <ns0:f>U836+V836</ns0:f>
        <ns0:v>1699371.2904469562</ns0:v>
      </ns0:c>
      <ns0:c r="X836" s="16">
        <ns0:f>P836-E836*'前提と出典'!$E$6</ns0:f>
        <ns0:v>1051667.0180079518</ns0:v>
      </ns0:c>
      <ns0:c r="Y836" s="16">
        <ns0:f>Q836-F836*'前提と出典'!$E$6</ns0:f>
        <ns0:v>423535.17308749876</ns0:v>
      </ns0:c>
      <ns0:c r="Z836" s="7">
        <ns0:f>X836+Y836</ns0:f>
        <ns0:v>1475202.1910954504</ns0:v>
      </ns0:c>
      <ns0:c r="AA836" s="7">
        <ns0:f>IF(T836&gt;=0,A836,1001)</ns0:f>
        <ns0:v>832</ns0:v>
      </ns0:c>
      <ns0:c r="AB836" s="7">
        <ns0:f>IF(T836&lt;0,A836,0)</ns0:f>
        <ns0:v>0</ns0:v>
      </ns0:c>
      <ns0:c r="AC836" s="16">
        <ns0:f>IF(AND(OR('前提と出典'!$C$36+'前提と出典'!$C$38=0,R836&gt;=0),OR('前提と出典'!$C$37+'前提と出典'!$C$38=0,S836&gt;=0)),0,A836)</ns0:f>
        <ns0:v>0</ns0:v>
      </ns0:c>
      <ns0:c r="AD836" s="7">
        <ns0:f>IF(W836&gt;=0,A836,1001)</ns0:f>
        <ns0:v>832</ns0:v>
      </ns0:c>
      <ns0:c r="AE836" s="7">
        <ns0:f>IF(W836&lt;0,A836,0)</ns0:f>
        <ns0:v>0</ns0:v>
      </ns0:c>
      <ns0:c r="AF836" s="16">
        <ns0:f>IF(AND(OR('前提と出典'!$C$36+'前提と出典'!$C$38=0,U836&gt;=0),OR('前提と出典'!$C$37+'前提と出典'!$C$38=0,V836&gt;=0)),0,A836)</ns0:f>
        <ns0:v>0</ns0:v>
      </ns0:c>
      <ns0:c r="AG836" s="7">
        <ns0:f>IF(Z836&gt;=0,A836,1001)</ns0:f>
        <ns0:v>832</ns0:v>
      </ns0:c>
      <ns0:c r="AH836" s="4">
        <ns0:f>IF(Z836&lt;0,A836,0)</ns0:f>
        <ns0:v>0</ns0:v>
      </ns0:c>
      <ns0:c r="AI836" s="12">
        <ns0:f>IF(AND(OR('前提と出典'!$C$36+'前提と出典'!$C$38=0,X836&gt;=0),OR('前提と出典'!$C$37+'前提と出典'!$C$38=0,Y836&gt;=0)),0,A836)</ns0:f>
        <ns0:v>0</ns0:v>
      </ns0:c>
    </ns0:row>
    <ns0:row r="837" ht="24" customHeight="1">
      <ns0:c r="A837" s="4" t="n">
        <ns0:v>833</ns0:v>
      </ns0:c>
      <ns0:c r="B837" s="12">
        <ns0:f>A837*('前提と出典'!$C$36+'前提と出典'!$C$38)</ns0:f>
        <ns0:v>583.0999999999999</ns0:v>
      </ns0:c>
      <ns0:c r="C837" s="12">
        <ns0:f>A837*('前提と出典'!$C$37+'前提と出典'!$C$38)</ns0:f>
        <ns0:v>499.79999999999995</ns0:v>
      </ns0:c>
      <ns0:c r="D837" s="16">
        <ns0:f>A837*('前提と出典'!$C$36*'契約別単価'!C5+'前提と出典'!$C$37*'契約別単価'!C6+'前提と出典'!$C$38*'契約別単価'!C7)</ns0:f>
        <ns0:v>5993.877094972067</ns0:v>
      </ns0:c>
      <ns0:c r="E837" s="16">
        <ns0:f>A837*('前提と出典'!$C$36*'契約別単価'!E5+'前提と出典'!$C$37*'契約別単価'!E6+'前提と出典'!$C$38*'契約別単価'!E7)</ns0:f>
        <ns0:v>1611808.899058061</ns0:v>
      </ns0:c>
      <ns0:c r="F837" s="16">
        <ns0:f>A837*('前提と出典'!$C$36*'契約別単価'!F5+'前提と出典'!$C$37*'契約別単価'!F6+'前提と出典'!$C$38*'契約別単価'!F7)</ns0:f>
        <ns0:v>632576.4345934367</ns0:v>
      </ns0:c>
      <ns0:c r="G837" s="16">
        <ns0:f>A837*('前提と出典'!$C$36*'契約別単価'!G5+'前提と出典'!$C$37*'契約別単価'!G6+'前提と出典'!$C$38*'契約別単価'!G7)</ns0:f>
        <ns0:v>1658088.8268156424</ns0:v>
      </ns0:c>
      <ns0:c r="H837" s="16">
        <ns0:f>A837*('前提と出典'!$C$36*'契約別単価'!H5+'前提と出典'!$C$37*'契約別単価'!H6+'前提と出典'!$C$38*'契約別単価'!H7)</ns0:f>
        <ns0:v>575439.9825945369</ns0:v>
      </ns0:c>
      <ns0:c r="I837" s="16">
        <ns0:f>A837*('前提と出典'!$C$36*'契約別単価'!I5+'前提と出典'!$C$37*'契約別単価'!I6+'前提と出典'!$C$38*'契約別単価'!I7)</ns0:f>
        <ns0:v>35148.877094972064</ns0:v>
      </ns0:c>
      <ns0:c r="J837" s="16">
        <ns0:f>A837*('前提と出典'!$C$36*'契約別単価'!J5+'前提と出典'!$C$37*'契約別単価'!J6+'前提と出典'!$C$38*'契約別単価'!J7)</ns0:f>
        <ns0:v>81875.18991068203</ns0:v>
      </ns0:c>
      <ns0:c r="K837" s="16">
        <ns0:f>A837*('前提と出典'!$C$36*'契約別単価'!K5+'前提と出典'!$C$37*'契約別単価'!K6+'前提と出典'!$C$38*'契約別単価'!K7)</ns0:f>
        <ns0:v>350945.84729981376</ns0:v>
      </ns0:c>
      <ns0:c r="L837" s="16">
        <ns0:f>A837*('前提と出典'!$C$36*'契約別単価'!L5+'前提と出典'!$C$37*'契約別単価'!L6+'前提と出典'!$C$38*'契約別単価'!L7)</ns0:f>
        <ns0:v>285741.3327531512</ns0:v>
      </ns0:c>
      <ns0:c r="M837" s="16">
        <ns0:f>IF(('前提と出典'!$C$36+'前提と出典'!$C$38)=0,0,IF(B837&lt;=10,'前提と出典'!B73+'前提と出典'!C73,IF(B837&lt;=100,'前提と出典'!B74+'前提と出典'!C74,IF(B837&lt;=500,'前提と出典'!B75+'前提と出典'!C75,'前提と出典'!B76+'前提と出典'!C76))))</ns0:f>
        <ns0:v>80000</ns0:v>
      </ns0:c>
      <ns0:c r="N837" s="16">
        <ns0:f>IF(('前提と出典'!$C$37+'前提と出典'!$C$38)=0,0,IF(C837&lt;=10,'前提と出典'!D73+'前提と出典'!E73,IF(C837&lt;=100,'前提と出典'!D74+'前提と出典'!E74,IF(C837&lt;=500,'前提と出典'!D75+'前提と出典'!E75,'前提と出典'!D76+'前提と出典'!E76))))</ns0:f>
        <ns0:v>56510.9346263078</ns0:v>
      </ns0:c>
      <ns0:c r="O837" s="16">
        <ns0:f>IF('前提と出典'!$C$36+'前提と出典'!$C$38=0,0,'前提と出典'!$B$4*IF('前提と出典'!$B$20=0,MAX('前提と出典'!$B$6,D837*'前提と出典'!$B$5),'前提と出典'!$B$6+D837*'前提と出典'!$B$5))</ns0:f>
        <ns0:v>827155.0391061454</ns0:v>
      </ns0:c>
      <ns0:c r="P837" s="16">
        <ns0:f>(E837+G837)*(1-'前提と出典'!$B$7)-I837-K837-M837-O837</ns0:f>
        <ns0:v>1858931.6442413183</ns0:v>
      </ns0:c>
      <ns0:c r="Q837" s="16">
        <ns0:f>(F837+H837)*(1-'前提と出典'!$B$7)-J837-L837-N837</ns0:f>
        <ns0:v>740400.3688790654</ns0:v>
      </ns0:c>
      <ns0:c r="R837" s="16">
        <ns0:f>P837-E837*'前提と出典'!$E$4</ns0:f>
        <ns0:v>1375388.9745239005</ns0:v>
      </ns0:c>
      <ns0:c r="S837" s="16">
        <ns0:f>Q837-F837*'前提と出典'!$E$4</ns0:f>
        <ns0:v>550627.4385010343</ns0:v>
      </ns0:c>
      <ns0:c r="T837" s="7">
        <ns0:f>R837+S837</ns0:f>
        <ns0:v>1926016.413024935</ns0:v>
      </ns0:c>
      <ns0:c r="U837" s="16">
        <ns0:f>P837-E837*'前提と出典'!$E$5</ns0:f>
        <ns0:v>1214208.084618094</ns0:v>
      </ns0:c>
      <ns0:c r="V837" s="16">
        <ns0:f>Q837-F837*'前提と出典'!$E$5</ns0:f>
        <ns0:v>487369.7950416907</ns0:v>
      </ns0:c>
      <ns0:c r="W837" s="7">
        <ns0:f>U837+V837</ns0:f>
        <ns0:v>1701577.8796597845</ns0:v>
      </ns0:c>
      <ns0:c r="X837" s="16">
        <ns0:f>P837-E837*'前提と出典'!$E$6</ns0:f>
        <ns0:v>1053027.1947122882</ns0:v>
      </ns0:c>
      <ns0:c r="Y837" s="16">
        <ns0:f>Q837-F837*'前提と出典'!$E$6</ns0:f>
        <ns0:v>424112.1515823469</ns0:v>
      </ns0:c>
      <ns0:c r="Z837" s="7">
        <ns0:f>X837+Y837</ns0:f>
        <ns0:v>1477139.346294635</ns0:v>
      </ns0:c>
      <ns0:c r="AA837" s="7">
        <ns0:f>IF(T837&gt;=0,A837,1001)</ns0:f>
        <ns0:v>833</ns0:v>
      </ns0:c>
      <ns0:c r="AB837" s="7">
        <ns0:f>IF(T837&lt;0,A837,0)</ns0:f>
        <ns0:v>0</ns0:v>
      </ns0:c>
      <ns0:c r="AC837" s="16">
        <ns0:f>IF(AND(OR('前提と出典'!$C$36+'前提と出典'!$C$38=0,R837&gt;=0),OR('前提と出典'!$C$37+'前提と出典'!$C$38=0,S837&gt;=0)),0,A837)</ns0:f>
        <ns0:v>0</ns0:v>
      </ns0:c>
      <ns0:c r="AD837" s="7">
        <ns0:f>IF(W837&gt;=0,A837,1001)</ns0:f>
        <ns0:v>833</ns0:v>
      </ns0:c>
      <ns0:c r="AE837" s="7">
        <ns0:f>IF(W837&lt;0,A837,0)</ns0:f>
        <ns0:v>0</ns0:v>
      </ns0:c>
      <ns0:c r="AF837" s="16">
        <ns0:f>IF(AND(OR('前提と出典'!$C$36+'前提と出典'!$C$38=0,U837&gt;=0),OR('前提と出典'!$C$37+'前提と出典'!$C$38=0,V837&gt;=0)),0,A837)</ns0:f>
        <ns0:v>0</ns0:v>
      </ns0:c>
      <ns0:c r="AG837" s="7">
        <ns0:f>IF(Z837&gt;=0,A837,1001)</ns0:f>
        <ns0:v>833</ns0:v>
      </ns0:c>
      <ns0:c r="AH837" s="4">
        <ns0:f>IF(Z837&lt;0,A837,0)</ns0:f>
        <ns0:v>0</ns0:v>
      </ns0:c>
      <ns0:c r="AI837" s="12">
        <ns0:f>IF(AND(OR('前提と出典'!$C$36+'前提と出典'!$C$38=0,X837&gt;=0),OR('前提と出典'!$C$37+'前提と出典'!$C$38=0,Y837&gt;=0)),0,A837)</ns0:f>
        <ns0:v>0</ns0:v>
      </ns0:c>
    </ns0:row>
    <ns0:row r="838" ht="24" customHeight="1">
      <ns0:c r="A838" s="4" t="n">
        <ns0:v>834</ns0:v>
      </ns0:c>
      <ns0:c r="B838" s="12">
        <ns0:f>A838*('前提と出典'!$C$36+'前提と出典'!$C$38)</ns0:f>
        <ns0:v>583.8</ns0:v>
      </ns0:c>
      <ns0:c r="C838" s="12">
        <ns0:f>A838*('前提と出典'!$C$37+'前提と出典'!$C$38)</ns0:f>
        <ns0:v>500.4</ns0:v>
      </ns0:c>
      <ns0:c r="D838" s="16">
        <ns0:f>A838*('前提と出典'!$C$36*'契約別単価'!C5+'前提と出典'!$C$37*'契約別単価'!C6+'前提と出典'!$C$38*'契約別単価'!C7)</ns0:f>
        <ns0:v>6001.072625698324</ns0:v>
      </ns0:c>
      <ns0:c r="E838" s="16">
        <ns0:f>A838*('前提と出典'!$C$36*'契約別単価'!E5+'前提と出典'!$C$37*'契約別単価'!E6+'前提と出典'!$C$38*'契約別単価'!E7)</ns0:f>
        <ns0:v>1613743.8437147932</ns0:v>
      </ns0:c>
      <ns0:c r="F838" s="16">
        <ns0:f>A838*('前提と出典'!$C$36*'契約別単価'!F5+'前提と出典'!$C$37*'契約別単価'!F6+'前提と出典'!$C$38*'契約別単価'!F7)</ns0:f>
        <ns0:v>633335.8300731406</ns0:v>
      </ns0:c>
      <ns0:c r="G838" s="16">
        <ns0:f>A838*('前提と出典'!$C$36*'契約別単価'!G5+'前提と出典'!$C$37*'契約別単価'!G6+'前提と出典'!$C$38*'契約別単価'!G7)</ns0:f>
        <ns0:v>1660079.3296089384</ns0:v>
      </ns0:c>
      <ns0:c r="H838" s="16">
        <ns0:f>A838*('前提と出典'!$C$36*'契約別単価'!H5+'前提と出典'!$C$37*'契約別単価'!H6+'前提と出典'!$C$38*'契約別単価'!H7)</ns0:f>
        <ns0:v>576130.7868953706</ns0:v>
      </ns0:c>
      <ns0:c r="I838" s="16">
        <ns0:f>A838*('前提と出典'!$C$36*'契約別単価'!I5+'前提と出典'!$C$37*'契約別単価'!I6+'前提と出典'!$C$38*'契約別単価'!I7)</ns0:f>
        <ns0:v>35191.07262569832</ns0:v>
      </ns0:c>
      <ns0:c r="J838" s="16">
        <ns0:f>A838*('前提と出典'!$C$36*'契約別単価'!J5+'前提と出典'!$C$37*'契約別単価'!J6+'前提と出典'!$C$38*'契約別単価'!J7)</ns0:f>
        <ns0:v>81973.47945439233</ns0:v>
      </ns0:c>
      <ns0:c r="K838" s="16">
        <ns0:f>A838*('前提と出典'!$C$36*'契約別単価'!K5+'前提と出典'!$C$37*'契約別単価'!K6+'前提と出典'!$C$38*'契約別単価'!K7)</ns0:f>
        <ns0:v>351367.1508379888</ns0:v>
      </ns0:c>
      <ns0:c r="L838" s="16">
        <ns0:f>A838*('前提と出典'!$C$36*'契約別単価'!L5+'前提と出典'!$C$37*'契約別単価'!L6+'前提と出典'!$C$38*'契約別単価'!L7)</ns0:f>
        <ns0:v>286084.359563179</ns0:v>
      </ns0:c>
      <ns0:c r="M838" s="16">
        <ns0:f>IF(('前提と出典'!$C$36+'前提と出典'!$C$38)=0,0,IF(B838&lt;=10,'前提と出典'!B73+'前提と出典'!C73,IF(B838&lt;=100,'前提と出典'!B74+'前提と出典'!C74,IF(B838&lt;=500,'前提と出典'!B75+'前提と出典'!C75,'前提と出典'!B76+'前提と出典'!C76))))</ns0:f>
        <ns0:v>80000</ns0:v>
      </ns0:c>
      <ns0:c r="N838" s="16">
        <ns0:f>IF(('前提と出典'!$C$37+'前提と出典'!$C$38)=0,0,IF(C838&lt;=10,'前提と出典'!D73+'前提と出典'!E73,IF(C838&lt;=100,'前提と出典'!D74+'前提と出典'!E74,IF(C838&lt;=500,'前提と出典'!D75+'前提と出典'!E75,'前提と出典'!D76+'前提と出典'!E76))))</ns0:f>
        <ns0:v>86510.9346263078</ns0:v>
      </ns0:c>
      <ns0:c r="O838" s="16">
        <ns0:f>IF('前提と出典'!$C$36+'前提と出典'!$C$38=0,0,'前提と出典'!$B$4*IF('前提と出典'!$B$20=0,MAX('前提と出典'!$B$6,D838*'前提と出典'!$B$5),'前提と出典'!$B$6+D838*'前提と出典'!$B$5))</ns0:f>
        <ns0:v>828148.0223463689</ns0:v>
      </ns0:c>
      <ns0:c r="P838" s="16">
        <ns0:f>(E838+G838)*(1-'前提と出典'!$B$7)-I838-K838-M838-O838</ns0:f>
        <ns0:v>1861259.293274021</ns0:v>
      </ns0:c>
      <ns0:c r="Q838" s="16">
        <ns0:f>(F838+H838)*(1-'前提と出典'!$B$7)-J838-L838-N838</ns0:f>
        <ns0:v>711357.0451137656</ns0:v>
      </ns0:c>
      <ns0:c r="R838" s="16">
        <ns0:f>P838-E838*'前提と出典'!$E$4</ns0:f>
        <ns0:v>1377136.1401595827</ns0:v>
      </ns0:c>
      <ns0:c r="S838" s="16">
        <ns0:f>Q838-F838*'前提と出典'!$E$4</ns0:f>
        <ns0:v>521356.2960918234</ns0:v>
      </ns0:c>
      <ns0:c r="T838" s="7">
        <ns0:f>R838+S838</ns0:f>
        <ns0:v>1898492.436251406</ns0:v>
      </ns0:c>
      <ns0:c r="U838" s="16">
        <ns0:f>P838-E838*'前提と出典'!$E$5</ns0:f>
        <ns0:v>1215761.7557881037</ns0:v>
      </ns0:c>
      <ns0:c r="V838" s="16">
        <ns0:f>Q838-F838*'前提と出典'!$E$5</ns0:f>
        <ns0:v>458022.71308450936</ns0:v>
      </ns0:c>
      <ns0:c r="W838" s="7">
        <ns0:f>U838+V838</ns0:f>
        <ns0:v>1673784.468872613</ns0:v>
      </ns0:c>
      <ns0:c r="X838" s="16">
        <ns0:f>P838-E838*'前提と出典'!$E$6</ns0:f>
        <ns0:v>1054387.3714166246</ns0:v>
      </ns0:c>
      <ns0:c r="Y838" s="16">
        <ns0:f>Q838-F838*'前提と出典'!$E$6</ns0:f>
        <ns0:v>394689.1300771953</ns0:v>
      </ns0:c>
      <ns0:c r="Z838" s="7">
        <ns0:f>X838+Y838</ns0:f>
        <ns0:v>1449076.50149382</ns0:v>
      </ns0:c>
      <ns0:c r="AA838" s="7">
        <ns0:f>IF(T838&gt;=0,A838,1001)</ns0:f>
        <ns0:v>834</ns0:v>
      </ns0:c>
      <ns0:c r="AB838" s="7">
        <ns0:f>IF(T838&lt;0,A838,0)</ns0:f>
        <ns0:v>0</ns0:v>
      </ns0:c>
      <ns0:c r="AC838" s="16">
        <ns0:f>IF(AND(OR('前提と出典'!$C$36+'前提と出典'!$C$38=0,R838&gt;=0),OR('前提と出典'!$C$37+'前提と出典'!$C$38=0,S838&gt;=0)),0,A838)</ns0:f>
        <ns0:v>0</ns0:v>
      </ns0:c>
      <ns0:c r="AD838" s="7">
        <ns0:f>IF(W838&gt;=0,A838,1001)</ns0:f>
        <ns0:v>834</ns0:v>
      </ns0:c>
      <ns0:c r="AE838" s="7">
        <ns0:f>IF(W838&lt;0,A838,0)</ns0:f>
        <ns0:v>0</ns0:v>
      </ns0:c>
      <ns0:c r="AF838" s="16">
        <ns0:f>IF(AND(OR('前提と出典'!$C$36+'前提と出典'!$C$38=0,U838&gt;=0),OR('前提と出典'!$C$37+'前提と出典'!$C$38=0,V838&gt;=0)),0,A838)</ns0:f>
        <ns0:v>0</ns0:v>
      </ns0:c>
      <ns0:c r="AG838" s="7">
        <ns0:f>IF(Z838&gt;=0,A838,1001)</ns0:f>
        <ns0:v>834</ns0:v>
      </ns0:c>
      <ns0:c r="AH838" s="4">
        <ns0:f>IF(Z838&lt;0,A838,0)</ns0:f>
        <ns0:v>0</ns0:v>
      </ns0:c>
      <ns0:c r="AI838" s="12">
        <ns0:f>IF(AND(OR('前提と出典'!$C$36+'前提と出典'!$C$38=0,X838&gt;=0),OR('前提と出典'!$C$37+'前提と出典'!$C$38=0,Y838&gt;=0)),0,A838)</ns0:f>
        <ns0:v>0</ns0:v>
      </ns0:c>
    </ns0:row>
    <ns0:row r="839" ht="24" customHeight="1">
      <ns0:c r="A839" s="4" t="n">
        <ns0:v>835</ns0:v>
      </ns0:c>
      <ns0:c r="B839" s="12">
        <ns0:f>A839*('前提と出典'!$C$36+'前提と出典'!$C$38)</ns0:f>
        <ns0:v>584.5</ns0:v>
      </ns0:c>
      <ns0:c r="C839" s="12">
        <ns0:f>A839*('前提と出典'!$C$37+'前提と出典'!$C$38)</ns0:f>
        <ns0:v>501</ns0:v>
      </ns0:c>
      <ns0:c r="D839" s="16">
        <ns0:f>A839*('前提と出典'!$C$36*'契約別単価'!C5+'前提と出典'!$C$37*'契約別単価'!C6+'前提と出典'!$C$38*'契約別単価'!C7)</ns0:f>
        <ns0:v>6008.268156424581</ns0:v>
      </ns0:c>
      <ns0:c r="E839" s="16">
        <ns0:f>A839*('前提と出典'!$C$36*'契約別単価'!E5+'前提と出典'!$C$37*'契約別単価'!E6+'前提と出典'!$C$38*'契約別単価'!E7)</ns0:f>
        <ns0:v>1615678.7883715255</ns0:v>
      </ns0:c>
      <ns0:c r="F839" s="16">
        <ns0:f>A839*('前提と出典'!$C$36*'契約別単価'!F5+'前提と出典'!$C$37*'契約別単価'!F6+'前提と出典'!$C$38*'契約別単価'!F7)</ns0:f>
        <ns0:v>634095.2255528446</ns0:v>
      </ns0:c>
      <ns0:c r="G839" s="16">
        <ns0:f>A839*('前提と出典'!$C$36*'契約別単価'!G5+'前提と出典'!$C$37*'契約別単価'!G6+'前提と出典'!$C$38*'契約別単価'!G7)</ns0:f>
        <ns0:v>1662069.8324022347</ns0:v>
      </ns0:c>
      <ns0:c r="H839" s="16">
        <ns0:f>A839*('前提と出典'!$C$36*'契約別単価'!H5+'前提と出典'!$C$37*'契約別単価'!H6+'前提と出典'!$C$38*'契約別単価'!H7)</ns0:f>
        <ns0:v>576821.5911962044</ns0:v>
      </ns0:c>
      <ns0:c r="I839" s="16">
        <ns0:f>A839*('前提と出典'!$C$36*'契約別単価'!I5+'前提と出典'!$C$37*'契約別単価'!I6+'前提と出典'!$C$38*'契約別単価'!I7)</ns0:f>
        <ns0:v>35233.26815642457</ns0:v>
      </ns0:c>
      <ns0:c r="J839" s="16">
        <ns0:f>A839*('前提と出典'!$C$36*'契約別単価'!J5+'前提と出典'!$C$37*'契約別単価'!J6+'前提と出典'!$C$38*'契約別単価'!J7)</ns0:f>
        <ns0:v>82071.76899810265</ns0:v>
      </ns0:c>
      <ns0:c r="K839" s="16">
        <ns0:f>A839*('前提と出典'!$C$36*'契約別単価'!K5+'前提と出典'!$C$37*'契約別単価'!K6+'前提と出典'!$C$38*'契約別単価'!K7)</ns0:f>
        <ns0:v>351788.45437616383</ns0:v>
      </ns0:c>
      <ns0:c r="L839" s="16">
        <ns0:f>A839*('前提と出典'!$C$36*'契約別単価'!L5+'前提と出典'!$C$37*'契約別単価'!L6+'前提と出典'!$C$38*'契約別単価'!L7)</ns0:f>
        <ns0:v>286427.3863732068</ns0:v>
      </ns0:c>
      <ns0:c r="M839" s="16">
        <ns0:f>IF(('前提と出典'!$C$36+'前提と出典'!$C$38)=0,0,IF(B839&lt;=10,'前提と出典'!B73+'前提と出典'!C73,IF(B839&lt;=100,'前提と出典'!B74+'前提と出典'!C74,IF(B839&lt;=500,'前提と出典'!B75+'前提と出典'!C75,'前提と出典'!B76+'前提と出典'!C76))))</ns0:f>
        <ns0:v>80000</ns0:v>
      </ns0:c>
      <ns0:c r="N839" s="16">
        <ns0:f>IF(('前提と出典'!$C$37+'前提と出典'!$C$38)=0,0,IF(C839&lt;=10,'前提と出典'!D73+'前提と出典'!E73,IF(C839&lt;=100,'前提と出典'!D74+'前提と出典'!E74,IF(C839&lt;=500,'前提と出典'!D75+'前提と出典'!E75,'前提と出典'!D76+'前提と出典'!E76))))</ns0:f>
        <ns0:v>86510.9346263078</ns0:v>
      </ns0:c>
      <ns0:c r="O839" s="16">
        <ns0:f>IF('前提と出典'!$C$36+'前提と出典'!$C$38=0,0,'前提と出典'!$B$4*IF('前提と出典'!$B$20=0,MAX('前提と出典'!$B$6,D839*'前提と出典'!$B$5),'前提と出典'!$B$6+D839*'前提と出典'!$B$5))</ns0:f>
        <ns0:v>829141.0055865922</ns0:v>
      </ns0:c>
      <ns0:c r="P839" s="16">
        <ns0:f>(E839+G839)*(1-'前提と出典'!$B$7)-I839-K839-M839-O839</ns0:f>
        <ns0:v>1863586.9423067244</ns0:v>
      </ns0:c>
      <ns0:c r="Q839" s="16">
        <ns0:f>(F839+H839)*(1-'前提と出典'!$B$7)-J839-L839-N839</ns0:f>
        <ns0:v>712313.721348466</ns0:v>
      </ns0:c>
      <ns0:c r="R839" s="16">
        <ns0:f>P839-E839*'前提と出典'!$E$4</ns0:f>
        <ns0:v>1378883.3057952665</ns0:v>
      </ns0:c>
      <ns0:c r="S839" s="16">
        <ns0:f>Q839-F839*'前提と出典'!$E$4</ns0:f>
        <ns0:v>522085.1536826126</ns0:v>
      </ns0:c>
      <ns0:c r="T839" s="7">
        <ns0:f>R839+S839</ns0:f>
        <ns0:v>1900968.459477879</ns0:v>
      </ns0:c>
      <ns0:c r="U839" s="16">
        <ns0:f>P839-E839*'前提と出典'!$E$5</ns0:f>
        <ns0:v>1217315.4269581141</ns0:v>
      </ns0:c>
      <ns0:c r="V839" s="16">
        <ns0:f>Q839-F839*'前提と出典'!$E$5</ns0:f>
        <ns0:v>458675.63112732815</ns0:v>
      </ns0:c>
      <ns0:c r="W839" s="7">
        <ns0:f>U839+V839</ns0:f>
        <ns0:v>1675991.0580854423</ns0:v>
      </ns0:c>
      <ns0:c r="X839" s="16">
        <ns0:f>P839-E839*'前提と出典'!$E$6</ns0:f>
        <ns0:v>1055747.5481209613</ns0:v>
      </ns0:c>
      <ns0:c r="Y839" s="16">
        <ns0:f>Q839-F839*'前提と出典'!$E$6</ns0:f>
        <ns0:v>395266.10857204365</ns0:v>
      </ns0:c>
      <ns0:c r="Z839" s="7">
        <ns0:f>X839+Y839</ns0:f>
        <ns0:v>1451013.656693005</ns0:v>
      </ns0:c>
      <ns0:c r="AA839" s="7">
        <ns0:f>IF(T839&gt;=0,A839,1001)</ns0:f>
        <ns0:v>835</ns0:v>
      </ns0:c>
      <ns0:c r="AB839" s="7">
        <ns0:f>IF(T839&lt;0,A839,0)</ns0:f>
        <ns0:v>0</ns0:v>
      </ns0:c>
      <ns0:c r="AC839" s="16">
        <ns0:f>IF(AND(OR('前提と出典'!$C$36+'前提と出典'!$C$38=0,R839&gt;=0),OR('前提と出典'!$C$37+'前提と出典'!$C$38=0,S839&gt;=0)),0,A839)</ns0:f>
        <ns0:v>0</ns0:v>
      </ns0:c>
      <ns0:c r="AD839" s="7">
        <ns0:f>IF(W839&gt;=0,A839,1001)</ns0:f>
        <ns0:v>835</ns0:v>
      </ns0:c>
      <ns0:c r="AE839" s="7">
        <ns0:f>IF(W839&lt;0,A839,0)</ns0:f>
        <ns0:v>0</ns0:v>
      </ns0:c>
      <ns0:c r="AF839" s="16">
        <ns0:f>IF(AND(OR('前提と出典'!$C$36+'前提と出典'!$C$38=0,U839&gt;=0),OR('前提と出典'!$C$37+'前提と出典'!$C$38=0,V839&gt;=0)),0,A839)</ns0:f>
        <ns0:v>0</ns0:v>
      </ns0:c>
      <ns0:c r="AG839" s="7">
        <ns0:f>IF(Z839&gt;=0,A839,1001)</ns0:f>
        <ns0:v>835</ns0:v>
      </ns0:c>
      <ns0:c r="AH839" s="4">
        <ns0:f>IF(Z839&lt;0,A839,0)</ns0:f>
        <ns0:v>0</ns0:v>
      </ns0:c>
      <ns0:c r="AI839" s="12">
        <ns0:f>IF(AND(OR('前提と出典'!$C$36+'前提と出典'!$C$38=0,X839&gt;=0),OR('前提と出典'!$C$37+'前提と出典'!$C$38=0,Y839&gt;=0)),0,A839)</ns0:f>
        <ns0:v>0</ns0:v>
      </ns0:c>
    </ns0:row>
    <ns0:row r="840" ht="24" customHeight="1">
      <ns0:c r="A840" s="4" t="n">
        <ns0:v>836</ns0:v>
      </ns0:c>
      <ns0:c r="B840" s="12">
        <ns0:f>A840*('前提と出典'!$C$36+'前提と出典'!$C$38)</ns0:f>
        <ns0:v>585.1999999999999</ns0:v>
      </ns0:c>
      <ns0:c r="C840" s="12">
        <ns0:f>A840*('前提と出典'!$C$37+'前提と出典'!$C$38)</ns0:f>
        <ns0:v>501.59999999999997</ns0:v>
      </ns0:c>
      <ns0:c r="D840" s="16">
        <ns0:f>A840*('前提と出典'!$C$36*'契約別単価'!C5+'前提と出典'!$C$37*'契約別単価'!C6+'前提と出典'!$C$38*'契約別単価'!C7)</ns0:f>
        <ns0:v>6015.463687150838</ns0:v>
      </ns0:c>
      <ns0:c r="E840" s="16">
        <ns0:f>A840*('前提と出典'!$C$36*'契約別単価'!E5+'前提と出典'!$C$37*'契約別単価'!E6+'前提と出典'!$C$38*'契約別単価'!E7)</ns0:f>
        <ns0:v>1617613.733028258</ns0:v>
      </ns0:c>
      <ns0:c r="F840" s="16">
        <ns0:f>A840*('前提と出典'!$C$36*'契約別単価'!F5+'前提と出典'!$C$37*'契約別単価'!F6+'前提と出典'!$C$38*'契約別単価'!F7)</ns0:f>
        <ns0:v>634854.6210325486</ns0:v>
      </ns0:c>
      <ns0:c r="G840" s="16">
        <ns0:f>A840*('前提と出典'!$C$36*'契約別単価'!G5+'前提と出典'!$C$37*'契約別単価'!G6+'前提と出典'!$C$38*'契約別単価'!G7)</ns0:f>
        <ns0:v>1664060.3351955307</ns0:v>
      </ns0:c>
      <ns0:c r="H840" s="16">
        <ns0:f>A840*('前提と出典'!$C$36*'契約別単価'!H5+'前提と出典'!$C$37*'契約別単価'!H6+'前提と出典'!$C$38*'契約別単価'!H7)</ns0:f>
        <ns0:v>577512.3954970381</ns0:v>
      </ns0:c>
      <ns0:c r="I840" s="16">
        <ns0:f>A840*('前提と出典'!$C$36*'契約別単価'!I5+'前提と出典'!$C$37*'契約別単価'!I6+'前提と出典'!$C$38*'契約別単価'!I7)</ns0:f>
        <ns0:v>35275.463687150834</ns0:v>
      </ns0:c>
      <ns0:c r="J840" s="16">
        <ns0:f>A840*('前提と出典'!$C$36*'契約別単価'!J5+'前提と出典'!$C$37*'契約別単価'!J6+'前提と出典'!$C$38*'契約別単価'!J7)</ns0:f>
        <ns0:v>82170.05854181295</ns0:v>
      </ns0:c>
      <ns0:c r="K840" s="16">
        <ns0:f>A840*('前提と出典'!$C$36*'契約別単価'!K5+'前提と出典'!$C$37*'契約別単価'!K6+'前提と出典'!$C$38*'契約別単価'!K7)</ns0:f>
        <ns0:v>352209.7579143389</ns0:v>
      </ns0:c>
      <ns0:c r="L840" s="16">
        <ns0:f>A840*('前提と出典'!$C$36*'契約別単価'!L5+'前提と出典'!$C$37*'契約別単価'!L6+'前提と出典'!$C$38*'契約別単価'!L7)</ns0:f>
        <ns0:v>286770.4131832346</ns0:v>
      </ns0:c>
      <ns0:c r="M840" s="16">
        <ns0:f>IF(('前提と出典'!$C$36+'前提と出典'!$C$38)=0,0,IF(B840&lt;=10,'前提と出典'!B73+'前提と出典'!C73,IF(B840&lt;=100,'前提と出典'!B74+'前提と出典'!C74,IF(B840&lt;=500,'前提と出典'!B75+'前提と出典'!C75,'前提と出典'!B76+'前提と出典'!C76))))</ns0:f>
        <ns0:v>80000</ns0:v>
      </ns0:c>
      <ns0:c r="N840" s="16">
        <ns0:f>IF(('前提と出典'!$C$37+'前提と出典'!$C$38)=0,0,IF(C840&lt;=10,'前提と出典'!D73+'前提と出典'!E73,IF(C840&lt;=100,'前提と出典'!D74+'前提と出典'!E74,IF(C840&lt;=500,'前提と出典'!D75+'前提と出典'!E75,'前提と出典'!D76+'前提と出典'!E76))))</ns0:f>
        <ns0:v>86510.9346263078</ns0:v>
      </ns0:c>
      <ns0:c r="O840" s="16">
        <ns0:f>IF('前提と出典'!$C$36+'前提と出典'!$C$38=0,0,'前提と出典'!$B$4*IF('前提と出典'!$B$20=0,MAX('前提と出典'!$B$6,D840*'前提と出典'!$B$5),'前提と出典'!$B$6+D840*'前提と出典'!$B$5))</ns0:f>
        <ns0:v>830133.9888268156</ns0:v>
      </ns0:c>
      <ns0:c r="P840" s="16">
        <ns0:f>(E840+G840)*(1-'前提と出典'!$B$7)-I840-K840-M840-O840</ns0:f>
        <ns0:v>1865914.591339427</ns0:v>
      </ns0:c>
      <ns0:c r="Q840" s="16">
        <ns0:f>(F840+H840)*(1-'前提と出典'!$B$7)-J840-L840-N840</ns0:f>
        <ns0:v>713270.3975831661</ns0:v>
      </ns0:c>
      <ns0:c r="R840" s="16">
        <ns0:f>P840-E840*'前提と出典'!$E$4</ns0:f>
        <ns0:v>1380630.4714309499</ns0:v>
      </ns0:c>
      <ns0:c r="S840" s="16">
        <ns0:f>Q840-F840*'前提と出典'!$E$4</ns0:f>
        <ns0:v>522814.01127340156</ns0:v>
      </ns0:c>
      <ns0:c r="T840" s="7">
        <ns0:f>R840+S840</ns0:f>
        <ns0:v>1903444.4827043514</ns0:v>
      </ns0:c>
      <ns0:c r="U840" s="16">
        <ns0:f>P840-E840*'前提と出典'!$E$5</ns0:f>
        <ns0:v>1218869.0981281237</ns0:v>
      </ns0:c>
      <ns0:c r="V840" s="16">
        <ns0:f>Q840-F840*'前提と出典'!$E$5</ns0:f>
        <ns0:v>459328.5491701467</ns0:v>
      </ns0:c>
      <ns0:c r="W840" s="7">
        <ns0:f>U840+V840</ns0:f>
        <ns0:v>1678197.6472982704</ns0:v>
      </ns0:c>
      <ns0:c r="X840" s="16">
        <ns0:f>P840-E840*'前提と出典'!$E$6</ns0:f>
        <ns0:v>1057107.7248252975</ns0:v>
      </ns0:c>
      <ns0:c r="Y840" s="16">
        <ns0:f>Q840-F840*'前提と出典'!$E$6</ns0:f>
        <ns0:v>395843.0870668919</ns0:v>
      </ns0:c>
      <ns0:c r="Z840" s="7">
        <ns0:f>X840+Y840</ns0:f>
        <ns0:v>1452950.8118921893</ns0:v>
      </ns0:c>
      <ns0:c r="AA840" s="7">
        <ns0:f>IF(T840&gt;=0,A840,1001)</ns0:f>
        <ns0:v>836</ns0:v>
      </ns0:c>
      <ns0:c r="AB840" s="7">
        <ns0:f>IF(T840&lt;0,A840,0)</ns0:f>
        <ns0:v>0</ns0:v>
      </ns0:c>
      <ns0:c r="AC840" s="16">
        <ns0:f>IF(AND(OR('前提と出典'!$C$36+'前提と出典'!$C$38=0,R840&gt;=0),OR('前提と出典'!$C$37+'前提と出典'!$C$38=0,S840&gt;=0)),0,A840)</ns0:f>
        <ns0:v>0</ns0:v>
      </ns0:c>
      <ns0:c r="AD840" s="7">
        <ns0:f>IF(W840&gt;=0,A840,1001)</ns0:f>
        <ns0:v>836</ns0:v>
      </ns0:c>
      <ns0:c r="AE840" s="7">
        <ns0:f>IF(W840&lt;0,A840,0)</ns0:f>
        <ns0:v>0</ns0:v>
      </ns0:c>
      <ns0:c r="AF840" s="16">
        <ns0:f>IF(AND(OR('前提と出典'!$C$36+'前提と出典'!$C$38=0,U840&gt;=0),OR('前提と出典'!$C$37+'前提と出典'!$C$38=0,V840&gt;=0)),0,A840)</ns0:f>
        <ns0:v>0</ns0:v>
      </ns0:c>
      <ns0:c r="AG840" s="7">
        <ns0:f>IF(Z840&gt;=0,A840,1001)</ns0:f>
        <ns0:v>836</ns0:v>
      </ns0:c>
      <ns0:c r="AH840" s="4">
        <ns0:f>IF(Z840&lt;0,A840,0)</ns0:f>
        <ns0:v>0</ns0:v>
      </ns0:c>
      <ns0:c r="AI840" s="12">
        <ns0:f>IF(AND(OR('前提と出典'!$C$36+'前提と出典'!$C$38=0,X840&gt;=0),OR('前提と出典'!$C$37+'前提と出典'!$C$38=0,Y840&gt;=0)),0,A840)</ns0:f>
        <ns0:v>0</ns0:v>
      </ns0:c>
    </ns0:row>
    <ns0:row r="841" ht="24" customHeight="1">
      <ns0:c r="A841" s="4" t="n">
        <ns0:v>837</ns0:v>
      </ns0:c>
      <ns0:c r="B841" s="12">
        <ns0:f>A841*('前提と出典'!$C$36+'前提と出典'!$C$38)</ns0:f>
        <ns0:v>585.9</ns0:v>
      </ns0:c>
      <ns0:c r="C841" s="12">
        <ns0:f>A841*('前提と出典'!$C$37+'前提と出典'!$C$38)</ns0:f>
        <ns0:v>502.2</ns0:v>
      </ns0:c>
      <ns0:c r="D841" s="16">
        <ns0:f>A841*('前提と出典'!$C$36*'契約別単価'!C5+'前提と出典'!$C$37*'契約別単価'!C6+'前提と出典'!$C$38*'契約別単価'!C7)</ns0:f>
        <ns0:v>6022.659217877095</ns0:v>
      </ns0:c>
      <ns0:c r="E841" s="16">
        <ns0:f>A841*('前提と出典'!$C$36*'契約別単価'!E5+'前提と出典'!$C$37*'契約別単価'!E6+'前提と出典'!$C$38*'契約別単価'!E7)</ns0:f>
        <ns0:v>1619548.6776849902</ns0:v>
      </ns0:c>
      <ns0:c r="F841" s="16">
        <ns0:f>A841*('前提と出典'!$C$36*'契約別単価'!F5+'前提と出典'!$C$37*'契約別単価'!F6+'前提と出典'!$C$38*'契約別単価'!F7)</ns0:f>
        <ns0:v>635614.0165122526</ns0:v>
      </ns0:c>
      <ns0:c r="G841" s="16">
        <ns0:f>A841*('前提と出典'!$C$36*'契約別単価'!G5+'前提と出典'!$C$37*'契約別単価'!G6+'前提と出典'!$C$38*'契約別単価'!G7)</ns0:f>
        <ns0:v>1666050.8379888267</ns0:v>
      </ns0:c>
      <ns0:c r="H841" s="16">
        <ns0:f>A841*('前提と出典'!$C$36*'契約別単価'!H5+'前提と出典'!$C$37*'契約別単価'!H6+'前提と出典'!$C$38*'契約別単価'!H7)</ns0:f>
        <ns0:v>578203.1997978719</ns0:v>
      </ns0:c>
      <ns0:c r="I841" s="16">
        <ns0:f>A841*('前提と出典'!$C$36*'契約別単価'!I5+'前提と出典'!$C$37*'契約別単価'!I6+'前提と出典'!$C$38*'契約別単価'!I7)</ns0:f>
        <ns0:v>35317.65921787709</ns0:v>
      </ns0:c>
      <ns0:c r="J841" s="16">
        <ns0:f>A841*('前提と出典'!$C$36*'契約別単価'!J5+'前提と出典'!$C$37*'契約別単価'!J6+'前提と出典'!$C$38*'契約別単価'!J7)</ns0:f>
        <ns0:v>82268.34808552325</ns0:v>
      </ns0:c>
      <ns0:c r="K841" s="16">
        <ns0:f>A841*('前提と出典'!$C$36*'契約別単価'!K5+'前提と出典'!$C$37*'契約別単価'!K6+'前提と出典'!$C$38*'契約別単価'!K7)</ns0:f>
        <ns0:v>352631.06145251397</ns0:v>
      </ns0:c>
      <ns0:c r="L841" s="16">
        <ns0:f>A841*('前提と出典'!$C$36*'契約別単価'!L5+'前提と出典'!$C$37*'契約別単価'!L6+'前提と出典'!$C$38*'契約別単価'!L7)</ns0:f>
        <ns0:v>287113.4399932624</ns0:v>
      </ns0:c>
      <ns0:c r="M841" s="16">
        <ns0:f>IF(('前提と出典'!$C$36+'前提と出典'!$C$38)=0,0,IF(B841&lt;=10,'前提と出典'!B73+'前提と出典'!C73,IF(B841&lt;=100,'前提と出典'!B74+'前提と出典'!C74,IF(B841&lt;=500,'前提と出典'!B75+'前提と出典'!C75,'前提と出典'!B76+'前提と出典'!C76))))</ns0:f>
        <ns0:v>80000</ns0:v>
      </ns0:c>
      <ns0:c r="N841" s="16">
        <ns0:f>IF(('前提と出典'!$C$37+'前提と出典'!$C$38)=0,0,IF(C841&lt;=10,'前提と出典'!D73+'前提と出典'!E73,IF(C841&lt;=100,'前提と出典'!D74+'前提と出典'!E74,IF(C841&lt;=500,'前提と出典'!D75+'前提と出典'!E75,'前提と出典'!D76+'前提と出典'!E76))))</ns0:f>
        <ns0:v>86510.9346263078</ns0:v>
      </ns0:c>
      <ns0:c r="O841" s="16">
        <ns0:f>IF('前提と出典'!$C$36+'前提と出典'!$C$38=0,0,'前提と出典'!$B$4*IF('前提と出典'!$B$20=0,MAX('前提と出典'!$B$6,D841*'前提と出典'!$B$5),'前提と出典'!$B$6+D841*'前提と出典'!$B$5))</ns0:f>
        <ns0:v>831126.9720670391</ns0:v>
      </ns0:c>
      <ns0:c r="P841" s="16">
        <ns0:f>(E841+G841)*(1-'前提と出典'!$B$7)-I841-K841-M841-O841</ns0:f>
        <ns0:v>1868242.2403721293</ns0:v>
      </ns0:c>
      <ns0:c r="Q841" s="16">
        <ns0:f>(F841+H841)*(1-'前提と出典'!$B$7)-J841-L841-N841</ns0:f>
        <ns0:v>714227.0738178665</ns0:v>
      </ns0:c>
      <ns0:c r="R841" s="16">
        <ns0:f>P841-E841*'前提と出典'!$E$4</ns0:f>
        <ns0:v>1382377.637066632</ns0:v>
      </ns0:c>
      <ns0:c r="S841" s="16">
        <ns0:f>Q841-F841*'前提と出典'!$E$4</ns0:f>
        <ns0:v>523542.86886419076</ns0:v>
      </ns0:c>
      <ns0:c r="T841" s="7">
        <ns0:f>R841+S841</ns0:f>
        <ns0:v>1905920.5059308228</ns0:v>
      </ns0:c>
      <ns0:c r="U841" s="16">
        <ns0:f>P841-E841*'前提と出典'!$E$5</ns0:f>
        <ns0:v>1220422.769298133</ns0:v>
      </ns0:c>
      <ns0:c r="V841" s="16">
        <ns0:f>Q841-F841*'前提と出典'!$E$5</ns0:f>
        <ns0:v>459981.4672129655</ns0:v>
      </ns0:c>
      <ns0:c r="W841" s="7">
        <ns0:f>U841+V841</ns0:f>
        <ns0:v>1680404.2365110985</ns0:v>
      </ns0:c>
      <ns0:c r="X841" s="16">
        <ns0:f>P841-E841*'前提と出典'!$E$6</ns0:f>
        <ns0:v>1058467.901529634</ns0:v>
      </ns0:c>
      <ns0:c r="Y841" s="16">
        <ns0:f>Q841-F841*'前提と出典'!$E$6</ns0:f>
        <ns0:v>396420.0655617402</ns0:v>
      </ns0:c>
      <ns0:c r="Z841" s="7">
        <ns0:f>X841+Y841</ns0:f>
        <ns0:v>1454887.967091374</ns0:v>
      </ns0:c>
      <ns0:c r="AA841" s="7">
        <ns0:f>IF(T841&gt;=0,A841,1001)</ns0:f>
        <ns0:v>837</ns0:v>
      </ns0:c>
      <ns0:c r="AB841" s="7">
        <ns0:f>IF(T841&lt;0,A841,0)</ns0:f>
        <ns0:v>0</ns0:v>
      </ns0:c>
      <ns0:c r="AC841" s="16">
        <ns0:f>IF(AND(OR('前提と出典'!$C$36+'前提と出典'!$C$38=0,R841&gt;=0),OR('前提と出典'!$C$37+'前提と出典'!$C$38=0,S841&gt;=0)),0,A841)</ns0:f>
        <ns0:v>0</ns0:v>
      </ns0:c>
      <ns0:c r="AD841" s="7">
        <ns0:f>IF(W841&gt;=0,A841,1001)</ns0:f>
        <ns0:v>837</ns0:v>
      </ns0:c>
      <ns0:c r="AE841" s="7">
        <ns0:f>IF(W841&lt;0,A841,0)</ns0:f>
        <ns0:v>0</ns0:v>
      </ns0:c>
      <ns0:c r="AF841" s="16">
        <ns0:f>IF(AND(OR('前提と出典'!$C$36+'前提と出典'!$C$38=0,U841&gt;=0),OR('前提と出典'!$C$37+'前提と出典'!$C$38=0,V841&gt;=0)),0,A841)</ns0:f>
        <ns0:v>0</ns0:v>
      </ns0:c>
      <ns0:c r="AG841" s="7">
        <ns0:f>IF(Z841&gt;=0,A841,1001)</ns0:f>
        <ns0:v>837</ns0:v>
      </ns0:c>
      <ns0:c r="AH841" s="4">
        <ns0:f>IF(Z841&lt;0,A841,0)</ns0:f>
        <ns0:v>0</ns0:v>
      </ns0:c>
      <ns0:c r="AI841" s="12">
        <ns0:f>IF(AND(OR('前提と出典'!$C$36+'前提と出典'!$C$38=0,X841&gt;=0),OR('前提と出典'!$C$37+'前提と出典'!$C$38=0,Y841&gt;=0)),0,A841)</ns0:f>
        <ns0:v>0</ns0:v>
      </ns0:c>
    </ns0:row>
    <ns0:row r="842" ht="24" customHeight="1">
      <ns0:c r="A842" s="4" t="n">
        <ns0:v>838</ns0:v>
      </ns0:c>
      <ns0:c r="B842" s="12">
        <ns0:f>A842*('前提と出典'!$C$36+'前提と出典'!$C$38)</ns0:f>
        <ns0:v>586.5999999999999</ns0:v>
      </ns0:c>
      <ns0:c r="C842" s="12">
        <ns0:f>A842*('前提と出典'!$C$37+'前提と出典'!$C$38)</ns0:f>
        <ns0:v>502.79999999999995</ns0:v>
      </ns0:c>
      <ns0:c r="D842" s="16">
        <ns0:f>A842*('前提と出典'!$C$36*'契約別単価'!C5+'前提と出典'!$C$37*'契約別単価'!C6+'前提と出典'!$C$38*'契約別単価'!C7)</ns0:f>
        <ns0:v>6029.854748603352</ns0:v>
      </ns0:c>
      <ns0:c r="E842" s="16">
        <ns0:f>A842*('前提と出典'!$C$36*'契約別単価'!E5+'前提と出典'!$C$37*'契約別単価'!E6+'前提と出典'!$C$38*'契約別単価'!E7)</ns0:f>
        <ns0:v>1621483.6223417227</ns0:v>
      </ns0:c>
      <ns0:c r="F842" s="16">
        <ns0:f>A842*('前提と出典'!$C$36*'契約別単価'!F5+'前提と出典'!$C$37*'契約別単価'!F6+'前提と出典'!$C$38*'契約別単価'!F7)</ns0:f>
        <ns0:v>636373.4119919566</ns0:v>
      </ns0:c>
      <ns0:c r="G842" s="16">
        <ns0:f>A842*('前提と出典'!$C$36*'契約別単価'!G5+'前提と出典'!$C$37*'契約別単価'!G6+'前提と出典'!$C$38*'契約別単価'!G7)</ns0:f>
        <ns0:v>1668041.340782123</ns0:v>
      </ns0:c>
      <ns0:c r="H842" s="16">
        <ns0:f>A842*('前提と出典'!$C$36*'契約別単価'!H5+'前提と出典'!$C$37*'契約別単価'!H6+'前提と出典'!$C$38*'契約別単価'!H7)</ns0:f>
        <ns0:v>578894.0040987057</ns0:v>
      </ns0:c>
      <ns0:c r="I842" s="16">
        <ns0:f>A842*('前提と出典'!$C$36*'契約別単価'!I5+'前提と出典'!$C$37*'契約別単価'!I6+'前提と出典'!$C$38*'契約別単価'!I7)</ns0:f>
        <ns0:v>35359.85474860335</ns0:v>
      </ns0:c>
      <ns0:c r="J842" s="16">
        <ns0:f>A842*('前提と出典'!$C$36*'契約別単価'!J5+'前提と出典'!$C$37*'契約別単価'!J6+'前提と出典'!$C$38*'契約別単価'!J7)</ns0:f>
        <ns0:v>82366.63762923355</ns0:v>
      </ns0:c>
      <ns0:c r="K842" s="16">
        <ns0:f>A842*('前提と出典'!$C$36*'契約別単価'!K5+'前提と出典'!$C$37*'契約別単価'!K6+'前提と出典'!$C$38*'契約別単価'!K7)</ns0:f>
        <ns0:v>353052.364990689</ns0:v>
      </ns0:c>
      <ns0:c r="L842" s="16">
        <ns0:f>A842*('前提と出典'!$C$36*'契約別単価'!L5+'前提と出典'!$C$37*'契約別単価'!L6+'前提と出典'!$C$38*'契約別単価'!L7)</ns0:f>
        <ns0:v>287456.4668032902</ns0:v>
      </ns0:c>
      <ns0:c r="M842" s="16">
        <ns0:f>IF(('前提と出典'!$C$36+'前提と出典'!$C$38)=0,0,IF(B842&lt;=10,'前提と出典'!B73+'前提と出典'!C73,IF(B842&lt;=100,'前提と出典'!B74+'前提と出典'!C74,IF(B842&lt;=500,'前提と出典'!B75+'前提と出典'!C75,'前提と出典'!B76+'前提と出典'!C76))))</ns0:f>
        <ns0:v>80000</ns0:v>
      </ns0:c>
      <ns0:c r="N842" s="16">
        <ns0:f>IF(('前提と出典'!$C$37+'前提と出典'!$C$38)=0,0,IF(C842&lt;=10,'前提と出典'!D73+'前提と出典'!E73,IF(C842&lt;=100,'前提と出典'!D74+'前提と出典'!E74,IF(C842&lt;=500,'前提と出典'!D75+'前提と出典'!E75,'前提と出典'!D76+'前提と出典'!E76))))</ns0:f>
        <ns0:v>86510.9346263078</ns0:v>
      </ns0:c>
      <ns0:c r="O842" s="16">
        <ns0:f>IF('前提と出典'!$C$36+'前提と出典'!$C$38=0,0,'前提と出典'!$B$4*IF('前提と出典'!$B$20=0,MAX('前提と出典'!$B$6,D842*'前提と出典'!$B$5),'前提と出典'!$B$6+D842*'前提と出典'!$B$5))</ns0:f>
        <ns0:v>832119.9553072626</ns0:v>
      </ns0:c>
      <ns0:c r="P842" s="16">
        <ns0:f>(E842+G842)*(1-'前提と出典'!$B$7)-I842-K842-M842-O842</ns0:f>
        <ns0:v>1870569.8894048329</ns0:v>
      </ns0:c>
      <ns0:c r="Q842" s="16">
        <ns0:f>(F842+H842)*(1-'前提と出典'!$B$7)-J842-L842-N842</ns0:f>
        <ns0:v>715183.7500525671</ns0:v>
      </ns0:c>
      <ns0:c r="R842" s="16">
        <ns0:f>P842-E842*'前提と出典'!$E$4</ns0:f>
        <ns0:v>1384124.802702316</ns0:v>
      </ns0:c>
      <ns0:c r="S842" s="16">
        <ns0:f>Q842-F842*'前提と出典'!$E$4</ns0:f>
        <ns0:v>524271.72645498</ns0:v>
      </ns0:c>
      <ns0:c r="T842" s="7">
        <ns0:f>R842+S842</ns0:f>
        <ns0:v>1908396.529157296</ns0:v>
      </ns0:c>
      <ns0:c r="U842" s="16">
        <ns0:f>P842-E842*'前提と出典'!$E$5</ns0:f>
        <ns0:v>1221976.4404681437</ns0:v>
      </ns0:c>
      <ns0:c r="V842" s="16">
        <ns0:f>Q842-F842*'前提と出典'!$E$5</ns0:f>
        <ns0:v>460634.3852557844</ns0:v>
      </ns0:c>
      <ns0:c r="W842" s="7">
        <ns0:f>U842+V842</ns0:f>
        <ns0:v>1682610.825723928</ns0:v>
      </ns0:c>
      <ns0:c r="X842" s="16">
        <ns0:f>P842-E842*'前提と出典'!$E$6</ns0:f>
        <ns0:v>1059828.0782339717</ns0:v>
      </ns0:c>
      <ns0:c r="Y842" s="16">
        <ns0:f>Q842-F842*'前提と出典'!$E$6</ns0:f>
        <ns0:v>396997.04405658867</ns0:v>
      </ns0:c>
      <ns0:c r="Z842" s="7">
        <ns0:f>X842+Y842</ns0:f>
        <ns0:v>1456825.1222905605</ns0:v>
      </ns0:c>
      <ns0:c r="AA842" s="7">
        <ns0:f>IF(T842&gt;=0,A842,1001)</ns0:f>
        <ns0:v>838</ns0:v>
      </ns0:c>
      <ns0:c r="AB842" s="7">
        <ns0:f>IF(T842&lt;0,A842,0)</ns0:f>
        <ns0:v>0</ns0:v>
      </ns0:c>
      <ns0:c r="AC842" s="16">
        <ns0:f>IF(AND(OR('前提と出典'!$C$36+'前提と出典'!$C$38=0,R842&gt;=0),OR('前提と出典'!$C$37+'前提と出典'!$C$38=0,S842&gt;=0)),0,A842)</ns0:f>
        <ns0:v>0</ns0:v>
      </ns0:c>
      <ns0:c r="AD842" s="7">
        <ns0:f>IF(W842&gt;=0,A842,1001)</ns0:f>
        <ns0:v>838</ns0:v>
      </ns0:c>
      <ns0:c r="AE842" s="7">
        <ns0:f>IF(W842&lt;0,A842,0)</ns0:f>
        <ns0:v>0</ns0:v>
      </ns0:c>
      <ns0:c r="AF842" s="16">
        <ns0:f>IF(AND(OR('前提と出典'!$C$36+'前提と出典'!$C$38=0,U842&gt;=0),OR('前提と出典'!$C$37+'前提と出典'!$C$38=0,V842&gt;=0)),0,A842)</ns0:f>
        <ns0:v>0</ns0:v>
      </ns0:c>
      <ns0:c r="AG842" s="7">
        <ns0:f>IF(Z842&gt;=0,A842,1001)</ns0:f>
        <ns0:v>838</ns0:v>
      </ns0:c>
      <ns0:c r="AH842" s="4">
        <ns0:f>IF(Z842&lt;0,A842,0)</ns0:f>
        <ns0:v>0</ns0:v>
      </ns0:c>
      <ns0:c r="AI842" s="12">
        <ns0:f>IF(AND(OR('前提と出典'!$C$36+'前提と出典'!$C$38=0,X842&gt;=0),OR('前提と出典'!$C$37+'前提と出典'!$C$38=0,Y842&gt;=0)),0,A842)</ns0:f>
        <ns0:v>0</ns0:v>
      </ns0:c>
    </ns0:row>
    <ns0:row r="843" ht="24" customHeight="1">
      <ns0:c r="A843" s="4" t="n">
        <ns0:v>839</ns0:v>
      </ns0:c>
      <ns0:c r="B843" s="12">
        <ns0:f>A843*('前提と出典'!$C$36+'前提と出典'!$C$38)</ns0:f>
        <ns0:v>587.3</ns0:v>
      </ns0:c>
      <ns0:c r="C843" s="12">
        <ns0:f>A843*('前提と出典'!$C$37+'前提と出典'!$C$38)</ns0:f>
        <ns0:v>503.4</ns0:v>
      </ns0:c>
      <ns0:c r="D843" s="16">
        <ns0:f>A843*('前提と出典'!$C$36*'契約別単価'!C5+'前提と出典'!$C$37*'契約別単価'!C6+'前提と出典'!$C$38*'契約別単価'!C7)</ns0:f>
        <ns0:v>6037.050279329609</ns0:v>
      </ns0:c>
      <ns0:c r="E843" s="16">
        <ns0:f>A843*('前提と出典'!$C$36*'契約別単価'!E5+'前提と出典'!$C$37*'契約別単価'!E6+'前提と出典'!$C$38*'契約別単価'!E7)</ns0:f>
        <ns0:v>1623418.566998455</ns0:v>
      </ns0:c>
      <ns0:c r="F843" s="16">
        <ns0:f>A843*('前提と出典'!$C$36*'契約別単価'!F5+'前提と出典'!$C$37*'契約別単価'!F6+'前提と出典'!$C$38*'契約別単価'!F7)</ns0:f>
        <ns0:v>637132.8074716607</ns0:v>
      </ns0:c>
      <ns0:c r="G843" s="16">
        <ns0:f>A843*('前提と出典'!$C$36*'契約別単価'!G5+'前提と出典'!$C$37*'契約別単価'!G6+'前提と出典'!$C$38*'契約別単価'!G7)</ns0:f>
        <ns0:v>1670031.843575419</ns0:v>
      </ns0:c>
      <ns0:c r="H843" s="16">
        <ns0:f>A843*('前提と出典'!$C$36*'契約別単価'!H5+'前提と出典'!$C$37*'契約別単価'!H6+'前提と出典'!$C$38*'契約別単価'!H7)</ns0:f>
        <ns0:v>579584.8083995394</ns0:v>
      </ns0:c>
      <ns0:c r="I843" s="16">
        <ns0:f>A843*('前提と出典'!$C$36*'契約別単価'!I5+'前提と出典'!$C$37*'契約別単価'!I6+'前提と出典'!$C$38*'契約別単価'!I7)</ns0:f>
        <ns0:v>35402.050279329604</ns0:v>
      </ns0:c>
      <ns0:c r="J843" s="16">
        <ns0:f>A843*('前提と出典'!$C$36*'契約別単価'!J5+'前提と出典'!$C$37*'契約別単価'!J6+'前提と出典'!$C$38*'契約別単価'!J7)</ns0:f>
        <ns0:v>82464.92717294385</ns0:v>
      </ns0:c>
      <ns0:c r="K843" s="16">
        <ns0:f>A843*('前提と出典'!$C$36*'契約別単価'!K5+'前提と出典'!$C$37*'契約別単価'!K6+'前提と出典'!$C$38*'契約別単価'!K7)</ns0:f>
        <ns0:v>353473.66852886404</ns0:v>
      </ns0:c>
      <ns0:c r="L843" s="16">
        <ns0:f>A843*('前提と出典'!$C$36*'契約別単価'!L5+'前提と出典'!$C$37*'契約別単価'!L6+'前提と出典'!$C$38*'契約別単価'!L7)</ns0:f>
        <ns0:v>287799.49361331796</ns0:v>
      </ns0:c>
      <ns0:c r="M843" s="16">
        <ns0:f>IF(('前提と出典'!$C$36+'前提と出典'!$C$38)=0,0,IF(B843&lt;=10,'前提と出典'!B73+'前提と出典'!C73,IF(B843&lt;=100,'前提と出典'!B74+'前提と出典'!C74,IF(B843&lt;=500,'前提と出典'!B75+'前提と出典'!C75,'前提と出典'!B76+'前提と出典'!C76))))</ns0:f>
        <ns0:v>80000</ns0:v>
      </ns0:c>
      <ns0:c r="N843" s="16">
        <ns0:f>IF(('前提と出典'!$C$37+'前提と出典'!$C$38)=0,0,IF(C843&lt;=10,'前提と出典'!D73+'前提と出典'!E73,IF(C843&lt;=100,'前提と出典'!D74+'前提と出典'!E74,IF(C843&lt;=500,'前提と出典'!D75+'前提と出典'!E75,'前提と出典'!D76+'前提と出典'!E76))))</ns0:f>
        <ns0:v>86510.9346263078</ns0:v>
      </ns0:c>
      <ns0:c r="O843" s="16">
        <ns0:f>IF('前提と出典'!$C$36+'前提と出典'!$C$38=0,0,'前提と出典'!$B$4*IF('前提と出典'!$B$20=0,MAX('前提と出典'!$B$6,D843*'前提と出典'!$B$5),'前提と出典'!$B$6+D843*'前提と出典'!$B$5))</ns0:f>
        <ns0:v>833112.9385474861</ns0:v>
      </ns0:c>
      <ns0:c r="P843" s="16">
        <ns0:f>(E843+G843)*(1-'前提と出典'!$B$7)-I843-K843-M843-O843</ns0:f>
        <ns0:v>1872897.5384375346</ns0:v>
      </ns0:c>
      <ns0:c r="Q843" s="16">
        <ns0:f>(F843+H843)*(1-'前提と出典'!$B$7)-J843-L843-N843</ns0:f>
        <ns0:v>716140.4262872674</ns0:v>
      </ns0:c>
      <ns0:c r="R843" s="16">
        <ns0:f>P843-E843*'前提と出典'!$E$4</ns0:f>
        <ns0:v>1385871.9683379983</ns0:v>
      </ns0:c>
      <ns0:c r="S843" s="16">
        <ns0:f>Q843-F843*'前提と出典'!$E$4</ns0:f>
        <ns0:v>525000.5840457692</ns0:v>
      </ns0:c>
      <ns0:c r="T843" s="7">
        <ns0:f>R843+S843</ns0:f>
        <ns0:v>1910872.5523837674</ns0:v>
      </ns0:c>
      <ns0:c r="U843" s="16">
        <ns0:f>P843-E843*'前提と出典'!$E$5</ns0:f>
        <ns0:v>1223530.1116381525</ns0:v>
      </ns0:c>
      <ns0:c r="V843" s="16">
        <ns0:f>Q843-F843*'前提と出典'!$E$5</ns0:f>
        <ns0:v>461287.30329860304</ns0:v>
      </ns0:c>
      <ns0:c r="W843" s="7">
        <ns0:f>U843+V843</ns0:f>
        <ns0:v>1684817.4149367556</ns0:v>
      </ns0:c>
      <ns0:c r="X843" s="16">
        <ns0:f>P843-E843*'前提と出典'!$E$6</ns0:f>
        <ns0:v>1061188.2549383072</ns0:v>
      </ns0:c>
      <ns0:c r="Y843" s="16">
        <ns0:f>Q843-F843*'前提と出典'!$E$6</ns0:f>
        <ns0:v>397574.022551437</ns0:v>
      </ns0:c>
      <ns0:c r="Z843" s="7">
        <ns0:f>X843+Y843</ns0:f>
        <ns0:v>1458762.2774897441</ns0:v>
      </ns0:c>
      <ns0:c r="AA843" s="7">
        <ns0:f>IF(T843&gt;=0,A843,1001)</ns0:f>
        <ns0:v>839</ns0:v>
      </ns0:c>
      <ns0:c r="AB843" s="7">
        <ns0:f>IF(T843&lt;0,A843,0)</ns0:f>
        <ns0:v>0</ns0:v>
      </ns0:c>
      <ns0:c r="AC843" s="16">
        <ns0:f>IF(AND(OR('前提と出典'!$C$36+'前提と出典'!$C$38=0,R843&gt;=0),OR('前提と出典'!$C$37+'前提と出典'!$C$38=0,S843&gt;=0)),0,A843)</ns0:f>
        <ns0:v>0</ns0:v>
      </ns0:c>
      <ns0:c r="AD843" s="7">
        <ns0:f>IF(W843&gt;=0,A843,1001)</ns0:f>
        <ns0:v>839</ns0:v>
      </ns0:c>
      <ns0:c r="AE843" s="7">
        <ns0:f>IF(W843&lt;0,A843,0)</ns0:f>
        <ns0:v>0</ns0:v>
      </ns0:c>
      <ns0:c r="AF843" s="16">
        <ns0:f>IF(AND(OR('前提と出典'!$C$36+'前提と出典'!$C$38=0,U843&gt;=0),OR('前提と出典'!$C$37+'前提と出典'!$C$38=0,V843&gt;=0)),0,A843)</ns0:f>
        <ns0:v>0</ns0:v>
      </ns0:c>
      <ns0:c r="AG843" s="7">
        <ns0:f>IF(Z843&gt;=0,A843,1001)</ns0:f>
        <ns0:v>839</ns0:v>
      </ns0:c>
      <ns0:c r="AH843" s="4">
        <ns0:f>IF(Z843&lt;0,A843,0)</ns0:f>
        <ns0:v>0</ns0:v>
      </ns0:c>
      <ns0:c r="AI843" s="12">
        <ns0:f>IF(AND(OR('前提と出典'!$C$36+'前提と出典'!$C$38=0,X843&gt;=0),OR('前提と出典'!$C$37+'前提と出典'!$C$38=0,Y843&gt;=0)),0,A843)</ns0:f>
        <ns0:v>0</ns0:v>
      </ns0:c>
    </ns0:row>
    <ns0:row r="844" ht="24" customHeight="1">
      <ns0:c r="A844" s="4" t="n">
        <ns0:v>840</ns0:v>
      </ns0:c>
      <ns0:c r="B844" s="12">
        <ns0:f>A844*('前提と出典'!$C$36+'前提と出典'!$C$38)</ns0:f>
        <ns0:v>588</ns0:v>
      </ns0:c>
      <ns0:c r="C844" s="12">
        <ns0:f>A844*('前提と出典'!$C$37+'前提と出典'!$C$38)</ns0:f>
        <ns0:v>504</ns0:v>
      </ns0:c>
      <ns0:c r="D844" s="16">
        <ns0:f>A844*('前提と出典'!$C$36*'契約別単価'!C5+'前提と出典'!$C$37*'契約別単価'!C6+'前提と出典'!$C$38*'契約別単価'!C7)</ns0:f>
        <ns0:v>6044.245810055866</ns0:v>
      </ns0:c>
      <ns0:c r="E844" s="16">
        <ns0:f>A844*('前提と出典'!$C$36*'契約別単価'!E5+'前提と出典'!$C$37*'契約別単価'!E6+'前提と出典'!$C$38*'契約別単価'!E7)</ns0:f>
        <ns0:v>1625353.5116551875</ns0:v>
      </ns0:c>
      <ns0:c r="F844" s="16">
        <ns0:f>A844*('前提と出典'!$C$36*'契約別単価'!F5+'前提と出典'!$C$37*'契約別単価'!F6+'前提と出典'!$C$38*'契約別単価'!F7)</ns0:f>
        <ns0:v>637892.2029513647</ns0:v>
      </ns0:c>
      <ns0:c r="G844" s="16">
        <ns0:f>A844*('前提と出典'!$C$36*'契約別単価'!G5+'前提と出典'!$C$37*'契約別単価'!G6+'前提と出典'!$C$38*'契約別単価'!G7)</ns0:f>
        <ns0:v>1672022.346368715</ns0:v>
      </ns0:c>
      <ns0:c r="H844" s="16">
        <ns0:f>A844*('前提と出典'!$C$36*'契約別単価'!H5+'前提と出典'!$C$37*'契約別単価'!H6+'前提と出典'!$C$38*'契約別単価'!H7)</ns0:f>
        <ns0:v>580275.6127003733</ns0:v>
      </ns0:c>
      <ns0:c r="I844" s="16">
        <ns0:f>A844*('前提と出典'!$C$36*'契約別単価'!I5+'前提と出典'!$C$37*'契約別単価'!I6+'前提と出典'!$C$38*'契約別単価'!I7)</ns0:f>
        <ns0:v>35444.24581005586</ns0:v>
      </ns0:c>
      <ns0:c r="J844" s="16">
        <ns0:f>A844*('前提と出典'!$C$36*'契約別単価'!J5+'前提と出典'!$C$37*'契約別単価'!J6+'前提と出典'!$C$38*'契約別単価'!J7)</ns0:f>
        <ns0:v>82563.21671665416</ns0:v>
      </ns0:c>
      <ns0:c r="K844" s="16">
        <ns0:f>A844*('前提と出典'!$C$36*'契約別単価'!K5+'前提と出典'!$C$37*'契約別単価'!K6+'前提と出典'!$C$38*'契約別単価'!K7)</ns0:f>
        <ns0:v>353894.9720670391</ns0:v>
      </ns0:c>
      <ns0:c r="L844" s="16">
        <ns0:f>A844*('前提と出典'!$C$36*'契約別単価'!L5+'前提と出典'!$C$37*'契約別単価'!L6+'前提と出典'!$C$38*'契約別単価'!L7)</ns0:f>
        <ns0:v>288142.5204233458</ns0:v>
      </ns0:c>
      <ns0:c r="M844" s="16">
        <ns0:f>IF(('前提と出典'!$C$36+'前提と出典'!$C$38)=0,0,IF(B844&lt;=10,'前提と出典'!B73+'前提と出典'!C73,IF(B844&lt;=100,'前提と出典'!B74+'前提と出典'!C74,IF(B844&lt;=500,'前提と出典'!B75+'前提と出典'!C75,'前提と出典'!B76+'前提と出典'!C76))))</ns0:f>
        <ns0:v>80000</ns0:v>
      </ns0:c>
      <ns0:c r="N844" s="16">
        <ns0:f>IF(('前提と出典'!$C$37+'前提と出典'!$C$38)=0,0,IF(C844&lt;=10,'前提と出典'!D73+'前提と出典'!E73,IF(C844&lt;=100,'前提と出典'!D74+'前提と出典'!E74,IF(C844&lt;=500,'前提と出典'!D75+'前提と出典'!E75,'前提と出典'!D76+'前提と出典'!E76))))</ns0:f>
        <ns0:v>86510.9346263078</ns0:v>
      </ns0:c>
      <ns0:c r="O844" s="16">
        <ns0:f>IF('前提と出典'!$C$36+'前提と出典'!$C$38=0,0,'前提と出典'!$B$4*IF('前提と出典'!$B$20=0,MAX('前提と出典'!$B$6,D844*'前提と出典'!$B$5),'前提と出典'!$B$6+D844*'前提と出典'!$B$5))</ns0:f>
        <ns0:v>834105.9217877096</ns0:v>
      </ns0:c>
      <ns0:c r="P844" s="16">
        <ns0:f>(E844+G844)*(1-'前提と出典'!$B$7)-I844-K844-M844-O844</ns0:f>
        <ns0:v>1875225.1874702377</ns0:v>
      </ns0:c>
      <ns0:c r="Q844" s="16">
        <ns0:f>(F844+H844)*(1-'前提と出典'!$B$7)-J844-L844-N844</ns0:f>
        <ns0:v>717097.1025219677</ns0:v>
      </ns0:c>
      <ns0:c r="R844" s="16">
        <ns0:f>P844-E844*'前提と出典'!$E$4</ns0:f>
        <ns0:v>1387619.1339736814</ns0:v>
      </ns0:c>
      <ns0:c r="S844" s="16">
        <ns0:f>Q844-F844*'前提と出典'!$E$4</ns0:f>
        <ns0:v>525729.4416365584</ns0:v>
      </ns0:c>
      <ns0:c r="T844" s="7">
        <ns0:f>R844+S844</ns0:f>
        <ns0:v>1913348.5756102398</ns0:v>
      </ns0:c>
      <ns0:c r="U844" s="16">
        <ns0:f>P844-E844*'前提と出典'!$E$5</ns0:f>
        <ns0:v>1225083.7828081627</ns0:v>
      </ns0:c>
      <ns0:c r="V844" s="16">
        <ns0:f>Q844-F844*'前提と出典'!$E$5</ns0:f>
        <ns0:v>461940.2213414218</ns0:v>
      </ns0:c>
      <ns0:c r="W844" s="7">
        <ns0:f>U844+V844</ns0:f>
        <ns0:v>1687024.0041495846</ns0:v>
      </ns0:c>
      <ns0:c r="X844" s="16">
        <ns0:f>P844-E844*'前提と出典'!$E$6</ns0:f>
        <ns0:v>1062548.431642644</ns0:v>
      </ns0:c>
      <ns0:c r="Y844" s="16">
        <ns0:f>Q844-F844*'前提と出典'!$E$6</ns0:f>
        <ns0:v>398151.00104628544</ns0:v>
      </ns0:c>
      <ns0:c r="Z844" s="7">
        <ns0:f>X844+Y844</ns0:f>
        <ns0:v>1460699.4326889296</ns0:v>
      </ns0:c>
      <ns0:c r="AA844" s="7">
        <ns0:f>IF(T844&gt;=0,A844,1001)</ns0:f>
        <ns0:v>840</ns0:v>
      </ns0:c>
      <ns0:c r="AB844" s="7">
        <ns0:f>IF(T844&lt;0,A844,0)</ns0:f>
        <ns0:v>0</ns0:v>
      </ns0:c>
      <ns0:c r="AC844" s="16">
        <ns0:f>IF(AND(OR('前提と出典'!$C$36+'前提と出典'!$C$38=0,R844&gt;=0),OR('前提と出典'!$C$37+'前提と出典'!$C$38=0,S844&gt;=0)),0,A844)</ns0:f>
        <ns0:v>0</ns0:v>
      </ns0:c>
      <ns0:c r="AD844" s="7">
        <ns0:f>IF(W844&gt;=0,A844,1001)</ns0:f>
        <ns0:v>840</ns0:v>
      </ns0:c>
      <ns0:c r="AE844" s="7">
        <ns0:f>IF(W844&lt;0,A844,0)</ns0:f>
        <ns0:v>0</ns0:v>
      </ns0:c>
      <ns0:c r="AF844" s="16">
        <ns0:f>IF(AND(OR('前提と出典'!$C$36+'前提と出典'!$C$38=0,U844&gt;=0),OR('前提と出典'!$C$37+'前提と出典'!$C$38=0,V844&gt;=0)),0,A844)</ns0:f>
        <ns0:v>0</ns0:v>
      </ns0:c>
      <ns0:c r="AG844" s="7">
        <ns0:f>IF(Z844&gt;=0,A844,1001)</ns0:f>
        <ns0:v>840</ns0:v>
      </ns0:c>
      <ns0:c r="AH844" s="4">
        <ns0:f>IF(Z844&lt;0,A844,0)</ns0:f>
        <ns0:v>0</ns0:v>
      </ns0:c>
      <ns0:c r="AI844" s="12">
        <ns0:f>IF(AND(OR('前提と出典'!$C$36+'前提と出典'!$C$38=0,X844&gt;=0),OR('前提と出典'!$C$37+'前提と出典'!$C$38=0,Y844&gt;=0)),0,A844)</ns0:f>
        <ns0:v>0</ns0:v>
      </ns0:c>
    </ns0:row>
    <ns0:row r="845" ht="24" customHeight="1">
      <ns0:c r="A845" s="4" t="n">
        <ns0:v>841</ns0:v>
      </ns0:c>
      <ns0:c r="B845" s="12">
        <ns0:f>A845*('前提と出典'!$C$36+'前提と出典'!$C$38)</ns0:f>
        <ns0:v>588.6999999999999</ns0:v>
      </ns0:c>
      <ns0:c r="C845" s="12">
        <ns0:f>A845*('前提と出典'!$C$37+'前提と出典'!$C$38)</ns0:f>
        <ns0:v>504.59999999999997</ns0:v>
      </ns0:c>
      <ns0:c r="D845" s="16">
        <ns0:f>A845*('前提と出典'!$C$36*'契約別単価'!C5+'前提と出典'!$C$37*'契約別単価'!C6+'前提と出典'!$C$38*'契約別単価'!C7)</ns0:f>
        <ns0:v>6051.441340782123</ns0:v>
      </ns0:c>
      <ns0:c r="E845" s="16">
        <ns0:f>A845*('前提と出典'!$C$36*'契約別単価'!E5+'前提と出典'!$C$37*'契約別単価'!E6+'前提と出典'!$C$38*'契約別単価'!E7)</ns0:f>
        <ns0:v>1627288.4563119197</ns0:v>
      </ns0:c>
      <ns0:c r="F845" s="16">
        <ns0:f>A845*('前提と出典'!$C$36*'契約別単価'!F5+'前提と出典'!$C$37*'契約別単価'!F6+'前提と出典'!$C$38*'契約別単価'!F7)</ns0:f>
        <ns0:v>638651.5984310687</ns0:v>
      </ns0:c>
      <ns0:c r="G845" s="16">
        <ns0:f>A845*('前提と出典'!$C$36*'契約別単価'!G5+'前提と出典'!$C$37*'契約別単価'!G6+'前提と出典'!$C$38*'契約別単価'!G7)</ns0:f>
        <ns0:v>1674012.8491620112</ns0:v>
      </ns0:c>
      <ns0:c r="H845" s="16">
        <ns0:f>A845*('前提と出典'!$C$36*'契約別単価'!H5+'前提と出典'!$C$37*'契約別単価'!H6+'前提と出典'!$C$38*'契約別単価'!H7)</ns0:f>
        <ns0:v>580966.417001207</ns0:v>
      </ns0:c>
      <ns0:c r="I845" s="16">
        <ns0:f>A845*('前提と出典'!$C$36*'契約別単価'!I5+'前提と出典'!$C$37*'契約別単価'!I6+'前提と出典'!$C$38*'契約別単価'!I7)</ns0:f>
        <ns0:v>35486.44134078212</ns0:v>
      </ns0:c>
      <ns0:c r="J845" s="16">
        <ns0:f>A845*('前提と出典'!$C$36*'契約別単価'!J5+'前提と出典'!$C$37*'契約別単価'!J6+'前提と出典'!$C$38*'契約別単価'!J7)</ns0:f>
        <ns0:v>82661.50626036446</ns0:v>
      </ns0:c>
      <ns0:c r="K845" s="16">
        <ns0:f>A845*('前提と出典'!$C$36*'契約別単価'!K5+'前提と出典'!$C$37*'契約別単価'!K6+'前提と出典'!$C$38*'契約別単価'!K7)</ns0:f>
        <ns0:v>354316.2756052141</ns0:v>
      </ns0:c>
      <ns0:c r="L845" s="16">
        <ns0:f>A845*('前提と出典'!$C$36*'契約別単価'!L5+'前提と出典'!$C$37*'契約別単価'!L6+'前提と出典'!$C$38*'契約別単価'!L7)</ns0:f>
        <ns0:v>288485.54723337357</ns0:v>
      </ns0:c>
      <ns0:c r="M845" s="16">
        <ns0:f>IF(('前提と出典'!$C$36+'前提と出典'!$C$38)=0,0,IF(B845&lt;=10,'前提と出典'!B73+'前提と出典'!C73,IF(B845&lt;=100,'前提と出典'!B74+'前提と出典'!C74,IF(B845&lt;=500,'前提と出典'!B75+'前提と出典'!C75,'前提と出典'!B76+'前提と出典'!C76))))</ns0:f>
        <ns0:v>80000</ns0:v>
      </ns0:c>
      <ns0:c r="N845" s="16">
        <ns0:f>IF(('前提と出典'!$C$37+'前提と出典'!$C$38)=0,0,IF(C845&lt;=10,'前提と出典'!D73+'前提と出典'!E73,IF(C845&lt;=100,'前提と出典'!D74+'前提と出典'!E74,IF(C845&lt;=500,'前提と出典'!D75+'前提と出典'!E75,'前提と出典'!D76+'前提と出典'!E76))))</ns0:f>
        <ns0:v>86510.9346263078</ns0:v>
      </ns0:c>
      <ns0:c r="O845" s="16">
        <ns0:f>IF('前提と出典'!$C$36+'前提と出典'!$C$38=0,0,'前提と出典'!$B$4*IF('前提と出典'!$B$20=0,MAX('前提と出典'!$B$6,D845*'前提と出典'!$B$5),'前提と出典'!$B$6+D845*'前提と出典'!$B$5))</ns0:f>
        <ns0:v>835098.9050279331</ns0:v>
      </ns0:c>
      <ns0:c r="P845" s="16">
        <ns0:f>(E845+G845)*(1-'前提と出典'!$B$7)-I845-K845-M845-O845</ns0:f>
        <ns0:v>1877552.83650294</ns0:v>
      </ns0:c>
      <ns0:c r="Q845" s="16">
        <ns0:f>(F845+H845)*(1-'前提と出典'!$B$7)-J845-L845-N845</ns0:f>
        <ns0:v>718053.7787566681</ns0:v>
      </ns0:c>
      <ns0:c r="R845" s="16">
        <ns0:f>P845-E845*'前提と出典'!$E$4</ns0:f>
        <ns0:v>1389366.2996093645</ns0:v>
      </ns0:c>
      <ns0:c r="S845" s="16">
        <ns0:f>Q845-F845*'前提と出典'!$E$4</ns0:f>
        <ns0:v>526458.2992273476</ns0:v>
      </ns0:c>
      <ns0:c r="T845" s="7">
        <ns0:f>R845+S845</ns0:f>
        <ns0:v>1915824.598836712</ns0:v>
      </ns0:c>
      <ns0:c r="U845" s="16">
        <ns0:f>P845-E845*'前提と出典'!$E$5</ns0:f>
        <ns0:v>1226637.453978172</ns0:v>
      </ns0:c>
      <ns0:c r="V845" s="16">
        <ns0:f>Q845-F845*'前提と出典'!$E$5</ns0:f>
        <ns0:v>462593.1393842406</ns0:v>
      </ns0:c>
      <ns0:c r="W845" s="7">
        <ns0:f>U845+V845</ns0:f>
        <ns0:v>1689230.5933624126</ns0:v>
      </ns0:c>
      <ns0:c r="X845" s="16">
        <ns0:f>P845-E845*'前提と出典'!$E$6</ns0:f>
        <ns0:v>1063908.6083469805</ns0:v>
      </ns0:c>
      <ns0:c r="Y845" s="16">
        <ns0:f>Q845-F845*'前提と出典'!$E$6</ns0:f>
        <ns0:v>398727.9795411338</ns0:v>
      </ns0:c>
      <ns0:c r="Z845" s="7">
        <ns0:f>X845+Y845</ns0:f>
        <ns0:v>1462636.5878881144</ns0:v>
      </ns0:c>
      <ns0:c r="AA845" s="7">
        <ns0:f>IF(T845&gt;=0,A845,1001)</ns0:f>
        <ns0:v>841</ns0:v>
      </ns0:c>
      <ns0:c r="AB845" s="7">
        <ns0:f>IF(T845&lt;0,A845,0)</ns0:f>
        <ns0:v>0</ns0:v>
      </ns0:c>
      <ns0:c r="AC845" s="16">
        <ns0:f>IF(AND(OR('前提と出典'!$C$36+'前提と出典'!$C$38=0,R845&gt;=0),OR('前提と出典'!$C$37+'前提と出典'!$C$38=0,S845&gt;=0)),0,A845)</ns0:f>
        <ns0:v>0</ns0:v>
      </ns0:c>
      <ns0:c r="AD845" s="7">
        <ns0:f>IF(W845&gt;=0,A845,1001)</ns0:f>
        <ns0:v>841</ns0:v>
      </ns0:c>
      <ns0:c r="AE845" s="7">
        <ns0:f>IF(W845&lt;0,A845,0)</ns0:f>
        <ns0:v>0</ns0:v>
      </ns0:c>
      <ns0:c r="AF845" s="16">
        <ns0:f>IF(AND(OR('前提と出典'!$C$36+'前提と出典'!$C$38=0,U845&gt;=0),OR('前提と出典'!$C$37+'前提と出典'!$C$38=0,V845&gt;=0)),0,A845)</ns0:f>
        <ns0:v>0</ns0:v>
      </ns0:c>
      <ns0:c r="AG845" s="7">
        <ns0:f>IF(Z845&gt;=0,A845,1001)</ns0:f>
        <ns0:v>841</ns0:v>
      </ns0:c>
      <ns0:c r="AH845" s="4">
        <ns0:f>IF(Z845&lt;0,A845,0)</ns0:f>
        <ns0:v>0</ns0:v>
      </ns0:c>
      <ns0:c r="AI845" s="12">
        <ns0:f>IF(AND(OR('前提と出典'!$C$36+'前提と出典'!$C$38=0,X845&gt;=0),OR('前提と出典'!$C$37+'前提と出典'!$C$38=0,Y845&gt;=0)),0,A845)</ns0:f>
        <ns0:v>0</ns0:v>
      </ns0:c>
    </ns0:row>
    <ns0:row r="846" ht="24" customHeight="1">
      <ns0:c r="A846" s="4" t="n">
        <ns0:v>842</ns0:v>
      </ns0:c>
      <ns0:c r="B846" s="12">
        <ns0:f>A846*('前提と出典'!$C$36+'前提と出典'!$C$38)</ns0:f>
        <ns0:v>589.4</ns0:v>
      </ns0:c>
      <ns0:c r="C846" s="12">
        <ns0:f>A846*('前提と出典'!$C$37+'前提と出典'!$C$38)</ns0:f>
        <ns0:v>505.2</ns0:v>
      </ns0:c>
      <ns0:c r="D846" s="16">
        <ns0:f>A846*('前提と出典'!$C$36*'契約別単価'!C5+'前提と出典'!$C$37*'契約別単価'!C6+'前提と出典'!$C$38*'契約別単価'!C7)</ns0:f>
        <ns0:v>6058.63687150838</ns0:v>
      </ns0:c>
      <ns0:c r="E846" s="16">
        <ns0:f>A846*('前提と出典'!$C$36*'契約別単価'!E5+'前提と出典'!$C$37*'契約別単価'!E6+'前提と出典'!$C$38*'契約別単価'!E7)</ns0:f>
        <ns0:v>1629223.4009686522</ns0:v>
      </ns0:c>
      <ns0:c r="F846" s="16">
        <ns0:f>A846*('前提と出典'!$C$36*'契約別単価'!F5+'前提と出典'!$C$37*'契約別単価'!F6+'前提と出典'!$C$38*'契約別単価'!F7)</ns0:f>
        <ns0:v>639410.9939107726</ns0:v>
      </ns0:c>
      <ns0:c r="G846" s="16">
        <ns0:f>A846*('前提と出典'!$C$36*'契約別単価'!G5+'前提と出典'!$C$37*'契約別単価'!G6+'前提と出典'!$C$38*'契約別単価'!G7)</ns0:f>
        <ns0:v>1676003.3519553072</ns0:v>
      </ns0:c>
      <ns0:c r="H846" s="16">
        <ns0:f>A846*('前提と出典'!$C$36*'契約別単価'!H5+'前提と出典'!$C$37*'契約別単価'!H6+'前提と出典'!$C$38*'契約別単価'!H7)</ns0:f>
        <ns0:v>581657.2213020409</ns0:v>
      </ns0:c>
      <ns0:c r="I846" s="16">
        <ns0:f>A846*('前提と出典'!$C$36*'契約別単価'!I5+'前提と出典'!$C$37*'契約別単価'!I6+'前提と出典'!$C$38*'契約別単価'!I7)</ns0:f>
        <ns0:v>35528.63687150837</ns0:v>
      </ns0:c>
      <ns0:c r="J846" s="16">
        <ns0:f>A846*('前提と出典'!$C$36*'契約別単価'!J5+'前提と出典'!$C$37*'契約別単価'!J6+'前提と出典'!$C$38*'契約別単価'!J7)</ns0:f>
        <ns0:v>82759.79580407476</ns0:v>
      </ns0:c>
      <ns0:c r="K846" s="16">
        <ns0:f>A846*('前提と出典'!$C$36*'契約別単価'!K5+'前提と出典'!$C$37*'契約別単価'!K6+'前提と出典'!$C$38*'契約別単価'!K7)</ns0:f>
        <ns0:v>354737.5791433892</ns0:v>
      </ns0:c>
      <ns0:c r="L846" s="16">
        <ns0:f>A846*('前提と出典'!$C$36*'契約別単価'!L5+'前提と出典'!$C$37*'契約別単価'!L6+'前提と出典'!$C$38*'契約別単価'!L7)</ns0:f>
        <ns0:v>288828.57404340134</ns0:v>
      </ns0:c>
      <ns0:c r="M846" s="16">
        <ns0:f>IF(('前提と出典'!$C$36+'前提と出典'!$C$38)=0,0,IF(B846&lt;=10,'前提と出典'!B73+'前提と出典'!C73,IF(B846&lt;=100,'前提と出典'!B74+'前提と出典'!C74,IF(B846&lt;=500,'前提と出典'!B75+'前提と出典'!C75,'前提と出典'!B76+'前提と出典'!C76))))</ns0:f>
        <ns0:v>80000</ns0:v>
      </ns0:c>
      <ns0:c r="N846" s="16">
        <ns0:f>IF(('前提と出典'!$C$37+'前提と出典'!$C$38)=0,0,IF(C846&lt;=10,'前提と出典'!D73+'前提と出典'!E73,IF(C846&lt;=100,'前提と出典'!D74+'前提と出典'!E74,IF(C846&lt;=500,'前提と出典'!D75+'前提と出典'!E75,'前提と出典'!D76+'前提と出典'!E76))))</ns0:f>
        <ns0:v>86510.9346263078</ns0:v>
      </ns0:c>
      <ns0:c r="O846" s="16">
        <ns0:f>IF('前提と出典'!$C$36+'前提と出典'!$C$38=0,0,'前提と出典'!$B$4*IF('前提と出典'!$B$20=0,MAX('前提と出典'!$B$6,D846*'前提と出典'!$B$5),'前提と出典'!$B$6+D846*'前提と出典'!$B$5))</ns0:f>
        <ns0:v>836091.8882681566</ns0:v>
      </ns0:c>
      <ns0:c r="P846" s="16">
        <ns0:f>(E846+G846)*(1-'前提と出典'!$B$7)-I846-K846-M846-O846</ns0:f>
        <ns0:v>1879880.485535643</ns0:v>
      </ns0:c>
      <ns0:c r="Q846" s="16">
        <ns0:f>(F846+H846)*(1-'前提と出典'!$B$7)-J846-L846-N846</ns0:f>
        <ns0:v>719010.4549913685</ns0:v>
      </ns0:c>
      <ns0:c r="R846" s="16">
        <ns0:f>P846-E846*'前提と出典'!$E$4</ns0:f>
        <ns0:v>1391113.4652450476</ns0:v>
      </ns0:c>
      <ns0:c r="S846" s="16">
        <ns0:f>Q846-F846*'前提と出典'!$E$4</ns0:f>
        <ns0:v>527187.1568181366</ns0:v>
      </ns0:c>
      <ns0:c r="T846" s="7">
        <ns0:f>R846+S846</ns0:f>
        <ns0:v>1918300.6220631842</ns0:v>
      </ns0:c>
      <ns0:c r="U846" s="16">
        <ns0:f>P846-E846*'前提と出典'!$E$5</ns0:f>
        <ns0:v>1228191.1251481823</ns0:v>
      </ns0:c>
      <ns0:c r="V846" s="16">
        <ns0:f>Q846-F846*'前提と出典'!$E$5</ns0:f>
        <ns0:v>463246.0574270594</ns0:v>
      </ns0:c>
      <ns0:c r="W846" s="7">
        <ns0:f>U846+V846</ns0:f>
        <ns0:v>1691437.1825752417</ns0:v>
      </ns0:c>
      <ns0:c r="X846" s="16">
        <ns0:f>P846-E846*'前提と出典'!$E$6</ns0:f>
        <ns0:v>1065268.785051317</ns0:v>
      </ns0:c>
      <ns0:c r="Y846" s="16">
        <ns0:f>Q846-F846*'前提と出典'!$E$6</ns0:f>
        <ns0:v>399304.95803598204</ns0:v>
      </ns0:c>
      <ns0:c r="Z846" s="7">
        <ns0:f>X846+Y846</ns0:f>
        <ns0:v>1464573.743087299</ns0:v>
      </ns0:c>
      <ns0:c r="AA846" s="7">
        <ns0:f>IF(T846&gt;=0,A846,1001)</ns0:f>
        <ns0:v>842</ns0:v>
      </ns0:c>
      <ns0:c r="AB846" s="7">
        <ns0:f>IF(T846&lt;0,A846,0)</ns0:f>
        <ns0:v>0</ns0:v>
      </ns0:c>
      <ns0:c r="AC846" s="16">
        <ns0:f>IF(AND(OR('前提と出典'!$C$36+'前提と出典'!$C$38=0,R846&gt;=0),OR('前提と出典'!$C$37+'前提と出典'!$C$38=0,S846&gt;=0)),0,A846)</ns0:f>
        <ns0:v>0</ns0:v>
      </ns0:c>
      <ns0:c r="AD846" s="7">
        <ns0:f>IF(W846&gt;=0,A846,1001)</ns0:f>
        <ns0:v>842</ns0:v>
      </ns0:c>
      <ns0:c r="AE846" s="7">
        <ns0:f>IF(W846&lt;0,A846,0)</ns0:f>
        <ns0:v>0</ns0:v>
      </ns0:c>
      <ns0:c r="AF846" s="16">
        <ns0:f>IF(AND(OR('前提と出典'!$C$36+'前提と出典'!$C$38=0,U846&gt;=0),OR('前提と出典'!$C$37+'前提と出典'!$C$38=0,V846&gt;=0)),0,A846)</ns0:f>
        <ns0:v>0</ns0:v>
      </ns0:c>
      <ns0:c r="AG846" s="7">
        <ns0:f>IF(Z846&gt;=0,A846,1001)</ns0:f>
        <ns0:v>842</ns0:v>
      </ns0:c>
      <ns0:c r="AH846" s="4">
        <ns0:f>IF(Z846&lt;0,A846,0)</ns0:f>
        <ns0:v>0</ns0:v>
      </ns0:c>
      <ns0:c r="AI846" s="12">
        <ns0:f>IF(AND(OR('前提と出典'!$C$36+'前提と出典'!$C$38=0,X846&gt;=0),OR('前提と出典'!$C$37+'前提と出典'!$C$38=0,Y846&gt;=0)),0,A846)</ns0:f>
        <ns0:v>0</ns0:v>
      </ns0:c>
    </ns0:row>
    <ns0:row r="847" ht="24" customHeight="1">
      <ns0:c r="A847" s="4" t="n">
        <ns0:v>843</ns0:v>
      </ns0:c>
      <ns0:c r="B847" s="12">
        <ns0:f>A847*('前提と出典'!$C$36+'前提と出典'!$C$38)</ns0:f>
        <ns0:v>590.0999999999999</ns0:v>
      </ns0:c>
      <ns0:c r="C847" s="12">
        <ns0:f>A847*('前提と出典'!$C$37+'前提と出典'!$C$38)</ns0:f>
        <ns0:v>505.79999999999995</ns0:v>
      </ns0:c>
      <ns0:c r="D847" s="16">
        <ns0:f>A847*('前提と出典'!$C$36*'契約別単価'!C5+'前提と出典'!$C$37*'契約別単価'!C6+'前提と出典'!$C$38*'契約別単価'!C7)</ns0:f>
        <ns0:v>6065.832402234637</ns0:v>
      </ns0:c>
      <ns0:c r="E847" s="16">
        <ns0:f>A847*('前提と出典'!$C$36*'契約別単価'!E5+'前提と出典'!$C$37*'契約別単価'!E6+'前提と出典'!$C$38*'契約別単価'!E7)</ns0:f>
        <ns0:v>1631158.3456253845</ns0:v>
      </ns0:c>
      <ns0:c r="F847" s="16">
        <ns0:f>A847*('前提と出典'!$C$36*'契約別単価'!F5+'前提と出典'!$C$37*'契約別単価'!F6+'前提と出典'!$C$38*'契約別単価'!F7)</ns0:f>
        <ns0:v>640170.3893904766</ns0:v>
      </ns0:c>
      <ns0:c r="G847" s="16">
        <ns0:f>A847*('前提と出典'!$C$36*'契約別単価'!G5+'前提と出典'!$C$37*'契約別単価'!G6+'前提と出典'!$C$38*'契約別単価'!G7)</ns0:f>
        <ns0:v>1677993.8547486032</ns0:v>
      </ns0:c>
      <ns0:c r="H847" s="16">
        <ns0:f>A847*('前提と出典'!$C$36*'契約別単価'!H5+'前提と出典'!$C$37*'契約別単価'!H6+'前提と出典'!$C$38*'契約別単価'!H7)</ns0:f>
        <ns0:v>582348.0256028746</ns0:v>
      </ns0:c>
      <ns0:c r="I847" s="16">
        <ns0:f>A847*('前提と出典'!$C$36*'契約別単価'!I5+'前提と出典'!$C$37*'契約別単価'!I6+'前提と出典'!$C$38*'契約別単価'!I7)</ns0:f>
        <ns0:v>35570.83240223463</ns0:v>
      </ns0:c>
      <ns0:c r="J847" s="16">
        <ns0:f>A847*('前提と出典'!$C$36*'契約別単価'!J5+'前提と出典'!$C$37*'契約別単価'!J6+'前提と出典'!$C$38*'契約別単価'!J7)</ns0:f>
        <ns0:v>82858.08534778506</ns0:v>
      </ns0:c>
      <ns0:c r="K847" s="16">
        <ns0:f>A847*('前提と出典'!$C$36*'契約別単価'!K5+'前提と出典'!$C$37*'契約別単価'!K6+'前提と出典'!$C$38*'契約別単価'!K7)</ns0:f>
        <ns0:v>355158.8826815642</ns0:v>
      </ns0:c>
      <ns0:c r="L847" s="16">
        <ns0:f>A847*('前提と出典'!$C$36*'契約別単価'!L5+'前提と出典'!$C$37*'契約別単価'!L6+'前提と出典'!$C$38*'契約別単価'!L7)</ns0:f>
        <ns0:v>289171.6008534291</ns0:v>
      </ns0:c>
      <ns0:c r="M847" s="16">
        <ns0:f>IF(('前提と出典'!$C$36+'前提と出典'!$C$38)=0,0,IF(B847&lt;=10,'前提と出典'!B73+'前提と出典'!C73,IF(B847&lt;=100,'前提と出典'!B74+'前提と出典'!C74,IF(B847&lt;=500,'前提と出典'!B75+'前提と出典'!C75,'前提と出典'!B76+'前提と出典'!C76))))</ns0:f>
        <ns0:v>80000</ns0:v>
      </ns0:c>
      <ns0:c r="N847" s="16">
        <ns0:f>IF(('前提と出典'!$C$37+'前提と出典'!$C$38)=0,0,IF(C847&lt;=10,'前提と出典'!D73+'前提と出典'!E73,IF(C847&lt;=100,'前提と出典'!D74+'前提と出典'!E74,IF(C847&lt;=500,'前提と出典'!D75+'前提と出典'!E75,'前提と出典'!D76+'前提と出典'!E76))))</ns0:f>
        <ns0:v>86510.9346263078</ns0:v>
      </ns0:c>
      <ns0:c r="O847" s="16">
        <ns0:f>IF('前提と出典'!$C$36+'前提と出典'!$C$38=0,0,'前提と出典'!$B$4*IF('前提と出典'!$B$20=0,MAX('前提と出典'!$B$6,D847*'前提と出典'!$B$5),'前提と出典'!$B$6+D847*'前提と出典'!$B$5))</ns0:f>
        <ns0:v>837084.8715083798</ns0:v>
      </ns0:c>
      <ns0:c r="P847" s="16">
        <ns0:f>(E847+G847)*(1-'前提と出典'!$B$7)-I847-K847-M847-O847</ns0:f>
        <ns0:v>1882208.1345683453</ns0:v>
      </ns0:c>
      <ns0:c r="Q847" s="16">
        <ns0:f>(F847+H847)*(1-'前提と出典'!$B$7)-J847-L847-N847</ns0:f>
        <ns0:v>719967.1312260688</ns0:v>
      </ns0:c>
      <ns0:c r="R847" s="16">
        <ns0:f>P847-E847*'前提と出典'!$E$4</ns0:f>
        <ns0:v>1392860.6308807298</ns0:v>
      </ns0:c>
      <ns0:c r="S847" s="16">
        <ns0:f>Q847-F847*'前提と出典'!$E$4</ns0:f>
        <ns0:v>527916.0144089258</ns0:v>
      </ns0:c>
      <ns0:c r="T847" s="7">
        <ns0:f>R847+S847</ns0:f>
        <ns0:v>1920776.6452896555</ns0:v>
      </ns0:c>
      <ns0:c r="U847" s="16">
        <ns0:f>P847-E847*'前提と出典'!$E$5</ns0:f>
        <ns0:v>1229744.7963181916</ns0:v>
      </ns0:c>
      <ns0:c r="V847" s="16">
        <ns0:f>Q847-F847*'前提と出典'!$E$5</ns0:f>
        <ns0:v>463898.9754698782</ns0:v>
      </ns0:c>
      <ns0:c r="W847" s="7">
        <ns0:f>U847+V847</ns0:f>
        <ns0:v>1693643.7717880697</ns0:v>
      </ns0:c>
      <ns0:c r="X847" s="16">
        <ns0:f>P847-E847*'前提と出典'!$E$6</ns0:f>
        <ns0:v>1066628.9617556534</ns0:v>
      </ns0:c>
      <ns0:c r="Y847" s="16">
        <ns0:f>Q847-F847*'前提と出典'!$E$6</ns0:f>
        <ns0:v>399881.9365308305</ns0:v>
      </ns0:c>
      <ns0:c r="Z847" s="7">
        <ns0:f>X847+Y847</ns0:f>
        <ns0:v>1466510.898286484</ns0:v>
      </ns0:c>
      <ns0:c r="AA847" s="7">
        <ns0:f>IF(T847&gt;=0,A847,1001)</ns0:f>
        <ns0:v>843</ns0:v>
      </ns0:c>
      <ns0:c r="AB847" s="7">
        <ns0:f>IF(T847&lt;0,A847,0)</ns0:f>
        <ns0:v>0</ns0:v>
      </ns0:c>
      <ns0:c r="AC847" s="16">
        <ns0:f>IF(AND(OR('前提と出典'!$C$36+'前提と出典'!$C$38=0,R847&gt;=0),OR('前提と出典'!$C$37+'前提と出典'!$C$38=0,S847&gt;=0)),0,A847)</ns0:f>
        <ns0:v>0</ns0:v>
      </ns0:c>
      <ns0:c r="AD847" s="7">
        <ns0:f>IF(W847&gt;=0,A847,1001)</ns0:f>
        <ns0:v>843</ns0:v>
      </ns0:c>
      <ns0:c r="AE847" s="7">
        <ns0:f>IF(W847&lt;0,A847,0)</ns0:f>
        <ns0:v>0</ns0:v>
      </ns0:c>
      <ns0:c r="AF847" s="16">
        <ns0:f>IF(AND(OR('前提と出典'!$C$36+'前提と出典'!$C$38=0,U847&gt;=0),OR('前提と出典'!$C$37+'前提と出典'!$C$38=0,V847&gt;=0)),0,A847)</ns0:f>
        <ns0:v>0</ns0:v>
      </ns0:c>
      <ns0:c r="AG847" s="7">
        <ns0:f>IF(Z847&gt;=0,A847,1001)</ns0:f>
        <ns0:v>843</ns0:v>
      </ns0:c>
      <ns0:c r="AH847" s="4">
        <ns0:f>IF(Z847&lt;0,A847,0)</ns0:f>
        <ns0:v>0</ns0:v>
      </ns0:c>
      <ns0:c r="AI847" s="12">
        <ns0:f>IF(AND(OR('前提と出典'!$C$36+'前提と出典'!$C$38=0,X847&gt;=0),OR('前提と出典'!$C$37+'前提と出典'!$C$38=0,Y847&gt;=0)),0,A847)</ns0:f>
        <ns0:v>0</ns0:v>
      </ns0:c>
    </ns0:row>
    <ns0:row r="848" ht="24" customHeight="1">
      <ns0:c r="A848" s="4" t="n">
        <ns0:v>844</ns0:v>
      </ns0:c>
      <ns0:c r="B848" s="12">
        <ns0:f>A848*('前提と出典'!$C$36+'前提と出典'!$C$38)</ns0:f>
        <ns0:v>590.8</ns0:v>
      </ns0:c>
      <ns0:c r="C848" s="12">
        <ns0:f>A848*('前提と出典'!$C$37+'前提と出典'!$C$38)</ns0:f>
        <ns0:v>506.4</ns0:v>
      </ns0:c>
      <ns0:c r="D848" s="16">
        <ns0:f>A848*('前提と出典'!$C$36*'契約別単価'!C5+'前提と出典'!$C$37*'契約別単価'!C6+'前提と出典'!$C$38*'契約別単価'!C7)</ns0:f>
        <ns0:v>6073.027932960894</ns0:v>
      </ns0:c>
      <ns0:c r="E848" s="16">
        <ns0:f>A848*('前提と出典'!$C$36*'契約別単価'!E5+'前提と出典'!$C$37*'契約別単価'!E6+'前提と出典'!$C$38*'契約別単価'!E7)</ns0:f>
        <ns0:v>1633093.290282117</ns0:v>
      </ns0:c>
      <ns0:c r="F848" s="16">
        <ns0:f>A848*('前提と出典'!$C$36*'契約別単価'!F5+'前提と出典'!$C$37*'契約別単価'!F6+'前提と出典'!$C$38*'契約別単価'!F7)</ns0:f>
        <ns0:v>640929.7848701807</ns0:v>
      </ns0:c>
      <ns0:c r="G848" s="16">
        <ns0:f>A848*('前提と出典'!$C$36*'契約別単価'!G5+'前提と出典'!$C$37*'契約別単価'!G6+'前提と出典'!$C$38*'契約別単価'!G7)</ns0:f>
        <ns0:v>1679984.3575418994</ns0:v>
      </ns0:c>
      <ns0:c r="H848" s="16">
        <ns0:f>A848*('前提と出典'!$C$36*'契約別単価'!H5+'前提と出典'!$C$37*'契約別単価'!H6+'前提と出典'!$C$38*'契約別単価'!H7)</ns0:f>
        <ns0:v>583038.8299037084</ns0:v>
      </ns0:c>
      <ns0:c r="I848" s="16">
        <ns0:f>A848*('前提と出典'!$C$36*'契約別単価'!I5+'前提と出典'!$C$37*'契約別単価'!I6+'前提と出典'!$C$38*'契約別単価'!I7)</ns0:f>
        <ns0:v>35613.02793296089</ns0:v>
      </ns0:c>
      <ns0:c r="J848" s="16">
        <ns0:f>A848*('前提と出典'!$C$36*'契約別単価'!J5+'前提と出典'!$C$37*'契約別単価'!J6+'前提と出典'!$C$38*'契約別単価'!J7)</ns0:f>
        <ns0:v>82956.37489149536</ns0:v>
      </ns0:c>
      <ns0:c r="K848" s="16">
        <ns0:f>A848*('前提と出典'!$C$36*'契約別単価'!K5+'前提と出典'!$C$37*'契約別単価'!K6+'前提と出典'!$C$38*'契約別単価'!K7)</ns0:f>
        <ns0:v>355580.18621973926</ns0:v>
      </ns0:c>
      <ns0:c r="L848" s="16">
        <ns0:f>A848*('前提と出典'!$C$36*'契約別単価'!L5+'前提と出典'!$C$37*'契約別単価'!L6+'前提と出典'!$C$38*'契約別単価'!L7)</ns0:f>
        <ns0:v>289514.62766345695</ns0:v>
      </ns0:c>
      <ns0:c r="M848" s="16">
        <ns0:f>IF(('前提と出典'!$C$36+'前提と出典'!$C$38)=0,0,IF(B848&lt;=10,'前提と出典'!B73+'前提と出典'!C73,IF(B848&lt;=100,'前提と出典'!B74+'前提と出典'!C74,IF(B848&lt;=500,'前提と出典'!B75+'前提と出典'!C75,'前提と出典'!B76+'前提と出典'!C76))))</ns0:f>
        <ns0:v>80000</ns0:v>
      </ns0:c>
      <ns0:c r="N848" s="16">
        <ns0:f>IF(('前提と出典'!$C$37+'前提と出典'!$C$38)=0,0,IF(C848&lt;=10,'前提と出典'!D73+'前提と出典'!E73,IF(C848&lt;=100,'前提と出典'!D74+'前提と出典'!E74,IF(C848&lt;=500,'前提と出典'!D75+'前提と出典'!E75,'前提と出典'!D76+'前提と出典'!E76))))</ns0:f>
        <ns0:v>86510.9346263078</ns0:v>
      </ns0:c>
      <ns0:c r="O848" s="16">
        <ns0:f>IF('前提と出典'!$C$36+'前提と出典'!$C$38=0,0,'前提と出典'!$B$4*IF('前提と出典'!$B$20=0,MAX('前提と出典'!$B$6,D848*'前提と出典'!$B$5),'前提と出典'!$B$6+D848*'前提と出典'!$B$5))</ns0:f>
        <ns0:v>838077.8547486033</ns0:v>
      </ns0:c>
      <ns0:c r="P848" s="16">
        <ns0:f>(E848+G848)*(1-'前提と出典'!$B$7)-I848-K848-M848-O848</ns0:f>
        <ns0:v>1884535.7836010477</ns0:v>
      </ns0:c>
      <ns0:c r="Q848" s="16">
        <ns0:f>(F848+H848)*(1-'前提と出典'!$B$7)-J848-L848-N848</ns0:f>
        <ns0:v>720923.807460769</ns0:v>
      </ns0:c>
      <ns0:c r="R848" s="16">
        <ns0:f>P848-E848*'前提と出典'!$E$4</ns0:f>
        <ns0:v>1394607.7965164129</ns0:v>
      </ns0:c>
      <ns0:c r="S848" s="16">
        <ns0:f>Q848-F848*'前提と出典'!$E$4</ns0:f>
        <ns0:v>528644.8719997148</ns0:v>
      </ns0:c>
      <ns0:c r="T848" s="7">
        <ns0:f>R848+S848</ns0:f>
        <ns0:v>1923252.6685161276</ns0:v>
      </ns0:c>
      <ns0:c r="U848" s="16">
        <ns0:f>P848-E848*'前提と出典'!$E$5</ns0:f>
        <ns0:v>1231298.4674882009</ns0:v>
      </ns0:c>
      <ns0:c r="V848" s="16">
        <ns0:f>Q848-F848*'前提と出典'!$E$5</ns0:f>
        <ns0:v>464551.8935126967</ns0:v>
      </ns0:c>
      <ns0:c r="W848" s="7">
        <ns0:f>U848+V848</ns0:f>
        <ns0:v>1695850.3610008976</ns0:v>
      </ns0:c>
      <ns0:c r="X848" s="16">
        <ns0:f>P848-E848*'前提と出典'!$E$6</ns0:f>
        <ns0:v>1067989.1384599893</ns0:v>
      </ns0:c>
      <ns0:c r="Y848" s="16">
        <ns0:f>Q848-F848*'前提と出典'!$E$6</ns0:f>
        <ns0:v>400458.9150256786</ns0:v>
      </ns0:c>
      <ns0:c r="Z848" s="7">
        <ns0:f>X848+Y848</ns0:f>
        <ns0:v>1468448.0534856678</ns0:v>
      </ns0:c>
      <ns0:c r="AA848" s="7">
        <ns0:f>IF(T848&gt;=0,A848,1001)</ns0:f>
        <ns0:v>844</ns0:v>
      </ns0:c>
      <ns0:c r="AB848" s="7">
        <ns0:f>IF(T848&lt;0,A848,0)</ns0:f>
        <ns0:v>0</ns0:v>
      </ns0:c>
      <ns0:c r="AC848" s="16">
        <ns0:f>IF(AND(OR('前提と出典'!$C$36+'前提と出典'!$C$38=0,R848&gt;=0),OR('前提と出典'!$C$37+'前提と出典'!$C$38=0,S848&gt;=0)),0,A848)</ns0:f>
        <ns0:v>0</ns0:v>
      </ns0:c>
      <ns0:c r="AD848" s="7">
        <ns0:f>IF(W848&gt;=0,A848,1001)</ns0:f>
        <ns0:v>844</ns0:v>
      </ns0:c>
      <ns0:c r="AE848" s="7">
        <ns0:f>IF(W848&lt;0,A848,0)</ns0:f>
        <ns0:v>0</ns0:v>
      </ns0:c>
      <ns0:c r="AF848" s="16">
        <ns0:f>IF(AND(OR('前提と出典'!$C$36+'前提と出典'!$C$38=0,U848&gt;=0),OR('前提と出典'!$C$37+'前提と出典'!$C$38=0,V848&gt;=0)),0,A848)</ns0:f>
        <ns0:v>0</ns0:v>
      </ns0:c>
      <ns0:c r="AG848" s="7">
        <ns0:f>IF(Z848&gt;=0,A848,1001)</ns0:f>
        <ns0:v>844</ns0:v>
      </ns0:c>
      <ns0:c r="AH848" s="4">
        <ns0:f>IF(Z848&lt;0,A848,0)</ns0:f>
        <ns0:v>0</ns0:v>
      </ns0:c>
      <ns0:c r="AI848" s="12">
        <ns0:f>IF(AND(OR('前提と出典'!$C$36+'前提と出典'!$C$38=0,X848&gt;=0),OR('前提と出典'!$C$37+'前提と出典'!$C$38=0,Y848&gt;=0)),0,A848)</ns0:f>
        <ns0:v>0</ns0:v>
      </ns0:c>
    </ns0:row>
    <ns0:row r="849" ht="24" customHeight="1">
      <ns0:c r="A849" s="4" t="n">
        <ns0:v>845</ns0:v>
      </ns0:c>
      <ns0:c r="B849" s="12">
        <ns0:f>A849*('前提と出典'!$C$36+'前提と出典'!$C$38)</ns0:f>
        <ns0:v>591.5</ns0:v>
      </ns0:c>
      <ns0:c r="C849" s="12">
        <ns0:f>A849*('前提と出典'!$C$37+'前提と出典'!$C$38)</ns0:f>
        <ns0:v>507</ns0:v>
      </ns0:c>
      <ns0:c r="D849" s="16">
        <ns0:f>A849*('前提と出典'!$C$36*'契約別単価'!C5+'前提と出典'!$C$37*'契約別単価'!C6+'前提と出典'!$C$38*'契約別単価'!C7)</ns0:f>
        <ns0:v>6080.223463687151</ns0:v>
      </ns0:c>
      <ns0:c r="E849" s="16">
        <ns0:f>A849*('前提と出典'!$C$36*'契約別単価'!E5+'前提と出典'!$C$37*'契約別単価'!E6+'前提と出典'!$C$38*'契約別単価'!E7)</ns0:f>
        <ns0:v>1635028.2349388492</ns0:v>
      </ns0:c>
      <ns0:c r="F849" s="16">
        <ns0:f>A849*('前提と出典'!$C$36*'契約別単価'!F5+'前提と出典'!$C$37*'契約別単価'!F6+'前提と出典'!$C$38*'契約別単価'!F7)</ns0:f>
        <ns0:v>641689.1803498847</ns0:v>
      </ns0:c>
      <ns0:c r="G849" s="16">
        <ns0:f>A849*('前提と出典'!$C$36*'契約別単価'!G5+'前提と出典'!$C$37*'契約別単価'!G6+'前提と出典'!$C$38*'契約別単価'!G7)</ns0:f>
        <ns0:v>1681974.8603351954</ns0:v>
      </ns0:c>
      <ns0:c r="H849" s="16">
        <ns0:f>A849*('前提と出典'!$C$36*'契約別単価'!H5+'前提と出典'!$C$37*'契約別単価'!H6+'前提と出典'!$C$38*'契約別単価'!H7)</ns0:f>
        <ns0:v>583729.6342045421</ns0:v>
      </ns0:c>
      <ns0:c r="I849" s="16">
        <ns0:f>A849*('前提と出典'!$C$36*'契約別単価'!I5+'前提と出典'!$C$37*'契約別単価'!I6+'前提と出典'!$C$38*'契約別単価'!I7)</ns0:f>
        <ns0:v>35655.22346368714</ns0:v>
      </ns0:c>
      <ns0:c r="J849" s="16">
        <ns0:f>A849*('前提と出典'!$C$36*'契約別単価'!J5+'前提と出典'!$C$37*'契約別単価'!J6+'前提と出典'!$C$38*'契約別単価'!J7)</ns0:f>
        <ns0:v>83054.66443520568</ns0:v>
      </ns0:c>
      <ns0:c r="K849" s="16">
        <ns0:f>A849*('前提と出典'!$C$36*'契約別単価'!K5+'前提と出典'!$C$37*'契約別単価'!K6+'前提と出典'!$C$38*'契約別単価'!K7)</ns0:f>
        <ns0:v>356001.4897579143</ns0:v>
      </ns0:c>
      <ns0:c r="L849" s="16">
        <ns0:f>A849*('前提と出典'!$C$36*'契約別単価'!L5+'前提と出典'!$C$37*'契約別単価'!L6+'前提と出典'!$C$38*'契約別単価'!L7)</ns0:f>
        <ns0:v>289857.6544734847</ns0:v>
      </ns0:c>
      <ns0:c r="M849" s="16">
        <ns0:f>IF(('前提と出典'!$C$36+'前提と出典'!$C$38)=0,0,IF(B849&lt;=10,'前提と出典'!B73+'前提と出典'!C73,IF(B849&lt;=100,'前提と出典'!B74+'前提と出典'!C74,IF(B849&lt;=500,'前提と出典'!B75+'前提と出典'!C75,'前提と出典'!B76+'前提と出典'!C76))))</ns0:f>
        <ns0:v>80000</ns0:v>
      </ns0:c>
      <ns0:c r="N849" s="16">
        <ns0:f>IF(('前提と出典'!$C$37+'前提と出典'!$C$38)=0,0,IF(C849&lt;=10,'前提と出典'!D73+'前提と出典'!E73,IF(C849&lt;=100,'前提と出典'!D74+'前提と出典'!E74,IF(C849&lt;=500,'前提と出典'!D75+'前提と出典'!E75,'前提と出典'!D76+'前提と出典'!E76))))</ns0:f>
        <ns0:v>86510.9346263078</ns0:v>
      </ns0:c>
      <ns0:c r="O849" s="16">
        <ns0:f>IF('前提と出典'!$C$36+'前提と出典'!$C$38=0,0,'前提と出典'!$B$4*IF('前提と出典'!$B$20=0,MAX('前提と出典'!$B$6,D849*'前提と出典'!$B$5),'前提と出典'!$B$6+D849*'前提と出典'!$B$5))</ns0:f>
        <ns0:v>839070.8379888268</ns0:v>
      </ns0:c>
      <ns0:c r="P849" s="16">
        <ns0:f>(E849+G849)*(1-'前提と出典'!$B$7)-I849-K849-M849-O849</ns0:f>
        <ns0:v>1886863.4326337508</ns0:v>
      </ns0:c>
      <ns0:c r="Q849" s="16">
        <ns0:f>(F849+H849)*(1-'前提と出典'!$B$7)-J849-L849-N849</ns0:f>
        <ns0:v>721880.4836954693</ns0:v>
      </ns0:c>
      <ns0:c r="R849" s="16">
        <ns0:f>P849-E849*'前提と出典'!$E$4</ns0:f>
        <ns0:v>1396354.962152096</ns0:v>
      </ns0:c>
      <ns0:c r="S849" s="16">
        <ns0:f>Q849-F849*'前提と出典'!$E$4</ns0:f>
        <ns0:v>529373.729590504</ns0:v>
      </ns0:c>
      <ns0:c r="T849" s="7">
        <ns0:f>R849+S849</ns0:f>
        <ns0:v>1925728.6917426</ns0:v>
      </ns0:c>
      <ns0:c r="U849" s="16">
        <ns0:f>P849-E849*'前提と出典'!$E$5</ns0:f>
        <ns0:v>1232852.138658211</ns0:v>
      </ns0:c>
      <ns0:c r="V849" s="16">
        <ns0:f>Q849-F849*'前提と出典'!$E$5</ns0:f>
        <ns0:v>465204.8115555155</ns0:v>
      </ns0:c>
      <ns0:c r="W849" s="7">
        <ns0:f>U849+V849</ns0:f>
        <ns0:v>1698056.9502137266</ns0:v>
      </ns0:c>
      <ns0:c r="X849" s="16">
        <ns0:f>P849-E849*'前提と出典'!$E$6</ns0:f>
        <ns0:v>1069349.3151643262</ns0:v>
      </ns0:c>
      <ns0:c r="Y849" s="16">
        <ns0:f>Q849-F849*'前提と出典'!$E$6</ns0:f>
        <ns0:v>401035.89352052705</ns0:v>
      </ns0:c>
      <ns0:c r="Z849" s="7">
        <ns0:f>X849+Y849</ns0:f>
        <ns0:v>1470385.2086848533</ns0:v>
      </ns0:c>
      <ns0:c r="AA849" s="7">
        <ns0:f>IF(T849&gt;=0,A849,1001)</ns0:f>
        <ns0:v>845</ns0:v>
      </ns0:c>
      <ns0:c r="AB849" s="7">
        <ns0:f>IF(T849&lt;0,A849,0)</ns0:f>
        <ns0:v>0</ns0:v>
      </ns0:c>
      <ns0:c r="AC849" s="16">
        <ns0:f>IF(AND(OR('前提と出典'!$C$36+'前提と出典'!$C$38=0,R849&gt;=0),OR('前提と出典'!$C$37+'前提と出典'!$C$38=0,S849&gt;=0)),0,A849)</ns0:f>
        <ns0:v>0</ns0:v>
      </ns0:c>
      <ns0:c r="AD849" s="7">
        <ns0:f>IF(W849&gt;=0,A849,1001)</ns0:f>
        <ns0:v>845</ns0:v>
      </ns0:c>
      <ns0:c r="AE849" s="7">
        <ns0:f>IF(W849&lt;0,A849,0)</ns0:f>
        <ns0:v>0</ns0:v>
      </ns0:c>
      <ns0:c r="AF849" s="16">
        <ns0:f>IF(AND(OR('前提と出典'!$C$36+'前提と出典'!$C$38=0,U849&gt;=0),OR('前提と出典'!$C$37+'前提と出典'!$C$38=0,V849&gt;=0)),0,A849)</ns0:f>
        <ns0:v>0</ns0:v>
      </ns0:c>
      <ns0:c r="AG849" s="7">
        <ns0:f>IF(Z849&gt;=0,A849,1001)</ns0:f>
        <ns0:v>845</ns0:v>
      </ns0:c>
      <ns0:c r="AH849" s="4">
        <ns0:f>IF(Z849&lt;0,A849,0)</ns0:f>
        <ns0:v>0</ns0:v>
      </ns0:c>
      <ns0:c r="AI849" s="12">
        <ns0:f>IF(AND(OR('前提と出典'!$C$36+'前提と出典'!$C$38=0,X849&gt;=0),OR('前提と出典'!$C$37+'前提と出典'!$C$38=0,Y849&gt;=0)),0,A849)</ns0:f>
        <ns0:v>0</ns0:v>
      </ns0:c>
    </ns0:row>
    <ns0:row r="850" ht="24" customHeight="1">
      <ns0:c r="A850" s="4" t="n">
        <ns0:v>846</ns0:v>
      </ns0:c>
      <ns0:c r="B850" s="12">
        <ns0:f>A850*('前提と出典'!$C$36+'前提と出典'!$C$38)</ns0:f>
        <ns0:v>592.1999999999999</ns0:v>
      </ns0:c>
      <ns0:c r="C850" s="12">
        <ns0:f>A850*('前提と出典'!$C$37+'前提と出典'!$C$38)</ns0:f>
        <ns0:v>507.59999999999997</ns0:v>
      </ns0:c>
      <ns0:c r="D850" s="16">
        <ns0:f>A850*('前提と出典'!$C$36*'契約別単価'!C5+'前提と出典'!$C$37*'契約別単価'!C6+'前提と出典'!$C$38*'契約別単価'!C7)</ns0:f>
        <ns0:v>6087.418994413408</ns0:v>
      </ns0:c>
      <ns0:c r="E850" s="16">
        <ns0:f>A850*('前提と出典'!$C$36*'契約別単価'!E5+'前提と出典'!$C$37*'契約別単価'!E6+'前提と出典'!$C$38*'契約別単価'!E7)</ns0:f>
        <ns0:v>1636963.1795955815</ns0:v>
      </ns0:c>
      <ns0:c r="F850" s="16">
        <ns0:f>A850*('前提と出典'!$C$36*'契約別単価'!F5+'前提と出典'!$C$37*'契約別単価'!F6+'前提と出典'!$C$38*'契約別単価'!F7)</ns0:f>
        <ns0:v>642448.5758295887</ns0:v>
      </ns0:c>
      <ns0:c r="G850" s="16">
        <ns0:f>A850*('前提と出典'!$C$36*'契約別単価'!G5+'前提と出典'!$C$37*'契約別単価'!G6+'前提と出典'!$C$38*'契約別単価'!G7)</ns0:f>
        <ns0:v>1683965.3631284914</ns0:v>
      </ns0:c>
      <ns0:c r="H850" s="16">
        <ns0:f>A850*('前提と出典'!$C$36*'契約別単価'!H5+'前提と出典'!$C$37*'契約別単価'!H6+'前提と出典'!$C$38*'契約別単価'!H7)</ns0:f>
        <ns0:v>584420.4385053759</ns0:v>
      </ns0:c>
      <ns0:c r="I850" s="16">
        <ns0:f>A850*('前提と出典'!$C$36*'契約別単価'!I5+'前提と出典'!$C$37*'契約別単価'!I6+'前提と出典'!$C$38*'契約別単価'!I7)</ns0:f>
        <ns0:v>35697.418994413405</ns0:v>
      </ns0:c>
      <ns0:c r="J850" s="16">
        <ns0:f>A850*('前提と出典'!$C$36*'契約別単価'!J5+'前提と出典'!$C$37*'契約別単価'!J6+'前提と出典'!$C$38*'契約別単価'!J7)</ns0:f>
        <ns0:v>83152.95397891598</ns0:v>
      </ns0:c>
      <ns0:c r="K850" s="16">
        <ns0:f>A850*('前提と出典'!$C$36*'契約別単価'!K5+'前提と出典'!$C$37*'契約別単価'!K6+'前提と出典'!$C$38*'契約別単価'!K7)</ns0:f>
        <ns0:v>356422.79329608934</ns0:v>
      </ns0:c>
      <ns0:c r="L850" s="16">
        <ns0:f>A850*('前提と出典'!$C$36*'契約別単価'!L5+'前提と出典'!$C$37*'契約別単価'!L6+'前提と出典'!$C$38*'契約別単価'!L7)</ns0:f>
        <ns0:v>290200.6812835125</ns0:v>
      </ns0:c>
      <ns0:c r="M850" s="16">
        <ns0:f>IF(('前提と出典'!$C$36+'前提と出典'!$C$38)=0,0,IF(B850&lt;=10,'前提と出典'!B73+'前提と出典'!C73,IF(B850&lt;=100,'前提と出典'!B74+'前提と出典'!C74,IF(B850&lt;=500,'前提と出典'!B75+'前提と出典'!C75,'前提と出典'!B76+'前提と出典'!C76))))</ns0:f>
        <ns0:v>80000</ns0:v>
      </ns0:c>
      <ns0:c r="N850" s="16">
        <ns0:f>IF(('前提と出典'!$C$37+'前提と出典'!$C$38)=0,0,IF(C850&lt;=10,'前提と出典'!D73+'前提と出典'!E73,IF(C850&lt;=100,'前提と出典'!D74+'前提と出典'!E74,IF(C850&lt;=500,'前提と出典'!D75+'前提と出典'!E75,'前提と出典'!D76+'前提と出典'!E76))))</ns0:f>
        <ns0:v>86510.9346263078</ns0:v>
      </ns0:c>
      <ns0:c r="O850" s="16">
        <ns0:f>IF('前提と出典'!$C$36+'前提と出典'!$C$38=0,0,'前提と出典'!$B$4*IF('前提と出典'!$B$20=0,MAX('前提と出典'!$B$6,D850*'前提と出典'!$B$5),'前提と出典'!$B$6+D850*'前提と出典'!$B$5))</ns0:f>
        <ns0:v>840063.8212290503</ns0:v>
      </ns0:c>
      <ns0:c r="P850" s="16">
        <ns0:f>(E850+G850)*(1-'前提と出典'!$B$7)-I850-K850-M850-O850</ns0:f>
        <ns0:v>1889191.081666453</ns0:v>
      </ns0:c>
      <ns0:c r="Q850" s="16">
        <ns0:f>(F850+H850)*(1-'前提と出典'!$B$7)-J850-L850-N850</ns0:f>
        <ns0:v>722837.1599301696</ns0:v>
      </ns0:c>
      <ns0:c r="R850" s="16">
        <ns0:f>P850-E850*'前提と出典'!$E$4</ns0:f>
        <ns0:v>1398102.1277877786</ns0:v>
      </ns0:c>
      <ns0:c r="S850" s="16">
        <ns0:f>Q850-F850*'前提と出典'!$E$4</ns0:f>
        <ns0:v>530102.5871812929</ns0:v>
      </ns0:c>
      <ns0:c r="T850" s="7">
        <ns0:f>R850+S850</ns0:f>
        <ns0:v>1928204.7149690716</ns0:v>
      </ns0:c>
      <ns0:c r="U850" s="16">
        <ns0:f>P850-E850*'前提と出典'!$E$5</ns0:f>
        <ns0:v>1234405.8098282204</ns0:v>
      </ns0:c>
      <ns0:c r="V850" s="16">
        <ns0:f>Q850-F850*'前提と出典'!$E$5</ns0:f>
        <ns0:v>465857.72959833406</ns0:v>
      </ns0:c>
      <ns0:c r="W850" s="7">
        <ns0:f>U850+V850</ns0:f>
        <ns0:v>1700263.5394265545</ns0:v>
      </ns0:c>
      <ns0:c r="X850" s="16">
        <ns0:f>P850-E850*'前提と出典'!$E$6</ns0:f>
        <ns0:v>1070709.4918686626</ns0:v>
      </ns0:c>
      <ns0:c r="Y850" s="16">
        <ns0:f>Q850-F850*'前提と出典'!$E$6</ns0:f>
        <ns0:v>401612.8720153752</ns0:v>
      </ns0:c>
      <ns0:c r="Z850" s="7">
        <ns0:f>X850+Y850</ns0:f>
        <ns0:v>1472322.3638840378</ns0:v>
      </ns0:c>
      <ns0:c r="AA850" s="7">
        <ns0:f>IF(T850&gt;=0,A850,1001)</ns0:f>
        <ns0:v>846</ns0:v>
      </ns0:c>
      <ns0:c r="AB850" s="7">
        <ns0:f>IF(T850&lt;0,A850,0)</ns0:f>
        <ns0:v>0</ns0:v>
      </ns0:c>
      <ns0:c r="AC850" s="16">
        <ns0:f>IF(AND(OR('前提と出典'!$C$36+'前提と出典'!$C$38=0,R850&gt;=0),OR('前提と出典'!$C$37+'前提と出典'!$C$38=0,S850&gt;=0)),0,A850)</ns0:f>
        <ns0:v>0</ns0:v>
      </ns0:c>
      <ns0:c r="AD850" s="7">
        <ns0:f>IF(W850&gt;=0,A850,1001)</ns0:f>
        <ns0:v>846</ns0:v>
      </ns0:c>
      <ns0:c r="AE850" s="7">
        <ns0:f>IF(W850&lt;0,A850,0)</ns0:f>
        <ns0:v>0</ns0:v>
      </ns0:c>
      <ns0:c r="AF850" s="16">
        <ns0:f>IF(AND(OR('前提と出典'!$C$36+'前提と出典'!$C$38=0,U850&gt;=0),OR('前提と出典'!$C$37+'前提と出典'!$C$38=0,V850&gt;=0)),0,A850)</ns0:f>
        <ns0:v>0</ns0:v>
      </ns0:c>
      <ns0:c r="AG850" s="7">
        <ns0:f>IF(Z850&gt;=0,A850,1001)</ns0:f>
        <ns0:v>846</ns0:v>
      </ns0:c>
      <ns0:c r="AH850" s="4">
        <ns0:f>IF(Z850&lt;0,A850,0)</ns0:f>
        <ns0:v>0</ns0:v>
      </ns0:c>
      <ns0:c r="AI850" s="12">
        <ns0:f>IF(AND(OR('前提と出典'!$C$36+'前提と出典'!$C$38=0,X850&gt;=0),OR('前提と出典'!$C$37+'前提と出典'!$C$38=0,Y850&gt;=0)),0,A850)</ns0:f>
        <ns0:v>0</ns0:v>
      </ns0:c>
    </ns0:row>
    <ns0:row r="851" ht="24" customHeight="1">
      <ns0:c r="A851" s="4" t="n">
        <ns0:v>847</ns0:v>
      </ns0:c>
      <ns0:c r="B851" s="12">
        <ns0:f>A851*('前提と出典'!$C$36+'前提と出典'!$C$38)</ns0:f>
        <ns0:v>592.9</ns0:v>
      </ns0:c>
      <ns0:c r="C851" s="12">
        <ns0:f>A851*('前提と出典'!$C$37+'前提と出典'!$C$38)</ns0:f>
        <ns0:v>508.2</ns0:v>
      </ns0:c>
      <ns0:c r="D851" s="16">
        <ns0:f>A851*('前提と出典'!$C$36*'契約別単価'!C5+'前提と出典'!$C$37*'契約別単価'!C6+'前提と出典'!$C$38*'契約別単価'!C7)</ns0:f>
        <ns0:v>6094.614525139665</ns0:v>
      </ns0:c>
      <ns0:c r="E851" s="16">
        <ns0:f>A851*('前提と出典'!$C$36*'契約別単価'!E5+'前提と出典'!$C$37*'契約別単価'!E6+'前提と出典'!$C$38*'契約別単価'!E7)</ns0:f>
        <ns0:v>1638898.124252314</ns0:v>
      </ns0:c>
      <ns0:c r="F851" s="16">
        <ns0:f>A851*('前提と出典'!$C$36*'契約別単価'!F5+'前提と出典'!$C$37*'契約別単価'!F6+'前提と出典'!$C$38*'契約別単価'!F7)</ns0:f>
        <ns0:v>643207.9713092927</ns0:v>
      </ns0:c>
      <ns0:c r="G851" s="16">
        <ns0:f>A851*('前提と出典'!$C$36*'契約別単価'!G5+'前提と出典'!$C$37*'契約別単価'!G6+'前提と出典'!$C$38*'契約別単価'!G7)</ns0:f>
        <ns0:v>1685955.8659217877</ns0:v>
      </ns0:c>
      <ns0:c r="H851" s="16">
        <ns0:f>A851*('前提と出典'!$C$36*'契約別単価'!H5+'前提と出典'!$C$37*'契約別単価'!H6+'前提と出典'!$C$38*'契約別単価'!H7)</ns0:f>
        <ns0:v>585111.2428062097</ns0:v>
      </ns0:c>
      <ns0:c r="I851" s="16">
        <ns0:f>A851*('前提と出典'!$C$36*'契約別単価'!I5+'前提と出典'!$C$37*'契約別単価'!I6+'前提と出典'!$C$38*'契約別単価'!I7)</ns0:f>
        <ns0:v>35739.61452513966</ns0:v>
      </ns0:c>
      <ns0:c r="J851" s="16">
        <ns0:f>A851*('前提と出典'!$C$36*'契約別単価'!J5+'前提と出典'!$C$37*'契約別単価'!J6+'前提と出典'!$C$38*'契約別単価'!J7)</ns0:f>
        <ns0:v>83251.24352262628</ns0:v>
      </ns0:c>
      <ns0:c r="K851" s="16">
        <ns0:f>A851*('前提と出典'!$C$36*'契約別単価'!K5+'前提と出典'!$C$37*'契約別単価'!K6+'前提と出典'!$C$38*'契約別単価'!K7)</ns0:f>
        <ns0:v>356844.0968342644</ns0:v>
      </ns0:c>
      <ns0:c r="L851" s="16">
        <ns0:f>A851*('前提と出典'!$C$36*'契約別単価'!L5+'前提と出典'!$C$37*'契約別単価'!L6+'前提と出典'!$C$38*'契約別単価'!L7)</ns0:f>
        <ns0:v>290543.70809354034</ns0:v>
      </ns0:c>
      <ns0:c r="M851" s="16">
        <ns0:f>IF(('前提と出典'!$C$36+'前提と出典'!$C$38)=0,0,IF(B851&lt;=10,'前提と出典'!B73+'前提と出典'!C73,IF(B851&lt;=100,'前提と出典'!B74+'前提と出典'!C74,IF(B851&lt;=500,'前提と出典'!B75+'前提と出典'!C75,'前提と出典'!B76+'前提と出典'!C76))))</ns0:f>
        <ns0:v>80000</ns0:v>
      </ns0:c>
      <ns0:c r="N851" s="16">
        <ns0:f>IF(('前提と出典'!$C$37+'前提と出典'!$C$38)=0,0,IF(C851&lt;=10,'前提と出典'!D73+'前提と出典'!E73,IF(C851&lt;=100,'前提と出典'!D74+'前提と出典'!E74,IF(C851&lt;=500,'前提と出典'!D75+'前提と出典'!E75,'前提と出典'!D76+'前提と出典'!E76))))</ns0:f>
        <ns0:v>86510.9346263078</ns0:v>
      </ns0:c>
      <ns0:c r="O851" s="16">
        <ns0:f>IF('前提と出典'!$C$36+'前提と出典'!$C$38=0,0,'前提と出典'!$B$4*IF('前提と出典'!$B$20=0,MAX('前提と出典'!$B$6,D851*'前提と出典'!$B$5),'前提と出典'!$B$6+D851*'前提と出典'!$B$5))</ns0:f>
        <ns0:v>841056.8044692738</ns0:v>
      </ns0:c>
      <ns0:c r="P851" s="16">
        <ns0:f>(E851+G851)*(1-'前提と出典'!$B$7)-I851-K851-M851-O851</ns0:f>
        <ns0:v>1891518.730699156</ns0:v>
      </ns0:c>
      <ns0:c r="Q851" s="16">
        <ns0:f>(F851+H851)*(1-'前提と出典'!$B$7)-J851-L851-N851</ns0:f>
        <ns0:v>723793.83616487</ns0:v>
      </ns0:c>
      <ns0:c r="R851" s="16">
        <ns0:f>P851-E851*'前提と出典'!$E$4</ns0:f>
        <ns0:v>1399849.2934234617</ns0:v>
      </ns0:c>
      <ns0:c r="S851" s="16">
        <ns0:f>Q851-F851*'前提と出典'!$E$4</ns0:f>
        <ns0:v>530831.4447720821</ns0:v>
      </ns0:c>
      <ns0:c r="T851" s="7">
        <ns0:f>R851+S851</ns0:f>
        <ns0:v>1930680.7381955439</ns0:v>
      </ns0:c>
      <ns0:c r="U851" s="16">
        <ns0:f>P851-E851*'前提と出典'!$E$5</ns0:f>
        <ns0:v>1235959.4809982302</ns0:v>
      </ns0:c>
      <ns0:c r="V851" s="16">
        <ns0:f>Q851-F851*'前提と出典'!$E$5</ns0:f>
        <ns0:v>466510.64764115284</ns0:v>
      </ns0:c>
      <ns0:c r="W851" s="7">
        <ns0:f>U851+V851</ns0:f>
        <ns0:v>1702470.128639383</ns0:v>
      </ns0:c>
      <ns0:c r="X851" s="16">
        <ns0:f>P851-E851*'前提と出典'!$E$6</ns0:f>
        <ns0:v>1072069.668572999</ns0:v>
      </ns0:c>
      <ns0:c r="Y851" s="16">
        <ns0:f>Q851-F851*'前提と出典'!$E$6</ns0:f>
        <ns0:v>402189.8505102236</ns0:v>
      </ns0:c>
      <ns0:c r="Z851" s="7">
        <ns0:f>X851+Y851</ns0:f>
        <ns0:v>1474259.5190832226</ns0:v>
      </ns0:c>
      <ns0:c r="AA851" s="7">
        <ns0:f>IF(T851&gt;=0,A851,1001)</ns0:f>
        <ns0:v>847</ns0:v>
      </ns0:c>
      <ns0:c r="AB851" s="7">
        <ns0:f>IF(T851&lt;0,A851,0)</ns0:f>
        <ns0:v>0</ns0:v>
      </ns0:c>
      <ns0:c r="AC851" s="16">
        <ns0:f>IF(AND(OR('前提と出典'!$C$36+'前提と出典'!$C$38=0,R851&gt;=0),OR('前提と出典'!$C$37+'前提と出典'!$C$38=0,S851&gt;=0)),0,A851)</ns0:f>
        <ns0:v>0</ns0:v>
      </ns0:c>
      <ns0:c r="AD851" s="7">
        <ns0:f>IF(W851&gt;=0,A851,1001)</ns0:f>
        <ns0:v>847</ns0:v>
      </ns0:c>
      <ns0:c r="AE851" s="7">
        <ns0:f>IF(W851&lt;0,A851,0)</ns0:f>
        <ns0:v>0</ns0:v>
      </ns0:c>
      <ns0:c r="AF851" s="16">
        <ns0:f>IF(AND(OR('前提と出典'!$C$36+'前提と出典'!$C$38=0,U851&gt;=0),OR('前提と出典'!$C$37+'前提と出典'!$C$38=0,V851&gt;=0)),0,A851)</ns0:f>
        <ns0:v>0</ns0:v>
      </ns0:c>
      <ns0:c r="AG851" s="7">
        <ns0:f>IF(Z851&gt;=0,A851,1001)</ns0:f>
        <ns0:v>847</ns0:v>
      </ns0:c>
      <ns0:c r="AH851" s="4">
        <ns0:f>IF(Z851&lt;0,A851,0)</ns0:f>
        <ns0:v>0</ns0:v>
      </ns0:c>
      <ns0:c r="AI851" s="12">
        <ns0:f>IF(AND(OR('前提と出典'!$C$36+'前提と出典'!$C$38=0,X851&gt;=0),OR('前提と出典'!$C$37+'前提と出典'!$C$38=0,Y851&gt;=0)),0,A851)</ns0:f>
        <ns0:v>0</ns0:v>
      </ns0:c>
    </ns0:row>
    <ns0:row r="852" ht="24" customHeight="1">
      <ns0:c r="A852" s="4" t="n">
        <ns0:v>848</ns0:v>
      </ns0:c>
      <ns0:c r="B852" s="12">
        <ns0:f>A852*('前提と出典'!$C$36+'前提と出典'!$C$38)</ns0:f>
        <ns0:v>593.5999999999999</ns0:v>
      </ns0:c>
      <ns0:c r="C852" s="12">
        <ns0:f>A852*('前提と出典'!$C$37+'前提と出典'!$C$38)</ns0:f>
        <ns0:v>508.79999999999995</ns0:v>
      </ns0:c>
      <ns0:c r="D852" s="16">
        <ns0:f>A852*('前提と出典'!$C$36*'契約別単価'!C5+'前提と出典'!$C$37*'契約別単価'!C6+'前提と出典'!$C$38*'契約別単価'!C7)</ns0:f>
        <ns0:v>6101.810055865922</ns0:v>
      </ns0:c>
      <ns0:c r="E852" s="16">
        <ns0:f>A852*('前提と出典'!$C$36*'契約別単価'!E5+'前提と出典'!$C$37*'契約別単価'!E6+'前提と出典'!$C$38*'契約別単価'!E7)</ns0:f>
        <ns0:v>1640833.0689090462</ns0:v>
      </ns0:c>
      <ns0:c r="F852" s="16">
        <ns0:f>A852*('前提と出典'!$C$36*'契約別単価'!F5+'前提と出典'!$C$37*'契約別単価'!F6+'前提と出典'!$C$38*'契約別単価'!F7)</ns0:f>
        <ns0:v>643967.3667889967</ns0:v>
      </ns0:c>
      <ns0:c r="G852" s="16">
        <ns0:f>A852*('前提と出典'!$C$36*'契約別単価'!G5+'前提と出典'!$C$37*'契約別単価'!G6+'前提と出典'!$C$38*'契約別単価'!G7)</ns0:f>
        <ns0:v>1687946.3687150837</ns0:v>
      </ns0:c>
      <ns0:c r="H852" s="16">
        <ns0:f>A852*('前提と出典'!$C$36*'契約別単価'!H5+'前提と出典'!$C$37*'契約別単価'!H6+'前提と出典'!$C$38*'契約別単価'!H7)</ns0:f>
        <ns0:v>585802.0471070434</ns0:v>
      </ns0:c>
      <ns0:c r="I852" s="16">
        <ns0:f>A852*('前提と出典'!$C$36*'契約別単価'!I5+'前提と出典'!$C$37*'契約別単価'!I6+'前提と出典'!$C$38*'契約別単価'!I7)</ns0:f>
        <ns0:v>35781.81005586591</ns0:v>
      </ns0:c>
      <ns0:c r="J852" s="16">
        <ns0:f>A852*('前提と出典'!$C$36*'契約別単価'!J5+'前提と出典'!$C$37*'契約別単価'!J6+'前提と出典'!$C$38*'契約別単価'!J7)</ns0:f>
        <ns0:v>83349.53306633657</ns0:v>
      </ns0:c>
      <ns0:c r="K852" s="16">
        <ns0:f>A852*('前提と出典'!$C$36*'契約別単価'!K5+'前提と出典'!$C$37*'契約別単価'!K6+'前提と出典'!$C$38*'契約別単価'!K7)</ns0:f>
        <ns0:v>357265.4003724395</ns0:v>
      </ns0:c>
      <ns0:c r="L852" s="16">
        <ns0:f>A852*('前提と出典'!$C$36*'契約別単価'!L5+'前提と出典'!$C$37*'契約別単価'!L6+'前提と出典'!$C$38*'契約別単価'!L7)</ns0:f>
        <ns0:v>290886.7349035681</ns0:v>
      </ns0:c>
      <ns0:c r="M852" s="16">
        <ns0:f>IF(('前提と出典'!$C$36+'前提と出典'!$C$38)=0,0,IF(B852&lt;=10,'前提と出典'!B73+'前提と出典'!C73,IF(B852&lt;=100,'前提と出典'!B74+'前提と出典'!C74,IF(B852&lt;=500,'前提と出典'!B75+'前提と出典'!C75,'前提と出典'!B76+'前提と出典'!C76))))</ns0:f>
        <ns0:v>80000</ns0:v>
      </ns0:c>
      <ns0:c r="N852" s="16">
        <ns0:f>IF(('前提と出典'!$C$37+'前提と出典'!$C$38)=0,0,IF(C852&lt;=10,'前提と出典'!D73+'前提と出典'!E73,IF(C852&lt;=100,'前提と出典'!D74+'前提と出典'!E74,IF(C852&lt;=500,'前提と出典'!D75+'前提と出典'!E75,'前提と出典'!D76+'前提と出典'!E76))))</ns0:f>
        <ns0:v>86510.9346263078</ns0:v>
      </ns0:c>
      <ns0:c r="O852" s="16">
        <ns0:f>IF('前提と出典'!$C$36+'前提と出典'!$C$38=0,0,'前提と出典'!$B$4*IF('前提と出典'!$B$20=0,MAX('前提と出典'!$B$6,D852*'前提と出典'!$B$5),'前提と出典'!$B$6+D852*'前提と出典'!$B$5))</ns0:f>
        <ns0:v>842049.7877094973</ns0:v>
      </ns0:c>
      <ns0:c r="P852" s="16">
        <ns0:f>(E852+G852)*(1-'前提と出典'!$B$7)-I852-K852-M852-O852</ns0:f>
        <ns0:v>1893846.3797318586</ns0:v>
      </ns0:c>
      <ns0:c r="Q852" s="16">
        <ns0:f>(F852+H852)*(1-'前提と出典'!$B$7)-J852-L852-N852</ns0:f>
        <ns0:v>724750.5123995701</ns0:v>
      </ns0:c>
      <ns0:c r="R852" s="16">
        <ns0:f>P852-E852*'前提と出典'!$E$4</ns0:f>
        <ns0:v>1401596.4590591448</ns0:v>
      </ns0:c>
      <ns0:c r="S852" s="16">
        <ns0:f>Q852-F852*'前提と出典'!$E$4</ns0:f>
        <ns0:v>531560.3023628711</ns0:v>
      </ns0:c>
      <ns0:c r="T852" s="7">
        <ns0:f>R852+S852</ns0:f>
        <ns0:v>1933156.761422016</ns0:v>
      </ns0:c>
      <ns0:c r="U852" s="16">
        <ns0:f>P852-E852*'前提と出典'!$E$5</ns0:f>
        <ns0:v>1237513.15216824</ns0:v>
      </ns0:c>
      <ns0:c r="V852" s="16">
        <ns0:f>Q852-F852*'前提と出典'!$E$5</ns0:f>
        <ns0:v>467163.5656839714</ns0:v>
      </ns0:c>
      <ns0:c r="W852" s="7">
        <ns0:f>U852+V852</ns0:f>
        <ns0:v>1704676.7178522113</ns0:v>
      </ns0:c>
      <ns0:c r="X852" s="16">
        <ns0:f>P852-E852*'前提と出典'!$E$6</ns0:f>
        <ns0:v>1073429.8452773355</ns0:v>
      </ns0:c>
      <ns0:c r="Y852" s="16">
        <ns0:f>Q852-F852*'前提と出典'!$E$6</ns0:f>
        <ns0:v>402766.8290050717</ns0:v>
      </ns0:c>
      <ns0:c r="Z852" s="7">
        <ns0:f>X852+Y852</ns0:f>
        <ns0:v>1476196.6742824072</ns0:v>
      </ns0:c>
      <ns0:c r="AA852" s="7">
        <ns0:f>IF(T852&gt;=0,A852,1001)</ns0:f>
        <ns0:v>848</ns0:v>
      </ns0:c>
      <ns0:c r="AB852" s="7">
        <ns0:f>IF(T852&lt;0,A852,0)</ns0:f>
        <ns0:v>0</ns0:v>
      </ns0:c>
      <ns0:c r="AC852" s="16">
        <ns0:f>IF(AND(OR('前提と出典'!$C$36+'前提と出典'!$C$38=0,R852&gt;=0),OR('前提と出典'!$C$37+'前提と出典'!$C$38=0,S852&gt;=0)),0,A852)</ns0:f>
        <ns0:v>0</ns0:v>
      </ns0:c>
      <ns0:c r="AD852" s="7">
        <ns0:f>IF(W852&gt;=0,A852,1001)</ns0:f>
        <ns0:v>848</ns0:v>
      </ns0:c>
      <ns0:c r="AE852" s="7">
        <ns0:f>IF(W852&lt;0,A852,0)</ns0:f>
        <ns0:v>0</ns0:v>
      </ns0:c>
      <ns0:c r="AF852" s="16">
        <ns0:f>IF(AND(OR('前提と出典'!$C$36+'前提と出典'!$C$38=0,U852&gt;=0),OR('前提と出典'!$C$37+'前提と出典'!$C$38=0,V852&gt;=0)),0,A852)</ns0:f>
        <ns0:v>0</ns0:v>
      </ns0:c>
      <ns0:c r="AG852" s="7">
        <ns0:f>IF(Z852&gt;=0,A852,1001)</ns0:f>
        <ns0:v>848</ns0:v>
      </ns0:c>
      <ns0:c r="AH852" s="4">
        <ns0:f>IF(Z852&lt;0,A852,0)</ns0:f>
        <ns0:v>0</ns0:v>
      </ns0:c>
      <ns0:c r="AI852" s="12">
        <ns0:f>IF(AND(OR('前提と出典'!$C$36+'前提と出典'!$C$38=0,X852&gt;=0),OR('前提と出典'!$C$37+'前提と出典'!$C$38=0,Y852&gt;=0)),0,A852)</ns0:f>
        <ns0:v>0</ns0:v>
      </ns0:c>
    </ns0:row>
    <ns0:row r="853" ht="24" customHeight="1">
      <ns0:c r="A853" s="4" t="n">
        <ns0:v>849</ns0:v>
      </ns0:c>
      <ns0:c r="B853" s="12">
        <ns0:f>A853*('前提と出典'!$C$36+'前提と出典'!$C$38)</ns0:f>
        <ns0:v>594.3</ns0:v>
      </ns0:c>
      <ns0:c r="C853" s="12">
        <ns0:f>A853*('前提と出典'!$C$37+'前提と出典'!$C$38)</ns0:f>
        <ns0:v>509.4</ns0:v>
      </ns0:c>
      <ns0:c r="D853" s="16">
        <ns0:f>A853*('前提と出典'!$C$36*'契約別単価'!C5+'前提と出典'!$C$37*'契約別単価'!C6+'前提と出典'!$C$38*'契約別単価'!C7)</ns0:f>
        <ns0:v>6109.005586592179</ns0:v>
      </ns0:c>
      <ns0:c r="E853" s="16">
        <ns0:f>A853*('前提と出典'!$C$36*'契約別単価'!E5+'前提と出典'!$C$37*'契約別単価'!E6+'前提と出典'!$C$38*'契約別単価'!E7)</ns0:f>
        <ns0:v>1642768.0135657787</ns0:v>
      </ns0:c>
      <ns0:c r="F853" s="16">
        <ns0:f>A853*('前提と出典'!$C$36*'契約別単価'!F5+'前提と出典'!$C$37*'契約別単価'!F6+'前提と出典'!$C$38*'契約別単価'!F7)</ns0:f>
        <ns0:v>644726.7622687008</ns0:v>
      </ns0:c>
      <ns0:c r="G853" s="16">
        <ns0:f>A853*('前提と出典'!$C$36*'契約別単価'!G5+'前提と出典'!$C$37*'契約別単価'!G6+'前提と出典'!$C$38*'契約別単価'!G7)</ns0:f>
        <ns0:v>1689936.8715083797</ns0:v>
      </ns0:c>
      <ns0:c r="H853" s="16">
        <ns0:f>A853*('前提と出典'!$C$36*'契約別単価'!H5+'前提と出典'!$C$37*'契約別単価'!H6+'前提と出典'!$C$38*'契約別単価'!H7)</ns0:f>
        <ns0:v>586492.8514078773</ns0:v>
      </ns0:c>
      <ns0:c r="I853" s="16">
        <ns0:f>A853*('前提と出典'!$C$36*'契約別単価'!I5+'前提と出典'!$C$37*'契約別単価'!I6+'前提と出典'!$C$38*'契約別単価'!I7)</ns0:f>
        <ns0:v>35824.005586592175</ns0:v>
      </ns0:c>
      <ns0:c r="J853" s="16">
        <ns0:f>A853*('前提と出典'!$C$36*'契約別単価'!J5+'前提と出典'!$C$37*'契約別単価'!J6+'前提と出典'!$C$38*'契約別単価'!J7)</ns0:f>
        <ns0:v>83447.82261004687</ns0:v>
      </ns0:c>
      <ns0:c r="K853" s="16">
        <ns0:f>A853*('前提と出典'!$C$36*'契約別単価'!K5+'前提と出典'!$C$37*'契約別単価'!K6+'前提と出典'!$C$38*'契約別単価'!K7)</ns0:f>
        <ns0:v>357686.7039106145</ns0:v>
      </ns0:c>
      <ns0:c r="L853" s="16">
        <ns0:f>A853*('前提と出典'!$C$36*'契約別単価'!L5+'前提と出典'!$C$37*'契約別単価'!L6+'前提と出典'!$C$38*'契約別単価'!L7)</ns0:f>
        <ns0:v>291229.7617135959</ns0:v>
      </ns0:c>
      <ns0:c r="M853" s="16">
        <ns0:f>IF(('前提と出典'!$C$36+'前提と出典'!$C$38)=0,0,IF(B853&lt;=10,'前提と出典'!B73+'前提と出典'!C73,IF(B853&lt;=100,'前提と出典'!B74+'前提と出典'!C74,IF(B853&lt;=500,'前提と出典'!B75+'前提と出典'!C75,'前提と出典'!B76+'前提と出典'!C76))))</ns0:f>
        <ns0:v>80000</ns0:v>
      </ns0:c>
      <ns0:c r="N853" s="16">
        <ns0:f>IF(('前提と出典'!$C$37+'前提と出典'!$C$38)=0,0,IF(C853&lt;=10,'前提と出典'!D73+'前提と出典'!E73,IF(C853&lt;=100,'前提と出典'!D74+'前提と出典'!E74,IF(C853&lt;=500,'前提と出典'!D75+'前提と出典'!E75,'前提と出典'!D76+'前提と出典'!E76))))</ns0:f>
        <ns0:v>86510.9346263078</ns0:v>
      </ns0:c>
      <ns0:c r="O853" s="16">
        <ns0:f>IF('前提と出典'!$C$36+'前提と出典'!$C$38=0,0,'前提と出典'!$B$4*IF('前提と出典'!$B$20=0,MAX('前提と出典'!$B$6,D853*'前提と出典'!$B$5),'前提と出典'!$B$6+D853*'前提と出典'!$B$5))</ns0:f>
        <ns0:v>843042.7709497208</ns0:v>
      </ns0:c>
      <ns0:c r="P853" s="16">
        <ns0:f>(E853+G853)*(1-'前提と出典'!$B$7)-I853-K853-M853-O853</ns0:f>
        <ns0:v>1896174.0287645613</ns0:v>
      </ns0:c>
      <ns0:c r="Q853" s="16">
        <ns0:f>(F853+H853)*(1-'前提と出典'!$B$7)-J853-L853-N853</ns0:f>
        <ns0:v>725707.1886342707</ns0:v>
      </ns0:c>
      <ns0:c r="R853" s="16">
        <ns0:f>P853-E853*'前提と出典'!$E$4</ns0:f>
        <ns0:v>1403343.6246948275</ns0:v>
      </ns0:c>
      <ns0:c r="S853" s="16">
        <ns0:f>Q853-F853*'前提と出典'!$E$4</ns0:f>
        <ns0:v>532289.1599536606</ns0:v>
      </ns0:c>
      <ns0:c r="T853" s="7">
        <ns0:f>R853+S853</ns0:f>
        <ns0:v>1935632.784648488</ns0:v>
      </ns0:c>
      <ns0:c r="U853" s="16">
        <ns0:f>P853-E853*'前提と出典'!$E$5</ns0:f>
        <ns0:v>1239066.8233382497</ns0:v>
      </ns0:c>
      <ns0:c r="V853" s="16">
        <ns0:f>Q853-F853*'前提と出典'!$E$5</ns0:f>
        <ns0:v>467816.4837267904</ns0:v>
      </ns0:c>
      <ns0:c r="W853" s="7">
        <ns0:f>U853+V853</ns0:f>
        <ns0:v>1706883.30706504</ns0:v>
      </ns0:c>
      <ns0:c r="X853" s="16">
        <ns0:f>P853-E853*'前提と出典'!$E$6</ns0:f>
        <ns0:v>1074790.021981672</ns0:v>
      </ns0:c>
      <ns0:c r="Y853" s="16">
        <ns0:f>Q853-F853*'前提と出典'!$E$6</ns0:f>
        <ns0:v>403343.8074999204</ns0:v>
      </ns0:c>
      <ns0:c r="Z853" s="7">
        <ns0:f>X853+Y853</ns0:f>
        <ns0:v>1478133.8294815924</ns0:v>
      </ns0:c>
      <ns0:c r="AA853" s="7">
        <ns0:f>IF(T853&gt;=0,A853,1001)</ns0:f>
        <ns0:v>849</ns0:v>
      </ns0:c>
      <ns0:c r="AB853" s="7">
        <ns0:f>IF(T853&lt;0,A853,0)</ns0:f>
        <ns0:v>0</ns0:v>
      </ns0:c>
      <ns0:c r="AC853" s="16">
        <ns0:f>IF(AND(OR('前提と出典'!$C$36+'前提と出典'!$C$38=0,R853&gt;=0),OR('前提と出典'!$C$37+'前提と出典'!$C$38=0,S853&gt;=0)),0,A853)</ns0:f>
        <ns0:v>0</ns0:v>
      </ns0:c>
      <ns0:c r="AD853" s="7">
        <ns0:f>IF(W853&gt;=0,A853,1001)</ns0:f>
        <ns0:v>849</ns0:v>
      </ns0:c>
      <ns0:c r="AE853" s="7">
        <ns0:f>IF(W853&lt;0,A853,0)</ns0:f>
        <ns0:v>0</ns0:v>
      </ns0:c>
      <ns0:c r="AF853" s="16">
        <ns0:f>IF(AND(OR('前提と出典'!$C$36+'前提と出典'!$C$38=0,U853&gt;=0),OR('前提と出典'!$C$37+'前提と出典'!$C$38=0,V853&gt;=0)),0,A853)</ns0:f>
        <ns0:v>0</ns0:v>
      </ns0:c>
      <ns0:c r="AG853" s="7">
        <ns0:f>IF(Z853&gt;=0,A853,1001)</ns0:f>
        <ns0:v>849</ns0:v>
      </ns0:c>
      <ns0:c r="AH853" s="4">
        <ns0:f>IF(Z853&lt;0,A853,0)</ns0:f>
        <ns0:v>0</ns0:v>
      </ns0:c>
      <ns0:c r="AI853" s="12">
        <ns0:f>IF(AND(OR('前提と出典'!$C$36+'前提と出典'!$C$38=0,X853&gt;=0),OR('前提と出典'!$C$37+'前提と出典'!$C$38=0,Y853&gt;=0)),0,A853)</ns0:f>
        <ns0:v>0</ns0:v>
      </ns0:c>
    </ns0:row>
    <ns0:row r="854" ht="24" customHeight="1">
      <ns0:c r="A854" s="4" t="n">
        <ns0:v>850</ns0:v>
      </ns0:c>
      <ns0:c r="B854" s="12">
        <ns0:f>A854*('前提と出典'!$C$36+'前提と出典'!$C$38)</ns0:f>
        <ns0:v>595</ns0:v>
      </ns0:c>
      <ns0:c r="C854" s="12">
        <ns0:f>A854*('前提と出典'!$C$37+'前提と出典'!$C$38)</ns0:f>
        <ns0:v>510</ns0:v>
      </ns0:c>
      <ns0:c r="D854" s="16">
        <ns0:f>A854*('前提と出典'!$C$36*'契約別単価'!C5+'前提と出典'!$C$37*'契約別単価'!C6+'前提と出典'!$C$38*'契約別単価'!C7)</ns0:f>
        <ns0:v>6116.2011173184355</ns0:v>
      </ns0:c>
      <ns0:c r="E854" s="16">
        <ns0:f>A854*('前提と出典'!$C$36*'契約別単価'!E5+'前提と出典'!$C$37*'契約別単価'!E6+'前提と出典'!$C$38*'契約別単価'!E7)</ns0:f>
        <ns0:v>1644702.958222511</ns0:v>
      </ns0:c>
      <ns0:c r="F854" s="16">
        <ns0:f>A854*('前提と出典'!$C$36*'契約別単価'!F5+'前提と出典'!$C$37*'契約別単価'!F6+'前提と出典'!$C$38*'契約別単価'!F7)</ns0:f>
        <ns0:v>645486.1577484047</ns0:v>
      </ns0:c>
      <ns0:c r="G854" s="16">
        <ns0:f>A854*('前提と出典'!$C$36*'契約別単価'!G5+'前提と出典'!$C$37*'契約別単価'!G6+'前提と出典'!$C$38*'契約別単価'!G7)</ns0:f>
        <ns0:v>1691927.374301676</ns0:v>
      </ns0:c>
      <ns0:c r="H854" s="16">
        <ns0:f>A854*('前提と出典'!$C$36*'契約別単価'!H5+'前提と出典'!$C$37*'契約別単価'!H6+'前提と出典'!$C$38*'契約別単価'!H7)</ns0:f>
        <ns0:v>587183.655708711</ns0:v>
      </ns0:c>
      <ns0:c r="I854" s="16">
        <ns0:f>A854*('前提と出典'!$C$36*'契約別単価'!I5+'前提と出典'!$C$37*'契約別単価'!I6+'前提と出典'!$C$38*'契約別単価'!I7)</ns0:f>
        <ns0:v>35866.20111731843</ns0:v>
      </ns0:c>
      <ns0:c r="J854" s="16">
        <ns0:f>A854*('前提と出典'!$C$36*'契約別単価'!J5+'前提と出典'!$C$37*'契約別単価'!J6+'前提と出典'!$C$38*'契約別単価'!J7)</ns0:f>
        <ns0:v>83546.11215375719</ns0:v>
      </ns0:c>
      <ns0:c r="K854" s="16">
        <ns0:f>A854*('前提と出典'!$C$36*'契約別単価'!K5+'前提と出典'!$C$37*'契約別単価'!K6+'前提と出典'!$C$38*'契約別単価'!K7)</ns0:f>
        <ns0:v>358108.00744878955</ns0:v>
      </ns0:c>
      <ns0:c r="L854" s="16">
        <ns0:f>A854*('前提と出典'!$C$36*'契約別単価'!L5+'前提と出典'!$C$37*'契約別単価'!L6+'前提と出典'!$C$38*'契約別単価'!L7)</ns0:f>
        <ns0:v>291572.7885236237</ns0:v>
      </ns0:c>
      <ns0:c r="M854" s="16">
        <ns0:f>IF(('前提と出典'!$C$36+'前提と出典'!$C$38)=0,0,IF(B854&lt;=10,'前提と出典'!B73+'前提と出典'!C73,IF(B854&lt;=100,'前提と出典'!B74+'前提と出典'!C74,IF(B854&lt;=500,'前提と出典'!B75+'前提と出典'!C75,'前提と出典'!B76+'前提と出典'!C76))))</ns0:f>
        <ns0:v>80000</ns0:v>
      </ns0:c>
      <ns0:c r="N854" s="16">
        <ns0:f>IF(('前提と出典'!$C$37+'前提と出典'!$C$38)=0,0,IF(C854&lt;=10,'前提と出典'!D73+'前提と出典'!E73,IF(C854&lt;=100,'前提と出典'!D74+'前提と出典'!E74,IF(C854&lt;=500,'前提と出典'!D75+'前提と出典'!E75,'前提と出典'!D76+'前提と出典'!E76))))</ns0:f>
        <ns0:v>86510.9346263078</ns0:v>
      </ns0:c>
      <ns0:c r="O854" s="16">
        <ns0:f>IF('前提と出典'!$C$36+'前提と出典'!$C$38=0,0,'前提と出典'!$B$4*IF('前提と出典'!$B$20=0,MAX('前提と出典'!$B$6,D854*'前提と出典'!$B$5),'前提と出典'!$B$6+D854*'前提と出典'!$B$5))</ns0:f>
        <ns0:v>844035.7541899442</ns0:v>
      </ns0:c>
      <ns0:c r="P854" s="16">
        <ns0:f>(E854+G854)*(1-'前提と出典'!$B$7)-I854-K854-M854-O854</ns0:f>
        <ns0:v>1898501.6777972635</ns0:v>
      </ns0:c>
      <ns0:c r="Q854" s="16">
        <ns0:f>(F854+H854)*(1-'前提と出典'!$B$7)-J854-L854-N854</ns0:f>
        <ns0:v>726663.8648689706</ns0:v>
      </ns0:c>
      <ns0:c r="R854" s="16">
        <ns0:f>P854-E854*'前提と出典'!$E$4</ns0:f>
        <ns0:v>1405090.7903305101</ns0:v>
      </ns0:c>
      <ns0:c r="S854" s="16">
        <ns0:f>Q854-F854*'前提と出典'!$E$4</ns0:f>
        <ns0:v>533018.0175444493</ns0:v>
      </ns0:c>
      <ns0:c r="T854" s="7">
        <ns0:f>R854+S854</ns0:f>
        <ns0:v>1938108.8078749594</ns0:v>
      </ns0:c>
      <ns0:c r="U854" s="16">
        <ns0:f>P854-E854*'前提と出典'!$E$5</ns0:f>
        <ns0:v>1240620.494508259</ns0:v>
      </ns0:c>
      <ns0:c r="V854" s="16">
        <ns0:f>Q854-F854*'前提と出典'!$E$5</ns0:f>
        <ns0:v>468469.4017696087</ns0:v>
      </ns0:c>
      <ns0:c r="W854" s="7">
        <ns0:f>U854+V854</ns0:f>
        <ns0:v>1709089.8962778677</ns0:v>
      </ns0:c>
      <ns0:c r="X854" s="16">
        <ns0:f>P854-E854*'前提と出典'!$E$6</ns0:f>
        <ns0:v>1076150.1986860079</ns0:v>
      </ns0:c>
      <ns0:c r="Y854" s="16">
        <ns0:f>Q854-F854*'前提と出典'!$E$6</ns0:f>
        <ns0:v>403920.7859947684</ns0:v>
      </ns0:c>
      <ns0:c r="Z854" s="7">
        <ns0:f>X854+Y854</ns0:f>
        <ns0:v>1480070.9846807763</ns0:v>
      </ns0:c>
      <ns0:c r="AA854" s="7">
        <ns0:f>IF(T854&gt;=0,A854,1001)</ns0:f>
        <ns0:v>850</ns0:v>
      </ns0:c>
      <ns0:c r="AB854" s="7">
        <ns0:f>IF(T854&lt;0,A854,0)</ns0:f>
        <ns0:v>0</ns0:v>
      </ns0:c>
      <ns0:c r="AC854" s="16">
        <ns0:f>IF(AND(OR('前提と出典'!$C$36+'前提と出典'!$C$38=0,R854&gt;=0),OR('前提と出典'!$C$37+'前提と出典'!$C$38=0,S854&gt;=0)),0,A854)</ns0:f>
        <ns0:v>0</ns0:v>
      </ns0:c>
      <ns0:c r="AD854" s="7">
        <ns0:f>IF(W854&gt;=0,A854,1001)</ns0:f>
        <ns0:v>850</ns0:v>
      </ns0:c>
      <ns0:c r="AE854" s="7">
        <ns0:f>IF(W854&lt;0,A854,0)</ns0:f>
        <ns0:v>0</ns0:v>
      </ns0:c>
      <ns0:c r="AF854" s="16">
        <ns0:f>IF(AND(OR('前提と出典'!$C$36+'前提と出典'!$C$38=0,U854&gt;=0),OR('前提と出典'!$C$37+'前提と出典'!$C$38=0,V854&gt;=0)),0,A854)</ns0:f>
        <ns0:v>0</ns0:v>
      </ns0:c>
      <ns0:c r="AG854" s="7">
        <ns0:f>IF(Z854&gt;=0,A854,1001)</ns0:f>
        <ns0:v>850</ns0:v>
      </ns0:c>
      <ns0:c r="AH854" s="4">
        <ns0:f>IF(Z854&lt;0,A854,0)</ns0:f>
        <ns0:v>0</ns0:v>
      </ns0:c>
      <ns0:c r="AI854" s="12">
        <ns0:f>IF(AND(OR('前提と出典'!$C$36+'前提と出典'!$C$38=0,X854&gt;=0),OR('前提と出典'!$C$37+'前提と出典'!$C$38=0,Y854&gt;=0)),0,A854)</ns0:f>
        <ns0:v>0</ns0:v>
      </ns0:c>
    </ns0:row>
    <ns0:row r="855" ht="24" customHeight="1">
      <ns0:c r="A855" s="4" t="n">
        <ns0:v>851</ns0:v>
      </ns0:c>
      <ns0:c r="B855" s="12">
        <ns0:f>A855*('前提と出典'!$C$36+'前提と出典'!$C$38)</ns0:f>
        <ns0:v>595.6999999999999</ns0:v>
      </ns0:c>
      <ns0:c r="C855" s="12">
        <ns0:f>A855*('前提と出典'!$C$37+'前提と出典'!$C$38)</ns0:f>
        <ns0:v>510.59999999999997</ns0:v>
      </ns0:c>
      <ns0:c r="D855" s="16">
        <ns0:f>A855*('前提と出典'!$C$36*'契約別単価'!C5+'前提と出典'!$C$37*'契約別単価'!C6+'前提と出典'!$C$38*'契約別単価'!C7)</ns0:f>
        <ns0:v>6123.3966480446925</ns0:v>
      </ns0:c>
      <ns0:c r="E855" s="16">
        <ns0:f>A855*('前提と出典'!$C$36*'契約別単価'!E5+'前提と出典'!$C$37*'契約別単価'!E6+'前提と出典'!$C$38*'契約別単価'!E7)</ns0:f>
        <ns0:v>1646637.9028792435</ns0:v>
      </ns0:c>
      <ns0:c r="F855" s="16">
        <ns0:f>A855*('前提と出典'!$C$36*'契約別単価'!F5+'前提と出典'!$C$37*'契約別単価'!F6+'前提と出典'!$C$38*'契約別単価'!F7)</ns0:f>
        <ns0:v>646245.5532281087</ns0:v>
      </ns0:c>
      <ns0:c r="G855" s="16">
        <ns0:f>A855*('前提と出典'!$C$36*'契約別単価'!G5+'前提と出典'!$C$37*'契約別単価'!G6+'前提と出典'!$C$38*'契約別単価'!G7)</ns0:f>
        <ns0:v>1693917.877094972</ns0:v>
      </ns0:c>
      <ns0:c r="H855" s="16">
        <ns0:f>A855*('前提と出典'!$C$36*'契約別単価'!H5+'前提と出典'!$C$37*'契約別単価'!H6+'前提と出典'!$C$38*'契約別単価'!H7)</ns0:f>
        <ns0:v>587874.4600095449</ns0:v>
      </ns0:c>
      <ns0:c r="I855" s="16">
        <ns0:f>A855*('前提と出典'!$C$36*'契約別単価'!I5+'前提と出典'!$C$37*'契約別単価'!I6+'前提と出典'!$C$38*'契約別単価'!I7)</ns0:f>
        <ns0:v>35908.39664804468</ns0:v>
      </ns0:c>
      <ns0:c r="J855" s="16">
        <ns0:f>A855*('前提と出典'!$C$36*'契約別単価'!J5+'前提と出典'!$C$37*'契約別単価'!J6+'前提と出典'!$C$38*'契約別単価'!J7)</ns0:f>
        <ns0:v>83644.40169746749</ns0:v>
      </ns0:c>
      <ns0:c r="K855" s="16">
        <ns0:f>A855*('前提と出典'!$C$36*'契約別単価'!K5+'前提と出典'!$C$37*'契約別単価'!K6+'前提と出典'!$C$38*'契約別単価'!K7)</ns0:f>
        <ns0:v>358529.3109869646</ns0:v>
      </ns0:c>
      <ns0:c r="L855" s="16">
        <ns0:f>A855*('前提と出典'!$C$36*'契約別単価'!L5+'前提と出典'!$C$37*'契約別単価'!L6+'前提と出典'!$C$38*'契約別単価'!L7)</ns0:f>
        <ns0:v>291915.8153336515</ns0:v>
      </ns0:c>
      <ns0:c r="M855" s="16">
        <ns0:f>IF(('前提と出典'!$C$36+'前提と出典'!$C$38)=0,0,IF(B855&lt;=10,'前提と出典'!B73+'前提と出典'!C73,IF(B855&lt;=100,'前提と出典'!B74+'前提と出典'!C74,IF(B855&lt;=500,'前提と出典'!B75+'前提と出典'!C75,'前提と出典'!B76+'前提と出典'!C76))))</ns0:f>
        <ns0:v>80000</ns0:v>
      </ns0:c>
      <ns0:c r="N855" s="16">
        <ns0:f>IF(('前提と出典'!$C$37+'前提と出典'!$C$38)=0,0,IF(C855&lt;=10,'前提と出典'!D73+'前提と出典'!E73,IF(C855&lt;=100,'前提と出典'!D74+'前提と出典'!E74,IF(C855&lt;=500,'前提と出典'!D75+'前提と出典'!E75,'前提と出典'!D76+'前提と出典'!E76))))</ns0:f>
        <ns0:v>86510.9346263078</ns0:v>
      </ns0:c>
      <ns0:c r="O855" s="16">
        <ns0:f>IF('前提と出典'!$C$36+'前提と出典'!$C$38=0,0,'前提と出典'!$B$4*IF('前提と出典'!$B$20=0,MAX('前提と出典'!$B$6,D855*'前提と出典'!$B$5),'前提と出典'!$B$6+D855*'前提と出典'!$B$5))</ns0:f>
        <ns0:v>845028.7374301676</ns0:v>
      </ns0:c>
      <ns0:c r="P855" s="16">
        <ns0:f>(E855+G855)*(1-'前提と出典'!$B$7)-I855-K855-M855-O855</ns0:f>
        <ns0:v>1900829.3268299669</ns0:v>
      </ns0:c>
      <ns0:c r="Q855" s="16">
        <ns0:f>(F855+H855)*(1-'前提と出典'!$B$7)-J855-L855-N855</ns0:f>
        <ns0:v>727620.5411036713</ns0:v>
      </ns0:c>
      <ns0:c r="R855" s="16">
        <ns0:f>P855-E855*'前提と出典'!$E$4</ns0:f>
        <ns0:v>1406837.9559661944</ns0:v>
      </ns0:c>
      <ns0:c r="S855" s="16">
        <ns0:f>Q855-F855*'前提と出典'!$E$4</ns0:f>
        <ns0:v>533746.8751352386</ns0:v>
      </ns0:c>
      <ns0:c r="T855" s="7">
        <ns0:f>R855+S855</ns0:f>
        <ns0:v>1940584.831101433</ns0:v>
      </ns0:c>
      <ns0:c r="U855" s="16">
        <ns0:f>P855-E855*'前提と出典'!$E$5</ns0:f>
        <ns0:v>1242174.1656782695</ns0:v>
      </ns0:c>
      <ns0:c r="V855" s="16">
        <ns0:f>Q855-F855*'前提と出典'!$E$5</ns0:f>
        <ns0:v>469122.31981242786</ns0:v>
      </ns0:c>
      <ns0:c r="W855" s="7">
        <ns0:f>U855+V855</ns0:f>
        <ns0:v>1711296.4854906974</ns0:v>
      </ns0:c>
      <ns0:c r="X855" s="16">
        <ns0:f>P855-E855*'前提と出典'!$E$6</ns0:f>
        <ns0:v>1077510.3753903455</ns0:v>
      </ns0:c>
      <ns0:c r="Y855" s="16">
        <ns0:f>Q855-F855*'前提と出典'!$E$6</ns0:f>
        <ns0:v>404497.76448961685</ns0:v>
      </ns0:c>
      <ns0:c r="Z855" s="7">
        <ns0:f>X855+Y855</ns0:f>
        <ns0:v>1482008.1398799624</ns0:v>
      </ns0:c>
      <ns0:c r="AA855" s="7">
        <ns0:f>IF(T855&gt;=0,A855,1001)</ns0:f>
        <ns0:v>851</ns0:v>
      </ns0:c>
      <ns0:c r="AB855" s="7">
        <ns0:f>IF(T855&lt;0,A855,0)</ns0:f>
        <ns0:v>0</ns0:v>
      </ns0:c>
      <ns0:c r="AC855" s="16">
        <ns0:f>IF(AND(OR('前提と出典'!$C$36+'前提と出典'!$C$38=0,R855&gt;=0),OR('前提と出典'!$C$37+'前提と出典'!$C$38=0,S855&gt;=0)),0,A855)</ns0:f>
        <ns0:v>0</ns0:v>
      </ns0:c>
      <ns0:c r="AD855" s="7">
        <ns0:f>IF(W855&gt;=0,A855,1001)</ns0:f>
        <ns0:v>851</ns0:v>
      </ns0:c>
      <ns0:c r="AE855" s="7">
        <ns0:f>IF(W855&lt;0,A855,0)</ns0:f>
        <ns0:v>0</ns0:v>
      </ns0:c>
      <ns0:c r="AF855" s="16">
        <ns0:f>IF(AND(OR('前提と出典'!$C$36+'前提と出典'!$C$38=0,U855&gt;=0),OR('前提と出典'!$C$37+'前提と出典'!$C$38=0,V855&gt;=0)),0,A855)</ns0:f>
        <ns0:v>0</ns0:v>
      </ns0:c>
      <ns0:c r="AG855" s="7">
        <ns0:f>IF(Z855&gt;=0,A855,1001)</ns0:f>
        <ns0:v>851</ns0:v>
      </ns0:c>
      <ns0:c r="AH855" s="4">
        <ns0:f>IF(Z855&lt;0,A855,0)</ns0:f>
        <ns0:v>0</ns0:v>
      </ns0:c>
      <ns0:c r="AI855" s="12">
        <ns0:f>IF(AND(OR('前提と出典'!$C$36+'前提と出典'!$C$38=0,X855&gt;=0),OR('前提と出典'!$C$37+'前提と出典'!$C$38=0,Y855&gt;=0)),0,A855)</ns0:f>
        <ns0:v>0</ns0:v>
      </ns0:c>
    </ns0:row>
    <ns0:row r="856" ht="24" customHeight="1">
      <ns0:c r="A856" s="4" t="n">
        <ns0:v>852</ns0:v>
      </ns0:c>
      <ns0:c r="B856" s="12">
        <ns0:f>A856*('前提と出典'!$C$36+'前提と出典'!$C$38)</ns0:f>
        <ns0:v>596.4</ns0:v>
      </ns0:c>
      <ns0:c r="C856" s="12">
        <ns0:f>A856*('前提と出典'!$C$37+'前提と出典'!$C$38)</ns0:f>
        <ns0:v>511.2</ns0:v>
      </ns0:c>
      <ns0:c r="D856" s="16">
        <ns0:f>A856*('前提と出典'!$C$36*'契約別単価'!C5+'前提と出典'!$C$37*'契約別単価'!C6+'前提と出典'!$C$38*'契約別単価'!C7)</ns0:f>
        <ns0:v>6130.592178770949</ns0:v>
      </ns0:c>
      <ns0:c r="E856" s="16">
        <ns0:f>A856*('前提と出典'!$C$36*'契約別単価'!E5+'前提と出典'!$C$37*'契約別単価'!E6+'前提と出典'!$C$38*'契約別単価'!E7)</ns0:f>
        <ns0:v>1648572.8475359757</ns0:v>
      </ns0:c>
      <ns0:c r="F856" s="16">
        <ns0:f>A856*('前提と出典'!$C$36*'契約別単価'!F5+'前提と出典'!$C$37*'契約別単価'!F6+'前提と出典'!$C$38*'契約別単価'!F7)</ns0:f>
        <ns0:v>647004.9487078127</ns0:v>
      </ns0:c>
      <ns0:c r="G856" s="16">
        <ns0:f>A856*('前提と出典'!$C$36*'契約別単価'!G5+'前提と出典'!$C$37*'契約別単価'!G6+'前提と出典'!$C$38*'契約別単価'!G7)</ns0:f>
        <ns0:v>1695908.3798882682</ns0:v>
      </ns0:c>
      <ns0:c r="H856" s="16">
        <ns0:f>A856*('前提と出典'!$C$36*'契約別単価'!H5+'前提と出典'!$C$37*'契約別単価'!H6+'前提と出典'!$C$38*'契約別単価'!H7)</ns0:f>
        <ns0:v>588565.2643103786</ns0:v>
      </ns0:c>
      <ns0:c r="I856" s="16">
        <ns0:f>A856*('前提と出典'!$C$36*'契約別単価'!I5+'前提と出典'!$C$37*'契約別単価'!I6+'前提と出典'!$C$38*'契約別単価'!I7)</ns0:f>
        <ns0:v>35950.592178770945</ns0:v>
      </ns0:c>
      <ns0:c r="J856" s="16">
        <ns0:f>A856*('前提と出典'!$C$36*'契約別単価'!J5+'前提と出典'!$C$37*'契約別単価'!J6+'前提と出典'!$C$38*'契約別単価'!J7)</ns0:f>
        <ns0:v>83742.69124117779</ns0:v>
      </ns0:c>
      <ns0:c r="K856" s="16">
        <ns0:f>A856*('前提と出典'!$C$36*'契約別単価'!K5+'前提と出典'!$C$37*'契約別単価'!K6+'前提と出典'!$C$38*'契約別単価'!K7)</ns0:f>
        <ns0:v>358950.6145251396</ns0:v>
      </ns0:c>
      <ns0:c r="L856" s="16">
        <ns0:f>A856*('前提と出典'!$C$36*'契約別単価'!L5+'前提と出典'!$C$37*'契約別単価'!L6+'前提と出典'!$C$38*'契約別単価'!L7)</ns0:f>
        <ns0:v>292258.84214367927</ns0:v>
      </ns0:c>
      <ns0:c r="M856" s="16">
        <ns0:f>IF(('前提と出典'!$C$36+'前提と出典'!$C$38)=0,0,IF(B856&lt;=10,'前提と出典'!B73+'前提と出典'!C73,IF(B856&lt;=100,'前提と出典'!B74+'前提と出典'!C74,IF(B856&lt;=500,'前提と出典'!B75+'前提と出典'!C75,'前提と出典'!B76+'前提と出典'!C76))))</ns0:f>
        <ns0:v>80000</ns0:v>
      </ns0:c>
      <ns0:c r="N856" s="16">
        <ns0:f>IF(('前提と出典'!$C$37+'前提と出典'!$C$38)=0,0,IF(C856&lt;=10,'前提と出典'!D73+'前提と出典'!E73,IF(C856&lt;=100,'前提と出典'!D74+'前提と出典'!E74,IF(C856&lt;=500,'前提と出典'!D75+'前提と出典'!E75,'前提と出典'!D76+'前提と出典'!E76))))</ns0:f>
        <ns0:v>86510.9346263078</ns0:v>
      </ns0:c>
      <ns0:c r="O856" s="16">
        <ns0:f>IF('前提と出典'!$C$36+'前提と出典'!$C$38=0,0,'前提と出典'!$B$4*IF('前提と出典'!$B$20=0,MAX('前提と出典'!$B$6,D856*'前提と出典'!$B$5),'前提と出典'!$B$6+D856*'前提と出典'!$B$5))</ns0:f>
        <ns0:v>846021.720670391</ns0:v>
      </ns0:c>
      <ns0:c r="P856" s="16">
        <ns0:f>(E856+G856)*(1-'前提と出典'!$B$7)-I856-K856-M856-O856</ns0:f>
        <ns0:v>1903156.9758626698</ns0:v>
      </ns0:c>
      <ns0:c r="Q856" s="16">
        <ns0:f>(F856+H856)*(1-'前提と出典'!$B$7)-J856-L856-N856</ns0:f>
        <ns0:v>728577.2173383716</ns0:v>
      </ns0:c>
      <ns0:c r="R856" s="16">
        <ns0:f>P856-E856*'前提と出典'!$E$4</ns0:f>
        <ns0:v>1408585.1216018773</ns0:v>
      </ns0:c>
      <ns0:c r="S856" s="16">
        <ns0:f>Q856-F856*'前提と出典'!$E$4</ns0:f>
        <ns0:v>534475.7327260277</ns0:v>
      </ns0:c>
      <ns0:c r="T856" s="7">
        <ns0:f>R856+S856</ns0:f>
        <ns0:v>1943060.854327905</ns0:v>
      </ns0:c>
      <ns0:c r="U856" s="16">
        <ns0:f>P856-E856*'前提と出典'!$E$5</ns0:f>
        <ns0:v>1243727.8368482795</ns0:v>
      </ns0:c>
      <ns0:c r="V856" s="16">
        <ns0:f>Q856-F856*'前提と出典'!$E$5</ns0:f>
        <ns0:v>469775.2378552465</ns0:v>
      </ns0:c>
      <ns0:c r="W856" s="7">
        <ns0:f>U856+V856</ns0:f>
        <ns0:v>1713503.074703526</ns0:v>
      </ns0:c>
      <ns0:c r="X856" s="16">
        <ns0:f>P856-E856*'前提と出典'!$E$6</ns0:f>
        <ns0:v>1078870.5520946817</ns0:v>
      </ns0:c>
      <ns0:c r="Y856" s="16">
        <ns0:f>Q856-F856*'前提と出典'!$E$6</ns0:f>
        <ns0:v>405074.7429844651</ns0:v>
      </ns0:c>
      <ns0:c r="Z856" s="7">
        <ns0:f>X856+Y856</ns0:f>
        <ns0:v>1483945.2950791467</ns0:v>
      </ns0:c>
      <ns0:c r="AA856" s="7">
        <ns0:f>IF(T856&gt;=0,A856,1001)</ns0:f>
        <ns0:v>852</ns0:v>
      </ns0:c>
      <ns0:c r="AB856" s="7">
        <ns0:f>IF(T856&lt;0,A856,0)</ns0:f>
        <ns0:v>0</ns0:v>
      </ns0:c>
      <ns0:c r="AC856" s="16">
        <ns0:f>IF(AND(OR('前提と出典'!$C$36+'前提と出典'!$C$38=0,R856&gt;=0),OR('前提と出典'!$C$37+'前提と出典'!$C$38=0,S856&gt;=0)),0,A856)</ns0:f>
        <ns0:v>0</ns0:v>
      </ns0:c>
      <ns0:c r="AD856" s="7">
        <ns0:f>IF(W856&gt;=0,A856,1001)</ns0:f>
        <ns0:v>852</ns0:v>
      </ns0:c>
      <ns0:c r="AE856" s="7">
        <ns0:f>IF(W856&lt;0,A856,0)</ns0:f>
        <ns0:v>0</ns0:v>
      </ns0:c>
      <ns0:c r="AF856" s="16">
        <ns0:f>IF(AND(OR('前提と出典'!$C$36+'前提と出典'!$C$38=0,U856&gt;=0),OR('前提と出典'!$C$37+'前提と出典'!$C$38=0,V856&gt;=0)),0,A856)</ns0:f>
        <ns0:v>0</ns0:v>
      </ns0:c>
      <ns0:c r="AG856" s="7">
        <ns0:f>IF(Z856&gt;=0,A856,1001)</ns0:f>
        <ns0:v>852</ns0:v>
      </ns0:c>
      <ns0:c r="AH856" s="4">
        <ns0:f>IF(Z856&lt;0,A856,0)</ns0:f>
        <ns0:v>0</ns0:v>
      </ns0:c>
      <ns0:c r="AI856" s="12">
        <ns0:f>IF(AND(OR('前提と出典'!$C$36+'前提と出典'!$C$38=0,X856&gt;=0),OR('前提と出典'!$C$37+'前提と出典'!$C$38=0,Y856&gt;=0)),0,A856)</ns0:f>
        <ns0:v>0</ns0:v>
      </ns0:c>
    </ns0:row>
    <ns0:row r="857" ht="24" customHeight="1">
      <ns0:c r="A857" s="4" t="n">
        <ns0:v>853</ns0:v>
      </ns0:c>
      <ns0:c r="B857" s="12">
        <ns0:f>A857*('前提と出典'!$C$36+'前提と出典'!$C$38)</ns0:f>
        <ns0:v>597.0999999999999</ns0:v>
      </ns0:c>
      <ns0:c r="C857" s="12">
        <ns0:f>A857*('前提と出典'!$C$37+'前提と出典'!$C$38)</ns0:f>
        <ns0:v>511.79999999999995</ns0:v>
      </ns0:c>
      <ns0:c r="D857" s="16">
        <ns0:f>A857*('前提と出典'!$C$36*'契約別単価'!C5+'前提と出典'!$C$37*'契約別単価'!C6+'前提と出典'!$C$38*'契約別単価'!C7)</ns0:f>
        <ns0:v>6137.787709497206</ns0:v>
      </ns0:c>
      <ns0:c r="E857" s="16">
        <ns0:f>A857*('前提と出典'!$C$36*'契約別単価'!E5+'前提と出典'!$C$37*'契約別単価'!E6+'前提と出典'!$C$38*'契約別単価'!E7)</ns0:f>
        <ns0:v>1650507.7921927082</ns0:v>
      </ns0:c>
      <ns0:c r="F857" s="16">
        <ns0:f>A857*('前提と出典'!$C$36*'契約別単価'!F5+'前提と出典'!$C$37*'契約別単価'!F6+'前提と出典'!$C$38*'契約別単価'!F7)</ns0:f>
        <ns0:v>647764.3441875167</ns0:v>
      </ns0:c>
      <ns0:c r="G857" s="16">
        <ns0:f>A857*('前提と出典'!$C$36*'契約別単価'!G5+'前提と出典'!$C$37*'契約別単価'!G6+'前提と出典'!$C$38*'契約別単価'!G7)</ns0:f>
        <ns0:v>1697898.8826815642</ns0:v>
      </ns0:c>
      <ns0:c r="H857" s="16">
        <ns0:f>A857*('前提と出典'!$C$36*'契約別単価'!H5+'前提と出典'!$C$37*'契約別単価'!H6+'前提と出典'!$C$38*'契約別単価'!H7)</ns0:f>
        <ns0:v>589256.0686112124</ns0:v>
      </ns0:c>
      <ns0:c r="I857" s="16">
        <ns0:f>A857*('前提と出典'!$C$36*'契約別単価'!I5+'前提と出典'!$C$37*'契約別単価'!I6+'前提と出典'!$C$38*'契約別単価'!I7)</ns0:f>
        <ns0:v>35992.7877094972</ns0:v>
      </ns0:c>
      <ns0:c r="J857" s="16">
        <ns0:f>A857*('前提と出典'!$C$36*'契約別単価'!J5+'前提と出典'!$C$37*'契約別単価'!J6+'前提と出典'!$C$38*'契約別単価'!J7)</ns0:f>
        <ns0:v>83840.98078488809</ns0:v>
      </ns0:c>
      <ns0:c r="K857" s="16">
        <ns0:f>A857*('前提と出典'!$C$36*'契約別単価'!K5+'前提と出典'!$C$37*'契約別単価'!K6+'前提と出典'!$C$38*'契約別単価'!K7)</ns0:f>
        <ns0:v>359371.9180633147</ns0:v>
      </ns0:c>
      <ns0:c r="L857" s="16">
        <ns0:f>A857*('前提と出典'!$C$36*'契約別単価'!L5+'前提と出典'!$C$37*'契約別単価'!L6+'前提と出典'!$C$38*'契約別単価'!L7)</ns0:f>
        <ns0:v>292601.86895370705</ns0:v>
      </ns0:c>
      <ns0:c r="M857" s="16">
        <ns0:f>IF(('前提と出典'!$C$36+'前提と出典'!$C$38)=0,0,IF(B857&lt;=10,'前提と出典'!B73+'前提と出典'!C73,IF(B857&lt;=100,'前提と出典'!B74+'前提と出典'!C74,IF(B857&lt;=500,'前提と出典'!B75+'前提と出典'!C75,'前提と出典'!B76+'前提と出典'!C76))))</ns0:f>
        <ns0:v>80000</ns0:v>
      </ns0:c>
      <ns0:c r="N857" s="16">
        <ns0:f>IF(('前提と出典'!$C$37+'前提と出典'!$C$38)=0,0,IF(C857&lt;=10,'前提と出典'!D73+'前提と出典'!E73,IF(C857&lt;=100,'前提と出典'!D74+'前提と出典'!E74,IF(C857&lt;=500,'前提と出典'!D75+'前提と出典'!E75,'前提と出典'!D76+'前提と出典'!E76))))</ns0:f>
        <ns0:v>86510.9346263078</ns0:v>
      </ns0:c>
      <ns0:c r="O857" s="16">
        <ns0:f>IF('前提と出典'!$C$36+'前提と出典'!$C$38=0,0,'前提と出典'!$B$4*IF('前提と出典'!$B$20=0,MAX('前提と出典'!$B$6,D857*'前提と出典'!$B$5),'前提と出典'!$B$6+D857*'前提と出典'!$B$5))</ns0:f>
        <ns0:v>847014.7039106145</ns0:v>
      </ns0:c>
      <ns0:c r="P857" s="16">
        <ns0:f>(E857+G857)*(1-'前提と出典'!$B$7)-I857-K857-M857-O857</ns0:f>
        <ns0:v>1905484.624895372</ns0:v>
      </ns0:c>
      <ns0:c r="Q857" s="16">
        <ns0:f>(F857+H857)*(1-'前提と出典'!$B$7)-J857-L857-N857</ns0:f>
        <ns0:v>729533.8935730722</ns0:v>
      </ns0:c>
      <ns0:c r="R857" s="16">
        <ns0:f>P857-E857*'前提と出典'!$E$4</ns0:f>
        <ns0:v>1410332.2872375594</ns0:v>
      </ns0:c>
      <ns0:c r="S857" s="16">
        <ns0:f>Q857-F857*'前提と出典'!$E$4</ns0:f>
        <ns0:v>535204.590316817</ns0:v>
      </ns0:c>
      <ns0:c r="T857" s="7">
        <ns0:f>R857+S857</ns0:f>
        <ns0:v>1945536.8775543766</ns0:v>
      </ns0:c>
      <ns0:c r="U857" s="16">
        <ns0:f>P857-E857*'前提と出典'!$E$5</ns0:f>
        <ns0:v>1245281.5080182888</ns0:v>
      </ns0:c>
      <ns0:c r="V857" s="16">
        <ns0:f>Q857-F857*'前提と出典'!$E$5</ns0:f>
        <ns0:v>470428.1558980654</ns0:v>
      </ns0:c>
      <ns0:c r="W857" s="7">
        <ns0:f>U857+V857</ns0:f>
        <ns0:v>1715709.663916354</ns0:v>
      </ns0:c>
      <ns0:c r="X857" s="16">
        <ns0:f>P857-E857*'前提と出典'!$E$6</ns0:f>
        <ns0:v>1080230.7287990176</ns0:v>
      </ns0:c>
      <ns0:c r="Y857" s="16">
        <ns0:f>Q857-F857*'前提と出典'!$E$6</ns0:f>
        <ns0:v>405651.7214793138</ns0:v>
      </ns0:c>
      <ns0:c r="Z857" s="7">
        <ns0:f>X857+Y857</ns0:f>
        <ns0:v>1485882.4502783315</ns0:v>
      </ns0:c>
      <ns0:c r="AA857" s="7">
        <ns0:f>IF(T857&gt;=0,A857,1001)</ns0:f>
        <ns0:v>853</ns0:v>
      </ns0:c>
      <ns0:c r="AB857" s="7">
        <ns0:f>IF(T857&lt;0,A857,0)</ns0:f>
        <ns0:v>0</ns0:v>
      </ns0:c>
      <ns0:c r="AC857" s="16">
        <ns0:f>IF(AND(OR('前提と出典'!$C$36+'前提と出典'!$C$38=0,R857&gt;=0),OR('前提と出典'!$C$37+'前提と出典'!$C$38=0,S857&gt;=0)),0,A857)</ns0:f>
        <ns0:v>0</ns0:v>
      </ns0:c>
      <ns0:c r="AD857" s="7">
        <ns0:f>IF(W857&gt;=0,A857,1001)</ns0:f>
        <ns0:v>853</ns0:v>
      </ns0:c>
      <ns0:c r="AE857" s="7">
        <ns0:f>IF(W857&lt;0,A857,0)</ns0:f>
        <ns0:v>0</ns0:v>
      </ns0:c>
      <ns0:c r="AF857" s="16">
        <ns0:f>IF(AND(OR('前提と出典'!$C$36+'前提と出典'!$C$38=0,U857&gt;=0),OR('前提と出典'!$C$37+'前提と出典'!$C$38=0,V857&gt;=0)),0,A857)</ns0:f>
        <ns0:v>0</ns0:v>
      </ns0:c>
      <ns0:c r="AG857" s="7">
        <ns0:f>IF(Z857&gt;=0,A857,1001)</ns0:f>
        <ns0:v>853</ns0:v>
      </ns0:c>
      <ns0:c r="AH857" s="4">
        <ns0:f>IF(Z857&lt;0,A857,0)</ns0:f>
        <ns0:v>0</ns0:v>
      </ns0:c>
      <ns0:c r="AI857" s="12">
        <ns0:f>IF(AND(OR('前提と出典'!$C$36+'前提と出典'!$C$38=0,X857&gt;=0),OR('前提と出典'!$C$37+'前提と出典'!$C$38=0,Y857&gt;=0)),0,A857)</ns0:f>
        <ns0:v>0</ns0:v>
      </ns0:c>
    </ns0:row>
    <ns0:row r="858" ht="24" customHeight="1">
      <ns0:c r="A858" s="4" t="n">
        <ns0:v>854</ns0:v>
      </ns0:c>
      <ns0:c r="B858" s="12">
        <ns0:f>A858*('前提と出典'!$C$36+'前提と出典'!$C$38)</ns0:f>
        <ns0:v>597.8</ns0:v>
      </ns0:c>
      <ns0:c r="C858" s="12">
        <ns0:f>A858*('前提と出典'!$C$37+'前提と出典'!$C$38)</ns0:f>
        <ns0:v>512.4</ns0:v>
      </ns0:c>
      <ns0:c r="D858" s="16">
        <ns0:f>A858*('前提と出典'!$C$36*'契約別単価'!C5+'前提と出典'!$C$37*'契約別単価'!C6+'前提と出典'!$C$38*'契約別単価'!C7)</ns0:f>
        <ns0:v>6144.983240223463</ns0:v>
      </ns0:c>
      <ns0:c r="E858" s="16">
        <ns0:f>A858*('前提と出典'!$C$36*'契約別単価'!E5+'前提と出典'!$C$37*'契約別単価'!E6+'前提と出典'!$C$38*'契約別単価'!E7)</ns0:f>
        <ns0:v>1652442.7368494405</ns0:v>
      </ns0:c>
      <ns0:c r="F858" s="16">
        <ns0:f>A858*('前提と出典'!$C$36*'契約別単価'!F5+'前提と出典'!$C$37*'契約別単価'!F6+'前提と出典'!$C$38*'契約別単価'!F7)</ns0:f>
        <ns0:v>648523.7396672207</ns0:v>
      </ns0:c>
      <ns0:c r="G858" s="16">
        <ns0:f>A858*('前提と出典'!$C$36*'契約別単価'!G5+'前提と出典'!$C$37*'契約別単価'!G6+'前提と出典'!$C$38*'契約別単価'!G7)</ns0:f>
        <ns0:v>1699889.3854748602</ns0:v>
      </ns0:c>
      <ns0:c r="H858" s="16">
        <ns0:f>A858*('前提と出典'!$C$36*'契約別単価'!H5+'前提と出典'!$C$37*'契約別単価'!H6+'前提と出典'!$C$38*'契約別単価'!H7)</ns0:f>
        <ns0:v>589946.8729120462</ns0:v>
      </ns0:c>
      <ns0:c r="I858" s="16">
        <ns0:f>A858*('前提と出典'!$C$36*'契約別単価'!I5+'前提と出典'!$C$37*'契約別単価'!I6+'前提と出典'!$C$38*'契約別単価'!I7)</ns0:f>
        <ns0:v>36034.98324022346</ns0:v>
      </ns0:c>
      <ns0:c r="J858" s="16">
        <ns0:f>A858*('前提と出典'!$C$36*'契約別単価'!J5+'前提と出典'!$C$37*'契約別単価'!J6+'前提と出典'!$C$38*'契約別単価'!J7)</ns0:f>
        <ns0:v>83939.27032859839</ns0:v>
      </ns0:c>
      <ns0:c r="K858" s="16">
        <ns0:f>A858*('前提と出典'!$C$36*'契約別単価'!K5+'前提と出典'!$C$37*'契約別単価'!K6+'前提と出典'!$C$38*'契約別単価'!K7)</ns0:f>
        <ns0:v>359793.22160148976</ns0:v>
      </ns0:c>
      <ns0:c r="L858" s="16">
        <ns0:f>A858*('前提と出典'!$C$36*'契約別単価'!L5+'前提と出典'!$C$37*'契約別単価'!L6+'前提と出典'!$C$38*'契約別単価'!L7)</ns0:f>
        <ns0:v>292944.8957637349</ns0:v>
      </ns0:c>
      <ns0:c r="M858" s="16">
        <ns0:f>IF(('前提と出典'!$C$36+'前提と出典'!$C$38)=0,0,IF(B858&lt;=10,'前提と出典'!B73+'前提と出典'!C73,IF(B858&lt;=100,'前提と出典'!B74+'前提と出典'!C74,IF(B858&lt;=500,'前提と出典'!B75+'前提と出典'!C75,'前提と出典'!B76+'前提と出典'!C76))))</ns0:f>
        <ns0:v>80000</ns0:v>
      </ns0:c>
      <ns0:c r="N858" s="16">
        <ns0:f>IF(('前提と出典'!$C$37+'前提と出典'!$C$38)=0,0,IF(C858&lt;=10,'前提と出典'!D73+'前提と出典'!E73,IF(C858&lt;=100,'前提と出典'!D74+'前提と出典'!E74,IF(C858&lt;=500,'前提と出典'!D75+'前提と出典'!E75,'前提と出典'!D76+'前提と出典'!E76))))</ns0:f>
        <ns0:v>86510.9346263078</ns0:v>
      </ns0:c>
      <ns0:c r="O858" s="16">
        <ns0:f>IF('前提と出典'!$C$36+'前提と出典'!$C$38=0,0,'前提と出典'!$B$4*IF('前提と出典'!$B$20=0,MAX('前提と出典'!$B$6,D858*'前提と出典'!$B$5),'前提と出典'!$B$6+D858*'前提と出典'!$B$5))</ns0:f>
        <ns0:v>848007.687150838</ns0:v>
      </ns0:c>
      <ns0:c r="P858" s="16">
        <ns0:f>(E858+G858)*(1-'前提と出典'!$B$7)-I858-K858-M858-O858</ns0:f>
        <ns0:v>1907812.2739280746</ns0:v>
      </ns0:c>
      <ns0:c r="Q858" s="16">
        <ns0:f>(F858+H858)*(1-'前提と出典'!$B$7)-J858-L858-N858</ns0:f>
        <ns0:v>730490.5698077724</ns0:v>
      </ns0:c>
      <ns0:c r="R858" s="16">
        <ns0:f>P858-E858*'前提と出典'!$E$4</ns0:f>
        <ns0:v>1412079.4528732426</ns0:v>
      </ns0:c>
      <ns0:c r="S858" s="16">
        <ns0:f>Q858-F858*'前提と出典'!$E$4</ns0:f>
        <ns0:v>535933.4479076061</ns0:v>
      </ns0:c>
      <ns0:c r="T858" s="7">
        <ns0:f>R858+S858</ns0:f>
        <ns0:v>1948012.9007808487</ns0:v>
      </ns0:c>
      <ns0:c r="U858" s="16">
        <ns0:f>P858-E858*'前提と出典'!$E$5</ns0:f>
        <ns0:v>1246835.1791882985</ns0:v>
      </ns0:c>
      <ns0:c r="V858" s="16">
        <ns0:f>Q858-F858*'前提と出典'!$E$5</ns0:f>
        <ns0:v>471081.0739408841</ns0:v>
      </ns0:c>
      <ns0:c r="W858" s="7">
        <ns0:f>U858+V858</ns0:f>
        <ns0:v>1717916.2531291826</ns0:v>
      </ns0:c>
      <ns0:c r="X858" s="16">
        <ns0:f>P858-E858*'前提と出典'!$E$6</ns0:f>
        <ns0:v>1081590.9055033545</ns0:v>
      </ns0:c>
      <ns0:c r="Y858" s="16">
        <ns0:f>Q858-F858*'前提と出典'!$E$6</ns0:f>
        <ns0:v>406228.699974162</ns0:v>
      </ns0:c>
      <ns0:c r="Z858" s="7">
        <ns0:f>X858+Y858</ns0:f>
        <ns0:v>1487819.6054775165</ns0:v>
      </ns0:c>
      <ns0:c r="AA858" s="7">
        <ns0:f>IF(T858&gt;=0,A858,1001)</ns0:f>
        <ns0:v>854</ns0:v>
      </ns0:c>
      <ns0:c r="AB858" s="7">
        <ns0:f>IF(T858&lt;0,A858,0)</ns0:f>
        <ns0:v>0</ns0:v>
      </ns0:c>
      <ns0:c r="AC858" s="16">
        <ns0:f>IF(AND(OR('前提と出典'!$C$36+'前提と出典'!$C$38=0,R858&gt;=0),OR('前提と出典'!$C$37+'前提と出典'!$C$38=0,S858&gt;=0)),0,A858)</ns0:f>
        <ns0:v>0</ns0:v>
      </ns0:c>
      <ns0:c r="AD858" s="7">
        <ns0:f>IF(W858&gt;=0,A858,1001)</ns0:f>
        <ns0:v>854</ns0:v>
      </ns0:c>
      <ns0:c r="AE858" s="7">
        <ns0:f>IF(W858&lt;0,A858,0)</ns0:f>
        <ns0:v>0</ns0:v>
      </ns0:c>
      <ns0:c r="AF858" s="16">
        <ns0:f>IF(AND(OR('前提と出典'!$C$36+'前提と出典'!$C$38=0,U858&gt;=0),OR('前提と出典'!$C$37+'前提と出典'!$C$38=0,V858&gt;=0)),0,A858)</ns0:f>
        <ns0:v>0</ns0:v>
      </ns0:c>
      <ns0:c r="AG858" s="7">
        <ns0:f>IF(Z858&gt;=0,A858,1001)</ns0:f>
        <ns0:v>854</ns0:v>
      </ns0:c>
      <ns0:c r="AH858" s="4">
        <ns0:f>IF(Z858&lt;0,A858,0)</ns0:f>
        <ns0:v>0</ns0:v>
      </ns0:c>
      <ns0:c r="AI858" s="12">
        <ns0:f>IF(AND(OR('前提と出典'!$C$36+'前提と出典'!$C$38=0,X858&gt;=0),OR('前提と出典'!$C$37+'前提と出典'!$C$38=0,Y858&gt;=0)),0,A858)</ns0:f>
        <ns0:v>0</ns0:v>
      </ns0:c>
    </ns0:row>
    <ns0:row r="859" ht="24" customHeight="1">
      <ns0:c r="A859" s="4" t="n">
        <ns0:v>855</ns0:v>
      </ns0:c>
      <ns0:c r="B859" s="12">
        <ns0:f>A859*('前提と出典'!$C$36+'前提と出典'!$C$38)</ns0:f>
        <ns0:v>598.5</ns0:v>
      </ns0:c>
      <ns0:c r="C859" s="12">
        <ns0:f>A859*('前提と出典'!$C$37+'前提と出典'!$C$38)</ns0:f>
        <ns0:v>513</ns0:v>
      </ns0:c>
      <ns0:c r="D859" s="16">
        <ns0:f>A859*('前提と出典'!$C$36*'契約別単価'!C5+'前提と出典'!$C$37*'契約別単価'!C6+'前提と出典'!$C$38*'契約別単価'!C7)</ns0:f>
        <ns0:v>6152.17877094972</ns0:v>
      </ns0:c>
      <ns0:c r="E859" s="16">
        <ns0:f>A859*('前提と出典'!$C$36*'契約別単価'!E5+'前提と出典'!$C$37*'契約別単価'!E6+'前提と出典'!$C$38*'契約別単価'!E7)</ns0:f>
        <ns0:v>1654377.681506173</ns0:v>
      </ns0:c>
      <ns0:c r="F859" s="16">
        <ns0:f>A859*('前提と出典'!$C$36*'契約別単価'!F5+'前提と出典'!$C$37*'契約別単価'!F6+'前提と出典'!$C$38*'契約別単価'!F7)</ns0:f>
        <ns0:v>649283.1351469248</ns0:v>
      </ns0:c>
      <ns0:c r="G859" s="16">
        <ns0:f>A859*('前提と出典'!$C$36*'契約別単価'!G5+'前提と出典'!$C$37*'契約別単価'!G6+'前提と出典'!$C$38*'契約別単価'!G7)</ns0:f>
        <ns0:v>1701879.8882681564</ns0:v>
      </ns0:c>
      <ns0:c r="H859" s="16">
        <ns0:f>A859*('前提と出典'!$C$36*'契約別単価'!H5+'前提と出典'!$C$37*'契約別単価'!H6+'前提と出典'!$C$38*'契約別単価'!H7)</ns0:f>
        <ns0:v>590637.6772128799</ns0:v>
      </ns0:c>
      <ns0:c r="I859" s="16">
        <ns0:f>A859*('前提と出典'!$C$36*'契約別単価'!I5+'前提と出典'!$C$37*'契約別単価'!I6+'前提と出典'!$C$38*'契約別単価'!I7)</ns0:f>
        <ns0:v>36077.178770949715</ns0:v>
      </ns0:c>
      <ns0:c r="J859" s="16">
        <ns0:f>A859*('前提と出典'!$C$36*'契約別単価'!J5+'前提と出典'!$C$37*'契約別単価'!J6+'前提と出典'!$C$38*'契約別単価'!J7)</ns0:f>
        <ns0:v>84037.55987230869</ns0:v>
      </ns0:c>
      <ns0:c r="K859" s="16">
        <ns0:f>A859*('前提と出典'!$C$36*'契約別単価'!K5+'前提と出典'!$C$37*'契約別単価'!K6+'前提と出典'!$C$38*'契約別単価'!K7)</ns0:f>
        <ns0:v>360214.52513966477</ns0:v>
      </ns0:c>
      <ns0:c r="L859" s="16">
        <ns0:f>A859*('前提と出典'!$C$36*'契約別単価'!L5+'前提と出典'!$C$37*'契約別単価'!L6+'前提と出典'!$C$38*'契約別単価'!L7)</ns0:f>
        <ns0:v>293287.92257376265</ns0:v>
      </ns0:c>
      <ns0:c r="M859" s="16">
        <ns0:f>IF(('前提と出典'!$C$36+'前提と出典'!$C$38)=0,0,IF(B859&lt;=10,'前提と出典'!B73+'前提と出典'!C73,IF(B859&lt;=100,'前提と出典'!B74+'前提と出典'!C74,IF(B859&lt;=500,'前提と出典'!B75+'前提と出典'!C75,'前提と出典'!B76+'前提と出典'!C76))))</ns0:f>
        <ns0:v>80000</ns0:v>
      </ns0:c>
      <ns0:c r="N859" s="16">
        <ns0:f>IF(('前提と出典'!$C$37+'前提と出典'!$C$38)=0,0,IF(C859&lt;=10,'前提と出典'!D73+'前提と出典'!E73,IF(C859&lt;=100,'前提と出典'!D74+'前提と出典'!E74,IF(C859&lt;=500,'前提と出典'!D75+'前提と出典'!E75,'前提と出典'!D76+'前提と出典'!E76))))</ns0:f>
        <ns0:v>86510.9346263078</ns0:v>
      </ns0:c>
      <ns0:c r="O859" s="16">
        <ns0:f>IF('前提と出典'!$C$36+'前提と出典'!$C$38=0,0,'前提と出典'!$B$4*IF('前提と出典'!$B$20=0,MAX('前提と出典'!$B$6,D859*'前提と出典'!$B$5),'前提と出典'!$B$6+D859*'前提と出典'!$B$5))</ns0:f>
        <ns0:v>849000.6703910615</ns0:v>
      </ns0:c>
      <ns0:c r="P859" s="16">
        <ns0:f>(E859+G859)*(1-'前提と出典'!$B$7)-I859-K859-M859-O859</ns0:f>
        <ns0:v>1910139.922960778</ns0:v>
      </ns0:c>
      <ns0:c r="Q859" s="16">
        <ns0:f>(F859+H859)*(1-'前提と出典'!$B$7)-J859-L859-N859</ns0:f>
        <ns0:v>731447.2460424725</ns0:v>
      </ns0:c>
      <ns0:c r="R859" s="16">
        <ns0:f>P859-E859*'前提と出典'!$E$4</ns0:f>
        <ns0:v>1413826.6185089261</ns0:v>
      </ns0:c>
      <ns0:c r="S859" s="16">
        <ns0:f>Q859-F859*'前提と出典'!$E$4</ns0:f>
        <ns0:v>536662.3054983951</ns0:v>
      </ns0:c>
      <ns0:c r="T859" s="7">
        <ns0:f>R859+S859</ns0:f>
        <ns0:v>1950488.9240073212</ns0:v>
      </ns0:c>
      <ns0:c r="U859" s="16">
        <ns0:f>P859-E859*'前提と出典'!$E$5</ns0:f>
        <ns0:v>1248388.8503583088</ns0:v>
      </ns0:c>
      <ns0:c r="V859" s="16">
        <ns0:f>Q859-F859*'前提と出典'!$E$5</ns0:f>
        <ns0:v>471733.99198370264</ns0:v>
      </ns0:c>
      <ns0:c r="W859" s="7">
        <ns0:f>U859+V859</ns0:f>
        <ns0:v>1720122.8423420114</ns0:v>
      </ns0:c>
      <ns0:c r="X859" s="16">
        <ns0:f>P859-E859*'前提と出典'!$E$6</ns0:f>
        <ns0:v>1082951.0822076919</ns0:v>
      </ns0:c>
      <ns0:c r="Y859" s="16">
        <ns0:f>Q859-F859*'前提と出典'!$E$6</ns0:f>
        <ns0:v>406805.6784690102</ns0:v>
      </ns0:c>
      <ns0:c r="Z859" s="7">
        <ns0:f>X859+Y859</ns0:f>
        <ns0:v>1489756.760676702</ns0:v>
      </ns0:c>
      <ns0:c r="AA859" s="7">
        <ns0:f>IF(T859&gt;=0,A859,1001)</ns0:f>
        <ns0:v>855</ns0:v>
      </ns0:c>
      <ns0:c r="AB859" s="7">
        <ns0:f>IF(T859&lt;0,A859,0)</ns0:f>
        <ns0:v>0</ns0:v>
      </ns0:c>
      <ns0:c r="AC859" s="16">
        <ns0:f>IF(AND(OR('前提と出典'!$C$36+'前提と出典'!$C$38=0,R859&gt;=0),OR('前提と出典'!$C$37+'前提と出典'!$C$38=0,S859&gt;=0)),0,A859)</ns0:f>
        <ns0:v>0</ns0:v>
      </ns0:c>
      <ns0:c r="AD859" s="7">
        <ns0:f>IF(W859&gt;=0,A859,1001)</ns0:f>
        <ns0:v>855</ns0:v>
      </ns0:c>
      <ns0:c r="AE859" s="7">
        <ns0:f>IF(W859&lt;0,A859,0)</ns0:f>
        <ns0:v>0</ns0:v>
      </ns0:c>
      <ns0:c r="AF859" s="16">
        <ns0:f>IF(AND(OR('前提と出典'!$C$36+'前提と出典'!$C$38=0,U859&gt;=0),OR('前提と出典'!$C$37+'前提と出典'!$C$38=0,V859&gt;=0)),0,A859)</ns0:f>
        <ns0:v>0</ns0:v>
      </ns0:c>
      <ns0:c r="AG859" s="7">
        <ns0:f>IF(Z859&gt;=0,A859,1001)</ns0:f>
        <ns0:v>855</ns0:v>
      </ns0:c>
      <ns0:c r="AH859" s="4">
        <ns0:f>IF(Z859&lt;0,A859,0)</ns0:f>
        <ns0:v>0</ns0:v>
      </ns0:c>
      <ns0:c r="AI859" s="12">
        <ns0:f>IF(AND(OR('前提と出典'!$C$36+'前提と出典'!$C$38=0,X859&gt;=0),OR('前提と出典'!$C$37+'前提と出典'!$C$38=0,Y859&gt;=0)),0,A859)</ns0:f>
        <ns0:v>0</ns0:v>
      </ns0:c>
    </ns0:row>
    <ns0:row r="860" ht="24" customHeight="1">
      <ns0:c r="A860" s="4" t="n">
        <ns0:v>856</ns0:v>
      </ns0:c>
      <ns0:c r="B860" s="12">
        <ns0:f>A860*('前提と出典'!$C$36+'前提と出典'!$C$38)</ns0:f>
        <ns0:v>599.1999999999999</ns0:v>
      </ns0:c>
      <ns0:c r="C860" s="12">
        <ns0:f>A860*('前提と出典'!$C$37+'前提と出典'!$C$38)</ns0:f>
        <ns0:v>513.6</ns0:v>
      </ns0:c>
      <ns0:c r="D860" s="16">
        <ns0:f>A860*('前提と出典'!$C$36*'契約別単価'!C5+'前提と出典'!$C$37*'契約別単価'!C6+'前提と出典'!$C$38*'契約別単価'!C7)</ns0:f>
        <ns0:v>6159.374301675977</ns0:v>
      </ns0:c>
      <ns0:c r="E860" s="16">
        <ns0:f>A860*('前提と出典'!$C$36*'契約別単価'!E5+'前提と出典'!$C$37*'契約別単価'!E6+'前提と出典'!$C$38*'契約別単価'!E7)</ns0:f>
        <ns0:v>1656312.6261629052</ns0:v>
      </ns0:c>
      <ns0:c r="F860" s="16">
        <ns0:f>A860*('前提と出典'!$C$36*'契約別単価'!F5+'前提と出典'!$C$37*'契約別単価'!F6+'前提と出典'!$C$38*'契約別単価'!F7)</ns0:f>
        <ns0:v>650042.5306266288</ns0:v>
      </ns0:c>
      <ns0:c r="G860" s="16">
        <ns0:f>A860*('前提と出典'!$C$36*'契約別単価'!G5+'前提と出典'!$C$37*'契約別単価'!G6+'前提と出典'!$C$38*'契約別単価'!G7)</ns0:f>
        <ns0:v>1703870.3910614525</ns0:v>
      </ns0:c>
      <ns0:c r="H860" s="16">
        <ns0:f>A860*('前提と出典'!$C$36*'契約別単価'!H5+'前提と出典'!$C$37*'契約別単価'!H6+'前提と出典'!$C$38*'契約別単価'!H7)</ns0:f>
        <ns0:v>591328.4815137137</ns0:v>
      </ns0:c>
      <ns0:c r="I860" s="16">
        <ns0:f>A860*('前提と出典'!$C$36*'契約別単価'!I5+'前提と出典'!$C$37*'契約別単価'!I6+'前提と出典'!$C$38*'契約別単価'!I7)</ns0:f>
        <ns0:v>36119.37430167597</ns0:v>
      </ns0:c>
      <ns0:c r="J860" s="16">
        <ns0:f>A860*('前提と出典'!$C$36*'契約別単価'!J5+'前提と出典'!$C$37*'契約別単価'!J6+'前提と出典'!$C$38*'契約別単価'!J7)</ns0:f>
        <ns0:v>84135.849416019</ns0:v>
      </ns0:c>
      <ns0:c r="K860" s="16">
        <ns0:f>A860*('前提と出典'!$C$36*'契約別単価'!K5+'前提と出典'!$C$37*'契約別単価'!K6+'前提と出典'!$C$38*'契約別単価'!K7)</ns0:f>
        <ns0:v>360635.82867783983</ns0:v>
      </ns0:c>
      <ns0:c r="L860" s="16">
        <ns0:f>A860*('前提と出典'!$C$36*'契約別単価'!L5+'前提と出典'!$C$37*'契約別単価'!L6+'前提と出典'!$C$38*'契約別単価'!L7)</ns0:f>
        <ns0:v>293630.94938379043</ns0:v>
      </ns0:c>
      <ns0:c r="M860" s="16">
        <ns0:f>IF(('前提と出典'!$C$36+'前提と出典'!$C$38)=0,0,IF(B860&lt;=10,'前提と出典'!B73+'前提と出典'!C73,IF(B860&lt;=100,'前提と出典'!B74+'前提と出典'!C74,IF(B860&lt;=500,'前提と出典'!B75+'前提と出典'!C75,'前提と出典'!B76+'前提と出典'!C76))))</ns0:f>
        <ns0:v>80000</ns0:v>
      </ns0:c>
      <ns0:c r="N860" s="16">
        <ns0:f>IF(('前提と出典'!$C$37+'前提と出典'!$C$38)=0,0,IF(C860&lt;=10,'前提と出典'!D73+'前提と出典'!E73,IF(C860&lt;=100,'前提と出典'!D74+'前提と出典'!E74,IF(C860&lt;=500,'前提と出典'!D75+'前提と出典'!E75,'前提と出典'!D76+'前提と出典'!E76))))</ns0:f>
        <ns0:v>86510.9346263078</ns0:v>
      </ns0:c>
      <ns0:c r="O860" s="16">
        <ns0:f>IF('前提と出典'!$C$36+'前提と出典'!$C$38=0,0,'前提と出典'!$B$4*IF('前提と出典'!$B$20=0,MAX('前提と出典'!$B$6,D860*'前提と出典'!$B$5),'前提と出典'!$B$6+D860*'前提と出典'!$B$5))</ns0:f>
        <ns0:v>849993.653631285</ns0:v>
      </ns0:c>
      <ns0:c r="P860" s="16">
        <ns0:f>(E860+G860)*(1-'前提と出典'!$B$7)-I860-K860-M860-O860</ns0:f>
        <ns0:v>1912467.5719934797</ns0:v>
      </ns0:c>
      <ns0:c r="Q860" s="16">
        <ns0:f>(F860+H860)*(1-'前提と出典'!$B$7)-J860-L860-N860</ns0:f>
        <ns0:v>732403.9222771729</ns0:v>
      </ns0:c>
      <ns0:c r="R860" s="16">
        <ns0:f>P860-E860*'前提と出典'!$E$4</ns0:f>
        <ns0:v>1415573.7841446083</ns0:v>
      </ns0:c>
      <ns0:c r="S860" s="16">
        <ns0:f>Q860-F860*'前提と出典'!$E$4</ns0:f>
        <ns0:v>537391.1630891843</ns0:v>
      </ns0:c>
      <ns0:c r="T860" s="7">
        <ns0:f>R860+S860</ns0:f>
        <ns0:v>1952964.9472337926</ns0:v>
      </ns0:c>
      <ns0:c r="U860" s="16">
        <ns0:f>P860-E860*'前提と出典'!$E$5</ns0:f>
        <ns0:v>1249942.5215283176</ns0:v>
      </ns0:c>
      <ns0:c r="V860" s="16">
        <ns0:f>Q860-F860*'前提と出典'!$E$5</ns0:f>
        <ns0:v>472386.9100265214</ns0:v>
      </ns0:c>
      <ns0:c r="W860" s="7">
        <ns0:f>U860+V860</ns0:f>
        <ns0:v>1722329.431554839</ns0:v>
      </ns0:c>
      <ns0:c r="X860" s="16">
        <ns0:f>P860-E860*'前提と出典'!$E$6</ns0:f>
        <ns0:v>1084311.2589120269</ns0:v>
      </ns0:c>
      <ns0:c r="Y860" s="16">
        <ns0:f>Q860-F860*'前提と出典'!$E$6</ns0:f>
        <ns0:v>407382.65696385846</ns0:v>
      </ns0:c>
      <ns0:c r="Z860" s="7">
        <ns0:f>X860+Y860</ns0:f>
        <ns0:v>1491693.9158758854</ns0:v>
      </ns0:c>
      <ns0:c r="AA860" s="7">
        <ns0:f>IF(T860&gt;=0,A860,1001)</ns0:f>
        <ns0:v>856</ns0:v>
      </ns0:c>
      <ns0:c r="AB860" s="7">
        <ns0:f>IF(T860&lt;0,A860,0)</ns0:f>
        <ns0:v>0</ns0:v>
      </ns0:c>
      <ns0:c r="AC860" s="16">
        <ns0:f>IF(AND(OR('前提と出典'!$C$36+'前提と出典'!$C$38=0,R860&gt;=0),OR('前提と出典'!$C$37+'前提と出典'!$C$38=0,S860&gt;=0)),0,A860)</ns0:f>
        <ns0:v>0</ns0:v>
      </ns0:c>
      <ns0:c r="AD860" s="7">
        <ns0:f>IF(W860&gt;=0,A860,1001)</ns0:f>
        <ns0:v>856</ns0:v>
      </ns0:c>
      <ns0:c r="AE860" s="7">
        <ns0:f>IF(W860&lt;0,A860,0)</ns0:f>
        <ns0:v>0</ns0:v>
      </ns0:c>
      <ns0:c r="AF860" s="16">
        <ns0:f>IF(AND(OR('前提と出典'!$C$36+'前提と出典'!$C$38=0,U860&gt;=0),OR('前提と出典'!$C$37+'前提と出典'!$C$38=0,V860&gt;=0)),0,A860)</ns0:f>
        <ns0:v>0</ns0:v>
      </ns0:c>
      <ns0:c r="AG860" s="7">
        <ns0:f>IF(Z860&gt;=0,A860,1001)</ns0:f>
        <ns0:v>856</ns0:v>
      </ns0:c>
      <ns0:c r="AH860" s="4">
        <ns0:f>IF(Z860&lt;0,A860,0)</ns0:f>
        <ns0:v>0</ns0:v>
      </ns0:c>
      <ns0:c r="AI860" s="12">
        <ns0:f>IF(AND(OR('前提と出典'!$C$36+'前提と出典'!$C$38=0,X860&gt;=0),OR('前提と出典'!$C$37+'前提と出典'!$C$38=0,Y860&gt;=0)),0,A860)</ns0:f>
        <ns0:v>0</ns0:v>
      </ns0:c>
    </ns0:row>
    <ns0:row r="861" ht="24" customHeight="1">
      <ns0:c r="A861" s="4" t="n">
        <ns0:v>857</ns0:v>
      </ns0:c>
      <ns0:c r="B861" s="12">
        <ns0:f>A861*('前提と出典'!$C$36+'前提と出典'!$C$38)</ns0:f>
        <ns0:v>599.9</ns0:v>
      </ns0:c>
      <ns0:c r="C861" s="12">
        <ns0:f>A861*('前提と出典'!$C$37+'前提と出典'!$C$38)</ns0:f>
        <ns0:v>514.1999999999999</ns0:v>
      </ns0:c>
      <ns0:c r="D861" s="16">
        <ns0:f>A861*('前提と出典'!$C$36*'契約別単価'!C5+'前提と出典'!$C$37*'契約別単価'!C6+'前提と出典'!$C$38*'契約別単価'!C7)</ns0:f>
        <ns0:v>6166.569832402234</ns0:v>
      </ns0:c>
      <ns0:c r="E861" s="16">
        <ns0:f>A861*('前提と出典'!$C$36*'契約別単価'!E5+'前提と出典'!$C$37*'契約別単価'!E6+'前提と出典'!$C$38*'契約別単価'!E7)</ns0:f>
        <ns0:v>1658247.5708196377</ns0:v>
      </ns0:c>
      <ns0:c r="F861" s="16">
        <ns0:f>A861*('前提と出典'!$C$36*'契約別単価'!F5+'前提と出典'!$C$37*'契約別単価'!F6+'前提と出典'!$C$38*'契約別単価'!F7)</ns0:f>
        <ns0:v>650801.9261063328</ns0:v>
      </ns0:c>
      <ns0:c r="G861" s="16">
        <ns0:f>A861*('前提と出典'!$C$36*'契約別単価'!G5+'前提と出典'!$C$37*'契約別単価'!G6+'前提と出典'!$C$38*'契約別単価'!G7)</ns0:f>
        <ns0:v>1705860.8938547485</ns0:v>
      </ns0:c>
      <ns0:c r="H861" s="16">
        <ns0:f>A861*('前提と出典'!$C$36*'契約別単価'!H5+'前提と出典'!$C$37*'契約別単価'!H6+'前提と出典'!$C$38*'契約別単価'!H7)</ns0:f>
        <ns0:v>592019.2858145474</ns0:v>
      </ns0:c>
      <ns0:c r="I861" s="16">
        <ns0:f>A861*('前提と出典'!$C$36*'契約別単価'!I5+'前提と出典'!$C$37*'契約別単価'!I6+'前提と出典'!$C$38*'契約別単価'!I7)</ns0:f>
        <ns0:v>36161.56983240223</ns0:v>
      </ns0:c>
      <ns0:c r="J861" s="16">
        <ns0:f>A861*('前提と出典'!$C$36*'契約別単価'!J5+'前提と出典'!$C$37*'契約別単価'!J6+'前提と出典'!$C$38*'契約別単価'!J7)</ns0:f>
        <ns0:v>84234.1389597293</ns0:v>
      </ns0:c>
      <ns0:c r="K861" s="16">
        <ns0:f>A861*('前提と出典'!$C$36*'契約別単価'!K5+'前提と出典'!$C$37*'契約別単価'!K6+'前提と出典'!$C$38*'契約別単価'!K7)</ns0:f>
        <ns0:v>361057.1322160149</ns0:v>
      </ns0:c>
      <ns0:c r="L861" s="16">
        <ns0:f>A861*('前提と出典'!$C$36*'契約別単価'!L5+'前提と出典'!$C$37*'契約別単価'!L6+'前提と出典'!$C$38*'契約別単価'!L7)</ns0:f>
        <ns0:v>293973.97619381826</ns0:v>
      </ns0:c>
      <ns0:c r="M861" s="16">
        <ns0:f>IF(('前提と出典'!$C$36+'前提と出典'!$C$38)=0,0,IF(B861&lt;=10,'前提と出典'!B73+'前提と出典'!C73,IF(B861&lt;=100,'前提と出典'!B74+'前提と出典'!C74,IF(B861&lt;=500,'前提と出典'!B75+'前提と出典'!C75,'前提と出典'!B76+'前提と出典'!C76))))</ns0:f>
        <ns0:v>80000</ns0:v>
      </ns0:c>
      <ns0:c r="N861" s="16">
        <ns0:f>IF(('前提と出典'!$C$37+'前提と出典'!$C$38)=0,0,IF(C861&lt;=10,'前提と出典'!D73+'前提と出典'!E73,IF(C861&lt;=100,'前提と出典'!D74+'前提と出典'!E74,IF(C861&lt;=500,'前提と出典'!D75+'前提と出典'!E75,'前提と出典'!D76+'前提と出典'!E76))))</ns0:f>
        <ns0:v>86510.9346263078</ns0:v>
      </ns0:c>
      <ns0:c r="O861" s="16">
        <ns0:f>IF('前提と出典'!$C$36+'前提と出典'!$C$38=0,0,'前提と出典'!$B$4*IF('前提と出典'!$B$20=0,MAX('前提と出典'!$B$6,D861*'前提と出典'!$B$5),'前提と出典'!$B$6+D861*'前提と出典'!$B$5))</ns0:f>
        <ns0:v>850986.6368715083</ns0:v>
      </ns0:c>
      <ns0:c r="P861" s="16">
        <ns0:f>(E861+G861)*(1-'前提と出典'!$B$7)-I861-K861-M861-O861</ns0:f>
        <ns0:v>1914795.2210261826</ns0:v>
      </ns0:c>
      <ns0:c r="Q861" s="16">
        <ns0:f>(F861+H861)*(1-'前提と出典'!$B$7)-J861-L861-N861</ns0:f>
        <ns0:v>733360.5985118733</ns0:v>
      </ns0:c>
      <ns0:c r="R861" s="16">
        <ns0:f>P861-E861*'前提と出典'!$E$4</ns0:f>
        <ns0:v>1417320.9497802914</ns0:v>
      </ns0:c>
      <ns0:c r="S861" s="16">
        <ns0:f>Q861-F861*'前提と出典'!$E$4</ns0:f>
        <ns0:v>538120.0206799733</ns0:v>
      </ns0:c>
      <ns0:c r="T861" s="7">
        <ns0:f>R861+S861</ns0:f>
        <ns0:v>1955440.9704602647</ns0:v>
      </ns0:c>
      <ns0:c r="U861" s="16">
        <ns0:f>P861-E861*'前提と出典'!$E$5</ns0:f>
        <ns0:v>1251496.1926983274</ns0:v>
      </ns0:c>
      <ns0:c r="V861" s="16">
        <ns0:f>Q861-F861*'前提と出典'!$E$5</ns0:f>
        <ns0:v>473039.8280693401</ns0:v>
      </ns0:c>
      <ns0:c r="W861" s="7">
        <ns0:f>U861+V861</ns0:f>
        <ns0:v>1724536.0207676673</ns0:v>
      </ns0:c>
      <ns0:c r="X861" s="16">
        <ns0:f>P861-E861*'前提と出典'!$E$6</ns0:f>
        <ns0:v>1085671.4356163638</ns0:v>
      </ns0:c>
      <ns0:c r="Y861" s="16">
        <ns0:f>Q861-F861*'前提と出典'!$E$6</ns0:f>
        <ns0:v>407959.63545870676</ns0:v>
      </ns0:c>
      <ns0:c r="Z861" s="7">
        <ns0:f>X861+Y861</ns0:f>
        <ns0:v>1493631.0710750706</ns0:v>
      </ns0:c>
      <ns0:c r="AA861" s="7">
        <ns0:f>IF(T861&gt;=0,A861,1001)</ns0:f>
        <ns0:v>857</ns0:v>
      </ns0:c>
      <ns0:c r="AB861" s="7">
        <ns0:f>IF(T861&lt;0,A861,0)</ns0:f>
        <ns0:v>0</ns0:v>
      </ns0:c>
      <ns0:c r="AC861" s="16">
        <ns0:f>IF(AND(OR('前提と出典'!$C$36+'前提と出典'!$C$38=0,R861&gt;=0),OR('前提と出典'!$C$37+'前提と出典'!$C$38=0,S861&gt;=0)),0,A861)</ns0:f>
        <ns0:v>0</ns0:v>
      </ns0:c>
      <ns0:c r="AD861" s="7">
        <ns0:f>IF(W861&gt;=0,A861,1001)</ns0:f>
        <ns0:v>857</ns0:v>
      </ns0:c>
      <ns0:c r="AE861" s="7">
        <ns0:f>IF(W861&lt;0,A861,0)</ns0:f>
        <ns0:v>0</ns0:v>
      </ns0:c>
      <ns0:c r="AF861" s="16">
        <ns0:f>IF(AND(OR('前提と出典'!$C$36+'前提と出典'!$C$38=0,U861&gt;=0),OR('前提と出典'!$C$37+'前提と出典'!$C$38=0,V861&gt;=0)),0,A861)</ns0:f>
        <ns0:v>0</ns0:v>
      </ns0:c>
      <ns0:c r="AG861" s="7">
        <ns0:f>IF(Z861&gt;=0,A861,1001)</ns0:f>
        <ns0:v>857</ns0:v>
      </ns0:c>
      <ns0:c r="AH861" s="4">
        <ns0:f>IF(Z861&lt;0,A861,0)</ns0:f>
        <ns0:v>0</ns0:v>
      </ns0:c>
      <ns0:c r="AI861" s="12">
        <ns0:f>IF(AND(OR('前提と出典'!$C$36+'前提と出典'!$C$38=0,X861&gt;=0),OR('前提と出典'!$C$37+'前提と出典'!$C$38=0,Y861&gt;=0)),0,A861)</ns0:f>
        <ns0:v>0</ns0:v>
      </ns0:c>
    </ns0:row>
    <ns0:row r="862" ht="24" customHeight="1">
      <ns0:c r="A862" s="4" t="n">
        <ns0:v>858</ns0:v>
      </ns0:c>
      <ns0:c r="B862" s="12">
        <ns0:f>A862*('前提と出典'!$C$36+'前提と出典'!$C$38)</ns0:f>
        <ns0:v>600.5999999999999</ns0:v>
      </ns0:c>
      <ns0:c r="C862" s="12">
        <ns0:f>A862*('前提と出典'!$C$37+'前提と出典'!$C$38)</ns0:f>
        <ns0:v>514.8</ns0:v>
      </ns0:c>
      <ns0:c r="D862" s="16">
        <ns0:f>A862*('前提と出典'!$C$36*'契約別単価'!C5+'前提と出典'!$C$37*'契約別単価'!C6+'前提と出典'!$C$38*'契約別単価'!C7)</ns0:f>
        <ns0:v>6173.765363128492</ns0:v>
      </ns0:c>
      <ns0:c r="E862" s="16">
        <ns0:f>A862*('前提と出典'!$C$36*'契約別単価'!E5+'前提と出典'!$C$37*'契約別単価'!E6+'前提と出典'!$C$38*'契約別単価'!E7)</ns0:f>
        <ns0:v>1660182.51547637</ns0:v>
      </ns0:c>
      <ns0:c r="F862" s="16">
        <ns0:f>A862*('前提と出典'!$C$36*'契約別単価'!F5+'前提と出典'!$C$37*'契約別単価'!F6+'前提と出典'!$C$38*'契約別単価'!F7)</ns0:f>
        <ns0:v>651561.3215860367</ns0:v>
      </ns0:c>
      <ns0:c r="G862" s="16">
        <ns0:f>A862*('前提と出典'!$C$36*'契約別単価'!G5+'前提と出典'!$C$37*'契約別単価'!G6+'前提と出典'!$C$38*'契約別単価'!G7)</ns0:f>
        <ns0:v>1707851.3966480447</ns0:v>
      </ns0:c>
      <ns0:c r="H862" s="16">
        <ns0:f>A862*('前提と出典'!$C$36*'契約別単価'!H5+'前提と出典'!$C$37*'契約別単価'!H6+'前提と出典'!$C$38*'契約別単価'!H7)</ns0:f>
        <ns0:v>592710.0901153813</ns0:v>
      </ns0:c>
      <ns0:c r="I862" s="16">
        <ns0:f>A862*('前提と出典'!$C$36*'契約別単価'!I5+'前提と出典'!$C$37*'契約別単価'!I6+'前提と出典'!$C$38*'契約別単価'!I7)</ns0:f>
        <ns0:v>36203.765363128485</ns0:v>
      </ns0:c>
      <ns0:c r="J862" s="16">
        <ns0:f>A862*('前提と出典'!$C$36*'契約別単価'!J5+'前提と出典'!$C$37*'契約別単価'!J6+'前提と出典'!$C$38*'契約別単価'!J7)</ns0:f>
        <ns0:v>84332.4285034396</ns0:v>
      </ns0:c>
      <ns0:c r="K862" s="16">
        <ns0:f>A862*('前提と出典'!$C$36*'契約別単価'!K5+'前提と出典'!$C$37*'契約別単価'!K6+'前提と出典'!$C$38*'契約別単価'!K7)</ns0:f>
        <ns0:v>361478.4357541899</ns0:v>
      </ns0:c>
      <ns0:c r="L862" s="16">
        <ns0:f>A862*('前提と出典'!$C$36*'契約別単価'!L5+'前提と出典'!$C$37*'契約別単価'!L6+'前提と出典'!$C$38*'契約別単価'!L7)</ns0:f>
        <ns0:v>294317.00300384604</ns0:v>
      </ns0:c>
      <ns0:c r="M862" s="16">
        <ns0:f>IF(('前提と出典'!$C$36+'前提と出典'!$C$38)=0,0,IF(B862&lt;=10,'前提と出典'!B73+'前提と出典'!C73,IF(B862&lt;=100,'前提と出典'!B74+'前提と出典'!C74,IF(B862&lt;=500,'前提と出典'!B75+'前提と出典'!C75,'前提と出典'!B76+'前提と出典'!C76))))</ns0:f>
        <ns0:v>80000</ns0:v>
      </ns0:c>
      <ns0:c r="N862" s="16">
        <ns0:f>IF(('前提と出典'!$C$37+'前提と出典'!$C$38)=0,0,IF(C862&lt;=10,'前提と出典'!D73+'前提と出典'!E73,IF(C862&lt;=100,'前提と出典'!D74+'前提と出典'!E74,IF(C862&lt;=500,'前提と出典'!D75+'前提と出典'!E75,'前提と出典'!D76+'前提と出典'!E76))))</ns0:f>
        <ns0:v>86510.9346263078</ns0:v>
      </ns0:c>
      <ns0:c r="O862" s="16">
        <ns0:f>IF('前提と出典'!$C$36+'前提と出典'!$C$38=0,0,'前提と出典'!$B$4*IF('前提と出典'!$B$20=0,MAX('前提と出典'!$B$6,D862*'前提と出典'!$B$5),'前提と出典'!$B$6+D862*'前提と出典'!$B$5))</ns0:f>
        <ns0:v>851979.620111732</ns0:v>
      </ns0:c>
      <ns0:c r="P862" s="16">
        <ns0:f>(E862+G862)*(1-'前提と出典'!$B$7)-I862-K862-M862-O862</ns0:f>
        <ns0:v>1917122.8700588858</ns0:v>
      </ns0:c>
      <ns0:c r="Q862" s="16">
        <ns0:f>(F862+H862)*(1-'前提と出典'!$B$7)-J862-L862-N862</ns0:f>
        <ns0:v>734317.2747465734</ns0:v>
      </ns0:c>
      <ns0:c r="R862" s="16">
        <ns0:f>P862-E862*'前提と出典'!$E$4</ns0:f>
        <ns0:v>1419068.1154159752</ns0:v>
      </ns0:c>
      <ns0:c r="S862" s="16">
        <ns0:f>Q862-F862*'前提と出典'!$E$4</ns0:f>
        <ns0:v>538848.8782707624</ns0:v>
      </ns0:c>
      <ns0:c r="T862" s="7">
        <ns0:f>R862+S862</ns0:f>
        <ns0:v>1957916.9936867375</ns0:v>
      </ns0:c>
      <ns0:c r="U862" s="16">
        <ns0:f>P862-E862*'前提と出典'!$E$5</ns0:f>
        <ns0:v>1253049.8638683378</ns0:v>
      </ns0:c>
      <ns0:c r="V862" s="16">
        <ns0:f>Q862-F862*'前提と出典'!$E$5</ns0:f>
        <ns0:v>473692.74611215875</ns0:v>
      </ns0:c>
      <ns0:c r="W862" s="7">
        <ns0:f>U862+V862</ns0:f>
        <ns0:v>1726742.6099804966</ns0:v>
      </ns0:c>
      <ns0:c r="X862" s="16">
        <ns0:f>P862-E862*'前提と出典'!$E$6</ns0:f>
        <ns0:v>1087031.6123207007</ns0:v>
      </ns0:c>
      <ns0:c r="Y862" s="16">
        <ns0:f>Q862-F862*'前提と出典'!$E$6</ns0:f>
        <ns0:v>408536.6139535551</ns0:v>
      </ns0:c>
      <ns0:c r="Z862" s="7">
        <ns0:f>X862+Y862</ns0:f>
        <ns0:v>1495568.2262742557</ns0:v>
      </ns0:c>
      <ns0:c r="AA862" s="7">
        <ns0:f>IF(T862&gt;=0,A862,1001)</ns0:f>
        <ns0:v>858</ns0:v>
      </ns0:c>
      <ns0:c r="AB862" s="7">
        <ns0:f>IF(T862&lt;0,A862,0)</ns0:f>
        <ns0:v>0</ns0:v>
      </ns0:c>
      <ns0:c r="AC862" s="16">
        <ns0:f>IF(AND(OR('前提と出典'!$C$36+'前提と出典'!$C$38=0,R862&gt;=0),OR('前提と出典'!$C$37+'前提と出典'!$C$38=0,S862&gt;=0)),0,A862)</ns0:f>
        <ns0:v>0</ns0:v>
      </ns0:c>
      <ns0:c r="AD862" s="7">
        <ns0:f>IF(W862&gt;=0,A862,1001)</ns0:f>
        <ns0:v>858</ns0:v>
      </ns0:c>
      <ns0:c r="AE862" s="7">
        <ns0:f>IF(W862&lt;0,A862,0)</ns0:f>
        <ns0:v>0</ns0:v>
      </ns0:c>
      <ns0:c r="AF862" s="16">
        <ns0:f>IF(AND(OR('前提と出典'!$C$36+'前提と出典'!$C$38=0,U862&gt;=0),OR('前提と出典'!$C$37+'前提と出典'!$C$38=0,V862&gt;=0)),0,A862)</ns0:f>
        <ns0:v>0</ns0:v>
      </ns0:c>
      <ns0:c r="AG862" s="7">
        <ns0:f>IF(Z862&gt;=0,A862,1001)</ns0:f>
        <ns0:v>858</ns0:v>
      </ns0:c>
      <ns0:c r="AH862" s="4">
        <ns0:f>IF(Z862&lt;0,A862,0)</ns0:f>
        <ns0:v>0</ns0:v>
      </ns0:c>
      <ns0:c r="AI862" s="12">
        <ns0:f>IF(AND(OR('前提と出典'!$C$36+'前提と出典'!$C$38=0,X862&gt;=0),OR('前提と出典'!$C$37+'前提と出典'!$C$38=0,Y862&gt;=0)),0,A862)</ns0:f>
        <ns0:v>0</ns0:v>
      </ns0:c>
    </ns0:row>
    <ns0:row r="863" ht="24" customHeight="1">
      <ns0:c r="A863" s="4" t="n">
        <ns0:v>859</ns0:v>
      </ns0:c>
      <ns0:c r="B863" s="12">
        <ns0:f>A863*('前提と出典'!$C$36+'前提と出典'!$C$38)</ns0:f>
        <ns0:v>601.3</ns0:v>
      </ns0:c>
      <ns0:c r="C863" s="12">
        <ns0:f>A863*('前提と出典'!$C$37+'前提と出典'!$C$38)</ns0:f>
        <ns0:v>515.4</ns0:v>
      </ns0:c>
      <ns0:c r="D863" s="16">
        <ns0:f>A863*('前提と出典'!$C$36*'契約別単価'!C5+'前提と出典'!$C$37*'契約別単価'!C6+'前提と出典'!$C$38*'契約別単価'!C7)</ns0:f>
        <ns0:v>6180.960893854749</ns0:v>
      </ns0:c>
      <ns0:c r="E863" s="16">
        <ns0:f>A863*('前提と出典'!$C$36*'契約別単価'!E5+'前提と出典'!$C$37*'契約別単価'!E6+'前提と出典'!$C$38*'契約別単価'!E7)</ns0:f>
        <ns0:v>1662117.4601331023</ns0:v>
      </ns0:c>
      <ns0:c r="F863" s="16">
        <ns0:f>A863*('前提と出典'!$C$36*'契約別単価'!F5+'前提と出典'!$C$37*'契約別単価'!F6+'前提と出典'!$C$38*'契約別単価'!F7)</ns0:f>
        <ns0:v>652320.7170657407</ns0:v>
      </ns0:c>
      <ns0:c r="G863" s="16">
        <ns0:f>A863*('前提と出典'!$C$36*'契約別単価'!G5+'前提と出典'!$C$37*'契約別単価'!G6+'前提と出典'!$C$38*'契約別単価'!G7)</ns0:f>
        <ns0:v>1709841.8994413407</ns0:v>
      </ns0:c>
      <ns0:c r="H863" s="16">
        <ns0:f>A863*('前提と出典'!$C$36*'契約別単価'!H5+'前提と出典'!$C$37*'契約別単価'!H6+'前提と出典'!$C$38*'契約別単価'!H7)</ns0:f>
        <ns0:v>593400.894416215</ns0:v>
      </ns0:c>
      <ns0:c r="I863" s="16">
        <ns0:f>A863*('前提と出典'!$C$36*'契約別単価'!I5+'前提と出典'!$C$37*'契約別単価'!I6+'前提と出典'!$C$38*'契約別単価'!I7)</ns0:f>
        <ns0:v>36245.96089385474</ns0:v>
      </ns0:c>
      <ns0:c r="J863" s="16">
        <ns0:f>A863*('前提と出典'!$C$36*'契約別単価'!J5+'前提と出典'!$C$37*'契約別単価'!J6+'前提と出典'!$C$38*'契約別単価'!J7)</ns0:f>
        <ns0:v>84430.7180471499</ns0:v>
      </ns0:c>
      <ns0:c r="K863" s="16">
        <ns0:f>A863*('前提と出典'!$C$36*'契約別単価'!K5+'前提と出典'!$C$37*'契約別単価'!K6+'前提と出典'!$C$38*'契約別単価'!K7)</ns0:f>
        <ns0:v>361899.739292365</ns0:v>
      </ns0:c>
      <ns0:c r="L863" s="16">
        <ns0:f>A863*('前提と出典'!$C$36*'契約別単価'!L5+'前提と出典'!$C$37*'契約別単価'!L6+'前提と出典'!$C$38*'契約別単価'!L7)</ns0:f>
        <ns0:v>294660.0298138738</ns0:v>
      </ns0:c>
      <ns0:c r="M863" s="16">
        <ns0:f>IF(('前提と出典'!$C$36+'前提と出典'!$C$38)=0,0,IF(B863&lt;=10,'前提と出典'!B73+'前提と出典'!C73,IF(B863&lt;=100,'前提と出典'!B74+'前提と出典'!C74,IF(B863&lt;=500,'前提と出典'!B75+'前提と出典'!C75,'前提と出典'!B76+'前提と出典'!C76))))</ns0:f>
        <ns0:v>80000</ns0:v>
      </ns0:c>
      <ns0:c r="N863" s="16">
        <ns0:f>IF(('前提と出典'!$C$37+'前提と出典'!$C$38)=0,0,IF(C863&lt;=10,'前提と出典'!D73+'前提と出典'!E73,IF(C863&lt;=100,'前提と出典'!D74+'前提と出典'!E74,IF(C863&lt;=500,'前提と出典'!D75+'前提と出典'!E75,'前提と出典'!D76+'前提と出典'!E76))))</ns0:f>
        <ns0:v>86510.9346263078</ns0:v>
      </ns0:c>
      <ns0:c r="O863" s="16">
        <ns0:f>IF('前提と出典'!$C$36+'前提と出典'!$C$38=0,0,'前提と出典'!$B$4*IF('前提と出典'!$B$20=0,MAX('前提と出典'!$B$6,D863*'前提と出典'!$B$5),'前提と出典'!$B$6+D863*'前提と出典'!$B$5))</ns0:f>
        <ns0:v>852972.6033519553</ns0:v>
      </ns0:c>
      <ns0:c r="P863" s="16">
        <ns0:f>(E863+G863)*(1-'前提と出典'!$B$7)-I863-K863-M863-O863</ns0:f>
        <ns0:v>1919450.5190915875</ns0:v>
      </ns0:c>
      <ns0:c r="Q863" s="16">
        <ns0:f>(F863+H863)*(1-'前提と出典'!$B$7)-J863-L863-N863</ns0:f>
        <ns0:v>735273.9509812738</ns0:v>
      </ns0:c>
      <ns0:c r="R863" s="16">
        <ns0:f>P863-E863*'前提と出典'!$E$4</ns0:f>
        <ns0:v>1420815.2810516567</ns0:v>
      </ns0:c>
      <ns0:c r="S863" s="16">
        <ns0:f>Q863-F863*'前提と出典'!$E$4</ns0:f>
        <ns0:v>539577.7358615515</ns0:v>
      </ns0:c>
      <ns0:c r="T863" s="7">
        <ns0:f>R863+S863</ns0:f>
        <ns0:v>1960393.0169132082</ns0:v>
      </ns0:c>
      <ns0:c r="U863" s="16">
        <ns0:f>P863-E863*'前提と出典'!$E$5</ns0:f>
        <ns0:v>1254603.5350383464</ns0:v>
      </ns0:c>
      <ns0:c r="V863" s="16">
        <ns0:f>Q863-F863*'前提と出典'!$E$5</ns0:f>
        <ns0:v>474345.66415497754</ns0:v>
      </ns0:c>
      <ns0:c r="W863" s="7">
        <ns0:f>U863+V863</ns0:f>
        <ns0:v>1728949.199193324</ns0:v>
      </ns0:c>
      <ns0:c r="X863" s="16">
        <ns0:f>P863-E863*'前提と出典'!$E$6</ns0:f>
        <ns0:v>1088391.7890250366</ns0:v>
      </ns0:c>
      <ns0:c r="Y863" s="16">
        <ns0:f>Q863-F863*'前提と出典'!$E$6</ns0:f>
        <ns0:v>409113.59244840336</ns0:v>
      </ns0:c>
      <ns0:c r="Z863" s="7">
        <ns0:f>X863+Y863</ns0:f>
        <ns0:v>1497505.38147344</ns0:v>
      </ns0:c>
      <ns0:c r="AA863" s="7">
        <ns0:f>IF(T863&gt;=0,A863,1001)</ns0:f>
        <ns0:v>859</ns0:v>
      </ns0:c>
      <ns0:c r="AB863" s="7">
        <ns0:f>IF(T863&lt;0,A863,0)</ns0:f>
        <ns0:v>0</ns0:v>
      </ns0:c>
      <ns0:c r="AC863" s="16">
        <ns0:f>IF(AND(OR('前提と出典'!$C$36+'前提と出典'!$C$38=0,R863&gt;=0),OR('前提と出典'!$C$37+'前提と出典'!$C$38=0,S863&gt;=0)),0,A863)</ns0:f>
        <ns0:v>0</ns0:v>
      </ns0:c>
      <ns0:c r="AD863" s="7">
        <ns0:f>IF(W863&gt;=0,A863,1001)</ns0:f>
        <ns0:v>859</ns0:v>
      </ns0:c>
      <ns0:c r="AE863" s="7">
        <ns0:f>IF(W863&lt;0,A863,0)</ns0:f>
        <ns0:v>0</ns0:v>
      </ns0:c>
      <ns0:c r="AF863" s="16">
        <ns0:f>IF(AND(OR('前提と出典'!$C$36+'前提と出典'!$C$38=0,U863&gt;=0),OR('前提と出典'!$C$37+'前提と出典'!$C$38=0,V863&gt;=0)),0,A863)</ns0:f>
        <ns0:v>0</ns0:v>
      </ns0:c>
      <ns0:c r="AG863" s="7">
        <ns0:f>IF(Z863&gt;=0,A863,1001)</ns0:f>
        <ns0:v>859</ns0:v>
      </ns0:c>
      <ns0:c r="AH863" s="4">
        <ns0:f>IF(Z863&lt;0,A863,0)</ns0:f>
        <ns0:v>0</ns0:v>
      </ns0:c>
      <ns0:c r="AI863" s="12">
        <ns0:f>IF(AND(OR('前提と出典'!$C$36+'前提と出典'!$C$38=0,X863&gt;=0),OR('前提と出典'!$C$37+'前提と出典'!$C$38=0,Y863&gt;=0)),0,A863)</ns0:f>
        <ns0:v>0</ns0:v>
      </ns0:c>
    </ns0:row>
    <ns0:row r="864" ht="24" customHeight="1">
      <ns0:c r="A864" s="4" t="n">
        <ns0:v>860</ns0:v>
      </ns0:c>
      <ns0:c r="B864" s="12">
        <ns0:f>A864*('前提と出典'!$C$36+'前提と出典'!$C$38)</ns0:f>
        <ns0:v>602</ns0:v>
      </ns0:c>
      <ns0:c r="C864" s="12">
        <ns0:f>A864*('前提と出典'!$C$37+'前提と出典'!$C$38)</ns0:f>
        <ns0:v>516</ns0:v>
      </ns0:c>
      <ns0:c r="D864" s="16">
        <ns0:f>A864*('前提と出典'!$C$36*'契約別単価'!C5+'前提と出典'!$C$37*'契約別単価'!C6+'前提と出典'!$C$38*'契約別単価'!C7)</ns0:f>
        <ns0:v>6188.156424581006</ns0:v>
      </ns0:c>
      <ns0:c r="E864" s="16">
        <ns0:f>A864*('前提と出典'!$C$36*'契約別単価'!E5+'前提と出典'!$C$37*'契約別単価'!E6+'前提と出典'!$C$38*'契約別単価'!E7)</ns0:f>
        <ns0:v>1664052.4047898347</ns0:v>
      </ns0:c>
      <ns0:c r="F864" s="16">
        <ns0:f>A864*('前提と出典'!$C$36*'契約別単価'!F5+'前提と出典'!$C$37*'契約別単価'!F6+'前提と出典'!$C$38*'契約別単価'!F7)</ns0:f>
        <ns0:v>653080.1125454447</ns0:v>
      </ns0:c>
      <ns0:c r="G864" s="16">
        <ns0:f>A864*('前提と出典'!$C$36*'契約別単価'!G5+'前提と出典'!$C$37*'契約別単価'!G6+'前提と出典'!$C$38*'契約別単価'!G7)</ns0:f>
        <ns0:v>1711832.4022346367</ns0:v>
      </ns0:c>
      <ns0:c r="H864" s="16">
        <ns0:f>A864*('前提と出典'!$C$36*'契約別単価'!H5+'前提と出典'!$C$37*'契約別単価'!H6+'前提と出典'!$C$38*'契約別単価'!H7)</ns0:f>
        <ns0:v>594091.6987170489</ns0:v>
      </ns0:c>
      <ns0:c r="I864" s="16">
        <ns0:f>A864*('前提と出典'!$C$36*'契約別単価'!I5+'前提と出典'!$C$37*'契約別単価'!I6+'前提と出典'!$C$38*'契約別単価'!I7)</ns0:f>
        <ns0:v>36288.156424581</ns0:v>
      </ns0:c>
      <ns0:c r="J864" s="16">
        <ns0:f>A864*('前提と出典'!$C$36*'契約別単価'!J5+'前提と出典'!$C$37*'契約別単価'!J6+'前提と出典'!$C$38*'契約別単価'!J7)</ns0:f>
        <ns0:v>84529.0075908602</ns0:v>
      </ns0:c>
      <ns0:c r="K864" s="16">
        <ns0:f>A864*('前提と出典'!$C$36*'契約別単価'!K5+'前提と出典'!$C$37*'契約別単価'!K6+'前提と出典'!$C$38*'契約別単価'!K7)</ns0:f>
        <ns0:v>362321.04283054</ns0:v>
      </ns0:c>
      <ns0:c r="L864" s="16">
        <ns0:f>A864*('前提と出典'!$C$36*'契約別単価'!L5+'前提と出典'!$C$37*'契約別単価'!L6+'前提と出典'!$C$38*'契約別単価'!L7)</ns0:f>
        <ns0:v>295003.0566239016</ns0:v>
      </ns0:c>
      <ns0:c r="M864" s="16">
        <ns0:f>IF(('前提と出典'!$C$36+'前提と出典'!$C$38)=0,0,IF(B864&lt;=10,'前提と出典'!B73+'前提と出典'!C73,IF(B864&lt;=100,'前提と出典'!B74+'前提と出典'!C74,IF(B864&lt;=500,'前提と出典'!B75+'前提と出典'!C75,'前提と出典'!B76+'前提と出典'!C76))))</ns0:f>
        <ns0:v>80000</ns0:v>
      </ns0:c>
      <ns0:c r="N864" s="16">
        <ns0:f>IF(('前提と出典'!$C$37+'前提と出典'!$C$38)=0,0,IF(C864&lt;=10,'前提と出典'!D73+'前提と出典'!E73,IF(C864&lt;=100,'前提と出典'!D74+'前提と出典'!E74,IF(C864&lt;=500,'前提と出典'!D75+'前提と出典'!E75,'前提と出典'!D76+'前提と出典'!E76))))</ns0:f>
        <ns0:v>86510.9346263078</ns0:v>
      </ns0:c>
      <ns0:c r="O864" s="16">
        <ns0:f>IF('前提と出典'!$C$36+'前提と出典'!$C$38=0,0,'前提と出典'!$B$4*IF('前提と出典'!$B$20=0,MAX('前提と出典'!$B$6,D864*'前提と出典'!$B$5),'前提と出典'!$B$6+D864*'前提と出典'!$B$5))</ns0:f>
        <ns0:v>853965.5865921788</ns0:v>
      </ns0:c>
      <ns0:c r="P864" s="16">
        <ns0:f>(E864+G864)*(1-'前提と出典'!$B$7)-I864-K864-M864-O864</ns0:f>
        <ns0:v>1921778.1681242906</ns0:v>
      </ns0:c>
      <ns0:c r="Q864" s="16">
        <ns0:f>(F864+H864)*(1-'前提と出典'!$B$7)-J864-L864-N864</ns0:f>
        <ns0:v>736230.627215974</ns0:v>
      </ns0:c>
      <ns0:c r="R864" s="16">
        <ns0:f>P864-E864*'前提と出典'!$E$4</ns0:f>
        <ns0:v>1422562.4466873403</ns0:v>
      </ns0:c>
      <ns0:c r="S864" s="16">
        <ns0:f>Q864-F864*'前提と出典'!$E$4</ns0:f>
        <ns0:v>540306.5934523407</ns0:v>
      </ns0:c>
      <ns0:c r="T864" s="7">
        <ns0:f>R864+S864</ns0:f>
        <ns0:v>1962869.040139681</ns0:v>
      </ns0:c>
      <ns0:c r="U864" s="16">
        <ns0:f>P864-E864*'前提と出典'!$E$5</ns0:f>
        <ns0:v>1256157.2062083567</ns0:v>
      </ns0:c>
      <ns0:c r="V864" s="16">
        <ns0:f>Q864-F864*'前提と出典'!$E$5</ns0:f>
        <ns0:v>474998.5821977961</ns0:v>
      </ns0:c>
      <ns0:c r="W864" s="7">
        <ns0:f>U864+V864</ns0:f>
        <ns0:v>1731155.7884061527</ns0:v>
      </ns0:c>
      <ns0:c r="X864" s="16">
        <ns0:f>P864-E864*'前提と出典'!$E$6</ns0:f>
        <ns0:v>1089751.965729373</ns0:v>
      </ns0:c>
      <ns0:c r="Y864" s="16">
        <ns0:f>Q864-F864*'前提と出典'!$E$6</ns0:f>
        <ns0:v>409690.5709432517</ns0:v>
      </ns0:c>
      <ns0:c r="Z864" s="7">
        <ns0:f>X864+Y864</ns0:f>
        <ns0:v>1499442.5366726248</ns0:v>
      </ns0:c>
      <ns0:c r="AA864" s="7">
        <ns0:f>IF(T864&gt;=0,A864,1001)</ns0:f>
        <ns0:v>860</ns0:v>
      </ns0:c>
      <ns0:c r="AB864" s="7">
        <ns0:f>IF(T864&lt;0,A864,0)</ns0:f>
        <ns0:v>0</ns0:v>
      </ns0:c>
      <ns0:c r="AC864" s="16">
        <ns0:f>IF(AND(OR('前提と出典'!$C$36+'前提と出典'!$C$38=0,R864&gt;=0),OR('前提と出典'!$C$37+'前提と出典'!$C$38=0,S864&gt;=0)),0,A864)</ns0:f>
        <ns0:v>0</ns0:v>
      </ns0:c>
      <ns0:c r="AD864" s="7">
        <ns0:f>IF(W864&gt;=0,A864,1001)</ns0:f>
        <ns0:v>860</ns0:v>
      </ns0:c>
      <ns0:c r="AE864" s="7">
        <ns0:f>IF(W864&lt;0,A864,0)</ns0:f>
        <ns0:v>0</ns0:v>
      </ns0:c>
      <ns0:c r="AF864" s="16">
        <ns0:f>IF(AND(OR('前提と出典'!$C$36+'前提と出典'!$C$38=0,U864&gt;=0),OR('前提と出典'!$C$37+'前提と出典'!$C$38=0,V864&gt;=0)),0,A864)</ns0:f>
        <ns0:v>0</ns0:v>
      </ns0:c>
      <ns0:c r="AG864" s="7">
        <ns0:f>IF(Z864&gt;=0,A864,1001)</ns0:f>
        <ns0:v>860</ns0:v>
      </ns0:c>
      <ns0:c r="AH864" s="4">
        <ns0:f>IF(Z864&lt;0,A864,0)</ns0:f>
        <ns0:v>0</ns0:v>
      </ns0:c>
      <ns0:c r="AI864" s="12">
        <ns0:f>IF(AND(OR('前提と出典'!$C$36+'前提と出典'!$C$38=0,X864&gt;=0),OR('前提と出典'!$C$37+'前提と出典'!$C$38=0,Y864&gt;=0)),0,A864)</ns0:f>
        <ns0:v>0</ns0:v>
      </ns0:c>
    </ns0:row>
    <ns0:row r="865" ht="24" customHeight="1">
      <ns0:c r="A865" s="4" t="n">
        <ns0:v>861</ns0:v>
      </ns0:c>
      <ns0:c r="B865" s="12">
        <ns0:f>A865*('前提と出典'!$C$36+'前提と出典'!$C$38)</ns0:f>
        <ns0:v>602.6999999999999</ns0:v>
      </ns0:c>
      <ns0:c r="C865" s="12">
        <ns0:f>A865*('前提と出典'!$C$37+'前提と出典'!$C$38)</ns0:f>
        <ns0:v>516.6</ns0:v>
      </ns0:c>
      <ns0:c r="D865" s="16">
        <ns0:f>A865*('前提と出典'!$C$36*'契約別単価'!C5+'前提と出典'!$C$37*'契約別単価'!C6+'前提と出典'!$C$38*'契約別単価'!C7)</ns0:f>
        <ns0:v>6195.351955307263</ns0:v>
      </ns0:c>
      <ns0:c r="E865" s="16">
        <ns0:f>A865*('前提と出典'!$C$36*'契約別単価'!E5+'前提と出典'!$C$37*'契約別単価'!E6+'前提と出典'!$C$38*'契約別単価'!E7)</ns0:f>
        <ns0:v>1665987.349446567</ns0:v>
      </ns0:c>
      <ns0:c r="F865" s="16">
        <ns0:f>A865*('前提と出典'!$C$36*'契約別単価'!F5+'前提と出典'!$C$37*'契約別単価'!F6+'前提と出典'!$C$38*'契約別単価'!F7)</ns0:f>
        <ns0:v>653839.5080251488</ns0:v>
      </ns0:c>
      <ns0:c r="G865" s="16">
        <ns0:f>A865*('前提と出典'!$C$36*'契約別単価'!G5+'前提と出典'!$C$37*'契約別単価'!G6+'前提と出典'!$C$38*'契約別単価'!G7)</ns0:f>
        <ns0:v>1713822.905027933</ns0:v>
      </ns0:c>
      <ns0:c r="H865" s="16">
        <ns0:f>A865*('前提と出典'!$C$36*'契約別単価'!H5+'前提と出典'!$C$37*'契約別単価'!H6+'前提と出典'!$C$38*'契約別単価'!H7)</ns0:f>
        <ns0:v>594782.5030178826</ns0:v>
      </ns0:c>
      <ns0:c r="I865" s="16">
        <ns0:f>A865*('前提と出典'!$C$36*'契約別単価'!I5+'前提と出典'!$C$37*'契約別単価'!I6+'前提と出典'!$C$38*'契約別単価'!I7)</ns0:f>
        <ns0:v>36330.351955307255</ns0:v>
      </ns0:c>
      <ns0:c r="J865" s="16">
        <ns0:f>A865*('前提と出典'!$C$36*'契約別単価'!J5+'前提と出典'!$C$37*'契約別単価'!J6+'前提と出典'!$C$38*'契約別単価'!J7)</ns0:f>
        <ns0:v>84627.29713457052</ns0:v>
      </ns0:c>
      <ns0:c r="K865" s="16">
        <ns0:f>A865*('前提と出典'!$C$36*'契約別単価'!K5+'前提と出典'!$C$37*'契約別単価'!K6+'前提と出典'!$C$38*'契約別単価'!K7)</ns0:f>
        <ns0:v>362742.34636871505</ns0:v>
      </ns0:c>
      <ns0:c r="L865" s="16">
        <ns0:f>A865*('前提と出典'!$C$36*'契約別単価'!L5+'前提と出典'!$C$37*'契約別単価'!L6+'前提と出典'!$C$38*'契約別単価'!L7)</ns0:f>
        <ns0:v>295346.0834339294</ns0:v>
      </ns0:c>
      <ns0:c r="M865" s="16">
        <ns0:f>IF(('前提と出典'!$C$36+'前提と出典'!$C$38)=0,0,IF(B865&lt;=10,'前提と出典'!B73+'前提と出典'!C73,IF(B865&lt;=100,'前提と出典'!B74+'前提と出典'!C74,IF(B865&lt;=500,'前提と出典'!B75+'前提と出典'!C75,'前提と出典'!B76+'前提と出典'!C76))))</ns0:f>
        <ns0:v>80000</ns0:v>
      </ns0:c>
      <ns0:c r="N865" s="16">
        <ns0:f>IF(('前提と出典'!$C$37+'前提と出典'!$C$38)=0,0,IF(C865&lt;=10,'前提と出典'!D73+'前提と出典'!E73,IF(C865&lt;=100,'前提と出典'!D74+'前提と出典'!E74,IF(C865&lt;=500,'前提と出典'!D75+'前提と出典'!E75,'前提と出典'!D76+'前提と出典'!E76))))</ns0:f>
        <ns0:v>86510.9346263078</ns0:v>
      </ns0:c>
      <ns0:c r="O865" s="16">
        <ns0:f>IF('前提と出典'!$C$36+'前提と出典'!$C$38=0,0,'前提と出典'!$B$4*IF('前提と出典'!$B$20=0,MAX('前提と出典'!$B$6,D865*'前提と出典'!$B$5),'前提と出典'!$B$6+D865*'前提と出典'!$B$5))</ns0:f>
        <ns0:v>854958.5698324023</ns0:v>
      </ns0:c>
      <ns0:c r="P865" s="16">
        <ns0:f>(E865+G865)*(1-'前提と出典'!$B$7)-I865-K865-M865-O865</ns0:f>
        <ns0:v>1924105.8171569938</ns0:v>
      </ns0:c>
      <ns0:c r="Q865" s="16">
        <ns0:f>(F865+H865)*(1-'前提と出典'!$B$7)-J865-L865-N865</ns0:f>
        <ns0:v>737187.3034506744</ns0:v>
      </ns0:c>
      <ns0:c r="R865" s="16">
        <ns0:f>P865-E865*'前提と出典'!$E$4</ns0:f>
        <ns0:v>1424309.6123230238</ns0:v>
      </ns0:c>
      <ns0:c r="S865" s="16">
        <ns0:f>Q865-F865*'前提と出典'!$E$4</ns0:f>
        <ns0:v>541035.4510431297</ns0:v>
      </ns0:c>
      <ns0:c r="T865" s="7">
        <ns0:f>R865+S865</ns0:f>
        <ns0:v>1965345.0633661535</ns0:v>
      </ns0:c>
      <ns0:c r="U865" s="16">
        <ns0:f>P865-E865*'前提と出典'!$E$5</ns0:f>
        <ns0:v>1257710.877378367</ns0:v>
      </ns0:c>
      <ns0:c r="V865" s="16">
        <ns0:f>Q865-F865*'前提と出典'!$E$5</ns0:f>
        <ns0:v>475651.50024061487</ns0:v>
      </ns0:c>
      <ns0:c r="W865" s="7">
        <ns0:f>U865+V865</ns0:f>
        <ns0:v>1733362.3776189818</ns0:v>
      </ns0:c>
      <ns0:c r="X865" s="16">
        <ns0:f>P865-E865*'前提と出典'!$E$6</ns0:f>
        <ns0:v>1091112.1424337104</ns0:v>
      </ns0:c>
      <ns0:c r="Y865" s="16">
        <ns0:f>Q865-F865*'前提と出典'!$E$6</ns0:f>
        <ns0:v>410267.5494380999</ns0:v>
      </ns0:c>
      <ns0:c r="Z865" s="7">
        <ns0:f>X865+Y865</ns0:f>
        <ns0:v>1501379.6918718102</ns0:v>
      </ns0:c>
      <ns0:c r="AA865" s="7">
        <ns0:f>IF(T865&gt;=0,A865,1001)</ns0:f>
        <ns0:v>861</ns0:v>
      </ns0:c>
      <ns0:c r="AB865" s="7">
        <ns0:f>IF(T865&lt;0,A865,0)</ns0:f>
        <ns0:v>0</ns0:v>
      </ns0:c>
      <ns0:c r="AC865" s="16">
        <ns0:f>IF(AND(OR('前提と出典'!$C$36+'前提と出典'!$C$38=0,R865&gt;=0),OR('前提と出典'!$C$37+'前提と出典'!$C$38=0,S865&gt;=0)),0,A865)</ns0:f>
        <ns0:v>0</ns0:v>
      </ns0:c>
      <ns0:c r="AD865" s="7">
        <ns0:f>IF(W865&gt;=0,A865,1001)</ns0:f>
        <ns0:v>861</ns0:v>
      </ns0:c>
      <ns0:c r="AE865" s="7">
        <ns0:f>IF(W865&lt;0,A865,0)</ns0:f>
        <ns0:v>0</ns0:v>
      </ns0:c>
      <ns0:c r="AF865" s="16">
        <ns0:f>IF(AND(OR('前提と出典'!$C$36+'前提と出典'!$C$38=0,U865&gt;=0),OR('前提と出典'!$C$37+'前提と出典'!$C$38=0,V865&gt;=0)),0,A865)</ns0:f>
        <ns0:v>0</ns0:v>
      </ns0:c>
      <ns0:c r="AG865" s="7">
        <ns0:f>IF(Z865&gt;=0,A865,1001)</ns0:f>
        <ns0:v>861</ns0:v>
      </ns0:c>
      <ns0:c r="AH865" s="4">
        <ns0:f>IF(Z865&lt;0,A865,0)</ns0:f>
        <ns0:v>0</ns0:v>
      </ns0:c>
      <ns0:c r="AI865" s="12">
        <ns0:f>IF(AND(OR('前提と出典'!$C$36+'前提と出典'!$C$38=0,X865&gt;=0),OR('前提と出典'!$C$37+'前提と出典'!$C$38=0,Y865&gt;=0)),0,A865)</ns0:f>
        <ns0:v>0</ns0:v>
      </ns0:c>
    </ns0:row>
    <ns0:row r="866" ht="24" customHeight="1">
      <ns0:c r="A866" s="4" t="n">
        <ns0:v>862</ns0:v>
      </ns0:c>
      <ns0:c r="B866" s="12">
        <ns0:f>A866*('前提と出典'!$C$36+'前提と出典'!$C$38)</ns0:f>
        <ns0:v>603.4</ns0:v>
      </ns0:c>
      <ns0:c r="C866" s="12">
        <ns0:f>A866*('前提と出典'!$C$37+'前提と出典'!$C$38)</ns0:f>
        <ns0:v>517.1999999999999</ns0:v>
      </ns0:c>
      <ns0:c r="D866" s="16">
        <ns0:f>A866*('前提と出典'!$C$36*'契約別単価'!C5+'前提と出典'!$C$37*'契約別単価'!C6+'前提と出典'!$C$38*'契約別単価'!C7)</ns0:f>
        <ns0:v>6202.54748603352</ns0:v>
      </ns0:c>
      <ns0:c r="E866" s="16">
        <ns0:f>A866*('前提と出典'!$C$36*'契約別単価'!E5+'前提と出典'!$C$37*'契約別単価'!E6+'前提と出典'!$C$38*'契約別単価'!E7)</ns0:f>
        <ns0:v>1667922.2941032995</ns0:v>
      </ns0:c>
      <ns0:c r="F866" s="16">
        <ns0:f>A866*('前提と出典'!$C$36*'契約別単価'!F5+'前提と出典'!$C$37*'契約別単価'!F6+'前提と出典'!$C$38*'契約別単価'!F7)</ns0:f>
        <ns0:v>654598.9035048528</ns0:v>
      </ns0:c>
      <ns0:c r="G866" s="16">
        <ns0:f>A866*('前提と出典'!$C$36*'契約別単価'!G5+'前提と出典'!$C$37*'契約別単価'!G6+'前提と出典'!$C$38*'契約別単価'!G7)</ns0:f>
        <ns0:v>1715813.407821229</ns0:v>
      </ns0:c>
      <ns0:c r="H866" s="16">
        <ns0:f>A866*('前提と出典'!$C$36*'契約別単価'!H5+'前提と出典'!$C$37*'契約別単価'!H6+'前提と出典'!$C$38*'契約別単価'!H7)</ns0:f>
        <ns0:v>595473.3073187163</ns0:v>
      </ns0:c>
      <ns0:c r="I866" s="16">
        <ns0:f>A866*('前提と出典'!$C$36*'契約別単価'!I5+'前提と出典'!$C$37*'契約別単価'!I6+'前提と出典'!$C$38*'契約別単価'!I7)</ns0:f>
        <ns0:v>36372.547486033516</ns0:v>
      </ns0:c>
      <ns0:c r="J866" s="16">
        <ns0:f>A866*('前提と出典'!$C$36*'契約別単価'!J5+'前提と出典'!$C$37*'契約別単価'!J6+'前提と出典'!$C$38*'契約別単価'!J7)</ns0:f>
        <ns0:v>84725.58667828082</ns0:v>
      </ns0:c>
      <ns0:c r="K866" s="16">
        <ns0:f>A866*('前提と出典'!$C$36*'契約別単価'!K5+'前提と出典'!$C$37*'契約別単価'!K6+'前提と出典'!$C$38*'契約別単価'!K7)</ns0:f>
        <ns0:v>363163.6499068901</ns0:v>
      </ns0:c>
      <ns0:c r="L866" s="16">
        <ns0:f>A866*('前提と出典'!$C$36*'契約別単価'!L5+'前提と出典'!$C$37*'契約別単価'!L6+'前提と出典'!$C$38*'契約別単価'!L7)</ns0:f>
        <ns0:v>295689.1102439572</ns0:v>
      </ns0:c>
      <ns0:c r="M866" s="16">
        <ns0:f>IF(('前提と出典'!$C$36+'前提と出典'!$C$38)=0,0,IF(B866&lt;=10,'前提と出典'!B73+'前提と出典'!C73,IF(B866&lt;=100,'前提と出典'!B74+'前提と出典'!C74,IF(B866&lt;=500,'前提と出典'!B75+'前提と出典'!C75,'前提と出典'!B76+'前提と出典'!C76))))</ns0:f>
        <ns0:v>80000</ns0:v>
      </ns0:c>
      <ns0:c r="N866" s="16">
        <ns0:f>IF(('前提と出典'!$C$37+'前提と出典'!$C$38)=0,0,IF(C866&lt;=10,'前提と出典'!D73+'前提と出典'!E73,IF(C866&lt;=100,'前提と出典'!D74+'前提と出典'!E74,IF(C866&lt;=500,'前提と出典'!D75+'前提と出典'!E75,'前提と出典'!D76+'前提と出典'!E76))))</ns0:f>
        <ns0:v>86510.9346263078</ns0:v>
      </ns0:c>
      <ns0:c r="O866" s="16">
        <ns0:f>IF('前提と出典'!$C$36+'前提と出典'!$C$38=0,0,'前提と出典'!$B$4*IF('前提と出典'!$B$20=0,MAX('前提と出典'!$B$6,D866*'前提と出典'!$B$5),'前提と出典'!$B$6+D866*'前提と出典'!$B$5))</ns0:f>
        <ns0:v>855951.5530726258</ns0:v>
      </ns0:c>
      <ns0:c r="P866" s="16">
        <ns0:f>(E866+G866)*(1-'前提と出典'!$B$7)-I866-K866-M866-O866</ns0:f>
        <ns0:v>1926433.4661896965</ns0:v>
      </ns0:c>
      <ns0:c r="Q866" s="16">
        <ns0:f>(F866+H866)*(1-'前提と出典'!$B$7)-J866-L866-N866</ns0:f>
        <ns0:v>738143.9796853748</ns0:v>
      </ns0:c>
      <ns0:c r="R866" s="16">
        <ns0:f>P866-E866*'前提と出典'!$E$4</ns0:f>
        <ns0:v>1426056.7779587065</ns0:v>
      </ns0:c>
      <ns0:c r="S866" s="16">
        <ns0:f>Q866-F866*'前提と出典'!$E$4</ns0:f>
        <ns0:v>541764.3086339189</ns0:v>
      </ns0:c>
      <ns0:c r="T866" s="7">
        <ns0:f>R866+S866</ns0:f>
        <ns0:v>1967821.0865926254</ns0:v>
      </ns0:c>
      <ns0:c r="U866" s="16">
        <ns0:f>P866-E866*'前提と出典'!$E$5</ns0:f>
        <ns0:v>1259264.5485483767</ns0:v>
      </ns0:c>
      <ns0:c r="V866" s="16">
        <ns0:f>Q866-F866*'前提と出典'!$E$5</ns0:f>
        <ns0:v>476304.41828343365</ns0:v>
      </ns0:c>
      <ns0:c r="W866" s="7">
        <ns0:f>U866+V866</ns0:f>
        <ns0:v>1735568.9668318103</ns0:v>
      </ns0:c>
      <ns0:c r="X866" s="16">
        <ns0:f>P866-E866*'前提と出典'!$E$6</ns0:f>
        <ns0:v>1092472.3191380468</ns0:v>
      </ns0:c>
      <ns0:c r="Y866" s="16">
        <ns0:f>Q866-F866*'前提と出典'!$E$6</ns0:f>
        <ns0:v>410844.5279329484</ns0:v>
      </ns0:c>
      <ns0:c r="Z866" s="7">
        <ns0:f>X866+Y866</ns0:f>
        <ns0:v>1503316.8470709953</ns0:v>
      </ns0:c>
      <ns0:c r="AA866" s="7">
        <ns0:f>IF(T866&gt;=0,A866,1001)</ns0:f>
        <ns0:v>862</ns0:v>
      </ns0:c>
      <ns0:c r="AB866" s="7">
        <ns0:f>IF(T866&lt;0,A866,0)</ns0:f>
        <ns0:v>0</ns0:v>
      </ns0:c>
      <ns0:c r="AC866" s="16">
        <ns0:f>IF(AND(OR('前提と出典'!$C$36+'前提と出典'!$C$38=0,R866&gt;=0),OR('前提と出典'!$C$37+'前提と出典'!$C$38=0,S866&gt;=0)),0,A866)</ns0:f>
        <ns0:v>0</ns0:v>
      </ns0:c>
      <ns0:c r="AD866" s="7">
        <ns0:f>IF(W866&gt;=0,A866,1001)</ns0:f>
        <ns0:v>862</ns0:v>
      </ns0:c>
      <ns0:c r="AE866" s="7">
        <ns0:f>IF(W866&lt;0,A866,0)</ns0:f>
        <ns0:v>0</ns0:v>
      </ns0:c>
      <ns0:c r="AF866" s="16">
        <ns0:f>IF(AND(OR('前提と出典'!$C$36+'前提と出典'!$C$38=0,U866&gt;=0),OR('前提と出典'!$C$37+'前提と出典'!$C$38=0,V866&gt;=0)),0,A866)</ns0:f>
        <ns0:v>0</ns0:v>
      </ns0:c>
      <ns0:c r="AG866" s="7">
        <ns0:f>IF(Z866&gt;=0,A866,1001)</ns0:f>
        <ns0:v>862</ns0:v>
      </ns0:c>
      <ns0:c r="AH866" s="4">
        <ns0:f>IF(Z866&lt;0,A866,0)</ns0:f>
        <ns0:v>0</ns0:v>
      </ns0:c>
      <ns0:c r="AI866" s="12">
        <ns0:f>IF(AND(OR('前提と出典'!$C$36+'前提と出典'!$C$38=0,X866&gt;=0),OR('前提と出典'!$C$37+'前提と出典'!$C$38=0,Y866&gt;=0)),0,A866)</ns0:f>
        <ns0:v>0</ns0:v>
      </ns0:c>
    </ns0:row>
    <ns0:row r="867" ht="24" customHeight="1">
      <ns0:c r="A867" s="4" t="n">
        <ns0:v>863</ns0:v>
      </ns0:c>
      <ns0:c r="B867" s="12">
        <ns0:f>A867*('前提と出典'!$C$36+'前提と出典'!$C$38)</ns0:f>
        <ns0:v>604.0999999999999</ns0:v>
      </ns0:c>
      <ns0:c r="C867" s="12">
        <ns0:f>A867*('前提と出典'!$C$37+'前提と出典'!$C$38)</ns0:f>
        <ns0:v>517.8</ns0:v>
      </ns0:c>
      <ns0:c r="D867" s="16">
        <ns0:f>A867*('前提と出典'!$C$36*'契約別単価'!C5+'前提と出典'!$C$37*'契約別単価'!C6+'前提と出典'!$C$38*'契約別単価'!C7)</ns0:f>
        <ns0:v>6209.743016759777</ns0:v>
      </ns0:c>
      <ns0:c r="E867" s="16">
        <ns0:f>A867*('前提と出典'!$C$36*'契約別単価'!E5+'前提と出典'!$C$37*'契約別単価'!E6+'前提と出典'!$C$38*'契約別単価'!E7)</ns0:f>
        <ns0:v>1669857.2387600318</ns0:v>
      </ns0:c>
      <ns0:c r="F867" s="16">
        <ns0:f>A867*('前提と出典'!$C$36*'契約別単価'!F5+'前提と出典'!$C$37*'契約別単価'!F6+'前提と出典'!$C$38*'契約別単価'!F7)</ns0:f>
        <ns0:v>655358.2989845568</ns0:v>
      </ns0:c>
      <ns0:c r="G867" s="16">
        <ns0:f>A867*('前提と出典'!$C$36*'契約別単価'!G5+'前提と出典'!$C$37*'契約別単価'!G6+'前提と出典'!$C$38*'契約別単価'!G7)</ns0:f>
        <ns0:v>1717803.910614525</ns0:v>
      </ns0:c>
      <ns0:c r="H867" s="16">
        <ns0:f>A867*('前提と出典'!$C$36*'契約別単価'!H5+'前提と出典'!$C$37*'契約別単価'!H6+'前提と出典'!$C$38*'契約別単価'!H7)</ns0:f>
        <ns0:v>596164.1116195502</ns0:v>
      </ns0:c>
      <ns0:c r="I867" s="16">
        <ns0:f>A867*('前提と出典'!$C$36*'契約別単価'!I5+'前提と出典'!$C$37*'契約別単価'!I6+'前提と出典'!$C$38*'契約別単価'!I7)</ns0:f>
        <ns0:v>36414.74301675977</ns0:v>
      </ns0:c>
      <ns0:c r="J867" s="16">
        <ns0:f>A867*('前提と出典'!$C$36*'契約別単価'!J5+'前提と出典'!$C$37*'契約別単価'!J6+'前提と出典'!$C$38*'契約別単価'!J7)</ns0:f>
        <ns0:v>84823.87622199112</ns0:v>
      </ns0:c>
      <ns0:c r="K867" s="16">
        <ns0:f>A867*('前提と出典'!$C$36*'契約別単価'!K5+'前提と出典'!$C$37*'契約別単価'!K6+'前提と出典'!$C$38*'契約別単価'!K7)</ns0:f>
        <ns0:v>363584.9534450651</ns0:v>
      </ns0:c>
      <ns0:c r="L867" s="16">
        <ns0:f>A867*('前提と出典'!$C$36*'契約別単価'!L5+'前提と出典'!$C$37*'契約別単価'!L6+'前提と出典'!$C$38*'契約別単価'!L7)</ns0:f>
        <ns0:v>296032.137053985</ns0:v>
      </ns0:c>
      <ns0:c r="M867" s="16">
        <ns0:f>IF(('前提と出典'!$C$36+'前提と出典'!$C$38)=0,0,IF(B867&lt;=10,'前提と出典'!B73+'前提と出典'!C73,IF(B867&lt;=100,'前提と出典'!B74+'前提と出典'!C74,IF(B867&lt;=500,'前提と出典'!B75+'前提と出典'!C75,'前提と出典'!B76+'前提と出典'!C76))))</ns0:f>
        <ns0:v>80000</ns0:v>
      </ns0:c>
      <ns0:c r="N867" s="16">
        <ns0:f>IF(('前提と出典'!$C$37+'前提と出典'!$C$38)=0,0,IF(C867&lt;=10,'前提と出典'!D73+'前提と出典'!E73,IF(C867&lt;=100,'前提と出典'!D74+'前提と出典'!E74,IF(C867&lt;=500,'前提と出典'!D75+'前提と出典'!E75,'前提と出典'!D76+'前提と出典'!E76))))</ns0:f>
        <ns0:v>86510.9346263078</ns0:v>
      </ns0:c>
      <ns0:c r="O867" s="16">
        <ns0:f>IF('前提と出典'!$C$36+'前提と出典'!$C$38=0,0,'前提と出典'!$B$4*IF('前提と出典'!$B$20=0,MAX('前提と出典'!$B$6,D867*'前提と出典'!$B$5),'前提と出典'!$B$6+D867*'前提と出典'!$B$5))</ns0:f>
        <ns0:v>856944.5363128493</ns0:v>
      </ns0:c>
      <ns0:c r="P867" s="16">
        <ns0:f>(E867+G867)*(1-'前提と出典'!$B$7)-I867-K867-M867-O867</ns0:f>
        <ns0:v>1928761.1152223982</ns0:v>
      </ns0:c>
      <ns0:c r="Q867" s="16">
        <ns0:f>(F867+H867)*(1-'前提と出典'!$B$7)-J867-L867-N867</ns0:f>
        <ns0:v>739100.6559200751</ns0:v>
      </ns0:c>
      <ns0:c r="R867" s="16">
        <ns0:f>P867-E867*'前提と出典'!$E$4</ns0:f>
        <ns0:v>1427803.9435943887</ns0:v>
      </ns0:c>
      <ns0:c r="S867" s="16">
        <ns0:f>Q867-F867*'前提と出典'!$E$4</ns0:f>
        <ns0:v>542493.1662247083</ns0:v>
      </ns0:c>
      <ns0:c r="T867" s="7">
        <ns0:f>R867+S867</ns0:f>
        <ns0:v>1970297.109819097</ns0:v>
      </ns0:c>
      <ns0:c r="U867" s="16">
        <ns0:f>P867-E867*'前提と出典'!$E$5</ns0:f>
        <ns0:v>1260818.2197183855</ns0:v>
      </ns0:c>
      <ns0:c r="V867" s="16">
        <ns0:f>Q867-F867*'前提と出典'!$E$5</ns0:f>
        <ns0:v>476957.33632625244</ns0:v>
      </ns0:c>
      <ns0:c r="W867" s="7">
        <ns0:f>U867+V867</ns0:f>
        <ns0:v>1737775.556044638</ns0:v>
      </ns0:c>
      <ns0:c r="X867" s="16">
        <ns0:f>P867-E867*'前提と出典'!$E$6</ns0:f>
        <ns0:v>1093832.4958423825</ns0:v>
      </ns0:c>
      <ns0:c r="Y867" s="16">
        <ns0:f>Q867-F867*'前提と出典'!$E$6</ns0:f>
        <ns0:v>411421.50642779673</ns0:v>
      </ns0:c>
      <ns0:c r="Z867" s="7">
        <ns0:f>X867+Y867</ns0:f>
        <ns0:v>1505254.0022701793</ns0:v>
      </ns0:c>
      <ns0:c r="AA867" s="7">
        <ns0:f>IF(T867&gt;=0,A867,1001)</ns0:f>
        <ns0:v>863</ns0:v>
      </ns0:c>
      <ns0:c r="AB867" s="7">
        <ns0:f>IF(T867&lt;0,A867,0)</ns0:f>
        <ns0:v>0</ns0:v>
      </ns0:c>
      <ns0:c r="AC867" s="16">
        <ns0:f>IF(AND(OR('前提と出典'!$C$36+'前提と出典'!$C$38=0,R867&gt;=0),OR('前提と出典'!$C$37+'前提と出典'!$C$38=0,S867&gt;=0)),0,A867)</ns0:f>
        <ns0:v>0</ns0:v>
      </ns0:c>
      <ns0:c r="AD867" s="7">
        <ns0:f>IF(W867&gt;=0,A867,1001)</ns0:f>
        <ns0:v>863</ns0:v>
      </ns0:c>
      <ns0:c r="AE867" s="7">
        <ns0:f>IF(W867&lt;0,A867,0)</ns0:f>
        <ns0:v>0</ns0:v>
      </ns0:c>
      <ns0:c r="AF867" s="16">
        <ns0:f>IF(AND(OR('前提と出典'!$C$36+'前提と出典'!$C$38=0,U867&gt;=0),OR('前提と出典'!$C$37+'前提と出典'!$C$38=0,V867&gt;=0)),0,A867)</ns0:f>
        <ns0:v>0</ns0:v>
      </ns0:c>
      <ns0:c r="AG867" s="7">
        <ns0:f>IF(Z867&gt;=0,A867,1001)</ns0:f>
        <ns0:v>863</ns0:v>
      </ns0:c>
      <ns0:c r="AH867" s="4">
        <ns0:f>IF(Z867&lt;0,A867,0)</ns0:f>
        <ns0:v>0</ns0:v>
      </ns0:c>
      <ns0:c r="AI867" s="12">
        <ns0:f>IF(AND(OR('前提と出典'!$C$36+'前提と出典'!$C$38=0,X867&gt;=0),OR('前提と出典'!$C$37+'前提と出典'!$C$38=0,Y867&gt;=0)),0,A867)</ns0:f>
        <ns0:v>0</ns0:v>
      </ns0:c>
    </ns0:row>
    <ns0:row r="868" ht="24" customHeight="1">
      <ns0:c r="A868" s="4" t="n">
        <ns0:v>864</ns0:v>
      </ns0:c>
      <ns0:c r="B868" s="12">
        <ns0:f>A868*('前提と出典'!$C$36+'前提と出典'!$C$38)</ns0:f>
        <ns0:v>604.8</ns0:v>
      </ns0:c>
      <ns0:c r="C868" s="12">
        <ns0:f>A868*('前提と出典'!$C$37+'前提と出典'!$C$38)</ns0:f>
        <ns0:v>518.4</ns0:v>
      </ns0:c>
      <ns0:c r="D868" s="16">
        <ns0:f>A868*('前提と出典'!$C$36*'契約別単価'!C5+'前提と出典'!$C$37*'契約別単価'!C6+'前提と出典'!$C$38*'契約別単価'!C7)</ns0:f>
        <ns0:v>6216.938547486034</ns0:v>
      </ns0:c>
      <ns0:c r="E868" s="16">
        <ns0:f>A868*('前提と出典'!$C$36*'契約別単価'!E5+'前提と出典'!$C$37*'契約別単価'!E6+'前提と出典'!$C$38*'契約別単価'!E7)</ns0:f>
        <ns0:v>1671792.1834167643</ns0:v>
      </ns0:c>
      <ns0:c r="F868" s="16">
        <ns0:f>A868*('前提と出典'!$C$36*'契約別単価'!F5+'前提と出典'!$C$37*'契約別単価'!F6+'前提と出典'!$C$38*'契約別単価'!F7)</ns0:f>
        <ns0:v>656117.6944642608</ns0:v>
      </ns0:c>
      <ns0:c r="G868" s="16">
        <ns0:f>A868*('前提と出典'!$C$36*'契約別単価'!G5+'前提と出典'!$C$37*'契約別単価'!G6+'前提と出典'!$C$38*'契約別単価'!G7)</ns0:f>
        <ns0:v>1719794.4134078212</ns0:v>
      </ns0:c>
      <ns0:c r="H868" s="16">
        <ns0:f>A868*('前提と出典'!$C$36*'契約別単価'!H5+'前提と出典'!$C$37*'契約別単価'!H6+'前提と出典'!$C$38*'契約別単価'!H7)</ns0:f>
        <ns0:v>596854.9159203839</ns0:v>
      </ns0:c>
      <ns0:c r="I868" s="16">
        <ns0:f>A868*('前提と出典'!$C$36*'契約別単価'!I5+'前提と出典'!$C$37*'契約別単価'!I6+'前提と出典'!$C$38*'契約別単価'!I7)</ns0:f>
        <ns0:v>36456.938547486025</ns0:v>
      </ns0:c>
      <ns0:c r="J868" s="16">
        <ns0:f>A868*('前提と出典'!$C$36*'契約別単価'!J5+'前提と出典'!$C$37*'契約別単価'!J6+'前提と出典'!$C$38*'契約別単価'!J7)</ns0:f>
        <ns0:v>84922.16576570141</ns0:v>
      </ns0:c>
      <ns0:c r="K868" s="16">
        <ns0:f>A868*('前提と出典'!$C$36*'契約別単価'!K5+'前提と出典'!$C$37*'契約別単価'!K6+'前提と出典'!$C$38*'契約別単価'!K7)</ns0:f>
        <ns0:v>364006.2569832402</ns0:v>
      </ns0:c>
      <ns0:c r="L868" s="16">
        <ns0:f>A868*('前提と出典'!$C$36*'契約別単価'!L5+'前提と出典'!$C$37*'契約別単価'!L6+'前提と出典'!$C$38*'契約別単価'!L7)</ns0:f>
        <ns0:v>296375.1638640128</ns0:v>
      </ns0:c>
      <ns0:c r="M868" s="16">
        <ns0:f>IF(('前提と出典'!$C$36+'前提と出典'!$C$38)=0,0,IF(B868&lt;=10,'前提と出典'!B73+'前提と出典'!C73,IF(B868&lt;=100,'前提と出典'!B74+'前提と出典'!C74,IF(B868&lt;=500,'前提と出典'!B75+'前提と出典'!C75,'前提と出典'!B76+'前提と出典'!C76))))</ns0:f>
        <ns0:v>80000</ns0:v>
      </ns0:c>
      <ns0:c r="N868" s="16">
        <ns0:f>IF(('前提と出典'!$C$37+'前提と出典'!$C$38)=0,0,IF(C868&lt;=10,'前提と出典'!D73+'前提と出典'!E73,IF(C868&lt;=100,'前提と出典'!D74+'前提と出典'!E74,IF(C868&lt;=500,'前提と出典'!D75+'前提と出典'!E75,'前提と出典'!D76+'前提と出典'!E76))))</ns0:f>
        <ns0:v>86510.9346263078</ns0:v>
      </ns0:c>
      <ns0:c r="O868" s="16">
        <ns0:f>IF('前提と出典'!$C$36+'前提と出典'!$C$38=0,0,'前提と出典'!$B$4*IF('前提と出典'!$B$20=0,MAX('前提と出典'!$B$6,D868*'前提と出典'!$B$5),'前提と出典'!$B$6+D868*'前提と出典'!$B$5))</ns0:f>
        <ns0:v>857937.5195530728</ns0:v>
      </ns0:c>
      <ns0:c r="P868" s="16">
        <ns0:f>(E868+G868)*(1-'前提と出典'!$B$7)-I868-K868-M868-O868</ns0:f>
        <ns0:v>1931088.7642551013</ns0:v>
      </ns0:c>
      <ns0:c r="Q868" s="16">
        <ns0:f>(F868+H868)*(1-'前提と出典'!$B$7)-J868-L868-N868</ns0:f>
        <ns0:v>740057.3321547755</ns0:v>
      </ns0:c>
      <ns0:c r="R868" s="16">
        <ns0:f>P868-E868*'前提と出典'!$E$4</ns0:f>
        <ns0:v>1429551.1092300722</ns0:v>
      </ns0:c>
      <ns0:c r="S868" s="16">
        <ns0:f>Q868-F868*'前提と出典'!$E$4</ns0:f>
        <ns0:v>543222.0238154972</ns0:v>
      </ns0:c>
      <ns0:c r="T868" s="7">
        <ns0:f>R868+S868</ns0:f>
        <ns0:v>1972773.1330455695</ns0:v>
      </ns0:c>
      <ns0:c r="U868" s="16">
        <ns0:f>P868-E868*'前提と出典'!$E$5</ns0:f>
        <ns0:v>1262371.8908883957</ns0:v>
      </ns0:c>
      <ns0:c r="V868" s="16">
        <ns0:f>Q868-F868*'前提と出典'!$E$5</ns0:f>
        <ns0:v>477610.2543690711</ns0:v>
      </ns0:c>
      <ns0:c r="W868" s="7">
        <ns0:f>U868+V868</ns0:f>
        <ns0:v>1739982.145257467</ns0:v>
      </ns0:c>
      <ns0:c r="X868" s="16">
        <ns0:f>P868-E868*'前提と出典'!$E$6</ns0:f>
        <ns0:v>1095192.6725467192</ns0:v>
      </ns0:c>
      <ns0:c r="Y868" s="16">
        <ns0:f>Q868-F868*'前提と出典'!$E$6</ns0:f>
        <ns0:v>411998.48492264503</ns0:v>
      </ns0:c>
      <ns0:c r="Z868" s="7">
        <ns0:f>X868+Y868</ns0:f>
        <ns0:v>1507191.1574693643</ns0:v>
      </ns0:c>
      <ns0:c r="AA868" s="7">
        <ns0:f>IF(T868&gt;=0,A868,1001)</ns0:f>
        <ns0:v>864</ns0:v>
      </ns0:c>
      <ns0:c r="AB868" s="7">
        <ns0:f>IF(T868&lt;0,A868,0)</ns0:f>
        <ns0:v>0</ns0:v>
      </ns0:c>
      <ns0:c r="AC868" s="16">
        <ns0:f>IF(AND(OR('前提と出典'!$C$36+'前提と出典'!$C$38=0,R868&gt;=0),OR('前提と出典'!$C$37+'前提と出典'!$C$38=0,S868&gt;=0)),0,A868)</ns0:f>
        <ns0:v>0</ns0:v>
      </ns0:c>
      <ns0:c r="AD868" s="7">
        <ns0:f>IF(W868&gt;=0,A868,1001)</ns0:f>
        <ns0:v>864</ns0:v>
      </ns0:c>
      <ns0:c r="AE868" s="7">
        <ns0:f>IF(W868&lt;0,A868,0)</ns0:f>
        <ns0:v>0</ns0:v>
      </ns0:c>
      <ns0:c r="AF868" s="16">
        <ns0:f>IF(AND(OR('前提と出典'!$C$36+'前提と出典'!$C$38=0,U868&gt;=0),OR('前提と出典'!$C$37+'前提と出典'!$C$38=0,V868&gt;=0)),0,A868)</ns0:f>
        <ns0:v>0</ns0:v>
      </ns0:c>
      <ns0:c r="AG868" s="7">
        <ns0:f>IF(Z868&gt;=0,A868,1001)</ns0:f>
        <ns0:v>864</ns0:v>
      </ns0:c>
      <ns0:c r="AH868" s="4">
        <ns0:f>IF(Z868&lt;0,A868,0)</ns0:f>
        <ns0:v>0</ns0:v>
      </ns0:c>
      <ns0:c r="AI868" s="12">
        <ns0:f>IF(AND(OR('前提と出典'!$C$36+'前提と出典'!$C$38=0,X868&gt;=0),OR('前提と出典'!$C$37+'前提と出典'!$C$38=0,Y868&gt;=0)),0,A868)</ns0:f>
        <ns0:v>0</ns0:v>
      </ns0:c>
    </ns0:row>
    <ns0:row r="869" ht="24" customHeight="1">
      <ns0:c r="A869" s="4" t="n">
        <ns0:v>865</ns0:v>
      </ns0:c>
      <ns0:c r="B869" s="12">
        <ns0:f>A869*('前提と出典'!$C$36+'前提と出典'!$C$38)</ns0:f>
        <ns0:v>605.5</ns0:v>
      </ns0:c>
      <ns0:c r="C869" s="12">
        <ns0:f>A869*('前提と出典'!$C$37+'前提と出典'!$C$38)</ns0:f>
        <ns0:v>519</ns0:v>
      </ns0:c>
      <ns0:c r="D869" s="16">
        <ns0:f>A869*('前提と出典'!$C$36*'契約別単価'!C5+'前提と出典'!$C$37*'契約別単価'!C6+'前提と出典'!$C$38*'契約別単価'!C7)</ns0:f>
        <ns0:v>6224.134078212291</ns0:v>
      </ns0:c>
      <ns0:c r="E869" s="16">
        <ns0:f>A869*('前提と出典'!$C$36*'契約別単価'!E5+'前提と出典'!$C$37*'契約別単価'!E6+'前提と出典'!$C$38*'契約別単価'!E7)</ns0:f>
        <ns0:v>1673727.1280734965</ns0:v>
      </ns0:c>
      <ns0:c r="F869" s="16">
        <ns0:f>A869*('前提と出典'!$C$36*'契約別単価'!F5+'前提と出典'!$C$37*'契約別単価'!F6+'前提と出典'!$C$38*'契約別単価'!F7)</ns0:f>
        <ns0:v>656877.0899439647</ns0:v>
      </ns0:c>
      <ns0:c r="G869" s="16">
        <ns0:f>A869*('前提と出典'!$C$36*'契約別単価'!G5+'前提と出典'!$C$37*'契約別単価'!G6+'前提と出典'!$C$38*'契約別単価'!G7)</ns0:f>
        <ns0:v>1721784.9162011172</ns0:v>
      </ns0:c>
      <ns0:c r="H869" s="16">
        <ns0:f>A869*('前提と出典'!$C$36*'契約別単価'!H5+'前提と出典'!$C$37*'契約別単価'!H6+'前提と出典'!$C$38*'契約別単価'!H7)</ns0:f>
        <ns0:v>597545.7202212177</ns0:v>
      </ns0:c>
      <ns0:c r="I869" s="16">
        <ns0:f>A869*('前提と出典'!$C$36*'契約別単価'!I5+'前提と出典'!$C$37*'契約別単価'!I6+'前提と出典'!$C$38*'契約別単価'!I7)</ns0:f>
        <ns0:v>36499.134078212286</ns0:v>
      </ns0:c>
      <ns0:c r="J869" s="16">
        <ns0:f>A869*('前提と出典'!$C$36*'契約別単価'!J5+'前提と出典'!$C$37*'契約別単価'!J6+'前提と出典'!$C$38*'契約別単価'!J7)</ns0:f>
        <ns0:v>85020.45530941171</ns0:v>
      </ns0:c>
      <ns0:c r="K869" s="16">
        <ns0:f>A869*('前提と出典'!$C$36*'契約別単価'!K5+'前提と出典'!$C$37*'契約別単価'!K6+'前提と出典'!$C$38*'契約別単価'!K7)</ns0:f>
        <ns0:v>364427.56052141526</ns0:v>
      </ns0:c>
      <ns0:c r="L869" s="16">
        <ns0:f>A869*('前提と出典'!$C$36*'契約別単価'!L5+'前提と出典'!$C$37*'契約別単価'!L6+'前提と出典'!$C$38*'契約別単価'!L7)</ns0:f>
        <ns0:v>296718.1906740406</ns0:v>
      </ns0:c>
      <ns0:c r="M869" s="16">
        <ns0:f>IF(('前提と出典'!$C$36+'前提と出典'!$C$38)=0,0,IF(B869&lt;=10,'前提と出典'!B73+'前提と出典'!C73,IF(B869&lt;=100,'前提と出典'!B74+'前提と出典'!C74,IF(B869&lt;=500,'前提と出典'!B75+'前提と出典'!C75,'前提と出典'!B76+'前提と出典'!C76))))</ns0:f>
        <ns0:v>80000</ns0:v>
      </ns0:c>
      <ns0:c r="N869" s="16">
        <ns0:f>IF(('前提と出典'!$C$37+'前提と出典'!$C$38)=0,0,IF(C869&lt;=10,'前提と出典'!D73+'前提と出典'!E73,IF(C869&lt;=100,'前提と出典'!D74+'前提と出典'!E74,IF(C869&lt;=500,'前提と出典'!D75+'前提と出典'!E75,'前提と出典'!D76+'前提と出典'!E76))))</ns0:f>
        <ns0:v>86510.9346263078</ns0:v>
      </ns0:c>
      <ns0:c r="O869" s="16">
        <ns0:f>IF('前提と出典'!$C$36+'前提と出典'!$C$38=0,0,'前提と出典'!$B$4*IF('前提と出典'!$B$20=0,MAX('前提と出典'!$B$6,D869*'前提と出典'!$B$5),'前提と出典'!$B$6+D869*'前提と出典'!$B$5))</ns0:f>
        <ns0:v>858930.5027932962</ns0:v>
      </ns0:c>
      <ns0:c r="P869" s="16">
        <ns0:f>(E869+G869)*(1-'前提と出典'!$B$7)-I869-K869-M869-O869</ns0:f>
        <ns0:v>1933416.413287804</ns0:v>
      </ns0:c>
      <ns0:c r="Q869" s="16">
        <ns0:f>(F869+H869)*(1-'前提と出典'!$B$7)-J869-L869-N869</ns0:f>
        <ns0:v>741014.0083894758</ns0:v>
      </ns0:c>
      <ns0:c r="R869" s="16">
        <ns0:f>P869-E869*'前提と出典'!$E$4</ns0:f>
        <ns0:v>1431298.2748657549</ns0:v>
      </ns0:c>
      <ns0:c r="S869" s="16">
        <ns0:f>Q869-F869*'前提と出典'!$E$4</ns0:f>
        <ns0:v>543950.8814062863</ns0:v>
      </ns0:c>
      <ns0:c r="T869" s="7">
        <ns0:f>R869+S869</ns0:f>
        <ns0:v>1975249.1562720411</ns0:v>
      </ns0:c>
      <ns0:c r="U869" s="16">
        <ns0:f>P869-E869*'前提と出典'!$E$5</ns0:f>
        <ns0:v>1263925.5620584055</ns0:v>
      </ns0:c>
      <ns0:c r="V869" s="16">
        <ns0:f>Q869-F869*'前提と出典'!$E$5</ns0:f>
        <ns0:v>478263.17241188977</ns0:v>
      </ns0:c>
      <ns0:c r="W869" s="7">
        <ns0:f>U869+V869</ns0:f>
        <ns0:v>1742188.7344702953</ns0:v>
      </ns0:c>
      <ns0:c r="X869" s="16">
        <ns0:f>P869-E869*'前提と出典'!$E$6</ns0:f>
        <ns0:v>1096552.8492510559</ns0:v>
      </ns0:c>
      <ns0:c r="Y869" s="16">
        <ns0:f>Q869-F869*'前提と出典'!$E$6</ns0:f>
        <ns0:v>412575.4634174934</ns0:v>
      </ns0:c>
      <ns0:c r="Z869" s="7">
        <ns0:f>X869+Y869</ns0:f>
        <ns0:v>1509128.3126685494</ns0:v>
      </ns0:c>
      <ns0:c r="AA869" s="7">
        <ns0:f>IF(T869&gt;=0,A869,1001)</ns0:f>
        <ns0:v>865</ns0:v>
      </ns0:c>
      <ns0:c r="AB869" s="7">
        <ns0:f>IF(T869&lt;0,A869,0)</ns0:f>
        <ns0:v>0</ns0:v>
      </ns0:c>
      <ns0:c r="AC869" s="16">
        <ns0:f>IF(AND(OR('前提と出典'!$C$36+'前提と出典'!$C$38=0,R869&gt;=0),OR('前提と出典'!$C$37+'前提と出典'!$C$38=0,S869&gt;=0)),0,A869)</ns0:f>
        <ns0:v>0</ns0:v>
      </ns0:c>
      <ns0:c r="AD869" s="7">
        <ns0:f>IF(W869&gt;=0,A869,1001)</ns0:f>
        <ns0:v>865</ns0:v>
      </ns0:c>
      <ns0:c r="AE869" s="7">
        <ns0:f>IF(W869&lt;0,A869,0)</ns0:f>
        <ns0:v>0</ns0:v>
      </ns0:c>
      <ns0:c r="AF869" s="16">
        <ns0:f>IF(AND(OR('前提と出典'!$C$36+'前提と出典'!$C$38=0,U869&gt;=0),OR('前提と出典'!$C$37+'前提と出典'!$C$38=0,V869&gt;=0)),0,A869)</ns0:f>
        <ns0:v>0</ns0:v>
      </ns0:c>
      <ns0:c r="AG869" s="7">
        <ns0:f>IF(Z869&gt;=0,A869,1001)</ns0:f>
        <ns0:v>865</ns0:v>
      </ns0:c>
      <ns0:c r="AH869" s="4">
        <ns0:f>IF(Z869&lt;0,A869,0)</ns0:f>
        <ns0:v>0</ns0:v>
      </ns0:c>
      <ns0:c r="AI869" s="12">
        <ns0:f>IF(AND(OR('前提と出典'!$C$36+'前提と出典'!$C$38=0,X869&gt;=0),OR('前提と出典'!$C$37+'前提と出典'!$C$38=0,Y869&gt;=0)),0,A869)</ns0:f>
        <ns0:v>0</ns0:v>
      </ns0:c>
    </ns0:row>
    <ns0:row r="870" ht="24" customHeight="1">
      <ns0:c r="A870" s="4" t="n">
        <ns0:v>866</ns0:v>
      </ns0:c>
      <ns0:c r="B870" s="12">
        <ns0:f>A870*('前提と出典'!$C$36+'前提と出典'!$C$38)</ns0:f>
        <ns0:v>606.1999999999999</ns0:v>
      </ns0:c>
      <ns0:c r="C870" s="12">
        <ns0:f>A870*('前提と出典'!$C$37+'前提と出典'!$C$38)</ns0:f>
        <ns0:v>519.6</ns0:v>
      </ns0:c>
      <ns0:c r="D870" s="16">
        <ns0:f>A870*('前提と出典'!$C$36*'契約別単価'!C5+'前提と出典'!$C$37*'契約別単価'!C6+'前提と出典'!$C$38*'契約別単価'!C7)</ns0:f>
        <ns0:v>6231.329608938548</ns0:v>
      </ns0:c>
      <ns0:c r="E870" s="16">
        <ns0:f>A870*('前提と出典'!$C$36*'契約別単価'!E5+'前提と出典'!$C$37*'契約別単価'!E6+'前提と出典'!$C$38*'契約別単価'!E7)</ns0:f>
        <ns0:v>1675662.072730229</ns0:v>
      </ns0:c>
      <ns0:c r="F870" s="16">
        <ns0:f>A870*('前提と出典'!$C$36*'契約別単価'!F5+'前提と出典'!$C$37*'契約別単価'!F6+'前提と出典'!$C$38*'契約別単価'!F7)</ns0:f>
        <ns0:v>657636.4854236688</ns0:v>
      </ns0:c>
      <ns0:c r="G870" s="16">
        <ns0:f>A870*('前提と出典'!$C$36*'契約別単価'!G5+'前提と出典'!$C$37*'契約別単価'!G6+'前提と出典'!$C$38*'契約別単価'!G7)</ns0:f>
        <ns0:v>1723775.4189944132</ns0:v>
      </ns0:c>
      <ns0:c r="H870" s="16">
        <ns0:f>A870*('前提と出典'!$C$36*'契約別単価'!H5+'前提と出典'!$C$37*'契約別単価'!H6+'前提と出典'!$C$38*'契約別単価'!H7)</ns0:f>
        <ns0:v>598236.5245220514</ns0:v>
      </ns0:c>
      <ns0:c r="I870" s="16">
        <ns0:f>A870*('前提と出典'!$C$36*'契約別単価'!I5+'前提と出典'!$C$37*'契約別単価'!I6+'前提と出典'!$C$38*'契約別単価'!I7)</ns0:f>
        <ns0:v>36541.32960893854</ns0:v>
      </ns0:c>
      <ns0:c r="J870" s="16">
        <ns0:f>A870*('前提と出典'!$C$36*'契約別単価'!J5+'前提と出典'!$C$37*'契約別単価'!J6+'前提と出典'!$C$38*'契約別単価'!J7)</ns0:f>
        <ns0:v>85118.74485312203</ns0:v>
      </ns0:c>
      <ns0:c r="K870" s="16">
        <ns0:f>A870*('前提と出典'!$C$36*'契約別単価'!K5+'前提と出典'!$C$37*'契約別単価'!K6+'前提と出典'!$C$38*'契約別単価'!K7)</ns0:f>
        <ns0:v>364848.86405959027</ns0:v>
      </ns0:c>
      <ns0:c r="L870" s="16">
        <ns0:f>A870*('前提と出典'!$C$36*'契約別単価'!L5+'前提と出典'!$C$37*'契約別単価'!L6+'前提と出典'!$C$38*'契約別単価'!L7)</ns0:f>
        <ns0:v>297061.21748406836</ns0:v>
      </ns0:c>
      <ns0:c r="M870" s="16">
        <ns0:f>IF(('前提と出典'!$C$36+'前提と出典'!$C$38)=0,0,IF(B870&lt;=10,'前提と出典'!B73+'前提と出典'!C73,IF(B870&lt;=100,'前提と出典'!B74+'前提と出典'!C74,IF(B870&lt;=500,'前提と出典'!B75+'前提と出典'!C75,'前提と出典'!B76+'前提と出典'!C76))))</ns0:f>
        <ns0:v>80000</ns0:v>
      </ns0:c>
      <ns0:c r="N870" s="16">
        <ns0:f>IF(('前提と出典'!$C$37+'前提と出典'!$C$38)=0,0,IF(C870&lt;=10,'前提と出典'!D73+'前提と出典'!E73,IF(C870&lt;=100,'前提と出典'!D74+'前提と出典'!E74,IF(C870&lt;=500,'前提と出典'!D75+'前提と出典'!E75,'前提と出典'!D76+'前提と出典'!E76))))</ns0:f>
        <ns0:v>86510.9346263078</ns0:v>
      </ns0:c>
      <ns0:c r="O870" s="16">
        <ns0:f>IF('前提と出典'!$C$36+'前提と出典'!$C$38=0,0,'前提と出典'!$B$4*IF('前提と出典'!$B$20=0,MAX('前提と出典'!$B$6,D870*'前提と出典'!$B$5),'前提と出典'!$B$6+D870*'前提と出典'!$B$5))</ns0:f>
        <ns0:v>859923.4860335196</ns0:v>
      </ns0:c>
      <ns0:c r="P870" s="16">
        <ns0:f>(E870+G870)*(1-'前提と出典'!$B$7)-I870-K870-M870-O870</ns0:f>
        <ns0:v>1935744.062320506</ns0:v>
      </ns0:c>
      <ns0:c r="Q870" s="16">
        <ns0:f>(F870+H870)*(1-'前提と出典'!$B$7)-J870-L870-N870</ns0:f>
        <ns0:v>741970.6846241762</ns0:v>
      </ns0:c>
      <ns0:c r="R870" s="16">
        <ns0:f>P870-E870*'前提と出典'!$E$4</ns0:f>
        <ns0:v>1433045.4405014375</ns0:v>
      </ns0:c>
      <ns0:c r="S870" s="16">
        <ns0:f>Q870-F870*'前提と出典'!$E$4</ns0:f>
        <ns0:v>544679.7389970756</ns0:v>
      </ns0:c>
      <ns0:c r="T870" s="7">
        <ns0:f>R870+S870</ns0:f>
        <ns0:v>1977725.1794985132</ns0:v>
      </ns0:c>
      <ns0:c r="U870" s="16">
        <ns0:f>P870-E870*'前提と出典'!$E$5</ns0:f>
        <ns0:v>1265479.2332284143</ns0:v>
      </ns0:c>
      <ns0:c r="V870" s="16">
        <ns0:f>Q870-F870*'前提と出典'!$E$5</ns0:f>
        <ns0:v>478916.09045470867</ns0:v>
      </ns0:c>
      <ns0:c r="W870" s="7">
        <ns0:f>U870+V870</ns0:f>
        <ns0:v>1744395.323683123</ns0:v>
      </ns0:c>
      <ns0:c r="X870" s="16">
        <ns0:f>P870-E870*'前提と出典'!$E$6</ns0:f>
        <ns0:v>1097913.0259553916</ns0:v>
      </ns0:c>
      <ns0:c r="Y870" s="16">
        <ns0:f>Q870-F870*'前提と出典'!$E$6</ns0:f>
        <ns0:v>413152.44191234175</ns0:v>
      </ns0:c>
      <ns0:c r="Z870" s="7">
        <ns0:f>X870+Y870</ns0:f>
        <ns0:v>1511065.4678677334</ns0:v>
      </ns0:c>
      <ns0:c r="AA870" s="7">
        <ns0:f>IF(T870&gt;=0,A870,1001)</ns0:f>
        <ns0:v>866</ns0:v>
      </ns0:c>
      <ns0:c r="AB870" s="7">
        <ns0:f>IF(T870&lt;0,A870,0)</ns0:f>
        <ns0:v>0</ns0:v>
      </ns0:c>
      <ns0:c r="AC870" s="16">
        <ns0:f>IF(AND(OR('前提と出典'!$C$36+'前提と出典'!$C$38=0,R870&gt;=0),OR('前提と出典'!$C$37+'前提と出典'!$C$38=0,S870&gt;=0)),0,A870)</ns0:f>
        <ns0:v>0</ns0:v>
      </ns0:c>
      <ns0:c r="AD870" s="7">
        <ns0:f>IF(W870&gt;=0,A870,1001)</ns0:f>
        <ns0:v>866</ns0:v>
      </ns0:c>
      <ns0:c r="AE870" s="7">
        <ns0:f>IF(W870&lt;0,A870,0)</ns0:f>
        <ns0:v>0</ns0:v>
      </ns0:c>
      <ns0:c r="AF870" s="16">
        <ns0:f>IF(AND(OR('前提と出典'!$C$36+'前提と出典'!$C$38=0,U870&gt;=0),OR('前提と出典'!$C$37+'前提と出典'!$C$38=0,V870&gt;=0)),0,A870)</ns0:f>
        <ns0:v>0</ns0:v>
      </ns0:c>
      <ns0:c r="AG870" s="7">
        <ns0:f>IF(Z870&gt;=0,A870,1001)</ns0:f>
        <ns0:v>866</ns0:v>
      </ns0:c>
      <ns0:c r="AH870" s="4">
        <ns0:f>IF(Z870&lt;0,A870,0)</ns0:f>
        <ns0:v>0</ns0:v>
      </ns0:c>
      <ns0:c r="AI870" s="12">
        <ns0:f>IF(AND(OR('前提と出典'!$C$36+'前提と出典'!$C$38=0,X870&gt;=0),OR('前提と出典'!$C$37+'前提と出典'!$C$38=0,Y870&gt;=0)),0,A870)</ns0:f>
        <ns0:v>0</ns0:v>
      </ns0:c>
    </ns0:row>
    <ns0:row r="871" ht="24" customHeight="1">
      <ns0:c r="A871" s="4" t="n">
        <ns0:v>867</ns0:v>
      </ns0:c>
      <ns0:c r="B871" s="12">
        <ns0:f>A871*('前提と出典'!$C$36+'前提と出典'!$C$38)</ns0:f>
        <ns0:v>606.9</ns0:v>
      </ns0:c>
      <ns0:c r="C871" s="12">
        <ns0:f>A871*('前提と出典'!$C$37+'前提と出典'!$C$38)</ns0:f>
        <ns0:v>520.1999999999999</ns0:v>
      </ns0:c>
      <ns0:c r="D871" s="16">
        <ns0:f>A871*('前提と出典'!$C$36*'契約別単価'!C5+'前提と出典'!$C$37*'契約別単価'!C6+'前提と出典'!$C$38*'契約別単価'!C7)</ns0:f>
        <ns0:v>6238.525139664805</ns0:v>
      </ns0:c>
      <ns0:c r="E871" s="16">
        <ns0:f>A871*('前提と出典'!$C$36*'契約別単価'!E5+'前提と出典'!$C$37*'契約別単価'!E6+'前提と出典'!$C$38*'契約別単価'!E7)</ns0:f>
        <ns0:v>1677597.0173869613</ns0:v>
      </ns0:c>
      <ns0:c r="F871" s="16">
        <ns0:f>A871*('前提と出典'!$C$36*'契約別単価'!F5+'前提と出典'!$C$37*'契約別単価'!F6+'前提と出典'!$C$38*'契約別単価'!F7)</ns0:f>
        <ns0:v>658395.8809033728</ns0:v>
      </ns0:c>
      <ns0:c r="G871" s="16">
        <ns0:f>A871*('前提と出典'!$C$36*'契約別単価'!G5+'前提と出典'!$C$37*'契約別単価'!G6+'前提と出典'!$C$38*'契約別単価'!G7)</ns0:f>
        <ns0:v>1725765.9217877095</ns0:v>
      </ns0:c>
      <ns0:c r="H871" s="16">
        <ns0:f>A871*('前提と出典'!$C$36*'契約別単価'!H5+'前提と出典'!$C$37*'契約別単価'!H6+'前提と出典'!$C$38*'契約別単価'!H7)</ns0:f>
        <ns0:v>598927.3288228853</ns0:v>
      </ns0:c>
      <ns0:c r="I871" s="16">
        <ns0:f>A871*('前提と出典'!$C$36*'契約別単価'!I5+'前提と出典'!$C$37*'契約別単価'!I6+'前提と出典'!$C$38*'契約別単価'!I7)</ns0:f>
        <ns0:v>36583.5251396648</ns0:v>
      </ns0:c>
      <ns0:c r="J871" s="16">
        <ns0:f>A871*('前提と出典'!$C$36*'契約別単価'!J5+'前提と出典'!$C$37*'契約別単価'!J6+'前提と出典'!$C$38*'契約別単価'!J7)</ns0:f>
        <ns0:v>85217.03439683233</ns0:v>
      </ns0:c>
      <ns0:c r="K871" s="16">
        <ns0:f>A871*('前提と出典'!$C$36*'契約別単価'!K5+'前提と出典'!$C$37*'契約別単価'!K6+'前提と出典'!$C$38*'契約別単価'!K7)</ns0:f>
        <ns0:v>365270.16759776534</ns0:v>
      </ns0:c>
      <ns0:c r="L871" s="16">
        <ns0:f>A871*('前提と出典'!$C$36*'契約別単価'!L5+'前提と出典'!$C$37*'契約別単価'!L6+'前提と出典'!$C$38*'契約別単価'!L7)</ns0:f>
        <ns0:v>297404.2442940962</ns0:v>
      </ns0:c>
      <ns0:c r="M871" s="16">
        <ns0:f>IF(('前提と出典'!$C$36+'前提と出典'!$C$38)=0,0,IF(B871&lt;=10,'前提と出典'!B73+'前提と出典'!C73,IF(B871&lt;=100,'前提と出典'!B74+'前提と出典'!C74,IF(B871&lt;=500,'前提と出典'!B75+'前提と出典'!C75,'前提と出典'!B76+'前提と出典'!C76))))</ns0:f>
        <ns0:v>80000</ns0:v>
      </ns0:c>
      <ns0:c r="N871" s="16">
        <ns0:f>IF(('前提と出典'!$C$37+'前提と出典'!$C$38)=0,0,IF(C871&lt;=10,'前提と出典'!D73+'前提と出典'!E73,IF(C871&lt;=100,'前提と出典'!D74+'前提と出典'!E74,IF(C871&lt;=500,'前提と出典'!D75+'前提と出典'!E75,'前提と出典'!D76+'前提と出典'!E76))))</ns0:f>
        <ns0:v>86510.9346263078</ns0:v>
      </ns0:c>
      <ns0:c r="O871" s="16">
        <ns0:f>IF('前提と出典'!$C$36+'前提と出典'!$C$38=0,0,'前提と出典'!$B$4*IF('前提と出典'!$B$20=0,MAX('前提と出典'!$B$6,D871*'前提と出典'!$B$5),'前提と出典'!$B$6+D871*'前提と出典'!$B$5))</ns0:f>
        <ns0:v>860916.4692737431</ns0:v>
      </ns0:c>
      <ns0:c r="P871" s="16">
        <ns0:f>(E871+G871)*(1-'前提と出典'!$B$7)-I871-K871-M871-O871</ns0:f>
        <ns0:v>1938071.711353209</ns0:v>
      </ns0:c>
      <ns0:c r="Q871" s="16">
        <ns0:f>(F871+H871)*(1-'前提と出典'!$B$7)-J871-L871-N871</ns0:f>
        <ns0:v>742927.3608588765</ns0:v>
      </ns0:c>
      <ns0:c r="R871" s="16">
        <ns0:f>P871-E871*'前提と出典'!$E$4</ns0:f>
        <ns0:v>1434792.606137121</ns0:v>
      </ns0:c>
      <ns0:c r="S871" s="16">
        <ns0:f>Q871-F871*'前提と出典'!$E$4</ns0:f>
        <ns0:v>545408.5965878647</ns0:v>
      </ns0:c>
      <ns0:c r="T871" s="7">
        <ns0:f>R871+S871</ns0:f>
        <ns0:v>1980201.2027249858</ns0:v>
      </ns0:c>
      <ns0:c r="U871" s="16">
        <ns0:f>P871-E871*'前提と出典'!$E$5</ns0:f>
        <ns0:v>1267032.9043984246</ns0:v>
      </ns0:c>
      <ns0:c r="V871" s="16">
        <ns0:f>Q871-F871*'前提と出典'!$E$5</ns0:f>
        <ns0:v>479569.00849752733</ns0:v>
      </ns0:c>
      <ns0:c r="W871" s="7">
        <ns0:f>U871+V871</ns0:f>
        <ns0:v>1746601.912895952</ns0:v>
      </ns0:c>
      <ns0:c r="X871" s="16">
        <ns0:f>P871-E871*'前提と出典'!$E$6</ns0:f>
        <ns0:v>1099273.2026597285</ns0:v>
      </ns0:c>
      <ns0:c r="Y871" s="16">
        <ns0:f>Q871-F871*'前提と出典'!$E$6</ns0:f>
        <ns0:v>413729.42040719016</ns0:v>
      </ns0:c>
      <ns0:c r="Z871" s="7">
        <ns0:f>X871+Y871</ns0:f>
        <ns0:v>1513002.6230669187</ns0:v>
      </ns0:c>
      <ns0:c r="AA871" s="7">
        <ns0:f>IF(T871&gt;=0,A871,1001)</ns0:f>
        <ns0:v>867</ns0:v>
      </ns0:c>
      <ns0:c r="AB871" s="7">
        <ns0:f>IF(T871&lt;0,A871,0)</ns0:f>
        <ns0:v>0</ns0:v>
      </ns0:c>
      <ns0:c r="AC871" s="16">
        <ns0:f>IF(AND(OR('前提と出典'!$C$36+'前提と出典'!$C$38=0,R871&gt;=0),OR('前提と出典'!$C$37+'前提と出典'!$C$38=0,S871&gt;=0)),0,A871)</ns0:f>
        <ns0:v>0</ns0:v>
      </ns0:c>
      <ns0:c r="AD871" s="7">
        <ns0:f>IF(W871&gt;=0,A871,1001)</ns0:f>
        <ns0:v>867</ns0:v>
      </ns0:c>
      <ns0:c r="AE871" s="7">
        <ns0:f>IF(W871&lt;0,A871,0)</ns0:f>
        <ns0:v>0</ns0:v>
      </ns0:c>
      <ns0:c r="AF871" s="16">
        <ns0:f>IF(AND(OR('前提と出典'!$C$36+'前提と出典'!$C$38=0,U871&gt;=0),OR('前提と出典'!$C$37+'前提と出典'!$C$38=0,V871&gt;=0)),0,A871)</ns0:f>
        <ns0:v>0</ns0:v>
      </ns0:c>
      <ns0:c r="AG871" s="7">
        <ns0:f>IF(Z871&gt;=0,A871,1001)</ns0:f>
        <ns0:v>867</ns0:v>
      </ns0:c>
      <ns0:c r="AH871" s="4">
        <ns0:f>IF(Z871&lt;0,A871,0)</ns0:f>
        <ns0:v>0</ns0:v>
      </ns0:c>
      <ns0:c r="AI871" s="12">
        <ns0:f>IF(AND(OR('前提と出典'!$C$36+'前提と出典'!$C$38=0,X871&gt;=0),OR('前提と出典'!$C$37+'前提と出典'!$C$38=0,Y871&gt;=0)),0,A871)</ns0:f>
        <ns0:v>0</ns0:v>
      </ns0:c>
    </ns0:row>
    <ns0:row r="872" ht="24" customHeight="1">
      <ns0:c r="A872" s="4" t="n">
        <ns0:v>868</ns0:v>
      </ns0:c>
      <ns0:c r="B872" s="12">
        <ns0:f>A872*('前提と出典'!$C$36+'前提と出典'!$C$38)</ns0:f>
        <ns0:v>607.5999999999999</ns0:v>
      </ns0:c>
      <ns0:c r="C872" s="12">
        <ns0:f>A872*('前提と出典'!$C$37+'前提と出典'!$C$38)</ns0:f>
        <ns0:v>520.8</ns0:v>
      </ns0:c>
      <ns0:c r="D872" s="16">
        <ns0:f>A872*('前提と出典'!$C$36*'契約別単価'!C5+'前提と出典'!$C$37*'契約別単価'!C6+'前提と出典'!$C$38*'契約別単価'!C7)</ns0:f>
        <ns0:v>6245.7206703910615</ns0:v>
      </ns0:c>
      <ns0:c r="E872" s="16">
        <ns0:f>A872*('前提と出典'!$C$36*'契約別単価'!E5+'前提と出典'!$C$37*'契約別単価'!E6+'前提と出典'!$C$38*'契約別単価'!E7)</ns0:f>
        <ns0:v>1679531.9620436938</ns0:v>
      </ns0:c>
      <ns0:c r="F872" s="16">
        <ns0:f>A872*('前提と出典'!$C$36*'契約別単価'!F5+'前提と出典'!$C$37*'契約別単価'!F6+'前提と出典'!$C$38*'契約別単価'!F7)</ns0:f>
        <ns0:v>659155.2763830768</ns0:v>
      </ns0:c>
      <ns0:c r="G872" s="16">
        <ns0:f>A872*('前提と出典'!$C$36*'契約別単価'!G5+'前提と出典'!$C$37*'契約別単価'!G6+'前提と出典'!$C$38*'契約別単価'!G7)</ns0:f>
        <ns0:v>1727756.4245810055</ns0:v>
      </ns0:c>
      <ns0:c r="H872" s="16">
        <ns0:f>A872*('前提と出典'!$C$36*'契約別単価'!H5+'前提と出典'!$C$37*'契約別単価'!H6+'前提と出典'!$C$38*'契約別単価'!H7)</ns0:f>
        <ns0:v>599618.133123719</ns0:v>
      </ns0:c>
      <ns0:c r="I872" s="16">
        <ns0:f>A872*('前提と出典'!$C$36*'契約別単価'!I5+'前提と出典'!$C$37*'契約別単価'!I6+'前提と出典'!$C$38*'契約別単価'!I7)</ns0:f>
        <ns0:v>36625.720670391056</ns0:v>
      </ns0:c>
      <ns0:c r="J872" s="16">
        <ns0:f>A872*('前提と出典'!$C$36*'契約別単価'!J5+'前提と出典'!$C$37*'契約別単価'!J6+'前提と出典'!$C$38*'契約別単価'!J7)</ns0:f>
        <ns0:v>85315.32394054263</ns0:v>
      </ns0:c>
      <ns0:c r="K872" s="16">
        <ns0:f>A872*('前提と出典'!$C$36*'契約別単価'!K5+'前提と出典'!$C$37*'契約別単価'!K6+'前提と出典'!$C$38*'契約別単価'!K7)</ns0:f>
        <ns0:v>365691.4711359404</ns0:v>
      </ns0:c>
      <ns0:c r="L872" s="16">
        <ns0:f>A872*('前提と出典'!$C$36*'契約別単価'!L5+'前提と出典'!$C$37*'契約別単価'!L6+'前提と出典'!$C$38*'契約別単価'!L7)</ns0:f>
        <ns0:v>297747.27110412397</ns0:v>
      </ns0:c>
      <ns0:c r="M872" s="16">
        <ns0:f>IF(('前提と出典'!$C$36+'前提と出典'!$C$38)=0,0,IF(B872&lt;=10,'前提と出典'!B73+'前提と出典'!C73,IF(B872&lt;=100,'前提と出典'!B74+'前提と出典'!C74,IF(B872&lt;=500,'前提と出典'!B75+'前提と出典'!C75,'前提と出典'!B76+'前提と出典'!C76))))</ns0:f>
        <ns0:v>80000</ns0:v>
      </ns0:c>
      <ns0:c r="N872" s="16">
        <ns0:f>IF(('前提と出典'!$C$37+'前提と出典'!$C$38)=0,0,IF(C872&lt;=10,'前提と出典'!D73+'前提と出典'!E73,IF(C872&lt;=100,'前提と出典'!D74+'前提と出典'!E74,IF(C872&lt;=500,'前提と出典'!D75+'前提と出典'!E75,'前提と出典'!D76+'前提と出典'!E76))))</ns0:f>
        <ns0:v>86510.9346263078</ns0:v>
      </ns0:c>
      <ns0:c r="O872" s="16">
        <ns0:f>IF('前提と出典'!$C$36+'前提と出典'!$C$38=0,0,'前提と出典'!$B$4*IF('前提と出典'!$B$20=0,MAX('前提と出典'!$B$6,D872*'前提と出典'!$B$5),'前提と出典'!$B$6+D872*'前提と出典'!$B$5))</ns0:f>
        <ns0:v>861909.4525139665</ns0:v>
      </ns0:c>
      <ns0:c r="P872" s="16">
        <ns0:f>(E872+G872)*(1-'前提と出典'!$B$7)-I872-K872-M872-O872</ns0:f>
        <ns0:v>1940399.3603859125</ns0:v>
      </ns0:c>
      <ns0:c r="Q872" s="16">
        <ns0:f>(F872+H872)*(1-'前提と出典'!$B$7)-J872-L872-N872</ns0:f>
        <ns0:v>743884.0370935769</ns0:v>
      </ns0:c>
      <ns0:c r="R872" s="16">
        <ns0:f>P872-E872*'前提と出典'!$E$4</ns0:f>
        <ns0:v>1436539.7717728044</ns0:v>
      </ns0:c>
      <ns0:c r="S872" s="16">
        <ns0:f>Q872-F872*'前提と出典'!$E$4</ns0:f>
        <ns0:v>546137.4541786539</ns0:v>
      </ns0:c>
      <ns0:c r="T872" s="7">
        <ns0:f>R872+S872</ns0:f>
        <ns0:v>1982677.2259514583</ns0:v>
      </ns0:c>
      <ns0:c r="U872" s="16">
        <ns0:f>P872-E872*'前提と出典'!$E$5</ns0:f>
        <ns0:v>1268586.575568435</ns0:v>
      </ns0:c>
      <ns0:c r="V872" s="16">
        <ns0:f>Q872-F872*'前提と出典'!$E$5</ns0:f>
        <ns0:v>480221.9265403461</ns0:v>
      </ns0:c>
      <ns0:c r="W872" s="7">
        <ns0:f>U872+V872</ns0:f>
        <ns0:v>1748808.5021087811</ns0:v>
      </ns0:c>
      <ns0:c r="X872" s="16">
        <ns0:f>P872-E872*'前提と出典'!$E$6</ns0:f>
        <ns0:v>1100633.379364066</ns0:v>
      </ns0:c>
      <ns0:c r="Y872" s="16">
        <ns0:f>Q872-F872*'前提と出典'!$E$6</ns0:f>
        <ns0:v>414306.3989020385</ns0:v>
      </ns0:c>
      <ns0:c r="Z872" s="7">
        <ns0:f>X872+Y872</ns0:f>
        <ns0:v>1514939.7782661046</ns0:v>
      </ns0:c>
      <ns0:c r="AA872" s="7">
        <ns0:f>IF(T872&gt;=0,A872,1001)</ns0:f>
        <ns0:v>868</ns0:v>
      </ns0:c>
      <ns0:c r="AB872" s="7">
        <ns0:f>IF(T872&lt;0,A872,0)</ns0:f>
        <ns0:v>0</ns0:v>
      </ns0:c>
      <ns0:c r="AC872" s="16">
        <ns0:f>IF(AND(OR('前提と出典'!$C$36+'前提と出典'!$C$38=0,R872&gt;=0),OR('前提と出典'!$C$37+'前提と出典'!$C$38=0,S872&gt;=0)),0,A872)</ns0:f>
        <ns0:v>0</ns0:v>
      </ns0:c>
      <ns0:c r="AD872" s="7">
        <ns0:f>IF(W872&gt;=0,A872,1001)</ns0:f>
        <ns0:v>868</ns0:v>
      </ns0:c>
      <ns0:c r="AE872" s="7">
        <ns0:f>IF(W872&lt;0,A872,0)</ns0:f>
        <ns0:v>0</ns0:v>
      </ns0:c>
      <ns0:c r="AF872" s="16">
        <ns0:f>IF(AND(OR('前提と出典'!$C$36+'前提と出典'!$C$38=0,U872&gt;=0),OR('前提と出典'!$C$37+'前提と出典'!$C$38=0,V872&gt;=0)),0,A872)</ns0:f>
        <ns0:v>0</ns0:v>
      </ns0:c>
      <ns0:c r="AG872" s="7">
        <ns0:f>IF(Z872&gt;=0,A872,1001)</ns0:f>
        <ns0:v>868</ns0:v>
      </ns0:c>
      <ns0:c r="AH872" s="4">
        <ns0:f>IF(Z872&lt;0,A872,0)</ns0:f>
        <ns0:v>0</ns0:v>
      </ns0:c>
      <ns0:c r="AI872" s="12">
        <ns0:f>IF(AND(OR('前提と出典'!$C$36+'前提と出典'!$C$38=0,X872&gt;=0),OR('前提と出典'!$C$37+'前提と出典'!$C$38=0,Y872&gt;=0)),0,A872)</ns0:f>
        <ns0:v>0</ns0:v>
      </ns0:c>
    </ns0:row>
    <ns0:row r="873" ht="24" customHeight="1">
      <ns0:c r="A873" s="4" t="n">
        <ns0:v>869</ns0:v>
      </ns0:c>
      <ns0:c r="B873" s="12">
        <ns0:f>A873*('前提と出典'!$C$36+'前提と出典'!$C$38)</ns0:f>
        <ns0:v>608.3</ns0:v>
      </ns0:c>
      <ns0:c r="C873" s="12">
        <ns0:f>A873*('前提と出典'!$C$37+'前提と出典'!$C$38)</ns0:f>
        <ns0:v>521.4</ns0:v>
      </ns0:c>
      <ns0:c r="D873" s="16">
        <ns0:f>A873*('前提と出典'!$C$36*'契約別単価'!C5+'前提と出典'!$C$37*'契約別単価'!C6+'前提と出典'!$C$38*'契約別単価'!C7)</ns0:f>
        <ns0:v>6252.916201117318</ns0:v>
      </ns0:c>
      <ns0:c r="E873" s="16">
        <ns0:f>A873*('前提と出典'!$C$36*'契約別単価'!E5+'前提と出典'!$C$37*'契約別単価'!E6+'前提と出典'!$C$38*'契約別単価'!E7)</ns0:f>
        <ns0:v>1681466.906700426</ns0:v>
      </ns0:c>
      <ns0:c r="F873" s="16">
        <ns0:f>A873*('前提と出典'!$C$36*'契約別単価'!F5+'前提と出典'!$C$37*'契約別単価'!F6+'前提と出典'!$C$38*'契約別単価'!F7)</ns0:f>
        <ns0:v>659914.6718627808</ns0:v>
      </ns0:c>
      <ns0:c r="G873" s="16">
        <ns0:f>A873*('前提と出典'!$C$36*'契約別単価'!G5+'前提と出典'!$C$37*'契約別単価'!G6+'前提と出典'!$C$38*'契約別単価'!G7)</ns0:f>
        <ns0:v>1729746.9273743017</ns0:v>
      </ns0:c>
      <ns0:c r="H873" s="16">
        <ns0:f>A873*('前提と出典'!$C$36*'契約別単価'!H5+'前提と出典'!$C$37*'契約別単価'!H6+'前提と出典'!$C$38*'契約別単価'!H7)</ns0:f>
        <ns0:v>600308.9374245529</ns0:v>
      </ns0:c>
      <ns0:c r="I873" s="16">
        <ns0:f>A873*('前提と出典'!$C$36*'契約別単価'!I5+'前提と出典'!$C$37*'契約別単価'!I6+'前提と出典'!$C$38*'契約別単価'!I7)</ns0:f>
        <ns0:v>36667.91620111731</ns0:v>
      </ns0:c>
      <ns0:c r="J873" s="16">
        <ns0:f>A873*('前提と出典'!$C$36*'契約別単価'!J5+'前提と出典'!$C$37*'契約別単価'!J6+'前提と出典'!$C$38*'契約別単価'!J7)</ns0:f>
        <ns0:v>85413.61348425293</ns0:v>
      </ns0:c>
      <ns0:c r="K873" s="16">
        <ns0:f>A873*('前提と出典'!$C$36*'契約別単価'!K5+'前提と出典'!$C$37*'契約別単価'!K6+'前提と出典'!$C$38*'契約別単価'!K7)</ns0:f>
        <ns0:v>366112.7746741154</ns0:v>
      </ns0:c>
      <ns0:c r="L873" s="16">
        <ns0:f>A873*('前提と出典'!$C$36*'契約別単価'!L5+'前提と出典'!$C$37*'契約別単価'!L6+'前提と出典'!$C$38*'契約別単価'!L7)</ns0:f>
        <ns0:v>298090.29791415174</ns0:v>
      </ns0:c>
      <ns0:c r="M873" s="16">
        <ns0:f>IF(('前提と出典'!$C$36+'前提と出典'!$C$38)=0,0,IF(B873&lt;=10,'前提と出典'!B73+'前提と出典'!C73,IF(B873&lt;=100,'前提と出典'!B74+'前提と出典'!C74,IF(B873&lt;=500,'前提と出典'!B75+'前提と出典'!C75,'前提と出典'!B76+'前提と出典'!C76))))</ns0:f>
        <ns0:v>80000</ns0:v>
      </ns0:c>
      <ns0:c r="N873" s="16">
        <ns0:f>IF(('前提と出典'!$C$37+'前提と出典'!$C$38)=0,0,IF(C873&lt;=10,'前提と出典'!D73+'前提と出典'!E73,IF(C873&lt;=100,'前提と出典'!D74+'前提と出典'!E74,IF(C873&lt;=500,'前提と出典'!D75+'前提と出典'!E75,'前提と出典'!D76+'前提と出典'!E76))))</ns0:f>
        <ns0:v>86510.9346263078</ns0:v>
      </ns0:c>
      <ns0:c r="O873" s="16">
        <ns0:f>IF('前提と出典'!$C$36+'前提と出典'!$C$38=0,0,'前提と出典'!$B$4*IF('前提と出典'!$B$20=0,MAX('前提と出典'!$B$6,D873*'前提と出典'!$B$5),'前提と出典'!$B$6+D873*'前提と出典'!$B$5))</ns0:f>
        <ns0:v>862902.43575419</ns0:v>
      </ns0:c>
      <ns0:c r="P873" s="16">
        <ns0:f>(E873+G873)*(1-'前提と出典'!$B$7)-I873-K873-M873-O873</ns0:f>
        <ns0:v>1942727.0094186147</ns0:v>
      </ns0:c>
      <ns0:c r="Q873" s="16">
        <ns0:f>(F873+H873)*(1-'前提と出典'!$B$7)-J873-L873-N873</ns0:f>
        <ns0:v>744840.7133282772</ns0:v>
      </ns0:c>
      <ns0:c r="R873" s="16">
        <ns0:f>P873-E873*'前提と出典'!$E$4</ns0:f>
        <ns0:v>1438286.937408487</ns0:v>
      </ns0:c>
      <ns0:c r="S873" s="16">
        <ns0:f>Q873-F873*'前提と出典'!$E$4</ns0:f>
        <ns0:v>546866.3117694431</ns0:v>
      </ns0:c>
      <ns0:c r="T873" s="7">
        <ns0:f>R873+S873</ns0:f>
        <ns0:v>1985153.2491779302</ns0:v>
      </ns0:c>
      <ns0:c r="U873" s="16">
        <ns0:f>P873-E873*'前提と出典'!$E$5</ns0:f>
        <ns0:v>1270140.2467384443</ns0:v>
      </ns0:c>
      <ns0:c r="V873" s="16">
        <ns0:f>Q873-F873*'前提と出典'!$E$5</ns0:f>
        <ns0:v>480874.8445831649</ns0:v>
      </ns0:c>
      <ns0:c r="W873" s="7">
        <ns0:f>U873+V873</ns0:f>
        <ns0:v>1751015.0913216092</ns0:v>
      </ns0:c>
      <ns0:c r="X873" s="16">
        <ns0:f>P873-E873*'前提と出典'!$E$6</ns0:f>
        <ns0:v>1101993.5560684018</ns0:v>
      </ns0:c>
      <ns0:c r="Y873" s="16">
        <ns0:f>Q873-F873*'前提と出典'!$E$6</ns0:f>
        <ns0:v>414883.37739688676</ns0:v>
      </ns0:c>
      <ns0:c r="Z873" s="7">
        <ns0:f>X873+Y873</ns0:f>
        <ns0:v>1516876.9334652885</ns0:v>
      </ns0:c>
      <ns0:c r="AA873" s="7">
        <ns0:f>IF(T873&gt;=0,A873,1001)</ns0:f>
        <ns0:v>869</ns0:v>
      </ns0:c>
      <ns0:c r="AB873" s="7">
        <ns0:f>IF(T873&lt;0,A873,0)</ns0:f>
        <ns0:v>0</ns0:v>
      </ns0:c>
      <ns0:c r="AC873" s="16">
        <ns0:f>IF(AND(OR('前提と出典'!$C$36+'前提と出典'!$C$38=0,R873&gt;=0),OR('前提と出典'!$C$37+'前提と出典'!$C$38=0,S873&gt;=0)),0,A873)</ns0:f>
        <ns0:v>0</ns0:v>
      </ns0:c>
      <ns0:c r="AD873" s="7">
        <ns0:f>IF(W873&gt;=0,A873,1001)</ns0:f>
        <ns0:v>869</ns0:v>
      </ns0:c>
      <ns0:c r="AE873" s="7">
        <ns0:f>IF(W873&lt;0,A873,0)</ns0:f>
        <ns0:v>0</ns0:v>
      </ns0:c>
      <ns0:c r="AF873" s="16">
        <ns0:f>IF(AND(OR('前提と出典'!$C$36+'前提と出典'!$C$38=0,U873&gt;=0),OR('前提と出典'!$C$37+'前提と出典'!$C$38=0,V873&gt;=0)),0,A873)</ns0:f>
        <ns0:v>0</ns0:v>
      </ns0:c>
      <ns0:c r="AG873" s="7">
        <ns0:f>IF(Z873&gt;=0,A873,1001)</ns0:f>
        <ns0:v>869</ns0:v>
      </ns0:c>
      <ns0:c r="AH873" s="4">
        <ns0:f>IF(Z873&lt;0,A873,0)</ns0:f>
        <ns0:v>0</ns0:v>
      </ns0:c>
      <ns0:c r="AI873" s="12">
        <ns0:f>IF(AND(OR('前提と出典'!$C$36+'前提と出典'!$C$38=0,X873&gt;=0),OR('前提と出典'!$C$37+'前提と出典'!$C$38=0,Y873&gt;=0)),0,A873)</ns0:f>
        <ns0:v>0</ns0:v>
      </ns0:c>
    </ns0:row>
    <ns0:row r="874" ht="24" customHeight="1">
      <ns0:c r="A874" s="4" t="n">
        <ns0:v>870</ns0:v>
      </ns0:c>
      <ns0:c r="B874" s="12">
        <ns0:f>A874*('前提と出典'!$C$36+'前提と出典'!$C$38)</ns0:f>
        <ns0:v>609</ns0:v>
      </ns0:c>
      <ns0:c r="C874" s="12">
        <ns0:f>A874*('前提と出典'!$C$37+'前提と出典'!$C$38)</ns0:f>
        <ns0:v>522</ns0:v>
      </ns0:c>
      <ns0:c r="D874" s="16">
        <ns0:f>A874*('前提と出典'!$C$36*'契約別単価'!C5+'前提と出典'!$C$37*'契約別単価'!C6+'前提と出典'!$C$38*'契約別単価'!C7)</ns0:f>
        <ns0:v>6260.111731843575</ns0:v>
      </ns0:c>
      <ns0:c r="E874" s="16">
        <ns0:f>A874*('前提と出典'!$C$36*'契約別単価'!E5+'前提と出典'!$C$37*'契約別単価'!E6+'前提と出典'!$C$38*'契約別単価'!E7)</ns0:f>
        <ns0:v>1683401.8513571583</ns0:v>
      </ns0:c>
      <ns0:c r="F874" s="16">
        <ns0:f>A874*('前提と出典'!$C$36*'契約別単価'!F5+'前提と出典'!$C$37*'契約別単価'!F6+'前提と出典'!$C$38*'契約別単価'!F7)</ns0:f>
        <ns0:v>660674.0673424848</ns0:v>
      </ns0:c>
      <ns0:c r="G874" s="16">
        <ns0:f>A874*('前提と出典'!$C$36*'契約別単価'!G5+'前提と出典'!$C$37*'契約別単価'!G6+'前提と出典'!$C$38*'契約別単価'!G7)</ns0:f>
        <ns0:v>1731737.4301675977</ns0:v>
      </ns0:c>
      <ns0:c r="H874" s="16">
        <ns0:f>A874*('前提と出典'!$C$36*'契約別単価'!H5+'前提と出典'!$C$37*'契約別単価'!H6+'前提と出典'!$C$38*'契約別単価'!H7)</ns0:f>
        <ns0:v>600999.7417253866</ns0:v>
      </ns0:c>
      <ns0:c r="I874" s="16">
        <ns0:f>A874*('前提と出典'!$C$36*'契約別単価'!I5+'前提と出典'!$C$37*'契約別単価'!I6+'前提と出典'!$C$38*'契約別単価'!I7)</ns0:f>
        <ns0:v>36710.11173184357</ns0:v>
      </ns0:c>
      <ns0:c r="J874" s="16">
        <ns0:f>A874*('前提と出典'!$C$36*'契約別単価'!J5+'前提と出典'!$C$37*'契約別単価'!J6+'前提と出典'!$C$38*'契約別単価'!J7)</ns0:f>
        <ns0:v>85511.90302796323</ns0:v>
      </ns0:c>
      <ns0:c r="K874" s="16">
        <ns0:f>A874*('前提と出典'!$C$36*'契約別単価'!K5+'前提と出典'!$C$37*'契約別単価'!K6+'前提と出典'!$C$38*'契約別単価'!K7)</ns0:f>
        <ns0:v>366534.0782122905</ns0:v>
      </ns0:c>
      <ns0:c r="L874" s="16">
        <ns0:f>A874*('前提と出典'!$C$36*'契約別単価'!L5+'前提と出典'!$C$37*'契約別単価'!L6+'前提と出典'!$C$38*'契約別単価'!L7)</ns0:f>
        <ns0:v>298433.3247241795</ns0:v>
      </ns0:c>
      <ns0:c r="M874" s="16">
        <ns0:f>IF(('前提と出典'!$C$36+'前提と出典'!$C$38)=0,0,IF(B874&lt;=10,'前提と出典'!B73+'前提と出典'!C73,IF(B874&lt;=100,'前提と出典'!B74+'前提と出典'!C74,IF(B874&lt;=500,'前提と出典'!B75+'前提と出典'!C75,'前提と出典'!B76+'前提と出典'!C76))))</ns0:f>
        <ns0:v>80000</ns0:v>
      </ns0:c>
      <ns0:c r="N874" s="16">
        <ns0:f>IF(('前提と出典'!$C$37+'前提と出典'!$C$38)=0,0,IF(C874&lt;=10,'前提と出典'!D73+'前提と出典'!E73,IF(C874&lt;=100,'前提と出典'!D74+'前提と出典'!E74,IF(C874&lt;=500,'前提と出典'!D75+'前提と出典'!E75,'前提と出典'!D76+'前提と出典'!E76))))</ns0:f>
        <ns0:v>86510.9346263078</ns0:v>
      </ns0:c>
      <ns0:c r="O874" s="16">
        <ns0:f>IF('前提と出典'!$C$36+'前提と出典'!$C$38=0,0,'前提と出典'!$B$4*IF('前提と出典'!$B$20=0,MAX('前提と出典'!$B$6,D874*'前提と出典'!$B$5),'前提と出典'!$B$6+D874*'前提と出典'!$B$5))</ns0:f>
        <ns0:v>863895.4189944135</ns0:v>
      </ns0:c>
      <ns0:c r="P874" s="16">
        <ns0:f>(E874+G874)*(1-'前提と出典'!$B$7)-I874-K874-M874-O874</ns0:f>
        <ns0:v>1945054.6584513169</ns0:v>
      </ns0:c>
      <ns0:c r="Q874" s="16">
        <ns0:f>(F874+H874)*(1-'前提と出典'!$B$7)-J874-L874-N874</ns0:f>
        <ns0:v>745797.3895629775</ns0:v>
      </ns0:c>
      <ns0:c r="R874" s="16">
        <ns0:f>P874-E874*'前提と出典'!$E$4</ns0:f>
        <ns0:v>1440034.1030441697</ns0:v>
      </ns0:c>
      <ns0:c r="S874" s="16">
        <ns0:f>Q874-F874*'前提と出典'!$E$4</ns0:f>
        <ns0:v>547595.1693602321</ns0:v>
      </ns0:c>
      <ns0:c r="T874" s="7">
        <ns0:f>R874+S874</ns0:f>
        <ns0:v>1987629.2724044018</ns0:v>
      </ns0:c>
      <ns0:c r="U874" s="16">
        <ns0:f>P874-E874*'前提と出典'!$E$5</ns0:f>
        <ns0:v>1271693.9179084536</ns0:v>
      </ns0:c>
      <ns0:c r="V874" s="16">
        <ns0:f>Q874-F874*'前提と出典'!$E$5</ns0:f>
        <ns0:v>481527.76262598345</ns0:v>
      </ns0:c>
      <ns0:c r="W874" s="7">
        <ns0:f>U874+V874</ns0:f>
        <ns0:v>1753221.680534437</ns0:v>
      </ns0:c>
      <ns0:c r="X874" s="16">
        <ns0:f>P874-E874*'前提と出典'!$E$6</ns0:f>
        <ns0:v>1103353.732772738</ns0:v>
      </ns0:c>
      <ns0:c r="Y874" s="16">
        <ns0:f>Q874-F874*'前提と出典'!$E$6</ns0:f>
        <ns0:v>415460.3558917351</ns0:v>
      </ns0:c>
      <ns0:c r="Z874" s="7">
        <ns0:f>X874+Y874</ns0:f>
        <ns0:v>1518814.088664473</ns0:v>
      </ns0:c>
      <ns0:c r="AA874" s="7">
        <ns0:f>IF(T874&gt;=0,A874,1001)</ns0:f>
        <ns0:v>870</ns0:v>
      </ns0:c>
      <ns0:c r="AB874" s="7">
        <ns0:f>IF(T874&lt;0,A874,0)</ns0:f>
        <ns0:v>0</ns0:v>
      </ns0:c>
      <ns0:c r="AC874" s="16">
        <ns0:f>IF(AND(OR('前提と出典'!$C$36+'前提と出典'!$C$38=0,R874&gt;=0),OR('前提と出典'!$C$37+'前提と出典'!$C$38=0,S874&gt;=0)),0,A874)</ns0:f>
        <ns0:v>0</ns0:v>
      </ns0:c>
      <ns0:c r="AD874" s="7">
        <ns0:f>IF(W874&gt;=0,A874,1001)</ns0:f>
        <ns0:v>870</ns0:v>
      </ns0:c>
      <ns0:c r="AE874" s="7">
        <ns0:f>IF(W874&lt;0,A874,0)</ns0:f>
        <ns0:v>0</ns0:v>
      </ns0:c>
      <ns0:c r="AF874" s="16">
        <ns0:f>IF(AND(OR('前提と出典'!$C$36+'前提と出典'!$C$38=0,U874&gt;=0),OR('前提と出典'!$C$37+'前提と出典'!$C$38=0,V874&gt;=0)),0,A874)</ns0:f>
        <ns0:v>0</ns0:v>
      </ns0:c>
      <ns0:c r="AG874" s="7">
        <ns0:f>IF(Z874&gt;=0,A874,1001)</ns0:f>
        <ns0:v>870</ns0:v>
      </ns0:c>
      <ns0:c r="AH874" s="4">
        <ns0:f>IF(Z874&lt;0,A874,0)</ns0:f>
        <ns0:v>0</ns0:v>
      </ns0:c>
      <ns0:c r="AI874" s="12">
        <ns0:f>IF(AND(OR('前提と出典'!$C$36+'前提と出典'!$C$38=0,X874&gt;=0),OR('前提と出典'!$C$37+'前提と出典'!$C$38=0,Y874&gt;=0)),0,A874)</ns0:f>
        <ns0:v>0</ns0:v>
      </ns0:c>
    </ns0:row>
    <ns0:row r="875" ht="24" customHeight="1">
      <ns0:c r="A875" s="4" t="n">
        <ns0:v>871</ns0:v>
      </ns0:c>
      <ns0:c r="B875" s="12">
        <ns0:f>A875*('前提と出典'!$C$36+'前提と出典'!$C$38)</ns0:f>
        <ns0:v>609.6999999999999</ns0:v>
      </ns0:c>
      <ns0:c r="C875" s="12">
        <ns0:f>A875*('前提と出典'!$C$37+'前提と出典'!$C$38)</ns0:f>
        <ns0:v>522.6</ns0:v>
      </ns0:c>
      <ns0:c r="D875" s="16">
        <ns0:f>A875*('前提と出典'!$C$36*'契約別単価'!C5+'前提と出典'!$C$37*'契約別単価'!C6+'前提と出典'!$C$38*'契約別単価'!C7)</ns0:f>
        <ns0:v>6267.307262569832</ns0:v>
      </ns0:c>
      <ns0:c r="E875" s="16">
        <ns0:f>A875*('前提と出典'!$C$36*'契約別単価'!E5+'前提と出典'!$C$37*'契約別単価'!E6+'前提と出典'!$C$38*'契約別単価'!E7)</ns0:f>
        <ns0:v>1685336.7960138908</ns0:v>
      </ns0:c>
      <ns0:c r="F875" s="16">
        <ns0:f>A875*('前提と出典'!$C$36*'契約別単価'!F5+'前提と出典'!$C$37*'契約別単価'!F6+'前提と出典'!$C$38*'契約別単価'!F7)</ns0:f>
        <ns0:v>661433.4628221889</ns0:v>
      </ns0:c>
      <ns0:c r="G875" s="16">
        <ns0:f>A875*('前提と出典'!$C$36*'契約別単価'!G5+'前提と出典'!$C$37*'契約別単価'!G6+'前提と出典'!$C$38*'契約別単価'!G7)</ns0:f>
        <ns0:v>1733727.9329608937</ns0:v>
      </ns0:c>
      <ns0:c r="H875" s="16">
        <ns0:f>A875*('前提と出典'!$C$36*'契約別単価'!H5+'前提と出典'!$C$37*'契約別単価'!H6+'前提と出典'!$C$38*'契約別単価'!H7)</ns0:f>
        <ns0:v>601690.5460262203</ns0:v>
      </ns0:c>
      <ns0:c r="I875" s="16">
        <ns0:f>A875*('前提と出典'!$C$36*'契約別単価'!I5+'前提と出典'!$C$37*'契約別単価'!I6+'前提と出典'!$C$38*'契約別単価'!I7)</ns0:f>
        <ns0:v>36752.307262569826</ns0:v>
      </ns0:c>
      <ns0:c r="J875" s="16">
        <ns0:f>A875*('前提と出典'!$C$36*'契約別単価'!J5+'前提と出典'!$C$37*'契約別単価'!J6+'前提と出典'!$C$38*'契約別単価'!J7)</ns0:f>
        <ns0:v>85610.19257167354</ns0:v>
      </ns0:c>
      <ns0:c r="K875" s="16">
        <ns0:f>A875*('前提と出典'!$C$36*'契約別単価'!K5+'前提と出典'!$C$37*'契約別単価'!K6+'前提と出典'!$C$38*'契約別単価'!K7)</ns0:f>
        <ns0:v>366955.38175046555</ns0:v>
      </ns0:c>
      <ns0:c r="L875" s="16">
        <ns0:f>A875*('前提と出典'!$C$36*'契約別単価'!L5+'前提と出典'!$C$37*'契約別単価'!L6+'前提と出典'!$C$38*'契約別単価'!L7)</ns0:f>
        <ns0:v>298776.35153420735</ns0:v>
      </ns0:c>
      <ns0:c r="M875" s="16">
        <ns0:f>IF(('前提と出典'!$C$36+'前提と出典'!$C$38)=0,0,IF(B875&lt;=10,'前提と出典'!B73+'前提と出典'!C73,IF(B875&lt;=100,'前提と出典'!B74+'前提と出典'!C74,IF(B875&lt;=500,'前提と出典'!B75+'前提と出典'!C75,'前提と出典'!B76+'前提と出典'!C76))))</ns0:f>
        <ns0:v>80000</ns0:v>
      </ns0:c>
      <ns0:c r="N875" s="16">
        <ns0:f>IF(('前提と出典'!$C$37+'前提と出典'!$C$38)=0,0,IF(C875&lt;=10,'前提と出典'!D73+'前提と出典'!E73,IF(C875&lt;=100,'前提と出典'!D74+'前提と出典'!E74,IF(C875&lt;=500,'前提と出典'!D75+'前提と出典'!E75,'前提と出典'!D76+'前提と出典'!E76))))</ns0:f>
        <ns0:v>86510.9346263078</ns0:v>
      </ns0:c>
      <ns0:c r="O875" s="16">
        <ns0:f>IF('前提と出典'!$C$36+'前提と出典'!$C$38=0,0,'前提と出典'!$B$4*IF('前提と出典'!$B$20=0,MAX('前提と出典'!$B$6,D875*'前提と出典'!$B$5),'前提と出典'!$B$6+D875*'前提と出典'!$B$5))</ns0:f>
        <ns0:v>864888.402234637</ns0:v>
      </ns0:c>
      <ns0:c r="P875" s="16">
        <ns0:f>(E875+G875)*(1-'前提と出典'!$B$7)-I875-K875-M875-O875</ns0:f>
        <ns0:v>1947382.3074840207</ns0:v>
      </ns0:c>
      <ns0:c r="Q875" s="16">
        <ns0:f>(F875+H875)*(1-'前提と出典'!$B$7)-J875-L875-N875</ns0:f>
        <ns0:v>746754.0657976777</ns0:v>
      </ns0:c>
      <ns0:c r="R875" s="16">
        <ns0:f>P875-E875*'前提と出典'!$E$4</ns0:f>
        <ns0:v>1441781.2686798538</ns0:v>
      </ns0:c>
      <ns0:c r="S875" s="16">
        <ns0:f>Q875-F875*'前提と出典'!$E$4</ns0:f>
        <ns0:v>548324.026951021</ns0:v>
      </ns0:c>
      <ns0:c r="T875" s="7">
        <ns0:f>R875+S875</ns0:f>
        <ns0:v>1990105.2956308748</ns0:v>
      </ns0:c>
      <ns0:c r="U875" s="16">
        <ns0:f>P875-E875*'前提と出典'!$E$5</ns0:f>
        <ns0:v>1273247.5890784643</ns0:v>
      </ns0:c>
      <ns0:c r="V875" s="16">
        <ns0:f>Q875-F875*'前提と出典'!$E$5</ns0:f>
        <ns0:v>482180.68066880223</ns0:v>
      </ns0:c>
      <ns0:c r="W875" s="7">
        <ns0:f>U875+V875</ns0:f>
        <ns0:v>1755428.2697472665</ns0:v>
      </ns0:c>
      <ns0:c r="X875" s="16">
        <ns0:f>P875-E875*'前提と出典'!$E$6</ns0:f>
        <ns0:v>1104713.909477075</ns0:v>
      </ns0:c>
      <ns0:c r="Y875" s="16">
        <ns0:f>Q875-F875*'前提と出典'!$E$6</ns0:f>
        <ns0:v>416037.3343865833</ns0:v>
      </ns0:c>
      <ns0:c r="Z875" s="7">
        <ns0:f>X875+Y875</ns0:f>
        <ns0:v>1520751.2438636585</ns0:v>
      </ns0:c>
      <ns0:c r="AA875" s="7">
        <ns0:f>IF(T875&gt;=0,A875,1001)</ns0:f>
        <ns0:v>871</ns0:v>
      </ns0:c>
      <ns0:c r="AB875" s="7">
        <ns0:f>IF(T875&lt;0,A875,0)</ns0:f>
        <ns0:v>0</ns0:v>
      </ns0:c>
      <ns0:c r="AC875" s="16">
        <ns0:f>IF(AND(OR('前提と出典'!$C$36+'前提と出典'!$C$38=0,R875&gt;=0),OR('前提と出典'!$C$37+'前提と出典'!$C$38=0,S875&gt;=0)),0,A875)</ns0:f>
        <ns0:v>0</ns0:v>
      </ns0:c>
      <ns0:c r="AD875" s="7">
        <ns0:f>IF(W875&gt;=0,A875,1001)</ns0:f>
        <ns0:v>871</ns0:v>
      </ns0:c>
      <ns0:c r="AE875" s="7">
        <ns0:f>IF(W875&lt;0,A875,0)</ns0:f>
        <ns0:v>0</ns0:v>
      </ns0:c>
      <ns0:c r="AF875" s="16">
        <ns0:f>IF(AND(OR('前提と出典'!$C$36+'前提と出典'!$C$38=0,U875&gt;=0),OR('前提と出典'!$C$37+'前提と出典'!$C$38=0,V875&gt;=0)),0,A875)</ns0:f>
        <ns0:v>0</ns0:v>
      </ns0:c>
      <ns0:c r="AG875" s="7">
        <ns0:f>IF(Z875&gt;=0,A875,1001)</ns0:f>
        <ns0:v>871</ns0:v>
      </ns0:c>
      <ns0:c r="AH875" s="4">
        <ns0:f>IF(Z875&lt;0,A875,0)</ns0:f>
        <ns0:v>0</ns0:v>
      </ns0:c>
      <ns0:c r="AI875" s="12">
        <ns0:f>IF(AND(OR('前提と出典'!$C$36+'前提と出典'!$C$38=0,X875&gt;=0),OR('前提と出典'!$C$37+'前提と出典'!$C$38=0,Y875&gt;=0)),0,A875)</ns0:f>
        <ns0:v>0</ns0:v>
      </ns0:c>
    </ns0:row>
    <ns0:row r="876" ht="24" customHeight="1">
      <ns0:c r="A876" s="4" t="n">
        <ns0:v>872</ns0:v>
      </ns0:c>
      <ns0:c r="B876" s="12">
        <ns0:f>A876*('前提と出典'!$C$36+'前提と出典'!$C$38)</ns0:f>
        <ns0:v>610.4</ns0:v>
      </ns0:c>
      <ns0:c r="C876" s="12">
        <ns0:f>A876*('前提と出典'!$C$37+'前提と出典'!$C$38)</ns0:f>
        <ns0:v>523.1999999999999</ns0:v>
      </ns0:c>
      <ns0:c r="D876" s="16">
        <ns0:f>A876*('前提と出典'!$C$36*'契約別単価'!C5+'前提と出典'!$C$37*'契約別単価'!C6+'前提と出典'!$C$38*'契約別単価'!C7)</ns0:f>
        <ns0:v>6274.502793296089</ns0:v>
      </ns0:c>
      <ns0:c r="E876" s="16">
        <ns0:f>A876*('前提と出典'!$C$36*'契約別単価'!E5+'前提と出典'!$C$37*'契約別単価'!E6+'前提と出典'!$C$38*'契約別単価'!E7)</ns0:f>
        <ns0:v>1687271.740670623</ns0:v>
      </ns0:c>
      <ns0:c r="F876" s="16">
        <ns0:f>A876*('前提と出典'!$C$36*'契約別単価'!F5+'前提と出典'!$C$37*'契約別単価'!F6+'前提と出典'!$C$38*'契約別単価'!F7)</ns0:f>
        <ns0:v>662192.8583018929</ns0:v>
      </ns0:c>
      <ns0:c r="G876" s="16">
        <ns0:f>A876*('前提と出典'!$C$36*'契約別単価'!G5+'前提と出典'!$C$37*'契約別単価'!G6+'前提と出典'!$C$38*'契約別単価'!G7)</ns0:f>
        <ns0:v>1735718.43575419</ns0:v>
      </ns0:c>
      <ns0:c r="H876" s="16">
        <ns0:f>A876*('前提と出典'!$C$36*'契約別単価'!H5+'前提と出典'!$C$37*'契約別単価'!H6+'前提と出典'!$C$38*'契約別単価'!H7)</ns0:f>
        <ns0:v>602381.3503270542</ns0:v>
      </ns0:c>
      <ns0:c r="I876" s="16">
        <ns0:f>A876*('前提と出典'!$C$36*'契約別単価'!I5+'前提と出典'!$C$37*'契約別単価'!I6+'前提と出典'!$C$38*'契約別単価'!I7)</ns0:f>
        <ns0:v>36794.50279329608</ns0:v>
      </ns0:c>
      <ns0:c r="J876" s="16">
        <ns0:f>A876*('前提と出典'!$C$36*'契約別単価'!J5+'前提と出典'!$C$37*'契約別単価'!J6+'前提と出典'!$C$38*'契約別単価'!J7)</ns0:f>
        <ns0:v>85708.48211538384</ns0:v>
      </ns0:c>
      <ns0:c r="K876" s="16">
        <ns0:f>A876*('前提と出典'!$C$36*'契約別単価'!K5+'前提と出典'!$C$37*'契約別単価'!K6+'前提と出典'!$C$38*'契約別単価'!K7)</ns0:f>
        <ns0:v>367376.68528864055</ns0:v>
      </ns0:c>
      <ns0:c r="L876" s="16">
        <ns0:f>A876*('前提と出典'!$C$36*'契約別単価'!L5+'前提と出典'!$C$37*'契約別単価'!L6+'前提と出典'!$C$38*'契約別単価'!L7)</ns0:f>
        <ns0:v>299119.3783442351</ns0:v>
      </ns0:c>
      <ns0:c r="M876" s="16">
        <ns0:f>IF(('前提と出典'!$C$36+'前提と出典'!$C$38)=0,0,IF(B876&lt;=10,'前提と出典'!B73+'前提と出典'!C73,IF(B876&lt;=100,'前提と出典'!B74+'前提と出典'!C74,IF(B876&lt;=500,'前提と出典'!B75+'前提と出典'!C75,'前提と出典'!B76+'前提と出典'!C76))))</ns0:f>
        <ns0:v>80000</ns0:v>
      </ns0:c>
      <ns0:c r="N876" s="16">
        <ns0:f>IF(('前提と出典'!$C$37+'前提と出典'!$C$38)=0,0,IF(C876&lt;=10,'前提と出典'!D73+'前提と出典'!E73,IF(C876&lt;=100,'前提と出典'!D74+'前提と出典'!E74,IF(C876&lt;=500,'前提と出典'!D75+'前提と出典'!E75,'前提と出典'!D76+'前提と出典'!E76))))</ns0:f>
        <ns0:v>86510.9346263078</ns0:v>
      </ns0:c>
      <ns0:c r="O876" s="16">
        <ns0:f>IF('前提と出典'!$C$36+'前提と出典'!$C$38=0,0,'前提と出典'!$B$4*IF('前提と出典'!$B$20=0,MAX('前提と出典'!$B$6,D876*'前提と出典'!$B$5),'前提と出典'!$B$6+D876*'前提と出典'!$B$5))</ns0:f>
        <ns0:v>865881.3854748603</ns0:v>
      </ns0:c>
      <ns0:c r="P876" s="16">
        <ns0:f>(E876+G876)*(1-'前提と出典'!$B$7)-I876-K876-M876-O876</ns0:f>
        <ns0:v>1949709.9565167227</ns0:v>
      </ns0:c>
      <ns0:c r="Q876" s="16">
        <ns0:f>(F876+H876)*(1-'前提と出典'!$B$7)-J876-L876-N876</ns0:f>
        <ns0:v>747710.742032378</ns0:v>
      </ns0:c>
      <ns0:c r="R876" s="16">
        <ns0:f>P876-E876*'前提と出典'!$E$4</ns0:f>
        <ns0:v>1443528.4343155357</ns0:v>
      </ns0:c>
      <ns0:c r="S876" s="16">
        <ns0:f>Q876-F876*'前提と出典'!$E$4</ns0:f>
        <ns0:v>549052.8845418101</ns0:v>
      </ns0:c>
      <ns0:c r="T876" s="7">
        <ns0:f>R876+S876</ns0:f>
        <ns0:v>1992581.3188573457</ns0:v>
      </ns0:c>
      <ns0:c r="U876" s="16">
        <ns0:f>P876-E876*'前提と出典'!$E$5</ns0:f>
        <ns0:v>1274801.2602484734</ns0:v>
      </ns0:c>
      <ns0:c r="V876" s="16">
        <ns0:f>Q876-F876*'前提と出典'!$E$5</ns0:f>
        <ns0:v>482833.5987116209</ns0:v>
      </ns0:c>
      <ns0:c r="W876" s="7">
        <ns0:f>U876+V876</ns0:f>
        <ns0:v>1757634.8589600944</ns0:v>
      </ns0:c>
      <ns0:c r="X876" s="16">
        <ns0:f>P876-E876*'前提と出典'!$E$6</ns0:f>
        <ns0:v>1106074.086181411</ns0:v>
      </ns0:c>
      <ns0:c r="Y876" s="16">
        <ns0:f>Q876-F876*'前提と出典'!$E$6</ns0:f>
        <ns0:v>416614.31288143166</ns0:v>
      </ns0:c>
      <ns0:c r="Z876" s="7">
        <ns0:f>X876+Y876</ns0:f>
        <ns0:v>1522688.3990628426</ns0:v>
      </ns0:c>
      <ns0:c r="AA876" s="7">
        <ns0:f>IF(T876&gt;=0,A876,1001)</ns0:f>
        <ns0:v>872</ns0:v>
      </ns0:c>
      <ns0:c r="AB876" s="7">
        <ns0:f>IF(T876&lt;0,A876,0)</ns0:f>
        <ns0:v>0</ns0:v>
      </ns0:c>
      <ns0:c r="AC876" s="16">
        <ns0:f>IF(AND(OR('前提と出典'!$C$36+'前提と出典'!$C$38=0,R876&gt;=0),OR('前提と出典'!$C$37+'前提と出典'!$C$38=0,S876&gt;=0)),0,A876)</ns0:f>
        <ns0:v>0</ns0:v>
      </ns0:c>
      <ns0:c r="AD876" s="7">
        <ns0:f>IF(W876&gt;=0,A876,1001)</ns0:f>
        <ns0:v>872</ns0:v>
      </ns0:c>
      <ns0:c r="AE876" s="7">
        <ns0:f>IF(W876&lt;0,A876,0)</ns0:f>
        <ns0:v>0</ns0:v>
      </ns0:c>
      <ns0:c r="AF876" s="16">
        <ns0:f>IF(AND(OR('前提と出典'!$C$36+'前提と出典'!$C$38=0,U876&gt;=0),OR('前提と出典'!$C$37+'前提と出典'!$C$38=0,V876&gt;=0)),0,A876)</ns0:f>
        <ns0:v>0</ns0:v>
      </ns0:c>
      <ns0:c r="AG876" s="7">
        <ns0:f>IF(Z876&gt;=0,A876,1001)</ns0:f>
        <ns0:v>872</ns0:v>
      </ns0:c>
      <ns0:c r="AH876" s="4">
        <ns0:f>IF(Z876&lt;0,A876,0)</ns0:f>
        <ns0:v>0</ns0:v>
      </ns0:c>
      <ns0:c r="AI876" s="12">
        <ns0:f>IF(AND(OR('前提と出典'!$C$36+'前提と出典'!$C$38=0,X876&gt;=0),OR('前提と出典'!$C$37+'前提と出典'!$C$38=0,Y876&gt;=0)),0,A876)</ns0:f>
        <ns0:v>0</ns0:v>
      </ns0:c>
    </ns0:row>
    <ns0:row r="877" ht="24" customHeight="1">
      <ns0:c r="A877" s="4" t="n">
        <ns0:v>873</ns0:v>
      </ns0:c>
      <ns0:c r="B877" s="12">
        <ns0:f>A877*('前提と出典'!$C$36+'前提と出典'!$C$38)</ns0:f>
        <ns0:v>611.0999999999999</ns0:v>
      </ns0:c>
      <ns0:c r="C877" s="12">
        <ns0:f>A877*('前提と出典'!$C$37+'前提と出典'!$C$38)</ns0:f>
        <ns0:v>523.8</ns0:v>
      </ns0:c>
      <ns0:c r="D877" s="16">
        <ns0:f>A877*('前提と出典'!$C$36*'契約別単価'!C5+'前提と出典'!$C$37*'契約別単価'!C6+'前提と出典'!$C$38*'契約別単価'!C7)</ns0:f>
        <ns0:v>6281.698324022346</ns0:v>
      </ns0:c>
      <ns0:c r="E877" s="16">
        <ns0:f>A877*('前提と出典'!$C$36*'契約別単価'!E5+'前提と出典'!$C$37*'契約別単価'!E6+'前提と出典'!$C$38*'契約別単価'!E7)</ns0:f>
        <ns0:v>1689206.6853273555</ns0:v>
      </ns0:c>
      <ns0:c r="F877" s="16">
        <ns0:f>A877*('前提と出典'!$C$36*'契約別単価'!F5+'前提と出典'!$C$37*'契約別単価'!F6+'前提と出典'!$C$38*'契約別単価'!F7)</ns0:f>
        <ns0:v>662952.2537815968</ns0:v>
      </ns0:c>
      <ns0:c r="G877" s="16">
        <ns0:f>A877*('前提と出典'!$C$36*'契約別単価'!G5+'前提と出典'!$C$37*'契約別単価'!G6+'前提と出典'!$C$38*'契約別単価'!G7)</ns0:f>
        <ns0:v>1737708.938547486</ns0:v>
      </ns0:c>
      <ns0:c r="H877" s="16">
        <ns0:f>A877*('前提と出典'!$C$36*'契約別単価'!H5+'前提と出典'!$C$37*'契約別単価'!H6+'前提と出典'!$C$38*'契約別単価'!H7)</ns0:f>
        <ns0:v>603072.1546278879</ns0:v>
      </ns0:c>
      <ns0:c r="I877" s="16">
        <ns0:f>A877*('前提と出典'!$C$36*'契約別単価'!I5+'前提と出典'!$C$37*'契約別単価'!I6+'前提と出典'!$C$38*'契約別単価'!I7)</ns0:f>
        <ns0:v>36836.69832402234</ns0:v>
      </ns0:c>
      <ns0:c r="J877" s="16">
        <ns0:f>A877*('前提と出典'!$C$36*'契約別単価'!J5+'前提と出典'!$C$37*'契約別単価'!J6+'前提と出典'!$C$38*'契約別単価'!J7)</ns0:f>
        <ns0:v>85806.77165909414</ns0:v>
      </ns0:c>
      <ns0:c r="K877" s="16">
        <ns0:f>A877*('前提と出典'!$C$36*'契約別単価'!K5+'前提と出典'!$C$37*'契約別単価'!K6+'前提と出典'!$C$38*'契約別単価'!K7)</ns0:f>
        <ns0:v>367797.9888268156</ns0:v>
      </ns0:c>
      <ns0:c r="L877" s="16">
        <ns0:f>A877*('前提と出典'!$C$36*'契約別単価'!L5+'前提と出典'!$C$37*'契約別単価'!L6+'前提と出典'!$C$38*'契約別単価'!L7)</ns0:f>
        <ns0:v>299462.4051542629</ns0:v>
      </ns0:c>
      <ns0:c r="M877" s="16">
        <ns0:f>IF(('前提と出典'!$C$36+'前提と出典'!$C$38)=0,0,IF(B877&lt;=10,'前提と出典'!B73+'前提と出典'!C73,IF(B877&lt;=100,'前提と出典'!B74+'前提と出典'!C74,IF(B877&lt;=500,'前提と出典'!B75+'前提と出典'!C75,'前提と出典'!B76+'前提と出典'!C76))))</ns0:f>
        <ns0:v>80000</ns0:v>
      </ns0:c>
      <ns0:c r="N877" s="16">
        <ns0:f>IF(('前提と出典'!$C$37+'前提と出典'!$C$38)=0,0,IF(C877&lt;=10,'前提と出典'!D73+'前提と出典'!E73,IF(C877&lt;=100,'前提と出典'!D74+'前提と出典'!E74,IF(C877&lt;=500,'前提と出典'!D75+'前提と出典'!E75,'前提と出典'!D76+'前提と出典'!E76))))</ns0:f>
        <ns0:v>86510.9346263078</ns0:v>
      </ns0:c>
      <ns0:c r="O877" s="16">
        <ns0:f>IF('前提と出典'!$C$36+'前提と出典'!$C$38=0,0,'前提と出典'!$B$4*IF('前提と出典'!$B$20=0,MAX('前提と出典'!$B$6,D877*'前提と出典'!$B$5),'前提と出典'!$B$6+D877*'前提と出典'!$B$5))</ns0:f>
        <ns0:v>866874.3687150838</ns0:v>
      </ns0:c>
      <ns0:c r="P877" s="16">
        <ns0:f>(E877+G877)*(1-'前提と出典'!$B$7)-I877-K877-M877-O877</ns0:f>
        <ns0:v>1952037.6055494254</ns0:v>
      </ns0:c>
      <ns0:c r="Q877" s="16">
        <ns0:f>(F877+H877)*(1-'前提と出典'!$B$7)-J877-L877-N877</ns0:f>
        <ns0:v>748667.4182670785</ns0:v>
      </ns0:c>
      <ns0:c r="R877" s="16">
        <ns0:f>P877-E877*'前提と出典'!$E$4</ns0:f>
        <ns0:v>1445275.5999512188</ns0:v>
      </ns0:c>
      <ns0:c r="S877" s="16">
        <ns0:f>Q877-F877*'前提と出典'!$E$4</ns0:f>
        <ns0:v>549781.7421325993</ns0:v>
      </ns0:c>
      <ns0:c r="T877" s="7">
        <ns0:f>R877+S877</ns0:f>
        <ns0:v>1995057.3420838183</ns0:v>
      </ns0:c>
      <ns0:c r="U877" s="16">
        <ns0:f>P877-E877*'前提と出典'!$E$5</ns0:f>
        <ns0:v>1276354.9314184831</ns0:v>
      </ns0:c>
      <ns0:c r="V877" s="16">
        <ns0:f>Q877-F877*'前提と出典'!$E$5</ns0:f>
        <ns0:v>483486.5167544397</ns0:v>
      </ns0:c>
      <ns0:c r="W877" s="7">
        <ns0:f>U877+V877</ns0:f>
        <ns0:v>1759841.4481729227</ns0:v>
      </ns0:c>
      <ns0:c r="X877" s="16">
        <ns0:f>P877-E877*'前提と出典'!$E$6</ns0:f>
        <ns0:v>1107434.2628857475</ns0:v>
      </ns0:c>
      <ns0:c r="Y877" s="16">
        <ns0:f>Q877-F877*'前提と出典'!$E$6</ns0:f>
        <ns0:v>417191.29137628</ns0:v>
      </ns0:c>
      <ns0:c r="Z877" s="7">
        <ns0:f>X877+Y877</ns0:f>
        <ns0:v>1524625.5542620276</ns0:v>
      </ns0:c>
      <ns0:c r="AA877" s="7">
        <ns0:f>IF(T877&gt;=0,A877,1001)</ns0:f>
        <ns0:v>873</ns0:v>
      </ns0:c>
      <ns0:c r="AB877" s="7">
        <ns0:f>IF(T877&lt;0,A877,0)</ns0:f>
        <ns0:v>0</ns0:v>
      </ns0:c>
      <ns0:c r="AC877" s="16">
        <ns0:f>IF(AND(OR('前提と出典'!$C$36+'前提と出典'!$C$38=0,R877&gt;=0),OR('前提と出典'!$C$37+'前提と出典'!$C$38=0,S877&gt;=0)),0,A877)</ns0:f>
        <ns0:v>0</ns0:v>
      </ns0:c>
      <ns0:c r="AD877" s="7">
        <ns0:f>IF(W877&gt;=0,A877,1001)</ns0:f>
        <ns0:v>873</ns0:v>
      </ns0:c>
      <ns0:c r="AE877" s="7">
        <ns0:f>IF(W877&lt;0,A877,0)</ns0:f>
        <ns0:v>0</ns0:v>
      </ns0:c>
      <ns0:c r="AF877" s="16">
        <ns0:f>IF(AND(OR('前提と出典'!$C$36+'前提と出典'!$C$38=0,U877&gt;=0),OR('前提と出典'!$C$37+'前提と出典'!$C$38=0,V877&gt;=0)),0,A877)</ns0:f>
        <ns0:v>0</ns0:v>
      </ns0:c>
      <ns0:c r="AG877" s="7">
        <ns0:f>IF(Z877&gt;=0,A877,1001)</ns0:f>
        <ns0:v>873</ns0:v>
      </ns0:c>
      <ns0:c r="AH877" s="4">
        <ns0:f>IF(Z877&lt;0,A877,0)</ns0:f>
        <ns0:v>0</ns0:v>
      </ns0:c>
      <ns0:c r="AI877" s="12">
        <ns0:f>IF(AND(OR('前提と出典'!$C$36+'前提と出典'!$C$38=0,X877&gt;=0),OR('前提と出典'!$C$37+'前提と出典'!$C$38=0,Y877&gt;=0)),0,A877)</ns0:f>
        <ns0:v>0</ns0:v>
      </ns0:c>
    </ns0:row>
    <ns0:row r="878" ht="24" customHeight="1">
      <ns0:c r="A878" s="4" t="n">
        <ns0:v>874</ns0:v>
      </ns0:c>
      <ns0:c r="B878" s="12">
        <ns0:f>A878*('前提と出典'!$C$36+'前提と出典'!$C$38)</ns0:f>
        <ns0:v>611.8</ns0:v>
      </ns0:c>
      <ns0:c r="C878" s="12">
        <ns0:f>A878*('前提と出典'!$C$37+'前提と出典'!$C$38)</ns0:f>
        <ns0:v>524.4</ns0:v>
      </ns0:c>
      <ns0:c r="D878" s="16">
        <ns0:f>A878*('前提と出典'!$C$36*'契約別単価'!C5+'前提と出典'!$C$37*'契約別単価'!C6+'前提と出典'!$C$38*'契約別単価'!C7)</ns0:f>
        <ns0:v>6288.893854748603</ns0:v>
      </ns0:c>
      <ns0:c r="E878" s="16">
        <ns0:f>A878*('前提と出典'!$C$36*'契約別単価'!E5+'前提と出典'!$C$37*'契約別単価'!E6+'前提と出典'!$C$38*'契約別単価'!E7)</ns0:f>
        <ns0:v>1691141.6299840878</ns0:v>
      </ns0:c>
      <ns0:c r="F878" s="16">
        <ns0:f>A878*('前提と出典'!$C$36*'契約別単価'!F5+'前提と出典'!$C$37*'契約別単価'!F6+'前提と出典'!$C$38*'契約別単価'!F7)</ns0:f>
        <ns0:v>663711.6492613008</ns0:v>
      </ns0:c>
      <ns0:c r="G878" s="16">
        <ns0:f>A878*('前提と出典'!$C$36*'契約別単価'!G5+'前提と出典'!$C$37*'契約別単価'!G6+'前提と出典'!$C$38*'契約別単価'!G7)</ns0:f>
        <ns0:v>1739699.441340782</ns0:v>
      </ns0:c>
      <ns0:c r="H878" s="16">
        <ns0:f>A878*('前提と出典'!$C$36*'契約別単価'!H5+'前提と出典'!$C$37*'契約別単価'!H6+'前提と出典'!$C$38*'契約別単価'!H7)</ns0:f>
        <ns0:v>603762.9589287217</ns0:v>
      </ns0:c>
      <ns0:c r="I878" s="16">
        <ns0:f>A878*('前提と出典'!$C$36*'契約別単価'!I5+'前提と出典'!$C$37*'契約別単価'!I6+'前提と出典'!$C$38*'契約別単価'!I7)</ns0:f>
        <ns0:v>36878.893854748596</ns0:v>
      </ns0:c>
      <ns0:c r="J878" s="16">
        <ns0:f>A878*('前提と出典'!$C$36*'契約別単価'!J5+'前提と出典'!$C$37*'契約別単価'!J6+'前提と出典'!$C$38*'契約別単価'!J7)</ns0:f>
        <ns0:v>85905.06120280444</ns0:v>
      </ns0:c>
      <ns0:c r="K878" s="16">
        <ns0:f>A878*('前提と出典'!$C$36*'契約別単価'!K5+'前提と出典'!$C$37*'契約別単価'!K6+'前提と出典'!$C$38*'契約別単価'!K7)</ns0:f>
        <ns0:v>368219.2923649907</ns0:v>
      </ns0:c>
      <ns0:c r="L878" s="16">
        <ns0:f>A878*('前提と出典'!$C$36*'契約別単価'!L5+'前提と出典'!$C$37*'契約別単価'!L6+'前提と出典'!$C$38*'契約別単価'!L7)</ns0:f>
        <ns0:v>299805.43196429074</ns0:v>
      </ns0:c>
      <ns0:c r="M878" s="16">
        <ns0:f>IF(('前提と出典'!$C$36+'前提と出典'!$C$38)=0,0,IF(B878&lt;=10,'前提と出典'!B73+'前提と出典'!C73,IF(B878&lt;=100,'前提と出典'!B74+'前提と出典'!C74,IF(B878&lt;=500,'前提と出典'!B75+'前提と出典'!C75,'前提と出典'!B76+'前提と出典'!C76))))</ns0:f>
        <ns0:v>80000</ns0:v>
      </ns0:c>
      <ns0:c r="N878" s="16">
        <ns0:f>IF(('前提と出典'!$C$37+'前提と出典'!$C$38)=0,0,IF(C878&lt;=10,'前提と出典'!D73+'前提と出典'!E73,IF(C878&lt;=100,'前提と出典'!D74+'前提と出典'!E74,IF(C878&lt;=500,'前提と出典'!D75+'前提と出典'!E75,'前提と出典'!D76+'前提と出典'!E76))))</ns0:f>
        <ns0:v>86510.9346263078</ns0:v>
      </ns0:c>
      <ns0:c r="O878" s="16">
        <ns0:f>IF('前提と出典'!$C$36+'前提と出典'!$C$38=0,0,'前提と出典'!$B$4*IF('前提と出典'!$B$20=0,MAX('前提と出典'!$B$6,D878*'前提と出典'!$B$5),'前提と出典'!$B$6+D878*'前提と出典'!$B$5))</ns0:f>
        <ns0:v>867867.3519553073</ns0:v>
      </ns0:c>
      <ns0:c r="P878" s="16">
        <ns0:f>(E878+G878)*(1-'前提と出典'!$B$7)-I878-K878-M878-O878</ns0:f>
        <ns0:v>1954365.254582128</ns0:v>
      </ns0:c>
      <ns0:c r="Q878" s="16">
        <ns0:f>(F878+H878)*(1-'前提と出典'!$B$7)-J878-L878-N878</ns0:f>
        <ns0:v>749624.0945017787</ns0:v>
      </ns0:c>
      <ns0:c r="R878" s="16">
        <ns0:f>P878-E878*'前提と出典'!$E$4</ns0:f>
        <ns0:v>1447022.765586902</ns0:v>
      </ns0:c>
      <ns0:c r="S878" s="16">
        <ns0:f>Q878-F878*'前提と出典'!$E$4</ns0:f>
        <ns0:v>550510.5997233884</ns0:v>
      </ns0:c>
      <ns0:c r="T878" s="7">
        <ns0:f>R878+S878</ns0:f>
        <ns0:v>1997533.3653102904</ns0:v>
      </ns0:c>
      <ns0:c r="U878" s="16">
        <ns0:f>P878-E878*'前提と出典'!$E$5</ns0:f>
        <ns0:v>1277908.602588493</ns0:v>
      </ns0:c>
      <ns0:c r="V878" s="16">
        <ns0:f>Q878-F878*'前提と出典'!$E$5</ns0:f>
        <ns0:v>484139.43479725835</ns0:v>
      </ns0:c>
      <ns0:c r="W878" s="7">
        <ns0:f>U878+V878</ns0:f>
        <ns0:v>1762048.0373857513</ns0:v>
      </ns0:c>
      <ns0:c r="X878" s="16">
        <ns0:f>P878-E878*'前提と出典'!$E$6</ns0:f>
        <ns0:v>1108794.439590084</ns0:v>
      </ns0:c>
      <ns0:c r="Y878" s="16">
        <ns0:f>Q878-F878*'前提と出典'!$E$6</ns0:f>
        <ns0:v>417768.2698711282</ns0:v>
      </ns0:c>
      <ns0:c r="Z878" s="7">
        <ns0:f>X878+Y878</ns0:f>
        <ns0:v>1526562.7094612122</ns0:v>
      </ns0:c>
      <ns0:c r="AA878" s="7">
        <ns0:f>IF(T878&gt;=0,A878,1001)</ns0:f>
        <ns0:v>874</ns0:v>
      </ns0:c>
      <ns0:c r="AB878" s="7">
        <ns0:f>IF(T878&lt;0,A878,0)</ns0:f>
        <ns0:v>0</ns0:v>
      </ns0:c>
      <ns0:c r="AC878" s="16">
        <ns0:f>IF(AND(OR('前提と出典'!$C$36+'前提と出典'!$C$38=0,R878&gt;=0),OR('前提と出典'!$C$37+'前提と出典'!$C$38=0,S878&gt;=0)),0,A878)</ns0:f>
        <ns0:v>0</ns0:v>
      </ns0:c>
      <ns0:c r="AD878" s="7">
        <ns0:f>IF(W878&gt;=0,A878,1001)</ns0:f>
        <ns0:v>874</ns0:v>
      </ns0:c>
      <ns0:c r="AE878" s="7">
        <ns0:f>IF(W878&lt;0,A878,0)</ns0:f>
        <ns0:v>0</ns0:v>
      </ns0:c>
      <ns0:c r="AF878" s="16">
        <ns0:f>IF(AND(OR('前提と出典'!$C$36+'前提と出典'!$C$38=0,U878&gt;=0),OR('前提と出典'!$C$37+'前提と出典'!$C$38=0,V878&gt;=0)),0,A878)</ns0:f>
        <ns0:v>0</ns0:v>
      </ns0:c>
      <ns0:c r="AG878" s="7">
        <ns0:f>IF(Z878&gt;=0,A878,1001)</ns0:f>
        <ns0:v>874</ns0:v>
      </ns0:c>
      <ns0:c r="AH878" s="4">
        <ns0:f>IF(Z878&lt;0,A878,0)</ns0:f>
        <ns0:v>0</ns0:v>
      </ns0:c>
      <ns0:c r="AI878" s="12">
        <ns0:f>IF(AND(OR('前提と出典'!$C$36+'前提と出典'!$C$38=0,X878&gt;=0),OR('前提と出典'!$C$37+'前提と出典'!$C$38=0,Y878&gt;=0)),0,A878)</ns0:f>
        <ns0:v>0</ns0:v>
      </ns0:c>
    </ns0:row>
    <ns0:row r="879" ht="24" customHeight="1">
      <ns0:c r="A879" s="4" t="n">
        <ns0:v>875</ns0:v>
      </ns0:c>
      <ns0:c r="B879" s="12">
        <ns0:f>A879*('前提と出典'!$C$36+'前提と出典'!$C$38)</ns0:f>
        <ns0:v>612.5</ns0:v>
      </ns0:c>
      <ns0:c r="C879" s="12">
        <ns0:f>A879*('前提と出典'!$C$37+'前提と出典'!$C$38)</ns0:f>
        <ns0:v>525</ns0:v>
      </ns0:c>
      <ns0:c r="D879" s="16">
        <ns0:f>A879*('前提と出典'!$C$36*'契約別単価'!C5+'前提と出典'!$C$37*'契約別単価'!C6+'前提と出典'!$C$38*'契約別単価'!C7)</ns0:f>
        <ns0:v>6296.08938547486</ns0:v>
      </ns0:c>
      <ns0:c r="E879" s="16">
        <ns0:f>A879*('前提と出典'!$C$36*'契約別単価'!E5+'前提と出典'!$C$37*'契約別単価'!E6+'前提と出典'!$C$38*'契約別単価'!E7)</ns0:f>
        <ns0:v>1693076.5746408203</ns0:v>
      </ns0:c>
      <ns0:c r="F879" s="16">
        <ns0:f>A879*('前提と出典'!$C$36*'契約別単価'!F5+'前提と出典'!$C$37*'契約別単価'!F6+'前提と出典'!$C$38*'契約別単価'!F7)</ns0:f>
        <ns0:v>664471.0447410048</ns0:v>
      </ns0:c>
      <ns0:c r="G879" s="16">
        <ns0:f>A879*('前提と出典'!$C$36*'契約別単価'!G5+'前提と出典'!$C$37*'契約別単価'!G6+'前提と出典'!$C$38*'契約別単価'!G7)</ns0:f>
        <ns0:v>1741689.9441340782</ns0:v>
      </ns0:c>
      <ns0:c r="H879" s="16">
        <ns0:f>A879*('前提と出典'!$C$36*'契約別単価'!H5+'前提と出典'!$C$37*'契約別単価'!H6+'前提と出典'!$C$38*'契約別単価'!H7)</ns0:f>
        <ns0:v>604453.7632295555</ns0:v>
      </ns0:c>
      <ns0:c r="I879" s="16">
        <ns0:f>A879*('前提と出典'!$C$36*'契約別単価'!I5+'前提と出典'!$C$37*'契約別単価'!I6+'前提と出典'!$C$38*'契約別単価'!I7)</ns0:f>
        <ns0:v>36921.08938547486</ns0:v>
      </ns0:c>
      <ns0:c r="J879" s="16">
        <ns0:f>A879*('前提と出典'!$C$36*'契約別単価'!J5+'前提と出典'!$C$37*'契約別単価'!J6+'前提と出典'!$C$38*'契約別単価'!J7)</ns0:f>
        <ns0:v>86003.35074651474</ns0:v>
      </ns0:c>
      <ns0:c r="K879" s="16">
        <ns0:f>A879*('前提と出典'!$C$36*'契約別単価'!K5+'前提と出典'!$C$37*'契約別単価'!K6+'前提と出典'!$C$38*'契約別単価'!K7)</ns0:f>
        <ns0:v>368640.5959031657</ns0:v>
      </ns0:c>
      <ns0:c r="L879" s="16">
        <ns0:f>A879*('前提と出典'!$C$36*'契約別単価'!L5+'前提と出典'!$C$37*'契約別単価'!L6+'前提と出典'!$C$38*'契約別単価'!L7)</ns0:f>
        <ns0:v>300148.4587743185</ns0:v>
      </ns0:c>
      <ns0:c r="M879" s="16">
        <ns0:f>IF(('前提と出典'!$C$36+'前提と出典'!$C$38)=0,0,IF(B879&lt;=10,'前提と出典'!B73+'前提と出典'!C73,IF(B879&lt;=100,'前提と出典'!B74+'前提と出典'!C74,IF(B879&lt;=500,'前提と出典'!B75+'前提と出典'!C75,'前提と出典'!B76+'前提と出典'!C76))))</ns0:f>
        <ns0:v>80000</ns0:v>
      </ns0:c>
      <ns0:c r="N879" s="16">
        <ns0:f>IF(('前提と出典'!$C$37+'前提と出典'!$C$38)=0,0,IF(C879&lt;=10,'前提と出典'!D73+'前提と出典'!E73,IF(C879&lt;=100,'前提と出典'!D74+'前提と出典'!E74,IF(C879&lt;=500,'前提と出典'!D75+'前提と出典'!E75,'前提と出典'!D76+'前提と出典'!E76))))</ns0:f>
        <ns0:v>86510.9346263078</ns0:v>
      </ns0:c>
      <ns0:c r="O879" s="16">
        <ns0:f>IF('前提と出典'!$C$36+'前提と出典'!$C$38=0,0,'前提と出典'!$B$4*IF('前提と出典'!$B$20=0,MAX('前提と出典'!$B$6,D879*'前提と出典'!$B$5),'前提と出典'!$B$6+D879*'前提と出典'!$B$5))</ns0:f>
        <ns0:v>868860.3351955308</ns0:v>
      </ns0:c>
      <ns0:c r="P879" s="16">
        <ns0:f>(E879+G879)*(1-'前提と出典'!$B$7)-I879-K879-M879-O879</ns0:f>
        <ns0:v>1956692.9036148312</ns0:v>
      </ns0:c>
      <ns0:c r="Q879" s="16">
        <ns0:f>(F879+H879)*(1-'前提と出典'!$B$7)-J879-L879-N879</ns0:f>
        <ns0:v>750580.7707364789</ns0:v>
      </ns0:c>
      <ns0:c r="R879" s="16">
        <ns0:f>P879-E879*'前提と出典'!$E$4</ns0:f>
        <ns0:v>1448769.931222585</ns0:v>
      </ns0:c>
      <ns0:c r="S879" s="16">
        <ns0:f>Q879-F879*'前提と出典'!$E$4</ns0:f>
        <ns0:v>551239.4573141776</ns0:v>
      </ns0:c>
      <ns0:c r="T879" s="7">
        <ns0:f>R879+S879</ns0:f>
        <ns0:v>2000009.3885367627</ns0:v>
      </ns0:c>
      <ns0:c r="U879" s="16">
        <ns0:f>P879-E879*'前提と出典'!$E$5</ns0:f>
        <ns0:v>1279462.2737585031</ns0:v>
      </ns0:c>
      <ns0:c r="V879" s="16">
        <ns0:f>Q879-F879*'前提と出典'!$E$5</ns0:f>
        <ns0:v>484792.3528400769</ns0:v>
      </ns0:c>
      <ns0:c r="W879" s="7">
        <ns0:f>U879+V879</ns0:f>
        <ns0:v>1764254.62659858</ns0:v>
      </ns0:c>
      <ns0:c r="X879" s="16">
        <ns0:f>P879-E879*'前提と出典'!$E$6</ns0:f>
        <ns0:v>1110154.6162944213</ns0:v>
      </ns0:c>
      <ns0:c r="Y879" s="16">
        <ns0:f>Q879-F879*'前提と出典'!$E$6</ns0:f>
        <ns0:v>418345.24836597656</ns0:v>
      </ns0:c>
      <ns0:c r="Z879" s="7">
        <ns0:f>X879+Y879</ns0:f>
        <ns0:v>1528499.8646603979</ns0:v>
      </ns0:c>
      <ns0:c r="AA879" s="7">
        <ns0:f>IF(T879&gt;=0,A879,1001)</ns0:f>
        <ns0:v>875</ns0:v>
      </ns0:c>
      <ns0:c r="AB879" s="7">
        <ns0:f>IF(T879&lt;0,A879,0)</ns0:f>
        <ns0:v>0</ns0:v>
      </ns0:c>
      <ns0:c r="AC879" s="16">
        <ns0:f>IF(AND(OR('前提と出典'!$C$36+'前提と出典'!$C$38=0,R879&gt;=0),OR('前提と出典'!$C$37+'前提と出典'!$C$38=0,S879&gt;=0)),0,A879)</ns0:f>
        <ns0:v>0</ns0:v>
      </ns0:c>
      <ns0:c r="AD879" s="7">
        <ns0:f>IF(W879&gt;=0,A879,1001)</ns0:f>
        <ns0:v>875</ns0:v>
      </ns0:c>
      <ns0:c r="AE879" s="7">
        <ns0:f>IF(W879&lt;0,A879,0)</ns0:f>
        <ns0:v>0</ns0:v>
      </ns0:c>
      <ns0:c r="AF879" s="16">
        <ns0:f>IF(AND(OR('前提と出典'!$C$36+'前提と出典'!$C$38=0,U879&gt;=0),OR('前提と出典'!$C$37+'前提と出典'!$C$38=0,V879&gt;=0)),0,A879)</ns0:f>
        <ns0:v>0</ns0:v>
      </ns0:c>
      <ns0:c r="AG879" s="7">
        <ns0:f>IF(Z879&gt;=0,A879,1001)</ns0:f>
        <ns0:v>875</ns0:v>
      </ns0:c>
      <ns0:c r="AH879" s="4">
        <ns0:f>IF(Z879&lt;0,A879,0)</ns0:f>
        <ns0:v>0</ns0:v>
      </ns0:c>
      <ns0:c r="AI879" s="12">
        <ns0:f>IF(AND(OR('前提と出典'!$C$36+'前提と出典'!$C$38=0,X879&gt;=0),OR('前提と出典'!$C$37+'前提と出典'!$C$38=0,Y879&gt;=0)),0,A879)</ns0:f>
        <ns0:v>0</ns0:v>
      </ns0:c>
    </ns0:row>
    <ns0:row r="880" ht="24" customHeight="1">
      <ns0:c r="A880" s="4" t="n">
        <ns0:v>876</ns0:v>
      </ns0:c>
      <ns0:c r="B880" s="12">
        <ns0:f>A880*('前提と出典'!$C$36+'前提と出典'!$C$38)</ns0:f>
        <ns0:v>613.1999999999999</ns0:v>
      </ns0:c>
      <ns0:c r="C880" s="12">
        <ns0:f>A880*('前提と出典'!$C$37+'前提と出典'!$C$38)</ns0:f>
        <ns0:v>525.6</ns0:v>
      </ns0:c>
      <ns0:c r="D880" s="16">
        <ns0:f>A880*('前提と出典'!$C$36*'契約別単価'!C5+'前提と出典'!$C$37*'契約別単価'!C6+'前提と出典'!$C$38*'契約別単価'!C7)</ns0:f>
        <ns0:v>6303.284916201117</ns0:v>
      </ns0:c>
      <ns0:c r="E880" s="16">
        <ns0:f>A880*('前提と出典'!$C$36*'契約別単価'!E5+'前提と出典'!$C$37*'契約別単価'!E6+'前提と出典'!$C$38*'契約別単価'!E7)</ns0:f>
        <ns0:v>1695011.5192975525</ns0:v>
      </ns0:c>
      <ns0:c r="F880" s="16">
        <ns0:f>A880*('前提と出典'!$C$36*'契約別単価'!F5+'前提と出典'!$C$37*'契約別単価'!F6+'前提と出典'!$C$38*'契約別単価'!F7)</ns0:f>
        <ns0:v>665230.4402207088</ns0:v>
      </ns0:c>
      <ns0:c r="G880" s="16">
        <ns0:f>A880*('前提と出典'!$C$36*'契約別単価'!G5+'前提と出典'!$C$37*'契約別単価'!G6+'前提と出典'!$C$38*'契約別単価'!G7)</ns0:f>
        <ns0:v>1743680.4469273742</ns0:v>
      </ns0:c>
      <ns0:c r="H880" s="16">
        <ns0:f>A880*('前提と出典'!$C$36*'契約別単価'!H5+'前提と出典'!$C$37*'契約別単価'!H6+'前提と出典'!$C$38*'契約別単価'!H7)</ns0:f>
        <ns0:v>605144.5675303893</ns0:v>
      </ns0:c>
      <ns0:c r="I880" s="16">
        <ns0:f>A880*('前提と出典'!$C$36*'契約別単価'!I5+'前提と出典'!$C$37*'契約別単価'!I6+'前提と出典'!$C$38*'契約別単価'!I7)</ns0:f>
        <ns0:v>36963.28491620111</ns0:v>
      </ns0:c>
      <ns0:c r="J880" s="16">
        <ns0:f>A880*('前提と出典'!$C$36*'契約別単価'!J5+'前提と出典'!$C$37*'契約別単価'!J6+'前提と出典'!$C$38*'契約別単価'!J7)</ns0:f>
        <ns0:v>86101.64029022506</ns0:v>
      </ns0:c>
      <ns0:c r="K880" s="16">
        <ns0:f>A880*('前提と出典'!$C$36*'契約別単価'!K5+'前提と出典'!$C$37*'契約別単価'!K6+'前提と出典'!$C$38*'契約別単価'!K7)</ns0:f>
        <ns0:v>369061.89944134076</ns0:v>
      </ns0:c>
      <ns0:c r="L880" s="16">
        <ns0:f>A880*('前提と出典'!$C$36*'契約別単価'!L5+'前提と出典'!$C$37*'契約別単価'!L6+'前提と出典'!$C$38*'契約別単価'!L7)</ns0:f>
        <ns0:v>300491.4855843463</ns0:v>
      </ns0:c>
      <ns0:c r="M880" s="16">
        <ns0:f>IF(('前提と出典'!$C$36+'前提と出典'!$C$38)=0,0,IF(B880&lt;=10,'前提と出典'!B73+'前提と出典'!C73,IF(B880&lt;=100,'前提と出典'!B74+'前提と出典'!C74,IF(B880&lt;=500,'前提と出典'!B75+'前提と出典'!C75,'前提と出典'!B76+'前提と出典'!C76))))</ns0:f>
        <ns0:v>80000</ns0:v>
      </ns0:c>
      <ns0:c r="N880" s="16">
        <ns0:f>IF(('前提と出典'!$C$37+'前提と出典'!$C$38)=0,0,IF(C880&lt;=10,'前提と出典'!D73+'前提と出典'!E73,IF(C880&lt;=100,'前提と出典'!D74+'前提と出典'!E74,IF(C880&lt;=500,'前提と出典'!D75+'前提と出典'!E75,'前提と出典'!D76+'前提と出典'!E76))))</ns0:f>
        <ns0:v>86510.9346263078</ns0:v>
      </ns0:c>
      <ns0:c r="O880" s="16">
        <ns0:f>IF('前提と出典'!$C$36+'前提と出典'!$C$38=0,0,'前提と出典'!$B$4*IF('前提と出典'!$B$20=0,MAX('前提と出典'!$B$6,D880*'前提と出典'!$B$5),'前提と出典'!$B$6+D880*'前提と出典'!$B$5))</ns0:f>
        <ns0:v>869853.3184357542</ns0:v>
      </ns0:c>
      <ns0:c r="P880" s="16">
        <ns0:f>(E880+G880)*(1-'前提と出典'!$B$7)-I880-K880-M880-O880</ns0:f>
        <ns0:v>1959020.552647533</ns0:v>
      </ns0:c>
      <ns0:c r="Q880" s="16">
        <ns0:f>(F880+H880)*(1-'前提と出典'!$B$7)-J880-L880-N880</ns0:f>
        <ns0:v>751537.4469711795</ns0:v>
      </ns0:c>
      <ns0:c r="R880" s="16">
        <ns0:f>P880-E880*'前提と出典'!$E$4</ns0:f>
        <ns0:v>1450517.0968582672</ns0:v>
      </ns0:c>
      <ns0:c r="S880" s="16">
        <ns0:f>Q880-F880*'前提と出典'!$E$4</ns0:f>
        <ns0:v>551968.3149049669</ns0:v>
      </ns0:c>
      <ns0:c r="T880" s="7">
        <ns0:f>R880+S880</ns0:f>
        <ns0:v>2002485.411763234</ns0:v>
      </ns0:c>
      <ns0:c r="U880" s="16">
        <ns0:f>P880-E880*'前提と出典'!$E$5</ns0:f>
        <ns0:v>1281015.944928512</ns0:v>
      </ns0:c>
      <ns0:c r="V880" s="16">
        <ns0:f>Q880-F880*'前提と出典'!$E$5</ns0:f>
        <ns0:v>485445.2708828959</ns0:v>
      </ns0:c>
      <ns0:c r="W880" s="7">
        <ns0:f>U880+V880</ns0:f>
        <ns0:v>1766461.215811408</ns0:v>
      </ns0:c>
      <ns0:c r="X880" s="16">
        <ns0:f>P880-E880*'前提と出典'!$E$6</ns0:f>
        <ns0:v>1111514.792998757</ns0:v>
      </ns0:c>
      <ns0:c r="Y880" s="16">
        <ns0:f>Q880-F880*'前提と出典'!$E$6</ns0:f>
        <ns0:v>418922.22686082503</ns0:v>
      </ns0:c>
      <ns0:c r="Z880" s="7">
        <ns0:f>X880+Y880</ns0:f>
        <ns0:v>1530437.019859582</ns0:v>
      </ns0:c>
      <ns0:c r="AA880" s="7">
        <ns0:f>IF(T880&gt;=0,A880,1001)</ns0:f>
        <ns0:v>876</ns0:v>
      </ns0:c>
      <ns0:c r="AB880" s="7">
        <ns0:f>IF(T880&lt;0,A880,0)</ns0:f>
        <ns0:v>0</ns0:v>
      </ns0:c>
      <ns0:c r="AC880" s="16">
        <ns0:f>IF(AND(OR('前提と出典'!$C$36+'前提と出典'!$C$38=0,R880&gt;=0),OR('前提と出典'!$C$37+'前提と出典'!$C$38=0,S880&gt;=0)),0,A880)</ns0:f>
        <ns0:v>0</ns0:v>
      </ns0:c>
      <ns0:c r="AD880" s="7">
        <ns0:f>IF(W880&gt;=0,A880,1001)</ns0:f>
        <ns0:v>876</ns0:v>
      </ns0:c>
      <ns0:c r="AE880" s="7">
        <ns0:f>IF(W880&lt;0,A880,0)</ns0:f>
        <ns0:v>0</ns0:v>
      </ns0:c>
      <ns0:c r="AF880" s="16">
        <ns0:f>IF(AND(OR('前提と出典'!$C$36+'前提と出典'!$C$38=0,U880&gt;=0),OR('前提と出典'!$C$37+'前提と出典'!$C$38=0,V880&gt;=0)),0,A880)</ns0:f>
        <ns0:v>0</ns0:v>
      </ns0:c>
      <ns0:c r="AG880" s="7">
        <ns0:f>IF(Z880&gt;=0,A880,1001)</ns0:f>
        <ns0:v>876</ns0:v>
      </ns0:c>
      <ns0:c r="AH880" s="4">
        <ns0:f>IF(Z880&lt;0,A880,0)</ns0:f>
        <ns0:v>0</ns0:v>
      </ns0:c>
      <ns0:c r="AI880" s="12">
        <ns0:f>IF(AND(OR('前提と出典'!$C$36+'前提と出典'!$C$38=0,X880&gt;=0),OR('前提と出典'!$C$37+'前提と出典'!$C$38=0,Y880&gt;=0)),0,A880)</ns0:f>
        <ns0:v>0</ns0:v>
      </ns0:c>
    </ns0:row>
    <ns0:row r="881" ht="24" customHeight="1">
      <ns0:c r="A881" s="4" t="n">
        <ns0:v>877</ns0:v>
      </ns0:c>
      <ns0:c r="B881" s="12">
        <ns0:f>A881*('前提と出典'!$C$36+'前提と出典'!$C$38)</ns0:f>
        <ns0:v>613.9</ns0:v>
      </ns0:c>
      <ns0:c r="C881" s="12">
        <ns0:f>A881*('前提と出典'!$C$37+'前提と出典'!$C$38)</ns0:f>
        <ns0:v>526.1999999999999</ns0:v>
      </ns0:c>
      <ns0:c r="D881" s="16">
        <ns0:f>A881*('前提と出典'!$C$36*'契約別単価'!C5+'前提と出典'!$C$37*'契約別単価'!C6+'前提と出典'!$C$38*'契約別単価'!C7)</ns0:f>
        <ns0:v>6310.480446927374</ns0:v>
      </ns0:c>
      <ns0:c r="E881" s="16">
        <ns0:f>A881*('前提と出典'!$C$36*'契約別単価'!E5+'前提と出典'!$C$37*'契約別単価'!E6+'前提と出典'!$C$38*'契約別単価'!E7)</ns0:f>
        <ns0:v>1696946.463954285</ns0:v>
      </ns0:c>
      <ns0:c r="F881" s="16">
        <ns0:f>A881*('前提と出典'!$C$36*'契約別単価'!F5+'前提と出典'!$C$37*'契約別単価'!F6+'前提と出典'!$C$38*'契約別単価'!F7)</ns0:f>
        <ns0:v>665989.8357004129</ns0:v>
      </ns0:c>
      <ns0:c r="G881" s="16">
        <ns0:f>A881*('前提と出典'!$C$36*'契約別単価'!G5+'前提と出典'!$C$37*'契約別単価'!G6+'前提と出典'!$C$38*'契約別単価'!G7)</ns0:f>
        <ns0:v>1745670.9497206702</ns0:v>
      </ns0:c>
      <ns0:c r="H881" s="16">
        <ns0:f>A881*('前提と出典'!$C$36*'契約別単価'!H5+'前提と出典'!$C$37*'契約別単価'!H6+'前提と出典'!$C$38*'契約別単価'!H7)</ns0:f>
        <ns0:v>605835.371831223</ns0:v>
      </ns0:c>
      <ns0:c r="I881" s="16">
        <ns0:f>A881*('前提と出典'!$C$36*'契約別単価'!I5+'前提と出典'!$C$37*'契約別単価'!I6+'前提と出典'!$C$38*'契約別単価'!I7)</ns0:f>
        <ns0:v>37005.480446927366</ns0:v>
      </ns0:c>
      <ns0:c r="J881" s="16">
        <ns0:f>A881*('前提と出典'!$C$36*'契約別単価'!J5+'前提と出典'!$C$37*'契約別単価'!J6+'前提と出典'!$C$38*'契約別単価'!J7)</ns0:f>
        <ns0:v>86199.92983393536</ns0:v>
      </ns0:c>
      <ns0:c r="K881" s="16">
        <ns0:f>A881*('前提と出典'!$C$36*'契約別単価'!K5+'前提と出典'!$C$37*'契約別単価'!K6+'前提と出典'!$C$38*'契約別単価'!K7)</ns0:f>
        <ns0:v>369483.20297951583</ns0:v>
      </ns0:c>
      <ns0:c r="L881" s="16">
        <ns0:f>A881*('前提と出典'!$C$36*'契約別単価'!L5+'前提と出典'!$C$37*'契約別単価'!L6+'前提と出典'!$C$38*'契約別単価'!L7)</ns0:f>
        <ns0:v>300834.5123943741</ns0:v>
      </ns0:c>
      <ns0:c r="M881" s="16">
        <ns0:f>IF(('前提と出典'!$C$36+'前提と出典'!$C$38)=0,0,IF(B881&lt;=10,'前提と出典'!B73+'前提と出典'!C73,IF(B881&lt;=100,'前提と出典'!B74+'前提と出典'!C74,IF(B881&lt;=500,'前提と出典'!B75+'前提と出典'!C75,'前提と出典'!B76+'前提と出典'!C76))))</ns0:f>
        <ns0:v>80000</ns0:v>
      </ns0:c>
      <ns0:c r="N881" s="16">
        <ns0:f>IF(('前提と出典'!$C$37+'前提と出典'!$C$38)=0,0,IF(C881&lt;=10,'前提と出典'!D73+'前提と出典'!E73,IF(C881&lt;=100,'前提と出典'!D74+'前提と出典'!E74,IF(C881&lt;=500,'前提と出典'!D75+'前提と出典'!E75,'前提と出典'!D76+'前提と出典'!E76))))</ns0:f>
        <ns0:v>86510.9346263078</ns0:v>
      </ns0:c>
      <ns0:c r="O881" s="16">
        <ns0:f>IF('前提と出典'!$C$36+'前提と出典'!$C$38=0,0,'前提と出典'!$B$4*IF('前提と出典'!$B$20=0,MAX('前提と出典'!$B$6,D881*'前提と出典'!$B$5),'前提と出典'!$B$6+D881*'前提と出典'!$B$5))</ns0:f>
        <ns0:v>870846.3016759777</ns0:v>
      </ns0:c>
      <ns0:c r="P881" s="16">
        <ns0:f>(E881+G881)*(1-'前提と出典'!$B$7)-I881-K881-M881-O881</ns0:f>
        <ns0:v>1961348.2016802358</ns0:v>
      </ns0:c>
      <ns0:c r="Q881" s="16">
        <ns0:f>(F881+H881)*(1-'前提と出典'!$B$7)-J881-L881-N881</ns0:f>
        <ns0:v>752494.1232058797</ns0:v>
      </ns0:c>
      <ns0:c r="R881" s="16">
        <ns0:f>P881-E881*'前提と出典'!$E$4</ns0:f>
        <ns0:v>1452264.2624939508</ns0:v>
      </ns0:c>
      <ns0:c r="S881" s="16">
        <ns0:f>Q881-F881*'前提と出典'!$E$4</ns0:f>
        <ns0:v>552697.1724957558</ns0:v>
      </ns0:c>
      <ns0:c r="T881" s="7">
        <ns0:f>R881+S881</ns0:f>
        <ns0:v>2004961.4349897066</ns0:v>
      </ns0:c>
      <ns0:c r="U881" s="16">
        <ns0:f>P881-E881*'前提と出典'!$E$5</ns0:f>
        <ns0:v>1282569.6160985217</ns0:v>
      </ns0:c>
      <ns0:c r="V881" s="16">
        <ns0:f>Q881-F881*'前提と出典'!$E$5</ns0:f>
        <ns0:v>486098.18892571446</ns0:v>
      </ns0:c>
      <ns0:c r="W881" s="7">
        <ns0:f>U881+V881</ns0:f>
        <ns0:v>1768667.8050242362</ns0:v>
      </ns0:c>
      <ns0:c r="X881" s="16">
        <ns0:f>P881-E881*'前提と出典'!$E$6</ns0:f>
        <ns0:v>1112874.9697030936</ns0:v>
      </ns0:c>
      <ns0:c r="Y881" s="16">
        <ns0:f>Q881-F881*'前提と出典'!$E$6</ns0:f>
        <ns0:v>419499.20535567333</ns0:v>
      </ns0:c>
      <ns0:c r="Z881" s="7">
        <ns0:f>X881+Y881</ns0:f>
        <ns0:v>1532374.175058767</ns0:v>
      </ns0:c>
      <ns0:c r="AA881" s="7">
        <ns0:f>IF(T881&gt;=0,A881,1001)</ns0:f>
        <ns0:v>877</ns0:v>
      </ns0:c>
      <ns0:c r="AB881" s="7">
        <ns0:f>IF(T881&lt;0,A881,0)</ns0:f>
        <ns0:v>0</ns0:v>
      </ns0:c>
      <ns0:c r="AC881" s="16">
        <ns0:f>IF(AND(OR('前提と出典'!$C$36+'前提と出典'!$C$38=0,R881&gt;=0),OR('前提と出典'!$C$37+'前提と出典'!$C$38=0,S881&gt;=0)),0,A881)</ns0:f>
        <ns0:v>0</ns0:v>
      </ns0:c>
      <ns0:c r="AD881" s="7">
        <ns0:f>IF(W881&gt;=0,A881,1001)</ns0:f>
        <ns0:v>877</ns0:v>
      </ns0:c>
      <ns0:c r="AE881" s="7">
        <ns0:f>IF(W881&lt;0,A881,0)</ns0:f>
        <ns0:v>0</ns0:v>
      </ns0:c>
      <ns0:c r="AF881" s="16">
        <ns0:f>IF(AND(OR('前提と出典'!$C$36+'前提と出典'!$C$38=0,U881&gt;=0),OR('前提と出典'!$C$37+'前提と出典'!$C$38=0,V881&gt;=0)),0,A881)</ns0:f>
        <ns0:v>0</ns0:v>
      </ns0:c>
      <ns0:c r="AG881" s="7">
        <ns0:f>IF(Z881&gt;=0,A881,1001)</ns0:f>
        <ns0:v>877</ns0:v>
      </ns0:c>
      <ns0:c r="AH881" s="4">
        <ns0:f>IF(Z881&lt;0,A881,0)</ns0:f>
        <ns0:v>0</ns0:v>
      </ns0:c>
      <ns0:c r="AI881" s="12">
        <ns0:f>IF(AND(OR('前提と出典'!$C$36+'前提と出典'!$C$38=0,X881&gt;=0),OR('前提と出典'!$C$37+'前提と出典'!$C$38=0,Y881&gt;=0)),0,A881)</ns0:f>
        <ns0:v>0</ns0:v>
      </ns0:c>
    </ns0:row>
    <ns0:row r="882" ht="24" customHeight="1">
      <ns0:c r="A882" s="4" t="n">
        <ns0:v>878</ns0:v>
      </ns0:c>
      <ns0:c r="B882" s="12">
        <ns0:f>A882*('前提と出典'!$C$36+'前提と出典'!$C$38)</ns0:f>
        <ns0:v>614.5999999999999</ns0:v>
      </ns0:c>
      <ns0:c r="C882" s="12">
        <ns0:f>A882*('前提と出典'!$C$37+'前提と出典'!$C$38)</ns0:f>
        <ns0:v>526.8</ns0:v>
      </ns0:c>
      <ns0:c r="D882" s="16">
        <ns0:f>A882*('前提と出典'!$C$36*'契約別単価'!C5+'前提と出典'!$C$37*'契約別単価'!C6+'前提と出典'!$C$38*'契約別単価'!C7)</ns0:f>
        <ns0:v>6317.675977653631</ns0:v>
      </ns0:c>
      <ns0:c r="E882" s="16">
        <ns0:f>A882*('前提と出典'!$C$36*'契約別単価'!E5+'前提と出典'!$C$37*'契約別単価'!E6+'前提と出典'!$C$38*'契約別単価'!E7)</ns0:f>
        <ns0:v>1698881.4086110173</ns0:v>
      </ns0:c>
      <ns0:c r="F882" s="16">
        <ns0:f>A882*('前提と出典'!$C$36*'契約別単価'!F5+'前提と出典'!$C$37*'契約別単価'!F6+'前提と出典'!$C$38*'契約別単価'!F7)</ns0:f>
        <ns0:v>666749.2311801169</ns0:v>
      </ns0:c>
      <ns0:c r="G882" s="16">
        <ns0:f>A882*('前提と出典'!$C$36*'契約別単価'!G5+'前提と出典'!$C$37*'契約別単価'!G6+'前提と出典'!$C$38*'契約別単価'!G7)</ns0:f>
        <ns0:v>1747661.4525139665</ns0:v>
      </ns0:c>
      <ns0:c r="H882" s="16">
        <ns0:f>A882*('前提と出典'!$C$36*'契約別単価'!H5+'前提と出典'!$C$37*'契約別単価'!H6+'前提と出典'!$C$38*'契約別単価'!H7)</ns0:f>
        <ns0:v>606526.1761320569</ns0:v>
      </ns0:c>
      <ns0:c r="I882" s="16">
        <ns0:f>A882*('前提と出典'!$C$36*'契約別単価'!I5+'前提と出典'!$C$37*'契約別単価'!I6+'前提と出典'!$C$38*'契約別単価'!I7)</ns0:f>
        <ns0:v>37047.67597765363</ns0:v>
      </ns0:c>
      <ns0:c r="J882" s="16">
        <ns0:f>A882*('前提と出典'!$C$36*'契約別単価'!J5+'前提と出典'!$C$37*'契約別単価'!J6+'前提と出典'!$C$38*'契約別単価'!J7)</ns0:f>
        <ns0:v>86298.21937764566</ns0:v>
      </ns0:c>
      <ns0:c r="K882" s="16">
        <ns0:f>A882*('前提と出典'!$C$36*'契約別単価'!K5+'前提と出典'!$C$37*'契約別単価'!K6+'前提と出典'!$C$38*'契約別単価'!K7)</ns0:f>
        <ns0:v>369904.50651769084</ns0:v>
      </ns0:c>
      <ns0:c r="L882" s="16">
        <ns0:f>A882*('前提と出典'!$C$36*'契約別単価'!L5+'前提と出典'!$C$37*'契約別単価'!L6+'前提と出典'!$C$38*'契約別単価'!L7)</ns0:f>
        <ns0:v>301177.5392044019</ns0:v>
      </ns0:c>
      <ns0:c r="M882" s="16">
        <ns0:f>IF(('前提と出典'!$C$36+'前提と出典'!$C$38)=0,0,IF(B882&lt;=10,'前提と出典'!B73+'前提と出典'!C73,IF(B882&lt;=100,'前提と出典'!B74+'前提と出典'!C74,IF(B882&lt;=500,'前提と出典'!B75+'前提と出典'!C75,'前提と出典'!B76+'前提と出典'!C76))))</ns0:f>
        <ns0:v>80000</ns0:v>
      </ns0:c>
      <ns0:c r="N882" s="16">
        <ns0:f>IF(('前提と出典'!$C$37+'前提と出典'!$C$38)=0,0,IF(C882&lt;=10,'前提と出典'!D73+'前提と出典'!E73,IF(C882&lt;=100,'前提と出典'!D74+'前提と出典'!E74,IF(C882&lt;=500,'前提と出典'!D75+'前提と出典'!E75,'前提と出典'!D76+'前提と出典'!E76))))</ns0:f>
        <ns0:v>86510.9346263078</ns0:v>
      </ns0:c>
      <ns0:c r="O882" s="16">
        <ns0:f>IF('前提と出典'!$C$36+'前提と出典'!$C$38=0,0,'前提と出典'!$B$4*IF('前提と出典'!$B$20=0,MAX('前提と出典'!$B$6,D882*'前提と出典'!$B$5),'前提と出典'!$B$6+D882*'前提と出典'!$B$5))</ns0:f>
        <ns0:v>871839.2849162011</ns0:v>
      </ns0:c>
      <ns0:c r="P882" s="16">
        <ns0:f>(E882+G882)*(1-'前提と出典'!$B$7)-I882-K882-M882-O882</ns0:f>
        <ns0:v>1963675.850712939</ns0:v>
      </ns0:c>
      <ns0:c r="Q882" s="16">
        <ns0:f>(F882+H882)*(1-'前提と出典'!$B$7)-J882-L882-N882</ns0:f>
        <ns0:v>753450.7994405804</ns0:v>
      </ns0:c>
      <ns0:c r="R882" s="16">
        <ns0:f>P882-E882*'前提と出典'!$E$4</ns0:f>
        <ns0:v>1454011.4281296334</ns0:v>
      </ns0:c>
      <ns0:c r="S882" s="16">
        <ns0:f>Q882-F882*'前提と出典'!$E$4</ns0:f>
        <ns0:v>553426.0300865452</ns0:v>
      </ns0:c>
      <ns0:c r="T882" s="7">
        <ns0:f>R882+S882</ns0:f>
        <ns0:v>2007437.4582161787</ns0:v>
      </ns0:c>
      <ns0:c r="U882" s="16">
        <ns0:f>P882-E882*'前提と出典'!$E$5</ns0:f>
        <ns0:v>1284123.287268532</ns0:v>
      </ns0:c>
      <ns0:c r="V882" s="16">
        <ns0:f>Q882-F882*'前提と出典'!$E$5</ns0:f>
        <ns0:v>486751.1069685336</ns0:v>
      </ns0:c>
      <ns0:c r="W882" s="7">
        <ns0:f>U882+V882</ns0:f>
        <ns0:v>1770874.3942370657</ns0:v>
      </ns0:c>
      <ns0:c r="X882" s="16">
        <ns0:f>P882-E882*'前提と出典'!$E$6</ns0:f>
        <ns0:v>1114235.1464074303</ns0:v>
      </ns0:c>
      <ns0:c r="Y882" s="16">
        <ns0:f>Q882-F882*'前提と出典'!$E$6</ns0:f>
        <ns0:v>420076.1838505218</ns0:v>
      </ns0:c>
      <ns0:c r="Z882" s="7">
        <ns0:f>X882+Y882</ns0:f>
        <ns0:v>1534311.3302579522</ns0:v>
      </ns0:c>
      <ns0:c r="AA882" s="7">
        <ns0:f>IF(T882&gt;=0,A882,1001)</ns0:f>
        <ns0:v>878</ns0:v>
      </ns0:c>
      <ns0:c r="AB882" s="7">
        <ns0:f>IF(T882&lt;0,A882,0)</ns0:f>
        <ns0:v>0</ns0:v>
      </ns0:c>
      <ns0:c r="AC882" s="16">
        <ns0:f>IF(AND(OR('前提と出典'!$C$36+'前提と出典'!$C$38=0,R882&gt;=0),OR('前提と出典'!$C$37+'前提と出典'!$C$38=0,S882&gt;=0)),0,A882)</ns0:f>
        <ns0:v>0</ns0:v>
      </ns0:c>
      <ns0:c r="AD882" s="7">
        <ns0:f>IF(W882&gt;=0,A882,1001)</ns0:f>
        <ns0:v>878</ns0:v>
      </ns0:c>
      <ns0:c r="AE882" s="7">
        <ns0:f>IF(W882&lt;0,A882,0)</ns0:f>
        <ns0:v>0</ns0:v>
      </ns0:c>
      <ns0:c r="AF882" s="16">
        <ns0:f>IF(AND(OR('前提と出典'!$C$36+'前提と出典'!$C$38=0,U882&gt;=0),OR('前提と出典'!$C$37+'前提と出典'!$C$38=0,V882&gt;=0)),0,A882)</ns0:f>
        <ns0:v>0</ns0:v>
      </ns0:c>
      <ns0:c r="AG882" s="7">
        <ns0:f>IF(Z882&gt;=0,A882,1001)</ns0:f>
        <ns0:v>878</ns0:v>
      </ns0:c>
      <ns0:c r="AH882" s="4">
        <ns0:f>IF(Z882&lt;0,A882,0)</ns0:f>
        <ns0:v>0</ns0:v>
      </ns0:c>
      <ns0:c r="AI882" s="12">
        <ns0:f>IF(AND(OR('前提と出典'!$C$36+'前提と出典'!$C$38=0,X882&gt;=0),OR('前提と出典'!$C$37+'前提と出典'!$C$38=0,Y882&gt;=0)),0,A882)</ns0:f>
        <ns0:v>0</ns0:v>
      </ns0:c>
    </ns0:row>
    <ns0:row r="883" ht="24" customHeight="1">
      <ns0:c r="A883" s="4" t="n">
        <ns0:v>879</ns0:v>
      </ns0:c>
      <ns0:c r="B883" s="12">
        <ns0:f>A883*('前提と出典'!$C$36+'前提と出典'!$C$38)</ns0:f>
        <ns0:v>615.3</ns0:v>
      </ns0:c>
      <ns0:c r="C883" s="12">
        <ns0:f>A883*('前提と出典'!$C$37+'前提と出典'!$C$38)</ns0:f>
        <ns0:v>527.4</ns0:v>
      </ns0:c>
      <ns0:c r="D883" s="16">
        <ns0:f>A883*('前提と出典'!$C$36*'契約別単価'!C5+'前提と出典'!$C$37*'契約別単価'!C6+'前提と出典'!$C$38*'契約別単価'!C7)</ns0:f>
        <ns0:v>6324.871508379888</ns0:v>
      </ns0:c>
      <ns0:c r="E883" s="16">
        <ns0:f>A883*('前提と出典'!$C$36*'契約別単価'!E5+'前提と出典'!$C$37*'契約別単価'!E6+'前提と出典'!$C$38*'契約別単価'!E7)</ns0:f>
        <ns0:v>1700816.3532677498</ns0:v>
      </ns0:c>
      <ns0:c r="F883" s="16">
        <ns0:f>A883*('前提と出典'!$C$36*'契約別単価'!F5+'前提と出典'!$C$37*'契約別単価'!F6+'前提と出典'!$C$38*'契約別単価'!F7)</ns0:f>
        <ns0:v>667508.6266598209</ns0:v>
      </ns0:c>
      <ns0:c r="G883" s="16">
        <ns0:f>A883*('前提と出典'!$C$36*'契約別単価'!G5+'前提と出典'!$C$37*'契約別単価'!G6+'前提と出典'!$C$38*'契約別単価'!G7)</ns0:f>
        <ns0:v>1749651.9553072625</ns0:v>
      </ns0:c>
      <ns0:c r="H883" s="16">
        <ns0:f>A883*('前提と出典'!$C$36*'契約別単価'!H5+'前提と出典'!$C$37*'契約別単価'!H6+'前提と出典'!$C$38*'契約別単価'!H7)</ns0:f>
        <ns0:v>607216.9804328906</ns0:v>
      </ns0:c>
      <ns0:c r="I883" s="16">
        <ns0:f>A883*('前提と出典'!$C$36*'契約別単価'!I5+'前提と出典'!$C$37*'契約別単価'!I6+'前提と出典'!$C$38*'契約別単価'!I7)</ns0:f>
        <ns0:v>37089.87150837988</ns0:v>
      </ns0:c>
      <ns0:c r="J883" s="16">
        <ns0:f>A883*('前提と出典'!$C$36*'契約別単価'!J5+'前提と出典'!$C$37*'契約別単価'!J6+'前提と出典'!$C$38*'契約別単価'!J7)</ns0:f>
        <ns0:v>86396.50892135595</ns0:v>
      </ns0:c>
      <ns0:c r="K883" s="16">
        <ns0:f>A883*('前提と出典'!$C$36*'契約別単価'!K5+'前提と出典'!$C$37*'契約別単価'!K6+'前提と出典'!$C$38*'契約別単価'!K7)</ns0:f>
        <ns0:v>370325.8100558659</ns0:v>
      </ns0:c>
      <ns0:c r="L883" s="16">
        <ns0:f>A883*('前提と出典'!$C$36*'契約別単価'!L5+'前提と出典'!$C$37*'契約別単価'!L6+'前提と出典'!$C$38*'契約別単価'!L7)</ns0:f>
        <ns0:v>301520.56601442967</ns0:v>
      </ns0:c>
      <ns0:c r="M883" s="16">
        <ns0:f>IF(('前提と出典'!$C$36+'前提と出典'!$C$38)=0,0,IF(B883&lt;=10,'前提と出典'!B73+'前提と出典'!C73,IF(B883&lt;=100,'前提と出典'!B74+'前提と出典'!C74,IF(B883&lt;=500,'前提と出典'!B75+'前提と出典'!C75,'前提と出典'!B76+'前提と出典'!C76))))</ns0:f>
        <ns0:v>80000</ns0:v>
      </ns0:c>
      <ns0:c r="N883" s="16">
        <ns0:f>IF(('前提と出典'!$C$37+'前提と出典'!$C$38)=0,0,IF(C883&lt;=10,'前提と出典'!D73+'前提と出典'!E73,IF(C883&lt;=100,'前提と出典'!D74+'前提と出典'!E74,IF(C883&lt;=500,'前提と出典'!D75+'前提と出典'!E75,'前提と出典'!D76+'前提と出典'!E76))))</ns0:f>
        <ns0:v>86510.9346263078</ns0:v>
      </ns0:c>
      <ns0:c r="O883" s="16">
        <ns0:f>IF('前提と出典'!$C$36+'前提と出典'!$C$38=0,0,'前提と出典'!$B$4*IF('前提と出典'!$B$20=0,MAX('前提と出典'!$B$6,D883*'前提と出典'!$B$5),'前提と出典'!$B$6+D883*'前提と出典'!$B$5))</ns0:f>
        <ns0:v>872832.2681564245</ns0:v>
      </ns0:c>
      <ns0:c r="P883" s="16">
        <ns0:f>(E883+G883)*(1-'前提と出典'!$B$7)-I883-K883-M883-O883</ns0:f>
        <ns0:v>1966003.4997456414</ns0:v>
      </ns0:c>
      <ns0:c r="Q883" s="16">
        <ns0:f>(F883+H883)*(1-'前提と出典'!$B$7)-J883-L883-N883</ns0:f>
        <ns0:v>754407.4756752804</ns0:v>
      </ns0:c>
      <ns0:c r="R883" s="16">
        <ns0:f>P883-E883*'前提と出典'!$E$4</ns0:f>
        <ns0:v>1455758.5937653165</ns0:v>
      </ns0:c>
      <ns0:c r="S883" s="16">
        <ns0:f>Q883-F883*'前提と出典'!$E$4</ns0:f>
        <ns0:v>554154.8876773344</ns0:v>
      </ns0:c>
      <ns0:c r="T883" s="7">
        <ns0:f>R883+S883</ns0:f>
        <ns0:v>2009913.4814426508</ns0:v>
      </ns0:c>
      <ns0:c r="U883" s="16">
        <ns0:f>P883-E883*'前提と出典'!$E$5</ns0:f>
        <ns0:v>1285676.9584385413</ns0:v>
      </ns0:c>
      <ns0:c r="V883" s="16">
        <ns0:f>Q883-F883*'前提と出典'!$E$5</ns0:f>
        <ns0:v>487404.02501135215</ns0:v>
      </ns0:c>
      <ns0:c r="W883" s="7">
        <ns0:f>U883+V883</ns0:f>
        <ns0:v>1773080.9834498935</ns0:v>
      </ns0:c>
      <ns0:c r="X883" s="16">
        <ns0:f>P883-E883*'前提と出典'!$E$6</ns0:f>
        <ns0:v>1115595.3231117665</ns0:v>
      </ns0:c>
      <ns0:c r="Y883" s="16">
        <ns0:f>Q883-F883*'前提と出典'!$E$6</ns0:f>
        <ns0:v>420653.16234537016</ns0:v>
      </ns0:c>
      <ns0:c r="Z883" s="7">
        <ns0:f>X883+Y883</ns0:f>
        <ns0:v>1536248.4854571368</ns0:v>
      </ns0:c>
      <ns0:c r="AA883" s="7">
        <ns0:f>IF(T883&gt;=0,A883,1001)</ns0:f>
        <ns0:v>879</ns0:v>
      </ns0:c>
      <ns0:c r="AB883" s="7">
        <ns0:f>IF(T883&lt;0,A883,0)</ns0:f>
        <ns0:v>0</ns0:v>
      </ns0:c>
      <ns0:c r="AC883" s="16">
        <ns0:f>IF(AND(OR('前提と出典'!$C$36+'前提と出典'!$C$38=0,R883&gt;=0),OR('前提と出典'!$C$37+'前提と出典'!$C$38=0,S883&gt;=0)),0,A883)</ns0:f>
        <ns0:v>0</ns0:v>
      </ns0:c>
      <ns0:c r="AD883" s="7">
        <ns0:f>IF(W883&gt;=0,A883,1001)</ns0:f>
        <ns0:v>879</ns0:v>
      </ns0:c>
      <ns0:c r="AE883" s="7">
        <ns0:f>IF(W883&lt;0,A883,0)</ns0:f>
        <ns0:v>0</ns0:v>
      </ns0:c>
      <ns0:c r="AF883" s="16">
        <ns0:f>IF(AND(OR('前提と出典'!$C$36+'前提と出典'!$C$38=0,U883&gt;=0),OR('前提と出典'!$C$37+'前提と出典'!$C$38=0,V883&gt;=0)),0,A883)</ns0:f>
        <ns0:v>0</ns0:v>
      </ns0:c>
      <ns0:c r="AG883" s="7">
        <ns0:f>IF(Z883&gt;=0,A883,1001)</ns0:f>
        <ns0:v>879</ns0:v>
      </ns0:c>
      <ns0:c r="AH883" s="4">
        <ns0:f>IF(Z883&lt;0,A883,0)</ns0:f>
        <ns0:v>0</ns0:v>
      </ns0:c>
      <ns0:c r="AI883" s="12">
        <ns0:f>IF(AND(OR('前提と出典'!$C$36+'前提と出典'!$C$38=0,X883&gt;=0),OR('前提と出典'!$C$37+'前提と出典'!$C$38=0,Y883&gt;=0)),0,A883)</ns0:f>
        <ns0:v>0</ns0:v>
      </ns0:c>
    </ns0:row>
    <ns0:row r="884" ht="24" customHeight="1">
      <ns0:c r="A884" s="4" t="n">
        <ns0:v>880</ns0:v>
      </ns0:c>
      <ns0:c r="B884" s="12">
        <ns0:f>A884*('前提と出典'!$C$36+'前提と出典'!$C$38)</ns0:f>
        <ns0:v>616</ns0:v>
      </ns0:c>
      <ns0:c r="C884" s="12">
        <ns0:f>A884*('前提と出典'!$C$37+'前提と出典'!$C$38)</ns0:f>
        <ns0:v>528</ns0:v>
      </ns0:c>
      <ns0:c r="D884" s="16">
        <ns0:f>A884*('前提と出典'!$C$36*'契約別単価'!C5+'前提と出典'!$C$37*'契約別単価'!C6+'前提と出典'!$C$38*'契約別単価'!C7)</ns0:f>
        <ns0:v>6332.067039106145</ns0:v>
      </ns0:c>
      <ns0:c r="E884" s="16">
        <ns0:f>A884*('前提と出典'!$C$36*'契約別単価'!E5+'前提と出典'!$C$37*'契約別単価'!E6+'前提と出典'!$C$38*'契約別単価'!E7)</ns0:f>
        <ns0:v>1702751.297924482</ns0:v>
      </ns0:c>
      <ns0:c r="F884" s="16">
        <ns0:f>A884*('前提と出典'!$C$36*'契約別単価'!F5+'前提と出典'!$C$37*'契約別単価'!F6+'前提と出典'!$C$38*'契約別単価'!F7)</ns0:f>
        <ns0:v>668268.0221395249</ns0:v>
      </ns0:c>
      <ns0:c r="G884" s="16">
        <ns0:f>A884*('前提と出典'!$C$36*'契約別単価'!G5+'前提と出典'!$C$37*'契約別単価'!G6+'前提と出典'!$C$38*'契約別単価'!G7)</ns0:f>
        <ns0:v>1751642.4581005585</ns0:v>
      </ns0:c>
      <ns0:c r="H884" s="16">
        <ns0:f>A884*('前提と出典'!$C$36*'契約別単価'!H5+'前提と出典'!$C$37*'契約別単価'!H6+'前提と出典'!$C$38*'契約別単価'!H7)</ns0:f>
        <ns0:v>607907.7847337243</ns0:v>
      </ns0:c>
      <ns0:c r="I884" s="16">
        <ns0:f>A884*('前提と出典'!$C$36*'契約別単価'!I5+'前提と出典'!$C$37*'契約別単価'!I6+'前提と出典'!$C$38*'契約別単価'!I7)</ns0:f>
        <ns0:v>37132.067039106136</ns0:v>
      </ns0:c>
      <ns0:c r="J884" s="16">
        <ns0:f>A884*('前提と出典'!$C$36*'契約別単価'!J5+'前提と出典'!$C$37*'契約別単価'!J6+'前提と出典'!$C$38*'契約別単価'!J7)</ns0:f>
        <ns0:v>86494.79846506625</ns0:v>
      </ns0:c>
      <ns0:c r="K884" s="16">
        <ns0:f>A884*('前提と出典'!$C$36*'契約別単価'!K5+'前提と出典'!$C$37*'契約別単価'!K6+'前提と出典'!$C$38*'契約別単価'!K7)</ns0:f>
        <ns0:v>370747.1135940409</ns0:v>
      </ns0:c>
      <ns0:c r="L884" s="16">
        <ns0:f>A884*('前提と出典'!$C$36*'契約別単価'!L5+'前提と出典'!$C$37*'契約別単価'!L6+'前提と出典'!$C$38*'契約別単価'!L7)</ns0:f>
        <ns0:v>301863.59282445745</ns0:v>
      </ns0:c>
      <ns0:c r="M884" s="16">
        <ns0:f>IF(('前提と出典'!$C$36+'前提と出典'!$C$38)=0,0,IF(B884&lt;=10,'前提と出典'!B73+'前提と出典'!C73,IF(B884&lt;=100,'前提と出典'!B74+'前提と出典'!C74,IF(B884&lt;=500,'前提と出典'!B75+'前提と出典'!C75,'前提と出典'!B76+'前提と出典'!C76))))</ns0:f>
        <ns0:v>80000</ns0:v>
      </ns0:c>
      <ns0:c r="N884" s="16">
        <ns0:f>IF(('前提と出典'!$C$37+'前提と出典'!$C$38)=0,0,IF(C884&lt;=10,'前提と出典'!D73+'前提と出典'!E73,IF(C884&lt;=100,'前提と出典'!D74+'前提と出典'!E74,IF(C884&lt;=500,'前提と出典'!D75+'前提と出典'!E75,'前提と出典'!D76+'前提と出典'!E76))))</ns0:f>
        <ns0:v>86510.9346263078</ns0:v>
      </ns0:c>
      <ns0:c r="O884" s="16">
        <ns0:f>IF('前提と出典'!$C$36+'前提と出典'!$C$38=0,0,'前提と出典'!$B$4*IF('前提と出典'!$B$20=0,MAX('前提と出典'!$B$6,D884*'前提と出典'!$B$5),'前提と出典'!$B$6+D884*'前提と出典'!$B$5))</ns0:f>
        <ns0:v>873825.251396648</ns0:v>
      </ns0:c>
      <ns0:c r="P884" s="16">
        <ns0:f>(E884+G884)*(1-'前提と出典'!$B$7)-I884-K884-M884-O884</ns0:f>
        <ns0:v>1968331.148778344</ns0:v>
      </ns0:c>
      <ns0:c r="Q884" s="16">
        <ns0:f>(F884+H884)*(1-'前提と出典'!$B$7)-J884-L884-N884</ns0:f>
        <ns0:v>755364.1519099809</ns0:v>
      </ns0:c>
      <ns0:c r="R884" s="16">
        <ns0:f>P884-E884*'前提と出典'!$E$4</ns0:f>
        <ns0:v>1457505.7594009996</ns0:v>
      </ns0:c>
      <ns0:c r="S884" s="16">
        <ns0:f>Q884-F884*'前提と出典'!$E$4</ns0:f>
        <ns0:v>554883.7452681235</ns0:v>
      </ns0:c>
      <ns0:c r="T884" s="7">
        <ns0:f>R884+S884</ns0:f>
        <ns0:v>2012389.504669123</ns0:v>
      </ns0:c>
      <ns0:c r="U884" s="16">
        <ns0:f>P884-E884*'前提と出典'!$E$5</ns0:f>
        <ns0:v>1287230.629608551</ns0:v>
      </ns0:c>
      <ns0:c r="V884" s="16">
        <ns0:f>Q884-F884*'前提と出典'!$E$5</ns0:f>
        <ns0:v>488056.94305417093</ns0:v>
      </ns0:c>
      <ns0:c r="W884" s="7">
        <ns0:f>U884+V884</ns0:f>
        <ns0:v>1775287.5726627219</ns0:v>
      </ns0:c>
      <ns0:c r="X884" s="16">
        <ns0:f>P884-E884*'前提と出典'!$E$6</ns0:f>
        <ns0:v>1116955.499816103</ns0:v>
      </ns0:c>
      <ns0:c r="Y884" s="16">
        <ns0:f>Q884-F884*'前提と出典'!$E$6</ns0:f>
        <ns0:v>421230.1408402184</ns0:v>
      </ns0:c>
      <ns0:c r="Z884" s="7">
        <ns0:f>X884+Y884</ns0:f>
        <ns0:v>1538185.6406563213</ns0:v>
      </ns0:c>
      <ns0:c r="AA884" s="7">
        <ns0:f>IF(T884&gt;=0,A884,1001)</ns0:f>
        <ns0:v>880</ns0:v>
      </ns0:c>
      <ns0:c r="AB884" s="7">
        <ns0:f>IF(T884&lt;0,A884,0)</ns0:f>
        <ns0:v>0</ns0:v>
      </ns0:c>
      <ns0:c r="AC884" s="16">
        <ns0:f>IF(AND(OR('前提と出典'!$C$36+'前提と出典'!$C$38=0,R884&gt;=0),OR('前提と出典'!$C$37+'前提と出典'!$C$38=0,S884&gt;=0)),0,A884)</ns0:f>
        <ns0:v>0</ns0:v>
      </ns0:c>
      <ns0:c r="AD884" s="7">
        <ns0:f>IF(W884&gt;=0,A884,1001)</ns0:f>
        <ns0:v>880</ns0:v>
      </ns0:c>
      <ns0:c r="AE884" s="7">
        <ns0:f>IF(W884&lt;0,A884,0)</ns0:f>
        <ns0:v>0</ns0:v>
      </ns0:c>
      <ns0:c r="AF884" s="16">
        <ns0:f>IF(AND(OR('前提と出典'!$C$36+'前提と出典'!$C$38=0,U884&gt;=0),OR('前提と出典'!$C$37+'前提と出典'!$C$38=0,V884&gt;=0)),0,A884)</ns0:f>
        <ns0:v>0</ns0:v>
      </ns0:c>
      <ns0:c r="AG884" s="7">
        <ns0:f>IF(Z884&gt;=0,A884,1001)</ns0:f>
        <ns0:v>880</ns0:v>
      </ns0:c>
      <ns0:c r="AH884" s="4">
        <ns0:f>IF(Z884&lt;0,A884,0)</ns0:f>
        <ns0:v>0</ns0:v>
      </ns0:c>
      <ns0:c r="AI884" s="12">
        <ns0:f>IF(AND(OR('前提と出典'!$C$36+'前提と出典'!$C$38=0,X884&gt;=0),OR('前提と出典'!$C$37+'前提と出典'!$C$38=0,Y884&gt;=0)),0,A884)</ns0:f>
        <ns0:v>0</ns0:v>
      </ns0:c>
    </ns0:row>
    <ns0:row r="885" ht="24" customHeight="1">
      <ns0:c r="A885" s="4" t="n">
        <ns0:v>881</ns0:v>
      </ns0:c>
      <ns0:c r="B885" s="12">
        <ns0:f>A885*('前提と出典'!$C$36+'前提と出典'!$C$38)</ns0:f>
        <ns0:v>616.6999999999999</ns0:v>
      </ns0:c>
      <ns0:c r="C885" s="12">
        <ns0:f>A885*('前提と出典'!$C$37+'前提と出典'!$C$38)</ns0:f>
        <ns0:v>528.6</ns0:v>
      </ns0:c>
      <ns0:c r="D885" s="16">
        <ns0:f>A885*('前提と出典'!$C$36*'契約別単価'!C5+'前提と出典'!$C$37*'契約別単価'!C6+'前提と出典'!$C$38*'契約別単価'!C7)</ns0:f>
        <ns0:v>6339.262569832402</ns0:v>
      </ns0:c>
      <ns0:c r="E885" s="16">
        <ns0:f>A885*('前提と出典'!$C$36*'契約別単価'!E5+'前提と出典'!$C$37*'契約別単価'!E6+'前提と出典'!$C$38*'契約別単価'!E7)</ns0:f>
        <ns0:v>1704686.2425812145</ns0:v>
      </ns0:c>
      <ns0:c r="F885" s="16">
        <ns0:f>A885*('前提と出典'!$C$36*'契約別単価'!F5+'前提と出典'!$C$37*'契約別単価'!F6+'前提と出典'!$C$38*'契約別単価'!F7)</ns0:f>
        <ns0:v>669027.4176192288</ns0:v>
      </ns0:c>
      <ns0:c r="G885" s="16">
        <ns0:f>A885*('前提と出典'!$C$36*'契約別単価'!G5+'前提と出典'!$C$37*'契約別単価'!G6+'前提と出典'!$C$38*'契約別単価'!G7)</ns0:f>
        <ns0:v>1753632.9608938547</ns0:v>
      </ns0:c>
      <ns0:c r="H885" s="16">
        <ns0:f>A885*('前提と出典'!$C$36*'契約別単価'!H5+'前提と出典'!$C$37*'契約別単価'!H6+'前提と出典'!$C$38*'契約別単価'!H7)</ns0:f>
        <ns0:v>608598.5890345582</ns0:v>
      </ns0:c>
      <ns0:c r="I885" s="16">
        <ns0:f>A885*('前提と出典'!$C$36*'契約別単価'!I5+'前提と出典'!$C$37*'契約別単価'!I6+'前提と出典'!$C$38*'契約別単価'!I7)</ns0:f>
        <ns0:v>37174.2625698324</ns0:v>
      </ns0:c>
      <ns0:c r="J885" s="16">
        <ns0:f>A885*('前提と出典'!$C$36*'契約別単価'!J5+'前提と出典'!$C$37*'契約別単価'!J6+'前提と出典'!$C$38*'契約別単価'!J7)</ns0:f>
        <ns0:v>86593.08800877655</ns0:v>
      </ns0:c>
      <ns0:c r="K885" s="16">
        <ns0:f>A885*('前提と出典'!$C$36*'契約別単価'!K5+'前提と出典'!$C$37*'契約別単価'!K6+'前提と出典'!$C$38*'契約別単価'!K7)</ns0:f>
        <ns0:v>371168.417132216</ns0:v>
      </ns0:c>
      <ns0:c r="L885" s="16">
        <ns0:f>A885*('前提と出典'!$C$36*'契約別単価'!L5+'前提と出典'!$C$37*'契約別単価'!L6+'前提と出典'!$C$38*'契約別単価'!L7)</ns0:f>
        <ns0:v>302206.6196344853</ns0:v>
      </ns0:c>
      <ns0:c r="M885" s="16">
        <ns0:f>IF(('前提と出典'!$C$36+'前提と出典'!$C$38)=0,0,IF(B885&lt;=10,'前提と出典'!B73+'前提と出典'!C73,IF(B885&lt;=100,'前提と出典'!B74+'前提と出典'!C74,IF(B885&lt;=500,'前提と出典'!B75+'前提と出典'!C75,'前提と出典'!B76+'前提と出典'!C76))))</ns0:f>
        <ns0:v>80000</ns0:v>
      </ns0:c>
      <ns0:c r="N885" s="16">
        <ns0:f>IF(('前提と出典'!$C$37+'前提と出典'!$C$38)=0,0,IF(C885&lt;=10,'前提と出典'!D73+'前提と出典'!E73,IF(C885&lt;=100,'前提と出典'!D74+'前提と出典'!E74,IF(C885&lt;=500,'前提と出典'!D75+'前提と出典'!E75,'前提と出典'!D76+'前提と出典'!E76))))</ns0:f>
        <ns0:v>86510.9346263078</ns0:v>
      </ns0:c>
      <ns0:c r="O885" s="16">
        <ns0:f>IF('前提と出典'!$C$36+'前提と出典'!$C$38=0,0,'前提と出典'!$B$4*IF('前提と出典'!$B$20=0,MAX('前提と出典'!$B$6,D885*'前提と出典'!$B$5),'前提と出典'!$B$6+D885*'前提と出典'!$B$5))</ns0:f>
        <ns0:v>874818.2346368715</ns0:v>
      </ns0:c>
      <ns0:c r="P885" s="16">
        <ns0:f>(E885+G885)*(1-'前提と出典'!$B$7)-I885-K885-M885-O885</ns0:f>
        <ns0:v>1970658.7978110467</ns0:v>
      </ns0:c>
      <ns0:c r="Q885" s="16">
        <ns0:f>(F885+H885)*(1-'前提と出典'!$B$7)-J885-L885-N885</ns0:f>
        <ns0:v>756320.8281446812</ns0:v>
      </ns0:c>
      <ns0:c r="R885" s="16">
        <ns0:f>P885-E885*'前提と出典'!$E$4</ns0:f>
        <ns0:v>1459252.9250366823</ns0:v>
      </ns0:c>
      <ns0:c r="S885" s="16">
        <ns0:f>Q885-F885*'前提と出典'!$E$4</ns0:f>
        <ns0:v>555612.6028589124</ns0:v>
      </ns0:c>
      <ns0:c r="T885" s="7">
        <ns0:f>R885+S885</ns0:f>
        <ns0:v>2014865.5278955947</ns0:v>
      </ns0:c>
      <ns0:c r="U885" s="16">
        <ns0:f>P885-E885*'前提と出典'!$E$5</ns0:f>
        <ns0:v>1288784.3007785608</ns0:v>
      </ns0:c>
      <ns0:c r="V885" s="16">
        <ns0:f>Q885-F885*'前提と出典'!$E$5</ns0:f>
        <ns0:v>488709.8610969896</ns0:v>
      </ns0:c>
      <ns0:c r="W885" s="7">
        <ns0:f>U885+V885</ns0:f>
        <ns0:v>1777494.1618755504</ns0:v>
      </ns0:c>
      <ns0:c r="X885" s="16">
        <ns0:f>P885-E885*'前提と出典'!$E$6</ns0:f>
        <ns0:v>1118315.6765204393</ns0:v>
      </ns0:c>
      <ns0:c r="Y885" s="16">
        <ns0:f>Q885-F885*'前提と出典'!$E$6</ns0:f>
        <ns0:v>421807.1193350667</ns0:v>
      </ns0:c>
      <ns0:c r="Z885" s="7">
        <ns0:f>X885+Y885</ns0:f>
        <ns0:v>1540122.795855506</ns0:v>
      </ns0:c>
      <ns0:c r="AA885" s="7">
        <ns0:f>IF(T885&gt;=0,A885,1001)</ns0:f>
        <ns0:v>881</ns0:v>
      </ns0:c>
      <ns0:c r="AB885" s="7">
        <ns0:f>IF(T885&lt;0,A885,0)</ns0:f>
        <ns0:v>0</ns0:v>
      </ns0:c>
      <ns0:c r="AC885" s="16">
        <ns0:f>IF(AND(OR('前提と出典'!$C$36+'前提と出典'!$C$38=0,R885&gt;=0),OR('前提と出典'!$C$37+'前提と出典'!$C$38=0,S885&gt;=0)),0,A885)</ns0:f>
        <ns0:v>0</ns0:v>
      </ns0:c>
      <ns0:c r="AD885" s="7">
        <ns0:f>IF(W885&gt;=0,A885,1001)</ns0:f>
        <ns0:v>881</ns0:v>
      </ns0:c>
      <ns0:c r="AE885" s="7">
        <ns0:f>IF(W885&lt;0,A885,0)</ns0:f>
        <ns0:v>0</ns0:v>
      </ns0:c>
      <ns0:c r="AF885" s="16">
        <ns0:f>IF(AND(OR('前提と出典'!$C$36+'前提と出典'!$C$38=0,U885&gt;=0),OR('前提と出典'!$C$37+'前提と出典'!$C$38=0,V885&gt;=0)),0,A885)</ns0:f>
        <ns0:v>0</ns0:v>
      </ns0:c>
      <ns0:c r="AG885" s="7">
        <ns0:f>IF(Z885&gt;=0,A885,1001)</ns0:f>
        <ns0:v>881</ns0:v>
      </ns0:c>
      <ns0:c r="AH885" s="4">
        <ns0:f>IF(Z885&lt;0,A885,0)</ns0:f>
        <ns0:v>0</ns0:v>
      </ns0:c>
      <ns0:c r="AI885" s="12">
        <ns0:f>IF(AND(OR('前提と出典'!$C$36+'前提と出典'!$C$38=0,X885&gt;=0),OR('前提と出典'!$C$37+'前提と出典'!$C$38=0,Y885&gt;=0)),0,A885)</ns0:f>
        <ns0:v>0</ns0:v>
      </ns0:c>
    </ns0:row>
    <ns0:row r="886" ht="24" customHeight="1">
      <ns0:c r="A886" s="4" t="n">
        <ns0:v>882</ns0:v>
      </ns0:c>
      <ns0:c r="B886" s="12">
        <ns0:f>A886*('前提と出典'!$C$36+'前提と出典'!$C$38)</ns0:f>
        <ns0:v>617.4</ns0:v>
      </ns0:c>
      <ns0:c r="C886" s="12">
        <ns0:f>A886*('前提と出典'!$C$37+'前提と出典'!$C$38)</ns0:f>
        <ns0:v>529.1999999999999</ns0:v>
      </ns0:c>
      <ns0:c r="D886" s="16">
        <ns0:f>A886*('前提と出典'!$C$36*'契約別単価'!C5+'前提と出典'!$C$37*'契約別単価'!C6+'前提と出典'!$C$38*'契約別単価'!C7)</ns0:f>
        <ns0:v>6346.458100558659</ns0:v>
      </ns0:c>
      <ns0:c r="E886" s="16">
        <ns0:f>A886*('前提と出典'!$C$36*'契約別単価'!E5+'前提と出典'!$C$37*'契約別単価'!E6+'前提と出典'!$C$38*'契約別単価'!E7)</ns0:f>
        <ns0:v>1706621.1872379468</ns0:v>
      </ns0:c>
      <ns0:c r="F886" s="16">
        <ns0:f>A886*('前提と出典'!$C$36*'契約別単価'!F5+'前提と出典'!$C$37*'契約別単価'!F6+'前提と出典'!$C$38*'契約別単価'!F7)</ns0:f>
        <ns0:v>669786.8130989328</ns0:v>
      </ns0:c>
      <ns0:c r="G886" s="16">
        <ns0:f>A886*('前提と出典'!$C$36*'契約別単価'!G5+'前提と出典'!$C$37*'契約別単価'!G6+'前提と出典'!$C$38*'契約別単価'!G7)</ns0:f>
        <ns0:v>1755623.4636871507</ns0:v>
      </ns0:c>
      <ns0:c r="H886" s="16">
        <ns0:f>A886*('前提と出典'!$C$36*'契約別単価'!H5+'前提と出典'!$C$37*'契約別単価'!H6+'前提と出典'!$C$38*'契約別単価'!H7)</ns0:f>
        <ns0:v>609289.3933353919</ns0:v>
      </ns0:c>
      <ns0:c r="I886" s="16">
        <ns0:f>A886*('前提と出典'!$C$36*'契約別単価'!I5+'前提と出典'!$C$37*'契約別単価'!I6+'前提と出典'!$C$38*'契約別単価'!I7)</ns0:f>
        <ns0:v>37216.45810055865</ns0:v>
      </ns0:c>
      <ns0:c r="J886" s="16">
        <ns0:f>A886*('前提と出典'!$C$36*'契約別単価'!J5+'前提と出典'!$C$37*'契約別単価'!J6+'前提と出典'!$C$38*'契約別単価'!J7)</ns0:f>
        <ns0:v>86691.37755248687</ns0:v>
      </ns0:c>
      <ns0:c r="K886" s="16">
        <ns0:f>A886*('前提と出典'!$C$36*'契約別単価'!K5+'前提と出典'!$C$37*'契約別単価'!K6+'前提と出典'!$C$38*'契約別単価'!K7)</ns0:f>
        <ns0:v>371589.72067039105</ns0:v>
      </ns0:c>
      <ns0:c r="L886" s="16">
        <ns0:f>A886*('前提と出典'!$C$36*'契約別単価'!L5+'前提と出典'!$C$37*'契約別単価'!L6+'前提と出典'!$C$38*'契約別単価'!L7)</ns0:f>
        <ns0:v>302549.64644451306</ns0:v>
      </ns0:c>
      <ns0:c r="M886" s="16">
        <ns0:f>IF(('前提と出典'!$C$36+'前提と出典'!$C$38)=0,0,IF(B886&lt;=10,'前提と出典'!B73+'前提と出典'!C73,IF(B886&lt;=100,'前提と出典'!B74+'前提と出典'!C74,IF(B886&lt;=500,'前提と出典'!B75+'前提と出典'!C75,'前提と出典'!B76+'前提と出典'!C76))))</ns0:f>
        <ns0:v>80000</ns0:v>
      </ns0:c>
      <ns0:c r="N886" s="16">
        <ns0:f>IF(('前提と出典'!$C$37+'前提と出典'!$C$38)=0,0,IF(C886&lt;=10,'前提と出典'!D73+'前提と出典'!E73,IF(C886&lt;=100,'前提と出典'!D74+'前提と出典'!E74,IF(C886&lt;=500,'前提と出典'!D75+'前提と出典'!E75,'前提と出典'!D76+'前提と出典'!E76))))</ns0:f>
        <ns0:v>86510.9346263078</ns0:v>
      </ns0:c>
      <ns0:c r="O886" s="16">
        <ns0:f>IF('前提と出典'!$C$36+'前提と出典'!$C$38=0,0,'前提と出典'!$B$4*IF('前提と出典'!$B$20=0,MAX('前提と出典'!$B$6,D886*'前提と出典'!$B$5),'前提と出典'!$B$6+D886*'前提と出典'!$B$5))</ns0:f>
        <ns0:v>875811.217877095</ns0:v>
      </ns0:c>
      <ns0:c r="P886" s="16">
        <ns0:f>(E886+G886)*(1-'前提と出典'!$B$7)-I886-K886-M886-O886</ns0:f>
        <ns0:v>1972986.4468437494</ns0:v>
      </ns0:c>
      <ns0:c r="Q886" s="16">
        <ns0:f>(F886+H886)*(1-'前提と出典'!$B$7)-J886-L886-N886</ns0:f>
        <ns0:v>757277.5043793815</ns0:v>
      </ns0:c>
      <ns0:c r="R886" s="16">
        <ns0:f>P886-E886*'前提と出典'!$E$4</ns0:f>
        <ns0:v>1461000.0906723654</ns0:v>
      </ns0:c>
      <ns0:c r="S886" s="16">
        <ns0:f>Q886-F886*'前提と出典'!$E$4</ns0:f>
        <ns0:v>556341.4604497016</ns0:v>
      </ns0:c>
      <ns0:c r="T886" s="7">
        <ns0:f>R886+S886</ns0:f>
        <ns0:v>2017341.551122067</ns0:v>
      </ns0:c>
      <ns0:c r="U886" s="16">
        <ns0:f>P886-E886*'前提と出典'!$E$5</ns0:f>
        <ns0:v>1290337.9719485706</ns0:v>
      </ns0:c>
      <ns0:c r="V886" s="16">
        <ns0:f>Q886-F886*'前提と出典'!$E$5</ns0:f>
        <ns0:v>489362.7791398084</ns0:v>
      </ns0:c>
      <ns0:c r="W886" s="7">
        <ns0:f>U886+V886</ns0:f>
        <ns0:v>1779700.751088379</ns0:v>
      </ns0:c>
      <ns0:c r="X886" s="16">
        <ns0:f>P886-E886*'前提と出典'!$E$6</ns0:f>
        <ns0:v>1119675.8532247758</ns0:v>
      </ns0:c>
      <ns0:c r="Y886" s="16">
        <ns0:f>Q886-F886*'前提と出典'!$E$6</ns0:f>
        <ns0:v>422384.09782991506</ns0:v>
      </ns0:c>
      <ns0:c r="Z886" s="7">
        <ns0:f>X886+Y886</ns0:f>
        <ns0:v>1542059.9510546909</ns0:v>
      </ns0:c>
      <ns0:c r="AA886" s="7">
        <ns0:f>IF(T886&gt;=0,A886,1001)</ns0:f>
        <ns0:v>882</ns0:v>
      </ns0:c>
      <ns0:c r="AB886" s="7">
        <ns0:f>IF(T886&lt;0,A886,0)</ns0:f>
        <ns0:v>0</ns0:v>
      </ns0:c>
      <ns0:c r="AC886" s="16">
        <ns0:f>IF(AND(OR('前提と出典'!$C$36+'前提と出典'!$C$38=0,R886&gt;=0),OR('前提と出典'!$C$37+'前提と出典'!$C$38=0,S886&gt;=0)),0,A886)</ns0:f>
        <ns0:v>0</ns0:v>
      </ns0:c>
      <ns0:c r="AD886" s="7">
        <ns0:f>IF(W886&gt;=0,A886,1001)</ns0:f>
        <ns0:v>882</ns0:v>
      </ns0:c>
      <ns0:c r="AE886" s="7">
        <ns0:f>IF(W886&lt;0,A886,0)</ns0:f>
        <ns0:v>0</ns0:v>
      </ns0:c>
      <ns0:c r="AF886" s="16">
        <ns0:f>IF(AND(OR('前提と出典'!$C$36+'前提と出典'!$C$38=0,U886&gt;=0),OR('前提と出典'!$C$37+'前提と出典'!$C$38=0,V886&gt;=0)),0,A886)</ns0:f>
        <ns0:v>0</ns0:v>
      </ns0:c>
      <ns0:c r="AG886" s="7">
        <ns0:f>IF(Z886&gt;=0,A886,1001)</ns0:f>
        <ns0:v>882</ns0:v>
      </ns0:c>
      <ns0:c r="AH886" s="4">
        <ns0:f>IF(Z886&lt;0,A886,0)</ns0:f>
        <ns0:v>0</ns0:v>
      </ns0:c>
      <ns0:c r="AI886" s="12">
        <ns0:f>IF(AND(OR('前提と出典'!$C$36+'前提と出典'!$C$38=0,X886&gt;=0),OR('前提と出典'!$C$37+'前提と出典'!$C$38=0,Y886&gt;=0)),0,A886)</ns0:f>
        <ns0:v>0</ns0:v>
      </ns0:c>
    </ns0:row>
    <ns0:row r="887" ht="24" customHeight="1">
      <ns0:c r="A887" s="4" t="n">
        <ns0:v>883</ns0:v>
      </ns0:c>
      <ns0:c r="B887" s="12">
        <ns0:f>A887*('前提と出典'!$C$36+'前提と出典'!$C$38)</ns0:f>
        <ns0:v>618.0999999999999</ns0:v>
      </ns0:c>
      <ns0:c r="C887" s="12">
        <ns0:f>A887*('前提と出典'!$C$37+'前提と出典'!$C$38)</ns0:f>
        <ns0:v>529.8</ns0:v>
      </ns0:c>
      <ns0:c r="D887" s="16">
        <ns0:f>A887*('前提と出典'!$C$36*'契約別単価'!C5+'前提と出典'!$C$37*'契約別単価'!C6+'前提と出典'!$C$38*'契約別単価'!C7)</ns0:f>
        <ns0:v>6353.653631284916</ns0:v>
      </ns0:c>
      <ns0:c r="E887" s="16">
        <ns0:f>A887*('前提と出典'!$C$36*'契約別単価'!E5+'前提と出典'!$C$37*'契約別単価'!E6+'前提と出典'!$C$38*'契約別単価'!E7)</ns0:f>
        <ns0:v>1708556.131894679</ns0:v>
      </ns0:c>
      <ns0:c r="F887" s="16">
        <ns0:f>A887*('前提と出典'!$C$36*'契約別単価'!F5+'前提と出典'!$C$37*'契約別単価'!F6+'前提と出典'!$C$38*'契約別単価'!F7)</ns0:f>
        <ns0:v>670546.2085786369</ns0:v>
      </ns0:c>
      <ns0:c r="G887" s="16">
        <ns0:f>A887*('前提と出典'!$C$36*'契約別単価'!G5+'前提と出典'!$C$37*'契約別単価'!G6+'前提と出典'!$C$38*'契約別単価'!G7)</ns0:f>
        <ns0:v>1757613.9664804467</ns0:v>
      </ns0:c>
      <ns0:c r="H887" s="16">
        <ns0:f>A887*('前提と出典'!$C$36*'契約別単価'!H5+'前提と出典'!$C$37*'契約別単価'!H6+'前提と出典'!$C$38*'契約別単価'!H7)</ns0:f>
        <ns0:v>609980.1976362257</ns0:v>
      </ns0:c>
      <ns0:c r="I887" s="16">
        <ns0:f>A887*('前提と出典'!$C$36*'契約別単価'!I5+'前提と出典'!$C$37*'契約別単価'!I6+'前提と出典'!$C$38*'契約別単価'!I7)</ns0:f>
        <ns0:v>37258.65363128491</ns0:v>
      </ns0:c>
      <ns0:c r="J887" s="16">
        <ns0:f>A887*('前提と出典'!$C$36*'契約別単価'!J5+'前提と出典'!$C$37*'契約別単価'!J6+'前提と出典'!$C$38*'契約別単価'!J7)</ns0:f>
        <ns0:v>86789.66709619717</ns0:v>
      </ns0:c>
      <ns0:c r="K887" s="16">
        <ns0:f>A887*('前提と出典'!$C$36*'契約別単価'!K5+'前提と出典'!$C$37*'契約別単価'!K6+'前提と出典'!$C$38*'契約別単価'!K7)</ns0:f>
        <ns0:v>372011.02420856606</ns0:v>
      </ns0:c>
      <ns0:c r="L887" s="16">
        <ns0:f>A887*('前提と出典'!$C$36*'契約別単価'!L5+'前提と出典'!$C$37*'契約別単価'!L6+'前提と出典'!$C$38*'契約別単価'!L7)</ns0:f>
        <ns0:v>302892.67325454083</ns0:v>
      </ns0:c>
      <ns0:c r="M887" s="16">
        <ns0:f>IF(('前提と出典'!$C$36+'前提と出典'!$C$38)=0,0,IF(B887&lt;=10,'前提と出典'!B73+'前提と出典'!C73,IF(B887&lt;=100,'前提と出典'!B74+'前提と出典'!C74,IF(B887&lt;=500,'前提と出典'!B75+'前提と出典'!C75,'前提と出典'!B76+'前提と出典'!C76))))</ns0:f>
        <ns0:v>80000</ns0:v>
      </ns0:c>
      <ns0:c r="N887" s="16">
        <ns0:f>IF(('前提と出典'!$C$37+'前提と出典'!$C$38)=0,0,IF(C887&lt;=10,'前提と出典'!D73+'前提と出典'!E73,IF(C887&lt;=100,'前提と出典'!D74+'前提と出典'!E74,IF(C887&lt;=500,'前提と出典'!D75+'前提と出典'!E75,'前提と出典'!D76+'前提と出典'!E76))))</ns0:f>
        <ns0:v>86510.9346263078</ns0:v>
      </ns0:c>
      <ns0:c r="O887" s="16">
        <ns0:f>IF('前提と出典'!$C$36+'前提と出典'!$C$38=0,0,'前提と出典'!$B$4*IF('前提と出典'!$B$20=0,MAX('前提と出典'!$B$6,D887*'前提と出典'!$B$5),'前提と出典'!$B$6+D887*'前提と出典'!$B$5))</ns0:f>
        <ns0:v>876804.2011173185</ns0:v>
      </ns0:c>
      <ns0:c r="P887" s="16">
        <ns0:f>(E887+G887)*(1-'前提と出典'!$B$7)-I887-K887-M887-O887</ns0:f>
        <ns0:v>1975314.0958764516</ns0:v>
      </ns0:c>
      <ns0:c r="Q887" s="16">
        <ns0:f>(F887+H887)*(1-'前提と出典'!$B$7)-J887-L887-N887</ns0:f>
        <ns0:v>758234.1806140817</ns0:v>
      </ns0:c>
      <ns0:c r="R887" s="16">
        <ns0:f>P887-E887*'前提と出典'!$E$4</ns0:f>
        <ns0:v>1462747.256308048</ns0:v>
      </ns0:c>
      <ns0:c r="S887" s="16">
        <ns0:f>Q887-F887*'前提と出典'!$E$4</ns0:f>
        <ns0:v>557070.3180404906</ns0:v>
      </ns0:c>
      <ns0:c r="T887" s="7">
        <ns0:f>R887+S887</ns0:f>
        <ns0:v>2019817.5743485386</ns0:v>
      </ns0:c>
      <ns0:c r="U887" s="16">
        <ns0:f>P887-E887*'前提と出典'!$E$5</ns0:f>
        <ns0:v>1291891.6431185799</ns0:v>
      </ns0:c>
      <ns0:c r="V887" s="16">
        <ns0:f>Q887-F887*'前提と出典'!$E$5</ns0:f>
        <ns0:v>490015.69718262693</ns0:v>
      </ns0:c>
      <ns0:c r="W887" s="7">
        <ns0:f>U887+V887</ns0:f>
        <ns0:v>1781907.3403012068</ns0:v>
      </ns0:c>
      <ns0:c r="X887" s="16">
        <ns0:f>P887-E887*'前提と出典'!$E$6</ns0:f>
        <ns0:v>1121036.0299291122</ns0:v>
      </ns0:c>
      <ns0:c r="Y887" s="16">
        <ns0:f>Q887-F887*'前提と出典'!$E$6</ns0:f>
        <ns0:v>422961.0763247633</ns0:v>
      </ns0:c>
      <ns0:c r="Z887" s="7">
        <ns0:f>X887+Y887</ns0:f>
        <ns0:v>1543997.1062538754</ns0:v>
      </ns0:c>
      <ns0:c r="AA887" s="7">
        <ns0:f>IF(T887&gt;=0,A887,1001)</ns0:f>
        <ns0:v>883</ns0:v>
      </ns0:c>
      <ns0:c r="AB887" s="7">
        <ns0:f>IF(T887&lt;0,A887,0)</ns0:f>
        <ns0:v>0</ns0:v>
      </ns0:c>
      <ns0:c r="AC887" s="16">
        <ns0:f>IF(AND(OR('前提と出典'!$C$36+'前提と出典'!$C$38=0,R887&gt;=0),OR('前提と出典'!$C$37+'前提と出典'!$C$38=0,S887&gt;=0)),0,A887)</ns0:f>
        <ns0:v>0</ns0:v>
      </ns0:c>
      <ns0:c r="AD887" s="7">
        <ns0:f>IF(W887&gt;=0,A887,1001)</ns0:f>
        <ns0:v>883</ns0:v>
      </ns0:c>
      <ns0:c r="AE887" s="7">
        <ns0:f>IF(W887&lt;0,A887,0)</ns0:f>
        <ns0:v>0</ns0:v>
      </ns0:c>
      <ns0:c r="AF887" s="16">
        <ns0:f>IF(AND(OR('前提と出典'!$C$36+'前提と出典'!$C$38=0,U887&gt;=0),OR('前提と出典'!$C$37+'前提と出典'!$C$38=0,V887&gt;=0)),0,A887)</ns0:f>
        <ns0:v>0</ns0:v>
      </ns0:c>
      <ns0:c r="AG887" s="7">
        <ns0:f>IF(Z887&gt;=0,A887,1001)</ns0:f>
        <ns0:v>883</ns0:v>
      </ns0:c>
      <ns0:c r="AH887" s="4">
        <ns0:f>IF(Z887&lt;0,A887,0)</ns0:f>
        <ns0:v>0</ns0:v>
      </ns0:c>
      <ns0:c r="AI887" s="12">
        <ns0:f>IF(AND(OR('前提と出典'!$C$36+'前提と出典'!$C$38=0,X887&gt;=0),OR('前提と出典'!$C$37+'前提と出典'!$C$38=0,Y887&gt;=0)),0,A887)</ns0:f>
        <ns0:v>0</ns0:v>
      </ns0:c>
    </ns0:row>
    <ns0:row r="888" ht="24" customHeight="1">
      <ns0:c r="A888" s="4" t="n">
        <ns0:v>884</ns0:v>
      </ns0:c>
      <ns0:c r="B888" s="12">
        <ns0:f>A888*('前提と出典'!$C$36+'前提と出典'!$C$38)</ns0:f>
        <ns0:v>618.8</ns0:v>
      </ns0:c>
      <ns0:c r="C888" s="12">
        <ns0:f>A888*('前提と出典'!$C$37+'前提と出典'!$C$38)</ns0:f>
        <ns0:v>530.4</ns0:v>
      </ns0:c>
      <ns0:c r="D888" s="16">
        <ns0:f>A888*('前提と出典'!$C$36*'契約別単価'!C5+'前提と出典'!$C$37*'契約別単価'!C6+'前提と出典'!$C$38*'契約別単価'!C7)</ns0:f>
        <ns0:v>6360.849162011174</ns0:v>
      </ns0:c>
      <ns0:c r="E888" s="16">
        <ns0:f>A888*('前提と出典'!$C$36*'契約別単価'!E5+'前提と出典'!$C$37*'契約別単価'!E6+'前提と出典'!$C$38*'契約別単価'!E7)</ns0:f>
        <ns0:v>1710491.0765514115</ns0:v>
      </ns0:c>
      <ns0:c r="F888" s="16">
        <ns0:f>A888*('前提と出典'!$C$36*'契約別単価'!F5+'前提と出典'!$C$37*'契約別単価'!F6+'前提と出典'!$C$38*'契約別単価'!F7)</ns0:f>
        <ns0:v>671305.6040583409</ns0:v>
      </ns0:c>
      <ns0:c r="G888" s="16">
        <ns0:f>A888*('前提と出典'!$C$36*'契約別単価'!G5+'前提と出典'!$C$37*'契約別単価'!G6+'前提と出典'!$C$38*'契約別単価'!G7)</ns0:f>
        <ns0:v>1759604.469273743</ns0:v>
      </ns0:c>
      <ns0:c r="H888" s="16">
        <ns0:f>A888*('前提と出典'!$C$36*'契約別単価'!H5+'前提と出典'!$C$37*'契約別単価'!H6+'前提と出典'!$C$38*'契約別単価'!H7)</ns0:f>
        <ns0:v>610671.0019370595</ns0:v>
      </ns0:c>
      <ns0:c r="I888" s="16">
        <ns0:f>A888*('前提と出典'!$C$36*'契約別単価'!I5+'前提と出典'!$C$37*'契約別単価'!I6+'前提と出典'!$C$38*'契約別単価'!I7)</ns0:f>
        <ns0:v>37300.84916201117</ns0:v>
      </ns0:c>
      <ns0:c r="J888" s="16">
        <ns0:f>A888*('前提と出典'!$C$36*'契約別単価'!J5+'前提と出典'!$C$37*'契約別単価'!J6+'前提と出典'!$C$38*'契約別単価'!J7)</ns0:f>
        <ns0:v>86887.95663990747</ns0:v>
      </ns0:c>
      <ns0:c r="K888" s="16">
        <ns0:f>A888*('前提と出典'!$C$36*'契約別単価'!K5+'前提と出典'!$C$37*'契約別単価'!K6+'前提と出典'!$C$38*'契約別単価'!K7)</ns0:f>
        <ns0:v>372432.3277467411</ns0:v>
      </ns0:c>
      <ns0:c r="L888" s="16">
        <ns0:f>A888*('前提と出典'!$C$36*'契約別単価'!L5+'前提と出典'!$C$37*'契約別単価'!L6+'前提と出典'!$C$38*'契約別単価'!L7)</ns0:f>
        <ns0:v>303235.70006456866</ns0:v>
      </ns0:c>
      <ns0:c r="M888" s="16">
        <ns0:f>IF(('前提と出典'!$C$36+'前提と出典'!$C$38)=0,0,IF(B888&lt;=10,'前提と出典'!B73+'前提と出典'!C73,IF(B888&lt;=100,'前提と出典'!B74+'前提と出典'!C74,IF(B888&lt;=500,'前提と出典'!B75+'前提と出典'!C75,'前提と出典'!B76+'前提と出典'!C76))))</ns0:f>
        <ns0:v>80000</ns0:v>
      </ns0:c>
      <ns0:c r="N888" s="16">
        <ns0:f>IF(('前提と出典'!$C$37+'前提と出典'!$C$38)=0,0,IF(C888&lt;=10,'前提と出典'!D73+'前提と出典'!E73,IF(C888&lt;=100,'前提と出典'!D74+'前提と出典'!E74,IF(C888&lt;=500,'前提と出典'!D75+'前提と出典'!E75,'前提と出典'!D76+'前提と出典'!E76))))</ns0:f>
        <ns0:v>86510.9346263078</ns0:v>
      </ns0:c>
      <ns0:c r="O888" s="16">
        <ns0:f>IF('前提と出典'!$C$36+'前提と出典'!$C$38=0,0,'前提と出典'!$B$4*IF('前提と出典'!$B$20=0,MAX('前提と出典'!$B$6,D888*'前提と出典'!$B$5),'前提と出典'!$B$6+D888*'前提と出典'!$B$5))</ns0:f>
        <ns0:v>877797.184357542</ns0:v>
      </ns0:c>
      <ns0:c r="P888" s="16">
        <ns0:f>(E888+G888)*(1-'前提と出典'!$B$7)-I888-K888-M888-O888</ns0:f>
        <ns0:v>1977641.7449091547</ns0:v>
      </ns0:c>
      <ns0:c r="Q888" s="16">
        <ns0:f>(F888+H888)*(1-'前提と出典'!$B$7)-J888-L888-N888</ns0:f>
        <ns0:v>759190.8568487819</ns0:v>
      </ns0:c>
      <ns0:c r="R888" s="16">
        <ns0:f>P888-E888*'前提と出典'!$E$4</ns0:f>
        <ns0:v>1464494.4219437311</ns0:v>
      </ns0:c>
      <ns0:c r="S888" s="16">
        <ns0:f>Q888-F888*'前提と出典'!$E$4</ns0:f>
        <ns0:v>557799.1756312797</ns0:v>
      </ns0:c>
      <ns0:c r="T888" s="7">
        <ns0:f>R888+S888</ns0:f>
        <ns0:v>2022293.5975750107</ns0:v>
      </ns0:c>
      <ns0:c r="U888" s="16">
        <ns0:f>P888-E888*'前提と出典'!$E$5</ns0:f>
        <ns0:v>1293445.31428859</ns0:v>
      </ns0:c>
      <ns0:c r="V888" s="16">
        <ns0:f>Q888-F888*'前提と出典'!$E$5</ns0:f>
        <ns0:v>490668.6152254456</ns0:v>
      </ns0:c>
      <ns0:c r="W888" s="7">
        <ns0:f>U888+V888</ns0:f>
        <ns0:v>1784113.9295140356</ns0:v>
      </ns0:c>
      <ns0:c r="X888" s="16">
        <ns0:f>P888-E888*'前提と出典'!$E$6</ns0:f>
        <ns0:v>1122396.206633449</ns0:v>
      </ns0:c>
      <ns0:c r="Y888" s="16">
        <ns0:f>Q888-F888*'前提と出典'!$E$6</ns0:f>
        <ns0:v>423538.0548196116</ns0:v>
      </ns0:c>
      <ns0:c r="Z888" s="7">
        <ns0:f>X888+Y888</ns0:f>
        <ns0:v>1545934.2614530607</ns0:v>
      </ns0:c>
      <ns0:c r="AA888" s="7">
        <ns0:f>IF(T888&gt;=0,A888,1001)</ns0:f>
        <ns0:v>884</ns0:v>
      </ns0:c>
      <ns0:c r="AB888" s="7">
        <ns0:f>IF(T888&lt;0,A888,0)</ns0:f>
        <ns0:v>0</ns0:v>
      </ns0:c>
      <ns0:c r="AC888" s="16">
        <ns0:f>IF(AND(OR('前提と出典'!$C$36+'前提と出典'!$C$38=0,R888&gt;=0),OR('前提と出典'!$C$37+'前提と出典'!$C$38=0,S888&gt;=0)),0,A888)</ns0:f>
        <ns0:v>0</ns0:v>
      </ns0:c>
      <ns0:c r="AD888" s="7">
        <ns0:f>IF(W888&gt;=0,A888,1001)</ns0:f>
        <ns0:v>884</ns0:v>
      </ns0:c>
      <ns0:c r="AE888" s="7">
        <ns0:f>IF(W888&lt;0,A888,0)</ns0:f>
        <ns0:v>0</ns0:v>
      </ns0:c>
      <ns0:c r="AF888" s="16">
        <ns0:f>IF(AND(OR('前提と出典'!$C$36+'前提と出典'!$C$38=0,U888&gt;=0),OR('前提と出典'!$C$37+'前提と出典'!$C$38=0,V888&gt;=0)),0,A888)</ns0:f>
        <ns0:v>0</ns0:v>
      </ns0:c>
      <ns0:c r="AG888" s="7">
        <ns0:f>IF(Z888&gt;=0,A888,1001)</ns0:f>
        <ns0:v>884</ns0:v>
      </ns0:c>
      <ns0:c r="AH888" s="4">
        <ns0:f>IF(Z888&lt;0,A888,0)</ns0:f>
        <ns0:v>0</ns0:v>
      </ns0:c>
      <ns0:c r="AI888" s="12">
        <ns0:f>IF(AND(OR('前提と出典'!$C$36+'前提と出典'!$C$38=0,X888&gt;=0),OR('前提と出典'!$C$37+'前提と出典'!$C$38=0,Y888&gt;=0)),0,A888)</ns0:f>
        <ns0:v>0</ns0:v>
      </ns0:c>
    </ns0:row>
    <ns0:row r="889" ht="24" customHeight="1">
      <ns0:c r="A889" s="4" t="n">
        <ns0:v>885</ns0:v>
      </ns0:c>
      <ns0:c r="B889" s="12">
        <ns0:f>A889*('前提と出典'!$C$36+'前提と出典'!$C$38)</ns0:f>
        <ns0:v>619.5</ns0:v>
      </ns0:c>
      <ns0:c r="C889" s="12">
        <ns0:f>A889*('前提と出典'!$C$37+'前提と出典'!$C$38)</ns0:f>
        <ns0:v>531</ns0:v>
      </ns0:c>
      <ns0:c r="D889" s="16">
        <ns0:f>A889*('前提と出典'!$C$36*'契約別単価'!C5+'前提と出典'!$C$37*'契約別単価'!C6+'前提と出典'!$C$38*'契約別単価'!C7)</ns0:f>
        <ns0:v>6368.0446927374305</ns0:v>
      </ns0:c>
      <ns0:c r="E889" s="16">
        <ns0:f>A889*('前提と出典'!$C$36*'契約別単価'!E5+'前提と出典'!$C$37*'契約別単価'!E6+'前提と出典'!$C$38*'契約別単価'!E7)</ns0:f>
        <ns0:v>1712426.0212081438</ns0:v>
      </ns0:c>
      <ns0:c r="F889" s="16">
        <ns0:f>A889*('前提と出典'!$C$36*'契約別単価'!F5+'前提と出典'!$C$37*'契約別単価'!F6+'前提と出典'!$C$38*'契約別単価'!F7)</ns0:f>
        <ns0:v>672064.9995380449</ns0:v>
      </ns0:c>
      <ns0:c r="G889" s="16">
        <ns0:f>A889*('前提と出典'!$C$36*'契約別単価'!G5+'前提と出典'!$C$37*'契約別単価'!G6+'前提と出典'!$C$38*'契約別単価'!G7)</ns0:f>
        <ns0:v>1761594.972067039</ns0:v>
      </ns0:c>
      <ns0:c r="H889" s="16">
        <ns0:f>A889*('前提と出典'!$C$36*'契約別単価'!H5+'前提と出典'!$C$37*'契約別単価'!H6+'前提と出典'!$C$38*'契約別単価'!H7)</ns0:f>
        <ns0:v>611361.8062378933</ns0:v>
      </ns0:c>
      <ns0:c r="I889" s="16">
        <ns0:f>A889*('前提と出典'!$C$36*'契約別単価'!I5+'前提と出典'!$C$37*'契約別単価'!I6+'前提と出典'!$C$38*'契約別単価'!I7)</ns0:f>
        <ns0:v>37343.04469273742</ns0:v>
      </ns0:c>
      <ns0:c r="J889" s="16">
        <ns0:f>A889*('前提と出典'!$C$36*'契約別単価'!J5+'前提と出典'!$C$37*'契約別単価'!J6+'前提と出典'!$C$38*'契約別単価'!J7)</ns0:f>
        <ns0:v>86986.24618361777</ns0:v>
      </ns0:c>
      <ns0:c r="K889" s="16">
        <ns0:f>A889*('前提と出典'!$C$36*'契約別単価'!K5+'前提と出典'!$C$37*'契約別単価'!K6+'前提と出典'!$C$38*'契約別単価'!K7)</ns0:f>
        <ns0:v>372853.6312849162</ns0:v>
      </ns0:c>
      <ns0:c r="L889" s="16">
        <ns0:f>A889*('前提と出典'!$C$36*'契約別単価'!L5+'前提と出典'!$C$37*'契約別単価'!L6+'前提と出典'!$C$38*'契約別単価'!L7)</ns0:f>
        <ns0:v>303578.72687459644</ns0:v>
      </ns0:c>
      <ns0:c r="M889" s="16">
        <ns0:f>IF(('前提と出典'!$C$36+'前提と出典'!$C$38)=0,0,IF(B889&lt;=10,'前提と出典'!B73+'前提と出典'!C73,IF(B889&lt;=100,'前提と出典'!B74+'前提と出典'!C74,IF(B889&lt;=500,'前提と出典'!B75+'前提と出典'!C75,'前提と出典'!B76+'前提と出典'!C76))))</ns0:f>
        <ns0:v>80000</ns0:v>
      </ns0:c>
      <ns0:c r="N889" s="16">
        <ns0:f>IF(('前提と出典'!$C$37+'前提と出典'!$C$38)=0,0,IF(C889&lt;=10,'前提と出典'!D73+'前提と出典'!E73,IF(C889&lt;=100,'前提と出典'!D74+'前提と出典'!E74,IF(C889&lt;=500,'前提と出典'!D75+'前提と出典'!E75,'前提と出典'!D76+'前提と出典'!E76))))</ns0:f>
        <ns0:v>86510.9346263078</ns0:v>
      </ns0:c>
      <ns0:c r="O889" s="16">
        <ns0:f>IF('前提と出典'!$C$36+'前提と出典'!$C$38=0,0,'前提と出典'!$B$4*IF('前提と出典'!$B$20=0,MAX('前提と出典'!$B$6,D889*'前提と出典'!$B$5),'前提と出典'!$B$6+D889*'前提と出典'!$B$5))</ns0:f>
        <ns0:v>878790.1675977655</ns0:v>
      </ns0:c>
      <ns0:c r="P889" s="16">
        <ns0:f>(E889+G889)*(1-'前提と出典'!$B$7)-I889-K889-M889-O889</ns0:f>
        <ns0:v>1979969.393941857</ns0:v>
      </ns0:c>
      <ns0:c r="Q889" s="16">
        <ns0:f>(F889+H889)*(1-'前提と出典'!$B$7)-J889-L889-N889</ns0:f>
        <ns0:v>760147.5330834824</ns0:v>
      </ns0:c>
      <ns0:c r="R889" s="16">
        <ns0:f>P889-E889*'前提と出典'!$E$4</ns0:f>
        <ns0:v>1466241.5875794138</ns0:v>
      </ns0:c>
      <ns0:c r="S889" s="16">
        <ns0:f>Q889-F889*'前提と出典'!$E$4</ns0:f>
        <ns0:v>558528.0332220689</ns0:v>
      </ns0:c>
      <ns0:c r="T889" s="7">
        <ns0:f>R889+S889</ns0:f>
        <ns0:v>2024769.6208014828</ns0:v>
      </ns0:c>
      <ns0:c r="U889" s="16">
        <ns0:f>P889-E889*'前提と出典'!$E$5</ns0:f>
        <ns0:v>1294998.9854585994</ns0:v>
      </ns0:c>
      <ns0:c r="V889" s="16">
        <ns0:f>Q889-F889*'前提と出典'!$E$5</ns0:f>
        <ns0:v>491321.5332682644</ns0:v>
      </ns0:c>
      <ns0:c r="W889" s="7">
        <ns0:f>U889+V889</ns0:f>
        <ns0:v>1786320.518726864</ns0:v>
      </ns0:c>
      <ns0:c r="X889" s="16">
        <ns0:f>P889-E889*'前提と出典'!$E$6</ns0:f>
        <ns0:v>1123756.383337785</ns0:v>
      </ns0:c>
      <ns0:c r="Y889" s="16">
        <ns0:f>Q889-F889*'前提と出典'!$E$6</ns0:f>
        <ns0:v>424115.03331445984</ns0:v>
      </ns0:c>
      <ns0:c r="Z889" s="7">
        <ns0:f>X889+Y889</ns0:f>
        <ns0:v>1547871.416652245</ns0:v>
      </ns0:c>
      <ns0:c r="AA889" s="7">
        <ns0:f>IF(T889&gt;=0,A889,1001)</ns0:f>
        <ns0:v>885</ns0:v>
      </ns0:c>
      <ns0:c r="AB889" s="7">
        <ns0:f>IF(T889&lt;0,A889,0)</ns0:f>
        <ns0:v>0</ns0:v>
      </ns0:c>
      <ns0:c r="AC889" s="16">
        <ns0:f>IF(AND(OR('前提と出典'!$C$36+'前提と出典'!$C$38=0,R889&gt;=0),OR('前提と出典'!$C$37+'前提と出典'!$C$38=0,S889&gt;=0)),0,A889)</ns0:f>
        <ns0:v>0</ns0:v>
      </ns0:c>
      <ns0:c r="AD889" s="7">
        <ns0:f>IF(W889&gt;=0,A889,1001)</ns0:f>
        <ns0:v>885</ns0:v>
      </ns0:c>
      <ns0:c r="AE889" s="7">
        <ns0:f>IF(W889&lt;0,A889,0)</ns0:f>
        <ns0:v>0</ns0:v>
      </ns0:c>
      <ns0:c r="AF889" s="16">
        <ns0:f>IF(AND(OR('前提と出典'!$C$36+'前提と出典'!$C$38=0,U889&gt;=0),OR('前提と出典'!$C$37+'前提と出典'!$C$38=0,V889&gt;=0)),0,A889)</ns0:f>
        <ns0:v>0</ns0:v>
      </ns0:c>
      <ns0:c r="AG889" s="7">
        <ns0:f>IF(Z889&gt;=0,A889,1001)</ns0:f>
        <ns0:v>885</ns0:v>
      </ns0:c>
      <ns0:c r="AH889" s="4">
        <ns0:f>IF(Z889&lt;0,A889,0)</ns0:f>
        <ns0:v>0</ns0:v>
      </ns0:c>
      <ns0:c r="AI889" s="12">
        <ns0:f>IF(AND(OR('前提と出典'!$C$36+'前提と出典'!$C$38=0,X889&gt;=0),OR('前提と出典'!$C$37+'前提と出典'!$C$38=0,Y889&gt;=0)),0,A889)</ns0:f>
        <ns0:v>0</ns0:v>
      </ns0:c>
    </ns0:row>
    <ns0:row r="890" ht="24" customHeight="1">
      <ns0:c r="A890" s="4" t="n">
        <ns0:v>886</ns0:v>
      </ns0:c>
      <ns0:c r="B890" s="12">
        <ns0:f>A890*('前提と出典'!$C$36+'前提と出典'!$C$38)</ns0:f>
        <ns0:v>620.1999999999999</ns0:v>
      </ns0:c>
      <ns0:c r="C890" s="12">
        <ns0:f>A890*('前提と出典'!$C$37+'前提と出典'!$C$38)</ns0:f>
        <ns0:v>531.6</ns0:v>
      </ns0:c>
      <ns0:c r="D890" s="16">
        <ns0:f>A890*('前提と出典'!$C$36*'契約別単価'!C5+'前提と出典'!$C$37*'契約別単価'!C6+'前提と出典'!$C$38*'契約別単価'!C7)</ns0:f>
        <ns0:v>6375.2402234636875</ns0:v>
      </ns0:c>
      <ns0:c r="E890" s="16">
        <ns0:f>A890*('前提と出典'!$C$36*'契約別単価'!E5+'前提と出典'!$C$37*'契約別単価'!E6+'前提と出典'!$C$38*'契約別単価'!E7)</ns0:f>
        <ns0:v>1714360.9658648763</ns0:v>
      </ns0:c>
      <ns0:c r="F890" s="16">
        <ns0:f>A890*('前提と出典'!$C$36*'契約別単価'!F5+'前提と出典'!$C$37*'契約別単価'!F6+'前提と出典'!$C$38*'契約別単価'!F7)</ns0:f>
        <ns0:v>672824.3950177489</ns0:v>
      </ns0:c>
      <ns0:c r="G890" s="16">
        <ns0:f>A890*('前提と出典'!$C$36*'契約別単価'!G5+'前提と出典'!$C$37*'契約別単価'!G6+'前提と出典'!$C$38*'契約別単価'!G7)</ns0:f>
        <ns0:v>1763585.474860335</ns0:v>
      </ns0:c>
      <ns0:c r="H890" s="16">
        <ns0:f>A890*('前提と出典'!$C$36*'契約別単価'!H5+'前提と出典'!$C$37*'契約別単価'!H6+'前提と出典'!$C$38*'契約別単価'!H7)</ns0:f>
        <ns0:v>612052.610538727</ns0:v>
      </ns0:c>
      <ns0:c r="I890" s="16">
        <ns0:f>A890*('前提と出典'!$C$36*'契約別単価'!I5+'前提と出典'!$C$37*'契約別単価'!I6+'前提と出典'!$C$38*'契約別単価'!I7)</ns0:f>
        <ns0:v>37385.24022346368</ns0:v>
      </ns0:c>
      <ns0:c r="J890" s="16">
        <ns0:f>A890*('前提と出典'!$C$36*'契約別単価'!J5+'前提と出典'!$C$37*'契約別単価'!J6+'前提と出典'!$C$38*'契約別単価'!J7)</ns0:f>
        <ns0:v>87084.53572732807</ns0:v>
      </ns0:c>
      <ns0:c r="K890" s="16">
        <ns0:f>A890*('前提と出典'!$C$36*'契約別単価'!K5+'前提と出典'!$C$37*'契約別単価'!K6+'前提と出典'!$C$38*'契約別単価'!K7)</ns0:f>
        <ns0:v>373274.9348230912</ns0:v>
      </ns0:c>
      <ns0:c r="L890" s="16">
        <ns0:f>A890*('前提と出典'!$C$36*'契約別単価'!L5+'前提と出典'!$C$37*'契約別単価'!L6+'前提と出典'!$C$38*'契約別単価'!L7)</ns0:f>
        <ns0:v>303921.7536846242</ns0:v>
      </ns0:c>
      <ns0:c r="M890" s="16">
        <ns0:f>IF(('前提と出典'!$C$36+'前提と出典'!$C$38)=0,0,IF(B890&lt;=10,'前提と出典'!B73+'前提と出典'!C73,IF(B890&lt;=100,'前提と出典'!B74+'前提と出典'!C74,IF(B890&lt;=500,'前提と出典'!B75+'前提と出典'!C75,'前提と出典'!B76+'前提と出典'!C76))))</ns0:f>
        <ns0:v>80000</ns0:v>
      </ns0:c>
      <ns0:c r="N890" s="16">
        <ns0:f>IF(('前提と出典'!$C$37+'前提と出典'!$C$38)=0,0,IF(C890&lt;=10,'前提と出典'!D73+'前提と出典'!E73,IF(C890&lt;=100,'前提と出典'!D74+'前提と出典'!E74,IF(C890&lt;=500,'前提と出典'!D75+'前提と出典'!E75,'前提と出典'!D76+'前提と出典'!E76))))</ns0:f>
        <ns0:v>86510.9346263078</ns0:v>
      </ns0:c>
      <ns0:c r="O890" s="16">
        <ns0:f>IF('前提と出典'!$C$36+'前提と出典'!$C$38=0,0,'前提と出典'!$B$4*IF('前提と出典'!$B$20=0,MAX('前提と出典'!$B$6,D890*'前提と出典'!$B$5),'前提と出典'!$B$6+D890*'前提と出典'!$B$5))</ns0:f>
        <ns0:v>879783.150837989</ns0:v>
      </ns0:c>
      <ns0:c r="P890" s="16">
        <ns0:f>(E890+G890)*(1-'前提と出典'!$B$7)-I890-K890-M890-O890</ns0:f>
        <ns0:v>1982297.0429745596</ns0:v>
      </ns0:c>
      <ns0:c r="Q890" s="16">
        <ns0:f>(F890+H890)*(1-'前提と出典'!$B$7)-J890-L890-N890</ns0:f>
        <ns0:v>761104.2093181827</ns0:v>
      </ns0:c>
      <ns0:c r="R890" s="16">
        <ns0:f>P890-E890*'前提と出典'!$E$4</ns0:f>
        <ns0:v>1467988.753215097</ns0:v>
      </ns0:c>
      <ns0:c r="S890" s="16">
        <ns0:f>Q890-F890*'前提と出典'!$E$4</ns0:f>
        <ns0:v>559256.890812858</ns0:v>
      </ns0:c>
      <ns0:c r="T890" s="7">
        <ns0:f>R890+S890</ns0:f>
        <ns0:v>2027245.644027955</ns0:v>
      </ns0:c>
      <ns0:c r="U890" s="16">
        <ns0:f>P890-E890*'前提と出典'!$E$5</ns0:f>
        <ns0:v>1296552.6566286092</ns0:v>
      </ns0:c>
      <ns0:c r="V890" s="16">
        <ns0:f>Q890-F890*'前提と出典'!$E$5</ns0:f>
        <ns0:v>491974.45131108304</ns0:v>
      </ns0:c>
      <ns0:c r="W890" s="7">
        <ns0:f>U890+V890</ns0:f>
        <ns0:v>1788527.1079396922</ns0:v>
      </ns0:c>
      <ns0:c r="X890" s="16">
        <ns0:f>P890-E890*'前提と出典'!$E$6</ns0:f>
        <ns0:v>1125116.5600421214</ns0:v>
      </ns0:c>
      <ns0:c r="Y890" s="16">
        <ns0:f>Q890-F890*'前提と出典'!$E$6</ns0:f>
        <ns0:v>424692.0118093082</ns0:v>
      </ns0:c>
      <ns0:c r="Z890" s="7">
        <ns0:f>X890+Y890</ns0:f>
        <ns0:v>1549808.5718514295</ns0:v>
      </ns0:c>
      <ns0:c r="AA890" s="7">
        <ns0:f>IF(T890&gt;=0,A890,1001)</ns0:f>
        <ns0:v>886</ns0:v>
      </ns0:c>
      <ns0:c r="AB890" s="7">
        <ns0:f>IF(T890&lt;0,A890,0)</ns0:f>
        <ns0:v>0</ns0:v>
      </ns0:c>
      <ns0:c r="AC890" s="16">
        <ns0:f>IF(AND(OR('前提と出典'!$C$36+'前提と出典'!$C$38=0,R890&gt;=0),OR('前提と出典'!$C$37+'前提と出典'!$C$38=0,S890&gt;=0)),0,A890)</ns0:f>
        <ns0:v>0</ns0:v>
      </ns0:c>
      <ns0:c r="AD890" s="7">
        <ns0:f>IF(W890&gt;=0,A890,1001)</ns0:f>
        <ns0:v>886</ns0:v>
      </ns0:c>
      <ns0:c r="AE890" s="7">
        <ns0:f>IF(W890&lt;0,A890,0)</ns0:f>
        <ns0:v>0</ns0:v>
      </ns0:c>
      <ns0:c r="AF890" s="16">
        <ns0:f>IF(AND(OR('前提と出典'!$C$36+'前提と出典'!$C$38=0,U890&gt;=0),OR('前提と出典'!$C$37+'前提と出典'!$C$38=0,V890&gt;=0)),0,A890)</ns0:f>
        <ns0:v>0</ns0:v>
      </ns0:c>
      <ns0:c r="AG890" s="7">
        <ns0:f>IF(Z890&gt;=0,A890,1001)</ns0:f>
        <ns0:v>886</ns0:v>
      </ns0:c>
      <ns0:c r="AH890" s="4">
        <ns0:f>IF(Z890&lt;0,A890,0)</ns0:f>
        <ns0:v>0</ns0:v>
      </ns0:c>
      <ns0:c r="AI890" s="12">
        <ns0:f>IF(AND(OR('前提と出典'!$C$36+'前提と出典'!$C$38=0,X890&gt;=0),OR('前提と出典'!$C$37+'前提と出典'!$C$38=0,Y890&gt;=0)),0,A890)</ns0:f>
        <ns0:v>0</ns0:v>
      </ns0:c>
    </ns0:row>
    <ns0:row r="891" ht="24" customHeight="1">
      <ns0:c r="A891" s="4" t="n">
        <ns0:v>887</ns0:v>
      </ns0:c>
      <ns0:c r="B891" s="12">
        <ns0:f>A891*('前提と出典'!$C$36+'前提と出典'!$C$38)</ns0:f>
        <ns0:v>620.9</ns0:v>
      </ns0:c>
      <ns0:c r="C891" s="12">
        <ns0:f>A891*('前提と出典'!$C$37+'前提と出典'!$C$38)</ns0:f>
        <ns0:v>532.1999999999999</ns0:v>
      </ns0:c>
      <ns0:c r="D891" s="16">
        <ns0:f>A891*('前提と出典'!$C$36*'契約別単価'!C5+'前提と出典'!$C$37*'契約別単価'!C6+'前提と出典'!$C$38*'契約別単価'!C7)</ns0:f>
        <ns0:v>6382.435754189944</ns0:v>
      </ns0:c>
      <ns0:c r="E891" s="16">
        <ns0:f>A891*('前提と出典'!$C$36*'契約別単価'!E5+'前提と出典'!$C$37*'契約別単価'!E6+'前提と出典'!$C$38*'契約別単価'!E7)</ns0:f>
        <ns0:v>1716295.9105216085</ns0:v>
      </ns0:c>
      <ns0:c r="F891" s="16">
        <ns0:f>A891*('前提と出典'!$C$36*'契約別単価'!F5+'前提と出典'!$C$37*'契約別単価'!F6+'前提と出典'!$C$38*'契約別単価'!F7)</ns0:f>
        <ns0:v>673583.790497453</ns0:v>
      </ns0:c>
      <ns0:c r="G891" s="16">
        <ns0:f>A891*('前提と出典'!$C$36*'契約別単価'!G5+'前提と出典'!$C$37*'契約別単価'!G6+'前提と出典'!$C$38*'契約別単価'!G7)</ns0:f>
        <ns0:v>1765575.9776536312</ns0:v>
      </ns0:c>
      <ns0:c r="H891" s="16">
        <ns0:f>A891*('前提と出典'!$C$36*'契約別単価'!H5+'前提と出典'!$C$37*'契約別単価'!H6+'前提と出典'!$C$38*'契約別単価'!H7)</ns0:f>
        <ns0:v>612743.4148395609</ns0:v>
      </ns0:c>
      <ns0:c r="I891" s="16">
        <ns0:f>A891*('前提と出典'!$C$36*'契約別単価'!I5+'前提と出典'!$C$37*'契約別単価'!I6+'前提と出典'!$C$38*'契約別単価'!I7)</ns0:f>
        <ns0:v>37427.43575418994</ns0:v>
      </ns0:c>
      <ns0:c r="J891" s="16">
        <ns0:f>A891*('前提と出典'!$C$36*'契約別単価'!J5+'前提と出典'!$C$37*'契約別単価'!J6+'前提と出典'!$C$38*'契約別単価'!J7)</ns0:f>
        <ns0:v>87182.82527103838</ns0:v>
      </ns0:c>
      <ns0:c r="K891" s="16">
        <ns0:f>A891*('前提と出典'!$C$36*'契約別単価'!K5+'前提と出典'!$C$37*'契約別単価'!K6+'前提と出典'!$C$38*'契約別単価'!K7)</ns0:f>
        <ns0:v>373696.23836126627</ns0:v>
      </ns0:c>
      <ns0:c r="L891" s="16">
        <ns0:f>A891*('前提と出典'!$C$36*'契約別単価'!L5+'前提と出典'!$C$37*'契約別単価'!L6+'前提と出典'!$C$38*'契約別単価'!L7)</ns0:f>
        <ns0:v>304264.780494652</ns0:v>
      </ns0:c>
      <ns0:c r="M891" s="16">
        <ns0:f>IF(('前提と出典'!$C$36+'前提と出典'!$C$38)=0,0,IF(B891&lt;=10,'前提と出典'!B73+'前提と出典'!C73,IF(B891&lt;=100,'前提と出典'!B74+'前提と出典'!C74,IF(B891&lt;=500,'前提と出典'!B75+'前提と出典'!C75,'前提と出典'!B76+'前提と出典'!C76))))</ns0:f>
        <ns0:v>80000</ns0:v>
      </ns0:c>
      <ns0:c r="N891" s="16">
        <ns0:f>IF(('前提と出典'!$C$37+'前提と出典'!$C$38)=0,0,IF(C891&lt;=10,'前提と出典'!D73+'前提と出典'!E73,IF(C891&lt;=100,'前提と出典'!D74+'前提と出典'!E74,IF(C891&lt;=500,'前提と出典'!D75+'前提と出典'!E75,'前提と出典'!D76+'前提と出典'!E76))))</ns0:f>
        <ns0:v>86510.9346263078</ns0:v>
      </ns0:c>
      <ns0:c r="O891" s="16">
        <ns0:f>IF('前提と出典'!$C$36+'前提と出典'!$C$38=0,0,'前提と出典'!$B$4*IF('前提と出典'!$B$20=0,MAX('前提と出典'!$B$6,D891*'前提と出典'!$B$5),'前提と出典'!$B$6+D891*'前提と出典'!$B$5))</ns0:f>
        <ns0:v>880776.1340782123</ns0:v>
      </ns0:c>
      <ns0:c r="P891" s="16">
        <ns0:f>(E891+G891)*(1-'前提と出典'!$B$7)-I891-K891-M891-O891</ns0:f>
        <ns0:v>1984624.6920072627</ns0:v>
      </ns0:c>
      <ns0:c r="Q891" s="16">
        <ns0:f>(F891+H891)*(1-'前提と出典'!$B$7)-J891-L891-N891</ns0:f>
        <ns0:v>762060.8855528831</ns0:v>
      </ns0:c>
      <ns0:c r="R891" s="16">
        <ns0:f>P891-E891*'前提と出典'!$E$4</ns0:f>
        <ns0:v>1469735.9188507798</ns0:v>
      </ns0:c>
      <ns0:c r="S891" s="16">
        <ns0:f>Q891-F891*'前提と出典'!$E$4</ns0:f>
        <ns0:v>559985.7484036472</ns0:v>
      </ns0:c>
      <ns0:c r="T891" s="7">
        <ns0:f>R891+S891</ns0:f>
        <ns0:v>2029721.667254427</ns0:v>
      </ns0:c>
      <ns0:c r="U891" s="16">
        <ns0:f>P891-E891*'前提と出典'!$E$5</ns0:f>
        <ns0:v>1298106.3277986192</ns0:v>
      </ns0:c>
      <ns0:c r="V891" s="16">
        <ns0:f>Q891-F891*'前提と出典'!$E$5</ns0:f>
        <ns0:v>492627.36935390194</ns0:v>
      </ns0:c>
      <ns0:c r="W891" s="7">
        <ns0:f>U891+V891</ns0:f>
        <ns0:v>1790733.697152521</ns0:v>
      </ns0:c>
      <ns0:c r="X891" s="16">
        <ns0:f>P891-E891*'前提と出典'!$E$6</ns0:f>
        <ns0:v>1126476.7367464583</ns0:v>
      </ns0:c>
      <ns0:c r="Y891" s="16">
        <ns0:f>Q891-F891*'前提と出典'!$E$6</ns0:f>
        <ns0:v>425268.9903041567</ns0:v>
      </ns0:c>
      <ns0:c r="Z891" s="7">
        <ns0:f>X891+Y891</ns0:f>
        <ns0:v>1551745.727050615</ns0:v>
      </ns0:c>
      <ns0:c r="AA891" s="7">
        <ns0:f>IF(T891&gt;=0,A891,1001)</ns0:f>
        <ns0:v>887</ns0:v>
      </ns0:c>
      <ns0:c r="AB891" s="7">
        <ns0:f>IF(T891&lt;0,A891,0)</ns0:f>
        <ns0:v>0</ns0:v>
      </ns0:c>
      <ns0:c r="AC891" s="16">
        <ns0:f>IF(AND(OR('前提と出典'!$C$36+'前提と出典'!$C$38=0,R891&gt;=0),OR('前提と出典'!$C$37+'前提と出典'!$C$38=0,S891&gt;=0)),0,A891)</ns0:f>
        <ns0:v>0</ns0:v>
      </ns0:c>
      <ns0:c r="AD891" s="7">
        <ns0:f>IF(W891&gt;=0,A891,1001)</ns0:f>
        <ns0:v>887</ns0:v>
      </ns0:c>
      <ns0:c r="AE891" s="7">
        <ns0:f>IF(W891&lt;0,A891,0)</ns0:f>
        <ns0:v>0</ns0:v>
      </ns0:c>
      <ns0:c r="AF891" s="16">
        <ns0:f>IF(AND(OR('前提と出典'!$C$36+'前提と出典'!$C$38=0,U891&gt;=0),OR('前提と出典'!$C$37+'前提と出典'!$C$38=0,V891&gt;=0)),0,A891)</ns0:f>
        <ns0:v>0</ns0:v>
      </ns0:c>
      <ns0:c r="AG891" s="7">
        <ns0:f>IF(Z891&gt;=0,A891,1001)</ns0:f>
        <ns0:v>887</ns0:v>
      </ns0:c>
      <ns0:c r="AH891" s="4">
        <ns0:f>IF(Z891&lt;0,A891,0)</ns0:f>
        <ns0:v>0</ns0:v>
      </ns0:c>
      <ns0:c r="AI891" s="12">
        <ns0:f>IF(AND(OR('前提と出典'!$C$36+'前提と出典'!$C$38=0,X891&gt;=0),OR('前提と出典'!$C$37+'前提と出典'!$C$38=0,Y891&gt;=0)),0,A891)</ns0:f>
        <ns0:v>0</ns0:v>
      </ns0:c>
    </ns0:row>
    <ns0:row r="892" ht="24" customHeight="1">
      <ns0:c r="A892" s="4" t="n">
        <ns0:v>888</ns0:v>
      </ns0:c>
      <ns0:c r="B892" s="12">
        <ns0:f>A892*('前提と出典'!$C$36+'前提と出典'!$C$38)</ns0:f>
        <ns0:v>621.5999999999999</ns0:v>
      </ns0:c>
      <ns0:c r="C892" s="12">
        <ns0:f>A892*('前提と出典'!$C$37+'前提と出典'!$C$38)</ns0:f>
        <ns0:v>532.8</ns0:v>
      </ns0:c>
      <ns0:c r="D892" s="16">
        <ns0:f>A892*('前提と出典'!$C$36*'契約別単価'!C5+'前提と出典'!$C$37*'契約別単価'!C6+'前提と出典'!$C$38*'契約別単価'!C7)</ns0:f>
        <ns0:v>6389.631284916201</ns0:v>
      </ns0:c>
      <ns0:c r="E892" s="16">
        <ns0:f>A892*('前提と出典'!$C$36*'契約別単価'!E5+'前提と出典'!$C$37*'契約別単価'!E6+'前提と出典'!$C$38*'契約別単価'!E7)</ns0:f>
        <ns0:v>1718230.855178341</ns0:v>
      </ns0:c>
      <ns0:c r="F892" s="16">
        <ns0:f>A892*('前提と出典'!$C$36*'契約別単価'!F5+'前提と出典'!$C$37*'契約別単価'!F6+'前提と出典'!$C$38*'契約別単価'!F7)</ns0:f>
        <ns0:v>674343.185977157</ns0:v>
      </ns0:c>
      <ns0:c r="G892" s="16">
        <ns0:f>A892*('前提と出典'!$C$36*'契約別単価'!G5+'前提と出典'!$C$37*'契約別単価'!G6+'前提と出典'!$C$38*'契約別単価'!G7)</ns0:f>
        <ns0:v>1767566.4804469272</ns0:v>
      </ns0:c>
      <ns0:c r="H892" s="16">
        <ns0:f>A892*('前提と出典'!$C$36*'契約別単価'!H5+'前提と出典'!$C$37*'契約別単価'!H6+'前提と出典'!$C$38*'契約別単価'!H7)</ns0:f>
        <ns0:v>613434.2191403946</ns0:v>
      </ns0:c>
      <ns0:c r="I892" s="16">
        <ns0:f>A892*('前提と出典'!$C$36*'契約別単価'!I5+'前提と出典'!$C$37*'契約別単価'!I6+'前提と出典'!$C$38*'契約別単価'!I7)</ns0:f>
        <ns0:v>37469.63128491619</ns0:v>
      </ns0:c>
      <ns0:c r="J892" s="16">
        <ns0:f>A892*('前提と出典'!$C$36*'契約別単価'!J5+'前提と出典'!$C$37*'契約別単価'!J6+'前提と出典'!$C$38*'契約別単価'!J7)</ns0:f>
        <ns0:v>87281.11481474868</ns0:v>
      </ns0:c>
      <ns0:c r="K892" s="16">
        <ns0:f>A892*('前提と出典'!$C$36*'契約別単価'!K5+'前提と出典'!$C$37*'契約別単価'!K6+'前提と出典'!$C$38*'契約別単価'!K7)</ns0:f>
        <ns0:v>374117.54189944133</ns0:v>
      </ns0:c>
      <ns0:c r="L892" s="16">
        <ns0:f>A892*('前提と出典'!$C$36*'契約別単価'!L5+'前提と出典'!$C$37*'契約別単価'!L6+'前提と出典'!$C$38*'契約別単価'!L7)</ns0:f>
        <ns0:v>304607.8073046798</ns0:v>
      </ns0:c>
      <ns0:c r="M892" s="16">
        <ns0:f>IF(('前提と出典'!$C$36+'前提と出典'!$C$38)=0,0,IF(B892&lt;=10,'前提と出典'!B73+'前提と出典'!C73,IF(B892&lt;=100,'前提と出典'!B74+'前提と出典'!C74,IF(B892&lt;=500,'前提と出典'!B75+'前提と出典'!C75,'前提と出典'!B76+'前提と出典'!C76))))</ns0:f>
        <ns0:v>80000</ns0:v>
      </ns0:c>
      <ns0:c r="N892" s="16">
        <ns0:f>IF(('前提と出典'!$C$37+'前提と出典'!$C$38)=0,0,IF(C892&lt;=10,'前提と出典'!D73+'前提と出典'!E73,IF(C892&lt;=100,'前提と出典'!D74+'前提と出典'!E74,IF(C892&lt;=500,'前提と出典'!D75+'前提と出典'!E75,'前提と出典'!D76+'前提と出典'!E76))))</ns0:f>
        <ns0:v>86510.9346263078</ns0:v>
      </ns0:c>
      <ns0:c r="O892" s="16">
        <ns0:f>IF('前提と出典'!$C$36+'前提と出典'!$C$38=0,0,'前提と出典'!$B$4*IF('前提と出典'!$B$20=0,MAX('前提と出典'!$B$6,D892*'前提と出典'!$B$5),'前提と出典'!$B$6+D892*'前提と出典'!$B$5))</ns0:f>
        <ns0:v>881769.1173184358</ns0:v>
      </ns0:c>
      <ns0:c r="P892" s="16">
        <ns0:f>(E892+G892)*(1-'前提と出典'!$B$7)-I892-K892-M892-O892</ns0:f>
        <ns0:v>1986952.3410399654</ns0:v>
      </ns0:c>
      <ns0:c r="Q892" s="16">
        <ns0:f>(F892+H892)*(1-'前提と出典'!$B$7)-J892-L892-N892</ns0:f>
        <ns0:v>763017.5617875834</ns0:v>
      </ns0:c>
      <ns0:c r="R892" s="16">
        <ns0:f>P892-E892*'前提と出典'!$E$4</ns0:f>
        <ns0:v>1471483.0844864633</ns0:v>
      </ns0:c>
      <ns0:c r="S892" s="16">
        <ns0:f>Q892-F892*'前提と出典'!$E$4</ns0:f>
        <ns0:v>560714.6059944362</ns0:v>
      </ns0:c>
      <ns0:c r="T892" s="7">
        <ns0:f>R892+S892</ns0:f>
        <ns0:v>2032197.6904808995</ns0:v>
      </ns0:c>
      <ns0:c r="U892" s="16">
        <ns0:f>P892-E892*'前提と出典'!$E$5</ns0:f>
        <ns0:v>1299659.998968629</ns0:v>
      </ns0:c>
      <ns0:c r="V892" s="16">
        <ns0:f>Q892-F892*'前提と出典'!$E$5</ns0:f>
        <ns0:v>493280.2873967206</ns0:v>
      </ns0:c>
      <ns0:c r="W892" s="7">
        <ns0:f>U892+V892</ns0:f>
        <ns0:v>1792940.2863653495</ns0:v>
      </ns0:c>
      <ns0:c r="X892" s="16">
        <ns0:f>P892-E892*'前提と出典'!$E$6</ns0:f>
        <ns0:v>1127836.913450795</ns0:v>
      </ns0:c>
      <ns0:c r="Y892" s="16">
        <ns0:f>Q892-F892*'前提と出典'!$E$6</ns0:f>
        <ns0:v>425845.968799005</ns0:v>
      </ns0:c>
      <ns0:c r="Z892" s="7">
        <ns0:f>X892+Y892</ns0:f>
        <ns0:v>1553682.8822498</ns0:v>
      </ns0:c>
      <ns0:c r="AA892" s="7">
        <ns0:f>IF(T892&gt;=0,A892,1001)</ns0:f>
        <ns0:v>888</ns0:v>
      </ns0:c>
      <ns0:c r="AB892" s="7">
        <ns0:f>IF(T892&lt;0,A892,0)</ns0:f>
        <ns0:v>0</ns0:v>
      </ns0:c>
      <ns0:c r="AC892" s="16">
        <ns0:f>IF(AND(OR('前提と出典'!$C$36+'前提と出典'!$C$38=0,R892&gt;=0),OR('前提と出典'!$C$37+'前提と出典'!$C$38=0,S892&gt;=0)),0,A892)</ns0:f>
        <ns0:v>0</ns0:v>
      </ns0:c>
      <ns0:c r="AD892" s="7">
        <ns0:f>IF(W892&gt;=0,A892,1001)</ns0:f>
        <ns0:v>888</ns0:v>
      </ns0:c>
      <ns0:c r="AE892" s="7">
        <ns0:f>IF(W892&lt;0,A892,0)</ns0:f>
        <ns0:v>0</ns0:v>
      </ns0:c>
      <ns0:c r="AF892" s="16">
        <ns0:f>IF(AND(OR('前提と出典'!$C$36+'前提と出典'!$C$38=0,U892&gt;=0),OR('前提と出典'!$C$37+'前提と出典'!$C$38=0,V892&gt;=0)),0,A892)</ns0:f>
        <ns0:v>0</ns0:v>
      </ns0:c>
      <ns0:c r="AG892" s="7">
        <ns0:f>IF(Z892&gt;=0,A892,1001)</ns0:f>
        <ns0:v>888</ns0:v>
      </ns0:c>
      <ns0:c r="AH892" s="4">
        <ns0:f>IF(Z892&lt;0,A892,0)</ns0:f>
        <ns0:v>0</ns0:v>
      </ns0:c>
      <ns0:c r="AI892" s="12">
        <ns0:f>IF(AND(OR('前提と出典'!$C$36+'前提と出典'!$C$38=0,X892&gt;=0),OR('前提と出典'!$C$37+'前提と出典'!$C$38=0,Y892&gt;=0)),0,A892)</ns0:f>
        <ns0:v>0</ns0:v>
      </ns0:c>
    </ns0:row>
    <ns0:row r="893" ht="24" customHeight="1">
      <ns0:c r="A893" s="4" t="n">
        <ns0:v>889</ns0:v>
      </ns0:c>
      <ns0:c r="B893" s="12">
        <ns0:f>A893*('前提と出典'!$C$36+'前提と出典'!$C$38)</ns0:f>
        <ns0:v>622.3</ns0:v>
      </ns0:c>
      <ns0:c r="C893" s="12">
        <ns0:f>A893*('前提と出典'!$C$37+'前提と出典'!$C$38)</ns0:f>
        <ns0:v>533.4</ns0:v>
      </ns0:c>
      <ns0:c r="D893" s="16">
        <ns0:f>A893*('前提と出典'!$C$36*'契約別単価'!C5+'前提と出典'!$C$37*'契約別単価'!C6+'前提と出典'!$C$38*'契約別単価'!C7)</ns0:f>
        <ns0:v>6396.826815642458</ns0:v>
      </ns0:c>
      <ns0:c r="E893" s="16">
        <ns0:f>A893*('前提と出典'!$C$36*'契約別単価'!E5+'前提と出典'!$C$37*'契約別単価'!E6+'前提と出典'!$C$38*'契約別単価'!E7)</ns0:f>
        <ns0:v>1720165.7998350733</ns0:v>
      </ns0:c>
      <ns0:c r="F893" s="16">
        <ns0:f>A893*('前提と出典'!$C$36*'契約別単価'!F5+'前提と出典'!$C$37*'契約別単価'!F6+'前提と出典'!$C$38*'契約別単価'!F7)</ns0:f>
        <ns0:v>675102.5814568609</ns0:v>
      </ns0:c>
      <ns0:c r="G893" s="16">
        <ns0:f>A893*('前提と出典'!$C$36*'契約別単価'!G5+'前提と出典'!$C$37*'契約別単価'!G6+'前提と出典'!$C$38*'契約別単価'!G7)</ns0:f>
        <ns0:v>1769556.9832402235</ns0:v>
      </ns0:c>
      <ns0:c r="H893" s="16">
        <ns0:f>A893*('前提と出典'!$C$36*'契約別単価'!H5+'前提と出典'!$C$37*'契約別単価'!H6+'前提と出典'!$C$38*'契約別単価'!H7)</ns0:f>
        <ns0:v>614125.0234412283</ns0:v>
      </ns0:c>
      <ns0:c r="I893" s="16">
        <ns0:f>A893*('前提と出典'!$C$36*'契約別単価'!I5+'前提と出典'!$C$37*'契約別単価'!I6+'前提と出典'!$C$38*'契約別単価'!I7)</ns0:f>
        <ns0:v>37511.82681564245</ns0:v>
      </ns0:c>
      <ns0:c r="J893" s="16">
        <ns0:f>A893*('前提と出典'!$C$36*'契約別単価'!J5+'前提と出典'!$C$37*'契約別単価'!J6+'前提と出典'!$C$38*'契約別単価'!J7)</ns0:f>
        <ns0:v>87379.40435845898</ns0:v>
      </ns0:c>
      <ns0:c r="K893" s="16">
        <ns0:f>A893*('前提と出典'!$C$36*'契約別単価'!K5+'前提と出典'!$C$37*'契約別単価'!K6+'前提と出典'!$C$38*'契約別単価'!K7)</ns0:f>
        <ns0:v>374538.84543761634</ns0:v>
      </ns0:c>
      <ns0:c r="L893" s="16">
        <ns0:f>A893*('前提と出典'!$C$36*'契約別単価'!L5+'前提と出典'!$C$37*'契約別単価'!L6+'前提と出典'!$C$38*'契約別単価'!L7)</ns0:f>
        <ns0:v>304950.8341147076</ns0:v>
      </ns0:c>
      <ns0:c r="M893" s="16">
        <ns0:f>IF(('前提と出典'!$C$36+'前提と出典'!$C$38)=0,0,IF(B893&lt;=10,'前提と出典'!B73+'前提と出典'!C73,IF(B893&lt;=100,'前提と出典'!B74+'前提と出典'!C74,IF(B893&lt;=500,'前提と出典'!B75+'前提と出典'!C75,'前提と出典'!B76+'前提と出典'!C76))))</ns0:f>
        <ns0:v>80000</ns0:v>
      </ns0:c>
      <ns0:c r="N893" s="16">
        <ns0:f>IF(('前提と出典'!$C$37+'前提と出典'!$C$38)=0,0,IF(C893&lt;=10,'前提と出典'!D73+'前提と出典'!E73,IF(C893&lt;=100,'前提と出典'!D74+'前提と出典'!E74,IF(C893&lt;=500,'前提と出典'!D75+'前提と出典'!E75,'前提と出典'!D76+'前提と出典'!E76))))</ns0:f>
        <ns0:v>86510.9346263078</ns0:v>
      </ns0:c>
      <ns0:c r="O893" s="16">
        <ns0:f>IF('前提と出典'!$C$36+'前提と出典'!$C$38=0,0,'前提と出典'!$B$4*IF('前提と出典'!$B$20=0,MAX('前提と出典'!$B$6,D893*'前提と出典'!$B$5),'前提と出典'!$B$6+D893*'前提と出典'!$B$5))</ns0:f>
        <ns0:v>882762.1005586593</ns0:v>
      </ns0:c>
      <ns0:c r="P893" s="16">
        <ns0:f>(E893+G893)*(1-'前提と出典'!$B$7)-I893-K893-M893-O893</ns0:f>
        <ns0:v>1989279.9900726676</ns0:v>
      </ns0:c>
      <ns0:c r="Q893" s="16">
        <ns0:f>(F893+H893)*(1-'前提と出典'!$B$7)-J893-L893-N893</ns0:f>
        <ns0:v>763974.2380222835</ns0:v>
      </ns0:c>
      <ns0:c r="R893" s="16">
        <ns0:f>P893-E893*'前提と出典'!$E$4</ns0:f>
        <ns0:v>1473230.2501221464</ns0:v>
      </ns0:c>
      <ns0:c r="S893" s="16">
        <ns0:f>Q893-F893*'前提と出典'!$E$4</ns0:f>
        <ns0:v>561443.4635852254</ns0:v>
      </ns0:c>
      <ns0:c r="T893" s="7">
        <ns0:f>R893+S893</ns0:f>
        <ns0:v>2034673.7137073718</ns0:v>
      </ns0:c>
      <ns0:c r="U893" s="16">
        <ns0:f>P893-E893*'前提と出典'!$E$5</ns0:f>
        <ns0:v>1301213.6701386382</ns0:v>
      </ns0:c>
      <ns0:c r="V893" s="16">
        <ns0:f>Q893-F893*'前提と出典'!$E$5</ns0:f>
        <ns0:v>493933.20543953916</ns0:v>
      </ns0:c>
      <ns0:c r="W893" s="7">
        <ns0:f>U893+V893</ns0:f>
        <ns0:v>1795146.8755781774</ns0:v>
      </ns0:c>
      <ns0:c r="X893" s="16">
        <ns0:f>P893-E893*'前提と出典'!$E$6</ns0:f>
        <ns0:v>1129197.0901551312</ns0:v>
      </ns0:c>
      <ns0:c r="Y893" s="16">
        <ns0:f>Q893-F893*'前提と出典'!$E$6</ns0:f>
        <ns0:v>426422.9472938531</ns0:v>
      </ns0:c>
      <ns0:c r="Z893" s="7">
        <ns0:f>X893+Y893</ns0:f>
        <ns0:v>1555620.0374489843</ns0:v>
      </ns0:c>
      <ns0:c r="AA893" s="7">
        <ns0:f>IF(T893&gt;=0,A893,1001)</ns0:f>
        <ns0:v>889</ns0:v>
      </ns0:c>
      <ns0:c r="AB893" s="7">
        <ns0:f>IF(T893&lt;0,A893,0)</ns0:f>
        <ns0:v>0</ns0:v>
      </ns0:c>
      <ns0:c r="AC893" s="16">
        <ns0:f>IF(AND(OR('前提と出典'!$C$36+'前提と出典'!$C$38=0,R893&gt;=0),OR('前提と出典'!$C$37+'前提と出典'!$C$38=0,S893&gt;=0)),0,A893)</ns0:f>
        <ns0:v>0</ns0:v>
      </ns0:c>
      <ns0:c r="AD893" s="7">
        <ns0:f>IF(W893&gt;=0,A893,1001)</ns0:f>
        <ns0:v>889</ns0:v>
      </ns0:c>
      <ns0:c r="AE893" s="7">
        <ns0:f>IF(W893&lt;0,A893,0)</ns0:f>
        <ns0:v>0</ns0:v>
      </ns0:c>
      <ns0:c r="AF893" s="16">
        <ns0:f>IF(AND(OR('前提と出典'!$C$36+'前提と出典'!$C$38=0,U893&gt;=0),OR('前提と出典'!$C$37+'前提と出典'!$C$38=0,V893&gt;=0)),0,A893)</ns0:f>
        <ns0:v>0</ns0:v>
      </ns0:c>
      <ns0:c r="AG893" s="7">
        <ns0:f>IF(Z893&gt;=0,A893,1001)</ns0:f>
        <ns0:v>889</ns0:v>
      </ns0:c>
      <ns0:c r="AH893" s="4">
        <ns0:f>IF(Z893&lt;0,A893,0)</ns0:f>
        <ns0:v>0</ns0:v>
      </ns0:c>
      <ns0:c r="AI893" s="12">
        <ns0:f>IF(AND(OR('前提と出典'!$C$36+'前提と出典'!$C$38=0,X893&gt;=0),OR('前提と出典'!$C$37+'前提と出典'!$C$38=0,Y893&gt;=0)),0,A893)</ns0:f>
        <ns0:v>0</ns0:v>
      </ns0:c>
    </ns0:row>
    <ns0:row r="894" ht="24" customHeight="1">
      <ns0:c r="A894" s="4" t="n">
        <ns0:v>890</ns0:v>
      </ns0:c>
      <ns0:c r="B894" s="12">
        <ns0:f>A894*('前提と出典'!$C$36+'前提と出典'!$C$38)</ns0:f>
        <ns0:v>623</ns0:v>
      </ns0:c>
      <ns0:c r="C894" s="12">
        <ns0:f>A894*('前提と出典'!$C$37+'前提と出典'!$C$38)</ns0:f>
        <ns0:v>534</ns0:v>
      </ns0:c>
      <ns0:c r="D894" s="16">
        <ns0:f>A894*('前提と出典'!$C$36*'契約別単価'!C5+'前提と出典'!$C$37*'契約別単価'!C6+'前提と出典'!$C$38*'契約別単価'!C7)</ns0:f>
        <ns0:v>6404.022346368715</ns0:v>
      </ns0:c>
      <ns0:c r="E894" s="16">
        <ns0:f>A894*('前提と出典'!$C$36*'契約別単価'!E5+'前提と出典'!$C$37*'契約別単価'!E6+'前提と出典'!$C$38*'契約別単価'!E7)</ns0:f>
        <ns0:v>1722100.7444918058</ns0:v>
      </ns0:c>
      <ns0:c r="F894" s="16">
        <ns0:f>A894*('前提と出典'!$C$36*'契約別単価'!F5+'前提と出典'!$C$37*'契約別単価'!F6+'前提と出典'!$C$38*'契約別単価'!F7)</ns0:f>
        <ns0:v>675861.9769365649</ns0:v>
      </ns0:c>
      <ns0:c r="G894" s="16">
        <ns0:f>A894*('前提と出典'!$C$36*'契約別単価'!G5+'前提と出典'!$C$37*'契約別単価'!G6+'前提と出典'!$C$38*'契約別単価'!G7)</ns0:f>
        <ns0:v>1771547.4860335195</ns0:v>
      </ns0:c>
      <ns0:c r="H894" s="16">
        <ns0:f>A894*('前提と出典'!$C$36*'契約別単価'!H5+'前提と出典'!$C$37*'契約別単価'!H6+'前提と出典'!$C$38*'契約別単価'!H7)</ns0:f>
        <ns0:v>614815.8277420622</ns0:v>
      </ns0:c>
      <ns0:c r="I894" s="16">
        <ns0:f>A894*('前提と出典'!$C$36*'契約別単価'!I5+'前提と出典'!$C$37*'契約別単価'!I6+'前提と出典'!$C$38*'契約別単価'!I7)</ns0:f>
        <ns0:v>37554.02234636871</ns0:v>
      </ns0:c>
      <ns0:c r="J894" s="16">
        <ns0:f>A894*('前提と出典'!$C$36*'契約別単価'!J5+'前提と出典'!$C$37*'契約別単価'!J6+'前提と出典'!$C$38*'契約別単価'!J7)</ns0:f>
        <ns0:v>87477.69390216928</ns0:v>
      </ns0:c>
      <ns0:c r="K894" s="16">
        <ns0:f>A894*('前提と出典'!$C$36*'契約別単価'!K5+'前提と出典'!$C$37*'契約別単価'!K6+'前提と出典'!$C$38*'契約別単価'!K7)</ns0:f>
        <ns0:v>374960.1489757914</ns0:v>
      </ns0:c>
      <ns0:c r="L894" s="16">
        <ns0:f>A894*('前提と出典'!$C$36*'契約別単価'!L5+'前提と出典'!$C$37*'契約別単価'!L6+'前提と出典'!$C$38*'契約別単価'!L7)</ns0:f>
        <ns0:v>305293.8609247354</ns0:v>
      </ns0:c>
      <ns0:c r="M894" s="16">
        <ns0:f>IF(('前提と出典'!$C$36+'前提と出典'!$C$38)=0,0,IF(B894&lt;=10,'前提と出典'!B73+'前提と出典'!C73,IF(B894&lt;=100,'前提と出典'!B74+'前提と出典'!C74,IF(B894&lt;=500,'前提と出典'!B75+'前提と出典'!C75,'前提と出典'!B76+'前提と出典'!C76))))</ns0:f>
        <ns0:v>80000</ns0:v>
      </ns0:c>
      <ns0:c r="N894" s="16">
        <ns0:f>IF(('前提と出典'!$C$37+'前提と出典'!$C$38)=0,0,IF(C894&lt;=10,'前提と出典'!D73+'前提と出典'!E73,IF(C894&lt;=100,'前提と出典'!D74+'前提と出典'!E74,IF(C894&lt;=500,'前提と出典'!D75+'前提と出典'!E75,'前提と出典'!D76+'前提と出典'!E76))))</ns0:f>
        <ns0:v>86510.9346263078</ns0:v>
      </ns0:c>
      <ns0:c r="O894" s="16">
        <ns0:f>IF('前提と出典'!$C$36+'前提と出典'!$C$38=0,0,'前提と出典'!$B$4*IF('前提と出典'!$B$20=0,MAX('前提と出典'!$B$6,D894*'前提と出典'!$B$5),'前提と出典'!$B$6+D894*'前提と出典'!$B$5))</ns0:f>
        <ns0:v>883755.0837988828</ns0:v>
      </ns0:c>
      <ns0:c r="P894" s="16">
        <ns0:f>(E894+G894)*(1-'前提と出典'!$B$7)-I894-K894-M894-O894</ns0:f>
        <ns0:v>1991607.6391053703</ns0:v>
      </ns0:c>
      <ns0:c r="Q894" s="16">
        <ns0:f>(F894+H894)*(1-'前提と出典'!$B$7)-J894-L894-N894</ns0:f>
        <ns0:v>764930.9142569841</ns0:v>
      </ns0:c>
      <ns0:c r="R894" s="16">
        <ns0:f>P894-E894*'前提と出典'!$E$4</ns0:f>
        <ns0:v>1474977.4157578286</ns0:v>
      </ns0:c>
      <ns0:c r="S894" s="16">
        <ns0:f>Q894-F894*'前提と出典'!$E$4</ns0:f>
        <ns0:v>562172.3211760146</ns0:v>
      </ns0:c>
      <ns0:c r="T894" s="7">
        <ns0:f>R894+S894</ns0:f>
        <ns0:v>2037149.7369338432</ns0:v>
      </ns0:c>
      <ns0:c r="U894" s="16">
        <ns0:f>P894-E894*'前提と出典'!$E$5</ns0:f>
        <ns0:v>1302767.341308648</ns0:v>
      </ns0:c>
      <ns0:c r="V894" s="16">
        <ns0:f>Q894-F894*'前提と出典'!$E$5</ns0:f>
        <ns0:v>494586.1234823582</ns0:v>
      </ns0:c>
      <ns0:c r="W894" s="7">
        <ns0:f>U894+V894</ns0:f>
        <ns0:v>1797353.4647910062</ns0:v>
      </ns0:c>
      <ns0:c r="X894" s="16">
        <ns0:f>P894-E894*'前提と出典'!$E$6</ns0:f>
        <ns0:v>1130557.2668594674</ns0:v>
      </ns0:c>
      <ns0:c r="Y894" s="16">
        <ns0:f>Q894-F894*'前提と出典'!$E$6</ns0:f>
        <ns0:v>426999.9257887017</ns0:v>
      </ns0:c>
      <ns0:c r="Z894" s="7">
        <ns0:f>X894+Y894</ns0:f>
        <ns0:v>1557557.1926481691</ns0:v>
      </ns0:c>
      <ns0:c r="AA894" s="7">
        <ns0:f>IF(T894&gt;=0,A894,1001)</ns0:f>
        <ns0:v>890</ns0:v>
      </ns0:c>
      <ns0:c r="AB894" s="7">
        <ns0:f>IF(T894&lt;0,A894,0)</ns0:f>
        <ns0:v>0</ns0:v>
      </ns0:c>
      <ns0:c r="AC894" s="16">
        <ns0:f>IF(AND(OR('前提と出典'!$C$36+'前提と出典'!$C$38=0,R894&gt;=0),OR('前提と出典'!$C$37+'前提と出典'!$C$38=0,S894&gt;=0)),0,A894)</ns0:f>
        <ns0:v>0</ns0:v>
      </ns0:c>
      <ns0:c r="AD894" s="7">
        <ns0:f>IF(W894&gt;=0,A894,1001)</ns0:f>
        <ns0:v>890</ns0:v>
      </ns0:c>
      <ns0:c r="AE894" s="7">
        <ns0:f>IF(W894&lt;0,A894,0)</ns0:f>
        <ns0:v>0</ns0:v>
      </ns0:c>
      <ns0:c r="AF894" s="16">
        <ns0:f>IF(AND(OR('前提と出典'!$C$36+'前提と出典'!$C$38=0,U894&gt;=0),OR('前提と出典'!$C$37+'前提と出典'!$C$38=0,V894&gt;=0)),0,A894)</ns0:f>
        <ns0:v>0</ns0:v>
      </ns0:c>
      <ns0:c r="AG894" s="7">
        <ns0:f>IF(Z894&gt;=0,A894,1001)</ns0:f>
        <ns0:v>890</ns0:v>
      </ns0:c>
      <ns0:c r="AH894" s="4">
        <ns0:f>IF(Z894&lt;0,A894,0)</ns0:f>
        <ns0:v>0</ns0:v>
      </ns0:c>
      <ns0:c r="AI894" s="12">
        <ns0:f>IF(AND(OR('前提と出典'!$C$36+'前提と出典'!$C$38=0,X894&gt;=0),OR('前提と出典'!$C$37+'前提と出典'!$C$38=0,Y894&gt;=0)),0,A894)</ns0:f>
        <ns0:v>0</ns0:v>
      </ns0:c>
    </ns0:row>
    <ns0:row r="895" ht="24" customHeight="1">
      <ns0:c r="A895" s="4" t="n">
        <ns0:v>891</ns0:v>
      </ns0:c>
      <ns0:c r="B895" s="12">
        <ns0:f>A895*('前提と出典'!$C$36+'前提と出典'!$C$38)</ns0:f>
        <ns0:v>623.6999999999999</ns0:v>
      </ns0:c>
      <ns0:c r="C895" s="12">
        <ns0:f>A895*('前提と出典'!$C$37+'前提と出典'!$C$38)</ns0:f>
        <ns0:v>534.6</ns0:v>
      </ns0:c>
      <ns0:c r="D895" s="16">
        <ns0:f>A895*('前提と出典'!$C$36*'契約別単価'!C5+'前提と出典'!$C$37*'契約別単価'!C6+'前提と出典'!$C$38*'契約別単価'!C7)</ns0:f>
        <ns0:v>6411.217877094972</ns0:v>
      </ns0:c>
      <ns0:c r="E895" s="16">
        <ns0:f>A895*('前提と出典'!$C$36*'契約別単価'!E5+'前提と出典'!$C$37*'契約別単価'!E6+'前提と出典'!$C$38*'契約別単価'!E7)</ns0:f>
        <ns0:v>1724035.689148538</ns0:v>
      </ns0:c>
      <ns0:c r="F895" s="16">
        <ns0:f>A895*('前提と出典'!$C$36*'契約別単価'!F5+'前提と出典'!$C$37*'契約別単価'!F6+'前提と出典'!$C$38*'契約別単価'!F7)</ns0:f>
        <ns0:v>676621.3724162689</ns0:v>
      </ns0:c>
      <ns0:c r="G895" s="16">
        <ns0:f>A895*('前提と出典'!$C$36*'契約別単価'!G5+'前提と出典'!$C$37*'契約別単価'!G6+'前提と出典'!$C$38*'契約別単価'!G7)</ns0:f>
        <ns0:v>1773537.9888268155</ns0:v>
      </ns0:c>
      <ns0:c r="H895" s="16">
        <ns0:f>A895*('前提と出典'!$C$36*'契約別単価'!H5+'前提と出典'!$C$37*'契約別単価'!H6+'前提と出典'!$C$38*'契約別単価'!H7)</ns0:f>
        <ns0:v>615506.6320428959</ns0:v>
      </ns0:c>
      <ns0:c r="I895" s="16">
        <ns0:f>A895*('前提と出典'!$C$36*'契約別単価'!I5+'前提と出典'!$C$37*'契約別単価'!I6+'前提と出典'!$C$38*'契約別単価'!I7)</ns0:f>
        <ns0:v>37596.21787709497</ns0:v>
      </ns0:c>
      <ns0:c r="J895" s="16">
        <ns0:f>A895*('前提と出典'!$C$36*'契約別単価'!J5+'前提と出典'!$C$37*'契約別単価'!J6+'前提と出典'!$C$38*'契約別単価'!J7)</ns0:f>
        <ns0:v>87575.98344587958</ns0:v>
      </ns0:c>
      <ns0:c r="K895" s="16">
        <ns0:f>A895*('前提と出典'!$C$36*'契約別単価'!K5+'前提と出典'!$C$37*'契約別単価'!K6+'前提と出典'!$C$38*'契約別単価'!K7)</ns0:f>
        <ns0:v>375381.4525139665</ns0:v>
      </ns0:c>
      <ns0:c r="L895" s="16">
        <ns0:f>A895*('前提と出典'!$C$36*'契約別単価'!L5+'前提と出典'!$C$37*'契約別単価'!L6+'前提と出典'!$C$38*'契約別単価'!L7)</ns0:f>
        <ns0:v>305636.8877347632</ns0:v>
      </ns0:c>
      <ns0:c r="M895" s="16">
        <ns0:f>IF(('前提と出典'!$C$36+'前提と出典'!$C$38)=0,0,IF(B895&lt;=10,'前提と出典'!B73+'前提と出典'!C73,IF(B895&lt;=100,'前提と出典'!B74+'前提と出典'!C74,IF(B895&lt;=500,'前提と出典'!B75+'前提と出典'!C75,'前提と出典'!B76+'前提と出典'!C76))))</ns0:f>
        <ns0:v>80000</ns0:v>
      </ns0:c>
      <ns0:c r="N895" s="16">
        <ns0:f>IF(('前提と出典'!$C$37+'前提と出典'!$C$38)=0,0,IF(C895&lt;=10,'前提と出典'!D73+'前提と出典'!E73,IF(C895&lt;=100,'前提と出典'!D74+'前提と出典'!E74,IF(C895&lt;=500,'前提と出典'!D75+'前提と出典'!E75,'前提と出典'!D76+'前提と出典'!E76))))</ns0:f>
        <ns0:v>86510.9346263078</ns0:v>
      </ns0:c>
      <ns0:c r="O895" s="16">
        <ns0:f>IF('前提と出典'!$C$36+'前提と出典'!$C$38=0,0,'前提と出典'!$B$4*IF('前提と出典'!$B$20=0,MAX('前提と出典'!$B$6,D895*'前提と出典'!$B$5),'前提と出典'!$B$6+D895*'前提と出典'!$B$5))</ns0:f>
        <ns0:v>884748.0670391063</ns0:v>
      </ns0:c>
      <ns0:c r="P895" s="16">
        <ns0:f>(E895+G895)*(1-'前提と出典'!$B$7)-I895-K895-M895-O895</ns0:f>
        <ns0:v>1993935.288138073</ns0:v>
      </ns0:c>
      <ns0:c r="Q895" s="16">
        <ns0:f>(F895+H895)*(1-'前提と出典'!$B$7)-J895-L895-N895</ns0:f>
        <ns0:v>765887.5904916842</ns0:v>
      </ns0:c>
      <ns0:c r="R895" s="16">
        <ns0:f>P895-E895*'前提と出典'!$E$4</ns0:f>
        <ns0:v>1476724.5813935117</ns0:v>
      </ns0:c>
      <ns0:c r="S895" s="16">
        <ns0:f>Q895-F895*'前提と出典'!$E$4</ns0:f>
        <ns0:v>562901.1787668037</ns0:v>
      </ns0:c>
      <ns0:c r="T895" s="7">
        <ns0:f>R895+S895</ns0:f>
        <ns0:v>2039625.7601603153</ns0:v>
      </ns0:c>
      <ns0:c r="U895" s="16">
        <ns0:f>P895-E895*'前提と出典'!$E$5</ns0:f>
        <ns0:v>1304321.0124786578</ns0:v>
      </ns0:c>
      <ns0:c r="V895" s="16">
        <ns0:f>Q895-F895*'前提と出典'!$E$5</ns0:f>
        <ns0:v>495239.0415251766</ns0:v>
      </ns0:c>
      <ns0:c r="W895" s="7">
        <ns0:f>U895+V895</ns0:f>
        <ns0:v>1799560.0540038343</ns0:v>
      </ns0:c>
      <ns0:c r="X895" s="16">
        <ns0:f>P895-E895*'前提と出典'!$E$6</ns0:f>
        <ns0:v>1131917.4435638045</ns0:v>
      </ns0:c>
      <ns0:c r="Y895" s="16">
        <ns0:f>Q895-F895*'前提と出典'!$E$6</ns0:f>
        <ns0:v>427576.90428354975</ns0:v>
      </ns0:c>
      <ns0:c r="Z895" s="7">
        <ns0:f>X895+Y895</ns0:f>
        <ns0:v>1559494.3478473541</ns0:v>
      </ns0:c>
      <ns0:c r="AA895" s="7">
        <ns0:f>IF(T895&gt;=0,A895,1001)</ns0:f>
        <ns0:v>891</ns0:v>
      </ns0:c>
      <ns0:c r="AB895" s="7">
        <ns0:f>IF(T895&lt;0,A895,0)</ns0:f>
        <ns0:v>0</ns0:v>
      </ns0:c>
      <ns0:c r="AC895" s="16">
        <ns0:f>IF(AND(OR('前提と出典'!$C$36+'前提と出典'!$C$38=0,R895&gt;=0),OR('前提と出典'!$C$37+'前提と出典'!$C$38=0,S895&gt;=0)),0,A895)</ns0:f>
        <ns0:v>0</ns0:v>
      </ns0:c>
      <ns0:c r="AD895" s="7">
        <ns0:f>IF(W895&gt;=0,A895,1001)</ns0:f>
        <ns0:v>891</ns0:v>
      </ns0:c>
      <ns0:c r="AE895" s="7">
        <ns0:f>IF(W895&lt;0,A895,0)</ns0:f>
        <ns0:v>0</ns0:v>
      </ns0:c>
      <ns0:c r="AF895" s="16">
        <ns0:f>IF(AND(OR('前提と出典'!$C$36+'前提と出典'!$C$38=0,U895&gt;=0),OR('前提と出典'!$C$37+'前提と出典'!$C$38=0,V895&gt;=0)),0,A895)</ns0:f>
        <ns0:v>0</ns0:v>
      </ns0:c>
      <ns0:c r="AG895" s="7">
        <ns0:f>IF(Z895&gt;=0,A895,1001)</ns0:f>
        <ns0:v>891</ns0:v>
      </ns0:c>
      <ns0:c r="AH895" s="4">
        <ns0:f>IF(Z895&lt;0,A895,0)</ns0:f>
        <ns0:v>0</ns0:v>
      </ns0:c>
      <ns0:c r="AI895" s="12">
        <ns0:f>IF(AND(OR('前提と出典'!$C$36+'前提と出典'!$C$38=0,X895&gt;=0),OR('前提と出典'!$C$37+'前提と出典'!$C$38=0,Y895&gt;=0)),0,A895)</ns0:f>
        <ns0:v>0</ns0:v>
      </ns0:c>
    </ns0:row>
    <ns0:row r="896" ht="24" customHeight="1">
      <ns0:c r="A896" s="4" t="n">
        <ns0:v>892</ns0:v>
      </ns0:c>
      <ns0:c r="B896" s="12">
        <ns0:f>A896*('前提と出典'!$C$36+'前提と出典'!$C$38)</ns0:f>
        <ns0:v>624.4</ns0:v>
      </ns0:c>
      <ns0:c r="C896" s="12">
        <ns0:f>A896*('前提と出典'!$C$37+'前提と出典'!$C$38)</ns0:f>
        <ns0:v>535.1999999999999</ns0:v>
      </ns0:c>
      <ns0:c r="D896" s="16">
        <ns0:f>A896*('前提と出典'!$C$36*'契約別単価'!C5+'前提と出典'!$C$37*'契約別単価'!C6+'前提と出典'!$C$38*'契約別単価'!C7)</ns0:f>
        <ns0:v>6418.413407821229</ns0:v>
      </ns0:c>
      <ns0:c r="E896" s="16">
        <ns0:f>A896*('前提と出典'!$C$36*'契約別単価'!E5+'前提と出典'!$C$37*'契約別単価'!E6+'前提と出典'!$C$38*'契約別単価'!E7)</ns0:f>
        <ns0:v>1725970.6338052705</ns0:v>
      </ns0:c>
      <ns0:c r="F896" s="16">
        <ns0:f>A896*('前提と出典'!$C$36*'契約別単価'!F5+'前提と出典'!$C$37*'契約別単価'!F6+'前提と出典'!$C$38*'契約別単価'!F7)</ns0:f>
        <ns0:v>677380.7678959729</ns0:v>
      </ns0:c>
      <ns0:c r="G896" s="16">
        <ns0:f>A896*('前提と出典'!$C$36*'契約別単価'!G5+'前提と出典'!$C$37*'契約別単価'!G6+'前提と出典'!$C$38*'契約別単価'!G7)</ns0:f>
        <ns0:v>1775528.4916201117</ns0:v>
      </ns0:c>
      <ns0:c r="H896" s="16">
        <ns0:f>A896*('前提と出典'!$C$36*'契約別単価'!H5+'前提と出典'!$C$37*'契約別単価'!H6+'前提と出典'!$C$38*'契約別単価'!H7)</ns0:f>
        <ns0:v>616197.4363437297</ns0:v>
      </ns0:c>
      <ns0:c r="I896" s="16">
        <ns0:f>A896*('前提と出典'!$C$36*'契約別単価'!I5+'前提と出典'!$C$37*'契約別単価'!I6+'前提と出典'!$C$38*'契約別単価'!I7)</ns0:f>
        <ns0:v>37638.41340782122</ns0:v>
      </ns0:c>
      <ns0:c r="J896" s="16">
        <ns0:f>A896*('前提と出典'!$C$36*'契約別単価'!J5+'前提と出典'!$C$37*'契約別単価'!J6+'前提と出典'!$C$38*'契約別単価'!J7)</ns0:f>
        <ns0:v>87674.2729895899</ns0:v>
      </ns0:c>
      <ns0:c r="K896" s="16">
        <ns0:f>A896*('前提と出典'!$C$36*'契約別単価'!K5+'前提と出典'!$C$37*'契約別単価'!K6+'前提と出典'!$C$38*'契約別単価'!K7)</ns0:f>
        <ns0:v>375802.7560521415</ns0:v>
      </ns0:c>
      <ns0:c r="L896" s="16">
        <ns0:f>A896*('前提と出典'!$C$36*'契約別単価'!L5+'前提と出典'!$C$37*'契約別単価'!L6+'前提と出典'!$C$38*'契約別単価'!L7)</ns0:f>
        <ns0:v>305979.914544791</ns0:v>
      </ns0:c>
      <ns0:c r="M896" s="16">
        <ns0:f>IF(('前提と出典'!$C$36+'前提と出典'!$C$38)=0,0,IF(B896&lt;=10,'前提と出典'!B73+'前提と出典'!C73,IF(B896&lt;=100,'前提と出典'!B74+'前提と出典'!C74,IF(B896&lt;=500,'前提と出典'!B75+'前提と出典'!C75,'前提と出典'!B76+'前提と出典'!C76))))</ns0:f>
        <ns0:v>80000</ns0:v>
      </ns0:c>
      <ns0:c r="N896" s="16">
        <ns0:f>IF(('前提と出典'!$C$37+'前提と出典'!$C$38)=0,0,IF(C896&lt;=10,'前提と出典'!D73+'前提と出典'!E73,IF(C896&lt;=100,'前提と出典'!D74+'前提と出典'!E74,IF(C896&lt;=500,'前提と出典'!D75+'前提と出典'!E75,'前提と出典'!D76+'前提と出典'!E76))))</ns0:f>
        <ns0:v>86510.9346263078</ns0:v>
      </ns0:c>
      <ns0:c r="O896" s="16">
        <ns0:f>IF('前提と出典'!$C$36+'前提と出典'!$C$38=0,0,'前提と出典'!$B$4*IF('前提と出典'!$B$20=0,MAX('前提と出典'!$B$6,D896*'前提と出典'!$B$5),'前提と出典'!$B$6+D896*'前提と出典'!$B$5))</ns0:f>
        <ns0:v>885741.0502793296</ns0:v>
      </ns0:c>
      <ns0:c r="P896" s="16">
        <ns0:f>(E896+G896)*(1-'前提と出典'!$B$7)-I896-K896-M896-O896</ns0:f>
        <ns0:v>1996262.9371707765</ns0:v>
      </ns0:c>
      <ns0:c r="Q896" s="16">
        <ns0:f>(F896+H896)*(1-'前提と出典'!$B$7)-J896-L896-N896</ns0:f>
        <ns0:v>766844.2667263849</ns0:v>
      </ns0:c>
      <ns0:c r="R896" s="16">
        <ns0:f>P896-E896*'前提と出典'!$E$4</ns0:f>
        <ns0:v>1478471.7470291955</ns0:v>
      </ns0:c>
      <ns0:c r="S896" s="16">
        <ns0:f>Q896-F896*'前提と出典'!$E$4</ns0:f>
        <ns0:v>563630.036357593</ns0:v>
      </ns0:c>
      <ns0:c r="T896" s="7">
        <ns0:f>R896+S896</ns0:f>
        <ns0:v>2042101.7833867886</ns0:v>
      </ns0:c>
      <ns0:c r="U896" s="16">
        <ns0:f>P896-E896*'前提と出典'!$E$5</ns0:f>
        <ns0:v>1305874.6836486682</ns0:v>
      </ns0:c>
      <ns0:c r="V896" s="16">
        <ns0:f>Q896-F896*'前提と出典'!$E$5</ns0:f>
        <ns0:v>495891.95956799574</ns0:v>
      </ns0:c>
      <ns0:c r="W896" s="7">
        <ns0:f>U896+V896</ns0:f>
        <ns0:v>1801766.643216664</ns0:v>
      </ns0:c>
      <ns0:c r="X896" s="16">
        <ns0:f>P896-E896*'前提と出典'!$E$6</ns0:f>
        <ns0:v>1133277.6202681414</ns0:v>
      </ns0:c>
      <ns0:c r="Y896" s="16">
        <ns0:f>Q896-F896*'前提と出典'!$E$6</ns0:f>
        <ns0:v>428153.88277839846</ns0:v>
      </ns0:c>
      <ns0:c r="Z896" s="7">
        <ns0:f>X896+Y896</ns0:f>
        <ns0:v>1561431.5030465398</ns0:v>
      </ns0:c>
      <ns0:c r="AA896" s="7">
        <ns0:f>IF(T896&gt;=0,A896,1001)</ns0:f>
        <ns0:v>892</ns0:v>
      </ns0:c>
      <ns0:c r="AB896" s="7">
        <ns0:f>IF(T896&lt;0,A896,0)</ns0:f>
        <ns0:v>0</ns0:v>
      </ns0:c>
      <ns0:c r="AC896" s="16">
        <ns0:f>IF(AND(OR('前提と出典'!$C$36+'前提と出典'!$C$38=0,R896&gt;=0),OR('前提と出典'!$C$37+'前提と出典'!$C$38=0,S896&gt;=0)),0,A896)</ns0:f>
        <ns0:v>0</ns0:v>
      </ns0:c>
      <ns0:c r="AD896" s="7">
        <ns0:f>IF(W896&gt;=0,A896,1001)</ns0:f>
        <ns0:v>892</ns0:v>
      </ns0:c>
      <ns0:c r="AE896" s="7">
        <ns0:f>IF(W896&lt;0,A896,0)</ns0:f>
        <ns0:v>0</ns0:v>
      </ns0:c>
      <ns0:c r="AF896" s="16">
        <ns0:f>IF(AND(OR('前提と出典'!$C$36+'前提と出典'!$C$38=0,U896&gt;=0),OR('前提と出典'!$C$37+'前提と出典'!$C$38=0,V896&gt;=0)),0,A896)</ns0:f>
        <ns0:v>0</ns0:v>
      </ns0:c>
      <ns0:c r="AG896" s="7">
        <ns0:f>IF(Z896&gt;=0,A896,1001)</ns0:f>
        <ns0:v>892</ns0:v>
      </ns0:c>
      <ns0:c r="AH896" s="4">
        <ns0:f>IF(Z896&lt;0,A896,0)</ns0:f>
        <ns0:v>0</ns0:v>
      </ns0:c>
      <ns0:c r="AI896" s="12">
        <ns0:f>IF(AND(OR('前提と出典'!$C$36+'前提と出典'!$C$38=0,X896&gt;=0),OR('前提と出典'!$C$37+'前提と出典'!$C$38=0,Y896&gt;=0)),0,A896)</ns0:f>
        <ns0:v>0</ns0:v>
      </ns0:c>
    </ns0:row>
    <ns0:row r="897" ht="24" customHeight="1">
      <ns0:c r="A897" s="4" t="n">
        <ns0:v>893</ns0:v>
      </ns0:c>
      <ns0:c r="B897" s="12">
        <ns0:f>A897*('前提と出典'!$C$36+'前提と出典'!$C$38)</ns0:f>
        <ns0:v>625.0999999999999</ns0:v>
      </ns0:c>
      <ns0:c r="C897" s="12">
        <ns0:f>A897*('前提と出典'!$C$37+'前提と出典'!$C$38)</ns0:f>
        <ns0:v>535.8</ns0:v>
      </ns0:c>
      <ns0:c r="D897" s="16">
        <ns0:f>A897*('前提と出典'!$C$36*'契約別単価'!C5+'前提と出典'!$C$37*'契約別単価'!C6+'前提と出典'!$C$38*'契約別単価'!C7)</ns0:f>
        <ns0:v>6425.608938547486</ns0:v>
      </ns0:c>
      <ns0:c r="E897" s="16">
        <ns0:f>A897*('前提と出典'!$C$36*'契約別単価'!E5+'前提と出典'!$C$37*'契約別単価'!E6+'前提と出典'!$C$38*'契約別単価'!E7)</ns0:f>
        <ns0:v>1727905.5784620028</ns0:v>
      </ns0:c>
      <ns0:c r="F897" s="16">
        <ns0:f>A897*('前提と出典'!$C$36*'契約別単価'!F5+'前提と出典'!$C$37*'契約別単価'!F6+'前提と出典'!$C$38*'契約別単価'!F7)</ns0:f>
        <ns0:v>678140.163375677</ns0:v>
      </ns0:c>
      <ns0:c r="G897" s="16">
        <ns0:f>A897*('前提と出典'!$C$36*'契約別単価'!G5+'前提と出典'!$C$37*'契約別単価'!G6+'前提と出典'!$C$38*'契約別単価'!G7)</ns0:f>
        <ns0:v>1777518.9944134078</ns0:v>
      </ns0:c>
      <ns0:c r="H897" s="16">
        <ns0:f>A897*('前提と出典'!$C$36*'契約別単価'!H5+'前提と出典'!$C$37*'契約別単価'!H6+'前提と出典'!$C$38*'契約別単価'!H7)</ns0:f>
        <ns0:v>616888.2406445635</ns0:v>
      </ns0:c>
      <ns0:c r="I897" s="16">
        <ns0:f>A897*('前提と出典'!$C$36*'契約別単価'!I5+'前提と出典'!$C$37*'契約別単価'!I6+'前提と出典'!$C$38*'契約別単価'!I7)</ns0:f>
        <ns0:v>37680.60893854748</ns0:v>
      </ns0:c>
      <ns0:c r="J897" s="16">
        <ns0:f>A897*('前提と出典'!$C$36*'契約別単価'!J5+'前提と出典'!$C$37*'契約別単価'!J6+'前提と出典'!$C$38*'契約別単価'!J7)</ns0:f>
        <ns0:v>87772.5625333002</ns0:v>
      </ns0:c>
      <ns0:c r="K897" s="16">
        <ns0:f>A897*('前提と出典'!$C$36*'契約別単価'!K5+'前提と出典'!$C$37*'契約別単価'!K6+'前提と出典'!$C$38*'契約別単価'!K7)</ns0:f>
        <ns0:v>376224.05959031655</ns0:v>
      </ns0:c>
      <ns0:c r="L897" s="16">
        <ns0:f>A897*('前提と出典'!$C$36*'契約別単価'!L5+'前提と出典'!$C$37*'契約別単価'!L6+'前提と出典'!$C$38*'契約別単価'!L7)</ns0:f>
        <ns0:v>306322.94135481876</ns0:v>
      </ns0:c>
      <ns0:c r="M897" s="16">
        <ns0:f>IF(('前提と出典'!$C$36+'前提と出典'!$C$38)=0,0,IF(B897&lt;=10,'前提と出典'!B73+'前提と出典'!C73,IF(B897&lt;=100,'前提と出典'!B74+'前提と出典'!C74,IF(B897&lt;=500,'前提と出典'!B75+'前提と出典'!C75,'前提と出典'!B76+'前提と出典'!C76))))</ns0:f>
        <ns0:v>80000</ns0:v>
      </ns0:c>
      <ns0:c r="N897" s="16">
        <ns0:f>IF(('前提と出典'!$C$37+'前提と出典'!$C$38)=0,0,IF(C897&lt;=10,'前提と出典'!D73+'前提と出典'!E73,IF(C897&lt;=100,'前提と出典'!D74+'前提と出典'!E74,IF(C897&lt;=500,'前提と出典'!D75+'前提と出典'!E75,'前提と出典'!D76+'前提と出典'!E76))))</ns0:f>
        <ns0:v>86510.9346263078</ns0:v>
      </ns0:c>
      <ns0:c r="O897" s="16">
        <ns0:f>IF('前提と出典'!$C$36+'前提と出典'!$C$38=0,0,'前提と出典'!$B$4*IF('前提と出典'!$B$20=0,MAX('前提と出典'!$B$6,D897*'前提と出典'!$B$5),'前提と出典'!$B$6+D897*'前提と出典'!$B$5))</ns0:f>
        <ns0:v>886734.033519553</ns0:v>
      </ns0:c>
      <ns0:c r="P897" s="16">
        <ns0:f>(E897+G897)*(1-'前提と出典'!$B$7)-I897-K897-M897-O897</ns0:f>
        <ns0:v>1998590.5862034787</ns0:v>
      </ns0:c>
      <ns0:c r="Q897" s="16">
        <ns0:f>(F897+H897)*(1-'前提と出典'!$B$7)-J897-L897-N897</ns0:f>
        <ns0:v>767800.9429610849</ns0:v>
      </ns0:c>
      <ns0:c r="R897" s="16">
        <ns0:f>P897-E897*'前提と出典'!$E$4</ns0:f>
        <ns0:v>1480218.9126648777</ns0:v>
      </ns0:c>
      <ns0:c r="S897" s="16">
        <ns0:f>Q897-F897*'前提と出典'!$E$4</ns0:f>
        <ns0:v>564358.8939483819</ns0:v>
      </ns0:c>
      <ns0:c r="T897" s="7">
        <ns0:f>R897+S897</ns0:f>
        <ns0:v>2044577.8066132595</ns0:v>
      </ns0:c>
      <ns0:c r="U897" s="16">
        <ns0:f>P897-E897*'前提と出典'!$E$5</ns0:f>
        <ns0:v>1307428.3548186775</ns0:v>
      </ns0:c>
      <ns0:c r="V897" s="16">
        <ns0:f>Q897-F897*'前提と出典'!$E$5</ns0:f>
        <ns0:v>496544.8776108142</ns0:v>
      </ns0:c>
      <ns0:c r="W897" s="7">
        <ns0:f>U897+V897</ns0:f>
        <ns0:v>1803973.2324294918</ns0:v>
      </ns0:c>
      <ns0:c r="X897" s="16">
        <ns0:f>P897-E897*'前提と出典'!$E$6</ns0:f>
        <ns0:v>1134637.7969724773</ns0:v>
      </ns0:c>
      <ns0:c r="Y897" s="16">
        <ns0:f>Q897-F897*'前提と出典'!$E$6</ns0:f>
        <ns0:v>428730.86127324647</ns0:v>
      </ns0:c>
      <ns0:c r="Z897" s="7">
        <ns0:f>X897+Y897</ns0:f>
        <ns0:v>1563368.6582457237</ns0:v>
      </ns0:c>
      <ns0:c r="AA897" s="7">
        <ns0:f>IF(T897&gt;=0,A897,1001)</ns0:f>
        <ns0:v>893</ns0:v>
      </ns0:c>
      <ns0:c r="AB897" s="7">
        <ns0:f>IF(T897&lt;0,A897,0)</ns0:f>
        <ns0:v>0</ns0:v>
      </ns0:c>
      <ns0:c r="AC897" s="16">
        <ns0:f>IF(AND(OR('前提と出典'!$C$36+'前提と出典'!$C$38=0,R897&gt;=0),OR('前提と出典'!$C$37+'前提と出典'!$C$38=0,S897&gt;=0)),0,A897)</ns0:f>
        <ns0:v>0</ns0:v>
      </ns0:c>
      <ns0:c r="AD897" s="7">
        <ns0:f>IF(W897&gt;=0,A897,1001)</ns0:f>
        <ns0:v>893</ns0:v>
      </ns0:c>
      <ns0:c r="AE897" s="7">
        <ns0:f>IF(W897&lt;0,A897,0)</ns0:f>
        <ns0:v>0</ns0:v>
      </ns0:c>
      <ns0:c r="AF897" s="16">
        <ns0:f>IF(AND(OR('前提と出典'!$C$36+'前提と出典'!$C$38=0,U897&gt;=0),OR('前提と出典'!$C$37+'前提と出典'!$C$38=0,V897&gt;=0)),0,A897)</ns0:f>
        <ns0:v>0</ns0:v>
      </ns0:c>
      <ns0:c r="AG897" s="7">
        <ns0:f>IF(Z897&gt;=0,A897,1001)</ns0:f>
        <ns0:v>893</ns0:v>
      </ns0:c>
      <ns0:c r="AH897" s="4">
        <ns0:f>IF(Z897&lt;0,A897,0)</ns0:f>
        <ns0:v>0</ns0:v>
      </ns0:c>
      <ns0:c r="AI897" s="12">
        <ns0:f>IF(AND(OR('前提と出典'!$C$36+'前提と出典'!$C$38=0,X897&gt;=0),OR('前提と出典'!$C$37+'前提と出典'!$C$38=0,Y897&gt;=0)),0,A897)</ns0:f>
        <ns0:v>0</ns0:v>
      </ns0:c>
    </ns0:row>
    <ns0:row r="898" ht="24" customHeight="1">
      <ns0:c r="A898" s="4" t="n">
        <ns0:v>894</ns0:v>
      </ns0:c>
      <ns0:c r="B898" s="12">
        <ns0:f>A898*('前提と出典'!$C$36+'前提と出典'!$C$38)</ns0:f>
        <ns0:v>625.8</ns0:v>
      </ns0:c>
      <ns0:c r="C898" s="12">
        <ns0:f>A898*('前提と出典'!$C$37+'前提と出典'!$C$38)</ns0:f>
        <ns0:v>536.4</ns0:v>
      </ns0:c>
      <ns0:c r="D898" s="16">
        <ns0:f>A898*('前提と出典'!$C$36*'契約別単価'!C5+'前提と出典'!$C$37*'契約別単価'!C6+'前提と出典'!$C$38*'契約別単価'!C7)</ns0:f>
        <ns0:v>6432.804469273743</ns0:v>
      </ns0:c>
      <ns0:c r="E898" s="16">
        <ns0:f>A898*('前提と出典'!$C$36*'契約別単価'!E5+'前提と出典'!$C$37*'契約別単価'!E6+'前提と出典'!$C$38*'契約別単価'!E7)</ns0:f>
        <ns0:v>1729840.523118735</ns0:v>
      </ns0:c>
      <ns0:c r="F898" s="16">
        <ns0:f>A898*('前提と出典'!$C$36*'契約別単価'!F5+'前提と出典'!$C$37*'契約別単価'!F6+'前提と出典'!$C$38*'契約別単価'!F7)</ns0:f>
        <ns0:v>678899.558855381</ns0:v>
      </ns0:c>
      <ns0:c r="G898" s="16">
        <ns0:f>A898*('前提と出典'!$C$36*'契約別単価'!G5+'前提と出典'!$C$37*'契約別単価'!G6+'前提と出典'!$C$38*'契約別単価'!G7)</ns0:f>
        <ns0:v>1779509.4972067038</ns0:v>
      </ns0:c>
      <ns0:c r="H898" s="16">
        <ns0:f>A898*('前提と出典'!$C$36*'契約別単価'!H5+'前提と出典'!$C$37*'契約別単価'!H6+'前提と出典'!$C$38*'契約別単価'!H7)</ns0:f>
        <ns0:v>617579.0449453973</ns0:v>
      </ns0:c>
      <ns0:c r="I898" s="16">
        <ns0:f>A898*('前提と出典'!$C$36*'契約別単価'!I5+'前提と出典'!$C$37*'契約別単価'!I6+'前提と出典'!$C$38*'契約別単価'!I7)</ns0:f>
        <ns0:v>37722.80446927374</ns0:v>
      </ns0:c>
      <ns0:c r="J898" s="16">
        <ns0:f>A898*('前提と出典'!$C$36*'契約別単価'!J5+'前提と出典'!$C$37*'契約別単価'!J6+'前提と出典'!$C$38*'契約別単価'!J7)</ns0:f>
        <ns0:v>87870.8520770105</ns0:v>
      </ns0:c>
      <ns0:c r="K898" s="16">
        <ns0:f>A898*('前提と出典'!$C$36*'契約別単価'!K5+'前提と出典'!$C$37*'契約別単価'!K6+'前提と出典'!$C$38*'契約別単価'!K7)</ns0:f>
        <ns0:v>376645.3631284916</ns0:v>
      </ns0:c>
      <ns0:c r="L898" s="16">
        <ns0:f>A898*('前提と出典'!$C$36*'契約別単価'!L5+'前提と出典'!$C$37*'契約別単価'!L6+'前提と出典'!$C$38*'契約別単価'!L7)</ns0:f>
        <ns0:v>306665.9681648466</ns0:v>
      </ns0:c>
      <ns0:c r="M898" s="16">
        <ns0:f>IF(('前提と出典'!$C$36+'前提と出典'!$C$38)=0,0,IF(B898&lt;=10,'前提と出典'!B73+'前提と出典'!C73,IF(B898&lt;=100,'前提と出典'!B74+'前提と出典'!C74,IF(B898&lt;=500,'前提と出典'!B75+'前提と出典'!C75,'前提と出典'!B76+'前提と出典'!C76))))</ns0:f>
        <ns0:v>80000</ns0:v>
      </ns0:c>
      <ns0:c r="N898" s="16">
        <ns0:f>IF(('前提と出典'!$C$37+'前提と出典'!$C$38)=0,0,IF(C898&lt;=10,'前提と出典'!D73+'前提と出典'!E73,IF(C898&lt;=100,'前提と出典'!D74+'前提と出典'!E74,IF(C898&lt;=500,'前提と出典'!D75+'前提と出典'!E75,'前提と出典'!D76+'前提と出典'!E76))))</ns0:f>
        <ns0:v>86510.9346263078</ns0:v>
      </ns0:c>
      <ns0:c r="O898" s="16">
        <ns0:f>IF('前提と出典'!$C$36+'前提と出典'!$C$38=0,0,'前提と出典'!$B$4*IF('前提と出典'!$B$20=0,MAX('前提と出典'!$B$6,D898*'前提と出典'!$B$5),'前提と出典'!$B$6+D898*'前提と出典'!$B$5))</ns0:f>
        <ns0:v>887727.0167597765</ns0:v>
      </ns0:c>
      <ns0:c r="P898" s="16">
        <ns0:f>(E898+G898)*(1-'前提と出典'!$B$7)-I898-K898-M898-O898</ns0:f>
        <ns0:v>2000918.2352361814</ns0:v>
      </ns0:c>
      <ns0:c r="Q898" s="16">
        <ns0:f>(F898+H898)*(1-'前提と出典'!$B$7)-J898-L898-N898</ns0:f>
        <ns0:v>768757.6191957855</ns0:v>
      </ns0:c>
      <ns0:c r="R898" s="16">
        <ns0:f>P898-E898*'前提と出典'!$E$4</ns0:f>
        <ns0:v>1481966.0783005604</ns0:v>
      </ns0:c>
      <ns0:c r="S898" s="16">
        <ns0:f>Q898-F898*'前提と出典'!$E$4</ns0:f>
        <ns0:v>565087.7515391712</ns0:v>
      </ns0:c>
      <ns0:c r="T898" s="7">
        <ns0:f>R898+S898</ns0:f>
        <ns0:v>2047053.8298397316</ns0:v>
      </ns0:c>
      <ns0:c r="U898" s="16">
        <ns0:f>P898-E898*'前提と出典'!$E$5</ns0:f>
        <ns0:v>1308982.0259886873</ns0:v>
      </ns0:c>
      <ns0:c r="V898" s="16">
        <ns0:f>Q898-F898*'前提と出典'!$E$5</ns0:f>
        <ns0:v>497197.7956536331</ns0:v>
      </ns0:c>
      <ns0:c r="W898" s="7">
        <ns0:f>U898+V898</ns0:f>
        <ns0:v>1806179.8216423204</ns0:v>
      </ns0:c>
      <ns0:c r="X898" s="16">
        <ns0:f>P898-E898*'前提と出典'!$E$6</ns0:f>
        <ns0:v>1135997.9736768133</ns0:v>
      </ns0:c>
      <ns0:c r="Y898" s="16">
        <ns0:f>Q898-F898*'前提と出典'!$E$6</ns0:f>
        <ns0:v>429307.8397680949</ns0:v>
      </ns0:c>
      <ns0:c r="Z898" s="7">
        <ns0:f>X898+Y898</ns0:f>
        <ns0:v>1565305.8134449082</ns0:v>
      </ns0:c>
      <ns0:c r="AA898" s="7">
        <ns0:f>IF(T898&gt;=0,A898,1001)</ns0:f>
        <ns0:v>894</ns0:v>
      </ns0:c>
      <ns0:c r="AB898" s="7">
        <ns0:f>IF(T898&lt;0,A898,0)</ns0:f>
        <ns0:v>0</ns0:v>
      </ns0:c>
      <ns0:c r="AC898" s="16">
        <ns0:f>IF(AND(OR('前提と出典'!$C$36+'前提と出典'!$C$38=0,R898&gt;=0),OR('前提と出典'!$C$37+'前提と出典'!$C$38=0,S898&gt;=0)),0,A898)</ns0:f>
        <ns0:v>0</ns0:v>
      </ns0:c>
      <ns0:c r="AD898" s="7">
        <ns0:f>IF(W898&gt;=0,A898,1001)</ns0:f>
        <ns0:v>894</ns0:v>
      </ns0:c>
      <ns0:c r="AE898" s="7">
        <ns0:f>IF(W898&lt;0,A898,0)</ns0:f>
        <ns0:v>0</ns0:v>
      </ns0:c>
      <ns0:c r="AF898" s="16">
        <ns0:f>IF(AND(OR('前提と出典'!$C$36+'前提と出典'!$C$38=0,U898&gt;=0),OR('前提と出典'!$C$37+'前提と出典'!$C$38=0,V898&gt;=0)),0,A898)</ns0:f>
        <ns0:v>0</ns0:v>
      </ns0:c>
      <ns0:c r="AG898" s="7">
        <ns0:f>IF(Z898&gt;=0,A898,1001)</ns0:f>
        <ns0:v>894</ns0:v>
      </ns0:c>
      <ns0:c r="AH898" s="4">
        <ns0:f>IF(Z898&lt;0,A898,0)</ns0:f>
        <ns0:v>0</ns0:v>
      </ns0:c>
      <ns0:c r="AI898" s="12">
        <ns0:f>IF(AND(OR('前提と出典'!$C$36+'前提と出典'!$C$38=0,X898&gt;=0),OR('前提と出典'!$C$37+'前提と出典'!$C$38=0,Y898&gt;=0)),0,A898)</ns0:f>
        <ns0:v>0</ns0:v>
      </ns0:c>
    </ns0:row>
    <ns0:row r="899" ht="24" customHeight="1">
      <ns0:c r="A899" s="4" t="n">
        <ns0:v>895</ns0:v>
      </ns0:c>
      <ns0:c r="B899" s="12">
        <ns0:f>A899*('前提と出典'!$C$36+'前提と出典'!$C$38)</ns0:f>
        <ns0:v>626.5</ns0:v>
      </ns0:c>
      <ns0:c r="C899" s="12">
        <ns0:f>A899*('前提と出典'!$C$37+'前提と出典'!$C$38)</ns0:f>
        <ns0:v>537</ns0:v>
      </ns0:c>
      <ns0:c r="D899" s="16">
        <ns0:f>A899*('前提と出典'!$C$36*'契約別単価'!C5+'前提と出典'!$C$37*'契約別単価'!C6+'前提と出典'!$C$38*'契約別単価'!C7)</ns0:f>
        <ns0:v>6440</ns0:v>
      </ns0:c>
      <ns0:c r="E899" s="16">
        <ns0:f>A899*('前提と出典'!$C$36*'契約別単価'!E5+'前提と出典'!$C$37*'契約別単価'!E6+'前提と出典'!$C$38*'契約別単価'!E7)</ns0:f>
        <ns0:v>1731775.4677754676</ns0:v>
      </ns0:c>
      <ns0:c r="F899" s="16">
        <ns0:f>A899*('前提と出典'!$C$36*'契約別単価'!F5+'前提と出典'!$C$37*'契約別単価'!F6+'前提と出典'!$C$38*'契約別単価'!F7)</ns0:f>
        <ns0:v>679658.954335085</ns0:v>
      </ns0:c>
      <ns0:c r="G899" s="16">
        <ns0:f>A899*('前提と出典'!$C$36*'契約別単価'!G5+'前提と出典'!$C$37*'契約別単価'!G6+'前提と出典'!$C$38*'契約別単価'!G7)</ns0:f>
        <ns0:v>1781500</ns0:v>
      </ns0:c>
      <ns0:c r="H899" s="16">
        <ns0:f>A899*('前提と出典'!$C$36*'契約別単価'!H5+'前提と出典'!$C$37*'契約別単価'!H6+'前提と出典'!$C$38*'契約別単価'!H7)</ns0:f>
        <ns0:v>618269.849246231</ns0:v>
      </ns0:c>
      <ns0:c r="I899" s="16">
        <ns0:f>A899*('前提と出典'!$C$36*'契約別単価'!I5+'前提と出典'!$C$37*'契約別単価'!I6+'前提と出典'!$C$38*'契約別単価'!I7)</ns0:f>
        <ns0:v>37764.99999999999</ns0:v>
      </ns0:c>
      <ns0:c r="J899" s="16">
        <ns0:f>A899*('前提と出典'!$C$36*'契約別単価'!J5+'前提と出典'!$C$37*'契約別単価'!J6+'前提と出典'!$C$38*'契約別単価'!J7)</ns0:f>
        <ns0:v>87969.1416207208</ns0:v>
      </ns0:c>
      <ns0:c r="K899" s="16">
        <ns0:f>A899*('前提と出典'!$C$36*'契約別単価'!K5+'前提と出典'!$C$37*'契約別単価'!K6+'前提と出典'!$C$38*'契約別単価'!K7)</ns0:f>
        <ns0:v>377066.6666666666</ns0:v>
      </ns0:c>
      <ns0:c r="L899" s="16">
        <ns0:f>A899*('前提と出典'!$C$36*'契約別単価'!L5+'前提と出典'!$C$37*'契約別単価'!L6+'前提と出典'!$C$38*'契約別単価'!L7)</ns0:f>
        <ns0:v>307008.99497487437</ns0:v>
      </ns0:c>
      <ns0:c r="M899" s="16">
        <ns0:f>IF(('前提と出典'!$C$36+'前提と出典'!$C$38)=0,0,IF(B899&lt;=10,'前提と出典'!B73+'前提と出典'!C73,IF(B899&lt;=100,'前提と出典'!B74+'前提と出典'!C74,IF(B899&lt;=500,'前提と出典'!B75+'前提と出典'!C75,'前提と出典'!B76+'前提と出典'!C76))))</ns0:f>
        <ns0:v>80000</ns0:v>
      </ns0:c>
      <ns0:c r="N899" s="16">
        <ns0:f>IF(('前提と出典'!$C$37+'前提と出典'!$C$38)=0,0,IF(C899&lt;=10,'前提と出典'!D73+'前提と出典'!E73,IF(C899&lt;=100,'前提と出典'!D74+'前提と出典'!E74,IF(C899&lt;=500,'前提と出典'!D75+'前提と出典'!E75,'前提と出典'!D76+'前提と出典'!E76))))</ns0:f>
        <ns0:v>86510.9346263078</ns0:v>
      </ns0:c>
      <ns0:c r="O899" s="16">
        <ns0:f>IF('前提と出典'!$C$36+'前提と出典'!$C$38=0,0,'前提と出典'!$B$4*IF('前提と出典'!$B$20=0,MAX('前提と出典'!$B$6,D899*'前提と出典'!$B$5),'前提と出典'!$B$6+D899*'前提と出典'!$B$5))</ns0:f>
        <ns0:v>888720</ns0:v>
      </ns0:c>
      <ns0:c r="P899" s="16">
        <ns0:f>(E899+G899)*(1-'前提と出典'!$B$7)-I899-K899-M899-O899</ns0:f>
        <ns0:v>2003245.8842688845</ns0:v>
      </ns0:c>
      <ns0:c r="Q899" s="16">
        <ns0:f>(F899+H899)*(1-'前提と出典'!$B$7)-J899-L899-N899</ns0:f>
        <ns0:v>769714.2954304856</ns0:v>
      </ns0:c>
      <ns0:c r="R899" s="16">
        <ns0:f>P899-E899*'前提と出典'!$E$4</ns0:f>
        <ns0:v>1483713.2439362444</ns0:v>
      </ns0:c>
      <ns0:c r="S899" s="16">
        <ns0:f>Q899-F899*'前提と出典'!$E$4</ns0:f>
        <ns0:v>565816.6091299602</ns0:v>
      </ns0:c>
      <ns0:c r="T899" s="7">
        <ns0:f>R899+S899</ns0:f>
        <ns0:v>2049529.8530662046</ns0:v>
      </ns0:c>
      <ns0:c r="U899" s="16">
        <ns0:f>P899-E899*'前提と出典'!$E$5</ns0:f>
        <ns0:v>1310535.6971586975</ns0:v>
      </ns0:c>
      <ns0:c r="V899" s="16">
        <ns0:f>Q899-F899*'前提と出典'!$E$5</ns0:f>
        <ns0:v>497850.7136964516</ns0:v>
      </ns0:c>
      <ns0:c r="W899" s="7">
        <ns0:f>U899+V899</ns0:f>
        <ns0:v>1808386.4108551492</ns0:v>
      </ns0:c>
      <ns0:c r="X899" s="16">
        <ns0:f>P899-E899*'前提と出典'!$E$6</ns0:f>
        <ns0:v>1137358.1503811507</ns0:v>
      </ns0:c>
      <ns0:c r="Y899" s="16">
        <ns0:f>Q899-F899*'前提と出典'!$E$6</ns0:f>
        <ns0:v>429884.8182629431</ns0:v>
      </ns0:c>
      <ns0:c r="Z899" s="7">
        <ns0:f>X899+Y899</ns0:f>
        <ns0:v>1567242.9686440937</ns0:v>
      </ns0:c>
      <ns0:c r="AA899" s="7">
        <ns0:f>IF(T899&gt;=0,A899,1001)</ns0:f>
        <ns0:v>895</ns0:v>
      </ns0:c>
      <ns0:c r="AB899" s="7">
        <ns0:f>IF(T899&lt;0,A899,0)</ns0:f>
        <ns0:v>0</ns0:v>
      </ns0:c>
      <ns0:c r="AC899" s="16">
        <ns0:f>IF(AND(OR('前提と出典'!$C$36+'前提と出典'!$C$38=0,R899&gt;=0),OR('前提と出典'!$C$37+'前提と出典'!$C$38=0,S899&gt;=0)),0,A899)</ns0:f>
        <ns0:v>0</ns0:v>
      </ns0:c>
      <ns0:c r="AD899" s="7">
        <ns0:f>IF(W899&gt;=0,A899,1001)</ns0:f>
        <ns0:v>895</ns0:v>
      </ns0:c>
      <ns0:c r="AE899" s="7">
        <ns0:f>IF(W899&lt;0,A899,0)</ns0:f>
        <ns0:v>0</ns0:v>
      </ns0:c>
      <ns0:c r="AF899" s="16">
        <ns0:f>IF(AND(OR('前提と出典'!$C$36+'前提と出典'!$C$38=0,U899&gt;=0),OR('前提と出典'!$C$37+'前提と出典'!$C$38=0,V899&gt;=0)),0,A899)</ns0:f>
        <ns0:v>0</ns0:v>
      </ns0:c>
      <ns0:c r="AG899" s="7">
        <ns0:f>IF(Z899&gt;=0,A899,1001)</ns0:f>
        <ns0:v>895</ns0:v>
      </ns0:c>
      <ns0:c r="AH899" s="4">
        <ns0:f>IF(Z899&lt;0,A899,0)</ns0:f>
        <ns0:v>0</ns0:v>
      </ns0:c>
      <ns0:c r="AI899" s="12">
        <ns0:f>IF(AND(OR('前提と出典'!$C$36+'前提と出典'!$C$38=0,X899&gt;=0),OR('前提と出典'!$C$37+'前提と出典'!$C$38=0,Y899&gt;=0)),0,A899)</ns0:f>
        <ns0:v>0</ns0:v>
      </ns0:c>
    </ns0:row>
    <ns0:row r="900" ht="24" customHeight="1">
      <ns0:c r="A900" s="4" t="n">
        <ns0:v>896</ns0:v>
      </ns0:c>
      <ns0:c r="B900" s="12">
        <ns0:f>A900*('前提と出典'!$C$36+'前提と出典'!$C$38)</ns0:f>
        <ns0:v>627.1999999999999</ns0:v>
      </ns0:c>
      <ns0:c r="C900" s="12">
        <ns0:f>A900*('前提と出典'!$C$37+'前提と出典'!$C$38)</ns0:f>
        <ns0:v>537.6</ns0:v>
      </ns0:c>
      <ns0:c r="D900" s="16">
        <ns0:f>A900*('前提と出典'!$C$36*'契約別単価'!C5+'前提と出典'!$C$37*'契約別単価'!C6+'前提と出典'!$C$38*'契約別単価'!C7)</ns0:f>
        <ns0:v>6447.195530726257</ns0:v>
      </ns0:c>
      <ns0:c r="E900" s="16">
        <ns0:f>A900*('前提と出典'!$C$36*'契約別単価'!E5+'前提と出典'!$C$37*'契約別単価'!E6+'前提と出典'!$C$38*'契約別単価'!E7)</ns0:f>
        <ns0:v>1733710.4124321998</ns0:v>
      </ns0:c>
      <ns0:c r="F900" s="16">
        <ns0:f>A900*('前提と出典'!$C$36*'契約別単価'!F5+'前提と出典'!$C$37*'契約別単価'!F6+'前提と出典'!$C$38*'契約別単価'!F7)</ns0:f>
        <ns0:v>680418.3498147889</ns0:v>
      </ns0:c>
      <ns0:c r="G900" s="16">
        <ns0:f>A900*('前提と出典'!$C$36*'契約別単価'!G5+'前提と出典'!$C$37*'契約別単価'!G6+'前提と出典'!$C$38*'契約別単価'!G7)</ns0:f>
        <ns0:v>1783490.502793296</ns0:v>
      </ns0:c>
      <ns0:c r="H900" s="16">
        <ns0:f>A900*('前提と出典'!$C$36*'契約別単価'!H5+'前提と出典'!$C$37*'契約別単価'!H6+'前提と出典'!$C$38*'契約別単価'!H7)</ns0:f>
        <ns0:v>618960.6535470649</ns0:v>
      </ns0:c>
      <ns0:c r="I900" s="16">
        <ns0:f>A900*('前提と出典'!$C$36*'契約別単価'!I5+'前提と出典'!$C$37*'契約別単価'!I6+'前提と出典'!$C$38*'契約別単価'!I7)</ns0:f>
        <ns0:v>37807.195530726254</ns0:v>
      </ns0:c>
      <ns0:c r="J900" s="16">
        <ns0:f>A900*('前提と出典'!$C$36*'契約別単価'!J5+'前提と出典'!$C$37*'契約別単価'!J6+'前提と出典'!$C$38*'契約別単価'!J7)</ns0:f>
        <ns0:v>88067.4311644311</ns0:v>
      </ns0:c>
      <ns0:c r="K900" s="16">
        <ns0:f>A900*('前提と出典'!$C$36*'契約別単価'!K5+'前提と出典'!$C$37*'契約別単価'!K6+'前提と出典'!$C$38*'契約別単価'!K7)</ns0:f>
        <ns0:v>377487.9702048417</ns0:v>
      </ns0:c>
      <ns0:c r="L900" s="16">
        <ns0:f>A900*('前提と出典'!$C$36*'契約別単価'!L5+'前提と出典'!$C$37*'契約別単価'!L6+'前提と出典'!$C$38*'契約別単価'!L7)</ns0:f>
        <ns0:v>307352.02178490214</ns0:v>
      </ns0:c>
      <ns0:c r="M900" s="16">
        <ns0:f>IF(('前提と出典'!$C$36+'前提と出典'!$C$38)=0,0,IF(B900&lt;=10,'前提と出典'!B73+'前提と出典'!C73,IF(B900&lt;=100,'前提と出典'!B74+'前提と出典'!C74,IF(B900&lt;=500,'前提と出典'!B75+'前提と出典'!C75,'前提と出典'!B76+'前提と出典'!C76))))</ns0:f>
        <ns0:v>80000</ns0:v>
      </ns0:c>
      <ns0:c r="N900" s="16">
        <ns0:f>IF(('前提と出典'!$C$37+'前提と出典'!$C$38)=0,0,IF(C900&lt;=10,'前提と出典'!D73+'前提と出典'!E73,IF(C900&lt;=100,'前提と出典'!D74+'前提と出典'!E74,IF(C900&lt;=500,'前提と出典'!D75+'前提と出典'!E75,'前提と出典'!D76+'前提と出典'!E76))))</ns0:f>
        <ns0:v>86510.9346263078</ns0:v>
      </ns0:c>
      <ns0:c r="O900" s="16">
        <ns0:f>IF('前提と出典'!$C$36+'前提と出典'!$C$38=0,0,'前提と出典'!$B$4*IF('前提と出典'!$B$20=0,MAX('前提と出典'!$B$6,D900*'前提と出典'!$B$5),'前提と出典'!$B$6+D900*'前提と出典'!$B$5))</ns0:f>
        <ns0:v>889712.9832402235</ns0:v>
      </ns0:c>
      <ns0:c r="P900" s="16">
        <ns0:f>(E900+G900)*(1-'前提と出典'!$B$7)-I900-K900-M900-O900</ns0:f>
        <ns0:v>2005573.5333015863</ns0:v>
      </ns0:c>
      <ns0:c r="Q900" s="16">
        <ns0:f>(F900+H900)*(1-'前提と出典'!$B$7)-J900-L900-N900</ns0:f>
        <ns0:v>770670.971665186</ns0:v>
      </ns0:c>
      <ns0:c r="R900" s="16">
        <ns0:f>P900-E900*'前提と出典'!$E$4</ns0:f>
        <ns0:v>1485460.409571926</ns0:v>
      </ns0:c>
      <ns0:c r="S900" s="16">
        <ns0:f>Q900-F900*'前提と出典'!$E$4</ns0:f>
        <ns0:v>566545.4667207494</ns0:v>
      </ns0:c>
      <ns0:c r="T900" s="7">
        <ns0:f>R900+S900</ns0:f>
        <ns0:v>2052005.8762926755</ns0:v>
      </ns0:c>
      <ns0:c r="U900" s="16">
        <ns0:f>P900-E900*'前提と出典'!$E$5</ns0:f>
        <ns0:v>1312089.3683287064</ns0:v>
      </ns0:c>
      <ns0:c r="V900" s="16">
        <ns0:f>Q900-F900*'前提と出典'!$E$5</ns0:f>
        <ns0:v>498503.6317392704</ns0:v>
      </ns0:c>
      <ns0:c r="W900" s="7">
        <ns0:f>U900+V900</ns0:f>
        <ns0:v>1810593.0000679768</ns0:v>
      </ns0:c>
      <ns0:c r="X900" s="16">
        <ns0:f>P900-E900*'前提と出典'!$E$6</ns0:f>
        <ns0:v>1138718.3270854866</ns0:v>
      </ns0:c>
      <ns0:c r="Y900" s="16">
        <ns0:f>Q900-F900*'前提と出典'!$E$6</ns0:f>
        <ns0:v>430461.7967577916</ns0:v>
      </ns0:c>
      <ns0:c r="Z900" s="7">
        <ns0:f>X900+Y900</ns0:f>
        <ns0:v>1569180.1238432783</ns0:v>
      </ns0:c>
      <ns0:c r="AA900" s="7">
        <ns0:f>IF(T900&gt;=0,A900,1001)</ns0:f>
        <ns0:v>896</ns0:v>
      </ns0:c>
      <ns0:c r="AB900" s="7">
        <ns0:f>IF(T900&lt;0,A900,0)</ns0:f>
        <ns0:v>0</ns0:v>
      </ns0:c>
      <ns0:c r="AC900" s="16">
        <ns0:f>IF(AND(OR('前提と出典'!$C$36+'前提と出典'!$C$38=0,R900&gt;=0),OR('前提と出典'!$C$37+'前提と出典'!$C$38=0,S900&gt;=0)),0,A900)</ns0:f>
        <ns0:v>0</ns0:v>
      </ns0:c>
      <ns0:c r="AD900" s="7">
        <ns0:f>IF(W900&gt;=0,A900,1001)</ns0:f>
        <ns0:v>896</ns0:v>
      </ns0:c>
      <ns0:c r="AE900" s="7">
        <ns0:f>IF(W900&lt;0,A900,0)</ns0:f>
        <ns0:v>0</ns0:v>
      </ns0:c>
      <ns0:c r="AF900" s="16">
        <ns0:f>IF(AND(OR('前提と出典'!$C$36+'前提と出典'!$C$38=0,U900&gt;=0),OR('前提と出典'!$C$37+'前提と出典'!$C$38=0,V900&gt;=0)),0,A900)</ns0:f>
        <ns0:v>0</ns0:v>
      </ns0:c>
      <ns0:c r="AG900" s="7">
        <ns0:f>IF(Z900&gt;=0,A900,1001)</ns0:f>
        <ns0:v>896</ns0:v>
      </ns0:c>
      <ns0:c r="AH900" s="4">
        <ns0:f>IF(Z900&lt;0,A900,0)</ns0:f>
        <ns0:v>0</ns0:v>
      </ns0:c>
      <ns0:c r="AI900" s="12">
        <ns0:f>IF(AND(OR('前提と出典'!$C$36+'前提と出典'!$C$38=0,X900&gt;=0),OR('前提と出典'!$C$37+'前提と出典'!$C$38=0,Y900&gt;=0)),0,A900)</ns0:f>
        <ns0:v>0</ns0:v>
      </ns0:c>
    </ns0:row>
    <ns0:row r="901" ht="24" customHeight="1">
      <ns0:c r="A901" s="4" t="n">
        <ns0:v>897</ns0:v>
      </ns0:c>
      <ns0:c r="B901" s="12">
        <ns0:f>A901*('前提と出典'!$C$36+'前提と出典'!$C$38)</ns0:f>
        <ns0:v>627.9</ns0:v>
      </ns0:c>
      <ns0:c r="C901" s="12">
        <ns0:f>A901*('前提と出典'!$C$37+'前提と出典'!$C$38)</ns0:f>
        <ns0:v>538.1999999999999</ns0:v>
      </ns0:c>
      <ns0:c r="D901" s="16">
        <ns0:f>A901*('前提と出典'!$C$36*'契約別単価'!C5+'前提と出典'!$C$37*'契約別単価'!C6+'前提と出典'!$C$38*'契約別単価'!C7)</ns0:f>
        <ns0:v>6454.391061452514</ns0:v>
      </ns0:c>
      <ns0:c r="E901" s="16">
        <ns0:f>A901*('前提と出典'!$C$36*'契約別単価'!E5+'前提と出典'!$C$37*'契約別単価'!E6+'前提と出典'!$C$38*'契約別単価'!E7)</ns0:f>
        <ns0:v>1735645.3570889323</ns0:v>
      </ns0:c>
      <ns0:c r="F901" s="16">
        <ns0:f>A901*('前提と出典'!$C$36*'契約別単価'!F5+'前提と出典'!$C$37*'契約別単価'!F6+'前提と出典'!$C$38*'契約別単価'!F7)</ns0:f>
        <ns0:v>681177.7452944929</ns0:v>
      </ns0:c>
      <ns0:c r="G901" s="16">
        <ns0:f>A901*('前提と出典'!$C$36*'契約別単価'!G5+'前提と出典'!$C$37*'契約別単価'!G6+'前提と出典'!$C$38*'契約別単価'!G7)</ns0:f>
        <ns0:v>1785481.005586592</ns0:v>
      </ns0:c>
      <ns0:c r="H901" s="16">
        <ns0:f>A901*('前提と出典'!$C$36*'契約別単価'!H5+'前提と出典'!$C$37*'契約別単価'!H6+'前提と出典'!$C$38*'契約別単価'!H7)</ns0:f>
        <ns0:v>619651.4578478986</ns0:v>
      </ns0:c>
      <ns0:c r="I901" s="16">
        <ns0:f>A901*('前提と出典'!$C$36*'契約別単価'!I5+'前提と出典'!$C$37*'契約別単価'!I6+'前提と出典'!$C$38*'契約別単価'!I7)</ns0:f>
        <ns0:v>37849.39106145251</ns0:v>
      </ns0:c>
      <ns0:c r="J901" s="16">
        <ns0:f>A901*('前提と出典'!$C$36*'契約別単価'!J5+'前提と出典'!$C$37*'契約別単価'!J6+'前提と出典'!$C$38*'契約別単価'!J7)</ns0:f>
        <ns0:v>88165.72070814141</ns0:v>
      </ns0:c>
      <ns0:c r="K901" s="16">
        <ns0:f>A901*('前提と出典'!$C$36*'契約別単価'!K5+'前提と出典'!$C$37*'契約別単価'!K6+'前提と出典'!$C$38*'契約別単価'!K7)</ns0:f>
        <ns0:v>377909.27374301676</ns0:v>
      </ns0:c>
      <ns0:c r="L901" s="16">
        <ns0:f>A901*('前提と出典'!$C$36*'契約別単価'!L5+'前提と出典'!$C$37*'契約別単価'!L6+'前提と出典'!$C$38*'契約別単価'!L7)</ns0:f>
        <ns0:v>307695.0485949299</ns0:v>
      </ns0:c>
      <ns0:c r="M901" s="16">
        <ns0:f>IF(('前提と出典'!$C$36+'前提と出典'!$C$38)=0,0,IF(B901&lt;=10,'前提と出典'!B73+'前提と出典'!C73,IF(B901&lt;=100,'前提と出典'!B74+'前提と出典'!C74,IF(B901&lt;=500,'前提と出典'!B75+'前提と出典'!C75,'前提と出典'!B76+'前提と出典'!C76))))</ns0:f>
        <ns0:v>80000</ns0:v>
      </ns0:c>
      <ns0:c r="N901" s="16">
        <ns0:f>IF(('前提と出典'!$C$37+'前提と出典'!$C$38)=0,0,IF(C901&lt;=10,'前提と出典'!D73+'前提と出典'!E73,IF(C901&lt;=100,'前提と出典'!D74+'前提と出典'!E74,IF(C901&lt;=500,'前提と出典'!D75+'前提と出典'!E75,'前提と出典'!D76+'前提と出典'!E76))))</ns0:f>
        <ns0:v>86510.9346263078</ns0:v>
      </ns0:c>
      <ns0:c r="O901" s="16">
        <ns0:f>IF('前提と出典'!$C$36+'前提と出典'!$C$38=0,0,'前提と出典'!$B$4*IF('前提と出典'!$B$20=0,MAX('前提と出典'!$B$6,D901*'前提と出典'!$B$5),'前提と出典'!$B$6+D901*'前提と出典'!$B$5))</ns0:f>
        <ns0:v>890705.966480447</ns0:v>
      </ns0:c>
      <ns0:c r="P901" s="16">
        <ns0:f>(E901+G901)*(1-'前提と出典'!$B$7)-I901-K901-M901-O901</ns0:f>
        <ns0:v>2007901.182334289</ns0:v>
      </ns0:c>
      <ns0:c r="Q901" s="16">
        <ns0:f>(F901+H901)*(1-'前提と出典'!$B$7)-J901-L901-N901</ns0:f>
        <ns0:v>771627.6478998864</ns0:v>
      </ns0:c>
      <ns0:c r="R901" s="16">
        <ns0:f>P901-E901*'前提と出典'!$E$4</ns0:f>
        <ns0:v>1487207.5752076092</ns0:v>
      </ns0:c>
      <ns0:c r="S901" s="16">
        <ns0:f>Q901-F901*'前提と出典'!$E$4</ns0:f>
        <ns0:v>567274.3243115384</ns0:v>
      </ns0:c>
      <ns0:c r="T901" s="7">
        <ns0:f>R901+S901</ns0:f>
        <ns0:v>2054481.8995191476</ns0:v>
      </ns0:c>
      <ns0:c r="U901" s="16">
        <ns0:f>P901-E901*'前提と出典'!$E$5</ns0:f>
        <ns0:v>1313643.0394987161</ns0:v>
      </ns0:c>
      <ns0:c r="V901" s="16">
        <ns0:f>Q901-F901*'前提と出典'!$E$5</ns0:f>
        <ns0:v>499156.5497820892</ns0:v>
      </ns0:c>
      <ns0:c r="W901" s="7">
        <ns0:f>U901+V901</ns0:f>
        <ns0:v>1812799.5892808053</ns0:v>
      </ns0:c>
      <ns0:c r="X901" s="16">
        <ns0:f>P901-E901*'前提と出典'!$E$6</ns0:f>
        <ns0:v>1140078.5037898226</ns0:v>
      </ns0:c>
      <ns0:c r="Y901" s="16">
        <ns0:f>Q901-F901*'前提と出典'!$E$6</ns0:f>
        <ns0:v>431038.77525263984</ns0:v>
      </ns0:c>
      <ns0:c r="Z901" s="7">
        <ns0:f>X901+Y901</ns0:f>
        <ns0:v>1571117.2790424624</ns0:v>
      </ns0:c>
      <ns0:c r="AA901" s="7">
        <ns0:f>IF(T901&gt;=0,A901,1001)</ns0:f>
        <ns0:v>897</ns0:v>
      </ns0:c>
      <ns0:c r="AB901" s="7">
        <ns0:f>IF(T901&lt;0,A901,0)</ns0:f>
        <ns0:v>0</ns0:v>
      </ns0:c>
      <ns0:c r="AC901" s="16">
        <ns0:f>IF(AND(OR('前提と出典'!$C$36+'前提と出典'!$C$38=0,R901&gt;=0),OR('前提と出典'!$C$37+'前提と出典'!$C$38=0,S901&gt;=0)),0,A901)</ns0:f>
        <ns0:v>0</ns0:v>
      </ns0:c>
      <ns0:c r="AD901" s="7">
        <ns0:f>IF(W901&gt;=0,A901,1001)</ns0:f>
        <ns0:v>897</ns0:v>
      </ns0:c>
      <ns0:c r="AE901" s="7">
        <ns0:f>IF(W901&lt;0,A901,0)</ns0:f>
        <ns0:v>0</ns0:v>
      </ns0:c>
      <ns0:c r="AF901" s="16">
        <ns0:f>IF(AND(OR('前提と出典'!$C$36+'前提と出典'!$C$38=0,U901&gt;=0),OR('前提と出典'!$C$37+'前提と出典'!$C$38=0,V901&gt;=0)),0,A901)</ns0:f>
        <ns0:v>0</ns0:v>
      </ns0:c>
      <ns0:c r="AG901" s="7">
        <ns0:f>IF(Z901&gt;=0,A901,1001)</ns0:f>
        <ns0:v>897</ns0:v>
      </ns0:c>
      <ns0:c r="AH901" s="4">
        <ns0:f>IF(Z901&lt;0,A901,0)</ns0:f>
        <ns0:v>0</ns0:v>
      </ns0:c>
      <ns0:c r="AI901" s="12">
        <ns0:f>IF(AND(OR('前提と出典'!$C$36+'前提と出典'!$C$38=0,X901&gt;=0),OR('前提と出典'!$C$37+'前提と出典'!$C$38=0,Y901&gt;=0)),0,A901)</ns0:f>
        <ns0:v>0</ns0:v>
      </ns0:c>
    </ns0:row>
    <ns0:row r="902" ht="24" customHeight="1">
      <ns0:c r="A902" s="4" t="n">
        <ns0:v>898</ns0:v>
      </ns0:c>
      <ns0:c r="B902" s="12">
        <ns0:f>A902*('前提と出典'!$C$36+'前提と出典'!$C$38)</ns0:f>
        <ns0:v>628.5999999999999</ns0:v>
      </ns0:c>
      <ns0:c r="C902" s="12">
        <ns0:f>A902*('前提と出典'!$C$37+'前提と出典'!$C$38)</ns0:f>
        <ns0:v>538.8</ns0:v>
      </ns0:c>
      <ns0:c r="D902" s="16">
        <ns0:f>A902*('前提と出典'!$C$36*'契約別単価'!C5+'前提と出典'!$C$37*'契約別単価'!C6+'前提と出典'!$C$38*'契約別単価'!C7)</ns0:f>
        <ns0:v>6461.586592178771</ns0:v>
      </ns0:c>
      <ns0:c r="E902" s="16">
        <ns0:f>A902*('前提と出典'!$C$36*'契約別単価'!E5+'前提と出典'!$C$37*'契約別単価'!E6+'前提と出典'!$C$38*'契約別単価'!E7)</ns0:f>
        <ns0:v>1737580.3017456646</ns0:v>
      </ns0:c>
      <ns0:c r="F902" s="16">
        <ns0:f>A902*('前提と出典'!$C$36*'契約別単価'!F5+'前提と出典'!$C$37*'契約別単価'!F6+'前提と出典'!$C$38*'契約別単価'!F7)</ns0:f>
        <ns0:v>681937.140774197</ns0:v>
      </ns0:c>
      <ns0:c r="G902" s="16">
        <ns0:f>A902*('前提と出典'!$C$36*'契約別単価'!G5+'前提と出典'!$C$37*'契約別単価'!G6+'前提と出典'!$C$38*'契約別単価'!G7)</ns0:f>
        <ns0:v>1787471.5083798883</ns0:v>
      </ns0:c>
      <ns0:c r="H902" s="16">
        <ns0:f>A902*('前提と出典'!$C$36*'契約別単価'!H5+'前提と出典'!$C$37*'契約別単価'!H6+'前提と出典'!$C$38*'契約別単価'!H7)</ns0:f>
        <ns0:v>620342.2621487323</ns0:v>
      </ns0:c>
      <ns0:c r="I902" s="16">
        <ns0:f>A902*('前提と出典'!$C$36*'契約別単価'!I5+'前提と出典'!$C$37*'契約別単価'!I6+'前提と出典'!$C$38*'契約別単価'!I7)</ns0:f>
        <ns0:v>37891.58659217876</ns0:v>
      </ns0:c>
      <ns0:c r="J902" s="16">
        <ns0:f>A902*('前提と出典'!$C$36*'契約別単価'!J5+'前提と出典'!$C$37*'契約別単価'!J6+'前提と出典'!$C$38*'契約別単価'!J7)</ns0:f>
        <ns0:v>88264.01025185171</ns0:v>
      </ns0:c>
      <ns0:c r="K902" s="16">
        <ns0:f>A902*('前提と出典'!$C$36*'契約別単価'!K5+'前提と出典'!$C$37*'契約別単価'!K6+'前提と出典'!$C$38*'契約別単価'!K7)</ns0:f>
        <ns0:v>378330.57728119177</ns0:v>
      </ns0:c>
      <ns0:c r="L902" s="16">
        <ns0:f>A902*('前提と出典'!$C$36*'契約別単価'!L5+'前提と出典'!$C$37*'契約別単価'!L6+'前提と出典'!$C$38*'契約別単価'!L7)</ns0:f>
        <ns0:v>308038.07540495775</ns0:v>
      </ns0:c>
      <ns0:c r="M902" s="16">
        <ns0:f>IF(('前提と出典'!$C$36+'前提と出典'!$C$38)=0,0,IF(B902&lt;=10,'前提と出典'!B73+'前提と出典'!C73,IF(B902&lt;=100,'前提と出典'!B74+'前提と出典'!C74,IF(B902&lt;=500,'前提と出典'!B75+'前提と出典'!C75,'前提と出典'!B76+'前提と出典'!C76))))</ns0:f>
        <ns0:v>80000</ns0:v>
      </ns0:c>
      <ns0:c r="N902" s="16">
        <ns0:f>IF(('前提と出典'!$C$37+'前提と出典'!$C$38)=0,0,IF(C902&lt;=10,'前提と出典'!D73+'前提と出典'!E73,IF(C902&lt;=100,'前提と出典'!D74+'前提と出典'!E74,IF(C902&lt;=500,'前提と出典'!D75+'前提と出典'!E75,'前提と出典'!D76+'前提と出典'!E76))))</ns0:f>
        <ns0:v>86510.9346263078</ns0:v>
      </ns0:c>
      <ns0:c r="O902" s="16">
        <ns0:f>IF('前提と出典'!$C$36+'前提と出典'!$C$38=0,0,'前提と出典'!$B$4*IF('前提と出典'!$B$20=0,MAX('前提と出典'!$B$6,D902*'前提と出典'!$B$5),'前提と出典'!$B$6+D902*'前提と出典'!$B$5))</ns0:f>
        <ns0:v>891698.9497206705</ns0:v>
      </ns0:c>
      <ns0:c r="P902" s="16">
        <ns0:f>(E902+G902)*(1-'前提と出典'!$B$7)-I902-K902-M902-O902</ns0:f>
        <ns0:v>2010228.831366992</ns0:v>
      </ns0:c>
      <ns0:c r="Q902" s="16">
        <ns0:f>(F902+H902)*(1-'前提と出典'!$B$7)-J902-L902-N902</ns0:f>
        <ns0:v>772584.3241345864</ns0:v>
      </ns0:c>
      <ns0:c r="R902" s="16">
        <ns0:f>P902-E902*'前提と出典'!$E$4</ns0:f>
        <ns0:v>1488954.7408432928</ns0:v>
      </ns0:c>
      <ns0:c r="S902" s="16">
        <ns0:f>Q902-F902*'前提と出典'!$E$4</ns0:f>
        <ns0:v>568003.1819023275</ns0:v>
      </ns0:c>
      <ns0:c r="T902" s="7">
        <ns0:f>R902+S902</ns0:f>
        <ns0:v>2056957.9227456204</ns0:v>
      </ns0:c>
      <ns0:c r="U902" s="16">
        <ns0:f>P902-E902*'前提と出典'!$E$5</ns0:f>
        <ns0:v>1315196.7106687264</ns0:v>
      </ns0:c>
      <ns0:c r="V902" s="16">
        <ns0:f>Q902-F902*'前提と出典'!$E$5</ns0:f>
        <ns0:v>499809.4678249076</ns0:v>
      </ns0:c>
      <ns0:c r="W902" s="7">
        <ns0:f>U902+V902</ns0:f>
        <ns0:v>1815006.1784936339</ns0:v>
      </ns0:c>
      <ns0:c r="X902" s="16">
        <ns0:f>P902-E902*'前提と出典'!$E$6</ns0:f>
        <ns0:v>1141438.68049416</ns0:v>
      </ns0:c>
      <ns0:c r="Y902" s="16">
        <ns0:f>Q902-F902*'前提と出典'!$E$6</ns0:f>
        <ns0:v>431615.753747488</ns0:v>
      </ns0:c>
      <ns0:c r="Z902" s="7">
        <ns0:f>X902+Y902</ns0:f>
        <ns0:v>1573054.4342416478</ns0:v>
      </ns0:c>
      <ns0:c r="AA902" s="7">
        <ns0:f>IF(T902&gt;=0,A902,1001)</ns0:f>
        <ns0:v>898</ns0:v>
      </ns0:c>
      <ns0:c r="AB902" s="7">
        <ns0:f>IF(T902&lt;0,A902,0)</ns0:f>
        <ns0:v>0</ns0:v>
      </ns0:c>
      <ns0:c r="AC902" s="16">
        <ns0:f>IF(AND(OR('前提と出典'!$C$36+'前提と出典'!$C$38=0,R902&gt;=0),OR('前提と出典'!$C$37+'前提と出典'!$C$38=0,S902&gt;=0)),0,A902)</ns0:f>
        <ns0:v>0</ns0:v>
      </ns0:c>
      <ns0:c r="AD902" s="7">
        <ns0:f>IF(W902&gt;=0,A902,1001)</ns0:f>
        <ns0:v>898</ns0:v>
      </ns0:c>
      <ns0:c r="AE902" s="7">
        <ns0:f>IF(W902&lt;0,A902,0)</ns0:f>
        <ns0:v>0</ns0:v>
      </ns0:c>
      <ns0:c r="AF902" s="16">
        <ns0:f>IF(AND(OR('前提と出典'!$C$36+'前提と出典'!$C$38=0,U902&gt;=0),OR('前提と出典'!$C$37+'前提と出典'!$C$38=0,V902&gt;=0)),0,A902)</ns0:f>
        <ns0:v>0</ns0:v>
      </ns0:c>
      <ns0:c r="AG902" s="7">
        <ns0:f>IF(Z902&gt;=0,A902,1001)</ns0:f>
        <ns0:v>898</ns0:v>
      </ns0:c>
      <ns0:c r="AH902" s="4">
        <ns0:f>IF(Z902&lt;0,A902,0)</ns0:f>
        <ns0:v>0</ns0:v>
      </ns0:c>
      <ns0:c r="AI902" s="12">
        <ns0:f>IF(AND(OR('前提と出典'!$C$36+'前提と出典'!$C$38=0,X902&gt;=0),OR('前提と出典'!$C$37+'前提と出典'!$C$38=0,Y902&gt;=0)),0,A902)</ns0:f>
        <ns0:v>0</ns0:v>
      </ns0:c>
    </ns0:row>
    <ns0:row r="903" ht="24" customHeight="1">
      <ns0:c r="A903" s="4" t="n">
        <ns0:v>899</ns0:v>
      </ns0:c>
      <ns0:c r="B903" s="12">
        <ns0:f>A903*('前提と出典'!$C$36+'前提と出典'!$C$38)</ns0:f>
        <ns0:v>629.3</ns0:v>
      </ns0:c>
      <ns0:c r="C903" s="12">
        <ns0:f>A903*('前提と出典'!$C$37+'前提と出典'!$C$38)</ns0:f>
        <ns0:v>539.4</ns0:v>
      </ns0:c>
      <ns0:c r="D903" s="16">
        <ns0:f>A903*('前提と出典'!$C$36*'契約別単価'!C5+'前提と出典'!$C$37*'契約別単価'!C6+'前提と出典'!$C$38*'契約別単価'!C7)</ns0:f>
        <ns0:v>6468.782122905028</ns0:v>
      </ns0:c>
      <ns0:c r="E903" s="16">
        <ns0:f>A903*('前提と出典'!$C$36*'契約別単価'!E5+'前提と出典'!$C$37*'契約別単価'!E6+'前提と出典'!$C$38*'契約別単価'!E7)</ns0:f>
        <ns0:v>1739515.246402397</ns0:v>
      </ns0:c>
      <ns0:c r="F903" s="16">
        <ns0:f>A903*('前提と出典'!$C$36*'契約別単価'!F5+'前提と出典'!$C$37*'契約別単価'!F6+'前提と出典'!$C$38*'契約別単価'!F7)</ns0:f>
        <ns0:v>682696.536253901</ns0:v>
      </ns0:c>
      <ns0:c r="G903" s="16">
        <ns0:f>A903*('前提と出典'!$C$36*'契約別単価'!G5+'前提と出典'!$C$37*'契約別単価'!G6+'前提と出典'!$C$38*'契約別単価'!G7)</ns0:f>
        <ns0:v>1789462.0111731843</ns0:v>
      </ns0:c>
      <ns0:c r="H903" s="16">
        <ns0:f>A903*('前提と出典'!$C$36*'契約別単価'!H5+'前提と出典'!$C$37*'契約別単価'!H6+'前提と出典'!$C$38*'契約別単価'!H7)</ns0:f>
        <ns0:v>621033.0664495662</ns0:v>
      </ns0:c>
      <ns0:c r="I903" s="16">
        <ns0:f>A903*('前提と出典'!$C$36*'契約別単価'!I5+'前提と出典'!$C$37*'契約別単価'!I6+'前提と出典'!$C$38*'契約別単価'!I7)</ns0:f>
        <ns0:v>37933.782122905024</ns0:v>
      </ns0:c>
      <ns0:c r="J903" s="16">
        <ns0:f>A903*('前提と出典'!$C$36*'契約別単価'!J5+'前提と出典'!$C$37*'契約別単価'!J6+'前提と出典'!$C$38*'契約別単価'!J7)</ns0:f>
        <ns0:v>88362.29979556201</ns0:v>
      </ns0:c>
      <ns0:c r="K903" s="16">
        <ns0:f>A903*('前提と出典'!$C$36*'契約別単価'!K5+'前提と出典'!$C$37*'契約別単価'!K6+'前提と出典'!$C$38*'契約別単価'!K7)</ns0:f>
        <ns0:v>378751.88081936684</ns0:v>
      </ns0:c>
      <ns0:c r="L903" s="16">
        <ns0:f>A903*('前提と出典'!$C$36*'契約別単価'!L5+'前提と出典'!$C$37*'契約別単価'!L6+'前提と出典'!$C$38*'契約別単価'!L7)</ns0:f>
        <ns0:v>308381.1022149855</ns0:v>
      </ns0:c>
      <ns0:c r="M903" s="16">
        <ns0:f>IF(('前提と出典'!$C$36+'前提と出典'!$C$38)=0,0,IF(B903&lt;=10,'前提と出典'!B73+'前提と出典'!C73,IF(B903&lt;=100,'前提と出典'!B74+'前提と出典'!C74,IF(B903&lt;=500,'前提と出典'!B75+'前提と出典'!C75,'前提と出典'!B76+'前提と出典'!C76))))</ns0:f>
        <ns0:v>80000</ns0:v>
      </ns0:c>
      <ns0:c r="N903" s="16">
        <ns0:f>IF(('前提と出典'!$C$37+'前提と出典'!$C$38)=0,0,IF(C903&lt;=10,'前提と出典'!D73+'前提と出典'!E73,IF(C903&lt;=100,'前提と出典'!D74+'前提と出典'!E74,IF(C903&lt;=500,'前提と出典'!D75+'前提と出典'!E75,'前提と出典'!D76+'前提と出典'!E76))))</ns0:f>
        <ns0:v>86510.9346263078</ns0:v>
      </ns0:c>
      <ns0:c r="O903" s="16">
        <ns0:f>IF('前提と出典'!$C$36+'前提と出典'!$C$38=0,0,'前提と出典'!$B$4*IF('前提と出典'!$B$20=0,MAX('前提と出典'!$B$6,D903*'前提と出典'!$B$5),'前提と出典'!$B$6+D903*'前提と出典'!$B$5))</ns0:f>
        <ns0:v>892691.932960894</ns0:v>
      </ns0:c>
      <ns0:c r="P903" s="16">
        <ns0:f>(E903+G903)*(1-'前提と出典'!$B$7)-I903-K903-M903-O903</ns0:f>
        <ns0:v>2012556.480399695</ns0:v>
      </ns0:c>
      <ns0:c r="Q903" s="16">
        <ns0:f>(F903+H903)*(1-'前提と出典'!$B$7)-J903-L903-N903</ns0:f>
        <ns0:v>773541.0003692869</ns0:v>
      </ns0:c>
      <ns0:c r="R903" s="16">
        <ns0:f>P903-E903*'前提と出典'!$E$4</ns0:f>
        <ns0:v>1490701.906478976</ns0:v>
      </ns0:c>
      <ns0:c r="S903" s="16">
        <ns0:f>Q903-F903*'前提と出典'!$E$4</ns0:f>
        <ns0:v>568732.0394931164</ns0:v>
      </ns0:c>
      <ns0:c r="T903" s="7">
        <ns0:f>R903+S903</ns0:f>
        <ns0:v>2059433.9459720924</ns0:v>
      </ns0:c>
      <ns0:c r="U903" s="16">
        <ns0:f>P903-E903*'前提と出典'!$E$5</ns0:f>
        <ns0:v>1316750.3818387361</ns0:v>
      </ns0:c>
      <ns0:c r="V903" s="16">
        <ns0:f>Q903-F903*'前提と出典'!$E$5</ns0:f>
        <ns0:v>500462.3858677265</ns0:v>
      </ns0:c>
      <ns0:c r="W903" s="7">
        <ns0:f>U903+V903</ns0:f>
        <ns0:v>1817212.7677064626</ns0:v>
      </ns0:c>
      <ns0:c r="X903" s="16">
        <ns0:f>P903-E903*'前提と出典'!$E$6</ns0:f>
        <ns0:v>1142798.8571984963</ns0:v>
      </ns0:c>
      <ns0:c r="Y903" s="16">
        <ns0:f>Q903-F903*'前提と出典'!$E$6</ns0:f>
        <ns0:v>432192.7322423364</ns0:v>
      </ns0:c>
      <ns0:c r="Z903" s="7">
        <ns0:f>X903+Y903</ns0:f>
        <ns0:v>1574991.5894408328</ns0:v>
      </ns0:c>
      <ns0:c r="AA903" s="7">
        <ns0:f>IF(T903&gt;=0,A903,1001)</ns0:f>
        <ns0:v>899</ns0:v>
      </ns0:c>
      <ns0:c r="AB903" s="7">
        <ns0:f>IF(T903&lt;0,A903,0)</ns0:f>
        <ns0:v>0</ns0:v>
      </ns0:c>
      <ns0:c r="AC903" s="16">
        <ns0:f>IF(AND(OR('前提と出典'!$C$36+'前提と出典'!$C$38=0,R903&gt;=0),OR('前提と出典'!$C$37+'前提と出典'!$C$38=0,S903&gt;=0)),0,A903)</ns0:f>
        <ns0:v>0</ns0:v>
      </ns0:c>
      <ns0:c r="AD903" s="7">
        <ns0:f>IF(W903&gt;=0,A903,1001)</ns0:f>
        <ns0:v>899</ns0:v>
      </ns0:c>
      <ns0:c r="AE903" s="7">
        <ns0:f>IF(W903&lt;0,A903,0)</ns0:f>
        <ns0:v>0</ns0:v>
      </ns0:c>
      <ns0:c r="AF903" s="16">
        <ns0:f>IF(AND(OR('前提と出典'!$C$36+'前提と出典'!$C$38=0,U903&gt;=0),OR('前提と出典'!$C$37+'前提と出典'!$C$38=0,V903&gt;=0)),0,A903)</ns0:f>
        <ns0:v>0</ns0:v>
      </ns0:c>
      <ns0:c r="AG903" s="7">
        <ns0:f>IF(Z903&gt;=0,A903,1001)</ns0:f>
        <ns0:v>899</ns0:v>
      </ns0:c>
      <ns0:c r="AH903" s="4">
        <ns0:f>IF(Z903&lt;0,A903,0)</ns0:f>
        <ns0:v>0</ns0:v>
      </ns0:c>
      <ns0:c r="AI903" s="12">
        <ns0:f>IF(AND(OR('前提と出典'!$C$36+'前提と出典'!$C$38=0,X903&gt;=0),OR('前提と出典'!$C$37+'前提と出典'!$C$38=0,Y903&gt;=0)),0,A903)</ns0:f>
        <ns0:v>0</ns0:v>
      </ns0:c>
    </ns0:row>
    <ns0:row r="904" ht="24" customHeight="1">
      <ns0:c r="A904" s="4" t="n">
        <ns0:v>900</ns0:v>
      </ns0:c>
      <ns0:c r="B904" s="12">
        <ns0:f>A904*('前提と出典'!$C$36+'前提と出典'!$C$38)</ns0:f>
        <ns0:v>630</ns0:v>
      </ns0:c>
      <ns0:c r="C904" s="12">
        <ns0:f>A904*('前提と出典'!$C$37+'前提と出典'!$C$38)</ns0:f>
        <ns0:v>540</ns0:v>
      </ns0:c>
      <ns0:c r="D904" s="16">
        <ns0:f>A904*('前提と出典'!$C$36*'契約別単価'!C5+'前提と出典'!$C$37*'契約別単価'!C6+'前提と出典'!$C$38*'契約別単価'!C7)</ns0:f>
        <ns0:v>6475.977653631285</ns0:v>
      </ns0:c>
      <ns0:c r="E904" s="16">
        <ns0:f>A904*('前提と出典'!$C$36*'契約別単価'!E5+'前提と出典'!$C$37*'契約別単価'!E6+'前提と出典'!$C$38*'契約別単価'!E7)</ns0:f>
        <ns0:v>1741450.1910591293</ns0:v>
      </ns0:c>
      <ns0:c r="F904" s="16">
        <ns0:f>A904*('前提と出典'!$C$36*'契約別単価'!F5+'前提と出典'!$C$37*'契約別単価'!F6+'前提と出典'!$C$38*'契約別単価'!F7)</ns0:f>
        <ns0:v>683455.931733605</ns0:v>
      </ns0:c>
      <ns0:c r="G904" s="16">
        <ns0:f>A904*('前提と出典'!$C$36*'契約別単価'!G5+'前提と出典'!$C$37*'契約別単価'!G6+'前提と出典'!$C$38*'契約別単価'!G7)</ns0:f>
        <ns0:v>1791452.5139664803</ns0:v>
      </ns0:c>
      <ns0:c r="H904" s="16">
        <ns0:f>A904*('前提と出典'!$C$36*'契約別単価'!H5+'前提と出典'!$C$37*'契約別単価'!H6+'前提と出典'!$C$38*'契約別単価'!H7)</ns0:f>
        <ns0:v>621723.8707503999</ns0:v>
      </ns0:c>
      <ns0:c r="I904" s="16">
        <ns0:f>A904*('前提と出典'!$C$36*'契約別単価'!I5+'前提と出典'!$C$37*'契約別単価'!I6+'前提と出典'!$C$38*'契約別単価'!I7)</ns0:f>
        <ns0:v>37975.97765363128</ns0:v>
      </ns0:c>
      <ns0:c r="J904" s="16">
        <ns0:f>A904*('前提と出典'!$C$36*'契約別単価'!J5+'前提と出典'!$C$37*'契約別単価'!J6+'前提と出典'!$C$38*'契約別単価'!J7)</ns0:f>
        <ns0:v>88460.58933927231</ns0:v>
      </ns0:c>
      <ns0:c r="K904" s="16">
        <ns0:f>A904*('前提と出典'!$C$36*'契約別単価'!K5+'前提と出典'!$C$37*'契約別単価'!K6+'前提と出典'!$C$38*'契約別単価'!K7)</ns0:f>
        <ns0:v>379173.18435754185</ns0:v>
      </ns0:c>
      <ns0:c r="L904" s="16">
        <ns0:f>A904*('前提と出典'!$C$36*'契約別単価'!L5+'前提と出典'!$C$37*'契約別単価'!L6+'前提と出典'!$C$38*'契約別単価'!L7)</ns0:f>
        <ns0:v>308724.1290250133</ns0:v>
      </ns0:c>
      <ns0:c r="M904" s="16">
        <ns0:f>IF(('前提と出典'!$C$36+'前提と出典'!$C$38)=0,0,IF(B904&lt;=10,'前提と出典'!B73+'前提と出典'!C73,IF(B904&lt;=100,'前提と出典'!B74+'前提と出典'!C74,IF(B904&lt;=500,'前提と出典'!B75+'前提と出典'!C75,'前提と出典'!B76+'前提と出典'!C76))))</ns0:f>
        <ns0:v>80000</ns0:v>
      </ns0:c>
      <ns0:c r="N904" s="16">
        <ns0:f>IF(('前提と出典'!$C$37+'前提と出典'!$C$38)=0,0,IF(C904&lt;=10,'前提と出典'!D73+'前提と出典'!E73,IF(C904&lt;=100,'前提と出典'!D74+'前提と出典'!E74,IF(C904&lt;=500,'前提と出典'!D75+'前提と出典'!E75,'前提と出典'!D76+'前提と出典'!E76))))</ns0:f>
        <ns0:v>86510.9346263078</ns0:v>
      </ns0:c>
      <ns0:c r="O904" s="16">
        <ns0:f>IF('前提と出典'!$C$36+'前提と出典'!$C$38=0,0,'前提と出典'!$B$4*IF('前提と出典'!$B$20=0,MAX('前提と出典'!$B$6,D904*'前提と出典'!$B$5),'前提と出典'!$B$6+D904*'前提と出典'!$B$5))</ns0:f>
        <ns0:v>893684.9162011172</ns0:v>
      </ns0:c>
      <ns0:c r="P904" s="16">
        <ns0:f>(E904+G904)*(1-'前提と出典'!$B$7)-I904-K904-M904-O904</ns0:f>
        <ns0:v>2014884.1294323974</ns0:v>
      </ns0:c>
      <ns0:c r="Q904" s="16">
        <ns0:f>(F904+H904)*(1-'前提と出典'!$B$7)-J904-L904-N904</ns0:f>
        <ns0:v>774497.6766039871</ns0:v>
      </ns0:c>
      <ns0:c r="R904" s="16">
        <ns0:f>P904-E904*'前提と出典'!$E$4</ns0:f>
        <ns0:v>1492449.0721146578</ns0:v>
      </ns0:c>
      <ns0:c r="S904" s="16">
        <ns0:f>Q904-F904*'前提と出典'!$E$4</ns0:f>
        <ns0:v>569460.8970839056</ns0:v>
      </ns0:c>
      <ns0:c r="T904" s="7">
        <ns0:f>R904+S904</ns0:f>
        <ns0:v>2061909.9691985636</ns0:v>
      </ns0:c>
      <ns0:c r="U904" s="16">
        <ns0:f>P904-E904*'前提と出典'!$E$5</ns0:f>
        <ns0:v>1318304.0530087457</ns0:v>
      </ns0:c>
      <ns0:c r="V904" s="16">
        <ns0:f>Q904-F904*'前提と出典'!$E$5</ns0:f>
        <ns0:v>501115.3039105451</ns0:v>
      </ns0:c>
      <ns0:c r="W904" s="7">
        <ns0:f>U904+V904</ns0:f>
        <ns0:v>1819419.3569192907</ns0:v>
      </ns0:c>
      <ns0:c r="X904" s="16">
        <ns0:f>P904-E904*'前提と出典'!$E$6</ns0:f>
        <ns0:v>1144159.0339028325</ns0:v>
      </ns0:c>
      <ns0:c r="Y904" s="16">
        <ns0:f>Q904-F904*'前提と出典'!$E$6</ns0:f>
        <ns0:v>432769.7107371846</ns0:v>
      </ns0:c>
      <ns0:c r="Z904" s="7">
        <ns0:f>X904+Y904</ns0:f>
        <ns0:v>1576928.7446400172</ns0:v>
      </ns0:c>
      <ns0:c r="AA904" s="7">
        <ns0:f>IF(T904&gt;=0,A904,1001)</ns0:f>
        <ns0:v>900</ns0:v>
      </ns0:c>
      <ns0:c r="AB904" s="7">
        <ns0:f>IF(T904&lt;0,A904,0)</ns0:f>
        <ns0:v>0</ns0:v>
      </ns0:c>
      <ns0:c r="AC904" s="16">
        <ns0:f>IF(AND(OR('前提と出典'!$C$36+'前提と出典'!$C$38=0,R904&gt;=0),OR('前提と出典'!$C$37+'前提と出典'!$C$38=0,S904&gt;=0)),0,A904)</ns0:f>
        <ns0:v>0</ns0:v>
      </ns0:c>
      <ns0:c r="AD904" s="7">
        <ns0:f>IF(W904&gt;=0,A904,1001)</ns0:f>
        <ns0:v>900</ns0:v>
      </ns0:c>
      <ns0:c r="AE904" s="7">
        <ns0:f>IF(W904&lt;0,A904,0)</ns0:f>
        <ns0:v>0</ns0:v>
      </ns0:c>
      <ns0:c r="AF904" s="16">
        <ns0:f>IF(AND(OR('前提と出典'!$C$36+'前提と出典'!$C$38=0,U904&gt;=0),OR('前提と出典'!$C$37+'前提と出典'!$C$38=0,V904&gt;=0)),0,A904)</ns0:f>
        <ns0:v>0</ns0:v>
      </ns0:c>
      <ns0:c r="AG904" s="7">
        <ns0:f>IF(Z904&gt;=0,A904,1001)</ns0:f>
        <ns0:v>900</ns0:v>
      </ns0:c>
      <ns0:c r="AH904" s="4">
        <ns0:f>IF(Z904&lt;0,A904,0)</ns0:f>
        <ns0:v>0</ns0:v>
      </ns0:c>
      <ns0:c r="AI904" s="12">
        <ns0:f>IF(AND(OR('前提と出典'!$C$36+'前提と出典'!$C$38=0,X904&gt;=0),OR('前提と出典'!$C$37+'前提と出典'!$C$38=0,Y904&gt;=0)),0,A904)</ns0:f>
        <ns0:v>0</ns0:v>
      </ns0:c>
    </ns0:row>
    <ns0:row r="905" ht="24" customHeight="1">
      <ns0:c r="A905" s="4" t="n">
        <ns0:v>901</ns0:v>
      </ns0:c>
      <ns0:c r="B905" s="12">
        <ns0:f>A905*('前提と出典'!$C$36+'前提と出典'!$C$38)</ns0:f>
        <ns0:v>630.6999999999999</ns0:v>
      </ns0:c>
      <ns0:c r="C905" s="12">
        <ns0:f>A905*('前提と出典'!$C$37+'前提と出典'!$C$38)</ns0:f>
        <ns0:v>540.6</ns0:v>
      </ns0:c>
      <ns0:c r="D905" s="16">
        <ns0:f>A905*('前提と出典'!$C$36*'契約別単価'!C5+'前提と出典'!$C$37*'契約別単価'!C6+'前提と出典'!$C$38*'契約別単価'!C7)</ns0:f>
        <ns0:v>6483.173184357542</ns0:v>
      </ns0:c>
      <ns0:c r="E905" s="16">
        <ns0:f>A905*('前提と出典'!$C$36*'契約別単価'!E5+'前提と出典'!$C$37*'契約別単価'!E6+'前提と出典'!$C$38*'契約別単価'!E7)</ns0:f>
        <ns0:v>1743385.1357158618</ns0:v>
      </ns0:c>
      <ns0:c r="F905" s="16">
        <ns0:f>A905*('前提と出典'!$C$36*'契約別単価'!F5+'前提と出典'!$C$37*'契約別単価'!F6+'前提と出典'!$C$38*'契約別単価'!F7)</ns0:f>
        <ns0:v>684215.327213309</ns0:v>
      </ns0:c>
      <ns0:c r="G905" s="16">
        <ns0:f>A905*('前提と出典'!$C$36*'契約別単価'!G5+'前提と出典'!$C$37*'契約別単価'!G6+'前提と出典'!$C$38*'契約別単価'!G7)</ns0:f>
        <ns0:v>1793443.0167597765</ns0:v>
      </ns0:c>
      <ns0:c r="H905" s="16">
        <ns0:f>A905*('前提と出典'!$C$36*'契約別単価'!H5+'前提と出典'!$C$37*'契約別単価'!H6+'前提と出典'!$C$38*'契約別単価'!H7)</ns0:f>
        <ns0:v>622414.6750512337</ns0:v>
      </ns0:c>
      <ns0:c r="I905" s="16">
        <ns0:f>A905*('前提と出典'!$C$36*'契約別単価'!I5+'前提と出典'!$C$37*'契約別単価'!I6+'前提と出典'!$C$38*'契約別単価'!I7)</ns0:f>
        <ns0:v>38018.17318435753</ns0:v>
      </ns0:c>
      <ns0:c r="J905" s="16">
        <ns0:f>A905*('前提と出典'!$C$36*'契約別単価'!J5+'前提と出典'!$C$37*'契約別単価'!J6+'前提と出典'!$C$38*'契約別単価'!J7)</ns0:f>
        <ns0:v>88558.87888298261</ns0:v>
      </ns0:c>
      <ns0:c r="K905" s="16">
        <ns0:f>A905*('前提と出典'!$C$36*'契約別単価'!K5+'前提と出典'!$C$37*'契約別単価'!K6+'前提と出典'!$C$38*'契約別単価'!K7)</ns0:f>
        <ns0:v>379594.4878957169</ns0:v>
      </ns0:c>
      <ns0:c r="L905" s="16">
        <ns0:f>A905*('前提と出典'!$C$36*'契約別単価'!L5+'前提と出典'!$C$37*'契約別単価'!L6+'前提と出典'!$C$38*'契約別単価'!L7)</ns0:f>
        <ns0:v>309067.15583504114</ns0:v>
      </ns0:c>
      <ns0:c r="M905" s="16">
        <ns0:f>IF(('前提と出典'!$C$36+'前提と出典'!$C$38)=0,0,IF(B905&lt;=10,'前提と出典'!B73+'前提と出典'!C73,IF(B905&lt;=100,'前提と出典'!B74+'前提と出典'!C74,IF(B905&lt;=500,'前提と出典'!B75+'前提と出典'!C75,'前提と出典'!B76+'前提と出典'!C76))))</ns0:f>
        <ns0:v>80000</ns0:v>
      </ns0:c>
      <ns0:c r="N905" s="16">
        <ns0:f>IF(('前提と出典'!$C$37+'前提と出典'!$C$38)=0,0,IF(C905&lt;=10,'前提と出典'!D73+'前提と出典'!E73,IF(C905&lt;=100,'前提と出典'!D74+'前提と出典'!E74,IF(C905&lt;=500,'前提と出典'!D75+'前提と出典'!E75,'前提と出典'!D76+'前提と出典'!E76))))</ns0:f>
        <ns0:v>86510.9346263078</ns0:v>
      </ns0:c>
      <ns0:c r="O905" s="16">
        <ns0:f>IF('前提と出典'!$C$36+'前提と出典'!$C$38=0,0,'前提と出典'!$B$4*IF('前提と出典'!$B$20=0,MAX('前提と出典'!$B$6,D905*'前提と出典'!$B$5),'前提と出典'!$B$6+D905*'前提と出典'!$B$5))</ns0:f>
        <ns0:v>894677.8994413407</ns0:v>
      </ns0:c>
      <ns0:c r="P905" s="16">
        <ns0:f>(E905+G905)*(1-'前提と出典'!$B$7)-I905-K905-M905-O905</ns0:f>
        <ns0:v>2017211.7784651</ns0:v>
      </ns0:c>
      <ns0:c r="Q905" s="16">
        <ns0:f>(F905+H905)*(1-'前提と出典'!$B$7)-J905-L905-N905</ns0:f>
        <ns0:v>775454.3528386877</ns0:v>
      </ns0:c>
      <ns0:c r="R905" s="16">
        <ns0:f>P905-E905*'前提と出典'!$E$4</ns0:f>
        <ns0:v>1494196.2377503419</ns0:v>
      </ns0:c>
      <ns0:c r="S905" s="16">
        <ns0:f>Q905-F905*'前提と出典'!$E$4</ns0:f>
        <ns0:v>570189.754674695</ns0:v>
      </ns0:c>
      <ns0:c r="T905" s="7">
        <ns0:f>R905+S905</ns0:f>
        <ns0:v>2064385.9924250368</ns0:v>
      </ns0:c>
      <ns0:c r="U905" s="16">
        <ns0:f>P905-E905*'前提と出典'!$E$5</ns0:f>
        <ns0:v>1319857.7241787554</ns0:v>
      </ns0:c>
      <ns0:c r="V905" s="16">
        <ns0:f>Q905-F905*'前提と出典'!$E$5</ns0:f>
        <ns0:v>501768.2219533641</ns0:v>
      </ns0:c>
      <ns0:c r="W905" s="7">
        <ns0:f>U905+V905</ns0:f>
        <ns0:v>1821625.9461321195</ns0:v>
      </ns0:c>
      <ns0:c r="X905" s="16">
        <ns0:f>P905-E905*'前提と出典'!$E$6</ns0:f>
        <ns0:v>1145519.2106071694</ns0:v>
      </ns0:c>
      <ns0:c r="Y905" s="16">
        <ns0:f>Q905-F905*'前提と出典'!$E$6</ns0:f>
        <ns0:v>433346.68923203315</ns0:v>
      </ns0:c>
      <ns0:c r="Z905" s="7">
        <ns0:f>X905+Y905</ns0:f>
        <ns0:v>1578865.8998392026</ns0:v>
      </ns0:c>
      <ns0:c r="AA905" s="7">
        <ns0:f>IF(T905&gt;=0,A905,1001)</ns0:f>
        <ns0:v>901</ns0:v>
      </ns0:c>
      <ns0:c r="AB905" s="7">
        <ns0:f>IF(T905&lt;0,A905,0)</ns0:f>
        <ns0:v>0</ns0:v>
      </ns0:c>
      <ns0:c r="AC905" s="16">
        <ns0:f>IF(AND(OR('前提と出典'!$C$36+'前提と出典'!$C$38=0,R905&gt;=0),OR('前提と出典'!$C$37+'前提と出典'!$C$38=0,S905&gt;=0)),0,A905)</ns0:f>
        <ns0:v>0</ns0:v>
      </ns0:c>
      <ns0:c r="AD905" s="7">
        <ns0:f>IF(W905&gt;=0,A905,1001)</ns0:f>
        <ns0:v>901</ns0:v>
      </ns0:c>
      <ns0:c r="AE905" s="7">
        <ns0:f>IF(W905&lt;0,A905,0)</ns0:f>
        <ns0:v>0</ns0:v>
      </ns0:c>
      <ns0:c r="AF905" s="16">
        <ns0:f>IF(AND(OR('前提と出典'!$C$36+'前提と出典'!$C$38=0,U905&gt;=0),OR('前提と出典'!$C$37+'前提と出典'!$C$38=0,V905&gt;=0)),0,A905)</ns0:f>
        <ns0:v>0</ns0:v>
      </ns0:c>
      <ns0:c r="AG905" s="7">
        <ns0:f>IF(Z905&gt;=0,A905,1001)</ns0:f>
        <ns0:v>901</ns0:v>
      </ns0:c>
      <ns0:c r="AH905" s="4">
        <ns0:f>IF(Z905&lt;0,A905,0)</ns0:f>
        <ns0:v>0</ns0:v>
      </ns0:c>
      <ns0:c r="AI905" s="12">
        <ns0:f>IF(AND(OR('前提と出典'!$C$36+'前提と出典'!$C$38=0,X905&gt;=0),OR('前提と出典'!$C$37+'前提と出典'!$C$38=0,Y905&gt;=0)),0,A905)</ns0:f>
        <ns0:v>0</ns0:v>
      </ns0:c>
    </ns0:row>
    <ns0:row r="906" ht="24" customHeight="1">
      <ns0:c r="A906" s="4" t="n">
        <ns0:v>902</ns0:v>
      </ns0:c>
      <ns0:c r="B906" s="12">
        <ns0:f>A906*('前提と出典'!$C$36+'前提と出典'!$C$38)</ns0:f>
        <ns0:v>631.4</ns0:v>
      </ns0:c>
      <ns0:c r="C906" s="12">
        <ns0:f>A906*('前提と出典'!$C$37+'前提と出典'!$C$38)</ns0:f>
        <ns0:v>541.1999999999999</ns0:v>
      </ns0:c>
      <ns0:c r="D906" s="16">
        <ns0:f>A906*('前提と出典'!$C$36*'契約別単価'!C5+'前提と出典'!$C$37*'契約別単価'!C6+'前提と出典'!$C$38*'契約別単価'!C7)</ns0:f>
        <ns0:v>6490.368715083799</ns0:v>
      </ns0:c>
      <ns0:c r="E906" s="16">
        <ns0:f>A906*('前提と出典'!$C$36*'契約別単価'!E5+'前提と出典'!$C$37*'契約別単価'!E6+'前提と出典'!$C$38*'契約別単価'!E7)</ns0:f>
        <ns0:v>1745320.080372594</ns0:v>
      </ns0:c>
      <ns0:c r="F906" s="16">
        <ns0:f>A906*('前提と出典'!$C$36*'契約別単価'!F5+'前提と出典'!$C$37*'契約別単価'!F6+'前提と出典'!$C$38*'契約別単価'!F7)</ns0:f>
        <ns0:v>684974.722693013</ns0:v>
      </ns0:c>
      <ns0:c r="G906" s="16">
        <ns0:f>A906*('前提と出典'!$C$36*'契約別単価'!G5+'前提と出典'!$C$37*'契約別単価'!G6+'前提と出典'!$C$38*'契約別単価'!G7)</ns0:f>
        <ns0:v>1795433.5195530725</ns0:v>
      </ns0:c>
      <ns0:c r="H906" s="16">
        <ns0:f>A906*('前提と出典'!$C$36*'契約別単価'!H5+'前提と出典'!$C$37*'契約別単価'!H6+'前提と出典'!$C$38*'契約別単価'!H7)</ns0:f>
        <ns0:v>623105.4793520675</ns0:v>
      </ns0:c>
      <ns0:c r="I906" s="16">
        <ns0:f>A906*('前提と出典'!$C$36*'契約別単価'!I5+'前提と出典'!$C$37*'契約別単価'!I6+'前提と出典'!$C$38*'契約別単価'!I7)</ns0:f>
        <ns0:v>38060.368715083794</ns0:v>
      </ns0:c>
      <ns0:c r="J906" s="16">
        <ns0:f>A906*('前提と出典'!$C$36*'契約別単価'!J5+'前提と出典'!$C$37*'契約別単価'!J6+'前提と出典'!$C$38*'契約別単価'!J7)</ns0:f>
        <ns0:v>88657.16842669292</ns0:v>
      </ns0:c>
      <ns0:c r="K906" s="16">
        <ns0:f>A906*('前提と出典'!$C$36*'契約別単価'!K5+'前提と出典'!$C$37*'契約別単価'!K6+'前提と出典'!$C$38*'契約別単価'!K7)</ns0:f>
        <ns0:v>380015.791433892</ns0:v>
      </ns0:c>
      <ns0:c r="L906" s="16">
        <ns0:f>A906*('前提と出典'!$C$36*'契約別単価'!L5+'前提と出典'!$C$37*'契約別単価'!L6+'前提と出典'!$C$38*'契約別単価'!L7)</ns0:f>
        <ns0:v>309410.1826450689</ns0:v>
      </ns0:c>
      <ns0:c r="M906" s="16">
        <ns0:f>IF(('前提と出典'!$C$36+'前提と出典'!$C$38)=0,0,IF(B906&lt;=10,'前提と出典'!B73+'前提と出典'!C73,IF(B906&lt;=100,'前提と出典'!B74+'前提と出典'!C74,IF(B906&lt;=500,'前提と出典'!B75+'前提と出典'!C75,'前提と出典'!B76+'前提と出典'!C76))))</ns0:f>
        <ns0:v>80000</ns0:v>
      </ns0:c>
      <ns0:c r="N906" s="16">
        <ns0:f>IF(('前提と出典'!$C$37+'前提と出典'!$C$38)=0,0,IF(C906&lt;=10,'前提と出典'!D73+'前提と出典'!E73,IF(C906&lt;=100,'前提と出典'!D74+'前提と出典'!E74,IF(C906&lt;=500,'前提と出典'!D75+'前提と出典'!E75,'前提と出典'!D76+'前提と出典'!E76))))</ns0:f>
        <ns0:v>86510.9346263078</ns0:v>
      </ns0:c>
      <ns0:c r="O906" s="16">
        <ns0:f>IF('前提と出典'!$C$36+'前提と出典'!$C$38=0,0,'前提と出典'!$B$4*IF('前提と出典'!$B$20=0,MAX('前提と出典'!$B$6,D906*'前提と出典'!$B$5),'前提と出典'!$B$6+D906*'前提と出典'!$B$5))</ns0:f>
        <ns0:v>895670.8826815642</ns0:v>
      </ns0:c>
      <ns0:c r="P906" s="16">
        <ns0:f>(E906+G906)*(1-'前提と出典'!$B$7)-I906-K906-M906-O906</ns0:f>
        <ns0:v>2019539.4274978028</ns0:v>
      </ns0:c>
      <ns0:c r="Q906" s="16">
        <ns0:f>(F906+H906)*(1-'前提と出典'!$B$7)-J906-L906-N906</ns0:f>
        <ns0:v>776411.0290733879</ns0:v>
      </ns0:c>
      <ns0:c r="R906" s="16">
        <ns0:f>P906-E906*'前提と出典'!$E$4</ns0:f>
        <ns0:v>1495943.403386025</ns0:v>
      </ns0:c>
      <ns0:c r="S906" s="16">
        <ns0:f>Q906-F906*'前提と出典'!$E$4</ns0:f>
        <ns0:v>570918.612265484</ns0:v>
      </ns0:c>
      <ns0:c r="T906" s="7">
        <ns0:f>R906+S906</ns0:f>
        <ns0:v>2066862.015651509</ns0:v>
      </ns0:c>
      <ns0:c r="U906" s="16">
        <ns0:f>P906-E906*'前提と出典'!$E$5</ns0:f>
        <ns0:v>1321411.3953487652</ns0:v>
      </ns0:c>
      <ns0:c r="V906" s="16">
        <ns0:f>Q906-F906*'前提と出典'!$E$5</ns0:f>
        <ns0:v>502421.13999618264</ns0:v>
      </ns0:c>
      <ns0:c r="W906" s="7">
        <ns0:f>U906+V906</ns0:f>
        <ns0:v>1823832.5353449478</ns0:v>
      </ns0:c>
      <ns0:c r="X906" s="16">
        <ns0:f>P906-E906*'前提と出典'!$E$6</ns0:f>
        <ns0:v>1146879.3873115054</ns0:v>
      </ns0:c>
      <ns0:c r="Y906" s="16">
        <ns0:f>Q906-F906*'前提と出典'!$E$6</ns0:f>
        <ns0:v>433923.6677268814</ns0:v>
      </ns0:c>
      <ns0:c r="Z906" s="7">
        <ns0:f>X906+Y906</ns0:f>
        <ns0:v>1580803.0550383867</ns0:v>
      </ns0:c>
      <ns0:c r="AA906" s="7">
        <ns0:f>IF(T906&gt;=0,A906,1001)</ns0:f>
        <ns0:v>902</ns0:v>
      </ns0:c>
      <ns0:c r="AB906" s="7">
        <ns0:f>IF(T906&lt;0,A906,0)</ns0:f>
        <ns0:v>0</ns0:v>
      </ns0:c>
      <ns0:c r="AC906" s="16">
        <ns0:f>IF(AND(OR('前提と出典'!$C$36+'前提と出典'!$C$38=0,R906&gt;=0),OR('前提と出典'!$C$37+'前提と出典'!$C$38=0,S906&gt;=0)),0,A906)</ns0:f>
        <ns0:v>0</ns0:v>
      </ns0:c>
      <ns0:c r="AD906" s="7">
        <ns0:f>IF(W906&gt;=0,A906,1001)</ns0:f>
        <ns0:v>902</ns0:v>
      </ns0:c>
      <ns0:c r="AE906" s="7">
        <ns0:f>IF(W906&lt;0,A906,0)</ns0:f>
        <ns0:v>0</ns0:v>
      </ns0:c>
      <ns0:c r="AF906" s="16">
        <ns0:f>IF(AND(OR('前提と出典'!$C$36+'前提と出典'!$C$38=0,U906&gt;=0),OR('前提と出典'!$C$37+'前提と出典'!$C$38=0,V906&gt;=0)),0,A906)</ns0:f>
        <ns0:v>0</ns0:v>
      </ns0:c>
      <ns0:c r="AG906" s="7">
        <ns0:f>IF(Z906&gt;=0,A906,1001)</ns0:f>
        <ns0:v>902</ns0:v>
      </ns0:c>
      <ns0:c r="AH906" s="4">
        <ns0:f>IF(Z906&lt;0,A906,0)</ns0:f>
        <ns0:v>0</ns0:v>
      </ns0:c>
      <ns0:c r="AI906" s="12">
        <ns0:f>IF(AND(OR('前提と出典'!$C$36+'前提と出典'!$C$38=0,X906&gt;=0),OR('前提と出典'!$C$37+'前提と出典'!$C$38=0,Y906&gt;=0)),0,A906)</ns0:f>
        <ns0:v>0</ns0:v>
      </ns0:c>
    </ns0:row>
    <ns0:row r="907" ht="24" customHeight="1">
      <ns0:c r="A907" s="4" t="n">
        <ns0:v>903</ns0:v>
      </ns0:c>
      <ns0:c r="B907" s="12">
        <ns0:f>A907*('前提と出典'!$C$36+'前提と出典'!$C$38)</ns0:f>
        <ns0:v>632.0999999999999</ns0:v>
      </ns0:c>
      <ns0:c r="C907" s="12">
        <ns0:f>A907*('前提と出典'!$C$37+'前提と出典'!$C$38)</ns0:f>
        <ns0:v>541.8</ns0:v>
      </ns0:c>
      <ns0:c r="D907" s="16">
        <ns0:f>A907*('前提と出典'!$C$36*'契約別単価'!C5+'前提と出典'!$C$37*'契約別単価'!C6+'前提と出典'!$C$38*'契約別単価'!C7)</ns0:f>
        <ns0:v>6497.564245810056</ns0:v>
      </ns0:c>
      <ns0:c r="E907" s="16">
        <ns0:f>A907*('前提と出典'!$C$36*'契約別単価'!E5+'前提と出典'!$C$37*'契約別単価'!E6+'前提と出典'!$C$38*'契約別単価'!E7)</ns0:f>
        <ns0:v>1747255.0250293266</ns0:v>
      </ns0:c>
      <ns0:c r="F907" s="16">
        <ns0:f>A907*('前提と出典'!$C$36*'契約別単価'!F5+'前提と出典'!$C$37*'契約別単価'!F6+'前提と出典'!$C$38*'契約別単価'!F7)</ns0:f>
        <ns0:v>685734.118172717</ns0:v>
      </ns0:c>
      <ns0:c r="G907" s="16">
        <ns0:f>A907*('前提と出典'!$C$36*'契約別単価'!G5+'前提と出典'!$C$37*'契約別単価'!G6+'前提と出典'!$C$38*'契約別単価'!G7)</ns0:f>
        <ns0:v>1797424.0223463685</ns0:v>
      </ns0:c>
      <ns0:c r="H907" s="16">
        <ns0:f>A907*('前提と出典'!$C$36*'契約別単価'!H5+'前提と出典'!$C$37*'契約別単価'!H6+'前提と出典'!$C$38*'契約別単価'!H7)</ns0:f>
        <ns0:v>623796.2836529013</ns0:v>
      </ns0:c>
      <ns0:c r="I907" s="16">
        <ns0:f>A907*('前提と出典'!$C$36*'契約別単価'!I5+'前提と出典'!$C$37*'契約別単価'!I6+'前提と出典'!$C$38*'契約別単価'!I7)</ns0:f>
        <ns0:v>38102.56424581005</ns0:v>
      </ns0:c>
      <ns0:c r="J907" s="16">
        <ns0:f>A907*('前提と出典'!$C$36*'契約別単価'!J5+'前提と出典'!$C$37*'契約別単価'!J6+'前提と出典'!$C$38*'契約別単価'!J7)</ns0:f>
        <ns0:v>88755.45797040322</ns0:v>
      </ns0:c>
      <ns0:c r="K907" s="16">
        <ns0:f>A907*('前提と出典'!$C$36*'契約別単価'!K5+'前提と出典'!$C$37*'契約別単価'!K6+'前提と出典'!$C$38*'契約別単価'!K7)</ns0:f>
        <ns0:v>380437.094972067</ns0:v>
      </ns0:c>
      <ns0:c r="L907" s="16">
        <ns0:f>A907*('前提と出典'!$C$36*'契約別単価'!L5+'前提と出典'!$C$37*'契約別単価'!L6+'前提と出典'!$C$38*'契約別単価'!L7)</ns0:f>
        <ns0:v>309753.2094550967</ns0:v>
      </ns0:c>
      <ns0:c r="M907" s="16">
        <ns0:f>IF(('前提と出典'!$C$36+'前提と出典'!$C$38)=0,0,IF(B907&lt;=10,'前提と出典'!B73+'前提と出典'!C73,IF(B907&lt;=100,'前提と出典'!B74+'前提と出典'!C74,IF(B907&lt;=500,'前提と出典'!B75+'前提と出典'!C75,'前提と出典'!B76+'前提と出典'!C76))))</ns0:f>
        <ns0:v>80000</ns0:v>
      </ns0:c>
      <ns0:c r="N907" s="16">
        <ns0:f>IF(('前提と出典'!$C$37+'前提と出典'!$C$38)=0,0,IF(C907&lt;=10,'前提と出典'!D73+'前提と出典'!E73,IF(C907&lt;=100,'前提と出典'!D74+'前提と出典'!E74,IF(C907&lt;=500,'前提と出典'!D75+'前提と出典'!E75,'前提と出典'!D76+'前提と出典'!E76))))</ns0:f>
        <ns0:v>86510.9346263078</ns0:v>
      </ns0:c>
      <ns0:c r="O907" s="16">
        <ns0:f>IF('前提と出典'!$C$36+'前提と出典'!$C$38=0,0,'前提と出典'!$B$4*IF('前提と出典'!$B$20=0,MAX('前提と出典'!$B$6,D907*'前提と出典'!$B$5),'前提と出典'!$B$6+D907*'前提と出典'!$B$5))</ns0:f>
        <ns0:v>896663.8659217877</ns0:v>
      </ns0:c>
      <ns0:c r="P907" s="16">
        <ns0:f>(E907+G907)*(1-'前提と出典'!$B$7)-I907-K907-M907-O907</ns0:f>
        <ns0:v>2021867.0765305047</ns0:v>
      </ns0:c>
      <ns0:c r="Q907" s="16">
        <ns0:f>(F907+H907)*(1-'前提と出典'!$B$7)-J907-L907-N907</ns0:f>
        <ns0:v>777367.7053080886</ns0:v>
      </ns0:c>
      <ns0:c r="R907" s="16">
        <ns0:f>P907-E907*'前提と出典'!$E$4</ns0:f>
        <ns0:v>1497690.5690217067</ns0:v>
      </ns0:c>
      <ns0:c r="S907" s="16">
        <ns0:f>Q907-F907*'前提と出典'!$E$4</ns0:f>
        <ns0:v>571647.4698562732</ns0:v>
      </ns0:c>
      <ns0:c r="T907" s="7">
        <ns0:f>R907+S907</ns0:f>
        <ns0:v>2069338.0388779799</ns0:v>
      </ns0:c>
      <ns0:c r="U907" s="16">
        <ns0:f>P907-E907*'前提と出典'!$E$5</ns0:f>
        <ns0:v>1322965.066518774</ns0:v>
      </ns0:c>
      <ns0:c r="V907" s="16">
        <ns0:f>Q907-F907*'前提と出典'!$E$5</ns0:f>
        <ns0:v>503074.05803900165</ns0:v>
      </ns0:c>
      <ns0:c r="W907" s="7">
        <ns0:f>U907+V907</ns0:f>
        <ns0:v>1826039.1245577757</ns0:v>
      </ns0:c>
      <ns0:c r="X907" s="16">
        <ns0:f>P907-E907*'前提と出典'!$E$6</ns0:f>
        <ns0:v>1148239.5640158413</ns0:v>
      </ns0:c>
      <ns0:c r="Y907" s="16">
        <ns0:f>Q907-F907*'前提と出典'!$E$6</ns0:f>
        <ns0:v>434500.64622173</ns0:v>
      </ns0:c>
      <ns0:c r="Z907" s="7">
        <ns0:f>X907+Y907</ns0:f>
        <ns0:v>1582740.2102375713</ns0:v>
      </ns0:c>
      <ns0:c r="AA907" s="7">
        <ns0:f>IF(T907&gt;=0,A907,1001)</ns0:f>
        <ns0:v>903</ns0:v>
      </ns0:c>
      <ns0:c r="AB907" s="7">
        <ns0:f>IF(T907&lt;0,A907,0)</ns0:f>
        <ns0:v>0</ns0:v>
      </ns0:c>
      <ns0:c r="AC907" s="16">
        <ns0:f>IF(AND(OR('前提と出典'!$C$36+'前提と出典'!$C$38=0,R907&gt;=0),OR('前提と出典'!$C$37+'前提と出典'!$C$38=0,S907&gt;=0)),0,A907)</ns0:f>
        <ns0:v>0</ns0:v>
      </ns0:c>
      <ns0:c r="AD907" s="7">
        <ns0:f>IF(W907&gt;=0,A907,1001)</ns0:f>
        <ns0:v>903</ns0:v>
      </ns0:c>
      <ns0:c r="AE907" s="7">
        <ns0:f>IF(W907&lt;0,A907,0)</ns0:f>
        <ns0:v>0</ns0:v>
      </ns0:c>
      <ns0:c r="AF907" s="16">
        <ns0:f>IF(AND(OR('前提と出典'!$C$36+'前提と出典'!$C$38=0,U907&gt;=0),OR('前提と出典'!$C$37+'前提と出典'!$C$38=0,V907&gt;=0)),0,A907)</ns0:f>
        <ns0:v>0</ns0:v>
      </ns0:c>
      <ns0:c r="AG907" s="7">
        <ns0:f>IF(Z907&gt;=0,A907,1001)</ns0:f>
        <ns0:v>903</ns0:v>
      </ns0:c>
      <ns0:c r="AH907" s="4">
        <ns0:f>IF(Z907&lt;0,A907,0)</ns0:f>
        <ns0:v>0</ns0:v>
      </ns0:c>
      <ns0:c r="AI907" s="12">
        <ns0:f>IF(AND(OR('前提と出典'!$C$36+'前提と出典'!$C$38=0,X907&gt;=0),OR('前提と出典'!$C$37+'前提と出典'!$C$38=0,Y907&gt;=0)),0,A907)</ns0:f>
        <ns0:v>0</ns0:v>
      </ns0:c>
    </ns0:row>
    <ns0:row r="908" ht="24" customHeight="1">
      <ns0:c r="A908" s="4" t="n">
        <ns0:v>904</ns0:v>
      </ns0:c>
      <ns0:c r="B908" s="12">
        <ns0:f>A908*('前提と出典'!$C$36+'前提と出典'!$C$38)</ns0:f>
        <ns0:v>632.8</ns0:v>
      </ns0:c>
      <ns0:c r="C908" s="12">
        <ns0:f>A908*('前提と出典'!$C$37+'前提と出典'!$C$38)</ns0:f>
        <ns0:v>542.4</ns0:v>
      </ns0:c>
      <ns0:c r="D908" s="16">
        <ns0:f>A908*('前提と出典'!$C$36*'契約別単価'!C5+'前提と出典'!$C$37*'契約別単価'!C6+'前提と出典'!$C$38*'契約別単価'!C7)</ns0:f>
        <ns0:v>6504.7597765363125</ns0:v>
      </ns0:c>
      <ns0:c r="E908" s="16">
        <ns0:f>A908*('前提と出典'!$C$36*'契約別単価'!E5+'前提と出典'!$C$37*'契約別単価'!E6+'前提と出典'!$C$38*'契約別単価'!E7)</ns0:f>
        <ns0:v>1749189.9696860588</ns0:v>
      </ns0:c>
      <ns0:c r="F908" s="16">
        <ns0:f>A908*('前提と出典'!$C$36*'契約別単価'!F5+'前提と出典'!$C$37*'契約別単価'!F6+'前提と出典'!$C$38*'契約別単価'!F7)</ns0:f>
        <ns0:v>686493.513652421</ns0:v>
      </ns0:c>
      <ns0:c r="G908" s="16">
        <ns0:f>A908*('前提と出典'!$C$36*'契約別単価'!G5+'前提と出典'!$C$37*'契約別単価'!G6+'前提と出典'!$C$38*'契約別単価'!G7)</ns0:f>
        <ns0:v>1799414.5251396648</ns0:v>
      </ns0:c>
      <ns0:c r="H908" s="16">
        <ns0:f>A908*('前提と出典'!$C$36*'契約別単価'!H5+'前提と出典'!$C$37*'契約別単価'!H6+'前提と出典'!$C$38*'契約別単価'!H7)</ns0:f>
        <ns0:v>624487.087953735</ns0:v>
      </ns0:c>
      <ns0:c r="I908" s="16">
        <ns0:f>A908*('前提と出典'!$C$36*'契約別単価'!I5+'前提と出典'!$C$37*'契約別単価'!I6+'前提と出典'!$C$38*'契約別単価'!I7)</ns0:f>
        <ns0:v>38144.75977653631</ns0:v>
      </ns0:c>
      <ns0:c r="J908" s="16">
        <ns0:f>A908*('前提と出典'!$C$36*'契約別単価'!J5+'前提と出典'!$C$37*'契約別単価'!J6+'前提と出典'!$C$38*'契約別単価'!J7)</ns0:f>
        <ns0:v>88853.74751411352</ns0:v>
      </ns0:c>
      <ns0:c r="K908" s="16">
        <ns0:f>A908*('前提と出典'!$C$36*'契約別単価'!K5+'前提と出典'!$C$37*'契約別単価'!K6+'前提と出典'!$C$38*'契約別単価'!K7)</ns0:f>
        <ns0:v>380858.39851024206</ns0:v>
      </ns0:c>
      <ns0:c r="L908" s="16">
        <ns0:f>A908*('前提と出典'!$C$36*'契約別単価'!L5+'前提と出典'!$C$37*'契約別単価'!L6+'前提と出典'!$C$38*'契約別単価'!L7)</ns0:f>
        <ns0:v>310096.23626512446</ns0:v>
      </ns0:c>
      <ns0:c r="M908" s="16">
        <ns0:f>IF(('前提と出典'!$C$36+'前提と出典'!$C$38)=0,0,IF(B908&lt;=10,'前提と出典'!B73+'前提と出典'!C73,IF(B908&lt;=100,'前提と出典'!B74+'前提と出典'!C74,IF(B908&lt;=500,'前提と出典'!B75+'前提と出典'!C75,'前提と出典'!B76+'前提と出典'!C76))))</ns0:f>
        <ns0:v>80000</ns0:v>
      </ns0:c>
      <ns0:c r="N908" s="16">
        <ns0:f>IF(('前提と出典'!$C$37+'前提と出典'!$C$38)=0,0,IF(C908&lt;=10,'前提と出典'!D73+'前提と出典'!E73,IF(C908&lt;=100,'前提と出典'!D74+'前提と出典'!E74,IF(C908&lt;=500,'前提と出典'!D75+'前提と出典'!E75,'前提と出典'!D76+'前提と出典'!E76))))</ns0:f>
        <ns0:v>86510.9346263078</ns0:v>
      </ns0:c>
      <ns0:c r="O908" s="16">
        <ns0:f>IF('前提と出典'!$C$36+'前提と出典'!$C$38=0,0,'前提と出典'!$B$4*IF('前提と出典'!$B$20=0,MAX('前提と出典'!$B$6,D908*'前提と出典'!$B$5),'前提と出典'!$B$6+D908*'前提と出典'!$B$5))</ns0:f>
        <ns0:v>897656.8491620112</ns0:v>
      </ns0:c>
      <ns0:c r="P908" s="16">
        <ns0:f>(E908+G908)*(1-'前提と出典'!$B$7)-I908-K908-M908-O908</ns0:f>
        <ns0:v>2024194.7255632083</ns0:v>
      </ns0:c>
      <ns0:c r="Q908" s="16">
        <ns0:f>(F908+H908)*(1-'前提と出典'!$B$7)-J908-L908-N908</ns0:f>
        <ns0:v>778324.3815427886</ns0:v>
      </ns0:c>
      <ns0:c r="R908" s="16">
        <ns0:f>P908-E908*'前提と出典'!$E$4</ns0:f>
        <ns0:v>1499437.7346573903</ns0:v>
      </ns0:c>
      <ns0:c r="S908" s="16">
        <ns0:f>Q908-F908*'前提と出典'!$E$4</ns0:f>
        <ns0:v>572376.3274470624</ns0:v>
      </ns0:c>
      <ns0:c r="T908" s="7">
        <ns0:f>R908+S908</ns0:f>
        <ns0:v>2071814.0621044526</ns0:v>
      </ns0:c>
      <ns0:c r="U908" s="16">
        <ns0:f>P908-E908*'前提と出典'!$E$5</ns0:f>
        <ns0:v>1324518.7376887847</ns0:v>
      </ns0:c>
      <ns0:c r="V908" s="16">
        <ns0:f>Q908-F908*'前提と出典'!$E$5</ns0:f>
        <ns0:v>503726.9760818202</ns0:v>
      </ns0:c>
      <ns0:c r="W908" s="7">
        <ns0:f>U908+V908</ns0:f>
        <ns0:v>1828245.713770605</ns0:v>
      </ns0:c>
      <ns0:c r="X908" s="16">
        <ns0:f>P908-E908*'前提と出典'!$E$6</ns0:f>
        <ns0:v>1149599.7407201782</ns0:v>
      </ns0:c>
      <ns0:c r="Y908" s="16">
        <ns0:f>Q908-F908*'前提と出典'!$E$6</ns0:f>
        <ns0:v>435077.624716578</ns0:v>
      </ns0:c>
      <ns0:c r="Z908" s="7">
        <ns0:f>X908+Y908</ns0:f>
        <ns0:v>1584677.3654367563</ns0:v>
      </ns0:c>
      <ns0:c r="AA908" s="7">
        <ns0:f>IF(T908&gt;=0,A908,1001)</ns0:f>
        <ns0:v>904</ns0:v>
      </ns0:c>
      <ns0:c r="AB908" s="7">
        <ns0:f>IF(T908&lt;0,A908,0)</ns0:f>
        <ns0:v>0</ns0:v>
      </ns0:c>
      <ns0:c r="AC908" s="16">
        <ns0:f>IF(AND(OR('前提と出典'!$C$36+'前提と出典'!$C$38=0,R908&gt;=0),OR('前提と出典'!$C$37+'前提と出典'!$C$38=0,S908&gt;=0)),0,A908)</ns0:f>
        <ns0:v>0</ns0:v>
      </ns0:c>
      <ns0:c r="AD908" s="7">
        <ns0:f>IF(W908&gt;=0,A908,1001)</ns0:f>
        <ns0:v>904</ns0:v>
      </ns0:c>
      <ns0:c r="AE908" s="7">
        <ns0:f>IF(W908&lt;0,A908,0)</ns0:f>
        <ns0:v>0</ns0:v>
      </ns0:c>
      <ns0:c r="AF908" s="16">
        <ns0:f>IF(AND(OR('前提と出典'!$C$36+'前提と出典'!$C$38=0,U908&gt;=0),OR('前提と出典'!$C$37+'前提と出典'!$C$38=0,V908&gt;=0)),0,A908)</ns0:f>
        <ns0:v>0</ns0:v>
      </ns0:c>
      <ns0:c r="AG908" s="7">
        <ns0:f>IF(Z908&gt;=0,A908,1001)</ns0:f>
        <ns0:v>904</ns0:v>
      </ns0:c>
      <ns0:c r="AH908" s="4">
        <ns0:f>IF(Z908&lt;0,A908,0)</ns0:f>
        <ns0:v>0</ns0:v>
      </ns0:c>
      <ns0:c r="AI908" s="12">
        <ns0:f>IF(AND(OR('前提と出典'!$C$36+'前提と出典'!$C$38=0,X908&gt;=0),OR('前提と出典'!$C$37+'前提と出典'!$C$38=0,Y908&gt;=0)),0,A908)</ns0:f>
        <ns0:v>0</ns0:v>
      </ns0:c>
    </ns0:row>
    <ns0:row r="909" ht="24" customHeight="1">
      <ns0:c r="A909" s="4" t="n">
        <ns0:v>905</ns0:v>
      </ns0:c>
      <ns0:c r="B909" s="12">
        <ns0:f>A909*('前提と出典'!$C$36+'前提と出典'!$C$38)</ns0:f>
        <ns0:v>633.5</ns0:v>
      </ns0:c>
      <ns0:c r="C909" s="12">
        <ns0:f>A909*('前提と出典'!$C$37+'前提と出典'!$C$38)</ns0:f>
        <ns0:v>543</ns0:v>
      </ns0:c>
      <ns0:c r="D909" s="16">
        <ns0:f>A909*('前提と出典'!$C$36*'契約別単価'!C5+'前提と出典'!$C$37*'契約別単価'!C6+'前提と出典'!$C$38*'契約別単価'!C7)</ns0:f>
        <ns0:v>6511.9553072625695</ns0:v>
      </ns0:c>
      <ns0:c r="E909" s="16">
        <ns0:f>A909*('前提と出典'!$C$36*'契約別単価'!E5+'前提と出典'!$C$37*'契約別単価'!E6+'前提と出典'!$C$38*'契約別単価'!E7)</ns0:f>
        <ns0:v>1751124.914342791</ns0:v>
      </ns0:c>
      <ns0:c r="F909" s="16">
        <ns0:f>A909*('前提と出典'!$C$36*'契約別単価'!F5+'前提と出典'!$C$37*'契約別単価'!F6+'前提と出典'!$C$38*'契約別単価'!F7)</ns0:f>
        <ns0:v>687252.909132125</ns0:v>
      </ns0:c>
      <ns0:c r="G909" s="16">
        <ns0:f>A909*('前提と出典'!$C$36*'契約別単価'!G5+'前提と出典'!$C$37*'契約別単価'!G6+'前提と出典'!$C$38*'契約別単価'!G7)</ns0:f>
        <ns0:v>1801405.0279329608</ns0:v>
      </ns0:c>
      <ns0:c r="H909" s="16">
        <ns0:f>A909*('前提と出典'!$C$36*'契約別単価'!H5+'前提と出典'!$C$37*'契約別単価'!H6+'前提と出典'!$C$38*'契約別単価'!H7)</ns0:f>
        <ns0:v>625177.8922545688</ns0:v>
      </ns0:c>
      <ns0:c r="I909" s="16">
        <ns0:f>A909*('前提と出典'!$C$36*'契約別単価'!I5+'前提と出典'!$C$37*'契約別単価'!I6+'前提と出典'!$C$38*'契約別単価'!I7)</ns0:f>
        <ns0:v>38186.955307262564</ns0:v>
      </ns0:c>
      <ns0:c r="J909" s="16">
        <ns0:f>A909*('前提と出典'!$C$36*'契約別単価'!J5+'前提と出典'!$C$37*'契約別単価'!J6+'前提と出典'!$C$38*'契約別単価'!J7)</ns0:f>
        <ns0:v>88952.03705782382</ns0:v>
      </ns0:c>
      <ns0:c r="K909" s="16">
        <ns0:f>A909*('前提と出典'!$C$36*'契約別単価'!K5+'前提と出典'!$C$37*'契約別単価'!K6+'前提と出典'!$C$38*'契約別単価'!K7)</ns0:f>
        <ns0:v>381279.7020484171</ns0:v>
      </ns0:c>
      <ns0:c r="L909" s="16">
        <ns0:f>A909*('前提と出典'!$C$36*'契約別単価'!L5+'前提と出典'!$C$37*'契約別単価'!L6+'前提と出典'!$C$38*'契約別単価'!L7)</ns0:f>
        <ns0:v>310439.2630751523</ns0:v>
      </ns0:c>
      <ns0:c r="M909" s="16">
        <ns0:f>IF(('前提と出典'!$C$36+'前提と出典'!$C$38)=0,0,IF(B909&lt;=10,'前提と出典'!B73+'前提と出典'!C73,IF(B909&lt;=100,'前提と出典'!B74+'前提と出典'!C74,IF(B909&lt;=500,'前提と出典'!B75+'前提と出典'!C75,'前提と出典'!B76+'前提と出典'!C76))))</ns0:f>
        <ns0:v>80000</ns0:v>
      </ns0:c>
      <ns0:c r="N909" s="16">
        <ns0:f>IF(('前提と出典'!$C$37+'前提と出典'!$C$38)=0,0,IF(C909&lt;=10,'前提と出典'!D73+'前提と出典'!E73,IF(C909&lt;=100,'前提と出典'!D74+'前提と出典'!E74,IF(C909&lt;=500,'前提と出典'!D75+'前提と出典'!E75,'前提と出典'!D76+'前提と出典'!E76))))</ns0:f>
        <ns0:v>86510.9346263078</ns0:v>
      </ns0:c>
      <ns0:c r="O909" s="16">
        <ns0:f>IF('前提と出典'!$C$36+'前提と出典'!$C$38=0,0,'前提と出典'!$B$4*IF('前提と出典'!$B$20=0,MAX('前提と出典'!$B$6,D909*'前提と出典'!$B$5),'前提と出典'!$B$6+D909*'前提と出典'!$B$5))</ns0:f>
        <ns0:v>898649.8324022347</ns0:v>
      </ns0:c>
      <ns0:c r="P909" s="16">
        <ns0:f>(E909+G909)*(1-'前提と出典'!$B$7)-I909-K909-M909-O909</ns0:f>
        <ns0:v>2026522.3745959105</ns0:v>
      </ns0:c>
      <ns0:c r="Q909" s="16">
        <ns0:f>(F909+H909)*(1-'前提と出典'!$B$7)-J909-L909-N909</ns0:f>
        <ns0:v>779281.0577774888</ns0:v>
      </ns0:c>
      <ns0:c r="R909" s="16">
        <ns0:f>P909-E909*'前提と出典'!$E$4</ns0:f>
        <ns0:v>1501184.9002930734</ns0:v>
      </ns0:c>
      <ns0:c r="S909" s="16">
        <ns0:f>Q909-F909*'前提と出典'!$E$4</ns0:f>
        <ns0:v>573105.1850378513</ns0:v>
      </ns0:c>
      <ns0:c r="T909" s="7">
        <ns0:f>R909+S909</ns0:f>
        <ns0:v>2074290.0853309247</ns0:v>
      </ns0:c>
      <ns0:c r="U909" s="16">
        <ns0:f>P909-E909*'前提と出典'!$E$5</ns0:f>
        <ns0:v>1326072.408858794</ns0:v>
      </ns0:c>
      <ns0:c r="V909" s="16">
        <ns0:f>Q909-F909*'前提と出典'!$E$5</ns0:f>
        <ns0:v>504379.89412463875</ns0:v>
      </ns0:c>
      <ns0:c r="W909" s="7">
        <ns0:f>U909+V909</ns0:f>
        <ns0:v>1830452.3029834328</ns0:v>
      </ns0:c>
      <ns0:c r="X909" s="16">
        <ns0:f>P909-E909*'前提と出典'!$E$6</ns0:f>
        <ns0:v>1150959.9174245151</ns0:v>
      </ns0:c>
      <ns0:c r="Y909" s="16">
        <ns0:f>Q909-F909*'前提と出典'!$E$6</ns0:f>
        <ns0:v>435654.6032114264</ns0:v>
      </ns0:c>
      <ns0:c r="Z909" s="7">
        <ns0:f>X909+Y909</ns0:f>
        <ns0:v>1586614.5206359415</ns0:v>
      </ns0:c>
      <ns0:c r="AA909" s="7">
        <ns0:f>IF(T909&gt;=0,A909,1001)</ns0:f>
        <ns0:v>905</ns0:v>
      </ns0:c>
      <ns0:c r="AB909" s="7">
        <ns0:f>IF(T909&lt;0,A909,0)</ns0:f>
        <ns0:v>0</ns0:v>
      </ns0:c>
      <ns0:c r="AC909" s="16">
        <ns0:f>IF(AND(OR('前提と出典'!$C$36+'前提と出典'!$C$38=0,R909&gt;=0),OR('前提と出典'!$C$37+'前提と出典'!$C$38=0,S909&gt;=0)),0,A909)</ns0:f>
        <ns0:v>0</ns0:v>
      </ns0:c>
      <ns0:c r="AD909" s="7">
        <ns0:f>IF(W909&gt;=0,A909,1001)</ns0:f>
        <ns0:v>905</ns0:v>
      </ns0:c>
      <ns0:c r="AE909" s="7">
        <ns0:f>IF(W909&lt;0,A909,0)</ns0:f>
        <ns0:v>0</ns0:v>
      </ns0:c>
      <ns0:c r="AF909" s="16">
        <ns0:f>IF(AND(OR('前提と出典'!$C$36+'前提と出典'!$C$38=0,U909&gt;=0),OR('前提と出典'!$C$37+'前提と出典'!$C$38=0,V909&gt;=0)),0,A909)</ns0:f>
        <ns0:v>0</ns0:v>
      </ns0:c>
      <ns0:c r="AG909" s="7">
        <ns0:f>IF(Z909&gt;=0,A909,1001)</ns0:f>
        <ns0:v>905</ns0:v>
      </ns0:c>
      <ns0:c r="AH909" s="4">
        <ns0:f>IF(Z909&lt;0,A909,0)</ns0:f>
        <ns0:v>0</ns0:v>
      </ns0:c>
      <ns0:c r="AI909" s="12">
        <ns0:f>IF(AND(OR('前提と出典'!$C$36+'前提と出典'!$C$38=0,X909&gt;=0),OR('前提と出典'!$C$37+'前提と出典'!$C$38=0,Y909&gt;=0)),0,A909)</ns0:f>
        <ns0:v>0</ns0:v>
      </ns0:c>
    </ns0:row>
    <ns0:row r="910" ht="24" customHeight="1">
      <ns0:c r="A910" s="4" t="n">
        <ns0:v>906</ns0:v>
      </ns0:c>
      <ns0:c r="B910" s="12">
        <ns0:f>A910*('前提と出典'!$C$36+'前提と出典'!$C$38)</ns0:f>
        <ns0:v>634.1999999999999</ns0:v>
      </ns0:c>
      <ns0:c r="C910" s="12">
        <ns0:f>A910*('前提と出典'!$C$37+'前提と出典'!$C$38)</ns0:f>
        <ns0:v>543.6</ns0:v>
      </ns0:c>
      <ns0:c r="D910" s="16">
        <ns0:f>A910*('前提と出典'!$C$36*'契約別単価'!C5+'前提と出典'!$C$37*'契約別単価'!C6+'前提と出典'!$C$38*'契約別単価'!C7)</ns0:f>
        <ns0:v>6519.150837988826</ns0:v>
      </ns0:c>
      <ns0:c r="E910" s="16">
        <ns0:f>A910*('前提と出典'!$C$36*'契約別単価'!E5+'前提と出典'!$C$37*'契約別単価'!E6+'前提と出典'!$C$38*'契約別単価'!E7)</ns0:f>
        <ns0:v>1753059.8589995236</ns0:v>
      </ns0:c>
      <ns0:c r="F910" s="16">
        <ns0:f>A910*('前提と出典'!$C$36*'契約別単価'!F5+'前提と出典'!$C$37*'契約別単価'!F6+'前提と出典'!$C$38*'契約別単価'!F7)</ns0:f>
        <ns0:v>688012.304611829</ns0:v>
      </ns0:c>
      <ns0:c r="G910" s="16">
        <ns0:f>A910*('前提と出典'!$C$36*'契約別単価'!G5+'前提と出典'!$C$37*'契約別単価'!G6+'前提と出典'!$C$38*'契約別単価'!G7)</ns0:f>
        <ns0:v>1803395.530726257</ns0:v>
      </ns0:c>
      <ns0:c r="H910" s="16">
        <ns0:f>A910*('前提と出典'!$C$36*'契約別単価'!H5+'前提と出典'!$C$37*'契約別単価'!H6+'前提と出典'!$C$38*'契約別単価'!H7)</ns0:f>
        <ns0:v>625868.6965554026</ns0:v>
      </ns0:c>
      <ns0:c r="I910" s="16">
        <ns0:f>A910*('前提と出典'!$C$36*'契約別単価'!I5+'前提と出典'!$C$37*'契約別単価'!I6+'前提と出典'!$C$38*'契約別単価'!I7)</ns0:f>
        <ns0:v>38229.15083798882</ns0:v>
      </ns0:c>
      <ns0:c r="J910" s="16">
        <ns0:f>A910*('前提と出典'!$C$36*'契約別単価'!J5+'前提と出典'!$C$37*'契約別単価'!J6+'前提と出典'!$C$38*'契約別単価'!J7)</ns0:f>
        <ns0:v>89050.32660153412</ns0:v>
      </ns0:c>
      <ns0:c r="K910" s="16">
        <ns0:f>A910*('前提と出典'!$C$36*'契約別単価'!K5+'前提と出典'!$C$37*'契約別単価'!K6+'前提と出典'!$C$38*'契約別単価'!K7)</ns0:f>
        <ns0:v>381701.00558659213</ns0:v>
      </ns0:c>
      <ns0:c r="L910" s="16">
        <ns0:f>A910*('前提と出典'!$C$36*'契約別単価'!L5+'前提と出典'!$C$37*'契約別単価'!L6+'前提と出典'!$C$38*'契約別単価'!L7)</ns0:f>
        <ns0:v>310782.2898851801</ns0:v>
      </ns0:c>
      <ns0:c r="M910" s="16">
        <ns0:f>IF(('前提と出典'!$C$36+'前提と出典'!$C$38)=0,0,IF(B910&lt;=10,'前提と出典'!B73+'前提と出典'!C73,IF(B910&lt;=100,'前提と出典'!B74+'前提と出典'!C74,IF(B910&lt;=500,'前提と出典'!B75+'前提と出典'!C75,'前提と出典'!B76+'前提と出典'!C76))))</ns0:f>
        <ns0:v>80000</ns0:v>
      </ns0:c>
      <ns0:c r="N910" s="16">
        <ns0:f>IF(('前提と出典'!$C$37+'前提と出典'!$C$38)=0,0,IF(C910&lt;=10,'前提と出典'!D73+'前提と出典'!E73,IF(C910&lt;=100,'前提と出典'!D74+'前提と出典'!E74,IF(C910&lt;=500,'前提と出典'!D75+'前提と出典'!E75,'前提と出典'!D76+'前提と出典'!E76))))</ns0:f>
        <ns0:v>86510.9346263078</ns0:v>
      </ns0:c>
      <ns0:c r="O910" s="16">
        <ns0:f>IF('前提と出典'!$C$36+'前提と出典'!$C$38=0,0,'前提と出典'!$B$4*IF('前提と出典'!$B$20=0,MAX('前提と出典'!$B$6,D910*'前提と出典'!$B$5),'前提と出典'!$B$6+D910*'前提と出典'!$B$5))</ns0:f>
        <ns0:v>899642.8156424582</ns0:v>
      </ns0:c>
      <ns0:c r="P910" s="16">
        <ns0:f>(E910+G910)*(1-'前提と出典'!$B$7)-I910-K910-M910-O910</ns0:f>
        <ns0:v>2028850.0236286137</ns0:v>
      </ns0:c>
      <ns0:c r="Q910" s="16">
        <ns0:f>(F910+H910)*(1-'前提と出典'!$B$7)-J910-L910-N910</ns0:f>
        <ns0:v>780237.7340121893</ns0:v>
      </ns0:c>
      <ns0:c r="R910" s="16">
        <ns0:f>P910-E910*'前提と出典'!$E$4</ns0:f>
        <ns0:v>1502932.0659287565</ns0:v>
      </ns0:c>
      <ns0:c r="S910" s="16">
        <ns0:f>Q910-F910*'前提と出典'!$E$4</ns0:f>
        <ns0:v>573834.0426286405</ns0:v>
      </ns0:c>
      <ns0:c r="T910" s="7">
        <ns0:f>R910+S910</ns0:f>
        <ns0:v>2076766.108557397</ns0:v>
      </ns0:c>
      <ns0:c r="U910" s="16">
        <ns0:f>P910-E910*'前提と出典'!$E$5</ns0:f>
        <ns0:v>1327626.0800288043</ns0:v>
      </ns0:c>
      <ns0:c r="V910" s="16">
        <ns0:f>Q910-F910*'前提と出典'!$E$5</ns0:f>
        <ns0:v>505032.81216745777</ns0:v>
      </ns0:c>
      <ns0:c r="W910" s="7">
        <ns0:f>U910+V910</ns0:f>
        <ns0:v>1832658.892196262</ns0:v>
      </ns0:c>
      <ns0:c r="X910" s="16">
        <ns0:f>P910-E910*'前提と出典'!$E$6</ns0:f>
        <ns0:v>1152320.094128852</ns0:v>
      </ns0:c>
      <ns0:c r="Y910" s="16">
        <ns0:f>Q910-F910*'前提と出典'!$E$6</ns0:f>
        <ns0:v>436231.58170627477</ns0:v>
      </ns0:c>
      <ns0:c r="Z910" s="7">
        <ns0:f>X910+Y910</ns0:f>
        <ns0:v>1588551.6758351268</ns0:v>
      </ns0:c>
      <ns0:c r="AA910" s="7">
        <ns0:f>IF(T910&gt;=0,A910,1001)</ns0:f>
        <ns0:v>906</ns0:v>
      </ns0:c>
      <ns0:c r="AB910" s="7">
        <ns0:f>IF(T910&lt;0,A910,0)</ns0:f>
        <ns0:v>0</ns0:v>
      </ns0:c>
      <ns0:c r="AC910" s="16">
        <ns0:f>IF(AND(OR('前提と出典'!$C$36+'前提と出典'!$C$38=0,R910&gt;=0),OR('前提と出典'!$C$37+'前提と出典'!$C$38=0,S910&gt;=0)),0,A910)</ns0:f>
        <ns0:v>0</ns0:v>
      </ns0:c>
      <ns0:c r="AD910" s="7">
        <ns0:f>IF(W910&gt;=0,A910,1001)</ns0:f>
        <ns0:v>906</ns0:v>
      </ns0:c>
      <ns0:c r="AE910" s="7">
        <ns0:f>IF(W910&lt;0,A910,0)</ns0:f>
        <ns0:v>0</ns0:v>
      </ns0:c>
      <ns0:c r="AF910" s="16">
        <ns0:f>IF(AND(OR('前提と出典'!$C$36+'前提と出典'!$C$38=0,U910&gt;=0),OR('前提と出典'!$C$37+'前提と出典'!$C$38=0,V910&gt;=0)),0,A910)</ns0:f>
        <ns0:v>0</ns0:v>
      </ns0:c>
      <ns0:c r="AG910" s="7">
        <ns0:f>IF(Z910&gt;=0,A910,1001)</ns0:f>
        <ns0:v>906</ns0:v>
      </ns0:c>
      <ns0:c r="AH910" s="4">
        <ns0:f>IF(Z910&lt;0,A910,0)</ns0:f>
        <ns0:v>0</ns0:v>
      </ns0:c>
      <ns0:c r="AI910" s="12">
        <ns0:f>IF(AND(OR('前提と出典'!$C$36+'前提と出典'!$C$38=0,X910&gt;=0),OR('前提と出典'!$C$37+'前提と出典'!$C$38=0,Y910&gt;=0)),0,A910)</ns0:f>
        <ns0:v>0</ns0:v>
      </ns0:c>
    </ns0:row>
    <ns0:row r="911" ht="24" customHeight="1">
      <ns0:c r="A911" s="4" t="n">
        <ns0:v>907</ns0:v>
      </ns0:c>
      <ns0:c r="B911" s="12">
        <ns0:f>A911*('前提と出典'!$C$36+'前提と出典'!$C$38)</ns0:f>
        <ns0:v>634.9</ns0:v>
      </ns0:c>
      <ns0:c r="C911" s="12">
        <ns0:f>A911*('前提と出典'!$C$37+'前提と出典'!$C$38)</ns0:f>
        <ns0:v>544.1999999999999</ns0:v>
      </ns0:c>
      <ns0:c r="D911" s="16">
        <ns0:f>A911*('前提と出典'!$C$36*'契約別単価'!C5+'前提と出典'!$C$37*'契約別単価'!C6+'前提と出典'!$C$38*'契約別単価'!C7)</ns0:f>
        <ns0:v>6526.346368715083</ns0:v>
      </ns0:c>
      <ns0:c r="E911" s="16">
        <ns0:f>A911*('前提と出典'!$C$36*'契約別単価'!E5+'前提と出典'!$C$37*'契約別単価'!E6+'前提と出典'!$C$38*'契約別単価'!E7)</ns0:f>
        <ns0:v>1754994.8036562558</ns0:v>
      </ns0:c>
      <ns0:c r="F911" s="16">
        <ns0:f>A911*('前提と出典'!$C$36*'契約別単価'!F5+'前提と出典'!$C$37*'契約別単価'!F6+'前提と出典'!$C$38*'契約別単価'!F7)</ns0:f>
        <ns0:v>688771.700091533</ns0:v>
      </ns0:c>
      <ns0:c r="G911" s="16">
        <ns0:f>A911*('前提と出典'!$C$36*'契約別単価'!G5+'前提と出典'!$C$37*'契約別単価'!G6+'前提と出典'!$C$38*'契約別単価'!G7)</ns0:f>
        <ns0:v>1805386.033519553</ns0:v>
      </ns0:c>
      <ns0:c r="H911" s="16">
        <ns0:f>A911*('前提と出典'!$C$36*'契約別単価'!H5+'前提と出典'!$C$37*'契約別単価'!H6+'前提と出典'!$C$38*'契約別単価'!H7)</ns0:f>
        <ns0:v>626559.5008562363</ns0:v>
      </ns0:c>
      <ns0:c r="I911" s="16">
        <ns0:f>A911*('前提と出典'!$C$36*'契約別単価'!I5+'前提と出典'!$C$37*'契約別単価'!I6+'前提と出典'!$C$38*'契約別単価'!I7)</ns0:f>
        <ns0:v>38271.34636871508</ns0:v>
      </ns0:c>
      <ns0:c r="J911" s="16">
        <ns0:f>A911*('前提と出典'!$C$36*'契約別単価'!J5+'前提と出典'!$C$37*'契約別単価'!J6+'前提と出典'!$C$38*'契約別単価'!J7)</ns0:f>
        <ns0:v>89148.61614524442</ns0:v>
      </ns0:c>
      <ns0:c r="K911" s="16">
        <ns0:f>A911*('前提と出典'!$C$36*'契約別単価'!K5+'前提と出典'!$C$37*'契約別単価'!K6+'前提と出典'!$C$38*'契約別単価'!K7)</ns0:f>
        <ns0:v>382122.3091247672</ns0:v>
      </ns0:c>
      <ns0:c r="L911" s="16">
        <ns0:f>A911*('前提と出典'!$C$36*'契約別単価'!L5+'前提と出典'!$C$37*'契約別単価'!L6+'前提と出典'!$C$38*'契約別単価'!L7)</ns0:f>
        <ns0:v>311125.31669520785</ns0:v>
      </ns0:c>
      <ns0:c r="M911" s="16">
        <ns0:f>IF(('前提と出典'!$C$36+'前提と出典'!$C$38)=0,0,IF(B911&lt;=10,'前提と出典'!B73+'前提と出典'!C73,IF(B911&lt;=100,'前提と出典'!B74+'前提と出典'!C74,IF(B911&lt;=500,'前提と出典'!B75+'前提と出典'!C75,'前提と出典'!B76+'前提と出典'!C76))))</ns0:f>
        <ns0:v>80000</ns0:v>
      </ns0:c>
      <ns0:c r="N911" s="16">
        <ns0:f>IF(('前提と出典'!$C$37+'前提と出典'!$C$38)=0,0,IF(C911&lt;=10,'前提と出典'!D73+'前提と出典'!E73,IF(C911&lt;=100,'前提と出典'!D74+'前提と出典'!E74,IF(C911&lt;=500,'前提と出典'!D75+'前提と出典'!E75,'前提と出典'!D76+'前提と出典'!E76))))</ns0:f>
        <ns0:v>86510.9346263078</ns0:v>
      </ns0:c>
      <ns0:c r="O911" s="16">
        <ns0:f>IF('前提と出典'!$C$36+'前提と出典'!$C$38=0,0,'前提と出典'!$B$4*IF('前提と出典'!$B$20=0,MAX('前提と出典'!$B$6,D911*'前提と出典'!$B$5),'前提と出典'!$B$6+D911*'前提と出典'!$B$5))</ns0:f>
        <ns0:v>900635.7988826816</ns0:v>
      </ns0:c>
      <ns0:c r="P911" s="16">
        <ns0:f>(E911+G911)*(1-'前提と出典'!$B$7)-I911-K911-M911-O911</ns0:f>
        <ns0:v>2031177.6726613154</ns0:v>
      </ns0:c>
      <ns0:c r="Q911" s="16">
        <ns0:f>(F911+H911)*(1-'前提と出典'!$B$7)-J911-L911-N911</ns0:f>
        <ns0:v>781194.4102468896</ns0:v>
      </ns0:c>
      <ns0:c r="R911" s="16">
        <ns0:f>P911-E911*'前提と出典'!$E$4</ns0:f>
        <ns0:v>1504679.2315644387</ns0:v>
      </ns0:c>
      <ns0:c r="S911" s="16">
        <ns0:f>Q911-F911*'前提と出典'!$E$4</ns0:f>
        <ns0:v>574562.9002194297</ns0:v>
      </ns0:c>
      <ns0:c r="T911" s="7">
        <ns0:f>R911+S911</ns0:f>
        <ns0:v>2079242.1317838684</ns0:v>
      </ns0:c>
      <ns0:c r="U911" s="16">
        <ns0:f>P911-E911*'前提と出典'!$E$5</ns0:f>
        <ns0:v>1329179.751198813</ns0:v>
      </ns0:c>
      <ns0:c r="V911" s="16">
        <ns0:f>Q911-F911*'前提と出典'!$E$5</ns0:f>
        <ns0:v>505685.73021027644</ns0:v>
      </ns0:c>
      <ns0:c r="W911" s="7">
        <ns0:f>U911+V911</ns0:f>
        <ns0:v>1834865.4814090896</ns0:v>
      </ns0:c>
      <ns0:c r="X911" s="16">
        <ns0:f>P911-E911*'前提と出典'!$E$6</ns0:f>
        <ns0:v>1153680.2708331875</ns0:v>
      </ns0:c>
      <ns0:c r="Y911" s="16">
        <ns0:f>Q911-F911*'前提と出典'!$E$6</ns0:f>
        <ns0:v>436808.56020112324</ns0:v>
      </ns0:c>
      <ns0:c r="Z911" s="7">
        <ns0:f>X911+Y911</ns0:f>
        <ns0:v>1590488.8310343106</ns0:v>
      </ns0:c>
      <ns0:c r="AA911" s="7">
        <ns0:f>IF(T911&gt;=0,A911,1001)</ns0:f>
        <ns0:v>907</ns0:v>
      </ns0:c>
      <ns0:c r="AB911" s="7">
        <ns0:f>IF(T911&lt;0,A911,0)</ns0:f>
        <ns0:v>0</ns0:v>
      </ns0:c>
      <ns0:c r="AC911" s="16">
        <ns0:f>IF(AND(OR('前提と出典'!$C$36+'前提と出典'!$C$38=0,R911&gt;=0),OR('前提と出典'!$C$37+'前提と出典'!$C$38=0,S911&gt;=0)),0,A911)</ns0:f>
        <ns0:v>0</ns0:v>
      </ns0:c>
      <ns0:c r="AD911" s="7">
        <ns0:f>IF(W911&gt;=0,A911,1001)</ns0:f>
        <ns0:v>907</ns0:v>
      </ns0:c>
      <ns0:c r="AE911" s="7">
        <ns0:f>IF(W911&lt;0,A911,0)</ns0:f>
        <ns0:v>0</ns0:v>
      </ns0:c>
      <ns0:c r="AF911" s="16">
        <ns0:f>IF(AND(OR('前提と出典'!$C$36+'前提と出典'!$C$38=0,U911&gt;=0),OR('前提と出典'!$C$37+'前提と出典'!$C$38=0,V911&gt;=0)),0,A911)</ns0:f>
        <ns0:v>0</ns0:v>
      </ns0:c>
      <ns0:c r="AG911" s="7">
        <ns0:f>IF(Z911&gt;=0,A911,1001)</ns0:f>
        <ns0:v>907</ns0:v>
      </ns0:c>
      <ns0:c r="AH911" s="4">
        <ns0:f>IF(Z911&lt;0,A911,0)</ns0:f>
        <ns0:v>0</ns0:v>
      </ns0:c>
      <ns0:c r="AI911" s="12">
        <ns0:f>IF(AND(OR('前提と出典'!$C$36+'前提と出典'!$C$38=0,X911&gt;=0),OR('前提と出典'!$C$37+'前提と出典'!$C$38=0,Y911&gt;=0)),0,A911)</ns0:f>
        <ns0:v>0</ns0:v>
      </ns0:c>
    </ns0:row>
    <ns0:row r="912" ht="24" customHeight="1">
      <ns0:c r="A912" s="4" t="n">
        <ns0:v>908</ns0:v>
      </ns0:c>
      <ns0:c r="B912" s="12">
        <ns0:f>A912*('前提と出典'!$C$36+'前提と出典'!$C$38)</ns0:f>
        <ns0:v>635.5999999999999</ns0:v>
      </ns0:c>
      <ns0:c r="C912" s="12">
        <ns0:f>A912*('前提と出典'!$C$37+'前提と出典'!$C$38)</ns0:f>
        <ns0:v>544.8</ns0:v>
      </ns0:c>
      <ns0:c r="D912" s="16">
        <ns0:f>A912*('前提と出典'!$C$36*'契約別単価'!C5+'前提と出典'!$C$37*'契約別単価'!C6+'前提と出典'!$C$38*'契約別単価'!C7)</ns0:f>
        <ns0:v>6533.54189944134</ns0:v>
      </ns0:c>
      <ns0:c r="E912" s="16">
        <ns0:f>A912*('前提と出典'!$C$36*'契約別単価'!E5+'前提と出典'!$C$37*'契約別単価'!E6+'前提と出典'!$C$38*'契約別単価'!E7)</ns0:f>
        <ns0:v>1756929.7483129883</ns0:v>
      </ns0:c>
      <ns0:c r="F912" s="16">
        <ns0:f>A912*('前提と出典'!$C$36*'契約別単価'!F5+'前提と出典'!$C$37*'契約別単価'!F6+'前提と出典'!$C$38*'契約別単価'!F7)</ns0:f>
        <ns0:v>689531.095571237</ns0:v>
      </ns0:c>
      <ns0:c r="G912" s="16">
        <ns0:f>A912*('前提と出典'!$C$36*'契約別単価'!G5+'前提と出典'!$C$37*'契約別単価'!G6+'前提と出典'!$C$38*'契約別単価'!G7)</ns0:f>
        <ns0:v>1807376.536312849</ns0:v>
      </ns0:c>
      <ns0:c r="H912" s="16">
        <ns0:f>A912*('前提と出典'!$C$36*'契約別単価'!H5+'前提と出典'!$C$37*'契約別単価'!H6+'前提と出典'!$C$38*'契約別単価'!H7)</ns0:f>
        <ns0:v>627250.3051570702</ns0:v>
      </ns0:c>
      <ns0:c r="I912" s="16">
        <ns0:f>A912*('前提と出典'!$C$36*'契約別単価'!I5+'前提と出典'!$C$37*'契約別単価'!I6+'前提と出典'!$C$38*'契約別単価'!I7)</ns0:f>
        <ns0:v>38313.541899441334</ns0:v>
      </ns0:c>
      <ns0:c r="J912" s="16">
        <ns0:f>A912*('前提と出典'!$C$36*'契約別単価'!J5+'前提と出典'!$C$37*'契約別単価'!J6+'前提と出典'!$C$38*'契約別単価'!J7)</ns0:f>
        <ns0:v>89246.90568895474</ns0:v>
      </ns0:c>
      <ns0:c r="K912" s="16">
        <ns0:f>A912*('前提と出典'!$C$36*'契約別単価'!K5+'前提と出典'!$C$37*'契約別単価'!K6+'前提と出典'!$C$38*'契約別単価'!K7)</ns0:f>
        <ns0:v>382543.61266294227</ns0:v>
      </ns0:c>
      <ns0:c r="L912" s="16">
        <ns0:f>A912*('前提と出典'!$C$36*'契約別単価'!L5+'前提と出典'!$C$37*'契約別単価'!L6+'前提と出典'!$C$38*'契約別単価'!L7)</ns0:f>
        <ns0:v>311468.3435052357</ns0:v>
      </ns0:c>
      <ns0:c r="M912" s="16">
        <ns0:f>IF(('前提と出典'!$C$36+'前提と出典'!$C$38)=0,0,IF(B912&lt;=10,'前提と出典'!B73+'前提と出典'!C73,IF(B912&lt;=100,'前提と出典'!B74+'前提と出典'!C74,IF(B912&lt;=500,'前提と出典'!B75+'前提と出典'!C75,'前提と出典'!B76+'前提と出典'!C76))))</ns0:f>
        <ns0:v>80000</ns0:v>
      </ns0:c>
      <ns0:c r="N912" s="16">
        <ns0:f>IF(('前提と出典'!$C$37+'前提と出典'!$C$38)=0,0,IF(C912&lt;=10,'前提と出典'!D73+'前提と出典'!E73,IF(C912&lt;=100,'前提と出典'!D74+'前提と出典'!E74,IF(C912&lt;=500,'前提と出典'!D75+'前提と出典'!E75,'前提と出典'!D76+'前提と出典'!E76))))</ns0:f>
        <ns0:v>86510.9346263078</ns0:v>
      </ns0:c>
      <ns0:c r="O912" s="16">
        <ns0:f>IF('前提と出典'!$C$36+'前提と出典'!$C$38=0,0,'前提と出典'!$B$4*IF('前提と出典'!$B$20=0,MAX('前提と出典'!$B$6,D912*'前提と出典'!$B$5),'前提と出典'!$B$6+D912*'前提と出典'!$B$5))</ns0:f>
        <ns0:v>901628.782122905</ns0:v>
      </ns0:c>
      <ns0:c r="P912" s="16">
        <ns0:f>(E912+G912)*(1-'前提と出典'!$B$7)-I912-K912-M912-O912</ns0:f>
        <ns0:v>2033505.3216940193</ns0:v>
      </ns0:c>
      <ns0:c r="Q912" s="16">
        <ns0:f>(F912+H912)*(1-'前提と出典'!$B$7)-J912-L912-N912</ns0:f>
        <ns0:v>782151.0864815899</ns0:v>
      </ns0:c>
      <ns0:c r="R912" s="16">
        <ns0:f>P912-E912*'前提と出典'!$E$4</ns0:f>
        <ns0:v>1506426.397200123</ns0:v>
      </ns0:c>
      <ns0:c r="S912" s="16">
        <ns0:f>Q912-F912*'前提と出典'!$E$4</ns0:f>
        <ns0:v>575291.757810219</ns0:v>
      </ns0:c>
      <ns0:c r="T912" s="7">
        <ns0:f>R912+S912</ns0:f>
        <ns0:v>2081718.155010342</ns0:v>
      </ns0:c>
      <ns0:c r="U912" s="16">
        <ns0:f>P912-E912*'前提と出典'!$E$5</ns0:f>
        <ns0:v>1330733.422368824</ns0:v>
      </ns0:c>
      <ns0:c r="V912" s="16">
        <ns0:f>Q912-F912*'前提と出典'!$E$5</ns0:f>
        <ns0:v>506338.6482530951</ns0:v>
      </ns0:c>
      <ns0:c r="W912" s="7">
        <ns0:f>U912+V912</ns0:f>
        <ns0:v>1837072.0706219191</ns0:v>
      </ns0:c>
      <ns0:c r="X912" s="16">
        <ns0:f>P912-E912*'前提と出典'!$E$6</ns0:f>
        <ns0:v>1155040.447537525</ns0:v>
      </ns0:c>
      <ns0:c r="Y912" s="16">
        <ns0:f>Q912-F912*'前提と出典'!$E$6</ns0:f>
        <ns0:v>437385.5386959713</ns0:v>
      </ns0:c>
      <ns0:c r="Z912" s="7">
        <ns0:f>X912+Y912</ns0:f>
        <ns0:v>1592425.9862334963</ns0:v>
      </ns0:c>
      <ns0:c r="AA912" s="7">
        <ns0:f>IF(T912&gt;=0,A912,1001)</ns0:f>
        <ns0:v>908</ns0:v>
      </ns0:c>
      <ns0:c r="AB912" s="7">
        <ns0:f>IF(T912&lt;0,A912,0)</ns0:f>
        <ns0:v>0</ns0:v>
      </ns0:c>
      <ns0:c r="AC912" s="16">
        <ns0:f>IF(AND(OR('前提と出典'!$C$36+'前提と出典'!$C$38=0,R912&gt;=0),OR('前提と出典'!$C$37+'前提と出典'!$C$38=0,S912&gt;=0)),0,A912)</ns0:f>
        <ns0:v>0</ns0:v>
      </ns0:c>
      <ns0:c r="AD912" s="7">
        <ns0:f>IF(W912&gt;=0,A912,1001)</ns0:f>
        <ns0:v>908</ns0:v>
      </ns0:c>
      <ns0:c r="AE912" s="7">
        <ns0:f>IF(W912&lt;0,A912,0)</ns0:f>
        <ns0:v>0</ns0:v>
      </ns0:c>
      <ns0:c r="AF912" s="16">
        <ns0:f>IF(AND(OR('前提と出典'!$C$36+'前提と出典'!$C$38=0,U912&gt;=0),OR('前提と出典'!$C$37+'前提と出典'!$C$38=0,V912&gt;=0)),0,A912)</ns0:f>
        <ns0:v>0</ns0:v>
      </ns0:c>
      <ns0:c r="AG912" s="7">
        <ns0:f>IF(Z912&gt;=0,A912,1001)</ns0:f>
        <ns0:v>908</ns0:v>
      </ns0:c>
      <ns0:c r="AH912" s="4">
        <ns0:f>IF(Z912&lt;0,A912,0)</ns0:f>
        <ns0:v>0</ns0:v>
      </ns0:c>
      <ns0:c r="AI912" s="12">
        <ns0:f>IF(AND(OR('前提と出典'!$C$36+'前提と出典'!$C$38=0,X912&gt;=0),OR('前提と出典'!$C$37+'前提と出典'!$C$38=0,Y912&gt;=0)),0,A912)</ns0:f>
        <ns0:v>0</ns0:v>
      </ns0:c>
    </ns0:row>
    <ns0:row r="913" ht="24" customHeight="1">
      <ns0:c r="A913" s="4" t="n">
        <ns0:v>909</ns0:v>
      </ns0:c>
      <ns0:c r="B913" s="12">
        <ns0:f>A913*('前提と出典'!$C$36+'前提と出典'!$C$38)</ns0:f>
        <ns0:v>636.3</ns0:v>
      </ns0:c>
      <ns0:c r="C913" s="12">
        <ns0:f>A913*('前提と出典'!$C$37+'前提と出典'!$C$38)</ns0:f>
        <ns0:v>545.4</ns0:v>
      </ns0:c>
      <ns0:c r="D913" s="16">
        <ns0:f>A913*('前提と出典'!$C$36*'契約別単価'!C5+'前提と出典'!$C$37*'契約別単価'!C6+'前提と出典'!$C$38*'契約別単価'!C7)</ns0:f>
        <ns0:v>6540.737430167598</ns0:v>
      </ns0:c>
      <ns0:c r="E913" s="16">
        <ns0:f>A913*('前提と出典'!$C$36*'契約別単価'!E5+'前提と出典'!$C$37*'契約別単価'!E6+'前提と出典'!$C$38*'契約別単価'!E7)</ns0:f>
        <ns0:v>1758864.6929697206</ns0:v>
      </ns0:c>
      <ns0:c r="F913" s="16">
        <ns0:f>A913*('前提と出典'!$C$36*'契約別単価'!F5+'前提と出典'!$C$37*'契約別単価'!F6+'前提と出典'!$C$38*'契約別単価'!F7)</ns0:f>
        <ns0:v>690290.491050941</ns0:v>
      </ns0:c>
      <ns0:c r="G913" s="16">
        <ns0:f>A913*('前提と出典'!$C$36*'契約別単価'!G5+'前提と出典'!$C$37*'契約別単価'!G6+'前提と出典'!$C$38*'契約別単価'!G7)</ns0:f>
        <ns0:v>1809367.0391061453</ns0:v>
      </ns0:c>
      <ns0:c r="H913" s="16">
        <ns0:f>A913*('前提と出典'!$C$36*'契約別単価'!H5+'前提と出典'!$C$37*'契約別単価'!H6+'前提と出典'!$C$38*'契約別単価'!H7)</ns0:f>
        <ns0:v>627941.1094579039</ns0:v>
      </ns0:c>
      <ns0:c r="I913" s="16">
        <ns0:f>A913*('前提と出典'!$C$36*'契約別単価'!I5+'前提と出典'!$C$37*'契約別単価'!I6+'前提と出典'!$C$38*'契約別単価'!I7)</ns0:f>
        <ns0:v>38355.73743016759</ns0:v>
      </ns0:c>
      <ns0:c r="J913" s="16">
        <ns0:f>A913*('前提と出典'!$C$36*'契約別単価'!J5+'前提と出典'!$C$37*'契約別単価'!J6+'前提と出典'!$C$38*'契約別単価'!J7)</ns0:f>
        <ns0:v>89345.19523266504</ns0:v>
      </ns0:c>
      <ns0:c r="K913" s="16">
        <ns0:f>A913*('前提と出典'!$C$36*'契約別単価'!K5+'前提と出典'!$C$37*'契約別単価'!K6+'前提と出典'!$C$38*'契約別単価'!K7)</ns0:f>
        <ns0:v>382964.9162011173</ns0:v>
      </ns0:c>
      <ns0:c r="L913" s="16">
        <ns0:f>A913*('前提と出典'!$C$36*'契約別単価'!L5+'前提と出典'!$C$37*'契約別単価'!L6+'前提と出典'!$C$38*'契約別単価'!L7)</ns0:f>
        <ns0:v>311811.37031526346</ns0:v>
      </ns0:c>
      <ns0:c r="M913" s="16">
        <ns0:f>IF(('前提と出典'!$C$36+'前提と出典'!$C$38)=0,0,IF(B913&lt;=10,'前提と出典'!B73+'前提と出典'!C73,IF(B913&lt;=100,'前提と出典'!B74+'前提と出典'!C74,IF(B913&lt;=500,'前提と出典'!B75+'前提と出典'!C75,'前提と出典'!B76+'前提と出典'!C76))))</ns0:f>
        <ns0:v>80000</ns0:v>
      </ns0:c>
      <ns0:c r="N913" s="16">
        <ns0:f>IF(('前提と出典'!$C$37+'前提と出典'!$C$38)=0,0,IF(C913&lt;=10,'前提と出典'!D73+'前提と出典'!E73,IF(C913&lt;=100,'前提と出典'!D74+'前提と出典'!E74,IF(C913&lt;=500,'前提と出典'!D75+'前提と出典'!E75,'前提と出典'!D76+'前提と出典'!E76))))</ns0:f>
        <ns0:v>86510.9346263078</ns0:v>
      </ns0:c>
      <ns0:c r="O913" s="16">
        <ns0:f>IF('前提と出典'!$C$36+'前提と出典'!$C$38=0,0,'前提と出典'!$B$4*IF('前提と出典'!$B$20=0,MAX('前提と出典'!$B$6,D913*'前提と出典'!$B$5),'前提と出典'!$B$6+D913*'前提と出典'!$B$5))</ns0:f>
        <ns0:v>902621.7653631285</ns0:v>
      </ns0:c>
      <ns0:c r="P913" s="16">
        <ns0:f>(E913+G913)*(1-'前提と出典'!$B$7)-I913-K913-M913-O913</ns0:f>
        <ns0:v>2035832.9707267215</ns0:v>
      </ns0:c>
      <ns0:c r="Q913" s="16">
        <ns0:f>(F913+H913)*(1-'前提と出典'!$B$7)-J913-L913-N913</ns0:f>
        <ns0:v>783107.7627162903</ns0:v>
      </ns0:c>
      <ns0:c r="R913" s="16">
        <ns0:f>P913-E913*'前提と出典'!$E$4</ns0:f>
        <ns0:v>1508173.5628358051</ns0:v>
      </ns0:c>
      <ns0:c r="S913" s="16">
        <ns0:f>Q913-F913*'前提と出典'!$E$4</ns0:f>
        <ns0:v>576020.6154010079</ns0:v>
      </ns0:c>
      <ns0:c r="T913" s="7">
        <ns0:f>R913+S913</ns0:f>
        <ns0:v>2084194.178236813</ns0:v>
      </ns0:c>
      <ns0:c r="U913" s="16">
        <ns0:f>P913-E913*'前提と出典'!$E$5</ns0:f>
        <ns0:v>1332287.0935388333</ns0:v>
      </ns0:c>
      <ns0:c r="V913" s="16">
        <ns0:f>Q913-F913*'前提と出典'!$E$5</ns0:f>
        <ns0:v>506991.5662959139</ns0:v>
      </ns0:c>
      <ns0:c r="W913" s="7">
        <ns0:f>U913+V913</ns0:f>
        <ns0:v>1839278.6598347472</ns0:v>
      </ns0:c>
      <ns0:c r="X913" s="16">
        <ns0:f>P913-E913*'前提と出典'!$E$6</ns0:f>
        <ns0:v>1156400.624241861</ns0:v>
      </ns0:c>
      <ns0:c r="Y913" s="16">
        <ns0:f>Q913-F913*'前提と出典'!$E$6</ns0:f>
        <ns0:v>437962.51719081984</ns0:v>
      </ns0:c>
      <ns0:c r="Z913" s="7">
        <ns0:f>X913+Y913</ns0:f>
        <ns0:v>1594363.141432681</ns0:v>
      </ns0:c>
      <ns0:c r="AA913" s="7">
        <ns0:f>IF(T913&gt;=0,A913,1001)</ns0:f>
        <ns0:v>909</ns0:v>
      </ns0:c>
      <ns0:c r="AB913" s="7">
        <ns0:f>IF(T913&lt;0,A913,0)</ns0:f>
        <ns0:v>0</ns0:v>
      </ns0:c>
      <ns0:c r="AC913" s="16">
        <ns0:f>IF(AND(OR('前提と出典'!$C$36+'前提と出典'!$C$38=0,R913&gt;=0),OR('前提と出典'!$C$37+'前提と出典'!$C$38=0,S913&gt;=0)),0,A913)</ns0:f>
        <ns0:v>0</ns0:v>
      </ns0:c>
      <ns0:c r="AD913" s="7">
        <ns0:f>IF(W913&gt;=0,A913,1001)</ns0:f>
        <ns0:v>909</ns0:v>
      </ns0:c>
      <ns0:c r="AE913" s="7">
        <ns0:f>IF(W913&lt;0,A913,0)</ns0:f>
        <ns0:v>0</ns0:v>
      </ns0:c>
      <ns0:c r="AF913" s="16">
        <ns0:f>IF(AND(OR('前提と出典'!$C$36+'前提と出典'!$C$38=0,U913&gt;=0),OR('前提と出典'!$C$37+'前提と出典'!$C$38=0,V913&gt;=0)),0,A913)</ns0:f>
        <ns0:v>0</ns0:v>
      </ns0:c>
      <ns0:c r="AG913" s="7">
        <ns0:f>IF(Z913&gt;=0,A913,1001)</ns0:f>
        <ns0:v>909</ns0:v>
      </ns0:c>
      <ns0:c r="AH913" s="4">
        <ns0:f>IF(Z913&lt;0,A913,0)</ns0:f>
        <ns0:v>0</ns0:v>
      </ns0:c>
      <ns0:c r="AI913" s="12">
        <ns0:f>IF(AND(OR('前提と出典'!$C$36+'前提と出典'!$C$38=0,X913&gt;=0),OR('前提と出典'!$C$37+'前提と出典'!$C$38=0,Y913&gt;=0)),0,A913)</ns0:f>
        <ns0:v>0</ns0:v>
      </ns0:c>
    </ns0:row>
    <ns0:row r="914" ht="24" customHeight="1">
      <ns0:c r="A914" s="4" t="n">
        <ns0:v>910</ns0:v>
      </ns0:c>
      <ns0:c r="B914" s="12">
        <ns0:f>A914*('前提と出典'!$C$36+'前提と出典'!$C$38)</ns0:f>
        <ns0:v>637</ns0:v>
      </ns0:c>
      <ns0:c r="C914" s="12">
        <ns0:f>A914*('前提と出典'!$C$37+'前提と出典'!$C$38)</ns0:f>
        <ns0:v>546</ns0:v>
      </ns0:c>
      <ns0:c r="D914" s="16">
        <ns0:f>A914*('前提と出典'!$C$36*'契約別単価'!C5+'前提と出典'!$C$37*'契約別単価'!C6+'前提と出典'!$C$38*'契約別単価'!C7)</ns0:f>
        <ns0:v>6547.932960893855</ns0:v>
      </ns0:c>
      <ns0:c r="E914" s="16">
        <ns0:f>A914*('前提と出典'!$C$36*'契約別単価'!E5+'前提と出典'!$C$37*'契約別単価'!E6+'前提と出典'!$C$38*'契約別単価'!E7)</ns0:f>
        <ns0:v>1760799.637626453</ns0:v>
      </ns0:c>
      <ns0:c r="F914" s="16">
        <ns0:f>A914*('前提と出典'!$C$36*'契約別単価'!F5+'前提と出典'!$C$37*'契約別単価'!F6+'前提と出典'!$C$38*'契約別単価'!F7)</ns0:f>
        <ns0:v>691049.8865306451</ns0:v>
      </ns0:c>
      <ns0:c r="G914" s="16">
        <ns0:f>A914*('前提と出典'!$C$36*'契約別単価'!G5+'前提と出典'!$C$37*'契約別単価'!G6+'前提と出典'!$C$38*'契約別単価'!G7)</ns0:f>
        <ns0:v>1811357.5418994413</ns0:v>
      </ns0:c>
      <ns0:c r="H914" s="16">
        <ns0:f>A914*('前提と出典'!$C$36*'契約別単価'!H5+'前提と出典'!$C$37*'契約別単価'!H6+'前提と出典'!$C$38*'契約別単価'!H7)</ns0:f>
        <ns0:v>628631.9137587377</ns0:v>
      </ns0:c>
      <ns0:c r="I914" s="16">
        <ns0:f>A914*('前提と出典'!$C$36*'契約別単価'!I5+'前提と出典'!$C$37*'契約別単価'!I6+'前提と出典'!$C$38*'契約別単価'!I7)</ns0:f>
        <ns0:v>38397.93296089385</ns0:v>
      </ns0:c>
      <ns0:c r="J914" s="16">
        <ns0:f>A914*('前提と出典'!$C$36*'契約別単価'!J5+'前提と出典'!$C$37*'契約別単価'!J6+'前提と出典'!$C$38*'契約別単価'!J7)</ns0:f>
        <ns0:v>89443.48477637534</ns0:v>
      </ns0:c>
      <ns0:c r="K914" s="16">
        <ns0:f>A914*('前提と出典'!$C$36*'契約別単価'!K5+'前提と出典'!$C$37*'契約別単価'!K6+'前提と出典'!$C$38*'契約別単価'!K7)</ns0:f>
        <ns0:v>383386.21973929234</ns0:v>
      </ns0:c>
      <ns0:c r="L914" s="16">
        <ns0:f>A914*('前提と出典'!$C$36*'契約別単価'!L5+'前提と出典'!$C$37*'契約別単価'!L6+'前提と出典'!$C$38*'契約別単価'!L7)</ns0:f>
        <ns0:v>312154.39712529123</ns0:v>
      </ns0:c>
      <ns0:c r="M914" s="16">
        <ns0:f>IF(('前提と出典'!$C$36+'前提と出典'!$C$38)=0,0,IF(B914&lt;=10,'前提と出典'!B73+'前提と出典'!C73,IF(B914&lt;=100,'前提と出典'!B74+'前提と出典'!C74,IF(B914&lt;=500,'前提と出典'!B75+'前提と出典'!C75,'前提と出典'!B76+'前提と出典'!C76))))</ns0:f>
        <ns0:v>80000</ns0:v>
      </ns0:c>
      <ns0:c r="N914" s="16">
        <ns0:f>IF(('前提と出典'!$C$37+'前提と出典'!$C$38)=0,0,IF(C914&lt;=10,'前提と出典'!D73+'前提と出典'!E73,IF(C914&lt;=100,'前提と出典'!D74+'前提と出典'!E74,IF(C914&lt;=500,'前提と出典'!D75+'前提と出典'!E75,'前提と出典'!D76+'前提と出典'!E76))))</ns0:f>
        <ns0:v>86510.9346263078</ns0:v>
      </ns0:c>
      <ns0:c r="O914" s="16">
        <ns0:f>IF('前提と出典'!$C$36+'前提と出典'!$C$38=0,0,'前提と出典'!$B$4*IF('前提と出典'!$B$20=0,MAX('前提と出典'!$B$6,D914*'前提と出典'!$B$5),'前提と出典'!$B$6+D914*'前提と出典'!$B$5))</ns0:f>
        <ns0:v>903614.748603352</ns0:v>
      </ns0:c>
      <ns0:c r="P914" s="16">
        <ns0:f>(E914+G914)*(1-'前提と出典'!$B$7)-I914-K914-M914-O914</ns0:f>
        <ns0:v>2038160.6197594234</ns0:v>
      </ns0:c>
      <ns0:c r="Q914" s="16">
        <ns0:f>(F914+H914)*(1-'前提と出典'!$B$7)-J914-L914-N914</ns0:f>
        <ns0:v>784064.4389509906</ns0:v>
      </ns0:c>
      <ns0:c r="R914" s="16">
        <ns0:f>P914-E914*'前提と出典'!$E$4</ns0:f>
        <ns0:v>1509920.7284714878</ns0:v>
      </ns0:c>
      <ns0:c r="S914" s="16">
        <ns0:f>Q914-F914*'前提と出典'!$E$4</ns0:f>
        <ns0:v>576749.4729917971</ns0:v>
      </ns0:c>
      <ns0:c r="T914" s="7">
        <ns0:f>R914+S914</ns0:f>
        <ns0:v>2086670.201463285</ns0:v>
      </ns0:c>
      <ns0:c r="U914" s="16">
        <ns0:f>P914-E914*'前提と出典'!$E$5</ns0:f>
        <ns0:v>1333840.7647088422</ns0:v>
      </ns0:c>
      <ns0:c r="V914" s="16">
        <ns0:f>Q914-F914*'前提と出典'!$E$5</ns0:f>
        <ns0:v>507644.48433873244</ns0:v>
      </ns0:c>
      <ns0:c r="W914" s="7">
        <ns0:f>U914+V914</ns0:f>
        <ns0:v>1841485.2490475746</ns0:v>
      </ns0:c>
      <ns0:c r="X914" s="16">
        <ns0:f>P914-E914*'前提と出典'!$E$6</ns0:f>
        <ns0:v>1157760.800946197</ns0:v>
      </ns0:c>
      <ns0:c r="Y914" s="16">
        <ns0:f>Q914-F914*'前提と出典'!$E$6</ns0:f>
        <ns0:v>438539.49568566796</ns0:v>
      </ns0:c>
      <ns0:c r="Z914" s="7">
        <ns0:f>X914+Y914</ns0:f>
        <ns0:v>1596300.296631865</ns0:v>
      </ns0:c>
      <ns0:c r="AA914" s="7">
        <ns0:f>IF(T914&gt;=0,A914,1001)</ns0:f>
        <ns0:v>910</ns0:v>
      </ns0:c>
      <ns0:c r="AB914" s="7">
        <ns0:f>IF(T914&lt;0,A914,0)</ns0:f>
        <ns0:v>0</ns0:v>
      </ns0:c>
      <ns0:c r="AC914" s="16">
        <ns0:f>IF(AND(OR('前提と出典'!$C$36+'前提と出典'!$C$38=0,R914&gt;=0),OR('前提と出典'!$C$37+'前提と出典'!$C$38=0,S914&gt;=0)),0,A914)</ns0:f>
        <ns0:v>0</ns0:v>
      </ns0:c>
      <ns0:c r="AD914" s="7">
        <ns0:f>IF(W914&gt;=0,A914,1001)</ns0:f>
        <ns0:v>910</ns0:v>
      </ns0:c>
      <ns0:c r="AE914" s="7">
        <ns0:f>IF(W914&lt;0,A914,0)</ns0:f>
        <ns0:v>0</ns0:v>
      </ns0:c>
      <ns0:c r="AF914" s="16">
        <ns0:f>IF(AND(OR('前提と出典'!$C$36+'前提と出典'!$C$38=0,U914&gt;=0),OR('前提と出典'!$C$37+'前提と出典'!$C$38=0,V914&gt;=0)),0,A914)</ns0:f>
        <ns0:v>0</ns0:v>
      </ns0:c>
      <ns0:c r="AG914" s="7">
        <ns0:f>IF(Z914&gt;=0,A914,1001)</ns0:f>
        <ns0:v>910</ns0:v>
      </ns0:c>
      <ns0:c r="AH914" s="4">
        <ns0:f>IF(Z914&lt;0,A914,0)</ns0:f>
        <ns0:v>0</ns0:v>
      </ns0:c>
      <ns0:c r="AI914" s="12">
        <ns0:f>IF(AND(OR('前提と出典'!$C$36+'前提と出典'!$C$38=0,X914&gt;=0),OR('前提と出典'!$C$37+'前提と出典'!$C$38=0,Y914&gt;=0)),0,A914)</ns0:f>
        <ns0:v>0</ns0:v>
      </ns0:c>
    </ns0:row>
    <ns0:row r="915" ht="24" customHeight="1">
      <ns0:c r="A915" s="4" t="n">
        <ns0:v>911</ns0:v>
      </ns0:c>
      <ns0:c r="B915" s="12">
        <ns0:f>A915*('前提と出典'!$C$36+'前提と出典'!$C$38)</ns0:f>
        <ns0:v>637.6999999999999</ns0:v>
      </ns0:c>
      <ns0:c r="C915" s="12">
        <ns0:f>A915*('前提と出典'!$C$37+'前提と出典'!$C$38)</ns0:f>
        <ns0:v>546.6</ns0:v>
      </ns0:c>
      <ns0:c r="D915" s="16">
        <ns0:f>A915*('前提と出典'!$C$36*'契約別単価'!C5+'前提と出典'!$C$37*'契約別単価'!C6+'前提と出典'!$C$38*'契約別単価'!C7)</ns0:f>
        <ns0:v>6555.128491620112</ns0:v>
      </ns0:c>
      <ns0:c r="E915" s="16">
        <ns0:f>A915*('前提と出典'!$C$36*'契約別単価'!E5+'前提と出典'!$C$37*'契約別単価'!E6+'前提と出典'!$C$38*'契約別単価'!E7)</ns0:f>
        <ns0:v>1762734.5822831853</ns0:v>
      </ns0:c>
      <ns0:c r="F915" s="16">
        <ns0:f>A915*('前提と出典'!$C$36*'契約別単価'!F5+'前提と出典'!$C$37*'契約別単価'!F6+'前提と出典'!$C$38*'契約別単価'!F7)</ns0:f>
        <ns0:v>691809.2820103491</ns0:v>
      </ns0:c>
      <ns0:c r="G915" s="16">
        <ns0:f>A915*('前提と出典'!$C$36*'契約別単価'!G5+'前提と出典'!$C$37*'契約別単価'!G6+'前提と出典'!$C$38*'契約別単価'!G7)</ns0:f>
        <ns0:v>1813348.0446927373</ns0:v>
      </ns0:c>
      <ns0:c r="H915" s="16">
        <ns0:f>A915*('前提と出典'!$C$36*'契約別単価'!H5+'前提と出典'!$C$37*'契約別単価'!H6+'前提と出典'!$C$38*'契約別単価'!H7)</ns0:f>
        <ns0:v>629322.7180595715</ns0:v>
      </ns0:c>
      <ns0:c r="I915" s="16">
        <ns0:f>A915*('前提と出典'!$C$36*'契約別単価'!I5+'前提と出典'!$C$37*'契約別単価'!I6+'前提と出典'!$C$38*'契約別単価'!I7)</ns0:f>
        <ns0:v>38440.128491620104</ns0:v>
      </ns0:c>
      <ns0:c r="J915" s="16">
        <ns0:f>A915*('前提と出典'!$C$36*'契約別単価'!J5+'前提と出典'!$C$37*'契約別単価'!J6+'前提と出典'!$C$38*'契約別単価'!J7)</ns0:f>
        <ns0:v>89541.77432008563</ns0:v>
      </ns0:c>
      <ns0:c r="K915" s="16">
        <ns0:f>A915*('前提と出典'!$C$36*'契約別単価'!K5+'前提と出典'!$C$37*'契約別単価'!K6+'前提と出典'!$C$38*'契約別単価'!K7)</ns0:f>
        <ns0:v>383807.5232774674</ns0:v>
      </ns0:c>
      <ns0:c r="L915" s="16">
        <ns0:f>A915*('前提と出典'!$C$36*'契約別単価'!L5+'前提と出典'!$C$37*'契約別単価'!L6+'前提と出典'!$C$38*'契約別単価'!L7)</ns0:f>
        <ns0:v>312497.42393531906</ns0:v>
      </ns0:c>
      <ns0:c r="M915" s="16">
        <ns0:f>IF(('前提と出典'!$C$36+'前提と出典'!$C$38)=0,0,IF(B915&lt;=10,'前提と出典'!B73+'前提と出典'!C73,IF(B915&lt;=100,'前提と出典'!B74+'前提と出典'!C74,IF(B915&lt;=500,'前提と出典'!B75+'前提と出典'!C75,'前提と出典'!B76+'前提と出典'!C76))))</ns0:f>
        <ns0:v>80000</ns0:v>
      </ns0:c>
      <ns0:c r="N915" s="16">
        <ns0:f>IF(('前提と出典'!$C$37+'前提と出典'!$C$38)=0,0,IF(C915&lt;=10,'前提と出典'!D73+'前提と出典'!E73,IF(C915&lt;=100,'前提と出典'!D74+'前提と出典'!E74,IF(C915&lt;=500,'前提と出典'!D75+'前提と出典'!E75,'前提と出典'!D76+'前提と出典'!E76))))</ns0:f>
        <ns0:v>86510.9346263078</ns0:v>
      </ns0:c>
      <ns0:c r="O915" s="16">
        <ns0:f>IF('前提と出典'!$C$36+'前提と出典'!$C$38=0,0,'前提と出典'!$B$4*IF('前提と出典'!$B$20=0,MAX('前提と出典'!$B$6,D915*'前提と出典'!$B$5),'前提と出典'!$B$6+D915*'前提と出典'!$B$5))</ns0:f>
        <ns0:v>904607.7318435755</ns0:v>
      </ns0:c>
      <ns0:c r="P915" s="16">
        <ns0:f>(E915+G915)*(1-'前提と出典'!$B$7)-I915-K915-M915-O915</ns0:f>
        <ns0:v>2040488.268792127</ns0:v>
      </ns0:c>
      <ns0:c r="Q915" s="16">
        <ns0:f>(F915+H915)*(1-'前提と出典'!$B$7)-J915-L915-N915</ns0:f>
        <ns0:v>785021.1151856908</ns0:v>
      </ns0:c>
      <ns0:c r="R915" s="16">
        <ns0:f>P915-E915*'前提と出典'!$E$4</ns0:f>
        <ns0:v>1511667.8941071713</ns0:v>
      </ns0:c>
      <ns0:c r="S915" s="16">
        <ns0:f>Q915-F915*'前提と出典'!$E$4</ns0:f>
        <ns0:v>577478.330582586</ns0:v>
      </ns0:c>
      <ns0:c r="T915" s="7">
        <ns0:f>R915+S915</ns0:f>
        <ns0:v>2089146.2246897575</ns0:v>
      </ns0:c>
      <ns0:c r="U915" s="16">
        <ns0:f>P915-E915*'前提と出典'!$E$5</ns0:f>
        <ns0:v>1335394.4358788528</ns0:v>
      </ns0:c>
      <ns0:c r="V915" s="16">
        <ns0:f>Q915-F915*'前提と出典'!$E$5</ns0:f>
        <ns0:v>508297.4023815512</ns0:v>
      </ns0:c>
      <ns0:c r="W915" s="7">
        <ns0:f>U915+V915</ns0:f>
        <ns0:v>1843691.838260404</ns0:v>
      </ns0:c>
      <ns0:c r="X915" s="16">
        <ns0:f>P915-E915*'前提と出典'!$E$6</ns0:f>
        <ns0:v>1159120.977650534</ns0:v>
      </ns0:c>
      <ns0:c r="Y915" s="16">
        <ns0:f>Q915-F915*'前提と出典'!$E$6</ns0:f>
        <ns0:v>439116.4741805163</ns0:v>
      </ns0:c>
      <ns0:c r="Z915" s="7">
        <ns0:f>X915+Y915</ns0:f>
        <ns0:v>1598237.4518310502</ns0:v>
      </ns0:c>
      <ns0:c r="AA915" s="7">
        <ns0:f>IF(T915&gt;=0,A915,1001)</ns0:f>
        <ns0:v>911</ns0:v>
      </ns0:c>
      <ns0:c r="AB915" s="7">
        <ns0:f>IF(T915&lt;0,A915,0)</ns0:f>
        <ns0:v>0</ns0:v>
      </ns0:c>
      <ns0:c r="AC915" s="16">
        <ns0:f>IF(AND(OR('前提と出典'!$C$36+'前提と出典'!$C$38=0,R915&gt;=0),OR('前提と出典'!$C$37+'前提と出典'!$C$38=0,S915&gt;=0)),0,A915)</ns0:f>
        <ns0:v>0</ns0:v>
      </ns0:c>
      <ns0:c r="AD915" s="7">
        <ns0:f>IF(W915&gt;=0,A915,1001)</ns0:f>
        <ns0:v>911</ns0:v>
      </ns0:c>
      <ns0:c r="AE915" s="7">
        <ns0:f>IF(W915&lt;0,A915,0)</ns0:f>
        <ns0:v>0</ns0:v>
      </ns0:c>
      <ns0:c r="AF915" s="16">
        <ns0:f>IF(AND(OR('前提と出典'!$C$36+'前提と出典'!$C$38=0,U915&gt;=0),OR('前提と出典'!$C$37+'前提と出典'!$C$38=0,V915&gt;=0)),0,A915)</ns0:f>
        <ns0:v>0</ns0:v>
      </ns0:c>
      <ns0:c r="AG915" s="7">
        <ns0:f>IF(Z915&gt;=0,A915,1001)</ns0:f>
        <ns0:v>911</ns0:v>
      </ns0:c>
      <ns0:c r="AH915" s="4">
        <ns0:f>IF(Z915&lt;0,A915,0)</ns0:f>
        <ns0:v>0</ns0:v>
      </ns0:c>
      <ns0:c r="AI915" s="12">
        <ns0:f>IF(AND(OR('前提と出典'!$C$36+'前提と出典'!$C$38=0,X915&gt;=0),OR('前提と出典'!$C$37+'前提と出典'!$C$38=0,Y915&gt;=0)),0,A915)</ns0:f>
        <ns0:v>0</ns0:v>
      </ns0:c>
    </ns0:row>
    <ns0:row r="916" ht="24" customHeight="1">
      <ns0:c r="A916" s="4" t="n">
        <ns0:v>912</ns0:v>
      </ns0:c>
      <ns0:c r="B916" s="12">
        <ns0:f>A916*('前提と出典'!$C$36+'前提と出典'!$C$38)</ns0:f>
        <ns0:v>638.4</ns0:v>
      </ns0:c>
      <ns0:c r="C916" s="12">
        <ns0:f>A916*('前提と出典'!$C$37+'前提と出典'!$C$38)</ns0:f>
        <ns0:v>547.1999999999999</ns0:v>
      </ns0:c>
      <ns0:c r="D916" s="16">
        <ns0:f>A916*('前提と出典'!$C$36*'契約別単価'!C5+'前提と出典'!$C$37*'契約別単価'!C6+'前提と出典'!$C$38*'契約別単価'!C7)</ns0:f>
        <ns0:v>6562.324022346369</ns0:v>
      </ns0:c>
      <ns0:c r="E916" s="16">
        <ns0:f>A916*('前提と出典'!$C$36*'契約別単価'!E5+'前提と出典'!$C$37*'契約別単価'!E6+'前提と出典'!$C$38*'契約別単価'!E7)</ns0:f>
        <ns0:v>1764669.5269399178</ns0:v>
      </ns0:c>
      <ns0:c r="F916" s="16">
        <ns0:f>A916*('前提と出典'!$C$36*'契約別単価'!F5+'前提と出典'!$C$37*'契約別単価'!F6+'前提と出典'!$C$38*'契約別単価'!F7)</ns0:f>
        <ns0:v>692568.677490053</ns0:v>
      </ns0:c>
      <ns0:c r="G916" s="16">
        <ns0:f>A916*('前提と出典'!$C$36*'契約別単価'!G5+'前提と出典'!$C$37*'契約別単価'!G6+'前提と出典'!$C$38*'契約別単価'!G7)</ns0:f>
        <ns0:v>1815338.5474860335</ns0:v>
      </ns0:c>
      <ns0:c r="H916" s="16">
        <ns0:f>A916*('前提と出典'!$C$36*'契約別単価'!H5+'前提と出典'!$C$37*'契約別単価'!H6+'前提と出典'!$C$38*'契約別単価'!H7)</ns0:f>
        <ns0:v>630013.5223604053</ns0:v>
      </ns0:c>
      <ns0:c r="I916" s="16">
        <ns0:f>A916*('前提と出典'!$C$36*'契約別単価'!I5+'前提と出典'!$C$37*'契約別単価'!I6+'前提と出典'!$C$38*'契約別単価'!I7)</ns0:f>
        <ns0:v>38482.324022346365</ns0:v>
      </ns0:c>
      <ns0:c r="J916" s="16">
        <ns0:f>A916*('前提と出典'!$C$36*'契約別単価'!J5+'前提と出典'!$C$37*'契約別単価'!J6+'前提と出典'!$C$38*'契約別単価'!J7)</ns0:f>
        <ns0:v>89640.06386379593</ns0:v>
      </ns0:c>
      <ns0:c r="K916" s="16">
        <ns0:f>A916*('前提と出典'!$C$36*'契約別単価'!K5+'前提と出典'!$C$37*'契約別単価'!K6+'前提と出典'!$C$38*'契約別単価'!K7)</ns0:f>
        <ns0:v>384228.8268156424</ns0:v>
      </ns0:c>
      <ns0:c r="L916" s="16">
        <ns0:f>A916*('前提と出典'!$C$36*'契約別単価'!L5+'前提と出典'!$C$37*'契約別単価'!L6+'前提と出典'!$C$38*'契約別単価'!L7)</ns0:f>
        <ns0:v>312840.45074534684</ns0:v>
      </ns0:c>
      <ns0:c r="M916" s="16">
        <ns0:f>IF(('前提と出典'!$C$36+'前提と出典'!$C$38)=0,0,IF(B916&lt;=10,'前提と出典'!B73+'前提と出典'!C73,IF(B916&lt;=100,'前提と出典'!B74+'前提と出典'!C74,IF(B916&lt;=500,'前提と出典'!B75+'前提と出典'!C75,'前提と出典'!B76+'前提と出典'!C76))))</ns0:f>
        <ns0:v>80000</ns0:v>
      </ns0:c>
      <ns0:c r="N916" s="16">
        <ns0:f>IF(('前提と出典'!$C$37+'前提と出典'!$C$38)=0,0,IF(C916&lt;=10,'前提と出典'!D73+'前提と出典'!E73,IF(C916&lt;=100,'前提と出典'!D74+'前提と出典'!E74,IF(C916&lt;=500,'前提と出典'!D75+'前提と出典'!E75,'前提と出典'!D76+'前提と出典'!E76))))</ns0:f>
        <ns0:v>86510.9346263078</ns0:v>
      </ns0:c>
      <ns0:c r="O916" s="16">
        <ns0:f>IF('前提と出典'!$C$36+'前提と出典'!$C$38=0,0,'前提と出典'!$B$4*IF('前提と出典'!$B$20=0,MAX('前提と出典'!$B$6,D916*'前提と出典'!$B$5),'前提と出典'!$B$6+D916*'前提と出典'!$B$5))</ns0:f>
        <ns0:v>905600.715083799</ns0:v>
      </ns0:c>
      <ns0:c r="P916" s="16">
        <ns0:f>(E916+G916)*(1-'前提と出典'!$B$7)-I916-K916-M916-O916</ns0:f>
        <ns0:v>2042815.91782483</ns0:v>
      </ns0:c>
      <ns0:c r="Q916" s="16">
        <ns0:f>(F916+H916)*(1-'前提と出典'!$B$7)-J916-L916-N916</ns0:f>
        <ns0:v>785977.7914203911</ns0:v>
      </ns0:c>
      <ns0:c r="R916" s="16">
        <ns0:f>P916-E916*'前提と出典'!$E$4</ns0:f>
        <ns0:v>1513415.0597428544</ns0:v>
      </ns0:c>
      <ns0:c r="S916" s="16">
        <ns0:f>Q916-F916*'前提と出典'!$E$4</ns0:f>
        <ns0:v>578207.1881733752</ns0:v>
      </ns0:c>
      <ns0:c r="T916" s="7">
        <ns0:f>R916+S916</ns0:f>
        <ns0:v>2091622.2479162295</ns0:v>
      </ns0:c>
      <ns0:c r="U916" s="16">
        <ns0:f>P916-E916*'前提と出典'!$E$5</ns0:f>
        <ns0:v>1336948.1070488626</ns0:v>
      </ns0:c>
      <ns0:c r="V916" s="16">
        <ns0:f>Q916-F916*'前提と出典'!$E$5</ns0:f>
        <ns0:v>508950.32042436977</ns0:v>
      </ns0:c>
      <ns0:c r="W916" s="7">
        <ns0:f>U916+V916</ns0:f>
        <ns0:v>1845898.4274732324</ns0:v>
      </ns0:c>
      <ns0:c r="X916" s="16">
        <ns0:f>P916-E916*'前提と出典'!$E$6</ns0:f>
        <ns0:v>1160481.1543548713</ns0:v>
      </ns0:c>
      <ns0:c r="Y916" s="16">
        <ns0:f>Q916-F916*'前提と出典'!$E$6</ns0:f>
        <ns0:v>439693.45267536456</ns0:v>
      </ns0:c>
      <ns0:c r="Z916" s="7">
        <ns0:f>X916+Y916</ns0:f>
        <ns0:v>1600174.6070302357</ns0:v>
      </ns0:c>
      <ns0:c r="AA916" s="7">
        <ns0:f>IF(T916&gt;=0,A916,1001)</ns0:f>
        <ns0:v>912</ns0:v>
      </ns0:c>
      <ns0:c r="AB916" s="7">
        <ns0:f>IF(T916&lt;0,A916,0)</ns0:f>
        <ns0:v>0</ns0:v>
      </ns0:c>
      <ns0:c r="AC916" s="16">
        <ns0:f>IF(AND(OR('前提と出典'!$C$36+'前提と出典'!$C$38=0,R916&gt;=0),OR('前提と出典'!$C$37+'前提と出典'!$C$38=0,S916&gt;=0)),0,A916)</ns0:f>
        <ns0:v>0</ns0:v>
      </ns0:c>
      <ns0:c r="AD916" s="7">
        <ns0:f>IF(W916&gt;=0,A916,1001)</ns0:f>
        <ns0:v>912</ns0:v>
      </ns0:c>
      <ns0:c r="AE916" s="7">
        <ns0:f>IF(W916&lt;0,A916,0)</ns0:f>
        <ns0:v>0</ns0:v>
      </ns0:c>
      <ns0:c r="AF916" s="16">
        <ns0:f>IF(AND(OR('前提と出典'!$C$36+'前提と出典'!$C$38=0,U916&gt;=0),OR('前提と出典'!$C$37+'前提と出典'!$C$38=0,V916&gt;=0)),0,A916)</ns0:f>
        <ns0:v>0</ns0:v>
      </ns0:c>
      <ns0:c r="AG916" s="7">
        <ns0:f>IF(Z916&gt;=0,A916,1001)</ns0:f>
        <ns0:v>912</ns0:v>
      </ns0:c>
      <ns0:c r="AH916" s="4">
        <ns0:f>IF(Z916&lt;0,A916,0)</ns0:f>
        <ns0:v>0</ns0:v>
      </ns0:c>
      <ns0:c r="AI916" s="12">
        <ns0:f>IF(AND(OR('前提と出典'!$C$36+'前提と出典'!$C$38=0,X916&gt;=0),OR('前提と出典'!$C$37+'前提と出典'!$C$38=0,Y916&gt;=0)),0,A916)</ns0:f>
        <ns0:v>0</ns0:v>
      </ns0:c>
    </ns0:row>
    <ns0:row r="917" ht="24" customHeight="1">
      <ns0:c r="A917" s="4" t="n">
        <ns0:v>913</ns0:v>
      </ns0:c>
      <ns0:c r="B917" s="12">
        <ns0:f>A917*('前提と出典'!$C$36+'前提と出典'!$C$38)</ns0:f>
        <ns0:v>639.0999999999999</ns0:v>
      </ns0:c>
      <ns0:c r="C917" s="12">
        <ns0:f>A917*('前提と出典'!$C$37+'前提と出典'!$C$38)</ns0:f>
        <ns0:v>547.8</ns0:v>
      </ns0:c>
      <ns0:c r="D917" s="16">
        <ns0:f>A917*('前提と出典'!$C$36*'契約別単価'!C5+'前提と出典'!$C$37*'契約別単価'!C6+'前提と出典'!$C$38*'契約別単価'!C7)</ns0:f>
        <ns0:v>6569.519553072626</ns0:v>
      </ns0:c>
      <ns0:c r="E917" s="16">
        <ns0:f>A917*('前提と出典'!$C$36*'契約別単価'!E5+'前提と出典'!$C$37*'契約別単価'!E6+'前提と出典'!$C$38*'契約別単価'!E7)</ns0:f>
        <ns0:v>1766604.47159665</ns0:v>
      </ns0:c>
      <ns0:c r="F917" s="16">
        <ns0:f>A917*('前提と出典'!$C$36*'契約別単価'!F5+'前提と出典'!$C$37*'契約別単価'!F6+'前提と出典'!$C$38*'契約別単価'!F7)</ns0:f>
        <ns0:v>693328.072969757</ns0:v>
      </ns0:c>
      <ns0:c r="G917" s="16">
        <ns0:f>A917*('前提と出典'!$C$36*'契約別単価'!G5+'前提と出典'!$C$37*'契約別単価'!G6+'前提と出典'!$C$38*'契約別単価'!G7)</ns0:f>
        <ns0:v>1817329.0502793295</ns0:v>
      </ns0:c>
      <ns0:c r="H917" s="16">
        <ns0:f>A917*('前提と出典'!$C$36*'契約別単価'!H5+'前提と出典'!$C$37*'契約別単価'!H6+'前提と出典'!$C$38*'契約別単価'!H7)</ns0:f>
        <ns0:v>630704.326661239</ns0:v>
      </ns0:c>
      <ns0:c r="I917" s="16">
        <ns0:f>A917*('前提と出典'!$C$36*'契約別単価'!I5+'前提と出典'!$C$37*'契約別単価'!I6+'前提と出典'!$C$38*'契約別単価'!I7)</ns0:f>
        <ns0:v>38524.51955307262</ns0:v>
      </ns0:c>
      <ns0:c r="J917" s="16">
        <ns0:f>A917*('前提と出典'!$C$36*'契約別単価'!J5+'前提と出典'!$C$37*'契約別単価'!J6+'前提と出典'!$C$38*'契約別単価'!J7)</ns0:f>
        <ns0:v>89738.35340750625</ns0:v>
      </ns0:c>
      <ns0:c r="K917" s="16">
        <ns0:f>A917*('前提と出典'!$C$36*'契約別単価'!K5+'前提と出典'!$C$37*'契約別単価'!K6+'前提と出典'!$C$38*'契約別単価'!K7)</ns0:f>
        <ns0:v>384650.1303538175</ns0:v>
      </ns0:c>
      <ns0:c r="L917" s="16">
        <ns0:f>A917*('前提と出典'!$C$36*'契約別単価'!L5+'前提と出典'!$C$37*'契約別単価'!L6+'前提と出典'!$C$38*'契約別単価'!L7)</ns0:f>
        <ns0:v>313183.4775553746</ns0:v>
      </ns0:c>
      <ns0:c r="M917" s="16">
        <ns0:f>IF(('前提と出典'!$C$36+'前提と出典'!$C$38)=0,0,IF(B917&lt;=10,'前提と出典'!B73+'前提と出典'!C73,IF(B917&lt;=100,'前提と出典'!B74+'前提と出典'!C74,IF(B917&lt;=500,'前提と出典'!B75+'前提と出典'!C75,'前提と出典'!B76+'前提と出典'!C76))))</ns0:f>
        <ns0:v>80000</ns0:v>
      </ns0:c>
      <ns0:c r="N917" s="16">
        <ns0:f>IF(('前提と出典'!$C$37+'前提と出典'!$C$38)=0,0,IF(C917&lt;=10,'前提と出典'!D73+'前提と出典'!E73,IF(C917&lt;=100,'前提と出典'!D74+'前提と出典'!E74,IF(C917&lt;=500,'前提と出典'!D75+'前提と出典'!E75,'前提と出典'!D76+'前提と出典'!E76))))</ns0:f>
        <ns0:v>86510.9346263078</ns0:v>
      </ns0:c>
      <ns0:c r="O917" s="16">
        <ns0:f>IF('前提と出典'!$C$36+'前提と出典'!$C$38=0,0,'前提と出典'!$B$4*IF('前提と出典'!$B$20=0,MAX('前提と出典'!$B$6,D917*'前提と出典'!$B$5),'前提と出典'!$B$6+D917*'前提と出典'!$B$5))</ns0:f>
        <ns0:v>906593.6983240225</ns0:v>
      </ns0:c>
      <ns0:c r="P917" s="16">
        <ns0:f>(E917+G917)*(1-'前提と出典'!$B$7)-I917-K917-M917-O917</ns0:f>
        <ns0:v>2045143.5668575317</ns0:v>
      </ns0:c>
      <ns0:c r="Q917" s="16">
        <ns0:f>(F917+H917)*(1-'前提と出典'!$B$7)-J917-L917-N917</ns0:f>
        <ns0:v>786934.4676550915</ns0:v>
      </ns0:c>
      <ns0:c r="R917" s="16">
        <ns0:f>P917-E917*'前提と出典'!$E$4</ns0:f>
        <ns0:v>1515162.2253785362</ns0:v>
      </ns0:c>
      <ns0:c r="S917" s="16">
        <ns0:f>Q917-F917*'前提と出典'!$E$4</ns0:f>
        <ns0:v>578936.0457641644</ns0:v>
      </ns0:c>
      <ns0:c r="T917" s="7">
        <ns0:f>R917+S917</ns0:f>
        <ns0:v>2094098.2711427007</ns0:v>
      </ns0:c>
      <ns0:c r="U917" s="16">
        <ns0:f>P917-E917*'前提と出典'!$E$5</ns0:f>
        <ns0:v>1338501.7782188714</ns0:v>
      </ns0:c>
      <ns0:c r="V917" s="16">
        <ns0:f>Q917-F917*'前提と出典'!$E$5</ns0:f>
        <ns0:v>509603.23846718867</ns0:v>
      </ns0:c>
      <ns0:c r="W917" s="7">
        <ns0:f>U917+V917</ns0:f>
        <ns0:v>1848105.01668606</ns0:v>
      </ns0:c>
      <ns0:c r="X917" s="16">
        <ns0:f>P917-E917*'前提と出典'!$E$6</ns0:f>
        <ns0:v>1161841.3310592067</ns0:v>
      </ns0:c>
      <ns0:c r="Y917" s="16">
        <ns0:f>Q917-F917*'前提と出典'!$E$6</ns0:f>
        <ns0:v>440270.4311702129</ns0:v>
      </ns0:c>
      <ns0:c r="Z917" s="7">
        <ns0:f>X917+Y917</ns0:f>
        <ns0:v>1602111.7622294198</ns0:v>
      </ns0:c>
      <ns0:c r="AA917" s="7">
        <ns0:f>IF(T917&gt;=0,A917,1001)</ns0:f>
        <ns0:v>913</ns0:v>
      </ns0:c>
      <ns0:c r="AB917" s="7">
        <ns0:f>IF(T917&lt;0,A917,0)</ns0:f>
        <ns0:v>0</ns0:v>
      </ns0:c>
      <ns0:c r="AC917" s="16">
        <ns0:f>IF(AND(OR('前提と出典'!$C$36+'前提と出典'!$C$38=0,R917&gt;=0),OR('前提と出典'!$C$37+'前提と出典'!$C$38=0,S917&gt;=0)),0,A917)</ns0:f>
        <ns0:v>0</ns0:v>
      </ns0:c>
      <ns0:c r="AD917" s="7">
        <ns0:f>IF(W917&gt;=0,A917,1001)</ns0:f>
        <ns0:v>913</ns0:v>
      </ns0:c>
      <ns0:c r="AE917" s="7">
        <ns0:f>IF(W917&lt;0,A917,0)</ns0:f>
        <ns0:v>0</ns0:v>
      </ns0:c>
      <ns0:c r="AF917" s="16">
        <ns0:f>IF(AND(OR('前提と出典'!$C$36+'前提と出典'!$C$38=0,U917&gt;=0),OR('前提と出典'!$C$37+'前提と出典'!$C$38=0,V917&gt;=0)),0,A917)</ns0:f>
        <ns0:v>0</ns0:v>
      </ns0:c>
      <ns0:c r="AG917" s="7">
        <ns0:f>IF(Z917&gt;=0,A917,1001)</ns0:f>
        <ns0:v>913</ns0:v>
      </ns0:c>
      <ns0:c r="AH917" s="4">
        <ns0:f>IF(Z917&lt;0,A917,0)</ns0:f>
        <ns0:v>0</ns0:v>
      </ns0:c>
      <ns0:c r="AI917" s="12">
        <ns0:f>IF(AND(OR('前提と出典'!$C$36+'前提と出典'!$C$38=0,X917&gt;=0),OR('前提と出典'!$C$37+'前提と出典'!$C$38=0,Y917&gt;=0)),0,A917)</ns0:f>
        <ns0:v>0</ns0:v>
      </ns0:c>
    </ns0:row>
    <ns0:row r="918" ht="24" customHeight="1">
      <ns0:c r="A918" s="4" t="n">
        <ns0:v>914</ns0:v>
      </ns0:c>
      <ns0:c r="B918" s="12">
        <ns0:f>A918*('前提と出典'!$C$36+'前提と出典'!$C$38)</ns0:f>
        <ns0:v>639.8</ns0:v>
      </ns0:c>
      <ns0:c r="C918" s="12">
        <ns0:f>A918*('前提と出典'!$C$37+'前提と出典'!$C$38)</ns0:f>
        <ns0:v>548.4</ns0:v>
      </ns0:c>
      <ns0:c r="D918" s="16">
        <ns0:f>A918*('前提と出典'!$C$36*'契約別単価'!C5+'前提と出典'!$C$37*'契約別単価'!C6+'前提と出典'!$C$38*'契約別単価'!C7)</ns0:f>
        <ns0:v>6576.715083798883</ns0:v>
      </ns0:c>
      <ns0:c r="E918" s="16">
        <ns0:f>A918*('前提と出典'!$C$36*'契約別単価'!E5+'前提と出典'!$C$37*'契約別単価'!E6+'前提と出典'!$C$38*'契約別単価'!E7)</ns0:f>
        <ns0:v>1768539.4162533826</ns0:v>
      </ns0:c>
      <ns0:c r="F918" s="16">
        <ns0:f>A918*('前提と出典'!$C$36*'契約別単価'!F5+'前提と出典'!$C$37*'契約別単価'!F6+'前提と出典'!$C$38*'契約別単価'!F7)</ns0:f>
        <ns0:v>694087.468449461</ns0:v>
      </ns0:c>
      <ns0:c r="G918" s="16">
        <ns0:f>A918*('前提と出典'!$C$36*'契約別単価'!G5+'前提と出典'!$C$37*'契約別単価'!G6+'前提と出典'!$C$38*'契約別単価'!G7)</ns0:f>
        <ns0:v>1819319.5530726255</ns0:v>
      </ns0:c>
      <ns0:c r="H918" s="16">
        <ns0:f>A918*('前提と出典'!$C$36*'契約別単価'!H5+'前提と出典'!$C$37*'契約別単価'!H6+'前提と出典'!$C$38*'契約別単価'!H7)</ns0:f>
        <ns0:v>631395.1309620728</ns0:v>
      </ns0:c>
      <ns0:c r="I918" s="16">
        <ns0:f>A918*('前提と出典'!$C$36*'契約別単価'!I5+'前提と出典'!$C$37*'契約別単価'!I6+'前提と出典'!$C$38*'契約別単価'!I7)</ns0:f>
        <ns0:v>38566.715083798874</ns0:v>
      </ns0:c>
      <ns0:c r="J918" s="16">
        <ns0:f>A918*('前提と出典'!$C$36*'契約別単価'!J5+'前提と出典'!$C$37*'契約別単価'!J6+'前提と出典'!$C$38*'契約別単価'!J7)</ns0:f>
        <ns0:v>89836.64295121655</ns0:v>
      </ns0:c>
      <ns0:c r="K918" s="16">
        <ns0:f>A918*('前提と出典'!$C$36*'契約別単価'!K5+'前提と出典'!$C$37*'契約別単価'!K6+'前提と出典'!$C$38*'契約別単価'!K7)</ns0:f>
        <ns0:v>385071.43389199255</ns0:v>
      </ns0:c>
      <ns0:c r="L918" s="16">
        <ns0:f>A918*('前提と出典'!$C$36*'契約別単価'!L5+'前提と出典'!$C$37*'契約別単価'!L6+'前提と出典'!$C$38*'契約別単価'!L7)</ns0:f>
        <ns0:v>313526.5043654024</ns0:v>
      </ns0:c>
      <ns0:c r="M918" s="16">
        <ns0:f>IF(('前提と出典'!$C$36+'前提と出典'!$C$38)=0,0,IF(B918&lt;=10,'前提と出典'!B73+'前提と出典'!C73,IF(B918&lt;=100,'前提と出典'!B74+'前提と出典'!C74,IF(B918&lt;=500,'前提と出典'!B75+'前提と出典'!C75,'前提と出典'!B76+'前提と出典'!C76))))</ns0:f>
        <ns0:v>80000</ns0:v>
      </ns0:c>
      <ns0:c r="N918" s="16">
        <ns0:f>IF(('前提と出典'!$C$37+'前提と出典'!$C$38)=0,0,IF(C918&lt;=10,'前提と出典'!D73+'前提と出典'!E73,IF(C918&lt;=100,'前提と出典'!D74+'前提と出典'!E74,IF(C918&lt;=500,'前提と出典'!D75+'前提と出典'!E75,'前提と出典'!D76+'前提と出典'!E76))))</ns0:f>
        <ns0:v>86510.9346263078</ns0:v>
      </ns0:c>
      <ns0:c r="O918" s="16">
        <ns0:f>IF('前提と出典'!$C$36+'前提と出典'!$C$38=0,0,'前提と出典'!$B$4*IF('前提と出典'!$B$20=0,MAX('前提と出典'!$B$6,D918*'前提と出典'!$B$5),'前提と出典'!$B$6+D918*'前提と出典'!$B$5))</ns0:f>
        <ns0:v>907586.681564246</ns0:v>
      </ns0:c>
      <ns0:c r="P918" s="16">
        <ns0:f>(E918+G918)*(1-'前提と出典'!$B$7)-I918-K918-M918-O918</ns0:f>
        <ns0:v>2047471.2158902348</ns0:v>
      </ns0:c>
      <ns0:c r="Q918" s="16">
        <ns0:f>(F918+H918)*(1-'前提と出典'!$B$7)-J918-L918-N918</ns0:f>
        <ns0:v>787891.1438897916</ns0:v>
      </ns0:c>
      <ns0:c r="R918" s="16">
        <ns0:f>P918-E918*'前提と出典'!$E$4</ns0:f>
        <ns0:v>1516909.3910142202</ns0:v>
      </ns0:c>
      <ns0:c r="S918" s="16">
        <ns0:f>Q918-F918*'前提と出典'!$E$4</ns0:f>
        <ns0:v>579664.9033549534</ns0:v>
      </ns0:c>
      <ns0:c r="T918" s="7">
        <ns0:f>R918+S918</ns0:f>
        <ns0:v>2096574.2943691737</ns0:v>
      </ns0:c>
      <ns0:c r="U918" s="16">
        <ns0:f>P918-E918*'前提と出典'!$E$5</ns0:f>
        <ns0:v>1340055.4493888817</ns0:v>
      </ns0:c>
      <ns0:c r="V918" s="16">
        <ns0:f>Q918-F918*'前提と出典'!$E$5</ns0:f>
        <ns0:v>510256.1565100072</ns0:v>
      </ns0:c>
      <ns0:c r="W918" s="7">
        <ns0:f>U918+V918</ns0:f>
        <ns0:v>1850311.6058988888</ns0:v>
      </ns0:c>
      <ns0:c r="X918" s="16">
        <ns0:f>P918-E918*'前提と出典'!$E$6</ns0:f>
        <ns0:v>1163201.5077635436</ns0:v>
      </ns0:c>
      <ns0:c r="Y918" s="16">
        <ns0:f>Q918-F918*'前提と出典'!$E$6</ns0:f>
        <ns0:v>440847.40966506116</ns0:v>
      </ns0:c>
      <ns0:c r="Z918" s="7">
        <ns0:f>X918+Y918</ns0:f>
        <ns0:v>1604048.9174286048</ns0:v>
      </ns0:c>
      <ns0:c r="AA918" s="7">
        <ns0:f>IF(T918&gt;=0,A918,1001)</ns0:f>
        <ns0:v>914</ns0:v>
      </ns0:c>
      <ns0:c r="AB918" s="7">
        <ns0:f>IF(T918&lt;0,A918,0)</ns0:f>
        <ns0:v>0</ns0:v>
      </ns0:c>
      <ns0:c r="AC918" s="16">
        <ns0:f>IF(AND(OR('前提と出典'!$C$36+'前提と出典'!$C$38=0,R918&gt;=0),OR('前提と出典'!$C$37+'前提と出典'!$C$38=0,S918&gt;=0)),0,A918)</ns0:f>
        <ns0:v>0</ns0:v>
      </ns0:c>
      <ns0:c r="AD918" s="7">
        <ns0:f>IF(W918&gt;=0,A918,1001)</ns0:f>
        <ns0:v>914</ns0:v>
      </ns0:c>
      <ns0:c r="AE918" s="7">
        <ns0:f>IF(W918&lt;0,A918,0)</ns0:f>
        <ns0:v>0</ns0:v>
      </ns0:c>
      <ns0:c r="AF918" s="16">
        <ns0:f>IF(AND(OR('前提と出典'!$C$36+'前提と出典'!$C$38=0,U918&gt;=0),OR('前提と出典'!$C$37+'前提と出典'!$C$38=0,V918&gt;=0)),0,A918)</ns0:f>
        <ns0:v>0</ns0:v>
      </ns0:c>
      <ns0:c r="AG918" s="7">
        <ns0:f>IF(Z918&gt;=0,A918,1001)</ns0:f>
        <ns0:v>914</ns0:v>
      </ns0:c>
      <ns0:c r="AH918" s="4">
        <ns0:f>IF(Z918&lt;0,A918,0)</ns0:f>
        <ns0:v>0</ns0:v>
      </ns0:c>
      <ns0:c r="AI918" s="12">
        <ns0:f>IF(AND(OR('前提と出典'!$C$36+'前提と出典'!$C$38=0,X918&gt;=0),OR('前提と出典'!$C$37+'前提と出典'!$C$38=0,Y918&gt;=0)),0,A918)</ns0:f>
        <ns0:v>0</ns0:v>
      </ns0:c>
    </ns0:row>
    <ns0:row r="919" ht="24" customHeight="1">
      <ns0:c r="A919" s="4" t="n">
        <ns0:v>915</ns0:v>
      </ns0:c>
      <ns0:c r="B919" s="12">
        <ns0:f>A919*('前提と出典'!$C$36+'前提と出典'!$C$38)</ns0:f>
        <ns0:v>640.5</ns0:v>
      </ns0:c>
      <ns0:c r="C919" s="12">
        <ns0:f>A919*('前提と出典'!$C$37+'前提と出典'!$C$38)</ns0:f>
        <ns0:v>549</ns0:v>
      </ns0:c>
      <ns0:c r="D919" s="16">
        <ns0:f>A919*('前提と出典'!$C$36*'契約別単価'!C5+'前提と出典'!$C$37*'契約別単価'!C6+'前提と出典'!$C$38*'契約別単価'!C7)</ns0:f>
        <ns0:v>6583.91061452514</ns0:v>
      </ns0:c>
      <ns0:c r="E919" s="16">
        <ns0:f>A919*('前提と出典'!$C$36*'契約別単価'!E5+'前提と出典'!$C$37*'契約別単価'!E6+'前提と出典'!$C$38*'契約別単価'!E7)</ns0:f>
        <ns0:v>1770474.3609101148</ns0:v>
      </ns0:c>
      <ns0:c r="F919" s="16">
        <ns0:f>A919*('前提と出典'!$C$36*'契約別単価'!F5+'前提と出典'!$C$37*'契約別単価'!F6+'前提と出典'!$C$38*'契約別単価'!F7)</ns0:f>
        <ns0:v>694846.8639291651</ns0:v>
      </ns0:c>
      <ns0:c r="G919" s="16">
        <ns0:f>A919*('前提と出典'!$C$36*'契約別単価'!G5+'前提と出典'!$C$37*'契約別単価'!G6+'前提と出典'!$C$38*'契約別単価'!G7)</ns0:f>
        <ns0:v>1821310.0558659218</ns0:v>
      </ns0:c>
      <ns0:c r="H919" s="16">
        <ns0:f>A919*('前提と出典'!$C$36*'契約別単価'!H5+'前提と出典'!$C$37*'契約別単価'!H6+'前提と出典'!$C$38*'契約別単価'!H7)</ns0:f>
        <ns0:v>632085.9352629066</ns0:v>
      </ns0:c>
      <ns0:c r="I919" s="16">
        <ns0:f>A919*('前提と出典'!$C$36*'契約別単価'!I5+'前提と出典'!$C$37*'契約別単価'!I6+'前提と出典'!$C$38*'契約別単価'!I7)</ns0:f>
        <ns0:v>38608.910614525135</ns0:v>
      </ns0:c>
      <ns0:c r="J919" s="16">
        <ns0:f>A919*('前提と出典'!$C$36*'契約別単価'!J5+'前提と出典'!$C$37*'契約別単価'!J6+'前提と出典'!$C$38*'契約別単価'!J7)</ns0:f>
        <ns0:v>89934.93249492685</ns0:v>
      </ns0:c>
      <ns0:c r="K919" s="16">
        <ns0:f>A919*('前提と出典'!$C$36*'契約別単価'!K5+'前提と出典'!$C$37*'契約別単価'!K6+'前提と出典'!$C$38*'契約別単価'!K7)</ns0:f>
        <ns0:v>385492.73743016756</ns0:v>
      </ns0:c>
      <ns0:c r="L919" s="16">
        <ns0:f>A919*('前提と出典'!$C$36*'契約別単価'!L5+'前提と出典'!$C$37*'契約別単価'!L6+'前提と出典'!$C$38*'契約別単価'!L7)</ns0:f>
        <ns0:v>313869.5311754302</ns0:v>
      </ns0:c>
      <ns0:c r="M919" s="16">
        <ns0:f>IF(('前提と出典'!$C$36+'前提と出典'!$C$38)=0,0,IF(B919&lt;=10,'前提と出典'!B73+'前提と出典'!C73,IF(B919&lt;=100,'前提と出典'!B74+'前提と出典'!C74,IF(B919&lt;=500,'前提と出典'!B75+'前提と出典'!C75,'前提と出典'!B76+'前提と出典'!C76))))</ns0:f>
        <ns0:v>80000</ns0:v>
      </ns0:c>
      <ns0:c r="N919" s="16">
        <ns0:f>IF(('前提と出典'!$C$37+'前提と出典'!$C$38)=0,0,IF(C919&lt;=10,'前提と出典'!D73+'前提と出典'!E73,IF(C919&lt;=100,'前提と出典'!D74+'前提と出典'!E74,IF(C919&lt;=500,'前提と出典'!D75+'前提と出典'!E75,'前提と出典'!D76+'前提と出典'!E76))))</ns0:f>
        <ns0:v>86510.9346263078</ns0:v>
      </ns0:c>
      <ns0:c r="O919" s="16">
        <ns0:f>IF('前提と出典'!$C$36+'前提と出典'!$C$38=0,0,'前提と出典'!$B$4*IF('前提と出典'!$B$20=0,MAX('前提と出典'!$B$6,D919*'前提と出典'!$B$5),'前提と出典'!$B$6+D919*'前提と出典'!$B$5))</ns0:f>
        <ns0:v>908579.6648044694</ns0:v>
      </ns0:c>
      <ns0:c r="P919" s="16">
        <ns0:f>(E919+G919)*(1-'前提と出典'!$B$7)-I919-K919-M919-O919</ns0:f>
        <ns0:v>2049798.864922938</ns0:v>
      </ns0:c>
      <ns0:c r="Q919" s="16">
        <ns0:f>(F919+H919)*(1-'前提と出典'!$B$7)-J919-L919-N919</ns0:f>
        <ns0:v>788847.8201244922</ns0:v>
      </ns0:c>
      <ns0:c r="R919" s="16">
        <ns0:f>P919-E919*'前提と出典'!$E$4</ns0:f>
        <ns0:v>1518656.5566499038</ns0:v>
      </ns0:c>
      <ns0:c r="S919" s="16">
        <ns0:f>Q919-F919*'前提と出典'!$E$4</ns0:f>
        <ns0:v>580393.7609457425</ns0:v>
      </ns0:c>
      <ns0:c r="T919" s="7">
        <ns0:f>R919+S919</ns0:f>
        <ns0:v>2099050.3175956463</ns0:v>
      </ns0:c>
      <ns0:c r="U919" s="16">
        <ns0:f>P919-E919*'前提と出典'!$E$5</ns0:f>
        <ns0:v>1341609.120558892</ns0:v>
      </ns0:c>
      <ns0:c r="V919" s="16">
        <ns0:f>Q919-F919*'前提と出典'!$E$5</ns0:f>
        <ns0:v>510909.0745528261</ns0:v>
      </ns0:c>
      <ns0:c r="W919" s="7">
        <ns0:f>U919+V919</ns0:f>
        <ns0:v>1852518.195111718</ns0:v>
      </ns0:c>
      <ns0:c r="X919" s="16">
        <ns0:f>P919-E919*'前提と出典'!$E$6</ns0:f>
        <ns0:v>1164561.6844678805</ns0:v>
      </ns0:c>
      <ns0:c r="Y919" s="16">
        <ns0:f>Q919-F919*'前提と出典'!$E$6</ns0:f>
        <ns0:v>441424.38815990975</ns0:v>
      </ns0:c>
      <ns0:c r="Z919" s="7">
        <ns0:f>X919+Y919</ns0:f>
        <ns0:v>1605986.0726277903</ns0:v>
      </ns0:c>
      <ns0:c r="AA919" s="7">
        <ns0:f>IF(T919&gt;=0,A919,1001)</ns0:f>
        <ns0:v>915</ns0:v>
      </ns0:c>
      <ns0:c r="AB919" s="7">
        <ns0:f>IF(T919&lt;0,A919,0)</ns0:f>
        <ns0:v>0</ns0:v>
      </ns0:c>
      <ns0:c r="AC919" s="16">
        <ns0:f>IF(AND(OR('前提と出典'!$C$36+'前提と出典'!$C$38=0,R919&gt;=0),OR('前提と出典'!$C$37+'前提と出典'!$C$38=0,S919&gt;=0)),0,A919)</ns0:f>
        <ns0:v>0</ns0:v>
      </ns0:c>
      <ns0:c r="AD919" s="7">
        <ns0:f>IF(W919&gt;=0,A919,1001)</ns0:f>
        <ns0:v>915</ns0:v>
      </ns0:c>
      <ns0:c r="AE919" s="7">
        <ns0:f>IF(W919&lt;0,A919,0)</ns0:f>
        <ns0:v>0</ns0:v>
      </ns0:c>
      <ns0:c r="AF919" s="16">
        <ns0:f>IF(AND(OR('前提と出典'!$C$36+'前提と出典'!$C$38=0,U919&gt;=0),OR('前提と出典'!$C$37+'前提と出典'!$C$38=0,V919&gt;=0)),0,A919)</ns0:f>
        <ns0:v>0</ns0:v>
      </ns0:c>
      <ns0:c r="AG919" s="7">
        <ns0:f>IF(Z919&gt;=0,A919,1001)</ns0:f>
        <ns0:v>915</ns0:v>
      </ns0:c>
      <ns0:c r="AH919" s="4">
        <ns0:f>IF(Z919&lt;0,A919,0)</ns0:f>
        <ns0:v>0</ns0:v>
      </ns0:c>
      <ns0:c r="AI919" s="12">
        <ns0:f>IF(AND(OR('前提と出典'!$C$36+'前提と出典'!$C$38=0,X919&gt;=0),OR('前提と出典'!$C$37+'前提と出典'!$C$38=0,Y919&gt;=0)),0,A919)</ns0:f>
        <ns0:v>0</ns0:v>
      </ns0:c>
    </ns0:row>
    <ns0:row r="920" ht="24" customHeight="1">
      <ns0:c r="A920" s="4" t="n">
        <ns0:v>916</ns0:v>
      </ns0:c>
      <ns0:c r="B920" s="12">
        <ns0:f>A920*('前提と出典'!$C$36+'前提と出典'!$C$38)</ns0:f>
        <ns0:v>641.1999999999999</ns0:v>
      </ns0:c>
      <ns0:c r="C920" s="12">
        <ns0:f>A920*('前提と出典'!$C$37+'前提と出典'!$C$38)</ns0:f>
        <ns0:v>549.6</ns0:v>
      </ns0:c>
      <ns0:c r="D920" s="16">
        <ns0:f>A920*('前提と出典'!$C$36*'契約別単価'!C5+'前提と出典'!$C$37*'契約別単価'!C6+'前提と出典'!$C$38*'契約別単価'!C7)</ns0:f>
        <ns0:v>6591.106145251397</ns0:v>
      </ns0:c>
      <ns0:c r="E920" s="16">
        <ns0:f>A920*('前提と出典'!$C$36*'契約別単価'!E5+'前提と出典'!$C$37*'契約別単価'!E6+'前提と出典'!$C$38*'契約別単価'!E7)</ns0:f>
        <ns0:v>1772409.3055668473</ns0:v>
      </ns0:c>
      <ns0:c r="F920" s="16">
        <ns0:f>A920*('前提と出典'!$C$36*'契約別単価'!F5+'前提と出典'!$C$37*'契約別単価'!F6+'前提と出典'!$C$38*'契約別単価'!F7)</ns0:f>
        <ns0:v>695606.2594088691</ns0:v>
      </ns0:c>
      <ns0:c r="G920" s="16">
        <ns0:f>A920*('前提と出典'!$C$36*'契約別単価'!G5+'前提と出典'!$C$37*'契約別単価'!G6+'前提と出典'!$C$38*'契約別単価'!G7)</ns0:f>
        <ns0:v>1823300.5586592178</ns0:v>
      </ns0:c>
      <ns0:c r="H920" s="16">
        <ns0:f>A920*('前提と出典'!$C$36*'契約別単価'!H5+'前提と出典'!$C$37*'契約別単価'!H6+'前提と出典'!$C$38*'契約別単価'!H7)</ns0:f>
        <ns0:v>632776.7395637403</ns0:v>
      </ns0:c>
      <ns0:c r="I920" s="16">
        <ns0:f>A920*('前提と出典'!$C$36*'契約別単価'!I5+'前提と出典'!$C$37*'契約別単価'!I6+'前提と出典'!$C$38*'契約別単価'!I7)</ns0:f>
        <ns0:v>38651.10614525139</ns0:v>
      </ns0:c>
      <ns0:c r="J920" s="16">
        <ns0:f>A920*('前提と出典'!$C$36*'契約別単価'!J5+'前提と出典'!$C$37*'契約別単価'!J6+'前提と出典'!$C$38*'契約別単価'!J7)</ns0:f>
        <ns0:v>90033.22203863715</ns0:v>
      </ns0:c>
      <ns0:c r="K920" s="16">
        <ns0:f>A920*('前提と出典'!$C$36*'契約別単価'!K5+'前提と出典'!$C$37*'契約別単価'!K6+'前提と出典'!$C$38*'契約別単価'!K7)</ns0:f>
        <ns0:v>385914.0409683426</ns0:v>
      </ns0:c>
      <ns0:c r="L920" s="16">
        <ns0:f>A920*('前提と出典'!$C$36*'契約別単価'!L5+'前提と出典'!$C$37*'契約別単価'!L6+'前提と出典'!$C$38*'契約別単価'!L7)</ns0:f>
        <ns0:v>314212.557985458</ns0:v>
      </ns0:c>
      <ns0:c r="M920" s="16">
        <ns0:f>IF(('前提と出典'!$C$36+'前提と出典'!$C$38)=0,0,IF(B920&lt;=10,'前提と出典'!B73+'前提と出典'!C73,IF(B920&lt;=100,'前提と出典'!B74+'前提と出典'!C74,IF(B920&lt;=500,'前提と出典'!B75+'前提と出典'!C75,'前提と出典'!B76+'前提と出典'!C76))))</ns0:f>
        <ns0:v>80000</ns0:v>
      </ns0:c>
      <ns0:c r="N920" s="16">
        <ns0:f>IF(('前提と出典'!$C$37+'前提と出典'!$C$38)=0,0,IF(C920&lt;=10,'前提と出典'!D73+'前提と出典'!E73,IF(C920&lt;=100,'前提と出典'!D74+'前提と出典'!E74,IF(C920&lt;=500,'前提と出典'!D75+'前提と出典'!E75,'前提と出典'!D76+'前提と出典'!E76))))</ns0:f>
        <ns0:v>86510.9346263078</ns0:v>
      </ns0:c>
      <ns0:c r="O920" s="16">
        <ns0:f>IF('前提と出典'!$C$36+'前提と出典'!$C$38=0,0,'前提と出典'!$B$4*IF('前提と出典'!$B$20=0,MAX('前提と出典'!$B$6,D920*'前提と出典'!$B$5),'前提と出典'!$B$6+D920*'前提と出典'!$B$5))</ns0:f>
        <ns0:v>909572.6480446927</ns0:v>
      </ns0:c>
      <ns0:c r="P920" s="16">
        <ns0:f>(E920+G920)*(1-'前提と出典'!$B$7)-I920-K920-M920-O920</ns0:f>
        <ns0:v>2052126.5139556397</ns0:v>
      </ns0:c>
      <ns0:c r="Q920" s="16">
        <ns0:f>(F920+H920)*(1-'前提と出典'!$B$7)-J920-L920-N920</ns0:f>
        <ns0:v>789804.4963591925</ns0:v>
      </ns0:c>
      <ns0:c r="R920" s="16">
        <ns0:f>P920-E920*'前提と出典'!$E$4</ns0:f>
        <ns0:v>1520403.7222855855</ns0:v>
      </ns0:c>
      <ns0:c r="S920" s="16">
        <ns0:f>Q920-F920*'前提と出典'!$E$4</ns0:f>
        <ns0:v>581122.6185365319</ns0:v>
      </ns0:c>
      <ns0:c r="T920" s="7">
        <ns0:f>R920+S920</ns0:f>
        <ns0:v>2101526.3408221174</ns0:v>
      </ns0:c>
      <ns0:c r="U920" s="16">
        <ns0:f>P920-E920*'前提と出典'!$E$5</ns0:f>
        <ns0:v>1343162.7917289007</ns0:v>
      </ns0:c>
      <ns0:c r="V920" s="16">
        <ns0:f>Q920-F920*'前提と出典'!$E$5</ns0:f>
        <ns0:v>511561.9925956449</ns0:v>
      </ns0:c>
      <ns0:c r="W920" s="7">
        <ns0:f>U920+V920</ns0:f>
        <ns0:v>1854724.7843245456</ns0:v>
      </ns0:c>
      <ns0:c r="X920" s="16">
        <ns0:f>P920-E920*'前提と出典'!$E$6</ns0:f>
        <ns0:v>1165921.861172216</ns0:v>
      </ns0:c>
      <ns0:c r="Y920" s="16">
        <ns0:f>Q920-F920*'前提と出典'!$E$6</ns0:f>
        <ns0:v>442001.3666547579</ns0:v>
      </ns0:c>
      <ns0:c r="Z920" s="7">
        <ns0:f>X920+Y920</ns0:f>
        <ns0:v>1607923.227826974</ns0:v>
      </ns0:c>
      <ns0:c r="AA920" s="7">
        <ns0:f>IF(T920&gt;=0,A920,1001)</ns0:f>
        <ns0:v>916</ns0:v>
      </ns0:c>
      <ns0:c r="AB920" s="7">
        <ns0:f>IF(T920&lt;0,A920,0)</ns0:f>
        <ns0:v>0</ns0:v>
      </ns0:c>
      <ns0:c r="AC920" s="16">
        <ns0:f>IF(AND(OR('前提と出典'!$C$36+'前提と出典'!$C$38=0,R920&gt;=0),OR('前提と出典'!$C$37+'前提と出典'!$C$38=0,S920&gt;=0)),0,A920)</ns0:f>
        <ns0:v>0</ns0:v>
      </ns0:c>
      <ns0:c r="AD920" s="7">
        <ns0:f>IF(W920&gt;=0,A920,1001)</ns0:f>
        <ns0:v>916</ns0:v>
      </ns0:c>
      <ns0:c r="AE920" s="7">
        <ns0:f>IF(W920&lt;0,A920,0)</ns0:f>
        <ns0:v>0</ns0:v>
      </ns0:c>
      <ns0:c r="AF920" s="16">
        <ns0:f>IF(AND(OR('前提と出典'!$C$36+'前提と出典'!$C$38=0,U920&gt;=0),OR('前提と出典'!$C$37+'前提と出典'!$C$38=0,V920&gt;=0)),0,A920)</ns0:f>
        <ns0:v>0</ns0:v>
      </ns0:c>
      <ns0:c r="AG920" s="7">
        <ns0:f>IF(Z920&gt;=0,A920,1001)</ns0:f>
        <ns0:v>916</ns0:v>
      </ns0:c>
      <ns0:c r="AH920" s="4">
        <ns0:f>IF(Z920&lt;0,A920,0)</ns0:f>
        <ns0:v>0</ns0:v>
      </ns0:c>
      <ns0:c r="AI920" s="12">
        <ns0:f>IF(AND(OR('前提と出典'!$C$36+'前提と出典'!$C$38=0,X920&gt;=0),OR('前提と出典'!$C$37+'前提と出典'!$C$38=0,Y920&gt;=0)),0,A920)</ns0:f>
        <ns0:v>0</ns0:v>
      </ns0:c>
    </ns0:row>
    <ns0:row r="921" ht="24" customHeight="1">
      <ns0:c r="A921" s="4" t="n">
        <ns0:v>917</ns0:v>
      </ns0:c>
      <ns0:c r="B921" s="12">
        <ns0:f>A921*('前提と出典'!$C$36+'前提と出典'!$C$38)</ns0:f>
        <ns0:v>641.9</ns0:v>
      </ns0:c>
      <ns0:c r="C921" s="12">
        <ns0:f>A921*('前提と出典'!$C$37+'前提と出典'!$C$38)</ns0:f>
        <ns0:v>550.1999999999999</ns0:v>
      </ns0:c>
      <ns0:c r="D921" s="16">
        <ns0:f>A921*('前提と出典'!$C$36*'契約別単価'!C5+'前提と出典'!$C$37*'契約別単価'!C6+'前提と出典'!$C$38*'契約別単価'!C7)</ns0:f>
        <ns0:v>6598.301675977654</ns0:v>
      </ns0:c>
      <ns0:c r="E921" s="16">
        <ns0:f>A921*('前提と出典'!$C$36*'契約別単価'!E5+'前提と出典'!$C$37*'契約別単価'!E6+'前提と出典'!$C$38*'契約別単価'!E7)</ns0:f>
        <ns0:v>1774344.2502235796</ns0:v>
      </ns0:c>
      <ns0:c r="F921" s="16">
        <ns0:f>A921*('前提と出典'!$C$36*'契約別単価'!F5+'前提と出典'!$C$37*'契約別単価'!F6+'前提と出典'!$C$38*'契約別単価'!F7)</ns0:f>
        <ns0:v>696365.6548885731</ns0:v>
      </ns0:c>
      <ns0:c r="G921" s="16">
        <ns0:f>A921*('前提と出典'!$C$36*'契約別単価'!G5+'前提と出典'!$C$37*'契約別単価'!G6+'前提と出典'!$C$38*'契約別単価'!G7)</ns0:f>
        <ns0:v>1825291.0614525138</ns0:v>
      </ns0:c>
      <ns0:c r="H921" s="16">
        <ns0:f>A921*('前提と出典'!$C$36*'契約別単価'!H5+'前提と出典'!$C$37*'契約別単価'!H6+'前提と出典'!$C$38*'契約別単価'!H7)</ns0:f>
        <ns0:v>633467.5438645742</ns0:v>
      </ns0:c>
      <ns0:c r="I921" s="16">
        <ns0:f>A921*('前提と出典'!$C$36*'契約別単価'!I5+'前提と出典'!$C$37*'契約別単価'!I6+'前提と出典'!$C$38*'契約別単価'!I7)</ns0:f>
        <ns0:v>38693.301675977644</ns0:v>
      </ns0:c>
      <ns0:c r="J921" s="16">
        <ns0:f>A921*('前提と出典'!$C$36*'契約別単価'!J5+'前提と出典'!$C$37*'契約別単価'!J6+'前提と出典'!$C$38*'契約別単価'!J7)</ns0:f>
        <ns0:v>90131.51158234745</ns0:v>
      </ns0:c>
      <ns0:c r="K921" s="16">
        <ns0:f>A921*('前提と出典'!$C$36*'契約別単価'!K5+'前提と出典'!$C$37*'契約別単価'!K6+'前提と出典'!$C$38*'契約別単価'!K7)</ns0:f>
        <ns0:v>386335.3445065177</ns0:v>
      </ns0:c>
      <ns0:c r="L921" s="16">
        <ns0:f>A921*('前提と出典'!$C$36*'契約別単価'!L5+'前提と出典'!$C$37*'契約別単価'!L6+'前提と出典'!$C$38*'契約別単価'!L7)</ns0:f>
        <ns0:v>314555.5847954858</ns0:v>
      </ns0:c>
      <ns0:c r="M921" s="16">
        <ns0:f>IF(('前提と出典'!$C$36+'前提と出典'!$C$38)=0,0,IF(B921&lt;=10,'前提と出典'!B73+'前提と出典'!C73,IF(B921&lt;=100,'前提と出典'!B74+'前提と出典'!C74,IF(B921&lt;=500,'前提と出典'!B75+'前提と出典'!C75,'前提と出典'!B76+'前提と出典'!C76))))</ns0:f>
        <ns0:v>80000</ns0:v>
      </ns0:c>
      <ns0:c r="N921" s="16">
        <ns0:f>IF(('前提と出典'!$C$37+'前提と出典'!$C$38)=0,0,IF(C921&lt;=10,'前提と出典'!D73+'前提と出典'!E73,IF(C921&lt;=100,'前提と出典'!D74+'前提と出典'!E74,IF(C921&lt;=500,'前提と出典'!D75+'前提と出典'!E75,'前提と出典'!D76+'前提と出典'!E76))))</ns0:f>
        <ns0:v>86510.9346263078</ns0:v>
      </ns0:c>
      <ns0:c r="O921" s="16">
        <ns0:f>IF('前提と出典'!$C$36+'前提と出典'!$C$38=0,0,'前提と出典'!$B$4*IF('前提と出典'!$B$20=0,MAX('前提と出典'!$B$6,D921*'前提と出典'!$B$5),'前提と出典'!$B$6+D921*'前提と出典'!$B$5))</ns0:f>
        <ns0:v>910565.6312849162</ns0:v>
      </ns0:c>
      <ns0:c r="P921" s="16">
        <ns0:f>(E921+G921)*(1-'前提と出典'!$B$7)-I921-K921-M921-O921</ns0:f>
        <ns0:v>2054454.1629883423</ns0:v>
      </ns0:c>
      <ns0:c r="Q921" s="16">
        <ns0:f>(F921+H921)*(1-'前提と出典'!$B$7)-J921-L921-N921</ns0:f>
        <ns0:v>790761.172593893</ns0:v>
      </ns0:c>
      <ns0:c r="R921" s="16">
        <ns0:f>P921-E921*'前提と出典'!$E$4</ns0:f>
        <ns0:v>1522150.8879212686</ns0:v>
      </ns0:c>
      <ns0:c r="S921" s="16">
        <ns0:f>Q921-F921*'前提と出典'!$E$4</ns0:f>
        <ns0:v>581851.4761273211</ns0:v>
      </ns0:c>
      <ns0:c r="T921" s="7">
        <ns0:f>R921+S921</ns0:f>
        <ns0:v>2104002.36404859</ns0:v>
      </ns0:c>
      <ns0:c r="U921" s="16">
        <ns0:f>P921-E921*'前提と出典'!$E$5</ns0:f>
        <ns0:v>1344716.4628989105</ns0:v>
      </ns0:c>
      <ns0:c r="V921" s="16">
        <ns0:f>Q921-F921*'前提と出典'!$E$5</ns0:f>
        <ns0:v>512214.9106384637</ns0:v>
      </ns0:c>
      <ns0:c r="W921" s="7">
        <ns0:f>U921+V921</ns0:f>
        <ns0:v>1856931.3735373742</ns0:v>
      </ns0:c>
      <ns0:c r="X921" s="16">
        <ns0:f>P921-E921*'前提と出典'!$E$6</ns0:f>
        <ns0:v>1167282.0378765524</ns0:v>
      </ns0:c>
      <ns0:c r="Y921" s="16">
        <ns0:f>Q921-F921*'前提と出典'!$E$6</ns0:f>
        <ns0:v>442578.34514960647</ns0:v>
      </ns0:c>
      <ns0:c r="Z921" s="7">
        <ns0:f>X921+Y921</ns0:f>
        <ns0:v>1609860.383026159</ns0:v>
      </ns0:c>
      <ns0:c r="AA921" s="7">
        <ns0:f>IF(T921&gt;=0,A921,1001)</ns0:f>
        <ns0:v>917</ns0:v>
      </ns0:c>
      <ns0:c r="AB921" s="7">
        <ns0:f>IF(T921&lt;0,A921,0)</ns0:f>
        <ns0:v>0</ns0:v>
      </ns0:c>
      <ns0:c r="AC921" s="16">
        <ns0:f>IF(AND(OR('前提と出典'!$C$36+'前提と出典'!$C$38=0,R921&gt;=0),OR('前提と出典'!$C$37+'前提と出典'!$C$38=0,S921&gt;=0)),0,A921)</ns0:f>
        <ns0:v>0</ns0:v>
      </ns0:c>
      <ns0:c r="AD921" s="7">
        <ns0:f>IF(W921&gt;=0,A921,1001)</ns0:f>
        <ns0:v>917</ns0:v>
      </ns0:c>
      <ns0:c r="AE921" s="7">
        <ns0:f>IF(W921&lt;0,A921,0)</ns0:f>
        <ns0:v>0</ns0:v>
      </ns0:c>
      <ns0:c r="AF921" s="16">
        <ns0:f>IF(AND(OR('前提と出典'!$C$36+'前提と出典'!$C$38=0,U921&gt;=0),OR('前提と出典'!$C$37+'前提と出典'!$C$38=0,V921&gt;=0)),0,A921)</ns0:f>
        <ns0:v>0</ns0:v>
      </ns0:c>
      <ns0:c r="AG921" s="7">
        <ns0:f>IF(Z921&gt;=0,A921,1001)</ns0:f>
        <ns0:v>917</ns0:v>
      </ns0:c>
      <ns0:c r="AH921" s="4">
        <ns0:f>IF(Z921&lt;0,A921,0)</ns0:f>
        <ns0:v>0</ns0:v>
      </ns0:c>
      <ns0:c r="AI921" s="12">
        <ns0:f>IF(AND(OR('前提と出典'!$C$36+'前提と出典'!$C$38=0,X921&gt;=0),OR('前提と出典'!$C$37+'前提と出典'!$C$38=0,Y921&gt;=0)),0,A921)</ns0:f>
        <ns0:v>0</ns0:v>
      </ns0:c>
    </ns0:row>
    <ns0:row r="922" ht="24" customHeight="1">
      <ns0:c r="A922" s="4" t="n">
        <ns0:v>918</ns0:v>
      </ns0:c>
      <ns0:c r="B922" s="12">
        <ns0:f>A922*('前提と出典'!$C$36+'前提と出典'!$C$38)</ns0:f>
        <ns0:v>642.5999999999999</ns0:v>
      </ns0:c>
      <ns0:c r="C922" s="12">
        <ns0:f>A922*('前提と出典'!$C$37+'前提と出典'!$C$38)</ns0:f>
        <ns0:v>550.8</ns0:v>
      </ns0:c>
      <ns0:c r="D922" s="16">
        <ns0:f>A922*('前提と出典'!$C$36*'契約別単価'!C5+'前提と出典'!$C$37*'契約別単価'!C6+'前提と出典'!$C$38*'契約別単価'!C7)</ns0:f>
        <ns0:v>6605.497206703911</ns0:v>
      </ns0:c>
      <ns0:c r="E922" s="16">
        <ns0:f>A922*('前提と出典'!$C$36*'契約別単価'!E5+'前提と出典'!$C$37*'契約別単価'!E6+'前提と出典'!$C$38*'契約別単価'!E7)</ns0:f>
        <ns0:v>1776279.1948803118</ns0:v>
      </ns0:c>
      <ns0:c r="F922" s="16">
        <ns0:f>A922*('前提と出典'!$C$36*'契約別単価'!F5+'前提と出典'!$C$37*'契約別単価'!F6+'前提と出典'!$C$38*'契約別単価'!F7)</ns0:f>
        <ns0:v>697125.0503682771</ns0:v>
      </ns0:c>
      <ns0:c r="G922" s="16">
        <ns0:f>A922*('前提と出典'!$C$36*'契約別単価'!G5+'前提と出典'!$C$37*'契約別単価'!G6+'前提と出典'!$C$38*'契約別単価'!G7)</ns0:f>
        <ns0:v>1827281.56424581</ns0:v>
      </ns0:c>
      <ns0:c r="H922" s="16">
        <ns0:f>A922*('前提と出典'!$C$36*'契約別単価'!H5+'前提と出典'!$C$37*'契約別単価'!H6+'前提と出典'!$C$38*'契約別単価'!H7)</ns0:f>
        <ns0:v>634158.3481654079</ns0:v>
      </ns0:c>
      <ns0:c r="I922" s="16">
        <ns0:f>A922*('前提と出典'!$C$36*'契約別単価'!I5+'前提と出典'!$C$37*'契約別単価'!I6+'前提と出典'!$C$38*'契約別単価'!I7)</ns0:f>
        <ns0:v>38735.497206703905</ns0:v>
      </ns0:c>
      <ns0:c r="J922" s="16">
        <ns0:f>A922*('前提と出典'!$C$36*'契約別単価'!J5+'前提と出典'!$C$37*'契約別単価'!J6+'前提と出典'!$C$38*'契約別単価'!J7)</ns0:f>
        <ns0:v>90229.80112605776</ns0:v>
      </ns0:c>
      <ns0:c r="K922" s="16">
        <ns0:f>A922*('前提と出典'!$C$36*'契約別単価'!K5+'前提と出典'!$C$37*'契約別単価'!K6+'前提と出典'!$C$38*'契約別単価'!K7)</ns0:f>
        <ns0:v>386756.6480446927</ns0:v>
      </ns0:c>
      <ns0:c r="L922" s="16">
        <ns0:f>A922*('前提と出典'!$C$36*'契約別単価'!L5+'前提と出典'!$C$37*'契約別単価'!L6+'前提と出典'!$C$38*'契約別単価'!L7)</ns0:f>
        <ns0:v>314898.6116055136</ns0:v>
      </ns0:c>
      <ns0:c r="M922" s="16">
        <ns0:f>IF(('前提と出典'!$C$36+'前提と出典'!$C$38)=0,0,IF(B922&lt;=10,'前提と出典'!B73+'前提と出典'!C73,IF(B922&lt;=100,'前提と出典'!B74+'前提と出典'!C74,IF(B922&lt;=500,'前提と出典'!B75+'前提と出典'!C75,'前提と出典'!B76+'前提と出典'!C76))))</ns0:f>
        <ns0:v>80000</ns0:v>
      </ns0:c>
      <ns0:c r="N922" s="16">
        <ns0:f>IF(('前提と出典'!$C$37+'前提と出典'!$C$38)=0,0,IF(C922&lt;=10,'前提と出典'!D73+'前提と出典'!E73,IF(C922&lt;=100,'前提と出典'!D74+'前提と出典'!E74,IF(C922&lt;=500,'前提と出典'!D75+'前提と出典'!E75,'前提と出典'!D76+'前提と出典'!E76))))</ns0:f>
        <ns0:v>86510.9346263078</ns0:v>
      </ns0:c>
      <ns0:c r="O922" s="16">
        <ns0:f>IF('前提と出典'!$C$36+'前提と出典'!$C$38=0,0,'前提と出典'!$B$4*IF('前提と出典'!$B$20=0,MAX('前提と出典'!$B$6,D922*'前提と出典'!$B$5),'前提と出典'!$B$6+D922*'前提と出典'!$B$5))</ns0:f>
        <ns0:v>911558.6145251397</ns0:v>
      </ns0:c>
      <ns0:c r="P922" s="16">
        <ns0:f>(E922+G922)*(1-'前提と出典'!$B$7)-I922-K922-M922-O922</ns0:f>
        <ns0:v>2056781.8120210455</ns0:v>
      </ns0:c>
      <ns0:c r="Q922" s="16">
        <ns0:f>(F922+H922)*(1-'前提と出典'!$B$7)-J922-L922-N922</ns0:f>
        <ns0:v>791717.8488285933</ns0:v>
      </ns0:c>
      <ns0:c r="R922" s="16">
        <ns0:f>P922-E922*'前提と出典'!$E$4</ns0:f>
        <ns0:v>1523898.0535569522</ns0:v>
      </ns0:c>
      <ns0:c r="S922" s="16">
        <ns0:f>Q922-F922*'前提と出典'!$E$4</ns0:f>
        <ns0:v>582580.3337181101</ns0:v>
      </ns0:c>
      <ns0:c r="T922" s="7">
        <ns0:f>R922+S922</ns0:f>
        <ns0:v>2106478.3872750625</ns0:v>
      </ns0:c>
      <ns0:c r="U922" s="16">
        <ns0:f>P922-E922*'前提と出典'!$E$5</ns0:f>
        <ns0:v>1346270.1340689207</ns0:v>
      </ns0:c>
      <ns0:c r="V922" s="16">
        <ns0:f>Q922-F922*'前提と出典'!$E$5</ns0:f>
        <ns0:v>512867.82868128247</ns0:v>
      </ns0:c>
      <ns0:c r="W922" s="7">
        <ns0:f>U922+V922</ns0:f>
        <ns0:v>1859137.9627502032</ns0:v>
      </ns0:c>
      <ns0:c r="X922" s="16">
        <ns0:f>P922-E922*'前提と出典'!$E$6</ns0:f>
        <ns0:v>1168642.2145808893</ns0:v>
      </ns0:c>
      <ns0:c r="Y922" s="16">
        <ns0:f>Q922-F922*'前提と出典'!$E$6</ns0:f>
        <ns0:v>443155.3236444547</ns0:v>
      </ns0:c>
      <ns0:c r="Z922" s="7">
        <ns0:f>X922+Y922</ns0:f>
        <ns0:v>1611797.538225344</ns0:v>
      </ns0:c>
      <ns0:c r="AA922" s="7">
        <ns0:f>IF(T922&gt;=0,A922,1001)</ns0:f>
        <ns0:v>918</ns0:v>
      </ns0:c>
      <ns0:c r="AB922" s="7">
        <ns0:f>IF(T922&lt;0,A922,0)</ns0:f>
        <ns0:v>0</ns0:v>
      </ns0:c>
      <ns0:c r="AC922" s="16">
        <ns0:f>IF(AND(OR('前提と出典'!$C$36+'前提と出典'!$C$38=0,R922&gt;=0),OR('前提と出典'!$C$37+'前提と出典'!$C$38=0,S922&gt;=0)),0,A922)</ns0:f>
        <ns0:v>0</ns0:v>
      </ns0:c>
      <ns0:c r="AD922" s="7">
        <ns0:f>IF(W922&gt;=0,A922,1001)</ns0:f>
        <ns0:v>918</ns0:v>
      </ns0:c>
      <ns0:c r="AE922" s="7">
        <ns0:f>IF(W922&lt;0,A922,0)</ns0:f>
        <ns0:v>0</ns0:v>
      </ns0:c>
      <ns0:c r="AF922" s="16">
        <ns0:f>IF(AND(OR('前提と出典'!$C$36+'前提と出典'!$C$38=0,U922&gt;=0),OR('前提と出典'!$C$37+'前提と出典'!$C$38=0,V922&gt;=0)),0,A922)</ns0:f>
        <ns0:v>0</ns0:v>
      </ns0:c>
      <ns0:c r="AG922" s="7">
        <ns0:f>IF(Z922&gt;=0,A922,1001)</ns0:f>
        <ns0:v>918</ns0:v>
      </ns0:c>
      <ns0:c r="AH922" s="4">
        <ns0:f>IF(Z922&lt;0,A922,0)</ns0:f>
        <ns0:v>0</ns0:v>
      </ns0:c>
      <ns0:c r="AI922" s="12">
        <ns0:f>IF(AND(OR('前提と出典'!$C$36+'前提と出典'!$C$38=0,X922&gt;=0),OR('前提と出典'!$C$37+'前提と出典'!$C$38=0,Y922&gt;=0)),0,A922)</ns0:f>
        <ns0:v>0</ns0:v>
      </ns0:c>
    </ns0:row>
    <ns0:row r="923" ht="24" customHeight="1">
      <ns0:c r="A923" s="4" t="n">
        <ns0:v>919</ns0:v>
      </ns0:c>
      <ns0:c r="B923" s="12">
        <ns0:f>A923*('前提と出典'!$C$36+'前提と出典'!$C$38)</ns0:f>
        <ns0:v>643.3</ns0:v>
      </ns0:c>
      <ns0:c r="C923" s="12">
        <ns0:f>A923*('前提と出典'!$C$37+'前提と出典'!$C$38)</ns0:f>
        <ns0:v>551.4</ns0:v>
      </ns0:c>
      <ns0:c r="D923" s="16">
        <ns0:f>A923*('前提と出典'!$C$36*'契約別単価'!C5+'前提と出典'!$C$37*'契約別単価'!C6+'前提と出典'!$C$38*'契約別単価'!C7)</ns0:f>
        <ns0:v>6612.692737430168</ns0:v>
      </ns0:c>
      <ns0:c r="E923" s="16">
        <ns0:f>A923*('前提と出典'!$C$36*'契約別単価'!E5+'前提と出典'!$C$37*'契約別単価'!E6+'前提と出典'!$C$38*'契約別単価'!E7)</ns0:f>
        <ns0:v>1778214.1395370443</ns0:v>
      </ns0:c>
      <ns0:c r="F923" s="16">
        <ns0:f>A923*('前提と出典'!$C$36*'契約別単価'!F5+'前提と出典'!$C$37*'契約別単価'!F6+'前提と出典'!$C$38*'契約別単価'!F7)</ns0:f>
        <ns0:v>697884.4458479811</ns0:v>
      </ns0:c>
      <ns0:c r="G923" s="16">
        <ns0:f>A923*('前提と出典'!$C$36*'契約別単価'!G5+'前提と出典'!$C$37*'契約別単価'!G6+'前提と出典'!$C$38*'契約別単価'!G7)</ns0:f>
        <ns0:v>1829272.067039106</ns0:v>
      </ns0:c>
      <ns0:c r="H923" s="16">
        <ns0:f>A923*('前提と出典'!$C$36*'契約別単価'!H5+'前提と出典'!$C$37*'契約別単価'!H6+'前提と出典'!$C$38*'契約別単価'!H7)</ns0:f>
        <ns0:v>634849.1524662417</ns0:v>
      </ns0:c>
      <ns0:c r="I923" s="16">
        <ns0:f>A923*('前提と出典'!$C$36*'契約別単価'!I5+'前提と出典'!$C$37*'契約別単価'!I6+'前提と出典'!$C$38*'契約別単価'!I7)</ns0:f>
        <ns0:v>38777.69273743016</ns0:v>
      </ns0:c>
      <ns0:c r="J923" s="16">
        <ns0:f>A923*('前提と出典'!$C$36*'契約別単価'!J5+'前提と出典'!$C$37*'契約別単価'!J6+'前提と出典'!$C$38*'契約別単価'!J7)</ns0:f>
        <ns0:v>90328.09066976806</ns0:v>
      </ns0:c>
      <ns0:c r="K923" s="16">
        <ns0:f>A923*('前提と出典'!$C$36*'契約別単価'!K5+'前提と出典'!$C$37*'契約別単価'!K6+'前提と出典'!$C$38*'契約別単価'!K7)</ns0:f>
        <ns0:v>387177.95158286777</ns0:v>
      </ns0:c>
      <ns0:c r="L923" s="16">
        <ns0:f>A923*('前提と出典'!$C$36*'契約別単価'!L5+'前提と出典'!$C$37*'契約別単価'!L6+'前提と出典'!$C$38*'契約別単価'!L7)</ns0:f>
        <ns0:v>315241.6384155414</ns0:v>
      </ns0:c>
      <ns0:c r="M923" s="16">
        <ns0:f>IF(('前提と出典'!$C$36+'前提と出典'!$C$38)=0,0,IF(B923&lt;=10,'前提と出典'!B73+'前提と出典'!C73,IF(B923&lt;=100,'前提と出典'!B74+'前提と出典'!C74,IF(B923&lt;=500,'前提と出典'!B75+'前提と出典'!C75,'前提と出典'!B76+'前提と出典'!C76))))</ns0:f>
        <ns0:v>80000</ns0:v>
      </ns0:c>
      <ns0:c r="N923" s="16">
        <ns0:f>IF(('前提と出典'!$C$37+'前提と出典'!$C$38)=0,0,IF(C923&lt;=10,'前提と出典'!D73+'前提と出典'!E73,IF(C923&lt;=100,'前提と出典'!D74+'前提と出典'!E74,IF(C923&lt;=500,'前提と出典'!D75+'前提と出典'!E75,'前提と出典'!D76+'前提と出典'!E76))))</ns0:f>
        <ns0:v>86510.9346263078</ns0:v>
      </ns0:c>
      <ns0:c r="O923" s="16">
        <ns0:f>IF('前提と出典'!$C$36+'前提と出典'!$C$38=0,0,'前提と出典'!$B$4*IF('前提と出典'!$B$20=0,MAX('前提と出典'!$B$6,D923*'前提と出典'!$B$5),'前提と出典'!$B$6+D923*'前提と出典'!$B$5))</ns0:f>
        <ns0:v>912551.5977653632</ns0:v>
      </ns0:c>
      <ns0:c r="P923" s="16">
        <ns0:f>(E923+G923)*(1-'前提と出典'!$B$7)-I923-K923-M923-O923</ns0:f>
        <ns0:v>2059109.4610537477</ns0:v>
      </ns0:c>
      <ns0:c r="Q923" s="16">
        <ns0:f>(F923+H923)*(1-'前提と出典'!$B$7)-J923-L923-N923</ns0:f>
        <ns0:v>792674.5250632935</ns0:v>
      </ns0:c>
      <ns0:c r="R923" s="16">
        <ns0:f>P923-E923*'前提と出典'!$E$4</ns0:f>
        <ns0:v>1525645.2191926343</ns0:v>
      </ns0:c>
      <ns0:c r="S923" s="16">
        <ns0:f>Q923-F923*'前提と出典'!$E$4</ns0:f>
        <ns0:v>583309.1913088991</ns0:v>
      </ns0:c>
      <ns0:c r="T923" s="7">
        <ns0:f>R923+S923</ns0:f>
        <ns0:v>2108954.410501533</ns0:v>
      </ns0:c>
      <ns0:c r="U923" s="16">
        <ns0:f>P923-E923*'前提と出典'!$E$5</ns0:f>
        <ns0:v>1347823.80523893</ns0:v>
      </ns0:c>
      <ns0:c r="V923" s="16">
        <ns0:f>Q923-F923*'前提と出典'!$E$5</ns0:f>
        <ns0:v>513520.74672410113</ns0:v>
      </ns0:c>
      <ns0:c r="W923" s="7">
        <ns0:f>U923+V923</ns0:f>
        <ns0:v>1861344.5519630313</ns0:v>
      </ns0:c>
      <ns0:c r="X923" s="16">
        <ns0:f>P923-E923*'前提と出典'!$E$6</ns0:f>
        <ns0:v>1170002.3912852253</ns0:v>
      </ns0:c>
      <ns0:c r="Y923" s="16">
        <ns0:f>Q923-F923*'前提と出典'!$E$6</ns0:f>
        <ns0:v>443732.30213930306</ns0:v>
      </ns0:c>
      <ns0:c r="Z923" s="7">
        <ns0:f>X923+Y923</ns0:f>
        <ns0:v>1613734.6934245285</ns0:v>
      </ns0:c>
      <ns0:c r="AA923" s="7">
        <ns0:f>IF(T923&gt;=0,A923,1001)</ns0:f>
        <ns0:v>919</ns0:v>
      </ns0:c>
      <ns0:c r="AB923" s="7">
        <ns0:f>IF(T923&lt;0,A923,0)</ns0:f>
        <ns0:v>0</ns0:v>
      </ns0:c>
      <ns0:c r="AC923" s="16">
        <ns0:f>IF(AND(OR('前提と出典'!$C$36+'前提と出典'!$C$38=0,R923&gt;=0),OR('前提と出典'!$C$37+'前提と出典'!$C$38=0,S923&gt;=0)),0,A923)</ns0:f>
        <ns0:v>0</ns0:v>
      </ns0:c>
      <ns0:c r="AD923" s="7">
        <ns0:f>IF(W923&gt;=0,A923,1001)</ns0:f>
        <ns0:v>919</ns0:v>
      </ns0:c>
      <ns0:c r="AE923" s="7">
        <ns0:f>IF(W923&lt;0,A923,0)</ns0:f>
        <ns0:v>0</ns0:v>
      </ns0:c>
      <ns0:c r="AF923" s="16">
        <ns0:f>IF(AND(OR('前提と出典'!$C$36+'前提と出典'!$C$38=0,U923&gt;=0),OR('前提と出典'!$C$37+'前提と出典'!$C$38=0,V923&gt;=0)),0,A923)</ns0:f>
        <ns0:v>0</ns0:v>
      </ns0:c>
      <ns0:c r="AG923" s="7">
        <ns0:f>IF(Z923&gt;=0,A923,1001)</ns0:f>
        <ns0:v>919</ns0:v>
      </ns0:c>
      <ns0:c r="AH923" s="4">
        <ns0:f>IF(Z923&lt;0,A923,0)</ns0:f>
        <ns0:v>0</ns0:v>
      </ns0:c>
      <ns0:c r="AI923" s="12">
        <ns0:f>IF(AND(OR('前提と出典'!$C$36+'前提と出典'!$C$38=0,X923&gt;=0),OR('前提と出典'!$C$37+'前提と出典'!$C$38=0,Y923&gt;=0)),0,A923)</ns0:f>
        <ns0:v>0</ns0:v>
      </ns0:c>
    </ns0:row>
    <ns0:row r="924" ht="24" customHeight="1">
      <ns0:c r="A924" s="4" t="n">
        <ns0:v>920</ns0:v>
      </ns0:c>
      <ns0:c r="B924" s="12">
        <ns0:f>A924*('前提と出典'!$C$36+'前提と出典'!$C$38)</ns0:f>
        <ns0:v>644</ns0:v>
      </ns0:c>
      <ns0:c r="C924" s="12">
        <ns0:f>A924*('前提と出典'!$C$37+'前提と出典'!$C$38)</ns0:f>
        <ns0:v>552</ns0:v>
      </ns0:c>
      <ns0:c r="D924" s="16">
        <ns0:f>A924*('前提と出典'!$C$36*'契約別単価'!C5+'前提と出典'!$C$37*'契約別単価'!C6+'前提と出典'!$C$38*'契約別単価'!C7)</ns0:f>
        <ns0:v>6619.888268156425</ns0:v>
      </ns0:c>
      <ns0:c r="E924" s="16">
        <ns0:f>A924*('前提と出典'!$C$36*'契約別単価'!E5+'前提と出典'!$C$37*'契約別単価'!E6+'前提と出典'!$C$38*'契約別単価'!E7)</ns0:f>
        <ns0:v>1780149.0841937766</ns0:v>
      </ns0:c>
      <ns0:c r="F924" s="16">
        <ns0:f>A924*('前提と出典'!$C$36*'契約別単価'!F5+'前提と出典'!$C$37*'契約別単価'!F6+'前提と出典'!$C$38*'契約別単価'!F7)</ns0:f>
        <ns0:v>698643.841327685</ns0:v>
      </ns0:c>
      <ns0:c r="G924" s="16">
        <ns0:f>A924*('前提と出典'!$C$36*'契約別単価'!G5+'前提と出典'!$C$37*'契約別単価'!G6+'前提と出典'!$C$38*'契約別単価'!G7)</ns0:f>
        <ns0:v>1831262.569832402</ns0:v>
      </ns0:c>
      <ns0:c r="H924" s="16">
        <ns0:f>A924*('前提と出典'!$C$36*'契約別単価'!H5+'前提と出典'!$C$37*'契約別単価'!H6+'前提と出典'!$C$38*'契約別単価'!H7)</ns0:f>
        <ns0:v>635539.9567670755</ns0:v>
      </ns0:c>
      <ns0:c r="I924" s="16">
        <ns0:f>A924*('前提と出典'!$C$36*'契約別単価'!I5+'前提と出典'!$C$37*'契約別単価'!I6+'前提と出典'!$C$38*'契約別単価'!I7)</ns0:f>
        <ns0:v>38819.88826815642</ns0:v>
      </ns0:c>
      <ns0:c r="J924" s="16">
        <ns0:f>A924*('前提と出典'!$C$36*'契約別単価'!J5+'前提と出典'!$C$37*'契約別単価'!J6+'前提と出典'!$C$38*'契約別単価'!J7)</ns0:f>
        <ns0:v>90426.38021347836</ns0:v>
      </ns0:c>
      <ns0:c r="K924" s="16">
        <ns0:f>A924*('前提と出典'!$C$36*'契約別単価'!K5+'前提と出典'!$C$37*'契約別単価'!K6+'前提と出典'!$C$38*'契約別単価'!K7)</ns0:f>
        <ns0:v>387599.2551210428</ns0:v>
      </ns0:c>
      <ns0:c r="L924" s="16">
        <ns0:f>A924*('前提と出典'!$C$36*'契約別単価'!L5+'前提と出典'!$C$37*'契約別単価'!L6+'前提と出典'!$C$38*'契約別単価'!L7)</ns0:f>
        <ns0:v>315584.66522556916</ns0:v>
      </ns0:c>
      <ns0:c r="M924" s="16">
        <ns0:f>IF(('前提と出典'!$C$36+'前提と出典'!$C$38)=0,0,IF(B924&lt;=10,'前提と出典'!B73+'前提と出典'!C73,IF(B924&lt;=100,'前提と出典'!B74+'前提と出典'!C74,IF(B924&lt;=500,'前提と出典'!B75+'前提と出典'!C75,'前提と出典'!B76+'前提と出典'!C76))))</ns0:f>
        <ns0:v>80000</ns0:v>
      </ns0:c>
      <ns0:c r="N924" s="16">
        <ns0:f>IF(('前提と出典'!$C$37+'前提と出典'!$C$38)=0,0,IF(C924&lt;=10,'前提と出典'!D73+'前提と出典'!E73,IF(C924&lt;=100,'前提と出典'!D74+'前提と出典'!E74,IF(C924&lt;=500,'前提と出典'!D75+'前提と出典'!E75,'前提と出典'!D76+'前提と出典'!E76))))</ns0:f>
        <ns0:v>86510.9346263078</ns0:v>
      </ns0:c>
      <ns0:c r="O924" s="16">
        <ns0:f>IF('前提と出典'!$C$36+'前提と出典'!$C$38=0,0,'前提と出典'!$B$4*IF('前提と出典'!$B$20=0,MAX('前提と出典'!$B$6,D924*'前提と出典'!$B$5),'前提と出典'!$B$6+D924*'前提と出典'!$B$5))</ns0:f>
        <ns0:v>913544.5810055867</ns0:v>
      </ns0:c>
      <ns0:c r="P924" s="16">
        <ns0:f>(E924+G924)*(1-'前提と出典'!$B$7)-I924-K924-M924-O924</ns0:f>
        <ns0:v>2061437.11008645</ns0:v>
      </ns0:c>
      <ns0:c r="Q924" s="16">
        <ns0:f>(F924+H924)*(1-'前提と出典'!$B$7)-J924-L924-N924</ns0:f>
        <ns0:v>793631.201297994</ns0:v>
      </ns0:c>
      <ns0:c r="R924" s="16">
        <ns0:f>P924-E924*'前提と出典'!$E$4</ns0:f>
        <ns0:v>1527392.384828317</ns0:v>
      </ns0:c>
      <ns0:c r="S924" s="16">
        <ns0:f>Q924-F924*'前提と出典'!$E$4</ns0:f>
        <ns0:v>584038.0488996885</ns0:v>
      </ns0:c>
      <ns0:c r="T924" s="7">
        <ns0:f>R924+S924</ns0:f>
        <ns0:v>2111430.4337280057</ns0:v>
      </ns0:c>
      <ns0:c r="U924" s="16">
        <ns0:f>P924-E924*'前提と出典'!$E$5</ns0:f>
        <ns0:v>1349377.4764089393</ns0:v>
      </ns0:c>
      <ns0:c r="V924" s="16">
        <ns0:f>Q924-F924*'前提と出典'!$E$5</ns0:f>
        <ns0:v>514173.6647669199</ns0:v>
      </ns0:c>
      <ns0:c r="W924" s="7">
        <ns0:f>U924+V924</ns0:f>
        <ns0:v>1863551.1411758591</ns0:v>
      </ns0:c>
      <ns0:c r="X924" s="16">
        <ns0:f>P924-E924*'前提と出典'!$E$6</ns0:f>
        <ns0:v>1171362.5679895617</ns0:v>
      </ns0:c>
      <ns0:c r="Y924" s="16">
        <ns0:f>Q924-F924*'前提と出典'!$E$6</ns0:f>
        <ns0:v>444309.2806341514</ns0:v>
      </ns0:c>
      <ns0:c r="Z924" s="7">
        <ns0:f>X924+Y924</ns0:f>
        <ns0:v>1615671.848623713</ns0:v>
      </ns0:c>
      <ns0:c r="AA924" s="7">
        <ns0:f>IF(T924&gt;=0,A924,1001)</ns0:f>
        <ns0:v>920</ns0:v>
      </ns0:c>
      <ns0:c r="AB924" s="7">
        <ns0:f>IF(T924&lt;0,A924,0)</ns0:f>
        <ns0:v>0</ns0:v>
      </ns0:c>
      <ns0:c r="AC924" s="16">
        <ns0:f>IF(AND(OR('前提と出典'!$C$36+'前提と出典'!$C$38=0,R924&gt;=0),OR('前提と出典'!$C$37+'前提と出典'!$C$38=0,S924&gt;=0)),0,A924)</ns0:f>
        <ns0:v>0</ns0:v>
      </ns0:c>
      <ns0:c r="AD924" s="7">
        <ns0:f>IF(W924&gt;=0,A924,1001)</ns0:f>
        <ns0:v>920</ns0:v>
      </ns0:c>
      <ns0:c r="AE924" s="7">
        <ns0:f>IF(W924&lt;0,A924,0)</ns0:f>
        <ns0:v>0</ns0:v>
      </ns0:c>
      <ns0:c r="AF924" s="16">
        <ns0:f>IF(AND(OR('前提と出典'!$C$36+'前提と出典'!$C$38=0,U924&gt;=0),OR('前提と出典'!$C$37+'前提と出典'!$C$38=0,V924&gt;=0)),0,A924)</ns0:f>
        <ns0:v>0</ns0:v>
      </ns0:c>
      <ns0:c r="AG924" s="7">
        <ns0:f>IF(Z924&gt;=0,A924,1001)</ns0:f>
        <ns0:v>920</ns0:v>
      </ns0:c>
      <ns0:c r="AH924" s="4">
        <ns0:f>IF(Z924&lt;0,A924,0)</ns0:f>
        <ns0:v>0</ns0:v>
      </ns0:c>
      <ns0:c r="AI924" s="12">
        <ns0:f>IF(AND(OR('前提と出典'!$C$36+'前提と出典'!$C$38=0,X924&gt;=0),OR('前提と出典'!$C$37+'前提と出典'!$C$38=0,Y924&gt;=0)),0,A924)</ns0:f>
        <ns0:v>0</ns0:v>
      </ns0:c>
    </ns0:row>
    <ns0:row r="925" ht="24" customHeight="1">
      <ns0:c r="A925" s="4" t="n">
        <ns0:v>921</ns0:v>
      </ns0:c>
      <ns0:c r="B925" s="12">
        <ns0:f>A925*('前提と出典'!$C$36+'前提と出典'!$C$38)</ns0:f>
        <ns0:v>644.6999999999999</ns0:v>
      </ns0:c>
      <ns0:c r="C925" s="12">
        <ns0:f>A925*('前提と出典'!$C$37+'前提と出典'!$C$38)</ns0:f>
        <ns0:v>552.6</ns0:v>
      </ns0:c>
      <ns0:c r="D925" s="16">
        <ns0:f>A925*('前提と出典'!$C$36*'契約別単価'!C5+'前提と出典'!$C$37*'契約別単価'!C6+'前提と出典'!$C$38*'契約別単価'!C7)</ns0:f>
        <ns0:v>6627.083798882682</ns0:v>
      </ns0:c>
      <ns0:c r="E925" s="16">
        <ns0:f>A925*('前提と出典'!$C$36*'契約別単価'!E5+'前提と出典'!$C$37*'契約別単価'!E6+'前提と出典'!$C$38*'契約別単価'!E7)</ns0:f>
        <ns0:v>1782084.028850509</ns0:v>
      </ns0:c>
      <ns0:c r="F925" s="16">
        <ns0:f>A925*('前提と出典'!$C$36*'契約別単価'!F5+'前提と出典'!$C$37*'契約別単価'!F6+'前提と出典'!$C$38*'契約別単価'!F7)</ns0:f>
        <ns0:v>699403.2368073891</ns0:v>
      </ns0:c>
      <ns0:c r="G925" s="16">
        <ns0:f>A925*('前提と出典'!$C$36*'契約別単価'!G5+'前提と出典'!$C$37*'契約別単価'!G6+'前提と出典'!$C$38*'契約別単価'!G7)</ns0:f>
        <ns0:v>1833253.0726256983</ns0:v>
      </ns0:c>
      <ns0:c r="H925" s="16">
        <ns0:f>A925*('前提と出典'!$C$36*'契約別単価'!H5+'前提と出典'!$C$37*'契約別単価'!H6+'前提と出典'!$C$38*'契約別単価'!H7)</ns0:f>
        <ns0:v>636230.7610679093</ns0:v>
      </ns0:c>
      <ns0:c r="I925" s="16">
        <ns0:f>A925*('前提と出典'!$C$36*'契約別単価'!I5+'前提と出典'!$C$37*'契約別単価'!I6+'前提と出典'!$C$38*'契約別単価'!I7)</ns0:f>
        <ns0:v>38862.083798882675</ns0:v>
      </ns0:c>
      <ns0:c r="J925" s="16">
        <ns0:f>A925*('前提と出典'!$C$36*'契約別単価'!J5+'前提と出典'!$C$37*'契約別単価'!J6+'前提と出典'!$C$38*'契約別単価'!J7)</ns0:f>
        <ns0:v>90524.66975718866</ns0:v>
      </ns0:c>
      <ns0:c r="K925" s="16">
        <ns0:f>A925*('前提と出典'!$C$36*'契約別単価'!K5+'前提と出典'!$C$37*'契約別単価'!K6+'前提と出典'!$C$38*'契約別単価'!K7)</ns0:f>
        <ns0:v>388020.55865921784</ns0:v>
      </ns0:c>
      <ns0:c r="L925" s="16">
        <ns0:f>A925*('前提と出典'!$C$36*'契約別単価'!L5+'前提と出典'!$C$37*'契約別単価'!L6+'前提と出典'!$C$38*'契約別単価'!L7)</ns0:f>
        <ns0:v>315927.692035597</ns0:v>
      </ns0:c>
      <ns0:c r="M925" s="16">
        <ns0:f>IF(('前提と出典'!$C$36+'前提と出典'!$C$38)=0,0,IF(B925&lt;=10,'前提と出典'!B73+'前提と出典'!C73,IF(B925&lt;=100,'前提と出典'!B74+'前提と出典'!C74,IF(B925&lt;=500,'前提と出典'!B75+'前提と出典'!C75,'前提と出典'!B76+'前提と出典'!C76))))</ns0:f>
        <ns0:v>80000</ns0:v>
      </ns0:c>
      <ns0:c r="N925" s="16">
        <ns0:f>IF(('前提と出典'!$C$37+'前提と出典'!$C$38)=0,0,IF(C925&lt;=10,'前提と出典'!D73+'前提と出典'!E73,IF(C925&lt;=100,'前提と出典'!D74+'前提と出典'!E74,IF(C925&lt;=500,'前提と出典'!D75+'前提と出典'!E75,'前提と出典'!D76+'前提と出典'!E76))))</ns0:f>
        <ns0:v>86510.9346263078</ns0:v>
      </ns0:c>
      <ns0:c r="O925" s="16">
        <ns0:f>IF('前提と出典'!$C$36+'前提と出典'!$C$38=0,0,'前提と出典'!$B$4*IF('前提と出典'!$B$20=0,MAX('前提と出典'!$B$6,D925*'前提と出典'!$B$5),'前提と出典'!$B$6+D925*'前提と出典'!$B$5))</ns0:f>
        <ns0:v>914537.5642458102</ns0:v>
      </ns0:c>
      <ns0:c r="P925" s="16">
        <ns0:f>(E925+G925)*(1-'前提と出典'!$B$7)-I925-K925-M925-O925</ns0:f>
        <ns0:v>2063764.7591191533</ns0:v>
      </ns0:c>
      <ns0:c r="Q925" s="16">
        <ns0:f>(F925+H925)*(1-'前提と出典'!$B$7)-J925-L925-N925</ns0:f>
        <ns0:v>794587.8775326943</ns0:v>
      </ns0:c>
      <ns0:c r="R925" s="16">
        <ns0:f>P925-E925*'前提と出典'!$E$4</ns0:f>
        <ns0:v>1529139.550464001</ns0:v>
      </ns0:c>
      <ns0:c r="S925" s="16">
        <ns0:f>Q925-F925*'前提と出典'!$E$4</ns0:f>
        <ns0:v>584766.9064904775</ns0:v>
      </ns0:c>
      <ns0:c r="T925" s="7">
        <ns0:f>R925+S925</ns0:f>
        <ns0:v>2113906.4569544783</ns0:v>
      </ns0:c>
      <ns0:c r="U925" s="16">
        <ns0:f>P925-E925*'前提と出典'!$E$5</ns0:f>
        <ns0:v>1350931.1475789496</ns0:v>
      </ns0:c>
      <ns0:c r="V925" s="16">
        <ns0:f>Q925-F925*'前提と出典'!$E$5</ns0:f>
        <ns0:v>514826.5828097386</ns0:v>
      </ns0:c>
      <ns0:c r="W925" s="7">
        <ns0:f>U925+V925</ns0:f>
        <ns0:v>1865757.7303886882</ns0:v>
      </ns0:c>
      <ns0:c r="X925" s="16">
        <ns0:f>P925-E925*'前提と出典'!$E$6</ns0:f>
        <ns0:v>1172722.744693899</ns0:v>
      </ns0:c>
      <ns0:c r="Y925" s="16">
        <ns0:f>Q925-F925*'前提と出典'!$E$6</ns0:f>
        <ns0:v>444886.25912899966</ns0:v>
      </ns0:c>
      <ns0:c r="Z925" s="7">
        <ns0:f>X925+Y925</ns0:f>
        <ns0:v>1617609.0038228987</ns0:v>
      </ns0:c>
      <ns0:c r="AA925" s="7">
        <ns0:f>IF(T925&gt;=0,A925,1001)</ns0:f>
        <ns0:v>921</ns0:v>
      </ns0:c>
      <ns0:c r="AB925" s="7">
        <ns0:f>IF(T925&lt;0,A925,0)</ns0:f>
        <ns0:v>0</ns0:v>
      </ns0:c>
      <ns0:c r="AC925" s="16">
        <ns0:f>IF(AND(OR('前提と出典'!$C$36+'前提と出典'!$C$38=0,R925&gt;=0),OR('前提と出典'!$C$37+'前提と出典'!$C$38=0,S925&gt;=0)),0,A925)</ns0:f>
        <ns0:v>0</ns0:v>
      </ns0:c>
      <ns0:c r="AD925" s="7">
        <ns0:f>IF(W925&gt;=0,A925,1001)</ns0:f>
        <ns0:v>921</ns0:v>
      </ns0:c>
      <ns0:c r="AE925" s="7">
        <ns0:f>IF(W925&lt;0,A925,0)</ns0:f>
        <ns0:v>0</ns0:v>
      </ns0:c>
      <ns0:c r="AF925" s="16">
        <ns0:f>IF(AND(OR('前提と出典'!$C$36+'前提と出典'!$C$38=0,U925&gt;=0),OR('前提と出典'!$C$37+'前提と出典'!$C$38=0,V925&gt;=0)),0,A925)</ns0:f>
        <ns0:v>0</ns0:v>
      </ns0:c>
      <ns0:c r="AG925" s="7">
        <ns0:f>IF(Z925&gt;=0,A925,1001)</ns0:f>
        <ns0:v>921</ns0:v>
      </ns0:c>
      <ns0:c r="AH925" s="4">
        <ns0:f>IF(Z925&lt;0,A925,0)</ns0:f>
        <ns0:v>0</ns0:v>
      </ns0:c>
      <ns0:c r="AI925" s="12">
        <ns0:f>IF(AND(OR('前提と出典'!$C$36+'前提と出典'!$C$38=0,X925&gt;=0),OR('前提と出典'!$C$37+'前提と出典'!$C$38=0,Y925&gt;=0)),0,A925)</ns0:f>
        <ns0:v>0</ns0:v>
      </ns0:c>
    </ns0:row>
    <ns0:row r="926" ht="24" customHeight="1">
      <ns0:c r="A926" s="4" t="n">
        <ns0:v>922</ns0:v>
      </ns0:c>
      <ns0:c r="B926" s="12">
        <ns0:f>A926*('前提と出典'!$C$36+'前提と出典'!$C$38)</ns0:f>
        <ns0:v>645.4</ns0:v>
      </ns0:c>
      <ns0:c r="C926" s="12">
        <ns0:f>A926*('前提と出典'!$C$37+'前提と出典'!$C$38)</ns0:f>
        <ns0:v>553.1999999999999</ns0:v>
      </ns0:c>
      <ns0:c r="D926" s="16">
        <ns0:f>A926*('前提と出典'!$C$36*'契約別単価'!C5+'前提と出典'!$C$37*'契約別単価'!C6+'前提と出典'!$C$38*'契約別単価'!C7)</ns0:f>
        <ns0:v>6634.2793296089385</ns0:v>
      </ns0:c>
      <ns0:c r="E926" s="16">
        <ns0:f>A926*('前提と出典'!$C$36*'契約別単価'!E5+'前提と出典'!$C$37*'契約別単価'!E6+'前提と出典'!$C$38*'契約別単価'!E7)</ns0:f>
        <ns0:v>1784018.9735072413</ns0:v>
      </ns0:c>
      <ns0:c r="F926" s="16">
        <ns0:f>A926*('前提と出典'!$C$36*'契約別単価'!F5+'前提と出典'!$C$37*'契約別単価'!F6+'前提と出典'!$C$38*'契約別単価'!F7)</ns0:f>
        <ns0:v>700162.6322870931</ns0:v>
      </ns0:c>
      <ns0:c r="G926" s="16">
        <ns0:f>A926*('前提と出典'!$C$36*'契約別単価'!G5+'前提と出典'!$C$37*'契約別単価'!G6+'前提と出典'!$C$38*'契約別単価'!G7)</ns0:f>
        <ns0:v>1835243.5754189943</ns0:v>
      </ns0:c>
      <ns0:c r="H926" s="16">
        <ns0:f>A926*('前提と出典'!$C$36*'契約別単価'!H5+'前提と出典'!$C$37*'契約別単価'!H6+'前提と出典'!$C$38*'契約別単価'!H7)</ns0:f>
        <ns0:v>636921.565368743</ns0:v>
      </ns0:c>
      <ns0:c r="I926" s="16">
        <ns0:f>A926*('前提と出典'!$C$36*'契約別単価'!I5+'前提と出典'!$C$37*'契約別単価'!I6+'前提と出典'!$C$38*'契約別単価'!I7)</ns0:f>
        <ns0:v>38904.27932960893</ns0:v>
      </ns0:c>
      <ns0:c r="J926" s="16">
        <ns0:f>A926*('前提と出典'!$C$36*'契約別単価'!J5+'前提と出典'!$C$37*'契約別単価'!J6+'前提と出典'!$C$38*'契約別単価'!J7)</ns0:f>
        <ns0:v>90622.95930089896</ns0:v>
      </ns0:c>
      <ns0:c r="K926" s="16">
        <ns0:f>A926*('前提と出典'!$C$36*'契約別単価'!K5+'前提と出典'!$C$37*'契約別単価'!K6+'前提と出典'!$C$38*'契約別単価'!K7)</ns0:f>
        <ns0:v>388441.8621973929</ns0:v>
      </ns0:c>
      <ns0:c r="L926" s="16">
        <ns0:f>A926*('前提と出典'!$C$36*'契約別単価'!L5+'前提と出典'!$C$37*'契約別単価'!L6+'前提と出典'!$C$38*'契約別単価'!L7)</ns0:f>
        <ns0:v>316270.71884562477</ns0:v>
      </ns0:c>
      <ns0:c r="M926" s="16">
        <ns0:f>IF(('前提と出典'!$C$36+'前提と出典'!$C$38)=0,0,IF(B926&lt;=10,'前提と出典'!B73+'前提と出典'!C73,IF(B926&lt;=100,'前提と出典'!B74+'前提と出典'!C74,IF(B926&lt;=500,'前提と出典'!B75+'前提と出典'!C75,'前提と出典'!B76+'前提と出典'!C76))))</ns0:f>
        <ns0:v>80000</ns0:v>
      </ns0:c>
      <ns0:c r="N926" s="16">
        <ns0:f>IF(('前提と出典'!$C$37+'前提と出典'!$C$38)=0,0,IF(C926&lt;=10,'前提と出典'!D73+'前提と出典'!E73,IF(C926&lt;=100,'前提と出典'!D74+'前提と出典'!E74,IF(C926&lt;=500,'前提と出典'!D75+'前提と出典'!E75,'前提と出典'!D76+'前提と出典'!E76))))</ns0:f>
        <ns0:v>86510.9346263078</ns0:v>
      </ns0:c>
      <ns0:c r="O926" s="16">
        <ns0:f>IF('前提と出典'!$C$36+'前提と出典'!$C$38=0,0,'前提と出典'!$B$4*IF('前提と出典'!$B$20=0,MAX('前提と出典'!$B$6,D926*'前提と出典'!$B$5),'前提と出典'!$B$6+D926*'前提と出典'!$B$5))</ns0:f>
        <ns0:v>915530.5474860336</ns0:v>
      </ns0:c>
      <ns0:c r="P926" s="16">
        <ns0:f>(E926+G926)*(1-'前提と出典'!$B$7)-I926-K926-M926-O926</ns0:f>
        <ns0:v>2066092.408151855</ns0:v>
      </ns0:c>
      <ns0:c r="Q926" s="16">
        <ns0:f>(F926+H926)*(1-'前提と出典'!$B$7)-J926-L926-N926</ns0:f>
        <ns0:v>795544.5537673944</ns0:v>
      </ns0:c>
      <ns0:c r="R926" s="16">
        <ns0:f>P926-E926*'前提と出典'!$E$4</ns0:f>
        <ns0:v>1530886.7160996827</ns0:v>
      </ns0:c>
      <ns0:c r="S926" s="16">
        <ns0:f>Q926-F926*'前提と出典'!$E$4</ns0:f>
        <ns0:v>585495.7640812665</ns0:v>
      </ns0:c>
      <ns0:c r="T926" s="7">
        <ns0:f>R926+S926</ns0:f>
        <ns0:v>2116382.480180949</ns0:v>
      </ns0:c>
      <ns0:c r="U926" s="16">
        <ns0:f>P926-E926*'前提と出典'!$E$5</ns0:f>
        <ns0:v>1352484.8187489584</ns0:v>
      </ns0:c>
      <ns0:c r="V926" s="16">
        <ns0:f>Q926-F926*'前提と出典'!$E$5</ns0:f>
        <ns0:v>515479.50085255713</ns0:v>
      </ns0:c>
      <ns0:c r="W926" s="7">
        <ns0:f>U926+V926</ns0:f>
        <ns0:v>1867964.3196015155</ns0:v>
      </ns0:c>
      <ns0:c r="X926" s="16">
        <ns0:f>P926-E926*'前提と出典'!$E$6</ns0:f>
        <ns0:v>1174082.9213982346</ns0:v>
      </ns0:c>
      <ns0:c r="Y926" s="16">
        <ns0:f>Q926-F926*'前提と出典'!$E$6</ns0:f>
        <ns0:v>445463.237623848</ns0:v>
      </ns0:c>
      <ns0:c r="Z926" s="7">
        <ns0:f>X926+Y926</ns0:f>
        <ns0:v>1619546.1590220826</ns0:v>
      </ns0:c>
      <ns0:c r="AA926" s="7">
        <ns0:f>IF(T926&gt;=0,A926,1001)</ns0:f>
        <ns0:v>922</ns0:v>
      </ns0:c>
      <ns0:c r="AB926" s="7">
        <ns0:f>IF(T926&lt;0,A926,0)</ns0:f>
        <ns0:v>0</ns0:v>
      </ns0:c>
      <ns0:c r="AC926" s="16">
        <ns0:f>IF(AND(OR('前提と出典'!$C$36+'前提と出典'!$C$38=0,R926&gt;=0),OR('前提と出典'!$C$37+'前提と出典'!$C$38=0,S926&gt;=0)),0,A926)</ns0:f>
        <ns0:v>0</ns0:v>
      </ns0:c>
      <ns0:c r="AD926" s="7">
        <ns0:f>IF(W926&gt;=0,A926,1001)</ns0:f>
        <ns0:v>922</ns0:v>
      </ns0:c>
      <ns0:c r="AE926" s="7">
        <ns0:f>IF(W926&lt;0,A926,0)</ns0:f>
        <ns0:v>0</ns0:v>
      </ns0:c>
      <ns0:c r="AF926" s="16">
        <ns0:f>IF(AND(OR('前提と出典'!$C$36+'前提と出典'!$C$38=0,U926&gt;=0),OR('前提と出典'!$C$37+'前提と出典'!$C$38=0,V926&gt;=0)),0,A926)</ns0:f>
        <ns0:v>0</ns0:v>
      </ns0:c>
      <ns0:c r="AG926" s="7">
        <ns0:f>IF(Z926&gt;=0,A926,1001)</ns0:f>
        <ns0:v>922</ns0:v>
      </ns0:c>
      <ns0:c r="AH926" s="4">
        <ns0:f>IF(Z926&lt;0,A926,0)</ns0:f>
        <ns0:v>0</ns0:v>
      </ns0:c>
      <ns0:c r="AI926" s="12">
        <ns0:f>IF(AND(OR('前提と出典'!$C$36+'前提と出典'!$C$38=0,X926&gt;=0),OR('前提と出典'!$C$37+'前提と出典'!$C$38=0,Y926&gt;=0)),0,A926)</ns0:f>
        <ns0:v>0</ns0:v>
      </ns0:c>
    </ns0:row>
    <ns0:row r="927" ht="24" customHeight="1">
      <ns0:c r="A927" s="4" t="n">
        <ns0:v>923</ns0:v>
      </ns0:c>
      <ns0:c r="B927" s="12">
        <ns0:f>A927*('前提と出典'!$C$36+'前提と出典'!$C$38)</ns0:f>
        <ns0:v>646.0999999999999</ns0:v>
      </ns0:c>
      <ns0:c r="C927" s="12">
        <ns0:f>A927*('前提と出典'!$C$37+'前提と出典'!$C$38)</ns0:f>
        <ns0:v>553.8</ns0:v>
      </ns0:c>
      <ns0:c r="D927" s="16">
        <ns0:f>A927*('前提と出典'!$C$36*'契約別単価'!C5+'前提と出典'!$C$37*'契約別単価'!C6+'前提と出典'!$C$38*'契約別単価'!C7)</ns0:f>
        <ns0:v>6641.474860335195</ns0:v>
      </ns0:c>
      <ns0:c r="E927" s="16">
        <ns0:f>A927*('前提と出典'!$C$36*'契約別単価'!E5+'前提と出典'!$C$37*'契約別単価'!E6+'前提と出典'!$C$38*'契約別単価'!E7)</ns0:f>
        <ns0:v>1785953.9181639738</ns0:v>
      </ns0:c>
      <ns0:c r="F927" s="16">
        <ns0:f>A927*('前提と出典'!$C$36*'契約別単価'!F5+'前提と出典'!$C$37*'契約別単価'!F6+'前提と出典'!$C$38*'契約別単価'!F7)</ns0:f>
        <ns0:v>700922.0277667971</ns0:v>
      </ns0:c>
      <ns0:c r="G927" s="16">
        <ns0:f>A927*('前提と出典'!$C$36*'契約別単価'!G5+'前提と出典'!$C$37*'契約別単価'!G6+'前提と出典'!$C$38*'契約別単価'!G7)</ns0:f>
        <ns0:v>1837234.0782122903</ns0:v>
      </ns0:c>
      <ns0:c r="H927" s="16">
        <ns0:f>A927*('前提と出典'!$C$36*'契約別単価'!H5+'前提と出典'!$C$37*'契約別単価'!H6+'前提と出典'!$C$38*'契約別単価'!H7)</ns0:f>
        <ns0:v>637612.3696695768</ns0:v>
      </ns0:c>
      <ns0:c r="I927" s="16">
        <ns0:f>A927*('前提と出典'!$C$36*'契約別単価'!I5+'前提と出典'!$C$37*'契約別単価'!I6+'前提と出典'!$C$38*'契約別単価'!I7)</ns0:f>
        <ns0:v>38946.47486033519</ns0:v>
      </ns0:c>
      <ns0:c r="J927" s="16">
        <ns0:f>A927*('前提と出典'!$C$36*'契約別単価'!J5+'前提と出典'!$C$37*'契約別単価'!J6+'前提と出典'!$C$38*'契約別単価'!J7)</ns0:f>
        <ns0:v>90721.24884460928</ns0:v>
      </ns0:c>
      <ns0:c r="K927" s="16">
        <ns0:f>A927*('前提と出典'!$C$36*'契約別単価'!K5+'前提と出典'!$C$37*'契約別単価'!K6+'前提と出典'!$C$38*'契約別単価'!K7)</ns0:f>
        <ns0:v>388863.1657355679</ns0:v>
      </ns0:c>
      <ns0:c r="L927" s="16">
        <ns0:f>A927*('前提と出典'!$C$36*'契約別単価'!L5+'前提と出典'!$C$37*'契約別単価'!L6+'前提と出典'!$C$38*'契約別単価'!L7)</ns0:f>
        <ns0:v>316613.74565565254</ns0:v>
      </ns0:c>
      <ns0:c r="M927" s="16">
        <ns0:f>IF(('前提と出典'!$C$36+'前提と出典'!$C$38)=0,0,IF(B927&lt;=10,'前提と出典'!B73+'前提と出典'!C73,IF(B927&lt;=100,'前提と出典'!B74+'前提と出典'!C74,IF(B927&lt;=500,'前提と出典'!B75+'前提と出典'!C75,'前提と出典'!B76+'前提と出典'!C76))))</ns0:f>
        <ns0:v>80000</ns0:v>
      </ns0:c>
      <ns0:c r="N927" s="16">
        <ns0:f>IF(('前提と出典'!$C$37+'前提と出典'!$C$38)=0,0,IF(C927&lt;=10,'前提と出典'!D73+'前提と出典'!E73,IF(C927&lt;=100,'前提と出典'!D74+'前提と出典'!E74,IF(C927&lt;=500,'前提と出典'!D75+'前提と出典'!E75,'前提と出典'!D76+'前提と出典'!E76))))</ns0:f>
        <ns0:v>86510.9346263078</ns0:v>
      </ns0:c>
      <ns0:c r="O927" s="16">
        <ns0:f>IF('前提と出典'!$C$36+'前提と出典'!$C$38=0,0,'前提と出典'!$B$4*IF('前提と出典'!$B$20=0,MAX('前提と出典'!$B$6,D927*'前提と出典'!$B$5),'前提と出典'!$B$6+D927*'前提と出典'!$B$5))</ns0:f>
        <ns0:v>916523.530726257</ns0:v>
      </ns0:c>
      <ns0:c r="P927" s="16">
        <ns0:f>(E927+G927)*(1-'前提と出典'!$B$7)-I927-K927-M927-O927</ns0:f>
        <ns0:v>2068420.057184558</ns0:v>
      </ns0:c>
      <ns0:c r="Q927" s="16">
        <ns0:f>(F927+H927)*(1-'前提と出典'!$B$7)-J927-L927-N927</ns0:f>
        <ns0:v>796501.2300020948</ns0:v>
      </ns0:c>
      <ns0:c r="R927" s="16">
        <ns0:f>P927-E927*'前提と出典'!$E$4</ns0:f>
        <ns0:v>1532633.881735366</ns0:v>
      </ns0:c>
      <ns0:c r="S927" s="16">
        <ns0:f>Q927-F927*'前提と出典'!$E$4</ns0:f>
        <ns0:v>586224.6216720557</ns0:v>
      </ns0:c>
      <ns0:c r="T927" s="7">
        <ns0:f>R927+S927</ns0:f>
        <ns0:v>2118858.5034074215</ns0:v>
      </ns0:c>
      <ns0:c r="U927" s="16">
        <ns0:f>P927-E927*'前提と出典'!$E$5</ns0:f>
        <ns0:v>1354038.4899189684</ns0:v>
      </ns0:c>
      <ns0:c r="V927" s="16">
        <ns0:f>Q927-F927*'前提と出典'!$E$5</ns0:f>
        <ns0:v>516132.4188953759</ns0:v>
      </ns0:c>
      <ns0:c r="W927" s="7">
        <ns0:f>U927+V927</ns0:f>
        <ns0:v>1870170.9088143443</ns0:v>
      </ns0:c>
      <ns0:c r="X927" s="16">
        <ns0:f>P927-E927*'前提と出典'!$E$6</ns0:f>
        <ns0:v>1175443.0981025712</ns0:v>
      </ns0:c>
      <ns0:c r="Y927" s="16">
        <ns0:f>Q927-F927*'前提と出典'!$E$6</ns0:f>
        <ns0:v>446040.21611869615</ns0:v>
      </ns0:c>
      <ns0:c r="Z927" s="7">
        <ns0:f>X927+Y927</ns0:f>
        <ns0:v>1621483.3142212674</ns0:v>
      </ns0:c>
      <ns0:c r="AA927" s="7">
        <ns0:f>IF(T927&gt;=0,A927,1001)</ns0:f>
        <ns0:v>923</ns0:v>
      </ns0:c>
      <ns0:c r="AB927" s="7">
        <ns0:f>IF(T927&lt;0,A927,0)</ns0:f>
        <ns0:v>0</ns0:v>
      </ns0:c>
      <ns0:c r="AC927" s="16">
        <ns0:f>IF(AND(OR('前提と出典'!$C$36+'前提と出典'!$C$38=0,R927&gt;=0),OR('前提と出典'!$C$37+'前提と出典'!$C$38=0,S927&gt;=0)),0,A927)</ns0:f>
        <ns0:v>0</ns0:v>
      </ns0:c>
      <ns0:c r="AD927" s="7">
        <ns0:f>IF(W927&gt;=0,A927,1001)</ns0:f>
        <ns0:v>923</ns0:v>
      </ns0:c>
      <ns0:c r="AE927" s="7">
        <ns0:f>IF(W927&lt;0,A927,0)</ns0:f>
        <ns0:v>0</ns0:v>
      </ns0:c>
      <ns0:c r="AF927" s="16">
        <ns0:f>IF(AND(OR('前提と出典'!$C$36+'前提と出典'!$C$38=0,U927&gt;=0),OR('前提と出典'!$C$37+'前提と出典'!$C$38=0,V927&gt;=0)),0,A927)</ns0:f>
        <ns0:v>0</ns0:v>
      </ns0:c>
      <ns0:c r="AG927" s="7">
        <ns0:f>IF(Z927&gt;=0,A927,1001)</ns0:f>
        <ns0:v>923</ns0:v>
      </ns0:c>
      <ns0:c r="AH927" s="4">
        <ns0:f>IF(Z927&lt;0,A927,0)</ns0:f>
        <ns0:v>0</ns0:v>
      </ns0:c>
      <ns0:c r="AI927" s="12">
        <ns0:f>IF(AND(OR('前提と出典'!$C$36+'前提と出典'!$C$38=0,X927&gt;=0),OR('前提と出典'!$C$37+'前提と出典'!$C$38=0,Y927&gt;=0)),0,A927)</ns0:f>
        <ns0:v>0</ns0:v>
      </ns0:c>
    </ns0:row>
    <ns0:row r="928" ht="24" customHeight="1">
      <ns0:c r="A928" s="4" t="n">
        <ns0:v>924</ns0:v>
      </ns0:c>
      <ns0:c r="B928" s="12">
        <ns0:f>A928*('前提と出典'!$C$36+'前提と出典'!$C$38)</ns0:f>
        <ns0:v>646.8</ns0:v>
      </ns0:c>
      <ns0:c r="C928" s="12">
        <ns0:f>A928*('前提と出典'!$C$37+'前提と出典'!$C$38)</ns0:f>
        <ns0:v>554.4</ns0:v>
      </ns0:c>
      <ns0:c r="D928" s="16">
        <ns0:f>A928*('前提と出典'!$C$36*'契約別単価'!C5+'前提と出典'!$C$37*'契約別単価'!C6+'前提と出典'!$C$38*'契約別単価'!C7)</ns0:f>
        <ns0:v>6648.670391061452</ns0:v>
      </ns0:c>
      <ns0:c r="E928" s="16">
        <ns0:f>A928*('前提と出典'!$C$36*'契約別単価'!E5+'前提と出典'!$C$37*'契約別単価'!E6+'前提と出典'!$C$38*'契約別単価'!E7)</ns0:f>
        <ns0:v>1787888.862820706</ns0:v>
      </ns0:c>
      <ns0:c r="F928" s="16">
        <ns0:f>A928*('前提と出典'!$C$36*'契約別単価'!F5+'前提と出典'!$C$37*'契約別単価'!F6+'前提と出典'!$C$38*'契約別単価'!F7)</ns0:f>
        <ns0:v>701681.4232465011</ns0:v>
      </ns0:c>
      <ns0:c r="G928" s="16">
        <ns0:f>A928*('前提と出典'!$C$36*'契約別単価'!G5+'前提と出典'!$C$37*'契約別単価'!G6+'前提と出典'!$C$38*'契約別単価'!G7)</ns0:f>
        <ns0:v>1839224.5810055865</ns0:v>
      </ns0:c>
      <ns0:c r="H928" s="16">
        <ns0:f>A928*('前提と出典'!$C$36*'契約別単価'!H5+'前提と出典'!$C$37*'契約別単価'!H6+'前提と出典'!$C$38*'契約別単価'!H7)</ns0:f>
        <ns0:v>638303.1739704106</ns0:v>
      </ns0:c>
      <ns0:c r="I928" s="16">
        <ns0:f>A928*('前提と出典'!$C$36*'契約別単価'!I5+'前提と出典'!$C$37*'契約別単価'!I6+'前提と出典'!$C$38*'契約別単価'!I7)</ns0:f>
        <ns0:v>38988.670391061445</ns0:v>
      </ns0:c>
      <ns0:c r="J928" s="16">
        <ns0:f>A928*('前提と出典'!$C$36*'契約別単価'!J5+'前提と出典'!$C$37*'契約別単価'!J6+'前提と出典'!$C$38*'契約別単価'!J7)</ns0:f>
        <ns0:v>90819.53838831958</ns0:v>
      </ns0:c>
      <ns0:c r="K928" s="16">
        <ns0:f>A928*('前提と出典'!$C$36*'契約別単価'!K5+'前提と出典'!$C$37*'契約別単価'!K6+'前提と出典'!$C$38*'契約別単価'!K7)</ns0:f>
        <ns0:v>389284.469273743</ns0:v>
      </ns0:c>
      <ns0:c r="L928" s="16">
        <ns0:f>A928*('前提と出典'!$C$36*'契約別単価'!L5+'前提と出典'!$C$37*'契約別単価'!L6+'前提と出典'!$C$38*'契約別単価'!L7)</ns0:f>
        <ns0:v>316956.7724656803</ns0:v>
      </ns0:c>
      <ns0:c r="M928" s="16">
        <ns0:f>IF(('前提と出典'!$C$36+'前提と出典'!$C$38)=0,0,IF(B928&lt;=10,'前提と出典'!B73+'前提と出典'!C73,IF(B928&lt;=100,'前提と出典'!B74+'前提と出典'!C74,IF(B928&lt;=500,'前提と出典'!B75+'前提と出典'!C75,'前提と出典'!B76+'前提と出典'!C76))))</ns0:f>
        <ns0:v>80000</ns0:v>
      </ns0:c>
      <ns0:c r="N928" s="16">
        <ns0:f>IF(('前提と出典'!$C$37+'前提と出典'!$C$38)=0,0,IF(C928&lt;=10,'前提と出典'!D73+'前提と出典'!E73,IF(C928&lt;=100,'前提と出典'!D74+'前提と出典'!E74,IF(C928&lt;=500,'前提と出典'!D75+'前提と出典'!E75,'前提と出典'!D76+'前提と出典'!E76))))</ns0:f>
        <ns0:v>86510.9346263078</ns0:v>
      </ns0:c>
      <ns0:c r="O928" s="16">
        <ns0:f>IF('前提と出典'!$C$36+'前提と出典'!$C$38=0,0,'前提と出典'!$B$4*IF('前提と出典'!$B$20=0,MAX('前提と出典'!$B$6,D928*'前提と出典'!$B$5),'前提と出典'!$B$6+D928*'前提と出典'!$B$5))</ns0:f>
        <ns0:v>917516.5139664805</ns0:v>
      </ns0:c>
      <ns0:c r="P928" s="16">
        <ns0:f>(E928+G928)*(1-'前提と出典'!$B$7)-I928-K928-M928-O928</ns0:f>
        <ns0:v>2070747.706217261</ns0:v>
      </ns0:c>
      <ns0:c r="Q928" s="16">
        <ns0:f>(F928+H928)*(1-'前提と出典'!$B$7)-J928-L928-N928</ns0:f>
        <ns0:v>797457.9062367952</ns0:v>
      </ns0:c>
      <ns0:c r="R928" s="16">
        <ns0:f>P928-E928*'前提と出典'!$E$4</ns0:f>
        <ns0:v>1534381.04737105</ns0:v>
      </ns0:c>
      <ns0:c r="S928" s="16">
        <ns0:f>Q928-F928*'前提と出典'!$E$4</ns0:f>
        <ns0:v>586953.4792628449</ns0:v>
      </ns0:c>
      <ns0:c r="T928" s="7">
        <ns0:f>R928+S928</ns0:f>
        <ns0:v>2121334.526633895</ns0:v>
      </ns0:c>
      <ns0:c r="U928" s="16">
        <ns0:f>P928-E928*'前提と出典'!$E$5</ns0:f>
        <ns0:v>1355592.1610889786</ns0:v>
      </ns0:c>
      <ns0:c r="V928" s="16">
        <ns0:f>Q928-F928*'前提と出典'!$E$5</ns0:f>
        <ns0:v>516785.3369381947</ns0:v>
      </ns0:c>
      <ns0:c r="W928" s="7">
        <ns0:f>U928+V928</ns0:f>
        <ns0:v>1872377.4980271733</ns0:v>
      </ns0:c>
      <ns0:c r="X928" s="16">
        <ns0:f>P928-E928*'前提と出典'!$E$6</ns0:f>
        <ns0:v>1176803.274806908</ns0:v>
      </ns0:c>
      <ns0:c r="Y928" s="16">
        <ns0:f>Q928-F928*'前提と出典'!$E$6</ns0:f>
        <ns0:v>446617.19461354474</ns0:v>
      </ns0:c>
      <ns0:c r="Z928" s="7">
        <ns0:f>X928+Y928</ns0:f>
        <ns0:v>1623420.4694204528</ns0:v>
      </ns0:c>
      <ns0:c r="AA928" s="7">
        <ns0:f>IF(T928&gt;=0,A928,1001)</ns0:f>
        <ns0:v>924</ns0:v>
      </ns0:c>
      <ns0:c r="AB928" s="7">
        <ns0:f>IF(T928&lt;0,A928,0)</ns0:f>
        <ns0:v>0</ns0:v>
      </ns0:c>
      <ns0:c r="AC928" s="16">
        <ns0:f>IF(AND(OR('前提と出典'!$C$36+'前提と出典'!$C$38=0,R928&gt;=0),OR('前提と出典'!$C$37+'前提と出典'!$C$38=0,S928&gt;=0)),0,A928)</ns0:f>
        <ns0:v>0</ns0:v>
      </ns0:c>
      <ns0:c r="AD928" s="7">
        <ns0:f>IF(W928&gt;=0,A928,1001)</ns0:f>
        <ns0:v>924</ns0:v>
      </ns0:c>
      <ns0:c r="AE928" s="7">
        <ns0:f>IF(W928&lt;0,A928,0)</ns0:f>
        <ns0:v>0</ns0:v>
      </ns0:c>
      <ns0:c r="AF928" s="16">
        <ns0:f>IF(AND(OR('前提と出典'!$C$36+'前提と出典'!$C$38=0,U928&gt;=0),OR('前提と出典'!$C$37+'前提と出典'!$C$38=0,V928&gt;=0)),0,A928)</ns0:f>
        <ns0:v>0</ns0:v>
      </ns0:c>
      <ns0:c r="AG928" s="7">
        <ns0:f>IF(Z928&gt;=0,A928,1001)</ns0:f>
        <ns0:v>924</ns0:v>
      </ns0:c>
      <ns0:c r="AH928" s="4">
        <ns0:f>IF(Z928&lt;0,A928,0)</ns0:f>
        <ns0:v>0</ns0:v>
      </ns0:c>
      <ns0:c r="AI928" s="12">
        <ns0:f>IF(AND(OR('前提と出典'!$C$36+'前提と出典'!$C$38=0,X928&gt;=0),OR('前提と出典'!$C$37+'前提と出典'!$C$38=0,Y928&gt;=0)),0,A928)</ns0:f>
        <ns0:v>0</ns0:v>
      </ns0:c>
    </ns0:row>
    <ns0:row r="929" ht="24" customHeight="1">
      <ns0:c r="A929" s="4" t="n">
        <ns0:v>925</ns0:v>
      </ns0:c>
      <ns0:c r="B929" s="12">
        <ns0:f>A929*('前提と出典'!$C$36+'前提と出典'!$C$38)</ns0:f>
        <ns0:v>647.5</ns0:v>
      </ns0:c>
      <ns0:c r="C929" s="12">
        <ns0:f>A929*('前提と出典'!$C$37+'前提と出典'!$C$38)</ns0:f>
        <ns0:v>555</ns0:v>
      </ns0:c>
      <ns0:c r="D929" s="16">
        <ns0:f>A929*('前提と出典'!$C$36*'契約別単価'!C5+'前提と出典'!$C$37*'契約別単価'!C6+'前提と出典'!$C$38*'契約別単価'!C7)</ns0:f>
        <ns0:v>6655.865921787709</ns0:v>
      </ns0:c>
      <ns0:c r="E929" s="16">
        <ns0:f>A929*('前提と出典'!$C$36*'契約別単価'!E5+'前提と出典'!$C$37*'契約別単価'!E6+'前提と出典'!$C$38*'契約別単価'!E7)</ns0:f>
        <ns0:v>1789823.8074774386</ns0:v>
      </ns0:c>
      <ns0:c r="F929" s="16">
        <ns0:f>A929*('前提と出典'!$C$36*'契約別単価'!F5+'前提と出典'!$C$37*'契約別単価'!F6+'前提と出典'!$C$38*'契約別単価'!F7)</ns0:f>
        <ns0:v>702440.8187262052</ns0:v>
      </ns0:c>
      <ns0:c r="G929" s="16">
        <ns0:f>A929*('前提と出典'!$C$36*'契約別単価'!G5+'前提と出典'!$C$37*'契約別単価'!G6+'前提と出典'!$C$38*'契約別単価'!G7)</ns0:f>
        <ns0:v>1841215.0837988826</ns0:v>
      </ns0:c>
      <ns0:c r="H929" s="16">
        <ns0:f>A929*('前提と出典'!$C$36*'契約別単価'!H5+'前提と出典'!$C$37*'契約別単価'!H6+'前提と出典'!$C$38*'契約別単価'!H7)</ns0:f>
        <ns0:v>638993.9782712443</ns0:v>
      </ns0:c>
      <ns0:c r="I929" s="16">
        <ns0:f>A929*('前提と出典'!$C$36*'契約別単価'!I5+'前提と出典'!$C$37*'契約別単価'!I6+'前提と出典'!$C$38*'契約別単価'!I7)</ns0:f>
        <ns0:v>39030.8659217877</ns0:v>
      </ns0:c>
      <ns0:c r="J929" s="16">
        <ns0:f>A929*('前提と出典'!$C$36*'契約別単価'!J5+'前提と出典'!$C$37*'契約別単価'!J6+'前提と出典'!$C$38*'契約別単価'!J7)</ns0:f>
        <ns0:v>90917.82793202988</ns0:v>
      </ns0:c>
      <ns0:c r="K929" s="16">
        <ns0:f>A929*('前提と出典'!$C$36*'契約別単価'!K5+'前提と出典'!$C$37*'契約別単価'!K6+'前提と出典'!$C$38*'契約別単価'!K7)</ns0:f>
        <ns0:v>389705.77281191805</ns0:v>
      </ns0:c>
      <ns0:c r="L929" s="16">
        <ns0:f>A929*('前提と出典'!$C$36*'契約別単価'!L5+'前提と出典'!$C$37*'契約別単価'!L6+'前提と出典'!$C$38*'契約別単価'!L7)</ns0:f>
        <ns0:v>317299.79927570815</ns0:v>
      </ns0:c>
      <ns0:c r="M929" s="16">
        <ns0:f>IF(('前提と出典'!$C$36+'前提と出典'!$C$38)=0,0,IF(B929&lt;=10,'前提と出典'!B73+'前提と出典'!C73,IF(B929&lt;=100,'前提と出典'!B74+'前提と出典'!C74,IF(B929&lt;=500,'前提と出典'!B75+'前提と出典'!C75,'前提と出典'!B76+'前提と出典'!C76))))</ns0:f>
        <ns0:v>80000</ns0:v>
      </ns0:c>
      <ns0:c r="N929" s="16">
        <ns0:f>IF(('前提と出典'!$C$37+'前提と出典'!$C$38)=0,0,IF(C929&lt;=10,'前提と出典'!D73+'前提と出典'!E73,IF(C929&lt;=100,'前提と出典'!D74+'前提と出典'!E74,IF(C929&lt;=500,'前提と出典'!D75+'前提と出典'!E75,'前提と出典'!D76+'前提と出典'!E76))))</ns0:f>
        <ns0:v>86510.9346263078</ns0:v>
      </ns0:c>
      <ns0:c r="O929" s="16">
        <ns0:f>IF('前提と出典'!$C$36+'前提と出典'!$C$38=0,0,'前提と出典'!$B$4*IF('前提と出典'!$B$20=0,MAX('前提と出典'!$B$6,D929*'前提と出典'!$B$5),'前提と出典'!$B$6+D929*'前提と出典'!$B$5))</ns0:f>
        <ns0:v>918509.4972067039</ns0:v>
      </ns0:c>
      <ns0:c r="P929" s="16">
        <ns0:f>(E929+G929)*(1-'前提と出典'!$B$7)-I929-K929-M929-O929</ns0:f>
        <ns0:v>2073075.3552499642</ns0:v>
      </ns0:c>
      <ns0:c r="Q929" s="16">
        <ns0:f>(F929+H929)*(1-'前提と出典'!$B$7)-J929-L929-N929</ns0:f>
        <ns0:v>798414.5824714955</ns0:v>
      </ns0:c>
      <ns0:c r="R929" s="16">
        <ns0:f>P929-E929*'前提と出典'!$E$4</ns0:f>
        <ns0:v>1536128.2130067325</ns0:v>
      </ns0:c>
      <ns0:c r="S929" s="16">
        <ns0:f>Q929-F929*'前提と出典'!$E$4</ns0:f>
        <ns0:v>587682.3368536338</ns0:v>
      </ns0:c>
      <ns0:c r="T929" s="7">
        <ns0:f>R929+S929</ns0:f>
        <ns0:v>2123810.549860366</ns0:v>
      </ns0:c>
      <ns0:c r="U929" s="16">
        <ns0:f>P929-E929*'前提と出典'!$E$5</ns0:f>
        <ns0:v>1357145.8322589886</ns0:v>
      </ns0:c>
      <ns0:c r="V929" s="16">
        <ns0:f>Q929-F929*'前提と出典'!$E$5</ns0:f>
        <ns0:v>517438.25498101336</ns0:v>
      </ns0:c>
      <ns0:c r="W929" s="7">
        <ns0:f>U929+V929</ns0:f>
        <ns0:v>1874584.0872400021</ns0:v>
      </ns0:c>
      <ns0:c r="X929" s="16">
        <ns0:f>P929-E929*'前提と出典'!$E$6</ns0:f>
        <ns0:v>1178163.4515112448</ns0:v>
      </ns0:c>
      <ns0:c r="Y929" s="16">
        <ns0:f>Q929-F929*'前提と出典'!$E$6</ns0:f>
        <ns0:v>447194.17310839274</ns0:v>
      </ns0:c>
      <ns0:c r="Z929" s="7">
        <ns0:f>X929+Y929</ns0:f>
        <ns0:v>1625357.6246196376</ns0:v>
      </ns0:c>
      <ns0:c r="AA929" s="7">
        <ns0:f>IF(T929&gt;=0,A929,1001)</ns0:f>
        <ns0:v>925</ns0:v>
      </ns0:c>
      <ns0:c r="AB929" s="7">
        <ns0:f>IF(T929&lt;0,A929,0)</ns0:f>
        <ns0:v>0</ns0:v>
      </ns0:c>
      <ns0:c r="AC929" s="16">
        <ns0:f>IF(AND(OR('前提と出典'!$C$36+'前提と出典'!$C$38=0,R929&gt;=0),OR('前提と出典'!$C$37+'前提と出典'!$C$38=0,S929&gt;=0)),0,A929)</ns0:f>
        <ns0:v>0</ns0:v>
      </ns0:c>
      <ns0:c r="AD929" s="7">
        <ns0:f>IF(W929&gt;=0,A929,1001)</ns0:f>
        <ns0:v>925</ns0:v>
      </ns0:c>
      <ns0:c r="AE929" s="7">
        <ns0:f>IF(W929&lt;0,A929,0)</ns0:f>
        <ns0:v>0</ns0:v>
      </ns0:c>
      <ns0:c r="AF929" s="16">
        <ns0:f>IF(AND(OR('前提と出典'!$C$36+'前提と出典'!$C$38=0,U929&gt;=0),OR('前提と出典'!$C$37+'前提と出典'!$C$38=0,V929&gt;=0)),0,A929)</ns0:f>
        <ns0:v>0</ns0:v>
      </ns0:c>
      <ns0:c r="AG929" s="7">
        <ns0:f>IF(Z929&gt;=0,A929,1001)</ns0:f>
        <ns0:v>925</ns0:v>
      </ns0:c>
      <ns0:c r="AH929" s="4">
        <ns0:f>IF(Z929&lt;0,A929,0)</ns0:f>
        <ns0:v>0</ns0:v>
      </ns0:c>
      <ns0:c r="AI929" s="12">
        <ns0:f>IF(AND(OR('前提と出典'!$C$36+'前提と出典'!$C$38=0,X929&gt;=0),OR('前提と出典'!$C$37+'前提と出典'!$C$38=0,Y929&gt;=0)),0,A929)</ns0:f>
        <ns0:v>0</ns0:v>
      </ns0:c>
    </ns0:row>
    <ns0:row r="930" ht="24" customHeight="1">
      <ns0:c r="A930" s="4" t="n">
        <ns0:v>926</ns0:v>
      </ns0:c>
      <ns0:c r="B930" s="12">
        <ns0:f>A930*('前提と出典'!$C$36+'前提と出典'!$C$38)</ns0:f>
        <ns0:v>648.1999999999999</ns0:v>
      </ns0:c>
      <ns0:c r="C930" s="12">
        <ns0:f>A930*('前提と出典'!$C$37+'前提と出典'!$C$38)</ns0:f>
        <ns0:v>555.6</ns0:v>
      </ns0:c>
      <ns0:c r="D930" s="16">
        <ns0:f>A930*('前提と出典'!$C$36*'契約別単価'!C5+'前提と出典'!$C$37*'契約別単価'!C6+'前提と出典'!$C$38*'契約別単価'!C7)</ns0:f>
        <ns0:v>6663.061452513966</ns0:v>
      </ns0:c>
      <ns0:c r="E930" s="16">
        <ns0:f>A930*('前提と出典'!$C$36*'契約別単価'!E5+'前提と出典'!$C$37*'契約別単価'!E6+'前提と出典'!$C$38*'契約別単価'!E7)</ns0:f>
        <ns0:v>1791758.7521341708</ns0:v>
      </ns0:c>
      <ns0:c r="F930" s="16">
        <ns0:f>A930*('前提と出典'!$C$36*'契約別単価'!F5+'前提と出典'!$C$37*'契約別単価'!F6+'前提と出典'!$C$38*'契約別単価'!F7)</ns0:f>
        <ns0:v>703200.2142059092</ns0:v>
      </ns0:c>
      <ns0:c r="G930" s="16">
        <ns0:f>A930*('前提と出典'!$C$36*'契約別単価'!G5+'前提と出典'!$C$37*'契約別単価'!G6+'前提と出典'!$C$38*'契約別単価'!G7)</ns0:f>
        <ns0:v>1843205.5865921788</ns0:v>
      </ns0:c>
      <ns0:c r="H930" s="16">
        <ns0:f>A930*('前提と出典'!$C$36*'契約別単価'!H5+'前提と出典'!$C$37*'契約別単価'!H6+'前提と出典'!$C$38*'契約別単価'!H7)</ns0:f>
        <ns0:v>639684.7825720782</ns0:v>
      </ns0:c>
      <ns0:c r="I930" s="16">
        <ns0:f>A930*('前提と出典'!$C$36*'契約別単価'!I5+'前提と出典'!$C$37*'契約別単価'!I6+'前提と出典'!$C$38*'契約別単価'!I7)</ns0:f>
        <ns0:v>39073.06145251396</ns0:v>
      </ns0:c>
      <ns0:c r="J930" s="16">
        <ns0:f>A930*('前提と出典'!$C$36*'契約別単価'!J5+'前提と出典'!$C$37*'契約別単価'!J6+'前提と出典'!$C$38*'契約別単価'!J7)</ns0:f>
        <ns0:v>91016.11747574017</ns0:v>
      </ns0:c>
      <ns0:c r="K930" s="16">
        <ns0:f>A930*('前提と出典'!$C$36*'契約別単価'!K5+'前提と出典'!$C$37*'契約別単価'!K6+'前提と出典'!$C$38*'契約別単価'!K7)</ns0:f>
        <ns0:v>390127.07635009306</ns0:v>
      </ns0:c>
      <ns0:c r="L930" s="16">
        <ns0:f>A930*('前提と出典'!$C$36*'契約別単価'!L5+'前提と出典'!$C$37*'契約別単価'!L6+'前提と出典'!$C$38*'契約別単価'!L7)</ns0:f>
        <ns0:v>317642.8260857359</ns0:v>
      </ns0:c>
      <ns0:c r="M930" s="16">
        <ns0:f>IF(('前提と出典'!$C$36+'前提と出典'!$C$38)=0,0,IF(B930&lt;=10,'前提と出典'!B73+'前提と出典'!C73,IF(B930&lt;=100,'前提と出典'!B74+'前提と出典'!C74,IF(B930&lt;=500,'前提と出典'!B75+'前提と出典'!C75,'前提と出典'!B76+'前提と出典'!C76))))</ns0:f>
        <ns0:v>80000</ns0:v>
      </ns0:c>
      <ns0:c r="N930" s="16">
        <ns0:f>IF(('前提と出典'!$C$37+'前提と出典'!$C$38)=0,0,IF(C930&lt;=10,'前提と出典'!D73+'前提と出典'!E73,IF(C930&lt;=100,'前提と出典'!D74+'前提と出典'!E74,IF(C930&lt;=500,'前提と出典'!D75+'前提と出典'!E75,'前提と出典'!D76+'前提と出典'!E76))))</ns0:f>
        <ns0:v>86510.9346263078</ns0:v>
      </ns0:c>
      <ns0:c r="O930" s="16">
        <ns0:f>IF('前提と出典'!$C$36+'前提と出典'!$C$38=0,0,'前提と出典'!$B$4*IF('前提と出典'!$B$20=0,MAX('前提と出典'!$B$6,D930*'前提と出典'!$B$5),'前提と出典'!$B$6+D930*'前提と出典'!$B$5))</ns0:f>
        <ns0:v>919502.4804469274</ns0:v>
      </ns0:c>
      <ns0:c r="P930" s="16">
        <ns0:f>(E930+G930)*(1-'前提と出典'!$B$7)-I930-K930-M930-O930</ns0:f>
        <ns0:v>2075403.0042826668</ns0:v>
      </ns0:c>
      <ns0:c r="Q930" s="16">
        <ns0:f>(F930+H930)*(1-'前提と出典'!$B$7)-J930-L930-N930</ns0:f>
        <ns0:v>799371.2587061957</ns0:v>
      </ns0:c>
      <ns0:c r="R930" s="16">
        <ns0:f>P930-E930*'前提と出典'!$E$4</ns0:f>
        <ns0:v>1537875.3786424156</ns0:v>
      </ns0:c>
      <ns0:c r="S930" s="16">
        <ns0:f>Q930-F930*'前提と出典'!$E$4</ns0:f>
        <ns0:v>588411.1944444232</ns0:v>
      </ns0:c>
      <ns0:c r="T930" s="7">
        <ns0:f>R930+S930</ns0:f>
        <ns0:v>2126286.5730868387</ns0:v>
      </ns0:c>
      <ns0:c r="U930" s="16">
        <ns0:f>P930-E930*'前提と出典'!$E$5</ns0:f>
        <ns0:v>1358699.5034289984</ns0:v>
      </ns0:c>
      <ns0:c r="V930" s="16">
        <ns0:f>Q930-F930*'前提と出典'!$E$5</ns0:f>
        <ns0:v>518091.17302383215</ns0:v>
      </ns0:c>
      <ns0:c r="W930" s="7">
        <ns0:f>U930+V930</ns0:f>
        <ns0:v>1876790.6764528304</ns0:v>
      </ns0:c>
      <ns0:c r="X930" s="16">
        <ns0:f>P930-E930*'前提と出典'!$E$6</ns0:f>
        <ns0:v>1179523.6282155812</ns0:v>
      </ns0:c>
      <ns0:c r="Y930" s="16">
        <ns0:f>Q930-F930*'前提と出典'!$E$6</ns0:f>
        <ns0:v>447771.15160324133</ns0:v>
      </ns0:c>
      <ns0:c r="Z930" s="7">
        <ns0:f>X930+Y930</ns0:f>
        <ns0:v>1627294.7798188226</ns0:v>
      </ns0:c>
      <ns0:c r="AA930" s="7">
        <ns0:f>IF(T930&gt;=0,A930,1001)</ns0:f>
        <ns0:v>926</ns0:v>
      </ns0:c>
      <ns0:c r="AB930" s="7">
        <ns0:f>IF(T930&lt;0,A930,0)</ns0:f>
        <ns0:v>0</ns0:v>
      </ns0:c>
      <ns0:c r="AC930" s="16">
        <ns0:f>IF(AND(OR('前提と出典'!$C$36+'前提と出典'!$C$38=0,R930&gt;=0),OR('前提と出典'!$C$37+'前提と出典'!$C$38=0,S930&gt;=0)),0,A930)</ns0:f>
        <ns0:v>0</ns0:v>
      </ns0:c>
      <ns0:c r="AD930" s="7">
        <ns0:f>IF(W930&gt;=0,A930,1001)</ns0:f>
        <ns0:v>926</ns0:v>
      </ns0:c>
      <ns0:c r="AE930" s="7">
        <ns0:f>IF(W930&lt;0,A930,0)</ns0:f>
        <ns0:v>0</ns0:v>
      </ns0:c>
      <ns0:c r="AF930" s="16">
        <ns0:f>IF(AND(OR('前提と出典'!$C$36+'前提と出典'!$C$38=0,U930&gt;=0),OR('前提と出典'!$C$37+'前提と出典'!$C$38=0,V930&gt;=0)),0,A930)</ns0:f>
        <ns0:v>0</ns0:v>
      </ns0:c>
      <ns0:c r="AG930" s="7">
        <ns0:f>IF(Z930&gt;=0,A930,1001)</ns0:f>
        <ns0:v>926</ns0:v>
      </ns0:c>
      <ns0:c r="AH930" s="4">
        <ns0:f>IF(Z930&lt;0,A930,0)</ns0:f>
        <ns0:v>0</ns0:v>
      </ns0:c>
      <ns0:c r="AI930" s="12">
        <ns0:f>IF(AND(OR('前提と出典'!$C$36+'前提と出典'!$C$38=0,X930&gt;=0),OR('前提と出典'!$C$37+'前提と出典'!$C$38=0,Y930&gt;=0)),0,A930)</ns0:f>
        <ns0:v>0</ns0:v>
      </ns0:c>
    </ns0:row>
    <ns0:row r="931" ht="24" customHeight="1">
      <ns0:c r="A931" s="4" t="n">
        <ns0:v>927</ns0:v>
      </ns0:c>
      <ns0:c r="B931" s="12">
        <ns0:f>A931*('前提と出典'!$C$36+'前提と出典'!$C$38)</ns0:f>
        <ns0:v>648.9</ns0:v>
      </ns0:c>
      <ns0:c r="C931" s="12">
        <ns0:f>A931*('前提と出典'!$C$37+'前提と出典'!$C$38)</ns0:f>
        <ns0:v>556.1999999999999</ns0:v>
      </ns0:c>
      <ns0:c r="D931" s="16">
        <ns0:f>A931*('前提と出典'!$C$36*'契約別単価'!C5+'前提と出典'!$C$37*'契約別単価'!C6+'前提と出典'!$C$38*'契約別単価'!C7)</ns0:f>
        <ns0:v>6670.256983240223</ns0:v>
      </ns0:c>
      <ns0:c r="E931" s="16">
        <ns0:f>A931*('前提と出典'!$C$36*'契約別単価'!E5+'前提と出典'!$C$37*'契約別単価'!E6+'前提と出典'!$C$38*'契約別単価'!E7)</ns0:f>
        <ns0:v>1793693.6967909033</ns0:v>
      </ns0:c>
      <ns0:c r="F931" s="16">
        <ns0:f>A931*('前提と出典'!$C$36*'契約別単価'!F5+'前提と出典'!$C$37*'契約別単価'!F6+'前提と出典'!$C$38*'契約別単価'!F7)</ns0:f>
        <ns0:v>703959.6096856132</ns0:v>
      </ns0:c>
      <ns0:c r="G931" s="16">
        <ns0:f>A931*('前提と出典'!$C$36*'契約別単価'!G5+'前提と出典'!$C$37*'契約別単価'!G6+'前提と出典'!$C$38*'契約別単価'!G7)</ns0:f>
        <ns0:v>1845196.0893854748</ns0:v>
      </ns0:c>
      <ns0:c r="H931" s="16">
        <ns0:f>A931*('前提と出典'!$C$36*'契約別単価'!H5+'前提と出典'!$C$37*'契約別単価'!H6+'前提と出典'!$C$38*'契約別単価'!H7)</ns0:f>
        <ns0:v>640375.5868729119</ns0:v>
      </ns0:c>
      <ns0:c r="I931" s="16">
        <ns0:f>A931*('前提と出典'!$C$36*'契約別単価'!I5+'前提と出典'!$C$37*'契約別単価'!I6+'前提と出典'!$C$38*'契約別単価'!I7)</ns0:f>
        <ns0:v>39115.256983240215</ns0:v>
      </ns0:c>
      <ns0:c r="J931" s="16">
        <ns0:f>A931*('前提と出典'!$C$36*'契約別単価'!J5+'前提と出典'!$C$37*'契約別単価'!J6+'前提と出典'!$C$38*'契約別単価'!J7)</ns0:f>
        <ns0:v>91114.40701945047</ns0:v>
      </ns0:c>
      <ns0:c r="K931" s="16">
        <ns0:f>A931*('前提と出典'!$C$36*'契約別単価'!K5+'前提と出典'!$C$37*'契約別単価'!K6+'前提と出典'!$C$38*'契約別単価'!K7)</ns0:f>
        <ns0:v>390548.37988826813</ns0:v>
      </ns0:c>
      <ns0:c r="L931" s="16">
        <ns0:f>A931*('前提と出典'!$C$36*'契約別単価'!L5+'前提と出典'!$C$37*'契約別単価'!L6+'前提と出典'!$C$38*'契約別単価'!L7)</ns0:f>
        <ns0:v>317985.8528957637</ns0:v>
      </ns0:c>
      <ns0:c r="M931" s="16">
        <ns0:f>IF(('前提と出典'!$C$36+'前提と出典'!$C$38)=0,0,IF(B931&lt;=10,'前提と出典'!B73+'前提と出典'!C73,IF(B931&lt;=100,'前提と出典'!B74+'前提と出典'!C74,IF(B931&lt;=500,'前提と出典'!B75+'前提と出典'!C75,'前提と出典'!B76+'前提と出典'!C76))))</ns0:f>
        <ns0:v>80000</ns0:v>
      </ns0:c>
      <ns0:c r="N931" s="16">
        <ns0:f>IF(('前提と出典'!$C$37+'前提と出典'!$C$38)=0,0,IF(C931&lt;=10,'前提と出典'!D73+'前提と出典'!E73,IF(C931&lt;=100,'前提と出典'!D74+'前提と出典'!E74,IF(C931&lt;=500,'前提と出典'!D75+'前提と出典'!E75,'前提と出典'!D76+'前提と出典'!E76))))</ns0:f>
        <ns0:v>86510.9346263078</ns0:v>
      </ns0:c>
      <ns0:c r="O931" s="16">
        <ns0:f>IF('前提と出典'!$C$36+'前提と出典'!$C$38=0,0,'前提と出典'!$B$4*IF('前提と出典'!$B$20=0,MAX('前提と出典'!$B$6,D931*'前提と出典'!$B$5),'前提と出典'!$B$6+D931*'前提と出典'!$B$5))</ns0:f>
        <ns0:v>920495.4636871509</ns0:v>
      </ns0:c>
      <ns0:c r="P931" s="16">
        <ns0:f>(E931+G931)*(1-'前提と出典'!$B$7)-I931-K931-M931-O931</ns0:f>
        <ns0:v>2077730.653315369</ns0:v>
      </ns0:c>
      <ns0:c r="Q931" s="16">
        <ns0:f>(F931+H931)*(1-'前提と出典'!$B$7)-J931-L931-N931</ns0:f>
        <ns0:v>800327.9349408963</ns0:v>
      </ns0:c>
      <ns0:c r="R931" s="16">
        <ns0:f>P931-E931*'前提と出典'!$E$4</ns0:f>
        <ns0:v>1539622.5442780983</ns0:v>
      </ns0:c>
      <ns0:c r="S931" s="16">
        <ns0:f>Q931-F931*'前提と出典'!$E$4</ns0:f>
        <ns0:v>589140.0520352124</ns0:v>
      </ns0:c>
      <ns0:c r="T931" s="7">
        <ns0:f>R931+S931</ns0:f>
        <ns0:v>2128762.596313311</ns0:v>
      </ns0:c>
      <ns0:c r="U931" s="16">
        <ns0:f>P931-E931*'前提と出典'!$E$5</ns0:f>
        <ns0:v>1360253.1745990077</ns0:v>
      </ns0:c>
      <ns0:c r="V931" s="16">
        <ns0:f>Q931-F931*'前提と出典'!$E$5</ns0:f>
        <ns0:v>518744.09106665105</ns0:v>
      </ns0:c>
      <ns0:c r="W931" s="7">
        <ns0:f>U931+V931</ns0:f>
        <ns0:v>1878997.2656656587</ns0:v>
      </ns0:c>
      <ns0:c r="X931" s="16">
        <ns0:f>P931-E931*'前提と出典'!$E$6</ns0:f>
        <ns0:v>1180883.8049199171</ns0:v>
      </ns0:c>
      <ns0:c r="Y931" s="16">
        <ns0:f>Q931-F931*'前提と出典'!$E$6</ns0:f>
        <ns0:v>448348.1300980896</ns0:v>
      </ns0:c>
      <ns0:c r="Z931" s="7">
        <ns0:f>X931+Y931</ns0:f>
        <ns0:v>1629231.9350180067</ns0:v>
      </ns0:c>
      <ns0:c r="AA931" s="7">
        <ns0:f>IF(T931&gt;=0,A931,1001)</ns0:f>
        <ns0:v>927</ns0:v>
      </ns0:c>
      <ns0:c r="AB931" s="7">
        <ns0:f>IF(T931&lt;0,A931,0)</ns0:f>
        <ns0:v>0</ns0:v>
      </ns0:c>
      <ns0:c r="AC931" s="16">
        <ns0:f>IF(AND(OR('前提と出典'!$C$36+'前提と出典'!$C$38=0,R931&gt;=0),OR('前提と出典'!$C$37+'前提と出典'!$C$38=0,S931&gt;=0)),0,A931)</ns0:f>
        <ns0:v>0</ns0:v>
      </ns0:c>
      <ns0:c r="AD931" s="7">
        <ns0:f>IF(W931&gt;=0,A931,1001)</ns0:f>
        <ns0:v>927</ns0:v>
      </ns0:c>
      <ns0:c r="AE931" s="7">
        <ns0:f>IF(W931&lt;0,A931,0)</ns0:f>
        <ns0:v>0</ns0:v>
      </ns0:c>
      <ns0:c r="AF931" s="16">
        <ns0:f>IF(AND(OR('前提と出典'!$C$36+'前提と出典'!$C$38=0,U931&gt;=0),OR('前提と出典'!$C$37+'前提と出典'!$C$38=0,V931&gt;=0)),0,A931)</ns0:f>
        <ns0:v>0</ns0:v>
      </ns0:c>
      <ns0:c r="AG931" s="7">
        <ns0:f>IF(Z931&gt;=0,A931,1001)</ns0:f>
        <ns0:v>927</ns0:v>
      </ns0:c>
      <ns0:c r="AH931" s="4">
        <ns0:f>IF(Z931&lt;0,A931,0)</ns0:f>
        <ns0:v>0</ns0:v>
      </ns0:c>
      <ns0:c r="AI931" s="12">
        <ns0:f>IF(AND(OR('前提と出典'!$C$36+'前提と出典'!$C$38=0,X931&gt;=0),OR('前提と出典'!$C$37+'前提と出典'!$C$38=0,Y931&gt;=0)),0,A931)</ns0:f>
        <ns0:v>0</ns0:v>
      </ns0:c>
    </ns0:row>
    <ns0:row r="932" ht="24" customHeight="1">
      <ns0:c r="A932" s="4" t="n">
        <ns0:v>928</ns0:v>
      </ns0:c>
      <ns0:c r="B932" s="12">
        <ns0:f>A932*('前提と出典'!$C$36+'前提と出典'!$C$38)</ns0:f>
        <ns0:v>649.5999999999999</ns0:v>
      </ns0:c>
      <ns0:c r="C932" s="12">
        <ns0:f>A932*('前提と出典'!$C$37+'前提と出典'!$C$38)</ns0:f>
        <ns0:v>556.8</ns0:v>
      </ns0:c>
      <ns0:c r="D932" s="16">
        <ns0:f>A932*('前提と出典'!$C$36*'契約別単価'!C5+'前提と出典'!$C$37*'契約別単価'!C6+'前提と出典'!$C$38*'契約別単価'!C7)</ns0:f>
        <ns0:v>6677.45251396648</ns0:v>
      </ns0:c>
      <ns0:c r="E932" s="16">
        <ns0:f>A932*('前提と出典'!$C$36*'契約別単価'!E5+'前提と出典'!$C$37*'契約別単価'!E6+'前提と出典'!$C$38*'契約別単価'!E7)</ns0:f>
        <ns0:v>1795628.6414476356</ns0:v>
      </ns0:c>
      <ns0:c r="F932" s="16">
        <ns0:f>A932*('前提と出典'!$C$36*'契約別単価'!F5+'前提と出典'!$C$37*'契約別単価'!F6+'前提と出典'!$C$38*'契約別単価'!F7)</ns0:f>
        <ns0:v>704719.0051653171</ns0:v>
      </ns0:c>
      <ns0:c r="G932" s="16">
        <ns0:f>A932*('前提と出典'!$C$36*'契約別単価'!G5+'前提と出典'!$C$37*'契約別単価'!G6+'前提と出典'!$C$38*'契約別単価'!G7)</ns0:f>
        <ns0:v>1847186.5921787708</ns0:v>
      </ns0:c>
      <ns0:c r="H932" s="16">
        <ns0:f>A932*('前提と出典'!$C$36*'契約別単価'!H5+'前提と出典'!$C$37*'契約別単価'!H6+'前提と出典'!$C$38*'契約別単価'!H7)</ns0:f>
        <ns0:v>641066.3911737457</ns0:v>
      </ns0:c>
      <ns0:c r="I932" s="16">
        <ns0:f>A932*('前提と出典'!$C$36*'契約別単価'!I5+'前提と出典'!$C$37*'契約別単価'!I6+'前提と出典'!$C$38*'契約別単価'!I7)</ns0:f>
        <ns0:v>39157.45251396648</ns0:v>
      </ns0:c>
      <ns0:c r="J932" s="16">
        <ns0:f>A932*('前提と出典'!$C$36*'契約別単価'!J5+'前提と出典'!$C$37*'契約別単価'!J6+'前提と出典'!$C$38*'契約別単価'!J7)</ns0:f>
        <ns0:v>91212.69656316079</ns0:v>
      </ns0:c>
      <ns0:c r="K932" s="16">
        <ns0:f>A932*('前提と出典'!$C$36*'契約別単価'!K5+'前提と出典'!$C$37*'契約別単価'!K6+'前提と出典'!$C$38*'契約別単価'!K7)</ns0:f>
        <ns0:v>390969.6834264432</ns0:v>
      </ns0:c>
      <ns0:c r="L932" s="16">
        <ns0:f>A932*('前提と出典'!$C$36*'契約別単価'!L5+'前提と出典'!$C$37*'契約別単価'!L6+'前提と出典'!$C$38*'契約別単価'!L7)</ns0:f>
        <ns0:v>318328.87970579154</ns0:v>
      </ns0:c>
      <ns0:c r="M932" s="16">
        <ns0:f>IF(('前提と出典'!$C$36+'前提と出典'!$C$38)=0,0,IF(B932&lt;=10,'前提と出典'!B73+'前提と出典'!C73,IF(B932&lt;=100,'前提と出典'!B74+'前提と出典'!C74,IF(B932&lt;=500,'前提と出典'!B75+'前提と出典'!C75,'前提と出典'!B76+'前提と出典'!C76))))</ns0:f>
        <ns0:v>80000</ns0:v>
      </ns0:c>
      <ns0:c r="N932" s="16">
        <ns0:f>IF(('前提と出典'!$C$37+'前提と出典'!$C$38)=0,0,IF(C932&lt;=10,'前提と出典'!D73+'前提と出典'!E73,IF(C932&lt;=100,'前提と出典'!D74+'前提と出典'!E74,IF(C932&lt;=500,'前提と出典'!D75+'前提と出典'!E75,'前提と出典'!D76+'前提と出典'!E76))))</ns0:f>
        <ns0:v>86510.9346263078</ns0:v>
      </ns0:c>
      <ns0:c r="O932" s="16">
        <ns0:f>IF('前提と出典'!$C$36+'前提と出典'!$C$38=0,0,'前提と出典'!$B$4*IF('前提と出典'!$B$20=0,MAX('前提と出典'!$B$6,D932*'前提と出典'!$B$5),'前提と出典'!$B$6+D932*'前提と出典'!$B$5))</ns0:f>
        <ns0:v>921488.4469273743</ns0:v>
      </ns0:c>
      <ns0:c r="P932" s="16">
        <ns0:f>(E932+G932)*(1-'前提と出典'!$B$7)-I932-K932-M932-O932</ns0:f>
        <ns0:v>2080058.3023480726</ns0:v>
      </ns0:c>
      <ns0:c r="Q932" s="16">
        <ns0:f>(F932+H932)*(1-'前提と出典'!$B$7)-J932-L932-N932</ns0:f>
        <ns0:v>801284.6111755965</ns0:v>
      </ns0:c>
      <ns0:c r="R932" s="16">
        <ns0:f>P932-E932*'前提と出典'!$E$4</ns0:f>
        <ns0:v>1541369.7099137814</ns0:v>
      </ns0:c>
      <ns0:c r="S932" s="16">
        <ns0:f>Q932-F932*'前提と出典'!$E$4</ns0:f>
        <ns0:v>589868.9096260013</ns0:v>
      </ns0:c>
      <ns0:c r="T932" s="7">
        <ns0:f>R932+S932</ns0:f>
        <ns0:v>2131238.6195397824</ns0:v>
      </ns0:c>
      <ns0:c r="U932" s="16">
        <ns0:f>P932-E932*'前提と出典'!$E$5</ns0:f>
        <ns0:v>1361806.8457690184</ns0:v>
      </ns0:c>
      <ns0:c r="V932" s="16">
        <ns0:f>Q932-F932*'前提と出典'!$E$5</ns0:f>
        <ns0:v>519397.0091094696</ns0:v>
      </ns0:c>
      <ns0:c r="W932" s="7">
        <ns0:f>U932+V932</ns0:f>
        <ns0:v>1881203.854878488</ns0:v>
      </ns0:c>
      <ns0:c r="X932" s="16">
        <ns0:f>P932-E932*'前提と出典'!$E$6</ns0:f>
        <ns0:v>1182243.9816242545</ns0:v>
      </ns0:c>
      <ns0:c r="Y932" s="16">
        <ns0:f>Q932-F932*'前提と出典'!$E$6</ns0:f>
        <ns0:v>448925.10859293793</ns0:v>
      </ns0:c>
      <ns0:c r="Z932" s="7">
        <ns0:f>X932+Y932</ns0:f>
        <ns0:v>1631169.0902171924</ns0:v>
      </ns0:c>
      <ns0:c r="AA932" s="7">
        <ns0:f>IF(T932&gt;=0,A932,1001)</ns0:f>
        <ns0:v>928</ns0:v>
      </ns0:c>
      <ns0:c r="AB932" s="7">
        <ns0:f>IF(T932&lt;0,A932,0)</ns0:f>
        <ns0:v>0</ns0:v>
      </ns0:c>
      <ns0:c r="AC932" s="16">
        <ns0:f>IF(AND(OR('前提と出典'!$C$36+'前提と出典'!$C$38=0,R932&gt;=0),OR('前提と出典'!$C$37+'前提と出典'!$C$38=0,S932&gt;=0)),0,A932)</ns0:f>
        <ns0:v>0</ns0:v>
      </ns0:c>
      <ns0:c r="AD932" s="7">
        <ns0:f>IF(W932&gt;=0,A932,1001)</ns0:f>
        <ns0:v>928</ns0:v>
      </ns0:c>
      <ns0:c r="AE932" s="7">
        <ns0:f>IF(W932&lt;0,A932,0)</ns0:f>
        <ns0:v>0</ns0:v>
      </ns0:c>
      <ns0:c r="AF932" s="16">
        <ns0:f>IF(AND(OR('前提と出典'!$C$36+'前提と出典'!$C$38=0,U932&gt;=0),OR('前提と出典'!$C$37+'前提と出典'!$C$38=0,V932&gt;=0)),0,A932)</ns0:f>
        <ns0:v>0</ns0:v>
      </ns0:c>
      <ns0:c r="AG932" s="7">
        <ns0:f>IF(Z932&gt;=0,A932,1001)</ns0:f>
        <ns0:v>928</ns0:v>
      </ns0:c>
      <ns0:c r="AH932" s="4">
        <ns0:f>IF(Z932&lt;0,A932,0)</ns0:f>
        <ns0:v>0</ns0:v>
      </ns0:c>
      <ns0:c r="AI932" s="12">
        <ns0:f>IF(AND(OR('前提と出典'!$C$36+'前提と出典'!$C$38=0,X932&gt;=0),OR('前提と出典'!$C$37+'前提と出典'!$C$38=0,Y932&gt;=0)),0,A932)</ns0:f>
        <ns0:v>0</ns0:v>
      </ns0:c>
    </ns0:row>
    <ns0:row r="933" ht="24" customHeight="1">
      <ns0:c r="A933" s="4" t="n">
        <ns0:v>929</ns0:v>
      </ns0:c>
      <ns0:c r="B933" s="12">
        <ns0:f>A933*('前提と出典'!$C$36+'前提と出典'!$C$38)</ns0:f>
        <ns0:v>650.3</ns0:v>
      </ns0:c>
      <ns0:c r="C933" s="12">
        <ns0:f>A933*('前提と出典'!$C$37+'前提と出典'!$C$38)</ns0:f>
        <ns0:v>557.4</ns0:v>
      </ns0:c>
      <ns0:c r="D933" s="16">
        <ns0:f>A933*('前提と出典'!$C$36*'契約別単価'!C5+'前提と出典'!$C$37*'契約別単価'!C6+'前提と出典'!$C$38*'契約別単価'!C7)</ns0:f>
        <ns0:v>6684.648044692737</ns0:v>
      </ns0:c>
      <ns0:c r="E933" s="16">
        <ns0:f>A933*('前提と出典'!$C$36*'契約別単価'!E5+'前提と出典'!$C$37*'契約別単価'!E6+'前提と出典'!$C$38*'契約別単価'!E7)</ns0:f>
        <ns0:v>1797563.5861043679</ns0:v>
      </ns0:c>
      <ns0:c r="F933" s="16">
        <ns0:f>A933*('前提と出典'!$C$36*'契約別単価'!F5+'前提と出典'!$C$37*'契約別単価'!F6+'前提と出典'!$C$38*'契約別単価'!F7)</ns0:f>
        <ns0:v>705478.4006450211</ns0:v>
      </ns0:c>
      <ns0:c r="G933" s="16">
        <ns0:f>A933*('前提と出典'!$C$36*'契約別単価'!G5+'前提と出典'!$C$37*'契約別単価'!G6+'前提と出典'!$C$38*'契約別単価'!G7)</ns0:f>
        <ns0:v>1849177.094972067</ns0:v>
      </ns0:c>
      <ns0:c r="H933" s="16">
        <ns0:f>A933*('前提と出典'!$C$36*'契約別単価'!H5+'前提と出典'!$C$37*'契約別単価'!H6+'前提と出典'!$C$38*'契約別単価'!H7)</ns0:f>
        <ns0:v>641757.1954745795</ns0:v>
      </ns0:c>
      <ns0:c r="I933" s="16">
        <ns0:f>A933*('前提と出典'!$C$36*'契約別単価'!I5+'前提と出典'!$C$37*'契約別単価'!I6+'前提と出典'!$C$38*'契約別単価'!I7)</ns0:f>
        <ns0:v>39199.64804469273</ns0:v>
      </ns0:c>
      <ns0:c r="J933" s="16">
        <ns0:f>A933*('前提と出典'!$C$36*'契約別単価'!J5+'前提と出典'!$C$37*'契約別単価'!J6+'前提と出典'!$C$38*'契約別単価'!J7)</ns0:f>
        <ns0:v>91310.98610687109</ns0:v>
      </ns0:c>
      <ns0:c r="K933" s="16">
        <ns0:f>A933*('前提と出典'!$C$36*'契約別単価'!K5+'前提と出典'!$C$37*'契約別単価'!K6+'前提と出典'!$C$38*'契約別単価'!K7)</ns0:f>
        <ns0:v>391390.9869646182</ns0:v>
      </ns0:c>
      <ns0:c r="L933" s="16">
        <ns0:f>A933*('前提と出典'!$C$36*'契約別単価'!L5+'前提と出典'!$C$37*'契約別単価'!L6+'前提と出典'!$C$38*'契約別単価'!L7)</ns0:f>
        <ns0:v>318671.9065158193</ns0:v>
      </ns0:c>
      <ns0:c r="M933" s="16">
        <ns0:f>IF(('前提と出典'!$C$36+'前提と出典'!$C$38)=0,0,IF(B933&lt;=10,'前提と出典'!B73+'前提と出典'!C73,IF(B933&lt;=100,'前提と出典'!B74+'前提と出典'!C74,IF(B933&lt;=500,'前提と出典'!B75+'前提と出典'!C75,'前提と出典'!B76+'前提と出典'!C76))))</ns0:f>
        <ns0:v>80000</ns0:v>
      </ns0:c>
      <ns0:c r="N933" s="16">
        <ns0:f>IF(('前提と出典'!$C$37+'前提と出典'!$C$38)=0,0,IF(C933&lt;=10,'前提と出典'!D73+'前提と出典'!E73,IF(C933&lt;=100,'前提と出典'!D74+'前提と出典'!E74,IF(C933&lt;=500,'前提と出典'!D75+'前提と出典'!E75,'前提と出典'!D76+'前提と出典'!E76))))</ns0:f>
        <ns0:v>86510.9346263078</ns0:v>
      </ns0:c>
      <ns0:c r="O933" s="16">
        <ns0:f>IF('前提と出典'!$C$36+'前提と出典'!$C$38=0,0,'前提と出典'!$B$4*IF('前提と出典'!$B$20=0,MAX('前提と出典'!$B$6,D933*'前提と出典'!$B$5),'前提と出典'!$B$6+D933*'前提と出典'!$B$5))</ns0:f>
        <ns0:v>922481.4301675977</ns0:v>
      </ns0:c>
      <ns0:c r="P933" s="16">
        <ns0:f>(E933+G933)*(1-'前提と出典'!$B$7)-I933-K933-M933-O933</ns0:f>
        <ns0:v>2082385.9513807744</ns0:v>
      </ns0:c>
      <ns0:c r="Q933" s="16">
        <ns0:f>(F933+H933)*(1-'前提と出典'!$B$7)-J933-L933-N933</ns0:f>
        <ns0:v>802241.2874102966</ns0:v>
      </ns0:c>
      <ns0:c r="R933" s="16">
        <ns0:f>P933-E933*'前提と出典'!$E$4</ns0:f>
        <ns0:v>1543116.875549464</ns0:v>
      </ns0:c>
      <ns0:c r="S933" s="16">
        <ns0:f>Q933-F933*'前提と出典'!$E$4</ns0:f>
        <ns0:v>590597.7672167905</ns0:v>
      </ns0:c>
      <ns0:c r="T933" s="7">
        <ns0:f>R933+S933</ns0:f>
        <ns0:v>2133714.6427662545</ns0:v>
      </ns0:c>
      <ns0:c r="U933" s="16">
        <ns0:f>P933-E933*'前提と出典'!$E$5</ns0:f>
        <ns0:v>1363360.5169390272</ns0:v>
      </ns0:c>
      <ns0:c r="V933" s="16">
        <ns0:f>Q933-F933*'前提と出典'!$E$5</ns0:f>
        <ns0:v>520049.92715228815</ns0:v>
      </ns0:c>
      <ns0:c r="W933" s="7">
        <ns0:f>U933+V933</ns0:f>
        <ns0:v>1883410.4440913154</ns0:v>
      </ns0:c>
      <ns0:c r="X933" s="16">
        <ns0:f>P933-E933*'前提と出典'!$E$6</ns0:f>
        <ns0:v>1183604.1583285904</ns0:v>
      </ns0:c>
      <ns0:c r="Y933" s="16">
        <ns0:f>Q933-F933*'前提と出典'!$E$6</ns0:f>
        <ns0:v>449502.0870877863</ns0:v>
      </ns0:c>
      <ns0:c r="Z933" s="7">
        <ns0:f>X933+Y933</ns0:f>
        <ns0:v>1633106.2454163767</ns0:v>
      </ns0:c>
      <ns0:c r="AA933" s="7">
        <ns0:f>IF(T933&gt;=0,A933,1001)</ns0:f>
        <ns0:v>929</ns0:v>
      </ns0:c>
      <ns0:c r="AB933" s="7">
        <ns0:f>IF(T933&lt;0,A933,0)</ns0:f>
        <ns0:v>0</ns0:v>
      </ns0:c>
      <ns0:c r="AC933" s="16">
        <ns0:f>IF(AND(OR('前提と出典'!$C$36+'前提と出典'!$C$38=0,R933&gt;=0),OR('前提と出典'!$C$37+'前提と出典'!$C$38=0,S933&gt;=0)),0,A933)</ns0:f>
        <ns0:v>0</ns0:v>
      </ns0:c>
      <ns0:c r="AD933" s="7">
        <ns0:f>IF(W933&gt;=0,A933,1001)</ns0:f>
        <ns0:v>929</ns0:v>
      </ns0:c>
      <ns0:c r="AE933" s="7">
        <ns0:f>IF(W933&lt;0,A933,0)</ns0:f>
        <ns0:v>0</ns0:v>
      </ns0:c>
      <ns0:c r="AF933" s="16">
        <ns0:f>IF(AND(OR('前提と出典'!$C$36+'前提と出典'!$C$38=0,U933&gt;=0),OR('前提と出典'!$C$37+'前提と出典'!$C$38=0,V933&gt;=0)),0,A933)</ns0:f>
        <ns0:v>0</ns0:v>
      </ns0:c>
      <ns0:c r="AG933" s="7">
        <ns0:f>IF(Z933&gt;=0,A933,1001)</ns0:f>
        <ns0:v>929</ns0:v>
      </ns0:c>
      <ns0:c r="AH933" s="4">
        <ns0:f>IF(Z933&lt;0,A933,0)</ns0:f>
        <ns0:v>0</ns0:v>
      </ns0:c>
      <ns0:c r="AI933" s="12">
        <ns0:f>IF(AND(OR('前提と出典'!$C$36+'前提と出典'!$C$38=0,X933&gt;=0),OR('前提と出典'!$C$37+'前提と出典'!$C$38=0,Y933&gt;=0)),0,A933)</ns0:f>
        <ns0:v>0</ns0:v>
      </ns0:c>
    </ns0:row>
    <ns0:row r="934" ht="24" customHeight="1">
      <ns0:c r="A934" s="4" t="n">
        <ns0:v>930</ns0:v>
      </ns0:c>
      <ns0:c r="B934" s="12">
        <ns0:f>A934*('前提と出典'!$C$36+'前提と出典'!$C$38)</ns0:f>
        <ns0:v>651</ns0:v>
      </ns0:c>
      <ns0:c r="C934" s="12">
        <ns0:f>A934*('前提と出典'!$C$37+'前提と出典'!$C$38)</ns0:f>
        <ns0:v>558</ns0:v>
      </ns0:c>
      <ns0:c r="D934" s="16">
        <ns0:f>A934*('前提と出典'!$C$36*'契約別単価'!C5+'前提と出典'!$C$37*'契約別単価'!C6+'前提と出典'!$C$38*'契約別単価'!C7)</ns0:f>
        <ns0:v>6691.843575418994</ns0:v>
      </ns0:c>
      <ns0:c r="E934" s="16">
        <ns0:f>A934*('前提と出典'!$C$36*'契約別単価'!E5+'前提と出典'!$C$37*'契約別単価'!E6+'前提と出典'!$C$38*'契約別単価'!E7)</ns0:f>
        <ns0:v>1799498.5307611004</ns0:v>
      </ns0:c>
      <ns0:c r="F934" s="16">
        <ns0:f>A934*('前提と出典'!$C$36*'契約別単価'!F5+'前提と出典'!$C$37*'契約別単価'!F6+'前提と出典'!$C$38*'契約別単価'!F7)</ns0:f>
        <ns0:v>706237.7961247251</ns0:v>
      </ns0:c>
      <ns0:c r="G934" s="16">
        <ns0:f>A934*('前提と出典'!$C$36*'契約別単価'!G5+'前提と出典'!$C$37*'契約別単価'!G6+'前提と出典'!$C$38*'契約別単価'!G7)</ns0:f>
        <ns0:v>1851167.597765363</ns0:v>
      </ns0:c>
      <ns0:c r="H934" s="16">
        <ns0:f>A934*('前提と出典'!$C$36*'契約別単価'!H5+'前提と出典'!$C$37*'契約別単価'!H6+'前提と出典'!$C$38*'契約別単価'!H7)</ns0:f>
        <ns0:v>642447.9997754133</ns0:v>
      </ns0:c>
      <ns0:c r="I934" s="16">
        <ns0:f>A934*('前提と出典'!$C$36*'契約別単価'!I5+'前提と出典'!$C$37*'契約別単価'!I6+'前提と出典'!$C$38*'契約別単価'!I7)</ns0:f>
        <ns0:v>39241.843575418985</ns0:v>
      </ns0:c>
      <ns0:c r="J934" s="16">
        <ns0:f>A934*('前提と出典'!$C$36*'契約別単価'!J5+'前提と出典'!$C$37*'契約別単価'!J6+'前提と出典'!$C$38*'契約別単価'!J7)</ns0:f>
        <ns0:v>91409.27565058139</ns0:v>
      </ns0:c>
      <ns0:c r="K934" s="16">
        <ns0:f>A934*('前提と出典'!$C$36*'契約別単価'!K5+'前提と出典'!$C$37*'契約別単価'!K6+'前提と出典'!$C$38*'契約別単価'!K7)</ns0:f>
        <ns0:v>391812.2905027933</ns0:v>
      </ns0:c>
      <ns0:c r="L934" s="16">
        <ns0:f>A934*('前提と出典'!$C$36*'契約別単価'!L5+'前提と出典'!$C$37*'契約別単価'!L6+'前提と出典'!$C$38*'契約別単価'!L7)</ns0:f>
        <ns0:v>319014.9333258471</ns0:v>
      </ns0:c>
      <ns0:c r="M934" s="16">
        <ns0:f>IF(('前提と出典'!$C$36+'前提と出典'!$C$38)=0,0,IF(B934&lt;=10,'前提と出典'!B73+'前提と出典'!C73,IF(B934&lt;=100,'前提と出典'!B74+'前提と出典'!C74,IF(B934&lt;=500,'前提と出典'!B75+'前提と出典'!C75,'前提と出典'!B76+'前提と出典'!C76))))</ns0:f>
        <ns0:v>80000</ns0:v>
      </ns0:c>
      <ns0:c r="N934" s="16">
        <ns0:f>IF(('前提と出典'!$C$37+'前提と出典'!$C$38)=0,0,IF(C934&lt;=10,'前提と出典'!D73+'前提と出典'!E73,IF(C934&lt;=100,'前提と出典'!D74+'前提と出典'!E74,IF(C934&lt;=500,'前提と出典'!D75+'前提と出典'!E75,'前提と出典'!D76+'前提と出典'!E76))))</ns0:f>
        <ns0:v>86510.9346263078</ns0:v>
      </ns0:c>
      <ns0:c r="O934" s="16">
        <ns0:f>IF('前提と出典'!$C$36+'前提と出典'!$C$38=0,0,'前提と出典'!$B$4*IF('前提と出典'!$B$20=0,MAX('前提と出典'!$B$6,D934*'前提と出典'!$B$5),'前提と出典'!$B$6+D934*'前提と出典'!$B$5))</ns0:f>
        <ns0:v>923474.4134078212</ns0:v>
      </ns0:c>
      <ns0:c r="P934" s="16">
        <ns0:f>(E934+G934)*(1-'前提と出典'!$B$7)-I934-K934-M934-O934</ns0:f>
        <ns0:v>2084713.600413477</ns0:v>
      </ns0:c>
      <ns0:c r="Q934" s="16">
        <ns0:f>(F934+H934)*(1-'前提と出典'!$B$7)-J934-L934-N934</ns0:f>
        <ns0:v>803197.9636449974</ns0:v>
      </ns0:c>
      <ns0:c r="R934" s="16">
        <ns0:f>P934-E934*'前提と出典'!$E$4</ns0:f>
        <ns0:v>1544864.0411851471</ns0:v>
      </ns0:c>
      <ns0:c r="S934" s="16">
        <ns0:f>Q934-F934*'前提と出典'!$E$4</ns0:f>
        <ns0:v>591326.6248075797</ns0:v>
      </ns0:c>
      <ns0:c r="T934" s="7">
        <ns0:f>R934+S934</ns0:f>
        <ns0:v>2136190.6659927266</ns0:v>
      </ns0:c>
      <ns0:c r="U934" s="16">
        <ns0:f>P934-E934*'前提と出典'!$E$5</ns0:f>
        <ns0:v>1364914.188109037</ns0:v>
      </ns0:c>
      <ns0:c r="V934" s="16">
        <ns0:f>Q934-F934*'前提と出典'!$E$5</ns0:f>
        <ns0:v>520702.8451951074</ns0:v>
      </ns0:c>
      <ns0:c r="W934" s="7">
        <ns0:f>U934+V934</ns0:f>
        <ns0:v>1885617.0333041444</ns0:v>
      </ns0:c>
      <ns0:c r="X934" s="16">
        <ns0:f>P934-E934*'前提と出典'!$E$6</ns0:f>
        <ns0:v>1184964.3350329269</ns0:v>
      </ns0:c>
      <ns0:c r="Y934" s="16">
        <ns0:f>Q934-F934*'前提と出典'!$E$6</ns0:f>
        <ns0:v>450079.0655826349</ns0:v>
      </ns0:c>
      <ns0:c r="Z934" s="7">
        <ns0:f>X934+Y934</ns0:f>
        <ns0:v>1635043.4006155618</ns0:v>
      </ns0:c>
      <ns0:c r="AA934" s="7">
        <ns0:f>IF(T934&gt;=0,A934,1001)</ns0:f>
        <ns0:v>930</ns0:v>
      </ns0:c>
      <ns0:c r="AB934" s="7">
        <ns0:f>IF(T934&lt;0,A934,0)</ns0:f>
        <ns0:v>0</ns0:v>
      </ns0:c>
      <ns0:c r="AC934" s="16">
        <ns0:f>IF(AND(OR('前提と出典'!$C$36+'前提と出典'!$C$38=0,R934&gt;=0),OR('前提と出典'!$C$37+'前提と出典'!$C$38=0,S934&gt;=0)),0,A934)</ns0:f>
        <ns0:v>0</ns0:v>
      </ns0:c>
      <ns0:c r="AD934" s="7">
        <ns0:f>IF(W934&gt;=0,A934,1001)</ns0:f>
        <ns0:v>930</ns0:v>
      </ns0:c>
      <ns0:c r="AE934" s="7">
        <ns0:f>IF(W934&lt;0,A934,0)</ns0:f>
        <ns0:v>0</ns0:v>
      </ns0:c>
      <ns0:c r="AF934" s="16">
        <ns0:f>IF(AND(OR('前提と出典'!$C$36+'前提と出典'!$C$38=0,U934&gt;=0),OR('前提と出典'!$C$37+'前提と出典'!$C$38=0,V934&gt;=0)),0,A934)</ns0:f>
        <ns0:v>0</ns0:v>
      </ns0:c>
      <ns0:c r="AG934" s="7">
        <ns0:f>IF(Z934&gt;=0,A934,1001)</ns0:f>
        <ns0:v>930</ns0:v>
      </ns0:c>
      <ns0:c r="AH934" s="4">
        <ns0:f>IF(Z934&lt;0,A934,0)</ns0:f>
        <ns0:v>0</ns0:v>
      </ns0:c>
      <ns0:c r="AI934" s="12">
        <ns0:f>IF(AND(OR('前提と出典'!$C$36+'前提と出典'!$C$38=0,X934&gt;=0),OR('前提と出典'!$C$37+'前提と出典'!$C$38=0,Y934&gt;=0)),0,A934)</ns0:f>
        <ns0:v>0</ns0:v>
      </ns0:c>
    </ns0:row>
    <ns0:row r="935" ht="24" customHeight="1">
      <ns0:c r="A935" s="4" t="n">
        <ns0:v>931</ns0:v>
      </ns0:c>
      <ns0:c r="B935" s="12">
        <ns0:f>A935*('前提と出典'!$C$36+'前提と出典'!$C$38)</ns0:f>
        <ns0:v>651.6999999999999</ns0:v>
      </ns0:c>
      <ns0:c r="C935" s="12">
        <ns0:f>A935*('前提と出典'!$C$37+'前提と出典'!$C$38)</ns0:f>
        <ns0:v>558.6</ns0:v>
      </ns0:c>
      <ns0:c r="D935" s="16">
        <ns0:f>A935*('前提と出典'!$C$36*'契約別単価'!C5+'前提と出典'!$C$37*'契約別単価'!C6+'前提と出典'!$C$38*'契約別単価'!C7)</ns0:f>
        <ns0:v>6699.039106145251</ns0:v>
      </ns0:c>
      <ns0:c r="E935" s="16">
        <ns0:f>A935*('前提と出典'!$C$36*'契約別単価'!E5+'前提と出典'!$C$37*'契約別単価'!E6+'前提と出典'!$C$38*'契約別単価'!E7)</ns0:f>
        <ns0:v>1801433.4754178326</ns0:v>
      </ns0:c>
      <ns0:c r="F935" s="16">
        <ns0:f>A935*('前提と出典'!$C$36*'契約別単価'!F5+'前提と出典'!$C$37*'契約別単価'!F6+'前提と出典'!$C$38*'契約別単価'!F7)</ns0:f>
        <ns0:v>706997.1916044292</ns0:v>
      </ns0:c>
      <ns0:c r="G935" s="16">
        <ns0:f>A935*('前提と出典'!$C$36*'契約別単価'!G5+'前提と出典'!$C$37*'契約別単価'!G6+'前提と出典'!$C$38*'契約別単価'!G7)</ns0:f>
        <ns0:v>1853158.100558659</ns0:v>
      </ns0:c>
      <ns0:c r="H935" s="16">
        <ns0:f>A935*('前提と出典'!$C$36*'契約別単価'!H5+'前提と出典'!$C$37*'契約別単価'!H6+'前提と出典'!$C$38*'契約別単価'!H7)</ns0:f>
        <ns0:v>643138.804076247</ns0:v>
      </ns0:c>
      <ns0:c r="I935" s="16">
        <ns0:f>A935*('前提と出典'!$C$36*'契約別単価'!I5+'前提と出典'!$C$37*'契約別単価'!I6+'前提と出典'!$C$38*'契約別単価'!I7)</ns0:f>
        <ns0:v>39284.03910614525</ns0:v>
      </ns0:c>
      <ns0:c r="J935" s="16">
        <ns0:f>A935*('前提と出典'!$C$36*'契約別単価'!J5+'前提と出典'!$C$37*'契約別単価'!J6+'前提と出典'!$C$38*'契約別単価'!J7)</ns0:f>
        <ns0:v>91507.56519429169</ns0:v>
      </ns0:c>
      <ns0:c r="K935" s="16">
        <ns0:f>A935*('前提と出典'!$C$36*'契約別単価'!K5+'前提と出典'!$C$37*'契約別単価'!K6+'前提と出典'!$C$38*'契約別単価'!K7)</ns0:f>
        <ns0:v>392233.59404096834</ns0:v>
      </ns0:c>
      <ns0:c r="L935" s="16">
        <ns0:f>A935*('前提と出典'!$C$36*'契約別単価'!L5+'前提と出典'!$C$37*'契約別単価'!L6+'前提と出典'!$C$38*'契約別単価'!L7)</ns0:f>
        <ns0:v>319357.96013587486</ns0:v>
      </ns0:c>
      <ns0:c r="M935" s="16">
        <ns0:f>IF(('前提と出典'!$C$36+'前提と出典'!$C$38)=0,0,IF(B935&lt;=10,'前提と出典'!B73+'前提と出典'!C73,IF(B935&lt;=100,'前提と出典'!B74+'前提と出典'!C74,IF(B935&lt;=500,'前提と出典'!B75+'前提と出典'!C75,'前提と出典'!B76+'前提と出典'!C76))))</ns0:f>
        <ns0:v>80000</ns0:v>
      </ns0:c>
      <ns0:c r="N935" s="16">
        <ns0:f>IF(('前提と出典'!$C$37+'前提と出典'!$C$38)=0,0,IF(C935&lt;=10,'前提と出典'!D73+'前提と出典'!E73,IF(C935&lt;=100,'前提と出典'!D74+'前提と出典'!E74,IF(C935&lt;=500,'前提と出典'!D75+'前提と出典'!E75,'前提と出典'!D76+'前提と出典'!E76))))</ns0:f>
        <ns0:v>86510.9346263078</ns0:v>
      </ns0:c>
      <ns0:c r="O935" s="16">
        <ns0:f>IF('前提と出典'!$C$36+'前提と出典'!$C$38=0,0,'前提と出典'!$B$4*IF('前提と出典'!$B$20=0,MAX('前提と出典'!$B$6,D935*'前提と出典'!$B$5),'前提と出典'!$B$6+D935*'前提と出典'!$B$5))</ns0:f>
        <ns0:v>924467.3966480447</ns0:v>
      </ns0:c>
      <ns0:c r="P935" s="16">
        <ns0:f>(E935+G935)*(1-'前提と出典'!$B$7)-I935-K935-M935-O935</ns0:f>
        <ns0:v>2087041.2494461802</ns0:v>
      </ns0:c>
      <ns0:c r="Q935" s="16">
        <ns0:f>(F935+H935)*(1-'前提と出典'!$B$7)-J935-L935-N935</ns0:f>
        <ns0:v>804154.6398796977</ns0:v>
      </ns0:c>
      <ns0:c r="R935" s="16">
        <ns0:f>P935-E935*'前提と出典'!$E$4</ns0:f>
        <ns0:v>1546611.2068208302</ns0:v>
      </ns0:c>
      <ns0:c r="S935" s="16">
        <ns0:f>Q935-F935*'前提と出典'!$E$4</ns0:f>
        <ns0:v>592055.4823983689</ns0:v>
      </ns0:c>
      <ns0:c r="T935" s="7">
        <ns0:f>R935+S935</ns0:f>
        <ns0:v>2138666.689219199</ns0:v>
      </ns0:c>
      <ns0:c r="U935" s="16">
        <ns0:f>P935-E935*'前提と出典'!$E$5</ns0:f>
        <ns0:v>1366467.8592790472</ns0:v>
      </ns0:c>
      <ns0:c r="V935" s="16">
        <ns0:f>Q935-F935*'前提と出典'!$E$5</ns0:f>
        <ns0:v>521355.76323792594</ns0:v>
      </ns0:c>
      <ns0:c r="W935" s="7">
        <ns0:f>U935+V935</ns0:f>
        <ns0:v>1887823.6225169732</ns0:v>
      </ns0:c>
      <ns0:c r="X935" s="16">
        <ns0:f>P935-E935*'前提と出典'!$E$6</ns0:f>
        <ns0:v>1186324.5117372638</ns0:v>
      </ns0:c>
      <ns0:c r="Y935" s="16">
        <ns0:f>Q935-F935*'前提と出典'!$E$6</ns0:f>
        <ns0:v>450656.044077483</ns0:v>
      </ns0:c>
      <ns0:c r="Z935" s="7">
        <ns0:f>X935+Y935</ns0:f>
        <ns0:v>1636980.5558147468</ns0:v>
      </ns0:c>
      <ns0:c r="AA935" s="7">
        <ns0:f>IF(T935&gt;=0,A935,1001)</ns0:f>
        <ns0:v>931</ns0:v>
      </ns0:c>
      <ns0:c r="AB935" s="7">
        <ns0:f>IF(T935&lt;0,A935,0)</ns0:f>
        <ns0:v>0</ns0:v>
      </ns0:c>
      <ns0:c r="AC935" s="16">
        <ns0:f>IF(AND(OR('前提と出典'!$C$36+'前提と出典'!$C$38=0,R935&gt;=0),OR('前提と出典'!$C$37+'前提と出典'!$C$38=0,S935&gt;=0)),0,A935)</ns0:f>
        <ns0:v>0</ns0:v>
      </ns0:c>
      <ns0:c r="AD935" s="7">
        <ns0:f>IF(W935&gt;=0,A935,1001)</ns0:f>
        <ns0:v>931</ns0:v>
      </ns0:c>
      <ns0:c r="AE935" s="7">
        <ns0:f>IF(W935&lt;0,A935,0)</ns0:f>
        <ns0:v>0</ns0:v>
      </ns0:c>
      <ns0:c r="AF935" s="16">
        <ns0:f>IF(AND(OR('前提と出典'!$C$36+'前提と出典'!$C$38=0,U935&gt;=0),OR('前提と出典'!$C$37+'前提と出典'!$C$38=0,V935&gt;=0)),0,A935)</ns0:f>
        <ns0:v>0</ns0:v>
      </ns0:c>
      <ns0:c r="AG935" s="7">
        <ns0:f>IF(Z935&gt;=0,A935,1001)</ns0:f>
        <ns0:v>931</ns0:v>
      </ns0:c>
      <ns0:c r="AH935" s="4">
        <ns0:f>IF(Z935&lt;0,A935,0)</ns0:f>
        <ns0:v>0</ns0:v>
      </ns0:c>
      <ns0:c r="AI935" s="12">
        <ns0:f>IF(AND(OR('前提と出典'!$C$36+'前提と出典'!$C$38=0,X935&gt;=0),OR('前提と出典'!$C$37+'前提と出典'!$C$38=0,Y935&gt;=0)),0,A935)</ns0:f>
        <ns0:v>0</ns0:v>
      </ns0:c>
    </ns0:row>
    <ns0:row r="936" ht="24" customHeight="1">
      <ns0:c r="A936" s="4" t="n">
        <ns0:v>932</ns0:v>
      </ns0:c>
      <ns0:c r="B936" s="12">
        <ns0:f>A936*('前提と出典'!$C$36+'前提と出典'!$C$38)</ns0:f>
        <ns0:v>652.4</ns0:v>
      </ns0:c>
      <ns0:c r="C936" s="12">
        <ns0:f>A936*('前提と出典'!$C$37+'前提と出典'!$C$38)</ns0:f>
        <ns0:v>559.1999999999999</ns0:v>
      </ns0:c>
      <ns0:c r="D936" s="16">
        <ns0:f>A936*('前提と出典'!$C$36*'契約別単価'!C5+'前提と出典'!$C$37*'契約別単価'!C6+'前提と出典'!$C$38*'契約別単価'!C7)</ns0:f>
        <ns0:v>6706.234636871508</ns0:v>
      </ns0:c>
      <ns0:c r="E936" s="16">
        <ns0:f>A936*('前提と出典'!$C$36*'契約別単価'!E5+'前提と出典'!$C$37*'契約別単価'!E6+'前提と出典'!$C$38*'契約別単価'!E7)</ns0:f>
        <ns0:v>1803368.420074565</ns0:v>
      </ns0:c>
      <ns0:c r="F936" s="16">
        <ns0:f>A936*('前提と出典'!$C$36*'契約別単価'!F5+'前提と出典'!$C$37*'契約別単価'!F6+'前提と出典'!$C$38*'契約別単価'!F7)</ns0:f>
        <ns0:v>707756.5870841332</ns0:v>
      </ns0:c>
      <ns0:c r="G936" s="16">
        <ns0:f>A936*('前提と出典'!$C$36*'契約別単価'!G5+'前提と出典'!$C$37*'契約別単価'!G6+'前提と出典'!$C$38*'契約別単価'!G7)</ns0:f>
        <ns0:v>1855148.6033519553</ns0:v>
      </ns0:c>
      <ns0:c r="H936" s="16">
        <ns0:f>A936*('前提と出典'!$C$36*'契約別単価'!H5+'前提と出典'!$C$37*'契約別単価'!H6+'前提と出典'!$C$38*'契約別単価'!H7)</ns0:f>
        <ns0:v>643829.6083770808</ns0:v>
      </ns0:c>
      <ns0:c r="I936" s="16">
        <ns0:f>A936*('前提と出典'!$C$36*'契約別単価'!I5+'前提と出典'!$C$37*'契約別単価'!I6+'前提と出典'!$C$38*'契約別単価'!I7)</ns0:f>
        <ns0:v>39326.2346368715</ns0:v>
      </ns0:c>
      <ns0:c r="J936" s="16">
        <ns0:f>A936*('前提と出典'!$C$36*'契約別単価'!J5+'前提と出典'!$C$37*'契約別単価'!J6+'前提と出典'!$C$38*'契約別単価'!J7)</ns0:f>
        <ns0:v>91605.85473800199</ns0:v>
      </ns0:c>
      <ns0:c r="K936" s="16">
        <ns0:f>A936*('前提と出典'!$C$36*'契約別単価'!K5+'前提と出典'!$C$37*'契約別単価'!K6+'前提と出典'!$C$38*'契約別単価'!K7)</ns0:f>
        <ns0:v>392654.89757914335</ns0:v>
      </ns0:c>
      <ns0:c r="L936" s="16">
        <ns0:f>A936*('前提と出典'!$C$36*'契約別単価'!L5+'前提と出典'!$C$37*'契約別単価'!L6+'前提と出典'!$C$38*'契約別単価'!L7)</ns0:f>
        <ns0:v>319700.9869459027</ns0:v>
      </ns0:c>
      <ns0:c r="M936" s="16">
        <ns0:f>IF(('前提と出典'!$C$36+'前提と出典'!$C$38)=0,0,IF(B936&lt;=10,'前提と出典'!B73+'前提と出典'!C73,IF(B936&lt;=100,'前提と出典'!B74+'前提と出典'!C74,IF(B936&lt;=500,'前提と出典'!B75+'前提と出典'!C75,'前提と出典'!B76+'前提と出典'!C76))))</ns0:f>
        <ns0:v>80000</ns0:v>
      </ns0:c>
      <ns0:c r="N936" s="16">
        <ns0:f>IF(('前提と出典'!$C$37+'前提と出典'!$C$38)=0,0,IF(C936&lt;=10,'前提と出典'!D73+'前提と出典'!E73,IF(C936&lt;=100,'前提と出典'!D74+'前提と出典'!E74,IF(C936&lt;=500,'前提と出典'!D75+'前提と出典'!E75,'前提と出典'!D76+'前提と出典'!E76))))</ns0:f>
        <ns0:v>86510.9346263078</ns0:v>
      </ns0:c>
      <ns0:c r="O936" s="16">
        <ns0:f>IF('前提と出典'!$C$36+'前提と出典'!$C$38=0,0,'前提と出典'!$B$4*IF('前提と出典'!$B$20=0,MAX('前提と出典'!$B$6,D936*'前提と出典'!$B$5),'前提と出典'!$B$6+D936*'前提と出典'!$B$5))</ns0:f>
        <ns0:v>925460.3798882682</ns0:v>
      </ns0:c>
      <ns0:c r="P936" s="16">
        <ns0:f>(E936+G936)*(1-'前提と出典'!$B$7)-I936-K936-M936-O936</ns0:f>
        <ns0:v>2089368.8984788826</ns0:v>
      </ns0:c>
      <ns0:c r="Q936" s="16">
        <ns0:f>(F936+H936)*(1-'前提と出典'!$B$7)-J936-L936-N936</ns0:f>
        <ns0:v>805111.316114398</ns0:v>
      </ns0:c>
      <ns0:c r="R936" s="16">
        <ns0:f>P936-E936*'前提と出典'!$E$4</ns0:f>
        <ns0:v>1548358.3724565133</ns0:v>
      </ns0:c>
      <ns0:c r="S936" s="16">
        <ns0:f>Q936-F936*'前提と出典'!$E$4</ns0:f>
        <ns0:v>592784.3399891581</ns0:v>
      </ns0:c>
      <ns0:c r="T936" s="7">
        <ns0:f>R936+S936</ns0:f>
        <ns0:v>2141142.7124456717</ns0:v>
      </ns0:c>
      <ns0:c r="U936" s="16">
        <ns0:f>P936-E936*'前提と出典'!$E$5</ns0:f>
        <ns0:v>1368021.5304490565</ns0:v>
      </ns0:c>
      <ns0:c r="V936" s="16">
        <ns0:f>Q936-F936*'前提と出典'!$E$5</ns0:f>
        <ns0:v>522008.6812807447</ns0:v>
      </ns0:c>
      <ns0:c r="W936" s="7">
        <ns0:f>U936+V936</ns0:f>
        <ns0:v>1890030.2117298013</ns0:v>
      </ns0:c>
      <ns0:c r="X936" s="16">
        <ns0:f>P936-E936*'前提と出典'!$E$6</ns0:f>
        <ns0:v>1187684.6884416002</ns0:v>
      </ns0:c>
      <ns0:c r="Y936" s="16">
        <ns0:f>Q936-F936*'前提と出典'!$E$6</ns0:f>
        <ns0:v>451233.02257233136</ns0:v>
      </ns0:c>
      <ns0:c r="Z936" s="7">
        <ns0:f>X936+Y936</ns0:f>
        <ns0:v>1638917.7110139315</ns0:v>
      </ns0:c>
      <ns0:c r="AA936" s="7">
        <ns0:f>IF(T936&gt;=0,A936,1001)</ns0:f>
        <ns0:v>932</ns0:v>
      </ns0:c>
      <ns0:c r="AB936" s="7">
        <ns0:f>IF(T936&lt;0,A936,0)</ns0:f>
        <ns0:v>0</ns0:v>
      </ns0:c>
      <ns0:c r="AC936" s="16">
        <ns0:f>IF(AND(OR('前提と出典'!$C$36+'前提と出典'!$C$38=0,R936&gt;=0),OR('前提と出典'!$C$37+'前提と出典'!$C$38=0,S936&gt;=0)),0,A936)</ns0:f>
        <ns0:v>0</ns0:v>
      </ns0:c>
      <ns0:c r="AD936" s="7">
        <ns0:f>IF(W936&gt;=0,A936,1001)</ns0:f>
        <ns0:v>932</ns0:v>
      </ns0:c>
      <ns0:c r="AE936" s="7">
        <ns0:f>IF(W936&lt;0,A936,0)</ns0:f>
        <ns0:v>0</ns0:v>
      </ns0:c>
      <ns0:c r="AF936" s="16">
        <ns0:f>IF(AND(OR('前提と出典'!$C$36+'前提と出典'!$C$38=0,U936&gt;=0),OR('前提と出典'!$C$37+'前提と出典'!$C$38=0,V936&gt;=0)),0,A936)</ns0:f>
        <ns0:v>0</ns0:v>
      </ns0:c>
      <ns0:c r="AG936" s="7">
        <ns0:f>IF(Z936&gt;=0,A936,1001)</ns0:f>
        <ns0:v>932</ns0:v>
      </ns0:c>
      <ns0:c r="AH936" s="4">
        <ns0:f>IF(Z936&lt;0,A936,0)</ns0:f>
        <ns0:v>0</ns0:v>
      </ns0:c>
      <ns0:c r="AI936" s="12">
        <ns0:f>IF(AND(OR('前提と出典'!$C$36+'前提と出典'!$C$38=0,X936&gt;=0),OR('前提と出典'!$C$37+'前提と出典'!$C$38=0,Y936&gt;=0)),0,A936)</ns0:f>
        <ns0:v>0</ns0:v>
      </ns0:c>
    </ns0:row>
    <ns0:row r="937" ht="24" customHeight="1">
      <ns0:c r="A937" s="4" t="n">
        <ns0:v>933</ns0:v>
      </ns0:c>
      <ns0:c r="B937" s="12">
        <ns0:f>A937*('前提と出典'!$C$36+'前提と出典'!$C$38)</ns0:f>
        <ns0:v>653.0999999999999</ns0:v>
      </ns0:c>
      <ns0:c r="C937" s="12">
        <ns0:f>A937*('前提と出典'!$C$37+'前提と出典'!$C$38)</ns0:f>
        <ns0:v>559.8</ns0:v>
      </ns0:c>
      <ns0:c r="D937" s="16">
        <ns0:f>A937*('前提と出典'!$C$36*'契約別単価'!C5+'前提と出典'!$C$37*'契約別単価'!C6+'前提と出典'!$C$38*'契約別単価'!C7)</ns0:f>
        <ns0:v>6713.430167597765</ns0:v>
      </ns0:c>
      <ns0:c r="E937" s="16">
        <ns0:f>A937*('前提と出典'!$C$36*'契約別単価'!E5+'前提と出典'!$C$37*'契約別単価'!E6+'前提と出典'!$C$38*'契約別単価'!E7)</ns0:f>
        <ns0:v>1805303.3647312974</ns0:v>
      </ns0:c>
      <ns0:c r="F937" s="16">
        <ns0:f>A937*('前提と出典'!$C$36*'契約別単価'!F5+'前提と出典'!$C$37*'契約別単価'!F6+'前提と出典'!$C$38*'契約別単価'!F7)</ns0:f>
        <ns0:v>708515.9825638372</ns0:v>
      </ns0:c>
      <ns0:c r="G937" s="16">
        <ns0:f>A937*('前提と出典'!$C$36*'契約別単価'!G5+'前提と出典'!$C$37*'契約別単価'!G6+'前提と出典'!$C$38*'契約別単価'!G7)</ns0:f>
        <ns0:v>1857139.1061452513</ns0:v>
      </ns0:c>
      <ns0:c r="H937" s="16">
        <ns0:f>A937*('前提と出典'!$C$36*'契約別単価'!H5+'前提と出典'!$C$37*'契約別単価'!H6+'前提と出典'!$C$38*'契約別単価'!H7)</ns0:f>
        <ns0:v>644520.4126779146</ns0:v>
      </ns0:c>
      <ns0:c r="I937" s="16">
        <ns0:f>A937*('前提と出典'!$C$36*'契約別単価'!I5+'前提と出典'!$C$37*'契約別単価'!I6+'前提と出典'!$C$38*'契約別単価'!I7)</ns0:f>
        <ns0:v>39368.43016759776</ns0:v>
      </ns0:c>
      <ns0:c r="J937" s="16">
        <ns0:f>A937*('前提と出典'!$C$36*'契約別単価'!J5+'前提と出典'!$C$37*'契約別単価'!J6+'前提と出典'!$C$38*'契約別単価'!J7)</ns0:f>
        <ns0:v>91704.14428171229</ns0:v>
      </ns0:c>
      <ns0:c r="K937" s="16">
        <ns0:f>A937*('前提と出典'!$C$36*'契約別単価'!K5+'前提と出典'!$C$37*'契約別単価'!K6+'前提と出典'!$C$38*'契約別単価'!K7)</ns0:f>
        <ns0:v>393076.2011173184</ns0:v>
      </ns0:c>
      <ns0:c r="L937" s="16">
        <ns0:f>A937*('前提と出典'!$C$36*'契約別単価'!L5+'前提と出典'!$C$37*'契約別単価'!L6+'前提と出典'!$C$38*'契約別単価'!L7)</ns0:f>
        <ns0:v>320044.0137559305</ns0:v>
      </ns0:c>
      <ns0:c r="M937" s="16">
        <ns0:f>IF(('前提と出典'!$C$36+'前提と出典'!$C$38)=0,0,IF(B937&lt;=10,'前提と出典'!B73+'前提と出典'!C73,IF(B937&lt;=100,'前提と出典'!B74+'前提と出典'!C74,IF(B937&lt;=500,'前提と出典'!B75+'前提と出典'!C75,'前提と出典'!B76+'前提と出典'!C76))))</ns0:f>
        <ns0:v>80000</ns0:v>
      </ns0:c>
      <ns0:c r="N937" s="16">
        <ns0:f>IF(('前提と出典'!$C$37+'前提と出典'!$C$38)=0,0,IF(C937&lt;=10,'前提と出典'!D73+'前提と出典'!E73,IF(C937&lt;=100,'前提と出典'!D74+'前提と出典'!E74,IF(C937&lt;=500,'前提と出典'!D75+'前提と出典'!E75,'前提と出典'!D76+'前提と出典'!E76))))</ns0:f>
        <ns0:v>86510.9346263078</ns0:v>
      </ns0:c>
      <ns0:c r="O937" s="16">
        <ns0:f>IF('前提と出典'!$C$36+'前提と出典'!$C$38=0,0,'前提と出典'!$B$4*IF('前提と出典'!$B$20=0,MAX('前提と出典'!$B$6,D937*'前提と出典'!$B$5),'前提と出典'!$B$6+D937*'前提と出典'!$B$5))</ns0:f>
        <ns0:v>926453.3631284916</ns0:v>
      </ns0:c>
      <ns0:c r="P937" s="16">
        <ns0:f>(E937+G937)*(1-'前提と出典'!$B$7)-I937-K937-M937-O937</ns0:f>
        <ns0:v>2091696.5475115848</ns0:v>
      </ns0:c>
      <ns0:c r="Q937" s="16">
        <ns0:f>(F937+H937)*(1-'前提と出典'!$B$7)-J937-L937-N937</ns0:f>
        <ns0:v>806067.9923490982</ns0:v>
      </ns0:c>
      <ns0:c r="R937" s="16">
        <ns0:f>P937-E937*'前提と出典'!$E$4</ns0:f>
        <ns0:v>1550105.5380921955</ns0:v>
      </ns0:c>
      <ns0:c r="S937" s="16">
        <ns0:f>Q937-F937*'前提と出典'!$E$4</ns0:f>
        <ns0:v>593513.1975799471</ns0:v>
      </ns0:c>
      <ns0:c r="T937" s="7">
        <ns0:f>R937+S937</ns0:f>
        <ns0:v>2143618.7356721424</ns0:v>
      </ns0:c>
      <ns0:c r="U937" s="16">
        <ns0:f>P937-E937*'前提と出典'!$E$5</ns0:f>
        <ns0:v>1369575.2016190658</ns0:v>
      </ns0:c>
      <ns0:c r="V937" s="16">
        <ns0:f>Q937-F937*'前提と出典'!$E$5</ns0:f>
        <ns0:v>522661.5993235633</ns0:v>
      </ns0:c>
      <ns0:c r="W937" s="7">
        <ns0:f>U937+V937</ns0:f>
        <ns0:v>1892236.800942629</ns0:v>
      </ns0:c>
      <ns0:c r="X937" s="16">
        <ns0:f>P937-E937*'前提と出典'!$E$6</ns0:f>
        <ns0:v>1189044.8651459361</ns0:v>
      </ns0:c>
      <ns0:c r="Y937" s="16">
        <ns0:f>Q937-F937*'前提と出典'!$E$6</ns0:f>
        <ns0:v>451810.0010671796</ns0:v>
      </ns0:c>
      <ns0:c r="Z937" s="7">
        <ns0:f>X937+Y937</ns0:f>
        <ns0:v>1640854.8662131159</ns0:v>
      </ns0:c>
      <ns0:c r="AA937" s="7">
        <ns0:f>IF(T937&gt;=0,A937,1001)</ns0:f>
        <ns0:v>933</ns0:v>
      </ns0:c>
      <ns0:c r="AB937" s="7">
        <ns0:f>IF(T937&lt;0,A937,0)</ns0:f>
        <ns0:v>0</ns0:v>
      </ns0:c>
      <ns0:c r="AC937" s="16">
        <ns0:f>IF(AND(OR('前提と出典'!$C$36+'前提と出典'!$C$38=0,R937&gt;=0),OR('前提と出典'!$C$37+'前提と出典'!$C$38=0,S937&gt;=0)),0,A937)</ns0:f>
        <ns0:v>0</ns0:v>
      </ns0:c>
      <ns0:c r="AD937" s="7">
        <ns0:f>IF(W937&gt;=0,A937,1001)</ns0:f>
        <ns0:v>933</ns0:v>
      </ns0:c>
      <ns0:c r="AE937" s="7">
        <ns0:f>IF(W937&lt;0,A937,0)</ns0:f>
        <ns0:v>0</ns0:v>
      </ns0:c>
      <ns0:c r="AF937" s="16">
        <ns0:f>IF(AND(OR('前提と出典'!$C$36+'前提と出典'!$C$38=0,U937&gt;=0),OR('前提と出典'!$C$37+'前提と出典'!$C$38=0,V937&gt;=0)),0,A937)</ns0:f>
        <ns0:v>0</ns0:v>
      </ns0:c>
      <ns0:c r="AG937" s="7">
        <ns0:f>IF(Z937&gt;=0,A937,1001)</ns0:f>
        <ns0:v>933</ns0:v>
      </ns0:c>
      <ns0:c r="AH937" s="4">
        <ns0:f>IF(Z937&lt;0,A937,0)</ns0:f>
        <ns0:v>0</ns0:v>
      </ns0:c>
      <ns0:c r="AI937" s="12">
        <ns0:f>IF(AND(OR('前提と出典'!$C$36+'前提と出典'!$C$38=0,X937&gt;=0),OR('前提と出典'!$C$37+'前提と出典'!$C$38=0,Y937&gt;=0)),0,A937)</ns0:f>
        <ns0:v>0</ns0:v>
      </ns0:c>
    </ns0:row>
    <ns0:row r="938" ht="24" customHeight="1">
      <ns0:c r="A938" s="4" t="n">
        <ns0:v>934</ns0:v>
      </ns0:c>
      <ns0:c r="B938" s="12">
        <ns0:f>A938*('前提と出典'!$C$36+'前提と出典'!$C$38)</ns0:f>
        <ns0:v>653.8</ns0:v>
      </ns0:c>
      <ns0:c r="C938" s="12">
        <ns0:f>A938*('前提と出典'!$C$37+'前提と出典'!$C$38)</ns0:f>
        <ns0:v>560.4</ns0:v>
      </ns0:c>
      <ns0:c r="D938" s="16">
        <ns0:f>A938*('前提と出典'!$C$36*'契約別単価'!C5+'前提と出典'!$C$37*'契約別単価'!C6+'前提と出典'!$C$38*'契約別単価'!C7)</ns0:f>
        <ns0:v>6720.625698324022</ns0:v>
      </ns0:c>
      <ns0:c r="E938" s="16">
        <ns0:f>A938*('前提と出典'!$C$36*'契約別単価'!E5+'前提と出典'!$C$37*'契約別単価'!E6+'前提と出典'!$C$38*'契約別単価'!E7)</ns0:f>
        <ns0:v>1807238.3093880299</ns0:v>
      </ns0:c>
      <ns0:c r="F938" s="16">
        <ns0:f>A938*('前提と出典'!$C$36*'契約別単価'!F5+'前提と出典'!$C$37*'契約別単価'!F6+'前提と出典'!$C$38*'契約別単価'!F7)</ns0:f>
        <ns0:v>709275.3780435412</ns0:v>
      </ns0:c>
      <ns0:c r="G938" s="16">
        <ns0:f>A938*('前提と出典'!$C$36*'契約別単価'!G5+'前提と出典'!$C$37*'契約別単価'!G6+'前提と出典'!$C$38*'契約別単価'!G7)</ns0:f>
        <ns0:v>1859129.6089385473</ns0:v>
      </ns0:c>
      <ns0:c r="H938" s="16">
        <ns0:f>A938*('前提と出典'!$C$36*'契約別単価'!H5+'前提と出典'!$C$37*'契約別単価'!H6+'前提と出典'!$C$38*'契約別単価'!H7)</ns0:f>
        <ns0:v>645211.2169787483</ns0:v>
      </ns0:c>
      <ns0:c r="I938" s="16">
        <ns0:f>A938*('前提と出典'!$C$36*'契約別単価'!I5+'前提と出典'!$C$37*'契約別単価'!I6+'前提と出典'!$C$38*'契約別単価'!I7)</ns0:f>
        <ns0:v>39410.62569832402</ns0:v>
      </ns0:c>
      <ns0:c r="J938" s="16">
        <ns0:f>A938*('前提と出典'!$C$36*'契約別単価'!J5+'前提と出典'!$C$37*'契約別単価'!J6+'前提と出典'!$C$38*'契約別単価'!J7)</ns0:f>
        <ns0:v>91802.4338254226</ns0:v>
      </ns0:c>
      <ns0:c r="K938" s="16">
        <ns0:f>A938*('前提と出典'!$C$36*'契約別単価'!K5+'前提と出典'!$C$37*'契約別単価'!K6+'前提と出典'!$C$38*'契約別単価'!K7)</ns0:f>
        <ns0:v>393497.5046554935</ns0:v>
      </ns0:c>
      <ns0:c r="L938" s="16">
        <ns0:f>A938*('前提と出典'!$C$36*'契約別単価'!L5+'前提と出典'!$C$37*'契約別単価'!L6+'前提と出典'!$C$38*'契約別単価'!L7)</ns0:f>
        <ns0:v>320387.04056595825</ns0:v>
      </ns0:c>
      <ns0:c r="M938" s="16">
        <ns0:f>IF(('前提と出典'!$C$36+'前提と出典'!$C$38)=0,0,IF(B938&lt;=10,'前提と出典'!B73+'前提と出典'!C73,IF(B938&lt;=100,'前提と出典'!B74+'前提と出典'!C74,IF(B938&lt;=500,'前提と出典'!B75+'前提と出典'!C75,'前提と出典'!B76+'前提と出典'!C76))))</ns0:f>
        <ns0:v>80000</ns0:v>
      </ns0:c>
      <ns0:c r="N938" s="16">
        <ns0:f>IF(('前提と出典'!$C$37+'前提と出典'!$C$38)=0,0,IF(C938&lt;=10,'前提と出典'!D73+'前提と出典'!E73,IF(C938&lt;=100,'前提と出典'!D74+'前提と出典'!E74,IF(C938&lt;=500,'前提と出典'!D75+'前提と出典'!E75,'前提と出典'!D76+'前提と出典'!E76))))</ns0:f>
        <ns0:v>86510.9346263078</ns0:v>
      </ns0:c>
      <ns0:c r="O938" s="16">
        <ns0:f>IF('前提と出典'!$C$36+'前提と出典'!$C$38=0,0,'前提と出典'!$B$4*IF('前提と出典'!$B$20=0,MAX('前提と出典'!$B$6,D938*'前提と出典'!$B$5),'前提と出典'!$B$6+D938*'前提と出典'!$B$5))</ns0:f>
        <ns0:v>927446.346368715</ns0:v>
      </ns0:c>
      <ns0:c r="P938" s="16">
        <ns0:f>(E938+G938)*(1-'前提と出典'!$B$7)-I938-K938-M938-O938</ns0:f>
        <ns0:v>2094024.1965442882</ns0:v>
      </ns0:c>
      <ns0:c r="Q938" s="16">
        <ns0:f>(F938+H938)*(1-'前提と出典'!$B$7)-J938-L938-N938</ns0:f>
        <ns0:v>807024.6685837986</ns0:v>
      </ns0:c>
      <ns0:c r="R938" s="16">
        <ns0:f>P938-E938*'前提と出典'!$E$4</ns0:f>
        <ns0:v>1551852.703727879</ns0:v>
      </ns0:c>
      <ns0:c r="S938" s="16">
        <ns0:f>Q938-F938*'前提と出典'!$E$4</ns0:f>
        <ns0:v>594242.055170736</ns0:v>
      </ns0:c>
      <ns0:c r="T938" s="7">
        <ns0:f>R938+S938</ns0:f>
        <ns0:v>2146094.758898615</ns0:v>
      </ns0:c>
      <ns0:c r="U938" s="16">
        <ns0:f>P938-E938*'前提と出典'!$E$5</ns0:f>
        <ns0:v>1371128.872789076</ns0:v>
      </ns0:c>
      <ns0:c r="V938" s="16">
        <ns0:f>Q938-F938*'前提と出典'!$E$5</ns0:f>
        <ns0:v>523314.51736638206</ns0:v>
      </ns0:c>
      <ns0:c r="W938" s="7">
        <ns0:f>U938+V938</ns0:f>
        <ns0:v>1894443.3901554581</ns0:v>
      </ns0:c>
      <ns0:c r="X938" s="16">
        <ns0:f>P938-E938*'前提と出典'!$E$6</ns0:f>
        <ns0:v>1190405.041850273</ns0:v>
      </ns0:c>
      <ns0:c r="Y938" s="16">
        <ns0:f>Q938-F938*'前提と出典'!$E$6</ns0:f>
        <ns0:v>452386.97956202785</ns0:v>
      </ns0:c>
      <ns0:c r="Z938" s="7">
        <ns0:f>X938+Y938</ns0:f>
        <ns0:v>1642792.0214123009</ns0:v>
      </ns0:c>
      <ns0:c r="AA938" s="7">
        <ns0:f>IF(T938&gt;=0,A938,1001)</ns0:f>
        <ns0:v>934</ns0:v>
      </ns0:c>
      <ns0:c r="AB938" s="7">
        <ns0:f>IF(T938&lt;0,A938,0)</ns0:f>
        <ns0:v>0</ns0:v>
      </ns0:c>
      <ns0:c r="AC938" s="16">
        <ns0:f>IF(AND(OR('前提と出典'!$C$36+'前提と出典'!$C$38=0,R938&gt;=0),OR('前提と出典'!$C$37+'前提と出典'!$C$38=0,S938&gt;=0)),0,A938)</ns0:f>
        <ns0:v>0</ns0:v>
      </ns0:c>
      <ns0:c r="AD938" s="7">
        <ns0:f>IF(W938&gt;=0,A938,1001)</ns0:f>
        <ns0:v>934</ns0:v>
      </ns0:c>
      <ns0:c r="AE938" s="7">
        <ns0:f>IF(W938&lt;0,A938,0)</ns0:f>
        <ns0:v>0</ns0:v>
      </ns0:c>
      <ns0:c r="AF938" s="16">
        <ns0:f>IF(AND(OR('前提と出典'!$C$36+'前提と出典'!$C$38=0,U938&gt;=0),OR('前提と出典'!$C$37+'前提と出典'!$C$38=0,V938&gt;=0)),0,A938)</ns0:f>
        <ns0:v>0</ns0:v>
      </ns0:c>
      <ns0:c r="AG938" s="7">
        <ns0:f>IF(Z938&gt;=0,A938,1001)</ns0:f>
        <ns0:v>934</ns0:v>
      </ns0:c>
      <ns0:c r="AH938" s="4">
        <ns0:f>IF(Z938&lt;0,A938,0)</ns0:f>
        <ns0:v>0</ns0:v>
      </ns0:c>
      <ns0:c r="AI938" s="12">
        <ns0:f>IF(AND(OR('前提と出典'!$C$36+'前提と出典'!$C$38=0,X938&gt;=0),OR('前提と出典'!$C$37+'前提と出典'!$C$38=0,Y938&gt;=0)),0,A938)</ns0:f>
        <ns0:v>0</ns0:v>
      </ns0:c>
    </ns0:row>
    <ns0:row r="939" ht="24" customHeight="1">
      <ns0:c r="A939" s="4" t="n">
        <ns0:v>935</ns0:v>
      </ns0:c>
      <ns0:c r="B939" s="12">
        <ns0:f>A939*('前提と出典'!$C$36+'前提と出典'!$C$38)</ns0:f>
        <ns0:v>654.5</ns0:v>
      </ns0:c>
      <ns0:c r="C939" s="12">
        <ns0:f>A939*('前提と出典'!$C$37+'前提と出典'!$C$38)</ns0:f>
        <ns0:v>561</ns0:v>
      </ns0:c>
      <ns0:c r="D939" s="16">
        <ns0:f>A939*('前提と出典'!$C$36*'契約別単価'!C5+'前提と出典'!$C$37*'契約別単価'!C6+'前提と出典'!$C$38*'契約別単価'!C7)</ns0:f>
        <ns0:v>6727.82122905028</ns0:v>
      </ns0:c>
      <ns0:c r="E939" s="16">
        <ns0:f>A939*('前提と出典'!$C$36*'契約別単価'!E5+'前提と出典'!$C$37*'契約別単価'!E6+'前提と出典'!$C$38*'契約別単価'!E7)</ns0:f>
        <ns0:v>1809173.254044762</ns0:v>
      </ns0:c>
      <ns0:c r="F939" s="16">
        <ns0:f>A939*('前提と出典'!$C$36*'契約別単価'!F5+'前提と出典'!$C$37*'契約別単価'!F6+'前提と出典'!$C$38*'契約別単価'!F7)</ns0:f>
        <ns0:v>710034.7735232451</ns0:v>
      </ns0:c>
      <ns0:c r="G939" s="16">
        <ns0:f>A939*('前提と出典'!$C$36*'契約別単価'!G5+'前提と出典'!$C$37*'契約別単価'!G6+'前提と出典'!$C$38*'契約別単価'!G7)</ns0:f>
        <ns0:v>1861120.1117318436</ns0:v>
      </ns0:c>
      <ns0:c r="H939" s="16">
        <ns0:f>A939*('前提と出典'!$C$36*'契約別単価'!H5+'前提と出典'!$C$37*'契約別単価'!H6+'前提と出典'!$C$38*'契約別単価'!H7)</ns0:f>
        <ns0:v>645902.0212795822</ns0:v>
      </ns0:c>
      <ns0:c r="I939" s="16">
        <ns0:f>A939*('前提と出典'!$C$36*'契約別単価'!I5+'前提と出典'!$C$37*'契約別単価'!I6+'前提と出典'!$C$38*'契約別単価'!I7)</ns0:f>
        <ns0:v>39452.82122905027</ns0:v>
      </ns0:c>
      <ns0:c r="J939" s="16">
        <ns0:f>A939*('前提と出典'!$C$36*'契約別単価'!J5+'前提と出典'!$C$37*'契約別単価'!J6+'前提と出典'!$C$38*'契約別単価'!J7)</ns0:f>
        <ns0:v>91900.7233691329</ns0:v>
      </ns0:c>
      <ns0:c r="K939" s="16">
        <ns0:f>A939*('前提と出典'!$C$36*'契約別単価'!K5+'前提と出典'!$C$37*'契約別単価'!K6+'前提と出典'!$C$38*'契約別単価'!K7)</ns0:f>
        <ns0:v>393918.8081936685</ns0:v>
      </ns0:c>
      <ns0:c r="L939" s="16">
        <ns0:f>A939*('前提と出典'!$C$36*'契約別単価'!L5+'前提と出典'!$C$37*'契約別単価'!L6+'前提と出典'!$C$38*'契約別単価'!L7)</ns0:f>
        <ns0:v>320730.0673759861</ns0:v>
      </ns0:c>
      <ns0:c r="M939" s="16">
        <ns0:f>IF(('前提と出典'!$C$36+'前提と出典'!$C$38)=0,0,IF(B939&lt;=10,'前提と出典'!B73+'前提と出典'!C73,IF(B939&lt;=100,'前提と出典'!B74+'前提と出典'!C74,IF(B939&lt;=500,'前提と出典'!B75+'前提と出典'!C75,'前提と出典'!B76+'前提と出典'!C76))))</ns0:f>
        <ns0:v>80000</ns0:v>
      </ns0:c>
      <ns0:c r="N939" s="16">
        <ns0:f>IF(('前提と出典'!$C$37+'前提と出典'!$C$38)=0,0,IF(C939&lt;=10,'前提と出典'!D73+'前提と出典'!E73,IF(C939&lt;=100,'前提と出典'!D74+'前提と出典'!E74,IF(C939&lt;=500,'前提と出典'!D75+'前提と出典'!E75,'前提と出典'!D76+'前提と出典'!E76))))</ns0:f>
        <ns0:v>86510.9346263078</ns0:v>
      </ns0:c>
      <ns0:c r="O939" s="16">
        <ns0:f>IF('前提と出典'!$C$36+'前提と出典'!$C$38=0,0,'前提と出典'!$B$4*IF('前提と出典'!$B$20=0,MAX('前提と出典'!$B$6,D939*'前提と出典'!$B$5),'前提と出典'!$B$6+D939*'前提と出典'!$B$5))</ns0:f>
        <ns0:v>928439.3296089387</ns0:v>
      </ns0:c>
      <ns0:c r="P939" s="16">
        <ns0:f>(E939+G939)*(1-'前提と出典'!$B$7)-I939-K939-M939-O939</ns0:f>
        <ns0:v>2096351.8455769909</ns0:v>
      </ns0:c>
      <ns0:c r="Q939" s="16">
        <ns0:f>(F939+H939)*(1-'前提と出典'!$B$7)-J939-L939-N939</ns0:f>
        <ns0:v>807981.3448184987</ns0:v>
      </ns0:c>
      <ns0:c r="R939" s="16">
        <ns0:f>P939-E939*'前提と出典'!$E$4</ns0:f>
        <ns0:v>1553599.8693635622</ns0:v>
      </ns0:c>
      <ns0:c r="S939" s="16">
        <ns0:f>Q939-F939*'前提と出典'!$E$4</ns0:f>
        <ns0:v>594970.9127615253</ns0:v>
      </ns0:c>
      <ns0:c r="T939" s="7">
        <ns0:f>R939+S939</ns0:f>
        <ns0:v>2148570.7821250875</ns0:v>
      </ns0:c>
      <ns0:c r="U939" s="16">
        <ns0:f>P939-E939*'前提と出典'!$E$5</ns0:f>
        <ns0:v>1372682.5439590858</ns0:v>
      </ns0:c>
      <ns0:c r="V939" s="16">
        <ns0:f>Q939-F939*'前提と出典'!$E$5</ns0:f>
        <ns0:v>523967.4354092006</ns0:v>
      </ns0:c>
      <ns0:c r="W939" s="7">
        <ns0:f>U939+V939</ns0:f>
        <ns0:v>1896649.9793682864</ns0:v>
      </ns0:c>
      <ns0:c r="X939" s="16">
        <ns0:f>P939-E939*'前提と出典'!$E$6</ns0:f>
        <ns0:v>1191765.2185546095</ns0:v>
      </ns0:c>
      <ns0:c r="Y939" s="16">
        <ns0:f>Q939-F939*'前提と出典'!$E$6</ns0:f>
        <ns0:v>452963.9580568762</ns0:v>
      </ns0:c>
      <ns0:c r="Z939" s="7">
        <ns0:f>X939+Y939</ns0:f>
        <ns0:v>1644729.1766114857</ns0:v>
      </ns0:c>
      <ns0:c r="AA939" s="7">
        <ns0:f>IF(T939&gt;=0,A939,1001)</ns0:f>
        <ns0:v>935</ns0:v>
      </ns0:c>
      <ns0:c r="AB939" s="7">
        <ns0:f>IF(T939&lt;0,A939,0)</ns0:f>
        <ns0:v>0</ns0:v>
      </ns0:c>
      <ns0:c r="AC939" s="16">
        <ns0:f>IF(AND(OR('前提と出典'!$C$36+'前提と出典'!$C$38=0,R939&gt;=0),OR('前提と出典'!$C$37+'前提と出典'!$C$38=0,S939&gt;=0)),0,A939)</ns0:f>
        <ns0:v>0</ns0:v>
      </ns0:c>
      <ns0:c r="AD939" s="7">
        <ns0:f>IF(W939&gt;=0,A939,1001)</ns0:f>
        <ns0:v>935</ns0:v>
      </ns0:c>
      <ns0:c r="AE939" s="7">
        <ns0:f>IF(W939&lt;0,A939,0)</ns0:f>
        <ns0:v>0</ns0:v>
      </ns0:c>
      <ns0:c r="AF939" s="16">
        <ns0:f>IF(AND(OR('前提と出典'!$C$36+'前提と出典'!$C$38=0,U939&gt;=0),OR('前提と出典'!$C$37+'前提と出典'!$C$38=0,V939&gt;=0)),0,A939)</ns0:f>
        <ns0:v>0</ns0:v>
      </ns0:c>
      <ns0:c r="AG939" s="7">
        <ns0:f>IF(Z939&gt;=0,A939,1001)</ns0:f>
        <ns0:v>935</ns0:v>
      </ns0:c>
      <ns0:c r="AH939" s="4">
        <ns0:f>IF(Z939&lt;0,A939,0)</ns0:f>
        <ns0:v>0</ns0:v>
      </ns0:c>
      <ns0:c r="AI939" s="12">
        <ns0:f>IF(AND(OR('前提と出典'!$C$36+'前提と出典'!$C$38=0,X939&gt;=0),OR('前提と出典'!$C$37+'前提と出典'!$C$38=0,Y939&gt;=0)),0,A939)</ns0:f>
        <ns0:v>0</ns0:v>
      </ns0:c>
    </ns0:row>
    <ns0:row r="940" ht="24" customHeight="1">
      <ns0:c r="A940" s="4" t="n">
        <ns0:v>936</ns0:v>
      </ns0:c>
      <ns0:c r="B940" s="12">
        <ns0:f>A940*('前提と出典'!$C$36+'前提と出典'!$C$38)</ns0:f>
        <ns0:v>655.1999999999999</ns0:v>
      </ns0:c>
      <ns0:c r="C940" s="12">
        <ns0:f>A940*('前提と出典'!$C$37+'前提と出典'!$C$38)</ns0:f>
        <ns0:v>561.6</ns0:v>
      </ns0:c>
      <ns0:c r="D940" s="16">
        <ns0:f>A940*('前提と出典'!$C$36*'契約別単価'!C5+'前提と出典'!$C$37*'契約別単価'!C6+'前提と出典'!$C$38*'契約別単価'!C7)</ns0:f>
        <ns0:v>6735.016759776537</ns0:v>
      </ns0:c>
      <ns0:c r="E940" s="16">
        <ns0:f>A940*('前提と出典'!$C$36*'契約別単価'!E5+'前提と出典'!$C$37*'契約別単価'!E6+'前提と出典'!$C$38*'契約別単価'!E7)</ns0:f>
        <ns0:v>1811108.1987014946</ns0:v>
      </ns0:c>
      <ns0:c r="F940" s="16">
        <ns0:f>A940*('前提と出典'!$C$36*'契約別単価'!F5+'前提と出典'!$C$37*'契約別単価'!F6+'前提と出典'!$C$38*'契約別単価'!F7)</ns0:f>
        <ns0:v>710794.1690029491</ns0:v>
      </ns0:c>
      <ns0:c r="G940" s="16">
        <ns0:f>A940*('前提と出典'!$C$36*'契約別単価'!G5+'前提と出典'!$C$37*'契約別単価'!G6+'前提と出典'!$C$38*'契約別単価'!G7)</ns0:f>
        <ns0:v>1863110.6145251396</ns0:v>
      </ns0:c>
      <ns0:c r="H940" s="16">
        <ns0:f>A940*('前提と出典'!$C$36*'契約別単価'!H5+'前提と出典'!$C$37*'契約別単価'!H6+'前提と出典'!$C$38*'契約別単価'!H7)</ns0:f>
        <ns0:v>646592.8255804159</ns0:v>
      </ns0:c>
      <ns0:c r="I940" s="16">
        <ns0:f>A940*('前提と出典'!$C$36*'契約別単価'!I5+'前提と出典'!$C$37*'契約別単価'!I6+'前提と出典'!$C$38*'契約別単価'!I7)</ns0:f>
        <ns0:v>39495.01675977653</ns0:v>
      </ns0:c>
      <ns0:c r="J940" s="16">
        <ns0:f>A940*('前提と出典'!$C$36*'契約別単価'!J5+'前提と出典'!$C$37*'契約別単価'!J6+'前提と出典'!$C$38*'契約別単価'!J7)</ns0:f>
        <ns0:v>91999.0129128432</ns0:v>
      </ns0:c>
      <ns0:c r="K940" s="16">
        <ns0:f>A940*('前提と出典'!$C$36*'契約別単価'!K5+'前提と出典'!$C$37*'契約別単価'!K6+'前提と出典'!$C$38*'契約別単価'!K7)</ns0:f>
        <ns0:v>394340.11173184356</ns0:v>
      </ns0:c>
      <ns0:c r="L940" s="16">
        <ns0:f>A940*('前提と出典'!$C$36*'契約別単価'!L5+'前提と出典'!$C$37*'契約別単価'!L6+'前提と出典'!$C$38*'契約別単価'!L7)</ns0:f>
        <ns0:v>321073.09418601386</ns0:v>
      </ns0:c>
      <ns0:c r="M940" s="16">
        <ns0:f>IF(('前提と出典'!$C$36+'前提と出典'!$C$38)=0,0,IF(B940&lt;=10,'前提と出典'!B73+'前提と出典'!C73,IF(B940&lt;=100,'前提と出典'!B74+'前提と出典'!C74,IF(B940&lt;=500,'前提と出典'!B75+'前提と出典'!C75,'前提と出典'!B76+'前提と出典'!C76))))</ns0:f>
        <ns0:v>80000</ns0:v>
      </ns0:c>
      <ns0:c r="N940" s="16">
        <ns0:f>IF(('前提と出典'!$C$37+'前提と出典'!$C$38)=0,0,IF(C940&lt;=10,'前提と出典'!D73+'前提と出典'!E73,IF(C940&lt;=100,'前提と出典'!D74+'前提と出典'!E74,IF(C940&lt;=500,'前提と出典'!D75+'前提と出典'!E75,'前提と出典'!D76+'前提と出典'!E76))))</ns0:f>
        <ns0:v>86510.9346263078</ns0:v>
      </ns0:c>
      <ns0:c r="O940" s="16">
        <ns0:f>IF('前提と出典'!$C$36+'前提と出典'!$C$38=0,0,'前提と出典'!$B$4*IF('前提と出典'!$B$20=0,MAX('前提と出典'!$B$6,D940*'前提と出典'!$B$5),'前提と出典'!$B$6+D940*'前提と出典'!$B$5))</ns0:f>
        <ns0:v>929432.3128491621</ns0:v>
      </ns0:c>
      <ns0:c r="P940" s="16">
        <ns0:f>(E940+G940)*(1-'前提と出典'!$B$7)-I940-K940-M940-O940</ns0:f>
        <ns0:v>2098679.494609693</ns0:v>
      </ns0:c>
      <ns0:c r="Q940" s="16">
        <ns0:f>(F940+H940)*(1-'前提と出典'!$B$7)-J940-L940-N940</ns0:f>
        <ns0:v>808938.0210531991</ns0:v>
      </ns0:c>
      <ns0:c r="R940" s="16">
        <ns0:f>P940-E940*'前提と出典'!$E$4</ns0:f>
        <ns0:v>1555347.0349992448</ns0:v>
      </ns0:c>
      <ns0:c r="S940" s="16">
        <ns0:f>Q940-F940*'前提と出典'!$E$4</ns0:f>
        <ns0:v>595699.7703523145</ns0:v>
      </ns0:c>
      <ns0:c r="T940" s="7">
        <ns0:f>R940+S940</ns0:f>
        <ns0:v>2151046.805351559</ns0:v>
      </ns0:c>
      <ns0:c r="U940" s="16">
        <ns0:f>P940-E940*'前提と出典'!$E$5</ns0:f>
        <ns0:v>1374236.2151290951</ns0:v>
      </ns0:c>
      <ns0:c r="V940" s="16">
        <ns0:f>Q940-F940*'前提と出典'!$E$5</ns0:f>
        <ns0:v>524620.3534520194</ns0:v>
      </ns0:c>
      <ns0:c r="W940" s="7">
        <ns0:f>U940+V940</ns0:f>
        <ns0:v>1898856.5685811145</ns0:v>
      </ns0:c>
      <ns0:c r="X940" s="16">
        <ns0:f>P940-E940*'前提と出典'!$E$6</ns0:f>
        <ns0:v>1193125.3952589459</ns0:v>
      </ns0:c>
      <ns0:c r="Y940" s="16">
        <ns0:f>Q940-F940*'前提と出典'!$E$6</ns0:f>
        <ns0:v>453540.93655172456</ns0:v>
      </ns0:c>
      <ns0:c r="Z940" s="7">
        <ns0:f>X940+Y940</ns0:f>
        <ns0:v>1646666.3318106704</ns0:v>
      </ns0:c>
      <ns0:c r="AA940" s="7">
        <ns0:f>IF(T940&gt;=0,A940,1001)</ns0:f>
        <ns0:v>936</ns0:v>
      </ns0:c>
      <ns0:c r="AB940" s="7">
        <ns0:f>IF(T940&lt;0,A940,0)</ns0:f>
        <ns0:v>0</ns0:v>
      </ns0:c>
      <ns0:c r="AC940" s="16">
        <ns0:f>IF(AND(OR('前提と出典'!$C$36+'前提と出典'!$C$38=0,R940&gt;=0),OR('前提と出典'!$C$37+'前提と出典'!$C$38=0,S940&gt;=0)),0,A940)</ns0:f>
        <ns0:v>0</ns0:v>
      </ns0:c>
      <ns0:c r="AD940" s="7">
        <ns0:f>IF(W940&gt;=0,A940,1001)</ns0:f>
        <ns0:v>936</ns0:v>
      </ns0:c>
      <ns0:c r="AE940" s="7">
        <ns0:f>IF(W940&lt;0,A940,0)</ns0:f>
        <ns0:v>0</ns0:v>
      </ns0:c>
      <ns0:c r="AF940" s="16">
        <ns0:f>IF(AND(OR('前提と出典'!$C$36+'前提と出典'!$C$38=0,U940&gt;=0),OR('前提と出典'!$C$37+'前提と出典'!$C$38=0,V940&gt;=0)),0,A940)</ns0:f>
        <ns0:v>0</ns0:v>
      </ns0:c>
      <ns0:c r="AG940" s="7">
        <ns0:f>IF(Z940&gt;=0,A940,1001)</ns0:f>
        <ns0:v>936</ns0:v>
      </ns0:c>
      <ns0:c r="AH940" s="4">
        <ns0:f>IF(Z940&lt;0,A940,0)</ns0:f>
        <ns0:v>0</ns0:v>
      </ns0:c>
      <ns0:c r="AI940" s="12">
        <ns0:f>IF(AND(OR('前提と出典'!$C$36+'前提と出典'!$C$38=0,X940&gt;=0),OR('前提と出典'!$C$37+'前提と出典'!$C$38=0,Y940&gt;=0)),0,A940)</ns0:f>
        <ns0:v>0</ns0:v>
      </ns0:c>
    </ns0:row>
    <ns0:row r="941" ht="24" customHeight="1">
      <ns0:c r="A941" s="4" t="n">
        <ns0:v>937</ns0:v>
      </ns0:c>
      <ns0:c r="B941" s="12">
        <ns0:f>A941*('前提と出典'!$C$36+'前提と出典'!$C$38)</ns0:f>
        <ns0:v>655.9</ns0:v>
      </ns0:c>
      <ns0:c r="C941" s="12">
        <ns0:f>A941*('前提と出典'!$C$37+'前提と出典'!$C$38)</ns0:f>
        <ns0:v>562.1999999999999</ns0:v>
      </ns0:c>
      <ns0:c r="D941" s="16">
        <ns0:f>A941*('前提と出典'!$C$36*'契約別単価'!C5+'前提と出典'!$C$37*'契約別単価'!C6+'前提と出典'!$C$38*'契約別単価'!C7)</ns0:f>
        <ns0:v>6742.212290502794</ns0:v>
      </ns0:c>
      <ns0:c r="E941" s="16">
        <ns0:f>A941*('前提と出典'!$C$36*'契約別単価'!E5+'前提と出典'!$C$37*'契約別単価'!E6+'前提と出典'!$C$38*'契約別単価'!E7)</ns0:f>
        <ns0:v>1813043.1433582269</ns0:v>
      </ns0:c>
      <ns0:c r="F941" s="16">
        <ns0:f>A941*('前提と出典'!$C$36*'契約別単価'!F5+'前提と出典'!$C$37*'契約別単価'!F6+'前提と出典'!$C$38*'契約別単価'!F7)</ns0:f>
        <ns0:v>711553.5644826532</ns0:v>
      </ns0:c>
      <ns0:c r="G941" s="16">
        <ns0:f>A941*('前提と出典'!$C$36*'契約別単価'!G5+'前提と出典'!$C$37*'契約別単価'!G6+'前提と出典'!$C$38*'契約別単価'!G7)</ns0:f>
        <ns0:v>1865101.1173184356</ns0:v>
      </ns0:c>
      <ns0:c r="H941" s="16">
        <ns0:f>A941*('前提と出典'!$C$36*'契約別単価'!H5+'前提と出典'!$C$37*'契約別単価'!H6+'前提と出典'!$C$38*'契約別単価'!H7)</ns0:f>
        <ns0:v>647283.6298812497</ns0:v>
      </ns0:c>
      <ns0:c r="I941" s="16">
        <ns0:f>A941*('前提と出典'!$C$36*'契約別単価'!I5+'前提と出典'!$C$37*'契約別単価'!I6+'前提と出典'!$C$38*'契約別単価'!I7)</ns0:f>
        <ns0:v>39537.212290502786</ns0:v>
      </ns0:c>
      <ns0:c r="J941" s="16">
        <ns0:f>A941*('前提と出典'!$C$36*'契約別単価'!J5+'前提と出典'!$C$37*'契約別単価'!J6+'前提と出典'!$C$38*'契約別単価'!J7)</ns0:f>
        <ns0:v>92097.3024565535</ns0:v>
      </ns0:c>
      <ns0:c r="K941" s="16">
        <ns0:f>A941*('前提と出典'!$C$36*'契約別単価'!K5+'前提と出典'!$C$37*'契約別単価'!K6+'前提と出典'!$C$38*'契約別単価'!K7)</ns0:f>
        <ns0:v>394761.4152700186</ns0:v>
      </ns0:c>
      <ns0:c r="L941" s="16">
        <ns0:f>A941*('前提と出典'!$C$36*'契約別単価'!L5+'前提と出典'!$C$37*'契約別単価'!L6+'前提と出典'!$C$38*'契約別単価'!L7)</ns0:f>
        <ns0:v>321416.12099604163</ns0:v>
      </ns0:c>
      <ns0:c r="M941" s="16">
        <ns0:f>IF(('前提と出典'!$C$36+'前提と出典'!$C$38)=0,0,IF(B941&lt;=10,'前提と出典'!B73+'前提と出典'!C73,IF(B941&lt;=100,'前提と出典'!B74+'前提と出典'!C74,IF(B941&lt;=500,'前提と出典'!B75+'前提と出典'!C75,'前提と出典'!B76+'前提と出典'!C76))))</ns0:f>
        <ns0:v>80000</ns0:v>
      </ns0:c>
      <ns0:c r="N941" s="16">
        <ns0:f>IF(('前提と出典'!$C$37+'前提と出典'!$C$38)=0,0,IF(C941&lt;=10,'前提と出典'!D73+'前提と出典'!E73,IF(C941&lt;=100,'前提と出典'!D74+'前提と出典'!E74,IF(C941&lt;=500,'前提と出典'!D75+'前提と出典'!E75,'前提と出典'!D76+'前提と出典'!E76))))</ns0:f>
        <ns0:v>86510.9346263078</ns0:v>
      </ns0:c>
      <ns0:c r="O941" s="16">
        <ns0:f>IF('前提と出典'!$C$36+'前提と出典'!$C$38=0,0,'前提と出典'!$B$4*IF('前提と出典'!$B$20=0,MAX('前提と出典'!$B$6,D941*'前提と出典'!$B$5),'前提と出典'!$B$6+D941*'前提と出典'!$B$5))</ns0:f>
        <ns0:v>930425.2960893855</ns0:v>
      </ns0:c>
      <ns0:c r="P941" s="16">
        <ns0:f>(E941+G941)*(1-'前提と出典'!$B$7)-I941-K941-M941-O941</ns0:f>
        <ns0:v>2101007.1436423953</ns0:v>
      </ns0:c>
      <ns0:c r="Q941" s="16">
        <ns0:f>(F941+H941)*(1-'前提と出典'!$B$7)-J941-L941-N941</ns0:f>
        <ns0:v>809894.6972878992</ns0:v>
      </ns0:c>
      <ns0:c r="R941" s="16">
        <ns0:f>P941-E941*'前提と出典'!$E$4</ns0:f>
        <ns0:v>1557094.2006349275</ns0:v>
      </ns0:c>
      <ns0:c r="S941" s="16">
        <ns0:f>Q941-F941*'前提と出典'!$E$4</ns0:f>
        <ns0:v>596428.6279431032</ns0:v>
      </ns0:c>
      <ns0:c r="T941" s="7">
        <ns0:f>R941+S941</ns0:f>
        <ns0:v>2153522.8285780307</ns0:v>
      </ns0:c>
      <ns0:c r="U941" s="16">
        <ns0:f>P941-E941*'前提と出典'!$E$5</ns0:f>
        <ns0:v>1375789.8862991044</ns0:v>
      </ns0:c>
      <ns0:c r="V941" s="16">
        <ns0:f>Q941-F941*'前提と出典'!$E$5</ns0:f>
        <ns0:v>525273.271494838</ns0:v>
      </ns0:c>
      <ns0:c r="W941" s="7">
        <ns0:f>U941+V941</ns0:f>
        <ns0:v>1901063.1577939424</ns0:v>
      </ns0:c>
      <ns0:c r="X941" s="16">
        <ns0:f>P941-E941*'前提と出典'!$E$6</ns0:f>
        <ns0:v>1194485.5719632823</ns0:v>
      </ns0:c>
      <ns0:c r="Y941" s="16">
        <ns0:f>Q941-F941*'前提と出典'!$E$6</ns0:f>
        <ns0:v>454117.9150465727</ns0:v>
      </ns0:c>
      <ns0:c r="Z941" s="7">
        <ns0:f>X941+Y941</ns0:f>
        <ns0:v>1648603.487009855</ns0:v>
      </ns0:c>
      <ns0:c r="AA941" s="7">
        <ns0:f>IF(T941&gt;=0,A941,1001)</ns0:f>
        <ns0:v>937</ns0:v>
      </ns0:c>
      <ns0:c r="AB941" s="7">
        <ns0:f>IF(T941&lt;0,A941,0)</ns0:f>
        <ns0:v>0</ns0:v>
      </ns0:c>
      <ns0:c r="AC941" s="16">
        <ns0:f>IF(AND(OR('前提と出典'!$C$36+'前提と出典'!$C$38=0,R941&gt;=0),OR('前提と出典'!$C$37+'前提と出典'!$C$38=0,S941&gt;=0)),0,A941)</ns0:f>
        <ns0:v>0</ns0:v>
      </ns0:c>
      <ns0:c r="AD941" s="7">
        <ns0:f>IF(W941&gt;=0,A941,1001)</ns0:f>
        <ns0:v>937</ns0:v>
      </ns0:c>
      <ns0:c r="AE941" s="7">
        <ns0:f>IF(W941&lt;0,A941,0)</ns0:f>
        <ns0:v>0</ns0:v>
      </ns0:c>
      <ns0:c r="AF941" s="16">
        <ns0:f>IF(AND(OR('前提と出典'!$C$36+'前提と出典'!$C$38=0,U941&gt;=0),OR('前提と出典'!$C$37+'前提と出典'!$C$38=0,V941&gt;=0)),0,A941)</ns0:f>
        <ns0:v>0</ns0:v>
      </ns0:c>
      <ns0:c r="AG941" s="7">
        <ns0:f>IF(Z941&gt;=0,A941,1001)</ns0:f>
        <ns0:v>937</ns0:v>
      </ns0:c>
      <ns0:c r="AH941" s="4">
        <ns0:f>IF(Z941&lt;0,A941,0)</ns0:f>
        <ns0:v>0</ns0:v>
      </ns0:c>
      <ns0:c r="AI941" s="12">
        <ns0:f>IF(AND(OR('前提と出典'!$C$36+'前提と出典'!$C$38=0,X941&gt;=0),OR('前提と出典'!$C$37+'前提と出典'!$C$38=0,Y941&gt;=0)),0,A941)</ns0:f>
        <ns0:v>0</ns0:v>
      </ns0:c>
    </ns0:row>
    <ns0:row r="942" ht="24" customHeight="1">
      <ns0:c r="A942" s="4" t="n">
        <ns0:v>938</ns0:v>
      </ns0:c>
      <ns0:c r="B942" s="12">
        <ns0:f>A942*('前提と出典'!$C$36+'前提と出典'!$C$38)</ns0:f>
        <ns0:v>656.5999999999999</ns0:v>
      </ns0:c>
      <ns0:c r="C942" s="12">
        <ns0:f>A942*('前提と出典'!$C$37+'前提と出典'!$C$38)</ns0:f>
        <ns0:v>562.8</ns0:v>
      </ns0:c>
      <ns0:c r="D942" s="16">
        <ns0:f>A942*('前提と出典'!$C$36*'契約別単価'!C5+'前提と出典'!$C$37*'契約別単価'!C6+'前提と出典'!$C$38*'契約別単価'!C7)</ns0:f>
        <ns0:v>6749.407821229051</ns0:v>
      </ns0:c>
      <ns0:c r="E942" s="16">
        <ns0:f>A942*('前提と出典'!$C$36*'契約別単価'!E5+'前提と出典'!$C$37*'契約別単価'!E6+'前提と出典'!$C$38*'契約別単価'!E7)</ns0:f>
        <ns0:v>1814978.0880149594</ns0:v>
      </ns0:c>
      <ns0:c r="F942" s="16">
        <ns0:f>A942*('前提と出典'!$C$36*'契約別単価'!F5+'前提と出典'!$C$37*'契約別単価'!F6+'前提と出典'!$C$38*'契約別単価'!F7)</ns0:f>
        <ns0:v>712312.9599623572</ns0:v>
      </ns0:c>
      <ns0:c r="G942" s="16">
        <ns0:f>A942*('前提と出典'!$C$36*'契約別単価'!G5+'前提と出典'!$C$37*'契約別単価'!G6+'前提と出典'!$C$38*'契約別単価'!G7)</ns0:f>
        <ns0:v>1867091.6201117318</ns0:v>
      </ns0:c>
      <ns0:c r="H942" s="16">
        <ns0:f>A942*('前提と出典'!$C$36*'契約別単価'!H5+'前提と出典'!$C$37*'契約別単価'!H6+'前提と出典'!$C$38*'契約別単価'!H7)</ns0:f>
        <ns0:v>647974.4341820835</ns0:v>
      </ns0:c>
      <ns0:c r="I942" s="16">
        <ns0:f>A942*('前提と出典'!$C$36*'契約別単価'!I5+'前提と出典'!$C$37*'契約別単価'!I6+'前提と出典'!$C$38*'契約別単価'!I7)</ns0:f>
        <ns0:v>39579.40782122904</ns0:v>
      </ns0:c>
      <ns0:c r="J942" s="16">
        <ns0:f>A942*('前提と出典'!$C$36*'契約別単価'!J5+'前提と出典'!$C$37*'契約別単価'!J6+'前提と出典'!$C$38*'契約別単価'!J7)</ns0:f>
        <ns0:v>92195.5920002638</ns0:v>
      </ns0:c>
      <ns0:c r="K942" s="16">
        <ns0:f>A942*('前提と出典'!$C$36*'契約別単価'!K5+'前提と出典'!$C$37*'契約別単価'!K6+'前提と出典'!$C$38*'契約別単価'!K7)</ns0:f>
        <ns0:v>395182.71880819363</ns0:v>
      </ns0:c>
      <ns0:c r="L942" s="16">
        <ns0:f>A942*('前提と出典'!$C$36*'契約別単価'!L5+'前提と出典'!$C$37*'契約別単価'!L6+'前提と出典'!$C$38*'契約別単価'!L7)</ns0:f>
        <ns0:v>321759.14780606946</ns0:v>
      </ns0:c>
      <ns0:c r="M942" s="16">
        <ns0:f>IF(('前提と出典'!$C$36+'前提と出典'!$C$38)=0,0,IF(B942&lt;=10,'前提と出典'!B73+'前提と出典'!C73,IF(B942&lt;=100,'前提と出典'!B74+'前提と出典'!C74,IF(B942&lt;=500,'前提と出典'!B75+'前提と出典'!C75,'前提と出典'!B76+'前提と出典'!C76))))</ns0:f>
        <ns0:v>80000</ns0:v>
      </ns0:c>
      <ns0:c r="N942" s="16">
        <ns0:f>IF(('前提と出典'!$C$37+'前提と出典'!$C$38)=0,0,IF(C942&lt;=10,'前提と出典'!D73+'前提と出典'!E73,IF(C942&lt;=100,'前提と出典'!D74+'前提と出典'!E74,IF(C942&lt;=500,'前提と出典'!D75+'前提と出典'!E75,'前提と出典'!D76+'前提と出典'!E76))))</ns0:f>
        <ns0:v>86510.9346263078</ns0:v>
      </ns0:c>
      <ns0:c r="O942" s="16">
        <ns0:f>IF('前提と出典'!$C$36+'前提と出典'!$C$38=0,0,'前提と出典'!$B$4*IF('前提と出典'!$B$20=0,MAX('前提と出典'!$B$6,D942*'前提と出典'!$B$5),'前提と出典'!$B$6+D942*'前提と出典'!$B$5))</ns0:f>
        <ns0:v>931418.279329609</ns0:v>
      </ns0:c>
      <ns0:c r="P942" s="16">
        <ns0:f>(E942+G942)*(1-'前提と出典'!$B$7)-I942-K942-M942-O942</ns0:f>
        <ns0:v>2103334.7926750984</ns0:v>
      </ns0:c>
      <ns0:c r="Q942" s="16">
        <ns0:f>(F942+H942)*(1-'前提と出典'!$B$7)-J942-L942-N942</ns0:f>
        <ns0:v>810851.3735225995</ns0:v>
      </ns0:c>
      <ns0:c r="R942" s="16">
        <ns0:f>P942-E942*'前提と出典'!$E$4</ns0:f>
        <ns0:v>1558841.3662706106</ns0:v>
      </ns0:c>
      <ns0:c r="S942" s="16">
        <ns0:f>Q942-F942*'前提と出典'!$E$4</ns0:f>
        <ns0:v>597157.4855338925</ns0:v>
      </ns0:c>
      <ns0:c r="T942" s="7">
        <ns0:f>R942+S942</ns0:f>
        <ns0:v>2155998.8518045032</ns0:v>
      </ns0:c>
      <ns0:c r="U942" s="16">
        <ns0:f>P942-E942*'前提と出典'!$E$5</ns0:f>
        <ns0:v>1377343.5574691147</ns0:v>
      </ns0:c>
      <ns0:c r="V942" s="16">
        <ns0:f>Q942-F942*'前提と出典'!$E$5</ns0:f>
        <ns0:v>525926.1895376566</ns0:v>
      </ns0:c>
      <ns0:c r="W942" s="7">
        <ns0:f>U942+V942</ns0:f>
        <ns0:v>1903269.7470067712</ns0:v>
      </ns0:c>
      <ns0:c r="X942" s="16">
        <ns0:f>P942-E942*'前提と出典'!$E$6</ns0:f>
        <ns0:v>1195845.7486676187</ns0:v>
      </ns0:c>
      <ns0:c r="Y942" s="16">
        <ns0:f>Q942-F942*'前提と出典'!$E$6</ns0:f>
        <ns0:v>454694.8935414209</ns0:v>
      </ns0:c>
      <ns0:c r="Z942" s="7">
        <ns0:f>X942+Y942</ns0:f>
        <ns0:v>1650540.6422090395</ns0:v>
      </ns0:c>
      <ns0:c r="AA942" s="7">
        <ns0:f>IF(T942&gt;=0,A942,1001)</ns0:f>
        <ns0:v>938</ns0:v>
      </ns0:c>
      <ns0:c r="AB942" s="7">
        <ns0:f>IF(T942&lt;0,A942,0)</ns0:f>
        <ns0:v>0</ns0:v>
      </ns0:c>
      <ns0:c r="AC942" s="16">
        <ns0:f>IF(AND(OR('前提と出典'!$C$36+'前提と出典'!$C$38=0,R942&gt;=0),OR('前提と出典'!$C$37+'前提と出典'!$C$38=0,S942&gt;=0)),0,A942)</ns0:f>
        <ns0:v>0</ns0:v>
      </ns0:c>
      <ns0:c r="AD942" s="7">
        <ns0:f>IF(W942&gt;=0,A942,1001)</ns0:f>
        <ns0:v>938</ns0:v>
      </ns0:c>
      <ns0:c r="AE942" s="7">
        <ns0:f>IF(W942&lt;0,A942,0)</ns0:f>
        <ns0:v>0</ns0:v>
      </ns0:c>
      <ns0:c r="AF942" s="16">
        <ns0:f>IF(AND(OR('前提と出典'!$C$36+'前提と出典'!$C$38=0,U942&gt;=0),OR('前提と出典'!$C$37+'前提と出典'!$C$38=0,V942&gt;=0)),0,A942)</ns0:f>
        <ns0:v>0</ns0:v>
      </ns0:c>
      <ns0:c r="AG942" s="7">
        <ns0:f>IF(Z942&gt;=0,A942,1001)</ns0:f>
        <ns0:v>938</ns0:v>
      </ns0:c>
      <ns0:c r="AH942" s="4">
        <ns0:f>IF(Z942&lt;0,A942,0)</ns0:f>
        <ns0:v>0</ns0:v>
      </ns0:c>
      <ns0:c r="AI942" s="12">
        <ns0:f>IF(AND(OR('前提と出典'!$C$36+'前提と出典'!$C$38=0,X942&gt;=0),OR('前提と出典'!$C$37+'前提と出典'!$C$38=0,Y942&gt;=0)),0,A942)</ns0:f>
        <ns0:v>0</ns0:v>
      </ns0:c>
    </ns0:row>
    <ns0:row r="943" ht="24" customHeight="1">
      <ns0:c r="A943" s="4" t="n">
        <ns0:v>939</ns0:v>
      </ns0:c>
      <ns0:c r="B943" s="12">
        <ns0:f>A943*('前提と出典'!$C$36+'前提と出典'!$C$38)</ns0:f>
        <ns0:v>657.3</ns0:v>
      </ns0:c>
      <ns0:c r="C943" s="12">
        <ns0:f>A943*('前提と出典'!$C$37+'前提と出典'!$C$38)</ns0:f>
        <ns0:v>563.4</ns0:v>
      </ns0:c>
      <ns0:c r="D943" s="16">
        <ns0:f>A943*('前提と出典'!$C$36*'契約別単価'!C5+'前提と出典'!$C$37*'契約別単価'!C6+'前提と出典'!$C$38*'契約別単価'!C7)</ns0:f>
        <ns0:v>6756.6033519553075</ns0:v>
      </ns0:c>
      <ns0:c r="E943" s="16">
        <ns0:f>A943*('前提と出典'!$C$36*'契約別単価'!E5+'前提と出典'!$C$37*'契約別単価'!E6+'前提と出典'!$C$38*'契約別単価'!E7)</ns0:f>
        <ns0:v>1816913.0326716916</ns0:v>
      </ns0:c>
      <ns0:c r="F943" s="16">
        <ns0:f>A943*('前提と出典'!$C$36*'契約別単価'!F5+'前提と出典'!$C$37*'契約別単価'!F6+'前提と出典'!$C$38*'契約別単価'!F7)</ns0:f>
        <ns0:v>713072.3554420612</ns0:v>
      </ns0:c>
      <ns0:c r="G943" s="16">
        <ns0:f>A943*('前提と出典'!$C$36*'契約別単価'!G5+'前提と出典'!$C$37*'契約別単価'!G6+'前提と出典'!$C$38*'契約別単価'!G7)</ns0:f>
        <ns0:v>1869082.1229050278</ns0:v>
      </ns0:c>
      <ns0:c r="H943" s="16">
        <ns0:f>A943*('前提と出典'!$C$36*'契約別単価'!H5+'前提と出典'!$C$37*'契約別単価'!H6+'前提と出典'!$C$38*'契約別単価'!H7)</ns0:f>
        <ns0:v>648665.2384829172</ns0:v>
      </ns0:c>
      <ns0:c r="I943" s="16">
        <ns0:f>A943*('前提と出典'!$C$36*'契約別単価'!I5+'前提と出典'!$C$37*'契約別単価'!I6+'前提と出典'!$C$38*'契約別単価'!I7)</ns0:f>
        <ns0:v>39621.6033519553</ns0:v>
      </ns0:c>
      <ns0:c r="J943" s="16">
        <ns0:f>A943*('前提と出典'!$C$36*'契約別単価'!J5+'前提と出典'!$C$37*'契約別単価'!J6+'前提と出典'!$C$38*'契約別単価'!J7)</ns0:f>
        <ns0:v>92293.88154397412</ns0:v>
      </ns0:c>
      <ns0:c r="K943" s="16">
        <ns0:f>A943*('前提と出典'!$C$36*'契約別単価'!K5+'前提と出典'!$C$37*'契約別単価'!K6+'前提と出典'!$C$38*'契約別単価'!K7)</ns0:f>
        <ns0:v>395604.0223463687</ns0:v>
      </ns0:c>
      <ns0:c r="L943" s="16">
        <ns0:f>A943*('前提と出典'!$C$36*'契約別単価'!L5+'前提と出典'!$C$37*'契約別単価'!L6+'前提と出典'!$C$38*'契約別単価'!L7)</ns0:f>
        <ns0:v>322102.17461609724</ns0:v>
      </ns0:c>
      <ns0:c r="M943" s="16">
        <ns0:f>IF(('前提と出典'!$C$36+'前提と出典'!$C$38)=0,0,IF(B943&lt;=10,'前提と出典'!B73+'前提と出典'!C73,IF(B943&lt;=100,'前提と出典'!B74+'前提と出典'!C74,IF(B943&lt;=500,'前提と出典'!B75+'前提と出典'!C75,'前提と出典'!B76+'前提と出典'!C76))))</ns0:f>
        <ns0:v>80000</ns0:v>
      </ns0:c>
      <ns0:c r="N943" s="16">
        <ns0:f>IF(('前提と出典'!$C$37+'前提と出典'!$C$38)=0,0,IF(C943&lt;=10,'前提と出典'!D73+'前提と出典'!E73,IF(C943&lt;=100,'前提と出典'!D74+'前提と出典'!E74,IF(C943&lt;=500,'前提と出典'!D75+'前提と出典'!E75,'前提と出典'!D76+'前提と出典'!E76))))</ns0:f>
        <ns0:v>86510.9346263078</ns0:v>
      </ns0:c>
      <ns0:c r="O943" s="16">
        <ns0:f>IF('前提と出典'!$C$36+'前提と出典'!$C$38=0,0,'前提と出典'!$B$4*IF('前提と出典'!$B$20=0,MAX('前提と出典'!$B$6,D943*'前提と出典'!$B$5),'前提と出典'!$B$6+D943*'前提と出典'!$B$5))</ns0:f>
        <ns0:v>932411.2625698325</ns0:v>
      </ns0:c>
      <ns0:c r="P943" s="16">
        <ns0:f>(E943+G943)*(1-'前提と出典'!$B$7)-I943-K943-M943-O943</ns0:f>
        <ns0:v>2105662.441707801</ns0:v>
      </ns0:c>
      <ns0:c r="Q943" s="16">
        <ns0:f>(F943+H943)*(1-'前提と出典'!$B$7)-J943-L943-N943</ns0:f>
        <ns0:v>811808.0497573</ns0:v>
      </ns0:c>
      <ns0:c r="R943" s="16">
        <ns0:f>P943-E943*'前提と出典'!$E$4</ns0:f>
        <ns0:v>1560588.5319062937</ns0:v>
      </ns0:c>
      <ns0:c r="S943" s="16">
        <ns0:f>Q943-F943*'前提と出典'!$E$4</ns0:f>
        <ns0:v>597886.3431246816</ns0:v>
      </ns0:c>
      <ns0:c r="T943" s="7">
        <ns0:f>R943+S943</ns0:f>
        <ns0:v>2158474.8750309753</ns0:v>
      </ns0:c>
      <ns0:c r="U943" s="16">
        <ns0:f>P943-E943*'前提と出典'!$E$5</ns0:f>
        <ns0:v>1378897.2286391244</ns0:v>
      </ns0:c>
      <ns0:c r="V943" s="16">
        <ns0:f>Q943-F943*'前提と出典'!$E$5</ns0:f>
        <ns0:v>526579.1075804754</ns0:v>
      </ns0:c>
      <ns0:c r="W943" s="7">
        <ns0:f>U943+V943</ns0:f>
        <ns0:v>1905476.3362196</ns0:v>
      </ns0:c>
      <ns0:c r="X943" s="16">
        <ns0:f>P943-E943*'前提と出典'!$E$6</ns0:f>
        <ns0:v>1197205.9253719551</ns0:v>
      </ns0:c>
      <ns0:c r="Y943" s="16">
        <ns0:f>Q943-F943*'前提と出典'!$E$6</ns0:f>
        <ns0:v>455271.8720362693</ns0:v>
      </ns0:c>
      <ns0:c r="Z943" s="7">
        <ns0:f>X943+Y943</ns0:f>
        <ns0:v>1652477.7974082245</ns0:v>
      </ns0:c>
      <ns0:c r="AA943" s="7">
        <ns0:f>IF(T943&gt;=0,A943,1001)</ns0:f>
        <ns0:v>939</ns0:v>
      </ns0:c>
      <ns0:c r="AB943" s="7">
        <ns0:f>IF(T943&lt;0,A943,0)</ns0:f>
        <ns0:v>0</ns0:v>
      </ns0:c>
      <ns0:c r="AC943" s="16">
        <ns0:f>IF(AND(OR('前提と出典'!$C$36+'前提と出典'!$C$38=0,R943&gt;=0),OR('前提と出典'!$C$37+'前提と出典'!$C$38=0,S943&gt;=0)),0,A943)</ns0:f>
        <ns0:v>0</ns0:v>
      </ns0:c>
      <ns0:c r="AD943" s="7">
        <ns0:f>IF(W943&gt;=0,A943,1001)</ns0:f>
        <ns0:v>939</ns0:v>
      </ns0:c>
      <ns0:c r="AE943" s="7">
        <ns0:f>IF(W943&lt;0,A943,0)</ns0:f>
        <ns0:v>0</ns0:v>
      </ns0:c>
      <ns0:c r="AF943" s="16">
        <ns0:f>IF(AND(OR('前提と出典'!$C$36+'前提と出典'!$C$38=0,U943&gt;=0),OR('前提と出典'!$C$37+'前提と出典'!$C$38=0,V943&gt;=0)),0,A943)</ns0:f>
        <ns0:v>0</ns0:v>
      </ns0:c>
      <ns0:c r="AG943" s="7">
        <ns0:f>IF(Z943&gt;=0,A943,1001)</ns0:f>
        <ns0:v>939</ns0:v>
      </ns0:c>
      <ns0:c r="AH943" s="4">
        <ns0:f>IF(Z943&lt;0,A943,0)</ns0:f>
        <ns0:v>0</ns0:v>
      </ns0:c>
      <ns0:c r="AI943" s="12">
        <ns0:f>IF(AND(OR('前提と出典'!$C$36+'前提と出典'!$C$38=0,X943&gt;=0),OR('前提と出典'!$C$37+'前提と出典'!$C$38=0,Y943&gt;=0)),0,A943)</ns0:f>
        <ns0:v>0</ns0:v>
      </ns0:c>
    </ns0:row>
    <ns0:row r="944" ht="24" customHeight="1">
      <ns0:c r="A944" s="4" t="n">
        <ns0:v>940</ns0:v>
      </ns0:c>
      <ns0:c r="B944" s="12">
        <ns0:f>A944*('前提と出典'!$C$36+'前提と出典'!$C$38)</ns0:f>
        <ns0:v>658</ns0:v>
      </ns0:c>
      <ns0:c r="C944" s="12">
        <ns0:f>A944*('前提と出典'!$C$37+'前提と出典'!$C$38)</ns0:f>
        <ns0:v>564</ns0:v>
      </ns0:c>
      <ns0:c r="D944" s="16">
        <ns0:f>A944*('前提と出典'!$C$36*'契約別単価'!C5+'前提と出典'!$C$37*'契約別単価'!C6+'前提と出典'!$C$38*'契約別単価'!C7)</ns0:f>
        <ns0:v>6763.7988826815645</ns0:v>
      </ns0:c>
      <ns0:c r="E944" s="16">
        <ns0:f>A944*('前提と出典'!$C$36*'契約別単価'!E5+'前提と出典'!$C$37*'契約別単価'!E6+'前提と出典'!$C$38*'契約別単価'!E7)</ns0:f>
        <ns0:v>1818847.977328424</ns0:v>
      </ns0:c>
      <ns0:c r="F944" s="16">
        <ns0:f>A944*('前提と出典'!$C$36*'契約別単価'!F5+'前提と出典'!$C$37*'契約別単価'!F6+'前提と出典'!$C$38*'契約別単価'!F7)</ns0:f>
        <ns0:v>713831.7509217652</ns0:v>
      </ns0:c>
      <ns0:c r="G944" s="16">
        <ns0:f>A944*('前提と出典'!$C$36*'契約別単価'!G5+'前提と出典'!$C$37*'契約別単価'!G6+'前提と出典'!$C$38*'契約別単価'!G7)</ns0:f>
        <ns0:v>1871072.6256983238</ns0:v>
      </ns0:c>
      <ns0:c r="H944" s="16">
        <ns0:f>A944*('前提と出典'!$C$36*'契約別単価'!H5+'前提と出典'!$C$37*'契約別単価'!H6+'前提と出典'!$C$38*'契約別単価'!H7)</ns0:f>
        <ns0:v>649356.042783751</ns0:v>
      </ns0:c>
      <ns0:c r="I944" s="16">
        <ns0:f>A944*('前提と出典'!$C$36*'契約別単価'!I5+'前提と出典'!$C$37*'契約別単価'!I6+'前提と出典'!$C$38*'契約別単価'!I7)</ns0:f>
        <ns0:v>39663.798882681556</ns0:v>
      </ns0:c>
      <ns0:c r="J944" s="16">
        <ns0:f>A944*('前提と出典'!$C$36*'契約別単価'!J5+'前提と出典'!$C$37*'契約別単価'!J6+'前提と出典'!$C$38*'契約別単価'!J7)</ns0:f>
        <ns0:v>92392.17108768442</ns0:v>
      </ns0:c>
      <ns0:c r="K944" s="16">
        <ns0:f>A944*('前提と出典'!$C$36*'契約別単価'!K5+'前提と出典'!$C$37*'契約別単価'!K6+'前提と出典'!$C$38*'契約別単価'!K7)</ns0:f>
        <ns0:v>396025.3258845437</ns0:v>
      </ns0:c>
      <ns0:c r="L944" s="16">
        <ns0:f>A944*('前提と出典'!$C$36*'契約別単価'!L5+'前提と出典'!$C$37*'契約別単価'!L6+'前提と出典'!$C$38*'契約別単価'!L7)</ns0:f>
        <ns0:v>322445.201426125</ns0:v>
      </ns0:c>
      <ns0:c r="M944" s="16">
        <ns0:f>IF(('前提と出典'!$C$36+'前提と出典'!$C$38)=0,0,IF(B944&lt;=10,'前提と出典'!B73+'前提と出典'!C73,IF(B944&lt;=100,'前提と出典'!B74+'前提と出典'!C74,IF(B944&lt;=500,'前提と出典'!B75+'前提と出典'!C75,'前提と出典'!B76+'前提と出典'!C76))))</ns0:f>
        <ns0:v>80000</ns0:v>
      </ns0:c>
      <ns0:c r="N944" s="16">
        <ns0:f>IF(('前提と出典'!$C$37+'前提と出典'!$C$38)=0,0,IF(C944&lt;=10,'前提と出典'!D73+'前提と出典'!E73,IF(C944&lt;=100,'前提と出典'!D74+'前提と出典'!E74,IF(C944&lt;=500,'前提と出典'!D75+'前提と出典'!E75,'前提と出典'!D76+'前提と出典'!E76))))</ns0:f>
        <ns0:v>86510.9346263078</ns0:v>
      </ns0:c>
      <ns0:c r="O944" s="16">
        <ns0:f>IF('前提と出典'!$C$36+'前提と出典'!$C$38=0,0,'前提と出典'!$B$4*IF('前提と出典'!$B$20=0,MAX('前提と出典'!$B$6,D944*'前提と出典'!$B$5),'前提と出典'!$B$6+D944*'前提と出典'!$B$5))</ns0:f>
        <ns0:v>933404.245810056</ns0:v>
      </ns0:c>
      <ns0:c r="P944" s="16">
        <ns0:f>(E944+G944)*(1-'前提と出典'!$B$7)-I944-K944-M944-O944</ns0:f>
        <ns0:v>2107990.0907405033</ns0:v>
      </ns0:c>
      <ns0:c r="Q944" s="16">
        <ns0:f>(F944+H944)*(1-'前提と出典'!$B$7)-J944-L944-N944</ns0:f>
        <ns0:v>812764.7259920004</ns0:v>
      </ns0:c>
      <ns0:c r="R944" s="16">
        <ns0:f>P944-E944*'前提と出典'!$E$4</ns0:f>
        <ns0:v>1562335.6975419759</ns0:v>
      </ns0:c>
      <ns0:c r="S944" s="16">
        <ns0:f>Q944-F944*'前提と出典'!$E$4</ns0:f>
        <ns0:v>598615.2007154708</ns0:v>
      </ns0:c>
      <ns0:c r="T944" s="7">
        <ns0:f>R944+S944</ns0:f>
        <ns0:v>2160950.8982574465</ns0:v>
      </ns0:c>
      <ns0:c r="U944" s="16">
        <ns0:f>P944-E944*'前提と出典'!$E$5</ns0:f>
        <ns0:v>1380450.8998091337</ns0:v>
      </ns0:c>
      <ns0:c r="V944" s="16">
        <ns0:f>Q944-F944*'前提と出典'!$E$5</ns0:f>
        <ns0:v>527232.0256232943</ns0:v>
      </ns0:c>
      <ns0:c r="W944" s="7">
        <ns0:f>U944+V944</ns0:f>
        <ns0:v>1907682.925432428</ns0:v>
      </ns0:c>
      <ns0:c r="X944" s="16">
        <ns0:f>P944-E944*'前提と出典'!$E$6</ns0:f>
        <ns0:v>1198566.102076291</ns0:v>
      </ns0:c>
      <ns0:c r="Y944" s="16">
        <ns0:f>Q944-F944*'前提と出典'!$E$6</ns0:f>
        <ns0:v>455848.85053111776</ns0:v>
      </ns0:c>
      <ns0:c r="Z944" s="7">
        <ns0:f>X944+Y944</ns0:f>
        <ns0:v>1654414.9526074089</ns0:v>
      </ns0:c>
      <ns0:c r="AA944" s="7">
        <ns0:f>IF(T944&gt;=0,A944,1001)</ns0:f>
        <ns0:v>940</ns0:v>
      </ns0:c>
      <ns0:c r="AB944" s="7">
        <ns0:f>IF(T944&lt;0,A944,0)</ns0:f>
        <ns0:v>0</ns0:v>
      </ns0:c>
      <ns0:c r="AC944" s="16">
        <ns0:f>IF(AND(OR('前提と出典'!$C$36+'前提と出典'!$C$38=0,R944&gt;=0),OR('前提と出典'!$C$37+'前提と出典'!$C$38=0,S944&gt;=0)),0,A944)</ns0:f>
        <ns0:v>0</ns0:v>
      </ns0:c>
      <ns0:c r="AD944" s="7">
        <ns0:f>IF(W944&gt;=0,A944,1001)</ns0:f>
        <ns0:v>940</ns0:v>
      </ns0:c>
      <ns0:c r="AE944" s="7">
        <ns0:f>IF(W944&lt;0,A944,0)</ns0:f>
        <ns0:v>0</ns0:v>
      </ns0:c>
      <ns0:c r="AF944" s="16">
        <ns0:f>IF(AND(OR('前提と出典'!$C$36+'前提と出典'!$C$38=0,U944&gt;=0),OR('前提と出典'!$C$37+'前提と出典'!$C$38=0,V944&gt;=0)),0,A944)</ns0:f>
        <ns0:v>0</ns0:v>
      </ns0:c>
      <ns0:c r="AG944" s="7">
        <ns0:f>IF(Z944&gt;=0,A944,1001)</ns0:f>
        <ns0:v>940</ns0:v>
      </ns0:c>
      <ns0:c r="AH944" s="4">
        <ns0:f>IF(Z944&lt;0,A944,0)</ns0:f>
        <ns0:v>0</ns0:v>
      </ns0:c>
      <ns0:c r="AI944" s="12">
        <ns0:f>IF(AND(OR('前提と出典'!$C$36+'前提と出典'!$C$38=0,X944&gt;=0),OR('前提と出典'!$C$37+'前提と出典'!$C$38=0,Y944&gt;=0)),0,A944)</ns0:f>
        <ns0:v>0</ns0:v>
      </ns0:c>
    </ns0:row>
    <ns0:row r="945" ht="24" customHeight="1">
      <ns0:c r="A945" s="4" t="n">
        <ns0:v>941</ns0:v>
      </ns0:c>
      <ns0:c r="B945" s="12">
        <ns0:f>A945*('前提と出典'!$C$36+'前提と出典'!$C$38)</ns0:f>
        <ns0:v>658.6999999999999</ns0:v>
      </ns0:c>
      <ns0:c r="C945" s="12">
        <ns0:f>A945*('前提と出典'!$C$37+'前提と出典'!$C$38)</ns0:f>
        <ns0:v>564.6</ns0:v>
      </ns0:c>
      <ns0:c r="D945" s="16">
        <ns0:f>A945*('前提と出典'!$C$36*'契約別単価'!C5+'前提と出典'!$C$37*'契約別単価'!C6+'前提と出典'!$C$38*'契約別単価'!C7)</ns0:f>
        <ns0:v>6770.994413407821</ns0:v>
      </ns0:c>
      <ns0:c r="E945" s="16">
        <ns0:f>A945*('前提と出典'!$C$36*'契約別単価'!E5+'前提と出典'!$C$37*'契約別単価'!E6+'前提と出典'!$C$38*'契約別単価'!E7)</ns0:f>
        <ns0:v>1820782.9219851564</ns0:v>
      </ns0:c>
      <ns0:c r="F945" s="16">
        <ns0:f>A945*('前提と出典'!$C$36*'契約別単価'!F5+'前提と出典'!$C$37*'契約別単価'!F6+'前提と出典'!$C$38*'契約別単価'!F7)</ns0:f>
        <ns0:v>714591.1464014692</ns0:v>
      </ns0:c>
      <ns0:c r="G945" s="16">
        <ns0:f>A945*('前提と出典'!$C$36*'契約別単価'!G5+'前提と出典'!$C$37*'契約別単価'!G6+'前提と出典'!$C$38*'契約別単価'!G7)</ns0:f>
        <ns0:v>1873063.12849162</ns0:v>
      </ns0:c>
      <ns0:c r="H945" s="16">
        <ns0:f>A945*('前提と出典'!$C$36*'契約別単価'!H5+'前提と出典'!$C$37*'契約別単価'!H6+'前提と出典'!$C$38*'契約別単価'!H7)</ns0:f>
        <ns0:v>650046.8470845848</ns0:v>
      </ns0:c>
      <ns0:c r="I945" s="16">
        <ns0:f>A945*('前提と出典'!$C$36*'契約別単価'!I5+'前提と出典'!$C$37*'契約別単価'!I6+'前提と出典'!$C$38*'契約別単価'!I7)</ns0:f>
        <ns0:v>39705.99441340782</ns0:v>
      </ns0:c>
      <ns0:c r="J945" s="16">
        <ns0:f>A945*('前提と出典'!$C$36*'契約別単価'!J5+'前提と出典'!$C$37*'契約別単価'!J6+'前提と出典'!$C$38*'契約別単価'!J7)</ns0:f>
        <ns0:v>92490.46063139472</ns0:v>
      </ns0:c>
      <ns0:c r="K945" s="16">
        <ns0:f>A945*('前提と出典'!$C$36*'契約別単価'!K5+'前提と出典'!$C$37*'契約別単価'!K6+'前提と出典'!$C$38*'契約別単価'!K7)</ns0:f>
        <ns0:v>396446.6294227188</ns0:v>
      </ns0:c>
      <ns0:c r="L945" s="16">
        <ns0:f>A945*('前提と出典'!$C$36*'契約別単価'!L5+'前提と出典'!$C$37*'契約別単価'!L6+'前提と出典'!$C$38*'契約別単価'!L7)</ns0:f>
        <ns0:v>322788.2282361528</ns0:v>
      </ns0:c>
      <ns0:c r="M945" s="16">
        <ns0:f>IF(('前提と出典'!$C$36+'前提と出典'!$C$38)=0,0,IF(B945&lt;=10,'前提と出典'!B73+'前提と出典'!C73,IF(B945&lt;=100,'前提と出典'!B74+'前提と出典'!C74,IF(B945&lt;=500,'前提と出典'!B75+'前提と出典'!C75,'前提と出典'!B76+'前提と出典'!C76))))</ns0:f>
        <ns0:v>80000</ns0:v>
      </ns0:c>
      <ns0:c r="N945" s="16">
        <ns0:f>IF(('前提と出典'!$C$37+'前提と出典'!$C$38)=0,0,IF(C945&lt;=10,'前提と出典'!D73+'前提と出典'!E73,IF(C945&lt;=100,'前提と出典'!D74+'前提と出典'!E74,IF(C945&lt;=500,'前提と出典'!D75+'前提と出典'!E75,'前提と出典'!D76+'前提と出典'!E76))))</ns0:f>
        <ns0:v>86510.9346263078</ns0:v>
      </ns0:c>
      <ns0:c r="O945" s="16">
        <ns0:f>IF('前提と出典'!$C$36+'前提と出典'!$C$38=0,0,'前提と出典'!$B$4*IF('前提と出典'!$B$20=0,MAX('前提と出典'!$B$6,D945*'前提と出典'!$B$5),'前提と出典'!$B$6+D945*'前提と出典'!$B$5))</ns0:f>
        <ns0:v>934397.2290502794</ns0:v>
      </ns0:c>
      <ns0:c r="P945" s="16">
        <ns0:f>(E945+G945)*(1-'前提と出典'!$B$7)-I945-K945-M945-O945</ns0:f>
        <ns0:v>2110317.739773207</ns0:v>
      </ns0:c>
      <ns0:c r="Q945" s="16">
        <ns0:f>(F945+H945)*(1-'前提と出典'!$B$7)-J945-L945-N945</ns0:f>
        <ns0:v>813721.4022267008</ns0:v>
      </ns0:c>
      <ns0:c r="R945" s="16">
        <ns0:f>P945-E945*'前提と出典'!$E$4</ns0:f>
        <ns0:v>1564082.8631776597</ns0:v>
      </ns0:c>
      <ns0:c r="S945" s="16">
        <ns0:f>Q945-F945*'前提と出典'!$E$4</ns0:f>
        <ns0:v>599344.05830626</ns0:v>
      </ns0:c>
      <ns0:c r="T945" s="7">
        <ns0:f>R945+S945</ns0:f>
        <ns0:v>2163426.92148392</ns0:v>
      </ns0:c>
      <ns0:c r="U945" s="16">
        <ns0:f>P945-E945*'前提と出典'!$E$5</ns0:f>
        <ns0:v>1382004.5709791442</ns0:v>
      </ns0:c>
      <ns0:c r="V945" s="16">
        <ns0:f>Q945-F945*'前提と出典'!$E$5</ns0:f>
        <ns0:v>527884.9436661131</ns0:v>
      </ns0:c>
      <ns0:c r="W945" s="7">
        <ns0:f>U945+V945</ns0:f>
        <ns0:v>1909889.5146452573</ns0:v>
      </ns0:c>
      <ns0:c r="X945" s="16">
        <ns0:f>P945-E945*'前提と出典'!$E$6</ns0:f>
        <ns0:v>1199926.2787806282</ns0:v>
      </ns0:c>
      <ns0:c r="Y945" s="16">
        <ns0:f>Q945-F945*'前提と出典'!$E$6</ns0:f>
        <ns0:v>456425.8290259661</ns0:v>
      </ns0:c>
      <ns0:c r="Z945" s="7">
        <ns0:f>X945+Y945</ns0:f>
        <ns0:v>1656352.1078065943</ns0:v>
      </ns0:c>
      <ns0:c r="AA945" s="7">
        <ns0:f>IF(T945&gt;=0,A945,1001)</ns0:f>
        <ns0:v>941</ns0:v>
      </ns0:c>
      <ns0:c r="AB945" s="7">
        <ns0:f>IF(T945&lt;0,A945,0)</ns0:f>
        <ns0:v>0</ns0:v>
      </ns0:c>
      <ns0:c r="AC945" s="16">
        <ns0:f>IF(AND(OR('前提と出典'!$C$36+'前提と出典'!$C$38=0,R945&gt;=0),OR('前提と出典'!$C$37+'前提と出典'!$C$38=0,S945&gt;=0)),0,A945)</ns0:f>
        <ns0:v>0</ns0:v>
      </ns0:c>
      <ns0:c r="AD945" s="7">
        <ns0:f>IF(W945&gt;=0,A945,1001)</ns0:f>
        <ns0:v>941</ns0:v>
      </ns0:c>
      <ns0:c r="AE945" s="7">
        <ns0:f>IF(W945&lt;0,A945,0)</ns0:f>
        <ns0:v>0</ns0:v>
      </ns0:c>
      <ns0:c r="AF945" s="16">
        <ns0:f>IF(AND(OR('前提と出典'!$C$36+'前提と出典'!$C$38=0,U945&gt;=0),OR('前提と出典'!$C$37+'前提と出典'!$C$38=0,V945&gt;=0)),0,A945)</ns0:f>
        <ns0:v>0</ns0:v>
      </ns0:c>
      <ns0:c r="AG945" s="7">
        <ns0:f>IF(Z945&gt;=0,A945,1001)</ns0:f>
        <ns0:v>941</ns0:v>
      </ns0:c>
      <ns0:c r="AH945" s="4">
        <ns0:f>IF(Z945&lt;0,A945,0)</ns0:f>
        <ns0:v>0</ns0:v>
      </ns0:c>
      <ns0:c r="AI945" s="12">
        <ns0:f>IF(AND(OR('前提と出典'!$C$36+'前提と出典'!$C$38=0,X945&gt;=0),OR('前提と出典'!$C$37+'前提と出典'!$C$38=0,Y945&gt;=0)),0,A945)</ns0:f>
        <ns0:v>0</ns0:v>
      </ns0:c>
    </ns0:row>
    <ns0:row r="946" ht="24" customHeight="1">
      <ns0:c r="A946" s="4" t="n">
        <ns0:v>942</ns0:v>
      </ns0:c>
      <ns0:c r="B946" s="12">
        <ns0:f>A946*('前提と出典'!$C$36+'前提と出典'!$C$38)</ns0:f>
        <ns0:v>659.4</ns0:v>
      </ns0:c>
      <ns0:c r="C946" s="12">
        <ns0:f>A946*('前提と出典'!$C$37+'前提と出典'!$C$38)</ns0:f>
        <ns0:v>565.1999999999999</ns0:v>
      </ns0:c>
      <ns0:c r="D946" s="16">
        <ns0:f>A946*('前提と出典'!$C$36*'契約別単価'!C5+'前提と出典'!$C$37*'契約別単価'!C6+'前提と出典'!$C$38*'契約別単価'!C7)</ns0:f>
        <ns0:v>6778.189944134078</ns0:v>
      </ns0:c>
      <ns0:c r="E946" s="16">
        <ns0:f>A946*('前提と出典'!$C$36*'契約別単価'!E5+'前提と出典'!$C$37*'契約別単価'!E6+'前提と出典'!$C$38*'契約別単価'!E7)</ns0:f>
        <ns0:v>1822717.8666418886</ns0:v>
      </ns0:c>
      <ns0:c r="F946" s="16">
        <ns0:f>A946*('前提と出典'!$C$36*'契約別単価'!F5+'前提と出典'!$C$37*'契約別単価'!F6+'前提と出典'!$C$38*'契約別単価'!F7)</ns0:f>
        <ns0:v>715350.5418811733</ns0:v>
      </ns0:c>
      <ns0:c r="G946" s="16">
        <ns0:f>A946*('前提と出典'!$C$36*'契約別単価'!G5+'前提と出典'!$C$37*'契約別単価'!G6+'前提と出典'!$C$38*'契約別単価'!G7)</ns0:f>
        <ns0:v>1875053.631284916</ns0:v>
      </ns0:c>
      <ns0:c r="H946" s="16">
        <ns0:f>A946*('前提と出典'!$C$36*'契約別単価'!H5+'前提と出典'!$C$37*'契約別単価'!H6+'前提と出典'!$C$38*'契約別単価'!H7)</ns0:f>
        <ns0:v>650737.6513854186</ns0:v>
      </ns0:c>
      <ns0:c r="I946" s="16">
        <ns0:f>A946*('前提と出典'!$C$36*'契約別単価'!I5+'前提と出典'!$C$37*'契約別単価'!I6+'前提と出典'!$C$38*'契約別単価'!I7)</ns0:f>
        <ns0:v>39748.18994413407</ns0:v>
      </ns0:c>
      <ns0:c r="J946" s="16">
        <ns0:f>A946*('前提と出典'!$C$36*'契約別単価'!J5+'前提と出典'!$C$37*'契約別単価'!J6+'前提と出典'!$C$38*'契約別単価'!J7)</ns0:f>
        <ns0:v>92588.75017510501</ns0:v>
      </ns0:c>
      <ns0:c r="K946" s="16">
        <ns0:f>A946*('前提と出典'!$C$36*'契約別単価'!K5+'前提と出典'!$C$37*'契約別単価'!K6+'前提と出典'!$C$38*'契約別単価'!K7)</ns0:f>
        <ns0:v>396867.93296089384</ns0:v>
      </ns0:c>
      <ns0:c r="L946" s="16">
        <ns0:f>A946*('前提と出典'!$C$36*'契約別単価'!L5+'前提と出典'!$C$37*'契約別単価'!L6+'前提と出典'!$C$38*'契約別単価'!L7)</ns0:f>
        <ns0:v>323131.2550461806</ns0:v>
      </ns0:c>
      <ns0:c r="M946" s="16">
        <ns0:f>IF(('前提と出典'!$C$36+'前提と出典'!$C$38)=0,0,IF(B946&lt;=10,'前提と出典'!B73+'前提と出典'!C73,IF(B946&lt;=100,'前提と出典'!B74+'前提と出典'!C74,IF(B946&lt;=500,'前提と出典'!B75+'前提と出典'!C75,'前提と出典'!B76+'前提と出典'!C76))))</ns0:f>
        <ns0:v>80000</ns0:v>
      </ns0:c>
      <ns0:c r="N946" s="16">
        <ns0:f>IF(('前提と出典'!$C$37+'前提と出典'!$C$38)=0,0,IF(C946&lt;=10,'前提と出典'!D73+'前提と出典'!E73,IF(C946&lt;=100,'前提と出典'!D74+'前提と出典'!E74,IF(C946&lt;=500,'前提と出典'!D75+'前提と出典'!E75,'前提と出典'!D76+'前提と出典'!E76))))</ns0:f>
        <ns0:v>86510.9346263078</ns0:v>
      </ns0:c>
      <ns0:c r="O946" s="16">
        <ns0:f>IF('前提と出典'!$C$36+'前提と出典'!$C$38=0,0,'前提と出典'!$B$4*IF('前提と出典'!$B$20=0,MAX('前提と出典'!$B$6,D946*'前提と出典'!$B$5),'前提と出典'!$B$6+D946*'前提と出典'!$B$5))</ns0:f>
        <ns0:v>935390.2122905029</ns0:v>
      </ns0:c>
      <ns0:c r="P946" s="16">
        <ns0:f>(E946+G946)*(1-'前提と出典'!$B$7)-I946-K946-M946-O946</ns0:f>
        <ns0:v>2112645.388805909</ns0:v>
      </ns0:c>
      <ns0:c r="Q946" s="16">
        <ns0:f>(F946+H946)*(1-'前提と出典'!$B$7)-J946-L946-N946</ns0:f>
        <ns0:v>814678.0784614012</ns0:v>
      </ns0:c>
      <ns0:c r="R946" s="16">
        <ns0:f>P946-E946*'前提と出典'!$E$4</ns0:f>
        <ns0:v>1565830.0288133423</ns0:v>
      </ns0:c>
      <ns0:c r="S946" s="16">
        <ns0:f>Q946-F946*'前提と出典'!$E$4</ns0:f>
        <ns0:v>600072.9158970492</ns0:v>
      </ns0:c>
      <ns0:c r="T946" s="7">
        <ns0:f>R946+S946</ns0:f>
        <ns0:v>2165902.9447103916</ns0:v>
      </ns0:c>
      <ns0:c r="U946" s="16">
        <ns0:f>P946-E946*'前提と出典'!$E$5</ns0:f>
        <ns0:v>1383558.2421491535</ns0:v>
      </ns0:c>
      <ns0:c r="V946" s="16">
        <ns0:f>Q946-F946*'前提と出典'!$E$5</ns0:f>
        <ns0:v>528537.8617089319</ns0:v>
      </ns0:c>
      <ns0:c r="W946" s="7">
        <ns0:f>U946+V946</ns0:f>
        <ns0:v>1912096.1038580853</ns0:v>
      </ns0:c>
      <ns0:c r="X946" s="16">
        <ns0:f>P946-E946*'前提と出典'!$E$6</ns0:f>
        <ns0:v>1201286.4554849647</ns0:v>
      </ns0:c>
      <ns0:c r="Y946" s="16">
        <ns0:f>Q946-F946*'前提と出典'!$E$6</ns0:f>
        <ns0:v>457002.8075208145</ns0:v>
      </ns0:c>
      <ns0:c r="Z946" s="7">
        <ns0:f>X946+Y946</ns0:f>
        <ns0:v>1658289.2630057791</ns0:v>
      </ns0:c>
      <ns0:c r="AA946" s="7">
        <ns0:f>IF(T946&gt;=0,A946,1001)</ns0:f>
        <ns0:v>942</ns0:v>
      </ns0:c>
      <ns0:c r="AB946" s="7">
        <ns0:f>IF(T946&lt;0,A946,0)</ns0:f>
        <ns0:v>0</ns0:v>
      </ns0:c>
      <ns0:c r="AC946" s="16">
        <ns0:f>IF(AND(OR('前提と出典'!$C$36+'前提と出典'!$C$38=0,R946&gt;=0),OR('前提と出典'!$C$37+'前提と出典'!$C$38=0,S946&gt;=0)),0,A946)</ns0:f>
        <ns0:v>0</ns0:v>
      </ns0:c>
      <ns0:c r="AD946" s="7">
        <ns0:f>IF(W946&gt;=0,A946,1001)</ns0:f>
        <ns0:v>942</ns0:v>
      </ns0:c>
      <ns0:c r="AE946" s="7">
        <ns0:f>IF(W946&lt;0,A946,0)</ns0:f>
        <ns0:v>0</ns0:v>
      </ns0:c>
      <ns0:c r="AF946" s="16">
        <ns0:f>IF(AND(OR('前提と出典'!$C$36+'前提と出典'!$C$38=0,U946&gt;=0),OR('前提と出典'!$C$37+'前提と出典'!$C$38=0,V946&gt;=0)),0,A946)</ns0:f>
        <ns0:v>0</ns0:v>
      </ns0:c>
      <ns0:c r="AG946" s="7">
        <ns0:f>IF(Z946&gt;=0,A946,1001)</ns0:f>
        <ns0:v>942</ns0:v>
      </ns0:c>
      <ns0:c r="AH946" s="4">
        <ns0:f>IF(Z946&lt;0,A946,0)</ns0:f>
        <ns0:v>0</ns0:v>
      </ns0:c>
      <ns0:c r="AI946" s="12">
        <ns0:f>IF(AND(OR('前提と出典'!$C$36+'前提と出典'!$C$38=0,X946&gt;=0),OR('前提と出典'!$C$37+'前提と出典'!$C$38=0,Y946&gt;=0)),0,A946)</ns0:f>
        <ns0:v>0</ns0:v>
      </ns0:c>
    </ns0:row>
    <ns0:row r="947" ht="24" customHeight="1">
      <ns0:c r="A947" s="4" t="n">
        <ns0:v>943</ns0:v>
      </ns0:c>
      <ns0:c r="B947" s="12">
        <ns0:f>A947*('前提と出典'!$C$36+'前提と出典'!$C$38)</ns0:f>
        <ns0:v>660.0999999999999</ns0:v>
      </ns0:c>
      <ns0:c r="C947" s="12">
        <ns0:f>A947*('前提と出典'!$C$37+'前提と出典'!$C$38)</ns0:f>
        <ns0:v>565.8</ns0:v>
      </ns0:c>
      <ns0:c r="D947" s="16">
        <ns0:f>A947*('前提と出典'!$C$36*'契約別単価'!C5+'前提と出典'!$C$37*'契約別単価'!C6+'前提と出典'!$C$38*'契約別単価'!C7)</ns0:f>
        <ns0:v>6785.385474860335</ns0:v>
      </ns0:c>
      <ns0:c r="E947" s="16">
        <ns0:f>A947*('前提と出典'!$C$36*'契約別単価'!E5+'前提と出典'!$C$37*'契約別単価'!E6+'前提と出典'!$C$38*'契約別単価'!E7)</ns0:f>
        <ns0:v>1824652.8112986211</ns0:v>
      </ns0:c>
      <ns0:c r="F947" s="16">
        <ns0:f>A947*('前提と出典'!$C$36*'契約別単価'!F5+'前提と出典'!$C$37*'契約別単価'!F6+'前提と出典'!$C$38*'契約別単価'!F7)</ns0:f>
        <ns0:v>716109.9373608772</ns0:v>
      </ns0:c>
      <ns0:c r="G947" s="16">
        <ns0:f>A947*('前提と出典'!$C$36*'契約別単価'!G5+'前提と出典'!$C$37*'契約別単価'!G6+'前提と出典'!$C$38*'契約別単価'!G7)</ns0:f>
        <ns0:v>1877044.1340782123</ns0:v>
      </ns0:c>
      <ns0:c r="H947" s="16">
        <ns0:f>A947*('前提と出典'!$C$36*'契約別単価'!H5+'前提と出典'!$C$37*'契約別単価'!H6+'前提と出典'!$C$38*'契約別単価'!H7)</ns0:f>
        <ns0:v>651428.4556862523</ns0:v>
      </ns0:c>
      <ns0:c r="I947" s="16">
        <ns0:f>A947*('前提と出典'!$C$36*'契約別単価'!I5+'前提と出典'!$C$37*'契約別単価'!I6+'前提と出典'!$C$38*'契約別単価'!I7)</ns0:f>
        <ns0:v>39790.385474860326</ns0:v>
      </ns0:c>
      <ns0:c r="J947" s="16">
        <ns0:f>A947*('前提と出典'!$C$36*'契約別単価'!J5+'前提と出典'!$C$37*'契約別単価'!J6+'前提と出典'!$C$38*'契約別単価'!J7)</ns0:f>
        <ns0:v>92687.03971881531</ns0:v>
      </ns0:c>
      <ns0:c r="K947" s="16">
        <ns0:f>A947*('前提と出典'!$C$36*'契約別単価'!K5+'前提と出典'!$C$37*'契約別単価'!K6+'前提と出典'!$C$38*'契約別単価'!K7)</ns0:f>
        <ns0:v>397289.23649906885</ns0:v>
      </ns0:c>
      <ns0:c r="L947" s="16">
        <ns0:f>A947*('前提と出典'!$C$36*'契約別単価'!L5+'前提と出典'!$C$37*'契約別単価'!L6+'前提と出典'!$C$38*'契約別単価'!L7)</ns0:f>
        <ns0:v>323474.2818562084</ns0:v>
      </ns0:c>
      <ns0:c r="M947" s="16">
        <ns0:f>IF(('前提と出典'!$C$36+'前提と出典'!$C$38)=0,0,IF(B947&lt;=10,'前提と出典'!B73+'前提と出典'!C73,IF(B947&lt;=100,'前提と出典'!B74+'前提と出典'!C74,IF(B947&lt;=500,'前提と出典'!B75+'前提と出典'!C75,'前提と出典'!B76+'前提と出典'!C76))))</ns0:f>
        <ns0:v>80000</ns0:v>
      </ns0:c>
      <ns0:c r="N947" s="16">
        <ns0:f>IF(('前提と出典'!$C$37+'前提と出典'!$C$38)=0,0,IF(C947&lt;=10,'前提と出典'!D73+'前提と出典'!E73,IF(C947&lt;=100,'前提と出典'!D74+'前提と出典'!E74,IF(C947&lt;=500,'前提と出典'!D75+'前提と出典'!E75,'前提と出典'!D76+'前提と出典'!E76))))</ns0:f>
        <ns0:v>86510.9346263078</ns0:v>
      </ns0:c>
      <ns0:c r="O947" s="16">
        <ns0:f>IF('前提と出典'!$C$36+'前提と出典'!$C$38=0,0,'前提と出典'!$B$4*IF('前提と出典'!$B$20=0,MAX('前提と出典'!$B$6,D947*'前提と出典'!$B$5),'前提と出典'!$B$6+D947*'前提と出典'!$B$5))</ns0:f>
        <ns0:v>936383.1955307263</ns0:v>
      </ns0:c>
      <ns0:c r="P947" s="16">
        <ns0:f>(E947+G947)*(1-'前提と出典'!$B$7)-I947-K947-M947-O947</ns0:f>
        <ns0:v>2114973.037838612</ns0:v>
      </ns0:c>
      <ns0:c r="Q947" s="16">
        <ns0:f>(F947+H947)*(1-'前提と出典'!$B$7)-J947-L947-N947</ns0:f>
        <ns0:v>815634.7546961011</ns0:v>
      </ns0:c>
      <ns0:c r="R947" s="16">
        <ns0:f>P947-E947*'前提と出典'!$E$4</ns0:f>
        <ns0:v>1567577.194449026</ns0:v>
      </ns0:c>
      <ns0:c r="S947" s="16">
        <ns0:f>Q947-F947*'前提と出典'!$E$4</ns0:f>
        <ns0:v>600801.7734878382</ns0:v>
      </ns0:c>
      <ns0:c r="T947" s="7">
        <ns0:f>R947+S947</ns0:f>
        <ns0:v>2168378.967936864</ns0:v>
      </ns0:c>
      <ns0:c r="U947" s="16">
        <ns0:f>P947-E947*'前提と出典'!$E$5</ns0:f>
        <ns0:v>1385111.9133191637</ns0:v>
      </ns0:c>
      <ns0:c r="V947" s="16">
        <ns0:f>Q947-F947*'前提と出典'!$E$5</ns0:f>
        <ns0:v>529190.7797517502</ns0:v>
      </ns0:c>
      <ns0:c r="W947" s="7">
        <ns0:f>U947+V947</ns0:f>
        <ns0:v>1914302.693070914</ns0:v>
      </ns0:c>
      <ns0:c r="X947" s="16">
        <ns0:f>P947-E947*'前提と出典'!$E$6</ns0:f>
        <ns0:v>1202646.6321893015</ns0:v>
      </ns0:c>
      <ns0:c r="Y947" s="16">
        <ns0:f>Q947-F947*'前提と出典'!$E$6</ns0:f>
        <ns0:v>457579.7860156626</ns0:v>
      </ns0:c>
      <ns0:c r="Z947" s="7">
        <ns0:f>X947+Y947</ns0:f>
        <ns0:v>1660226.4182049641</ns0:v>
      </ns0:c>
      <ns0:c r="AA947" s="7">
        <ns0:f>IF(T947&gt;=0,A947,1001)</ns0:f>
        <ns0:v>943</ns0:v>
      </ns0:c>
      <ns0:c r="AB947" s="7">
        <ns0:f>IF(T947&lt;0,A947,0)</ns0:f>
        <ns0:v>0</ns0:v>
      </ns0:c>
      <ns0:c r="AC947" s="16">
        <ns0:f>IF(AND(OR('前提と出典'!$C$36+'前提と出典'!$C$38=0,R947&gt;=0),OR('前提と出典'!$C$37+'前提と出典'!$C$38=0,S947&gt;=0)),0,A947)</ns0:f>
        <ns0:v>0</ns0:v>
      </ns0:c>
      <ns0:c r="AD947" s="7">
        <ns0:f>IF(W947&gt;=0,A947,1001)</ns0:f>
        <ns0:v>943</ns0:v>
      </ns0:c>
      <ns0:c r="AE947" s="7">
        <ns0:f>IF(W947&lt;0,A947,0)</ns0:f>
        <ns0:v>0</ns0:v>
      </ns0:c>
      <ns0:c r="AF947" s="16">
        <ns0:f>IF(AND(OR('前提と出典'!$C$36+'前提と出典'!$C$38=0,U947&gt;=0),OR('前提と出典'!$C$37+'前提と出典'!$C$38=0,V947&gt;=0)),0,A947)</ns0:f>
        <ns0:v>0</ns0:v>
      </ns0:c>
      <ns0:c r="AG947" s="7">
        <ns0:f>IF(Z947&gt;=0,A947,1001)</ns0:f>
        <ns0:v>943</ns0:v>
      </ns0:c>
      <ns0:c r="AH947" s="4">
        <ns0:f>IF(Z947&lt;0,A947,0)</ns0:f>
        <ns0:v>0</ns0:v>
      </ns0:c>
      <ns0:c r="AI947" s="12">
        <ns0:f>IF(AND(OR('前提と出典'!$C$36+'前提と出典'!$C$38=0,X947&gt;=0),OR('前提と出典'!$C$37+'前提と出典'!$C$38=0,Y947&gt;=0)),0,A947)</ns0:f>
        <ns0:v>0</ns0:v>
      </ns0:c>
    </ns0:row>
    <ns0:row r="948" ht="24" customHeight="1">
      <ns0:c r="A948" s="4" t="n">
        <ns0:v>944</ns0:v>
      </ns0:c>
      <ns0:c r="B948" s="12">
        <ns0:f>A948*('前提と出典'!$C$36+'前提と出典'!$C$38)</ns0:f>
        <ns0:v>660.8</ns0:v>
      </ns0:c>
      <ns0:c r="C948" s="12">
        <ns0:f>A948*('前提と出典'!$C$37+'前提と出典'!$C$38)</ns0:f>
        <ns0:v>566.4</ns0:v>
      </ns0:c>
      <ns0:c r="D948" s="16">
        <ns0:f>A948*('前提と出典'!$C$36*'契約別単価'!C5+'前提と出典'!$C$37*'契約別単価'!C6+'前提と出典'!$C$38*'契約別単価'!C7)</ns0:f>
        <ns0:v>6792.581005586592</ns0:v>
      </ns0:c>
      <ns0:c r="E948" s="16">
        <ns0:f>A948*('前提と出典'!$C$36*'契約別単価'!E5+'前提と出典'!$C$37*'契約別単価'!E6+'前提と出典'!$C$38*'契約別単価'!E7)</ns0:f>
        <ns0:v>1826587.7559553534</ns0:v>
      </ns0:c>
      <ns0:c r="F948" s="16">
        <ns0:f>A948*('前提と出典'!$C$36*'契約別単価'!F5+'前提と出典'!$C$37*'契約別単価'!F6+'前提と出典'!$C$38*'契約別単価'!F7)</ns0:f>
        <ns0:v>716869.3328405812</ns0:v>
      </ns0:c>
      <ns0:c r="G948" s="16">
        <ns0:f>A948*('前提と出典'!$C$36*'契約別単価'!G5+'前提と出典'!$C$37*'契約別単価'!G6+'前提と出典'!$C$38*'契約別単価'!G7)</ns0:f>
        <ns0:v>1879034.6368715083</ns0:v>
      </ns0:c>
      <ns0:c r="H948" s="16">
        <ns0:f>A948*('前提と出典'!$C$36*'契約別単価'!H5+'前提と出典'!$C$37*'契約別単価'!H6+'前提と出典'!$C$38*'契約別単価'!H7)</ns0:f>
        <ns0:v>652119.2599870862</ns0:v>
      </ns0:c>
      <ns0:c r="I948" s="16">
        <ns0:f>A948*('前提と出典'!$C$36*'契約別単価'!I5+'前提と出典'!$C$37*'契約別単価'!I6+'前提と出典'!$C$38*'契約別単価'!I7)</ns0:f>
        <ns0:v>39832.58100558659</ns0:v>
      </ns0:c>
      <ns0:c r="J948" s="16">
        <ns0:f>A948*('前提と出典'!$C$36*'契約別単価'!J5+'前提と出典'!$C$37*'契約別単価'!J6+'前提と出典'!$C$38*'契約別単価'!J7)</ns0:f>
        <ns0:v>92785.32926252563</ns0:v>
      </ns0:c>
      <ns0:c r="K948" s="16">
        <ns0:f>A948*('前提と出典'!$C$36*'契約別単価'!K5+'前提と出典'!$C$37*'契約別単価'!K6+'前提と出典'!$C$38*'契約別単価'!K7)</ns0:f>
        <ns0:v>397710.5400372439</ns0:v>
      </ns0:c>
      <ns0:c r="L948" s="16">
        <ns0:f>A948*('前提と出典'!$C$36*'契約別単価'!L5+'前提と出典'!$C$37*'契約別単価'!L6+'前提と出典'!$C$38*'契約別単価'!L7)</ns0:f>
        <ns0:v>323817.3086662362</ns0:v>
      </ns0:c>
      <ns0:c r="M948" s="16">
        <ns0:f>IF(('前提と出典'!$C$36+'前提と出典'!$C$38)=0,0,IF(B948&lt;=10,'前提と出典'!B73+'前提と出典'!C73,IF(B948&lt;=100,'前提と出典'!B74+'前提と出典'!C74,IF(B948&lt;=500,'前提と出典'!B75+'前提と出典'!C75,'前提と出典'!B76+'前提と出典'!C76))))</ns0:f>
        <ns0:v>80000</ns0:v>
      </ns0:c>
      <ns0:c r="N948" s="16">
        <ns0:f>IF(('前提と出典'!$C$37+'前提と出典'!$C$38)=0,0,IF(C948&lt;=10,'前提と出典'!D73+'前提と出典'!E73,IF(C948&lt;=100,'前提と出典'!D74+'前提と出典'!E74,IF(C948&lt;=500,'前提と出典'!D75+'前提と出典'!E75,'前提と出典'!D76+'前提と出典'!E76))))</ns0:f>
        <ns0:v>86510.9346263078</ns0:v>
      </ns0:c>
      <ns0:c r="O948" s="16">
        <ns0:f>IF('前提と出典'!$C$36+'前提と出典'!$C$38=0,0,'前提と出典'!$B$4*IF('前提と出典'!$B$20=0,MAX('前提と出典'!$B$6,D948*'前提と出典'!$B$5),'前提と出典'!$B$6+D948*'前提と出典'!$B$5))</ns0:f>
        <ns0:v>937376.1787709497</ns0:v>
      </ns0:c>
      <ns0:c r="P948" s="16">
        <ns0:f>(E948+G948)*(1-'前提と出典'!$B$7)-I948-K948-M948-O948</ns0:f>
        <ns0:v>2117300.6868713144</ns0:v>
      </ns0:c>
      <ns0:c r="Q948" s="16">
        <ns0:f>(F948+H948)*(1-'前提と出典'!$B$7)-J948-L948-N948</ns0:f>
        <ns0:v>816591.4309308019</ns0:v>
      </ns0:c>
      <ns0:c r="R948" s="16">
        <ns0:f>P948-E948*'前提と出典'!$E$4</ns0:f>
        <ns0:v>1569324.3600847083</ns0:v>
      </ns0:c>
      <ns0:c r="S948" s="16">
        <ns0:f>Q948-F948*'前提と出典'!$E$4</ns0:f>
        <ns0:v>601530.6310786277</ns0:v>
      </ns0:c>
      <ns0:c r="T948" s="7">
        <ns0:f>R948+S948</ns0:f>
        <ns0:v>2170854.9911633357</ns0:v>
      </ns0:c>
      <ns0:c r="U948" s="16">
        <ns0:f>P948-E948*'前提と出典'!$E$5</ns0:f>
        <ns0:v>1386665.5844891733</ns0:v>
      </ns0:c>
      <ns0:c r="V948" s="16">
        <ns0:f>Q948-F948*'前提と出典'!$E$5</ns0:f>
        <ns0:v>529843.6977945694</ns0:v>
      </ns0:c>
      <ns0:c r="W948" s="7">
        <ns0:f>U948+V948</ns0:f>
        <ns0:v>1916509.2822837427</ns0:v>
      </ns0:c>
      <ns0:c r="X948" s="16">
        <ns0:f>P948-E948*'前提と出典'!$E$6</ns0:f>
        <ns0:v>1204006.8088936377</ns0:v>
      </ns0:c>
      <ns0:c r="Y948" s="16">
        <ns0:f>Q948-F948*'前提と出典'!$E$6</ns0:f>
        <ns0:v>458156.7645105112</ns0:v>
      </ns0:c>
      <ns0:c r="Z948" s="7">
        <ns0:f>X948+Y948</ns0:f>
        <ns0:v>1662163.573404149</ns0:v>
      </ns0:c>
      <ns0:c r="AA948" s="7">
        <ns0:f>IF(T948&gt;=0,A948,1001)</ns0:f>
        <ns0:v>944</ns0:v>
      </ns0:c>
      <ns0:c r="AB948" s="7">
        <ns0:f>IF(T948&lt;0,A948,0)</ns0:f>
        <ns0:v>0</ns0:v>
      </ns0:c>
      <ns0:c r="AC948" s="16">
        <ns0:f>IF(AND(OR('前提と出典'!$C$36+'前提と出典'!$C$38=0,R948&gt;=0),OR('前提と出典'!$C$37+'前提と出典'!$C$38=0,S948&gt;=0)),0,A948)</ns0:f>
        <ns0:v>0</ns0:v>
      </ns0:c>
      <ns0:c r="AD948" s="7">
        <ns0:f>IF(W948&gt;=0,A948,1001)</ns0:f>
        <ns0:v>944</ns0:v>
      </ns0:c>
      <ns0:c r="AE948" s="7">
        <ns0:f>IF(W948&lt;0,A948,0)</ns0:f>
        <ns0:v>0</ns0:v>
      </ns0:c>
      <ns0:c r="AF948" s="16">
        <ns0:f>IF(AND(OR('前提と出典'!$C$36+'前提と出典'!$C$38=0,U948&gt;=0),OR('前提と出典'!$C$37+'前提と出典'!$C$38=0,V948&gt;=0)),0,A948)</ns0:f>
        <ns0:v>0</ns0:v>
      </ns0:c>
      <ns0:c r="AG948" s="7">
        <ns0:f>IF(Z948&gt;=0,A948,1001)</ns0:f>
        <ns0:v>944</ns0:v>
      </ns0:c>
      <ns0:c r="AH948" s="4">
        <ns0:f>IF(Z948&lt;0,A948,0)</ns0:f>
        <ns0:v>0</ns0:v>
      </ns0:c>
      <ns0:c r="AI948" s="12">
        <ns0:f>IF(AND(OR('前提と出典'!$C$36+'前提と出典'!$C$38=0,X948&gt;=0),OR('前提と出典'!$C$37+'前提と出典'!$C$38=0,Y948&gt;=0)),0,A948)</ns0:f>
        <ns0:v>0</ns0:v>
      </ns0:c>
    </ns0:row>
    <ns0:row r="949" ht="24" customHeight="1">
      <ns0:c r="A949" s="4" t="n">
        <ns0:v>945</ns0:v>
      </ns0:c>
      <ns0:c r="B949" s="12">
        <ns0:f>A949*('前提と出典'!$C$36+'前提と出典'!$C$38)</ns0:f>
        <ns0:v>661.5</ns0:v>
      </ns0:c>
      <ns0:c r="C949" s="12">
        <ns0:f>A949*('前提と出典'!$C$37+'前提と出典'!$C$38)</ns0:f>
        <ns0:v>567</ns0:v>
      </ns0:c>
      <ns0:c r="D949" s="16">
        <ns0:f>A949*('前提と出典'!$C$36*'契約別単価'!C5+'前提と出典'!$C$37*'契約別単価'!C6+'前提と出典'!$C$38*'契約別単価'!C7)</ns0:f>
        <ns0:v>6799.776536312849</ns0:v>
      </ns0:c>
      <ns0:c r="E949" s="16">
        <ns0:f>A949*('前提と出典'!$C$36*'契約別単価'!E5+'前提と出典'!$C$37*'契約別単価'!E6+'前提と出典'!$C$38*'契約別単価'!E7)</ns0:f>
        <ns0:v>1828522.7006120859</ns0:v>
      </ns0:c>
      <ns0:c r="F949" s="16">
        <ns0:f>A949*('前提と出典'!$C$36*'契約別単価'!F5+'前提と出典'!$C$37*'契約別単価'!F6+'前提と出典'!$C$38*'契約別単価'!F7)</ns0:f>
        <ns0:v>717628.7283202852</ns0:v>
      </ns0:c>
      <ns0:c r="G949" s="16">
        <ns0:f>A949*('前提と出典'!$C$36*'契約別単価'!G5+'前提と出典'!$C$37*'契約別単価'!G6+'前提と出典'!$C$38*'契約別単価'!G7)</ns0:f>
        <ns0:v>1881025.1396648043</ns0:v>
      </ns0:c>
      <ns0:c r="H949" s="16">
        <ns0:f>A949*('前提と出典'!$C$36*'契約別単価'!H5+'前提と出典'!$C$37*'契約別単価'!H6+'前提と出典'!$C$38*'契約別単価'!H7)</ns0:f>
        <ns0:v>652810.0642879199</ns0:v>
      </ns0:c>
      <ns0:c r="I949" s="16">
        <ns0:f>A949*('前提と出典'!$C$36*'契約別単価'!I5+'前提と出典'!$C$37*'契約別単価'!I6+'前提と出典'!$C$38*'契約別単価'!I7)</ns0:f>
        <ns0:v>39874.77653631284</ns0:v>
      </ns0:c>
      <ns0:c r="J949" s="16">
        <ns0:f>A949*('前提と出典'!$C$36*'契約別単価'!J5+'前提と出典'!$C$37*'契約別単価'!J6+'前提と出典'!$C$38*'契約別単価'!J7)</ns0:f>
        <ns0:v>92883.61880623593</ns0:v>
      </ns0:c>
      <ns0:c r="K949" s="16">
        <ns0:f>A949*('前提と出典'!$C$36*'契約別単価'!K5+'前提と出典'!$C$37*'契約別単価'!K6+'前提と出典'!$C$38*'契約別単価'!K7)</ns0:f>
        <ns0:v>398131.843575419</ns0:v>
      </ns0:c>
      <ns0:c r="L949" s="16">
        <ns0:f>A949*('前提と出典'!$C$36*'契約別単価'!L5+'前提と出典'!$C$37*'契約別単価'!L6+'前提と出典'!$C$38*'契約別単価'!L7)</ns0:f>
        <ns0:v>324160.335476264</ns0:v>
      </ns0:c>
      <ns0:c r="M949" s="16">
        <ns0:f>IF(('前提と出典'!$C$36+'前提と出典'!$C$38)=0,0,IF(B949&lt;=10,'前提と出典'!B73+'前提と出典'!C73,IF(B949&lt;=100,'前提と出典'!B74+'前提と出典'!C74,IF(B949&lt;=500,'前提と出典'!B75+'前提と出典'!C75,'前提と出典'!B76+'前提と出典'!C76))))</ns0:f>
        <ns0:v>80000</ns0:v>
      </ns0:c>
      <ns0:c r="N949" s="16">
        <ns0:f>IF(('前提と出典'!$C$37+'前提と出典'!$C$38)=0,0,IF(C949&lt;=10,'前提と出典'!D73+'前提と出典'!E73,IF(C949&lt;=100,'前提と出典'!D74+'前提と出典'!E74,IF(C949&lt;=500,'前提と出典'!D75+'前提と出典'!E75,'前提と出典'!D76+'前提と出典'!E76))))</ns0:f>
        <ns0:v>86510.9346263078</ns0:v>
      </ns0:c>
      <ns0:c r="O949" s="16">
        <ns0:f>IF('前提と出典'!$C$36+'前提と出典'!$C$38=0,0,'前提と出典'!$B$4*IF('前提と出典'!$B$20=0,MAX('前提と出典'!$B$6,D949*'前提と出典'!$B$5),'前提と出典'!$B$6+D949*'前提と出典'!$B$5))</ns0:f>
        <ns0:v>938369.1620111732</ns0:v>
      </ns0:c>
      <ns0:c r="P949" s="16">
        <ns0:f>(E949+G949)*(1-'前提と出典'!$B$7)-I949-K949-M949-O949</ns0:f>
        <ns0:v>2119628.3359040176</ns0:v>
      </ns0:c>
      <ns0:c r="Q949" s="16">
        <ns0:f>(F949+H949)*(1-'前提と出典'!$B$7)-J949-L949-N949</ns0:f>
        <ns0:v>817548.1071655019</ns0:v>
      </ns0:c>
      <ns0:c r="R949" s="16">
        <ns0:f>P949-E949*'前提と出典'!$E$4</ns0:f>
        <ns0:v>1571071.525720392</ns0:v>
      </ns0:c>
      <ns0:c r="S949" s="16">
        <ns0:f>Q949-F949*'前提と出典'!$E$4</ns0:f>
        <ns0:v>602259.4886694165</ns0:v>
      </ns0:c>
      <ns0:c r="T949" s="7">
        <ns0:f>R949+S949</ns0:f>
        <ns0:v>2173331.0143898083</ns0:v>
      </ns0:c>
      <ns0:c r="U949" s="16">
        <ns0:f>P949-E949*'前提と出典'!$E$5</ns0:f>
        <ns0:v>1388219.255659183</ns0:v>
      </ns0:c>
      <ns0:c r="V949" s="16">
        <ns0:f>Q949-F949*'前提と出典'!$E$5</ns0:f>
        <ns0:v>530496.6158373879</ns0:v>
      </ns0:c>
      <ns0:c r="W949" s="7">
        <ns0:f>U949+V949</ns0:f>
        <ns0:v>1918715.8714965708</ns0:v>
      </ns0:c>
      <ns0:c r="X949" s="16">
        <ns0:f>P949-E949*'前提と出典'!$E$6</ns0:f>
        <ns0:v>1205366.9855979746</ns0:v>
      </ns0:c>
      <ns0:c r="Y949" s="16">
        <ns0:f>Q949-F949*'前提と出典'!$E$6</ns0:f>
        <ns0:v>458733.7430053594</ns0:v>
      </ns0:c>
      <ns0:c r="Z949" s="7">
        <ns0:f>X949+Y949</ns0:f>
        <ns0:v>1664100.7286033342</ns0:v>
      </ns0:c>
      <ns0:c r="AA949" s="7">
        <ns0:f>IF(T949&gt;=0,A949,1001)</ns0:f>
        <ns0:v>945</ns0:v>
      </ns0:c>
      <ns0:c r="AB949" s="7">
        <ns0:f>IF(T949&lt;0,A949,0)</ns0:f>
        <ns0:v>0</ns0:v>
      </ns0:c>
      <ns0:c r="AC949" s="16">
        <ns0:f>IF(AND(OR('前提と出典'!$C$36+'前提と出典'!$C$38=0,R949&gt;=0),OR('前提と出典'!$C$37+'前提と出典'!$C$38=0,S949&gt;=0)),0,A949)</ns0:f>
        <ns0:v>0</ns0:v>
      </ns0:c>
      <ns0:c r="AD949" s="7">
        <ns0:f>IF(W949&gt;=0,A949,1001)</ns0:f>
        <ns0:v>945</ns0:v>
      </ns0:c>
      <ns0:c r="AE949" s="7">
        <ns0:f>IF(W949&lt;0,A949,0)</ns0:f>
        <ns0:v>0</ns0:v>
      </ns0:c>
      <ns0:c r="AF949" s="16">
        <ns0:f>IF(AND(OR('前提と出典'!$C$36+'前提と出典'!$C$38=0,U949&gt;=0),OR('前提と出典'!$C$37+'前提と出典'!$C$38=0,V949&gt;=0)),0,A949)</ns0:f>
        <ns0:v>0</ns0:v>
      </ns0:c>
      <ns0:c r="AG949" s="7">
        <ns0:f>IF(Z949&gt;=0,A949,1001)</ns0:f>
        <ns0:v>945</ns0:v>
      </ns0:c>
      <ns0:c r="AH949" s="4">
        <ns0:f>IF(Z949&lt;0,A949,0)</ns0:f>
        <ns0:v>0</ns0:v>
      </ns0:c>
      <ns0:c r="AI949" s="12">
        <ns0:f>IF(AND(OR('前提と出典'!$C$36+'前提と出典'!$C$38=0,X949&gt;=0),OR('前提と出典'!$C$37+'前提と出典'!$C$38=0,Y949&gt;=0)),0,A949)</ns0:f>
        <ns0:v>0</ns0:v>
      </ns0:c>
    </ns0:row>
    <ns0:row r="950" ht="24" customHeight="1">
      <ns0:c r="A950" s="4" t="n">
        <ns0:v>946</ns0:v>
      </ns0:c>
      <ns0:c r="B950" s="12">
        <ns0:f>A950*('前提と出典'!$C$36+'前提と出典'!$C$38)</ns0:f>
        <ns0:v>662.1999999999999</ns0:v>
      </ns0:c>
      <ns0:c r="C950" s="12">
        <ns0:f>A950*('前提と出典'!$C$37+'前提と出典'!$C$38)</ns0:f>
        <ns0:v>567.6</ns0:v>
      </ns0:c>
      <ns0:c r="D950" s="16">
        <ns0:f>A950*('前提と出典'!$C$36*'契約別単価'!C5+'前提と出典'!$C$37*'契約別単価'!C6+'前提と出典'!$C$38*'契約別単価'!C7)</ns0:f>
        <ns0:v>6806.972067039106</ns0:v>
      </ns0:c>
      <ns0:c r="E950" s="16">
        <ns0:f>A950*('前提と出典'!$C$36*'契約別単価'!E5+'前提と出典'!$C$37*'契約別単価'!E6+'前提と出典'!$C$38*'契約別単価'!E7)</ns0:f>
        <ns0:v>1830457.6452688181</ns0:v>
      </ns0:c>
      <ns0:c r="F950" s="16">
        <ns0:f>A950*('前提と出典'!$C$36*'契約別単価'!F5+'前提と出典'!$C$37*'契約別単価'!F6+'前提と出典'!$C$38*'契約別単価'!F7)</ns0:f>
        <ns0:v>718388.1237999892</ns0:v>
      </ns0:c>
      <ns0:c r="G950" s="16">
        <ns0:f>A950*('前提と出典'!$C$36*'契約別単価'!G5+'前提と出典'!$C$37*'契約別単価'!G6+'前提と出典'!$C$38*'契約別単価'!G7)</ns0:f>
        <ns0:v>1883015.6424581006</ns0:v>
      </ns0:c>
      <ns0:c r="H950" s="16">
        <ns0:f>A950*('前提と出典'!$C$36*'契約別単価'!H5+'前提と出典'!$C$37*'契約別単価'!H6+'前提と出典'!$C$38*'契約別単価'!H7)</ns0:f>
        <ns0:v>653500.8685887537</ns0:v>
      </ns0:c>
      <ns0:c r="I950" s="16">
        <ns0:f>A950*('前提と出典'!$C$36*'契約別単価'!I5+'前提と出典'!$C$37*'契約別単価'!I6+'前提と出典'!$C$38*'契約別単価'!I7)</ns0:f>
        <ns0:v>39916.972067039096</ns0:v>
      </ns0:c>
      <ns0:c r="J950" s="16">
        <ns0:f>A950*('前提と出典'!$C$36*'契約別単価'!J5+'前提と出典'!$C$37*'契約別単価'!J6+'前提と出典'!$C$38*'契約別単価'!J7)</ns0:f>
        <ns0:v>92981.90834994623</ns0:v>
      </ns0:c>
      <ns0:c r="K950" s="16">
        <ns0:f>A950*('前提と出典'!$C$36*'契約別単価'!K5+'前提と出典'!$C$37*'契約別単価'!K6+'前提と出典'!$C$38*'契約別単価'!K7)</ns0:f>
        <ns0:v>398553.147113594</ns0:v>
      </ns0:c>
      <ns0:c r="L950" s="16">
        <ns0:f>A950*('前提と出典'!$C$36*'契約別単価'!L5+'前提と出典'!$C$37*'契約別単価'!L6+'前提と出典'!$C$38*'契約別単価'!L7)</ns0:f>
        <ns0:v>324503.3622862918</ns0:v>
      </ns0:c>
      <ns0:c r="M950" s="16">
        <ns0:f>IF(('前提と出典'!$C$36+'前提と出典'!$C$38)=0,0,IF(B950&lt;=10,'前提と出典'!B73+'前提と出典'!C73,IF(B950&lt;=100,'前提と出典'!B74+'前提と出典'!C74,IF(B950&lt;=500,'前提と出典'!B75+'前提と出典'!C75,'前提と出典'!B76+'前提と出典'!C76))))</ns0:f>
        <ns0:v>80000</ns0:v>
      </ns0:c>
      <ns0:c r="N950" s="16">
        <ns0:f>IF(('前提と出典'!$C$37+'前提と出典'!$C$38)=0,0,IF(C950&lt;=10,'前提と出典'!D73+'前提と出典'!E73,IF(C950&lt;=100,'前提と出典'!D74+'前提と出典'!E74,IF(C950&lt;=500,'前提と出典'!D75+'前提と出典'!E75,'前提と出典'!D76+'前提と出典'!E76))))</ns0:f>
        <ns0:v>86510.9346263078</ns0:v>
      </ns0:c>
      <ns0:c r="O950" s="16">
        <ns0:f>IF('前提と出典'!$C$36+'前提と出典'!$C$38=0,0,'前提と出典'!$B$4*IF('前提と出典'!$B$20=0,MAX('前提と出典'!$B$6,D950*'前提と出典'!$B$5),'前提と出典'!$B$6+D950*'前提と出典'!$B$5))</ns0:f>
        <ns0:v>939362.1452513967</ns0:v>
      </ns0:c>
      <ns0:c r="P950" s="16">
        <ns0:f>(E950+G950)*(1-'前提と出典'!$B$7)-I950-K950-M950-O950</ns0:f>
        <ns0:v>2121955.9849367198</ns0:v>
      </ns0:c>
      <ns0:c r="Q950" s="16">
        <ns0:f>(F950+H950)*(1-'前提と出典'!$B$7)-J950-L950-N950</ns0:f>
        <ns0:v>818504.7834002024</ns0:v>
      </ns0:c>
      <ns0:c r="R950" s="16">
        <ns0:f>P950-E950*'前提と出典'!$E$4</ns0:f>
        <ns0:v>1572818.6913560745</ns0:v>
      </ns0:c>
      <ns0:c r="S950" s="16">
        <ns0:f>Q950-F950*'前提と出典'!$E$4</ns0:f>
        <ns0:v>602988.3462602055</ns0:v>
      </ns0:c>
      <ns0:c r="T950" s="7">
        <ns0:f>R950+S950</ns0:f>
        <ns0:v>2175807.03761628</ns0:v>
      </ns0:c>
      <ns0:c r="U950" s="16">
        <ns0:f>P950-E950*'前提と出典'!$E$5</ns0:f>
        <ns0:v>1389772.9268291923</ns0:v>
      </ns0:c>
      <ns0:c r="V950" s="16">
        <ns0:f>Q950-F950*'前提と出典'!$E$5</ns0:f>
        <ns0:v>531149.5338802068</ns0:v>
      </ns0:c>
      <ns0:c r="W950" s="7">
        <ns0:f>U950+V950</ns0:f>
        <ns0:v>1920922.460709399</ns0:v>
      </ns0:c>
      <ns0:c r="X950" s="16">
        <ns0:f>P950-E950*'前提と出典'!$E$6</ns0:f>
        <ns0:v>1206727.162302311</ns0:v>
      </ns0:c>
      <ns0:c r="Y950" s="16">
        <ns0:f>Q950-F950*'前提と出典'!$E$6</ns0:f>
        <ns0:v>459310.7215002078</ns0:v>
      </ns0:c>
      <ns0:c r="Z950" s="7">
        <ns0:f>X950+Y950</ns0:f>
        <ns0:v>1666037.8838025187</ns0:v>
      </ns0:c>
      <ns0:c r="AA950" s="7">
        <ns0:f>IF(T950&gt;=0,A950,1001)</ns0:f>
        <ns0:v>946</ns0:v>
      </ns0:c>
      <ns0:c r="AB950" s="7">
        <ns0:f>IF(T950&lt;0,A950,0)</ns0:f>
        <ns0:v>0</ns0:v>
      </ns0:c>
      <ns0:c r="AC950" s="16">
        <ns0:f>IF(AND(OR('前提と出典'!$C$36+'前提と出典'!$C$38=0,R950&gt;=0),OR('前提と出典'!$C$37+'前提と出典'!$C$38=0,S950&gt;=0)),0,A950)</ns0:f>
        <ns0:v>0</ns0:v>
      </ns0:c>
      <ns0:c r="AD950" s="7">
        <ns0:f>IF(W950&gt;=0,A950,1001)</ns0:f>
        <ns0:v>946</ns0:v>
      </ns0:c>
      <ns0:c r="AE950" s="7">
        <ns0:f>IF(W950&lt;0,A950,0)</ns0:f>
        <ns0:v>0</ns0:v>
      </ns0:c>
      <ns0:c r="AF950" s="16">
        <ns0:f>IF(AND(OR('前提と出典'!$C$36+'前提と出典'!$C$38=0,U950&gt;=0),OR('前提と出典'!$C$37+'前提と出典'!$C$38=0,V950&gt;=0)),0,A950)</ns0:f>
        <ns0:v>0</ns0:v>
      </ns0:c>
      <ns0:c r="AG950" s="7">
        <ns0:f>IF(Z950&gt;=0,A950,1001)</ns0:f>
        <ns0:v>946</ns0:v>
      </ns0:c>
      <ns0:c r="AH950" s="4">
        <ns0:f>IF(Z950&lt;0,A950,0)</ns0:f>
        <ns0:v>0</ns0:v>
      </ns0:c>
      <ns0:c r="AI950" s="12">
        <ns0:f>IF(AND(OR('前提と出典'!$C$36+'前提と出典'!$C$38=0,X950&gt;=0),OR('前提と出典'!$C$37+'前提と出典'!$C$38=0,Y950&gt;=0)),0,A950)</ns0:f>
        <ns0:v>0</ns0:v>
      </ns0:c>
    </ns0:row>
    <ns0:row r="951" ht="24" customHeight="1">
      <ns0:c r="A951" s="4" t="n">
        <ns0:v>947</ns0:v>
      </ns0:c>
      <ns0:c r="B951" s="12">
        <ns0:f>A951*('前提と出典'!$C$36+'前提と出典'!$C$38)</ns0:f>
        <ns0:v>662.9</ns0:v>
      </ns0:c>
      <ns0:c r="C951" s="12">
        <ns0:f>A951*('前提と出典'!$C$37+'前提と出典'!$C$38)</ns0:f>
        <ns0:v>568.1999999999999</ns0:v>
      </ns0:c>
      <ns0:c r="D951" s="16">
        <ns0:f>A951*('前提と出典'!$C$36*'契約別単価'!C5+'前提と出典'!$C$37*'契約別単価'!C6+'前提と出典'!$C$38*'契約別単価'!C7)</ns0:f>
        <ns0:v>6814.167597765363</ns0:v>
      </ns0:c>
      <ns0:c r="E951" s="16">
        <ns0:f>A951*('前提と出典'!$C$36*'契約別単価'!E5+'前提と出典'!$C$37*'契約別単価'!E6+'前提と出典'!$C$38*'契約別単価'!E7)</ns0:f>
        <ns0:v>1832392.5899255506</ns0:v>
      </ns0:c>
      <ns0:c r="F951" s="16">
        <ns0:f>A951*('前提と出典'!$C$36*'契約別単価'!F5+'前提と出典'!$C$37*'契約別単価'!F6+'前提と出典'!$C$38*'契約別単価'!F7)</ns0:f>
        <ns0:v>719147.5192796933</ns0:v>
      </ns0:c>
      <ns0:c r="G951" s="16">
        <ns0:f>A951*('前提と出典'!$C$36*'契約別単価'!G5+'前提と出典'!$C$37*'契約別単価'!G6+'前提と出典'!$C$38*'契約別単価'!G7)</ns0:f>
        <ns0:v>1885006.1452513966</ns0:v>
      </ns0:c>
      <ns0:c r="H951" s="16">
        <ns0:f>A951*('前提と出典'!$C$36*'契約別単価'!H5+'前提と出典'!$C$37*'契約別単価'!H6+'前提と出典'!$C$38*'契約別単価'!H7)</ns0:f>
        <ns0:v>654191.6728895875</ns0:v>
      </ns0:c>
      <ns0:c r="I951" s="16">
        <ns0:f>A951*('前提と出典'!$C$36*'契約別単価'!I5+'前提と出典'!$C$37*'契約別単価'!I6+'前提と出典'!$C$38*'契約別単価'!I7)</ns0:f>
        <ns0:v>39959.16759776536</ns0:v>
      </ns0:c>
      <ns0:c r="J951" s="16">
        <ns0:f>A951*('前提と出典'!$C$36*'契約別単価'!J5+'前提と出典'!$C$37*'契約別単価'!J6+'前提と出典'!$C$38*'契約別単価'!J7)</ns0:f>
        <ns0:v>93080.19789365653</ns0:v>
      </ns0:c>
      <ns0:c r="K951" s="16">
        <ns0:f>A951*('前提と出典'!$C$36*'契約別単価'!K5+'前提と出典'!$C$37*'契約別単価'!K6+'前提と出典'!$C$38*'契約別単価'!K7)</ns0:f>
        <ns0:v>398974.45065176906</ns0:v>
      </ns0:c>
      <ns0:c r="L951" s="16">
        <ns0:f>A951*('前提と出典'!$C$36*'契約別単価'!L5+'前提と出典'!$C$37*'契約別単価'!L6+'前提と出典'!$C$38*'契約別単価'!L7)</ns0:f>
        <ns0:v>324846.38909631956</ns0:v>
      </ns0:c>
      <ns0:c r="M951" s="16">
        <ns0:f>IF(('前提と出典'!$C$36+'前提と出典'!$C$38)=0,0,IF(B951&lt;=10,'前提と出典'!B73+'前提と出典'!C73,IF(B951&lt;=100,'前提と出典'!B74+'前提と出典'!C74,IF(B951&lt;=500,'前提と出典'!B75+'前提と出典'!C75,'前提と出典'!B76+'前提と出典'!C76))))</ns0:f>
        <ns0:v>80000</ns0:v>
      </ns0:c>
      <ns0:c r="N951" s="16">
        <ns0:f>IF(('前提と出典'!$C$37+'前提と出典'!$C$38)=0,0,IF(C951&lt;=10,'前提と出典'!D73+'前提と出典'!E73,IF(C951&lt;=100,'前提と出典'!D74+'前提と出典'!E74,IF(C951&lt;=500,'前提と出典'!D75+'前提と出典'!E75,'前提と出典'!D76+'前提と出典'!E76))))</ns0:f>
        <ns0:v>86510.9346263078</ns0:v>
      </ns0:c>
      <ns0:c r="O951" s="16">
        <ns0:f>IF('前提と出典'!$C$36+'前提と出典'!$C$38=0,0,'前提と出典'!$B$4*IF('前提と出典'!$B$20=0,MAX('前提と出典'!$B$6,D951*'前提と出典'!$B$5),'前提と出典'!$B$6+D951*'前提と出典'!$B$5))</ns0:f>
        <ns0:v>940355.1284916202</ns0:v>
      </ns0:c>
      <ns0:c r="P951" s="16">
        <ns0:f>(E951+G951)*(1-'前提と出典'!$B$7)-I951-K951-M951-O951</ns0:f>
        <ns0:v>2124283.633969422</ns0:v>
      </ns0:c>
      <ns0:c r="Q951" s="16">
        <ns0:f>(F951+H951)*(1-'前提と出典'!$B$7)-J951-L951-N951</ns0:f>
        <ns0:v>819461.4596349027</ns0:v>
      </ns0:c>
      <ns0:c r="R951" s="16">
        <ns0:f>P951-E951*'前提と出典'!$E$4</ns0:f>
        <ns0:v>1574565.8569917572</ns0:v>
      </ns0:c>
      <ns0:c r="S951" s="16">
        <ns0:f>Q951-F951*'前提と出典'!$E$4</ns0:f>
        <ns0:v>603717.2038509947</ns0:v>
      </ns0:c>
      <ns0:c r="T951" s="7">
        <ns0:f>R951+S951</ns0:f>
        <ns0:v>2178283.060842752</ns0:v>
      </ns0:c>
      <ns0:c r="U951" s="16">
        <ns0:f>P951-E951*'前提と出典'!$E$5</ns0:f>
        <ns0:v>1391326.5979992016</ns0:v>
      </ns0:c>
      <ns0:c r="V951" s="16">
        <ns0:f>Q951-F951*'前提と出典'!$E$5</ns0:f>
        <ns0:v>531802.4519230253</ns0:v>
      </ns0:c>
      <ns0:c r="W951" s="7">
        <ns0:f>U951+V951</ns0:f>
        <ns0:v>1923129.049922227</ns0:v>
      </ns0:c>
      <ns0:c r="X951" s="16">
        <ns0:f>P951-E951*'前提と出典'!$E$6</ns0:f>
        <ns0:v>1208087.339006647</ns0:v>
      </ns0:c>
      <ns0:c r="Y951" s="16">
        <ns0:f>Q951-F951*'前提と出典'!$E$6</ns0:f>
        <ns0:v>459887.699995056</ns0:v>
      </ns0:c>
      <ns0:c r="Z951" s="7">
        <ns0:f>X951+Y951</ns0:f>
        <ns0:v>1667975.039001703</ns0:v>
      </ns0:c>
      <ns0:c r="AA951" s="7">
        <ns0:f>IF(T951&gt;=0,A951,1001)</ns0:f>
        <ns0:v>947</ns0:v>
      </ns0:c>
      <ns0:c r="AB951" s="7">
        <ns0:f>IF(T951&lt;0,A951,0)</ns0:f>
        <ns0:v>0</ns0:v>
      </ns0:c>
      <ns0:c r="AC951" s="16">
        <ns0:f>IF(AND(OR('前提と出典'!$C$36+'前提と出典'!$C$38=0,R951&gt;=0),OR('前提と出典'!$C$37+'前提と出典'!$C$38=0,S951&gt;=0)),0,A951)</ns0:f>
        <ns0:v>0</ns0:v>
      </ns0:c>
      <ns0:c r="AD951" s="7">
        <ns0:f>IF(W951&gt;=0,A951,1001)</ns0:f>
        <ns0:v>947</ns0:v>
      </ns0:c>
      <ns0:c r="AE951" s="7">
        <ns0:f>IF(W951&lt;0,A951,0)</ns0:f>
        <ns0:v>0</ns0:v>
      </ns0:c>
      <ns0:c r="AF951" s="16">
        <ns0:f>IF(AND(OR('前提と出典'!$C$36+'前提と出典'!$C$38=0,U951&gt;=0),OR('前提と出典'!$C$37+'前提と出典'!$C$38=0,V951&gt;=0)),0,A951)</ns0:f>
        <ns0:v>0</ns0:v>
      </ns0:c>
      <ns0:c r="AG951" s="7">
        <ns0:f>IF(Z951&gt;=0,A951,1001)</ns0:f>
        <ns0:v>947</ns0:v>
      </ns0:c>
      <ns0:c r="AH951" s="4">
        <ns0:f>IF(Z951&lt;0,A951,0)</ns0:f>
        <ns0:v>0</ns0:v>
      </ns0:c>
      <ns0:c r="AI951" s="12">
        <ns0:f>IF(AND(OR('前提と出典'!$C$36+'前提と出典'!$C$38=0,X951&gt;=0),OR('前提と出典'!$C$37+'前提と出典'!$C$38=0,Y951&gt;=0)),0,A951)</ns0:f>
        <ns0:v>0</ns0:v>
      </ns0:c>
    </ns0:row>
    <ns0:row r="952" ht="24" customHeight="1">
      <ns0:c r="A952" s="4" t="n">
        <ns0:v>948</ns0:v>
      </ns0:c>
      <ns0:c r="B952" s="12">
        <ns0:f>A952*('前提と出典'!$C$36+'前提と出典'!$C$38)</ns0:f>
        <ns0:v>663.5999999999999</ns0:v>
      </ns0:c>
      <ns0:c r="C952" s="12">
        <ns0:f>A952*('前提と出典'!$C$37+'前提と出典'!$C$38)</ns0:f>
        <ns0:v>568.8</ns0:v>
      </ns0:c>
      <ns0:c r="D952" s="16">
        <ns0:f>A952*('前提と出典'!$C$36*'契約別単価'!C5+'前提と出典'!$C$37*'契約別単価'!C6+'前提と出典'!$C$38*'契約別単価'!C7)</ns0:f>
        <ns0:v>6821.36312849162</ns0:v>
      </ns0:c>
      <ns0:c r="E952" s="16">
        <ns0:f>A952*('前提と出典'!$C$36*'契約別単価'!E5+'前提と出典'!$C$37*'契約別単価'!E6+'前提と出典'!$C$38*'契約別単価'!E7)</ns0:f>
        <ns0:v>1834327.5345822829</ns0:v>
      </ns0:c>
      <ns0:c r="F952" s="16">
        <ns0:f>A952*('前提と出典'!$C$36*'契約別単価'!F5+'前提と出典'!$C$37*'契約別単価'!F6+'前提と出典'!$C$38*'契約別単価'!F7)</ns0:f>
        <ns0:v>719906.9147593973</ns0:v>
      </ns0:c>
      <ns0:c r="G952" s="16">
        <ns0:f>A952*('前提と出典'!$C$36*'契約別単価'!G5+'前提と出典'!$C$37*'契約別単価'!G6+'前提と出典'!$C$38*'契約別単価'!G7)</ns0:f>
        <ns0:v>1886996.6480446926</ns0:v>
      </ns0:c>
      <ns0:c r="H952" s="16">
        <ns0:f>A952*('前提と出典'!$C$36*'契約別単価'!H5+'前提と出典'!$C$37*'契約別単価'!H6+'前提と出典'!$C$38*'契約別単価'!H7)</ns0:f>
        <ns0:v>654882.4771904212</ns0:v>
      </ns0:c>
      <ns0:c r="I952" s="16">
        <ns0:f>A952*('前提と出典'!$C$36*'契約別単価'!I5+'前提と出典'!$C$37*'契約別単価'!I6+'前提と出典'!$C$38*'契約別単価'!I7)</ns0:f>
        <ns0:v>40001.36312849161</ns0:v>
      </ns0:c>
      <ns0:c r="J952" s="16">
        <ns0:f>A952*('前提と出典'!$C$36*'契約別単価'!J5+'前提と出典'!$C$37*'契約別単価'!J6+'前提と出典'!$C$38*'契約別単価'!J7)</ns0:f>
        <ns0:v>93178.48743736683</ns0:v>
      </ns0:c>
      <ns0:c r="K952" s="16">
        <ns0:f>A952*('前提と出典'!$C$36*'契約別単価'!K5+'前提と出典'!$C$37*'契約別単価'!K6+'前提と出典'!$C$38*'契約別単価'!K7)</ns0:f>
        <ns0:v>399395.7541899441</ns0:v>
      </ns0:c>
      <ns0:c r="L952" s="16">
        <ns0:f>A952*('前提と出典'!$C$36*'契約別単価'!L5+'前提と出典'!$C$37*'契約別単価'!L6+'前提と出典'!$C$38*'契約別単価'!L7)</ns0:f>
        <ns0:v>325189.4159063474</ns0:v>
      </ns0:c>
      <ns0:c r="M952" s="16">
        <ns0:f>IF(('前提と出典'!$C$36+'前提と出典'!$C$38)=0,0,IF(B952&lt;=10,'前提と出典'!B73+'前提と出典'!C73,IF(B952&lt;=100,'前提と出典'!B74+'前提と出典'!C74,IF(B952&lt;=500,'前提と出典'!B75+'前提と出典'!C75,'前提と出典'!B76+'前提と出典'!C76))))</ns0:f>
        <ns0:v>80000</ns0:v>
      </ns0:c>
      <ns0:c r="N952" s="16">
        <ns0:f>IF(('前提と出典'!$C$37+'前提と出典'!$C$38)=0,0,IF(C952&lt;=10,'前提と出典'!D73+'前提と出典'!E73,IF(C952&lt;=100,'前提と出典'!D74+'前提と出典'!E74,IF(C952&lt;=500,'前提と出典'!D75+'前提と出典'!E75,'前提と出典'!D76+'前提と出典'!E76))))</ns0:f>
        <ns0:v>86510.9346263078</ns0:v>
      </ns0:c>
      <ns0:c r="O952" s="16">
        <ns0:f>IF('前提と出典'!$C$36+'前提と出典'!$C$38=0,0,'前提と出典'!$B$4*IF('前提と出典'!$B$20=0,MAX('前提と出典'!$B$6,D952*'前提と出典'!$B$5),'前提と出典'!$B$6+D952*'前提と出典'!$B$5))</ns0:f>
        <ns0:v>941348.1117318437</ns0:v>
      </ns0:c>
      <ns0:c r="P952" s="16">
        <ns0:f>(E952+G952)*(1-'前提と出典'!$B$7)-I952-K952-M952-O952</ns0:f>
        <ns0:v>2126611.283002125</ns0:v>
      </ns0:c>
      <ns0:c r="Q952" s="16">
        <ns0:f>(F952+H952)*(1-'前提と出典'!$B$7)-J952-L952-N952</ns0:f>
        <ns0:v>820418.135869603</ns0:v>
      </ns0:c>
      <ns0:c r="R952" s="16">
        <ns0:f>P952-E952*'前提と出典'!$E$4</ns0:f>
        <ns0:v>1576313.0226274407</ns0:v>
      </ns0:c>
      <ns0:c r="S952" s="16">
        <ns0:f>Q952-F952*'前提と出典'!$E$4</ns0:f>
        <ns0:v>604446.0614417838</ns0:v>
      </ns0:c>
      <ns0:c r="T952" s="7">
        <ns0:f>R952+S952</ns0:f>
        <ns0:v>2180759.0840692245</ns0:v>
      </ns0:c>
      <ns0:c r="U952" s="16">
        <ns0:f>P952-E952*'前提と出典'!$E$5</ns0:f>
        <ns0:v>1392880.2691692119</ns0:v>
      </ns0:c>
      <ns0:c r="V952" s="16">
        <ns0:f>Q952-F952*'前提と出典'!$E$5</ns0:f>
        <ns0:v>532455.3699658441</ns0:v>
      </ns0:c>
      <ns0:c r="W952" s="7">
        <ns0:f>U952+V952</ns0:f>
        <ns0:v>1925335.639135056</ns0:v>
      </ns0:c>
      <ns0:c r="X952" s="16">
        <ns0:f>P952-E952*'前提と出典'!$E$6</ns0:f>
        <ns0:v>1209447.515710984</ns0:v>
      </ns0:c>
      <ns0:c r="Y952" s="16">
        <ns0:f>Q952-F952*'前提と出典'!$E$6</ns0:f>
        <ns0:v>460464.6784899044</ns0:v>
      </ns0:c>
      <ns0:c r="Z952" s="7">
        <ns0:f>X952+Y952</ns0:f>
        <ns0:v>1669912.1942008883</ns0:v>
      </ns0:c>
      <ns0:c r="AA952" s="7">
        <ns0:f>IF(T952&gt;=0,A952,1001)</ns0:f>
        <ns0:v>948</ns0:v>
      </ns0:c>
      <ns0:c r="AB952" s="7">
        <ns0:f>IF(T952&lt;0,A952,0)</ns0:f>
        <ns0:v>0</ns0:v>
      </ns0:c>
      <ns0:c r="AC952" s="16">
        <ns0:f>IF(AND(OR('前提と出典'!$C$36+'前提と出典'!$C$38=0,R952&gt;=0),OR('前提と出典'!$C$37+'前提と出典'!$C$38=0,S952&gt;=0)),0,A952)</ns0:f>
        <ns0:v>0</ns0:v>
      </ns0:c>
      <ns0:c r="AD952" s="7">
        <ns0:f>IF(W952&gt;=0,A952,1001)</ns0:f>
        <ns0:v>948</ns0:v>
      </ns0:c>
      <ns0:c r="AE952" s="7">
        <ns0:f>IF(W952&lt;0,A952,0)</ns0:f>
        <ns0:v>0</ns0:v>
      </ns0:c>
      <ns0:c r="AF952" s="16">
        <ns0:f>IF(AND(OR('前提と出典'!$C$36+'前提と出典'!$C$38=0,U952&gt;=0),OR('前提と出典'!$C$37+'前提と出典'!$C$38=0,V952&gt;=0)),0,A952)</ns0:f>
        <ns0:v>0</ns0:v>
      </ns0:c>
      <ns0:c r="AG952" s="7">
        <ns0:f>IF(Z952&gt;=0,A952,1001)</ns0:f>
        <ns0:v>948</ns0:v>
      </ns0:c>
      <ns0:c r="AH952" s="4">
        <ns0:f>IF(Z952&lt;0,A952,0)</ns0:f>
        <ns0:v>0</ns0:v>
      </ns0:c>
      <ns0:c r="AI952" s="12">
        <ns0:f>IF(AND(OR('前提と出典'!$C$36+'前提と出典'!$C$38=0,X952&gt;=0),OR('前提と出典'!$C$37+'前提と出典'!$C$38=0,Y952&gt;=0)),0,A952)</ns0:f>
        <ns0:v>0</ns0:v>
      </ns0:c>
    </ns0:row>
    <ns0:row r="953" ht="24" customHeight="1">
      <ns0:c r="A953" s="4" t="n">
        <ns0:v>949</ns0:v>
      </ns0:c>
      <ns0:c r="B953" s="12">
        <ns0:f>A953*('前提と出典'!$C$36+'前提と出典'!$C$38)</ns0:f>
        <ns0:v>664.3</ns0:v>
      </ns0:c>
      <ns0:c r="C953" s="12">
        <ns0:f>A953*('前提と出典'!$C$37+'前提と出典'!$C$38)</ns0:f>
        <ns0:v>569.4</ns0:v>
      </ns0:c>
      <ns0:c r="D953" s="16">
        <ns0:f>A953*('前提と出典'!$C$36*'契約別単価'!C5+'前提と出典'!$C$37*'契約別単価'!C6+'前提と出典'!$C$38*'契約別単価'!C7)</ns0:f>
        <ns0:v>6828.558659217877</ns0:v>
      </ns0:c>
      <ns0:c r="E953" s="16">
        <ns0:f>A953*('前提と出典'!$C$36*'契約別単価'!E5+'前提と出典'!$C$37*'契約別単価'!E6+'前提と出典'!$C$38*'契約別単価'!E7)</ns0:f>
        <ns0:v>1836262.4792390154</ns0:v>
      </ns0:c>
      <ns0:c r="F953" s="16">
        <ns0:f>A953*('前提と出典'!$C$36*'契約別単価'!F5+'前提と出典'!$C$37*'契約別単価'!F6+'前提と出典'!$C$38*'契約別単価'!F7)</ns0:f>
        <ns0:v>720666.3102391013</ns0:v>
      </ns0:c>
      <ns0:c r="G953" s="16">
        <ns0:f>A953*('前提と出典'!$C$36*'契約別単価'!G5+'前提と出典'!$C$37*'契約別単価'!G6+'前提と出典'!$C$38*'契約別単価'!G7)</ns0:f>
        <ns0:v>1888987.1508379888</ns0:v>
      </ns0:c>
      <ns0:c r="H953" s="16">
        <ns0:f>A953*('前提と出典'!$C$36*'契約別単価'!H5+'前提と出典'!$C$37*'契約別単価'!H6+'前提と出典'!$C$38*'契約別単価'!H7)</ns0:f>
        <ns0:v>655573.281491255</ns0:v>
      </ns0:c>
      <ns0:c r="I953" s="16">
        <ns0:f>A953*('前提と出典'!$C$36*'契約別単価'!I5+'前提と出典'!$C$37*'契約別単価'!I6+'前提と出典'!$C$38*'契約別単価'!I7)</ns0:f>
        <ns0:v>40043.55865921787</ns0:v>
      </ns0:c>
      <ns0:c r="J953" s="16">
        <ns0:f>A953*('前提と出典'!$C$36*'契約別単価'!J5+'前提と出典'!$C$37*'契約別単価'!J6+'前提と出典'!$C$38*'契約別単価'!J7)</ns0:f>
        <ns0:v>93276.77698107714</ns0:v>
      </ns0:c>
      <ns0:c r="K953" s="16">
        <ns0:f>A953*('前提と出典'!$C$36*'契約別単価'!K5+'前提と出典'!$C$37*'契約別単価'!K6+'前提と出典'!$C$38*'契約別単価'!K7)</ns0:f>
        <ns0:v>399817.05772811914</ns0:v>
      </ns0:c>
      <ns0:c r="L953" s="16">
        <ns0:f>A953*('前提と出典'!$C$36*'契約別単価'!L5+'前提と出典'!$C$37*'契約別単価'!L6+'前提と出典'!$C$38*'契約別単価'!L7)</ns0:f>
        <ns0:v>325532.44271637517</ns0:v>
      </ns0:c>
      <ns0:c r="M953" s="16">
        <ns0:f>IF(('前提と出典'!$C$36+'前提と出典'!$C$38)=0,0,IF(B953&lt;=10,'前提と出典'!B73+'前提と出典'!C73,IF(B953&lt;=100,'前提と出典'!B74+'前提と出典'!C74,IF(B953&lt;=500,'前提と出典'!B75+'前提と出典'!C75,'前提と出典'!B76+'前提と出典'!C76))))</ns0:f>
        <ns0:v>80000</ns0:v>
      </ns0:c>
      <ns0:c r="N953" s="16">
        <ns0:f>IF(('前提と出典'!$C$37+'前提と出典'!$C$38)=0,0,IF(C953&lt;=10,'前提と出典'!D73+'前提と出典'!E73,IF(C953&lt;=100,'前提と出典'!D74+'前提と出典'!E74,IF(C953&lt;=500,'前提と出典'!D75+'前提と出典'!E75,'前提と出典'!D76+'前提と出典'!E76))))</ns0:f>
        <ns0:v>86510.9346263078</ns0:v>
      </ns0:c>
      <ns0:c r="O953" s="16">
        <ns0:f>IF('前提と出典'!$C$36+'前提と出典'!$C$38=0,0,'前提と出典'!$B$4*IF('前提と出典'!$B$20=0,MAX('前提と出典'!$B$6,D953*'前提と出典'!$B$5),'前提と出典'!$B$6+D953*'前提と出典'!$B$5))</ns0:f>
        <ns0:v>942341.094972067</ns0:v>
      </ns0:c>
      <ns0:c r="P953" s="16">
        <ns0:f>(E953+G953)*(1-'前提と出典'!$B$7)-I953-K953-M953-O953</ns0:f>
        <ns0:v>2128938.9320348282</ns0:v>
      </ns0:c>
      <ns0:c r="Q953" s="16">
        <ns0:f>(F953+H953)*(1-'前提と出典'!$B$7)-J953-L953-N953</ns0:f>
        <ns0:v>821374.8121043032</ns0:v>
      </ns0:c>
      <ns0:c r="R953" s="16">
        <ns0:f>P953-E953*'前提と出典'!$E$4</ns0:f>
        <ns0:v>1578060.1882631234</ns0:v>
      </ns0:c>
      <ns0:c r="S953" s="16">
        <ns0:f>Q953-F953*'前提と出典'!$E$4</ns0:f>
        <ns0:v>605174.9190325728</ns0:v>
      </ns0:c>
      <ns0:c r="T953" s="7">
        <ns0:f>R953+S953</ns0:f>
        <ns0:v>2183235.107295696</ns0:v>
      </ns0:c>
      <ns0:c r="U953" s="16">
        <ns0:f>P953-E953*'前提と出典'!$E$5</ns0:f>
        <ns0:v>1394433.940339222</ns0:v>
      </ns0:c>
      <ns0:c r="V953" s="16">
        <ns0:f>Q953-F953*'前提と出典'!$E$5</ns0:f>
        <ns0:v>533108.2880086626</ns0:v>
      </ns0:c>
      <ns0:c r="W953" s="7">
        <ns0:f>U953+V953</ns0:f>
        <ns0:v>1927542.2283478847</ns0:v>
      </ns0:c>
      <ns0:c r="X953" s="16">
        <ns0:f>P953-E953*'前提と出典'!$E$6</ns0:f>
        <ns0:v>1210807.6924153208</ns0:v>
      </ns0:c>
      <ns0:c r="Y953" s="16">
        <ns0:f>Q953-F953*'前提と出典'!$E$6</ns0:f>
        <ns0:v>461041.6569847525</ns0:v>
      </ns0:c>
      <ns0:c r="Z953" s="7">
        <ns0:f>X953+Y953</ns0:f>
        <ns0:v>1671849.3494000733</ns0:v>
      </ns0:c>
      <ns0:c r="AA953" s="7">
        <ns0:f>IF(T953&gt;=0,A953,1001)</ns0:f>
        <ns0:v>949</ns0:v>
      </ns0:c>
      <ns0:c r="AB953" s="7">
        <ns0:f>IF(T953&lt;0,A953,0)</ns0:f>
        <ns0:v>0</ns0:v>
      </ns0:c>
      <ns0:c r="AC953" s="16">
        <ns0:f>IF(AND(OR('前提と出典'!$C$36+'前提と出典'!$C$38=0,R953&gt;=0),OR('前提と出典'!$C$37+'前提と出典'!$C$38=0,S953&gt;=0)),0,A953)</ns0:f>
        <ns0:v>0</ns0:v>
      </ns0:c>
      <ns0:c r="AD953" s="7">
        <ns0:f>IF(W953&gt;=0,A953,1001)</ns0:f>
        <ns0:v>949</ns0:v>
      </ns0:c>
      <ns0:c r="AE953" s="7">
        <ns0:f>IF(W953&lt;0,A953,0)</ns0:f>
        <ns0:v>0</ns0:v>
      </ns0:c>
      <ns0:c r="AF953" s="16">
        <ns0:f>IF(AND(OR('前提と出典'!$C$36+'前提と出典'!$C$38=0,U953&gt;=0),OR('前提と出典'!$C$37+'前提と出典'!$C$38=0,V953&gt;=0)),0,A953)</ns0:f>
        <ns0:v>0</ns0:v>
      </ns0:c>
      <ns0:c r="AG953" s="7">
        <ns0:f>IF(Z953&gt;=0,A953,1001)</ns0:f>
        <ns0:v>949</ns0:v>
      </ns0:c>
      <ns0:c r="AH953" s="4">
        <ns0:f>IF(Z953&lt;0,A953,0)</ns0:f>
        <ns0:v>0</ns0:v>
      </ns0:c>
      <ns0:c r="AI953" s="12">
        <ns0:f>IF(AND(OR('前提と出典'!$C$36+'前提と出典'!$C$38=0,X953&gt;=0),OR('前提と出典'!$C$37+'前提と出典'!$C$38=0,Y953&gt;=0)),0,A953)</ns0:f>
        <ns0:v>0</ns0:v>
      </ns0:c>
    </ns0:row>
    <ns0:row r="954" ht="24" customHeight="1">
      <ns0:c r="A954" s="4" t="n">
        <ns0:v>950</ns0:v>
      </ns0:c>
      <ns0:c r="B954" s="12">
        <ns0:f>A954*('前提と出典'!$C$36+'前提と出典'!$C$38)</ns0:f>
        <ns0:v>665</ns0:v>
      </ns0:c>
      <ns0:c r="C954" s="12">
        <ns0:f>A954*('前提と出典'!$C$37+'前提と出典'!$C$38)</ns0:f>
        <ns0:v>570</ns0:v>
      </ns0:c>
      <ns0:c r="D954" s="16">
        <ns0:f>A954*('前提と出典'!$C$36*'契約別単価'!C5+'前提と出典'!$C$37*'契約別単価'!C6+'前提と出典'!$C$38*'契約別単価'!C7)</ns0:f>
        <ns0:v>6835.754189944134</ns0:v>
      </ns0:c>
      <ns0:c r="E954" s="16">
        <ns0:f>A954*('前提と出典'!$C$36*'契約別単価'!E5+'前提と出典'!$C$37*'契約別単価'!E6+'前提と出典'!$C$38*'契約別単価'!E7)</ns0:f>
        <ns0:v>1838197.4238957476</ns0:v>
      </ns0:c>
      <ns0:c r="F954" s="16">
        <ns0:f>A954*('前提と出典'!$C$36*'契約別単価'!F5+'前提と出典'!$C$37*'契約別単価'!F6+'前提と出典'!$C$38*'契約別単価'!F7)</ns0:f>
        <ns0:v>721425.7057188053</ns0:v>
      </ns0:c>
      <ns0:c r="G954" s="16">
        <ns0:f>A954*('前提と出典'!$C$36*'契約別単価'!G5+'前提と出典'!$C$37*'契約別単価'!G6+'前提と出典'!$C$38*'契約別単価'!G7)</ns0:f>
        <ns0:v>1890977.6536312848</ns0:v>
      </ns0:c>
      <ns0:c r="H954" s="16">
        <ns0:f>A954*('前提と出典'!$C$36*'契約別単価'!H5+'前提と出典'!$C$37*'契約別単価'!H6+'前提と出典'!$C$38*'契約別単価'!H7)</ns0:f>
        <ns0:v>656264.0857920888</ns0:v>
      </ns0:c>
      <ns0:c r="I954" s="16">
        <ns0:f>A954*('前提と出典'!$C$36*'契約別単価'!I5+'前提と出典'!$C$37*'契約別単価'!I6+'前提と出典'!$C$38*'契約別単価'!I7)</ns0:f>
        <ns0:v>40085.75418994413</ns0:v>
      </ns0:c>
      <ns0:c r="J954" s="16">
        <ns0:f>A954*('前提と出典'!$C$36*'契約別単価'!J5+'前提と出典'!$C$37*'契約別単価'!J6+'前提と出典'!$C$38*'契約別単価'!J7)</ns0:f>
        <ns0:v>93375.06652478744</ns0:v>
      </ns0:c>
      <ns0:c r="K954" s="16">
        <ns0:f>A954*('前提と出典'!$C$36*'契約別単価'!K5+'前提と出典'!$C$37*'契約別単価'!K6+'前提と出典'!$C$38*'契約別単価'!K7)</ns0:f>
        <ns0:v>400238.3612662942</ns0:v>
      </ns0:c>
      <ns0:c r="L954" s="16">
        <ns0:f>A954*('前提と出典'!$C$36*'契約別単価'!L5+'前提と出典'!$C$37*'契約別単価'!L6+'前提と出典'!$C$38*'契約別単価'!L7)</ns0:f>
        <ns0:v>325875.46952640294</ns0:v>
      </ns0:c>
      <ns0:c r="M954" s="16">
        <ns0:f>IF(('前提と出典'!$C$36+'前提と出典'!$C$38)=0,0,IF(B954&lt;=10,'前提と出典'!B73+'前提と出典'!C73,IF(B954&lt;=100,'前提と出典'!B74+'前提と出典'!C74,IF(B954&lt;=500,'前提と出典'!B75+'前提と出典'!C75,'前提と出典'!B76+'前提と出典'!C76))))</ns0:f>
        <ns0:v>80000</ns0:v>
      </ns0:c>
      <ns0:c r="N954" s="16">
        <ns0:f>IF(('前提と出典'!$C$37+'前提と出典'!$C$38)=0,0,IF(C954&lt;=10,'前提と出典'!D73+'前提と出典'!E73,IF(C954&lt;=100,'前提と出典'!D74+'前提と出典'!E74,IF(C954&lt;=500,'前提と出典'!D75+'前提と出典'!E75,'前提と出典'!D76+'前提と出典'!E76))))</ns0:f>
        <ns0:v>86510.9346263078</ns0:v>
      </ns0:c>
      <ns0:c r="O954" s="16">
        <ns0:f>IF('前提と出典'!$C$36+'前提と出典'!$C$38=0,0,'前提と出典'!$B$4*IF('前提と出典'!$B$20=0,MAX('前提と出典'!$B$6,D954*'前提と出典'!$B$5),'前提と出典'!$B$6+D954*'前提と出典'!$B$5))</ns0:f>
        <ns0:v>943334.0782122905</ns0:v>
      </ns0:c>
      <ns0:c r="P954" s="16">
        <ns0:f>(E954+G954)*(1-'前提と出典'!$B$7)-I954-K954-M954-O954</ns0:f>
        <ns0:v>2131266.58106753</ns0:v>
      </ns0:c>
      <ns0:c r="Q954" s="16">
        <ns0:f>(F954+H954)*(1-'前提と出典'!$B$7)-J954-L954-N954</ns0:f>
        <ns0:v>822331.4883390036</ns0:v>
      </ns0:c>
      <ns0:c r="R954" s="16">
        <ns0:f>P954-E954*'前提と出典'!$E$4</ns0:f>
        <ns0:v>1579807.3538988056</ns0:v>
      </ns0:c>
      <ns0:c r="S954" s="16">
        <ns0:f>Q954-F954*'前提と出典'!$E$4</ns0:f>
        <ns0:v>605903.7766233617</ns0:v>
      </ns0:c>
      <ns0:c r="T954" s="7">
        <ns0:f>R954+S954</ns0:f>
        <ns0:v>2185711.1305221673</ns0:v>
      </ns0:c>
      <ns0:c r="U954" s="16">
        <ns0:f>P954-E954*'前提と出典'!$E$5</ns0:f>
        <ns0:v>1395987.611509231</ns0:v>
      </ns0:c>
      <ns0:c r="V954" s="16">
        <ns0:f>Q954-F954*'前提と出典'!$E$5</ns0:f>
        <ns0:v>533761.2060514814</ns0:v>
      </ns0:c>
      <ns0:c r="W954" s="7">
        <ns0:f>U954+V954</ns0:f>
        <ns0:v>1929748.8175607123</ns0:v>
      </ns0:c>
      <ns0:c r="X954" s="16">
        <ns0:f>P954-E954*'前提と出典'!$E$6</ns0:f>
        <ns0:v>1212167.8691196563</ns0:v>
      </ns0:c>
      <ns0:c r="Y954" s="16">
        <ns0:f>Q954-F954*'前提と出典'!$E$6</ns0:f>
        <ns0:v>461618.63547960087</ns0:v>
      </ns0:c>
      <ns0:c r="Z954" s="7">
        <ns0:f>X954+Y954</ns0:f>
        <ns0:v>1673786.5045992571</ns0:v>
      </ns0:c>
      <ns0:c r="AA954" s="7">
        <ns0:f>IF(T954&gt;=0,A954,1001)</ns0:f>
        <ns0:v>950</ns0:v>
      </ns0:c>
      <ns0:c r="AB954" s="7">
        <ns0:f>IF(T954&lt;0,A954,0)</ns0:f>
        <ns0:v>0</ns0:v>
      </ns0:c>
      <ns0:c r="AC954" s="16">
        <ns0:f>IF(AND(OR('前提と出典'!$C$36+'前提と出典'!$C$38=0,R954&gt;=0),OR('前提と出典'!$C$37+'前提と出典'!$C$38=0,S954&gt;=0)),0,A954)</ns0:f>
        <ns0:v>0</ns0:v>
      </ns0:c>
      <ns0:c r="AD954" s="7">
        <ns0:f>IF(W954&gt;=0,A954,1001)</ns0:f>
        <ns0:v>950</ns0:v>
      </ns0:c>
      <ns0:c r="AE954" s="7">
        <ns0:f>IF(W954&lt;0,A954,0)</ns0:f>
        <ns0:v>0</ns0:v>
      </ns0:c>
      <ns0:c r="AF954" s="16">
        <ns0:f>IF(AND(OR('前提と出典'!$C$36+'前提と出典'!$C$38=0,U954&gt;=0),OR('前提と出典'!$C$37+'前提と出典'!$C$38=0,V954&gt;=0)),0,A954)</ns0:f>
        <ns0:v>0</ns0:v>
      </ns0:c>
      <ns0:c r="AG954" s="7">
        <ns0:f>IF(Z954&gt;=0,A954,1001)</ns0:f>
        <ns0:v>950</ns0:v>
      </ns0:c>
      <ns0:c r="AH954" s="4">
        <ns0:f>IF(Z954&lt;0,A954,0)</ns0:f>
        <ns0:v>0</ns0:v>
      </ns0:c>
      <ns0:c r="AI954" s="12">
        <ns0:f>IF(AND(OR('前提と出典'!$C$36+'前提と出典'!$C$38=0,X954&gt;=0),OR('前提と出典'!$C$37+'前提と出典'!$C$38=0,Y954&gt;=0)),0,A954)</ns0:f>
        <ns0:v>0</ns0:v>
      </ns0:c>
    </ns0:row>
    <ns0:row r="955" ht="24" customHeight="1">
      <ns0:c r="A955" s="4" t="n">
        <ns0:v>951</ns0:v>
      </ns0:c>
      <ns0:c r="B955" s="12">
        <ns0:f>A955*('前提と出典'!$C$36+'前提と出典'!$C$38)</ns0:f>
        <ns0:v>665.6999999999999</ns0:v>
      </ns0:c>
      <ns0:c r="C955" s="12">
        <ns0:f>A955*('前提と出典'!$C$37+'前提と出典'!$C$38)</ns0:f>
        <ns0:v>570.6</ns0:v>
      </ns0:c>
      <ns0:c r="D955" s="16">
        <ns0:f>A955*('前提と出典'!$C$36*'契約別単価'!C5+'前提と出典'!$C$37*'契約別単価'!C6+'前提と出典'!$C$38*'契約別単価'!C7)</ns0:f>
        <ns0:v>6842.949720670391</ns0:v>
      </ns0:c>
      <ns0:c r="E955" s="16">
        <ns0:f>A955*('前提と出典'!$C$36*'契約別単価'!E5+'前提と出典'!$C$37*'契約別単価'!E6+'前提と出典'!$C$38*'契約別単価'!E7)</ns0:f>
        <ns0:v>1840132.3685524801</ns0:v>
      </ns0:c>
      <ns0:c r="F955" s="16">
        <ns0:f>A955*('前提と出典'!$C$36*'契約別単価'!F5+'前提と出典'!$C$37*'契約別単価'!F6+'前提と出典'!$C$38*'契約別単価'!F7)</ns0:f>
        <ns0:v>722185.1011985092</ns0:v>
      </ns0:c>
      <ns0:c r="G955" s="16">
        <ns0:f>A955*('前提と出典'!$C$36*'契約別単価'!G5+'前提と出典'!$C$37*'契約別単価'!G6+'前提と出典'!$C$38*'契約別単価'!G7)</ns0:f>
        <ns0:v>1892968.1564245808</ns0:v>
      </ns0:c>
      <ns0:c r="H955" s="16">
        <ns0:f>A955*('前提と出典'!$C$36*'契約別単価'!H5+'前提と出典'!$C$37*'契約別単価'!H6+'前提と出典'!$C$38*'契約別単価'!H7)</ns0:f>
        <ns0:v>656954.8900929226</ns0:v>
      </ns0:c>
      <ns0:c r="I955" s="16">
        <ns0:f>A955*('前提と出典'!$C$36*'契約別単価'!I5+'前提と出典'!$C$37*'契約別単価'!I6+'前提と出典'!$C$38*'契約別単価'!I7)</ns0:f>
        <ns0:v>40127.94972067038</ns0:v>
      </ns0:c>
      <ns0:c r="J955" s="16">
        <ns0:f>A955*('前提と出典'!$C$36*'契約別単価'!J5+'前提と出典'!$C$37*'契約別単価'!J6+'前提と出典'!$C$38*'契約別単価'!J7)</ns0:f>
        <ns0:v>93473.35606849774</ns0:v>
      </ns0:c>
      <ns0:c r="K955" s="16">
        <ns0:f>A955*('前提と出典'!$C$36*'契約別単価'!K5+'前提と出典'!$C$37*'契約別単価'!K6+'前提と出典'!$C$38*'契約別単価'!K7)</ns0:f>
        <ns0:v>400659.66480446927</ns0:v>
      </ns0:c>
      <ns0:c r="L955" s="16">
        <ns0:f>A955*('前提と出典'!$C$36*'契約別単価'!L5+'前提と出典'!$C$37*'契約別単価'!L6+'前提と出典'!$C$38*'契約別単価'!L7)</ns0:f>
        <ns0:v>326218.4963364307</ns0:v>
      </ns0:c>
      <ns0:c r="M955" s="16">
        <ns0:f>IF(('前提と出典'!$C$36+'前提と出典'!$C$38)=0,0,IF(B955&lt;=10,'前提と出典'!B73+'前提と出典'!C73,IF(B955&lt;=100,'前提と出典'!B74+'前提と出典'!C74,IF(B955&lt;=500,'前提と出典'!B75+'前提と出典'!C75,'前提と出典'!B76+'前提と出典'!C76))))</ns0:f>
        <ns0:v>80000</ns0:v>
      </ns0:c>
      <ns0:c r="N955" s="16">
        <ns0:f>IF(('前提と出典'!$C$37+'前提と出典'!$C$38)=0,0,IF(C955&lt;=10,'前提と出典'!D73+'前提と出典'!E73,IF(C955&lt;=100,'前提と出典'!D74+'前提と出典'!E74,IF(C955&lt;=500,'前提と出典'!D75+'前提と出典'!E75,'前提と出典'!D76+'前提と出典'!E76))))</ns0:f>
        <ns0:v>86510.9346263078</ns0:v>
      </ns0:c>
      <ns0:c r="O955" s="16">
        <ns0:f>IF('前提と出典'!$C$36+'前提と出典'!$C$38=0,0,'前提と出典'!$B$4*IF('前提と出典'!$B$20=0,MAX('前提と出典'!$B$6,D955*'前提と出典'!$B$5),'前提と出典'!$B$6+D955*'前提と出典'!$B$5))</ns0:f>
        <ns0:v>944327.0614525139</ns0:v>
      </ns0:c>
      <ns0:c r="P955" s="16">
        <ns0:f>(E955+G955)*(1-'前提と出典'!$B$7)-I955-K955-M955-O955</ns0:f>
        <ns0:v>2133594.230100233</ns0:v>
      </ns0:c>
      <ns0:c r="Q955" s="16">
        <ns0:f>(F955+H955)*(1-'前提と出典'!$B$7)-J955-L955-N955</ns0:f>
        <ns0:v>823288.1645737039</ns0:v>
      </ns0:c>
      <ns0:c r="R955" s="16">
        <ns0:f>P955-E955*'前提と出典'!$E$4</ns0:f>
        <ns0:v>1581554.5195344891</ns0:v>
      </ns0:c>
      <ns0:c r="S955" s="16">
        <ns0:f>Q955-F955*'前提と出典'!$E$4</ns0:f>
        <ns0:v>606632.6342141512</ns0:v>
      </ns0:c>
      <ns0:c r="T955" s="7">
        <ns0:f>R955+S955</ns0:f>
        <ns0:v>2188187.1537486403</ns0:v>
      </ns0:c>
      <ns0:c r="U955" s="16">
        <ns0:f>P955-E955*'前提と出典'!$E$5</ns0:f>
        <ns0:v>1397541.2826792412</ns0:v>
      </ns0:c>
      <ns0:c r="V955" s="16">
        <ns0:f>Q955-F955*'前提と出典'!$E$5</ns0:f>
        <ns0:v>534414.1240943002</ns0:v>
      </ns0:c>
      <ns0:c r="W955" s="7">
        <ns0:f>U955+V955</ns0:f>
        <ns0:v>1931955.4067735414</ns0:v>
      </ns0:c>
      <ns0:c r="X955" s="16">
        <ns0:f>P955-E955*'前提と出典'!$E$6</ns0:f>
        <ns0:v>1213528.0458239932</ns0:v>
      </ns0:c>
      <ns0:c r="Y955" s="16">
        <ns0:f>Q955-F955*'前提と出典'!$E$6</ns0:f>
        <ns0:v>462195.6139744492</ns0:v>
      </ns0:c>
      <ns0:c r="Z955" s="7">
        <ns0:f>X955+Y955</ns0:f>
        <ns0:v>1675723.6597984424</ns0:v>
      </ns0:c>
      <ns0:c r="AA955" s="7">
        <ns0:f>IF(T955&gt;=0,A955,1001)</ns0:f>
        <ns0:v>951</ns0:v>
      </ns0:c>
      <ns0:c r="AB955" s="7">
        <ns0:f>IF(T955&lt;0,A955,0)</ns0:f>
        <ns0:v>0</ns0:v>
      </ns0:c>
      <ns0:c r="AC955" s="16">
        <ns0:f>IF(AND(OR('前提と出典'!$C$36+'前提と出典'!$C$38=0,R955&gt;=0),OR('前提と出典'!$C$37+'前提と出典'!$C$38=0,S955&gt;=0)),0,A955)</ns0:f>
        <ns0:v>0</ns0:v>
      </ns0:c>
      <ns0:c r="AD955" s="7">
        <ns0:f>IF(W955&gt;=0,A955,1001)</ns0:f>
        <ns0:v>951</ns0:v>
      </ns0:c>
      <ns0:c r="AE955" s="7">
        <ns0:f>IF(W955&lt;0,A955,0)</ns0:f>
        <ns0:v>0</ns0:v>
      </ns0:c>
      <ns0:c r="AF955" s="16">
        <ns0:f>IF(AND(OR('前提と出典'!$C$36+'前提と出典'!$C$38=0,U955&gt;=0),OR('前提と出典'!$C$37+'前提と出典'!$C$38=0,V955&gt;=0)),0,A955)</ns0:f>
        <ns0:v>0</ns0:v>
      </ns0:c>
      <ns0:c r="AG955" s="7">
        <ns0:f>IF(Z955&gt;=0,A955,1001)</ns0:f>
        <ns0:v>951</ns0:v>
      </ns0:c>
      <ns0:c r="AH955" s="4">
        <ns0:f>IF(Z955&lt;0,A955,0)</ns0:f>
        <ns0:v>0</ns0:v>
      </ns0:c>
      <ns0:c r="AI955" s="12">
        <ns0:f>IF(AND(OR('前提と出典'!$C$36+'前提と出典'!$C$38=0,X955&gt;=0),OR('前提と出典'!$C$37+'前提と出典'!$C$38=0,Y955&gt;=0)),0,A955)</ns0:f>
        <ns0:v>0</ns0:v>
      </ns0:c>
    </ns0:row>
    <ns0:row r="956" ht="24" customHeight="1">
      <ns0:c r="A956" s="4" t="n">
        <ns0:v>952</ns0:v>
      </ns0:c>
      <ns0:c r="B956" s="12">
        <ns0:f>A956*('前提と出典'!$C$36+'前提と出典'!$C$38)</ns0:f>
        <ns0:v>666.4</ns0:v>
      </ns0:c>
      <ns0:c r="C956" s="12">
        <ns0:f>A956*('前提と出典'!$C$37+'前提と出典'!$C$38)</ns0:f>
        <ns0:v>571.1999999999999</ns0:v>
      </ns0:c>
      <ns0:c r="D956" s="16">
        <ns0:f>A956*('前提と出典'!$C$36*'契約別単価'!C5+'前提と出典'!$C$37*'契約別単価'!C6+'前提と出典'!$C$38*'契約別単価'!C7)</ns0:f>
        <ns0:v>6850.145251396648</ns0:v>
      </ns0:c>
      <ns0:c r="E956" s="16">
        <ns0:f>A956*('前提と出典'!$C$36*'契約別単価'!E5+'前提と出典'!$C$37*'契約別単価'!E6+'前提と出典'!$C$38*'契約別単価'!E7)</ns0:f>
        <ns0:v>1842067.3132092124</ns0:v>
      </ns0:c>
      <ns0:c r="F956" s="16">
        <ns0:f>A956*('前提と出典'!$C$36*'契約別単価'!F5+'前提と出典'!$C$37*'契約別単価'!F6+'前提と出典'!$C$38*'契約別単価'!F7)</ns0:f>
        <ns0:v>722944.4966782132</ns0:v>
      </ns0:c>
      <ns0:c r="G956" s="16">
        <ns0:f>A956*('前提と出典'!$C$36*'契約別単価'!G5+'前提と出典'!$C$37*'契約別単価'!G6+'前提と出典'!$C$38*'契約別単価'!G7)</ns0:f>
        <ns0:v>1894958.659217877</ns0:v>
      </ns0:c>
      <ns0:c r="H956" s="16">
        <ns0:f>A956*('前提と出典'!$C$36*'契約別単価'!H5+'前提と出典'!$C$37*'契約別単価'!H6+'前提と出典'!$C$38*'契約別単価'!H7)</ns0:f>
        <ns0:v>657645.6943937563</ns0:v>
      </ns0:c>
      <ns0:c r="I956" s="16">
        <ns0:f>A956*('前提と出典'!$C$36*'契約別単価'!I5+'前提と出典'!$C$37*'契約別単価'!I6+'前提と出典'!$C$38*'契約別単価'!I7)</ns0:f>
        <ns0:v>40170.14525139664</ns0:v>
      </ns0:c>
      <ns0:c r="J956" s="16">
        <ns0:f>A956*('前提と出典'!$C$36*'契約別単価'!J5+'前提と出典'!$C$37*'契約別単価'!J6+'前提と出典'!$C$38*'契約別単価'!J7)</ns0:f>
        <ns0:v>93571.64561220804</ns0:v>
      </ns0:c>
      <ns0:c r="K956" s="16">
        <ns0:f>A956*('前提と出典'!$C$36*'契約別単価'!K5+'前提と出典'!$C$37*'契約別単価'!K6+'前提と出典'!$C$38*'契約別単価'!K7)</ns0:f>
        <ns0:v>401080.9683426443</ns0:v>
      </ns0:c>
      <ns0:c r="L956" s="16">
        <ns0:f>A956*('前提と出典'!$C$36*'契約別単価'!L5+'前提と出典'!$C$37*'契約別単価'!L6+'前提と出典'!$C$38*'契約別単価'!L7)</ns0:f>
        <ns0:v>326561.52314645855</ns0:v>
      </ns0:c>
      <ns0:c r="M956" s="16">
        <ns0:f>IF(('前提と出典'!$C$36+'前提と出典'!$C$38)=0,0,IF(B956&lt;=10,'前提と出典'!B73+'前提と出典'!C73,IF(B956&lt;=100,'前提と出典'!B74+'前提と出典'!C74,IF(B956&lt;=500,'前提と出典'!B75+'前提と出典'!C75,'前提と出典'!B76+'前提と出典'!C76))))</ns0:f>
        <ns0:v>80000</ns0:v>
      </ns0:c>
      <ns0:c r="N956" s="16">
        <ns0:f>IF(('前提と出典'!$C$37+'前提と出典'!$C$38)=0,0,IF(C956&lt;=10,'前提と出典'!D73+'前提と出典'!E73,IF(C956&lt;=100,'前提と出典'!D74+'前提と出典'!E74,IF(C956&lt;=500,'前提と出典'!D75+'前提と出典'!E75,'前提と出典'!D76+'前提と出典'!E76))))</ns0:f>
        <ns0:v>86510.9346263078</ns0:v>
      </ns0:c>
      <ns0:c r="O956" s="16">
        <ns0:f>IF('前提と出典'!$C$36+'前提と出典'!$C$38=0,0,'前提と出典'!$B$4*IF('前提と出典'!$B$20=0,MAX('前提と出典'!$B$6,D956*'前提と出典'!$B$5),'前提と出典'!$B$6+D956*'前提と出典'!$B$5))</ns0:f>
        <ns0:v>945320.0446927374</ns0:v>
      </ns0:c>
      <ns0:c r="P956" s="16">
        <ns0:f>(E956+G956)*(1-'前提と出典'!$B$7)-I956-K956-M956-O956</ns0:f>
        <ns0:v>2135921.8791329362</ns0:v>
      </ns0:c>
      <ns0:c r="Q956" s="16">
        <ns0:f>(F956+H956)*(1-'前提と出典'!$B$7)-J956-L956-N956</ns0:f>
        <ns0:v>824244.8408084041</ns0:v>
      </ns0:c>
      <ns0:c r="R956" s="16">
        <ns0:f>P956-E956*'前提と出典'!$E$4</ns0:f>
        <ns0:v>1583301.6851701727</ns0:v>
      </ns0:c>
      <ns0:c r="S956" s="16">
        <ns0:f>Q956-F956*'前提と出典'!$E$4</ns0:f>
        <ns0:v>607361.4918049402</ns0:v>
      </ns0:c>
      <ns0:c r="T956" s="7">
        <ns0:f>R956+S956</ns0:f>
        <ns0:v>2190663.176975113</ns0:v>
      </ns0:c>
      <ns0:c r="U956" s="16">
        <ns0:f>P956-E956*'前提と出典'!$E$5</ns0:f>
        <ns0:v>1399094.9538492514</ns0:v>
      </ns0:c>
      <ns0:c r="V956" s="16">
        <ns0:f>Q956-F956*'前提と出典'!$E$5</ns0:f>
        <ns0:v>535067.0421371188</ns0:v>
      </ns0:c>
      <ns0:c r="W956" s="7">
        <ns0:f>U956+V956</ns0:f>
        <ns0:v>1934161.9959863701</ns0:v>
      </ns0:c>
      <ns0:c r="X956" s="16">
        <ns0:f>P956-E956*'前提と出典'!$E$6</ns0:f>
        <ns0:v>1214888.22252833</ns0:v>
      </ns0:c>
      <ns0:c r="Y956" s="16">
        <ns0:f>Q956-F956*'前提と出典'!$E$6</ns0:f>
        <ns0:v>462772.5924692976</ns0:v>
      </ns0:c>
      <ns0:c r="Z956" s="7">
        <ns0:f>X956+Y956</ns0:f>
        <ns0:v>1677660.8149976276</ns0:v>
      </ns0:c>
      <ns0:c r="AA956" s="7">
        <ns0:f>IF(T956&gt;=0,A956,1001)</ns0:f>
        <ns0:v>952</ns0:v>
      </ns0:c>
      <ns0:c r="AB956" s="7">
        <ns0:f>IF(T956&lt;0,A956,0)</ns0:f>
        <ns0:v>0</ns0:v>
      </ns0:c>
      <ns0:c r="AC956" s="16">
        <ns0:f>IF(AND(OR('前提と出典'!$C$36+'前提と出典'!$C$38=0,R956&gt;=0),OR('前提と出典'!$C$37+'前提と出典'!$C$38=0,S956&gt;=0)),0,A956)</ns0:f>
        <ns0:v>0</ns0:v>
      </ns0:c>
      <ns0:c r="AD956" s="7">
        <ns0:f>IF(W956&gt;=0,A956,1001)</ns0:f>
        <ns0:v>952</ns0:v>
      </ns0:c>
      <ns0:c r="AE956" s="7">
        <ns0:f>IF(W956&lt;0,A956,0)</ns0:f>
        <ns0:v>0</ns0:v>
      </ns0:c>
      <ns0:c r="AF956" s="16">
        <ns0:f>IF(AND(OR('前提と出典'!$C$36+'前提と出典'!$C$38=0,U956&gt;=0),OR('前提と出典'!$C$37+'前提と出典'!$C$38=0,V956&gt;=0)),0,A956)</ns0:f>
        <ns0:v>0</ns0:v>
      </ns0:c>
      <ns0:c r="AG956" s="7">
        <ns0:f>IF(Z956&gt;=0,A956,1001)</ns0:f>
        <ns0:v>952</ns0:v>
      </ns0:c>
      <ns0:c r="AH956" s="4">
        <ns0:f>IF(Z956&lt;0,A956,0)</ns0:f>
        <ns0:v>0</ns0:v>
      </ns0:c>
      <ns0:c r="AI956" s="12">
        <ns0:f>IF(AND(OR('前提と出典'!$C$36+'前提と出典'!$C$38=0,X956&gt;=0),OR('前提と出典'!$C$37+'前提と出典'!$C$38=0,Y956&gt;=0)),0,A956)</ns0:f>
        <ns0:v>0</ns0:v>
      </ns0:c>
    </ns0:row>
    <ns0:row r="957" ht="24" customHeight="1">
      <ns0:c r="A957" s="4" t="n">
        <ns0:v>953</ns0:v>
      </ns0:c>
      <ns0:c r="B957" s="12">
        <ns0:f>A957*('前提と出典'!$C$36+'前提と出典'!$C$38)</ns0:f>
        <ns0:v>667.0999999999999</ns0:v>
      </ns0:c>
      <ns0:c r="C957" s="12">
        <ns0:f>A957*('前提と出典'!$C$37+'前提と出典'!$C$38)</ns0:f>
        <ns0:v>571.8</ns0:v>
      </ns0:c>
      <ns0:c r="D957" s="16">
        <ns0:f>A957*('前提と出典'!$C$36*'契約別単価'!C5+'前提と出典'!$C$37*'契約別単価'!C6+'前提と出典'!$C$38*'契約別単価'!C7)</ns0:f>
        <ns0:v>6857.340782122905</ns0:v>
      </ns0:c>
      <ns0:c r="E957" s="16">
        <ns0:f>A957*('前提と出典'!$C$36*'契約別単価'!E5+'前提と出典'!$C$37*'契約別単価'!E6+'前提と出典'!$C$38*'契約別単価'!E7)</ns0:f>
        <ns0:v>1844002.2578659446</ns0:v>
      </ns0:c>
      <ns0:c r="F957" s="16">
        <ns0:f>A957*('前提と出典'!$C$36*'契約別単価'!F5+'前提と出典'!$C$37*'契約別単価'!F6+'前提と出典'!$C$38*'契約別単価'!F7)</ns0:f>
        <ns0:v>723703.8921579173</ns0:v>
      </ns0:c>
      <ns0:c r="G957" s="16">
        <ns0:f>A957*('前提と出典'!$C$36*'契約別単価'!G5+'前提と出典'!$C$37*'契約別単価'!G6+'前提と出典'!$C$38*'契約別単価'!G7)</ns0:f>
        <ns0:v>1896949.162011173</ns0:v>
      </ns0:c>
      <ns0:c r="H957" s="16">
        <ns0:f>A957*('前提と出典'!$C$36*'契約別単価'!H5+'前提と出典'!$C$37*'契約別単価'!H6+'前提と出典'!$C$38*'契約別単価'!H7)</ns0:f>
        <ns0:v>658336.4986945902</ns0:v>
      </ns0:c>
      <ns0:c r="I957" s="16">
        <ns0:f>A957*('前提と出典'!$C$36*'契約別単価'!I5+'前提と出典'!$C$37*'契約別単価'!I6+'前提と出典'!$C$38*'契約別単価'!I7)</ns0:f>
        <ns0:v>40212.3407821229</ns0:v>
      </ns0:c>
      <ns0:c r="J957" s="16">
        <ns0:f>A957*('前提と出典'!$C$36*'契約別単価'!J5+'前提と出典'!$C$37*'契約別単価'!J6+'前提と出典'!$C$38*'契約別単価'!J7)</ns0:f>
        <ns0:v>93669.93515591834</ns0:v>
      </ns0:c>
      <ns0:c r="K957" s="16">
        <ns0:f>A957*('前提と出典'!$C$36*'契約別単価'!K5+'前提と出典'!$C$37*'契約別単価'!K6+'前提と出典'!$C$38*'契約別単価'!K7)</ns0:f>
        <ns0:v>401502.27188081935</ns0:v>
      </ns0:c>
      <ns0:c r="L957" s="16">
        <ns0:f>A957*('前提と出典'!$C$36*'契約別単価'!L5+'前提と出典'!$C$37*'契約別単価'!L6+'前提と出典'!$C$38*'契約別単価'!L7)</ns0:f>
        <ns0:v>326904.5499564863</ns0:v>
      </ns0:c>
      <ns0:c r="M957" s="16">
        <ns0:f>IF(('前提と出典'!$C$36+'前提と出典'!$C$38)=0,0,IF(B957&lt;=10,'前提と出典'!B73+'前提と出典'!C73,IF(B957&lt;=100,'前提と出典'!B74+'前提と出典'!C74,IF(B957&lt;=500,'前提と出典'!B75+'前提と出典'!C75,'前提と出典'!B76+'前提と出典'!C76))))</ns0:f>
        <ns0:v>80000</ns0:v>
      </ns0:c>
      <ns0:c r="N957" s="16">
        <ns0:f>IF(('前提と出典'!$C$37+'前提と出典'!$C$38)=0,0,IF(C957&lt;=10,'前提と出典'!D73+'前提と出典'!E73,IF(C957&lt;=100,'前提と出典'!D74+'前提と出典'!E74,IF(C957&lt;=500,'前提と出典'!D75+'前提と出典'!E75,'前提と出典'!D76+'前提と出典'!E76))))</ns0:f>
        <ns0:v>86510.9346263078</ns0:v>
      </ns0:c>
      <ns0:c r="O957" s="16">
        <ns0:f>IF('前提と出典'!$C$36+'前提と出典'!$C$38=0,0,'前提と出典'!$B$4*IF('前提と出典'!$B$20=0,MAX('前提と出典'!$B$6,D957*'前提と出典'!$B$5),'前提と出典'!$B$6+D957*'前提と出典'!$B$5))</ns0:f>
        <ns0:v>946313.0279329609</ns0:v>
      </ns0:c>
      <ns0:c r="P957" s="16">
        <ns0:f>(E957+G957)*(1-'前提と出典'!$B$7)-I957-K957-M957-O957</ns0:f>
        <ns0:v>2138249.528165638</ns0:v>
      </ns0:c>
      <ns0:c r="Q957" s="16">
        <ns0:f>(F957+H957)*(1-'前提と出典'!$B$7)-J957-L957-N957</ns0:f>
        <ns0:v>825201.5170431046</ns0:v>
      </ns0:c>
      <ns0:c r="R957" s="16">
        <ns0:f>P957-E957*'前提と出典'!$E$4</ns0:f>
        <ns0:v>1585048.850805855</ns0:v>
      </ns0:c>
      <ns0:c r="S957" s="16">
        <ns0:f>Q957-F957*'前提と出典'!$E$4</ns0:f>
        <ns0:v>608090.3493957294</ns0:v>
      </ns0:c>
      <ns0:c r="T957" s="7">
        <ns0:f>R957+S957</ns0:f>
        <ns0:v>2193139.200201584</ns0:v>
      </ns0:c>
      <ns0:c r="U957" s="16">
        <ns0:f>P957-E957*'前提と出典'!$E$5</ns0:f>
        <ns0:v>1400648.6250192602</ns0:v>
      </ns0:c>
      <ns0:c r="V957" s="16">
        <ns0:f>Q957-F957*'前提と出典'!$E$5</ns0:f>
        <ns0:v>535719.9601799378</ns0:v>
      </ns0:c>
      <ns0:c r="W957" s="7">
        <ns0:f>U957+V957</ns0:f>
        <ns0:v>1936368.585199198</ns0:v>
      </ns0:c>
      <ns0:c r="X957" s="16">
        <ns0:f>P957-E957*'前提と出典'!$E$6</ns0:f>
        <ns0:v>1216248.3992326655</ns0:v>
      </ns0:c>
      <ns0:c r="Y957" s="16">
        <ns0:f>Q957-F957*'前提と出典'!$E$6</ns0:f>
        <ns0:v>463349.57096414594</ns0:v>
      </ns0:c>
      <ns0:c r="Z957" s="7">
        <ns0:f>X957+Y957</ns0:f>
        <ns0:v>1679597.9701968115</ns0:v>
      </ns0:c>
      <ns0:c r="AA957" s="7">
        <ns0:f>IF(T957&gt;=0,A957,1001)</ns0:f>
        <ns0:v>953</ns0:v>
      </ns0:c>
      <ns0:c r="AB957" s="7">
        <ns0:f>IF(T957&lt;0,A957,0)</ns0:f>
        <ns0:v>0</ns0:v>
      </ns0:c>
      <ns0:c r="AC957" s="16">
        <ns0:f>IF(AND(OR('前提と出典'!$C$36+'前提と出典'!$C$38=0,R957&gt;=0),OR('前提と出典'!$C$37+'前提と出典'!$C$38=0,S957&gt;=0)),0,A957)</ns0:f>
        <ns0:v>0</ns0:v>
      </ns0:c>
      <ns0:c r="AD957" s="7">
        <ns0:f>IF(W957&gt;=0,A957,1001)</ns0:f>
        <ns0:v>953</ns0:v>
      </ns0:c>
      <ns0:c r="AE957" s="7">
        <ns0:f>IF(W957&lt;0,A957,0)</ns0:f>
        <ns0:v>0</ns0:v>
      </ns0:c>
      <ns0:c r="AF957" s="16">
        <ns0:f>IF(AND(OR('前提と出典'!$C$36+'前提と出典'!$C$38=0,U957&gt;=0),OR('前提と出典'!$C$37+'前提と出典'!$C$38=0,V957&gt;=0)),0,A957)</ns0:f>
        <ns0:v>0</ns0:v>
      </ns0:c>
      <ns0:c r="AG957" s="7">
        <ns0:f>IF(Z957&gt;=0,A957,1001)</ns0:f>
        <ns0:v>953</ns0:v>
      </ns0:c>
      <ns0:c r="AH957" s="4">
        <ns0:f>IF(Z957&lt;0,A957,0)</ns0:f>
        <ns0:v>0</ns0:v>
      </ns0:c>
      <ns0:c r="AI957" s="12">
        <ns0:f>IF(AND(OR('前提と出典'!$C$36+'前提と出典'!$C$38=0,X957&gt;=0),OR('前提と出典'!$C$37+'前提と出典'!$C$38=0,Y957&gt;=0)),0,A957)</ns0:f>
        <ns0:v>0</ns0:v>
      </ns0:c>
    </ns0:row>
    <ns0:row r="958" ht="24" customHeight="1">
      <ns0:c r="A958" s="4" t="n">
        <ns0:v>954</ns0:v>
      </ns0:c>
      <ns0:c r="B958" s="12">
        <ns0:f>A958*('前提と出典'!$C$36+'前提と出典'!$C$38)</ns0:f>
        <ns0:v>667.8</ns0:v>
      </ns0:c>
      <ns0:c r="C958" s="12">
        <ns0:f>A958*('前提と出典'!$C$37+'前提と出典'!$C$38)</ns0:f>
        <ns0:v>572.4</ns0:v>
      </ns0:c>
      <ns0:c r="D958" s="16">
        <ns0:f>A958*('前提と出典'!$C$36*'契約別単価'!C5+'前提と出典'!$C$37*'契約別単価'!C6+'前提と出典'!$C$38*'契約別単価'!C7)</ns0:f>
        <ns0:v>6864.536312849162</ns0:v>
      </ns0:c>
      <ns0:c r="E958" s="16">
        <ns0:f>A958*('前提と出典'!$C$36*'契約別単価'!E5+'前提と出典'!$C$37*'契約別単価'!E6+'前提と出典'!$C$38*'契約別単価'!E7)</ns0:f>
        <ns0:v>1845937.2025226771</ns0:v>
      </ns0:c>
      <ns0:c r="F958" s="16">
        <ns0:f>A958*('前提と出典'!$C$36*'契約別単価'!F5+'前提と出典'!$C$37*'契約別単価'!F6+'前提と出典'!$C$38*'契約別単価'!F7)</ns0:f>
        <ns0:v>724463.2876376213</ns0:v>
      </ns0:c>
      <ns0:c r="G958" s="16">
        <ns0:f>A958*('前提と出典'!$C$36*'契約別単価'!G5+'前提と出典'!$C$37*'契約別単価'!G6+'前提と出典'!$C$38*'契約別単価'!G7)</ns0:f>
        <ns0:v>1898939.664804469</ns0:v>
      </ns0:c>
      <ns0:c r="H958" s="16">
        <ns0:f>A958*('前提と出典'!$C$36*'契約別単価'!H5+'前提と出典'!$C$37*'契約別単価'!H6+'前提と出典'!$C$38*'契約別単価'!H7)</ns0:f>
        <ns0:v>659027.3029954239</ns0:v>
      </ns0:c>
      <ns0:c r="I958" s="16">
        <ns0:f>A958*('前提と出典'!$C$36*'契約別単価'!I5+'前提と出典'!$C$37*'契約別単価'!I6+'前提と出典'!$C$38*'契約別単価'!I7)</ns0:f>
        <ns0:v>40254.53631284915</ns0:v>
      </ns0:c>
      <ns0:c r="J958" s="16">
        <ns0:f>A958*('前提と出典'!$C$36*'契約別単価'!J5+'前提と出典'!$C$37*'契約別単価'!J6+'前提と出典'!$C$38*'契約別単価'!J7)</ns0:f>
        <ns0:v>93768.22469962866</ns0:v>
      </ns0:c>
      <ns0:c r="K958" s="16">
        <ns0:f>A958*('前提と出典'!$C$36*'契約別単価'!K5+'前提と出典'!$C$37*'契約別単価'!K6+'前提と出典'!$C$38*'契約別単価'!K7)</ns0:f>
        <ns0:v>401923.5754189944</ns0:v>
      </ns0:c>
      <ns0:c r="L958" s="16">
        <ns0:f>A958*('前提と出典'!$C$36*'契約別単価'!L5+'前提と出典'!$C$37*'契約別単価'!L6+'前提と出典'!$C$38*'契約別単価'!L7)</ns0:f>
        <ns0:v>327247.5767665141</ns0:v>
      </ns0:c>
      <ns0:c r="M958" s="16">
        <ns0:f>IF(('前提と出典'!$C$36+'前提と出典'!$C$38)=0,0,IF(B958&lt;=10,'前提と出典'!B73+'前提と出典'!C73,IF(B958&lt;=100,'前提と出典'!B74+'前提と出典'!C74,IF(B958&lt;=500,'前提と出典'!B75+'前提と出典'!C75,'前提と出典'!B76+'前提と出典'!C76))))</ns0:f>
        <ns0:v>80000</ns0:v>
      </ns0:c>
      <ns0:c r="N958" s="16">
        <ns0:f>IF(('前提と出典'!$C$37+'前提と出典'!$C$38)=0,0,IF(C958&lt;=10,'前提と出典'!D73+'前提と出典'!E73,IF(C958&lt;=100,'前提と出典'!D74+'前提と出典'!E74,IF(C958&lt;=500,'前提と出典'!D75+'前提と出典'!E75,'前提と出典'!D76+'前提と出典'!E76))))</ns0:f>
        <ns0:v>86510.9346263078</ns0:v>
      </ns0:c>
      <ns0:c r="O958" s="16">
        <ns0:f>IF('前提と出典'!$C$36+'前提と出典'!$C$38=0,0,'前提と出典'!$B$4*IF('前提と出典'!$B$20=0,MAX('前提と出典'!$B$6,D958*'前提と出典'!$B$5),'前提と出典'!$B$6+D958*'前提と出典'!$B$5))</ns0:f>
        <ns0:v>947306.0111731844</ns0:v>
      </ns0:c>
      <ns0:c r="P958" s="16">
        <ns0:f>(E958+G958)*(1-'前提と出典'!$B$7)-I958-K958-M958-O958</ns0:f>
        <ns0:v>2140577.177198341</ns0:v>
      </ns0:c>
      <ns0:c r="Q958" s="16">
        <ns0:f>(F958+H958)*(1-'前提と出典'!$B$7)-J958-L958-N958</ns0:f>
        <ns0:v>826158.1932778049</ns0:v>
      </ns0:c>
      <ns0:c r="R958" s="16">
        <ns0:f>P958-E958*'前提と出典'!$E$4</ns0:f>
        <ns0:v>1586796.016441538</ns0:v>
      </ns0:c>
      <ns0:c r="S958" s="16">
        <ns0:f>Q958-F958*'前提と出典'!$E$4</ns0:f>
        <ns0:v>608819.2069865186</ns0:v>
      </ns0:c>
      <ns0:c r="T958" s="7">
        <ns0:f>R958+S958</ns0:f>
        <ns0:v>2195615.2234280566</ns0:v>
      </ns0:c>
      <ns0:c r="U958" s="16">
        <ns0:f>P958-E958*'前提と出典'!$E$5</ns0:f>
        <ns0:v>1402202.29618927</ns0:v>
      </ns0:c>
      <ns0:c r="V958" s="16">
        <ns0:f>Q958-F958*'前提と出典'!$E$5</ns0:f>
        <ns0:v>536372.8782227564</ns0:v>
      </ns0:c>
      <ns0:c r="W958" s="7">
        <ns0:f>U958+V958</ns0:f>
        <ns0:v>1938575.1744120265</ns0:v>
      </ns0:c>
      <ns0:c r="X958" s="16">
        <ns0:f>P958-E958*'前提と出典'!$E$6</ns0:f>
        <ns0:v>1217608.5759370024</ns0:v>
      </ns0:c>
      <ns0:c r="Y958" s="16">
        <ns0:f>Q958-F958*'前提と出典'!$E$6</ns0:f>
        <ns0:v>463926.5494589944</ns0:v>
      </ns0:c>
      <ns0:c r="Z958" s="7">
        <ns0:f>X958+Y958</ns0:f>
        <ns0:v>1681535.125395997</ns0:v>
      </ns0:c>
      <ns0:c r="AA958" s="7">
        <ns0:f>IF(T958&gt;=0,A958,1001)</ns0:f>
        <ns0:v>954</ns0:v>
      </ns0:c>
      <ns0:c r="AB958" s="7">
        <ns0:f>IF(T958&lt;0,A958,0)</ns0:f>
        <ns0:v>0</ns0:v>
      </ns0:c>
      <ns0:c r="AC958" s="16">
        <ns0:f>IF(AND(OR('前提と出典'!$C$36+'前提と出典'!$C$38=0,R958&gt;=0),OR('前提と出典'!$C$37+'前提と出典'!$C$38=0,S958&gt;=0)),0,A958)</ns0:f>
        <ns0:v>0</ns0:v>
      </ns0:c>
      <ns0:c r="AD958" s="7">
        <ns0:f>IF(W958&gt;=0,A958,1001)</ns0:f>
        <ns0:v>954</ns0:v>
      </ns0:c>
      <ns0:c r="AE958" s="7">
        <ns0:f>IF(W958&lt;0,A958,0)</ns0:f>
        <ns0:v>0</ns0:v>
      </ns0:c>
      <ns0:c r="AF958" s="16">
        <ns0:f>IF(AND(OR('前提と出典'!$C$36+'前提と出典'!$C$38=0,U958&gt;=0),OR('前提と出典'!$C$37+'前提と出典'!$C$38=0,V958&gt;=0)),0,A958)</ns0:f>
        <ns0:v>0</ns0:v>
      </ns0:c>
      <ns0:c r="AG958" s="7">
        <ns0:f>IF(Z958&gt;=0,A958,1001)</ns0:f>
        <ns0:v>954</ns0:v>
      </ns0:c>
      <ns0:c r="AH958" s="4">
        <ns0:f>IF(Z958&lt;0,A958,0)</ns0:f>
        <ns0:v>0</ns0:v>
      </ns0:c>
      <ns0:c r="AI958" s="12">
        <ns0:f>IF(AND(OR('前提と出典'!$C$36+'前提と出典'!$C$38=0,X958&gt;=0),OR('前提と出典'!$C$37+'前提と出典'!$C$38=0,Y958&gt;=0)),0,A958)</ns0:f>
        <ns0:v>0</ns0:v>
      </ns0:c>
    </ns0:row>
    <ns0:row r="959" ht="24" customHeight="1">
      <ns0:c r="A959" s="4" t="n">
        <ns0:v>955</ns0:v>
      </ns0:c>
      <ns0:c r="B959" s="12">
        <ns0:f>A959*('前提と出典'!$C$36+'前提と出典'!$C$38)</ns0:f>
        <ns0:v>668.5</ns0:v>
      </ns0:c>
      <ns0:c r="C959" s="12">
        <ns0:f>A959*('前提と出典'!$C$37+'前提と出典'!$C$38)</ns0:f>
        <ns0:v>573</ns0:v>
      </ns0:c>
      <ns0:c r="D959" s="16">
        <ns0:f>A959*('前提と出典'!$C$36*'契約別単価'!C5+'前提と出典'!$C$37*'契約別単価'!C6+'前提と出典'!$C$38*'契約別単価'!C7)</ns0:f>
        <ns0:v>6871.731843575419</ns0:v>
      </ns0:c>
      <ns0:c r="E959" s="16">
        <ns0:f>A959*('前提と出典'!$C$36*'契約別単価'!E5+'前提と出典'!$C$37*'契約別単価'!E6+'前提と出典'!$C$38*'契約別単価'!E7)</ns0:f>
        <ns0:v>1847872.1471794094</ns0:v>
      </ns0:c>
      <ns0:c r="F959" s="16">
        <ns0:f>A959*('前提と出典'!$C$36*'契約別単価'!F5+'前提と出典'!$C$37*'契約別単価'!F6+'前提と出典'!$C$38*'契約別単価'!F7)</ns0:f>
        <ns0:v>725222.6831173253</ns0:v>
      </ns0:c>
      <ns0:c r="G959" s="16">
        <ns0:f>A959*('前提と出典'!$C$36*'契約別単価'!G5+'前提と出典'!$C$37*'契約別単価'!G6+'前提と出典'!$C$38*'契約別単価'!G7)</ns0:f>
        <ns0:v>1900930.1675977653</ns0:v>
      </ns0:c>
      <ns0:c r="H959" s="16">
        <ns0:f>A959*('前提と出典'!$C$36*'契約別単価'!H5+'前提と出典'!$C$37*'契約別単価'!H6+'前提と出典'!$C$38*'契約別単価'!H7)</ns0:f>
        <ns0:v>659718.1072962577</ns0:v>
      </ns0:c>
      <ns0:c r="I959" s="16">
        <ns0:f>A959*('前提と出典'!$C$36*'契約別単価'!I5+'前提と出典'!$C$37*'契約別単価'!I6+'前提と出典'!$C$38*'契約別単価'!I7)</ns0:f>
        <ns0:v>40296.73184357541</ns0:v>
      </ns0:c>
      <ns0:c r="J959" s="16">
        <ns0:f>A959*('前提と出典'!$C$36*'契約別単価'!J5+'前提と出典'!$C$37*'契約別単価'!J6+'前提と出典'!$C$38*'契約別単価'!J7)</ns0:f>
        <ns0:v>93866.51424333896</ns0:v>
      </ns0:c>
      <ns0:c r="K959" s="16">
        <ns0:f>A959*('前提と出典'!$C$36*'契約別単価'!K5+'前提と出典'!$C$37*'契約別単価'!K6+'前提と出典'!$C$38*'契約別単価'!K7)</ns0:f>
        <ns0:v>402344.8789571694</ns0:v>
      </ns0:c>
      <ns0:c r="L959" s="16">
        <ns0:f>A959*('前提と出典'!$C$36*'契約別単価'!L5+'前提と出典'!$C$37*'契約別単価'!L6+'前提と出典'!$C$38*'契約別単価'!L7)</ns0:f>
        <ns0:v>327590.60357654194</ns0:v>
      </ns0:c>
      <ns0:c r="M959" s="16">
        <ns0:f>IF(('前提と出典'!$C$36+'前提と出典'!$C$38)=0,0,IF(B959&lt;=10,'前提と出典'!B73+'前提と出典'!C73,IF(B959&lt;=100,'前提と出典'!B74+'前提と出典'!C74,IF(B959&lt;=500,'前提と出典'!B75+'前提と出典'!C75,'前提と出典'!B76+'前提と出典'!C76))))</ns0:f>
        <ns0:v>80000</ns0:v>
      </ns0:c>
      <ns0:c r="N959" s="16">
        <ns0:f>IF(('前提と出典'!$C$37+'前提と出典'!$C$38)=0,0,IF(C959&lt;=10,'前提と出典'!D73+'前提と出典'!E73,IF(C959&lt;=100,'前提と出典'!D74+'前提と出典'!E74,IF(C959&lt;=500,'前提と出典'!D75+'前提と出典'!E75,'前提と出典'!D76+'前提と出典'!E76))))</ns0:f>
        <ns0:v>86510.9346263078</ns0:v>
      </ns0:c>
      <ns0:c r="O959" s="16">
        <ns0:f>IF('前提と出典'!$C$36+'前提と出典'!$C$38=0,0,'前提と出典'!$B$4*IF('前提と出典'!$B$20=0,MAX('前提と出典'!$B$6,D959*'前提と出典'!$B$5),'前提と出典'!$B$6+D959*'前提と出典'!$B$5))</ns0:f>
        <ns0:v>948298.9944134079</ns0:v>
      </ns0:c>
      <ns0:c r="P959" s="16">
        <ns0:f>(E959+G959)*(1-'前提と出典'!$B$7)-I959-K959-M959-O959</ns0:f>
        <ns0:v>2142904.826231044</ns0:v>
      </ns0:c>
      <ns0:c r="Q959" s="16">
        <ns0:f>(F959+H959)*(1-'前提と出典'!$B$7)-J959-L959-N959</ns0:f>
        <ns0:v>827114.8695125055</ns0:v>
      </ns0:c>
      <ns0:c r="R959" s="16">
        <ns0:f>P959-E959*'前提と出典'!$E$4</ns0:f>
        <ns0:v>1588543.182077221</ns0:v>
      </ns0:c>
      <ns0:c r="S959" s="16">
        <ns0:f>Q959-F959*'前提と出典'!$E$4</ns0:f>
        <ns0:v>609548.064577308</ns0:v>
      </ns0:c>
      <ns0:c r="T959" s="7">
        <ns0:f>R959+S959</ns0:f>
        <ns0:v>2198091.246654529</ns0:v>
      </ns0:c>
      <ns0:c r="U959" s="16">
        <ns0:f>P959-E959*'前提と出典'!$E$5</ns0:f>
        <ns0:v>1403755.9673592802</ns0:v>
      </ns0:c>
      <ns0:c r="V959" s="16">
        <ns0:f>Q959-F959*'前提と出典'!$E$5</ns0:f>
        <ns0:v>537025.7962655753</ns0:v>
      </ns0:c>
      <ns0:c r="W959" s="7">
        <ns0:f>U959+V959</ns0:f>
        <ns0:v>1940781.7636248556</ns0:v>
      </ns0:c>
      <ns0:c r="X959" s="16">
        <ns0:f>P959-E959*'前提と出典'!$E$6</ns0:f>
        <ns0:v>1218968.7526413389</ns0:v>
      </ns0:c>
      <ns0:c r="Y959" s="16">
        <ns0:f>Q959-F959*'前提と出典'!$E$6</ns0:f>
        <ns0:v>464503.5279538429</ns0:v>
      </ns0:c>
      <ns0:c r="Z959" s="7">
        <ns0:f>X959+Y959</ns0:f>
        <ns0:v>1683472.2805951817</ns0:v>
      </ns0:c>
      <ns0:c r="AA959" s="7">
        <ns0:f>IF(T959&gt;=0,A959,1001)</ns0:f>
        <ns0:v>955</ns0:v>
      </ns0:c>
      <ns0:c r="AB959" s="7">
        <ns0:f>IF(T959&lt;0,A959,0)</ns0:f>
        <ns0:v>0</ns0:v>
      </ns0:c>
      <ns0:c r="AC959" s="16">
        <ns0:f>IF(AND(OR('前提と出典'!$C$36+'前提と出典'!$C$38=0,R959&gt;=0),OR('前提と出典'!$C$37+'前提と出典'!$C$38=0,S959&gt;=0)),0,A959)</ns0:f>
        <ns0:v>0</ns0:v>
      </ns0:c>
      <ns0:c r="AD959" s="7">
        <ns0:f>IF(W959&gt;=0,A959,1001)</ns0:f>
        <ns0:v>955</ns0:v>
      </ns0:c>
      <ns0:c r="AE959" s="7">
        <ns0:f>IF(W959&lt;0,A959,0)</ns0:f>
        <ns0:v>0</ns0:v>
      </ns0:c>
      <ns0:c r="AF959" s="16">
        <ns0:f>IF(AND(OR('前提と出典'!$C$36+'前提と出典'!$C$38=0,U959&gt;=0),OR('前提と出典'!$C$37+'前提と出典'!$C$38=0,V959&gt;=0)),0,A959)</ns0:f>
        <ns0:v>0</ns0:v>
      </ns0:c>
      <ns0:c r="AG959" s="7">
        <ns0:f>IF(Z959&gt;=0,A959,1001)</ns0:f>
        <ns0:v>955</ns0:v>
      </ns0:c>
      <ns0:c r="AH959" s="4">
        <ns0:f>IF(Z959&lt;0,A959,0)</ns0:f>
        <ns0:v>0</ns0:v>
      </ns0:c>
      <ns0:c r="AI959" s="12">
        <ns0:f>IF(AND(OR('前提と出典'!$C$36+'前提と出典'!$C$38=0,X959&gt;=0),OR('前提と出典'!$C$37+'前提と出典'!$C$38=0,Y959&gt;=0)),0,A959)</ns0:f>
        <ns0:v>0</ns0:v>
      </ns0:c>
    </ns0:row>
    <ns0:row r="960" ht="24" customHeight="1">
      <ns0:c r="A960" s="4" t="n">
        <ns0:v>956</ns0:v>
      </ns0:c>
      <ns0:c r="B960" s="12">
        <ns0:f>A960*('前提と出典'!$C$36+'前提と出典'!$C$38)</ns0:f>
        <ns0:v>669.1999999999999</ns0:v>
      </ns0:c>
      <ns0:c r="C960" s="12">
        <ns0:f>A960*('前提と出典'!$C$37+'前提と出典'!$C$38)</ns0:f>
        <ns0:v>573.6</ns0:v>
      </ns0:c>
      <ns0:c r="D960" s="16">
        <ns0:f>A960*('前提と出典'!$C$36*'契約別単価'!C5+'前提と出典'!$C$37*'契約別単価'!C6+'前提と出典'!$C$38*'契約別単価'!C7)</ns0:f>
        <ns0:v>6878.927374301676</ns0:v>
      </ns0:c>
      <ns0:c r="E960" s="16">
        <ns0:f>A960*('前提と出典'!$C$36*'契約別単価'!E5+'前提と出典'!$C$37*'契約別単価'!E6+'前提と出典'!$C$38*'契約別単価'!E7)</ns0:f>
        <ns0:v>1849807.091836142</ns0:v>
      </ns0:c>
      <ns0:c r="F960" s="16">
        <ns0:f>A960*('前提と出典'!$C$36*'契約別単価'!F5+'前提と出典'!$C$37*'契約別単価'!F6+'前提と出典'!$C$38*'契約別単価'!F7)</ns0:f>
        <ns0:v>725982.0785970293</ns0:v>
      </ns0:c>
      <ns0:c r="G960" s="16">
        <ns0:f>A960*('前提と出典'!$C$36*'契約別単価'!G5+'前提と出典'!$C$37*'契約別単価'!G6+'前提と出典'!$C$38*'契約別単価'!G7)</ns0:f>
        <ns0:v>1902920.6703910613</ns0:v>
      </ns0:c>
      <ns0:c r="H960" s="16">
        <ns0:f>A960*('前提と出典'!$C$36*'契約別単価'!H5+'前提と出典'!$C$37*'契約別単価'!H6+'前提と出典'!$C$38*'契約別単価'!H7)</ns0:f>
        <ns0:v>660408.9115970915</ns0:v>
      </ns0:c>
      <ns0:c r="I960" s="16">
        <ns0:f>A960*('前提と出典'!$C$36*'契約別単価'!I5+'前提と出典'!$C$37*'契約別単価'!I6+'前提と出典'!$C$38*'契約別単価'!I7)</ns0:f>
        <ns0:v>40338.92737430167</ns0:v>
      </ns0:c>
      <ns0:c r="J960" s="16">
        <ns0:f>A960*('前提と出典'!$C$36*'契約別単価'!J5+'前提と出典'!$C$37*'契約別単価'!J6+'前提と出典'!$C$38*'契約別単価'!J7)</ns0:f>
        <ns0:v>93964.80378704926</ns0:v>
      </ns0:c>
      <ns0:c r="K960" s="16">
        <ns0:f>A960*('前提と出典'!$C$36*'契約別単価'!K5+'前提と出典'!$C$37*'契約別単価'!K6+'前提と出典'!$C$38*'契約別単価'!K7)</ns0:f>
        <ns0:v>402766.1824953445</ns0:v>
      </ns0:c>
      <ns0:c r="L960" s="16">
        <ns0:f>A960*('前提と出典'!$C$36*'契約別単価'!L5+'前提と出典'!$C$37*'契約別単価'!L6+'前提と出典'!$C$38*'契約別単価'!L7)</ns0:f>
        <ns0:v>327933.6303865697</ns0:v>
      </ns0:c>
      <ns0:c r="M960" s="16">
        <ns0:f>IF(('前提と出典'!$C$36+'前提と出典'!$C$38)=0,0,IF(B960&lt;=10,'前提と出典'!B73+'前提と出典'!C73,IF(B960&lt;=100,'前提と出典'!B74+'前提と出典'!C74,IF(B960&lt;=500,'前提と出典'!B75+'前提と出典'!C75,'前提と出典'!B76+'前提と出典'!C76))))</ns0:f>
        <ns0:v>80000</ns0:v>
      </ns0:c>
      <ns0:c r="N960" s="16">
        <ns0:f>IF(('前提と出典'!$C$37+'前提と出典'!$C$38)=0,0,IF(C960&lt;=10,'前提と出典'!D73+'前提と出典'!E73,IF(C960&lt;=100,'前提と出典'!D74+'前提と出典'!E74,IF(C960&lt;=500,'前提と出典'!D75+'前提と出典'!E75,'前提と出典'!D76+'前提と出典'!E76))))</ns0:f>
        <ns0:v>86510.9346263078</ns0:v>
      </ns0:c>
      <ns0:c r="O960" s="16">
        <ns0:f>IF('前提と出典'!$C$36+'前提と出典'!$C$38=0,0,'前提と出典'!$B$4*IF('前提と出典'!$B$20=0,MAX('前提と出典'!$B$6,D960*'前提と出典'!$B$5),'前提と出典'!$B$6+D960*'前提と出典'!$B$5))</ns0:f>
        <ns0:v>949291.9776536314</ns0:v>
      </ns0:c>
      <ns0:c r="P960" s="16">
        <ns0:f>(E960+G960)*(1-'前提と出典'!$B$7)-I960-K960-M960-O960</ns0:f>
        <ns0:v>2145232.4752637465</ns0:v>
      </ns0:c>
      <ns0:c r="Q960" s="16">
        <ns0:f>(F960+H960)*(1-'前提と出典'!$B$7)-J960-L960-N960</ns0:f>
        <ns0:v>828071.5457472058</ns0:v>
      </ns0:c>
      <ns0:c r="R960" s="16">
        <ns0:f>P960-E960*'前提と出典'!$E$4</ns0:f>
        <ns0:v>1590290.3477129037</ns0:v>
      </ns0:c>
      <ns0:c r="S960" s="16">
        <ns0:f>Q960-F960*'前提と出典'!$E$4</ns0:f>
        <ns0:v>610276.922168097</ns0:v>
      </ns0:c>
      <ns0:c r="T960" s="7">
        <ns0:f>R960+S960</ns0:f>
        <ns0:v>2200567.2698810007</ns0:v>
      </ns0:c>
      <ns0:c r="U960" s="16">
        <ns0:f>P960-E960*'前提と出典'!$E$5</ns0:f>
        <ns0:v>1405309.6385292895</ns0:v>
      </ns0:c>
      <ns0:c r="V960" s="16">
        <ns0:f>Q960-F960*'前提と出典'!$E$5</ns0:f>
        <ns0:v>537678.7143083941</ns0:v>
      </ns0:c>
      <ns0:c r="W960" s="7">
        <ns0:f>U960+V960</ns0:f>
        <ns0:v>1942988.3528376836</ns0:v>
      </ns0:c>
      <ns0:c r="X960" s="16">
        <ns0:f>P960-E960*'前提と出典'!$E$6</ns0:f>
        <ns0:v>1220328.9293456753</ns0:v>
      </ns0:c>
      <ns0:c r="Y960" s="16">
        <ns0:f>Q960-F960*'前提と出典'!$E$6</ns0:f>
        <ns0:v>465080.50644869125</ns0:v>
      </ns0:c>
      <ns0:c r="Z960" s="7">
        <ns0:f>X960+Y960</ns0:f>
        <ns0:v>1685409.4357943665</ns0:v>
      </ns0:c>
      <ns0:c r="AA960" s="7">
        <ns0:f>IF(T960&gt;=0,A960,1001)</ns0:f>
        <ns0:v>956</ns0:v>
      </ns0:c>
      <ns0:c r="AB960" s="7">
        <ns0:f>IF(T960&lt;0,A960,0)</ns0:f>
        <ns0:v>0</ns0:v>
      </ns0:c>
      <ns0:c r="AC960" s="16">
        <ns0:f>IF(AND(OR('前提と出典'!$C$36+'前提と出典'!$C$38=0,R960&gt;=0),OR('前提と出典'!$C$37+'前提と出典'!$C$38=0,S960&gt;=0)),0,A960)</ns0:f>
        <ns0:v>0</ns0:v>
      </ns0:c>
      <ns0:c r="AD960" s="7">
        <ns0:f>IF(W960&gt;=0,A960,1001)</ns0:f>
        <ns0:v>956</ns0:v>
      </ns0:c>
      <ns0:c r="AE960" s="7">
        <ns0:f>IF(W960&lt;0,A960,0)</ns0:f>
        <ns0:v>0</ns0:v>
      </ns0:c>
      <ns0:c r="AF960" s="16">
        <ns0:f>IF(AND(OR('前提と出典'!$C$36+'前提と出典'!$C$38=0,U960&gt;=0),OR('前提と出典'!$C$37+'前提と出典'!$C$38=0,V960&gt;=0)),0,A960)</ns0:f>
        <ns0:v>0</ns0:v>
      </ns0:c>
      <ns0:c r="AG960" s="7">
        <ns0:f>IF(Z960&gt;=0,A960,1001)</ns0:f>
        <ns0:v>956</ns0:v>
      </ns0:c>
      <ns0:c r="AH960" s="4">
        <ns0:f>IF(Z960&lt;0,A960,0)</ns0:f>
        <ns0:v>0</ns0:v>
      </ns0:c>
      <ns0:c r="AI960" s="12">
        <ns0:f>IF(AND(OR('前提と出典'!$C$36+'前提と出典'!$C$38=0,X960&gt;=0),OR('前提と出典'!$C$37+'前提と出典'!$C$38=0,Y960&gt;=0)),0,A960)</ns0:f>
        <ns0:v>0</ns0:v>
      </ns0:c>
    </ns0:row>
    <ns0:row r="961" ht="24" customHeight="1">
      <ns0:c r="A961" s="4" t="n">
        <ns0:v>957</ns0:v>
      </ns0:c>
      <ns0:c r="B961" s="12">
        <ns0:f>A961*('前提と出典'!$C$36+'前提と出典'!$C$38)</ns0:f>
        <ns0:v>669.9</ns0:v>
      </ns0:c>
      <ns0:c r="C961" s="12">
        <ns0:f>A961*('前提と出典'!$C$37+'前提と出典'!$C$38)</ns0:f>
        <ns0:v>574.1999999999999</ns0:v>
      </ns0:c>
      <ns0:c r="D961" s="16">
        <ns0:f>A961*('前提と出典'!$C$36*'契約別単価'!C5+'前提と出典'!$C$37*'契約別単価'!C6+'前提と出典'!$C$38*'契約別単価'!C7)</ns0:f>
        <ns0:v>6886.122905027933</ns0:v>
      </ns0:c>
      <ns0:c r="E961" s="16">
        <ns0:f>A961*('前提と出典'!$C$36*'契約別単価'!E5+'前提と出典'!$C$37*'契約別単価'!E6+'前提と出典'!$C$38*'契約別単価'!E7)</ns0:f>
        <ns0:v>1851742.0364928741</ns0:v>
      </ns0:c>
      <ns0:c r="F961" s="16">
        <ns0:f>A961*('前提と出典'!$C$36*'契約別単価'!F5+'前提と出典'!$C$37*'契約別単価'!F6+'前提と出典'!$C$38*'契約別単価'!F7)</ns0:f>
        <ns0:v>726741.4740767333</ns0:v>
      </ns0:c>
      <ns0:c r="G961" s="16">
        <ns0:f>A961*('前提と出典'!$C$36*'契約別単価'!G5+'前提と出典'!$C$37*'契約別単価'!G6+'前提と出典'!$C$38*'契約別単価'!G7)</ns0:f>
        <ns0:v>1904911.1731843574</ns0:v>
      </ns0:c>
      <ns0:c r="H961" s="16">
        <ns0:f>A961*('前提と出典'!$C$36*'契約別単価'!H5+'前提と出典'!$C$37*'契約別単価'!H6+'前提と出典'!$C$38*'契約別単価'!H7)</ns0:f>
        <ns0:v>661099.7158979252</ns0:v>
      </ns0:c>
      <ns0:c r="I961" s="16">
        <ns0:f>A961*('前提と出典'!$C$36*'契約別単価'!I5+'前提と出典'!$C$37*'契約別単価'!I6+'前提と出典'!$C$38*'契約別単価'!I7)</ns0:f>
        <ns0:v>40381.12290502793</ns0:v>
      </ns0:c>
      <ns0:c r="J961" s="16">
        <ns0:f>A961*('前提と出典'!$C$36*'契約別単価'!J5+'前提と出典'!$C$37*'契約別単価'!J6+'前提と出典'!$C$38*'契約別単価'!J7)</ns0:f>
        <ns0:v>94063.09333075956</ns0:v>
      </ns0:c>
      <ns0:c r="K961" s="16">
        <ns0:f>A961*('前提と出典'!$C$36*'契約別単価'!K5+'前提と出典'!$C$37*'契約別単価'!K6+'前提と出典'!$C$38*'契約別単価'!K7)</ns0:f>
        <ns0:v>403187.4860335195</ns0:v>
      </ns0:c>
      <ns0:c r="L961" s="16">
        <ns0:f>A961*('前提と出典'!$C$36*'契約別単価'!L5+'前提と出典'!$C$37*'契約別単価'!L6+'前提と出典'!$C$38*'契約別単価'!L7)</ns0:f>
        <ns0:v>328276.6571965975</ns0:v>
      </ns0:c>
      <ns0:c r="M961" s="16">
        <ns0:f>IF(('前提と出典'!$C$36+'前提と出典'!$C$38)=0,0,IF(B961&lt;=10,'前提と出典'!B73+'前提と出典'!C73,IF(B961&lt;=100,'前提と出典'!B74+'前提と出典'!C74,IF(B961&lt;=500,'前提と出典'!B75+'前提と出典'!C75,'前提と出典'!B76+'前提と出典'!C76))))</ns0:f>
        <ns0:v>80000</ns0:v>
      </ns0:c>
      <ns0:c r="N961" s="16">
        <ns0:f>IF(('前提と出典'!$C$37+'前提と出典'!$C$38)=0,0,IF(C961&lt;=10,'前提と出典'!D73+'前提と出典'!E73,IF(C961&lt;=100,'前提と出典'!D74+'前提と出典'!E74,IF(C961&lt;=500,'前提と出典'!D75+'前提と出典'!E75,'前提と出典'!D76+'前提と出典'!E76))))</ns0:f>
        <ns0:v>86510.9346263078</ns0:v>
      </ns0:c>
      <ns0:c r="O961" s="16">
        <ns0:f>IF('前提と出典'!$C$36+'前提と出典'!$C$38=0,0,'前提と出典'!$B$4*IF('前提と出典'!$B$20=0,MAX('前提と出典'!$B$6,D961*'前提と出典'!$B$5),'前提と出典'!$B$6+D961*'前提と出典'!$B$5))</ns0:f>
        <ns0:v>950284.9608938548</ns0:v>
      </ns0:c>
      <ns0:c r="P961" s="16">
        <ns0:f>(E961+G961)*(1-'前提と出典'!$B$7)-I961-K961-M961-O961</ns0:f>
        <ns0:v>2147560.124296448</ns0:v>
      </ns0:c>
      <ns0:c r="Q961" s="16">
        <ns0:f>(F961+H961)*(1-'前提と出典'!$B$7)-J961-L961-N961</ns0:f>
        <ns0:v>829028.2219819061</ns0:v>
      </ns0:c>
      <ns0:c r="R961" s="16">
        <ns0:f>P961-E961*'前提と出典'!$E$4</ns0:f>
        <ns0:v>1592037.5133485864</ns0:v>
      </ns0:c>
      <ns0:c r="S961" s="16">
        <ns0:f>Q961-F961*'前提と出典'!$E$4</ns0:f>
        <ns0:v>611005.7797588862</ns0:v>
      </ns0:c>
      <ns0:c r="T961" s="7">
        <ns0:f>R961+S961</ns0:f>
        <ns0:v>2203043.2931074724</ns0:v>
      </ns0:c>
      <ns0:c r="U961" s="16">
        <ns0:f>P961-E961*'前提と出典'!$E$5</ns0:f>
        <ns0:v>1406863.3096992983</ns0:v>
      </ns0:c>
      <ns0:c r="V961" s="16">
        <ns0:f>Q961-F961*'前提と出典'!$E$5</ns0:f>
        <ns0:v>538331.6323512127</ns0:v>
      </ns0:c>
      <ns0:c r="W961" s="7">
        <ns0:f>U961+V961</ns0:f>
        <ns0:v>1945194.942050511</ns0:v>
      </ns0:c>
      <ns0:c r="X961" s="16">
        <ns0:f>P961-E961*'前提と出典'!$E$6</ns0:f>
        <ns0:v>1221689.1060500112</ns0:v>
      </ns0:c>
      <ns0:c r="Y961" s="16">
        <ns0:f>Q961-F961*'前提と出典'!$E$6</ns0:f>
        <ns0:v>465657.48494353937</ns0:v>
      </ns0:c>
      <ns0:c r="Z961" s="7">
        <ns0:f>X961+Y961</ns0:f>
        <ns0:v>1687346.5909935506</ns0:v>
      </ns0:c>
      <ns0:c r="AA961" s="7">
        <ns0:f>IF(T961&gt;=0,A961,1001)</ns0:f>
        <ns0:v>957</ns0:v>
      </ns0:c>
      <ns0:c r="AB961" s="7">
        <ns0:f>IF(T961&lt;0,A961,0)</ns0:f>
        <ns0:v>0</ns0:v>
      </ns0:c>
      <ns0:c r="AC961" s="16">
        <ns0:f>IF(AND(OR('前提と出典'!$C$36+'前提と出典'!$C$38=0,R961&gt;=0),OR('前提と出典'!$C$37+'前提と出典'!$C$38=0,S961&gt;=0)),0,A961)</ns0:f>
        <ns0:v>0</ns0:v>
      </ns0:c>
      <ns0:c r="AD961" s="7">
        <ns0:f>IF(W961&gt;=0,A961,1001)</ns0:f>
        <ns0:v>957</ns0:v>
      </ns0:c>
      <ns0:c r="AE961" s="7">
        <ns0:f>IF(W961&lt;0,A961,0)</ns0:f>
        <ns0:v>0</ns0:v>
      </ns0:c>
      <ns0:c r="AF961" s="16">
        <ns0:f>IF(AND(OR('前提と出典'!$C$36+'前提と出典'!$C$38=0,U961&gt;=0),OR('前提と出典'!$C$37+'前提と出典'!$C$38=0,V961&gt;=0)),0,A961)</ns0:f>
        <ns0:v>0</ns0:v>
      </ns0:c>
      <ns0:c r="AG961" s="7">
        <ns0:f>IF(Z961&gt;=0,A961,1001)</ns0:f>
        <ns0:v>957</ns0:v>
      </ns0:c>
      <ns0:c r="AH961" s="4">
        <ns0:f>IF(Z961&lt;0,A961,0)</ns0:f>
        <ns0:v>0</ns0:v>
      </ns0:c>
      <ns0:c r="AI961" s="12">
        <ns0:f>IF(AND(OR('前提と出典'!$C$36+'前提と出典'!$C$38=0,X961&gt;=0),OR('前提と出典'!$C$37+'前提と出典'!$C$38=0,Y961&gt;=0)),0,A961)</ns0:f>
        <ns0:v>0</ns0:v>
      </ns0:c>
    </ns0:row>
    <ns0:row r="962" ht="24" customHeight="1">
      <ns0:c r="A962" s="4" t="n">
        <ns0:v>958</ns0:v>
      </ns0:c>
      <ns0:c r="B962" s="12">
        <ns0:f>A962*('前提と出典'!$C$36+'前提と出典'!$C$38)</ns0:f>
        <ns0:v>670.5999999999999</ns0:v>
      </ns0:c>
      <ns0:c r="C962" s="12">
        <ns0:f>A962*('前提と出典'!$C$37+'前提と出典'!$C$38)</ns0:f>
        <ns0:v>574.8</ns0:v>
      </ns0:c>
      <ns0:c r="D962" s="16">
        <ns0:f>A962*('前提と出典'!$C$36*'契約別単価'!C5+'前提と出典'!$C$37*'契約別単価'!C6+'前提と出典'!$C$38*'契約別単価'!C7)</ns0:f>
        <ns0:v>6893.3184357541895</ns0:v>
      </ns0:c>
      <ns0:c r="E962" s="16">
        <ns0:f>A962*('前提と出典'!$C$36*'契約別単価'!E5+'前提と出典'!$C$37*'契約別単価'!E6+'前提と出典'!$C$38*'契約別単価'!E7)</ns0:f>
        <ns0:v>1853676.9811496066</ns0:v>
      </ns0:c>
      <ns0:c r="F962" s="16">
        <ns0:f>A962*('前提と出典'!$C$36*'契約別単価'!F5+'前提と出典'!$C$37*'契約別単価'!F6+'前提と出典'!$C$38*'契約別単価'!F7)</ns0:f>
        <ns0:v>727500.8695564374</ns0:v>
      </ns0:c>
      <ns0:c r="G962" s="16">
        <ns0:f>A962*('前提と出典'!$C$36*'契約別単価'!G5+'前提と出典'!$C$37*'契約別単価'!G6+'前提と出典'!$C$38*'契約別単価'!G7)</ns0:f>
        <ns0:v>1906901.6759776536</ns0:v>
      </ns0:c>
      <ns0:c r="H962" s="16">
        <ns0:f>A962*('前提と出典'!$C$36*'契約別単価'!H5+'前提と出典'!$C$37*'契約別単価'!H6+'前提と出典'!$C$38*'契約別単価'!H7)</ns0:f>
        <ns0:v>661790.520198759</ns0:v>
      </ns0:c>
      <ns0:c r="I962" s="16">
        <ns0:f>A962*('前提と出典'!$C$36*'契約別単価'!I5+'前提と出典'!$C$37*'契約別単価'!I6+'前提と出典'!$C$38*'契約別単価'!I7)</ns0:f>
        <ns0:v>40423.31843575418</ns0:v>
      </ns0:c>
      <ns0:c r="J962" s="16">
        <ns0:f>A962*('前提と出典'!$C$36*'契約別単価'!J5+'前提と出典'!$C$37*'契約別単価'!J6+'前提と出典'!$C$38*'契約別単価'!J7)</ns0:f>
        <ns0:v>94161.38287446985</ns0:v>
      </ns0:c>
      <ns0:c r="K962" s="16">
        <ns0:f>A962*('前提と出典'!$C$36*'契約別単価'!K5+'前提と出典'!$C$37*'契約別単価'!K6+'前提と出典'!$C$38*'契約別単価'!K7)</ns0:f>
        <ns0:v>403608.78957169456</ns0:v>
      </ns0:c>
      <ns0:c r="L962" s="16">
        <ns0:f>A962*('前提と出典'!$C$36*'契約別単価'!L5+'前提と出典'!$C$37*'契約別単価'!L6+'前提と出典'!$C$38*'契約別単価'!L7)</ns0:f>
        <ns0:v>328619.68400662526</ns0:v>
      </ns0:c>
      <ns0:c r="M962" s="16">
        <ns0:f>IF(('前提と出典'!$C$36+'前提と出典'!$C$38)=0,0,IF(B962&lt;=10,'前提と出典'!B73+'前提と出典'!C73,IF(B962&lt;=100,'前提と出典'!B74+'前提と出典'!C74,IF(B962&lt;=500,'前提と出典'!B75+'前提と出典'!C75,'前提と出典'!B76+'前提と出典'!C76))))</ns0:f>
        <ns0:v>80000</ns0:v>
      </ns0:c>
      <ns0:c r="N962" s="16">
        <ns0:f>IF(('前提と出典'!$C$37+'前提と出典'!$C$38)=0,0,IF(C962&lt;=10,'前提と出典'!D73+'前提と出典'!E73,IF(C962&lt;=100,'前提と出典'!D74+'前提と出典'!E74,IF(C962&lt;=500,'前提と出典'!D75+'前提と出典'!E75,'前提と出典'!D76+'前提と出典'!E76))))</ns0:f>
        <ns0:v>86510.9346263078</ns0:v>
      </ns0:c>
      <ns0:c r="O962" s="16">
        <ns0:f>IF('前提と出典'!$C$36+'前提と出典'!$C$38=0,0,'前提と出典'!$B$4*IF('前提と出典'!$B$20=0,MAX('前提と出典'!$B$6,D962*'前提と出典'!$B$5),'前提と出典'!$B$6+D962*'前提と出典'!$B$5))</ns0:f>
        <ns0:v>951277.9441340781</ns0:v>
      </ns0:c>
      <ns0:c r="P962" s="16">
        <ns0:f>(E962+G962)*(1-'前提と出典'!$B$7)-I962-K962-M962-O962</ns0:f>
        <ns0:v>2149887.7733291523</ns0:v>
      </ns0:c>
      <ns0:c r="Q962" s="16">
        <ns0:f>(F962+H962)*(1-'前提と出典'!$B$7)-J962-L962-N962</ns0:f>
        <ns0:v>829984.8982166064</ns0:v>
      </ns0:c>
      <ns0:c r="R962" s="16">
        <ns0:f>P962-E962*'前提と出典'!$E$4</ns0:f>
        <ns0:v>1593784.6789842704</ns0:v>
      </ns0:c>
      <ns0:c r="S962" s="16">
        <ns0:f>Q962-F962*'前提と出典'!$E$4</ns0:f>
        <ns0:v>611734.6373496754</ns0:v>
      </ns0:c>
      <ns0:c r="T962" s="7">
        <ns0:f>R962+S962</ns0:f>
        <ns0:v>2205519.316333946</ns0:v>
      </ns0:c>
      <ns0:c r="U962" s="16">
        <ns0:f>P962-E962*'前提と出典'!$E$5</ns0:f>
        <ns0:v>1408416.9808693095</ns0:v>
      </ns0:c>
      <ns0:c r="V962" s="16">
        <ns0:f>Q962-F962*'前提と出典'!$E$5</ns0:f>
        <ns0:v>538984.5503940315</ns0:v>
      </ns0:c>
      <ns0:c r="W962" s="7">
        <ns0:f>U962+V962</ns0:f>
        <ns0:v>1947401.531263341</ns0:v>
      </ns0:c>
      <ns0:c r="X962" s="16">
        <ns0:f>P962-E962*'前提と出典'!$E$6</ns0:f>
        <ns0:v>1223049.282754349</ns0:v>
      </ns0:c>
      <ns0:c r="Y962" s="16">
        <ns0:f>Q962-F962*'前提と出典'!$E$6</ns0:f>
        <ns0:v>466234.4634383877</ns0:v>
      </ns0:c>
      <ns0:c r="Z962" s="7">
        <ns0:f>X962+Y962</ns0:f>
        <ns0:v>1689283.7461927368</ns0:v>
      </ns0:c>
      <ns0:c r="AA962" s="7">
        <ns0:f>IF(T962&gt;=0,A962,1001)</ns0:f>
        <ns0:v>958</ns0:v>
      </ns0:c>
      <ns0:c r="AB962" s="7">
        <ns0:f>IF(T962&lt;0,A962,0)</ns0:f>
        <ns0:v>0</ns0:v>
      </ns0:c>
      <ns0:c r="AC962" s="16">
        <ns0:f>IF(AND(OR('前提と出典'!$C$36+'前提と出典'!$C$38=0,R962&gt;=0),OR('前提と出典'!$C$37+'前提と出典'!$C$38=0,S962&gt;=0)),0,A962)</ns0:f>
        <ns0:v>0</ns0:v>
      </ns0:c>
      <ns0:c r="AD962" s="7">
        <ns0:f>IF(W962&gt;=0,A962,1001)</ns0:f>
        <ns0:v>958</ns0:v>
      </ns0:c>
      <ns0:c r="AE962" s="7">
        <ns0:f>IF(W962&lt;0,A962,0)</ns0:f>
        <ns0:v>0</ns0:v>
      </ns0:c>
      <ns0:c r="AF962" s="16">
        <ns0:f>IF(AND(OR('前提と出典'!$C$36+'前提と出典'!$C$38=0,U962&gt;=0),OR('前提と出典'!$C$37+'前提と出典'!$C$38=0,V962&gt;=0)),0,A962)</ns0:f>
        <ns0:v>0</ns0:v>
      </ns0:c>
      <ns0:c r="AG962" s="7">
        <ns0:f>IF(Z962&gt;=0,A962,1001)</ns0:f>
        <ns0:v>958</ns0:v>
      </ns0:c>
      <ns0:c r="AH962" s="4">
        <ns0:f>IF(Z962&lt;0,A962,0)</ns0:f>
        <ns0:v>0</ns0:v>
      </ns0:c>
      <ns0:c r="AI962" s="12">
        <ns0:f>IF(AND(OR('前提と出典'!$C$36+'前提と出典'!$C$38=0,X962&gt;=0),OR('前提と出典'!$C$37+'前提と出典'!$C$38=0,Y962&gt;=0)),0,A962)</ns0:f>
        <ns0:v>0</ns0:v>
      </ns0:c>
    </ns0:row>
    <ns0:row r="963" ht="24" customHeight="1">
      <ns0:c r="A963" s="4" t="n">
        <ns0:v>959</ns0:v>
      </ns0:c>
      <ns0:c r="B963" s="12">
        <ns0:f>A963*('前提と出典'!$C$36+'前提と出典'!$C$38)</ns0:f>
        <ns0:v>671.3</ns0:v>
      </ns0:c>
      <ns0:c r="C963" s="12">
        <ns0:f>A963*('前提と出典'!$C$37+'前提と出典'!$C$38)</ns0:f>
        <ns0:v>575.4</ns0:v>
      </ns0:c>
      <ns0:c r="D963" s="16">
        <ns0:f>A963*('前提と出典'!$C$36*'契約別単価'!C5+'前提と出典'!$C$37*'契約別単価'!C6+'前提と出典'!$C$38*'契約別単価'!C7)</ns0:f>
        <ns0:v>6900.5139664804465</ns0:v>
      </ns0:c>
      <ns0:c r="E963" s="16">
        <ns0:f>A963*('前提と出典'!$C$36*'契約別単価'!E5+'前提と出典'!$C$37*'契約別単価'!E6+'前提と出典'!$C$38*'契約別単価'!E7)</ns0:f>
        <ns0:v>1855611.925806339</ns0:v>
      </ns0:c>
      <ns0:c r="F963" s="16">
        <ns0:f>A963*('前提と出典'!$C$36*'契約別単価'!F5+'前提と出典'!$C$37*'契約別単価'!F6+'前提と出典'!$C$38*'契約別単価'!F7)</ns0:f>
        <ns0:v>728260.2650361413</ns0:v>
      </ns0:c>
      <ns0:c r="G963" s="16">
        <ns0:f>A963*('前提と出典'!$C$36*'契約別単価'!G5+'前提と出典'!$C$37*'契約別単価'!G6+'前提と出典'!$C$38*'契約別単価'!G7)</ns0:f>
        <ns0:v>1908892.1787709496</ns0:v>
      </ns0:c>
      <ns0:c r="H963" s="16">
        <ns0:f>A963*('前提と出典'!$C$36*'契約別単価'!H5+'前提と出典'!$C$37*'契約別単価'!H6+'前提と出典'!$C$38*'契約別単価'!H7)</ns0:f>
        <ns0:v>662481.3244995928</ns0:v>
      </ns0:c>
      <ns0:c r="I963" s="16">
        <ns0:f>A963*('前提と出典'!$C$36*'契約別単価'!I5+'前提と出典'!$C$37*'契約別単価'!I6+'前提と出典'!$C$38*'契約別単価'!I7)</ns0:f>
        <ns0:v>40465.51396648044</ns0:v>
      </ns0:c>
      <ns0:c r="J963" s="16">
        <ns0:f>A963*('前提と出典'!$C$36*'契約別単価'!J5+'前提と出典'!$C$37*'契約別単価'!J6+'前提と出典'!$C$38*'契約別単価'!J7)</ns0:f>
        <ns0:v>94259.67241818015</ns0:v>
      </ns0:c>
      <ns0:c r="K963" s="16">
        <ns0:f>A963*('前提と出典'!$C$36*'契約別単価'!K5+'前提と出典'!$C$37*'契約別単価'!K6+'前提と出典'!$C$38*'契約別単価'!K7)</ns0:f>
        <ns0:v>404030.09310986963</ns0:v>
      </ns0:c>
      <ns0:c r="L963" s="16">
        <ns0:f>A963*('前提と出典'!$C$36*'契約別単価'!L5+'前提と出典'!$C$37*'契約別単価'!L6+'前提と出典'!$C$38*'契約別単価'!L7)</ns0:f>
        <ns0:v>328962.7108166531</ns0:v>
      </ns0:c>
      <ns0:c r="M963" s="16">
        <ns0:f>IF(('前提と出典'!$C$36+'前提と出典'!$C$38)=0,0,IF(B963&lt;=10,'前提と出典'!B73+'前提と出典'!C73,IF(B963&lt;=100,'前提と出典'!B74+'前提と出典'!C74,IF(B963&lt;=500,'前提と出典'!B75+'前提と出典'!C75,'前提と出典'!B76+'前提と出典'!C76))))</ns0:f>
        <ns0:v>80000</ns0:v>
      </ns0:c>
      <ns0:c r="N963" s="16">
        <ns0:f>IF(('前提と出典'!$C$37+'前提と出典'!$C$38)=0,0,IF(C963&lt;=10,'前提と出典'!D73+'前提と出典'!E73,IF(C963&lt;=100,'前提と出典'!D74+'前提と出典'!E74,IF(C963&lt;=500,'前提と出典'!D75+'前提と出典'!E75,'前提と出典'!D76+'前提と出典'!E76))))</ns0:f>
        <ns0:v>86510.9346263078</ns0:v>
      </ns0:c>
      <ns0:c r="O963" s="16">
        <ns0:f>IF('前提と出典'!$C$36+'前提と出典'!$C$38=0,0,'前提と出典'!$B$4*IF('前提と出典'!$B$20=0,MAX('前提と出典'!$B$6,D963*'前提と出典'!$B$5),'前提と出典'!$B$6+D963*'前提と出典'!$B$5))</ns0:f>
        <ns0:v>952270.9273743016</ns0:v>
      </ns0:c>
      <ns0:c r="P963" s="16">
        <ns0:f>(E963+G963)*(1-'前提と出典'!$B$7)-I963-K963-M963-O963</ns0:f>
        <ns0:v>2152215.422361855</ns0:v>
      </ns0:c>
      <ns0:c r="Q963" s="16">
        <ns0:f>(F963+H963)*(1-'前提と出典'!$B$7)-J963-L963-N963</ns0:f>
        <ns0:v>830941.5744513066</ns0:v>
      </ns0:c>
      <ns0:c r="R963" s="16">
        <ns0:f>P963-E963*'前提と出典'!$E$4</ns0:f>
        <ns0:v>1595531.844619953</ns0:v>
      </ns0:c>
      <ns0:c r="S963" s="16">
        <ns0:f>Q963-F963*'前提と出典'!$E$4</ns0:f>
        <ns0:v>612463.4949404643</ns0:v>
      </ns0:c>
      <ns0:c r="T963" s="7">
        <ns0:f>R963+S963</ns0:f>
        <ns0:v>2207995.3395604175</ns0:v>
      </ns0:c>
      <ns0:c r="U963" s="16">
        <ns0:f>P963-E963*'前提と出典'!$E$5</ns0:f>
        <ns0:v>1409970.6520393193</ns0:v>
      </ns0:c>
      <ns0:c r="V963" s="16">
        <ns0:f>Q963-F963*'前提と出典'!$E$5</ns0:f>
        <ns0:v>539637.4684368501</ns0:v>
      </ns0:c>
      <ns0:c r="W963" s="7">
        <ns0:f>U963+V963</ns0:f>
        <ns0:v>1949608.1204761695</ns0:v>
      </ns0:c>
      <ns0:c r="X963" s="16">
        <ns0:f>P963-E963*'前提と出典'!$E$6</ns0:f>
        <ns0:v>1224409.4594586855</ns0:v>
      </ns0:c>
      <ns0:c r="Y963" s="16">
        <ns0:f>Q963-F963*'前提と出典'!$E$6</ns0:f>
        <ns0:v>466811.4419332361</ns0:v>
      </ns0:c>
      <ns0:c r="Z963" s="7">
        <ns0:f>X963+Y963</ns0:f>
        <ns0:v>1691220.9013919216</ns0:v>
      </ns0:c>
      <ns0:c r="AA963" s="7">
        <ns0:f>IF(T963&gt;=0,A963,1001)</ns0:f>
        <ns0:v>959</ns0:v>
      </ns0:c>
      <ns0:c r="AB963" s="7">
        <ns0:f>IF(T963&lt;0,A963,0)</ns0:f>
        <ns0:v>0</ns0:v>
      </ns0:c>
      <ns0:c r="AC963" s="16">
        <ns0:f>IF(AND(OR('前提と出典'!$C$36+'前提と出典'!$C$38=0,R963&gt;=0),OR('前提と出典'!$C$37+'前提と出典'!$C$38=0,S963&gt;=0)),0,A963)</ns0:f>
        <ns0:v>0</ns0:v>
      </ns0:c>
      <ns0:c r="AD963" s="7">
        <ns0:f>IF(W963&gt;=0,A963,1001)</ns0:f>
        <ns0:v>959</ns0:v>
      </ns0:c>
      <ns0:c r="AE963" s="7">
        <ns0:f>IF(W963&lt;0,A963,0)</ns0:f>
        <ns0:v>0</ns0:v>
      </ns0:c>
      <ns0:c r="AF963" s="16">
        <ns0:f>IF(AND(OR('前提と出典'!$C$36+'前提と出典'!$C$38=0,U963&gt;=0),OR('前提と出典'!$C$37+'前提と出典'!$C$38=0,V963&gt;=0)),0,A963)</ns0:f>
        <ns0:v>0</ns0:v>
      </ns0:c>
      <ns0:c r="AG963" s="7">
        <ns0:f>IF(Z963&gt;=0,A963,1001)</ns0:f>
        <ns0:v>959</ns0:v>
      </ns0:c>
      <ns0:c r="AH963" s="4">
        <ns0:f>IF(Z963&lt;0,A963,0)</ns0:f>
        <ns0:v>0</ns0:v>
      </ns0:c>
      <ns0:c r="AI963" s="12">
        <ns0:f>IF(AND(OR('前提と出典'!$C$36+'前提と出典'!$C$38=0,X963&gt;=0),OR('前提と出典'!$C$37+'前提と出典'!$C$38=0,Y963&gt;=0)),0,A963)</ns0:f>
        <ns0:v>0</ns0:v>
      </ns0:c>
    </ns0:row>
    <ns0:row r="964" ht="24" customHeight="1">
      <ns0:c r="A964" s="4" t="n">
        <ns0:v>960</ns0:v>
      </ns0:c>
      <ns0:c r="B964" s="12">
        <ns0:f>A964*('前提と出典'!$C$36+'前提と出典'!$C$38)</ns0:f>
        <ns0:v>672</ns0:v>
      </ns0:c>
      <ns0:c r="C964" s="12">
        <ns0:f>A964*('前提と出典'!$C$37+'前提と出典'!$C$38)</ns0:f>
        <ns0:v>576</ns0:v>
      </ns0:c>
      <ns0:c r="D964" s="16">
        <ns0:f>A964*('前提と出典'!$C$36*'契約別単価'!C5+'前提と出典'!$C$37*'契約別単価'!C6+'前提と出典'!$C$38*'契約別単価'!C7)</ns0:f>
        <ns0:v>6907.709497206704</ns0:v>
      </ns0:c>
      <ns0:c r="E964" s="16">
        <ns0:f>A964*('前提と出典'!$C$36*'契約別単価'!E5+'前提と出典'!$C$37*'契約別単価'!E6+'前提と出典'!$C$38*'契約別単価'!E7)</ns0:f>
        <ns0:v>1857546.8704630714</ns0:v>
      </ns0:c>
      <ns0:c r="F964" s="16">
        <ns0:f>A964*('前提と出典'!$C$36*'契約別単価'!F5+'前提と出典'!$C$37*'契約別単価'!F6+'前提と出典'!$C$38*'契約別単価'!F7)</ns0:f>
        <ns0:v>729019.6605158453</ns0:v>
      </ns0:c>
      <ns0:c r="G964" s="16">
        <ns0:f>A964*('前提と出典'!$C$36*'契約別単価'!G5+'前提と出典'!$C$37*'契約別単価'!G6+'前提と出典'!$C$38*'契約別単価'!G7)</ns0:f>
        <ns0:v>1910882.6815642458</ns0:v>
      </ns0:c>
      <ns0:c r="H964" s="16">
        <ns0:f>A964*('前提と出典'!$C$36*'契約別単価'!H5+'前提と出典'!$C$37*'契約別単価'!H6+'前提と出典'!$C$38*'契約別単価'!H7)</ns0:f>
        <ns0:v>663172.1288004266</ns0:v>
      </ns0:c>
      <ns0:c r="I964" s="16">
        <ns0:f>A964*('前提と出典'!$C$36*'契約別単価'!I5+'前提と出典'!$C$37*'契約別単価'!I6+'前提と出典'!$C$38*'契約別単価'!I7)</ns0:f>
        <ns0:v>40507.7094972067</ns0:v>
      </ns0:c>
      <ns0:c r="J964" s="16">
        <ns0:f>A964*('前提と出典'!$C$36*'契約別単価'!J5+'前提と出典'!$C$37*'契約別単価'!J6+'前提と出典'!$C$38*'契約別単価'!J7)</ns0:f>
        <ns0:v>94357.96196189047</ns0:v>
      </ns0:c>
      <ns0:c r="K964" s="16">
        <ns0:f>A964*('前提と出典'!$C$36*'契約別単価'!K5+'前提と出典'!$C$37*'契約別単価'!K6+'前提と出典'!$C$38*'契約別単価'!K7)</ns0:f>
        <ns0:v>404451.39664804464</ns0:v>
      </ns0:c>
      <ns0:c r="L964" s="16">
        <ns0:f>A964*('前提と出典'!$C$36*'契約別単価'!L5+'前提と出典'!$C$37*'契約別単価'!L6+'前提と出典'!$C$38*'契約別単価'!L7)</ns0:f>
        <ns0:v>329305.7376266809</ns0:v>
      </ns0:c>
      <ns0:c r="M964" s="16">
        <ns0:f>IF(('前提と出典'!$C$36+'前提と出典'!$C$38)=0,0,IF(B964&lt;=10,'前提と出典'!B73+'前提と出典'!C73,IF(B964&lt;=100,'前提と出典'!B74+'前提と出典'!C74,IF(B964&lt;=500,'前提と出典'!B75+'前提と出典'!C75,'前提と出典'!B76+'前提と出典'!C76))))</ns0:f>
        <ns0:v>80000</ns0:v>
      </ns0:c>
      <ns0:c r="N964" s="16">
        <ns0:f>IF(('前提と出典'!$C$37+'前提と出典'!$C$38)=0,0,IF(C964&lt;=10,'前提と出典'!D73+'前提と出典'!E73,IF(C964&lt;=100,'前提と出典'!D74+'前提と出典'!E74,IF(C964&lt;=500,'前提と出典'!D75+'前提と出典'!E75,'前提と出典'!D76+'前提と出典'!E76))))</ns0:f>
        <ns0:v>86510.9346263078</ns0:v>
      </ns0:c>
      <ns0:c r="O964" s="16">
        <ns0:f>IF('前提と出典'!$C$36+'前提と出典'!$C$38=0,0,'前提と出典'!$B$4*IF('前提と出典'!$B$20=0,MAX('前提と出典'!$B$6,D964*'前提と出典'!$B$5),'前提と出典'!$B$6+D964*'前提と出典'!$B$5))</ns0:f>
        <ns0:v>953263.9106145252</ns0:v>
      </ns0:c>
      <ns0:c r="P964" s="16">
        <ns0:f>(E964+G964)*(1-'前提と出典'!$B$7)-I964-K964-M964-O964</ns0:f>
        <ns0:v>2154543.071394557</ns0:v>
      </ns0:c>
      <ns0:c r="Q964" s="16">
        <ns0:f>(F964+H964)*(1-'前提と出典'!$B$7)-J964-L964-N964</ns0:f>
        <ns0:v>831898.2506860071</ns0:v>
      </ns0:c>
      <ns0:c r="R964" s="16">
        <ns0:f>P964-E964*'前提と出典'!$E$4</ns0:f>
        <ns0:v>1597279.0102556355</ns0:v>
      </ns0:c>
      <ns0:c r="S964" s="16">
        <ns0:f>Q964-F964*'前提と出典'!$E$4</ns0:f>
        <ns0:v>613192.3525312535</ns0:v>
      </ns0:c>
      <ns0:c r="T964" s="7">
        <ns0:f>R964+S964</ns0:f>
        <ns0:v>2210471.362786889</ns0:v>
      </ns0:c>
      <ns0:c r="U964" s="16">
        <ns0:f>P964-E964*'前提と出典'!$E$5</ns0:f>
        <ns0:v>1411524.3232093283</ns0:v>
      </ns0:c>
      <ns0:c r="V964" s="16">
        <ns0:f>Q964-F964*'前提と出典'!$E$5</ns0:f>
        <ns0:v>540290.3864796689</ns0:v>
      </ns0:c>
      <ns0:c r="W964" s="7">
        <ns0:f>U964+V964</ns0:f>
        <ns0:v>1951814.7096889974</ns0:v>
      </ns0:c>
      <ns0:c r="X964" s="16">
        <ns0:f>P964-E964*'前提と出典'!$E$6</ns0:f>
        <ns0:v>1225769.6361630212</ns0:v>
      </ns0:c>
      <ns0:c r="Y964" s="16">
        <ns0:f>Q964-F964*'前提と出典'!$E$6</ns0:f>
        <ns0:v>467388.4204280843</ns0:v>
      </ns0:c>
      <ns0:c r="Z964" s="7">
        <ns0:f>X964+Y964</ns0:f>
        <ns0:v>1693158.0565911056</ns0:v>
      </ns0:c>
      <ns0:c r="AA964" s="7">
        <ns0:f>IF(T964&gt;=0,A964,1001)</ns0:f>
        <ns0:v>960</ns0:v>
      </ns0:c>
      <ns0:c r="AB964" s="7">
        <ns0:f>IF(T964&lt;0,A964,0)</ns0:f>
        <ns0:v>0</ns0:v>
      </ns0:c>
      <ns0:c r="AC964" s="16">
        <ns0:f>IF(AND(OR('前提と出典'!$C$36+'前提と出典'!$C$38=0,R964&gt;=0),OR('前提と出典'!$C$37+'前提と出典'!$C$38=0,S964&gt;=0)),0,A964)</ns0:f>
        <ns0:v>0</ns0:v>
      </ns0:c>
      <ns0:c r="AD964" s="7">
        <ns0:f>IF(W964&gt;=0,A964,1001)</ns0:f>
        <ns0:v>960</ns0:v>
      </ns0:c>
      <ns0:c r="AE964" s="7">
        <ns0:f>IF(W964&lt;0,A964,0)</ns0:f>
        <ns0:v>0</ns0:v>
      </ns0:c>
      <ns0:c r="AF964" s="16">
        <ns0:f>IF(AND(OR('前提と出典'!$C$36+'前提と出典'!$C$38=0,U964&gt;=0),OR('前提と出典'!$C$37+'前提と出典'!$C$38=0,V964&gt;=0)),0,A964)</ns0:f>
        <ns0:v>0</ns0:v>
      </ns0:c>
      <ns0:c r="AG964" s="7">
        <ns0:f>IF(Z964&gt;=0,A964,1001)</ns0:f>
        <ns0:v>960</ns0:v>
      </ns0:c>
      <ns0:c r="AH964" s="4">
        <ns0:f>IF(Z964&lt;0,A964,0)</ns0:f>
        <ns0:v>0</ns0:v>
      </ns0:c>
      <ns0:c r="AI964" s="12">
        <ns0:f>IF(AND(OR('前提と出典'!$C$36+'前提と出典'!$C$38=0,X964&gt;=0),OR('前提と出典'!$C$37+'前提と出典'!$C$38=0,Y964&gt;=0)),0,A964)</ns0:f>
        <ns0:v>0</ns0:v>
      </ns0:c>
    </ns0:row>
    <ns0:row r="965" ht="24" customHeight="1">
      <ns0:c r="A965" s="4" t="n">
        <ns0:v>961</ns0:v>
      </ns0:c>
      <ns0:c r="B965" s="12">
        <ns0:f>A965*('前提と出典'!$C$36+'前提と出典'!$C$38)</ns0:f>
        <ns0:v>672.6999999999999</ns0:v>
      </ns0:c>
      <ns0:c r="C965" s="12">
        <ns0:f>A965*('前提と出典'!$C$37+'前提と出典'!$C$38)</ns0:f>
        <ns0:v>576.6</ns0:v>
      </ns0:c>
      <ns0:c r="D965" s="16">
        <ns0:f>A965*('前提と出典'!$C$36*'契約別単価'!C5+'前提と出典'!$C$37*'契約別単価'!C6+'前提と出典'!$C$38*'契約別単価'!C7)</ns0:f>
        <ns0:v>6914.905027932961</ns0:v>
      </ns0:c>
      <ns0:c r="E965" s="16">
        <ns0:f>A965*('前提と出典'!$C$36*'契約別単価'!E5+'前提と出典'!$C$37*'契約別単価'!E6+'前提と出典'!$C$38*'契約別単価'!E7)</ns0:f>
        <ns0:v>1859481.8151198037</ns0:v>
      </ns0:c>
      <ns0:c r="F965" s="16">
        <ns0:f>A965*('前提と出典'!$C$36*'契約別単価'!F5+'前提と出典'!$C$37*'契約別単価'!F6+'前提と出典'!$C$38*'契約別単価'!F7)</ns0:f>
        <ns0:v>729779.0559955493</ns0:v>
      </ns0:c>
      <ns0:c r="G965" s="16">
        <ns0:f>A965*('前提と出典'!$C$36*'契約別単価'!G5+'前提と出典'!$C$37*'契約別単価'!G6+'前提と出典'!$C$38*'契約別単価'!G7)</ns0:f>
        <ns0:v>1912873.1843575418</ns0:v>
      </ns0:c>
      <ns0:c r="H965" s="16">
        <ns0:f>A965*('前提と出典'!$C$36*'契約別単価'!H5+'前提と出典'!$C$37*'契約別単価'!H6+'前提と出典'!$C$38*'契約別単価'!H7)</ns0:f>
        <ns0:v>663862.9331012603</ns0:v>
      </ns0:c>
      <ns0:c r="I965" s="16">
        <ns0:f>A965*('前提と出典'!$C$36*'契約別単価'!I5+'前提と出典'!$C$37*'契約別単価'!I6+'前提と出典'!$C$38*'契約別単価'!I7)</ns0:f>
        <ns0:v>40549.90502793295</ns0:v>
      </ns0:c>
      <ns0:c r="J965" s="16">
        <ns0:f>A965*('前提と出典'!$C$36*'契約別単価'!J5+'前提と出典'!$C$37*'契約別単価'!J6+'前提と出典'!$C$38*'契約別単価'!J7)</ns0:f>
        <ns0:v>94456.25150560077</ns0:v>
      </ns0:c>
      <ns0:c r="K965" s="16">
        <ns0:f>A965*('前提と出典'!$C$36*'契約別単価'!K5+'前提と出典'!$C$37*'契約別単価'!K6+'前提と出典'!$C$38*'契約別単価'!K7)</ns0:f>
        <ns0:v>404872.7001862197</ns0:v>
      </ns0:c>
      <ns0:c r="L965" s="16">
        <ns0:f>A965*('前提と出典'!$C$36*'契約別単価'!L5+'前提と出典'!$C$37*'契約別単価'!L6+'前提と出典'!$C$38*'契約別単価'!L7)</ns0:f>
        <ns0:v>329648.76443670865</ns0:v>
      </ns0:c>
      <ns0:c r="M965" s="16">
        <ns0:f>IF(('前提と出典'!$C$36+'前提と出典'!$C$38)=0,0,IF(B965&lt;=10,'前提と出典'!B73+'前提と出典'!C73,IF(B965&lt;=100,'前提と出典'!B74+'前提と出典'!C74,IF(B965&lt;=500,'前提と出典'!B75+'前提と出典'!C75,'前提と出典'!B76+'前提と出典'!C76))))</ns0:f>
        <ns0:v>80000</ns0:v>
      </ns0:c>
      <ns0:c r="N965" s="16">
        <ns0:f>IF(('前提と出典'!$C$37+'前提と出典'!$C$38)=0,0,IF(C965&lt;=10,'前提と出典'!D73+'前提と出典'!E73,IF(C965&lt;=100,'前提と出典'!D74+'前提と出典'!E74,IF(C965&lt;=500,'前提と出典'!D75+'前提と出典'!E75,'前提と出典'!D76+'前提と出典'!E76))))</ns0:f>
        <ns0:v>86510.9346263078</ns0:v>
      </ns0:c>
      <ns0:c r="O965" s="16">
        <ns0:f>IF('前提と出典'!$C$36+'前提と出典'!$C$38=0,0,'前提と出典'!$B$4*IF('前提と出典'!$B$20=0,MAX('前提と出典'!$B$6,D965*'前提と出典'!$B$5),'前提と出典'!$B$6+D965*'前提と出典'!$B$5))</ns0:f>
        <ns0:v>954256.8938547487</ns0:v>
      </ns0:c>
      <ns0:c r="P965" s="16">
        <ns0:f>(E965+G965)*(1-'前提と出典'!$B$7)-I965-K965-M965-O965</ns0:f>
        <ns0:v>2156870.72042726</ns0:v>
      </ns0:c>
      <ns0:c r="Q965" s="16">
        <ns0:f>(F965+H965)*(1-'前提と出典'!$B$7)-J965-L965-N965</ns0:f>
        <ns0:v>832854.9269207071</ns0:v>
      </ns0:c>
      <ns0:c r="R965" s="16">
        <ns0:f>P965-E965*'前提と出典'!$E$4</ns0:f>
        <ns0:v>1599026.175891319</ns0:v>
      </ns0:c>
      <ns0:c r="S965" s="16">
        <ns0:f>Q965-F965*'前提と出典'!$E$4</ns0:f>
        <ns0:v>613921.2101220425</ns0:v>
      </ns0:c>
      <ns0:c r="T965" s="7">
        <ns0:f>R965+S965</ns0:f>
        <ns0:v>2212947.3860133616</ns0:v>
      </ns0:c>
      <ns0:c r="U965" s="16">
        <ns0:f>P965-E965*'前提と出典'!$E$5</ns0:f>
        <ns0:v>1413077.9943793386</ns0:v>
      </ns0:c>
      <ns0:c r="V965" s="16">
        <ns0:f>Q965-F965*'前提と出典'!$E$5</ns0:f>
        <ns0:v>540943.3045224875</ns0:v>
      </ns0:c>
      <ns0:c r="W965" s="7">
        <ns0:f>U965+V965</ns0:f>
        <ns0:v>1954021.2989018261</ns0:v>
      </ns0:c>
      <ns0:c r="X965" s="16">
        <ns0:f>P965-E965*'前提と出典'!$E$6</ns0:f>
        <ns0:v>1227129.812867358</ns0:v>
      </ns0:c>
      <ns0:c r="Y965" s="16">
        <ns0:f>Q965-F965*'前提と出典'!$E$6</ns0:f>
        <ns0:v>467965.3989229327</ns0:v>
      </ns0:c>
      <ns0:c r="Z965" s="7">
        <ns0:f>X965+Y965</ns0:f>
        <ns0:v>1695095.2117902907</ns0:v>
      </ns0:c>
      <ns0:c r="AA965" s="7">
        <ns0:f>IF(T965&gt;=0,A965,1001)</ns0:f>
        <ns0:v>961</ns0:v>
      </ns0:c>
      <ns0:c r="AB965" s="7">
        <ns0:f>IF(T965&lt;0,A965,0)</ns0:f>
        <ns0:v>0</ns0:v>
      </ns0:c>
      <ns0:c r="AC965" s="16">
        <ns0:f>IF(AND(OR('前提と出典'!$C$36+'前提と出典'!$C$38=0,R965&gt;=0),OR('前提と出典'!$C$37+'前提と出典'!$C$38=0,S965&gt;=0)),0,A965)</ns0:f>
        <ns0:v>0</ns0:v>
      </ns0:c>
      <ns0:c r="AD965" s="7">
        <ns0:f>IF(W965&gt;=0,A965,1001)</ns0:f>
        <ns0:v>961</ns0:v>
      </ns0:c>
      <ns0:c r="AE965" s="7">
        <ns0:f>IF(W965&lt;0,A965,0)</ns0:f>
        <ns0:v>0</ns0:v>
      </ns0:c>
      <ns0:c r="AF965" s="16">
        <ns0:f>IF(AND(OR('前提と出典'!$C$36+'前提と出典'!$C$38=0,U965&gt;=0),OR('前提と出典'!$C$37+'前提と出典'!$C$38=0,V965&gt;=0)),0,A965)</ns0:f>
        <ns0:v>0</ns0:v>
      </ns0:c>
      <ns0:c r="AG965" s="7">
        <ns0:f>IF(Z965&gt;=0,A965,1001)</ns0:f>
        <ns0:v>961</ns0:v>
      </ns0:c>
      <ns0:c r="AH965" s="4">
        <ns0:f>IF(Z965&lt;0,A965,0)</ns0:f>
        <ns0:v>0</ns0:v>
      </ns0:c>
      <ns0:c r="AI965" s="12">
        <ns0:f>IF(AND(OR('前提と出典'!$C$36+'前提と出典'!$C$38=0,X965&gt;=0),OR('前提と出典'!$C$37+'前提と出典'!$C$38=0,Y965&gt;=0)),0,A965)</ns0:f>
        <ns0:v>0</ns0:v>
      </ns0:c>
    </ns0:row>
    <ns0:row r="966" ht="24" customHeight="1">
      <ns0:c r="A966" s="4" t="n">
        <ns0:v>962</ns0:v>
      </ns0:c>
      <ns0:c r="B966" s="12">
        <ns0:f>A966*('前提と出典'!$C$36+'前提と出典'!$C$38)</ns0:f>
        <ns0:v>673.4</ns0:v>
      </ns0:c>
      <ns0:c r="C966" s="12">
        <ns0:f>A966*('前提と出典'!$C$37+'前提と出典'!$C$38)</ns0:f>
        <ns0:v>577.1999999999999</ns0:v>
      </ns0:c>
      <ns0:c r="D966" s="16">
        <ns0:f>A966*('前提と出典'!$C$36*'契約別単価'!C5+'前提と出典'!$C$37*'契約別単価'!C6+'前提と出典'!$C$38*'契約別単価'!C7)</ns0:f>
        <ns0:v>6922.100558659218</ns0:v>
      </ns0:c>
      <ns0:c r="E966" s="16">
        <ns0:f>A966*('前提と出典'!$C$36*'契約別単価'!E5+'前提と出典'!$C$37*'契約別単価'!E6+'前提と出典'!$C$38*'契約別単価'!E7)</ns0:f>
        <ns0:v>1861416.7597765361</ns0:v>
      </ns0:c>
      <ns0:c r="F966" s="16">
        <ns0:f>A966*('前提と出典'!$C$36*'契約別単価'!F5+'前提と出典'!$C$37*'契約別単価'!F6+'前提と出典'!$C$38*'契約別単価'!F7)</ns0:f>
        <ns0:v>730538.4514752533</ns0:v>
      </ns0:c>
      <ns0:c r="G966" s="16">
        <ns0:f>A966*('前提と出典'!$C$36*'契約別単価'!G5+'前提と出典'!$C$37*'契約別単価'!G6+'前提と出典'!$C$38*'契約別単価'!G7)</ns0:f>
        <ns0:v>1914863.6871508379</ns0:v>
      </ns0:c>
      <ns0:c r="H966" s="16">
        <ns0:f>A966*('前提と出典'!$C$36*'契約別単価'!H5+'前提と出典'!$C$37*'契約別単価'!H6+'前提と出典'!$C$38*'契約別単価'!H7)</ns0:f>
        <ns0:v>664553.7374020942</ns0:v>
      </ns0:c>
      <ns0:c r="I966" s="16">
        <ns0:f>A966*('前提と出典'!$C$36*'契約別単価'!I5+'前提と出典'!$C$37*'契約別単価'!I6+'前提と出典'!$C$38*'契約別単価'!I7)</ns0:f>
        <ns0:v>40592.100558659215</ns0:v>
      </ns0:c>
      <ns0:c r="J966" s="16">
        <ns0:f>A966*('前提と出典'!$C$36*'契約別単価'!J5+'前提と出典'!$C$37*'契約別単価'!J6+'前提と出典'!$C$38*'契約別単価'!J7)</ns0:f>
        <ns0:v>94554.54104931107</ns0:v>
      </ns0:c>
      <ns0:c r="K966" s="16">
        <ns0:f>A966*('前提と出典'!$C$36*'契約別単価'!K5+'前提と出典'!$C$37*'契約別単価'!K6+'前提と出典'!$C$38*'契約別単価'!K7)</ns0:f>
        <ns0:v>405294.0037243948</ns0:v>
      </ns0:c>
      <ns0:c r="L966" s="16">
        <ns0:f>A966*('前提と出典'!$C$36*'契約別単価'!L5+'前提と出典'!$C$37*'契約別単価'!L6+'前提と出典'!$C$38*'契約別単価'!L7)</ns0:f>
        <ns0:v>329991.7912467365</ns0:v>
      </ns0:c>
      <ns0:c r="M966" s="16">
        <ns0:f>IF(('前提と出典'!$C$36+'前提と出典'!$C$38)=0,0,IF(B966&lt;=10,'前提と出典'!B73+'前提と出典'!C73,IF(B966&lt;=100,'前提と出典'!B74+'前提と出典'!C74,IF(B966&lt;=500,'前提と出典'!B75+'前提と出典'!C75,'前提と出典'!B76+'前提と出典'!C76))))</ns0:f>
        <ns0:v>80000</ns0:v>
      </ns0:c>
      <ns0:c r="N966" s="16">
        <ns0:f>IF(('前提と出典'!$C$37+'前提と出典'!$C$38)=0,0,IF(C966&lt;=10,'前提と出典'!D73+'前提と出典'!E73,IF(C966&lt;=100,'前提と出典'!D74+'前提と出典'!E74,IF(C966&lt;=500,'前提と出典'!D75+'前提と出典'!E75,'前提と出典'!D76+'前提と出典'!E76))))</ns0:f>
        <ns0:v>86510.9346263078</ns0:v>
      </ns0:c>
      <ns0:c r="O966" s="16">
        <ns0:f>IF('前提と出典'!$C$36+'前提と出典'!$C$38=0,0,'前提と出典'!$B$4*IF('前提と出典'!$B$20=0,MAX('前提と出典'!$B$6,D966*'前提と出典'!$B$5),'前提と出典'!$B$6+D966*'前提と出典'!$B$5))</ns0:f>
        <ns0:v>955249.8770949722</ns0:v>
      </ns0:c>
      <ns0:c r="P966" s="16">
        <ns0:f>(E966+G966)*(1-'前提と出典'!$B$7)-I966-K966-M966-O966</ns0:f>
        <ns0:v>2159198.369459963</ns0:v>
      </ns0:c>
      <ns0:c r="Q966" s="16">
        <ns0:f>(F966+H966)*(1-'前提と出典'!$B$7)-J966-L966-N966</ns0:f>
        <ns0:v>833811.6031554077</ns0:v>
      </ns0:c>
      <ns0:c r="R966" s="16">
        <ns0:f>P966-E966*'前提と出典'!$E$4</ns0:f>
        <ns0:v>1600773.3415270022</ns0:v>
      </ns0:c>
      <ns0:c r="S966" s="16">
        <ns0:f>Q966-F966*'前提と出典'!$E$4</ns0:f>
        <ns0:v>614650.0677128315</ns0:v>
      </ns0:c>
      <ns0:c r="T966" s="7">
        <ns0:f>R966+S966</ns0:f>
        <ns0:v>2215423.4092398337</ns0:v>
      </ns0:c>
      <ns0:c r="U966" s="16">
        <ns0:f>P966-E966*'前提と出典'!$E$5</ns0:f>
        <ns0:v>1414631.6655493483</ns0:v>
      </ns0:c>
      <ns0:c r="V966" s="16">
        <ns0:f>Q966-F966*'前提と出典'!$E$5</ns0:f>
        <ns0:v>541596.2225653064</ns0:v>
      </ns0:c>
      <ns0:c r="W966" s="7">
        <ns0:f>U966+V966</ns0:f>
        <ns0:v>1956227.8881146547</ns0:v>
      </ns0:c>
      <ns0:c r="X966" s="16">
        <ns0:f>P966-E966*'前提と出典'!$E$6</ns0:f>
        <ns0:v>1228489.9895716945</ns0:v>
      </ns0:c>
      <ns0:c r="Y966" s="16">
        <ns0:f>Q966-F966*'前提と出典'!$E$6</ns0:f>
        <ns0:v>468542.3774177809</ns0:v>
      </ns0:c>
      <ns0:c r="Z966" s="7">
        <ns0:f>X966+Y966</ns0:f>
        <ns0:v>1697032.3669894754</ns0:v>
      </ns0:c>
      <ns0:c r="AA966" s="7">
        <ns0:f>IF(T966&gt;=0,A966,1001)</ns0:f>
        <ns0:v>962</ns0:v>
      </ns0:c>
      <ns0:c r="AB966" s="7">
        <ns0:f>IF(T966&lt;0,A966,0)</ns0:f>
        <ns0:v>0</ns0:v>
      </ns0:c>
      <ns0:c r="AC966" s="16">
        <ns0:f>IF(AND(OR('前提と出典'!$C$36+'前提と出典'!$C$38=0,R966&gt;=0),OR('前提と出典'!$C$37+'前提と出典'!$C$38=0,S966&gt;=0)),0,A966)</ns0:f>
        <ns0:v>0</ns0:v>
      </ns0:c>
      <ns0:c r="AD966" s="7">
        <ns0:f>IF(W966&gt;=0,A966,1001)</ns0:f>
        <ns0:v>962</ns0:v>
      </ns0:c>
      <ns0:c r="AE966" s="7">
        <ns0:f>IF(W966&lt;0,A966,0)</ns0:f>
        <ns0:v>0</ns0:v>
      </ns0:c>
      <ns0:c r="AF966" s="16">
        <ns0:f>IF(AND(OR('前提と出典'!$C$36+'前提と出典'!$C$38=0,U966&gt;=0),OR('前提と出典'!$C$37+'前提と出典'!$C$38=0,V966&gt;=0)),0,A966)</ns0:f>
        <ns0:v>0</ns0:v>
      </ns0:c>
      <ns0:c r="AG966" s="7">
        <ns0:f>IF(Z966&gt;=0,A966,1001)</ns0:f>
        <ns0:v>962</ns0:v>
      </ns0:c>
      <ns0:c r="AH966" s="4">
        <ns0:f>IF(Z966&lt;0,A966,0)</ns0:f>
        <ns0:v>0</ns0:v>
      </ns0:c>
      <ns0:c r="AI966" s="12">
        <ns0:f>IF(AND(OR('前提と出典'!$C$36+'前提と出典'!$C$38=0,X966&gt;=0),OR('前提と出典'!$C$37+'前提と出典'!$C$38=0,Y966&gt;=0)),0,A966)</ns0:f>
        <ns0:v>0</ns0:v>
      </ns0:c>
    </ns0:row>
    <ns0:row r="967" ht="24" customHeight="1">
      <ns0:c r="A967" s="4" t="n">
        <ns0:v>963</ns0:v>
      </ns0:c>
      <ns0:c r="B967" s="12">
        <ns0:f>A967*('前提と出典'!$C$36+'前提と出典'!$C$38)</ns0:f>
        <ns0:v>674.0999999999999</ns0:v>
      </ns0:c>
      <ns0:c r="C967" s="12">
        <ns0:f>A967*('前提と出典'!$C$37+'前提と出典'!$C$38)</ns0:f>
        <ns0:v>577.8</ns0:v>
      </ns0:c>
      <ns0:c r="D967" s="16">
        <ns0:f>A967*('前提と出典'!$C$36*'契約別単価'!C5+'前提と出典'!$C$37*'契約別単価'!C6+'前提と出典'!$C$38*'契約別単価'!C7)</ns0:f>
        <ns0:v>6929.296089385475</ns0:v>
      </ns0:c>
      <ns0:c r="E967" s="16">
        <ns0:f>A967*('前提と出典'!$C$36*'契約別単価'!E5+'前提と出典'!$C$37*'契約別単価'!E6+'前提と出典'!$C$38*'契約別単価'!E7)</ns0:f>
        <ns0:v>1863351.7044332684</ns0:v>
      </ns0:c>
      <ns0:c r="F967" s="16">
        <ns0:f>A967*('前提と出典'!$C$36*'契約別単価'!F5+'前提と出典'!$C$37*'契約別単価'!F6+'前提と出典'!$C$38*'契約別単価'!F7)</ns0:f>
        <ns0:v>731297.8469549573</ns0:v>
      </ns0:c>
      <ns0:c r="G967" s="16">
        <ns0:f>A967*('前提と出典'!$C$36*'契約別単価'!G5+'前提と出典'!$C$37*'契約別単価'!G6+'前提と出典'!$C$38*'契約別単価'!G7)</ns0:f>
        <ns0:v>1916854.189944134</ns0:v>
      </ns0:c>
      <ns0:c r="H967" s="16">
        <ns0:f>A967*('前提と出典'!$C$36*'契約別単価'!H5+'前提と出典'!$C$37*'契約別単価'!H6+'前提と出典'!$C$38*'契約別単価'!H7)</ns0:f>
        <ns0:v>665244.5417029279</ns0:v>
      </ns0:c>
      <ns0:c r="I967" s="16">
        <ns0:f>A967*('前提と出典'!$C$36*'契約別単価'!I5+'前提と出典'!$C$37*'契約別単価'!I6+'前提と出典'!$C$38*'契約別単価'!I7)</ns0:f>
        <ns0:v>40634.29608938547</ns0:v>
      </ns0:c>
      <ns0:c r="J967" s="16">
        <ns0:f>A967*('前提と出典'!$C$36*'契約別単価'!J5+'前提と出典'!$C$37*'契約別単価'!J6+'前提と出典'!$C$38*'契約別単価'!J7)</ns0:f>
        <ns0:v>94652.83059302137</ns0:v>
      </ns0:c>
      <ns0:c r="K967" s="16">
        <ns0:f>A967*('前提と出典'!$C$36*'契約別単価'!K5+'前提と出典'!$C$37*'契約別単価'!K6+'前提と出典'!$C$38*'契約別単価'!K7)</ns0:f>
        <ns0:v>405715.3072625698</ns0:v>
      </ns0:c>
      <ns0:c r="L967" s="16">
        <ns0:f>A967*('前提と出典'!$C$36*'契約別単価'!L5+'前提と出典'!$C$37*'契約別単価'!L6+'前提と出典'!$C$38*'契約別単価'!L7)</ns0:f>
        <ns0:v>330334.81805676426</ns0:v>
      </ns0:c>
      <ns0:c r="M967" s="16">
        <ns0:f>IF(('前提と出典'!$C$36+'前提と出典'!$C$38)=0,0,IF(B967&lt;=10,'前提と出典'!B73+'前提と出典'!C73,IF(B967&lt;=100,'前提と出典'!B74+'前提と出典'!C74,IF(B967&lt;=500,'前提と出典'!B75+'前提と出典'!C75,'前提と出典'!B76+'前提と出典'!C76))))</ns0:f>
        <ns0:v>80000</ns0:v>
      </ns0:c>
      <ns0:c r="N967" s="16">
        <ns0:f>IF(('前提と出典'!$C$37+'前提と出典'!$C$38)=0,0,IF(C967&lt;=10,'前提と出典'!D73+'前提と出典'!E73,IF(C967&lt;=100,'前提と出典'!D74+'前提と出典'!E74,IF(C967&lt;=500,'前提と出典'!D75+'前提と出典'!E75,'前提と出典'!D76+'前提と出典'!E76))))</ns0:f>
        <ns0:v>86510.9346263078</ns0:v>
      </ns0:c>
      <ns0:c r="O967" s="16">
        <ns0:f>IF('前提と出典'!$C$36+'前提と出典'!$C$38=0,0,'前提と出典'!$B$4*IF('前提と出典'!$B$20=0,MAX('前提と出典'!$B$6,D967*'前提と出典'!$B$5),'前提と出典'!$B$6+D967*'前提と出典'!$B$5))</ns0:f>
        <ns0:v>956242.8603351957</ns0:v>
      </ns0:c>
      <ns0:c r="P967" s="16">
        <ns0:f>(E967+G967)*(1-'前提と出典'!$B$7)-I967-K967-M967-O967</ns0:f>
        <ns0:v>2161526.018492665</ns0:v>
      </ns0:c>
      <ns0:c r="Q967" s="16">
        <ns0:f>(F967+H967)*(1-'前提と出典'!$B$7)-J967-L967-N967</ns0:f>
        <ns0:v>834768.2793901078</ns0:v>
      </ns0:c>
      <ns0:c r="R967" s="16">
        <ns0:f>P967-E967*'前提と出典'!$E$4</ns0:f>
        <ns0:v>1602520.5071626843</ns0:v>
      </ns0:c>
      <ns0:c r="S967" s="16">
        <ns0:f>Q967-F967*'前提と出典'!$E$4</ns0:f>
        <ns0:v>615378.9253036208</ns0:v>
      </ns0:c>
      <ns0:c r="T967" s="7">
        <ns0:f>R967+S967</ns0:f>
        <ns0:v>2217899.432466305</ns0:v>
      </ns0:c>
      <ns0:c r="U967" s="16">
        <ns0:f>P967-E967*'前提と出典'!$E$5</ns0:f>
        <ns0:v>1416185.3367193576</ns0:v>
      </ns0:c>
      <ns0:c r="V967" s="16">
        <ns0:f>Q967-F967*'前提と出典'!$E$5</ns0:f>
        <ns0:v>542249.1406081249</ns0:v>
      </ns0:c>
      <ns0:c r="W967" s="7">
        <ns0:f>U967+V967</ns0:f>
        <ns0:v>1958434.4773274825</ns0:v>
      </ns0:c>
      <ns0:c r="X967" s="16">
        <ns0:f>P967-E967*'前提と出典'!$E$6</ns0:f>
        <ns0:v>1229850.1662760305</ns0:v>
      </ns0:c>
      <ns0:c r="Y967" s="16">
        <ns0:f>Q967-F967*'前提と出典'!$E$6</ns0:f>
        <ns0:v>469119.3559126293</ns0:v>
      </ns0:c>
      <ns0:c r="Z967" s="7">
        <ns0:f>X967+Y967</ns0:f>
        <ns0:v>1698969.5221886598</ns0:v>
      </ns0:c>
      <ns0:c r="AA967" s="7">
        <ns0:f>IF(T967&gt;=0,A967,1001)</ns0:f>
        <ns0:v>963</ns0:v>
      </ns0:c>
      <ns0:c r="AB967" s="7">
        <ns0:f>IF(T967&lt;0,A967,0)</ns0:f>
        <ns0:v>0</ns0:v>
      </ns0:c>
      <ns0:c r="AC967" s="16">
        <ns0:f>IF(AND(OR('前提と出典'!$C$36+'前提と出典'!$C$38=0,R967&gt;=0),OR('前提と出典'!$C$37+'前提と出典'!$C$38=0,S967&gt;=0)),0,A967)</ns0:f>
        <ns0:v>0</ns0:v>
      </ns0:c>
      <ns0:c r="AD967" s="7">
        <ns0:f>IF(W967&gt;=0,A967,1001)</ns0:f>
        <ns0:v>963</ns0:v>
      </ns0:c>
      <ns0:c r="AE967" s="7">
        <ns0:f>IF(W967&lt;0,A967,0)</ns0:f>
        <ns0:v>0</ns0:v>
      </ns0:c>
      <ns0:c r="AF967" s="16">
        <ns0:f>IF(AND(OR('前提と出典'!$C$36+'前提と出典'!$C$38=0,U967&gt;=0),OR('前提と出典'!$C$37+'前提と出典'!$C$38=0,V967&gt;=0)),0,A967)</ns0:f>
        <ns0:v>0</ns0:v>
      </ns0:c>
      <ns0:c r="AG967" s="7">
        <ns0:f>IF(Z967&gt;=0,A967,1001)</ns0:f>
        <ns0:v>963</ns0:v>
      </ns0:c>
      <ns0:c r="AH967" s="4">
        <ns0:f>IF(Z967&lt;0,A967,0)</ns0:f>
        <ns0:v>0</ns0:v>
      </ns0:c>
      <ns0:c r="AI967" s="12">
        <ns0:f>IF(AND(OR('前提と出典'!$C$36+'前提と出典'!$C$38=0,X967&gt;=0),OR('前提と出典'!$C$37+'前提と出典'!$C$38=0,Y967&gt;=0)),0,A967)</ns0:f>
        <ns0:v>0</ns0:v>
      </ns0:c>
    </ns0:row>
    <ns0:row r="968" ht="24" customHeight="1">
      <ns0:c r="A968" s="4" t="n">
        <ns0:v>964</ns0:v>
      </ns0:c>
      <ns0:c r="B968" s="12">
        <ns0:f>A968*('前提と出典'!$C$36+'前提と出典'!$C$38)</ns0:f>
        <ns0:v>674.8</ns0:v>
      </ns0:c>
      <ns0:c r="C968" s="12">
        <ns0:f>A968*('前提と出典'!$C$37+'前提と出典'!$C$38)</ns0:f>
        <ns0:v>578.4</ns0:v>
      </ns0:c>
      <ns0:c r="D968" s="16">
        <ns0:f>A968*('前提と出典'!$C$36*'契約別単価'!C5+'前提と出典'!$C$37*'契約別単価'!C6+'前提と出典'!$C$38*'契約別単価'!C7)</ns0:f>
        <ns0:v>6936.491620111732</ns0:v>
      </ns0:c>
      <ns0:c r="E968" s="16">
        <ns0:f>A968*('前提と出典'!$C$36*'契約別単価'!E5+'前提と出典'!$C$37*'契約別単価'!E6+'前提と出典'!$C$38*'契約別単価'!E7)</ns0:f>
        <ns0:v>1865286.649090001</ns0:v>
      </ns0:c>
      <ns0:c r="F968" s="16">
        <ns0:f>A968*('前提と出典'!$C$36*'契約別単価'!F5+'前提と出典'!$C$37*'契約別単価'!F6+'前提と出典'!$C$38*'契約別単価'!F7)</ns0:f>
        <ns0:v>732057.2424346614</ns0:v>
      </ns0:c>
      <ns0:c r="G968" s="16">
        <ns0:f>A968*('前提と出典'!$C$36*'契約別単価'!G5+'前提と出典'!$C$37*'契約別単価'!G6+'前提と出典'!$C$38*'契約別単価'!G7)</ns0:f>
        <ns0:v>1918844.69273743</ns0:v>
      </ns0:c>
      <ns0:c r="H968" s="16">
        <ns0:f>A968*('前提と出典'!$C$36*'契約別単価'!H5+'前提と出典'!$C$37*'契約別単価'!H6+'前提と出典'!$C$38*'契約別単価'!H7)</ns0:f>
        <ns0:v>665935.3460037617</ns0:v>
      </ns0:c>
      <ns0:c r="I968" s="16">
        <ns0:f>A968*('前提と出典'!$C$36*'契約別単価'!I5+'前提と出典'!$C$37*'契約別単価'!I6+'前提と出典'!$C$38*'契約別単価'!I7)</ns0:f>
        <ns0:v>40676.49162011172</ns0:v>
      </ns0:c>
      <ns0:c r="J968" s="16">
        <ns0:f>A968*('前提と出典'!$C$36*'契約別単価'!J5+'前提と出典'!$C$37*'契約別単価'!J6+'前提と出典'!$C$38*'契約別単価'!J7)</ns0:f>
        <ns0:v>94751.12013673167</ns0:v>
      </ns0:c>
      <ns0:c r="K968" s="16">
        <ns0:f>A968*('前提と出典'!$C$36*'契約別単価'!K5+'前提と出典'!$C$37*'契約別単価'!K6+'前提と出典'!$C$38*'契約別単価'!K7)</ns0:f>
        <ns0:v>406136.61080074485</ns0:v>
      </ns0:c>
      <ns0:c r="L968" s="16">
        <ns0:f>A968*('前提と出典'!$C$36*'契約別単価'!L5+'前提と出典'!$C$37*'契約別単価'!L6+'前提と出典'!$C$38*'契約別単価'!L7)</ns0:f>
        <ns0:v>330677.84486679203</ns0:v>
      </ns0:c>
      <ns0:c r="M968" s="16">
        <ns0:f>IF(('前提と出典'!$C$36+'前提と出典'!$C$38)=0,0,IF(B968&lt;=10,'前提と出典'!B73+'前提と出典'!C73,IF(B968&lt;=100,'前提と出典'!B74+'前提と出典'!C74,IF(B968&lt;=500,'前提と出典'!B75+'前提と出典'!C75,'前提と出典'!B76+'前提と出典'!C76))))</ns0:f>
        <ns0:v>80000</ns0:v>
      </ns0:c>
      <ns0:c r="N968" s="16">
        <ns0:f>IF(('前提と出典'!$C$37+'前提と出典'!$C$38)=0,0,IF(C968&lt;=10,'前提と出典'!D73+'前提と出典'!E73,IF(C968&lt;=100,'前提と出典'!D74+'前提と出典'!E74,IF(C968&lt;=500,'前提と出典'!D75+'前提と出典'!E75,'前提と出典'!D76+'前提と出典'!E76))))</ns0:f>
        <ns0:v>86510.9346263078</ns0:v>
      </ns0:c>
      <ns0:c r="O968" s="16">
        <ns0:f>IF('前提と出典'!$C$36+'前提と出典'!$C$38=0,0,'前提と出典'!$B$4*IF('前提と出典'!$B$20=0,MAX('前提と出典'!$B$6,D968*'前提と出典'!$B$5),'前提と出典'!$B$6+D968*'前提と出典'!$B$5))</ns0:f>
        <ns0:v>957235.8435754192</ns0:v>
      </ns0:c>
      <ns0:c r="P968" s="16">
        <ns0:f>(E968+G968)*(1-'前提と出典'!$B$7)-I968-K968-M968-O968</ns0:f>
        <ns0:v>2163853.667525368</ns0:v>
      </ns0:c>
      <ns0:c r="Q968" s="16">
        <ns0:f>(F968+H968)*(1-'前提と出典'!$B$7)-J968-L968-N968</ns0:f>
        <ns0:v>835724.9556248083</ns0:v>
      </ns0:c>
      <ns0:c r="R968" s="16">
        <ns0:f>P968-E968*'前提と出典'!$E$4</ns0:f>
        <ns0:v>1604267.6727983675</ns0:v>
      </ns0:c>
      <ns0:c r="S968" s="16">
        <ns0:f>Q968-F968*'前提と出典'!$E$4</ns0:f>
        <ns0:v>616107.78289441</ns0:v>
      </ns0:c>
      <ns0:c r="T968" s="7">
        <ns0:f>R968+S968</ns0:f>
        <ns0:v>2220375.4556927774</ns0:v>
      </ns0:c>
      <ns0:c r="U968" s="16">
        <ns0:f>P968-E968*'前提と出典'!$E$5</ns0:f>
        <ns0:v>1417739.0078893674</ns0:v>
      </ns0:c>
      <ns0:c r="V968" s="16">
        <ns0:f>Q968-F968*'前提と出典'!$E$5</ns0:f>
        <ns0:v>542902.0586509437</ns0:v>
      </ns0:c>
      <ns0:c r="W968" s="7">
        <ns0:f>U968+V968</ns0:f>
        <ns0:v>1960641.066540311</ns0:v>
      </ns0:c>
      <ns0:c r="X968" s="16">
        <ns0:f>P968-E968*'前提と出典'!$E$6</ns0:f>
        <ns0:v>1231210.342980367</ns0:v>
      </ns0:c>
      <ns0:c r="Y968" s="16">
        <ns0:f>Q968-F968*'前提と出典'!$E$6</ns0:f>
        <ns0:v>469696.33440747764</ns0:v>
      </ns0:c>
      <ns0:c r="Z968" s="7">
        <ns0:f>X968+Y968</ns0:f>
        <ns0:v>1700906.6773878445</ns0:v>
      </ns0:c>
      <ns0:c r="AA968" s="7">
        <ns0:f>IF(T968&gt;=0,A968,1001)</ns0:f>
        <ns0:v>964</ns0:v>
      </ns0:c>
      <ns0:c r="AB968" s="7">
        <ns0:f>IF(T968&lt;0,A968,0)</ns0:f>
        <ns0:v>0</ns0:v>
      </ns0:c>
      <ns0:c r="AC968" s="16">
        <ns0:f>IF(AND(OR('前提と出典'!$C$36+'前提と出典'!$C$38=0,R968&gt;=0),OR('前提と出典'!$C$37+'前提と出典'!$C$38=0,S968&gt;=0)),0,A968)</ns0:f>
        <ns0:v>0</ns0:v>
      </ns0:c>
      <ns0:c r="AD968" s="7">
        <ns0:f>IF(W968&gt;=0,A968,1001)</ns0:f>
        <ns0:v>964</ns0:v>
      </ns0:c>
      <ns0:c r="AE968" s="7">
        <ns0:f>IF(W968&lt;0,A968,0)</ns0:f>
        <ns0:v>0</ns0:v>
      </ns0:c>
      <ns0:c r="AF968" s="16">
        <ns0:f>IF(AND(OR('前提と出典'!$C$36+'前提と出典'!$C$38=0,U968&gt;=0),OR('前提と出典'!$C$37+'前提と出典'!$C$38=0,V968&gt;=0)),0,A968)</ns0:f>
        <ns0:v>0</ns0:v>
      </ns0:c>
      <ns0:c r="AG968" s="7">
        <ns0:f>IF(Z968&gt;=0,A968,1001)</ns0:f>
        <ns0:v>964</ns0:v>
      </ns0:c>
      <ns0:c r="AH968" s="4">
        <ns0:f>IF(Z968&lt;0,A968,0)</ns0:f>
        <ns0:v>0</ns0:v>
      </ns0:c>
      <ns0:c r="AI968" s="12">
        <ns0:f>IF(AND(OR('前提と出典'!$C$36+'前提と出典'!$C$38=0,X968&gt;=0),OR('前提と出典'!$C$37+'前提と出典'!$C$38=0,Y968&gt;=0)),0,A968)</ns0:f>
        <ns0:v>0</ns0:v>
      </ns0:c>
    </ns0:row>
    <ns0:row r="969" ht="24" customHeight="1">
      <ns0:c r="A969" s="4" t="n">
        <ns0:v>965</ns0:v>
      </ns0:c>
      <ns0:c r="B969" s="12">
        <ns0:f>A969*('前提と出典'!$C$36+'前提と出典'!$C$38)</ns0:f>
        <ns0:v>675.5</ns0:v>
      </ns0:c>
      <ns0:c r="C969" s="12">
        <ns0:f>A969*('前提と出典'!$C$37+'前提と出典'!$C$38)</ns0:f>
        <ns0:v>579</ns0:v>
      </ns0:c>
      <ns0:c r="D969" s="16">
        <ns0:f>A969*('前提と出典'!$C$36*'契約別単価'!C5+'前提と出典'!$C$37*'契約別単価'!C6+'前提と出典'!$C$38*'契約別単価'!C7)</ns0:f>
        <ns0:v>6943.687150837989</ns0:v>
      </ns0:c>
      <ns0:c r="E969" s="16">
        <ns0:f>A969*('前提と出典'!$C$36*'契約別単価'!E5+'前提と出典'!$C$37*'契約別単価'!E6+'前提と出典'!$C$38*'契約別単価'!E7)</ns0:f>
        <ns0:v>1867221.5937467332</ns0:v>
      </ns0:c>
      <ns0:c r="F969" s="16">
        <ns0:f>A969*('前提と出典'!$C$36*'契約別単価'!F5+'前提と出典'!$C$37*'契約別単価'!F6+'前提と出典'!$C$38*'契約別単価'!F7)</ns0:f>
        <ns0:v>732816.6379143654</ns0:v>
      </ns0:c>
      <ns0:c r="G969" s="16">
        <ns0:f>A969*('前提と出典'!$C$36*'契約別単価'!G5+'前提と出典'!$C$37*'契約別単価'!G6+'前提と出典'!$C$38*'契約別単価'!G7)</ns0:f>
        <ns0:v>1920835.195530726</ns0:v>
      </ns0:c>
      <ns0:c r="H969" s="16">
        <ns0:f>A969*('前提と出典'!$C$36*'契約別単価'!H5+'前提と出典'!$C$37*'契約別単価'!H6+'前提と出典'!$C$38*'契約別単価'!H7)</ns0:f>
        <ns0:v>666626.1503045955</ns0:v>
      </ns0:c>
      <ns0:c r="I969" s="16">
        <ns0:f>A969*('前提と出典'!$C$36*'契約別単価'!I5+'前提と出典'!$C$37*'契約別単価'!I6+'前提と出典'!$C$38*'契約別単価'!I7)</ns0:f>
        <ns0:v>40718.687150837985</ns0:v>
      </ns0:c>
      <ns0:c r="J969" s="16">
        <ns0:f>A969*('前提と出典'!$C$36*'契約別単価'!J5+'前提と出典'!$C$37*'契約別単価'!J6+'前提と出典'!$C$38*'契約別単価'!J7)</ns0:f>
        <ns0:v>94849.40968044198</ns0:v>
      </ns0:c>
      <ns0:c r="K969" s="16">
        <ns0:f>A969*('前提と出典'!$C$36*'契約別単価'!K5+'前提と出典'!$C$37*'契約別単価'!K6+'前提と出典'!$C$38*'契約別単価'!K7)</ns0:f>
        <ns0:v>406557.9143389199</ns0:v>
      </ns0:c>
      <ns0:c r="L969" s="16">
        <ns0:f>A969*('前提と出典'!$C$36*'契約別単価'!L5+'前提と出典'!$C$37*'契約別単価'!L6+'前提と出典'!$C$38*'契約別単価'!L7)</ns0:f>
        <ns0:v>331020.87167681986</ns0:v>
      </ns0:c>
      <ns0:c r="M969" s="16">
        <ns0:f>IF(('前提と出典'!$C$36+'前提と出典'!$C$38)=0,0,IF(B969&lt;=10,'前提と出典'!B73+'前提と出典'!C73,IF(B969&lt;=100,'前提と出典'!B74+'前提と出典'!C74,IF(B969&lt;=500,'前提と出典'!B75+'前提と出典'!C75,'前提と出典'!B76+'前提と出典'!C76))))</ns0:f>
        <ns0:v>80000</ns0:v>
      </ns0:c>
      <ns0:c r="N969" s="16">
        <ns0:f>IF(('前提と出典'!$C$37+'前提と出典'!$C$38)=0,0,IF(C969&lt;=10,'前提と出典'!D73+'前提と出典'!E73,IF(C969&lt;=100,'前提と出典'!D74+'前提と出典'!E74,IF(C969&lt;=500,'前提と出典'!D75+'前提と出典'!E75,'前提と出典'!D76+'前提と出典'!E76))))</ns0:f>
        <ns0:v>86510.9346263078</ns0:v>
      </ns0:c>
      <ns0:c r="O969" s="16">
        <ns0:f>IF('前提と出典'!$C$36+'前提と出典'!$C$38=0,0,'前提と出典'!$B$4*IF('前提と出典'!$B$20=0,MAX('前提と出典'!$B$6,D969*'前提と出典'!$B$5),'前提と出典'!$B$6+D969*'前提と出典'!$B$5))</ns0:f>
        <ns0:v>958228.8268156424</ns0:v>
      </ns0:c>
      <ns0:c r="P969" s="16">
        <ns0:f>(E969+G969)*(1-'前提と出典'!$B$7)-I969-K969-M969-O969</ns0:f>
        <ns0:v>2166181.3165580705</ns0:v>
      </ns0:c>
      <ns0:c r="Q969" s="16">
        <ns0:f>(F969+H969)*(1-'前提と出典'!$B$7)-J969-L969-N969</ns0:f>
        <ns0:v>836681.6318595086</ns0:v>
      </ns0:c>
      <ns0:c r="R969" s="16">
        <ns0:f>P969-E969*'前提と出典'!$E$4</ns0:f>
        <ns0:v>1606014.8384340513</ns0:v>
      </ns0:c>
      <ns0:c r="S969" s="16">
        <ns0:f>Q969-F969*'前提と出典'!$E$4</ns0:f>
        <ns0:v>616836.6404851989</ns0:v>
      </ns0:c>
      <ns0:c r="T969" s="7">
        <ns0:f>R969+S969</ns0:f>
        <ns0:v>2222851.47891925</ns0:v>
      </ns0:c>
      <ns0:c r="U969" s="16">
        <ns0:f>P969-E969*'前提と出典'!$E$5</ns0:f>
        <ns0:v>1419292.6790593774</ns0:v>
      </ns0:c>
      <ns0:c r="V969" s="16">
        <ns0:f>Q969-F969*'前提と出典'!$E$5</ns0:f>
        <ns0:v>543554.9766937625</ns0:v>
      </ns0:c>
      <ns0:c r="W969" s="7">
        <ns0:f>U969+V969</ns0:f>
        <ns0:v>1962847.6557531399</ns0:v>
      </ns0:c>
      <ns0:c r="X969" s="16">
        <ns0:f>P969-E969*'前提と出典'!$E$6</ns0:f>
        <ns0:v>1232570.5196847045</ns0:v>
      </ns0:c>
      <ns0:c r="Y969" s="16">
        <ns0:f>Q969-F969*'前提と出典'!$E$6</ns0:f>
        <ns0:v>470273.312902326</ns0:v>
      </ns0:c>
      <ns0:c r="Z969" s="7">
        <ns0:f>X969+Y969</ns0:f>
        <ns0:v>1702843.8325870305</ns0:v>
      </ns0:c>
      <ns0:c r="AA969" s="7">
        <ns0:f>IF(T969&gt;=0,A969,1001)</ns0:f>
        <ns0:v>965</ns0:v>
      </ns0:c>
      <ns0:c r="AB969" s="7">
        <ns0:f>IF(T969&lt;0,A969,0)</ns0:f>
        <ns0:v>0</ns0:v>
      </ns0:c>
      <ns0:c r="AC969" s="16">
        <ns0:f>IF(AND(OR('前提と出典'!$C$36+'前提と出典'!$C$38=0,R969&gt;=0),OR('前提と出典'!$C$37+'前提と出典'!$C$38=0,S969&gt;=0)),0,A969)</ns0:f>
        <ns0:v>0</ns0:v>
      </ns0:c>
      <ns0:c r="AD969" s="7">
        <ns0:f>IF(W969&gt;=0,A969,1001)</ns0:f>
        <ns0:v>965</ns0:v>
      </ns0:c>
      <ns0:c r="AE969" s="7">
        <ns0:f>IF(W969&lt;0,A969,0)</ns0:f>
        <ns0:v>0</ns0:v>
      </ns0:c>
      <ns0:c r="AF969" s="16">
        <ns0:f>IF(AND(OR('前提と出典'!$C$36+'前提と出典'!$C$38=0,U969&gt;=0),OR('前提と出典'!$C$37+'前提と出典'!$C$38=0,V969&gt;=0)),0,A969)</ns0:f>
        <ns0:v>0</ns0:v>
      </ns0:c>
      <ns0:c r="AG969" s="7">
        <ns0:f>IF(Z969&gt;=0,A969,1001)</ns0:f>
        <ns0:v>965</ns0:v>
      </ns0:c>
      <ns0:c r="AH969" s="4">
        <ns0:f>IF(Z969&lt;0,A969,0)</ns0:f>
        <ns0:v>0</ns0:v>
      </ns0:c>
      <ns0:c r="AI969" s="12">
        <ns0:f>IF(AND(OR('前提と出典'!$C$36+'前提と出典'!$C$38=0,X969&gt;=0),OR('前提と出典'!$C$37+'前提と出典'!$C$38=0,Y969&gt;=0)),0,A969)</ns0:f>
        <ns0:v>0</ns0:v>
      </ns0:c>
    </ns0:row>
    <ns0:row r="970" ht="24" customHeight="1">
      <ns0:c r="A970" s="4" t="n">
        <ns0:v>966</ns0:v>
      </ns0:c>
      <ns0:c r="B970" s="12">
        <ns0:f>A970*('前提と出典'!$C$36+'前提と出典'!$C$38)</ns0:f>
        <ns0:v>676.1999999999999</ns0:v>
      </ns0:c>
      <ns0:c r="C970" s="12">
        <ns0:f>A970*('前提と出典'!$C$37+'前提と出典'!$C$38)</ns0:f>
        <ns0:v>579.6</ns0:v>
      </ns0:c>
      <ns0:c r="D970" s="16">
        <ns0:f>A970*('前提と出典'!$C$36*'契約別単価'!C5+'前提と出典'!$C$37*'契約別単価'!C6+'前提と出典'!$C$38*'契約別単価'!C7)</ns0:f>
        <ns0:v>6950.882681564246</ns0:v>
      </ns0:c>
      <ns0:c r="E970" s="16">
        <ns0:f>A970*('前提と出典'!$C$36*'契約別単価'!E5+'前提と出典'!$C$37*'契約別単価'!E6+'前提と出典'!$C$38*'契約別単価'!E7)</ns0:f>
        <ns0:v>1869156.5384034654</ns0:v>
      </ns0:c>
      <ns0:c r="F970" s="16">
        <ns0:f>A970*('前提と出典'!$C$36*'契約別単価'!F5+'前提と出典'!$C$37*'契約別単価'!F6+'前提と出典'!$C$38*'契約別単価'!F7)</ns0:f>
        <ns0:v>733576.0333940693</ns0:v>
      </ns0:c>
      <ns0:c r="G970" s="16">
        <ns0:f>A970*('前提と出典'!$C$36*'契約別単価'!G5+'前提と出典'!$C$37*'契約別単価'!G6+'前提と出典'!$C$38*'契約別単価'!G7)</ns0:f>
        <ns0:v>1922825.6983240223</ns0:v>
      </ns0:c>
      <ns0:c r="H970" s="16">
        <ns0:f>A970*('前提と出典'!$C$36*'契約別単価'!H5+'前提と出典'!$C$37*'契約別単価'!H6+'前提と出典'!$C$38*'契約別単価'!H7)</ns0:f>
        <ns0:v>667316.9546054292</ns0:v>
      </ns0:c>
      <ns0:c r="I970" s="16">
        <ns0:f>A970*('前提と出典'!$C$36*'契約別単価'!I5+'前提と出典'!$C$37*'契約別単価'!I6+'前提と出典'!$C$38*'契約別単価'!I7)</ns0:f>
        <ns0:v>40760.88268156424</ns0:v>
      </ns0:c>
      <ns0:c r="J970" s="16">
        <ns0:f>A970*('前提と出典'!$C$36*'契約別単価'!J5+'前提と出典'!$C$37*'契約別単価'!J6+'前提と出典'!$C$38*'契約別単価'!J7)</ns0:f>
        <ns0:v>94947.69922415228</ns0:v>
      </ns0:c>
      <ns0:c r="K970" s="16">
        <ns0:f>A970*('前提と出典'!$C$36*'契約別単価'!K5+'前提と出典'!$C$37*'契約別単価'!K6+'前提と出典'!$C$38*'契約別単価'!K7)</ns0:f>
        <ns0:v>406979.2178770949</ns0:v>
      </ns0:c>
      <ns0:c r="L970" s="16">
        <ns0:f>A970*('前提と出典'!$C$36*'契約別単価'!L5+'前提と出典'!$C$37*'契約別単価'!L6+'前提と出典'!$C$38*'契約別単価'!L7)</ns0:f>
        <ns0:v>331363.89848684764</ns0:v>
      </ns0:c>
      <ns0:c r="M970" s="16">
        <ns0:f>IF(('前提と出典'!$C$36+'前提と出典'!$C$38)=0,0,IF(B970&lt;=10,'前提と出典'!B73+'前提と出典'!C73,IF(B970&lt;=100,'前提と出典'!B74+'前提と出典'!C74,IF(B970&lt;=500,'前提と出典'!B75+'前提と出典'!C75,'前提と出典'!B76+'前提と出典'!C76))))</ns0:f>
        <ns0:v>80000</ns0:v>
      </ns0:c>
      <ns0:c r="N970" s="16">
        <ns0:f>IF(('前提と出典'!$C$37+'前提と出典'!$C$38)=0,0,IF(C970&lt;=10,'前提と出典'!D73+'前提と出典'!E73,IF(C970&lt;=100,'前提と出典'!D74+'前提と出典'!E74,IF(C970&lt;=500,'前提と出典'!D75+'前提と出典'!E75,'前提と出典'!D76+'前提と出典'!E76))))</ns0:f>
        <ns0:v>86510.9346263078</ns0:v>
      </ns0:c>
      <ns0:c r="O970" s="16">
        <ns0:f>IF('前提と出典'!$C$36+'前提と出典'!$C$38=0,0,'前提と出典'!$B$4*IF('前提と出典'!$B$20=0,MAX('前提と出典'!$B$6,D970*'前提と出典'!$B$5),'前提と出典'!$B$6+D970*'前提と出典'!$B$5))</ns0:f>
        <ns0:v>959221.8100558659</ns0:v>
      </ns0:c>
      <ns0:c r="P970" s="16">
        <ns0:f>(E970+G970)*(1-'前提と出典'!$B$7)-I970-K970-M970-O970</ns0:f>
        <ns0:v>2168508.965590772</ns0:v>
      </ns0:c>
      <ns0:c r="Q970" s="16">
        <ns0:f>(F970+H970)*(1-'前提と出典'!$B$7)-J970-L970-N970</ns0:f>
        <ns0:v>837638.3080942088</ns0:v>
      </ns0:c>
      <ns0:c r="R970" s="16">
        <ns0:f>P970-E970*'前提と出典'!$E$4</ns0:f>
        <ns0:v>1607762.004069733</ns0:v>
      </ns0:c>
      <ns0:c r="S970" s="16">
        <ns0:f>Q970-F970*'前提と出典'!$E$4</ns0:f>
        <ns0:v>617565.4980759881</ns0:v>
      </ns0:c>
      <ns0:c r="T970" s="7">
        <ns0:f>R970+S970</ns0:f>
        <ns0:v>2225327.502145721</ns0:v>
      </ns0:c>
      <ns0:c r="U970" s="16">
        <ns0:f>P970-E970*'前提と出典'!$E$5</ns0:f>
        <ns0:v>1420846.3502293862</ns0:v>
      </ns0:c>
      <ns0:c r="V970" s="16">
        <ns0:f>Q970-F970*'前提と出典'!$E$5</ns0:f>
        <ns0:v>544207.894736581</ns0:v>
      </ns0:c>
      <ns0:c r="W970" s="7">
        <ns0:f>U970+V970</ns0:f>
        <ns0:v>1965054.2449659673</ns0:v>
      </ns0:c>
      <ns0:c r="X970" s="16">
        <ns0:f>P970-E970*'前提と出典'!$E$6</ns0:f>
        <ns0:v>1233930.69638904</ns0:v>
      </ns0:c>
      <ns0:c r="Y970" s="16">
        <ns0:f>Q970-F970*'前提と出典'!$E$6</ns0:f>
        <ns0:v>470850.291397174</ns0:v>
      </ns0:c>
      <ns0:c r="Z970" s="7">
        <ns0:f>X970+Y970</ns0:f>
        <ns0:v>1704780.9877862139</ns0:v>
      </ns0:c>
      <ns0:c r="AA970" s="7">
        <ns0:f>IF(T970&gt;=0,A970,1001)</ns0:f>
        <ns0:v>966</ns0:v>
      </ns0:c>
      <ns0:c r="AB970" s="7">
        <ns0:f>IF(T970&lt;0,A970,0)</ns0:f>
        <ns0:v>0</ns0:v>
      </ns0:c>
      <ns0:c r="AC970" s="16">
        <ns0:f>IF(AND(OR('前提と出典'!$C$36+'前提と出典'!$C$38=0,R970&gt;=0),OR('前提と出典'!$C$37+'前提と出典'!$C$38=0,S970&gt;=0)),0,A970)</ns0:f>
        <ns0:v>0</ns0:v>
      </ns0:c>
      <ns0:c r="AD970" s="7">
        <ns0:f>IF(W970&gt;=0,A970,1001)</ns0:f>
        <ns0:v>966</ns0:v>
      </ns0:c>
      <ns0:c r="AE970" s="7">
        <ns0:f>IF(W970&lt;0,A970,0)</ns0:f>
        <ns0:v>0</ns0:v>
      </ns0:c>
      <ns0:c r="AF970" s="16">
        <ns0:f>IF(AND(OR('前提と出典'!$C$36+'前提と出典'!$C$38=0,U970&gt;=0),OR('前提と出典'!$C$37+'前提と出典'!$C$38=0,V970&gt;=0)),0,A970)</ns0:f>
        <ns0:v>0</ns0:v>
      </ns0:c>
      <ns0:c r="AG970" s="7">
        <ns0:f>IF(Z970&gt;=0,A970,1001)</ns0:f>
        <ns0:v>966</ns0:v>
      </ns0:c>
      <ns0:c r="AH970" s="4">
        <ns0:f>IF(Z970&lt;0,A970,0)</ns0:f>
        <ns0:v>0</ns0:v>
      </ns0:c>
      <ns0:c r="AI970" s="12">
        <ns0:f>IF(AND(OR('前提と出典'!$C$36+'前提と出典'!$C$38=0,X970&gt;=0),OR('前提と出典'!$C$37+'前提と出典'!$C$38=0,Y970&gt;=0)),0,A970)</ns0:f>
        <ns0:v>0</ns0:v>
      </ns0:c>
    </ns0:row>
    <ns0:row r="971" ht="24" customHeight="1">
      <ns0:c r="A971" s="4" t="n">
        <ns0:v>967</ns0:v>
      </ns0:c>
      <ns0:c r="B971" s="12">
        <ns0:f>A971*('前提と出典'!$C$36+'前提と出典'!$C$38)</ns0:f>
        <ns0:v>676.9</ns0:v>
      </ns0:c>
      <ns0:c r="C971" s="12">
        <ns0:f>A971*('前提と出典'!$C$37+'前提と出典'!$C$38)</ns0:f>
        <ns0:v>580.1999999999999</ns0:v>
      </ns0:c>
      <ns0:c r="D971" s="16">
        <ns0:f>A971*('前提と出典'!$C$36*'契約別単価'!C5+'前提と出典'!$C$37*'契約別単価'!C6+'前提と出典'!$C$38*'契約別単価'!C7)</ns0:f>
        <ns0:v>6958.078212290503</ns0:v>
      </ns0:c>
      <ns0:c r="E971" s="16">
        <ns0:f>A971*('前提と出典'!$C$36*'契約別単価'!E5+'前提と出典'!$C$37*'契約別単価'!E6+'前提と出典'!$C$38*'契約別単価'!E7)</ns0:f>
        <ns0:v>1871091.483060198</ns0:v>
      </ns0:c>
      <ns0:c r="F971" s="16">
        <ns0:f>A971*('前提と出典'!$C$36*'契約別単価'!F5+'前提と出典'!$C$37*'契約別単価'!F6+'前提と出典'!$C$38*'契約別単価'!F7)</ns0:f>
        <ns0:v>734335.4288737733</ns0:v>
      </ns0:c>
      <ns0:c r="G971" s="16">
        <ns0:f>A971*('前提と出典'!$C$36*'契約別単価'!G5+'前提と出典'!$C$37*'契約別単価'!G6+'前提と出典'!$C$38*'契約別単価'!G7)</ns0:f>
        <ns0:v>1924816.2011173184</ns0:v>
      </ns0:c>
      <ns0:c r="H971" s="16">
        <ns0:f>A971*('前提と出典'!$C$36*'契約別単価'!H5+'前提と出典'!$C$37*'契約別単価'!H6+'前提と出典'!$C$38*'契約別単価'!H7)</ns0:f>
        <ns0:v>668007.758906263</ns0:v>
      </ns0:c>
      <ns0:c r="I971" s="16">
        <ns0:f>A971*('前提と出典'!$C$36*'契約別単価'!I5+'前提と出典'!$C$37*'契約別単価'!I6+'前提と出典'!$C$38*'契約別単価'!I7)</ns0:f>
        <ns0:v>40803.07821229049</ns0:v>
      </ns0:c>
      <ns0:c r="J971" s="16">
        <ns0:f>A971*('前提と出典'!$C$36*'契約別単価'!J5+'前提と出典'!$C$37*'契約別単価'!J6+'前提と出典'!$C$38*'契約別単価'!J7)</ns0:f>
        <ns0:v>95045.98876786258</ns0:v>
      </ns0:c>
      <ns0:c r="K971" s="16">
        <ns0:f>A971*('前提と出典'!$C$36*'契約別単価'!K5+'前提と出典'!$C$37*'契約別単価'!K6+'前提と出典'!$C$38*'契約別単価'!K7)</ns0:f>
        <ns0:v>407400.52141527</ns0:v>
      </ns0:c>
      <ns0:c r="L971" s="16">
        <ns0:f>A971*('前提と出典'!$C$36*'契約別単価'!L5+'前提と出典'!$C$37*'契約別単価'!L6+'前提と出典'!$C$38*'契約別単価'!L7)</ns0:f>
        <ns0:v>331706.9252968754</ns0:v>
      </ns0:c>
      <ns0:c r="M971" s="16">
        <ns0:f>IF(('前提と出典'!$C$36+'前提と出典'!$C$38)=0,0,IF(B971&lt;=10,'前提と出典'!B73+'前提と出典'!C73,IF(B971&lt;=100,'前提と出典'!B74+'前提と出典'!C74,IF(B971&lt;=500,'前提と出典'!B75+'前提と出典'!C75,'前提と出典'!B76+'前提と出典'!C76))))</ns0:f>
        <ns0:v>80000</ns0:v>
      </ns0:c>
      <ns0:c r="N971" s="16">
        <ns0:f>IF(('前提と出典'!$C$37+'前提と出典'!$C$38)=0,0,IF(C971&lt;=10,'前提と出典'!D73+'前提と出典'!E73,IF(C971&lt;=100,'前提と出典'!D74+'前提と出典'!E74,IF(C971&lt;=500,'前提と出典'!D75+'前提と出典'!E75,'前提と出典'!D76+'前提と出典'!E76))))</ns0:f>
        <ns0:v>86510.9346263078</ns0:v>
      </ns0:c>
      <ns0:c r="O971" s="16">
        <ns0:f>IF('前提と出典'!$C$36+'前提と出典'!$C$38=0,0,'前提と出典'!$B$4*IF('前提と出典'!$B$20=0,MAX('前提と出典'!$B$6,D971*'前提と出典'!$B$5),'前提と出典'!$B$6+D971*'前提と出典'!$B$5))</ns0:f>
        <ns0:v>960214.7932960894</ns0:v>
      </ns0:c>
      <ns0:c r="P971" s="16">
        <ns0:f>(E971+G971)*(1-'前提と出典'!$B$7)-I971-K971-M971-O971</ns0:f>
        <ns0:v>2170836.6146234754</ns0:v>
      </ns0:c>
      <ns0:c r="Q971" s="16">
        <ns0:f>(F971+H971)*(1-'前提と出典'!$B$7)-J971-L971-N971</ns0:f>
        <ns0:v>838594.9843289093</ns0:v>
      </ns0:c>
      <ns0:c r="R971" s="16">
        <ns0:f>P971-E971*'前提と出典'!$E$4</ns0:f>
        <ns0:v>1609509.1697054165</ns0:v>
      </ns0:c>
      <ns0:c r="S971" s="16">
        <ns0:f>Q971-F971*'前提と出典'!$E$4</ns0:f>
        <ns0:v>618294.3556667774</ns0:v>
      </ns0:c>
      <ns0:c r="T971" s="7">
        <ns0:f>R971+S971</ns0:f>
        <ns0:v>2227803.525372194</ns0:v>
      </ns0:c>
      <ns0:c r="U971" s="16">
        <ns0:f>P971-E971*'前提と出典'!$E$5</ns0:f>
        <ns0:v>1422400.021399396</ns0:v>
      </ns0:c>
      <ns0:c r="V971" s="16">
        <ns0:f>Q971-F971*'前提と出典'!$E$5</ns0:f>
        <ns0:v>544860.8127794</ns0:v>
      </ns0:c>
      <ns0:c r="W971" s="7">
        <ns0:f>U971+V971</ns0:f>
        <ns0:v>1967260.834178796</ns0:v>
      </ns0:c>
      <ns0:c r="X971" s="16">
        <ns0:f>P971-E971*'前提と出典'!$E$6</ns0:f>
        <ns0:v>1235290.8730933764</ns0:v>
      </ns0:c>
      <ns0:c r="Y971" s="16">
        <ns0:f>Q971-F971*'前提と出典'!$E$6</ns0:f>
        <ns0:v>471427.2698920227</ns0:v>
      </ns0:c>
      <ns0:c r="Z971" s="7">
        <ns0:f>X971+Y971</ns0:f>
        <ns0:v>1706718.142985399</ns0:v>
      </ns0:c>
      <ns0:c r="AA971" s="7">
        <ns0:f>IF(T971&gt;=0,A971,1001)</ns0:f>
        <ns0:v>967</ns0:v>
      </ns0:c>
      <ns0:c r="AB971" s="7">
        <ns0:f>IF(T971&lt;0,A971,0)</ns0:f>
        <ns0:v>0</ns0:v>
      </ns0:c>
      <ns0:c r="AC971" s="16">
        <ns0:f>IF(AND(OR('前提と出典'!$C$36+'前提と出典'!$C$38=0,R971&gt;=0),OR('前提と出典'!$C$37+'前提と出典'!$C$38=0,S971&gt;=0)),0,A971)</ns0:f>
        <ns0:v>0</ns0:v>
      </ns0:c>
      <ns0:c r="AD971" s="7">
        <ns0:f>IF(W971&gt;=0,A971,1001)</ns0:f>
        <ns0:v>967</ns0:v>
      </ns0:c>
      <ns0:c r="AE971" s="7">
        <ns0:f>IF(W971&lt;0,A971,0)</ns0:f>
        <ns0:v>0</ns0:v>
      </ns0:c>
      <ns0:c r="AF971" s="16">
        <ns0:f>IF(AND(OR('前提と出典'!$C$36+'前提と出典'!$C$38=0,U971&gt;=0),OR('前提と出典'!$C$37+'前提と出典'!$C$38=0,V971&gt;=0)),0,A971)</ns0:f>
        <ns0:v>0</ns0:v>
      </ns0:c>
      <ns0:c r="AG971" s="7">
        <ns0:f>IF(Z971&gt;=0,A971,1001)</ns0:f>
        <ns0:v>967</ns0:v>
      </ns0:c>
      <ns0:c r="AH971" s="4">
        <ns0:f>IF(Z971&lt;0,A971,0)</ns0:f>
        <ns0:v>0</ns0:v>
      </ns0:c>
      <ns0:c r="AI971" s="12">
        <ns0:f>IF(AND(OR('前提と出典'!$C$36+'前提と出典'!$C$38=0,X971&gt;=0),OR('前提と出典'!$C$37+'前提と出典'!$C$38=0,Y971&gt;=0)),0,A971)</ns0:f>
        <ns0:v>0</ns0:v>
      </ns0:c>
    </ns0:row>
    <ns0:row r="972" ht="24" customHeight="1">
      <ns0:c r="A972" s="4" t="n">
        <ns0:v>968</ns0:v>
      </ns0:c>
      <ns0:c r="B972" s="12">
        <ns0:f>A972*('前提と出典'!$C$36+'前提と出典'!$C$38)</ns0:f>
        <ns0:v>677.5999999999999</ns0:v>
      </ns0:c>
      <ns0:c r="C972" s="12">
        <ns0:f>A972*('前提と出典'!$C$37+'前提と出典'!$C$38)</ns0:f>
        <ns0:v>580.8</ns0:v>
      </ns0:c>
      <ns0:c r="D972" s="16">
        <ns0:f>A972*('前提と出典'!$C$36*'契約別単価'!C5+'前提と出典'!$C$37*'契約別単価'!C6+'前提と出典'!$C$38*'契約別単価'!C7)</ns0:f>
        <ns0:v>6965.27374301676</ns0:v>
      </ns0:c>
      <ns0:c r="E972" s="16">
        <ns0:f>A972*('前提と出典'!$C$36*'契約別単価'!E5+'前提と出典'!$C$37*'契約別単価'!E6+'前提と出典'!$C$38*'契約別単価'!E7)</ns0:f>
        <ns0:v>1873026.4277169302</ns0:v>
      </ns0:c>
      <ns0:c r="F972" s="16">
        <ns0:f>A972*('前提と出典'!$C$36*'契約別単価'!F5+'前提と出典'!$C$37*'契約別単価'!F6+'前提と出典'!$C$38*'契約別単価'!F7)</ns0:f>
        <ns0:v>735094.8243534773</ns0:v>
      </ns0:c>
      <ns0:c r="G972" s="16">
        <ns0:f>A972*('前提と出典'!$C$36*'契約別単価'!G5+'前提と出典'!$C$37*'契約別単価'!G6+'前提と出典'!$C$38*'契約別単価'!G7)</ns0:f>
        <ns0:v>1926806.7039106144</ns0:v>
      </ns0:c>
      <ns0:c r="H972" s="16">
        <ns0:f>A972*('前提と出典'!$C$36*'契約別単価'!H5+'前提と出典'!$C$37*'契約別単価'!H6+'前提と出典'!$C$38*'契約別単価'!H7)</ns0:f>
        <ns0:v>668698.5632070968</ns0:v>
      </ns0:c>
      <ns0:c r="I972" s="16">
        <ns0:f>A972*('前提と出典'!$C$36*'契約別単価'!I5+'前提と出典'!$C$37*'契約別単価'!I6+'前提と出典'!$C$38*'契約別単価'!I7)</ns0:f>
        <ns0:v>40845.273743016754</ns0:v>
      </ns0:c>
      <ns0:c r="J972" s="16">
        <ns0:f>A972*('前提と出典'!$C$36*'契約別単価'!J5+'前提と出典'!$C$37*'契約別単価'!J6+'前提と出典'!$C$38*'契約別単価'!J7)</ns0:f>
        <ns0:v>95144.27831157288</ns0:v>
      </ns0:c>
      <ns0:c r="K972" s="16">
        <ns0:f>A972*('前提と出典'!$C$36*'契約別単価'!K5+'前提と出典'!$C$37*'契約別単価'!K6+'前提と出典'!$C$38*'契約別単価'!K7)</ns0:f>
        <ns0:v>407821.82495344506</ns0:v>
      </ns0:c>
      <ns0:c r="L972" s="16">
        <ns0:f>A972*('前提と出典'!$C$36*'契約別単価'!L5+'前提と出典'!$C$37*'契約別単価'!L6+'前提と出典'!$C$38*'契約別単価'!L7)</ns0:f>
        <ns0:v>332049.9521069032</ns0:v>
      </ns0:c>
      <ns0:c r="M972" s="16">
        <ns0:f>IF(('前提と出典'!$C$36+'前提と出典'!$C$38)=0,0,IF(B972&lt;=10,'前提と出典'!B73+'前提と出典'!C73,IF(B972&lt;=100,'前提と出典'!B74+'前提と出典'!C74,IF(B972&lt;=500,'前提と出典'!B75+'前提と出典'!C75,'前提と出典'!B76+'前提と出典'!C76))))</ns0:f>
        <ns0:v>80000</ns0:v>
      </ns0:c>
      <ns0:c r="N972" s="16">
        <ns0:f>IF(('前提と出典'!$C$37+'前提と出典'!$C$38)=0,0,IF(C972&lt;=10,'前提と出典'!D73+'前提と出典'!E73,IF(C972&lt;=100,'前提と出典'!D74+'前提と出典'!E74,IF(C972&lt;=500,'前提と出典'!D75+'前提と出典'!E75,'前提と出典'!D76+'前提と出典'!E76))))</ns0:f>
        <ns0:v>86510.9346263078</ns0:v>
      </ns0:c>
      <ns0:c r="O972" s="16">
        <ns0:f>IF('前提と出典'!$C$36+'前提と出典'!$C$38=0,0,'前提と出典'!$B$4*IF('前提と出典'!$B$20=0,MAX('前提と出典'!$B$6,D972*'前提と出典'!$B$5),'前提と出典'!$B$6+D972*'前提と出典'!$B$5))</ns0:f>
        <ns0:v>961207.7765363129</ns0:v>
      </ns0:c>
      <ns0:c r="P972" s="16">
        <ns0:f>(E972+G972)*(1-'前提と出典'!$B$7)-I972-K972-M972-O972</ns0:f>
        <ns0:v>2173164.2636561785</ns0:v>
      </ns0:c>
      <ns0:c r="Q972" s="16">
        <ns0:f>(F972+H972)*(1-'前提と出典'!$B$7)-J972-L972-N972</ns0:f>
        <ns0:v>839551.6605636096</ns0:v>
      </ns0:c>
      <ns0:c r="R972" s="16">
        <ns0:f>P972-E972*'前提と出典'!$E$4</ns0:f>
        <ns0:v>1611256.3353410996</ns0:v>
      </ns0:c>
      <ns0:c r="S972" s="16">
        <ns0:f>Q972-F972*'前提と出典'!$E$4</ns0:f>
        <ns0:v>619023.2132575663</ns0:v>
      </ns0:c>
      <ns0:c r="T972" s="7">
        <ns0:f>R972+S972</ns0:f>
        <ns0:v>2230279.5485986657</ns0:v>
      </ns0:c>
      <ns0:c r="U972" s="16">
        <ns0:f>P972-E972*'前提と出典'!$E$5</ns0:f>
        <ns0:v>1423953.6925694062</ns0:v>
      </ns0:c>
      <ns0:c r="V972" s="16">
        <ns0:f>Q972-F972*'前提と出典'!$E$5</ns0:f>
        <ns0:v>545513.7308222186</ns0:v>
      </ns0:c>
      <ns0:c r="W972" s="7">
        <ns0:f>U972+V972</ns0:f>
        <ns0:v>1969467.4233916248</ns0:v>
      </ns0:c>
      <ns0:c r="X972" s="16">
        <ns0:f>P972-E972*'前提と出典'!$E$6</ns0:f>
        <ns0:v>1236651.0497977133</ns0:v>
      </ns0:c>
      <ns0:c r="Y972" s="16">
        <ns0:f>Q972-F972*'前提と出典'!$E$6</ns0:f>
        <ns0:v>472004.24838687084</ns0:v>
      </ns0:c>
      <ns0:c r="Z972" s="7">
        <ns0:f>X972+Y972</ns0:f>
        <ns0:v>1708655.2981845841</ns0:v>
      </ns0:c>
      <ns0:c r="AA972" s="7">
        <ns0:f>IF(T972&gt;=0,A972,1001)</ns0:f>
        <ns0:v>968</ns0:v>
      </ns0:c>
      <ns0:c r="AB972" s="7">
        <ns0:f>IF(T972&lt;0,A972,0)</ns0:f>
        <ns0:v>0</ns0:v>
      </ns0:c>
      <ns0:c r="AC972" s="16">
        <ns0:f>IF(AND(OR('前提と出典'!$C$36+'前提と出典'!$C$38=0,R972&gt;=0),OR('前提と出典'!$C$37+'前提と出典'!$C$38=0,S972&gt;=0)),0,A972)</ns0:f>
        <ns0:v>0</ns0:v>
      </ns0:c>
      <ns0:c r="AD972" s="7">
        <ns0:f>IF(W972&gt;=0,A972,1001)</ns0:f>
        <ns0:v>968</ns0:v>
      </ns0:c>
      <ns0:c r="AE972" s="7">
        <ns0:f>IF(W972&lt;0,A972,0)</ns0:f>
        <ns0:v>0</ns0:v>
      </ns0:c>
      <ns0:c r="AF972" s="16">
        <ns0:f>IF(AND(OR('前提と出典'!$C$36+'前提と出典'!$C$38=0,U972&gt;=0),OR('前提と出典'!$C$37+'前提と出典'!$C$38=0,V972&gt;=0)),0,A972)</ns0:f>
        <ns0:v>0</ns0:v>
      </ns0:c>
      <ns0:c r="AG972" s="7">
        <ns0:f>IF(Z972&gt;=0,A972,1001)</ns0:f>
        <ns0:v>968</ns0:v>
      </ns0:c>
      <ns0:c r="AH972" s="4">
        <ns0:f>IF(Z972&lt;0,A972,0)</ns0:f>
        <ns0:v>0</ns0:v>
      </ns0:c>
      <ns0:c r="AI972" s="12">
        <ns0:f>IF(AND(OR('前提と出典'!$C$36+'前提と出典'!$C$38=0,X972&gt;=0),OR('前提と出典'!$C$37+'前提と出典'!$C$38=0,Y972&gt;=0)),0,A972)</ns0:f>
        <ns0:v>0</ns0:v>
      </ns0:c>
    </ns0:row>
    <ns0:row r="973" ht="24" customHeight="1">
      <ns0:c r="A973" s="4" t="n">
        <ns0:v>969</ns0:v>
      </ns0:c>
      <ns0:c r="B973" s="12">
        <ns0:f>A973*('前提と出典'!$C$36+'前提と出典'!$C$38)</ns0:f>
        <ns0:v>678.3</ns0:v>
      </ns0:c>
      <ns0:c r="C973" s="12">
        <ns0:f>A973*('前提と出典'!$C$37+'前提と出典'!$C$38)</ns0:f>
        <ns0:v>581.4</ns0:v>
      </ns0:c>
      <ns0:c r="D973" s="16">
        <ns0:f>A973*('前提と出典'!$C$36*'契約別単価'!C5+'前提と出典'!$C$37*'契約別単価'!C6+'前提と出典'!$C$38*'契約別単価'!C7)</ns0:f>
        <ns0:v>6972.469273743017</ns0:v>
      </ns0:c>
      <ns0:c r="E973" s="16">
        <ns0:f>A973*('前提と出典'!$C$36*'契約別単価'!E5+'前提と出典'!$C$37*'契約別単価'!E6+'前提と出典'!$C$38*'契約別単価'!E7)</ns0:f>
        <ns0:v>1874961.3723736627</ns0:v>
      </ns0:c>
      <ns0:c r="F973" s="16">
        <ns0:f>A973*('前提と出典'!$C$36*'契約別単価'!F5+'前提と出典'!$C$37*'契約別単価'!F6+'前提と出典'!$C$38*'契約別単価'!F7)</ns0:f>
        <ns0:v>735854.2198331814</ns0:v>
      </ns0:c>
      <ns0:c r="G973" s="16">
        <ns0:f>A973*('前提と出典'!$C$36*'契約別単価'!G5+'前提と出典'!$C$37*'契約別単価'!G6+'前提と出典'!$C$38*'契約別単価'!G7)</ns0:f>
        <ns0:v>1928797.2067039106</ns0:v>
      </ns0:c>
      <ns0:c r="H973" s="16">
        <ns0:f>A973*('前提と出典'!$C$36*'契約別単価'!H5+'前提と出典'!$C$37*'契約別単価'!H6+'前提と出典'!$C$38*'契約別単価'!H7)</ns0:f>
        <ns0:v>669389.3675079306</ns0:v>
      </ns0:c>
      <ns0:c r="I973" s="16">
        <ns0:f>A973*('前提と出典'!$C$36*'契約別単価'!I5+'前提と出典'!$C$37*'契約別単価'!I6+'前提と出典'!$C$38*'契約別単価'!I7)</ns0:f>
        <ns0:v>40887.46927374301</ns0:v>
      </ns0:c>
      <ns0:c r="J973" s="16">
        <ns0:f>A973*('前提と出典'!$C$36*'契約別単価'!J5+'前提と出典'!$C$37*'契約別単価'!J6+'前提と出典'!$C$38*'契約別単価'!J7)</ns0:f>
        <ns0:v>95242.56785528318</ns0:v>
      </ns0:c>
      <ns0:c r="K973" s="16">
        <ns0:f>A973*('前提と出典'!$C$36*'契約別単価'!K5+'前提と出典'!$C$37*'契約別単価'!K6+'前提と出典'!$C$38*'契約別単価'!K7)</ns0:f>
        <ns0:v>408243.12849162007</ns0:v>
      </ns0:c>
      <ns0:c r="L973" s="16">
        <ns0:f>A973*('前提と出典'!$C$36*'契約別単価'!L5+'前提と出典'!$C$37*'契約別単価'!L6+'前提と出典'!$C$38*'契約別単価'!L7)</ns0:f>
        <ns0:v>332392.978916931</ns0:v>
      </ns0:c>
      <ns0:c r="M973" s="16">
        <ns0:f>IF(('前提と出典'!$C$36+'前提と出典'!$C$38)=0,0,IF(B973&lt;=10,'前提と出典'!B73+'前提と出典'!C73,IF(B973&lt;=100,'前提と出典'!B74+'前提と出典'!C74,IF(B973&lt;=500,'前提と出典'!B75+'前提と出典'!C75,'前提と出典'!B76+'前提と出典'!C76))))</ns0:f>
        <ns0:v>80000</ns0:v>
      </ns0:c>
      <ns0:c r="N973" s="16">
        <ns0:f>IF(('前提と出典'!$C$37+'前提と出典'!$C$38)=0,0,IF(C973&lt;=10,'前提と出典'!D73+'前提と出典'!E73,IF(C973&lt;=100,'前提と出典'!D74+'前提と出典'!E74,IF(C973&lt;=500,'前提と出典'!D75+'前提と出典'!E75,'前提と出典'!D76+'前提と出典'!E76))))</ns0:f>
        <ns0:v>86510.9346263078</ns0:v>
      </ns0:c>
      <ns0:c r="O973" s="16">
        <ns0:f>IF('前提と出典'!$C$36+'前提と出典'!$C$38=0,0,'前提と出典'!$B$4*IF('前提と出典'!$B$20=0,MAX('前提と出典'!$B$6,D973*'前提と出典'!$B$5),'前提と出典'!$B$6+D973*'前提と出典'!$B$5))</ns0:f>
        <ns0:v>962200.7597765364</ns0:v>
      </ns0:c>
      <ns0:c r="P973" s="16">
        <ns0:f>(E973+G973)*(1-'前提と出典'!$B$7)-I973-K973-M973-O973</ns0:f>
        <ns0:v>2175491.912688881</ns0:v>
      </ns0:c>
      <ns0:c r="Q973" s="16">
        <ns0:f>(F973+H973)*(1-'前提と出典'!$B$7)-J973-L973-N973</ns0:f>
        <ns0:v>840508.3367983099</ns0:v>
      </ns0:c>
      <ns0:c r="R973" s="16">
        <ns0:f>P973-E973*'前提と出典'!$E$4</ns0:f>
        <ns0:v>1613003.5009767823</ns0:v>
      </ns0:c>
      <ns0:c r="S973" s="16">
        <ns0:f>Q973-F973*'前提と出典'!$E$4</ns0:f>
        <ns0:v>619752.0708483558</ns0:v>
      </ns0:c>
      <ns0:c r="T973" s="7">
        <ns0:f>R973+S973</ns0:f>
        <ns0:v>2232755.5718251383</ns0:v>
      </ns0:c>
      <ns0:c r="U973" s="16">
        <ns0:f>P973-E973*'前提と出典'!$E$5</ns0:f>
        <ns0:v>1425507.363739416</ns0:v>
      </ns0:c>
      <ns0:c r="V973" s="16">
        <ns0:f>Q973-F973*'前提と出典'!$E$5</ns0:f>
        <ns0:v>546166.6488650374</ns0:v>
      </ns0:c>
      <ns0:c r="W973" s="7">
        <ns0:f>U973+V973</ns0:f>
        <ns0:v>1971674.0126044534</ns0:v>
      </ns0:c>
      <ns0:c r="X973" s="16">
        <ns0:f>P973-E973*'前提と出典'!$E$6</ns0:f>
        <ns0:v>1238011.2265020497</ns0:v>
      </ns0:c>
      <ns0:c r="Y973" s="16">
        <ns0:f>Q973-F973*'前提と出典'!$E$6</ns0:f>
        <ns0:v>472581.2268817194</ns0:v>
      </ns0:c>
      <ns0:c r="Z973" s="7">
        <ns0:f>X973+Y973</ns0:f>
        <ns0:v>1710592.4533837691</ns0:v>
      </ns0:c>
      <ns0:c r="AA973" s="7">
        <ns0:f>IF(T973&gt;=0,A973,1001)</ns0:f>
        <ns0:v>969</ns0:v>
      </ns0:c>
      <ns0:c r="AB973" s="7">
        <ns0:f>IF(T973&lt;0,A973,0)</ns0:f>
        <ns0:v>0</ns0:v>
      </ns0:c>
      <ns0:c r="AC973" s="16">
        <ns0:f>IF(AND(OR('前提と出典'!$C$36+'前提と出典'!$C$38=0,R973&gt;=0),OR('前提と出典'!$C$37+'前提と出典'!$C$38=0,S973&gt;=0)),0,A973)</ns0:f>
        <ns0:v>0</ns0:v>
      </ns0:c>
      <ns0:c r="AD973" s="7">
        <ns0:f>IF(W973&gt;=0,A973,1001)</ns0:f>
        <ns0:v>969</ns0:v>
      </ns0:c>
      <ns0:c r="AE973" s="7">
        <ns0:f>IF(W973&lt;0,A973,0)</ns0:f>
        <ns0:v>0</ns0:v>
      </ns0:c>
      <ns0:c r="AF973" s="16">
        <ns0:f>IF(AND(OR('前提と出典'!$C$36+'前提と出典'!$C$38=0,U973&gt;=0),OR('前提と出典'!$C$37+'前提と出典'!$C$38=0,V973&gt;=0)),0,A973)</ns0:f>
        <ns0:v>0</ns0:v>
      </ns0:c>
      <ns0:c r="AG973" s="7">
        <ns0:f>IF(Z973&gt;=0,A973,1001)</ns0:f>
        <ns0:v>969</ns0:v>
      </ns0:c>
      <ns0:c r="AH973" s="4">
        <ns0:f>IF(Z973&lt;0,A973,0)</ns0:f>
        <ns0:v>0</ns0:v>
      </ns0:c>
      <ns0:c r="AI973" s="12">
        <ns0:f>IF(AND(OR('前提と出典'!$C$36+'前提と出典'!$C$38=0,X973&gt;=0),OR('前提と出典'!$C$37+'前提と出典'!$C$38=0,Y973&gt;=0)),0,A973)</ns0:f>
        <ns0:v>0</ns0:v>
      </ns0:c>
    </ns0:row>
    <ns0:row r="974" ht="24" customHeight="1">
      <ns0:c r="A974" s="4" t="n">
        <ns0:v>970</ns0:v>
      </ns0:c>
      <ns0:c r="B974" s="12">
        <ns0:f>A974*('前提と出典'!$C$36+'前提と出典'!$C$38)</ns0:f>
        <ns0:v>679</ns0:v>
      </ns0:c>
      <ns0:c r="C974" s="12">
        <ns0:f>A974*('前提と出典'!$C$37+'前提と出典'!$C$38)</ns0:f>
        <ns0:v>582</ns0:v>
      </ns0:c>
      <ns0:c r="D974" s="16">
        <ns0:f>A974*('前提と出典'!$C$36*'契約別単価'!C5+'前提と出典'!$C$37*'契約別単価'!C6+'前提と出典'!$C$38*'契約別単価'!C7)</ns0:f>
        <ns0:v>6979.664804469274</ns0:v>
      </ns0:c>
      <ns0:c r="E974" s="16">
        <ns0:f>A974*('前提と出典'!$C$36*'契約別単価'!E5+'前提と出典'!$C$37*'契約別単価'!E6+'前提と出典'!$C$38*'契約別単価'!E7)</ns0:f>
        <ns0:v>1876896.317030395</ns0:v>
      </ns0:c>
      <ns0:c r="F974" s="16">
        <ns0:f>A974*('前提と出典'!$C$36*'契約別単価'!F5+'前提と出典'!$C$37*'契約別単価'!F6+'前提と出典'!$C$38*'契約別単価'!F7)</ns0:f>
        <ns0:v>736613.6153128854</ns0:v>
      </ns0:c>
      <ns0:c r="G974" s="16">
        <ns0:f>A974*('前提と出典'!$C$36*'契約別単価'!G5+'前提と出典'!$C$37*'契約別単価'!G6+'前提と出典'!$C$38*'契約別単価'!G7)</ns0:f>
        <ns0:v>1930787.7094972066</ns0:v>
      </ns0:c>
      <ns0:c r="H974" s="16">
        <ns0:f>A974*('前提と出典'!$C$36*'契約別単価'!H5+'前提と出典'!$C$37*'契約別単価'!H6+'前提と出典'!$C$38*'契約別単価'!H7)</ns0:f>
        <ns0:v>670080.1718087643</ns0:v>
      </ns0:c>
      <ns0:c r="I974" s="16">
        <ns0:f>A974*('前提と出典'!$C$36*'契約別単価'!I5+'前提と出典'!$C$37*'契約別単価'!I6+'前提と出典'!$C$38*'契約別単価'!I7)</ns0:f>
        <ns0:v>40929.66480446927</ns0:v>
      </ns0:c>
      <ns0:c r="J974" s="16">
        <ns0:f>A974*('前提と出典'!$C$36*'契約別単価'!J5+'前提と出典'!$C$37*'契約別単価'!J6+'前提と出典'!$C$38*'契約別単価'!J7)</ns0:f>
        <ns0:v>95340.8573989935</ns0:v>
      </ns0:c>
      <ns0:c r="K974" s="16">
        <ns0:f>A974*('前提と出典'!$C$36*'契約別単価'!K5+'前提と出典'!$C$37*'契約別単価'!K6+'前提と出典'!$C$38*'契約別単価'!K7)</ns0:f>
        <ns0:v>408664.43202979513</ns0:v>
      </ns0:c>
      <ns0:c r="L974" s="16">
        <ns0:f>A974*('前提と出典'!$C$36*'契約別単価'!L5+'前提と出典'!$C$37*'契約別単価'!L6+'前提と出典'!$C$38*'契約別単価'!L7)</ns0:f>
        <ns0:v>332736.0057269588</ns0:v>
      </ns0:c>
      <ns0:c r="M974" s="16">
        <ns0:f>IF(('前提と出典'!$C$36+'前提と出典'!$C$38)=0,0,IF(B974&lt;=10,'前提と出典'!B73+'前提と出典'!C73,IF(B974&lt;=100,'前提と出典'!B74+'前提と出典'!C74,IF(B974&lt;=500,'前提と出典'!B75+'前提と出典'!C75,'前提と出典'!B76+'前提と出典'!C76))))</ns0:f>
        <ns0:v>80000</ns0:v>
      </ns0:c>
      <ns0:c r="N974" s="16">
        <ns0:f>IF(('前提と出典'!$C$37+'前提と出典'!$C$38)=0,0,IF(C974&lt;=10,'前提と出典'!D73+'前提と出典'!E73,IF(C974&lt;=100,'前提と出典'!D74+'前提と出典'!E74,IF(C974&lt;=500,'前提と出典'!D75+'前提と出典'!E75,'前提と出典'!D76+'前提と出典'!E76))))</ns0:f>
        <ns0:v>86510.9346263078</ns0:v>
      </ns0:c>
      <ns0:c r="O974" s="16">
        <ns0:f>IF('前提と出典'!$C$36+'前提と出典'!$C$38=0,0,'前提と出典'!$B$4*IF('前提と出典'!$B$20=0,MAX('前提と出典'!$B$6,D974*'前提と出典'!$B$5),'前提と出典'!$B$6+D974*'前提と出典'!$B$5))</ns0:f>
        <ns0:v>963193.7430167599</ns0:v>
      </ns0:c>
      <ns0:c r="P974" s="16">
        <ns0:f>(E974+G974)*(1-'前提と出典'!$B$7)-I974-K974-M974-O974</ns0:f>
        <ns0:v>2177819.5617215834</ns0:v>
      </ns0:c>
      <ns0:c r="Q974" s="16">
        <ns0:f>(F974+H974)*(1-'前提と出典'!$B$7)-J974-L974-N974</ns0:f>
        <ns0:v>841465.0130330105</ns0:v>
      </ns0:c>
      <ns0:c r="R974" s="16">
        <ns0:f>P974-E974*'前提と出典'!$E$4</ns0:f>
        <ns0:v>1614750.666612465</ns0:v>
      </ns0:c>
      <ns0:c r="S974" s="16">
        <ns0:f>Q974-F974*'前提と出典'!$E$4</ns0:f>
        <ns0:v>620480.928439145</ns0:v>
      </ns0:c>
      <ns0:c r="T974" s="7">
        <ns0:f>R974+S974</ns0:f>
        <ns0:v>2235231.59505161</ns0:v>
      </ns0:c>
      <ns0:c r="U974" s="16">
        <ns0:f>P974-E974*'前提と出典'!$E$5</ns0:f>
        <ns0:v>1427061.0349094253</ns0:v>
      </ns0:c>
      <ns0:c r="V974" s="16">
        <ns0:f>Q974-F974*'前提と出典'!$E$5</ns0:f>
        <ns0:v>546819.5669078564</ns0:v>
      </ns0:c>
      <ns0:c r="W974" s="7">
        <ns0:f>U974+V974</ns0:f>
        <ns0:v>1973880.6018172817</ns0:v>
      </ns0:c>
      <ns0:c r="X974" s="16">
        <ns0:f>P974-E974*'前提と出典'!$E$6</ns0:f>
        <ns0:v>1239371.4032063857</ns0:v>
      </ns0:c>
      <ns0:c r="Y974" s="16">
        <ns0:f>Q974-F974*'前提と出典'!$E$6</ns0:f>
        <ns0:v>473158.20537656755</ns0:v>
      </ns0:c>
      <ns0:c r="Z974" s="7">
        <ns0:f>X974+Y974</ns0:f>
        <ns0:v>1712529.6085829532</ns0:v>
      </ns0:c>
      <ns0:c r="AA974" s="7">
        <ns0:f>IF(T974&gt;=0,A974,1001)</ns0:f>
        <ns0:v>970</ns0:v>
      </ns0:c>
      <ns0:c r="AB974" s="7">
        <ns0:f>IF(T974&lt;0,A974,0)</ns0:f>
        <ns0:v>0</ns0:v>
      </ns0:c>
      <ns0:c r="AC974" s="16">
        <ns0:f>IF(AND(OR('前提と出典'!$C$36+'前提と出典'!$C$38=0,R974&gt;=0),OR('前提と出典'!$C$37+'前提と出典'!$C$38=0,S974&gt;=0)),0,A974)</ns0:f>
        <ns0:v>0</ns0:v>
      </ns0:c>
      <ns0:c r="AD974" s="7">
        <ns0:f>IF(W974&gt;=0,A974,1001)</ns0:f>
        <ns0:v>970</ns0:v>
      </ns0:c>
      <ns0:c r="AE974" s="7">
        <ns0:f>IF(W974&lt;0,A974,0)</ns0:f>
        <ns0:v>0</ns0:v>
      </ns0:c>
      <ns0:c r="AF974" s="16">
        <ns0:f>IF(AND(OR('前提と出典'!$C$36+'前提と出典'!$C$38=0,U974&gt;=0),OR('前提と出典'!$C$37+'前提と出典'!$C$38=0,V974&gt;=0)),0,A974)</ns0:f>
        <ns0:v>0</ns0:v>
      </ns0:c>
      <ns0:c r="AG974" s="7">
        <ns0:f>IF(Z974&gt;=0,A974,1001)</ns0:f>
        <ns0:v>970</ns0:v>
      </ns0:c>
      <ns0:c r="AH974" s="4">
        <ns0:f>IF(Z974&lt;0,A974,0)</ns0:f>
        <ns0:v>0</ns0:v>
      </ns0:c>
      <ns0:c r="AI974" s="12">
        <ns0:f>IF(AND(OR('前提と出典'!$C$36+'前提と出典'!$C$38=0,X974&gt;=0),OR('前提と出典'!$C$37+'前提と出典'!$C$38=0,Y974&gt;=0)),0,A974)</ns0:f>
        <ns0:v>0</ns0:v>
      </ns0:c>
    </ns0:row>
    <ns0:row r="975" ht="24" customHeight="1">
      <ns0:c r="A975" s="4" t="n">
        <ns0:v>971</ns0:v>
      </ns0:c>
      <ns0:c r="B975" s="12">
        <ns0:f>A975*('前提と出典'!$C$36+'前提と出典'!$C$38)</ns0:f>
        <ns0:v>679.6999999999999</ns0:v>
      </ns0:c>
      <ns0:c r="C975" s="12">
        <ns0:f>A975*('前提と出典'!$C$37+'前提と出典'!$C$38)</ns0:f>
        <ns0:v>582.6</ns0:v>
      </ns0:c>
      <ns0:c r="D975" s="16">
        <ns0:f>A975*('前提と出典'!$C$36*'契約別単価'!C5+'前提と出典'!$C$37*'契約別単価'!C6+'前提と出典'!$C$38*'契約別単価'!C7)</ns0:f>
        <ns0:v>6986.860335195531</ns0:v>
      </ns0:c>
      <ns0:c r="E975" s="16">
        <ns0:f>A975*('前提と出典'!$C$36*'契約別単価'!E5+'前提と出典'!$C$37*'契約別単価'!E6+'前提と出典'!$C$38*'契約別単価'!E7)</ns0:f>
        <ns0:v>1878831.2616871274</ns0:v>
      </ns0:c>
      <ns0:c r="F975" s="16">
        <ns0:f>A975*('前提と出典'!$C$36*'契約別単価'!F5+'前提と出典'!$C$37*'契約別単価'!F6+'前提と出典'!$C$38*'契約別単価'!F7)</ns0:f>
        <ns0:v>737373.0107925894</ns0:v>
      </ns0:c>
      <ns0:c r="G975" s="16">
        <ns0:f>A975*('前提と出典'!$C$36*'契約別単価'!G5+'前提と出典'!$C$37*'契約別単価'!G6+'前提と出典'!$C$38*'契約別単価'!G7)</ns0:f>
        <ns0:v>1932778.2122905026</ns0:v>
      </ns0:c>
      <ns0:c r="H975" s="16">
        <ns0:f>A975*('前提と出典'!$C$36*'契約別単価'!H5+'前提と出典'!$C$37*'契約別単価'!H6+'前提と出典'!$C$38*'契約別単価'!H7)</ns0:f>
        <ns0:v>670770.9761095982</ns0:v>
      </ns0:c>
      <ns0:c r="I975" s="16">
        <ns0:f>A975*('前提と出典'!$C$36*'契約別単価'!I5+'前提と出典'!$C$37*'契約別単価'!I6+'前提と出典'!$C$38*'契約別単価'!I7)</ns0:f>
        <ns0:v>40971.860335195524</ns0:v>
      </ns0:c>
      <ns0:c r="J975" s="16">
        <ns0:f>A975*('前提と出典'!$C$36*'契約別単価'!J5+'前提と出典'!$C$37*'契約別単価'!J6+'前提と出典'!$C$38*'契約別単価'!J7)</ns0:f>
        <ns0:v>95439.1469427038</ns0:v>
      </ns0:c>
      <ns0:c r="K975" s="16">
        <ns0:f>A975*('前提と出典'!$C$36*'契約別単価'!K5+'前提と出典'!$C$37*'契約別単価'!K6+'前提と出典'!$C$38*'契約別単価'!K7)</ns0:f>
        <ns0:v>409085.7355679702</ns0:v>
      </ns0:c>
      <ns0:c r="L975" s="16">
        <ns0:f>A975*('前提と出典'!$C$36*'契約別単価'!L5+'前提と出典'!$C$37*'契約別単価'!L6+'前提と出典'!$C$38*'契約別単価'!L7)</ns0:f>
        <ns0:v>333079.0325369866</ns0:v>
      </ns0:c>
      <ns0:c r="M975" s="16">
        <ns0:f>IF(('前提と出典'!$C$36+'前提と出典'!$C$38)=0,0,IF(B975&lt;=10,'前提と出典'!B73+'前提と出典'!C73,IF(B975&lt;=100,'前提と出典'!B74+'前提と出典'!C74,IF(B975&lt;=500,'前提と出典'!B75+'前提と出典'!C75,'前提と出典'!B76+'前提と出典'!C76))))</ns0:f>
        <ns0:v>80000</ns0:v>
      </ns0:c>
      <ns0:c r="N975" s="16">
        <ns0:f>IF(('前提と出典'!$C$37+'前提と出典'!$C$38)=0,0,IF(C975&lt;=10,'前提と出典'!D73+'前提と出典'!E73,IF(C975&lt;=100,'前提と出典'!D74+'前提と出典'!E74,IF(C975&lt;=500,'前提と出典'!D75+'前提と出典'!E75,'前提と出典'!D76+'前提と出典'!E76))))</ns0:f>
        <ns0:v>86510.9346263078</ns0:v>
      </ns0:c>
      <ns0:c r="O975" s="16">
        <ns0:f>IF('前提と出典'!$C$36+'前提と出典'!$C$38=0,0,'前提と出典'!$B$4*IF('前提と出典'!$B$20=0,MAX('前提と出典'!$B$6,D975*'前提と出典'!$B$5),'前提と出典'!$B$6+D975*'前提と出典'!$B$5))</ns0:f>
        <ns0:v>964186.7262569834</ns0:v>
      </ns0:c>
      <ns0:c r="P975" s="16">
        <ns0:f>(E975+G975)*(1-'前提と出典'!$B$7)-I975-K975-M975-O975</ns0:f>
        <ns0:v>2180147.2107542865</ns0:v>
      </ns0:c>
      <ns0:c r="Q975" s="16">
        <ns0:f>(F975+H975)*(1-'前提と出典'!$B$7)-J975-L975-N975</ns0:f>
        <ns0:v>842421.6892677108</ns0:v>
      </ns0:c>
      <ns0:c r="R975" s="16">
        <ns0:f>P975-E975*'前提と出典'!$E$4</ns0:f>
        <ns0:v>1616497.8322481485</ns0:v>
      </ns0:c>
      <ns0:c r="S975" s="16">
        <ns0:f>Q975-F975*'前提と出典'!$E$4</ns0:f>
        <ns0:v>621209.786029934</ns0:v>
      </ns0:c>
      <ns0:c r="T975" s="7">
        <ns0:f>R975+S975</ns0:f>
        <ns0:v>2237707.6182780825</ns0:v>
      </ns0:c>
      <ns0:c r="U975" s="16">
        <ns0:f>P975-E975*'前提と出典'!$E$5</ns0:f>
        <ns0:v>1428614.7060794355</ns0:v>
      </ns0:c>
      <ns0:c r="V975" s="16">
        <ns0:f>Q975-F975*'前提と出典'!$E$5</ns0:f>
        <ns0:v>547472.4849506749</ns0:v>
      </ns0:c>
      <ns0:c r="W975" s="7">
        <ns0:f>U975+V975</ns0:f>
        <ns0:v>1976087.1910301105</ns0:v>
      </ns0:c>
      <ns0:c r="X975" s="16">
        <ns0:f>P975-E975*'前提と出典'!$E$6</ns0:f>
        <ns0:v>1240731.5799107226</ns0:v>
      </ns0:c>
      <ns0:c r="Y975" s="16">
        <ns0:f>Q975-F975*'前提と出典'!$E$6</ns0:f>
        <ns0:v>473735.18387141614</ns0:v>
      </ns0:c>
      <ns0:c r="Z975" s="7">
        <ns0:f>X975+Y975</ns0:f>
        <ns0:v>1714466.7637821387</ns0:v>
      </ns0:c>
      <ns0:c r="AA975" s="7">
        <ns0:f>IF(T975&gt;=0,A975,1001)</ns0:f>
        <ns0:v>971</ns0:v>
      </ns0:c>
      <ns0:c r="AB975" s="7">
        <ns0:f>IF(T975&lt;0,A975,0)</ns0:f>
        <ns0:v>0</ns0:v>
      </ns0:c>
      <ns0:c r="AC975" s="16">
        <ns0:f>IF(AND(OR('前提と出典'!$C$36+'前提と出典'!$C$38=0,R975&gt;=0),OR('前提と出典'!$C$37+'前提と出典'!$C$38=0,S975&gt;=0)),0,A975)</ns0:f>
        <ns0:v>0</ns0:v>
      </ns0:c>
      <ns0:c r="AD975" s="7">
        <ns0:f>IF(W975&gt;=0,A975,1001)</ns0:f>
        <ns0:v>971</ns0:v>
      </ns0:c>
      <ns0:c r="AE975" s="7">
        <ns0:f>IF(W975&lt;0,A975,0)</ns0:f>
        <ns0:v>0</ns0:v>
      </ns0:c>
      <ns0:c r="AF975" s="16">
        <ns0:f>IF(AND(OR('前提と出典'!$C$36+'前提と出典'!$C$38=0,U975&gt;=0),OR('前提と出典'!$C$37+'前提と出典'!$C$38=0,V975&gt;=0)),0,A975)</ns0:f>
        <ns0:v>0</ns0:v>
      </ns0:c>
      <ns0:c r="AG975" s="7">
        <ns0:f>IF(Z975&gt;=0,A975,1001)</ns0:f>
        <ns0:v>971</ns0:v>
      </ns0:c>
      <ns0:c r="AH975" s="4">
        <ns0:f>IF(Z975&lt;0,A975,0)</ns0:f>
        <ns0:v>0</ns0:v>
      </ns0:c>
      <ns0:c r="AI975" s="12">
        <ns0:f>IF(AND(OR('前提と出典'!$C$36+'前提と出典'!$C$38=0,X975&gt;=0),OR('前提と出典'!$C$37+'前提と出典'!$C$38=0,Y975&gt;=0)),0,A975)</ns0:f>
        <ns0:v>0</ns0:v>
      </ns0:c>
    </ns0:row>
    <ns0:row r="976" ht="24" customHeight="1">
      <ns0:c r="A976" s="4" t="n">
        <ns0:v>972</ns0:v>
      </ns0:c>
      <ns0:c r="B976" s="12">
        <ns0:f>A976*('前提と出典'!$C$36+'前提と出典'!$C$38)</ns0:f>
        <ns0:v>680.4</ns0:v>
      </ns0:c>
      <ns0:c r="C976" s="12">
        <ns0:f>A976*('前提と出典'!$C$37+'前提と出典'!$C$38)</ns0:f>
        <ns0:v>583.1999999999999</ns0:v>
      </ns0:c>
      <ns0:c r="D976" s="16">
        <ns0:f>A976*('前提と出典'!$C$36*'契約別単価'!C5+'前提と出典'!$C$37*'契約別単価'!C6+'前提と出典'!$C$38*'契約別単価'!C7)</ns0:f>
        <ns0:v>6994.055865921788</ns0:v>
      </ns0:c>
      <ns0:c r="E976" s="16">
        <ns0:f>A976*('前提と出典'!$C$36*'契約別単価'!E5+'前提と出典'!$C$37*'契約別単価'!E6+'前提と出典'!$C$38*'契約別単価'!E7)</ns0:f>
        <ns0:v>1880766.2063438597</ns0:v>
      </ns0:c>
      <ns0:c r="F976" s="16">
        <ns0:f>A976*('前提と出典'!$C$36*'契約別単価'!F5+'前提と出典'!$C$37*'契約別単価'!F6+'前提と出典'!$C$38*'契約別単価'!F7)</ns0:f>
        <ns0:v>738132.4062722934</ns0:v>
      </ns0:c>
      <ns0:c r="G976" s="16">
        <ns0:f>A976*('前提と出典'!$C$36*'契約別単価'!G5+'前提と出典'!$C$37*'契約別単価'!G6+'前提と出典'!$C$38*'契約別単価'!G7)</ns0:f>
        <ns0:v>1934768.7150837989</ns0:v>
      </ns0:c>
      <ns0:c r="H976" s="16">
        <ns0:f>A976*('前提と出典'!$C$36*'契約別単価'!H5+'前提と出典'!$C$37*'契約別単価'!H6+'前提と出典'!$C$38*'契約別単価'!H7)</ns0:f>
        <ns0:v>671461.7804104319</ns0:v>
      </ns0:c>
      <ns0:c r="I976" s="16">
        <ns0:f>A976*('前提と出典'!$C$36*'契約別単価'!I5+'前提と出典'!$C$37*'契約別単価'!I6+'前提と出典'!$C$38*'契約別単価'!I7)</ns0:f>
        <ns0:v>41014.05586592178</ns0:v>
      </ns0:c>
      <ns0:c r="J976" s="16">
        <ns0:f>A976*('前提と出典'!$C$36*'契約別単価'!J5+'前提と出典'!$C$37*'契約別単価'!J6+'前提と出典'!$C$38*'契約別単価'!J7)</ns0:f>
        <ns0:v>95537.4364864141</ns0:v>
      </ns0:c>
      <ns0:c r="K976" s="16">
        <ns0:f>A976*('前提と出典'!$C$36*'契約別単価'!K5+'前提と出典'!$C$37*'契約別単価'!K6+'前提と出典'!$C$38*'契約別単価'!K7)</ns0:f>
        <ns0:v>409507.0391061452</ns0:v>
      </ns0:c>
      <ns0:c r="L976" s="16">
        <ns0:f>A976*('前提と出典'!$C$36*'契約別単価'!L5+'前提と出典'!$C$37*'契約別単価'!L6+'前提と出典'!$C$38*'契約別単価'!L7)</ns0:f>
        <ns0:v>333422.0593470144</ns0:v>
      </ns0:c>
      <ns0:c r="M976" s="16">
        <ns0:f>IF(('前提と出典'!$C$36+'前提と出典'!$C$38)=0,0,IF(B976&lt;=10,'前提と出典'!B73+'前提と出典'!C73,IF(B976&lt;=100,'前提と出典'!B74+'前提と出典'!C74,IF(B976&lt;=500,'前提と出典'!B75+'前提と出典'!C75,'前提と出典'!B76+'前提と出典'!C76))))</ns0:f>
        <ns0:v>80000</ns0:v>
      </ns0:c>
      <ns0:c r="N976" s="16">
        <ns0:f>IF(('前提と出典'!$C$37+'前提と出典'!$C$38)=0,0,IF(C976&lt;=10,'前提と出典'!D73+'前提と出典'!E73,IF(C976&lt;=100,'前提と出典'!D74+'前提と出典'!E74,IF(C976&lt;=500,'前提と出典'!D75+'前提と出典'!E75,'前提と出典'!D76+'前提と出典'!E76))))</ns0:f>
        <ns0:v>86510.9346263078</ns0:v>
      </ns0:c>
      <ns0:c r="O976" s="16">
        <ns0:f>IF('前提と出典'!$C$36+'前提と出典'!$C$38=0,0,'前提と出典'!$B$4*IF('前提と出典'!$B$20=0,MAX('前提と出典'!$B$6,D976*'前提と出典'!$B$5),'前提と出典'!$B$6+D976*'前提と出典'!$B$5))</ns0:f>
        <ns0:v>965179.7094972068</ns0:v>
      </ns0:c>
      <ns0:c r="P976" s="16">
        <ns0:f>(E976+G976)*(1-'前提と出典'!$B$7)-I976-K976-M976-O976</ns0:f>
        <ns0:v>2182474.859786989</ns0:v>
      </ns0:c>
      <ns0:c r="Q976" s="16">
        <ns0:f>(F976+H976)*(1-'前提と出典'!$B$7)-J976-L976-N976</ns0:f>
        <ns0:v>843378.365502411</ns0:v>
      </ns0:c>
      <ns0:c r="R976" s="16">
        <ns0:f>P976-E976*'前提と出典'!$E$4</ns0:f>
        <ns0:v>1618244.9978838316</ns0:v>
      </ns0:c>
      <ns0:c r="S976" s="16">
        <ns0:f>Q976-F976*'前提と出典'!$E$4</ns0:f>
        <ns0:v>621938.6436207228</ns0:v>
      </ns0:c>
      <ns0:c r="T976" s="7">
        <ns0:f>R976+S976</ns0:f>
        <ns0:v>2240183.6415045545</ns0:v>
      </ns0:c>
      <ns0:c r="U976" s="16">
        <ns0:f>P976-E976*'前提と出典'!$E$5</ns0:f>
        <ns0:v>1430168.3772494453</ns0:v>
      </ns0:c>
      <ns0:c r="V976" s="16">
        <ns0:f>Q976-F976*'前提と出典'!$E$5</ns0:f>
        <ns0:v>548125.4029934936</ns0:v>
      </ns0:c>
      <ns0:c r="W976" s="7">
        <ns0:f>U976+V976</ns0:f>
        <ns0:v>1978293.780242939</ns0:v>
      </ns0:c>
      <ns0:c r="X976" s="16">
        <ns0:f>P976-E976*'前提と出典'!$E$6</ns0:f>
        <ns0:v>1242091.75661506</ns0:v>
      </ns0:c>
      <ns0:c r="Y976" s="16">
        <ns0:f>Q976-F976*'前提と出典'!$E$6</ns0:f>
        <ns0:v>474312.16236626415</ns0:v>
      </ns0:c>
      <ns0:c r="Z976" s="7">
        <ns0:f>X976+Y976</ns0:f>
        <ns0:v>1716403.918981324</ns0:v>
      </ns0:c>
      <ns0:c r="AA976" s="7">
        <ns0:f>IF(T976&gt;=0,A976,1001)</ns0:f>
        <ns0:v>972</ns0:v>
      </ns0:c>
      <ns0:c r="AB976" s="7">
        <ns0:f>IF(T976&lt;0,A976,0)</ns0:f>
        <ns0:v>0</ns0:v>
      </ns0:c>
      <ns0:c r="AC976" s="16">
        <ns0:f>IF(AND(OR('前提と出典'!$C$36+'前提と出典'!$C$38=0,R976&gt;=0),OR('前提と出典'!$C$37+'前提と出典'!$C$38=0,S976&gt;=0)),0,A976)</ns0:f>
        <ns0:v>0</ns0:v>
      </ns0:c>
      <ns0:c r="AD976" s="7">
        <ns0:f>IF(W976&gt;=0,A976,1001)</ns0:f>
        <ns0:v>972</ns0:v>
      </ns0:c>
      <ns0:c r="AE976" s="7">
        <ns0:f>IF(W976&lt;0,A976,0)</ns0:f>
        <ns0:v>0</ns0:v>
      </ns0:c>
      <ns0:c r="AF976" s="16">
        <ns0:f>IF(AND(OR('前提と出典'!$C$36+'前提と出典'!$C$38=0,U976&gt;=0),OR('前提と出典'!$C$37+'前提と出典'!$C$38=0,V976&gt;=0)),0,A976)</ns0:f>
        <ns0:v>0</ns0:v>
      </ns0:c>
      <ns0:c r="AG976" s="7">
        <ns0:f>IF(Z976&gt;=0,A976,1001)</ns0:f>
        <ns0:v>972</ns0:v>
      </ns0:c>
      <ns0:c r="AH976" s="4">
        <ns0:f>IF(Z976&lt;0,A976,0)</ns0:f>
        <ns0:v>0</ns0:v>
      </ns0:c>
      <ns0:c r="AI976" s="12">
        <ns0:f>IF(AND(OR('前提と出典'!$C$36+'前提と出典'!$C$38=0,X976&gt;=0),OR('前提と出典'!$C$37+'前提と出典'!$C$38=0,Y976&gt;=0)),0,A976)</ns0:f>
        <ns0:v>0</ns0:v>
      </ns0:c>
    </ns0:row>
    <ns0:row r="977" ht="24" customHeight="1">
      <ns0:c r="A977" s="4" t="n">
        <ns0:v>973</ns0:v>
      </ns0:c>
      <ns0:c r="B977" s="12">
        <ns0:f>A977*('前提と出典'!$C$36+'前提と出典'!$C$38)</ns0:f>
        <ns0:v>681.0999999999999</ns0:v>
      </ns0:c>
      <ns0:c r="C977" s="12">
        <ns0:f>A977*('前提と出典'!$C$37+'前提と出典'!$C$38)</ns0:f>
        <ns0:v>583.8</ns0:v>
      </ns0:c>
      <ns0:c r="D977" s="16">
        <ns0:f>A977*('前提と出典'!$C$36*'契約別単価'!C5+'前提と出典'!$C$37*'契約別単価'!C6+'前提と出典'!$C$38*'契約別単価'!C7)</ns0:f>
        <ns0:v>7001.251396648045</ns0:v>
      </ns0:c>
      <ns0:c r="E977" s="16">
        <ns0:f>A977*('前提と出典'!$C$36*'契約別単価'!E5+'前提と出典'!$C$37*'契約別単価'!E6+'前提と出典'!$C$38*'契約別単価'!E7)</ns0:f>
        <ns0:v>1882701.1510005922</ns0:v>
      </ns0:c>
      <ns0:c r="F977" s="16">
        <ns0:f>A977*('前提と出典'!$C$36*'契約別単価'!F5+'前提と出典'!$C$37*'契約別単価'!F6+'前提と出典'!$C$38*'契約別単価'!F7)</ns0:f>
        <ns0:v>738891.8017519974</ns0:v>
      </ns0:c>
      <ns0:c r="G977" s="16">
        <ns0:f>A977*('前提と出典'!$C$36*'契約別単価'!G5+'前提と出典'!$C$37*'契約別単価'!G6+'前提と出典'!$C$38*'契約別単価'!G7)</ns0:f>
        <ns0:v>1936759.2178770949</ns0:v>
      </ns0:c>
      <ns0:c r="H977" s="16">
        <ns0:f>A977*('前提と出典'!$C$36*'契約別単価'!H5+'前提と出典'!$C$37*'契約別単価'!H6+'前提と出典'!$C$38*'契約別単価'!H7)</ns0:f>
        <ns0:v>672152.5847112656</ns0:v>
      </ns0:c>
      <ns0:c r="I977" s="16">
        <ns0:f>A977*('前提と出典'!$C$36*'契約別単価'!I5+'前提と出典'!$C$37*'契約別単価'!I6+'前提と出典'!$C$38*'契約別単価'!I7)</ns0:f>
        <ns0:v>41056.25139664804</ns0:v>
      </ns0:c>
      <ns0:c r="J977" s="16">
        <ns0:f>A977*('前提と出典'!$C$36*'契約別単価'!J5+'前提と出典'!$C$37*'契約別単価'!J6+'前提と出典'!$C$38*'契約別単価'!J7)</ns0:f>
        <ns0:v>95635.7260301244</ns0:v>
      </ns0:c>
      <ns0:c r="K977" s="16">
        <ns0:f>A977*('前提と出典'!$C$36*'契約別単価'!K5+'前提と出典'!$C$37*'契約別単価'!K6+'前提と出典'!$C$38*'契約別単価'!K7)</ns0:f>
        <ns0:v>409928.3426443203</ns0:v>
      </ns0:c>
      <ns0:c r="L977" s="16">
        <ns0:f>A977*('前提と出典'!$C$36*'契約別単価'!L5+'前提と出典'!$C$37*'契約別単価'!L6+'前提と出典'!$C$38*'契約別単価'!L7)</ns0:f>
        <ns0:v>333765.0861570422</ns0:v>
      </ns0:c>
      <ns0:c r="M977" s="16">
        <ns0:f>IF(('前提と出典'!$C$36+'前提と出典'!$C$38)=0,0,IF(B977&lt;=10,'前提と出典'!B73+'前提と出典'!C73,IF(B977&lt;=100,'前提と出典'!B74+'前提と出典'!C74,IF(B977&lt;=500,'前提と出典'!B75+'前提と出典'!C75,'前提と出典'!B76+'前提と出典'!C76))))</ns0:f>
        <ns0:v>80000</ns0:v>
      </ns0:c>
      <ns0:c r="N977" s="16">
        <ns0:f>IF(('前提と出典'!$C$37+'前提と出典'!$C$38)=0,0,IF(C977&lt;=10,'前提と出典'!D73+'前提と出典'!E73,IF(C977&lt;=100,'前提と出典'!D74+'前提と出典'!E74,IF(C977&lt;=500,'前提と出典'!D75+'前提と出典'!E75,'前提と出典'!D76+'前提と出典'!E76))))</ns0:f>
        <ns0:v>86510.9346263078</ns0:v>
      </ns0:c>
      <ns0:c r="O977" s="16">
        <ns0:f>IF('前提と出典'!$C$36+'前提と出典'!$C$38=0,0,'前提と出典'!$B$4*IF('前提と出典'!$B$20=0,MAX('前提と出典'!$B$6,D977*'前提と出典'!$B$5),'前提と出典'!$B$6+D977*'前提と出典'!$B$5))</ns0:f>
        <ns0:v>966172.6927374302</ns0:v>
      </ns0:c>
      <ns0:c r="P977" s="16">
        <ns0:f>(E977+G977)*(1-'前提と出典'!$B$7)-I977-K977-M977-O977</ns0:f>
        <ns0:v>2184802.5088196914</ns0:v>
      </ns0:c>
      <ns0:c r="Q977" s="16">
        <ns0:f>(F977+H977)*(1-'前提と出典'!$B$7)-J977-L977-N977</ns0:f>
        <ns0:v>844335.041737111</ns0:v>
      </ns0:c>
      <ns0:c r="R977" s="16">
        <ns0:f>P977-E977*'前提と出典'!$E$4</ns0:f>
        <ns0:v>1619992.1635195138</ns0:v>
      </ns0:c>
      <ns0:c r="S977" s="16">
        <ns0:f>Q977-F977*'前提と出典'!$E$4</ns0:f>
        <ns0:v>622667.501211512</ns0:v>
      </ns0:c>
      <ns0:c r="T977" s="7">
        <ns0:f>R977+S977</ns0:f>
        <ns0:v>2242659.6647310257</ns0:v>
      </ns0:c>
      <ns0:c r="U977" s="16">
        <ns0:f>P977-E977*'前提と出典'!$E$5</ns0:f>
        <ns0:v>1431722.0484194546</ns0:v>
      </ns0:c>
      <ns0:c r="V977" s="16">
        <ns0:f>Q977-F977*'前提と出典'!$E$5</ns0:f>
        <ns0:v>548778.3210363121</ns0:v>
      </ns0:c>
      <ns0:c r="W977" s="7">
        <ns0:f>U977+V977</ns0:f>
        <ns0:v>1980500.3694557669</ns0:v>
      </ns0:c>
      <ns0:c r="X977" s="16">
        <ns0:f>P977-E977*'前提と出典'!$E$6</ns0:f>
        <ns0:v>1243451.9333193954</ns0:v>
      </ns0:c>
      <ns0:c r="Y977" s="16">
        <ns0:f>Q977-F977*'前提と出典'!$E$6</ns0:f>
        <ns0:v>474889.1408611126</ns0:v>
      </ns0:c>
      <ns0:c r="Z977" s="7">
        <ns0:f>X977+Y977</ns0:f>
        <ns0:v>1718341.074180508</ns0:v>
      </ns0:c>
      <ns0:c r="AA977" s="7">
        <ns0:f>IF(T977&gt;=0,A977,1001)</ns0:f>
        <ns0:v>973</ns0:v>
      </ns0:c>
      <ns0:c r="AB977" s="7">
        <ns0:f>IF(T977&lt;0,A977,0)</ns0:f>
        <ns0:v>0</ns0:v>
      </ns0:c>
      <ns0:c r="AC977" s="16">
        <ns0:f>IF(AND(OR('前提と出典'!$C$36+'前提と出典'!$C$38=0,R977&gt;=0),OR('前提と出典'!$C$37+'前提と出典'!$C$38=0,S977&gt;=0)),0,A977)</ns0:f>
        <ns0:v>0</ns0:v>
      </ns0:c>
      <ns0:c r="AD977" s="7">
        <ns0:f>IF(W977&gt;=0,A977,1001)</ns0:f>
        <ns0:v>973</ns0:v>
      </ns0:c>
      <ns0:c r="AE977" s="7">
        <ns0:f>IF(W977&lt;0,A977,0)</ns0:f>
        <ns0:v>0</ns0:v>
      </ns0:c>
      <ns0:c r="AF977" s="16">
        <ns0:f>IF(AND(OR('前提と出典'!$C$36+'前提と出典'!$C$38=0,U977&gt;=0),OR('前提と出典'!$C$37+'前提と出典'!$C$38=0,V977&gt;=0)),0,A977)</ns0:f>
        <ns0:v>0</ns0:v>
      </ns0:c>
      <ns0:c r="AG977" s="7">
        <ns0:f>IF(Z977&gt;=0,A977,1001)</ns0:f>
        <ns0:v>973</ns0:v>
      </ns0:c>
      <ns0:c r="AH977" s="4">
        <ns0:f>IF(Z977&lt;0,A977,0)</ns0:f>
        <ns0:v>0</ns0:v>
      </ns0:c>
      <ns0:c r="AI977" s="12">
        <ns0:f>IF(AND(OR('前提と出典'!$C$36+'前提と出典'!$C$38=0,X977&gt;=0),OR('前提と出典'!$C$37+'前提と出典'!$C$38=0,Y977&gt;=0)),0,A977)</ns0:f>
        <ns0:v>0</ns0:v>
      </ns0:c>
    </ns0:row>
    <ns0:row r="978" ht="24" customHeight="1">
      <ns0:c r="A978" s="4" t="n">
        <ns0:v>974</ns0:v>
      </ns0:c>
      <ns0:c r="B978" s="12">
        <ns0:f>A978*('前提と出典'!$C$36+'前提と出典'!$C$38)</ns0:f>
        <ns0:v>681.8</ns0:v>
      </ns0:c>
      <ns0:c r="C978" s="12">
        <ns0:f>A978*('前提と出典'!$C$37+'前提と出典'!$C$38)</ns0:f>
        <ns0:v>584.4</ns0:v>
      </ns0:c>
      <ns0:c r="D978" s="16">
        <ns0:f>A978*('前提と出典'!$C$36*'契約別単価'!C5+'前提と出典'!$C$37*'契約別単価'!C6+'前提と出典'!$C$38*'契約別単価'!C7)</ns0:f>
        <ns0:v>7008.446927374302</ns0:v>
      </ns0:c>
      <ns0:c r="E978" s="16">
        <ns0:f>A978*('前提と出典'!$C$36*'契約別単価'!E5+'前提と出典'!$C$37*'契約別単価'!E6+'前提と出典'!$C$38*'契約別単価'!E7)</ns0:f>
        <ns0:v>1884636.0956573244</ns0:v>
      </ns0:c>
      <ns0:c r="F978" s="16">
        <ns0:f>A978*('前提と出典'!$C$36*'契約別単価'!F5+'前提と出典'!$C$37*'契約別単価'!F6+'前提と出典'!$C$38*'契約別単価'!F7)</ns0:f>
        <ns0:v>739651.1972317013</ns0:v>
      </ns0:c>
      <ns0:c r="G978" s="16">
        <ns0:f>A978*('前提と出典'!$C$36*'契約別単価'!G5+'前提と出典'!$C$37*'契約別単価'!G6+'前提と出典'!$C$38*'契約別単価'!G7)</ns0:f>
        <ns0:v>1938749.7206703909</ns0:v>
      </ns0:c>
      <ns0:c r="H978" s="16">
        <ns0:f>A978*('前提と出典'!$C$36*'契約別単価'!H5+'前提と出典'!$C$37*'契約別単価'!H6+'前提と出典'!$C$38*'契約別単価'!H7)</ns0:f>
        <ns0:v>672843.3890120995</ns0:v>
      </ns0:c>
      <ns0:c r="I978" s="16">
        <ns0:f>A978*('前提と出典'!$C$36*'契約別単価'!I5+'前提と出典'!$C$37*'契約別単価'!I6+'前提と出典'!$C$38*'契約別単価'!I7)</ns0:f>
        <ns0:v>41098.446927374294</ns0:v>
      </ns0:c>
      <ns0:c r="J978" s="16">
        <ns0:f>A978*('前提と出典'!$C$36*'契約別単価'!J5+'前提と出典'!$C$37*'契約別単価'!J6+'前提と出典'!$C$38*'契約別単価'!J7)</ns0:f>
        <ns0:v>95734.0155738347</ns0:v>
      </ns0:c>
      <ns0:c r="K978" s="16">
        <ns0:f>A978*('前提と出典'!$C$36*'契約別単価'!K5+'前提と出典'!$C$37*'契約別単価'!K6+'前提と出典'!$C$38*'契約別単価'!K7)</ns0:f>
        <ns0:v>410349.64618249534</ns0:v>
      </ns0:c>
      <ns0:c r="L978" s="16">
        <ns0:f>A978*('前提と出典'!$C$36*'契約別単価'!L5+'前提と出典'!$C$37*'契約別単価'!L6+'前提と出典'!$C$38*'契約別単価'!L7)</ns0:f>
        <ns0:v>334108.11296706996</ns0:v>
      </ns0:c>
      <ns0:c r="M978" s="16">
        <ns0:f>IF(('前提と出典'!$C$36+'前提と出典'!$C$38)=0,0,IF(B978&lt;=10,'前提と出典'!B73+'前提と出典'!C73,IF(B978&lt;=100,'前提と出典'!B74+'前提と出典'!C74,IF(B978&lt;=500,'前提と出典'!B75+'前提と出典'!C75,'前提と出典'!B76+'前提と出典'!C76))))</ns0:f>
        <ns0:v>80000</ns0:v>
      </ns0:c>
      <ns0:c r="N978" s="16">
        <ns0:f>IF(('前提と出典'!$C$37+'前提と出典'!$C$38)=0,0,IF(C978&lt;=10,'前提と出典'!D73+'前提と出典'!E73,IF(C978&lt;=100,'前提と出典'!D74+'前提と出典'!E74,IF(C978&lt;=500,'前提と出典'!D75+'前提と出典'!E75,'前提と出典'!D76+'前提と出典'!E76))))</ns0:f>
        <ns0:v>86510.9346263078</ns0:v>
      </ns0:c>
      <ns0:c r="O978" s="16">
        <ns0:f>IF('前提と出典'!$C$36+'前提と出典'!$C$38=0,0,'前提と出典'!$B$4*IF('前提と出典'!$B$20=0,MAX('前提と出典'!$B$6,D978*'前提と出典'!$B$5),'前提と出典'!$B$6+D978*'前提と出典'!$B$5))</ns0:f>
        <ns0:v>967165.6759776536</ns0:v>
      </ns0:c>
      <ns0:c r="P978" s="16">
        <ns0:f>(E978+G978)*(1-'前提と出典'!$B$7)-I978-K978-M978-O978</ns0:f>
        <ns0:v>2187130.157852395</ns0:v>
      </ns0:c>
      <ns0:c r="Q978" s="16">
        <ns0:f>(F978+H978)*(1-'前提と出典'!$B$7)-J978-L978-N978</ns0:f>
        <ns0:v>845291.7179718118</ns0:v>
      </ns0:c>
      <ns0:c r="R978" s="16">
        <ns0:f>P978-E978*'前提と出典'!$E$4</ns0:f>
        <ns0:v>1621739.3291551976</ns0:v>
      </ns0:c>
      <ns0:c r="S978" s="16">
        <ns0:f>Q978-F978*'前提と出典'!$E$4</ns0:f>
        <ns0:v>623396.3588023012</ns0:v>
      </ns0:c>
      <ns0:c r="T978" s="7">
        <ns0:f>R978+S978</ns0:f>
        <ns0:v>2245135.6879574987</ns0:v>
      </ns0:c>
      <ns0:c r="U978" s="16">
        <ns0:f>P978-E978*'前提と出典'!$E$5</ns0:f>
        <ns0:v>1433275.719589465</ns0:v>
      </ns0:c>
      <ns0:c r="V978" s="16">
        <ns0:f>Q978-F978*'前提と出典'!$E$5</ns0:f>
        <ns0:v>549431.2390791312</ns0:v>
      </ns0:c>
      <ns0:c r="W978" s="7">
        <ns0:f>U978+V978</ns0:f>
        <ns0:v>1982706.958668596</ns0:v>
      </ns0:c>
      <ns0:c r="X978" s="16">
        <ns0:f>P978-E978*'前提と出典'!$E$6</ns0:f>
        <ns0:v>1244812.1100237325</ns0:v>
      </ns0:c>
      <ns0:c r="Y978" s="16">
        <ns0:f>Q978-F978*'前提と出典'!$E$6</ns0:f>
        <ns0:v>475466.11935596087</ns0:v>
      </ns0:c>
      <ns0:c r="Z978" s="7">
        <ns0:f>X978+Y978</ns0:f>
        <ns0:v>1720278.2293796935</ns0:v>
      </ns0:c>
      <ns0:c r="AA978" s="7">
        <ns0:f>IF(T978&gt;=0,A978,1001)</ns0:f>
        <ns0:v>974</ns0:v>
      </ns0:c>
      <ns0:c r="AB978" s="7">
        <ns0:f>IF(T978&lt;0,A978,0)</ns0:f>
        <ns0:v>0</ns0:v>
      </ns0:c>
      <ns0:c r="AC978" s="16">
        <ns0:f>IF(AND(OR('前提と出典'!$C$36+'前提と出典'!$C$38=0,R978&gt;=0),OR('前提と出典'!$C$37+'前提と出典'!$C$38=0,S978&gt;=0)),0,A978)</ns0:f>
        <ns0:v>0</ns0:v>
      </ns0:c>
      <ns0:c r="AD978" s="7">
        <ns0:f>IF(W978&gt;=0,A978,1001)</ns0:f>
        <ns0:v>974</ns0:v>
      </ns0:c>
      <ns0:c r="AE978" s="7">
        <ns0:f>IF(W978&lt;0,A978,0)</ns0:f>
        <ns0:v>0</ns0:v>
      </ns0:c>
      <ns0:c r="AF978" s="16">
        <ns0:f>IF(AND(OR('前提と出典'!$C$36+'前提と出典'!$C$38=0,U978&gt;=0),OR('前提と出典'!$C$37+'前提と出典'!$C$38=0,V978&gt;=0)),0,A978)</ns0:f>
        <ns0:v>0</ns0:v>
      </ns0:c>
      <ns0:c r="AG978" s="7">
        <ns0:f>IF(Z978&gt;=0,A978,1001)</ns0:f>
        <ns0:v>974</ns0:v>
      </ns0:c>
      <ns0:c r="AH978" s="4">
        <ns0:f>IF(Z978&lt;0,A978,0)</ns0:f>
        <ns0:v>0</ns0:v>
      </ns0:c>
      <ns0:c r="AI978" s="12">
        <ns0:f>IF(AND(OR('前提と出典'!$C$36+'前提と出典'!$C$38=0,X978&gt;=0),OR('前提と出典'!$C$37+'前提と出典'!$C$38=0,Y978&gt;=0)),0,A978)</ns0:f>
        <ns0:v>0</ns0:v>
      </ns0:c>
    </ns0:row>
    <ns0:row r="979" ht="24" customHeight="1">
      <ns0:c r="A979" s="4" t="n">
        <ns0:v>975</ns0:v>
      </ns0:c>
      <ns0:c r="B979" s="12">
        <ns0:f>A979*('前提と出典'!$C$36+'前提と出典'!$C$38)</ns0:f>
        <ns0:v>682.5</ns0:v>
      </ns0:c>
      <ns0:c r="C979" s="12">
        <ns0:f>A979*('前提と出典'!$C$37+'前提と出典'!$C$38)</ns0:f>
        <ns0:v>585</ns0:v>
      </ns0:c>
      <ns0:c r="D979" s="16">
        <ns0:f>A979*('前提と出典'!$C$36*'契約別単価'!C5+'前提と出典'!$C$37*'契約別単価'!C6+'前提と出典'!$C$38*'契約別単価'!C7)</ns0:f>
        <ns0:v>7015.6424581005585</ns0:v>
      </ns0:c>
      <ns0:c r="E979" s="16">
        <ns0:f>A979*('前提と出典'!$C$36*'契約別単価'!E5+'前提と出典'!$C$37*'契約別単価'!E6+'前提と出典'!$C$38*'契約別単価'!E7)</ns0:f>
        <ns0:v>1886571.040314057</ns0:v>
      </ns0:c>
      <ns0:c r="F979" s="16">
        <ns0:f>A979*('前提と出典'!$C$36*'契約別単価'!F5+'前提と出典'!$C$37*'契約別単価'!F6+'前提と出典'!$C$38*'契約別単価'!F7)</ns0:f>
        <ns0:v>740410.5927114054</ns0:v>
      </ns0:c>
      <ns0:c r="G979" s="16">
        <ns0:f>A979*('前提と出典'!$C$36*'契約別単価'!G5+'前提と出典'!$C$37*'契約別単価'!G6+'前提と出典'!$C$38*'契約別単価'!G7)</ns0:f>
        <ns0:v>1940740.223463687</ns0:v>
      </ns0:c>
      <ns0:c r="H979" s="16">
        <ns0:f>A979*('前提と出典'!$C$36*'契約別単価'!H5+'前提と出典'!$C$37*'契約別単価'!H6+'前提と出典'!$C$38*'契約別単価'!H7)</ns0:f>
        <ns0:v>673534.1933129332</ns0:v>
      </ns0:c>
      <ns0:c r="I979" s="16">
        <ns0:f>A979*('前提と出典'!$C$36*'契約別単価'!I5+'前提と出典'!$C$37*'契約別単価'!I6+'前提と出典'!$C$38*'契約別単価'!I7)</ns0:f>
        <ns0:v>41140.64245810055</ns0:v>
      </ns0:c>
      <ns0:c r="J979" s="16">
        <ns0:f>A979*('前提と出典'!$C$36*'契約別単価'!J5+'前提と出典'!$C$37*'契約別単価'!J6+'前提と出典'!$C$38*'契約別単価'!J7)</ns0:f>
        <ns0:v>95832.30511754501</ns0:v>
      </ns0:c>
      <ns0:c r="K979" s="16">
        <ns0:f>A979*('前提と出典'!$C$36*'契約別単価'!K5+'前提と出典'!$C$37*'契約別単価'!K6+'前提と出典'!$C$38*'契約別単価'!K7)</ns0:f>
        <ns0:v>410770.94972067035</ns0:v>
      </ns0:c>
      <ns0:c r="L979" s="16">
        <ns0:f>A979*('前提と出典'!$C$36*'契約別単価'!L5+'前提と出典'!$C$37*'契約別単価'!L6+'前提と出典'!$C$38*'契約別単価'!L7)</ns0:f>
        <ns0:v>334451.1397770978</ns0:v>
      </ns0:c>
      <ns0:c r="M979" s="16">
        <ns0:f>IF(('前提と出典'!$C$36+'前提と出典'!$C$38)=0,0,IF(B979&lt;=10,'前提と出典'!B73+'前提と出典'!C73,IF(B979&lt;=100,'前提と出典'!B74+'前提と出典'!C74,IF(B979&lt;=500,'前提と出典'!B75+'前提と出典'!C75,'前提と出典'!B76+'前提と出典'!C76))))</ns0:f>
        <ns0:v>80000</ns0:v>
      </ns0:c>
      <ns0:c r="N979" s="16">
        <ns0:f>IF(('前提と出典'!$C$37+'前提と出典'!$C$38)=0,0,IF(C979&lt;=10,'前提と出典'!D73+'前提と出典'!E73,IF(C979&lt;=100,'前提と出典'!D74+'前提と出典'!E74,IF(C979&lt;=500,'前提と出典'!D75+'前提と出典'!E75,'前提と出典'!D76+'前提と出典'!E76))))</ns0:f>
        <ns0:v>86510.9346263078</ns0:v>
      </ns0:c>
      <ns0:c r="O979" s="16">
        <ns0:f>IF('前提と出典'!$C$36+'前提と出典'!$C$38=0,0,'前提と出典'!$B$4*IF('前提と出典'!$B$20=0,MAX('前提と出典'!$B$6,D979*'前提と出典'!$B$5),'前提と出典'!$B$6+D979*'前提と出典'!$B$5))</ns0:f>
        <ns0:v>968158.6592178771</ns0:v>
      </ns0:c>
      <ns0:c r="P979" s="16">
        <ns0:f>(E979+G979)*(1-'前提と出典'!$B$7)-I979-K979-M979-O979</ns0:f>
        <ns0:v>2189457.8068850976</ns0:v>
      </ns0:c>
      <ns0:c r="Q979" s="16">
        <ns0:f>(F979+H979)*(1-'前提と出典'!$B$7)-J979-L979-N979</ns0:f>
        <ns0:v>846248.3942065118</ns0:v>
      </ns0:c>
      <ns0:c r="R979" s="16">
        <ns0:f>P979-E979*'前提と出典'!$E$4</ns0:f>
        <ns0:v>1623486.4947908802</ns0:v>
      </ns0:c>
      <ns0:c r="S979" s="16">
        <ns0:f>Q979-F979*'前提と出典'!$E$4</ns0:f>
        <ns0:v>624125.2163930901</ns0:v>
      </ns0:c>
      <ns0:c r="T979" s="7">
        <ns0:f>R979+S979</ns0:f>
        <ns0:v>2247611.7111839703</ns0:v>
      </ns0:c>
      <ns0:c r="U979" s="16">
        <ns0:f>P979-E979*'前提と出典'!$E$5</ns0:f>
        <ns0:v>1434829.3907594748</ns0:v>
      </ns0:c>
      <ns0:c r="V979" s="16">
        <ns0:f>Q979-F979*'前提と出典'!$E$5</ns0:f>
        <ns0:v>550084.1571219496</ns0:v>
      </ns0:c>
      <ns0:c r="W979" s="7">
        <ns0:f>U979+V979</ns0:f>
        <ns0:v>1984913.5478814244</ns0:v>
      </ns0:c>
      <ns0:c r="X979" s="16">
        <ns0:f>P979-E979*'前提と出典'!$E$6</ns0:f>
        <ns0:v>1246172.286728069</ns0:v>
      </ns0:c>
      <ns0:c r="Y979" s="16">
        <ns0:f>Q979-F979*'前提と出典'!$E$6</ns0:f>
        <ns0:v>476043.0978508091</ns0:v>
      </ns0:c>
      <ns0:c r="Z979" s="7">
        <ns0:f>X979+Y979</ns0:f>
        <ns0:v>1722215.384578878</ns0:v>
      </ns0:c>
      <ns0:c r="AA979" s="7">
        <ns0:f>IF(T979&gt;=0,A979,1001)</ns0:f>
        <ns0:v>975</ns0:v>
      </ns0:c>
      <ns0:c r="AB979" s="7">
        <ns0:f>IF(T979&lt;0,A979,0)</ns0:f>
        <ns0:v>0</ns0:v>
      </ns0:c>
      <ns0:c r="AC979" s="16">
        <ns0:f>IF(AND(OR('前提と出典'!$C$36+'前提と出典'!$C$38=0,R979&gt;=0),OR('前提と出典'!$C$37+'前提と出典'!$C$38=0,S979&gt;=0)),0,A979)</ns0:f>
        <ns0:v>0</ns0:v>
      </ns0:c>
      <ns0:c r="AD979" s="7">
        <ns0:f>IF(W979&gt;=0,A979,1001)</ns0:f>
        <ns0:v>975</ns0:v>
      </ns0:c>
      <ns0:c r="AE979" s="7">
        <ns0:f>IF(W979&lt;0,A979,0)</ns0:f>
        <ns0:v>0</ns0:v>
      </ns0:c>
      <ns0:c r="AF979" s="16">
        <ns0:f>IF(AND(OR('前提と出典'!$C$36+'前提と出典'!$C$38=0,U979&gt;=0),OR('前提と出典'!$C$37+'前提と出典'!$C$38=0,V979&gt;=0)),0,A979)</ns0:f>
        <ns0:v>0</ns0:v>
      </ns0:c>
      <ns0:c r="AG979" s="7">
        <ns0:f>IF(Z979&gt;=0,A979,1001)</ns0:f>
        <ns0:v>975</ns0:v>
      </ns0:c>
      <ns0:c r="AH979" s="4">
        <ns0:f>IF(Z979&lt;0,A979,0)</ns0:f>
        <ns0:v>0</ns0:v>
      </ns0:c>
      <ns0:c r="AI979" s="12">
        <ns0:f>IF(AND(OR('前提と出典'!$C$36+'前提と出典'!$C$38=0,X979&gt;=0),OR('前提と出典'!$C$37+'前提と出典'!$C$38=0,Y979&gt;=0)),0,A979)</ns0:f>
        <ns0:v>0</ns0:v>
      </ns0:c>
    </ns0:row>
    <ns0:row r="980" ht="24" customHeight="1">
      <ns0:c r="A980" s="4" t="n">
        <ns0:v>976</ns0:v>
      </ns0:c>
      <ns0:c r="B980" s="12">
        <ns0:f>A980*('前提と出典'!$C$36+'前提と出典'!$C$38)</ns0:f>
        <ns0:v>683.1999999999999</ns0:v>
      </ns0:c>
      <ns0:c r="C980" s="12">
        <ns0:f>A980*('前提と出典'!$C$37+'前提と出典'!$C$38)</ns0:f>
        <ns0:v>585.6</ns0:v>
      </ns0:c>
      <ns0:c r="D980" s="16">
        <ns0:f>A980*('前提と出典'!$C$36*'契約別単価'!C5+'前提と出典'!$C$37*'契約別単価'!C6+'前提と出典'!$C$38*'契約別単価'!C7)</ns0:f>
        <ns0:v>7022.8379888268155</ns0:v>
      </ns0:c>
      <ns0:c r="E980" s="16">
        <ns0:f>A980*('前提と出典'!$C$36*'契約別単価'!E5+'前提と出典'!$C$37*'契約別単価'!E6+'前提と出典'!$C$38*'契約別単価'!E7)</ns0:f>
        <ns0:v>1888505.9849707892</ns0:v>
      </ns0:c>
      <ns0:c r="F980" s="16">
        <ns0:f>A980*('前提と出典'!$C$36*'契約別単価'!F5+'前提と出典'!$C$37*'契約別単価'!F6+'前提と出典'!$C$38*'契約別単価'!F7)</ns0:f>
        <ns0:v>741169.9881911094</ns0:v>
      </ns0:c>
      <ns0:c r="G980" s="16">
        <ns0:f>A980*('前提と出典'!$C$36*'契約別単価'!G5+'前提と出典'!$C$37*'契約別単価'!G6+'前提と出典'!$C$38*'契約別単価'!G7)</ns0:f>
        <ns0:v>1942730.7262569831</ns0:v>
      </ns0:c>
      <ns0:c r="H980" s="16">
        <ns0:f>A980*('前提と出典'!$C$36*'契約別単価'!H5+'前提と出典'!$C$37*'契約別単価'!H6+'前提と出典'!$C$38*'契約別単価'!H7)</ns0:f>
        <ns0:v>674224.997613767</ns0:v>
      </ns0:c>
      <ns0:c r="I980" s="16">
        <ns0:f>A980*('前提と出典'!$C$36*'契約別単価'!I5+'前提と出典'!$C$37*'契約別単価'!I6+'前提と出典'!$C$38*'契約別単価'!I7)</ns0:f>
        <ns0:v>41182.83798882681</ns0:v>
      </ns0:c>
      <ns0:c r="J980" s="16">
        <ns0:f>A980*('前提と出典'!$C$36*'契約別単価'!J5+'前提と出典'!$C$37*'契約別単価'!J6+'前提と出典'!$C$38*'契約別単価'!J7)</ns0:f>
        <ns0:v>95930.59466125531</ns0:v>
      </ns0:c>
      <ns0:c r="K980" s="16">
        <ns0:f>A980*('前提と出典'!$C$36*'契約別単価'!K5+'前提と出典'!$C$37*'契約別単価'!K6+'前提と出典'!$C$38*'契約別単価'!K7)</ns0:f>
        <ns0:v>411192.2532588454</ns0:v>
      </ns0:c>
      <ns0:c r="L980" s="16">
        <ns0:f>A980*('前提と出典'!$C$36*'契約別単価'!L5+'前提と出典'!$C$37*'契約別単価'!L6+'前提と出典'!$C$38*'契約別単価'!L7)</ns0:f>
        <ns0:v>334794.16658712557</ns0:v>
      </ns0:c>
      <ns0:c r="M980" s="16">
        <ns0:f>IF(('前提と出典'!$C$36+'前提と出典'!$C$38)=0,0,IF(B980&lt;=10,'前提と出典'!B73+'前提と出典'!C73,IF(B980&lt;=100,'前提と出典'!B74+'前提と出典'!C74,IF(B980&lt;=500,'前提と出典'!B75+'前提と出典'!C75,'前提と出典'!B76+'前提と出典'!C76))))</ns0:f>
        <ns0:v>80000</ns0:v>
      </ns0:c>
      <ns0:c r="N980" s="16">
        <ns0:f>IF(('前提と出典'!$C$37+'前提と出典'!$C$38)=0,0,IF(C980&lt;=10,'前提と出典'!D73+'前提と出典'!E73,IF(C980&lt;=100,'前提と出典'!D74+'前提と出典'!E74,IF(C980&lt;=500,'前提と出典'!D75+'前提と出典'!E75,'前提と出典'!D76+'前提と出典'!E76))))</ns0:f>
        <ns0:v>86510.9346263078</ns0:v>
      </ns0:c>
      <ns0:c r="O980" s="16">
        <ns0:f>IF('前提と出典'!$C$36+'前提と出典'!$C$38=0,0,'前提と出典'!$B$4*IF('前提と出典'!$B$20=0,MAX('前提と出典'!$B$6,D980*'前提と出典'!$B$5),'前提と出典'!$B$6+D980*'前提と出典'!$B$5))</ns0:f>
        <ns0:v>969151.6424581006</ns0:v>
      </ns0:c>
      <ns0:c r="P980" s="16">
        <ns0:f>(E980+G980)*(1-'前提と出典'!$B$7)-I980-K980-M980-O980</ns0:f>
        <ns0:v>2191785.4559178</ns0:v>
      </ns0:c>
      <ns0:c r="Q980" s="16">
        <ns0:f>(F980+H980)*(1-'前提と出典'!$B$7)-J980-L980-N980</ns0:f>
        <ns0:v>847205.0704412122</ns0:v>
      </ns0:c>
      <ns0:c r="R980" s="16">
        <ns0:f>P980-E980*'前提と出典'!$E$4</ns0:f>
        <ns0:v>1625233.660426563</ns0:v>
      </ns0:c>
      <ns0:c r="S980" s="16">
        <ns0:f>Q980-F980*'前提と出典'!$E$4</ns0:f>
        <ns0:v>624854.0739838793</ns0:v>
      </ns0:c>
      <ns0:c r="T980" s="7">
        <ns0:f>R980+S980</ns0:f>
        <ns0:v>2250087.7344104424</ns0:v>
      </ns0:c>
      <ns0:c r="U980" s="16">
        <ns0:f>P980-E980*'前提と出典'!$E$5</ns0:f>
        <ns0:v>1436383.0619294841</ns0:v>
      </ns0:c>
      <ns0:c r="V980" s="16">
        <ns0:f>Q980-F980*'前提と出典'!$E$5</ns0:f>
        <ns0:v>550737.0751647684</ns0:v>
      </ns0:c>
      <ns0:c r="W980" s="7">
        <ns0:f>U980+V980</ns0:f>
        <ns0:v>1987120.1370942525</ns0:v>
      </ns0:c>
      <ns0:c r="X980" s="16">
        <ns0:f>P980-E980*'前提と出典'!$E$6</ns0:f>
        <ns0:v>1247532.463432405</ns0:v>
      </ns0:c>
      <ns0:c r="Y980" s="16">
        <ns0:f>Q980-F980*'前提と出典'!$E$6</ns0:f>
        <ns0:v>476620.07634565746</ns0:v>
      </ns0:c>
      <ns0:c r="Z980" s="7">
        <ns0:f>X980+Y980</ns0:f>
        <ns0:v>1724152.5397780624</ns0:v>
      </ns0:c>
      <ns0:c r="AA980" s="7">
        <ns0:f>IF(T980&gt;=0,A980,1001)</ns0:f>
        <ns0:v>976</ns0:v>
      </ns0:c>
      <ns0:c r="AB980" s="7">
        <ns0:f>IF(T980&lt;0,A980,0)</ns0:f>
        <ns0:v>0</ns0:v>
      </ns0:c>
      <ns0:c r="AC980" s="16">
        <ns0:f>IF(AND(OR('前提と出典'!$C$36+'前提と出典'!$C$38=0,R980&gt;=0),OR('前提と出典'!$C$37+'前提と出典'!$C$38=0,S980&gt;=0)),0,A980)</ns0:f>
        <ns0:v>0</ns0:v>
      </ns0:c>
      <ns0:c r="AD980" s="7">
        <ns0:f>IF(W980&gt;=0,A980,1001)</ns0:f>
        <ns0:v>976</ns0:v>
      </ns0:c>
      <ns0:c r="AE980" s="7">
        <ns0:f>IF(W980&lt;0,A980,0)</ns0:f>
        <ns0:v>0</ns0:v>
      </ns0:c>
      <ns0:c r="AF980" s="16">
        <ns0:f>IF(AND(OR('前提と出典'!$C$36+'前提と出典'!$C$38=0,U980&gt;=0),OR('前提と出典'!$C$37+'前提と出典'!$C$38=0,V980&gt;=0)),0,A980)</ns0:f>
        <ns0:v>0</ns0:v>
      </ns0:c>
      <ns0:c r="AG980" s="7">
        <ns0:f>IF(Z980&gt;=0,A980,1001)</ns0:f>
        <ns0:v>976</ns0:v>
      </ns0:c>
      <ns0:c r="AH980" s="4">
        <ns0:f>IF(Z980&lt;0,A980,0)</ns0:f>
        <ns0:v>0</ns0:v>
      </ns0:c>
      <ns0:c r="AI980" s="12">
        <ns0:f>IF(AND(OR('前提と出典'!$C$36+'前提と出典'!$C$38=0,X980&gt;=0),OR('前提と出典'!$C$37+'前提と出典'!$C$38=0,Y980&gt;=0)),0,A980)</ns0:f>
        <ns0:v>0</ns0:v>
      </ns0:c>
    </ns0:row>
    <ns0:row r="981" ht="24" customHeight="1">
      <ns0:c r="A981" s="4" t="n">
        <ns0:v>977</ns0:v>
      </ns0:c>
      <ns0:c r="B981" s="12">
        <ns0:f>A981*('前提と出典'!$C$36+'前提と出典'!$C$38)</ns0:f>
        <ns0:v>683.9</ns0:v>
      </ns0:c>
      <ns0:c r="C981" s="12">
        <ns0:f>A981*('前提と出典'!$C$37+'前提と出典'!$C$38)</ns0:f>
        <ns0:v>586.1999999999999</ns0:v>
      </ns0:c>
      <ns0:c r="D981" s="16">
        <ns0:f>A981*('前提と出典'!$C$36*'契約別単価'!C5+'前提と出典'!$C$37*'契約別単価'!C6+'前提と出典'!$C$38*'契約別単価'!C7)</ns0:f>
        <ns0:v>7030.033519553072</ns0:v>
      </ns0:c>
      <ns0:c r="E981" s="16">
        <ns0:f>A981*('前提と出典'!$C$36*'契約別単価'!E5+'前提と出典'!$C$37*'契約別単価'!E6+'前提と出典'!$C$38*'契約別単価'!E7)</ns0:f>
        <ns0:v>1890440.9296275214</ns0:v>
      </ns0:c>
      <ns0:c r="F981" s="16">
        <ns0:f>A981*('前提と出典'!$C$36*'契約別単価'!F5+'前提と出典'!$C$37*'契約別単価'!F6+'前提と出典'!$C$38*'契約別単価'!F7)</ns0:f>
        <ns0:v>741929.3836708134</ns0:v>
      </ns0:c>
      <ns0:c r="G981" s="16">
        <ns0:f>A981*('前提と出典'!$C$36*'契約別単価'!G5+'前提と出典'!$C$37*'契約別単価'!G6+'前提と出典'!$C$38*'契約別単価'!G7)</ns0:f>
        <ns0:v>1944721.2290502791</ns0:v>
      </ns0:c>
      <ns0:c r="H981" s="16">
        <ns0:f>A981*('前提と出典'!$C$36*'契約別単価'!H5+'前提と出典'!$C$37*'契約別単価'!H6+'前提と出典'!$C$38*'契約別単価'!H7)</ns0:f>
        <ns0:v>674915.8019146008</ns0:v>
      </ns0:c>
      <ns0:c r="I981" s="16">
        <ns0:f>A981*('前提と出典'!$C$36*'契約別単価'!I5+'前提と出典'!$C$37*'契約別単価'!I6+'前提と出典'!$C$38*'契約別単価'!I7)</ns0:f>
        <ns0:v>41225.033519553064</ns0:v>
      </ns0:c>
      <ns0:c r="J981" s="16">
        <ns0:f>A981*('前提と出典'!$C$36*'契約別単価'!J5+'前提と出典'!$C$37*'契約別単価'!J6+'前提と出典'!$C$38*'契約別単価'!J7)</ns0:f>
        <ns0:v>96028.88420496561</ns0:v>
      </ns0:c>
      <ns0:c r="K981" s="16">
        <ns0:f>A981*('前提と出典'!$C$36*'契約別単価'!K5+'前提と出典'!$C$37*'契約別単価'!K6+'前提と出典'!$C$38*'契約別単価'!K7)</ns0:f>
        <ns0:v>411613.5567970204</ns0:v>
      </ns0:c>
      <ns0:c r="L981" s="16">
        <ns0:f>A981*('前提と出典'!$C$36*'契約別単価'!L5+'前提と出典'!$C$37*'契約別単価'!L6+'前提と出典'!$C$38*'契約別単価'!L7)</ns0:f>
        <ns0:v>335137.19339715334</ns0:v>
      </ns0:c>
      <ns0:c r="M981" s="16">
        <ns0:f>IF(('前提と出典'!$C$36+'前提と出典'!$C$38)=0,0,IF(B981&lt;=10,'前提と出典'!B73+'前提と出典'!C73,IF(B981&lt;=100,'前提と出典'!B74+'前提と出典'!C74,IF(B981&lt;=500,'前提と出典'!B75+'前提と出典'!C75,'前提と出典'!B76+'前提と出典'!C76))))</ns0:f>
        <ns0:v>80000</ns0:v>
      </ns0:c>
      <ns0:c r="N981" s="16">
        <ns0:f>IF(('前提と出典'!$C$37+'前提と出典'!$C$38)=0,0,IF(C981&lt;=10,'前提と出典'!D73+'前提と出典'!E73,IF(C981&lt;=100,'前提と出典'!D74+'前提と出典'!E74,IF(C981&lt;=500,'前提と出典'!D75+'前提と出典'!E75,'前提と出典'!D76+'前提と出典'!E76))))</ns0:f>
        <ns0:v>86510.9346263078</ns0:v>
      </ns0:c>
      <ns0:c r="O981" s="16">
        <ns0:f>IF('前提と出典'!$C$36+'前提と出典'!$C$38=0,0,'前提と出典'!$B$4*IF('前提と出典'!$B$20=0,MAX('前提と出典'!$B$6,D981*'前提と出典'!$B$5),'前提と出典'!$B$6+D981*'前提と出典'!$B$5))</ns0:f>
        <ns0:v>970144.6256983241</ns0:v>
      </ns0:c>
      <ns0:c r="P981" s="16">
        <ns0:f>(E981+G981)*(1-'前提と出典'!$B$7)-I981-K981-M981-O981</ns0:f>
        <ns0:v>2194113.1049505025</ns0:v>
      </ns0:c>
      <ns0:c r="Q981" s="16">
        <ns0:f>(F981+H981)*(1-'前提と出典'!$B$7)-J981-L981-N981</ns0:f>
        <ns0:v>848161.7466759123</ns0:v>
      </ns0:c>
      <ns0:c r="R981" s="16">
        <ns0:f>P981-E981*'前提と出典'!$E$4</ns0:f>
        <ns0:v>1626980.826062246</ns0:v>
      </ns0:c>
      <ns0:c r="S981" s="16">
        <ns0:f>Q981-F981*'前提と出典'!$E$4</ns0:f>
        <ns0:v>625582.9315746683</ns0:v>
      </ns0:c>
      <ns0:c r="T981" s="7">
        <ns0:f>R981+S981</ns0:f>
        <ns0:v>2252563.757636914</ns0:v>
      </ns0:c>
      <ns0:c r="U981" s="16">
        <ns0:f>P981-E981*'前提と出典'!$E$5</ns0:f>
        <ns0:v>1437936.733099494</ns0:v>
      </ns0:c>
      <ns0:c r="V981" s="16">
        <ns0:f>Q981-F981*'前提と出典'!$E$5</ns0:f>
        <ns0:v>551389.9932075869</ns0:v>
      </ns0:c>
      <ns0:c r="W981" s="7">
        <ns0:f>U981+V981</ns0:f>
        <ns0:v>1989326.7263070808</ns0:v>
      </ns0:c>
      <ns0:c r="X981" s="16">
        <ns0:f>P981-E981*'前提と出典'!$E$6</ns0:f>
        <ns0:v>1248892.6401367418</ns0:v>
      </ns0:c>
      <ns0:c r="Y981" s="16">
        <ns0:f>Q981-F981*'前提と出典'!$E$6</ns0:f>
        <ns0:v>477197.0548405056</ns0:v>
      </ns0:c>
      <ns0:c r="Z981" s="7">
        <ns0:f>X981+Y981</ns0:f>
        <ns0:v>1726089.6949772474</ns0:v>
      </ns0:c>
      <ns0:c r="AA981" s="7">
        <ns0:f>IF(T981&gt;=0,A981,1001)</ns0:f>
        <ns0:v>977</ns0:v>
      </ns0:c>
      <ns0:c r="AB981" s="7">
        <ns0:f>IF(T981&lt;0,A981,0)</ns0:f>
        <ns0:v>0</ns0:v>
      </ns0:c>
      <ns0:c r="AC981" s="16">
        <ns0:f>IF(AND(OR('前提と出典'!$C$36+'前提と出典'!$C$38=0,R981&gt;=0),OR('前提と出典'!$C$37+'前提と出典'!$C$38=0,S981&gt;=0)),0,A981)</ns0:f>
        <ns0:v>0</ns0:v>
      </ns0:c>
      <ns0:c r="AD981" s="7">
        <ns0:f>IF(W981&gt;=0,A981,1001)</ns0:f>
        <ns0:v>977</ns0:v>
      </ns0:c>
      <ns0:c r="AE981" s="7">
        <ns0:f>IF(W981&lt;0,A981,0)</ns0:f>
        <ns0:v>0</ns0:v>
      </ns0:c>
      <ns0:c r="AF981" s="16">
        <ns0:f>IF(AND(OR('前提と出典'!$C$36+'前提と出典'!$C$38=0,U981&gt;=0),OR('前提と出典'!$C$37+'前提と出典'!$C$38=0,V981&gt;=0)),0,A981)</ns0:f>
        <ns0:v>0</ns0:v>
      </ns0:c>
      <ns0:c r="AG981" s="7">
        <ns0:f>IF(Z981&gt;=0,A981,1001)</ns0:f>
        <ns0:v>977</ns0:v>
      </ns0:c>
      <ns0:c r="AH981" s="4">
        <ns0:f>IF(Z981&lt;0,A981,0)</ns0:f>
        <ns0:v>0</ns0:v>
      </ns0:c>
      <ns0:c r="AI981" s="12">
        <ns0:f>IF(AND(OR('前提と出典'!$C$36+'前提と出典'!$C$38=0,X981&gt;=0),OR('前提と出典'!$C$37+'前提と出典'!$C$38=0,Y981&gt;=0)),0,A981)</ns0:f>
        <ns0:v>0</ns0:v>
      </ns0:c>
    </ns0:row>
    <ns0:row r="982" ht="24" customHeight="1">
      <ns0:c r="A982" s="4" t="n">
        <ns0:v>978</ns0:v>
      </ns0:c>
      <ns0:c r="B982" s="12">
        <ns0:f>A982*('前提と出典'!$C$36+'前提と出典'!$C$38)</ns0:f>
        <ns0:v>684.5999999999999</ns0:v>
      </ns0:c>
      <ns0:c r="C982" s="12">
        <ns0:f>A982*('前提と出典'!$C$37+'前提と出典'!$C$38)</ns0:f>
        <ns0:v>586.8</ns0:v>
      </ns0:c>
      <ns0:c r="D982" s="16">
        <ns0:f>A982*('前提と出典'!$C$36*'契約別単価'!C5+'前提と出典'!$C$37*'契約別単価'!C6+'前提と出典'!$C$38*'契約別単価'!C7)</ns0:f>
        <ns0:v>7037.229050279329</ns0:v>
      </ns0:c>
      <ns0:c r="E982" s="16">
        <ns0:f>A982*('前提と出典'!$C$36*'契約別単価'!E5+'前提と出典'!$C$37*'契約別単価'!E6+'前提と出典'!$C$38*'契約別単価'!E7)</ns0:f>
        <ns0:v>1892375.874284254</ns0:v>
      </ns0:c>
      <ns0:c r="F982" s="16">
        <ns0:f>A982*('前提と出典'!$C$36*'契約別単価'!F5+'前提と出典'!$C$37*'契約別単価'!F6+'前提と出典'!$C$38*'契約別単価'!F7)</ns0:f>
        <ns0:v>742688.7791505174</ns0:v>
      </ns0:c>
      <ns0:c r="G982" s="16">
        <ns0:f>A982*('前提と出典'!$C$36*'契約別単価'!G5+'前提と出典'!$C$37*'契約別単価'!G6+'前提と出典'!$C$38*'契約別単価'!G7)</ns0:f>
        <ns0:v>1946711.7318435754</ns0:v>
      </ns0:c>
      <ns0:c r="H982" s="16">
        <ns0:f>A982*('前提と出典'!$C$36*'契約別単価'!H5+'前提と出典'!$C$37*'契約別単価'!H6+'前提と出典'!$C$38*'契約別単価'!H7)</ns0:f>
        <ns0:v>675606.6062154346</ns0:v>
      </ns0:c>
      <ns0:c r="I982" s="16">
        <ns0:f>A982*('前提と出典'!$C$36*'契約別単価'!I5+'前提と出典'!$C$37*'契約別単価'!I6+'前提と出典'!$C$38*'契約別単価'!I7)</ns0:f>
        <ns0:v>41267.229050279326</ns0:v>
      </ns0:c>
      <ns0:c r="J982" s="16">
        <ns0:f>A982*('前提と出典'!$C$36*'契約別単価'!J5+'前提と出典'!$C$37*'契約別単価'!J6+'前提と出典'!$C$38*'契約別単価'!J7)</ns0:f>
        <ns0:v>96127.17374867591</ns0:v>
      </ns0:c>
      <ns0:c r="K982" s="16">
        <ns0:f>A982*('前提と出典'!$C$36*'契約別単価'!K5+'前提と出典'!$C$37*'契約別単価'!K6+'前提と出典'!$C$38*'契約別単価'!K7)</ns0:f>
        <ns0:v>412034.8603351955</ns0:v>
      </ns0:c>
      <ns0:c r="L982" s="16">
        <ns0:f>A982*('前提と出典'!$C$36*'契約別単価'!L5+'前提と出典'!$C$37*'契約別単価'!L6+'前提と出典'!$C$38*'契約別単価'!L7)</ns0:f>
        <ns0:v>335480.2202071811</ns0:v>
      </ns0:c>
      <ns0:c r="M982" s="16">
        <ns0:f>IF(('前提と出典'!$C$36+'前提と出典'!$C$38)=0,0,IF(B982&lt;=10,'前提と出典'!B73+'前提と出典'!C73,IF(B982&lt;=100,'前提と出典'!B74+'前提と出典'!C74,IF(B982&lt;=500,'前提と出典'!B75+'前提と出典'!C75,'前提と出典'!B76+'前提と出典'!C76))))</ns0:f>
        <ns0:v>80000</ns0:v>
      </ns0:c>
      <ns0:c r="N982" s="16">
        <ns0:f>IF(('前提と出典'!$C$37+'前提と出典'!$C$38)=0,0,IF(C982&lt;=10,'前提と出典'!D73+'前提と出典'!E73,IF(C982&lt;=100,'前提と出典'!D74+'前提と出典'!E74,IF(C982&lt;=500,'前提と出典'!D75+'前提と出典'!E75,'前提と出典'!D76+'前提と出典'!E76))))</ns0:f>
        <ns0:v>86510.9346263078</ns0:v>
      </ns0:c>
      <ns0:c r="O982" s="16">
        <ns0:f>IF('前提と出典'!$C$36+'前提と出典'!$C$38=0,0,'前提と出典'!$B$4*IF('前提と出典'!$B$20=0,MAX('前提と出典'!$B$6,D982*'前提と出典'!$B$5),'前提と出典'!$B$6+D982*'前提と出典'!$B$5))</ns0:f>
        <ns0:v>971137.6089385475</ns0:v>
      </ns0:c>
      <ns0:c r="P982" s="16">
        <ns0:f>(E982+G982)*(1-'前提と出典'!$B$7)-I982-K982-M982-O982</ns0:f>
        <ns0:v>2196440.753983205</ns0:v>
      </ns0:c>
      <ns0:c r="Q982" s="16">
        <ns0:f>(F982+H982)*(1-'前提と出典'!$B$7)-J982-L982-N982</ns0:f>
        <ns0:v>849118.422910613</ns0:v>
      </ns0:c>
      <ns0:c r="R982" s="16">
        <ns0:f>P982-E982*'前提と出典'!$E$4</ns0:f>
        <ns0:v>1628727.991697929</ns0:v>
      </ns0:c>
      <ns0:c r="S982" s="16">
        <ns0:f>Q982-F982*'前提と出典'!$E$4</ns0:f>
        <ns0:v>626311.7891654577</ns0:v>
      </ns0:c>
      <ns0:c r="T982" s="7">
        <ns0:f>R982+S982</ns0:f>
        <ns0:v>2255039.7808633866</ns0:v>
      </ns0:c>
      <ns0:c r="U982" s="16">
        <ns0:f>P982-E982*'前提と出典'!$E$5</ns0:f>
        <ns0:v>1439490.4042695037</ns0:v>
      </ns0:c>
      <ns0:c r="V982" s="16">
        <ns0:f>Q982-F982*'前提と出典'!$E$5</ns0:f>
        <ns0:v>552042.911250406</ns0:v>
      </ns0:c>
      <ns0:c r="W982" s="7">
        <ns0:f>U982+V982</ns0:f>
        <ns0:v>1991533.3155199096</ns0:v>
      </ns0:c>
      <ns0:c r="X982" s="16">
        <ns0:f>P982-E982*'前提と出典'!$E$6</ns0:f>
        <ns0:v>1250252.8168410782</ns0:v>
      </ns0:c>
      <ns0:c r="Y982" s="16">
        <ns0:f>Q982-F982*'前提と出典'!$E$6</ns0:f>
        <ns0:v>477774.0333353542</ns0:v>
      </ns0:c>
      <ns0:c r="Z982" s="7">
        <ns0:f>X982+Y982</ns0:f>
        <ns0:v>1728026.8501764324</ns0:v>
      </ns0:c>
      <ns0:c r="AA982" s="7">
        <ns0:f>IF(T982&gt;=0,A982,1001)</ns0:f>
        <ns0:v>978</ns0:v>
      </ns0:c>
      <ns0:c r="AB982" s="7">
        <ns0:f>IF(T982&lt;0,A982,0)</ns0:f>
        <ns0:v>0</ns0:v>
      </ns0:c>
      <ns0:c r="AC982" s="16">
        <ns0:f>IF(AND(OR('前提と出典'!$C$36+'前提と出典'!$C$38=0,R982&gt;=0),OR('前提と出典'!$C$37+'前提と出典'!$C$38=0,S982&gt;=0)),0,A982)</ns0:f>
        <ns0:v>0</ns0:v>
      </ns0:c>
      <ns0:c r="AD982" s="7">
        <ns0:f>IF(W982&gt;=0,A982,1001)</ns0:f>
        <ns0:v>978</ns0:v>
      </ns0:c>
      <ns0:c r="AE982" s="7">
        <ns0:f>IF(W982&lt;0,A982,0)</ns0:f>
        <ns0:v>0</ns0:v>
      </ns0:c>
      <ns0:c r="AF982" s="16">
        <ns0:f>IF(AND(OR('前提と出典'!$C$36+'前提と出典'!$C$38=0,U982&gt;=0),OR('前提と出典'!$C$37+'前提と出典'!$C$38=0,V982&gt;=0)),0,A982)</ns0:f>
        <ns0:v>0</ns0:v>
      </ns0:c>
      <ns0:c r="AG982" s="7">
        <ns0:f>IF(Z982&gt;=0,A982,1001)</ns0:f>
        <ns0:v>978</ns0:v>
      </ns0:c>
      <ns0:c r="AH982" s="4">
        <ns0:f>IF(Z982&lt;0,A982,0)</ns0:f>
        <ns0:v>0</ns0:v>
      </ns0:c>
      <ns0:c r="AI982" s="12">
        <ns0:f>IF(AND(OR('前提と出典'!$C$36+'前提と出典'!$C$38=0,X982&gt;=0),OR('前提と出典'!$C$37+'前提と出典'!$C$38=0,Y982&gt;=0)),0,A982)</ns0:f>
        <ns0:v>0</ns0:v>
      </ns0:c>
    </ns0:row>
    <ns0:row r="983" ht="24" customHeight="1">
      <ns0:c r="A983" s="4" t="n">
        <ns0:v>979</ns0:v>
      </ns0:c>
      <ns0:c r="B983" s="12">
        <ns0:f>A983*('前提と出典'!$C$36+'前提と出典'!$C$38)</ns0:f>
        <ns0:v>685.3</ns0:v>
      </ns0:c>
      <ns0:c r="C983" s="12">
        <ns0:f>A983*('前提と出典'!$C$37+'前提と出典'!$C$38)</ns0:f>
        <ns0:v>587.4</ns0:v>
      </ns0:c>
      <ns0:c r="D983" s="16">
        <ns0:f>A983*('前提と出典'!$C$36*'契約別単価'!C5+'前提と出典'!$C$37*'契約別単価'!C6+'前提と出典'!$C$38*'契約別単価'!C7)</ns0:f>
        <ns0:v>7044.424581005586</ns0:v>
      </ns0:c>
      <ns0:c r="E983" s="16">
        <ns0:f>A983*('前提と出典'!$C$36*'契約別単価'!E5+'前提と出典'!$C$37*'契約別単価'!E6+'前提と出典'!$C$38*'契約別単価'!E7)</ns0:f>
        <ns0:v>1894310.8189409862</ns0:v>
      </ns0:c>
      <ns0:c r="F983" s="16">
        <ns0:f>A983*('前提と出典'!$C$36*'契約別単価'!F5+'前提と出典'!$C$37*'契約別単価'!F6+'前提と出典'!$C$38*'契約別単価'!F7)</ns0:f>
        <ns0:v>743448.1746302214</ns0:v>
      </ns0:c>
      <ns0:c r="G983" s="16">
        <ns0:f>A983*('前提と出典'!$C$36*'契約別単価'!G5+'前提と出典'!$C$37*'契約別単価'!G6+'前提と出典'!$C$38*'契約別単価'!G7)</ns0:f>
        <ns0:v>1948702.2346368714</ns0:v>
      </ns0:c>
      <ns0:c r="H983" s="16">
        <ns0:f>A983*('前提と出典'!$C$36*'契約別単価'!H5+'前提と出典'!$C$37*'契約別単価'!H6+'前提と出典'!$C$38*'契約別単価'!H7)</ns0:f>
        <ns0:v>676297.4105162683</ns0:v>
      </ns0:c>
      <ns0:c r="I983" s="16">
        <ns0:f>A983*('前提と出典'!$C$36*'契約別単価'!I5+'前提と出典'!$C$37*'契約別単価'!I6+'前提と出典'!$C$38*'契約別単価'!I7)</ns0:f>
        <ns0:v>41309.42458100558</ns0:v>
      </ns0:c>
      <ns0:c r="J983" s="16">
        <ns0:f>A983*('前提と出典'!$C$36*'契約別単価'!J5+'前提と出典'!$C$37*'契約別単価'!J6+'前提と出典'!$C$38*'契約別単価'!J7)</ns0:f>
        <ns0:v>96225.46329238621</ns0:v>
      </ns0:c>
      <ns0:c r="K983" s="16">
        <ns0:f>A983*('前提と出典'!$C$36*'契約別単価'!K5+'前提と出典'!$C$37*'契約別単価'!K6+'前提と出典'!$C$38*'契約別単価'!K7)</ns0:f>
        <ns0:v>412456.16387337056</ns0:v>
      </ns0:c>
      <ns0:c r="L983" s="16">
        <ns0:f>A983*('前提と出典'!$C$36*'契約別単価'!L5+'前提と出典'!$C$37*'契約別単価'!L6+'前提と出典'!$C$38*'契約別単価'!L7)</ns0:f>
        <ns0:v>335823.24701720895</ns0:v>
      </ns0:c>
      <ns0:c r="M983" s="16">
        <ns0:f>IF(('前提と出典'!$C$36+'前提と出典'!$C$38)=0,0,IF(B983&lt;=10,'前提と出典'!B73+'前提と出典'!C73,IF(B983&lt;=100,'前提と出典'!B74+'前提と出典'!C74,IF(B983&lt;=500,'前提と出典'!B75+'前提と出典'!C75,'前提と出典'!B76+'前提と出典'!C76))))</ns0:f>
        <ns0:v>80000</ns0:v>
      </ns0:c>
      <ns0:c r="N983" s="16">
        <ns0:f>IF(('前提と出典'!$C$37+'前提と出典'!$C$38)=0,0,IF(C983&lt;=10,'前提と出典'!D73+'前提と出典'!E73,IF(C983&lt;=100,'前提と出典'!D74+'前提と出典'!E74,IF(C983&lt;=500,'前提と出典'!D75+'前提と出典'!E75,'前提と出典'!D76+'前提と出典'!E76))))</ns0:f>
        <ns0:v>86510.9346263078</ns0:v>
      </ns0:c>
      <ns0:c r="O983" s="16">
        <ns0:f>IF('前提と出典'!$C$36+'前提と出典'!$C$38=0,0,'前提と出典'!$B$4*IF('前提と出典'!$B$20=0,MAX('前提と出典'!$B$6,D983*'前提と出典'!$B$5),'前提と出典'!$B$6+D983*'前提と出典'!$B$5))</ns0:f>
        <ns0:v>972130.592178771</ns0:v>
      </ns0:c>
      <ns0:c r="P983" s="16">
        <ns0:f>(E983+G983)*(1-'前提と出典'!$B$7)-I983-K983-M983-O983</ns0:f>
        <ns0:v>2198768.403015907</ns0:v>
      </ns0:c>
      <ns0:c r="Q983" s="16">
        <ns0:f>(F983+H983)*(1-'前提と出典'!$B$7)-J983-L983-N983</ns0:f>
        <ns0:v>850075.0991453133</ns0:v>
      </ns0:c>
      <ns0:c r="R983" s="16">
        <ns0:f>P983-E983*'前提と出典'!$E$4</ns0:f>
        <ns0:v>1630475.1573336113</ns0:v>
      </ns0:c>
      <ns0:c r="S983" s="16">
        <ns0:f>Q983-F983*'前提と出典'!$E$4</ns0:f>
        <ns0:v>627040.6467562469</ns0:v>
      </ns0:c>
      <ns0:c r="T983" s="7">
        <ns0:f>R983+S983</ns0:f>
        <ns0:v>2257515.804089858</ns0:v>
      </ns0:c>
      <ns0:c r="U983" s="16">
        <ns0:f>P983-E983*'前提と出典'!$E$5</ns0:f>
        <ns0:v>1441044.0754395125</ns0:v>
      </ns0:c>
      <ns0:c r="V983" s="16">
        <ns0:f>Q983-F983*'前提と出典'!$E$5</ns0:f>
        <ns0:v>552695.8292932247</ns0:v>
      </ns0:c>
      <ns0:c r="W983" s="7">
        <ns0:f>U983+V983</ns0:f>
        <ns0:v>1993739.9047327372</ns0:v>
      </ns0:c>
      <ns0:c r="X983" s="16">
        <ns0:f>P983-E983*'前提と出典'!$E$6</ns0:f>
        <ns0:v>1251612.9935454142</ns0:v>
      </ns0:c>
      <ns0:c r="Y983" s="16">
        <ns0:f>Q983-F983*'前提と出典'!$E$6</ns0:f>
        <ns0:v>478351.01183020254</ns0:v>
      </ns0:c>
      <ns0:c r="Z983" s="7">
        <ns0:f>X983+Y983</ns0:f>
        <ns0:v>1729964.0053756167</ns0:v>
      </ns0:c>
      <ns0:c r="AA983" s="7">
        <ns0:f>IF(T983&gt;=0,A983,1001)</ns0:f>
        <ns0:v>979</ns0:v>
      </ns0:c>
      <ns0:c r="AB983" s="7">
        <ns0:f>IF(T983&lt;0,A983,0)</ns0:f>
        <ns0:v>0</ns0:v>
      </ns0:c>
      <ns0:c r="AC983" s="16">
        <ns0:f>IF(AND(OR('前提と出典'!$C$36+'前提と出典'!$C$38=0,R983&gt;=0),OR('前提と出典'!$C$37+'前提と出典'!$C$38=0,S983&gt;=0)),0,A983)</ns0:f>
        <ns0:v>0</ns0:v>
      </ns0:c>
      <ns0:c r="AD983" s="7">
        <ns0:f>IF(W983&gt;=0,A983,1001)</ns0:f>
        <ns0:v>979</ns0:v>
      </ns0:c>
      <ns0:c r="AE983" s="7">
        <ns0:f>IF(W983&lt;0,A983,0)</ns0:f>
        <ns0:v>0</ns0:v>
      </ns0:c>
      <ns0:c r="AF983" s="16">
        <ns0:f>IF(AND(OR('前提と出典'!$C$36+'前提と出典'!$C$38=0,U983&gt;=0),OR('前提と出典'!$C$37+'前提と出典'!$C$38=0,V983&gt;=0)),0,A983)</ns0:f>
        <ns0:v>0</ns0:v>
      </ns0:c>
      <ns0:c r="AG983" s="7">
        <ns0:f>IF(Z983&gt;=0,A983,1001)</ns0:f>
        <ns0:v>979</ns0:v>
      </ns0:c>
      <ns0:c r="AH983" s="4">
        <ns0:f>IF(Z983&lt;0,A983,0)</ns0:f>
        <ns0:v>0</ns0:v>
      </ns0:c>
      <ns0:c r="AI983" s="12">
        <ns0:f>IF(AND(OR('前提と出典'!$C$36+'前提と出典'!$C$38=0,X983&gt;=0),OR('前提と出典'!$C$37+'前提と出典'!$C$38=0,Y983&gt;=0)),0,A983)</ns0:f>
        <ns0:v>0</ns0:v>
      </ns0:c>
    </ns0:row>
    <ns0:row r="984" ht="24" customHeight="1">
      <ns0:c r="A984" s="4" t="n">
        <ns0:v>980</ns0:v>
      </ns0:c>
      <ns0:c r="B984" s="12">
        <ns0:f>A984*('前提と出典'!$C$36+'前提と出典'!$C$38)</ns0:f>
        <ns0:v>686</ns0:v>
      </ns0:c>
      <ns0:c r="C984" s="12">
        <ns0:f>A984*('前提と出典'!$C$37+'前提と出典'!$C$38)</ns0:f>
        <ns0:v>588</ns0:v>
      </ns0:c>
      <ns0:c r="D984" s="16">
        <ns0:f>A984*('前提と出典'!$C$36*'契約別単価'!C5+'前提と出典'!$C$37*'契約別単価'!C6+'前提と出典'!$C$38*'契約別単価'!C7)</ns0:f>
        <ns0:v>7051.620111731843</ns0:v>
      </ns0:c>
      <ns0:c r="E984" s="16">
        <ns0:f>A984*('前提と出典'!$C$36*'契約別単価'!E5+'前提と出典'!$C$37*'契約別単価'!E6+'前提と出典'!$C$38*'契約別単価'!E7)</ns0:f>
        <ns0:v>1896245.7635977187</ns0:v>
      </ns0:c>
      <ns0:c r="F984" s="16">
        <ns0:f>A984*('前提と出典'!$C$36*'契約別単価'!F5+'前提と出典'!$C$37*'契約別単価'!F6+'前提と出典'!$C$38*'契約別単価'!F7)</ns0:f>
        <ns0:v>744207.5701099255</ns0:v>
      </ns0:c>
      <ns0:c r="G984" s="16">
        <ns0:f>A984*('前提と出典'!$C$36*'契約別単価'!G5+'前提と出典'!$C$37*'契約別単価'!G6+'前提と出典'!$C$38*'契約別単価'!G7)</ns0:f>
        <ns0:v>1950692.7374301676</ns0:v>
      </ns0:c>
      <ns0:c r="H984" s="16">
        <ns0:f>A984*('前提と出典'!$C$36*'契約別単価'!H5+'前提と出典'!$C$37*'契約別単価'!H6+'前提と出典'!$C$38*'契約別単価'!H7)</ns0:f>
        <ns0:v>676988.2148171022</ns0:v>
      </ns0:c>
      <ns0:c r="I984" s="16">
        <ns0:f>A984*('前提と出典'!$C$36*'契約別単価'!I5+'前提と出典'!$C$37*'契約別単価'!I6+'前提と出典'!$C$38*'契約別単価'!I7)</ns0:f>
        <ns0:v>41351.620111731834</ns0:v>
      </ns0:c>
      <ns0:c r="J984" s="16">
        <ns0:f>A984*('前提と出典'!$C$36*'契約別単価'!J5+'前提と出典'!$C$37*'契約別単価'!J6+'前提と出典'!$C$38*'契約別単価'!J7)</ns0:f>
        <ns0:v>96323.75283609652</ns0:v>
      </ns0:c>
      <ns0:c r="K984" s="16">
        <ns0:f>A984*('前提と出典'!$C$36*'契約別単価'!K5+'前提と出典'!$C$37*'契約別単価'!K6+'前提と出典'!$C$38*'契約別単価'!K7)</ns0:f>
        <ns0:v>412877.4674115456</ns0:v>
      </ns0:c>
      <ns0:c r="L984" s="16">
        <ns0:f>A984*('前提と出典'!$C$36*'契約別単価'!L5+'前提と出典'!$C$37*'契約別単価'!L6+'前提と出典'!$C$38*'契約別単価'!L7)</ns0:f>
        <ns0:v>336166.2738272367</ns0:v>
      </ns0:c>
      <ns0:c r="M984" s="16">
        <ns0:f>IF(('前提と出典'!$C$36+'前提と出典'!$C$38)=0,0,IF(B984&lt;=10,'前提と出典'!B73+'前提と出典'!C73,IF(B984&lt;=100,'前提と出典'!B74+'前提と出典'!C74,IF(B984&lt;=500,'前提と出典'!B75+'前提と出典'!C75,'前提と出典'!B76+'前提と出典'!C76))))</ns0:f>
        <ns0:v>80000</ns0:v>
      </ns0:c>
      <ns0:c r="N984" s="16">
        <ns0:f>IF(('前提と出典'!$C$37+'前提と出典'!$C$38)=0,0,IF(C984&lt;=10,'前提と出典'!D73+'前提と出典'!E73,IF(C984&lt;=100,'前提と出典'!D74+'前提と出典'!E74,IF(C984&lt;=500,'前提と出典'!D75+'前提と出典'!E75,'前提と出典'!D76+'前提と出典'!E76))))</ns0:f>
        <ns0:v>86510.9346263078</ns0:v>
      </ns0:c>
      <ns0:c r="O984" s="16">
        <ns0:f>IF('前提と出典'!$C$36+'前提と出典'!$C$38=0,0,'前提と出典'!$B$4*IF('前提と出典'!$B$20=0,MAX('前提と出典'!$B$6,D984*'前提と出典'!$B$5),'前提と出典'!$B$6+D984*'前提と出典'!$B$5))</ns0:f>
        <ns0:v>973123.5754189944</ns0:v>
      </ns0:c>
      <ns0:c r="P984" s="16">
        <ns0:f>(E984+G984)*(1-'前提と出典'!$B$7)-I984-K984-M984-O984</ns0:f>
        <ns0:v>2201096.0520486105</ns0:v>
      </ns0:c>
      <ns0:c r="Q984" s="16">
        <ns0:f>(F984+H984)*(1-'前提と出典'!$B$7)-J984-L984-N984</ns0:f>
        <ns0:v>851031.7753800135</ns0:v>
      </ns0:c>
      <ns0:c r="R984" s="16">
        <ns0:f>P984-E984*'前提と出典'!$E$4</ns0:f>
        <ns0:v>1632222.322969295</ns0:v>
      </ns0:c>
      <ns0:c r="S984" s="16">
        <ns0:f>Q984-F984*'前提と出典'!$E$4</ns0:f>
        <ns0:v>627769.504347036</ns0:v>
      </ns0:c>
      <ns0:c r="T984" s="7">
        <ns0:f>R984+S984</ns0:f>
        <ns0:v>2259991.827316331</ns0:v>
      </ns0:c>
      <ns0:c r="U984" s="16">
        <ns0:f>P984-E984*'前提と出典'!$E$5</ns0:f>
        <ns0:v>1442597.746609523</ns0:v>
      </ns0:c>
      <ns0:c r="V984" s="16">
        <ns0:f>Q984-F984*'前提と出典'!$E$5</ns0:f>
        <ns0:v>553348.7473360434</ns0:v>
      </ns0:c>
      <ns0:c r="W984" s="7">
        <ns0:f>U984+V984</ns0:f>
        <ns0:v>1995946.4939455665</ns0:v>
      </ns0:c>
      <ns0:c r="X984" s="16">
        <ns0:f>P984-E984*'前提と出典'!$E$6</ns0:f>
        <ns0:v>1252973.1702497513</ns0:v>
      </ns0:c>
      <ns0:c r="Y984" s="16">
        <ns0:f>Q984-F984*'前提と出典'!$E$6</ns0:f>
        <ns0:v>478927.990325051</ns0:v>
      </ns0:c>
      <ns0:c r="Z984" s="7">
        <ns0:f>X984+Y984</ns0:f>
        <ns0:v>1731901.1605748022</ns0:v>
      </ns0:c>
      <ns0:c r="AA984" s="7">
        <ns0:f>IF(T984&gt;=0,A984,1001)</ns0:f>
        <ns0:v>980</ns0:v>
      </ns0:c>
      <ns0:c r="AB984" s="7">
        <ns0:f>IF(T984&lt;0,A984,0)</ns0:f>
        <ns0:v>0</ns0:v>
      </ns0:c>
      <ns0:c r="AC984" s="16">
        <ns0:f>IF(AND(OR('前提と出典'!$C$36+'前提と出典'!$C$38=0,R984&gt;=0),OR('前提と出典'!$C$37+'前提と出典'!$C$38=0,S984&gt;=0)),0,A984)</ns0:f>
        <ns0:v>0</ns0:v>
      </ns0:c>
      <ns0:c r="AD984" s="7">
        <ns0:f>IF(W984&gt;=0,A984,1001)</ns0:f>
        <ns0:v>980</ns0:v>
      </ns0:c>
      <ns0:c r="AE984" s="7">
        <ns0:f>IF(W984&lt;0,A984,0)</ns0:f>
        <ns0:v>0</ns0:v>
      </ns0:c>
      <ns0:c r="AF984" s="16">
        <ns0:f>IF(AND(OR('前提と出典'!$C$36+'前提と出典'!$C$38=0,U984&gt;=0),OR('前提と出典'!$C$37+'前提と出典'!$C$38=0,V984&gt;=0)),0,A984)</ns0:f>
        <ns0:v>0</ns0:v>
      </ns0:c>
      <ns0:c r="AG984" s="7">
        <ns0:f>IF(Z984&gt;=0,A984,1001)</ns0:f>
        <ns0:v>980</ns0:v>
      </ns0:c>
      <ns0:c r="AH984" s="4">
        <ns0:f>IF(Z984&lt;0,A984,0)</ns0:f>
        <ns0:v>0</ns0:v>
      </ns0:c>
      <ns0:c r="AI984" s="12">
        <ns0:f>IF(AND(OR('前提と出典'!$C$36+'前提と出典'!$C$38=0,X984&gt;=0),OR('前提と出典'!$C$37+'前提と出典'!$C$38=0,Y984&gt;=0)),0,A984)</ns0:f>
        <ns0:v>0</ns0:v>
      </ns0:c>
    </ns0:row>
    <ns0:row r="985" ht="24" customHeight="1">
      <ns0:c r="A985" s="4" t="n">
        <ns0:v>981</ns0:v>
      </ns0:c>
      <ns0:c r="B985" s="12">
        <ns0:f>A985*('前提と出典'!$C$36+'前提と出典'!$C$38)</ns0:f>
        <ns0:v>686.6999999999999</ns0:v>
      </ns0:c>
      <ns0:c r="C985" s="12">
        <ns0:f>A985*('前提と出典'!$C$37+'前提と出典'!$C$38)</ns0:f>
        <ns0:v>588.6</ns0:v>
      </ns0:c>
      <ns0:c r="D985" s="16">
        <ns0:f>A985*('前提と出典'!$C$36*'契約別単価'!C5+'前提と出典'!$C$37*'契約別単価'!C6+'前提と出典'!$C$38*'契約別単価'!C7)</ns0:f>
        <ns0:v>7058.8156424581</ns0:v>
      </ns0:c>
      <ns0:c r="E985" s="16">
        <ns0:f>A985*('前提と出典'!$C$36*'契約別単価'!E5+'前提と出典'!$C$37*'契約別単価'!E6+'前提と出典'!$C$38*'契約別単価'!E7)</ns0:f>
        <ns0:v>1898180.708254451</ns0:v>
      </ns0:c>
      <ns0:c r="F985" s="16">
        <ns0:f>A985*('前提と出典'!$C$36*'契約別単価'!F5+'前提と出典'!$C$37*'契約別単価'!F6+'前提と出典'!$C$38*'契約別単価'!F7)</ns0:f>
        <ns0:v>744966.9655896295</ns0:v>
      </ns0:c>
      <ns0:c r="G985" s="16">
        <ns0:f>A985*('前提と出典'!$C$36*'契約別単価'!G5+'前提と出典'!$C$37*'契約別単価'!G6+'前提と出典'!$C$38*'契約別単価'!G7)</ns0:f>
        <ns0:v>1952683.2402234636</ns0:v>
      </ns0:c>
      <ns0:c r="H985" s="16">
        <ns0:f>A985*('前提と出典'!$C$36*'契約別単価'!H5+'前提と出典'!$C$37*'契約別単価'!H6+'前提と出典'!$C$38*'契約別単価'!H7)</ns0:f>
        <ns0:v>677679.0191179359</ns0:v>
      </ns0:c>
      <ns0:c r="I985" s="16">
        <ns0:f>A985*('前提と出典'!$C$36*'契約別単価'!I5+'前提と出典'!$C$37*'契約別単価'!I6+'前提と出典'!$C$38*'契約別単価'!I7)</ns0:f>
        <ns0:v>41393.815642458096</ns0:v>
      </ns0:c>
      <ns0:c r="J985" s="16">
        <ns0:f>A985*('前提と出典'!$C$36*'契約別単価'!J5+'前提と出典'!$C$37*'契約別単価'!J6+'前提と出典'!$C$38*'契約別単価'!J7)</ns0:f>
        <ns0:v>96422.04237980682</ns0:v>
      </ns0:c>
      <ns0:c r="K985" s="16">
        <ns0:f>A985*('前提と出典'!$C$36*'契約別単価'!K5+'前提と出典'!$C$37*'契約別単価'!K6+'前提と出典'!$C$38*'契約別単価'!K7)</ns0:f>
        <ns0:v>413298.77094972064</ns0:v>
      </ns0:c>
      <ns0:c r="L985" s="16">
        <ns0:f>A985*('前提と出典'!$C$36*'契約別単価'!L5+'前提と出典'!$C$37*'契約別単価'!L6+'前提と出典'!$C$38*'契約別単価'!L7)</ns0:f>
        <ns0:v>336509.3006372645</ns0:v>
      </ns0:c>
      <ns0:c r="M985" s="16">
        <ns0:f>IF(('前提と出典'!$C$36+'前提と出典'!$C$38)=0,0,IF(B985&lt;=10,'前提と出典'!B73+'前提と出典'!C73,IF(B985&lt;=100,'前提と出典'!B74+'前提と出典'!C74,IF(B985&lt;=500,'前提と出典'!B75+'前提と出典'!C75,'前提と出典'!B76+'前提と出典'!C76))))</ns0:f>
        <ns0:v>80000</ns0:v>
      </ns0:c>
      <ns0:c r="N985" s="16">
        <ns0:f>IF(('前提と出典'!$C$37+'前提と出典'!$C$38)=0,0,IF(C985&lt;=10,'前提と出典'!D73+'前提と出典'!E73,IF(C985&lt;=100,'前提と出典'!D74+'前提と出典'!E74,IF(C985&lt;=500,'前提と出典'!D75+'前提と出典'!E75,'前提と出典'!D76+'前提と出典'!E76))))</ns0:f>
        <ns0:v>86510.9346263078</ns0:v>
      </ns0:c>
      <ns0:c r="O985" s="16">
        <ns0:f>IF('前提と出典'!$C$36+'前提と出典'!$C$38=0,0,'前提と出典'!$B$4*IF('前提と出典'!$B$20=0,MAX('前提と出典'!$B$6,D985*'前提と出典'!$B$5),'前提と出典'!$B$6+D985*'前提と出典'!$B$5))</ns0:f>
        <ns0:v>974116.5586592179</ns0:v>
      </ns0:c>
      <ns0:c r="P985" s="16">
        <ns0:f>(E985+G985)*(1-'前提と出典'!$B$7)-I985-K985-M985-O985</ns0:f>
        <ns0:v>2203423.701081313</ns0:v>
      </ns0:c>
      <ns0:c r="Q985" s="16">
        <ns0:f>(F985+H985)*(1-'前提と出典'!$B$7)-J985-L985-N985</ns0:f>
        <ns0:v>851988.451614714</ns0:v>
      </ns0:c>
      <ns0:c r="R985" s="16">
        <ns0:f>P985-E985*'前提と出典'!$E$4</ns0:f>
        <ns0:v>1633969.4886049782</ns0:v>
      </ns0:c>
      <ns0:c r="S985" s="16">
        <ns0:f>Q985-F985*'前提と出典'!$E$4</ns0:f>
        <ns0:v>628498.3619378251</ns0:v>
      </ns0:c>
      <ns0:c r="T985" s="7">
        <ns0:f>R985+S985</ns0:f>
        <ns0:v>2262467.8505428033</ns0:v>
      </ns0:c>
      <ns0:c r="U985" s="16">
        <ns0:f>P985-E985*'前提と出典'!$E$5</ns0:f>
        <ns0:v>1444151.4177795327</ns0:v>
      </ns0:c>
      <ns0:c r="V985" s="16">
        <ns0:f>Q985-F985*'前提と出典'!$E$5</ns0:f>
        <ns0:v>554001.6653788622</ns0:v>
      </ns0:c>
      <ns0:c r="W985" s="7">
        <ns0:f>U985+V985</ns0:f>
        <ns0:v>1998153.0831583948</ns0:v>
      </ns0:c>
      <ns0:c r="X985" s="16">
        <ns0:f>P985-E985*'前提と出典'!$E$6</ns0:f>
        <ns0:v>1254333.3469540882</ns0:v>
      </ns0:c>
      <ns0:c r="Y985" s="16">
        <ns0:f>Q985-F985*'前提と出典'!$E$6</ns0:f>
        <ns0:v>479504.96881989925</ns0:v>
      </ns0:c>
      <ns0:c r="Z985" s="7">
        <ns0:f>X985+Y985</ns0:f>
        <ns0:v>1733838.3157739874</ns0:v>
      </ns0:c>
      <ns0:c r="AA985" s="7">
        <ns0:f>IF(T985&gt;=0,A985,1001)</ns0:f>
        <ns0:v>981</ns0:v>
      </ns0:c>
      <ns0:c r="AB985" s="7">
        <ns0:f>IF(T985&lt;0,A985,0)</ns0:f>
        <ns0:v>0</ns0:v>
      </ns0:c>
      <ns0:c r="AC985" s="16">
        <ns0:f>IF(AND(OR('前提と出典'!$C$36+'前提と出典'!$C$38=0,R985&gt;=0),OR('前提と出典'!$C$37+'前提と出典'!$C$38=0,S985&gt;=0)),0,A985)</ns0:f>
        <ns0:v>0</ns0:v>
      </ns0:c>
      <ns0:c r="AD985" s="7">
        <ns0:f>IF(W985&gt;=0,A985,1001)</ns0:f>
        <ns0:v>981</ns0:v>
      </ns0:c>
      <ns0:c r="AE985" s="7">
        <ns0:f>IF(W985&lt;0,A985,0)</ns0:f>
        <ns0:v>0</ns0:v>
      </ns0:c>
      <ns0:c r="AF985" s="16">
        <ns0:f>IF(AND(OR('前提と出典'!$C$36+'前提と出典'!$C$38=0,U985&gt;=0),OR('前提と出典'!$C$37+'前提と出典'!$C$38=0,V985&gt;=0)),0,A985)</ns0:f>
        <ns0:v>0</ns0:v>
      </ns0:c>
      <ns0:c r="AG985" s="7">
        <ns0:f>IF(Z985&gt;=0,A985,1001)</ns0:f>
        <ns0:v>981</ns0:v>
      </ns0:c>
      <ns0:c r="AH985" s="4">
        <ns0:f>IF(Z985&lt;0,A985,0)</ns0:f>
        <ns0:v>0</ns0:v>
      </ns0:c>
      <ns0:c r="AI985" s="12">
        <ns0:f>IF(AND(OR('前提と出典'!$C$36+'前提と出典'!$C$38=0,X985&gt;=0),OR('前提と出典'!$C$37+'前提と出典'!$C$38=0,Y985&gt;=0)),0,A985)</ns0:f>
        <ns0:v>0</ns0:v>
      </ns0:c>
    </ns0:row>
    <ns0:row r="986" ht="24" customHeight="1">
      <ns0:c r="A986" s="4" t="n">
        <ns0:v>982</ns0:v>
      </ns0:c>
      <ns0:c r="B986" s="12">
        <ns0:f>A986*('前提と出典'!$C$36+'前提と出典'!$C$38)</ns0:f>
        <ns0:v>687.4</ns0:v>
      </ns0:c>
      <ns0:c r="C986" s="12">
        <ns0:f>A986*('前提と出典'!$C$37+'前提と出典'!$C$38)</ns0:f>
        <ns0:v>589.1999999999999</ns0:v>
      </ns0:c>
      <ns0:c r="D986" s="16">
        <ns0:f>A986*('前提と出典'!$C$36*'契約別単価'!C5+'前提と出典'!$C$37*'契約別単価'!C6+'前提と出典'!$C$38*'契約別単価'!C7)</ns0:f>
        <ns0:v>7066.011173184357</ns0:v>
      </ns0:c>
      <ns0:c r="E986" s="16">
        <ns0:f>A986*('前提と出典'!$C$36*'契約別単価'!E5+'前提と出典'!$C$37*'契約別単価'!E6+'前提と出典'!$C$38*'契約別単価'!E7)</ns0:f>
        <ns0:v>1900115.6529111834</ns0:v>
      </ns0:c>
      <ns0:c r="F986" s="16">
        <ns0:f>A986*('前提と出典'!$C$36*'契約別単価'!F5+'前提と出典'!$C$37*'契約別単価'!F6+'前提と出典'!$C$38*'契約別単価'!F7)</ns0:f>
        <ns0:v>745726.3610693334</ns0:v>
      </ns0:c>
      <ns0:c r="G986" s="16">
        <ns0:f>A986*('前提と出典'!$C$36*'契約別単価'!G5+'前提と出典'!$C$37*'契約別単価'!G6+'前提と出典'!$C$38*'契約別単価'!G7)</ns0:f>
        <ns0:v>1954673.7430167596</ns0:v>
      </ns0:c>
      <ns0:c r="H986" s="16">
        <ns0:f>A986*('前提と出典'!$C$36*'契約別単価'!H5+'前提と出典'!$C$37*'契約別単価'!H6+'前提と出典'!$C$38*'契約別単価'!H7)</ns0:f>
        <ns0:v>678369.8234187696</ns0:v>
      </ns0:c>
      <ns0:c r="I986" s="16">
        <ns0:f>A986*('前提と出典'!$C$36*'契約別単価'!I5+'前提と出典'!$C$37*'契約別単価'!I6+'前提と出典'!$C$38*'契約別単価'!I7)</ns0:f>
        <ns0:v>41436.01117318435</ns0:v>
      </ns0:c>
      <ns0:c r="J986" s="16">
        <ns0:f>A986*('前提と出典'!$C$36*'契約別単価'!J5+'前提と出典'!$C$37*'契約別単価'!J6+'前提と出典'!$C$38*'契約別単価'!J7)</ns0:f>
        <ns0:v>96520.33192351712</ns0:v>
      </ns0:c>
      <ns0:c r="K986" s="16">
        <ns0:f>A986*('前提と出典'!$C$36*'契約別単価'!K5+'前提と出典'!$C$37*'契約別単価'!K6+'前提と出典'!$C$38*'契約別単価'!K7)</ns0:f>
        <ns0:v>413720.0744878957</ns0:v>
      </ns0:c>
      <ns0:c r="L986" s="16">
        <ns0:f>A986*('前提と出典'!$C$36*'契約別単価'!L5+'前提と出典'!$C$37*'契約別単価'!L6+'前提と出典'!$C$38*'契約別単価'!L7)</ns0:f>
        <ns0:v>336852.32744729234</ns0:v>
      </ns0:c>
      <ns0:c r="M986" s="16">
        <ns0:f>IF(('前提と出典'!$C$36+'前提と出典'!$C$38)=0,0,IF(B986&lt;=10,'前提と出典'!B73+'前提と出典'!C73,IF(B986&lt;=100,'前提と出典'!B74+'前提と出典'!C74,IF(B986&lt;=500,'前提と出典'!B75+'前提と出典'!C75,'前提と出典'!B76+'前提と出典'!C76))))</ns0:f>
        <ns0:v>80000</ns0:v>
      </ns0:c>
      <ns0:c r="N986" s="16">
        <ns0:f>IF(('前提と出典'!$C$37+'前提と出典'!$C$38)=0,0,IF(C986&lt;=10,'前提と出典'!D73+'前提と出典'!E73,IF(C986&lt;=100,'前提と出典'!D74+'前提と出典'!E74,IF(C986&lt;=500,'前提と出典'!D75+'前提と出典'!E75,'前提と出典'!D76+'前提と出典'!E76))))</ns0:f>
        <ns0:v>86510.9346263078</ns0:v>
      </ns0:c>
      <ns0:c r="O986" s="16">
        <ns0:f>IF('前提と出典'!$C$36+'前提と出典'!$C$38=0,0,'前提と出典'!$B$4*IF('前提と出典'!$B$20=0,MAX('前提と出典'!$B$6,D986*'前提と出典'!$B$5),'前提と出典'!$B$6+D986*'前提と出典'!$B$5))</ns0:f>
        <ns0:v>975109.5418994413</ns0:v>
      </ns0:c>
      <ns0:c r="P986" s="16">
        <ns0:f>(E986+G986)*(1-'前提と出典'!$B$7)-I986-K986-M986-O986</ns0:f>
        <ns0:v>2205751.350114016</ns0:v>
      </ns0:c>
      <ns0:c r="Q986" s="16">
        <ns0:f>(F986+H986)*(1-'前提と出典'!$B$7)-J986-L986-N986</ns0:f>
        <ns0:v>852945.127849414</ns0:v>
      </ns0:c>
      <ns0:c r="R986" s="16">
        <ns0:f>P986-E986*'前提と出典'!$E$4</ns0:f>
        <ns0:v>1635716.6542406608</ns0:v>
      </ns0:c>
      <ns0:c r="S986" s="16">
        <ns0:f>Q986-F986*'前提と出典'!$E$4</ns0:f>
        <ns0:v>629227.2195286141</ns0:v>
      </ns0:c>
      <ns0:c r="T986" s="7">
        <ns0:f>R986+S986</ns0:f>
        <ns0:v>2264943.873769275</ns0:v>
      </ns0:c>
      <ns0:c r="U986" s="16">
        <ns0:f>P986-E986*'前提と出典'!$E$5</ns0:f>
        <ns0:v>1445705.0889495425</ns0:v>
      </ns0:c>
      <ns0:c r="V986" s="16">
        <ns0:f>Q986-F986*'前提と出典'!$E$5</ns0:f>
        <ns0:v>554654.5834216806</ns0:v>
      </ns0:c>
      <ns0:c r="W986" s="7">
        <ns0:f>U986+V986</ns0:f>
        <ns0:v>2000359.672371223</ns0:v>
      </ns0:c>
      <ns0:c r="X986" s="16">
        <ns0:f>P986-E986*'前提と出典'!$E$6</ns0:f>
        <ns0:v>1255693.5236584242</ns0:v>
      </ns0:c>
      <ns0:c r="Y986" s="16">
        <ns0:f>Q986-F986*'前提と出典'!$E$6</ns0:f>
        <ns0:v>480081.9473147474</ns0:v>
      </ns0:c>
      <ns0:c r="Z986" s="7">
        <ns0:f>X986+Y986</ns0:f>
        <ns0:v>1735775.4709731715</ns0:v>
      </ns0:c>
      <ns0:c r="AA986" s="7">
        <ns0:f>IF(T986&gt;=0,A986,1001)</ns0:f>
        <ns0:v>982</ns0:v>
      </ns0:c>
      <ns0:c r="AB986" s="7">
        <ns0:f>IF(T986&lt;0,A986,0)</ns0:f>
        <ns0:v>0</ns0:v>
      </ns0:c>
      <ns0:c r="AC986" s="16">
        <ns0:f>IF(AND(OR('前提と出典'!$C$36+'前提と出典'!$C$38=0,R986&gt;=0),OR('前提と出典'!$C$37+'前提と出典'!$C$38=0,S986&gt;=0)),0,A986)</ns0:f>
        <ns0:v>0</ns0:v>
      </ns0:c>
      <ns0:c r="AD986" s="7">
        <ns0:f>IF(W986&gt;=0,A986,1001)</ns0:f>
        <ns0:v>982</ns0:v>
      </ns0:c>
      <ns0:c r="AE986" s="7">
        <ns0:f>IF(W986&lt;0,A986,0)</ns0:f>
        <ns0:v>0</ns0:v>
      </ns0:c>
      <ns0:c r="AF986" s="16">
        <ns0:f>IF(AND(OR('前提と出典'!$C$36+'前提と出典'!$C$38=0,U986&gt;=0),OR('前提と出典'!$C$37+'前提と出典'!$C$38=0,V986&gt;=0)),0,A986)</ns0:f>
        <ns0:v>0</ns0:v>
      </ns0:c>
      <ns0:c r="AG986" s="7">
        <ns0:f>IF(Z986&gt;=0,A986,1001)</ns0:f>
        <ns0:v>982</ns0:v>
      </ns0:c>
      <ns0:c r="AH986" s="4">
        <ns0:f>IF(Z986&lt;0,A986,0)</ns0:f>
        <ns0:v>0</ns0:v>
      </ns0:c>
      <ns0:c r="AI986" s="12">
        <ns0:f>IF(AND(OR('前提と出典'!$C$36+'前提と出典'!$C$38=0,X986&gt;=0),OR('前提と出典'!$C$37+'前提と出典'!$C$38=0,Y986&gt;=0)),0,A986)</ns0:f>
        <ns0:v>0</ns0:v>
      </ns0:c>
    </ns0:row>
    <ns0:row r="987" ht="24" customHeight="1">
      <ns0:c r="A987" s="4" t="n">
        <ns0:v>983</ns0:v>
      </ns0:c>
      <ns0:c r="B987" s="12">
        <ns0:f>A987*('前提と出典'!$C$36+'前提と出典'!$C$38)</ns0:f>
        <ns0:v>688.0999999999999</ns0:v>
      </ns0:c>
      <ns0:c r="C987" s="12">
        <ns0:f>A987*('前提と出典'!$C$37+'前提と出典'!$C$38)</ns0:f>
        <ns0:v>589.8</ns0:v>
      </ns0:c>
      <ns0:c r="D987" s="16">
        <ns0:f>A987*('前提と出典'!$C$36*'契約別単価'!C5+'前提と出典'!$C$37*'契約別単価'!C6+'前提と出典'!$C$38*'契約別単価'!C7)</ns0:f>
        <ns0:v>7073.206703910614</ns0:v>
      </ns0:c>
      <ns0:c r="E987" s="16">
        <ns0:f>A987*('前提と出典'!$C$36*'契約別単価'!E5+'前提と出典'!$C$37*'契約別単価'!E6+'前提と出典'!$C$38*'契約別単価'!E7)</ns0:f>
        <ns0:v>1902050.5975679157</ns0:v>
      </ns0:c>
      <ns0:c r="F987" s="16">
        <ns0:f>A987*('前提と出典'!$C$36*'契約別単価'!F5+'前提と出典'!$C$37*'契約別単価'!F6+'前提と出典'!$C$38*'契約別単価'!F7)</ns0:f>
        <ns0:v>746485.7565490374</ns0:v>
      </ns0:c>
      <ns0:c r="G987" s="16">
        <ns0:f>A987*('前提と出典'!$C$36*'契約別単価'!G5+'前提と出典'!$C$37*'契約別単価'!G6+'前提と出典'!$C$38*'契約別単価'!G7)</ns0:f>
        <ns0:v>1956664.2458100559</ns0:v>
      </ns0:c>
      <ns0:c r="H987" s="16">
        <ns0:f>A987*('前提と出典'!$C$36*'契約別単価'!H5+'前提と出典'!$C$37*'契約別単価'!H6+'前提と出典'!$C$38*'契約別単価'!H7)</ns0:f>
        <ns0:v>679060.6277196035</ns0:v>
      </ns0:c>
      <ns0:c r="I987" s="16">
        <ns0:f>A987*('前提と出典'!$C$36*'契約別単価'!I5+'前提と出典'!$C$37*'契約別単価'!I6+'前提と出典'!$C$38*'契約別単価'!I7)</ns0:f>
        <ns0:v>41478.206703910604</ns0:v>
      </ns0:c>
      <ns0:c r="J987" s="16">
        <ns0:f>A987*('前提と出典'!$C$36*'契約別単価'!J5+'前提と出典'!$C$37*'契約別単価'!J6+'前提と出典'!$C$38*'契約別単価'!J7)</ns0:f>
        <ns0:v>96618.62146722742</ns0:v>
      </ns0:c>
      <ns0:c r="K987" s="16">
        <ns0:f>A987*('前提と出典'!$C$36*'契約別単価'!K5+'前提と出典'!$C$37*'契約別単価'!K6+'前提と出典'!$C$38*'契約別単価'!K7)</ns0:f>
        <ns0:v>414141.3780260707</ns0:v>
      </ns0:c>
      <ns0:c r="L987" s="16">
        <ns0:f>A987*('前提と出典'!$C$36*'契約別単価'!L5+'前提と出典'!$C$37*'契約別単価'!L6+'前提と出典'!$C$38*'契約別単価'!L7)</ns0:f>
        <ns0:v>337195.3542573201</ns0:v>
      </ns0:c>
      <ns0:c r="M987" s="16">
        <ns0:f>IF(('前提と出典'!$C$36+'前提と出典'!$C$38)=0,0,IF(B987&lt;=10,'前提と出典'!B73+'前提と出典'!C73,IF(B987&lt;=100,'前提と出典'!B74+'前提と出典'!C74,IF(B987&lt;=500,'前提と出典'!B75+'前提と出典'!C75,'前提と出典'!B76+'前提と出典'!C76))))</ns0:f>
        <ns0:v>80000</ns0:v>
      </ns0:c>
      <ns0:c r="N987" s="16">
        <ns0:f>IF(('前提と出典'!$C$37+'前提と出典'!$C$38)=0,0,IF(C987&lt;=10,'前提と出典'!D73+'前提と出典'!E73,IF(C987&lt;=100,'前提と出典'!D74+'前提と出典'!E74,IF(C987&lt;=500,'前提と出典'!D75+'前提と出典'!E75,'前提と出典'!D76+'前提と出典'!E76))))</ns0:f>
        <ns0:v>86510.9346263078</ns0:v>
      </ns0:c>
      <ns0:c r="O987" s="16">
        <ns0:f>IF('前提と出典'!$C$36+'前提と出典'!$C$38=0,0,'前提と出典'!$B$4*IF('前提と出典'!$B$20=0,MAX('前提と出典'!$B$6,D987*'前提と出典'!$B$5),'前提と出典'!$B$6+D987*'前提と出典'!$B$5))</ns0:f>
        <ns0:v>976102.5251396648</ns0:v>
      </ns0:c>
      <ns0:c r="P987" s="16">
        <ns0:f>(E987+G987)*(1-'前提と出典'!$B$7)-I987-K987-M987-O987</ns0:f>
        <ns0:v>2208078.9991467185</ns0:v>
      </ns0:c>
      <ns0:c r="Q987" s="16">
        <ns0:f>(F987+H987)*(1-'前提と出典'!$B$7)-J987-L987-N987</ns0:f>
        <ns0:v>853901.8040841144</ns0:v>
      </ns0:c>
      <ns0:c r="R987" s="16">
        <ns0:f>P987-E987*'前提と出典'!$E$4</ns0:f>
        <ns0:v>1637463.819876344</ns0:v>
      </ns0:c>
      <ns0:c r="S987" s="16">
        <ns0:f>Q987-F987*'前提と出典'!$E$4</ns0:f>
        <ns0:v>629956.0771194035</ns0:v>
      </ns0:c>
      <ns0:c r="T987" s="7">
        <ns0:f>R987+S987</ns0:f>
        <ns0:v>2267419.8969957475</ns0:v>
      </ns0:c>
      <ns0:c r="U987" s="16">
        <ns0:f>P987-E987*'前提と出典'!$E$5</ns0:f>
        <ns0:v>1447258.7601195523</ns0:v>
      </ns0:c>
      <ns0:c r="V987" s="16">
        <ns0:f>Q987-F987*'前提と出典'!$E$5</ns0:f>
        <ns0:v>555307.5014644994</ns0:v>
      </ns0:c>
      <ns0:c r="W987" s="7">
        <ns0:f>U987+V987</ns0:f>
        <ns0:v>2002566.2615840517</ns0:v>
      </ns0:c>
      <ns0:c r="X987" s="16">
        <ns0:f>P987-E987*'前提と出典'!$E$6</ns0:f>
        <ns0:v>1257053.7003627606</ns0:v>
      </ns0:c>
      <ns0:c r="Y987" s="16">
        <ns0:f>Q987-F987*'前提と出典'!$E$6</ns0:f>
        <ns0:v>480658.92580959573</ns0:v>
      </ns0:c>
      <ns0:c r="Z987" s="7">
        <ns0:f>X987+Y987</ns0:f>
        <ns0:v>1737712.6261723563</ns0:v>
      </ns0:c>
      <ns0:c r="AA987" s="7">
        <ns0:f>IF(T987&gt;=0,A987,1001)</ns0:f>
        <ns0:v>983</ns0:v>
      </ns0:c>
      <ns0:c r="AB987" s="7">
        <ns0:f>IF(T987&lt;0,A987,0)</ns0:f>
        <ns0:v>0</ns0:v>
      </ns0:c>
      <ns0:c r="AC987" s="16">
        <ns0:f>IF(AND(OR('前提と出典'!$C$36+'前提と出典'!$C$38=0,R987&gt;=0),OR('前提と出典'!$C$37+'前提と出典'!$C$38=0,S987&gt;=0)),0,A987)</ns0:f>
        <ns0:v>0</ns0:v>
      </ns0:c>
      <ns0:c r="AD987" s="7">
        <ns0:f>IF(W987&gt;=0,A987,1001)</ns0:f>
        <ns0:v>983</ns0:v>
      </ns0:c>
      <ns0:c r="AE987" s="7">
        <ns0:f>IF(W987&lt;0,A987,0)</ns0:f>
        <ns0:v>0</ns0:v>
      </ns0:c>
      <ns0:c r="AF987" s="16">
        <ns0:f>IF(AND(OR('前提と出典'!$C$36+'前提と出典'!$C$38=0,U987&gt;=0),OR('前提と出典'!$C$37+'前提と出典'!$C$38=0,V987&gt;=0)),0,A987)</ns0:f>
        <ns0:v>0</ns0:v>
      </ns0:c>
      <ns0:c r="AG987" s="7">
        <ns0:f>IF(Z987&gt;=0,A987,1001)</ns0:f>
        <ns0:v>983</ns0:v>
      </ns0:c>
      <ns0:c r="AH987" s="4">
        <ns0:f>IF(Z987&lt;0,A987,0)</ns0:f>
        <ns0:v>0</ns0:v>
      </ns0:c>
      <ns0:c r="AI987" s="12">
        <ns0:f>IF(AND(OR('前提と出典'!$C$36+'前提と出典'!$C$38=0,X987&gt;=0),OR('前提と出典'!$C$37+'前提と出典'!$C$38=0,Y987&gt;=0)),0,A987)</ns0:f>
        <ns0:v>0</ns0:v>
      </ns0:c>
    </ns0:row>
    <ns0:row r="988" ht="24" customHeight="1">
      <ns0:c r="A988" s="4" t="n">
        <ns0:v>984</ns0:v>
      </ns0:c>
      <ns0:c r="B988" s="12">
        <ns0:f>A988*('前提と出典'!$C$36+'前提と出典'!$C$38)</ns0:f>
        <ns0:v>688.8</ns0:v>
      </ns0:c>
      <ns0:c r="C988" s="12">
        <ns0:f>A988*('前提と出典'!$C$37+'前提と出典'!$C$38)</ns0:f>
        <ns0:v>590.4</ns0:v>
      </ns0:c>
      <ns0:c r="D988" s="16">
        <ns0:f>A988*('前提と出典'!$C$36*'契約別単価'!C5+'前提と出典'!$C$37*'契約別単価'!C6+'前提と出典'!$C$38*'契約別単価'!C7)</ns0:f>
        <ns0:v>7080.402234636871</ns0:v>
      </ns0:c>
      <ns0:c r="E988" s="16">
        <ns0:f>A988*('前提と出典'!$C$36*'契約別単価'!E5+'前提と出典'!$C$37*'契約別単価'!E6+'前提と出典'!$C$38*'契約別単価'!E7)</ns0:f>
        <ns0:v>1903985.5422246482</ns0:v>
      </ns0:c>
      <ns0:c r="F988" s="16">
        <ns0:f>A988*('前提と出典'!$C$36*'契約別単価'!F5+'前提と出典'!$C$37*'契約別単価'!F6+'前提と出典'!$C$38*'契約別単価'!F7)</ns0:f>
        <ns0:v>747245.1520287414</ns0:v>
      </ns0:c>
      <ns0:c r="G988" s="16">
        <ns0:f>A988*('前提と出典'!$C$36*'契約別単価'!G5+'前提と出典'!$C$37*'契約別単価'!G6+'前提と出典'!$C$38*'契約別単価'!G7)</ns0:f>
        <ns0:v>1958654.7486033519</ns0:v>
      </ns0:c>
      <ns0:c r="H988" s="16">
        <ns0:f>A988*('前提と出典'!$C$36*'契約別単価'!H5+'前提と出典'!$C$37*'契約別単価'!H6+'前提と出典'!$C$38*'契約別単価'!H7)</ns0:f>
        <ns0:v>679751.4320204372</ns0:v>
      </ns0:c>
      <ns0:c r="I988" s="16">
        <ns0:f>A988*('前提と出典'!$C$36*'契約別単価'!I5+'前提と出典'!$C$37*'契約別単価'!I6+'前提と出典'!$C$38*'契約別単価'!I7)</ns0:f>
        <ns0:v>41520.402234636866</ns0:v>
      </ns0:c>
      <ns0:c r="J988" s="16">
        <ns0:f>A988*('前提と出典'!$C$36*'契約別単価'!J5+'前提と出典'!$C$37*'契約別単価'!J6+'前提と出典'!$C$38*'契約別単価'!J7)</ns0:f>
        <ns0:v>96716.91101093772</ns0:v>
      </ns0:c>
      <ns0:c r="K988" s="16">
        <ns0:f>A988*('前提と出典'!$C$36*'契約別単価'!K5+'前提と出典'!$C$37*'契約別単価'!K6+'前提と出典'!$C$38*'契約別単価'!K7)</ns0:f>
        <ns0:v>414562.6815642458</ns0:v>
      </ns0:c>
      <ns0:c r="L988" s="16">
        <ns0:f>A988*('前提と出典'!$C$36*'契約別単価'!L5+'前提と出典'!$C$37*'契約別単価'!L6+'前提と出典'!$C$38*'契約別単価'!L7)</ns0:f>
        <ns0:v>337538.3810673479</ns0:v>
      </ns0:c>
      <ns0:c r="M988" s="16">
        <ns0:f>IF(('前提と出典'!$C$36+'前提と出典'!$C$38)=0,0,IF(B988&lt;=10,'前提と出典'!B73+'前提と出典'!C73,IF(B988&lt;=100,'前提と出典'!B74+'前提と出典'!C74,IF(B988&lt;=500,'前提と出典'!B75+'前提と出典'!C75,'前提と出典'!B76+'前提と出典'!C76))))</ns0:f>
        <ns0:v>80000</ns0:v>
      </ns0:c>
      <ns0:c r="N988" s="16">
        <ns0:f>IF(('前提と出典'!$C$37+'前提と出典'!$C$38)=0,0,IF(C988&lt;=10,'前提と出典'!D73+'前提と出典'!E73,IF(C988&lt;=100,'前提と出典'!D74+'前提と出典'!E74,IF(C988&lt;=500,'前提と出典'!D75+'前提と出典'!E75,'前提と出典'!D76+'前提と出典'!E76))))</ns0:f>
        <ns0:v>86510.9346263078</ns0:v>
      </ns0:c>
      <ns0:c r="O988" s="16">
        <ns0:f>IF('前提と出典'!$C$36+'前提と出典'!$C$38=0,0,'前提と出典'!$B$4*IF('前提と出典'!$B$20=0,MAX('前提と出典'!$B$6,D988*'前提と出典'!$B$5),'前提と出典'!$B$6+D988*'前提と出典'!$B$5))</ns0:f>
        <ns0:v>977095.5083798883</ns0:v>
      </ns0:c>
      <ns0:c r="P988" s="16">
        <ns0:f>(E988+G988)*(1-'前提と出典'!$B$7)-I988-K988-M988-O988</ns0:f>
        <ns0:v>2210406.648179421</ns0:v>
      </ns0:c>
      <ns0:c r="Q988" s="16">
        <ns0:f>(F988+H988)*(1-'前提と出典'!$B$7)-J988-L988-N988</ns0:f>
        <ns0:v>854858.4803188147</ns0:v>
      </ns0:c>
      <ns0:c r="R988" s="16">
        <ns0:f>P988-E988*'前提と出典'!$E$4</ns0:f>
        <ns0:v>1639210.9855120266</ns0:v>
      </ns0:c>
      <ns0:c r="S988" s="16">
        <ns0:f>Q988-F988*'前提と出典'!$E$4</ns0:f>
        <ns0:v>630684.9347101923</ns0:v>
      </ns0:c>
      <ns0:c r="T988" s="7">
        <ns0:f>R988+S988</ns0:f>
        <ns0:v>2269895.920222219</ns0:v>
      </ns0:c>
      <ns0:c r="U988" s="16">
        <ns0:f>P988-E988*'前提と出典'!$E$5</ns0:f>
        <ns0:v>1448812.431289562</ns0:v>
      </ns0:c>
      <ns0:c r="V988" s="16">
        <ns0:f>Q988-F988*'前提と出典'!$E$5</ns0:f>
        <ns0:v>555960.4195073182</ns0:v>
      </ns0:c>
      <ns0:c r="W988" s="7">
        <ns0:f>U988+V988</ns0:f>
        <ns0:v>2004772.8507968802</ns0:v>
      </ns0:c>
      <ns0:c r="X988" s="16">
        <ns0:f>P988-E988*'前提と出典'!$E$6</ns0:f>
        <ns0:v>1258413.877067097</ns0:v>
      </ns0:c>
      <ns0:c r="Y988" s="16">
        <ns0:f>Q988-F988*'前提と出典'!$E$6</ns0:f>
        <ns0:v>481235.9043044441</ns0:v>
      </ns0:c>
      <ns0:c r="Z988" s="7">
        <ns0:f>X988+Y988</ns0:f>
        <ns0:v>1739649.781371541</ns0:v>
      </ns0:c>
      <ns0:c r="AA988" s="7">
        <ns0:f>IF(T988&gt;=0,A988,1001)</ns0:f>
        <ns0:v>984</ns0:v>
      </ns0:c>
      <ns0:c r="AB988" s="7">
        <ns0:f>IF(T988&lt;0,A988,0)</ns0:f>
        <ns0:v>0</ns0:v>
      </ns0:c>
      <ns0:c r="AC988" s="16">
        <ns0:f>IF(AND(OR('前提と出典'!$C$36+'前提と出典'!$C$38=0,R988&gt;=0),OR('前提と出典'!$C$37+'前提と出典'!$C$38=0,S988&gt;=0)),0,A988)</ns0:f>
        <ns0:v>0</ns0:v>
      </ns0:c>
      <ns0:c r="AD988" s="7">
        <ns0:f>IF(W988&gt;=0,A988,1001)</ns0:f>
        <ns0:v>984</ns0:v>
      </ns0:c>
      <ns0:c r="AE988" s="7">
        <ns0:f>IF(W988&lt;0,A988,0)</ns0:f>
        <ns0:v>0</ns0:v>
      </ns0:c>
      <ns0:c r="AF988" s="16">
        <ns0:f>IF(AND(OR('前提と出典'!$C$36+'前提と出典'!$C$38=0,U988&gt;=0),OR('前提と出典'!$C$37+'前提と出典'!$C$38=0,V988&gt;=0)),0,A988)</ns0:f>
        <ns0:v>0</ns0:v>
      </ns0:c>
      <ns0:c r="AG988" s="7">
        <ns0:f>IF(Z988&gt;=0,A988,1001)</ns0:f>
        <ns0:v>984</ns0:v>
      </ns0:c>
      <ns0:c r="AH988" s="4">
        <ns0:f>IF(Z988&lt;0,A988,0)</ns0:f>
        <ns0:v>0</ns0:v>
      </ns0:c>
      <ns0:c r="AI988" s="12">
        <ns0:f>IF(AND(OR('前提と出典'!$C$36+'前提と出典'!$C$38=0,X988&gt;=0),OR('前提と出典'!$C$37+'前提と出典'!$C$38=0,Y988&gt;=0)),0,A988)</ns0:f>
        <ns0:v>0</ns0:v>
      </ns0:c>
    </ns0:row>
    <ns0:row r="989" ht="24" customHeight="1">
      <ns0:c r="A989" s="4" t="n">
        <ns0:v>985</ns0:v>
      </ns0:c>
      <ns0:c r="B989" s="12">
        <ns0:f>A989*('前提と出典'!$C$36+'前提と出典'!$C$38)</ns0:f>
        <ns0:v>689.5</ns0:v>
      </ns0:c>
      <ns0:c r="C989" s="12">
        <ns0:f>A989*('前提と出典'!$C$37+'前提と出典'!$C$38)</ns0:f>
        <ns0:v>591</ns0:v>
      </ns0:c>
      <ns0:c r="D989" s="16">
        <ns0:f>A989*('前提と出典'!$C$36*'契約別単価'!C5+'前提と出典'!$C$37*'契約別単価'!C6+'前提と出典'!$C$38*'契約別単価'!C7)</ns0:f>
        <ns0:v>7087.597765363128</ns0:v>
      </ns0:c>
      <ns0:c r="E989" s="16">
        <ns0:f>A989*('前提と出典'!$C$36*'契約別単価'!E5+'前提と出典'!$C$37*'契約別単価'!E6+'前提と出典'!$C$38*'契約別単価'!E7)</ns0:f>
        <ns0:v>1905920.4868813804</ns0:v>
      </ns0:c>
      <ns0:c r="F989" s="16">
        <ns0:f>A989*('前提と出典'!$C$36*'契約別単価'!F5+'前提と出典'!$C$37*'契約別単価'!F6+'前提と出典'!$C$38*'契約別単価'!F7)</ns0:f>
        <ns0:v>748004.5475084455</ns0:v>
      </ns0:c>
      <ns0:c r="G989" s="16">
        <ns0:f>A989*('前提と出典'!$C$36*'契約別単価'!G5+'前提と出典'!$C$37*'契約別単価'!G6+'前提と出典'!$C$38*'契約別単価'!G7)</ns0:f>
        <ns0:v>1960645.251396648</ns0:v>
      </ns0:c>
      <ns0:c r="H989" s="16">
        <ns0:f>A989*('前提と出典'!$C$36*'契約別単価'!H5+'前提と出典'!$C$37*'契約別単価'!H6+'前提と出典'!$C$38*'契約別単価'!H7)</ns0:f>
        <ns0:v>680442.236321271</ns0:v>
      </ns0:c>
      <ns0:c r="I989" s="16">
        <ns0:f>A989*('前提と出典'!$C$36*'契約別単価'!I5+'前提と出典'!$C$37*'契約別単価'!I6+'前提と出典'!$C$38*'契約別単価'!I7)</ns0:f>
        <ns0:v>41562.59776536312</ns0:v>
      </ns0:c>
      <ns0:c r="J989" s="16">
        <ns0:f>A989*('前提と出典'!$C$36*'契約別単価'!J5+'前提と出典'!$C$37*'契約別単価'!J6+'前提と出典'!$C$38*'契約別単価'!J7)</ns0:f>
        <ns0:v>96815.20055464802</ns0:v>
      </ns0:c>
      <ns0:c r="K989" s="16">
        <ns0:f>A989*('前提と出典'!$C$36*'契約別単価'!K5+'前提と出典'!$C$37*'契約別単価'!K6+'前提と出典'!$C$38*'契約別単価'!K7)</ns0:f>
        <ns0:v>414983.98510242085</ns0:v>
      </ns0:c>
      <ns0:c r="L989" s="16">
        <ns0:f>A989*('前提と出典'!$C$36*'契約別単価'!L5+'前提と出典'!$C$37*'契約別単価'!L6+'前提と出典'!$C$38*'契約別単価'!L7)</ns0:f>
        <ns0:v>337881.40787737566</ns0:v>
      </ns0:c>
      <ns0:c r="M989" s="16">
        <ns0:f>IF(('前提と出典'!$C$36+'前提と出典'!$C$38)=0,0,IF(B989&lt;=10,'前提と出典'!B73+'前提と出典'!C73,IF(B989&lt;=100,'前提と出典'!B74+'前提と出典'!C74,IF(B989&lt;=500,'前提と出典'!B75+'前提と出典'!C75,'前提と出典'!B76+'前提と出典'!C76))))</ns0:f>
        <ns0:v>80000</ns0:v>
      </ns0:c>
      <ns0:c r="N989" s="16">
        <ns0:f>IF(('前提と出典'!$C$37+'前提と出典'!$C$38)=0,0,IF(C989&lt;=10,'前提と出典'!D73+'前提と出典'!E73,IF(C989&lt;=100,'前提と出典'!D74+'前提と出典'!E74,IF(C989&lt;=500,'前提と出典'!D75+'前提と出典'!E75,'前提と出典'!D76+'前提と出典'!E76))))</ns0:f>
        <ns0:v>86510.9346263078</ns0:v>
      </ns0:c>
      <ns0:c r="O989" s="16">
        <ns0:f>IF('前提と出典'!$C$36+'前提と出典'!$C$38=0,0,'前提と出典'!$B$4*IF('前提と出典'!$B$20=0,MAX('前提と出典'!$B$6,D989*'前提と出典'!$B$5),'前提と出典'!$B$6+D989*'前提と出典'!$B$5))</ns0:f>
        <ns0:v>978088.4916201117</ns0:v>
      </ns0:c>
      <ns0:c r="P989" s="16">
        <ns0:f>(E989+G989)*(1-'前提と出典'!$B$7)-I989-K989-M989-O989</ns0:f>
        <ns0:v>2212734.297212124</ns0:v>
      </ns0:c>
      <ns0:c r="Q989" s="16">
        <ns0:f>(F989+H989)*(1-'前提と出典'!$B$7)-J989-L989-N989</ns0:f>
        <ns0:v>855815.156553515</ns0:v>
      </ns0:c>
      <ns0:c r="R989" s="16">
        <ns0:f>P989-E989*'前提と出典'!$E$4</ns0:f>
        <ns0:v>1640958.1511477097</ns0:v>
      </ns0:c>
      <ns0:c r="S989" s="16">
        <ns0:f>Q989-F989*'前提と出典'!$E$4</ns0:f>
        <ns0:v>631413.7923009817</ns0:v>
      </ns0:c>
      <ns0:c r="T989" s="7">
        <ns0:f>R989+S989</ns0:f>
        <ns0:v>2272371.9434486916</ns0:v>
      </ns0:c>
      <ns0:c r="U989" s="16">
        <ns0:f>P989-E989*'前提と出典'!$E$5</ns0:f>
        <ns0:v>1450366.1024595718</ns0:v>
      </ns0:c>
      <ns0:c r="V989" s="16">
        <ns0:f>Q989-F989*'前提と出典'!$E$5</ns0:f>
        <ns0:v>556613.3375501367</ns0:v>
      </ns0:c>
      <ns0:c r="W989" s="7">
        <ns0:f>U989+V989</ns0:f>
        <ns0:v>2006979.4400097085</ns0:v>
      </ns0:c>
      <ns0:c r="X989" s="16">
        <ns0:f>P989-E989*'前提と出典'!$E$6</ns0:f>
        <ns0:v>1259774.0537714334</ns0:v>
      </ns0:c>
      <ns0:c r="Y989" s="16">
        <ns0:f>Q989-F989*'前提と出典'!$E$6</ns0:f>
        <ns0:v>481812.88279929245</ns0:v>
      </ns0:c>
      <ns0:c r="Z989" s="7">
        <ns0:f>X989+Y989</ns0:f>
        <ns0:v>1741586.9365707259</ns0:v>
      </ns0:c>
      <ns0:c r="AA989" s="7">
        <ns0:f>IF(T989&gt;=0,A989,1001)</ns0:f>
        <ns0:v>985</ns0:v>
      </ns0:c>
      <ns0:c r="AB989" s="7">
        <ns0:f>IF(T989&lt;0,A989,0)</ns0:f>
        <ns0:v>0</ns0:v>
      </ns0:c>
      <ns0:c r="AC989" s="16">
        <ns0:f>IF(AND(OR('前提と出典'!$C$36+'前提と出典'!$C$38=0,R989&gt;=0),OR('前提と出典'!$C$37+'前提と出典'!$C$38=0,S989&gt;=0)),0,A989)</ns0:f>
        <ns0:v>0</ns0:v>
      </ns0:c>
      <ns0:c r="AD989" s="7">
        <ns0:f>IF(W989&gt;=0,A989,1001)</ns0:f>
        <ns0:v>985</ns0:v>
      </ns0:c>
      <ns0:c r="AE989" s="7">
        <ns0:f>IF(W989&lt;0,A989,0)</ns0:f>
        <ns0:v>0</ns0:v>
      </ns0:c>
      <ns0:c r="AF989" s="16">
        <ns0:f>IF(AND(OR('前提と出典'!$C$36+'前提と出典'!$C$38=0,U989&gt;=0),OR('前提と出典'!$C$37+'前提と出典'!$C$38=0,V989&gt;=0)),0,A989)</ns0:f>
        <ns0:v>0</ns0:v>
      </ns0:c>
      <ns0:c r="AG989" s="7">
        <ns0:f>IF(Z989&gt;=0,A989,1001)</ns0:f>
        <ns0:v>985</ns0:v>
      </ns0:c>
      <ns0:c r="AH989" s="4">
        <ns0:f>IF(Z989&lt;0,A989,0)</ns0:f>
        <ns0:v>0</ns0:v>
      </ns0:c>
      <ns0:c r="AI989" s="12">
        <ns0:f>IF(AND(OR('前提と出典'!$C$36+'前提と出典'!$C$38=0,X989&gt;=0),OR('前提と出典'!$C$37+'前提と出典'!$C$38=0,Y989&gt;=0)),0,A989)</ns0:f>
        <ns0:v>0</ns0:v>
      </ns0:c>
    </ns0:row>
    <ns0:row r="990" ht="24" customHeight="1">
      <ns0:c r="A990" s="4" t="n">
        <ns0:v>986</ns0:v>
      </ns0:c>
      <ns0:c r="B990" s="12">
        <ns0:f>A990*('前提と出典'!$C$36+'前提と出典'!$C$38)</ns0:f>
        <ns0:v>690.1999999999999</ns0:v>
      </ns0:c>
      <ns0:c r="C990" s="12">
        <ns0:f>A990*('前提と出典'!$C$37+'前提と出典'!$C$38)</ns0:f>
        <ns0:v>591.6</ns0:v>
      </ns0:c>
      <ns0:c r="D990" s="16">
        <ns0:f>A990*('前提と出典'!$C$36*'契約別単価'!C5+'前提と出典'!$C$37*'契約別単価'!C6+'前提と出典'!$C$38*'契約別単価'!C7)</ns0:f>
        <ns0:v>7094.793296089386</ns0:v>
      </ns0:c>
      <ns0:c r="E990" s="16">
        <ns0:f>A990*('前提と出典'!$C$36*'契約別単価'!E5+'前提と出典'!$C$37*'契約別単価'!E6+'前提と出典'!$C$38*'契約別単価'!E7)</ns0:f>
        <ns0:v>1907855.431538113</ns0:v>
      </ns0:c>
      <ns0:c r="F990" s="16">
        <ns0:f>A990*('前提と出典'!$C$36*'契約別単価'!F5+'前提と出典'!$C$37*'契約別単価'!F6+'前提と出典'!$C$38*'契約別単価'!F7)</ns0:f>
        <ns0:v>748763.9429881495</ns0:v>
      </ns0:c>
      <ns0:c r="G990" s="16">
        <ns0:f>A990*('前提と出典'!$C$36*'契約別単価'!G5+'前提と出典'!$C$37*'契約別単価'!G6+'前提と出典'!$C$38*'契約別単価'!G7)</ns0:f>
        <ns0:v>1962635.7541899441</ns0:v>
      </ns0:c>
      <ns0:c r="H990" s="16">
        <ns0:f>A990*('前提と出典'!$C$36*'契約別単価'!H5+'前提と出典'!$C$37*'契約別単価'!H6+'前提と出典'!$C$38*'契約別単価'!H7)</ns0:f>
        <ns0:v>681133.0406221048</ns0:v>
      </ns0:c>
      <ns0:c r="I990" s="16">
        <ns0:f>A990*('前提と出典'!$C$36*'契約別単価'!I5+'前提と出典'!$C$37*'契約別単価'!I6+'前提と出典'!$C$38*'契約別単価'!I7)</ns0:f>
        <ns0:v>41604.79329608938</ns0:v>
      </ns0:c>
      <ns0:c r="J990" s="16">
        <ns0:f>A990*('前提と出典'!$C$36*'契約別単価'!J5+'前提と出典'!$C$37*'契約別単価'!J6+'前提と出典'!$C$38*'契約別単価'!J7)</ns0:f>
        <ns0:v>96913.49009835834</ns0:v>
      </ns0:c>
      <ns0:c r="K990" s="16">
        <ns0:f>A990*('前提と出典'!$C$36*'契約別単価'!K5+'前提と出典'!$C$37*'契約別単価'!K6+'前提と出典'!$C$38*'契約別単価'!K7)</ns0:f>
        <ns0:v>415405.28864059586</ns0:v>
      </ns0:c>
      <ns0:c r="L990" s="16">
        <ns0:f>A990*('前提と出典'!$C$36*'契約別単価'!L5+'前提と出典'!$C$37*'契約別単価'!L6+'前提と出典'!$C$38*'契約別単価'!L7)</ns0:f>
        <ns0:v>338224.4346874035</ns0:v>
      </ns0:c>
      <ns0:c r="M990" s="16">
        <ns0:f>IF(('前提と出典'!$C$36+'前提と出典'!$C$38)=0,0,IF(B990&lt;=10,'前提と出典'!B73+'前提と出典'!C73,IF(B990&lt;=100,'前提と出典'!B74+'前提と出典'!C74,IF(B990&lt;=500,'前提と出典'!B75+'前提と出典'!C75,'前提と出典'!B76+'前提と出典'!C76))))</ns0:f>
        <ns0:v>80000</ns0:v>
      </ns0:c>
      <ns0:c r="N990" s="16">
        <ns0:f>IF(('前提と出典'!$C$37+'前提と出典'!$C$38)=0,0,IF(C990&lt;=10,'前提と出典'!D73+'前提と出典'!E73,IF(C990&lt;=100,'前提と出典'!D74+'前提と出典'!E74,IF(C990&lt;=500,'前提と出典'!D75+'前提と出典'!E75,'前提と出典'!D76+'前提と出典'!E76))))</ns0:f>
        <ns0:v>86510.9346263078</ns0:v>
      </ns0:c>
      <ns0:c r="O990" s="16">
        <ns0:f>IF('前提と出典'!$C$36+'前提と出典'!$C$38=0,0,'前提と出典'!$B$4*IF('前提と出典'!$B$20=0,MAX('前提と出典'!$B$6,D990*'前提と出典'!$B$5),'前提と出典'!$B$6+D990*'前提と出典'!$B$5))</ns0:f>
        <ns0:v>979081.4748603354</ns0:v>
      </ns0:c>
      <ns0:c r="P990" s="16">
        <ns0:f>(E990+G990)*(1-'前提と出典'!$B$7)-I990-K990-M990-O990</ns0:f>
        <ns0:v>2215061.9462448265</ns0:v>
      </ns0:c>
      <ns0:c r="Q990" s="16">
        <ns0:f>(F990+H990)*(1-'前提と出典'!$B$7)-J990-L990-N990</ns0:f>
        <ns0:v>856771.8327882155</ns0:v>
      </ns0:c>
      <ns0:c r="R990" s="16">
        <ns0:f>P990-E990*'前提と出典'!$E$4</ns0:f>
        <ns0:v>1642705.3167833928</ns0:v>
      </ns0:c>
      <ns0:c r="S990" s="16">
        <ns0:f>Q990-F990*'前提と出典'!$E$4</ns0:f>
        <ns0:v>632142.6498917707</ns0:v>
      </ns0:c>
      <ns0:c r="T990" s="7">
        <ns0:f>R990+S990</ns0:f>
        <ns0:v>2274847.9666751632</ns0:v>
      </ns0:c>
      <ns0:c r="U990" s="16">
        <ns0:f>P990-E990*'前提と出典'!$E$5</ns0:f>
        <ns0:v>1451919.7736295816</ns0:v>
      </ns0:c>
      <ns0:c r="V990" s="16">
        <ns0:f>Q990-F990*'前提と出典'!$E$5</ns0:f>
        <ns0:v>557266.2555929557</ns0:v>
      </ns0:c>
      <ns0:c r="W990" s="7">
        <ns0:f>U990+V990</ns0:f>
        <ns0:v>2009186.0292225373</ns0:v>
      </ns0:c>
      <ns0:c r="X990" s="16">
        <ns0:f>P990-E990*'前提と出典'!$E$6</ns0:f>
        <ns0:v>1261134.2304757703</ns0:v>
      </ns0:c>
      <ns0:c r="Y990" s="16">
        <ns0:f>Q990-F990*'前提と出典'!$E$6</ns0:f>
        <ns0:v>482389.8612941408</ns0:v>
      </ns0:c>
      <ns0:c r="Z990" s="7">
        <ns0:f>X990+Y990</ns0:f>
        <ns0:v>1743524.091769911</ns0:v>
      </ns0:c>
      <ns0:c r="AA990" s="7">
        <ns0:f>IF(T990&gt;=0,A990,1001)</ns0:f>
        <ns0:v>986</ns0:v>
      </ns0:c>
      <ns0:c r="AB990" s="7">
        <ns0:f>IF(T990&lt;0,A990,0)</ns0:f>
        <ns0:v>0</ns0:v>
      </ns0:c>
      <ns0:c r="AC990" s="16">
        <ns0:f>IF(AND(OR('前提と出典'!$C$36+'前提と出典'!$C$38=0,R990&gt;=0),OR('前提と出典'!$C$37+'前提と出典'!$C$38=0,S990&gt;=0)),0,A990)</ns0:f>
        <ns0:v>0</ns0:v>
      </ns0:c>
      <ns0:c r="AD990" s="7">
        <ns0:f>IF(W990&gt;=0,A990,1001)</ns0:f>
        <ns0:v>986</ns0:v>
      </ns0:c>
      <ns0:c r="AE990" s="7">
        <ns0:f>IF(W990&lt;0,A990,0)</ns0:f>
        <ns0:v>0</ns0:v>
      </ns0:c>
      <ns0:c r="AF990" s="16">
        <ns0:f>IF(AND(OR('前提と出典'!$C$36+'前提と出典'!$C$38=0,U990&gt;=0),OR('前提と出典'!$C$37+'前提と出典'!$C$38=0,V990&gt;=0)),0,A990)</ns0:f>
        <ns0:v>0</ns0:v>
      </ns0:c>
      <ns0:c r="AG990" s="7">
        <ns0:f>IF(Z990&gt;=0,A990,1001)</ns0:f>
        <ns0:v>986</ns0:v>
      </ns0:c>
      <ns0:c r="AH990" s="4">
        <ns0:f>IF(Z990&lt;0,A990,0)</ns0:f>
        <ns0:v>0</ns0:v>
      </ns0:c>
      <ns0:c r="AI990" s="12">
        <ns0:f>IF(AND(OR('前提と出典'!$C$36+'前提と出典'!$C$38=0,X990&gt;=0),OR('前提と出典'!$C$37+'前提と出典'!$C$38=0,Y990&gt;=0)),0,A990)</ns0:f>
        <ns0:v>0</ns0:v>
      </ns0:c>
    </ns0:row>
    <ns0:row r="991" ht="24" customHeight="1">
      <ns0:c r="A991" s="4" t="n">
        <ns0:v>987</ns0:v>
      </ns0:c>
      <ns0:c r="B991" s="12">
        <ns0:f>A991*('前提と出典'!$C$36+'前提と出典'!$C$38)</ns0:f>
        <ns0:v>690.9</ns0:v>
      </ns0:c>
      <ns0:c r="C991" s="12">
        <ns0:f>A991*('前提と出典'!$C$37+'前提と出典'!$C$38)</ns0:f>
        <ns0:v>592.1999999999999</ns0:v>
      </ns0:c>
      <ns0:c r="D991" s="16">
        <ns0:f>A991*('前提と出典'!$C$36*'契約別単価'!C5+'前提と出典'!$C$37*'契約別単価'!C6+'前提と出典'!$C$38*'契約別単価'!C7)</ns0:f>
        <ns0:v>7101.988826815643</ns0:v>
      </ns0:c>
      <ns0:c r="E991" s="16">
        <ns0:f>A991*('前提と出典'!$C$36*'契約別単価'!E5+'前提と出典'!$C$37*'契約別単価'!E6+'前提と出典'!$C$38*'契約別単価'!E7)</ns0:f>
        <ns0:v>1909790.3761948452</ns0:v>
      </ns0:c>
      <ns0:c r="F991" s="16">
        <ns0:f>A991*('前提と出典'!$C$36*'契約別単価'!F5+'前提と出典'!$C$37*'契約別単価'!F6+'前提と出典'!$C$38*'契約別単価'!F7)</ns0:f>
        <ns0:v>749523.3384678535</ns0:v>
      </ns0:c>
      <ns0:c r="G991" s="16">
        <ns0:f>A991*('前提と出典'!$C$36*'契約別単価'!G5+'前提と出典'!$C$37*'契約別単価'!G6+'前提と出典'!$C$38*'契約別単価'!G7)</ns0:f>
        <ns0:v>1964626.2569832401</ns0:v>
      </ns0:c>
      <ns0:c r="H991" s="16">
        <ns0:f>A991*('前提と出典'!$C$36*'契約別単価'!H5+'前提と出典'!$C$37*'契約別単価'!H6+'前提と出典'!$C$38*'契約別単価'!H7)</ns0:f>
        <ns0:v>681823.8449229386</ns0:v>
      </ns0:c>
      <ns0:c r="I991" s="16">
        <ns0:f>A991*('前提と出典'!$C$36*'契約別単価'!I5+'前提と出典'!$C$37*'契約別単価'!I6+'前提と出典'!$C$38*'契約別単価'!I7)</ns0:f>
        <ns0:v>41646.988826815636</ns0:v>
      </ns0:c>
      <ns0:c r="J991" s="16">
        <ns0:f>A991*('前提と出典'!$C$36*'契約別単価'!J5+'前提と出典'!$C$37*'契約別単価'!J6+'前提と出典'!$C$38*'契約別単価'!J7)</ns0:f>
        <ns0:v>97011.77964206864</ns0:v>
      </ns0:c>
      <ns0:c r="K991" s="16">
        <ns0:f>A991*('前提と出典'!$C$36*'契約別単価'!K5+'前提と出典'!$C$37*'契約別単価'!K6+'前提と出典'!$C$38*'契約別単価'!K7)</ns0:f>
        <ns0:v>415826.5921787709</ns0:v>
      </ns0:c>
      <ns0:c r="L991" s="16">
        <ns0:f>A991*('前提と出典'!$C$36*'契約別単価'!L5+'前提と出典'!$C$37*'契約別単価'!L6+'前提と出典'!$C$38*'契約別単価'!L7)</ns0:f>
        <ns0:v>338567.4614974313</ns0:v>
      </ns0:c>
      <ns0:c r="M991" s="16">
        <ns0:f>IF(('前提と出典'!$C$36+'前提と出典'!$C$38)=0,0,IF(B991&lt;=10,'前提と出典'!B73+'前提と出典'!C73,IF(B991&lt;=100,'前提と出典'!B74+'前提と出典'!C74,IF(B991&lt;=500,'前提と出典'!B75+'前提と出典'!C75,'前提と出典'!B76+'前提と出典'!C76))))</ns0:f>
        <ns0:v>80000</ns0:v>
      </ns0:c>
      <ns0:c r="N991" s="16">
        <ns0:f>IF(('前提と出典'!$C$37+'前提と出典'!$C$38)=0,0,IF(C991&lt;=10,'前提と出典'!D73+'前提と出典'!E73,IF(C991&lt;=100,'前提と出典'!D74+'前提と出典'!E74,IF(C991&lt;=500,'前提と出典'!D75+'前提と出典'!E75,'前提と出典'!D76+'前提と出典'!E76))))</ns0:f>
        <ns0:v>86510.9346263078</ns0:v>
      </ns0:c>
      <ns0:c r="O991" s="16">
        <ns0:f>IF('前提と出典'!$C$36+'前提と出典'!$C$38=0,0,'前提と出典'!$B$4*IF('前提と出典'!$B$20=0,MAX('前提と出典'!$B$6,D991*'前提と出典'!$B$5),'前提と出典'!$B$6+D991*'前提と出典'!$B$5))</ns0:f>
        <ns0:v>980074.4581005588</ns0:v>
      </ns0:c>
      <ns0:c r="P991" s="16">
        <ns0:f>(E991+G991)*(1-'前提と出典'!$B$7)-I991-K991-M991-O991</ns0:f>
        <ns0:v>2217389.595277529</ns0:v>
      </ns0:c>
      <ns0:c r="Q991" s="16">
        <ns0:f>(F991+H991)*(1-'前提と出典'!$B$7)-J991-L991-N991</ns0:f>
        <ns0:v>857728.5090229157</ns0:v>
      </ns0:c>
      <ns0:c r="R991" s="16">
        <ns0:f>P991-E991*'前提と出典'!$E$4</ns0:f>
        <ns0:v>1644452.4824190754</ns0:v>
      </ns0:c>
      <ns0:c r="S991" s="16">
        <ns0:f>Q991-F991*'前提と出典'!$E$4</ns0:f>
        <ns0:v>632871.5074825598</ns0:v>
      </ns0:c>
      <ns0:c r="T991" s="7">
        <ns0:f>R991+S991</ns0:f>
        <ns0:v>2277323.9899016353</ns0:v>
      </ns0:c>
      <ns0:c r="U991" s="16">
        <ns0:f>P991-E991*'前提と出典'!$E$5</ns0:f>
        <ns0:v>1453473.4447995909</ns0:v>
      </ns0:c>
      <ns0:c r="V991" s="16">
        <ns0:f>Q991-F991*'前提と出典'!$E$5</ns0:f>
        <ns0:v>557919.1736357743</ns0:v>
      </ns0:c>
      <ns0:c r="W991" s="7">
        <ns0:f>U991+V991</ns0:f>
        <ns0:v>2011392.6184353651</ns0:v>
      </ns0:c>
      <ns0:c r="X991" s="16">
        <ns0:f>P991-E991*'前提と出典'!$E$6</ns0:f>
        <ns0:v>1262494.4071801067</ns0:v>
      </ns0:c>
      <ns0:c r="Y991" s="16">
        <ns0:f>Q991-F991*'前提と出典'!$E$6</ns0:f>
        <ns0:v>482966.83978898893</ns0:v>
      </ns0:c>
      <ns0:c r="Z991" s="7">
        <ns0:f>X991+Y991</ns0:f>
        <ns0:v>1745461.2469690957</ns0:v>
      </ns0:c>
      <ns0:c r="AA991" s="7">
        <ns0:f>IF(T991&gt;=0,A991,1001)</ns0:f>
        <ns0:v>987</ns0:v>
      </ns0:c>
      <ns0:c r="AB991" s="7">
        <ns0:f>IF(T991&lt;0,A991,0)</ns0:f>
        <ns0:v>0</ns0:v>
      </ns0:c>
      <ns0:c r="AC991" s="16">
        <ns0:f>IF(AND(OR('前提と出典'!$C$36+'前提と出典'!$C$38=0,R991&gt;=0),OR('前提と出典'!$C$37+'前提と出典'!$C$38=0,S991&gt;=0)),0,A991)</ns0:f>
        <ns0:v>0</ns0:v>
      </ns0:c>
      <ns0:c r="AD991" s="7">
        <ns0:f>IF(W991&gt;=0,A991,1001)</ns0:f>
        <ns0:v>987</ns0:v>
      </ns0:c>
      <ns0:c r="AE991" s="7">
        <ns0:f>IF(W991&lt;0,A991,0)</ns0:f>
        <ns0:v>0</ns0:v>
      </ns0:c>
      <ns0:c r="AF991" s="16">
        <ns0:f>IF(AND(OR('前提と出典'!$C$36+'前提と出典'!$C$38=0,U991&gt;=0),OR('前提と出典'!$C$37+'前提と出典'!$C$38=0,V991&gt;=0)),0,A991)</ns0:f>
        <ns0:v>0</ns0:v>
      </ns0:c>
      <ns0:c r="AG991" s="7">
        <ns0:f>IF(Z991&gt;=0,A991,1001)</ns0:f>
        <ns0:v>987</ns0:v>
      </ns0:c>
      <ns0:c r="AH991" s="4">
        <ns0:f>IF(Z991&lt;0,A991,0)</ns0:f>
        <ns0:v>0</ns0:v>
      </ns0:c>
      <ns0:c r="AI991" s="12">
        <ns0:f>IF(AND(OR('前提と出典'!$C$36+'前提と出典'!$C$38=0,X991&gt;=0),OR('前提と出典'!$C$37+'前提と出典'!$C$38=0,Y991&gt;=0)),0,A991)</ns0:f>
        <ns0:v>0</ns0:v>
      </ns0:c>
    </ns0:row>
    <ns0:row r="992" ht="24" customHeight="1">
      <ns0:c r="A992" s="4" t="n">
        <ns0:v>988</ns0:v>
      </ns0:c>
      <ns0:c r="B992" s="12">
        <ns0:f>A992*('前提と出典'!$C$36+'前提と出典'!$C$38)</ns0:f>
        <ns0:v>691.5999999999999</ns0:v>
      </ns0:c>
      <ns0:c r="C992" s="12">
        <ns0:f>A992*('前提と出典'!$C$37+'前提と出典'!$C$38)</ns0:f>
        <ns0:v>592.8</ns0:v>
      </ns0:c>
      <ns0:c r="D992" s="16">
        <ns0:f>A992*('前提と出典'!$C$36*'契約別単価'!C5+'前提と出典'!$C$37*'契約別単価'!C6+'前提と出典'!$C$38*'契約別単価'!C7)</ns0:f>
        <ns0:v>7109.1843575419</ns0:v>
      </ns0:c>
      <ns0:c r="E992" s="16">
        <ns0:f>A992*('前提と出典'!$C$36*'契約別単価'!E5+'前提と出典'!$C$37*'契約別単価'!E6+'前提と出典'!$C$38*'契約別単価'!E7)</ns0:f>
        <ns0:v>1911725.3208515777</ns0:v>
      </ns0:c>
      <ns0:c r="F992" s="16">
        <ns0:f>A992*('前提と出典'!$C$36*'契約別単価'!F5+'前提と出典'!$C$37*'契約別単価'!F6+'前提と出典'!$C$38*'契約別単価'!F7)</ns0:f>
        <ns0:v>750282.7339475575</ns0:v>
      </ns0:c>
      <ns0:c r="G992" s="16">
        <ns0:f>A992*('前提と出典'!$C$36*'契約別単価'!G5+'前提と出典'!$C$37*'契約別単価'!G6+'前提と出典'!$C$38*'契約別単価'!G7)</ns0:f>
        <ns0:v>1966616.7597765361</ns0:v>
      </ns0:c>
      <ns0:c r="H992" s="16">
        <ns0:f>A992*('前提と出典'!$C$36*'契約別単価'!H5+'前提と出典'!$C$37*'契約別単価'!H6+'前提と出典'!$C$38*'契約別単価'!H7)</ns0:f>
        <ns0:v>682514.6492237723</ns0:v>
      </ns0:c>
      <ns0:c r="I992" s="16">
        <ns0:f>A992*('前提と出典'!$C$36*'契約別単価'!I5+'前提と出典'!$C$37*'契約別単価'!I6+'前提と出典'!$C$38*'契約別単価'!I7)</ns0:f>
        <ns0:v>41689.18435754189</ns0:v>
      </ns0:c>
      <ns0:c r="J992" s="16">
        <ns0:f>A992*('前提と出典'!$C$36*'契約別単価'!J5+'前提と出典'!$C$37*'契約別単価'!J6+'前提と出典'!$C$38*'契約別単価'!J7)</ns0:f>
        <ns0:v>97110.06918577894</ns0:v>
      </ns0:c>
      <ns0:c r="K992" s="16">
        <ns0:f>A992*('前提と出典'!$C$36*'契約別単価'!K5+'前提と出典'!$C$37*'契約別単価'!K6+'前提と出典'!$C$38*'契約別単価'!K7)</ns0:f>
        <ns0:v>416247.895716946</ns0:v>
      </ns0:c>
      <ns0:c r="L992" s="16">
        <ns0:f>A992*('前提と出典'!$C$36*'契約別単価'!L5+'前提と出典'!$C$37*'契約別単価'!L6+'前提と出典'!$C$38*'契約別単価'!L7)</ns0:f>
        <ns0:v>338910.48830745905</ns0:v>
      </ns0:c>
      <ns0:c r="M992" s="16">
        <ns0:f>IF(('前提と出典'!$C$36+'前提と出典'!$C$38)=0,0,IF(B992&lt;=10,'前提と出典'!B73+'前提と出典'!C73,IF(B992&lt;=100,'前提と出典'!B74+'前提と出典'!C74,IF(B992&lt;=500,'前提と出典'!B75+'前提と出典'!C75,'前提と出典'!B76+'前提と出典'!C76))))</ns0:f>
        <ns0:v>80000</ns0:v>
      </ns0:c>
      <ns0:c r="N992" s="16">
        <ns0:f>IF(('前提と出典'!$C$37+'前提と出典'!$C$38)=0,0,IF(C992&lt;=10,'前提と出典'!D73+'前提と出典'!E73,IF(C992&lt;=100,'前提と出典'!D74+'前提と出典'!E74,IF(C992&lt;=500,'前提と出典'!D75+'前提と出典'!E75,'前提と出典'!D76+'前提と出典'!E76))))</ns0:f>
        <ns0:v>86510.9346263078</ns0:v>
      </ns0:c>
      <ns0:c r="O992" s="16">
        <ns0:f>IF('前提と出典'!$C$36+'前提と出典'!$C$38=0,0,'前提と出典'!$B$4*IF('前提と出典'!$B$20=0,MAX('前提と出典'!$B$6,D992*'前提と出典'!$B$5),'前提と出典'!$B$6+D992*'前提と出典'!$B$5))</ns0:f>
        <ns0:v>981067.4413407822</ns0:v>
      </ns0:c>
      <ns0:c r="P992" s="16">
        <ns0:f>(E992+G992)*(1-'前提と出典'!$B$7)-I992-K992-M992-O992</ns0:f>
        <ns0:v>2219717.2443102314</ns0:v>
      </ns0:c>
      <ns0:c r="Q992" s="16">
        <ns0:f>(F992+H992)*(1-'前提と出典'!$B$7)-J992-L992-N992</ns0:f>
        <ns0:v>858685.1852576159</ns0:v>
      </ns0:c>
      <ns0:c r="R992" s="16">
        <ns0:f>P992-E992*'前提と出典'!$E$4</ns0:f>
        <ns0:v>1646199.648054758</ns0:v>
      </ns0:c>
      <ns0:c r="S992" s="16">
        <ns0:f>Q992-F992*'前提と出典'!$E$4</ns0:f>
        <ns0:v>633600.3650733489</ns0:v>
      </ns0:c>
      <ns0:c r="T992" s="7">
        <ns0:f>R992+S992</ns0:f>
        <ns0:v>2279800.013128107</ns0:v>
      </ns0:c>
      <ns0:c r="U992" s="16">
        <ns0:f>P992-E992*'前提と出典'!$E$5</ns0:f>
        <ns0:v>1455027.1159696002</ns0:v>
      </ns0:c>
      <ns0:c r="V992" s="16">
        <ns0:f>Q992-F992*'前提と出典'!$E$5</ns0:f>
        <ns0:v>558572.0916785928</ns0:v>
      </ns0:c>
      <ns0:c r="W992" s="7">
        <ns0:f>U992+V992</ns0:f>
        <ns0:v>2013599.207648193</ns0:v>
      </ns0:c>
      <ns0:c r="X992" s="16">
        <ns0:f>P992-E992*'前提と出典'!$E$6</ns0:f>
        <ns0:v>1263854.5838844427</ns0:v>
      </ns0:c>
      <ns0:c r="Y992" s="16">
        <ns0:f>Q992-F992*'前提と出典'!$E$6</ns0:f>
        <ns0:v>483543.8182838374</ns0:v>
      </ns0:c>
      <ns0:c r="Z992" s="7">
        <ns0:f>X992+Y992</ns0:f>
        <ns0:v>1747398.40216828</ns0:v>
      </ns0:c>
      <ns0:c r="AA992" s="7">
        <ns0:f>IF(T992&gt;=0,A992,1001)</ns0:f>
        <ns0:v>988</ns0:v>
      </ns0:c>
      <ns0:c r="AB992" s="7">
        <ns0:f>IF(T992&lt;0,A992,0)</ns0:f>
        <ns0:v>0</ns0:v>
      </ns0:c>
      <ns0:c r="AC992" s="16">
        <ns0:f>IF(AND(OR('前提と出典'!$C$36+'前提と出典'!$C$38=0,R992&gt;=0),OR('前提と出典'!$C$37+'前提と出典'!$C$38=0,S992&gt;=0)),0,A992)</ns0:f>
        <ns0:v>0</ns0:v>
      </ns0:c>
      <ns0:c r="AD992" s="7">
        <ns0:f>IF(W992&gt;=0,A992,1001)</ns0:f>
        <ns0:v>988</ns0:v>
      </ns0:c>
      <ns0:c r="AE992" s="7">
        <ns0:f>IF(W992&lt;0,A992,0)</ns0:f>
        <ns0:v>0</ns0:v>
      </ns0:c>
      <ns0:c r="AF992" s="16">
        <ns0:f>IF(AND(OR('前提と出典'!$C$36+'前提と出典'!$C$38=0,U992&gt;=0),OR('前提と出典'!$C$37+'前提と出典'!$C$38=0,V992&gt;=0)),0,A992)</ns0:f>
        <ns0:v>0</ns0:v>
      </ns0:c>
      <ns0:c r="AG992" s="7">
        <ns0:f>IF(Z992&gt;=0,A992,1001)</ns0:f>
        <ns0:v>988</ns0:v>
      </ns0:c>
      <ns0:c r="AH992" s="4">
        <ns0:f>IF(Z992&lt;0,A992,0)</ns0:f>
        <ns0:v>0</ns0:v>
      </ns0:c>
      <ns0:c r="AI992" s="12">
        <ns0:f>IF(AND(OR('前提と出典'!$C$36+'前提と出典'!$C$38=0,X992&gt;=0),OR('前提と出典'!$C$37+'前提と出典'!$C$38=0,Y992&gt;=0)),0,A992)</ns0:f>
        <ns0:v>0</ns0:v>
      </ns0:c>
    </ns0:row>
    <ns0:row r="993" ht="24" customHeight="1">
      <ns0:c r="A993" s="4" t="n">
        <ns0:v>989</ns0:v>
      </ns0:c>
      <ns0:c r="B993" s="12">
        <ns0:f>A993*('前提と出典'!$C$36+'前提と出典'!$C$38)</ns0:f>
        <ns0:v>692.3</ns0:v>
      </ns0:c>
      <ns0:c r="C993" s="12">
        <ns0:f>A993*('前提と出典'!$C$37+'前提と出典'!$C$38)</ns0:f>
        <ns0:v>593.4</ns0:v>
      </ns0:c>
      <ns0:c r="D993" s="16">
        <ns0:f>A993*('前提と出典'!$C$36*'契約別単価'!C5+'前提と出典'!$C$37*'契約別単価'!C6+'前提と出典'!$C$38*'契約別単価'!C7)</ns0:f>
        <ns0:v>7116.379888268157</ns0:v>
      </ns0:c>
      <ns0:c r="E993" s="16">
        <ns0:f>A993*('前提と出典'!$C$36*'契約別単価'!E5+'前提と出典'!$C$37*'契約別単価'!E6+'前提と出典'!$C$38*'契約別単価'!E7)</ns0:f>
        <ns0:v>1913660.26550831</ns0:v>
      </ns0:c>
      <ns0:c r="F993" s="16">
        <ns0:f>A993*('前提と出典'!$C$36*'契約別単価'!F5+'前提と出典'!$C$37*'契約別単価'!F6+'前提と出典'!$C$38*'契約別単価'!F7)</ns0:f>
        <ns0:v>751042.1294272615</ns0:v>
      </ns0:c>
      <ns0:c r="G993" s="16">
        <ns0:f>A993*('前提と出典'!$C$36*'契約別単価'!G5+'前提と出典'!$C$37*'契約別単価'!G6+'前提と出典'!$C$38*'契約別単価'!G7)</ns0:f>
        <ns0:v>1968607.2625698324</ns0:v>
      </ns0:c>
      <ns0:c r="H993" s="16">
        <ns0:f>A993*('前提と出典'!$C$36*'契約別単価'!H5+'前提と出典'!$C$37*'契約別単価'!H6+'前提と出典'!$C$38*'契約別単価'!H7)</ns0:f>
        <ns0:v>683205.4535246062</ns0:v>
      </ns0:c>
      <ns0:c r="I993" s="16">
        <ns0:f>A993*('前提と出典'!$C$36*'契約別単価'!I5+'前提と出典'!$C$37*'契約別単価'!I6+'前提と出典'!$C$38*'契約別単価'!I7)</ns0:f>
        <ns0:v>41731.37988826815</ns0:v>
      </ns0:c>
      <ns0:c r="J993" s="16">
        <ns0:f>A993*('前提と出典'!$C$36*'契約別単価'!J5+'前提と出典'!$C$37*'契約別単価'!J6+'前提と出典'!$C$38*'契約別単価'!J7)</ns0:f>
        <ns0:v>97208.35872948923</ns0:v>
      </ns0:c>
      <ns0:c r="K993" s="16">
        <ns0:f>A993*('前提と出典'!$C$36*'契約別単価'!K5+'前提と出典'!$C$37*'契約別単価'!K6+'前提と出典'!$C$38*'契約別単価'!K7)</ns0:f>
        <ns0:v>416669.199255121</ns0:v>
      </ns0:c>
      <ns0:c r="L993" s="16">
        <ns0:f>A993*('前提と出典'!$C$36*'契約別単価'!L5+'前提と出典'!$C$37*'契約別単価'!L6+'前提と出典'!$C$38*'契約別単価'!L7)</ns0:f>
        <ns0:v>339253.5151174869</ns0:v>
      </ns0:c>
      <ns0:c r="M993" s="16">
        <ns0:f>IF(('前提と出典'!$C$36+'前提と出典'!$C$38)=0,0,IF(B993&lt;=10,'前提と出典'!B73+'前提と出典'!C73,IF(B993&lt;=100,'前提と出典'!B74+'前提と出典'!C74,IF(B993&lt;=500,'前提と出典'!B75+'前提と出典'!C75,'前提と出典'!B76+'前提と出典'!C76))))</ns0:f>
        <ns0:v>80000</ns0:v>
      </ns0:c>
      <ns0:c r="N993" s="16">
        <ns0:f>IF(('前提と出典'!$C$37+'前提と出典'!$C$38)=0,0,IF(C993&lt;=10,'前提と出典'!D73+'前提と出典'!E73,IF(C993&lt;=100,'前提と出典'!D74+'前提と出典'!E74,IF(C993&lt;=500,'前提と出典'!D75+'前提と出典'!E75,'前提と出典'!D76+'前提と出典'!E76))))</ns0:f>
        <ns0:v>86510.9346263078</ns0:v>
      </ns0:c>
      <ns0:c r="O993" s="16">
        <ns0:f>IF('前提と出典'!$C$36+'前提と出典'!$C$38=0,0,'前提と出典'!$B$4*IF('前提と出典'!$B$20=0,MAX('前提と出典'!$B$6,D993*'前提と出典'!$B$5),'前提と出典'!$B$6+D993*'前提と出典'!$B$5))</ns0:f>
        <ns0:v>982060.4245810057</ns0:v>
      </ns0:c>
      <ns0:c r="P993" s="16">
        <ns0:f>(E993+G993)*(1-'前提と出典'!$B$7)-I993-K993-M993-O993</ns0:f>
        <ns0:v>2222044.8933429345</ns0:v>
      </ns0:c>
      <ns0:c r="Q993" s="16">
        <ns0:f>(F993+H993)*(1-'前提と出典'!$B$7)-J993-L993-N993</ns0:f>
        <ns0:v>859641.8614923167</ns0:v>
      </ns0:c>
      <ns0:c r="R993" s="16">
        <ns0:f>P993-E993*'前提と出典'!$E$4</ns0:f>
        <ns0:v>1647946.8136904417</ns0:v>
      </ns0:c>
      <ns0:c r="S993" s="16">
        <ns0:f>Q993-F993*'前提と出典'!$E$4</ns0:f>
        <ns0:v>634329.2226641383</ns0:v>
      </ns0:c>
      <ns0:c r="T993" s="7">
        <ns0:f>R993+S993</ns0:f>
        <ns0:v>2282276.03635458</ns0:v>
      </ns0:c>
      <ns0:c r="U993" s="16">
        <ns0:f>P993-E993*'前提と出典'!$E$5</ns0:f>
        <ns0:v>1456580.7871396104</ns0:v>
      </ns0:c>
      <ns0:c r="V993" s="16">
        <ns0:f>Q993-F993*'前提と出典'!$E$5</ns0:f>
        <ns0:v>559225.0097214121</ns0:v>
      </ns0:c>
      <ns0:c r="W993" s="7">
        <ns0:f>U993+V993</ns0:f>
        <ns0:v>2015805.7968610225</ns0:v>
      </ns0:c>
      <ns0:c r="X993" s="16">
        <ns0:f>P993-E993*'前提と出典'!$E$6</ns0:f>
        <ns0:v>1265214.7605887796</ns0:v>
      </ns0:c>
      <ns0:c r="Y993" s="16">
        <ns0:f>Q993-F993*'前提と出典'!$E$6</ns0:f>
        <ns0:v>484120.79677868565</ns0:v>
      </ns0:c>
      <ns0:c r="Z993" s="7">
        <ns0:f>X993+Y993</ns0:f>
        <ns0:v>1749335.5573674652</ns0:v>
      </ns0:c>
      <ns0:c r="AA993" s="7">
        <ns0:f>IF(T993&gt;=0,A993,1001)</ns0:f>
        <ns0:v>989</ns0:v>
      </ns0:c>
      <ns0:c r="AB993" s="7">
        <ns0:f>IF(T993&lt;0,A993,0)</ns0:f>
        <ns0:v>0</ns0:v>
      </ns0:c>
      <ns0:c r="AC993" s="16">
        <ns0:f>IF(AND(OR('前提と出典'!$C$36+'前提と出典'!$C$38=0,R993&gt;=0),OR('前提と出典'!$C$37+'前提と出典'!$C$38=0,S993&gt;=0)),0,A993)</ns0:f>
        <ns0:v>0</ns0:v>
      </ns0:c>
      <ns0:c r="AD993" s="7">
        <ns0:f>IF(W993&gt;=0,A993,1001)</ns0:f>
        <ns0:v>989</ns0:v>
      </ns0:c>
      <ns0:c r="AE993" s="7">
        <ns0:f>IF(W993&lt;0,A993,0)</ns0:f>
        <ns0:v>0</ns0:v>
      </ns0:c>
      <ns0:c r="AF993" s="16">
        <ns0:f>IF(AND(OR('前提と出典'!$C$36+'前提と出典'!$C$38=0,U993&gt;=0),OR('前提と出典'!$C$37+'前提と出典'!$C$38=0,V993&gt;=0)),0,A993)</ns0:f>
        <ns0:v>0</ns0:v>
      </ns0:c>
      <ns0:c r="AG993" s="7">
        <ns0:f>IF(Z993&gt;=0,A993,1001)</ns0:f>
        <ns0:v>989</ns0:v>
      </ns0:c>
      <ns0:c r="AH993" s="4">
        <ns0:f>IF(Z993&lt;0,A993,0)</ns0:f>
        <ns0:v>0</ns0:v>
      </ns0:c>
      <ns0:c r="AI993" s="12">
        <ns0:f>IF(AND(OR('前提と出典'!$C$36+'前提と出典'!$C$38=0,X993&gt;=0),OR('前提と出典'!$C$37+'前提と出典'!$C$38=0,Y993&gt;=0)),0,A993)</ns0:f>
        <ns0:v>0</ns0:v>
      </ns0:c>
    </ns0:row>
    <ns0:row r="994" ht="24" customHeight="1">
      <ns0:c r="A994" s="4" t="n">
        <ns0:v>990</ns0:v>
      </ns0:c>
      <ns0:c r="B994" s="12">
        <ns0:f>A994*('前提と出典'!$C$36+'前提と出典'!$C$38)</ns0:f>
        <ns0:v>693</ns0:v>
      </ns0:c>
      <ns0:c r="C994" s="12">
        <ns0:f>A994*('前提と出典'!$C$37+'前提と出典'!$C$38)</ns0:f>
        <ns0:v>594</ns0:v>
      </ns0:c>
      <ns0:c r="D994" s="16">
        <ns0:f>A994*('前提と出典'!$C$36*'契約別単価'!C5+'前提と出典'!$C$37*'契約別単価'!C6+'前提と出典'!$C$38*'契約別単価'!C7)</ns0:f>
        <ns0:v>7123.575418994414</ns0:v>
      </ns0:c>
      <ns0:c r="E994" s="16">
        <ns0:f>A994*('前提と出典'!$C$36*'契約別単価'!E5+'前提と出典'!$C$37*'契約別単価'!E6+'前提と出典'!$C$38*'契約別単価'!E7)</ns0:f>
        <ns0:v>1915595.2101650422</ns0:v>
      </ns0:c>
      <ns0:c r="F994" s="16">
        <ns0:f>A994*('前提と出典'!$C$36*'契約別単価'!F5+'前提と出典'!$C$37*'契約別単価'!F6+'前提と出典'!$C$38*'契約別単価'!F7)</ns0:f>
        <ns0:v>751801.5249069654</ns0:v>
      </ns0:c>
      <ns0:c r="G994" s="16">
        <ns0:f>A994*('前提と出典'!$C$36*'契約別単価'!G5+'前提と出典'!$C$37*'契約別単価'!G6+'前提と出典'!$C$38*'契約別単価'!G7)</ns0:f>
        <ns0:v>1970597.7653631284</ns0:v>
      </ns0:c>
      <ns0:c r="H994" s="16">
        <ns0:f>A994*('前提と出典'!$C$36*'契約別単価'!H5+'前提と出典'!$C$37*'契約別単価'!H6+'前提と出典'!$C$38*'契約別単価'!H7)</ns0:f>
        <ns0:v>683896.2578254399</ns0:v>
      </ns0:c>
      <ns0:c r="I994" s="16">
        <ns0:f>A994*('前提と出典'!$C$36*'契約別単価'!I5+'前提と出典'!$C$37*'契約別単価'!I6+'前提と出典'!$C$38*'契約別単価'!I7)</ns0:f>
        <ns0:v>41773.575418994405</ns0:v>
      </ns0:c>
      <ns0:c r="J994" s="16">
        <ns0:f>A994*('前提と出典'!$C$36*'契約別単価'!J5+'前提と出典'!$C$37*'契約別単価'!J6+'前提と出典'!$C$38*'契約別単価'!J7)</ns0:f>
        <ns0:v>97306.64827319953</ns0:v>
      </ns0:c>
      <ns0:c r="K994" s="16">
        <ns0:f>A994*('前提と出典'!$C$36*'契約別単価'!K5+'前提と出典'!$C$37*'契約別単価'!K6+'前提と出典'!$C$38*'契約別単価'!K7)</ns0:f>
        <ns0:v>417090.50279329607</ns0:v>
      </ns0:c>
      <ns0:c r="L994" s="16">
        <ns0:f>A994*('前提と出典'!$C$36*'契約別単価'!L5+'前提と出典'!$C$37*'契約別単価'!L6+'前提と出典'!$C$38*'契約別単価'!L7)</ns0:f>
        <ns0:v>339596.54192751466</ns0:v>
      </ns0:c>
      <ns0:c r="M994" s="16">
        <ns0:f>IF(('前提と出典'!$C$36+'前提と出典'!$C$38)=0,0,IF(B994&lt;=10,'前提と出典'!B73+'前提と出典'!C73,IF(B994&lt;=100,'前提と出典'!B74+'前提と出典'!C74,IF(B994&lt;=500,'前提と出典'!B75+'前提と出典'!C75,'前提と出典'!B76+'前提と出典'!C76))))</ns0:f>
        <ns0:v>80000</ns0:v>
      </ns0:c>
      <ns0:c r="N994" s="16">
        <ns0:f>IF(('前提と出典'!$C$37+'前提と出典'!$C$38)=0,0,IF(C994&lt;=10,'前提と出典'!D73+'前提と出典'!E73,IF(C994&lt;=100,'前提と出典'!D74+'前提と出典'!E74,IF(C994&lt;=500,'前提と出典'!D75+'前提と出典'!E75,'前提と出典'!D76+'前提と出典'!E76))))</ns0:f>
        <ns0:v>86510.9346263078</ns0:v>
      </ns0:c>
      <ns0:c r="O994" s="16">
        <ns0:f>IF('前提と出典'!$C$36+'前提と出典'!$C$38=0,0,'前提と出典'!$B$4*IF('前提と出典'!$B$20=0,MAX('前提と出典'!$B$6,D994*'前提と出典'!$B$5),'前提と出典'!$B$6+D994*'前提と出典'!$B$5))</ns0:f>
        <ns0:v>983053.4078212291</ns0:v>
      </ns0:c>
      <ns0:c r="P994" s="16">
        <ns0:f>(E994+G994)*(1-'前提と出典'!$B$7)-I994-K994-M994-O994</ns0:f>
        <ns0:v>2224372.5423756363</ns0:v>
      </ns0:c>
      <ns0:c r="Q994" s="16">
        <ns0:f>(F994+H994)*(1-'前提と出典'!$B$7)-J994-L994-N994</ns0:f>
        <ns0:v>860598.5377270168</ns0:v>
      </ns0:c>
      <ns0:c r="R994" s="16">
        <ns0:f>P994-E994*'前提と出典'!$E$4</ns0:f>
        <ns0:v>1649693.9793261234</ns0:v>
      </ns0:c>
      <ns0:c r="S994" s="16">
        <ns0:f>Q994-F994*'前提と出典'!$E$4</ns0:f>
        <ns0:v>635058.080254927</ns0:v>
      </ns0:c>
      <ns0:c r="T994" s="7">
        <ns0:f>R994+S994</ns0:f>
        <ns0:v>2284752.0595810506</ns0:v>
      </ns0:c>
      <ns0:c r="U994" s="16">
        <ns0:f>P994-E994*'前提と出典'!$E$5</ns0:f>
        <ns0:v>1458134.4583096192</ns0:v>
      </ns0:c>
      <ns0:c r="V994" s="16">
        <ns0:f>Q994-F994*'前提と出典'!$E$5</ns0:f>
        <ns0:v>559877.9277642306</ns0:v>
      </ns0:c>
      <ns0:c r="W994" s="7">
        <ns0:f>U994+V994</ns0:f>
        <ns0:v>2018012.3860738499</ns0:v>
      </ns0:c>
      <ns0:c r="X994" s="16">
        <ns0:f>P994-E994*'前提と出典'!$E$6</ns0:f>
        <ns0:v>1266574.937293115</ns0:v>
      </ns0:c>
      <ns0:c r="Y994" s="16">
        <ns0:f>Q994-F994*'前提と出典'!$E$6</ns0:f>
        <ns0:v>484697.775273534</ns0:v>
      </ns0:c>
      <ns0:c r="Z994" s="7">
        <ns0:f>X994+Y994</ns0:f>
        <ns0:v>1751272.712566649</ns0:v>
      </ns0:c>
      <ns0:c r="AA994" s="7">
        <ns0:f>IF(T994&gt;=0,A994,1001)</ns0:f>
        <ns0:v>990</ns0:v>
      </ns0:c>
      <ns0:c r="AB994" s="7">
        <ns0:f>IF(T994&lt;0,A994,0)</ns0:f>
        <ns0:v>0</ns0:v>
      </ns0:c>
      <ns0:c r="AC994" s="16">
        <ns0:f>IF(AND(OR('前提と出典'!$C$36+'前提と出典'!$C$38=0,R994&gt;=0),OR('前提と出典'!$C$37+'前提と出典'!$C$38=0,S994&gt;=0)),0,A994)</ns0:f>
        <ns0:v>0</ns0:v>
      </ns0:c>
      <ns0:c r="AD994" s="7">
        <ns0:f>IF(W994&gt;=0,A994,1001)</ns0:f>
        <ns0:v>990</ns0:v>
      </ns0:c>
      <ns0:c r="AE994" s="7">
        <ns0:f>IF(W994&lt;0,A994,0)</ns0:f>
        <ns0:v>0</ns0:v>
      </ns0:c>
      <ns0:c r="AF994" s="16">
        <ns0:f>IF(AND(OR('前提と出典'!$C$36+'前提と出典'!$C$38=0,U994&gt;=0),OR('前提と出典'!$C$37+'前提と出典'!$C$38=0,V994&gt;=0)),0,A994)</ns0:f>
        <ns0:v>0</ns0:v>
      </ns0:c>
      <ns0:c r="AG994" s="7">
        <ns0:f>IF(Z994&gt;=0,A994,1001)</ns0:f>
        <ns0:v>990</ns0:v>
      </ns0:c>
      <ns0:c r="AH994" s="4">
        <ns0:f>IF(Z994&lt;0,A994,0)</ns0:f>
        <ns0:v>0</ns0:v>
      </ns0:c>
      <ns0:c r="AI994" s="12">
        <ns0:f>IF(AND(OR('前提と出典'!$C$36+'前提と出典'!$C$38=0,X994&gt;=0),OR('前提と出典'!$C$37+'前提と出典'!$C$38=0,Y994&gt;=0)),0,A994)</ns0:f>
        <ns0:v>0</ns0:v>
      </ns0:c>
    </ns0:row>
    <ns0:row r="995" ht="24" customHeight="1">
      <ns0:c r="A995" s="4" t="n">
        <ns0:v>991</ns0:v>
      </ns0:c>
      <ns0:c r="B995" s="12">
        <ns0:f>A995*('前提と出典'!$C$36+'前提と出典'!$C$38)</ns0:f>
        <ns0:v>693.6999999999999</ns0:v>
      </ns0:c>
      <ns0:c r="C995" s="12">
        <ns0:f>A995*('前提と出典'!$C$37+'前提と出典'!$C$38)</ns0:f>
        <ns0:v>594.6</ns0:v>
      </ns0:c>
      <ns0:c r="D995" s="16">
        <ns0:f>A995*('前提と出典'!$C$36*'契約別単価'!C5+'前提と出典'!$C$37*'契約別単価'!C6+'前提と出典'!$C$38*'契約別単価'!C7)</ns0:f>
        <ns0:v>7130.770949720671</ns0:v>
      </ns0:c>
      <ns0:c r="E995" s="16">
        <ns0:f>A995*('前提と出典'!$C$36*'契約別単価'!E5+'前提と出典'!$C$37*'契約別単価'!E6+'前提と出典'!$C$38*'契約別単価'!E7)</ns0:f>
        <ns0:v>1917530.1548217747</ns0:v>
      </ns0:c>
      <ns0:c r="F995" s="16">
        <ns0:f>A995*('前提と出典'!$C$36*'契約別単価'!F5+'前提と出典'!$C$37*'契約別単価'!F6+'前提と出典'!$C$38*'契約別単価'!F7)</ns0:f>
        <ns0:v>752560.9203866695</ns0:v>
      </ns0:c>
      <ns0:c r="G995" s="16">
        <ns0:f>A995*('前提と出典'!$C$36*'契約別単価'!G5+'前提と出典'!$C$37*'契約別単価'!G6+'前提と出典'!$C$38*'契約別単価'!G7)</ns0:f>
        <ns0:v>1972588.2681564244</ns0:v>
      </ns0:c>
      <ns0:c r="H995" s="16">
        <ns0:f>A995*('前提と出典'!$C$36*'契約別単価'!H5+'前提と出典'!$C$37*'契約別単価'!H6+'前提と出典'!$C$38*'契約別単価'!H7)</ns0:f>
        <ns0:v>684587.0621262736</ns0:v>
      </ns0:c>
      <ns0:c r="I995" s="16">
        <ns0:f>A995*('前提と出典'!$C$36*'契約別単価'!I5+'前提と出典'!$C$37*'契約別単価'!I6+'前提と出典'!$C$38*'契約別単価'!I7)</ns0:f>
        <ns0:v>41815.77094972066</ns0:v>
      </ns0:c>
      <ns0:c r="J995" s="16">
        <ns0:f>A995*('前提と出典'!$C$36*'契約別単価'!J5+'前提と出典'!$C$37*'契約別単価'!J6+'前提と出典'!$C$38*'契約別単価'!J7)</ns0:f>
        <ns0:v>97404.93781690985</ns0:v>
      </ns0:c>
      <ns0:c r="K995" s="16">
        <ns0:f>A995*('前提と出典'!$C$36*'契約別単価'!K5+'前提と出典'!$C$37*'契約別単価'!K6+'前提と出典'!$C$38*'契約別単価'!K7)</ns0:f>
        <ns0:v>417511.80633147113</ns0:v>
      </ns0:c>
      <ns0:c r="L995" s="16">
        <ns0:f>A995*('前提と出典'!$C$36*'契約別単価'!L5+'前提と出典'!$C$37*'契約別単価'!L6+'前提と出典'!$C$38*'契約別単価'!L7)</ns0:f>
        <ns0:v>339939.56873754243</ns0:v>
      </ns0:c>
      <ns0:c r="M995" s="16">
        <ns0:f>IF(('前提と出典'!$C$36+'前提と出典'!$C$38)=0,0,IF(B995&lt;=10,'前提と出典'!B73+'前提と出典'!C73,IF(B995&lt;=100,'前提と出典'!B74+'前提と出典'!C74,IF(B995&lt;=500,'前提と出典'!B75+'前提と出典'!C75,'前提と出典'!B76+'前提と出典'!C76))))</ns0:f>
        <ns0:v>80000</ns0:v>
      </ns0:c>
      <ns0:c r="N995" s="16">
        <ns0:f>IF(('前提と出典'!$C$37+'前提と出典'!$C$38)=0,0,IF(C995&lt;=10,'前提と出典'!D73+'前提と出典'!E73,IF(C995&lt;=100,'前提と出典'!D74+'前提と出典'!E74,IF(C995&lt;=500,'前提と出典'!D75+'前提と出典'!E75,'前提と出典'!D76+'前提と出典'!E76))))</ns0:f>
        <ns0:v>86510.9346263078</ns0:v>
      </ns0:c>
      <ns0:c r="O995" s="16">
        <ns0:f>IF('前提と出典'!$C$36+'前提と出典'!$C$38=0,0,'前提と出典'!$B$4*IF('前提と出典'!$B$20=0,MAX('前提と出典'!$B$6,D995*'前提と出典'!$B$5),'前提と出典'!$B$6+D995*'前提と出典'!$B$5))</ns0:f>
        <ns0:v>984046.3910614526</ns0:v>
      </ns0:c>
      <ns0:c r="P995" s="16">
        <ns0:f>(E995+G995)*(1-'前提と出典'!$B$7)-I995-K995-M995-O995</ns0:f>
        <ns0:v>2226700.1914083394</ns0:v>
      </ns0:c>
      <ns0:c r="Q995" s="16">
        <ns0:f>(F995+H995)*(1-'前提と出典'!$B$7)-J995-L995-N995</ns0:f>
        <ns0:v>861555.213961717</ns0:v>
      </ns0:c>
      <ns0:c r="R995" s="16">
        <ns0:f>P995-E995*'前提と出典'!$E$4</ns0:f>
        <ns0:v>1651441.144961807</ns0:v>
      </ns0:c>
      <ns0:c r="S995" s="16">
        <ns0:f>Q995-F995*'前提と出典'!$E$4</ns0:f>
        <ns0:v>635786.937845716</ns0:v>
      </ns0:c>
      <ns0:c r="T995" s="7">
        <ns0:f>R995+S995</ns0:f>
        <ns0:v>2287228.082807523</ns0:v>
      </ns0:c>
      <ns0:c r="U995" s="16">
        <ns0:f>P995-E995*'前提と出典'!$E$5</ns0:f>
        <ns0:v>1459688.1294796295</ns0:v>
      </ns0:c>
      <ns0:c r="V995" s="16">
        <ns0:f>Q995-F995*'前提と出典'!$E$5</ns0:f>
        <ns0:v>560530.8458070492</ns0:v>
      </ns0:c>
      <ns0:c r="W995" s="7">
        <ns0:f>U995+V995</ns0:f>
        <ns0:v>2020218.9752866786</ns0:v>
      </ns0:c>
      <ns0:c r="X995" s="16">
        <ns0:f>P995-E995*'前提と出典'!$E$6</ns0:f>
        <ns0:v>1267935.113997452</ns0:v>
      </ns0:c>
      <ns0:c r="Y995" s="16">
        <ns0:f>Q995-F995*'前提と出典'!$E$6</ns0:f>
        <ns0:v>485274.75376838236</ns0:v>
      </ns0:c>
      <ns0:c r="Z995" s="7">
        <ns0:f>X995+Y995</ns0:f>
        <ns0:v>1753209.8677658343</ns0:v>
      </ns0:c>
      <ns0:c r="AA995" s="7">
        <ns0:f>IF(T995&gt;=0,A995,1001)</ns0:f>
        <ns0:v>991</ns0:v>
      </ns0:c>
      <ns0:c r="AB995" s="7">
        <ns0:f>IF(T995&lt;0,A995,0)</ns0:f>
        <ns0:v>0</ns0:v>
      </ns0:c>
      <ns0:c r="AC995" s="16">
        <ns0:f>IF(AND(OR('前提と出典'!$C$36+'前提と出典'!$C$38=0,R995&gt;=0),OR('前提と出典'!$C$37+'前提と出典'!$C$38=0,S995&gt;=0)),0,A995)</ns0:f>
        <ns0:v>0</ns0:v>
      </ns0:c>
      <ns0:c r="AD995" s="7">
        <ns0:f>IF(W995&gt;=0,A995,1001)</ns0:f>
        <ns0:v>991</ns0:v>
      </ns0:c>
      <ns0:c r="AE995" s="7">
        <ns0:f>IF(W995&lt;0,A995,0)</ns0:f>
        <ns0:v>0</ns0:v>
      </ns0:c>
      <ns0:c r="AF995" s="16">
        <ns0:f>IF(AND(OR('前提と出典'!$C$36+'前提と出典'!$C$38=0,U995&gt;=0),OR('前提と出典'!$C$37+'前提と出典'!$C$38=0,V995&gt;=0)),0,A995)</ns0:f>
        <ns0:v>0</ns0:v>
      </ns0:c>
      <ns0:c r="AG995" s="7">
        <ns0:f>IF(Z995&gt;=0,A995,1001)</ns0:f>
        <ns0:v>991</ns0:v>
      </ns0:c>
      <ns0:c r="AH995" s="4">
        <ns0:f>IF(Z995&lt;0,A995,0)</ns0:f>
        <ns0:v>0</ns0:v>
      </ns0:c>
      <ns0:c r="AI995" s="12">
        <ns0:f>IF(AND(OR('前提と出典'!$C$36+'前提と出典'!$C$38=0,X995&gt;=0),OR('前提と出典'!$C$37+'前提と出典'!$C$38=0,Y995&gt;=0)),0,A995)</ns0:f>
        <ns0:v>0</ns0:v>
      </ns0:c>
    </ns0:row>
    <ns0:row r="996" ht="24" customHeight="1">
      <ns0:c r="A996" s="4" t="n">
        <ns0:v>992</ns0:v>
      </ns0:c>
      <ns0:c r="B996" s="12">
        <ns0:f>A996*('前提と出典'!$C$36+'前提と出典'!$C$38)</ns0:f>
        <ns0:v>694.4</ns0:v>
      </ns0:c>
      <ns0:c r="C996" s="12">
        <ns0:f>A996*('前提と出典'!$C$37+'前提と出典'!$C$38)</ns0:f>
        <ns0:v>595.1999999999999</ns0:v>
      </ns0:c>
      <ns0:c r="D996" s="16">
        <ns0:f>A996*('前提と出典'!$C$36*'契約別単価'!C5+'前提と出典'!$C$37*'契約別単価'!C6+'前提と出典'!$C$38*'契約別単価'!C7)</ns0:f>
        <ns0:v>7137.966480446928</ns0:v>
      </ns0:c>
      <ns0:c r="E996" s="16">
        <ns0:f>A996*('前提と出典'!$C$36*'契約別単価'!E5+'前提と出典'!$C$37*'契約別単価'!E6+'前提と出典'!$C$38*'契約別単価'!E7)</ns0:f>
        <ns0:v>1919465.099478507</ns0:v>
      </ns0:c>
      <ns0:c r="F996" s="16">
        <ns0:f>A996*('前提と出典'!$C$36*'契約別単価'!F5+'前提と出典'!$C$37*'契約別単価'!F6+'前提と出典'!$C$38*'契約別単価'!F7)</ns0:f>
        <ns0:v>753320.3158663735</ns0:v>
      </ns0:c>
      <ns0:c r="G996" s="16">
        <ns0:f>A996*('前提と出典'!$C$36*'契約別単価'!G5+'前提と出典'!$C$37*'契約別単価'!G6+'前提と出典'!$C$38*'契約別単価'!G7)</ns0:f>
        <ns0:v>1974578.7709497206</ns0:v>
      </ns0:c>
      <ns0:c r="H996" s="16">
        <ns0:f>A996*('前提と出典'!$C$36*'契約別単価'!H5+'前提と出典'!$C$37*'契約別単価'!H6+'前提と出典'!$C$38*'契約別単価'!H7)</ns0:f>
        <ns0:v>685277.8664271075</ns0:v>
      </ns0:c>
      <ns0:c r="I996" s="16">
        <ns0:f>A996*('前提と出典'!$C$36*'契約別単価'!I5+'前提と出典'!$C$37*'契約別単価'!I6+'前提と出典'!$C$38*'契約別単価'!I7)</ns0:f>
        <ns0:v>41857.96648044692</ns0:v>
      </ns0:c>
      <ns0:c r="J996" s="16">
        <ns0:f>A996*('前提と出典'!$C$36*'契約別単価'!J5+'前提と出典'!$C$37*'契約別単価'!J6+'前提と出典'!$C$38*'契約別単価'!J7)</ns0:f>
        <ns0:v>97503.22736062015</ns0:v>
      </ns0:c>
      <ns0:c r="K996" s="16">
        <ns0:f>A996*('前提と出典'!$C$36*'契約別単価'!K5+'前提と出典'!$C$37*'契約別単価'!K6+'前提と出典'!$C$38*'契約別単価'!K7)</ns0:f>
        <ns0:v>417933.10986964614</ns0:v>
      </ns0:c>
      <ns0:c r="L996" s="16">
        <ns0:f>A996*('前提と出典'!$C$36*'契約別単価'!L5+'前提と出典'!$C$37*'契約別単価'!L6+'前提と出典'!$C$38*'契約別単価'!L7)</ns0:f>
        <ns0:v>340282.59554757026</ns0:v>
      </ns0:c>
      <ns0:c r="M996" s="16">
        <ns0:f>IF(('前提と出典'!$C$36+'前提と出典'!$C$38)=0,0,IF(B996&lt;=10,'前提と出典'!B73+'前提と出典'!C73,IF(B996&lt;=100,'前提と出典'!B74+'前提と出典'!C74,IF(B996&lt;=500,'前提と出典'!B75+'前提と出典'!C75,'前提と出典'!B76+'前提と出典'!C76))))</ns0:f>
        <ns0:v>80000</ns0:v>
      </ns0:c>
      <ns0:c r="N996" s="16">
        <ns0:f>IF(('前提と出典'!$C$37+'前提と出典'!$C$38)=0,0,IF(C996&lt;=10,'前提と出典'!D73+'前提と出典'!E73,IF(C996&lt;=100,'前提と出典'!D74+'前提と出典'!E74,IF(C996&lt;=500,'前提と出典'!D75+'前提と出典'!E75,'前提と出典'!D76+'前提と出典'!E76))))</ns0:f>
        <ns0:v>86510.9346263078</ns0:v>
      </ns0:c>
      <ns0:c r="O996" s="16">
        <ns0:f>IF('前提と出典'!$C$36+'前提と出典'!$C$38=0,0,'前提と出典'!$B$4*IF('前提と出典'!$B$20=0,MAX('前提と出典'!$B$6,D996*'前提と出典'!$B$5),'前提と出典'!$B$6+D996*'前提と出典'!$B$5))</ns0:f>
        <ns0:v>985039.374301676</ns0:v>
      </ns0:c>
      <ns0:c r="P996" s="16">
        <ns0:f>(E996+G996)*(1-'前提と出典'!$B$7)-I996-K996-M996-O996</ns0:f>
        <ns0:v>2229027.8404410426</ns0:v>
      </ns0:c>
      <ns0:c r="Q996" s="16">
        <ns0:f>(F996+H996)*(1-'前提と出典'!$B$7)-J996-L996-N996</ns0:f>
        <ns0:v>862511.8901964172</ns0:v>
      </ns0:c>
      <ns0:c r="R996" s="16">
        <ns0:f>P996-E996*'前提と出典'!$E$4</ns0:f>
        <ns0:v>1653188.31059749</ns0:v>
      </ns0:c>
      <ns0:c r="S996" s="16">
        <ns0:f>Q996-F996*'前提と出典'!$E$4</ns0:f>
        <ns0:v>636515.7954365053</ns0:v>
      </ns0:c>
      <ns0:c r="T996" s="7">
        <ns0:f>R996+S996</ns0:f>
        <ns0:v>2289704.1060339953</ns0:v>
      </ns0:c>
      <ns0:c r="U996" s="16">
        <ns0:f>P996-E996*'前提と出典'!$E$5</ns0:f>
        <ns0:v>1461241.8006496397</ns0:v>
      </ns0:c>
      <ns0:c r="V996" s="16">
        <ns0:f>Q996-F996*'前提と出典'!$E$5</ns0:f>
        <ns0:v>561183.7638498679</ns0:v>
      </ns0:c>
      <ns0:c r="W996" s="7">
        <ns0:f>U996+V996</ns0:f>
        <ns0:v>2022425.5644995077</ns0:v>
      </ns0:c>
      <ns0:c r="X996" s="16">
        <ns0:f>P996-E996*'前提と出典'!$E$6</ns0:f>
        <ns0:v>1269295.2907017884</ns0:v>
      </ns0:c>
      <ns0:c r="Y996" s="16">
        <ns0:f>Q996-F996*'前提と出典'!$E$6</ns0:f>
        <ns0:v>485851.7322632307</ns0:v>
      </ns0:c>
      <ns0:c r="Z996" s="7">
        <ns0:f>X996+Y996</ns0:f>
        <ns0:v>1755147.022965019</ns0:v>
      </ns0:c>
      <ns0:c r="AA996" s="7">
        <ns0:f>IF(T996&gt;=0,A996,1001)</ns0:f>
        <ns0:v>992</ns0:v>
      </ns0:c>
      <ns0:c r="AB996" s="7">
        <ns0:f>IF(T996&lt;0,A996,0)</ns0:f>
        <ns0:v>0</ns0:v>
      </ns0:c>
      <ns0:c r="AC996" s="16">
        <ns0:f>IF(AND(OR('前提と出典'!$C$36+'前提と出典'!$C$38=0,R996&gt;=0),OR('前提と出典'!$C$37+'前提と出典'!$C$38=0,S996&gt;=0)),0,A996)</ns0:f>
        <ns0:v>0</ns0:v>
      </ns0:c>
      <ns0:c r="AD996" s="7">
        <ns0:f>IF(W996&gt;=0,A996,1001)</ns0:f>
        <ns0:v>992</ns0:v>
      </ns0:c>
      <ns0:c r="AE996" s="7">
        <ns0:f>IF(W996&lt;0,A996,0)</ns0:f>
        <ns0:v>0</ns0:v>
      </ns0:c>
      <ns0:c r="AF996" s="16">
        <ns0:f>IF(AND(OR('前提と出典'!$C$36+'前提と出典'!$C$38=0,U996&gt;=0),OR('前提と出典'!$C$37+'前提と出典'!$C$38=0,V996&gt;=0)),0,A996)</ns0:f>
        <ns0:v>0</ns0:v>
      </ns0:c>
      <ns0:c r="AG996" s="7">
        <ns0:f>IF(Z996&gt;=0,A996,1001)</ns0:f>
        <ns0:v>992</ns0:v>
      </ns0:c>
      <ns0:c r="AH996" s="4">
        <ns0:f>IF(Z996&lt;0,A996,0)</ns0:f>
        <ns0:v>0</ns0:v>
      </ns0:c>
      <ns0:c r="AI996" s="12">
        <ns0:f>IF(AND(OR('前提と出典'!$C$36+'前提と出典'!$C$38=0,X996&gt;=0),OR('前提と出典'!$C$37+'前提と出典'!$C$38=0,Y996&gt;=0)),0,A996)</ns0:f>
        <ns0:v>0</ns0:v>
      </ns0:c>
    </ns0:row>
    <ns0:row r="997" ht="24" customHeight="1">
      <ns0:c r="A997" s="4" t="n">
        <ns0:v>993</ns0:v>
      </ns0:c>
      <ns0:c r="B997" s="12">
        <ns0:f>A997*('前提と出典'!$C$36+'前提と出典'!$C$38)</ns0:f>
        <ns0:v>695.0999999999999</ns0:v>
      </ns0:c>
      <ns0:c r="C997" s="12">
        <ns0:f>A997*('前提と出典'!$C$37+'前提と出典'!$C$38)</ns0:f>
        <ns0:v>595.8</ns0:v>
      </ns0:c>
      <ns0:c r="D997" s="16">
        <ns0:f>A997*('前提と出典'!$C$36*'契約別単価'!C5+'前提と出典'!$C$37*'契約別単価'!C6+'前提と出典'!$C$38*'契約別単価'!C7)</ns0:f>
        <ns0:v>7145.1620111731845</ns0:v>
      </ns0:c>
      <ns0:c r="E997" s="16">
        <ns0:f>A997*('前提と出典'!$C$36*'契約別単価'!E5+'前提と出典'!$C$37*'契約別単価'!E6+'前提と出典'!$C$38*'契約別単価'!E7)</ns0:f>
        <ns0:v>1921400.0441352394</ns0:v>
      </ns0:c>
      <ns0:c r="F997" s="16">
        <ns0:f>A997*('前提と出典'!$C$36*'契約別単価'!F5+'前提と出典'!$C$37*'契約別単価'!F6+'前提と出典'!$C$38*'契約別単価'!F7)</ns0:f>
        <ns0:v>754079.7113460775</ns0:v>
      </ns0:c>
      <ns0:c r="G997" s="16">
        <ns0:f>A997*('前提と出典'!$C$36*'契約別単価'!G5+'前提と出典'!$C$37*'契約別単価'!G6+'前提と出典'!$C$38*'契約別単価'!G7)</ns0:f>
        <ns0:v>1976569.2737430166</ns0:v>
      </ns0:c>
      <ns0:c r="H997" s="16">
        <ns0:f>A997*('前提と出典'!$C$36*'契約別単価'!H5+'前提と出典'!$C$37*'契約別単価'!H6+'前提と出典'!$C$38*'契約別単価'!H7)</ns0:f>
        <ns0:v>685968.6707279412</ns0:v>
      </ns0:c>
      <ns0:c r="I997" s="16">
        <ns0:f>A997*('前提と出典'!$C$36*'契約別単価'!I5+'前提と出典'!$C$37*'契約別単価'!I6+'前提と出典'!$C$38*'契約別単価'!I7)</ns0:f>
        <ns0:v>41900.162011173175</ns0:v>
      </ns0:c>
      <ns0:c r="J997" s="16">
        <ns0:f>A997*('前提と出典'!$C$36*'契約別単価'!J5+'前提と出典'!$C$37*'契約別単価'!J6+'前提と出典'!$C$38*'契約別単価'!J7)</ns0:f>
        <ns0:v>97601.51690433045</ns0:v>
      </ns0:c>
      <ns0:c r="K997" s="16">
        <ns0:f>A997*('前提と出典'!$C$36*'契約別単価'!K5+'前提と出典'!$C$37*'契約別単価'!K6+'前提と出典'!$C$38*'契約別単価'!K7)</ns0:f>
        <ns0:v>418354.4134078212</ns0:v>
      </ns0:c>
      <ns0:c r="L997" s="16">
        <ns0:f>A997*('前提と出典'!$C$36*'契約別単価'!L5+'前提と出典'!$C$37*'契約別単価'!L6+'前提と出典'!$C$38*'契約別単価'!L7)</ns0:f>
        <ns0:v>340625.62235759804</ns0:v>
      </ns0:c>
      <ns0:c r="M997" s="16">
        <ns0:f>IF(('前提と出典'!$C$36+'前提と出典'!$C$38)=0,0,IF(B997&lt;=10,'前提と出典'!B73+'前提と出典'!C73,IF(B997&lt;=100,'前提と出典'!B74+'前提と出典'!C74,IF(B997&lt;=500,'前提と出典'!B75+'前提と出典'!C75,'前提と出典'!B76+'前提と出典'!C76))))</ns0:f>
        <ns0:v>80000</ns0:v>
      </ns0:c>
      <ns0:c r="N997" s="16">
        <ns0:f>IF(('前提と出典'!$C$37+'前提と出典'!$C$38)=0,0,IF(C997&lt;=10,'前提と出典'!D73+'前提と出典'!E73,IF(C997&lt;=100,'前提と出典'!D74+'前提と出典'!E74,IF(C997&lt;=500,'前提と出典'!D75+'前提と出典'!E75,'前提と出典'!D76+'前提と出典'!E76))))</ns0:f>
        <ns0:v>86510.9346263078</ns0:v>
      </ns0:c>
      <ns0:c r="O997" s="16">
        <ns0:f>IF('前提と出典'!$C$36+'前提と出典'!$C$38=0,0,'前提と出典'!$B$4*IF('前提と出典'!$B$20=0,MAX('前提と出典'!$B$6,D997*'前提と出典'!$B$5),'前提と出典'!$B$6+D997*'前提と出典'!$B$5))</ns0:f>
        <ns0:v>986032.3575418995</ns0:v>
      </ns0:c>
      <ns0:c r="P997" s="16">
        <ns0:f>(E997+G997)*(1-'前提と出典'!$B$7)-I997-K997-M997-O997</ns0:f>
        <ns0:v>2231355.4894737448</ns0:v>
      </ns0:c>
      <ns0:c r="Q997" s="16">
        <ns0:f>(F997+H997)*(1-'前提と出典'!$B$7)-J997-L997-N997</ns0:f>
        <ns0:v>863468.566431118</ns0:v>
      </ns0:c>
      <ns0:c r="R997" s="16">
        <ns0:f>P997-E997*'前提と出典'!$E$4</ns0:f>
        <ns0:v>1654935.4762331732</ns0:v>
      </ns0:c>
      <ns0:c r="S997" s="16">
        <ns0:f>Q997-F997*'前提と出典'!$E$4</ns0:f>
        <ns0:v>637244.6530272947</ns0:v>
      </ns0:c>
      <ns0:c r="T997" s="7">
        <ns0:f>R997+S997</ns0:f>
        <ns0:v>2292180.129260468</ns0:v>
      </ns0:c>
      <ns0:c r="U997" s="16">
        <ns0:f>P997-E997*'前提と出典'!$E$5</ns0:f>
        <ns0:v>1462795.471819649</ns0:v>
      </ns0:c>
      <ns0:c r="V997" s="16">
        <ns0:f>Q997-F997*'前提と出典'!$E$5</ns0:f>
        <ns0:v>561836.6818926869</ns0:v>
      </ns0:c>
      <ns0:c r="W997" s="7">
        <ns0:f>U997+V997</ns0:f>
        <ns0:v>2024632.153712336</ns0:v>
      </ns0:c>
      <ns0:c r="X997" s="16">
        <ns0:f>P997-E997*'前提と出典'!$E$6</ns0:f>
        <ns0:v>1270655.4674061248</ns0:v>
      </ns0:c>
      <ns0:c r="Y997" s="16">
        <ns0:f>Q997-F997*'前提と出典'!$E$6</ns0:f>
        <ns0:v>486428.7107580791</ns0:v>
      </ns0:c>
      <ns0:c r="Z997" s="7">
        <ns0:f>X997+Y997</ns0:f>
        <ns0:v>1757084.178164204</ns0:v>
      </ns0:c>
      <ns0:c r="AA997" s="7">
        <ns0:f>IF(T997&gt;=0,A997,1001)</ns0:f>
        <ns0:v>993</ns0:v>
      </ns0:c>
      <ns0:c r="AB997" s="7">
        <ns0:f>IF(T997&lt;0,A997,0)</ns0:f>
        <ns0:v>0</ns0:v>
      </ns0:c>
      <ns0:c r="AC997" s="16">
        <ns0:f>IF(AND(OR('前提と出典'!$C$36+'前提と出典'!$C$38=0,R997&gt;=0),OR('前提と出典'!$C$37+'前提と出典'!$C$38=0,S997&gt;=0)),0,A997)</ns0:f>
        <ns0:v>0</ns0:v>
      </ns0:c>
      <ns0:c r="AD997" s="7">
        <ns0:f>IF(W997&gt;=0,A997,1001)</ns0:f>
        <ns0:v>993</ns0:v>
      </ns0:c>
      <ns0:c r="AE997" s="7">
        <ns0:f>IF(W997&lt;0,A997,0)</ns0:f>
        <ns0:v>0</ns0:v>
      </ns0:c>
      <ns0:c r="AF997" s="16">
        <ns0:f>IF(AND(OR('前提と出典'!$C$36+'前提と出典'!$C$38=0,U997&gt;=0),OR('前提と出典'!$C$37+'前提と出典'!$C$38=0,V997&gt;=0)),0,A997)</ns0:f>
        <ns0:v>0</ns0:v>
      </ns0:c>
      <ns0:c r="AG997" s="7">
        <ns0:f>IF(Z997&gt;=0,A997,1001)</ns0:f>
        <ns0:v>993</ns0:v>
      </ns0:c>
      <ns0:c r="AH997" s="4">
        <ns0:f>IF(Z997&lt;0,A997,0)</ns0:f>
        <ns0:v>0</ns0:v>
      </ns0:c>
      <ns0:c r="AI997" s="12">
        <ns0:f>IF(AND(OR('前提と出典'!$C$36+'前提と出典'!$C$38=0,X997&gt;=0),OR('前提と出典'!$C$37+'前提と出典'!$C$38=0,Y997&gt;=0)),0,A997)</ns0:f>
        <ns0:v>0</ns0:v>
      </ns0:c>
    </ns0:row>
    <ns0:row r="998" ht="24" customHeight="1">
      <ns0:c r="A998" s="4" t="n">
        <ns0:v>994</ns0:v>
      </ns0:c>
      <ns0:c r="B998" s="12">
        <ns0:f>A998*('前提と出典'!$C$36+'前提と出典'!$C$38)</ns0:f>
        <ns0:v>695.8</ns0:v>
      </ns0:c>
      <ns0:c r="C998" s="12">
        <ns0:f>A998*('前提と出典'!$C$37+'前提と出典'!$C$38)</ns0:f>
        <ns0:v>596.4</ns0:v>
      </ns0:c>
      <ns0:c r="D998" s="16">
        <ns0:f>A998*('前提と出典'!$C$36*'契約別単価'!C5+'前提と出典'!$C$37*'契約別単価'!C6+'前提と出典'!$C$38*'契約別単価'!C7)</ns0:f>
        <ns0:v>7152.3575418994415</ns0:v>
      </ns0:c>
      <ns0:c r="E998" s="16">
        <ns0:f>A998*('前提と出典'!$C$36*'契約別単価'!E5+'前提と出典'!$C$37*'契約別単価'!E6+'前提と出典'!$C$38*'契約別単価'!E7)</ns0:f>
        <ns0:v>1923334.9887919717</ns0:v>
      </ns0:c>
      <ns0:c r="F998" s="16">
        <ns0:f>A998*('前提と出典'!$C$36*'契約別単価'!F5+'前提と出典'!$C$37*'契約別単価'!F6+'前提と出典'!$C$38*'契約別単価'!F7)</ns0:f>
        <ns0:v>754839.1068257815</ns0:v>
      </ns0:c>
      <ns0:c r="G998" s="16">
        <ns0:f>A998*('前提と出典'!$C$36*'契約別単価'!G5+'前提と出典'!$C$37*'契約別単価'!G6+'前提と出典'!$C$38*'契約別単価'!G7)</ns0:f>
        <ns0:v>1978559.7765363127</ns0:v>
      </ns0:c>
      <ns0:c r="H998" s="16">
        <ns0:f>A998*('前提と出典'!$C$36*'契約別単価'!H5+'前提と出典'!$C$37*'契約別単価'!H6+'前提と出典'!$C$38*'契約別単価'!H7)</ns0:f>
        <ns0:v>686659.475028775</ns0:v>
      </ns0:c>
      <ns0:c r="I998" s="16">
        <ns0:f>A998*('前提と出典'!$C$36*'契約別単価'!I5+'前提と出典'!$C$37*'契約別単価'!I6+'前提と出典'!$C$38*'契約別単価'!I7)</ns0:f>
        <ns0:v>41942.35754189944</ns0:v>
      </ns0:c>
      <ns0:c r="J998" s="16">
        <ns0:f>A998*('前提と出典'!$C$36*'契約別単価'!J5+'前提と出典'!$C$37*'契約別単価'!J6+'前提と出典'!$C$38*'契約別単価'!J7)</ns0:f>
        <ns0:v>97699.80644804075</ns0:v>
      </ns0:c>
      <ns0:c r="K998" s="16">
        <ns0:f>A998*('前提と出典'!$C$36*'契約別単価'!K5+'前提と出典'!$C$37*'契約別単価'!K6+'前提と出典'!$C$38*'契約別単価'!K7)</ns0:f>
        <ns0:v>418775.7169459963</ns0:v>
      </ns0:c>
      <ns0:c r="L998" s="16">
        <ns0:f>A998*('前提と出典'!$C$36*'契約別単価'!L5+'前提と出典'!$C$37*'契約別単価'!L6+'前提と出典'!$C$38*'契約別単価'!L7)</ns0:f>
        <ns0:v>340968.6491676258</ns0:v>
      </ns0:c>
      <ns0:c r="M998" s="16">
        <ns0:f>IF(('前提と出典'!$C$36+'前提と出典'!$C$38)=0,0,IF(B998&lt;=10,'前提と出典'!B73+'前提と出典'!C73,IF(B998&lt;=100,'前提と出典'!B74+'前提と出典'!C74,IF(B998&lt;=500,'前提と出典'!B75+'前提と出典'!C75,'前提と出典'!B76+'前提と出典'!C76))))</ns0:f>
        <ns0:v>80000</ns0:v>
      </ns0:c>
      <ns0:c r="N998" s="16">
        <ns0:f>IF(('前提と出典'!$C$37+'前提と出典'!$C$38)=0,0,IF(C998&lt;=10,'前提と出典'!D73+'前提と出典'!E73,IF(C998&lt;=100,'前提と出典'!D74+'前提と出典'!E74,IF(C998&lt;=500,'前提と出典'!D75+'前提と出典'!E75,'前提と出典'!D76+'前提と出典'!E76))))</ns0:f>
        <ns0:v>86510.9346263078</ns0:v>
      </ns0:c>
      <ns0:c r="O998" s="16">
        <ns0:f>IF('前提と出典'!$C$36+'前提と出典'!$C$38=0,0,'前提と出典'!$B$4*IF('前提と出典'!$B$20=0,MAX('前提と出典'!$B$6,D998*'前提と出典'!$B$5),'前提と出典'!$B$6+D998*'前提と出典'!$B$5))</ns0:f>
        <ns0:v>987025.3407821229</ns0:v>
      </ns0:c>
      <ns0:c r="P998" s="16">
        <ns0:f>(E998+G998)*(1-'前提と出典'!$B$7)-I998-K998-M998-O998</ns0:f>
        <ns0:v>2233683.138506447</ns0:v>
      </ns0:c>
      <ns0:c r="Q998" s="16">
        <ns0:f>(F998+H998)*(1-'前提と出典'!$B$7)-J998-L998-N998</ns0:f>
        <ns0:v>864425.2426658182</ns0:v>
      </ns0:c>
      <ns0:c r="R998" s="16">
        <ns0:f>P998-E998*'前提と出典'!$E$4</ns0:f>
        <ns0:v>1656682.6418688556</ns0:v>
      </ns0:c>
      <ns0:c r="S998" s="16">
        <ns0:f>Q998-F998*'前提と出典'!$E$4</ns0:f>
        <ns0:v>637973.5106180838</ns0:v>
      </ns0:c>
      <ns0:c r="T998" s="7">
        <ns0:f>R998+S998</ns0:f>
        <ns0:v>2294656.1524869394</ns0:v>
      </ns0:c>
      <ns0:c r="U998" s="16">
        <ns0:f>P998-E998*'前提と出典'!$E$5</ns0:f>
        <ns0:v>1464349.1429896585</ns0:v>
      </ns0:c>
      <ns0:c r="V998" s="16">
        <ns0:f>Q998-F998*'前提と出典'!$E$5</ns0:f>
        <ns0:v>562489.5999355057</ns0:v>
      </ns0:c>
      <ns0:c r="W998" s="7">
        <ns0:f>U998+V998</ns0:f>
        <ns0:v>2026838.7429251643</ns0:v>
      </ns0:c>
      <ns0:c r="X998" s="16">
        <ns0:f>P998-E998*'前提と出典'!$E$6</ns0:f>
        <ns0:v>1272015.6441104615</ns0:v>
      </ns0:c>
      <ns0:c r="Y998" s="16">
        <ns0:f>Q998-F998*'前提と出典'!$E$6</ns0:f>
        <ns0:v>487005.68925292755</ns0:v>
      </ns0:c>
      <ns0:c r="Z998" s="7">
        <ns0:f>X998+Y998</ns0:f>
        <ns0:v>1759021.3333633891</ns0:v>
      </ns0:c>
      <ns0:c r="AA998" s="7">
        <ns0:f>IF(T998&gt;=0,A998,1001)</ns0:f>
        <ns0:v>994</ns0:v>
      </ns0:c>
      <ns0:c r="AB998" s="7">
        <ns0:f>IF(T998&lt;0,A998,0)</ns0:f>
        <ns0:v>0</ns0:v>
      </ns0:c>
      <ns0:c r="AC998" s="16">
        <ns0:f>IF(AND(OR('前提と出典'!$C$36+'前提と出典'!$C$38=0,R998&gt;=0),OR('前提と出典'!$C$37+'前提と出典'!$C$38=0,S998&gt;=0)),0,A998)</ns0:f>
        <ns0:v>0</ns0:v>
      </ns0:c>
      <ns0:c r="AD998" s="7">
        <ns0:f>IF(W998&gt;=0,A998,1001)</ns0:f>
        <ns0:v>994</ns0:v>
      </ns0:c>
      <ns0:c r="AE998" s="7">
        <ns0:f>IF(W998&lt;0,A998,0)</ns0:f>
        <ns0:v>0</ns0:v>
      </ns0:c>
      <ns0:c r="AF998" s="16">
        <ns0:f>IF(AND(OR('前提と出典'!$C$36+'前提と出典'!$C$38=0,U998&gt;=0),OR('前提と出典'!$C$37+'前提と出典'!$C$38=0,V998&gt;=0)),0,A998)</ns0:f>
        <ns0:v>0</ns0:v>
      </ns0:c>
      <ns0:c r="AG998" s="7">
        <ns0:f>IF(Z998&gt;=0,A998,1001)</ns0:f>
        <ns0:v>994</ns0:v>
      </ns0:c>
      <ns0:c r="AH998" s="4">
        <ns0:f>IF(Z998&lt;0,A998,0)</ns0:f>
        <ns0:v>0</ns0:v>
      </ns0:c>
      <ns0:c r="AI998" s="12">
        <ns0:f>IF(AND(OR('前提と出典'!$C$36+'前提と出典'!$C$38=0,X998&gt;=0),OR('前提と出典'!$C$37+'前提と出典'!$C$38=0,Y998&gt;=0)),0,A998)</ns0:f>
        <ns0:v>0</ns0:v>
      </ns0:c>
    </ns0:row>
    <ns0:row r="999" ht="24" customHeight="1">
      <ns0:c r="A999" s="4" t="n">
        <ns0:v>995</ns0:v>
      </ns0:c>
      <ns0:c r="B999" s="12">
        <ns0:f>A999*('前提と出典'!$C$36+'前提と出典'!$C$38)</ns0:f>
        <ns0:v>696.5</ns0:v>
      </ns0:c>
      <ns0:c r="C999" s="12">
        <ns0:f>A999*('前提と出典'!$C$37+'前提と出典'!$C$38)</ns0:f>
        <ns0:v>597</ns0:v>
      </ns0:c>
      <ns0:c r="D999" s="16">
        <ns0:f>A999*('前提と出典'!$C$36*'契約別単価'!C5+'前提と出典'!$C$37*'契約別単価'!C6+'前提と出典'!$C$38*'契約別単価'!C7)</ns0:f>
        <ns0:v>7159.553072625698</ns0:v>
      </ns0:c>
      <ns0:c r="E999" s="16">
        <ns0:f>A999*('前提と出典'!$C$36*'契約別単価'!E5+'前提と出典'!$C$37*'契約別単価'!E6+'前提と出典'!$C$38*'契約別単価'!E7)</ns0:f>
        <ns0:v>1925269.9334487042</ns0:v>
      </ns0:c>
      <ns0:c r="F999" s="16">
        <ns0:f>A999*('前提と出典'!$C$36*'契約別単価'!F5+'前提と出典'!$C$37*'契約別単価'!F6+'前提と出典'!$C$38*'契約別単価'!F7)</ns0:f>
        <ns0:v>755598.5023054855</ns0:v>
      </ns0:c>
      <ns0:c r="G999" s="16">
        <ns0:f>A999*('前提と出典'!$C$36*'契約別単価'!G5+'前提と出典'!$C$37*'契約別単価'!G6+'前提と出典'!$C$38*'契約別単価'!G7)</ns0:f>
        <ns0:v>1980550.279329609</ns0:v>
      </ns0:c>
      <ns0:c r="H999" s="16">
        <ns0:f>A999*('前提と出典'!$C$36*'契約別単価'!H5+'前提と出典'!$C$37*'契約別単価'!H6+'前提と出典'!$C$38*'契約別単価'!H7)</ns0:f>
        <ns0:v>687350.2793296088</ns0:v>
      </ns0:c>
      <ns0:c r="I999" s="16">
        <ns0:f>A999*('前提と出典'!$C$36*'契約別単価'!I5+'前提と出典'!$C$37*'契約別単価'!I6+'前提と出典'!$C$38*'契約別単価'!I7)</ns0:f>
        <ns0:v>41984.55307262569</ns0:v>
      </ns0:c>
      <ns0:c r="J999" s="16">
        <ns0:f>A999*('前提と出典'!$C$36*'契約別単価'!J5+'前提と出典'!$C$37*'契約別単価'!J6+'前提と出典'!$C$38*'契約別単価'!J7)</ns0:f>
        <ns0:v>97798.09599175105</ns0:v>
      </ns0:c>
      <ns0:c r="K999" s="16">
        <ns0:f>A999*('前提と出典'!$C$36*'契約別単価'!K5+'前提と出典'!$C$37*'契約別単価'!K6+'前提と出典'!$C$38*'契約別単価'!K7)</ns0:f>
        <ns0:v>419197.0204841713</ns0:v>
      </ns0:c>
      <ns0:c r="L999" s="16">
        <ns0:f>A999*('前提と出典'!$C$36*'契約別単価'!L5+'前提と出典'!$C$37*'契約別単価'!L6+'前提と出典'!$C$38*'契約別単価'!L7)</ns0:f>
        <ns0:v>341311.6759776536</ns0:v>
      </ns0:c>
      <ns0:c r="M999" s="16">
        <ns0:f>IF(('前提と出典'!$C$36+'前提と出典'!$C$38)=0,0,IF(B999&lt;=10,'前提と出典'!B73+'前提と出典'!C73,IF(B999&lt;=100,'前提と出典'!B74+'前提と出典'!C74,IF(B999&lt;=500,'前提と出典'!B75+'前提と出典'!C75,'前提と出典'!B76+'前提と出典'!C76))))</ns0:f>
        <ns0:v>80000</ns0:v>
      </ns0:c>
      <ns0:c r="N999" s="16">
        <ns0:f>IF(('前提と出典'!$C$37+'前提と出典'!$C$38)=0,0,IF(C999&lt;=10,'前提と出典'!D73+'前提と出典'!E73,IF(C999&lt;=100,'前提と出典'!D74+'前提と出典'!E74,IF(C999&lt;=500,'前提と出典'!D75+'前提と出典'!E75,'前提と出典'!D76+'前提と出典'!E76))))</ns0:f>
        <ns0:v>86510.9346263078</ns0:v>
      </ns0:c>
      <ns0:c r="O999" s="16">
        <ns0:f>IF('前提と出典'!$C$36+'前提と出典'!$C$38=0,0,'前提と出典'!$B$4*IF('前提と出典'!$B$20=0,MAX('前提と出典'!$B$6,D999*'前提と出典'!$B$5),'前提と出典'!$B$6+D999*'前提と出典'!$B$5))</ns0:f>
        <ns0:v>988018.3240223464</ns0:v>
      </ns0:c>
      <ns0:c r="P999" s="16">
        <ns0:f>(E999+G999)*(1-'前提と出典'!$B$7)-I999-K999-M999-O999</ns0:f>
        <ns0:v>2236010.7875391506</ns0:v>
      </ns0:c>
      <ns0:c r="Q999" s="16">
        <ns0:f>(F999+H999)*(1-'前提と出典'!$B$7)-J999-L999-N999</ns0:f>
        <ns0:v>865381.9189005187</ns0:v>
      </ns0:c>
      <ns0:c r="R999" s="16">
        <ns0:f>P999-E999*'前提と出典'!$E$4</ns0:f>
        <ns0:v>1658429.8075045391</ns0:v>
      </ns0:c>
      <ns0:c r="S999" s="16">
        <ns0:f>Q999-F999*'前提と出典'!$E$4</ns0:f>
        <ns0:v>638702.3682088731</ns0:v>
      </ns0:c>
      <ns0:c r="T999" s="7">
        <ns0:f>R999+S999</ns0:f>
        <ns0:v>2297132.1757134125</ns0:v>
      </ns0:c>
      <ns0:c r="U999" s="16">
        <ns0:f>P999-E999*'前提と出典'!$E$5</ns0:f>
        <ns0:v>1465902.8141596687</ns0:v>
      </ns0:c>
      <ns0:c r="V999" s="16">
        <ns0:f>Q999-F999*'前提と出典'!$E$5</ns0:f>
        <ns0:v>563142.5179783244</ns0:v>
      </ns0:c>
      <ns0:c r="W999" s="7">
        <ns0:f>U999+V999</ns0:f>
        <ns0:v>2029045.332137993</ns0:v>
      </ns0:c>
      <ns0:c r="X999" s="16">
        <ns0:f>P999-E999*'前提と出典'!$E$6</ns0:f>
        <ns0:v>1273375.8208147984</ns0:v>
      </ns0:c>
      <ns0:c r="Y999" s="16">
        <ns0:f>Q999-F999*'前提と出典'!$E$6</ns0:f>
        <ns0:v>487582.6677477759</ns0:v>
      </ns0:c>
      <ns0:c r="Z999" s="7">
        <ns0:f>X999+Y999</ns0:f>
        <ns0:v>1760958.4885625741</ns0:v>
      </ns0:c>
      <ns0:c r="AA999" s="7">
        <ns0:f>IF(T999&gt;=0,A999,1001)</ns0:f>
        <ns0:v>995</ns0:v>
      </ns0:c>
      <ns0:c r="AB999" s="7">
        <ns0:f>IF(T999&lt;0,A999,0)</ns0:f>
        <ns0:v>0</ns0:v>
      </ns0:c>
      <ns0:c r="AC999" s="16">
        <ns0:f>IF(AND(OR('前提と出典'!$C$36+'前提と出典'!$C$38=0,R999&gt;=0),OR('前提と出典'!$C$37+'前提と出典'!$C$38=0,S999&gt;=0)),0,A999)</ns0:f>
        <ns0:v>0</ns0:v>
      </ns0:c>
      <ns0:c r="AD999" s="7">
        <ns0:f>IF(W999&gt;=0,A999,1001)</ns0:f>
        <ns0:v>995</ns0:v>
      </ns0:c>
      <ns0:c r="AE999" s="7">
        <ns0:f>IF(W999&lt;0,A999,0)</ns0:f>
        <ns0:v>0</ns0:v>
      </ns0:c>
      <ns0:c r="AF999" s="16">
        <ns0:f>IF(AND(OR('前提と出典'!$C$36+'前提と出典'!$C$38=0,U999&gt;=0),OR('前提と出典'!$C$37+'前提と出典'!$C$38=0,V999&gt;=0)),0,A999)</ns0:f>
        <ns0:v>0</ns0:v>
      </ns0:c>
      <ns0:c r="AG999" s="7">
        <ns0:f>IF(Z999&gt;=0,A999,1001)</ns0:f>
        <ns0:v>995</ns0:v>
      </ns0:c>
      <ns0:c r="AH999" s="4">
        <ns0:f>IF(Z999&lt;0,A999,0)</ns0:f>
        <ns0:v>0</ns0:v>
      </ns0:c>
      <ns0:c r="AI999" s="12">
        <ns0:f>IF(AND(OR('前提と出典'!$C$36+'前提と出典'!$C$38=0,X999&gt;=0),OR('前提と出典'!$C$37+'前提と出典'!$C$38=0,Y999&gt;=0)),0,A999)</ns0:f>
        <ns0:v>0</ns0:v>
      </ns0:c>
    </ns0:row>
    <ns0:row r="1000" ht="24" customHeight="1">
      <ns0:c r="A1000" s="4" t="n">
        <ns0:v>996</ns0:v>
      </ns0:c>
      <ns0:c r="B1000" s="12">
        <ns0:f>A1000*('前提と出典'!$C$36+'前提と出典'!$C$38)</ns0:f>
        <ns0:v>697.1999999999999</ns0:v>
      </ns0:c>
      <ns0:c r="C1000" s="12">
        <ns0:f>A1000*('前提と出典'!$C$37+'前提と出典'!$C$38)</ns0:f>
        <ns0:v>597.6</ns0:v>
      </ns0:c>
      <ns0:c r="D1000" s="16">
        <ns0:f>A1000*('前提と出典'!$C$36*'契約別単価'!C5+'前提と出典'!$C$37*'契約別単価'!C6+'前提と出典'!$C$38*'契約別単価'!C7)</ns0:f>
        <ns0:v>7166.748603351955</ns0:v>
      </ns0:c>
      <ns0:c r="E1000" s="16">
        <ns0:f>A1000*('前提と出典'!$C$36*'契約別単価'!E5+'前提と出典'!$C$37*'契約別単価'!E6+'前提と出典'!$C$38*'契約別単価'!E7)</ns0:f>
        <ns0:v>1927204.8781054365</ns0:v>
      </ns0:c>
      <ns0:c r="F1000" s="16">
        <ns0:f>A1000*('前提と出典'!$C$36*'契約別単価'!F5+'前提と出典'!$C$37*'契約別単価'!F6+'前提と出典'!$C$38*'契約別単価'!F7)</ns0:f>
        <ns0:v>756357.8977851896</ns0:v>
      </ns0:c>
      <ns0:c r="G1000" s="16">
        <ns0:f>A1000*('前提と出典'!$C$36*'契約別単価'!G5+'前提と出典'!$C$37*'契約別単価'!G6+'前提と出典'!$C$38*'契約別単価'!G7)</ns0:f>
        <ns0:v>1982540.782122905</ns0:v>
      </ns0:c>
      <ns0:c r="H1000" s="16">
        <ns0:f>A1000*('前提と出典'!$C$36*'契約別単価'!H5+'前提と出典'!$C$37*'契約別単価'!H6+'前提と出典'!$C$38*'契約別単価'!H7)</ns0:f>
        <ns0:v>688041.0836304426</ns0:v>
      </ns0:c>
      <ns0:c r="I1000" s="16">
        <ns0:f>A1000*('前提と出典'!$C$36*'契約別単価'!I5+'前提と出典'!$C$37*'契約別単価'!I6+'前提と出典'!$C$38*'契約別単価'!I7)</ns0:f>
        <ns0:v>42026.748603351945</ns0:v>
      </ns0:c>
      <ns0:c r="J1000" s="16">
        <ns0:f>A1000*('前提と出典'!$C$36*'契約別単価'!J5+'前提と出典'!$C$37*'契約別単価'!J6+'前提と出典'!$C$38*'契約別単価'!J7)</ns0:f>
        <ns0:v>97896.38553546136</ns0:v>
      </ns0:c>
      <ns0:c r="K1000" s="16">
        <ns0:f>A1000*('前提と出典'!$C$36*'契約別単価'!K5+'前提と出典'!$C$37*'契約別単価'!K6+'前提と出典'!$C$38*'契約別単価'!K7)</ns0:f>
        <ns0:v>419618.32402234635</ns0:v>
      </ns0:c>
      <ns0:c r="L1000" s="16">
        <ns0:f>A1000*('前提と出典'!$C$36*'契約別単価'!L5+'前提と出典'!$C$37*'契約別単価'!L6+'前提と出典'!$C$38*'契約別単価'!L7)</ns0:f>
        <ns0:v>341654.7027876814</ns0:v>
      </ns0:c>
      <ns0:c r="M1000" s="16">
        <ns0:f>IF(('前提と出典'!$C$36+'前提と出典'!$C$38)=0,0,IF(B1000&lt;=10,'前提と出典'!B73+'前提と出典'!C73,IF(B1000&lt;=100,'前提と出典'!B74+'前提と出典'!C74,IF(B1000&lt;=500,'前提と出典'!B75+'前提と出典'!C75,'前提と出典'!B76+'前提と出典'!C76))))</ns0:f>
        <ns0:v>80000</ns0:v>
      </ns0:c>
      <ns0:c r="N1000" s="16">
        <ns0:f>IF(('前提と出典'!$C$37+'前提と出典'!$C$38)=0,0,IF(C1000&lt;=10,'前提と出典'!D73+'前提と出典'!E73,IF(C1000&lt;=100,'前提と出典'!D74+'前提と出典'!E74,IF(C1000&lt;=500,'前提と出典'!D75+'前提と出典'!E75,'前提と出典'!D76+'前提と出典'!E76))))</ns0:f>
        <ns0:v>86510.9346263078</ns0:v>
      </ns0:c>
      <ns0:c r="O1000" s="16">
        <ns0:f>IF('前提と出典'!$C$36+'前提と出典'!$C$38=0,0,'前提と出典'!$B$4*IF('前提と出典'!$B$20=0,MAX('前提と出典'!$B$6,D1000*'前提と出典'!$B$5),'前提と出典'!$B$6+D1000*'前提と出典'!$B$5))</ns0:f>
        <ns0:v>989011.3072625699</ns0:v>
      </ns0:c>
      <ns0:c r="P1000" s="16">
        <ns0:f>(E1000+G1000)*(1-'前提と出典'!$B$7)-I1000-K1000-M1000-O1000</ns0:f>
        <ns0:v>2238338.4365718532</ns0:v>
      </ns0:c>
      <ns0:c r="Q1000" s="16">
        <ns0:f>(F1000+H1000)*(1-'前提と出典'!$B$7)-J1000-L1000-N1000</ns0:f>
        <ns0:v>866338.5951352187</ns0:v>
      </ns0:c>
      <ns0:c r="R1000" s="16">
        <ns0:f>P1000-E1000*'前提と出典'!$E$4</ns0:f>
        <ns0:v>1660176.9731402223</ns0:v>
      </ns0:c>
      <ns0:c r="S1000" s="16">
        <ns0:f>Q1000-F1000*'前提と出典'!$E$4</ns0:f>
        <ns0:v>639431.2257996618</ns0:v>
      </ns0:c>
      <ns0:c r="T1000" s="7">
        <ns0:f>R1000+S1000</ns0:f>
        <ns0:v>2299608.198939884</ns0:v>
      </ns0:c>
      <ns0:c r="U1000" s="16">
        <ns0:f>P1000-E1000*'前提と出典'!$E$5</ns0:f>
        <ns0:v>1467456.4853296785</ns0:v>
      </ns0:c>
      <ns0:c r="V1000" s="16">
        <ns0:f>Q1000-F1000*'前提と出典'!$E$5</ns0:f>
        <ns0:v>563795.4360211429</ns0:v>
      </ns0:c>
      <ns0:c r="W1000" s="7">
        <ns0:f>U1000+V1000</ns0:f>
        <ns0:v>2031251.9213508214</ns0:v>
      </ns0:c>
      <ns0:c r="X1000" s="16">
        <ns0:f>P1000-E1000*'前提と出典'!$E$6</ns0:f>
        <ns0:v>1274735.9975191348</ns0:v>
      </ns0:c>
      <ns0:c r="Y1000" s="16">
        <ns0:f>Q1000-F1000*'前提と出典'!$E$6</ns0:f>
        <ns0:v>488159.64624262415</ns0:v>
      </ns0:c>
      <ns0:c r="Z1000" s="7">
        <ns0:f>X1000+Y1000</ns0:f>
        <ns0:v>1762895.643761759</ns0:v>
      </ns0:c>
      <ns0:c r="AA1000" s="7">
        <ns0:f>IF(T1000&gt;=0,A1000,1001)</ns0:f>
        <ns0:v>996</ns0:v>
      </ns0:c>
      <ns0:c r="AB1000" s="7">
        <ns0:f>IF(T1000&lt;0,A1000,0)</ns0:f>
        <ns0:v>0</ns0:v>
      </ns0:c>
      <ns0:c r="AC1000" s="16">
        <ns0:f>IF(AND(OR('前提と出典'!$C$36+'前提と出典'!$C$38=0,R1000&gt;=0),OR('前提と出典'!$C$37+'前提と出典'!$C$38=0,S1000&gt;=0)),0,A1000)</ns0:f>
        <ns0:v>0</ns0:v>
      </ns0:c>
      <ns0:c r="AD1000" s="7">
        <ns0:f>IF(W1000&gt;=0,A1000,1001)</ns0:f>
        <ns0:v>996</ns0:v>
      </ns0:c>
      <ns0:c r="AE1000" s="7">
        <ns0:f>IF(W1000&lt;0,A1000,0)</ns0:f>
        <ns0:v>0</ns0:v>
      </ns0:c>
      <ns0:c r="AF1000" s="16">
        <ns0:f>IF(AND(OR('前提と出典'!$C$36+'前提と出典'!$C$38=0,U1000&gt;=0),OR('前提と出典'!$C$37+'前提と出典'!$C$38=0,V1000&gt;=0)),0,A1000)</ns0:f>
        <ns0:v>0</ns0:v>
      </ns0:c>
      <ns0:c r="AG1000" s="7">
        <ns0:f>IF(Z1000&gt;=0,A1000,1001)</ns0:f>
        <ns0:v>996</ns0:v>
      </ns0:c>
      <ns0:c r="AH1000" s="4">
        <ns0:f>IF(Z1000&lt;0,A1000,0)</ns0:f>
        <ns0:v>0</ns0:v>
      </ns0:c>
      <ns0:c r="AI1000" s="12">
        <ns0:f>IF(AND(OR('前提と出典'!$C$36+'前提と出典'!$C$38=0,X1000&gt;=0),OR('前提と出典'!$C$37+'前提と出典'!$C$38=0,Y1000&gt;=0)),0,A1000)</ns0:f>
        <ns0:v>0</ns0:v>
      </ns0:c>
    </ns0:row>
    <ns0:row r="1001" ht="24" customHeight="1">
      <ns0:c r="A1001" s="4" t="n">
        <ns0:v>997</ns0:v>
      </ns0:c>
      <ns0:c r="B1001" s="12">
        <ns0:f>A1001*('前提と出典'!$C$36+'前提と出典'!$C$38)</ns0:f>
        <ns0:v>697.9</ns0:v>
      </ns0:c>
      <ns0:c r="C1001" s="12">
        <ns0:f>A1001*('前提と出典'!$C$37+'前提と出典'!$C$38)</ns0:f>
        <ns0:v>598.1999999999999</ns0:v>
      </ns0:c>
      <ns0:c r="D1001" s="16">
        <ns0:f>A1001*('前提と出典'!$C$36*'契約別単価'!C5+'前提と出典'!$C$37*'契約別単価'!C6+'前提と出典'!$C$38*'契約別単価'!C7)</ns0:f>
        <ns0:v>7173.944134078212</ns0:v>
      </ns0:c>
      <ns0:c r="E1001" s="16">
        <ns0:f>A1001*('前提と出典'!$C$36*'契約別単価'!E5+'前提と出典'!$C$37*'契約別単価'!E6+'前提と出典'!$C$38*'契約別単価'!E7)</ns0:f>
        <ns0:v>1929139.822762169</ns0:v>
      </ns0:c>
      <ns0:c r="F1001" s="16">
        <ns0:f>A1001*('前提と出典'!$C$36*'契約別単価'!F5+'前提と出典'!$C$37*'契約別単価'!F6+'前提と出典'!$C$38*'契約別単価'!F7)</ns0:f>
        <ns0:v>757117.2932648935</ns0:v>
      </ns0:c>
      <ns0:c r="G1001" s="16">
        <ns0:f>A1001*('前提と出典'!$C$36*'契約別単価'!G5+'前提と出典'!$C$37*'契約別単価'!G6+'前提と出典'!$C$38*'契約別単価'!G7)</ns0:f>
        <ns0:v>1984531.2849162011</ns0:v>
      </ns0:c>
      <ns0:c r="H1001" s="16">
        <ns0:f>A1001*('前提と出典'!$C$36*'契約別単価'!H5+'前提と出典'!$C$37*'契約別単価'!H6+'前提と出典'!$C$38*'契約別単価'!H7)</ns0:f>
        <ns0:v>688731.8879312763</ns0:v>
      </ns0:c>
      <ns0:c r="I1001" s="16">
        <ns0:f>A1001*('前提と出典'!$C$36*'契約別単価'!I5+'前提と出典'!$C$37*'契約別単価'!I6+'前提と出典'!$C$38*'契約別単価'!I7)</ns0:f>
        <ns0:v>42068.94413407821</ns0:v>
      </ns0:c>
      <ns0:c r="J1001" s="16">
        <ns0:f>A1001*('前提と出典'!$C$36*'契約別単価'!J5+'前提と出典'!$C$37*'契約別単価'!J6+'前提と出典'!$C$38*'契約別単価'!J7)</ns0:f>
        <ns0:v>97994.67507917166</ns0:v>
      </ns0:c>
      <ns0:c r="K1001" s="16">
        <ns0:f>A1001*('前提と出典'!$C$36*'契約別単価'!K5+'前提と出典'!$C$37*'契約別単価'!K6+'前提と出典'!$C$38*'契約別単価'!K7)</ns0:f>
        <ns0:v>420039.62756052136</ns0:v>
      </ns0:c>
      <ns0:c r="L1001" s="16">
        <ns0:f>A1001*('前提と出典'!$C$36*'契約別単価'!L5+'前提と出典'!$C$37*'契約別単価'!L6+'前提と出典'!$C$38*'契約別単価'!L7)</ns0:f>
        <ns0:v>341997.7295977092</ns0:v>
      </ns0:c>
      <ns0:c r="M1001" s="16">
        <ns0:f>IF(('前提と出典'!$C$36+'前提と出典'!$C$38)=0,0,IF(B1001&lt;=10,'前提と出典'!B73+'前提と出典'!C73,IF(B1001&lt;=100,'前提と出典'!B74+'前提と出典'!C74,IF(B1001&lt;=500,'前提と出典'!B75+'前提と出典'!C75,'前提と出典'!B76+'前提と出典'!C76))))</ns0:f>
        <ns0:v>80000</ns0:v>
      </ns0:c>
      <ns0:c r="N1001" s="16">
        <ns0:f>IF(('前提と出典'!$C$37+'前提と出典'!$C$38)=0,0,IF(C1001&lt;=10,'前提と出典'!D73+'前提と出典'!E73,IF(C1001&lt;=100,'前提と出典'!D74+'前提と出典'!E74,IF(C1001&lt;=500,'前提と出典'!D75+'前提と出典'!E75,'前提と出典'!D76+'前提と出典'!E76))))</ns0:f>
        <ns0:v>86510.9346263078</ns0:v>
      </ns0:c>
      <ns0:c r="O1001" s="16">
        <ns0:f>IF('前提と出典'!$C$36+'前提と出典'!$C$38=0,0,'前提と出典'!$B$4*IF('前提と出典'!$B$20=0,MAX('前提と出典'!$B$6,D1001*'前提と出典'!$B$5),'前提と出典'!$B$6+D1001*'前提と出典'!$B$5))</ns0:f>
        <ns0:v>990004.2905027934</ns0:v>
      </ns0:c>
      <ns0:c r="P1001" s="16">
        <ns0:f>(E1001+G1001)*(1-'前提と出典'!$B$7)-I1001-K1001-M1001-O1001</ns0:f>
        <ns0:v>2240666.085604556</ns0:v>
      </ns0:c>
      <ns0:c r="Q1001" s="16">
        <ns0:f>(F1001+H1001)*(1-'前提と出典'!$B$7)-J1001-L1001-N1001</ns0:f>
        <ns0:v>867295.2713699191</ns0:v>
      </ns0:c>
      <ns0:c r="R1001" s="16">
        <ns0:f>P1001-E1001*'前提と出典'!$E$4</ns0:f>
        <ns0:v>1661924.1387759054</ns0:v>
      </ns0:c>
      <ns0:c r="S1001" s="16">
        <ns0:f>Q1001-F1001*'前提と出典'!$E$4</ns0:f>
        <ns0:v>640160.083390451</ns0:v>
      </ns0:c>
      <ns0:c r="T1001" s="7">
        <ns0:f>R1001+S1001</ns0:f>
        <ns0:v>2302084.2221663566</ns0:v>
      </ns0:c>
      <ns0:c r="U1001" s="16">
        <ns0:f>P1001-E1001*'前提と出典'!$E$5</ns0:f>
        <ns0:v>1469010.1564996883</ns0:v>
      </ns0:c>
      <ns0:c r="V1001" s="16">
        <ns0:f>Q1001-F1001*'前提と出典'!$E$5</ns0:f>
        <ns0:v>564448.3540639617</ns0:v>
      </ns0:c>
      <ns0:c r="W1001" s="7">
        <ns0:f>U1001+V1001</ns0:f>
        <ns0:v>2033458.51056365</ns0:v>
      </ns0:c>
      <ns0:c r="X1001" s="16">
        <ns0:f>P1001-E1001*'前提と出典'!$E$6</ns0:f>
        <ns0:v>1276096.1742234712</ns0:v>
      </ns0:c>
      <ns0:c r="Y1001" s="16">
        <ns0:f>Q1001-F1001*'前提と出典'!$E$6</ns0:f>
        <ns0:v>488736.6247374725</ns0:v>
      </ns0:c>
      <ns0:c r="Z1001" s="7">
        <ns0:f>X1001+Y1001</ns0:f>
        <ns0:v>1764832.7989609437</ns0:v>
      </ns0:c>
      <ns0:c r="AA1001" s="7">
        <ns0:f>IF(T1001&gt;=0,A1001,1001)</ns0:f>
        <ns0:v>997</ns0:v>
      </ns0:c>
      <ns0:c r="AB1001" s="7">
        <ns0:f>IF(T1001&lt;0,A1001,0)</ns0:f>
        <ns0:v>0</ns0:v>
      </ns0:c>
      <ns0:c r="AC1001" s="16">
        <ns0:f>IF(AND(OR('前提と出典'!$C$36+'前提と出典'!$C$38=0,R1001&gt;=0),OR('前提と出典'!$C$37+'前提と出典'!$C$38=0,S1001&gt;=0)),0,A1001)</ns0:f>
        <ns0:v>0</ns0:v>
      </ns0:c>
      <ns0:c r="AD1001" s="7">
        <ns0:f>IF(W1001&gt;=0,A1001,1001)</ns0:f>
        <ns0:v>997</ns0:v>
      </ns0:c>
      <ns0:c r="AE1001" s="7">
        <ns0:f>IF(W1001&lt;0,A1001,0)</ns0:f>
        <ns0:v>0</ns0:v>
      </ns0:c>
      <ns0:c r="AF1001" s="16">
        <ns0:f>IF(AND(OR('前提と出典'!$C$36+'前提と出典'!$C$38=0,U1001&gt;=0),OR('前提と出典'!$C$37+'前提と出典'!$C$38=0,V1001&gt;=0)),0,A1001)</ns0:f>
        <ns0:v>0</ns0:v>
      </ns0:c>
      <ns0:c r="AG1001" s="7">
        <ns0:f>IF(Z1001&gt;=0,A1001,1001)</ns0:f>
        <ns0:v>997</ns0:v>
      </ns0:c>
      <ns0:c r="AH1001" s="4">
        <ns0:f>IF(Z1001&lt;0,A1001,0)</ns0:f>
        <ns0:v>0</ns0:v>
      </ns0:c>
      <ns0:c r="AI1001" s="12">
        <ns0:f>IF(AND(OR('前提と出典'!$C$36+'前提と出典'!$C$38=0,X1001&gt;=0),OR('前提と出典'!$C$37+'前提と出典'!$C$38=0,Y1001&gt;=0)),0,A1001)</ns0:f>
        <ns0:v>0</ns0:v>
      </ns0:c>
    </ns0:row>
    <ns0:row r="1002" ht="24" customHeight="1">
      <ns0:c r="A1002" s="4" t="n">
        <ns0:v>998</ns0:v>
      </ns0:c>
      <ns0:c r="B1002" s="12">
        <ns0:f>A1002*('前提と出典'!$C$36+'前提と出典'!$C$38)</ns0:f>
        <ns0:v>698.5999999999999</ns0:v>
      </ns0:c>
      <ns0:c r="C1002" s="12">
        <ns0:f>A1002*('前提と出典'!$C$37+'前提と出典'!$C$38)</ns0:f>
        <ns0:v>598.8</ns0:v>
      </ns0:c>
      <ns0:c r="D1002" s="16">
        <ns0:f>A1002*('前提と出典'!$C$36*'契約別単価'!C5+'前提と出典'!$C$37*'契約別単価'!C6+'前提と出典'!$C$38*'契約別単価'!C7)</ns0:f>
        <ns0:v>7181.139664804469</ns0:v>
      </ns0:c>
      <ns0:c r="E1002" s="16">
        <ns0:f>A1002*('前提と出典'!$C$36*'契約別単価'!E5+'前提と出典'!$C$37*'契約別単価'!E6+'前提と出典'!$C$38*'契約別単価'!E7)</ns0:f>
        <ns0:v>1931074.7674189012</ns0:v>
      </ns0:c>
      <ns0:c r="F1002" s="16">
        <ns0:f>A1002*('前提と出典'!$C$36*'契約別単価'!F5+'前提と出典'!$C$37*'契約別単価'!F6+'前提と出典'!$C$38*'契約別単価'!F7)</ns0:f>
        <ns0:v>757876.6887445975</ns0:v>
      </ns0:c>
      <ns0:c r="G1002" s="16">
        <ns0:f>A1002*('前提と出典'!$C$36*'契約別単価'!G5+'前提と出典'!$C$37*'契約別単価'!G6+'前提と出典'!$C$38*'契約別単価'!G7)</ns0:f>
        <ns0:v>1986521.7877094971</ns0:v>
      </ns0:c>
      <ns0:c r="H1002" s="16">
        <ns0:f>A1002*('前提と出典'!$C$36*'契約別単価'!H5+'前提と出典'!$C$37*'契約別単価'!H6+'前提と出典'!$C$38*'契約別単価'!H7)</ns0:f>
        <ns0:v>689422.6922321102</ns0:v>
      </ns0:c>
      <ns0:c r="I1002" s="16">
        <ns0:f>A1002*('前提と出典'!$C$36*'契約別単価'!I5+'前提と出典'!$C$37*'契約別単価'!I6+'前提と出典'!$C$38*'契約別単価'!I7)</ns0:f>
        <ns0:v>42111.13966480446</ns0:v>
      </ns0:c>
      <ns0:c r="J1002" s="16">
        <ns0:f>A1002*('前提と出典'!$C$36*'契約別単価'!J5+'前提と出典'!$C$37*'契約別単価'!J6+'前提と出典'!$C$38*'契約別単価'!J7)</ns0:f>
        <ns0:v>98092.96462288196</ns0:v>
      </ns0:c>
      <ns0:c r="K1002" s="16">
        <ns0:f>A1002*('前提と出典'!$C$36*'契約別単価'!K5+'前提と出典'!$C$37*'契約別単価'!K6+'前提と出典'!$C$38*'契約別単価'!K7)</ns0:f>
        <ns0:v>420460.9310986964</ns0:v>
      </ns0:c>
      <ns0:c r="L1002" s="16">
        <ns0:f>A1002*('前提と出典'!$C$36*'契約別単価'!L5+'前提と出典'!$C$37*'契約別単価'!L6+'前提と出典'!$C$38*'契約別単価'!L7)</ns0:f>
        <ns0:v>342340.756407737</ns0:v>
      </ns0:c>
      <ns0:c r="M1002" s="16">
        <ns0:f>IF(('前提と出典'!$C$36+'前提と出典'!$C$38)=0,0,IF(B1002&lt;=10,'前提と出典'!B73+'前提と出典'!C73,IF(B1002&lt;=100,'前提と出典'!B74+'前提と出典'!C74,IF(B1002&lt;=500,'前提と出典'!B75+'前提と出典'!C75,'前提と出典'!B76+'前提と出典'!C76))))</ns0:f>
        <ns0:v>80000</ns0:v>
      </ns0:c>
      <ns0:c r="N1002" s="16">
        <ns0:f>IF(('前提と出典'!$C$37+'前提と出典'!$C$38)=0,0,IF(C1002&lt;=10,'前提と出典'!D73+'前提と出典'!E73,IF(C1002&lt;=100,'前提と出典'!D74+'前提と出典'!E74,IF(C1002&lt;=500,'前提と出典'!D75+'前提と出典'!E75,'前提と出典'!D76+'前提と出典'!E76))))</ns0:f>
        <ns0:v>86510.9346263078</ns0:v>
      </ns0:c>
      <ns0:c r="O1002" s="16">
        <ns0:f>IF('前提と出典'!$C$36+'前提と出典'!$C$38=0,0,'前提と出典'!$B$4*IF('前提と出典'!$B$20=0,MAX('前提と出典'!$B$6,D1002*'前提と出典'!$B$5),'前提と出典'!$B$6+D1002*'前提と出典'!$B$5))</ns0:f>
        <ns0:v>990997.2737430168</ns0:v>
      </ns0:c>
      <ns0:c r="P1002" s="16">
        <ns0:f>(E1002+G1002)*(1-'前提と出典'!$B$7)-I1002-K1002-M1002-O1002</ns0:f>
        <ns0:v>2242993.7346372586</ns0:v>
      </ns0:c>
      <ns0:c r="Q1002" s="16">
        <ns0:f>(F1002+H1002)*(1-'前提と出典'!$B$7)-J1002-L1002-N1002</ns0:f>
        <ns0:v>868251.9476046194</ns0:v>
      </ns0:c>
      <ns0:c r="R1002" s="16">
        <ns0:f>P1002-E1002*'前提と出典'!$E$4</ns0:f>
        <ns0:v>1663671.3044115882</ns0:v>
      </ns0:c>
      <ns0:c r="S1002" s="16">
        <ns0:f>Q1002-F1002*'前提と出典'!$E$4</ns0:f>
        <ns0:v>640888.9409812402</ns0:v>
      </ns0:c>
      <ns0:c r="T1002" s="7">
        <ns0:f>R1002+S1002</ns0:f>
        <ns0:v>2304560.2453928282</ns0:v>
      </ns0:c>
      <ns0:c r="U1002" s="16">
        <ns0:f>P1002-E1002*'前提と出典'!$E$5</ns0:f>
        <ns0:v>1470563.8276696978</ns0:v>
      </ns0:c>
      <ns0:c r="V1002" s="16">
        <ns0:f>Q1002-F1002*'前提と出典'!$E$5</ns0:f>
        <ns0:v>565101.2721067804</ns0:v>
      </ns0:c>
      <ns0:c r="W1002" s="7">
        <ns0:f>U1002+V1002</ns0:f>
        <ns0:v>2035665.0997764783</ns0:v>
      </ns0:c>
      <ns0:c r="X1002" s="16">
        <ns0:f>P1002-E1002*'前提と出典'!$E$6</ns0:f>
        <ns0:v>1277456.3509278079</ns0:v>
      </ns0:c>
      <ns0:c r="Y1002" s="16">
        <ns0:f>Q1002-F1002*'前提と出典'!$E$6</ns0:f>
        <ns0:v>489313.60323232063</ns0:v>
      </ns0:c>
      <ns0:c r="Z1002" s="7">
        <ns0:f>X1002+Y1002</ns0:f>
        <ns0:v>1766769.9541601285</ns0:v>
      </ns0:c>
      <ns0:c r="AA1002" s="7">
        <ns0:f>IF(T1002&gt;=0,A1002,1001)</ns0:f>
        <ns0:v>998</ns0:v>
      </ns0:c>
      <ns0:c r="AB1002" s="7">
        <ns0:f>IF(T1002&lt;0,A1002,0)</ns0:f>
        <ns0:v>0</ns0:v>
      </ns0:c>
      <ns0:c r="AC1002" s="16">
        <ns0:f>IF(AND(OR('前提と出典'!$C$36+'前提と出典'!$C$38=0,R1002&gt;=0),OR('前提と出典'!$C$37+'前提と出典'!$C$38=0,S1002&gt;=0)),0,A1002)</ns0:f>
        <ns0:v>0</ns0:v>
      </ns0:c>
      <ns0:c r="AD1002" s="7">
        <ns0:f>IF(W1002&gt;=0,A1002,1001)</ns0:f>
        <ns0:v>998</ns0:v>
      </ns0:c>
      <ns0:c r="AE1002" s="7">
        <ns0:f>IF(W1002&lt;0,A1002,0)</ns0:f>
        <ns0:v>0</ns0:v>
      </ns0:c>
      <ns0:c r="AF1002" s="16">
        <ns0:f>IF(AND(OR('前提と出典'!$C$36+'前提と出典'!$C$38=0,U1002&gt;=0),OR('前提と出典'!$C$37+'前提と出典'!$C$38=0,V1002&gt;=0)),0,A1002)</ns0:f>
        <ns0:v>0</ns0:v>
      </ns0:c>
      <ns0:c r="AG1002" s="7">
        <ns0:f>IF(Z1002&gt;=0,A1002,1001)</ns0:f>
        <ns0:v>998</ns0:v>
      </ns0:c>
      <ns0:c r="AH1002" s="4">
        <ns0:f>IF(Z1002&lt;0,A1002,0)</ns0:f>
        <ns0:v>0</ns0:v>
      </ns0:c>
      <ns0:c r="AI1002" s="12">
        <ns0:f>IF(AND(OR('前提と出典'!$C$36+'前提と出典'!$C$38=0,X1002&gt;=0),OR('前提と出典'!$C$37+'前提と出典'!$C$38=0,Y1002&gt;=0)),0,A1002)</ns0:f>
        <ns0:v>0</ns0:v>
      </ns0:c>
    </ns0:row>
    <ns0:row r="1003" ht="24" customHeight="1">
      <ns0:c r="A1003" s="4" t="n">
        <ns0:v>999</ns0:v>
      </ns0:c>
      <ns0:c r="B1003" s="12">
        <ns0:f>A1003*('前提と出典'!$C$36+'前提と出典'!$C$38)</ns0:f>
        <ns0:v>699.3</ns0:v>
      </ns0:c>
      <ns0:c r="C1003" s="12">
        <ns0:f>A1003*('前提と出典'!$C$37+'前提と出典'!$C$38)</ns0:f>
        <ns0:v>599.4</ns0:v>
      </ns0:c>
      <ns0:c r="D1003" s="16">
        <ns0:f>A1003*('前提と出典'!$C$36*'契約別単価'!C5+'前提と出典'!$C$37*'契約別単価'!C6+'前提と出典'!$C$38*'契約別単価'!C7)</ns0:f>
        <ns0:v>7188.335195530726</ns0:v>
      </ns0:c>
      <ns0:c r="E1003" s="16">
        <ns0:f>A1003*('前提と出典'!$C$36*'契約別単価'!E5+'前提と出典'!$C$37*'契約別単価'!E6+'前提と出典'!$C$38*'契約別単価'!E7)</ns0:f>
        <ns0:v>1933009.7120756337</ns0:v>
      </ns0:c>
      <ns0:c r="F1003" s="16">
        <ns0:f>A1003*('前提と出典'!$C$36*'契約別単価'!F5+'前提と出典'!$C$37*'契約別単価'!F6+'前提と出典'!$C$38*'契約別単価'!F7)</ns0:f>
        <ns0:v>758636.0842243015</ns0:v>
      </ns0:c>
      <ns0:c r="G1003" s="16">
        <ns0:f>A1003*('前提と出典'!$C$36*'契約別単価'!G5+'前提と出典'!$C$37*'契約別単価'!G6+'前提と出典'!$C$38*'契約別単価'!G7)</ns0:f>
        <ns0:v>1988512.2905027932</ns0:v>
      </ns0:c>
      <ns0:c r="H1003" s="16">
        <ns0:f>A1003*('前提と出典'!$C$36*'契約別単価'!H5+'前提と出典'!$C$37*'契約別単価'!H6+'前提と出典'!$C$38*'契約別単価'!H7)</ns0:f>
        <ns0:v>690113.4965329439</ns0:v>
      </ns0:c>
      <ns0:c r="I1003" s="16">
        <ns0:f>A1003*('前提と出典'!$C$36*'契約別単価'!I5+'前提と出典'!$C$37*'契約別単価'!I6+'前提と出典'!$C$38*'契約別単価'!I7)</ns0:f>
        <ns0:v>42153.33519553072</ns0:v>
      </ns0:c>
      <ns0:c r="J1003" s="16">
        <ns0:f>A1003*('前提と出典'!$C$36*'契約別単価'!J5+'前提と出典'!$C$37*'契約別単価'!J6+'前提と出典'!$C$38*'契約別単価'!J7)</ns0:f>
        <ns0:v>98191.25416659226</ns0:v>
      </ns0:c>
      <ns0:c r="K1003" s="16">
        <ns0:f>A1003*('前提と出典'!$C$36*'契約別単価'!K5+'前提と出典'!$C$37*'契約別単価'!K6+'前提と出典'!$C$38*'契約別単価'!K7)</ns0:f>
        <ns0:v>420882.2346368715</ns0:v>
      </ns0:c>
      <ns0:c r="L1003" s="16">
        <ns0:f>A1003*('前提と出典'!$C$36*'契約別単価'!L5+'前提と出典'!$C$37*'契約別単価'!L6+'前提と出典'!$C$38*'契約別単価'!L7)</ns0:f>
        <ns0:v>342683.7832177648</ns0:v>
      </ns0:c>
      <ns0:c r="M1003" s="16">
        <ns0:f>IF(('前提と出典'!$C$36+'前提と出典'!$C$38)=0,0,IF(B1003&lt;=10,'前提と出典'!B73+'前提と出典'!C73,IF(B1003&lt;=100,'前提と出典'!B74+'前提と出典'!C74,IF(B1003&lt;=500,'前提と出典'!B75+'前提と出典'!C75,'前提と出典'!B76+'前提と出典'!C76))))</ns0:f>
        <ns0:v>80000</ns0:v>
      </ns0:c>
      <ns0:c r="N1003" s="16">
        <ns0:f>IF(('前提と出典'!$C$37+'前提と出典'!$C$38)=0,0,IF(C1003&lt;=10,'前提と出典'!D73+'前提と出典'!E73,IF(C1003&lt;=100,'前提と出典'!D74+'前提と出典'!E74,IF(C1003&lt;=500,'前提と出典'!D75+'前提と出典'!E75,'前提と出典'!D76+'前提と出典'!E76))))</ns0:f>
        <ns0:v>86510.9346263078</ns0:v>
      </ns0:c>
      <ns0:c r="O1003" s="16">
        <ns0:f>IF('前提と出典'!$C$36+'前提と出典'!$C$38=0,0,'前提と出典'!$B$4*IF('前提と出典'!$B$20=0,MAX('前提と出典'!$B$6,D1003*'前提と出典'!$B$5),'前提と出典'!$B$6+D1003*'前提と出典'!$B$5))</ns0:f>
        <ns0:v>991990.2569832403</ns0:v>
      </ns0:c>
      <ns0:c r="P1003" s="16">
        <ns0:f>(E1003+G1003)*(1-'前提と出典'!$B$7)-I1003-K1003-M1003-O1003</ns0:f>
        <ns0:v>2245321.3836699612</ns0:v>
      </ns0:c>
      <ns0:c r="Q1003" s="16">
        <ns0:f>(F1003+H1003)*(1-'前提と出典'!$B$7)-J1003-L1003-N1003</ns0:f>
        <ns0:v>869208.6238393197</ns0:v>
      </ns0:c>
      <ns0:c r="R1003" s="16">
        <ns0:f>P1003-E1003*'前提と出典'!$E$4</ns0:f>
        <ns0:v>1665418.4700472709</ns0:v>
      </ns0:c>
      <ns0:c r="S1003" s="16">
        <ns0:f>Q1003-F1003*'前提と出典'!$E$4</ns0:f>
        <ns0:v>641617.7985720291</ns0:v>
      </ns0:c>
      <ns0:c r="T1003" s="7">
        <ns0:f>R1003+S1003</ns0:f>
        <ns0:v>2307036.2686193</ns0:v>
      </ns0:c>
      <ns0:c r="U1003" s="16">
        <ns0:f>P1003-E1003*'前提と出典'!$E$5</ns0:f>
        <ns0:v>1472117.4988397076</ns0:v>
      </ns0:c>
      <ns0:c r="V1003" s="16">
        <ns0:f>Q1003-F1003*'前提と出典'!$E$5</ns0:f>
        <ns0:v>565754.190149599</ns0:v>
      </ns0:c>
      <ns0:c r="W1003" s="7">
        <ns0:f>U1003+V1003</ns0:f>
        <ns0:v>2037871.6889893066</ns0:v>
      </ns0:c>
      <ns0:c r="X1003" s="16">
        <ns0:f>P1003-E1003*'前提と出典'!$E$6</ns0:f>
        <ns0:v>1278816.5276321443</ns0:v>
      </ns0:c>
      <ns0:c r="Y1003" s="16">
        <ns0:f>Q1003-F1003*'前提と出典'!$E$6</ns0:f>
        <ns0:v>489890.581727169</ns0:v>
      </ns0:c>
      <ns0:c r="Z1003" s="7">
        <ns0:f>X1003+Y1003</ns0:f>
        <ns0:v>1768707.1093593133</ns0:v>
      </ns0:c>
      <ns0:c r="AA1003" s="7">
        <ns0:f>IF(T1003&gt;=0,A1003,1001)</ns0:f>
        <ns0:v>999</ns0:v>
      </ns0:c>
      <ns0:c r="AB1003" s="7">
        <ns0:f>IF(T1003&lt;0,A1003,0)</ns0:f>
        <ns0:v>0</ns0:v>
      </ns0:c>
      <ns0:c r="AC1003" s="16">
        <ns0:f>IF(AND(OR('前提と出典'!$C$36+'前提と出典'!$C$38=0,R1003&gt;=0),OR('前提と出典'!$C$37+'前提と出典'!$C$38=0,S1003&gt;=0)),0,A1003)</ns0:f>
        <ns0:v>0</ns0:v>
      </ns0:c>
      <ns0:c r="AD1003" s="7">
        <ns0:f>IF(W1003&gt;=0,A1003,1001)</ns0:f>
        <ns0:v>999</ns0:v>
      </ns0:c>
      <ns0:c r="AE1003" s="7">
        <ns0:f>IF(W1003&lt;0,A1003,0)</ns0:f>
        <ns0:v>0</ns0:v>
      </ns0:c>
      <ns0:c r="AF1003" s="16">
        <ns0:f>IF(AND(OR('前提と出典'!$C$36+'前提と出典'!$C$38=0,U1003&gt;=0),OR('前提と出典'!$C$37+'前提と出典'!$C$38=0,V1003&gt;=0)),0,A1003)</ns0:f>
        <ns0:v>0</ns0:v>
      </ns0:c>
      <ns0:c r="AG1003" s="7">
        <ns0:f>IF(Z1003&gt;=0,A1003,1001)</ns0:f>
        <ns0:v>999</ns0:v>
      </ns0:c>
      <ns0:c r="AH1003" s="4">
        <ns0:f>IF(Z1003&lt;0,A1003,0)</ns0:f>
        <ns0:v>0</ns0:v>
      </ns0:c>
      <ns0:c r="AI1003" s="12">
        <ns0:f>IF(AND(OR('前提と出典'!$C$36+'前提と出典'!$C$38=0,X1003&gt;=0),OR('前提と出典'!$C$37+'前提と出典'!$C$38=0,Y1003&gt;=0)),0,A1003)</ns0:f>
        <ns0:v>0</ns0:v>
      </ns0:c>
    </ns0:row>
    <ns0:row r="1004" ht="24" customHeight="1">
      <ns0:c r="A1004" s="4" t="n">
        <ns0:v>1000</ns0:v>
      </ns0:c>
      <ns0:c r="B1004" s="12">
        <ns0:f>A1004*('前提と出典'!$C$36+'前提と出典'!$C$38)</ns0:f>
        <ns0:v>700</ns0:v>
      </ns0:c>
      <ns0:c r="C1004" s="12">
        <ns0:f>A1004*('前提と出典'!$C$37+'前提と出典'!$C$38)</ns0:f>
        <ns0:v>600</ns0:v>
      </ns0:c>
      <ns0:c r="D1004" s="16">
        <ns0:f>A1004*('前提と出典'!$C$36*'契約別単価'!C5+'前提と出典'!$C$37*'契約別単価'!C6+'前提と出典'!$C$38*'契約別単価'!C7)</ns0:f>
        <ns0:v>7195.530726256983</ns0:v>
      </ns0:c>
      <ns0:c r="E1004" s="16">
        <ns0:f>A1004*('前提と出典'!$C$36*'契約別単価'!E5+'前提と出典'!$C$37*'契約別単価'!E6+'前提と出典'!$C$38*'契約別単価'!E7)</ns0:f>
        <ns0:v>1934944.656732366</ns0:v>
      </ns0:c>
      <ns0:c r="F1004" s="16">
        <ns0:f>A1004*('前提と出典'!$C$36*'契約別単価'!F5+'前提と出典'!$C$37*'契約別単価'!F6+'前提と出典'!$C$38*'契約別単価'!F7)</ns0:f>
        <ns0:v>759395.4797040055</ns0:v>
      </ns0:c>
      <ns0:c r="G1004" s="16">
        <ns0:f>A1004*('前提と出典'!$C$36*'契約別単価'!G5+'前提と出典'!$C$37*'契約別単価'!G6+'前提と出典'!$C$38*'契約別単価'!G7)</ns0:f>
        <ns0:v>1990502.7932960894</ns0:v>
      </ns0:c>
      <ns0:c r="H1004" s="16">
        <ns0:f>A1004*('前提と出典'!$C$36*'契約別単価'!H5+'前提と出典'!$C$37*'契約別単価'!H6+'前提と出典'!$C$38*'契約別単価'!H7)</ns0:f>
        <ns0:v>690804.3008337776</ns0:v>
      </ns0:c>
      <ns0:c r="I1004" s="16">
        <ns0:f>A1004*('前提と出典'!$C$36*'契約別単価'!I5+'前提と出典'!$C$37*'契約別単価'!I6+'前提と出典'!$C$38*'契約別単価'!I7)</ns0:f>
        <ns0:v>42195.53072625698</ns0:v>
      </ns0:c>
      <ns0:c r="J1004" s="16">
        <ns0:f>A1004*('前提と出典'!$C$36*'契約別単価'!J5+'前提と出典'!$C$37*'契約別単価'!J6+'前提と出典'!$C$38*'契約別単価'!J7)</ns0:f>
        <ns0:v>98289.54371030256</ns0:v>
      </ns0:c>
      <ns0:c r="K1004" s="16">
        <ns0:f>A1004*('前提と出典'!$C$36*'契約別単価'!K5+'前提と出典'!$C$37*'契約別単価'!K6+'前提と出典'!$C$38*'契約別単価'!K7)</ns0:f>
        <ns0:v>421303.5381750465</ns0:v>
      </ns0:c>
      <ns0:c r="L1004" s="16">
        <ns0:f>A1004*('前提と出典'!$C$36*'契約別単価'!L5+'前提と出典'!$C$37*'契約別単価'!L6+'前提と出典'!$C$38*'契約別単価'!L7)</ns0:f>
        <ns0:v>343026.8100277926</ns0:v>
      </ns0:c>
      <ns0:c r="M1004" s="16">
        <ns0:f>IF(('前提と出典'!$C$36+'前提と出典'!$C$38)=0,0,IF(B1004&lt;=10,'前提と出典'!B73+'前提と出典'!C73,IF(B1004&lt;=100,'前提と出典'!B74+'前提と出典'!C74,IF(B1004&lt;=500,'前提と出典'!B75+'前提と出典'!C75,'前提と出典'!B76+'前提と出典'!C76))))</ns0:f>
        <ns0:v>80000</ns0:v>
      </ns0:c>
      <ns0:c r="N1004" s="16">
        <ns0:f>IF(('前提と出典'!$C$37+'前提と出典'!$C$38)=0,0,IF(C1004&lt;=10,'前提と出典'!D73+'前提と出典'!E73,IF(C1004&lt;=100,'前提と出典'!D74+'前提と出典'!E74,IF(C1004&lt;=500,'前提と出典'!D75+'前提と出典'!E75,'前提と出典'!D76+'前提と出典'!E76))))</ns0:f>
        <ns0:v>86510.9346263078</ns0:v>
      </ns0:c>
      <ns0:c r="O1004" s="16">
        <ns0:f>IF('前提と出典'!$C$36+'前提と出典'!$C$38=0,0,'前提と出典'!$B$4*IF('前提と出典'!$B$20=0,MAX('前提と出典'!$B$6,D1004*'前提と出典'!$B$5),'前提と出典'!$B$6+D1004*'前提と出典'!$B$5))</ns0:f>
        <ns0:v>992983.2402234637</ns0:v>
      </ns0:c>
      <ns0:c r="P1004" s="16">
        <ns0:f>(E1004+G1004)*(1-'前提と出典'!$B$7)-I1004-K1004-M1004-O1004</ns0:f>
        <ns0:v>2247649.032702664</ns0:v>
      </ns0:c>
      <ns0:c r="Q1004" s="16">
        <ns0:f>(F1004+H1004)*(1-'前提と出典'!$B$7)-J1004-L1004-N1004</ns0:f>
        <ns0:v>870165.3000740199</ns0:v>
      </ns0:c>
      <ns0:c r="R1004" s="16">
        <ns0:f>P1004-E1004*'前提と出典'!$E$4</ns0:f>
        <ns0:v>1667165.635682954</ns0:v>
      </ns0:c>
      <ns0:c r="S1004" s="16">
        <ns0:f>Q1004-F1004*'前提と出典'!$E$4</ns0:f>
        <ns0:v>642346.6561628182</ns0:v>
      </ns0:c>
      <ns0:c r="T1004" s="7">
        <ns0:f>R1004+S1004</ns0:f>
        <ns0:v>2309512.2918457724</ns0:v>
      </ns0:c>
      <ns0:c r="U1004" s="16">
        <ns0:f>P1004-E1004*'前提と出典'!$E$5</ns0:f>
        <ns0:v>1473671.1700097173</ns0:v>
      </ns0:c>
      <ns0:c r="V1004" s="16">
        <ns0:f>Q1004-F1004*'前提と出典'!$E$5</ns0:f>
        <ns0:v>566407.1081924178</ns0:v>
      </ns0:c>
      <ns0:c r="W1004" s="7">
        <ns0:f>U1004+V1004</ns0:f>
        <ns0:v>2040078.278202135</ns0:v>
      </ns0:c>
      <ns0:c r="X1004" s="16">
        <ns0:f>P1004-E1004*'前提と出典'!$E$6</ns0:f>
        <ns0:v>1280176.7043364807</ns0:v>
      </ns0:c>
      <ns0:c r="Y1004" s="16">
        <ns0:f>Q1004-F1004*'前提と出典'!$E$6</ns0:f>
        <ns0:v>490467.56022201723</ns0:v>
      </ns0:c>
      <ns0:c r="Z1004" s="7">
        <ns0:f>X1004+Y1004</ns0:f>
        <ns0:v>1770644.2645584978</ns0:v>
      </ns0:c>
      <ns0:c r="AA1004" s="7">
        <ns0:f>IF(T1004&gt;=0,A1004,1001)</ns0:f>
        <ns0:v>1000</ns0:v>
      </ns0:c>
      <ns0:c r="AB1004" s="7">
        <ns0:f>IF(T1004&lt;0,A1004,0)</ns0:f>
        <ns0:v>0</ns0:v>
      </ns0:c>
      <ns0:c r="AC1004" s="16">
        <ns0:f>IF(AND(OR('前提と出典'!$C$36+'前提と出典'!$C$38=0,R1004&gt;=0),OR('前提と出典'!$C$37+'前提と出典'!$C$38=0,S1004&gt;=0)),0,A1004)</ns0:f>
        <ns0:v>0</ns0:v>
      </ns0:c>
      <ns0:c r="AD1004" s="7">
        <ns0:f>IF(W1004&gt;=0,A1004,1001)</ns0:f>
        <ns0:v>1000</ns0:v>
      </ns0:c>
      <ns0:c r="AE1004" s="7">
        <ns0:f>IF(W1004&lt;0,A1004,0)</ns0:f>
        <ns0:v>0</ns0:v>
      </ns0:c>
      <ns0:c r="AF1004" s="16">
        <ns0:f>IF(AND(OR('前提と出典'!$C$36+'前提と出典'!$C$38=0,U1004&gt;=0),OR('前提と出典'!$C$37+'前提と出典'!$C$38=0,V1004&gt;=0)),0,A1004)</ns0:f>
        <ns0:v>0</ns0:v>
      </ns0:c>
      <ns0:c r="AG1004" s="7">
        <ns0:f>IF(Z1004&gt;=0,A1004,1001)</ns0:f>
        <ns0:v>1000</ns0:v>
      </ns0:c>
      <ns0:c r="AH1004" s="4">
        <ns0:f>IF(Z1004&lt;0,A1004,0)</ns0:f>
        <ns0:v>0</ns0:v>
      </ns0:c>
      <ns0:c r="AI1004" s="12">
        <ns0:f>IF(AND(OR('前提と出典'!$C$36+'前提と出典'!$C$38=0,X1004&gt;=0),OR('前提と出典'!$C$37+'前提と出典'!$C$38=0,Y1004&gt;=0)),0,A1004)</ns0:f>
        <ns0:v>0</ns0:v>
      </ns0:c>
    </ns0:row>
    <ns0:row r="1005" ht="24" customHeight="1">
      <ns0:c r="D1005" s="17" t="n"/>
      <ns0:c r="E1005" s="17" t="n"/>
      <ns0:c r="F1005" s="17" t="n"/>
      <ns0:c r="G1005" s="17" t="n"/>
      <ns0:c r="H1005" s="17" t="n"/>
      <ns0:c r="I1005" s="17" t="n"/>
      <ns0:c r="J1005" s="17" t="n"/>
      <ns0:c r="K1005" s="17" t="n"/>
      <ns0:c r="L1005" s="17" t="n"/>
      <ns0:c r="M1005" s="17" t="n"/>
      <ns0:c r="N1005" s="17" t="n"/>
      <ns0:c r="O1005" s="17" t="n"/>
      <ns0:c r="P1005" s="17" t="n"/>
      <ns0:c r="Q1005" s="17" t="n"/>
      <ns0:c r="R1005" s="17" t="n"/>
      <ns0:c r="S1005" s="17" t="n"/>
      <ns0:c r="T1005" s="17" t="n"/>
      <ns0:c r="U1005" s="17" t="n"/>
      <ns0:c r="V1005" s="17" t="n"/>
      <ns0:c r="W1005" s="17" t="n"/>
      <ns0:c r="X1005" s="17" t="n"/>
      <ns0:c r="Y1005" s="17" t="n"/>
      <ns0:c r="Z1005" s="17" t="n"/>
      <ns0:c r="AA1005" s="17" t="n"/>
      <ns0:c r="AB1005" s="17" t="n"/>
      <ns0:c r="AC1005" s="17" t="n"/>
      <ns0:c r="AD1005" s="17" t="n"/>
      <ns0:c r="AE1005" s="17" t="n"/>
      <ns0:c r="AF1005" s="17" t="n"/>
      <ns0:c r="AG1005" s="17" t="n"/>
    </ns0:row>
    <ns0:row r="1006" ht="24" customHeight="1">
      <ns0:c r="D1006" s="17" t="n"/>
      <ns0:c r="E1006" s="17" t="n"/>
      <ns0:c r="F1006" s="17" t="n"/>
      <ns0:c r="G1006" s="17" t="n"/>
      <ns0:c r="H1006" s="17" t="n"/>
      <ns0:c r="I1006" s="17" t="n"/>
      <ns0:c r="J1006" s="17" t="n"/>
      <ns0:c r="K1006" s="17" t="n"/>
      <ns0:c r="L1006" s="17" t="n"/>
      <ns0:c r="M1006" s="17" t="n"/>
      <ns0:c r="N1006" s="17" t="n"/>
      <ns0:c r="O1006" s="17" t="n"/>
      <ns0:c r="P1006" s="17" t="n"/>
      <ns0:c r="Q1006" s="17" t="n"/>
      <ns0:c r="R1006" s="17" t="n"/>
      <ns0:c r="S1006" s="17" t="n"/>
      <ns0:c r="T1006" s="17" t="n"/>
      <ns0:c r="U1006" s="17" t="n"/>
      <ns0:c r="V1006" s="17" t="n"/>
      <ns0:c r="W1006" s="17" t="n"/>
      <ns0:c r="X1006" s="17" t="n"/>
      <ns0:c r="Y1006" s="17" t="n"/>
      <ns0:c r="Z1006" s="17" t="n"/>
      <ns0:c r="AA1006" s="17" t="n"/>
      <ns0:c r="AB1006" s="17" t="n"/>
      <ns0:c r="AC1006" s="17" t="n"/>
      <ns0:c r="AD1006" s="17" t="n"/>
      <ns0:c r="AE1006" s="17" t="n"/>
      <ns0:c r="AF1006" s="17" t="n"/>
      <ns0:c r="AG1006" s="17" t="n"/>
    </ns0:row>
    <ns0:row r="1007" ht="24" customHeight="1">
      <ns0:c r="D1007" s="17" t="n"/>
      <ns0:c r="E1007" s="17" t="n"/>
      <ns0:c r="F1007" s="17" t="n"/>
      <ns0:c r="G1007" s="17" t="n"/>
      <ns0:c r="H1007" s="17" t="n"/>
      <ns0:c r="I1007" s="17" t="n"/>
      <ns0:c r="J1007" s="17" t="n"/>
      <ns0:c r="K1007" s="17" t="n"/>
      <ns0:c r="L1007" s="17" t="n"/>
      <ns0:c r="M1007" s="17" t="n"/>
      <ns0:c r="N1007" s="17" t="n"/>
      <ns0:c r="O1007" s="17" t="n"/>
      <ns0:c r="P1007" s="17" t="n"/>
      <ns0:c r="Q1007" s="17" t="n"/>
      <ns0:c r="R1007" s="17" t="n"/>
      <ns0:c r="S1007" s="17" t="n"/>
      <ns0:c r="T1007" s="17" t="n"/>
      <ns0:c r="U1007" s="17" t="n"/>
      <ns0:c r="V1007" s="17" t="n"/>
      <ns0:c r="W1007" s="17" t="n"/>
      <ns0:c r="X1007" s="17" t="n"/>
      <ns0:c r="Y1007" s="17" t="n"/>
      <ns0:c r="Z1007" s="17" t="n"/>
      <ns0:c r="AA1007" s="17" t="n"/>
      <ns0:c r="AB1007" s="17" t="n"/>
      <ns0:c r="AC1007" s="17" t="n"/>
      <ns0:c r="AD1007" s="17" t="n"/>
      <ns0:c r="AE1007" s="17" t="n"/>
      <ns0:c r="AF1007" s="17" t="n"/>
      <ns0:c r="AG1007" s="17" t="n"/>
    </ns0:row>
    <ns0:row r="1008" ht="24" customHeight="1">
      <ns0:c r="D1008" s="17" t="n"/>
      <ns0:c r="E1008" s="17" t="n"/>
      <ns0:c r="F1008" s="17" t="n"/>
      <ns0:c r="G1008" s="17" t="n"/>
      <ns0:c r="H1008" s="17" t="n"/>
      <ns0:c r="I1008" s="17" t="n"/>
      <ns0:c r="J1008" s="17" t="n"/>
      <ns0:c r="K1008" s="17" t="n"/>
      <ns0:c r="L1008" s="17" t="n"/>
      <ns0:c r="M1008" s="17" t="n"/>
      <ns0:c r="N1008" s="17" t="n"/>
      <ns0:c r="O1008" s="17" t="n"/>
      <ns0:c r="P1008" s="17" t="n"/>
      <ns0:c r="Q1008" s="17" t="n"/>
      <ns0:c r="R1008" s="17" t="n"/>
      <ns0:c r="S1008" s="17" t="n"/>
      <ns0:c r="T1008" s="17" t="n"/>
      <ns0:c r="U1008" s="17" t="n"/>
      <ns0:c r="V1008" s="17" t="n"/>
      <ns0:c r="W1008" s="17" t="n"/>
      <ns0:c r="X1008" s="17" t="n"/>
      <ns0:c r="Y1008" s="17" t="n"/>
      <ns0:c r="Z1008" s="17" t="n"/>
      <ns0:c r="AA1008" s="17" t="n"/>
      <ns0:c r="AB1008" s="17" t="n"/>
      <ns0:c r="AC1008" s="17" t="n"/>
      <ns0:c r="AD1008" s="17" t="n"/>
      <ns0:c r="AE1008" s="17" t="n"/>
      <ns0:c r="AF1008" s="17" t="n"/>
      <ns0:c r="AG1008" s="17" t="n"/>
    </ns0:row>
    <ns0:row r="1009" ht="24" customHeight="1">
      <ns0:c r="D1009" s="17" t="n"/>
      <ns0:c r="E1009" s="17" t="n"/>
      <ns0:c r="F1009" s="17" t="n"/>
      <ns0:c r="G1009" s="17" t="n"/>
      <ns0:c r="H1009" s="17" t="n"/>
      <ns0:c r="I1009" s="17" t="n"/>
      <ns0:c r="J1009" s="17" t="n"/>
      <ns0:c r="K1009" s="17" t="n"/>
      <ns0:c r="L1009" s="17" t="n"/>
      <ns0:c r="M1009" s="17" t="n"/>
      <ns0:c r="N1009" s="17" t="n"/>
      <ns0:c r="O1009" s="17" t="n"/>
      <ns0:c r="P1009" s="17" t="n"/>
      <ns0:c r="Q1009" s="17" t="n"/>
      <ns0:c r="R1009" s="17" t="n"/>
      <ns0:c r="S1009" s="17" t="n"/>
      <ns0:c r="T1009" s="17" t="n"/>
      <ns0:c r="U1009" s="17" t="n"/>
      <ns0:c r="V1009" s="17" t="n"/>
      <ns0:c r="W1009" s="17" t="n"/>
      <ns0:c r="X1009" s="17" t="n"/>
      <ns0:c r="Y1009" s="17" t="n"/>
      <ns0:c r="Z1009" s="17" t="n"/>
      <ns0:c r="AA1009" s="17" t="n"/>
      <ns0:c r="AB1009" s="17" t="n"/>
      <ns0:c r="AC1009" s="17" t="n"/>
      <ns0:c r="AD1009" s="17" t="n"/>
      <ns0:c r="AE1009" s="17" t="n"/>
      <ns0:c r="AF1009" s="17" t="n"/>
      <ns0:c r="AG1009" s="17" t="n"/>
    </ns0:row>
    <ns0:row r="1010" ht="24" customHeight="1">
      <ns0:c r="D1010" s="17" t="n"/>
      <ns0:c r="E1010" s="17" t="n"/>
      <ns0:c r="F1010" s="17" t="n"/>
      <ns0:c r="G1010" s="17" t="n"/>
      <ns0:c r="H1010" s="17" t="n"/>
      <ns0:c r="I1010" s="17" t="n"/>
      <ns0:c r="J1010" s="17" t="n"/>
      <ns0:c r="K1010" s="17" t="n"/>
      <ns0:c r="L1010" s="17" t="n"/>
      <ns0:c r="M1010" s="17" t="n"/>
      <ns0:c r="N1010" s="17" t="n"/>
      <ns0:c r="O1010" s="17" t="n"/>
      <ns0:c r="P1010" s="17" t="n"/>
      <ns0:c r="Q1010" s="17" t="n"/>
      <ns0:c r="R1010" s="17" t="n"/>
      <ns0:c r="S1010" s="17" t="n"/>
      <ns0:c r="T1010" s="17" t="n"/>
      <ns0:c r="U1010" s="17" t="n"/>
      <ns0:c r="V1010" s="17" t="n"/>
      <ns0:c r="W1010" s="17" t="n"/>
      <ns0:c r="X1010" s="17" t="n"/>
      <ns0:c r="Y1010" s="17" t="n"/>
      <ns0:c r="Z1010" s="17" t="n"/>
      <ns0:c r="AA1010" s="17" t="n"/>
      <ns0:c r="AB1010" s="17" t="n"/>
      <ns0:c r="AC1010" s="17" t="n"/>
      <ns0:c r="AD1010" s="17" t="n"/>
      <ns0:c r="AE1010" s="17" t="n"/>
      <ns0:c r="AF1010" s="17" t="n"/>
      <ns0:c r="AG1010" s="17" t="n"/>
    </ns0:row>
    <ns0:row r="1011" ht="24" customHeight="1">
      <ns0:c r="D1011" s="17" t="n"/>
      <ns0:c r="E1011" s="17" t="n"/>
      <ns0:c r="F1011" s="17" t="n"/>
      <ns0:c r="G1011" s="17" t="n"/>
      <ns0:c r="H1011" s="17" t="n"/>
      <ns0:c r="I1011" s="17" t="n"/>
      <ns0:c r="J1011" s="17" t="n"/>
      <ns0:c r="K1011" s="17" t="n"/>
      <ns0:c r="L1011" s="17" t="n"/>
      <ns0:c r="M1011" s="17" t="n"/>
      <ns0:c r="N1011" s="17" t="n"/>
      <ns0:c r="O1011" s="17" t="n"/>
      <ns0:c r="P1011" s="17" t="n"/>
      <ns0:c r="Q1011" s="17" t="n"/>
      <ns0:c r="R1011" s="17" t="n"/>
      <ns0:c r="S1011" s="17" t="n"/>
      <ns0:c r="T1011" s="17" t="n"/>
      <ns0:c r="U1011" s="17" t="n"/>
      <ns0:c r="V1011" s="17" t="n"/>
      <ns0:c r="W1011" s="17" t="n"/>
      <ns0:c r="X1011" s="17" t="n"/>
      <ns0:c r="Y1011" s="17" t="n"/>
      <ns0:c r="Z1011" s="17" t="n"/>
      <ns0:c r="AA1011" s="17" t="n"/>
      <ns0:c r="AB1011" s="17" t="n"/>
      <ns0:c r="AC1011" s="17" t="n"/>
      <ns0:c r="AD1011" s="17" t="n"/>
      <ns0:c r="AE1011" s="17" t="n"/>
      <ns0:c r="AF1011" s="17" t="n"/>
      <ns0:c r="AG1011" s="17" t="n"/>
    </ns0:row>
    <ns0:row r="1012" ht="24" customHeight="1">
      <ns0:c r="D1012" s="17" t="n"/>
      <ns0:c r="E1012" s="17" t="n"/>
      <ns0:c r="F1012" s="17" t="n"/>
      <ns0:c r="G1012" s="17" t="n"/>
      <ns0:c r="H1012" s="17" t="n"/>
      <ns0:c r="I1012" s="17" t="n"/>
      <ns0:c r="J1012" s="17" t="n"/>
      <ns0:c r="K1012" s="17" t="n"/>
      <ns0:c r="L1012" s="17" t="n"/>
      <ns0:c r="M1012" s="17" t="n"/>
      <ns0:c r="N1012" s="17" t="n"/>
      <ns0:c r="O1012" s="17" t="n"/>
      <ns0:c r="P1012" s="17" t="n"/>
      <ns0:c r="Q1012" s="17" t="n"/>
      <ns0:c r="R1012" s="17" t="n"/>
      <ns0:c r="S1012" s="17" t="n"/>
      <ns0:c r="T1012" s="17" t="n"/>
      <ns0:c r="U1012" s="17" t="n"/>
      <ns0:c r="V1012" s="17" t="n"/>
      <ns0:c r="W1012" s="17" t="n"/>
      <ns0:c r="X1012" s="17" t="n"/>
      <ns0:c r="Y1012" s="17" t="n"/>
      <ns0:c r="Z1012" s="17" t="n"/>
      <ns0:c r="AA1012" s="17" t="n"/>
      <ns0:c r="AB1012" s="17" t="n"/>
      <ns0:c r="AC1012" s="17" t="n"/>
      <ns0:c r="AD1012" s="17" t="n"/>
      <ns0:c r="AE1012" s="17" t="n"/>
      <ns0:c r="AF1012" s="17" t="n"/>
      <ns0:c r="AG1012" s="17" t="n"/>
    </ns0:row>
    <ns0:row r="1013" ht="24" customHeight="1">
      <ns0:c r="D1013" s="17" t="n"/>
      <ns0:c r="E1013" s="17" t="n"/>
      <ns0:c r="F1013" s="17" t="n"/>
      <ns0:c r="G1013" s="17" t="n"/>
      <ns0:c r="H1013" s="17" t="n"/>
      <ns0:c r="I1013" s="17" t="n"/>
      <ns0:c r="J1013" s="17" t="n"/>
      <ns0:c r="K1013" s="17" t="n"/>
      <ns0:c r="L1013" s="17" t="n"/>
      <ns0:c r="M1013" s="17" t="n"/>
      <ns0:c r="N1013" s="17" t="n"/>
      <ns0:c r="O1013" s="17" t="n"/>
      <ns0:c r="P1013" s="17" t="n"/>
      <ns0:c r="Q1013" s="17" t="n"/>
      <ns0:c r="R1013" s="17" t="n"/>
      <ns0:c r="S1013" s="17" t="n"/>
      <ns0:c r="T1013" s="17" t="n"/>
      <ns0:c r="U1013" s="17" t="n"/>
      <ns0:c r="V1013" s="17" t="n"/>
      <ns0:c r="W1013" s="17" t="n"/>
      <ns0:c r="X1013" s="17" t="n"/>
      <ns0:c r="Y1013" s="17" t="n"/>
      <ns0:c r="Z1013" s="17" t="n"/>
      <ns0:c r="AA1013" s="17" t="n"/>
      <ns0:c r="AB1013" s="17" t="n"/>
      <ns0:c r="AC1013" s="17" t="n"/>
      <ns0:c r="AD1013" s="17" t="n"/>
      <ns0:c r="AE1013" s="17" t="n"/>
      <ns0:c r="AF1013" s="17" t="n"/>
      <ns0:c r="AG1013" s="17" t="n"/>
    </ns0:row>
    <ns0:row r="1014" ht="24" customHeight="1">
      <ns0:c r="D1014" s="17" t="n"/>
      <ns0:c r="E1014" s="17" t="n"/>
      <ns0:c r="F1014" s="17" t="n"/>
      <ns0:c r="G1014" s="17" t="n"/>
      <ns0:c r="H1014" s="17" t="n"/>
      <ns0:c r="I1014" s="17" t="n"/>
      <ns0:c r="J1014" s="17" t="n"/>
      <ns0:c r="K1014" s="17" t="n"/>
      <ns0:c r="L1014" s="17" t="n"/>
      <ns0:c r="M1014" s="17" t="n"/>
      <ns0:c r="N1014" s="17" t="n"/>
      <ns0:c r="O1014" s="17" t="n"/>
      <ns0:c r="P1014" s="17" t="n"/>
      <ns0:c r="Q1014" s="17" t="n"/>
      <ns0:c r="R1014" s="17" t="n"/>
      <ns0:c r="S1014" s="17" t="n"/>
      <ns0:c r="T1014" s="17" t="n"/>
      <ns0:c r="U1014" s="17" t="n"/>
      <ns0:c r="V1014" s="17" t="n"/>
      <ns0:c r="W1014" s="17" t="n"/>
      <ns0:c r="X1014" s="17" t="n"/>
      <ns0:c r="Y1014" s="17" t="n"/>
      <ns0:c r="Z1014" s="17" t="n"/>
      <ns0:c r="AA1014" s="17" t="n"/>
      <ns0:c r="AB1014" s="17" t="n"/>
      <ns0:c r="AC1014" s="17" t="n"/>
      <ns0:c r="AD1014" s="17" t="n"/>
      <ns0:c r="AE1014" s="17" t="n"/>
      <ns0:c r="AF1014" s="17" t="n"/>
      <ns0:c r="AG1014" s="17" t="n"/>
    </ns0:row>
    <ns0:row r="1015" ht="24" customHeight="1">
      <ns0:c r="D1015" s="17" t="n"/>
      <ns0:c r="E1015" s="17" t="n"/>
      <ns0:c r="F1015" s="17" t="n"/>
      <ns0:c r="G1015" s="17" t="n"/>
      <ns0:c r="H1015" s="17" t="n"/>
      <ns0:c r="I1015" s="17" t="n"/>
      <ns0:c r="J1015" s="17" t="n"/>
      <ns0:c r="K1015" s="17" t="n"/>
      <ns0:c r="L1015" s="17" t="n"/>
      <ns0:c r="M1015" s="17" t="n"/>
      <ns0:c r="N1015" s="17" t="n"/>
      <ns0:c r="O1015" s="17" t="n"/>
      <ns0:c r="P1015" s="17" t="n"/>
      <ns0:c r="Q1015" s="17" t="n"/>
      <ns0:c r="R1015" s="17" t="n"/>
      <ns0:c r="S1015" s="17" t="n"/>
      <ns0:c r="T1015" s="17" t="n"/>
      <ns0:c r="U1015" s="17" t="n"/>
      <ns0:c r="V1015" s="17" t="n"/>
      <ns0:c r="W1015" s="17" t="n"/>
      <ns0:c r="X1015" s="17" t="n"/>
      <ns0:c r="Y1015" s="17" t="n"/>
      <ns0:c r="Z1015" s="17" t="n"/>
      <ns0:c r="AA1015" s="17" t="n"/>
      <ns0:c r="AB1015" s="17" t="n"/>
      <ns0:c r="AC1015" s="17" t="n"/>
      <ns0:c r="AD1015" s="17" t="n"/>
      <ns0:c r="AE1015" s="17" t="n"/>
      <ns0:c r="AF1015" s="17" t="n"/>
      <ns0:c r="AG1015" s="17" t="n"/>
    </ns0:row>
    <ns0:row r="1016" ht="24" customHeight="1">
      <ns0:c r="D1016" s="17" t="n"/>
      <ns0:c r="E1016" s="17" t="n"/>
      <ns0:c r="F1016" s="17" t="n"/>
      <ns0:c r="G1016" s="17" t="n"/>
      <ns0:c r="H1016" s="17" t="n"/>
      <ns0:c r="I1016" s="17" t="n"/>
      <ns0:c r="J1016" s="17" t="n"/>
      <ns0:c r="K1016" s="17" t="n"/>
      <ns0:c r="L1016" s="17" t="n"/>
      <ns0:c r="M1016" s="17" t="n"/>
      <ns0:c r="N1016" s="17" t="n"/>
      <ns0:c r="O1016" s="17" t="n"/>
      <ns0:c r="P1016" s="17" t="n"/>
      <ns0:c r="Q1016" s="17" t="n"/>
      <ns0:c r="R1016" s="17" t="n"/>
      <ns0:c r="S1016" s="17" t="n"/>
      <ns0:c r="T1016" s="17" t="n"/>
      <ns0:c r="U1016" s="17" t="n"/>
      <ns0:c r="V1016" s="17" t="n"/>
      <ns0:c r="W1016" s="17" t="n"/>
      <ns0:c r="X1016" s="17" t="n"/>
      <ns0:c r="Y1016" s="17" t="n"/>
      <ns0:c r="Z1016" s="17" t="n"/>
      <ns0:c r="AA1016" s="17" t="n"/>
      <ns0:c r="AB1016" s="17" t="n"/>
      <ns0:c r="AC1016" s="17" t="n"/>
      <ns0:c r="AD1016" s="17" t="n"/>
      <ns0:c r="AE1016" s="17" t="n"/>
      <ns0:c r="AF1016" s="17" t="n"/>
      <ns0:c r="AG1016" s="17" t="n"/>
    </ns0:row>
    <ns0:row r="1017" ht="24" customHeight="1">
      <ns0:c r="D1017" s="17" t="n"/>
      <ns0:c r="E1017" s="17" t="n"/>
      <ns0:c r="F1017" s="17" t="n"/>
      <ns0:c r="G1017" s="17" t="n"/>
      <ns0:c r="H1017" s="17" t="n"/>
      <ns0:c r="I1017" s="17" t="n"/>
      <ns0:c r="J1017" s="17" t="n"/>
      <ns0:c r="K1017" s="17" t="n"/>
      <ns0:c r="L1017" s="17" t="n"/>
      <ns0:c r="M1017" s="17" t="n"/>
      <ns0:c r="N1017" s="17" t="n"/>
      <ns0:c r="O1017" s="17" t="n"/>
      <ns0:c r="P1017" s="17" t="n"/>
      <ns0:c r="Q1017" s="17" t="n"/>
      <ns0:c r="R1017" s="17" t="n"/>
      <ns0:c r="S1017" s="17" t="n"/>
      <ns0:c r="T1017" s="17" t="n"/>
      <ns0:c r="U1017" s="17" t="n"/>
      <ns0:c r="V1017" s="17" t="n"/>
      <ns0:c r="W1017" s="17" t="n"/>
      <ns0:c r="X1017" s="17" t="n"/>
      <ns0:c r="Y1017" s="17" t="n"/>
      <ns0:c r="Z1017" s="17" t="n"/>
      <ns0:c r="AA1017" s="17" t="n"/>
      <ns0:c r="AB1017" s="17" t="n"/>
      <ns0:c r="AC1017" s="17" t="n"/>
      <ns0:c r="AD1017" s="17" t="n"/>
      <ns0:c r="AE1017" s="17" t="n"/>
      <ns0:c r="AF1017" s="17" t="n"/>
      <ns0:c r="AG1017" s="17" t="n"/>
    </ns0:row>
    <ns0:row r="1018" ht="24" customHeight="1">
      <ns0:c r="D1018" s="17" t="n"/>
      <ns0:c r="E1018" s="17" t="n"/>
      <ns0:c r="F1018" s="17" t="n"/>
      <ns0:c r="G1018" s="17" t="n"/>
      <ns0:c r="H1018" s="17" t="n"/>
      <ns0:c r="I1018" s="17" t="n"/>
      <ns0:c r="J1018" s="17" t="n"/>
      <ns0:c r="K1018" s="17" t="n"/>
      <ns0:c r="L1018" s="17" t="n"/>
      <ns0:c r="M1018" s="17" t="n"/>
      <ns0:c r="N1018" s="17" t="n"/>
      <ns0:c r="O1018" s="17" t="n"/>
      <ns0:c r="P1018" s="17" t="n"/>
      <ns0:c r="Q1018" s="17" t="n"/>
      <ns0:c r="R1018" s="17" t="n"/>
      <ns0:c r="S1018" s="17" t="n"/>
      <ns0:c r="T1018" s="17" t="n"/>
      <ns0:c r="U1018" s="17" t="n"/>
      <ns0:c r="V1018" s="17" t="n"/>
      <ns0:c r="W1018" s="17" t="n"/>
      <ns0:c r="X1018" s="17" t="n"/>
      <ns0:c r="Y1018" s="17" t="n"/>
      <ns0:c r="Z1018" s="17" t="n"/>
      <ns0:c r="AA1018" s="17" t="n"/>
      <ns0:c r="AB1018" s="17" t="n"/>
      <ns0:c r="AC1018" s="17" t="n"/>
      <ns0:c r="AD1018" s="17" t="n"/>
      <ns0:c r="AE1018" s="17" t="n"/>
      <ns0:c r="AF1018" s="17" t="n"/>
      <ns0:c r="AG1018" s="17" t="n"/>
    </ns0:row>
    <ns0:row r="1019" ht="24" customHeight="1">
      <ns0:c r="D1019" s="17" t="n"/>
      <ns0:c r="E1019" s="17" t="n"/>
      <ns0:c r="F1019" s="17" t="n"/>
      <ns0:c r="G1019" s="17" t="n"/>
      <ns0:c r="H1019" s="17" t="n"/>
      <ns0:c r="I1019" s="17" t="n"/>
      <ns0:c r="J1019" s="17" t="n"/>
      <ns0:c r="K1019" s="17" t="n"/>
      <ns0:c r="L1019" s="17" t="n"/>
      <ns0:c r="M1019" s="17" t="n"/>
      <ns0:c r="N1019" s="17" t="n"/>
      <ns0:c r="O1019" s="17" t="n"/>
      <ns0:c r="P1019" s="17" t="n"/>
      <ns0:c r="Q1019" s="17" t="n"/>
      <ns0:c r="R1019" s="17" t="n"/>
      <ns0:c r="S1019" s="17" t="n"/>
      <ns0:c r="T1019" s="17" t="n"/>
      <ns0:c r="U1019" s="17" t="n"/>
      <ns0:c r="V1019" s="17" t="n"/>
      <ns0:c r="W1019" s="17" t="n"/>
      <ns0:c r="X1019" s="17" t="n"/>
      <ns0:c r="Y1019" s="17" t="n"/>
      <ns0:c r="Z1019" s="17" t="n"/>
      <ns0:c r="AA1019" s="17" t="n"/>
      <ns0:c r="AB1019" s="17" t="n"/>
      <ns0:c r="AC1019" s="17" t="n"/>
      <ns0:c r="AD1019" s="17" t="n"/>
      <ns0:c r="AE1019" s="17" t="n"/>
      <ns0:c r="AF1019" s="17" t="n"/>
      <ns0:c r="AG1019" s="17" t="n"/>
    </ns0:row>
    <ns0:row r="1020" ht="24" customHeight="1">
      <ns0:c r="D1020" s="17" t="n"/>
      <ns0:c r="E1020" s="17" t="n"/>
      <ns0:c r="F1020" s="17" t="n"/>
      <ns0:c r="G1020" s="17" t="n"/>
      <ns0:c r="H1020" s="17" t="n"/>
      <ns0:c r="I1020" s="17" t="n"/>
      <ns0:c r="J1020" s="17" t="n"/>
      <ns0:c r="K1020" s="17" t="n"/>
      <ns0:c r="L1020" s="17" t="n"/>
      <ns0:c r="M1020" s="17" t="n"/>
      <ns0:c r="N1020" s="17" t="n"/>
      <ns0:c r="O1020" s="17" t="n"/>
      <ns0:c r="P1020" s="17" t="n"/>
      <ns0:c r="Q1020" s="17" t="n"/>
      <ns0:c r="R1020" s="17" t="n"/>
      <ns0:c r="S1020" s="17" t="n"/>
      <ns0:c r="T1020" s="17" t="n"/>
      <ns0:c r="U1020" s="17" t="n"/>
      <ns0:c r="V1020" s="17" t="n"/>
      <ns0:c r="W1020" s="17" t="n"/>
      <ns0:c r="X1020" s="17" t="n"/>
      <ns0:c r="Y1020" s="17" t="n"/>
      <ns0:c r="Z1020" s="17" t="n"/>
      <ns0:c r="AA1020" s="17" t="n"/>
      <ns0:c r="AB1020" s="17" t="n"/>
      <ns0:c r="AC1020" s="17" t="n"/>
      <ns0:c r="AD1020" s="17" t="n"/>
      <ns0:c r="AE1020" s="17" t="n"/>
      <ns0:c r="AF1020" s="17" t="n"/>
      <ns0:c r="AG1020" s="17" t="n"/>
    </ns0:row>
    <ns0:row r="1021" ht="24" customHeight="1">
      <ns0:c r="D1021" s="17" t="n"/>
      <ns0:c r="E1021" s="17" t="n"/>
      <ns0:c r="F1021" s="17" t="n"/>
      <ns0:c r="G1021" s="17" t="n"/>
      <ns0:c r="H1021" s="17" t="n"/>
      <ns0:c r="I1021" s="17" t="n"/>
      <ns0:c r="J1021" s="17" t="n"/>
      <ns0:c r="K1021" s="17" t="n"/>
      <ns0:c r="L1021" s="17" t="n"/>
      <ns0:c r="M1021" s="17" t="n"/>
      <ns0:c r="N1021" s="17" t="n"/>
      <ns0:c r="O1021" s="17" t="n"/>
      <ns0:c r="P1021" s="17" t="n"/>
      <ns0:c r="Q1021" s="17" t="n"/>
      <ns0:c r="R1021" s="17" t="n"/>
      <ns0:c r="S1021" s="17" t="n"/>
      <ns0:c r="T1021" s="17" t="n"/>
      <ns0:c r="U1021" s="17" t="n"/>
      <ns0:c r="V1021" s="17" t="n"/>
      <ns0:c r="W1021" s="17" t="n"/>
      <ns0:c r="X1021" s="17" t="n"/>
      <ns0:c r="Y1021" s="17" t="n"/>
      <ns0:c r="Z1021" s="17" t="n"/>
      <ns0:c r="AA1021" s="17" t="n"/>
      <ns0:c r="AB1021" s="17" t="n"/>
      <ns0:c r="AC1021" s="17" t="n"/>
      <ns0:c r="AD1021" s="17" t="n"/>
      <ns0:c r="AE1021" s="17" t="n"/>
      <ns0:c r="AF1021" s="17" t="n"/>
      <ns0:c r="AG1021" s="17" t="n"/>
    </ns0:row>
    <ns0:row r="1022" ht="24" customHeight="1">
      <ns0:c r="D1022" s="17" t="n"/>
      <ns0:c r="E1022" s="17" t="n"/>
      <ns0:c r="F1022" s="17" t="n"/>
      <ns0:c r="G1022" s="17" t="n"/>
      <ns0:c r="H1022" s="17" t="n"/>
      <ns0:c r="I1022" s="17" t="n"/>
      <ns0:c r="J1022" s="17" t="n"/>
      <ns0:c r="K1022" s="17" t="n"/>
      <ns0:c r="L1022" s="17" t="n"/>
      <ns0:c r="M1022" s="17" t="n"/>
      <ns0:c r="N1022" s="17" t="n"/>
      <ns0:c r="O1022" s="17" t="n"/>
      <ns0:c r="P1022" s="17" t="n"/>
      <ns0:c r="Q1022" s="17" t="n"/>
      <ns0:c r="R1022" s="17" t="n"/>
      <ns0:c r="S1022" s="17" t="n"/>
      <ns0:c r="T1022" s="17" t="n"/>
      <ns0:c r="U1022" s="17" t="n"/>
      <ns0:c r="V1022" s="17" t="n"/>
      <ns0:c r="W1022" s="17" t="n"/>
      <ns0:c r="X1022" s="17" t="n"/>
      <ns0:c r="Y1022" s="17" t="n"/>
      <ns0:c r="Z1022" s="17" t="n"/>
      <ns0:c r="AA1022" s="17" t="n"/>
      <ns0:c r="AB1022" s="17" t="n"/>
      <ns0:c r="AC1022" s="17" t="n"/>
      <ns0:c r="AD1022" s="17" t="n"/>
      <ns0:c r="AE1022" s="17" t="n"/>
      <ns0:c r="AF1022" s="17" t="n"/>
      <ns0:c r="AG1022" s="17" t="n"/>
    </ns0:row>
    <ns0:row r="1023" ht="24" customHeight="1">
      <ns0:c r="D1023" s="17" t="n"/>
      <ns0:c r="E1023" s="17" t="n"/>
      <ns0:c r="F1023" s="17" t="n"/>
      <ns0:c r="G1023" s="17" t="n"/>
      <ns0:c r="H1023" s="17" t="n"/>
      <ns0:c r="I1023" s="17" t="n"/>
      <ns0:c r="J1023" s="17" t="n"/>
      <ns0:c r="K1023" s="17" t="n"/>
      <ns0:c r="L1023" s="17" t="n"/>
      <ns0:c r="M1023" s="17" t="n"/>
      <ns0:c r="N1023" s="17" t="n"/>
      <ns0:c r="O1023" s="17" t="n"/>
      <ns0:c r="P1023" s="17" t="n"/>
      <ns0:c r="Q1023" s="17" t="n"/>
      <ns0:c r="R1023" s="17" t="n"/>
      <ns0:c r="S1023" s="17" t="n"/>
      <ns0:c r="T1023" s="17" t="n"/>
      <ns0:c r="U1023" s="17" t="n"/>
      <ns0:c r="V1023" s="17" t="n"/>
      <ns0:c r="W1023" s="17" t="n"/>
      <ns0:c r="X1023" s="17" t="n"/>
      <ns0:c r="Y1023" s="17" t="n"/>
      <ns0:c r="Z1023" s="17" t="n"/>
      <ns0:c r="AA1023" s="17" t="n"/>
      <ns0:c r="AB1023" s="17" t="n"/>
      <ns0:c r="AC1023" s="17" t="n"/>
      <ns0:c r="AD1023" s="17" t="n"/>
      <ns0:c r="AE1023" s="17" t="n"/>
      <ns0:c r="AF1023" s="17" t="n"/>
      <ns0:c r="AG1023" s="17" t="n"/>
    </ns0:row>
    <ns0:row r="1024" ht="24" customHeight="1">
      <ns0:c r="D1024" s="17" t="n"/>
      <ns0:c r="E1024" s="17" t="n"/>
      <ns0:c r="F1024" s="17" t="n"/>
      <ns0:c r="G1024" s="17" t="n"/>
      <ns0:c r="H1024" s="17" t="n"/>
      <ns0:c r="I1024" s="17" t="n"/>
      <ns0:c r="J1024" s="17" t="n"/>
      <ns0:c r="K1024" s="17" t="n"/>
      <ns0:c r="L1024" s="17" t="n"/>
      <ns0:c r="M1024" s="17" t="n"/>
      <ns0:c r="N1024" s="17" t="n"/>
      <ns0:c r="O1024" s="17" t="n"/>
      <ns0:c r="P1024" s="17" t="n"/>
      <ns0:c r="Q1024" s="17" t="n"/>
      <ns0:c r="R1024" s="17" t="n"/>
      <ns0:c r="S1024" s="17" t="n"/>
      <ns0:c r="T1024" s="17" t="n"/>
      <ns0:c r="U1024" s="17" t="n"/>
      <ns0:c r="V1024" s="17" t="n"/>
      <ns0:c r="W1024" s="17" t="n"/>
      <ns0:c r="X1024" s="17" t="n"/>
      <ns0:c r="Y1024" s="17" t="n"/>
      <ns0:c r="Z1024" s="17" t="n"/>
      <ns0:c r="AA1024" s="17" t="n"/>
      <ns0:c r="AB1024" s="17" t="n"/>
      <ns0:c r="AC1024" s="17" t="n"/>
      <ns0:c r="AD1024" s="17" t="n"/>
      <ns0:c r="AE1024" s="17" t="n"/>
      <ns0:c r="AF1024" s="17" t="n"/>
      <ns0:c r="AG1024" s="17" t="n"/>
    </ns0:row>
    <ns0:row r="1025" ht="24" customHeight="1">
      <ns0:c r="D1025" s="17" t="n"/>
      <ns0:c r="E1025" s="17" t="n"/>
      <ns0:c r="F1025" s="17" t="n"/>
      <ns0:c r="G1025" s="17" t="n"/>
      <ns0:c r="H1025" s="17" t="n"/>
      <ns0:c r="I1025" s="17" t="n"/>
      <ns0:c r="J1025" s="17" t="n"/>
      <ns0:c r="K1025" s="17" t="n"/>
      <ns0:c r="L1025" s="17" t="n"/>
      <ns0:c r="M1025" s="17" t="n"/>
      <ns0:c r="N1025" s="17" t="n"/>
      <ns0:c r="O1025" s="17" t="n"/>
      <ns0:c r="P1025" s="17" t="n"/>
      <ns0:c r="Q1025" s="17" t="n"/>
      <ns0:c r="R1025" s="17" t="n"/>
      <ns0:c r="S1025" s="17" t="n"/>
      <ns0:c r="T1025" s="17" t="n"/>
      <ns0:c r="U1025" s="17" t="n"/>
      <ns0:c r="V1025" s="17" t="n"/>
      <ns0:c r="W1025" s="17" t="n"/>
      <ns0:c r="X1025" s="17" t="n"/>
      <ns0:c r="Y1025" s="17" t="n"/>
      <ns0:c r="Z1025" s="17" t="n"/>
      <ns0:c r="AA1025" s="17" t="n"/>
      <ns0:c r="AB1025" s="17" t="n"/>
      <ns0:c r="AC1025" s="17" t="n"/>
      <ns0:c r="AD1025" s="17" t="n"/>
      <ns0:c r="AE1025" s="17" t="n"/>
      <ns0:c r="AF1025" s="17" t="n"/>
      <ns0:c r="AG1025" s="17" t="n"/>
    </ns0:row>
    <ns0:row r="1026" ht="24" customHeight="1">
      <ns0:c r="D1026" s="17" t="n"/>
      <ns0:c r="E1026" s="17" t="n"/>
      <ns0:c r="F1026" s="17" t="n"/>
      <ns0:c r="G1026" s="17" t="n"/>
      <ns0:c r="H1026" s="17" t="n"/>
      <ns0:c r="I1026" s="17" t="n"/>
      <ns0:c r="J1026" s="17" t="n"/>
      <ns0:c r="K1026" s="17" t="n"/>
      <ns0:c r="L1026" s="17" t="n"/>
      <ns0:c r="M1026" s="17" t="n"/>
      <ns0:c r="N1026" s="17" t="n"/>
      <ns0:c r="O1026" s="17" t="n"/>
      <ns0:c r="P1026" s="17" t="n"/>
      <ns0:c r="Q1026" s="17" t="n"/>
      <ns0:c r="R1026" s="17" t="n"/>
      <ns0:c r="S1026" s="17" t="n"/>
      <ns0:c r="T1026" s="17" t="n"/>
      <ns0:c r="U1026" s="17" t="n"/>
      <ns0:c r="V1026" s="17" t="n"/>
      <ns0:c r="W1026" s="17" t="n"/>
      <ns0:c r="X1026" s="17" t="n"/>
      <ns0:c r="Y1026" s="17" t="n"/>
      <ns0:c r="Z1026" s="17" t="n"/>
      <ns0:c r="AA1026" s="17" t="n"/>
      <ns0:c r="AB1026" s="17" t="n"/>
      <ns0:c r="AC1026" s="17" t="n"/>
      <ns0:c r="AD1026" s="17" t="n"/>
      <ns0:c r="AE1026" s="17" t="n"/>
      <ns0:c r="AF1026" s="17" t="n"/>
      <ns0:c r="AG1026" s="17" t="n"/>
    </ns0:row>
    <ns0:row r="1027" ht="24" customHeight="1">
      <ns0:c r="D1027" s="17" t="n"/>
      <ns0:c r="E1027" s="17" t="n"/>
      <ns0:c r="F1027" s="17" t="n"/>
      <ns0:c r="G1027" s="17" t="n"/>
      <ns0:c r="H1027" s="17" t="n"/>
      <ns0:c r="I1027" s="17" t="n"/>
      <ns0:c r="J1027" s="17" t="n"/>
      <ns0:c r="K1027" s="17" t="n"/>
      <ns0:c r="L1027" s="17" t="n"/>
      <ns0:c r="M1027" s="17" t="n"/>
      <ns0:c r="N1027" s="17" t="n"/>
      <ns0:c r="O1027" s="17" t="n"/>
      <ns0:c r="P1027" s="17" t="n"/>
      <ns0:c r="Q1027" s="17" t="n"/>
      <ns0:c r="R1027" s="17" t="n"/>
      <ns0:c r="S1027" s="17" t="n"/>
      <ns0:c r="T1027" s="17" t="n"/>
      <ns0:c r="U1027" s="17" t="n"/>
      <ns0:c r="V1027" s="17" t="n"/>
      <ns0:c r="W1027" s="17" t="n"/>
      <ns0:c r="X1027" s="17" t="n"/>
      <ns0:c r="Y1027" s="17" t="n"/>
      <ns0:c r="Z1027" s="17" t="n"/>
      <ns0:c r="AA1027" s="17" t="n"/>
      <ns0:c r="AB1027" s="17" t="n"/>
      <ns0:c r="AC1027" s="17" t="n"/>
      <ns0:c r="AD1027" s="17" t="n"/>
      <ns0:c r="AE1027" s="17" t="n"/>
      <ns0:c r="AF1027" s="17" t="n"/>
      <ns0:c r="AG1027" s="17" t="n"/>
    </ns0:row>
    <ns0:row r="1028" ht="24" customHeight="1">
      <ns0:c r="D1028" s="17" t="n"/>
      <ns0:c r="E1028" s="17" t="n"/>
      <ns0:c r="F1028" s="17" t="n"/>
      <ns0:c r="G1028" s="17" t="n"/>
      <ns0:c r="H1028" s="17" t="n"/>
      <ns0:c r="I1028" s="17" t="n"/>
      <ns0:c r="J1028" s="17" t="n"/>
      <ns0:c r="K1028" s="17" t="n"/>
      <ns0:c r="L1028" s="17" t="n"/>
      <ns0:c r="M1028" s="17" t="n"/>
      <ns0:c r="N1028" s="17" t="n"/>
      <ns0:c r="O1028" s="17" t="n"/>
      <ns0:c r="P1028" s="17" t="n"/>
      <ns0:c r="Q1028" s="17" t="n"/>
      <ns0:c r="R1028" s="17" t="n"/>
      <ns0:c r="S1028" s="17" t="n"/>
      <ns0:c r="T1028" s="17" t="n"/>
      <ns0:c r="U1028" s="17" t="n"/>
      <ns0:c r="V1028" s="17" t="n"/>
      <ns0:c r="W1028" s="17" t="n"/>
      <ns0:c r="X1028" s="17" t="n"/>
      <ns0:c r="Y1028" s="17" t="n"/>
      <ns0:c r="Z1028" s="17" t="n"/>
      <ns0:c r="AA1028" s="17" t="n"/>
      <ns0:c r="AB1028" s="17" t="n"/>
      <ns0:c r="AC1028" s="17" t="n"/>
      <ns0:c r="AD1028" s="17" t="n"/>
      <ns0:c r="AE1028" s="17" t="n"/>
      <ns0:c r="AF1028" s="17" t="n"/>
      <ns0:c r="AG1028" s="17" t="n"/>
    </ns0:row>
    <ns0:row r="1029" ht="24" customHeight="1">
      <ns0:c r="D1029" s="17" t="n"/>
      <ns0:c r="E1029" s="17" t="n"/>
      <ns0:c r="F1029" s="17" t="n"/>
      <ns0:c r="G1029" s="17" t="n"/>
      <ns0:c r="H1029" s="17" t="n"/>
      <ns0:c r="I1029" s="17" t="n"/>
      <ns0:c r="J1029" s="17" t="n"/>
      <ns0:c r="K1029" s="17" t="n"/>
      <ns0:c r="L1029" s="17" t="n"/>
      <ns0:c r="M1029" s="17" t="n"/>
      <ns0:c r="N1029" s="17" t="n"/>
      <ns0:c r="O1029" s="17" t="n"/>
      <ns0:c r="P1029" s="17" t="n"/>
      <ns0:c r="Q1029" s="17" t="n"/>
      <ns0:c r="R1029" s="17" t="n"/>
      <ns0:c r="S1029" s="17" t="n"/>
      <ns0:c r="T1029" s="17" t="n"/>
      <ns0:c r="U1029" s="17" t="n"/>
      <ns0:c r="V1029" s="17" t="n"/>
      <ns0:c r="W1029" s="17" t="n"/>
      <ns0:c r="X1029" s="17" t="n"/>
      <ns0:c r="Y1029" s="17" t="n"/>
      <ns0:c r="Z1029" s="17" t="n"/>
      <ns0:c r="AA1029" s="17" t="n"/>
      <ns0:c r="AB1029" s="17" t="n"/>
      <ns0:c r="AC1029" s="17" t="n"/>
      <ns0:c r="AD1029" s="17" t="n"/>
      <ns0:c r="AE1029" s="17" t="n"/>
      <ns0:c r="AF1029" s="17" t="n"/>
      <ns0:c r="AG1029" s="17" t="n"/>
    </ns0:row>
    <ns0:row r="1030" ht="24" customHeight="1">
      <ns0:c r="D1030" s="17" t="n"/>
      <ns0:c r="E1030" s="17" t="n"/>
      <ns0:c r="F1030" s="17" t="n"/>
      <ns0:c r="G1030" s="17" t="n"/>
      <ns0:c r="H1030" s="17" t="n"/>
      <ns0:c r="I1030" s="17" t="n"/>
      <ns0:c r="J1030" s="17" t="n"/>
      <ns0:c r="K1030" s="17" t="n"/>
      <ns0:c r="L1030" s="17" t="n"/>
      <ns0:c r="M1030" s="17" t="n"/>
      <ns0:c r="N1030" s="17" t="n"/>
      <ns0:c r="O1030" s="17" t="n"/>
      <ns0:c r="P1030" s="17" t="n"/>
      <ns0:c r="Q1030" s="17" t="n"/>
      <ns0:c r="R1030" s="17" t="n"/>
      <ns0:c r="S1030" s="17" t="n"/>
      <ns0:c r="T1030" s="17" t="n"/>
      <ns0:c r="U1030" s="17" t="n"/>
      <ns0:c r="V1030" s="17" t="n"/>
      <ns0:c r="W1030" s="17" t="n"/>
      <ns0:c r="X1030" s="17" t="n"/>
      <ns0:c r="Y1030" s="17" t="n"/>
      <ns0:c r="Z1030" s="17" t="n"/>
      <ns0:c r="AA1030" s="17" t="n"/>
      <ns0:c r="AB1030" s="17" t="n"/>
      <ns0:c r="AC1030" s="17" t="n"/>
      <ns0:c r="AD1030" s="17" t="n"/>
      <ns0:c r="AE1030" s="17" t="n"/>
      <ns0:c r="AF1030" s="17" t="n"/>
      <ns0:c r="AG1030" s="17" t="n"/>
    </ns0:row>
    <ns0:row r="1031" ht="24" customHeight="1">
      <ns0:c r="D1031" s="17" t="n"/>
      <ns0:c r="E1031" s="17" t="n"/>
      <ns0:c r="F1031" s="17" t="n"/>
      <ns0:c r="G1031" s="17" t="n"/>
      <ns0:c r="H1031" s="17" t="n"/>
      <ns0:c r="I1031" s="17" t="n"/>
      <ns0:c r="J1031" s="17" t="n"/>
      <ns0:c r="K1031" s="17" t="n"/>
      <ns0:c r="L1031" s="17" t="n"/>
      <ns0:c r="M1031" s="17" t="n"/>
      <ns0:c r="N1031" s="17" t="n"/>
      <ns0:c r="O1031" s="17" t="n"/>
      <ns0:c r="P1031" s="17" t="n"/>
      <ns0:c r="Q1031" s="17" t="n"/>
      <ns0:c r="R1031" s="17" t="n"/>
      <ns0:c r="S1031" s="17" t="n"/>
      <ns0:c r="T1031" s="17" t="n"/>
      <ns0:c r="U1031" s="17" t="n"/>
      <ns0:c r="V1031" s="17" t="n"/>
      <ns0:c r="W1031" s="17" t="n"/>
      <ns0:c r="X1031" s="17" t="n"/>
      <ns0:c r="Y1031" s="17" t="n"/>
      <ns0:c r="Z1031" s="17" t="n"/>
      <ns0:c r="AA1031" s="17" t="n"/>
      <ns0:c r="AB1031" s="17" t="n"/>
      <ns0:c r="AC1031" s="17" t="n"/>
      <ns0:c r="AD1031" s="17" t="n"/>
      <ns0:c r="AE1031" s="17" t="n"/>
      <ns0:c r="AF1031" s="17" t="n"/>
      <ns0:c r="AG1031" s="17" t="n"/>
    </ns0:row>
    <ns0:row r="1032" ht="24" customHeight="1">
      <ns0:c r="D1032" s="17" t="n"/>
      <ns0:c r="E1032" s="17" t="n"/>
      <ns0:c r="F1032" s="17" t="n"/>
      <ns0:c r="G1032" s="17" t="n"/>
      <ns0:c r="H1032" s="17" t="n"/>
      <ns0:c r="I1032" s="17" t="n"/>
      <ns0:c r="J1032" s="17" t="n"/>
      <ns0:c r="K1032" s="17" t="n"/>
      <ns0:c r="L1032" s="17" t="n"/>
      <ns0:c r="M1032" s="17" t="n"/>
      <ns0:c r="N1032" s="17" t="n"/>
      <ns0:c r="O1032" s="17" t="n"/>
      <ns0:c r="P1032" s="17" t="n"/>
      <ns0:c r="Q1032" s="17" t="n"/>
      <ns0:c r="R1032" s="17" t="n"/>
      <ns0:c r="S1032" s="17" t="n"/>
      <ns0:c r="T1032" s="17" t="n"/>
      <ns0:c r="U1032" s="17" t="n"/>
      <ns0:c r="V1032" s="17" t="n"/>
      <ns0:c r="W1032" s="17" t="n"/>
      <ns0:c r="X1032" s="17" t="n"/>
      <ns0:c r="Y1032" s="17" t="n"/>
      <ns0:c r="Z1032" s="17" t="n"/>
      <ns0:c r="AA1032" s="17" t="n"/>
      <ns0:c r="AB1032" s="17" t="n"/>
      <ns0:c r="AC1032" s="17" t="n"/>
      <ns0:c r="AD1032" s="17" t="n"/>
      <ns0:c r="AE1032" s="17" t="n"/>
      <ns0:c r="AF1032" s="17" t="n"/>
      <ns0:c r="AG1032" s="17" t="n"/>
    </ns0:row>
    <ns0:row r="1033" ht="24" customHeight="1">
      <ns0:c r="D1033" s="17" t="n"/>
      <ns0:c r="E1033" s="17" t="n"/>
      <ns0:c r="F1033" s="17" t="n"/>
      <ns0:c r="G1033" s="17" t="n"/>
      <ns0:c r="H1033" s="17" t="n"/>
      <ns0:c r="I1033" s="17" t="n"/>
      <ns0:c r="J1033" s="17" t="n"/>
      <ns0:c r="K1033" s="17" t="n"/>
      <ns0:c r="L1033" s="17" t="n"/>
      <ns0:c r="M1033" s="17" t="n"/>
      <ns0:c r="N1033" s="17" t="n"/>
      <ns0:c r="O1033" s="17" t="n"/>
      <ns0:c r="P1033" s="17" t="n"/>
      <ns0:c r="Q1033" s="17" t="n"/>
      <ns0:c r="R1033" s="17" t="n"/>
      <ns0:c r="S1033" s="17" t="n"/>
      <ns0:c r="T1033" s="17" t="n"/>
      <ns0:c r="U1033" s="17" t="n"/>
      <ns0:c r="V1033" s="17" t="n"/>
      <ns0:c r="W1033" s="17" t="n"/>
      <ns0:c r="X1033" s="17" t="n"/>
      <ns0:c r="Y1033" s="17" t="n"/>
      <ns0:c r="Z1033" s="17" t="n"/>
      <ns0:c r="AA1033" s="17" t="n"/>
      <ns0:c r="AB1033" s="17" t="n"/>
      <ns0:c r="AC1033" s="17" t="n"/>
      <ns0:c r="AD1033" s="17" t="n"/>
      <ns0:c r="AE1033" s="17" t="n"/>
      <ns0:c r="AF1033" s="17" t="n"/>
      <ns0:c r="AG1033" s="17" t="n"/>
    </ns0:row>
    <ns0:row r="1034" ht="24" customHeight="1">
      <ns0:c r="D1034" s="17" t="n"/>
      <ns0:c r="E1034" s="17" t="n"/>
      <ns0:c r="F1034" s="17" t="n"/>
      <ns0:c r="G1034" s="17" t="n"/>
      <ns0:c r="H1034" s="17" t="n"/>
      <ns0:c r="I1034" s="17" t="n"/>
      <ns0:c r="J1034" s="17" t="n"/>
      <ns0:c r="K1034" s="17" t="n"/>
      <ns0:c r="L1034" s="17" t="n"/>
      <ns0:c r="M1034" s="17" t="n"/>
      <ns0:c r="N1034" s="17" t="n"/>
      <ns0:c r="O1034" s="17" t="n"/>
      <ns0:c r="P1034" s="17" t="n"/>
      <ns0:c r="Q1034" s="17" t="n"/>
      <ns0:c r="R1034" s="17" t="n"/>
      <ns0:c r="S1034" s="17" t="n"/>
      <ns0:c r="T1034" s="17" t="n"/>
      <ns0:c r="U1034" s="17" t="n"/>
      <ns0:c r="V1034" s="17" t="n"/>
      <ns0:c r="W1034" s="17" t="n"/>
      <ns0:c r="X1034" s="17" t="n"/>
      <ns0:c r="Y1034" s="17" t="n"/>
      <ns0:c r="Z1034" s="17" t="n"/>
      <ns0:c r="AA1034" s="17" t="n"/>
      <ns0:c r="AB1034" s="17" t="n"/>
      <ns0:c r="AC1034" s="17" t="n"/>
      <ns0:c r="AD1034" s="17" t="n"/>
      <ns0:c r="AE1034" s="17" t="n"/>
      <ns0:c r="AF1034" s="17" t="n"/>
      <ns0:c r="AG1034" s="17" t="n"/>
    </ns0:row>
    <ns0:row r="1035" ht="24" customHeight="1">
      <ns0:c r="D1035" s="17" t="n"/>
      <ns0:c r="E1035" s="17" t="n"/>
      <ns0:c r="F1035" s="17" t="n"/>
      <ns0:c r="G1035" s="17" t="n"/>
      <ns0:c r="H1035" s="17" t="n"/>
      <ns0:c r="I1035" s="17" t="n"/>
      <ns0:c r="J1035" s="17" t="n"/>
      <ns0:c r="K1035" s="17" t="n"/>
      <ns0:c r="L1035" s="17" t="n"/>
      <ns0:c r="M1035" s="17" t="n"/>
      <ns0:c r="N1035" s="17" t="n"/>
      <ns0:c r="O1035" s="17" t="n"/>
      <ns0:c r="P1035" s="17" t="n"/>
      <ns0:c r="Q1035" s="17" t="n"/>
      <ns0:c r="R1035" s="17" t="n"/>
      <ns0:c r="S1035" s="17" t="n"/>
      <ns0:c r="T1035" s="17" t="n"/>
      <ns0:c r="U1035" s="17" t="n"/>
      <ns0:c r="V1035" s="17" t="n"/>
      <ns0:c r="W1035" s="17" t="n"/>
      <ns0:c r="X1035" s="17" t="n"/>
      <ns0:c r="Y1035" s="17" t="n"/>
      <ns0:c r="Z1035" s="17" t="n"/>
      <ns0:c r="AA1035" s="17" t="n"/>
      <ns0:c r="AB1035" s="17" t="n"/>
      <ns0:c r="AC1035" s="17" t="n"/>
      <ns0:c r="AD1035" s="17" t="n"/>
      <ns0:c r="AE1035" s="17" t="n"/>
      <ns0:c r="AF1035" s="17" t="n"/>
      <ns0:c r="AG1035" s="17" t="n"/>
    </ns0:row>
    <ns0:row r="1036" ht="24" customHeight="1">
      <ns0:c r="D1036" s="17" t="n"/>
      <ns0:c r="E1036" s="17" t="n"/>
      <ns0:c r="F1036" s="17" t="n"/>
      <ns0:c r="G1036" s="17" t="n"/>
      <ns0:c r="H1036" s="17" t="n"/>
      <ns0:c r="I1036" s="17" t="n"/>
      <ns0:c r="J1036" s="17" t="n"/>
      <ns0:c r="K1036" s="17" t="n"/>
      <ns0:c r="L1036" s="17" t="n"/>
      <ns0:c r="M1036" s="17" t="n"/>
      <ns0:c r="N1036" s="17" t="n"/>
      <ns0:c r="O1036" s="17" t="n"/>
      <ns0:c r="P1036" s="17" t="n"/>
      <ns0:c r="Q1036" s="17" t="n"/>
      <ns0:c r="R1036" s="17" t="n"/>
      <ns0:c r="S1036" s="17" t="n"/>
      <ns0:c r="T1036" s="17" t="n"/>
      <ns0:c r="U1036" s="17" t="n"/>
      <ns0:c r="V1036" s="17" t="n"/>
      <ns0:c r="W1036" s="17" t="n"/>
      <ns0:c r="X1036" s="17" t="n"/>
      <ns0:c r="Y1036" s="17" t="n"/>
      <ns0:c r="Z1036" s="17" t="n"/>
      <ns0:c r="AA1036" s="17" t="n"/>
      <ns0:c r="AB1036" s="17" t="n"/>
      <ns0:c r="AC1036" s="17" t="n"/>
      <ns0:c r="AD1036" s="17" t="n"/>
      <ns0:c r="AE1036" s="17" t="n"/>
      <ns0:c r="AF1036" s="17" t="n"/>
      <ns0:c r="AG1036" s="17" t="n"/>
    </ns0:row>
    <ns0:row r="1037" ht="24" customHeight="1">
      <ns0:c r="D1037" s="17" t="n"/>
      <ns0:c r="E1037" s="17" t="n"/>
      <ns0:c r="F1037" s="17" t="n"/>
      <ns0:c r="G1037" s="17" t="n"/>
      <ns0:c r="H1037" s="17" t="n"/>
      <ns0:c r="I1037" s="17" t="n"/>
      <ns0:c r="J1037" s="17" t="n"/>
      <ns0:c r="K1037" s="17" t="n"/>
      <ns0:c r="L1037" s="17" t="n"/>
      <ns0:c r="M1037" s="17" t="n"/>
      <ns0:c r="N1037" s="17" t="n"/>
      <ns0:c r="O1037" s="17" t="n"/>
      <ns0:c r="P1037" s="17" t="n"/>
      <ns0:c r="Q1037" s="17" t="n"/>
      <ns0:c r="R1037" s="17" t="n"/>
      <ns0:c r="S1037" s="17" t="n"/>
      <ns0:c r="T1037" s="17" t="n"/>
      <ns0:c r="U1037" s="17" t="n"/>
      <ns0:c r="V1037" s="17" t="n"/>
      <ns0:c r="W1037" s="17" t="n"/>
      <ns0:c r="X1037" s="17" t="n"/>
      <ns0:c r="Y1037" s="17" t="n"/>
      <ns0:c r="Z1037" s="17" t="n"/>
      <ns0:c r="AA1037" s="17" t="n"/>
      <ns0:c r="AB1037" s="17" t="n"/>
      <ns0:c r="AC1037" s="17" t="n"/>
      <ns0:c r="AD1037" s="17" t="n"/>
      <ns0:c r="AE1037" s="17" t="n"/>
      <ns0:c r="AF1037" s="17" t="n"/>
      <ns0:c r="AG1037" s="17" t="n"/>
    </ns0:row>
    <ns0:row r="1038" ht="24" customHeight="1">
      <ns0:c r="D1038" s="17" t="n"/>
      <ns0:c r="E1038" s="17" t="n"/>
      <ns0:c r="F1038" s="17" t="n"/>
      <ns0:c r="G1038" s="17" t="n"/>
      <ns0:c r="H1038" s="17" t="n"/>
      <ns0:c r="I1038" s="17" t="n"/>
      <ns0:c r="J1038" s="17" t="n"/>
      <ns0:c r="K1038" s="17" t="n"/>
      <ns0:c r="L1038" s="17" t="n"/>
      <ns0:c r="M1038" s="17" t="n"/>
      <ns0:c r="N1038" s="17" t="n"/>
      <ns0:c r="O1038" s="17" t="n"/>
      <ns0:c r="P1038" s="17" t="n"/>
      <ns0:c r="Q1038" s="17" t="n"/>
      <ns0:c r="R1038" s="17" t="n"/>
      <ns0:c r="S1038" s="17" t="n"/>
      <ns0:c r="T1038" s="17" t="n"/>
      <ns0:c r="U1038" s="17" t="n"/>
      <ns0:c r="V1038" s="17" t="n"/>
      <ns0:c r="W1038" s="17" t="n"/>
      <ns0:c r="X1038" s="17" t="n"/>
      <ns0:c r="Y1038" s="17" t="n"/>
      <ns0:c r="Z1038" s="17" t="n"/>
      <ns0:c r="AA1038" s="17" t="n"/>
      <ns0:c r="AB1038" s="17" t="n"/>
      <ns0:c r="AC1038" s="17" t="n"/>
      <ns0:c r="AD1038" s="17" t="n"/>
      <ns0:c r="AE1038" s="17" t="n"/>
      <ns0:c r="AF1038" s="17" t="n"/>
      <ns0:c r="AG1038" s="17" t="n"/>
    </ns0:row>
    <ns0:row r="1039" ht="24" customHeight="1">
      <ns0:c r="D1039" s="17" t="n"/>
      <ns0:c r="E1039" s="17" t="n"/>
      <ns0:c r="F1039" s="17" t="n"/>
      <ns0:c r="G1039" s="17" t="n"/>
      <ns0:c r="H1039" s="17" t="n"/>
      <ns0:c r="I1039" s="17" t="n"/>
      <ns0:c r="J1039" s="17" t="n"/>
      <ns0:c r="K1039" s="17" t="n"/>
      <ns0:c r="L1039" s="17" t="n"/>
      <ns0:c r="M1039" s="17" t="n"/>
      <ns0:c r="N1039" s="17" t="n"/>
      <ns0:c r="O1039" s="17" t="n"/>
      <ns0:c r="P1039" s="17" t="n"/>
      <ns0:c r="Q1039" s="17" t="n"/>
      <ns0:c r="R1039" s="17" t="n"/>
      <ns0:c r="S1039" s="17" t="n"/>
      <ns0:c r="T1039" s="17" t="n"/>
      <ns0:c r="U1039" s="17" t="n"/>
      <ns0:c r="V1039" s="17" t="n"/>
      <ns0:c r="W1039" s="17" t="n"/>
      <ns0:c r="X1039" s="17" t="n"/>
      <ns0:c r="Y1039" s="17" t="n"/>
      <ns0:c r="Z1039" s="17" t="n"/>
      <ns0:c r="AA1039" s="17" t="n"/>
      <ns0:c r="AB1039" s="17" t="n"/>
      <ns0:c r="AC1039" s="17" t="n"/>
      <ns0:c r="AD1039" s="17" t="n"/>
      <ns0:c r="AE1039" s="17" t="n"/>
      <ns0:c r="AF1039" s="17" t="n"/>
      <ns0:c r="AG1039" s="17" t="n"/>
    </ns0:row>
    <ns0:row r="1040" ht="24" customHeight="1">
      <ns0:c r="D1040" s="17" t="n"/>
      <ns0:c r="E1040" s="17" t="n"/>
      <ns0:c r="F1040" s="17" t="n"/>
      <ns0:c r="G1040" s="17" t="n"/>
      <ns0:c r="H1040" s="17" t="n"/>
      <ns0:c r="I1040" s="17" t="n"/>
      <ns0:c r="J1040" s="17" t="n"/>
      <ns0:c r="K1040" s="17" t="n"/>
      <ns0:c r="L1040" s="17" t="n"/>
      <ns0:c r="M1040" s="17" t="n"/>
      <ns0:c r="N1040" s="17" t="n"/>
      <ns0:c r="O1040" s="17" t="n"/>
      <ns0:c r="P1040" s="17" t="n"/>
      <ns0:c r="Q1040" s="17" t="n"/>
      <ns0:c r="R1040" s="17" t="n"/>
      <ns0:c r="S1040" s="17" t="n"/>
      <ns0:c r="T1040" s="17" t="n"/>
      <ns0:c r="U1040" s="17" t="n"/>
      <ns0:c r="V1040" s="17" t="n"/>
      <ns0:c r="W1040" s="17" t="n"/>
      <ns0:c r="X1040" s="17" t="n"/>
      <ns0:c r="Y1040" s="17" t="n"/>
      <ns0:c r="Z1040" s="17" t="n"/>
      <ns0:c r="AA1040" s="17" t="n"/>
      <ns0:c r="AB1040" s="17" t="n"/>
      <ns0:c r="AC1040" s="17" t="n"/>
      <ns0:c r="AD1040" s="17" t="n"/>
      <ns0:c r="AE1040" s="17" t="n"/>
      <ns0:c r="AF1040" s="17" t="n"/>
      <ns0:c r="AG1040" s="17" t="n"/>
    </ns0:row>
    <ns0:row r="1041" ht="24" customHeight="1">
      <ns0:c r="D1041" s="17" t="n"/>
      <ns0:c r="E1041" s="17" t="n"/>
      <ns0:c r="F1041" s="17" t="n"/>
      <ns0:c r="G1041" s="17" t="n"/>
      <ns0:c r="H1041" s="17" t="n"/>
      <ns0:c r="I1041" s="17" t="n"/>
      <ns0:c r="J1041" s="17" t="n"/>
      <ns0:c r="K1041" s="17" t="n"/>
      <ns0:c r="L1041" s="17" t="n"/>
      <ns0:c r="M1041" s="17" t="n"/>
      <ns0:c r="N1041" s="17" t="n"/>
      <ns0:c r="O1041" s="17" t="n"/>
      <ns0:c r="P1041" s="17" t="n"/>
      <ns0:c r="Q1041" s="17" t="n"/>
      <ns0:c r="R1041" s="17" t="n"/>
      <ns0:c r="S1041" s="17" t="n"/>
      <ns0:c r="T1041" s="17" t="n"/>
      <ns0:c r="U1041" s="17" t="n"/>
      <ns0:c r="V1041" s="17" t="n"/>
      <ns0:c r="W1041" s="17" t="n"/>
      <ns0:c r="X1041" s="17" t="n"/>
      <ns0:c r="Y1041" s="17" t="n"/>
      <ns0:c r="Z1041" s="17" t="n"/>
      <ns0:c r="AA1041" s="17" t="n"/>
      <ns0:c r="AB1041" s="17" t="n"/>
      <ns0:c r="AC1041" s="17" t="n"/>
      <ns0:c r="AD1041" s="17" t="n"/>
      <ns0:c r="AE1041" s="17" t="n"/>
      <ns0:c r="AF1041" s="17" t="n"/>
      <ns0:c r="AG1041" s="17" t="n"/>
    </ns0:row>
    <ns0:row r="1042" ht="24" customHeight="1">
      <ns0:c r="D1042" s="17" t="n"/>
      <ns0:c r="E1042" s="17" t="n"/>
      <ns0:c r="F1042" s="17" t="n"/>
      <ns0:c r="G1042" s="17" t="n"/>
      <ns0:c r="H1042" s="17" t="n"/>
      <ns0:c r="I1042" s="17" t="n"/>
      <ns0:c r="J1042" s="17" t="n"/>
      <ns0:c r="K1042" s="17" t="n"/>
      <ns0:c r="L1042" s="17" t="n"/>
      <ns0:c r="M1042" s="17" t="n"/>
      <ns0:c r="N1042" s="17" t="n"/>
      <ns0:c r="O1042" s="17" t="n"/>
      <ns0:c r="P1042" s="17" t="n"/>
      <ns0:c r="Q1042" s="17" t="n"/>
      <ns0:c r="R1042" s="17" t="n"/>
      <ns0:c r="S1042" s="17" t="n"/>
      <ns0:c r="T1042" s="17" t="n"/>
      <ns0:c r="U1042" s="17" t="n"/>
      <ns0:c r="V1042" s="17" t="n"/>
      <ns0:c r="W1042" s="17" t="n"/>
      <ns0:c r="X1042" s="17" t="n"/>
      <ns0:c r="Y1042" s="17" t="n"/>
      <ns0:c r="Z1042" s="17" t="n"/>
      <ns0:c r="AA1042" s="17" t="n"/>
      <ns0:c r="AB1042" s="17" t="n"/>
      <ns0:c r="AC1042" s="17" t="n"/>
      <ns0:c r="AD1042" s="17" t="n"/>
      <ns0:c r="AE1042" s="17" t="n"/>
      <ns0:c r="AF1042" s="17" t="n"/>
      <ns0:c r="AG1042" s="17" t="n"/>
    </ns0:row>
    <ns0:row r="1043" ht="24" customHeight="1">
      <ns0:c r="D1043" s="17" t="n"/>
      <ns0:c r="E1043" s="17" t="n"/>
      <ns0:c r="F1043" s="17" t="n"/>
      <ns0:c r="G1043" s="17" t="n"/>
      <ns0:c r="H1043" s="17" t="n"/>
      <ns0:c r="I1043" s="17" t="n"/>
      <ns0:c r="J1043" s="17" t="n"/>
      <ns0:c r="K1043" s="17" t="n"/>
      <ns0:c r="L1043" s="17" t="n"/>
      <ns0:c r="M1043" s="17" t="n"/>
      <ns0:c r="N1043" s="17" t="n"/>
      <ns0:c r="O1043" s="17" t="n"/>
      <ns0:c r="P1043" s="17" t="n"/>
      <ns0:c r="Q1043" s="17" t="n"/>
      <ns0:c r="R1043" s="17" t="n"/>
      <ns0:c r="S1043" s="17" t="n"/>
      <ns0:c r="T1043" s="17" t="n"/>
      <ns0:c r="U1043" s="17" t="n"/>
      <ns0:c r="V1043" s="17" t="n"/>
      <ns0:c r="W1043" s="17" t="n"/>
      <ns0:c r="X1043" s="17" t="n"/>
      <ns0:c r="Y1043" s="17" t="n"/>
      <ns0:c r="Z1043" s="17" t="n"/>
      <ns0:c r="AA1043" s="17" t="n"/>
      <ns0:c r="AB1043" s="17" t="n"/>
      <ns0:c r="AC1043" s="17" t="n"/>
      <ns0:c r="AD1043" s="17" t="n"/>
      <ns0:c r="AE1043" s="17" t="n"/>
      <ns0:c r="AF1043" s="17" t="n"/>
      <ns0:c r="AG1043" s="17" t="n"/>
    </ns0:row>
    <ns0:row r="1044" ht="24" customHeight="1">
      <ns0:c r="D1044" s="17" t="n"/>
      <ns0:c r="E1044" s="17" t="n"/>
      <ns0:c r="F1044" s="17" t="n"/>
      <ns0:c r="G1044" s="17" t="n"/>
      <ns0:c r="H1044" s="17" t="n"/>
      <ns0:c r="I1044" s="17" t="n"/>
      <ns0:c r="J1044" s="17" t="n"/>
      <ns0:c r="K1044" s="17" t="n"/>
      <ns0:c r="L1044" s="17" t="n"/>
      <ns0:c r="M1044" s="17" t="n"/>
      <ns0:c r="N1044" s="17" t="n"/>
      <ns0:c r="O1044" s="17" t="n"/>
      <ns0:c r="P1044" s="17" t="n"/>
      <ns0:c r="Q1044" s="17" t="n"/>
      <ns0:c r="R1044" s="17" t="n"/>
      <ns0:c r="S1044" s="17" t="n"/>
      <ns0:c r="T1044" s="17" t="n"/>
      <ns0:c r="U1044" s="17" t="n"/>
      <ns0:c r="V1044" s="17" t="n"/>
      <ns0:c r="W1044" s="17" t="n"/>
      <ns0:c r="X1044" s="17" t="n"/>
      <ns0:c r="Y1044" s="17" t="n"/>
      <ns0:c r="Z1044" s="17" t="n"/>
      <ns0:c r="AA1044" s="17" t="n"/>
      <ns0:c r="AB1044" s="17" t="n"/>
      <ns0:c r="AC1044" s="17" t="n"/>
      <ns0:c r="AD1044" s="17" t="n"/>
      <ns0:c r="AE1044" s="17" t="n"/>
      <ns0:c r="AF1044" s="17" t="n"/>
      <ns0:c r="AG1044" s="17" t="n"/>
    </ns0:row>
    <ns0:row r="1045" ht="24" customHeight="1">
      <ns0:c r="D1045" s="17" t="n"/>
      <ns0:c r="E1045" s="17" t="n"/>
      <ns0:c r="F1045" s="17" t="n"/>
      <ns0:c r="G1045" s="17" t="n"/>
      <ns0:c r="H1045" s="17" t="n"/>
      <ns0:c r="I1045" s="17" t="n"/>
      <ns0:c r="J1045" s="17" t="n"/>
      <ns0:c r="K1045" s="17" t="n"/>
      <ns0:c r="L1045" s="17" t="n"/>
      <ns0:c r="M1045" s="17" t="n"/>
      <ns0:c r="N1045" s="17" t="n"/>
      <ns0:c r="O1045" s="17" t="n"/>
      <ns0:c r="P1045" s="17" t="n"/>
      <ns0:c r="Q1045" s="17" t="n"/>
      <ns0:c r="R1045" s="17" t="n"/>
      <ns0:c r="S1045" s="17" t="n"/>
      <ns0:c r="T1045" s="17" t="n"/>
      <ns0:c r="U1045" s="17" t="n"/>
      <ns0:c r="V1045" s="17" t="n"/>
      <ns0:c r="W1045" s="17" t="n"/>
      <ns0:c r="X1045" s="17" t="n"/>
      <ns0:c r="Y1045" s="17" t="n"/>
      <ns0:c r="Z1045" s="17" t="n"/>
      <ns0:c r="AA1045" s="17" t="n"/>
      <ns0:c r="AB1045" s="17" t="n"/>
      <ns0:c r="AC1045" s="17" t="n"/>
      <ns0:c r="AD1045" s="17" t="n"/>
      <ns0:c r="AE1045" s="17" t="n"/>
      <ns0:c r="AF1045" s="17" t="n"/>
      <ns0:c r="AG1045" s="17" t="n"/>
    </ns0:row>
    <ns0:row r="1046" ht="24" customHeight="1">
      <ns0:c r="D1046" s="17" t="n"/>
      <ns0:c r="E1046" s="17" t="n"/>
      <ns0:c r="F1046" s="17" t="n"/>
      <ns0:c r="G1046" s="17" t="n"/>
      <ns0:c r="H1046" s="17" t="n"/>
      <ns0:c r="I1046" s="17" t="n"/>
      <ns0:c r="J1046" s="17" t="n"/>
      <ns0:c r="K1046" s="17" t="n"/>
      <ns0:c r="L1046" s="17" t="n"/>
      <ns0:c r="M1046" s="17" t="n"/>
      <ns0:c r="N1046" s="17" t="n"/>
      <ns0:c r="O1046" s="17" t="n"/>
      <ns0:c r="P1046" s="17" t="n"/>
      <ns0:c r="Q1046" s="17" t="n"/>
      <ns0:c r="R1046" s="17" t="n"/>
      <ns0:c r="S1046" s="17" t="n"/>
      <ns0:c r="T1046" s="17" t="n"/>
      <ns0:c r="U1046" s="17" t="n"/>
      <ns0:c r="V1046" s="17" t="n"/>
      <ns0:c r="W1046" s="17" t="n"/>
      <ns0:c r="X1046" s="17" t="n"/>
      <ns0:c r="Y1046" s="17" t="n"/>
      <ns0:c r="Z1046" s="17" t="n"/>
      <ns0:c r="AA1046" s="17" t="n"/>
      <ns0:c r="AB1046" s="17" t="n"/>
      <ns0:c r="AC1046" s="17" t="n"/>
      <ns0:c r="AD1046" s="17" t="n"/>
      <ns0:c r="AE1046" s="17" t="n"/>
      <ns0:c r="AF1046" s="17" t="n"/>
      <ns0:c r="AG1046" s="17" t="n"/>
    </ns0:row>
    <ns0:row r="1047" ht="24" customHeight="1">
      <ns0:c r="D1047" s="17" t="n"/>
      <ns0:c r="E1047" s="17" t="n"/>
      <ns0:c r="F1047" s="17" t="n"/>
      <ns0:c r="G1047" s="17" t="n"/>
      <ns0:c r="H1047" s="17" t="n"/>
      <ns0:c r="I1047" s="17" t="n"/>
      <ns0:c r="J1047" s="17" t="n"/>
      <ns0:c r="K1047" s="17" t="n"/>
      <ns0:c r="L1047" s="17" t="n"/>
      <ns0:c r="M1047" s="17" t="n"/>
      <ns0:c r="N1047" s="17" t="n"/>
      <ns0:c r="O1047" s="17" t="n"/>
      <ns0:c r="P1047" s="17" t="n"/>
      <ns0:c r="Q1047" s="17" t="n"/>
      <ns0:c r="R1047" s="17" t="n"/>
      <ns0:c r="S1047" s="17" t="n"/>
      <ns0:c r="T1047" s="17" t="n"/>
      <ns0:c r="U1047" s="17" t="n"/>
      <ns0:c r="V1047" s="17" t="n"/>
      <ns0:c r="W1047" s="17" t="n"/>
      <ns0:c r="X1047" s="17" t="n"/>
      <ns0:c r="Y1047" s="17" t="n"/>
      <ns0:c r="Z1047" s="17" t="n"/>
      <ns0:c r="AA1047" s="17" t="n"/>
      <ns0:c r="AB1047" s="17" t="n"/>
      <ns0:c r="AC1047" s="17" t="n"/>
      <ns0:c r="AD1047" s="17" t="n"/>
      <ns0:c r="AE1047" s="17" t="n"/>
      <ns0:c r="AF1047" s="17" t="n"/>
      <ns0:c r="AG1047" s="17" t="n"/>
    </ns0:row>
    <ns0:row r="1048" ht="24" customHeight="1">
      <ns0:c r="D1048" s="17" t="n"/>
      <ns0:c r="E1048" s="17" t="n"/>
      <ns0:c r="F1048" s="17" t="n"/>
      <ns0:c r="G1048" s="17" t="n"/>
      <ns0:c r="H1048" s="17" t="n"/>
      <ns0:c r="I1048" s="17" t="n"/>
      <ns0:c r="J1048" s="17" t="n"/>
      <ns0:c r="K1048" s="17" t="n"/>
      <ns0:c r="L1048" s="17" t="n"/>
      <ns0:c r="M1048" s="17" t="n"/>
      <ns0:c r="N1048" s="17" t="n"/>
      <ns0:c r="O1048" s="17" t="n"/>
      <ns0:c r="P1048" s="17" t="n"/>
      <ns0:c r="Q1048" s="17" t="n"/>
      <ns0:c r="R1048" s="17" t="n"/>
      <ns0:c r="S1048" s="17" t="n"/>
      <ns0:c r="T1048" s="17" t="n"/>
      <ns0:c r="U1048" s="17" t="n"/>
      <ns0:c r="V1048" s="17" t="n"/>
      <ns0:c r="W1048" s="17" t="n"/>
      <ns0:c r="X1048" s="17" t="n"/>
      <ns0:c r="Y1048" s="17" t="n"/>
      <ns0:c r="Z1048" s="17" t="n"/>
      <ns0:c r="AA1048" s="17" t="n"/>
      <ns0:c r="AB1048" s="17" t="n"/>
      <ns0:c r="AC1048" s="17" t="n"/>
      <ns0:c r="AD1048" s="17" t="n"/>
      <ns0:c r="AE1048" s="17" t="n"/>
      <ns0:c r="AF1048" s="17" t="n"/>
      <ns0:c r="AG1048" s="17" t="n"/>
    </ns0:row>
    <ns0:row r="1049" ht="24" customHeight="1">
      <ns0:c r="D1049" s="17" t="n"/>
      <ns0:c r="E1049" s="17" t="n"/>
      <ns0:c r="F1049" s="17" t="n"/>
      <ns0:c r="G1049" s="17" t="n"/>
      <ns0:c r="H1049" s="17" t="n"/>
      <ns0:c r="I1049" s="17" t="n"/>
      <ns0:c r="J1049" s="17" t="n"/>
      <ns0:c r="K1049" s="17" t="n"/>
      <ns0:c r="L1049" s="17" t="n"/>
      <ns0:c r="M1049" s="17" t="n"/>
      <ns0:c r="N1049" s="17" t="n"/>
      <ns0:c r="O1049" s="17" t="n"/>
      <ns0:c r="P1049" s="17" t="n"/>
      <ns0:c r="Q1049" s="17" t="n"/>
      <ns0:c r="R1049" s="17" t="n"/>
      <ns0:c r="S1049" s="17" t="n"/>
      <ns0:c r="T1049" s="17" t="n"/>
      <ns0:c r="U1049" s="17" t="n"/>
      <ns0:c r="V1049" s="17" t="n"/>
      <ns0:c r="W1049" s="17" t="n"/>
      <ns0:c r="X1049" s="17" t="n"/>
      <ns0:c r="Y1049" s="17" t="n"/>
      <ns0:c r="Z1049" s="17" t="n"/>
      <ns0:c r="AA1049" s="17" t="n"/>
      <ns0:c r="AB1049" s="17" t="n"/>
      <ns0:c r="AC1049" s="17" t="n"/>
      <ns0:c r="AD1049" s="17" t="n"/>
      <ns0:c r="AE1049" s="17" t="n"/>
      <ns0:c r="AF1049" s="17" t="n"/>
      <ns0:c r="AG1049" s="17" t="n"/>
    </ns0:row>
    <ns0:row r="1050" ht="24" customHeight="1">
      <ns0:c r="D1050" s="17" t="n"/>
      <ns0:c r="E1050" s="17" t="n"/>
      <ns0:c r="F1050" s="17" t="n"/>
      <ns0:c r="G1050" s="17" t="n"/>
      <ns0:c r="H1050" s="17" t="n"/>
      <ns0:c r="I1050" s="17" t="n"/>
      <ns0:c r="J1050" s="17" t="n"/>
      <ns0:c r="K1050" s="17" t="n"/>
      <ns0:c r="L1050" s="17" t="n"/>
      <ns0:c r="M1050" s="17" t="n"/>
      <ns0:c r="N1050" s="17" t="n"/>
      <ns0:c r="O1050" s="17" t="n"/>
      <ns0:c r="P1050" s="17" t="n"/>
      <ns0:c r="Q1050" s="17" t="n"/>
      <ns0:c r="R1050" s="17" t="n"/>
      <ns0:c r="S1050" s="17" t="n"/>
      <ns0:c r="T1050" s="17" t="n"/>
      <ns0:c r="U1050" s="17" t="n"/>
      <ns0:c r="V1050" s="17" t="n"/>
      <ns0:c r="W1050" s="17" t="n"/>
      <ns0:c r="X1050" s="17" t="n"/>
      <ns0:c r="Y1050" s="17" t="n"/>
      <ns0:c r="Z1050" s="17" t="n"/>
      <ns0:c r="AA1050" s="17" t="n"/>
      <ns0:c r="AB1050" s="17" t="n"/>
      <ns0:c r="AC1050" s="17" t="n"/>
      <ns0:c r="AD1050" s="17" t="n"/>
      <ns0:c r="AE1050" s="17" t="n"/>
      <ns0:c r="AF1050" s="17" t="n"/>
      <ns0:c r="AG1050" s="17" t="n"/>
    </ns0:row>
    <ns0:row r="1051" ht="24" customHeight="1">
      <ns0:c r="D1051" s="17" t="n"/>
      <ns0:c r="E1051" s="17" t="n"/>
      <ns0:c r="F1051" s="17" t="n"/>
      <ns0:c r="G1051" s="17" t="n"/>
      <ns0:c r="H1051" s="17" t="n"/>
      <ns0:c r="I1051" s="17" t="n"/>
      <ns0:c r="J1051" s="17" t="n"/>
      <ns0:c r="K1051" s="17" t="n"/>
      <ns0:c r="L1051" s="17" t="n"/>
      <ns0:c r="M1051" s="17" t="n"/>
      <ns0:c r="N1051" s="17" t="n"/>
      <ns0:c r="O1051" s="17" t="n"/>
      <ns0:c r="P1051" s="17" t="n"/>
      <ns0:c r="Q1051" s="17" t="n"/>
      <ns0:c r="R1051" s="17" t="n"/>
      <ns0:c r="S1051" s="17" t="n"/>
      <ns0:c r="T1051" s="17" t="n"/>
      <ns0:c r="U1051" s="17" t="n"/>
      <ns0:c r="V1051" s="17" t="n"/>
      <ns0:c r="W1051" s="17" t="n"/>
      <ns0:c r="X1051" s="17" t="n"/>
      <ns0:c r="Y1051" s="17" t="n"/>
      <ns0:c r="Z1051" s="17" t="n"/>
      <ns0:c r="AA1051" s="17" t="n"/>
      <ns0:c r="AB1051" s="17" t="n"/>
      <ns0:c r="AC1051" s="17" t="n"/>
      <ns0:c r="AD1051" s="17" t="n"/>
      <ns0:c r="AE1051" s="17" t="n"/>
      <ns0:c r="AF1051" s="17" t="n"/>
      <ns0:c r="AG1051" s="17" t="n"/>
    </ns0:row>
    <ns0:row r="1052" ht="24" customHeight="1">
      <ns0:c r="D1052" s="17" t="n"/>
      <ns0:c r="E1052" s="17" t="n"/>
      <ns0:c r="F1052" s="17" t="n"/>
      <ns0:c r="G1052" s="17" t="n"/>
      <ns0:c r="H1052" s="17" t="n"/>
      <ns0:c r="I1052" s="17" t="n"/>
      <ns0:c r="J1052" s="17" t="n"/>
      <ns0:c r="K1052" s="17" t="n"/>
      <ns0:c r="L1052" s="17" t="n"/>
      <ns0:c r="M1052" s="17" t="n"/>
      <ns0:c r="N1052" s="17" t="n"/>
      <ns0:c r="O1052" s="17" t="n"/>
      <ns0:c r="P1052" s="17" t="n"/>
      <ns0:c r="Q1052" s="17" t="n"/>
      <ns0:c r="R1052" s="17" t="n"/>
      <ns0:c r="S1052" s="17" t="n"/>
      <ns0:c r="T1052" s="17" t="n"/>
      <ns0:c r="U1052" s="17" t="n"/>
      <ns0:c r="V1052" s="17" t="n"/>
      <ns0:c r="W1052" s="17" t="n"/>
      <ns0:c r="X1052" s="17" t="n"/>
      <ns0:c r="Y1052" s="17" t="n"/>
      <ns0:c r="Z1052" s="17" t="n"/>
      <ns0:c r="AA1052" s="17" t="n"/>
      <ns0:c r="AB1052" s="17" t="n"/>
      <ns0:c r="AC1052" s="17" t="n"/>
      <ns0:c r="AD1052" s="17" t="n"/>
      <ns0:c r="AE1052" s="17" t="n"/>
      <ns0:c r="AF1052" s="17" t="n"/>
      <ns0:c r="AG1052" s="17" t="n"/>
    </ns0:row>
    <ns0:row r="1053" ht="24" customHeight="1">
      <ns0:c r="D1053" s="17" t="n"/>
      <ns0:c r="E1053" s="17" t="n"/>
      <ns0:c r="F1053" s="17" t="n"/>
      <ns0:c r="G1053" s="17" t="n"/>
      <ns0:c r="H1053" s="17" t="n"/>
      <ns0:c r="I1053" s="17" t="n"/>
      <ns0:c r="J1053" s="17" t="n"/>
      <ns0:c r="K1053" s="17" t="n"/>
      <ns0:c r="L1053" s="17" t="n"/>
      <ns0:c r="M1053" s="17" t="n"/>
      <ns0:c r="N1053" s="17" t="n"/>
      <ns0:c r="O1053" s="17" t="n"/>
      <ns0:c r="P1053" s="17" t="n"/>
      <ns0:c r="Q1053" s="17" t="n"/>
      <ns0:c r="R1053" s="17" t="n"/>
      <ns0:c r="S1053" s="17" t="n"/>
      <ns0:c r="T1053" s="17" t="n"/>
      <ns0:c r="U1053" s="17" t="n"/>
      <ns0:c r="V1053" s="17" t="n"/>
      <ns0:c r="W1053" s="17" t="n"/>
      <ns0:c r="X1053" s="17" t="n"/>
      <ns0:c r="Y1053" s="17" t="n"/>
      <ns0:c r="Z1053" s="17" t="n"/>
      <ns0:c r="AA1053" s="17" t="n"/>
      <ns0:c r="AB1053" s="17" t="n"/>
      <ns0:c r="AC1053" s="17" t="n"/>
      <ns0:c r="AD1053" s="17" t="n"/>
      <ns0:c r="AE1053" s="17" t="n"/>
      <ns0:c r="AF1053" s="17" t="n"/>
      <ns0:c r="AG1053" s="17" t="n"/>
    </ns0:row>
    <ns0:row r="1054" ht="24" customHeight="1">
      <ns0:c r="D1054" s="17" t="n"/>
      <ns0:c r="E1054" s="17" t="n"/>
      <ns0:c r="F1054" s="17" t="n"/>
      <ns0:c r="G1054" s="17" t="n"/>
      <ns0:c r="H1054" s="17" t="n"/>
      <ns0:c r="I1054" s="17" t="n"/>
      <ns0:c r="J1054" s="17" t="n"/>
      <ns0:c r="K1054" s="17" t="n"/>
      <ns0:c r="L1054" s="17" t="n"/>
      <ns0:c r="M1054" s="17" t="n"/>
      <ns0:c r="N1054" s="17" t="n"/>
      <ns0:c r="O1054" s="17" t="n"/>
      <ns0:c r="P1054" s="17" t="n"/>
      <ns0:c r="Q1054" s="17" t="n"/>
      <ns0:c r="R1054" s="17" t="n"/>
      <ns0:c r="S1054" s="17" t="n"/>
      <ns0:c r="T1054" s="17" t="n"/>
      <ns0:c r="U1054" s="17" t="n"/>
      <ns0:c r="V1054" s="17" t="n"/>
      <ns0:c r="W1054" s="17" t="n"/>
      <ns0:c r="X1054" s="17" t="n"/>
      <ns0:c r="Y1054" s="17" t="n"/>
      <ns0:c r="Z1054" s="17" t="n"/>
      <ns0:c r="AA1054" s="17" t="n"/>
      <ns0:c r="AB1054" s="17" t="n"/>
      <ns0:c r="AC1054" s="17" t="n"/>
      <ns0:c r="AD1054" s="17" t="n"/>
      <ns0:c r="AE1054" s="17" t="n"/>
      <ns0:c r="AF1054" s="17" t="n"/>
      <ns0:c r="AG1054" s="17" t="n"/>
    </ns0:row>
    <ns0:row r="1055" ht="24" customHeight="1">
      <ns0:c r="D1055" s="17" t="n"/>
      <ns0:c r="E1055" s="17" t="n"/>
      <ns0:c r="F1055" s="17" t="n"/>
      <ns0:c r="G1055" s="17" t="n"/>
      <ns0:c r="H1055" s="17" t="n"/>
      <ns0:c r="I1055" s="17" t="n"/>
      <ns0:c r="J1055" s="17" t="n"/>
      <ns0:c r="K1055" s="17" t="n"/>
      <ns0:c r="L1055" s="17" t="n"/>
      <ns0:c r="M1055" s="17" t="n"/>
      <ns0:c r="N1055" s="17" t="n"/>
      <ns0:c r="O1055" s="17" t="n"/>
      <ns0:c r="P1055" s="17" t="n"/>
      <ns0:c r="Q1055" s="17" t="n"/>
      <ns0:c r="R1055" s="17" t="n"/>
      <ns0:c r="S1055" s="17" t="n"/>
      <ns0:c r="T1055" s="17" t="n"/>
      <ns0:c r="U1055" s="17" t="n"/>
      <ns0:c r="V1055" s="17" t="n"/>
      <ns0:c r="W1055" s="17" t="n"/>
      <ns0:c r="X1055" s="17" t="n"/>
      <ns0:c r="Y1055" s="17" t="n"/>
      <ns0:c r="Z1055" s="17" t="n"/>
      <ns0:c r="AA1055" s="17" t="n"/>
      <ns0:c r="AB1055" s="17" t="n"/>
      <ns0:c r="AC1055" s="17" t="n"/>
      <ns0:c r="AD1055" s="17" t="n"/>
      <ns0:c r="AE1055" s="17" t="n"/>
      <ns0:c r="AF1055" s="17" t="n"/>
      <ns0:c r="AG1055" s="17" t="n"/>
    </ns0:row>
    <ns0:row r="1056" ht="24" customHeight="1">
      <ns0:c r="D1056" s="17" t="n"/>
      <ns0:c r="E1056" s="17" t="n"/>
      <ns0:c r="F1056" s="17" t="n"/>
      <ns0:c r="G1056" s="17" t="n"/>
      <ns0:c r="H1056" s="17" t="n"/>
      <ns0:c r="I1056" s="17" t="n"/>
      <ns0:c r="J1056" s="17" t="n"/>
      <ns0:c r="K1056" s="17" t="n"/>
      <ns0:c r="L1056" s="17" t="n"/>
      <ns0:c r="M1056" s="17" t="n"/>
      <ns0:c r="N1056" s="17" t="n"/>
      <ns0:c r="O1056" s="17" t="n"/>
      <ns0:c r="P1056" s="17" t="n"/>
      <ns0:c r="Q1056" s="17" t="n"/>
      <ns0:c r="R1056" s="17" t="n"/>
      <ns0:c r="S1056" s="17" t="n"/>
      <ns0:c r="T1056" s="17" t="n"/>
      <ns0:c r="U1056" s="17" t="n"/>
      <ns0:c r="V1056" s="17" t="n"/>
      <ns0:c r="W1056" s="17" t="n"/>
      <ns0:c r="X1056" s="17" t="n"/>
      <ns0:c r="Y1056" s="17" t="n"/>
      <ns0:c r="Z1056" s="17" t="n"/>
      <ns0:c r="AA1056" s="17" t="n"/>
      <ns0:c r="AB1056" s="17" t="n"/>
      <ns0:c r="AC1056" s="17" t="n"/>
      <ns0:c r="AD1056" s="17" t="n"/>
      <ns0:c r="AE1056" s="17" t="n"/>
      <ns0:c r="AF1056" s="17" t="n"/>
      <ns0:c r="AG1056" s="17" t="n"/>
    </ns0:row>
    <ns0:row r="1057" ht="24" customHeight="1">
      <ns0:c r="D1057" s="17" t="n"/>
      <ns0:c r="E1057" s="17" t="n"/>
      <ns0:c r="F1057" s="17" t="n"/>
      <ns0:c r="G1057" s="17" t="n"/>
      <ns0:c r="H1057" s="17" t="n"/>
      <ns0:c r="I1057" s="17" t="n"/>
      <ns0:c r="J1057" s="17" t="n"/>
      <ns0:c r="K1057" s="17" t="n"/>
      <ns0:c r="L1057" s="17" t="n"/>
      <ns0:c r="M1057" s="17" t="n"/>
      <ns0:c r="N1057" s="17" t="n"/>
      <ns0:c r="O1057" s="17" t="n"/>
      <ns0:c r="P1057" s="17" t="n"/>
      <ns0:c r="Q1057" s="17" t="n"/>
      <ns0:c r="R1057" s="17" t="n"/>
      <ns0:c r="S1057" s="17" t="n"/>
      <ns0:c r="T1057" s="17" t="n"/>
      <ns0:c r="U1057" s="17" t="n"/>
      <ns0:c r="V1057" s="17" t="n"/>
      <ns0:c r="W1057" s="17" t="n"/>
      <ns0:c r="X1057" s="17" t="n"/>
      <ns0:c r="Y1057" s="17" t="n"/>
      <ns0:c r="Z1057" s="17" t="n"/>
      <ns0:c r="AA1057" s="17" t="n"/>
      <ns0:c r="AB1057" s="17" t="n"/>
      <ns0:c r="AC1057" s="17" t="n"/>
      <ns0:c r="AD1057" s="17" t="n"/>
      <ns0:c r="AE1057" s="17" t="n"/>
      <ns0:c r="AF1057" s="17" t="n"/>
      <ns0:c r="AG1057" s="17" t="n"/>
    </ns0:row>
    <ns0:row r="1058" ht="24" customHeight="1">
      <ns0:c r="D1058" s="17" t="n"/>
      <ns0:c r="E1058" s="17" t="n"/>
      <ns0:c r="F1058" s="17" t="n"/>
      <ns0:c r="G1058" s="17" t="n"/>
      <ns0:c r="H1058" s="17" t="n"/>
      <ns0:c r="I1058" s="17" t="n"/>
      <ns0:c r="J1058" s="17" t="n"/>
      <ns0:c r="K1058" s="17" t="n"/>
      <ns0:c r="L1058" s="17" t="n"/>
      <ns0:c r="M1058" s="17" t="n"/>
      <ns0:c r="N1058" s="17" t="n"/>
      <ns0:c r="O1058" s="17" t="n"/>
      <ns0:c r="P1058" s="17" t="n"/>
      <ns0:c r="Q1058" s="17" t="n"/>
      <ns0:c r="R1058" s="17" t="n"/>
      <ns0:c r="S1058" s="17" t="n"/>
      <ns0:c r="T1058" s="17" t="n"/>
      <ns0:c r="U1058" s="17" t="n"/>
      <ns0:c r="V1058" s="17" t="n"/>
      <ns0:c r="W1058" s="17" t="n"/>
      <ns0:c r="X1058" s="17" t="n"/>
      <ns0:c r="Y1058" s="17" t="n"/>
      <ns0:c r="Z1058" s="17" t="n"/>
      <ns0:c r="AA1058" s="17" t="n"/>
      <ns0:c r="AB1058" s="17" t="n"/>
      <ns0:c r="AC1058" s="17" t="n"/>
      <ns0:c r="AD1058" s="17" t="n"/>
      <ns0:c r="AE1058" s="17" t="n"/>
      <ns0:c r="AF1058" s="17" t="n"/>
      <ns0:c r="AG1058" s="17" t="n"/>
    </ns0:row>
    <ns0:row r="1059" ht="24" customHeight="1">
      <ns0:c r="D1059" s="17" t="n"/>
      <ns0:c r="E1059" s="17" t="n"/>
      <ns0:c r="F1059" s="17" t="n"/>
      <ns0:c r="G1059" s="17" t="n"/>
      <ns0:c r="H1059" s="17" t="n"/>
      <ns0:c r="I1059" s="17" t="n"/>
      <ns0:c r="J1059" s="17" t="n"/>
      <ns0:c r="K1059" s="17" t="n"/>
      <ns0:c r="L1059" s="17" t="n"/>
      <ns0:c r="M1059" s="17" t="n"/>
      <ns0:c r="N1059" s="17" t="n"/>
      <ns0:c r="O1059" s="17" t="n"/>
      <ns0:c r="P1059" s="17" t="n"/>
      <ns0:c r="Q1059" s="17" t="n"/>
      <ns0:c r="R1059" s="17" t="n"/>
      <ns0:c r="S1059" s="17" t="n"/>
      <ns0:c r="T1059" s="17" t="n"/>
      <ns0:c r="U1059" s="17" t="n"/>
      <ns0:c r="V1059" s="17" t="n"/>
      <ns0:c r="W1059" s="17" t="n"/>
      <ns0:c r="X1059" s="17" t="n"/>
      <ns0:c r="Y1059" s="17" t="n"/>
      <ns0:c r="Z1059" s="17" t="n"/>
      <ns0:c r="AA1059" s="17" t="n"/>
      <ns0:c r="AB1059" s="17" t="n"/>
      <ns0:c r="AC1059" s="17" t="n"/>
      <ns0:c r="AD1059" s="17" t="n"/>
      <ns0:c r="AE1059" s="17" t="n"/>
      <ns0:c r="AF1059" s="17" t="n"/>
      <ns0:c r="AG1059" s="17" t="n"/>
    </ns0:row>
    <ns0:row r="1060" ht="24" customHeight="1">
      <ns0:c r="D1060" s="17" t="n"/>
      <ns0:c r="E1060" s="17" t="n"/>
      <ns0:c r="F1060" s="17" t="n"/>
      <ns0:c r="G1060" s="17" t="n"/>
      <ns0:c r="H1060" s="17" t="n"/>
      <ns0:c r="I1060" s="17" t="n"/>
      <ns0:c r="J1060" s="17" t="n"/>
      <ns0:c r="K1060" s="17" t="n"/>
      <ns0:c r="L1060" s="17" t="n"/>
      <ns0:c r="M1060" s="17" t="n"/>
      <ns0:c r="N1060" s="17" t="n"/>
      <ns0:c r="O1060" s="17" t="n"/>
      <ns0:c r="P1060" s="17" t="n"/>
      <ns0:c r="Q1060" s="17" t="n"/>
      <ns0:c r="R1060" s="17" t="n"/>
      <ns0:c r="S1060" s="17" t="n"/>
      <ns0:c r="T1060" s="17" t="n"/>
      <ns0:c r="U1060" s="17" t="n"/>
      <ns0:c r="V1060" s="17" t="n"/>
      <ns0:c r="W1060" s="17" t="n"/>
      <ns0:c r="X1060" s="17" t="n"/>
      <ns0:c r="Y1060" s="17" t="n"/>
      <ns0:c r="Z1060" s="17" t="n"/>
      <ns0:c r="AA1060" s="17" t="n"/>
      <ns0:c r="AB1060" s="17" t="n"/>
      <ns0:c r="AC1060" s="17" t="n"/>
      <ns0:c r="AD1060" s="17" t="n"/>
      <ns0:c r="AE1060" s="17" t="n"/>
      <ns0:c r="AF1060" s="17" t="n"/>
      <ns0:c r="AG1060" s="17" t="n"/>
    </ns0:row>
    <ns0:row r="1061" ht="24" customHeight="1">
      <ns0:c r="D1061" s="17" t="n"/>
      <ns0:c r="E1061" s="17" t="n"/>
      <ns0:c r="F1061" s="17" t="n"/>
      <ns0:c r="G1061" s="17" t="n"/>
      <ns0:c r="H1061" s="17" t="n"/>
      <ns0:c r="I1061" s="17" t="n"/>
      <ns0:c r="J1061" s="17" t="n"/>
      <ns0:c r="K1061" s="17" t="n"/>
      <ns0:c r="L1061" s="17" t="n"/>
      <ns0:c r="M1061" s="17" t="n"/>
      <ns0:c r="N1061" s="17" t="n"/>
      <ns0:c r="O1061" s="17" t="n"/>
      <ns0:c r="P1061" s="17" t="n"/>
      <ns0:c r="Q1061" s="17" t="n"/>
      <ns0:c r="R1061" s="17" t="n"/>
      <ns0:c r="S1061" s="17" t="n"/>
      <ns0:c r="T1061" s="17" t="n"/>
      <ns0:c r="U1061" s="17" t="n"/>
      <ns0:c r="V1061" s="17" t="n"/>
      <ns0:c r="W1061" s="17" t="n"/>
      <ns0:c r="X1061" s="17" t="n"/>
      <ns0:c r="Y1061" s="17" t="n"/>
      <ns0:c r="Z1061" s="17" t="n"/>
      <ns0:c r="AA1061" s="17" t="n"/>
      <ns0:c r="AB1061" s="17" t="n"/>
      <ns0:c r="AC1061" s="17" t="n"/>
      <ns0:c r="AD1061" s="17" t="n"/>
      <ns0:c r="AE1061" s="17" t="n"/>
      <ns0:c r="AF1061" s="17" t="n"/>
      <ns0:c r="AG1061" s="17" t="n"/>
    </ns0:row>
    <ns0:row r="1062" ht="24" customHeight="1">
      <ns0:c r="D1062" s="17" t="n"/>
      <ns0:c r="E1062" s="17" t="n"/>
      <ns0:c r="F1062" s="17" t="n"/>
      <ns0:c r="G1062" s="17" t="n"/>
      <ns0:c r="H1062" s="17" t="n"/>
      <ns0:c r="I1062" s="17" t="n"/>
      <ns0:c r="J1062" s="17" t="n"/>
      <ns0:c r="K1062" s="17" t="n"/>
      <ns0:c r="L1062" s="17" t="n"/>
      <ns0:c r="M1062" s="17" t="n"/>
      <ns0:c r="N1062" s="17" t="n"/>
      <ns0:c r="O1062" s="17" t="n"/>
      <ns0:c r="P1062" s="17" t="n"/>
      <ns0:c r="Q1062" s="17" t="n"/>
      <ns0:c r="R1062" s="17" t="n"/>
      <ns0:c r="S1062" s="17" t="n"/>
      <ns0:c r="T1062" s="17" t="n"/>
      <ns0:c r="U1062" s="17" t="n"/>
      <ns0:c r="V1062" s="17" t="n"/>
      <ns0:c r="W1062" s="17" t="n"/>
      <ns0:c r="X1062" s="17" t="n"/>
      <ns0:c r="Y1062" s="17" t="n"/>
      <ns0:c r="Z1062" s="17" t="n"/>
      <ns0:c r="AA1062" s="17" t="n"/>
      <ns0:c r="AB1062" s="17" t="n"/>
      <ns0:c r="AC1062" s="17" t="n"/>
      <ns0:c r="AD1062" s="17" t="n"/>
      <ns0:c r="AE1062" s="17" t="n"/>
      <ns0:c r="AF1062" s="17" t="n"/>
      <ns0:c r="AG1062" s="17" t="n"/>
    </ns0:row>
    <ns0:row r="1063" ht="24" customHeight="1">
      <ns0:c r="D1063" s="17" t="n"/>
      <ns0:c r="E1063" s="17" t="n"/>
      <ns0:c r="F1063" s="17" t="n"/>
      <ns0:c r="G1063" s="17" t="n"/>
      <ns0:c r="H1063" s="17" t="n"/>
      <ns0:c r="I1063" s="17" t="n"/>
      <ns0:c r="J1063" s="17" t="n"/>
      <ns0:c r="K1063" s="17" t="n"/>
      <ns0:c r="L1063" s="17" t="n"/>
      <ns0:c r="M1063" s="17" t="n"/>
      <ns0:c r="N1063" s="17" t="n"/>
      <ns0:c r="O1063" s="17" t="n"/>
      <ns0:c r="P1063" s="17" t="n"/>
      <ns0:c r="Q1063" s="17" t="n"/>
      <ns0:c r="R1063" s="17" t="n"/>
      <ns0:c r="S1063" s="17" t="n"/>
      <ns0:c r="T1063" s="17" t="n"/>
      <ns0:c r="U1063" s="17" t="n"/>
      <ns0:c r="V1063" s="17" t="n"/>
      <ns0:c r="W1063" s="17" t="n"/>
      <ns0:c r="X1063" s="17" t="n"/>
      <ns0:c r="Y1063" s="17" t="n"/>
      <ns0:c r="Z1063" s="17" t="n"/>
      <ns0:c r="AA1063" s="17" t="n"/>
      <ns0:c r="AB1063" s="17" t="n"/>
      <ns0:c r="AC1063" s="17" t="n"/>
      <ns0:c r="AD1063" s="17" t="n"/>
      <ns0:c r="AE1063" s="17" t="n"/>
      <ns0:c r="AF1063" s="17" t="n"/>
      <ns0:c r="AG1063" s="17" t="n"/>
    </ns0:row>
    <ns0:row r="1064" ht="24" customHeight="1">
      <ns0:c r="D1064" s="17" t="n"/>
      <ns0:c r="E1064" s="17" t="n"/>
      <ns0:c r="F1064" s="17" t="n"/>
      <ns0:c r="G1064" s="17" t="n"/>
      <ns0:c r="H1064" s="17" t="n"/>
      <ns0:c r="I1064" s="17" t="n"/>
      <ns0:c r="J1064" s="17" t="n"/>
      <ns0:c r="K1064" s="17" t="n"/>
      <ns0:c r="L1064" s="17" t="n"/>
      <ns0:c r="M1064" s="17" t="n"/>
      <ns0:c r="N1064" s="17" t="n"/>
      <ns0:c r="O1064" s="17" t="n"/>
      <ns0:c r="P1064" s="17" t="n"/>
      <ns0:c r="Q1064" s="17" t="n"/>
      <ns0:c r="R1064" s="17" t="n"/>
      <ns0:c r="S1064" s="17" t="n"/>
      <ns0:c r="T1064" s="17" t="n"/>
      <ns0:c r="U1064" s="17" t="n"/>
      <ns0:c r="V1064" s="17" t="n"/>
      <ns0:c r="W1064" s="17" t="n"/>
      <ns0:c r="X1064" s="17" t="n"/>
      <ns0:c r="Y1064" s="17" t="n"/>
      <ns0:c r="Z1064" s="17" t="n"/>
      <ns0:c r="AA1064" s="17" t="n"/>
      <ns0:c r="AB1064" s="17" t="n"/>
      <ns0:c r="AC1064" s="17" t="n"/>
      <ns0:c r="AD1064" s="17" t="n"/>
      <ns0:c r="AE1064" s="17" t="n"/>
      <ns0:c r="AF1064" s="17" t="n"/>
      <ns0:c r="AG1064" s="17" t="n"/>
    </ns0:row>
    <ns0:row r="1065" ht="24" customHeight="1">
      <ns0:c r="D1065" s="17" t="n"/>
      <ns0:c r="E1065" s="17" t="n"/>
      <ns0:c r="F1065" s="17" t="n"/>
      <ns0:c r="G1065" s="17" t="n"/>
      <ns0:c r="H1065" s="17" t="n"/>
      <ns0:c r="I1065" s="17" t="n"/>
      <ns0:c r="J1065" s="17" t="n"/>
      <ns0:c r="K1065" s="17" t="n"/>
      <ns0:c r="L1065" s="17" t="n"/>
      <ns0:c r="M1065" s="17" t="n"/>
      <ns0:c r="N1065" s="17" t="n"/>
      <ns0:c r="O1065" s="17" t="n"/>
      <ns0:c r="P1065" s="17" t="n"/>
      <ns0:c r="Q1065" s="17" t="n"/>
      <ns0:c r="R1065" s="17" t="n"/>
      <ns0:c r="S1065" s="17" t="n"/>
      <ns0:c r="T1065" s="17" t="n"/>
      <ns0:c r="U1065" s="17" t="n"/>
      <ns0:c r="V1065" s="17" t="n"/>
      <ns0:c r="W1065" s="17" t="n"/>
      <ns0:c r="X1065" s="17" t="n"/>
      <ns0:c r="Y1065" s="17" t="n"/>
      <ns0:c r="Z1065" s="17" t="n"/>
      <ns0:c r="AA1065" s="17" t="n"/>
      <ns0:c r="AB1065" s="17" t="n"/>
      <ns0:c r="AC1065" s="17" t="n"/>
      <ns0:c r="AD1065" s="17" t="n"/>
      <ns0:c r="AE1065" s="17" t="n"/>
      <ns0:c r="AF1065" s="17" t="n"/>
      <ns0:c r="AG1065" s="17" t="n"/>
    </ns0:row>
    <ns0:row r="1066" ht="24" customHeight="1">
      <ns0:c r="D1066" s="17" t="n"/>
      <ns0:c r="E1066" s="17" t="n"/>
      <ns0:c r="F1066" s="17" t="n"/>
      <ns0:c r="G1066" s="17" t="n"/>
      <ns0:c r="H1066" s="17" t="n"/>
      <ns0:c r="I1066" s="17" t="n"/>
      <ns0:c r="J1066" s="17" t="n"/>
      <ns0:c r="K1066" s="17" t="n"/>
      <ns0:c r="L1066" s="17" t="n"/>
      <ns0:c r="M1066" s="17" t="n"/>
      <ns0:c r="N1066" s="17" t="n"/>
      <ns0:c r="O1066" s="17" t="n"/>
      <ns0:c r="P1066" s="17" t="n"/>
      <ns0:c r="Q1066" s="17" t="n"/>
      <ns0:c r="R1066" s="17" t="n"/>
      <ns0:c r="S1066" s="17" t="n"/>
      <ns0:c r="T1066" s="17" t="n"/>
      <ns0:c r="U1066" s="17" t="n"/>
      <ns0:c r="V1066" s="17" t="n"/>
      <ns0:c r="W1066" s="17" t="n"/>
      <ns0:c r="X1066" s="17" t="n"/>
      <ns0:c r="Y1066" s="17" t="n"/>
      <ns0:c r="Z1066" s="17" t="n"/>
      <ns0:c r="AA1066" s="17" t="n"/>
      <ns0:c r="AB1066" s="17" t="n"/>
      <ns0:c r="AC1066" s="17" t="n"/>
      <ns0:c r="AD1066" s="17" t="n"/>
      <ns0:c r="AE1066" s="17" t="n"/>
      <ns0:c r="AF1066" s="17" t="n"/>
      <ns0:c r="AG1066" s="17" t="n"/>
    </ns0:row>
    <ns0:row r="1067" ht="24" customHeight="1">
      <ns0:c r="D1067" s="17" t="n"/>
      <ns0:c r="E1067" s="17" t="n"/>
      <ns0:c r="F1067" s="17" t="n"/>
      <ns0:c r="G1067" s="17" t="n"/>
      <ns0:c r="H1067" s="17" t="n"/>
      <ns0:c r="I1067" s="17" t="n"/>
      <ns0:c r="J1067" s="17" t="n"/>
      <ns0:c r="K1067" s="17" t="n"/>
      <ns0:c r="L1067" s="17" t="n"/>
      <ns0:c r="M1067" s="17" t="n"/>
      <ns0:c r="N1067" s="17" t="n"/>
      <ns0:c r="O1067" s="17" t="n"/>
      <ns0:c r="P1067" s="17" t="n"/>
      <ns0:c r="Q1067" s="17" t="n"/>
      <ns0:c r="R1067" s="17" t="n"/>
      <ns0:c r="S1067" s="17" t="n"/>
      <ns0:c r="T1067" s="17" t="n"/>
      <ns0:c r="U1067" s="17" t="n"/>
      <ns0:c r="V1067" s="17" t="n"/>
      <ns0:c r="W1067" s="17" t="n"/>
      <ns0:c r="X1067" s="17" t="n"/>
      <ns0:c r="Y1067" s="17" t="n"/>
      <ns0:c r="Z1067" s="17" t="n"/>
      <ns0:c r="AA1067" s="17" t="n"/>
      <ns0:c r="AB1067" s="17" t="n"/>
      <ns0:c r="AC1067" s="17" t="n"/>
      <ns0:c r="AD1067" s="17" t="n"/>
      <ns0:c r="AE1067" s="17" t="n"/>
      <ns0:c r="AF1067" s="17" t="n"/>
      <ns0:c r="AG1067" s="17" t="n"/>
    </ns0:row>
    <ns0:row r="1068" ht="24" customHeight="1">
      <ns0:c r="D1068" s="17" t="n"/>
      <ns0:c r="E1068" s="17" t="n"/>
      <ns0:c r="F1068" s="17" t="n"/>
      <ns0:c r="G1068" s="17" t="n"/>
      <ns0:c r="H1068" s="17" t="n"/>
      <ns0:c r="I1068" s="17" t="n"/>
      <ns0:c r="J1068" s="17" t="n"/>
      <ns0:c r="K1068" s="17" t="n"/>
      <ns0:c r="L1068" s="17" t="n"/>
      <ns0:c r="M1068" s="17" t="n"/>
      <ns0:c r="N1068" s="17" t="n"/>
      <ns0:c r="O1068" s="17" t="n"/>
      <ns0:c r="P1068" s="17" t="n"/>
      <ns0:c r="Q1068" s="17" t="n"/>
      <ns0:c r="R1068" s="17" t="n"/>
      <ns0:c r="S1068" s="17" t="n"/>
      <ns0:c r="T1068" s="17" t="n"/>
      <ns0:c r="U1068" s="17" t="n"/>
      <ns0:c r="V1068" s="17" t="n"/>
      <ns0:c r="W1068" s="17" t="n"/>
      <ns0:c r="X1068" s="17" t="n"/>
      <ns0:c r="Y1068" s="17" t="n"/>
      <ns0:c r="Z1068" s="17" t="n"/>
      <ns0:c r="AA1068" s="17" t="n"/>
      <ns0:c r="AB1068" s="17" t="n"/>
      <ns0:c r="AC1068" s="17" t="n"/>
      <ns0:c r="AD1068" s="17" t="n"/>
      <ns0:c r="AE1068" s="17" t="n"/>
      <ns0:c r="AF1068" s="17" t="n"/>
      <ns0:c r="AG1068" s="17" t="n"/>
    </ns0:row>
    <ns0:row r="1069" ht="24" customHeight="1">
      <ns0:c r="D1069" s="17" t="n"/>
      <ns0:c r="E1069" s="17" t="n"/>
      <ns0:c r="F1069" s="17" t="n"/>
      <ns0:c r="G1069" s="17" t="n"/>
      <ns0:c r="H1069" s="17" t="n"/>
      <ns0:c r="I1069" s="17" t="n"/>
      <ns0:c r="J1069" s="17" t="n"/>
      <ns0:c r="K1069" s="17" t="n"/>
      <ns0:c r="L1069" s="17" t="n"/>
      <ns0:c r="M1069" s="17" t="n"/>
      <ns0:c r="N1069" s="17" t="n"/>
      <ns0:c r="O1069" s="17" t="n"/>
      <ns0:c r="P1069" s="17" t="n"/>
      <ns0:c r="Q1069" s="17" t="n"/>
      <ns0:c r="R1069" s="17" t="n"/>
      <ns0:c r="S1069" s="17" t="n"/>
      <ns0:c r="T1069" s="17" t="n"/>
      <ns0:c r="U1069" s="17" t="n"/>
      <ns0:c r="V1069" s="17" t="n"/>
      <ns0:c r="W1069" s="17" t="n"/>
      <ns0:c r="X1069" s="17" t="n"/>
      <ns0:c r="Y1069" s="17" t="n"/>
      <ns0:c r="Z1069" s="17" t="n"/>
      <ns0:c r="AA1069" s="17" t="n"/>
      <ns0:c r="AB1069" s="17" t="n"/>
      <ns0:c r="AC1069" s="17" t="n"/>
      <ns0:c r="AD1069" s="17" t="n"/>
      <ns0:c r="AE1069" s="17" t="n"/>
      <ns0:c r="AF1069" s="17" t="n"/>
      <ns0:c r="AG1069" s="17" t="n"/>
    </ns0:row>
    <ns0:row r="1070" ht="24" customHeight="1">
      <ns0:c r="D1070" s="17" t="n"/>
      <ns0:c r="E1070" s="17" t="n"/>
      <ns0:c r="F1070" s="17" t="n"/>
      <ns0:c r="G1070" s="17" t="n"/>
      <ns0:c r="H1070" s="17" t="n"/>
      <ns0:c r="I1070" s="17" t="n"/>
      <ns0:c r="J1070" s="17" t="n"/>
      <ns0:c r="K1070" s="17" t="n"/>
      <ns0:c r="L1070" s="17" t="n"/>
      <ns0:c r="M1070" s="17" t="n"/>
      <ns0:c r="N1070" s="17" t="n"/>
      <ns0:c r="O1070" s="17" t="n"/>
      <ns0:c r="P1070" s="17" t="n"/>
      <ns0:c r="Q1070" s="17" t="n"/>
      <ns0:c r="R1070" s="17" t="n"/>
      <ns0:c r="S1070" s="17" t="n"/>
      <ns0:c r="T1070" s="17" t="n"/>
      <ns0:c r="U1070" s="17" t="n"/>
      <ns0:c r="V1070" s="17" t="n"/>
      <ns0:c r="W1070" s="17" t="n"/>
      <ns0:c r="X1070" s="17" t="n"/>
      <ns0:c r="Y1070" s="17" t="n"/>
      <ns0:c r="Z1070" s="17" t="n"/>
      <ns0:c r="AA1070" s="17" t="n"/>
      <ns0:c r="AB1070" s="17" t="n"/>
      <ns0:c r="AC1070" s="17" t="n"/>
      <ns0:c r="AD1070" s="17" t="n"/>
      <ns0:c r="AE1070" s="17" t="n"/>
      <ns0:c r="AF1070" s="17" t="n"/>
      <ns0:c r="AG1070" s="17" t="n"/>
    </ns0:row>
    <ns0:row r="1071" ht="24" customHeight="1">
      <ns0:c r="D1071" s="17" t="n"/>
      <ns0:c r="E1071" s="17" t="n"/>
      <ns0:c r="F1071" s="17" t="n"/>
      <ns0:c r="G1071" s="17" t="n"/>
      <ns0:c r="H1071" s="17" t="n"/>
      <ns0:c r="I1071" s="17" t="n"/>
      <ns0:c r="J1071" s="17" t="n"/>
      <ns0:c r="K1071" s="17" t="n"/>
      <ns0:c r="L1071" s="17" t="n"/>
      <ns0:c r="M1071" s="17" t="n"/>
      <ns0:c r="N1071" s="17" t="n"/>
      <ns0:c r="O1071" s="17" t="n"/>
      <ns0:c r="P1071" s="17" t="n"/>
      <ns0:c r="Q1071" s="17" t="n"/>
      <ns0:c r="R1071" s="17" t="n"/>
      <ns0:c r="S1071" s="17" t="n"/>
      <ns0:c r="T1071" s="17" t="n"/>
      <ns0:c r="U1071" s="17" t="n"/>
      <ns0:c r="V1071" s="17" t="n"/>
      <ns0:c r="W1071" s="17" t="n"/>
      <ns0:c r="X1071" s="17" t="n"/>
      <ns0:c r="Y1071" s="17" t="n"/>
      <ns0:c r="Z1071" s="17" t="n"/>
      <ns0:c r="AA1071" s="17" t="n"/>
      <ns0:c r="AB1071" s="17" t="n"/>
      <ns0:c r="AC1071" s="17" t="n"/>
      <ns0:c r="AD1071" s="17" t="n"/>
      <ns0:c r="AE1071" s="17" t="n"/>
      <ns0:c r="AF1071" s="17" t="n"/>
      <ns0:c r="AG1071" s="17" t="n"/>
    </ns0:row>
    <ns0:row r="1072" ht="24" customHeight="1">
      <ns0:c r="D1072" s="17" t="n"/>
      <ns0:c r="E1072" s="17" t="n"/>
      <ns0:c r="F1072" s="17" t="n"/>
      <ns0:c r="G1072" s="17" t="n"/>
      <ns0:c r="H1072" s="17" t="n"/>
      <ns0:c r="I1072" s="17" t="n"/>
      <ns0:c r="J1072" s="17" t="n"/>
      <ns0:c r="K1072" s="17" t="n"/>
      <ns0:c r="L1072" s="17" t="n"/>
      <ns0:c r="M1072" s="17" t="n"/>
      <ns0:c r="N1072" s="17" t="n"/>
      <ns0:c r="O1072" s="17" t="n"/>
      <ns0:c r="P1072" s="17" t="n"/>
      <ns0:c r="Q1072" s="17" t="n"/>
      <ns0:c r="R1072" s="17" t="n"/>
      <ns0:c r="S1072" s="17" t="n"/>
      <ns0:c r="T1072" s="17" t="n"/>
      <ns0:c r="U1072" s="17" t="n"/>
      <ns0:c r="V1072" s="17" t="n"/>
      <ns0:c r="W1072" s="17" t="n"/>
      <ns0:c r="X1072" s="17" t="n"/>
      <ns0:c r="Y1072" s="17" t="n"/>
      <ns0:c r="Z1072" s="17" t="n"/>
      <ns0:c r="AA1072" s="17" t="n"/>
      <ns0:c r="AB1072" s="17" t="n"/>
      <ns0:c r="AC1072" s="17" t="n"/>
      <ns0:c r="AD1072" s="17" t="n"/>
      <ns0:c r="AE1072" s="17" t="n"/>
      <ns0:c r="AF1072" s="17" t="n"/>
      <ns0:c r="AG1072" s="17" t="n"/>
    </ns0:row>
    <ns0:row r="1073" ht="24" customHeight="1">
      <ns0:c r="D1073" s="17" t="n"/>
      <ns0:c r="E1073" s="17" t="n"/>
      <ns0:c r="F1073" s="17" t="n"/>
      <ns0:c r="G1073" s="17" t="n"/>
      <ns0:c r="H1073" s="17" t="n"/>
      <ns0:c r="I1073" s="17" t="n"/>
      <ns0:c r="J1073" s="17" t="n"/>
      <ns0:c r="K1073" s="17" t="n"/>
      <ns0:c r="L1073" s="17" t="n"/>
      <ns0:c r="M1073" s="17" t="n"/>
      <ns0:c r="N1073" s="17" t="n"/>
      <ns0:c r="O1073" s="17" t="n"/>
      <ns0:c r="P1073" s="17" t="n"/>
      <ns0:c r="Q1073" s="17" t="n"/>
      <ns0:c r="R1073" s="17" t="n"/>
      <ns0:c r="S1073" s="17" t="n"/>
      <ns0:c r="T1073" s="17" t="n"/>
      <ns0:c r="U1073" s="17" t="n"/>
      <ns0:c r="V1073" s="17" t="n"/>
      <ns0:c r="W1073" s="17" t="n"/>
      <ns0:c r="X1073" s="17" t="n"/>
      <ns0:c r="Y1073" s="17" t="n"/>
      <ns0:c r="Z1073" s="17" t="n"/>
      <ns0:c r="AA1073" s="17" t="n"/>
      <ns0:c r="AB1073" s="17" t="n"/>
      <ns0:c r="AC1073" s="17" t="n"/>
      <ns0:c r="AD1073" s="17" t="n"/>
      <ns0:c r="AE1073" s="17" t="n"/>
      <ns0:c r="AF1073" s="17" t="n"/>
      <ns0:c r="AG1073" s="17" t="n"/>
    </ns0:row>
    <ns0:row r="1074" ht="24" customHeight="1">
      <ns0:c r="D1074" s="17" t="n"/>
      <ns0:c r="E1074" s="17" t="n"/>
      <ns0:c r="F1074" s="17" t="n"/>
      <ns0:c r="G1074" s="17" t="n"/>
      <ns0:c r="H1074" s="17" t="n"/>
      <ns0:c r="I1074" s="17" t="n"/>
      <ns0:c r="J1074" s="17" t="n"/>
      <ns0:c r="K1074" s="17" t="n"/>
      <ns0:c r="L1074" s="17" t="n"/>
      <ns0:c r="M1074" s="17" t="n"/>
      <ns0:c r="N1074" s="17" t="n"/>
      <ns0:c r="O1074" s="17" t="n"/>
      <ns0:c r="P1074" s="17" t="n"/>
      <ns0:c r="Q1074" s="17" t="n"/>
      <ns0:c r="R1074" s="17" t="n"/>
      <ns0:c r="S1074" s="17" t="n"/>
      <ns0:c r="T1074" s="17" t="n"/>
      <ns0:c r="U1074" s="17" t="n"/>
      <ns0:c r="V1074" s="17" t="n"/>
      <ns0:c r="W1074" s="17" t="n"/>
      <ns0:c r="X1074" s="17" t="n"/>
      <ns0:c r="Y1074" s="17" t="n"/>
      <ns0:c r="Z1074" s="17" t="n"/>
      <ns0:c r="AA1074" s="17" t="n"/>
      <ns0:c r="AB1074" s="17" t="n"/>
      <ns0:c r="AC1074" s="17" t="n"/>
      <ns0:c r="AD1074" s="17" t="n"/>
      <ns0:c r="AE1074" s="17" t="n"/>
      <ns0:c r="AF1074" s="17" t="n"/>
      <ns0:c r="AG1074" s="17" t="n"/>
    </ns0:row>
    <ns0:row r="1075" ht="24" customHeight="1">
      <ns0:c r="D1075" s="17" t="n"/>
      <ns0:c r="E1075" s="17" t="n"/>
      <ns0:c r="F1075" s="17" t="n"/>
      <ns0:c r="G1075" s="17" t="n"/>
      <ns0:c r="H1075" s="17" t="n"/>
      <ns0:c r="I1075" s="17" t="n"/>
      <ns0:c r="J1075" s="17" t="n"/>
      <ns0:c r="K1075" s="17" t="n"/>
      <ns0:c r="L1075" s="17" t="n"/>
      <ns0:c r="M1075" s="17" t="n"/>
      <ns0:c r="N1075" s="17" t="n"/>
      <ns0:c r="O1075" s="17" t="n"/>
      <ns0:c r="P1075" s="17" t="n"/>
      <ns0:c r="Q1075" s="17" t="n"/>
      <ns0:c r="R1075" s="17" t="n"/>
      <ns0:c r="S1075" s="17" t="n"/>
      <ns0:c r="T1075" s="17" t="n"/>
      <ns0:c r="U1075" s="17" t="n"/>
      <ns0:c r="V1075" s="17" t="n"/>
      <ns0:c r="W1075" s="17" t="n"/>
      <ns0:c r="X1075" s="17" t="n"/>
      <ns0:c r="Y1075" s="17" t="n"/>
      <ns0:c r="Z1075" s="17" t="n"/>
      <ns0:c r="AA1075" s="17" t="n"/>
      <ns0:c r="AB1075" s="17" t="n"/>
      <ns0:c r="AC1075" s="17" t="n"/>
      <ns0:c r="AD1075" s="17" t="n"/>
      <ns0:c r="AE1075" s="17" t="n"/>
      <ns0:c r="AF1075" s="17" t="n"/>
      <ns0:c r="AG1075" s="17" t="n"/>
    </ns0:row>
    <ns0:row r="1076" ht="24" customHeight="1">
      <ns0:c r="D1076" s="17" t="n"/>
      <ns0:c r="E1076" s="17" t="n"/>
      <ns0:c r="F1076" s="17" t="n"/>
      <ns0:c r="G1076" s="17" t="n"/>
      <ns0:c r="H1076" s="17" t="n"/>
      <ns0:c r="I1076" s="17" t="n"/>
      <ns0:c r="J1076" s="17" t="n"/>
      <ns0:c r="K1076" s="17" t="n"/>
      <ns0:c r="L1076" s="17" t="n"/>
      <ns0:c r="M1076" s="17" t="n"/>
      <ns0:c r="N1076" s="17" t="n"/>
      <ns0:c r="O1076" s="17" t="n"/>
      <ns0:c r="P1076" s="17" t="n"/>
      <ns0:c r="Q1076" s="17" t="n"/>
      <ns0:c r="R1076" s="17" t="n"/>
      <ns0:c r="S1076" s="17" t="n"/>
      <ns0:c r="T1076" s="17" t="n"/>
      <ns0:c r="U1076" s="17" t="n"/>
      <ns0:c r="V1076" s="17" t="n"/>
      <ns0:c r="W1076" s="17" t="n"/>
      <ns0:c r="X1076" s="17" t="n"/>
      <ns0:c r="Y1076" s="17" t="n"/>
      <ns0:c r="Z1076" s="17" t="n"/>
      <ns0:c r="AA1076" s="17" t="n"/>
      <ns0:c r="AB1076" s="17" t="n"/>
      <ns0:c r="AC1076" s="17" t="n"/>
      <ns0:c r="AD1076" s="17" t="n"/>
      <ns0:c r="AE1076" s="17" t="n"/>
      <ns0:c r="AF1076" s="17" t="n"/>
      <ns0:c r="AG1076" s="17" t="n"/>
    </ns0:row>
    <ns0:row r="1077" ht="24" customHeight="1">
      <ns0:c r="D1077" s="17" t="n"/>
      <ns0:c r="E1077" s="17" t="n"/>
      <ns0:c r="F1077" s="17" t="n"/>
      <ns0:c r="G1077" s="17" t="n"/>
      <ns0:c r="H1077" s="17" t="n"/>
      <ns0:c r="I1077" s="17" t="n"/>
      <ns0:c r="J1077" s="17" t="n"/>
      <ns0:c r="K1077" s="17" t="n"/>
      <ns0:c r="L1077" s="17" t="n"/>
      <ns0:c r="M1077" s="17" t="n"/>
      <ns0:c r="N1077" s="17" t="n"/>
      <ns0:c r="O1077" s="17" t="n"/>
      <ns0:c r="P1077" s="17" t="n"/>
      <ns0:c r="Q1077" s="17" t="n"/>
      <ns0:c r="R1077" s="17" t="n"/>
      <ns0:c r="S1077" s="17" t="n"/>
      <ns0:c r="T1077" s="17" t="n"/>
      <ns0:c r="U1077" s="17" t="n"/>
      <ns0:c r="V1077" s="17" t="n"/>
      <ns0:c r="W1077" s="17" t="n"/>
      <ns0:c r="X1077" s="17" t="n"/>
      <ns0:c r="Y1077" s="17" t="n"/>
      <ns0:c r="Z1077" s="17" t="n"/>
      <ns0:c r="AA1077" s="17" t="n"/>
      <ns0:c r="AB1077" s="17" t="n"/>
      <ns0:c r="AC1077" s="17" t="n"/>
      <ns0:c r="AD1077" s="17" t="n"/>
      <ns0:c r="AE1077" s="17" t="n"/>
      <ns0:c r="AF1077" s="17" t="n"/>
      <ns0:c r="AG1077" s="17" t="n"/>
    </ns0:row>
    <ns0:row r="1078" ht="24" customHeight="1">
      <ns0:c r="D1078" s="17" t="n"/>
      <ns0:c r="E1078" s="17" t="n"/>
      <ns0:c r="F1078" s="17" t="n"/>
      <ns0:c r="G1078" s="17" t="n"/>
      <ns0:c r="H1078" s="17" t="n"/>
      <ns0:c r="I1078" s="17" t="n"/>
      <ns0:c r="J1078" s="17" t="n"/>
      <ns0:c r="K1078" s="17" t="n"/>
      <ns0:c r="L1078" s="17" t="n"/>
      <ns0:c r="M1078" s="17" t="n"/>
      <ns0:c r="N1078" s="17" t="n"/>
      <ns0:c r="O1078" s="17" t="n"/>
      <ns0:c r="P1078" s="17" t="n"/>
      <ns0:c r="Q1078" s="17" t="n"/>
      <ns0:c r="R1078" s="17" t="n"/>
      <ns0:c r="S1078" s="17" t="n"/>
      <ns0:c r="T1078" s="17" t="n"/>
      <ns0:c r="U1078" s="17" t="n"/>
      <ns0:c r="V1078" s="17" t="n"/>
      <ns0:c r="W1078" s="17" t="n"/>
      <ns0:c r="X1078" s="17" t="n"/>
      <ns0:c r="Y1078" s="17" t="n"/>
      <ns0:c r="Z1078" s="17" t="n"/>
      <ns0:c r="AA1078" s="17" t="n"/>
      <ns0:c r="AB1078" s="17" t="n"/>
      <ns0:c r="AC1078" s="17" t="n"/>
      <ns0:c r="AD1078" s="17" t="n"/>
      <ns0:c r="AE1078" s="17" t="n"/>
      <ns0:c r="AF1078" s="17" t="n"/>
      <ns0:c r="AG1078" s="17" t="n"/>
    </ns0:row>
    <ns0:row r="1079" ht="24" customHeight="1">
      <ns0:c r="D1079" s="17" t="n"/>
      <ns0:c r="E1079" s="17" t="n"/>
      <ns0:c r="F1079" s="17" t="n"/>
      <ns0:c r="G1079" s="17" t="n"/>
      <ns0:c r="H1079" s="17" t="n"/>
      <ns0:c r="I1079" s="17" t="n"/>
      <ns0:c r="J1079" s="17" t="n"/>
      <ns0:c r="K1079" s="17" t="n"/>
      <ns0:c r="L1079" s="17" t="n"/>
      <ns0:c r="M1079" s="17" t="n"/>
      <ns0:c r="N1079" s="17" t="n"/>
      <ns0:c r="O1079" s="17" t="n"/>
      <ns0:c r="P1079" s="17" t="n"/>
      <ns0:c r="Q1079" s="17" t="n"/>
      <ns0:c r="R1079" s="17" t="n"/>
      <ns0:c r="S1079" s="17" t="n"/>
      <ns0:c r="T1079" s="17" t="n"/>
      <ns0:c r="U1079" s="17" t="n"/>
      <ns0:c r="V1079" s="17" t="n"/>
      <ns0:c r="W1079" s="17" t="n"/>
      <ns0:c r="X1079" s="17" t="n"/>
      <ns0:c r="Y1079" s="17" t="n"/>
      <ns0:c r="Z1079" s="17" t="n"/>
      <ns0:c r="AA1079" s="17" t="n"/>
      <ns0:c r="AB1079" s="17" t="n"/>
      <ns0:c r="AC1079" s="17" t="n"/>
      <ns0:c r="AD1079" s="17" t="n"/>
      <ns0:c r="AE1079" s="17" t="n"/>
      <ns0:c r="AF1079" s="17" t="n"/>
      <ns0:c r="AG1079" s="17" t="n"/>
    </ns0:row>
    <ns0:row r="1080" ht="24" customHeight="1">
      <ns0:c r="D1080" s="17" t="n"/>
      <ns0:c r="E1080" s="17" t="n"/>
      <ns0:c r="F1080" s="17" t="n"/>
      <ns0:c r="G1080" s="17" t="n"/>
      <ns0:c r="H1080" s="17" t="n"/>
      <ns0:c r="I1080" s="17" t="n"/>
      <ns0:c r="J1080" s="17" t="n"/>
      <ns0:c r="K1080" s="17" t="n"/>
      <ns0:c r="L1080" s="17" t="n"/>
      <ns0:c r="M1080" s="17" t="n"/>
      <ns0:c r="N1080" s="17" t="n"/>
      <ns0:c r="O1080" s="17" t="n"/>
      <ns0:c r="P1080" s="17" t="n"/>
      <ns0:c r="Q1080" s="17" t="n"/>
      <ns0:c r="R1080" s="17" t="n"/>
      <ns0:c r="S1080" s="17" t="n"/>
      <ns0:c r="T1080" s="17" t="n"/>
      <ns0:c r="U1080" s="17" t="n"/>
      <ns0:c r="V1080" s="17" t="n"/>
      <ns0:c r="W1080" s="17" t="n"/>
      <ns0:c r="X1080" s="17" t="n"/>
      <ns0:c r="Y1080" s="17" t="n"/>
      <ns0:c r="Z1080" s="17" t="n"/>
      <ns0:c r="AA1080" s="17" t="n"/>
      <ns0:c r="AB1080" s="17" t="n"/>
      <ns0:c r="AC1080" s="17" t="n"/>
      <ns0:c r="AD1080" s="17" t="n"/>
      <ns0:c r="AE1080" s="17" t="n"/>
      <ns0:c r="AF1080" s="17" t="n"/>
      <ns0:c r="AG1080" s="17" t="n"/>
    </ns0:row>
    <ns0:row r="1081" ht="24" customHeight="1">
      <ns0:c r="D1081" s="17" t="n"/>
      <ns0:c r="E1081" s="17" t="n"/>
      <ns0:c r="F1081" s="17" t="n"/>
      <ns0:c r="G1081" s="17" t="n"/>
      <ns0:c r="H1081" s="17" t="n"/>
      <ns0:c r="I1081" s="17" t="n"/>
      <ns0:c r="J1081" s="17" t="n"/>
      <ns0:c r="K1081" s="17" t="n"/>
      <ns0:c r="L1081" s="17" t="n"/>
      <ns0:c r="M1081" s="17" t="n"/>
      <ns0:c r="N1081" s="17" t="n"/>
      <ns0:c r="O1081" s="17" t="n"/>
      <ns0:c r="P1081" s="17" t="n"/>
      <ns0:c r="Q1081" s="17" t="n"/>
      <ns0:c r="R1081" s="17" t="n"/>
      <ns0:c r="S1081" s="17" t="n"/>
      <ns0:c r="T1081" s="17" t="n"/>
      <ns0:c r="U1081" s="17" t="n"/>
      <ns0:c r="V1081" s="17" t="n"/>
      <ns0:c r="W1081" s="17" t="n"/>
      <ns0:c r="X1081" s="17" t="n"/>
      <ns0:c r="Y1081" s="17" t="n"/>
      <ns0:c r="Z1081" s="17" t="n"/>
      <ns0:c r="AA1081" s="17" t="n"/>
      <ns0:c r="AB1081" s="17" t="n"/>
      <ns0:c r="AC1081" s="17" t="n"/>
      <ns0:c r="AD1081" s="17" t="n"/>
      <ns0:c r="AE1081" s="17" t="n"/>
      <ns0:c r="AF1081" s="17" t="n"/>
      <ns0:c r="AG1081" s="17" t="n"/>
    </ns0:row>
    <ns0:row r="1082" ht="24" customHeight="1">
      <ns0:c r="D1082" s="17" t="n"/>
      <ns0:c r="E1082" s="17" t="n"/>
      <ns0:c r="F1082" s="17" t="n"/>
      <ns0:c r="G1082" s="17" t="n"/>
      <ns0:c r="H1082" s="17" t="n"/>
      <ns0:c r="I1082" s="17" t="n"/>
      <ns0:c r="J1082" s="17" t="n"/>
      <ns0:c r="K1082" s="17" t="n"/>
      <ns0:c r="L1082" s="17" t="n"/>
      <ns0:c r="M1082" s="17" t="n"/>
      <ns0:c r="N1082" s="17" t="n"/>
      <ns0:c r="O1082" s="17" t="n"/>
      <ns0:c r="P1082" s="17" t="n"/>
      <ns0:c r="Q1082" s="17" t="n"/>
      <ns0:c r="R1082" s="17" t="n"/>
      <ns0:c r="S1082" s="17" t="n"/>
      <ns0:c r="T1082" s="17" t="n"/>
      <ns0:c r="U1082" s="17" t="n"/>
      <ns0:c r="V1082" s="17" t="n"/>
      <ns0:c r="W1082" s="17" t="n"/>
      <ns0:c r="X1082" s="17" t="n"/>
      <ns0:c r="Y1082" s="17" t="n"/>
      <ns0:c r="Z1082" s="17" t="n"/>
      <ns0:c r="AA1082" s="17" t="n"/>
      <ns0:c r="AB1082" s="17" t="n"/>
      <ns0:c r="AC1082" s="17" t="n"/>
      <ns0:c r="AD1082" s="17" t="n"/>
      <ns0:c r="AE1082" s="17" t="n"/>
      <ns0:c r="AF1082" s="17" t="n"/>
      <ns0:c r="AG1082" s="17" t="n"/>
    </ns0:row>
    <ns0:row r="1083" ht="24" customHeight="1">
      <ns0:c r="D1083" s="17" t="n"/>
      <ns0:c r="E1083" s="17" t="n"/>
      <ns0:c r="F1083" s="17" t="n"/>
      <ns0:c r="G1083" s="17" t="n"/>
      <ns0:c r="H1083" s="17" t="n"/>
      <ns0:c r="I1083" s="17" t="n"/>
      <ns0:c r="J1083" s="17" t="n"/>
      <ns0:c r="K1083" s="17" t="n"/>
      <ns0:c r="L1083" s="17" t="n"/>
      <ns0:c r="M1083" s="17" t="n"/>
      <ns0:c r="N1083" s="17" t="n"/>
      <ns0:c r="O1083" s="17" t="n"/>
      <ns0:c r="P1083" s="17" t="n"/>
      <ns0:c r="Q1083" s="17" t="n"/>
      <ns0:c r="R1083" s="17" t="n"/>
      <ns0:c r="S1083" s="17" t="n"/>
      <ns0:c r="T1083" s="17" t="n"/>
      <ns0:c r="U1083" s="17" t="n"/>
      <ns0:c r="V1083" s="17" t="n"/>
      <ns0:c r="W1083" s="17" t="n"/>
      <ns0:c r="X1083" s="17" t="n"/>
      <ns0:c r="Y1083" s="17" t="n"/>
      <ns0:c r="Z1083" s="17" t="n"/>
      <ns0:c r="AA1083" s="17" t="n"/>
      <ns0:c r="AB1083" s="17" t="n"/>
      <ns0:c r="AC1083" s="17" t="n"/>
      <ns0:c r="AD1083" s="17" t="n"/>
      <ns0:c r="AE1083" s="17" t="n"/>
      <ns0:c r="AF1083" s="17" t="n"/>
      <ns0:c r="AG1083" s="17" t="n"/>
    </ns0:row>
    <ns0:row r="1084" ht="24" customHeight="1">
      <ns0:c r="D1084" s="17" t="n"/>
      <ns0:c r="E1084" s="17" t="n"/>
      <ns0:c r="F1084" s="17" t="n"/>
      <ns0:c r="G1084" s="17" t="n"/>
      <ns0:c r="H1084" s="17" t="n"/>
      <ns0:c r="I1084" s="17" t="n"/>
      <ns0:c r="J1084" s="17" t="n"/>
      <ns0:c r="K1084" s="17" t="n"/>
      <ns0:c r="L1084" s="17" t="n"/>
      <ns0:c r="M1084" s="17" t="n"/>
      <ns0:c r="N1084" s="17" t="n"/>
      <ns0:c r="O1084" s="17" t="n"/>
      <ns0:c r="P1084" s="17" t="n"/>
      <ns0:c r="Q1084" s="17" t="n"/>
      <ns0:c r="R1084" s="17" t="n"/>
      <ns0:c r="S1084" s="17" t="n"/>
      <ns0:c r="T1084" s="17" t="n"/>
      <ns0:c r="U1084" s="17" t="n"/>
      <ns0:c r="V1084" s="17" t="n"/>
      <ns0:c r="W1084" s="17" t="n"/>
      <ns0:c r="X1084" s="17" t="n"/>
      <ns0:c r="Y1084" s="17" t="n"/>
      <ns0:c r="Z1084" s="17" t="n"/>
      <ns0:c r="AA1084" s="17" t="n"/>
      <ns0:c r="AB1084" s="17" t="n"/>
      <ns0:c r="AC1084" s="17" t="n"/>
      <ns0:c r="AD1084" s="17" t="n"/>
      <ns0:c r="AE1084" s="17" t="n"/>
      <ns0:c r="AF1084" s="17" t="n"/>
      <ns0:c r="AG1084" s="17" t="n"/>
    </ns0:row>
    <ns0:row r="1085" ht="24" customHeight="1">
      <ns0:c r="D1085" s="17" t="n"/>
      <ns0:c r="E1085" s="17" t="n"/>
      <ns0:c r="F1085" s="17" t="n"/>
      <ns0:c r="G1085" s="17" t="n"/>
      <ns0:c r="H1085" s="17" t="n"/>
      <ns0:c r="I1085" s="17" t="n"/>
      <ns0:c r="J1085" s="17" t="n"/>
      <ns0:c r="K1085" s="17" t="n"/>
      <ns0:c r="L1085" s="17" t="n"/>
      <ns0:c r="M1085" s="17" t="n"/>
      <ns0:c r="N1085" s="17" t="n"/>
      <ns0:c r="O1085" s="17" t="n"/>
      <ns0:c r="P1085" s="17" t="n"/>
      <ns0:c r="Q1085" s="17" t="n"/>
      <ns0:c r="R1085" s="17" t="n"/>
      <ns0:c r="S1085" s="17" t="n"/>
      <ns0:c r="T1085" s="17" t="n"/>
      <ns0:c r="U1085" s="17" t="n"/>
      <ns0:c r="V1085" s="17" t="n"/>
      <ns0:c r="W1085" s="17" t="n"/>
      <ns0:c r="X1085" s="17" t="n"/>
      <ns0:c r="Y1085" s="17" t="n"/>
      <ns0:c r="Z1085" s="17" t="n"/>
      <ns0:c r="AA1085" s="17" t="n"/>
      <ns0:c r="AB1085" s="17" t="n"/>
      <ns0:c r="AC1085" s="17" t="n"/>
      <ns0:c r="AD1085" s="17" t="n"/>
      <ns0:c r="AE1085" s="17" t="n"/>
      <ns0:c r="AF1085" s="17" t="n"/>
      <ns0:c r="AG1085" s="17" t="n"/>
    </ns0:row>
    <ns0:row r="1086" ht="24" customHeight="1">
      <ns0:c r="D1086" s="17" t="n"/>
      <ns0:c r="E1086" s="17" t="n"/>
      <ns0:c r="F1086" s="17" t="n"/>
      <ns0:c r="G1086" s="17" t="n"/>
      <ns0:c r="H1086" s="17" t="n"/>
      <ns0:c r="I1086" s="17" t="n"/>
      <ns0:c r="J1086" s="17" t="n"/>
      <ns0:c r="K1086" s="17" t="n"/>
      <ns0:c r="L1086" s="17" t="n"/>
      <ns0:c r="M1086" s="17" t="n"/>
      <ns0:c r="N1086" s="17" t="n"/>
      <ns0:c r="O1086" s="17" t="n"/>
      <ns0:c r="P1086" s="17" t="n"/>
      <ns0:c r="Q1086" s="17" t="n"/>
      <ns0:c r="R1086" s="17" t="n"/>
      <ns0:c r="S1086" s="17" t="n"/>
      <ns0:c r="T1086" s="17" t="n"/>
      <ns0:c r="U1086" s="17" t="n"/>
      <ns0:c r="V1086" s="17" t="n"/>
      <ns0:c r="W1086" s="17" t="n"/>
      <ns0:c r="X1086" s="17" t="n"/>
      <ns0:c r="Y1086" s="17" t="n"/>
      <ns0:c r="Z1086" s="17" t="n"/>
      <ns0:c r="AA1086" s="17" t="n"/>
      <ns0:c r="AB1086" s="17" t="n"/>
      <ns0:c r="AC1086" s="17" t="n"/>
      <ns0:c r="AD1086" s="17" t="n"/>
      <ns0:c r="AE1086" s="17" t="n"/>
      <ns0:c r="AF1086" s="17" t="n"/>
      <ns0:c r="AG1086" s="17" t="n"/>
    </ns0:row>
    <ns0:row r="1087" ht="24" customHeight="1">
      <ns0:c r="D1087" s="17" t="n"/>
      <ns0:c r="E1087" s="17" t="n"/>
      <ns0:c r="F1087" s="17" t="n"/>
      <ns0:c r="G1087" s="17" t="n"/>
      <ns0:c r="H1087" s="17" t="n"/>
      <ns0:c r="I1087" s="17" t="n"/>
      <ns0:c r="J1087" s="17" t="n"/>
      <ns0:c r="K1087" s="17" t="n"/>
      <ns0:c r="L1087" s="17" t="n"/>
      <ns0:c r="M1087" s="17" t="n"/>
      <ns0:c r="N1087" s="17" t="n"/>
      <ns0:c r="O1087" s="17" t="n"/>
      <ns0:c r="P1087" s="17" t="n"/>
      <ns0:c r="Q1087" s="17" t="n"/>
      <ns0:c r="R1087" s="17" t="n"/>
      <ns0:c r="S1087" s="17" t="n"/>
      <ns0:c r="T1087" s="17" t="n"/>
      <ns0:c r="U1087" s="17" t="n"/>
      <ns0:c r="V1087" s="17" t="n"/>
      <ns0:c r="W1087" s="17" t="n"/>
      <ns0:c r="X1087" s="17" t="n"/>
      <ns0:c r="Y1087" s="17" t="n"/>
      <ns0:c r="Z1087" s="17" t="n"/>
      <ns0:c r="AA1087" s="17" t="n"/>
      <ns0:c r="AB1087" s="17" t="n"/>
      <ns0:c r="AC1087" s="17" t="n"/>
      <ns0:c r="AD1087" s="17" t="n"/>
      <ns0:c r="AE1087" s="17" t="n"/>
      <ns0:c r="AF1087" s="17" t="n"/>
      <ns0:c r="AG1087" s="17" t="n"/>
    </ns0:row>
    <ns0:row r="1088" ht="24" customHeight="1">
      <ns0:c r="D1088" s="17" t="n"/>
      <ns0:c r="E1088" s="17" t="n"/>
      <ns0:c r="F1088" s="17" t="n"/>
      <ns0:c r="G1088" s="17" t="n"/>
      <ns0:c r="H1088" s="17" t="n"/>
      <ns0:c r="I1088" s="17" t="n"/>
      <ns0:c r="J1088" s="17" t="n"/>
      <ns0:c r="K1088" s="17" t="n"/>
      <ns0:c r="L1088" s="17" t="n"/>
      <ns0:c r="M1088" s="17" t="n"/>
      <ns0:c r="N1088" s="17" t="n"/>
      <ns0:c r="O1088" s="17" t="n"/>
      <ns0:c r="P1088" s="17" t="n"/>
      <ns0:c r="Q1088" s="17" t="n"/>
      <ns0:c r="R1088" s="17" t="n"/>
      <ns0:c r="S1088" s="17" t="n"/>
      <ns0:c r="T1088" s="17" t="n"/>
      <ns0:c r="U1088" s="17" t="n"/>
      <ns0:c r="V1088" s="17" t="n"/>
      <ns0:c r="W1088" s="17" t="n"/>
      <ns0:c r="X1088" s="17" t="n"/>
      <ns0:c r="Y1088" s="17" t="n"/>
      <ns0:c r="Z1088" s="17" t="n"/>
      <ns0:c r="AA1088" s="17" t="n"/>
      <ns0:c r="AB1088" s="17" t="n"/>
      <ns0:c r="AC1088" s="17" t="n"/>
      <ns0:c r="AD1088" s="17" t="n"/>
      <ns0:c r="AE1088" s="17" t="n"/>
      <ns0:c r="AF1088" s="17" t="n"/>
      <ns0:c r="AG1088" s="17" t="n"/>
    </ns0:row>
    <ns0:row r="1089" ht="24" customHeight="1">
      <ns0:c r="D1089" s="17" t="n"/>
      <ns0:c r="E1089" s="17" t="n"/>
      <ns0:c r="F1089" s="17" t="n"/>
      <ns0:c r="G1089" s="17" t="n"/>
      <ns0:c r="H1089" s="17" t="n"/>
      <ns0:c r="I1089" s="17" t="n"/>
      <ns0:c r="J1089" s="17" t="n"/>
      <ns0:c r="K1089" s="17" t="n"/>
      <ns0:c r="L1089" s="17" t="n"/>
      <ns0:c r="M1089" s="17" t="n"/>
      <ns0:c r="N1089" s="17" t="n"/>
      <ns0:c r="O1089" s="17" t="n"/>
      <ns0:c r="P1089" s="17" t="n"/>
      <ns0:c r="Q1089" s="17" t="n"/>
      <ns0:c r="R1089" s="17" t="n"/>
      <ns0:c r="S1089" s="17" t="n"/>
      <ns0:c r="T1089" s="17" t="n"/>
      <ns0:c r="U1089" s="17" t="n"/>
      <ns0:c r="V1089" s="17" t="n"/>
      <ns0:c r="W1089" s="17" t="n"/>
      <ns0:c r="X1089" s="17" t="n"/>
      <ns0:c r="Y1089" s="17" t="n"/>
      <ns0:c r="Z1089" s="17" t="n"/>
      <ns0:c r="AA1089" s="17" t="n"/>
      <ns0:c r="AB1089" s="17" t="n"/>
      <ns0:c r="AC1089" s="17" t="n"/>
      <ns0:c r="AD1089" s="17" t="n"/>
      <ns0:c r="AE1089" s="17" t="n"/>
      <ns0:c r="AF1089" s="17" t="n"/>
      <ns0:c r="AG1089" s="17" t="n"/>
    </ns0:row>
    <ns0:row r="1090" ht="24" customHeight="1">
      <ns0:c r="D1090" s="17" t="n"/>
      <ns0:c r="E1090" s="17" t="n"/>
      <ns0:c r="F1090" s="17" t="n"/>
      <ns0:c r="G1090" s="17" t="n"/>
      <ns0:c r="H1090" s="17" t="n"/>
      <ns0:c r="I1090" s="17" t="n"/>
      <ns0:c r="J1090" s="17" t="n"/>
      <ns0:c r="K1090" s="17" t="n"/>
      <ns0:c r="L1090" s="17" t="n"/>
      <ns0:c r="M1090" s="17" t="n"/>
      <ns0:c r="N1090" s="17" t="n"/>
      <ns0:c r="O1090" s="17" t="n"/>
      <ns0:c r="P1090" s="17" t="n"/>
      <ns0:c r="Q1090" s="17" t="n"/>
      <ns0:c r="R1090" s="17" t="n"/>
      <ns0:c r="S1090" s="17" t="n"/>
      <ns0:c r="T1090" s="17" t="n"/>
      <ns0:c r="U1090" s="17" t="n"/>
      <ns0:c r="V1090" s="17" t="n"/>
      <ns0:c r="W1090" s="17" t="n"/>
      <ns0:c r="X1090" s="17" t="n"/>
      <ns0:c r="Y1090" s="17" t="n"/>
      <ns0:c r="Z1090" s="17" t="n"/>
      <ns0:c r="AA1090" s="17" t="n"/>
      <ns0:c r="AB1090" s="17" t="n"/>
      <ns0:c r="AC1090" s="17" t="n"/>
      <ns0:c r="AD1090" s="17" t="n"/>
      <ns0:c r="AE1090" s="17" t="n"/>
      <ns0:c r="AF1090" s="17" t="n"/>
      <ns0:c r="AG1090" s="17" t="n"/>
    </ns0:row>
    <ns0:row r="1091" ht="24" customHeight="1">
      <ns0:c r="D1091" s="17" t="n"/>
      <ns0:c r="E1091" s="17" t="n"/>
      <ns0:c r="F1091" s="17" t="n"/>
      <ns0:c r="G1091" s="17" t="n"/>
      <ns0:c r="H1091" s="17" t="n"/>
      <ns0:c r="I1091" s="17" t="n"/>
      <ns0:c r="J1091" s="17" t="n"/>
      <ns0:c r="K1091" s="17" t="n"/>
      <ns0:c r="L1091" s="17" t="n"/>
      <ns0:c r="M1091" s="17" t="n"/>
      <ns0:c r="N1091" s="17" t="n"/>
      <ns0:c r="O1091" s="17" t="n"/>
      <ns0:c r="P1091" s="17" t="n"/>
      <ns0:c r="Q1091" s="17" t="n"/>
      <ns0:c r="R1091" s="17" t="n"/>
      <ns0:c r="S1091" s="17" t="n"/>
      <ns0:c r="T1091" s="17" t="n"/>
      <ns0:c r="U1091" s="17" t="n"/>
      <ns0:c r="V1091" s="17" t="n"/>
      <ns0:c r="W1091" s="17" t="n"/>
      <ns0:c r="X1091" s="17" t="n"/>
      <ns0:c r="Y1091" s="17" t="n"/>
      <ns0:c r="Z1091" s="17" t="n"/>
      <ns0:c r="AA1091" s="17" t="n"/>
      <ns0:c r="AB1091" s="17" t="n"/>
      <ns0:c r="AC1091" s="17" t="n"/>
      <ns0:c r="AD1091" s="17" t="n"/>
      <ns0:c r="AE1091" s="17" t="n"/>
      <ns0:c r="AF1091" s="17" t="n"/>
      <ns0:c r="AG1091" s="17" t="n"/>
    </ns0:row>
    <ns0:row r="1092" ht="24" customHeight="1">
      <ns0:c r="D1092" s="17" t="n"/>
      <ns0:c r="E1092" s="17" t="n"/>
      <ns0:c r="F1092" s="17" t="n"/>
      <ns0:c r="G1092" s="17" t="n"/>
      <ns0:c r="H1092" s="17" t="n"/>
      <ns0:c r="I1092" s="17" t="n"/>
      <ns0:c r="J1092" s="17" t="n"/>
      <ns0:c r="K1092" s="17" t="n"/>
      <ns0:c r="L1092" s="17" t="n"/>
      <ns0:c r="M1092" s="17" t="n"/>
      <ns0:c r="N1092" s="17" t="n"/>
      <ns0:c r="O1092" s="17" t="n"/>
      <ns0:c r="P1092" s="17" t="n"/>
      <ns0:c r="Q1092" s="17" t="n"/>
      <ns0:c r="R1092" s="17" t="n"/>
      <ns0:c r="S1092" s="17" t="n"/>
      <ns0:c r="T1092" s="17" t="n"/>
      <ns0:c r="U1092" s="17" t="n"/>
      <ns0:c r="V1092" s="17" t="n"/>
      <ns0:c r="W1092" s="17" t="n"/>
      <ns0:c r="X1092" s="17" t="n"/>
      <ns0:c r="Y1092" s="17" t="n"/>
      <ns0:c r="Z1092" s="17" t="n"/>
      <ns0:c r="AA1092" s="17" t="n"/>
      <ns0:c r="AB1092" s="17" t="n"/>
      <ns0:c r="AC1092" s="17" t="n"/>
      <ns0:c r="AD1092" s="17" t="n"/>
      <ns0:c r="AE1092" s="17" t="n"/>
      <ns0:c r="AF1092" s="17" t="n"/>
      <ns0:c r="AG1092" s="17" t="n"/>
    </ns0:row>
    <ns0:row r="1093" ht="24" customHeight="1">
      <ns0:c r="D1093" s="17" t="n"/>
      <ns0:c r="E1093" s="17" t="n"/>
      <ns0:c r="F1093" s="17" t="n"/>
      <ns0:c r="G1093" s="17" t="n"/>
      <ns0:c r="H1093" s="17" t="n"/>
      <ns0:c r="I1093" s="17" t="n"/>
      <ns0:c r="J1093" s="17" t="n"/>
      <ns0:c r="K1093" s="17" t="n"/>
      <ns0:c r="L1093" s="17" t="n"/>
      <ns0:c r="M1093" s="17" t="n"/>
      <ns0:c r="N1093" s="17" t="n"/>
      <ns0:c r="O1093" s="17" t="n"/>
      <ns0:c r="P1093" s="17" t="n"/>
      <ns0:c r="Q1093" s="17" t="n"/>
      <ns0:c r="R1093" s="17" t="n"/>
      <ns0:c r="S1093" s="17" t="n"/>
      <ns0:c r="T1093" s="17" t="n"/>
      <ns0:c r="U1093" s="17" t="n"/>
      <ns0:c r="V1093" s="17" t="n"/>
      <ns0:c r="W1093" s="17" t="n"/>
      <ns0:c r="X1093" s="17" t="n"/>
      <ns0:c r="Y1093" s="17" t="n"/>
      <ns0:c r="Z1093" s="17" t="n"/>
      <ns0:c r="AA1093" s="17" t="n"/>
      <ns0:c r="AB1093" s="17" t="n"/>
      <ns0:c r="AC1093" s="17" t="n"/>
      <ns0:c r="AD1093" s="17" t="n"/>
      <ns0:c r="AE1093" s="17" t="n"/>
      <ns0:c r="AF1093" s="17" t="n"/>
      <ns0:c r="AG1093" s="17" t="n"/>
    </ns0:row>
    <ns0:row r="1094" ht="24" customHeight="1">
      <ns0:c r="D1094" s="17" t="n"/>
      <ns0:c r="E1094" s="17" t="n"/>
      <ns0:c r="F1094" s="17" t="n"/>
      <ns0:c r="G1094" s="17" t="n"/>
      <ns0:c r="H1094" s="17" t="n"/>
      <ns0:c r="I1094" s="17" t="n"/>
      <ns0:c r="J1094" s="17" t="n"/>
      <ns0:c r="K1094" s="17" t="n"/>
      <ns0:c r="L1094" s="17" t="n"/>
      <ns0:c r="M1094" s="17" t="n"/>
      <ns0:c r="N1094" s="17" t="n"/>
      <ns0:c r="O1094" s="17" t="n"/>
      <ns0:c r="P1094" s="17" t="n"/>
      <ns0:c r="Q1094" s="17" t="n"/>
      <ns0:c r="R1094" s="17" t="n"/>
      <ns0:c r="S1094" s="17" t="n"/>
      <ns0:c r="T1094" s="17" t="n"/>
      <ns0:c r="U1094" s="17" t="n"/>
      <ns0:c r="V1094" s="17" t="n"/>
      <ns0:c r="W1094" s="17" t="n"/>
      <ns0:c r="X1094" s="17" t="n"/>
      <ns0:c r="Y1094" s="17" t="n"/>
      <ns0:c r="Z1094" s="17" t="n"/>
      <ns0:c r="AA1094" s="17" t="n"/>
      <ns0:c r="AB1094" s="17" t="n"/>
      <ns0:c r="AC1094" s="17" t="n"/>
      <ns0:c r="AD1094" s="17" t="n"/>
      <ns0:c r="AE1094" s="17" t="n"/>
      <ns0:c r="AF1094" s="17" t="n"/>
      <ns0:c r="AG1094" s="17" t="n"/>
    </ns0:row>
    <ns0:row r="1095" ht="24" customHeight="1">
      <ns0:c r="D1095" s="17" t="n"/>
      <ns0:c r="E1095" s="17" t="n"/>
      <ns0:c r="F1095" s="17" t="n"/>
      <ns0:c r="G1095" s="17" t="n"/>
      <ns0:c r="H1095" s="17" t="n"/>
      <ns0:c r="I1095" s="17" t="n"/>
      <ns0:c r="J1095" s="17" t="n"/>
      <ns0:c r="K1095" s="17" t="n"/>
      <ns0:c r="L1095" s="17" t="n"/>
      <ns0:c r="M1095" s="17" t="n"/>
      <ns0:c r="N1095" s="17" t="n"/>
      <ns0:c r="O1095" s="17" t="n"/>
      <ns0:c r="P1095" s="17" t="n"/>
      <ns0:c r="Q1095" s="17" t="n"/>
      <ns0:c r="R1095" s="17" t="n"/>
      <ns0:c r="S1095" s="17" t="n"/>
      <ns0:c r="T1095" s="17" t="n"/>
      <ns0:c r="U1095" s="17" t="n"/>
      <ns0:c r="V1095" s="17" t="n"/>
      <ns0:c r="W1095" s="17" t="n"/>
      <ns0:c r="X1095" s="17" t="n"/>
      <ns0:c r="Y1095" s="17" t="n"/>
      <ns0:c r="Z1095" s="17" t="n"/>
      <ns0:c r="AA1095" s="17" t="n"/>
      <ns0:c r="AB1095" s="17" t="n"/>
      <ns0:c r="AC1095" s="17" t="n"/>
      <ns0:c r="AD1095" s="17" t="n"/>
      <ns0:c r="AE1095" s="17" t="n"/>
      <ns0:c r="AF1095" s="17" t="n"/>
      <ns0:c r="AG1095" s="17" t="n"/>
    </ns0:row>
    <ns0:row r="1096" ht="24" customHeight="1">
      <ns0:c r="D1096" s="17" t="n"/>
      <ns0:c r="E1096" s="17" t="n"/>
      <ns0:c r="F1096" s="17" t="n"/>
      <ns0:c r="G1096" s="17" t="n"/>
      <ns0:c r="H1096" s="17" t="n"/>
      <ns0:c r="I1096" s="17" t="n"/>
      <ns0:c r="J1096" s="17" t="n"/>
      <ns0:c r="K1096" s="17" t="n"/>
      <ns0:c r="L1096" s="17" t="n"/>
      <ns0:c r="M1096" s="17" t="n"/>
      <ns0:c r="N1096" s="17" t="n"/>
      <ns0:c r="O1096" s="17" t="n"/>
      <ns0:c r="P1096" s="17" t="n"/>
      <ns0:c r="Q1096" s="17" t="n"/>
      <ns0:c r="R1096" s="17" t="n"/>
      <ns0:c r="S1096" s="17" t="n"/>
      <ns0:c r="T1096" s="17" t="n"/>
      <ns0:c r="U1096" s="17" t="n"/>
      <ns0:c r="V1096" s="17" t="n"/>
      <ns0:c r="W1096" s="17" t="n"/>
      <ns0:c r="X1096" s="17" t="n"/>
      <ns0:c r="Y1096" s="17" t="n"/>
      <ns0:c r="Z1096" s="17" t="n"/>
      <ns0:c r="AA1096" s="17" t="n"/>
      <ns0:c r="AB1096" s="17" t="n"/>
      <ns0:c r="AC1096" s="17" t="n"/>
      <ns0:c r="AD1096" s="17" t="n"/>
      <ns0:c r="AE1096" s="17" t="n"/>
      <ns0:c r="AF1096" s="17" t="n"/>
      <ns0:c r="AG1096" s="17" t="n"/>
    </ns0:row>
    <ns0:row r="1097" ht="24" customHeight="1">
      <ns0:c r="D1097" s="17" t="n"/>
      <ns0:c r="E1097" s="17" t="n"/>
      <ns0:c r="F1097" s="17" t="n"/>
      <ns0:c r="G1097" s="17" t="n"/>
      <ns0:c r="H1097" s="17" t="n"/>
      <ns0:c r="I1097" s="17" t="n"/>
      <ns0:c r="J1097" s="17" t="n"/>
      <ns0:c r="K1097" s="17" t="n"/>
      <ns0:c r="L1097" s="17" t="n"/>
      <ns0:c r="M1097" s="17" t="n"/>
      <ns0:c r="N1097" s="17" t="n"/>
      <ns0:c r="O1097" s="17" t="n"/>
      <ns0:c r="P1097" s="17" t="n"/>
      <ns0:c r="Q1097" s="17" t="n"/>
      <ns0:c r="R1097" s="17" t="n"/>
      <ns0:c r="S1097" s="17" t="n"/>
      <ns0:c r="T1097" s="17" t="n"/>
      <ns0:c r="U1097" s="17" t="n"/>
      <ns0:c r="V1097" s="17" t="n"/>
      <ns0:c r="W1097" s="17" t="n"/>
      <ns0:c r="X1097" s="17" t="n"/>
      <ns0:c r="Y1097" s="17" t="n"/>
      <ns0:c r="Z1097" s="17" t="n"/>
      <ns0:c r="AA1097" s="17" t="n"/>
      <ns0:c r="AB1097" s="17" t="n"/>
      <ns0:c r="AC1097" s="17" t="n"/>
      <ns0:c r="AD1097" s="17" t="n"/>
      <ns0:c r="AE1097" s="17" t="n"/>
      <ns0:c r="AF1097" s="17" t="n"/>
      <ns0:c r="AG1097" s="17" t="n"/>
    </ns0:row>
    <ns0:row r="1098" ht="24" customHeight="1">
      <ns0:c r="D1098" s="17" t="n"/>
      <ns0:c r="E1098" s="17" t="n"/>
      <ns0:c r="F1098" s="17" t="n"/>
      <ns0:c r="G1098" s="17" t="n"/>
      <ns0:c r="H1098" s="17" t="n"/>
      <ns0:c r="I1098" s="17" t="n"/>
      <ns0:c r="J1098" s="17" t="n"/>
      <ns0:c r="K1098" s="17" t="n"/>
      <ns0:c r="L1098" s="17" t="n"/>
      <ns0:c r="M1098" s="17" t="n"/>
      <ns0:c r="N1098" s="17" t="n"/>
      <ns0:c r="O1098" s="17" t="n"/>
      <ns0:c r="P1098" s="17" t="n"/>
      <ns0:c r="Q1098" s="17" t="n"/>
      <ns0:c r="R1098" s="17" t="n"/>
      <ns0:c r="S1098" s="17" t="n"/>
      <ns0:c r="T1098" s="17" t="n"/>
      <ns0:c r="U1098" s="17" t="n"/>
      <ns0:c r="V1098" s="17" t="n"/>
      <ns0:c r="W1098" s="17" t="n"/>
      <ns0:c r="X1098" s="17" t="n"/>
      <ns0:c r="Y1098" s="17" t="n"/>
      <ns0:c r="Z1098" s="17" t="n"/>
      <ns0:c r="AA1098" s="17" t="n"/>
      <ns0:c r="AB1098" s="17" t="n"/>
      <ns0:c r="AC1098" s="17" t="n"/>
      <ns0:c r="AD1098" s="17" t="n"/>
      <ns0:c r="AE1098" s="17" t="n"/>
      <ns0:c r="AF1098" s="17" t="n"/>
      <ns0:c r="AG1098" s="17" t="n"/>
    </ns0:row>
    <ns0:row r="1099" ht="24" customHeight="1">
      <ns0:c r="D1099" s="17" t="n"/>
      <ns0:c r="E1099" s="17" t="n"/>
      <ns0:c r="F1099" s="17" t="n"/>
      <ns0:c r="G1099" s="17" t="n"/>
      <ns0:c r="H1099" s="17" t="n"/>
      <ns0:c r="I1099" s="17" t="n"/>
      <ns0:c r="J1099" s="17" t="n"/>
      <ns0:c r="K1099" s="17" t="n"/>
      <ns0:c r="L1099" s="17" t="n"/>
      <ns0:c r="M1099" s="17" t="n"/>
      <ns0:c r="N1099" s="17" t="n"/>
      <ns0:c r="O1099" s="17" t="n"/>
      <ns0:c r="P1099" s="17" t="n"/>
      <ns0:c r="Q1099" s="17" t="n"/>
      <ns0:c r="R1099" s="17" t="n"/>
      <ns0:c r="S1099" s="17" t="n"/>
      <ns0:c r="T1099" s="17" t="n"/>
      <ns0:c r="U1099" s="17" t="n"/>
      <ns0:c r="V1099" s="17" t="n"/>
      <ns0:c r="W1099" s="17" t="n"/>
      <ns0:c r="X1099" s="17" t="n"/>
      <ns0:c r="Y1099" s="17" t="n"/>
      <ns0:c r="Z1099" s="17" t="n"/>
      <ns0:c r="AA1099" s="17" t="n"/>
      <ns0:c r="AB1099" s="17" t="n"/>
      <ns0:c r="AC1099" s="17" t="n"/>
      <ns0:c r="AD1099" s="17" t="n"/>
      <ns0:c r="AE1099" s="17" t="n"/>
      <ns0:c r="AF1099" s="17" t="n"/>
      <ns0:c r="AG1099" s="17" t="n"/>
    </ns0:row>
    <ns0:row r="1100" ht="24" customHeight="1">
      <ns0:c r="D1100" s="17" t="n"/>
      <ns0:c r="E1100" s="17" t="n"/>
      <ns0:c r="F1100" s="17" t="n"/>
      <ns0:c r="G1100" s="17" t="n"/>
      <ns0:c r="H1100" s="17" t="n"/>
      <ns0:c r="I1100" s="17" t="n"/>
      <ns0:c r="J1100" s="17" t="n"/>
      <ns0:c r="K1100" s="17" t="n"/>
      <ns0:c r="L1100" s="17" t="n"/>
      <ns0:c r="M1100" s="17" t="n"/>
      <ns0:c r="N1100" s="17" t="n"/>
      <ns0:c r="O1100" s="17" t="n"/>
      <ns0:c r="P1100" s="17" t="n"/>
      <ns0:c r="Q1100" s="17" t="n"/>
      <ns0:c r="R1100" s="17" t="n"/>
      <ns0:c r="S1100" s="17" t="n"/>
      <ns0:c r="T1100" s="17" t="n"/>
      <ns0:c r="U1100" s="17" t="n"/>
      <ns0:c r="V1100" s="17" t="n"/>
      <ns0:c r="W1100" s="17" t="n"/>
      <ns0:c r="X1100" s="17" t="n"/>
      <ns0:c r="Y1100" s="17" t="n"/>
      <ns0:c r="Z1100" s="17" t="n"/>
      <ns0:c r="AA1100" s="17" t="n"/>
      <ns0:c r="AB1100" s="17" t="n"/>
      <ns0:c r="AC1100" s="17" t="n"/>
      <ns0:c r="AD1100" s="17" t="n"/>
      <ns0:c r="AE1100" s="17" t="n"/>
      <ns0:c r="AF1100" s="17" t="n"/>
      <ns0:c r="AG1100" s="17" t="n"/>
    </ns0:row>
  </ns0:sheetData>
  <ns0:mergeCells count="2">
    <ns0:mergeCell ref="A1:I1"/>
    <ns0:mergeCell ref="A2:I2"/>
  </ns0:mergeCells>
  <ns0:conditionalFormatting sqref="R5:Z1004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M1100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  <ns0:col width="19" customWidth="1" min="25" max="25"/>
    <ns0:col width="19" customWidth="1" min="26" max="26"/>
    <ns0:col width="19" customWidth="1" min="27" max="27"/>
    <ns0:col width="19" customWidth="1" min="28" max="28"/>
    <ns0:col width="19" customWidth="1" min="29" max="29"/>
    <ns0:col width="19" customWidth="1" min="30" max="30"/>
    <ns0:col width="19" customWidth="1" min="31" max="31"/>
    <ns0:col width="19" customWidth="1" min="32" max="32"/>
    <ns0:col width="19" customWidth="1" min="33" max="33"/>
    <ns0:col width="19" customWidth="1" min="34" max="34"/>
    <ns0:col width="19" customWidth="1" min="35" max="35"/>
    <ns0:col width="19" customWidth="1" min="36" max="36"/>
    <ns0:col width="19" customWidth="1" min="37" max="37"/>
    <ns0:col width="19" customWidth="1" min="38" max="38"/>
    <ns0:col width="19" customWidth="1" min="39" max="39"/>
  </ns0:cols>
  <ns0:sheetData>
    <ns0:row r="1" ht="32" customHeight="1">
      <ns0:c r="A1" s="1" t="inlineStr">
        <ns0:is>
          <ns0:t>初期赤字・累積回収（36か月）</ns0:t>
        </ns0:is>
      </ns0:c>
    </ns0:row>
    <ns0:row r="2" ht="48" customHeight="1">
      <ns0:c r="A2" s="2" t="inlineStr">
        <ns0:is>
          <ns0:t>開始0社、各月新規・解約を反映。初期投資空欄なら未算入。営業/導入/事故/税/入金時差は除外。</ns0:t>
        </ns0:is>
      </ns0:c>
    </ns0:row>
    <ns0:row r="3" ht="24" customHeight="1"/>
    <ns0:row r="4" ht="42" customHeight="1">
      <ns0:c r="A4" s="5" t="inlineStr">
        <ns0:is>
          <ns0:t>月</ns0:t>
        </ns0:is>
      </ns0:c>
      <ns0:c r="B4" s="5" t="inlineStr">
        <ns0:is>
          <ns0:t>会社数</ns0:t>
        </ns0:is>
      </ns0:c>
      <ns0:c r="C4" s="5" t="inlineStr">
        <ns0:is>
          <ns0:t>Guard社数</ns0:t>
        </ns0:is>
      </ns0:c>
      <ns0:c r="D4" s="5" t="inlineStr">
        <ns0:is>
          <ns0:t>Send社数</ns0:t>
        </ns0:is>
      </ns0:c>
      <ns0:c r="E4" s="5" t="inlineStr">
        <ns0:is>
          <ns0:t>総PC</ns0:t>
        </ns0:is>
      </ns0:c>
      <ns0:c r="F4" s="5" t="inlineStr">
        <ns0:is>
          <ns0:t>G基本</ns0:t>
        </ns0:is>
      </ns0:c>
      <ns0:c r="G4" s="5" t="inlineStr">
        <ns0:is>
          <ns0:t>S基本</ns0:t>
        </ns0:is>
      </ns0:c>
      <ns0:c r="H4" s="5" t="inlineStr">
        <ns0:is>
          <ns0:t>G従量</ns0:t>
        </ns0:is>
      </ns0:c>
      <ns0:c r="I4" s="5" t="inlineStr">
        <ns0:is>
          <ns0:t>S従量</ns0:t>
        </ns0:is>
      </ns0:c>
      <ns0:c r="J4" s="5" t="inlineStr">
        <ns0:is>
          <ns0:t>G変動infra</ns0:t>
        </ns0:is>
      </ns0:c>
      <ns0:c r="K4" s="5" t="inlineStr">
        <ns0:is>
          <ns0:t>S変動infra</ns0:t>
        </ns0:is>
      </ns0:c>
      <ns0:c r="L4" s="5" t="inlineStr">
        <ns0:is>
          <ns0:t>Gsupport</ns0:t>
        </ns0:is>
      </ns0:c>
      <ns0:c r="M4" s="5" t="inlineStr">
        <ns0:is>
          <ns0:t>Ssupport</ns0:t>
        </ns0:is>
      </ns0:c>
      <ns0:c r="N4" s="5" t="inlineStr">
        <ns0:is>
          <ns0:t>G固定</ns0:t>
        </ns0:is>
      </ns0:c>
      <ns0:c r="O4" s="5" t="inlineStr">
        <ns0:is>
          <ns0:t>S固定</ns0:t>
        </ns0:is>
      </ns0:c>
      <ns0:c r="P4" s="5" t="inlineStr">
        <ns0:is>
          <ns0:t>DNS</ns0:t>
        </ns0:is>
      </ns0:c>
      <ns0:c r="Q4" s="5" t="inlineStr">
        <ns0:is>
          <ns0:t>G配分前</ns0:t>
        </ns0:is>
      </ns0:c>
      <ns0:c r="R4" s="5" t="inlineStr">
        <ns0:is>
          <ns0:t>S配分前</ns0:t>
        </ns0:is>
      </ns0:c>
      <ns0:c r="S4" s="5" t="inlineStr">
        <ns0:is>
          <ns0:t>G・率1</ns0:t>
        </ns0:is>
      </ns0:c>
      <ns0:c r="T4" s="5" t="inlineStr">
        <ns0:is>
          <ns0:t>S・率1</ns0:t>
        </ns0:is>
      </ns0:c>
      <ns0:c r="U4" s="5" t="inlineStr">
        <ns0:is>
          <ns0:t>合計・率1</ns0:t>
        </ns0:is>
      </ns0:c>
      <ns0:c r="V4" s="5" t="inlineStr">
        <ns0:is>
          <ns0:t>G・率2</ns0:t>
        </ns0:is>
      </ns0:c>
      <ns0:c r="W4" s="5" t="inlineStr">
        <ns0:is>
          <ns0:t>S・率2</ns0:t>
        </ns0:is>
      </ns0:c>
      <ns0:c r="X4" s="5" t="inlineStr">
        <ns0:is>
          <ns0:t>合計・率2</ns0:t>
        </ns0:is>
      </ns0:c>
      <ns0:c r="Y4" s="5" t="inlineStr">
        <ns0:is>
          <ns0:t>G・率3</ns0:t>
        </ns0:is>
      </ns0:c>
      <ns0:c r="Z4" s="5" t="inlineStr">
        <ns0:is>
          <ns0:t>S・率3</ns0:t>
        </ns0:is>
      </ns0:c>
      <ns0:c r="AA4" s="5" t="inlineStr">
        <ns0:is>
          <ns0:t>合計・率3</ns0:t>
        </ns0:is>
      </ns0:c>
      <ns0:c r="AB4" s="5" t="inlineStr">
        <ns0:is>
          <ns0:t>累積・率1</ns0:t>
        </ns0:is>
      </ns0:c>
      <ns0:c r="AC4" s="5" t="inlineStr">
        <ns0:is>
          <ns0:t>累積・率2</ns0:t>
        </ns0:is>
      </ns0:c>
      <ns0:c r="AD4" s="5" t="inlineStr">
        <ns0:is>
          <ns0:t>累積・率3</ns0:t>
        </ns0:is>
      </ns0:c>
      <ns0:c r="AE4" s="5" t="inlineStr">
        <ns0:is>
          <ns0:t>資金谷・率1</ns0:t>
        </ns0:is>
      </ns0:c>
      <ns0:c r="AF4" s="5" t="inlineStr">
        <ns0:is>
          <ns0:t>資金谷・率2</ns0:t>
        </ns0:is>
      </ns0:c>
      <ns0:c r="AG4" s="5" t="inlineStr">
        <ns0:is>
          <ns0:t>資金谷・率3</ns0:t>
        </ns0:is>
      </ns0:c>
      <ns0:c r="AH4" s="5" t="inlineStr">
        <ns0:is>
          <ns0:t>単黒・率1月</ns0:t>
        </ns0:is>
      </ns0:c>
      <ns0:c r="AI4" s="5" t="inlineStr">
        <ns0:is>
          <ns0:t>累回・率1月</ns0:t>
        </ns0:is>
      </ns0:c>
      <ns0:c r="AJ4" s="5" t="inlineStr">
        <ns0:is>
          <ns0:t>単黒・率2月</ns0:t>
        </ns0:is>
      </ns0:c>
      <ns0:c r="AK4" s="5" t="inlineStr">
        <ns0:is>
          <ns0:t>累回・率2月</ns0:t>
        </ns0:is>
      </ns0:c>
      <ns0:c r="AL4" s="5" t="inlineStr">
        <ns0:is>
          <ns0:t>単黒・率3月</ns0:t>
        </ns0:is>
      </ns0:c>
      <ns0:c r="AM4" s="5" t="inlineStr">
        <ns0:is>
          <ns0:t>累回・率3月</ns0:t>
        </ns0:is>
      </ns0:c>
    </ns0:row>
    <ns0:row r="5" ht="24" customHeight="1">
      <ns0:c r="A5" s="4" t="n">
        <ns0:v>1</ns0:v>
      </ns0:c>
      <ns0:c r="B5" s="12">
        <ns0:f>'前提と出典'!$B$30</ns0:f>
        <ns0:v>3</ns0:v>
      </ns0:c>
      <ns0:c r="C5" s="12">
        <ns0:f>B5*('前提と出典'!$C$36+'前提と出典'!$C$38)</ns0:f>
        <ns0:v>2.0999999999999996</ns0:v>
      </ns0:c>
      <ns0:c r="D5" s="16">
        <ns0:f>B5*('前提と出典'!$C$37+'前提と出典'!$C$38)</ns0:f>
        <ns0:v>1.7999999999999998</ns0:v>
      </ns0:c>
      <ns0:c r="E5" s="16">
        <ns0:f>B5*('前提と出典'!$C$36*'契約別単価'!C5+'前提と出典'!$C$37*'契約別単価'!C6+'前提と出典'!$C$38*'契約別単価'!C7)</ns0:f>
        <ns0:v>21.58659217877095</ns0:v>
      </ns0:c>
      <ns0:c r="F5" s="16">
        <ns0:f>B5*('前提と出典'!$C$36*'契約別単価'!E5+'前提と出典'!$C$37*'契約別単価'!E6+'前提と出典'!$C$38*'契約別単価'!E7)</ns0:f>
        <ns0:v>5804.833970197098</ns0:v>
      </ns0:c>
      <ns0:c r="G5" s="16">
        <ns0:f>B5*('前提と出典'!$C$36*'契約別単価'!F5+'前提と出典'!$C$37*'契約別単価'!F6+'前提と出典'!$C$38*'契約別単価'!F7)</ns0:f>
        <ns0:v>2278.1864391120166</ns0:v>
      </ns0:c>
      <ns0:c r="H5" s="16">
        <ns0:f>B5*('前提と出典'!$C$36*'契約別単価'!G5+'前提と出典'!$C$37*'契約別単価'!G6+'前提と出典'!$C$38*'契約別単価'!G7)</ns0:f>
        <ns0:v>5971.508379888268</ns0:v>
      </ns0:c>
      <ns0:c r="I5" s="16">
        <ns0:f>B5*('前提と出典'!$C$36*'契約別単価'!H5+'前提と出典'!$C$37*'契約別単価'!H6+'前提と出典'!$C$38*'契約別単価'!H7)</ns0:f>
        <ns0:v>2072.412902501333</ns0:v>
      </ns0:c>
      <ns0:c r="J5" s="16">
        <ns0:f>B5*('前提と出典'!$C$36*'契約別単価'!I5+'前提と出典'!$C$37*'契約別単価'!I6+'前提と出典'!$C$38*'契約別単価'!I7)</ns0:f>
        <ns0:v>126.58659217877093</ns0:v>
      </ns0:c>
      <ns0:c r="K5" s="16">
        <ns0:f>B5*('前提と出典'!$C$36*'契約別単価'!J5+'前提と出典'!$C$37*'契約別単価'!J6+'前提と出典'!$C$38*'契約別単価'!J7)</ns0:f>
        <ns0:v>294.8686311309077</ns0:v>
      </ns0:c>
      <ns0:c r="L5" s="16">
        <ns0:f>B5*('前提と出典'!$C$36*'契約別単価'!K5+'前提と出典'!$C$37*'契約別単価'!K6+'前提と出典'!$C$38*'契約別単価'!K7)</ns0:f>
        <ns0:v>1263.9106145251396</ns0:v>
      </ns0:c>
      <ns0:c r="M5" s="16">
        <ns0:f>B5*('前提と出典'!$C$36*'契約別単価'!L5+'前提と出典'!$C$37*'契約別単価'!L6+'前提と出典'!$C$38*'契約別単価'!L7)</ns0:f>
        <ns0:v>1029.0804300833777</ns0:v>
      </ns0:c>
      <ns0:c r="N5" s="16">
        <ns0:f>IF(('前提と出典'!$C$36+'前提と出典'!$C$38)=0,0,IF(C5&lt;=10,'前提と出典'!B73+'前提と出典'!C73,IF(C5&lt;=100,'前提と出典'!B74+'前提と出典'!C74,IF(C5&lt;=500,'前提と出典'!B75+'前提と出典'!C75,'前提と出典'!B76+'前提と出典'!C76))))</ns0:f>
        <ns0:v>10000</ns0:v>
      </ns0:c>
      <ns0:c r="O5" s="16">
        <ns0:f>IF(('前提と出典'!$C$37+'前提と出典'!$C$38)=0,0,IF(D5&lt;=10,'前提と出典'!D73+'前提と出典'!E73,IF(D5&lt;=100,'前提と出典'!D74+'前提と出典'!E74,IF(D5&lt;=500,'前提と出典'!D75+'前提と出典'!E75,'前提と出典'!D76+'前提と出典'!E76))))</ns0:f>
        <ns0:v>30010.934626307797</ns0:v>
      </ns0:c>
      <ns0:c r="P5" s="16">
        <ns0:f>IF('前提と出典'!$C$36+'前提と出典'!$C$38=0,0,'前提と出典'!$B$4*IF('前提と出典'!$B$20=0,MAX('前提と出典'!$B$6,E5*'前提と出典'!$B$5),'前提と出典'!$B$6+E5*'前提と出典'!$B$5))</ns0:f>
        <ns0:v>22500</ns0:v>
      </ns0:c>
      <ns0:c r="Q5" s="16">
        <ns0:f>(F5+H5)*(1-'前提と出典'!$B$7)-J5-L5-N5-P5</ns0:f>
        <ns0:v>-22538.10318122162</ns0:v>
      </ns0:c>
      <ns0:c r="R5" s="16">
        <ns0:f>(G5+I5)*(1-'前提と出典'!$B$7)-K5-M5-O5</ns0:f>
        <ns0:v>-27140.905922206814</ns0:v>
      </ns0:c>
      <ns0:c r="S5" s="16">
        <ns0:f>Q5-F5*'前提と出典'!$E$4</ns0:f>
        <ns0:v>-24279.553372280745</ns0:v>
      </ns0:c>
      <ns0:c r="T5" s="16">
        <ns0:f>R5-G5*'前提と出典'!$E$4</ns0:f>
        <ns0:v>-27824.36185394042</ns0:v>
      </ns0:c>
      <ns0:c r="U5" s="7">
        <ns0:f>S5+T5</ns0:f>
        <ns0:v>-52103.915226221165</ns0:v>
      </ns0:c>
      <ns0:c r="V5" s="16">
        <ns0:f>Q5-F5*'前提と出典'!$E$5</ns0:f>
        <ns0:v>-24860.03676930046</ns0:v>
      </ns0:c>
      <ns0:c r="W5" s="16">
        <ns0:f>R5-G5*'前提と出典'!$E$5</ns0:f>
        <ns0:v>-28052.18049785162</ns0:v>
      </ns0:c>
      <ns0:c r="X5" s="7">
        <ns0:f>V5+W5</ns0:f>
        <ns0:v>-52912.21726715208</ns0:v>
      </ns0:c>
      <ns0:c r="Y5" s="16">
        <ns0:f>Q5-F5*'前提と出典'!$E$6</ns0:f>
        <ns0:v>-25440.52016632017</ns0:v>
      </ns0:c>
      <ns0:c r="Z5" s="16">
        <ns0:f>R5-G5*'前提と出典'!$E$6</ns0:f>
        <ns0:v>-28279.999141762823</ns0:v>
      </ns0:c>
      <ns0:c r="AA5" s="7">
        <ns0:f>Y5+Z5</ns0:f>
        <ns0:v>-53720.51930808299</ns0:v>
      </ns0:c>
      <ns0:c r="AB5" s="16">
        <ns0:f>U5-IF('前提と出典'!$B$32="",0,'前提と出典'!$B$32)</ns0:f>
        <ns0:v>-52103.915226221165</ns0:v>
      </ns0:c>
      <ns0:c r="AC5" s="16">
        <ns0:f>X5-IF('前提と出典'!$B$32="",0,'前提と出典'!$B$32)</ns0:f>
        <ns0:v>-52912.21726715208</ns0:v>
      </ns0:c>
      <ns0:c r="AD5" s="16">
        <ns0:f>AA5-IF('前提と出典'!$B$32="",0,'前提と出典'!$B$32)</ns0:f>
        <ns0:v>-53720.51930808299</ns0:v>
      </ns0:c>
      <ns0:c r="AE5" s="7">
        <ns0:f>MAX(0,-MIN($AB$5:AB5))</ns0:f>
        <ns0:v>52103.915226221165</ns0:v>
      </ns0:c>
      <ns0:c r="AF5" s="7">
        <ns0:f>MAX(0,-MIN($AC$5:AC5))</ns0:f>
        <ns0:v>52912.21726715208</ns0:v>
      </ns0:c>
      <ns0:c r="AG5" s="7">
        <ns0:f>MAX(0,-MIN($AD$5:AD5))</ns0:f>
        <ns0:v>53720.51930808299</ns0:v>
      </ns0:c>
      <ns0:c r="AH5" s="4">
        <ns0:f>IF(U5&gt;=0,A5,37)</ns0:f>
        <ns0:v>37</ns0:v>
      </ns0:c>
      <ns0:c r="AI5" s="4">
        <ns0:f>IF(AB5&gt;=0,A5,37)</ns0:f>
        <ns0:v>37</ns0:v>
      </ns0:c>
      <ns0:c r="AJ5" s="4">
        <ns0:f>IF(X5&gt;=0,A5,37)</ns0:f>
        <ns0:v>37</ns0:v>
      </ns0:c>
      <ns0:c r="AK5" s="4">
        <ns0:f>IF(AC5&gt;=0,A5,37)</ns0:f>
        <ns0:v>37</ns0:v>
      </ns0:c>
      <ns0:c r="AL5" s="4">
        <ns0:f>IF(AA5&gt;=0,A5,37)</ns0:f>
        <ns0:v>37</ns0:v>
      </ns0:c>
      <ns0:c r="AM5" s="4">
        <ns0:f>IF(AD5&gt;=0,A5,37)</ns0:f>
        <ns0:v>37</ns0:v>
      </ns0:c>
    </ns0:row>
    <ns0:row r="6" ht="24" customHeight="1">
      <ns0:c r="A6" s="4" t="n">
        <ns0:v>2</ns0:v>
      </ns0:c>
      <ns0:c r="B6" s="12">
        <ns0:f>B5*(1-'前提と出典'!$B$31)+'前提と出典'!$B$30</ns0:f>
        <ns0:v>6</ns0:v>
      </ns0:c>
      <ns0:c r="C6" s="12">
        <ns0:f>B6*('前提と出典'!$C$36+'前提と出典'!$C$38)</ns0:f>
        <ns0:v>4.199999999999999</ns0:v>
      </ns0:c>
      <ns0:c r="D6" s="16">
        <ns0:f>B6*('前提と出典'!$C$37+'前提と出典'!$C$38)</ns0:f>
        <ns0:v>3.5999999999999996</ns0:v>
      </ns0:c>
      <ns0:c r="E6" s="16">
        <ns0:f>B6*('前提と出典'!$C$36*'契約別単価'!C5+'前提と出典'!$C$37*'契約別単価'!C6+'前提と出典'!$C$38*'契約別単価'!C7)</ns0:f>
        <ns0:v>43.1731843575419</ns0:v>
      </ns0:c>
      <ns0:c r="F6" s="16">
        <ns0:f>B6*('前提と出典'!$C$36*'契約別単価'!E5+'前提と出典'!$C$37*'契約別単価'!E6+'前提と出典'!$C$38*'契約別単価'!E7)</ns0:f>
        <ns0:v>11609.667940394196</ns0:v>
      </ns0:c>
      <ns0:c r="G6" s="16">
        <ns0:f>B6*('前提と出典'!$C$36*'契約別単価'!F5+'前提と出典'!$C$37*'契約別単価'!F6+'前提と出典'!$C$38*'契約別単価'!F7)</ns0:f>
        <ns0:v>4556.372878224033</ns0:v>
      </ns0:c>
      <ns0:c r="H6" s="16">
        <ns0:f>B6*('前提と出典'!$C$36*'契約別単価'!G5+'前提と出典'!$C$37*'契約別単価'!G6+'前提と出典'!$C$38*'契約別単価'!G7)</ns0:f>
        <ns0:v>11943.016759776536</ns0:v>
      </ns0:c>
      <ns0:c r="I6" s="16">
        <ns0:f>B6*('前提と出典'!$C$36*'契約別単価'!H5+'前提と出典'!$C$37*'契約別単価'!H6+'前提と出典'!$C$38*'契約別単価'!H7)</ns0:f>
        <ns0:v>4144.825805002666</ns0:v>
      </ns0:c>
      <ns0:c r="J6" s="16">
        <ns0:f>B6*('前提と出典'!$C$36*'契約別単価'!I5+'前提と出典'!$C$37*'契約別単価'!I6+'前提と出典'!$C$38*'契約別単価'!I7)</ns0:f>
        <ns0:v>253.17318435754186</ns0:v>
      </ns0:c>
      <ns0:c r="K6" s="16">
        <ns0:f>B6*('前提と出典'!$C$36*'契約別単価'!J5+'前提と出典'!$C$37*'契約別単価'!J6+'前提と出典'!$C$38*'契約別単価'!J7)</ns0:f>
        <ns0:v>589.7372622618154</ns0:v>
      </ns0:c>
      <ns0:c r="L6" s="16">
        <ns0:f>B6*('前提と出典'!$C$36*'契約別単価'!K5+'前提と出典'!$C$37*'契約別単価'!K6+'前提と出典'!$C$38*'契約別単価'!K7)</ns0:f>
        <ns0:v>2527.8212290502793</ns0:v>
      </ns0:c>
      <ns0:c r="M6" s="16">
        <ns0:f>B6*('前提と出典'!$C$36*'契約別単価'!L5+'前提と出典'!$C$37*'契約別単価'!L6+'前提と出典'!$C$38*'契約別単価'!L7)</ns0:f>
        <ns0:v>2058.1608601667554</ns0:v>
      </ns0:c>
      <ns0:c r="N6" s="16">
        <ns0:f>IF(('前提と出典'!$C$36+'前提と出典'!$C$38)=0,0,IF(C6&lt;=10,'前提と出典'!B73+'前提と出典'!C73,IF(C6&lt;=100,'前提と出典'!B74+'前提と出典'!C74,IF(C6&lt;=500,'前提と出典'!B75+'前提と出典'!C75,'前提と出典'!B76+'前提と出典'!C76))))</ns0:f>
        <ns0:v>10000</ns0:v>
      </ns0:c>
      <ns0:c r="O6" s="16">
        <ns0:f>IF(('前提と出典'!$C$37+'前提と出典'!$C$38)=0,0,IF(D6&lt;=10,'前提と出典'!D73+'前提と出典'!E73,IF(D6&lt;=100,'前提と出典'!D74+'前提と出典'!E74,IF(D6&lt;=500,'前提と出典'!D75+'前提と出典'!E75,'前提と出典'!D76+'前提と出典'!E76))))</ns0:f>
        <ns0:v>30010.934626307797</ns0:v>
      </ns0:c>
      <ns0:c r="P6" s="16">
        <ns0:f>IF('前提と出典'!$C$36+'前提と出典'!$C$38=0,0,'前提と出典'!$B$4*IF('前提と出典'!$B$20=0,MAX('前提と出典'!$B$6,E6*'前提と出典'!$B$5),'前提と出典'!$B$6+E6*'前提と出典'!$B$5))</ns0:f>
        <ns0:v>22500</ns0:v>
      </ns0:c>
      <ns0:c r="Q6" s="16">
        <ns0:f>(F6+H6)*(1-'前提と出典'!$B$7)-J6-L6-N6-P6</ns0:f>
        <ns0:v>-12576.20636244324</ns0:v>
      </ns0:c>
      <ns0:c r="R6" s="16">
        <ns0:f>(G6+I6)*(1-'前提と出典'!$B$7)-K6-M6-O6</ns0:f>
        <ns0:v>-24270.87721810583</ns0:v>
      </ns0:c>
      <ns0:c r="S6" s="16">
        <ns0:f>Q6-F6*'前提と出典'!$E$4</ns0:f>
        <ns0:v>-16059.106744561494</ns0:v>
      </ns0:c>
      <ns0:c r="T6" s="16">
        <ns0:f>R6-G6*'前提と出典'!$E$4</ns0:f>
        <ns0:v>-25637.789081573042</ns0:v>
      </ns0:c>
      <ns0:c r="U6" s="7">
        <ns0:f>S6+T6</ns0:f>
        <ns0:v>-41696.89582613454</ns0:v>
      </ns0:c>
      <ns0:c r="V6" s="16">
        <ns0:f>Q6-F6*'前提と出典'!$E$5</ns0:f>
        <ns0:v>-17220.07353860092</ns0:v>
      </ns0:c>
      <ns0:c r="W6" s="16">
        <ns0:f>R6-G6*'前提と出典'!$E$5</ns0:f>
        <ns0:v>-26093.42636939544</ns0:v>
      </ns0:c>
      <ns0:c r="X6" s="7">
        <ns0:f>V6+W6</ns0:f>
        <ns0:v>-43313.49990799636</ns0:v>
      </ns0:c>
      <ns0:c r="Y6" s="16">
        <ns0:f>Q6-F6*'前提と出典'!$E$6</ns0:f>
        <ns0:v>-18381.04033264034</ns0:v>
      </ns0:c>
      <ns0:c r="Z6" s="16">
        <ns0:f>R6-G6*'前提と出典'!$E$6</ns0:f>
        <ns0:v>-26549.063657217845</ns0:v>
      </ns0:c>
      <ns0:c r="AA6" s="7">
        <ns0:f>Y6+Z6</ns0:f>
        <ns0:v>-44930.10398985818</ns0:v>
      </ns0:c>
      <ns0:c r="AB6" s="7">
        <ns0:f>AB5+U6</ns0:f>
        <ns0:v>-93800.81105235571</ns0:v>
      </ns0:c>
      <ns0:c r="AC6" s="7">
        <ns0:f>AC5+X6</ns0:f>
        <ns0:v>-96225.71717514844</ns0:v>
      </ns0:c>
      <ns0:c r="AD6" s="7">
        <ns0:f>AD5+AA6</ns0:f>
        <ns0:v>-98650.62329794117</ns0:v>
      </ns0:c>
      <ns0:c r="AE6" s="7">
        <ns0:f>MAX(0,-MIN($AB$5:AB6))</ns0:f>
        <ns0:v>93800.81105235571</ns0:v>
      </ns0:c>
      <ns0:c r="AF6" s="7">
        <ns0:f>MAX(0,-MIN($AC$5:AC6))</ns0:f>
        <ns0:v>96225.71717514844</ns0:v>
      </ns0:c>
      <ns0:c r="AG6" s="7">
        <ns0:f>MAX(0,-MIN($AD$5:AD6))</ns0:f>
        <ns0:v>98650.62329794117</ns0:v>
      </ns0:c>
      <ns0:c r="AH6" s="4">
        <ns0:f>IF(U6&gt;=0,A6,37)</ns0:f>
        <ns0:v>37</ns0:v>
      </ns0:c>
      <ns0:c r="AI6" s="4">
        <ns0:f>IF(AB6&gt;=0,A6,37)</ns0:f>
        <ns0:v>37</ns0:v>
      </ns0:c>
      <ns0:c r="AJ6" s="4">
        <ns0:f>IF(X6&gt;=0,A6,37)</ns0:f>
        <ns0:v>37</ns0:v>
      </ns0:c>
      <ns0:c r="AK6" s="4">
        <ns0:f>IF(AC6&gt;=0,A6,37)</ns0:f>
        <ns0:v>37</ns0:v>
      </ns0:c>
      <ns0:c r="AL6" s="4">
        <ns0:f>IF(AA6&gt;=0,A6,37)</ns0:f>
        <ns0:v>37</ns0:v>
      </ns0:c>
      <ns0:c r="AM6" s="4">
        <ns0:f>IF(AD6&gt;=0,A6,37)</ns0:f>
        <ns0:v>37</ns0:v>
      </ns0:c>
    </ns0:row>
    <ns0:row r="7" ht="24" customHeight="1">
      <ns0:c r="A7" s="4" t="n">
        <ns0:v>3</ns0:v>
      </ns0:c>
      <ns0:c r="B7" s="12">
        <ns0:f>B6*(1-'前提と出典'!$B$31)+'前提と出典'!$B$30</ns0:f>
        <ns0:v>9</ns0:v>
      </ns0:c>
      <ns0:c r="C7" s="12">
        <ns0:f>B7*('前提と出典'!$C$36+'前提と出典'!$C$38)</ns0:f>
        <ns0:v>6.3</ns0:v>
      </ns0:c>
      <ns0:c r="D7" s="16">
        <ns0:f>B7*('前提と出典'!$C$37+'前提と出典'!$C$38)</ns0:f>
        <ns0:v>5.3999999999999995</ns0:v>
      </ns0:c>
      <ns0:c r="E7" s="16">
        <ns0:f>B7*('前提と出典'!$C$36*'契約別単価'!C5+'前提と出典'!$C$37*'契約別単価'!C6+'前提と出典'!$C$38*'契約別単価'!C7)</ns0:f>
        <ns0:v>64.75977653631284</ns0:v>
      </ns0:c>
      <ns0:c r="F7" s="16">
        <ns0:f>B7*('前提と出典'!$C$36*'契約別単価'!E5+'前提と出典'!$C$37*'契約別単価'!E6+'前提と出典'!$C$38*'契約別単価'!E7)</ns0:f>
        <ns0:v>17414.501910591294</ns0:v>
      </ns0:c>
      <ns0:c r="G7" s="16">
        <ns0:f>B7*('前提と出典'!$C$36*'契約別単価'!F5+'前提と出典'!$C$37*'契約別単価'!F6+'前提と出典'!$C$38*'契約別単価'!F7)</ns0:f>
        <ns0:v>6834.55931733605</ns0:v>
      </ns0:c>
      <ns0:c r="H7" s="16">
        <ns0:f>B7*('前提と出典'!$C$36*'契約別単価'!G5+'前提と出典'!$C$37*'契約別単価'!G6+'前提と出典'!$C$38*'契約別単価'!G7)</ns0:f>
        <ns0:v>17914.525139664802</ns0:v>
      </ns0:c>
      <ns0:c r="I7" s="16">
        <ns0:f>B7*('前提と出典'!$C$36*'契約別単価'!H5+'前提と出典'!$C$37*'契約別単価'!H6+'前提と出典'!$C$38*'契約別単価'!H7)</ns0:f>
        <ns0:v>6217.238707503999</ns0:v>
      </ns0:c>
      <ns0:c r="J7" s="16">
        <ns0:f>B7*('前提と出典'!$C$36*'契約別単価'!I5+'前提と出典'!$C$37*'契約別単価'!I6+'前提と出典'!$C$38*'契約別単価'!I7)</ns0:f>
        <ns0:v>379.75977653631276</ns0:v>
      </ns0:c>
      <ns0:c r="K7" s="16">
        <ns0:f>B7*('前提と出典'!$C$36*'契約別単価'!J5+'前提と出典'!$C$37*'契約別単価'!J6+'前提と出典'!$C$38*'契約別単価'!J7)</ns0:f>
        <ns0:v>884.6058933927231</ns0:v>
      </ns0:c>
      <ns0:c r="L7" s="16">
        <ns0:f>B7*('前提と出典'!$C$36*'契約別単価'!K5+'前提と出典'!$C$37*'契約別単価'!K6+'前提と出典'!$C$38*'契約別単価'!K7)</ns0:f>
        <ns0:v>3791.7318435754187</ns0:v>
      </ns0:c>
      <ns0:c r="M7" s="16">
        <ns0:f>B7*('前提と出典'!$C$36*'契約別単価'!L5+'前提と出典'!$C$37*'契約別単価'!L6+'前提と出典'!$C$38*'契約別単価'!L7)</ns0:f>
        <ns0:v>3087.2412902501333</ns0:v>
      </ns0:c>
      <ns0:c r="N7" s="16">
        <ns0:f>IF(('前提と出典'!$C$36+'前提と出典'!$C$38)=0,0,IF(C7&lt;=10,'前提と出典'!B73+'前提と出典'!C73,IF(C7&lt;=100,'前提と出典'!B74+'前提と出典'!C74,IF(C7&lt;=500,'前提と出典'!B75+'前提と出典'!C75,'前提と出典'!B76+'前提と出典'!C76))))</ns0:f>
        <ns0:v>10000</ns0:v>
      </ns0:c>
      <ns0:c r="O7" s="16">
        <ns0:f>IF(('前提と出典'!$C$37+'前提と出典'!$C$38)=0,0,IF(D7&lt;=10,'前提と出典'!D73+'前提と出典'!E73,IF(D7&lt;=100,'前提と出典'!D74+'前提と出典'!E74,IF(D7&lt;=500,'前提と出典'!D75+'前提と出典'!E75,'前提と出典'!D76+'前提と出典'!E76))))</ns0:f>
        <ns0:v>30010.934626307797</ns0:v>
      </ns0:c>
      <ns0:c r="P7" s="16">
        <ns0:f>IF('前提と出典'!$C$36+'前提と出典'!$C$38=0,0,'前提と出典'!$B$4*IF('前提と出典'!$B$20=0,MAX('前提と出典'!$B$6,E7*'前提と出典'!$B$5),'前提と出典'!$B$6+E7*'前提と出典'!$B$5))</ns0:f>
        <ns0:v>22500</ns0:v>
      </ns0:c>
      <ns0:c r="Q7" s="16">
        <ns0:f>(F7+H7)*(1-'前提と出典'!$B$7)-J7-L7-N7-P7</ns0:f>
        <ns0:v>-2614.309543664859</ns0:v>
      </ns0:c>
      <ns0:c r="R7" s="16">
        <ns0:f>(G7+I7)*(1-'前提と出典'!$B$7)-K7-M7-O7</ns0:f>
        <ns0:v>-21400.848514004847</ns0:v>
      </ns0:c>
      <ns0:c r="S7" s="16">
        <ns0:f>Q7-F7*'前提と出典'!$E$4</ns0:f>
        <ns0:v>-7838.660116842242</ns0:v>
      </ns0:c>
      <ns0:c r="T7" s="16">
        <ns0:f>R7-G7*'前提と出典'!$E$4</ns0:f>
        <ns0:v>-23451.216309205658</ns0:v>
      </ns0:c>
      <ns0:c r="U7" s="7">
        <ns0:f>S7+T7</ns0:f>
        <ns0:v>-31289.8764260479</ns0:v>
      </ns0:c>
      <ns0:c r="V7" s="16">
        <ns0:f>Q7-F7*'前提と出典'!$E$5</ns0:f>
        <ns0:v>-9580.110307901377</ns0:v>
      </ns0:c>
      <ns0:c r="W7" s="16">
        <ns0:f>R7-G7*'前提と出典'!$E$5</ns0:f>
        <ns0:v>-24134.672240939268</ns0:v>
      </ns0:c>
      <ns0:c r="X7" s="7">
        <ns0:f>V7+W7</ns0:f>
        <ns0:v>-33714.782548840645</ns0:v>
      </ns0:c>
      <ns0:c r="Y7" s="16">
        <ns0:f>Q7-F7*'前提と出典'!$E$6</ns0:f>
        <ns0:v>-11321.560498960505</ns0:v>
      </ns0:c>
      <ns0:c r="Z7" s="16">
        <ns0:f>R7-G7*'前提と出典'!$E$6</ns0:f>
        <ns0:v>-24818.12817267287</ns0:v>
      </ns0:c>
      <ns0:c r="AA7" s="7">
        <ns0:f>Y7+Z7</ns0:f>
        <ns0:v>-36139.688671633376</ns0:v>
      </ns0:c>
      <ns0:c r="AB7" s="7">
        <ns0:f>AB6+U7</ns0:f>
        <ns0:v>-125090.68747840362</ns0:v>
      </ns0:c>
      <ns0:c r="AC7" s="7">
        <ns0:f>AC6+X7</ns0:f>
        <ns0:v>-129940.49972398908</ns0:v>
      </ns0:c>
      <ns0:c r="AD7" s="7">
        <ns0:f>AD6+AA7</ns0:f>
        <ns0:v>-134790.31196957454</ns0:v>
      </ns0:c>
      <ns0:c r="AE7" s="7">
        <ns0:f>MAX(0,-MIN($AB$5:AB7))</ns0:f>
        <ns0:v>125090.68747840362</ns0:v>
      </ns0:c>
      <ns0:c r="AF7" s="7">
        <ns0:f>MAX(0,-MIN($AC$5:AC7))</ns0:f>
        <ns0:v>129940.49972398908</ns0:v>
      </ns0:c>
      <ns0:c r="AG7" s="7">
        <ns0:f>MAX(0,-MIN($AD$5:AD7))</ns0:f>
        <ns0:v>134790.31196957454</ns0:v>
      </ns0:c>
      <ns0:c r="AH7" s="4">
        <ns0:f>IF(U7&gt;=0,A7,37)</ns0:f>
        <ns0:v>37</ns0:v>
      </ns0:c>
      <ns0:c r="AI7" s="4">
        <ns0:f>IF(AB7&gt;=0,A7,37)</ns0:f>
        <ns0:v>37</ns0:v>
      </ns0:c>
      <ns0:c r="AJ7" s="4">
        <ns0:f>IF(X7&gt;=0,A7,37)</ns0:f>
        <ns0:v>37</ns0:v>
      </ns0:c>
      <ns0:c r="AK7" s="4">
        <ns0:f>IF(AC7&gt;=0,A7,37)</ns0:f>
        <ns0:v>37</ns0:v>
      </ns0:c>
      <ns0:c r="AL7" s="4">
        <ns0:f>IF(AA7&gt;=0,A7,37)</ns0:f>
        <ns0:v>37</ns0:v>
      </ns0:c>
      <ns0:c r="AM7" s="4">
        <ns0:f>IF(AD7&gt;=0,A7,37)</ns0:f>
        <ns0:v>37</ns0:v>
      </ns0:c>
    </ns0:row>
    <ns0:row r="8" ht="24" customHeight="1">
      <ns0:c r="A8" s="4" t="n">
        <ns0:v>4</ns0:v>
      </ns0:c>
      <ns0:c r="B8" s="12">
        <ns0:f>B7*(1-'前提と出典'!$B$31)+'前提と出典'!$B$30</ns0:f>
        <ns0:v>12</ns0:v>
      </ns0:c>
      <ns0:c r="C8" s="12">
        <ns0:f>B8*('前提と出典'!$C$36+'前提と出典'!$C$38)</ns0:f>
        <ns0:v>8.399999999999999</ns0:v>
      </ns0:c>
      <ns0:c r="D8" s="16">
        <ns0:f>B8*('前提と出典'!$C$37+'前提と出典'!$C$38)</ns0:f>
        <ns0:v>7.199999999999999</ns0:v>
      </ns0:c>
      <ns0:c r="E8" s="16">
        <ns0:f>B8*('前提と出典'!$C$36*'契約別単価'!C5+'前提と出典'!$C$37*'契約別単価'!C6+'前提と出典'!$C$38*'契約別単価'!C7)</ns0:f>
        <ns0:v>86.3463687150838</ns0:v>
      </ns0:c>
      <ns0:c r="F8" s="16">
        <ns0:f>B8*('前提と出典'!$C$36*'契約別単価'!E5+'前提と出典'!$C$37*'契約別単価'!E6+'前提と出典'!$C$38*'契約別単価'!E7)</ns0:f>
        <ns0:v>23219.335880788392</ns0:v>
      </ns0:c>
      <ns0:c r="G8" s="16">
        <ns0:f>B8*('前提と出典'!$C$36*'契約別単価'!F5+'前提と出典'!$C$37*'契約別単価'!F6+'前提と出典'!$C$38*'契約別単価'!F7)</ns0:f>
        <ns0:v>9112.745756448066</ns0:v>
      </ns0:c>
      <ns0:c r="H8" s="16">
        <ns0:f>B8*('前提と出典'!$C$36*'契約別単価'!G5+'前提と出典'!$C$37*'契約別単価'!G6+'前提と出典'!$C$38*'契約別単価'!G7)</ns0:f>
        <ns0:v>23886.03351955307</ns0:v>
      </ns0:c>
      <ns0:c r="I8" s="16">
        <ns0:f>B8*('前提と出典'!$C$36*'契約別単価'!H5+'前提と出典'!$C$37*'契約別単価'!H6+'前提と出典'!$C$38*'契約別単価'!H7)</ns0:f>
        <ns0:v>8289.651610005332</ns0:v>
      </ns0:c>
      <ns0:c r="J8" s="16">
        <ns0:f>B8*('前提と出典'!$C$36*'契約別単価'!I5+'前提と出典'!$C$37*'契約別単価'!I6+'前提と出典'!$C$38*'契約別単価'!I7)</ns0:f>
        <ns0:v>506.3463687150837</ns0:v>
      </ns0:c>
      <ns0:c r="K8" s="16">
        <ns0:f>B8*('前提と出典'!$C$36*'契約別単価'!J5+'前提と出典'!$C$37*'契約別単価'!J6+'前提と出典'!$C$38*'契約別単価'!J7)</ns0:f>
        <ns0:v>1179.4745245236309</ns0:v>
      </ns0:c>
      <ns0:c r="L8" s="16">
        <ns0:f>B8*('前提と出典'!$C$36*'契約別単価'!K5+'前提と出典'!$C$37*'契約別単価'!K6+'前提と出典'!$C$38*'契約別単価'!K7)</ns0:f>
        <ns0:v>5055.6424581005585</ns0:v>
      </ns0:c>
      <ns0:c r="M8" s="16">
        <ns0:f>B8*('前提と出典'!$C$36*'契約別単価'!L5+'前提と出典'!$C$37*'契約別単価'!L6+'前提と出典'!$C$38*'契約別単価'!L7)</ns0:f>
        <ns0:v>4116.321720333511</ns0:v>
      </ns0:c>
      <ns0:c r="N8" s="16">
        <ns0:f>IF(('前提と出典'!$C$36+'前提と出典'!$C$38)=0,0,IF(C8&lt;=10,'前提と出典'!B73+'前提と出典'!C73,IF(C8&lt;=100,'前提と出典'!B74+'前提と出典'!C74,IF(C8&lt;=500,'前提と出典'!B75+'前提と出典'!C75,'前提と出典'!B76+'前提と出典'!C76))))</ns0:f>
        <ns0:v>10000</ns0:v>
      </ns0:c>
      <ns0:c r="O8" s="16">
        <ns0:f>IF(('前提と出典'!$C$37+'前提と出典'!$C$38)=0,0,IF(D8&lt;=10,'前提と出典'!D73+'前提と出典'!E73,IF(D8&lt;=100,'前提と出典'!D74+'前提と出典'!E74,IF(D8&lt;=500,'前提と出典'!D75+'前提と出典'!E75,'前提と出典'!D76+'前提と出典'!E76))))</ns0:f>
        <ns0:v>30010.934626307797</ns0:v>
      </ns0:c>
      <ns0:c r="P8" s="16">
        <ns0:f>IF('前提と出典'!$C$36+'前提と出典'!$C$38=0,0,'前提と出典'!$B$4*IF('前提と出典'!$B$20=0,MAX('前提と出典'!$B$6,E8*'前提と出典'!$B$5),'前提と出典'!$B$6+E8*'前提と出典'!$B$5))</ns0:f>
        <ns0:v>22500</ns0:v>
      </ns0:c>
      <ns0:c r="Q8" s="16">
        <ns0:f>(F8+H8)*(1-'前提と出典'!$B$7)-J8-L8-N8-P8</ns0:f>
        <ns0:v>7347.587275113525</ns0:v>
      </ns0:c>
      <ns0:c r="R8" s="16">
        <ns0:f>(G8+I8)*(1-'前提と出典'!$B$7)-K8-M8-O8</ns0:f>
        <ns0:v>-18530.819809903864</ns0:v>
      </ns0:c>
      <ns0:c r="S8" s="16">
        <ns0:f>Q8-F8*'前提と出典'!$E$4</ns0:f>
        <ns0:v>381.7865108770129</ns0:v>
      </ns0:c>
      <ns0:c r="T8" s="16">
        <ns0:f>R8-G8*'前提と出典'!$E$4</ns0:f>
        <ns0:v>-21264.643536838284</ns0:v>
      </ns0:c>
      <ns0:c r="U8" s="7">
        <ns0:f>S8+T8</ns0:f>
        <ns0:v>-20882.85702596127</ns0:v>
      </ns0:c>
      <ns0:c r="V8" s="16">
        <ns0:f>Q8-F8*'前提と出典'!$E$5</ns0:f>
        <ns0:v>-1940.1470772018329</ns0:v>
      </ns0:c>
      <ns0:c r="W8" s="16">
        <ns0:f>R8-G8*'前提と出典'!$E$5</ns0:f>
        <ns0:v>-22175.91811248309</ns0:v>
      </ns0:c>
      <ns0:c r="X8" s="7">
        <ns0:f>V8+W8</ns0:f>
        <ns0:v>-24116.065189684923</ns0:v>
      </ns0:c>
      <ns0:c r="Y8" s="16">
        <ns0:f>Q8-F8*'前提と出典'!$E$6</ns0:f>
        <ns0:v>-4262.080665280675</ns0:v>
      </ns0:c>
      <ns0:c r="Z8" s="16">
        <ns0:f>R8-G8*'前提と出典'!$E$6</ns0:f>
        <ns0:v>-23087.192688127896</ns0:v>
      </ns0:c>
      <ns0:c r="AA8" s="7">
        <ns0:f>Y8+Z8</ns0:f>
        <ns0:v>-27349.27335340857</ns0:v>
      </ns0:c>
      <ns0:c r="AB8" s="7">
        <ns0:f>AB7+U8</ns0:f>
        <ns0:v>-145973.5445043649</ns0:v>
      </ns0:c>
      <ns0:c r="AC8" s="7">
        <ns0:f>AC7+X8</ns0:f>
        <ns0:v>-154056.564913674</ns0:v>
      </ns0:c>
      <ns0:c r="AD8" s="7">
        <ns0:f>AD7+AA8</ns0:f>
        <ns0:v>-162139.5853229831</ns0:v>
      </ns0:c>
      <ns0:c r="AE8" s="7">
        <ns0:f>MAX(0,-MIN($AB$5:AB8))</ns0:f>
        <ns0:v>145973.5445043649</ns0:v>
      </ns0:c>
      <ns0:c r="AF8" s="7">
        <ns0:f>MAX(0,-MIN($AC$5:AC8))</ns0:f>
        <ns0:v>154056.564913674</ns0:v>
      </ns0:c>
      <ns0:c r="AG8" s="7">
        <ns0:f>MAX(0,-MIN($AD$5:AD8))</ns0:f>
        <ns0:v>162139.5853229831</ns0:v>
      </ns0:c>
      <ns0:c r="AH8" s="4">
        <ns0:f>IF(U8&gt;=0,A8,37)</ns0:f>
        <ns0:v>37</ns0:v>
      </ns0:c>
      <ns0:c r="AI8" s="4">
        <ns0:f>IF(AB8&gt;=0,A8,37)</ns0:f>
        <ns0:v>37</ns0:v>
      </ns0:c>
      <ns0:c r="AJ8" s="4">
        <ns0:f>IF(X8&gt;=0,A8,37)</ns0:f>
        <ns0:v>37</ns0:v>
      </ns0:c>
      <ns0:c r="AK8" s="4">
        <ns0:f>IF(AC8&gt;=0,A8,37)</ns0:f>
        <ns0:v>37</ns0:v>
      </ns0:c>
      <ns0:c r="AL8" s="4">
        <ns0:f>IF(AA8&gt;=0,A8,37)</ns0:f>
        <ns0:v>37</ns0:v>
      </ns0:c>
      <ns0:c r="AM8" s="4">
        <ns0:f>IF(AD8&gt;=0,A8,37)</ns0:f>
        <ns0:v>37</ns0:v>
      </ns0:c>
    </ns0:row>
    <ns0:row r="9" ht="24" customHeight="1">
      <ns0:c r="A9" s="4" t="n">
        <ns0:v>5</ns0:v>
      </ns0:c>
      <ns0:c r="B9" s="12">
        <ns0:f>B8*(1-'前提と出典'!$B$31)+'前提と出典'!$B$30</ns0:f>
        <ns0:v>15</ns0:v>
      </ns0:c>
      <ns0:c r="C9" s="12">
        <ns0:f>B9*('前提と出典'!$C$36+'前提と出典'!$C$38)</ns0:f>
        <ns0:v>10.5</ns0:v>
      </ns0:c>
      <ns0:c r="D9" s="16">
        <ns0:f>B9*('前提と出典'!$C$37+'前提と出典'!$C$38)</ns0:f>
        <ns0:v>9</ns0:v>
      </ns0:c>
      <ns0:c r="E9" s="16">
        <ns0:f>B9*('前提と出典'!$C$36*'契約別単価'!C5+'前提と出典'!$C$37*'契約別単価'!C6+'前提と出典'!$C$38*'契約別単価'!C7)</ns0:f>
        <ns0:v>107.93296089385476</ns0:v>
      </ns0:c>
      <ns0:c r="F9" s="16">
        <ns0:f>B9*('前提と出典'!$C$36*'契約別単価'!E5+'前提と出典'!$C$37*'契約別単価'!E6+'前提と出典'!$C$38*'契約別単価'!E7)</ns0:f>
        <ns0:v>29024.16985098549</ns0:v>
      </ns0:c>
      <ns0:c r="G9" s="16">
        <ns0:f>B9*('前提と出典'!$C$36*'契約別単価'!F5+'前提と出典'!$C$37*'契約別単価'!F6+'前提と出典'!$C$38*'契約別単価'!F7)</ns0:f>
        <ns0:v>11390.932195560083</ns0:v>
      </ns0:c>
      <ns0:c r="H9" s="16">
        <ns0:f>B9*('前提と出典'!$C$36*'契約別単価'!G5+'前提と出典'!$C$37*'契約別単価'!G6+'前提と出典'!$C$38*'契約別単価'!G7)</ns0:f>
        <ns0:v>29857.54189944134</ns0:v>
      </ns0:c>
      <ns0:c r="I9" s="16">
        <ns0:f>B9*('前提と出典'!$C$36*'契約別単価'!H5+'前提と出典'!$C$37*'契約別単価'!H6+'前提と出典'!$C$38*'契約別単価'!H7)</ns0:f>
        <ns0:v>10362.064512506666</ns0:v>
      </ns0:c>
      <ns0:c r="J9" s="16">
        <ns0:f>B9*('前提と出典'!$C$36*'契約別単価'!I5+'前提と出典'!$C$37*'契約別単価'!I6+'前提と出典'!$C$38*'契約別単価'!I7)</ns0:f>
        <ns0:v>632.9329608938547</ns0:v>
      </ns0:c>
      <ns0:c r="K9" s="16">
        <ns0:f>B9*('前提と出典'!$C$36*'契約別単価'!J5+'前提と出典'!$C$37*'契約別単価'!J6+'前提と出典'!$C$38*'契約別単価'!J7)</ns0:f>
        <ns0:v>1474.3431556545386</ns0:v>
      </ns0:c>
      <ns0:c r="L9" s="16">
        <ns0:f>B9*('前提と出典'!$C$36*'契約別単価'!K5+'前提と出典'!$C$37*'契約別単価'!K6+'前提と出典'!$C$38*'契約別単価'!K7)</ns0:f>
        <ns0:v>6319.5530726256975</ns0:v>
      </ns0:c>
      <ns0:c r="M9" s="16">
        <ns0:f>B9*('前提と出典'!$C$36*'契約別単価'!L5+'前提と出典'!$C$37*'契約別単価'!L6+'前提と出典'!$C$38*'契約別単価'!L7)</ns0:f>
        <ns0:v>5145.402150416889</ns0:v>
      </ns0:c>
      <ns0:c r="N9" s="16">
        <ns0:f>IF(('前提と出典'!$C$36+'前提と出典'!$C$38)=0,0,IF(C9&lt;=10,'前提と出典'!B73+'前提と出典'!C73,IF(C9&lt;=100,'前提と出典'!B74+'前提と出典'!C74,IF(C9&lt;=500,'前提と出典'!B75+'前提と出典'!C75,'前提と出典'!B76+'前提と出典'!C76))))</ns0:f>
        <ns0:v>20000</ns0:v>
      </ns0:c>
      <ns0:c r="O9" s="16">
        <ns0:f>IF(('前提と出典'!$C$37+'前提と出典'!$C$38)=0,0,IF(D9&lt;=10,'前提と出典'!D73+'前提と出典'!E73,IF(D9&lt;=100,'前提と出典'!D74+'前提と出典'!E74,IF(D9&lt;=500,'前提と出典'!D75+'前提と出典'!E75,'前提と出典'!D76+'前提と出典'!E76))))</ns0:f>
        <ns0:v>30010.934626307797</ns0:v>
      </ns0:c>
      <ns0:c r="P9" s="16">
        <ns0:f>IF('前提と出典'!$C$36+'前提と出典'!$C$38=0,0,'前提と出典'!$B$4*IF('前提と出典'!$B$20=0,MAX('前提と出典'!$B$6,E9*'前提と出典'!$B$5),'前提と出典'!$B$6+E9*'前提と出典'!$B$5))</ns0:f>
        <ns0:v>22500</ns0:v>
      </ns0:c>
      <ns0:c r="Q9" s="16">
        <ns0:f>(F9+H9)*(1-'前提と出典'!$B$7)-J9-L9-N9-P9</ns0:f>
        <ns0:v>7309.484093891908</ns0:v>
      </ns0:c>
      <ns0:c r="R9" s="16">
        <ns0:f>(G9+I9)*(1-'前提と出典'!$B$7)-K9-M9-O9</ns0:f>
        <ns0:v>-15660.79110580288</ns0:v>
      </ns0:c>
      <ns0:c r="S9" s="16">
        <ns0:f>Q9-F9*'前提と出典'!$E$4</ns0:f>
        <ns0:v>-1397.7668614037393</ns0:v>
      </ns0:c>
      <ns0:c r="T9" s="16">
        <ns0:f>R9-G9*'前提と出典'!$E$4</ns0:f>
        <ns0:v>-19078.070764470904</ns0:v>
      </ns0:c>
      <ns0:c r="U9" s="7">
        <ns0:f>S9+T9</ns0:f>
        <ns0:v>-20475.837625874643</ns0:v>
      </ns0:c>
      <ns0:c r="V9" s="16">
        <ns0:f>Q9-F9*'前提と出典'!$E$5</ns0:f>
        <ns0:v>-4300.183846502288</ns0:v>
      </ns0:c>
      <ns0:c r="W9" s="16">
        <ns0:f>R9-G9*'前提と出典'!$E$5</ns0:f>
        <ns0:v>-20217.163984026913</ns0:v>
      </ns0:c>
      <ns0:c r="X9" s="7">
        <ns0:f>V9+W9</ns0:f>
        <ns0:v>-24517.3478305292</ns0:v>
      </ns0:c>
      <ns0:c r="Y9" s="16">
        <ns0:f>Q9-F9*'前提と出典'!$E$6</ns0:f>
        <ns0:v>-7202.600831600837</ns0:v>
      </ns0:c>
      <ns0:c r="Z9" s="16">
        <ns0:f>R9-G9*'前提と出典'!$E$6</ns0:f>
        <ns0:v>-21356.25720358292</ns0:v>
      </ns0:c>
      <ns0:c r="AA9" s="7">
        <ns0:f>Y9+Z9</ns0:f>
        <ns0:v>-28558.85803518376</ns0:v>
      </ns0:c>
      <ns0:c r="AB9" s="7">
        <ns0:f>AB8+U9</ns0:f>
        <ns0:v>-166449.38213023954</ns0:v>
      </ns0:c>
      <ns0:c r="AC9" s="7">
        <ns0:f>AC8+X9</ns0:f>
        <ns0:v>-178573.9127442032</ns0:v>
      </ns0:c>
      <ns0:c r="AD9" s="7">
        <ns0:f>AD8+AA9</ns0:f>
        <ns0:v>-190698.44335816684</ns0:v>
      </ns0:c>
      <ns0:c r="AE9" s="7">
        <ns0:f>MAX(0,-MIN($AB$5:AB9))</ns0:f>
        <ns0:v>166449.38213023954</ns0:v>
      </ns0:c>
      <ns0:c r="AF9" s="7">
        <ns0:f>MAX(0,-MIN($AC$5:AC9))</ns0:f>
        <ns0:v>178573.9127442032</ns0:v>
      </ns0:c>
      <ns0:c r="AG9" s="7">
        <ns0:f>MAX(0,-MIN($AD$5:AD9))</ns0:f>
        <ns0:v>190698.44335816684</ns0:v>
      </ns0:c>
      <ns0:c r="AH9" s="4">
        <ns0:f>IF(U9&gt;=0,A9,37)</ns0:f>
        <ns0:v>37</ns0:v>
      </ns0:c>
      <ns0:c r="AI9" s="4">
        <ns0:f>IF(AB9&gt;=0,A9,37)</ns0:f>
        <ns0:v>37</ns0:v>
      </ns0:c>
      <ns0:c r="AJ9" s="4">
        <ns0:f>IF(X9&gt;=0,A9,37)</ns0:f>
        <ns0:v>37</ns0:v>
      </ns0:c>
      <ns0:c r="AK9" s="4">
        <ns0:f>IF(AC9&gt;=0,A9,37)</ns0:f>
        <ns0:v>37</ns0:v>
      </ns0:c>
      <ns0:c r="AL9" s="4">
        <ns0:f>IF(AA9&gt;=0,A9,37)</ns0:f>
        <ns0:v>37</ns0:v>
      </ns0:c>
      <ns0:c r="AM9" s="4">
        <ns0:f>IF(AD9&gt;=0,A9,37)</ns0:f>
        <ns0:v>37</ns0:v>
      </ns0:c>
    </ns0:row>
    <ns0:row r="10" ht="24" customHeight="1">
      <ns0:c r="A10" s="4" t="n">
        <ns0:v>6</ns0:v>
      </ns0:c>
      <ns0:c r="B10" s="12">
        <ns0:f>B9*(1-'前提と出典'!$B$31)+'前提と出典'!$B$30</ns0:f>
        <ns0:v>18</ns0:v>
      </ns0:c>
      <ns0:c r="C10" s="12">
        <ns0:f>B10*('前提と出典'!$C$36+'前提と出典'!$C$38)</ns0:f>
        <ns0:v>12.6</ns0:v>
      </ns0:c>
      <ns0:c r="D10" s="16">
        <ns0:f>B10*('前提と出典'!$C$37+'前提と出典'!$C$38)</ns0:f>
        <ns0:v>10.799999999999999</ns0:v>
      </ns0:c>
      <ns0:c r="E10" s="16">
        <ns0:f>B10*('前提と出典'!$C$36*'契約別単価'!C5+'前提と出典'!$C$37*'契約別単価'!C6+'前提と出典'!$C$38*'契約別単価'!C7)</ns0:f>
        <ns0:v>129.51955307262568</ns0:v>
      </ns0:c>
      <ns0:c r="F10" s="16">
        <ns0:f>B10*('前提と出典'!$C$36*'契約別単価'!E5+'前提と出典'!$C$37*'契約別単価'!E6+'前提と出典'!$C$38*'契約別単価'!E7)</ns0:f>
        <ns0:v>34829.00382118259</ns0:v>
      </ns0:c>
      <ns0:c r="G10" s="16">
        <ns0:f>B10*('前提と出典'!$C$36*'契約別単価'!F5+'前提と出典'!$C$37*'契約別単価'!F6+'前提と出典'!$C$38*'契約別単価'!F7)</ns0:f>
        <ns0:v>13669.1186346721</ns0:v>
      </ns0:c>
      <ns0:c r="H10" s="16">
        <ns0:f>B10*('前提と出典'!$C$36*'契約別単価'!G5+'前提と出典'!$C$37*'契約別単価'!G6+'前提と出典'!$C$38*'契約別単価'!G7)</ns0:f>
        <ns0:v>35829.050279329604</ns0:v>
      </ns0:c>
      <ns0:c r="I10" s="16">
        <ns0:f>B10*('前提と出典'!$C$36*'契約別単価'!H5+'前提と出典'!$C$37*'契約別単価'!H6+'前提と出典'!$C$38*'契約別単価'!H7)</ns0:f>
        <ns0:v>12434.477415007997</ns0:v>
      </ns0:c>
      <ns0:c r="J10" s="16">
        <ns0:f>B10*('前提と出典'!$C$36*'契約別単価'!I5+'前提と出典'!$C$37*'契約別単価'!I6+'前提と出典'!$C$38*'契約別単価'!I7)</ns0:f>
        <ns0:v>759.5195530726255</ns0:v>
      </ns0:c>
      <ns0:c r="K10" s="16">
        <ns0:f>B10*('前提と出典'!$C$36*'契約別単価'!J5+'前提と出典'!$C$37*'契約別単価'!J6+'前提と出典'!$C$38*'契約別単価'!J7)</ns0:f>
        <ns0:v>1769.2117867854463</ns0:v>
      </ns0:c>
      <ns0:c r="L10" s="16">
        <ns0:f>B10*('前提と出典'!$C$36*'契約別単価'!K5+'前提と出典'!$C$37*'契約別単価'!K6+'前提と出典'!$C$38*'契約別単価'!K7)</ns0:f>
        <ns0:v>7583.463687150837</ns0:v>
      </ns0:c>
      <ns0:c r="M10" s="16">
        <ns0:f>B10*('前提と出典'!$C$36*'契約別単価'!L5+'前提と出典'!$C$37*'契約別単価'!L6+'前提と出典'!$C$38*'契約別単価'!L7)</ns0:f>
        <ns0:v>6174.4825805002665</ns0:v>
      </ns0:c>
      <ns0:c r="N10" s="16">
        <ns0:f>IF(('前提と出典'!$C$36+'前提と出典'!$C$38)=0,0,IF(C10&lt;=10,'前提と出典'!B73+'前提と出典'!C73,IF(C10&lt;=100,'前提と出典'!B74+'前提と出典'!C74,IF(C10&lt;=500,'前提と出典'!B75+'前提と出典'!C75,'前提と出典'!B76+'前提と出典'!C76))))</ns0:f>
        <ns0:v>20000</ns0:v>
      </ns0:c>
      <ns0:c r="O10" s="16">
        <ns0:f>IF(('前提と出典'!$C$37+'前提と出典'!$C$38)=0,0,IF(D10&lt;=10,'前提と出典'!D73+'前提と出典'!E73,IF(D10&lt;=100,'前提と出典'!D74+'前提と出典'!E74,IF(D10&lt;=500,'前提と出典'!D75+'前提と出典'!E75,'前提と出典'!D76+'前提と出典'!E76))))</ns0:f>
        <ns0:v>34510.9346263078</ns0:v>
      </ns0:c>
      <ns0:c r="P10" s="16">
        <ns0:f>IF('前提と出典'!$C$36+'前提と出典'!$C$38=0,0,'前提と出典'!$B$4*IF('前提と出典'!$B$20=0,MAX('前提と出典'!$B$6,E10*'前提と出典'!$B$5),'前提と出典'!$B$6+E10*'前提と出典'!$B$5))</ns0:f>
        <ns0:v>22500</ns0:v>
      </ns0:c>
      <ns0:c r="Q10" s="16">
        <ns0:f>(F10+H10)*(1-'前提と出典'!$B$7)-J10-L10-N10-P10</ns0:f>
        <ns0:v>17271.380912670284</ns0:v>
      </ns0:c>
      <ns0:c r="R10" s="16">
        <ns0:f>(G10+I10)*(1-'前提と出典'!$B$7)-K10-M10-O10</ns0:f>
        <ns0:v>-17290.762401701893</ns0:v>
      </ns0:c>
      <ns0:c r="S10" s="16">
        <ns0:f>Q10-F10*'前提と出典'!$E$4</ns0:f>
        <ns0:v>6822.679766315516</ns0:v>
      </ns0:c>
      <ns0:c r="T10" s="16">
        <ns0:f>R10-G10*'前提と出典'!$E$4</ns0:f>
        <ns0:v>-21391.497992103523</ns0:v>
      </ns0:c>
      <ns0:c r="U10" s="7">
        <ns0:f>S10+T10</ns0:f>
        <ns0:v>-14568.818225788007</ns0:v>
      </ns0:c>
      <ns0:c r="V10" s="16">
        <ns0:f>Q10-F10*'前提と出典'!$E$5</ns0:f>
        <ns0:v>3339.7793841972452</ns0:v>
      </ns0:c>
      <ns0:c r="W10" s="16">
        <ns0:f>R10-G10*'前提と出典'!$E$5</ns0:f>
        <ns0:v>-22758.409855570735</ns0:v>
      </ns0:c>
      <ns0:c r="X10" s="7">
        <ns0:f>V10+W10</ns0:f>
        <ns0:v>-19418.63047137349</ns0:v>
      </ns0:c>
      <ns0:c r="Y10" s="16">
        <ns0:f>Q10-F10*'前提と出典'!$E$6</ns0:f>
        <ns0:v>-143.1209979210107</ns0:v>
      </ns0:c>
      <ns0:c r="Z10" s="16">
        <ns0:f>R10-G10*'前提と出典'!$E$6</ns0:f>
        <ns0:v>-24125.321719037944</ns0:v>
      </ns0:c>
      <ns0:c r="AA10" s="7">
        <ns0:f>Y10+Z10</ns0:f>
        <ns0:v>-24268.442716958954</ns0:v>
      </ns0:c>
      <ns0:c r="AB10" s="7">
        <ns0:f>AB9+U10</ns0:f>
        <ns0:v>-181018.20035602755</ns0:v>
      </ns0:c>
      <ns0:c r="AC10" s="7">
        <ns0:f>AC9+X10</ns0:f>
        <ns0:v>-197992.5432155767</ns0:v>
      </ns0:c>
      <ns0:c r="AD10" s="7">
        <ns0:f>AD9+AA10</ns0:f>
        <ns0:v>-214966.8860751258</ns0:v>
      </ns0:c>
      <ns0:c r="AE10" s="7">
        <ns0:f>MAX(0,-MIN($AB$5:AB10))</ns0:f>
        <ns0:v>181018.20035602755</ns0:v>
      </ns0:c>
      <ns0:c r="AF10" s="7">
        <ns0:f>MAX(0,-MIN($AC$5:AC10))</ns0:f>
        <ns0:v>197992.5432155767</ns0:v>
      </ns0:c>
      <ns0:c r="AG10" s="7">
        <ns0:f>MAX(0,-MIN($AD$5:AD10))</ns0:f>
        <ns0:v>214966.8860751258</ns0:v>
      </ns0:c>
      <ns0:c r="AH10" s="4">
        <ns0:f>IF(U10&gt;=0,A10,37)</ns0:f>
        <ns0:v>37</ns0:v>
      </ns0:c>
      <ns0:c r="AI10" s="4">
        <ns0:f>IF(AB10&gt;=0,A10,37)</ns0:f>
        <ns0:v>37</ns0:v>
      </ns0:c>
      <ns0:c r="AJ10" s="4">
        <ns0:f>IF(X10&gt;=0,A10,37)</ns0:f>
        <ns0:v>37</ns0:v>
      </ns0:c>
      <ns0:c r="AK10" s="4">
        <ns0:f>IF(AC10&gt;=0,A10,37)</ns0:f>
        <ns0:v>37</ns0:v>
      </ns0:c>
      <ns0:c r="AL10" s="4">
        <ns0:f>IF(AA10&gt;=0,A10,37)</ns0:f>
        <ns0:v>37</ns0:v>
      </ns0:c>
      <ns0:c r="AM10" s="4">
        <ns0:f>IF(AD10&gt;=0,A10,37)</ns0:f>
        <ns0:v>37</ns0:v>
      </ns0:c>
    </ns0:row>
    <ns0:row r="11" ht="24" customHeight="1">
      <ns0:c r="A11" s="4" t="n">
        <ns0:v>7</ns0:v>
      </ns0:c>
      <ns0:c r="B11" s="12">
        <ns0:f>B10*(1-'前提と出典'!$B$31)+'前提と出典'!$B$30</ns0:f>
        <ns0:v>21</ns0:v>
      </ns0:c>
      <ns0:c r="C11" s="12">
        <ns0:f>B11*('前提と出典'!$C$36+'前提と出典'!$C$38)</ns0:f>
        <ns0:v>14.7</ns0:v>
      </ns0:c>
      <ns0:c r="D11" s="16">
        <ns0:f>B11*('前提と出典'!$C$37+'前提と出典'!$C$38)</ns0:f>
        <ns0:v>12.6</ns0:v>
      </ns0:c>
      <ns0:c r="E11" s="16">
        <ns0:f>B11*('前提と出典'!$C$36*'契約別単価'!C5+'前提と出典'!$C$37*'契約別単価'!C6+'前提と出典'!$C$38*'契約別単価'!C7)</ns0:f>
        <ns0:v>151.10614525139664</ns0:v>
      </ns0:c>
      <ns0:c r="F11" s="16">
        <ns0:f>B11*('前提と出典'!$C$36*'契約別単価'!E5+'前提と出典'!$C$37*'契約別単価'!E6+'前提と出典'!$C$38*'契約別単価'!E7)</ns0:f>
        <ns0:v>40633.83779137969</ns0:v>
      </ns0:c>
      <ns0:c r="G11" s="16">
        <ns0:f>B11*('前提と出典'!$C$36*'契約別単価'!F5+'前提と出典'!$C$37*'契約別単価'!F6+'前提と出典'!$C$38*'契約別単価'!F7)</ns0:f>
        <ns0:v>15947.305073784117</ns0:v>
      </ns0:c>
      <ns0:c r="H11" s="16">
        <ns0:f>B11*('前提と出典'!$C$36*'契約別単価'!G5+'前提と出典'!$C$37*'契約別単価'!G6+'前提と出典'!$C$38*'契約別単価'!G7)</ns0:f>
        <ns0:v>41800.55865921787</ns0:v>
      </ns0:c>
      <ns0:c r="I11" s="16">
        <ns0:f>B11*('前提と出典'!$C$36*'契約別単価'!H5+'前提と出典'!$C$37*'契約別単価'!H6+'前提と出典'!$C$38*'契約別単価'!H7)</ns0:f>
        <ns0:v>14506.890317509331</ns0:v>
      </ns0:c>
      <ns0:c r="J11" s="16">
        <ns0:f>B11*('前提と出典'!$C$36*'契約別単価'!I5+'前提と出典'!$C$37*'契約別単価'!I6+'前提と出典'!$C$38*'契約別単価'!I7)</ns0:f>
        <ns0:v>886.1061452513965</ns0:v>
      </ns0:c>
      <ns0:c r="K11" s="16">
        <ns0:f>B11*('前提と出典'!$C$36*'契約別単価'!J5+'前提と出典'!$C$37*'契約別単価'!J6+'前提と出典'!$C$38*'契約別単価'!J7)</ns0:f>
        <ns0:v>2064.080417916354</ns0:v>
      </ns0:c>
      <ns0:c r="L11" s="16">
        <ns0:f>B11*('前提と出典'!$C$36*'契約別単価'!K5+'前提と出典'!$C$37*'契約別単価'!K6+'前提と出典'!$C$38*'契約別単価'!K7)</ns0:f>
        <ns0:v>8847.374301675976</ns0:v>
      </ns0:c>
      <ns0:c r="M11" s="16">
        <ns0:f>B11*('前提と出典'!$C$36*'契約別単価'!L5+'前提と出典'!$C$37*'契約別単価'!L6+'前提と出典'!$C$38*'契約別単価'!L7)</ns0:f>
        <ns0:v>7203.563010583644</ns0:v>
      </ns0:c>
      <ns0:c r="N11" s="16">
        <ns0:f>IF(('前提と出典'!$C$36+'前提と出典'!$C$38)=0,0,IF(C11&lt;=10,'前提と出典'!B73+'前提と出典'!C73,IF(C11&lt;=100,'前提と出典'!B74+'前提と出典'!C74,IF(C11&lt;=500,'前提と出典'!B75+'前提と出典'!C75,'前提と出典'!B76+'前提と出典'!C76))))</ns0:f>
        <ns0:v>20000</ns0:v>
      </ns0:c>
      <ns0:c r="O11" s="16">
        <ns0:f>IF(('前提と出典'!$C$37+'前提と出典'!$C$38)=0,0,IF(D11&lt;=10,'前提と出典'!D73+'前提と出典'!E73,IF(D11&lt;=100,'前提と出典'!D74+'前提と出典'!E74,IF(D11&lt;=500,'前提と出典'!D75+'前提と出典'!E75,'前提と出典'!D76+'前提と出典'!E76))))</ns0:f>
        <ns0:v>34510.9346263078</ns0:v>
      </ns0:c>
      <ns0:c r="P11" s="16">
        <ns0:f>IF('前提と出典'!$C$36+'前提と出典'!$C$38=0,0,'前提と出典'!$B$4*IF('前提と出典'!$B$20=0,MAX('前提と出典'!$B$6,E11*'前提と出典'!$B$5),'前提と出典'!$B$6+E11*'前提と出典'!$B$5))</ns0:f>
        <ns0:v>22500</ns0:v>
      </ns0:c>
      <ns0:c r="Q11" s="16">
        <ns0:f>(F11+H11)*(1-'前提と出典'!$B$7)-J11-L11-N11-P11</ns0:f>
        <ns0:v>27233.277731448667</ns0:v>
      </ns0:c>
      <ns0:c r="R11" s="16">
        <ns0:f>(G11+I11)*(1-'前提と出典'!$B$7)-K11-M11-O11</ns0:f>
        <ns0:v>-14420.73369760091</ns0:v>
      </ns0:c>
      <ns0:c r="S11" s="16">
        <ns0:f>Q11-F11*'前提と出典'!$E$4</ns0:f>
        <ns0:v>15043.126394034778</ns0:v>
      </ns0:c>
      <ns0:c r="T11" s="16">
        <ns0:f>R11-G11*'前提と出典'!$E$4</ns0:f>
        <ns0:v>-19204.92521973615</ns0:v>
      </ns0:c>
      <ns0:c r="U11" s="7">
        <ns0:f>S11+T11</ns0:f>
        <ns0:v>-4161.798825701371</ns0:v>
      </ns0:c>
      <ns0:c r="V11" s="16">
        <ns0:f>Q11-F11*'前提と出典'!$E$5</ns0:f>
        <ns0:v>10979.742614896793</ns0:v>
      </ns0:c>
      <ns0:c r="W11" s="16">
        <ns0:f>R11-G11*'前提と出典'!$E$5</ns0:f>
        <ns0:v>-20799.655727114558</ns0:v>
      </ns0:c>
      <ns0:c r="X11" s="7">
        <ns0:f>V11+W11</ns0:f>
        <ns0:v>-9819.913112217764</ns0:v>
      </ns0:c>
      <ns0:c r="Y11" s="16">
        <ns0:f>Q11-F11*'前提と出典'!$E$6</ns0:f>
        <ns0:v>6916.3588357588305</ns0:v>
      </ns0:c>
      <ns0:c r="Z11" s="16">
        <ns0:f>R11-G11*'前提と出典'!$E$6</ns0:f>
        <ns0:v>-22394.386234492973</ns0:v>
      </ns0:c>
      <ns0:c r="AA11" s="7">
        <ns0:f>Y11+Z11</ns0:f>
        <ns0:v>-15478.027398734142</ns0:v>
      </ns0:c>
      <ns0:c r="AB11" s="7">
        <ns0:f>AB10+U11</ns0:f>
        <ns0:v>-185179.99918172893</ns0:v>
      </ns0:c>
      <ns0:c r="AC11" s="7">
        <ns0:f>AC10+X11</ns0:f>
        <ns0:v>-207812.45632779447</ns0:v>
      </ns0:c>
      <ns0:c r="AD11" s="7">
        <ns0:f>AD10+AA11</ns0:f>
        <ns0:v>-230444.91347385995</ns0:v>
      </ns0:c>
      <ns0:c r="AE11" s="7">
        <ns0:f>MAX(0,-MIN($AB$5:AB11))</ns0:f>
        <ns0:v>185179.99918172893</ns0:v>
      </ns0:c>
      <ns0:c r="AF11" s="7">
        <ns0:f>MAX(0,-MIN($AC$5:AC11))</ns0:f>
        <ns0:v>207812.45632779447</ns0:v>
      </ns0:c>
      <ns0:c r="AG11" s="7">
        <ns0:f>MAX(0,-MIN($AD$5:AD11))</ns0:f>
        <ns0:v>230444.91347385995</ns0:v>
      </ns0:c>
      <ns0:c r="AH11" s="4">
        <ns0:f>IF(U11&gt;=0,A11,37)</ns0:f>
        <ns0:v>37</ns0:v>
      </ns0:c>
      <ns0:c r="AI11" s="4">
        <ns0:f>IF(AB11&gt;=0,A11,37)</ns0:f>
        <ns0:v>37</ns0:v>
      </ns0:c>
      <ns0:c r="AJ11" s="4">
        <ns0:f>IF(X11&gt;=0,A11,37)</ns0:f>
        <ns0:v>37</ns0:v>
      </ns0:c>
      <ns0:c r="AK11" s="4">
        <ns0:f>IF(AC11&gt;=0,A11,37)</ns0:f>
        <ns0:v>37</ns0:v>
      </ns0:c>
      <ns0:c r="AL11" s="4">
        <ns0:f>IF(AA11&gt;=0,A11,37)</ns0:f>
        <ns0:v>37</ns0:v>
      </ns0:c>
      <ns0:c r="AM11" s="4">
        <ns0:f>IF(AD11&gt;=0,A11,37)</ns0:f>
        <ns0:v>37</ns0:v>
      </ns0:c>
    </ns0:row>
    <ns0:row r="12" ht="24" customHeight="1">
      <ns0:c r="A12" s="4" t="n">
        <ns0:v>8</ns0:v>
      </ns0:c>
      <ns0:c r="B12" s="12">
        <ns0:f>B11*(1-'前提と出典'!$B$31)+'前提と出典'!$B$30</ns0:f>
        <ns0:v>24</ns0:v>
      </ns0:c>
      <ns0:c r="C12" s="12">
        <ns0:f>B12*('前提と出典'!$C$36+'前提と出典'!$C$38)</ns0:f>
        <ns0:v>16.799999999999997</ns0:v>
      </ns0:c>
      <ns0:c r="D12" s="16">
        <ns0:f>B12*('前提と出典'!$C$37+'前提と出典'!$C$38)</ns0:f>
        <ns0:v>14.399999999999999</ns0:v>
      </ns0:c>
      <ns0:c r="E12" s="16">
        <ns0:f>B12*('前提と出典'!$C$36*'契約別単価'!C5+'前提と出典'!$C$37*'契約別単価'!C6+'前提と出典'!$C$38*'契約別単価'!C7)</ns0:f>
        <ns0:v>172.6927374301676</ns0:v>
      </ns0:c>
      <ns0:c r="F12" s="16">
        <ns0:f>B12*('前提と出典'!$C$36*'契約別単価'!E5+'前提と出典'!$C$37*'契約別単価'!E6+'前提と出典'!$C$38*'契約別単価'!E7)</ns0:f>
        <ns0:v>46438.671761576785</ns0:v>
      </ns0:c>
      <ns0:c r="G12" s="16">
        <ns0:f>B12*('前提と出典'!$C$36*'契約別単価'!F5+'前提と出典'!$C$37*'契約別単価'!F6+'前提と出典'!$C$38*'契約別単価'!F7)</ns0:f>
        <ns0:v>18225.491512896133</ns0:v>
      </ns0:c>
      <ns0:c r="H12" s="16">
        <ns0:f>B12*('前提と出典'!$C$36*'契約別単価'!G5+'前提と出典'!$C$37*'契約別単価'!G6+'前提と出典'!$C$38*'契約別単価'!G7)</ns0:f>
        <ns0:v>47772.06703910614</ns0:v>
      </ns0:c>
      <ns0:c r="I12" s="16">
        <ns0:f>B12*('前提と出典'!$C$36*'契約別単価'!H5+'前提と出典'!$C$37*'契約別単価'!H6+'前提と出典'!$C$38*'契約別単価'!H7)</ns0:f>
        <ns0:v>16579.303220010665</ns0:v>
      </ns0:c>
      <ns0:c r="J12" s="16">
        <ns0:f>B12*('前提と出典'!$C$36*'契約別単価'!I5+'前提と出典'!$C$37*'契約別単価'!I6+'前提と出典'!$C$38*'契約別単価'!I7)</ns0:f>
        <ns0:v>1012.6927374301674</ns0:v>
      </ns0:c>
      <ns0:c r="K12" s="16">
        <ns0:f>B12*('前提と出典'!$C$36*'契約別単価'!J5+'前提と出典'!$C$37*'契約別単価'!J6+'前提と出典'!$C$38*'契約別単価'!J7)</ns0:f>
        <ns0:v>2358.9490490472617</ns0:v>
      </ns0:c>
      <ns0:c r="L12" s="16">
        <ns0:f>B12*('前提と出典'!$C$36*'契約別単価'!K5+'前提と出典'!$C$37*'契約別単価'!K6+'前提と出典'!$C$38*'契約別単価'!K7)</ns0:f>
        <ns0:v>10111.284916201117</ns0:v>
      </ns0:c>
      <ns0:c r="M12" s="16">
        <ns0:f>B12*('前提と出典'!$C$36*'契約別単価'!L5+'前提と出典'!$C$37*'契約別単価'!L6+'前提と出典'!$C$38*'契約別単価'!L7)</ns0:f>
        <ns0:v>8232.643440667021</ns0:v>
      </ns0:c>
      <ns0:c r="N12" s="16">
        <ns0:f>IF(('前提と出典'!$C$36+'前提と出典'!$C$38)=0,0,IF(C12&lt;=10,'前提と出典'!B73+'前提と出典'!C73,IF(C12&lt;=100,'前提と出典'!B74+'前提と出典'!C74,IF(C12&lt;=500,'前提と出典'!B75+'前提と出典'!C75,'前提と出典'!B76+'前提と出典'!C76))))</ns0:f>
        <ns0:v>20000</ns0:v>
      </ns0:c>
      <ns0:c r="O12" s="16">
        <ns0:f>IF(('前提と出典'!$C$37+'前提と出典'!$C$38)=0,0,IF(D12&lt;=10,'前提と出典'!D73+'前提と出典'!E73,IF(D12&lt;=100,'前提と出典'!D74+'前提と出典'!E74,IF(D12&lt;=500,'前提と出典'!D75+'前提と出典'!E75,'前提と出典'!D76+'前提と出典'!E76))))</ns0:f>
        <ns0:v>34510.9346263078</ns0:v>
      </ns0:c>
      <ns0:c r="P12" s="16">
        <ns0:f>IF('前提と出典'!$C$36+'前提と出典'!$C$38=0,0,'前提と出典'!$B$4*IF('前提と出典'!$B$20=0,MAX('前提と出典'!$B$6,E12*'前提と出典'!$B$5),'前提と出典'!$B$6+E12*'前提と出典'!$B$5))</ns0:f>
        <ns0:v>23831.59776536313</ns0:v>
      </ns0:c>
      <ns0:c r="Q12" s="16">
        <ns0:f>(F12+H12)*(1-'前提と出典'!$B$7)-J12-L12-N12-P12</ns0:f>
        <ns0:v>35863.57678486392</ns0:v>
      </ns0:c>
      <ns0:c r="R12" s="16">
        <ns0:f>(G12+I12)*(1-'前提と出典'!$B$7)-K12-M12-O12</ns0:f>
        <ns0:v>-11550.70499349993</ns0:v>
      </ns0:c>
      <ns0:c r="S12" s="16">
        <ns0:f>Q12-F12*'前提と出典'!$E$4</ns0:f>
        <ns0:v>21931.975256390895</ns0:v>
      </ns0:c>
      <ns0:c r="T12" s="16">
        <ns0:f>R12-G12*'前提と出典'!$E$4</ns0:f>
        <ns0:v>-17018.352447368772</ns0:v>
      </ns0:c>
      <ns0:c r="U12" s="7">
        <ns0:f>S12+T12</ns0:f>
        <ns0:v>4913.622809022123</ns0:v>
      </ns0:c>
      <ns0:c r="V12" s="16">
        <ns0:f>Q12-F12*'前提と出典'!$E$5</ns0:f>
        <ns0:v>17288.108080233204</ns0:v>
      </ns0:c>
      <ns0:c r="W12" s="16">
        <ns0:f>R12-G12*'前提と出典'!$E$5</ns0:f>
        <ns0:v>-18840.901598658384</ns0:v>
      </ns0:c>
      <ns0:c r="X12" s="7">
        <ns0:f>V12+W12</ns0:f>
        <ns0:v>-1552.79351842518</ns0:v>
      </ns0:c>
      <ns0:c r="Y12" s="16">
        <ns0:f>Q12-F12*'前提と出典'!$E$6</ns0:f>
        <ns0:v>12644.24090407552</ns0:v>
      </ns0:c>
      <ns0:c r="Z12" s="16">
        <ns0:f>R12-G12*'前提と出典'!$E$6</ns0:f>
        <ns0:v>-20663.450749947995</ns0:v>
      </ns0:c>
      <ns0:c r="AA12" s="7">
        <ns0:f>Y12+Z12</ns0:f>
        <ns0:v>-8019.209845872476</ns0:v>
      </ns0:c>
      <ns0:c r="AB12" s="7">
        <ns0:f>AB11+U12</ns0:f>
        <ns0:v>-180266.3763727068</ns0:v>
      </ns0:c>
      <ns0:c r="AC12" s="7">
        <ns0:f>AC11+X12</ns0:f>
        <ns0:v>-209365.24984621964</ns0:v>
      </ns0:c>
      <ns0:c r="AD12" s="7">
        <ns0:f>AD11+AA12</ns0:f>
        <ns0:v>-238464.12331973243</ns0:v>
      </ns0:c>
      <ns0:c r="AE12" s="7">
        <ns0:f>MAX(0,-MIN($AB$5:AB12))</ns0:f>
        <ns0:v>185179.99918172893</ns0:v>
      </ns0:c>
      <ns0:c r="AF12" s="7">
        <ns0:f>MAX(0,-MIN($AC$5:AC12))</ns0:f>
        <ns0:v>209365.24984621964</ns0:v>
      </ns0:c>
      <ns0:c r="AG12" s="7">
        <ns0:f>MAX(0,-MIN($AD$5:AD12))</ns0:f>
        <ns0:v>238464.12331973243</ns0:v>
      </ns0:c>
      <ns0:c r="AH12" s="4">
        <ns0:f>IF(U12&gt;=0,A12,37)</ns0:f>
        <ns0:v>8</ns0:v>
      </ns0:c>
      <ns0:c r="AI12" s="4">
        <ns0:f>IF(AB12&gt;=0,A12,37)</ns0:f>
        <ns0:v>37</ns0:v>
      </ns0:c>
      <ns0:c r="AJ12" s="4">
        <ns0:f>IF(X12&gt;=0,A12,37)</ns0:f>
        <ns0:v>37</ns0:v>
      </ns0:c>
      <ns0:c r="AK12" s="4">
        <ns0:f>IF(AC12&gt;=0,A12,37)</ns0:f>
        <ns0:v>37</ns0:v>
      </ns0:c>
      <ns0:c r="AL12" s="4">
        <ns0:f>IF(AA12&gt;=0,A12,37)</ns0:f>
        <ns0:v>37</ns0:v>
      </ns0:c>
      <ns0:c r="AM12" s="4">
        <ns0:f>IF(AD12&gt;=0,A12,37)</ns0:f>
        <ns0:v>37</ns0:v>
      </ns0:c>
    </ns0:row>
    <ns0:row r="13" ht="24" customHeight="1">
      <ns0:c r="A13" s="4" t="n">
        <ns0:v>9</ns0:v>
      </ns0:c>
      <ns0:c r="B13" s="12">
        <ns0:f>B12*(1-'前提と出典'!$B$31)+'前提と出典'!$B$30</ns0:f>
        <ns0:v>27</ns0:v>
      </ns0:c>
      <ns0:c r="C13" s="12">
        <ns0:f>B13*('前提と出典'!$C$36+'前提と出典'!$C$38)</ns0:f>
        <ns0:v>18.9</ns0:v>
      </ns0:c>
      <ns0:c r="D13" s="16">
        <ns0:f>B13*('前提と出典'!$C$37+'前提と出典'!$C$38)</ns0:f>
        <ns0:v>16.2</ns0:v>
      </ns0:c>
      <ns0:c r="E13" s="16">
        <ns0:f>B13*('前提と出典'!$C$36*'契約別単価'!C5+'前提と出典'!$C$37*'契約別単価'!C6+'前提と出典'!$C$38*'契約別単価'!C7)</ns0:f>
        <ns0:v>194.27932960893855</ns0:v>
      </ns0:c>
      <ns0:c r="F13" s="16">
        <ns0:f>B13*('前提と出典'!$C$36*'契約別単価'!E5+'前提と出典'!$C$37*'契約別単価'!E6+'前提と出典'!$C$38*'契約別単価'!E7)</ns0:f>
        <ns0:v>52243.50573177388</ns0:v>
      </ns0:c>
      <ns0:c r="G13" s="16">
        <ns0:f>B13*('前提と出典'!$C$36*'契約別単価'!F5+'前提と出典'!$C$37*'契約別単価'!F6+'前提と出典'!$C$38*'契約別単価'!F7)</ns0:f>
        <ns0:v>20503.67795200815</ns0:v>
      </ns0:c>
      <ns0:c r="H13" s="16">
        <ns0:f>B13*('前提と出典'!$C$36*'契約別単価'!G5+'前提と出典'!$C$37*'契約別単価'!G6+'前提と出典'!$C$38*'契約別単価'!G7)</ns0:f>
        <ns0:v>53743.57541899441</ns0:v>
      </ns0:c>
      <ns0:c r="I13" s="16">
        <ns0:f>B13*('前提と出典'!$C$36*'契約別単価'!H5+'前提と出典'!$C$37*'契約別単価'!H6+'前提と出典'!$C$38*'契約別単価'!H7)</ns0:f>
        <ns0:v>18651.716122511996</ns0:v>
      </ns0:c>
      <ns0:c r="J13" s="16">
        <ns0:f>B13*('前提と出典'!$C$36*'契約別単価'!I5+'前提と出典'!$C$37*'契約別単価'!I6+'前提と出典'!$C$38*'契約別単価'!I7)</ns0:f>
        <ns0:v>1139.2793296089383</ns0:v>
      </ns0:c>
      <ns0:c r="K13" s="16">
        <ns0:f>B13*('前提と出典'!$C$36*'契約別単価'!J5+'前提と出典'!$C$37*'契約別単価'!J6+'前提と出典'!$C$38*'契約別単価'!J7)</ns0:f>
        <ns0:v>2653.817680178169</ns0:v>
      </ns0:c>
      <ns0:c r="L13" s="16">
        <ns0:f>B13*('前提と出典'!$C$36*'契約別単価'!K5+'前提と出典'!$C$37*'契約別単価'!K6+'前提と出典'!$C$38*'契約別単価'!K7)</ns0:f>
        <ns0:v>11375.195530726256</ns0:v>
      </ns0:c>
      <ns0:c r="M13" s="16">
        <ns0:f>B13*('前提と出典'!$C$36*'契約別単価'!L5+'前提と出典'!$C$37*'契約別単価'!L6+'前提と出典'!$C$38*'契約別単価'!L7)</ns0:f>
        <ns0:v>9261.7238707504</ns0:v>
      </ns0:c>
      <ns0:c r="N13" s="16">
        <ns0:f>IF(('前提と出典'!$C$36+'前提と出典'!$C$38)=0,0,IF(C13&lt;=10,'前提と出典'!B73+'前提と出典'!C73,IF(C13&lt;=100,'前提と出典'!B74+'前提と出典'!C74,IF(C13&lt;=500,'前提と出典'!B75+'前提と出典'!C75,'前提と出典'!B76+'前提と出典'!C76))))</ns0:f>
        <ns0:v>20000</ns0:v>
      </ns0:c>
      <ns0:c r="O13" s="16">
        <ns0:f>IF(('前提と出典'!$C$37+'前提と出典'!$C$38)=0,0,IF(D13&lt;=10,'前提と出典'!D73+'前提と出典'!E73,IF(D13&lt;=100,'前提と出典'!D74+'前提と出典'!E74,IF(D13&lt;=500,'前提と出典'!D75+'前提と出典'!E75,'前提と出典'!D76+'前提と出典'!E76))))</ns0:f>
        <ns0:v>34510.9346263078</ns0:v>
      </ns0:c>
      <ns0:c r="P13" s="16">
        <ns0:f>IF('前提と出典'!$C$36+'前提と出典'!$C$38=0,0,'前提と出典'!$B$4*IF('前提と出典'!$B$20=0,MAX('前提と出典'!$B$6,E13*'前提と出典'!$B$5),'前提と出典'!$B$6+E13*'前提と出典'!$B$5))</ns0:f>
        <ns0:v>26810.547486033523</ns0:v>
      </ns0:c>
      <ns0:c r="Q13" s="16">
        <ns0:f>(F13+H13)*(1-'前提と出典'!$B$7)-J13-L13-N13-P13</ns0:f>
        <ns0:v>42846.52388297192</ns0:v>
      </ns0:c>
      <ns0:c r="R13" s="16">
        <ns0:f>(G13+I13)*(1-'前提と出典'!$B$7)-K13-M13-O13</ns0:f>
        <ns0:v>-8680.676289398945</ns0:v>
      </ns0:c>
      <ns0:c r="S13" s="16">
        <ns0:f>Q13-F13*'前提と出典'!$E$4</ns0:f>
        <ns0:v>27173.472163439757</ns0:v>
      </ns0:c>
      <ns0:c r="T13" s="16">
        <ns0:f>R13-G13*'前提と出典'!$E$4</ns0:f>
        <ns0:v>-14831.779675001391</ns0:v>
      </ns0:c>
      <ns0:c r="U13" s="7">
        <ns0:f>S13+T13</ns0:f>
        <ns0:v>12341.692488438366</ns0:v>
      </ns0:c>
      <ns0:c r="V13" s="16">
        <ns0:f>Q13-F13*'前提と出典'!$E$5</ns0:f>
        <ns0:v>21949.121590262366</ns0:v>
      </ns0:c>
      <ns0:c r="W13" s="16">
        <ns0:f>R13-G13*'前提と出典'!$E$5</ns0:f>
        <ns0:v>-16882.147470202206</ns0:v>
      </ns0:c>
      <ns0:c r="X13" s="7">
        <ns0:f>V13+W13</ns0:f>
        <ns0:v>5066.97412006016</ns0:v>
      </ns0:c>
      <ns0:c r="Y13" s="16">
        <ns0:f>Q13-F13*'前提と出典'!$E$6</ns0:f>
        <ns0:v>16724.771017084975</ns0:v>
      </ns0:c>
      <ns0:c r="Z13" s="16">
        <ns0:f>R13-G13*'前提と出典'!$E$6</ns0:f>
        <ns0:v>-18932.51526540302</ns0:v>
      </ns0:c>
      <ns0:c r="AA13" s="7">
        <ns0:f>Y13+Z13</ns0:f>
        <ns0:v>-2207.7442483180457</ns0:v>
      </ns0:c>
      <ns0:c r="AB13" s="7">
        <ns0:f>AB12+U13</ns0:f>
        <ns0:v>-167924.68388426845</ns0:v>
      </ns0:c>
      <ns0:c r="AC13" s="7">
        <ns0:f>AC12+X13</ns0:f>
        <ns0:v>-204298.27572615948</ns0:v>
      </ns0:c>
      <ns0:c r="AD13" s="7">
        <ns0:f>AD12+AA13</ns0:f>
        <ns0:v>-240671.86756805048</ns0:v>
      </ns0:c>
      <ns0:c r="AE13" s="7">
        <ns0:f>MAX(0,-MIN($AB$5:AB13))</ns0:f>
        <ns0:v>185179.99918172893</ns0:v>
      </ns0:c>
      <ns0:c r="AF13" s="7">
        <ns0:f>MAX(0,-MIN($AC$5:AC13))</ns0:f>
        <ns0:v>209365.24984621964</ns0:v>
      </ns0:c>
      <ns0:c r="AG13" s="7">
        <ns0:f>MAX(0,-MIN($AD$5:AD13))</ns0:f>
        <ns0:v>240671.86756805048</ns0:v>
      </ns0:c>
      <ns0:c r="AH13" s="4">
        <ns0:f>IF(U13&gt;=0,A13,37)</ns0:f>
        <ns0:v>9</ns0:v>
      </ns0:c>
      <ns0:c r="AI13" s="4">
        <ns0:f>IF(AB13&gt;=0,A13,37)</ns0:f>
        <ns0:v>37</ns0:v>
      </ns0:c>
      <ns0:c r="AJ13" s="4">
        <ns0:f>IF(X13&gt;=0,A13,37)</ns0:f>
        <ns0:v>9</ns0:v>
      </ns0:c>
      <ns0:c r="AK13" s="4">
        <ns0:f>IF(AC13&gt;=0,A13,37)</ns0:f>
        <ns0:v>37</ns0:v>
      </ns0:c>
      <ns0:c r="AL13" s="4">
        <ns0:f>IF(AA13&gt;=0,A13,37)</ns0:f>
        <ns0:v>37</ns0:v>
      </ns0:c>
      <ns0:c r="AM13" s="4">
        <ns0:f>IF(AD13&gt;=0,A13,37)</ns0:f>
        <ns0:v>37</ns0:v>
      </ns0:c>
    </ns0:row>
    <ns0:row r="14" ht="24" customHeight="1">
      <ns0:c r="A14" s="4" t="n">
        <ns0:v>10</ns0:v>
      </ns0:c>
      <ns0:c r="B14" s="12">
        <ns0:f>B13*(1-'前提と出典'!$B$31)+'前提と出典'!$B$30</ns0:f>
        <ns0:v>30</ns0:v>
      </ns0:c>
      <ns0:c r="C14" s="12">
        <ns0:f>B14*('前提と出典'!$C$36+'前提と出典'!$C$38)</ns0:f>
        <ns0:v>21</ns0:v>
      </ns0:c>
      <ns0:c r="D14" s="16">
        <ns0:f>B14*('前提と出典'!$C$37+'前提と出典'!$C$38)</ns0:f>
        <ns0:v>18</ns0:v>
      </ns0:c>
      <ns0:c r="E14" s="16">
        <ns0:f>B14*('前提と出典'!$C$36*'契約別単価'!C5+'前提と出典'!$C$37*'契約別単価'!C6+'前提と出典'!$C$38*'契約別単価'!C7)</ns0:f>
        <ns0:v>215.8659217877095</ns0:v>
      </ns0:c>
      <ns0:c r="F14" s="16">
        <ns0:f>B14*('前提と出典'!$C$36*'契約別単価'!E5+'前提と出典'!$C$37*'契約別単価'!E6+'前提と出典'!$C$38*'契約別単価'!E7)</ns0:f>
        <ns0:v>58048.33970197098</ns0:v>
      </ns0:c>
      <ns0:c r="G14" s="16">
        <ns0:f>B14*('前提と出典'!$C$36*'契約別単価'!F5+'前提と出典'!$C$37*'契約別単価'!F6+'前提と出典'!$C$38*'契約別単価'!F7)</ns0:f>
        <ns0:v>22781.864391120165</ns0:v>
      </ns0:c>
      <ns0:c r="H14" s="16">
        <ns0:f>B14*('前提と出典'!$C$36*'契約別単価'!G5+'前提と出典'!$C$37*'契約別単価'!G6+'前提と出典'!$C$38*'契約別単価'!G7)</ns0:f>
        <ns0:v>59715.08379888268</ns0:v>
      </ns0:c>
      <ns0:c r="I14" s="16">
        <ns0:f>B14*('前提と出典'!$C$36*'契約別単価'!H5+'前提と出典'!$C$37*'契約別単価'!H6+'前提と出典'!$C$38*'契約別単価'!H7)</ns0:f>
        <ns0:v>20724.12902501333</ns0:v>
      </ns0:c>
      <ns0:c r="J14" s="16">
        <ns0:f>B14*('前提と出典'!$C$36*'契約別単価'!I5+'前提と出典'!$C$37*'契約別単価'!I6+'前提と出典'!$C$38*'契約別単価'!I7)</ns0:f>
        <ns0:v>1265.8659217877093</ns0:v>
      </ns0:c>
      <ns0:c r="K14" s="16">
        <ns0:f>B14*('前提と出典'!$C$36*'契約別単価'!J5+'前提と出典'!$C$37*'契約別単価'!J6+'前提と出典'!$C$38*'契約別単価'!J7)</ns0:f>
        <ns0:v>2948.686311309077</ns0:v>
      </ns0:c>
      <ns0:c r="L14" s="16">
        <ns0:f>B14*('前提と出典'!$C$36*'契約別単価'!K5+'前提と出典'!$C$37*'契約別単価'!K6+'前提と出典'!$C$38*'契約別単価'!K7)</ns0:f>
        <ns0:v>12639.106145251395</ns0:v>
      </ns0:c>
      <ns0:c r="M14" s="16">
        <ns0:f>B14*('前提と出典'!$C$36*'契約別単価'!L5+'前提と出典'!$C$37*'契約別単価'!L6+'前提と出典'!$C$38*'契約別単価'!L7)</ns0:f>
        <ns0:v>10290.804300833777</ns0:v>
      </ns0:c>
      <ns0:c r="N14" s="16">
        <ns0:f>IF(('前提と出典'!$C$36+'前提と出典'!$C$38)=0,0,IF(C14&lt;=10,'前提と出典'!B73+'前提と出典'!C73,IF(C14&lt;=100,'前提と出典'!B74+'前提と出典'!C74,IF(C14&lt;=500,'前提と出典'!B75+'前提と出典'!C75,'前提と出典'!B76+'前提と出典'!C76))))</ns0:f>
        <ns0:v>20000</ns0:v>
      </ns0:c>
      <ns0:c r="O14" s="16">
        <ns0:f>IF(('前提と出典'!$C$37+'前提と出典'!$C$38)=0,0,IF(D14&lt;=10,'前提と出典'!D73+'前提と出典'!E73,IF(D14&lt;=100,'前提と出典'!D74+'前提と出典'!E74,IF(D14&lt;=500,'前提と出典'!D75+'前提と出典'!E75,'前提と出典'!D76+'前提と出典'!E76))))</ns0:f>
        <ns0:v>34510.9346263078</ns0:v>
      </ns0:c>
      <ns0:c r="P14" s="16">
        <ns0:f>IF('前提と出典'!$C$36+'前提と出典'!$C$38=0,0,'前提と出典'!$B$4*IF('前提と出典'!$B$20=0,MAX('前提と出典'!$B$6,E14*'前提と出典'!$B$5),'前提と出典'!$B$6+E14*'前提と出典'!$B$5))</ns0:f>
        <ns0:v>29789.497206703913</ns0:v>
      </ns0:c>
      <ns0:c r="Q14" s="16">
        <ns0:f>(F14+H14)*(1-'前提と出典'!$B$7)-J14-L14-N14-P14</ns0:f>
        <ns0:v>49829.4709810799</ns0:v>
      </ns0:c>
      <ns0:c r="R14" s="16">
        <ns0:f>(G14+I14)*(1-'前提と出典'!$B$7)-K14-M14-O14</ns0:f>
        <ns0:v>-5810.647585297958</ns0:v>
      </ns0:c>
      <ns0:c r="S14" s="16">
        <ns0:f>Q14-F14*'前提と出典'!$E$4</ns0:f>
        <ns0:v>32414.96907048861</ns0:v>
      </ns0:c>
      <ns0:c r="T14" s="16">
        <ns0:f>R14-G14*'前提と出典'!$E$4</ns0:f>
        <ns0:v>-12645.206902634007</ns0:v>
      </ns0:c>
      <ns0:c r="U14" s="7">
        <ns0:f>S14+T14</ns0:f>
        <ns0:v>19769.762167854602</ns0:v>
      </ns0:c>
      <ns0:c r="V14" s="16">
        <ns0:f>Q14-F14*'前提と出典'!$E$5</ns0:f>
        <ns0:v>26610.13510029151</ns0:v>
      </ns0:c>
      <ns0:c r="W14" s="16">
        <ns0:f>R14-G14*'前提と出典'!$E$5</ns0:f>
        <ns0:v>-14923.393341746025</ns0:v>
      </ns0:c>
      <ns0:c r="X14" s="7">
        <ns0:f>V14+W14</ns0:f>
        <ns0:v>11686.741758545486</ns0:v>
      </ns0:c>
      <ns0:c r="Y14" s="16">
        <ns0:f>Q14-F14*'前提と出典'!$E$6</ns0:f>
        <ns0:v>20805.301130094413</ns0:v>
      </ns0:c>
      <ns0:c r="Z14" s="16">
        <ns0:f>R14-G14*'前提と出典'!$E$6</ns0:f>
        <ns0:v>-17201.579780858043</ns0:v>
      </ns0:c>
      <ns0:c r="AA14" s="7">
        <ns0:f>Y14+Z14</ns0:f>
        <ns0:v>3603.72134923637</ns0:v>
      </ns0:c>
      <ns0:c r="AB14" s="7">
        <ns0:f>AB13+U14</ns0:f>
        <ns0:v>-148154.92171641384</ns0:v>
      </ns0:c>
      <ns0:c r="AC14" s="7">
        <ns0:f>AC13+X14</ns0:f>
        <ns0:v>-192611.533967614</ns0:v>
      </ns0:c>
      <ns0:c r="AD14" s="7">
        <ns0:f>AD13+AA14</ns0:f>
        <ns0:v>-237068.1462188141</ns0:v>
      </ns0:c>
      <ns0:c r="AE14" s="7">
        <ns0:f>MAX(0,-MIN($AB$5:AB14))</ns0:f>
        <ns0:v>185179.99918172893</ns0:v>
      </ns0:c>
      <ns0:c r="AF14" s="7">
        <ns0:f>MAX(0,-MIN($AC$5:AC14))</ns0:f>
        <ns0:v>209365.24984621964</ns0:v>
      </ns0:c>
      <ns0:c r="AG14" s="7">
        <ns0:f>MAX(0,-MIN($AD$5:AD14))</ns0:f>
        <ns0:v>240671.86756805048</ns0:v>
      </ns0:c>
      <ns0:c r="AH14" s="4">
        <ns0:f>IF(U14&gt;=0,A14,37)</ns0:f>
        <ns0:v>10</ns0:v>
      </ns0:c>
      <ns0:c r="AI14" s="4">
        <ns0:f>IF(AB14&gt;=0,A14,37)</ns0:f>
        <ns0:v>37</ns0:v>
      </ns0:c>
      <ns0:c r="AJ14" s="4">
        <ns0:f>IF(X14&gt;=0,A14,37)</ns0:f>
        <ns0:v>10</ns0:v>
      </ns0:c>
      <ns0:c r="AK14" s="4">
        <ns0:f>IF(AC14&gt;=0,A14,37)</ns0:f>
        <ns0:v>37</ns0:v>
      </ns0:c>
      <ns0:c r="AL14" s="4">
        <ns0:f>IF(AA14&gt;=0,A14,37)</ns0:f>
        <ns0:v>10</ns0:v>
      </ns0:c>
      <ns0:c r="AM14" s="4">
        <ns0:f>IF(AD14&gt;=0,A14,37)</ns0:f>
        <ns0:v>37</ns0:v>
      </ns0:c>
    </ns0:row>
    <ns0:row r="15" ht="24" customHeight="1">
      <ns0:c r="A15" s="4" t="n">
        <ns0:v>11</ns0:v>
      </ns0:c>
      <ns0:c r="B15" s="12">
        <ns0:f>B14*(1-'前提と出典'!$B$31)+'前提と出典'!$B$30</ns0:f>
        <ns0:v>33</ns0:v>
      </ns0:c>
      <ns0:c r="C15" s="12">
        <ns0:f>B15*('前提と出典'!$C$36+'前提と出典'!$C$38)</ns0:f>
        <ns0:v>23.099999999999998</ns0:v>
      </ns0:c>
      <ns0:c r="D15" s="16">
        <ns0:f>B15*('前提と出典'!$C$37+'前提と出典'!$C$38)</ns0:f>
        <ns0:v>19.8</ns0:v>
      </ns0:c>
      <ns0:c r="E15" s="16">
        <ns0:f>B15*('前提と出典'!$C$36*'契約別単価'!C5+'前提と出典'!$C$37*'契約別単価'!C6+'前提と出典'!$C$38*'契約別単価'!C7)</ns0:f>
        <ns0:v>237.45251396648044</ns0:v>
      </ns0:c>
      <ns0:c r="F15" s="16">
        <ns0:f>B15*('前提と出典'!$C$36*'契約別単価'!E5+'前提と出典'!$C$37*'契約別単価'!E6+'前提と出典'!$C$38*'契約別単価'!E7)</ns0:f>
        <ns0:v>63853.17367216808</ns0:v>
      </ns0:c>
      <ns0:c r="G15" s="16">
        <ns0:f>B15*('前提と出典'!$C$36*'契約別単価'!F5+'前提と出典'!$C$37*'契約別単価'!F6+'前提と出典'!$C$38*'契約別単価'!F7)</ns0:f>
        <ns0:v>25060.050830232183</ns0:v>
      </ns0:c>
      <ns0:c r="H15" s="16">
        <ns0:f>B15*('前提と出典'!$C$36*'契約別単価'!G5+'前提と出典'!$C$37*'契約別単価'!G6+'前提と出典'!$C$38*'契約別単価'!G7)</ns0:f>
        <ns0:v>65686.59217877095</ns0:v>
      </ns0:c>
      <ns0:c r="I15" s="16">
        <ns0:f>B15*('前提と出典'!$C$36*'契約別単価'!H5+'前提と出典'!$C$37*'契約別単価'!H6+'前提と出典'!$C$38*'契約別単価'!H7)</ns0:f>
        <ns0:v>22796.541927514663</ns0:v>
      </ns0:c>
      <ns0:c r="J15" s="16">
        <ns0:f>B15*('前提と出典'!$C$36*'契約別単価'!I5+'前提と出典'!$C$37*'契約別単価'!I6+'前提と出典'!$C$38*'契約別単価'!I7)</ns0:f>
        <ns0:v>1392.4525139664802</ns0:v>
      </ns0:c>
      <ns0:c r="K15" s="16">
        <ns0:f>B15*('前提と出典'!$C$36*'契約別単価'!J5+'前提と出典'!$C$37*'契約別単価'!J6+'前提と出典'!$C$38*'契約別単価'!J7)</ns0:f>
        <ns0:v>3243.5549424399846</ns0:v>
      </ns0:c>
      <ns0:c r="L15" s="16">
        <ns0:f>B15*('前提と出典'!$C$36*'契約別単価'!K5+'前提と出典'!$C$37*'契約別単価'!K6+'前提と出典'!$C$38*'契約別単価'!K7)</ns0:f>
        <ns0:v>13903.016759776536</ns0:v>
      </ns0:c>
      <ns0:c r="M15" s="16">
        <ns0:f>B15*('前提と出典'!$C$36*'契約別単価'!L5+'前提と出典'!$C$37*'契約別単価'!L6+'前提と出典'!$C$38*'契約別単価'!L7)</ns0:f>
        <ns0:v>11319.884730917154</ns0:v>
      </ns0:c>
      <ns0:c r="N15" s="16">
        <ns0:f>IF(('前提と出典'!$C$36+'前提と出典'!$C$38)=0,0,IF(C15&lt;=10,'前提と出典'!B73+'前提と出典'!C73,IF(C15&lt;=100,'前提と出典'!B74+'前提と出典'!C74,IF(C15&lt;=500,'前提と出典'!B75+'前提と出典'!C75,'前提と出典'!B76+'前提と出典'!C76))))</ns0:f>
        <ns0:v>20000</ns0:v>
      </ns0:c>
      <ns0:c r="O15" s="16">
        <ns0:f>IF(('前提と出典'!$C$37+'前提と出典'!$C$38)=0,0,IF(D15&lt;=10,'前提と出典'!D73+'前提と出典'!E73,IF(D15&lt;=100,'前提と出典'!D74+'前提と出典'!E74,IF(D15&lt;=500,'前提と出典'!D75+'前提と出典'!E75,'前提と出典'!D76+'前提と出典'!E76))))</ns0:f>
        <ns0:v>34510.9346263078</ns0:v>
      </ns0:c>
      <ns0:c r="P15" s="16">
        <ns0:f>IF('前提と出典'!$C$36+'前提と出典'!$C$38=0,0,'前提と出典'!$B$4*IF('前提と出典'!$B$20=0,MAX('前提と出典'!$B$6,E15*'前提と出典'!$B$5),'前提と出典'!$B$6+E15*'前提と出典'!$B$5))</ns0:f>
        <ns0:v>32768.4469273743</ns0:v>
      </ns0:c>
      <ns0:c r="Q15" s="16">
        <ns0:f>(F15+H15)*(1-'前提と出典'!$B$7)-J15-L15-N15-P15</ns0:f>
        <ns0:v>56812.418079187904</ns0:v>
      </ns0:c>
      <ns0:c r="R15" s="16">
        <ns0:f>(G15+I15)*(1-'前提と出典'!$B$7)-K15-M15-O15</ns0:f>
        <ns0:v>-2940.6188811969805</ns0:v>
      </ns0:c>
      <ns0:c r="S15" s="16">
        <ns0:f>Q15-F15*'前提と出典'!$E$4</ns0:f>
        <ns0:v>37656.46597753749</ns0:v>
      </ns0:c>
      <ns0:c r="T15" s="16">
        <ns0:f>R15-G15*'前提と出典'!$E$4</ns0:f>
        <ns0:v>-10458.634130266633</ns0:v>
      </ns0:c>
      <ns0:c r="U15" s="7">
        <ns0:f>S15+T15</ns0:f>
        <ns0:v>27197.831847270856</ns0:v>
      </ns0:c>
      <ns0:c r="V15" s="16">
        <ns0:f>Q15-F15*'前提と出典'!$E$5</ns0:f>
        <ns0:v>31271.14861032067</ns0:v>
      </ns0:c>
      <ns0:c r="W15" s="16">
        <ns0:f>R15-G15*'前提と出典'!$E$5</ns0:f>
        <ns0:v>-12964.639213289855</ns0:v>
      </ns0:c>
      <ns0:c r="X15" s="7">
        <ns0:f>V15+W15</ns0:f>
        <ns0:v>18306.509397030815</ns0:v>
      </ns0:c>
      <ns0:c r="Y15" s="16">
        <ns0:f>Q15-F15*'前提と出典'!$E$6</ns0:f>
        <ns0:v>24885.831243103865</ns0:v>
      </ns0:c>
      <ns0:c r="Z15" s="16">
        <ns0:f>R15-G15*'前提と出典'!$E$6</ns0:f>
        <ns0:v>-15470.644296313065</ns0:v>
      </ns0:c>
      <ns0:c r="AA15" s="7">
        <ns0:f>Y15+Z15</ns0:f>
        <ns0:v>9415.1869467908</ns0:v>
      </ns0:c>
      <ns0:c r="AB15" s="7">
        <ns0:f>AB14+U15</ns0:f>
        <ns0:v>-120957.08986914298</ns0:v>
      </ns0:c>
      <ns0:c r="AC15" s="7">
        <ns0:f>AC14+X15</ns0:f>
        <ns0:v>-174305.0245705832</ns0:v>
      </ns0:c>
      <ns0:c r="AD15" s="7">
        <ns0:f>AD14+AA15</ns0:f>
        <ns0:v>-227652.9592720233</ns0:v>
      </ns0:c>
      <ns0:c r="AE15" s="7">
        <ns0:f>MAX(0,-MIN($AB$5:AB15))</ns0:f>
        <ns0:v>185179.99918172893</ns0:v>
      </ns0:c>
      <ns0:c r="AF15" s="7">
        <ns0:f>MAX(0,-MIN($AC$5:AC15))</ns0:f>
        <ns0:v>209365.24984621964</ns0:v>
      </ns0:c>
      <ns0:c r="AG15" s="7">
        <ns0:f>MAX(0,-MIN($AD$5:AD15))</ns0:f>
        <ns0:v>240671.86756805048</ns0:v>
      </ns0:c>
      <ns0:c r="AH15" s="4">
        <ns0:f>IF(U15&gt;=0,A15,37)</ns0:f>
        <ns0:v>11</ns0:v>
      </ns0:c>
      <ns0:c r="AI15" s="4">
        <ns0:f>IF(AB15&gt;=0,A15,37)</ns0:f>
        <ns0:v>37</ns0:v>
      </ns0:c>
      <ns0:c r="AJ15" s="4">
        <ns0:f>IF(X15&gt;=0,A15,37)</ns0:f>
        <ns0:v>11</ns0:v>
      </ns0:c>
      <ns0:c r="AK15" s="4">
        <ns0:f>IF(AC15&gt;=0,A15,37)</ns0:f>
        <ns0:v>37</ns0:v>
      </ns0:c>
      <ns0:c r="AL15" s="4">
        <ns0:f>IF(AA15&gt;=0,A15,37)</ns0:f>
        <ns0:v>11</ns0:v>
      </ns0:c>
      <ns0:c r="AM15" s="4">
        <ns0:f>IF(AD15&gt;=0,A15,37)</ns0:f>
        <ns0:v>37</ns0:v>
      </ns0:c>
    </ns0:row>
    <ns0:row r="16" ht="24" customHeight="1">
      <ns0:c r="A16" s="4" t="n">
        <ns0:v>12</ns0:v>
      </ns0:c>
      <ns0:c r="B16" s="12">
        <ns0:f>B15*(1-'前提と出典'!$B$31)+'前提と出典'!$B$30</ns0:f>
        <ns0:v>36</ns0:v>
      </ns0:c>
      <ns0:c r="C16" s="12">
        <ns0:f>B16*('前提と出典'!$C$36+'前提と出典'!$C$38)</ns0:f>
        <ns0:v>25.2</ns0:v>
      </ns0:c>
      <ns0:c r="D16" s="16">
        <ns0:f>B16*('前提と出典'!$C$37+'前提と出典'!$C$38)</ns0:f>
        <ns0:v>21.599999999999998</ns0:v>
      </ns0:c>
      <ns0:c r="E16" s="16">
        <ns0:f>B16*('前提と出典'!$C$36*'契約別単価'!C5+'前提と出典'!$C$37*'契約別単価'!C6+'前提と出典'!$C$38*'契約別単価'!C7)</ns0:f>
        <ns0:v>259.03910614525137</ns0:v>
      </ns0:c>
      <ns0:c r="F16" s="16">
        <ns0:f>B16*('前提と出典'!$C$36*'契約別単価'!E5+'前提と出典'!$C$37*'契約別単価'!E6+'前提と出典'!$C$38*'契約別単価'!E7)</ns0:f>
        <ns0:v>69658.00764236518</ns0:v>
      </ns0:c>
      <ns0:c r="G16" s="16">
        <ns0:f>B16*('前提と出典'!$C$36*'契約別単価'!F5+'前提と出典'!$C$37*'契約別単価'!F6+'前提と出典'!$C$38*'契約別単価'!F7)</ns0:f>
        <ns0:v>27338.2372693442</ns0:v>
      </ns0:c>
      <ns0:c r="H16" s="16">
        <ns0:f>B16*('前提と出典'!$C$36*'契約別単価'!G5+'前提と出典'!$C$37*'契約別単価'!G6+'前提と出典'!$C$38*'契約別単価'!G7)</ns0:f>
        <ns0:v>71658.10055865921</ns0:v>
      </ns0:c>
      <ns0:c r="I16" s="16">
        <ns0:f>B16*('前提と出典'!$C$36*'契約別単価'!H5+'前提と出典'!$C$37*'契約別単価'!H6+'前提と出典'!$C$38*'契約別単価'!H7)</ns0:f>
        <ns0:v>24868.954830015995</ns0:v>
      </ns0:c>
      <ns0:c r="J16" s="16">
        <ns0:f>B16*('前提と出典'!$C$36*'契約別単価'!I5+'前提と出典'!$C$37*'契約別単価'!I6+'前提と出典'!$C$38*'契約別単価'!I7)</ns0:f>
        <ns0:v>1519.039106145251</ns0:v>
      </ns0:c>
      <ns0:c r="K16" s="16">
        <ns0:f>B16*('前提と出典'!$C$36*'契約別単価'!J5+'前提と出典'!$C$37*'契約別単価'!J6+'前提と出典'!$C$38*'契約別単価'!J7)</ns0:f>
        <ns0:v>3538.4235735708926</ns0:v>
      </ns0:c>
      <ns0:c r="L16" s="16">
        <ns0:f>B16*('前提と出典'!$C$36*'契約別単価'!K5+'前提と出典'!$C$37*'契約別単価'!K6+'前提と出典'!$C$38*'契約別単価'!K7)</ns0:f>
        <ns0:v>15166.927374301675</ns0:v>
      </ns0:c>
      <ns0:c r="M16" s="16">
        <ns0:f>B16*('前提と出典'!$C$36*'契約別単価'!L5+'前提と出典'!$C$37*'契約別単価'!L6+'前提と出典'!$C$38*'契約別単価'!L7)</ns0:f>
        <ns0:v>12348.965161000533</ns0:v>
      </ns0:c>
      <ns0:c r="N16" s="16">
        <ns0:f>IF(('前提と出典'!$C$36+'前提と出典'!$C$38)=0,0,IF(C16&lt;=10,'前提と出典'!B73+'前提と出典'!C73,IF(C16&lt;=100,'前提と出典'!B74+'前提と出典'!C74,IF(C16&lt;=500,'前提と出典'!B75+'前提と出典'!C75,'前提と出典'!B76+'前提と出典'!C76))))</ns0:f>
        <ns0:v>20000</ns0:v>
      </ns0:c>
      <ns0:c r="O16" s="16">
        <ns0:f>IF(('前提と出典'!$C$37+'前提と出典'!$C$38)=0,0,IF(D16&lt;=10,'前提と出典'!D73+'前提と出典'!E73,IF(D16&lt;=100,'前提と出典'!D74+'前提と出典'!E74,IF(D16&lt;=500,'前提と出典'!D75+'前提と出典'!E75,'前提と出典'!D76+'前提と出典'!E76))))</ns0:f>
        <ns0:v>34510.9346263078</ns0:v>
      </ns0:c>
      <ns0:c r="P16" s="16">
        <ns0:f>IF('前提と出典'!$C$36+'前提と出典'!$C$38=0,0,'前提と出典'!$B$4*IF('前提と出典'!$B$20=0,MAX('前提と出典'!$B$6,E16*'前提と出典'!$B$5),'前提と出典'!$B$6+E16*'前提と出典'!$B$5))</ns0:f>
        <ns0:v>35747.39664804469</ns0:v>
      </ns0:c>
      <ns0:c r="Q16" s="16">
        <ns0:f>(F16+H16)*(1-'前提と出典'!$B$7)-J16-L16-N16-P16</ns0:f>
        <ns0:v>63795.36517729587</ns0:v>
      </ns0:c>
      <ns0:c r="R16" s="16">
        <ns0:f>(G16+I16)*(1-'前提と出典'!$B$7)-K16-M16-O16</ns0:f>
        <ns0:v>-70.59017709599175</ns0:v>
      </ns0:c>
      <ns0:c r="S16" s="16">
        <ns0:f>Q16-F16*'前提と出典'!$E$4</ns0:f>
        <ns0:v>42897.96288458634</ns0:v>
      </ns0:c>
      <ns0:c r="T16" s="16">
        <ns0:f>R16-G16*'前提と出典'!$E$4</ns0:f>
        <ns0:v>-8272.061357899249</ns0:v>
      </ns0:c>
      <ns0:c r="U16" s="7">
        <ns0:f>S16+T16</ns0:f>
        <ns0:v>34625.90152668709</ns0:v>
      </ns0:c>
      <ns0:c r="V16" s="16">
        <ns0:f>Q16-F16*'前提と出典'!$E$5</ns0:f>
        <ns0:v>35932.1621203498</ns0:v>
      </ns0:c>
      <ns0:c r="W16" s="16">
        <ns0:f>R16-G16*'前提と出典'!$E$5</ns0:f>
        <ns0:v>-11005.885084833673</ns0:v>
      </ns0:c>
      <ns0:c r="X16" s="7">
        <ns0:f>V16+W16</ns0:f>
        <ns0:v>24926.277035516126</ns0:v>
      </ns0:c>
      <ns0:c r="Y16" s="16">
        <ns0:f>Q16-F16*'前提と出典'!$E$6</ns0:f>
        <ns0:v>28966.361356113288</ns0:v>
      </ns0:c>
      <ns0:c r="Z16" s="16">
        <ns0:f>R16-G16*'前提と出典'!$E$6</ns0:f>
        <ns0:v>-13739.70881176809</ns0:v>
      </ns0:c>
      <ns0:c r="AA16" s="7">
        <ns0:f>Y16+Z16</ns0:f>
        <ns0:v>15226.652544345197</ns0:v>
      </ns0:c>
      <ns0:c r="AB16" s="7">
        <ns0:f>AB15+U16</ns0:f>
        <ns0:v>-86331.18834245589</ns0:v>
      </ns0:c>
      <ns0:c r="AC16" s="7">
        <ns0:f>AC15+X16</ns0:f>
        <ns0:v>-149378.74753506706</ns0:v>
      </ns0:c>
      <ns0:c r="AD16" s="7">
        <ns0:f>AD15+AA16</ns0:f>
        <ns0:v>-212426.3067276781</ns0:v>
      </ns0:c>
      <ns0:c r="AE16" s="7">
        <ns0:f>MAX(0,-MIN($AB$5:AB16))</ns0:f>
        <ns0:v>185179.99918172893</ns0:v>
      </ns0:c>
      <ns0:c r="AF16" s="7">
        <ns0:f>MAX(0,-MIN($AC$5:AC16))</ns0:f>
        <ns0:v>209365.24984621964</ns0:v>
      </ns0:c>
      <ns0:c r="AG16" s="7">
        <ns0:f>MAX(0,-MIN($AD$5:AD16))</ns0:f>
        <ns0:v>240671.86756805048</ns0:v>
      </ns0:c>
      <ns0:c r="AH16" s="4">
        <ns0:f>IF(U16&gt;=0,A16,37)</ns0:f>
        <ns0:v>12</ns0:v>
      </ns0:c>
      <ns0:c r="AI16" s="4">
        <ns0:f>IF(AB16&gt;=0,A16,37)</ns0:f>
        <ns0:v>37</ns0:v>
      </ns0:c>
      <ns0:c r="AJ16" s="4">
        <ns0:f>IF(X16&gt;=0,A16,37)</ns0:f>
        <ns0:v>12</ns0:v>
      </ns0:c>
      <ns0:c r="AK16" s="4">
        <ns0:f>IF(AC16&gt;=0,A16,37)</ns0:f>
        <ns0:v>37</ns0:v>
      </ns0:c>
      <ns0:c r="AL16" s="4">
        <ns0:f>IF(AA16&gt;=0,A16,37)</ns0:f>
        <ns0:v>12</ns0:v>
      </ns0:c>
      <ns0:c r="AM16" s="4">
        <ns0:f>IF(AD16&gt;=0,A16,37)</ns0:f>
        <ns0:v>37</ns0:v>
      </ns0:c>
    </ns0:row>
    <ns0:row r="17" ht="24" customHeight="1">
      <ns0:c r="A17" s="4" t="n">
        <ns0:v>13</ns0:v>
      </ns0:c>
      <ns0:c r="B17" s="12">
        <ns0:f>B16*(1-'前提と出典'!$B$31)+'前提と出典'!$B$30</ns0:f>
        <ns0:v>39</ns0:v>
      </ns0:c>
      <ns0:c r="C17" s="12">
        <ns0:f>B17*('前提と出典'!$C$36+'前提と出典'!$C$38)</ns0:f>
        <ns0:v>27.299999999999997</ns0:v>
      </ns0:c>
      <ns0:c r="D17" s="16">
        <ns0:f>B17*('前提と出典'!$C$37+'前提と出典'!$C$38)</ns0:f>
        <ns0:v>23.4</ns0:v>
      </ns0:c>
      <ns0:c r="E17" s="16">
        <ns0:f>B17*('前提と出典'!$C$36*'契約別単価'!C5+'前提と出典'!$C$37*'契約別単価'!C6+'前提と出典'!$C$38*'契約別単価'!C7)</ns0:f>
        <ns0:v>280.6256983240223</ns0:v>
      </ns0:c>
      <ns0:c r="F17" s="16">
        <ns0:f>B17*('前提と出典'!$C$36*'契約別単価'!E5+'前提と出典'!$C$37*'契約別単価'!E6+'前提と出典'!$C$38*'契約別単価'!E7)</ns0:f>
        <ns0:v>75462.84161256228</ns0:v>
      </ns0:c>
      <ns0:c r="G17" s="16">
        <ns0:f>B17*('前提と出典'!$C$36*'契約別単価'!F5+'前提と出典'!$C$37*'契約別単価'!F6+'前提と出典'!$C$38*'契約別単価'!F7)</ns0:f>
        <ns0:v>29616.423708456216</ns0:v>
      </ns0:c>
      <ns0:c r="H17" s="16">
        <ns0:f>B17*('前提と出典'!$C$36*'契約別単価'!G5+'前提と出典'!$C$37*'契約別単価'!G6+'前提と出典'!$C$38*'契約別単価'!G7)</ns0:f>
        <ns0:v>77629.60893854748</ns0:v>
      </ns0:c>
      <ns0:c r="I17" s="16">
        <ns0:f>B17*('前提と出典'!$C$36*'契約別単価'!H5+'前提と出典'!$C$37*'契約別単価'!H6+'前提と出典'!$C$38*'契約別単価'!H7)</ns0:f>
        <ns0:v>26941.36773251733</ns0:v>
      </ns0:c>
      <ns0:c r="J17" s="16">
        <ns0:f>B17*('前提と出典'!$C$36*'契約別単価'!I5+'前提と出典'!$C$37*'契約別単価'!I6+'前提と出典'!$C$38*'契約別単価'!I7)</ns0:f>
        <ns0:v>1645.625698324022</ns0:v>
      </ns0:c>
      <ns0:c r="K17" s="16">
        <ns0:f>B17*('前提と出典'!$C$36*'契約別単価'!J5+'前提と出典'!$C$37*'契約別単価'!J6+'前提と出典'!$C$38*'契約別単価'!J7)</ns0:f>
        <ns0:v>3833.2922047018</ns0:v>
      </ns0:c>
      <ns0:c r="L17" s="16">
        <ns0:f>B17*('前提と出典'!$C$36*'契約別単価'!K5+'前提と出典'!$C$37*'契約別単価'!K6+'前提と出典'!$C$38*'契約別単価'!K7)</ns0:f>
        <ns0:v>16430.837988826814</ns0:v>
      </ns0:c>
      <ns0:c r="M17" s="16">
        <ns0:f>B17*('前提と出典'!$C$36*'契約別単価'!L5+'前提と出典'!$C$37*'契約別単価'!L6+'前提と出典'!$C$38*'契約別単価'!L7)</ns0:f>
        <ns0:v>13378.04559108391</ns0:v>
      </ns0:c>
      <ns0:c r="N17" s="16">
        <ns0:f>IF(('前提と出典'!$C$36+'前提と出典'!$C$38)=0,0,IF(C17&lt;=10,'前提と出典'!B73+'前提と出典'!C73,IF(C17&lt;=100,'前提と出典'!B74+'前提と出典'!C74,IF(C17&lt;=500,'前提と出典'!B75+'前提と出典'!C75,'前提と出典'!B76+'前提と出典'!C76))))</ns0:f>
        <ns0:v>20000</ns0:v>
      </ns0:c>
      <ns0:c r="O17" s="16">
        <ns0:f>IF(('前提と出典'!$C$37+'前提と出典'!$C$38)=0,0,IF(D17&lt;=10,'前提と出典'!D73+'前提と出典'!E73,IF(D17&lt;=100,'前提と出典'!D74+'前提と出典'!E74,IF(D17&lt;=500,'前提と出典'!D75+'前提と出典'!E75,'前提と出典'!D76+'前提と出典'!E76))))</ns0:f>
        <ns0:v>34510.9346263078</ns0:v>
      </ns0:c>
      <ns0:c r="P17" s="16">
        <ns0:f>IF('前提と出典'!$C$36+'前提と出典'!$C$38=0,0,'前提と出典'!$B$4*IF('前提と出典'!$B$20=0,MAX('前提と出典'!$B$6,E17*'前提と出典'!$B$5),'前提と出典'!$B$6+E17*'前提と出典'!$B$5))</ns0:f>
        <ns0:v>38726.34636871508</ns0:v>
      </ns0:c>
      <ns0:c r="Q17" s="16">
        <ns0:f>(F17+H17)*(1-'前提と出典'!$B$7)-J17-L17-N17-P17</ns0:f>
        <ns0:v>70778.31227540388</ns0:v>
      </ns0:c>
      <ns0:c r="R17" s="16">
        <ns0:f>(G17+I17)*(1-'前提と出典'!$B$7)-K17-M17-O17</ns0:f>
        <ns0:v>2799.438527004988</ns0:v>
      </ns0:c>
      <ns0:c r="S17" s="16">
        <ns0:f>Q17-F17*'前提と出典'!$E$4</ns0:f>
        <ns0:v>48139.45979163519</ns0:v>
      </ns0:c>
      <ns0:c r="T17" s="16">
        <ns0:f>R17-G17*'前提と出典'!$E$4</ns0:f>
        <ns0:v>-6085.488585531872</ns0:v>
      </ns0:c>
      <ns0:c r="U17" s="7">
        <ns0:f>S17+T17</ns0:f>
        <ns0:v>42053.97120610332</ns0:v>
      </ns0:c>
      <ns0:c r="V17" s="16">
        <ns0:f>Q17-F17*'前提と出典'!$E$5</ns0:f>
        <ns0:v>40593.17563037897</ns0:v>
      </ns0:c>
      <ns0:c r="W17" s="16">
        <ns0:f>R17-G17*'前提と出典'!$E$5</ns0:f>
        <ns0:v>-9047.1309563775</ns0:v>
      </ns0:c>
      <ns0:c r="X17" s="7">
        <ns0:f>V17+W17</ns0:f>
        <ns0:v>31546.044674001474</ns0:v>
      </ns0:c>
      <ns0:c r="Y17" s="16">
        <ns0:f>Q17-F17*'前提と出典'!$E$6</ns0:f>
        <ns0:v>33046.89146912274</ns0:v>
      </ns0:c>
      <ns0:c r="Z17" s="16">
        <ns0:f>R17-G17*'前提と出典'!$E$6</ns0:f>
        <ns0:v>-12008.77332722312</ns0:v>
      </ns0:c>
      <ns0:c r="AA17" s="7">
        <ns0:f>Y17+Z17</ns0:f>
        <ns0:v>21038.11814189962</ns0:v>
      </ns0:c>
      <ns0:c r="AB17" s="7">
        <ns0:f>AB16+U17</ns0:f>
        <ns0:v>-44277.21713635257</ns0:v>
      </ns0:c>
      <ns0:c r="AC17" s="7">
        <ns0:f>AC16+X17</ns0:f>
        <ns0:v>-117832.70286106558</ns0:v>
      </ns0:c>
      <ns0:c r="AD17" s="7">
        <ns0:f>AD16+AA17</ns0:f>
        <ns0:v>-191388.1885857785</ns0:v>
      </ns0:c>
      <ns0:c r="AE17" s="7">
        <ns0:f>MAX(0,-MIN($AB$5:AB17))</ns0:f>
        <ns0:v>185179.99918172893</ns0:v>
      </ns0:c>
      <ns0:c r="AF17" s="7">
        <ns0:f>MAX(0,-MIN($AC$5:AC17))</ns0:f>
        <ns0:v>209365.24984621964</ns0:v>
      </ns0:c>
      <ns0:c r="AG17" s="7">
        <ns0:f>MAX(0,-MIN($AD$5:AD17))</ns0:f>
        <ns0:v>240671.86756805048</ns0:v>
      </ns0:c>
      <ns0:c r="AH17" s="4">
        <ns0:f>IF(U17&gt;=0,A17,37)</ns0:f>
        <ns0:v>13</ns0:v>
      </ns0:c>
      <ns0:c r="AI17" s="4">
        <ns0:f>IF(AB17&gt;=0,A17,37)</ns0:f>
        <ns0:v>37</ns0:v>
      </ns0:c>
      <ns0:c r="AJ17" s="4">
        <ns0:f>IF(X17&gt;=0,A17,37)</ns0:f>
        <ns0:v>13</ns0:v>
      </ns0:c>
      <ns0:c r="AK17" s="4">
        <ns0:f>IF(AC17&gt;=0,A17,37)</ns0:f>
        <ns0:v>37</ns0:v>
      </ns0:c>
      <ns0:c r="AL17" s="4">
        <ns0:f>IF(AA17&gt;=0,A17,37)</ns0:f>
        <ns0:v>13</ns0:v>
      </ns0:c>
      <ns0:c r="AM17" s="4">
        <ns0:f>IF(AD17&gt;=0,A17,37)</ns0:f>
        <ns0:v>37</ns0:v>
      </ns0:c>
    </ns0:row>
    <ns0:row r="18" ht="24" customHeight="1">
      <ns0:c r="A18" s="4" t="n">
        <ns0:v>14</ns0:v>
      </ns0:c>
      <ns0:c r="B18" s="12">
        <ns0:f>B17*(1-'前提と出典'!$B$31)+'前提と出典'!$B$30</ns0:f>
        <ns0:v>42</ns0:v>
      </ns0:c>
      <ns0:c r="C18" s="12">
        <ns0:f>B18*('前提と出典'!$C$36+'前提と出典'!$C$38)</ns0:f>
        <ns0:v>29.4</ns0:v>
      </ns0:c>
      <ns0:c r="D18" s="16">
        <ns0:f>B18*('前提と出典'!$C$37+'前提と出典'!$C$38)</ns0:f>
        <ns0:v>25.2</ns0:v>
      </ns0:c>
      <ns0:c r="E18" s="16">
        <ns0:f>B18*('前提と出典'!$C$36*'契約別単価'!C5+'前提と出典'!$C$37*'契約別単価'!C6+'前提と出典'!$C$38*'契約別単価'!C7)</ns0:f>
        <ns0:v>302.2122905027933</ns0:v>
      </ns0:c>
      <ns0:c r="F18" s="16">
        <ns0:f>B18*('前提と出典'!$C$36*'契約別単価'!E5+'前提と出典'!$C$37*'契約別単価'!E6+'前提と出典'!$C$38*'契約別単価'!E7)</ns0:f>
        <ns0:v>81267.67558275937</ns0:v>
      </ns0:c>
      <ns0:c r="G18" s="16">
        <ns0:f>B18*('前提と出典'!$C$36*'契約別単価'!F5+'前提と出典'!$C$37*'契約別単価'!F6+'前提と出典'!$C$38*'契約別単価'!F7)</ns0:f>
        <ns0:v>31894.610147568234</ns0:v>
      </ns0:c>
      <ns0:c r="H18" s="16">
        <ns0:f>B18*('前提と出典'!$C$36*'契約別単価'!G5+'前提と出典'!$C$37*'契約別単価'!G6+'前提と出典'!$C$38*'契約別単価'!G7)</ns0:f>
        <ns0:v>83601.11731843575</ns0:v>
      </ns0:c>
      <ns0:c r="I18" s="16">
        <ns0:f>B18*('前提と出典'!$C$36*'契約別単価'!H5+'前提と出典'!$C$37*'契約別単価'!H6+'前提と出典'!$C$38*'契約別単価'!H7)</ns0:f>
        <ns0:v>29013.780635018662</ns0:v>
      </ns0:c>
      <ns0:c r="J18" s="16">
        <ns0:f>B18*('前提と出典'!$C$36*'契約別単価'!I5+'前提と出典'!$C$37*'契約別単価'!I6+'前提と出典'!$C$38*'契約別単価'!I7)</ns0:f>
        <ns0:v>1772.212290502793</ns0:v>
      </ns0:c>
      <ns0:c r="K18" s="16">
        <ns0:f>B18*('前提と出典'!$C$36*'契約別単価'!J5+'前提と出典'!$C$37*'契約別単価'!J6+'前提と出典'!$C$38*'契約別単価'!J7)</ns0:f>
        <ns0:v>4128.160835832708</ns0:v>
      </ns0:c>
      <ns0:c r="L18" s="16">
        <ns0:f>B18*('前提と出典'!$C$36*'契約別単価'!K5+'前提と出典'!$C$37*'契約別単価'!K6+'前提と出典'!$C$38*'契約別単価'!K7)</ns0:f>
        <ns0:v>17694.748603351953</ns0:v>
      </ns0:c>
      <ns0:c r="M18" s="16">
        <ns0:f>B18*('前提と出典'!$C$36*'契約別単価'!L5+'前提と出典'!$C$37*'契約別単価'!L6+'前提と出典'!$C$38*'契約別単価'!L7)</ns0:f>
        <ns0:v>14407.126021167289</ns0:v>
      </ns0:c>
      <ns0:c r="N18" s="16">
        <ns0:f>IF(('前提と出典'!$C$36+'前提と出典'!$C$38)=0,0,IF(C18&lt;=10,'前提と出典'!B73+'前提と出典'!C73,IF(C18&lt;=100,'前提と出典'!B74+'前提と出典'!C74,IF(C18&lt;=500,'前提と出典'!B75+'前提と出典'!C75,'前提と出典'!B76+'前提と出典'!C76))))</ns0:f>
        <ns0:v>20000</ns0:v>
      </ns0:c>
      <ns0:c r="O18" s="16">
        <ns0:f>IF(('前提と出典'!$C$37+'前提と出典'!$C$38)=0,0,IF(D18&lt;=10,'前提と出典'!D73+'前提と出典'!E73,IF(D18&lt;=100,'前提と出典'!D74+'前提と出典'!E74,IF(D18&lt;=500,'前提と出典'!D75+'前提と出典'!E75,'前提と出典'!D76+'前提と出典'!E76))))</ns0:f>
        <ns0:v>34510.9346263078</ns0:v>
      </ns0:c>
      <ns0:c r="P18" s="16">
        <ns0:f>IF('前提と出典'!$C$36+'前提と出典'!$C$38=0,0,'前提と出典'!$B$4*IF('前提と出典'!$B$20=0,MAX('前提と出典'!$B$6,E18*'前提と出典'!$B$5),'前提と出典'!$B$6+E18*'前提と出典'!$B$5))</ns0:f>
        <ns0:v>41705.29608938547</ns0:v>
      </ns0:c>
      <ns0:c r="Q18" s="16">
        <ns0:f>(F18+H18)*(1-'前提と出典'!$B$7)-J18-L18-N18-P18</ns0:f>
        <ns0:v>77761.25937351187</ns0:v>
      </ns0:c>
      <ns0:c r="R18" s="16">
        <ns0:f>(G18+I18)*(1-'前提と出典'!$B$7)-K18-M18-O18</ns0:f>
        <ns0:v>5669.467231105973</ns0:v>
      </ns0:c>
      <ns0:c r="S18" s="16">
        <ns0:f>Q18-F18*'前提と出典'!$E$4</ns0:f>
        <ns0:v>53380.95669868409</ns0:v>
      </ns0:c>
      <ns0:c r="T18" s="16">
        <ns0:f>R18-G18*'前提と出典'!$E$4</ns0:f>
        <ns0:v>-3898.915813164498</ns0:v>
      </ns0:c>
      <ns0:c r="U18" s="7">
        <ns0:f>S18+T18</ns0:f>
        <ns0:v>49482.040885519586</ns0:v>
      </ns0:c>
      <ns0:c r="V18" s="16">
        <ns0:f>Q18-F18*'前提と出典'!$E$5</ns0:f>
        <ns0:v>45254.18914040812</ns0:v>
      </ns0:c>
      <ns0:c r="W18" s="16">
        <ns0:f>R18-G18*'前提と出典'!$E$5</ns0:f>
        <ns0:v>-7088.376827921322</ns0:v>
      </ns0:c>
      <ns0:c r="X18" s="7">
        <ns0:f>V18+W18</ns0:f>
        <ns0:v>38165.8123124868</ns0:v>
      </ns0:c>
      <ns0:c r="Y18" s="16">
        <ns0:f>Q18-F18*'前提と出典'!$E$6</ns0:f>
        <ns0:v>37127.42158213219</ns0:v>
      </ns0:c>
      <ns0:c r="Z18" s="16">
        <ns0:f>R18-G18*'前提と出典'!$E$6</ns0:f>
        <ns0:v>-10277.837842678146</ns0:v>
      </ns0:c>
      <ns0:c r="AA18" s="7">
        <ns0:f>Y18+Z18</ns0:f>
        <ns0:v>26849.583739454047</ns0:v>
      </ns0:c>
      <ns0:c r="AB18" s="7">
        <ns0:f>AB17+U18</ns0:f>
        <ns0:v>5204.823749167015</ns0:v>
      </ns0:c>
      <ns0:c r="AC18" s="7">
        <ns0:f>AC17+X18</ns0:f>
        <ns0:v>-79666.89054857878</ns0:v>
      </ns0:c>
      <ns0:c r="AD18" s="7">
        <ns0:f>AD17+AA18</ns0:f>
        <ns0:v>-164538.60484632445</ns0:v>
      </ns0:c>
      <ns0:c r="AE18" s="7">
        <ns0:f>MAX(0,-MIN($AB$5:AB18))</ns0:f>
        <ns0:v>185179.99918172893</ns0:v>
      </ns0:c>
      <ns0:c r="AF18" s="7">
        <ns0:f>MAX(0,-MIN($AC$5:AC18))</ns0:f>
        <ns0:v>209365.24984621964</ns0:v>
      </ns0:c>
      <ns0:c r="AG18" s="7">
        <ns0:f>MAX(0,-MIN($AD$5:AD18))</ns0:f>
        <ns0:v>240671.86756805048</ns0:v>
      </ns0:c>
      <ns0:c r="AH18" s="4">
        <ns0:f>IF(U18&gt;=0,A18,37)</ns0:f>
        <ns0:v>14</ns0:v>
      </ns0:c>
      <ns0:c r="AI18" s="4">
        <ns0:f>IF(AB18&gt;=0,A18,37)</ns0:f>
        <ns0:v>14</ns0:v>
      </ns0:c>
      <ns0:c r="AJ18" s="4">
        <ns0:f>IF(X18&gt;=0,A18,37)</ns0:f>
        <ns0:v>14</ns0:v>
      </ns0:c>
      <ns0:c r="AK18" s="4">
        <ns0:f>IF(AC18&gt;=0,A18,37)</ns0:f>
        <ns0:v>37</ns0:v>
      </ns0:c>
      <ns0:c r="AL18" s="4">
        <ns0:f>IF(AA18&gt;=0,A18,37)</ns0:f>
        <ns0:v>14</ns0:v>
      </ns0:c>
      <ns0:c r="AM18" s="4">
        <ns0:f>IF(AD18&gt;=0,A18,37)</ns0:f>
        <ns0:v>37</ns0:v>
      </ns0:c>
    </ns0:row>
    <ns0:row r="19" ht="24" customHeight="1">
      <ns0:c r="A19" s="4" t="n">
        <ns0:v>15</ns0:v>
      </ns0:c>
      <ns0:c r="B19" s="12">
        <ns0:f>B18*(1-'前提と出典'!$B$31)+'前提と出典'!$B$30</ns0:f>
        <ns0:v>45</ns0:v>
      </ns0:c>
      <ns0:c r="C19" s="12">
        <ns0:f>B19*('前提と出典'!$C$36+'前提と出典'!$C$38)</ns0:f>
        <ns0:v>31.499999999999996</ns0:v>
      </ns0:c>
      <ns0:c r="D19" s="16">
        <ns0:f>B19*('前提と出典'!$C$37+'前提と出典'!$C$38)</ns0:f>
        <ns0:v>27</ns0:v>
      </ns0:c>
      <ns0:c r="E19" s="16">
        <ns0:f>B19*('前提と出典'!$C$36*'契約別単価'!C5+'前提と出典'!$C$37*'契約別単価'!C6+'前提と出典'!$C$38*'契約別単価'!C7)</ns0:f>
        <ns0:v>323.79888268156424</ns0:v>
      </ns0:c>
      <ns0:c r="F19" s="16">
        <ns0:f>B19*('前提と出典'!$C$36*'契約別単価'!E5+'前提と出典'!$C$37*'契約別単価'!E6+'前提と出典'!$C$38*'契約別単価'!E7)</ns0:f>
        <ns0:v>87072.50955295647</ns0:v>
      </ns0:c>
      <ns0:c r="G19" s="16">
        <ns0:f>B19*('前提と出典'!$C$36*'契約別単価'!F5+'前提と出典'!$C$37*'契約別単価'!F6+'前提と出典'!$C$38*'契約別単価'!F7)</ns0:f>
        <ns0:v>34172.79658668025</ns0:v>
      </ns0:c>
      <ns0:c r="H19" s="16">
        <ns0:f>B19*('前提と出典'!$C$36*'契約別単価'!G5+'前提と出典'!$C$37*'契約別単価'!G6+'前提と出典'!$C$38*'契約別単価'!G7)</ns0:f>
        <ns0:v>89572.62569832402</ns0:v>
      </ns0:c>
      <ns0:c r="I19" s="16">
        <ns0:f>B19*('前提と出典'!$C$36*'契約別単価'!H5+'前提と出典'!$C$37*'契約別単価'!H6+'前提と出典'!$C$38*'契約別単価'!H7)</ns0:f>
        <ns0:v>31086.193537519997</ns0:v>
      </ns0:c>
      <ns0:c r="J19" s="16">
        <ns0:f>B19*('前提と出典'!$C$36*'契約別単価'!I5+'前提と出典'!$C$37*'契約別単価'!I6+'前提と出典'!$C$38*'契約別単価'!I7)</ns0:f>
        <ns0:v>1898.798882681564</ns0:v>
      </ns0:c>
      <ns0:c r="K19" s="16">
        <ns0:f>B19*('前提と出典'!$C$36*'契約別単価'!J5+'前提と出典'!$C$37*'契約別単価'!J6+'前提と出典'!$C$38*'契約別単価'!J7)</ns0:f>
        <ns0:v>4423.029466963616</ns0:v>
      </ns0:c>
      <ns0:c r="L19" s="16">
        <ns0:f>B19*('前提と出典'!$C$36*'契約別単価'!K5+'前提と出典'!$C$37*'契約別単価'!K6+'前提と出典'!$C$38*'契約別単価'!K7)</ns0:f>
        <ns0:v>18958.659217877095</ns0:v>
      </ns0:c>
      <ns0:c r="M19" s="16">
        <ns0:f>B19*('前提と出典'!$C$36*'契約別単価'!L5+'前提と出典'!$C$37*'契約別単価'!L6+'前提と出典'!$C$38*'契約別単価'!L7)</ns0:f>
        <ns0:v>15436.206451250666</ns0:v>
      </ns0:c>
      <ns0:c r="N19" s="16">
        <ns0:f>IF(('前提と出典'!$C$36+'前提と出典'!$C$38)=0,0,IF(C19&lt;=10,'前提と出典'!B73+'前提と出典'!C73,IF(C19&lt;=100,'前提と出典'!B74+'前提と出典'!C74,IF(C19&lt;=500,'前提と出典'!B75+'前提と出典'!C75,'前提と出典'!B76+'前提と出典'!C76))))</ns0:f>
        <ns0:v>20000</ns0:v>
      </ns0:c>
      <ns0:c r="O19" s="16">
        <ns0:f>IF(('前提と出典'!$C$37+'前提と出典'!$C$38)=0,0,IF(D19&lt;=10,'前提と出典'!D73+'前提と出典'!E73,IF(D19&lt;=100,'前提と出典'!D74+'前提と出典'!E74,IF(D19&lt;=500,'前提と出典'!D75+'前提と出典'!E75,'前提と出典'!D76+'前提と出典'!E76))))</ns0:f>
        <ns0:v>34510.9346263078</ns0:v>
      </ns0:c>
      <ns0:c r="P19" s="16">
        <ns0:f>IF('前提と出典'!$C$36+'前提と出典'!$C$38=0,0,'前提と出典'!$B$4*IF('前提と出典'!$B$20=0,MAX('前提と出典'!$B$6,E19*'前提と出典'!$B$5),'前提と出典'!$B$6+E19*'前提と出典'!$B$5))</ns0:f>
        <ns0:v>44684.24581005587</ns0:v>
      </ns0:c>
      <ns0:c r="Q19" s="16">
        <ns0:f>(F19+H19)*(1-'前提と出典'!$B$7)-J19-L19-N19-P19</ns0:f>
        <ns0:v>84744.20647161988</ns0:v>
      </ns0:c>
      <ns0:c r="R19" s="16">
        <ns0:f>(G19+I19)*(1-'前提と出典'!$B$7)-K19-M19-O19</ns0:f>
        <ns0:v>8539.49593520696</ns0:v>
      </ns0:c>
      <ns0:c r="S19" s="16">
        <ns0:f>Q19-F19*'前提と出典'!$E$4</ns0:f>
        <ns0:v>58622.453605732924</ns0:v>
      </ns0:c>
      <ns0:c r="T19" s="16">
        <ns0:f>R19-G19*'前提と出典'!$E$4</ns0:f>
        <ns0:v>-1712.34304079711</ns0:v>
      </ns0:c>
      <ns0:c r="U19" s="7">
        <ns0:f>S19+T19</ns0:f>
        <ns0:v>56910.110564935814</ns0:v>
      </ns0:c>
      <ns0:c r="V19" s="16">
        <ns0:f>Q19-F19*'前提と出典'!$E$5</ns0:f>
        <ns0:v>49915.20265043729</ns0:v>
      </ns0:c>
      <ns0:c r="W19" s="16">
        <ns0:f>R19-G19*'前提と出典'!$E$5</ns0:f>
        <ns0:v>-5129.622699465141</ns0:v>
      </ns0:c>
      <ns0:c r="X19" s="7">
        <ns0:f>V19+W19</ns0:f>
        <ns0:v>44785.579950972155</ns0:v>
      </ns0:c>
      <ns0:c r="Y19" s="16">
        <ns0:f>Q19-F19*'前提と出典'!$E$6</ns0:f>
        <ns0:v>41207.951695141644</ns0:v>
      </ns0:c>
      <ns0:c r="Z19" s="16">
        <ns0:f>R19-G19*'前提と出典'!$E$6</ns0:f>
        <ns0:v>-8546.90235813316</ns0:v>
      </ns0:c>
      <ns0:c r="AA19" s="7">
        <ns0:f>Y19+Z19</ns0:f>
        <ns0:v>32661.049337008484</ns0:v>
      </ns0:c>
      <ns0:c r="AB19" s="7">
        <ns0:f>AB18+U19</ns0:f>
        <ns0:v>62114.93431410283</ns0:v>
      </ns0:c>
      <ns0:c r="AC19" s="7">
        <ns0:f>AC18+X19</ns0:f>
        <ns0:v>-34881.31059760663</ns0:v>
      </ns0:c>
      <ns0:c r="AD19" s="7">
        <ns0:f>AD18+AA19</ns0:f>
        <ns0:v>-131877.55550931598</ns0:v>
      </ns0:c>
      <ns0:c r="AE19" s="7">
        <ns0:f>MAX(0,-MIN($AB$5:AB19))</ns0:f>
        <ns0:v>185179.99918172893</ns0:v>
      </ns0:c>
      <ns0:c r="AF19" s="7">
        <ns0:f>MAX(0,-MIN($AC$5:AC19))</ns0:f>
        <ns0:v>209365.24984621964</ns0:v>
      </ns0:c>
      <ns0:c r="AG19" s="7">
        <ns0:f>MAX(0,-MIN($AD$5:AD19))</ns0:f>
        <ns0:v>240671.86756805048</ns0:v>
      </ns0:c>
      <ns0:c r="AH19" s="4">
        <ns0:f>IF(U19&gt;=0,A19,37)</ns0:f>
        <ns0:v>15</ns0:v>
      </ns0:c>
      <ns0:c r="AI19" s="4">
        <ns0:f>IF(AB19&gt;=0,A19,37)</ns0:f>
        <ns0:v>15</ns0:v>
      </ns0:c>
      <ns0:c r="AJ19" s="4">
        <ns0:f>IF(X19&gt;=0,A19,37)</ns0:f>
        <ns0:v>15</ns0:v>
      </ns0:c>
      <ns0:c r="AK19" s="4">
        <ns0:f>IF(AC19&gt;=0,A19,37)</ns0:f>
        <ns0:v>37</ns0:v>
      </ns0:c>
      <ns0:c r="AL19" s="4">
        <ns0:f>IF(AA19&gt;=0,A19,37)</ns0:f>
        <ns0:v>15</ns0:v>
      </ns0:c>
      <ns0:c r="AM19" s="4">
        <ns0:f>IF(AD19&gt;=0,A19,37)</ns0:f>
        <ns0:v>37</ns0:v>
      </ns0:c>
    </ns0:row>
    <ns0:row r="20" ht="24" customHeight="1">
      <ns0:c r="A20" s="4" t="n">
        <ns0:v>16</ns0:v>
      </ns0:c>
      <ns0:c r="B20" s="12">
        <ns0:f>B19*(1-'前提と出典'!$B$31)+'前提と出典'!$B$30</ns0:f>
        <ns0:v>48</ns0:v>
      </ns0:c>
      <ns0:c r="C20" s="12">
        <ns0:f>B20*('前提と出典'!$C$36+'前提と出典'!$C$38)</ns0:f>
        <ns0:v>33.599999999999994</ns0:v>
      </ns0:c>
      <ns0:c r="D20" s="16">
        <ns0:f>B20*('前提と出典'!$C$37+'前提と出典'!$C$38)</ns0:f>
        <ns0:v>28.799999999999997</ns0:v>
      </ns0:c>
      <ns0:c r="E20" s="16">
        <ns0:f>B20*('前提と出典'!$C$36*'契約別単価'!C5+'前提と出典'!$C$37*'契約別単価'!C6+'前提と出典'!$C$38*'契約別単価'!C7)</ns0:f>
        <ns0:v>345.3854748603352</ns0:v>
      </ns0:c>
      <ns0:c r="F20" s="16">
        <ns0:f>B20*('前提と出典'!$C$36*'契約別単価'!E5+'前提と出典'!$C$37*'契約別単価'!E6+'前提と出典'!$C$38*'契約別単価'!E7)</ns0:f>
        <ns0:v>92877.34352315357</ns0:v>
      </ns0:c>
      <ns0:c r="G20" s="16">
        <ns0:f>B20*('前提と出典'!$C$36*'契約別単価'!F5+'前提と出典'!$C$37*'契約別単価'!F6+'前提と出典'!$C$38*'契約別単価'!F7)</ns0:f>
        <ns0:v>36450.983025792266</ns0:v>
      </ns0:c>
      <ns0:c r="H20" s="16">
        <ns0:f>B20*('前提と出典'!$C$36*'契約別単価'!G5+'前提と出典'!$C$37*'契約別単価'!G6+'前提と出典'!$C$38*'契約別単価'!G7)</ns0:f>
        <ns0:v>95544.13407821229</ns0:v>
      </ns0:c>
      <ns0:c r="I20" s="16">
        <ns0:f>B20*('前提と出典'!$C$36*'契約別単価'!H5+'前提と出典'!$C$37*'契約別単価'!H6+'前提と出典'!$C$38*'契約別単価'!H7)</ns0:f>
        <ns0:v>33158.60644002133</ns0:v>
      </ns0:c>
      <ns0:c r="J20" s="16">
        <ns0:f>B20*('前提と出典'!$C$36*'契約別単価'!I5+'前提と出典'!$C$37*'契約別単価'!I6+'前提と出典'!$C$38*'契約別単価'!I7)</ns0:f>
        <ns0:v>2025.3854748603349</ns0:v>
      </ns0:c>
      <ns0:c r="K20" s="16">
        <ns0:f>B20*('前提と出典'!$C$36*'契約別単価'!J5+'前提と出典'!$C$37*'契約別単価'!J6+'前提と出典'!$C$38*'契約別単価'!J7)</ns0:f>
        <ns0:v>4717.898098094523</ns0:v>
      </ns0:c>
      <ns0:c r="L20" s="16">
        <ns0:f>B20*('前提と出典'!$C$36*'契約別単価'!K5+'前提と出典'!$C$37*'契約別単価'!K6+'前提と出典'!$C$38*'契約別単価'!K7)</ns0:f>
        <ns0:v>20222.569832402234</ns0:v>
      </ns0:c>
      <ns0:c r="M20" s="16">
        <ns0:f>B20*('前提と出典'!$C$36*'契約別単価'!L5+'前提と出典'!$C$37*'契約別単価'!L6+'前提と出典'!$C$38*'契約別単価'!L7)</ns0:f>
        <ns0:v>16465.286881334043</ns0:v>
      </ns0:c>
      <ns0:c r="N20" s="16">
        <ns0:f>IF(('前提と出典'!$C$36+'前提と出典'!$C$38)=0,0,IF(C20&lt;=10,'前提と出典'!B73+'前提と出典'!C73,IF(C20&lt;=100,'前提と出典'!B74+'前提と出典'!C74,IF(C20&lt;=500,'前提と出典'!B75+'前提と出典'!C75,'前提と出典'!B76+'前提と出典'!C76))))</ns0:f>
        <ns0:v>20000</ns0:v>
      </ns0:c>
      <ns0:c r="O20" s="16">
        <ns0:f>IF(('前提と出典'!$C$37+'前提と出典'!$C$38)=0,0,IF(D20&lt;=10,'前提と出典'!D73+'前提と出典'!E73,IF(D20&lt;=100,'前提と出典'!D74+'前提と出典'!E74,IF(D20&lt;=500,'前提と出典'!D75+'前提と出典'!E75,'前提と出典'!D76+'前提と出典'!E76))))</ns0:f>
        <ns0:v>34510.9346263078</ns0:v>
      </ns0:c>
      <ns0:c r="P20" s="16">
        <ns0:f>IF('前提と出典'!$C$36+'前提と出典'!$C$38=0,0,'前提と出典'!$B$4*IF('前提と出典'!$B$20=0,MAX('前提と出典'!$B$6,E20*'前提と出典'!$B$5),'前提と出典'!$B$6+E20*'前提と出典'!$B$5))</ns0:f>
        <ns0:v>47663.19553072626</ns0:v>
      </ns0:c>
      <ns0:c r="Q20" s="16">
        <ns0:f>(F20+H20)*(1-'前提と出典'!$B$7)-J20-L20-N20-P20</ns0:f>
        <ns0:v>91727.15356972785</ns0:v>
      </ns0:c>
      <ns0:c r="R20" s="16">
        <ns0:f>(G20+I20)*(1-'前提と出典'!$B$7)-K20-M20-O20</ns0:f>
        <ns0:v>11409.52463930794</ns0:v>
      </ns0:c>
      <ns0:c r="S20" s="16">
        <ns0:f>Q20-F20*'前提と出典'!$E$4</ns0:f>
        <ns0:v>63863.95051278179</ns0:v>
      </ns0:c>
      <ns0:c r="T20" s="16">
        <ns0:f>R20-G20*'前提と出典'!$E$4</ns0:f>
        <ns0:v>474.2297315702526</ns0:v>
      </ns0:c>
      <ns0:c r="U20" s="7">
        <ns0:f>S20+T20</ns0:f>
        <ns0:v>64338.18024435204</ns0:v>
      </ns0:c>
      <ns0:c r="V20" s="16">
        <ns0:f>Q20-F20*'前提と出典'!$E$5</ns0:f>
        <ns0:v>54576.21616046641</ns0:v>
      </ns0:c>
      <ns0:c r="W20" s="16">
        <ns0:f>R20-G20*'前提と出典'!$E$5</ns0:f>
        <ns0:v>-3170.8685710089667</ns0:v>
      </ns0:c>
      <ns0:c r="X20" s="7">
        <ns0:f>V20+W20</ns0:f>
        <ns0:v>51405.34758945744</ns0:v>
      </ns0:c>
      <ns0:c r="Y20" s="16">
        <ns0:f>Q20-F20*'前提と出典'!$E$6</ns0:f>
        <ns0:v>45288.48180815104</ns0:v>
      </ns0:c>
      <ns0:c r="Z20" s="16">
        <ns0:f>R20-G20*'前提と出典'!$E$6</ns0:f>
        <ns0:v>-6815.96687358819</ns0:v>
      </ns0:c>
      <ns0:c r="AA20" s="7">
        <ns0:f>Y20+Z20</ns0:f>
        <ns0:v>38472.514934562845</ns0:v>
      </ns0:c>
      <ns0:c r="AB20" s="7">
        <ns0:f>AB19+U20</ns0:f>
        <ns0:v>126453.11455845486</ns0:v>
      </ns0:c>
      <ns0:c r="AC20" s="7">
        <ns0:f>AC19+X20</ns0:f>
        <ns0:v>16524.036991850808</ns0:v>
      </ns0:c>
      <ns0:c r="AD20" s="7">
        <ns0:f>AD19+AA20</ns0:f>
        <ns0:v>-93405.04057475313</ns0:v>
      </ns0:c>
      <ns0:c r="AE20" s="7">
        <ns0:f>MAX(0,-MIN($AB$5:AB20))</ns0:f>
        <ns0:v>185179.99918172893</ns0:v>
      </ns0:c>
      <ns0:c r="AF20" s="7">
        <ns0:f>MAX(0,-MIN($AC$5:AC20))</ns0:f>
        <ns0:v>209365.24984621964</ns0:v>
      </ns0:c>
      <ns0:c r="AG20" s="7">
        <ns0:f>MAX(0,-MIN($AD$5:AD20))</ns0:f>
        <ns0:v>240671.86756805048</ns0:v>
      </ns0:c>
      <ns0:c r="AH20" s="4">
        <ns0:f>IF(U20&gt;=0,A20,37)</ns0:f>
        <ns0:v>16</ns0:v>
      </ns0:c>
      <ns0:c r="AI20" s="4">
        <ns0:f>IF(AB20&gt;=0,A20,37)</ns0:f>
        <ns0:v>16</ns0:v>
      </ns0:c>
      <ns0:c r="AJ20" s="4">
        <ns0:f>IF(X20&gt;=0,A20,37)</ns0:f>
        <ns0:v>16</ns0:v>
      </ns0:c>
      <ns0:c r="AK20" s="4">
        <ns0:f>IF(AC20&gt;=0,A20,37)</ns0:f>
        <ns0:v>16</ns0:v>
      </ns0:c>
      <ns0:c r="AL20" s="4">
        <ns0:f>IF(AA20&gt;=0,A20,37)</ns0:f>
        <ns0:v>16</ns0:v>
      </ns0:c>
      <ns0:c r="AM20" s="4">
        <ns0:f>IF(AD20&gt;=0,A20,37)</ns0:f>
        <ns0:v>37</ns0:v>
      </ns0:c>
    </ns0:row>
    <ns0:row r="21" ht="24" customHeight="1">
      <ns0:c r="A21" s="4" t="n">
        <ns0:v>17</ns0:v>
      </ns0:c>
      <ns0:c r="B21" s="12">
        <ns0:f>B20*(1-'前提と出典'!$B$31)+'前提と出典'!$B$30</ns0:f>
        <ns0:v>51</ns0:v>
      </ns0:c>
      <ns0:c r="C21" s="12">
        <ns0:f>B21*('前提と出典'!$C$36+'前提と出典'!$C$38)</ns0:f>
        <ns0:v>35.699999999999996</ns0:v>
      </ns0:c>
      <ns0:c r="D21" s="16">
        <ns0:f>B21*('前提と出典'!$C$37+'前提と出典'!$C$38)</ns0:f>
        <ns0:v>30.599999999999998</ns0:v>
      </ns0:c>
      <ns0:c r="E21" s="16">
        <ns0:f>B21*('前提と出典'!$C$36*'契約別単価'!C5+'前提と出典'!$C$37*'契約別単価'!C6+'前提と出典'!$C$38*'契約別単価'!C7)</ns0:f>
        <ns0:v>366.97206703910615</ns0:v>
      </ns0:c>
      <ns0:c r="F21" s="16">
        <ns0:f>B21*('前提と出典'!$C$36*'契約別単価'!E5+'前提と出典'!$C$37*'契約別単価'!E6+'前提と出典'!$C$38*'契約別単価'!E7)</ns0:f>
        <ns0:v>98682.17749335067</ns0:v>
      </ns0:c>
      <ns0:c r="G21" s="16">
        <ns0:f>B21*('前提と出典'!$C$36*'契約別単価'!F5+'前提と出典'!$C$37*'契約別単価'!F6+'前提と出典'!$C$38*'契約別単価'!F7)</ns0:f>
        <ns0:v>38729.169464904284</ns0:v>
      </ns0:c>
      <ns0:c r="H21" s="16">
        <ns0:f>B21*('前提と出典'!$C$36*'契約別単価'!G5+'前提と出典'!$C$37*'契約別単価'!G6+'前提と出典'!$C$38*'契約別単価'!G7)</ns0:f>
        <ns0:v>101515.64245810056</ns0:v>
      </ns0:c>
      <ns0:c r="I21" s="16">
        <ns0:f>B21*('前提と出典'!$C$36*'契約別単価'!H5+'前提と出典'!$C$37*'契約別単価'!H6+'前提と出典'!$C$38*'契約別単価'!H7)</ns0:f>
        <ns0:v>35231.01934252266</ns0:v>
      </ns0:c>
      <ns0:c r="J21" s="16">
        <ns0:f>B21*('前提と出典'!$C$36*'契約別単価'!I5+'前提と出典'!$C$37*'契約別単価'!I6+'前提と出典'!$C$38*'契約別単価'!I7)</ns0:f>
        <ns0:v>2151.9720670391057</ns0:v>
      </ns0:c>
      <ns0:c r="K21" s="16">
        <ns0:f>B21*('前提と出典'!$C$36*'契約別単価'!J5+'前提と出典'!$C$37*'契約別単価'!J6+'前提と出典'!$C$38*'契約別単価'!J7)</ns0:f>
        <ns0:v>5012.766729225431</ns0:v>
      </ns0:c>
      <ns0:c r="L21" s="16">
        <ns0:f>B21*('前提と出典'!$C$36*'契約別単価'!K5+'前提と出典'!$C$37*'契約別単価'!K6+'前提と出典'!$C$38*'契約別単価'!K7)</ns0:f>
        <ns0:v>21486.480446927373</ns0:v>
      </ns0:c>
      <ns0:c r="M21" s="16">
        <ns0:f>B21*('前提と出典'!$C$36*'契約別単価'!L5+'前提と出典'!$C$37*'契約別単価'!L6+'前提と出典'!$C$38*'契約別単価'!L7)</ns0:f>
        <ns0:v>17494.36731141742</ns0:v>
      </ns0:c>
      <ns0:c r="N21" s="16">
        <ns0:f>IF(('前提と出典'!$C$36+'前提と出典'!$C$38)=0,0,IF(C21&lt;=10,'前提と出典'!B73+'前提と出典'!C73,IF(C21&lt;=100,'前提と出典'!B74+'前提と出典'!C74,IF(C21&lt;=500,'前提と出典'!B75+'前提と出典'!C75,'前提と出典'!B76+'前提と出典'!C76))))</ns0:f>
        <ns0:v>20000</ns0:v>
      </ns0:c>
      <ns0:c r="O21" s="16">
        <ns0:f>IF(('前提と出典'!$C$37+'前提と出典'!$C$38)=0,0,IF(D21&lt;=10,'前提と出典'!D73+'前提と出典'!E73,IF(D21&lt;=100,'前提と出典'!D74+'前提と出典'!E74,IF(D21&lt;=500,'前提と出典'!D75+'前提と出典'!E75,'前提と出典'!D76+'前提と出典'!E76))))</ns0:f>
        <ns0:v>34510.9346263078</ns0:v>
      </ns0:c>
      <ns0:c r="P21" s="16">
        <ns0:f>IF('前提と出典'!$C$36+'前提と出典'!$C$38=0,0,'前提と出典'!$B$4*IF('前提と出典'!$B$20=0,MAX('前提と出典'!$B$6,E21*'前提と出典'!$B$5),'前提と出典'!$B$6+E21*'前提と出典'!$B$5))</ns0:f>
        <ns0:v>50642.14525139665</ns0:v>
      </ns0:c>
      <ns0:c r="Q21" s="16">
        <ns0:f>(F21+H21)*(1-'前提と出典'!$B$7)-J21-L21-N21-P21</ns0:f>
        <ns0:v>98710.10066783584</ns0:v>
      </ns0:c>
      <ns0:c r="R21" s="16">
        <ns0:f>(G21+I21)*(1-'前提と出典'!$B$7)-K21-M21-O21</ns0:f>
        <ns0:v>14279.553343408932</ns0:v>
      </ns0:c>
      <ns0:c r="S21" s="16">
        <ns0:f>Q21-F21*'前提と出典'!$E$4</ns0:f>
        <ns0:v>69105.44741983064</ns0:v>
      </ns0:c>
      <ns0:c r="T21" s="16">
        <ns0:f>R21-G21*'前提と出典'!$E$4</ns0:f>
        <ns0:v>2660.8025039376444</ns0:v>
      </ns0:c>
      <ns0:c r="U21" s="7">
        <ns0:f>S21+T21</ns0:f>
        <ns0:v>71766.24992376828</ns0:v>
      </ns0:c>
      <ns0:c r="V21" s="16">
        <ns0:f>Q21-F21*'前提と出典'!$E$5</ns0:f>
        <ns0:v>59237.229670495566</ns0:v>
      </ns0:c>
      <ns0:c r="W21" s="16">
        <ns0:f>R21-G21*'前提と出典'!$E$5</ns0:f>
        <ns0:v>-1212.1144425527818</ns0:v>
      </ns0:c>
      <ns0:c r="X21" s="7">
        <ns0:f>V21+W21</ns0:f>
        <ns0:v>58025.115227942784</ns0:v>
      </ns0:c>
      <ns0:c r="Y21" s="16">
        <ns0:f>Q21-F21*'前提と出典'!$E$6</ns0:f>
        <ns0:v>49369.01192116049</ns0:v>
      </ns0:c>
      <ns0:c r="Z21" s="16">
        <ns0:f>R21-G21*'前提と出典'!$E$6</ns0:f>
        <ns0:v>-5085.031389043212</ns0:v>
      </ns0:c>
      <ns0:c r="AA21" s="7">
        <ns0:f>Y21+Z21</ns0:f>
        <ns0:v>44283.980532117275</ns0:v>
      </ns0:c>
      <ns0:c r="AB21" s="7">
        <ns0:f>AB20+U21</ns0:f>
        <ns0:v>198219.36448222314</ns0:v>
      </ns0:c>
      <ns0:c r="AC21" s="7">
        <ns0:f>AC20+X21</ns0:f>
        <ns0:v>74549.15221979358</ns0:v>
      </ns0:c>
      <ns0:c r="AD21" s="7">
        <ns0:f>AD20+AA21</ns0:f>
        <ns0:v>-49121.06004263586</ns0:v>
      </ns0:c>
      <ns0:c r="AE21" s="7">
        <ns0:f>MAX(0,-MIN($AB$5:AB21))</ns0:f>
        <ns0:v>185179.99918172893</ns0:v>
      </ns0:c>
      <ns0:c r="AF21" s="7">
        <ns0:f>MAX(0,-MIN($AC$5:AC21))</ns0:f>
        <ns0:v>209365.24984621964</ns0:v>
      </ns0:c>
      <ns0:c r="AG21" s="7">
        <ns0:f>MAX(0,-MIN($AD$5:AD21))</ns0:f>
        <ns0:v>240671.86756805048</ns0:v>
      </ns0:c>
      <ns0:c r="AH21" s="4">
        <ns0:f>IF(U21&gt;=0,A21,37)</ns0:f>
        <ns0:v>17</ns0:v>
      </ns0:c>
      <ns0:c r="AI21" s="4">
        <ns0:f>IF(AB21&gt;=0,A21,37)</ns0:f>
        <ns0:v>17</ns0:v>
      </ns0:c>
      <ns0:c r="AJ21" s="4">
        <ns0:f>IF(X21&gt;=0,A21,37)</ns0:f>
        <ns0:v>17</ns0:v>
      </ns0:c>
      <ns0:c r="AK21" s="4">
        <ns0:f>IF(AC21&gt;=0,A21,37)</ns0:f>
        <ns0:v>17</ns0:v>
      </ns0:c>
      <ns0:c r="AL21" s="4">
        <ns0:f>IF(AA21&gt;=0,A21,37)</ns0:f>
        <ns0:v>17</ns0:v>
      </ns0:c>
      <ns0:c r="AM21" s="4">
        <ns0:f>IF(AD21&gt;=0,A21,37)</ns0:f>
        <ns0:v>37</ns0:v>
      </ns0:c>
    </ns0:row>
    <ns0:row r="22" ht="24" customHeight="1">
      <ns0:c r="A22" s="4" t="n">
        <ns0:v>18</ns0:v>
      </ns0:c>
      <ns0:c r="B22" s="12">
        <ns0:f>B21*(1-'前提と出典'!$B$31)+'前提と出典'!$B$30</ns0:f>
        <ns0:v>54</ns0:v>
      </ns0:c>
      <ns0:c r="C22" s="12">
        <ns0:f>B22*('前提と出典'!$C$36+'前提と出典'!$C$38)</ns0:f>
        <ns0:v>37.8</ns0:v>
      </ns0:c>
      <ns0:c r="D22" s="16">
        <ns0:f>B22*('前提と出典'!$C$37+'前提と出典'!$C$38)</ns0:f>
        <ns0:v>32.4</ns0:v>
      </ns0:c>
      <ns0:c r="E22" s="16">
        <ns0:f>B22*('前提と出典'!$C$36*'契約別単価'!C5+'前提と出典'!$C$37*'契約別単価'!C6+'前提と出典'!$C$38*'契約別単価'!C7)</ns0:f>
        <ns0:v>388.5586592178771</ns0:v>
      </ns0:c>
      <ns0:c r="F22" s="16">
        <ns0:f>B22*('前提と出典'!$C$36*'契約別単価'!E5+'前提と出典'!$C$37*'契約別単価'!E6+'前提と出典'!$C$38*'契約別単価'!E7)</ns0:f>
        <ns0:v>104487.01146354777</ns0:v>
      </ns0:c>
      <ns0:c r="G22" s="16">
        <ns0:f>B22*('前提と出典'!$C$36*'契約別単価'!F5+'前提と出典'!$C$37*'契約別単価'!F6+'前提と出典'!$C$38*'契約別単価'!F7)</ns0:f>
        <ns0:v>41007.3559040163</ns0:v>
      </ns0:c>
      <ns0:c r="H22" s="16">
        <ns0:f>B22*('前提と出典'!$C$36*'契約別単価'!G5+'前提と出典'!$C$37*'契約別単価'!G6+'前提と出典'!$C$38*'契約別単価'!G7)</ns0:f>
        <ns0:v>107487.15083798883</ns0:v>
      </ns0:c>
      <ns0:c r="I22" s="16">
        <ns0:f>B22*('前提と出典'!$C$36*'契約別単価'!H5+'前提と出典'!$C$37*'契約別単価'!H6+'前提と出典'!$C$38*'契約別単価'!H7)</ns0:f>
        <ns0:v>37303.43224502399</ns0:v>
      </ns0:c>
      <ns0:c r="J22" s="16">
        <ns0:f>B22*('前提と出典'!$C$36*'契約別単価'!I5+'前提と出典'!$C$37*'契約別単価'!I6+'前提と出典'!$C$38*'契約別単価'!I7)</ns0:f>
        <ns0:v>2278.5586592178765</ns0:v>
      </ns0:c>
      <ns0:c r="K22" s="16">
        <ns0:f>B22*('前提と出典'!$C$36*'契約別単価'!J5+'前提と出典'!$C$37*'契約別単価'!J6+'前提と出典'!$C$38*'契約別単価'!J7)</ns0:f>
        <ns0:v>5307.635360356338</ns0:v>
      </ns0:c>
      <ns0:c r="L22" s="16">
        <ns0:f>B22*('前提と出典'!$C$36*'契約別単価'!K5+'前提と出典'!$C$37*'契約別単価'!K6+'前提と出典'!$C$38*'契約別単価'!K7)</ns0:f>
        <ns0:v>22750.391061452512</ns0:v>
      </ns0:c>
      <ns0:c r="M22" s="16">
        <ns0:f>B22*('前提と出典'!$C$36*'契約別単価'!L5+'前提と出典'!$C$37*'契約別単価'!L6+'前提と出典'!$C$38*'契約別単価'!L7)</ns0:f>
        <ns0:v>18523.4477415008</ns0:v>
      </ns0:c>
      <ns0:c r="N22" s="16">
        <ns0:f>IF(('前提と出典'!$C$36+'前提と出典'!$C$38)=0,0,IF(C22&lt;=10,'前提と出典'!B73+'前提と出典'!C73,IF(C22&lt;=100,'前提と出典'!B74+'前提と出典'!C74,IF(C22&lt;=500,'前提と出典'!B75+'前提と出典'!C75,'前提と出典'!B76+'前提と出典'!C76))))</ns0:f>
        <ns0:v>20000</ns0:v>
      </ns0:c>
      <ns0:c r="O22" s="16">
        <ns0:f>IF(('前提と出典'!$C$37+'前提と出典'!$C$38)=0,0,IF(D22&lt;=10,'前提と出典'!D73+'前提と出典'!E73,IF(D22&lt;=100,'前提と出典'!D74+'前提と出典'!E74,IF(D22&lt;=500,'前提と出典'!D75+'前提と出典'!E75,'前提と出典'!D76+'前提と出典'!E76))))</ns0:f>
        <ns0:v>34510.9346263078</ns0:v>
      </ns0:c>
      <ns0:c r="P22" s="16">
        <ns0:f>IF('前提と出典'!$C$36+'前提と出典'!$C$38=0,0,'前提と出典'!$B$4*IF('前提と出典'!$B$20=0,MAX('前提と出典'!$B$6,E22*'前提と出典'!$B$5),'前提と出典'!$B$6+E22*'前提と出典'!$B$5))</ns0:f>
        <ns0:v>53621.09497206705</ns0:v>
      </ns0:c>
      <ns0:c r="Q22" s="16">
        <ns0:f>(F22+H22)*(1-'前提と出典'!$B$7)-J22-L22-N22-P22</ns0:f>
        <ns0:v>105693.04776594383</ns0:v>
      </ns0:c>
      <ns0:c r="R22" s="16">
        <ns0:f>(G22+I22)*(1-'前提と出典'!$B$7)-K22-M22-O22</ns0:f>
        <ns0:v>17149.582047509906</ns0:v>
      </ns0:c>
      <ns0:c r="S22" s="16">
        <ns0:f>Q22-F22*'前提と出典'!$E$4</ns0:f>
        <ns0:v>74346.94432687951</ns0:v>
      </ns0:c>
      <ns0:c r="T22" s="16">
        <ns0:f>R22-G22*'前提と出典'!$E$4</ns0:f>
        <ns0:v>4847.375276305014</ns0:v>
      </ns0:c>
      <ns0:c r="U22" s="7">
        <ns0:f>S22+T22</ns0:f>
        <ns0:v>79194.31960318453</ns0:v>
      </ns0:c>
      <ns0:c r="V22" s="16">
        <ns0:f>Q22-F22*'前提と出典'!$E$5</ns0:f>
        <ns0:v>63898.24318052473</ns0:v>
      </ns0:c>
      <ns0:c r="W22" s="16">
        <ns0:f>R22-G22*'前提と出典'!$E$5</ns0:f>
        <ns0:v>746.6396859033848</ns0:v>
      </ns0:c>
      <ns0:c r="X22" s="7">
        <ns0:f>V22+W22</ns0:f>
        <ns0:v>64644.88286642812</ns0:v>
      </ns0:c>
      <ns0:c r="Y22" s="16">
        <ns0:f>Q22-F22*'前提と出典'!$E$6</ns0:f>
        <ns0:v>53449.54203416995</ns0:v>
      </ns0:c>
      <ns0:c r="Z22" s="16">
        <ns0:f>R22-G22*'前提と出典'!$E$6</ns0:f>
        <ns0:v>-3354.0959044982446</ns0:v>
      </ns0:c>
      <ns0:c r="AA22" s="7">
        <ns0:f>Y22+Z22</ns0:f>
        <ns0:v>50095.446129671705</ns0:v>
      </ns0:c>
      <ns0:c r="AB22" s="7">
        <ns0:f>AB21+U22</ns0:f>
        <ns0:v>277413.68408540764</ns0:v>
      </ns0:c>
      <ns0:c r="AC22" s="7">
        <ns0:f>AC21+X22</ns0:f>
        <ns0:v>139194.0350862217</ns0:v>
      </ns0:c>
      <ns0:c r="AD22" s="7">
        <ns0:f>AD21+AA22</ns0:f>
        <ns0:v>974.3860870358476</ns0:v>
      </ns0:c>
      <ns0:c r="AE22" s="7">
        <ns0:f>MAX(0,-MIN($AB$5:AB22))</ns0:f>
        <ns0:v>185179.99918172893</ns0:v>
      </ns0:c>
      <ns0:c r="AF22" s="7">
        <ns0:f>MAX(0,-MIN($AC$5:AC22))</ns0:f>
        <ns0:v>209365.24984621964</ns0:v>
      </ns0:c>
      <ns0:c r="AG22" s="7">
        <ns0:f>MAX(0,-MIN($AD$5:AD22))</ns0:f>
        <ns0:v>240671.86756805048</ns0:v>
      </ns0:c>
      <ns0:c r="AH22" s="4">
        <ns0:f>IF(U22&gt;=0,A22,37)</ns0:f>
        <ns0:v>18</ns0:v>
      </ns0:c>
      <ns0:c r="AI22" s="4">
        <ns0:f>IF(AB22&gt;=0,A22,37)</ns0:f>
        <ns0:v>18</ns0:v>
      </ns0:c>
      <ns0:c r="AJ22" s="4">
        <ns0:f>IF(X22&gt;=0,A22,37)</ns0:f>
        <ns0:v>18</ns0:v>
      </ns0:c>
      <ns0:c r="AK22" s="4">
        <ns0:f>IF(AC22&gt;=0,A22,37)</ns0:f>
        <ns0:v>18</ns0:v>
      </ns0:c>
      <ns0:c r="AL22" s="4">
        <ns0:f>IF(AA22&gt;=0,A22,37)</ns0:f>
        <ns0:v>18</ns0:v>
      </ns0:c>
      <ns0:c r="AM22" s="4">
        <ns0:f>IF(AD22&gt;=0,A22,37)</ns0:f>
        <ns0:v>18</ns0:v>
      </ns0:c>
    </ns0:row>
    <ns0:row r="23" ht="24" customHeight="1">
      <ns0:c r="A23" s="4" t="n">
        <ns0:v>19</ns0:v>
      </ns0:c>
      <ns0:c r="B23" s="12">
        <ns0:f>B22*(1-'前提と出典'!$B$31)+'前提と出典'!$B$30</ns0:f>
        <ns0:v>57</ns0:v>
      </ns0:c>
      <ns0:c r="C23" s="12">
        <ns0:f>B23*('前提と出典'!$C$36+'前提と出典'!$C$38)</ns0:f>
        <ns0:v>39.9</ns0:v>
      </ns0:c>
      <ns0:c r="D23" s="16">
        <ns0:f>B23*('前提と出典'!$C$37+'前提と出典'!$C$38)</ns0:f>
        <ns0:v>34.199999999999996</ns0:v>
      </ns0:c>
      <ns0:c r="E23" s="16">
        <ns0:f>B23*('前提と出典'!$C$36*'契約別単価'!C5+'前提と出典'!$C$37*'契約別単価'!C6+'前提と出典'!$C$38*'契約別単価'!C7)</ns0:f>
        <ns0:v>410.14525139664806</ns0:v>
      </ns0:c>
      <ns0:c r="F23" s="16">
        <ns0:f>B23*('前提と出典'!$C$36*'契約別単価'!E5+'前提と出典'!$C$37*'契約別単価'!E6+'前提と出典'!$C$38*'契約別単価'!E7)</ns0:f>
        <ns0:v>110291.84543374486</ns0:v>
      </ns0:c>
      <ns0:c r="G23" s="16">
        <ns0:f>B23*('前提と出典'!$C$36*'契約別単価'!F5+'前提と出典'!$C$37*'契約別単価'!F6+'前提と出典'!$C$38*'契約別単価'!F7)</ns0:f>
        <ns0:v>43285.54234312831</ns0:v>
      </ns0:c>
      <ns0:c r="H23" s="16">
        <ns0:f>B23*('前提と出典'!$C$36*'契約別単価'!G5+'前提と出典'!$C$37*'契約別単価'!G6+'前提と出典'!$C$38*'契約別単価'!G7)</ns0:f>
        <ns0:v>113458.6592178771</ns0:v>
      </ns0:c>
      <ns0:c r="I23" s="16">
        <ns0:f>B23*('前提と出典'!$C$36*'契約別単価'!H5+'前提と出典'!$C$37*'契約別単価'!H6+'前提と出典'!$C$38*'契約別単価'!H7)</ns0:f>
        <ns0:v>39375.84514752533</ns0:v>
      </ns0:c>
      <ns0:c r="J23" s="16">
        <ns0:f>B23*('前提と出典'!$C$36*'契約別単価'!I5+'前提と出典'!$C$37*'契約別単価'!I6+'前提と出典'!$C$38*'契約別単価'!I7)</ns0:f>
        <ns0:v>2405.145251396648</ns0:v>
      </ns0:c>
      <ns0:c r="K23" s="16">
        <ns0:f>B23*('前提と出典'!$C$36*'契約別単価'!J5+'前提と出典'!$C$37*'契約別単価'!J6+'前提と出典'!$C$38*'契約別単価'!J7)</ns0:f>
        <ns0:v>5602.503991487246</ns0:v>
      </ns0:c>
      <ns0:c r="L23" s="16">
        <ns0:f>B23*('前提と出典'!$C$36*'契約別単価'!K5+'前提と出典'!$C$37*'契約別単価'!K6+'前提と出典'!$C$38*'契約別単価'!K7)</ns0:f>
        <ns0:v>24014.30167597765</ns0:v>
      </ns0:c>
      <ns0:c r="M23" s="16">
        <ns0:f>B23*('前提と出典'!$C$36*'契約別単価'!L5+'前提と出典'!$C$37*'契約別単価'!L6+'前提と出典'!$C$38*'契約別単価'!L7)</ns0:f>
        <ns0:v>19552.528171584177</ns0:v>
      </ns0:c>
      <ns0:c r="N23" s="16">
        <ns0:f>IF(('前提と出典'!$C$36+'前提と出典'!$C$38)=0,0,IF(C23&lt;=10,'前提と出典'!B73+'前提と出典'!C73,IF(C23&lt;=100,'前提と出典'!B74+'前提と出典'!C74,IF(C23&lt;=500,'前提と出典'!B75+'前提と出典'!C75,'前提と出典'!B76+'前提と出典'!C76))))</ns0:f>
        <ns0:v>20000</ns0:v>
      </ns0:c>
      <ns0:c r="O23" s="16">
        <ns0:f>IF(('前提と出典'!$C$37+'前提と出典'!$C$38)=0,0,IF(D23&lt;=10,'前提と出典'!D73+'前提と出典'!E73,IF(D23&lt;=100,'前提と出典'!D74+'前提と出典'!E74,IF(D23&lt;=500,'前提と出典'!D75+'前提と出典'!E75,'前提と出典'!D76+'前提と出典'!E76))))</ns0:f>
        <ns0:v>34510.9346263078</ns0:v>
      </ns0:c>
      <ns0:c r="P23" s="16">
        <ns0:f>IF('前提と出典'!$C$36+'前提と出典'!$C$38=0,0,'前提と出典'!$B$4*IF('前提と出典'!$B$20=0,MAX('前提と出典'!$B$6,E23*'前提と出典'!$B$5),'前提と出典'!$B$6+E23*'前提と出典'!$B$5))</ns0:f>
        <ns0:v>56600.044692737436</ns0:v>
      </ns0:c>
      <ns0:c r="Q23" s="16">
        <ns0:f>(F23+H23)*(1-'前提と出典'!$B$7)-J23-L23-N23-P23</ns0:f>
        <ns0:v>112675.99486405187</ns0:v>
      </ns0:c>
      <ns0:c r="R23" s="16">
        <ns0:f>(G23+I23)*(1-'前提と出典'!$B$7)-K23-M23-O23</ns0:f>
        <ns0:v>20019.61075161088</ns0:v>
      </ns0:c>
      <ns0:c r="S23" s="16">
        <ns0:f>Q23-F23*'前提と出典'!$E$4</ns0:f>
        <ns0:v>79588.4412339284</ns0:v>
      </ns0:c>
      <ns0:c r="T23" s="16">
        <ns0:f>R23-G23*'前提と出典'!$E$4</ns0:f>
        <ns0:v>7033.948048672391</ns0:v>
      </ns0:c>
      <ns0:c r="U23" s="7">
        <ns0:f>S23+T23</ns0:f>
        <ns0:v>86622.3892826008</ns0:v>
      </ns0:c>
      <ns0:c r="V23" s="16">
        <ns0:f>Q23-F23*'前提と出典'!$E$5</ns0:f>
        <ns0:v>68559.25669055391</ns0:v>
      </ns0:c>
      <ns0:c r="W23" s="16">
        <ns0:f>R23-G23*'前提と出典'!$E$5</ns0:f>
        <ns0:v>2705.3938143595515</ns0:v>
      </ns0:c>
      <ns0:c r="X23" s="7">
        <ns0:f>V23+W23</ns0:f>
        <ns0:v>71264.65050491347</ns0:v>
      </ns0:c>
      <ns0:c r="Y23" s="16">
        <ns0:f>Q23-F23*'前提と出典'!$E$6</ns0:f>
        <ns0:v>57530.072147179446</ns0:v>
      </ns0:c>
      <ns0:c r="Z23" s="16">
        <ns0:f>R23-G23*'前提と出典'!$E$6</ns0:f>
        <ns0:v>-1623.160419953274</ns0:v>
      </ns0:c>
      <ns0:c r="AA23" s="7">
        <ns0:f>Y23+Z23</ns0:f>
        <ns0:v>55906.91172722617</ns0:v>
      </ns0:c>
      <ns0:c r="AB23" s="7">
        <ns0:f>AB22+U23</ns0:f>
        <ns0:v>364036.0733680084</ns0:v>
      </ns0:c>
      <ns0:c r="AC23" s="7">
        <ns0:f>AC22+X23</ns0:f>
        <ns0:v>210458.68559113517</ns0:v>
      </ns0:c>
      <ns0:c r="AD23" s="7">
        <ns0:f>AD22+AA23</ns0:f>
        <ns0:v>56881.29781426202</ns0:v>
      </ns0:c>
      <ns0:c r="AE23" s="7">
        <ns0:f>MAX(0,-MIN($AB$5:AB23))</ns0:f>
        <ns0:v>185179.99918172893</ns0:v>
      </ns0:c>
      <ns0:c r="AF23" s="7">
        <ns0:f>MAX(0,-MIN($AC$5:AC23))</ns0:f>
        <ns0:v>209365.24984621964</ns0:v>
      </ns0:c>
      <ns0:c r="AG23" s="7">
        <ns0:f>MAX(0,-MIN($AD$5:AD23))</ns0:f>
        <ns0:v>240671.86756805048</ns0:v>
      </ns0:c>
      <ns0:c r="AH23" s="4">
        <ns0:f>IF(U23&gt;=0,A23,37)</ns0:f>
        <ns0:v>19</ns0:v>
      </ns0:c>
      <ns0:c r="AI23" s="4">
        <ns0:f>IF(AB23&gt;=0,A23,37)</ns0:f>
        <ns0:v>19</ns0:v>
      </ns0:c>
      <ns0:c r="AJ23" s="4">
        <ns0:f>IF(X23&gt;=0,A23,37)</ns0:f>
        <ns0:v>19</ns0:v>
      </ns0:c>
      <ns0:c r="AK23" s="4">
        <ns0:f>IF(AC23&gt;=0,A23,37)</ns0:f>
        <ns0:v>19</ns0:v>
      </ns0:c>
      <ns0:c r="AL23" s="4">
        <ns0:f>IF(AA23&gt;=0,A23,37)</ns0:f>
        <ns0:v>19</ns0:v>
      </ns0:c>
      <ns0:c r="AM23" s="4">
        <ns0:f>IF(AD23&gt;=0,A23,37)</ns0:f>
        <ns0:v>19</ns0:v>
      </ns0:c>
    </ns0:row>
    <ns0:row r="24" ht="24" customHeight="1">
      <ns0:c r="A24" s="4" t="n">
        <ns0:v>20</ns0:v>
      </ns0:c>
      <ns0:c r="B24" s="12">
        <ns0:f>B23*(1-'前提と出典'!$B$31)+'前提と出典'!$B$30</ns0:f>
        <ns0:v>60</ns0:v>
      </ns0:c>
      <ns0:c r="C24" s="12">
        <ns0:f>B24*('前提と出典'!$C$36+'前提と出典'!$C$38)</ns0:f>
        <ns0:v>42</ns0:v>
      </ns0:c>
      <ns0:c r="D24" s="16">
        <ns0:f>B24*('前提と出典'!$C$37+'前提と出典'!$C$38)</ns0:f>
        <ns0:v>36</ns0:v>
      </ns0:c>
      <ns0:c r="E24" s="16">
        <ns0:f>B24*('前提と出典'!$C$36*'契約別単価'!C5+'前提と出典'!$C$37*'契約別単価'!C6+'前提と出典'!$C$38*'契約別単価'!C7)</ns0:f>
        <ns0:v>431.731843575419</ns0:v>
      </ns0:c>
      <ns0:c r="F24" s="16">
        <ns0:f>B24*('前提と出典'!$C$36*'契約別単価'!E5+'前提と出典'!$C$37*'契約別単価'!E6+'前提と出典'!$C$38*'契約別単価'!E7)</ns0:f>
        <ns0:v>116096.67940394196</ns0:v>
      </ns0:c>
      <ns0:c r="G24" s="16">
        <ns0:f>B24*('前提と出典'!$C$36*'契約別単価'!F5+'前提と出典'!$C$37*'契約別単価'!F6+'前提と出典'!$C$38*'契約別単価'!F7)</ns0:f>
        <ns0:v>45563.72878224033</ns0:v>
      </ns0:c>
      <ns0:c r="H24" s="16">
        <ns0:f>B24*('前提と出典'!$C$36*'契約別単価'!G5+'前提と出典'!$C$37*'契約別単価'!G6+'前提と出典'!$C$38*'契約別単価'!G7)</ns0:f>
        <ns0:v>119430.16759776536</ns0:v>
      </ns0:c>
      <ns0:c r="I24" s="16">
        <ns0:f>B24*('前提と出典'!$C$36*'契約別単価'!H5+'前提と出典'!$C$37*'契約別単価'!H6+'前提と出典'!$C$38*'契約別単価'!H7)</ns0:f>
        <ns0:v>41448.25805002666</ns0:v>
      </ns0:c>
      <ns0:c r="J24" s="16">
        <ns0:f>B24*('前提と出典'!$C$36*'契約別単価'!I5+'前提と出典'!$C$37*'契約別単価'!I6+'前提と出典'!$C$38*'契約別単価'!I7)</ns0:f>
        <ns0:v>2531.7318435754187</ns0:v>
      </ns0:c>
      <ns0:c r="K24" s="16">
        <ns0:f>B24*('前提と出典'!$C$36*'契約別単価'!J5+'前提と出典'!$C$37*'契約別単価'!J6+'前提と出典'!$C$38*'契約別単価'!J7)</ns0:f>
        <ns0:v>5897.372622618154</ns0:v>
      </ns0:c>
      <ns0:c r="L24" s="16">
        <ns0:f>B24*('前提と出典'!$C$36*'契約別単価'!K5+'前提と出典'!$C$37*'契約別単価'!K6+'前提と出典'!$C$38*'契約別単価'!K7)</ns0:f>
        <ns0:v>25278.21229050279</ns0:v>
      </ns0:c>
      <ns0:c r="M24" s="16">
        <ns0:f>B24*('前提と出典'!$C$36*'契約別単価'!L5+'前提と出典'!$C$37*'契約別単価'!L6+'前提と出典'!$C$38*'契約別単価'!L7)</ns0:f>
        <ns0:v>20581.608601667554</ns0:v>
      </ns0:c>
      <ns0:c r="N24" s="16">
        <ns0:f>IF(('前提と出典'!$C$36+'前提と出典'!$C$38)=0,0,IF(C24&lt;=10,'前提と出典'!B73+'前提と出典'!C73,IF(C24&lt;=100,'前提と出典'!B74+'前提と出典'!C74,IF(C24&lt;=500,'前提と出典'!B75+'前提と出典'!C75,'前提と出典'!B76+'前提と出典'!C76))))</ns0:f>
        <ns0:v>20000</ns0:v>
      </ns0:c>
      <ns0:c r="O24" s="16">
        <ns0:f>IF(('前提と出典'!$C$37+'前提と出典'!$C$38)=0,0,IF(D24&lt;=10,'前提と出典'!D73+'前提と出典'!E73,IF(D24&lt;=100,'前提と出典'!D74+'前提と出典'!E74,IF(D24&lt;=500,'前提と出典'!D75+'前提と出典'!E75,'前提と出典'!D76+'前提と出典'!E76))))</ns0:f>
        <ns0:v>34510.9346263078</ns0:v>
      </ns0:c>
      <ns0:c r="P24" s="16">
        <ns0:f>IF('前提と出典'!$C$36+'前提と出典'!$C$38=0,0,'前提と出典'!$B$4*IF('前提と出典'!$B$20=0,MAX('前提と出典'!$B$6,E24*'前提と出典'!$B$5),'前提と出典'!$B$6+E24*'前提と出典'!$B$5))</ns0:f>
        <ns0:v>59578.994413407825</ns0:v>
      </ns0:c>
      <ns0:c r="Q24" s="16">
        <ns0:f>(F24+H24)*(1-'前提と出典'!$B$7)-J24-L24-N24-P24</ns0:f>
        <ns0:v>119658.9419621598</ns0:v>
      </ns0:c>
      <ns0:c r="R24" s="16">
        <ns0:f>(G24+I24)*(1-'前提と出典'!$B$7)-K24-M24-O24</ns0:f>
        <ns0:v>22889.63945571188</ns0:v>
      </ns0:c>
      <ns0:c r="S24" s="16">
        <ns0:f>Q24-F24*'前提と出典'!$E$4</ns0:f>
        <ns0:v>84829.93814097722</ns0:v>
      </ns0:c>
      <ns0:c r="T24" s="16">
        <ns0:f>R24-G24*'前提と出典'!$E$4</ns0:f>
        <ns0:v>9220.520821039783</ns0:v>
      </ns0:c>
      <ns0:c r="U24" s="7">
        <ns0:f>S24+T24</ns0:f>
        <ns0:v>94050.458962017</ns0:v>
      </ns0:c>
      <ns0:c r="V24" s="16">
        <ns0:f>Q24-F24*'前提と出典'!$E$5</ns0:f>
        <ns0:v>73220.27020058302</ns0:v>
      </ns0:c>
      <ns0:c r="W24" s="16">
        <ns0:f>R24-G24*'前提と出典'!$E$5</ns0:f>
        <ns0:v>4664.147942815747</ns0:v>
      </ns0:c>
      <ns0:c r="X24" s="7">
        <ns0:f>V24+W24</ns0:f>
        <ns0:v>77884.41814339877</ns0:v>
      </ns0:c>
      <ns0:c r="Y24" s="16">
        <ns0:f>Q24-F24*'前提と出典'!$E$6</ns0:f>
        <ns0:v>61610.602260188825</ns0:v>
      </ns0:c>
      <ns0:c r="Z24" s="16">
        <ns0:f>R24-G24*'前提と出典'!$E$6</ns0:f>
        <ns0:v>107.77506459171127</ns0:v>
      </ns0:c>
      <ns0:c r="AA24" s="7">
        <ns0:f>Y24+Z24</ns0:f>
        <ns0:v>61718.37732478054</ns0:v>
      </ns0:c>
      <ns0:c r="AB24" s="7">
        <ns0:f>AB23+U24</ns0:f>
        <ns0:v>458086.53233002545</ns0:v>
      </ns0:c>
      <ns0:c r="AC24" s="7">
        <ns0:f>AC23+X24</ns0:f>
        <ns0:v>288343.10373453394</ns0:v>
      </ns0:c>
      <ns0:c r="AD24" s="7">
        <ns0:f>AD23+AA24</ns0:f>
        <ns0:v>118599.67513904255</ns0:v>
      </ns0:c>
      <ns0:c r="AE24" s="7">
        <ns0:f>MAX(0,-MIN($AB$5:AB24))</ns0:f>
        <ns0:v>185179.99918172893</ns0:v>
      </ns0:c>
      <ns0:c r="AF24" s="7">
        <ns0:f>MAX(0,-MIN($AC$5:AC24))</ns0:f>
        <ns0:v>209365.24984621964</ns0:v>
      </ns0:c>
      <ns0:c r="AG24" s="7">
        <ns0:f>MAX(0,-MIN($AD$5:AD24))</ns0:f>
        <ns0:v>240671.86756805048</ns0:v>
      </ns0:c>
      <ns0:c r="AH24" s="4">
        <ns0:f>IF(U24&gt;=0,A24,37)</ns0:f>
        <ns0:v>20</ns0:v>
      </ns0:c>
      <ns0:c r="AI24" s="4">
        <ns0:f>IF(AB24&gt;=0,A24,37)</ns0:f>
        <ns0:v>20</ns0:v>
      </ns0:c>
      <ns0:c r="AJ24" s="4">
        <ns0:f>IF(X24&gt;=0,A24,37)</ns0:f>
        <ns0:v>20</ns0:v>
      </ns0:c>
      <ns0:c r="AK24" s="4">
        <ns0:f>IF(AC24&gt;=0,A24,37)</ns0:f>
        <ns0:v>20</ns0:v>
      </ns0:c>
      <ns0:c r="AL24" s="4">
        <ns0:f>IF(AA24&gt;=0,A24,37)</ns0:f>
        <ns0:v>20</ns0:v>
      </ns0:c>
      <ns0:c r="AM24" s="4">
        <ns0:f>IF(AD24&gt;=0,A24,37)</ns0:f>
        <ns0:v>20</ns0:v>
      </ns0:c>
    </ns0:row>
    <ns0:row r="25" ht="24" customHeight="1">
      <ns0:c r="A25" s="4" t="n">
        <ns0:v>21</ns0:v>
      </ns0:c>
      <ns0:c r="B25" s="12">
        <ns0:f>B24*(1-'前提と出典'!$B$31)+'前提と出典'!$B$30</ns0:f>
        <ns0:v>63</ns0:v>
      </ns0:c>
      <ns0:c r="C25" s="12">
        <ns0:f>B25*('前提と出典'!$C$36+'前提と出典'!$C$38)</ns0:f>
        <ns0:v>44.099999999999994</ns0:v>
      </ns0:c>
      <ns0:c r="D25" s="16">
        <ns0:f>B25*('前提と出典'!$C$37+'前提と出典'!$C$38)</ns0:f>
        <ns0:v>37.8</ns0:v>
      </ns0:c>
      <ns0:c r="E25" s="16">
        <ns0:f>B25*('前提と出典'!$C$36*'契約別単価'!C5+'前提と出典'!$C$37*'契約別単価'!C6+'前提と出典'!$C$38*'契約別単価'!C7)</ns0:f>
        <ns0:v>453.3184357541899</ns0:v>
      </ns0:c>
      <ns0:c r="F25" s="16">
        <ns0:f>B25*('前提と出典'!$C$36*'契約別単価'!E5+'前提と出典'!$C$37*'契約別単価'!E6+'前提と出典'!$C$38*'契約別単価'!E7)</ns0:f>
        <ns0:v>121901.51337413906</ns0:v>
      </ns0:c>
      <ns0:c r="G25" s="16">
        <ns0:f>B25*('前提と出典'!$C$36*'契約別単価'!F5+'前提と出典'!$C$37*'契約別単価'!F6+'前提と出典'!$C$38*'契約別単価'!F7)</ns0:f>
        <ns0:v>47841.91522135235</ns0:v>
      </ns0:c>
      <ns0:c r="H25" s="16">
        <ns0:f>B25*('前提と出典'!$C$36*'契約別単価'!G5+'前提と出典'!$C$37*'契約別単価'!G6+'前提と出典'!$C$38*'契約別単価'!G7)</ns0:f>
        <ns0:v>125401.67597765362</ns0:v>
      </ns0:c>
      <ns0:c r="I25" s="16">
        <ns0:f>B25*('前提と出典'!$C$36*'契約別単価'!H5+'前提と出典'!$C$37*'契約別単価'!H6+'前提と出典'!$C$38*'契約別単価'!H7)</ns0:f>
        <ns0:v>43520.670952527995</ns0:v>
      </ns0:c>
      <ns0:c r="J25" s="16">
        <ns0:f>B25*('前提と出典'!$C$36*'契約別単価'!I5+'前提と出典'!$C$37*'契約別単価'!I6+'前提と出典'!$C$38*'契約別単価'!I7)</ns0:f>
        <ns0:v>2658.3184357541895</ns0:v>
      </ns0:c>
      <ns0:c r="K25" s="16">
        <ns0:f>B25*('前提と出典'!$C$36*'契約別単価'!J5+'前提と出典'!$C$37*'契約別単価'!J6+'前提と出典'!$C$38*'契約別単価'!J7)</ns0:f>
        <ns0:v>6192.241253749062</ns0:v>
      </ns0:c>
      <ns0:c r="L25" s="16">
        <ns0:f>B25*('前提と出典'!$C$36*'契約別単価'!K5+'前提と出典'!$C$37*'契約別単価'!K6+'前提と出典'!$C$38*'契約別単価'!K7)</ns0:f>
        <ns0:v>26542.122905027933</ns0:v>
      </ns0:c>
      <ns0:c r="M25" s="16">
        <ns0:f>B25*('前提と出典'!$C$36*'契約別単価'!L5+'前提と出典'!$C$37*'契約別単価'!L6+'前提と出典'!$C$38*'契約別単価'!L7)</ns0:f>
        <ns0:v>21610.68903175093</ns0:v>
      </ns0:c>
      <ns0:c r="N25" s="16">
        <ns0:f>IF(('前提と出典'!$C$36+'前提と出典'!$C$38)=0,0,IF(C25&lt;=10,'前提と出典'!B73+'前提と出典'!C73,IF(C25&lt;=100,'前提と出典'!B74+'前提と出典'!C74,IF(C25&lt;=500,'前提と出典'!B75+'前提と出典'!C75,'前提と出典'!B76+'前提と出典'!C76))))</ns0:f>
        <ns0:v>20000</ns0:v>
      </ns0:c>
      <ns0:c r="O25" s="16">
        <ns0:f>IF(('前提と出典'!$C$37+'前提と出典'!$C$38)=0,0,IF(D25&lt;=10,'前提と出典'!D73+'前提と出典'!E73,IF(D25&lt;=100,'前提と出典'!D74+'前提と出典'!E74,IF(D25&lt;=500,'前提と出典'!D75+'前提と出典'!E75,'前提と出典'!D76+'前提と出典'!E76))))</ns0:f>
        <ns0:v>34510.9346263078</ns0:v>
      </ns0:c>
      <ns0:c r="P25" s="16">
        <ns0:f>IF('前提と出典'!$C$36+'前提と出典'!$C$38=0,0,'前提と出典'!$B$4*IF('前提と出典'!$B$20=0,MAX('前提と出典'!$B$6,E25*'前提と出典'!$B$5),'前提と出典'!$B$6+E25*'前提と出典'!$B$5))</ns0:f>
        <ns0:v>62557.94413407821</ns0:v>
      </ns0:c>
      <ns0:c r="Q25" s="16">
        <ns0:f>(F25+H25)*(1-'前提と出典'!$B$7)-J25-L25-N25-P25</ns0:f>
        <ns0:v>126641.88906026783</ns0:v>
      </ns0:c>
      <ns0:c r="R25" s="16">
        <ns0:f>(G25+I25)*(1-'前提と出典'!$B$7)-K25-M25-O25</ns0:f>
        <ns0:v>25759.66815981286</ns0:v>
      </ns0:c>
      <ns0:c r="S25" s="16">
        <ns0:f>Q25-F25*'前提と出典'!$E$4</ns0:f>
        <ns0:v>90071.4350480261</ns0:v>
      </ns0:c>
      <ns0:c r="T25" s="16">
        <ns0:f>R25-G25*'前提と出典'!$E$4</ns0:f>
        <ns0:v>11407.09359340716</ns0:v>
      </ns0:c>
      <ns0:c r="U25" s="7">
        <ns0:f>S25+T25</ns0:f>
        <ns0:v>101478.52864143327</ns0:v>
      </ns0:c>
      <ns0:c r="V25" s="16">
        <ns0:f>Q25-F25*'前提と出典'!$E$5</ns0:f>
        <ns0:v>77881.2837106122</ns0:v>
      </ns0:c>
      <ns0:c r="W25" s="16">
        <ns0:f>R25-G25*'前提と出典'!$E$5</ns0:f>
        <ns0:v>6622.902071271921</ns0:v>
      </ns0:c>
      <ns0:c r="X25" s="7">
        <ns0:f>V25+W25</ns0:f>
        <ns0:v>84504.18578188412</ns0:v>
      </ns0:c>
      <ns0:c r="Y25" s="16">
        <ns0:f>Q25-F25*'前提と出典'!$E$6</ns0:f>
        <ns0:v>65691.13237319827</ns0:v>
      </ns0:c>
      <ns0:c r="Z25" s="16">
        <ns0:f>R25-G25*'前提と出典'!$E$6</ns0:f>
        <ns0:v>1838.7105491366892</ns0:v>
      </ns0:c>
      <ns0:c r="AA25" s="7">
        <ns0:f>Y25+Z25</ns0:f>
        <ns0:v>67529.84292233497</ns0:v>
      </ns0:c>
      <ns0:c r="AB25" s="7">
        <ns0:f>AB24+U25</ns0:f>
        <ns0:v>559565.0609714587</ns0:v>
      </ns0:c>
      <ns0:c r="AC25" s="7">
        <ns0:f>AC24+X25</ns0:f>
        <ns0:v>372847.28951641807</ns0:v>
      </ns0:c>
      <ns0:c r="AD25" s="7">
        <ns0:f>AD24+AA25</ns0:f>
        <ns0:v>186129.51806137752</ns0:v>
      </ns0:c>
      <ns0:c r="AE25" s="7">
        <ns0:f>MAX(0,-MIN($AB$5:AB25))</ns0:f>
        <ns0:v>185179.99918172893</ns0:v>
      </ns0:c>
      <ns0:c r="AF25" s="7">
        <ns0:f>MAX(0,-MIN($AC$5:AC25))</ns0:f>
        <ns0:v>209365.24984621964</ns0:v>
      </ns0:c>
      <ns0:c r="AG25" s="7">
        <ns0:f>MAX(0,-MIN($AD$5:AD25))</ns0:f>
        <ns0:v>240671.86756805048</ns0:v>
      </ns0:c>
      <ns0:c r="AH25" s="4">
        <ns0:f>IF(U25&gt;=0,A25,37)</ns0:f>
        <ns0:v>21</ns0:v>
      </ns0:c>
      <ns0:c r="AI25" s="4">
        <ns0:f>IF(AB25&gt;=0,A25,37)</ns0:f>
        <ns0:v>21</ns0:v>
      </ns0:c>
      <ns0:c r="AJ25" s="4">
        <ns0:f>IF(X25&gt;=0,A25,37)</ns0:f>
        <ns0:v>21</ns0:v>
      </ns0:c>
      <ns0:c r="AK25" s="4">
        <ns0:f>IF(AC25&gt;=0,A25,37)</ns0:f>
        <ns0:v>21</ns0:v>
      </ns0:c>
      <ns0:c r="AL25" s="4">
        <ns0:f>IF(AA25&gt;=0,A25,37)</ns0:f>
        <ns0:v>21</ns0:v>
      </ns0:c>
      <ns0:c r="AM25" s="4">
        <ns0:f>IF(AD25&gt;=0,A25,37)</ns0:f>
        <ns0:v>21</ns0:v>
      </ns0:c>
    </ns0:row>
    <ns0:row r="26" ht="24" customHeight="1">
      <ns0:c r="A26" s="4" t="n">
        <ns0:v>22</ns0:v>
      </ns0:c>
      <ns0:c r="B26" s="12">
        <ns0:f>B25*(1-'前提と出典'!$B$31)+'前提と出典'!$B$30</ns0:f>
        <ns0:v>66</ns0:v>
      </ns0:c>
      <ns0:c r="C26" s="12">
        <ns0:f>B26*('前提と出典'!$C$36+'前提と出典'!$C$38)</ns0:f>
        <ns0:v>46.199999999999996</ns0:v>
      </ns0:c>
      <ns0:c r="D26" s="16">
        <ns0:f>B26*('前提と出典'!$C$37+'前提と出典'!$C$38)</ns0:f>
        <ns0:v>39.6</ns0:v>
      </ns0:c>
      <ns0:c r="E26" s="16">
        <ns0:f>B26*('前提と出典'!$C$36*'契約別単価'!C5+'前提と出典'!$C$37*'契約別単価'!C6+'前提と出典'!$C$38*'契約別単価'!C7)</ns0:f>
        <ns0:v>474.9050279329609</ns0:v>
      </ns0:c>
      <ns0:c r="F26" s="16">
        <ns0:f>B26*('前提と出典'!$C$36*'契約別単価'!E5+'前提と出典'!$C$37*'契約別単価'!E6+'前提と出典'!$C$38*'契約別単価'!E7)</ns0:f>
        <ns0:v>127706.34734433616</ns0:v>
      </ns0:c>
      <ns0:c r="G26" s="16">
        <ns0:f>B26*('前提と出典'!$C$36*'契約別単価'!F5+'前提と出典'!$C$37*'契約別単価'!F6+'前提と出典'!$C$38*'契約別単価'!F7)</ns0:f>
        <ns0:v>50120.10166046437</ns0:v>
      </ns0:c>
      <ns0:c r="H26" s="16">
        <ns0:f>B26*('前提と出典'!$C$36*'契約別単価'!G5+'前提と出典'!$C$37*'契約別単価'!G6+'前提と出典'!$C$38*'契約別単価'!G7)</ns0:f>
        <ns0:v>131373.1843575419</ns0:v>
      </ns0:c>
      <ns0:c r="I26" s="16">
        <ns0:f>B26*('前提と出典'!$C$36*'契約別単価'!H5+'前提と出典'!$C$37*'契約別単価'!H6+'前提と出典'!$C$38*'契約別単価'!H7)</ns0:f>
        <ns0:v>45593.08385502933</ns0:v>
      </ns0:c>
      <ns0:c r="J26" s="16">
        <ns0:f>B26*('前提と出典'!$C$36*'契約別単価'!I5+'前提と出典'!$C$37*'契約別単価'!I6+'前提と出典'!$C$38*'契約別単価'!I7)</ns0:f>
        <ns0:v>2784.9050279329604</ns0:v>
      </ns0:c>
      <ns0:c r="K26" s="16">
        <ns0:f>B26*('前提と出典'!$C$36*'契約別単価'!J5+'前提と出典'!$C$37*'契約別単価'!J6+'前提と出典'!$C$38*'契約別単価'!J7)</ns0:f>
        <ns0:v>6487.109884879969</ns0:v>
      </ns0:c>
      <ns0:c r="L26" s="16">
        <ns0:f>B26*('前提と出典'!$C$36*'契約別単価'!K5+'前提と出典'!$C$37*'契約別単価'!K6+'前提と出典'!$C$38*'契約別単価'!K7)</ns0:f>
        <ns0:v>27806.03351955307</ns0:v>
      </ns0:c>
      <ns0:c r="M26" s="16">
        <ns0:f>B26*('前提と出典'!$C$36*'契約別単価'!L5+'前提と出典'!$C$37*'契約別単価'!L6+'前提と出典'!$C$38*'契約別単価'!L7)</ns0:f>
        <ns0:v>22639.76946183431</ns0:v>
      </ns0:c>
      <ns0:c r="N26" s="16">
        <ns0:f>IF(('前提と出典'!$C$36+'前提と出典'!$C$38)=0,0,IF(C26&lt;=10,'前提と出典'!B73+'前提と出典'!C73,IF(C26&lt;=100,'前提と出典'!B74+'前提と出典'!C74,IF(C26&lt;=500,'前提と出典'!B75+'前提と出典'!C75,'前提と出典'!B76+'前提と出典'!C76))))</ns0:f>
        <ns0:v>20000</ns0:v>
      </ns0:c>
      <ns0:c r="O26" s="16">
        <ns0:f>IF(('前提と出典'!$C$37+'前提と出典'!$C$38)=0,0,IF(D26&lt;=10,'前提と出典'!D73+'前提と出典'!E73,IF(D26&lt;=100,'前提と出典'!D74+'前提と出典'!E74,IF(D26&lt;=500,'前提と出典'!D75+'前提と出典'!E75,'前提と出典'!D76+'前提と出典'!E76))))</ns0:f>
        <ns0:v>34510.9346263078</ns0:v>
      </ns0:c>
      <ns0:c r="P26" s="16">
        <ns0:f>IF('前提と出典'!$C$36+'前提と出典'!$C$38=0,0,'前提と出典'!$B$4*IF('前提と出典'!$B$20=0,MAX('前提と出典'!$B$6,E26*'前提と出典'!$B$5),'前提と出典'!$B$6+E26*'前提と出典'!$B$5))</ns0:f>
        <ns0:v>65536.8938547486</ns0:v>
      </ns0:c>
      <ns0:c r="Q26" s="16">
        <ns0:f>(F26+H26)*(1-'前提と出典'!$B$7)-J26-L26-N26-P26</ns0:f>
        <ns0:v>133624.8361583758</ns0:v>
      </ns0:c>
      <ns0:c r="R26" s="16">
        <ns0:f>(G26+I26)*(1-'前提と出典'!$B$7)-K26-M26-O26</ns0:f>
        <ns0:v>28629.696863913836</ns0:v>
      </ns0:c>
      <ns0:c r="S26" s="16">
        <ns0:f>Q26-F26*'前提と出典'!$E$4</ns0:f>
        <ns0:v>95312.93195507498</ns0:v>
      </ns0:c>
      <ns0:c r="T26" s="16">
        <ns0:f>R26-G26*'前提と出典'!$E$4</ns0:f>
        <ns0:v>13593.66636577453</ns0:v>
      </ns0:c>
      <ns0:c r="U26" s="7">
        <ns0:f>S26+T26</ns0:f>
        <ns0:v>108906.5983208495</ns0:v>
      </ns0:c>
      <ns0:c r="V26" s="16">
        <ns0:f>Q26-F26*'前提と出典'!$E$5</ns0:f>
        <ns0:v>82542.29722064134</ns0:v>
      </ns0:c>
      <ns0:c r="W26" s="16">
        <ns0:f>R26-G26*'前提と出典'!$E$5</ns0:f>
        <ns0:v>8581.656199728088</ns0:v>
      </ns0:c>
      <ns0:c r="X26" s="7">
        <ns0:f>V26+W26</ns0:f>
        <ns0:v>91123.95342036942</ns0:v>
      </ns0:c>
      <ns0:c r="Y26" s="16">
        <ns0:f>Q26-F26*'前提と出典'!$E$6</ns0:f>
        <ns0:v>69771.66248620773</ns0:v>
      </ns0:c>
      <ns0:c r="Z26" s="16">
        <ns0:f>R26-G26*'前提と出典'!$E$6</ns0:f>
        <ns0:v>3569.646033681667</ns0:v>
      </ns0:c>
      <ns0:c r="AA26" s="7">
        <ns0:f>Y26+Z26</ns0:f>
        <ns0:v>73341.3085198894</ns0:v>
      </ns0:c>
      <ns0:c r="AB26" s="7">
        <ns0:f>AB25+U26</ns0:f>
        <ns0:v>668471.6592923081</ns0:v>
      </ns0:c>
      <ns0:c r="AC26" s="7">
        <ns0:f>AC25+X26</ns0:f>
        <ns0:v>463971.2429367875</ns0:v>
      </ns0:c>
      <ns0:c r="AD26" s="7">
        <ns0:f>AD25+AA26</ns0:f>
        <ns0:v>259470.8265812669</ns0:v>
      </ns0:c>
      <ns0:c r="AE26" s="7">
        <ns0:f>MAX(0,-MIN($AB$5:AB26))</ns0:f>
        <ns0:v>185179.99918172893</ns0:v>
      </ns0:c>
      <ns0:c r="AF26" s="7">
        <ns0:f>MAX(0,-MIN($AC$5:AC26))</ns0:f>
        <ns0:v>209365.24984621964</ns0:v>
      </ns0:c>
      <ns0:c r="AG26" s="7">
        <ns0:f>MAX(0,-MIN($AD$5:AD26))</ns0:f>
        <ns0:v>240671.86756805048</ns0:v>
      </ns0:c>
      <ns0:c r="AH26" s="4">
        <ns0:f>IF(U26&gt;=0,A26,37)</ns0:f>
        <ns0:v>22</ns0:v>
      </ns0:c>
      <ns0:c r="AI26" s="4">
        <ns0:f>IF(AB26&gt;=0,A26,37)</ns0:f>
        <ns0:v>22</ns0:v>
      </ns0:c>
      <ns0:c r="AJ26" s="4">
        <ns0:f>IF(X26&gt;=0,A26,37)</ns0:f>
        <ns0:v>22</ns0:v>
      </ns0:c>
      <ns0:c r="AK26" s="4">
        <ns0:f>IF(AC26&gt;=0,A26,37)</ns0:f>
        <ns0:v>22</ns0:v>
      </ns0:c>
      <ns0:c r="AL26" s="4">
        <ns0:f>IF(AA26&gt;=0,A26,37)</ns0:f>
        <ns0:v>22</ns0:v>
      </ns0:c>
      <ns0:c r="AM26" s="4">
        <ns0:f>IF(AD26&gt;=0,A26,37)</ns0:f>
        <ns0:v>22</ns0:v>
      </ns0:c>
    </ns0:row>
    <ns0:row r="27" ht="24" customHeight="1">
      <ns0:c r="A27" s="4" t="n">
        <ns0:v>23</ns0:v>
      </ns0:c>
      <ns0:c r="B27" s="12">
        <ns0:f>B26*(1-'前提と出典'!$B$31)+'前提と出典'!$B$30</ns0:f>
        <ns0:v>69</ns0:v>
      </ns0:c>
      <ns0:c r="C27" s="12">
        <ns0:f>B27*('前提と出典'!$C$36+'前提と出典'!$C$38)</ns0:f>
        <ns0:v>48.3</ns0:v>
      </ns0:c>
      <ns0:c r="D27" s="16">
        <ns0:f>B27*('前提と出典'!$C$37+'前提と出典'!$C$38)</ns0:f>
        <ns0:v>41.4</ns0:v>
      </ns0:c>
      <ns0:c r="E27" s="16">
        <ns0:f>B27*('前提と出典'!$C$36*'契約別単価'!C5+'前提と出典'!$C$37*'契約別単価'!C6+'前提と出典'!$C$38*'契約別単価'!C7)</ns0:f>
        <ns0:v>496.49162011173183</ns0:v>
      </ns0:c>
      <ns0:c r="F27" s="16">
        <ns0:f>B27*('前提と出典'!$C$36*'契約別単価'!E5+'前提と出典'!$C$37*'契約別単価'!E6+'前提と出典'!$C$38*'契約別単価'!E7)</ns0:f>
        <ns0:v>133511.18131453326</ns0:v>
      </ns0:c>
      <ns0:c r="G27" s="16">
        <ns0:f>B27*('前提と出典'!$C$36*'契約別単価'!F5+'前提と出典'!$C$37*'契約別単価'!F6+'前提と出典'!$C$38*'契約別単価'!F7)</ns0:f>
        <ns0:v>52398.288099576384</ns0:v>
      </ns0:c>
      <ns0:c r="H27" s="16">
        <ns0:f>B27*('前提と出典'!$C$36*'契約別単価'!G5+'前提と出典'!$C$37*'契約別単価'!G6+'前提と出典'!$C$38*'契約別単価'!G7)</ns0:f>
        <ns0:v>137344.69273743016</ns0:v>
      </ns0:c>
      <ns0:c r="I27" s="16">
        <ns0:f>B27*('前提と出典'!$C$36*'契約別単価'!H5+'前提と出典'!$C$37*'契約別単価'!H6+'前提と出典'!$C$38*'契約別単価'!H7)</ns0:f>
        <ns0:v>47665.49675753066</ns0:v>
      </ns0:c>
      <ns0:c r="J27" s="16">
        <ns0:f>B27*('前提と出典'!$C$36*'契約別単価'!I5+'前提と出典'!$C$37*'契約別単価'!I6+'前提と出典'!$C$38*'契約別単価'!I7)</ns0:f>
        <ns0:v>2911.491620111731</ns0:v>
      </ns0:c>
      <ns0:c r="K27" s="16">
        <ns0:f>B27*('前提と出典'!$C$36*'契約別単価'!J5+'前提と出典'!$C$37*'契約別単価'!J6+'前提と出典'!$C$38*'契約別単価'!J7)</ns0:f>
        <ns0:v>6781.978516010877</ns0:v>
      </ns0:c>
      <ns0:c r="L27" s="16">
        <ns0:f>B27*('前提と出典'!$C$36*'契約別単価'!K5+'前提と出典'!$C$37*'契約別単価'!K6+'前提と出典'!$C$38*'契約別単価'!K7)</ns0:f>
        <ns0:v>29069.94413407821</ns0:v>
      </ns0:c>
      <ns0:c r="M27" s="16">
        <ns0:f>B27*('前提と出典'!$C$36*'契約別単価'!L5+'前提と出典'!$C$37*'契約別単価'!L6+'前提と出典'!$C$38*'契約別単価'!L7)</ns0:f>
        <ns0:v>23668.84989191769</ns0:v>
      </ns0:c>
      <ns0:c r="N27" s="16">
        <ns0:f>IF(('前提と出典'!$C$36+'前提と出典'!$C$38)=0,0,IF(C27&lt;=10,'前提と出典'!B73+'前提と出典'!C73,IF(C27&lt;=100,'前提と出典'!B74+'前提と出典'!C74,IF(C27&lt;=500,'前提と出典'!B75+'前提と出典'!C75,'前提と出典'!B76+'前提と出典'!C76))))</ns0:f>
        <ns0:v>20000</ns0:v>
      </ns0:c>
      <ns0:c r="O27" s="16">
        <ns0:f>IF(('前提と出典'!$C$37+'前提と出典'!$C$38)=0,0,IF(D27&lt;=10,'前提と出典'!D73+'前提と出典'!E73,IF(D27&lt;=100,'前提と出典'!D74+'前提と出典'!E74,IF(D27&lt;=500,'前提と出典'!D75+'前提と出典'!E75,'前提と出典'!D76+'前提と出典'!E76))))</ns0:f>
        <ns0:v>34510.9346263078</ns0:v>
      </ns0:c>
      <ns0:c r="P27" s="16">
        <ns0:f>IF('前提と出典'!$C$36+'前提と出典'!$C$38=0,0,'前提と出典'!$B$4*IF('前提と出典'!$B$20=0,MAX('前提と出典'!$B$6,E27*'前提と出典'!$B$5),'前提と出典'!$B$6+E27*'前提と出典'!$B$5))</ns0:f>
        <ns0:v>68515.843575419</ns0:v>
      </ns0:c>
      <ns0:c r="Q27" s="16">
        <ns0:f>(F27+H27)*(1-'前提と出典'!$B$7)-J27-L27-N27-P27</ns0:f>
        <ns0:v>140607.78325648382</ns0:v>
      </ns0:c>
      <ns0:c r="R27" s="16">
        <ns0:f>(G27+I27)*(1-'前提と出典'!$B$7)-K27-M27-O27</ns0:f>
        <ns0:v>31499.725568014816</ns0:v>
      </ns0:c>
      <ns0:c r="S27" s="16">
        <ns0:f>Q27-F27*'前提と出典'!$E$4</ns0:f>
        <ns0:v>100554.42886212382</ns0:v>
      </ns0:c>
      <ns0:c r="T27" s="16">
        <ns0:f>R27-G27*'前提と出典'!$E$4</ns0:f>
        <ns0:v>15780.239138141893</ns0:v>
      </ns0:c>
      <ns0:c r="U27" s="7">
        <ns0:f>S27+T27</ns0:f>
        <ns0:v>116334.66800026572</ns0:v>
      </ns0:c>
      <ns0:c r="V27" s="16">
        <ns0:f>Q27-F27*'前提と出典'!$E$5</ns0:f>
        <ns0:v>87203.3107306705</ns0:v>
      </ns0:c>
      <ns0:c r="W27" s="16">
        <ns0:f>R27-G27*'前提と出典'!$E$5</ns0:f>
        <ns0:v>10540.410328184262</ns0:v>
      </ns0:c>
      <ns0:c r="X27" s="7">
        <ns0:f>V27+W27</ns0:f>
        <ns0:v>97743.72105885478</ns0:v>
      </ns0:c>
      <ns0:c r="Y27" s="16">
        <ns0:f>Q27-F27*'前提と出典'!$E$6</ns0:f>
        <ns0:v>73852.19259921719</ns0:v>
      </ns0:c>
      <ns0:c r="Z27" s="16">
        <ns0:f>R27-G27*'前提と出典'!$E$6</ns0:f>
        <ns0:v>5300.581518226631</ns0:v>
      </ns0:c>
      <ns0:c r="AA27" s="7">
        <ns0:f>Y27+Z27</ns0:f>
        <ns0:v>79152.77411744383</ns0:v>
      </ns0:c>
      <ns0:c r="AB27" s="7">
        <ns0:f>AB26+U27</ns0:f>
        <ns0:v>784806.3272925739</ns0:v>
      </ns0:c>
      <ns0:c r="AC27" s="7">
        <ns0:f>AC26+X27</ns0:f>
        <ns0:v>561714.9639956423</ns0:v>
      </ns0:c>
      <ns0:c r="AD27" s="7">
        <ns0:f>AD26+AA27</ns0:f>
        <ns0:v>338623.60069871077</ns0:v>
      </ns0:c>
      <ns0:c r="AE27" s="7">
        <ns0:f>MAX(0,-MIN($AB$5:AB27))</ns0:f>
        <ns0:v>185179.99918172893</ns0:v>
      </ns0:c>
      <ns0:c r="AF27" s="7">
        <ns0:f>MAX(0,-MIN($AC$5:AC27))</ns0:f>
        <ns0:v>209365.24984621964</ns0:v>
      </ns0:c>
      <ns0:c r="AG27" s="7">
        <ns0:f>MAX(0,-MIN($AD$5:AD27))</ns0:f>
        <ns0:v>240671.86756805048</ns0:v>
      </ns0:c>
      <ns0:c r="AH27" s="4">
        <ns0:f>IF(U27&gt;=0,A27,37)</ns0:f>
        <ns0:v>23</ns0:v>
      </ns0:c>
      <ns0:c r="AI27" s="4">
        <ns0:f>IF(AB27&gt;=0,A27,37)</ns0:f>
        <ns0:v>23</ns0:v>
      </ns0:c>
      <ns0:c r="AJ27" s="4">
        <ns0:f>IF(X27&gt;=0,A27,37)</ns0:f>
        <ns0:v>23</ns0:v>
      </ns0:c>
      <ns0:c r="AK27" s="4">
        <ns0:f>IF(AC27&gt;=0,A27,37)</ns0:f>
        <ns0:v>23</ns0:v>
      </ns0:c>
      <ns0:c r="AL27" s="4">
        <ns0:f>IF(AA27&gt;=0,A27,37)</ns0:f>
        <ns0:v>23</ns0:v>
      </ns0:c>
      <ns0:c r="AM27" s="4">
        <ns0:f>IF(AD27&gt;=0,A27,37)</ns0:f>
        <ns0:v>23</ns0:v>
      </ns0:c>
    </ns0:row>
    <ns0:row r="28" ht="24" customHeight="1">
      <ns0:c r="A28" s="4" t="n">
        <ns0:v>24</ns0:v>
      </ns0:c>
      <ns0:c r="B28" s="12">
        <ns0:f>B27*(1-'前提と出典'!$B$31)+'前提と出典'!$B$30</ns0:f>
        <ns0:v>72</ns0:v>
      </ns0:c>
      <ns0:c r="C28" s="12">
        <ns0:f>B28*('前提と出典'!$C$36+'前提と出典'!$C$38)</ns0:f>
        <ns0:v>50.4</ns0:v>
      </ns0:c>
      <ns0:c r="D28" s="16">
        <ns0:f>B28*('前提と出典'!$C$37+'前提と出典'!$C$38)</ns0:f>
        <ns0:v>43.199999999999996</ns0:v>
      </ns0:c>
      <ns0:c r="E28" s="16">
        <ns0:f>B28*('前提と出典'!$C$36*'契約別単価'!C5+'前提と出典'!$C$37*'契約別単価'!C6+'前提と出典'!$C$38*'契約別単価'!C7)</ns0:f>
        <ns0:v>518.0782122905027</ns0:v>
      </ns0:c>
      <ns0:c r="F28" s="16">
        <ns0:f>B28*('前提と出典'!$C$36*'契約別単価'!E5+'前提と出典'!$C$37*'契約別単価'!E6+'前提と出典'!$C$38*'契約別単価'!E7)</ns0:f>
        <ns0:v>139316.01528473035</ns0:v>
      </ns0:c>
      <ns0:c r="G28" s="16">
        <ns0:f>B28*('前提と出典'!$C$36*'契約別単価'!F5+'前提と出典'!$C$37*'契約別単価'!F6+'前提と出典'!$C$38*'契約別単価'!F7)</ns0:f>
        <ns0:v>54676.4745386884</ns0:v>
      </ns0:c>
      <ns0:c r="H28" s="16">
        <ns0:f>B28*('前提と出典'!$C$36*'契約別単価'!G5+'前提と出典'!$C$37*'契約別単価'!G6+'前提と出典'!$C$38*'契約別単価'!G7)</ns0:f>
        <ns0:v>143316.20111731841</ns0:v>
      </ns0:c>
      <ns0:c r="I28" s="16">
        <ns0:f>B28*('前提と出典'!$C$36*'契約別単価'!H5+'前提と出典'!$C$37*'契約別単価'!H6+'前提と出典'!$C$38*'契約別単価'!H7)</ns0:f>
        <ns0:v>49737.90966003199</ns0:v>
      </ns0:c>
      <ns0:c r="J28" s="16">
        <ns0:f>B28*('前提と出典'!$C$36*'契約別単価'!I5+'前提と出典'!$C$37*'契約別単価'!I6+'前提と出典'!$C$38*'契約別単価'!I7)</ns0:f>
        <ns0:v>3038.078212290502</ns0:v>
      </ns0:c>
      <ns0:c r="K28" s="16">
        <ns0:f>B28*('前提と出典'!$C$36*'契約別単価'!J5+'前提と出典'!$C$37*'契約別単価'!J6+'前提と出典'!$C$38*'契約別単価'!J7)</ns0:f>
        <ns0:v>7076.847147141785</ns0:v>
      </ns0:c>
      <ns0:c r="L28" s="16">
        <ns0:f>B28*('前提と出典'!$C$36*'契約別単価'!K5+'前提と出典'!$C$37*'契約別単価'!K6+'前提と出典'!$C$38*'契約別単価'!K7)</ns0:f>
        <ns0:v>30333.85474860335</ns0:v>
      </ns0:c>
      <ns0:c r="M28" s="16">
        <ns0:f>B28*('前提と出典'!$C$36*'契約別単価'!L5+'前提と出典'!$C$37*'契約別単価'!L6+'前提と出典'!$C$38*'契約別単価'!L7)</ns0:f>
        <ns0:v>24697.930322001066</ns0:v>
      </ns0:c>
      <ns0:c r="N28" s="16">
        <ns0:f>IF(('前提と出典'!$C$36+'前提と出典'!$C$38)=0,0,IF(C28&lt;=10,'前提と出典'!B73+'前提と出典'!C73,IF(C28&lt;=100,'前提と出典'!B74+'前提と出典'!C74,IF(C28&lt;=500,'前提と出典'!B75+'前提と出典'!C75,'前提と出典'!B76+'前提と出典'!C76))))</ns0:f>
        <ns0:v>20000</ns0:v>
      </ns0:c>
      <ns0:c r="O28" s="16">
        <ns0:f>IF(('前提と出典'!$C$37+'前提と出典'!$C$38)=0,0,IF(D28&lt;=10,'前提と出典'!D73+'前提と出典'!E73,IF(D28&lt;=100,'前提と出典'!D74+'前提と出典'!E74,IF(D28&lt;=500,'前提と出典'!D75+'前提と出典'!E75,'前提と出典'!D76+'前提と出典'!E76))))</ns0:f>
        <ns0:v>34510.9346263078</ns0:v>
      </ns0:c>
      <ns0:c r="P28" s="16">
        <ns0:f>IF('前提と出典'!$C$36+'前提と出典'!$C$38=0,0,'前提と出典'!$B$4*IF('前提と出典'!$B$20=0,MAX('前提と出典'!$B$6,E28*'前提と出典'!$B$5),'前提と出典'!$B$6+E28*'前提と出典'!$B$5))</ns0:f>
        <ns0:v>71494.79329608938</ns0:v>
      </ns0:c>
      <ns0:c r="Q28" s="16">
        <ns0:f>(F28+H28)*(1-'前提と出典'!$B$7)-J28-L28-N28-P28</ns0:f>
        <ns0:v>147590.73035459174</ns0:v>
      </ns0:c>
      <ns0:c r="R28" s="16">
        <ns0:f>(G28+I28)*(1-'前提と出典'!$B$7)-K28-M28-O28</ns0:f>
        <ns0:v>34369.75427211581</ns0:v>
      </ns0:c>
      <ns0:c r="S28" s="16">
        <ns0:f>Q28-F28*'前提と出典'!$E$4</ns0:f>
        <ns0:v>105795.92576917268</ns0:v>
      </ns0:c>
      <ns0:c r="T28" s="16">
        <ns0:f>R28-G28*'前提と出典'!$E$4</ns0:f>
        <ns0:v>17966.8119105093</ns0:v>
      </ns0:c>
      <ns0:c r="U28" s="7">
        <ns0:f>S28+T28</ns0:f>
        <ns0:v>123762.73767968197</ns0:v>
      </ns0:c>
      <ns0:c r="V28" s="16">
        <ns0:f>Q28-F28*'前提と出典'!$E$5</ns0:f>
        <ns0:v>91864.3242406996</ns0:v>
      </ns0:c>
      <ns0:c r="W28" s="16">
        <ns0:f>R28-G28*'前提と出典'!$E$5</ns0:f>
        <ns0:v>12499.16445664045</ns0:v>
      </ns0:c>
      <ns0:c r="X28" s="7">
        <ns0:f>V28+W28</ns0:f>
        <ns0:v>104363.48869734004</ns0:v>
      </ns0:c>
      <ns0:c r="Y28" s="16">
        <ns0:f>Q28-F28*'前提と出典'!$E$6</ns0:f>
        <ns0:v>77932.72271222658</ns0:v>
      </ns0:c>
      <ns0:c r="Z28" s="16">
        <ns0:f>R28-G28*'前提と出典'!$E$6</ns0:f>
        <ns0:v>7031.517002771616</ns0:v>
      </ns0:c>
      <ns0:c r="AA28" s="7">
        <ns0:f>Y28+Z28</ns0:f>
        <ns0:v>84964.2397149982</ns0:v>
      </ns0:c>
      <ns0:c r="AB28" s="7">
        <ns0:f>AB27+U28</ns0:f>
        <ns0:v>908569.0649722558</ns0:v>
      </ns0:c>
      <ns0:c r="AC28" s="7">
        <ns0:f>AC27+X28</ns0:f>
        <ns0:v>666078.4526929823</ns0:v>
      </ns0:c>
      <ns0:c r="AD28" s="7">
        <ns0:f>AD27+AA28</ns0:f>
        <ns0:v>423587.84041370894</ns0:v>
      </ns0:c>
      <ns0:c r="AE28" s="7">
        <ns0:f>MAX(0,-MIN($AB$5:AB28))</ns0:f>
        <ns0:v>185179.99918172893</ns0:v>
      </ns0:c>
      <ns0:c r="AF28" s="7">
        <ns0:f>MAX(0,-MIN($AC$5:AC28))</ns0:f>
        <ns0:v>209365.24984621964</ns0:v>
      </ns0:c>
      <ns0:c r="AG28" s="7">
        <ns0:f>MAX(0,-MIN($AD$5:AD28))</ns0:f>
        <ns0:v>240671.86756805048</ns0:v>
      </ns0:c>
      <ns0:c r="AH28" s="4">
        <ns0:f>IF(U28&gt;=0,A28,37)</ns0:f>
        <ns0:v>24</ns0:v>
      </ns0:c>
      <ns0:c r="AI28" s="4">
        <ns0:f>IF(AB28&gt;=0,A28,37)</ns0:f>
        <ns0:v>24</ns0:v>
      </ns0:c>
      <ns0:c r="AJ28" s="4">
        <ns0:f>IF(X28&gt;=0,A28,37)</ns0:f>
        <ns0:v>24</ns0:v>
      </ns0:c>
      <ns0:c r="AK28" s="4">
        <ns0:f>IF(AC28&gt;=0,A28,37)</ns0:f>
        <ns0:v>24</ns0:v>
      </ns0:c>
      <ns0:c r="AL28" s="4">
        <ns0:f>IF(AA28&gt;=0,A28,37)</ns0:f>
        <ns0:v>24</ns0:v>
      </ns0:c>
      <ns0:c r="AM28" s="4">
        <ns0:f>IF(AD28&gt;=0,A28,37)</ns0:f>
        <ns0:v>24</ns0:v>
      </ns0:c>
    </ns0:row>
    <ns0:row r="29" ht="24" customHeight="1">
      <ns0:c r="A29" s="4" t="n">
        <ns0:v>25</ns0:v>
      </ns0:c>
      <ns0:c r="B29" s="12">
        <ns0:f>B28*(1-'前提と出典'!$B$31)+'前提と出典'!$B$30</ns0:f>
        <ns0:v>75</ns0:v>
      </ns0:c>
      <ns0:c r="C29" s="12">
        <ns0:f>B29*('前提と出典'!$C$36+'前提と出典'!$C$38)</ns0:f>
        <ns0:v>52.5</ns0:v>
      </ns0:c>
      <ns0:c r="D29" s="16">
        <ns0:f>B29*('前提と出典'!$C$37+'前提と出典'!$C$38)</ns0:f>
        <ns0:v>45</ns0:v>
      </ns0:c>
      <ns0:c r="E29" s="16">
        <ns0:f>B29*('前提と出典'!$C$36*'契約別単価'!C5+'前提と出典'!$C$37*'契約別単価'!C6+'前提と出典'!$C$38*'契約別単価'!C7)</ns0:f>
        <ns0:v>539.6648044692737</ns0:v>
      </ns0:c>
      <ns0:c r="F29" s="16">
        <ns0:f>B29*('前提と出典'!$C$36*'契約別単価'!E5+'前提と出典'!$C$37*'契約別単価'!E6+'前提と出典'!$C$38*'契約別単価'!E7)</ns0:f>
        <ns0:v>145120.84925492745</ns0:v>
      </ns0:c>
      <ns0:c r="G29" s="16">
        <ns0:f>B29*('前提と出典'!$C$36*'契約別単価'!F5+'前提と出典'!$C$37*'契約別単価'!F6+'前提と出典'!$C$38*'契約別単価'!F7)</ns0:f>
        <ns0:v>56954.66097780041</ns0:v>
      </ns0:c>
      <ns0:c r="H29" s="16">
        <ns0:f>B29*('前提と出典'!$C$36*'契約別単価'!G5+'前提と出典'!$C$37*'契約別単価'!G6+'前提と出典'!$C$38*'契約別単価'!G7)</ns0:f>
        <ns0:v>149287.7094972067</ns0:v>
      </ns0:c>
      <ns0:c r="I29" s="16">
        <ns0:f>B29*('前提と出典'!$C$36*'契約別単価'!H5+'前提と出典'!$C$37*'契約別単価'!H6+'前提と出典'!$C$38*'契約別単価'!H7)</ns0:f>
        <ns0:v>51810.32256253333</ns0:v>
      </ns0:c>
      <ns0:c r="J29" s="16">
        <ns0:f>B29*('前提と出典'!$C$36*'契約別単価'!I5+'前提と出典'!$C$37*'契約別単価'!I6+'前提と出典'!$C$38*'契約別単価'!I7)</ns0:f>
        <ns0:v>3164.6648044692733</ns0:v>
      </ns0:c>
      <ns0:c r="K29" s="16">
        <ns0:f>B29*('前提と出典'!$C$36*'契約別単価'!J5+'前提と出典'!$C$37*'契約別単価'!J6+'前提と出典'!$C$38*'契約別単価'!J7)</ns0:f>
        <ns0:v>7371.715778272693</ns0:v>
      </ns0:c>
      <ns0:c r="L29" s="16">
        <ns0:f>B29*('前提と出典'!$C$36*'契約別単価'!K5+'前提と出典'!$C$37*'契約別単価'!K6+'前提と出典'!$C$38*'契約別単価'!K7)</ns0:f>
        <ns0:v>31597.76536312849</ns0:v>
      </ns0:c>
      <ns0:c r="M29" s="16">
        <ns0:f>B29*('前提と出典'!$C$36*'契約別単価'!L5+'前提と出典'!$C$37*'契約別単価'!L6+'前提と出典'!$C$38*'契約別単価'!L7)</ns0:f>
        <ns0:v>25727.010752084443</ns0:v>
      </ns0:c>
      <ns0:c r="N29" s="16">
        <ns0:f>IF(('前提と出典'!$C$36+'前提と出典'!$C$38)=0,0,IF(C29&lt;=10,'前提と出典'!B73+'前提と出典'!C73,IF(C29&lt;=100,'前提と出典'!B74+'前提と出典'!C74,IF(C29&lt;=500,'前提と出典'!B75+'前提と出典'!C75,'前提と出典'!B76+'前提と出典'!C76))))</ns0:f>
        <ns0:v>20000</ns0:v>
      </ns0:c>
      <ns0:c r="O29" s="16">
        <ns0:f>IF(('前提と出典'!$C$37+'前提と出典'!$C$38)=0,0,IF(D29&lt;=10,'前提と出典'!D73+'前提と出典'!E73,IF(D29&lt;=100,'前提と出典'!D74+'前提と出典'!E74,IF(D29&lt;=500,'前提と出典'!D75+'前提と出典'!E75,'前提と出典'!D76+'前提と出典'!E76))))</ns0:f>
        <ns0:v>34510.9346263078</ns0:v>
      </ns0:c>
      <ns0:c r="P29" s="16">
        <ns0:f>IF('前提と出典'!$C$36+'前提と出典'!$C$38=0,0,'前提と出典'!$B$4*IF('前提と出典'!$B$20=0,MAX('前提と出典'!$B$6,E29*'前提と出典'!$B$5),'前提と出典'!$B$6+E29*'前提と出典'!$B$5))</ns0:f>
        <ns0:v>74473.74301675978</ns0:v>
      </ns0:c>
      <ns0:c r="Q29" s="16">
        <ns0:f>(F29+H29)*(1-'前提と出典'!$B$7)-J29-L29-N29-P29</ns0:f>
        <ns0:v>154573.6774526998</ns0:v>
      </ns0:c>
      <ns0:c r="R29" s="16">
        <ns0:f>(G29+I29)*(1-'前提と出典'!$B$7)-K29-M29-O29</ns0:f>
        <ns0:v>37239.782976216804</ns0:v>
      </ns0:c>
      <ns0:c r="S29" s="16">
        <ns0:f>Q29-F29*'前提と出典'!$E$4</ns0:f>
        <ns0:v>111037.42267622158</ns0:v>
      </ns0:c>
      <ns0:c r="T29" s="16">
        <ns0:f>R29-G29*'前提と出典'!$E$4</ns0:f>
        <ns0:v>20153.384682876676</ns0:v>
      </ns0:c>
      <ns0:c r="U29" s="7">
        <ns0:f>S29+T29</ns0:f>
        <ns0:v>131190.80735909825</ns0:v>
      </ns0:c>
      <ns0:c r="V29" s="16">
        <ns0:f>Q29-F29*'前提と出典'!$E$5</ns0:f>
        <ns0:v>96525.33775072882</ns0:v>
      </ns0:c>
      <ns0:c r="W29" s="16">
        <ns0:f>R29-G29*'前提と出典'!$E$5</ns0:f>
        <ns0:v>14457.918585096639</ns0:v>
      </ns0:c>
      <ns0:c r="X29" s="7">
        <ns0:f>V29+W29</ns0:f>
        <ns0:v>110983.25633582546</ns0:v>
      </ns0:c>
      <ns0:c r="Y29" s="16">
        <ns0:f>Q29-F29*'前提と出典'!$E$6</ns0:f>
        <ns0:v>82013.25282523606</ns0:v>
      </ns0:c>
      <ns0:c r="Z29" s="16">
        <ns0:f>R29-G29*'前提と出典'!$E$6</ns0:f>
        <ns0:v>8762.452487316601</ns0:v>
      </ns0:c>
      <ns0:c r="AA29" s="7">
        <ns0:f>Y29+Z29</ns0:f>
        <ns0:v>90775.70531255266</ns0:v>
      </ns0:c>
      <ns0:c r="AB29" s="7">
        <ns0:f>AB28+U29</ns0:f>
        <ns0:v>1039759.8723313541</ns0:v>
      </ns0:c>
      <ns0:c r="AC29" s="7">
        <ns0:f>AC28+X29</ns0:f>
        <ns0:v>777061.7090288077</ns0:v>
      </ns0:c>
      <ns0:c r="AD29" s="7">
        <ns0:f>AD28+AA29</ns0:f>
        <ns0:v>514363.54572626157</ns0:v>
      </ns0:c>
      <ns0:c r="AE29" s="7">
        <ns0:f>MAX(0,-MIN($AB$5:AB29))</ns0:f>
        <ns0:v>185179.99918172893</ns0:v>
      </ns0:c>
      <ns0:c r="AF29" s="7">
        <ns0:f>MAX(0,-MIN($AC$5:AC29))</ns0:f>
        <ns0:v>209365.24984621964</ns0:v>
      </ns0:c>
      <ns0:c r="AG29" s="7">
        <ns0:f>MAX(0,-MIN($AD$5:AD29))</ns0:f>
        <ns0:v>240671.86756805048</ns0:v>
      </ns0:c>
      <ns0:c r="AH29" s="4">
        <ns0:f>IF(U29&gt;=0,A29,37)</ns0:f>
        <ns0:v>25</ns0:v>
      </ns0:c>
      <ns0:c r="AI29" s="4">
        <ns0:f>IF(AB29&gt;=0,A29,37)</ns0:f>
        <ns0:v>25</ns0:v>
      </ns0:c>
      <ns0:c r="AJ29" s="4">
        <ns0:f>IF(X29&gt;=0,A29,37)</ns0:f>
        <ns0:v>25</ns0:v>
      </ns0:c>
      <ns0:c r="AK29" s="4">
        <ns0:f>IF(AC29&gt;=0,A29,37)</ns0:f>
        <ns0:v>25</ns0:v>
      </ns0:c>
      <ns0:c r="AL29" s="4">
        <ns0:f>IF(AA29&gt;=0,A29,37)</ns0:f>
        <ns0:v>25</ns0:v>
      </ns0:c>
      <ns0:c r="AM29" s="4">
        <ns0:f>IF(AD29&gt;=0,A29,37)</ns0:f>
        <ns0:v>25</ns0:v>
      </ns0:c>
    </ns0:row>
    <ns0:row r="30" ht="24" customHeight="1">
      <ns0:c r="A30" s="4" t="n">
        <ns0:v>26</ns0:v>
      </ns0:c>
      <ns0:c r="B30" s="12">
        <ns0:f>B29*(1-'前提と出典'!$B$31)+'前提と出典'!$B$30</ns0:f>
        <ns0:v>78</ns0:v>
      </ns0:c>
      <ns0:c r="C30" s="12">
        <ns0:f>B30*('前提と出典'!$C$36+'前提と出典'!$C$38)</ns0:f>
        <ns0:v>54.599999999999994</ns0:v>
      </ns0:c>
      <ns0:c r="D30" s="16">
        <ns0:f>B30*('前提と出典'!$C$37+'前提と出典'!$C$38)</ns0:f>
        <ns0:v>46.8</ns0:v>
      </ns0:c>
      <ns0:c r="E30" s="16">
        <ns0:f>B30*('前提と出典'!$C$36*'契約別単価'!C5+'前提と出典'!$C$37*'契約別単価'!C6+'前提と出典'!$C$38*'契約別単価'!C7)</ns0:f>
        <ns0:v>561.2513966480446</ns0:v>
      </ns0:c>
      <ns0:c r="F30" s="16">
        <ns0:f>B30*('前提と出典'!$C$36*'契約別単価'!E5+'前提と出典'!$C$37*'契約別単価'!E6+'前提と出典'!$C$38*'契約別単価'!E7)</ns0:f>
        <ns0:v>150925.68322512455</ns0:v>
      </ns0:c>
      <ns0:c r="G30" s="16">
        <ns0:f>B30*('前提と出典'!$C$36*'契約別単価'!F5+'前提と出典'!$C$37*'契約別単価'!F6+'前提と出典'!$C$38*'契約別単価'!F7)</ns0:f>
        <ns0:v>59232.84741691243</ns0:v>
      </ns0:c>
      <ns0:c r="H30" s="16">
        <ns0:f>B30*('前提と出典'!$C$36*'契約別単価'!G5+'前提と出典'!$C$37*'契約別単価'!G6+'前提と出典'!$C$38*'契約別単価'!G7)</ns0:f>
        <ns0:v>155259.21787709495</ns0:v>
      </ns0:c>
      <ns0:c r="I30" s="16">
        <ns0:f>B30*('前提と出典'!$C$36*'契約別単価'!H5+'前提と出典'!$C$37*'契約別単価'!H6+'前提と出典'!$C$38*'契約別単価'!H7)</ns0:f>
        <ns0:v>53882.73546503466</ns0:v>
      </ns0:c>
      <ns0:c r="J30" s="16">
        <ns0:f>B30*('前提と出典'!$C$36*'契約別単価'!I5+'前提と出典'!$C$37*'契約別単価'!I6+'前提と出典'!$C$38*'契約別単価'!I7)</ns0:f>
        <ns0:v>3291.251396648044</ns0:v>
      </ns0:c>
      <ns0:c r="K30" s="16">
        <ns0:f>B30*('前提と出典'!$C$36*'契約別単価'!J5+'前提と出典'!$C$37*'契約別単価'!J6+'前提と出典'!$C$38*'契約別単価'!J7)</ns0:f>
        <ns0:v>7666.5844094036</ns0:v>
      </ns0:c>
      <ns0:c r="L30" s="16">
        <ns0:f>B30*('前提と出典'!$C$36*'契約別単価'!K5+'前提と出典'!$C$37*'契約別単価'!K6+'前提と出典'!$C$38*'契約別単価'!K7)</ns0:f>
        <ns0:v>32861.67597765363</ns0:v>
      </ns0:c>
      <ns0:c r="M30" s="16">
        <ns0:f>B30*('前提と出典'!$C$36*'契約別単価'!L5+'前提と出典'!$C$37*'契約別単価'!L6+'前提と出典'!$C$38*'契約別単価'!L7)</ns0:f>
        <ns0:v>26756.09118216782</ns0:v>
      </ns0:c>
      <ns0:c r="N30" s="16">
        <ns0:f>IF(('前提と出典'!$C$36+'前提と出典'!$C$38)=0,0,IF(C30&lt;=10,'前提と出典'!B73+'前提と出典'!C73,IF(C30&lt;=100,'前提と出典'!B74+'前提と出典'!C74,IF(C30&lt;=500,'前提と出典'!B75+'前提と出典'!C75,'前提と出典'!B76+'前提と出典'!C76))))</ns0:f>
        <ns0:v>20000</ns0:v>
      </ns0:c>
      <ns0:c r="O30" s="16">
        <ns0:f>IF(('前提と出典'!$C$37+'前提と出典'!$C$38)=0,0,IF(D30&lt;=10,'前提と出典'!D73+'前提と出典'!E73,IF(D30&lt;=100,'前提と出典'!D74+'前提と出典'!E74,IF(D30&lt;=500,'前提と出典'!D75+'前提と出典'!E75,'前提と出典'!D76+'前提と出典'!E76))))</ns0:f>
        <ns0:v>34510.9346263078</ns0:v>
      </ns0:c>
      <ns0:c r="P30" s="16">
        <ns0:f>IF('前提と出典'!$C$36+'前提と出典'!$C$38=0,0,'前提と出典'!$B$4*IF('前提と出典'!$B$20=0,MAX('前提と出典'!$B$6,E30*'前提と出典'!$B$5),'前提と出典'!$B$6+E30*'前提と出典'!$B$5))</ns0:f>
        <ns0:v>77452.69273743016</ns0:v>
      </ns0:c>
      <ns0:c r="Q30" s="16">
        <ns0:f>(F30+H30)*(1-'前提と出典'!$B$7)-J30-L30-N30-P30</ns0:f>
        <ns0:v>161556.62455080776</ns0:v>
      </ns0:c>
      <ns0:c r="R30" s="16">
        <ns0:f>(G30+I30)*(1-'前提と出典'!$B$7)-K30-M30-O30</ns0:f>
        <ns0:v>40109.81168031777</ns0:v>
      </ns0:c>
      <ns0:c r="S30" s="16">
        <ns0:f>Q30-F30*'前提と出典'!$E$4</ns0:f>
        <ns0:v>116278.91958327038</ns0:v>
      </ns0:c>
      <ns0:c r="T30" s="16">
        <ns0:f>R30-G30*'前提と出典'!$E$4</ns0:f>
        <ns0:v>22339.957455244054</ns0:v>
      </ns0:c>
      <ns0:c r="U30" s="7">
        <ns0:f>S30+T30</ns0:f>
        <ns0:v>138618.87703851445</ns0:v>
      </ns0:c>
      <ns0:c r="V30" s="16">
        <ns0:f>Q30-F30*'前提と出典'!$E$5</ns0:f>
        <ns0:v>101186.35126075795</ns0:v>
      </ns0:c>
      <ns0:c r="W30" s="16">
        <ns0:f>R30-G30*'前提と出典'!$E$5</ns0:f>
        <ns0:v>16416.672713552798</ns0:v>
      </ns0:c>
      <ns0:c r="X30" s="7">
        <ns0:f>V30+W30</ns0:f>
        <ns0:v>117603.02397431075</ns0:v>
      </ns0:c>
      <ns0:c r="Y30" s="16">
        <ns0:f>Q30-F30*'前提と出典'!$E$6</ns0:f>
        <ns0:v>86093.78293824548</ns0:v>
      </ns0:c>
      <ns0:c r="Z30" s="16">
        <ns0:f>R30-G30*'前提と出典'!$E$6</ns0:f>
        <ns0:v>10493.387971861557</ns0:v>
      </ns0:c>
      <ns0:c r="AA30" s="7">
        <ns0:f>Y30+Z30</ns0:f>
        <ns0:v>96587.17091010703</ns0:v>
      </ns0:c>
      <ns0:c r="AB30" s="7">
        <ns0:f>AB29+U30</ns0:f>
        <ns0:v>1178378.7493698685</ns0:v>
      </ns0:c>
      <ns0:c r="AC30" s="7">
        <ns0:f>AC29+X30</ns0:f>
        <ns0:v>894664.7330031184</ns0:v>
      </ns0:c>
      <ns0:c r="AD30" s="7">
        <ns0:f>AD29+AA30</ns0:f>
        <ns0:v>610950.7166363685</ns0:v>
      </ns0:c>
      <ns0:c r="AE30" s="7">
        <ns0:f>MAX(0,-MIN($AB$5:AB30))</ns0:f>
        <ns0:v>185179.99918172893</ns0:v>
      </ns0:c>
      <ns0:c r="AF30" s="7">
        <ns0:f>MAX(0,-MIN($AC$5:AC30))</ns0:f>
        <ns0:v>209365.24984621964</ns0:v>
      </ns0:c>
      <ns0:c r="AG30" s="7">
        <ns0:f>MAX(0,-MIN($AD$5:AD30))</ns0:f>
        <ns0:v>240671.86756805048</ns0:v>
      </ns0:c>
      <ns0:c r="AH30" s="4">
        <ns0:f>IF(U30&gt;=0,A30,37)</ns0:f>
        <ns0:v>26</ns0:v>
      </ns0:c>
      <ns0:c r="AI30" s="4">
        <ns0:f>IF(AB30&gt;=0,A30,37)</ns0:f>
        <ns0:v>26</ns0:v>
      </ns0:c>
      <ns0:c r="AJ30" s="4">
        <ns0:f>IF(X30&gt;=0,A30,37)</ns0:f>
        <ns0:v>26</ns0:v>
      </ns0:c>
      <ns0:c r="AK30" s="4">
        <ns0:f>IF(AC30&gt;=0,A30,37)</ns0:f>
        <ns0:v>26</ns0:v>
      </ns0:c>
      <ns0:c r="AL30" s="4">
        <ns0:f>IF(AA30&gt;=0,A30,37)</ns0:f>
        <ns0:v>26</ns0:v>
      </ns0:c>
      <ns0:c r="AM30" s="4">
        <ns0:f>IF(AD30&gt;=0,A30,37)</ns0:f>
        <ns0:v>26</ns0:v>
      </ns0:c>
    </ns0:row>
    <ns0:row r="31" ht="24" customHeight="1">
      <ns0:c r="A31" s="4" t="n">
        <ns0:v>27</ns0:v>
      </ns0:c>
      <ns0:c r="B31" s="12">
        <ns0:f>B30*(1-'前提と出典'!$B$31)+'前提と出典'!$B$30</ns0:f>
        <ns0:v>81</ns0:v>
      </ns0:c>
      <ns0:c r="C31" s="12">
        <ns0:f>B31*('前提と出典'!$C$36+'前提と出典'!$C$38)</ns0:f>
        <ns0:v>56.699999999999996</ns0:v>
      </ns0:c>
      <ns0:c r="D31" s="16">
        <ns0:f>B31*('前提と出典'!$C$37+'前提と出典'!$C$38)</ns0:f>
        <ns0:v>48.6</ns0:v>
      </ns0:c>
      <ns0:c r="E31" s="16">
        <ns0:f>B31*('前提と出典'!$C$36*'契約別単価'!C5+'前提と出典'!$C$37*'契約別単価'!C6+'前提と出典'!$C$38*'契約別単価'!C7)</ns0:f>
        <ns0:v>582.8379888268156</ns0:v>
      </ns0:c>
      <ns0:c r="F31" s="16">
        <ns0:f>B31*('前提と出典'!$C$36*'契約別単価'!E5+'前提と出典'!$C$37*'契約別単価'!E6+'前提と出典'!$C$38*'契約別単価'!E7)</ns0:f>
        <ns0:v>156730.51719532165</ns0:v>
      </ns0:c>
      <ns0:c r="G31" s="16">
        <ns0:f>B31*('前提と出典'!$C$36*'契約別単価'!F5+'前提と出典'!$C$37*'契約別単価'!F6+'前提と出典'!$C$38*'契約別単価'!F7)</ns0:f>
        <ns0:v>61511.03385602445</ns0:v>
      </ns0:c>
      <ns0:c r="H31" s="16">
        <ns0:f>B31*('前提と出典'!$C$36*'契約別単価'!G5+'前提と出典'!$C$37*'契約別単価'!G6+'前提と出典'!$C$38*'契約別単価'!G7)</ns0:f>
        <ns0:v>161230.72625698324</ns0:v>
      </ns0:c>
      <ns0:c r="I31" s="16">
        <ns0:f>B31*('前提と出典'!$C$36*'契約別単価'!H5+'前提と出典'!$C$37*'契約別単価'!H6+'前提と出典'!$C$38*'契約別単価'!H7)</ns0:f>
        <ns0:v>55955.14836753599</ns0:v>
      </ns0:c>
      <ns0:c r="J31" s="16">
        <ns0:f>B31*('前提と出典'!$C$36*'契約別単価'!I5+'前提と出典'!$C$37*'契約別単価'!I6+'前提と出典'!$C$38*'契約別単価'!I7)</ns0:f>
        <ns0:v>3417.837988826815</ns0:v>
      </ns0:c>
      <ns0:c r="K31" s="16">
        <ns0:f>B31*('前提と出典'!$C$36*'契約別単価'!J5+'前提と出典'!$C$37*'契約別単価'!J6+'前提と出典'!$C$38*'契約別単価'!J7)</ns0:f>
        <ns0:v>7961.453040534508</ns0:v>
      </ns0:c>
      <ns0:c r="L31" s="16">
        <ns0:f>B31*('前提と出典'!$C$36*'契約別単価'!K5+'前提と出典'!$C$37*'契約別単価'!K6+'前提と出典'!$C$38*'契約別単価'!K7)</ns0:f>
        <ns0:v>34125.58659217877</ns0:v>
      </ns0:c>
      <ns0:c r="M31" s="16">
        <ns0:f>B31*('前提と出典'!$C$36*'契約別単価'!L5+'前提と出典'!$C$37*'契約別単価'!L6+'前提と出典'!$C$38*'契約別単価'!L7)</ns0:f>
        <ns0:v>27785.171612251197</ns0:v>
      </ns0:c>
      <ns0:c r="N31" s="16">
        <ns0:f>IF(('前提と出典'!$C$36+'前提と出典'!$C$38)=0,0,IF(C31&lt;=10,'前提と出典'!B73+'前提と出典'!C73,IF(C31&lt;=100,'前提と出典'!B74+'前提と出典'!C74,IF(C31&lt;=500,'前提と出典'!B75+'前提と出典'!C75,'前提と出典'!B76+'前提と出典'!C76))))</ns0:f>
        <ns0:v>20000</ns0:v>
      </ns0:c>
      <ns0:c r="O31" s="16">
        <ns0:f>IF(('前提と出典'!$C$37+'前提と出典'!$C$38)=0,0,IF(D31&lt;=10,'前提と出典'!D73+'前提と出典'!E73,IF(D31&lt;=100,'前提と出典'!D74+'前提と出典'!E74,IF(D31&lt;=500,'前提と出典'!D75+'前提と出典'!E75,'前提と出典'!D76+'前提と出典'!E76))))</ns0:f>
        <ns0:v>34510.9346263078</ns0:v>
      </ns0:c>
      <ns0:c r="P31" s="16">
        <ns0:f>IF('前提と出典'!$C$36+'前提と出典'!$C$38=0,0,'前提と出典'!$B$4*IF('前提と出典'!$B$20=0,MAX('前提と出典'!$B$6,E31*'前提と出典'!$B$5),'前提と出典'!$B$6+E31*'前提と出典'!$B$5))</ns0:f>
        <ns0:v>80431.64245810056</ns0:v>
      </ns0:c>
      <ns0:c r="Q31" s="16">
        <ns0:f>(F31+H31)*(1-'前提と出典'!$B$7)-J31-L31-N31-P31</ns0:f>
        <ns0:v>168539.57164891576</ns0:v>
      </ns0:c>
      <ns0:c r="R31" s="16">
        <ns0:f>(G31+I31)*(1-'前提と出典'!$B$7)-K31-M31-O31</ns0:f>
        <ns0:v>42979.840384418756</ns0:v>
      </ns0:c>
      <ns0:c r="S31" s="16">
        <ns0:f>Q31-F31*'前提と出典'!$E$4</ns0:f>
        <ns0:v>121520.41649031929</ns0:v>
      </ns0:c>
      <ns0:c r="T31" s="16">
        <ns0:f>R31-G31*'前提と出典'!$E$4</ns0:f>
        <ns0:v>24526.530227611416</ns0:v>
      </ns0:c>
      <ns0:c r="U31" s="7">
        <ns0:f>S31+T31</ns0:f>
        <ns0:v>146046.9467179307</ns0:v>
      </ns0:c>
      <ns0:c r="V31" s="16">
        <ns0:f>Q31-F31*'前提と出典'!$E$5</ns0:f>
        <ns0:v>105847.36477078708</ns0:v>
      </ns0:c>
      <ns0:c r="W31" s="16">
        <ns0:f>R31-G31*'前提と出典'!$E$5</ns0:f>
        <ns0:v>18375.426842008972</ns0:v>
      </ns0:c>
      <ns0:c r="X31" s="7">
        <ns0:f>V31+W31</ns0:f>
        <ns0:v>124222.79161279605</ns0:v>
      </ns0:c>
      <ns0:c r="Y31" s="16">
        <ns0:f>Q31-F31*'前提と出典'!$E$6</ns0:f>
        <ns0:v>90174.31305125494</ns0:v>
      </ns0:c>
      <ns0:c r="Z31" s="16">
        <ns0:f>R31-G31*'前提と出典'!$E$6</ns0:f>
        <ns0:v>12224.323456406528</ns0:v>
      </ns0:c>
      <ns0:c r="AA31" s="7">
        <ns0:f>Y31+Z31</ns0:f>
        <ns0:v>102398.63650766146</ns0:v>
      </ns0:c>
      <ns0:c r="AB31" s="7">
        <ns0:f>AB30+U31</ns0:f>
        <ns0:v>1324425.6960877993</ns0:v>
      </ns0:c>
      <ns0:c r="AC31" s="7">
        <ns0:f>AC30+X31</ns0:f>
        <ns0:v>1018887.5246159144</ns0:v>
      </ns0:c>
      <ns0:c r="AD31" s="7">
        <ns0:f>AD30+AA31</ns0:f>
        <ns0:v>713349.35314403</ns0:v>
      </ns0:c>
      <ns0:c r="AE31" s="7">
        <ns0:f>MAX(0,-MIN($AB$5:AB31))</ns0:f>
        <ns0:v>185179.99918172893</ns0:v>
      </ns0:c>
      <ns0:c r="AF31" s="7">
        <ns0:f>MAX(0,-MIN($AC$5:AC31))</ns0:f>
        <ns0:v>209365.24984621964</ns0:v>
      </ns0:c>
      <ns0:c r="AG31" s="7">
        <ns0:f>MAX(0,-MIN($AD$5:AD31))</ns0:f>
        <ns0:v>240671.86756805048</ns0:v>
      </ns0:c>
      <ns0:c r="AH31" s="4">
        <ns0:f>IF(U31&gt;=0,A31,37)</ns0:f>
        <ns0:v>27</ns0:v>
      </ns0:c>
      <ns0:c r="AI31" s="4">
        <ns0:f>IF(AB31&gt;=0,A31,37)</ns0:f>
        <ns0:v>27</ns0:v>
      </ns0:c>
      <ns0:c r="AJ31" s="4">
        <ns0:f>IF(X31&gt;=0,A31,37)</ns0:f>
        <ns0:v>27</ns0:v>
      </ns0:c>
      <ns0:c r="AK31" s="4">
        <ns0:f>IF(AC31&gt;=0,A31,37)</ns0:f>
        <ns0:v>27</ns0:v>
      </ns0:c>
      <ns0:c r="AL31" s="4">
        <ns0:f>IF(AA31&gt;=0,A31,37)</ns0:f>
        <ns0:v>27</ns0:v>
      </ns0:c>
      <ns0:c r="AM31" s="4">
        <ns0:f>IF(AD31&gt;=0,A31,37)</ns0:f>
        <ns0:v>27</ns0:v>
      </ns0:c>
    </ns0:row>
    <ns0:row r="32" ht="24" customHeight="1">
      <ns0:c r="A32" s="4" t="n">
        <ns0:v>28</ns0:v>
      </ns0:c>
      <ns0:c r="B32" s="12">
        <ns0:f>B31*(1-'前提と出典'!$B$31)+'前提と出典'!$B$30</ns0:f>
        <ns0:v>84</ns0:v>
      </ns0:c>
      <ns0:c r="C32" s="12">
        <ns0:f>B32*('前提と出典'!$C$36+'前提と出典'!$C$38)</ns0:f>
        <ns0:v>58.8</ns0:v>
      </ns0:c>
      <ns0:c r="D32" s="16">
        <ns0:f>B32*('前提と出典'!$C$37+'前提と出典'!$C$38)</ns0:f>
        <ns0:v>50.4</ns0:v>
      </ns0:c>
      <ns0:c r="E32" s="16">
        <ns0:f>B32*('前提と出典'!$C$36*'契約別単価'!C5+'前提と出典'!$C$37*'契約別単価'!C6+'前提と出典'!$C$38*'契約別単価'!C7)</ns0:f>
        <ns0:v>604.4245810055866</ns0:v>
      </ns0:c>
      <ns0:c r="F32" s="16">
        <ns0:f>B32*('前提と出典'!$C$36*'契約別単価'!E5+'前提と出典'!$C$37*'契約別単価'!E6+'前提と出典'!$C$38*'契約別単価'!E7)</ns0:f>
        <ns0:v>162535.35116551875</ns0:v>
      </ns0:c>
      <ns0:c r="G32" s="16">
        <ns0:f>B32*('前提と出典'!$C$36*'契約別単価'!F5+'前提と出典'!$C$37*'契約別単価'!F6+'前提と出典'!$C$38*'契約別単価'!F7)</ns0:f>
        <ns0:v>63789.22029513647</ns0:v>
      </ns0:c>
      <ns0:c r="H32" s="16">
        <ns0:f>B32*('前提と出典'!$C$36*'契約別単価'!G5+'前提と出典'!$C$37*'契約別単価'!G6+'前提と出典'!$C$38*'契約別単価'!G7)</ns0:f>
        <ns0:v>167202.2346368715</ns0:v>
      </ns0:c>
      <ns0:c r="I32" s="16">
        <ns0:f>B32*('前提と出典'!$C$36*'契約別単価'!H5+'前提と出典'!$C$37*'契約別単価'!H6+'前提と出典'!$C$38*'契約別単価'!H7)</ns0:f>
        <ns0:v>58027.561270037324</ns0:v>
      </ns0:c>
      <ns0:c r="J32" s="16">
        <ns0:f>B32*('前提と出典'!$C$36*'契約別単価'!I5+'前提と出典'!$C$37*'契約別単価'!I6+'前提と出典'!$C$38*'契約別単価'!I7)</ns0:f>
        <ns0:v>3544.424581005586</ns0:v>
      </ns0:c>
      <ns0:c r="K32" s="16">
        <ns0:f>B32*('前提と出典'!$C$36*'契約別単価'!J5+'前提と出典'!$C$37*'契約別単価'!J6+'前提と出典'!$C$38*'契約別単価'!J7)</ns0:f>
        <ns0:v>8256.321671665415</ns0:v>
      </ns0:c>
      <ns0:c r="L32" s="16">
        <ns0:f>B32*('前提と出典'!$C$36*'契約別単価'!K5+'前提と出典'!$C$37*'契約別単価'!K6+'前提と出典'!$C$38*'契約別単価'!K7)</ns0:f>
        <ns0:v>35389.497206703905</ns0:v>
      </ns0:c>
      <ns0:c r="M32" s="16">
        <ns0:f>B32*('前提と出典'!$C$36*'契約別単価'!L5+'前提と出典'!$C$37*'契約別単価'!L6+'前提と出典'!$C$38*'契約別単価'!L7)</ns0:f>
        <ns0:v>28814.252042334578</ns0:v>
      </ns0:c>
      <ns0:c r="N32" s="16">
        <ns0:f>IF(('前提と出典'!$C$36+'前提と出典'!$C$38)=0,0,IF(C32&lt;=10,'前提と出典'!B73+'前提と出典'!C73,IF(C32&lt;=100,'前提と出典'!B74+'前提と出典'!C74,IF(C32&lt;=500,'前提と出典'!B75+'前提と出典'!C75,'前提と出典'!B76+'前提と出典'!C76))))</ns0:f>
        <ns0:v>20000</ns0:v>
      </ns0:c>
      <ns0:c r="O32" s="16">
        <ns0:f>IF(('前提と出典'!$C$37+'前提と出典'!$C$38)=0,0,IF(D32&lt;=10,'前提と出典'!D73+'前提と出典'!E73,IF(D32&lt;=100,'前提と出典'!D74+'前提と出典'!E74,IF(D32&lt;=500,'前提と出典'!D75+'前提と出典'!E75,'前提と出典'!D76+'前提と出典'!E76))))</ns0:f>
        <ns0:v>34510.9346263078</ns0:v>
      </ns0:c>
      <ns0:c r="P32" s="16">
        <ns0:f>IF('前提と出典'!$C$36+'前提と出典'!$C$38=0,0,'前提と出典'!$B$4*IF('前提と出典'!$B$20=0,MAX('前提と出典'!$B$6,E32*'前提と出典'!$B$5),'前提と出典'!$B$6+E32*'前提と出典'!$B$5))</ns0:f>
        <ns0:v>83410.59217877094</ns0:v>
      </ns0:c>
      <ns0:c r="Q32" s="16">
        <ns0:f>(F32+H32)*(1-'前提と出典'!$B$7)-J32-L32-N32-P32</ns0:f>
        <ns0:v>175522.51874702374</ns0:v>
      </ns0:c>
      <ns0:c r="R32" s="16">
        <ns0:f>(G32+I32)*(1-'前提と出典'!$B$7)-K32-M32-O32</ns0:f>
        <ns0:v>45849.86908851974</ns0:v>
      </ns0:c>
      <ns0:c r="S32" s="16">
        <ns0:f>Q32-F32*'前提と出典'!$E$4</ns0:f>
        <ns0:v>126761.91339736817</ns0:v>
      </ns0:c>
      <ns0:c r="T32" s="16">
        <ns0:f>R32-G32*'前提と出典'!$E$4</ns0:f>
        <ns0:v>26713.1029999788</ns0:v>
      </ns0:c>
      <ns0:c r="U32" s="7">
        <ns0:f>S32+T32</ns0:f>
        <ns0:v>153475.01639734698</ns0:v>
      </ns0:c>
      <ns0:c r="V32" s="16">
        <ns0:f>Q32-F32*'前提と出典'!$E$5</ns0:f>
        <ns0:v>110508.37828081624</ns0:v>
      </ns0:c>
      <ns0:c r="W32" s="16">
        <ns0:f>R32-G32*'前提と出典'!$E$5</ns0:f>
        <ns0:v>20334.180970465153</ns0:v>
      </ns0:c>
      <ns0:c r="X32" s="7">
        <ns0:f>V32+W32</ns0:f>
        <ns0:v>130842.55925128139</ns0:v>
      </ns0:c>
      <ns0:c r="Y32" s="16">
        <ns0:f>Q32-F32*'前提と出典'!$E$6</ns0:f>
        <ns0:v>94254.84316426438</ns0:v>
      </ns0:c>
      <ns0:c r="Z32" s="16">
        <ns0:f>R32-G32*'前提と出典'!$E$6</ns0:f>
        <ns0:v>13955.258940951506</ns0:v>
      </ns0:c>
      <ns0:c r="AA32" s="7">
        <ns0:f>Y32+Z32</ns0:f>
        <ns0:v>108210.10210521589</ns0:v>
      </ns0:c>
      <ns0:c r="AB32" s="7">
        <ns0:f>AB31+U32</ns0:f>
        <ns0:v>1477900.7124851462</ns0:v>
      </ns0:c>
      <ns0:c r="AC32" s="7">
        <ns0:f>AC31+X32</ns0:f>
        <ns0:v>1149730.0838671958</ns0:v>
      </ns0:c>
      <ns0:c r="AD32" s="7">
        <ns0:f>AD31+AA32</ns0:f>
        <ns0:v>821559.4552492459</ns0:v>
      </ns0:c>
      <ns0:c r="AE32" s="7">
        <ns0:f>MAX(0,-MIN($AB$5:AB32))</ns0:f>
        <ns0:v>185179.99918172893</ns0:v>
      </ns0:c>
      <ns0:c r="AF32" s="7">
        <ns0:f>MAX(0,-MIN($AC$5:AC32))</ns0:f>
        <ns0:v>209365.24984621964</ns0:v>
      </ns0:c>
      <ns0:c r="AG32" s="7">
        <ns0:f>MAX(0,-MIN($AD$5:AD32))</ns0:f>
        <ns0:v>240671.86756805048</ns0:v>
      </ns0:c>
      <ns0:c r="AH32" s="4">
        <ns0:f>IF(U32&gt;=0,A32,37)</ns0:f>
        <ns0:v>28</ns0:v>
      </ns0:c>
      <ns0:c r="AI32" s="4">
        <ns0:f>IF(AB32&gt;=0,A32,37)</ns0:f>
        <ns0:v>28</ns0:v>
      </ns0:c>
      <ns0:c r="AJ32" s="4">
        <ns0:f>IF(X32&gt;=0,A32,37)</ns0:f>
        <ns0:v>28</ns0:v>
      </ns0:c>
      <ns0:c r="AK32" s="4">
        <ns0:f>IF(AC32&gt;=0,A32,37)</ns0:f>
        <ns0:v>28</ns0:v>
      </ns0:c>
      <ns0:c r="AL32" s="4">
        <ns0:f>IF(AA32&gt;=0,A32,37)</ns0:f>
        <ns0:v>28</ns0:v>
      </ns0:c>
      <ns0:c r="AM32" s="4">
        <ns0:f>IF(AD32&gt;=0,A32,37)</ns0:f>
        <ns0:v>28</ns0:v>
      </ns0:c>
    </ns0:row>
    <ns0:row r="33" ht="24" customHeight="1">
      <ns0:c r="A33" s="4" t="n">
        <ns0:v>29</ns0:v>
      </ns0:c>
      <ns0:c r="B33" s="12">
        <ns0:f>B32*(1-'前提と出典'!$B$31)+'前提と出典'!$B$30</ns0:f>
        <ns0:v>87</ns0:v>
      </ns0:c>
      <ns0:c r="C33" s="12">
        <ns0:f>B33*('前提と出典'!$C$36+'前提と出典'!$C$38)</ns0:f>
        <ns0:v>60.9</ns0:v>
      </ns0:c>
      <ns0:c r="D33" s="16">
        <ns0:f>B33*('前提と出典'!$C$37+'前提と出典'!$C$38)</ns0:f>
        <ns0:v>52.199999999999996</ns0:v>
      </ns0:c>
      <ns0:c r="E33" s="16">
        <ns0:f>B33*('前提と出典'!$C$36*'契約別単価'!C5+'前提と出典'!$C$37*'契約別単価'!C6+'前提と出典'!$C$38*'契約別単価'!C7)</ns0:f>
        <ns0:v>626.0111731843575</ns0:v>
      </ns0:c>
      <ns0:c r="F33" s="16">
        <ns0:f>B33*('前提と出典'!$C$36*'契約別単価'!E5+'前提と出典'!$C$37*'契約別単価'!E6+'前提と出典'!$C$38*'契約別単価'!E7)</ns0:f>
        <ns0:v>168340.18513571584</ns0:v>
      </ns0:c>
      <ns0:c r="G33" s="16">
        <ns0:f>B33*('前提と出典'!$C$36*'契約別単価'!F5+'前提と出典'!$C$37*'契約別単価'!F6+'前提と出典'!$C$38*'契約別単価'!F7)</ns0:f>
        <ns0:v>66067.40673424848</ns0:v>
      </ns0:c>
      <ns0:c r="H33" s="16">
        <ns0:f>B33*('前提と出典'!$C$36*'契約別単価'!G5+'前提と出典'!$C$37*'契約別単価'!G6+'前提と出典'!$C$38*'契約別単価'!G7)</ns0:f>
        <ns0:v>173173.74301675978</ns0:v>
      </ns0:c>
      <ns0:c r="I33" s="16">
        <ns0:f>B33*('前提と出典'!$C$36*'契約別単価'!H5+'前提と出典'!$C$37*'契約別単価'!H6+'前提と出典'!$C$38*'契約別単価'!H7)</ns0:f>
        <ns0:v>60099.974172538656</ns0:v>
      </ns0:c>
      <ns0:c r="J33" s="16">
        <ns0:f>B33*('前提と出典'!$C$36*'契約別単価'!I5+'前提と出典'!$C$37*'契約別単価'!I6+'前提と出典'!$C$38*'契約別単価'!I7)</ns0:f>
        <ns0:v>3671.0111731843567</ns0:v>
      </ns0:c>
      <ns0:c r="K33" s="16">
        <ns0:f>B33*('前提と出典'!$C$36*'契約別単価'!J5+'前提と出典'!$C$37*'契約別単価'!J6+'前提と出典'!$C$38*'契約別単価'!J7)</ns0:f>
        <ns0:v>8551.190302796324</ns0:v>
      </ns0:c>
      <ns0:c r="L33" s="16">
        <ns0:f>B33*('前提と出典'!$C$36*'契約別単価'!K5+'前提と出典'!$C$37*'契約別単価'!K6+'前提と出典'!$C$38*'契約別単価'!K7)</ns0:f>
        <ns0:v>36653.40782122905</ns0:v>
      </ns0:c>
      <ns0:c r="M33" s="16">
        <ns0:f>B33*('前提と出典'!$C$36*'契約別単価'!L5+'前提と出典'!$C$37*'契約別単価'!L6+'前提と出典'!$C$38*'契約別単価'!L7)</ns0:f>
        <ns0:v>29843.332472417955</ns0:v>
      </ns0:c>
      <ns0:c r="N33" s="16">
        <ns0:f>IF(('前提と出典'!$C$36+'前提と出典'!$C$38)=0,0,IF(C33&lt;=10,'前提と出典'!B73+'前提と出典'!C73,IF(C33&lt;=100,'前提と出典'!B74+'前提と出典'!C74,IF(C33&lt;=500,'前提と出典'!B75+'前提と出典'!C75,'前提と出典'!B76+'前提と出典'!C76))))</ns0:f>
        <ns0:v>20000</ns0:v>
      </ns0:c>
      <ns0:c r="O33" s="16">
        <ns0:f>IF(('前提と出典'!$C$37+'前提と出典'!$C$38)=0,0,IF(D33&lt;=10,'前提と出典'!D73+'前提と出典'!E73,IF(D33&lt;=100,'前提と出典'!D74+'前提と出典'!E74,IF(D33&lt;=500,'前提と出典'!D75+'前提と出典'!E75,'前提と出典'!D76+'前提と出典'!E76))))</ns0:f>
        <ns0:v>34510.9346263078</ns0:v>
      </ns0:c>
      <ns0:c r="P33" s="16">
        <ns0:f>IF('前提と出典'!$C$36+'前提と出典'!$C$38=0,0,'前提と出典'!$B$4*IF('前提と出典'!$B$20=0,MAX('前提と出典'!$B$6,E33*'前提と出典'!$B$5),'前提と出典'!$B$6+E33*'前提と出典'!$B$5))</ns0:f>
        <ns0:v>86389.54189944135</ns0:v>
      </ns0:c>
      <ns0:c r="Q33" s="16">
        <ns0:f>(F33+H33)*(1-'前提と出典'!$B$7)-J33-L33-N33-P33</ns0:f>
        <ns0:v>182505.46584513175</ns0:v>
      </ns0:c>
      <ns0:c r="R33" s="16">
        <ns0:f>(G33+I33)*(1-'前提と出典'!$B$7)-K33-M33-O33</ns0:f>
        <ns0:v>48719.89779262073</ns0:v>
      </ns0:c>
      <ns0:c r="S33" s="16">
        <ns0:f>Q33-F33*'前提と出典'!$E$4</ns0:f>
        <ns0:v>132003.41030441696</ns0:v>
      </ns0:c>
      <ns0:c r="T33" s="16">
        <ns0:f>R33-G33*'前提と出典'!$E$4</ns0:f>
        <ns0:v>28899.675772346185</ns0:v>
      </ns0:c>
      <ns0:c r="U33" s="7">
        <ns0:f>S33+T33</ns0:f>
        <ns0:v>160903.08607676314</ns0:v>
      </ns0:c>
      <ns0:c r="V33" s="16">
        <ns0:f>Q33-F33*'前提と出典'!$E$5</ns0:f>
        <ns0:v>115169.39179084542</ns0:v>
      </ns0:c>
      <ns0:c r="W33" s="16">
        <ns0:f>R33-G33*'前提と出典'!$E$5</ns0:f>
        <ns0:v>22292.935098921334</ns0:v>
      </ns0:c>
      <ns0:c r="X33" s="7">
        <ns0:f>V33+W33</ns0:f>
        <ns0:v>137462.32688976676</ns0:v>
      </ns0:c>
      <ns0:c r="Y33" s="16">
        <ns0:f>Q33-F33*'前提と出典'!$E$6</ns0:f>
        <ns0:v>98335.37327727383</ns0:v>
      </ns0:c>
      <ns0:c r="Z33" s="16">
        <ns0:f>R33-G33*'前提と出典'!$E$6</ns0:f>
        <ns0:v>15686.194425496484</ns0:v>
      </ns0:c>
      <ns0:c r="AA33" s="7">
        <ns0:f>Y33+Z33</ns0:f>
        <ns0:v>114021.56770277032</ns0:v>
      </ns0:c>
      <ns0:c r="AB33" s="7">
        <ns0:f>AB32+U33</ns0:f>
        <ns0:v>1638803.7985619095</ns0:v>
      </ns0:c>
      <ns0:c r="AC33" s="7">
        <ns0:f>AC32+X33</ns0:f>
        <ns0:v>1287192.4107569626</ns0:v>
      </ns0:c>
      <ns0:c r="AD33" s="7">
        <ns0:f>AD32+AA33</ns0:f>
        <ns0:v>935581.0229520162</ns0:v>
      </ns0:c>
      <ns0:c r="AE33" s="7">
        <ns0:f>MAX(0,-MIN($AB$5:AB33))</ns0:f>
        <ns0:v>185179.99918172893</ns0:v>
      </ns0:c>
      <ns0:c r="AF33" s="7">
        <ns0:f>MAX(0,-MIN($AC$5:AC33))</ns0:f>
        <ns0:v>209365.24984621964</ns0:v>
      </ns0:c>
      <ns0:c r="AG33" s="7">
        <ns0:f>MAX(0,-MIN($AD$5:AD33))</ns0:f>
        <ns0:v>240671.86756805048</ns0:v>
      </ns0:c>
      <ns0:c r="AH33" s="4">
        <ns0:f>IF(U33&gt;=0,A33,37)</ns0:f>
        <ns0:v>29</ns0:v>
      </ns0:c>
      <ns0:c r="AI33" s="4">
        <ns0:f>IF(AB33&gt;=0,A33,37)</ns0:f>
        <ns0:v>29</ns0:v>
      </ns0:c>
      <ns0:c r="AJ33" s="4">
        <ns0:f>IF(X33&gt;=0,A33,37)</ns0:f>
        <ns0:v>29</ns0:v>
      </ns0:c>
      <ns0:c r="AK33" s="4">
        <ns0:f>IF(AC33&gt;=0,A33,37)</ns0:f>
        <ns0:v>29</ns0:v>
      </ns0:c>
      <ns0:c r="AL33" s="4">
        <ns0:f>IF(AA33&gt;=0,A33,37)</ns0:f>
        <ns0:v>29</ns0:v>
      </ns0:c>
      <ns0:c r="AM33" s="4">
        <ns0:f>IF(AD33&gt;=0,A33,37)</ns0:f>
        <ns0:v>29</ns0:v>
      </ns0:c>
    </ns0:row>
    <ns0:row r="34" ht="24" customHeight="1">
      <ns0:c r="A34" s="4" t="n">
        <ns0:v>30</ns0:v>
      </ns0:c>
      <ns0:c r="B34" s="12">
        <ns0:f>B33*(1-'前提と出典'!$B$31)+'前提と出典'!$B$30</ns0:f>
        <ns0:v>90</ns0:v>
      </ns0:c>
      <ns0:c r="C34" s="12">
        <ns0:f>B34*('前提と出典'!$C$36+'前提と出典'!$C$38)</ns0:f>
        <ns0:v>62.99999999999999</ns0:v>
      </ns0:c>
      <ns0:c r="D34" s="16">
        <ns0:f>B34*('前提と出典'!$C$37+'前提と出典'!$C$38)</ns0:f>
        <ns0:v>54</ns0:v>
      </ns0:c>
      <ns0:c r="E34" s="16">
        <ns0:f>B34*('前提と出典'!$C$36*'契約別単価'!C5+'前提と出典'!$C$37*'契約別単価'!C6+'前提と出典'!$C$38*'契約別単価'!C7)</ns0:f>
        <ns0:v>647.5977653631285</ns0:v>
      </ns0:c>
      <ns0:c r="F34" s="16">
        <ns0:f>B34*('前提と出典'!$C$36*'契約別単価'!E5+'前提と出典'!$C$37*'契約別単価'!E6+'前提と出典'!$C$38*'契約別単価'!E7)</ns0:f>
        <ns0:v>174145.01910591294</ns0:v>
      </ns0:c>
      <ns0:c r="G34" s="16">
        <ns0:f>B34*('前提と出典'!$C$36*'契約別単価'!F5+'前提と出典'!$C$37*'契約別単価'!F6+'前提と出典'!$C$38*'契約別単価'!F7)</ns0:f>
        <ns0:v>68345.5931733605</ns0:v>
      </ns0:c>
      <ns0:c r="H34" s="16">
        <ns0:f>B34*('前提と出典'!$C$36*'契約別単価'!G5+'前提と出典'!$C$37*'契約別単価'!G6+'前提と出典'!$C$38*'契約別単価'!G7)</ns0:f>
        <ns0:v>179145.25139664803</ns0:v>
      </ns0:c>
      <ns0:c r="I34" s="16">
        <ns0:f>B34*('前提と出典'!$C$36*'契約別単価'!H5+'前提と出典'!$C$37*'契約別単価'!H6+'前提と出典'!$C$38*'契約別単価'!H7)</ns0:f>
        <ns0:v>62172.387075039995</ns0:v>
      </ns0:c>
      <ns0:c r="J34" s="16">
        <ns0:f>B34*('前提と出典'!$C$36*'契約別単価'!I5+'前提と出典'!$C$37*'契約別単価'!I6+'前提と出典'!$C$38*'契約別単価'!I7)</ns0:f>
        <ns0:v>3797.597765363128</ns0:v>
      </ns0:c>
      <ns0:c r="K34" s="16">
        <ns0:f>B34*('前提と出典'!$C$36*'契約別単価'!J5+'前提と出典'!$C$37*'契約別単価'!J6+'前提と出典'!$C$38*'契約別単価'!J7)</ns0:f>
        <ns0:v>8846.058933927232</ns0:v>
      </ns0:c>
      <ns0:c r="L34" s="16">
        <ns0:f>B34*('前提と出典'!$C$36*'契約別単価'!K5+'前提と出典'!$C$37*'契約別単価'!K6+'前提と出典'!$C$38*'契約別単価'!K7)</ns0:f>
        <ns0:v>37917.31843575419</ns0:v>
      </ns0:c>
      <ns0:c r="M34" s="16">
        <ns0:f>B34*('前提と出典'!$C$36*'契約別単価'!L5+'前提と出典'!$C$37*'契約別単価'!L6+'前提と出典'!$C$38*'契約別単価'!L7)</ns0:f>
        <ns0:v>30872.41290250133</ns0:v>
      </ns0:c>
      <ns0:c r="N34" s="16">
        <ns0:f>IF(('前提と出典'!$C$36+'前提と出典'!$C$38)=0,0,IF(C34&lt;=10,'前提と出典'!B73+'前提と出典'!C73,IF(C34&lt;=100,'前提と出典'!B74+'前提と出典'!C74,IF(C34&lt;=500,'前提と出典'!B75+'前提と出典'!C75,'前提と出典'!B76+'前提と出典'!C76))))</ns0:f>
        <ns0:v>20000</ns0:v>
      </ns0:c>
      <ns0:c r="O34" s="16">
        <ns0:f>IF(('前提と出典'!$C$37+'前提と出典'!$C$38)=0,0,IF(D34&lt;=10,'前提と出典'!D73+'前提と出典'!E73,IF(D34&lt;=100,'前提と出典'!D74+'前提と出典'!E74,IF(D34&lt;=500,'前提と出典'!D75+'前提と出典'!E75,'前提と出典'!D76+'前提と出典'!E76))))</ns0:f>
        <ns0:v>34510.9346263078</ns0:v>
      </ns0:c>
      <ns0:c r="P34" s="16">
        <ns0:f>IF('前提と出典'!$C$36+'前提と出典'!$C$38=0,0,'前提と出典'!$B$4*IF('前提と出典'!$B$20=0,MAX('前提と出典'!$B$6,E34*'前提と出典'!$B$5),'前提と出典'!$B$6+E34*'前提と出典'!$B$5))</ns0:f>
        <ns0:v>89368.49162011174</ns0:v>
      </ns0:c>
      <ns0:c r="Q34" s="16">
        <ns0:f>(F34+H34)*(1-'前提と出典'!$B$7)-J34-L34-N34-P34</ns0:f>
        <ns0:v>189488.41294323976</ns0:v>
      </ns0:c>
      <ns0:c r="R34" s="16">
        <ns0:f>(G34+I34)*(1-'前提と出典'!$B$7)-K34-M34-O34</ns0:f>
        <ns0:v>51589.92649672172</ns0:v>
      </ns0:c>
      <ns0:c r="S34" s="16">
        <ns0:f>Q34-F34*'前提と出典'!$E$4</ns0:f>
        <ns0:v>137244.90721146585</ns0:v>
      </ns0:c>
      <ns0:c r="T34" s="16">
        <ns0:f>R34-G34*'前提と出典'!$E$4</ns0:f>
        <ns0:v>31086.248544713577</ns0:v>
      </ns0:c>
      <ns0:c r="U34" s="7">
        <ns0:f>S34+T34</ns0:f>
        <ns0:v>168331.15575617942</ns0:v>
      </ns0:c>
      <ns0:c r="V34" s="16">
        <ns0:f>Q34-F34*'前提と出典'!$E$5</ns0:f>
        <ns0:v>119830.40530087458</ns0:v>
      </ns0:c>
      <ns0:c r="W34" s="16">
        <ns0:f>R34-G34*'前提と出典'!$E$5</ns0:f>
        <ns0:v>24251.689227377516</ns0:v>
      </ns0:c>
      <ns0:c r="X34" s="7">
        <ns0:f>V34+W34</ns0:f>
        <ns0:v>144082.09452825208</ns0:v>
      </ns0:c>
      <ns0:c r="Y34" s="16">
        <ns0:f>Q34-F34*'前提と出典'!$E$6</ns0:f>
        <ns0:v>102415.90339028329</ns0:v>
      </ns0:c>
      <ns0:c r="Z34" s="16">
        <ns0:f>R34-G34*'前提と出典'!$E$6</ns0:f>
        <ns0:v>17417.129910041476</ns0:v>
      </ns0:c>
      <ns0:c r="AA34" s="7">
        <ns0:f>Y34+Z34</ns0:f>
        <ns0:v>119833.03330032477</ns0:v>
      </ns0:c>
      <ns0:c r="AB34" s="7">
        <ns0:f>AB33+U34</ns0:f>
        <ns0:v>1807134.954318089</ns0:v>
      </ns0:c>
      <ns0:c r="AC34" s="7">
        <ns0:f>AC33+X34</ns0:f>
        <ns0:v>1431274.5052852146</ns0:v>
      </ns0:c>
      <ns0:c r="AD34" s="7">
        <ns0:f>AD33+AA34</ns0:f>
        <ns0:v>1055414.056252341</ns0:v>
      </ns0:c>
      <ns0:c r="AE34" s="7">
        <ns0:f>MAX(0,-MIN($AB$5:AB34))</ns0:f>
        <ns0:v>185179.99918172893</ns0:v>
      </ns0:c>
      <ns0:c r="AF34" s="7">
        <ns0:f>MAX(0,-MIN($AC$5:AC34))</ns0:f>
        <ns0:v>209365.24984621964</ns0:v>
      </ns0:c>
      <ns0:c r="AG34" s="7">
        <ns0:f>MAX(0,-MIN($AD$5:AD34))</ns0:f>
        <ns0:v>240671.86756805048</ns0:v>
      </ns0:c>
      <ns0:c r="AH34" s="4">
        <ns0:f>IF(U34&gt;=0,A34,37)</ns0:f>
        <ns0:v>30</ns0:v>
      </ns0:c>
      <ns0:c r="AI34" s="4">
        <ns0:f>IF(AB34&gt;=0,A34,37)</ns0:f>
        <ns0:v>30</ns0:v>
      </ns0:c>
      <ns0:c r="AJ34" s="4">
        <ns0:f>IF(X34&gt;=0,A34,37)</ns0:f>
        <ns0:v>30</ns0:v>
      </ns0:c>
      <ns0:c r="AK34" s="4">
        <ns0:f>IF(AC34&gt;=0,A34,37)</ns0:f>
        <ns0:v>30</ns0:v>
      </ns0:c>
      <ns0:c r="AL34" s="4">
        <ns0:f>IF(AA34&gt;=0,A34,37)</ns0:f>
        <ns0:v>30</ns0:v>
      </ns0:c>
      <ns0:c r="AM34" s="4">
        <ns0:f>IF(AD34&gt;=0,A34,37)</ns0:f>
        <ns0:v>30</ns0:v>
      </ns0:c>
    </ns0:row>
    <ns0:row r="35" ht="24" customHeight="1">
      <ns0:c r="A35" s="4" t="n">
        <ns0:v>31</ns0:v>
      </ns0:c>
      <ns0:c r="B35" s="12">
        <ns0:f>B34*(1-'前提と出典'!$B$31)+'前提と出典'!$B$30</ns0:f>
        <ns0:v>93</ns0:v>
      </ns0:c>
      <ns0:c r="C35" s="12">
        <ns0:f>B35*('前提と出典'!$C$36+'前提と出典'!$C$38)</ns0:f>
        <ns0:v>65.1</ns0:v>
      </ns0:c>
      <ns0:c r="D35" s="16">
        <ns0:f>B35*('前提と出典'!$C$37+'前提と出典'!$C$38)</ns0:f>
        <ns0:v>55.8</ns0:v>
      </ns0:c>
      <ns0:c r="E35" s="16">
        <ns0:f>B35*('前提と出典'!$C$36*'契約別単価'!C5+'前提と出典'!$C$37*'契約別単価'!C6+'前提と出典'!$C$38*'契約別単価'!C7)</ns0:f>
        <ns0:v>669.1843575418994</ns0:v>
      </ns0:c>
      <ns0:c r="F35" s="16">
        <ns0:f>B35*('前提と出典'!$C$36*'契約別単価'!E5+'前提と出典'!$C$37*'契約別単価'!E6+'前提と出典'!$C$38*'契約別単価'!E7)</ns0:f>
        <ns0:v>179949.85307611004</ns0:v>
      </ns0:c>
      <ns0:c r="G35" s="16">
        <ns0:f>B35*('前提と出典'!$C$36*'契約別単価'!F5+'前提と出典'!$C$37*'契約別単価'!F6+'前提と出典'!$C$38*'契約別単価'!F7)</ns0:f>
        <ns0:v>70623.77961247251</ns0:v>
      </ns0:c>
      <ns0:c r="H35" s="16">
        <ns0:f>B35*('前提と出典'!$C$36*'契約別単価'!G5+'前提と出典'!$C$37*'契約別単価'!G6+'前提と出典'!$C$38*'契約別単価'!G7)</ns0:f>
        <ns0:v>185116.75977653632</ns0:v>
      </ns0:c>
      <ns0:c r="I35" s="16">
        <ns0:f>B35*('前提と出典'!$C$36*'契約別単価'!H5+'前提と出典'!$C$37*'契約別単価'!H6+'前提と出典'!$C$38*'契約別単価'!H7)</ns0:f>
        <ns0:v>64244.79997754133</ns0:v>
      </ns0:c>
      <ns0:c r="J35" s="16">
        <ns0:f>B35*('前提と出典'!$C$36*'契約別単価'!I5+'前提と出典'!$C$37*'契約別単価'!I6+'前提と出典'!$C$38*'契約別単価'!I7)</ns0:f>
        <ns0:v>3924.184357541899</ns0:v>
      </ns0:c>
      <ns0:c r="K35" s="16">
        <ns0:f>B35*('前提と出典'!$C$36*'契約別単価'!J5+'前提と出典'!$C$37*'契約別単価'!J6+'前提と出典'!$C$38*'契約別単価'!J7)</ns0:f>
        <ns0:v>9140.927565058138</ns0:v>
      </ns0:c>
      <ns0:c r="L35" s="16">
        <ns0:f>B35*('前提と出典'!$C$36*'契約別単価'!K5+'前提と出典'!$C$37*'契約別単価'!K6+'前提と出典'!$C$38*'契約別単価'!K7)</ns0:f>
        <ns0:v>39181.229050279326</ns0:v>
      </ns0:c>
      <ns0:c r="M35" s="16">
        <ns0:f>B35*('前提と出典'!$C$36*'契約別単価'!L5+'前提と出典'!$C$37*'契約別単価'!L6+'前提と出典'!$C$38*'契約別単価'!L7)</ns0:f>
        <ns0:v>31901.49333258471</ns0:v>
      </ns0:c>
      <ns0:c r="N35" s="16">
        <ns0:f>IF(('前提と出典'!$C$36+'前提と出典'!$C$38)=0,0,IF(C35&lt;=10,'前提と出典'!B73+'前提と出典'!C73,IF(C35&lt;=100,'前提と出典'!B74+'前提と出典'!C74,IF(C35&lt;=500,'前提と出典'!B75+'前提と出典'!C75,'前提と出典'!B76+'前提と出典'!C76))))</ns0:f>
        <ns0:v>20000</ns0:v>
      </ns0:c>
      <ns0:c r="O35" s="16">
        <ns0:f>IF(('前提と出典'!$C$37+'前提と出典'!$C$38)=0,0,IF(D35&lt;=10,'前提と出典'!D73+'前提と出典'!E73,IF(D35&lt;=100,'前提と出典'!D74+'前提と出典'!E74,IF(D35&lt;=500,'前提と出典'!D75+'前提と出典'!E75,'前提と出典'!D76+'前提と出典'!E76))))</ns0:f>
        <ns0:v>34510.9346263078</ns0:v>
      </ns0:c>
      <ns0:c r="P35" s="16">
        <ns0:f>IF('前提と出典'!$C$36+'前提と出典'!$C$38=0,0,'前提と出典'!$B$4*IF('前提と出典'!$B$20=0,MAX('前提と出典'!$B$6,E35*'前提と出典'!$B$5),'前提と出典'!$B$6+E35*'前提と出典'!$B$5))</ns0:f>
        <ns0:v>92347.44134078213</ns0:v>
      </ns0:c>
      <ns0:c r="Q35" s="16">
        <ns0:f>(F35+H35)*(1-'前提と出典'!$B$7)-J35-L35-N35-P35</ns0:f>
        <ns0:v>196471.36004134774</ns0:v>
      </ns0:c>
      <ns0:c r="R35" s="16">
        <ns0:f>(G35+I35)*(1-'前提と出典'!$B$7)-K35-M35-O35</ns0:f>
        <ns0:v>54459.95520082269</ns0:v>
      </ns0:c>
      <ns0:c r="S35" s="16">
        <ns0:f>Q35-F35*'前提と出典'!$E$4</ns0:f>
        <ns0:v>142486.40411851474</ns0:v>
      </ns0:c>
      <ns0:c r="T35" s="16">
        <ns0:f>R35-G35*'前提と出典'!$E$4</ns0:f>
        <ns0:v>33272.82131708094</ns0:v>
      </ns0:c>
      <ns0:c r="U35" s="7">
        <ns0:f>S35+T35</ns0:f>
        <ns0:v>175759.22543559567</ns0:v>
      </ns0:c>
      <ns0:c r="V35" s="16">
        <ns0:f>Q35-F35*'前提と出典'!$E$5</ns0:f>
        <ns0:v>124491.41881090373</ns0:v>
      </ns0:c>
      <ns0:c r="W35" s="16">
        <ns0:f>R35-G35*'前提と出典'!$E$5</ns0:f>
        <ns0:v>26210.443355833682</ns0:v>
      </ns0:c>
      <ns0:c r="X35" s="7">
        <ns0:f>V35+W35</ns0:f>
        <ns0:v>150701.8621667374</ns0:v>
      </ns0:c>
      <ns0:c r="Y35" s="16">
        <ns0:f>Q35-F35*'前提と出典'!$E$6</ns0:f>
        <ns0:v>106496.43350329273</ns0:v>
      </ns0:c>
      <ns0:c r="Z35" s="16">
        <ns0:f>R35-G35*'前提と出典'!$E$6</ns0:f>
        <ns0:v>19148.065394586425</ns0:v>
      </ns0:c>
      <ns0:c r="AA35" s="7">
        <ns0:f>Y35+Z35</ns0:f>
        <ns0:v>125644.49889787915</ns0:v>
      </ns0:c>
      <ns0:c r="AB35" s="7">
        <ns0:f>AB34+U35</ns0:f>
        <ns0:v>1982894.1797536847</ns0:v>
      </ns0:c>
      <ns0:c r="AC35" s="7">
        <ns0:f>AC34+X35</ns0:f>
        <ns0:v>1581976.367451952</ns0:v>
      </ns0:c>
      <ns0:c r="AD35" s="7">
        <ns0:f>AD34+AA35</ns0:f>
        <ns0:v>1181058.5551502202</ns0:v>
      </ns0:c>
      <ns0:c r="AE35" s="7">
        <ns0:f>MAX(0,-MIN($AB$5:AB35))</ns0:f>
        <ns0:v>185179.99918172893</ns0:v>
      </ns0:c>
      <ns0:c r="AF35" s="7">
        <ns0:f>MAX(0,-MIN($AC$5:AC35))</ns0:f>
        <ns0:v>209365.24984621964</ns0:v>
      </ns0:c>
      <ns0:c r="AG35" s="7">
        <ns0:f>MAX(0,-MIN($AD$5:AD35))</ns0:f>
        <ns0:v>240671.86756805048</ns0:v>
      </ns0:c>
      <ns0:c r="AH35" s="4">
        <ns0:f>IF(U35&gt;=0,A35,37)</ns0:f>
        <ns0:v>31</ns0:v>
      </ns0:c>
      <ns0:c r="AI35" s="4">
        <ns0:f>IF(AB35&gt;=0,A35,37)</ns0:f>
        <ns0:v>31</ns0:v>
      </ns0:c>
      <ns0:c r="AJ35" s="4">
        <ns0:f>IF(X35&gt;=0,A35,37)</ns0:f>
        <ns0:v>31</ns0:v>
      </ns0:c>
      <ns0:c r="AK35" s="4">
        <ns0:f>IF(AC35&gt;=0,A35,37)</ns0:f>
        <ns0:v>31</ns0:v>
      </ns0:c>
      <ns0:c r="AL35" s="4">
        <ns0:f>IF(AA35&gt;=0,A35,37)</ns0:f>
        <ns0:v>31</ns0:v>
      </ns0:c>
      <ns0:c r="AM35" s="4">
        <ns0:f>IF(AD35&gt;=0,A35,37)</ns0:f>
        <ns0:v>31</ns0:v>
      </ns0:c>
    </ns0:row>
    <ns0:row r="36" ht="24" customHeight="1">
      <ns0:c r="A36" s="4" t="n">
        <ns0:v>32</ns0:v>
      </ns0:c>
      <ns0:c r="B36" s="12">
        <ns0:f>B35*(1-'前提と出典'!$B$31)+'前提と出典'!$B$30</ns0:f>
        <ns0:v>96</ns0:v>
      </ns0:c>
      <ns0:c r="C36" s="12">
        <ns0:f>B36*('前提と出典'!$C$36+'前提と出典'!$C$38)</ns0:f>
        <ns0:v>67.19999999999999</ns0:v>
      </ns0:c>
      <ns0:c r="D36" s="16">
        <ns0:f>B36*('前提と出典'!$C$37+'前提と出典'!$C$38)</ns0:f>
        <ns0:v>57.599999999999994</ns0:v>
      </ns0:c>
      <ns0:c r="E36" s="16">
        <ns0:f>B36*('前提と出典'!$C$36*'契約別単価'!C5+'前提と出典'!$C$37*'契約別単価'!C6+'前提と出典'!$C$38*'契約別単価'!C7)</ns0:f>
        <ns0:v>690.7709497206704</ns0:v>
      </ns0:c>
      <ns0:c r="F36" s="16">
        <ns0:f>B36*('前提と出典'!$C$36*'契約別単価'!E5+'前提と出典'!$C$37*'契約別単価'!E6+'前提と出典'!$C$38*'契約別単価'!E7)</ns0:f>
        <ns0:v>185754.68704630714</ns0:v>
      </ns0:c>
      <ns0:c r="G36" s="16">
        <ns0:f>B36*('前提と出典'!$C$36*'契約別単価'!F5+'前提と出典'!$C$37*'契約別単価'!F6+'前提と出典'!$C$38*'契約別単価'!F7)</ns0:f>
        <ns0:v>72901.96605158453</ns0:v>
      </ns0:c>
      <ns0:c r="H36" s="16">
        <ns0:f>B36*('前提と出典'!$C$36*'契約別単価'!G5+'前提と出典'!$C$37*'契約別単価'!G6+'前提と出典'!$C$38*'契約別単価'!G7)</ns0:f>
        <ns0:v>191088.26815642457</ns0:v>
      </ns0:c>
      <ns0:c r="I36" s="16">
        <ns0:f>B36*('前提と出典'!$C$36*'契約別単価'!H5+'前提と出典'!$C$37*'契約別単価'!H6+'前提と出典'!$C$38*'契約別単価'!H7)</ns0:f>
        <ns0:v>66317.21288004266</ns0:v>
      </ns0:c>
      <ns0:c r="J36" s="16">
        <ns0:f>B36*('前提と出典'!$C$36*'契約別単価'!I5+'前提と出典'!$C$37*'契約別単価'!I6+'前提と出典'!$C$38*'契約別単価'!I7)</ns0:f>
        <ns0:v>4050.7709497206697</ns0:v>
      </ns0:c>
      <ns0:c r="K36" s="16">
        <ns0:f>B36*('前提と出典'!$C$36*'契約別単価'!J5+'前提と出典'!$C$37*'契約別単価'!J6+'前提と出典'!$C$38*'契約別単価'!J7)</ns0:f>
        <ns0:v>9435.796196189047</ns0:v>
      </ns0:c>
      <ns0:c r="L36" s="16">
        <ns0:f>B36*('前提と出典'!$C$36*'契約別単価'!K5+'前提と出典'!$C$37*'契約別単価'!K6+'前提と出典'!$C$38*'契約別単価'!K7)</ns0:f>
        <ns0:v>40445.13966480447</ns0:v>
      </ns0:c>
      <ns0:c r="M36" s="16">
        <ns0:f>B36*('前提と出典'!$C$36*'契約別単価'!L5+'前提と出典'!$C$37*'契約別単価'!L6+'前提と出典'!$C$38*'契約別単価'!L7)</ns0:f>
        <ns0:v>32930.573762668086</ns0:v>
      </ns0:c>
      <ns0:c r="N36" s="16">
        <ns0:f>IF(('前提と出典'!$C$36+'前提と出典'!$C$38)=0,0,IF(C36&lt;=10,'前提と出典'!B73+'前提と出典'!C73,IF(C36&lt;=100,'前提と出典'!B74+'前提と出典'!C74,IF(C36&lt;=500,'前提と出典'!B75+'前提と出典'!C75,'前提と出典'!B76+'前提と出典'!C76))))</ns0:f>
        <ns0:v>20000</ns0:v>
      </ns0:c>
      <ns0:c r="O36" s="16">
        <ns0:f>IF(('前提と出典'!$C$37+'前提と出典'!$C$38)=0,0,IF(D36&lt;=10,'前提と出典'!D73+'前提と出典'!E73,IF(D36&lt;=100,'前提と出典'!D74+'前提と出典'!E74,IF(D36&lt;=500,'前提と出典'!D75+'前提と出典'!E75,'前提と出典'!D76+'前提と出典'!E76))))</ns0:f>
        <ns0:v>34510.9346263078</ns0:v>
      </ns0:c>
      <ns0:c r="P36" s="16">
        <ns0:f>IF('前提と出典'!$C$36+'前提と出典'!$C$38=0,0,'前提と出典'!$B$4*IF('前提と出典'!$B$20=0,MAX('前提と出典'!$B$6,E36*'前提と出典'!$B$5),'前提と出典'!$B$6+E36*'前提と出典'!$B$5))</ns0:f>
        <ns0:v>95326.39106145252</ns0:v>
      </ns0:c>
      <ns0:c r="Q36" s="16">
        <ns0:f>(F36+H36)*(1-'前提と出典'!$B$7)-J36-L36-N36-P36</ns0:f>
        <ns0:v>203454.3071394557</ns0:v>
      </ns0:c>
      <ns0:c r="R36" s="16">
        <ns0:f>(G36+I36)*(1-'前提と出典'!$B$7)-K36-M36-O36</ns0:f>
        <ns0:v>57329.983904923676</ns0:v>
      </ns0:c>
      <ns0:c r="S36" s="16">
        <ns0:f>Q36-F36*'前提と出典'!$E$4</ns0:f>
        <ns0:v>147727.9010255636</ns0:v>
      </ns0:c>
      <ns0:c r="T36" s="16">
        <ns0:f>R36-G36*'前提と出典'!$E$4</ns0:f>
        <ns0:v>35459.3940894483</ns0:v>
      </ns0:c>
      <ns0:c r="U36" s="7">
        <ns0:f>S36+T36</ns0:f>
        <ns0:v>183187.2951150119</ns0:v>
      </ns0:c>
      <ns0:c r="V36" s="16">
        <ns0:f>Q36-F36*'前提と出典'!$E$5</ns0:f>
        <ns0:v>129152.43232093281</ns0:v>
      </ns0:c>
      <ns0:c r="W36" s="16">
        <ns0:f>R36-G36*'前提と出典'!$E$5</ns0:f>
        <ns0:v>28169.197484289863</ns0:v>
      </ns0:c>
      <ns0:c r="X36" s="7">
        <ns0:f>V36+W36</ns0:f>
        <ns0:v>157321.62980522268</ns0:v>
      </ns0:c>
      <ns0:c r="Y36" s="16">
        <ns0:f>Q36-F36*'前提と出典'!$E$6</ns0:f>
        <ns0:v>110576.96361630208</ns0:v>
      </ns0:c>
      <ns0:c r="Z36" s="16">
        <ns0:f>R36-G36*'前提と出典'!$E$6</ns0:f>
        <ns0:v>20879.000879131418</ns0:v>
      </ns0:c>
      <ns0:c r="AA36" s="7">
        <ns0:f>Y36+Z36</ns0:f>
        <ns0:v>131455.9644954335</ns0:v>
      </ns0:c>
      <ns0:c r="AB36" s="7">
        <ns0:f>AB35+U36</ns0:f>
        <ns0:v>2166081.4748686966</ns0:v>
      </ns0:c>
      <ns0:c r="AC36" s="7">
        <ns0:f>AC35+X36</ns0:f>
        <ns0:v>1739297.9972571747</ns0:v>
      </ns0:c>
      <ns0:c r="AD36" s="7">
        <ns0:f>AD35+AA36</ns0:f>
        <ns0:v>1312514.5196456537</ns0:v>
      </ns0:c>
      <ns0:c r="AE36" s="7">
        <ns0:f>MAX(0,-MIN($AB$5:AB36))</ns0:f>
        <ns0:v>185179.99918172893</ns0:v>
      </ns0:c>
      <ns0:c r="AF36" s="7">
        <ns0:f>MAX(0,-MIN($AC$5:AC36))</ns0:f>
        <ns0:v>209365.24984621964</ns0:v>
      </ns0:c>
      <ns0:c r="AG36" s="7">
        <ns0:f>MAX(0,-MIN($AD$5:AD36))</ns0:f>
        <ns0:v>240671.86756805048</ns0:v>
      </ns0:c>
      <ns0:c r="AH36" s="4">
        <ns0:f>IF(U36&gt;=0,A36,37)</ns0:f>
        <ns0:v>32</ns0:v>
      </ns0:c>
      <ns0:c r="AI36" s="4">
        <ns0:f>IF(AB36&gt;=0,A36,37)</ns0:f>
        <ns0:v>32</ns0:v>
      </ns0:c>
      <ns0:c r="AJ36" s="4">
        <ns0:f>IF(X36&gt;=0,A36,37)</ns0:f>
        <ns0:v>32</ns0:v>
      </ns0:c>
      <ns0:c r="AK36" s="4">
        <ns0:f>IF(AC36&gt;=0,A36,37)</ns0:f>
        <ns0:v>32</ns0:v>
      </ns0:c>
      <ns0:c r="AL36" s="4">
        <ns0:f>IF(AA36&gt;=0,A36,37)</ns0:f>
        <ns0:v>32</ns0:v>
      </ns0:c>
      <ns0:c r="AM36" s="4">
        <ns0:f>IF(AD36&gt;=0,A36,37)</ns0:f>
        <ns0:v>32</ns0:v>
      </ns0:c>
    </ns0:row>
    <ns0:row r="37" ht="24" customHeight="1">
      <ns0:c r="A37" s="4" t="n">
        <ns0:v>33</ns0:v>
      </ns0:c>
      <ns0:c r="B37" s="12">
        <ns0:f>B36*(1-'前提と出典'!$B$31)+'前提と出典'!$B$30</ns0:f>
        <ns0:v>99</ns0:v>
      </ns0:c>
      <ns0:c r="C37" s="12">
        <ns0:f>B37*('前提と出典'!$C$36+'前提と出典'!$C$38)</ns0:f>
        <ns0:v>69.3</ns0:v>
      </ns0:c>
      <ns0:c r="D37" s="16">
        <ns0:f>B37*('前提と出典'!$C$37+'前提と出典'!$C$38)</ns0:f>
        <ns0:v>59.4</ns0:v>
      </ns0:c>
      <ns0:c r="E37" s="16">
        <ns0:f>B37*('前提と出典'!$C$36*'契約別単価'!C5+'前提と出典'!$C$37*'契約別単価'!C6+'前提と出典'!$C$38*'契約別単価'!C7)</ns0:f>
        <ns0:v>712.3575418994413</ns0:v>
      </ns0:c>
      <ns0:c r="F37" s="16">
        <ns0:f>B37*('前提と出典'!$C$36*'契約別単価'!E5+'前提と出典'!$C$37*'契約別単価'!E6+'前提と出典'!$C$38*'契約別単価'!E7)</ns0:f>
        <ns0:v>191559.52101650424</ns0:v>
      </ns0:c>
      <ns0:c r="G37" s="16">
        <ns0:f>B37*('前提と出典'!$C$36*'契約別単価'!F5+'前提と出典'!$C$37*'契約別単価'!F6+'前提と出典'!$C$38*'契約別単価'!F7)</ns0:f>
        <ns0:v>75180.15249069655</ns0:v>
      </ns0:c>
      <ns0:c r="H37" s="16">
        <ns0:f>B37*('前提と出典'!$C$36*'契約別単価'!G5+'前提と出典'!$C$37*'契約別単価'!G6+'前提と出典'!$C$38*'契約別単価'!G7)</ns0:f>
        <ns0:v>197059.77653631283</ns0:v>
      </ns0:c>
      <ns0:c r="I37" s="16">
        <ns0:f>B37*('前提と出典'!$C$36*'契約別単価'!H5+'前提と出典'!$C$37*'契約別単価'!H6+'前提と出典'!$C$38*'契約別単価'!H7)</ns0:f>
        <ns0:v>68389.625782544</ns0:v>
      </ns0:c>
      <ns0:c r="J37" s="16">
        <ns0:f>B37*('前提と出典'!$C$36*'契約別単価'!I5+'前提と出典'!$C$37*'契約別単価'!I6+'前提と出典'!$C$38*'契約別単価'!I7)</ns0:f>
        <ns0:v>4177.357541899441</ns0:v>
      </ns0:c>
      <ns0:c r="K37" s="16">
        <ns0:f>B37*('前提と出典'!$C$36*'契約別単価'!J5+'前提と出典'!$C$37*'契約別単価'!J6+'前提と出典'!$C$38*'契約別単価'!J7)</ns0:f>
        <ns0:v>9730.664827319953</ns0:v>
      </ns0:c>
      <ns0:c r="L37" s="16">
        <ns0:f>B37*('前提と出典'!$C$36*'契約別単価'!K5+'前提と出典'!$C$37*'契約別単価'!K6+'前提と出典'!$C$38*'契約別単価'!K7)</ns0:f>
        <ns0:v>41709.050279329604</ns0:v>
      </ns0:c>
      <ns0:c r="M37" s="16">
        <ns0:f>B37*('前提と出典'!$C$36*'契約別単価'!L5+'前提と出典'!$C$37*'契約別単価'!L6+'前提と出典'!$C$38*'契約別単価'!L7)</ns0:f>
        <ns0:v>33959.65419275146</ns0:v>
      </ns0:c>
      <ns0:c r="N37" s="16">
        <ns0:f>IF(('前提と出典'!$C$36+'前提と出典'!$C$38)=0,0,IF(C37&lt;=10,'前提と出典'!B73+'前提と出典'!C73,IF(C37&lt;=100,'前提と出典'!B74+'前提と出典'!C74,IF(C37&lt;=500,'前提と出典'!B75+'前提と出典'!C75,'前提と出典'!B76+'前提と出典'!C76))))</ns0:f>
        <ns0:v>20000</ns0:v>
      </ns0:c>
      <ns0:c r="O37" s="16">
        <ns0:f>IF(('前提と出典'!$C$37+'前提と出典'!$C$38)=0,0,IF(D37&lt;=10,'前提と出典'!D73+'前提と出典'!E73,IF(D37&lt;=100,'前提と出典'!D74+'前提と出典'!E74,IF(D37&lt;=500,'前提と出典'!D75+'前提と出典'!E75,'前提と出典'!D76+'前提と出典'!E76))))</ns0:f>
        <ns0:v>34510.9346263078</ns0:v>
      </ns0:c>
      <ns0:c r="P37" s="16">
        <ns0:f>IF('前提と出典'!$C$36+'前提と出典'!$C$38=0,0,'前提と出典'!$B$4*IF('前提と出典'!$B$20=0,MAX('前提と出典'!$B$6,E37*'前提と出典'!$B$5),'前提と出典'!$B$6+E37*'前提と出典'!$B$5))</ns0:f>
        <ns0:v>98305.34078212292</ns0:v>
      </ns0:c>
      <ns0:c r="Q37" s="16">
        <ns0:f>(F37+H37)*(1-'前提と出典'!$B$7)-J37-L37-N37-P37</ns0:f>
        <ns0:v>210437.2542375637</ns0:v>
      </ns0:c>
      <ns0:c r="R37" s="16">
        <ns0:f>(G37+I37)*(1-'前提と出典'!$B$7)-K37-M37-O37</ns0:f>
        <ns0:v>60200.01260902466</ns0:v>
      </ns0:c>
      <ns0:c r="S37" s="16">
        <ns0:f>Q37-F37*'前提と出典'!$E$4</ns0:f>
        <ns0:v>152969.39793261245</ns0:v>
      </ns0:c>
      <ns0:c r="T37" s="16">
        <ns0:f>R37-G37*'前提と出典'!$E$4</ns0:f>
        <ns0:v>37645.96686181571</ns0:v>
      </ns0:c>
      <ns0:c r="U37" s="7">
        <ns0:f>S37+T37</ns0:f>
        <ns0:v>190615.36479442817</ns0:v>
      </ns0:c>
      <ns0:c r="V37" s="16">
        <ns0:f>Q37-F37*'前提と出典'!$E$5</ns0:f>
        <ns0:v>133813.44583096198</ns0:v>
      </ns0:c>
      <ns0:c r="W37" s="16">
        <ns0:f>R37-G37*'前提と出典'!$E$5</ns0:f>
        <ns0:v>30127.951612746045</ns0:v>
      </ns0:c>
      <ns0:c r="X37" s="7">
        <ns0:f>V37+W37</ns0:f>
        <ns0:v>163941.39744370803</ns0:v>
      </ns0:c>
      <ns0:c r="Y37" s="16">
        <ns0:f>Q37-F37*'前提と出典'!$E$6</ns0:f>
        <ns0:v>114657.49372931157</ns0:v>
      </ns0:c>
      <ns0:c r="Z37" s="16">
        <ns0:f>R37-G37*'前提と出典'!$E$6</ns0:f>
        <ns0:v>22609.936363676396</ns0:v>
      </ns0:c>
      <ns0:c r="AA37" s="7">
        <ns0:f>Y37+Z37</ns0:f>
        <ns0:v>137267.43009298795</ns0:v>
      </ns0:c>
      <ns0:c r="AB37" s="7">
        <ns0:f>AB36+U37</ns0:f>
        <ns0:v>2356696.8396631246</ns0:v>
      </ns0:c>
      <ns0:c r="AC37" s="7">
        <ns0:f>AC36+X37</ns0:f>
        <ns0:v>1903239.3947008827</ns0:v>
      </ns0:c>
      <ns0:c r="AD37" s="7">
        <ns0:f>AD36+AA37</ns0:f>
        <ns0:v>1449781.9497386417</ns0:v>
      </ns0:c>
      <ns0:c r="AE37" s="7">
        <ns0:f>MAX(0,-MIN($AB$5:AB37))</ns0:f>
        <ns0:v>185179.99918172893</ns0:v>
      </ns0:c>
      <ns0:c r="AF37" s="7">
        <ns0:f>MAX(0,-MIN($AC$5:AC37))</ns0:f>
        <ns0:v>209365.24984621964</ns0:v>
      </ns0:c>
      <ns0:c r="AG37" s="7">
        <ns0:f>MAX(0,-MIN($AD$5:AD37))</ns0:f>
        <ns0:v>240671.86756805048</ns0:v>
      </ns0:c>
      <ns0:c r="AH37" s="4">
        <ns0:f>IF(U37&gt;=0,A37,37)</ns0:f>
        <ns0:v>33</ns0:v>
      </ns0:c>
      <ns0:c r="AI37" s="4">
        <ns0:f>IF(AB37&gt;=0,A37,37)</ns0:f>
        <ns0:v>33</ns0:v>
      </ns0:c>
      <ns0:c r="AJ37" s="4">
        <ns0:f>IF(X37&gt;=0,A37,37)</ns0:f>
        <ns0:v>33</ns0:v>
      </ns0:c>
      <ns0:c r="AK37" s="4">
        <ns0:f>IF(AC37&gt;=0,A37,37)</ns0:f>
        <ns0:v>33</ns0:v>
      </ns0:c>
      <ns0:c r="AL37" s="4">
        <ns0:f>IF(AA37&gt;=0,A37,37)</ns0:f>
        <ns0:v>33</ns0:v>
      </ns0:c>
      <ns0:c r="AM37" s="4">
        <ns0:f>IF(AD37&gt;=0,A37,37)</ns0:f>
        <ns0:v>33</ns0:v>
      </ns0:c>
    </ns0:row>
    <ns0:row r="38" ht="24" customHeight="1">
      <ns0:c r="A38" s="4" t="n">
        <ns0:v>34</ns0:v>
      </ns0:c>
      <ns0:c r="B38" s="12">
        <ns0:f>B37*(1-'前提と出典'!$B$31)+'前提と出典'!$B$30</ns0:f>
        <ns0:v>102</ns0:v>
      </ns0:c>
      <ns0:c r="C38" s="12">
        <ns0:f>B38*('前提と出典'!$C$36+'前提と出典'!$C$38)</ns0:f>
        <ns0:v>71.39999999999999</ns0:v>
      </ns0:c>
      <ns0:c r="D38" s="16">
        <ns0:f>B38*('前提と出典'!$C$37+'前提と出典'!$C$38)</ns0:f>
        <ns0:v>61.199999999999996</ns0:v>
      </ns0:c>
      <ns0:c r="E38" s="16">
        <ns0:f>B38*('前提と出典'!$C$36*'契約別単価'!C5+'前提と出典'!$C$37*'契約別単価'!C6+'前提と出典'!$C$38*'契約別単価'!C7)</ns0:f>
        <ns0:v>733.9441340782123</ns0:v>
      </ns0:c>
      <ns0:c r="F38" s="16">
        <ns0:f>B38*('前提と出典'!$C$36*'契約別単価'!E5+'前提と出典'!$C$37*'契約別単価'!E6+'前提と出典'!$C$38*'契約別単価'!E7)</ns0:f>
        <ns0:v>197364.35498670134</ns0:v>
      </ns0:c>
      <ns0:c r="G38" s="16">
        <ns0:f>B38*('前提と出典'!$C$36*'契約別単価'!F5+'前提と出典'!$C$37*'契約別単価'!F6+'前提と出典'!$C$38*'契約別単価'!F7)</ns0:f>
        <ns0:v>77458.33892980857</ns0:v>
      </ns0:c>
      <ns0:c r="H38" s="16">
        <ns0:f>B38*('前提と出典'!$C$36*'契約別単価'!G5+'前提と出典'!$C$37*'契約別単価'!G6+'前提と出典'!$C$38*'契約別単価'!G7)</ns0:f>
        <ns0:v>203031.2849162011</ns0:v>
      </ns0:c>
      <ns0:c r="I38" s="16">
        <ns0:f>B38*('前提と出典'!$C$36*'契約別単価'!H5+'前提と出典'!$C$37*'契約別単価'!H6+'前提と出典'!$C$38*'契約別単価'!H7)</ns0:f>
        <ns0:v>70462.03868504532</ns0:v>
      </ns0:c>
      <ns0:c r="J38" s="16">
        <ns0:f>B38*('前提と出典'!$C$36*'契約別単価'!I5+'前提と出典'!$C$37*'契約別単価'!I6+'前提と出典'!$C$38*'契約別単価'!I7)</ns0:f>
        <ns0:v>4303.944134078211</ns0:v>
      </ns0:c>
      <ns0:c r="K38" s="16">
        <ns0:f>B38*('前提と出典'!$C$36*'契約別単価'!J5+'前提と出典'!$C$37*'契約別単価'!J6+'前提と出典'!$C$38*'契約別単価'!J7)</ns0:f>
        <ns0:v>10025.533458450862</ns0:v>
      </ns0:c>
      <ns0:c r="L38" s="16">
        <ns0:f>B38*('前提と出典'!$C$36*'契約別単価'!K5+'前提と出典'!$C$37*'契約別単価'!K6+'前提と出典'!$C$38*'契約別単価'!K7)</ns0:f>
        <ns0:v>42972.960893854746</ns0:v>
      </ns0:c>
      <ns0:c r="M38" s="16">
        <ns0:f>B38*('前提と出典'!$C$36*'契約別単価'!L5+'前提と出典'!$C$37*'契約別単価'!L6+'前提と出典'!$C$38*'契約別単価'!L7)</ns0:f>
        <ns0:v>34988.73462283484</ns0:v>
      </ns0:c>
      <ns0:c r="N38" s="16">
        <ns0:f>IF(('前提と出典'!$C$36+'前提と出典'!$C$38)=0,0,IF(C38&lt;=10,'前提と出典'!B73+'前提と出典'!C73,IF(C38&lt;=100,'前提と出典'!B74+'前提と出典'!C74,IF(C38&lt;=500,'前提と出典'!B75+'前提と出典'!C75,'前提と出典'!B76+'前提と出典'!C76))))</ns0:f>
        <ns0:v>20000</ns0:v>
      </ns0:c>
      <ns0:c r="O38" s="16">
        <ns0:f>IF(('前提と出典'!$C$37+'前提と出典'!$C$38)=0,0,IF(D38&lt;=10,'前提と出典'!D73+'前提と出典'!E73,IF(D38&lt;=100,'前提と出典'!D74+'前提と出典'!E74,IF(D38&lt;=500,'前提と出典'!D75+'前提と出典'!E75,'前提と出典'!D76+'前提と出典'!E76))))</ns0:f>
        <ns0:v>34510.9346263078</ns0:v>
      </ns0:c>
      <ns0:c r="P38" s="16">
        <ns0:f>IF('前提と出典'!$C$36+'前提と出典'!$C$38=0,0,'前提と出典'!$B$4*IF('前提と出典'!$B$20=0,MAX('前提と出典'!$B$6,E38*'前提と出典'!$B$5),'前提と出典'!$B$6+E38*'前提と出典'!$B$5))</ns0:f>
        <ns0:v>101284.2905027933</ns0:v>
      </ns0:c>
      <ns0:c r="Q38" s="16">
        <ns0:f>(F38+H38)*(1-'前提と出典'!$B$7)-J38-L38-N38-P38</ns0:f>
        <ns0:v>217420.20133567168</ns0:v>
      </ns0:c>
      <ns0:c r="R38" s="16">
        <ns0:f>(G38+I38)*(1-'前提と出典'!$B$7)-K38-M38-O38</ns0:f>
        <ns0:v>63070.041313125665</ns0:v>
      </ns0:c>
      <ns0:c r="S38" s="16">
        <ns0:f>Q38-F38*'前提と出典'!$E$4</ns0:f>
        <ns0:v>158210.89483966128</ns0:v>
      </ns0:c>
      <ns0:c r="T38" s="16">
        <ns0:f>R38-G38*'前提と出典'!$E$4</ns0:f>
        <ns0:v>39832.539634183086</ns0:v>
      </ns0:c>
      <ns0:c r="U38" s="7">
        <ns0:f>S38+T38</ns0:f>
        <ns0:v>198043.43447384436</ns0:v>
      </ns0:c>
      <ns0:c r="V38" s="16">
        <ns0:f>Q38-F38*'前提と出典'!$E$5</ns0:f>
        <ns0:v>138474.45934099113</ns0:v>
      </ns0:c>
      <ns0:c r="W38" s="16">
        <ns0:f>R38-G38*'前提と出典'!$E$5</ns0:f>
        <ns0:v>32086.705741202233</ns0:v>
      </ns0:c>
      <ns0:c r="X38" s="7">
        <ns0:f>V38+W38</ns0:f>
        <ns0:v>170561.16508219336</ns0:v>
      </ns0:c>
      <ns0:c r="Y38" s="16">
        <ns0:f>Q38-F38*'前提と出典'!$E$6</ns0:f>
        <ns0:v>118738.02384232098</ns0:v>
      </ns0:c>
      <ns0:c r="Z38" s="16">
        <ns0:f>R38-G38*'前提と出典'!$E$6</ns0:f>
        <ns0:v>24340.871848221374</ns0:v>
      </ns0:c>
      <ns0:c r="AA38" s="7">
        <ns0:f>Y38+Z38</ns0:f>
        <ns0:v>143078.89569054235</ns0:v>
      </ns0:c>
      <ns0:c r="AB38" s="7">
        <ns0:f>AB37+U38</ns0:f>
        <ns0:v>2554740.274136969</ns0:v>
      </ns0:c>
      <ns0:c r="AC38" s="7">
        <ns0:f>AC37+X38</ns0:f>
        <ns0:v>2073800.5597830762</ns0:v>
      </ns0:c>
      <ns0:c r="AD38" s="7">
        <ns0:f>AD37+AA38</ns0:f>
        <ns0:v>1592860.8454291841</ns0:v>
      </ns0:c>
      <ns0:c r="AE38" s="7">
        <ns0:f>MAX(0,-MIN($AB$5:AB38))</ns0:f>
        <ns0:v>185179.99918172893</ns0:v>
      </ns0:c>
      <ns0:c r="AF38" s="7">
        <ns0:f>MAX(0,-MIN($AC$5:AC38))</ns0:f>
        <ns0:v>209365.24984621964</ns0:v>
      </ns0:c>
      <ns0:c r="AG38" s="7">
        <ns0:f>MAX(0,-MIN($AD$5:AD38))</ns0:f>
        <ns0:v>240671.86756805048</ns0:v>
      </ns0:c>
      <ns0:c r="AH38" s="4">
        <ns0:f>IF(U38&gt;=0,A38,37)</ns0:f>
        <ns0:v>34</ns0:v>
      </ns0:c>
      <ns0:c r="AI38" s="4">
        <ns0:f>IF(AB38&gt;=0,A38,37)</ns0:f>
        <ns0:v>34</ns0:v>
      </ns0:c>
      <ns0:c r="AJ38" s="4">
        <ns0:f>IF(X38&gt;=0,A38,37)</ns0:f>
        <ns0:v>34</ns0:v>
      </ns0:c>
      <ns0:c r="AK38" s="4">
        <ns0:f>IF(AC38&gt;=0,A38,37)</ns0:f>
        <ns0:v>34</ns0:v>
      </ns0:c>
      <ns0:c r="AL38" s="4">
        <ns0:f>IF(AA38&gt;=0,A38,37)</ns0:f>
        <ns0:v>34</ns0:v>
      </ns0:c>
      <ns0:c r="AM38" s="4">
        <ns0:f>IF(AD38&gt;=0,A38,37)</ns0:f>
        <ns0:v>34</ns0:v>
      </ns0:c>
    </ns0:row>
    <ns0:row r="39" ht="24" customHeight="1">
      <ns0:c r="A39" s="4" t="n">
        <ns0:v>35</ns0:v>
      </ns0:c>
      <ns0:c r="B39" s="12">
        <ns0:f>B38*(1-'前提と出典'!$B$31)+'前提と出典'!$B$30</ns0:f>
        <ns0:v>105</ns0:v>
      </ns0:c>
      <ns0:c r="C39" s="12">
        <ns0:f>B39*('前提と出典'!$C$36+'前提と出典'!$C$38)</ns0:f>
        <ns0:v>73.5</ns0:v>
      </ns0:c>
      <ns0:c r="D39" s="16">
        <ns0:f>B39*('前提と出典'!$C$37+'前提と出典'!$C$38)</ns0:f>
        <ns0:v>63</ns0:v>
      </ns0:c>
      <ns0:c r="E39" s="16">
        <ns0:f>B39*('前提と出典'!$C$36*'契約別単価'!C5+'前提と出典'!$C$37*'契約別単価'!C6+'前提と出典'!$C$38*'契約別単価'!C7)</ns0:f>
        <ns0:v>755.5307262569833</ns0:v>
      </ns0:c>
      <ns0:c r="F39" s="16">
        <ns0:f>B39*('前提と出典'!$C$36*'契約別単価'!E5+'前提と出典'!$C$37*'契約別単価'!E6+'前提と出典'!$C$38*'契約別単価'!E7)</ns0:f>
        <ns0:v>203169.18895689843</ns0:v>
      </ns0:c>
      <ns0:c r="G39" s="16">
        <ns0:f>B39*('前提と出典'!$C$36*'契約別単価'!F5+'前提と出典'!$C$37*'契約別単価'!F6+'前提と出典'!$C$38*'契約別単価'!F7)</ns0:f>
        <ns0:v>79736.52536892059</ns0:v>
      </ns0:c>
      <ns0:c r="H39" s="16">
        <ns0:f>B39*('前提と出典'!$C$36*'契約別単価'!G5+'前提と出典'!$C$37*'契約別単価'!G6+'前提と出典'!$C$38*'契約別単価'!G7)</ns0:f>
        <ns0:v>209002.79329608937</ns0:v>
      </ns0:c>
      <ns0:c r="I39" s="16">
        <ns0:f>B39*('前提と出典'!$C$36*'契約別単価'!H5+'前提と出典'!$C$37*'契約別単価'!H6+'前提と出典'!$C$38*'契約別単価'!H7)</ns0:f>
        <ns0:v>72534.45158754666</ns0:v>
      </ns0:c>
      <ns0:c r="J39" s="16">
        <ns0:f>B39*('前提と出典'!$C$36*'契約別単価'!I5+'前提と出典'!$C$37*'契約別単価'!I6+'前提と出典'!$C$38*'契約別単価'!I7)</ns0:f>
        <ns0:v>4430.530726256982</ns0:v>
      </ns0:c>
      <ns0:c r="K39" s="16">
        <ns0:f>B39*('前提と出典'!$C$36*'契約別単価'!J5+'前提と出典'!$C$37*'契約別単価'!J6+'前提と出典'!$C$38*'契約別単価'!J7)</ns0:f>
        <ns0:v>10320.40208958177</ns0:v>
      </ns0:c>
      <ns0:c r="L39" s="16">
        <ns0:f>B39*('前提と出典'!$C$36*'契約別単価'!K5+'前提と出典'!$C$37*'契約別単価'!K6+'前提と出典'!$C$38*'契約別単価'!K7)</ns0:f>
        <ns0:v>44236.87150837989</ns0:v>
      </ns0:c>
      <ns0:c r="M39" s="16">
        <ns0:f>B39*('前提と出典'!$C$36*'契約別単価'!L5+'前提と出典'!$C$37*'契約別単価'!L6+'前提と出典'!$C$38*'契約別単価'!L7)</ns0:f>
        <ns0:v>36017.815052918224</ns0:v>
      </ns0:c>
      <ns0:c r="N39" s="16">
        <ns0:f>IF(('前提と出典'!$C$36+'前提と出典'!$C$38)=0,0,IF(C39&lt;=10,'前提と出典'!B73+'前提と出典'!C73,IF(C39&lt;=100,'前提と出典'!B74+'前提と出典'!C74,IF(C39&lt;=500,'前提と出典'!B75+'前提と出典'!C75,'前提と出典'!B76+'前提と出典'!C76))))</ns0:f>
        <ns0:v>20000</ns0:v>
      </ns0:c>
      <ns0:c r="O39" s="16">
        <ns0:f>IF(('前提と出典'!$C$37+'前提と出典'!$C$38)=0,0,IF(D39&lt;=10,'前提と出典'!D73+'前提と出典'!E73,IF(D39&lt;=100,'前提と出典'!D74+'前提と出典'!E74,IF(D39&lt;=500,'前提と出典'!D75+'前提と出典'!E75,'前提と出典'!D76+'前提と出典'!E76))))</ns0:f>
        <ns0:v>34510.9346263078</ns0:v>
      </ns0:c>
      <ns0:c r="P39" s="16">
        <ns0:f>IF('前提と出典'!$C$36+'前提と出典'!$C$38=0,0,'前提と出典'!$B$4*IF('前提と出典'!$B$20=0,MAX('前提と出典'!$B$6,E39*'前提と出典'!$B$5),'前提と出典'!$B$6+E39*'前提と出典'!$B$5))</ns0:f>
        <ns0:v>104263.2402234637</ns0:v>
      </ns0:c>
      <ns0:c r="Q39" s="16">
        <ns0:f>(F39+H39)*(1-'前提と出典'!$B$7)-J39-L39-N39-P39</ns0:f>
        <ns0:v>224403.14843377972</ns0:v>
      </ns0:c>
      <ns0:c r="R39" s="16">
        <ns0:f>(G39+I39)*(1-'前提と出典'!$B$7)-K39-M39-O39</ns0:f>
        <ns0:v>65940.07001722665</ns0:v>
      </ns0:c>
      <ns0:c r="S39" s="16">
        <ns0:f>Q39-F39*'前提と出典'!$E$4</ns0:f>
        <ns0:v>163452.39174671017</ns0:v>
      </ns0:c>
      <ns0:c r="T39" s="16">
        <ns0:f>R39-G39*'前提と出典'!$E$4</ns0:f>
        <ns0:v>42019.11240655048</ns0:v>
      </ns0:c>
      <ns0:c r="U39" s="7">
        <ns0:f>S39+T39</ns0:f>
        <ns0:v>205471.50415326064</ns0:v>
      </ns0:c>
      <ns0:c r="V39" s="16">
        <ns0:f>Q39-F39*'前提と出典'!$E$5</ns0:f>
        <ns0:v>143135.47285102034</ns0:v>
      </ns0:c>
      <ns0:c r="W39" s="16">
        <ns0:f>R39-G39*'前提と出典'!$E$5</ns0:f>
        <ns0:v>34045.45986965841</ns0:v>
      </ns0:c>
      <ns0:c r="X39" s="7">
        <ns0:f>V39+W39</ns0:f>
        <ns0:v>177180.93272067874</ns0:v>
      </ns0:c>
      <ns0:c r="Y39" s="16">
        <ns0:f>Q39-F39*'前提と出典'!$E$6</ns0:f>
        <ns0:v>122818.5539553305</ns0:v>
      </ns0:c>
      <ns0:c r="Z39" s="16">
        <ns0:f>R39-G39*'前提と出典'!$E$6</ns0:f>
        <ns0:v>26071.80733276636</ns0:v>
      </ns0:c>
      <ns0:c r="AA39" s="7">
        <ns0:f>Y39+Z39</ns0:f>
        <ns0:v>148890.36128809687</ns0:v>
      </ns0:c>
      <ns0:c r="AB39" s="7">
        <ns0:f>AB38+U39</ns0:f>
        <ns0:v>2760211.7782902294</ns0:v>
      </ns0:c>
      <ns0:c r="AC39" s="7">
        <ns0:f>AC38+X39</ns0:f>
        <ns0:v>2250981.492503755</ns0:v>
      </ns0:c>
      <ns0:c r="AD39" s="7">
        <ns0:f>AD38+AA39</ns0:f>
        <ns0:v>1741751.2067172811</ns0:v>
      </ns0:c>
      <ns0:c r="AE39" s="7">
        <ns0:f>MAX(0,-MIN($AB$5:AB39))</ns0:f>
        <ns0:v>185179.99918172893</ns0:v>
      </ns0:c>
      <ns0:c r="AF39" s="7">
        <ns0:f>MAX(0,-MIN($AC$5:AC39))</ns0:f>
        <ns0:v>209365.24984621964</ns0:v>
      </ns0:c>
      <ns0:c r="AG39" s="7">
        <ns0:f>MAX(0,-MIN($AD$5:AD39))</ns0:f>
        <ns0:v>240671.86756805048</ns0:v>
      </ns0:c>
      <ns0:c r="AH39" s="4">
        <ns0:f>IF(U39&gt;=0,A39,37)</ns0:f>
        <ns0:v>35</ns0:v>
      </ns0:c>
      <ns0:c r="AI39" s="4">
        <ns0:f>IF(AB39&gt;=0,A39,37)</ns0:f>
        <ns0:v>35</ns0:v>
      </ns0:c>
      <ns0:c r="AJ39" s="4">
        <ns0:f>IF(X39&gt;=0,A39,37)</ns0:f>
        <ns0:v>35</ns0:v>
      </ns0:c>
      <ns0:c r="AK39" s="4">
        <ns0:f>IF(AC39&gt;=0,A39,37)</ns0:f>
        <ns0:v>35</ns0:v>
      </ns0:c>
      <ns0:c r="AL39" s="4">
        <ns0:f>IF(AA39&gt;=0,A39,37)</ns0:f>
        <ns0:v>35</ns0:v>
      </ns0:c>
      <ns0:c r="AM39" s="4">
        <ns0:f>IF(AD39&gt;=0,A39,37)</ns0:f>
        <ns0:v>35</ns0:v>
      </ns0:c>
    </ns0:row>
    <ns0:row r="40" ht="24" customHeight="1">
      <ns0:c r="A40" s="4" t="n">
        <ns0:v>36</ns0:v>
      </ns0:c>
      <ns0:c r="B40" s="12">
        <ns0:f>B39*(1-'前提と出典'!$B$31)+'前提と出典'!$B$30</ns0:f>
        <ns0:v>108</ns0:v>
      </ns0:c>
      <ns0:c r="C40" s="12">
        <ns0:f>B40*('前提と出典'!$C$36+'前提と出典'!$C$38)</ns0:f>
        <ns0:v>75.6</ns0:v>
      </ns0:c>
      <ns0:c r="D40" s="16">
        <ns0:f>B40*('前提と出典'!$C$37+'前提と出典'!$C$38)</ns0:f>
        <ns0:v>64.8</ns0:v>
      </ns0:c>
      <ns0:c r="E40" s="16">
        <ns0:f>B40*('前提と出典'!$C$36*'契約別単価'!C5+'前提と出典'!$C$37*'契約別単価'!C6+'前提と出典'!$C$38*'契約別単価'!C7)</ns0:f>
        <ns0:v>777.1173184357542</ns0:v>
      </ns0:c>
      <ns0:c r="F40" s="16">
        <ns0:f>B40*('前提と出典'!$C$36*'契約別単価'!E5+'前提と出典'!$C$37*'契約別単価'!E6+'前提と出典'!$C$38*'契約別単価'!E7)</ns0:f>
        <ns0:v>208974.02292709553</ns0:v>
      </ns0:c>
      <ns0:c r="G40" s="16">
        <ns0:f>B40*('前提と出典'!$C$36*'契約別単価'!F5+'前提と出典'!$C$37*'契約別単価'!F6+'前提と出典'!$C$38*'契約別単価'!F7)</ns0:f>
        <ns0:v>82014.7118080326</ns0:v>
      </ns0:c>
      <ns0:c r="H40" s="16">
        <ns0:f>B40*('前提と出典'!$C$36*'契約別単価'!G5+'前提と出典'!$C$37*'契約別単価'!G6+'前提と出典'!$C$38*'契約別単価'!G7)</ns0:f>
        <ns0:v>214974.30167597765</ns0:v>
      </ns0:c>
      <ns0:c r="I40" s="16">
        <ns0:f>B40*('前提と出典'!$C$36*'契約別単価'!H5+'前提と出典'!$C$37*'契約別単価'!H6+'前提と出典'!$C$38*'契約別単価'!H7)</ns0:f>
        <ns0:v>74606.86449004798</ns0:v>
      </ns0:c>
      <ns0:c r="J40" s="16">
        <ns0:f>B40*('前提と出典'!$C$36*'契約別単価'!I5+'前提と出典'!$C$37*'契約別単価'!I6+'前提と出典'!$C$38*'契約別単価'!I7)</ns0:f>
        <ns0:v>4557.117318435753</ns0:v>
      </ns0:c>
      <ns0:c r="K40" s="16">
        <ns0:f>B40*('前提と出典'!$C$36*'契約別単価'!J5+'前提と出典'!$C$37*'契約別単価'!J6+'前提と出典'!$C$38*'契約別単価'!J7)</ns0:f>
        <ns0:v>10615.270720712677</ns0:v>
      </ns0:c>
      <ns0:c r="L40" s="16">
        <ns0:f>B40*('前提と出典'!$C$36*'契約別単価'!K5+'前提と出典'!$C$37*'契約別単価'!K6+'前提と出典'!$C$38*'契約別単価'!K7)</ns0:f>
        <ns0:v>45500.782122905024</ns0:v>
      </ns0:c>
      <ns0:c r="M40" s="16">
        <ns0:f>B40*('前提と出典'!$C$36*'契約別単価'!L5+'前提と出典'!$C$37*'契約別単価'!L6+'前提と出典'!$C$38*'契約別単価'!L7)</ns0:f>
        <ns0:v>37046.8954830016</ns0:v>
      </ns0:c>
      <ns0:c r="N40" s="16">
        <ns0:f>IF(('前提と出典'!$C$36+'前提と出典'!$C$38)=0,0,IF(C40&lt;=10,'前提と出典'!B73+'前提と出典'!C73,IF(C40&lt;=100,'前提と出典'!B74+'前提と出典'!C74,IF(C40&lt;=500,'前提と出典'!B75+'前提と出典'!C75,'前提と出典'!B76+'前提と出典'!C76))))</ns0:f>
        <ns0:v>20000</ns0:v>
      </ns0:c>
      <ns0:c r="O40" s="16">
        <ns0:f>IF(('前提と出典'!$C$37+'前提と出典'!$C$38)=0,0,IF(D40&lt;=10,'前提と出典'!D73+'前提と出典'!E73,IF(D40&lt;=100,'前提と出典'!D74+'前提と出典'!E74,IF(D40&lt;=500,'前提と出典'!D75+'前提と出典'!E75,'前提と出典'!D76+'前提と出典'!E76))))</ns0:f>
        <ns0:v>34510.9346263078</ns0:v>
      </ns0:c>
      <ns0:c r="P40" s="16">
        <ns0:f>IF('前提と出典'!$C$36+'前提と出典'!$C$38=0,0,'前提と出典'!$B$4*IF('前提と出典'!$B$20=0,MAX('前提と出典'!$B$6,E40*'前提と出典'!$B$5),'前提と出典'!$B$6+E40*'前提と出典'!$B$5))</ns0:f>
        <ns0:v>107242.1899441341</ns0:v>
      </ns0:c>
      <ns0:c r="Q40" s="16">
        <ns0:f>(F40+H40)*(1-'前提と出典'!$B$7)-J40-L40-N40-P40</ns0:f>
        <ns0:v>231386.09553188767</ns0:v>
      </ns0:c>
      <ns0:c r="R40" s="16">
        <ns0:f>(G40+I40)*(1-'前提と出典'!$B$7)-K40-M40-O40</ns0:f>
        <ns0:v>68810.09872132761</ns0:v>
      </ns0:c>
      <ns0:c r="S40" s="16">
        <ns0:f>Q40-F40*'前提と出典'!$E$4</ns0:f>
        <ns0:v>168693.88865375903</ns0:v>
      </ns0:c>
      <ns0:c r="T40" s="16">
        <ns0:f>R40-G40*'前提と出典'!$E$4</ns0:f>
        <ns0:v>44205.685178917825</ns0:v>
      </ns0:c>
      <ns0:c r="U40" s="7">
        <ns0:f>S40+T40</ns0:f>
        <ns0:v>212899.57383267686</ns0:v>
      </ns0:c>
      <ns0:c r="V40" s="16">
        <ns0:f>Q40-F40*'前提と出典'!$E$5</ns0:f>
        <ns0:v>147796.48636104946</ns0:v>
      </ns0:c>
      <ns0:c r="W40" s="16">
        <ns0:f>R40-G40*'前提と出典'!$E$5</ns0:f>
        <ns0:v>36004.21399811457</ns0:v>
      </ns0:c>
      <ns0:c r="X40" s="7">
        <ns0:f>V40+W40</ns0:f>
        <ns0:v>183800.70035916404</ns0:v>
      </ns0:c>
      <ns0:c r="Y40" s="16">
        <ns0:f>Q40-F40*'前提と出典'!$E$6</ns0:f>
        <ns0:v>126899.0840683399</ns0:v>
      </ns0:c>
      <ns0:c r="Z40" s="16">
        <ns0:f>R40-G40*'前提と出典'!$E$6</ns0:f>
        <ns0:v>27802.742817311308</ns0:v>
      </ns0:c>
      <ns0:c r="AA40" s="7">
        <ns0:f>Y40+Z40</ns0:f>
        <ns0:v>154701.82688565121</ns0:v>
      </ns0:c>
      <ns0:c r="AB40" s="7">
        <ns0:f>AB39+U40</ns0:f>
        <ns0:v>2973111.352122906</ns0:v>
      </ns0:c>
      <ns0:c r="AC40" s="7">
        <ns0:f>AC39+X40</ns0:f>
        <ns0:v>2434782.1928629186</ns0:v>
      </ns0:c>
      <ns0:c r="AD40" s="7">
        <ns0:f>AD39+AA40</ns0:f>
        <ns0:v>1896453.0336029325</ns0:v>
      </ns0:c>
      <ns0:c r="AE40" s="7">
        <ns0:f>MAX(0,-MIN($AB$5:AB40))</ns0:f>
        <ns0:v>185179.99918172893</ns0:v>
      </ns0:c>
      <ns0:c r="AF40" s="7">
        <ns0:f>MAX(0,-MIN($AC$5:AC40))</ns0:f>
        <ns0:v>209365.24984621964</ns0:v>
      </ns0:c>
      <ns0:c r="AG40" s="7">
        <ns0:f>MAX(0,-MIN($AD$5:AD40))</ns0:f>
        <ns0:v>240671.86756805048</ns0:v>
      </ns0:c>
      <ns0:c r="AH40" s="4">
        <ns0:f>IF(U40&gt;=0,A40,37)</ns0:f>
        <ns0:v>36</ns0:v>
      </ns0:c>
      <ns0:c r="AI40" s="4">
        <ns0:f>IF(AB40&gt;=0,A40,37)</ns0:f>
        <ns0:v>36</ns0:v>
      </ns0:c>
      <ns0:c r="AJ40" s="4">
        <ns0:f>IF(X40&gt;=0,A40,37)</ns0:f>
        <ns0:v>36</ns0:v>
      </ns0:c>
      <ns0:c r="AK40" s="4">
        <ns0:f>IF(AC40&gt;=0,A40,37)</ns0:f>
        <ns0:v>36</ns0:v>
      </ns0:c>
      <ns0:c r="AL40" s="4">
        <ns0:f>IF(AA40&gt;=0,A40,37)</ns0:f>
        <ns0:v>36</ns0:v>
      </ns0:c>
      <ns0:c r="AM40" s="4">
        <ns0:f>IF(AD40&gt;=0,A40,37)</ns0:f>
        <ns0:v>36</ns0:v>
      </ns0:c>
    </ns0:row>
    <ns0:row r="41" ht="24" customHeight="1">
      <ns0:c r="D41" s="17" t="n"/>
      <ns0:c r="E41" s="17" t="n"/>
      <ns0:c r="F41" s="17" t="n"/>
      <ns0:c r="G41" s="17" t="n"/>
      <ns0:c r="H41" s="17" t="n"/>
      <ns0:c r="I41" s="17" t="n"/>
      <ns0:c r="J41" s="17" t="n"/>
      <ns0:c r="K41" s="17" t="n"/>
      <ns0:c r="L41" s="17" t="n"/>
      <ns0:c r="M41" s="17" t="n"/>
      <ns0:c r="N41" s="17" t="n"/>
      <ns0:c r="O41" s="17" t="n"/>
      <ns0:c r="P41" s="17" t="n"/>
      <ns0:c r="Q41" s="17" t="n"/>
      <ns0:c r="R41" s="17" t="n"/>
      <ns0:c r="S41" s="17" t="n"/>
      <ns0:c r="T41" s="17" t="n"/>
      <ns0:c r="U41" s="17" t="n"/>
      <ns0:c r="V41" s="17" t="n"/>
      <ns0:c r="W41" s="17" t="n"/>
      <ns0:c r="X41" s="17" t="n"/>
      <ns0:c r="Y41" s="17" t="n"/>
      <ns0:c r="Z41" s="17" t="n"/>
      <ns0:c r="AA41" s="17" t="n"/>
      <ns0:c r="AB41" s="17" t="n"/>
      <ns0:c r="AC41" s="17" t="n"/>
      <ns0:c r="AD41" s="17" t="n"/>
      <ns0:c r="AE41" s="17" t="n"/>
      <ns0:c r="AF41" s="17" t="n"/>
      <ns0:c r="AG41" s="17" t="n"/>
    </ns0:row>
    <ns0:row r="42" ht="24" customHeight="1">
      <ns0:c r="D42" s="17" t="n"/>
      <ns0:c r="E42" s="17" t="n"/>
      <ns0:c r="F42" s="17" t="n"/>
      <ns0:c r="G42" s="17" t="n"/>
      <ns0:c r="H42" s="17" t="n"/>
      <ns0:c r="I42" s="17" t="n"/>
      <ns0:c r="J42" s="17" t="n"/>
      <ns0:c r="K42" s="17" t="n"/>
      <ns0:c r="L42" s="17" t="n"/>
      <ns0:c r="M42" s="17" t="n"/>
      <ns0:c r="N42" s="17" t="n"/>
      <ns0:c r="O42" s="17" t="n"/>
      <ns0:c r="P42" s="17" t="n"/>
      <ns0:c r="Q42" s="17" t="n"/>
      <ns0:c r="R42" s="17" t="n"/>
      <ns0:c r="S42" s="17" t="n"/>
      <ns0:c r="T42" s="17" t="n"/>
      <ns0:c r="U42" s="17" t="n"/>
      <ns0:c r="V42" s="17" t="n"/>
      <ns0:c r="W42" s="17" t="n"/>
      <ns0:c r="X42" s="17" t="n"/>
      <ns0:c r="Y42" s="17" t="n"/>
      <ns0:c r="Z42" s="17" t="n"/>
      <ns0:c r="AA42" s="17" t="n"/>
      <ns0:c r="AB42" s="17" t="n"/>
      <ns0:c r="AC42" s="17" t="n"/>
      <ns0:c r="AD42" s="17" t="n"/>
      <ns0:c r="AE42" s="17" t="n"/>
      <ns0:c r="AF42" s="17" t="n"/>
      <ns0:c r="AG42" s="17" t="n"/>
    </ns0:row>
    <ns0:row r="43" ht="24" customHeight="1">
      <ns0:c r="D43" s="17" t="n"/>
      <ns0:c r="E43" s="17" t="n"/>
      <ns0:c r="F43" s="17" t="n"/>
      <ns0:c r="G43" s="17" t="n"/>
      <ns0:c r="H43" s="17" t="n"/>
      <ns0:c r="I43" s="17" t="n"/>
      <ns0:c r="J43" s="17" t="n"/>
      <ns0:c r="K43" s="17" t="n"/>
      <ns0:c r="L43" s="17" t="n"/>
      <ns0:c r="M43" s="17" t="n"/>
      <ns0:c r="N43" s="17" t="n"/>
      <ns0:c r="O43" s="17" t="n"/>
      <ns0:c r="P43" s="17" t="n"/>
      <ns0:c r="Q43" s="17" t="n"/>
      <ns0:c r="R43" s="17" t="n"/>
      <ns0:c r="S43" s="17" t="n"/>
      <ns0:c r="T43" s="17" t="n"/>
      <ns0:c r="U43" s="17" t="n"/>
      <ns0:c r="V43" s="17" t="n"/>
      <ns0:c r="W43" s="17" t="n"/>
      <ns0:c r="X43" s="17" t="n"/>
      <ns0:c r="Y43" s="17" t="n"/>
      <ns0:c r="Z43" s="17" t="n"/>
      <ns0:c r="AA43" s="17" t="n"/>
      <ns0:c r="AB43" s="17" t="n"/>
      <ns0:c r="AC43" s="17" t="n"/>
      <ns0:c r="AD43" s="17" t="n"/>
      <ns0:c r="AE43" s="17" t="n"/>
      <ns0:c r="AF43" s="17" t="n"/>
      <ns0:c r="AG43" s="17" t="n"/>
    </ns0:row>
    <ns0:row r="44" ht="24" customHeight="1">
      <ns0:c r="D44" s="17" t="n"/>
      <ns0:c r="E44" s="17" t="n"/>
      <ns0:c r="F44" s="17" t="n"/>
      <ns0:c r="G44" s="17" t="n"/>
      <ns0:c r="H44" s="17" t="n"/>
      <ns0:c r="I44" s="17" t="n"/>
      <ns0:c r="J44" s="17" t="n"/>
      <ns0:c r="K44" s="17" t="n"/>
      <ns0:c r="L44" s="17" t="n"/>
      <ns0:c r="M44" s="17" t="n"/>
      <ns0:c r="N44" s="17" t="n"/>
      <ns0:c r="O44" s="17" t="n"/>
      <ns0:c r="P44" s="17" t="n"/>
      <ns0:c r="Q44" s="17" t="n"/>
      <ns0:c r="R44" s="17" t="n"/>
      <ns0:c r="S44" s="17" t="n"/>
      <ns0:c r="T44" s="17" t="n"/>
      <ns0:c r="U44" s="17" t="n"/>
      <ns0:c r="V44" s="17" t="n"/>
      <ns0:c r="W44" s="17" t="n"/>
      <ns0:c r="X44" s="17" t="n"/>
      <ns0:c r="Y44" s="17" t="n"/>
      <ns0:c r="Z44" s="17" t="n"/>
      <ns0:c r="AA44" s="17" t="n"/>
      <ns0:c r="AB44" s="17" t="n"/>
      <ns0:c r="AC44" s="17" t="n"/>
      <ns0:c r="AD44" s="17" t="n"/>
      <ns0:c r="AE44" s="17" t="n"/>
      <ns0:c r="AF44" s="17" t="n"/>
      <ns0:c r="AG44" s="17" t="n"/>
    </ns0:row>
    <ns0:row r="45" ht="24" customHeight="1">
      <ns0:c r="D45" s="17" t="n"/>
      <ns0:c r="E45" s="17" t="n"/>
      <ns0:c r="F45" s="17" t="n"/>
      <ns0:c r="G45" s="17" t="n"/>
      <ns0:c r="H45" s="17" t="n"/>
      <ns0:c r="I45" s="17" t="n"/>
      <ns0:c r="J45" s="17" t="n"/>
      <ns0:c r="K45" s="17" t="n"/>
      <ns0:c r="L45" s="17" t="n"/>
      <ns0:c r="M45" s="17" t="n"/>
      <ns0:c r="N45" s="17" t="n"/>
      <ns0:c r="O45" s="17" t="n"/>
      <ns0:c r="P45" s="17" t="n"/>
      <ns0:c r="Q45" s="17" t="n"/>
      <ns0:c r="R45" s="17" t="n"/>
      <ns0:c r="S45" s="17" t="n"/>
      <ns0:c r="T45" s="17" t="n"/>
      <ns0:c r="U45" s="17" t="n"/>
      <ns0:c r="V45" s="17" t="n"/>
      <ns0:c r="W45" s="17" t="n"/>
      <ns0:c r="X45" s="17" t="n"/>
      <ns0:c r="Y45" s="17" t="n"/>
      <ns0:c r="Z45" s="17" t="n"/>
      <ns0:c r="AA45" s="17" t="n"/>
      <ns0:c r="AB45" s="17" t="n"/>
      <ns0:c r="AC45" s="17" t="n"/>
      <ns0:c r="AD45" s="17" t="n"/>
      <ns0:c r="AE45" s="17" t="n"/>
      <ns0:c r="AF45" s="17" t="n"/>
      <ns0:c r="AG45" s="17" t="n"/>
    </ns0:row>
    <ns0:row r="46" ht="24" customHeight="1">
      <ns0:c r="D46" s="17" t="n"/>
      <ns0:c r="E46" s="17" t="n"/>
      <ns0:c r="F46" s="17" t="n"/>
      <ns0:c r="G46" s="17" t="n"/>
      <ns0:c r="H46" s="17" t="n"/>
      <ns0:c r="I46" s="17" t="n"/>
      <ns0:c r="J46" s="17" t="n"/>
      <ns0:c r="K46" s="17" t="n"/>
      <ns0:c r="L46" s="17" t="n"/>
      <ns0:c r="M46" s="17" t="n"/>
      <ns0:c r="N46" s="17" t="n"/>
      <ns0:c r="O46" s="17" t="n"/>
      <ns0:c r="P46" s="17" t="n"/>
      <ns0:c r="Q46" s="17" t="n"/>
      <ns0:c r="R46" s="17" t="n"/>
      <ns0:c r="S46" s="17" t="n"/>
      <ns0:c r="T46" s="17" t="n"/>
      <ns0:c r="U46" s="17" t="n"/>
      <ns0:c r="V46" s="17" t="n"/>
      <ns0:c r="W46" s="17" t="n"/>
      <ns0:c r="X46" s="17" t="n"/>
      <ns0:c r="Y46" s="17" t="n"/>
      <ns0:c r="Z46" s="17" t="n"/>
      <ns0:c r="AA46" s="17" t="n"/>
      <ns0:c r="AB46" s="17" t="n"/>
      <ns0:c r="AC46" s="17" t="n"/>
      <ns0:c r="AD46" s="17" t="n"/>
      <ns0:c r="AE46" s="17" t="n"/>
      <ns0:c r="AF46" s="17" t="n"/>
      <ns0:c r="AG46" s="17" t="n"/>
    </ns0:row>
    <ns0:row r="47" ht="24" customHeight="1">
      <ns0:c r="D47" s="17" t="n"/>
      <ns0:c r="E47" s="17" t="n"/>
      <ns0:c r="F47" s="17" t="n"/>
      <ns0:c r="G47" s="17" t="n"/>
      <ns0:c r="H47" s="17" t="n"/>
      <ns0:c r="I47" s="17" t="n"/>
      <ns0:c r="J47" s="17" t="n"/>
      <ns0:c r="K47" s="17" t="n"/>
      <ns0:c r="L47" s="17" t="n"/>
      <ns0:c r="M47" s="17" t="n"/>
      <ns0:c r="N47" s="17" t="n"/>
      <ns0:c r="O47" s="17" t="n"/>
      <ns0:c r="P47" s="17" t="n"/>
      <ns0:c r="Q47" s="17" t="n"/>
      <ns0:c r="R47" s="17" t="n"/>
      <ns0:c r="S47" s="17" t="n"/>
      <ns0:c r="T47" s="17" t="n"/>
      <ns0:c r="U47" s="17" t="n"/>
      <ns0:c r="V47" s="17" t="n"/>
      <ns0:c r="W47" s="17" t="n"/>
      <ns0:c r="X47" s="17" t="n"/>
      <ns0:c r="Y47" s="17" t="n"/>
      <ns0:c r="Z47" s="17" t="n"/>
      <ns0:c r="AA47" s="17" t="n"/>
      <ns0:c r="AB47" s="17" t="n"/>
      <ns0:c r="AC47" s="17" t="n"/>
      <ns0:c r="AD47" s="17" t="n"/>
      <ns0:c r="AE47" s="17" t="n"/>
      <ns0:c r="AF47" s="17" t="n"/>
      <ns0:c r="AG47" s="17" t="n"/>
    </ns0:row>
    <ns0:row r="48" ht="24" customHeight="1">
      <ns0:c r="D48" s="17" t="n"/>
      <ns0:c r="E48" s="17" t="n"/>
      <ns0:c r="F48" s="17" t="n"/>
      <ns0:c r="G48" s="17" t="n"/>
      <ns0:c r="H48" s="17" t="n"/>
      <ns0:c r="I48" s="17" t="n"/>
      <ns0:c r="J48" s="17" t="n"/>
      <ns0:c r="K48" s="17" t="n"/>
      <ns0:c r="L48" s="17" t="n"/>
      <ns0:c r="M48" s="17" t="n"/>
      <ns0:c r="N48" s="17" t="n"/>
      <ns0:c r="O48" s="17" t="n"/>
      <ns0:c r="P48" s="17" t="n"/>
      <ns0:c r="Q48" s="17" t="n"/>
      <ns0:c r="R48" s="17" t="n"/>
      <ns0:c r="S48" s="17" t="n"/>
      <ns0:c r="T48" s="17" t="n"/>
      <ns0:c r="U48" s="17" t="n"/>
      <ns0:c r="V48" s="17" t="n"/>
      <ns0:c r="W48" s="17" t="n"/>
      <ns0:c r="X48" s="17" t="n"/>
      <ns0:c r="Y48" s="17" t="n"/>
      <ns0:c r="Z48" s="17" t="n"/>
      <ns0:c r="AA48" s="17" t="n"/>
      <ns0:c r="AB48" s="17" t="n"/>
      <ns0:c r="AC48" s="17" t="n"/>
      <ns0:c r="AD48" s="17" t="n"/>
      <ns0:c r="AE48" s="17" t="n"/>
      <ns0:c r="AF48" s="17" t="n"/>
      <ns0:c r="AG48" s="17" t="n"/>
    </ns0:row>
    <ns0:row r="49" ht="24" customHeight="1">
      <ns0:c r="D49" s="17" t="n"/>
      <ns0:c r="E49" s="17" t="n"/>
      <ns0:c r="F49" s="17" t="n"/>
      <ns0:c r="G49" s="17" t="n"/>
      <ns0:c r="H49" s="17" t="n"/>
      <ns0:c r="I49" s="17" t="n"/>
      <ns0:c r="J49" s="17" t="n"/>
      <ns0:c r="K49" s="17" t="n"/>
      <ns0:c r="L49" s="17" t="n"/>
      <ns0:c r="M49" s="17" t="n"/>
      <ns0:c r="N49" s="17" t="n"/>
      <ns0:c r="O49" s="17" t="n"/>
      <ns0:c r="P49" s="17" t="n"/>
      <ns0:c r="Q49" s="17" t="n"/>
      <ns0:c r="R49" s="17" t="n"/>
      <ns0:c r="S49" s="17" t="n"/>
      <ns0:c r="T49" s="17" t="n"/>
      <ns0:c r="U49" s="17" t="n"/>
      <ns0:c r="V49" s="17" t="n"/>
      <ns0:c r="W49" s="17" t="n"/>
      <ns0:c r="X49" s="17" t="n"/>
      <ns0:c r="Y49" s="17" t="n"/>
      <ns0:c r="Z49" s="17" t="n"/>
      <ns0:c r="AA49" s="17" t="n"/>
      <ns0:c r="AB49" s="17" t="n"/>
      <ns0:c r="AC49" s="17" t="n"/>
      <ns0:c r="AD49" s="17" t="n"/>
      <ns0:c r="AE49" s="17" t="n"/>
      <ns0:c r="AF49" s="17" t="n"/>
      <ns0:c r="AG49" s="17" t="n"/>
    </ns0:row>
    <ns0:row r="50" ht="24" customHeight="1">
      <ns0:c r="D50" s="17" t="n"/>
      <ns0:c r="E50" s="17" t="n"/>
      <ns0:c r="F50" s="17" t="n"/>
      <ns0:c r="G50" s="17" t="n"/>
      <ns0:c r="H50" s="17" t="n"/>
      <ns0:c r="I50" s="17" t="n"/>
      <ns0:c r="J50" s="17" t="n"/>
      <ns0:c r="K50" s="17" t="n"/>
      <ns0:c r="L50" s="17" t="n"/>
      <ns0:c r="M50" s="17" t="n"/>
      <ns0:c r="N50" s="17" t="n"/>
      <ns0:c r="O50" s="17" t="n"/>
      <ns0:c r="P50" s="17" t="n"/>
      <ns0:c r="Q50" s="17" t="n"/>
      <ns0:c r="R50" s="17" t="n"/>
      <ns0:c r="S50" s="17" t="n"/>
      <ns0:c r="T50" s="17" t="n"/>
      <ns0:c r="U50" s="17" t="n"/>
      <ns0:c r="V50" s="17" t="n"/>
      <ns0:c r="W50" s="17" t="n"/>
      <ns0:c r="X50" s="17" t="n"/>
      <ns0:c r="Y50" s="17" t="n"/>
      <ns0:c r="Z50" s="17" t="n"/>
      <ns0:c r="AA50" s="17" t="n"/>
      <ns0:c r="AB50" s="17" t="n"/>
      <ns0:c r="AC50" s="17" t="n"/>
      <ns0:c r="AD50" s="17" t="n"/>
      <ns0:c r="AE50" s="17" t="n"/>
      <ns0:c r="AF50" s="17" t="n"/>
      <ns0:c r="AG50" s="17" t="n"/>
    </ns0:row>
    <ns0:row r="51" ht="24" customHeight="1">
      <ns0:c r="D51" s="17" t="n"/>
      <ns0:c r="E51" s="17" t="n"/>
      <ns0:c r="F51" s="17" t="n"/>
      <ns0:c r="G51" s="17" t="n"/>
      <ns0:c r="H51" s="17" t="n"/>
      <ns0:c r="I51" s="17" t="n"/>
      <ns0:c r="J51" s="17" t="n"/>
      <ns0:c r="K51" s="17" t="n"/>
      <ns0:c r="L51" s="17" t="n"/>
      <ns0:c r="M51" s="17" t="n"/>
      <ns0:c r="N51" s="17" t="n"/>
      <ns0:c r="O51" s="17" t="n"/>
      <ns0:c r="P51" s="17" t="n"/>
      <ns0:c r="Q51" s="17" t="n"/>
      <ns0:c r="R51" s="17" t="n"/>
      <ns0:c r="S51" s="17" t="n"/>
      <ns0:c r="T51" s="17" t="n"/>
      <ns0:c r="U51" s="17" t="n"/>
      <ns0:c r="V51" s="17" t="n"/>
      <ns0:c r="W51" s="17" t="n"/>
      <ns0:c r="X51" s="17" t="n"/>
      <ns0:c r="Y51" s="17" t="n"/>
      <ns0:c r="Z51" s="17" t="n"/>
      <ns0:c r="AA51" s="17" t="n"/>
      <ns0:c r="AB51" s="17" t="n"/>
      <ns0:c r="AC51" s="17" t="n"/>
      <ns0:c r="AD51" s="17" t="n"/>
      <ns0:c r="AE51" s="17" t="n"/>
      <ns0:c r="AF51" s="17" t="n"/>
      <ns0:c r="AG51" s="17" t="n"/>
    </ns0:row>
    <ns0:row r="52" ht="24" customHeight="1">
      <ns0:c r="D52" s="17" t="n"/>
      <ns0:c r="E52" s="17" t="n"/>
      <ns0:c r="F52" s="17" t="n"/>
      <ns0:c r="G52" s="17" t="n"/>
      <ns0:c r="H52" s="17" t="n"/>
      <ns0:c r="I52" s="17" t="n"/>
      <ns0:c r="J52" s="17" t="n"/>
      <ns0:c r="K52" s="17" t="n"/>
      <ns0:c r="L52" s="17" t="n"/>
      <ns0:c r="M52" s="17" t="n"/>
      <ns0:c r="N52" s="17" t="n"/>
      <ns0:c r="O52" s="17" t="n"/>
      <ns0:c r="P52" s="17" t="n"/>
      <ns0:c r="Q52" s="17" t="n"/>
      <ns0:c r="R52" s="17" t="n"/>
      <ns0:c r="S52" s="17" t="n"/>
      <ns0:c r="T52" s="17" t="n"/>
      <ns0:c r="U52" s="17" t="n"/>
      <ns0:c r="V52" s="17" t="n"/>
      <ns0:c r="W52" s="17" t="n"/>
      <ns0:c r="X52" s="17" t="n"/>
      <ns0:c r="Y52" s="17" t="n"/>
      <ns0:c r="Z52" s="17" t="n"/>
      <ns0:c r="AA52" s="17" t="n"/>
      <ns0:c r="AB52" s="17" t="n"/>
      <ns0:c r="AC52" s="17" t="n"/>
      <ns0:c r="AD52" s="17" t="n"/>
      <ns0:c r="AE52" s="17" t="n"/>
      <ns0:c r="AF52" s="17" t="n"/>
      <ns0:c r="AG52" s="17" t="n"/>
    </ns0:row>
    <ns0:row r="53" ht="24" customHeight="1">
      <ns0:c r="D53" s="17" t="n"/>
      <ns0:c r="E53" s="17" t="n"/>
      <ns0:c r="F53" s="17" t="n"/>
      <ns0:c r="G53" s="17" t="n"/>
      <ns0:c r="H53" s="17" t="n"/>
      <ns0:c r="I53" s="17" t="n"/>
      <ns0:c r="J53" s="17" t="n"/>
      <ns0:c r="K53" s="17" t="n"/>
      <ns0:c r="L53" s="17" t="n"/>
      <ns0:c r="M53" s="17" t="n"/>
      <ns0:c r="N53" s="17" t="n"/>
      <ns0:c r="O53" s="17" t="n"/>
      <ns0:c r="P53" s="17" t="n"/>
      <ns0:c r="Q53" s="17" t="n"/>
      <ns0:c r="R53" s="17" t="n"/>
      <ns0:c r="S53" s="17" t="n"/>
      <ns0:c r="T53" s="17" t="n"/>
      <ns0:c r="U53" s="17" t="n"/>
      <ns0:c r="V53" s="17" t="n"/>
      <ns0:c r="W53" s="17" t="n"/>
      <ns0:c r="X53" s="17" t="n"/>
      <ns0:c r="Y53" s="17" t="n"/>
      <ns0:c r="Z53" s="17" t="n"/>
      <ns0:c r="AA53" s="17" t="n"/>
      <ns0:c r="AB53" s="17" t="n"/>
      <ns0:c r="AC53" s="17" t="n"/>
      <ns0:c r="AD53" s="17" t="n"/>
      <ns0:c r="AE53" s="17" t="n"/>
      <ns0:c r="AF53" s="17" t="n"/>
      <ns0:c r="AG53" s="17" t="n"/>
    </ns0:row>
    <ns0:row r="54" ht="24" customHeight="1">
      <ns0:c r="D54" s="17" t="n"/>
      <ns0:c r="E54" s="17" t="n"/>
      <ns0:c r="F54" s="17" t="n"/>
      <ns0:c r="G54" s="17" t="n"/>
      <ns0:c r="H54" s="17" t="n"/>
      <ns0:c r="I54" s="17" t="n"/>
      <ns0:c r="J54" s="17" t="n"/>
      <ns0:c r="K54" s="17" t="n"/>
      <ns0:c r="L54" s="17" t="n"/>
      <ns0:c r="M54" s="17" t="n"/>
      <ns0:c r="N54" s="17" t="n"/>
      <ns0:c r="O54" s="17" t="n"/>
      <ns0:c r="P54" s="17" t="n"/>
      <ns0:c r="Q54" s="17" t="n"/>
      <ns0:c r="R54" s="17" t="n"/>
      <ns0:c r="S54" s="17" t="n"/>
      <ns0:c r="T54" s="17" t="n"/>
      <ns0:c r="U54" s="17" t="n"/>
      <ns0:c r="V54" s="17" t="n"/>
      <ns0:c r="W54" s="17" t="n"/>
      <ns0:c r="X54" s="17" t="n"/>
      <ns0:c r="Y54" s="17" t="n"/>
      <ns0:c r="Z54" s="17" t="n"/>
      <ns0:c r="AA54" s="17" t="n"/>
      <ns0:c r="AB54" s="17" t="n"/>
      <ns0:c r="AC54" s="17" t="n"/>
      <ns0:c r="AD54" s="17" t="n"/>
      <ns0:c r="AE54" s="17" t="n"/>
      <ns0:c r="AF54" s="17" t="n"/>
      <ns0:c r="AG54" s="17" t="n"/>
    </ns0:row>
    <ns0:row r="55" ht="24" customHeight="1">
      <ns0:c r="D55" s="17" t="n"/>
      <ns0:c r="E55" s="17" t="n"/>
      <ns0:c r="F55" s="17" t="n"/>
      <ns0:c r="G55" s="17" t="n"/>
      <ns0:c r="H55" s="17" t="n"/>
      <ns0:c r="I55" s="17" t="n"/>
      <ns0:c r="J55" s="17" t="n"/>
      <ns0:c r="K55" s="17" t="n"/>
      <ns0:c r="L55" s="17" t="n"/>
      <ns0:c r="M55" s="17" t="n"/>
      <ns0:c r="N55" s="17" t="n"/>
      <ns0:c r="O55" s="17" t="n"/>
      <ns0:c r="P55" s="17" t="n"/>
      <ns0:c r="Q55" s="17" t="n"/>
      <ns0:c r="R55" s="17" t="n"/>
      <ns0:c r="S55" s="17" t="n"/>
      <ns0:c r="T55" s="17" t="n"/>
      <ns0:c r="U55" s="17" t="n"/>
      <ns0:c r="V55" s="17" t="n"/>
      <ns0:c r="W55" s="17" t="n"/>
      <ns0:c r="X55" s="17" t="n"/>
      <ns0:c r="Y55" s="17" t="n"/>
      <ns0:c r="Z55" s="17" t="n"/>
      <ns0:c r="AA55" s="17" t="n"/>
      <ns0:c r="AB55" s="17" t="n"/>
      <ns0:c r="AC55" s="17" t="n"/>
      <ns0:c r="AD55" s="17" t="n"/>
      <ns0:c r="AE55" s="17" t="n"/>
      <ns0:c r="AF55" s="17" t="n"/>
      <ns0:c r="AG55" s="17" t="n"/>
    </ns0:row>
    <ns0:row r="56" ht="24" customHeight="1">
      <ns0:c r="D56" s="17" t="n"/>
      <ns0:c r="E56" s="17" t="n"/>
      <ns0:c r="F56" s="17" t="n"/>
      <ns0:c r="G56" s="17" t="n"/>
      <ns0:c r="H56" s="17" t="n"/>
      <ns0:c r="I56" s="17" t="n"/>
      <ns0:c r="J56" s="17" t="n"/>
      <ns0:c r="K56" s="17" t="n"/>
      <ns0:c r="L56" s="17" t="n"/>
      <ns0:c r="M56" s="17" t="n"/>
      <ns0:c r="N56" s="17" t="n"/>
      <ns0:c r="O56" s="17" t="n"/>
      <ns0:c r="P56" s="17" t="n"/>
      <ns0:c r="Q56" s="17" t="n"/>
      <ns0:c r="R56" s="17" t="n"/>
      <ns0:c r="S56" s="17" t="n"/>
      <ns0:c r="T56" s="17" t="n"/>
      <ns0:c r="U56" s="17" t="n"/>
      <ns0:c r="V56" s="17" t="n"/>
      <ns0:c r="W56" s="17" t="n"/>
      <ns0:c r="X56" s="17" t="n"/>
      <ns0:c r="Y56" s="17" t="n"/>
      <ns0:c r="Z56" s="17" t="n"/>
      <ns0:c r="AA56" s="17" t="n"/>
      <ns0:c r="AB56" s="17" t="n"/>
      <ns0:c r="AC56" s="17" t="n"/>
      <ns0:c r="AD56" s="17" t="n"/>
      <ns0:c r="AE56" s="17" t="n"/>
      <ns0:c r="AF56" s="17" t="n"/>
      <ns0:c r="AG56" s="17" t="n"/>
    </ns0:row>
    <ns0:row r="57" ht="24" customHeight="1">
      <ns0:c r="D57" s="17" t="n"/>
      <ns0:c r="E57" s="17" t="n"/>
      <ns0:c r="F57" s="17" t="n"/>
      <ns0:c r="G57" s="17" t="n"/>
      <ns0:c r="H57" s="17" t="n"/>
      <ns0:c r="I57" s="17" t="n"/>
      <ns0:c r="J57" s="17" t="n"/>
      <ns0:c r="K57" s="17" t="n"/>
      <ns0:c r="L57" s="17" t="n"/>
      <ns0:c r="M57" s="17" t="n"/>
      <ns0:c r="N57" s="17" t="n"/>
      <ns0:c r="O57" s="17" t="n"/>
      <ns0:c r="P57" s="17" t="n"/>
      <ns0:c r="Q57" s="17" t="n"/>
      <ns0:c r="R57" s="17" t="n"/>
      <ns0:c r="S57" s="17" t="n"/>
      <ns0:c r="T57" s="17" t="n"/>
      <ns0:c r="U57" s="17" t="n"/>
      <ns0:c r="V57" s="17" t="n"/>
      <ns0:c r="W57" s="17" t="n"/>
      <ns0:c r="X57" s="17" t="n"/>
      <ns0:c r="Y57" s="17" t="n"/>
      <ns0:c r="Z57" s="17" t="n"/>
      <ns0:c r="AA57" s="17" t="n"/>
      <ns0:c r="AB57" s="17" t="n"/>
      <ns0:c r="AC57" s="17" t="n"/>
      <ns0:c r="AD57" s="17" t="n"/>
      <ns0:c r="AE57" s="17" t="n"/>
      <ns0:c r="AF57" s="17" t="n"/>
      <ns0:c r="AG57" s="17" t="n"/>
    </ns0:row>
    <ns0:row r="58" ht="24" customHeight="1">
      <ns0:c r="D58" s="17" t="n"/>
      <ns0:c r="E58" s="17" t="n"/>
      <ns0:c r="F58" s="17" t="n"/>
      <ns0:c r="G58" s="17" t="n"/>
      <ns0:c r="H58" s="17" t="n"/>
      <ns0:c r="I58" s="17" t="n"/>
      <ns0:c r="J58" s="17" t="n"/>
      <ns0:c r="K58" s="17" t="n"/>
      <ns0:c r="L58" s="17" t="n"/>
      <ns0:c r="M58" s="17" t="n"/>
      <ns0:c r="N58" s="17" t="n"/>
      <ns0:c r="O58" s="17" t="n"/>
      <ns0:c r="P58" s="17" t="n"/>
      <ns0:c r="Q58" s="17" t="n"/>
      <ns0:c r="R58" s="17" t="n"/>
      <ns0:c r="S58" s="17" t="n"/>
      <ns0:c r="T58" s="17" t="n"/>
      <ns0:c r="U58" s="17" t="n"/>
      <ns0:c r="V58" s="17" t="n"/>
      <ns0:c r="W58" s="17" t="n"/>
      <ns0:c r="X58" s="17" t="n"/>
      <ns0:c r="Y58" s="17" t="n"/>
      <ns0:c r="Z58" s="17" t="n"/>
      <ns0:c r="AA58" s="17" t="n"/>
      <ns0:c r="AB58" s="17" t="n"/>
      <ns0:c r="AC58" s="17" t="n"/>
      <ns0:c r="AD58" s="17" t="n"/>
      <ns0:c r="AE58" s="17" t="n"/>
      <ns0:c r="AF58" s="17" t="n"/>
      <ns0:c r="AG58" s="17" t="n"/>
    </ns0:row>
    <ns0:row r="59" ht="24" customHeight="1">
      <ns0:c r="D59" s="17" t="n"/>
      <ns0:c r="E59" s="17" t="n"/>
      <ns0:c r="F59" s="17" t="n"/>
      <ns0:c r="G59" s="17" t="n"/>
      <ns0:c r="H59" s="17" t="n"/>
      <ns0:c r="I59" s="17" t="n"/>
      <ns0:c r="J59" s="17" t="n"/>
      <ns0:c r="K59" s="17" t="n"/>
      <ns0:c r="L59" s="17" t="n"/>
      <ns0:c r="M59" s="17" t="n"/>
      <ns0:c r="N59" s="17" t="n"/>
      <ns0:c r="O59" s="17" t="n"/>
      <ns0:c r="P59" s="17" t="n"/>
      <ns0:c r="Q59" s="17" t="n"/>
      <ns0:c r="R59" s="17" t="n"/>
      <ns0:c r="S59" s="17" t="n"/>
      <ns0:c r="T59" s="17" t="n"/>
      <ns0:c r="U59" s="17" t="n"/>
      <ns0:c r="V59" s="17" t="n"/>
      <ns0:c r="W59" s="17" t="n"/>
      <ns0:c r="X59" s="17" t="n"/>
      <ns0:c r="Y59" s="17" t="n"/>
      <ns0:c r="Z59" s="17" t="n"/>
      <ns0:c r="AA59" s="17" t="n"/>
      <ns0:c r="AB59" s="17" t="n"/>
      <ns0:c r="AC59" s="17" t="n"/>
      <ns0:c r="AD59" s="17" t="n"/>
      <ns0:c r="AE59" s="17" t="n"/>
      <ns0:c r="AF59" s="17" t="n"/>
      <ns0:c r="AG59" s="17" t="n"/>
    </ns0:row>
    <ns0:row r="60" ht="24" customHeight="1">
      <ns0:c r="D60" s="17" t="n"/>
      <ns0:c r="E60" s="17" t="n"/>
      <ns0:c r="F60" s="17" t="n"/>
      <ns0:c r="G60" s="17" t="n"/>
      <ns0:c r="H60" s="17" t="n"/>
      <ns0:c r="I60" s="17" t="n"/>
      <ns0:c r="J60" s="17" t="n"/>
      <ns0:c r="K60" s="17" t="n"/>
      <ns0:c r="L60" s="17" t="n"/>
      <ns0:c r="M60" s="17" t="n"/>
      <ns0:c r="N60" s="17" t="n"/>
      <ns0:c r="O60" s="17" t="n"/>
      <ns0:c r="P60" s="17" t="n"/>
      <ns0:c r="Q60" s="17" t="n"/>
      <ns0:c r="R60" s="17" t="n"/>
      <ns0:c r="S60" s="17" t="n"/>
      <ns0:c r="T60" s="17" t="n"/>
      <ns0:c r="U60" s="17" t="n"/>
      <ns0:c r="V60" s="17" t="n"/>
      <ns0:c r="W60" s="17" t="n"/>
      <ns0:c r="X60" s="17" t="n"/>
      <ns0:c r="Y60" s="17" t="n"/>
      <ns0:c r="Z60" s="17" t="n"/>
      <ns0:c r="AA60" s="17" t="n"/>
      <ns0:c r="AB60" s="17" t="n"/>
      <ns0:c r="AC60" s="17" t="n"/>
      <ns0:c r="AD60" s="17" t="n"/>
      <ns0:c r="AE60" s="17" t="n"/>
      <ns0:c r="AF60" s="17" t="n"/>
      <ns0:c r="AG60" s="17" t="n"/>
    </ns0:row>
    <ns0:row r="61" ht="24" customHeight="1">
      <ns0:c r="D61" s="17" t="n"/>
      <ns0:c r="E61" s="17" t="n"/>
      <ns0:c r="F61" s="17" t="n"/>
      <ns0:c r="G61" s="17" t="n"/>
      <ns0:c r="H61" s="17" t="n"/>
      <ns0:c r="I61" s="17" t="n"/>
      <ns0:c r="J61" s="17" t="n"/>
      <ns0:c r="K61" s="17" t="n"/>
      <ns0:c r="L61" s="17" t="n"/>
      <ns0:c r="M61" s="17" t="n"/>
      <ns0:c r="N61" s="17" t="n"/>
      <ns0:c r="O61" s="17" t="n"/>
      <ns0:c r="P61" s="17" t="n"/>
      <ns0:c r="Q61" s="17" t="n"/>
      <ns0:c r="R61" s="17" t="n"/>
      <ns0:c r="S61" s="17" t="n"/>
      <ns0:c r="T61" s="17" t="n"/>
      <ns0:c r="U61" s="17" t="n"/>
      <ns0:c r="V61" s="17" t="n"/>
      <ns0:c r="W61" s="17" t="n"/>
      <ns0:c r="X61" s="17" t="n"/>
      <ns0:c r="Y61" s="17" t="n"/>
      <ns0:c r="Z61" s="17" t="n"/>
      <ns0:c r="AA61" s="17" t="n"/>
      <ns0:c r="AB61" s="17" t="n"/>
      <ns0:c r="AC61" s="17" t="n"/>
      <ns0:c r="AD61" s="17" t="n"/>
      <ns0:c r="AE61" s="17" t="n"/>
      <ns0:c r="AF61" s="17" t="n"/>
      <ns0:c r="AG61" s="17" t="n"/>
    </ns0:row>
    <ns0:row r="62" ht="24" customHeight="1">
      <ns0:c r="D62" s="17" t="n"/>
      <ns0:c r="E62" s="17" t="n"/>
      <ns0:c r="F62" s="17" t="n"/>
      <ns0:c r="G62" s="17" t="n"/>
      <ns0:c r="H62" s="17" t="n"/>
      <ns0:c r="I62" s="17" t="n"/>
      <ns0:c r="J62" s="17" t="n"/>
      <ns0:c r="K62" s="17" t="n"/>
      <ns0:c r="L62" s="17" t="n"/>
      <ns0:c r="M62" s="17" t="n"/>
      <ns0:c r="N62" s="17" t="n"/>
      <ns0:c r="O62" s="17" t="n"/>
      <ns0:c r="P62" s="17" t="n"/>
      <ns0:c r="Q62" s="17" t="n"/>
      <ns0:c r="R62" s="17" t="n"/>
      <ns0:c r="S62" s="17" t="n"/>
      <ns0:c r="T62" s="17" t="n"/>
      <ns0:c r="U62" s="17" t="n"/>
      <ns0:c r="V62" s="17" t="n"/>
      <ns0:c r="W62" s="17" t="n"/>
      <ns0:c r="X62" s="17" t="n"/>
      <ns0:c r="Y62" s="17" t="n"/>
      <ns0:c r="Z62" s="17" t="n"/>
      <ns0:c r="AA62" s="17" t="n"/>
      <ns0:c r="AB62" s="17" t="n"/>
      <ns0:c r="AC62" s="17" t="n"/>
      <ns0:c r="AD62" s="17" t="n"/>
      <ns0:c r="AE62" s="17" t="n"/>
      <ns0:c r="AF62" s="17" t="n"/>
      <ns0:c r="AG62" s="17" t="n"/>
    </ns0:row>
    <ns0:row r="63" ht="24" customHeight="1">
      <ns0:c r="D63" s="17" t="n"/>
      <ns0:c r="E63" s="17" t="n"/>
      <ns0:c r="F63" s="17" t="n"/>
      <ns0:c r="G63" s="17" t="n"/>
      <ns0:c r="H63" s="17" t="n"/>
      <ns0:c r="I63" s="17" t="n"/>
      <ns0:c r="J63" s="17" t="n"/>
      <ns0:c r="K63" s="17" t="n"/>
      <ns0:c r="L63" s="17" t="n"/>
      <ns0:c r="M63" s="17" t="n"/>
      <ns0:c r="N63" s="17" t="n"/>
      <ns0:c r="O63" s="17" t="n"/>
      <ns0:c r="P63" s="17" t="n"/>
      <ns0:c r="Q63" s="17" t="n"/>
      <ns0:c r="R63" s="17" t="n"/>
      <ns0:c r="S63" s="17" t="n"/>
      <ns0:c r="T63" s="17" t="n"/>
      <ns0:c r="U63" s="17" t="n"/>
      <ns0:c r="V63" s="17" t="n"/>
      <ns0:c r="W63" s="17" t="n"/>
      <ns0:c r="X63" s="17" t="n"/>
      <ns0:c r="Y63" s="17" t="n"/>
      <ns0:c r="Z63" s="17" t="n"/>
      <ns0:c r="AA63" s="17" t="n"/>
      <ns0:c r="AB63" s="17" t="n"/>
      <ns0:c r="AC63" s="17" t="n"/>
      <ns0:c r="AD63" s="17" t="n"/>
      <ns0:c r="AE63" s="17" t="n"/>
      <ns0:c r="AF63" s="17" t="n"/>
      <ns0:c r="AG63" s="17" t="n"/>
    </ns0:row>
    <ns0:row r="64" ht="24" customHeight="1">
      <ns0:c r="D64" s="17" t="n"/>
      <ns0:c r="E64" s="17" t="n"/>
      <ns0:c r="F64" s="17" t="n"/>
      <ns0:c r="G64" s="17" t="n"/>
      <ns0:c r="H64" s="17" t="n"/>
      <ns0:c r="I64" s="17" t="n"/>
      <ns0:c r="J64" s="17" t="n"/>
      <ns0:c r="K64" s="17" t="n"/>
      <ns0:c r="L64" s="17" t="n"/>
      <ns0:c r="M64" s="17" t="n"/>
      <ns0:c r="N64" s="17" t="n"/>
      <ns0:c r="O64" s="17" t="n"/>
      <ns0:c r="P64" s="17" t="n"/>
      <ns0:c r="Q64" s="17" t="n"/>
      <ns0:c r="R64" s="17" t="n"/>
      <ns0:c r="S64" s="17" t="n"/>
      <ns0:c r="T64" s="17" t="n"/>
      <ns0:c r="U64" s="17" t="n"/>
      <ns0:c r="V64" s="17" t="n"/>
      <ns0:c r="W64" s="17" t="n"/>
      <ns0:c r="X64" s="17" t="n"/>
      <ns0:c r="Y64" s="17" t="n"/>
      <ns0:c r="Z64" s="17" t="n"/>
      <ns0:c r="AA64" s="17" t="n"/>
      <ns0:c r="AB64" s="17" t="n"/>
      <ns0:c r="AC64" s="17" t="n"/>
      <ns0:c r="AD64" s="17" t="n"/>
      <ns0:c r="AE64" s="17" t="n"/>
      <ns0:c r="AF64" s="17" t="n"/>
      <ns0:c r="AG64" s="17" t="n"/>
    </ns0:row>
    <ns0:row r="65" ht="24" customHeight="1">
      <ns0:c r="D65" s="17" t="n"/>
      <ns0:c r="E65" s="17" t="n"/>
      <ns0:c r="F65" s="17" t="n"/>
      <ns0:c r="G65" s="17" t="n"/>
      <ns0:c r="H65" s="17" t="n"/>
      <ns0:c r="I65" s="17" t="n"/>
      <ns0:c r="J65" s="17" t="n"/>
      <ns0:c r="K65" s="17" t="n"/>
      <ns0:c r="L65" s="17" t="n"/>
      <ns0:c r="M65" s="17" t="n"/>
      <ns0:c r="N65" s="17" t="n"/>
      <ns0:c r="O65" s="17" t="n"/>
      <ns0:c r="P65" s="17" t="n"/>
      <ns0:c r="Q65" s="17" t="n"/>
      <ns0:c r="R65" s="17" t="n"/>
      <ns0:c r="S65" s="17" t="n"/>
      <ns0:c r="T65" s="17" t="n"/>
      <ns0:c r="U65" s="17" t="n"/>
      <ns0:c r="V65" s="17" t="n"/>
      <ns0:c r="W65" s="17" t="n"/>
      <ns0:c r="X65" s="17" t="n"/>
      <ns0:c r="Y65" s="17" t="n"/>
      <ns0:c r="Z65" s="17" t="n"/>
      <ns0:c r="AA65" s="17" t="n"/>
      <ns0:c r="AB65" s="17" t="n"/>
      <ns0:c r="AC65" s="17" t="n"/>
      <ns0:c r="AD65" s="17" t="n"/>
      <ns0:c r="AE65" s="17" t="n"/>
      <ns0:c r="AF65" s="17" t="n"/>
      <ns0:c r="AG65" s="17" t="n"/>
    </ns0:row>
    <ns0:row r="66" ht="24" customHeight="1">
      <ns0:c r="D66" s="17" t="n"/>
      <ns0:c r="E66" s="17" t="n"/>
      <ns0:c r="F66" s="17" t="n"/>
      <ns0:c r="G66" s="17" t="n"/>
      <ns0:c r="H66" s="17" t="n"/>
      <ns0:c r="I66" s="17" t="n"/>
      <ns0:c r="J66" s="17" t="n"/>
      <ns0:c r="K66" s="17" t="n"/>
      <ns0:c r="L66" s="17" t="n"/>
      <ns0:c r="M66" s="17" t="n"/>
      <ns0:c r="N66" s="17" t="n"/>
      <ns0:c r="O66" s="17" t="n"/>
      <ns0:c r="P66" s="17" t="n"/>
      <ns0:c r="Q66" s="17" t="n"/>
      <ns0:c r="R66" s="17" t="n"/>
      <ns0:c r="S66" s="17" t="n"/>
      <ns0:c r="T66" s="17" t="n"/>
      <ns0:c r="U66" s="17" t="n"/>
      <ns0:c r="V66" s="17" t="n"/>
      <ns0:c r="W66" s="17" t="n"/>
      <ns0:c r="X66" s="17" t="n"/>
      <ns0:c r="Y66" s="17" t="n"/>
      <ns0:c r="Z66" s="17" t="n"/>
      <ns0:c r="AA66" s="17" t="n"/>
      <ns0:c r="AB66" s="17" t="n"/>
      <ns0:c r="AC66" s="17" t="n"/>
      <ns0:c r="AD66" s="17" t="n"/>
      <ns0:c r="AE66" s="17" t="n"/>
      <ns0:c r="AF66" s="17" t="n"/>
      <ns0:c r="AG66" s="17" t="n"/>
    </ns0:row>
    <ns0:row r="67" ht="24" customHeight="1">
      <ns0:c r="D67" s="17" t="n"/>
      <ns0:c r="E67" s="17" t="n"/>
      <ns0:c r="F67" s="17" t="n"/>
      <ns0:c r="G67" s="17" t="n"/>
      <ns0:c r="H67" s="17" t="n"/>
      <ns0:c r="I67" s="17" t="n"/>
      <ns0:c r="J67" s="17" t="n"/>
      <ns0:c r="K67" s="17" t="n"/>
      <ns0:c r="L67" s="17" t="n"/>
      <ns0:c r="M67" s="17" t="n"/>
      <ns0:c r="N67" s="17" t="n"/>
      <ns0:c r="O67" s="17" t="n"/>
      <ns0:c r="P67" s="17" t="n"/>
      <ns0:c r="Q67" s="17" t="n"/>
      <ns0:c r="R67" s="17" t="n"/>
      <ns0:c r="S67" s="17" t="n"/>
      <ns0:c r="T67" s="17" t="n"/>
      <ns0:c r="U67" s="17" t="n"/>
      <ns0:c r="V67" s="17" t="n"/>
      <ns0:c r="W67" s="17" t="n"/>
      <ns0:c r="X67" s="17" t="n"/>
      <ns0:c r="Y67" s="17" t="n"/>
      <ns0:c r="Z67" s="17" t="n"/>
      <ns0:c r="AA67" s="17" t="n"/>
      <ns0:c r="AB67" s="17" t="n"/>
      <ns0:c r="AC67" s="17" t="n"/>
      <ns0:c r="AD67" s="17" t="n"/>
      <ns0:c r="AE67" s="17" t="n"/>
      <ns0:c r="AF67" s="17" t="n"/>
      <ns0:c r="AG67" s="17" t="n"/>
    </ns0:row>
    <ns0:row r="68" ht="24" customHeight="1">
      <ns0:c r="D68" s="17" t="n"/>
      <ns0:c r="E68" s="17" t="n"/>
      <ns0:c r="F68" s="17" t="n"/>
      <ns0:c r="G68" s="17" t="n"/>
      <ns0:c r="H68" s="17" t="n"/>
      <ns0:c r="I68" s="17" t="n"/>
      <ns0:c r="J68" s="17" t="n"/>
      <ns0:c r="K68" s="17" t="n"/>
      <ns0:c r="L68" s="17" t="n"/>
      <ns0:c r="M68" s="17" t="n"/>
      <ns0:c r="N68" s="17" t="n"/>
      <ns0:c r="O68" s="17" t="n"/>
      <ns0:c r="P68" s="17" t="n"/>
      <ns0:c r="Q68" s="17" t="n"/>
      <ns0:c r="R68" s="17" t="n"/>
      <ns0:c r="S68" s="17" t="n"/>
      <ns0:c r="T68" s="17" t="n"/>
      <ns0:c r="U68" s="17" t="n"/>
      <ns0:c r="V68" s="17" t="n"/>
      <ns0:c r="W68" s="17" t="n"/>
      <ns0:c r="X68" s="17" t="n"/>
      <ns0:c r="Y68" s="17" t="n"/>
      <ns0:c r="Z68" s="17" t="n"/>
      <ns0:c r="AA68" s="17" t="n"/>
      <ns0:c r="AB68" s="17" t="n"/>
      <ns0:c r="AC68" s="17" t="n"/>
      <ns0:c r="AD68" s="17" t="n"/>
      <ns0:c r="AE68" s="17" t="n"/>
      <ns0:c r="AF68" s="17" t="n"/>
      <ns0:c r="AG68" s="17" t="n"/>
    </ns0:row>
    <ns0:row r="69" ht="24" customHeight="1">
      <ns0:c r="D69" s="17" t="n"/>
      <ns0:c r="E69" s="17" t="n"/>
      <ns0:c r="F69" s="17" t="n"/>
      <ns0:c r="G69" s="17" t="n"/>
      <ns0:c r="H69" s="17" t="n"/>
      <ns0:c r="I69" s="17" t="n"/>
      <ns0:c r="J69" s="17" t="n"/>
      <ns0:c r="K69" s="17" t="n"/>
      <ns0:c r="L69" s="17" t="n"/>
      <ns0:c r="M69" s="17" t="n"/>
      <ns0:c r="N69" s="17" t="n"/>
      <ns0:c r="O69" s="17" t="n"/>
      <ns0:c r="P69" s="17" t="n"/>
      <ns0:c r="Q69" s="17" t="n"/>
      <ns0:c r="R69" s="17" t="n"/>
      <ns0:c r="S69" s="17" t="n"/>
      <ns0:c r="T69" s="17" t="n"/>
      <ns0:c r="U69" s="17" t="n"/>
      <ns0:c r="V69" s="17" t="n"/>
      <ns0:c r="W69" s="17" t="n"/>
      <ns0:c r="X69" s="17" t="n"/>
      <ns0:c r="Y69" s="17" t="n"/>
      <ns0:c r="Z69" s="17" t="n"/>
      <ns0:c r="AA69" s="17" t="n"/>
      <ns0:c r="AB69" s="17" t="n"/>
      <ns0:c r="AC69" s="17" t="n"/>
      <ns0:c r="AD69" s="17" t="n"/>
      <ns0:c r="AE69" s="17" t="n"/>
      <ns0:c r="AF69" s="17" t="n"/>
      <ns0:c r="AG69" s="17" t="n"/>
    </ns0:row>
    <ns0:row r="70" ht="24" customHeight="1">
      <ns0:c r="D70" s="17" t="n"/>
      <ns0:c r="E70" s="17" t="n"/>
      <ns0:c r="F70" s="17" t="n"/>
      <ns0:c r="G70" s="17" t="n"/>
      <ns0:c r="H70" s="17" t="n"/>
      <ns0:c r="I70" s="17" t="n"/>
      <ns0:c r="J70" s="17" t="n"/>
      <ns0:c r="K70" s="17" t="n"/>
      <ns0:c r="L70" s="17" t="n"/>
      <ns0:c r="M70" s="17" t="n"/>
      <ns0:c r="N70" s="17" t="n"/>
      <ns0:c r="O70" s="17" t="n"/>
      <ns0:c r="P70" s="17" t="n"/>
      <ns0:c r="Q70" s="17" t="n"/>
      <ns0:c r="R70" s="17" t="n"/>
      <ns0:c r="S70" s="17" t="n"/>
      <ns0:c r="T70" s="17" t="n"/>
      <ns0:c r="U70" s="17" t="n"/>
      <ns0:c r="V70" s="17" t="n"/>
      <ns0:c r="W70" s="17" t="n"/>
      <ns0:c r="X70" s="17" t="n"/>
      <ns0:c r="Y70" s="17" t="n"/>
      <ns0:c r="Z70" s="17" t="n"/>
      <ns0:c r="AA70" s="17" t="n"/>
      <ns0:c r="AB70" s="17" t="n"/>
      <ns0:c r="AC70" s="17" t="n"/>
      <ns0:c r="AD70" s="17" t="n"/>
      <ns0:c r="AE70" s="17" t="n"/>
      <ns0:c r="AF70" s="17" t="n"/>
      <ns0:c r="AG70" s="17" t="n"/>
    </ns0:row>
    <ns0:row r="71" ht="24" customHeight="1">
      <ns0:c r="D71" s="17" t="n"/>
      <ns0:c r="E71" s="17" t="n"/>
      <ns0:c r="F71" s="17" t="n"/>
      <ns0:c r="G71" s="17" t="n"/>
      <ns0:c r="H71" s="17" t="n"/>
      <ns0:c r="I71" s="17" t="n"/>
      <ns0:c r="J71" s="17" t="n"/>
      <ns0:c r="K71" s="17" t="n"/>
      <ns0:c r="L71" s="17" t="n"/>
      <ns0:c r="M71" s="17" t="n"/>
      <ns0:c r="N71" s="17" t="n"/>
      <ns0:c r="O71" s="17" t="n"/>
      <ns0:c r="P71" s="17" t="n"/>
      <ns0:c r="Q71" s="17" t="n"/>
      <ns0:c r="R71" s="17" t="n"/>
      <ns0:c r="S71" s="17" t="n"/>
      <ns0:c r="T71" s="17" t="n"/>
      <ns0:c r="U71" s="17" t="n"/>
      <ns0:c r="V71" s="17" t="n"/>
      <ns0:c r="W71" s="17" t="n"/>
      <ns0:c r="X71" s="17" t="n"/>
      <ns0:c r="Y71" s="17" t="n"/>
      <ns0:c r="Z71" s="17" t="n"/>
      <ns0:c r="AA71" s="17" t="n"/>
      <ns0:c r="AB71" s="17" t="n"/>
      <ns0:c r="AC71" s="17" t="n"/>
      <ns0:c r="AD71" s="17" t="n"/>
      <ns0:c r="AE71" s="17" t="n"/>
      <ns0:c r="AF71" s="17" t="n"/>
      <ns0:c r="AG71" s="17" t="n"/>
    </ns0:row>
    <ns0:row r="72" ht="24" customHeight="1">
      <ns0:c r="D72" s="17" t="n"/>
      <ns0:c r="E72" s="17" t="n"/>
      <ns0:c r="F72" s="17" t="n"/>
      <ns0:c r="G72" s="17" t="n"/>
      <ns0:c r="H72" s="17" t="n"/>
      <ns0:c r="I72" s="17" t="n"/>
      <ns0:c r="J72" s="17" t="n"/>
      <ns0:c r="K72" s="17" t="n"/>
      <ns0:c r="L72" s="17" t="n"/>
      <ns0:c r="M72" s="17" t="n"/>
      <ns0:c r="N72" s="17" t="n"/>
      <ns0:c r="O72" s="17" t="n"/>
      <ns0:c r="P72" s="17" t="n"/>
      <ns0:c r="Q72" s="17" t="n"/>
      <ns0:c r="R72" s="17" t="n"/>
      <ns0:c r="S72" s="17" t="n"/>
      <ns0:c r="T72" s="17" t="n"/>
      <ns0:c r="U72" s="17" t="n"/>
      <ns0:c r="V72" s="17" t="n"/>
      <ns0:c r="W72" s="17" t="n"/>
      <ns0:c r="X72" s="17" t="n"/>
      <ns0:c r="Y72" s="17" t="n"/>
      <ns0:c r="Z72" s="17" t="n"/>
      <ns0:c r="AA72" s="17" t="n"/>
      <ns0:c r="AB72" s="17" t="n"/>
      <ns0:c r="AC72" s="17" t="n"/>
      <ns0:c r="AD72" s="17" t="n"/>
      <ns0:c r="AE72" s="17" t="n"/>
      <ns0:c r="AF72" s="17" t="n"/>
      <ns0:c r="AG72" s="17" t="n"/>
    </ns0:row>
    <ns0:row r="73" ht="24" customHeight="1">
      <ns0:c r="D73" s="17" t="n"/>
      <ns0:c r="E73" s="17" t="n"/>
      <ns0:c r="F73" s="17" t="n"/>
      <ns0:c r="G73" s="17" t="n"/>
      <ns0:c r="H73" s="17" t="n"/>
      <ns0:c r="I73" s="17" t="n"/>
      <ns0:c r="J73" s="17" t="n"/>
      <ns0:c r="K73" s="17" t="n"/>
      <ns0:c r="L73" s="17" t="n"/>
      <ns0:c r="M73" s="17" t="n"/>
      <ns0:c r="N73" s="17" t="n"/>
      <ns0:c r="O73" s="17" t="n"/>
      <ns0:c r="P73" s="17" t="n"/>
      <ns0:c r="Q73" s="17" t="n"/>
      <ns0:c r="R73" s="17" t="n"/>
      <ns0:c r="S73" s="17" t="n"/>
      <ns0:c r="T73" s="17" t="n"/>
      <ns0:c r="U73" s="17" t="n"/>
      <ns0:c r="V73" s="17" t="n"/>
      <ns0:c r="W73" s="17" t="n"/>
      <ns0:c r="X73" s="17" t="n"/>
      <ns0:c r="Y73" s="17" t="n"/>
      <ns0:c r="Z73" s="17" t="n"/>
      <ns0:c r="AA73" s="17" t="n"/>
      <ns0:c r="AB73" s="17" t="n"/>
      <ns0:c r="AC73" s="17" t="n"/>
      <ns0:c r="AD73" s="17" t="n"/>
      <ns0:c r="AE73" s="17" t="n"/>
      <ns0:c r="AF73" s="17" t="n"/>
      <ns0:c r="AG73" s="17" t="n"/>
    </ns0:row>
    <ns0:row r="74" ht="24" customHeight="1">
      <ns0:c r="D74" s="17" t="n"/>
      <ns0:c r="E74" s="17" t="n"/>
      <ns0:c r="F74" s="17" t="n"/>
      <ns0:c r="G74" s="17" t="n"/>
      <ns0:c r="H74" s="17" t="n"/>
      <ns0:c r="I74" s="17" t="n"/>
      <ns0:c r="J74" s="17" t="n"/>
      <ns0:c r="K74" s="17" t="n"/>
      <ns0:c r="L74" s="17" t="n"/>
      <ns0:c r="M74" s="17" t="n"/>
      <ns0:c r="N74" s="17" t="n"/>
      <ns0:c r="O74" s="17" t="n"/>
      <ns0:c r="P74" s="17" t="n"/>
      <ns0:c r="Q74" s="17" t="n"/>
      <ns0:c r="R74" s="17" t="n"/>
      <ns0:c r="S74" s="17" t="n"/>
      <ns0:c r="T74" s="17" t="n"/>
      <ns0:c r="U74" s="17" t="n"/>
      <ns0:c r="V74" s="17" t="n"/>
      <ns0:c r="W74" s="17" t="n"/>
      <ns0:c r="X74" s="17" t="n"/>
      <ns0:c r="Y74" s="17" t="n"/>
      <ns0:c r="Z74" s="17" t="n"/>
      <ns0:c r="AA74" s="17" t="n"/>
      <ns0:c r="AB74" s="17" t="n"/>
      <ns0:c r="AC74" s="17" t="n"/>
      <ns0:c r="AD74" s="17" t="n"/>
      <ns0:c r="AE74" s="17" t="n"/>
      <ns0:c r="AF74" s="17" t="n"/>
      <ns0:c r="AG74" s="17" t="n"/>
    </ns0:row>
    <ns0:row r="75" ht="24" customHeight="1">
      <ns0:c r="D75" s="17" t="n"/>
      <ns0:c r="E75" s="17" t="n"/>
      <ns0:c r="F75" s="17" t="n"/>
      <ns0:c r="G75" s="17" t="n"/>
      <ns0:c r="H75" s="17" t="n"/>
      <ns0:c r="I75" s="17" t="n"/>
      <ns0:c r="J75" s="17" t="n"/>
      <ns0:c r="K75" s="17" t="n"/>
      <ns0:c r="L75" s="17" t="n"/>
      <ns0:c r="M75" s="17" t="n"/>
      <ns0:c r="N75" s="17" t="n"/>
      <ns0:c r="O75" s="17" t="n"/>
      <ns0:c r="P75" s="17" t="n"/>
      <ns0:c r="Q75" s="17" t="n"/>
      <ns0:c r="R75" s="17" t="n"/>
      <ns0:c r="S75" s="17" t="n"/>
      <ns0:c r="T75" s="17" t="n"/>
      <ns0:c r="U75" s="17" t="n"/>
      <ns0:c r="V75" s="17" t="n"/>
      <ns0:c r="W75" s="17" t="n"/>
      <ns0:c r="X75" s="17" t="n"/>
      <ns0:c r="Y75" s="17" t="n"/>
      <ns0:c r="Z75" s="17" t="n"/>
      <ns0:c r="AA75" s="17" t="n"/>
      <ns0:c r="AB75" s="17" t="n"/>
      <ns0:c r="AC75" s="17" t="n"/>
      <ns0:c r="AD75" s="17" t="n"/>
      <ns0:c r="AE75" s="17" t="n"/>
      <ns0:c r="AF75" s="17" t="n"/>
      <ns0:c r="AG75" s="17" t="n"/>
    </ns0:row>
    <ns0:row r="76" ht="24" customHeight="1">
      <ns0:c r="D76" s="17" t="n"/>
      <ns0:c r="E76" s="17" t="n"/>
      <ns0:c r="F76" s="17" t="n"/>
      <ns0:c r="G76" s="17" t="n"/>
      <ns0:c r="H76" s="17" t="n"/>
      <ns0:c r="I76" s="17" t="n"/>
      <ns0:c r="J76" s="17" t="n"/>
      <ns0:c r="K76" s="17" t="n"/>
      <ns0:c r="L76" s="17" t="n"/>
      <ns0:c r="M76" s="17" t="n"/>
      <ns0:c r="N76" s="17" t="n"/>
      <ns0:c r="O76" s="17" t="n"/>
      <ns0:c r="P76" s="17" t="n"/>
      <ns0:c r="Q76" s="17" t="n"/>
      <ns0:c r="R76" s="17" t="n"/>
      <ns0:c r="S76" s="17" t="n"/>
      <ns0:c r="T76" s="17" t="n"/>
      <ns0:c r="U76" s="17" t="n"/>
      <ns0:c r="V76" s="17" t="n"/>
      <ns0:c r="W76" s="17" t="n"/>
      <ns0:c r="X76" s="17" t="n"/>
      <ns0:c r="Y76" s="17" t="n"/>
      <ns0:c r="Z76" s="17" t="n"/>
      <ns0:c r="AA76" s="17" t="n"/>
      <ns0:c r="AB76" s="17" t="n"/>
      <ns0:c r="AC76" s="17" t="n"/>
      <ns0:c r="AD76" s="17" t="n"/>
      <ns0:c r="AE76" s="17" t="n"/>
      <ns0:c r="AF76" s="17" t="n"/>
      <ns0:c r="AG76" s="17" t="n"/>
    </ns0:row>
    <ns0:row r="77" ht="24" customHeight="1">
      <ns0:c r="D77" s="17" t="n"/>
      <ns0:c r="E77" s="17" t="n"/>
      <ns0:c r="F77" s="17" t="n"/>
      <ns0:c r="G77" s="17" t="n"/>
      <ns0:c r="H77" s="17" t="n"/>
      <ns0:c r="I77" s="17" t="n"/>
      <ns0:c r="J77" s="17" t="n"/>
      <ns0:c r="K77" s="17" t="n"/>
      <ns0:c r="L77" s="17" t="n"/>
      <ns0:c r="M77" s="17" t="n"/>
      <ns0:c r="N77" s="17" t="n"/>
      <ns0:c r="O77" s="17" t="n"/>
      <ns0:c r="P77" s="17" t="n"/>
      <ns0:c r="Q77" s="17" t="n"/>
      <ns0:c r="R77" s="17" t="n"/>
      <ns0:c r="S77" s="17" t="n"/>
      <ns0:c r="T77" s="17" t="n"/>
      <ns0:c r="U77" s="17" t="n"/>
      <ns0:c r="V77" s="17" t="n"/>
      <ns0:c r="W77" s="17" t="n"/>
      <ns0:c r="X77" s="17" t="n"/>
      <ns0:c r="Y77" s="17" t="n"/>
      <ns0:c r="Z77" s="17" t="n"/>
      <ns0:c r="AA77" s="17" t="n"/>
      <ns0:c r="AB77" s="17" t="n"/>
      <ns0:c r="AC77" s="17" t="n"/>
      <ns0:c r="AD77" s="17" t="n"/>
      <ns0:c r="AE77" s="17" t="n"/>
      <ns0:c r="AF77" s="17" t="n"/>
      <ns0:c r="AG77" s="17" t="n"/>
    </ns0:row>
    <ns0:row r="78" ht="24" customHeight="1">
      <ns0:c r="D78" s="17" t="n"/>
      <ns0:c r="E78" s="17" t="n"/>
      <ns0:c r="F78" s="17" t="n"/>
      <ns0:c r="G78" s="17" t="n"/>
      <ns0:c r="H78" s="17" t="n"/>
      <ns0:c r="I78" s="17" t="n"/>
      <ns0:c r="J78" s="17" t="n"/>
      <ns0:c r="K78" s="17" t="n"/>
      <ns0:c r="L78" s="17" t="n"/>
      <ns0:c r="M78" s="17" t="n"/>
      <ns0:c r="N78" s="17" t="n"/>
      <ns0:c r="O78" s="17" t="n"/>
      <ns0:c r="P78" s="17" t="n"/>
      <ns0:c r="Q78" s="17" t="n"/>
      <ns0:c r="R78" s="17" t="n"/>
      <ns0:c r="S78" s="17" t="n"/>
      <ns0:c r="T78" s="17" t="n"/>
      <ns0:c r="U78" s="17" t="n"/>
      <ns0:c r="V78" s="17" t="n"/>
      <ns0:c r="W78" s="17" t="n"/>
      <ns0:c r="X78" s="17" t="n"/>
      <ns0:c r="Y78" s="17" t="n"/>
      <ns0:c r="Z78" s="17" t="n"/>
      <ns0:c r="AA78" s="17" t="n"/>
      <ns0:c r="AB78" s="17" t="n"/>
      <ns0:c r="AC78" s="17" t="n"/>
      <ns0:c r="AD78" s="17" t="n"/>
      <ns0:c r="AE78" s="17" t="n"/>
      <ns0:c r="AF78" s="17" t="n"/>
      <ns0:c r="AG78" s="17" t="n"/>
    </ns0:row>
    <ns0:row r="79" ht="24" customHeight="1">
      <ns0:c r="D79" s="17" t="n"/>
      <ns0:c r="E79" s="17" t="n"/>
      <ns0:c r="F79" s="17" t="n"/>
      <ns0:c r="G79" s="17" t="n"/>
      <ns0:c r="H79" s="17" t="n"/>
      <ns0:c r="I79" s="17" t="n"/>
      <ns0:c r="J79" s="17" t="n"/>
      <ns0:c r="K79" s="17" t="n"/>
      <ns0:c r="L79" s="17" t="n"/>
      <ns0:c r="M79" s="17" t="n"/>
      <ns0:c r="N79" s="17" t="n"/>
      <ns0:c r="O79" s="17" t="n"/>
      <ns0:c r="P79" s="17" t="n"/>
      <ns0:c r="Q79" s="17" t="n"/>
      <ns0:c r="R79" s="17" t="n"/>
      <ns0:c r="S79" s="17" t="n"/>
      <ns0:c r="T79" s="17" t="n"/>
      <ns0:c r="U79" s="17" t="n"/>
      <ns0:c r="V79" s="17" t="n"/>
      <ns0:c r="W79" s="17" t="n"/>
      <ns0:c r="X79" s="17" t="n"/>
      <ns0:c r="Y79" s="17" t="n"/>
      <ns0:c r="Z79" s="17" t="n"/>
      <ns0:c r="AA79" s="17" t="n"/>
      <ns0:c r="AB79" s="17" t="n"/>
      <ns0:c r="AC79" s="17" t="n"/>
      <ns0:c r="AD79" s="17" t="n"/>
      <ns0:c r="AE79" s="17" t="n"/>
      <ns0:c r="AF79" s="17" t="n"/>
      <ns0:c r="AG79" s="17" t="n"/>
    </ns0:row>
    <ns0:row r="80" ht="24" customHeight="1">
      <ns0:c r="D80" s="17" t="n"/>
      <ns0:c r="E80" s="17" t="n"/>
      <ns0:c r="F80" s="17" t="n"/>
      <ns0:c r="G80" s="17" t="n"/>
      <ns0:c r="H80" s="17" t="n"/>
      <ns0:c r="I80" s="17" t="n"/>
      <ns0:c r="J80" s="17" t="n"/>
      <ns0:c r="K80" s="17" t="n"/>
      <ns0:c r="L80" s="17" t="n"/>
      <ns0:c r="M80" s="17" t="n"/>
      <ns0:c r="N80" s="17" t="n"/>
      <ns0:c r="O80" s="17" t="n"/>
      <ns0:c r="P80" s="17" t="n"/>
      <ns0:c r="Q80" s="17" t="n"/>
      <ns0:c r="R80" s="17" t="n"/>
      <ns0:c r="S80" s="17" t="n"/>
      <ns0:c r="T80" s="17" t="n"/>
      <ns0:c r="U80" s="17" t="n"/>
      <ns0:c r="V80" s="17" t="n"/>
      <ns0:c r="W80" s="17" t="n"/>
      <ns0:c r="X80" s="17" t="n"/>
      <ns0:c r="Y80" s="17" t="n"/>
      <ns0:c r="Z80" s="17" t="n"/>
      <ns0:c r="AA80" s="17" t="n"/>
      <ns0:c r="AB80" s="17" t="n"/>
      <ns0:c r="AC80" s="17" t="n"/>
      <ns0:c r="AD80" s="17" t="n"/>
      <ns0:c r="AE80" s="17" t="n"/>
      <ns0:c r="AF80" s="17" t="n"/>
      <ns0:c r="AG80" s="17" t="n"/>
    </ns0:row>
    <ns0:row r="81" ht="24" customHeight="1">
      <ns0:c r="D81" s="17" t="n"/>
      <ns0:c r="E81" s="17" t="n"/>
      <ns0:c r="F81" s="17" t="n"/>
      <ns0:c r="G81" s="17" t="n"/>
      <ns0:c r="H81" s="17" t="n"/>
      <ns0:c r="I81" s="17" t="n"/>
      <ns0:c r="J81" s="17" t="n"/>
      <ns0:c r="K81" s="17" t="n"/>
      <ns0:c r="L81" s="17" t="n"/>
      <ns0:c r="M81" s="17" t="n"/>
      <ns0:c r="N81" s="17" t="n"/>
      <ns0:c r="O81" s="17" t="n"/>
      <ns0:c r="P81" s="17" t="n"/>
      <ns0:c r="Q81" s="17" t="n"/>
      <ns0:c r="R81" s="17" t="n"/>
      <ns0:c r="S81" s="17" t="n"/>
      <ns0:c r="T81" s="17" t="n"/>
      <ns0:c r="U81" s="17" t="n"/>
      <ns0:c r="V81" s="17" t="n"/>
      <ns0:c r="W81" s="17" t="n"/>
      <ns0:c r="X81" s="17" t="n"/>
      <ns0:c r="Y81" s="17" t="n"/>
      <ns0:c r="Z81" s="17" t="n"/>
      <ns0:c r="AA81" s="17" t="n"/>
      <ns0:c r="AB81" s="17" t="n"/>
      <ns0:c r="AC81" s="17" t="n"/>
      <ns0:c r="AD81" s="17" t="n"/>
      <ns0:c r="AE81" s="17" t="n"/>
      <ns0:c r="AF81" s="17" t="n"/>
      <ns0:c r="AG81" s="17" t="n"/>
    </ns0:row>
    <ns0:row r="82" ht="24" customHeight="1">
      <ns0:c r="D82" s="17" t="n"/>
      <ns0:c r="E82" s="17" t="n"/>
      <ns0:c r="F82" s="17" t="n"/>
      <ns0:c r="G82" s="17" t="n"/>
      <ns0:c r="H82" s="17" t="n"/>
      <ns0:c r="I82" s="17" t="n"/>
      <ns0:c r="J82" s="17" t="n"/>
      <ns0:c r="K82" s="17" t="n"/>
      <ns0:c r="L82" s="17" t="n"/>
      <ns0:c r="M82" s="17" t="n"/>
      <ns0:c r="N82" s="17" t="n"/>
      <ns0:c r="O82" s="17" t="n"/>
      <ns0:c r="P82" s="17" t="n"/>
      <ns0:c r="Q82" s="17" t="n"/>
      <ns0:c r="R82" s="17" t="n"/>
      <ns0:c r="S82" s="17" t="n"/>
      <ns0:c r="T82" s="17" t="n"/>
      <ns0:c r="U82" s="17" t="n"/>
      <ns0:c r="V82" s="17" t="n"/>
      <ns0:c r="W82" s="17" t="n"/>
      <ns0:c r="X82" s="17" t="n"/>
      <ns0:c r="Y82" s="17" t="n"/>
      <ns0:c r="Z82" s="17" t="n"/>
      <ns0:c r="AA82" s="17" t="n"/>
      <ns0:c r="AB82" s="17" t="n"/>
      <ns0:c r="AC82" s="17" t="n"/>
      <ns0:c r="AD82" s="17" t="n"/>
      <ns0:c r="AE82" s="17" t="n"/>
      <ns0:c r="AF82" s="17" t="n"/>
      <ns0:c r="AG82" s="17" t="n"/>
    </ns0:row>
    <ns0:row r="83" ht="24" customHeight="1">
      <ns0:c r="D83" s="17" t="n"/>
      <ns0:c r="E83" s="17" t="n"/>
      <ns0:c r="F83" s="17" t="n"/>
      <ns0:c r="G83" s="17" t="n"/>
      <ns0:c r="H83" s="17" t="n"/>
      <ns0:c r="I83" s="17" t="n"/>
      <ns0:c r="J83" s="17" t="n"/>
      <ns0:c r="K83" s="17" t="n"/>
      <ns0:c r="L83" s="17" t="n"/>
      <ns0:c r="M83" s="17" t="n"/>
      <ns0:c r="N83" s="17" t="n"/>
      <ns0:c r="O83" s="17" t="n"/>
      <ns0:c r="P83" s="17" t="n"/>
      <ns0:c r="Q83" s="17" t="n"/>
      <ns0:c r="R83" s="17" t="n"/>
      <ns0:c r="S83" s="17" t="n"/>
      <ns0:c r="T83" s="17" t="n"/>
      <ns0:c r="U83" s="17" t="n"/>
      <ns0:c r="V83" s="17" t="n"/>
      <ns0:c r="W83" s="17" t="n"/>
      <ns0:c r="X83" s="17" t="n"/>
      <ns0:c r="Y83" s="17" t="n"/>
      <ns0:c r="Z83" s="17" t="n"/>
      <ns0:c r="AA83" s="17" t="n"/>
      <ns0:c r="AB83" s="17" t="n"/>
      <ns0:c r="AC83" s="17" t="n"/>
      <ns0:c r="AD83" s="17" t="n"/>
      <ns0:c r="AE83" s="17" t="n"/>
      <ns0:c r="AF83" s="17" t="n"/>
      <ns0:c r="AG83" s="17" t="n"/>
    </ns0:row>
    <ns0:row r="84" ht="24" customHeight="1">
      <ns0:c r="D84" s="17" t="n"/>
      <ns0:c r="E84" s="17" t="n"/>
      <ns0:c r="F84" s="17" t="n"/>
      <ns0:c r="G84" s="17" t="n"/>
      <ns0:c r="H84" s="17" t="n"/>
      <ns0:c r="I84" s="17" t="n"/>
      <ns0:c r="J84" s="17" t="n"/>
      <ns0:c r="K84" s="17" t="n"/>
      <ns0:c r="L84" s="17" t="n"/>
      <ns0:c r="M84" s="17" t="n"/>
      <ns0:c r="N84" s="17" t="n"/>
      <ns0:c r="O84" s="17" t="n"/>
      <ns0:c r="P84" s="17" t="n"/>
      <ns0:c r="Q84" s="17" t="n"/>
      <ns0:c r="R84" s="17" t="n"/>
      <ns0:c r="S84" s="17" t="n"/>
      <ns0:c r="T84" s="17" t="n"/>
      <ns0:c r="U84" s="17" t="n"/>
      <ns0:c r="V84" s="17" t="n"/>
      <ns0:c r="W84" s="17" t="n"/>
      <ns0:c r="X84" s="17" t="n"/>
      <ns0:c r="Y84" s="17" t="n"/>
      <ns0:c r="Z84" s="17" t="n"/>
      <ns0:c r="AA84" s="17" t="n"/>
      <ns0:c r="AB84" s="17" t="n"/>
      <ns0:c r="AC84" s="17" t="n"/>
      <ns0:c r="AD84" s="17" t="n"/>
      <ns0:c r="AE84" s="17" t="n"/>
      <ns0:c r="AF84" s="17" t="n"/>
      <ns0:c r="AG84" s="17" t="n"/>
    </ns0:row>
    <ns0:row r="85" ht="24" customHeight="1">
      <ns0:c r="D85" s="17" t="n"/>
      <ns0:c r="E85" s="17" t="n"/>
      <ns0:c r="F85" s="17" t="n"/>
      <ns0:c r="G85" s="17" t="n"/>
      <ns0:c r="H85" s="17" t="n"/>
      <ns0:c r="I85" s="17" t="n"/>
      <ns0:c r="J85" s="17" t="n"/>
      <ns0:c r="K85" s="17" t="n"/>
      <ns0:c r="L85" s="17" t="n"/>
      <ns0:c r="M85" s="17" t="n"/>
      <ns0:c r="N85" s="17" t="n"/>
      <ns0:c r="O85" s="17" t="n"/>
      <ns0:c r="P85" s="17" t="n"/>
      <ns0:c r="Q85" s="17" t="n"/>
      <ns0:c r="R85" s="17" t="n"/>
      <ns0:c r="S85" s="17" t="n"/>
      <ns0:c r="T85" s="17" t="n"/>
      <ns0:c r="U85" s="17" t="n"/>
      <ns0:c r="V85" s="17" t="n"/>
      <ns0:c r="W85" s="17" t="n"/>
      <ns0:c r="X85" s="17" t="n"/>
      <ns0:c r="Y85" s="17" t="n"/>
      <ns0:c r="Z85" s="17" t="n"/>
      <ns0:c r="AA85" s="17" t="n"/>
      <ns0:c r="AB85" s="17" t="n"/>
      <ns0:c r="AC85" s="17" t="n"/>
      <ns0:c r="AD85" s="17" t="n"/>
      <ns0:c r="AE85" s="17" t="n"/>
      <ns0:c r="AF85" s="17" t="n"/>
      <ns0:c r="AG85" s="17" t="n"/>
    </ns0:row>
    <ns0:row r="86" ht="24" customHeight="1">
      <ns0:c r="D86" s="17" t="n"/>
      <ns0:c r="E86" s="17" t="n"/>
      <ns0:c r="F86" s="17" t="n"/>
      <ns0:c r="G86" s="17" t="n"/>
      <ns0:c r="H86" s="17" t="n"/>
      <ns0:c r="I86" s="17" t="n"/>
      <ns0:c r="J86" s="17" t="n"/>
      <ns0:c r="K86" s="17" t="n"/>
      <ns0:c r="L86" s="17" t="n"/>
      <ns0:c r="M86" s="17" t="n"/>
      <ns0:c r="N86" s="17" t="n"/>
      <ns0:c r="O86" s="17" t="n"/>
      <ns0:c r="P86" s="17" t="n"/>
      <ns0:c r="Q86" s="17" t="n"/>
      <ns0:c r="R86" s="17" t="n"/>
      <ns0:c r="S86" s="17" t="n"/>
      <ns0:c r="T86" s="17" t="n"/>
      <ns0:c r="U86" s="17" t="n"/>
      <ns0:c r="V86" s="17" t="n"/>
      <ns0:c r="W86" s="17" t="n"/>
      <ns0:c r="X86" s="17" t="n"/>
      <ns0:c r="Y86" s="17" t="n"/>
      <ns0:c r="Z86" s="17" t="n"/>
      <ns0:c r="AA86" s="17" t="n"/>
      <ns0:c r="AB86" s="17" t="n"/>
      <ns0:c r="AC86" s="17" t="n"/>
      <ns0:c r="AD86" s="17" t="n"/>
      <ns0:c r="AE86" s="17" t="n"/>
      <ns0:c r="AF86" s="17" t="n"/>
      <ns0:c r="AG86" s="17" t="n"/>
    </ns0:row>
    <ns0:row r="87" ht="24" customHeight="1">
      <ns0:c r="D87" s="17" t="n"/>
      <ns0:c r="E87" s="17" t="n"/>
      <ns0:c r="F87" s="17" t="n"/>
      <ns0:c r="G87" s="17" t="n"/>
      <ns0:c r="H87" s="17" t="n"/>
      <ns0:c r="I87" s="17" t="n"/>
      <ns0:c r="J87" s="17" t="n"/>
      <ns0:c r="K87" s="17" t="n"/>
      <ns0:c r="L87" s="17" t="n"/>
      <ns0:c r="M87" s="17" t="n"/>
      <ns0:c r="N87" s="17" t="n"/>
      <ns0:c r="O87" s="17" t="n"/>
      <ns0:c r="P87" s="17" t="n"/>
      <ns0:c r="Q87" s="17" t="n"/>
      <ns0:c r="R87" s="17" t="n"/>
      <ns0:c r="S87" s="17" t="n"/>
      <ns0:c r="T87" s="17" t="n"/>
      <ns0:c r="U87" s="17" t="n"/>
      <ns0:c r="V87" s="17" t="n"/>
      <ns0:c r="W87" s="17" t="n"/>
      <ns0:c r="X87" s="17" t="n"/>
      <ns0:c r="Y87" s="17" t="n"/>
      <ns0:c r="Z87" s="17" t="n"/>
      <ns0:c r="AA87" s="17" t="n"/>
      <ns0:c r="AB87" s="17" t="n"/>
      <ns0:c r="AC87" s="17" t="n"/>
      <ns0:c r="AD87" s="17" t="n"/>
      <ns0:c r="AE87" s="17" t="n"/>
      <ns0:c r="AF87" s="17" t="n"/>
      <ns0:c r="AG87" s="17" t="n"/>
    </ns0:row>
    <ns0:row r="88" ht="24" customHeight="1">
      <ns0:c r="D88" s="17" t="n"/>
      <ns0:c r="E88" s="17" t="n"/>
      <ns0:c r="F88" s="17" t="n"/>
      <ns0:c r="G88" s="17" t="n"/>
      <ns0:c r="H88" s="17" t="n"/>
      <ns0:c r="I88" s="17" t="n"/>
      <ns0:c r="J88" s="17" t="n"/>
      <ns0:c r="K88" s="17" t="n"/>
      <ns0:c r="L88" s="17" t="n"/>
      <ns0:c r="M88" s="17" t="n"/>
      <ns0:c r="N88" s="17" t="n"/>
      <ns0:c r="O88" s="17" t="n"/>
      <ns0:c r="P88" s="17" t="n"/>
      <ns0:c r="Q88" s="17" t="n"/>
      <ns0:c r="R88" s="17" t="n"/>
      <ns0:c r="S88" s="17" t="n"/>
      <ns0:c r="T88" s="17" t="n"/>
      <ns0:c r="U88" s="17" t="n"/>
      <ns0:c r="V88" s="17" t="n"/>
      <ns0:c r="W88" s="17" t="n"/>
      <ns0:c r="X88" s="17" t="n"/>
      <ns0:c r="Y88" s="17" t="n"/>
      <ns0:c r="Z88" s="17" t="n"/>
      <ns0:c r="AA88" s="17" t="n"/>
      <ns0:c r="AB88" s="17" t="n"/>
      <ns0:c r="AC88" s="17" t="n"/>
      <ns0:c r="AD88" s="17" t="n"/>
      <ns0:c r="AE88" s="17" t="n"/>
      <ns0:c r="AF88" s="17" t="n"/>
      <ns0:c r="AG88" s="17" t="n"/>
    </ns0:row>
    <ns0:row r="89" ht="24" customHeight="1">
      <ns0:c r="D89" s="17" t="n"/>
      <ns0:c r="E89" s="17" t="n"/>
      <ns0:c r="F89" s="17" t="n"/>
      <ns0:c r="G89" s="17" t="n"/>
      <ns0:c r="H89" s="17" t="n"/>
      <ns0:c r="I89" s="17" t="n"/>
      <ns0:c r="J89" s="17" t="n"/>
      <ns0:c r="K89" s="17" t="n"/>
      <ns0:c r="L89" s="17" t="n"/>
      <ns0:c r="M89" s="17" t="n"/>
      <ns0:c r="N89" s="17" t="n"/>
      <ns0:c r="O89" s="17" t="n"/>
      <ns0:c r="P89" s="17" t="n"/>
      <ns0:c r="Q89" s="17" t="n"/>
      <ns0:c r="R89" s="17" t="n"/>
      <ns0:c r="S89" s="17" t="n"/>
      <ns0:c r="T89" s="17" t="n"/>
      <ns0:c r="U89" s="17" t="n"/>
      <ns0:c r="V89" s="17" t="n"/>
      <ns0:c r="W89" s="17" t="n"/>
      <ns0:c r="X89" s="17" t="n"/>
      <ns0:c r="Y89" s="17" t="n"/>
      <ns0:c r="Z89" s="17" t="n"/>
      <ns0:c r="AA89" s="17" t="n"/>
      <ns0:c r="AB89" s="17" t="n"/>
      <ns0:c r="AC89" s="17" t="n"/>
      <ns0:c r="AD89" s="17" t="n"/>
      <ns0:c r="AE89" s="17" t="n"/>
      <ns0:c r="AF89" s="17" t="n"/>
      <ns0:c r="AG89" s="17" t="n"/>
    </ns0:row>
    <ns0:row r="90" ht="24" customHeight="1">
      <ns0:c r="D90" s="17" t="n"/>
      <ns0:c r="E90" s="17" t="n"/>
      <ns0:c r="F90" s="17" t="n"/>
      <ns0:c r="G90" s="17" t="n"/>
      <ns0:c r="H90" s="17" t="n"/>
      <ns0:c r="I90" s="17" t="n"/>
      <ns0:c r="J90" s="17" t="n"/>
      <ns0:c r="K90" s="17" t="n"/>
      <ns0:c r="L90" s="17" t="n"/>
      <ns0:c r="M90" s="17" t="n"/>
      <ns0:c r="N90" s="17" t="n"/>
      <ns0:c r="O90" s="17" t="n"/>
      <ns0:c r="P90" s="17" t="n"/>
      <ns0:c r="Q90" s="17" t="n"/>
      <ns0:c r="R90" s="17" t="n"/>
      <ns0:c r="S90" s="17" t="n"/>
      <ns0:c r="T90" s="17" t="n"/>
      <ns0:c r="U90" s="17" t="n"/>
      <ns0:c r="V90" s="17" t="n"/>
      <ns0:c r="W90" s="17" t="n"/>
      <ns0:c r="X90" s="17" t="n"/>
      <ns0:c r="Y90" s="17" t="n"/>
      <ns0:c r="Z90" s="17" t="n"/>
      <ns0:c r="AA90" s="17" t="n"/>
      <ns0:c r="AB90" s="17" t="n"/>
      <ns0:c r="AC90" s="17" t="n"/>
      <ns0:c r="AD90" s="17" t="n"/>
      <ns0:c r="AE90" s="17" t="n"/>
      <ns0:c r="AF90" s="17" t="n"/>
      <ns0:c r="AG90" s="17" t="n"/>
    </ns0:row>
    <ns0:row r="91" ht="24" customHeight="1">
      <ns0:c r="D91" s="17" t="n"/>
      <ns0:c r="E91" s="17" t="n"/>
      <ns0:c r="F91" s="17" t="n"/>
      <ns0:c r="G91" s="17" t="n"/>
      <ns0:c r="H91" s="17" t="n"/>
      <ns0:c r="I91" s="17" t="n"/>
      <ns0:c r="J91" s="17" t="n"/>
      <ns0:c r="K91" s="17" t="n"/>
      <ns0:c r="L91" s="17" t="n"/>
      <ns0:c r="M91" s="17" t="n"/>
      <ns0:c r="N91" s="17" t="n"/>
      <ns0:c r="O91" s="17" t="n"/>
      <ns0:c r="P91" s="17" t="n"/>
      <ns0:c r="Q91" s="17" t="n"/>
      <ns0:c r="R91" s="17" t="n"/>
      <ns0:c r="S91" s="17" t="n"/>
      <ns0:c r="T91" s="17" t="n"/>
      <ns0:c r="U91" s="17" t="n"/>
      <ns0:c r="V91" s="17" t="n"/>
      <ns0:c r="W91" s="17" t="n"/>
      <ns0:c r="X91" s="17" t="n"/>
      <ns0:c r="Y91" s="17" t="n"/>
      <ns0:c r="Z91" s="17" t="n"/>
      <ns0:c r="AA91" s="17" t="n"/>
      <ns0:c r="AB91" s="17" t="n"/>
      <ns0:c r="AC91" s="17" t="n"/>
      <ns0:c r="AD91" s="17" t="n"/>
      <ns0:c r="AE91" s="17" t="n"/>
      <ns0:c r="AF91" s="17" t="n"/>
      <ns0:c r="AG91" s="17" t="n"/>
    </ns0:row>
    <ns0:row r="92" ht="24" customHeight="1">
      <ns0:c r="D92" s="17" t="n"/>
      <ns0:c r="E92" s="17" t="n"/>
      <ns0:c r="F92" s="17" t="n"/>
      <ns0:c r="G92" s="17" t="n"/>
      <ns0:c r="H92" s="17" t="n"/>
      <ns0:c r="I92" s="17" t="n"/>
      <ns0:c r="J92" s="17" t="n"/>
      <ns0:c r="K92" s="17" t="n"/>
      <ns0:c r="L92" s="17" t="n"/>
      <ns0:c r="M92" s="17" t="n"/>
      <ns0:c r="N92" s="17" t="n"/>
      <ns0:c r="O92" s="17" t="n"/>
      <ns0:c r="P92" s="17" t="n"/>
      <ns0:c r="Q92" s="17" t="n"/>
      <ns0:c r="R92" s="17" t="n"/>
      <ns0:c r="S92" s="17" t="n"/>
      <ns0:c r="T92" s="17" t="n"/>
      <ns0:c r="U92" s="17" t="n"/>
      <ns0:c r="V92" s="17" t="n"/>
      <ns0:c r="W92" s="17" t="n"/>
      <ns0:c r="X92" s="17" t="n"/>
      <ns0:c r="Y92" s="17" t="n"/>
      <ns0:c r="Z92" s="17" t="n"/>
      <ns0:c r="AA92" s="17" t="n"/>
      <ns0:c r="AB92" s="17" t="n"/>
      <ns0:c r="AC92" s="17" t="n"/>
      <ns0:c r="AD92" s="17" t="n"/>
      <ns0:c r="AE92" s="17" t="n"/>
      <ns0:c r="AF92" s="17" t="n"/>
      <ns0:c r="AG92" s="17" t="n"/>
    </ns0:row>
    <ns0:row r="93" ht="24" customHeight="1">
      <ns0:c r="D93" s="17" t="n"/>
      <ns0:c r="E93" s="17" t="n"/>
      <ns0:c r="F93" s="17" t="n"/>
      <ns0:c r="G93" s="17" t="n"/>
      <ns0:c r="H93" s="17" t="n"/>
      <ns0:c r="I93" s="17" t="n"/>
      <ns0:c r="J93" s="17" t="n"/>
      <ns0:c r="K93" s="17" t="n"/>
      <ns0:c r="L93" s="17" t="n"/>
      <ns0:c r="M93" s="17" t="n"/>
      <ns0:c r="N93" s="17" t="n"/>
      <ns0:c r="O93" s="17" t="n"/>
      <ns0:c r="P93" s="17" t="n"/>
      <ns0:c r="Q93" s="17" t="n"/>
      <ns0:c r="R93" s="17" t="n"/>
      <ns0:c r="S93" s="17" t="n"/>
      <ns0:c r="T93" s="17" t="n"/>
      <ns0:c r="U93" s="17" t="n"/>
      <ns0:c r="V93" s="17" t="n"/>
      <ns0:c r="W93" s="17" t="n"/>
      <ns0:c r="X93" s="17" t="n"/>
      <ns0:c r="Y93" s="17" t="n"/>
      <ns0:c r="Z93" s="17" t="n"/>
      <ns0:c r="AA93" s="17" t="n"/>
      <ns0:c r="AB93" s="17" t="n"/>
      <ns0:c r="AC93" s="17" t="n"/>
      <ns0:c r="AD93" s="17" t="n"/>
      <ns0:c r="AE93" s="17" t="n"/>
      <ns0:c r="AF93" s="17" t="n"/>
      <ns0:c r="AG93" s="17" t="n"/>
    </ns0:row>
    <ns0:row r="94" ht="24" customHeight="1">
      <ns0:c r="D94" s="17" t="n"/>
      <ns0:c r="E94" s="17" t="n"/>
      <ns0:c r="F94" s="17" t="n"/>
      <ns0:c r="G94" s="17" t="n"/>
      <ns0:c r="H94" s="17" t="n"/>
      <ns0:c r="I94" s="17" t="n"/>
      <ns0:c r="J94" s="17" t="n"/>
      <ns0:c r="K94" s="17" t="n"/>
      <ns0:c r="L94" s="17" t="n"/>
      <ns0:c r="M94" s="17" t="n"/>
      <ns0:c r="N94" s="17" t="n"/>
      <ns0:c r="O94" s="17" t="n"/>
      <ns0:c r="P94" s="17" t="n"/>
      <ns0:c r="Q94" s="17" t="n"/>
      <ns0:c r="R94" s="17" t="n"/>
      <ns0:c r="S94" s="17" t="n"/>
      <ns0:c r="T94" s="17" t="n"/>
      <ns0:c r="U94" s="17" t="n"/>
      <ns0:c r="V94" s="17" t="n"/>
      <ns0:c r="W94" s="17" t="n"/>
      <ns0:c r="X94" s="17" t="n"/>
      <ns0:c r="Y94" s="17" t="n"/>
      <ns0:c r="Z94" s="17" t="n"/>
      <ns0:c r="AA94" s="17" t="n"/>
      <ns0:c r="AB94" s="17" t="n"/>
      <ns0:c r="AC94" s="17" t="n"/>
      <ns0:c r="AD94" s="17" t="n"/>
      <ns0:c r="AE94" s="17" t="n"/>
      <ns0:c r="AF94" s="17" t="n"/>
      <ns0:c r="AG94" s="17" t="n"/>
    </ns0:row>
    <ns0:row r="95" ht="24" customHeight="1">
      <ns0:c r="D95" s="17" t="n"/>
      <ns0:c r="E95" s="17" t="n"/>
      <ns0:c r="F95" s="17" t="n"/>
      <ns0:c r="G95" s="17" t="n"/>
      <ns0:c r="H95" s="17" t="n"/>
      <ns0:c r="I95" s="17" t="n"/>
      <ns0:c r="J95" s="17" t="n"/>
      <ns0:c r="K95" s="17" t="n"/>
      <ns0:c r="L95" s="17" t="n"/>
      <ns0:c r="M95" s="17" t="n"/>
      <ns0:c r="N95" s="17" t="n"/>
      <ns0:c r="O95" s="17" t="n"/>
      <ns0:c r="P95" s="17" t="n"/>
      <ns0:c r="Q95" s="17" t="n"/>
      <ns0:c r="R95" s="17" t="n"/>
      <ns0:c r="S95" s="17" t="n"/>
      <ns0:c r="T95" s="17" t="n"/>
      <ns0:c r="U95" s="17" t="n"/>
      <ns0:c r="V95" s="17" t="n"/>
      <ns0:c r="W95" s="17" t="n"/>
      <ns0:c r="X95" s="17" t="n"/>
      <ns0:c r="Y95" s="17" t="n"/>
      <ns0:c r="Z95" s="17" t="n"/>
      <ns0:c r="AA95" s="17" t="n"/>
      <ns0:c r="AB95" s="17" t="n"/>
      <ns0:c r="AC95" s="17" t="n"/>
      <ns0:c r="AD95" s="17" t="n"/>
      <ns0:c r="AE95" s="17" t="n"/>
      <ns0:c r="AF95" s="17" t="n"/>
      <ns0:c r="AG95" s="17" t="n"/>
    </ns0:row>
    <ns0:row r="96" ht="24" customHeight="1">
      <ns0:c r="D96" s="17" t="n"/>
      <ns0:c r="E96" s="17" t="n"/>
      <ns0:c r="F96" s="17" t="n"/>
      <ns0:c r="G96" s="17" t="n"/>
      <ns0:c r="H96" s="17" t="n"/>
      <ns0:c r="I96" s="17" t="n"/>
      <ns0:c r="J96" s="17" t="n"/>
      <ns0:c r="K96" s="17" t="n"/>
      <ns0:c r="L96" s="17" t="n"/>
      <ns0:c r="M96" s="17" t="n"/>
      <ns0:c r="N96" s="17" t="n"/>
      <ns0:c r="O96" s="17" t="n"/>
      <ns0:c r="P96" s="17" t="n"/>
      <ns0:c r="Q96" s="17" t="n"/>
      <ns0:c r="R96" s="17" t="n"/>
      <ns0:c r="S96" s="17" t="n"/>
      <ns0:c r="T96" s="17" t="n"/>
      <ns0:c r="U96" s="17" t="n"/>
      <ns0:c r="V96" s="17" t="n"/>
      <ns0:c r="W96" s="17" t="n"/>
      <ns0:c r="X96" s="17" t="n"/>
      <ns0:c r="Y96" s="17" t="n"/>
      <ns0:c r="Z96" s="17" t="n"/>
      <ns0:c r="AA96" s="17" t="n"/>
      <ns0:c r="AB96" s="17" t="n"/>
      <ns0:c r="AC96" s="17" t="n"/>
      <ns0:c r="AD96" s="17" t="n"/>
      <ns0:c r="AE96" s="17" t="n"/>
      <ns0:c r="AF96" s="17" t="n"/>
      <ns0:c r="AG96" s="17" t="n"/>
    </ns0:row>
    <ns0:row r="97" ht="24" customHeight="1">
      <ns0:c r="D97" s="17" t="n"/>
      <ns0:c r="E97" s="17" t="n"/>
      <ns0:c r="F97" s="17" t="n"/>
      <ns0:c r="G97" s="17" t="n"/>
      <ns0:c r="H97" s="17" t="n"/>
      <ns0:c r="I97" s="17" t="n"/>
      <ns0:c r="J97" s="17" t="n"/>
      <ns0:c r="K97" s="17" t="n"/>
      <ns0:c r="L97" s="17" t="n"/>
      <ns0:c r="M97" s="17" t="n"/>
      <ns0:c r="N97" s="17" t="n"/>
      <ns0:c r="O97" s="17" t="n"/>
      <ns0:c r="P97" s="17" t="n"/>
      <ns0:c r="Q97" s="17" t="n"/>
      <ns0:c r="R97" s="17" t="n"/>
      <ns0:c r="S97" s="17" t="n"/>
      <ns0:c r="T97" s="17" t="n"/>
      <ns0:c r="U97" s="17" t="n"/>
      <ns0:c r="V97" s="17" t="n"/>
      <ns0:c r="W97" s="17" t="n"/>
      <ns0:c r="X97" s="17" t="n"/>
      <ns0:c r="Y97" s="17" t="n"/>
      <ns0:c r="Z97" s="17" t="n"/>
      <ns0:c r="AA97" s="17" t="n"/>
      <ns0:c r="AB97" s="17" t="n"/>
      <ns0:c r="AC97" s="17" t="n"/>
      <ns0:c r="AD97" s="17" t="n"/>
      <ns0:c r="AE97" s="17" t="n"/>
      <ns0:c r="AF97" s="17" t="n"/>
      <ns0:c r="AG97" s="17" t="n"/>
    </ns0:row>
    <ns0:row r="98" ht="24" customHeight="1">
      <ns0:c r="D98" s="17" t="n"/>
      <ns0:c r="E98" s="17" t="n"/>
      <ns0:c r="F98" s="17" t="n"/>
      <ns0:c r="G98" s="17" t="n"/>
      <ns0:c r="H98" s="17" t="n"/>
      <ns0:c r="I98" s="17" t="n"/>
      <ns0:c r="J98" s="17" t="n"/>
      <ns0:c r="K98" s="17" t="n"/>
      <ns0:c r="L98" s="17" t="n"/>
      <ns0:c r="M98" s="17" t="n"/>
      <ns0:c r="N98" s="17" t="n"/>
      <ns0:c r="O98" s="17" t="n"/>
      <ns0:c r="P98" s="17" t="n"/>
      <ns0:c r="Q98" s="17" t="n"/>
      <ns0:c r="R98" s="17" t="n"/>
      <ns0:c r="S98" s="17" t="n"/>
      <ns0:c r="T98" s="17" t="n"/>
      <ns0:c r="U98" s="17" t="n"/>
      <ns0:c r="V98" s="17" t="n"/>
      <ns0:c r="W98" s="17" t="n"/>
      <ns0:c r="X98" s="17" t="n"/>
      <ns0:c r="Y98" s="17" t="n"/>
      <ns0:c r="Z98" s="17" t="n"/>
      <ns0:c r="AA98" s="17" t="n"/>
      <ns0:c r="AB98" s="17" t="n"/>
      <ns0:c r="AC98" s="17" t="n"/>
      <ns0:c r="AD98" s="17" t="n"/>
      <ns0:c r="AE98" s="17" t="n"/>
      <ns0:c r="AF98" s="17" t="n"/>
      <ns0:c r="AG98" s="17" t="n"/>
    </ns0:row>
    <ns0:row r="99" ht="24" customHeight="1">
      <ns0:c r="D99" s="17" t="n"/>
      <ns0:c r="E99" s="17" t="n"/>
      <ns0:c r="F99" s="17" t="n"/>
      <ns0:c r="G99" s="17" t="n"/>
      <ns0:c r="H99" s="17" t="n"/>
      <ns0:c r="I99" s="17" t="n"/>
      <ns0:c r="J99" s="17" t="n"/>
      <ns0:c r="K99" s="17" t="n"/>
      <ns0:c r="L99" s="17" t="n"/>
      <ns0:c r="M99" s="17" t="n"/>
      <ns0:c r="N99" s="17" t="n"/>
      <ns0:c r="O99" s="17" t="n"/>
      <ns0:c r="P99" s="17" t="n"/>
      <ns0:c r="Q99" s="17" t="n"/>
      <ns0:c r="R99" s="17" t="n"/>
      <ns0:c r="S99" s="17" t="n"/>
      <ns0:c r="T99" s="17" t="n"/>
      <ns0:c r="U99" s="17" t="n"/>
      <ns0:c r="V99" s="17" t="n"/>
      <ns0:c r="W99" s="17" t="n"/>
      <ns0:c r="X99" s="17" t="n"/>
      <ns0:c r="Y99" s="17" t="n"/>
      <ns0:c r="Z99" s="17" t="n"/>
      <ns0:c r="AA99" s="17" t="n"/>
      <ns0:c r="AB99" s="17" t="n"/>
      <ns0:c r="AC99" s="17" t="n"/>
      <ns0:c r="AD99" s="17" t="n"/>
      <ns0:c r="AE99" s="17" t="n"/>
      <ns0:c r="AF99" s="17" t="n"/>
      <ns0:c r="AG99" s="17" t="n"/>
    </ns0:row>
    <ns0:row r="100" ht="24" customHeight="1">
      <ns0:c r="D100" s="17" t="n"/>
      <ns0:c r="E100" s="17" t="n"/>
      <ns0:c r="F100" s="17" t="n"/>
      <ns0:c r="G100" s="17" t="n"/>
      <ns0:c r="H100" s="17" t="n"/>
      <ns0:c r="I100" s="17" t="n"/>
      <ns0:c r="J100" s="17" t="n"/>
      <ns0:c r="K100" s="17" t="n"/>
      <ns0:c r="L100" s="17" t="n"/>
      <ns0:c r="M100" s="17" t="n"/>
      <ns0:c r="N100" s="17" t="n"/>
      <ns0:c r="O100" s="17" t="n"/>
      <ns0:c r="P100" s="17" t="n"/>
      <ns0:c r="Q100" s="17" t="n"/>
      <ns0:c r="R100" s="17" t="n"/>
      <ns0:c r="S100" s="17" t="n"/>
      <ns0:c r="T100" s="17" t="n"/>
      <ns0:c r="U100" s="17" t="n"/>
      <ns0:c r="V100" s="17" t="n"/>
      <ns0:c r="W100" s="17" t="n"/>
      <ns0:c r="X100" s="17" t="n"/>
      <ns0:c r="Y100" s="17" t="n"/>
      <ns0:c r="Z100" s="17" t="n"/>
      <ns0:c r="AA100" s="17" t="n"/>
      <ns0:c r="AB100" s="17" t="n"/>
      <ns0:c r="AC100" s="17" t="n"/>
      <ns0:c r="AD100" s="17" t="n"/>
      <ns0:c r="AE100" s="17" t="n"/>
      <ns0:c r="AF100" s="17" t="n"/>
      <ns0:c r="AG100" s="17" t="n"/>
    </ns0:row>
    <ns0:row r="101" ht="24" customHeight="1">
      <ns0:c r="D101" s="17" t="n"/>
      <ns0:c r="E101" s="17" t="n"/>
      <ns0:c r="F101" s="17" t="n"/>
      <ns0:c r="G101" s="17" t="n"/>
      <ns0:c r="H101" s="17" t="n"/>
      <ns0:c r="I101" s="17" t="n"/>
      <ns0:c r="J101" s="17" t="n"/>
      <ns0:c r="K101" s="17" t="n"/>
      <ns0:c r="L101" s="17" t="n"/>
      <ns0:c r="M101" s="17" t="n"/>
      <ns0:c r="N101" s="17" t="n"/>
      <ns0:c r="O101" s="17" t="n"/>
      <ns0:c r="P101" s="17" t="n"/>
      <ns0:c r="Q101" s="17" t="n"/>
      <ns0:c r="R101" s="17" t="n"/>
      <ns0:c r="S101" s="17" t="n"/>
      <ns0:c r="T101" s="17" t="n"/>
      <ns0:c r="U101" s="17" t="n"/>
      <ns0:c r="V101" s="17" t="n"/>
      <ns0:c r="W101" s="17" t="n"/>
      <ns0:c r="X101" s="17" t="n"/>
      <ns0:c r="Y101" s="17" t="n"/>
      <ns0:c r="Z101" s="17" t="n"/>
      <ns0:c r="AA101" s="17" t="n"/>
      <ns0:c r="AB101" s="17" t="n"/>
      <ns0:c r="AC101" s="17" t="n"/>
      <ns0:c r="AD101" s="17" t="n"/>
      <ns0:c r="AE101" s="17" t="n"/>
      <ns0:c r="AF101" s="17" t="n"/>
      <ns0:c r="AG101" s="17" t="n"/>
    </ns0:row>
    <ns0:row r="102" ht="24" customHeight="1">
      <ns0:c r="D102" s="17" t="n"/>
      <ns0:c r="E102" s="17" t="n"/>
      <ns0:c r="F102" s="17" t="n"/>
      <ns0:c r="G102" s="17" t="n"/>
      <ns0:c r="H102" s="17" t="n"/>
      <ns0:c r="I102" s="17" t="n"/>
      <ns0:c r="J102" s="17" t="n"/>
      <ns0:c r="K102" s="17" t="n"/>
      <ns0:c r="L102" s="17" t="n"/>
      <ns0:c r="M102" s="17" t="n"/>
      <ns0:c r="N102" s="17" t="n"/>
      <ns0:c r="O102" s="17" t="n"/>
      <ns0:c r="P102" s="17" t="n"/>
      <ns0:c r="Q102" s="17" t="n"/>
      <ns0:c r="R102" s="17" t="n"/>
      <ns0:c r="S102" s="17" t="n"/>
      <ns0:c r="T102" s="17" t="n"/>
      <ns0:c r="U102" s="17" t="n"/>
      <ns0:c r="V102" s="17" t="n"/>
      <ns0:c r="W102" s="17" t="n"/>
      <ns0:c r="X102" s="17" t="n"/>
      <ns0:c r="Y102" s="17" t="n"/>
      <ns0:c r="Z102" s="17" t="n"/>
      <ns0:c r="AA102" s="17" t="n"/>
      <ns0:c r="AB102" s="17" t="n"/>
      <ns0:c r="AC102" s="17" t="n"/>
      <ns0:c r="AD102" s="17" t="n"/>
      <ns0:c r="AE102" s="17" t="n"/>
      <ns0:c r="AF102" s="17" t="n"/>
      <ns0:c r="AG102" s="17" t="n"/>
    </ns0:row>
    <ns0:row r="103" ht="24" customHeight="1">
      <ns0:c r="D103" s="17" t="n"/>
      <ns0:c r="E103" s="17" t="n"/>
      <ns0:c r="F103" s="17" t="n"/>
      <ns0:c r="G103" s="17" t="n"/>
      <ns0:c r="H103" s="17" t="n"/>
      <ns0:c r="I103" s="17" t="n"/>
      <ns0:c r="J103" s="17" t="n"/>
      <ns0:c r="K103" s="17" t="n"/>
      <ns0:c r="L103" s="17" t="n"/>
      <ns0:c r="M103" s="17" t="n"/>
      <ns0:c r="N103" s="17" t="n"/>
      <ns0:c r="O103" s="17" t="n"/>
      <ns0:c r="P103" s="17" t="n"/>
      <ns0:c r="Q103" s="17" t="n"/>
      <ns0:c r="R103" s="17" t="n"/>
      <ns0:c r="S103" s="17" t="n"/>
      <ns0:c r="T103" s="17" t="n"/>
      <ns0:c r="U103" s="17" t="n"/>
      <ns0:c r="V103" s="17" t="n"/>
      <ns0:c r="W103" s="17" t="n"/>
      <ns0:c r="X103" s="17" t="n"/>
      <ns0:c r="Y103" s="17" t="n"/>
      <ns0:c r="Z103" s="17" t="n"/>
      <ns0:c r="AA103" s="17" t="n"/>
      <ns0:c r="AB103" s="17" t="n"/>
      <ns0:c r="AC103" s="17" t="n"/>
      <ns0:c r="AD103" s="17" t="n"/>
      <ns0:c r="AE103" s="17" t="n"/>
      <ns0:c r="AF103" s="17" t="n"/>
      <ns0:c r="AG103" s="17" t="n"/>
    </ns0:row>
    <ns0:row r="104" ht="24" customHeight="1">
      <ns0:c r="D104" s="17" t="n"/>
      <ns0:c r="E104" s="17" t="n"/>
      <ns0:c r="F104" s="17" t="n"/>
      <ns0:c r="G104" s="17" t="n"/>
      <ns0:c r="H104" s="17" t="n"/>
      <ns0:c r="I104" s="17" t="n"/>
      <ns0:c r="J104" s="17" t="n"/>
      <ns0:c r="K104" s="17" t="n"/>
      <ns0:c r="L104" s="17" t="n"/>
      <ns0:c r="M104" s="17" t="n"/>
      <ns0:c r="N104" s="17" t="n"/>
      <ns0:c r="O104" s="17" t="n"/>
      <ns0:c r="P104" s="17" t="n"/>
      <ns0:c r="Q104" s="17" t="n"/>
      <ns0:c r="R104" s="17" t="n"/>
      <ns0:c r="S104" s="17" t="n"/>
      <ns0:c r="T104" s="17" t="n"/>
      <ns0:c r="U104" s="17" t="n"/>
      <ns0:c r="V104" s="17" t="n"/>
      <ns0:c r="W104" s="17" t="n"/>
      <ns0:c r="X104" s="17" t="n"/>
      <ns0:c r="Y104" s="17" t="n"/>
      <ns0:c r="Z104" s="17" t="n"/>
      <ns0:c r="AA104" s="17" t="n"/>
      <ns0:c r="AB104" s="17" t="n"/>
      <ns0:c r="AC104" s="17" t="n"/>
      <ns0:c r="AD104" s="17" t="n"/>
      <ns0:c r="AE104" s="17" t="n"/>
      <ns0:c r="AF104" s="17" t="n"/>
      <ns0:c r="AG104" s="17" t="n"/>
    </ns0:row>
    <ns0:row r="105" ht="24" customHeight="1">
      <ns0:c r="D105" s="17" t="n"/>
      <ns0:c r="E105" s="17" t="n"/>
      <ns0:c r="F105" s="17" t="n"/>
      <ns0:c r="G105" s="17" t="n"/>
      <ns0:c r="H105" s="17" t="n"/>
      <ns0:c r="I105" s="17" t="n"/>
      <ns0:c r="J105" s="17" t="n"/>
      <ns0:c r="K105" s="17" t="n"/>
      <ns0:c r="L105" s="17" t="n"/>
      <ns0:c r="M105" s="17" t="n"/>
      <ns0:c r="N105" s="17" t="n"/>
      <ns0:c r="O105" s="17" t="n"/>
      <ns0:c r="P105" s="17" t="n"/>
      <ns0:c r="Q105" s="17" t="n"/>
      <ns0:c r="R105" s="17" t="n"/>
      <ns0:c r="S105" s="17" t="n"/>
      <ns0:c r="T105" s="17" t="n"/>
      <ns0:c r="U105" s="17" t="n"/>
      <ns0:c r="V105" s="17" t="n"/>
      <ns0:c r="W105" s="17" t="n"/>
      <ns0:c r="X105" s="17" t="n"/>
      <ns0:c r="Y105" s="17" t="n"/>
      <ns0:c r="Z105" s="17" t="n"/>
      <ns0:c r="AA105" s="17" t="n"/>
      <ns0:c r="AB105" s="17" t="n"/>
      <ns0:c r="AC105" s="17" t="n"/>
      <ns0:c r="AD105" s="17" t="n"/>
      <ns0:c r="AE105" s="17" t="n"/>
      <ns0:c r="AF105" s="17" t="n"/>
      <ns0:c r="AG105" s="17" t="n"/>
    </ns0:row>
    <ns0:row r="106" ht="24" customHeight="1">
      <ns0:c r="D106" s="17" t="n"/>
      <ns0:c r="E106" s="17" t="n"/>
      <ns0:c r="F106" s="17" t="n"/>
      <ns0:c r="G106" s="17" t="n"/>
      <ns0:c r="H106" s="17" t="n"/>
      <ns0:c r="I106" s="17" t="n"/>
      <ns0:c r="J106" s="17" t="n"/>
      <ns0:c r="K106" s="17" t="n"/>
      <ns0:c r="L106" s="17" t="n"/>
      <ns0:c r="M106" s="17" t="n"/>
      <ns0:c r="N106" s="17" t="n"/>
      <ns0:c r="O106" s="17" t="n"/>
      <ns0:c r="P106" s="17" t="n"/>
      <ns0:c r="Q106" s="17" t="n"/>
      <ns0:c r="R106" s="17" t="n"/>
      <ns0:c r="S106" s="17" t="n"/>
      <ns0:c r="T106" s="17" t="n"/>
      <ns0:c r="U106" s="17" t="n"/>
      <ns0:c r="V106" s="17" t="n"/>
      <ns0:c r="W106" s="17" t="n"/>
      <ns0:c r="X106" s="17" t="n"/>
      <ns0:c r="Y106" s="17" t="n"/>
      <ns0:c r="Z106" s="17" t="n"/>
      <ns0:c r="AA106" s="17" t="n"/>
      <ns0:c r="AB106" s="17" t="n"/>
      <ns0:c r="AC106" s="17" t="n"/>
      <ns0:c r="AD106" s="17" t="n"/>
      <ns0:c r="AE106" s="17" t="n"/>
      <ns0:c r="AF106" s="17" t="n"/>
      <ns0:c r="AG106" s="17" t="n"/>
    </ns0:row>
    <ns0:row r="107" ht="24" customHeight="1">
      <ns0:c r="D107" s="17" t="n"/>
      <ns0:c r="E107" s="17" t="n"/>
      <ns0:c r="F107" s="17" t="n"/>
      <ns0:c r="G107" s="17" t="n"/>
      <ns0:c r="H107" s="17" t="n"/>
      <ns0:c r="I107" s="17" t="n"/>
      <ns0:c r="J107" s="17" t="n"/>
      <ns0:c r="K107" s="17" t="n"/>
      <ns0:c r="L107" s="17" t="n"/>
      <ns0:c r="M107" s="17" t="n"/>
      <ns0:c r="N107" s="17" t="n"/>
      <ns0:c r="O107" s="17" t="n"/>
      <ns0:c r="P107" s="17" t="n"/>
      <ns0:c r="Q107" s="17" t="n"/>
      <ns0:c r="R107" s="17" t="n"/>
      <ns0:c r="S107" s="17" t="n"/>
      <ns0:c r="T107" s="17" t="n"/>
      <ns0:c r="U107" s="17" t="n"/>
      <ns0:c r="V107" s="17" t="n"/>
      <ns0:c r="W107" s="17" t="n"/>
      <ns0:c r="X107" s="17" t="n"/>
      <ns0:c r="Y107" s="17" t="n"/>
      <ns0:c r="Z107" s="17" t="n"/>
      <ns0:c r="AA107" s="17" t="n"/>
      <ns0:c r="AB107" s="17" t="n"/>
      <ns0:c r="AC107" s="17" t="n"/>
      <ns0:c r="AD107" s="17" t="n"/>
      <ns0:c r="AE107" s="17" t="n"/>
      <ns0:c r="AF107" s="17" t="n"/>
      <ns0:c r="AG107" s="17" t="n"/>
    </ns0:row>
    <ns0:row r="108" ht="24" customHeight="1">
      <ns0:c r="D108" s="17" t="n"/>
      <ns0:c r="E108" s="17" t="n"/>
      <ns0:c r="F108" s="17" t="n"/>
      <ns0:c r="G108" s="17" t="n"/>
      <ns0:c r="H108" s="17" t="n"/>
      <ns0:c r="I108" s="17" t="n"/>
      <ns0:c r="J108" s="17" t="n"/>
      <ns0:c r="K108" s="17" t="n"/>
      <ns0:c r="L108" s="17" t="n"/>
      <ns0:c r="M108" s="17" t="n"/>
      <ns0:c r="N108" s="17" t="n"/>
      <ns0:c r="O108" s="17" t="n"/>
      <ns0:c r="P108" s="17" t="n"/>
      <ns0:c r="Q108" s="17" t="n"/>
      <ns0:c r="R108" s="17" t="n"/>
      <ns0:c r="S108" s="17" t="n"/>
      <ns0:c r="T108" s="17" t="n"/>
      <ns0:c r="U108" s="17" t="n"/>
      <ns0:c r="V108" s="17" t="n"/>
      <ns0:c r="W108" s="17" t="n"/>
      <ns0:c r="X108" s="17" t="n"/>
      <ns0:c r="Y108" s="17" t="n"/>
      <ns0:c r="Z108" s="17" t="n"/>
      <ns0:c r="AA108" s="17" t="n"/>
      <ns0:c r="AB108" s="17" t="n"/>
      <ns0:c r="AC108" s="17" t="n"/>
      <ns0:c r="AD108" s="17" t="n"/>
      <ns0:c r="AE108" s="17" t="n"/>
      <ns0:c r="AF108" s="17" t="n"/>
      <ns0:c r="AG108" s="17" t="n"/>
    </ns0:row>
    <ns0:row r="109" ht="24" customHeight="1">
      <ns0:c r="D109" s="17" t="n"/>
      <ns0:c r="E109" s="17" t="n"/>
      <ns0:c r="F109" s="17" t="n"/>
      <ns0:c r="G109" s="17" t="n"/>
      <ns0:c r="H109" s="17" t="n"/>
      <ns0:c r="I109" s="17" t="n"/>
      <ns0:c r="J109" s="17" t="n"/>
      <ns0:c r="K109" s="17" t="n"/>
      <ns0:c r="L109" s="17" t="n"/>
      <ns0:c r="M109" s="17" t="n"/>
      <ns0:c r="N109" s="17" t="n"/>
      <ns0:c r="O109" s="17" t="n"/>
      <ns0:c r="P109" s="17" t="n"/>
      <ns0:c r="Q109" s="17" t="n"/>
      <ns0:c r="R109" s="17" t="n"/>
      <ns0:c r="S109" s="17" t="n"/>
      <ns0:c r="T109" s="17" t="n"/>
      <ns0:c r="U109" s="17" t="n"/>
      <ns0:c r="V109" s="17" t="n"/>
      <ns0:c r="W109" s="17" t="n"/>
      <ns0:c r="X109" s="17" t="n"/>
      <ns0:c r="Y109" s="17" t="n"/>
      <ns0:c r="Z109" s="17" t="n"/>
      <ns0:c r="AA109" s="17" t="n"/>
      <ns0:c r="AB109" s="17" t="n"/>
      <ns0:c r="AC109" s="17" t="n"/>
      <ns0:c r="AD109" s="17" t="n"/>
      <ns0:c r="AE109" s="17" t="n"/>
      <ns0:c r="AF109" s="17" t="n"/>
      <ns0:c r="AG109" s="17" t="n"/>
    </ns0:row>
    <ns0:row r="110" ht="24" customHeight="1">
      <ns0:c r="D110" s="17" t="n"/>
      <ns0:c r="E110" s="17" t="n"/>
      <ns0:c r="F110" s="17" t="n"/>
      <ns0:c r="G110" s="17" t="n"/>
      <ns0:c r="H110" s="17" t="n"/>
      <ns0:c r="I110" s="17" t="n"/>
      <ns0:c r="J110" s="17" t="n"/>
      <ns0:c r="K110" s="17" t="n"/>
      <ns0:c r="L110" s="17" t="n"/>
      <ns0:c r="M110" s="17" t="n"/>
      <ns0:c r="N110" s="17" t="n"/>
      <ns0:c r="O110" s="17" t="n"/>
      <ns0:c r="P110" s="17" t="n"/>
      <ns0:c r="Q110" s="17" t="n"/>
      <ns0:c r="R110" s="17" t="n"/>
      <ns0:c r="S110" s="17" t="n"/>
      <ns0:c r="T110" s="17" t="n"/>
      <ns0:c r="U110" s="17" t="n"/>
      <ns0:c r="V110" s="17" t="n"/>
      <ns0:c r="W110" s="17" t="n"/>
      <ns0:c r="X110" s="17" t="n"/>
      <ns0:c r="Y110" s="17" t="n"/>
      <ns0:c r="Z110" s="17" t="n"/>
      <ns0:c r="AA110" s="17" t="n"/>
      <ns0:c r="AB110" s="17" t="n"/>
      <ns0:c r="AC110" s="17" t="n"/>
      <ns0:c r="AD110" s="17" t="n"/>
      <ns0:c r="AE110" s="17" t="n"/>
      <ns0:c r="AF110" s="17" t="n"/>
      <ns0:c r="AG110" s="17" t="n"/>
    </ns0:row>
    <ns0:row r="111" ht="24" customHeight="1">
      <ns0:c r="D111" s="17" t="n"/>
      <ns0:c r="E111" s="17" t="n"/>
      <ns0:c r="F111" s="17" t="n"/>
      <ns0:c r="G111" s="17" t="n"/>
      <ns0:c r="H111" s="17" t="n"/>
      <ns0:c r="I111" s="17" t="n"/>
      <ns0:c r="J111" s="17" t="n"/>
      <ns0:c r="K111" s="17" t="n"/>
      <ns0:c r="L111" s="17" t="n"/>
      <ns0:c r="M111" s="17" t="n"/>
      <ns0:c r="N111" s="17" t="n"/>
      <ns0:c r="O111" s="17" t="n"/>
      <ns0:c r="P111" s="17" t="n"/>
      <ns0:c r="Q111" s="17" t="n"/>
      <ns0:c r="R111" s="17" t="n"/>
      <ns0:c r="S111" s="17" t="n"/>
      <ns0:c r="T111" s="17" t="n"/>
      <ns0:c r="U111" s="17" t="n"/>
      <ns0:c r="V111" s="17" t="n"/>
      <ns0:c r="W111" s="17" t="n"/>
      <ns0:c r="X111" s="17" t="n"/>
      <ns0:c r="Y111" s="17" t="n"/>
      <ns0:c r="Z111" s="17" t="n"/>
      <ns0:c r="AA111" s="17" t="n"/>
      <ns0:c r="AB111" s="17" t="n"/>
      <ns0:c r="AC111" s="17" t="n"/>
      <ns0:c r="AD111" s="17" t="n"/>
      <ns0:c r="AE111" s="17" t="n"/>
      <ns0:c r="AF111" s="17" t="n"/>
      <ns0:c r="AG111" s="17" t="n"/>
    </ns0:row>
    <ns0:row r="112" ht="24" customHeight="1">
      <ns0:c r="D112" s="17" t="n"/>
      <ns0:c r="E112" s="17" t="n"/>
      <ns0:c r="F112" s="17" t="n"/>
      <ns0:c r="G112" s="17" t="n"/>
      <ns0:c r="H112" s="17" t="n"/>
      <ns0:c r="I112" s="17" t="n"/>
      <ns0:c r="J112" s="17" t="n"/>
      <ns0:c r="K112" s="17" t="n"/>
      <ns0:c r="L112" s="17" t="n"/>
      <ns0:c r="M112" s="17" t="n"/>
      <ns0:c r="N112" s="17" t="n"/>
      <ns0:c r="O112" s="17" t="n"/>
      <ns0:c r="P112" s="17" t="n"/>
      <ns0:c r="Q112" s="17" t="n"/>
      <ns0:c r="R112" s="17" t="n"/>
      <ns0:c r="S112" s="17" t="n"/>
      <ns0:c r="T112" s="17" t="n"/>
      <ns0:c r="U112" s="17" t="n"/>
      <ns0:c r="V112" s="17" t="n"/>
      <ns0:c r="W112" s="17" t="n"/>
      <ns0:c r="X112" s="17" t="n"/>
      <ns0:c r="Y112" s="17" t="n"/>
      <ns0:c r="Z112" s="17" t="n"/>
      <ns0:c r="AA112" s="17" t="n"/>
      <ns0:c r="AB112" s="17" t="n"/>
      <ns0:c r="AC112" s="17" t="n"/>
      <ns0:c r="AD112" s="17" t="n"/>
      <ns0:c r="AE112" s="17" t="n"/>
      <ns0:c r="AF112" s="17" t="n"/>
      <ns0:c r="AG112" s="17" t="n"/>
    </ns0:row>
    <ns0:row r="113" ht="24" customHeight="1">
      <ns0:c r="D113" s="17" t="n"/>
      <ns0:c r="E113" s="17" t="n"/>
      <ns0:c r="F113" s="17" t="n"/>
      <ns0:c r="G113" s="17" t="n"/>
      <ns0:c r="H113" s="17" t="n"/>
      <ns0:c r="I113" s="17" t="n"/>
      <ns0:c r="J113" s="17" t="n"/>
      <ns0:c r="K113" s="17" t="n"/>
      <ns0:c r="L113" s="17" t="n"/>
      <ns0:c r="M113" s="17" t="n"/>
      <ns0:c r="N113" s="17" t="n"/>
      <ns0:c r="O113" s="17" t="n"/>
      <ns0:c r="P113" s="17" t="n"/>
      <ns0:c r="Q113" s="17" t="n"/>
      <ns0:c r="R113" s="17" t="n"/>
      <ns0:c r="S113" s="17" t="n"/>
      <ns0:c r="T113" s="17" t="n"/>
      <ns0:c r="U113" s="17" t="n"/>
      <ns0:c r="V113" s="17" t="n"/>
      <ns0:c r="W113" s="17" t="n"/>
      <ns0:c r="X113" s="17" t="n"/>
      <ns0:c r="Y113" s="17" t="n"/>
      <ns0:c r="Z113" s="17" t="n"/>
      <ns0:c r="AA113" s="17" t="n"/>
      <ns0:c r="AB113" s="17" t="n"/>
      <ns0:c r="AC113" s="17" t="n"/>
      <ns0:c r="AD113" s="17" t="n"/>
      <ns0:c r="AE113" s="17" t="n"/>
      <ns0:c r="AF113" s="17" t="n"/>
      <ns0:c r="AG113" s="17" t="n"/>
    </ns0:row>
    <ns0:row r="114" ht="24" customHeight="1">
      <ns0:c r="D114" s="17" t="n"/>
      <ns0:c r="E114" s="17" t="n"/>
      <ns0:c r="F114" s="17" t="n"/>
      <ns0:c r="G114" s="17" t="n"/>
      <ns0:c r="H114" s="17" t="n"/>
      <ns0:c r="I114" s="17" t="n"/>
      <ns0:c r="J114" s="17" t="n"/>
      <ns0:c r="K114" s="17" t="n"/>
      <ns0:c r="L114" s="17" t="n"/>
      <ns0:c r="M114" s="17" t="n"/>
      <ns0:c r="N114" s="17" t="n"/>
      <ns0:c r="O114" s="17" t="n"/>
      <ns0:c r="P114" s="17" t="n"/>
      <ns0:c r="Q114" s="17" t="n"/>
      <ns0:c r="R114" s="17" t="n"/>
      <ns0:c r="S114" s="17" t="n"/>
      <ns0:c r="T114" s="17" t="n"/>
      <ns0:c r="U114" s="17" t="n"/>
      <ns0:c r="V114" s="17" t="n"/>
      <ns0:c r="W114" s="17" t="n"/>
      <ns0:c r="X114" s="17" t="n"/>
      <ns0:c r="Y114" s="17" t="n"/>
      <ns0:c r="Z114" s="17" t="n"/>
      <ns0:c r="AA114" s="17" t="n"/>
      <ns0:c r="AB114" s="17" t="n"/>
      <ns0:c r="AC114" s="17" t="n"/>
      <ns0:c r="AD114" s="17" t="n"/>
      <ns0:c r="AE114" s="17" t="n"/>
      <ns0:c r="AF114" s="17" t="n"/>
      <ns0:c r="AG114" s="17" t="n"/>
    </ns0:row>
    <ns0:row r="115" ht="24" customHeight="1">
      <ns0:c r="D115" s="17" t="n"/>
      <ns0:c r="E115" s="17" t="n"/>
      <ns0:c r="F115" s="17" t="n"/>
      <ns0:c r="G115" s="17" t="n"/>
      <ns0:c r="H115" s="17" t="n"/>
      <ns0:c r="I115" s="17" t="n"/>
      <ns0:c r="J115" s="17" t="n"/>
      <ns0:c r="K115" s="17" t="n"/>
      <ns0:c r="L115" s="17" t="n"/>
      <ns0:c r="M115" s="17" t="n"/>
      <ns0:c r="N115" s="17" t="n"/>
      <ns0:c r="O115" s="17" t="n"/>
      <ns0:c r="P115" s="17" t="n"/>
      <ns0:c r="Q115" s="17" t="n"/>
      <ns0:c r="R115" s="17" t="n"/>
      <ns0:c r="S115" s="17" t="n"/>
      <ns0:c r="T115" s="17" t="n"/>
      <ns0:c r="U115" s="17" t="n"/>
      <ns0:c r="V115" s="17" t="n"/>
      <ns0:c r="W115" s="17" t="n"/>
      <ns0:c r="X115" s="17" t="n"/>
      <ns0:c r="Y115" s="17" t="n"/>
      <ns0:c r="Z115" s="17" t="n"/>
      <ns0:c r="AA115" s="17" t="n"/>
      <ns0:c r="AB115" s="17" t="n"/>
      <ns0:c r="AC115" s="17" t="n"/>
      <ns0:c r="AD115" s="17" t="n"/>
      <ns0:c r="AE115" s="17" t="n"/>
      <ns0:c r="AF115" s="17" t="n"/>
      <ns0:c r="AG115" s="17" t="n"/>
    </ns0:row>
    <ns0:row r="116" ht="24" customHeight="1">
      <ns0:c r="D116" s="17" t="n"/>
      <ns0:c r="E116" s="17" t="n"/>
      <ns0:c r="F116" s="17" t="n"/>
      <ns0:c r="G116" s="17" t="n"/>
      <ns0:c r="H116" s="17" t="n"/>
      <ns0:c r="I116" s="17" t="n"/>
      <ns0:c r="J116" s="17" t="n"/>
      <ns0:c r="K116" s="17" t="n"/>
      <ns0:c r="L116" s="17" t="n"/>
      <ns0:c r="M116" s="17" t="n"/>
      <ns0:c r="N116" s="17" t="n"/>
      <ns0:c r="O116" s="17" t="n"/>
      <ns0:c r="P116" s="17" t="n"/>
      <ns0:c r="Q116" s="17" t="n"/>
      <ns0:c r="R116" s="17" t="n"/>
      <ns0:c r="S116" s="17" t="n"/>
      <ns0:c r="T116" s="17" t="n"/>
      <ns0:c r="U116" s="17" t="n"/>
      <ns0:c r="V116" s="17" t="n"/>
      <ns0:c r="W116" s="17" t="n"/>
      <ns0:c r="X116" s="17" t="n"/>
      <ns0:c r="Y116" s="17" t="n"/>
      <ns0:c r="Z116" s="17" t="n"/>
      <ns0:c r="AA116" s="17" t="n"/>
      <ns0:c r="AB116" s="17" t="n"/>
      <ns0:c r="AC116" s="17" t="n"/>
      <ns0:c r="AD116" s="17" t="n"/>
      <ns0:c r="AE116" s="17" t="n"/>
      <ns0:c r="AF116" s="17" t="n"/>
      <ns0:c r="AG116" s="17" t="n"/>
    </ns0:row>
    <ns0:row r="117" ht="24" customHeight="1">
      <ns0:c r="D117" s="17" t="n"/>
      <ns0:c r="E117" s="17" t="n"/>
      <ns0:c r="F117" s="17" t="n"/>
      <ns0:c r="G117" s="17" t="n"/>
      <ns0:c r="H117" s="17" t="n"/>
      <ns0:c r="I117" s="17" t="n"/>
      <ns0:c r="J117" s="17" t="n"/>
      <ns0:c r="K117" s="17" t="n"/>
      <ns0:c r="L117" s="17" t="n"/>
      <ns0:c r="M117" s="17" t="n"/>
      <ns0:c r="N117" s="17" t="n"/>
      <ns0:c r="O117" s="17" t="n"/>
      <ns0:c r="P117" s="17" t="n"/>
      <ns0:c r="Q117" s="17" t="n"/>
      <ns0:c r="R117" s="17" t="n"/>
      <ns0:c r="S117" s="17" t="n"/>
      <ns0:c r="T117" s="17" t="n"/>
      <ns0:c r="U117" s="17" t="n"/>
      <ns0:c r="V117" s="17" t="n"/>
      <ns0:c r="W117" s="17" t="n"/>
      <ns0:c r="X117" s="17" t="n"/>
      <ns0:c r="Y117" s="17" t="n"/>
      <ns0:c r="Z117" s="17" t="n"/>
      <ns0:c r="AA117" s="17" t="n"/>
      <ns0:c r="AB117" s="17" t="n"/>
      <ns0:c r="AC117" s="17" t="n"/>
      <ns0:c r="AD117" s="17" t="n"/>
      <ns0:c r="AE117" s="17" t="n"/>
      <ns0:c r="AF117" s="17" t="n"/>
      <ns0:c r="AG117" s="17" t="n"/>
    </ns0:row>
    <ns0:row r="118" ht="24" customHeight="1">
      <ns0:c r="D118" s="17" t="n"/>
      <ns0:c r="E118" s="17" t="n"/>
      <ns0:c r="F118" s="17" t="n"/>
      <ns0:c r="G118" s="17" t="n"/>
      <ns0:c r="H118" s="17" t="n"/>
      <ns0:c r="I118" s="17" t="n"/>
      <ns0:c r="J118" s="17" t="n"/>
      <ns0:c r="K118" s="17" t="n"/>
      <ns0:c r="L118" s="17" t="n"/>
      <ns0:c r="M118" s="17" t="n"/>
      <ns0:c r="N118" s="17" t="n"/>
      <ns0:c r="O118" s="17" t="n"/>
      <ns0:c r="P118" s="17" t="n"/>
      <ns0:c r="Q118" s="17" t="n"/>
      <ns0:c r="R118" s="17" t="n"/>
      <ns0:c r="S118" s="17" t="n"/>
      <ns0:c r="T118" s="17" t="n"/>
      <ns0:c r="U118" s="17" t="n"/>
      <ns0:c r="V118" s="17" t="n"/>
      <ns0:c r="W118" s="17" t="n"/>
      <ns0:c r="X118" s="17" t="n"/>
      <ns0:c r="Y118" s="17" t="n"/>
      <ns0:c r="Z118" s="17" t="n"/>
      <ns0:c r="AA118" s="17" t="n"/>
      <ns0:c r="AB118" s="17" t="n"/>
      <ns0:c r="AC118" s="17" t="n"/>
      <ns0:c r="AD118" s="17" t="n"/>
      <ns0:c r="AE118" s="17" t="n"/>
      <ns0:c r="AF118" s="17" t="n"/>
      <ns0:c r="AG118" s="17" t="n"/>
    </ns0:row>
    <ns0:row r="119" ht="24" customHeight="1">
      <ns0:c r="D119" s="17" t="n"/>
      <ns0:c r="E119" s="17" t="n"/>
      <ns0:c r="F119" s="17" t="n"/>
      <ns0:c r="G119" s="17" t="n"/>
      <ns0:c r="H119" s="17" t="n"/>
      <ns0:c r="I119" s="17" t="n"/>
      <ns0:c r="J119" s="17" t="n"/>
      <ns0:c r="K119" s="17" t="n"/>
      <ns0:c r="L119" s="17" t="n"/>
      <ns0:c r="M119" s="17" t="n"/>
      <ns0:c r="N119" s="17" t="n"/>
      <ns0:c r="O119" s="17" t="n"/>
      <ns0:c r="P119" s="17" t="n"/>
      <ns0:c r="Q119" s="17" t="n"/>
      <ns0:c r="R119" s="17" t="n"/>
      <ns0:c r="S119" s="17" t="n"/>
      <ns0:c r="T119" s="17" t="n"/>
      <ns0:c r="U119" s="17" t="n"/>
      <ns0:c r="V119" s="17" t="n"/>
      <ns0:c r="W119" s="17" t="n"/>
      <ns0:c r="X119" s="17" t="n"/>
      <ns0:c r="Y119" s="17" t="n"/>
      <ns0:c r="Z119" s="17" t="n"/>
      <ns0:c r="AA119" s="17" t="n"/>
      <ns0:c r="AB119" s="17" t="n"/>
      <ns0:c r="AC119" s="17" t="n"/>
      <ns0:c r="AD119" s="17" t="n"/>
      <ns0:c r="AE119" s="17" t="n"/>
      <ns0:c r="AF119" s="17" t="n"/>
      <ns0:c r="AG119" s="17" t="n"/>
    </ns0:row>
    <ns0:row r="120" ht="24" customHeight="1">
      <ns0:c r="D120" s="17" t="n"/>
      <ns0:c r="E120" s="17" t="n"/>
      <ns0:c r="F120" s="17" t="n"/>
      <ns0:c r="G120" s="17" t="n"/>
      <ns0:c r="H120" s="17" t="n"/>
      <ns0:c r="I120" s="17" t="n"/>
      <ns0:c r="J120" s="17" t="n"/>
      <ns0:c r="K120" s="17" t="n"/>
      <ns0:c r="L120" s="17" t="n"/>
      <ns0:c r="M120" s="17" t="n"/>
      <ns0:c r="N120" s="17" t="n"/>
      <ns0:c r="O120" s="17" t="n"/>
      <ns0:c r="P120" s="17" t="n"/>
      <ns0:c r="Q120" s="17" t="n"/>
      <ns0:c r="R120" s="17" t="n"/>
      <ns0:c r="S120" s="17" t="n"/>
      <ns0:c r="T120" s="17" t="n"/>
      <ns0:c r="U120" s="17" t="n"/>
      <ns0:c r="V120" s="17" t="n"/>
      <ns0:c r="W120" s="17" t="n"/>
      <ns0:c r="X120" s="17" t="n"/>
      <ns0:c r="Y120" s="17" t="n"/>
      <ns0:c r="Z120" s="17" t="n"/>
      <ns0:c r="AA120" s="17" t="n"/>
      <ns0:c r="AB120" s="17" t="n"/>
      <ns0:c r="AC120" s="17" t="n"/>
      <ns0:c r="AD120" s="17" t="n"/>
      <ns0:c r="AE120" s="17" t="n"/>
      <ns0:c r="AF120" s="17" t="n"/>
      <ns0:c r="AG120" s="17" t="n"/>
    </ns0:row>
    <ns0:row r="121" ht="24" customHeight="1">
      <ns0:c r="D121" s="17" t="n"/>
      <ns0:c r="E121" s="17" t="n"/>
      <ns0:c r="F121" s="17" t="n"/>
      <ns0:c r="G121" s="17" t="n"/>
      <ns0:c r="H121" s="17" t="n"/>
      <ns0:c r="I121" s="17" t="n"/>
      <ns0:c r="J121" s="17" t="n"/>
      <ns0:c r="K121" s="17" t="n"/>
      <ns0:c r="L121" s="17" t="n"/>
      <ns0:c r="M121" s="17" t="n"/>
      <ns0:c r="N121" s="17" t="n"/>
      <ns0:c r="O121" s="17" t="n"/>
      <ns0:c r="P121" s="17" t="n"/>
      <ns0:c r="Q121" s="17" t="n"/>
      <ns0:c r="R121" s="17" t="n"/>
      <ns0:c r="S121" s="17" t="n"/>
      <ns0:c r="T121" s="17" t="n"/>
      <ns0:c r="U121" s="17" t="n"/>
      <ns0:c r="V121" s="17" t="n"/>
      <ns0:c r="W121" s="17" t="n"/>
      <ns0:c r="X121" s="17" t="n"/>
      <ns0:c r="Y121" s="17" t="n"/>
      <ns0:c r="Z121" s="17" t="n"/>
      <ns0:c r="AA121" s="17" t="n"/>
      <ns0:c r="AB121" s="17" t="n"/>
      <ns0:c r="AC121" s="17" t="n"/>
      <ns0:c r="AD121" s="17" t="n"/>
      <ns0:c r="AE121" s="17" t="n"/>
      <ns0:c r="AF121" s="17" t="n"/>
      <ns0:c r="AG121" s="17" t="n"/>
    </ns0:row>
    <ns0:row r="122" ht="24" customHeight="1">
      <ns0:c r="D122" s="17" t="n"/>
      <ns0:c r="E122" s="17" t="n"/>
      <ns0:c r="F122" s="17" t="n"/>
      <ns0:c r="G122" s="17" t="n"/>
      <ns0:c r="H122" s="17" t="n"/>
      <ns0:c r="I122" s="17" t="n"/>
      <ns0:c r="J122" s="17" t="n"/>
      <ns0:c r="K122" s="17" t="n"/>
      <ns0:c r="L122" s="17" t="n"/>
      <ns0:c r="M122" s="17" t="n"/>
      <ns0:c r="N122" s="17" t="n"/>
      <ns0:c r="O122" s="17" t="n"/>
      <ns0:c r="P122" s="17" t="n"/>
      <ns0:c r="Q122" s="17" t="n"/>
      <ns0:c r="R122" s="17" t="n"/>
      <ns0:c r="S122" s="17" t="n"/>
      <ns0:c r="T122" s="17" t="n"/>
      <ns0:c r="U122" s="17" t="n"/>
      <ns0:c r="V122" s="17" t="n"/>
      <ns0:c r="W122" s="17" t="n"/>
      <ns0:c r="X122" s="17" t="n"/>
      <ns0:c r="Y122" s="17" t="n"/>
      <ns0:c r="Z122" s="17" t="n"/>
      <ns0:c r="AA122" s="17" t="n"/>
      <ns0:c r="AB122" s="17" t="n"/>
      <ns0:c r="AC122" s="17" t="n"/>
      <ns0:c r="AD122" s="17" t="n"/>
      <ns0:c r="AE122" s="17" t="n"/>
      <ns0:c r="AF122" s="17" t="n"/>
      <ns0:c r="AG122" s="17" t="n"/>
    </ns0:row>
    <ns0:row r="123" ht="24" customHeight="1">
      <ns0:c r="D123" s="17" t="n"/>
      <ns0:c r="E123" s="17" t="n"/>
      <ns0:c r="F123" s="17" t="n"/>
      <ns0:c r="G123" s="17" t="n"/>
      <ns0:c r="H123" s="17" t="n"/>
      <ns0:c r="I123" s="17" t="n"/>
      <ns0:c r="J123" s="17" t="n"/>
      <ns0:c r="K123" s="17" t="n"/>
      <ns0:c r="L123" s="17" t="n"/>
      <ns0:c r="M123" s="17" t="n"/>
      <ns0:c r="N123" s="17" t="n"/>
      <ns0:c r="O123" s="17" t="n"/>
      <ns0:c r="P123" s="17" t="n"/>
      <ns0:c r="Q123" s="17" t="n"/>
      <ns0:c r="R123" s="17" t="n"/>
      <ns0:c r="S123" s="17" t="n"/>
      <ns0:c r="T123" s="17" t="n"/>
      <ns0:c r="U123" s="17" t="n"/>
      <ns0:c r="V123" s="17" t="n"/>
      <ns0:c r="W123" s="17" t="n"/>
      <ns0:c r="X123" s="17" t="n"/>
      <ns0:c r="Y123" s="17" t="n"/>
      <ns0:c r="Z123" s="17" t="n"/>
      <ns0:c r="AA123" s="17" t="n"/>
      <ns0:c r="AB123" s="17" t="n"/>
      <ns0:c r="AC123" s="17" t="n"/>
      <ns0:c r="AD123" s="17" t="n"/>
      <ns0:c r="AE123" s="17" t="n"/>
      <ns0:c r="AF123" s="17" t="n"/>
      <ns0:c r="AG123" s="17" t="n"/>
    </ns0:row>
    <ns0:row r="124" ht="24" customHeight="1">
      <ns0:c r="D124" s="17" t="n"/>
      <ns0:c r="E124" s="17" t="n"/>
      <ns0:c r="F124" s="17" t="n"/>
      <ns0:c r="G124" s="17" t="n"/>
      <ns0:c r="H124" s="17" t="n"/>
      <ns0:c r="I124" s="17" t="n"/>
      <ns0:c r="J124" s="17" t="n"/>
      <ns0:c r="K124" s="17" t="n"/>
      <ns0:c r="L124" s="17" t="n"/>
      <ns0:c r="M124" s="17" t="n"/>
      <ns0:c r="N124" s="17" t="n"/>
      <ns0:c r="O124" s="17" t="n"/>
      <ns0:c r="P124" s="17" t="n"/>
      <ns0:c r="Q124" s="17" t="n"/>
      <ns0:c r="R124" s="17" t="n"/>
      <ns0:c r="S124" s="17" t="n"/>
      <ns0:c r="T124" s="17" t="n"/>
      <ns0:c r="U124" s="17" t="n"/>
      <ns0:c r="V124" s="17" t="n"/>
      <ns0:c r="W124" s="17" t="n"/>
      <ns0:c r="X124" s="17" t="n"/>
      <ns0:c r="Y124" s="17" t="n"/>
      <ns0:c r="Z124" s="17" t="n"/>
      <ns0:c r="AA124" s="17" t="n"/>
      <ns0:c r="AB124" s="17" t="n"/>
      <ns0:c r="AC124" s="17" t="n"/>
      <ns0:c r="AD124" s="17" t="n"/>
      <ns0:c r="AE124" s="17" t="n"/>
      <ns0:c r="AF124" s="17" t="n"/>
      <ns0:c r="AG124" s="17" t="n"/>
    </ns0:row>
    <ns0:row r="125" ht="24" customHeight="1">
      <ns0:c r="D125" s="17" t="n"/>
      <ns0:c r="E125" s="17" t="n"/>
      <ns0:c r="F125" s="17" t="n"/>
      <ns0:c r="G125" s="17" t="n"/>
      <ns0:c r="H125" s="17" t="n"/>
      <ns0:c r="I125" s="17" t="n"/>
      <ns0:c r="J125" s="17" t="n"/>
      <ns0:c r="K125" s="17" t="n"/>
      <ns0:c r="L125" s="17" t="n"/>
      <ns0:c r="M125" s="17" t="n"/>
      <ns0:c r="N125" s="17" t="n"/>
      <ns0:c r="O125" s="17" t="n"/>
      <ns0:c r="P125" s="17" t="n"/>
      <ns0:c r="Q125" s="17" t="n"/>
      <ns0:c r="R125" s="17" t="n"/>
      <ns0:c r="S125" s="17" t="n"/>
      <ns0:c r="T125" s="17" t="n"/>
      <ns0:c r="U125" s="17" t="n"/>
      <ns0:c r="V125" s="17" t="n"/>
      <ns0:c r="W125" s="17" t="n"/>
      <ns0:c r="X125" s="17" t="n"/>
      <ns0:c r="Y125" s="17" t="n"/>
      <ns0:c r="Z125" s="17" t="n"/>
      <ns0:c r="AA125" s="17" t="n"/>
      <ns0:c r="AB125" s="17" t="n"/>
      <ns0:c r="AC125" s="17" t="n"/>
      <ns0:c r="AD125" s="17" t="n"/>
      <ns0:c r="AE125" s="17" t="n"/>
      <ns0:c r="AF125" s="17" t="n"/>
      <ns0:c r="AG125" s="17" t="n"/>
    </ns0:row>
    <ns0:row r="126" ht="24" customHeight="1">
      <ns0:c r="D126" s="17" t="n"/>
      <ns0:c r="E126" s="17" t="n"/>
      <ns0:c r="F126" s="17" t="n"/>
      <ns0:c r="G126" s="17" t="n"/>
      <ns0:c r="H126" s="17" t="n"/>
      <ns0:c r="I126" s="17" t="n"/>
      <ns0:c r="J126" s="17" t="n"/>
      <ns0:c r="K126" s="17" t="n"/>
      <ns0:c r="L126" s="17" t="n"/>
      <ns0:c r="M126" s="17" t="n"/>
      <ns0:c r="N126" s="17" t="n"/>
      <ns0:c r="O126" s="17" t="n"/>
      <ns0:c r="P126" s="17" t="n"/>
      <ns0:c r="Q126" s="17" t="n"/>
      <ns0:c r="R126" s="17" t="n"/>
      <ns0:c r="S126" s="17" t="n"/>
      <ns0:c r="T126" s="17" t="n"/>
      <ns0:c r="U126" s="17" t="n"/>
      <ns0:c r="V126" s="17" t="n"/>
      <ns0:c r="W126" s="17" t="n"/>
      <ns0:c r="X126" s="17" t="n"/>
      <ns0:c r="Y126" s="17" t="n"/>
      <ns0:c r="Z126" s="17" t="n"/>
      <ns0:c r="AA126" s="17" t="n"/>
      <ns0:c r="AB126" s="17" t="n"/>
      <ns0:c r="AC126" s="17" t="n"/>
      <ns0:c r="AD126" s="17" t="n"/>
      <ns0:c r="AE126" s="17" t="n"/>
      <ns0:c r="AF126" s="17" t="n"/>
      <ns0:c r="AG126" s="17" t="n"/>
    </ns0:row>
    <ns0:row r="127" ht="24" customHeight="1">
      <ns0:c r="D127" s="17" t="n"/>
      <ns0:c r="E127" s="17" t="n"/>
      <ns0:c r="F127" s="17" t="n"/>
      <ns0:c r="G127" s="17" t="n"/>
      <ns0:c r="H127" s="17" t="n"/>
      <ns0:c r="I127" s="17" t="n"/>
      <ns0:c r="J127" s="17" t="n"/>
      <ns0:c r="K127" s="17" t="n"/>
      <ns0:c r="L127" s="17" t="n"/>
      <ns0:c r="M127" s="17" t="n"/>
      <ns0:c r="N127" s="17" t="n"/>
      <ns0:c r="O127" s="17" t="n"/>
      <ns0:c r="P127" s="17" t="n"/>
      <ns0:c r="Q127" s="17" t="n"/>
      <ns0:c r="R127" s="17" t="n"/>
      <ns0:c r="S127" s="17" t="n"/>
      <ns0:c r="T127" s="17" t="n"/>
      <ns0:c r="U127" s="17" t="n"/>
      <ns0:c r="V127" s="17" t="n"/>
      <ns0:c r="W127" s="17" t="n"/>
      <ns0:c r="X127" s="17" t="n"/>
      <ns0:c r="Y127" s="17" t="n"/>
      <ns0:c r="Z127" s="17" t="n"/>
      <ns0:c r="AA127" s="17" t="n"/>
      <ns0:c r="AB127" s="17" t="n"/>
      <ns0:c r="AC127" s="17" t="n"/>
      <ns0:c r="AD127" s="17" t="n"/>
      <ns0:c r="AE127" s="17" t="n"/>
      <ns0:c r="AF127" s="17" t="n"/>
      <ns0:c r="AG127" s="17" t="n"/>
    </ns0:row>
    <ns0:row r="128" ht="24" customHeight="1">
      <ns0:c r="D128" s="17" t="n"/>
      <ns0:c r="E128" s="17" t="n"/>
      <ns0:c r="F128" s="17" t="n"/>
      <ns0:c r="G128" s="17" t="n"/>
      <ns0:c r="H128" s="17" t="n"/>
      <ns0:c r="I128" s="17" t="n"/>
      <ns0:c r="J128" s="17" t="n"/>
      <ns0:c r="K128" s="17" t="n"/>
      <ns0:c r="L128" s="17" t="n"/>
      <ns0:c r="M128" s="17" t="n"/>
      <ns0:c r="N128" s="17" t="n"/>
      <ns0:c r="O128" s="17" t="n"/>
      <ns0:c r="P128" s="17" t="n"/>
      <ns0:c r="Q128" s="17" t="n"/>
      <ns0:c r="R128" s="17" t="n"/>
      <ns0:c r="S128" s="17" t="n"/>
      <ns0:c r="T128" s="17" t="n"/>
      <ns0:c r="U128" s="17" t="n"/>
      <ns0:c r="V128" s="17" t="n"/>
      <ns0:c r="W128" s="17" t="n"/>
      <ns0:c r="X128" s="17" t="n"/>
      <ns0:c r="Y128" s="17" t="n"/>
      <ns0:c r="Z128" s="17" t="n"/>
      <ns0:c r="AA128" s="17" t="n"/>
      <ns0:c r="AB128" s="17" t="n"/>
      <ns0:c r="AC128" s="17" t="n"/>
      <ns0:c r="AD128" s="17" t="n"/>
      <ns0:c r="AE128" s="17" t="n"/>
      <ns0:c r="AF128" s="17" t="n"/>
      <ns0:c r="AG128" s="17" t="n"/>
    </ns0:row>
    <ns0:row r="129" ht="24" customHeight="1">
      <ns0:c r="D129" s="17" t="n"/>
      <ns0:c r="E129" s="17" t="n"/>
      <ns0:c r="F129" s="17" t="n"/>
      <ns0:c r="G129" s="17" t="n"/>
      <ns0:c r="H129" s="17" t="n"/>
      <ns0:c r="I129" s="17" t="n"/>
      <ns0:c r="J129" s="17" t="n"/>
      <ns0:c r="K129" s="17" t="n"/>
      <ns0:c r="L129" s="17" t="n"/>
      <ns0:c r="M129" s="17" t="n"/>
      <ns0:c r="N129" s="17" t="n"/>
      <ns0:c r="O129" s="17" t="n"/>
      <ns0:c r="P129" s="17" t="n"/>
      <ns0:c r="Q129" s="17" t="n"/>
      <ns0:c r="R129" s="17" t="n"/>
      <ns0:c r="S129" s="17" t="n"/>
      <ns0:c r="T129" s="17" t="n"/>
      <ns0:c r="U129" s="17" t="n"/>
      <ns0:c r="V129" s="17" t="n"/>
      <ns0:c r="W129" s="17" t="n"/>
      <ns0:c r="X129" s="17" t="n"/>
      <ns0:c r="Y129" s="17" t="n"/>
      <ns0:c r="Z129" s="17" t="n"/>
      <ns0:c r="AA129" s="17" t="n"/>
      <ns0:c r="AB129" s="17" t="n"/>
      <ns0:c r="AC129" s="17" t="n"/>
      <ns0:c r="AD129" s="17" t="n"/>
      <ns0:c r="AE129" s="17" t="n"/>
      <ns0:c r="AF129" s="17" t="n"/>
      <ns0:c r="AG129" s="17" t="n"/>
    </ns0:row>
    <ns0:row r="130" ht="24" customHeight="1">
      <ns0:c r="D130" s="17" t="n"/>
      <ns0:c r="E130" s="17" t="n"/>
      <ns0:c r="F130" s="17" t="n"/>
      <ns0:c r="G130" s="17" t="n"/>
      <ns0:c r="H130" s="17" t="n"/>
      <ns0:c r="I130" s="17" t="n"/>
      <ns0:c r="J130" s="17" t="n"/>
      <ns0:c r="K130" s="17" t="n"/>
      <ns0:c r="L130" s="17" t="n"/>
      <ns0:c r="M130" s="17" t="n"/>
      <ns0:c r="N130" s="17" t="n"/>
      <ns0:c r="O130" s="17" t="n"/>
      <ns0:c r="P130" s="17" t="n"/>
      <ns0:c r="Q130" s="17" t="n"/>
      <ns0:c r="R130" s="17" t="n"/>
      <ns0:c r="S130" s="17" t="n"/>
      <ns0:c r="T130" s="17" t="n"/>
      <ns0:c r="U130" s="17" t="n"/>
      <ns0:c r="V130" s="17" t="n"/>
      <ns0:c r="W130" s="17" t="n"/>
      <ns0:c r="X130" s="17" t="n"/>
      <ns0:c r="Y130" s="17" t="n"/>
      <ns0:c r="Z130" s="17" t="n"/>
      <ns0:c r="AA130" s="17" t="n"/>
      <ns0:c r="AB130" s="17" t="n"/>
      <ns0:c r="AC130" s="17" t="n"/>
      <ns0:c r="AD130" s="17" t="n"/>
      <ns0:c r="AE130" s="17" t="n"/>
      <ns0:c r="AF130" s="17" t="n"/>
      <ns0:c r="AG130" s="17" t="n"/>
    </ns0:row>
    <ns0:row r="131" ht="24" customHeight="1">
      <ns0:c r="D131" s="17" t="n"/>
      <ns0:c r="E131" s="17" t="n"/>
      <ns0:c r="F131" s="17" t="n"/>
      <ns0:c r="G131" s="17" t="n"/>
      <ns0:c r="H131" s="17" t="n"/>
      <ns0:c r="I131" s="17" t="n"/>
      <ns0:c r="J131" s="17" t="n"/>
      <ns0:c r="K131" s="17" t="n"/>
      <ns0:c r="L131" s="17" t="n"/>
      <ns0:c r="M131" s="17" t="n"/>
      <ns0:c r="N131" s="17" t="n"/>
      <ns0:c r="O131" s="17" t="n"/>
      <ns0:c r="P131" s="17" t="n"/>
      <ns0:c r="Q131" s="17" t="n"/>
      <ns0:c r="R131" s="17" t="n"/>
      <ns0:c r="S131" s="17" t="n"/>
      <ns0:c r="T131" s="17" t="n"/>
      <ns0:c r="U131" s="17" t="n"/>
      <ns0:c r="V131" s="17" t="n"/>
      <ns0:c r="W131" s="17" t="n"/>
      <ns0:c r="X131" s="17" t="n"/>
      <ns0:c r="Y131" s="17" t="n"/>
      <ns0:c r="Z131" s="17" t="n"/>
      <ns0:c r="AA131" s="17" t="n"/>
      <ns0:c r="AB131" s="17" t="n"/>
      <ns0:c r="AC131" s="17" t="n"/>
      <ns0:c r="AD131" s="17" t="n"/>
      <ns0:c r="AE131" s="17" t="n"/>
      <ns0:c r="AF131" s="17" t="n"/>
      <ns0:c r="AG131" s="17" t="n"/>
    </ns0:row>
    <ns0:row r="132" ht="24" customHeight="1">
      <ns0:c r="D132" s="17" t="n"/>
      <ns0:c r="E132" s="17" t="n"/>
      <ns0:c r="F132" s="17" t="n"/>
      <ns0:c r="G132" s="17" t="n"/>
      <ns0:c r="H132" s="17" t="n"/>
      <ns0:c r="I132" s="17" t="n"/>
      <ns0:c r="J132" s="17" t="n"/>
      <ns0:c r="K132" s="17" t="n"/>
      <ns0:c r="L132" s="17" t="n"/>
      <ns0:c r="M132" s="17" t="n"/>
      <ns0:c r="N132" s="17" t="n"/>
      <ns0:c r="O132" s="17" t="n"/>
      <ns0:c r="P132" s="17" t="n"/>
      <ns0:c r="Q132" s="17" t="n"/>
      <ns0:c r="R132" s="17" t="n"/>
      <ns0:c r="S132" s="17" t="n"/>
      <ns0:c r="T132" s="17" t="n"/>
      <ns0:c r="U132" s="17" t="n"/>
      <ns0:c r="V132" s="17" t="n"/>
      <ns0:c r="W132" s="17" t="n"/>
      <ns0:c r="X132" s="17" t="n"/>
      <ns0:c r="Y132" s="17" t="n"/>
      <ns0:c r="Z132" s="17" t="n"/>
      <ns0:c r="AA132" s="17" t="n"/>
      <ns0:c r="AB132" s="17" t="n"/>
      <ns0:c r="AC132" s="17" t="n"/>
      <ns0:c r="AD132" s="17" t="n"/>
      <ns0:c r="AE132" s="17" t="n"/>
      <ns0:c r="AF132" s="17" t="n"/>
      <ns0:c r="AG132" s="17" t="n"/>
    </ns0:row>
    <ns0:row r="133" ht="24" customHeight="1">
      <ns0:c r="D133" s="17" t="n"/>
      <ns0:c r="E133" s="17" t="n"/>
      <ns0:c r="F133" s="17" t="n"/>
      <ns0:c r="G133" s="17" t="n"/>
      <ns0:c r="H133" s="17" t="n"/>
      <ns0:c r="I133" s="17" t="n"/>
      <ns0:c r="J133" s="17" t="n"/>
      <ns0:c r="K133" s="17" t="n"/>
      <ns0:c r="L133" s="17" t="n"/>
      <ns0:c r="M133" s="17" t="n"/>
      <ns0:c r="N133" s="17" t="n"/>
      <ns0:c r="O133" s="17" t="n"/>
      <ns0:c r="P133" s="17" t="n"/>
      <ns0:c r="Q133" s="17" t="n"/>
      <ns0:c r="R133" s="17" t="n"/>
      <ns0:c r="S133" s="17" t="n"/>
      <ns0:c r="T133" s="17" t="n"/>
      <ns0:c r="U133" s="17" t="n"/>
      <ns0:c r="V133" s="17" t="n"/>
      <ns0:c r="W133" s="17" t="n"/>
      <ns0:c r="X133" s="17" t="n"/>
      <ns0:c r="Y133" s="17" t="n"/>
      <ns0:c r="Z133" s="17" t="n"/>
      <ns0:c r="AA133" s="17" t="n"/>
      <ns0:c r="AB133" s="17" t="n"/>
      <ns0:c r="AC133" s="17" t="n"/>
      <ns0:c r="AD133" s="17" t="n"/>
      <ns0:c r="AE133" s="17" t="n"/>
      <ns0:c r="AF133" s="17" t="n"/>
      <ns0:c r="AG133" s="17" t="n"/>
    </ns0:row>
    <ns0:row r="134" ht="24" customHeight="1">
      <ns0:c r="D134" s="17" t="n"/>
      <ns0:c r="E134" s="17" t="n"/>
      <ns0:c r="F134" s="17" t="n"/>
      <ns0:c r="G134" s="17" t="n"/>
      <ns0:c r="H134" s="17" t="n"/>
      <ns0:c r="I134" s="17" t="n"/>
      <ns0:c r="J134" s="17" t="n"/>
      <ns0:c r="K134" s="17" t="n"/>
      <ns0:c r="L134" s="17" t="n"/>
      <ns0:c r="M134" s="17" t="n"/>
      <ns0:c r="N134" s="17" t="n"/>
      <ns0:c r="O134" s="17" t="n"/>
      <ns0:c r="P134" s="17" t="n"/>
      <ns0:c r="Q134" s="17" t="n"/>
      <ns0:c r="R134" s="17" t="n"/>
      <ns0:c r="S134" s="17" t="n"/>
      <ns0:c r="T134" s="17" t="n"/>
      <ns0:c r="U134" s="17" t="n"/>
      <ns0:c r="V134" s="17" t="n"/>
      <ns0:c r="W134" s="17" t="n"/>
      <ns0:c r="X134" s="17" t="n"/>
      <ns0:c r="Y134" s="17" t="n"/>
      <ns0:c r="Z134" s="17" t="n"/>
      <ns0:c r="AA134" s="17" t="n"/>
      <ns0:c r="AB134" s="17" t="n"/>
      <ns0:c r="AC134" s="17" t="n"/>
      <ns0:c r="AD134" s="17" t="n"/>
      <ns0:c r="AE134" s="17" t="n"/>
      <ns0:c r="AF134" s="17" t="n"/>
      <ns0:c r="AG134" s="17" t="n"/>
    </ns0:row>
    <ns0:row r="135" ht="24" customHeight="1">
      <ns0:c r="D135" s="17" t="n"/>
      <ns0:c r="E135" s="17" t="n"/>
      <ns0:c r="F135" s="17" t="n"/>
      <ns0:c r="G135" s="17" t="n"/>
      <ns0:c r="H135" s="17" t="n"/>
      <ns0:c r="I135" s="17" t="n"/>
      <ns0:c r="J135" s="17" t="n"/>
      <ns0:c r="K135" s="17" t="n"/>
      <ns0:c r="L135" s="17" t="n"/>
      <ns0:c r="M135" s="17" t="n"/>
      <ns0:c r="N135" s="17" t="n"/>
      <ns0:c r="O135" s="17" t="n"/>
      <ns0:c r="P135" s="17" t="n"/>
      <ns0:c r="Q135" s="17" t="n"/>
      <ns0:c r="R135" s="17" t="n"/>
      <ns0:c r="S135" s="17" t="n"/>
      <ns0:c r="T135" s="17" t="n"/>
      <ns0:c r="U135" s="17" t="n"/>
      <ns0:c r="V135" s="17" t="n"/>
      <ns0:c r="W135" s="17" t="n"/>
      <ns0:c r="X135" s="17" t="n"/>
      <ns0:c r="Y135" s="17" t="n"/>
      <ns0:c r="Z135" s="17" t="n"/>
      <ns0:c r="AA135" s="17" t="n"/>
      <ns0:c r="AB135" s="17" t="n"/>
      <ns0:c r="AC135" s="17" t="n"/>
      <ns0:c r="AD135" s="17" t="n"/>
      <ns0:c r="AE135" s="17" t="n"/>
      <ns0:c r="AF135" s="17" t="n"/>
      <ns0:c r="AG135" s="17" t="n"/>
    </ns0:row>
    <ns0:row r="136" ht="24" customHeight="1">
      <ns0:c r="D136" s="17" t="n"/>
      <ns0:c r="E136" s="17" t="n"/>
      <ns0:c r="F136" s="17" t="n"/>
      <ns0:c r="G136" s="17" t="n"/>
      <ns0:c r="H136" s="17" t="n"/>
      <ns0:c r="I136" s="17" t="n"/>
      <ns0:c r="J136" s="17" t="n"/>
      <ns0:c r="K136" s="17" t="n"/>
      <ns0:c r="L136" s="17" t="n"/>
      <ns0:c r="M136" s="17" t="n"/>
      <ns0:c r="N136" s="17" t="n"/>
      <ns0:c r="O136" s="17" t="n"/>
      <ns0:c r="P136" s="17" t="n"/>
      <ns0:c r="Q136" s="17" t="n"/>
      <ns0:c r="R136" s="17" t="n"/>
      <ns0:c r="S136" s="17" t="n"/>
      <ns0:c r="T136" s="17" t="n"/>
      <ns0:c r="U136" s="17" t="n"/>
      <ns0:c r="V136" s="17" t="n"/>
      <ns0:c r="W136" s="17" t="n"/>
      <ns0:c r="X136" s="17" t="n"/>
      <ns0:c r="Y136" s="17" t="n"/>
      <ns0:c r="Z136" s="17" t="n"/>
      <ns0:c r="AA136" s="17" t="n"/>
      <ns0:c r="AB136" s="17" t="n"/>
      <ns0:c r="AC136" s="17" t="n"/>
      <ns0:c r="AD136" s="17" t="n"/>
      <ns0:c r="AE136" s="17" t="n"/>
      <ns0:c r="AF136" s="17" t="n"/>
      <ns0:c r="AG136" s="17" t="n"/>
    </ns0:row>
    <ns0:row r="137" ht="24" customHeight="1">
      <ns0:c r="D137" s="17" t="n"/>
      <ns0:c r="E137" s="17" t="n"/>
      <ns0:c r="F137" s="17" t="n"/>
      <ns0:c r="G137" s="17" t="n"/>
      <ns0:c r="H137" s="17" t="n"/>
      <ns0:c r="I137" s="17" t="n"/>
      <ns0:c r="J137" s="17" t="n"/>
      <ns0:c r="K137" s="17" t="n"/>
      <ns0:c r="L137" s="17" t="n"/>
      <ns0:c r="M137" s="17" t="n"/>
      <ns0:c r="N137" s="17" t="n"/>
      <ns0:c r="O137" s="17" t="n"/>
      <ns0:c r="P137" s="17" t="n"/>
      <ns0:c r="Q137" s="17" t="n"/>
      <ns0:c r="R137" s="17" t="n"/>
      <ns0:c r="S137" s="17" t="n"/>
      <ns0:c r="T137" s="17" t="n"/>
      <ns0:c r="U137" s="17" t="n"/>
      <ns0:c r="V137" s="17" t="n"/>
      <ns0:c r="W137" s="17" t="n"/>
      <ns0:c r="X137" s="17" t="n"/>
      <ns0:c r="Y137" s="17" t="n"/>
      <ns0:c r="Z137" s="17" t="n"/>
      <ns0:c r="AA137" s="17" t="n"/>
      <ns0:c r="AB137" s="17" t="n"/>
      <ns0:c r="AC137" s="17" t="n"/>
      <ns0:c r="AD137" s="17" t="n"/>
      <ns0:c r="AE137" s="17" t="n"/>
      <ns0:c r="AF137" s="17" t="n"/>
      <ns0:c r="AG137" s="17" t="n"/>
    </ns0:row>
    <ns0:row r="138" ht="24" customHeight="1">
      <ns0:c r="D138" s="17" t="n"/>
      <ns0:c r="E138" s="17" t="n"/>
      <ns0:c r="F138" s="17" t="n"/>
      <ns0:c r="G138" s="17" t="n"/>
      <ns0:c r="H138" s="17" t="n"/>
      <ns0:c r="I138" s="17" t="n"/>
      <ns0:c r="J138" s="17" t="n"/>
      <ns0:c r="K138" s="17" t="n"/>
      <ns0:c r="L138" s="17" t="n"/>
      <ns0:c r="M138" s="17" t="n"/>
      <ns0:c r="N138" s="17" t="n"/>
      <ns0:c r="O138" s="17" t="n"/>
      <ns0:c r="P138" s="17" t="n"/>
      <ns0:c r="Q138" s="17" t="n"/>
      <ns0:c r="R138" s="17" t="n"/>
      <ns0:c r="S138" s="17" t="n"/>
      <ns0:c r="T138" s="17" t="n"/>
      <ns0:c r="U138" s="17" t="n"/>
      <ns0:c r="V138" s="17" t="n"/>
      <ns0:c r="W138" s="17" t="n"/>
      <ns0:c r="X138" s="17" t="n"/>
      <ns0:c r="Y138" s="17" t="n"/>
      <ns0:c r="Z138" s="17" t="n"/>
      <ns0:c r="AA138" s="17" t="n"/>
      <ns0:c r="AB138" s="17" t="n"/>
      <ns0:c r="AC138" s="17" t="n"/>
      <ns0:c r="AD138" s="17" t="n"/>
      <ns0:c r="AE138" s="17" t="n"/>
      <ns0:c r="AF138" s="17" t="n"/>
      <ns0:c r="AG138" s="17" t="n"/>
    </ns0:row>
    <ns0:row r="139" ht="24" customHeight="1">
      <ns0:c r="D139" s="17" t="n"/>
      <ns0:c r="E139" s="17" t="n"/>
      <ns0:c r="F139" s="17" t="n"/>
      <ns0:c r="G139" s="17" t="n"/>
      <ns0:c r="H139" s="17" t="n"/>
      <ns0:c r="I139" s="17" t="n"/>
      <ns0:c r="J139" s="17" t="n"/>
      <ns0:c r="K139" s="17" t="n"/>
      <ns0:c r="L139" s="17" t="n"/>
      <ns0:c r="M139" s="17" t="n"/>
      <ns0:c r="N139" s="17" t="n"/>
      <ns0:c r="O139" s="17" t="n"/>
      <ns0:c r="P139" s="17" t="n"/>
      <ns0:c r="Q139" s="17" t="n"/>
      <ns0:c r="R139" s="17" t="n"/>
      <ns0:c r="S139" s="17" t="n"/>
      <ns0:c r="T139" s="17" t="n"/>
      <ns0:c r="U139" s="17" t="n"/>
      <ns0:c r="V139" s="17" t="n"/>
      <ns0:c r="W139" s="17" t="n"/>
      <ns0:c r="X139" s="17" t="n"/>
      <ns0:c r="Y139" s="17" t="n"/>
      <ns0:c r="Z139" s="17" t="n"/>
      <ns0:c r="AA139" s="17" t="n"/>
      <ns0:c r="AB139" s="17" t="n"/>
      <ns0:c r="AC139" s="17" t="n"/>
      <ns0:c r="AD139" s="17" t="n"/>
      <ns0:c r="AE139" s="17" t="n"/>
      <ns0:c r="AF139" s="17" t="n"/>
      <ns0:c r="AG139" s="17" t="n"/>
    </ns0:row>
    <ns0:row r="140" ht="24" customHeight="1">
      <ns0:c r="D140" s="17" t="n"/>
      <ns0:c r="E140" s="17" t="n"/>
      <ns0:c r="F140" s="17" t="n"/>
      <ns0:c r="G140" s="17" t="n"/>
      <ns0:c r="H140" s="17" t="n"/>
      <ns0:c r="I140" s="17" t="n"/>
      <ns0:c r="J140" s="17" t="n"/>
      <ns0:c r="K140" s="17" t="n"/>
      <ns0:c r="L140" s="17" t="n"/>
      <ns0:c r="M140" s="17" t="n"/>
      <ns0:c r="N140" s="17" t="n"/>
      <ns0:c r="O140" s="17" t="n"/>
      <ns0:c r="P140" s="17" t="n"/>
      <ns0:c r="Q140" s="17" t="n"/>
      <ns0:c r="R140" s="17" t="n"/>
      <ns0:c r="S140" s="17" t="n"/>
      <ns0:c r="T140" s="17" t="n"/>
      <ns0:c r="U140" s="17" t="n"/>
      <ns0:c r="V140" s="17" t="n"/>
      <ns0:c r="W140" s="17" t="n"/>
      <ns0:c r="X140" s="17" t="n"/>
      <ns0:c r="Y140" s="17" t="n"/>
      <ns0:c r="Z140" s="17" t="n"/>
      <ns0:c r="AA140" s="17" t="n"/>
      <ns0:c r="AB140" s="17" t="n"/>
      <ns0:c r="AC140" s="17" t="n"/>
      <ns0:c r="AD140" s="17" t="n"/>
      <ns0:c r="AE140" s="17" t="n"/>
      <ns0:c r="AF140" s="17" t="n"/>
      <ns0:c r="AG140" s="17" t="n"/>
    </ns0:row>
    <ns0:row r="141" ht="24" customHeight="1">
      <ns0:c r="D141" s="17" t="n"/>
      <ns0:c r="E141" s="17" t="n"/>
      <ns0:c r="F141" s="17" t="n"/>
      <ns0:c r="G141" s="17" t="n"/>
      <ns0:c r="H141" s="17" t="n"/>
      <ns0:c r="I141" s="17" t="n"/>
      <ns0:c r="J141" s="17" t="n"/>
      <ns0:c r="K141" s="17" t="n"/>
      <ns0:c r="L141" s="17" t="n"/>
      <ns0:c r="M141" s="17" t="n"/>
      <ns0:c r="N141" s="17" t="n"/>
      <ns0:c r="O141" s="17" t="n"/>
      <ns0:c r="P141" s="17" t="n"/>
      <ns0:c r="Q141" s="17" t="n"/>
      <ns0:c r="R141" s="17" t="n"/>
      <ns0:c r="S141" s="17" t="n"/>
      <ns0:c r="T141" s="17" t="n"/>
      <ns0:c r="U141" s="17" t="n"/>
      <ns0:c r="V141" s="17" t="n"/>
      <ns0:c r="W141" s="17" t="n"/>
      <ns0:c r="X141" s="17" t="n"/>
      <ns0:c r="Y141" s="17" t="n"/>
      <ns0:c r="Z141" s="17" t="n"/>
      <ns0:c r="AA141" s="17" t="n"/>
      <ns0:c r="AB141" s="17" t="n"/>
      <ns0:c r="AC141" s="17" t="n"/>
      <ns0:c r="AD141" s="17" t="n"/>
      <ns0:c r="AE141" s="17" t="n"/>
      <ns0:c r="AF141" s="17" t="n"/>
      <ns0:c r="AG141" s="17" t="n"/>
    </ns0:row>
    <ns0:row r="142" ht="24" customHeight="1">
      <ns0:c r="D142" s="17" t="n"/>
      <ns0:c r="E142" s="17" t="n"/>
      <ns0:c r="F142" s="17" t="n"/>
      <ns0:c r="G142" s="17" t="n"/>
      <ns0:c r="H142" s="17" t="n"/>
      <ns0:c r="I142" s="17" t="n"/>
      <ns0:c r="J142" s="17" t="n"/>
      <ns0:c r="K142" s="17" t="n"/>
      <ns0:c r="L142" s="17" t="n"/>
      <ns0:c r="M142" s="17" t="n"/>
      <ns0:c r="N142" s="17" t="n"/>
      <ns0:c r="O142" s="17" t="n"/>
      <ns0:c r="P142" s="17" t="n"/>
      <ns0:c r="Q142" s="17" t="n"/>
      <ns0:c r="R142" s="17" t="n"/>
      <ns0:c r="S142" s="17" t="n"/>
      <ns0:c r="T142" s="17" t="n"/>
      <ns0:c r="U142" s="17" t="n"/>
      <ns0:c r="V142" s="17" t="n"/>
      <ns0:c r="W142" s="17" t="n"/>
      <ns0:c r="X142" s="17" t="n"/>
      <ns0:c r="Y142" s="17" t="n"/>
      <ns0:c r="Z142" s="17" t="n"/>
      <ns0:c r="AA142" s="17" t="n"/>
      <ns0:c r="AB142" s="17" t="n"/>
      <ns0:c r="AC142" s="17" t="n"/>
      <ns0:c r="AD142" s="17" t="n"/>
      <ns0:c r="AE142" s="17" t="n"/>
      <ns0:c r="AF142" s="17" t="n"/>
      <ns0:c r="AG142" s="17" t="n"/>
    </ns0:row>
    <ns0:row r="143" ht="24" customHeight="1">
      <ns0:c r="D143" s="17" t="n"/>
      <ns0:c r="E143" s="17" t="n"/>
      <ns0:c r="F143" s="17" t="n"/>
      <ns0:c r="G143" s="17" t="n"/>
      <ns0:c r="H143" s="17" t="n"/>
      <ns0:c r="I143" s="17" t="n"/>
      <ns0:c r="J143" s="17" t="n"/>
      <ns0:c r="K143" s="17" t="n"/>
      <ns0:c r="L143" s="17" t="n"/>
      <ns0:c r="M143" s="17" t="n"/>
      <ns0:c r="N143" s="17" t="n"/>
      <ns0:c r="O143" s="17" t="n"/>
      <ns0:c r="P143" s="17" t="n"/>
      <ns0:c r="Q143" s="17" t="n"/>
      <ns0:c r="R143" s="17" t="n"/>
      <ns0:c r="S143" s="17" t="n"/>
      <ns0:c r="T143" s="17" t="n"/>
      <ns0:c r="U143" s="17" t="n"/>
      <ns0:c r="V143" s="17" t="n"/>
      <ns0:c r="W143" s="17" t="n"/>
      <ns0:c r="X143" s="17" t="n"/>
      <ns0:c r="Y143" s="17" t="n"/>
      <ns0:c r="Z143" s="17" t="n"/>
      <ns0:c r="AA143" s="17" t="n"/>
      <ns0:c r="AB143" s="17" t="n"/>
      <ns0:c r="AC143" s="17" t="n"/>
      <ns0:c r="AD143" s="17" t="n"/>
      <ns0:c r="AE143" s="17" t="n"/>
      <ns0:c r="AF143" s="17" t="n"/>
      <ns0:c r="AG143" s="17" t="n"/>
    </ns0:row>
    <ns0:row r="144" ht="24" customHeight="1">
      <ns0:c r="D144" s="17" t="n"/>
      <ns0:c r="E144" s="17" t="n"/>
      <ns0:c r="F144" s="17" t="n"/>
      <ns0:c r="G144" s="17" t="n"/>
      <ns0:c r="H144" s="17" t="n"/>
      <ns0:c r="I144" s="17" t="n"/>
      <ns0:c r="J144" s="17" t="n"/>
      <ns0:c r="K144" s="17" t="n"/>
      <ns0:c r="L144" s="17" t="n"/>
      <ns0:c r="M144" s="17" t="n"/>
      <ns0:c r="N144" s="17" t="n"/>
      <ns0:c r="O144" s="17" t="n"/>
      <ns0:c r="P144" s="17" t="n"/>
      <ns0:c r="Q144" s="17" t="n"/>
      <ns0:c r="R144" s="17" t="n"/>
      <ns0:c r="S144" s="17" t="n"/>
      <ns0:c r="T144" s="17" t="n"/>
      <ns0:c r="U144" s="17" t="n"/>
      <ns0:c r="V144" s="17" t="n"/>
      <ns0:c r="W144" s="17" t="n"/>
      <ns0:c r="X144" s="17" t="n"/>
      <ns0:c r="Y144" s="17" t="n"/>
      <ns0:c r="Z144" s="17" t="n"/>
      <ns0:c r="AA144" s="17" t="n"/>
      <ns0:c r="AB144" s="17" t="n"/>
      <ns0:c r="AC144" s="17" t="n"/>
      <ns0:c r="AD144" s="17" t="n"/>
      <ns0:c r="AE144" s="17" t="n"/>
      <ns0:c r="AF144" s="17" t="n"/>
      <ns0:c r="AG144" s="17" t="n"/>
    </ns0:row>
    <ns0:row r="145" ht="24" customHeight="1">
      <ns0:c r="D145" s="17" t="n"/>
      <ns0:c r="E145" s="17" t="n"/>
      <ns0:c r="F145" s="17" t="n"/>
      <ns0:c r="G145" s="17" t="n"/>
      <ns0:c r="H145" s="17" t="n"/>
      <ns0:c r="I145" s="17" t="n"/>
      <ns0:c r="J145" s="17" t="n"/>
      <ns0:c r="K145" s="17" t="n"/>
      <ns0:c r="L145" s="17" t="n"/>
      <ns0:c r="M145" s="17" t="n"/>
      <ns0:c r="N145" s="17" t="n"/>
      <ns0:c r="O145" s="17" t="n"/>
      <ns0:c r="P145" s="17" t="n"/>
      <ns0:c r="Q145" s="17" t="n"/>
      <ns0:c r="R145" s="17" t="n"/>
      <ns0:c r="S145" s="17" t="n"/>
      <ns0:c r="T145" s="17" t="n"/>
      <ns0:c r="U145" s="17" t="n"/>
      <ns0:c r="V145" s="17" t="n"/>
      <ns0:c r="W145" s="17" t="n"/>
      <ns0:c r="X145" s="17" t="n"/>
      <ns0:c r="Y145" s="17" t="n"/>
      <ns0:c r="Z145" s="17" t="n"/>
      <ns0:c r="AA145" s="17" t="n"/>
      <ns0:c r="AB145" s="17" t="n"/>
      <ns0:c r="AC145" s="17" t="n"/>
      <ns0:c r="AD145" s="17" t="n"/>
      <ns0:c r="AE145" s="17" t="n"/>
      <ns0:c r="AF145" s="17" t="n"/>
      <ns0:c r="AG145" s="17" t="n"/>
    </ns0:row>
    <ns0:row r="146" ht="24" customHeight="1">
      <ns0:c r="D146" s="17" t="n"/>
      <ns0:c r="E146" s="17" t="n"/>
      <ns0:c r="F146" s="17" t="n"/>
      <ns0:c r="G146" s="17" t="n"/>
      <ns0:c r="H146" s="17" t="n"/>
      <ns0:c r="I146" s="17" t="n"/>
      <ns0:c r="J146" s="17" t="n"/>
      <ns0:c r="K146" s="17" t="n"/>
      <ns0:c r="L146" s="17" t="n"/>
      <ns0:c r="M146" s="17" t="n"/>
      <ns0:c r="N146" s="17" t="n"/>
      <ns0:c r="O146" s="17" t="n"/>
      <ns0:c r="P146" s="17" t="n"/>
      <ns0:c r="Q146" s="17" t="n"/>
      <ns0:c r="R146" s="17" t="n"/>
      <ns0:c r="S146" s="17" t="n"/>
      <ns0:c r="T146" s="17" t="n"/>
      <ns0:c r="U146" s="17" t="n"/>
      <ns0:c r="V146" s="17" t="n"/>
      <ns0:c r="W146" s="17" t="n"/>
      <ns0:c r="X146" s="17" t="n"/>
      <ns0:c r="Y146" s="17" t="n"/>
      <ns0:c r="Z146" s="17" t="n"/>
      <ns0:c r="AA146" s="17" t="n"/>
      <ns0:c r="AB146" s="17" t="n"/>
      <ns0:c r="AC146" s="17" t="n"/>
      <ns0:c r="AD146" s="17" t="n"/>
      <ns0:c r="AE146" s="17" t="n"/>
      <ns0:c r="AF146" s="17" t="n"/>
      <ns0:c r="AG146" s="17" t="n"/>
    </ns0:row>
    <ns0:row r="147" ht="24" customHeight="1">
      <ns0:c r="D147" s="17" t="n"/>
      <ns0:c r="E147" s="17" t="n"/>
      <ns0:c r="F147" s="17" t="n"/>
      <ns0:c r="G147" s="17" t="n"/>
      <ns0:c r="H147" s="17" t="n"/>
      <ns0:c r="I147" s="17" t="n"/>
      <ns0:c r="J147" s="17" t="n"/>
      <ns0:c r="K147" s="17" t="n"/>
      <ns0:c r="L147" s="17" t="n"/>
      <ns0:c r="M147" s="17" t="n"/>
      <ns0:c r="N147" s="17" t="n"/>
      <ns0:c r="O147" s="17" t="n"/>
      <ns0:c r="P147" s="17" t="n"/>
      <ns0:c r="Q147" s="17" t="n"/>
      <ns0:c r="R147" s="17" t="n"/>
      <ns0:c r="S147" s="17" t="n"/>
      <ns0:c r="T147" s="17" t="n"/>
      <ns0:c r="U147" s="17" t="n"/>
      <ns0:c r="V147" s="17" t="n"/>
      <ns0:c r="W147" s="17" t="n"/>
      <ns0:c r="X147" s="17" t="n"/>
      <ns0:c r="Y147" s="17" t="n"/>
      <ns0:c r="Z147" s="17" t="n"/>
      <ns0:c r="AA147" s="17" t="n"/>
      <ns0:c r="AB147" s="17" t="n"/>
      <ns0:c r="AC147" s="17" t="n"/>
      <ns0:c r="AD147" s="17" t="n"/>
      <ns0:c r="AE147" s="17" t="n"/>
      <ns0:c r="AF147" s="17" t="n"/>
      <ns0:c r="AG147" s="17" t="n"/>
    </ns0:row>
    <ns0:row r="148" ht="24" customHeight="1">
      <ns0:c r="D148" s="17" t="n"/>
      <ns0:c r="E148" s="17" t="n"/>
      <ns0:c r="F148" s="17" t="n"/>
      <ns0:c r="G148" s="17" t="n"/>
      <ns0:c r="H148" s="17" t="n"/>
      <ns0:c r="I148" s="17" t="n"/>
      <ns0:c r="J148" s="17" t="n"/>
      <ns0:c r="K148" s="17" t="n"/>
      <ns0:c r="L148" s="17" t="n"/>
      <ns0:c r="M148" s="17" t="n"/>
      <ns0:c r="N148" s="17" t="n"/>
      <ns0:c r="O148" s="17" t="n"/>
      <ns0:c r="P148" s="17" t="n"/>
      <ns0:c r="Q148" s="17" t="n"/>
      <ns0:c r="R148" s="17" t="n"/>
      <ns0:c r="S148" s="17" t="n"/>
      <ns0:c r="T148" s="17" t="n"/>
      <ns0:c r="U148" s="17" t="n"/>
      <ns0:c r="V148" s="17" t="n"/>
      <ns0:c r="W148" s="17" t="n"/>
      <ns0:c r="X148" s="17" t="n"/>
      <ns0:c r="Y148" s="17" t="n"/>
      <ns0:c r="Z148" s="17" t="n"/>
      <ns0:c r="AA148" s="17" t="n"/>
      <ns0:c r="AB148" s="17" t="n"/>
      <ns0:c r="AC148" s="17" t="n"/>
      <ns0:c r="AD148" s="17" t="n"/>
      <ns0:c r="AE148" s="17" t="n"/>
      <ns0:c r="AF148" s="17" t="n"/>
      <ns0:c r="AG148" s="17" t="n"/>
    </ns0:row>
    <ns0:row r="149" ht="24" customHeight="1">
      <ns0:c r="D149" s="17" t="n"/>
      <ns0:c r="E149" s="17" t="n"/>
      <ns0:c r="F149" s="17" t="n"/>
      <ns0:c r="G149" s="17" t="n"/>
      <ns0:c r="H149" s="17" t="n"/>
      <ns0:c r="I149" s="17" t="n"/>
      <ns0:c r="J149" s="17" t="n"/>
      <ns0:c r="K149" s="17" t="n"/>
      <ns0:c r="L149" s="17" t="n"/>
      <ns0:c r="M149" s="17" t="n"/>
      <ns0:c r="N149" s="17" t="n"/>
      <ns0:c r="O149" s="17" t="n"/>
      <ns0:c r="P149" s="17" t="n"/>
      <ns0:c r="Q149" s="17" t="n"/>
      <ns0:c r="R149" s="17" t="n"/>
      <ns0:c r="S149" s="17" t="n"/>
      <ns0:c r="T149" s="17" t="n"/>
      <ns0:c r="U149" s="17" t="n"/>
      <ns0:c r="V149" s="17" t="n"/>
      <ns0:c r="W149" s="17" t="n"/>
      <ns0:c r="X149" s="17" t="n"/>
      <ns0:c r="Y149" s="17" t="n"/>
      <ns0:c r="Z149" s="17" t="n"/>
      <ns0:c r="AA149" s="17" t="n"/>
      <ns0:c r="AB149" s="17" t="n"/>
      <ns0:c r="AC149" s="17" t="n"/>
      <ns0:c r="AD149" s="17" t="n"/>
      <ns0:c r="AE149" s="17" t="n"/>
      <ns0:c r="AF149" s="17" t="n"/>
      <ns0:c r="AG149" s="17" t="n"/>
    </ns0:row>
    <ns0:row r="150" ht="24" customHeight="1">
      <ns0:c r="D150" s="17" t="n"/>
      <ns0:c r="E150" s="17" t="n"/>
      <ns0:c r="F150" s="17" t="n"/>
      <ns0:c r="G150" s="17" t="n"/>
      <ns0:c r="H150" s="17" t="n"/>
      <ns0:c r="I150" s="17" t="n"/>
      <ns0:c r="J150" s="17" t="n"/>
      <ns0:c r="K150" s="17" t="n"/>
      <ns0:c r="L150" s="17" t="n"/>
      <ns0:c r="M150" s="17" t="n"/>
      <ns0:c r="N150" s="17" t="n"/>
      <ns0:c r="O150" s="17" t="n"/>
      <ns0:c r="P150" s="17" t="n"/>
      <ns0:c r="Q150" s="17" t="n"/>
      <ns0:c r="R150" s="17" t="n"/>
      <ns0:c r="S150" s="17" t="n"/>
      <ns0:c r="T150" s="17" t="n"/>
      <ns0:c r="U150" s="17" t="n"/>
      <ns0:c r="V150" s="17" t="n"/>
      <ns0:c r="W150" s="17" t="n"/>
      <ns0:c r="X150" s="17" t="n"/>
      <ns0:c r="Y150" s="17" t="n"/>
      <ns0:c r="Z150" s="17" t="n"/>
      <ns0:c r="AA150" s="17" t="n"/>
      <ns0:c r="AB150" s="17" t="n"/>
      <ns0:c r="AC150" s="17" t="n"/>
      <ns0:c r="AD150" s="17" t="n"/>
      <ns0:c r="AE150" s="17" t="n"/>
      <ns0:c r="AF150" s="17" t="n"/>
      <ns0:c r="AG150" s="17" t="n"/>
    </ns0:row>
    <ns0:row r="151" ht="24" customHeight="1">
      <ns0:c r="D151" s="17" t="n"/>
      <ns0:c r="E151" s="17" t="n"/>
      <ns0:c r="F151" s="17" t="n"/>
      <ns0:c r="G151" s="17" t="n"/>
      <ns0:c r="H151" s="17" t="n"/>
      <ns0:c r="I151" s="17" t="n"/>
      <ns0:c r="J151" s="17" t="n"/>
      <ns0:c r="K151" s="17" t="n"/>
      <ns0:c r="L151" s="17" t="n"/>
      <ns0:c r="M151" s="17" t="n"/>
      <ns0:c r="N151" s="17" t="n"/>
      <ns0:c r="O151" s="17" t="n"/>
      <ns0:c r="P151" s="17" t="n"/>
      <ns0:c r="Q151" s="17" t="n"/>
      <ns0:c r="R151" s="17" t="n"/>
      <ns0:c r="S151" s="17" t="n"/>
      <ns0:c r="T151" s="17" t="n"/>
      <ns0:c r="U151" s="17" t="n"/>
      <ns0:c r="V151" s="17" t="n"/>
      <ns0:c r="W151" s="17" t="n"/>
      <ns0:c r="X151" s="17" t="n"/>
      <ns0:c r="Y151" s="17" t="n"/>
      <ns0:c r="Z151" s="17" t="n"/>
      <ns0:c r="AA151" s="17" t="n"/>
      <ns0:c r="AB151" s="17" t="n"/>
      <ns0:c r="AC151" s="17" t="n"/>
      <ns0:c r="AD151" s="17" t="n"/>
      <ns0:c r="AE151" s="17" t="n"/>
      <ns0:c r="AF151" s="17" t="n"/>
      <ns0:c r="AG151" s="17" t="n"/>
    </ns0:row>
    <ns0:row r="152" ht="24" customHeight="1">
      <ns0:c r="D152" s="17" t="n"/>
      <ns0:c r="E152" s="17" t="n"/>
      <ns0:c r="F152" s="17" t="n"/>
      <ns0:c r="G152" s="17" t="n"/>
      <ns0:c r="H152" s="17" t="n"/>
      <ns0:c r="I152" s="17" t="n"/>
      <ns0:c r="J152" s="17" t="n"/>
      <ns0:c r="K152" s="17" t="n"/>
      <ns0:c r="L152" s="17" t="n"/>
      <ns0:c r="M152" s="17" t="n"/>
      <ns0:c r="N152" s="17" t="n"/>
      <ns0:c r="O152" s="17" t="n"/>
      <ns0:c r="P152" s="17" t="n"/>
      <ns0:c r="Q152" s="17" t="n"/>
      <ns0:c r="R152" s="17" t="n"/>
      <ns0:c r="S152" s="17" t="n"/>
      <ns0:c r="T152" s="17" t="n"/>
      <ns0:c r="U152" s="17" t="n"/>
      <ns0:c r="V152" s="17" t="n"/>
      <ns0:c r="W152" s="17" t="n"/>
      <ns0:c r="X152" s="17" t="n"/>
      <ns0:c r="Y152" s="17" t="n"/>
      <ns0:c r="Z152" s="17" t="n"/>
      <ns0:c r="AA152" s="17" t="n"/>
      <ns0:c r="AB152" s="17" t="n"/>
      <ns0:c r="AC152" s="17" t="n"/>
      <ns0:c r="AD152" s="17" t="n"/>
      <ns0:c r="AE152" s="17" t="n"/>
      <ns0:c r="AF152" s="17" t="n"/>
      <ns0:c r="AG152" s="17" t="n"/>
    </ns0:row>
    <ns0:row r="153" ht="24" customHeight="1">
      <ns0:c r="D153" s="17" t="n"/>
      <ns0:c r="E153" s="17" t="n"/>
      <ns0:c r="F153" s="17" t="n"/>
      <ns0:c r="G153" s="17" t="n"/>
      <ns0:c r="H153" s="17" t="n"/>
      <ns0:c r="I153" s="17" t="n"/>
      <ns0:c r="J153" s="17" t="n"/>
      <ns0:c r="K153" s="17" t="n"/>
      <ns0:c r="L153" s="17" t="n"/>
      <ns0:c r="M153" s="17" t="n"/>
      <ns0:c r="N153" s="17" t="n"/>
      <ns0:c r="O153" s="17" t="n"/>
      <ns0:c r="P153" s="17" t="n"/>
      <ns0:c r="Q153" s="17" t="n"/>
      <ns0:c r="R153" s="17" t="n"/>
      <ns0:c r="S153" s="17" t="n"/>
      <ns0:c r="T153" s="17" t="n"/>
      <ns0:c r="U153" s="17" t="n"/>
      <ns0:c r="V153" s="17" t="n"/>
      <ns0:c r="W153" s="17" t="n"/>
      <ns0:c r="X153" s="17" t="n"/>
      <ns0:c r="Y153" s="17" t="n"/>
      <ns0:c r="Z153" s="17" t="n"/>
      <ns0:c r="AA153" s="17" t="n"/>
      <ns0:c r="AB153" s="17" t="n"/>
      <ns0:c r="AC153" s="17" t="n"/>
      <ns0:c r="AD153" s="17" t="n"/>
      <ns0:c r="AE153" s="17" t="n"/>
      <ns0:c r="AF153" s="17" t="n"/>
      <ns0:c r="AG153" s="17" t="n"/>
    </ns0:row>
    <ns0:row r="154" ht="24" customHeight="1">
      <ns0:c r="D154" s="17" t="n"/>
      <ns0:c r="E154" s="17" t="n"/>
      <ns0:c r="F154" s="17" t="n"/>
      <ns0:c r="G154" s="17" t="n"/>
      <ns0:c r="H154" s="17" t="n"/>
      <ns0:c r="I154" s="17" t="n"/>
      <ns0:c r="J154" s="17" t="n"/>
      <ns0:c r="K154" s="17" t="n"/>
      <ns0:c r="L154" s="17" t="n"/>
      <ns0:c r="M154" s="17" t="n"/>
      <ns0:c r="N154" s="17" t="n"/>
      <ns0:c r="O154" s="17" t="n"/>
      <ns0:c r="P154" s="17" t="n"/>
      <ns0:c r="Q154" s="17" t="n"/>
      <ns0:c r="R154" s="17" t="n"/>
      <ns0:c r="S154" s="17" t="n"/>
      <ns0:c r="T154" s="17" t="n"/>
      <ns0:c r="U154" s="17" t="n"/>
      <ns0:c r="V154" s="17" t="n"/>
      <ns0:c r="W154" s="17" t="n"/>
      <ns0:c r="X154" s="17" t="n"/>
      <ns0:c r="Y154" s="17" t="n"/>
      <ns0:c r="Z154" s="17" t="n"/>
      <ns0:c r="AA154" s="17" t="n"/>
      <ns0:c r="AB154" s="17" t="n"/>
      <ns0:c r="AC154" s="17" t="n"/>
      <ns0:c r="AD154" s="17" t="n"/>
      <ns0:c r="AE154" s="17" t="n"/>
      <ns0:c r="AF154" s="17" t="n"/>
      <ns0:c r="AG154" s="17" t="n"/>
    </ns0:row>
    <ns0:row r="155" ht="24" customHeight="1">
      <ns0:c r="D155" s="17" t="n"/>
      <ns0:c r="E155" s="17" t="n"/>
      <ns0:c r="F155" s="17" t="n"/>
      <ns0:c r="G155" s="17" t="n"/>
      <ns0:c r="H155" s="17" t="n"/>
      <ns0:c r="I155" s="17" t="n"/>
      <ns0:c r="J155" s="17" t="n"/>
      <ns0:c r="K155" s="17" t="n"/>
      <ns0:c r="L155" s="17" t="n"/>
      <ns0:c r="M155" s="17" t="n"/>
      <ns0:c r="N155" s="17" t="n"/>
      <ns0:c r="O155" s="17" t="n"/>
      <ns0:c r="P155" s="17" t="n"/>
      <ns0:c r="Q155" s="17" t="n"/>
      <ns0:c r="R155" s="17" t="n"/>
      <ns0:c r="S155" s="17" t="n"/>
      <ns0:c r="T155" s="17" t="n"/>
      <ns0:c r="U155" s="17" t="n"/>
      <ns0:c r="V155" s="17" t="n"/>
      <ns0:c r="W155" s="17" t="n"/>
      <ns0:c r="X155" s="17" t="n"/>
      <ns0:c r="Y155" s="17" t="n"/>
      <ns0:c r="Z155" s="17" t="n"/>
      <ns0:c r="AA155" s="17" t="n"/>
      <ns0:c r="AB155" s="17" t="n"/>
      <ns0:c r="AC155" s="17" t="n"/>
      <ns0:c r="AD155" s="17" t="n"/>
      <ns0:c r="AE155" s="17" t="n"/>
      <ns0:c r="AF155" s="17" t="n"/>
      <ns0:c r="AG155" s="17" t="n"/>
    </ns0:row>
    <ns0:row r="156" ht="24" customHeight="1">
      <ns0:c r="D156" s="17" t="n"/>
      <ns0:c r="E156" s="17" t="n"/>
      <ns0:c r="F156" s="17" t="n"/>
      <ns0:c r="G156" s="17" t="n"/>
      <ns0:c r="H156" s="17" t="n"/>
      <ns0:c r="I156" s="17" t="n"/>
      <ns0:c r="J156" s="17" t="n"/>
      <ns0:c r="K156" s="17" t="n"/>
      <ns0:c r="L156" s="17" t="n"/>
      <ns0:c r="M156" s="17" t="n"/>
      <ns0:c r="N156" s="17" t="n"/>
      <ns0:c r="O156" s="17" t="n"/>
      <ns0:c r="P156" s="17" t="n"/>
      <ns0:c r="Q156" s="17" t="n"/>
      <ns0:c r="R156" s="17" t="n"/>
      <ns0:c r="S156" s="17" t="n"/>
      <ns0:c r="T156" s="17" t="n"/>
      <ns0:c r="U156" s="17" t="n"/>
      <ns0:c r="V156" s="17" t="n"/>
      <ns0:c r="W156" s="17" t="n"/>
      <ns0:c r="X156" s="17" t="n"/>
      <ns0:c r="Y156" s="17" t="n"/>
      <ns0:c r="Z156" s="17" t="n"/>
      <ns0:c r="AA156" s="17" t="n"/>
      <ns0:c r="AB156" s="17" t="n"/>
      <ns0:c r="AC156" s="17" t="n"/>
      <ns0:c r="AD156" s="17" t="n"/>
      <ns0:c r="AE156" s="17" t="n"/>
      <ns0:c r="AF156" s="17" t="n"/>
      <ns0:c r="AG156" s="17" t="n"/>
    </ns0:row>
    <ns0:row r="157" ht="24" customHeight="1">
      <ns0:c r="D157" s="17" t="n"/>
      <ns0:c r="E157" s="17" t="n"/>
      <ns0:c r="F157" s="17" t="n"/>
      <ns0:c r="G157" s="17" t="n"/>
      <ns0:c r="H157" s="17" t="n"/>
      <ns0:c r="I157" s="17" t="n"/>
      <ns0:c r="J157" s="17" t="n"/>
      <ns0:c r="K157" s="17" t="n"/>
      <ns0:c r="L157" s="17" t="n"/>
      <ns0:c r="M157" s="17" t="n"/>
      <ns0:c r="N157" s="17" t="n"/>
      <ns0:c r="O157" s="17" t="n"/>
      <ns0:c r="P157" s="17" t="n"/>
      <ns0:c r="Q157" s="17" t="n"/>
      <ns0:c r="R157" s="17" t="n"/>
      <ns0:c r="S157" s="17" t="n"/>
      <ns0:c r="T157" s="17" t="n"/>
      <ns0:c r="U157" s="17" t="n"/>
      <ns0:c r="V157" s="17" t="n"/>
      <ns0:c r="W157" s="17" t="n"/>
      <ns0:c r="X157" s="17" t="n"/>
      <ns0:c r="Y157" s="17" t="n"/>
      <ns0:c r="Z157" s="17" t="n"/>
      <ns0:c r="AA157" s="17" t="n"/>
      <ns0:c r="AB157" s="17" t="n"/>
      <ns0:c r="AC157" s="17" t="n"/>
      <ns0:c r="AD157" s="17" t="n"/>
      <ns0:c r="AE157" s="17" t="n"/>
      <ns0:c r="AF157" s="17" t="n"/>
      <ns0:c r="AG157" s="17" t="n"/>
    </ns0:row>
    <ns0:row r="158" ht="24" customHeight="1">
      <ns0:c r="D158" s="17" t="n"/>
      <ns0:c r="E158" s="17" t="n"/>
      <ns0:c r="F158" s="17" t="n"/>
      <ns0:c r="G158" s="17" t="n"/>
      <ns0:c r="H158" s="17" t="n"/>
      <ns0:c r="I158" s="17" t="n"/>
      <ns0:c r="J158" s="17" t="n"/>
      <ns0:c r="K158" s="17" t="n"/>
      <ns0:c r="L158" s="17" t="n"/>
      <ns0:c r="M158" s="17" t="n"/>
      <ns0:c r="N158" s="17" t="n"/>
      <ns0:c r="O158" s="17" t="n"/>
      <ns0:c r="P158" s="17" t="n"/>
      <ns0:c r="Q158" s="17" t="n"/>
      <ns0:c r="R158" s="17" t="n"/>
      <ns0:c r="S158" s="17" t="n"/>
      <ns0:c r="T158" s="17" t="n"/>
      <ns0:c r="U158" s="17" t="n"/>
      <ns0:c r="V158" s="17" t="n"/>
      <ns0:c r="W158" s="17" t="n"/>
      <ns0:c r="X158" s="17" t="n"/>
      <ns0:c r="Y158" s="17" t="n"/>
      <ns0:c r="Z158" s="17" t="n"/>
      <ns0:c r="AA158" s="17" t="n"/>
      <ns0:c r="AB158" s="17" t="n"/>
      <ns0:c r="AC158" s="17" t="n"/>
      <ns0:c r="AD158" s="17" t="n"/>
      <ns0:c r="AE158" s="17" t="n"/>
      <ns0:c r="AF158" s="17" t="n"/>
      <ns0:c r="AG158" s="17" t="n"/>
    </ns0:row>
    <ns0:row r="159" ht="24" customHeight="1">
      <ns0:c r="D159" s="17" t="n"/>
      <ns0:c r="E159" s="17" t="n"/>
      <ns0:c r="F159" s="17" t="n"/>
      <ns0:c r="G159" s="17" t="n"/>
      <ns0:c r="H159" s="17" t="n"/>
      <ns0:c r="I159" s="17" t="n"/>
      <ns0:c r="J159" s="17" t="n"/>
      <ns0:c r="K159" s="17" t="n"/>
      <ns0:c r="L159" s="17" t="n"/>
      <ns0:c r="M159" s="17" t="n"/>
      <ns0:c r="N159" s="17" t="n"/>
      <ns0:c r="O159" s="17" t="n"/>
      <ns0:c r="P159" s="17" t="n"/>
      <ns0:c r="Q159" s="17" t="n"/>
      <ns0:c r="R159" s="17" t="n"/>
      <ns0:c r="S159" s="17" t="n"/>
      <ns0:c r="T159" s="17" t="n"/>
      <ns0:c r="U159" s="17" t="n"/>
      <ns0:c r="V159" s="17" t="n"/>
      <ns0:c r="W159" s="17" t="n"/>
      <ns0:c r="X159" s="17" t="n"/>
      <ns0:c r="Y159" s="17" t="n"/>
      <ns0:c r="Z159" s="17" t="n"/>
      <ns0:c r="AA159" s="17" t="n"/>
      <ns0:c r="AB159" s="17" t="n"/>
      <ns0:c r="AC159" s="17" t="n"/>
      <ns0:c r="AD159" s="17" t="n"/>
      <ns0:c r="AE159" s="17" t="n"/>
      <ns0:c r="AF159" s="17" t="n"/>
      <ns0:c r="AG159" s="17" t="n"/>
    </ns0:row>
    <ns0:row r="160" ht="24" customHeight="1">
      <ns0:c r="D160" s="17" t="n"/>
      <ns0:c r="E160" s="17" t="n"/>
      <ns0:c r="F160" s="17" t="n"/>
      <ns0:c r="G160" s="17" t="n"/>
      <ns0:c r="H160" s="17" t="n"/>
      <ns0:c r="I160" s="17" t="n"/>
      <ns0:c r="J160" s="17" t="n"/>
      <ns0:c r="K160" s="17" t="n"/>
      <ns0:c r="L160" s="17" t="n"/>
      <ns0:c r="M160" s="17" t="n"/>
      <ns0:c r="N160" s="17" t="n"/>
      <ns0:c r="O160" s="17" t="n"/>
      <ns0:c r="P160" s="17" t="n"/>
      <ns0:c r="Q160" s="17" t="n"/>
      <ns0:c r="R160" s="17" t="n"/>
      <ns0:c r="S160" s="17" t="n"/>
      <ns0:c r="T160" s="17" t="n"/>
      <ns0:c r="U160" s="17" t="n"/>
      <ns0:c r="V160" s="17" t="n"/>
      <ns0:c r="W160" s="17" t="n"/>
      <ns0:c r="X160" s="17" t="n"/>
      <ns0:c r="Y160" s="17" t="n"/>
      <ns0:c r="Z160" s="17" t="n"/>
      <ns0:c r="AA160" s="17" t="n"/>
      <ns0:c r="AB160" s="17" t="n"/>
      <ns0:c r="AC160" s="17" t="n"/>
      <ns0:c r="AD160" s="17" t="n"/>
      <ns0:c r="AE160" s="17" t="n"/>
      <ns0:c r="AF160" s="17" t="n"/>
      <ns0:c r="AG160" s="17" t="n"/>
    </ns0:row>
    <ns0:row r="161" ht="24" customHeight="1">
      <ns0:c r="D161" s="17" t="n"/>
      <ns0:c r="E161" s="17" t="n"/>
      <ns0:c r="F161" s="17" t="n"/>
      <ns0:c r="G161" s="17" t="n"/>
      <ns0:c r="H161" s="17" t="n"/>
      <ns0:c r="I161" s="17" t="n"/>
      <ns0:c r="J161" s="17" t="n"/>
      <ns0:c r="K161" s="17" t="n"/>
      <ns0:c r="L161" s="17" t="n"/>
      <ns0:c r="M161" s="17" t="n"/>
      <ns0:c r="N161" s="17" t="n"/>
      <ns0:c r="O161" s="17" t="n"/>
      <ns0:c r="P161" s="17" t="n"/>
      <ns0:c r="Q161" s="17" t="n"/>
      <ns0:c r="R161" s="17" t="n"/>
      <ns0:c r="S161" s="17" t="n"/>
      <ns0:c r="T161" s="17" t="n"/>
      <ns0:c r="U161" s="17" t="n"/>
      <ns0:c r="V161" s="17" t="n"/>
      <ns0:c r="W161" s="17" t="n"/>
      <ns0:c r="X161" s="17" t="n"/>
      <ns0:c r="Y161" s="17" t="n"/>
      <ns0:c r="Z161" s="17" t="n"/>
      <ns0:c r="AA161" s="17" t="n"/>
      <ns0:c r="AB161" s="17" t="n"/>
      <ns0:c r="AC161" s="17" t="n"/>
      <ns0:c r="AD161" s="17" t="n"/>
      <ns0:c r="AE161" s="17" t="n"/>
      <ns0:c r="AF161" s="17" t="n"/>
      <ns0:c r="AG161" s="17" t="n"/>
    </ns0:row>
    <ns0:row r="162" ht="24" customHeight="1">
      <ns0:c r="D162" s="17" t="n"/>
      <ns0:c r="E162" s="17" t="n"/>
      <ns0:c r="F162" s="17" t="n"/>
      <ns0:c r="G162" s="17" t="n"/>
      <ns0:c r="H162" s="17" t="n"/>
      <ns0:c r="I162" s="17" t="n"/>
      <ns0:c r="J162" s="17" t="n"/>
      <ns0:c r="K162" s="17" t="n"/>
      <ns0:c r="L162" s="17" t="n"/>
      <ns0:c r="M162" s="17" t="n"/>
      <ns0:c r="N162" s="17" t="n"/>
      <ns0:c r="O162" s="17" t="n"/>
      <ns0:c r="P162" s="17" t="n"/>
      <ns0:c r="Q162" s="17" t="n"/>
      <ns0:c r="R162" s="17" t="n"/>
      <ns0:c r="S162" s="17" t="n"/>
      <ns0:c r="T162" s="17" t="n"/>
      <ns0:c r="U162" s="17" t="n"/>
      <ns0:c r="V162" s="17" t="n"/>
      <ns0:c r="W162" s="17" t="n"/>
      <ns0:c r="X162" s="17" t="n"/>
      <ns0:c r="Y162" s="17" t="n"/>
      <ns0:c r="Z162" s="17" t="n"/>
      <ns0:c r="AA162" s="17" t="n"/>
      <ns0:c r="AB162" s="17" t="n"/>
      <ns0:c r="AC162" s="17" t="n"/>
      <ns0:c r="AD162" s="17" t="n"/>
      <ns0:c r="AE162" s="17" t="n"/>
      <ns0:c r="AF162" s="17" t="n"/>
      <ns0:c r="AG162" s="17" t="n"/>
    </ns0:row>
    <ns0:row r="163" ht="24" customHeight="1">
      <ns0:c r="D163" s="17" t="n"/>
      <ns0:c r="E163" s="17" t="n"/>
      <ns0:c r="F163" s="17" t="n"/>
      <ns0:c r="G163" s="17" t="n"/>
      <ns0:c r="H163" s="17" t="n"/>
      <ns0:c r="I163" s="17" t="n"/>
      <ns0:c r="J163" s="17" t="n"/>
      <ns0:c r="K163" s="17" t="n"/>
      <ns0:c r="L163" s="17" t="n"/>
      <ns0:c r="M163" s="17" t="n"/>
      <ns0:c r="N163" s="17" t="n"/>
      <ns0:c r="O163" s="17" t="n"/>
      <ns0:c r="P163" s="17" t="n"/>
      <ns0:c r="Q163" s="17" t="n"/>
      <ns0:c r="R163" s="17" t="n"/>
      <ns0:c r="S163" s="17" t="n"/>
      <ns0:c r="T163" s="17" t="n"/>
      <ns0:c r="U163" s="17" t="n"/>
      <ns0:c r="V163" s="17" t="n"/>
      <ns0:c r="W163" s="17" t="n"/>
      <ns0:c r="X163" s="17" t="n"/>
      <ns0:c r="Y163" s="17" t="n"/>
      <ns0:c r="Z163" s="17" t="n"/>
      <ns0:c r="AA163" s="17" t="n"/>
      <ns0:c r="AB163" s="17" t="n"/>
      <ns0:c r="AC163" s="17" t="n"/>
      <ns0:c r="AD163" s="17" t="n"/>
      <ns0:c r="AE163" s="17" t="n"/>
      <ns0:c r="AF163" s="17" t="n"/>
      <ns0:c r="AG163" s="17" t="n"/>
    </ns0:row>
    <ns0:row r="164" ht="24" customHeight="1">
      <ns0:c r="D164" s="17" t="n"/>
      <ns0:c r="E164" s="17" t="n"/>
      <ns0:c r="F164" s="17" t="n"/>
      <ns0:c r="G164" s="17" t="n"/>
      <ns0:c r="H164" s="17" t="n"/>
      <ns0:c r="I164" s="17" t="n"/>
      <ns0:c r="J164" s="17" t="n"/>
      <ns0:c r="K164" s="17" t="n"/>
      <ns0:c r="L164" s="17" t="n"/>
      <ns0:c r="M164" s="17" t="n"/>
      <ns0:c r="N164" s="17" t="n"/>
      <ns0:c r="O164" s="17" t="n"/>
      <ns0:c r="P164" s="17" t="n"/>
      <ns0:c r="Q164" s="17" t="n"/>
      <ns0:c r="R164" s="17" t="n"/>
      <ns0:c r="S164" s="17" t="n"/>
      <ns0:c r="T164" s="17" t="n"/>
      <ns0:c r="U164" s="17" t="n"/>
      <ns0:c r="V164" s="17" t="n"/>
      <ns0:c r="W164" s="17" t="n"/>
      <ns0:c r="X164" s="17" t="n"/>
      <ns0:c r="Y164" s="17" t="n"/>
      <ns0:c r="Z164" s="17" t="n"/>
      <ns0:c r="AA164" s="17" t="n"/>
      <ns0:c r="AB164" s="17" t="n"/>
      <ns0:c r="AC164" s="17" t="n"/>
      <ns0:c r="AD164" s="17" t="n"/>
      <ns0:c r="AE164" s="17" t="n"/>
      <ns0:c r="AF164" s="17" t="n"/>
      <ns0:c r="AG164" s="17" t="n"/>
    </ns0:row>
    <ns0:row r="165" ht="24" customHeight="1">
      <ns0:c r="D165" s="17" t="n"/>
      <ns0:c r="E165" s="17" t="n"/>
      <ns0:c r="F165" s="17" t="n"/>
      <ns0:c r="G165" s="17" t="n"/>
      <ns0:c r="H165" s="17" t="n"/>
      <ns0:c r="I165" s="17" t="n"/>
      <ns0:c r="J165" s="17" t="n"/>
      <ns0:c r="K165" s="17" t="n"/>
      <ns0:c r="L165" s="17" t="n"/>
      <ns0:c r="M165" s="17" t="n"/>
      <ns0:c r="N165" s="17" t="n"/>
      <ns0:c r="O165" s="17" t="n"/>
      <ns0:c r="P165" s="17" t="n"/>
      <ns0:c r="Q165" s="17" t="n"/>
      <ns0:c r="R165" s="17" t="n"/>
      <ns0:c r="S165" s="17" t="n"/>
      <ns0:c r="T165" s="17" t="n"/>
      <ns0:c r="U165" s="17" t="n"/>
      <ns0:c r="V165" s="17" t="n"/>
      <ns0:c r="W165" s="17" t="n"/>
      <ns0:c r="X165" s="17" t="n"/>
      <ns0:c r="Y165" s="17" t="n"/>
      <ns0:c r="Z165" s="17" t="n"/>
      <ns0:c r="AA165" s="17" t="n"/>
      <ns0:c r="AB165" s="17" t="n"/>
      <ns0:c r="AC165" s="17" t="n"/>
      <ns0:c r="AD165" s="17" t="n"/>
      <ns0:c r="AE165" s="17" t="n"/>
      <ns0:c r="AF165" s="17" t="n"/>
      <ns0:c r="AG165" s="17" t="n"/>
    </ns0:row>
    <ns0:row r="166" ht="24" customHeight="1">
      <ns0:c r="D166" s="17" t="n"/>
      <ns0:c r="E166" s="17" t="n"/>
      <ns0:c r="F166" s="17" t="n"/>
      <ns0:c r="G166" s="17" t="n"/>
      <ns0:c r="H166" s="17" t="n"/>
      <ns0:c r="I166" s="17" t="n"/>
      <ns0:c r="J166" s="17" t="n"/>
      <ns0:c r="K166" s="17" t="n"/>
      <ns0:c r="L166" s="17" t="n"/>
      <ns0:c r="M166" s="17" t="n"/>
      <ns0:c r="N166" s="17" t="n"/>
      <ns0:c r="O166" s="17" t="n"/>
      <ns0:c r="P166" s="17" t="n"/>
      <ns0:c r="Q166" s="17" t="n"/>
      <ns0:c r="R166" s="17" t="n"/>
      <ns0:c r="S166" s="17" t="n"/>
      <ns0:c r="T166" s="17" t="n"/>
      <ns0:c r="U166" s="17" t="n"/>
      <ns0:c r="V166" s="17" t="n"/>
      <ns0:c r="W166" s="17" t="n"/>
      <ns0:c r="X166" s="17" t="n"/>
      <ns0:c r="Y166" s="17" t="n"/>
      <ns0:c r="Z166" s="17" t="n"/>
      <ns0:c r="AA166" s="17" t="n"/>
      <ns0:c r="AB166" s="17" t="n"/>
      <ns0:c r="AC166" s="17" t="n"/>
      <ns0:c r="AD166" s="17" t="n"/>
      <ns0:c r="AE166" s="17" t="n"/>
      <ns0:c r="AF166" s="17" t="n"/>
      <ns0:c r="AG166" s="17" t="n"/>
    </ns0:row>
    <ns0:row r="167" ht="24" customHeight="1">
      <ns0:c r="D167" s="17" t="n"/>
      <ns0:c r="E167" s="17" t="n"/>
      <ns0:c r="F167" s="17" t="n"/>
      <ns0:c r="G167" s="17" t="n"/>
      <ns0:c r="H167" s="17" t="n"/>
      <ns0:c r="I167" s="17" t="n"/>
      <ns0:c r="J167" s="17" t="n"/>
      <ns0:c r="K167" s="17" t="n"/>
      <ns0:c r="L167" s="17" t="n"/>
      <ns0:c r="M167" s="17" t="n"/>
      <ns0:c r="N167" s="17" t="n"/>
      <ns0:c r="O167" s="17" t="n"/>
      <ns0:c r="P167" s="17" t="n"/>
      <ns0:c r="Q167" s="17" t="n"/>
      <ns0:c r="R167" s="17" t="n"/>
      <ns0:c r="S167" s="17" t="n"/>
      <ns0:c r="T167" s="17" t="n"/>
      <ns0:c r="U167" s="17" t="n"/>
      <ns0:c r="V167" s="17" t="n"/>
      <ns0:c r="W167" s="17" t="n"/>
      <ns0:c r="X167" s="17" t="n"/>
      <ns0:c r="Y167" s="17" t="n"/>
      <ns0:c r="Z167" s="17" t="n"/>
      <ns0:c r="AA167" s="17" t="n"/>
      <ns0:c r="AB167" s="17" t="n"/>
      <ns0:c r="AC167" s="17" t="n"/>
      <ns0:c r="AD167" s="17" t="n"/>
      <ns0:c r="AE167" s="17" t="n"/>
      <ns0:c r="AF167" s="17" t="n"/>
      <ns0:c r="AG167" s="17" t="n"/>
    </ns0:row>
    <ns0:row r="168" ht="24" customHeight="1">
      <ns0:c r="D168" s="17" t="n"/>
      <ns0:c r="E168" s="17" t="n"/>
      <ns0:c r="F168" s="17" t="n"/>
      <ns0:c r="G168" s="17" t="n"/>
      <ns0:c r="H168" s="17" t="n"/>
      <ns0:c r="I168" s="17" t="n"/>
      <ns0:c r="J168" s="17" t="n"/>
      <ns0:c r="K168" s="17" t="n"/>
      <ns0:c r="L168" s="17" t="n"/>
      <ns0:c r="M168" s="17" t="n"/>
      <ns0:c r="N168" s="17" t="n"/>
      <ns0:c r="O168" s="17" t="n"/>
      <ns0:c r="P168" s="17" t="n"/>
      <ns0:c r="Q168" s="17" t="n"/>
      <ns0:c r="R168" s="17" t="n"/>
      <ns0:c r="S168" s="17" t="n"/>
      <ns0:c r="T168" s="17" t="n"/>
      <ns0:c r="U168" s="17" t="n"/>
      <ns0:c r="V168" s="17" t="n"/>
      <ns0:c r="W168" s="17" t="n"/>
      <ns0:c r="X168" s="17" t="n"/>
      <ns0:c r="Y168" s="17" t="n"/>
      <ns0:c r="Z168" s="17" t="n"/>
      <ns0:c r="AA168" s="17" t="n"/>
      <ns0:c r="AB168" s="17" t="n"/>
      <ns0:c r="AC168" s="17" t="n"/>
      <ns0:c r="AD168" s="17" t="n"/>
      <ns0:c r="AE168" s="17" t="n"/>
      <ns0:c r="AF168" s="17" t="n"/>
      <ns0:c r="AG168" s="17" t="n"/>
    </ns0:row>
    <ns0:row r="169" ht="24" customHeight="1">
      <ns0:c r="D169" s="17" t="n"/>
      <ns0:c r="E169" s="17" t="n"/>
      <ns0:c r="F169" s="17" t="n"/>
      <ns0:c r="G169" s="17" t="n"/>
      <ns0:c r="H169" s="17" t="n"/>
      <ns0:c r="I169" s="17" t="n"/>
      <ns0:c r="J169" s="17" t="n"/>
      <ns0:c r="K169" s="17" t="n"/>
      <ns0:c r="L169" s="17" t="n"/>
      <ns0:c r="M169" s="17" t="n"/>
      <ns0:c r="N169" s="17" t="n"/>
      <ns0:c r="O169" s="17" t="n"/>
      <ns0:c r="P169" s="17" t="n"/>
      <ns0:c r="Q169" s="17" t="n"/>
      <ns0:c r="R169" s="17" t="n"/>
      <ns0:c r="S169" s="17" t="n"/>
      <ns0:c r="T169" s="17" t="n"/>
      <ns0:c r="U169" s="17" t="n"/>
      <ns0:c r="V169" s="17" t="n"/>
      <ns0:c r="W169" s="17" t="n"/>
      <ns0:c r="X169" s="17" t="n"/>
      <ns0:c r="Y169" s="17" t="n"/>
      <ns0:c r="Z169" s="17" t="n"/>
      <ns0:c r="AA169" s="17" t="n"/>
      <ns0:c r="AB169" s="17" t="n"/>
      <ns0:c r="AC169" s="17" t="n"/>
      <ns0:c r="AD169" s="17" t="n"/>
      <ns0:c r="AE169" s="17" t="n"/>
      <ns0:c r="AF169" s="17" t="n"/>
      <ns0:c r="AG169" s="17" t="n"/>
    </ns0:row>
    <ns0:row r="170" ht="24" customHeight="1">
      <ns0:c r="D170" s="17" t="n"/>
      <ns0:c r="E170" s="17" t="n"/>
      <ns0:c r="F170" s="17" t="n"/>
      <ns0:c r="G170" s="17" t="n"/>
      <ns0:c r="H170" s="17" t="n"/>
      <ns0:c r="I170" s="17" t="n"/>
      <ns0:c r="J170" s="17" t="n"/>
      <ns0:c r="K170" s="17" t="n"/>
      <ns0:c r="L170" s="17" t="n"/>
      <ns0:c r="M170" s="17" t="n"/>
      <ns0:c r="N170" s="17" t="n"/>
      <ns0:c r="O170" s="17" t="n"/>
      <ns0:c r="P170" s="17" t="n"/>
      <ns0:c r="Q170" s="17" t="n"/>
      <ns0:c r="R170" s="17" t="n"/>
      <ns0:c r="S170" s="17" t="n"/>
      <ns0:c r="T170" s="17" t="n"/>
      <ns0:c r="U170" s="17" t="n"/>
      <ns0:c r="V170" s="17" t="n"/>
      <ns0:c r="W170" s="17" t="n"/>
      <ns0:c r="X170" s="17" t="n"/>
      <ns0:c r="Y170" s="17" t="n"/>
      <ns0:c r="Z170" s="17" t="n"/>
      <ns0:c r="AA170" s="17" t="n"/>
      <ns0:c r="AB170" s="17" t="n"/>
      <ns0:c r="AC170" s="17" t="n"/>
      <ns0:c r="AD170" s="17" t="n"/>
      <ns0:c r="AE170" s="17" t="n"/>
      <ns0:c r="AF170" s="17" t="n"/>
      <ns0:c r="AG170" s="17" t="n"/>
    </ns0:row>
    <ns0:row r="171" ht="24" customHeight="1">
      <ns0:c r="D171" s="17" t="n"/>
      <ns0:c r="E171" s="17" t="n"/>
      <ns0:c r="F171" s="17" t="n"/>
      <ns0:c r="G171" s="17" t="n"/>
      <ns0:c r="H171" s="17" t="n"/>
      <ns0:c r="I171" s="17" t="n"/>
      <ns0:c r="J171" s="17" t="n"/>
      <ns0:c r="K171" s="17" t="n"/>
      <ns0:c r="L171" s="17" t="n"/>
      <ns0:c r="M171" s="17" t="n"/>
      <ns0:c r="N171" s="17" t="n"/>
      <ns0:c r="O171" s="17" t="n"/>
      <ns0:c r="P171" s="17" t="n"/>
      <ns0:c r="Q171" s="17" t="n"/>
      <ns0:c r="R171" s="17" t="n"/>
      <ns0:c r="S171" s="17" t="n"/>
      <ns0:c r="T171" s="17" t="n"/>
      <ns0:c r="U171" s="17" t="n"/>
      <ns0:c r="V171" s="17" t="n"/>
      <ns0:c r="W171" s="17" t="n"/>
      <ns0:c r="X171" s="17" t="n"/>
      <ns0:c r="Y171" s="17" t="n"/>
      <ns0:c r="Z171" s="17" t="n"/>
      <ns0:c r="AA171" s="17" t="n"/>
      <ns0:c r="AB171" s="17" t="n"/>
      <ns0:c r="AC171" s="17" t="n"/>
      <ns0:c r="AD171" s="17" t="n"/>
      <ns0:c r="AE171" s="17" t="n"/>
      <ns0:c r="AF171" s="17" t="n"/>
      <ns0:c r="AG171" s="17" t="n"/>
    </ns0:row>
    <ns0:row r="172" ht="24" customHeight="1">
      <ns0:c r="D172" s="17" t="n"/>
      <ns0:c r="E172" s="17" t="n"/>
      <ns0:c r="F172" s="17" t="n"/>
      <ns0:c r="G172" s="17" t="n"/>
      <ns0:c r="H172" s="17" t="n"/>
      <ns0:c r="I172" s="17" t="n"/>
      <ns0:c r="J172" s="17" t="n"/>
      <ns0:c r="K172" s="17" t="n"/>
      <ns0:c r="L172" s="17" t="n"/>
      <ns0:c r="M172" s="17" t="n"/>
      <ns0:c r="N172" s="17" t="n"/>
      <ns0:c r="O172" s="17" t="n"/>
      <ns0:c r="P172" s="17" t="n"/>
      <ns0:c r="Q172" s="17" t="n"/>
      <ns0:c r="R172" s="17" t="n"/>
      <ns0:c r="S172" s="17" t="n"/>
      <ns0:c r="T172" s="17" t="n"/>
      <ns0:c r="U172" s="17" t="n"/>
      <ns0:c r="V172" s="17" t="n"/>
      <ns0:c r="W172" s="17" t="n"/>
      <ns0:c r="X172" s="17" t="n"/>
      <ns0:c r="Y172" s="17" t="n"/>
      <ns0:c r="Z172" s="17" t="n"/>
      <ns0:c r="AA172" s="17" t="n"/>
      <ns0:c r="AB172" s="17" t="n"/>
      <ns0:c r="AC172" s="17" t="n"/>
      <ns0:c r="AD172" s="17" t="n"/>
      <ns0:c r="AE172" s="17" t="n"/>
      <ns0:c r="AF172" s="17" t="n"/>
      <ns0:c r="AG172" s="17" t="n"/>
    </ns0:row>
    <ns0:row r="173" ht="24" customHeight="1">
      <ns0:c r="D173" s="17" t="n"/>
      <ns0:c r="E173" s="17" t="n"/>
      <ns0:c r="F173" s="17" t="n"/>
      <ns0:c r="G173" s="17" t="n"/>
      <ns0:c r="H173" s="17" t="n"/>
      <ns0:c r="I173" s="17" t="n"/>
      <ns0:c r="J173" s="17" t="n"/>
      <ns0:c r="K173" s="17" t="n"/>
      <ns0:c r="L173" s="17" t="n"/>
      <ns0:c r="M173" s="17" t="n"/>
      <ns0:c r="N173" s="17" t="n"/>
      <ns0:c r="O173" s="17" t="n"/>
      <ns0:c r="P173" s="17" t="n"/>
      <ns0:c r="Q173" s="17" t="n"/>
      <ns0:c r="R173" s="17" t="n"/>
      <ns0:c r="S173" s="17" t="n"/>
      <ns0:c r="T173" s="17" t="n"/>
      <ns0:c r="U173" s="17" t="n"/>
      <ns0:c r="V173" s="17" t="n"/>
      <ns0:c r="W173" s="17" t="n"/>
      <ns0:c r="X173" s="17" t="n"/>
      <ns0:c r="Y173" s="17" t="n"/>
      <ns0:c r="Z173" s="17" t="n"/>
      <ns0:c r="AA173" s="17" t="n"/>
      <ns0:c r="AB173" s="17" t="n"/>
      <ns0:c r="AC173" s="17" t="n"/>
      <ns0:c r="AD173" s="17" t="n"/>
      <ns0:c r="AE173" s="17" t="n"/>
      <ns0:c r="AF173" s="17" t="n"/>
      <ns0:c r="AG173" s="17" t="n"/>
    </ns0:row>
    <ns0:row r="174" ht="24" customHeight="1">
      <ns0:c r="D174" s="17" t="n"/>
      <ns0:c r="E174" s="17" t="n"/>
      <ns0:c r="F174" s="17" t="n"/>
      <ns0:c r="G174" s="17" t="n"/>
      <ns0:c r="H174" s="17" t="n"/>
      <ns0:c r="I174" s="17" t="n"/>
      <ns0:c r="J174" s="17" t="n"/>
      <ns0:c r="K174" s="17" t="n"/>
      <ns0:c r="L174" s="17" t="n"/>
      <ns0:c r="M174" s="17" t="n"/>
      <ns0:c r="N174" s="17" t="n"/>
      <ns0:c r="O174" s="17" t="n"/>
      <ns0:c r="P174" s="17" t="n"/>
      <ns0:c r="Q174" s="17" t="n"/>
      <ns0:c r="R174" s="17" t="n"/>
      <ns0:c r="S174" s="17" t="n"/>
      <ns0:c r="T174" s="17" t="n"/>
      <ns0:c r="U174" s="17" t="n"/>
      <ns0:c r="V174" s="17" t="n"/>
      <ns0:c r="W174" s="17" t="n"/>
      <ns0:c r="X174" s="17" t="n"/>
      <ns0:c r="Y174" s="17" t="n"/>
      <ns0:c r="Z174" s="17" t="n"/>
      <ns0:c r="AA174" s="17" t="n"/>
      <ns0:c r="AB174" s="17" t="n"/>
      <ns0:c r="AC174" s="17" t="n"/>
      <ns0:c r="AD174" s="17" t="n"/>
      <ns0:c r="AE174" s="17" t="n"/>
      <ns0:c r="AF174" s="17" t="n"/>
      <ns0:c r="AG174" s="17" t="n"/>
    </ns0:row>
    <ns0:row r="175" ht="24" customHeight="1">
      <ns0:c r="D175" s="17" t="n"/>
      <ns0:c r="E175" s="17" t="n"/>
      <ns0:c r="F175" s="17" t="n"/>
      <ns0:c r="G175" s="17" t="n"/>
      <ns0:c r="H175" s="17" t="n"/>
      <ns0:c r="I175" s="17" t="n"/>
      <ns0:c r="J175" s="17" t="n"/>
      <ns0:c r="K175" s="17" t="n"/>
      <ns0:c r="L175" s="17" t="n"/>
      <ns0:c r="M175" s="17" t="n"/>
      <ns0:c r="N175" s="17" t="n"/>
      <ns0:c r="O175" s="17" t="n"/>
      <ns0:c r="P175" s="17" t="n"/>
      <ns0:c r="Q175" s="17" t="n"/>
      <ns0:c r="R175" s="17" t="n"/>
      <ns0:c r="S175" s="17" t="n"/>
      <ns0:c r="T175" s="17" t="n"/>
      <ns0:c r="U175" s="17" t="n"/>
      <ns0:c r="V175" s="17" t="n"/>
      <ns0:c r="W175" s="17" t="n"/>
      <ns0:c r="X175" s="17" t="n"/>
      <ns0:c r="Y175" s="17" t="n"/>
      <ns0:c r="Z175" s="17" t="n"/>
      <ns0:c r="AA175" s="17" t="n"/>
      <ns0:c r="AB175" s="17" t="n"/>
      <ns0:c r="AC175" s="17" t="n"/>
      <ns0:c r="AD175" s="17" t="n"/>
      <ns0:c r="AE175" s="17" t="n"/>
      <ns0:c r="AF175" s="17" t="n"/>
      <ns0:c r="AG175" s="17" t="n"/>
    </ns0:row>
    <ns0:row r="176" ht="24" customHeight="1">
      <ns0:c r="D176" s="17" t="n"/>
      <ns0:c r="E176" s="17" t="n"/>
      <ns0:c r="F176" s="17" t="n"/>
      <ns0:c r="G176" s="17" t="n"/>
      <ns0:c r="H176" s="17" t="n"/>
      <ns0:c r="I176" s="17" t="n"/>
      <ns0:c r="J176" s="17" t="n"/>
      <ns0:c r="K176" s="17" t="n"/>
      <ns0:c r="L176" s="17" t="n"/>
      <ns0:c r="M176" s="17" t="n"/>
      <ns0:c r="N176" s="17" t="n"/>
      <ns0:c r="O176" s="17" t="n"/>
      <ns0:c r="P176" s="17" t="n"/>
      <ns0:c r="Q176" s="17" t="n"/>
      <ns0:c r="R176" s="17" t="n"/>
      <ns0:c r="S176" s="17" t="n"/>
      <ns0:c r="T176" s="17" t="n"/>
      <ns0:c r="U176" s="17" t="n"/>
      <ns0:c r="V176" s="17" t="n"/>
      <ns0:c r="W176" s="17" t="n"/>
      <ns0:c r="X176" s="17" t="n"/>
      <ns0:c r="Y176" s="17" t="n"/>
      <ns0:c r="Z176" s="17" t="n"/>
      <ns0:c r="AA176" s="17" t="n"/>
      <ns0:c r="AB176" s="17" t="n"/>
      <ns0:c r="AC176" s="17" t="n"/>
      <ns0:c r="AD176" s="17" t="n"/>
      <ns0:c r="AE176" s="17" t="n"/>
      <ns0:c r="AF176" s="17" t="n"/>
      <ns0:c r="AG176" s="17" t="n"/>
    </ns0:row>
    <ns0:row r="177" ht="24" customHeight="1">
      <ns0:c r="D177" s="17" t="n"/>
      <ns0:c r="E177" s="17" t="n"/>
      <ns0:c r="F177" s="17" t="n"/>
      <ns0:c r="G177" s="17" t="n"/>
      <ns0:c r="H177" s="17" t="n"/>
      <ns0:c r="I177" s="17" t="n"/>
      <ns0:c r="J177" s="17" t="n"/>
      <ns0:c r="K177" s="17" t="n"/>
      <ns0:c r="L177" s="17" t="n"/>
      <ns0:c r="M177" s="17" t="n"/>
      <ns0:c r="N177" s="17" t="n"/>
      <ns0:c r="O177" s="17" t="n"/>
      <ns0:c r="P177" s="17" t="n"/>
      <ns0:c r="Q177" s="17" t="n"/>
      <ns0:c r="R177" s="17" t="n"/>
      <ns0:c r="S177" s="17" t="n"/>
      <ns0:c r="T177" s="17" t="n"/>
      <ns0:c r="U177" s="17" t="n"/>
      <ns0:c r="V177" s="17" t="n"/>
      <ns0:c r="W177" s="17" t="n"/>
      <ns0:c r="X177" s="17" t="n"/>
      <ns0:c r="Y177" s="17" t="n"/>
      <ns0:c r="Z177" s="17" t="n"/>
      <ns0:c r="AA177" s="17" t="n"/>
      <ns0:c r="AB177" s="17" t="n"/>
      <ns0:c r="AC177" s="17" t="n"/>
      <ns0:c r="AD177" s="17" t="n"/>
      <ns0:c r="AE177" s="17" t="n"/>
      <ns0:c r="AF177" s="17" t="n"/>
      <ns0:c r="AG177" s="17" t="n"/>
    </ns0:row>
    <ns0:row r="178" ht="24" customHeight="1">
      <ns0:c r="D178" s="17" t="n"/>
      <ns0:c r="E178" s="17" t="n"/>
      <ns0:c r="F178" s="17" t="n"/>
      <ns0:c r="G178" s="17" t="n"/>
      <ns0:c r="H178" s="17" t="n"/>
      <ns0:c r="I178" s="17" t="n"/>
      <ns0:c r="J178" s="17" t="n"/>
      <ns0:c r="K178" s="17" t="n"/>
      <ns0:c r="L178" s="17" t="n"/>
      <ns0:c r="M178" s="17" t="n"/>
      <ns0:c r="N178" s="17" t="n"/>
      <ns0:c r="O178" s="17" t="n"/>
      <ns0:c r="P178" s="17" t="n"/>
      <ns0:c r="Q178" s="17" t="n"/>
      <ns0:c r="R178" s="17" t="n"/>
      <ns0:c r="S178" s="17" t="n"/>
      <ns0:c r="T178" s="17" t="n"/>
      <ns0:c r="U178" s="17" t="n"/>
      <ns0:c r="V178" s="17" t="n"/>
      <ns0:c r="W178" s="17" t="n"/>
      <ns0:c r="X178" s="17" t="n"/>
      <ns0:c r="Y178" s="17" t="n"/>
      <ns0:c r="Z178" s="17" t="n"/>
      <ns0:c r="AA178" s="17" t="n"/>
      <ns0:c r="AB178" s="17" t="n"/>
      <ns0:c r="AC178" s="17" t="n"/>
      <ns0:c r="AD178" s="17" t="n"/>
      <ns0:c r="AE178" s="17" t="n"/>
      <ns0:c r="AF178" s="17" t="n"/>
      <ns0:c r="AG178" s="17" t="n"/>
    </ns0:row>
    <ns0:row r="179" ht="24" customHeight="1">
      <ns0:c r="D179" s="17" t="n"/>
      <ns0:c r="E179" s="17" t="n"/>
      <ns0:c r="F179" s="17" t="n"/>
      <ns0:c r="G179" s="17" t="n"/>
      <ns0:c r="H179" s="17" t="n"/>
      <ns0:c r="I179" s="17" t="n"/>
      <ns0:c r="J179" s="17" t="n"/>
      <ns0:c r="K179" s="17" t="n"/>
      <ns0:c r="L179" s="17" t="n"/>
      <ns0:c r="M179" s="17" t="n"/>
      <ns0:c r="N179" s="17" t="n"/>
      <ns0:c r="O179" s="17" t="n"/>
      <ns0:c r="P179" s="17" t="n"/>
      <ns0:c r="Q179" s="17" t="n"/>
      <ns0:c r="R179" s="17" t="n"/>
      <ns0:c r="S179" s="17" t="n"/>
      <ns0:c r="T179" s="17" t="n"/>
      <ns0:c r="U179" s="17" t="n"/>
      <ns0:c r="V179" s="17" t="n"/>
      <ns0:c r="W179" s="17" t="n"/>
      <ns0:c r="X179" s="17" t="n"/>
      <ns0:c r="Y179" s="17" t="n"/>
      <ns0:c r="Z179" s="17" t="n"/>
      <ns0:c r="AA179" s="17" t="n"/>
      <ns0:c r="AB179" s="17" t="n"/>
      <ns0:c r="AC179" s="17" t="n"/>
      <ns0:c r="AD179" s="17" t="n"/>
      <ns0:c r="AE179" s="17" t="n"/>
      <ns0:c r="AF179" s="17" t="n"/>
      <ns0:c r="AG179" s="17" t="n"/>
    </ns0:row>
    <ns0:row r="180" ht="24" customHeight="1">
      <ns0:c r="D180" s="17" t="n"/>
      <ns0:c r="E180" s="17" t="n"/>
      <ns0:c r="F180" s="17" t="n"/>
      <ns0:c r="G180" s="17" t="n"/>
      <ns0:c r="H180" s="17" t="n"/>
      <ns0:c r="I180" s="17" t="n"/>
      <ns0:c r="J180" s="17" t="n"/>
      <ns0:c r="K180" s="17" t="n"/>
      <ns0:c r="L180" s="17" t="n"/>
      <ns0:c r="M180" s="17" t="n"/>
      <ns0:c r="N180" s="17" t="n"/>
      <ns0:c r="O180" s="17" t="n"/>
      <ns0:c r="P180" s="17" t="n"/>
      <ns0:c r="Q180" s="17" t="n"/>
      <ns0:c r="R180" s="17" t="n"/>
      <ns0:c r="S180" s="17" t="n"/>
      <ns0:c r="T180" s="17" t="n"/>
      <ns0:c r="U180" s="17" t="n"/>
      <ns0:c r="V180" s="17" t="n"/>
      <ns0:c r="W180" s="17" t="n"/>
      <ns0:c r="X180" s="17" t="n"/>
      <ns0:c r="Y180" s="17" t="n"/>
      <ns0:c r="Z180" s="17" t="n"/>
      <ns0:c r="AA180" s="17" t="n"/>
      <ns0:c r="AB180" s="17" t="n"/>
      <ns0:c r="AC180" s="17" t="n"/>
      <ns0:c r="AD180" s="17" t="n"/>
      <ns0:c r="AE180" s="17" t="n"/>
      <ns0:c r="AF180" s="17" t="n"/>
      <ns0:c r="AG180" s="17" t="n"/>
    </ns0:row>
    <ns0:row r="181" ht="24" customHeight="1">
      <ns0:c r="D181" s="17" t="n"/>
      <ns0:c r="E181" s="17" t="n"/>
      <ns0:c r="F181" s="17" t="n"/>
      <ns0:c r="G181" s="17" t="n"/>
      <ns0:c r="H181" s="17" t="n"/>
      <ns0:c r="I181" s="17" t="n"/>
      <ns0:c r="J181" s="17" t="n"/>
      <ns0:c r="K181" s="17" t="n"/>
      <ns0:c r="L181" s="17" t="n"/>
      <ns0:c r="M181" s="17" t="n"/>
      <ns0:c r="N181" s="17" t="n"/>
      <ns0:c r="O181" s="17" t="n"/>
      <ns0:c r="P181" s="17" t="n"/>
      <ns0:c r="Q181" s="17" t="n"/>
      <ns0:c r="R181" s="17" t="n"/>
      <ns0:c r="S181" s="17" t="n"/>
      <ns0:c r="T181" s="17" t="n"/>
      <ns0:c r="U181" s="17" t="n"/>
      <ns0:c r="V181" s="17" t="n"/>
      <ns0:c r="W181" s="17" t="n"/>
      <ns0:c r="X181" s="17" t="n"/>
      <ns0:c r="Y181" s="17" t="n"/>
      <ns0:c r="Z181" s="17" t="n"/>
      <ns0:c r="AA181" s="17" t="n"/>
      <ns0:c r="AB181" s="17" t="n"/>
      <ns0:c r="AC181" s="17" t="n"/>
      <ns0:c r="AD181" s="17" t="n"/>
      <ns0:c r="AE181" s="17" t="n"/>
      <ns0:c r="AF181" s="17" t="n"/>
      <ns0:c r="AG181" s="17" t="n"/>
    </ns0:row>
    <ns0:row r="182" ht="24" customHeight="1">
      <ns0:c r="D182" s="17" t="n"/>
      <ns0:c r="E182" s="17" t="n"/>
      <ns0:c r="F182" s="17" t="n"/>
      <ns0:c r="G182" s="17" t="n"/>
      <ns0:c r="H182" s="17" t="n"/>
      <ns0:c r="I182" s="17" t="n"/>
      <ns0:c r="J182" s="17" t="n"/>
      <ns0:c r="K182" s="17" t="n"/>
      <ns0:c r="L182" s="17" t="n"/>
      <ns0:c r="M182" s="17" t="n"/>
      <ns0:c r="N182" s="17" t="n"/>
      <ns0:c r="O182" s="17" t="n"/>
      <ns0:c r="P182" s="17" t="n"/>
      <ns0:c r="Q182" s="17" t="n"/>
      <ns0:c r="R182" s="17" t="n"/>
      <ns0:c r="S182" s="17" t="n"/>
      <ns0:c r="T182" s="17" t="n"/>
      <ns0:c r="U182" s="17" t="n"/>
      <ns0:c r="V182" s="17" t="n"/>
      <ns0:c r="W182" s="17" t="n"/>
      <ns0:c r="X182" s="17" t="n"/>
      <ns0:c r="Y182" s="17" t="n"/>
      <ns0:c r="Z182" s="17" t="n"/>
      <ns0:c r="AA182" s="17" t="n"/>
      <ns0:c r="AB182" s="17" t="n"/>
      <ns0:c r="AC182" s="17" t="n"/>
      <ns0:c r="AD182" s="17" t="n"/>
      <ns0:c r="AE182" s="17" t="n"/>
      <ns0:c r="AF182" s="17" t="n"/>
      <ns0:c r="AG182" s="17" t="n"/>
    </ns0:row>
    <ns0:row r="183" ht="24" customHeight="1">
      <ns0:c r="D183" s="17" t="n"/>
      <ns0:c r="E183" s="17" t="n"/>
      <ns0:c r="F183" s="17" t="n"/>
      <ns0:c r="G183" s="17" t="n"/>
      <ns0:c r="H183" s="17" t="n"/>
      <ns0:c r="I183" s="17" t="n"/>
      <ns0:c r="J183" s="17" t="n"/>
      <ns0:c r="K183" s="17" t="n"/>
      <ns0:c r="L183" s="17" t="n"/>
      <ns0:c r="M183" s="17" t="n"/>
      <ns0:c r="N183" s="17" t="n"/>
      <ns0:c r="O183" s="17" t="n"/>
      <ns0:c r="P183" s="17" t="n"/>
      <ns0:c r="Q183" s="17" t="n"/>
      <ns0:c r="R183" s="17" t="n"/>
      <ns0:c r="S183" s="17" t="n"/>
      <ns0:c r="T183" s="17" t="n"/>
      <ns0:c r="U183" s="17" t="n"/>
      <ns0:c r="V183" s="17" t="n"/>
      <ns0:c r="W183" s="17" t="n"/>
      <ns0:c r="X183" s="17" t="n"/>
      <ns0:c r="Y183" s="17" t="n"/>
      <ns0:c r="Z183" s="17" t="n"/>
      <ns0:c r="AA183" s="17" t="n"/>
      <ns0:c r="AB183" s="17" t="n"/>
      <ns0:c r="AC183" s="17" t="n"/>
      <ns0:c r="AD183" s="17" t="n"/>
      <ns0:c r="AE183" s="17" t="n"/>
      <ns0:c r="AF183" s="17" t="n"/>
      <ns0:c r="AG183" s="17" t="n"/>
    </ns0:row>
    <ns0:row r="184" ht="24" customHeight="1">
      <ns0:c r="D184" s="17" t="n"/>
      <ns0:c r="E184" s="17" t="n"/>
      <ns0:c r="F184" s="17" t="n"/>
      <ns0:c r="G184" s="17" t="n"/>
      <ns0:c r="H184" s="17" t="n"/>
      <ns0:c r="I184" s="17" t="n"/>
      <ns0:c r="J184" s="17" t="n"/>
      <ns0:c r="K184" s="17" t="n"/>
      <ns0:c r="L184" s="17" t="n"/>
      <ns0:c r="M184" s="17" t="n"/>
      <ns0:c r="N184" s="17" t="n"/>
      <ns0:c r="O184" s="17" t="n"/>
      <ns0:c r="P184" s="17" t="n"/>
      <ns0:c r="Q184" s="17" t="n"/>
      <ns0:c r="R184" s="17" t="n"/>
      <ns0:c r="S184" s="17" t="n"/>
      <ns0:c r="T184" s="17" t="n"/>
      <ns0:c r="U184" s="17" t="n"/>
      <ns0:c r="V184" s="17" t="n"/>
      <ns0:c r="W184" s="17" t="n"/>
      <ns0:c r="X184" s="17" t="n"/>
      <ns0:c r="Y184" s="17" t="n"/>
      <ns0:c r="Z184" s="17" t="n"/>
      <ns0:c r="AA184" s="17" t="n"/>
      <ns0:c r="AB184" s="17" t="n"/>
      <ns0:c r="AC184" s="17" t="n"/>
      <ns0:c r="AD184" s="17" t="n"/>
      <ns0:c r="AE184" s="17" t="n"/>
      <ns0:c r="AF184" s="17" t="n"/>
      <ns0:c r="AG184" s="17" t="n"/>
    </ns0:row>
    <ns0:row r="185" ht="24" customHeight="1">
      <ns0:c r="D185" s="17" t="n"/>
      <ns0:c r="E185" s="17" t="n"/>
      <ns0:c r="F185" s="17" t="n"/>
      <ns0:c r="G185" s="17" t="n"/>
      <ns0:c r="H185" s="17" t="n"/>
      <ns0:c r="I185" s="17" t="n"/>
      <ns0:c r="J185" s="17" t="n"/>
      <ns0:c r="K185" s="17" t="n"/>
      <ns0:c r="L185" s="17" t="n"/>
      <ns0:c r="M185" s="17" t="n"/>
      <ns0:c r="N185" s="17" t="n"/>
      <ns0:c r="O185" s="17" t="n"/>
      <ns0:c r="P185" s="17" t="n"/>
      <ns0:c r="Q185" s="17" t="n"/>
      <ns0:c r="R185" s="17" t="n"/>
      <ns0:c r="S185" s="17" t="n"/>
      <ns0:c r="T185" s="17" t="n"/>
      <ns0:c r="U185" s="17" t="n"/>
      <ns0:c r="V185" s="17" t="n"/>
      <ns0:c r="W185" s="17" t="n"/>
      <ns0:c r="X185" s="17" t="n"/>
      <ns0:c r="Y185" s="17" t="n"/>
      <ns0:c r="Z185" s="17" t="n"/>
      <ns0:c r="AA185" s="17" t="n"/>
      <ns0:c r="AB185" s="17" t="n"/>
      <ns0:c r="AC185" s="17" t="n"/>
      <ns0:c r="AD185" s="17" t="n"/>
      <ns0:c r="AE185" s="17" t="n"/>
      <ns0:c r="AF185" s="17" t="n"/>
      <ns0:c r="AG185" s="17" t="n"/>
    </ns0:row>
    <ns0:row r="186" ht="24" customHeight="1">
      <ns0:c r="D186" s="17" t="n"/>
      <ns0:c r="E186" s="17" t="n"/>
      <ns0:c r="F186" s="17" t="n"/>
      <ns0:c r="G186" s="17" t="n"/>
      <ns0:c r="H186" s="17" t="n"/>
      <ns0:c r="I186" s="17" t="n"/>
      <ns0:c r="J186" s="17" t="n"/>
      <ns0:c r="K186" s="17" t="n"/>
      <ns0:c r="L186" s="17" t="n"/>
      <ns0:c r="M186" s="17" t="n"/>
      <ns0:c r="N186" s="17" t="n"/>
      <ns0:c r="O186" s="17" t="n"/>
      <ns0:c r="P186" s="17" t="n"/>
      <ns0:c r="Q186" s="17" t="n"/>
      <ns0:c r="R186" s="17" t="n"/>
      <ns0:c r="S186" s="17" t="n"/>
      <ns0:c r="T186" s="17" t="n"/>
      <ns0:c r="U186" s="17" t="n"/>
      <ns0:c r="V186" s="17" t="n"/>
      <ns0:c r="W186" s="17" t="n"/>
      <ns0:c r="X186" s="17" t="n"/>
      <ns0:c r="Y186" s="17" t="n"/>
      <ns0:c r="Z186" s="17" t="n"/>
      <ns0:c r="AA186" s="17" t="n"/>
      <ns0:c r="AB186" s="17" t="n"/>
      <ns0:c r="AC186" s="17" t="n"/>
      <ns0:c r="AD186" s="17" t="n"/>
      <ns0:c r="AE186" s="17" t="n"/>
      <ns0:c r="AF186" s="17" t="n"/>
      <ns0:c r="AG186" s="17" t="n"/>
    </ns0:row>
    <ns0:row r="187" ht="24" customHeight="1">
      <ns0:c r="D187" s="17" t="n"/>
      <ns0:c r="E187" s="17" t="n"/>
      <ns0:c r="F187" s="17" t="n"/>
      <ns0:c r="G187" s="17" t="n"/>
      <ns0:c r="H187" s="17" t="n"/>
      <ns0:c r="I187" s="17" t="n"/>
      <ns0:c r="J187" s="17" t="n"/>
      <ns0:c r="K187" s="17" t="n"/>
      <ns0:c r="L187" s="17" t="n"/>
      <ns0:c r="M187" s="17" t="n"/>
      <ns0:c r="N187" s="17" t="n"/>
      <ns0:c r="O187" s="17" t="n"/>
      <ns0:c r="P187" s="17" t="n"/>
      <ns0:c r="Q187" s="17" t="n"/>
      <ns0:c r="R187" s="17" t="n"/>
      <ns0:c r="S187" s="17" t="n"/>
      <ns0:c r="T187" s="17" t="n"/>
      <ns0:c r="U187" s="17" t="n"/>
      <ns0:c r="V187" s="17" t="n"/>
      <ns0:c r="W187" s="17" t="n"/>
      <ns0:c r="X187" s="17" t="n"/>
      <ns0:c r="Y187" s="17" t="n"/>
      <ns0:c r="Z187" s="17" t="n"/>
      <ns0:c r="AA187" s="17" t="n"/>
      <ns0:c r="AB187" s="17" t="n"/>
      <ns0:c r="AC187" s="17" t="n"/>
      <ns0:c r="AD187" s="17" t="n"/>
      <ns0:c r="AE187" s="17" t="n"/>
      <ns0:c r="AF187" s="17" t="n"/>
      <ns0:c r="AG187" s="17" t="n"/>
    </ns0:row>
    <ns0:row r="188" ht="24" customHeight="1">
      <ns0:c r="D188" s="17" t="n"/>
      <ns0:c r="E188" s="17" t="n"/>
      <ns0:c r="F188" s="17" t="n"/>
      <ns0:c r="G188" s="17" t="n"/>
      <ns0:c r="H188" s="17" t="n"/>
      <ns0:c r="I188" s="17" t="n"/>
      <ns0:c r="J188" s="17" t="n"/>
      <ns0:c r="K188" s="17" t="n"/>
      <ns0:c r="L188" s="17" t="n"/>
      <ns0:c r="M188" s="17" t="n"/>
      <ns0:c r="N188" s="17" t="n"/>
      <ns0:c r="O188" s="17" t="n"/>
      <ns0:c r="P188" s="17" t="n"/>
      <ns0:c r="Q188" s="17" t="n"/>
      <ns0:c r="R188" s="17" t="n"/>
      <ns0:c r="S188" s="17" t="n"/>
      <ns0:c r="T188" s="17" t="n"/>
      <ns0:c r="U188" s="17" t="n"/>
      <ns0:c r="V188" s="17" t="n"/>
      <ns0:c r="W188" s="17" t="n"/>
      <ns0:c r="X188" s="17" t="n"/>
      <ns0:c r="Y188" s="17" t="n"/>
      <ns0:c r="Z188" s="17" t="n"/>
      <ns0:c r="AA188" s="17" t="n"/>
      <ns0:c r="AB188" s="17" t="n"/>
      <ns0:c r="AC188" s="17" t="n"/>
      <ns0:c r="AD188" s="17" t="n"/>
      <ns0:c r="AE188" s="17" t="n"/>
      <ns0:c r="AF188" s="17" t="n"/>
      <ns0:c r="AG188" s="17" t="n"/>
    </ns0:row>
    <ns0:row r="189" ht="24" customHeight="1">
      <ns0:c r="D189" s="17" t="n"/>
      <ns0:c r="E189" s="17" t="n"/>
      <ns0:c r="F189" s="17" t="n"/>
      <ns0:c r="G189" s="17" t="n"/>
      <ns0:c r="H189" s="17" t="n"/>
      <ns0:c r="I189" s="17" t="n"/>
      <ns0:c r="J189" s="17" t="n"/>
      <ns0:c r="K189" s="17" t="n"/>
      <ns0:c r="L189" s="17" t="n"/>
      <ns0:c r="M189" s="17" t="n"/>
      <ns0:c r="N189" s="17" t="n"/>
      <ns0:c r="O189" s="17" t="n"/>
      <ns0:c r="P189" s="17" t="n"/>
      <ns0:c r="Q189" s="17" t="n"/>
      <ns0:c r="R189" s="17" t="n"/>
      <ns0:c r="S189" s="17" t="n"/>
      <ns0:c r="T189" s="17" t="n"/>
      <ns0:c r="U189" s="17" t="n"/>
      <ns0:c r="V189" s="17" t="n"/>
      <ns0:c r="W189" s="17" t="n"/>
      <ns0:c r="X189" s="17" t="n"/>
      <ns0:c r="Y189" s="17" t="n"/>
      <ns0:c r="Z189" s="17" t="n"/>
      <ns0:c r="AA189" s="17" t="n"/>
      <ns0:c r="AB189" s="17" t="n"/>
      <ns0:c r="AC189" s="17" t="n"/>
      <ns0:c r="AD189" s="17" t="n"/>
      <ns0:c r="AE189" s="17" t="n"/>
      <ns0:c r="AF189" s="17" t="n"/>
      <ns0:c r="AG189" s="17" t="n"/>
    </ns0:row>
    <ns0:row r="190" ht="24" customHeight="1">
      <ns0:c r="D190" s="17" t="n"/>
      <ns0:c r="E190" s="17" t="n"/>
      <ns0:c r="F190" s="17" t="n"/>
      <ns0:c r="G190" s="17" t="n"/>
      <ns0:c r="H190" s="17" t="n"/>
      <ns0:c r="I190" s="17" t="n"/>
      <ns0:c r="J190" s="17" t="n"/>
      <ns0:c r="K190" s="17" t="n"/>
      <ns0:c r="L190" s="17" t="n"/>
      <ns0:c r="M190" s="17" t="n"/>
      <ns0:c r="N190" s="17" t="n"/>
      <ns0:c r="O190" s="17" t="n"/>
      <ns0:c r="P190" s="17" t="n"/>
      <ns0:c r="Q190" s="17" t="n"/>
      <ns0:c r="R190" s="17" t="n"/>
      <ns0:c r="S190" s="17" t="n"/>
      <ns0:c r="T190" s="17" t="n"/>
      <ns0:c r="U190" s="17" t="n"/>
      <ns0:c r="V190" s="17" t="n"/>
      <ns0:c r="W190" s="17" t="n"/>
      <ns0:c r="X190" s="17" t="n"/>
      <ns0:c r="Y190" s="17" t="n"/>
      <ns0:c r="Z190" s="17" t="n"/>
      <ns0:c r="AA190" s="17" t="n"/>
      <ns0:c r="AB190" s="17" t="n"/>
      <ns0:c r="AC190" s="17" t="n"/>
      <ns0:c r="AD190" s="17" t="n"/>
      <ns0:c r="AE190" s="17" t="n"/>
      <ns0:c r="AF190" s="17" t="n"/>
      <ns0:c r="AG190" s="17" t="n"/>
    </ns0:row>
    <ns0:row r="191" ht="24" customHeight="1">
      <ns0:c r="D191" s="17" t="n"/>
      <ns0:c r="E191" s="17" t="n"/>
      <ns0:c r="F191" s="17" t="n"/>
      <ns0:c r="G191" s="17" t="n"/>
      <ns0:c r="H191" s="17" t="n"/>
      <ns0:c r="I191" s="17" t="n"/>
      <ns0:c r="J191" s="17" t="n"/>
      <ns0:c r="K191" s="17" t="n"/>
      <ns0:c r="L191" s="17" t="n"/>
      <ns0:c r="M191" s="17" t="n"/>
      <ns0:c r="N191" s="17" t="n"/>
      <ns0:c r="O191" s="17" t="n"/>
      <ns0:c r="P191" s="17" t="n"/>
      <ns0:c r="Q191" s="17" t="n"/>
      <ns0:c r="R191" s="17" t="n"/>
      <ns0:c r="S191" s="17" t="n"/>
      <ns0:c r="T191" s="17" t="n"/>
      <ns0:c r="U191" s="17" t="n"/>
      <ns0:c r="V191" s="17" t="n"/>
      <ns0:c r="W191" s="17" t="n"/>
      <ns0:c r="X191" s="17" t="n"/>
      <ns0:c r="Y191" s="17" t="n"/>
      <ns0:c r="Z191" s="17" t="n"/>
      <ns0:c r="AA191" s="17" t="n"/>
      <ns0:c r="AB191" s="17" t="n"/>
      <ns0:c r="AC191" s="17" t="n"/>
      <ns0:c r="AD191" s="17" t="n"/>
      <ns0:c r="AE191" s="17" t="n"/>
      <ns0:c r="AF191" s="17" t="n"/>
      <ns0:c r="AG191" s="17" t="n"/>
    </ns0:row>
    <ns0:row r="192" ht="24" customHeight="1">
      <ns0:c r="D192" s="17" t="n"/>
      <ns0:c r="E192" s="17" t="n"/>
      <ns0:c r="F192" s="17" t="n"/>
      <ns0:c r="G192" s="17" t="n"/>
      <ns0:c r="H192" s="17" t="n"/>
      <ns0:c r="I192" s="17" t="n"/>
      <ns0:c r="J192" s="17" t="n"/>
      <ns0:c r="K192" s="17" t="n"/>
      <ns0:c r="L192" s="17" t="n"/>
      <ns0:c r="M192" s="17" t="n"/>
      <ns0:c r="N192" s="17" t="n"/>
      <ns0:c r="O192" s="17" t="n"/>
      <ns0:c r="P192" s="17" t="n"/>
      <ns0:c r="Q192" s="17" t="n"/>
      <ns0:c r="R192" s="17" t="n"/>
      <ns0:c r="S192" s="17" t="n"/>
      <ns0:c r="T192" s="17" t="n"/>
      <ns0:c r="U192" s="17" t="n"/>
      <ns0:c r="V192" s="17" t="n"/>
      <ns0:c r="W192" s="17" t="n"/>
      <ns0:c r="X192" s="17" t="n"/>
      <ns0:c r="Y192" s="17" t="n"/>
      <ns0:c r="Z192" s="17" t="n"/>
      <ns0:c r="AA192" s="17" t="n"/>
      <ns0:c r="AB192" s="17" t="n"/>
      <ns0:c r="AC192" s="17" t="n"/>
      <ns0:c r="AD192" s="17" t="n"/>
      <ns0:c r="AE192" s="17" t="n"/>
      <ns0:c r="AF192" s="17" t="n"/>
      <ns0:c r="AG192" s="17" t="n"/>
    </ns0:row>
    <ns0:row r="193" ht="24" customHeight="1">
      <ns0:c r="D193" s="17" t="n"/>
      <ns0:c r="E193" s="17" t="n"/>
      <ns0:c r="F193" s="17" t="n"/>
      <ns0:c r="G193" s="17" t="n"/>
      <ns0:c r="H193" s="17" t="n"/>
      <ns0:c r="I193" s="17" t="n"/>
      <ns0:c r="J193" s="17" t="n"/>
      <ns0:c r="K193" s="17" t="n"/>
      <ns0:c r="L193" s="17" t="n"/>
      <ns0:c r="M193" s="17" t="n"/>
      <ns0:c r="N193" s="17" t="n"/>
      <ns0:c r="O193" s="17" t="n"/>
      <ns0:c r="P193" s="17" t="n"/>
      <ns0:c r="Q193" s="17" t="n"/>
      <ns0:c r="R193" s="17" t="n"/>
      <ns0:c r="S193" s="17" t="n"/>
      <ns0:c r="T193" s="17" t="n"/>
      <ns0:c r="U193" s="17" t="n"/>
      <ns0:c r="V193" s="17" t="n"/>
      <ns0:c r="W193" s="17" t="n"/>
      <ns0:c r="X193" s="17" t="n"/>
      <ns0:c r="Y193" s="17" t="n"/>
      <ns0:c r="Z193" s="17" t="n"/>
      <ns0:c r="AA193" s="17" t="n"/>
      <ns0:c r="AB193" s="17" t="n"/>
      <ns0:c r="AC193" s="17" t="n"/>
      <ns0:c r="AD193" s="17" t="n"/>
      <ns0:c r="AE193" s="17" t="n"/>
      <ns0:c r="AF193" s="17" t="n"/>
      <ns0:c r="AG193" s="17" t="n"/>
    </ns0:row>
    <ns0:row r="194" ht="24" customHeight="1">
      <ns0:c r="D194" s="17" t="n"/>
      <ns0:c r="E194" s="17" t="n"/>
      <ns0:c r="F194" s="17" t="n"/>
      <ns0:c r="G194" s="17" t="n"/>
      <ns0:c r="H194" s="17" t="n"/>
      <ns0:c r="I194" s="17" t="n"/>
      <ns0:c r="J194" s="17" t="n"/>
      <ns0:c r="K194" s="17" t="n"/>
      <ns0:c r="L194" s="17" t="n"/>
      <ns0:c r="M194" s="17" t="n"/>
      <ns0:c r="N194" s="17" t="n"/>
      <ns0:c r="O194" s="17" t="n"/>
      <ns0:c r="P194" s="17" t="n"/>
      <ns0:c r="Q194" s="17" t="n"/>
      <ns0:c r="R194" s="17" t="n"/>
      <ns0:c r="S194" s="17" t="n"/>
      <ns0:c r="T194" s="17" t="n"/>
      <ns0:c r="U194" s="17" t="n"/>
      <ns0:c r="V194" s="17" t="n"/>
      <ns0:c r="W194" s="17" t="n"/>
      <ns0:c r="X194" s="17" t="n"/>
      <ns0:c r="Y194" s="17" t="n"/>
      <ns0:c r="Z194" s="17" t="n"/>
      <ns0:c r="AA194" s="17" t="n"/>
      <ns0:c r="AB194" s="17" t="n"/>
      <ns0:c r="AC194" s="17" t="n"/>
      <ns0:c r="AD194" s="17" t="n"/>
      <ns0:c r="AE194" s="17" t="n"/>
      <ns0:c r="AF194" s="17" t="n"/>
      <ns0:c r="AG194" s="17" t="n"/>
    </ns0:row>
    <ns0:row r="195" ht="24" customHeight="1">
      <ns0:c r="D195" s="17" t="n"/>
      <ns0:c r="E195" s="17" t="n"/>
      <ns0:c r="F195" s="17" t="n"/>
      <ns0:c r="G195" s="17" t="n"/>
      <ns0:c r="H195" s="17" t="n"/>
      <ns0:c r="I195" s="17" t="n"/>
      <ns0:c r="J195" s="17" t="n"/>
      <ns0:c r="K195" s="17" t="n"/>
      <ns0:c r="L195" s="17" t="n"/>
      <ns0:c r="M195" s="17" t="n"/>
      <ns0:c r="N195" s="17" t="n"/>
      <ns0:c r="O195" s="17" t="n"/>
      <ns0:c r="P195" s="17" t="n"/>
      <ns0:c r="Q195" s="17" t="n"/>
      <ns0:c r="R195" s="17" t="n"/>
      <ns0:c r="S195" s="17" t="n"/>
      <ns0:c r="T195" s="17" t="n"/>
      <ns0:c r="U195" s="17" t="n"/>
      <ns0:c r="V195" s="17" t="n"/>
      <ns0:c r="W195" s="17" t="n"/>
      <ns0:c r="X195" s="17" t="n"/>
      <ns0:c r="Y195" s="17" t="n"/>
      <ns0:c r="Z195" s="17" t="n"/>
      <ns0:c r="AA195" s="17" t="n"/>
      <ns0:c r="AB195" s="17" t="n"/>
      <ns0:c r="AC195" s="17" t="n"/>
      <ns0:c r="AD195" s="17" t="n"/>
      <ns0:c r="AE195" s="17" t="n"/>
      <ns0:c r="AF195" s="17" t="n"/>
      <ns0:c r="AG195" s="17" t="n"/>
    </ns0:row>
    <ns0:row r="196" ht="24" customHeight="1">
      <ns0:c r="D196" s="17" t="n"/>
      <ns0:c r="E196" s="17" t="n"/>
      <ns0:c r="F196" s="17" t="n"/>
      <ns0:c r="G196" s="17" t="n"/>
      <ns0:c r="H196" s="17" t="n"/>
      <ns0:c r="I196" s="17" t="n"/>
      <ns0:c r="J196" s="17" t="n"/>
      <ns0:c r="K196" s="17" t="n"/>
      <ns0:c r="L196" s="17" t="n"/>
      <ns0:c r="M196" s="17" t="n"/>
      <ns0:c r="N196" s="17" t="n"/>
      <ns0:c r="O196" s="17" t="n"/>
      <ns0:c r="P196" s="17" t="n"/>
      <ns0:c r="Q196" s="17" t="n"/>
      <ns0:c r="R196" s="17" t="n"/>
      <ns0:c r="S196" s="17" t="n"/>
      <ns0:c r="T196" s="17" t="n"/>
      <ns0:c r="U196" s="17" t="n"/>
      <ns0:c r="V196" s="17" t="n"/>
      <ns0:c r="W196" s="17" t="n"/>
      <ns0:c r="X196" s="17" t="n"/>
      <ns0:c r="Y196" s="17" t="n"/>
      <ns0:c r="Z196" s="17" t="n"/>
      <ns0:c r="AA196" s="17" t="n"/>
      <ns0:c r="AB196" s="17" t="n"/>
      <ns0:c r="AC196" s="17" t="n"/>
      <ns0:c r="AD196" s="17" t="n"/>
      <ns0:c r="AE196" s="17" t="n"/>
      <ns0:c r="AF196" s="17" t="n"/>
      <ns0:c r="AG196" s="17" t="n"/>
    </ns0:row>
    <ns0:row r="197" ht="24" customHeight="1">
      <ns0:c r="D197" s="17" t="n"/>
      <ns0:c r="E197" s="17" t="n"/>
      <ns0:c r="F197" s="17" t="n"/>
      <ns0:c r="G197" s="17" t="n"/>
      <ns0:c r="H197" s="17" t="n"/>
      <ns0:c r="I197" s="17" t="n"/>
      <ns0:c r="J197" s="17" t="n"/>
      <ns0:c r="K197" s="17" t="n"/>
      <ns0:c r="L197" s="17" t="n"/>
      <ns0:c r="M197" s="17" t="n"/>
      <ns0:c r="N197" s="17" t="n"/>
      <ns0:c r="O197" s="17" t="n"/>
      <ns0:c r="P197" s="17" t="n"/>
      <ns0:c r="Q197" s="17" t="n"/>
      <ns0:c r="R197" s="17" t="n"/>
      <ns0:c r="S197" s="17" t="n"/>
      <ns0:c r="T197" s="17" t="n"/>
      <ns0:c r="U197" s="17" t="n"/>
      <ns0:c r="V197" s="17" t="n"/>
      <ns0:c r="W197" s="17" t="n"/>
      <ns0:c r="X197" s="17" t="n"/>
      <ns0:c r="Y197" s="17" t="n"/>
      <ns0:c r="Z197" s="17" t="n"/>
      <ns0:c r="AA197" s="17" t="n"/>
      <ns0:c r="AB197" s="17" t="n"/>
      <ns0:c r="AC197" s="17" t="n"/>
      <ns0:c r="AD197" s="17" t="n"/>
      <ns0:c r="AE197" s="17" t="n"/>
      <ns0:c r="AF197" s="17" t="n"/>
      <ns0:c r="AG197" s="17" t="n"/>
    </ns0:row>
    <ns0:row r="198" ht="24" customHeight="1">
      <ns0:c r="D198" s="17" t="n"/>
      <ns0:c r="E198" s="17" t="n"/>
      <ns0:c r="F198" s="17" t="n"/>
      <ns0:c r="G198" s="17" t="n"/>
      <ns0:c r="H198" s="17" t="n"/>
      <ns0:c r="I198" s="17" t="n"/>
      <ns0:c r="J198" s="17" t="n"/>
      <ns0:c r="K198" s="17" t="n"/>
      <ns0:c r="L198" s="17" t="n"/>
      <ns0:c r="M198" s="17" t="n"/>
      <ns0:c r="N198" s="17" t="n"/>
      <ns0:c r="O198" s="17" t="n"/>
      <ns0:c r="P198" s="17" t="n"/>
      <ns0:c r="Q198" s="17" t="n"/>
      <ns0:c r="R198" s="17" t="n"/>
      <ns0:c r="S198" s="17" t="n"/>
      <ns0:c r="T198" s="17" t="n"/>
      <ns0:c r="U198" s="17" t="n"/>
      <ns0:c r="V198" s="17" t="n"/>
      <ns0:c r="W198" s="17" t="n"/>
      <ns0:c r="X198" s="17" t="n"/>
      <ns0:c r="Y198" s="17" t="n"/>
      <ns0:c r="Z198" s="17" t="n"/>
      <ns0:c r="AA198" s="17" t="n"/>
      <ns0:c r="AB198" s="17" t="n"/>
      <ns0:c r="AC198" s="17" t="n"/>
      <ns0:c r="AD198" s="17" t="n"/>
      <ns0:c r="AE198" s="17" t="n"/>
      <ns0:c r="AF198" s="17" t="n"/>
      <ns0:c r="AG198" s="17" t="n"/>
    </ns0:row>
    <ns0:row r="199" ht="24" customHeight="1">
      <ns0:c r="D199" s="17" t="n"/>
      <ns0:c r="E199" s="17" t="n"/>
      <ns0:c r="F199" s="17" t="n"/>
      <ns0:c r="G199" s="17" t="n"/>
      <ns0:c r="H199" s="17" t="n"/>
      <ns0:c r="I199" s="17" t="n"/>
      <ns0:c r="J199" s="17" t="n"/>
      <ns0:c r="K199" s="17" t="n"/>
      <ns0:c r="L199" s="17" t="n"/>
      <ns0:c r="M199" s="17" t="n"/>
      <ns0:c r="N199" s="17" t="n"/>
      <ns0:c r="O199" s="17" t="n"/>
      <ns0:c r="P199" s="17" t="n"/>
      <ns0:c r="Q199" s="17" t="n"/>
      <ns0:c r="R199" s="17" t="n"/>
      <ns0:c r="S199" s="17" t="n"/>
      <ns0:c r="T199" s="17" t="n"/>
      <ns0:c r="U199" s="17" t="n"/>
      <ns0:c r="V199" s="17" t="n"/>
      <ns0:c r="W199" s="17" t="n"/>
      <ns0:c r="X199" s="17" t="n"/>
      <ns0:c r="Y199" s="17" t="n"/>
      <ns0:c r="Z199" s="17" t="n"/>
      <ns0:c r="AA199" s="17" t="n"/>
      <ns0:c r="AB199" s="17" t="n"/>
      <ns0:c r="AC199" s="17" t="n"/>
      <ns0:c r="AD199" s="17" t="n"/>
      <ns0:c r="AE199" s="17" t="n"/>
      <ns0:c r="AF199" s="17" t="n"/>
      <ns0:c r="AG199" s="17" t="n"/>
    </ns0:row>
    <ns0:row r="200" ht="24" customHeight="1">
      <ns0:c r="D200" s="17" t="n"/>
      <ns0:c r="E200" s="17" t="n"/>
      <ns0:c r="F200" s="17" t="n"/>
      <ns0:c r="G200" s="17" t="n"/>
      <ns0:c r="H200" s="17" t="n"/>
      <ns0:c r="I200" s="17" t="n"/>
      <ns0:c r="J200" s="17" t="n"/>
      <ns0:c r="K200" s="17" t="n"/>
      <ns0:c r="L200" s="17" t="n"/>
      <ns0:c r="M200" s="17" t="n"/>
      <ns0:c r="N200" s="17" t="n"/>
      <ns0:c r="O200" s="17" t="n"/>
      <ns0:c r="P200" s="17" t="n"/>
      <ns0:c r="Q200" s="17" t="n"/>
      <ns0:c r="R200" s="17" t="n"/>
      <ns0:c r="S200" s="17" t="n"/>
      <ns0:c r="T200" s="17" t="n"/>
      <ns0:c r="U200" s="17" t="n"/>
      <ns0:c r="V200" s="17" t="n"/>
      <ns0:c r="W200" s="17" t="n"/>
      <ns0:c r="X200" s="17" t="n"/>
      <ns0:c r="Y200" s="17" t="n"/>
      <ns0:c r="Z200" s="17" t="n"/>
      <ns0:c r="AA200" s="17" t="n"/>
      <ns0:c r="AB200" s="17" t="n"/>
      <ns0:c r="AC200" s="17" t="n"/>
      <ns0:c r="AD200" s="17" t="n"/>
      <ns0:c r="AE200" s="17" t="n"/>
      <ns0:c r="AF200" s="17" t="n"/>
      <ns0:c r="AG200" s="17" t="n"/>
    </ns0:row>
    <ns0:row r="201" ht="24" customHeight="1">
      <ns0:c r="D201" s="17" t="n"/>
      <ns0:c r="E201" s="17" t="n"/>
      <ns0:c r="F201" s="17" t="n"/>
      <ns0:c r="G201" s="17" t="n"/>
      <ns0:c r="H201" s="17" t="n"/>
      <ns0:c r="I201" s="17" t="n"/>
      <ns0:c r="J201" s="17" t="n"/>
      <ns0:c r="K201" s="17" t="n"/>
      <ns0:c r="L201" s="17" t="n"/>
      <ns0:c r="M201" s="17" t="n"/>
      <ns0:c r="N201" s="17" t="n"/>
      <ns0:c r="O201" s="17" t="n"/>
      <ns0:c r="P201" s="17" t="n"/>
      <ns0:c r="Q201" s="17" t="n"/>
      <ns0:c r="R201" s="17" t="n"/>
      <ns0:c r="S201" s="17" t="n"/>
      <ns0:c r="T201" s="17" t="n"/>
      <ns0:c r="U201" s="17" t="n"/>
      <ns0:c r="V201" s="17" t="n"/>
      <ns0:c r="W201" s="17" t="n"/>
      <ns0:c r="X201" s="17" t="n"/>
      <ns0:c r="Y201" s="17" t="n"/>
      <ns0:c r="Z201" s="17" t="n"/>
      <ns0:c r="AA201" s="17" t="n"/>
      <ns0:c r="AB201" s="17" t="n"/>
      <ns0:c r="AC201" s="17" t="n"/>
      <ns0:c r="AD201" s="17" t="n"/>
      <ns0:c r="AE201" s="17" t="n"/>
      <ns0:c r="AF201" s="17" t="n"/>
      <ns0:c r="AG201" s="17" t="n"/>
    </ns0:row>
    <ns0:row r="202" ht="24" customHeight="1">
      <ns0:c r="D202" s="17" t="n"/>
      <ns0:c r="E202" s="17" t="n"/>
      <ns0:c r="F202" s="17" t="n"/>
      <ns0:c r="G202" s="17" t="n"/>
      <ns0:c r="H202" s="17" t="n"/>
      <ns0:c r="I202" s="17" t="n"/>
      <ns0:c r="J202" s="17" t="n"/>
      <ns0:c r="K202" s="17" t="n"/>
      <ns0:c r="L202" s="17" t="n"/>
      <ns0:c r="M202" s="17" t="n"/>
      <ns0:c r="N202" s="17" t="n"/>
      <ns0:c r="O202" s="17" t="n"/>
      <ns0:c r="P202" s="17" t="n"/>
      <ns0:c r="Q202" s="17" t="n"/>
      <ns0:c r="R202" s="17" t="n"/>
      <ns0:c r="S202" s="17" t="n"/>
      <ns0:c r="T202" s="17" t="n"/>
      <ns0:c r="U202" s="17" t="n"/>
      <ns0:c r="V202" s="17" t="n"/>
      <ns0:c r="W202" s="17" t="n"/>
      <ns0:c r="X202" s="17" t="n"/>
      <ns0:c r="Y202" s="17" t="n"/>
      <ns0:c r="Z202" s="17" t="n"/>
      <ns0:c r="AA202" s="17" t="n"/>
      <ns0:c r="AB202" s="17" t="n"/>
      <ns0:c r="AC202" s="17" t="n"/>
      <ns0:c r="AD202" s="17" t="n"/>
      <ns0:c r="AE202" s="17" t="n"/>
      <ns0:c r="AF202" s="17" t="n"/>
      <ns0:c r="AG202" s="17" t="n"/>
    </ns0:row>
    <ns0:row r="203" ht="24" customHeight="1">
      <ns0:c r="D203" s="17" t="n"/>
      <ns0:c r="E203" s="17" t="n"/>
      <ns0:c r="F203" s="17" t="n"/>
      <ns0:c r="G203" s="17" t="n"/>
      <ns0:c r="H203" s="17" t="n"/>
      <ns0:c r="I203" s="17" t="n"/>
      <ns0:c r="J203" s="17" t="n"/>
      <ns0:c r="K203" s="17" t="n"/>
      <ns0:c r="L203" s="17" t="n"/>
      <ns0:c r="M203" s="17" t="n"/>
      <ns0:c r="N203" s="17" t="n"/>
      <ns0:c r="O203" s="17" t="n"/>
      <ns0:c r="P203" s="17" t="n"/>
      <ns0:c r="Q203" s="17" t="n"/>
      <ns0:c r="R203" s="17" t="n"/>
      <ns0:c r="S203" s="17" t="n"/>
      <ns0:c r="T203" s="17" t="n"/>
      <ns0:c r="U203" s="17" t="n"/>
      <ns0:c r="V203" s="17" t="n"/>
      <ns0:c r="W203" s="17" t="n"/>
      <ns0:c r="X203" s="17" t="n"/>
      <ns0:c r="Y203" s="17" t="n"/>
      <ns0:c r="Z203" s="17" t="n"/>
      <ns0:c r="AA203" s="17" t="n"/>
      <ns0:c r="AB203" s="17" t="n"/>
      <ns0:c r="AC203" s="17" t="n"/>
      <ns0:c r="AD203" s="17" t="n"/>
      <ns0:c r="AE203" s="17" t="n"/>
      <ns0:c r="AF203" s="17" t="n"/>
      <ns0:c r="AG203" s="17" t="n"/>
    </ns0:row>
    <ns0:row r="204" ht="24" customHeight="1">
      <ns0:c r="D204" s="17" t="n"/>
      <ns0:c r="E204" s="17" t="n"/>
      <ns0:c r="F204" s="17" t="n"/>
      <ns0:c r="G204" s="17" t="n"/>
      <ns0:c r="H204" s="17" t="n"/>
      <ns0:c r="I204" s="17" t="n"/>
      <ns0:c r="J204" s="17" t="n"/>
      <ns0:c r="K204" s="17" t="n"/>
      <ns0:c r="L204" s="17" t="n"/>
      <ns0:c r="M204" s="17" t="n"/>
      <ns0:c r="N204" s="17" t="n"/>
      <ns0:c r="O204" s="17" t="n"/>
      <ns0:c r="P204" s="17" t="n"/>
      <ns0:c r="Q204" s="17" t="n"/>
      <ns0:c r="R204" s="17" t="n"/>
      <ns0:c r="S204" s="17" t="n"/>
      <ns0:c r="T204" s="17" t="n"/>
      <ns0:c r="U204" s="17" t="n"/>
      <ns0:c r="V204" s="17" t="n"/>
      <ns0:c r="W204" s="17" t="n"/>
      <ns0:c r="X204" s="17" t="n"/>
      <ns0:c r="Y204" s="17" t="n"/>
      <ns0:c r="Z204" s="17" t="n"/>
      <ns0:c r="AA204" s="17" t="n"/>
      <ns0:c r="AB204" s="17" t="n"/>
      <ns0:c r="AC204" s="17" t="n"/>
      <ns0:c r="AD204" s="17" t="n"/>
      <ns0:c r="AE204" s="17" t="n"/>
      <ns0:c r="AF204" s="17" t="n"/>
      <ns0:c r="AG204" s="17" t="n"/>
    </ns0:row>
    <ns0:row r="205" ht="24" customHeight="1">
      <ns0:c r="D205" s="17" t="n"/>
      <ns0:c r="E205" s="17" t="n"/>
      <ns0:c r="F205" s="17" t="n"/>
      <ns0:c r="G205" s="17" t="n"/>
      <ns0:c r="H205" s="17" t="n"/>
      <ns0:c r="I205" s="17" t="n"/>
      <ns0:c r="J205" s="17" t="n"/>
      <ns0:c r="K205" s="17" t="n"/>
      <ns0:c r="L205" s="17" t="n"/>
      <ns0:c r="M205" s="17" t="n"/>
      <ns0:c r="N205" s="17" t="n"/>
      <ns0:c r="O205" s="17" t="n"/>
      <ns0:c r="P205" s="17" t="n"/>
      <ns0:c r="Q205" s="17" t="n"/>
      <ns0:c r="R205" s="17" t="n"/>
      <ns0:c r="S205" s="17" t="n"/>
      <ns0:c r="T205" s="17" t="n"/>
      <ns0:c r="U205" s="17" t="n"/>
      <ns0:c r="V205" s="17" t="n"/>
      <ns0:c r="W205" s="17" t="n"/>
      <ns0:c r="X205" s="17" t="n"/>
      <ns0:c r="Y205" s="17" t="n"/>
      <ns0:c r="Z205" s="17" t="n"/>
      <ns0:c r="AA205" s="17" t="n"/>
      <ns0:c r="AB205" s="17" t="n"/>
      <ns0:c r="AC205" s="17" t="n"/>
      <ns0:c r="AD205" s="17" t="n"/>
      <ns0:c r="AE205" s="17" t="n"/>
      <ns0:c r="AF205" s="17" t="n"/>
      <ns0:c r="AG205" s="17" t="n"/>
    </ns0:row>
    <ns0:row r="206" ht="24" customHeight="1">
      <ns0:c r="D206" s="17" t="n"/>
      <ns0:c r="E206" s="17" t="n"/>
      <ns0:c r="F206" s="17" t="n"/>
      <ns0:c r="G206" s="17" t="n"/>
      <ns0:c r="H206" s="17" t="n"/>
      <ns0:c r="I206" s="17" t="n"/>
      <ns0:c r="J206" s="17" t="n"/>
      <ns0:c r="K206" s="17" t="n"/>
      <ns0:c r="L206" s="17" t="n"/>
      <ns0:c r="M206" s="17" t="n"/>
      <ns0:c r="N206" s="17" t="n"/>
      <ns0:c r="O206" s="17" t="n"/>
      <ns0:c r="P206" s="17" t="n"/>
      <ns0:c r="Q206" s="17" t="n"/>
      <ns0:c r="R206" s="17" t="n"/>
      <ns0:c r="S206" s="17" t="n"/>
      <ns0:c r="T206" s="17" t="n"/>
      <ns0:c r="U206" s="17" t="n"/>
      <ns0:c r="V206" s="17" t="n"/>
      <ns0:c r="W206" s="17" t="n"/>
      <ns0:c r="X206" s="17" t="n"/>
      <ns0:c r="Y206" s="17" t="n"/>
      <ns0:c r="Z206" s="17" t="n"/>
      <ns0:c r="AA206" s="17" t="n"/>
      <ns0:c r="AB206" s="17" t="n"/>
      <ns0:c r="AC206" s="17" t="n"/>
      <ns0:c r="AD206" s="17" t="n"/>
      <ns0:c r="AE206" s="17" t="n"/>
      <ns0:c r="AF206" s="17" t="n"/>
      <ns0:c r="AG206" s="17" t="n"/>
    </ns0:row>
    <ns0:row r="207" ht="24" customHeight="1">
      <ns0:c r="D207" s="17" t="n"/>
      <ns0:c r="E207" s="17" t="n"/>
      <ns0:c r="F207" s="17" t="n"/>
      <ns0:c r="G207" s="17" t="n"/>
      <ns0:c r="H207" s="17" t="n"/>
      <ns0:c r="I207" s="17" t="n"/>
      <ns0:c r="J207" s="17" t="n"/>
      <ns0:c r="K207" s="17" t="n"/>
      <ns0:c r="L207" s="17" t="n"/>
      <ns0:c r="M207" s="17" t="n"/>
      <ns0:c r="N207" s="17" t="n"/>
      <ns0:c r="O207" s="17" t="n"/>
      <ns0:c r="P207" s="17" t="n"/>
      <ns0:c r="Q207" s="17" t="n"/>
      <ns0:c r="R207" s="17" t="n"/>
      <ns0:c r="S207" s="17" t="n"/>
      <ns0:c r="T207" s="17" t="n"/>
      <ns0:c r="U207" s="17" t="n"/>
      <ns0:c r="V207" s="17" t="n"/>
      <ns0:c r="W207" s="17" t="n"/>
      <ns0:c r="X207" s="17" t="n"/>
      <ns0:c r="Y207" s="17" t="n"/>
      <ns0:c r="Z207" s="17" t="n"/>
      <ns0:c r="AA207" s="17" t="n"/>
      <ns0:c r="AB207" s="17" t="n"/>
      <ns0:c r="AC207" s="17" t="n"/>
      <ns0:c r="AD207" s="17" t="n"/>
      <ns0:c r="AE207" s="17" t="n"/>
      <ns0:c r="AF207" s="17" t="n"/>
      <ns0:c r="AG207" s="17" t="n"/>
    </ns0:row>
    <ns0:row r="208" ht="24" customHeight="1">
      <ns0:c r="D208" s="17" t="n"/>
      <ns0:c r="E208" s="17" t="n"/>
      <ns0:c r="F208" s="17" t="n"/>
      <ns0:c r="G208" s="17" t="n"/>
      <ns0:c r="H208" s="17" t="n"/>
      <ns0:c r="I208" s="17" t="n"/>
      <ns0:c r="J208" s="17" t="n"/>
      <ns0:c r="K208" s="17" t="n"/>
      <ns0:c r="L208" s="17" t="n"/>
      <ns0:c r="M208" s="17" t="n"/>
      <ns0:c r="N208" s="17" t="n"/>
      <ns0:c r="O208" s="17" t="n"/>
      <ns0:c r="P208" s="17" t="n"/>
      <ns0:c r="Q208" s="17" t="n"/>
      <ns0:c r="R208" s="17" t="n"/>
      <ns0:c r="S208" s="17" t="n"/>
      <ns0:c r="T208" s="17" t="n"/>
      <ns0:c r="U208" s="17" t="n"/>
      <ns0:c r="V208" s="17" t="n"/>
      <ns0:c r="W208" s="17" t="n"/>
      <ns0:c r="X208" s="17" t="n"/>
      <ns0:c r="Y208" s="17" t="n"/>
      <ns0:c r="Z208" s="17" t="n"/>
      <ns0:c r="AA208" s="17" t="n"/>
      <ns0:c r="AB208" s="17" t="n"/>
      <ns0:c r="AC208" s="17" t="n"/>
      <ns0:c r="AD208" s="17" t="n"/>
      <ns0:c r="AE208" s="17" t="n"/>
      <ns0:c r="AF208" s="17" t="n"/>
      <ns0:c r="AG208" s="17" t="n"/>
    </ns0:row>
    <ns0:row r="209" ht="24" customHeight="1">
      <ns0:c r="D209" s="17" t="n"/>
      <ns0:c r="E209" s="17" t="n"/>
      <ns0:c r="F209" s="17" t="n"/>
      <ns0:c r="G209" s="17" t="n"/>
      <ns0:c r="H209" s="17" t="n"/>
      <ns0:c r="I209" s="17" t="n"/>
      <ns0:c r="J209" s="17" t="n"/>
      <ns0:c r="K209" s="17" t="n"/>
      <ns0:c r="L209" s="17" t="n"/>
      <ns0:c r="M209" s="17" t="n"/>
      <ns0:c r="N209" s="17" t="n"/>
      <ns0:c r="O209" s="17" t="n"/>
      <ns0:c r="P209" s="17" t="n"/>
      <ns0:c r="Q209" s="17" t="n"/>
      <ns0:c r="R209" s="17" t="n"/>
      <ns0:c r="S209" s="17" t="n"/>
      <ns0:c r="T209" s="17" t="n"/>
      <ns0:c r="U209" s="17" t="n"/>
      <ns0:c r="V209" s="17" t="n"/>
      <ns0:c r="W209" s="17" t="n"/>
      <ns0:c r="X209" s="17" t="n"/>
      <ns0:c r="Y209" s="17" t="n"/>
      <ns0:c r="Z209" s="17" t="n"/>
      <ns0:c r="AA209" s="17" t="n"/>
      <ns0:c r="AB209" s="17" t="n"/>
      <ns0:c r="AC209" s="17" t="n"/>
      <ns0:c r="AD209" s="17" t="n"/>
      <ns0:c r="AE209" s="17" t="n"/>
      <ns0:c r="AF209" s="17" t="n"/>
      <ns0:c r="AG209" s="17" t="n"/>
    </ns0:row>
    <ns0:row r="210" ht="24" customHeight="1">
      <ns0:c r="D210" s="17" t="n"/>
      <ns0:c r="E210" s="17" t="n"/>
      <ns0:c r="F210" s="17" t="n"/>
      <ns0:c r="G210" s="17" t="n"/>
      <ns0:c r="H210" s="17" t="n"/>
      <ns0:c r="I210" s="17" t="n"/>
      <ns0:c r="J210" s="17" t="n"/>
      <ns0:c r="K210" s="17" t="n"/>
      <ns0:c r="L210" s="17" t="n"/>
      <ns0:c r="M210" s="17" t="n"/>
      <ns0:c r="N210" s="17" t="n"/>
      <ns0:c r="O210" s="17" t="n"/>
      <ns0:c r="P210" s="17" t="n"/>
      <ns0:c r="Q210" s="17" t="n"/>
      <ns0:c r="R210" s="17" t="n"/>
      <ns0:c r="S210" s="17" t="n"/>
      <ns0:c r="T210" s="17" t="n"/>
      <ns0:c r="U210" s="17" t="n"/>
      <ns0:c r="V210" s="17" t="n"/>
      <ns0:c r="W210" s="17" t="n"/>
      <ns0:c r="X210" s="17" t="n"/>
      <ns0:c r="Y210" s="17" t="n"/>
      <ns0:c r="Z210" s="17" t="n"/>
      <ns0:c r="AA210" s="17" t="n"/>
      <ns0:c r="AB210" s="17" t="n"/>
      <ns0:c r="AC210" s="17" t="n"/>
      <ns0:c r="AD210" s="17" t="n"/>
      <ns0:c r="AE210" s="17" t="n"/>
      <ns0:c r="AF210" s="17" t="n"/>
      <ns0:c r="AG210" s="17" t="n"/>
    </ns0:row>
    <ns0:row r="211" ht="24" customHeight="1">
      <ns0:c r="D211" s="17" t="n"/>
      <ns0:c r="E211" s="17" t="n"/>
      <ns0:c r="F211" s="17" t="n"/>
      <ns0:c r="G211" s="17" t="n"/>
      <ns0:c r="H211" s="17" t="n"/>
      <ns0:c r="I211" s="17" t="n"/>
      <ns0:c r="J211" s="17" t="n"/>
      <ns0:c r="K211" s="17" t="n"/>
      <ns0:c r="L211" s="17" t="n"/>
      <ns0:c r="M211" s="17" t="n"/>
      <ns0:c r="N211" s="17" t="n"/>
      <ns0:c r="O211" s="17" t="n"/>
      <ns0:c r="P211" s="17" t="n"/>
      <ns0:c r="Q211" s="17" t="n"/>
      <ns0:c r="R211" s="17" t="n"/>
      <ns0:c r="S211" s="17" t="n"/>
      <ns0:c r="T211" s="17" t="n"/>
      <ns0:c r="U211" s="17" t="n"/>
      <ns0:c r="V211" s="17" t="n"/>
      <ns0:c r="W211" s="17" t="n"/>
      <ns0:c r="X211" s="17" t="n"/>
      <ns0:c r="Y211" s="17" t="n"/>
      <ns0:c r="Z211" s="17" t="n"/>
      <ns0:c r="AA211" s="17" t="n"/>
      <ns0:c r="AB211" s="17" t="n"/>
      <ns0:c r="AC211" s="17" t="n"/>
      <ns0:c r="AD211" s="17" t="n"/>
      <ns0:c r="AE211" s="17" t="n"/>
      <ns0:c r="AF211" s="17" t="n"/>
      <ns0:c r="AG211" s="17" t="n"/>
    </ns0:row>
    <ns0:row r="212" ht="24" customHeight="1">
      <ns0:c r="D212" s="17" t="n"/>
      <ns0:c r="E212" s="17" t="n"/>
      <ns0:c r="F212" s="17" t="n"/>
      <ns0:c r="G212" s="17" t="n"/>
      <ns0:c r="H212" s="17" t="n"/>
      <ns0:c r="I212" s="17" t="n"/>
      <ns0:c r="J212" s="17" t="n"/>
      <ns0:c r="K212" s="17" t="n"/>
      <ns0:c r="L212" s="17" t="n"/>
      <ns0:c r="M212" s="17" t="n"/>
      <ns0:c r="N212" s="17" t="n"/>
      <ns0:c r="O212" s="17" t="n"/>
      <ns0:c r="P212" s="17" t="n"/>
      <ns0:c r="Q212" s="17" t="n"/>
      <ns0:c r="R212" s="17" t="n"/>
      <ns0:c r="S212" s="17" t="n"/>
      <ns0:c r="T212" s="17" t="n"/>
      <ns0:c r="U212" s="17" t="n"/>
      <ns0:c r="V212" s="17" t="n"/>
      <ns0:c r="W212" s="17" t="n"/>
      <ns0:c r="X212" s="17" t="n"/>
      <ns0:c r="Y212" s="17" t="n"/>
      <ns0:c r="Z212" s="17" t="n"/>
      <ns0:c r="AA212" s="17" t="n"/>
      <ns0:c r="AB212" s="17" t="n"/>
      <ns0:c r="AC212" s="17" t="n"/>
      <ns0:c r="AD212" s="17" t="n"/>
      <ns0:c r="AE212" s="17" t="n"/>
      <ns0:c r="AF212" s="17" t="n"/>
      <ns0:c r="AG212" s="17" t="n"/>
    </ns0:row>
    <ns0:row r="213" ht="24" customHeight="1">
      <ns0:c r="D213" s="17" t="n"/>
      <ns0:c r="E213" s="17" t="n"/>
      <ns0:c r="F213" s="17" t="n"/>
      <ns0:c r="G213" s="17" t="n"/>
      <ns0:c r="H213" s="17" t="n"/>
      <ns0:c r="I213" s="17" t="n"/>
      <ns0:c r="J213" s="17" t="n"/>
      <ns0:c r="K213" s="17" t="n"/>
      <ns0:c r="L213" s="17" t="n"/>
      <ns0:c r="M213" s="17" t="n"/>
      <ns0:c r="N213" s="17" t="n"/>
      <ns0:c r="O213" s="17" t="n"/>
      <ns0:c r="P213" s="17" t="n"/>
      <ns0:c r="Q213" s="17" t="n"/>
      <ns0:c r="R213" s="17" t="n"/>
      <ns0:c r="S213" s="17" t="n"/>
      <ns0:c r="T213" s="17" t="n"/>
      <ns0:c r="U213" s="17" t="n"/>
      <ns0:c r="V213" s="17" t="n"/>
      <ns0:c r="W213" s="17" t="n"/>
      <ns0:c r="X213" s="17" t="n"/>
      <ns0:c r="Y213" s="17" t="n"/>
      <ns0:c r="Z213" s="17" t="n"/>
      <ns0:c r="AA213" s="17" t="n"/>
      <ns0:c r="AB213" s="17" t="n"/>
      <ns0:c r="AC213" s="17" t="n"/>
      <ns0:c r="AD213" s="17" t="n"/>
      <ns0:c r="AE213" s="17" t="n"/>
      <ns0:c r="AF213" s="17" t="n"/>
      <ns0:c r="AG213" s="17" t="n"/>
    </ns0:row>
    <ns0:row r="214" ht="24" customHeight="1">
      <ns0:c r="D214" s="17" t="n"/>
      <ns0:c r="E214" s="17" t="n"/>
      <ns0:c r="F214" s="17" t="n"/>
      <ns0:c r="G214" s="17" t="n"/>
      <ns0:c r="H214" s="17" t="n"/>
      <ns0:c r="I214" s="17" t="n"/>
      <ns0:c r="J214" s="17" t="n"/>
      <ns0:c r="K214" s="17" t="n"/>
      <ns0:c r="L214" s="17" t="n"/>
      <ns0:c r="M214" s="17" t="n"/>
      <ns0:c r="N214" s="17" t="n"/>
      <ns0:c r="O214" s="17" t="n"/>
      <ns0:c r="P214" s="17" t="n"/>
      <ns0:c r="Q214" s="17" t="n"/>
      <ns0:c r="R214" s="17" t="n"/>
      <ns0:c r="S214" s="17" t="n"/>
      <ns0:c r="T214" s="17" t="n"/>
      <ns0:c r="U214" s="17" t="n"/>
      <ns0:c r="V214" s="17" t="n"/>
      <ns0:c r="W214" s="17" t="n"/>
      <ns0:c r="X214" s="17" t="n"/>
      <ns0:c r="Y214" s="17" t="n"/>
      <ns0:c r="Z214" s="17" t="n"/>
      <ns0:c r="AA214" s="17" t="n"/>
      <ns0:c r="AB214" s="17" t="n"/>
      <ns0:c r="AC214" s="17" t="n"/>
      <ns0:c r="AD214" s="17" t="n"/>
      <ns0:c r="AE214" s="17" t="n"/>
      <ns0:c r="AF214" s="17" t="n"/>
      <ns0:c r="AG214" s="17" t="n"/>
    </ns0:row>
    <ns0:row r="215" ht="24" customHeight="1">
      <ns0:c r="D215" s="17" t="n"/>
      <ns0:c r="E215" s="17" t="n"/>
      <ns0:c r="F215" s="17" t="n"/>
      <ns0:c r="G215" s="17" t="n"/>
      <ns0:c r="H215" s="17" t="n"/>
      <ns0:c r="I215" s="17" t="n"/>
      <ns0:c r="J215" s="17" t="n"/>
      <ns0:c r="K215" s="17" t="n"/>
      <ns0:c r="L215" s="17" t="n"/>
      <ns0:c r="M215" s="17" t="n"/>
      <ns0:c r="N215" s="17" t="n"/>
      <ns0:c r="O215" s="17" t="n"/>
      <ns0:c r="P215" s="17" t="n"/>
      <ns0:c r="Q215" s="17" t="n"/>
      <ns0:c r="R215" s="17" t="n"/>
      <ns0:c r="S215" s="17" t="n"/>
      <ns0:c r="T215" s="17" t="n"/>
      <ns0:c r="U215" s="17" t="n"/>
      <ns0:c r="V215" s="17" t="n"/>
      <ns0:c r="W215" s="17" t="n"/>
      <ns0:c r="X215" s="17" t="n"/>
      <ns0:c r="Y215" s="17" t="n"/>
      <ns0:c r="Z215" s="17" t="n"/>
      <ns0:c r="AA215" s="17" t="n"/>
      <ns0:c r="AB215" s="17" t="n"/>
      <ns0:c r="AC215" s="17" t="n"/>
      <ns0:c r="AD215" s="17" t="n"/>
      <ns0:c r="AE215" s="17" t="n"/>
      <ns0:c r="AF215" s="17" t="n"/>
      <ns0:c r="AG215" s="17" t="n"/>
    </ns0:row>
    <ns0:row r="216" ht="24" customHeight="1">
      <ns0:c r="D216" s="17" t="n"/>
      <ns0:c r="E216" s="17" t="n"/>
      <ns0:c r="F216" s="17" t="n"/>
      <ns0:c r="G216" s="17" t="n"/>
      <ns0:c r="H216" s="17" t="n"/>
      <ns0:c r="I216" s="17" t="n"/>
      <ns0:c r="J216" s="17" t="n"/>
      <ns0:c r="K216" s="17" t="n"/>
      <ns0:c r="L216" s="17" t="n"/>
      <ns0:c r="M216" s="17" t="n"/>
      <ns0:c r="N216" s="17" t="n"/>
      <ns0:c r="O216" s="17" t="n"/>
      <ns0:c r="P216" s="17" t="n"/>
      <ns0:c r="Q216" s="17" t="n"/>
      <ns0:c r="R216" s="17" t="n"/>
      <ns0:c r="S216" s="17" t="n"/>
      <ns0:c r="T216" s="17" t="n"/>
      <ns0:c r="U216" s="17" t="n"/>
      <ns0:c r="V216" s="17" t="n"/>
      <ns0:c r="W216" s="17" t="n"/>
      <ns0:c r="X216" s="17" t="n"/>
      <ns0:c r="Y216" s="17" t="n"/>
      <ns0:c r="Z216" s="17" t="n"/>
      <ns0:c r="AA216" s="17" t="n"/>
      <ns0:c r="AB216" s="17" t="n"/>
      <ns0:c r="AC216" s="17" t="n"/>
      <ns0:c r="AD216" s="17" t="n"/>
      <ns0:c r="AE216" s="17" t="n"/>
      <ns0:c r="AF216" s="17" t="n"/>
      <ns0:c r="AG216" s="17" t="n"/>
    </ns0:row>
    <ns0:row r="217" ht="24" customHeight="1">
      <ns0:c r="D217" s="17" t="n"/>
      <ns0:c r="E217" s="17" t="n"/>
      <ns0:c r="F217" s="17" t="n"/>
      <ns0:c r="G217" s="17" t="n"/>
      <ns0:c r="H217" s="17" t="n"/>
      <ns0:c r="I217" s="17" t="n"/>
      <ns0:c r="J217" s="17" t="n"/>
      <ns0:c r="K217" s="17" t="n"/>
      <ns0:c r="L217" s="17" t="n"/>
      <ns0:c r="M217" s="17" t="n"/>
      <ns0:c r="N217" s="17" t="n"/>
      <ns0:c r="O217" s="17" t="n"/>
      <ns0:c r="P217" s="17" t="n"/>
      <ns0:c r="Q217" s="17" t="n"/>
      <ns0:c r="R217" s="17" t="n"/>
      <ns0:c r="S217" s="17" t="n"/>
      <ns0:c r="T217" s="17" t="n"/>
      <ns0:c r="U217" s="17" t="n"/>
      <ns0:c r="V217" s="17" t="n"/>
      <ns0:c r="W217" s="17" t="n"/>
      <ns0:c r="X217" s="17" t="n"/>
      <ns0:c r="Y217" s="17" t="n"/>
      <ns0:c r="Z217" s="17" t="n"/>
      <ns0:c r="AA217" s="17" t="n"/>
      <ns0:c r="AB217" s="17" t="n"/>
      <ns0:c r="AC217" s="17" t="n"/>
      <ns0:c r="AD217" s="17" t="n"/>
      <ns0:c r="AE217" s="17" t="n"/>
      <ns0:c r="AF217" s="17" t="n"/>
      <ns0:c r="AG217" s="17" t="n"/>
    </ns0:row>
    <ns0:row r="218" ht="24" customHeight="1">
      <ns0:c r="D218" s="17" t="n"/>
      <ns0:c r="E218" s="17" t="n"/>
      <ns0:c r="F218" s="17" t="n"/>
      <ns0:c r="G218" s="17" t="n"/>
      <ns0:c r="H218" s="17" t="n"/>
      <ns0:c r="I218" s="17" t="n"/>
      <ns0:c r="J218" s="17" t="n"/>
      <ns0:c r="K218" s="17" t="n"/>
      <ns0:c r="L218" s="17" t="n"/>
      <ns0:c r="M218" s="17" t="n"/>
      <ns0:c r="N218" s="17" t="n"/>
      <ns0:c r="O218" s="17" t="n"/>
      <ns0:c r="P218" s="17" t="n"/>
      <ns0:c r="Q218" s="17" t="n"/>
      <ns0:c r="R218" s="17" t="n"/>
      <ns0:c r="S218" s="17" t="n"/>
      <ns0:c r="T218" s="17" t="n"/>
      <ns0:c r="U218" s="17" t="n"/>
      <ns0:c r="V218" s="17" t="n"/>
      <ns0:c r="W218" s="17" t="n"/>
      <ns0:c r="X218" s="17" t="n"/>
      <ns0:c r="Y218" s="17" t="n"/>
      <ns0:c r="Z218" s="17" t="n"/>
      <ns0:c r="AA218" s="17" t="n"/>
      <ns0:c r="AB218" s="17" t="n"/>
      <ns0:c r="AC218" s="17" t="n"/>
      <ns0:c r="AD218" s="17" t="n"/>
      <ns0:c r="AE218" s="17" t="n"/>
      <ns0:c r="AF218" s="17" t="n"/>
      <ns0:c r="AG218" s="17" t="n"/>
    </ns0:row>
    <ns0:row r="219" ht="24" customHeight="1">
      <ns0:c r="D219" s="17" t="n"/>
      <ns0:c r="E219" s="17" t="n"/>
      <ns0:c r="F219" s="17" t="n"/>
      <ns0:c r="G219" s="17" t="n"/>
      <ns0:c r="H219" s="17" t="n"/>
      <ns0:c r="I219" s="17" t="n"/>
      <ns0:c r="J219" s="17" t="n"/>
      <ns0:c r="K219" s="17" t="n"/>
      <ns0:c r="L219" s="17" t="n"/>
      <ns0:c r="M219" s="17" t="n"/>
      <ns0:c r="N219" s="17" t="n"/>
      <ns0:c r="O219" s="17" t="n"/>
      <ns0:c r="P219" s="17" t="n"/>
      <ns0:c r="Q219" s="17" t="n"/>
      <ns0:c r="R219" s="17" t="n"/>
      <ns0:c r="S219" s="17" t="n"/>
      <ns0:c r="T219" s="17" t="n"/>
      <ns0:c r="U219" s="17" t="n"/>
      <ns0:c r="V219" s="17" t="n"/>
      <ns0:c r="W219" s="17" t="n"/>
      <ns0:c r="X219" s="17" t="n"/>
      <ns0:c r="Y219" s="17" t="n"/>
      <ns0:c r="Z219" s="17" t="n"/>
      <ns0:c r="AA219" s="17" t="n"/>
      <ns0:c r="AB219" s="17" t="n"/>
      <ns0:c r="AC219" s="17" t="n"/>
      <ns0:c r="AD219" s="17" t="n"/>
      <ns0:c r="AE219" s="17" t="n"/>
      <ns0:c r="AF219" s="17" t="n"/>
      <ns0:c r="AG219" s="17" t="n"/>
    </ns0:row>
    <ns0:row r="220" ht="24" customHeight="1">
      <ns0:c r="D220" s="17" t="n"/>
      <ns0:c r="E220" s="17" t="n"/>
      <ns0:c r="F220" s="17" t="n"/>
      <ns0:c r="G220" s="17" t="n"/>
      <ns0:c r="H220" s="17" t="n"/>
      <ns0:c r="I220" s="17" t="n"/>
      <ns0:c r="J220" s="17" t="n"/>
      <ns0:c r="K220" s="17" t="n"/>
      <ns0:c r="L220" s="17" t="n"/>
      <ns0:c r="M220" s="17" t="n"/>
      <ns0:c r="N220" s="17" t="n"/>
      <ns0:c r="O220" s="17" t="n"/>
      <ns0:c r="P220" s="17" t="n"/>
      <ns0:c r="Q220" s="17" t="n"/>
      <ns0:c r="R220" s="17" t="n"/>
      <ns0:c r="S220" s="17" t="n"/>
      <ns0:c r="T220" s="17" t="n"/>
      <ns0:c r="U220" s="17" t="n"/>
      <ns0:c r="V220" s="17" t="n"/>
      <ns0:c r="W220" s="17" t="n"/>
      <ns0:c r="X220" s="17" t="n"/>
      <ns0:c r="Y220" s="17" t="n"/>
      <ns0:c r="Z220" s="17" t="n"/>
      <ns0:c r="AA220" s="17" t="n"/>
      <ns0:c r="AB220" s="17" t="n"/>
      <ns0:c r="AC220" s="17" t="n"/>
      <ns0:c r="AD220" s="17" t="n"/>
      <ns0:c r="AE220" s="17" t="n"/>
      <ns0:c r="AF220" s="17" t="n"/>
      <ns0:c r="AG220" s="17" t="n"/>
    </ns0:row>
    <ns0:row r="221" ht="24" customHeight="1">
      <ns0:c r="D221" s="17" t="n"/>
      <ns0:c r="E221" s="17" t="n"/>
      <ns0:c r="F221" s="17" t="n"/>
      <ns0:c r="G221" s="17" t="n"/>
      <ns0:c r="H221" s="17" t="n"/>
      <ns0:c r="I221" s="17" t="n"/>
      <ns0:c r="J221" s="17" t="n"/>
      <ns0:c r="K221" s="17" t="n"/>
      <ns0:c r="L221" s="17" t="n"/>
      <ns0:c r="M221" s="17" t="n"/>
      <ns0:c r="N221" s="17" t="n"/>
      <ns0:c r="O221" s="17" t="n"/>
      <ns0:c r="P221" s="17" t="n"/>
      <ns0:c r="Q221" s="17" t="n"/>
      <ns0:c r="R221" s="17" t="n"/>
      <ns0:c r="S221" s="17" t="n"/>
      <ns0:c r="T221" s="17" t="n"/>
      <ns0:c r="U221" s="17" t="n"/>
      <ns0:c r="V221" s="17" t="n"/>
      <ns0:c r="W221" s="17" t="n"/>
      <ns0:c r="X221" s="17" t="n"/>
      <ns0:c r="Y221" s="17" t="n"/>
      <ns0:c r="Z221" s="17" t="n"/>
      <ns0:c r="AA221" s="17" t="n"/>
      <ns0:c r="AB221" s="17" t="n"/>
      <ns0:c r="AC221" s="17" t="n"/>
      <ns0:c r="AD221" s="17" t="n"/>
      <ns0:c r="AE221" s="17" t="n"/>
      <ns0:c r="AF221" s="17" t="n"/>
      <ns0:c r="AG221" s="17" t="n"/>
    </ns0:row>
    <ns0:row r="222" ht="24" customHeight="1">
      <ns0:c r="D222" s="17" t="n"/>
      <ns0:c r="E222" s="17" t="n"/>
      <ns0:c r="F222" s="17" t="n"/>
      <ns0:c r="G222" s="17" t="n"/>
      <ns0:c r="H222" s="17" t="n"/>
      <ns0:c r="I222" s="17" t="n"/>
      <ns0:c r="J222" s="17" t="n"/>
      <ns0:c r="K222" s="17" t="n"/>
      <ns0:c r="L222" s="17" t="n"/>
      <ns0:c r="M222" s="17" t="n"/>
      <ns0:c r="N222" s="17" t="n"/>
      <ns0:c r="O222" s="17" t="n"/>
      <ns0:c r="P222" s="17" t="n"/>
      <ns0:c r="Q222" s="17" t="n"/>
      <ns0:c r="R222" s="17" t="n"/>
      <ns0:c r="S222" s="17" t="n"/>
      <ns0:c r="T222" s="17" t="n"/>
      <ns0:c r="U222" s="17" t="n"/>
      <ns0:c r="V222" s="17" t="n"/>
      <ns0:c r="W222" s="17" t="n"/>
      <ns0:c r="X222" s="17" t="n"/>
      <ns0:c r="Y222" s="17" t="n"/>
      <ns0:c r="Z222" s="17" t="n"/>
      <ns0:c r="AA222" s="17" t="n"/>
      <ns0:c r="AB222" s="17" t="n"/>
      <ns0:c r="AC222" s="17" t="n"/>
      <ns0:c r="AD222" s="17" t="n"/>
      <ns0:c r="AE222" s="17" t="n"/>
      <ns0:c r="AF222" s="17" t="n"/>
      <ns0:c r="AG222" s="17" t="n"/>
    </ns0:row>
    <ns0:row r="223" ht="24" customHeight="1">
      <ns0:c r="D223" s="17" t="n"/>
      <ns0:c r="E223" s="17" t="n"/>
      <ns0:c r="F223" s="17" t="n"/>
      <ns0:c r="G223" s="17" t="n"/>
      <ns0:c r="H223" s="17" t="n"/>
      <ns0:c r="I223" s="17" t="n"/>
      <ns0:c r="J223" s="17" t="n"/>
      <ns0:c r="K223" s="17" t="n"/>
      <ns0:c r="L223" s="17" t="n"/>
      <ns0:c r="M223" s="17" t="n"/>
      <ns0:c r="N223" s="17" t="n"/>
      <ns0:c r="O223" s="17" t="n"/>
      <ns0:c r="P223" s="17" t="n"/>
      <ns0:c r="Q223" s="17" t="n"/>
      <ns0:c r="R223" s="17" t="n"/>
      <ns0:c r="S223" s="17" t="n"/>
      <ns0:c r="T223" s="17" t="n"/>
      <ns0:c r="U223" s="17" t="n"/>
      <ns0:c r="V223" s="17" t="n"/>
      <ns0:c r="W223" s="17" t="n"/>
      <ns0:c r="X223" s="17" t="n"/>
      <ns0:c r="Y223" s="17" t="n"/>
      <ns0:c r="Z223" s="17" t="n"/>
      <ns0:c r="AA223" s="17" t="n"/>
      <ns0:c r="AB223" s="17" t="n"/>
      <ns0:c r="AC223" s="17" t="n"/>
      <ns0:c r="AD223" s="17" t="n"/>
      <ns0:c r="AE223" s="17" t="n"/>
      <ns0:c r="AF223" s="17" t="n"/>
      <ns0:c r="AG223" s="17" t="n"/>
    </ns0:row>
    <ns0:row r="224" ht="24" customHeight="1">
      <ns0:c r="D224" s="17" t="n"/>
      <ns0:c r="E224" s="17" t="n"/>
      <ns0:c r="F224" s="17" t="n"/>
      <ns0:c r="G224" s="17" t="n"/>
      <ns0:c r="H224" s="17" t="n"/>
      <ns0:c r="I224" s="17" t="n"/>
      <ns0:c r="J224" s="17" t="n"/>
      <ns0:c r="K224" s="17" t="n"/>
      <ns0:c r="L224" s="17" t="n"/>
      <ns0:c r="M224" s="17" t="n"/>
      <ns0:c r="N224" s="17" t="n"/>
      <ns0:c r="O224" s="17" t="n"/>
      <ns0:c r="P224" s="17" t="n"/>
      <ns0:c r="Q224" s="17" t="n"/>
      <ns0:c r="R224" s="17" t="n"/>
      <ns0:c r="S224" s="17" t="n"/>
      <ns0:c r="T224" s="17" t="n"/>
      <ns0:c r="U224" s="17" t="n"/>
      <ns0:c r="V224" s="17" t="n"/>
      <ns0:c r="W224" s="17" t="n"/>
      <ns0:c r="X224" s="17" t="n"/>
      <ns0:c r="Y224" s="17" t="n"/>
      <ns0:c r="Z224" s="17" t="n"/>
      <ns0:c r="AA224" s="17" t="n"/>
      <ns0:c r="AB224" s="17" t="n"/>
      <ns0:c r="AC224" s="17" t="n"/>
      <ns0:c r="AD224" s="17" t="n"/>
      <ns0:c r="AE224" s="17" t="n"/>
      <ns0:c r="AF224" s="17" t="n"/>
      <ns0:c r="AG224" s="17" t="n"/>
    </ns0:row>
    <ns0:row r="225" ht="24" customHeight="1">
      <ns0:c r="D225" s="17" t="n"/>
      <ns0:c r="E225" s="17" t="n"/>
      <ns0:c r="F225" s="17" t="n"/>
      <ns0:c r="G225" s="17" t="n"/>
      <ns0:c r="H225" s="17" t="n"/>
      <ns0:c r="I225" s="17" t="n"/>
      <ns0:c r="J225" s="17" t="n"/>
      <ns0:c r="K225" s="17" t="n"/>
      <ns0:c r="L225" s="17" t="n"/>
      <ns0:c r="M225" s="17" t="n"/>
      <ns0:c r="N225" s="17" t="n"/>
      <ns0:c r="O225" s="17" t="n"/>
      <ns0:c r="P225" s="17" t="n"/>
      <ns0:c r="Q225" s="17" t="n"/>
      <ns0:c r="R225" s="17" t="n"/>
      <ns0:c r="S225" s="17" t="n"/>
      <ns0:c r="T225" s="17" t="n"/>
      <ns0:c r="U225" s="17" t="n"/>
      <ns0:c r="V225" s="17" t="n"/>
      <ns0:c r="W225" s="17" t="n"/>
      <ns0:c r="X225" s="17" t="n"/>
      <ns0:c r="Y225" s="17" t="n"/>
      <ns0:c r="Z225" s="17" t="n"/>
      <ns0:c r="AA225" s="17" t="n"/>
      <ns0:c r="AB225" s="17" t="n"/>
      <ns0:c r="AC225" s="17" t="n"/>
      <ns0:c r="AD225" s="17" t="n"/>
      <ns0:c r="AE225" s="17" t="n"/>
      <ns0:c r="AF225" s="17" t="n"/>
      <ns0:c r="AG225" s="17" t="n"/>
    </ns0:row>
    <ns0:row r="226" ht="24" customHeight="1">
      <ns0:c r="D226" s="17" t="n"/>
      <ns0:c r="E226" s="17" t="n"/>
      <ns0:c r="F226" s="17" t="n"/>
      <ns0:c r="G226" s="17" t="n"/>
      <ns0:c r="H226" s="17" t="n"/>
      <ns0:c r="I226" s="17" t="n"/>
      <ns0:c r="J226" s="17" t="n"/>
      <ns0:c r="K226" s="17" t="n"/>
      <ns0:c r="L226" s="17" t="n"/>
      <ns0:c r="M226" s="17" t="n"/>
      <ns0:c r="N226" s="17" t="n"/>
      <ns0:c r="O226" s="17" t="n"/>
      <ns0:c r="P226" s="17" t="n"/>
      <ns0:c r="Q226" s="17" t="n"/>
      <ns0:c r="R226" s="17" t="n"/>
      <ns0:c r="S226" s="17" t="n"/>
      <ns0:c r="T226" s="17" t="n"/>
      <ns0:c r="U226" s="17" t="n"/>
      <ns0:c r="V226" s="17" t="n"/>
      <ns0:c r="W226" s="17" t="n"/>
      <ns0:c r="X226" s="17" t="n"/>
      <ns0:c r="Y226" s="17" t="n"/>
      <ns0:c r="Z226" s="17" t="n"/>
      <ns0:c r="AA226" s="17" t="n"/>
      <ns0:c r="AB226" s="17" t="n"/>
      <ns0:c r="AC226" s="17" t="n"/>
      <ns0:c r="AD226" s="17" t="n"/>
      <ns0:c r="AE226" s="17" t="n"/>
      <ns0:c r="AF226" s="17" t="n"/>
      <ns0:c r="AG226" s="17" t="n"/>
    </ns0:row>
    <ns0:row r="227" ht="24" customHeight="1">
      <ns0:c r="D227" s="17" t="n"/>
      <ns0:c r="E227" s="17" t="n"/>
      <ns0:c r="F227" s="17" t="n"/>
      <ns0:c r="G227" s="17" t="n"/>
      <ns0:c r="H227" s="17" t="n"/>
      <ns0:c r="I227" s="17" t="n"/>
      <ns0:c r="J227" s="17" t="n"/>
      <ns0:c r="K227" s="17" t="n"/>
      <ns0:c r="L227" s="17" t="n"/>
      <ns0:c r="M227" s="17" t="n"/>
      <ns0:c r="N227" s="17" t="n"/>
      <ns0:c r="O227" s="17" t="n"/>
      <ns0:c r="P227" s="17" t="n"/>
      <ns0:c r="Q227" s="17" t="n"/>
      <ns0:c r="R227" s="17" t="n"/>
      <ns0:c r="S227" s="17" t="n"/>
      <ns0:c r="T227" s="17" t="n"/>
      <ns0:c r="U227" s="17" t="n"/>
      <ns0:c r="V227" s="17" t="n"/>
      <ns0:c r="W227" s="17" t="n"/>
      <ns0:c r="X227" s="17" t="n"/>
      <ns0:c r="Y227" s="17" t="n"/>
      <ns0:c r="Z227" s="17" t="n"/>
      <ns0:c r="AA227" s="17" t="n"/>
      <ns0:c r="AB227" s="17" t="n"/>
      <ns0:c r="AC227" s="17" t="n"/>
      <ns0:c r="AD227" s="17" t="n"/>
      <ns0:c r="AE227" s="17" t="n"/>
      <ns0:c r="AF227" s="17" t="n"/>
      <ns0:c r="AG227" s="17" t="n"/>
    </ns0:row>
    <ns0:row r="228" ht="24" customHeight="1">
      <ns0:c r="D228" s="17" t="n"/>
      <ns0:c r="E228" s="17" t="n"/>
      <ns0:c r="F228" s="17" t="n"/>
      <ns0:c r="G228" s="17" t="n"/>
      <ns0:c r="H228" s="17" t="n"/>
      <ns0:c r="I228" s="17" t="n"/>
      <ns0:c r="J228" s="17" t="n"/>
      <ns0:c r="K228" s="17" t="n"/>
      <ns0:c r="L228" s="17" t="n"/>
      <ns0:c r="M228" s="17" t="n"/>
      <ns0:c r="N228" s="17" t="n"/>
      <ns0:c r="O228" s="17" t="n"/>
      <ns0:c r="P228" s="17" t="n"/>
      <ns0:c r="Q228" s="17" t="n"/>
      <ns0:c r="R228" s="17" t="n"/>
      <ns0:c r="S228" s="17" t="n"/>
      <ns0:c r="T228" s="17" t="n"/>
      <ns0:c r="U228" s="17" t="n"/>
      <ns0:c r="V228" s="17" t="n"/>
      <ns0:c r="W228" s="17" t="n"/>
      <ns0:c r="X228" s="17" t="n"/>
      <ns0:c r="Y228" s="17" t="n"/>
      <ns0:c r="Z228" s="17" t="n"/>
      <ns0:c r="AA228" s="17" t="n"/>
      <ns0:c r="AB228" s="17" t="n"/>
      <ns0:c r="AC228" s="17" t="n"/>
      <ns0:c r="AD228" s="17" t="n"/>
      <ns0:c r="AE228" s="17" t="n"/>
      <ns0:c r="AF228" s="17" t="n"/>
      <ns0:c r="AG228" s="17" t="n"/>
    </ns0:row>
    <ns0:row r="229" ht="24" customHeight="1">
      <ns0:c r="D229" s="17" t="n"/>
      <ns0:c r="E229" s="17" t="n"/>
      <ns0:c r="F229" s="17" t="n"/>
      <ns0:c r="G229" s="17" t="n"/>
      <ns0:c r="H229" s="17" t="n"/>
      <ns0:c r="I229" s="17" t="n"/>
      <ns0:c r="J229" s="17" t="n"/>
      <ns0:c r="K229" s="17" t="n"/>
      <ns0:c r="L229" s="17" t="n"/>
      <ns0:c r="M229" s="17" t="n"/>
      <ns0:c r="N229" s="17" t="n"/>
      <ns0:c r="O229" s="17" t="n"/>
      <ns0:c r="P229" s="17" t="n"/>
      <ns0:c r="Q229" s="17" t="n"/>
      <ns0:c r="R229" s="17" t="n"/>
      <ns0:c r="S229" s="17" t="n"/>
      <ns0:c r="T229" s="17" t="n"/>
      <ns0:c r="U229" s="17" t="n"/>
      <ns0:c r="V229" s="17" t="n"/>
      <ns0:c r="W229" s="17" t="n"/>
      <ns0:c r="X229" s="17" t="n"/>
      <ns0:c r="Y229" s="17" t="n"/>
      <ns0:c r="Z229" s="17" t="n"/>
      <ns0:c r="AA229" s="17" t="n"/>
      <ns0:c r="AB229" s="17" t="n"/>
      <ns0:c r="AC229" s="17" t="n"/>
      <ns0:c r="AD229" s="17" t="n"/>
      <ns0:c r="AE229" s="17" t="n"/>
      <ns0:c r="AF229" s="17" t="n"/>
      <ns0:c r="AG229" s="17" t="n"/>
    </ns0:row>
    <ns0:row r="230" ht="24" customHeight="1">
      <ns0:c r="D230" s="17" t="n"/>
      <ns0:c r="E230" s="17" t="n"/>
      <ns0:c r="F230" s="17" t="n"/>
      <ns0:c r="G230" s="17" t="n"/>
      <ns0:c r="H230" s="17" t="n"/>
      <ns0:c r="I230" s="17" t="n"/>
      <ns0:c r="J230" s="17" t="n"/>
      <ns0:c r="K230" s="17" t="n"/>
      <ns0:c r="L230" s="17" t="n"/>
      <ns0:c r="M230" s="17" t="n"/>
      <ns0:c r="N230" s="17" t="n"/>
      <ns0:c r="O230" s="17" t="n"/>
      <ns0:c r="P230" s="17" t="n"/>
      <ns0:c r="Q230" s="17" t="n"/>
      <ns0:c r="R230" s="17" t="n"/>
      <ns0:c r="S230" s="17" t="n"/>
      <ns0:c r="T230" s="17" t="n"/>
      <ns0:c r="U230" s="17" t="n"/>
      <ns0:c r="V230" s="17" t="n"/>
      <ns0:c r="W230" s="17" t="n"/>
      <ns0:c r="X230" s="17" t="n"/>
      <ns0:c r="Y230" s="17" t="n"/>
      <ns0:c r="Z230" s="17" t="n"/>
      <ns0:c r="AA230" s="17" t="n"/>
      <ns0:c r="AB230" s="17" t="n"/>
      <ns0:c r="AC230" s="17" t="n"/>
      <ns0:c r="AD230" s="17" t="n"/>
      <ns0:c r="AE230" s="17" t="n"/>
      <ns0:c r="AF230" s="17" t="n"/>
      <ns0:c r="AG230" s="17" t="n"/>
    </ns0:row>
    <ns0:row r="231" ht="24" customHeight="1">
      <ns0:c r="D231" s="17" t="n"/>
      <ns0:c r="E231" s="17" t="n"/>
      <ns0:c r="F231" s="17" t="n"/>
      <ns0:c r="G231" s="17" t="n"/>
      <ns0:c r="H231" s="17" t="n"/>
      <ns0:c r="I231" s="17" t="n"/>
      <ns0:c r="J231" s="17" t="n"/>
      <ns0:c r="K231" s="17" t="n"/>
      <ns0:c r="L231" s="17" t="n"/>
      <ns0:c r="M231" s="17" t="n"/>
      <ns0:c r="N231" s="17" t="n"/>
      <ns0:c r="O231" s="17" t="n"/>
      <ns0:c r="P231" s="17" t="n"/>
      <ns0:c r="Q231" s="17" t="n"/>
      <ns0:c r="R231" s="17" t="n"/>
      <ns0:c r="S231" s="17" t="n"/>
      <ns0:c r="T231" s="17" t="n"/>
      <ns0:c r="U231" s="17" t="n"/>
      <ns0:c r="V231" s="17" t="n"/>
      <ns0:c r="W231" s="17" t="n"/>
      <ns0:c r="X231" s="17" t="n"/>
      <ns0:c r="Y231" s="17" t="n"/>
      <ns0:c r="Z231" s="17" t="n"/>
      <ns0:c r="AA231" s="17" t="n"/>
      <ns0:c r="AB231" s="17" t="n"/>
      <ns0:c r="AC231" s="17" t="n"/>
      <ns0:c r="AD231" s="17" t="n"/>
      <ns0:c r="AE231" s="17" t="n"/>
      <ns0:c r="AF231" s="17" t="n"/>
      <ns0:c r="AG231" s="17" t="n"/>
    </ns0:row>
    <ns0:row r="232" ht="24" customHeight="1">
      <ns0:c r="D232" s="17" t="n"/>
      <ns0:c r="E232" s="17" t="n"/>
      <ns0:c r="F232" s="17" t="n"/>
      <ns0:c r="G232" s="17" t="n"/>
      <ns0:c r="H232" s="17" t="n"/>
      <ns0:c r="I232" s="17" t="n"/>
      <ns0:c r="J232" s="17" t="n"/>
      <ns0:c r="K232" s="17" t="n"/>
      <ns0:c r="L232" s="17" t="n"/>
      <ns0:c r="M232" s="17" t="n"/>
      <ns0:c r="N232" s="17" t="n"/>
      <ns0:c r="O232" s="17" t="n"/>
      <ns0:c r="P232" s="17" t="n"/>
      <ns0:c r="Q232" s="17" t="n"/>
      <ns0:c r="R232" s="17" t="n"/>
      <ns0:c r="S232" s="17" t="n"/>
      <ns0:c r="T232" s="17" t="n"/>
      <ns0:c r="U232" s="17" t="n"/>
      <ns0:c r="V232" s="17" t="n"/>
      <ns0:c r="W232" s="17" t="n"/>
      <ns0:c r="X232" s="17" t="n"/>
      <ns0:c r="Y232" s="17" t="n"/>
      <ns0:c r="Z232" s="17" t="n"/>
      <ns0:c r="AA232" s="17" t="n"/>
      <ns0:c r="AB232" s="17" t="n"/>
      <ns0:c r="AC232" s="17" t="n"/>
      <ns0:c r="AD232" s="17" t="n"/>
      <ns0:c r="AE232" s="17" t="n"/>
      <ns0:c r="AF232" s="17" t="n"/>
      <ns0:c r="AG232" s="17" t="n"/>
    </ns0:row>
    <ns0:row r="233" ht="24" customHeight="1">
      <ns0:c r="D233" s="17" t="n"/>
      <ns0:c r="E233" s="17" t="n"/>
      <ns0:c r="F233" s="17" t="n"/>
      <ns0:c r="G233" s="17" t="n"/>
      <ns0:c r="H233" s="17" t="n"/>
      <ns0:c r="I233" s="17" t="n"/>
      <ns0:c r="J233" s="17" t="n"/>
      <ns0:c r="K233" s="17" t="n"/>
      <ns0:c r="L233" s="17" t="n"/>
      <ns0:c r="M233" s="17" t="n"/>
      <ns0:c r="N233" s="17" t="n"/>
      <ns0:c r="O233" s="17" t="n"/>
      <ns0:c r="P233" s="17" t="n"/>
      <ns0:c r="Q233" s="17" t="n"/>
      <ns0:c r="R233" s="17" t="n"/>
      <ns0:c r="S233" s="17" t="n"/>
      <ns0:c r="T233" s="17" t="n"/>
      <ns0:c r="U233" s="17" t="n"/>
      <ns0:c r="V233" s="17" t="n"/>
      <ns0:c r="W233" s="17" t="n"/>
      <ns0:c r="X233" s="17" t="n"/>
      <ns0:c r="Y233" s="17" t="n"/>
      <ns0:c r="Z233" s="17" t="n"/>
      <ns0:c r="AA233" s="17" t="n"/>
      <ns0:c r="AB233" s="17" t="n"/>
      <ns0:c r="AC233" s="17" t="n"/>
      <ns0:c r="AD233" s="17" t="n"/>
      <ns0:c r="AE233" s="17" t="n"/>
      <ns0:c r="AF233" s="17" t="n"/>
      <ns0:c r="AG233" s="17" t="n"/>
    </ns0:row>
    <ns0:row r="234" ht="24" customHeight="1">
      <ns0:c r="D234" s="17" t="n"/>
      <ns0:c r="E234" s="17" t="n"/>
      <ns0:c r="F234" s="17" t="n"/>
      <ns0:c r="G234" s="17" t="n"/>
      <ns0:c r="H234" s="17" t="n"/>
      <ns0:c r="I234" s="17" t="n"/>
      <ns0:c r="J234" s="17" t="n"/>
      <ns0:c r="K234" s="17" t="n"/>
      <ns0:c r="L234" s="17" t="n"/>
      <ns0:c r="M234" s="17" t="n"/>
      <ns0:c r="N234" s="17" t="n"/>
      <ns0:c r="O234" s="17" t="n"/>
      <ns0:c r="P234" s="17" t="n"/>
      <ns0:c r="Q234" s="17" t="n"/>
      <ns0:c r="R234" s="17" t="n"/>
      <ns0:c r="S234" s="17" t="n"/>
      <ns0:c r="T234" s="17" t="n"/>
      <ns0:c r="U234" s="17" t="n"/>
      <ns0:c r="V234" s="17" t="n"/>
      <ns0:c r="W234" s="17" t="n"/>
      <ns0:c r="X234" s="17" t="n"/>
      <ns0:c r="Y234" s="17" t="n"/>
      <ns0:c r="Z234" s="17" t="n"/>
      <ns0:c r="AA234" s="17" t="n"/>
      <ns0:c r="AB234" s="17" t="n"/>
      <ns0:c r="AC234" s="17" t="n"/>
      <ns0:c r="AD234" s="17" t="n"/>
      <ns0:c r="AE234" s="17" t="n"/>
      <ns0:c r="AF234" s="17" t="n"/>
      <ns0:c r="AG234" s="17" t="n"/>
    </ns0:row>
    <ns0:row r="235" ht="24" customHeight="1">
      <ns0:c r="D235" s="17" t="n"/>
      <ns0:c r="E235" s="17" t="n"/>
      <ns0:c r="F235" s="17" t="n"/>
      <ns0:c r="G235" s="17" t="n"/>
      <ns0:c r="H235" s="17" t="n"/>
      <ns0:c r="I235" s="17" t="n"/>
      <ns0:c r="J235" s="17" t="n"/>
      <ns0:c r="K235" s="17" t="n"/>
      <ns0:c r="L235" s="17" t="n"/>
      <ns0:c r="M235" s="17" t="n"/>
      <ns0:c r="N235" s="17" t="n"/>
      <ns0:c r="O235" s="17" t="n"/>
      <ns0:c r="P235" s="17" t="n"/>
      <ns0:c r="Q235" s="17" t="n"/>
      <ns0:c r="R235" s="17" t="n"/>
      <ns0:c r="S235" s="17" t="n"/>
      <ns0:c r="T235" s="17" t="n"/>
      <ns0:c r="U235" s="17" t="n"/>
      <ns0:c r="V235" s="17" t="n"/>
      <ns0:c r="W235" s="17" t="n"/>
      <ns0:c r="X235" s="17" t="n"/>
      <ns0:c r="Y235" s="17" t="n"/>
      <ns0:c r="Z235" s="17" t="n"/>
      <ns0:c r="AA235" s="17" t="n"/>
      <ns0:c r="AB235" s="17" t="n"/>
      <ns0:c r="AC235" s="17" t="n"/>
      <ns0:c r="AD235" s="17" t="n"/>
      <ns0:c r="AE235" s="17" t="n"/>
      <ns0:c r="AF235" s="17" t="n"/>
      <ns0:c r="AG235" s="17" t="n"/>
    </ns0:row>
    <ns0:row r="236" ht="24" customHeight="1">
      <ns0:c r="D236" s="17" t="n"/>
      <ns0:c r="E236" s="17" t="n"/>
      <ns0:c r="F236" s="17" t="n"/>
      <ns0:c r="G236" s="17" t="n"/>
      <ns0:c r="H236" s="17" t="n"/>
      <ns0:c r="I236" s="17" t="n"/>
      <ns0:c r="J236" s="17" t="n"/>
      <ns0:c r="K236" s="17" t="n"/>
      <ns0:c r="L236" s="17" t="n"/>
      <ns0:c r="M236" s="17" t="n"/>
      <ns0:c r="N236" s="17" t="n"/>
      <ns0:c r="O236" s="17" t="n"/>
      <ns0:c r="P236" s="17" t="n"/>
      <ns0:c r="Q236" s="17" t="n"/>
      <ns0:c r="R236" s="17" t="n"/>
      <ns0:c r="S236" s="17" t="n"/>
      <ns0:c r="T236" s="17" t="n"/>
      <ns0:c r="U236" s="17" t="n"/>
      <ns0:c r="V236" s="17" t="n"/>
      <ns0:c r="W236" s="17" t="n"/>
      <ns0:c r="X236" s="17" t="n"/>
      <ns0:c r="Y236" s="17" t="n"/>
      <ns0:c r="Z236" s="17" t="n"/>
      <ns0:c r="AA236" s="17" t="n"/>
      <ns0:c r="AB236" s="17" t="n"/>
      <ns0:c r="AC236" s="17" t="n"/>
      <ns0:c r="AD236" s="17" t="n"/>
      <ns0:c r="AE236" s="17" t="n"/>
      <ns0:c r="AF236" s="17" t="n"/>
      <ns0:c r="AG236" s="17" t="n"/>
    </ns0:row>
    <ns0:row r="237" ht="24" customHeight="1">
      <ns0:c r="D237" s="17" t="n"/>
      <ns0:c r="E237" s="17" t="n"/>
      <ns0:c r="F237" s="17" t="n"/>
      <ns0:c r="G237" s="17" t="n"/>
      <ns0:c r="H237" s="17" t="n"/>
      <ns0:c r="I237" s="17" t="n"/>
      <ns0:c r="J237" s="17" t="n"/>
      <ns0:c r="K237" s="17" t="n"/>
      <ns0:c r="L237" s="17" t="n"/>
      <ns0:c r="M237" s="17" t="n"/>
      <ns0:c r="N237" s="17" t="n"/>
      <ns0:c r="O237" s="17" t="n"/>
      <ns0:c r="P237" s="17" t="n"/>
      <ns0:c r="Q237" s="17" t="n"/>
      <ns0:c r="R237" s="17" t="n"/>
      <ns0:c r="S237" s="17" t="n"/>
      <ns0:c r="T237" s="17" t="n"/>
      <ns0:c r="U237" s="17" t="n"/>
      <ns0:c r="V237" s="17" t="n"/>
      <ns0:c r="W237" s="17" t="n"/>
      <ns0:c r="X237" s="17" t="n"/>
      <ns0:c r="Y237" s="17" t="n"/>
      <ns0:c r="Z237" s="17" t="n"/>
      <ns0:c r="AA237" s="17" t="n"/>
      <ns0:c r="AB237" s="17" t="n"/>
      <ns0:c r="AC237" s="17" t="n"/>
      <ns0:c r="AD237" s="17" t="n"/>
      <ns0:c r="AE237" s="17" t="n"/>
      <ns0:c r="AF237" s="17" t="n"/>
      <ns0:c r="AG237" s="17" t="n"/>
    </ns0:row>
    <ns0:row r="238" ht="24" customHeight="1">
      <ns0:c r="D238" s="17" t="n"/>
      <ns0:c r="E238" s="17" t="n"/>
      <ns0:c r="F238" s="17" t="n"/>
      <ns0:c r="G238" s="17" t="n"/>
      <ns0:c r="H238" s="17" t="n"/>
      <ns0:c r="I238" s="17" t="n"/>
      <ns0:c r="J238" s="17" t="n"/>
      <ns0:c r="K238" s="17" t="n"/>
      <ns0:c r="L238" s="17" t="n"/>
      <ns0:c r="M238" s="17" t="n"/>
      <ns0:c r="N238" s="17" t="n"/>
      <ns0:c r="O238" s="17" t="n"/>
      <ns0:c r="P238" s="17" t="n"/>
      <ns0:c r="Q238" s="17" t="n"/>
      <ns0:c r="R238" s="17" t="n"/>
      <ns0:c r="S238" s="17" t="n"/>
      <ns0:c r="T238" s="17" t="n"/>
      <ns0:c r="U238" s="17" t="n"/>
      <ns0:c r="V238" s="17" t="n"/>
      <ns0:c r="W238" s="17" t="n"/>
      <ns0:c r="X238" s="17" t="n"/>
      <ns0:c r="Y238" s="17" t="n"/>
      <ns0:c r="Z238" s="17" t="n"/>
      <ns0:c r="AA238" s="17" t="n"/>
      <ns0:c r="AB238" s="17" t="n"/>
      <ns0:c r="AC238" s="17" t="n"/>
      <ns0:c r="AD238" s="17" t="n"/>
      <ns0:c r="AE238" s="17" t="n"/>
      <ns0:c r="AF238" s="17" t="n"/>
      <ns0:c r="AG238" s="17" t="n"/>
    </ns0:row>
    <ns0:row r="239" ht="24" customHeight="1">
      <ns0:c r="D239" s="17" t="n"/>
      <ns0:c r="E239" s="17" t="n"/>
      <ns0:c r="F239" s="17" t="n"/>
      <ns0:c r="G239" s="17" t="n"/>
      <ns0:c r="H239" s="17" t="n"/>
      <ns0:c r="I239" s="17" t="n"/>
      <ns0:c r="J239" s="17" t="n"/>
      <ns0:c r="K239" s="17" t="n"/>
      <ns0:c r="L239" s="17" t="n"/>
      <ns0:c r="M239" s="17" t="n"/>
      <ns0:c r="N239" s="17" t="n"/>
      <ns0:c r="O239" s="17" t="n"/>
      <ns0:c r="P239" s="17" t="n"/>
      <ns0:c r="Q239" s="17" t="n"/>
      <ns0:c r="R239" s="17" t="n"/>
      <ns0:c r="S239" s="17" t="n"/>
      <ns0:c r="T239" s="17" t="n"/>
      <ns0:c r="U239" s="17" t="n"/>
      <ns0:c r="V239" s="17" t="n"/>
      <ns0:c r="W239" s="17" t="n"/>
      <ns0:c r="X239" s="17" t="n"/>
      <ns0:c r="Y239" s="17" t="n"/>
      <ns0:c r="Z239" s="17" t="n"/>
      <ns0:c r="AA239" s="17" t="n"/>
      <ns0:c r="AB239" s="17" t="n"/>
      <ns0:c r="AC239" s="17" t="n"/>
      <ns0:c r="AD239" s="17" t="n"/>
      <ns0:c r="AE239" s="17" t="n"/>
      <ns0:c r="AF239" s="17" t="n"/>
      <ns0:c r="AG239" s="17" t="n"/>
    </ns0:row>
    <ns0:row r="240" ht="24" customHeight="1">
      <ns0:c r="D240" s="17" t="n"/>
      <ns0:c r="E240" s="17" t="n"/>
      <ns0:c r="F240" s="17" t="n"/>
      <ns0:c r="G240" s="17" t="n"/>
      <ns0:c r="H240" s="17" t="n"/>
      <ns0:c r="I240" s="17" t="n"/>
      <ns0:c r="J240" s="17" t="n"/>
      <ns0:c r="K240" s="17" t="n"/>
      <ns0:c r="L240" s="17" t="n"/>
      <ns0:c r="M240" s="17" t="n"/>
      <ns0:c r="N240" s="17" t="n"/>
      <ns0:c r="O240" s="17" t="n"/>
      <ns0:c r="P240" s="17" t="n"/>
      <ns0:c r="Q240" s="17" t="n"/>
      <ns0:c r="R240" s="17" t="n"/>
      <ns0:c r="S240" s="17" t="n"/>
      <ns0:c r="T240" s="17" t="n"/>
      <ns0:c r="U240" s="17" t="n"/>
      <ns0:c r="V240" s="17" t="n"/>
      <ns0:c r="W240" s="17" t="n"/>
      <ns0:c r="X240" s="17" t="n"/>
      <ns0:c r="Y240" s="17" t="n"/>
      <ns0:c r="Z240" s="17" t="n"/>
      <ns0:c r="AA240" s="17" t="n"/>
      <ns0:c r="AB240" s="17" t="n"/>
      <ns0:c r="AC240" s="17" t="n"/>
      <ns0:c r="AD240" s="17" t="n"/>
      <ns0:c r="AE240" s="17" t="n"/>
      <ns0:c r="AF240" s="17" t="n"/>
      <ns0:c r="AG240" s="17" t="n"/>
    </ns0:row>
    <ns0:row r="241" ht="24" customHeight="1">
      <ns0:c r="D241" s="17" t="n"/>
      <ns0:c r="E241" s="17" t="n"/>
      <ns0:c r="F241" s="17" t="n"/>
      <ns0:c r="G241" s="17" t="n"/>
      <ns0:c r="H241" s="17" t="n"/>
      <ns0:c r="I241" s="17" t="n"/>
      <ns0:c r="J241" s="17" t="n"/>
      <ns0:c r="K241" s="17" t="n"/>
      <ns0:c r="L241" s="17" t="n"/>
      <ns0:c r="M241" s="17" t="n"/>
      <ns0:c r="N241" s="17" t="n"/>
      <ns0:c r="O241" s="17" t="n"/>
      <ns0:c r="P241" s="17" t="n"/>
      <ns0:c r="Q241" s="17" t="n"/>
      <ns0:c r="R241" s="17" t="n"/>
      <ns0:c r="S241" s="17" t="n"/>
      <ns0:c r="T241" s="17" t="n"/>
      <ns0:c r="U241" s="17" t="n"/>
      <ns0:c r="V241" s="17" t="n"/>
      <ns0:c r="W241" s="17" t="n"/>
      <ns0:c r="X241" s="17" t="n"/>
      <ns0:c r="Y241" s="17" t="n"/>
      <ns0:c r="Z241" s="17" t="n"/>
      <ns0:c r="AA241" s="17" t="n"/>
      <ns0:c r="AB241" s="17" t="n"/>
      <ns0:c r="AC241" s="17" t="n"/>
      <ns0:c r="AD241" s="17" t="n"/>
      <ns0:c r="AE241" s="17" t="n"/>
      <ns0:c r="AF241" s="17" t="n"/>
      <ns0:c r="AG241" s="17" t="n"/>
    </ns0:row>
    <ns0:row r="242" ht="24" customHeight="1">
      <ns0:c r="D242" s="17" t="n"/>
      <ns0:c r="E242" s="17" t="n"/>
      <ns0:c r="F242" s="17" t="n"/>
      <ns0:c r="G242" s="17" t="n"/>
      <ns0:c r="H242" s="17" t="n"/>
      <ns0:c r="I242" s="17" t="n"/>
      <ns0:c r="J242" s="17" t="n"/>
      <ns0:c r="K242" s="17" t="n"/>
      <ns0:c r="L242" s="17" t="n"/>
      <ns0:c r="M242" s="17" t="n"/>
      <ns0:c r="N242" s="17" t="n"/>
      <ns0:c r="O242" s="17" t="n"/>
      <ns0:c r="P242" s="17" t="n"/>
      <ns0:c r="Q242" s="17" t="n"/>
      <ns0:c r="R242" s="17" t="n"/>
      <ns0:c r="S242" s="17" t="n"/>
      <ns0:c r="T242" s="17" t="n"/>
      <ns0:c r="U242" s="17" t="n"/>
      <ns0:c r="V242" s="17" t="n"/>
      <ns0:c r="W242" s="17" t="n"/>
      <ns0:c r="X242" s="17" t="n"/>
      <ns0:c r="Y242" s="17" t="n"/>
      <ns0:c r="Z242" s="17" t="n"/>
      <ns0:c r="AA242" s="17" t="n"/>
      <ns0:c r="AB242" s="17" t="n"/>
      <ns0:c r="AC242" s="17" t="n"/>
      <ns0:c r="AD242" s="17" t="n"/>
      <ns0:c r="AE242" s="17" t="n"/>
      <ns0:c r="AF242" s="17" t="n"/>
      <ns0:c r="AG242" s="17" t="n"/>
    </ns0:row>
    <ns0:row r="243" ht="24" customHeight="1">
      <ns0:c r="D243" s="17" t="n"/>
      <ns0:c r="E243" s="17" t="n"/>
      <ns0:c r="F243" s="17" t="n"/>
      <ns0:c r="G243" s="17" t="n"/>
      <ns0:c r="H243" s="17" t="n"/>
      <ns0:c r="I243" s="17" t="n"/>
      <ns0:c r="J243" s="17" t="n"/>
      <ns0:c r="K243" s="17" t="n"/>
      <ns0:c r="L243" s="17" t="n"/>
      <ns0:c r="M243" s="17" t="n"/>
      <ns0:c r="N243" s="17" t="n"/>
      <ns0:c r="O243" s="17" t="n"/>
      <ns0:c r="P243" s="17" t="n"/>
      <ns0:c r="Q243" s="17" t="n"/>
      <ns0:c r="R243" s="17" t="n"/>
      <ns0:c r="S243" s="17" t="n"/>
      <ns0:c r="T243" s="17" t="n"/>
      <ns0:c r="U243" s="17" t="n"/>
      <ns0:c r="V243" s="17" t="n"/>
      <ns0:c r="W243" s="17" t="n"/>
      <ns0:c r="X243" s="17" t="n"/>
      <ns0:c r="Y243" s="17" t="n"/>
      <ns0:c r="Z243" s="17" t="n"/>
      <ns0:c r="AA243" s="17" t="n"/>
      <ns0:c r="AB243" s="17" t="n"/>
      <ns0:c r="AC243" s="17" t="n"/>
      <ns0:c r="AD243" s="17" t="n"/>
      <ns0:c r="AE243" s="17" t="n"/>
      <ns0:c r="AF243" s="17" t="n"/>
      <ns0:c r="AG243" s="17" t="n"/>
    </ns0:row>
    <ns0:row r="244" ht="24" customHeight="1">
      <ns0:c r="D244" s="17" t="n"/>
      <ns0:c r="E244" s="17" t="n"/>
      <ns0:c r="F244" s="17" t="n"/>
      <ns0:c r="G244" s="17" t="n"/>
      <ns0:c r="H244" s="17" t="n"/>
      <ns0:c r="I244" s="17" t="n"/>
      <ns0:c r="J244" s="17" t="n"/>
      <ns0:c r="K244" s="17" t="n"/>
      <ns0:c r="L244" s="17" t="n"/>
      <ns0:c r="M244" s="17" t="n"/>
      <ns0:c r="N244" s="17" t="n"/>
      <ns0:c r="O244" s="17" t="n"/>
      <ns0:c r="P244" s="17" t="n"/>
      <ns0:c r="Q244" s="17" t="n"/>
      <ns0:c r="R244" s="17" t="n"/>
      <ns0:c r="S244" s="17" t="n"/>
      <ns0:c r="T244" s="17" t="n"/>
      <ns0:c r="U244" s="17" t="n"/>
      <ns0:c r="V244" s="17" t="n"/>
      <ns0:c r="W244" s="17" t="n"/>
      <ns0:c r="X244" s="17" t="n"/>
      <ns0:c r="Y244" s="17" t="n"/>
      <ns0:c r="Z244" s="17" t="n"/>
      <ns0:c r="AA244" s="17" t="n"/>
      <ns0:c r="AB244" s="17" t="n"/>
      <ns0:c r="AC244" s="17" t="n"/>
      <ns0:c r="AD244" s="17" t="n"/>
      <ns0:c r="AE244" s="17" t="n"/>
      <ns0:c r="AF244" s="17" t="n"/>
      <ns0:c r="AG244" s="17" t="n"/>
    </ns0:row>
    <ns0:row r="245" ht="24" customHeight="1">
      <ns0:c r="D245" s="17" t="n"/>
      <ns0:c r="E245" s="17" t="n"/>
      <ns0:c r="F245" s="17" t="n"/>
      <ns0:c r="G245" s="17" t="n"/>
      <ns0:c r="H245" s="17" t="n"/>
      <ns0:c r="I245" s="17" t="n"/>
      <ns0:c r="J245" s="17" t="n"/>
      <ns0:c r="K245" s="17" t="n"/>
      <ns0:c r="L245" s="17" t="n"/>
      <ns0:c r="M245" s="17" t="n"/>
      <ns0:c r="N245" s="17" t="n"/>
      <ns0:c r="O245" s="17" t="n"/>
      <ns0:c r="P245" s="17" t="n"/>
      <ns0:c r="Q245" s="17" t="n"/>
      <ns0:c r="R245" s="17" t="n"/>
      <ns0:c r="S245" s="17" t="n"/>
      <ns0:c r="T245" s="17" t="n"/>
      <ns0:c r="U245" s="17" t="n"/>
      <ns0:c r="V245" s="17" t="n"/>
      <ns0:c r="W245" s="17" t="n"/>
      <ns0:c r="X245" s="17" t="n"/>
      <ns0:c r="Y245" s="17" t="n"/>
      <ns0:c r="Z245" s="17" t="n"/>
      <ns0:c r="AA245" s="17" t="n"/>
      <ns0:c r="AB245" s="17" t="n"/>
      <ns0:c r="AC245" s="17" t="n"/>
      <ns0:c r="AD245" s="17" t="n"/>
      <ns0:c r="AE245" s="17" t="n"/>
      <ns0:c r="AF245" s="17" t="n"/>
      <ns0:c r="AG245" s="17" t="n"/>
    </ns0:row>
    <ns0:row r="246" ht="24" customHeight="1">
      <ns0:c r="D246" s="17" t="n"/>
      <ns0:c r="E246" s="17" t="n"/>
      <ns0:c r="F246" s="17" t="n"/>
      <ns0:c r="G246" s="17" t="n"/>
      <ns0:c r="H246" s="17" t="n"/>
      <ns0:c r="I246" s="17" t="n"/>
      <ns0:c r="J246" s="17" t="n"/>
      <ns0:c r="K246" s="17" t="n"/>
      <ns0:c r="L246" s="17" t="n"/>
      <ns0:c r="M246" s="17" t="n"/>
      <ns0:c r="N246" s="17" t="n"/>
      <ns0:c r="O246" s="17" t="n"/>
      <ns0:c r="P246" s="17" t="n"/>
      <ns0:c r="Q246" s="17" t="n"/>
      <ns0:c r="R246" s="17" t="n"/>
      <ns0:c r="S246" s="17" t="n"/>
      <ns0:c r="T246" s="17" t="n"/>
      <ns0:c r="U246" s="17" t="n"/>
      <ns0:c r="V246" s="17" t="n"/>
      <ns0:c r="W246" s="17" t="n"/>
      <ns0:c r="X246" s="17" t="n"/>
      <ns0:c r="Y246" s="17" t="n"/>
      <ns0:c r="Z246" s="17" t="n"/>
      <ns0:c r="AA246" s="17" t="n"/>
      <ns0:c r="AB246" s="17" t="n"/>
      <ns0:c r="AC246" s="17" t="n"/>
      <ns0:c r="AD246" s="17" t="n"/>
      <ns0:c r="AE246" s="17" t="n"/>
      <ns0:c r="AF246" s="17" t="n"/>
      <ns0:c r="AG246" s="17" t="n"/>
    </ns0:row>
    <ns0:row r="247" ht="24" customHeight="1">
      <ns0:c r="D247" s="17" t="n"/>
      <ns0:c r="E247" s="17" t="n"/>
      <ns0:c r="F247" s="17" t="n"/>
      <ns0:c r="G247" s="17" t="n"/>
      <ns0:c r="H247" s="17" t="n"/>
      <ns0:c r="I247" s="17" t="n"/>
      <ns0:c r="J247" s="17" t="n"/>
      <ns0:c r="K247" s="17" t="n"/>
      <ns0:c r="L247" s="17" t="n"/>
      <ns0:c r="M247" s="17" t="n"/>
      <ns0:c r="N247" s="17" t="n"/>
      <ns0:c r="O247" s="17" t="n"/>
      <ns0:c r="P247" s="17" t="n"/>
      <ns0:c r="Q247" s="17" t="n"/>
      <ns0:c r="R247" s="17" t="n"/>
      <ns0:c r="S247" s="17" t="n"/>
      <ns0:c r="T247" s="17" t="n"/>
      <ns0:c r="U247" s="17" t="n"/>
      <ns0:c r="V247" s="17" t="n"/>
      <ns0:c r="W247" s="17" t="n"/>
      <ns0:c r="X247" s="17" t="n"/>
      <ns0:c r="Y247" s="17" t="n"/>
      <ns0:c r="Z247" s="17" t="n"/>
      <ns0:c r="AA247" s="17" t="n"/>
      <ns0:c r="AB247" s="17" t="n"/>
      <ns0:c r="AC247" s="17" t="n"/>
      <ns0:c r="AD247" s="17" t="n"/>
      <ns0:c r="AE247" s="17" t="n"/>
      <ns0:c r="AF247" s="17" t="n"/>
      <ns0:c r="AG247" s="17" t="n"/>
    </ns0:row>
    <ns0:row r="248" ht="24" customHeight="1">
      <ns0:c r="D248" s="17" t="n"/>
      <ns0:c r="E248" s="17" t="n"/>
      <ns0:c r="F248" s="17" t="n"/>
      <ns0:c r="G248" s="17" t="n"/>
      <ns0:c r="H248" s="17" t="n"/>
      <ns0:c r="I248" s="17" t="n"/>
      <ns0:c r="J248" s="17" t="n"/>
      <ns0:c r="K248" s="17" t="n"/>
      <ns0:c r="L248" s="17" t="n"/>
      <ns0:c r="M248" s="17" t="n"/>
      <ns0:c r="N248" s="17" t="n"/>
      <ns0:c r="O248" s="17" t="n"/>
      <ns0:c r="P248" s="17" t="n"/>
      <ns0:c r="Q248" s="17" t="n"/>
      <ns0:c r="R248" s="17" t="n"/>
      <ns0:c r="S248" s="17" t="n"/>
      <ns0:c r="T248" s="17" t="n"/>
      <ns0:c r="U248" s="17" t="n"/>
      <ns0:c r="V248" s="17" t="n"/>
      <ns0:c r="W248" s="17" t="n"/>
      <ns0:c r="X248" s="17" t="n"/>
      <ns0:c r="Y248" s="17" t="n"/>
      <ns0:c r="Z248" s="17" t="n"/>
      <ns0:c r="AA248" s="17" t="n"/>
      <ns0:c r="AB248" s="17" t="n"/>
      <ns0:c r="AC248" s="17" t="n"/>
      <ns0:c r="AD248" s="17" t="n"/>
      <ns0:c r="AE248" s="17" t="n"/>
      <ns0:c r="AF248" s="17" t="n"/>
      <ns0:c r="AG248" s="17" t="n"/>
    </ns0:row>
    <ns0:row r="249" ht="24" customHeight="1">
      <ns0:c r="D249" s="17" t="n"/>
      <ns0:c r="E249" s="17" t="n"/>
      <ns0:c r="F249" s="17" t="n"/>
      <ns0:c r="G249" s="17" t="n"/>
      <ns0:c r="H249" s="17" t="n"/>
      <ns0:c r="I249" s="17" t="n"/>
      <ns0:c r="J249" s="17" t="n"/>
      <ns0:c r="K249" s="17" t="n"/>
      <ns0:c r="L249" s="17" t="n"/>
      <ns0:c r="M249" s="17" t="n"/>
      <ns0:c r="N249" s="17" t="n"/>
      <ns0:c r="O249" s="17" t="n"/>
      <ns0:c r="P249" s="17" t="n"/>
      <ns0:c r="Q249" s="17" t="n"/>
      <ns0:c r="R249" s="17" t="n"/>
      <ns0:c r="S249" s="17" t="n"/>
      <ns0:c r="T249" s="17" t="n"/>
      <ns0:c r="U249" s="17" t="n"/>
      <ns0:c r="V249" s="17" t="n"/>
      <ns0:c r="W249" s="17" t="n"/>
      <ns0:c r="X249" s="17" t="n"/>
      <ns0:c r="Y249" s="17" t="n"/>
      <ns0:c r="Z249" s="17" t="n"/>
      <ns0:c r="AA249" s="17" t="n"/>
      <ns0:c r="AB249" s="17" t="n"/>
      <ns0:c r="AC249" s="17" t="n"/>
      <ns0:c r="AD249" s="17" t="n"/>
      <ns0:c r="AE249" s="17" t="n"/>
      <ns0:c r="AF249" s="17" t="n"/>
      <ns0:c r="AG249" s="17" t="n"/>
    </ns0:row>
    <ns0:row r="250" ht="24" customHeight="1">
      <ns0:c r="D250" s="17" t="n"/>
      <ns0:c r="E250" s="17" t="n"/>
      <ns0:c r="F250" s="17" t="n"/>
      <ns0:c r="G250" s="17" t="n"/>
      <ns0:c r="H250" s="17" t="n"/>
      <ns0:c r="I250" s="17" t="n"/>
      <ns0:c r="J250" s="17" t="n"/>
      <ns0:c r="K250" s="17" t="n"/>
      <ns0:c r="L250" s="17" t="n"/>
      <ns0:c r="M250" s="17" t="n"/>
      <ns0:c r="N250" s="17" t="n"/>
      <ns0:c r="O250" s="17" t="n"/>
      <ns0:c r="P250" s="17" t="n"/>
      <ns0:c r="Q250" s="17" t="n"/>
      <ns0:c r="R250" s="17" t="n"/>
      <ns0:c r="S250" s="17" t="n"/>
      <ns0:c r="T250" s="17" t="n"/>
      <ns0:c r="U250" s="17" t="n"/>
      <ns0:c r="V250" s="17" t="n"/>
      <ns0:c r="W250" s="17" t="n"/>
      <ns0:c r="X250" s="17" t="n"/>
      <ns0:c r="Y250" s="17" t="n"/>
      <ns0:c r="Z250" s="17" t="n"/>
      <ns0:c r="AA250" s="17" t="n"/>
      <ns0:c r="AB250" s="17" t="n"/>
      <ns0:c r="AC250" s="17" t="n"/>
      <ns0:c r="AD250" s="17" t="n"/>
      <ns0:c r="AE250" s="17" t="n"/>
      <ns0:c r="AF250" s="17" t="n"/>
      <ns0:c r="AG250" s="17" t="n"/>
    </ns0:row>
    <ns0:row r="251" ht="24" customHeight="1">
      <ns0:c r="D251" s="17" t="n"/>
      <ns0:c r="E251" s="17" t="n"/>
      <ns0:c r="F251" s="17" t="n"/>
      <ns0:c r="G251" s="17" t="n"/>
      <ns0:c r="H251" s="17" t="n"/>
      <ns0:c r="I251" s="17" t="n"/>
      <ns0:c r="J251" s="17" t="n"/>
      <ns0:c r="K251" s="17" t="n"/>
      <ns0:c r="L251" s="17" t="n"/>
      <ns0:c r="M251" s="17" t="n"/>
      <ns0:c r="N251" s="17" t="n"/>
      <ns0:c r="O251" s="17" t="n"/>
      <ns0:c r="P251" s="17" t="n"/>
      <ns0:c r="Q251" s="17" t="n"/>
      <ns0:c r="R251" s="17" t="n"/>
      <ns0:c r="S251" s="17" t="n"/>
      <ns0:c r="T251" s="17" t="n"/>
      <ns0:c r="U251" s="17" t="n"/>
      <ns0:c r="V251" s="17" t="n"/>
      <ns0:c r="W251" s="17" t="n"/>
      <ns0:c r="X251" s="17" t="n"/>
      <ns0:c r="Y251" s="17" t="n"/>
      <ns0:c r="Z251" s="17" t="n"/>
      <ns0:c r="AA251" s="17" t="n"/>
      <ns0:c r="AB251" s="17" t="n"/>
      <ns0:c r="AC251" s="17" t="n"/>
      <ns0:c r="AD251" s="17" t="n"/>
      <ns0:c r="AE251" s="17" t="n"/>
      <ns0:c r="AF251" s="17" t="n"/>
      <ns0:c r="AG251" s="17" t="n"/>
    </ns0:row>
    <ns0:row r="252" ht="24" customHeight="1">
      <ns0:c r="D252" s="17" t="n"/>
      <ns0:c r="E252" s="17" t="n"/>
      <ns0:c r="F252" s="17" t="n"/>
      <ns0:c r="G252" s="17" t="n"/>
      <ns0:c r="H252" s="17" t="n"/>
      <ns0:c r="I252" s="17" t="n"/>
      <ns0:c r="J252" s="17" t="n"/>
      <ns0:c r="K252" s="17" t="n"/>
      <ns0:c r="L252" s="17" t="n"/>
      <ns0:c r="M252" s="17" t="n"/>
      <ns0:c r="N252" s="17" t="n"/>
      <ns0:c r="O252" s="17" t="n"/>
      <ns0:c r="P252" s="17" t="n"/>
      <ns0:c r="Q252" s="17" t="n"/>
      <ns0:c r="R252" s="17" t="n"/>
      <ns0:c r="S252" s="17" t="n"/>
      <ns0:c r="T252" s="17" t="n"/>
      <ns0:c r="U252" s="17" t="n"/>
      <ns0:c r="V252" s="17" t="n"/>
      <ns0:c r="W252" s="17" t="n"/>
      <ns0:c r="X252" s="17" t="n"/>
      <ns0:c r="Y252" s="17" t="n"/>
      <ns0:c r="Z252" s="17" t="n"/>
      <ns0:c r="AA252" s="17" t="n"/>
      <ns0:c r="AB252" s="17" t="n"/>
      <ns0:c r="AC252" s="17" t="n"/>
      <ns0:c r="AD252" s="17" t="n"/>
      <ns0:c r="AE252" s="17" t="n"/>
      <ns0:c r="AF252" s="17" t="n"/>
      <ns0:c r="AG252" s="17" t="n"/>
    </ns0:row>
    <ns0:row r="253" ht="24" customHeight="1">
      <ns0:c r="D253" s="17" t="n"/>
      <ns0:c r="E253" s="17" t="n"/>
      <ns0:c r="F253" s="17" t="n"/>
      <ns0:c r="G253" s="17" t="n"/>
      <ns0:c r="H253" s="17" t="n"/>
      <ns0:c r="I253" s="17" t="n"/>
      <ns0:c r="J253" s="17" t="n"/>
      <ns0:c r="K253" s="17" t="n"/>
      <ns0:c r="L253" s="17" t="n"/>
      <ns0:c r="M253" s="17" t="n"/>
      <ns0:c r="N253" s="17" t="n"/>
      <ns0:c r="O253" s="17" t="n"/>
      <ns0:c r="P253" s="17" t="n"/>
      <ns0:c r="Q253" s="17" t="n"/>
      <ns0:c r="R253" s="17" t="n"/>
      <ns0:c r="S253" s="17" t="n"/>
      <ns0:c r="T253" s="17" t="n"/>
      <ns0:c r="U253" s="17" t="n"/>
      <ns0:c r="V253" s="17" t="n"/>
      <ns0:c r="W253" s="17" t="n"/>
      <ns0:c r="X253" s="17" t="n"/>
      <ns0:c r="Y253" s="17" t="n"/>
      <ns0:c r="Z253" s="17" t="n"/>
      <ns0:c r="AA253" s="17" t="n"/>
      <ns0:c r="AB253" s="17" t="n"/>
      <ns0:c r="AC253" s="17" t="n"/>
      <ns0:c r="AD253" s="17" t="n"/>
      <ns0:c r="AE253" s="17" t="n"/>
      <ns0:c r="AF253" s="17" t="n"/>
      <ns0:c r="AG253" s="17" t="n"/>
    </ns0:row>
    <ns0:row r="254" ht="24" customHeight="1">
      <ns0:c r="D254" s="17" t="n"/>
      <ns0:c r="E254" s="17" t="n"/>
      <ns0:c r="F254" s="17" t="n"/>
      <ns0:c r="G254" s="17" t="n"/>
      <ns0:c r="H254" s="17" t="n"/>
      <ns0:c r="I254" s="17" t="n"/>
      <ns0:c r="J254" s="17" t="n"/>
      <ns0:c r="K254" s="17" t="n"/>
      <ns0:c r="L254" s="17" t="n"/>
      <ns0:c r="M254" s="17" t="n"/>
      <ns0:c r="N254" s="17" t="n"/>
      <ns0:c r="O254" s="17" t="n"/>
      <ns0:c r="P254" s="17" t="n"/>
      <ns0:c r="Q254" s="17" t="n"/>
      <ns0:c r="R254" s="17" t="n"/>
      <ns0:c r="S254" s="17" t="n"/>
      <ns0:c r="T254" s="17" t="n"/>
      <ns0:c r="U254" s="17" t="n"/>
      <ns0:c r="V254" s="17" t="n"/>
      <ns0:c r="W254" s="17" t="n"/>
      <ns0:c r="X254" s="17" t="n"/>
      <ns0:c r="Y254" s="17" t="n"/>
      <ns0:c r="Z254" s="17" t="n"/>
      <ns0:c r="AA254" s="17" t="n"/>
      <ns0:c r="AB254" s="17" t="n"/>
      <ns0:c r="AC254" s="17" t="n"/>
      <ns0:c r="AD254" s="17" t="n"/>
      <ns0:c r="AE254" s="17" t="n"/>
      <ns0:c r="AF254" s="17" t="n"/>
      <ns0:c r="AG254" s="17" t="n"/>
    </ns0:row>
    <ns0:row r="255" ht="24" customHeight="1">
      <ns0:c r="D255" s="17" t="n"/>
      <ns0:c r="E255" s="17" t="n"/>
      <ns0:c r="F255" s="17" t="n"/>
      <ns0:c r="G255" s="17" t="n"/>
      <ns0:c r="H255" s="17" t="n"/>
      <ns0:c r="I255" s="17" t="n"/>
      <ns0:c r="J255" s="17" t="n"/>
      <ns0:c r="K255" s="17" t="n"/>
      <ns0:c r="L255" s="17" t="n"/>
      <ns0:c r="M255" s="17" t="n"/>
      <ns0:c r="N255" s="17" t="n"/>
      <ns0:c r="O255" s="17" t="n"/>
      <ns0:c r="P255" s="17" t="n"/>
      <ns0:c r="Q255" s="17" t="n"/>
      <ns0:c r="R255" s="17" t="n"/>
      <ns0:c r="S255" s="17" t="n"/>
      <ns0:c r="T255" s="17" t="n"/>
      <ns0:c r="U255" s="17" t="n"/>
      <ns0:c r="V255" s="17" t="n"/>
      <ns0:c r="W255" s="17" t="n"/>
      <ns0:c r="X255" s="17" t="n"/>
      <ns0:c r="Y255" s="17" t="n"/>
      <ns0:c r="Z255" s="17" t="n"/>
      <ns0:c r="AA255" s="17" t="n"/>
      <ns0:c r="AB255" s="17" t="n"/>
      <ns0:c r="AC255" s="17" t="n"/>
      <ns0:c r="AD255" s="17" t="n"/>
      <ns0:c r="AE255" s="17" t="n"/>
      <ns0:c r="AF255" s="17" t="n"/>
      <ns0:c r="AG255" s="17" t="n"/>
    </ns0:row>
    <ns0:row r="256" ht="24" customHeight="1">
      <ns0:c r="D256" s="17" t="n"/>
      <ns0:c r="E256" s="17" t="n"/>
      <ns0:c r="F256" s="17" t="n"/>
      <ns0:c r="G256" s="17" t="n"/>
      <ns0:c r="H256" s="17" t="n"/>
      <ns0:c r="I256" s="17" t="n"/>
      <ns0:c r="J256" s="17" t="n"/>
      <ns0:c r="K256" s="17" t="n"/>
      <ns0:c r="L256" s="17" t="n"/>
      <ns0:c r="M256" s="17" t="n"/>
      <ns0:c r="N256" s="17" t="n"/>
      <ns0:c r="O256" s="17" t="n"/>
      <ns0:c r="P256" s="17" t="n"/>
      <ns0:c r="Q256" s="17" t="n"/>
      <ns0:c r="R256" s="17" t="n"/>
      <ns0:c r="S256" s="17" t="n"/>
      <ns0:c r="T256" s="17" t="n"/>
      <ns0:c r="U256" s="17" t="n"/>
      <ns0:c r="V256" s="17" t="n"/>
      <ns0:c r="W256" s="17" t="n"/>
      <ns0:c r="X256" s="17" t="n"/>
      <ns0:c r="Y256" s="17" t="n"/>
      <ns0:c r="Z256" s="17" t="n"/>
      <ns0:c r="AA256" s="17" t="n"/>
      <ns0:c r="AB256" s="17" t="n"/>
      <ns0:c r="AC256" s="17" t="n"/>
      <ns0:c r="AD256" s="17" t="n"/>
      <ns0:c r="AE256" s="17" t="n"/>
      <ns0:c r="AF256" s="17" t="n"/>
      <ns0:c r="AG256" s="17" t="n"/>
    </ns0:row>
    <ns0:row r="257" ht="24" customHeight="1">
      <ns0:c r="D257" s="17" t="n"/>
      <ns0:c r="E257" s="17" t="n"/>
      <ns0:c r="F257" s="17" t="n"/>
      <ns0:c r="G257" s="17" t="n"/>
      <ns0:c r="H257" s="17" t="n"/>
      <ns0:c r="I257" s="17" t="n"/>
      <ns0:c r="J257" s="17" t="n"/>
      <ns0:c r="K257" s="17" t="n"/>
      <ns0:c r="L257" s="17" t="n"/>
      <ns0:c r="M257" s="17" t="n"/>
      <ns0:c r="N257" s="17" t="n"/>
      <ns0:c r="O257" s="17" t="n"/>
      <ns0:c r="P257" s="17" t="n"/>
      <ns0:c r="Q257" s="17" t="n"/>
      <ns0:c r="R257" s="17" t="n"/>
      <ns0:c r="S257" s="17" t="n"/>
      <ns0:c r="T257" s="17" t="n"/>
      <ns0:c r="U257" s="17" t="n"/>
      <ns0:c r="V257" s="17" t="n"/>
      <ns0:c r="W257" s="17" t="n"/>
      <ns0:c r="X257" s="17" t="n"/>
      <ns0:c r="Y257" s="17" t="n"/>
      <ns0:c r="Z257" s="17" t="n"/>
      <ns0:c r="AA257" s="17" t="n"/>
      <ns0:c r="AB257" s="17" t="n"/>
      <ns0:c r="AC257" s="17" t="n"/>
      <ns0:c r="AD257" s="17" t="n"/>
      <ns0:c r="AE257" s="17" t="n"/>
      <ns0:c r="AF257" s="17" t="n"/>
      <ns0:c r="AG257" s="17" t="n"/>
    </ns0:row>
    <ns0:row r="258" ht="24" customHeight="1">
      <ns0:c r="D258" s="17" t="n"/>
      <ns0:c r="E258" s="17" t="n"/>
      <ns0:c r="F258" s="17" t="n"/>
      <ns0:c r="G258" s="17" t="n"/>
      <ns0:c r="H258" s="17" t="n"/>
      <ns0:c r="I258" s="17" t="n"/>
      <ns0:c r="J258" s="17" t="n"/>
      <ns0:c r="K258" s="17" t="n"/>
      <ns0:c r="L258" s="17" t="n"/>
      <ns0:c r="M258" s="17" t="n"/>
      <ns0:c r="N258" s="17" t="n"/>
      <ns0:c r="O258" s="17" t="n"/>
      <ns0:c r="P258" s="17" t="n"/>
      <ns0:c r="Q258" s="17" t="n"/>
      <ns0:c r="R258" s="17" t="n"/>
      <ns0:c r="S258" s="17" t="n"/>
      <ns0:c r="T258" s="17" t="n"/>
      <ns0:c r="U258" s="17" t="n"/>
      <ns0:c r="V258" s="17" t="n"/>
      <ns0:c r="W258" s="17" t="n"/>
      <ns0:c r="X258" s="17" t="n"/>
      <ns0:c r="Y258" s="17" t="n"/>
      <ns0:c r="Z258" s="17" t="n"/>
      <ns0:c r="AA258" s="17" t="n"/>
      <ns0:c r="AB258" s="17" t="n"/>
      <ns0:c r="AC258" s="17" t="n"/>
      <ns0:c r="AD258" s="17" t="n"/>
      <ns0:c r="AE258" s="17" t="n"/>
      <ns0:c r="AF258" s="17" t="n"/>
      <ns0:c r="AG258" s="17" t="n"/>
    </ns0:row>
    <ns0:row r="259" ht="24" customHeight="1">
      <ns0:c r="D259" s="17" t="n"/>
      <ns0:c r="E259" s="17" t="n"/>
      <ns0:c r="F259" s="17" t="n"/>
      <ns0:c r="G259" s="17" t="n"/>
      <ns0:c r="H259" s="17" t="n"/>
      <ns0:c r="I259" s="17" t="n"/>
      <ns0:c r="J259" s="17" t="n"/>
      <ns0:c r="K259" s="17" t="n"/>
      <ns0:c r="L259" s="17" t="n"/>
      <ns0:c r="M259" s="17" t="n"/>
      <ns0:c r="N259" s="17" t="n"/>
      <ns0:c r="O259" s="17" t="n"/>
      <ns0:c r="P259" s="17" t="n"/>
      <ns0:c r="Q259" s="17" t="n"/>
      <ns0:c r="R259" s="17" t="n"/>
      <ns0:c r="S259" s="17" t="n"/>
      <ns0:c r="T259" s="17" t="n"/>
      <ns0:c r="U259" s="17" t="n"/>
      <ns0:c r="V259" s="17" t="n"/>
      <ns0:c r="W259" s="17" t="n"/>
      <ns0:c r="X259" s="17" t="n"/>
      <ns0:c r="Y259" s="17" t="n"/>
      <ns0:c r="Z259" s="17" t="n"/>
      <ns0:c r="AA259" s="17" t="n"/>
      <ns0:c r="AB259" s="17" t="n"/>
      <ns0:c r="AC259" s="17" t="n"/>
      <ns0:c r="AD259" s="17" t="n"/>
      <ns0:c r="AE259" s="17" t="n"/>
      <ns0:c r="AF259" s="17" t="n"/>
      <ns0:c r="AG259" s="17" t="n"/>
    </ns0:row>
    <ns0:row r="260" ht="24" customHeight="1">
      <ns0:c r="D260" s="17" t="n"/>
      <ns0:c r="E260" s="17" t="n"/>
      <ns0:c r="F260" s="17" t="n"/>
      <ns0:c r="G260" s="17" t="n"/>
      <ns0:c r="H260" s="17" t="n"/>
      <ns0:c r="I260" s="17" t="n"/>
      <ns0:c r="J260" s="17" t="n"/>
      <ns0:c r="K260" s="17" t="n"/>
      <ns0:c r="L260" s="17" t="n"/>
      <ns0:c r="M260" s="17" t="n"/>
      <ns0:c r="N260" s="17" t="n"/>
      <ns0:c r="O260" s="17" t="n"/>
      <ns0:c r="P260" s="17" t="n"/>
      <ns0:c r="Q260" s="17" t="n"/>
      <ns0:c r="R260" s="17" t="n"/>
      <ns0:c r="S260" s="17" t="n"/>
      <ns0:c r="T260" s="17" t="n"/>
      <ns0:c r="U260" s="17" t="n"/>
      <ns0:c r="V260" s="17" t="n"/>
      <ns0:c r="W260" s="17" t="n"/>
      <ns0:c r="X260" s="17" t="n"/>
      <ns0:c r="Y260" s="17" t="n"/>
      <ns0:c r="Z260" s="17" t="n"/>
      <ns0:c r="AA260" s="17" t="n"/>
      <ns0:c r="AB260" s="17" t="n"/>
      <ns0:c r="AC260" s="17" t="n"/>
      <ns0:c r="AD260" s="17" t="n"/>
      <ns0:c r="AE260" s="17" t="n"/>
      <ns0:c r="AF260" s="17" t="n"/>
      <ns0:c r="AG260" s="17" t="n"/>
    </ns0:row>
    <ns0:row r="261" ht="24" customHeight="1">
      <ns0:c r="D261" s="17" t="n"/>
      <ns0:c r="E261" s="17" t="n"/>
      <ns0:c r="F261" s="17" t="n"/>
      <ns0:c r="G261" s="17" t="n"/>
      <ns0:c r="H261" s="17" t="n"/>
      <ns0:c r="I261" s="17" t="n"/>
      <ns0:c r="J261" s="17" t="n"/>
      <ns0:c r="K261" s="17" t="n"/>
      <ns0:c r="L261" s="17" t="n"/>
      <ns0:c r="M261" s="17" t="n"/>
      <ns0:c r="N261" s="17" t="n"/>
      <ns0:c r="O261" s="17" t="n"/>
      <ns0:c r="P261" s="17" t="n"/>
      <ns0:c r="Q261" s="17" t="n"/>
      <ns0:c r="R261" s="17" t="n"/>
      <ns0:c r="S261" s="17" t="n"/>
      <ns0:c r="T261" s="17" t="n"/>
      <ns0:c r="U261" s="17" t="n"/>
      <ns0:c r="V261" s="17" t="n"/>
      <ns0:c r="W261" s="17" t="n"/>
      <ns0:c r="X261" s="17" t="n"/>
      <ns0:c r="Y261" s="17" t="n"/>
      <ns0:c r="Z261" s="17" t="n"/>
      <ns0:c r="AA261" s="17" t="n"/>
      <ns0:c r="AB261" s="17" t="n"/>
      <ns0:c r="AC261" s="17" t="n"/>
      <ns0:c r="AD261" s="17" t="n"/>
      <ns0:c r="AE261" s="17" t="n"/>
      <ns0:c r="AF261" s="17" t="n"/>
      <ns0:c r="AG261" s="17" t="n"/>
    </ns0:row>
    <ns0:row r="262" ht="24" customHeight="1">
      <ns0:c r="D262" s="17" t="n"/>
      <ns0:c r="E262" s="17" t="n"/>
      <ns0:c r="F262" s="17" t="n"/>
      <ns0:c r="G262" s="17" t="n"/>
      <ns0:c r="H262" s="17" t="n"/>
      <ns0:c r="I262" s="17" t="n"/>
      <ns0:c r="J262" s="17" t="n"/>
      <ns0:c r="K262" s="17" t="n"/>
      <ns0:c r="L262" s="17" t="n"/>
      <ns0:c r="M262" s="17" t="n"/>
      <ns0:c r="N262" s="17" t="n"/>
      <ns0:c r="O262" s="17" t="n"/>
      <ns0:c r="P262" s="17" t="n"/>
      <ns0:c r="Q262" s="17" t="n"/>
      <ns0:c r="R262" s="17" t="n"/>
      <ns0:c r="S262" s="17" t="n"/>
      <ns0:c r="T262" s="17" t="n"/>
      <ns0:c r="U262" s="17" t="n"/>
      <ns0:c r="V262" s="17" t="n"/>
      <ns0:c r="W262" s="17" t="n"/>
      <ns0:c r="X262" s="17" t="n"/>
      <ns0:c r="Y262" s="17" t="n"/>
      <ns0:c r="Z262" s="17" t="n"/>
      <ns0:c r="AA262" s="17" t="n"/>
      <ns0:c r="AB262" s="17" t="n"/>
      <ns0:c r="AC262" s="17" t="n"/>
      <ns0:c r="AD262" s="17" t="n"/>
      <ns0:c r="AE262" s="17" t="n"/>
      <ns0:c r="AF262" s="17" t="n"/>
      <ns0:c r="AG262" s="17" t="n"/>
    </ns0:row>
    <ns0:row r="263" ht="24" customHeight="1">
      <ns0:c r="D263" s="17" t="n"/>
      <ns0:c r="E263" s="17" t="n"/>
      <ns0:c r="F263" s="17" t="n"/>
      <ns0:c r="G263" s="17" t="n"/>
      <ns0:c r="H263" s="17" t="n"/>
      <ns0:c r="I263" s="17" t="n"/>
      <ns0:c r="J263" s="17" t="n"/>
      <ns0:c r="K263" s="17" t="n"/>
      <ns0:c r="L263" s="17" t="n"/>
      <ns0:c r="M263" s="17" t="n"/>
      <ns0:c r="N263" s="17" t="n"/>
      <ns0:c r="O263" s="17" t="n"/>
      <ns0:c r="P263" s="17" t="n"/>
      <ns0:c r="Q263" s="17" t="n"/>
      <ns0:c r="R263" s="17" t="n"/>
      <ns0:c r="S263" s="17" t="n"/>
      <ns0:c r="T263" s="17" t="n"/>
      <ns0:c r="U263" s="17" t="n"/>
      <ns0:c r="V263" s="17" t="n"/>
      <ns0:c r="W263" s="17" t="n"/>
      <ns0:c r="X263" s="17" t="n"/>
      <ns0:c r="Y263" s="17" t="n"/>
      <ns0:c r="Z263" s="17" t="n"/>
      <ns0:c r="AA263" s="17" t="n"/>
      <ns0:c r="AB263" s="17" t="n"/>
      <ns0:c r="AC263" s="17" t="n"/>
      <ns0:c r="AD263" s="17" t="n"/>
      <ns0:c r="AE263" s="17" t="n"/>
      <ns0:c r="AF263" s="17" t="n"/>
      <ns0:c r="AG263" s="17" t="n"/>
    </ns0:row>
    <ns0:row r="264" ht="24" customHeight="1">
      <ns0:c r="D264" s="17" t="n"/>
      <ns0:c r="E264" s="17" t="n"/>
      <ns0:c r="F264" s="17" t="n"/>
      <ns0:c r="G264" s="17" t="n"/>
      <ns0:c r="H264" s="17" t="n"/>
      <ns0:c r="I264" s="17" t="n"/>
      <ns0:c r="J264" s="17" t="n"/>
      <ns0:c r="K264" s="17" t="n"/>
      <ns0:c r="L264" s="17" t="n"/>
      <ns0:c r="M264" s="17" t="n"/>
      <ns0:c r="N264" s="17" t="n"/>
      <ns0:c r="O264" s="17" t="n"/>
      <ns0:c r="P264" s="17" t="n"/>
      <ns0:c r="Q264" s="17" t="n"/>
      <ns0:c r="R264" s="17" t="n"/>
      <ns0:c r="S264" s="17" t="n"/>
      <ns0:c r="T264" s="17" t="n"/>
      <ns0:c r="U264" s="17" t="n"/>
      <ns0:c r="V264" s="17" t="n"/>
      <ns0:c r="W264" s="17" t="n"/>
      <ns0:c r="X264" s="17" t="n"/>
      <ns0:c r="Y264" s="17" t="n"/>
      <ns0:c r="Z264" s="17" t="n"/>
      <ns0:c r="AA264" s="17" t="n"/>
      <ns0:c r="AB264" s="17" t="n"/>
      <ns0:c r="AC264" s="17" t="n"/>
      <ns0:c r="AD264" s="17" t="n"/>
      <ns0:c r="AE264" s="17" t="n"/>
      <ns0:c r="AF264" s="17" t="n"/>
      <ns0:c r="AG264" s="17" t="n"/>
    </ns0:row>
    <ns0:row r="265" ht="24" customHeight="1">
      <ns0:c r="D265" s="17" t="n"/>
      <ns0:c r="E265" s="17" t="n"/>
      <ns0:c r="F265" s="17" t="n"/>
      <ns0:c r="G265" s="17" t="n"/>
      <ns0:c r="H265" s="17" t="n"/>
      <ns0:c r="I265" s="17" t="n"/>
      <ns0:c r="J265" s="17" t="n"/>
      <ns0:c r="K265" s="17" t="n"/>
      <ns0:c r="L265" s="17" t="n"/>
      <ns0:c r="M265" s="17" t="n"/>
      <ns0:c r="N265" s="17" t="n"/>
      <ns0:c r="O265" s="17" t="n"/>
      <ns0:c r="P265" s="17" t="n"/>
      <ns0:c r="Q265" s="17" t="n"/>
      <ns0:c r="R265" s="17" t="n"/>
      <ns0:c r="S265" s="17" t="n"/>
      <ns0:c r="T265" s="17" t="n"/>
      <ns0:c r="U265" s="17" t="n"/>
      <ns0:c r="V265" s="17" t="n"/>
      <ns0:c r="W265" s="17" t="n"/>
      <ns0:c r="X265" s="17" t="n"/>
      <ns0:c r="Y265" s="17" t="n"/>
      <ns0:c r="Z265" s="17" t="n"/>
      <ns0:c r="AA265" s="17" t="n"/>
      <ns0:c r="AB265" s="17" t="n"/>
      <ns0:c r="AC265" s="17" t="n"/>
      <ns0:c r="AD265" s="17" t="n"/>
      <ns0:c r="AE265" s="17" t="n"/>
      <ns0:c r="AF265" s="17" t="n"/>
      <ns0:c r="AG265" s="17" t="n"/>
    </ns0:row>
    <ns0:row r="266" ht="24" customHeight="1">
      <ns0:c r="D266" s="17" t="n"/>
      <ns0:c r="E266" s="17" t="n"/>
      <ns0:c r="F266" s="17" t="n"/>
      <ns0:c r="G266" s="17" t="n"/>
      <ns0:c r="H266" s="17" t="n"/>
      <ns0:c r="I266" s="17" t="n"/>
      <ns0:c r="J266" s="17" t="n"/>
      <ns0:c r="K266" s="17" t="n"/>
      <ns0:c r="L266" s="17" t="n"/>
      <ns0:c r="M266" s="17" t="n"/>
      <ns0:c r="N266" s="17" t="n"/>
      <ns0:c r="O266" s="17" t="n"/>
      <ns0:c r="P266" s="17" t="n"/>
      <ns0:c r="Q266" s="17" t="n"/>
      <ns0:c r="R266" s="17" t="n"/>
      <ns0:c r="S266" s="17" t="n"/>
      <ns0:c r="T266" s="17" t="n"/>
      <ns0:c r="U266" s="17" t="n"/>
      <ns0:c r="V266" s="17" t="n"/>
      <ns0:c r="W266" s="17" t="n"/>
      <ns0:c r="X266" s="17" t="n"/>
      <ns0:c r="Y266" s="17" t="n"/>
      <ns0:c r="Z266" s="17" t="n"/>
      <ns0:c r="AA266" s="17" t="n"/>
      <ns0:c r="AB266" s="17" t="n"/>
      <ns0:c r="AC266" s="17" t="n"/>
      <ns0:c r="AD266" s="17" t="n"/>
      <ns0:c r="AE266" s="17" t="n"/>
      <ns0:c r="AF266" s="17" t="n"/>
      <ns0:c r="AG266" s="17" t="n"/>
    </ns0:row>
    <ns0:row r="267" ht="24" customHeight="1">
      <ns0:c r="D267" s="17" t="n"/>
      <ns0:c r="E267" s="17" t="n"/>
      <ns0:c r="F267" s="17" t="n"/>
      <ns0:c r="G267" s="17" t="n"/>
      <ns0:c r="H267" s="17" t="n"/>
      <ns0:c r="I267" s="17" t="n"/>
      <ns0:c r="J267" s="17" t="n"/>
      <ns0:c r="K267" s="17" t="n"/>
      <ns0:c r="L267" s="17" t="n"/>
      <ns0:c r="M267" s="17" t="n"/>
      <ns0:c r="N267" s="17" t="n"/>
      <ns0:c r="O267" s="17" t="n"/>
      <ns0:c r="P267" s="17" t="n"/>
      <ns0:c r="Q267" s="17" t="n"/>
      <ns0:c r="R267" s="17" t="n"/>
      <ns0:c r="S267" s="17" t="n"/>
      <ns0:c r="T267" s="17" t="n"/>
      <ns0:c r="U267" s="17" t="n"/>
      <ns0:c r="V267" s="17" t="n"/>
      <ns0:c r="W267" s="17" t="n"/>
      <ns0:c r="X267" s="17" t="n"/>
      <ns0:c r="Y267" s="17" t="n"/>
      <ns0:c r="Z267" s="17" t="n"/>
      <ns0:c r="AA267" s="17" t="n"/>
      <ns0:c r="AB267" s="17" t="n"/>
      <ns0:c r="AC267" s="17" t="n"/>
      <ns0:c r="AD267" s="17" t="n"/>
      <ns0:c r="AE267" s="17" t="n"/>
      <ns0:c r="AF267" s="17" t="n"/>
      <ns0:c r="AG267" s="17" t="n"/>
    </ns0:row>
    <ns0:row r="268" ht="24" customHeight="1">
      <ns0:c r="D268" s="17" t="n"/>
      <ns0:c r="E268" s="17" t="n"/>
      <ns0:c r="F268" s="17" t="n"/>
      <ns0:c r="G268" s="17" t="n"/>
      <ns0:c r="H268" s="17" t="n"/>
      <ns0:c r="I268" s="17" t="n"/>
      <ns0:c r="J268" s="17" t="n"/>
      <ns0:c r="K268" s="17" t="n"/>
      <ns0:c r="L268" s="17" t="n"/>
      <ns0:c r="M268" s="17" t="n"/>
      <ns0:c r="N268" s="17" t="n"/>
      <ns0:c r="O268" s="17" t="n"/>
      <ns0:c r="P268" s="17" t="n"/>
      <ns0:c r="Q268" s="17" t="n"/>
      <ns0:c r="R268" s="17" t="n"/>
      <ns0:c r="S268" s="17" t="n"/>
      <ns0:c r="T268" s="17" t="n"/>
      <ns0:c r="U268" s="17" t="n"/>
      <ns0:c r="V268" s="17" t="n"/>
      <ns0:c r="W268" s="17" t="n"/>
      <ns0:c r="X268" s="17" t="n"/>
      <ns0:c r="Y268" s="17" t="n"/>
      <ns0:c r="Z268" s="17" t="n"/>
      <ns0:c r="AA268" s="17" t="n"/>
      <ns0:c r="AB268" s="17" t="n"/>
      <ns0:c r="AC268" s="17" t="n"/>
      <ns0:c r="AD268" s="17" t="n"/>
      <ns0:c r="AE268" s="17" t="n"/>
      <ns0:c r="AF268" s="17" t="n"/>
      <ns0:c r="AG268" s="17" t="n"/>
    </ns0:row>
    <ns0:row r="269" ht="24" customHeight="1">
      <ns0:c r="D269" s="17" t="n"/>
      <ns0:c r="E269" s="17" t="n"/>
      <ns0:c r="F269" s="17" t="n"/>
      <ns0:c r="G269" s="17" t="n"/>
      <ns0:c r="H269" s="17" t="n"/>
      <ns0:c r="I269" s="17" t="n"/>
      <ns0:c r="J269" s="17" t="n"/>
      <ns0:c r="K269" s="17" t="n"/>
      <ns0:c r="L269" s="17" t="n"/>
      <ns0:c r="M269" s="17" t="n"/>
      <ns0:c r="N269" s="17" t="n"/>
      <ns0:c r="O269" s="17" t="n"/>
      <ns0:c r="P269" s="17" t="n"/>
      <ns0:c r="Q269" s="17" t="n"/>
      <ns0:c r="R269" s="17" t="n"/>
      <ns0:c r="S269" s="17" t="n"/>
      <ns0:c r="T269" s="17" t="n"/>
      <ns0:c r="U269" s="17" t="n"/>
      <ns0:c r="V269" s="17" t="n"/>
      <ns0:c r="W269" s="17" t="n"/>
      <ns0:c r="X269" s="17" t="n"/>
      <ns0:c r="Y269" s="17" t="n"/>
      <ns0:c r="Z269" s="17" t="n"/>
      <ns0:c r="AA269" s="17" t="n"/>
      <ns0:c r="AB269" s="17" t="n"/>
      <ns0:c r="AC269" s="17" t="n"/>
      <ns0:c r="AD269" s="17" t="n"/>
      <ns0:c r="AE269" s="17" t="n"/>
      <ns0:c r="AF269" s="17" t="n"/>
      <ns0:c r="AG269" s="17" t="n"/>
    </ns0:row>
    <ns0:row r="270" ht="24" customHeight="1">
      <ns0:c r="D270" s="17" t="n"/>
      <ns0:c r="E270" s="17" t="n"/>
      <ns0:c r="F270" s="17" t="n"/>
      <ns0:c r="G270" s="17" t="n"/>
      <ns0:c r="H270" s="17" t="n"/>
      <ns0:c r="I270" s="17" t="n"/>
      <ns0:c r="J270" s="17" t="n"/>
      <ns0:c r="K270" s="17" t="n"/>
      <ns0:c r="L270" s="17" t="n"/>
      <ns0:c r="M270" s="17" t="n"/>
      <ns0:c r="N270" s="17" t="n"/>
      <ns0:c r="O270" s="17" t="n"/>
      <ns0:c r="P270" s="17" t="n"/>
      <ns0:c r="Q270" s="17" t="n"/>
      <ns0:c r="R270" s="17" t="n"/>
      <ns0:c r="S270" s="17" t="n"/>
      <ns0:c r="T270" s="17" t="n"/>
      <ns0:c r="U270" s="17" t="n"/>
      <ns0:c r="V270" s="17" t="n"/>
      <ns0:c r="W270" s="17" t="n"/>
      <ns0:c r="X270" s="17" t="n"/>
      <ns0:c r="Y270" s="17" t="n"/>
      <ns0:c r="Z270" s="17" t="n"/>
      <ns0:c r="AA270" s="17" t="n"/>
      <ns0:c r="AB270" s="17" t="n"/>
      <ns0:c r="AC270" s="17" t="n"/>
      <ns0:c r="AD270" s="17" t="n"/>
      <ns0:c r="AE270" s="17" t="n"/>
      <ns0:c r="AF270" s="17" t="n"/>
      <ns0:c r="AG270" s="17" t="n"/>
    </ns0:row>
    <ns0:row r="271" ht="24" customHeight="1">
      <ns0:c r="D271" s="17" t="n"/>
      <ns0:c r="E271" s="17" t="n"/>
      <ns0:c r="F271" s="17" t="n"/>
      <ns0:c r="G271" s="17" t="n"/>
      <ns0:c r="H271" s="17" t="n"/>
      <ns0:c r="I271" s="17" t="n"/>
      <ns0:c r="J271" s="17" t="n"/>
      <ns0:c r="K271" s="17" t="n"/>
      <ns0:c r="L271" s="17" t="n"/>
      <ns0:c r="M271" s="17" t="n"/>
      <ns0:c r="N271" s="17" t="n"/>
      <ns0:c r="O271" s="17" t="n"/>
      <ns0:c r="P271" s="17" t="n"/>
      <ns0:c r="Q271" s="17" t="n"/>
      <ns0:c r="R271" s="17" t="n"/>
      <ns0:c r="S271" s="17" t="n"/>
      <ns0:c r="T271" s="17" t="n"/>
      <ns0:c r="U271" s="17" t="n"/>
      <ns0:c r="V271" s="17" t="n"/>
      <ns0:c r="W271" s="17" t="n"/>
      <ns0:c r="X271" s="17" t="n"/>
      <ns0:c r="Y271" s="17" t="n"/>
      <ns0:c r="Z271" s="17" t="n"/>
      <ns0:c r="AA271" s="17" t="n"/>
      <ns0:c r="AB271" s="17" t="n"/>
      <ns0:c r="AC271" s="17" t="n"/>
      <ns0:c r="AD271" s="17" t="n"/>
      <ns0:c r="AE271" s="17" t="n"/>
      <ns0:c r="AF271" s="17" t="n"/>
      <ns0:c r="AG271" s="17" t="n"/>
    </ns0:row>
    <ns0:row r="272" ht="24" customHeight="1">
      <ns0:c r="D272" s="17" t="n"/>
      <ns0:c r="E272" s="17" t="n"/>
      <ns0:c r="F272" s="17" t="n"/>
      <ns0:c r="G272" s="17" t="n"/>
      <ns0:c r="H272" s="17" t="n"/>
      <ns0:c r="I272" s="17" t="n"/>
      <ns0:c r="J272" s="17" t="n"/>
      <ns0:c r="K272" s="17" t="n"/>
      <ns0:c r="L272" s="17" t="n"/>
      <ns0:c r="M272" s="17" t="n"/>
      <ns0:c r="N272" s="17" t="n"/>
      <ns0:c r="O272" s="17" t="n"/>
      <ns0:c r="P272" s="17" t="n"/>
      <ns0:c r="Q272" s="17" t="n"/>
      <ns0:c r="R272" s="17" t="n"/>
      <ns0:c r="S272" s="17" t="n"/>
      <ns0:c r="T272" s="17" t="n"/>
      <ns0:c r="U272" s="17" t="n"/>
      <ns0:c r="V272" s="17" t="n"/>
      <ns0:c r="W272" s="17" t="n"/>
      <ns0:c r="X272" s="17" t="n"/>
      <ns0:c r="Y272" s="17" t="n"/>
      <ns0:c r="Z272" s="17" t="n"/>
      <ns0:c r="AA272" s="17" t="n"/>
      <ns0:c r="AB272" s="17" t="n"/>
      <ns0:c r="AC272" s="17" t="n"/>
      <ns0:c r="AD272" s="17" t="n"/>
      <ns0:c r="AE272" s="17" t="n"/>
      <ns0:c r="AF272" s="17" t="n"/>
      <ns0:c r="AG272" s="17" t="n"/>
    </ns0:row>
    <ns0:row r="273" ht="24" customHeight="1">
      <ns0:c r="D273" s="17" t="n"/>
      <ns0:c r="E273" s="17" t="n"/>
      <ns0:c r="F273" s="17" t="n"/>
      <ns0:c r="G273" s="17" t="n"/>
      <ns0:c r="H273" s="17" t="n"/>
      <ns0:c r="I273" s="17" t="n"/>
      <ns0:c r="J273" s="17" t="n"/>
      <ns0:c r="K273" s="17" t="n"/>
      <ns0:c r="L273" s="17" t="n"/>
      <ns0:c r="M273" s="17" t="n"/>
      <ns0:c r="N273" s="17" t="n"/>
      <ns0:c r="O273" s="17" t="n"/>
      <ns0:c r="P273" s="17" t="n"/>
      <ns0:c r="Q273" s="17" t="n"/>
      <ns0:c r="R273" s="17" t="n"/>
      <ns0:c r="S273" s="17" t="n"/>
      <ns0:c r="T273" s="17" t="n"/>
      <ns0:c r="U273" s="17" t="n"/>
      <ns0:c r="V273" s="17" t="n"/>
      <ns0:c r="W273" s="17" t="n"/>
      <ns0:c r="X273" s="17" t="n"/>
      <ns0:c r="Y273" s="17" t="n"/>
      <ns0:c r="Z273" s="17" t="n"/>
      <ns0:c r="AA273" s="17" t="n"/>
      <ns0:c r="AB273" s="17" t="n"/>
      <ns0:c r="AC273" s="17" t="n"/>
      <ns0:c r="AD273" s="17" t="n"/>
      <ns0:c r="AE273" s="17" t="n"/>
      <ns0:c r="AF273" s="17" t="n"/>
      <ns0:c r="AG273" s="17" t="n"/>
    </ns0:row>
    <ns0:row r="274" ht="24" customHeight="1">
      <ns0:c r="D274" s="17" t="n"/>
      <ns0:c r="E274" s="17" t="n"/>
      <ns0:c r="F274" s="17" t="n"/>
      <ns0:c r="G274" s="17" t="n"/>
      <ns0:c r="H274" s="17" t="n"/>
      <ns0:c r="I274" s="17" t="n"/>
      <ns0:c r="J274" s="17" t="n"/>
      <ns0:c r="K274" s="17" t="n"/>
      <ns0:c r="L274" s="17" t="n"/>
      <ns0:c r="M274" s="17" t="n"/>
      <ns0:c r="N274" s="17" t="n"/>
      <ns0:c r="O274" s="17" t="n"/>
      <ns0:c r="P274" s="17" t="n"/>
      <ns0:c r="Q274" s="17" t="n"/>
      <ns0:c r="R274" s="17" t="n"/>
      <ns0:c r="S274" s="17" t="n"/>
      <ns0:c r="T274" s="17" t="n"/>
      <ns0:c r="U274" s="17" t="n"/>
      <ns0:c r="V274" s="17" t="n"/>
      <ns0:c r="W274" s="17" t="n"/>
      <ns0:c r="X274" s="17" t="n"/>
      <ns0:c r="Y274" s="17" t="n"/>
      <ns0:c r="Z274" s="17" t="n"/>
      <ns0:c r="AA274" s="17" t="n"/>
      <ns0:c r="AB274" s="17" t="n"/>
      <ns0:c r="AC274" s="17" t="n"/>
      <ns0:c r="AD274" s="17" t="n"/>
      <ns0:c r="AE274" s="17" t="n"/>
      <ns0:c r="AF274" s="17" t="n"/>
      <ns0:c r="AG274" s="17" t="n"/>
    </ns0:row>
    <ns0:row r="275" ht="24" customHeight="1">
      <ns0:c r="D275" s="17" t="n"/>
      <ns0:c r="E275" s="17" t="n"/>
      <ns0:c r="F275" s="17" t="n"/>
      <ns0:c r="G275" s="17" t="n"/>
      <ns0:c r="H275" s="17" t="n"/>
      <ns0:c r="I275" s="17" t="n"/>
      <ns0:c r="J275" s="17" t="n"/>
      <ns0:c r="K275" s="17" t="n"/>
      <ns0:c r="L275" s="17" t="n"/>
      <ns0:c r="M275" s="17" t="n"/>
      <ns0:c r="N275" s="17" t="n"/>
      <ns0:c r="O275" s="17" t="n"/>
      <ns0:c r="P275" s="17" t="n"/>
      <ns0:c r="Q275" s="17" t="n"/>
      <ns0:c r="R275" s="17" t="n"/>
      <ns0:c r="S275" s="17" t="n"/>
      <ns0:c r="T275" s="17" t="n"/>
      <ns0:c r="U275" s="17" t="n"/>
      <ns0:c r="V275" s="17" t="n"/>
      <ns0:c r="W275" s="17" t="n"/>
      <ns0:c r="X275" s="17" t="n"/>
      <ns0:c r="Y275" s="17" t="n"/>
      <ns0:c r="Z275" s="17" t="n"/>
      <ns0:c r="AA275" s="17" t="n"/>
      <ns0:c r="AB275" s="17" t="n"/>
      <ns0:c r="AC275" s="17" t="n"/>
      <ns0:c r="AD275" s="17" t="n"/>
      <ns0:c r="AE275" s="17" t="n"/>
      <ns0:c r="AF275" s="17" t="n"/>
      <ns0:c r="AG275" s="17" t="n"/>
    </ns0:row>
    <ns0:row r="276" ht="24" customHeight="1">
      <ns0:c r="D276" s="17" t="n"/>
      <ns0:c r="E276" s="17" t="n"/>
      <ns0:c r="F276" s="17" t="n"/>
      <ns0:c r="G276" s="17" t="n"/>
      <ns0:c r="H276" s="17" t="n"/>
      <ns0:c r="I276" s="17" t="n"/>
      <ns0:c r="J276" s="17" t="n"/>
      <ns0:c r="K276" s="17" t="n"/>
      <ns0:c r="L276" s="17" t="n"/>
      <ns0:c r="M276" s="17" t="n"/>
      <ns0:c r="N276" s="17" t="n"/>
      <ns0:c r="O276" s="17" t="n"/>
      <ns0:c r="P276" s="17" t="n"/>
      <ns0:c r="Q276" s="17" t="n"/>
      <ns0:c r="R276" s="17" t="n"/>
      <ns0:c r="S276" s="17" t="n"/>
      <ns0:c r="T276" s="17" t="n"/>
      <ns0:c r="U276" s="17" t="n"/>
      <ns0:c r="V276" s="17" t="n"/>
      <ns0:c r="W276" s="17" t="n"/>
      <ns0:c r="X276" s="17" t="n"/>
      <ns0:c r="Y276" s="17" t="n"/>
      <ns0:c r="Z276" s="17" t="n"/>
      <ns0:c r="AA276" s="17" t="n"/>
      <ns0:c r="AB276" s="17" t="n"/>
      <ns0:c r="AC276" s="17" t="n"/>
      <ns0:c r="AD276" s="17" t="n"/>
      <ns0:c r="AE276" s="17" t="n"/>
      <ns0:c r="AF276" s="17" t="n"/>
      <ns0:c r="AG276" s="17" t="n"/>
    </ns0:row>
    <ns0:row r="277" ht="24" customHeight="1">
      <ns0:c r="D277" s="17" t="n"/>
      <ns0:c r="E277" s="17" t="n"/>
      <ns0:c r="F277" s="17" t="n"/>
      <ns0:c r="G277" s="17" t="n"/>
      <ns0:c r="H277" s="17" t="n"/>
      <ns0:c r="I277" s="17" t="n"/>
      <ns0:c r="J277" s="17" t="n"/>
      <ns0:c r="K277" s="17" t="n"/>
      <ns0:c r="L277" s="17" t="n"/>
      <ns0:c r="M277" s="17" t="n"/>
      <ns0:c r="N277" s="17" t="n"/>
      <ns0:c r="O277" s="17" t="n"/>
      <ns0:c r="P277" s="17" t="n"/>
      <ns0:c r="Q277" s="17" t="n"/>
      <ns0:c r="R277" s="17" t="n"/>
      <ns0:c r="S277" s="17" t="n"/>
      <ns0:c r="T277" s="17" t="n"/>
      <ns0:c r="U277" s="17" t="n"/>
      <ns0:c r="V277" s="17" t="n"/>
      <ns0:c r="W277" s="17" t="n"/>
      <ns0:c r="X277" s="17" t="n"/>
      <ns0:c r="Y277" s="17" t="n"/>
      <ns0:c r="Z277" s="17" t="n"/>
      <ns0:c r="AA277" s="17" t="n"/>
      <ns0:c r="AB277" s="17" t="n"/>
      <ns0:c r="AC277" s="17" t="n"/>
      <ns0:c r="AD277" s="17" t="n"/>
      <ns0:c r="AE277" s="17" t="n"/>
      <ns0:c r="AF277" s="17" t="n"/>
      <ns0:c r="AG277" s="17" t="n"/>
    </ns0:row>
    <ns0:row r="278" ht="24" customHeight="1">
      <ns0:c r="D278" s="17" t="n"/>
      <ns0:c r="E278" s="17" t="n"/>
      <ns0:c r="F278" s="17" t="n"/>
      <ns0:c r="G278" s="17" t="n"/>
      <ns0:c r="H278" s="17" t="n"/>
      <ns0:c r="I278" s="17" t="n"/>
      <ns0:c r="J278" s="17" t="n"/>
      <ns0:c r="K278" s="17" t="n"/>
      <ns0:c r="L278" s="17" t="n"/>
      <ns0:c r="M278" s="17" t="n"/>
      <ns0:c r="N278" s="17" t="n"/>
      <ns0:c r="O278" s="17" t="n"/>
      <ns0:c r="P278" s="17" t="n"/>
      <ns0:c r="Q278" s="17" t="n"/>
      <ns0:c r="R278" s="17" t="n"/>
      <ns0:c r="S278" s="17" t="n"/>
      <ns0:c r="T278" s="17" t="n"/>
      <ns0:c r="U278" s="17" t="n"/>
      <ns0:c r="V278" s="17" t="n"/>
      <ns0:c r="W278" s="17" t="n"/>
      <ns0:c r="X278" s="17" t="n"/>
      <ns0:c r="Y278" s="17" t="n"/>
      <ns0:c r="Z278" s="17" t="n"/>
      <ns0:c r="AA278" s="17" t="n"/>
      <ns0:c r="AB278" s="17" t="n"/>
      <ns0:c r="AC278" s="17" t="n"/>
      <ns0:c r="AD278" s="17" t="n"/>
      <ns0:c r="AE278" s="17" t="n"/>
      <ns0:c r="AF278" s="17" t="n"/>
      <ns0:c r="AG278" s="17" t="n"/>
    </ns0:row>
    <ns0:row r="279" ht="24" customHeight="1">
      <ns0:c r="D279" s="17" t="n"/>
      <ns0:c r="E279" s="17" t="n"/>
      <ns0:c r="F279" s="17" t="n"/>
      <ns0:c r="G279" s="17" t="n"/>
      <ns0:c r="H279" s="17" t="n"/>
      <ns0:c r="I279" s="17" t="n"/>
      <ns0:c r="J279" s="17" t="n"/>
      <ns0:c r="K279" s="17" t="n"/>
      <ns0:c r="L279" s="17" t="n"/>
      <ns0:c r="M279" s="17" t="n"/>
      <ns0:c r="N279" s="17" t="n"/>
      <ns0:c r="O279" s="17" t="n"/>
      <ns0:c r="P279" s="17" t="n"/>
      <ns0:c r="Q279" s="17" t="n"/>
      <ns0:c r="R279" s="17" t="n"/>
      <ns0:c r="S279" s="17" t="n"/>
      <ns0:c r="T279" s="17" t="n"/>
      <ns0:c r="U279" s="17" t="n"/>
      <ns0:c r="V279" s="17" t="n"/>
      <ns0:c r="W279" s="17" t="n"/>
      <ns0:c r="X279" s="17" t="n"/>
      <ns0:c r="Y279" s="17" t="n"/>
      <ns0:c r="Z279" s="17" t="n"/>
      <ns0:c r="AA279" s="17" t="n"/>
      <ns0:c r="AB279" s="17" t="n"/>
      <ns0:c r="AC279" s="17" t="n"/>
      <ns0:c r="AD279" s="17" t="n"/>
      <ns0:c r="AE279" s="17" t="n"/>
      <ns0:c r="AF279" s="17" t="n"/>
      <ns0:c r="AG279" s="17" t="n"/>
    </ns0:row>
    <ns0:row r="280" ht="24" customHeight="1">
      <ns0:c r="D280" s="17" t="n"/>
      <ns0:c r="E280" s="17" t="n"/>
      <ns0:c r="F280" s="17" t="n"/>
      <ns0:c r="G280" s="17" t="n"/>
      <ns0:c r="H280" s="17" t="n"/>
      <ns0:c r="I280" s="17" t="n"/>
      <ns0:c r="J280" s="17" t="n"/>
      <ns0:c r="K280" s="17" t="n"/>
      <ns0:c r="L280" s="17" t="n"/>
      <ns0:c r="M280" s="17" t="n"/>
      <ns0:c r="N280" s="17" t="n"/>
      <ns0:c r="O280" s="17" t="n"/>
      <ns0:c r="P280" s="17" t="n"/>
      <ns0:c r="Q280" s="17" t="n"/>
      <ns0:c r="R280" s="17" t="n"/>
      <ns0:c r="S280" s="17" t="n"/>
      <ns0:c r="T280" s="17" t="n"/>
      <ns0:c r="U280" s="17" t="n"/>
      <ns0:c r="V280" s="17" t="n"/>
      <ns0:c r="W280" s="17" t="n"/>
      <ns0:c r="X280" s="17" t="n"/>
      <ns0:c r="Y280" s="17" t="n"/>
      <ns0:c r="Z280" s="17" t="n"/>
      <ns0:c r="AA280" s="17" t="n"/>
      <ns0:c r="AB280" s="17" t="n"/>
      <ns0:c r="AC280" s="17" t="n"/>
      <ns0:c r="AD280" s="17" t="n"/>
      <ns0:c r="AE280" s="17" t="n"/>
      <ns0:c r="AF280" s="17" t="n"/>
      <ns0:c r="AG280" s="17" t="n"/>
    </ns0:row>
    <ns0:row r="281" ht="24" customHeight="1">
      <ns0:c r="D281" s="17" t="n"/>
      <ns0:c r="E281" s="17" t="n"/>
      <ns0:c r="F281" s="17" t="n"/>
      <ns0:c r="G281" s="17" t="n"/>
      <ns0:c r="H281" s="17" t="n"/>
      <ns0:c r="I281" s="17" t="n"/>
      <ns0:c r="J281" s="17" t="n"/>
      <ns0:c r="K281" s="17" t="n"/>
      <ns0:c r="L281" s="17" t="n"/>
      <ns0:c r="M281" s="17" t="n"/>
      <ns0:c r="N281" s="17" t="n"/>
      <ns0:c r="O281" s="17" t="n"/>
      <ns0:c r="P281" s="17" t="n"/>
      <ns0:c r="Q281" s="17" t="n"/>
      <ns0:c r="R281" s="17" t="n"/>
      <ns0:c r="S281" s="17" t="n"/>
      <ns0:c r="T281" s="17" t="n"/>
      <ns0:c r="U281" s="17" t="n"/>
      <ns0:c r="V281" s="17" t="n"/>
      <ns0:c r="W281" s="17" t="n"/>
      <ns0:c r="X281" s="17" t="n"/>
      <ns0:c r="Y281" s="17" t="n"/>
      <ns0:c r="Z281" s="17" t="n"/>
      <ns0:c r="AA281" s="17" t="n"/>
      <ns0:c r="AB281" s="17" t="n"/>
      <ns0:c r="AC281" s="17" t="n"/>
      <ns0:c r="AD281" s="17" t="n"/>
      <ns0:c r="AE281" s="17" t="n"/>
      <ns0:c r="AF281" s="17" t="n"/>
      <ns0:c r="AG281" s="17" t="n"/>
    </ns0:row>
    <ns0:row r="282" ht="24" customHeight="1">
      <ns0:c r="D282" s="17" t="n"/>
      <ns0:c r="E282" s="17" t="n"/>
      <ns0:c r="F282" s="17" t="n"/>
      <ns0:c r="G282" s="17" t="n"/>
      <ns0:c r="H282" s="17" t="n"/>
      <ns0:c r="I282" s="17" t="n"/>
      <ns0:c r="J282" s="17" t="n"/>
      <ns0:c r="K282" s="17" t="n"/>
      <ns0:c r="L282" s="17" t="n"/>
      <ns0:c r="M282" s="17" t="n"/>
      <ns0:c r="N282" s="17" t="n"/>
      <ns0:c r="O282" s="17" t="n"/>
      <ns0:c r="P282" s="17" t="n"/>
      <ns0:c r="Q282" s="17" t="n"/>
      <ns0:c r="R282" s="17" t="n"/>
      <ns0:c r="S282" s="17" t="n"/>
      <ns0:c r="T282" s="17" t="n"/>
      <ns0:c r="U282" s="17" t="n"/>
      <ns0:c r="V282" s="17" t="n"/>
      <ns0:c r="W282" s="17" t="n"/>
      <ns0:c r="X282" s="17" t="n"/>
      <ns0:c r="Y282" s="17" t="n"/>
      <ns0:c r="Z282" s="17" t="n"/>
      <ns0:c r="AA282" s="17" t="n"/>
      <ns0:c r="AB282" s="17" t="n"/>
      <ns0:c r="AC282" s="17" t="n"/>
      <ns0:c r="AD282" s="17" t="n"/>
      <ns0:c r="AE282" s="17" t="n"/>
      <ns0:c r="AF282" s="17" t="n"/>
      <ns0:c r="AG282" s="17" t="n"/>
    </ns0:row>
    <ns0:row r="283" ht="24" customHeight="1">
      <ns0:c r="D283" s="17" t="n"/>
      <ns0:c r="E283" s="17" t="n"/>
      <ns0:c r="F283" s="17" t="n"/>
      <ns0:c r="G283" s="17" t="n"/>
      <ns0:c r="H283" s="17" t="n"/>
      <ns0:c r="I283" s="17" t="n"/>
      <ns0:c r="J283" s="17" t="n"/>
      <ns0:c r="K283" s="17" t="n"/>
      <ns0:c r="L283" s="17" t="n"/>
      <ns0:c r="M283" s="17" t="n"/>
      <ns0:c r="N283" s="17" t="n"/>
      <ns0:c r="O283" s="17" t="n"/>
      <ns0:c r="P283" s="17" t="n"/>
      <ns0:c r="Q283" s="17" t="n"/>
      <ns0:c r="R283" s="17" t="n"/>
      <ns0:c r="S283" s="17" t="n"/>
      <ns0:c r="T283" s="17" t="n"/>
      <ns0:c r="U283" s="17" t="n"/>
      <ns0:c r="V283" s="17" t="n"/>
      <ns0:c r="W283" s="17" t="n"/>
      <ns0:c r="X283" s="17" t="n"/>
      <ns0:c r="Y283" s="17" t="n"/>
      <ns0:c r="Z283" s="17" t="n"/>
      <ns0:c r="AA283" s="17" t="n"/>
      <ns0:c r="AB283" s="17" t="n"/>
      <ns0:c r="AC283" s="17" t="n"/>
      <ns0:c r="AD283" s="17" t="n"/>
      <ns0:c r="AE283" s="17" t="n"/>
      <ns0:c r="AF283" s="17" t="n"/>
      <ns0:c r="AG283" s="17" t="n"/>
    </ns0:row>
    <ns0:row r="284" ht="24" customHeight="1">
      <ns0:c r="D284" s="17" t="n"/>
      <ns0:c r="E284" s="17" t="n"/>
      <ns0:c r="F284" s="17" t="n"/>
      <ns0:c r="G284" s="17" t="n"/>
      <ns0:c r="H284" s="17" t="n"/>
      <ns0:c r="I284" s="17" t="n"/>
      <ns0:c r="J284" s="17" t="n"/>
      <ns0:c r="K284" s="17" t="n"/>
      <ns0:c r="L284" s="17" t="n"/>
      <ns0:c r="M284" s="17" t="n"/>
      <ns0:c r="N284" s="17" t="n"/>
      <ns0:c r="O284" s="17" t="n"/>
      <ns0:c r="P284" s="17" t="n"/>
      <ns0:c r="Q284" s="17" t="n"/>
      <ns0:c r="R284" s="17" t="n"/>
      <ns0:c r="S284" s="17" t="n"/>
      <ns0:c r="T284" s="17" t="n"/>
      <ns0:c r="U284" s="17" t="n"/>
      <ns0:c r="V284" s="17" t="n"/>
      <ns0:c r="W284" s="17" t="n"/>
      <ns0:c r="X284" s="17" t="n"/>
      <ns0:c r="Y284" s="17" t="n"/>
      <ns0:c r="Z284" s="17" t="n"/>
      <ns0:c r="AA284" s="17" t="n"/>
      <ns0:c r="AB284" s="17" t="n"/>
      <ns0:c r="AC284" s="17" t="n"/>
      <ns0:c r="AD284" s="17" t="n"/>
      <ns0:c r="AE284" s="17" t="n"/>
      <ns0:c r="AF284" s="17" t="n"/>
      <ns0:c r="AG284" s="17" t="n"/>
    </ns0:row>
    <ns0:row r="285" ht="24" customHeight="1">
      <ns0:c r="D285" s="17" t="n"/>
      <ns0:c r="E285" s="17" t="n"/>
      <ns0:c r="F285" s="17" t="n"/>
      <ns0:c r="G285" s="17" t="n"/>
      <ns0:c r="H285" s="17" t="n"/>
      <ns0:c r="I285" s="17" t="n"/>
      <ns0:c r="J285" s="17" t="n"/>
      <ns0:c r="K285" s="17" t="n"/>
      <ns0:c r="L285" s="17" t="n"/>
      <ns0:c r="M285" s="17" t="n"/>
      <ns0:c r="N285" s="17" t="n"/>
      <ns0:c r="O285" s="17" t="n"/>
      <ns0:c r="P285" s="17" t="n"/>
      <ns0:c r="Q285" s="17" t="n"/>
      <ns0:c r="R285" s="17" t="n"/>
      <ns0:c r="S285" s="17" t="n"/>
      <ns0:c r="T285" s="17" t="n"/>
      <ns0:c r="U285" s="17" t="n"/>
      <ns0:c r="V285" s="17" t="n"/>
      <ns0:c r="W285" s="17" t="n"/>
      <ns0:c r="X285" s="17" t="n"/>
      <ns0:c r="Y285" s="17" t="n"/>
      <ns0:c r="Z285" s="17" t="n"/>
      <ns0:c r="AA285" s="17" t="n"/>
      <ns0:c r="AB285" s="17" t="n"/>
      <ns0:c r="AC285" s="17" t="n"/>
      <ns0:c r="AD285" s="17" t="n"/>
      <ns0:c r="AE285" s="17" t="n"/>
      <ns0:c r="AF285" s="17" t="n"/>
      <ns0:c r="AG285" s="17" t="n"/>
    </ns0:row>
    <ns0:row r="286" ht="24" customHeight="1">
      <ns0:c r="D286" s="17" t="n"/>
      <ns0:c r="E286" s="17" t="n"/>
      <ns0:c r="F286" s="17" t="n"/>
      <ns0:c r="G286" s="17" t="n"/>
      <ns0:c r="H286" s="17" t="n"/>
      <ns0:c r="I286" s="17" t="n"/>
      <ns0:c r="J286" s="17" t="n"/>
      <ns0:c r="K286" s="17" t="n"/>
      <ns0:c r="L286" s="17" t="n"/>
      <ns0:c r="M286" s="17" t="n"/>
      <ns0:c r="N286" s="17" t="n"/>
      <ns0:c r="O286" s="17" t="n"/>
      <ns0:c r="P286" s="17" t="n"/>
      <ns0:c r="Q286" s="17" t="n"/>
      <ns0:c r="R286" s="17" t="n"/>
      <ns0:c r="S286" s="17" t="n"/>
      <ns0:c r="T286" s="17" t="n"/>
      <ns0:c r="U286" s="17" t="n"/>
      <ns0:c r="V286" s="17" t="n"/>
      <ns0:c r="W286" s="17" t="n"/>
      <ns0:c r="X286" s="17" t="n"/>
      <ns0:c r="Y286" s="17" t="n"/>
      <ns0:c r="Z286" s="17" t="n"/>
      <ns0:c r="AA286" s="17" t="n"/>
      <ns0:c r="AB286" s="17" t="n"/>
      <ns0:c r="AC286" s="17" t="n"/>
      <ns0:c r="AD286" s="17" t="n"/>
      <ns0:c r="AE286" s="17" t="n"/>
      <ns0:c r="AF286" s="17" t="n"/>
      <ns0:c r="AG286" s="17" t="n"/>
    </ns0:row>
    <ns0:row r="287" ht="24" customHeight="1">
      <ns0:c r="D287" s="17" t="n"/>
      <ns0:c r="E287" s="17" t="n"/>
      <ns0:c r="F287" s="17" t="n"/>
      <ns0:c r="G287" s="17" t="n"/>
      <ns0:c r="H287" s="17" t="n"/>
      <ns0:c r="I287" s="17" t="n"/>
      <ns0:c r="J287" s="17" t="n"/>
      <ns0:c r="K287" s="17" t="n"/>
      <ns0:c r="L287" s="17" t="n"/>
      <ns0:c r="M287" s="17" t="n"/>
      <ns0:c r="N287" s="17" t="n"/>
      <ns0:c r="O287" s="17" t="n"/>
      <ns0:c r="P287" s="17" t="n"/>
      <ns0:c r="Q287" s="17" t="n"/>
      <ns0:c r="R287" s="17" t="n"/>
      <ns0:c r="S287" s="17" t="n"/>
      <ns0:c r="T287" s="17" t="n"/>
      <ns0:c r="U287" s="17" t="n"/>
      <ns0:c r="V287" s="17" t="n"/>
      <ns0:c r="W287" s="17" t="n"/>
      <ns0:c r="X287" s="17" t="n"/>
      <ns0:c r="Y287" s="17" t="n"/>
      <ns0:c r="Z287" s="17" t="n"/>
      <ns0:c r="AA287" s="17" t="n"/>
      <ns0:c r="AB287" s="17" t="n"/>
      <ns0:c r="AC287" s="17" t="n"/>
      <ns0:c r="AD287" s="17" t="n"/>
      <ns0:c r="AE287" s="17" t="n"/>
      <ns0:c r="AF287" s="17" t="n"/>
      <ns0:c r="AG287" s="17" t="n"/>
    </ns0:row>
    <ns0:row r="288" ht="24" customHeight="1">
      <ns0:c r="D288" s="17" t="n"/>
      <ns0:c r="E288" s="17" t="n"/>
      <ns0:c r="F288" s="17" t="n"/>
      <ns0:c r="G288" s="17" t="n"/>
      <ns0:c r="H288" s="17" t="n"/>
      <ns0:c r="I288" s="17" t="n"/>
      <ns0:c r="J288" s="17" t="n"/>
      <ns0:c r="K288" s="17" t="n"/>
      <ns0:c r="L288" s="17" t="n"/>
      <ns0:c r="M288" s="17" t="n"/>
      <ns0:c r="N288" s="17" t="n"/>
      <ns0:c r="O288" s="17" t="n"/>
      <ns0:c r="P288" s="17" t="n"/>
      <ns0:c r="Q288" s="17" t="n"/>
      <ns0:c r="R288" s="17" t="n"/>
      <ns0:c r="S288" s="17" t="n"/>
      <ns0:c r="T288" s="17" t="n"/>
      <ns0:c r="U288" s="17" t="n"/>
      <ns0:c r="V288" s="17" t="n"/>
      <ns0:c r="W288" s="17" t="n"/>
      <ns0:c r="X288" s="17" t="n"/>
      <ns0:c r="Y288" s="17" t="n"/>
      <ns0:c r="Z288" s="17" t="n"/>
      <ns0:c r="AA288" s="17" t="n"/>
      <ns0:c r="AB288" s="17" t="n"/>
      <ns0:c r="AC288" s="17" t="n"/>
      <ns0:c r="AD288" s="17" t="n"/>
      <ns0:c r="AE288" s="17" t="n"/>
      <ns0:c r="AF288" s="17" t="n"/>
      <ns0:c r="AG288" s="17" t="n"/>
    </ns0:row>
    <ns0:row r="289" ht="24" customHeight="1">
      <ns0:c r="D289" s="17" t="n"/>
      <ns0:c r="E289" s="17" t="n"/>
      <ns0:c r="F289" s="17" t="n"/>
      <ns0:c r="G289" s="17" t="n"/>
      <ns0:c r="H289" s="17" t="n"/>
      <ns0:c r="I289" s="17" t="n"/>
      <ns0:c r="J289" s="17" t="n"/>
      <ns0:c r="K289" s="17" t="n"/>
      <ns0:c r="L289" s="17" t="n"/>
      <ns0:c r="M289" s="17" t="n"/>
      <ns0:c r="N289" s="17" t="n"/>
      <ns0:c r="O289" s="17" t="n"/>
      <ns0:c r="P289" s="17" t="n"/>
      <ns0:c r="Q289" s="17" t="n"/>
      <ns0:c r="R289" s="17" t="n"/>
      <ns0:c r="S289" s="17" t="n"/>
      <ns0:c r="T289" s="17" t="n"/>
      <ns0:c r="U289" s="17" t="n"/>
      <ns0:c r="V289" s="17" t="n"/>
      <ns0:c r="W289" s="17" t="n"/>
      <ns0:c r="X289" s="17" t="n"/>
      <ns0:c r="Y289" s="17" t="n"/>
      <ns0:c r="Z289" s="17" t="n"/>
      <ns0:c r="AA289" s="17" t="n"/>
      <ns0:c r="AB289" s="17" t="n"/>
      <ns0:c r="AC289" s="17" t="n"/>
      <ns0:c r="AD289" s="17" t="n"/>
      <ns0:c r="AE289" s="17" t="n"/>
      <ns0:c r="AF289" s="17" t="n"/>
      <ns0:c r="AG289" s="17" t="n"/>
    </ns0:row>
    <ns0:row r="290" ht="24" customHeight="1">
      <ns0:c r="D290" s="17" t="n"/>
      <ns0:c r="E290" s="17" t="n"/>
      <ns0:c r="F290" s="17" t="n"/>
      <ns0:c r="G290" s="17" t="n"/>
      <ns0:c r="H290" s="17" t="n"/>
      <ns0:c r="I290" s="17" t="n"/>
      <ns0:c r="J290" s="17" t="n"/>
      <ns0:c r="K290" s="17" t="n"/>
      <ns0:c r="L290" s="17" t="n"/>
      <ns0:c r="M290" s="17" t="n"/>
      <ns0:c r="N290" s="17" t="n"/>
      <ns0:c r="O290" s="17" t="n"/>
      <ns0:c r="P290" s="17" t="n"/>
      <ns0:c r="Q290" s="17" t="n"/>
      <ns0:c r="R290" s="17" t="n"/>
      <ns0:c r="S290" s="17" t="n"/>
      <ns0:c r="T290" s="17" t="n"/>
      <ns0:c r="U290" s="17" t="n"/>
      <ns0:c r="V290" s="17" t="n"/>
      <ns0:c r="W290" s="17" t="n"/>
      <ns0:c r="X290" s="17" t="n"/>
      <ns0:c r="Y290" s="17" t="n"/>
      <ns0:c r="Z290" s="17" t="n"/>
      <ns0:c r="AA290" s="17" t="n"/>
      <ns0:c r="AB290" s="17" t="n"/>
      <ns0:c r="AC290" s="17" t="n"/>
      <ns0:c r="AD290" s="17" t="n"/>
      <ns0:c r="AE290" s="17" t="n"/>
      <ns0:c r="AF290" s="17" t="n"/>
      <ns0:c r="AG290" s="17" t="n"/>
    </ns0:row>
    <ns0:row r="291" ht="24" customHeight="1">
      <ns0:c r="D291" s="17" t="n"/>
      <ns0:c r="E291" s="17" t="n"/>
      <ns0:c r="F291" s="17" t="n"/>
      <ns0:c r="G291" s="17" t="n"/>
      <ns0:c r="H291" s="17" t="n"/>
      <ns0:c r="I291" s="17" t="n"/>
      <ns0:c r="J291" s="17" t="n"/>
      <ns0:c r="K291" s="17" t="n"/>
      <ns0:c r="L291" s="17" t="n"/>
      <ns0:c r="M291" s="17" t="n"/>
      <ns0:c r="N291" s="17" t="n"/>
      <ns0:c r="O291" s="17" t="n"/>
      <ns0:c r="P291" s="17" t="n"/>
      <ns0:c r="Q291" s="17" t="n"/>
      <ns0:c r="R291" s="17" t="n"/>
      <ns0:c r="S291" s="17" t="n"/>
      <ns0:c r="T291" s="17" t="n"/>
      <ns0:c r="U291" s="17" t="n"/>
      <ns0:c r="V291" s="17" t="n"/>
      <ns0:c r="W291" s="17" t="n"/>
      <ns0:c r="X291" s="17" t="n"/>
      <ns0:c r="Y291" s="17" t="n"/>
      <ns0:c r="Z291" s="17" t="n"/>
      <ns0:c r="AA291" s="17" t="n"/>
      <ns0:c r="AB291" s="17" t="n"/>
      <ns0:c r="AC291" s="17" t="n"/>
      <ns0:c r="AD291" s="17" t="n"/>
      <ns0:c r="AE291" s="17" t="n"/>
      <ns0:c r="AF291" s="17" t="n"/>
      <ns0:c r="AG291" s="17" t="n"/>
    </ns0:row>
    <ns0:row r="292" ht="24" customHeight="1">
      <ns0:c r="D292" s="17" t="n"/>
      <ns0:c r="E292" s="17" t="n"/>
      <ns0:c r="F292" s="17" t="n"/>
      <ns0:c r="G292" s="17" t="n"/>
      <ns0:c r="H292" s="17" t="n"/>
      <ns0:c r="I292" s="17" t="n"/>
      <ns0:c r="J292" s="17" t="n"/>
      <ns0:c r="K292" s="17" t="n"/>
      <ns0:c r="L292" s="17" t="n"/>
      <ns0:c r="M292" s="17" t="n"/>
      <ns0:c r="N292" s="17" t="n"/>
      <ns0:c r="O292" s="17" t="n"/>
      <ns0:c r="P292" s="17" t="n"/>
      <ns0:c r="Q292" s="17" t="n"/>
      <ns0:c r="R292" s="17" t="n"/>
      <ns0:c r="S292" s="17" t="n"/>
      <ns0:c r="T292" s="17" t="n"/>
      <ns0:c r="U292" s="17" t="n"/>
      <ns0:c r="V292" s="17" t="n"/>
      <ns0:c r="W292" s="17" t="n"/>
      <ns0:c r="X292" s="17" t="n"/>
      <ns0:c r="Y292" s="17" t="n"/>
      <ns0:c r="Z292" s="17" t="n"/>
      <ns0:c r="AA292" s="17" t="n"/>
      <ns0:c r="AB292" s="17" t="n"/>
      <ns0:c r="AC292" s="17" t="n"/>
      <ns0:c r="AD292" s="17" t="n"/>
      <ns0:c r="AE292" s="17" t="n"/>
      <ns0:c r="AF292" s="17" t="n"/>
      <ns0:c r="AG292" s="17" t="n"/>
    </ns0:row>
    <ns0:row r="293" ht="24" customHeight="1">
      <ns0:c r="D293" s="17" t="n"/>
      <ns0:c r="E293" s="17" t="n"/>
      <ns0:c r="F293" s="17" t="n"/>
      <ns0:c r="G293" s="17" t="n"/>
      <ns0:c r="H293" s="17" t="n"/>
      <ns0:c r="I293" s="17" t="n"/>
      <ns0:c r="J293" s="17" t="n"/>
      <ns0:c r="K293" s="17" t="n"/>
      <ns0:c r="L293" s="17" t="n"/>
      <ns0:c r="M293" s="17" t="n"/>
      <ns0:c r="N293" s="17" t="n"/>
      <ns0:c r="O293" s="17" t="n"/>
      <ns0:c r="P293" s="17" t="n"/>
      <ns0:c r="Q293" s="17" t="n"/>
      <ns0:c r="R293" s="17" t="n"/>
      <ns0:c r="S293" s="17" t="n"/>
      <ns0:c r="T293" s="17" t="n"/>
      <ns0:c r="U293" s="17" t="n"/>
      <ns0:c r="V293" s="17" t="n"/>
      <ns0:c r="W293" s="17" t="n"/>
      <ns0:c r="X293" s="17" t="n"/>
      <ns0:c r="Y293" s="17" t="n"/>
      <ns0:c r="Z293" s="17" t="n"/>
      <ns0:c r="AA293" s="17" t="n"/>
      <ns0:c r="AB293" s="17" t="n"/>
      <ns0:c r="AC293" s="17" t="n"/>
      <ns0:c r="AD293" s="17" t="n"/>
      <ns0:c r="AE293" s="17" t="n"/>
      <ns0:c r="AF293" s="17" t="n"/>
      <ns0:c r="AG293" s="17" t="n"/>
    </ns0:row>
    <ns0:row r="294" ht="24" customHeight="1">
      <ns0:c r="D294" s="17" t="n"/>
      <ns0:c r="E294" s="17" t="n"/>
      <ns0:c r="F294" s="17" t="n"/>
      <ns0:c r="G294" s="17" t="n"/>
      <ns0:c r="H294" s="17" t="n"/>
      <ns0:c r="I294" s="17" t="n"/>
      <ns0:c r="J294" s="17" t="n"/>
      <ns0:c r="K294" s="17" t="n"/>
      <ns0:c r="L294" s="17" t="n"/>
      <ns0:c r="M294" s="17" t="n"/>
      <ns0:c r="N294" s="17" t="n"/>
      <ns0:c r="O294" s="17" t="n"/>
      <ns0:c r="P294" s="17" t="n"/>
      <ns0:c r="Q294" s="17" t="n"/>
      <ns0:c r="R294" s="17" t="n"/>
      <ns0:c r="S294" s="17" t="n"/>
      <ns0:c r="T294" s="17" t="n"/>
      <ns0:c r="U294" s="17" t="n"/>
      <ns0:c r="V294" s="17" t="n"/>
      <ns0:c r="W294" s="17" t="n"/>
      <ns0:c r="X294" s="17" t="n"/>
      <ns0:c r="Y294" s="17" t="n"/>
      <ns0:c r="Z294" s="17" t="n"/>
      <ns0:c r="AA294" s="17" t="n"/>
      <ns0:c r="AB294" s="17" t="n"/>
      <ns0:c r="AC294" s="17" t="n"/>
      <ns0:c r="AD294" s="17" t="n"/>
      <ns0:c r="AE294" s="17" t="n"/>
      <ns0:c r="AF294" s="17" t="n"/>
      <ns0:c r="AG294" s="17" t="n"/>
    </ns0:row>
    <ns0:row r="295" ht="24" customHeight="1">
      <ns0:c r="D295" s="17" t="n"/>
      <ns0:c r="E295" s="17" t="n"/>
      <ns0:c r="F295" s="17" t="n"/>
      <ns0:c r="G295" s="17" t="n"/>
      <ns0:c r="H295" s="17" t="n"/>
      <ns0:c r="I295" s="17" t="n"/>
      <ns0:c r="J295" s="17" t="n"/>
      <ns0:c r="K295" s="17" t="n"/>
      <ns0:c r="L295" s="17" t="n"/>
      <ns0:c r="M295" s="17" t="n"/>
      <ns0:c r="N295" s="17" t="n"/>
      <ns0:c r="O295" s="17" t="n"/>
      <ns0:c r="P295" s="17" t="n"/>
      <ns0:c r="Q295" s="17" t="n"/>
      <ns0:c r="R295" s="17" t="n"/>
      <ns0:c r="S295" s="17" t="n"/>
      <ns0:c r="T295" s="17" t="n"/>
      <ns0:c r="U295" s="17" t="n"/>
      <ns0:c r="V295" s="17" t="n"/>
      <ns0:c r="W295" s="17" t="n"/>
      <ns0:c r="X295" s="17" t="n"/>
      <ns0:c r="Y295" s="17" t="n"/>
      <ns0:c r="Z295" s="17" t="n"/>
      <ns0:c r="AA295" s="17" t="n"/>
      <ns0:c r="AB295" s="17" t="n"/>
      <ns0:c r="AC295" s="17" t="n"/>
      <ns0:c r="AD295" s="17" t="n"/>
      <ns0:c r="AE295" s="17" t="n"/>
      <ns0:c r="AF295" s="17" t="n"/>
      <ns0:c r="AG295" s="17" t="n"/>
    </ns0:row>
    <ns0:row r="296" ht="24" customHeight="1">
      <ns0:c r="D296" s="17" t="n"/>
      <ns0:c r="E296" s="17" t="n"/>
      <ns0:c r="F296" s="17" t="n"/>
      <ns0:c r="G296" s="17" t="n"/>
      <ns0:c r="H296" s="17" t="n"/>
      <ns0:c r="I296" s="17" t="n"/>
      <ns0:c r="J296" s="17" t="n"/>
      <ns0:c r="K296" s="17" t="n"/>
      <ns0:c r="L296" s="17" t="n"/>
      <ns0:c r="M296" s="17" t="n"/>
      <ns0:c r="N296" s="17" t="n"/>
      <ns0:c r="O296" s="17" t="n"/>
      <ns0:c r="P296" s="17" t="n"/>
      <ns0:c r="Q296" s="17" t="n"/>
      <ns0:c r="R296" s="17" t="n"/>
      <ns0:c r="S296" s="17" t="n"/>
      <ns0:c r="T296" s="17" t="n"/>
      <ns0:c r="U296" s="17" t="n"/>
      <ns0:c r="V296" s="17" t="n"/>
      <ns0:c r="W296" s="17" t="n"/>
      <ns0:c r="X296" s="17" t="n"/>
      <ns0:c r="Y296" s="17" t="n"/>
      <ns0:c r="Z296" s="17" t="n"/>
      <ns0:c r="AA296" s="17" t="n"/>
      <ns0:c r="AB296" s="17" t="n"/>
      <ns0:c r="AC296" s="17" t="n"/>
      <ns0:c r="AD296" s="17" t="n"/>
      <ns0:c r="AE296" s="17" t="n"/>
      <ns0:c r="AF296" s="17" t="n"/>
      <ns0:c r="AG296" s="17" t="n"/>
    </ns0:row>
    <ns0:row r="297" ht="24" customHeight="1">
      <ns0:c r="D297" s="17" t="n"/>
      <ns0:c r="E297" s="17" t="n"/>
      <ns0:c r="F297" s="17" t="n"/>
      <ns0:c r="G297" s="17" t="n"/>
      <ns0:c r="H297" s="17" t="n"/>
      <ns0:c r="I297" s="17" t="n"/>
      <ns0:c r="J297" s="17" t="n"/>
      <ns0:c r="K297" s="17" t="n"/>
      <ns0:c r="L297" s="17" t="n"/>
      <ns0:c r="M297" s="17" t="n"/>
      <ns0:c r="N297" s="17" t="n"/>
      <ns0:c r="O297" s="17" t="n"/>
      <ns0:c r="P297" s="17" t="n"/>
      <ns0:c r="Q297" s="17" t="n"/>
      <ns0:c r="R297" s="17" t="n"/>
      <ns0:c r="S297" s="17" t="n"/>
      <ns0:c r="T297" s="17" t="n"/>
      <ns0:c r="U297" s="17" t="n"/>
      <ns0:c r="V297" s="17" t="n"/>
      <ns0:c r="W297" s="17" t="n"/>
      <ns0:c r="X297" s="17" t="n"/>
      <ns0:c r="Y297" s="17" t="n"/>
      <ns0:c r="Z297" s="17" t="n"/>
      <ns0:c r="AA297" s="17" t="n"/>
      <ns0:c r="AB297" s="17" t="n"/>
      <ns0:c r="AC297" s="17" t="n"/>
      <ns0:c r="AD297" s="17" t="n"/>
      <ns0:c r="AE297" s="17" t="n"/>
      <ns0:c r="AF297" s="17" t="n"/>
      <ns0:c r="AG297" s="17" t="n"/>
    </ns0:row>
    <ns0:row r="298" ht="24" customHeight="1">
      <ns0:c r="D298" s="17" t="n"/>
      <ns0:c r="E298" s="17" t="n"/>
      <ns0:c r="F298" s="17" t="n"/>
      <ns0:c r="G298" s="17" t="n"/>
      <ns0:c r="H298" s="17" t="n"/>
      <ns0:c r="I298" s="17" t="n"/>
      <ns0:c r="J298" s="17" t="n"/>
      <ns0:c r="K298" s="17" t="n"/>
      <ns0:c r="L298" s="17" t="n"/>
      <ns0:c r="M298" s="17" t="n"/>
      <ns0:c r="N298" s="17" t="n"/>
      <ns0:c r="O298" s="17" t="n"/>
      <ns0:c r="P298" s="17" t="n"/>
      <ns0:c r="Q298" s="17" t="n"/>
      <ns0:c r="R298" s="17" t="n"/>
      <ns0:c r="S298" s="17" t="n"/>
      <ns0:c r="T298" s="17" t="n"/>
      <ns0:c r="U298" s="17" t="n"/>
      <ns0:c r="V298" s="17" t="n"/>
      <ns0:c r="W298" s="17" t="n"/>
      <ns0:c r="X298" s="17" t="n"/>
      <ns0:c r="Y298" s="17" t="n"/>
      <ns0:c r="Z298" s="17" t="n"/>
      <ns0:c r="AA298" s="17" t="n"/>
      <ns0:c r="AB298" s="17" t="n"/>
      <ns0:c r="AC298" s="17" t="n"/>
      <ns0:c r="AD298" s="17" t="n"/>
      <ns0:c r="AE298" s="17" t="n"/>
      <ns0:c r="AF298" s="17" t="n"/>
      <ns0:c r="AG298" s="17" t="n"/>
    </ns0:row>
    <ns0:row r="299" ht="24" customHeight="1">
      <ns0:c r="D299" s="17" t="n"/>
      <ns0:c r="E299" s="17" t="n"/>
      <ns0:c r="F299" s="17" t="n"/>
      <ns0:c r="G299" s="17" t="n"/>
      <ns0:c r="H299" s="17" t="n"/>
      <ns0:c r="I299" s="17" t="n"/>
      <ns0:c r="J299" s="17" t="n"/>
      <ns0:c r="K299" s="17" t="n"/>
      <ns0:c r="L299" s="17" t="n"/>
      <ns0:c r="M299" s="17" t="n"/>
      <ns0:c r="N299" s="17" t="n"/>
      <ns0:c r="O299" s="17" t="n"/>
      <ns0:c r="P299" s="17" t="n"/>
      <ns0:c r="Q299" s="17" t="n"/>
      <ns0:c r="R299" s="17" t="n"/>
      <ns0:c r="S299" s="17" t="n"/>
      <ns0:c r="T299" s="17" t="n"/>
      <ns0:c r="U299" s="17" t="n"/>
      <ns0:c r="V299" s="17" t="n"/>
      <ns0:c r="W299" s="17" t="n"/>
      <ns0:c r="X299" s="17" t="n"/>
      <ns0:c r="Y299" s="17" t="n"/>
      <ns0:c r="Z299" s="17" t="n"/>
      <ns0:c r="AA299" s="17" t="n"/>
      <ns0:c r="AB299" s="17" t="n"/>
      <ns0:c r="AC299" s="17" t="n"/>
      <ns0:c r="AD299" s="17" t="n"/>
      <ns0:c r="AE299" s="17" t="n"/>
      <ns0:c r="AF299" s="17" t="n"/>
      <ns0:c r="AG299" s="17" t="n"/>
    </ns0:row>
    <ns0:row r="300" ht="24" customHeight="1">
      <ns0:c r="D300" s="17" t="n"/>
      <ns0:c r="E300" s="17" t="n"/>
      <ns0:c r="F300" s="17" t="n"/>
      <ns0:c r="G300" s="17" t="n"/>
      <ns0:c r="H300" s="17" t="n"/>
      <ns0:c r="I300" s="17" t="n"/>
      <ns0:c r="J300" s="17" t="n"/>
      <ns0:c r="K300" s="17" t="n"/>
      <ns0:c r="L300" s="17" t="n"/>
      <ns0:c r="M300" s="17" t="n"/>
      <ns0:c r="N300" s="17" t="n"/>
      <ns0:c r="O300" s="17" t="n"/>
      <ns0:c r="P300" s="17" t="n"/>
      <ns0:c r="Q300" s="17" t="n"/>
      <ns0:c r="R300" s="17" t="n"/>
      <ns0:c r="S300" s="17" t="n"/>
      <ns0:c r="T300" s="17" t="n"/>
      <ns0:c r="U300" s="17" t="n"/>
      <ns0:c r="V300" s="17" t="n"/>
      <ns0:c r="W300" s="17" t="n"/>
      <ns0:c r="X300" s="17" t="n"/>
      <ns0:c r="Y300" s="17" t="n"/>
      <ns0:c r="Z300" s="17" t="n"/>
      <ns0:c r="AA300" s="17" t="n"/>
      <ns0:c r="AB300" s="17" t="n"/>
      <ns0:c r="AC300" s="17" t="n"/>
      <ns0:c r="AD300" s="17" t="n"/>
      <ns0:c r="AE300" s="17" t="n"/>
      <ns0:c r="AF300" s="17" t="n"/>
      <ns0:c r="AG300" s="17" t="n"/>
    </ns0:row>
    <ns0:row r="301" ht="24" customHeight="1">
      <ns0:c r="D301" s="17" t="n"/>
      <ns0:c r="E301" s="17" t="n"/>
      <ns0:c r="F301" s="17" t="n"/>
      <ns0:c r="G301" s="17" t="n"/>
      <ns0:c r="H301" s="17" t="n"/>
      <ns0:c r="I301" s="17" t="n"/>
      <ns0:c r="J301" s="17" t="n"/>
      <ns0:c r="K301" s="17" t="n"/>
      <ns0:c r="L301" s="17" t="n"/>
      <ns0:c r="M301" s="17" t="n"/>
      <ns0:c r="N301" s="17" t="n"/>
      <ns0:c r="O301" s="17" t="n"/>
      <ns0:c r="P301" s="17" t="n"/>
      <ns0:c r="Q301" s="17" t="n"/>
      <ns0:c r="R301" s="17" t="n"/>
      <ns0:c r="S301" s="17" t="n"/>
      <ns0:c r="T301" s="17" t="n"/>
      <ns0:c r="U301" s="17" t="n"/>
      <ns0:c r="V301" s="17" t="n"/>
      <ns0:c r="W301" s="17" t="n"/>
      <ns0:c r="X301" s="17" t="n"/>
      <ns0:c r="Y301" s="17" t="n"/>
      <ns0:c r="Z301" s="17" t="n"/>
      <ns0:c r="AA301" s="17" t="n"/>
      <ns0:c r="AB301" s="17" t="n"/>
      <ns0:c r="AC301" s="17" t="n"/>
      <ns0:c r="AD301" s="17" t="n"/>
      <ns0:c r="AE301" s="17" t="n"/>
      <ns0:c r="AF301" s="17" t="n"/>
      <ns0:c r="AG301" s="17" t="n"/>
    </ns0:row>
    <ns0:row r="302" ht="24" customHeight="1">
      <ns0:c r="D302" s="17" t="n"/>
      <ns0:c r="E302" s="17" t="n"/>
      <ns0:c r="F302" s="17" t="n"/>
      <ns0:c r="G302" s="17" t="n"/>
      <ns0:c r="H302" s="17" t="n"/>
      <ns0:c r="I302" s="17" t="n"/>
      <ns0:c r="J302" s="17" t="n"/>
      <ns0:c r="K302" s="17" t="n"/>
      <ns0:c r="L302" s="17" t="n"/>
      <ns0:c r="M302" s="17" t="n"/>
      <ns0:c r="N302" s="17" t="n"/>
      <ns0:c r="O302" s="17" t="n"/>
      <ns0:c r="P302" s="17" t="n"/>
      <ns0:c r="Q302" s="17" t="n"/>
      <ns0:c r="R302" s="17" t="n"/>
      <ns0:c r="S302" s="17" t="n"/>
      <ns0:c r="T302" s="17" t="n"/>
      <ns0:c r="U302" s="17" t="n"/>
      <ns0:c r="V302" s="17" t="n"/>
      <ns0:c r="W302" s="17" t="n"/>
      <ns0:c r="X302" s="17" t="n"/>
      <ns0:c r="Y302" s="17" t="n"/>
      <ns0:c r="Z302" s="17" t="n"/>
      <ns0:c r="AA302" s="17" t="n"/>
      <ns0:c r="AB302" s="17" t="n"/>
      <ns0:c r="AC302" s="17" t="n"/>
      <ns0:c r="AD302" s="17" t="n"/>
      <ns0:c r="AE302" s="17" t="n"/>
      <ns0:c r="AF302" s="17" t="n"/>
      <ns0:c r="AG302" s="17" t="n"/>
    </ns0:row>
    <ns0:row r="303" ht="24" customHeight="1">
      <ns0:c r="D303" s="17" t="n"/>
      <ns0:c r="E303" s="17" t="n"/>
      <ns0:c r="F303" s="17" t="n"/>
      <ns0:c r="G303" s="17" t="n"/>
      <ns0:c r="H303" s="17" t="n"/>
      <ns0:c r="I303" s="17" t="n"/>
      <ns0:c r="J303" s="17" t="n"/>
      <ns0:c r="K303" s="17" t="n"/>
      <ns0:c r="L303" s="17" t="n"/>
      <ns0:c r="M303" s="17" t="n"/>
      <ns0:c r="N303" s="17" t="n"/>
      <ns0:c r="O303" s="17" t="n"/>
      <ns0:c r="P303" s="17" t="n"/>
      <ns0:c r="Q303" s="17" t="n"/>
      <ns0:c r="R303" s="17" t="n"/>
      <ns0:c r="S303" s="17" t="n"/>
      <ns0:c r="T303" s="17" t="n"/>
      <ns0:c r="U303" s="17" t="n"/>
      <ns0:c r="V303" s="17" t="n"/>
      <ns0:c r="W303" s="17" t="n"/>
      <ns0:c r="X303" s="17" t="n"/>
      <ns0:c r="Y303" s="17" t="n"/>
      <ns0:c r="Z303" s="17" t="n"/>
      <ns0:c r="AA303" s="17" t="n"/>
      <ns0:c r="AB303" s="17" t="n"/>
      <ns0:c r="AC303" s="17" t="n"/>
      <ns0:c r="AD303" s="17" t="n"/>
      <ns0:c r="AE303" s="17" t="n"/>
      <ns0:c r="AF303" s="17" t="n"/>
      <ns0:c r="AG303" s="17" t="n"/>
    </ns0:row>
    <ns0:row r="304" ht="24" customHeight="1">
      <ns0:c r="D304" s="17" t="n"/>
      <ns0:c r="E304" s="17" t="n"/>
      <ns0:c r="F304" s="17" t="n"/>
      <ns0:c r="G304" s="17" t="n"/>
      <ns0:c r="H304" s="17" t="n"/>
      <ns0:c r="I304" s="17" t="n"/>
      <ns0:c r="J304" s="17" t="n"/>
      <ns0:c r="K304" s="17" t="n"/>
      <ns0:c r="L304" s="17" t="n"/>
      <ns0:c r="M304" s="17" t="n"/>
      <ns0:c r="N304" s="17" t="n"/>
      <ns0:c r="O304" s="17" t="n"/>
      <ns0:c r="P304" s="17" t="n"/>
      <ns0:c r="Q304" s="17" t="n"/>
      <ns0:c r="R304" s="17" t="n"/>
      <ns0:c r="S304" s="17" t="n"/>
      <ns0:c r="T304" s="17" t="n"/>
      <ns0:c r="U304" s="17" t="n"/>
      <ns0:c r="V304" s="17" t="n"/>
      <ns0:c r="W304" s="17" t="n"/>
      <ns0:c r="X304" s="17" t="n"/>
      <ns0:c r="Y304" s="17" t="n"/>
      <ns0:c r="Z304" s="17" t="n"/>
      <ns0:c r="AA304" s="17" t="n"/>
      <ns0:c r="AB304" s="17" t="n"/>
      <ns0:c r="AC304" s="17" t="n"/>
      <ns0:c r="AD304" s="17" t="n"/>
      <ns0:c r="AE304" s="17" t="n"/>
      <ns0:c r="AF304" s="17" t="n"/>
      <ns0:c r="AG304" s="17" t="n"/>
    </ns0:row>
    <ns0:row r="305" ht="24" customHeight="1">
      <ns0:c r="D305" s="17" t="n"/>
      <ns0:c r="E305" s="17" t="n"/>
      <ns0:c r="F305" s="17" t="n"/>
      <ns0:c r="G305" s="17" t="n"/>
      <ns0:c r="H305" s="17" t="n"/>
      <ns0:c r="I305" s="17" t="n"/>
      <ns0:c r="J305" s="17" t="n"/>
      <ns0:c r="K305" s="17" t="n"/>
      <ns0:c r="L305" s="17" t="n"/>
      <ns0:c r="M305" s="17" t="n"/>
      <ns0:c r="N305" s="17" t="n"/>
      <ns0:c r="O305" s="17" t="n"/>
      <ns0:c r="P305" s="17" t="n"/>
      <ns0:c r="Q305" s="17" t="n"/>
      <ns0:c r="R305" s="17" t="n"/>
      <ns0:c r="S305" s="17" t="n"/>
      <ns0:c r="T305" s="17" t="n"/>
      <ns0:c r="U305" s="17" t="n"/>
      <ns0:c r="V305" s="17" t="n"/>
      <ns0:c r="W305" s="17" t="n"/>
      <ns0:c r="X305" s="17" t="n"/>
      <ns0:c r="Y305" s="17" t="n"/>
      <ns0:c r="Z305" s="17" t="n"/>
      <ns0:c r="AA305" s="17" t="n"/>
      <ns0:c r="AB305" s="17" t="n"/>
      <ns0:c r="AC305" s="17" t="n"/>
      <ns0:c r="AD305" s="17" t="n"/>
      <ns0:c r="AE305" s="17" t="n"/>
      <ns0:c r="AF305" s="17" t="n"/>
      <ns0:c r="AG305" s="17" t="n"/>
    </ns0:row>
    <ns0:row r="306" ht="24" customHeight="1">
      <ns0:c r="D306" s="17" t="n"/>
      <ns0:c r="E306" s="17" t="n"/>
      <ns0:c r="F306" s="17" t="n"/>
      <ns0:c r="G306" s="17" t="n"/>
      <ns0:c r="H306" s="17" t="n"/>
      <ns0:c r="I306" s="17" t="n"/>
      <ns0:c r="J306" s="17" t="n"/>
      <ns0:c r="K306" s="17" t="n"/>
      <ns0:c r="L306" s="17" t="n"/>
      <ns0:c r="M306" s="17" t="n"/>
      <ns0:c r="N306" s="17" t="n"/>
      <ns0:c r="O306" s="17" t="n"/>
      <ns0:c r="P306" s="17" t="n"/>
      <ns0:c r="Q306" s="17" t="n"/>
      <ns0:c r="R306" s="17" t="n"/>
      <ns0:c r="S306" s="17" t="n"/>
      <ns0:c r="T306" s="17" t="n"/>
      <ns0:c r="U306" s="17" t="n"/>
      <ns0:c r="V306" s="17" t="n"/>
      <ns0:c r="W306" s="17" t="n"/>
      <ns0:c r="X306" s="17" t="n"/>
      <ns0:c r="Y306" s="17" t="n"/>
      <ns0:c r="Z306" s="17" t="n"/>
      <ns0:c r="AA306" s="17" t="n"/>
      <ns0:c r="AB306" s="17" t="n"/>
      <ns0:c r="AC306" s="17" t="n"/>
      <ns0:c r="AD306" s="17" t="n"/>
      <ns0:c r="AE306" s="17" t="n"/>
      <ns0:c r="AF306" s="17" t="n"/>
      <ns0:c r="AG306" s="17" t="n"/>
    </ns0:row>
    <ns0:row r="307" ht="24" customHeight="1">
      <ns0:c r="D307" s="17" t="n"/>
      <ns0:c r="E307" s="17" t="n"/>
      <ns0:c r="F307" s="17" t="n"/>
      <ns0:c r="G307" s="17" t="n"/>
      <ns0:c r="H307" s="17" t="n"/>
      <ns0:c r="I307" s="17" t="n"/>
      <ns0:c r="J307" s="17" t="n"/>
      <ns0:c r="K307" s="17" t="n"/>
      <ns0:c r="L307" s="17" t="n"/>
      <ns0:c r="M307" s="17" t="n"/>
      <ns0:c r="N307" s="17" t="n"/>
      <ns0:c r="O307" s="17" t="n"/>
      <ns0:c r="P307" s="17" t="n"/>
      <ns0:c r="Q307" s="17" t="n"/>
      <ns0:c r="R307" s="17" t="n"/>
      <ns0:c r="S307" s="17" t="n"/>
      <ns0:c r="T307" s="17" t="n"/>
      <ns0:c r="U307" s="17" t="n"/>
      <ns0:c r="V307" s="17" t="n"/>
      <ns0:c r="W307" s="17" t="n"/>
      <ns0:c r="X307" s="17" t="n"/>
      <ns0:c r="Y307" s="17" t="n"/>
      <ns0:c r="Z307" s="17" t="n"/>
      <ns0:c r="AA307" s="17" t="n"/>
      <ns0:c r="AB307" s="17" t="n"/>
      <ns0:c r="AC307" s="17" t="n"/>
      <ns0:c r="AD307" s="17" t="n"/>
      <ns0:c r="AE307" s="17" t="n"/>
      <ns0:c r="AF307" s="17" t="n"/>
      <ns0:c r="AG307" s="17" t="n"/>
    </ns0:row>
    <ns0:row r="308" ht="24" customHeight="1">
      <ns0:c r="D308" s="17" t="n"/>
      <ns0:c r="E308" s="17" t="n"/>
      <ns0:c r="F308" s="17" t="n"/>
      <ns0:c r="G308" s="17" t="n"/>
      <ns0:c r="H308" s="17" t="n"/>
      <ns0:c r="I308" s="17" t="n"/>
      <ns0:c r="J308" s="17" t="n"/>
      <ns0:c r="K308" s="17" t="n"/>
      <ns0:c r="L308" s="17" t="n"/>
      <ns0:c r="M308" s="17" t="n"/>
      <ns0:c r="N308" s="17" t="n"/>
      <ns0:c r="O308" s="17" t="n"/>
      <ns0:c r="P308" s="17" t="n"/>
      <ns0:c r="Q308" s="17" t="n"/>
      <ns0:c r="R308" s="17" t="n"/>
      <ns0:c r="S308" s="17" t="n"/>
      <ns0:c r="T308" s="17" t="n"/>
      <ns0:c r="U308" s="17" t="n"/>
      <ns0:c r="V308" s="17" t="n"/>
      <ns0:c r="W308" s="17" t="n"/>
      <ns0:c r="X308" s="17" t="n"/>
      <ns0:c r="Y308" s="17" t="n"/>
      <ns0:c r="Z308" s="17" t="n"/>
      <ns0:c r="AA308" s="17" t="n"/>
      <ns0:c r="AB308" s="17" t="n"/>
      <ns0:c r="AC308" s="17" t="n"/>
      <ns0:c r="AD308" s="17" t="n"/>
      <ns0:c r="AE308" s="17" t="n"/>
      <ns0:c r="AF308" s="17" t="n"/>
      <ns0:c r="AG308" s="17" t="n"/>
    </ns0:row>
    <ns0:row r="309" ht="24" customHeight="1">
      <ns0:c r="D309" s="17" t="n"/>
      <ns0:c r="E309" s="17" t="n"/>
      <ns0:c r="F309" s="17" t="n"/>
      <ns0:c r="G309" s="17" t="n"/>
      <ns0:c r="H309" s="17" t="n"/>
      <ns0:c r="I309" s="17" t="n"/>
      <ns0:c r="J309" s="17" t="n"/>
      <ns0:c r="K309" s="17" t="n"/>
      <ns0:c r="L309" s="17" t="n"/>
      <ns0:c r="M309" s="17" t="n"/>
      <ns0:c r="N309" s="17" t="n"/>
      <ns0:c r="O309" s="17" t="n"/>
      <ns0:c r="P309" s="17" t="n"/>
      <ns0:c r="Q309" s="17" t="n"/>
      <ns0:c r="R309" s="17" t="n"/>
      <ns0:c r="S309" s="17" t="n"/>
      <ns0:c r="T309" s="17" t="n"/>
      <ns0:c r="U309" s="17" t="n"/>
      <ns0:c r="V309" s="17" t="n"/>
      <ns0:c r="W309" s="17" t="n"/>
      <ns0:c r="X309" s="17" t="n"/>
      <ns0:c r="Y309" s="17" t="n"/>
      <ns0:c r="Z309" s="17" t="n"/>
      <ns0:c r="AA309" s="17" t="n"/>
      <ns0:c r="AB309" s="17" t="n"/>
      <ns0:c r="AC309" s="17" t="n"/>
      <ns0:c r="AD309" s="17" t="n"/>
      <ns0:c r="AE309" s="17" t="n"/>
      <ns0:c r="AF309" s="17" t="n"/>
      <ns0:c r="AG309" s="17" t="n"/>
    </ns0:row>
    <ns0:row r="310" ht="24" customHeight="1">
      <ns0:c r="D310" s="17" t="n"/>
      <ns0:c r="E310" s="17" t="n"/>
      <ns0:c r="F310" s="17" t="n"/>
      <ns0:c r="G310" s="17" t="n"/>
      <ns0:c r="H310" s="17" t="n"/>
      <ns0:c r="I310" s="17" t="n"/>
      <ns0:c r="J310" s="17" t="n"/>
      <ns0:c r="K310" s="17" t="n"/>
      <ns0:c r="L310" s="17" t="n"/>
      <ns0:c r="M310" s="17" t="n"/>
      <ns0:c r="N310" s="17" t="n"/>
      <ns0:c r="O310" s="17" t="n"/>
      <ns0:c r="P310" s="17" t="n"/>
      <ns0:c r="Q310" s="17" t="n"/>
      <ns0:c r="R310" s="17" t="n"/>
      <ns0:c r="S310" s="17" t="n"/>
      <ns0:c r="T310" s="17" t="n"/>
      <ns0:c r="U310" s="17" t="n"/>
      <ns0:c r="V310" s="17" t="n"/>
      <ns0:c r="W310" s="17" t="n"/>
      <ns0:c r="X310" s="17" t="n"/>
      <ns0:c r="Y310" s="17" t="n"/>
      <ns0:c r="Z310" s="17" t="n"/>
      <ns0:c r="AA310" s="17" t="n"/>
      <ns0:c r="AB310" s="17" t="n"/>
      <ns0:c r="AC310" s="17" t="n"/>
      <ns0:c r="AD310" s="17" t="n"/>
      <ns0:c r="AE310" s="17" t="n"/>
      <ns0:c r="AF310" s="17" t="n"/>
      <ns0:c r="AG310" s="17" t="n"/>
    </ns0:row>
    <ns0:row r="311" ht="24" customHeight="1">
      <ns0:c r="D311" s="17" t="n"/>
      <ns0:c r="E311" s="17" t="n"/>
      <ns0:c r="F311" s="17" t="n"/>
      <ns0:c r="G311" s="17" t="n"/>
      <ns0:c r="H311" s="17" t="n"/>
      <ns0:c r="I311" s="17" t="n"/>
      <ns0:c r="J311" s="17" t="n"/>
      <ns0:c r="K311" s="17" t="n"/>
      <ns0:c r="L311" s="17" t="n"/>
      <ns0:c r="M311" s="17" t="n"/>
      <ns0:c r="N311" s="17" t="n"/>
      <ns0:c r="O311" s="17" t="n"/>
      <ns0:c r="P311" s="17" t="n"/>
      <ns0:c r="Q311" s="17" t="n"/>
      <ns0:c r="R311" s="17" t="n"/>
      <ns0:c r="S311" s="17" t="n"/>
      <ns0:c r="T311" s="17" t="n"/>
      <ns0:c r="U311" s="17" t="n"/>
      <ns0:c r="V311" s="17" t="n"/>
      <ns0:c r="W311" s="17" t="n"/>
      <ns0:c r="X311" s="17" t="n"/>
      <ns0:c r="Y311" s="17" t="n"/>
      <ns0:c r="Z311" s="17" t="n"/>
      <ns0:c r="AA311" s="17" t="n"/>
      <ns0:c r="AB311" s="17" t="n"/>
      <ns0:c r="AC311" s="17" t="n"/>
      <ns0:c r="AD311" s="17" t="n"/>
      <ns0:c r="AE311" s="17" t="n"/>
      <ns0:c r="AF311" s="17" t="n"/>
      <ns0:c r="AG311" s="17" t="n"/>
    </ns0:row>
    <ns0:row r="312" ht="24" customHeight="1">
      <ns0:c r="D312" s="17" t="n"/>
      <ns0:c r="E312" s="17" t="n"/>
      <ns0:c r="F312" s="17" t="n"/>
      <ns0:c r="G312" s="17" t="n"/>
      <ns0:c r="H312" s="17" t="n"/>
      <ns0:c r="I312" s="17" t="n"/>
      <ns0:c r="J312" s="17" t="n"/>
      <ns0:c r="K312" s="17" t="n"/>
      <ns0:c r="L312" s="17" t="n"/>
      <ns0:c r="M312" s="17" t="n"/>
      <ns0:c r="N312" s="17" t="n"/>
      <ns0:c r="O312" s="17" t="n"/>
      <ns0:c r="P312" s="17" t="n"/>
      <ns0:c r="Q312" s="17" t="n"/>
      <ns0:c r="R312" s="17" t="n"/>
      <ns0:c r="S312" s="17" t="n"/>
      <ns0:c r="T312" s="17" t="n"/>
      <ns0:c r="U312" s="17" t="n"/>
      <ns0:c r="V312" s="17" t="n"/>
      <ns0:c r="W312" s="17" t="n"/>
      <ns0:c r="X312" s="17" t="n"/>
      <ns0:c r="Y312" s="17" t="n"/>
      <ns0:c r="Z312" s="17" t="n"/>
      <ns0:c r="AA312" s="17" t="n"/>
      <ns0:c r="AB312" s="17" t="n"/>
      <ns0:c r="AC312" s="17" t="n"/>
      <ns0:c r="AD312" s="17" t="n"/>
      <ns0:c r="AE312" s="17" t="n"/>
      <ns0:c r="AF312" s="17" t="n"/>
      <ns0:c r="AG312" s="17" t="n"/>
    </ns0:row>
    <ns0:row r="313" ht="24" customHeight="1">
      <ns0:c r="D313" s="17" t="n"/>
      <ns0:c r="E313" s="17" t="n"/>
      <ns0:c r="F313" s="17" t="n"/>
      <ns0:c r="G313" s="17" t="n"/>
      <ns0:c r="H313" s="17" t="n"/>
      <ns0:c r="I313" s="17" t="n"/>
      <ns0:c r="J313" s="17" t="n"/>
      <ns0:c r="K313" s="17" t="n"/>
      <ns0:c r="L313" s="17" t="n"/>
      <ns0:c r="M313" s="17" t="n"/>
      <ns0:c r="N313" s="17" t="n"/>
      <ns0:c r="O313" s="17" t="n"/>
      <ns0:c r="P313" s="17" t="n"/>
      <ns0:c r="Q313" s="17" t="n"/>
      <ns0:c r="R313" s="17" t="n"/>
      <ns0:c r="S313" s="17" t="n"/>
      <ns0:c r="T313" s="17" t="n"/>
      <ns0:c r="U313" s="17" t="n"/>
      <ns0:c r="V313" s="17" t="n"/>
      <ns0:c r="W313" s="17" t="n"/>
      <ns0:c r="X313" s="17" t="n"/>
      <ns0:c r="Y313" s="17" t="n"/>
      <ns0:c r="Z313" s="17" t="n"/>
      <ns0:c r="AA313" s="17" t="n"/>
      <ns0:c r="AB313" s="17" t="n"/>
      <ns0:c r="AC313" s="17" t="n"/>
      <ns0:c r="AD313" s="17" t="n"/>
      <ns0:c r="AE313" s="17" t="n"/>
      <ns0:c r="AF313" s="17" t="n"/>
      <ns0:c r="AG313" s="17" t="n"/>
    </ns0:row>
    <ns0:row r="314" ht="24" customHeight="1">
      <ns0:c r="D314" s="17" t="n"/>
      <ns0:c r="E314" s="17" t="n"/>
      <ns0:c r="F314" s="17" t="n"/>
      <ns0:c r="G314" s="17" t="n"/>
      <ns0:c r="H314" s="17" t="n"/>
      <ns0:c r="I314" s="17" t="n"/>
      <ns0:c r="J314" s="17" t="n"/>
      <ns0:c r="K314" s="17" t="n"/>
      <ns0:c r="L314" s="17" t="n"/>
      <ns0:c r="M314" s="17" t="n"/>
      <ns0:c r="N314" s="17" t="n"/>
      <ns0:c r="O314" s="17" t="n"/>
      <ns0:c r="P314" s="17" t="n"/>
      <ns0:c r="Q314" s="17" t="n"/>
      <ns0:c r="R314" s="17" t="n"/>
      <ns0:c r="S314" s="17" t="n"/>
      <ns0:c r="T314" s="17" t="n"/>
      <ns0:c r="U314" s="17" t="n"/>
      <ns0:c r="V314" s="17" t="n"/>
      <ns0:c r="W314" s="17" t="n"/>
      <ns0:c r="X314" s="17" t="n"/>
      <ns0:c r="Y314" s="17" t="n"/>
      <ns0:c r="Z314" s="17" t="n"/>
      <ns0:c r="AA314" s="17" t="n"/>
      <ns0:c r="AB314" s="17" t="n"/>
      <ns0:c r="AC314" s="17" t="n"/>
      <ns0:c r="AD314" s="17" t="n"/>
      <ns0:c r="AE314" s="17" t="n"/>
      <ns0:c r="AF314" s="17" t="n"/>
      <ns0:c r="AG314" s="17" t="n"/>
    </ns0:row>
    <ns0:row r="315" ht="24" customHeight="1">
      <ns0:c r="D315" s="17" t="n"/>
      <ns0:c r="E315" s="17" t="n"/>
      <ns0:c r="F315" s="17" t="n"/>
      <ns0:c r="G315" s="17" t="n"/>
      <ns0:c r="H315" s="17" t="n"/>
      <ns0:c r="I315" s="17" t="n"/>
      <ns0:c r="J315" s="17" t="n"/>
      <ns0:c r="K315" s="17" t="n"/>
      <ns0:c r="L315" s="17" t="n"/>
      <ns0:c r="M315" s="17" t="n"/>
      <ns0:c r="N315" s="17" t="n"/>
      <ns0:c r="O315" s="17" t="n"/>
      <ns0:c r="P315" s="17" t="n"/>
      <ns0:c r="Q315" s="17" t="n"/>
      <ns0:c r="R315" s="17" t="n"/>
      <ns0:c r="S315" s="17" t="n"/>
      <ns0:c r="T315" s="17" t="n"/>
      <ns0:c r="U315" s="17" t="n"/>
      <ns0:c r="V315" s="17" t="n"/>
      <ns0:c r="W315" s="17" t="n"/>
      <ns0:c r="X315" s="17" t="n"/>
      <ns0:c r="Y315" s="17" t="n"/>
      <ns0:c r="Z315" s="17" t="n"/>
      <ns0:c r="AA315" s="17" t="n"/>
      <ns0:c r="AB315" s="17" t="n"/>
      <ns0:c r="AC315" s="17" t="n"/>
      <ns0:c r="AD315" s="17" t="n"/>
      <ns0:c r="AE315" s="17" t="n"/>
      <ns0:c r="AF315" s="17" t="n"/>
      <ns0:c r="AG315" s="17" t="n"/>
    </ns0:row>
    <ns0:row r="316" ht="24" customHeight="1">
      <ns0:c r="D316" s="17" t="n"/>
      <ns0:c r="E316" s="17" t="n"/>
      <ns0:c r="F316" s="17" t="n"/>
      <ns0:c r="G316" s="17" t="n"/>
      <ns0:c r="H316" s="17" t="n"/>
      <ns0:c r="I316" s="17" t="n"/>
      <ns0:c r="J316" s="17" t="n"/>
      <ns0:c r="K316" s="17" t="n"/>
      <ns0:c r="L316" s="17" t="n"/>
      <ns0:c r="M316" s="17" t="n"/>
      <ns0:c r="N316" s="17" t="n"/>
      <ns0:c r="O316" s="17" t="n"/>
      <ns0:c r="P316" s="17" t="n"/>
      <ns0:c r="Q316" s="17" t="n"/>
      <ns0:c r="R316" s="17" t="n"/>
      <ns0:c r="S316" s="17" t="n"/>
      <ns0:c r="T316" s="17" t="n"/>
      <ns0:c r="U316" s="17" t="n"/>
      <ns0:c r="V316" s="17" t="n"/>
      <ns0:c r="W316" s="17" t="n"/>
      <ns0:c r="X316" s="17" t="n"/>
      <ns0:c r="Y316" s="17" t="n"/>
      <ns0:c r="Z316" s="17" t="n"/>
      <ns0:c r="AA316" s="17" t="n"/>
      <ns0:c r="AB316" s="17" t="n"/>
      <ns0:c r="AC316" s="17" t="n"/>
      <ns0:c r="AD316" s="17" t="n"/>
      <ns0:c r="AE316" s="17" t="n"/>
      <ns0:c r="AF316" s="17" t="n"/>
      <ns0:c r="AG316" s="17" t="n"/>
    </ns0:row>
    <ns0:row r="317" ht="24" customHeight="1">
      <ns0:c r="D317" s="17" t="n"/>
      <ns0:c r="E317" s="17" t="n"/>
      <ns0:c r="F317" s="17" t="n"/>
      <ns0:c r="G317" s="17" t="n"/>
      <ns0:c r="H317" s="17" t="n"/>
      <ns0:c r="I317" s="17" t="n"/>
      <ns0:c r="J317" s="17" t="n"/>
      <ns0:c r="K317" s="17" t="n"/>
      <ns0:c r="L317" s="17" t="n"/>
      <ns0:c r="M317" s="17" t="n"/>
      <ns0:c r="N317" s="17" t="n"/>
      <ns0:c r="O317" s="17" t="n"/>
      <ns0:c r="P317" s="17" t="n"/>
      <ns0:c r="Q317" s="17" t="n"/>
      <ns0:c r="R317" s="17" t="n"/>
      <ns0:c r="S317" s="17" t="n"/>
      <ns0:c r="T317" s="17" t="n"/>
      <ns0:c r="U317" s="17" t="n"/>
      <ns0:c r="V317" s="17" t="n"/>
      <ns0:c r="W317" s="17" t="n"/>
      <ns0:c r="X317" s="17" t="n"/>
      <ns0:c r="Y317" s="17" t="n"/>
      <ns0:c r="Z317" s="17" t="n"/>
      <ns0:c r="AA317" s="17" t="n"/>
      <ns0:c r="AB317" s="17" t="n"/>
      <ns0:c r="AC317" s="17" t="n"/>
      <ns0:c r="AD317" s="17" t="n"/>
      <ns0:c r="AE317" s="17" t="n"/>
      <ns0:c r="AF317" s="17" t="n"/>
      <ns0:c r="AG317" s="17" t="n"/>
    </ns0:row>
    <ns0:row r="318" ht="24" customHeight="1">
      <ns0:c r="D318" s="17" t="n"/>
      <ns0:c r="E318" s="17" t="n"/>
      <ns0:c r="F318" s="17" t="n"/>
      <ns0:c r="G318" s="17" t="n"/>
      <ns0:c r="H318" s="17" t="n"/>
      <ns0:c r="I318" s="17" t="n"/>
      <ns0:c r="J318" s="17" t="n"/>
      <ns0:c r="K318" s="17" t="n"/>
      <ns0:c r="L318" s="17" t="n"/>
      <ns0:c r="M318" s="17" t="n"/>
      <ns0:c r="N318" s="17" t="n"/>
      <ns0:c r="O318" s="17" t="n"/>
      <ns0:c r="P318" s="17" t="n"/>
      <ns0:c r="Q318" s="17" t="n"/>
      <ns0:c r="R318" s="17" t="n"/>
      <ns0:c r="S318" s="17" t="n"/>
      <ns0:c r="T318" s="17" t="n"/>
      <ns0:c r="U318" s="17" t="n"/>
      <ns0:c r="V318" s="17" t="n"/>
      <ns0:c r="W318" s="17" t="n"/>
      <ns0:c r="X318" s="17" t="n"/>
      <ns0:c r="Y318" s="17" t="n"/>
      <ns0:c r="Z318" s="17" t="n"/>
      <ns0:c r="AA318" s="17" t="n"/>
      <ns0:c r="AB318" s="17" t="n"/>
      <ns0:c r="AC318" s="17" t="n"/>
      <ns0:c r="AD318" s="17" t="n"/>
      <ns0:c r="AE318" s="17" t="n"/>
      <ns0:c r="AF318" s="17" t="n"/>
      <ns0:c r="AG318" s="17" t="n"/>
    </ns0:row>
    <ns0:row r="319" ht="24" customHeight="1">
      <ns0:c r="D319" s="17" t="n"/>
      <ns0:c r="E319" s="17" t="n"/>
      <ns0:c r="F319" s="17" t="n"/>
      <ns0:c r="G319" s="17" t="n"/>
      <ns0:c r="H319" s="17" t="n"/>
      <ns0:c r="I319" s="17" t="n"/>
      <ns0:c r="J319" s="17" t="n"/>
      <ns0:c r="K319" s="17" t="n"/>
      <ns0:c r="L319" s="17" t="n"/>
      <ns0:c r="M319" s="17" t="n"/>
      <ns0:c r="N319" s="17" t="n"/>
      <ns0:c r="O319" s="17" t="n"/>
      <ns0:c r="P319" s="17" t="n"/>
      <ns0:c r="Q319" s="17" t="n"/>
      <ns0:c r="R319" s="17" t="n"/>
      <ns0:c r="S319" s="17" t="n"/>
      <ns0:c r="T319" s="17" t="n"/>
      <ns0:c r="U319" s="17" t="n"/>
      <ns0:c r="V319" s="17" t="n"/>
      <ns0:c r="W319" s="17" t="n"/>
      <ns0:c r="X319" s="17" t="n"/>
      <ns0:c r="Y319" s="17" t="n"/>
      <ns0:c r="Z319" s="17" t="n"/>
      <ns0:c r="AA319" s="17" t="n"/>
      <ns0:c r="AB319" s="17" t="n"/>
      <ns0:c r="AC319" s="17" t="n"/>
      <ns0:c r="AD319" s="17" t="n"/>
      <ns0:c r="AE319" s="17" t="n"/>
      <ns0:c r="AF319" s="17" t="n"/>
      <ns0:c r="AG319" s="17" t="n"/>
    </ns0:row>
    <ns0:row r="320" ht="24" customHeight="1">
      <ns0:c r="D320" s="17" t="n"/>
      <ns0:c r="E320" s="17" t="n"/>
      <ns0:c r="F320" s="17" t="n"/>
      <ns0:c r="G320" s="17" t="n"/>
      <ns0:c r="H320" s="17" t="n"/>
      <ns0:c r="I320" s="17" t="n"/>
      <ns0:c r="J320" s="17" t="n"/>
      <ns0:c r="K320" s="17" t="n"/>
      <ns0:c r="L320" s="17" t="n"/>
      <ns0:c r="M320" s="17" t="n"/>
      <ns0:c r="N320" s="17" t="n"/>
      <ns0:c r="O320" s="17" t="n"/>
      <ns0:c r="P320" s="17" t="n"/>
      <ns0:c r="Q320" s="17" t="n"/>
      <ns0:c r="R320" s="17" t="n"/>
      <ns0:c r="S320" s="17" t="n"/>
      <ns0:c r="T320" s="17" t="n"/>
      <ns0:c r="U320" s="17" t="n"/>
      <ns0:c r="V320" s="17" t="n"/>
      <ns0:c r="W320" s="17" t="n"/>
      <ns0:c r="X320" s="17" t="n"/>
      <ns0:c r="Y320" s="17" t="n"/>
      <ns0:c r="Z320" s="17" t="n"/>
      <ns0:c r="AA320" s="17" t="n"/>
      <ns0:c r="AB320" s="17" t="n"/>
      <ns0:c r="AC320" s="17" t="n"/>
      <ns0:c r="AD320" s="17" t="n"/>
      <ns0:c r="AE320" s="17" t="n"/>
      <ns0:c r="AF320" s="17" t="n"/>
      <ns0:c r="AG320" s="17" t="n"/>
    </ns0:row>
    <ns0:row r="321" ht="24" customHeight="1">
      <ns0:c r="D321" s="17" t="n"/>
      <ns0:c r="E321" s="17" t="n"/>
      <ns0:c r="F321" s="17" t="n"/>
      <ns0:c r="G321" s="17" t="n"/>
      <ns0:c r="H321" s="17" t="n"/>
      <ns0:c r="I321" s="17" t="n"/>
      <ns0:c r="J321" s="17" t="n"/>
      <ns0:c r="K321" s="17" t="n"/>
      <ns0:c r="L321" s="17" t="n"/>
      <ns0:c r="M321" s="17" t="n"/>
      <ns0:c r="N321" s="17" t="n"/>
      <ns0:c r="O321" s="17" t="n"/>
      <ns0:c r="P321" s="17" t="n"/>
      <ns0:c r="Q321" s="17" t="n"/>
      <ns0:c r="R321" s="17" t="n"/>
      <ns0:c r="S321" s="17" t="n"/>
      <ns0:c r="T321" s="17" t="n"/>
      <ns0:c r="U321" s="17" t="n"/>
      <ns0:c r="V321" s="17" t="n"/>
      <ns0:c r="W321" s="17" t="n"/>
      <ns0:c r="X321" s="17" t="n"/>
      <ns0:c r="Y321" s="17" t="n"/>
      <ns0:c r="Z321" s="17" t="n"/>
      <ns0:c r="AA321" s="17" t="n"/>
      <ns0:c r="AB321" s="17" t="n"/>
      <ns0:c r="AC321" s="17" t="n"/>
      <ns0:c r="AD321" s="17" t="n"/>
      <ns0:c r="AE321" s="17" t="n"/>
      <ns0:c r="AF321" s="17" t="n"/>
      <ns0:c r="AG321" s="17" t="n"/>
    </ns0:row>
    <ns0:row r="322" ht="24" customHeight="1">
      <ns0:c r="D322" s="17" t="n"/>
      <ns0:c r="E322" s="17" t="n"/>
      <ns0:c r="F322" s="17" t="n"/>
      <ns0:c r="G322" s="17" t="n"/>
      <ns0:c r="H322" s="17" t="n"/>
      <ns0:c r="I322" s="17" t="n"/>
      <ns0:c r="J322" s="17" t="n"/>
      <ns0:c r="K322" s="17" t="n"/>
      <ns0:c r="L322" s="17" t="n"/>
      <ns0:c r="M322" s="17" t="n"/>
      <ns0:c r="N322" s="17" t="n"/>
      <ns0:c r="O322" s="17" t="n"/>
      <ns0:c r="P322" s="17" t="n"/>
      <ns0:c r="Q322" s="17" t="n"/>
      <ns0:c r="R322" s="17" t="n"/>
      <ns0:c r="S322" s="17" t="n"/>
      <ns0:c r="T322" s="17" t="n"/>
      <ns0:c r="U322" s="17" t="n"/>
      <ns0:c r="V322" s="17" t="n"/>
      <ns0:c r="W322" s="17" t="n"/>
      <ns0:c r="X322" s="17" t="n"/>
      <ns0:c r="Y322" s="17" t="n"/>
      <ns0:c r="Z322" s="17" t="n"/>
      <ns0:c r="AA322" s="17" t="n"/>
      <ns0:c r="AB322" s="17" t="n"/>
      <ns0:c r="AC322" s="17" t="n"/>
      <ns0:c r="AD322" s="17" t="n"/>
      <ns0:c r="AE322" s="17" t="n"/>
      <ns0:c r="AF322" s="17" t="n"/>
      <ns0:c r="AG322" s="17" t="n"/>
    </ns0:row>
    <ns0:row r="323" ht="24" customHeight="1">
      <ns0:c r="D323" s="17" t="n"/>
      <ns0:c r="E323" s="17" t="n"/>
      <ns0:c r="F323" s="17" t="n"/>
      <ns0:c r="G323" s="17" t="n"/>
      <ns0:c r="H323" s="17" t="n"/>
      <ns0:c r="I323" s="17" t="n"/>
      <ns0:c r="J323" s="17" t="n"/>
      <ns0:c r="K323" s="17" t="n"/>
      <ns0:c r="L323" s="17" t="n"/>
      <ns0:c r="M323" s="17" t="n"/>
      <ns0:c r="N323" s="17" t="n"/>
      <ns0:c r="O323" s="17" t="n"/>
      <ns0:c r="P323" s="17" t="n"/>
      <ns0:c r="Q323" s="17" t="n"/>
      <ns0:c r="R323" s="17" t="n"/>
      <ns0:c r="S323" s="17" t="n"/>
      <ns0:c r="T323" s="17" t="n"/>
      <ns0:c r="U323" s="17" t="n"/>
      <ns0:c r="V323" s="17" t="n"/>
      <ns0:c r="W323" s="17" t="n"/>
      <ns0:c r="X323" s="17" t="n"/>
      <ns0:c r="Y323" s="17" t="n"/>
      <ns0:c r="Z323" s="17" t="n"/>
      <ns0:c r="AA323" s="17" t="n"/>
      <ns0:c r="AB323" s="17" t="n"/>
      <ns0:c r="AC323" s="17" t="n"/>
      <ns0:c r="AD323" s="17" t="n"/>
      <ns0:c r="AE323" s="17" t="n"/>
      <ns0:c r="AF323" s="17" t="n"/>
      <ns0:c r="AG323" s="17" t="n"/>
    </ns0:row>
    <ns0:row r="324" ht="24" customHeight="1">
      <ns0:c r="D324" s="17" t="n"/>
      <ns0:c r="E324" s="17" t="n"/>
      <ns0:c r="F324" s="17" t="n"/>
      <ns0:c r="G324" s="17" t="n"/>
      <ns0:c r="H324" s="17" t="n"/>
      <ns0:c r="I324" s="17" t="n"/>
      <ns0:c r="J324" s="17" t="n"/>
      <ns0:c r="K324" s="17" t="n"/>
      <ns0:c r="L324" s="17" t="n"/>
      <ns0:c r="M324" s="17" t="n"/>
      <ns0:c r="N324" s="17" t="n"/>
      <ns0:c r="O324" s="17" t="n"/>
      <ns0:c r="P324" s="17" t="n"/>
      <ns0:c r="Q324" s="17" t="n"/>
      <ns0:c r="R324" s="17" t="n"/>
      <ns0:c r="S324" s="17" t="n"/>
      <ns0:c r="T324" s="17" t="n"/>
      <ns0:c r="U324" s="17" t="n"/>
      <ns0:c r="V324" s="17" t="n"/>
      <ns0:c r="W324" s="17" t="n"/>
      <ns0:c r="X324" s="17" t="n"/>
      <ns0:c r="Y324" s="17" t="n"/>
      <ns0:c r="Z324" s="17" t="n"/>
      <ns0:c r="AA324" s="17" t="n"/>
      <ns0:c r="AB324" s="17" t="n"/>
      <ns0:c r="AC324" s="17" t="n"/>
      <ns0:c r="AD324" s="17" t="n"/>
      <ns0:c r="AE324" s="17" t="n"/>
      <ns0:c r="AF324" s="17" t="n"/>
      <ns0:c r="AG324" s="17" t="n"/>
    </ns0:row>
    <ns0:row r="325" ht="24" customHeight="1">
      <ns0:c r="D325" s="17" t="n"/>
      <ns0:c r="E325" s="17" t="n"/>
      <ns0:c r="F325" s="17" t="n"/>
      <ns0:c r="G325" s="17" t="n"/>
      <ns0:c r="H325" s="17" t="n"/>
      <ns0:c r="I325" s="17" t="n"/>
      <ns0:c r="J325" s="17" t="n"/>
      <ns0:c r="K325" s="17" t="n"/>
      <ns0:c r="L325" s="17" t="n"/>
      <ns0:c r="M325" s="17" t="n"/>
      <ns0:c r="N325" s="17" t="n"/>
      <ns0:c r="O325" s="17" t="n"/>
      <ns0:c r="P325" s="17" t="n"/>
      <ns0:c r="Q325" s="17" t="n"/>
      <ns0:c r="R325" s="17" t="n"/>
      <ns0:c r="S325" s="17" t="n"/>
      <ns0:c r="T325" s="17" t="n"/>
      <ns0:c r="U325" s="17" t="n"/>
      <ns0:c r="V325" s="17" t="n"/>
      <ns0:c r="W325" s="17" t="n"/>
      <ns0:c r="X325" s="17" t="n"/>
      <ns0:c r="Y325" s="17" t="n"/>
      <ns0:c r="Z325" s="17" t="n"/>
      <ns0:c r="AA325" s="17" t="n"/>
      <ns0:c r="AB325" s="17" t="n"/>
      <ns0:c r="AC325" s="17" t="n"/>
      <ns0:c r="AD325" s="17" t="n"/>
      <ns0:c r="AE325" s="17" t="n"/>
      <ns0:c r="AF325" s="17" t="n"/>
      <ns0:c r="AG325" s="17" t="n"/>
    </ns0:row>
    <ns0:row r="326" ht="24" customHeight="1">
      <ns0:c r="D326" s="17" t="n"/>
      <ns0:c r="E326" s="17" t="n"/>
      <ns0:c r="F326" s="17" t="n"/>
      <ns0:c r="G326" s="17" t="n"/>
      <ns0:c r="H326" s="17" t="n"/>
      <ns0:c r="I326" s="17" t="n"/>
      <ns0:c r="J326" s="17" t="n"/>
      <ns0:c r="K326" s="17" t="n"/>
      <ns0:c r="L326" s="17" t="n"/>
      <ns0:c r="M326" s="17" t="n"/>
      <ns0:c r="N326" s="17" t="n"/>
      <ns0:c r="O326" s="17" t="n"/>
      <ns0:c r="P326" s="17" t="n"/>
      <ns0:c r="Q326" s="17" t="n"/>
      <ns0:c r="R326" s="17" t="n"/>
      <ns0:c r="S326" s="17" t="n"/>
      <ns0:c r="T326" s="17" t="n"/>
      <ns0:c r="U326" s="17" t="n"/>
      <ns0:c r="V326" s="17" t="n"/>
      <ns0:c r="W326" s="17" t="n"/>
      <ns0:c r="X326" s="17" t="n"/>
      <ns0:c r="Y326" s="17" t="n"/>
      <ns0:c r="Z326" s="17" t="n"/>
      <ns0:c r="AA326" s="17" t="n"/>
      <ns0:c r="AB326" s="17" t="n"/>
      <ns0:c r="AC326" s="17" t="n"/>
      <ns0:c r="AD326" s="17" t="n"/>
      <ns0:c r="AE326" s="17" t="n"/>
      <ns0:c r="AF326" s="17" t="n"/>
      <ns0:c r="AG326" s="17" t="n"/>
    </ns0:row>
    <ns0:row r="327" ht="24" customHeight="1">
      <ns0:c r="D327" s="17" t="n"/>
      <ns0:c r="E327" s="17" t="n"/>
      <ns0:c r="F327" s="17" t="n"/>
      <ns0:c r="G327" s="17" t="n"/>
      <ns0:c r="H327" s="17" t="n"/>
      <ns0:c r="I327" s="17" t="n"/>
      <ns0:c r="J327" s="17" t="n"/>
      <ns0:c r="K327" s="17" t="n"/>
      <ns0:c r="L327" s="17" t="n"/>
      <ns0:c r="M327" s="17" t="n"/>
      <ns0:c r="N327" s="17" t="n"/>
      <ns0:c r="O327" s="17" t="n"/>
      <ns0:c r="P327" s="17" t="n"/>
      <ns0:c r="Q327" s="17" t="n"/>
      <ns0:c r="R327" s="17" t="n"/>
      <ns0:c r="S327" s="17" t="n"/>
      <ns0:c r="T327" s="17" t="n"/>
      <ns0:c r="U327" s="17" t="n"/>
      <ns0:c r="V327" s="17" t="n"/>
      <ns0:c r="W327" s="17" t="n"/>
      <ns0:c r="X327" s="17" t="n"/>
      <ns0:c r="Y327" s="17" t="n"/>
      <ns0:c r="Z327" s="17" t="n"/>
      <ns0:c r="AA327" s="17" t="n"/>
      <ns0:c r="AB327" s="17" t="n"/>
      <ns0:c r="AC327" s="17" t="n"/>
      <ns0:c r="AD327" s="17" t="n"/>
      <ns0:c r="AE327" s="17" t="n"/>
      <ns0:c r="AF327" s="17" t="n"/>
      <ns0:c r="AG327" s="17" t="n"/>
    </ns0:row>
    <ns0:row r="328" ht="24" customHeight="1">
      <ns0:c r="D328" s="17" t="n"/>
      <ns0:c r="E328" s="17" t="n"/>
      <ns0:c r="F328" s="17" t="n"/>
      <ns0:c r="G328" s="17" t="n"/>
      <ns0:c r="H328" s="17" t="n"/>
      <ns0:c r="I328" s="17" t="n"/>
      <ns0:c r="J328" s="17" t="n"/>
      <ns0:c r="K328" s="17" t="n"/>
      <ns0:c r="L328" s="17" t="n"/>
      <ns0:c r="M328" s="17" t="n"/>
      <ns0:c r="N328" s="17" t="n"/>
      <ns0:c r="O328" s="17" t="n"/>
      <ns0:c r="P328" s="17" t="n"/>
      <ns0:c r="Q328" s="17" t="n"/>
      <ns0:c r="R328" s="17" t="n"/>
      <ns0:c r="S328" s="17" t="n"/>
      <ns0:c r="T328" s="17" t="n"/>
      <ns0:c r="U328" s="17" t="n"/>
      <ns0:c r="V328" s="17" t="n"/>
      <ns0:c r="W328" s="17" t="n"/>
      <ns0:c r="X328" s="17" t="n"/>
      <ns0:c r="Y328" s="17" t="n"/>
      <ns0:c r="Z328" s="17" t="n"/>
      <ns0:c r="AA328" s="17" t="n"/>
      <ns0:c r="AB328" s="17" t="n"/>
      <ns0:c r="AC328" s="17" t="n"/>
      <ns0:c r="AD328" s="17" t="n"/>
      <ns0:c r="AE328" s="17" t="n"/>
      <ns0:c r="AF328" s="17" t="n"/>
      <ns0:c r="AG328" s="17" t="n"/>
    </ns0:row>
    <ns0:row r="329" ht="24" customHeight="1">
      <ns0:c r="D329" s="17" t="n"/>
      <ns0:c r="E329" s="17" t="n"/>
      <ns0:c r="F329" s="17" t="n"/>
      <ns0:c r="G329" s="17" t="n"/>
      <ns0:c r="H329" s="17" t="n"/>
      <ns0:c r="I329" s="17" t="n"/>
      <ns0:c r="J329" s="17" t="n"/>
      <ns0:c r="K329" s="17" t="n"/>
      <ns0:c r="L329" s="17" t="n"/>
      <ns0:c r="M329" s="17" t="n"/>
      <ns0:c r="N329" s="17" t="n"/>
      <ns0:c r="O329" s="17" t="n"/>
      <ns0:c r="P329" s="17" t="n"/>
      <ns0:c r="Q329" s="17" t="n"/>
      <ns0:c r="R329" s="17" t="n"/>
      <ns0:c r="S329" s="17" t="n"/>
      <ns0:c r="T329" s="17" t="n"/>
      <ns0:c r="U329" s="17" t="n"/>
      <ns0:c r="V329" s="17" t="n"/>
      <ns0:c r="W329" s="17" t="n"/>
      <ns0:c r="X329" s="17" t="n"/>
      <ns0:c r="Y329" s="17" t="n"/>
      <ns0:c r="Z329" s="17" t="n"/>
      <ns0:c r="AA329" s="17" t="n"/>
      <ns0:c r="AB329" s="17" t="n"/>
      <ns0:c r="AC329" s="17" t="n"/>
      <ns0:c r="AD329" s="17" t="n"/>
      <ns0:c r="AE329" s="17" t="n"/>
      <ns0:c r="AF329" s="17" t="n"/>
      <ns0:c r="AG329" s="17" t="n"/>
    </ns0:row>
    <ns0:row r="330" ht="24" customHeight="1">
      <ns0:c r="D330" s="17" t="n"/>
      <ns0:c r="E330" s="17" t="n"/>
      <ns0:c r="F330" s="17" t="n"/>
      <ns0:c r="G330" s="17" t="n"/>
      <ns0:c r="H330" s="17" t="n"/>
      <ns0:c r="I330" s="17" t="n"/>
      <ns0:c r="J330" s="17" t="n"/>
      <ns0:c r="K330" s="17" t="n"/>
      <ns0:c r="L330" s="17" t="n"/>
      <ns0:c r="M330" s="17" t="n"/>
      <ns0:c r="N330" s="17" t="n"/>
      <ns0:c r="O330" s="17" t="n"/>
      <ns0:c r="P330" s="17" t="n"/>
      <ns0:c r="Q330" s="17" t="n"/>
      <ns0:c r="R330" s="17" t="n"/>
      <ns0:c r="S330" s="17" t="n"/>
      <ns0:c r="T330" s="17" t="n"/>
      <ns0:c r="U330" s="17" t="n"/>
      <ns0:c r="V330" s="17" t="n"/>
      <ns0:c r="W330" s="17" t="n"/>
      <ns0:c r="X330" s="17" t="n"/>
      <ns0:c r="Y330" s="17" t="n"/>
      <ns0:c r="Z330" s="17" t="n"/>
      <ns0:c r="AA330" s="17" t="n"/>
      <ns0:c r="AB330" s="17" t="n"/>
      <ns0:c r="AC330" s="17" t="n"/>
      <ns0:c r="AD330" s="17" t="n"/>
      <ns0:c r="AE330" s="17" t="n"/>
      <ns0:c r="AF330" s="17" t="n"/>
      <ns0:c r="AG330" s="17" t="n"/>
    </ns0:row>
    <ns0:row r="331" ht="24" customHeight="1">
      <ns0:c r="D331" s="17" t="n"/>
      <ns0:c r="E331" s="17" t="n"/>
      <ns0:c r="F331" s="17" t="n"/>
      <ns0:c r="G331" s="17" t="n"/>
      <ns0:c r="H331" s="17" t="n"/>
      <ns0:c r="I331" s="17" t="n"/>
      <ns0:c r="J331" s="17" t="n"/>
      <ns0:c r="K331" s="17" t="n"/>
      <ns0:c r="L331" s="17" t="n"/>
      <ns0:c r="M331" s="17" t="n"/>
      <ns0:c r="N331" s="17" t="n"/>
      <ns0:c r="O331" s="17" t="n"/>
      <ns0:c r="P331" s="17" t="n"/>
      <ns0:c r="Q331" s="17" t="n"/>
      <ns0:c r="R331" s="17" t="n"/>
      <ns0:c r="S331" s="17" t="n"/>
      <ns0:c r="T331" s="17" t="n"/>
      <ns0:c r="U331" s="17" t="n"/>
      <ns0:c r="V331" s="17" t="n"/>
      <ns0:c r="W331" s="17" t="n"/>
      <ns0:c r="X331" s="17" t="n"/>
      <ns0:c r="Y331" s="17" t="n"/>
      <ns0:c r="Z331" s="17" t="n"/>
      <ns0:c r="AA331" s="17" t="n"/>
      <ns0:c r="AB331" s="17" t="n"/>
      <ns0:c r="AC331" s="17" t="n"/>
      <ns0:c r="AD331" s="17" t="n"/>
      <ns0:c r="AE331" s="17" t="n"/>
      <ns0:c r="AF331" s="17" t="n"/>
      <ns0:c r="AG331" s="17" t="n"/>
    </ns0:row>
    <ns0:row r="332" ht="24" customHeight="1">
      <ns0:c r="D332" s="17" t="n"/>
      <ns0:c r="E332" s="17" t="n"/>
      <ns0:c r="F332" s="17" t="n"/>
      <ns0:c r="G332" s="17" t="n"/>
      <ns0:c r="H332" s="17" t="n"/>
      <ns0:c r="I332" s="17" t="n"/>
      <ns0:c r="J332" s="17" t="n"/>
      <ns0:c r="K332" s="17" t="n"/>
      <ns0:c r="L332" s="17" t="n"/>
      <ns0:c r="M332" s="17" t="n"/>
      <ns0:c r="N332" s="17" t="n"/>
      <ns0:c r="O332" s="17" t="n"/>
      <ns0:c r="P332" s="17" t="n"/>
      <ns0:c r="Q332" s="17" t="n"/>
      <ns0:c r="R332" s="17" t="n"/>
      <ns0:c r="S332" s="17" t="n"/>
      <ns0:c r="T332" s="17" t="n"/>
      <ns0:c r="U332" s="17" t="n"/>
      <ns0:c r="V332" s="17" t="n"/>
      <ns0:c r="W332" s="17" t="n"/>
      <ns0:c r="X332" s="17" t="n"/>
      <ns0:c r="Y332" s="17" t="n"/>
      <ns0:c r="Z332" s="17" t="n"/>
      <ns0:c r="AA332" s="17" t="n"/>
      <ns0:c r="AB332" s="17" t="n"/>
      <ns0:c r="AC332" s="17" t="n"/>
      <ns0:c r="AD332" s="17" t="n"/>
      <ns0:c r="AE332" s="17" t="n"/>
      <ns0:c r="AF332" s="17" t="n"/>
      <ns0:c r="AG332" s="17" t="n"/>
    </ns0:row>
    <ns0:row r="333" ht="24" customHeight="1">
      <ns0:c r="D333" s="17" t="n"/>
      <ns0:c r="E333" s="17" t="n"/>
      <ns0:c r="F333" s="17" t="n"/>
      <ns0:c r="G333" s="17" t="n"/>
      <ns0:c r="H333" s="17" t="n"/>
      <ns0:c r="I333" s="17" t="n"/>
      <ns0:c r="J333" s="17" t="n"/>
      <ns0:c r="K333" s="17" t="n"/>
      <ns0:c r="L333" s="17" t="n"/>
      <ns0:c r="M333" s="17" t="n"/>
      <ns0:c r="N333" s="17" t="n"/>
      <ns0:c r="O333" s="17" t="n"/>
      <ns0:c r="P333" s="17" t="n"/>
      <ns0:c r="Q333" s="17" t="n"/>
      <ns0:c r="R333" s="17" t="n"/>
      <ns0:c r="S333" s="17" t="n"/>
      <ns0:c r="T333" s="17" t="n"/>
      <ns0:c r="U333" s="17" t="n"/>
      <ns0:c r="V333" s="17" t="n"/>
      <ns0:c r="W333" s="17" t="n"/>
      <ns0:c r="X333" s="17" t="n"/>
      <ns0:c r="Y333" s="17" t="n"/>
      <ns0:c r="Z333" s="17" t="n"/>
      <ns0:c r="AA333" s="17" t="n"/>
      <ns0:c r="AB333" s="17" t="n"/>
      <ns0:c r="AC333" s="17" t="n"/>
      <ns0:c r="AD333" s="17" t="n"/>
      <ns0:c r="AE333" s="17" t="n"/>
      <ns0:c r="AF333" s="17" t="n"/>
      <ns0:c r="AG333" s="17" t="n"/>
    </ns0:row>
    <ns0:row r="334" ht="24" customHeight="1">
      <ns0:c r="D334" s="17" t="n"/>
      <ns0:c r="E334" s="17" t="n"/>
      <ns0:c r="F334" s="17" t="n"/>
      <ns0:c r="G334" s="17" t="n"/>
      <ns0:c r="H334" s="17" t="n"/>
      <ns0:c r="I334" s="17" t="n"/>
      <ns0:c r="J334" s="17" t="n"/>
      <ns0:c r="K334" s="17" t="n"/>
      <ns0:c r="L334" s="17" t="n"/>
      <ns0:c r="M334" s="17" t="n"/>
      <ns0:c r="N334" s="17" t="n"/>
      <ns0:c r="O334" s="17" t="n"/>
      <ns0:c r="P334" s="17" t="n"/>
      <ns0:c r="Q334" s="17" t="n"/>
      <ns0:c r="R334" s="17" t="n"/>
      <ns0:c r="S334" s="17" t="n"/>
      <ns0:c r="T334" s="17" t="n"/>
      <ns0:c r="U334" s="17" t="n"/>
      <ns0:c r="V334" s="17" t="n"/>
      <ns0:c r="W334" s="17" t="n"/>
      <ns0:c r="X334" s="17" t="n"/>
      <ns0:c r="Y334" s="17" t="n"/>
      <ns0:c r="Z334" s="17" t="n"/>
      <ns0:c r="AA334" s="17" t="n"/>
      <ns0:c r="AB334" s="17" t="n"/>
      <ns0:c r="AC334" s="17" t="n"/>
      <ns0:c r="AD334" s="17" t="n"/>
      <ns0:c r="AE334" s="17" t="n"/>
      <ns0:c r="AF334" s="17" t="n"/>
      <ns0:c r="AG334" s="17" t="n"/>
    </ns0:row>
    <ns0:row r="335" ht="24" customHeight="1">
      <ns0:c r="D335" s="17" t="n"/>
      <ns0:c r="E335" s="17" t="n"/>
      <ns0:c r="F335" s="17" t="n"/>
      <ns0:c r="G335" s="17" t="n"/>
      <ns0:c r="H335" s="17" t="n"/>
      <ns0:c r="I335" s="17" t="n"/>
      <ns0:c r="J335" s="17" t="n"/>
      <ns0:c r="K335" s="17" t="n"/>
      <ns0:c r="L335" s="17" t="n"/>
      <ns0:c r="M335" s="17" t="n"/>
      <ns0:c r="N335" s="17" t="n"/>
      <ns0:c r="O335" s="17" t="n"/>
      <ns0:c r="P335" s="17" t="n"/>
      <ns0:c r="Q335" s="17" t="n"/>
      <ns0:c r="R335" s="17" t="n"/>
      <ns0:c r="S335" s="17" t="n"/>
      <ns0:c r="T335" s="17" t="n"/>
      <ns0:c r="U335" s="17" t="n"/>
      <ns0:c r="V335" s="17" t="n"/>
      <ns0:c r="W335" s="17" t="n"/>
      <ns0:c r="X335" s="17" t="n"/>
      <ns0:c r="Y335" s="17" t="n"/>
      <ns0:c r="Z335" s="17" t="n"/>
      <ns0:c r="AA335" s="17" t="n"/>
      <ns0:c r="AB335" s="17" t="n"/>
      <ns0:c r="AC335" s="17" t="n"/>
      <ns0:c r="AD335" s="17" t="n"/>
      <ns0:c r="AE335" s="17" t="n"/>
      <ns0:c r="AF335" s="17" t="n"/>
      <ns0:c r="AG335" s="17" t="n"/>
    </ns0:row>
    <ns0:row r="336" ht="24" customHeight="1">
      <ns0:c r="D336" s="17" t="n"/>
      <ns0:c r="E336" s="17" t="n"/>
      <ns0:c r="F336" s="17" t="n"/>
      <ns0:c r="G336" s="17" t="n"/>
      <ns0:c r="H336" s="17" t="n"/>
      <ns0:c r="I336" s="17" t="n"/>
      <ns0:c r="J336" s="17" t="n"/>
      <ns0:c r="K336" s="17" t="n"/>
      <ns0:c r="L336" s="17" t="n"/>
      <ns0:c r="M336" s="17" t="n"/>
      <ns0:c r="N336" s="17" t="n"/>
      <ns0:c r="O336" s="17" t="n"/>
      <ns0:c r="P336" s="17" t="n"/>
      <ns0:c r="Q336" s="17" t="n"/>
      <ns0:c r="R336" s="17" t="n"/>
      <ns0:c r="S336" s="17" t="n"/>
      <ns0:c r="T336" s="17" t="n"/>
      <ns0:c r="U336" s="17" t="n"/>
      <ns0:c r="V336" s="17" t="n"/>
      <ns0:c r="W336" s="17" t="n"/>
      <ns0:c r="X336" s="17" t="n"/>
      <ns0:c r="Y336" s="17" t="n"/>
      <ns0:c r="Z336" s="17" t="n"/>
      <ns0:c r="AA336" s="17" t="n"/>
      <ns0:c r="AB336" s="17" t="n"/>
      <ns0:c r="AC336" s="17" t="n"/>
      <ns0:c r="AD336" s="17" t="n"/>
      <ns0:c r="AE336" s="17" t="n"/>
      <ns0:c r="AF336" s="17" t="n"/>
      <ns0:c r="AG336" s="17" t="n"/>
    </ns0:row>
    <ns0:row r="337" ht="24" customHeight="1">
      <ns0:c r="D337" s="17" t="n"/>
      <ns0:c r="E337" s="17" t="n"/>
      <ns0:c r="F337" s="17" t="n"/>
      <ns0:c r="G337" s="17" t="n"/>
      <ns0:c r="H337" s="17" t="n"/>
      <ns0:c r="I337" s="17" t="n"/>
      <ns0:c r="J337" s="17" t="n"/>
      <ns0:c r="K337" s="17" t="n"/>
      <ns0:c r="L337" s="17" t="n"/>
      <ns0:c r="M337" s="17" t="n"/>
      <ns0:c r="N337" s="17" t="n"/>
      <ns0:c r="O337" s="17" t="n"/>
      <ns0:c r="P337" s="17" t="n"/>
      <ns0:c r="Q337" s="17" t="n"/>
      <ns0:c r="R337" s="17" t="n"/>
      <ns0:c r="S337" s="17" t="n"/>
      <ns0:c r="T337" s="17" t="n"/>
      <ns0:c r="U337" s="17" t="n"/>
      <ns0:c r="V337" s="17" t="n"/>
      <ns0:c r="W337" s="17" t="n"/>
      <ns0:c r="X337" s="17" t="n"/>
      <ns0:c r="Y337" s="17" t="n"/>
      <ns0:c r="Z337" s="17" t="n"/>
      <ns0:c r="AA337" s="17" t="n"/>
      <ns0:c r="AB337" s="17" t="n"/>
      <ns0:c r="AC337" s="17" t="n"/>
      <ns0:c r="AD337" s="17" t="n"/>
      <ns0:c r="AE337" s="17" t="n"/>
      <ns0:c r="AF337" s="17" t="n"/>
      <ns0:c r="AG337" s="17" t="n"/>
    </ns0:row>
    <ns0:row r="338" ht="24" customHeight="1">
      <ns0:c r="D338" s="17" t="n"/>
      <ns0:c r="E338" s="17" t="n"/>
      <ns0:c r="F338" s="17" t="n"/>
      <ns0:c r="G338" s="17" t="n"/>
      <ns0:c r="H338" s="17" t="n"/>
      <ns0:c r="I338" s="17" t="n"/>
      <ns0:c r="J338" s="17" t="n"/>
      <ns0:c r="K338" s="17" t="n"/>
      <ns0:c r="L338" s="17" t="n"/>
      <ns0:c r="M338" s="17" t="n"/>
      <ns0:c r="N338" s="17" t="n"/>
      <ns0:c r="O338" s="17" t="n"/>
      <ns0:c r="P338" s="17" t="n"/>
      <ns0:c r="Q338" s="17" t="n"/>
      <ns0:c r="R338" s="17" t="n"/>
      <ns0:c r="S338" s="17" t="n"/>
      <ns0:c r="T338" s="17" t="n"/>
      <ns0:c r="U338" s="17" t="n"/>
      <ns0:c r="V338" s="17" t="n"/>
      <ns0:c r="W338" s="17" t="n"/>
      <ns0:c r="X338" s="17" t="n"/>
      <ns0:c r="Y338" s="17" t="n"/>
      <ns0:c r="Z338" s="17" t="n"/>
      <ns0:c r="AA338" s="17" t="n"/>
      <ns0:c r="AB338" s="17" t="n"/>
      <ns0:c r="AC338" s="17" t="n"/>
      <ns0:c r="AD338" s="17" t="n"/>
      <ns0:c r="AE338" s="17" t="n"/>
      <ns0:c r="AF338" s="17" t="n"/>
      <ns0:c r="AG338" s="17" t="n"/>
    </ns0:row>
    <ns0:row r="339" ht="24" customHeight="1">
      <ns0:c r="D339" s="17" t="n"/>
      <ns0:c r="E339" s="17" t="n"/>
      <ns0:c r="F339" s="17" t="n"/>
      <ns0:c r="G339" s="17" t="n"/>
      <ns0:c r="H339" s="17" t="n"/>
      <ns0:c r="I339" s="17" t="n"/>
      <ns0:c r="J339" s="17" t="n"/>
      <ns0:c r="K339" s="17" t="n"/>
      <ns0:c r="L339" s="17" t="n"/>
      <ns0:c r="M339" s="17" t="n"/>
      <ns0:c r="N339" s="17" t="n"/>
      <ns0:c r="O339" s="17" t="n"/>
      <ns0:c r="P339" s="17" t="n"/>
      <ns0:c r="Q339" s="17" t="n"/>
      <ns0:c r="R339" s="17" t="n"/>
      <ns0:c r="S339" s="17" t="n"/>
      <ns0:c r="T339" s="17" t="n"/>
      <ns0:c r="U339" s="17" t="n"/>
      <ns0:c r="V339" s="17" t="n"/>
      <ns0:c r="W339" s="17" t="n"/>
      <ns0:c r="X339" s="17" t="n"/>
      <ns0:c r="Y339" s="17" t="n"/>
      <ns0:c r="Z339" s="17" t="n"/>
      <ns0:c r="AA339" s="17" t="n"/>
      <ns0:c r="AB339" s="17" t="n"/>
      <ns0:c r="AC339" s="17" t="n"/>
      <ns0:c r="AD339" s="17" t="n"/>
      <ns0:c r="AE339" s="17" t="n"/>
      <ns0:c r="AF339" s="17" t="n"/>
      <ns0:c r="AG339" s="17" t="n"/>
    </ns0:row>
    <ns0:row r="340" ht="24" customHeight="1">
      <ns0:c r="D340" s="17" t="n"/>
      <ns0:c r="E340" s="17" t="n"/>
      <ns0:c r="F340" s="17" t="n"/>
      <ns0:c r="G340" s="17" t="n"/>
      <ns0:c r="H340" s="17" t="n"/>
      <ns0:c r="I340" s="17" t="n"/>
      <ns0:c r="J340" s="17" t="n"/>
      <ns0:c r="K340" s="17" t="n"/>
      <ns0:c r="L340" s="17" t="n"/>
      <ns0:c r="M340" s="17" t="n"/>
      <ns0:c r="N340" s="17" t="n"/>
      <ns0:c r="O340" s="17" t="n"/>
      <ns0:c r="P340" s="17" t="n"/>
      <ns0:c r="Q340" s="17" t="n"/>
      <ns0:c r="R340" s="17" t="n"/>
      <ns0:c r="S340" s="17" t="n"/>
      <ns0:c r="T340" s="17" t="n"/>
      <ns0:c r="U340" s="17" t="n"/>
      <ns0:c r="V340" s="17" t="n"/>
      <ns0:c r="W340" s="17" t="n"/>
      <ns0:c r="X340" s="17" t="n"/>
      <ns0:c r="Y340" s="17" t="n"/>
      <ns0:c r="Z340" s="17" t="n"/>
      <ns0:c r="AA340" s="17" t="n"/>
      <ns0:c r="AB340" s="17" t="n"/>
      <ns0:c r="AC340" s="17" t="n"/>
      <ns0:c r="AD340" s="17" t="n"/>
      <ns0:c r="AE340" s="17" t="n"/>
      <ns0:c r="AF340" s="17" t="n"/>
      <ns0:c r="AG340" s="17" t="n"/>
    </ns0:row>
    <ns0:row r="341" ht="24" customHeight="1">
      <ns0:c r="D341" s="17" t="n"/>
      <ns0:c r="E341" s="17" t="n"/>
      <ns0:c r="F341" s="17" t="n"/>
      <ns0:c r="G341" s="17" t="n"/>
      <ns0:c r="H341" s="17" t="n"/>
      <ns0:c r="I341" s="17" t="n"/>
      <ns0:c r="J341" s="17" t="n"/>
      <ns0:c r="K341" s="17" t="n"/>
      <ns0:c r="L341" s="17" t="n"/>
      <ns0:c r="M341" s="17" t="n"/>
      <ns0:c r="N341" s="17" t="n"/>
      <ns0:c r="O341" s="17" t="n"/>
      <ns0:c r="P341" s="17" t="n"/>
      <ns0:c r="Q341" s="17" t="n"/>
      <ns0:c r="R341" s="17" t="n"/>
      <ns0:c r="S341" s="17" t="n"/>
      <ns0:c r="T341" s="17" t="n"/>
      <ns0:c r="U341" s="17" t="n"/>
      <ns0:c r="V341" s="17" t="n"/>
      <ns0:c r="W341" s="17" t="n"/>
      <ns0:c r="X341" s="17" t="n"/>
      <ns0:c r="Y341" s="17" t="n"/>
      <ns0:c r="Z341" s="17" t="n"/>
      <ns0:c r="AA341" s="17" t="n"/>
      <ns0:c r="AB341" s="17" t="n"/>
      <ns0:c r="AC341" s="17" t="n"/>
      <ns0:c r="AD341" s="17" t="n"/>
      <ns0:c r="AE341" s="17" t="n"/>
      <ns0:c r="AF341" s="17" t="n"/>
      <ns0:c r="AG341" s="17" t="n"/>
    </ns0:row>
    <ns0:row r="342" ht="24" customHeight="1">
      <ns0:c r="D342" s="17" t="n"/>
      <ns0:c r="E342" s="17" t="n"/>
      <ns0:c r="F342" s="17" t="n"/>
      <ns0:c r="G342" s="17" t="n"/>
      <ns0:c r="H342" s="17" t="n"/>
      <ns0:c r="I342" s="17" t="n"/>
      <ns0:c r="J342" s="17" t="n"/>
      <ns0:c r="K342" s="17" t="n"/>
      <ns0:c r="L342" s="17" t="n"/>
      <ns0:c r="M342" s="17" t="n"/>
      <ns0:c r="N342" s="17" t="n"/>
      <ns0:c r="O342" s="17" t="n"/>
      <ns0:c r="P342" s="17" t="n"/>
      <ns0:c r="Q342" s="17" t="n"/>
      <ns0:c r="R342" s="17" t="n"/>
      <ns0:c r="S342" s="17" t="n"/>
      <ns0:c r="T342" s="17" t="n"/>
      <ns0:c r="U342" s="17" t="n"/>
      <ns0:c r="V342" s="17" t="n"/>
      <ns0:c r="W342" s="17" t="n"/>
      <ns0:c r="X342" s="17" t="n"/>
      <ns0:c r="Y342" s="17" t="n"/>
      <ns0:c r="Z342" s="17" t="n"/>
      <ns0:c r="AA342" s="17" t="n"/>
      <ns0:c r="AB342" s="17" t="n"/>
      <ns0:c r="AC342" s="17" t="n"/>
      <ns0:c r="AD342" s="17" t="n"/>
      <ns0:c r="AE342" s="17" t="n"/>
      <ns0:c r="AF342" s="17" t="n"/>
      <ns0:c r="AG342" s="17" t="n"/>
    </ns0:row>
    <ns0:row r="343" ht="24" customHeight="1">
      <ns0:c r="D343" s="17" t="n"/>
      <ns0:c r="E343" s="17" t="n"/>
      <ns0:c r="F343" s="17" t="n"/>
      <ns0:c r="G343" s="17" t="n"/>
      <ns0:c r="H343" s="17" t="n"/>
      <ns0:c r="I343" s="17" t="n"/>
      <ns0:c r="J343" s="17" t="n"/>
      <ns0:c r="K343" s="17" t="n"/>
      <ns0:c r="L343" s="17" t="n"/>
      <ns0:c r="M343" s="17" t="n"/>
      <ns0:c r="N343" s="17" t="n"/>
      <ns0:c r="O343" s="17" t="n"/>
      <ns0:c r="P343" s="17" t="n"/>
      <ns0:c r="Q343" s="17" t="n"/>
      <ns0:c r="R343" s="17" t="n"/>
      <ns0:c r="S343" s="17" t="n"/>
      <ns0:c r="T343" s="17" t="n"/>
      <ns0:c r="U343" s="17" t="n"/>
      <ns0:c r="V343" s="17" t="n"/>
      <ns0:c r="W343" s="17" t="n"/>
      <ns0:c r="X343" s="17" t="n"/>
      <ns0:c r="Y343" s="17" t="n"/>
      <ns0:c r="Z343" s="17" t="n"/>
      <ns0:c r="AA343" s="17" t="n"/>
      <ns0:c r="AB343" s="17" t="n"/>
      <ns0:c r="AC343" s="17" t="n"/>
      <ns0:c r="AD343" s="17" t="n"/>
      <ns0:c r="AE343" s="17" t="n"/>
      <ns0:c r="AF343" s="17" t="n"/>
      <ns0:c r="AG343" s="17" t="n"/>
    </ns0:row>
    <ns0:row r="344" ht="24" customHeight="1">
      <ns0:c r="D344" s="17" t="n"/>
      <ns0:c r="E344" s="17" t="n"/>
      <ns0:c r="F344" s="17" t="n"/>
      <ns0:c r="G344" s="17" t="n"/>
      <ns0:c r="H344" s="17" t="n"/>
      <ns0:c r="I344" s="17" t="n"/>
      <ns0:c r="J344" s="17" t="n"/>
      <ns0:c r="K344" s="17" t="n"/>
      <ns0:c r="L344" s="17" t="n"/>
      <ns0:c r="M344" s="17" t="n"/>
      <ns0:c r="N344" s="17" t="n"/>
      <ns0:c r="O344" s="17" t="n"/>
      <ns0:c r="P344" s="17" t="n"/>
      <ns0:c r="Q344" s="17" t="n"/>
      <ns0:c r="R344" s="17" t="n"/>
      <ns0:c r="S344" s="17" t="n"/>
      <ns0:c r="T344" s="17" t="n"/>
      <ns0:c r="U344" s="17" t="n"/>
      <ns0:c r="V344" s="17" t="n"/>
      <ns0:c r="W344" s="17" t="n"/>
      <ns0:c r="X344" s="17" t="n"/>
      <ns0:c r="Y344" s="17" t="n"/>
      <ns0:c r="Z344" s="17" t="n"/>
      <ns0:c r="AA344" s="17" t="n"/>
      <ns0:c r="AB344" s="17" t="n"/>
      <ns0:c r="AC344" s="17" t="n"/>
      <ns0:c r="AD344" s="17" t="n"/>
      <ns0:c r="AE344" s="17" t="n"/>
      <ns0:c r="AF344" s="17" t="n"/>
      <ns0:c r="AG344" s="17" t="n"/>
    </ns0:row>
    <ns0:row r="345" ht="24" customHeight="1">
      <ns0:c r="D345" s="17" t="n"/>
      <ns0:c r="E345" s="17" t="n"/>
      <ns0:c r="F345" s="17" t="n"/>
      <ns0:c r="G345" s="17" t="n"/>
      <ns0:c r="H345" s="17" t="n"/>
      <ns0:c r="I345" s="17" t="n"/>
      <ns0:c r="J345" s="17" t="n"/>
      <ns0:c r="K345" s="17" t="n"/>
      <ns0:c r="L345" s="17" t="n"/>
      <ns0:c r="M345" s="17" t="n"/>
      <ns0:c r="N345" s="17" t="n"/>
      <ns0:c r="O345" s="17" t="n"/>
      <ns0:c r="P345" s="17" t="n"/>
      <ns0:c r="Q345" s="17" t="n"/>
      <ns0:c r="R345" s="17" t="n"/>
      <ns0:c r="S345" s="17" t="n"/>
      <ns0:c r="T345" s="17" t="n"/>
      <ns0:c r="U345" s="17" t="n"/>
      <ns0:c r="V345" s="17" t="n"/>
      <ns0:c r="W345" s="17" t="n"/>
      <ns0:c r="X345" s="17" t="n"/>
      <ns0:c r="Y345" s="17" t="n"/>
      <ns0:c r="Z345" s="17" t="n"/>
      <ns0:c r="AA345" s="17" t="n"/>
      <ns0:c r="AB345" s="17" t="n"/>
      <ns0:c r="AC345" s="17" t="n"/>
      <ns0:c r="AD345" s="17" t="n"/>
      <ns0:c r="AE345" s="17" t="n"/>
      <ns0:c r="AF345" s="17" t="n"/>
      <ns0:c r="AG345" s="17" t="n"/>
    </ns0:row>
    <ns0:row r="346" ht="24" customHeight="1">
      <ns0:c r="D346" s="17" t="n"/>
      <ns0:c r="E346" s="17" t="n"/>
      <ns0:c r="F346" s="17" t="n"/>
      <ns0:c r="G346" s="17" t="n"/>
      <ns0:c r="H346" s="17" t="n"/>
      <ns0:c r="I346" s="17" t="n"/>
      <ns0:c r="J346" s="17" t="n"/>
      <ns0:c r="K346" s="17" t="n"/>
      <ns0:c r="L346" s="17" t="n"/>
      <ns0:c r="M346" s="17" t="n"/>
      <ns0:c r="N346" s="17" t="n"/>
      <ns0:c r="O346" s="17" t="n"/>
      <ns0:c r="P346" s="17" t="n"/>
      <ns0:c r="Q346" s="17" t="n"/>
      <ns0:c r="R346" s="17" t="n"/>
      <ns0:c r="S346" s="17" t="n"/>
      <ns0:c r="T346" s="17" t="n"/>
      <ns0:c r="U346" s="17" t="n"/>
      <ns0:c r="V346" s="17" t="n"/>
      <ns0:c r="W346" s="17" t="n"/>
      <ns0:c r="X346" s="17" t="n"/>
      <ns0:c r="Y346" s="17" t="n"/>
      <ns0:c r="Z346" s="17" t="n"/>
      <ns0:c r="AA346" s="17" t="n"/>
      <ns0:c r="AB346" s="17" t="n"/>
      <ns0:c r="AC346" s="17" t="n"/>
      <ns0:c r="AD346" s="17" t="n"/>
      <ns0:c r="AE346" s="17" t="n"/>
      <ns0:c r="AF346" s="17" t="n"/>
      <ns0:c r="AG346" s="17" t="n"/>
    </ns0:row>
    <ns0:row r="347" ht="24" customHeight="1">
      <ns0:c r="D347" s="17" t="n"/>
      <ns0:c r="E347" s="17" t="n"/>
      <ns0:c r="F347" s="17" t="n"/>
      <ns0:c r="G347" s="17" t="n"/>
      <ns0:c r="H347" s="17" t="n"/>
      <ns0:c r="I347" s="17" t="n"/>
      <ns0:c r="J347" s="17" t="n"/>
      <ns0:c r="K347" s="17" t="n"/>
      <ns0:c r="L347" s="17" t="n"/>
      <ns0:c r="M347" s="17" t="n"/>
      <ns0:c r="N347" s="17" t="n"/>
      <ns0:c r="O347" s="17" t="n"/>
      <ns0:c r="P347" s="17" t="n"/>
      <ns0:c r="Q347" s="17" t="n"/>
      <ns0:c r="R347" s="17" t="n"/>
      <ns0:c r="S347" s="17" t="n"/>
      <ns0:c r="T347" s="17" t="n"/>
      <ns0:c r="U347" s="17" t="n"/>
      <ns0:c r="V347" s="17" t="n"/>
      <ns0:c r="W347" s="17" t="n"/>
      <ns0:c r="X347" s="17" t="n"/>
      <ns0:c r="Y347" s="17" t="n"/>
      <ns0:c r="Z347" s="17" t="n"/>
      <ns0:c r="AA347" s="17" t="n"/>
      <ns0:c r="AB347" s="17" t="n"/>
      <ns0:c r="AC347" s="17" t="n"/>
      <ns0:c r="AD347" s="17" t="n"/>
      <ns0:c r="AE347" s="17" t="n"/>
      <ns0:c r="AF347" s="17" t="n"/>
      <ns0:c r="AG347" s="17" t="n"/>
    </ns0:row>
    <ns0:row r="348" ht="24" customHeight="1">
      <ns0:c r="D348" s="17" t="n"/>
      <ns0:c r="E348" s="17" t="n"/>
      <ns0:c r="F348" s="17" t="n"/>
      <ns0:c r="G348" s="17" t="n"/>
      <ns0:c r="H348" s="17" t="n"/>
      <ns0:c r="I348" s="17" t="n"/>
      <ns0:c r="J348" s="17" t="n"/>
      <ns0:c r="K348" s="17" t="n"/>
      <ns0:c r="L348" s="17" t="n"/>
      <ns0:c r="M348" s="17" t="n"/>
      <ns0:c r="N348" s="17" t="n"/>
      <ns0:c r="O348" s="17" t="n"/>
      <ns0:c r="P348" s="17" t="n"/>
      <ns0:c r="Q348" s="17" t="n"/>
      <ns0:c r="R348" s="17" t="n"/>
      <ns0:c r="S348" s="17" t="n"/>
      <ns0:c r="T348" s="17" t="n"/>
      <ns0:c r="U348" s="17" t="n"/>
      <ns0:c r="V348" s="17" t="n"/>
      <ns0:c r="W348" s="17" t="n"/>
      <ns0:c r="X348" s="17" t="n"/>
      <ns0:c r="Y348" s="17" t="n"/>
      <ns0:c r="Z348" s="17" t="n"/>
      <ns0:c r="AA348" s="17" t="n"/>
      <ns0:c r="AB348" s="17" t="n"/>
      <ns0:c r="AC348" s="17" t="n"/>
      <ns0:c r="AD348" s="17" t="n"/>
      <ns0:c r="AE348" s="17" t="n"/>
      <ns0:c r="AF348" s="17" t="n"/>
      <ns0:c r="AG348" s="17" t="n"/>
    </ns0:row>
    <ns0:row r="349" ht="24" customHeight="1">
      <ns0:c r="D349" s="17" t="n"/>
      <ns0:c r="E349" s="17" t="n"/>
      <ns0:c r="F349" s="17" t="n"/>
      <ns0:c r="G349" s="17" t="n"/>
      <ns0:c r="H349" s="17" t="n"/>
      <ns0:c r="I349" s="17" t="n"/>
      <ns0:c r="J349" s="17" t="n"/>
      <ns0:c r="K349" s="17" t="n"/>
      <ns0:c r="L349" s="17" t="n"/>
      <ns0:c r="M349" s="17" t="n"/>
      <ns0:c r="N349" s="17" t="n"/>
      <ns0:c r="O349" s="17" t="n"/>
      <ns0:c r="P349" s="17" t="n"/>
      <ns0:c r="Q349" s="17" t="n"/>
      <ns0:c r="R349" s="17" t="n"/>
      <ns0:c r="S349" s="17" t="n"/>
      <ns0:c r="T349" s="17" t="n"/>
      <ns0:c r="U349" s="17" t="n"/>
      <ns0:c r="V349" s="17" t="n"/>
      <ns0:c r="W349" s="17" t="n"/>
      <ns0:c r="X349" s="17" t="n"/>
      <ns0:c r="Y349" s="17" t="n"/>
      <ns0:c r="Z349" s="17" t="n"/>
      <ns0:c r="AA349" s="17" t="n"/>
      <ns0:c r="AB349" s="17" t="n"/>
      <ns0:c r="AC349" s="17" t="n"/>
      <ns0:c r="AD349" s="17" t="n"/>
      <ns0:c r="AE349" s="17" t="n"/>
      <ns0:c r="AF349" s="17" t="n"/>
      <ns0:c r="AG349" s="17" t="n"/>
    </ns0:row>
    <ns0:row r="350" ht="24" customHeight="1">
      <ns0:c r="D350" s="17" t="n"/>
      <ns0:c r="E350" s="17" t="n"/>
      <ns0:c r="F350" s="17" t="n"/>
      <ns0:c r="G350" s="17" t="n"/>
      <ns0:c r="H350" s="17" t="n"/>
      <ns0:c r="I350" s="17" t="n"/>
      <ns0:c r="J350" s="17" t="n"/>
      <ns0:c r="K350" s="17" t="n"/>
      <ns0:c r="L350" s="17" t="n"/>
      <ns0:c r="M350" s="17" t="n"/>
      <ns0:c r="N350" s="17" t="n"/>
      <ns0:c r="O350" s="17" t="n"/>
      <ns0:c r="P350" s="17" t="n"/>
      <ns0:c r="Q350" s="17" t="n"/>
      <ns0:c r="R350" s="17" t="n"/>
      <ns0:c r="S350" s="17" t="n"/>
      <ns0:c r="T350" s="17" t="n"/>
      <ns0:c r="U350" s="17" t="n"/>
      <ns0:c r="V350" s="17" t="n"/>
      <ns0:c r="W350" s="17" t="n"/>
      <ns0:c r="X350" s="17" t="n"/>
      <ns0:c r="Y350" s="17" t="n"/>
      <ns0:c r="Z350" s="17" t="n"/>
      <ns0:c r="AA350" s="17" t="n"/>
      <ns0:c r="AB350" s="17" t="n"/>
      <ns0:c r="AC350" s="17" t="n"/>
      <ns0:c r="AD350" s="17" t="n"/>
      <ns0:c r="AE350" s="17" t="n"/>
      <ns0:c r="AF350" s="17" t="n"/>
      <ns0:c r="AG350" s="17" t="n"/>
    </ns0:row>
    <ns0:row r="351" ht="24" customHeight="1">
      <ns0:c r="D351" s="17" t="n"/>
      <ns0:c r="E351" s="17" t="n"/>
      <ns0:c r="F351" s="17" t="n"/>
      <ns0:c r="G351" s="17" t="n"/>
      <ns0:c r="H351" s="17" t="n"/>
      <ns0:c r="I351" s="17" t="n"/>
      <ns0:c r="J351" s="17" t="n"/>
      <ns0:c r="K351" s="17" t="n"/>
      <ns0:c r="L351" s="17" t="n"/>
      <ns0:c r="M351" s="17" t="n"/>
      <ns0:c r="N351" s="17" t="n"/>
      <ns0:c r="O351" s="17" t="n"/>
      <ns0:c r="P351" s="17" t="n"/>
      <ns0:c r="Q351" s="17" t="n"/>
      <ns0:c r="R351" s="17" t="n"/>
      <ns0:c r="S351" s="17" t="n"/>
      <ns0:c r="T351" s="17" t="n"/>
      <ns0:c r="U351" s="17" t="n"/>
      <ns0:c r="V351" s="17" t="n"/>
      <ns0:c r="W351" s="17" t="n"/>
      <ns0:c r="X351" s="17" t="n"/>
      <ns0:c r="Y351" s="17" t="n"/>
      <ns0:c r="Z351" s="17" t="n"/>
      <ns0:c r="AA351" s="17" t="n"/>
      <ns0:c r="AB351" s="17" t="n"/>
      <ns0:c r="AC351" s="17" t="n"/>
      <ns0:c r="AD351" s="17" t="n"/>
      <ns0:c r="AE351" s="17" t="n"/>
      <ns0:c r="AF351" s="17" t="n"/>
      <ns0:c r="AG351" s="17" t="n"/>
    </ns0:row>
    <ns0:row r="352" ht="24" customHeight="1">
      <ns0:c r="D352" s="17" t="n"/>
      <ns0:c r="E352" s="17" t="n"/>
      <ns0:c r="F352" s="17" t="n"/>
      <ns0:c r="G352" s="17" t="n"/>
      <ns0:c r="H352" s="17" t="n"/>
      <ns0:c r="I352" s="17" t="n"/>
      <ns0:c r="J352" s="17" t="n"/>
      <ns0:c r="K352" s="17" t="n"/>
      <ns0:c r="L352" s="17" t="n"/>
      <ns0:c r="M352" s="17" t="n"/>
      <ns0:c r="N352" s="17" t="n"/>
      <ns0:c r="O352" s="17" t="n"/>
      <ns0:c r="P352" s="17" t="n"/>
      <ns0:c r="Q352" s="17" t="n"/>
      <ns0:c r="R352" s="17" t="n"/>
      <ns0:c r="S352" s="17" t="n"/>
      <ns0:c r="T352" s="17" t="n"/>
      <ns0:c r="U352" s="17" t="n"/>
      <ns0:c r="V352" s="17" t="n"/>
      <ns0:c r="W352" s="17" t="n"/>
      <ns0:c r="X352" s="17" t="n"/>
      <ns0:c r="Y352" s="17" t="n"/>
      <ns0:c r="Z352" s="17" t="n"/>
      <ns0:c r="AA352" s="17" t="n"/>
      <ns0:c r="AB352" s="17" t="n"/>
      <ns0:c r="AC352" s="17" t="n"/>
      <ns0:c r="AD352" s="17" t="n"/>
      <ns0:c r="AE352" s="17" t="n"/>
      <ns0:c r="AF352" s="17" t="n"/>
      <ns0:c r="AG352" s="17" t="n"/>
    </ns0:row>
    <ns0:row r="353" ht="24" customHeight="1">
      <ns0:c r="D353" s="17" t="n"/>
      <ns0:c r="E353" s="17" t="n"/>
      <ns0:c r="F353" s="17" t="n"/>
      <ns0:c r="G353" s="17" t="n"/>
      <ns0:c r="H353" s="17" t="n"/>
      <ns0:c r="I353" s="17" t="n"/>
      <ns0:c r="J353" s="17" t="n"/>
      <ns0:c r="K353" s="17" t="n"/>
      <ns0:c r="L353" s="17" t="n"/>
      <ns0:c r="M353" s="17" t="n"/>
      <ns0:c r="N353" s="17" t="n"/>
      <ns0:c r="O353" s="17" t="n"/>
      <ns0:c r="P353" s="17" t="n"/>
      <ns0:c r="Q353" s="17" t="n"/>
      <ns0:c r="R353" s="17" t="n"/>
      <ns0:c r="S353" s="17" t="n"/>
      <ns0:c r="T353" s="17" t="n"/>
      <ns0:c r="U353" s="17" t="n"/>
      <ns0:c r="V353" s="17" t="n"/>
      <ns0:c r="W353" s="17" t="n"/>
      <ns0:c r="X353" s="17" t="n"/>
      <ns0:c r="Y353" s="17" t="n"/>
      <ns0:c r="Z353" s="17" t="n"/>
      <ns0:c r="AA353" s="17" t="n"/>
      <ns0:c r="AB353" s="17" t="n"/>
      <ns0:c r="AC353" s="17" t="n"/>
      <ns0:c r="AD353" s="17" t="n"/>
      <ns0:c r="AE353" s="17" t="n"/>
      <ns0:c r="AF353" s="17" t="n"/>
      <ns0:c r="AG353" s="17" t="n"/>
    </ns0:row>
    <ns0:row r="354" ht="24" customHeight="1">
      <ns0:c r="D354" s="17" t="n"/>
      <ns0:c r="E354" s="17" t="n"/>
      <ns0:c r="F354" s="17" t="n"/>
      <ns0:c r="G354" s="17" t="n"/>
      <ns0:c r="H354" s="17" t="n"/>
      <ns0:c r="I354" s="17" t="n"/>
      <ns0:c r="J354" s="17" t="n"/>
      <ns0:c r="K354" s="17" t="n"/>
      <ns0:c r="L354" s="17" t="n"/>
      <ns0:c r="M354" s="17" t="n"/>
      <ns0:c r="N354" s="17" t="n"/>
      <ns0:c r="O354" s="17" t="n"/>
      <ns0:c r="P354" s="17" t="n"/>
      <ns0:c r="Q354" s="17" t="n"/>
      <ns0:c r="R354" s="17" t="n"/>
      <ns0:c r="S354" s="17" t="n"/>
      <ns0:c r="T354" s="17" t="n"/>
      <ns0:c r="U354" s="17" t="n"/>
      <ns0:c r="V354" s="17" t="n"/>
      <ns0:c r="W354" s="17" t="n"/>
      <ns0:c r="X354" s="17" t="n"/>
      <ns0:c r="Y354" s="17" t="n"/>
      <ns0:c r="Z354" s="17" t="n"/>
      <ns0:c r="AA354" s="17" t="n"/>
      <ns0:c r="AB354" s="17" t="n"/>
      <ns0:c r="AC354" s="17" t="n"/>
      <ns0:c r="AD354" s="17" t="n"/>
      <ns0:c r="AE354" s="17" t="n"/>
      <ns0:c r="AF354" s="17" t="n"/>
      <ns0:c r="AG354" s="17" t="n"/>
    </ns0:row>
    <ns0:row r="355" ht="24" customHeight="1">
      <ns0:c r="D355" s="17" t="n"/>
      <ns0:c r="E355" s="17" t="n"/>
      <ns0:c r="F355" s="17" t="n"/>
      <ns0:c r="G355" s="17" t="n"/>
      <ns0:c r="H355" s="17" t="n"/>
      <ns0:c r="I355" s="17" t="n"/>
      <ns0:c r="J355" s="17" t="n"/>
      <ns0:c r="K355" s="17" t="n"/>
      <ns0:c r="L355" s="17" t="n"/>
      <ns0:c r="M355" s="17" t="n"/>
      <ns0:c r="N355" s="17" t="n"/>
      <ns0:c r="O355" s="17" t="n"/>
      <ns0:c r="P355" s="17" t="n"/>
      <ns0:c r="Q355" s="17" t="n"/>
      <ns0:c r="R355" s="17" t="n"/>
      <ns0:c r="S355" s="17" t="n"/>
      <ns0:c r="T355" s="17" t="n"/>
      <ns0:c r="U355" s="17" t="n"/>
      <ns0:c r="V355" s="17" t="n"/>
      <ns0:c r="W355" s="17" t="n"/>
      <ns0:c r="X355" s="17" t="n"/>
      <ns0:c r="Y355" s="17" t="n"/>
      <ns0:c r="Z355" s="17" t="n"/>
      <ns0:c r="AA355" s="17" t="n"/>
      <ns0:c r="AB355" s="17" t="n"/>
      <ns0:c r="AC355" s="17" t="n"/>
      <ns0:c r="AD355" s="17" t="n"/>
      <ns0:c r="AE355" s="17" t="n"/>
      <ns0:c r="AF355" s="17" t="n"/>
      <ns0:c r="AG355" s="17" t="n"/>
    </ns0:row>
    <ns0:row r="356" ht="24" customHeight="1">
      <ns0:c r="D356" s="17" t="n"/>
      <ns0:c r="E356" s="17" t="n"/>
      <ns0:c r="F356" s="17" t="n"/>
      <ns0:c r="G356" s="17" t="n"/>
      <ns0:c r="H356" s="17" t="n"/>
      <ns0:c r="I356" s="17" t="n"/>
      <ns0:c r="J356" s="17" t="n"/>
      <ns0:c r="K356" s="17" t="n"/>
      <ns0:c r="L356" s="17" t="n"/>
      <ns0:c r="M356" s="17" t="n"/>
      <ns0:c r="N356" s="17" t="n"/>
      <ns0:c r="O356" s="17" t="n"/>
      <ns0:c r="P356" s="17" t="n"/>
      <ns0:c r="Q356" s="17" t="n"/>
      <ns0:c r="R356" s="17" t="n"/>
      <ns0:c r="S356" s="17" t="n"/>
      <ns0:c r="T356" s="17" t="n"/>
      <ns0:c r="U356" s="17" t="n"/>
      <ns0:c r="V356" s="17" t="n"/>
      <ns0:c r="W356" s="17" t="n"/>
      <ns0:c r="X356" s="17" t="n"/>
      <ns0:c r="Y356" s="17" t="n"/>
      <ns0:c r="Z356" s="17" t="n"/>
      <ns0:c r="AA356" s="17" t="n"/>
      <ns0:c r="AB356" s="17" t="n"/>
      <ns0:c r="AC356" s="17" t="n"/>
      <ns0:c r="AD356" s="17" t="n"/>
      <ns0:c r="AE356" s="17" t="n"/>
      <ns0:c r="AF356" s="17" t="n"/>
      <ns0:c r="AG356" s="17" t="n"/>
    </ns0:row>
    <ns0:row r="357" ht="24" customHeight="1">
      <ns0:c r="D357" s="17" t="n"/>
      <ns0:c r="E357" s="17" t="n"/>
      <ns0:c r="F357" s="17" t="n"/>
      <ns0:c r="G357" s="17" t="n"/>
      <ns0:c r="H357" s="17" t="n"/>
      <ns0:c r="I357" s="17" t="n"/>
      <ns0:c r="J357" s="17" t="n"/>
      <ns0:c r="K357" s="17" t="n"/>
      <ns0:c r="L357" s="17" t="n"/>
      <ns0:c r="M357" s="17" t="n"/>
      <ns0:c r="N357" s="17" t="n"/>
      <ns0:c r="O357" s="17" t="n"/>
      <ns0:c r="P357" s="17" t="n"/>
      <ns0:c r="Q357" s="17" t="n"/>
      <ns0:c r="R357" s="17" t="n"/>
      <ns0:c r="S357" s="17" t="n"/>
      <ns0:c r="T357" s="17" t="n"/>
      <ns0:c r="U357" s="17" t="n"/>
      <ns0:c r="V357" s="17" t="n"/>
      <ns0:c r="W357" s="17" t="n"/>
      <ns0:c r="X357" s="17" t="n"/>
      <ns0:c r="Y357" s="17" t="n"/>
      <ns0:c r="Z357" s="17" t="n"/>
      <ns0:c r="AA357" s="17" t="n"/>
      <ns0:c r="AB357" s="17" t="n"/>
      <ns0:c r="AC357" s="17" t="n"/>
      <ns0:c r="AD357" s="17" t="n"/>
      <ns0:c r="AE357" s="17" t="n"/>
      <ns0:c r="AF357" s="17" t="n"/>
      <ns0:c r="AG357" s="17" t="n"/>
    </ns0:row>
    <ns0:row r="358" ht="24" customHeight="1">
      <ns0:c r="D358" s="17" t="n"/>
      <ns0:c r="E358" s="17" t="n"/>
      <ns0:c r="F358" s="17" t="n"/>
      <ns0:c r="G358" s="17" t="n"/>
      <ns0:c r="H358" s="17" t="n"/>
      <ns0:c r="I358" s="17" t="n"/>
      <ns0:c r="J358" s="17" t="n"/>
      <ns0:c r="K358" s="17" t="n"/>
      <ns0:c r="L358" s="17" t="n"/>
      <ns0:c r="M358" s="17" t="n"/>
      <ns0:c r="N358" s="17" t="n"/>
      <ns0:c r="O358" s="17" t="n"/>
      <ns0:c r="P358" s="17" t="n"/>
      <ns0:c r="Q358" s="17" t="n"/>
      <ns0:c r="R358" s="17" t="n"/>
      <ns0:c r="S358" s="17" t="n"/>
      <ns0:c r="T358" s="17" t="n"/>
      <ns0:c r="U358" s="17" t="n"/>
      <ns0:c r="V358" s="17" t="n"/>
      <ns0:c r="W358" s="17" t="n"/>
      <ns0:c r="X358" s="17" t="n"/>
      <ns0:c r="Y358" s="17" t="n"/>
      <ns0:c r="Z358" s="17" t="n"/>
      <ns0:c r="AA358" s="17" t="n"/>
      <ns0:c r="AB358" s="17" t="n"/>
      <ns0:c r="AC358" s="17" t="n"/>
      <ns0:c r="AD358" s="17" t="n"/>
      <ns0:c r="AE358" s="17" t="n"/>
      <ns0:c r="AF358" s="17" t="n"/>
      <ns0:c r="AG358" s="17" t="n"/>
    </ns0:row>
    <ns0:row r="359" ht="24" customHeight="1">
      <ns0:c r="D359" s="17" t="n"/>
      <ns0:c r="E359" s="17" t="n"/>
      <ns0:c r="F359" s="17" t="n"/>
      <ns0:c r="G359" s="17" t="n"/>
      <ns0:c r="H359" s="17" t="n"/>
      <ns0:c r="I359" s="17" t="n"/>
      <ns0:c r="J359" s="17" t="n"/>
      <ns0:c r="K359" s="17" t="n"/>
      <ns0:c r="L359" s="17" t="n"/>
      <ns0:c r="M359" s="17" t="n"/>
      <ns0:c r="N359" s="17" t="n"/>
      <ns0:c r="O359" s="17" t="n"/>
      <ns0:c r="P359" s="17" t="n"/>
      <ns0:c r="Q359" s="17" t="n"/>
      <ns0:c r="R359" s="17" t="n"/>
      <ns0:c r="S359" s="17" t="n"/>
      <ns0:c r="T359" s="17" t="n"/>
      <ns0:c r="U359" s="17" t="n"/>
      <ns0:c r="V359" s="17" t="n"/>
      <ns0:c r="W359" s="17" t="n"/>
      <ns0:c r="X359" s="17" t="n"/>
      <ns0:c r="Y359" s="17" t="n"/>
      <ns0:c r="Z359" s="17" t="n"/>
      <ns0:c r="AA359" s="17" t="n"/>
      <ns0:c r="AB359" s="17" t="n"/>
      <ns0:c r="AC359" s="17" t="n"/>
      <ns0:c r="AD359" s="17" t="n"/>
      <ns0:c r="AE359" s="17" t="n"/>
      <ns0:c r="AF359" s="17" t="n"/>
      <ns0:c r="AG359" s="17" t="n"/>
    </ns0:row>
    <ns0:row r="360" ht="24" customHeight="1">
      <ns0:c r="D360" s="17" t="n"/>
      <ns0:c r="E360" s="17" t="n"/>
      <ns0:c r="F360" s="17" t="n"/>
      <ns0:c r="G360" s="17" t="n"/>
      <ns0:c r="H360" s="17" t="n"/>
      <ns0:c r="I360" s="17" t="n"/>
      <ns0:c r="J360" s="17" t="n"/>
      <ns0:c r="K360" s="17" t="n"/>
      <ns0:c r="L360" s="17" t="n"/>
      <ns0:c r="M360" s="17" t="n"/>
      <ns0:c r="N360" s="17" t="n"/>
      <ns0:c r="O360" s="17" t="n"/>
      <ns0:c r="P360" s="17" t="n"/>
      <ns0:c r="Q360" s="17" t="n"/>
      <ns0:c r="R360" s="17" t="n"/>
      <ns0:c r="S360" s="17" t="n"/>
      <ns0:c r="T360" s="17" t="n"/>
      <ns0:c r="U360" s="17" t="n"/>
      <ns0:c r="V360" s="17" t="n"/>
      <ns0:c r="W360" s="17" t="n"/>
      <ns0:c r="X360" s="17" t="n"/>
      <ns0:c r="Y360" s="17" t="n"/>
      <ns0:c r="Z360" s="17" t="n"/>
      <ns0:c r="AA360" s="17" t="n"/>
      <ns0:c r="AB360" s="17" t="n"/>
      <ns0:c r="AC360" s="17" t="n"/>
      <ns0:c r="AD360" s="17" t="n"/>
      <ns0:c r="AE360" s="17" t="n"/>
      <ns0:c r="AF360" s="17" t="n"/>
      <ns0:c r="AG360" s="17" t="n"/>
    </ns0:row>
    <ns0:row r="361" ht="24" customHeight="1">
      <ns0:c r="D361" s="17" t="n"/>
      <ns0:c r="E361" s="17" t="n"/>
      <ns0:c r="F361" s="17" t="n"/>
      <ns0:c r="G361" s="17" t="n"/>
      <ns0:c r="H361" s="17" t="n"/>
      <ns0:c r="I361" s="17" t="n"/>
      <ns0:c r="J361" s="17" t="n"/>
      <ns0:c r="K361" s="17" t="n"/>
      <ns0:c r="L361" s="17" t="n"/>
      <ns0:c r="M361" s="17" t="n"/>
      <ns0:c r="N361" s="17" t="n"/>
      <ns0:c r="O361" s="17" t="n"/>
      <ns0:c r="P361" s="17" t="n"/>
      <ns0:c r="Q361" s="17" t="n"/>
      <ns0:c r="R361" s="17" t="n"/>
      <ns0:c r="S361" s="17" t="n"/>
      <ns0:c r="T361" s="17" t="n"/>
      <ns0:c r="U361" s="17" t="n"/>
      <ns0:c r="V361" s="17" t="n"/>
      <ns0:c r="W361" s="17" t="n"/>
      <ns0:c r="X361" s="17" t="n"/>
      <ns0:c r="Y361" s="17" t="n"/>
      <ns0:c r="Z361" s="17" t="n"/>
      <ns0:c r="AA361" s="17" t="n"/>
      <ns0:c r="AB361" s="17" t="n"/>
      <ns0:c r="AC361" s="17" t="n"/>
      <ns0:c r="AD361" s="17" t="n"/>
      <ns0:c r="AE361" s="17" t="n"/>
      <ns0:c r="AF361" s="17" t="n"/>
      <ns0:c r="AG361" s="17" t="n"/>
    </ns0:row>
    <ns0:row r="362" ht="24" customHeight="1">
      <ns0:c r="D362" s="17" t="n"/>
      <ns0:c r="E362" s="17" t="n"/>
      <ns0:c r="F362" s="17" t="n"/>
      <ns0:c r="G362" s="17" t="n"/>
      <ns0:c r="H362" s="17" t="n"/>
      <ns0:c r="I362" s="17" t="n"/>
      <ns0:c r="J362" s="17" t="n"/>
      <ns0:c r="K362" s="17" t="n"/>
      <ns0:c r="L362" s="17" t="n"/>
      <ns0:c r="M362" s="17" t="n"/>
      <ns0:c r="N362" s="17" t="n"/>
      <ns0:c r="O362" s="17" t="n"/>
      <ns0:c r="P362" s="17" t="n"/>
      <ns0:c r="Q362" s="17" t="n"/>
      <ns0:c r="R362" s="17" t="n"/>
      <ns0:c r="S362" s="17" t="n"/>
      <ns0:c r="T362" s="17" t="n"/>
      <ns0:c r="U362" s="17" t="n"/>
      <ns0:c r="V362" s="17" t="n"/>
      <ns0:c r="W362" s="17" t="n"/>
      <ns0:c r="X362" s="17" t="n"/>
      <ns0:c r="Y362" s="17" t="n"/>
      <ns0:c r="Z362" s="17" t="n"/>
      <ns0:c r="AA362" s="17" t="n"/>
      <ns0:c r="AB362" s="17" t="n"/>
      <ns0:c r="AC362" s="17" t="n"/>
      <ns0:c r="AD362" s="17" t="n"/>
      <ns0:c r="AE362" s="17" t="n"/>
      <ns0:c r="AF362" s="17" t="n"/>
      <ns0:c r="AG362" s="17" t="n"/>
    </ns0:row>
    <ns0:row r="363" ht="24" customHeight="1">
      <ns0:c r="D363" s="17" t="n"/>
      <ns0:c r="E363" s="17" t="n"/>
      <ns0:c r="F363" s="17" t="n"/>
      <ns0:c r="G363" s="17" t="n"/>
      <ns0:c r="H363" s="17" t="n"/>
      <ns0:c r="I363" s="17" t="n"/>
      <ns0:c r="J363" s="17" t="n"/>
      <ns0:c r="K363" s="17" t="n"/>
      <ns0:c r="L363" s="17" t="n"/>
      <ns0:c r="M363" s="17" t="n"/>
      <ns0:c r="N363" s="17" t="n"/>
      <ns0:c r="O363" s="17" t="n"/>
      <ns0:c r="P363" s="17" t="n"/>
      <ns0:c r="Q363" s="17" t="n"/>
      <ns0:c r="R363" s="17" t="n"/>
      <ns0:c r="S363" s="17" t="n"/>
      <ns0:c r="T363" s="17" t="n"/>
      <ns0:c r="U363" s="17" t="n"/>
      <ns0:c r="V363" s="17" t="n"/>
      <ns0:c r="W363" s="17" t="n"/>
      <ns0:c r="X363" s="17" t="n"/>
      <ns0:c r="Y363" s="17" t="n"/>
      <ns0:c r="Z363" s="17" t="n"/>
      <ns0:c r="AA363" s="17" t="n"/>
      <ns0:c r="AB363" s="17" t="n"/>
      <ns0:c r="AC363" s="17" t="n"/>
      <ns0:c r="AD363" s="17" t="n"/>
      <ns0:c r="AE363" s="17" t="n"/>
      <ns0:c r="AF363" s="17" t="n"/>
      <ns0:c r="AG363" s="17" t="n"/>
    </ns0:row>
    <ns0:row r="364" ht="24" customHeight="1">
      <ns0:c r="D364" s="17" t="n"/>
      <ns0:c r="E364" s="17" t="n"/>
      <ns0:c r="F364" s="17" t="n"/>
      <ns0:c r="G364" s="17" t="n"/>
      <ns0:c r="H364" s="17" t="n"/>
      <ns0:c r="I364" s="17" t="n"/>
      <ns0:c r="J364" s="17" t="n"/>
      <ns0:c r="K364" s="17" t="n"/>
      <ns0:c r="L364" s="17" t="n"/>
      <ns0:c r="M364" s="17" t="n"/>
      <ns0:c r="N364" s="17" t="n"/>
      <ns0:c r="O364" s="17" t="n"/>
      <ns0:c r="P364" s="17" t="n"/>
      <ns0:c r="Q364" s="17" t="n"/>
      <ns0:c r="R364" s="17" t="n"/>
      <ns0:c r="S364" s="17" t="n"/>
      <ns0:c r="T364" s="17" t="n"/>
      <ns0:c r="U364" s="17" t="n"/>
      <ns0:c r="V364" s="17" t="n"/>
      <ns0:c r="W364" s="17" t="n"/>
      <ns0:c r="X364" s="17" t="n"/>
      <ns0:c r="Y364" s="17" t="n"/>
      <ns0:c r="Z364" s="17" t="n"/>
      <ns0:c r="AA364" s="17" t="n"/>
      <ns0:c r="AB364" s="17" t="n"/>
      <ns0:c r="AC364" s="17" t="n"/>
      <ns0:c r="AD364" s="17" t="n"/>
      <ns0:c r="AE364" s="17" t="n"/>
      <ns0:c r="AF364" s="17" t="n"/>
      <ns0:c r="AG364" s="17" t="n"/>
    </ns0:row>
    <ns0:row r="365" ht="24" customHeight="1">
      <ns0:c r="D365" s="17" t="n"/>
      <ns0:c r="E365" s="17" t="n"/>
      <ns0:c r="F365" s="17" t="n"/>
      <ns0:c r="G365" s="17" t="n"/>
      <ns0:c r="H365" s="17" t="n"/>
      <ns0:c r="I365" s="17" t="n"/>
      <ns0:c r="J365" s="17" t="n"/>
      <ns0:c r="K365" s="17" t="n"/>
      <ns0:c r="L365" s="17" t="n"/>
      <ns0:c r="M365" s="17" t="n"/>
      <ns0:c r="N365" s="17" t="n"/>
      <ns0:c r="O365" s="17" t="n"/>
      <ns0:c r="P365" s="17" t="n"/>
      <ns0:c r="Q365" s="17" t="n"/>
      <ns0:c r="R365" s="17" t="n"/>
      <ns0:c r="S365" s="17" t="n"/>
      <ns0:c r="T365" s="17" t="n"/>
      <ns0:c r="U365" s="17" t="n"/>
      <ns0:c r="V365" s="17" t="n"/>
      <ns0:c r="W365" s="17" t="n"/>
      <ns0:c r="X365" s="17" t="n"/>
      <ns0:c r="Y365" s="17" t="n"/>
      <ns0:c r="Z365" s="17" t="n"/>
      <ns0:c r="AA365" s="17" t="n"/>
      <ns0:c r="AB365" s="17" t="n"/>
      <ns0:c r="AC365" s="17" t="n"/>
      <ns0:c r="AD365" s="17" t="n"/>
      <ns0:c r="AE365" s="17" t="n"/>
      <ns0:c r="AF365" s="17" t="n"/>
      <ns0:c r="AG365" s="17" t="n"/>
    </ns0:row>
    <ns0:row r="366" ht="24" customHeight="1">
      <ns0:c r="D366" s="17" t="n"/>
      <ns0:c r="E366" s="17" t="n"/>
      <ns0:c r="F366" s="17" t="n"/>
      <ns0:c r="G366" s="17" t="n"/>
      <ns0:c r="H366" s="17" t="n"/>
      <ns0:c r="I366" s="17" t="n"/>
      <ns0:c r="J366" s="17" t="n"/>
      <ns0:c r="K366" s="17" t="n"/>
      <ns0:c r="L366" s="17" t="n"/>
      <ns0:c r="M366" s="17" t="n"/>
      <ns0:c r="N366" s="17" t="n"/>
      <ns0:c r="O366" s="17" t="n"/>
      <ns0:c r="P366" s="17" t="n"/>
      <ns0:c r="Q366" s="17" t="n"/>
      <ns0:c r="R366" s="17" t="n"/>
      <ns0:c r="S366" s="17" t="n"/>
      <ns0:c r="T366" s="17" t="n"/>
      <ns0:c r="U366" s="17" t="n"/>
      <ns0:c r="V366" s="17" t="n"/>
      <ns0:c r="W366" s="17" t="n"/>
      <ns0:c r="X366" s="17" t="n"/>
      <ns0:c r="Y366" s="17" t="n"/>
      <ns0:c r="Z366" s="17" t="n"/>
      <ns0:c r="AA366" s="17" t="n"/>
      <ns0:c r="AB366" s="17" t="n"/>
      <ns0:c r="AC366" s="17" t="n"/>
      <ns0:c r="AD366" s="17" t="n"/>
      <ns0:c r="AE366" s="17" t="n"/>
      <ns0:c r="AF366" s="17" t="n"/>
      <ns0:c r="AG366" s="17" t="n"/>
    </ns0:row>
    <ns0:row r="367" ht="24" customHeight="1">
      <ns0:c r="D367" s="17" t="n"/>
      <ns0:c r="E367" s="17" t="n"/>
      <ns0:c r="F367" s="17" t="n"/>
      <ns0:c r="G367" s="17" t="n"/>
      <ns0:c r="H367" s="17" t="n"/>
      <ns0:c r="I367" s="17" t="n"/>
      <ns0:c r="J367" s="17" t="n"/>
      <ns0:c r="K367" s="17" t="n"/>
      <ns0:c r="L367" s="17" t="n"/>
      <ns0:c r="M367" s="17" t="n"/>
      <ns0:c r="N367" s="17" t="n"/>
      <ns0:c r="O367" s="17" t="n"/>
      <ns0:c r="P367" s="17" t="n"/>
      <ns0:c r="Q367" s="17" t="n"/>
      <ns0:c r="R367" s="17" t="n"/>
      <ns0:c r="S367" s="17" t="n"/>
      <ns0:c r="T367" s="17" t="n"/>
      <ns0:c r="U367" s="17" t="n"/>
      <ns0:c r="V367" s="17" t="n"/>
      <ns0:c r="W367" s="17" t="n"/>
      <ns0:c r="X367" s="17" t="n"/>
      <ns0:c r="Y367" s="17" t="n"/>
      <ns0:c r="Z367" s="17" t="n"/>
      <ns0:c r="AA367" s="17" t="n"/>
      <ns0:c r="AB367" s="17" t="n"/>
      <ns0:c r="AC367" s="17" t="n"/>
      <ns0:c r="AD367" s="17" t="n"/>
      <ns0:c r="AE367" s="17" t="n"/>
      <ns0:c r="AF367" s="17" t="n"/>
      <ns0:c r="AG367" s="17" t="n"/>
    </ns0:row>
    <ns0:row r="368" ht="24" customHeight="1">
      <ns0:c r="D368" s="17" t="n"/>
      <ns0:c r="E368" s="17" t="n"/>
      <ns0:c r="F368" s="17" t="n"/>
      <ns0:c r="G368" s="17" t="n"/>
      <ns0:c r="H368" s="17" t="n"/>
      <ns0:c r="I368" s="17" t="n"/>
      <ns0:c r="J368" s="17" t="n"/>
      <ns0:c r="K368" s="17" t="n"/>
      <ns0:c r="L368" s="17" t="n"/>
      <ns0:c r="M368" s="17" t="n"/>
      <ns0:c r="N368" s="17" t="n"/>
      <ns0:c r="O368" s="17" t="n"/>
      <ns0:c r="P368" s="17" t="n"/>
      <ns0:c r="Q368" s="17" t="n"/>
      <ns0:c r="R368" s="17" t="n"/>
      <ns0:c r="S368" s="17" t="n"/>
      <ns0:c r="T368" s="17" t="n"/>
      <ns0:c r="U368" s="17" t="n"/>
      <ns0:c r="V368" s="17" t="n"/>
      <ns0:c r="W368" s="17" t="n"/>
      <ns0:c r="X368" s="17" t="n"/>
      <ns0:c r="Y368" s="17" t="n"/>
      <ns0:c r="Z368" s="17" t="n"/>
      <ns0:c r="AA368" s="17" t="n"/>
      <ns0:c r="AB368" s="17" t="n"/>
      <ns0:c r="AC368" s="17" t="n"/>
      <ns0:c r="AD368" s="17" t="n"/>
      <ns0:c r="AE368" s="17" t="n"/>
      <ns0:c r="AF368" s="17" t="n"/>
      <ns0:c r="AG368" s="17" t="n"/>
    </ns0:row>
    <ns0:row r="369" ht="24" customHeight="1">
      <ns0:c r="D369" s="17" t="n"/>
      <ns0:c r="E369" s="17" t="n"/>
      <ns0:c r="F369" s="17" t="n"/>
      <ns0:c r="G369" s="17" t="n"/>
      <ns0:c r="H369" s="17" t="n"/>
      <ns0:c r="I369" s="17" t="n"/>
      <ns0:c r="J369" s="17" t="n"/>
      <ns0:c r="K369" s="17" t="n"/>
      <ns0:c r="L369" s="17" t="n"/>
      <ns0:c r="M369" s="17" t="n"/>
      <ns0:c r="N369" s="17" t="n"/>
      <ns0:c r="O369" s="17" t="n"/>
      <ns0:c r="P369" s="17" t="n"/>
      <ns0:c r="Q369" s="17" t="n"/>
      <ns0:c r="R369" s="17" t="n"/>
      <ns0:c r="S369" s="17" t="n"/>
      <ns0:c r="T369" s="17" t="n"/>
      <ns0:c r="U369" s="17" t="n"/>
      <ns0:c r="V369" s="17" t="n"/>
      <ns0:c r="W369" s="17" t="n"/>
      <ns0:c r="X369" s="17" t="n"/>
      <ns0:c r="Y369" s="17" t="n"/>
      <ns0:c r="Z369" s="17" t="n"/>
      <ns0:c r="AA369" s="17" t="n"/>
      <ns0:c r="AB369" s="17" t="n"/>
      <ns0:c r="AC369" s="17" t="n"/>
      <ns0:c r="AD369" s="17" t="n"/>
      <ns0:c r="AE369" s="17" t="n"/>
      <ns0:c r="AF369" s="17" t="n"/>
      <ns0:c r="AG369" s="17" t="n"/>
    </ns0:row>
    <ns0:row r="370" ht="24" customHeight="1">
      <ns0:c r="D370" s="17" t="n"/>
      <ns0:c r="E370" s="17" t="n"/>
      <ns0:c r="F370" s="17" t="n"/>
      <ns0:c r="G370" s="17" t="n"/>
      <ns0:c r="H370" s="17" t="n"/>
      <ns0:c r="I370" s="17" t="n"/>
      <ns0:c r="J370" s="17" t="n"/>
      <ns0:c r="K370" s="17" t="n"/>
      <ns0:c r="L370" s="17" t="n"/>
      <ns0:c r="M370" s="17" t="n"/>
      <ns0:c r="N370" s="17" t="n"/>
      <ns0:c r="O370" s="17" t="n"/>
      <ns0:c r="P370" s="17" t="n"/>
      <ns0:c r="Q370" s="17" t="n"/>
      <ns0:c r="R370" s="17" t="n"/>
      <ns0:c r="S370" s="17" t="n"/>
      <ns0:c r="T370" s="17" t="n"/>
      <ns0:c r="U370" s="17" t="n"/>
      <ns0:c r="V370" s="17" t="n"/>
      <ns0:c r="W370" s="17" t="n"/>
      <ns0:c r="X370" s="17" t="n"/>
      <ns0:c r="Y370" s="17" t="n"/>
      <ns0:c r="Z370" s="17" t="n"/>
      <ns0:c r="AA370" s="17" t="n"/>
      <ns0:c r="AB370" s="17" t="n"/>
      <ns0:c r="AC370" s="17" t="n"/>
      <ns0:c r="AD370" s="17" t="n"/>
      <ns0:c r="AE370" s="17" t="n"/>
      <ns0:c r="AF370" s="17" t="n"/>
      <ns0:c r="AG370" s="17" t="n"/>
    </ns0:row>
    <ns0:row r="371" ht="24" customHeight="1">
      <ns0:c r="D371" s="17" t="n"/>
      <ns0:c r="E371" s="17" t="n"/>
      <ns0:c r="F371" s="17" t="n"/>
      <ns0:c r="G371" s="17" t="n"/>
      <ns0:c r="H371" s="17" t="n"/>
      <ns0:c r="I371" s="17" t="n"/>
      <ns0:c r="J371" s="17" t="n"/>
      <ns0:c r="K371" s="17" t="n"/>
      <ns0:c r="L371" s="17" t="n"/>
      <ns0:c r="M371" s="17" t="n"/>
      <ns0:c r="N371" s="17" t="n"/>
      <ns0:c r="O371" s="17" t="n"/>
      <ns0:c r="P371" s="17" t="n"/>
      <ns0:c r="Q371" s="17" t="n"/>
      <ns0:c r="R371" s="17" t="n"/>
      <ns0:c r="S371" s="17" t="n"/>
      <ns0:c r="T371" s="17" t="n"/>
      <ns0:c r="U371" s="17" t="n"/>
      <ns0:c r="V371" s="17" t="n"/>
      <ns0:c r="W371" s="17" t="n"/>
      <ns0:c r="X371" s="17" t="n"/>
      <ns0:c r="Y371" s="17" t="n"/>
      <ns0:c r="Z371" s="17" t="n"/>
      <ns0:c r="AA371" s="17" t="n"/>
      <ns0:c r="AB371" s="17" t="n"/>
      <ns0:c r="AC371" s="17" t="n"/>
      <ns0:c r="AD371" s="17" t="n"/>
      <ns0:c r="AE371" s="17" t="n"/>
      <ns0:c r="AF371" s="17" t="n"/>
      <ns0:c r="AG371" s="17" t="n"/>
    </ns0:row>
    <ns0:row r="372" ht="24" customHeight="1">
      <ns0:c r="D372" s="17" t="n"/>
      <ns0:c r="E372" s="17" t="n"/>
      <ns0:c r="F372" s="17" t="n"/>
      <ns0:c r="G372" s="17" t="n"/>
      <ns0:c r="H372" s="17" t="n"/>
      <ns0:c r="I372" s="17" t="n"/>
      <ns0:c r="J372" s="17" t="n"/>
      <ns0:c r="K372" s="17" t="n"/>
      <ns0:c r="L372" s="17" t="n"/>
      <ns0:c r="M372" s="17" t="n"/>
      <ns0:c r="N372" s="17" t="n"/>
      <ns0:c r="O372" s="17" t="n"/>
      <ns0:c r="P372" s="17" t="n"/>
      <ns0:c r="Q372" s="17" t="n"/>
      <ns0:c r="R372" s="17" t="n"/>
      <ns0:c r="S372" s="17" t="n"/>
      <ns0:c r="T372" s="17" t="n"/>
      <ns0:c r="U372" s="17" t="n"/>
      <ns0:c r="V372" s="17" t="n"/>
      <ns0:c r="W372" s="17" t="n"/>
      <ns0:c r="X372" s="17" t="n"/>
      <ns0:c r="Y372" s="17" t="n"/>
      <ns0:c r="Z372" s="17" t="n"/>
      <ns0:c r="AA372" s="17" t="n"/>
      <ns0:c r="AB372" s="17" t="n"/>
      <ns0:c r="AC372" s="17" t="n"/>
      <ns0:c r="AD372" s="17" t="n"/>
      <ns0:c r="AE372" s="17" t="n"/>
      <ns0:c r="AF372" s="17" t="n"/>
      <ns0:c r="AG372" s="17" t="n"/>
    </ns0:row>
    <ns0:row r="373" ht="24" customHeight="1">
      <ns0:c r="D373" s="17" t="n"/>
      <ns0:c r="E373" s="17" t="n"/>
      <ns0:c r="F373" s="17" t="n"/>
      <ns0:c r="G373" s="17" t="n"/>
      <ns0:c r="H373" s="17" t="n"/>
      <ns0:c r="I373" s="17" t="n"/>
      <ns0:c r="J373" s="17" t="n"/>
      <ns0:c r="K373" s="17" t="n"/>
      <ns0:c r="L373" s="17" t="n"/>
      <ns0:c r="M373" s="17" t="n"/>
      <ns0:c r="N373" s="17" t="n"/>
      <ns0:c r="O373" s="17" t="n"/>
      <ns0:c r="P373" s="17" t="n"/>
      <ns0:c r="Q373" s="17" t="n"/>
      <ns0:c r="R373" s="17" t="n"/>
      <ns0:c r="S373" s="17" t="n"/>
      <ns0:c r="T373" s="17" t="n"/>
      <ns0:c r="U373" s="17" t="n"/>
      <ns0:c r="V373" s="17" t="n"/>
      <ns0:c r="W373" s="17" t="n"/>
      <ns0:c r="X373" s="17" t="n"/>
      <ns0:c r="Y373" s="17" t="n"/>
      <ns0:c r="Z373" s="17" t="n"/>
      <ns0:c r="AA373" s="17" t="n"/>
      <ns0:c r="AB373" s="17" t="n"/>
      <ns0:c r="AC373" s="17" t="n"/>
      <ns0:c r="AD373" s="17" t="n"/>
      <ns0:c r="AE373" s="17" t="n"/>
      <ns0:c r="AF373" s="17" t="n"/>
      <ns0:c r="AG373" s="17" t="n"/>
    </ns0:row>
    <ns0:row r="374" ht="24" customHeight="1">
      <ns0:c r="D374" s="17" t="n"/>
      <ns0:c r="E374" s="17" t="n"/>
      <ns0:c r="F374" s="17" t="n"/>
      <ns0:c r="G374" s="17" t="n"/>
      <ns0:c r="H374" s="17" t="n"/>
      <ns0:c r="I374" s="17" t="n"/>
      <ns0:c r="J374" s="17" t="n"/>
      <ns0:c r="K374" s="17" t="n"/>
      <ns0:c r="L374" s="17" t="n"/>
      <ns0:c r="M374" s="17" t="n"/>
      <ns0:c r="N374" s="17" t="n"/>
      <ns0:c r="O374" s="17" t="n"/>
      <ns0:c r="P374" s="17" t="n"/>
      <ns0:c r="Q374" s="17" t="n"/>
      <ns0:c r="R374" s="17" t="n"/>
      <ns0:c r="S374" s="17" t="n"/>
      <ns0:c r="T374" s="17" t="n"/>
      <ns0:c r="U374" s="17" t="n"/>
      <ns0:c r="V374" s="17" t="n"/>
      <ns0:c r="W374" s="17" t="n"/>
      <ns0:c r="X374" s="17" t="n"/>
      <ns0:c r="Y374" s="17" t="n"/>
      <ns0:c r="Z374" s="17" t="n"/>
      <ns0:c r="AA374" s="17" t="n"/>
      <ns0:c r="AB374" s="17" t="n"/>
      <ns0:c r="AC374" s="17" t="n"/>
      <ns0:c r="AD374" s="17" t="n"/>
      <ns0:c r="AE374" s="17" t="n"/>
      <ns0:c r="AF374" s="17" t="n"/>
      <ns0:c r="AG374" s="17" t="n"/>
    </ns0:row>
    <ns0:row r="375" ht="24" customHeight="1">
      <ns0:c r="D375" s="17" t="n"/>
      <ns0:c r="E375" s="17" t="n"/>
      <ns0:c r="F375" s="17" t="n"/>
      <ns0:c r="G375" s="17" t="n"/>
      <ns0:c r="H375" s="17" t="n"/>
      <ns0:c r="I375" s="17" t="n"/>
      <ns0:c r="J375" s="17" t="n"/>
      <ns0:c r="K375" s="17" t="n"/>
      <ns0:c r="L375" s="17" t="n"/>
      <ns0:c r="M375" s="17" t="n"/>
      <ns0:c r="N375" s="17" t="n"/>
      <ns0:c r="O375" s="17" t="n"/>
      <ns0:c r="P375" s="17" t="n"/>
      <ns0:c r="Q375" s="17" t="n"/>
      <ns0:c r="R375" s="17" t="n"/>
      <ns0:c r="S375" s="17" t="n"/>
      <ns0:c r="T375" s="17" t="n"/>
      <ns0:c r="U375" s="17" t="n"/>
      <ns0:c r="V375" s="17" t="n"/>
      <ns0:c r="W375" s="17" t="n"/>
      <ns0:c r="X375" s="17" t="n"/>
      <ns0:c r="Y375" s="17" t="n"/>
      <ns0:c r="Z375" s="17" t="n"/>
      <ns0:c r="AA375" s="17" t="n"/>
      <ns0:c r="AB375" s="17" t="n"/>
      <ns0:c r="AC375" s="17" t="n"/>
      <ns0:c r="AD375" s="17" t="n"/>
      <ns0:c r="AE375" s="17" t="n"/>
      <ns0:c r="AF375" s="17" t="n"/>
      <ns0:c r="AG375" s="17" t="n"/>
    </ns0:row>
    <ns0:row r="376" ht="24" customHeight="1">
      <ns0:c r="D376" s="17" t="n"/>
      <ns0:c r="E376" s="17" t="n"/>
      <ns0:c r="F376" s="17" t="n"/>
      <ns0:c r="G376" s="17" t="n"/>
      <ns0:c r="H376" s="17" t="n"/>
      <ns0:c r="I376" s="17" t="n"/>
      <ns0:c r="J376" s="17" t="n"/>
      <ns0:c r="K376" s="17" t="n"/>
      <ns0:c r="L376" s="17" t="n"/>
      <ns0:c r="M376" s="17" t="n"/>
      <ns0:c r="N376" s="17" t="n"/>
      <ns0:c r="O376" s="17" t="n"/>
      <ns0:c r="P376" s="17" t="n"/>
      <ns0:c r="Q376" s="17" t="n"/>
      <ns0:c r="R376" s="17" t="n"/>
      <ns0:c r="S376" s="17" t="n"/>
      <ns0:c r="T376" s="17" t="n"/>
      <ns0:c r="U376" s="17" t="n"/>
      <ns0:c r="V376" s="17" t="n"/>
      <ns0:c r="W376" s="17" t="n"/>
      <ns0:c r="X376" s="17" t="n"/>
      <ns0:c r="Y376" s="17" t="n"/>
      <ns0:c r="Z376" s="17" t="n"/>
      <ns0:c r="AA376" s="17" t="n"/>
      <ns0:c r="AB376" s="17" t="n"/>
      <ns0:c r="AC376" s="17" t="n"/>
      <ns0:c r="AD376" s="17" t="n"/>
      <ns0:c r="AE376" s="17" t="n"/>
      <ns0:c r="AF376" s="17" t="n"/>
      <ns0:c r="AG376" s="17" t="n"/>
    </ns0:row>
    <ns0:row r="377" ht="24" customHeight="1">
      <ns0:c r="D377" s="17" t="n"/>
      <ns0:c r="E377" s="17" t="n"/>
      <ns0:c r="F377" s="17" t="n"/>
      <ns0:c r="G377" s="17" t="n"/>
      <ns0:c r="H377" s="17" t="n"/>
      <ns0:c r="I377" s="17" t="n"/>
      <ns0:c r="J377" s="17" t="n"/>
      <ns0:c r="K377" s="17" t="n"/>
      <ns0:c r="L377" s="17" t="n"/>
      <ns0:c r="M377" s="17" t="n"/>
      <ns0:c r="N377" s="17" t="n"/>
      <ns0:c r="O377" s="17" t="n"/>
      <ns0:c r="P377" s="17" t="n"/>
      <ns0:c r="Q377" s="17" t="n"/>
      <ns0:c r="R377" s="17" t="n"/>
      <ns0:c r="S377" s="17" t="n"/>
      <ns0:c r="T377" s="17" t="n"/>
      <ns0:c r="U377" s="17" t="n"/>
      <ns0:c r="V377" s="17" t="n"/>
      <ns0:c r="W377" s="17" t="n"/>
      <ns0:c r="X377" s="17" t="n"/>
      <ns0:c r="Y377" s="17" t="n"/>
      <ns0:c r="Z377" s="17" t="n"/>
      <ns0:c r="AA377" s="17" t="n"/>
      <ns0:c r="AB377" s="17" t="n"/>
      <ns0:c r="AC377" s="17" t="n"/>
      <ns0:c r="AD377" s="17" t="n"/>
      <ns0:c r="AE377" s="17" t="n"/>
      <ns0:c r="AF377" s="17" t="n"/>
      <ns0:c r="AG377" s="17" t="n"/>
    </ns0:row>
    <ns0:row r="378" ht="24" customHeight="1">
      <ns0:c r="D378" s="17" t="n"/>
      <ns0:c r="E378" s="17" t="n"/>
      <ns0:c r="F378" s="17" t="n"/>
      <ns0:c r="G378" s="17" t="n"/>
      <ns0:c r="H378" s="17" t="n"/>
      <ns0:c r="I378" s="17" t="n"/>
      <ns0:c r="J378" s="17" t="n"/>
      <ns0:c r="K378" s="17" t="n"/>
      <ns0:c r="L378" s="17" t="n"/>
      <ns0:c r="M378" s="17" t="n"/>
      <ns0:c r="N378" s="17" t="n"/>
      <ns0:c r="O378" s="17" t="n"/>
      <ns0:c r="P378" s="17" t="n"/>
      <ns0:c r="Q378" s="17" t="n"/>
      <ns0:c r="R378" s="17" t="n"/>
      <ns0:c r="S378" s="17" t="n"/>
      <ns0:c r="T378" s="17" t="n"/>
      <ns0:c r="U378" s="17" t="n"/>
      <ns0:c r="V378" s="17" t="n"/>
      <ns0:c r="W378" s="17" t="n"/>
      <ns0:c r="X378" s="17" t="n"/>
      <ns0:c r="Y378" s="17" t="n"/>
      <ns0:c r="Z378" s="17" t="n"/>
      <ns0:c r="AA378" s="17" t="n"/>
      <ns0:c r="AB378" s="17" t="n"/>
      <ns0:c r="AC378" s="17" t="n"/>
      <ns0:c r="AD378" s="17" t="n"/>
      <ns0:c r="AE378" s="17" t="n"/>
      <ns0:c r="AF378" s="17" t="n"/>
      <ns0:c r="AG378" s="17" t="n"/>
    </ns0:row>
    <ns0:row r="379" ht="24" customHeight="1">
      <ns0:c r="D379" s="17" t="n"/>
      <ns0:c r="E379" s="17" t="n"/>
      <ns0:c r="F379" s="17" t="n"/>
      <ns0:c r="G379" s="17" t="n"/>
      <ns0:c r="H379" s="17" t="n"/>
      <ns0:c r="I379" s="17" t="n"/>
      <ns0:c r="J379" s="17" t="n"/>
      <ns0:c r="K379" s="17" t="n"/>
      <ns0:c r="L379" s="17" t="n"/>
      <ns0:c r="M379" s="17" t="n"/>
      <ns0:c r="N379" s="17" t="n"/>
      <ns0:c r="O379" s="17" t="n"/>
      <ns0:c r="P379" s="17" t="n"/>
      <ns0:c r="Q379" s="17" t="n"/>
      <ns0:c r="R379" s="17" t="n"/>
      <ns0:c r="S379" s="17" t="n"/>
      <ns0:c r="T379" s="17" t="n"/>
      <ns0:c r="U379" s="17" t="n"/>
      <ns0:c r="V379" s="17" t="n"/>
      <ns0:c r="W379" s="17" t="n"/>
      <ns0:c r="X379" s="17" t="n"/>
      <ns0:c r="Y379" s="17" t="n"/>
      <ns0:c r="Z379" s="17" t="n"/>
      <ns0:c r="AA379" s="17" t="n"/>
      <ns0:c r="AB379" s="17" t="n"/>
      <ns0:c r="AC379" s="17" t="n"/>
      <ns0:c r="AD379" s="17" t="n"/>
      <ns0:c r="AE379" s="17" t="n"/>
      <ns0:c r="AF379" s="17" t="n"/>
      <ns0:c r="AG379" s="17" t="n"/>
    </ns0:row>
    <ns0:row r="380" ht="24" customHeight="1">
      <ns0:c r="D380" s="17" t="n"/>
      <ns0:c r="E380" s="17" t="n"/>
      <ns0:c r="F380" s="17" t="n"/>
      <ns0:c r="G380" s="17" t="n"/>
      <ns0:c r="H380" s="17" t="n"/>
      <ns0:c r="I380" s="17" t="n"/>
      <ns0:c r="J380" s="17" t="n"/>
      <ns0:c r="K380" s="17" t="n"/>
      <ns0:c r="L380" s="17" t="n"/>
      <ns0:c r="M380" s="17" t="n"/>
      <ns0:c r="N380" s="17" t="n"/>
      <ns0:c r="O380" s="17" t="n"/>
      <ns0:c r="P380" s="17" t="n"/>
      <ns0:c r="Q380" s="17" t="n"/>
      <ns0:c r="R380" s="17" t="n"/>
      <ns0:c r="S380" s="17" t="n"/>
      <ns0:c r="T380" s="17" t="n"/>
      <ns0:c r="U380" s="17" t="n"/>
      <ns0:c r="V380" s="17" t="n"/>
      <ns0:c r="W380" s="17" t="n"/>
      <ns0:c r="X380" s="17" t="n"/>
      <ns0:c r="Y380" s="17" t="n"/>
      <ns0:c r="Z380" s="17" t="n"/>
      <ns0:c r="AA380" s="17" t="n"/>
      <ns0:c r="AB380" s="17" t="n"/>
      <ns0:c r="AC380" s="17" t="n"/>
      <ns0:c r="AD380" s="17" t="n"/>
      <ns0:c r="AE380" s="17" t="n"/>
      <ns0:c r="AF380" s="17" t="n"/>
      <ns0:c r="AG380" s="17" t="n"/>
    </ns0:row>
    <ns0:row r="381" ht="24" customHeight="1">
      <ns0:c r="D381" s="17" t="n"/>
      <ns0:c r="E381" s="17" t="n"/>
      <ns0:c r="F381" s="17" t="n"/>
      <ns0:c r="G381" s="17" t="n"/>
      <ns0:c r="H381" s="17" t="n"/>
      <ns0:c r="I381" s="17" t="n"/>
      <ns0:c r="J381" s="17" t="n"/>
      <ns0:c r="K381" s="17" t="n"/>
      <ns0:c r="L381" s="17" t="n"/>
      <ns0:c r="M381" s="17" t="n"/>
      <ns0:c r="N381" s="17" t="n"/>
      <ns0:c r="O381" s="17" t="n"/>
      <ns0:c r="P381" s="17" t="n"/>
      <ns0:c r="Q381" s="17" t="n"/>
      <ns0:c r="R381" s="17" t="n"/>
      <ns0:c r="S381" s="17" t="n"/>
      <ns0:c r="T381" s="17" t="n"/>
      <ns0:c r="U381" s="17" t="n"/>
      <ns0:c r="V381" s="17" t="n"/>
      <ns0:c r="W381" s="17" t="n"/>
      <ns0:c r="X381" s="17" t="n"/>
      <ns0:c r="Y381" s="17" t="n"/>
      <ns0:c r="Z381" s="17" t="n"/>
      <ns0:c r="AA381" s="17" t="n"/>
      <ns0:c r="AB381" s="17" t="n"/>
      <ns0:c r="AC381" s="17" t="n"/>
      <ns0:c r="AD381" s="17" t="n"/>
      <ns0:c r="AE381" s="17" t="n"/>
      <ns0:c r="AF381" s="17" t="n"/>
      <ns0:c r="AG381" s="17" t="n"/>
    </ns0:row>
    <ns0:row r="382" ht="24" customHeight="1">
      <ns0:c r="D382" s="17" t="n"/>
      <ns0:c r="E382" s="17" t="n"/>
      <ns0:c r="F382" s="17" t="n"/>
      <ns0:c r="G382" s="17" t="n"/>
      <ns0:c r="H382" s="17" t="n"/>
      <ns0:c r="I382" s="17" t="n"/>
      <ns0:c r="J382" s="17" t="n"/>
      <ns0:c r="K382" s="17" t="n"/>
      <ns0:c r="L382" s="17" t="n"/>
      <ns0:c r="M382" s="17" t="n"/>
      <ns0:c r="N382" s="17" t="n"/>
      <ns0:c r="O382" s="17" t="n"/>
      <ns0:c r="P382" s="17" t="n"/>
      <ns0:c r="Q382" s="17" t="n"/>
      <ns0:c r="R382" s="17" t="n"/>
      <ns0:c r="S382" s="17" t="n"/>
      <ns0:c r="T382" s="17" t="n"/>
      <ns0:c r="U382" s="17" t="n"/>
      <ns0:c r="V382" s="17" t="n"/>
      <ns0:c r="W382" s="17" t="n"/>
      <ns0:c r="X382" s="17" t="n"/>
      <ns0:c r="Y382" s="17" t="n"/>
      <ns0:c r="Z382" s="17" t="n"/>
      <ns0:c r="AA382" s="17" t="n"/>
      <ns0:c r="AB382" s="17" t="n"/>
      <ns0:c r="AC382" s="17" t="n"/>
      <ns0:c r="AD382" s="17" t="n"/>
      <ns0:c r="AE382" s="17" t="n"/>
      <ns0:c r="AF382" s="17" t="n"/>
      <ns0:c r="AG382" s="17" t="n"/>
    </ns0:row>
    <ns0:row r="383" ht="24" customHeight="1">
      <ns0:c r="D383" s="17" t="n"/>
      <ns0:c r="E383" s="17" t="n"/>
      <ns0:c r="F383" s="17" t="n"/>
      <ns0:c r="G383" s="17" t="n"/>
      <ns0:c r="H383" s="17" t="n"/>
      <ns0:c r="I383" s="17" t="n"/>
      <ns0:c r="J383" s="17" t="n"/>
      <ns0:c r="K383" s="17" t="n"/>
      <ns0:c r="L383" s="17" t="n"/>
      <ns0:c r="M383" s="17" t="n"/>
      <ns0:c r="N383" s="17" t="n"/>
      <ns0:c r="O383" s="17" t="n"/>
      <ns0:c r="P383" s="17" t="n"/>
      <ns0:c r="Q383" s="17" t="n"/>
      <ns0:c r="R383" s="17" t="n"/>
      <ns0:c r="S383" s="17" t="n"/>
      <ns0:c r="T383" s="17" t="n"/>
      <ns0:c r="U383" s="17" t="n"/>
      <ns0:c r="V383" s="17" t="n"/>
      <ns0:c r="W383" s="17" t="n"/>
      <ns0:c r="X383" s="17" t="n"/>
      <ns0:c r="Y383" s="17" t="n"/>
      <ns0:c r="Z383" s="17" t="n"/>
      <ns0:c r="AA383" s="17" t="n"/>
      <ns0:c r="AB383" s="17" t="n"/>
      <ns0:c r="AC383" s="17" t="n"/>
      <ns0:c r="AD383" s="17" t="n"/>
      <ns0:c r="AE383" s="17" t="n"/>
      <ns0:c r="AF383" s="17" t="n"/>
      <ns0:c r="AG383" s="17" t="n"/>
    </ns0:row>
    <ns0:row r="384" ht="24" customHeight="1">
      <ns0:c r="D384" s="17" t="n"/>
      <ns0:c r="E384" s="17" t="n"/>
      <ns0:c r="F384" s="17" t="n"/>
      <ns0:c r="G384" s="17" t="n"/>
      <ns0:c r="H384" s="17" t="n"/>
      <ns0:c r="I384" s="17" t="n"/>
      <ns0:c r="J384" s="17" t="n"/>
      <ns0:c r="K384" s="17" t="n"/>
      <ns0:c r="L384" s="17" t="n"/>
      <ns0:c r="M384" s="17" t="n"/>
      <ns0:c r="N384" s="17" t="n"/>
      <ns0:c r="O384" s="17" t="n"/>
      <ns0:c r="P384" s="17" t="n"/>
      <ns0:c r="Q384" s="17" t="n"/>
      <ns0:c r="R384" s="17" t="n"/>
      <ns0:c r="S384" s="17" t="n"/>
      <ns0:c r="T384" s="17" t="n"/>
      <ns0:c r="U384" s="17" t="n"/>
      <ns0:c r="V384" s="17" t="n"/>
      <ns0:c r="W384" s="17" t="n"/>
      <ns0:c r="X384" s="17" t="n"/>
      <ns0:c r="Y384" s="17" t="n"/>
      <ns0:c r="Z384" s="17" t="n"/>
      <ns0:c r="AA384" s="17" t="n"/>
      <ns0:c r="AB384" s="17" t="n"/>
      <ns0:c r="AC384" s="17" t="n"/>
      <ns0:c r="AD384" s="17" t="n"/>
      <ns0:c r="AE384" s="17" t="n"/>
      <ns0:c r="AF384" s="17" t="n"/>
      <ns0:c r="AG384" s="17" t="n"/>
    </ns0:row>
    <ns0:row r="385" ht="24" customHeight="1">
      <ns0:c r="D385" s="17" t="n"/>
      <ns0:c r="E385" s="17" t="n"/>
      <ns0:c r="F385" s="17" t="n"/>
      <ns0:c r="G385" s="17" t="n"/>
      <ns0:c r="H385" s="17" t="n"/>
      <ns0:c r="I385" s="17" t="n"/>
      <ns0:c r="J385" s="17" t="n"/>
      <ns0:c r="K385" s="17" t="n"/>
      <ns0:c r="L385" s="17" t="n"/>
      <ns0:c r="M385" s="17" t="n"/>
      <ns0:c r="N385" s="17" t="n"/>
      <ns0:c r="O385" s="17" t="n"/>
      <ns0:c r="P385" s="17" t="n"/>
      <ns0:c r="Q385" s="17" t="n"/>
      <ns0:c r="R385" s="17" t="n"/>
      <ns0:c r="S385" s="17" t="n"/>
      <ns0:c r="T385" s="17" t="n"/>
      <ns0:c r="U385" s="17" t="n"/>
      <ns0:c r="V385" s="17" t="n"/>
      <ns0:c r="W385" s="17" t="n"/>
      <ns0:c r="X385" s="17" t="n"/>
      <ns0:c r="Y385" s="17" t="n"/>
      <ns0:c r="Z385" s="17" t="n"/>
      <ns0:c r="AA385" s="17" t="n"/>
      <ns0:c r="AB385" s="17" t="n"/>
      <ns0:c r="AC385" s="17" t="n"/>
      <ns0:c r="AD385" s="17" t="n"/>
      <ns0:c r="AE385" s="17" t="n"/>
      <ns0:c r="AF385" s="17" t="n"/>
      <ns0:c r="AG385" s="17" t="n"/>
    </ns0:row>
    <ns0:row r="386" ht="24" customHeight="1">
      <ns0:c r="D386" s="17" t="n"/>
      <ns0:c r="E386" s="17" t="n"/>
      <ns0:c r="F386" s="17" t="n"/>
      <ns0:c r="G386" s="17" t="n"/>
      <ns0:c r="H386" s="17" t="n"/>
      <ns0:c r="I386" s="17" t="n"/>
      <ns0:c r="J386" s="17" t="n"/>
      <ns0:c r="K386" s="17" t="n"/>
      <ns0:c r="L386" s="17" t="n"/>
      <ns0:c r="M386" s="17" t="n"/>
      <ns0:c r="N386" s="17" t="n"/>
      <ns0:c r="O386" s="17" t="n"/>
      <ns0:c r="P386" s="17" t="n"/>
      <ns0:c r="Q386" s="17" t="n"/>
      <ns0:c r="R386" s="17" t="n"/>
      <ns0:c r="S386" s="17" t="n"/>
      <ns0:c r="T386" s="17" t="n"/>
      <ns0:c r="U386" s="17" t="n"/>
      <ns0:c r="V386" s="17" t="n"/>
      <ns0:c r="W386" s="17" t="n"/>
      <ns0:c r="X386" s="17" t="n"/>
      <ns0:c r="Y386" s="17" t="n"/>
      <ns0:c r="Z386" s="17" t="n"/>
      <ns0:c r="AA386" s="17" t="n"/>
      <ns0:c r="AB386" s="17" t="n"/>
      <ns0:c r="AC386" s="17" t="n"/>
      <ns0:c r="AD386" s="17" t="n"/>
      <ns0:c r="AE386" s="17" t="n"/>
      <ns0:c r="AF386" s="17" t="n"/>
      <ns0:c r="AG386" s="17" t="n"/>
    </ns0:row>
    <ns0:row r="387" ht="24" customHeight="1">
      <ns0:c r="D387" s="17" t="n"/>
      <ns0:c r="E387" s="17" t="n"/>
      <ns0:c r="F387" s="17" t="n"/>
      <ns0:c r="G387" s="17" t="n"/>
      <ns0:c r="H387" s="17" t="n"/>
      <ns0:c r="I387" s="17" t="n"/>
      <ns0:c r="J387" s="17" t="n"/>
      <ns0:c r="K387" s="17" t="n"/>
      <ns0:c r="L387" s="17" t="n"/>
      <ns0:c r="M387" s="17" t="n"/>
      <ns0:c r="N387" s="17" t="n"/>
      <ns0:c r="O387" s="17" t="n"/>
      <ns0:c r="P387" s="17" t="n"/>
      <ns0:c r="Q387" s="17" t="n"/>
      <ns0:c r="R387" s="17" t="n"/>
      <ns0:c r="S387" s="17" t="n"/>
      <ns0:c r="T387" s="17" t="n"/>
      <ns0:c r="U387" s="17" t="n"/>
      <ns0:c r="V387" s="17" t="n"/>
      <ns0:c r="W387" s="17" t="n"/>
      <ns0:c r="X387" s="17" t="n"/>
      <ns0:c r="Y387" s="17" t="n"/>
      <ns0:c r="Z387" s="17" t="n"/>
      <ns0:c r="AA387" s="17" t="n"/>
      <ns0:c r="AB387" s="17" t="n"/>
      <ns0:c r="AC387" s="17" t="n"/>
      <ns0:c r="AD387" s="17" t="n"/>
      <ns0:c r="AE387" s="17" t="n"/>
      <ns0:c r="AF387" s="17" t="n"/>
      <ns0:c r="AG387" s="17" t="n"/>
    </ns0:row>
    <ns0:row r="388" ht="24" customHeight="1">
      <ns0:c r="D388" s="17" t="n"/>
      <ns0:c r="E388" s="17" t="n"/>
      <ns0:c r="F388" s="17" t="n"/>
      <ns0:c r="G388" s="17" t="n"/>
      <ns0:c r="H388" s="17" t="n"/>
      <ns0:c r="I388" s="17" t="n"/>
      <ns0:c r="J388" s="17" t="n"/>
      <ns0:c r="K388" s="17" t="n"/>
      <ns0:c r="L388" s="17" t="n"/>
      <ns0:c r="M388" s="17" t="n"/>
      <ns0:c r="N388" s="17" t="n"/>
      <ns0:c r="O388" s="17" t="n"/>
      <ns0:c r="P388" s="17" t="n"/>
      <ns0:c r="Q388" s="17" t="n"/>
      <ns0:c r="R388" s="17" t="n"/>
      <ns0:c r="S388" s="17" t="n"/>
      <ns0:c r="T388" s="17" t="n"/>
      <ns0:c r="U388" s="17" t="n"/>
      <ns0:c r="V388" s="17" t="n"/>
      <ns0:c r="W388" s="17" t="n"/>
      <ns0:c r="X388" s="17" t="n"/>
      <ns0:c r="Y388" s="17" t="n"/>
      <ns0:c r="Z388" s="17" t="n"/>
      <ns0:c r="AA388" s="17" t="n"/>
      <ns0:c r="AB388" s="17" t="n"/>
      <ns0:c r="AC388" s="17" t="n"/>
      <ns0:c r="AD388" s="17" t="n"/>
      <ns0:c r="AE388" s="17" t="n"/>
      <ns0:c r="AF388" s="17" t="n"/>
      <ns0:c r="AG388" s="17" t="n"/>
    </ns0:row>
    <ns0:row r="389" ht="24" customHeight="1">
      <ns0:c r="D389" s="17" t="n"/>
      <ns0:c r="E389" s="17" t="n"/>
      <ns0:c r="F389" s="17" t="n"/>
      <ns0:c r="G389" s="17" t="n"/>
      <ns0:c r="H389" s="17" t="n"/>
      <ns0:c r="I389" s="17" t="n"/>
      <ns0:c r="J389" s="17" t="n"/>
      <ns0:c r="K389" s="17" t="n"/>
      <ns0:c r="L389" s="17" t="n"/>
      <ns0:c r="M389" s="17" t="n"/>
      <ns0:c r="N389" s="17" t="n"/>
      <ns0:c r="O389" s="17" t="n"/>
      <ns0:c r="P389" s="17" t="n"/>
      <ns0:c r="Q389" s="17" t="n"/>
      <ns0:c r="R389" s="17" t="n"/>
      <ns0:c r="S389" s="17" t="n"/>
      <ns0:c r="T389" s="17" t="n"/>
      <ns0:c r="U389" s="17" t="n"/>
      <ns0:c r="V389" s="17" t="n"/>
      <ns0:c r="W389" s="17" t="n"/>
      <ns0:c r="X389" s="17" t="n"/>
      <ns0:c r="Y389" s="17" t="n"/>
      <ns0:c r="Z389" s="17" t="n"/>
      <ns0:c r="AA389" s="17" t="n"/>
      <ns0:c r="AB389" s="17" t="n"/>
      <ns0:c r="AC389" s="17" t="n"/>
      <ns0:c r="AD389" s="17" t="n"/>
      <ns0:c r="AE389" s="17" t="n"/>
      <ns0:c r="AF389" s="17" t="n"/>
      <ns0:c r="AG389" s="17" t="n"/>
    </ns0:row>
    <ns0:row r="390" ht="24" customHeight="1">
      <ns0:c r="D390" s="17" t="n"/>
      <ns0:c r="E390" s="17" t="n"/>
      <ns0:c r="F390" s="17" t="n"/>
      <ns0:c r="G390" s="17" t="n"/>
      <ns0:c r="H390" s="17" t="n"/>
      <ns0:c r="I390" s="17" t="n"/>
      <ns0:c r="J390" s="17" t="n"/>
      <ns0:c r="K390" s="17" t="n"/>
      <ns0:c r="L390" s="17" t="n"/>
      <ns0:c r="M390" s="17" t="n"/>
      <ns0:c r="N390" s="17" t="n"/>
      <ns0:c r="O390" s="17" t="n"/>
      <ns0:c r="P390" s="17" t="n"/>
      <ns0:c r="Q390" s="17" t="n"/>
      <ns0:c r="R390" s="17" t="n"/>
      <ns0:c r="S390" s="17" t="n"/>
      <ns0:c r="T390" s="17" t="n"/>
      <ns0:c r="U390" s="17" t="n"/>
      <ns0:c r="V390" s="17" t="n"/>
      <ns0:c r="W390" s="17" t="n"/>
      <ns0:c r="X390" s="17" t="n"/>
      <ns0:c r="Y390" s="17" t="n"/>
      <ns0:c r="Z390" s="17" t="n"/>
      <ns0:c r="AA390" s="17" t="n"/>
      <ns0:c r="AB390" s="17" t="n"/>
      <ns0:c r="AC390" s="17" t="n"/>
      <ns0:c r="AD390" s="17" t="n"/>
      <ns0:c r="AE390" s="17" t="n"/>
      <ns0:c r="AF390" s="17" t="n"/>
      <ns0:c r="AG390" s="17" t="n"/>
    </ns0:row>
    <ns0:row r="391" ht="24" customHeight="1">
      <ns0:c r="D391" s="17" t="n"/>
      <ns0:c r="E391" s="17" t="n"/>
      <ns0:c r="F391" s="17" t="n"/>
      <ns0:c r="G391" s="17" t="n"/>
      <ns0:c r="H391" s="17" t="n"/>
      <ns0:c r="I391" s="17" t="n"/>
      <ns0:c r="J391" s="17" t="n"/>
      <ns0:c r="K391" s="17" t="n"/>
      <ns0:c r="L391" s="17" t="n"/>
      <ns0:c r="M391" s="17" t="n"/>
      <ns0:c r="N391" s="17" t="n"/>
      <ns0:c r="O391" s="17" t="n"/>
      <ns0:c r="P391" s="17" t="n"/>
      <ns0:c r="Q391" s="17" t="n"/>
      <ns0:c r="R391" s="17" t="n"/>
      <ns0:c r="S391" s="17" t="n"/>
      <ns0:c r="T391" s="17" t="n"/>
      <ns0:c r="U391" s="17" t="n"/>
      <ns0:c r="V391" s="17" t="n"/>
      <ns0:c r="W391" s="17" t="n"/>
      <ns0:c r="X391" s="17" t="n"/>
      <ns0:c r="Y391" s="17" t="n"/>
      <ns0:c r="Z391" s="17" t="n"/>
      <ns0:c r="AA391" s="17" t="n"/>
      <ns0:c r="AB391" s="17" t="n"/>
      <ns0:c r="AC391" s="17" t="n"/>
      <ns0:c r="AD391" s="17" t="n"/>
      <ns0:c r="AE391" s="17" t="n"/>
      <ns0:c r="AF391" s="17" t="n"/>
      <ns0:c r="AG391" s="17" t="n"/>
    </ns0:row>
    <ns0:row r="392" ht="24" customHeight="1">
      <ns0:c r="D392" s="17" t="n"/>
      <ns0:c r="E392" s="17" t="n"/>
      <ns0:c r="F392" s="17" t="n"/>
      <ns0:c r="G392" s="17" t="n"/>
      <ns0:c r="H392" s="17" t="n"/>
      <ns0:c r="I392" s="17" t="n"/>
      <ns0:c r="J392" s="17" t="n"/>
      <ns0:c r="K392" s="17" t="n"/>
      <ns0:c r="L392" s="17" t="n"/>
      <ns0:c r="M392" s="17" t="n"/>
      <ns0:c r="N392" s="17" t="n"/>
      <ns0:c r="O392" s="17" t="n"/>
      <ns0:c r="P392" s="17" t="n"/>
      <ns0:c r="Q392" s="17" t="n"/>
      <ns0:c r="R392" s="17" t="n"/>
      <ns0:c r="S392" s="17" t="n"/>
      <ns0:c r="T392" s="17" t="n"/>
      <ns0:c r="U392" s="17" t="n"/>
      <ns0:c r="V392" s="17" t="n"/>
      <ns0:c r="W392" s="17" t="n"/>
      <ns0:c r="X392" s="17" t="n"/>
      <ns0:c r="Y392" s="17" t="n"/>
      <ns0:c r="Z392" s="17" t="n"/>
      <ns0:c r="AA392" s="17" t="n"/>
      <ns0:c r="AB392" s="17" t="n"/>
      <ns0:c r="AC392" s="17" t="n"/>
      <ns0:c r="AD392" s="17" t="n"/>
      <ns0:c r="AE392" s="17" t="n"/>
      <ns0:c r="AF392" s="17" t="n"/>
      <ns0:c r="AG392" s="17" t="n"/>
    </ns0:row>
    <ns0:row r="393" ht="24" customHeight="1">
      <ns0:c r="D393" s="17" t="n"/>
      <ns0:c r="E393" s="17" t="n"/>
      <ns0:c r="F393" s="17" t="n"/>
      <ns0:c r="G393" s="17" t="n"/>
      <ns0:c r="H393" s="17" t="n"/>
      <ns0:c r="I393" s="17" t="n"/>
      <ns0:c r="J393" s="17" t="n"/>
      <ns0:c r="K393" s="17" t="n"/>
      <ns0:c r="L393" s="17" t="n"/>
      <ns0:c r="M393" s="17" t="n"/>
      <ns0:c r="N393" s="17" t="n"/>
      <ns0:c r="O393" s="17" t="n"/>
      <ns0:c r="P393" s="17" t="n"/>
      <ns0:c r="Q393" s="17" t="n"/>
      <ns0:c r="R393" s="17" t="n"/>
      <ns0:c r="S393" s="17" t="n"/>
      <ns0:c r="T393" s="17" t="n"/>
      <ns0:c r="U393" s="17" t="n"/>
      <ns0:c r="V393" s="17" t="n"/>
      <ns0:c r="W393" s="17" t="n"/>
      <ns0:c r="X393" s="17" t="n"/>
      <ns0:c r="Y393" s="17" t="n"/>
      <ns0:c r="Z393" s="17" t="n"/>
      <ns0:c r="AA393" s="17" t="n"/>
      <ns0:c r="AB393" s="17" t="n"/>
      <ns0:c r="AC393" s="17" t="n"/>
      <ns0:c r="AD393" s="17" t="n"/>
      <ns0:c r="AE393" s="17" t="n"/>
      <ns0:c r="AF393" s="17" t="n"/>
      <ns0:c r="AG393" s="17" t="n"/>
    </ns0:row>
    <ns0:row r="394" ht="24" customHeight="1">
      <ns0:c r="D394" s="17" t="n"/>
      <ns0:c r="E394" s="17" t="n"/>
      <ns0:c r="F394" s="17" t="n"/>
      <ns0:c r="G394" s="17" t="n"/>
      <ns0:c r="H394" s="17" t="n"/>
      <ns0:c r="I394" s="17" t="n"/>
      <ns0:c r="J394" s="17" t="n"/>
      <ns0:c r="K394" s="17" t="n"/>
      <ns0:c r="L394" s="17" t="n"/>
      <ns0:c r="M394" s="17" t="n"/>
      <ns0:c r="N394" s="17" t="n"/>
      <ns0:c r="O394" s="17" t="n"/>
      <ns0:c r="P394" s="17" t="n"/>
      <ns0:c r="Q394" s="17" t="n"/>
      <ns0:c r="R394" s="17" t="n"/>
      <ns0:c r="S394" s="17" t="n"/>
      <ns0:c r="T394" s="17" t="n"/>
      <ns0:c r="U394" s="17" t="n"/>
      <ns0:c r="V394" s="17" t="n"/>
      <ns0:c r="W394" s="17" t="n"/>
      <ns0:c r="X394" s="17" t="n"/>
      <ns0:c r="Y394" s="17" t="n"/>
      <ns0:c r="Z394" s="17" t="n"/>
      <ns0:c r="AA394" s="17" t="n"/>
      <ns0:c r="AB394" s="17" t="n"/>
      <ns0:c r="AC394" s="17" t="n"/>
      <ns0:c r="AD394" s="17" t="n"/>
      <ns0:c r="AE394" s="17" t="n"/>
      <ns0:c r="AF394" s="17" t="n"/>
      <ns0:c r="AG394" s="17" t="n"/>
    </ns0:row>
    <ns0:row r="395" ht="24" customHeight="1">
      <ns0:c r="D395" s="17" t="n"/>
      <ns0:c r="E395" s="17" t="n"/>
      <ns0:c r="F395" s="17" t="n"/>
      <ns0:c r="G395" s="17" t="n"/>
      <ns0:c r="H395" s="17" t="n"/>
      <ns0:c r="I395" s="17" t="n"/>
      <ns0:c r="J395" s="17" t="n"/>
      <ns0:c r="K395" s="17" t="n"/>
      <ns0:c r="L395" s="17" t="n"/>
      <ns0:c r="M395" s="17" t="n"/>
      <ns0:c r="N395" s="17" t="n"/>
      <ns0:c r="O395" s="17" t="n"/>
      <ns0:c r="P395" s="17" t="n"/>
      <ns0:c r="Q395" s="17" t="n"/>
      <ns0:c r="R395" s="17" t="n"/>
      <ns0:c r="S395" s="17" t="n"/>
      <ns0:c r="T395" s="17" t="n"/>
      <ns0:c r="U395" s="17" t="n"/>
      <ns0:c r="V395" s="17" t="n"/>
      <ns0:c r="W395" s="17" t="n"/>
      <ns0:c r="X395" s="17" t="n"/>
      <ns0:c r="Y395" s="17" t="n"/>
      <ns0:c r="Z395" s="17" t="n"/>
      <ns0:c r="AA395" s="17" t="n"/>
      <ns0:c r="AB395" s="17" t="n"/>
      <ns0:c r="AC395" s="17" t="n"/>
      <ns0:c r="AD395" s="17" t="n"/>
      <ns0:c r="AE395" s="17" t="n"/>
      <ns0:c r="AF395" s="17" t="n"/>
      <ns0:c r="AG395" s="17" t="n"/>
    </ns0:row>
    <ns0:row r="396" ht="24" customHeight="1">
      <ns0:c r="D396" s="17" t="n"/>
      <ns0:c r="E396" s="17" t="n"/>
      <ns0:c r="F396" s="17" t="n"/>
      <ns0:c r="G396" s="17" t="n"/>
      <ns0:c r="H396" s="17" t="n"/>
      <ns0:c r="I396" s="17" t="n"/>
      <ns0:c r="J396" s="17" t="n"/>
      <ns0:c r="K396" s="17" t="n"/>
      <ns0:c r="L396" s="17" t="n"/>
      <ns0:c r="M396" s="17" t="n"/>
      <ns0:c r="N396" s="17" t="n"/>
      <ns0:c r="O396" s="17" t="n"/>
      <ns0:c r="P396" s="17" t="n"/>
      <ns0:c r="Q396" s="17" t="n"/>
      <ns0:c r="R396" s="17" t="n"/>
      <ns0:c r="S396" s="17" t="n"/>
      <ns0:c r="T396" s="17" t="n"/>
      <ns0:c r="U396" s="17" t="n"/>
      <ns0:c r="V396" s="17" t="n"/>
      <ns0:c r="W396" s="17" t="n"/>
      <ns0:c r="X396" s="17" t="n"/>
      <ns0:c r="Y396" s="17" t="n"/>
      <ns0:c r="Z396" s="17" t="n"/>
      <ns0:c r="AA396" s="17" t="n"/>
      <ns0:c r="AB396" s="17" t="n"/>
      <ns0:c r="AC396" s="17" t="n"/>
      <ns0:c r="AD396" s="17" t="n"/>
      <ns0:c r="AE396" s="17" t="n"/>
      <ns0:c r="AF396" s="17" t="n"/>
      <ns0:c r="AG396" s="17" t="n"/>
    </ns0:row>
    <ns0:row r="397" ht="24" customHeight="1">
      <ns0:c r="D397" s="17" t="n"/>
      <ns0:c r="E397" s="17" t="n"/>
      <ns0:c r="F397" s="17" t="n"/>
      <ns0:c r="G397" s="17" t="n"/>
      <ns0:c r="H397" s="17" t="n"/>
      <ns0:c r="I397" s="17" t="n"/>
      <ns0:c r="J397" s="17" t="n"/>
      <ns0:c r="K397" s="17" t="n"/>
      <ns0:c r="L397" s="17" t="n"/>
      <ns0:c r="M397" s="17" t="n"/>
      <ns0:c r="N397" s="17" t="n"/>
      <ns0:c r="O397" s="17" t="n"/>
      <ns0:c r="P397" s="17" t="n"/>
      <ns0:c r="Q397" s="17" t="n"/>
      <ns0:c r="R397" s="17" t="n"/>
      <ns0:c r="S397" s="17" t="n"/>
      <ns0:c r="T397" s="17" t="n"/>
      <ns0:c r="U397" s="17" t="n"/>
      <ns0:c r="V397" s="17" t="n"/>
      <ns0:c r="W397" s="17" t="n"/>
      <ns0:c r="X397" s="17" t="n"/>
      <ns0:c r="Y397" s="17" t="n"/>
      <ns0:c r="Z397" s="17" t="n"/>
      <ns0:c r="AA397" s="17" t="n"/>
      <ns0:c r="AB397" s="17" t="n"/>
      <ns0:c r="AC397" s="17" t="n"/>
      <ns0:c r="AD397" s="17" t="n"/>
      <ns0:c r="AE397" s="17" t="n"/>
      <ns0:c r="AF397" s="17" t="n"/>
      <ns0:c r="AG397" s="17" t="n"/>
    </ns0:row>
    <ns0:row r="398" ht="24" customHeight="1">
      <ns0:c r="D398" s="17" t="n"/>
      <ns0:c r="E398" s="17" t="n"/>
      <ns0:c r="F398" s="17" t="n"/>
      <ns0:c r="G398" s="17" t="n"/>
      <ns0:c r="H398" s="17" t="n"/>
      <ns0:c r="I398" s="17" t="n"/>
      <ns0:c r="J398" s="17" t="n"/>
      <ns0:c r="K398" s="17" t="n"/>
      <ns0:c r="L398" s="17" t="n"/>
      <ns0:c r="M398" s="17" t="n"/>
      <ns0:c r="N398" s="17" t="n"/>
      <ns0:c r="O398" s="17" t="n"/>
      <ns0:c r="P398" s="17" t="n"/>
      <ns0:c r="Q398" s="17" t="n"/>
      <ns0:c r="R398" s="17" t="n"/>
      <ns0:c r="S398" s="17" t="n"/>
      <ns0:c r="T398" s="17" t="n"/>
      <ns0:c r="U398" s="17" t="n"/>
      <ns0:c r="V398" s="17" t="n"/>
      <ns0:c r="W398" s="17" t="n"/>
      <ns0:c r="X398" s="17" t="n"/>
      <ns0:c r="Y398" s="17" t="n"/>
      <ns0:c r="Z398" s="17" t="n"/>
      <ns0:c r="AA398" s="17" t="n"/>
      <ns0:c r="AB398" s="17" t="n"/>
      <ns0:c r="AC398" s="17" t="n"/>
      <ns0:c r="AD398" s="17" t="n"/>
      <ns0:c r="AE398" s="17" t="n"/>
      <ns0:c r="AF398" s="17" t="n"/>
      <ns0:c r="AG398" s="17" t="n"/>
    </ns0:row>
    <ns0:row r="399" ht="24" customHeight="1">
      <ns0:c r="D399" s="17" t="n"/>
      <ns0:c r="E399" s="17" t="n"/>
      <ns0:c r="F399" s="17" t="n"/>
      <ns0:c r="G399" s="17" t="n"/>
      <ns0:c r="H399" s="17" t="n"/>
      <ns0:c r="I399" s="17" t="n"/>
      <ns0:c r="J399" s="17" t="n"/>
      <ns0:c r="K399" s="17" t="n"/>
      <ns0:c r="L399" s="17" t="n"/>
      <ns0:c r="M399" s="17" t="n"/>
      <ns0:c r="N399" s="17" t="n"/>
      <ns0:c r="O399" s="17" t="n"/>
      <ns0:c r="P399" s="17" t="n"/>
      <ns0:c r="Q399" s="17" t="n"/>
      <ns0:c r="R399" s="17" t="n"/>
      <ns0:c r="S399" s="17" t="n"/>
      <ns0:c r="T399" s="17" t="n"/>
      <ns0:c r="U399" s="17" t="n"/>
      <ns0:c r="V399" s="17" t="n"/>
      <ns0:c r="W399" s="17" t="n"/>
      <ns0:c r="X399" s="17" t="n"/>
      <ns0:c r="Y399" s="17" t="n"/>
      <ns0:c r="Z399" s="17" t="n"/>
      <ns0:c r="AA399" s="17" t="n"/>
      <ns0:c r="AB399" s="17" t="n"/>
      <ns0:c r="AC399" s="17" t="n"/>
      <ns0:c r="AD399" s="17" t="n"/>
      <ns0:c r="AE399" s="17" t="n"/>
      <ns0:c r="AF399" s="17" t="n"/>
      <ns0:c r="AG399" s="17" t="n"/>
    </ns0:row>
    <ns0:row r="400" ht="24" customHeight="1">
      <ns0:c r="D400" s="17" t="n"/>
      <ns0:c r="E400" s="17" t="n"/>
      <ns0:c r="F400" s="17" t="n"/>
      <ns0:c r="G400" s="17" t="n"/>
      <ns0:c r="H400" s="17" t="n"/>
      <ns0:c r="I400" s="17" t="n"/>
      <ns0:c r="J400" s="17" t="n"/>
      <ns0:c r="K400" s="17" t="n"/>
      <ns0:c r="L400" s="17" t="n"/>
      <ns0:c r="M400" s="17" t="n"/>
      <ns0:c r="N400" s="17" t="n"/>
      <ns0:c r="O400" s="17" t="n"/>
      <ns0:c r="P400" s="17" t="n"/>
      <ns0:c r="Q400" s="17" t="n"/>
      <ns0:c r="R400" s="17" t="n"/>
      <ns0:c r="S400" s="17" t="n"/>
      <ns0:c r="T400" s="17" t="n"/>
      <ns0:c r="U400" s="17" t="n"/>
      <ns0:c r="V400" s="17" t="n"/>
      <ns0:c r="W400" s="17" t="n"/>
      <ns0:c r="X400" s="17" t="n"/>
      <ns0:c r="Y400" s="17" t="n"/>
      <ns0:c r="Z400" s="17" t="n"/>
      <ns0:c r="AA400" s="17" t="n"/>
      <ns0:c r="AB400" s="17" t="n"/>
      <ns0:c r="AC400" s="17" t="n"/>
      <ns0:c r="AD400" s="17" t="n"/>
      <ns0:c r="AE400" s="17" t="n"/>
      <ns0:c r="AF400" s="17" t="n"/>
      <ns0:c r="AG400" s="17" t="n"/>
    </ns0:row>
    <ns0:row r="401" ht="24" customHeight="1">
      <ns0:c r="D401" s="17" t="n"/>
      <ns0:c r="E401" s="17" t="n"/>
      <ns0:c r="F401" s="17" t="n"/>
      <ns0:c r="G401" s="17" t="n"/>
      <ns0:c r="H401" s="17" t="n"/>
      <ns0:c r="I401" s="17" t="n"/>
      <ns0:c r="J401" s="17" t="n"/>
      <ns0:c r="K401" s="17" t="n"/>
      <ns0:c r="L401" s="17" t="n"/>
      <ns0:c r="M401" s="17" t="n"/>
      <ns0:c r="N401" s="17" t="n"/>
      <ns0:c r="O401" s="17" t="n"/>
      <ns0:c r="P401" s="17" t="n"/>
      <ns0:c r="Q401" s="17" t="n"/>
      <ns0:c r="R401" s="17" t="n"/>
      <ns0:c r="S401" s="17" t="n"/>
      <ns0:c r="T401" s="17" t="n"/>
      <ns0:c r="U401" s="17" t="n"/>
      <ns0:c r="V401" s="17" t="n"/>
      <ns0:c r="W401" s="17" t="n"/>
      <ns0:c r="X401" s="17" t="n"/>
      <ns0:c r="Y401" s="17" t="n"/>
      <ns0:c r="Z401" s="17" t="n"/>
      <ns0:c r="AA401" s="17" t="n"/>
      <ns0:c r="AB401" s="17" t="n"/>
      <ns0:c r="AC401" s="17" t="n"/>
      <ns0:c r="AD401" s="17" t="n"/>
      <ns0:c r="AE401" s="17" t="n"/>
      <ns0:c r="AF401" s="17" t="n"/>
      <ns0:c r="AG401" s="17" t="n"/>
    </ns0:row>
    <ns0:row r="402" ht="24" customHeight="1">
      <ns0:c r="D402" s="17" t="n"/>
      <ns0:c r="E402" s="17" t="n"/>
      <ns0:c r="F402" s="17" t="n"/>
      <ns0:c r="G402" s="17" t="n"/>
      <ns0:c r="H402" s="17" t="n"/>
      <ns0:c r="I402" s="17" t="n"/>
      <ns0:c r="J402" s="17" t="n"/>
      <ns0:c r="K402" s="17" t="n"/>
      <ns0:c r="L402" s="17" t="n"/>
      <ns0:c r="M402" s="17" t="n"/>
      <ns0:c r="N402" s="17" t="n"/>
      <ns0:c r="O402" s="17" t="n"/>
      <ns0:c r="P402" s="17" t="n"/>
      <ns0:c r="Q402" s="17" t="n"/>
      <ns0:c r="R402" s="17" t="n"/>
      <ns0:c r="S402" s="17" t="n"/>
      <ns0:c r="T402" s="17" t="n"/>
      <ns0:c r="U402" s="17" t="n"/>
      <ns0:c r="V402" s="17" t="n"/>
      <ns0:c r="W402" s="17" t="n"/>
      <ns0:c r="X402" s="17" t="n"/>
      <ns0:c r="Y402" s="17" t="n"/>
      <ns0:c r="Z402" s="17" t="n"/>
      <ns0:c r="AA402" s="17" t="n"/>
      <ns0:c r="AB402" s="17" t="n"/>
      <ns0:c r="AC402" s="17" t="n"/>
      <ns0:c r="AD402" s="17" t="n"/>
      <ns0:c r="AE402" s="17" t="n"/>
      <ns0:c r="AF402" s="17" t="n"/>
      <ns0:c r="AG402" s="17" t="n"/>
    </ns0:row>
    <ns0:row r="403" ht="24" customHeight="1">
      <ns0:c r="D403" s="17" t="n"/>
      <ns0:c r="E403" s="17" t="n"/>
      <ns0:c r="F403" s="17" t="n"/>
      <ns0:c r="G403" s="17" t="n"/>
      <ns0:c r="H403" s="17" t="n"/>
      <ns0:c r="I403" s="17" t="n"/>
      <ns0:c r="J403" s="17" t="n"/>
      <ns0:c r="K403" s="17" t="n"/>
      <ns0:c r="L403" s="17" t="n"/>
      <ns0:c r="M403" s="17" t="n"/>
      <ns0:c r="N403" s="17" t="n"/>
      <ns0:c r="O403" s="17" t="n"/>
      <ns0:c r="P403" s="17" t="n"/>
      <ns0:c r="Q403" s="17" t="n"/>
      <ns0:c r="R403" s="17" t="n"/>
      <ns0:c r="S403" s="17" t="n"/>
      <ns0:c r="T403" s="17" t="n"/>
      <ns0:c r="U403" s="17" t="n"/>
      <ns0:c r="V403" s="17" t="n"/>
      <ns0:c r="W403" s="17" t="n"/>
      <ns0:c r="X403" s="17" t="n"/>
      <ns0:c r="Y403" s="17" t="n"/>
      <ns0:c r="Z403" s="17" t="n"/>
      <ns0:c r="AA403" s="17" t="n"/>
      <ns0:c r="AB403" s="17" t="n"/>
      <ns0:c r="AC403" s="17" t="n"/>
      <ns0:c r="AD403" s="17" t="n"/>
      <ns0:c r="AE403" s="17" t="n"/>
      <ns0:c r="AF403" s="17" t="n"/>
      <ns0:c r="AG403" s="17" t="n"/>
    </ns0:row>
    <ns0:row r="404" ht="24" customHeight="1">
      <ns0:c r="D404" s="17" t="n"/>
      <ns0:c r="E404" s="17" t="n"/>
      <ns0:c r="F404" s="17" t="n"/>
      <ns0:c r="G404" s="17" t="n"/>
      <ns0:c r="H404" s="17" t="n"/>
      <ns0:c r="I404" s="17" t="n"/>
      <ns0:c r="J404" s="17" t="n"/>
      <ns0:c r="K404" s="17" t="n"/>
      <ns0:c r="L404" s="17" t="n"/>
      <ns0:c r="M404" s="17" t="n"/>
      <ns0:c r="N404" s="17" t="n"/>
      <ns0:c r="O404" s="17" t="n"/>
      <ns0:c r="P404" s="17" t="n"/>
      <ns0:c r="Q404" s="17" t="n"/>
      <ns0:c r="R404" s="17" t="n"/>
      <ns0:c r="S404" s="17" t="n"/>
      <ns0:c r="T404" s="17" t="n"/>
      <ns0:c r="U404" s="17" t="n"/>
      <ns0:c r="V404" s="17" t="n"/>
      <ns0:c r="W404" s="17" t="n"/>
      <ns0:c r="X404" s="17" t="n"/>
      <ns0:c r="Y404" s="17" t="n"/>
      <ns0:c r="Z404" s="17" t="n"/>
      <ns0:c r="AA404" s="17" t="n"/>
      <ns0:c r="AB404" s="17" t="n"/>
      <ns0:c r="AC404" s="17" t="n"/>
      <ns0:c r="AD404" s="17" t="n"/>
      <ns0:c r="AE404" s="17" t="n"/>
      <ns0:c r="AF404" s="17" t="n"/>
      <ns0:c r="AG404" s="17" t="n"/>
    </ns0:row>
    <ns0:row r="405" ht="24" customHeight="1">
      <ns0:c r="D405" s="17" t="n"/>
      <ns0:c r="E405" s="17" t="n"/>
      <ns0:c r="F405" s="17" t="n"/>
      <ns0:c r="G405" s="17" t="n"/>
      <ns0:c r="H405" s="17" t="n"/>
      <ns0:c r="I405" s="17" t="n"/>
      <ns0:c r="J405" s="17" t="n"/>
      <ns0:c r="K405" s="17" t="n"/>
      <ns0:c r="L405" s="17" t="n"/>
      <ns0:c r="M405" s="17" t="n"/>
      <ns0:c r="N405" s="17" t="n"/>
      <ns0:c r="O405" s="17" t="n"/>
      <ns0:c r="P405" s="17" t="n"/>
      <ns0:c r="Q405" s="17" t="n"/>
      <ns0:c r="R405" s="17" t="n"/>
      <ns0:c r="S405" s="17" t="n"/>
      <ns0:c r="T405" s="17" t="n"/>
      <ns0:c r="U405" s="17" t="n"/>
      <ns0:c r="V405" s="17" t="n"/>
      <ns0:c r="W405" s="17" t="n"/>
      <ns0:c r="X405" s="17" t="n"/>
      <ns0:c r="Y405" s="17" t="n"/>
      <ns0:c r="Z405" s="17" t="n"/>
      <ns0:c r="AA405" s="17" t="n"/>
      <ns0:c r="AB405" s="17" t="n"/>
      <ns0:c r="AC405" s="17" t="n"/>
      <ns0:c r="AD405" s="17" t="n"/>
      <ns0:c r="AE405" s="17" t="n"/>
      <ns0:c r="AF405" s="17" t="n"/>
      <ns0:c r="AG405" s="17" t="n"/>
    </ns0:row>
    <ns0:row r="406" ht="24" customHeight="1">
      <ns0:c r="D406" s="17" t="n"/>
      <ns0:c r="E406" s="17" t="n"/>
      <ns0:c r="F406" s="17" t="n"/>
      <ns0:c r="G406" s="17" t="n"/>
      <ns0:c r="H406" s="17" t="n"/>
      <ns0:c r="I406" s="17" t="n"/>
      <ns0:c r="J406" s="17" t="n"/>
      <ns0:c r="K406" s="17" t="n"/>
      <ns0:c r="L406" s="17" t="n"/>
      <ns0:c r="M406" s="17" t="n"/>
      <ns0:c r="N406" s="17" t="n"/>
      <ns0:c r="O406" s="17" t="n"/>
      <ns0:c r="P406" s="17" t="n"/>
      <ns0:c r="Q406" s="17" t="n"/>
      <ns0:c r="R406" s="17" t="n"/>
      <ns0:c r="S406" s="17" t="n"/>
      <ns0:c r="T406" s="17" t="n"/>
      <ns0:c r="U406" s="17" t="n"/>
      <ns0:c r="V406" s="17" t="n"/>
      <ns0:c r="W406" s="17" t="n"/>
      <ns0:c r="X406" s="17" t="n"/>
      <ns0:c r="Y406" s="17" t="n"/>
      <ns0:c r="Z406" s="17" t="n"/>
      <ns0:c r="AA406" s="17" t="n"/>
      <ns0:c r="AB406" s="17" t="n"/>
      <ns0:c r="AC406" s="17" t="n"/>
      <ns0:c r="AD406" s="17" t="n"/>
      <ns0:c r="AE406" s="17" t="n"/>
      <ns0:c r="AF406" s="17" t="n"/>
      <ns0:c r="AG406" s="17" t="n"/>
    </ns0:row>
    <ns0:row r="407" ht="24" customHeight="1">
      <ns0:c r="D407" s="17" t="n"/>
      <ns0:c r="E407" s="17" t="n"/>
      <ns0:c r="F407" s="17" t="n"/>
      <ns0:c r="G407" s="17" t="n"/>
      <ns0:c r="H407" s="17" t="n"/>
      <ns0:c r="I407" s="17" t="n"/>
      <ns0:c r="J407" s="17" t="n"/>
      <ns0:c r="K407" s="17" t="n"/>
      <ns0:c r="L407" s="17" t="n"/>
      <ns0:c r="M407" s="17" t="n"/>
      <ns0:c r="N407" s="17" t="n"/>
      <ns0:c r="O407" s="17" t="n"/>
      <ns0:c r="P407" s="17" t="n"/>
      <ns0:c r="Q407" s="17" t="n"/>
      <ns0:c r="R407" s="17" t="n"/>
      <ns0:c r="S407" s="17" t="n"/>
      <ns0:c r="T407" s="17" t="n"/>
      <ns0:c r="U407" s="17" t="n"/>
      <ns0:c r="V407" s="17" t="n"/>
      <ns0:c r="W407" s="17" t="n"/>
      <ns0:c r="X407" s="17" t="n"/>
      <ns0:c r="Y407" s="17" t="n"/>
      <ns0:c r="Z407" s="17" t="n"/>
      <ns0:c r="AA407" s="17" t="n"/>
      <ns0:c r="AB407" s="17" t="n"/>
      <ns0:c r="AC407" s="17" t="n"/>
      <ns0:c r="AD407" s="17" t="n"/>
      <ns0:c r="AE407" s="17" t="n"/>
      <ns0:c r="AF407" s="17" t="n"/>
      <ns0:c r="AG407" s="17" t="n"/>
    </ns0:row>
    <ns0:row r="408" ht="24" customHeight="1">
      <ns0:c r="D408" s="17" t="n"/>
      <ns0:c r="E408" s="17" t="n"/>
      <ns0:c r="F408" s="17" t="n"/>
      <ns0:c r="G408" s="17" t="n"/>
      <ns0:c r="H408" s="17" t="n"/>
      <ns0:c r="I408" s="17" t="n"/>
      <ns0:c r="J408" s="17" t="n"/>
      <ns0:c r="K408" s="17" t="n"/>
      <ns0:c r="L408" s="17" t="n"/>
      <ns0:c r="M408" s="17" t="n"/>
      <ns0:c r="N408" s="17" t="n"/>
      <ns0:c r="O408" s="17" t="n"/>
      <ns0:c r="P408" s="17" t="n"/>
      <ns0:c r="Q408" s="17" t="n"/>
      <ns0:c r="R408" s="17" t="n"/>
      <ns0:c r="S408" s="17" t="n"/>
      <ns0:c r="T408" s="17" t="n"/>
      <ns0:c r="U408" s="17" t="n"/>
      <ns0:c r="V408" s="17" t="n"/>
      <ns0:c r="W408" s="17" t="n"/>
      <ns0:c r="X408" s="17" t="n"/>
      <ns0:c r="Y408" s="17" t="n"/>
      <ns0:c r="Z408" s="17" t="n"/>
      <ns0:c r="AA408" s="17" t="n"/>
      <ns0:c r="AB408" s="17" t="n"/>
      <ns0:c r="AC408" s="17" t="n"/>
      <ns0:c r="AD408" s="17" t="n"/>
      <ns0:c r="AE408" s="17" t="n"/>
      <ns0:c r="AF408" s="17" t="n"/>
      <ns0:c r="AG408" s="17" t="n"/>
    </ns0:row>
    <ns0:row r="409" ht="24" customHeight="1">
      <ns0:c r="D409" s="17" t="n"/>
      <ns0:c r="E409" s="17" t="n"/>
      <ns0:c r="F409" s="17" t="n"/>
      <ns0:c r="G409" s="17" t="n"/>
      <ns0:c r="H409" s="17" t="n"/>
      <ns0:c r="I409" s="17" t="n"/>
      <ns0:c r="J409" s="17" t="n"/>
      <ns0:c r="K409" s="17" t="n"/>
      <ns0:c r="L409" s="17" t="n"/>
      <ns0:c r="M409" s="17" t="n"/>
      <ns0:c r="N409" s="17" t="n"/>
      <ns0:c r="O409" s="17" t="n"/>
      <ns0:c r="P409" s="17" t="n"/>
      <ns0:c r="Q409" s="17" t="n"/>
      <ns0:c r="R409" s="17" t="n"/>
      <ns0:c r="S409" s="17" t="n"/>
      <ns0:c r="T409" s="17" t="n"/>
      <ns0:c r="U409" s="17" t="n"/>
      <ns0:c r="V409" s="17" t="n"/>
      <ns0:c r="W409" s="17" t="n"/>
      <ns0:c r="X409" s="17" t="n"/>
      <ns0:c r="Y409" s="17" t="n"/>
      <ns0:c r="Z409" s="17" t="n"/>
      <ns0:c r="AA409" s="17" t="n"/>
      <ns0:c r="AB409" s="17" t="n"/>
      <ns0:c r="AC409" s="17" t="n"/>
      <ns0:c r="AD409" s="17" t="n"/>
      <ns0:c r="AE409" s="17" t="n"/>
      <ns0:c r="AF409" s="17" t="n"/>
      <ns0:c r="AG409" s="17" t="n"/>
    </ns0:row>
    <ns0:row r="410" ht="24" customHeight="1">
      <ns0:c r="D410" s="17" t="n"/>
      <ns0:c r="E410" s="17" t="n"/>
      <ns0:c r="F410" s="17" t="n"/>
      <ns0:c r="G410" s="17" t="n"/>
      <ns0:c r="H410" s="17" t="n"/>
      <ns0:c r="I410" s="17" t="n"/>
      <ns0:c r="J410" s="17" t="n"/>
      <ns0:c r="K410" s="17" t="n"/>
      <ns0:c r="L410" s="17" t="n"/>
      <ns0:c r="M410" s="17" t="n"/>
      <ns0:c r="N410" s="17" t="n"/>
      <ns0:c r="O410" s="17" t="n"/>
      <ns0:c r="P410" s="17" t="n"/>
      <ns0:c r="Q410" s="17" t="n"/>
      <ns0:c r="R410" s="17" t="n"/>
      <ns0:c r="S410" s="17" t="n"/>
      <ns0:c r="T410" s="17" t="n"/>
      <ns0:c r="U410" s="17" t="n"/>
      <ns0:c r="V410" s="17" t="n"/>
      <ns0:c r="W410" s="17" t="n"/>
      <ns0:c r="X410" s="17" t="n"/>
      <ns0:c r="Y410" s="17" t="n"/>
      <ns0:c r="Z410" s="17" t="n"/>
      <ns0:c r="AA410" s="17" t="n"/>
      <ns0:c r="AB410" s="17" t="n"/>
      <ns0:c r="AC410" s="17" t="n"/>
      <ns0:c r="AD410" s="17" t="n"/>
      <ns0:c r="AE410" s="17" t="n"/>
      <ns0:c r="AF410" s="17" t="n"/>
      <ns0:c r="AG410" s="17" t="n"/>
    </ns0:row>
    <ns0:row r="411" ht="24" customHeight="1">
      <ns0:c r="D411" s="17" t="n"/>
      <ns0:c r="E411" s="17" t="n"/>
      <ns0:c r="F411" s="17" t="n"/>
      <ns0:c r="G411" s="17" t="n"/>
      <ns0:c r="H411" s="17" t="n"/>
      <ns0:c r="I411" s="17" t="n"/>
      <ns0:c r="J411" s="17" t="n"/>
      <ns0:c r="K411" s="17" t="n"/>
      <ns0:c r="L411" s="17" t="n"/>
      <ns0:c r="M411" s="17" t="n"/>
      <ns0:c r="N411" s="17" t="n"/>
      <ns0:c r="O411" s="17" t="n"/>
      <ns0:c r="P411" s="17" t="n"/>
      <ns0:c r="Q411" s="17" t="n"/>
      <ns0:c r="R411" s="17" t="n"/>
      <ns0:c r="S411" s="17" t="n"/>
      <ns0:c r="T411" s="17" t="n"/>
      <ns0:c r="U411" s="17" t="n"/>
      <ns0:c r="V411" s="17" t="n"/>
      <ns0:c r="W411" s="17" t="n"/>
      <ns0:c r="X411" s="17" t="n"/>
      <ns0:c r="Y411" s="17" t="n"/>
      <ns0:c r="Z411" s="17" t="n"/>
      <ns0:c r="AA411" s="17" t="n"/>
      <ns0:c r="AB411" s="17" t="n"/>
      <ns0:c r="AC411" s="17" t="n"/>
      <ns0:c r="AD411" s="17" t="n"/>
      <ns0:c r="AE411" s="17" t="n"/>
      <ns0:c r="AF411" s="17" t="n"/>
      <ns0:c r="AG411" s="17" t="n"/>
    </ns0:row>
    <ns0:row r="412" ht="24" customHeight="1">
      <ns0:c r="D412" s="17" t="n"/>
      <ns0:c r="E412" s="17" t="n"/>
      <ns0:c r="F412" s="17" t="n"/>
      <ns0:c r="G412" s="17" t="n"/>
      <ns0:c r="H412" s="17" t="n"/>
      <ns0:c r="I412" s="17" t="n"/>
      <ns0:c r="J412" s="17" t="n"/>
      <ns0:c r="K412" s="17" t="n"/>
      <ns0:c r="L412" s="17" t="n"/>
      <ns0:c r="M412" s="17" t="n"/>
      <ns0:c r="N412" s="17" t="n"/>
      <ns0:c r="O412" s="17" t="n"/>
      <ns0:c r="P412" s="17" t="n"/>
      <ns0:c r="Q412" s="17" t="n"/>
      <ns0:c r="R412" s="17" t="n"/>
      <ns0:c r="S412" s="17" t="n"/>
      <ns0:c r="T412" s="17" t="n"/>
      <ns0:c r="U412" s="17" t="n"/>
      <ns0:c r="V412" s="17" t="n"/>
      <ns0:c r="W412" s="17" t="n"/>
      <ns0:c r="X412" s="17" t="n"/>
      <ns0:c r="Y412" s="17" t="n"/>
      <ns0:c r="Z412" s="17" t="n"/>
      <ns0:c r="AA412" s="17" t="n"/>
      <ns0:c r="AB412" s="17" t="n"/>
      <ns0:c r="AC412" s="17" t="n"/>
      <ns0:c r="AD412" s="17" t="n"/>
      <ns0:c r="AE412" s="17" t="n"/>
      <ns0:c r="AF412" s="17" t="n"/>
      <ns0:c r="AG412" s="17" t="n"/>
    </ns0:row>
    <ns0:row r="413" ht="24" customHeight="1">
      <ns0:c r="D413" s="17" t="n"/>
      <ns0:c r="E413" s="17" t="n"/>
      <ns0:c r="F413" s="17" t="n"/>
      <ns0:c r="G413" s="17" t="n"/>
      <ns0:c r="H413" s="17" t="n"/>
      <ns0:c r="I413" s="17" t="n"/>
      <ns0:c r="J413" s="17" t="n"/>
      <ns0:c r="K413" s="17" t="n"/>
      <ns0:c r="L413" s="17" t="n"/>
      <ns0:c r="M413" s="17" t="n"/>
      <ns0:c r="N413" s="17" t="n"/>
      <ns0:c r="O413" s="17" t="n"/>
      <ns0:c r="P413" s="17" t="n"/>
      <ns0:c r="Q413" s="17" t="n"/>
      <ns0:c r="R413" s="17" t="n"/>
      <ns0:c r="S413" s="17" t="n"/>
      <ns0:c r="T413" s="17" t="n"/>
      <ns0:c r="U413" s="17" t="n"/>
      <ns0:c r="V413" s="17" t="n"/>
      <ns0:c r="W413" s="17" t="n"/>
      <ns0:c r="X413" s="17" t="n"/>
      <ns0:c r="Y413" s="17" t="n"/>
      <ns0:c r="Z413" s="17" t="n"/>
      <ns0:c r="AA413" s="17" t="n"/>
      <ns0:c r="AB413" s="17" t="n"/>
      <ns0:c r="AC413" s="17" t="n"/>
      <ns0:c r="AD413" s="17" t="n"/>
      <ns0:c r="AE413" s="17" t="n"/>
      <ns0:c r="AF413" s="17" t="n"/>
      <ns0:c r="AG413" s="17" t="n"/>
    </ns0:row>
    <ns0:row r="414" ht="24" customHeight="1">
      <ns0:c r="D414" s="17" t="n"/>
      <ns0:c r="E414" s="17" t="n"/>
      <ns0:c r="F414" s="17" t="n"/>
      <ns0:c r="G414" s="17" t="n"/>
      <ns0:c r="H414" s="17" t="n"/>
      <ns0:c r="I414" s="17" t="n"/>
      <ns0:c r="J414" s="17" t="n"/>
      <ns0:c r="K414" s="17" t="n"/>
      <ns0:c r="L414" s="17" t="n"/>
      <ns0:c r="M414" s="17" t="n"/>
      <ns0:c r="N414" s="17" t="n"/>
      <ns0:c r="O414" s="17" t="n"/>
      <ns0:c r="P414" s="17" t="n"/>
      <ns0:c r="Q414" s="17" t="n"/>
      <ns0:c r="R414" s="17" t="n"/>
      <ns0:c r="S414" s="17" t="n"/>
      <ns0:c r="T414" s="17" t="n"/>
      <ns0:c r="U414" s="17" t="n"/>
      <ns0:c r="V414" s="17" t="n"/>
      <ns0:c r="W414" s="17" t="n"/>
      <ns0:c r="X414" s="17" t="n"/>
      <ns0:c r="Y414" s="17" t="n"/>
      <ns0:c r="Z414" s="17" t="n"/>
      <ns0:c r="AA414" s="17" t="n"/>
      <ns0:c r="AB414" s="17" t="n"/>
      <ns0:c r="AC414" s="17" t="n"/>
      <ns0:c r="AD414" s="17" t="n"/>
      <ns0:c r="AE414" s="17" t="n"/>
      <ns0:c r="AF414" s="17" t="n"/>
      <ns0:c r="AG414" s="17" t="n"/>
    </ns0:row>
    <ns0:row r="415" ht="24" customHeight="1">
      <ns0:c r="D415" s="17" t="n"/>
      <ns0:c r="E415" s="17" t="n"/>
      <ns0:c r="F415" s="17" t="n"/>
      <ns0:c r="G415" s="17" t="n"/>
      <ns0:c r="H415" s="17" t="n"/>
      <ns0:c r="I415" s="17" t="n"/>
      <ns0:c r="J415" s="17" t="n"/>
      <ns0:c r="K415" s="17" t="n"/>
      <ns0:c r="L415" s="17" t="n"/>
      <ns0:c r="M415" s="17" t="n"/>
      <ns0:c r="N415" s="17" t="n"/>
      <ns0:c r="O415" s="17" t="n"/>
      <ns0:c r="P415" s="17" t="n"/>
      <ns0:c r="Q415" s="17" t="n"/>
      <ns0:c r="R415" s="17" t="n"/>
      <ns0:c r="S415" s="17" t="n"/>
      <ns0:c r="T415" s="17" t="n"/>
      <ns0:c r="U415" s="17" t="n"/>
      <ns0:c r="V415" s="17" t="n"/>
      <ns0:c r="W415" s="17" t="n"/>
      <ns0:c r="X415" s="17" t="n"/>
      <ns0:c r="Y415" s="17" t="n"/>
      <ns0:c r="Z415" s="17" t="n"/>
      <ns0:c r="AA415" s="17" t="n"/>
      <ns0:c r="AB415" s="17" t="n"/>
      <ns0:c r="AC415" s="17" t="n"/>
      <ns0:c r="AD415" s="17" t="n"/>
      <ns0:c r="AE415" s="17" t="n"/>
      <ns0:c r="AF415" s="17" t="n"/>
      <ns0:c r="AG415" s="17" t="n"/>
    </ns0:row>
    <ns0:row r="416" ht="24" customHeight="1">
      <ns0:c r="D416" s="17" t="n"/>
      <ns0:c r="E416" s="17" t="n"/>
      <ns0:c r="F416" s="17" t="n"/>
      <ns0:c r="G416" s="17" t="n"/>
      <ns0:c r="H416" s="17" t="n"/>
      <ns0:c r="I416" s="17" t="n"/>
      <ns0:c r="J416" s="17" t="n"/>
      <ns0:c r="K416" s="17" t="n"/>
      <ns0:c r="L416" s="17" t="n"/>
      <ns0:c r="M416" s="17" t="n"/>
      <ns0:c r="N416" s="17" t="n"/>
      <ns0:c r="O416" s="17" t="n"/>
      <ns0:c r="P416" s="17" t="n"/>
      <ns0:c r="Q416" s="17" t="n"/>
      <ns0:c r="R416" s="17" t="n"/>
      <ns0:c r="S416" s="17" t="n"/>
      <ns0:c r="T416" s="17" t="n"/>
      <ns0:c r="U416" s="17" t="n"/>
      <ns0:c r="V416" s="17" t="n"/>
      <ns0:c r="W416" s="17" t="n"/>
      <ns0:c r="X416" s="17" t="n"/>
      <ns0:c r="Y416" s="17" t="n"/>
      <ns0:c r="Z416" s="17" t="n"/>
      <ns0:c r="AA416" s="17" t="n"/>
      <ns0:c r="AB416" s="17" t="n"/>
      <ns0:c r="AC416" s="17" t="n"/>
      <ns0:c r="AD416" s="17" t="n"/>
      <ns0:c r="AE416" s="17" t="n"/>
      <ns0:c r="AF416" s="17" t="n"/>
      <ns0:c r="AG416" s="17" t="n"/>
    </ns0:row>
    <ns0:row r="417" ht="24" customHeight="1">
      <ns0:c r="D417" s="17" t="n"/>
      <ns0:c r="E417" s="17" t="n"/>
      <ns0:c r="F417" s="17" t="n"/>
      <ns0:c r="G417" s="17" t="n"/>
      <ns0:c r="H417" s="17" t="n"/>
      <ns0:c r="I417" s="17" t="n"/>
      <ns0:c r="J417" s="17" t="n"/>
      <ns0:c r="K417" s="17" t="n"/>
      <ns0:c r="L417" s="17" t="n"/>
      <ns0:c r="M417" s="17" t="n"/>
      <ns0:c r="N417" s="17" t="n"/>
      <ns0:c r="O417" s="17" t="n"/>
      <ns0:c r="P417" s="17" t="n"/>
      <ns0:c r="Q417" s="17" t="n"/>
      <ns0:c r="R417" s="17" t="n"/>
      <ns0:c r="S417" s="17" t="n"/>
      <ns0:c r="T417" s="17" t="n"/>
      <ns0:c r="U417" s="17" t="n"/>
      <ns0:c r="V417" s="17" t="n"/>
      <ns0:c r="W417" s="17" t="n"/>
      <ns0:c r="X417" s="17" t="n"/>
      <ns0:c r="Y417" s="17" t="n"/>
      <ns0:c r="Z417" s="17" t="n"/>
      <ns0:c r="AA417" s="17" t="n"/>
      <ns0:c r="AB417" s="17" t="n"/>
      <ns0:c r="AC417" s="17" t="n"/>
      <ns0:c r="AD417" s="17" t="n"/>
      <ns0:c r="AE417" s="17" t="n"/>
      <ns0:c r="AF417" s="17" t="n"/>
      <ns0:c r="AG417" s="17" t="n"/>
    </ns0:row>
    <ns0:row r="418" ht="24" customHeight="1">
      <ns0:c r="D418" s="17" t="n"/>
      <ns0:c r="E418" s="17" t="n"/>
      <ns0:c r="F418" s="17" t="n"/>
      <ns0:c r="G418" s="17" t="n"/>
      <ns0:c r="H418" s="17" t="n"/>
      <ns0:c r="I418" s="17" t="n"/>
      <ns0:c r="J418" s="17" t="n"/>
      <ns0:c r="K418" s="17" t="n"/>
      <ns0:c r="L418" s="17" t="n"/>
      <ns0:c r="M418" s="17" t="n"/>
      <ns0:c r="N418" s="17" t="n"/>
      <ns0:c r="O418" s="17" t="n"/>
      <ns0:c r="P418" s="17" t="n"/>
      <ns0:c r="Q418" s="17" t="n"/>
      <ns0:c r="R418" s="17" t="n"/>
      <ns0:c r="S418" s="17" t="n"/>
      <ns0:c r="T418" s="17" t="n"/>
      <ns0:c r="U418" s="17" t="n"/>
      <ns0:c r="V418" s="17" t="n"/>
      <ns0:c r="W418" s="17" t="n"/>
      <ns0:c r="X418" s="17" t="n"/>
      <ns0:c r="Y418" s="17" t="n"/>
      <ns0:c r="Z418" s="17" t="n"/>
      <ns0:c r="AA418" s="17" t="n"/>
      <ns0:c r="AB418" s="17" t="n"/>
      <ns0:c r="AC418" s="17" t="n"/>
      <ns0:c r="AD418" s="17" t="n"/>
      <ns0:c r="AE418" s="17" t="n"/>
      <ns0:c r="AF418" s="17" t="n"/>
      <ns0:c r="AG418" s="17" t="n"/>
    </ns0:row>
    <ns0:row r="419" ht="24" customHeight="1">
      <ns0:c r="D419" s="17" t="n"/>
      <ns0:c r="E419" s="17" t="n"/>
      <ns0:c r="F419" s="17" t="n"/>
      <ns0:c r="G419" s="17" t="n"/>
      <ns0:c r="H419" s="17" t="n"/>
      <ns0:c r="I419" s="17" t="n"/>
      <ns0:c r="J419" s="17" t="n"/>
      <ns0:c r="K419" s="17" t="n"/>
      <ns0:c r="L419" s="17" t="n"/>
      <ns0:c r="M419" s="17" t="n"/>
      <ns0:c r="N419" s="17" t="n"/>
      <ns0:c r="O419" s="17" t="n"/>
      <ns0:c r="P419" s="17" t="n"/>
      <ns0:c r="Q419" s="17" t="n"/>
      <ns0:c r="R419" s="17" t="n"/>
      <ns0:c r="S419" s="17" t="n"/>
      <ns0:c r="T419" s="17" t="n"/>
      <ns0:c r="U419" s="17" t="n"/>
      <ns0:c r="V419" s="17" t="n"/>
      <ns0:c r="W419" s="17" t="n"/>
      <ns0:c r="X419" s="17" t="n"/>
      <ns0:c r="Y419" s="17" t="n"/>
      <ns0:c r="Z419" s="17" t="n"/>
      <ns0:c r="AA419" s="17" t="n"/>
      <ns0:c r="AB419" s="17" t="n"/>
      <ns0:c r="AC419" s="17" t="n"/>
      <ns0:c r="AD419" s="17" t="n"/>
      <ns0:c r="AE419" s="17" t="n"/>
      <ns0:c r="AF419" s="17" t="n"/>
      <ns0:c r="AG419" s="17" t="n"/>
    </ns0:row>
    <ns0:row r="420" ht="24" customHeight="1">
      <ns0:c r="D420" s="17" t="n"/>
      <ns0:c r="E420" s="17" t="n"/>
      <ns0:c r="F420" s="17" t="n"/>
      <ns0:c r="G420" s="17" t="n"/>
      <ns0:c r="H420" s="17" t="n"/>
      <ns0:c r="I420" s="17" t="n"/>
      <ns0:c r="J420" s="17" t="n"/>
      <ns0:c r="K420" s="17" t="n"/>
      <ns0:c r="L420" s="17" t="n"/>
      <ns0:c r="M420" s="17" t="n"/>
      <ns0:c r="N420" s="17" t="n"/>
      <ns0:c r="O420" s="17" t="n"/>
      <ns0:c r="P420" s="17" t="n"/>
      <ns0:c r="Q420" s="17" t="n"/>
      <ns0:c r="R420" s="17" t="n"/>
      <ns0:c r="S420" s="17" t="n"/>
      <ns0:c r="T420" s="17" t="n"/>
      <ns0:c r="U420" s="17" t="n"/>
      <ns0:c r="V420" s="17" t="n"/>
      <ns0:c r="W420" s="17" t="n"/>
      <ns0:c r="X420" s="17" t="n"/>
      <ns0:c r="Y420" s="17" t="n"/>
      <ns0:c r="Z420" s="17" t="n"/>
      <ns0:c r="AA420" s="17" t="n"/>
      <ns0:c r="AB420" s="17" t="n"/>
      <ns0:c r="AC420" s="17" t="n"/>
      <ns0:c r="AD420" s="17" t="n"/>
      <ns0:c r="AE420" s="17" t="n"/>
      <ns0:c r="AF420" s="17" t="n"/>
      <ns0:c r="AG420" s="17" t="n"/>
    </ns0:row>
    <ns0:row r="421" ht="24" customHeight="1">
      <ns0:c r="D421" s="17" t="n"/>
      <ns0:c r="E421" s="17" t="n"/>
      <ns0:c r="F421" s="17" t="n"/>
      <ns0:c r="G421" s="17" t="n"/>
      <ns0:c r="H421" s="17" t="n"/>
      <ns0:c r="I421" s="17" t="n"/>
      <ns0:c r="J421" s="17" t="n"/>
      <ns0:c r="K421" s="17" t="n"/>
      <ns0:c r="L421" s="17" t="n"/>
      <ns0:c r="M421" s="17" t="n"/>
      <ns0:c r="N421" s="17" t="n"/>
      <ns0:c r="O421" s="17" t="n"/>
      <ns0:c r="P421" s="17" t="n"/>
      <ns0:c r="Q421" s="17" t="n"/>
      <ns0:c r="R421" s="17" t="n"/>
      <ns0:c r="S421" s="17" t="n"/>
      <ns0:c r="T421" s="17" t="n"/>
      <ns0:c r="U421" s="17" t="n"/>
      <ns0:c r="V421" s="17" t="n"/>
      <ns0:c r="W421" s="17" t="n"/>
      <ns0:c r="X421" s="17" t="n"/>
      <ns0:c r="Y421" s="17" t="n"/>
      <ns0:c r="Z421" s="17" t="n"/>
      <ns0:c r="AA421" s="17" t="n"/>
      <ns0:c r="AB421" s="17" t="n"/>
      <ns0:c r="AC421" s="17" t="n"/>
      <ns0:c r="AD421" s="17" t="n"/>
      <ns0:c r="AE421" s="17" t="n"/>
      <ns0:c r="AF421" s="17" t="n"/>
      <ns0:c r="AG421" s="17" t="n"/>
    </ns0:row>
    <ns0:row r="422" ht="24" customHeight="1">
      <ns0:c r="D422" s="17" t="n"/>
      <ns0:c r="E422" s="17" t="n"/>
      <ns0:c r="F422" s="17" t="n"/>
      <ns0:c r="G422" s="17" t="n"/>
      <ns0:c r="H422" s="17" t="n"/>
      <ns0:c r="I422" s="17" t="n"/>
      <ns0:c r="J422" s="17" t="n"/>
      <ns0:c r="K422" s="17" t="n"/>
      <ns0:c r="L422" s="17" t="n"/>
      <ns0:c r="M422" s="17" t="n"/>
      <ns0:c r="N422" s="17" t="n"/>
      <ns0:c r="O422" s="17" t="n"/>
      <ns0:c r="P422" s="17" t="n"/>
      <ns0:c r="Q422" s="17" t="n"/>
      <ns0:c r="R422" s="17" t="n"/>
      <ns0:c r="S422" s="17" t="n"/>
      <ns0:c r="T422" s="17" t="n"/>
      <ns0:c r="U422" s="17" t="n"/>
      <ns0:c r="V422" s="17" t="n"/>
      <ns0:c r="W422" s="17" t="n"/>
      <ns0:c r="X422" s="17" t="n"/>
      <ns0:c r="Y422" s="17" t="n"/>
      <ns0:c r="Z422" s="17" t="n"/>
      <ns0:c r="AA422" s="17" t="n"/>
      <ns0:c r="AB422" s="17" t="n"/>
      <ns0:c r="AC422" s="17" t="n"/>
      <ns0:c r="AD422" s="17" t="n"/>
      <ns0:c r="AE422" s="17" t="n"/>
      <ns0:c r="AF422" s="17" t="n"/>
      <ns0:c r="AG422" s="17" t="n"/>
    </ns0:row>
    <ns0:row r="423" ht="24" customHeight="1">
      <ns0:c r="D423" s="17" t="n"/>
      <ns0:c r="E423" s="17" t="n"/>
      <ns0:c r="F423" s="17" t="n"/>
      <ns0:c r="G423" s="17" t="n"/>
      <ns0:c r="H423" s="17" t="n"/>
      <ns0:c r="I423" s="17" t="n"/>
      <ns0:c r="J423" s="17" t="n"/>
      <ns0:c r="K423" s="17" t="n"/>
      <ns0:c r="L423" s="17" t="n"/>
      <ns0:c r="M423" s="17" t="n"/>
      <ns0:c r="N423" s="17" t="n"/>
      <ns0:c r="O423" s="17" t="n"/>
      <ns0:c r="P423" s="17" t="n"/>
      <ns0:c r="Q423" s="17" t="n"/>
      <ns0:c r="R423" s="17" t="n"/>
      <ns0:c r="S423" s="17" t="n"/>
      <ns0:c r="T423" s="17" t="n"/>
      <ns0:c r="U423" s="17" t="n"/>
      <ns0:c r="V423" s="17" t="n"/>
      <ns0:c r="W423" s="17" t="n"/>
      <ns0:c r="X423" s="17" t="n"/>
      <ns0:c r="Y423" s="17" t="n"/>
      <ns0:c r="Z423" s="17" t="n"/>
      <ns0:c r="AA423" s="17" t="n"/>
      <ns0:c r="AB423" s="17" t="n"/>
      <ns0:c r="AC423" s="17" t="n"/>
      <ns0:c r="AD423" s="17" t="n"/>
      <ns0:c r="AE423" s="17" t="n"/>
      <ns0:c r="AF423" s="17" t="n"/>
      <ns0:c r="AG423" s="17" t="n"/>
    </ns0:row>
    <ns0:row r="424" ht="24" customHeight="1">
      <ns0:c r="D424" s="17" t="n"/>
      <ns0:c r="E424" s="17" t="n"/>
      <ns0:c r="F424" s="17" t="n"/>
      <ns0:c r="G424" s="17" t="n"/>
      <ns0:c r="H424" s="17" t="n"/>
      <ns0:c r="I424" s="17" t="n"/>
      <ns0:c r="J424" s="17" t="n"/>
      <ns0:c r="K424" s="17" t="n"/>
      <ns0:c r="L424" s="17" t="n"/>
      <ns0:c r="M424" s="17" t="n"/>
      <ns0:c r="N424" s="17" t="n"/>
      <ns0:c r="O424" s="17" t="n"/>
      <ns0:c r="P424" s="17" t="n"/>
      <ns0:c r="Q424" s="17" t="n"/>
      <ns0:c r="R424" s="17" t="n"/>
      <ns0:c r="S424" s="17" t="n"/>
      <ns0:c r="T424" s="17" t="n"/>
      <ns0:c r="U424" s="17" t="n"/>
      <ns0:c r="V424" s="17" t="n"/>
      <ns0:c r="W424" s="17" t="n"/>
      <ns0:c r="X424" s="17" t="n"/>
      <ns0:c r="Y424" s="17" t="n"/>
      <ns0:c r="Z424" s="17" t="n"/>
      <ns0:c r="AA424" s="17" t="n"/>
      <ns0:c r="AB424" s="17" t="n"/>
      <ns0:c r="AC424" s="17" t="n"/>
      <ns0:c r="AD424" s="17" t="n"/>
      <ns0:c r="AE424" s="17" t="n"/>
      <ns0:c r="AF424" s="17" t="n"/>
      <ns0:c r="AG424" s="17" t="n"/>
    </ns0:row>
    <ns0:row r="425" ht="24" customHeight="1">
      <ns0:c r="D425" s="17" t="n"/>
      <ns0:c r="E425" s="17" t="n"/>
      <ns0:c r="F425" s="17" t="n"/>
      <ns0:c r="G425" s="17" t="n"/>
      <ns0:c r="H425" s="17" t="n"/>
      <ns0:c r="I425" s="17" t="n"/>
      <ns0:c r="J425" s="17" t="n"/>
      <ns0:c r="K425" s="17" t="n"/>
      <ns0:c r="L425" s="17" t="n"/>
      <ns0:c r="M425" s="17" t="n"/>
      <ns0:c r="N425" s="17" t="n"/>
      <ns0:c r="O425" s="17" t="n"/>
      <ns0:c r="P425" s="17" t="n"/>
      <ns0:c r="Q425" s="17" t="n"/>
      <ns0:c r="R425" s="17" t="n"/>
      <ns0:c r="S425" s="17" t="n"/>
      <ns0:c r="T425" s="17" t="n"/>
      <ns0:c r="U425" s="17" t="n"/>
      <ns0:c r="V425" s="17" t="n"/>
      <ns0:c r="W425" s="17" t="n"/>
      <ns0:c r="X425" s="17" t="n"/>
      <ns0:c r="Y425" s="17" t="n"/>
      <ns0:c r="Z425" s="17" t="n"/>
      <ns0:c r="AA425" s="17" t="n"/>
      <ns0:c r="AB425" s="17" t="n"/>
      <ns0:c r="AC425" s="17" t="n"/>
      <ns0:c r="AD425" s="17" t="n"/>
      <ns0:c r="AE425" s="17" t="n"/>
      <ns0:c r="AF425" s="17" t="n"/>
      <ns0:c r="AG425" s="17" t="n"/>
    </ns0:row>
    <ns0:row r="426" ht="24" customHeight="1">
      <ns0:c r="D426" s="17" t="n"/>
      <ns0:c r="E426" s="17" t="n"/>
      <ns0:c r="F426" s="17" t="n"/>
      <ns0:c r="G426" s="17" t="n"/>
      <ns0:c r="H426" s="17" t="n"/>
      <ns0:c r="I426" s="17" t="n"/>
      <ns0:c r="J426" s="17" t="n"/>
      <ns0:c r="K426" s="17" t="n"/>
      <ns0:c r="L426" s="17" t="n"/>
      <ns0:c r="M426" s="17" t="n"/>
      <ns0:c r="N426" s="17" t="n"/>
      <ns0:c r="O426" s="17" t="n"/>
      <ns0:c r="P426" s="17" t="n"/>
      <ns0:c r="Q426" s="17" t="n"/>
      <ns0:c r="R426" s="17" t="n"/>
      <ns0:c r="S426" s="17" t="n"/>
      <ns0:c r="T426" s="17" t="n"/>
      <ns0:c r="U426" s="17" t="n"/>
      <ns0:c r="V426" s="17" t="n"/>
      <ns0:c r="W426" s="17" t="n"/>
      <ns0:c r="X426" s="17" t="n"/>
      <ns0:c r="Y426" s="17" t="n"/>
      <ns0:c r="Z426" s="17" t="n"/>
      <ns0:c r="AA426" s="17" t="n"/>
      <ns0:c r="AB426" s="17" t="n"/>
      <ns0:c r="AC426" s="17" t="n"/>
      <ns0:c r="AD426" s="17" t="n"/>
      <ns0:c r="AE426" s="17" t="n"/>
      <ns0:c r="AF426" s="17" t="n"/>
      <ns0:c r="AG426" s="17" t="n"/>
    </ns0:row>
    <ns0:row r="427" ht="24" customHeight="1">
      <ns0:c r="D427" s="17" t="n"/>
      <ns0:c r="E427" s="17" t="n"/>
      <ns0:c r="F427" s="17" t="n"/>
      <ns0:c r="G427" s="17" t="n"/>
      <ns0:c r="H427" s="17" t="n"/>
      <ns0:c r="I427" s="17" t="n"/>
      <ns0:c r="J427" s="17" t="n"/>
      <ns0:c r="K427" s="17" t="n"/>
      <ns0:c r="L427" s="17" t="n"/>
      <ns0:c r="M427" s="17" t="n"/>
      <ns0:c r="N427" s="17" t="n"/>
      <ns0:c r="O427" s="17" t="n"/>
      <ns0:c r="P427" s="17" t="n"/>
      <ns0:c r="Q427" s="17" t="n"/>
      <ns0:c r="R427" s="17" t="n"/>
      <ns0:c r="S427" s="17" t="n"/>
      <ns0:c r="T427" s="17" t="n"/>
      <ns0:c r="U427" s="17" t="n"/>
      <ns0:c r="V427" s="17" t="n"/>
      <ns0:c r="W427" s="17" t="n"/>
      <ns0:c r="X427" s="17" t="n"/>
      <ns0:c r="Y427" s="17" t="n"/>
      <ns0:c r="Z427" s="17" t="n"/>
      <ns0:c r="AA427" s="17" t="n"/>
      <ns0:c r="AB427" s="17" t="n"/>
      <ns0:c r="AC427" s="17" t="n"/>
      <ns0:c r="AD427" s="17" t="n"/>
      <ns0:c r="AE427" s="17" t="n"/>
      <ns0:c r="AF427" s="17" t="n"/>
      <ns0:c r="AG427" s="17" t="n"/>
    </ns0:row>
    <ns0:row r="428" ht="24" customHeight="1">
      <ns0:c r="D428" s="17" t="n"/>
      <ns0:c r="E428" s="17" t="n"/>
      <ns0:c r="F428" s="17" t="n"/>
      <ns0:c r="G428" s="17" t="n"/>
      <ns0:c r="H428" s="17" t="n"/>
      <ns0:c r="I428" s="17" t="n"/>
      <ns0:c r="J428" s="17" t="n"/>
      <ns0:c r="K428" s="17" t="n"/>
      <ns0:c r="L428" s="17" t="n"/>
      <ns0:c r="M428" s="17" t="n"/>
      <ns0:c r="N428" s="17" t="n"/>
      <ns0:c r="O428" s="17" t="n"/>
      <ns0:c r="P428" s="17" t="n"/>
      <ns0:c r="Q428" s="17" t="n"/>
      <ns0:c r="R428" s="17" t="n"/>
      <ns0:c r="S428" s="17" t="n"/>
      <ns0:c r="T428" s="17" t="n"/>
      <ns0:c r="U428" s="17" t="n"/>
      <ns0:c r="V428" s="17" t="n"/>
      <ns0:c r="W428" s="17" t="n"/>
      <ns0:c r="X428" s="17" t="n"/>
      <ns0:c r="Y428" s="17" t="n"/>
      <ns0:c r="Z428" s="17" t="n"/>
      <ns0:c r="AA428" s="17" t="n"/>
      <ns0:c r="AB428" s="17" t="n"/>
      <ns0:c r="AC428" s="17" t="n"/>
      <ns0:c r="AD428" s="17" t="n"/>
      <ns0:c r="AE428" s="17" t="n"/>
      <ns0:c r="AF428" s="17" t="n"/>
      <ns0:c r="AG428" s="17" t="n"/>
    </ns0:row>
    <ns0:row r="429" ht="24" customHeight="1">
      <ns0:c r="D429" s="17" t="n"/>
      <ns0:c r="E429" s="17" t="n"/>
      <ns0:c r="F429" s="17" t="n"/>
      <ns0:c r="G429" s="17" t="n"/>
      <ns0:c r="H429" s="17" t="n"/>
      <ns0:c r="I429" s="17" t="n"/>
      <ns0:c r="J429" s="17" t="n"/>
      <ns0:c r="K429" s="17" t="n"/>
      <ns0:c r="L429" s="17" t="n"/>
      <ns0:c r="M429" s="17" t="n"/>
      <ns0:c r="N429" s="17" t="n"/>
      <ns0:c r="O429" s="17" t="n"/>
      <ns0:c r="P429" s="17" t="n"/>
      <ns0:c r="Q429" s="17" t="n"/>
      <ns0:c r="R429" s="17" t="n"/>
      <ns0:c r="S429" s="17" t="n"/>
      <ns0:c r="T429" s="17" t="n"/>
      <ns0:c r="U429" s="17" t="n"/>
      <ns0:c r="V429" s="17" t="n"/>
      <ns0:c r="W429" s="17" t="n"/>
      <ns0:c r="X429" s="17" t="n"/>
      <ns0:c r="Y429" s="17" t="n"/>
      <ns0:c r="Z429" s="17" t="n"/>
      <ns0:c r="AA429" s="17" t="n"/>
      <ns0:c r="AB429" s="17" t="n"/>
      <ns0:c r="AC429" s="17" t="n"/>
      <ns0:c r="AD429" s="17" t="n"/>
      <ns0:c r="AE429" s="17" t="n"/>
      <ns0:c r="AF429" s="17" t="n"/>
      <ns0:c r="AG429" s="17" t="n"/>
    </ns0:row>
    <ns0:row r="430" ht="24" customHeight="1">
      <ns0:c r="D430" s="17" t="n"/>
      <ns0:c r="E430" s="17" t="n"/>
      <ns0:c r="F430" s="17" t="n"/>
      <ns0:c r="G430" s="17" t="n"/>
      <ns0:c r="H430" s="17" t="n"/>
      <ns0:c r="I430" s="17" t="n"/>
      <ns0:c r="J430" s="17" t="n"/>
      <ns0:c r="K430" s="17" t="n"/>
      <ns0:c r="L430" s="17" t="n"/>
      <ns0:c r="M430" s="17" t="n"/>
      <ns0:c r="N430" s="17" t="n"/>
      <ns0:c r="O430" s="17" t="n"/>
      <ns0:c r="P430" s="17" t="n"/>
      <ns0:c r="Q430" s="17" t="n"/>
      <ns0:c r="R430" s="17" t="n"/>
      <ns0:c r="S430" s="17" t="n"/>
      <ns0:c r="T430" s="17" t="n"/>
      <ns0:c r="U430" s="17" t="n"/>
      <ns0:c r="V430" s="17" t="n"/>
      <ns0:c r="W430" s="17" t="n"/>
      <ns0:c r="X430" s="17" t="n"/>
      <ns0:c r="Y430" s="17" t="n"/>
      <ns0:c r="Z430" s="17" t="n"/>
      <ns0:c r="AA430" s="17" t="n"/>
      <ns0:c r="AB430" s="17" t="n"/>
      <ns0:c r="AC430" s="17" t="n"/>
      <ns0:c r="AD430" s="17" t="n"/>
      <ns0:c r="AE430" s="17" t="n"/>
      <ns0:c r="AF430" s="17" t="n"/>
      <ns0:c r="AG430" s="17" t="n"/>
    </ns0:row>
    <ns0:row r="431" ht="24" customHeight="1">
      <ns0:c r="D431" s="17" t="n"/>
      <ns0:c r="E431" s="17" t="n"/>
      <ns0:c r="F431" s="17" t="n"/>
      <ns0:c r="G431" s="17" t="n"/>
      <ns0:c r="H431" s="17" t="n"/>
      <ns0:c r="I431" s="17" t="n"/>
      <ns0:c r="J431" s="17" t="n"/>
      <ns0:c r="K431" s="17" t="n"/>
      <ns0:c r="L431" s="17" t="n"/>
      <ns0:c r="M431" s="17" t="n"/>
      <ns0:c r="N431" s="17" t="n"/>
      <ns0:c r="O431" s="17" t="n"/>
      <ns0:c r="P431" s="17" t="n"/>
      <ns0:c r="Q431" s="17" t="n"/>
      <ns0:c r="R431" s="17" t="n"/>
      <ns0:c r="S431" s="17" t="n"/>
      <ns0:c r="T431" s="17" t="n"/>
      <ns0:c r="U431" s="17" t="n"/>
      <ns0:c r="V431" s="17" t="n"/>
      <ns0:c r="W431" s="17" t="n"/>
      <ns0:c r="X431" s="17" t="n"/>
      <ns0:c r="Y431" s="17" t="n"/>
      <ns0:c r="Z431" s="17" t="n"/>
      <ns0:c r="AA431" s="17" t="n"/>
      <ns0:c r="AB431" s="17" t="n"/>
      <ns0:c r="AC431" s="17" t="n"/>
      <ns0:c r="AD431" s="17" t="n"/>
      <ns0:c r="AE431" s="17" t="n"/>
      <ns0:c r="AF431" s="17" t="n"/>
      <ns0:c r="AG431" s="17" t="n"/>
    </ns0:row>
    <ns0:row r="432" ht="24" customHeight="1">
      <ns0:c r="D432" s="17" t="n"/>
      <ns0:c r="E432" s="17" t="n"/>
      <ns0:c r="F432" s="17" t="n"/>
      <ns0:c r="G432" s="17" t="n"/>
      <ns0:c r="H432" s="17" t="n"/>
      <ns0:c r="I432" s="17" t="n"/>
      <ns0:c r="J432" s="17" t="n"/>
      <ns0:c r="K432" s="17" t="n"/>
      <ns0:c r="L432" s="17" t="n"/>
      <ns0:c r="M432" s="17" t="n"/>
      <ns0:c r="N432" s="17" t="n"/>
      <ns0:c r="O432" s="17" t="n"/>
      <ns0:c r="P432" s="17" t="n"/>
      <ns0:c r="Q432" s="17" t="n"/>
      <ns0:c r="R432" s="17" t="n"/>
      <ns0:c r="S432" s="17" t="n"/>
      <ns0:c r="T432" s="17" t="n"/>
      <ns0:c r="U432" s="17" t="n"/>
      <ns0:c r="V432" s="17" t="n"/>
      <ns0:c r="W432" s="17" t="n"/>
      <ns0:c r="X432" s="17" t="n"/>
      <ns0:c r="Y432" s="17" t="n"/>
      <ns0:c r="Z432" s="17" t="n"/>
      <ns0:c r="AA432" s="17" t="n"/>
      <ns0:c r="AB432" s="17" t="n"/>
      <ns0:c r="AC432" s="17" t="n"/>
      <ns0:c r="AD432" s="17" t="n"/>
      <ns0:c r="AE432" s="17" t="n"/>
      <ns0:c r="AF432" s="17" t="n"/>
      <ns0:c r="AG432" s="17" t="n"/>
    </ns0:row>
    <ns0:row r="433" ht="24" customHeight="1">
      <ns0:c r="D433" s="17" t="n"/>
      <ns0:c r="E433" s="17" t="n"/>
      <ns0:c r="F433" s="17" t="n"/>
      <ns0:c r="G433" s="17" t="n"/>
      <ns0:c r="H433" s="17" t="n"/>
      <ns0:c r="I433" s="17" t="n"/>
      <ns0:c r="J433" s="17" t="n"/>
      <ns0:c r="K433" s="17" t="n"/>
      <ns0:c r="L433" s="17" t="n"/>
      <ns0:c r="M433" s="17" t="n"/>
      <ns0:c r="N433" s="17" t="n"/>
      <ns0:c r="O433" s="17" t="n"/>
      <ns0:c r="P433" s="17" t="n"/>
      <ns0:c r="Q433" s="17" t="n"/>
      <ns0:c r="R433" s="17" t="n"/>
      <ns0:c r="S433" s="17" t="n"/>
      <ns0:c r="T433" s="17" t="n"/>
      <ns0:c r="U433" s="17" t="n"/>
      <ns0:c r="V433" s="17" t="n"/>
      <ns0:c r="W433" s="17" t="n"/>
      <ns0:c r="X433" s="17" t="n"/>
      <ns0:c r="Y433" s="17" t="n"/>
      <ns0:c r="Z433" s="17" t="n"/>
      <ns0:c r="AA433" s="17" t="n"/>
      <ns0:c r="AB433" s="17" t="n"/>
      <ns0:c r="AC433" s="17" t="n"/>
      <ns0:c r="AD433" s="17" t="n"/>
      <ns0:c r="AE433" s="17" t="n"/>
      <ns0:c r="AF433" s="17" t="n"/>
      <ns0:c r="AG433" s="17" t="n"/>
    </ns0:row>
    <ns0:row r="434" ht="24" customHeight="1">
      <ns0:c r="D434" s="17" t="n"/>
      <ns0:c r="E434" s="17" t="n"/>
      <ns0:c r="F434" s="17" t="n"/>
      <ns0:c r="G434" s="17" t="n"/>
      <ns0:c r="H434" s="17" t="n"/>
      <ns0:c r="I434" s="17" t="n"/>
      <ns0:c r="J434" s="17" t="n"/>
      <ns0:c r="K434" s="17" t="n"/>
      <ns0:c r="L434" s="17" t="n"/>
      <ns0:c r="M434" s="17" t="n"/>
      <ns0:c r="N434" s="17" t="n"/>
      <ns0:c r="O434" s="17" t="n"/>
      <ns0:c r="P434" s="17" t="n"/>
      <ns0:c r="Q434" s="17" t="n"/>
      <ns0:c r="R434" s="17" t="n"/>
      <ns0:c r="S434" s="17" t="n"/>
      <ns0:c r="T434" s="17" t="n"/>
      <ns0:c r="U434" s="17" t="n"/>
      <ns0:c r="V434" s="17" t="n"/>
      <ns0:c r="W434" s="17" t="n"/>
      <ns0:c r="X434" s="17" t="n"/>
      <ns0:c r="Y434" s="17" t="n"/>
      <ns0:c r="Z434" s="17" t="n"/>
      <ns0:c r="AA434" s="17" t="n"/>
      <ns0:c r="AB434" s="17" t="n"/>
      <ns0:c r="AC434" s="17" t="n"/>
      <ns0:c r="AD434" s="17" t="n"/>
      <ns0:c r="AE434" s="17" t="n"/>
      <ns0:c r="AF434" s="17" t="n"/>
      <ns0:c r="AG434" s="17" t="n"/>
    </ns0:row>
    <ns0:row r="435" ht="24" customHeight="1">
      <ns0:c r="D435" s="17" t="n"/>
      <ns0:c r="E435" s="17" t="n"/>
      <ns0:c r="F435" s="17" t="n"/>
      <ns0:c r="G435" s="17" t="n"/>
      <ns0:c r="H435" s="17" t="n"/>
      <ns0:c r="I435" s="17" t="n"/>
      <ns0:c r="J435" s="17" t="n"/>
      <ns0:c r="K435" s="17" t="n"/>
      <ns0:c r="L435" s="17" t="n"/>
      <ns0:c r="M435" s="17" t="n"/>
      <ns0:c r="N435" s="17" t="n"/>
      <ns0:c r="O435" s="17" t="n"/>
      <ns0:c r="P435" s="17" t="n"/>
      <ns0:c r="Q435" s="17" t="n"/>
      <ns0:c r="R435" s="17" t="n"/>
      <ns0:c r="S435" s="17" t="n"/>
      <ns0:c r="T435" s="17" t="n"/>
      <ns0:c r="U435" s="17" t="n"/>
      <ns0:c r="V435" s="17" t="n"/>
      <ns0:c r="W435" s="17" t="n"/>
      <ns0:c r="X435" s="17" t="n"/>
      <ns0:c r="Y435" s="17" t="n"/>
      <ns0:c r="Z435" s="17" t="n"/>
      <ns0:c r="AA435" s="17" t="n"/>
      <ns0:c r="AB435" s="17" t="n"/>
      <ns0:c r="AC435" s="17" t="n"/>
      <ns0:c r="AD435" s="17" t="n"/>
      <ns0:c r="AE435" s="17" t="n"/>
      <ns0:c r="AF435" s="17" t="n"/>
      <ns0:c r="AG435" s="17" t="n"/>
    </ns0:row>
    <ns0:row r="436" ht="24" customHeight="1">
      <ns0:c r="D436" s="17" t="n"/>
      <ns0:c r="E436" s="17" t="n"/>
      <ns0:c r="F436" s="17" t="n"/>
      <ns0:c r="G436" s="17" t="n"/>
      <ns0:c r="H436" s="17" t="n"/>
      <ns0:c r="I436" s="17" t="n"/>
      <ns0:c r="J436" s="17" t="n"/>
      <ns0:c r="K436" s="17" t="n"/>
      <ns0:c r="L436" s="17" t="n"/>
      <ns0:c r="M436" s="17" t="n"/>
      <ns0:c r="N436" s="17" t="n"/>
      <ns0:c r="O436" s="17" t="n"/>
      <ns0:c r="P436" s="17" t="n"/>
      <ns0:c r="Q436" s="17" t="n"/>
      <ns0:c r="R436" s="17" t="n"/>
      <ns0:c r="S436" s="17" t="n"/>
      <ns0:c r="T436" s="17" t="n"/>
      <ns0:c r="U436" s="17" t="n"/>
      <ns0:c r="V436" s="17" t="n"/>
      <ns0:c r="W436" s="17" t="n"/>
      <ns0:c r="X436" s="17" t="n"/>
      <ns0:c r="Y436" s="17" t="n"/>
      <ns0:c r="Z436" s="17" t="n"/>
      <ns0:c r="AA436" s="17" t="n"/>
      <ns0:c r="AB436" s="17" t="n"/>
      <ns0:c r="AC436" s="17" t="n"/>
      <ns0:c r="AD436" s="17" t="n"/>
      <ns0:c r="AE436" s="17" t="n"/>
      <ns0:c r="AF436" s="17" t="n"/>
      <ns0:c r="AG436" s="17" t="n"/>
    </ns0:row>
    <ns0:row r="437" ht="24" customHeight="1">
      <ns0:c r="D437" s="17" t="n"/>
      <ns0:c r="E437" s="17" t="n"/>
      <ns0:c r="F437" s="17" t="n"/>
      <ns0:c r="G437" s="17" t="n"/>
      <ns0:c r="H437" s="17" t="n"/>
      <ns0:c r="I437" s="17" t="n"/>
      <ns0:c r="J437" s="17" t="n"/>
      <ns0:c r="K437" s="17" t="n"/>
      <ns0:c r="L437" s="17" t="n"/>
      <ns0:c r="M437" s="17" t="n"/>
      <ns0:c r="N437" s="17" t="n"/>
      <ns0:c r="O437" s="17" t="n"/>
      <ns0:c r="P437" s="17" t="n"/>
      <ns0:c r="Q437" s="17" t="n"/>
      <ns0:c r="R437" s="17" t="n"/>
      <ns0:c r="S437" s="17" t="n"/>
      <ns0:c r="T437" s="17" t="n"/>
      <ns0:c r="U437" s="17" t="n"/>
      <ns0:c r="V437" s="17" t="n"/>
      <ns0:c r="W437" s="17" t="n"/>
      <ns0:c r="X437" s="17" t="n"/>
      <ns0:c r="Y437" s="17" t="n"/>
      <ns0:c r="Z437" s="17" t="n"/>
      <ns0:c r="AA437" s="17" t="n"/>
      <ns0:c r="AB437" s="17" t="n"/>
      <ns0:c r="AC437" s="17" t="n"/>
      <ns0:c r="AD437" s="17" t="n"/>
      <ns0:c r="AE437" s="17" t="n"/>
      <ns0:c r="AF437" s="17" t="n"/>
      <ns0:c r="AG437" s="17" t="n"/>
    </ns0:row>
    <ns0:row r="438" ht="24" customHeight="1">
      <ns0:c r="D438" s="17" t="n"/>
      <ns0:c r="E438" s="17" t="n"/>
      <ns0:c r="F438" s="17" t="n"/>
      <ns0:c r="G438" s="17" t="n"/>
      <ns0:c r="H438" s="17" t="n"/>
      <ns0:c r="I438" s="17" t="n"/>
      <ns0:c r="J438" s="17" t="n"/>
      <ns0:c r="K438" s="17" t="n"/>
      <ns0:c r="L438" s="17" t="n"/>
      <ns0:c r="M438" s="17" t="n"/>
      <ns0:c r="N438" s="17" t="n"/>
      <ns0:c r="O438" s="17" t="n"/>
      <ns0:c r="P438" s="17" t="n"/>
      <ns0:c r="Q438" s="17" t="n"/>
      <ns0:c r="R438" s="17" t="n"/>
      <ns0:c r="S438" s="17" t="n"/>
      <ns0:c r="T438" s="17" t="n"/>
      <ns0:c r="U438" s="17" t="n"/>
      <ns0:c r="V438" s="17" t="n"/>
      <ns0:c r="W438" s="17" t="n"/>
      <ns0:c r="X438" s="17" t="n"/>
      <ns0:c r="Y438" s="17" t="n"/>
      <ns0:c r="Z438" s="17" t="n"/>
      <ns0:c r="AA438" s="17" t="n"/>
      <ns0:c r="AB438" s="17" t="n"/>
      <ns0:c r="AC438" s="17" t="n"/>
      <ns0:c r="AD438" s="17" t="n"/>
      <ns0:c r="AE438" s="17" t="n"/>
      <ns0:c r="AF438" s="17" t="n"/>
      <ns0:c r="AG438" s="17" t="n"/>
    </ns0:row>
    <ns0:row r="439" ht="24" customHeight="1">
      <ns0:c r="D439" s="17" t="n"/>
      <ns0:c r="E439" s="17" t="n"/>
      <ns0:c r="F439" s="17" t="n"/>
      <ns0:c r="G439" s="17" t="n"/>
      <ns0:c r="H439" s="17" t="n"/>
      <ns0:c r="I439" s="17" t="n"/>
      <ns0:c r="J439" s="17" t="n"/>
      <ns0:c r="K439" s="17" t="n"/>
      <ns0:c r="L439" s="17" t="n"/>
      <ns0:c r="M439" s="17" t="n"/>
      <ns0:c r="N439" s="17" t="n"/>
      <ns0:c r="O439" s="17" t="n"/>
      <ns0:c r="P439" s="17" t="n"/>
      <ns0:c r="Q439" s="17" t="n"/>
      <ns0:c r="R439" s="17" t="n"/>
      <ns0:c r="S439" s="17" t="n"/>
      <ns0:c r="T439" s="17" t="n"/>
      <ns0:c r="U439" s="17" t="n"/>
      <ns0:c r="V439" s="17" t="n"/>
      <ns0:c r="W439" s="17" t="n"/>
      <ns0:c r="X439" s="17" t="n"/>
      <ns0:c r="Y439" s="17" t="n"/>
      <ns0:c r="Z439" s="17" t="n"/>
      <ns0:c r="AA439" s="17" t="n"/>
      <ns0:c r="AB439" s="17" t="n"/>
      <ns0:c r="AC439" s="17" t="n"/>
      <ns0:c r="AD439" s="17" t="n"/>
      <ns0:c r="AE439" s="17" t="n"/>
      <ns0:c r="AF439" s="17" t="n"/>
      <ns0:c r="AG439" s="17" t="n"/>
    </ns0:row>
    <ns0:row r="440" ht="24" customHeight="1">
      <ns0:c r="D440" s="17" t="n"/>
      <ns0:c r="E440" s="17" t="n"/>
      <ns0:c r="F440" s="17" t="n"/>
      <ns0:c r="G440" s="17" t="n"/>
      <ns0:c r="H440" s="17" t="n"/>
      <ns0:c r="I440" s="17" t="n"/>
      <ns0:c r="J440" s="17" t="n"/>
      <ns0:c r="K440" s="17" t="n"/>
      <ns0:c r="L440" s="17" t="n"/>
      <ns0:c r="M440" s="17" t="n"/>
      <ns0:c r="N440" s="17" t="n"/>
      <ns0:c r="O440" s="17" t="n"/>
      <ns0:c r="P440" s="17" t="n"/>
      <ns0:c r="Q440" s="17" t="n"/>
      <ns0:c r="R440" s="17" t="n"/>
      <ns0:c r="S440" s="17" t="n"/>
      <ns0:c r="T440" s="17" t="n"/>
      <ns0:c r="U440" s="17" t="n"/>
      <ns0:c r="V440" s="17" t="n"/>
      <ns0:c r="W440" s="17" t="n"/>
      <ns0:c r="X440" s="17" t="n"/>
      <ns0:c r="Y440" s="17" t="n"/>
      <ns0:c r="Z440" s="17" t="n"/>
      <ns0:c r="AA440" s="17" t="n"/>
      <ns0:c r="AB440" s="17" t="n"/>
      <ns0:c r="AC440" s="17" t="n"/>
      <ns0:c r="AD440" s="17" t="n"/>
      <ns0:c r="AE440" s="17" t="n"/>
      <ns0:c r="AF440" s="17" t="n"/>
      <ns0:c r="AG440" s="17" t="n"/>
    </ns0:row>
    <ns0:row r="441" ht="24" customHeight="1">
      <ns0:c r="D441" s="17" t="n"/>
      <ns0:c r="E441" s="17" t="n"/>
      <ns0:c r="F441" s="17" t="n"/>
      <ns0:c r="G441" s="17" t="n"/>
      <ns0:c r="H441" s="17" t="n"/>
      <ns0:c r="I441" s="17" t="n"/>
      <ns0:c r="J441" s="17" t="n"/>
      <ns0:c r="K441" s="17" t="n"/>
      <ns0:c r="L441" s="17" t="n"/>
      <ns0:c r="M441" s="17" t="n"/>
      <ns0:c r="N441" s="17" t="n"/>
      <ns0:c r="O441" s="17" t="n"/>
      <ns0:c r="P441" s="17" t="n"/>
      <ns0:c r="Q441" s="17" t="n"/>
      <ns0:c r="R441" s="17" t="n"/>
      <ns0:c r="S441" s="17" t="n"/>
      <ns0:c r="T441" s="17" t="n"/>
      <ns0:c r="U441" s="17" t="n"/>
      <ns0:c r="V441" s="17" t="n"/>
      <ns0:c r="W441" s="17" t="n"/>
      <ns0:c r="X441" s="17" t="n"/>
      <ns0:c r="Y441" s="17" t="n"/>
      <ns0:c r="Z441" s="17" t="n"/>
      <ns0:c r="AA441" s="17" t="n"/>
      <ns0:c r="AB441" s="17" t="n"/>
      <ns0:c r="AC441" s="17" t="n"/>
      <ns0:c r="AD441" s="17" t="n"/>
      <ns0:c r="AE441" s="17" t="n"/>
      <ns0:c r="AF441" s="17" t="n"/>
      <ns0:c r="AG441" s="17" t="n"/>
    </ns0:row>
    <ns0:row r="442" ht="24" customHeight="1">
      <ns0:c r="D442" s="17" t="n"/>
      <ns0:c r="E442" s="17" t="n"/>
      <ns0:c r="F442" s="17" t="n"/>
      <ns0:c r="G442" s="17" t="n"/>
      <ns0:c r="H442" s="17" t="n"/>
      <ns0:c r="I442" s="17" t="n"/>
      <ns0:c r="J442" s="17" t="n"/>
      <ns0:c r="K442" s="17" t="n"/>
      <ns0:c r="L442" s="17" t="n"/>
      <ns0:c r="M442" s="17" t="n"/>
      <ns0:c r="N442" s="17" t="n"/>
      <ns0:c r="O442" s="17" t="n"/>
      <ns0:c r="P442" s="17" t="n"/>
      <ns0:c r="Q442" s="17" t="n"/>
      <ns0:c r="R442" s="17" t="n"/>
      <ns0:c r="S442" s="17" t="n"/>
      <ns0:c r="T442" s="17" t="n"/>
      <ns0:c r="U442" s="17" t="n"/>
      <ns0:c r="V442" s="17" t="n"/>
      <ns0:c r="W442" s="17" t="n"/>
      <ns0:c r="X442" s="17" t="n"/>
      <ns0:c r="Y442" s="17" t="n"/>
      <ns0:c r="Z442" s="17" t="n"/>
      <ns0:c r="AA442" s="17" t="n"/>
      <ns0:c r="AB442" s="17" t="n"/>
      <ns0:c r="AC442" s="17" t="n"/>
      <ns0:c r="AD442" s="17" t="n"/>
      <ns0:c r="AE442" s="17" t="n"/>
      <ns0:c r="AF442" s="17" t="n"/>
      <ns0:c r="AG442" s="17" t="n"/>
    </ns0:row>
    <ns0:row r="443" ht="24" customHeight="1">
      <ns0:c r="D443" s="17" t="n"/>
      <ns0:c r="E443" s="17" t="n"/>
      <ns0:c r="F443" s="17" t="n"/>
      <ns0:c r="G443" s="17" t="n"/>
      <ns0:c r="H443" s="17" t="n"/>
      <ns0:c r="I443" s="17" t="n"/>
      <ns0:c r="J443" s="17" t="n"/>
      <ns0:c r="K443" s="17" t="n"/>
      <ns0:c r="L443" s="17" t="n"/>
      <ns0:c r="M443" s="17" t="n"/>
      <ns0:c r="N443" s="17" t="n"/>
      <ns0:c r="O443" s="17" t="n"/>
      <ns0:c r="P443" s="17" t="n"/>
      <ns0:c r="Q443" s="17" t="n"/>
      <ns0:c r="R443" s="17" t="n"/>
      <ns0:c r="S443" s="17" t="n"/>
      <ns0:c r="T443" s="17" t="n"/>
      <ns0:c r="U443" s="17" t="n"/>
      <ns0:c r="V443" s="17" t="n"/>
      <ns0:c r="W443" s="17" t="n"/>
      <ns0:c r="X443" s="17" t="n"/>
      <ns0:c r="Y443" s="17" t="n"/>
      <ns0:c r="Z443" s="17" t="n"/>
      <ns0:c r="AA443" s="17" t="n"/>
      <ns0:c r="AB443" s="17" t="n"/>
      <ns0:c r="AC443" s="17" t="n"/>
      <ns0:c r="AD443" s="17" t="n"/>
      <ns0:c r="AE443" s="17" t="n"/>
      <ns0:c r="AF443" s="17" t="n"/>
      <ns0:c r="AG443" s="17" t="n"/>
    </ns0:row>
    <ns0:row r="444" ht="24" customHeight="1">
      <ns0:c r="D444" s="17" t="n"/>
      <ns0:c r="E444" s="17" t="n"/>
      <ns0:c r="F444" s="17" t="n"/>
      <ns0:c r="G444" s="17" t="n"/>
      <ns0:c r="H444" s="17" t="n"/>
      <ns0:c r="I444" s="17" t="n"/>
      <ns0:c r="J444" s="17" t="n"/>
      <ns0:c r="K444" s="17" t="n"/>
      <ns0:c r="L444" s="17" t="n"/>
      <ns0:c r="M444" s="17" t="n"/>
      <ns0:c r="N444" s="17" t="n"/>
      <ns0:c r="O444" s="17" t="n"/>
      <ns0:c r="P444" s="17" t="n"/>
      <ns0:c r="Q444" s="17" t="n"/>
      <ns0:c r="R444" s="17" t="n"/>
      <ns0:c r="S444" s="17" t="n"/>
      <ns0:c r="T444" s="17" t="n"/>
      <ns0:c r="U444" s="17" t="n"/>
      <ns0:c r="V444" s="17" t="n"/>
      <ns0:c r="W444" s="17" t="n"/>
      <ns0:c r="X444" s="17" t="n"/>
      <ns0:c r="Y444" s="17" t="n"/>
      <ns0:c r="Z444" s="17" t="n"/>
      <ns0:c r="AA444" s="17" t="n"/>
      <ns0:c r="AB444" s="17" t="n"/>
      <ns0:c r="AC444" s="17" t="n"/>
      <ns0:c r="AD444" s="17" t="n"/>
      <ns0:c r="AE444" s="17" t="n"/>
      <ns0:c r="AF444" s="17" t="n"/>
      <ns0:c r="AG444" s="17" t="n"/>
    </ns0:row>
    <ns0:row r="445" ht="24" customHeight="1">
      <ns0:c r="D445" s="17" t="n"/>
      <ns0:c r="E445" s="17" t="n"/>
      <ns0:c r="F445" s="17" t="n"/>
      <ns0:c r="G445" s="17" t="n"/>
      <ns0:c r="H445" s="17" t="n"/>
      <ns0:c r="I445" s="17" t="n"/>
      <ns0:c r="J445" s="17" t="n"/>
      <ns0:c r="K445" s="17" t="n"/>
      <ns0:c r="L445" s="17" t="n"/>
      <ns0:c r="M445" s="17" t="n"/>
      <ns0:c r="N445" s="17" t="n"/>
      <ns0:c r="O445" s="17" t="n"/>
      <ns0:c r="P445" s="17" t="n"/>
      <ns0:c r="Q445" s="17" t="n"/>
      <ns0:c r="R445" s="17" t="n"/>
      <ns0:c r="S445" s="17" t="n"/>
      <ns0:c r="T445" s="17" t="n"/>
      <ns0:c r="U445" s="17" t="n"/>
      <ns0:c r="V445" s="17" t="n"/>
      <ns0:c r="W445" s="17" t="n"/>
      <ns0:c r="X445" s="17" t="n"/>
      <ns0:c r="Y445" s="17" t="n"/>
      <ns0:c r="Z445" s="17" t="n"/>
      <ns0:c r="AA445" s="17" t="n"/>
      <ns0:c r="AB445" s="17" t="n"/>
      <ns0:c r="AC445" s="17" t="n"/>
      <ns0:c r="AD445" s="17" t="n"/>
      <ns0:c r="AE445" s="17" t="n"/>
      <ns0:c r="AF445" s="17" t="n"/>
      <ns0:c r="AG445" s="17" t="n"/>
    </ns0:row>
    <ns0:row r="446" ht="24" customHeight="1">
      <ns0:c r="D446" s="17" t="n"/>
      <ns0:c r="E446" s="17" t="n"/>
      <ns0:c r="F446" s="17" t="n"/>
      <ns0:c r="G446" s="17" t="n"/>
      <ns0:c r="H446" s="17" t="n"/>
      <ns0:c r="I446" s="17" t="n"/>
      <ns0:c r="J446" s="17" t="n"/>
      <ns0:c r="K446" s="17" t="n"/>
      <ns0:c r="L446" s="17" t="n"/>
      <ns0:c r="M446" s="17" t="n"/>
      <ns0:c r="N446" s="17" t="n"/>
      <ns0:c r="O446" s="17" t="n"/>
      <ns0:c r="P446" s="17" t="n"/>
      <ns0:c r="Q446" s="17" t="n"/>
      <ns0:c r="R446" s="17" t="n"/>
      <ns0:c r="S446" s="17" t="n"/>
      <ns0:c r="T446" s="17" t="n"/>
      <ns0:c r="U446" s="17" t="n"/>
      <ns0:c r="V446" s="17" t="n"/>
      <ns0:c r="W446" s="17" t="n"/>
      <ns0:c r="X446" s="17" t="n"/>
      <ns0:c r="Y446" s="17" t="n"/>
      <ns0:c r="Z446" s="17" t="n"/>
      <ns0:c r="AA446" s="17" t="n"/>
      <ns0:c r="AB446" s="17" t="n"/>
      <ns0:c r="AC446" s="17" t="n"/>
      <ns0:c r="AD446" s="17" t="n"/>
      <ns0:c r="AE446" s="17" t="n"/>
      <ns0:c r="AF446" s="17" t="n"/>
      <ns0:c r="AG446" s="17" t="n"/>
    </ns0:row>
    <ns0:row r="447" ht="24" customHeight="1">
      <ns0:c r="D447" s="17" t="n"/>
      <ns0:c r="E447" s="17" t="n"/>
      <ns0:c r="F447" s="17" t="n"/>
      <ns0:c r="G447" s="17" t="n"/>
      <ns0:c r="H447" s="17" t="n"/>
      <ns0:c r="I447" s="17" t="n"/>
      <ns0:c r="J447" s="17" t="n"/>
      <ns0:c r="K447" s="17" t="n"/>
      <ns0:c r="L447" s="17" t="n"/>
      <ns0:c r="M447" s="17" t="n"/>
      <ns0:c r="N447" s="17" t="n"/>
      <ns0:c r="O447" s="17" t="n"/>
      <ns0:c r="P447" s="17" t="n"/>
      <ns0:c r="Q447" s="17" t="n"/>
      <ns0:c r="R447" s="17" t="n"/>
      <ns0:c r="S447" s="17" t="n"/>
      <ns0:c r="T447" s="17" t="n"/>
      <ns0:c r="U447" s="17" t="n"/>
      <ns0:c r="V447" s="17" t="n"/>
      <ns0:c r="W447" s="17" t="n"/>
      <ns0:c r="X447" s="17" t="n"/>
      <ns0:c r="Y447" s="17" t="n"/>
      <ns0:c r="Z447" s="17" t="n"/>
      <ns0:c r="AA447" s="17" t="n"/>
      <ns0:c r="AB447" s="17" t="n"/>
      <ns0:c r="AC447" s="17" t="n"/>
      <ns0:c r="AD447" s="17" t="n"/>
      <ns0:c r="AE447" s="17" t="n"/>
      <ns0:c r="AF447" s="17" t="n"/>
      <ns0:c r="AG447" s="17" t="n"/>
    </ns0:row>
    <ns0:row r="448" ht="24" customHeight="1">
      <ns0:c r="D448" s="17" t="n"/>
      <ns0:c r="E448" s="17" t="n"/>
      <ns0:c r="F448" s="17" t="n"/>
      <ns0:c r="G448" s="17" t="n"/>
      <ns0:c r="H448" s="17" t="n"/>
      <ns0:c r="I448" s="17" t="n"/>
      <ns0:c r="J448" s="17" t="n"/>
      <ns0:c r="K448" s="17" t="n"/>
      <ns0:c r="L448" s="17" t="n"/>
      <ns0:c r="M448" s="17" t="n"/>
      <ns0:c r="N448" s="17" t="n"/>
      <ns0:c r="O448" s="17" t="n"/>
      <ns0:c r="P448" s="17" t="n"/>
      <ns0:c r="Q448" s="17" t="n"/>
      <ns0:c r="R448" s="17" t="n"/>
      <ns0:c r="S448" s="17" t="n"/>
      <ns0:c r="T448" s="17" t="n"/>
      <ns0:c r="U448" s="17" t="n"/>
      <ns0:c r="V448" s="17" t="n"/>
      <ns0:c r="W448" s="17" t="n"/>
      <ns0:c r="X448" s="17" t="n"/>
      <ns0:c r="Y448" s="17" t="n"/>
      <ns0:c r="Z448" s="17" t="n"/>
      <ns0:c r="AA448" s="17" t="n"/>
      <ns0:c r="AB448" s="17" t="n"/>
      <ns0:c r="AC448" s="17" t="n"/>
      <ns0:c r="AD448" s="17" t="n"/>
      <ns0:c r="AE448" s="17" t="n"/>
      <ns0:c r="AF448" s="17" t="n"/>
      <ns0:c r="AG448" s="17" t="n"/>
    </ns0:row>
    <ns0:row r="449" ht="24" customHeight="1">
      <ns0:c r="D449" s="17" t="n"/>
      <ns0:c r="E449" s="17" t="n"/>
      <ns0:c r="F449" s="17" t="n"/>
      <ns0:c r="G449" s="17" t="n"/>
      <ns0:c r="H449" s="17" t="n"/>
      <ns0:c r="I449" s="17" t="n"/>
      <ns0:c r="J449" s="17" t="n"/>
      <ns0:c r="K449" s="17" t="n"/>
      <ns0:c r="L449" s="17" t="n"/>
      <ns0:c r="M449" s="17" t="n"/>
      <ns0:c r="N449" s="17" t="n"/>
      <ns0:c r="O449" s="17" t="n"/>
      <ns0:c r="P449" s="17" t="n"/>
      <ns0:c r="Q449" s="17" t="n"/>
      <ns0:c r="R449" s="17" t="n"/>
      <ns0:c r="S449" s="17" t="n"/>
      <ns0:c r="T449" s="17" t="n"/>
      <ns0:c r="U449" s="17" t="n"/>
      <ns0:c r="V449" s="17" t="n"/>
      <ns0:c r="W449" s="17" t="n"/>
      <ns0:c r="X449" s="17" t="n"/>
      <ns0:c r="Y449" s="17" t="n"/>
      <ns0:c r="Z449" s="17" t="n"/>
      <ns0:c r="AA449" s="17" t="n"/>
      <ns0:c r="AB449" s="17" t="n"/>
      <ns0:c r="AC449" s="17" t="n"/>
      <ns0:c r="AD449" s="17" t="n"/>
      <ns0:c r="AE449" s="17" t="n"/>
      <ns0:c r="AF449" s="17" t="n"/>
      <ns0:c r="AG449" s="17" t="n"/>
    </ns0:row>
    <ns0:row r="450" ht="24" customHeight="1">
      <ns0:c r="D450" s="17" t="n"/>
      <ns0:c r="E450" s="17" t="n"/>
      <ns0:c r="F450" s="17" t="n"/>
      <ns0:c r="G450" s="17" t="n"/>
      <ns0:c r="H450" s="17" t="n"/>
      <ns0:c r="I450" s="17" t="n"/>
      <ns0:c r="J450" s="17" t="n"/>
      <ns0:c r="K450" s="17" t="n"/>
      <ns0:c r="L450" s="17" t="n"/>
      <ns0:c r="M450" s="17" t="n"/>
      <ns0:c r="N450" s="17" t="n"/>
      <ns0:c r="O450" s="17" t="n"/>
      <ns0:c r="P450" s="17" t="n"/>
      <ns0:c r="Q450" s="17" t="n"/>
      <ns0:c r="R450" s="17" t="n"/>
      <ns0:c r="S450" s="17" t="n"/>
      <ns0:c r="T450" s="17" t="n"/>
      <ns0:c r="U450" s="17" t="n"/>
      <ns0:c r="V450" s="17" t="n"/>
      <ns0:c r="W450" s="17" t="n"/>
      <ns0:c r="X450" s="17" t="n"/>
      <ns0:c r="Y450" s="17" t="n"/>
      <ns0:c r="Z450" s="17" t="n"/>
      <ns0:c r="AA450" s="17" t="n"/>
      <ns0:c r="AB450" s="17" t="n"/>
      <ns0:c r="AC450" s="17" t="n"/>
      <ns0:c r="AD450" s="17" t="n"/>
      <ns0:c r="AE450" s="17" t="n"/>
      <ns0:c r="AF450" s="17" t="n"/>
      <ns0:c r="AG450" s="17" t="n"/>
    </ns0:row>
    <ns0:row r="451" ht="24" customHeight="1">
      <ns0:c r="D451" s="17" t="n"/>
      <ns0:c r="E451" s="17" t="n"/>
      <ns0:c r="F451" s="17" t="n"/>
      <ns0:c r="G451" s="17" t="n"/>
      <ns0:c r="H451" s="17" t="n"/>
      <ns0:c r="I451" s="17" t="n"/>
      <ns0:c r="J451" s="17" t="n"/>
      <ns0:c r="K451" s="17" t="n"/>
      <ns0:c r="L451" s="17" t="n"/>
      <ns0:c r="M451" s="17" t="n"/>
      <ns0:c r="N451" s="17" t="n"/>
      <ns0:c r="O451" s="17" t="n"/>
      <ns0:c r="P451" s="17" t="n"/>
      <ns0:c r="Q451" s="17" t="n"/>
      <ns0:c r="R451" s="17" t="n"/>
      <ns0:c r="S451" s="17" t="n"/>
      <ns0:c r="T451" s="17" t="n"/>
      <ns0:c r="U451" s="17" t="n"/>
      <ns0:c r="V451" s="17" t="n"/>
      <ns0:c r="W451" s="17" t="n"/>
      <ns0:c r="X451" s="17" t="n"/>
      <ns0:c r="Y451" s="17" t="n"/>
      <ns0:c r="Z451" s="17" t="n"/>
      <ns0:c r="AA451" s="17" t="n"/>
      <ns0:c r="AB451" s="17" t="n"/>
      <ns0:c r="AC451" s="17" t="n"/>
      <ns0:c r="AD451" s="17" t="n"/>
      <ns0:c r="AE451" s="17" t="n"/>
      <ns0:c r="AF451" s="17" t="n"/>
      <ns0:c r="AG451" s="17" t="n"/>
    </ns0:row>
    <ns0:row r="452" ht="24" customHeight="1">
      <ns0:c r="D452" s="17" t="n"/>
      <ns0:c r="E452" s="17" t="n"/>
      <ns0:c r="F452" s="17" t="n"/>
      <ns0:c r="G452" s="17" t="n"/>
      <ns0:c r="H452" s="17" t="n"/>
      <ns0:c r="I452" s="17" t="n"/>
      <ns0:c r="J452" s="17" t="n"/>
      <ns0:c r="K452" s="17" t="n"/>
      <ns0:c r="L452" s="17" t="n"/>
      <ns0:c r="M452" s="17" t="n"/>
      <ns0:c r="N452" s="17" t="n"/>
      <ns0:c r="O452" s="17" t="n"/>
      <ns0:c r="P452" s="17" t="n"/>
      <ns0:c r="Q452" s="17" t="n"/>
      <ns0:c r="R452" s="17" t="n"/>
      <ns0:c r="S452" s="17" t="n"/>
      <ns0:c r="T452" s="17" t="n"/>
      <ns0:c r="U452" s="17" t="n"/>
      <ns0:c r="V452" s="17" t="n"/>
      <ns0:c r="W452" s="17" t="n"/>
      <ns0:c r="X452" s="17" t="n"/>
      <ns0:c r="Y452" s="17" t="n"/>
      <ns0:c r="Z452" s="17" t="n"/>
      <ns0:c r="AA452" s="17" t="n"/>
      <ns0:c r="AB452" s="17" t="n"/>
      <ns0:c r="AC452" s="17" t="n"/>
      <ns0:c r="AD452" s="17" t="n"/>
      <ns0:c r="AE452" s="17" t="n"/>
      <ns0:c r="AF452" s="17" t="n"/>
      <ns0:c r="AG452" s="17" t="n"/>
    </ns0:row>
    <ns0:row r="453" ht="24" customHeight="1">
      <ns0:c r="D453" s="17" t="n"/>
      <ns0:c r="E453" s="17" t="n"/>
      <ns0:c r="F453" s="17" t="n"/>
      <ns0:c r="G453" s="17" t="n"/>
      <ns0:c r="H453" s="17" t="n"/>
      <ns0:c r="I453" s="17" t="n"/>
      <ns0:c r="J453" s="17" t="n"/>
      <ns0:c r="K453" s="17" t="n"/>
      <ns0:c r="L453" s="17" t="n"/>
      <ns0:c r="M453" s="17" t="n"/>
      <ns0:c r="N453" s="17" t="n"/>
      <ns0:c r="O453" s="17" t="n"/>
      <ns0:c r="P453" s="17" t="n"/>
      <ns0:c r="Q453" s="17" t="n"/>
      <ns0:c r="R453" s="17" t="n"/>
      <ns0:c r="S453" s="17" t="n"/>
      <ns0:c r="T453" s="17" t="n"/>
      <ns0:c r="U453" s="17" t="n"/>
      <ns0:c r="V453" s="17" t="n"/>
      <ns0:c r="W453" s="17" t="n"/>
      <ns0:c r="X453" s="17" t="n"/>
      <ns0:c r="Y453" s="17" t="n"/>
      <ns0:c r="Z453" s="17" t="n"/>
      <ns0:c r="AA453" s="17" t="n"/>
      <ns0:c r="AB453" s="17" t="n"/>
      <ns0:c r="AC453" s="17" t="n"/>
      <ns0:c r="AD453" s="17" t="n"/>
      <ns0:c r="AE453" s="17" t="n"/>
      <ns0:c r="AF453" s="17" t="n"/>
      <ns0:c r="AG453" s="17" t="n"/>
    </ns0:row>
    <ns0:row r="454" ht="24" customHeight="1">
      <ns0:c r="D454" s="17" t="n"/>
      <ns0:c r="E454" s="17" t="n"/>
      <ns0:c r="F454" s="17" t="n"/>
      <ns0:c r="G454" s="17" t="n"/>
      <ns0:c r="H454" s="17" t="n"/>
      <ns0:c r="I454" s="17" t="n"/>
      <ns0:c r="J454" s="17" t="n"/>
      <ns0:c r="K454" s="17" t="n"/>
      <ns0:c r="L454" s="17" t="n"/>
      <ns0:c r="M454" s="17" t="n"/>
      <ns0:c r="N454" s="17" t="n"/>
      <ns0:c r="O454" s="17" t="n"/>
      <ns0:c r="P454" s="17" t="n"/>
      <ns0:c r="Q454" s="17" t="n"/>
      <ns0:c r="R454" s="17" t="n"/>
      <ns0:c r="S454" s="17" t="n"/>
      <ns0:c r="T454" s="17" t="n"/>
      <ns0:c r="U454" s="17" t="n"/>
      <ns0:c r="V454" s="17" t="n"/>
      <ns0:c r="W454" s="17" t="n"/>
      <ns0:c r="X454" s="17" t="n"/>
      <ns0:c r="Y454" s="17" t="n"/>
      <ns0:c r="Z454" s="17" t="n"/>
      <ns0:c r="AA454" s="17" t="n"/>
      <ns0:c r="AB454" s="17" t="n"/>
      <ns0:c r="AC454" s="17" t="n"/>
      <ns0:c r="AD454" s="17" t="n"/>
      <ns0:c r="AE454" s="17" t="n"/>
      <ns0:c r="AF454" s="17" t="n"/>
      <ns0:c r="AG454" s="17" t="n"/>
    </ns0:row>
    <ns0:row r="455" ht="24" customHeight="1">
      <ns0:c r="D455" s="17" t="n"/>
      <ns0:c r="E455" s="17" t="n"/>
      <ns0:c r="F455" s="17" t="n"/>
      <ns0:c r="G455" s="17" t="n"/>
      <ns0:c r="H455" s="17" t="n"/>
      <ns0:c r="I455" s="17" t="n"/>
      <ns0:c r="J455" s="17" t="n"/>
      <ns0:c r="K455" s="17" t="n"/>
      <ns0:c r="L455" s="17" t="n"/>
      <ns0:c r="M455" s="17" t="n"/>
      <ns0:c r="N455" s="17" t="n"/>
      <ns0:c r="O455" s="17" t="n"/>
      <ns0:c r="P455" s="17" t="n"/>
      <ns0:c r="Q455" s="17" t="n"/>
      <ns0:c r="R455" s="17" t="n"/>
      <ns0:c r="S455" s="17" t="n"/>
      <ns0:c r="T455" s="17" t="n"/>
      <ns0:c r="U455" s="17" t="n"/>
      <ns0:c r="V455" s="17" t="n"/>
      <ns0:c r="W455" s="17" t="n"/>
      <ns0:c r="X455" s="17" t="n"/>
      <ns0:c r="Y455" s="17" t="n"/>
      <ns0:c r="Z455" s="17" t="n"/>
      <ns0:c r="AA455" s="17" t="n"/>
      <ns0:c r="AB455" s="17" t="n"/>
      <ns0:c r="AC455" s="17" t="n"/>
      <ns0:c r="AD455" s="17" t="n"/>
      <ns0:c r="AE455" s="17" t="n"/>
      <ns0:c r="AF455" s="17" t="n"/>
      <ns0:c r="AG455" s="17" t="n"/>
    </ns0:row>
    <ns0:row r="456" ht="24" customHeight="1">
      <ns0:c r="D456" s="17" t="n"/>
      <ns0:c r="E456" s="17" t="n"/>
      <ns0:c r="F456" s="17" t="n"/>
      <ns0:c r="G456" s="17" t="n"/>
      <ns0:c r="H456" s="17" t="n"/>
      <ns0:c r="I456" s="17" t="n"/>
      <ns0:c r="J456" s="17" t="n"/>
      <ns0:c r="K456" s="17" t="n"/>
      <ns0:c r="L456" s="17" t="n"/>
      <ns0:c r="M456" s="17" t="n"/>
      <ns0:c r="N456" s="17" t="n"/>
      <ns0:c r="O456" s="17" t="n"/>
      <ns0:c r="P456" s="17" t="n"/>
      <ns0:c r="Q456" s="17" t="n"/>
      <ns0:c r="R456" s="17" t="n"/>
      <ns0:c r="S456" s="17" t="n"/>
      <ns0:c r="T456" s="17" t="n"/>
      <ns0:c r="U456" s="17" t="n"/>
      <ns0:c r="V456" s="17" t="n"/>
      <ns0:c r="W456" s="17" t="n"/>
      <ns0:c r="X456" s="17" t="n"/>
      <ns0:c r="Y456" s="17" t="n"/>
      <ns0:c r="Z456" s="17" t="n"/>
      <ns0:c r="AA456" s="17" t="n"/>
      <ns0:c r="AB456" s="17" t="n"/>
      <ns0:c r="AC456" s="17" t="n"/>
      <ns0:c r="AD456" s="17" t="n"/>
      <ns0:c r="AE456" s="17" t="n"/>
      <ns0:c r="AF456" s="17" t="n"/>
      <ns0:c r="AG456" s="17" t="n"/>
    </ns0:row>
    <ns0:row r="457" ht="24" customHeight="1">
      <ns0:c r="D457" s="17" t="n"/>
      <ns0:c r="E457" s="17" t="n"/>
      <ns0:c r="F457" s="17" t="n"/>
      <ns0:c r="G457" s="17" t="n"/>
      <ns0:c r="H457" s="17" t="n"/>
      <ns0:c r="I457" s="17" t="n"/>
      <ns0:c r="J457" s="17" t="n"/>
      <ns0:c r="K457" s="17" t="n"/>
      <ns0:c r="L457" s="17" t="n"/>
      <ns0:c r="M457" s="17" t="n"/>
      <ns0:c r="N457" s="17" t="n"/>
      <ns0:c r="O457" s="17" t="n"/>
      <ns0:c r="P457" s="17" t="n"/>
      <ns0:c r="Q457" s="17" t="n"/>
      <ns0:c r="R457" s="17" t="n"/>
      <ns0:c r="S457" s="17" t="n"/>
      <ns0:c r="T457" s="17" t="n"/>
      <ns0:c r="U457" s="17" t="n"/>
      <ns0:c r="V457" s="17" t="n"/>
      <ns0:c r="W457" s="17" t="n"/>
      <ns0:c r="X457" s="17" t="n"/>
      <ns0:c r="Y457" s="17" t="n"/>
      <ns0:c r="Z457" s="17" t="n"/>
      <ns0:c r="AA457" s="17" t="n"/>
      <ns0:c r="AB457" s="17" t="n"/>
      <ns0:c r="AC457" s="17" t="n"/>
      <ns0:c r="AD457" s="17" t="n"/>
      <ns0:c r="AE457" s="17" t="n"/>
      <ns0:c r="AF457" s="17" t="n"/>
      <ns0:c r="AG457" s="17" t="n"/>
    </ns0:row>
    <ns0:row r="458" ht="24" customHeight="1">
      <ns0:c r="D458" s="17" t="n"/>
      <ns0:c r="E458" s="17" t="n"/>
      <ns0:c r="F458" s="17" t="n"/>
      <ns0:c r="G458" s="17" t="n"/>
      <ns0:c r="H458" s="17" t="n"/>
      <ns0:c r="I458" s="17" t="n"/>
      <ns0:c r="J458" s="17" t="n"/>
      <ns0:c r="K458" s="17" t="n"/>
      <ns0:c r="L458" s="17" t="n"/>
      <ns0:c r="M458" s="17" t="n"/>
      <ns0:c r="N458" s="17" t="n"/>
      <ns0:c r="O458" s="17" t="n"/>
      <ns0:c r="P458" s="17" t="n"/>
      <ns0:c r="Q458" s="17" t="n"/>
      <ns0:c r="R458" s="17" t="n"/>
      <ns0:c r="S458" s="17" t="n"/>
      <ns0:c r="T458" s="17" t="n"/>
      <ns0:c r="U458" s="17" t="n"/>
      <ns0:c r="V458" s="17" t="n"/>
      <ns0:c r="W458" s="17" t="n"/>
      <ns0:c r="X458" s="17" t="n"/>
      <ns0:c r="Y458" s="17" t="n"/>
      <ns0:c r="Z458" s="17" t="n"/>
      <ns0:c r="AA458" s="17" t="n"/>
      <ns0:c r="AB458" s="17" t="n"/>
      <ns0:c r="AC458" s="17" t="n"/>
      <ns0:c r="AD458" s="17" t="n"/>
      <ns0:c r="AE458" s="17" t="n"/>
      <ns0:c r="AF458" s="17" t="n"/>
      <ns0:c r="AG458" s="17" t="n"/>
    </ns0:row>
    <ns0:row r="459" ht="24" customHeight="1">
      <ns0:c r="D459" s="17" t="n"/>
      <ns0:c r="E459" s="17" t="n"/>
      <ns0:c r="F459" s="17" t="n"/>
      <ns0:c r="G459" s="17" t="n"/>
      <ns0:c r="H459" s="17" t="n"/>
      <ns0:c r="I459" s="17" t="n"/>
      <ns0:c r="J459" s="17" t="n"/>
      <ns0:c r="K459" s="17" t="n"/>
      <ns0:c r="L459" s="17" t="n"/>
      <ns0:c r="M459" s="17" t="n"/>
      <ns0:c r="N459" s="17" t="n"/>
      <ns0:c r="O459" s="17" t="n"/>
      <ns0:c r="P459" s="17" t="n"/>
      <ns0:c r="Q459" s="17" t="n"/>
      <ns0:c r="R459" s="17" t="n"/>
      <ns0:c r="S459" s="17" t="n"/>
      <ns0:c r="T459" s="17" t="n"/>
      <ns0:c r="U459" s="17" t="n"/>
      <ns0:c r="V459" s="17" t="n"/>
      <ns0:c r="W459" s="17" t="n"/>
      <ns0:c r="X459" s="17" t="n"/>
      <ns0:c r="Y459" s="17" t="n"/>
      <ns0:c r="Z459" s="17" t="n"/>
      <ns0:c r="AA459" s="17" t="n"/>
      <ns0:c r="AB459" s="17" t="n"/>
      <ns0:c r="AC459" s="17" t="n"/>
      <ns0:c r="AD459" s="17" t="n"/>
      <ns0:c r="AE459" s="17" t="n"/>
      <ns0:c r="AF459" s="17" t="n"/>
      <ns0:c r="AG459" s="17" t="n"/>
    </ns0:row>
    <ns0:row r="460" ht="24" customHeight="1">
      <ns0:c r="D460" s="17" t="n"/>
      <ns0:c r="E460" s="17" t="n"/>
      <ns0:c r="F460" s="17" t="n"/>
      <ns0:c r="G460" s="17" t="n"/>
      <ns0:c r="H460" s="17" t="n"/>
      <ns0:c r="I460" s="17" t="n"/>
      <ns0:c r="J460" s="17" t="n"/>
      <ns0:c r="K460" s="17" t="n"/>
      <ns0:c r="L460" s="17" t="n"/>
      <ns0:c r="M460" s="17" t="n"/>
      <ns0:c r="N460" s="17" t="n"/>
      <ns0:c r="O460" s="17" t="n"/>
      <ns0:c r="P460" s="17" t="n"/>
      <ns0:c r="Q460" s="17" t="n"/>
      <ns0:c r="R460" s="17" t="n"/>
      <ns0:c r="S460" s="17" t="n"/>
      <ns0:c r="T460" s="17" t="n"/>
      <ns0:c r="U460" s="17" t="n"/>
      <ns0:c r="V460" s="17" t="n"/>
      <ns0:c r="W460" s="17" t="n"/>
      <ns0:c r="X460" s="17" t="n"/>
      <ns0:c r="Y460" s="17" t="n"/>
      <ns0:c r="Z460" s="17" t="n"/>
      <ns0:c r="AA460" s="17" t="n"/>
      <ns0:c r="AB460" s="17" t="n"/>
      <ns0:c r="AC460" s="17" t="n"/>
      <ns0:c r="AD460" s="17" t="n"/>
      <ns0:c r="AE460" s="17" t="n"/>
      <ns0:c r="AF460" s="17" t="n"/>
      <ns0:c r="AG460" s="17" t="n"/>
    </ns0:row>
    <ns0:row r="461" ht="24" customHeight="1">
      <ns0:c r="D461" s="17" t="n"/>
      <ns0:c r="E461" s="17" t="n"/>
      <ns0:c r="F461" s="17" t="n"/>
      <ns0:c r="G461" s="17" t="n"/>
      <ns0:c r="H461" s="17" t="n"/>
      <ns0:c r="I461" s="17" t="n"/>
      <ns0:c r="J461" s="17" t="n"/>
      <ns0:c r="K461" s="17" t="n"/>
      <ns0:c r="L461" s="17" t="n"/>
      <ns0:c r="M461" s="17" t="n"/>
      <ns0:c r="N461" s="17" t="n"/>
      <ns0:c r="O461" s="17" t="n"/>
      <ns0:c r="P461" s="17" t="n"/>
      <ns0:c r="Q461" s="17" t="n"/>
      <ns0:c r="R461" s="17" t="n"/>
      <ns0:c r="S461" s="17" t="n"/>
      <ns0:c r="T461" s="17" t="n"/>
      <ns0:c r="U461" s="17" t="n"/>
      <ns0:c r="V461" s="17" t="n"/>
      <ns0:c r="W461" s="17" t="n"/>
      <ns0:c r="X461" s="17" t="n"/>
      <ns0:c r="Y461" s="17" t="n"/>
      <ns0:c r="Z461" s="17" t="n"/>
      <ns0:c r="AA461" s="17" t="n"/>
      <ns0:c r="AB461" s="17" t="n"/>
      <ns0:c r="AC461" s="17" t="n"/>
      <ns0:c r="AD461" s="17" t="n"/>
      <ns0:c r="AE461" s="17" t="n"/>
      <ns0:c r="AF461" s="17" t="n"/>
      <ns0:c r="AG461" s="17" t="n"/>
    </ns0:row>
    <ns0:row r="462" ht="24" customHeight="1">
      <ns0:c r="D462" s="17" t="n"/>
      <ns0:c r="E462" s="17" t="n"/>
      <ns0:c r="F462" s="17" t="n"/>
      <ns0:c r="G462" s="17" t="n"/>
      <ns0:c r="H462" s="17" t="n"/>
      <ns0:c r="I462" s="17" t="n"/>
      <ns0:c r="J462" s="17" t="n"/>
      <ns0:c r="K462" s="17" t="n"/>
      <ns0:c r="L462" s="17" t="n"/>
      <ns0:c r="M462" s="17" t="n"/>
      <ns0:c r="N462" s="17" t="n"/>
      <ns0:c r="O462" s="17" t="n"/>
      <ns0:c r="P462" s="17" t="n"/>
      <ns0:c r="Q462" s="17" t="n"/>
      <ns0:c r="R462" s="17" t="n"/>
      <ns0:c r="S462" s="17" t="n"/>
      <ns0:c r="T462" s="17" t="n"/>
      <ns0:c r="U462" s="17" t="n"/>
      <ns0:c r="V462" s="17" t="n"/>
      <ns0:c r="W462" s="17" t="n"/>
      <ns0:c r="X462" s="17" t="n"/>
      <ns0:c r="Y462" s="17" t="n"/>
      <ns0:c r="Z462" s="17" t="n"/>
      <ns0:c r="AA462" s="17" t="n"/>
      <ns0:c r="AB462" s="17" t="n"/>
      <ns0:c r="AC462" s="17" t="n"/>
      <ns0:c r="AD462" s="17" t="n"/>
      <ns0:c r="AE462" s="17" t="n"/>
      <ns0:c r="AF462" s="17" t="n"/>
      <ns0:c r="AG462" s="17" t="n"/>
    </ns0:row>
    <ns0:row r="463" ht="24" customHeight="1">
      <ns0:c r="D463" s="17" t="n"/>
      <ns0:c r="E463" s="17" t="n"/>
      <ns0:c r="F463" s="17" t="n"/>
      <ns0:c r="G463" s="17" t="n"/>
      <ns0:c r="H463" s="17" t="n"/>
      <ns0:c r="I463" s="17" t="n"/>
      <ns0:c r="J463" s="17" t="n"/>
      <ns0:c r="K463" s="17" t="n"/>
      <ns0:c r="L463" s="17" t="n"/>
      <ns0:c r="M463" s="17" t="n"/>
      <ns0:c r="N463" s="17" t="n"/>
      <ns0:c r="O463" s="17" t="n"/>
      <ns0:c r="P463" s="17" t="n"/>
      <ns0:c r="Q463" s="17" t="n"/>
      <ns0:c r="R463" s="17" t="n"/>
      <ns0:c r="S463" s="17" t="n"/>
      <ns0:c r="T463" s="17" t="n"/>
      <ns0:c r="U463" s="17" t="n"/>
      <ns0:c r="V463" s="17" t="n"/>
      <ns0:c r="W463" s="17" t="n"/>
      <ns0:c r="X463" s="17" t="n"/>
      <ns0:c r="Y463" s="17" t="n"/>
      <ns0:c r="Z463" s="17" t="n"/>
      <ns0:c r="AA463" s="17" t="n"/>
      <ns0:c r="AB463" s="17" t="n"/>
      <ns0:c r="AC463" s="17" t="n"/>
      <ns0:c r="AD463" s="17" t="n"/>
      <ns0:c r="AE463" s="17" t="n"/>
      <ns0:c r="AF463" s="17" t="n"/>
      <ns0:c r="AG463" s="17" t="n"/>
    </ns0:row>
    <ns0:row r="464" ht="24" customHeight="1">
      <ns0:c r="D464" s="17" t="n"/>
      <ns0:c r="E464" s="17" t="n"/>
      <ns0:c r="F464" s="17" t="n"/>
      <ns0:c r="G464" s="17" t="n"/>
      <ns0:c r="H464" s="17" t="n"/>
      <ns0:c r="I464" s="17" t="n"/>
      <ns0:c r="J464" s="17" t="n"/>
      <ns0:c r="K464" s="17" t="n"/>
      <ns0:c r="L464" s="17" t="n"/>
      <ns0:c r="M464" s="17" t="n"/>
      <ns0:c r="N464" s="17" t="n"/>
      <ns0:c r="O464" s="17" t="n"/>
      <ns0:c r="P464" s="17" t="n"/>
      <ns0:c r="Q464" s="17" t="n"/>
      <ns0:c r="R464" s="17" t="n"/>
      <ns0:c r="S464" s="17" t="n"/>
      <ns0:c r="T464" s="17" t="n"/>
      <ns0:c r="U464" s="17" t="n"/>
      <ns0:c r="V464" s="17" t="n"/>
      <ns0:c r="W464" s="17" t="n"/>
      <ns0:c r="X464" s="17" t="n"/>
      <ns0:c r="Y464" s="17" t="n"/>
      <ns0:c r="Z464" s="17" t="n"/>
      <ns0:c r="AA464" s="17" t="n"/>
      <ns0:c r="AB464" s="17" t="n"/>
      <ns0:c r="AC464" s="17" t="n"/>
      <ns0:c r="AD464" s="17" t="n"/>
      <ns0:c r="AE464" s="17" t="n"/>
      <ns0:c r="AF464" s="17" t="n"/>
      <ns0:c r="AG464" s="17" t="n"/>
    </ns0:row>
    <ns0:row r="465" ht="24" customHeight="1">
      <ns0:c r="D465" s="17" t="n"/>
      <ns0:c r="E465" s="17" t="n"/>
      <ns0:c r="F465" s="17" t="n"/>
      <ns0:c r="G465" s="17" t="n"/>
      <ns0:c r="H465" s="17" t="n"/>
      <ns0:c r="I465" s="17" t="n"/>
      <ns0:c r="J465" s="17" t="n"/>
      <ns0:c r="K465" s="17" t="n"/>
      <ns0:c r="L465" s="17" t="n"/>
      <ns0:c r="M465" s="17" t="n"/>
      <ns0:c r="N465" s="17" t="n"/>
      <ns0:c r="O465" s="17" t="n"/>
      <ns0:c r="P465" s="17" t="n"/>
      <ns0:c r="Q465" s="17" t="n"/>
      <ns0:c r="R465" s="17" t="n"/>
      <ns0:c r="S465" s="17" t="n"/>
      <ns0:c r="T465" s="17" t="n"/>
      <ns0:c r="U465" s="17" t="n"/>
      <ns0:c r="V465" s="17" t="n"/>
      <ns0:c r="W465" s="17" t="n"/>
      <ns0:c r="X465" s="17" t="n"/>
      <ns0:c r="Y465" s="17" t="n"/>
      <ns0:c r="Z465" s="17" t="n"/>
      <ns0:c r="AA465" s="17" t="n"/>
      <ns0:c r="AB465" s="17" t="n"/>
      <ns0:c r="AC465" s="17" t="n"/>
      <ns0:c r="AD465" s="17" t="n"/>
      <ns0:c r="AE465" s="17" t="n"/>
      <ns0:c r="AF465" s="17" t="n"/>
      <ns0:c r="AG465" s="17" t="n"/>
    </ns0:row>
    <ns0:row r="466" ht="24" customHeight="1">
      <ns0:c r="D466" s="17" t="n"/>
      <ns0:c r="E466" s="17" t="n"/>
      <ns0:c r="F466" s="17" t="n"/>
      <ns0:c r="G466" s="17" t="n"/>
      <ns0:c r="H466" s="17" t="n"/>
      <ns0:c r="I466" s="17" t="n"/>
      <ns0:c r="J466" s="17" t="n"/>
      <ns0:c r="K466" s="17" t="n"/>
      <ns0:c r="L466" s="17" t="n"/>
      <ns0:c r="M466" s="17" t="n"/>
      <ns0:c r="N466" s="17" t="n"/>
      <ns0:c r="O466" s="17" t="n"/>
      <ns0:c r="P466" s="17" t="n"/>
      <ns0:c r="Q466" s="17" t="n"/>
      <ns0:c r="R466" s="17" t="n"/>
      <ns0:c r="S466" s="17" t="n"/>
      <ns0:c r="T466" s="17" t="n"/>
      <ns0:c r="U466" s="17" t="n"/>
      <ns0:c r="V466" s="17" t="n"/>
      <ns0:c r="W466" s="17" t="n"/>
      <ns0:c r="X466" s="17" t="n"/>
      <ns0:c r="Y466" s="17" t="n"/>
      <ns0:c r="Z466" s="17" t="n"/>
      <ns0:c r="AA466" s="17" t="n"/>
      <ns0:c r="AB466" s="17" t="n"/>
      <ns0:c r="AC466" s="17" t="n"/>
      <ns0:c r="AD466" s="17" t="n"/>
      <ns0:c r="AE466" s="17" t="n"/>
      <ns0:c r="AF466" s="17" t="n"/>
      <ns0:c r="AG466" s="17" t="n"/>
    </ns0:row>
    <ns0:row r="467" ht="24" customHeight="1">
      <ns0:c r="D467" s="17" t="n"/>
      <ns0:c r="E467" s="17" t="n"/>
      <ns0:c r="F467" s="17" t="n"/>
      <ns0:c r="G467" s="17" t="n"/>
      <ns0:c r="H467" s="17" t="n"/>
      <ns0:c r="I467" s="17" t="n"/>
      <ns0:c r="J467" s="17" t="n"/>
      <ns0:c r="K467" s="17" t="n"/>
      <ns0:c r="L467" s="17" t="n"/>
      <ns0:c r="M467" s="17" t="n"/>
      <ns0:c r="N467" s="17" t="n"/>
      <ns0:c r="O467" s="17" t="n"/>
      <ns0:c r="P467" s="17" t="n"/>
      <ns0:c r="Q467" s="17" t="n"/>
      <ns0:c r="R467" s="17" t="n"/>
      <ns0:c r="S467" s="17" t="n"/>
      <ns0:c r="T467" s="17" t="n"/>
      <ns0:c r="U467" s="17" t="n"/>
      <ns0:c r="V467" s="17" t="n"/>
      <ns0:c r="W467" s="17" t="n"/>
      <ns0:c r="X467" s="17" t="n"/>
      <ns0:c r="Y467" s="17" t="n"/>
      <ns0:c r="Z467" s="17" t="n"/>
      <ns0:c r="AA467" s="17" t="n"/>
      <ns0:c r="AB467" s="17" t="n"/>
      <ns0:c r="AC467" s="17" t="n"/>
      <ns0:c r="AD467" s="17" t="n"/>
      <ns0:c r="AE467" s="17" t="n"/>
      <ns0:c r="AF467" s="17" t="n"/>
      <ns0:c r="AG467" s="17" t="n"/>
    </ns0:row>
    <ns0:row r="468" ht="24" customHeight="1">
      <ns0:c r="D468" s="17" t="n"/>
      <ns0:c r="E468" s="17" t="n"/>
      <ns0:c r="F468" s="17" t="n"/>
      <ns0:c r="G468" s="17" t="n"/>
      <ns0:c r="H468" s="17" t="n"/>
      <ns0:c r="I468" s="17" t="n"/>
      <ns0:c r="J468" s="17" t="n"/>
      <ns0:c r="K468" s="17" t="n"/>
      <ns0:c r="L468" s="17" t="n"/>
      <ns0:c r="M468" s="17" t="n"/>
      <ns0:c r="N468" s="17" t="n"/>
      <ns0:c r="O468" s="17" t="n"/>
      <ns0:c r="P468" s="17" t="n"/>
      <ns0:c r="Q468" s="17" t="n"/>
      <ns0:c r="R468" s="17" t="n"/>
      <ns0:c r="S468" s="17" t="n"/>
      <ns0:c r="T468" s="17" t="n"/>
      <ns0:c r="U468" s="17" t="n"/>
      <ns0:c r="V468" s="17" t="n"/>
      <ns0:c r="W468" s="17" t="n"/>
      <ns0:c r="X468" s="17" t="n"/>
      <ns0:c r="Y468" s="17" t="n"/>
      <ns0:c r="Z468" s="17" t="n"/>
      <ns0:c r="AA468" s="17" t="n"/>
      <ns0:c r="AB468" s="17" t="n"/>
      <ns0:c r="AC468" s="17" t="n"/>
      <ns0:c r="AD468" s="17" t="n"/>
      <ns0:c r="AE468" s="17" t="n"/>
      <ns0:c r="AF468" s="17" t="n"/>
      <ns0:c r="AG468" s="17" t="n"/>
    </ns0:row>
    <ns0:row r="469" ht="24" customHeight="1">
      <ns0:c r="D469" s="17" t="n"/>
      <ns0:c r="E469" s="17" t="n"/>
      <ns0:c r="F469" s="17" t="n"/>
      <ns0:c r="G469" s="17" t="n"/>
      <ns0:c r="H469" s="17" t="n"/>
      <ns0:c r="I469" s="17" t="n"/>
      <ns0:c r="J469" s="17" t="n"/>
      <ns0:c r="K469" s="17" t="n"/>
      <ns0:c r="L469" s="17" t="n"/>
      <ns0:c r="M469" s="17" t="n"/>
      <ns0:c r="N469" s="17" t="n"/>
      <ns0:c r="O469" s="17" t="n"/>
      <ns0:c r="P469" s="17" t="n"/>
      <ns0:c r="Q469" s="17" t="n"/>
      <ns0:c r="R469" s="17" t="n"/>
      <ns0:c r="S469" s="17" t="n"/>
      <ns0:c r="T469" s="17" t="n"/>
      <ns0:c r="U469" s="17" t="n"/>
      <ns0:c r="V469" s="17" t="n"/>
      <ns0:c r="W469" s="17" t="n"/>
      <ns0:c r="X469" s="17" t="n"/>
      <ns0:c r="Y469" s="17" t="n"/>
      <ns0:c r="Z469" s="17" t="n"/>
      <ns0:c r="AA469" s="17" t="n"/>
      <ns0:c r="AB469" s="17" t="n"/>
      <ns0:c r="AC469" s="17" t="n"/>
      <ns0:c r="AD469" s="17" t="n"/>
      <ns0:c r="AE469" s="17" t="n"/>
      <ns0:c r="AF469" s="17" t="n"/>
      <ns0:c r="AG469" s="17" t="n"/>
    </ns0:row>
    <ns0:row r="470" ht="24" customHeight="1">
      <ns0:c r="D470" s="17" t="n"/>
      <ns0:c r="E470" s="17" t="n"/>
      <ns0:c r="F470" s="17" t="n"/>
      <ns0:c r="G470" s="17" t="n"/>
      <ns0:c r="H470" s="17" t="n"/>
      <ns0:c r="I470" s="17" t="n"/>
      <ns0:c r="J470" s="17" t="n"/>
      <ns0:c r="K470" s="17" t="n"/>
      <ns0:c r="L470" s="17" t="n"/>
      <ns0:c r="M470" s="17" t="n"/>
      <ns0:c r="N470" s="17" t="n"/>
      <ns0:c r="O470" s="17" t="n"/>
      <ns0:c r="P470" s="17" t="n"/>
      <ns0:c r="Q470" s="17" t="n"/>
      <ns0:c r="R470" s="17" t="n"/>
      <ns0:c r="S470" s="17" t="n"/>
      <ns0:c r="T470" s="17" t="n"/>
      <ns0:c r="U470" s="17" t="n"/>
      <ns0:c r="V470" s="17" t="n"/>
      <ns0:c r="W470" s="17" t="n"/>
      <ns0:c r="X470" s="17" t="n"/>
      <ns0:c r="Y470" s="17" t="n"/>
      <ns0:c r="Z470" s="17" t="n"/>
      <ns0:c r="AA470" s="17" t="n"/>
      <ns0:c r="AB470" s="17" t="n"/>
      <ns0:c r="AC470" s="17" t="n"/>
      <ns0:c r="AD470" s="17" t="n"/>
      <ns0:c r="AE470" s="17" t="n"/>
      <ns0:c r="AF470" s="17" t="n"/>
      <ns0:c r="AG470" s="17" t="n"/>
    </ns0:row>
    <ns0:row r="471" ht="24" customHeight="1">
      <ns0:c r="D471" s="17" t="n"/>
      <ns0:c r="E471" s="17" t="n"/>
      <ns0:c r="F471" s="17" t="n"/>
      <ns0:c r="G471" s="17" t="n"/>
      <ns0:c r="H471" s="17" t="n"/>
      <ns0:c r="I471" s="17" t="n"/>
      <ns0:c r="J471" s="17" t="n"/>
      <ns0:c r="K471" s="17" t="n"/>
      <ns0:c r="L471" s="17" t="n"/>
      <ns0:c r="M471" s="17" t="n"/>
      <ns0:c r="N471" s="17" t="n"/>
      <ns0:c r="O471" s="17" t="n"/>
      <ns0:c r="P471" s="17" t="n"/>
      <ns0:c r="Q471" s="17" t="n"/>
      <ns0:c r="R471" s="17" t="n"/>
      <ns0:c r="S471" s="17" t="n"/>
      <ns0:c r="T471" s="17" t="n"/>
      <ns0:c r="U471" s="17" t="n"/>
      <ns0:c r="V471" s="17" t="n"/>
      <ns0:c r="W471" s="17" t="n"/>
      <ns0:c r="X471" s="17" t="n"/>
      <ns0:c r="Y471" s="17" t="n"/>
      <ns0:c r="Z471" s="17" t="n"/>
      <ns0:c r="AA471" s="17" t="n"/>
      <ns0:c r="AB471" s="17" t="n"/>
      <ns0:c r="AC471" s="17" t="n"/>
      <ns0:c r="AD471" s="17" t="n"/>
      <ns0:c r="AE471" s="17" t="n"/>
      <ns0:c r="AF471" s="17" t="n"/>
      <ns0:c r="AG471" s="17" t="n"/>
    </ns0:row>
    <ns0:row r="472" ht="24" customHeight="1">
      <ns0:c r="D472" s="17" t="n"/>
      <ns0:c r="E472" s="17" t="n"/>
      <ns0:c r="F472" s="17" t="n"/>
      <ns0:c r="G472" s="17" t="n"/>
      <ns0:c r="H472" s="17" t="n"/>
      <ns0:c r="I472" s="17" t="n"/>
      <ns0:c r="J472" s="17" t="n"/>
      <ns0:c r="K472" s="17" t="n"/>
      <ns0:c r="L472" s="17" t="n"/>
      <ns0:c r="M472" s="17" t="n"/>
      <ns0:c r="N472" s="17" t="n"/>
      <ns0:c r="O472" s="17" t="n"/>
      <ns0:c r="P472" s="17" t="n"/>
      <ns0:c r="Q472" s="17" t="n"/>
      <ns0:c r="R472" s="17" t="n"/>
      <ns0:c r="S472" s="17" t="n"/>
      <ns0:c r="T472" s="17" t="n"/>
      <ns0:c r="U472" s="17" t="n"/>
      <ns0:c r="V472" s="17" t="n"/>
      <ns0:c r="W472" s="17" t="n"/>
      <ns0:c r="X472" s="17" t="n"/>
      <ns0:c r="Y472" s="17" t="n"/>
      <ns0:c r="Z472" s="17" t="n"/>
      <ns0:c r="AA472" s="17" t="n"/>
      <ns0:c r="AB472" s="17" t="n"/>
      <ns0:c r="AC472" s="17" t="n"/>
      <ns0:c r="AD472" s="17" t="n"/>
      <ns0:c r="AE472" s="17" t="n"/>
      <ns0:c r="AF472" s="17" t="n"/>
      <ns0:c r="AG472" s="17" t="n"/>
    </ns0:row>
    <ns0:row r="473" ht="24" customHeight="1">
      <ns0:c r="D473" s="17" t="n"/>
      <ns0:c r="E473" s="17" t="n"/>
      <ns0:c r="F473" s="17" t="n"/>
      <ns0:c r="G473" s="17" t="n"/>
      <ns0:c r="H473" s="17" t="n"/>
      <ns0:c r="I473" s="17" t="n"/>
      <ns0:c r="J473" s="17" t="n"/>
      <ns0:c r="K473" s="17" t="n"/>
      <ns0:c r="L473" s="17" t="n"/>
      <ns0:c r="M473" s="17" t="n"/>
      <ns0:c r="N473" s="17" t="n"/>
      <ns0:c r="O473" s="17" t="n"/>
      <ns0:c r="P473" s="17" t="n"/>
      <ns0:c r="Q473" s="17" t="n"/>
      <ns0:c r="R473" s="17" t="n"/>
      <ns0:c r="S473" s="17" t="n"/>
      <ns0:c r="T473" s="17" t="n"/>
      <ns0:c r="U473" s="17" t="n"/>
      <ns0:c r="V473" s="17" t="n"/>
      <ns0:c r="W473" s="17" t="n"/>
      <ns0:c r="X473" s="17" t="n"/>
      <ns0:c r="Y473" s="17" t="n"/>
      <ns0:c r="Z473" s="17" t="n"/>
      <ns0:c r="AA473" s="17" t="n"/>
      <ns0:c r="AB473" s="17" t="n"/>
      <ns0:c r="AC473" s="17" t="n"/>
      <ns0:c r="AD473" s="17" t="n"/>
      <ns0:c r="AE473" s="17" t="n"/>
      <ns0:c r="AF473" s="17" t="n"/>
      <ns0:c r="AG473" s="17" t="n"/>
    </ns0:row>
    <ns0:row r="474" ht="24" customHeight="1">
      <ns0:c r="D474" s="17" t="n"/>
      <ns0:c r="E474" s="17" t="n"/>
      <ns0:c r="F474" s="17" t="n"/>
      <ns0:c r="G474" s="17" t="n"/>
      <ns0:c r="H474" s="17" t="n"/>
      <ns0:c r="I474" s="17" t="n"/>
      <ns0:c r="J474" s="17" t="n"/>
      <ns0:c r="K474" s="17" t="n"/>
      <ns0:c r="L474" s="17" t="n"/>
      <ns0:c r="M474" s="17" t="n"/>
      <ns0:c r="N474" s="17" t="n"/>
      <ns0:c r="O474" s="17" t="n"/>
      <ns0:c r="P474" s="17" t="n"/>
      <ns0:c r="Q474" s="17" t="n"/>
      <ns0:c r="R474" s="17" t="n"/>
      <ns0:c r="S474" s="17" t="n"/>
      <ns0:c r="T474" s="17" t="n"/>
      <ns0:c r="U474" s="17" t="n"/>
      <ns0:c r="V474" s="17" t="n"/>
      <ns0:c r="W474" s="17" t="n"/>
      <ns0:c r="X474" s="17" t="n"/>
      <ns0:c r="Y474" s="17" t="n"/>
      <ns0:c r="Z474" s="17" t="n"/>
      <ns0:c r="AA474" s="17" t="n"/>
      <ns0:c r="AB474" s="17" t="n"/>
      <ns0:c r="AC474" s="17" t="n"/>
      <ns0:c r="AD474" s="17" t="n"/>
      <ns0:c r="AE474" s="17" t="n"/>
      <ns0:c r="AF474" s="17" t="n"/>
      <ns0:c r="AG474" s="17" t="n"/>
    </ns0:row>
    <ns0:row r="475" ht="24" customHeight="1">
      <ns0:c r="D475" s="17" t="n"/>
      <ns0:c r="E475" s="17" t="n"/>
      <ns0:c r="F475" s="17" t="n"/>
      <ns0:c r="G475" s="17" t="n"/>
      <ns0:c r="H475" s="17" t="n"/>
      <ns0:c r="I475" s="17" t="n"/>
      <ns0:c r="J475" s="17" t="n"/>
      <ns0:c r="K475" s="17" t="n"/>
      <ns0:c r="L475" s="17" t="n"/>
      <ns0:c r="M475" s="17" t="n"/>
      <ns0:c r="N475" s="17" t="n"/>
      <ns0:c r="O475" s="17" t="n"/>
      <ns0:c r="P475" s="17" t="n"/>
      <ns0:c r="Q475" s="17" t="n"/>
      <ns0:c r="R475" s="17" t="n"/>
      <ns0:c r="S475" s="17" t="n"/>
      <ns0:c r="T475" s="17" t="n"/>
      <ns0:c r="U475" s="17" t="n"/>
      <ns0:c r="V475" s="17" t="n"/>
      <ns0:c r="W475" s="17" t="n"/>
      <ns0:c r="X475" s="17" t="n"/>
      <ns0:c r="Y475" s="17" t="n"/>
      <ns0:c r="Z475" s="17" t="n"/>
      <ns0:c r="AA475" s="17" t="n"/>
      <ns0:c r="AB475" s="17" t="n"/>
      <ns0:c r="AC475" s="17" t="n"/>
      <ns0:c r="AD475" s="17" t="n"/>
      <ns0:c r="AE475" s="17" t="n"/>
      <ns0:c r="AF475" s="17" t="n"/>
      <ns0:c r="AG475" s="17" t="n"/>
    </ns0:row>
    <ns0:row r="476" ht="24" customHeight="1">
      <ns0:c r="D476" s="17" t="n"/>
      <ns0:c r="E476" s="17" t="n"/>
      <ns0:c r="F476" s="17" t="n"/>
      <ns0:c r="G476" s="17" t="n"/>
      <ns0:c r="H476" s="17" t="n"/>
      <ns0:c r="I476" s="17" t="n"/>
      <ns0:c r="J476" s="17" t="n"/>
      <ns0:c r="K476" s="17" t="n"/>
      <ns0:c r="L476" s="17" t="n"/>
      <ns0:c r="M476" s="17" t="n"/>
      <ns0:c r="N476" s="17" t="n"/>
      <ns0:c r="O476" s="17" t="n"/>
      <ns0:c r="P476" s="17" t="n"/>
      <ns0:c r="Q476" s="17" t="n"/>
      <ns0:c r="R476" s="17" t="n"/>
      <ns0:c r="S476" s="17" t="n"/>
      <ns0:c r="T476" s="17" t="n"/>
      <ns0:c r="U476" s="17" t="n"/>
      <ns0:c r="V476" s="17" t="n"/>
      <ns0:c r="W476" s="17" t="n"/>
      <ns0:c r="X476" s="17" t="n"/>
      <ns0:c r="Y476" s="17" t="n"/>
      <ns0:c r="Z476" s="17" t="n"/>
      <ns0:c r="AA476" s="17" t="n"/>
      <ns0:c r="AB476" s="17" t="n"/>
      <ns0:c r="AC476" s="17" t="n"/>
      <ns0:c r="AD476" s="17" t="n"/>
      <ns0:c r="AE476" s="17" t="n"/>
      <ns0:c r="AF476" s="17" t="n"/>
      <ns0:c r="AG476" s="17" t="n"/>
    </ns0:row>
    <ns0:row r="477" ht="24" customHeight="1">
      <ns0:c r="D477" s="17" t="n"/>
      <ns0:c r="E477" s="17" t="n"/>
      <ns0:c r="F477" s="17" t="n"/>
      <ns0:c r="G477" s="17" t="n"/>
      <ns0:c r="H477" s="17" t="n"/>
      <ns0:c r="I477" s="17" t="n"/>
      <ns0:c r="J477" s="17" t="n"/>
      <ns0:c r="K477" s="17" t="n"/>
      <ns0:c r="L477" s="17" t="n"/>
      <ns0:c r="M477" s="17" t="n"/>
      <ns0:c r="N477" s="17" t="n"/>
      <ns0:c r="O477" s="17" t="n"/>
      <ns0:c r="P477" s="17" t="n"/>
      <ns0:c r="Q477" s="17" t="n"/>
      <ns0:c r="R477" s="17" t="n"/>
      <ns0:c r="S477" s="17" t="n"/>
      <ns0:c r="T477" s="17" t="n"/>
      <ns0:c r="U477" s="17" t="n"/>
      <ns0:c r="V477" s="17" t="n"/>
      <ns0:c r="W477" s="17" t="n"/>
      <ns0:c r="X477" s="17" t="n"/>
      <ns0:c r="Y477" s="17" t="n"/>
      <ns0:c r="Z477" s="17" t="n"/>
      <ns0:c r="AA477" s="17" t="n"/>
      <ns0:c r="AB477" s="17" t="n"/>
      <ns0:c r="AC477" s="17" t="n"/>
      <ns0:c r="AD477" s="17" t="n"/>
      <ns0:c r="AE477" s="17" t="n"/>
      <ns0:c r="AF477" s="17" t="n"/>
      <ns0:c r="AG477" s="17" t="n"/>
    </ns0:row>
    <ns0:row r="478" ht="24" customHeight="1">
      <ns0:c r="D478" s="17" t="n"/>
      <ns0:c r="E478" s="17" t="n"/>
      <ns0:c r="F478" s="17" t="n"/>
      <ns0:c r="G478" s="17" t="n"/>
      <ns0:c r="H478" s="17" t="n"/>
      <ns0:c r="I478" s="17" t="n"/>
      <ns0:c r="J478" s="17" t="n"/>
      <ns0:c r="K478" s="17" t="n"/>
      <ns0:c r="L478" s="17" t="n"/>
      <ns0:c r="M478" s="17" t="n"/>
      <ns0:c r="N478" s="17" t="n"/>
      <ns0:c r="O478" s="17" t="n"/>
      <ns0:c r="P478" s="17" t="n"/>
      <ns0:c r="Q478" s="17" t="n"/>
      <ns0:c r="R478" s="17" t="n"/>
      <ns0:c r="S478" s="17" t="n"/>
      <ns0:c r="T478" s="17" t="n"/>
      <ns0:c r="U478" s="17" t="n"/>
      <ns0:c r="V478" s="17" t="n"/>
      <ns0:c r="W478" s="17" t="n"/>
      <ns0:c r="X478" s="17" t="n"/>
      <ns0:c r="Y478" s="17" t="n"/>
      <ns0:c r="Z478" s="17" t="n"/>
      <ns0:c r="AA478" s="17" t="n"/>
      <ns0:c r="AB478" s="17" t="n"/>
      <ns0:c r="AC478" s="17" t="n"/>
      <ns0:c r="AD478" s="17" t="n"/>
      <ns0:c r="AE478" s="17" t="n"/>
      <ns0:c r="AF478" s="17" t="n"/>
      <ns0:c r="AG478" s="17" t="n"/>
    </ns0:row>
    <ns0:row r="479" ht="24" customHeight="1">
      <ns0:c r="D479" s="17" t="n"/>
      <ns0:c r="E479" s="17" t="n"/>
      <ns0:c r="F479" s="17" t="n"/>
      <ns0:c r="G479" s="17" t="n"/>
      <ns0:c r="H479" s="17" t="n"/>
      <ns0:c r="I479" s="17" t="n"/>
      <ns0:c r="J479" s="17" t="n"/>
      <ns0:c r="K479" s="17" t="n"/>
      <ns0:c r="L479" s="17" t="n"/>
      <ns0:c r="M479" s="17" t="n"/>
      <ns0:c r="N479" s="17" t="n"/>
      <ns0:c r="O479" s="17" t="n"/>
      <ns0:c r="P479" s="17" t="n"/>
      <ns0:c r="Q479" s="17" t="n"/>
      <ns0:c r="R479" s="17" t="n"/>
      <ns0:c r="S479" s="17" t="n"/>
      <ns0:c r="T479" s="17" t="n"/>
      <ns0:c r="U479" s="17" t="n"/>
      <ns0:c r="V479" s="17" t="n"/>
      <ns0:c r="W479" s="17" t="n"/>
      <ns0:c r="X479" s="17" t="n"/>
      <ns0:c r="Y479" s="17" t="n"/>
      <ns0:c r="Z479" s="17" t="n"/>
      <ns0:c r="AA479" s="17" t="n"/>
      <ns0:c r="AB479" s="17" t="n"/>
      <ns0:c r="AC479" s="17" t="n"/>
      <ns0:c r="AD479" s="17" t="n"/>
      <ns0:c r="AE479" s="17" t="n"/>
      <ns0:c r="AF479" s="17" t="n"/>
      <ns0:c r="AG479" s="17" t="n"/>
    </ns0:row>
    <ns0:row r="480" ht="24" customHeight="1">
      <ns0:c r="D480" s="17" t="n"/>
      <ns0:c r="E480" s="17" t="n"/>
      <ns0:c r="F480" s="17" t="n"/>
      <ns0:c r="G480" s="17" t="n"/>
      <ns0:c r="H480" s="17" t="n"/>
      <ns0:c r="I480" s="17" t="n"/>
      <ns0:c r="J480" s="17" t="n"/>
      <ns0:c r="K480" s="17" t="n"/>
      <ns0:c r="L480" s="17" t="n"/>
      <ns0:c r="M480" s="17" t="n"/>
      <ns0:c r="N480" s="17" t="n"/>
      <ns0:c r="O480" s="17" t="n"/>
      <ns0:c r="P480" s="17" t="n"/>
      <ns0:c r="Q480" s="17" t="n"/>
      <ns0:c r="R480" s="17" t="n"/>
      <ns0:c r="S480" s="17" t="n"/>
      <ns0:c r="T480" s="17" t="n"/>
      <ns0:c r="U480" s="17" t="n"/>
      <ns0:c r="V480" s="17" t="n"/>
      <ns0:c r="W480" s="17" t="n"/>
      <ns0:c r="X480" s="17" t="n"/>
      <ns0:c r="Y480" s="17" t="n"/>
      <ns0:c r="Z480" s="17" t="n"/>
      <ns0:c r="AA480" s="17" t="n"/>
      <ns0:c r="AB480" s="17" t="n"/>
      <ns0:c r="AC480" s="17" t="n"/>
      <ns0:c r="AD480" s="17" t="n"/>
      <ns0:c r="AE480" s="17" t="n"/>
      <ns0:c r="AF480" s="17" t="n"/>
      <ns0:c r="AG480" s="17" t="n"/>
    </ns0:row>
    <ns0:row r="481" ht="24" customHeight="1">
      <ns0:c r="D481" s="17" t="n"/>
      <ns0:c r="E481" s="17" t="n"/>
      <ns0:c r="F481" s="17" t="n"/>
      <ns0:c r="G481" s="17" t="n"/>
      <ns0:c r="H481" s="17" t="n"/>
      <ns0:c r="I481" s="17" t="n"/>
      <ns0:c r="J481" s="17" t="n"/>
      <ns0:c r="K481" s="17" t="n"/>
      <ns0:c r="L481" s="17" t="n"/>
      <ns0:c r="M481" s="17" t="n"/>
      <ns0:c r="N481" s="17" t="n"/>
      <ns0:c r="O481" s="17" t="n"/>
      <ns0:c r="P481" s="17" t="n"/>
      <ns0:c r="Q481" s="17" t="n"/>
      <ns0:c r="R481" s="17" t="n"/>
      <ns0:c r="S481" s="17" t="n"/>
      <ns0:c r="T481" s="17" t="n"/>
      <ns0:c r="U481" s="17" t="n"/>
      <ns0:c r="V481" s="17" t="n"/>
      <ns0:c r="W481" s="17" t="n"/>
      <ns0:c r="X481" s="17" t="n"/>
      <ns0:c r="Y481" s="17" t="n"/>
      <ns0:c r="Z481" s="17" t="n"/>
      <ns0:c r="AA481" s="17" t="n"/>
      <ns0:c r="AB481" s="17" t="n"/>
      <ns0:c r="AC481" s="17" t="n"/>
      <ns0:c r="AD481" s="17" t="n"/>
      <ns0:c r="AE481" s="17" t="n"/>
      <ns0:c r="AF481" s="17" t="n"/>
      <ns0:c r="AG481" s="17" t="n"/>
    </ns0:row>
    <ns0:row r="482" ht="24" customHeight="1">
      <ns0:c r="D482" s="17" t="n"/>
      <ns0:c r="E482" s="17" t="n"/>
      <ns0:c r="F482" s="17" t="n"/>
      <ns0:c r="G482" s="17" t="n"/>
      <ns0:c r="H482" s="17" t="n"/>
      <ns0:c r="I482" s="17" t="n"/>
      <ns0:c r="J482" s="17" t="n"/>
      <ns0:c r="K482" s="17" t="n"/>
      <ns0:c r="L482" s="17" t="n"/>
      <ns0:c r="M482" s="17" t="n"/>
      <ns0:c r="N482" s="17" t="n"/>
      <ns0:c r="O482" s="17" t="n"/>
      <ns0:c r="P482" s="17" t="n"/>
      <ns0:c r="Q482" s="17" t="n"/>
      <ns0:c r="R482" s="17" t="n"/>
      <ns0:c r="S482" s="17" t="n"/>
      <ns0:c r="T482" s="17" t="n"/>
      <ns0:c r="U482" s="17" t="n"/>
      <ns0:c r="V482" s="17" t="n"/>
      <ns0:c r="W482" s="17" t="n"/>
      <ns0:c r="X482" s="17" t="n"/>
      <ns0:c r="Y482" s="17" t="n"/>
      <ns0:c r="Z482" s="17" t="n"/>
      <ns0:c r="AA482" s="17" t="n"/>
      <ns0:c r="AB482" s="17" t="n"/>
      <ns0:c r="AC482" s="17" t="n"/>
      <ns0:c r="AD482" s="17" t="n"/>
      <ns0:c r="AE482" s="17" t="n"/>
      <ns0:c r="AF482" s="17" t="n"/>
      <ns0:c r="AG482" s="17" t="n"/>
    </ns0:row>
    <ns0:row r="483" ht="24" customHeight="1">
      <ns0:c r="D483" s="17" t="n"/>
      <ns0:c r="E483" s="17" t="n"/>
      <ns0:c r="F483" s="17" t="n"/>
      <ns0:c r="G483" s="17" t="n"/>
      <ns0:c r="H483" s="17" t="n"/>
      <ns0:c r="I483" s="17" t="n"/>
      <ns0:c r="J483" s="17" t="n"/>
      <ns0:c r="K483" s="17" t="n"/>
      <ns0:c r="L483" s="17" t="n"/>
      <ns0:c r="M483" s="17" t="n"/>
      <ns0:c r="N483" s="17" t="n"/>
      <ns0:c r="O483" s="17" t="n"/>
      <ns0:c r="P483" s="17" t="n"/>
      <ns0:c r="Q483" s="17" t="n"/>
      <ns0:c r="R483" s="17" t="n"/>
      <ns0:c r="S483" s="17" t="n"/>
      <ns0:c r="T483" s="17" t="n"/>
      <ns0:c r="U483" s="17" t="n"/>
      <ns0:c r="V483" s="17" t="n"/>
      <ns0:c r="W483" s="17" t="n"/>
      <ns0:c r="X483" s="17" t="n"/>
      <ns0:c r="Y483" s="17" t="n"/>
      <ns0:c r="Z483" s="17" t="n"/>
      <ns0:c r="AA483" s="17" t="n"/>
      <ns0:c r="AB483" s="17" t="n"/>
      <ns0:c r="AC483" s="17" t="n"/>
      <ns0:c r="AD483" s="17" t="n"/>
      <ns0:c r="AE483" s="17" t="n"/>
      <ns0:c r="AF483" s="17" t="n"/>
      <ns0:c r="AG483" s="17" t="n"/>
    </ns0:row>
    <ns0:row r="484" ht="24" customHeight="1">
      <ns0:c r="D484" s="17" t="n"/>
      <ns0:c r="E484" s="17" t="n"/>
      <ns0:c r="F484" s="17" t="n"/>
      <ns0:c r="G484" s="17" t="n"/>
      <ns0:c r="H484" s="17" t="n"/>
      <ns0:c r="I484" s="17" t="n"/>
      <ns0:c r="J484" s="17" t="n"/>
      <ns0:c r="K484" s="17" t="n"/>
      <ns0:c r="L484" s="17" t="n"/>
      <ns0:c r="M484" s="17" t="n"/>
      <ns0:c r="N484" s="17" t="n"/>
      <ns0:c r="O484" s="17" t="n"/>
      <ns0:c r="P484" s="17" t="n"/>
      <ns0:c r="Q484" s="17" t="n"/>
      <ns0:c r="R484" s="17" t="n"/>
      <ns0:c r="S484" s="17" t="n"/>
      <ns0:c r="T484" s="17" t="n"/>
      <ns0:c r="U484" s="17" t="n"/>
      <ns0:c r="V484" s="17" t="n"/>
      <ns0:c r="W484" s="17" t="n"/>
      <ns0:c r="X484" s="17" t="n"/>
      <ns0:c r="Y484" s="17" t="n"/>
      <ns0:c r="Z484" s="17" t="n"/>
      <ns0:c r="AA484" s="17" t="n"/>
      <ns0:c r="AB484" s="17" t="n"/>
      <ns0:c r="AC484" s="17" t="n"/>
      <ns0:c r="AD484" s="17" t="n"/>
      <ns0:c r="AE484" s="17" t="n"/>
      <ns0:c r="AF484" s="17" t="n"/>
      <ns0:c r="AG484" s="17" t="n"/>
    </ns0:row>
    <ns0:row r="485" ht="24" customHeight="1">
      <ns0:c r="D485" s="17" t="n"/>
      <ns0:c r="E485" s="17" t="n"/>
      <ns0:c r="F485" s="17" t="n"/>
      <ns0:c r="G485" s="17" t="n"/>
      <ns0:c r="H485" s="17" t="n"/>
      <ns0:c r="I485" s="17" t="n"/>
      <ns0:c r="J485" s="17" t="n"/>
      <ns0:c r="K485" s="17" t="n"/>
      <ns0:c r="L485" s="17" t="n"/>
      <ns0:c r="M485" s="17" t="n"/>
      <ns0:c r="N485" s="17" t="n"/>
      <ns0:c r="O485" s="17" t="n"/>
      <ns0:c r="P485" s="17" t="n"/>
      <ns0:c r="Q485" s="17" t="n"/>
      <ns0:c r="R485" s="17" t="n"/>
      <ns0:c r="S485" s="17" t="n"/>
      <ns0:c r="T485" s="17" t="n"/>
      <ns0:c r="U485" s="17" t="n"/>
      <ns0:c r="V485" s="17" t="n"/>
      <ns0:c r="W485" s="17" t="n"/>
      <ns0:c r="X485" s="17" t="n"/>
      <ns0:c r="Y485" s="17" t="n"/>
      <ns0:c r="Z485" s="17" t="n"/>
      <ns0:c r="AA485" s="17" t="n"/>
      <ns0:c r="AB485" s="17" t="n"/>
      <ns0:c r="AC485" s="17" t="n"/>
      <ns0:c r="AD485" s="17" t="n"/>
      <ns0:c r="AE485" s="17" t="n"/>
      <ns0:c r="AF485" s="17" t="n"/>
      <ns0:c r="AG485" s="17" t="n"/>
    </ns0:row>
    <ns0:row r="486" ht="24" customHeight="1">
      <ns0:c r="D486" s="17" t="n"/>
      <ns0:c r="E486" s="17" t="n"/>
      <ns0:c r="F486" s="17" t="n"/>
      <ns0:c r="G486" s="17" t="n"/>
      <ns0:c r="H486" s="17" t="n"/>
      <ns0:c r="I486" s="17" t="n"/>
      <ns0:c r="J486" s="17" t="n"/>
      <ns0:c r="K486" s="17" t="n"/>
      <ns0:c r="L486" s="17" t="n"/>
      <ns0:c r="M486" s="17" t="n"/>
      <ns0:c r="N486" s="17" t="n"/>
      <ns0:c r="O486" s="17" t="n"/>
      <ns0:c r="P486" s="17" t="n"/>
      <ns0:c r="Q486" s="17" t="n"/>
      <ns0:c r="R486" s="17" t="n"/>
      <ns0:c r="S486" s="17" t="n"/>
      <ns0:c r="T486" s="17" t="n"/>
      <ns0:c r="U486" s="17" t="n"/>
      <ns0:c r="V486" s="17" t="n"/>
      <ns0:c r="W486" s="17" t="n"/>
      <ns0:c r="X486" s="17" t="n"/>
      <ns0:c r="Y486" s="17" t="n"/>
      <ns0:c r="Z486" s="17" t="n"/>
      <ns0:c r="AA486" s="17" t="n"/>
      <ns0:c r="AB486" s="17" t="n"/>
      <ns0:c r="AC486" s="17" t="n"/>
      <ns0:c r="AD486" s="17" t="n"/>
      <ns0:c r="AE486" s="17" t="n"/>
      <ns0:c r="AF486" s="17" t="n"/>
      <ns0:c r="AG486" s="17" t="n"/>
    </ns0:row>
    <ns0:row r="487" ht="24" customHeight="1">
      <ns0:c r="D487" s="17" t="n"/>
      <ns0:c r="E487" s="17" t="n"/>
      <ns0:c r="F487" s="17" t="n"/>
      <ns0:c r="G487" s="17" t="n"/>
      <ns0:c r="H487" s="17" t="n"/>
      <ns0:c r="I487" s="17" t="n"/>
      <ns0:c r="J487" s="17" t="n"/>
      <ns0:c r="K487" s="17" t="n"/>
      <ns0:c r="L487" s="17" t="n"/>
      <ns0:c r="M487" s="17" t="n"/>
      <ns0:c r="N487" s="17" t="n"/>
      <ns0:c r="O487" s="17" t="n"/>
      <ns0:c r="P487" s="17" t="n"/>
      <ns0:c r="Q487" s="17" t="n"/>
      <ns0:c r="R487" s="17" t="n"/>
      <ns0:c r="S487" s="17" t="n"/>
      <ns0:c r="T487" s="17" t="n"/>
      <ns0:c r="U487" s="17" t="n"/>
      <ns0:c r="V487" s="17" t="n"/>
      <ns0:c r="W487" s="17" t="n"/>
      <ns0:c r="X487" s="17" t="n"/>
      <ns0:c r="Y487" s="17" t="n"/>
      <ns0:c r="Z487" s="17" t="n"/>
      <ns0:c r="AA487" s="17" t="n"/>
      <ns0:c r="AB487" s="17" t="n"/>
      <ns0:c r="AC487" s="17" t="n"/>
      <ns0:c r="AD487" s="17" t="n"/>
      <ns0:c r="AE487" s="17" t="n"/>
      <ns0:c r="AF487" s="17" t="n"/>
      <ns0:c r="AG487" s="17" t="n"/>
    </ns0:row>
    <ns0:row r="488" ht="24" customHeight="1">
      <ns0:c r="D488" s="17" t="n"/>
      <ns0:c r="E488" s="17" t="n"/>
      <ns0:c r="F488" s="17" t="n"/>
      <ns0:c r="G488" s="17" t="n"/>
      <ns0:c r="H488" s="17" t="n"/>
      <ns0:c r="I488" s="17" t="n"/>
      <ns0:c r="J488" s="17" t="n"/>
      <ns0:c r="K488" s="17" t="n"/>
      <ns0:c r="L488" s="17" t="n"/>
      <ns0:c r="M488" s="17" t="n"/>
      <ns0:c r="N488" s="17" t="n"/>
      <ns0:c r="O488" s="17" t="n"/>
      <ns0:c r="P488" s="17" t="n"/>
      <ns0:c r="Q488" s="17" t="n"/>
      <ns0:c r="R488" s="17" t="n"/>
      <ns0:c r="S488" s="17" t="n"/>
      <ns0:c r="T488" s="17" t="n"/>
      <ns0:c r="U488" s="17" t="n"/>
      <ns0:c r="V488" s="17" t="n"/>
      <ns0:c r="W488" s="17" t="n"/>
      <ns0:c r="X488" s="17" t="n"/>
      <ns0:c r="Y488" s="17" t="n"/>
      <ns0:c r="Z488" s="17" t="n"/>
      <ns0:c r="AA488" s="17" t="n"/>
      <ns0:c r="AB488" s="17" t="n"/>
      <ns0:c r="AC488" s="17" t="n"/>
      <ns0:c r="AD488" s="17" t="n"/>
      <ns0:c r="AE488" s="17" t="n"/>
      <ns0:c r="AF488" s="17" t="n"/>
      <ns0:c r="AG488" s="17" t="n"/>
    </ns0:row>
    <ns0:row r="489" ht="24" customHeight="1">
      <ns0:c r="D489" s="17" t="n"/>
      <ns0:c r="E489" s="17" t="n"/>
      <ns0:c r="F489" s="17" t="n"/>
      <ns0:c r="G489" s="17" t="n"/>
      <ns0:c r="H489" s="17" t="n"/>
      <ns0:c r="I489" s="17" t="n"/>
      <ns0:c r="J489" s="17" t="n"/>
      <ns0:c r="K489" s="17" t="n"/>
      <ns0:c r="L489" s="17" t="n"/>
      <ns0:c r="M489" s="17" t="n"/>
      <ns0:c r="N489" s="17" t="n"/>
      <ns0:c r="O489" s="17" t="n"/>
      <ns0:c r="P489" s="17" t="n"/>
      <ns0:c r="Q489" s="17" t="n"/>
      <ns0:c r="R489" s="17" t="n"/>
      <ns0:c r="S489" s="17" t="n"/>
      <ns0:c r="T489" s="17" t="n"/>
      <ns0:c r="U489" s="17" t="n"/>
      <ns0:c r="V489" s="17" t="n"/>
      <ns0:c r="W489" s="17" t="n"/>
      <ns0:c r="X489" s="17" t="n"/>
      <ns0:c r="Y489" s="17" t="n"/>
      <ns0:c r="Z489" s="17" t="n"/>
      <ns0:c r="AA489" s="17" t="n"/>
      <ns0:c r="AB489" s="17" t="n"/>
      <ns0:c r="AC489" s="17" t="n"/>
      <ns0:c r="AD489" s="17" t="n"/>
      <ns0:c r="AE489" s="17" t="n"/>
      <ns0:c r="AF489" s="17" t="n"/>
      <ns0:c r="AG489" s="17" t="n"/>
    </ns0:row>
    <ns0:row r="490" ht="24" customHeight="1">
      <ns0:c r="D490" s="17" t="n"/>
      <ns0:c r="E490" s="17" t="n"/>
      <ns0:c r="F490" s="17" t="n"/>
      <ns0:c r="G490" s="17" t="n"/>
      <ns0:c r="H490" s="17" t="n"/>
      <ns0:c r="I490" s="17" t="n"/>
      <ns0:c r="J490" s="17" t="n"/>
      <ns0:c r="K490" s="17" t="n"/>
      <ns0:c r="L490" s="17" t="n"/>
      <ns0:c r="M490" s="17" t="n"/>
      <ns0:c r="N490" s="17" t="n"/>
      <ns0:c r="O490" s="17" t="n"/>
      <ns0:c r="P490" s="17" t="n"/>
      <ns0:c r="Q490" s="17" t="n"/>
      <ns0:c r="R490" s="17" t="n"/>
      <ns0:c r="S490" s="17" t="n"/>
      <ns0:c r="T490" s="17" t="n"/>
      <ns0:c r="U490" s="17" t="n"/>
      <ns0:c r="V490" s="17" t="n"/>
      <ns0:c r="W490" s="17" t="n"/>
      <ns0:c r="X490" s="17" t="n"/>
      <ns0:c r="Y490" s="17" t="n"/>
      <ns0:c r="Z490" s="17" t="n"/>
      <ns0:c r="AA490" s="17" t="n"/>
      <ns0:c r="AB490" s="17" t="n"/>
      <ns0:c r="AC490" s="17" t="n"/>
      <ns0:c r="AD490" s="17" t="n"/>
      <ns0:c r="AE490" s="17" t="n"/>
      <ns0:c r="AF490" s="17" t="n"/>
      <ns0:c r="AG490" s="17" t="n"/>
    </ns0:row>
    <ns0:row r="491" ht="24" customHeight="1">
      <ns0:c r="D491" s="17" t="n"/>
      <ns0:c r="E491" s="17" t="n"/>
      <ns0:c r="F491" s="17" t="n"/>
      <ns0:c r="G491" s="17" t="n"/>
      <ns0:c r="H491" s="17" t="n"/>
      <ns0:c r="I491" s="17" t="n"/>
      <ns0:c r="J491" s="17" t="n"/>
      <ns0:c r="K491" s="17" t="n"/>
      <ns0:c r="L491" s="17" t="n"/>
      <ns0:c r="M491" s="17" t="n"/>
      <ns0:c r="N491" s="17" t="n"/>
      <ns0:c r="O491" s="17" t="n"/>
      <ns0:c r="P491" s="17" t="n"/>
      <ns0:c r="Q491" s="17" t="n"/>
      <ns0:c r="R491" s="17" t="n"/>
      <ns0:c r="S491" s="17" t="n"/>
      <ns0:c r="T491" s="17" t="n"/>
      <ns0:c r="U491" s="17" t="n"/>
      <ns0:c r="V491" s="17" t="n"/>
      <ns0:c r="W491" s="17" t="n"/>
      <ns0:c r="X491" s="17" t="n"/>
      <ns0:c r="Y491" s="17" t="n"/>
      <ns0:c r="Z491" s="17" t="n"/>
      <ns0:c r="AA491" s="17" t="n"/>
      <ns0:c r="AB491" s="17" t="n"/>
      <ns0:c r="AC491" s="17" t="n"/>
      <ns0:c r="AD491" s="17" t="n"/>
      <ns0:c r="AE491" s="17" t="n"/>
      <ns0:c r="AF491" s="17" t="n"/>
      <ns0:c r="AG491" s="17" t="n"/>
    </ns0:row>
    <ns0:row r="492" ht="24" customHeight="1">
      <ns0:c r="D492" s="17" t="n"/>
      <ns0:c r="E492" s="17" t="n"/>
      <ns0:c r="F492" s="17" t="n"/>
      <ns0:c r="G492" s="17" t="n"/>
      <ns0:c r="H492" s="17" t="n"/>
      <ns0:c r="I492" s="17" t="n"/>
      <ns0:c r="J492" s="17" t="n"/>
      <ns0:c r="K492" s="17" t="n"/>
      <ns0:c r="L492" s="17" t="n"/>
      <ns0:c r="M492" s="17" t="n"/>
      <ns0:c r="N492" s="17" t="n"/>
      <ns0:c r="O492" s="17" t="n"/>
      <ns0:c r="P492" s="17" t="n"/>
      <ns0:c r="Q492" s="17" t="n"/>
      <ns0:c r="R492" s="17" t="n"/>
      <ns0:c r="S492" s="17" t="n"/>
      <ns0:c r="T492" s="17" t="n"/>
      <ns0:c r="U492" s="17" t="n"/>
      <ns0:c r="V492" s="17" t="n"/>
      <ns0:c r="W492" s="17" t="n"/>
      <ns0:c r="X492" s="17" t="n"/>
      <ns0:c r="Y492" s="17" t="n"/>
      <ns0:c r="Z492" s="17" t="n"/>
      <ns0:c r="AA492" s="17" t="n"/>
      <ns0:c r="AB492" s="17" t="n"/>
      <ns0:c r="AC492" s="17" t="n"/>
      <ns0:c r="AD492" s="17" t="n"/>
      <ns0:c r="AE492" s="17" t="n"/>
      <ns0:c r="AF492" s="17" t="n"/>
      <ns0:c r="AG492" s="17" t="n"/>
    </ns0:row>
    <ns0:row r="493" ht="24" customHeight="1">
      <ns0:c r="D493" s="17" t="n"/>
      <ns0:c r="E493" s="17" t="n"/>
      <ns0:c r="F493" s="17" t="n"/>
      <ns0:c r="G493" s="17" t="n"/>
      <ns0:c r="H493" s="17" t="n"/>
      <ns0:c r="I493" s="17" t="n"/>
      <ns0:c r="J493" s="17" t="n"/>
      <ns0:c r="K493" s="17" t="n"/>
      <ns0:c r="L493" s="17" t="n"/>
      <ns0:c r="M493" s="17" t="n"/>
      <ns0:c r="N493" s="17" t="n"/>
      <ns0:c r="O493" s="17" t="n"/>
      <ns0:c r="P493" s="17" t="n"/>
      <ns0:c r="Q493" s="17" t="n"/>
      <ns0:c r="R493" s="17" t="n"/>
      <ns0:c r="S493" s="17" t="n"/>
      <ns0:c r="T493" s="17" t="n"/>
      <ns0:c r="U493" s="17" t="n"/>
      <ns0:c r="V493" s="17" t="n"/>
      <ns0:c r="W493" s="17" t="n"/>
      <ns0:c r="X493" s="17" t="n"/>
      <ns0:c r="Y493" s="17" t="n"/>
      <ns0:c r="Z493" s="17" t="n"/>
      <ns0:c r="AA493" s="17" t="n"/>
      <ns0:c r="AB493" s="17" t="n"/>
      <ns0:c r="AC493" s="17" t="n"/>
      <ns0:c r="AD493" s="17" t="n"/>
      <ns0:c r="AE493" s="17" t="n"/>
      <ns0:c r="AF493" s="17" t="n"/>
      <ns0:c r="AG493" s="17" t="n"/>
    </ns0:row>
    <ns0:row r="494" ht="24" customHeight="1">
      <ns0:c r="D494" s="17" t="n"/>
      <ns0:c r="E494" s="17" t="n"/>
      <ns0:c r="F494" s="17" t="n"/>
      <ns0:c r="G494" s="17" t="n"/>
      <ns0:c r="H494" s="17" t="n"/>
      <ns0:c r="I494" s="17" t="n"/>
      <ns0:c r="J494" s="17" t="n"/>
      <ns0:c r="K494" s="17" t="n"/>
      <ns0:c r="L494" s="17" t="n"/>
      <ns0:c r="M494" s="17" t="n"/>
      <ns0:c r="N494" s="17" t="n"/>
      <ns0:c r="O494" s="17" t="n"/>
      <ns0:c r="P494" s="17" t="n"/>
      <ns0:c r="Q494" s="17" t="n"/>
      <ns0:c r="R494" s="17" t="n"/>
      <ns0:c r="S494" s="17" t="n"/>
      <ns0:c r="T494" s="17" t="n"/>
      <ns0:c r="U494" s="17" t="n"/>
      <ns0:c r="V494" s="17" t="n"/>
      <ns0:c r="W494" s="17" t="n"/>
      <ns0:c r="X494" s="17" t="n"/>
      <ns0:c r="Y494" s="17" t="n"/>
      <ns0:c r="Z494" s="17" t="n"/>
      <ns0:c r="AA494" s="17" t="n"/>
      <ns0:c r="AB494" s="17" t="n"/>
      <ns0:c r="AC494" s="17" t="n"/>
      <ns0:c r="AD494" s="17" t="n"/>
      <ns0:c r="AE494" s="17" t="n"/>
      <ns0:c r="AF494" s="17" t="n"/>
      <ns0:c r="AG494" s="17" t="n"/>
    </ns0:row>
    <ns0:row r="495" ht="24" customHeight="1">
      <ns0:c r="D495" s="17" t="n"/>
      <ns0:c r="E495" s="17" t="n"/>
      <ns0:c r="F495" s="17" t="n"/>
      <ns0:c r="G495" s="17" t="n"/>
      <ns0:c r="H495" s="17" t="n"/>
      <ns0:c r="I495" s="17" t="n"/>
      <ns0:c r="J495" s="17" t="n"/>
      <ns0:c r="K495" s="17" t="n"/>
      <ns0:c r="L495" s="17" t="n"/>
      <ns0:c r="M495" s="17" t="n"/>
      <ns0:c r="N495" s="17" t="n"/>
      <ns0:c r="O495" s="17" t="n"/>
      <ns0:c r="P495" s="17" t="n"/>
      <ns0:c r="Q495" s="17" t="n"/>
      <ns0:c r="R495" s="17" t="n"/>
      <ns0:c r="S495" s="17" t="n"/>
      <ns0:c r="T495" s="17" t="n"/>
      <ns0:c r="U495" s="17" t="n"/>
      <ns0:c r="V495" s="17" t="n"/>
      <ns0:c r="W495" s="17" t="n"/>
      <ns0:c r="X495" s="17" t="n"/>
      <ns0:c r="Y495" s="17" t="n"/>
      <ns0:c r="Z495" s="17" t="n"/>
      <ns0:c r="AA495" s="17" t="n"/>
      <ns0:c r="AB495" s="17" t="n"/>
      <ns0:c r="AC495" s="17" t="n"/>
      <ns0:c r="AD495" s="17" t="n"/>
      <ns0:c r="AE495" s="17" t="n"/>
      <ns0:c r="AF495" s="17" t="n"/>
      <ns0:c r="AG495" s="17" t="n"/>
    </ns0:row>
    <ns0:row r="496" ht="24" customHeight="1">
      <ns0:c r="D496" s="17" t="n"/>
      <ns0:c r="E496" s="17" t="n"/>
      <ns0:c r="F496" s="17" t="n"/>
      <ns0:c r="G496" s="17" t="n"/>
      <ns0:c r="H496" s="17" t="n"/>
      <ns0:c r="I496" s="17" t="n"/>
      <ns0:c r="J496" s="17" t="n"/>
      <ns0:c r="K496" s="17" t="n"/>
      <ns0:c r="L496" s="17" t="n"/>
      <ns0:c r="M496" s="17" t="n"/>
      <ns0:c r="N496" s="17" t="n"/>
      <ns0:c r="O496" s="17" t="n"/>
      <ns0:c r="P496" s="17" t="n"/>
      <ns0:c r="Q496" s="17" t="n"/>
      <ns0:c r="R496" s="17" t="n"/>
      <ns0:c r="S496" s="17" t="n"/>
      <ns0:c r="T496" s="17" t="n"/>
      <ns0:c r="U496" s="17" t="n"/>
      <ns0:c r="V496" s="17" t="n"/>
      <ns0:c r="W496" s="17" t="n"/>
      <ns0:c r="X496" s="17" t="n"/>
      <ns0:c r="Y496" s="17" t="n"/>
      <ns0:c r="Z496" s="17" t="n"/>
      <ns0:c r="AA496" s="17" t="n"/>
      <ns0:c r="AB496" s="17" t="n"/>
      <ns0:c r="AC496" s="17" t="n"/>
      <ns0:c r="AD496" s="17" t="n"/>
      <ns0:c r="AE496" s="17" t="n"/>
      <ns0:c r="AF496" s="17" t="n"/>
      <ns0:c r="AG496" s="17" t="n"/>
    </ns0:row>
    <ns0:row r="497" ht="24" customHeight="1">
      <ns0:c r="D497" s="17" t="n"/>
      <ns0:c r="E497" s="17" t="n"/>
      <ns0:c r="F497" s="17" t="n"/>
      <ns0:c r="G497" s="17" t="n"/>
      <ns0:c r="H497" s="17" t="n"/>
      <ns0:c r="I497" s="17" t="n"/>
      <ns0:c r="J497" s="17" t="n"/>
      <ns0:c r="K497" s="17" t="n"/>
      <ns0:c r="L497" s="17" t="n"/>
      <ns0:c r="M497" s="17" t="n"/>
      <ns0:c r="N497" s="17" t="n"/>
      <ns0:c r="O497" s="17" t="n"/>
      <ns0:c r="P497" s="17" t="n"/>
      <ns0:c r="Q497" s="17" t="n"/>
      <ns0:c r="R497" s="17" t="n"/>
      <ns0:c r="S497" s="17" t="n"/>
      <ns0:c r="T497" s="17" t="n"/>
      <ns0:c r="U497" s="17" t="n"/>
      <ns0:c r="V497" s="17" t="n"/>
      <ns0:c r="W497" s="17" t="n"/>
      <ns0:c r="X497" s="17" t="n"/>
      <ns0:c r="Y497" s="17" t="n"/>
      <ns0:c r="Z497" s="17" t="n"/>
      <ns0:c r="AA497" s="17" t="n"/>
      <ns0:c r="AB497" s="17" t="n"/>
      <ns0:c r="AC497" s="17" t="n"/>
      <ns0:c r="AD497" s="17" t="n"/>
      <ns0:c r="AE497" s="17" t="n"/>
      <ns0:c r="AF497" s="17" t="n"/>
      <ns0:c r="AG497" s="17" t="n"/>
    </ns0:row>
    <ns0:row r="498" ht="24" customHeight="1">
      <ns0:c r="D498" s="17" t="n"/>
      <ns0:c r="E498" s="17" t="n"/>
      <ns0:c r="F498" s="17" t="n"/>
      <ns0:c r="G498" s="17" t="n"/>
      <ns0:c r="H498" s="17" t="n"/>
      <ns0:c r="I498" s="17" t="n"/>
      <ns0:c r="J498" s="17" t="n"/>
      <ns0:c r="K498" s="17" t="n"/>
      <ns0:c r="L498" s="17" t="n"/>
      <ns0:c r="M498" s="17" t="n"/>
      <ns0:c r="N498" s="17" t="n"/>
      <ns0:c r="O498" s="17" t="n"/>
      <ns0:c r="P498" s="17" t="n"/>
      <ns0:c r="Q498" s="17" t="n"/>
      <ns0:c r="R498" s="17" t="n"/>
      <ns0:c r="S498" s="17" t="n"/>
      <ns0:c r="T498" s="17" t="n"/>
      <ns0:c r="U498" s="17" t="n"/>
      <ns0:c r="V498" s="17" t="n"/>
      <ns0:c r="W498" s="17" t="n"/>
      <ns0:c r="X498" s="17" t="n"/>
      <ns0:c r="Y498" s="17" t="n"/>
      <ns0:c r="Z498" s="17" t="n"/>
      <ns0:c r="AA498" s="17" t="n"/>
      <ns0:c r="AB498" s="17" t="n"/>
      <ns0:c r="AC498" s="17" t="n"/>
      <ns0:c r="AD498" s="17" t="n"/>
      <ns0:c r="AE498" s="17" t="n"/>
      <ns0:c r="AF498" s="17" t="n"/>
      <ns0:c r="AG498" s="17" t="n"/>
    </ns0:row>
    <ns0:row r="499" ht="24" customHeight="1">
      <ns0:c r="D499" s="17" t="n"/>
      <ns0:c r="E499" s="17" t="n"/>
      <ns0:c r="F499" s="17" t="n"/>
      <ns0:c r="G499" s="17" t="n"/>
      <ns0:c r="H499" s="17" t="n"/>
      <ns0:c r="I499" s="17" t="n"/>
      <ns0:c r="J499" s="17" t="n"/>
      <ns0:c r="K499" s="17" t="n"/>
      <ns0:c r="L499" s="17" t="n"/>
      <ns0:c r="M499" s="17" t="n"/>
      <ns0:c r="N499" s="17" t="n"/>
      <ns0:c r="O499" s="17" t="n"/>
      <ns0:c r="P499" s="17" t="n"/>
      <ns0:c r="Q499" s="17" t="n"/>
      <ns0:c r="R499" s="17" t="n"/>
      <ns0:c r="S499" s="17" t="n"/>
      <ns0:c r="T499" s="17" t="n"/>
      <ns0:c r="U499" s="17" t="n"/>
      <ns0:c r="V499" s="17" t="n"/>
      <ns0:c r="W499" s="17" t="n"/>
      <ns0:c r="X499" s="17" t="n"/>
      <ns0:c r="Y499" s="17" t="n"/>
      <ns0:c r="Z499" s="17" t="n"/>
      <ns0:c r="AA499" s="17" t="n"/>
      <ns0:c r="AB499" s="17" t="n"/>
      <ns0:c r="AC499" s="17" t="n"/>
      <ns0:c r="AD499" s="17" t="n"/>
      <ns0:c r="AE499" s="17" t="n"/>
      <ns0:c r="AF499" s="17" t="n"/>
      <ns0:c r="AG499" s="17" t="n"/>
    </ns0:row>
    <ns0:row r="500" ht="24" customHeight="1">
      <ns0:c r="D500" s="17" t="n"/>
      <ns0:c r="E500" s="17" t="n"/>
      <ns0:c r="F500" s="17" t="n"/>
      <ns0:c r="G500" s="17" t="n"/>
      <ns0:c r="H500" s="17" t="n"/>
      <ns0:c r="I500" s="17" t="n"/>
      <ns0:c r="J500" s="17" t="n"/>
      <ns0:c r="K500" s="17" t="n"/>
      <ns0:c r="L500" s="17" t="n"/>
      <ns0:c r="M500" s="17" t="n"/>
      <ns0:c r="N500" s="17" t="n"/>
      <ns0:c r="O500" s="17" t="n"/>
      <ns0:c r="P500" s="17" t="n"/>
      <ns0:c r="Q500" s="17" t="n"/>
      <ns0:c r="R500" s="17" t="n"/>
      <ns0:c r="S500" s="17" t="n"/>
      <ns0:c r="T500" s="17" t="n"/>
      <ns0:c r="U500" s="17" t="n"/>
      <ns0:c r="V500" s="17" t="n"/>
      <ns0:c r="W500" s="17" t="n"/>
      <ns0:c r="X500" s="17" t="n"/>
      <ns0:c r="Y500" s="17" t="n"/>
      <ns0:c r="Z500" s="17" t="n"/>
      <ns0:c r="AA500" s="17" t="n"/>
      <ns0:c r="AB500" s="17" t="n"/>
      <ns0:c r="AC500" s="17" t="n"/>
      <ns0:c r="AD500" s="17" t="n"/>
      <ns0:c r="AE500" s="17" t="n"/>
      <ns0:c r="AF500" s="17" t="n"/>
      <ns0:c r="AG500" s="17" t="n"/>
    </ns0:row>
    <ns0:row r="501" ht="24" customHeight="1">
      <ns0:c r="D501" s="17" t="n"/>
      <ns0:c r="E501" s="17" t="n"/>
      <ns0:c r="F501" s="17" t="n"/>
      <ns0:c r="G501" s="17" t="n"/>
      <ns0:c r="H501" s="17" t="n"/>
      <ns0:c r="I501" s="17" t="n"/>
      <ns0:c r="J501" s="17" t="n"/>
      <ns0:c r="K501" s="17" t="n"/>
      <ns0:c r="L501" s="17" t="n"/>
      <ns0:c r="M501" s="17" t="n"/>
      <ns0:c r="N501" s="17" t="n"/>
      <ns0:c r="O501" s="17" t="n"/>
      <ns0:c r="P501" s="17" t="n"/>
      <ns0:c r="Q501" s="17" t="n"/>
      <ns0:c r="R501" s="17" t="n"/>
      <ns0:c r="S501" s="17" t="n"/>
      <ns0:c r="T501" s="17" t="n"/>
      <ns0:c r="U501" s="17" t="n"/>
      <ns0:c r="V501" s="17" t="n"/>
      <ns0:c r="W501" s="17" t="n"/>
      <ns0:c r="X501" s="17" t="n"/>
      <ns0:c r="Y501" s="17" t="n"/>
      <ns0:c r="Z501" s="17" t="n"/>
      <ns0:c r="AA501" s="17" t="n"/>
      <ns0:c r="AB501" s="17" t="n"/>
      <ns0:c r="AC501" s="17" t="n"/>
      <ns0:c r="AD501" s="17" t="n"/>
      <ns0:c r="AE501" s="17" t="n"/>
      <ns0:c r="AF501" s="17" t="n"/>
      <ns0:c r="AG501" s="17" t="n"/>
    </ns0:row>
    <ns0:row r="502" ht="24" customHeight="1">
      <ns0:c r="D502" s="17" t="n"/>
      <ns0:c r="E502" s="17" t="n"/>
      <ns0:c r="F502" s="17" t="n"/>
      <ns0:c r="G502" s="17" t="n"/>
      <ns0:c r="H502" s="17" t="n"/>
      <ns0:c r="I502" s="17" t="n"/>
      <ns0:c r="J502" s="17" t="n"/>
      <ns0:c r="K502" s="17" t="n"/>
      <ns0:c r="L502" s="17" t="n"/>
      <ns0:c r="M502" s="17" t="n"/>
      <ns0:c r="N502" s="17" t="n"/>
      <ns0:c r="O502" s="17" t="n"/>
      <ns0:c r="P502" s="17" t="n"/>
      <ns0:c r="Q502" s="17" t="n"/>
      <ns0:c r="R502" s="17" t="n"/>
      <ns0:c r="S502" s="17" t="n"/>
      <ns0:c r="T502" s="17" t="n"/>
      <ns0:c r="U502" s="17" t="n"/>
      <ns0:c r="V502" s="17" t="n"/>
      <ns0:c r="W502" s="17" t="n"/>
      <ns0:c r="X502" s="17" t="n"/>
      <ns0:c r="Y502" s="17" t="n"/>
      <ns0:c r="Z502" s="17" t="n"/>
      <ns0:c r="AA502" s="17" t="n"/>
      <ns0:c r="AB502" s="17" t="n"/>
      <ns0:c r="AC502" s="17" t="n"/>
      <ns0:c r="AD502" s="17" t="n"/>
      <ns0:c r="AE502" s="17" t="n"/>
      <ns0:c r="AF502" s="17" t="n"/>
      <ns0:c r="AG502" s="17" t="n"/>
    </ns0:row>
    <ns0:row r="503" ht="24" customHeight="1">
      <ns0:c r="D503" s="17" t="n"/>
      <ns0:c r="E503" s="17" t="n"/>
      <ns0:c r="F503" s="17" t="n"/>
      <ns0:c r="G503" s="17" t="n"/>
      <ns0:c r="H503" s="17" t="n"/>
      <ns0:c r="I503" s="17" t="n"/>
      <ns0:c r="J503" s="17" t="n"/>
      <ns0:c r="K503" s="17" t="n"/>
      <ns0:c r="L503" s="17" t="n"/>
      <ns0:c r="M503" s="17" t="n"/>
      <ns0:c r="N503" s="17" t="n"/>
      <ns0:c r="O503" s="17" t="n"/>
      <ns0:c r="P503" s="17" t="n"/>
      <ns0:c r="Q503" s="17" t="n"/>
      <ns0:c r="R503" s="17" t="n"/>
      <ns0:c r="S503" s="17" t="n"/>
      <ns0:c r="T503" s="17" t="n"/>
      <ns0:c r="U503" s="17" t="n"/>
      <ns0:c r="V503" s="17" t="n"/>
      <ns0:c r="W503" s="17" t="n"/>
      <ns0:c r="X503" s="17" t="n"/>
      <ns0:c r="Y503" s="17" t="n"/>
      <ns0:c r="Z503" s="17" t="n"/>
      <ns0:c r="AA503" s="17" t="n"/>
      <ns0:c r="AB503" s="17" t="n"/>
      <ns0:c r="AC503" s="17" t="n"/>
      <ns0:c r="AD503" s="17" t="n"/>
      <ns0:c r="AE503" s="17" t="n"/>
      <ns0:c r="AF503" s="17" t="n"/>
      <ns0:c r="AG503" s="17" t="n"/>
    </ns0:row>
    <ns0:row r="504" ht="24" customHeight="1">
      <ns0:c r="D504" s="17" t="n"/>
      <ns0:c r="E504" s="17" t="n"/>
      <ns0:c r="F504" s="17" t="n"/>
      <ns0:c r="G504" s="17" t="n"/>
      <ns0:c r="H504" s="17" t="n"/>
      <ns0:c r="I504" s="17" t="n"/>
      <ns0:c r="J504" s="17" t="n"/>
      <ns0:c r="K504" s="17" t="n"/>
      <ns0:c r="L504" s="17" t="n"/>
      <ns0:c r="M504" s="17" t="n"/>
      <ns0:c r="N504" s="17" t="n"/>
      <ns0:c r="O504" s="17" t="n"/>
      <ns0:c r="P504" s="17" t="n"/>
      <ns0:c r="Q504" s="17" t="n"/>
      <ns0:c r="R504" s="17" t="n"/>
      <ns0:c r="S504" s="17" t="n"/>
      <ns0:c r="T504" s="17" t="n"/>
      <ns0:c r="U504" s="17" t="n"/>
      <ns0:c r="V504" s="17" t="n"/>
      <ns0:c r="W504" s="17" t="n"/>
      <ns0:c r="X504" s="17" t="n"/>
      <ns0:c r="Y504" s="17" t="n"/>
      <ns0:c r="Z504" s="17" t="n"/>
      <ns0:c r="AA504" s="17" t="n"/>
      <ns0:c r="AB504" s="17" t="n"/>
      <ns0:c r="AC504" s="17" t="n"/>
      <ns0:c r="AD504" s="17" t="n"/>
      <ns0:c r="AE504" s="17" t="n"/>
      <ns0:c r="AF504" s="17" t="n"/>
      <ns0:c r="AG504" s="17" t="n"/>
    </ns0:row>
    <ns0:row r="505" ht="24" customHeight="1">
      <ns0:c r="D505" s="17" t="n"/>
      <ns0:c r="E505" s="17" t="n"/>
      <ns0:c r="F505" s="17" t="n"/>
      <ns0:c r="G505" s="17" t="n"/>
      <ns0:c r="H505" s="17" t="n"/>
      <ns0:c r="I505" s="17" t="n"/>
      <ns0:c r="J505" s="17" t="n"/>
      <ns0:c r="K505" s="17" t="n"/>
      <ns0:c r="L505" s="17" t="n"/>
      <ns0:c r="M505" s="17" t="n"/>
      <ns0:c r="N505" s="17" t="n"/>
      <ns0:c r="O505" s="17" t="n"/>
      <ns0:c r="P505" s="17" t="n"/>
      <ns0:c r="Q505" s="17" t="n"/>
      <ns0:c r="R505" s="17" t="n"/>
      <ns0:c r="S505" s="17" t="n"/>
      <ns0:c r="T505" s="17" t="n"/>
      <ns0:c r="U505" s="17" t="n"/>
      <ns0:c r="V505" s="17" t="n"/>
      <ns0:c r="W505" s="17" t="n"/>
      <ns0:c r="X505" s="17" t="n"/>
      <ns0:c r="Y505" s="17" t="n"/>
      <ns0:c r="Z505" s="17" t="n"/>
      <ns0:c r="AA505" s="17" t="n"/>
      <ns0:c r="AB505" s="17" t="n"/>
      <ns0:c r="AC505" s="17" t="n"/>
      <ns0:c r="AD505" s="17" t="n"/>
      <ns0:c r="AE505" s="17" t="n"/>
      <ns0:c r="AF505" s="17" t="n"/>
      <ns0:c r="AG505" s="17" t="n"/>
    </ns0:row>
    <ns0:row r="506" ht="24" customHeight="1">
      <ns0:c r="D506" s="17" t="n"/>
      <ns0:c r="E506" s="17" t="n"/>
      <ns0:c r="F506" s="17" t="n"/>
      <ns0:c r="G506" s="17" t="n"/>
      <ns0:c r="H506" s="17" t="n"/>
      <ns0:c r="I506" s="17" t="n"/>
      <ns0:c r="J506" s="17" t="n"/>
      <ns0:c r="K506" s="17" t="n"/>
      <ns0:c r="L506" s="17" t="n"/>
      <ns0:c r="M506" s="17" t="n"/>
      <ns0:c r="N506" s="17" t="n"/>
      <ns0:c r="O506" s="17" t="n"/>
      <ns0:c r="P506" s="17" t="n"/>
      <ns0:c r="Q506" s="17" t="n"/>
      <ns0:c r="R506" s="17" t="n"/>
      <ns0:c r="S506" s="17" t="n"/>
      <ns0:c r="T506" s="17" t="n"/>
      <ns0:c r="U506" s="17" t="n"/>
      <ns0:c r="V506" s="17" t="n"/>
      <ns0:c r="W506" s="17" t="n"/>
      <ns0:c r="X506" s="17" t="n"/>
      <ns0:c r="Y506" s="17" t="n"/>
      <ns0:c r="Z506" s="17" t="n"/>
      <ns0:c r="AA506" s="17" t="n"/>
      <ns0:c r="AB506" s="17" t="n"/>
      <ns0:c r="AC506" s="17" t="n"/>
      <ns0:c r="AD506" s="17" t="n"/>
      <ns0:c r="AE506" s="17" t="n"/>
      <ns0:c r="AF506" s="17" t="n"/>
      <ns0:c r="AG506" s="17" t="n"/>
    </ns0:row>
    <ns0:row r="507" ht="24" customHeight="1">
      <ns0:c r="D507" s="17" t="n"/>
      <ns0:c r="E507" s="17" t="n"/>
      <ns0:c r="F507" s="17" t="n"/>
      <ns0:c r="G507" s="17" t="n"/>
      <ns0:c r="H507" s="17" t="n"/>
      <ns0:c r="I507" s="17" t="n"/>
      <ns0:c r="J507" s="17" t="n"/>
      <ns0:c r="K507" s="17" t="n"/>
      <ns0:c r="L507" s="17" t="n"/>
      <ns0:c r="M507" s="17" t="n"/>
      <ns0:c r="N507" s="17" t="n"/>
      <ns0:c r="O507" s="17" t="n"/>
      <ns0:c r="P507" s="17" t="n"/>
      <ns0:c r="Q507" s="17" t="n"/>
      <ns0:c r="R507" s="17" t="n"/>
      <ns0:c r="S507" s="17" t="n"/>
      <ns0:c r="T507" s="17" t="n"/>
      <ns0:c r="U507" s="17" t="n"/>
      <ns0:c r="V507" s="17" t="n"/>
      <ns0:c r="W507" s="17" t="n"/>
      <ns0:c r="X507" s="17" t="n"/>
      <ns0:c r="Y507" s="17" t="n"/>
      <ns0:c r="Z507" s="17" t="n"/>
      <ns0:c r="AA507" s="17" t="n"/>
      <ns0:c r="AB507" s="17" t="n"/>
      <ns0:c r="AC507" s="17" t="n"/>
      <ns0:c r="AD507" s="17" t="n"/>
      <ns0:c r="AE507" s="17" t="n"/>
      <ns0:c r="AF507" s="17" t="n"/>
      <ns0:c r="AG507" s="17" t="n"/>
    </ns0:row>
    <ns0:row r="508" ht="24" customHeight="1">
      <ns0:c r="D508" s="17" t="n"/>
      <ns0:c r="E508" s="17" t="n"/>
      <ns0:c r="F508" s="17" t="n"/>
      <ns0:c r="G508" s="17" t="n"/>
      <ns0:c r="H508" s="17" t="n"/>
      <ns0:c r="I508" s="17" t="n"/>
      <ns0:c r="J508" s="17" t="n"/>
      <ns0:c r="K508" s="17" t="n"/>
      <ns0:c r="L508" s="17" t="n"/>
      <ns0:c r="M508" s="17" t="n"/>
      <ns0:c r="N508" s="17" t="n"/>
      <ns0:c r="O508" s="17" t="n"/>
      <ns0:c r="P508" s="17" t="n"/>
      <ns0:c r="Q508" s="17" t="n"/>
      <ns0:c r="R508" s="17" t="n"/>
      <ns0:c r="S508" s="17" t="n"/>
      <ns0:c r="T508" s="17" t="n"/>
      <ns0:c r="U508" s="17" t="n"/>
      <ns0:c r="V508" s="17" t="n"/>
      <ns0:c r="W508" s="17" t="n"/>
      <ns0:c r="X508" s="17" t="n"/>
      <ns0:c r="Y508" s="17" t="n"/>
      <ns0:c r="Z508" s="17" t="n"/>
      <ns0:c r="AA508" s="17" t="n"/>
      <ns0:c r="AB508" s="17" t="n"/>
      <ns0:c r="AC508" s="17" t="n"/>
      <ns0:c r="AD508" s="17" t="n"/>
      <ns0:c r="AE508" s="17" t="n"/>
      <ns0:c r="AF508" s="17" t="n"/>
      <ns0:c r="AG508" s="17" t="n"/>
    </ns0:row>
    <ns0:row r="509" ht="24" customHeight="1">
      <ns0:c r="D509" s="17" t="n"/>
      <ns0:c r="E509" s="17" t="n"/>
      <ns0:c r="F509" s="17" t="n"/>
      <ns0:c r="G509" s="17" t="n"/>
      <ns0:c r="H509" s="17" t="n"/>
      <ns0:c r="I509" s="17" t="n"/>
      <ns0:c r="J509" s="17" t="n"/>
      <ns0:c r="K509" s="17" t="n"/>
      <ns0:c r="L509" s="17" t="n"/>
      <ns0:c r="M509" s="17" t="n"/>
      <ns0:c r="N509" s="17" t="n"/>
      <ns0:c r="O509" s="17" t="n"/>
      <ns0:c r="P509" s="17" t="n"/>
      <ns0:c r="Q509" s="17" t="n"/>
      <ns0:c r="R509" s="17" t="n"/>
      <ns0:c r="S509" s="17" t="n"/>
      <ns0:c r="T509" s="17" t="n"/>
      <ns0:c r="U509" s="17" t="n"/>
      <ns0:c r="V509" s="17" t="n"/>
      <ns0:c r="W509" s="17" t="n"/>
      <ns0:c r="X509" s="17" t="n"/>
      <ns0:c r="Y509" s="17" t="n"/>
      <ns0:c r="Z509" s="17" t="n"/>
      <ns0:c r="AA509" s="17" t="n"/>
      <ns0:c r="AB509" s="17" t="n"/>
      <ns0:c r="AC509" s="17" t="n"/>
      <ns0:c r="AD509" s="17" t="n"/>
      <ns0:c r="AE509" s="17" t="n"/>
      <ns0:c r="AF509" s="17" t="n"/>
      <ns0:c r="AG509" s="17" t="n"/>
    </ns0:row>
    <ns0:row r="510" ht="24" customHeight="1">
      <ns0:c r="D510" s="17" t="n"/>
      <ns0:c r="E510" s="17" t="n"/>
      <ns0:c r="F510" s="17" t="n"/>
      <ns0:c r="G510" s="17" t="n"/>
      <ns0:c r="H510" s="17" t="n"/>
      <ns0:c r="I510" s="17" t="n"/>
      <ns0:c r="J510" s="17" t="n"/>
      <ns0:c r="K510" s="17" t="n"/>
      <ns0:c r="L510" s="17" t="n"/>
      <ns0:c r="M510" s="17" t="n"/>
      <ns0:c r="N510" s="17" t="n"/>
      <ns0:c r="O510" s="17" t="n"/>
      <ns0:c r="P510" s="17" t="n"/>
      <ns0:c r="Q510" s="17" t="n"/>
      <ns0:c r="R510" s="17" t="n"/>
      <ns0:c r="S510" s="17" t="n"/>
      <ns0:c r="T510" s="17" t="n"/>
      <ns0:c r="U510" s="17" t="n"/>
      <ns0:c r="V510" s="17" t="n"/>
      <ns0:c r="W510" s="17" t="n"/>
      <ns0:c r="X510" s="17" t="n"/>
      <ns0:c r="Y510" s="17" t="n"/>
      <ns0:c r="Z510" s="17" t="n"/>
      <ns0:c r="AA510" s="17" t="n"/>
      <ns0:c r="AB510" s="17" t="n"/>
      <ns0:c r="AC510" s="17" t="n"/>
      <ns0:c r="AD510" s="17" t="n"/>
      <ns0:c r="AE510" s="17" t="n"/>
      <ns0:c r="AF510" s="17" t="n"/>
      <ns0:c r="AG510" s="17" t="n"/>
    </ns0:row>
    <ns0:row r="511" ht="24" customHeight="1">
      <ns0:c r="D511" s="17" t="n"/>
      <ns0:c r="E511" s="17" t="n"/>
      <ns0:c r="F511" s="17" t="n"/>
      <ns0:c r="G511" s="17" t="n"/>
      <ns0:c r="H511" s="17" t="n"/>
      <ns0:c r="I511" s="17" t="n"/>
      <ns0:c r="J511" s="17" t="n"/>
      <ns0:c r="K511" s="17" t="n"/>
      <ns0:c r="L511" s="17" t="n"/>
      <ns0:c r="M511" s="17" t="n"/>
      <ns0:c r="N511" s="17" t="n"/>
      <ns0:c r="O511" s="17" t="n"/>
      <ns0:c r="P511" s="17" t="n"/>
      <ns0:c r="Q511" s="17" t="n"/>
      <ns0:c r="R511" s="17" t="n"/>
      <ns0:c r="S511" s="17" t="n"/>
      <ns0:c r="T511" s="17" t="n"/>
      <ns0:c r="U511" s="17" t="n"/>
      <ns0:c r="V511" s="17" t="n"/>
      <ns0:c r="W511" s="17" t="n"/>
      <ns0:c r="X511" s="17" t="n"/>
      <ns0:c r="Y511" s="17" t="n"/>
      <ns0:c r="Z511" s="17" t="n"/>
      <ns0:c r="AA511" s="17" t="n"/>
      <ns0:c r="AB511" s="17" t="n"/>
      <ns0:c r="AC511" s="17" t="n"/>
      <ns0:c r="AD511" s="17" t="n"/>
      <ns0:c r="AE511" s="17" t="n"/>
      <ns0:c r="AF511" s="17" t="n"/>
      <ns0:c r="AG511" s="17" t="n"/>
    </ns0:row>
    <ns0:row r="512" ht="24" customHeight="1">
      <ns0:c r="D512" s="17" t="n"/>
      <ns0:c r="E512" s="17" t="n"/>
      <ns0:c r="F512" s="17" t="n"/>
      <ns0:c r="G512" s="17" t="n"/>
      <ns0:c r="H512" s="17" t="n"/>
      <ns0:c r="I512" s="17" t="n"/>
      <ns0:c r="J512" s="17" t="n"/>
      <ns0:c r="K512" s="17" t="n"/>
      <ns0:c r="L512" s="17" t="n"/>
      <ns0:c r="M512" s="17" t="n"/>
      <ns0:c r="N512" s="17" t="n"/>
      <ns0:c r="O512" s="17" t="n"/>
      <ns0:c r="P512" s="17" t="n"/>
      <ns0:c r="Q512" s="17" t="n"/>
      <ns0:c r="R512" s="17" t="n"/>
      <ns0:c r="S512" s="17" t="n"/>
      <ns0:c r="T512" s="17" t="n"/>
      <ns0:c r="U512" s="17" t="n"/>
      <ns0:c r="V512" s="17" t="n"/>
      <ns0:c r="W512" s="17" t="n"/>
      <ns0:c r="X512" s="17" t="n"/>
      <ns0:c r="Y512" s="17" t="n"/>
      <ns0:c r="Z512" s="17" t="n"/>
      <ns0:c r="AA512" s="17" t="n"/>
      <ns0:c r="AB512" s="17" t="n"/>
      <ns0:c r="AC512" s="17" t="n"/>
      <ns0:c r="AD512" s="17" t="n"/>
      <ns0:c r="AE512" s="17" t="n"/>
      <ns0:c r="AF512" s="17" t="n"/>
      <ns0:c r="AG512" s="17" t="n"/>
    </ns0:row>
    <ns0:row r="513" ht="24" customHeight="1">
      <ns0:c r="D513" s="17" t="n"/>
      <ns0:c r="E513" s="17" t="n"/>
      <ns0:c r="F513" s="17" t="n"/>
      <ns0:c r="G513" s="17" t="n"/>
      <ns0:c r="H513" s="17" t="n"/>
      <ns0:c r="I513" s="17" t="n"/>
      <ns0:c r="J513" s="17" t="n"/>
      <ns0:c r="K513" s="17" t="n"/>
      <ns0:c r="L513" s="17" t="n"/>
      <ns0:c r="M513" s="17" t="n"/>
      <ns0:c r="N513" s="17" t="n"/>
      <ns0:c r="O513" s="17" t="n"/>
      <ns0:c r="P513" s="17" t="n"/>
      <ns0:c r="Q513" s="17" t="n"/>
      <ns0:c r="R513" s="17" t="n"/>
      <ns0:c r="S513" s="17" t="n"/>
      <ns0:c r="T513" s="17" t="n"/>
      <ns0:c r="U513" s="17" t="n"/>
      <ns0:c r="V513" s="17" t="n"/>
      <ns0:c r="W513" s="17" t="n"/>
      <ns0:c r="X513" s="17" t="n"/>
      <ns0:c r="Y513" s="17" t="n"/>
      <ns0:c r="Z513" s="17" t="n"/>
      <ns0:c r="AA513" s="17" t="n"/>
      <ns0:c r="AB513" s="17" t="n"/>
      <ns0:c r="AC513" s="17" t="n"/>
      <ns0:c r="AD513" s="17" t="n"/>
      <ns0:c r="AE513" s="17" t="n"/>
      <ns0:c r="AF513" s="17" t="n"/>
      <ns0:c r="AG513" s="17" t="n"/>
    </ns0:row>
    <ns0:row r="514" ht="24" customHeight="1">
      <ns0:c r="D514" s="17" t="n"/>
      <ns0:c r="E514" s="17" t="n"/>
      <ns0:c r="F514" s="17" t="n"/>
      <ns0:c r="G514" s="17" t="n"/>
      <ns0:c r="H514" s="17" t="n"/>
      <ns0:c r="I514" s="17" t="n"/>
      <ns0:c r="J514" s="17" t="n"/>
      <ns0:c r="K514" s="17" t="n"/>
      <ns0:c r="L514" s="17" t="n"/>
      <ns0:c r="M514" s="17" t="n"/>
      <ns0:c r="N514" s="17" t="n"/>
      <ns0:c r="O514" s="17" t="n"/>
      <ns0:c r="P514" s="17" t="n"/>
      <ns0:c r="Q514" s="17" t="n"/>
      <ns0:c r="R514" s="17" t="n"/>
      <ns0:c r="S514" s="17" t="n"/>
      <ns0:c r="T514" s="17" t="n"/>
      <ns0:c r="U514" s="17" t="n"/>
      <ns0:c r="V514" s="17" t="n"/>
      <ns0:c r="W514" s="17" t="n"/>
      <ns0:c r="X514" s="17" t="n"/>
      <ns0:c r="Y514" s="17" t="n"/>
      <ns0:c r="Z514" s="17" t="n"/>
      <ns0:c r="AA514" s="17" t="n"/>
      <ns0:c r="AB514" s="17" t="n"/>
      <ns0:c r="AC514" s="17" t="n"/>
      <ns0:c r="AD514" s="17" t="n"/>
      <ns0:c r="AE514" s="17" t="n"/>
      <ns0:c r="AF514" s="17" t="n"/>
      <ns0:c r="AG514" s="17" t="n"/>
    </ns0:row>
    <ns0:row r="515" ht="24" customHeight="1">
      <ns0:c r="D515" s="17" t="n"/>
      <ns0:c r="E515" s="17" t="n"/>
      <ns0:c r="F515" s="17" t="n"/>
      <ns0:c r="G515" s="17" t="n"/>
      <ns0:c r="H515" s="17" t="n"/>
      <ns0:c r="I515" s="17" t="n"/>
      <ns0:c r="J515" s="17" t="n"/>
      <ns0:c r="K515" s="17" t="n"/>
      <ns0:c r="L515" s="17" t="n"/>
      <ns0:c r="M515" s="17" t="n"/>
      <ns0:c r="N515" s="17" t="n"/>
      <ns0:c r="O515" s="17" t="n"/>
      <ns0:c r="P515" s="17" t="n"/>
      <ns0:c r="Q515" s="17" t="n"/>
      <ns0:c r="R515" s="17" t="n"/>
      <ns0:c r="S515" s="17" t="n"/>
      <ns0:c r="T515" s="17" t="n"/>
      <ns0:c r="U515" s="17" t="n"/>
      <ns0:c r="V515" s="17" t="n"/>
      <ns0:c r="W515" s="17" t="n"/>
      <ns0:c r="X515" s="17" t="n"/>
      <ns0:c r="Y515" s="17" t="n"/>
      <ns0:c r="Z515" s="17" t="n"/>
      <ns0:c r="AA515" s="17" t="n"/>
      <ns0:c r="AB515" s="17" t="n"/>
      <ns0:c r="AC515" s="17" t="n"/>
      <ns0:c r="AD515" s="17" t="n"/>
      <ns0:c r="AE515" s="17" t="n"/>
      <ns0:c r="AF515" s="17" t="n"/>
      <ns0:c r="AG515" s="17" t="n"/>
    </ns0:row>
    <ns0:row r="516" ht="24" customHeight="1">
      <ns0:c r="D516" s="17" t="n"/>
      <ns0:c r="E516" s="17" t="n"/>
      <ns0:c r="F516" s="17" t="n"/>
      <ns0:c r="G516" s="17" t="n"/>
      <ns0:c r="H516" s="17" t="n"/>
      <ns0:c r="I516" s="17" t="n"/>
      <ns0:c r="J516" s="17" t="n"/>
      <ns0:c r="K516" s="17" t="n"/>
      <ns0:c r="L516" s="17" t="n"/>
      <ns0:c r="M516" s="17" t="n"/>
      <ns0:c r="N516" s="17" t="n"/>
      <ns0:c r="O516" s="17" t="n"/>
      <ns0:c r="P516" s="17" t="n"/>
      <ns0:c r="Q516" s="17" t="n"/>
      <ns0:c r="R516" s="17" t="n"/>
      <ns0:c r="S516" s="17" t="n"/>
      <ns0:c r="T516" s="17" t="n"/>
      <ns0:c r="U516" s="17" t="n"/>
      <ns0:c r="V516" s="17" t="n"/>
      <ns0:c r="W516" s="17" t="n"/>
      <ns0:c r="X516" s="17" t="n"/>
      <ns0:c r="Y516" s="17" t="n"/>
      <ns0:c r="Z516" s="17" t="n"/>
      <ns0:c r="AA516" s="17" t="n"/>
      <ns0:c r="AB516" s="17" t="n"/>
      <ns0:c r="AC516" s="17" t="n"/>
      <ns0:c r="AD516" s="17" t="n"/>
      <ns0:c r="AE516" s="17" t="n"/>
      <ns0:c r="AF516" s="17" t="n"/>
      <ns0:c r="AG516" s="17" t="n"/>
    </ns0:row>
    <ns0:row r="517" ht="24" customHeight="1">
      <ns0:c r="D517" s="17" t="n"/>
      <ns0:c r="E517" s="17" t="n"/>
      <ns0:c r="F517" s="17" t="n"/>
      <ns0:c r="G517" s="17" t="n"/>
      <ns0:c r="H517" s="17" t="n"/>
      <ns0:c r="I517" s="17" t="n"/>
      <ns0:c r="J517" s="17" t="n"/>
      <ns0:c r="K517" s="17" t="n"/>
      <ns0:c r="L517" s="17" t="n"/>
      <ns0:c r="M517" s="17" t="n"/>
      <ns0:c r="N517" s="17" t="n"/>
      <ns0:c r="O517" s="17" t="n"/>
      <ns0:c r="P517" s="17" t="n"/>
      <ns0:c r="Q517" s="17" t="n"/>
      <ns0:c r="R517" s="17" t="n"/>
      <ns0:c r="S517" s="17" t="n"/>
      <ns0:c r="T517" s="17" t="n"/>
      <ns0:c r="U517" s="17" t="n"/>
      <ns0:c r="V517" s="17" t="n"/>
      <ns0:c r="W517" s="17" t="n"/>
      <ns0:c r="X517" s="17" t="n"/>
      <ns0:c r="Y517" s="17" t="n"/>
      <ns0:c r="Z517" s="17" t="n"/>
      <ns0:c r="AA517" s="17" t="n"/>
      <ns0:c r="AB517" s="17" t="n"/>
      <ns0:c r="AC517" s="17" t="n"/>
      <ns0:c r="AD517" s="17" t="n"/>
      <ns0:c r="AE517" s="17" t="n"/>
      <ns0:c r="AF517" s="17" t="n"/>
      <ns0:c r="AG517" s="17" t="n"/>
    </ns0:row>
    <ns0:row r="518" ht="24" customHeight="1">
      <ns0:c r="D518" s="17" t="n"/>
      <ns0:c r="E518" s="17" t="n"/>
      <ns0:c r="F518" s="17" t="n"/>
      <ns0:c r="G518" s="17" t="n"/>
      <ns0:c r="H518" s="17" t="n"/>
      <ns0:c r="I518" s="17" t="n"/>
      <ns0:c r="J518" s="17" t="n"/>
      <ns0:c r="K518" s="17" t="n"/>
      <ns0:c r="L518" s="17" t="n"/>
      <ns0:c r="M518" s="17" t="n"/>
      <ns0:c r="N518" s="17" t="n"/>
      <ns0:c r="O518" s="17" t="n"/>
      <ns0:c r="P518" s="17" t="n"/>
      <ns0:c r="Q518" s="17" t="n"/>
      <ns0:c r="R518" s="17" t="n"/>
      <ns0:c r="S518" s="17" t="n"/>
      <ns0:c r="T518" s="17" t="n"/>
      <ns0:c r="U518" s="17" t="n"/>
      <ns0:c r="V518" s="17" t="n"/>
      <ns0:c r="W518" s="17" t="n"/>
      <ns0:c r="X518" s="17" t="n"/>
      <ns0:c r="Y518" s="17" t="n"/>
      <ns0:c r="Z518" s="17" t="n"/>
      <ns0:c r="AA518" s="17" t="n"/>
      <ns0:c r="AB518" s="17" t="n"/>
      <ns0:c r="AC518" s="17" t="n"/>
      <ns0:c r="AD518" s="17" t="n"/>
      <ns0:c r="AE518" s="17" t="n"/>
      <ns0:c r="AF518" s="17" t="n"/>
      <ns0:c r="AG518" s="17" t="n"/>
    </ns0:row>
    <ns0:row r="519" ht="24" customHeight="1">
      <ns0:c r="D519" s="17" t="n"/>
      <ns0:c r="E519" s="17" t="n"/>
      <ns0:c r="F519" s="17" t="n"/>
      <ns0:c r="G519" s="17" t="n"/>
      <ns0:c r="H519" s="17" t="n"/>
      <ns0:c r="I519" s="17" t="n"/>
      <ns0:c r="J519" s="17" t="n"/>
      <ns0:c r="K519" s="17" t="n"/>
      <ns0:c r="L519" s="17" t="n"/>
      <ns0:c r="M519" s="17" t="n"/>
      <ns0:c r="N519" s="17" t="n"/>
      <ns0:c r="O519" s="17" t="n"/>
      <ns0:c r="P519" s="17" t="n"/>
      <ns0:c r="Q519" s="17" t="n"/>
      <ns0:c r="R519" s="17" t="n"/>
      <ns0:c r="S519" s="17" t="n"/>
      <ns0:c r="T519" s="17" t="n"/>
      <ns0:c r="U519" s="17" t="n"/>
      <ns0:c r="V519" s="17" t="n"/>
      <ns0:c r="W519" s="17" t="n"/>
      <ns0:c r="X519" s="17" t="n"/>
      <ns0:c r="Y519" s="17" t="n"/>
      <ns0:c r="Z519" s="17" t="n"/>
      <ns0:c r="AA519" s="17" t="n"/>
      <ns0:c r="AB519" s="17" t="n"/>
      <ns0:c r="AC519" s="17" t="n"/>
      <ns0:c r="AD519" s="17" t="n"/>
      <ns0:c r="AE519" s="17" t="n"/>
      <ns0:c r="AF519" s="17" t="n"/>
      <ns0:c r="AG519" s="17" t="n"/>
    </ns0:row>
    <ns0:row r="520" ht="24" customHeight="1">
      <ns0:c r="D520" s="17" t="n"/>
      <ns0:c r="E520" s="17" t="n"/>
      <ns0:c r="F520" s="17" t="n"/>
      <ns0:c r="G520" s="17" t="n"/>
      <ns0:c r="H520" s="17" t="n"/>
      <ns0:c r="I520" s="17" t="n"/>
      <ns0:c r="J520" s="17" t="n"/>
      <ns0:c r="K520" s="17" t="n"/>
      <ns0:c r="L520" s="17" t="n"/>
      <ns0:c r="M520" s="17" t="n"/>
      <ns0:c r="N520" s="17" t="n"/>
      <ns0:c r="O520" s="17" t="n"/>
      <ns0:c r="P520" s="17" t="n"/>
      <ns0:c r="Q520" s="17" t="n"/>
      <ns0:c r="R520" s="17" t="n"/>
      <ns0:c r="S520" s="17" t="n"/>
      <ns0:c r="T520" s="17" t="n"/>
      <ns0:c r="U520" s="17" t="n"/>
      <ns0:c r="V520" s="17" t="n"/>
      <ns0:c r="W520" s="17" t="n"/>
      <ns0:c r="X520" s="17" t="n"/>
      <ns0:c r="Y520" s="17" t="n"/>
      <ns0:c r="Z520" s="17" t="n"/>
      <ns0:c r="AA520" s="17" t="n"/>
      <ns0:c r="AB520" s="17" t="n"/>
      <ns0:c r="AC520" s="17" t="n"/>
      <ns0:c r="AD520" s="17" t="n"/>
      <ns0:c r="AE520" s="17" t="n"/>
      <ns0:c r="AF520" s="17" t="n"/>
      <ns0:c r="AG520" s="17" t="n"/>
    </ns0:row>
    <ns0:row r="521" ht="24" customHeight="1">
      <ns0:c r="D521" s="17" t="n"/>
      <ns0:c r="E521" s="17" t="n"/>
      <ns0:c r="F521" s="17" t="n"/>
      <ns0:c r="G521" s="17" t="n"/>
      <ns0:c r="H521" s="17" t="n"/>
      <ns0:c r="I521" s="17" t="n"/>
      <ns0:c r="J521" s="17" t="n"/>
      <ns0:c r="K521" s="17" t="n"/>
      <ns0:c r="L521" s="17" t="n"/>
      <ns0:c r="M521" s="17" t="n"/>
      <ns0:c r="N521" s="17" t="n"/>
      <ns0:c r="O521" s="17" t="n"/>
      <ns0:c r="P521" s="17" t="n"/>
      <ns0:c r="Q521" s="17" t="n"/>
      <ns0:c r="R521" s="17" t="n"/>
      <ns0:c r="S521" s="17" t="n"/>
      <ns0:c r="T521" s="17" t="n"/>
      <ns0:c r="U521" s="17" t="n"/>
      <ns0:c r="V521" s="17" t="n"/>
      <ns0:c r="W521" s="17" t="n"/>
      <ns0:c r="X521" s="17" t="n"/>
      <ns0:c r="Y521" s="17" t="n"/>
      <ns0:c r="Z521" s="17" t="n"/>
      <ns0:c r="AA521" s="17" t="n"/>
      <ns0:c r="AB521" s="17" t="n"/>
      <ns0:c r="AC521" s="17" t="n"/>
      <ns0:c r="AD521" s="17" t="n"/>
      <ns0:c r="AE521" s="17" t="n"/>
      <ns0:c r="AF521" s="17" t="n"/>
      <ns0:c r="AG521" s="17" t="n"/>
    </ns0:row>
    <ns0:row r="522" ht="24" customHeight="1">
      <ns0:c r="D522" s="17" t="n"/>
      <ns0:c r="E522" s="17" t="n"/>
      <ns0:c r="F522" s="17" t="n"/>
      <ns0:c r="G522" s="17" t="n"/>
      <ns0:c r="H522" s="17" t="n"/>
      <ns0:c r="I522" s="17" t="n"/>
      <ns0:c r="J522" s="17" t="n"/>
      <ns0:c r="K522" s="17" t="n"/>
      <ns0:c r="L522" s="17" t="n"/>
      <ns0:c r="M522" s="17" t="n"/>
      <ns0:c r="N522" s="17" t="n"/>
      <ns0:c r="O522" s="17" t="n"/>
      <ns0:c r="P522" s="17" t="n"/>
      <ns0:c r="Q522" s="17" t="n"/>
      <ns0:c r="R522" s="17" t="n"/>
      <ns0:c r="S522" s="17" t="n"/>
      <ns0:c r="T522" s="17" t="n"/>
      <ns0:c r="U522" s="17" t="n"/>
      <ns0:c r="V522" s="17" t="n"/>
      <ns0:c r="W522" s="17" t="n"/>
      <ns0:c r="X522" s="17" t="n"/>
      <ns0:c r="Y522" s="17" t="n"/>
      <ns0:c r="Z522" s="17" t="n"/>
      <ns0:c r="AA522" s="17" t="n"/>
      <ns0:c r="AB522" s="17" t="n"/>
      <ns0:c r="AC522" s="17" t="n"/>
      <ns0:c r="AD522" s="17" t="n"/>
      <ns0:c r="AE522" s="17" t="n"/>
      <ns0:c r="AF522" s="17" t="n"/>
      <ns0:c r="AG522" s="17" t="n"/>
    </ns0:row>
    <ns0:row r="523" ht="24" customHeight="1">
      <ns0:c r="D523" s="17" t="n"/>
      <ns0:c r="E523" s="17" t="n"/>
      <ns0:c r="F523" s="17" t="n"/>
      <ns0:c r="G523" s="17" t="n"/>
      <ns0:c r="H523" s="17" t="n"/>
      <ns0:c r="I523" s="17" t="n"/>
      <ns0:c r="J523" s="17" t="n"/>
      <ns0:c r="K523" s="17" t="n"/>
      <ns0:c r="L523" s="17" t="n"/>
      <ns0:c r="M523" s="17" t="n"/>
      <ns0:c r="N523" s="17" t="n"/>
      <ns0:c r="O523" s="17" t="n"/>
      <ns0:c r="P523" s="17" t="n"/>
      <ns0:c r="Q523" s="17" t="n"/>
      <ns0:c r="R523" s="17" t="n"/>
      <ns0:c r="S523" s="17" t="n"/>
      <ns0:c r="T523" s="17" t="n"/>
      <ns0:c r="U523" s="17" t="n"/>
      <ns0:c r="V523" s="17" t="n"/>
      <ns0:c r="W523" s="17" t="n"/>
      <ns0:c r="X523" s="17" t="n"/>
      <ns0:c r="Y523" s="17" t="n"/>
      <ns0:c r="Z523" s="17" t="n"/>
      <ns0:c r="AA523" s="17" t="n"/>
      <ns0:c r="AB523" s="17" t="n"/>
      <ns0:c r="AC523" s="17" t="n"/>
      <ns0:c r="AD523" s="17" t="n"/>
      <ns0:c r="AE523" s="17" t="n"/>
      <ns0:c r="AF523" s="17" t="n"/>
      <ns0:c r="AG523" s="17" t="n"/>
    </ns0:row>
    <ns0:row r="524" ht="24" customHeight="1">
      <ns0:c r="D524" s="17" t="n"/>
      <ns0:c r="E524" s="17" t="n"/>
      <ns0:c r="F524" s="17" t="n"/>
      <ns0:c r="G524" s="17" t="n"/>
      <ns0:c r="H524" s="17" t="n"/>
      <ns0:c r="I524" s="17" t="n"/>
      <ns0:c r="J524" s="17" t="n"/>
      <ns0:c r="K524" s="17" t="n"/>
      <ns0:c r="L524" s="17" t="n"/>
      <ns0:c r="M524" s="17" t="n"/>
      <ns0:c r="N524" s="17" t="n"/>
      <ns0:c r="O524" s="17" t="n"/>
      <ns0:c r="P524" s="17" t="n"/>
      <ns0:c r="Q524" s="17" t="n"/>
      <ns0:c r="R524" s="17" t="n"/>
      <ns0:c r="S524" s="17" t="n"/>
      <ns0:c r="T524" s="17" t="n"/>
      <ns0:c r="U524" s="17" t="n"/>
      <ns0:c r="V524" s="17" t="n"/>
      <ns0:c r="W524" s="17" t="n"/>
      <ns0:c r="X524" s="17" t="n"/>
      <ns0:c r="Y524" s="17" t="n"/>
      <ns0:c r="Z524" s="17" t="n"/>
      <ns0:c r="AA524" s="17" t="n"/>
      <ns0:c r="AB524" s="17" t="n"/>
      <ns0:c r="AC524" s="17" t="n"/>
      <ns0:c r="AD524" s="17" t="n"/>
      <ns0:c r="AE524" s="17" t="n"/>
      <ns0:c r="AF524" s="17" t="n"/>
      <ns0:c r="AG524" s="17" t="n"/>
    </ns0:row>
    <ns0:row r="525" ht="24" customHeight="1">
      <ns0:c r="D525" s="17" t="n"/>
      <ns0:c r="E525" s="17" t="n"/>
      <ns0:c r="F525" s="17" t="n"/>
      <ns0:c r="G525" s="17" t="n"/>
      <ns0:c r="H525" s="17" t="n"/>
      <ns0:c r="I525" s="17" t="n"/>
      <ns0:c r="J525" s="17" t="n"/>
      <ns0:c r="K525" s="17" t="n"/>
      <ns0:c r="L525" s="17" t="n"/>
      <ns0:c r="M525" s="17" t="n"/>
      <ns0:c r="N525" s="17" t="n"/>
      <ns0:c r="O525" s="17" t="n"/>
      <ns0:c r="P525" s="17" t="n"/>
      <ns0:c r="Q525" s="17" t="n"/>
      <ns0:c r="R525" s="17" t="n"/>
      <ns0:c r="S525" s="17" t="n"/>
      <ns0:c r="T525" s="17" t="n"/>
      <ns0:c r="U525" s="17" t="n"/>
      <ns0:c r="V525" s="17" t="n"/>
      <ns0:c r="W525" s="17" t="n"/>
      <ns0:c r="X525" s="17" t="n"/>
      <ns0:c r="Y525" s="17" t="n"/>
      <ns0:c r="Z525" s="17" t="n"/>
      <ns0:c r="AA525" s="17" t="n"/>
      <ns0:c r="AB525" s="17" t="n"/>
      <ns0:c r="AC525" s="17" t="n"/>
      <ns0:c r="AD525" s="17" t="n"/>
      <ns0:c r="AE525" s="17" t="n"/>
      <ns0:c r="AF525" s="17" t="n"/>
      <ns0:c r="AG525" s="17" t="n"/>
    </ns0:row>
    <ns0:row r="526" ht="24" customHeight="1">
      <ns0:c r="D526" s="17" t="n"/>
      <ns0:c r="E526" s="17" t="n"/>
      <ns0:c r="F526" s="17" t="n"/>
      <ns0:c r="G526" s="17" t="n"/>
      <ns0:c r="H526" s="17" t="n"/>
      <ns0:c r="I526" s="17" t="n"/>
      <ns0:c r="J526" s="17" t="n"/>
      <ns0:c r="K526" s="17" t="n"/>
      <ns0:c r="L526" s="17" t="n"/>
      <ns0:c r="M526" s="17" t="n"/>
      <ns0:c r="N526" s="17" t="n"/>
      <ns0:c r="O526" s="17" t="n"/>
      <ns0:c r="P526" s="17" t="n"/>
      <ns0:c r="Q526" s="17" t="n"/>
      <ns0:c r="R526" s="17" t="n"/>
      <ns0:c r="S526" s="17" t="n"/>
      <ns0:c r="T526" s="17" t="n"/>
      <ns0:c r="U526" s="17" t="n"/>
      <ns0:c r="V526" s="17" t="n"/>
      <ns0:c r="W526" s="17" t="n"/>
      <ns0:c r="X526" s="17" t="n"/>
      <ns0:c r="Y526" s="17" t="n"/>
      <ns0:c r="Z526" s="17" t="n"/>
      <ns0:c r="AA526" s="17" t="n"/>
      <ns0:c r="AB526" s="17" t="n"/>
      <ns0:c r="AC526" s="17" t="n"/>
      <ns0:c r="AD526" s="17" t="n"/>
      <ns0:c r="AE526" s="17" t="n"/>
      <ns0:c r="AF526" s="17" t="n"/>
      <ns0:c r="AG526" s="17" t="n"/>
    </ns0:row>
    <ns0:row r="527" ht="24" customHeight="1">
      <ns0:c r="D527" s="17" t="n"/>
      <ns0:c r="E527" s="17" t="n"/>
      <ns0:c r="F527" s="17" t="n"/>
      <ns0:c r="G527" s="17" t="n"/>
      <ns0:c r="H527" s="17" t="n"/>
      <ns0:c r="I527" s="17" t="n"/>
      <ns0:c r="J527" s="17" t="n"/>
      <ns0:c r="K527" s="17" t="n"/>
      <ns0:c r="L527" s="17" t="n"/>
      <ns0:c r="M527" s="17" t="n"/>
      <ns0:c r="N527" s="17" t="n"/>
      <ns0:c r="O527" s="17" t="n"/>
      <ns0:c r="P527" s="17" t="n"/>
      <ns0:c r="Q527" s="17" t="n"/>
      <ns0:c r="R527" s="17" t="n"/>
      <ns0:c r="S527" s="17" t="n"/>
      <ns0:c r="T527" s="17" t="n"/>
      <ns0:c r="U527" s="17" t="n"/>
      <ns0:c r="V527" s="17" t="n"/>
      <ns0:c r="W527" s="17" t="n"/>
      <ns0:c r="X527" s="17" t="n"/>
      <ns0:c r="Y527" s="17" t="n"/>
      <ns0:c r="Z527" s="17" t="n"/>
      <ns0:c r="AA527" s="17" t="n"/>
      <ns0:c r="AB527" s="17" t="n"/>
      <ns0:c r="AC527" s="17" t="n"/>
      <ns0:c r="AD527" s="17" t="n"/>
      <ns0:c r="AE527" s="17" t="n"/>
      <ns0:c r="AF527" s="17" t="n"/>
      <ns0:c r="AG527" s="17" t="n"/>
    </ns0:row>
    <ns0:row r="528" ht="24" customHeight="1">
      <ns0:c r="D528" s="17" t="n"/>
      <ns0:c r="E528" s="17" t="n"/>
      <ns0:c r="F528" s="17" t="n"/>
      <ns0:c r="G528" s="17" t="n"/>
      <ns0:c r="H528" s="17" t="n"/>
      <ns0:c r="I528" s="17" t="n"/>
      <ns0:c r="J528" s="17" t="n"/>
      <ns0:c r="K528" s="17" t="n"/>
      <ns0:c r="L528" s="17" t="n"/>
      <ns0:c r="M528" s="17" t="n"/>
      <ns0:c r="N528" s="17" t="n"/>
      <ns0:c r="O528" s="17" t="n"/>
      <ns0:c r="P528" s="17" t="n"/>
      <ns0:c r="Q528" s="17" t="n"/>
      <ns0:c r="R528" s="17" t="n"/>
      <ns0:c r="S528" s="17" t="n"/>
      <ns0:c r="T528" s="17" t="n"/>
      <ns0:c r="U528" s="17" t="n"/>
      <ns0:c r="V528" s="17" t="n"/>
      <ns0:c r="W528" s="17" t="n"/>
      <ns0:c r="X528" s="17" t="n"/>
      <ns0:c r="Y528" s="17" t="n"/>
      <ns0:c r="Z528" s="17" t="n"/>
      <ns0:c r="AA528" s="17" t="n"/>
      <ns0:c r="AB528" s="17" t="n"/>
      <ns0:c r="AC528" s="17" t="n"/>
      <ns0:c r="AD528" s="17" t="n"/>
      <ns0:c r="AE528" s="17" t="n"/>
      <ns0:c r="AF528" s="17" t="n"/>
      <ns0:c r="AG528" s="17" t="n"/>
    </ns0:row>
    <ns0:row r="529" ht="24" customHeight="1">
      <ns0:c r="D529" s="17" t="n"/>
      <ns0:c r="E529" s="17" t="n"/>
      <ns0:c r="F529" s="17" t="n"/>
      <ns0:c r="G529" s="17" t="n"/>
      <ns0:c r="H529" s="17" t="n"/>
      <ns0:c r="I529" s="17" t="n"/>
      <ns0:c r="J529" s="17" t="n"/>
      <ns0:c r="K529" s="17" t="n"/>
      <ns0:c r="L529" s="17" t="n"/>
      <ns0:c r="M529" s="17" t="n"/>
      <ns0:c r="N529" s="17" t="n"/>
      <ns0:c r="O529" s="17" t="n"/>
      <ns0:c r="P529" s="17" t="n"/>
      <ns0:c r="Q529" s="17" t="n"/>
      <ns0:c r="R529" s="17" t="n"/>
      <ns0:c r="S529" s="17" t="n"/>
      <ns0:c r="T529" s="17" t="n"/>
      <ns0:c r="U529" s="17" t="n"/>
      <ns0:c r="V529" s="17" t="n"/>
      <ns0:c r="W529" s="17" t="n"/>
      <ns0:c r="X529" s="17" t="n"/>
      <ns0:c r="Y529" s="17" t="n"/>
      <ns0:c r="Z529" s="17" t="n"/>
      <ns0:c r="AA529" s="17" t="n"/>
      <ns0:c r="AB529" s="17" t="n"/>
      <ns0:c r="AC529" s="17" t="n"/>
      <ns0:c r="AD529" s="17" t="n"/>
      <ns0:c r="AE529" s="17" t="n"/>
      <ns0:c r="AF529" s="17" t="n"/>
      <ns0:c r="AG529" s="17" t="n"/>
    </ns0:row>
    <ns0:row r="530" ht="24" customHeight="1">
      <ns0:c r="D530" s="17" t="n"/>
      <ns0:c r="E530" s="17" t="n"/>
      <ns0:c r="F530" s="17" t="n"/>
      <ns0:c r="G530" s="17" t="n"/>
      <ns0:c r="H530" s="17" t="n"/>
      <ns0:c r="I530" s="17" t="n"/>
      <ns0:c r="J530" s="17" t="n"/>
      <ns0:c r="K530" s="17" t="n"/>
      <ns0:c r="L530" s="17" t="n"/>
      <ns0:c r="M530" s="17" t="n"/>
      <ns0:c r="N530" s="17" t="n"/>
      <ns0:c r="O530" s="17" t="n"/>
      <ns0:c r="P530" s="17" t="n"/>
      <ns0:c r="Q530" s="17" t="n"/>
      <ns0:c r="R530" s="17" t="n"/>
      <ns0:c r="S530" s="17" t="n"/>
      <ns0:c r="T530" s="17" t="n"/>
      <ns0:c r="U530" s="17" t="n"/>
      <ns0:c r="V530" s="17" t="n"/>
      <ns0:c r="W530" s="17" t="n"/>
      <ns0:c r="X530" s="17" t="n"/>
      <ns0:c r="Y530" s="17" t="n"/>
      <ns0:c r="Z530" s="17" t="n"/>
      <ns0:c r="AA530" s="17" t="n"/>
      <ns0:c r="AB530" s="17" t="n"/>
      <ns0:c r="AC530" s="17" t="n"/>
      <ns0:c r="AD530" s="17" t="n"/>
      <ns0:c r="AE530" s="17" t="n"/>
      <ns0:c r="AF530" s="17" t="n"/>
      <ns0:c r="AG530" s="17" t="n"/>
    </ns0:row>
    <ns0:row r="531" ht="24" customHeight="1">
      <ns0:c r="D531" s="17" t="n"/>
      <ns0:c r="E531" s="17" t="n"/>
      <ns0:c r="F531" s="17" t="n"/>
      <ns0:c r="G531" s="17" t="n"/>
      <ns0:c r="H531" s="17" t="n"/>
      <ns0:c r="I531" s="17" t="n"/>
      <ns0:c r="J531" s="17" t="n"/>
      <ns0:c r="K531" s="17" t="n"/>
      <ns0:c r="L531" s="17" t="n"/>
      <ns0:c r="M531" s="17" t="n"/>
      <ns0:c r="N531" s="17" t="n"/>
      <ns0:c r="O531" s="17" t="n"/>
      <ns0:c r="P531" s="17" t="n"/>
      <ns0:c r="Q531" s="17" t="n"/>
      <ns0:c r="R531" s="17" t="n"/>
      <ns0:c r="S531" s="17" t="n"/>
      <ns0:c r="T531" s="17" t="n"/>
      <ns0:c r="U531" s="17" t="n"/>
      <ns0:c r="V531" s="17" t="n"/>
      <ns0:c r="W531" s="17" t="n"/>
      <ns0:c r="X531" s="17" t="n"/>
      <ns0:c r="Y531" s="17" t="n"/>
      <ns0:c r="Z531" s="17" t="n"/>
      <ns0:c r="AA531" s="17" t="n"/>
      <ns0:c r="AB531" s="17" t="n"/>
      <ns0:c r="AC531" s="17" t="n"/>
      <ns0:c r="AD531" s="17" t="n"/>
      <ns0:c r="AE531" s="17" t="n"/>
      <ns0:c r="AF531" s="17" t="n"/>
      <ns0:c r="AG531" s="17" t="n"/>
    </ns0:row>
    <ns0:row r="532" ht="24" customHeight="1">
      <ns0:c r="D532" s="17" t="n"/>
      <ns0:c r="E532" s="17" t="n"/>
      <ns0:c r="F532" s="17" t="n"/>
      <ns0:c r="G532" s="17" t="n"/>
      <ns0:c r="H532" s="17" t="n"/>
      <ns0:c r="I532" s="17" t="n"/>
      <ns0:c r="J532" s="17" t="n"/>
      <ns0:c r="K532" s="17" t="n"/>
      <ns0:c r="L532" s="17" t="n"/>
      <ns0:c r="M532" s="17" t="n"/>
      <ns0:c r="N532" s="17" t="n"/>
      <ns0:c r="O532" s="17" t="n"/>
      <ns0:c r="P532" s="17" t="n"/>
      <ns0:c r="Q532" s="17" t="n"/>
      <ns0:c r="R532" s="17" t="n"/>
      <ns0:c r="S532" s="17" t="n"/>
      <ns0:c r="T532" s="17" t="n"/>
      <ns0:c r="U532" s="17" t="n"/>
      <ns0:c r="V532" s="17" t="n"/>
      <ns0:c r="W532" s="17" t="n"/>
      <ns0:c r="X532" s="17" t="n"/>
      <ns0:c r="Y532" s="17" t="n"/>
      <ns0:c r="Z532" s="17" t="n"/>
      <ns0:c r="AA532" s="17" t="n"/>
      <ns0:c r="AB532" s="17" t="n"/>
      <ns0:c r="AC532" s="17" t="n"/>
      <ns0:c r="AD532" s="17" t="n"/>
      <ns0:c r="AE532" s="17" t="n"/>
      <ns0:c r="AF532" s="17" t="n"/>
      <ns0:c r="AG532" s="17" t="n"/>
    </ns0:row>
    <ns0:row r="533" ht="24" customHeight="1">
      <ns0:c r="D533" s="17" t="n"/>
      <ns0:c r="E533" s="17" t="n"/>
      <ns0:c r="F533" s="17" t="n"/>
      <ns0:c r="G533" s="17" t="n"/>
      <ns0:c r="H533" s="17" t="n"/>
      <ns0:c r="I533" s="17" t="n"/>
      <ns0:c r="J533" s="17" t="n"/>
      <ns0:c r="K533" s="17" t="n"/>
      <ns0:c r="L533" s="17" t="n"/>
      <ns0:c r="M533" s="17" t="n"/>
      <ns0:c r="N533" s="17" t="n"/>
      <ns0:c r="O533" s="17" t="n"/>
      <ns0:c r="P533" s="17" t="n"/>
      <ns0:c r="Q533" s="17" t="n"/>
      <ns0:c r="R533" s="17" t="n"/>
      <ns0:c r="S533" s="17" t="n"/>
      <ns0:c r="T533" s="17" t="n"/>
      <ns0:c r="U533" s="17" t="n"/>
      <ns0:c r="V533" s="17" t="n"/>
      <ns0:c r="W533" s="17" t="n"/>
      <ns0:c r="X533" s="17" t="n"/>
      <ns0:c r="Y533" s="17" t="n"/>
      <ns0:c r="Z533" s="17" t="n"/>
      <ns0:c r="AA533" s="17" t="n"/>
      <ns0:c r="AB533" s="17" t="n"/>
      <ns0:c r="AC533" s="17" t="n"/>
      <ns0:c r="AD533" s="17" t="n"/>
      <ns0:c r="AE533" s="17" t="n"/>
      <ns0:c r="AF533" s="17" t="n"/>
      <ns0:c r="AG533" s="17" t="n"/>
    </ns0:row>
    <ns0:row r="534" ht="24" customHeight="1">
      <ns0:c r="D534" s="17" t="n"/>
      <ns0:c r="E534" s="17" t="n"/>
      <ns0:c r="F534" s="17" t="n"/>
      <ns0:c r="G534" s="17" t="n"/>
      <ns0:c r="H534" s="17" t="n"/>
      <ns0:c r="I534" s="17" t="n"/>
      <ns0:c r="J534" s="17" t="n"/>
      <ns0:c r="K534" s="17" t="n"/>
      <ns0:c r="L534" s="17" t="n"/>
      <ns0:c r="M534" s="17" t="n"/>
      <ns0:c r="N534" s="17" t="n"/>
      <ns0:c r="O534" s="17" t="n"/>
      <ns0:c r="P534" s="17" t="n"/>
      <ns0:c r="Q534" s="17" t="n"/>
      <ns0:c r="R534" s="17" t="n"/>
      <ns0:c r="S534" s="17" t="n"/>
      <ns0:c r="T534" s="17" t="n"/>
      <ns0:c r="U534" s="17" t="n"/>
      <ns0:c r="V534" s="17" t="n"/>
      <ns0:c r="W534" s="17" t="n"/>
      <ns0:c r="X534" s="17" t="n"/>
      <ns0:c r="Y534" s="17" t="n"/>
      <ns0:c r="Z534" s="17" t="n"/>
      <ns0:c r="AA534" s="17" t="n"/>
      <ns0:c r="AB534" s="17" t="n"/>
      <ns0:c r="AC534" s="17" t="n"/>
      <ns0:c r="AD534" s="17" t="n"/>
      <ns0:c r="AE534" s="17" t="n"/>
      <ns0:c r="AF534" s="17" t="n"/>
      <ns0:c r="AG534" s="17" t="n"/>
    </ns0:row>
    <ns0:row r="535" ht="24" customHeight="1">
      <ns0:c r="D535" s="17" t="n"/>
      <ns0:c r="E535" s="17" t="n"/>
      <ns0:c r="F535" s="17" t="n"/>
      <ns0:c r="G535" s="17" t="n"/>
      <ns0:c r="H535" s="17" t="n"/>
      <ns0:c r="I535" s="17" t="n"/>
      <ns0:c r="J535" s="17" t="n"/>
      <ns0:c r="K535" s="17" t="n"/>
      <ns0:c r="L535" s="17" t="n"/>
      <ns0:c r="M535" s="17" t="n"/>
      <ns0:c r="N535" s="17" t="n"/>
      <ns0:c r="O535" s="17" t="n"/>
      <ns0:c r="P535" s="17" t="n"/>
      <ns0:c r="Q535" s="17" t="n"/>
      <ns0:c r="R535" s="17" t="n"/>
      <ns0:c r="S535" s="17" t="n"/>
      <ns0:c r="T535" s="17" t="n"/>
      <ns0:c r="U535" s="17" t="n"/>
      <ns0:c r="V535" s="17" t="n"/>
      <ns0:c r="W535" s="17" t="n"/>
      <ns0:c r="X535" s="17" t="n"/>
      <ns0:c r="Y535" s="17" t="n"/>
      <ns0:c r="Z535" s="17" t="n"/>
      <ns0:c r="AA535" s="17" t="n"/>
      <ns0:c r="AB535" s="17" t="n"/>
      <ns0:c r="AC535" s="17" t="n"/>
      <ns0:c r="AD535" s="17" t="n"/>
      <ns0:c r="AE535" s="17" t="n"/>
      <ns0:c r="AF535" s="17" t="n"/>
      <ns0:c r="AG535" s="17" t="n"/>
    </ns0:row>
    <ns0:row r="536" ht="24" customHeight="1">
      <ns0:c r="D536" s="17" t="n"/>
      <ns0:c r="E536" s="17" t="n"/>
      <ns0:c r="F536" s="17" t="n"/>
      <ns0:c r="G536" s="17" t="n"/>
      <ns0:c r="H536" s="17" t="n"/>
      <ns0:c r="I536" s="17" t="n"/>
      <ns0:c r="J536" s="17" t="n"/>
      <ns0:c r="K536" s="17" t="n"/>
      <ns0:c r="L536" s="17" t="n"/>
      <ns0:c r="M536" s="17" t="n"/>
      <ns0:c r="N536" s="17" t="n"/>
      <ns0:c r="O536" s="17" t="n"/>
      <ns0:c r="P536" s="17" t="n"/>
      <ns0:c r="Q536" s="17" t="n"/>
      <ns0:c r="R536" s="17" t="n"/>
      <ns0:c r="S536" s="17" t="n"/>
      <ns0:c r="T536" s="17" t="n"/>
      <ns0:c r="U536" s="17" t="n"/>
      <ns0:c r="V536" s="17" t="n"/>
      <ns0:c r="W536" s="17" t="n"/>
      <ns0:c r="X536" s="17" t="n"/>
      <ns0:c r="Y536" s="17" t="n"/>
      <ns0:c r="Z536" s="17" t="n"/>
      <ns0:c r="AA536" s="17" t="n"/>
      <ns0:c r="AB536" s="17" t="n"/>
      <ns0:c r="AC536" s="17" t="n"/>
      <ns0:c r="AD536" s="17" t="n"/>
      <ns0:c r="AE536" s="17" t="n"/>
      <ns0:c r="AF536" s="17" t="n"/>
      <ns0:c r="AG536" s="17" t="n"/>
    </ns0:row>
    <ns0:row r="537" ht="24" customHeight="1">
      <ns0:c r="D537" s="17" t="n"/>
      <ns0:c r="E537" s="17" t="n"/>
      <ns0:c r="F537" s="17" t="n"/>
      <ns0:c r="G537" s="17" t="n"/>
      <ns0:c r="H537" s="17" t="n"/>
      <ns0:c r="I537" s="17" t="n"/>
      <ns0:c r="J537" s="17" t="n"/>
      <ns0:c r="K537" s="17" t="n"/>
      <ns0:c r="L537" s="17" t="n"/>
      <ns0:c r="M537" s="17" t="n"/>
      <ns0:c r="N537" s="17" t="n"/>
      <ns0:c r="O537" s="17" t="n"/>
      <ns0:c r="P537" s="17" t="n"/>
      <ns0:c r="Q537" s="17" t="n"/>
      <ns0:c r="R537" s="17" t="n"/>
      <ns0:c r="S537" s="17" t="n"/>
      <ns0:c r="T537" s="17" t="n"/>
      <ns0:c r="U537" s="17" t="n"/>
      <ns0:c r="V537" s="17" t="n"/>
      <ns0:c r="W537" s="17" t="n"/>
      <ns0:c r="X537" s="17" t="n"/>
      <ns0:c r="Y537" s="17" t="n"/>
      <ns0:c r="Z537" s="17" t="n"/>
      <ns0:c r="AA537" s="17" t="n"/>
      <ns0:c r="AB537" s="17" t="n"/>
      <ns0:c r="AC537" s="17" t="n"/>
      <ns0:c r="AD537" s="17" t="n"/>
      <ns0:c r="AE537" s="17" t="n"/>
      <ns0:c r="AF537" s="17" t="n"/>
      <ns0:c r="AG537" s="17" t="n"/>
    </ns0:row>
    <ns0:row r="538" ht="24" customHeight="1">
      <ns0:c r="D538" s="17" t="n"/>
      <ns0:c r="E538" s="17" t="n"/>
      <ns0:c r="F538" s="17" t="n"/>
      <ns0:c r="G538" s="17" t="n"/>
      <ns0:c r="H538" s="17" t="n"/>
      <ns0:c r="I538" s="17" t="n"/>
      <ns0:c r="J538" s="17" t="n"/>
      <ns0:c r="K538" s="17" t="n"/>
      <ns0:c r="L538" s="17" t="n"/>
      <ns0:c r="M538" s="17" t="n"/>
      <ns0:c r="N538" s="17" t="n"/>
      <ns0:c r="O538" s="17" t="n"/>
      <ns0:c r="P538" s="17" t="n"/>
      <ns0:c r="Q538" s="17" t="n"/>
      <ns0:c r="R538" s="17" t="n"/>
      <ns0:c r="S538" s="17" t="n"/>
      <ns0:c r="T538" s="17" t="n"/>
      <ns0:c r="U538" s="17" t="n"/>
      <ns0:c r="V538" s="17" t="n"/>
      <ns0:c r="W538" s="17" t="n"/>
      <ns0:c r="X538" s="17" t="n"/>
      <ns0:c r="Y538" s="17" t="n"/>
      <ns0:c r="Z538" s="17" t="n"/>
      <ns0:c r="AA538" s="17" t="n"/>
      <ns0:c r="AB538" s="17" t="n"/>
      <ns0:c r="AC538" s="17" t="n"/>
      <ns0:c r="AD538" s="17" t="n"/>
      <ns0:c r="AE538" s="17" t="n"/>
      <ns0:c r="AF538" s="17" t="n"/>
      <ns0:c r="AG538" s="17" t="n"/>
    </ns0:row>
    <ns0:row r="539" ht="24" customHeight="1">
      <ns0:c r="D539" s="17" t="n"/>
      <ns0:c r="E539" s="17" t="n"/>
      <ns0:c r="F539" s="17" t="n"/>
      <ns0:c r="G539" s="17" t="n"/>
      <ns0:c r="H539" s="17" t="n"/>
      <ns0:c r="I539" s="17" t="n"/>
      <ns0:c r="J539" s="17" t="n"/>
      <ns0:c r="K539" s="17" t="n"/>
      <ns0:c r="L539" s="17" t="n"/>
      <ns0:c r="M539" s="17" t="n"/>
      <ns0:c r="N539" s="17" t="n"/>
      <ns0:c r="O539" s="17" t="n"/>
      <ns0:c r="P539" s="17" t="n"/>
      <ns0:c r="Q539" s="17" t="n"/>
      <ns0:c r="R539" s="17" t="n"/>
      <ns0:c r="S539" s="17" t="n"/>
      <ns0:c r="T539" s="17" t="n"/>
      <ns0:c r="U539" s="17" t="n"/>
      <ns0:c r="V539" s="17" t="n"/>
      <ns0:c r="W539" s="17" t="n"/>
      <ns0:c r="X539" s="17" t="n"/>
      <ns0:c r="Y539" s="17" t="n"/>
      <ns0:c r="Z539" s="17" t="n"/>
      <ns0:c r="AA539" s="17" t="n"/>
      <ns0:c r="AB539" s="17" t="n"/>
      <ns0:c r="AC539" s="17" t="n"/>
      <ns0:c r="AD539" s="17" t="n"/>
      <ns0:c r="AE539" s="17" t="n"/>
      <ns0:c r="AF539" s="17" t="n"/>
      <ns0:c r="AG539" s="17" t="n"/>
    </ns0:row>
    <ns0:row r="540" ht="24" customHeight="1">
      <ns0:c r="D540" s="17" t="n"/>
      <ns0:c r="E540" s="17" t="n"/>
      <ns0:c r="F540" s="17" t="n"/>
      <ns0:c r="G540" s="17" t="n"/>
      <ns0:c r="H540" s="17" t="n"/>
      <ns0:c r="I540" s="17" t="n"/>
      <ns0:c r="J540" s="17" t="n"/>
      <ns0:c r="K540" s="17" t="n"/>
      <ns0:c r="L540" s="17" t="n"/>
      <ns0:c r="M540" s="17" t="n"/>
      <ns0:c r="N540" s="17" t="n"/>
      <ns0:c r="O540" s="17" t="n"/>
      <ns0:c r="P540" s="17" t="n"/>
      <ns0:c r="Q540" s="17" t="n"/>
      <ns0:c r="R540" s="17" t="n"/>
      <ns0:c r="S540" s="17" t="n"/>
      <ns0:c r="T540" s="17" t="n"/>
      <ns0:c r="U540" s="17" t="n"/>
      <ns0:c r="V540" s="17" t="n"/>
      <ns0:c r="W540" s="17" t="n"/>
      <ns0:c r="X540" s="17" t="n"/>
      <ns0:c r="Y540" s="17" t="n"/>
      <ns0:c r="Z540" s="17" t="n"/>
      <ns0:c r="AA540" s="17" t="n"/>
      <ns0:c r="AB540" s="17" t="n"/>
      <ns0:c r="AC540" s="17" t="n"/>
      <ns0:c r="AD540" s="17" t="n"/>
      <ns0:c r="AE540" s="17" t="n"/>
      <ns0:c r="AF540" s="17" t="n"/>
      <ns0:c r="AG540" s="17" t="n"/>
    </ns0:row>
    <ns0:row r="541" ht="24" customHeight="1">
      <ns0:c r="D541" s="17" t="n"/>
      <ns0:c r="E541" s="17" t="n"/>
      <ns0:c r="F541" s="17" t="n"/>
      <ns0:c r="G541" s="17" t="n"/>
      <ns0:c r="H541" s="17" t="n"/>
      <ns0:c r="I541" s="17" t="n"/>
      <ns0:c r="J541" s="17" t="n"/>
      <ns0:c r="K541" s="17" t="n"/>
      <ns0:c r="L541" s="17" t="n"/>
      <ns0:c r="M541" s="17" t="n"/>
      <ns0:c r="N541" s="17" t="n"/>
      <ns0:c r="O541" s="17" t="n"/>
      <ns0:c r="P541" s="17" t="n"/>
      <ns0:c r="Q541" s="17" t="n"/>
      <ns0:c r="R541" s="17" t="n"/>
      <ns0:c r="S541" s="17" t="n"/>
      <ns0:c r="T541" s="17" t="n"/>
      <ns0:c r="U541" s="17" t="n"/>
      <ns0:c r="V541" s="17" t="n"/>
      <ns0:c r="W541" s="17" t="n"/>
      <ns0:c r="X541" s="17" t="n"/>
      <ns0:c r="Y541" s="17" t="n"/>
      <ns0:c r="Z541" s="17" t="n"/>
      <ns0:c r="AA541" s="17" t="n"/>
      <ns0:c r="AB541" s="17" t="n"/>
      <ns0:c r="AC541" s="17" t="n"/>
      <ns0:c r="AD541" s="17" t="n"/>
      <ns0:c r="AE541" s="17" t="n"/>
      <ns0:c r="AF541" s="17" t="n"/>
      <ns0:c r="AG541" s="17" t="n"/>
    </ns0:row>
    <ns0:row r="542" ht="24" customHeight="1">
      <ns0:c r="D542" s="17" t="n"/>
      <ns0:c r="E542" s="17" t="n"/>
      <ns0:c r="F542" s="17" t="n"/>
      <ns0:c r="G542" s="17" t="n"/>
      <ns0:c r="H542" s="17" t="n"/>
      <ns0:c r="I542" s="17" t="n"/>
      <ns0:c r="J542" s="17" t="n"/>
      <ns0:c r="K542" s="17" t="n"/>
      <ns0:c r="L542" s="17" t="n"/>
      <ns0:c r="M542" s="17" t="n"/>
      <ns0:c r="N542" s="17" t="n"/>
      <ns0:c r="O542" s="17" t="n"/>
      <ns0:c r="P542" s="17" t="n"/>
      <ns0:c r="Q542" s="17" t="n"/>
      <ns0:c r="R542" s="17" t="n"/>
      <ns0:c r="S542" s="17" t="n"/>
      <ns0:c r="T542" s="17" t="n"/>
      <ns0:c r="U542" s="17" t="n"/>
      <ns0:c r="V542" s="17" t="n"/>
      <ns0:c r="W542" s="17" t="n"/>
      <ns0:c r="X542" s="17" t="n"/>
      <ns0:c r="Y542" s="17" t="n"/>
      <ns0:c r="Z542" s="17" t="n"/>
      <ns0:c r="AA542" s="17" t="n"/>
      <ns0:c r="AB542" s="17" t="n"/>
      <ns0:c r="AC542" s="17" t="n"/>
      <ns0:c r="AD542" s="17" t="n"/>
      <ns0:c r="AE542" s="17" t="n"/>
      <ns0:c r="AF542" s="17" t="n"/>
      <ns0:c r="AG542" s="17" t="n"/>
    </ns0:row>
    <ns0:row r="543" ht="24" customHeight="1">
      <ns0:c r="D543" s="17" t="n"/>
      <ns0:c r="E543" s="17" t="n"/>
      <ns0:c r="F543" s="17" t="n"/>
      <ns0:c r="G543" s="17" t="n"/>
      <ns0:c r="H543" s="17" t="n"/>
      <ns0:c r="I543" s="17" t="n"/>
      <ns0:c r="J543" s="17" t="n"/>
      <ns0:c r="K543" s="17" t="n"/>
      <ns0:c r="L543" s="17" t="n"/>
      <ns0:c r="M543" s="17" t="n"/>
      <ns0:c r="N543" s="17" t="n"/>
      <ns0:c r="O543" s="17" t="n"/>
      <ns0:c r="P543" s="17" t="n"/>
      <ns0:c r="Q543" s="17" t="n"/>
      <ns0:c r="R543" s="17" t="n"/>
      <ns0:c r="S543" s="17" t="n"/>
      <ns0:c r="T543" s="17" t="n"/>
      <ns0:c r="U543" s="17" t="n"/>
      <ns0:c r="V543" s="17" t="n"/>
      <ns0:c r="W543" s="17" t="n"/>
      <ns0:c r="X543" s="17" t="n"/>
      <ns0:c r="Y543" s="17" t="n"/>
      <ns0:c r="Z543" s="17" t="n"/>
      <ns0:c r="AA543" s="17" t="n"/>
      <ns0:c r="AB543" s="17" t="n"/>
      <ns0:c r="AC543" s="17" t="n"/>
      <ns0:c r="AD543" s="17" t="n"/>
      <ns0:c r="AE543" s="17" t="n"/>
      <ns0:c r="AF543" s="17" t="n"/>
      <ns0:c r="AG543" s="17" t="n"/>
    </ns0:row>
    <ns0:row r="544" ht="24" customHeight="1">
      <ns0:c r="D544" s="17" t="n"/>
      <ns0:c r="E544" s="17" t="n"/>
      <ns0:c r="F544" s="17" t="n"/>
      <ns0:c r="G544" s="17" t="n"/>
      <ns0:c r="H544" s="17" t="n"/>
      <ns0:c r="I544" s="17" t="n"/>
      <ns0:c r="J544" s="17" t="n"/>
      <ns0:c r="K544" s="17" t="n"/>
      <ns0:c r="L544" s="17" t="n"/>
      <ns0:c r="M544" s="17" t="n"/>
      <ns0:c r="N544" s="17" t="n"/>
      <ns0:c r="O544" s="17" t="n"/>
      <ns0:c r="P544" s="17" t="n"/>
      <ns0:c r="Q544" s="17" t="n"/>
      <ns0:c r="R544" s="17" t="n"/>
      <ns0:c r="S544" s="17" t="n"/>
      <ns0:c r="T544" s="17" t="n"/>
      <ns0:c r="U544" s="17" t="n"/>
      <ns0:c r="V544" s="17" t="n"/>
      <ns0:c r="W544" s="17" t="n"/>
      <ns0:c r="X544" s="17" t="n"/>
      <ns0:c r="Y544" s="17" t="n"/>
      <ns0:c r="Z544" s="17" t="n"/>
      <ns0:c r="AA544" s="17" t="n"/>
      <ns0:c r="AB544" s="17" t="n"/>
      <ns0:c r="AC544" s="17" t="n"/>
      <ns0:c r="AD544" s="17" t="n"/>
      <ns0:c r="AE544" s="17" t="n"/>
      <ns0:c r="AF544" s="17" t="n"/>
      <ns0:c r="AG544" s="17" t="n"/>
    </ns0:row>
    <ns0:row r="545" ht="24" customHeight="1">
      <ns0:c r="D545" s="17" t="n"/>
      <ns0:c r="E545" s="17" t="n"/>
      <ns0:c r="F545" s="17" t="n"/>
      <ns0:c r="G545" s="17" t="n"/>
      <ns0:c r="H545" s="17" t="n"/>
      <ns0:c r="I545" s="17" t="n"/>
      <ns0:c r="J545" s="17" t="n"/>
      <ns0:c r="K545" s="17" t="n"/>
      <ns0:c r="L545" s="17" t="n"/>
      <ns0:c r="M545" s="17" t="n"/>
      <ns0:c r="N545" s="17" t="n"/>
      <ns0:c r="O545" s="17" t="n"/>
      <ns0:c r="P545" s="17" t="n"/>
      <ns0:c r="Q545" s="17" t="n"/>
      <ns0:c r="R545" s="17" t="n"/>
      <ns0:c r="S545" s="17" t="n"/>
      <ns0:c r="T545" s="17" t="n"/>
      <ns0:c r="U545" s="17" t="n"/>
      <ns0:c r="V545" s="17" t="n"/>
      <ns0:c r="W545" s="17" t="n"/>
      <ns0:c r="X545" s="17" t="n"/>
      <ns0:c r="Y545" s="17" t="n"/>
      <ns0:c r="Z545" s="17" t="n"/>
      <ns0:c r="AA545" s="17" t="n"/>
      <ns0:c r="AB545" s="17" t="n"/>
      <ns0:c r="AC545" s="17" t="n"/>
      <ns0:c r="AD545" s="17" t="n"/>
      <ns0:c r="AE545" s="17" t="n"/>
      <ns0:c r="AF545" s="17" t="n"/>
      <ns0:c r="AG545" s="17" t="n"/>
    </ns0:row>
    <ns0:row r="546" ht="24" customHeight="1">
      <ns0:c r="D546" s="17" t="n"/>
      <ns0:c r="E546" s="17" t="n"/>
      <ns0:c r="F546" s="17" t="n"/>
      <ns0:c r="G546" s="17" t="n"/>
      <ns0:c r="H546" s="17" t="n"/>
      <ns0:c r="I546" s="17" t="n"/>
      <ns0:c r="J546" s="17" t="n"/>
      <ns0:c r="K546" s="17" t="n"/>
      <ns0:c r="L546" s="17" t="n"/>
      <ns0:c r="M546" s="17" t="n"/>
      <ns0:c r="N546" s="17" t="n"/>
      <ns0:c r="O546" s="17" t="n"/>
      <ns0:c r="P546" s="17" t="n"/>
      <ns0:c r="Q546" s="17" t="n"/>
      <ns0:c r="R546" s="17" t="n"/>
      <ns0:c r="S546" s="17" t="n"/>
      <ns0:c r="T546" s="17" t="n"/>
      <ns0:c r="U546" s="17" t="n"/>
      <ns0:c r="V546" s="17" t="n"/>
      <ns0:c r="W546" s="17" t="n"/>
      <ns0:c r="X546" s="17" t="n"/>
      <ns0:c r="Y546" s="17" t="n"/>
      <ns0:c r="Z546" s="17" t="n"/>
      <ns0:c r="AA546" s="17" t="n"/>
      <ns0:c r="AB546" s="17" t="n"/>
      <ns0:c r="AC546" s="17" t="n"/>
      <ns0:c r="AD546" s="17" t="n"/>
      <ns0:c r="AE546" s="17" t="n"/>
      <ns0:c r="AF546" s="17" t="n"/>
      <ns0:c r="AG546" s="17" t="n"/>
    </ns0:row>
    <ns0:row r="547" ht="24" customHeight="1">
      <ns0:c r="D547" s="17" t="n"/>
      <ns0:c r="E547" s="17" t="n"/>
      <ns0:c r="F547" s="17" t="n"/>
      <ns0:c r="G547" s="17" t="n"/>
      <ns0:c r="H547" s="17" t="n"/>
      <ns0:c r="I547" s="17" t="n"/>
      <ns0:c r="J547" s="17" t="n"/>
      <ns0:c r="K547" s="17" t="n"/>
      <ns0:c r="L547" s="17" t="n"/>
      <ns0:c r="M547" s="17" t="n"/>
      <ns0:c r="N547" s="17" t="n"/>
      <ns0:c r="O547" s="17" t="n"/>
      <ns0:c r="P547" s="17" t="n"/>
      <ns0:c r="Q547" s="17" t="n"/>
      <ns0:c r="R547" s="17" t="n"/>
      <ns0:c r="S547" s="17" t="n"/>
      <ns0:c r="T547" s="17" t="n"/>
      <ns0:c r="U547" s="17" t="n"/>
      <ns0:c r="V547" s="17" t="n"/>
      <ns0:c r="W547" s="17" t="n"/>
      <ns0:c r="X547" s="17" t="n"/>
      <ns0:c r="Y547" s="17" t="n"/>
      <ns0:c r="Z547" s="17" t="n"/>
      <ns0:c r="AA547" s="17" t="n"/>
      <ns0:c r="AB547" s="17" t="n"/>
      <ns0:c r="AC547" s="17" t="n"/>
      <ns0:c r="AD547" s="17" t="n"/>
      <ns0:c r="AE547" s="17" t="n"/>
      <ns0:c r="AF547" s="17" t="n"/>
      <ns0:c r="AG547" s="17" t="n"/>
    </ns0:row>
    <ns0:row r="548" ht="24" customHeight="1">
      <ns0:c r="D548" s="17" t="n"/>
      <ns0:c r="E548" s="17" t="n"/>
      <ns0:c r="F548" s="17" t="n"/>
      <ns0:c r="G548" s="17" t="n"/>
      <ns0:c r="H548" s="17" t="n"/>
      <ns0:c r="I548" s="17" t="n"/>
      <ns0:c r="J548" s="17" t="n"/>
      <ns0:c r="K548" s="17" t="n"/>
      <ns0:c r="L548" s="17" t="n"/>
      <ns0:c r="M548" s="17" t="n"/>
      <ns0:c r="N548" s="17" t="n"/>
      <ns0:c r="O548" s="17" t="n"/>
      <ns0:c r="P548" s="17" t="n"/>
      <ns0:c r="Q548" s="17" t="n"/>
      <ns0:c r="R548" s="17" t="n"/>
      <ns0:c r="S548" s="17" t="n"/>
      <ns0:c r="T548" s="17" t="n"/>
      <ns0:c r="U548" s="17" t="n"/>
      <ns0:c r="V548" s="17" t="n"/>
      <ns0:c r="W548" s="17" t="n"/>
      <ns0:c r="X548" s="17" t="n"/>
      <ns0:c r="Y548" s="17" t="n"/>
      <ns0:c r="Z548" s="17" t="n"/>
      <ns0:c r="AA548" s="17" t="n"/>
      <ns0:c r="AB548" s="17" t="n"/>
      <ns0:c r="AC548" s="17" t="n"/>
      <ns0:c r="AD548" s="17" t="n"/>
      <ns0:c r="AE548" s="17" t="n"/>
      <ns0:c r="AF548" s="17" t="n"/>
      <ns0:c r="AG548" s="17" t="n"/>
    </ns0:row>
    <ns0:row r="549" ht="24" customHeight="1">
      <ns0:c r="D549" s="17" t="n"/>
      <ns0:c r="E549" s="17" t="n"/>
      <ns0:c r="F549" s="17" t="n"/>
      <ns0:c r="G549" s="17" t="n"/>
      <ns0:c r="H549" s="17" t="n"/>
      <ns0:c r="I549" s="17" t="n"/>
      <ns0:c r="J549" s="17" t="n"/>
      <ns0:c r="K549" s="17" t="n"/>
      <ns0:c r="L549" s="17" t="n"/>
      <ns0:c r="M549" s="17" t="n"/>
      <ns0:c r="N549" s="17" t="n"/>
      <ns0:c r="O549" s="17" t="n"/>
      <ns0:c r="P549" s="17" t="n"/>
      <ns0:c r="Q549" s="17" t="n"/>
      <ns0:c r="R549" s="17" t="n"/>
      <ns0:c r="S549" s="17" t="n"/>
      <ns0:c r="T549" s="17" t="n"/>
      <ns0:c r="U549" s="17" t="n"/>
      <ns0:c r="V549" s="17" t="n"/>
      <ns0:c r="W549" s="17" t="n"/>
      <ns0:c r="X549" s="17" t="n"/>
      <ns0:c r="Y549" s="17" t="n"/>
      <ns0:c r="Z549" s="17" t="n"/>
      <ns0:c r="AA549" s="17" t="n"/>
      <ns0:c r="AB549" s="17" t="n"/>
      <ns0:c r="AC549" s="17" t="n"/>
      <ns0:c r="AD549" s="17" t="n"/>
      <ns0:c r="AE549" s="17" t="n"/>
      <ns0:c r="AF549" s="17" t="n"/>
      <ns0:c r="AG549" s="17" t="n"/>
    </ns0:row>
    <ns0:row r="550" ht="24" customHeight="1">
      <ns0:c r="D550" s="17" t="n"/>
      <ns0:c r="E550" s="17" t="n"/>
      <ns0:c r="F550" s="17" t="n"/>
      <ns0:c r="G550" s="17" t="n"/>
      <ns0:c r="H550" s="17" t="n"/>
      <ns0:c r="I550" s="17" t="n"/>
      <ns0:c r="J550" s="17" t="n"/>
      <ns0:c r="K550" s="17" t="n"/>
      <ns0:c r="L550" s="17" t="n"/>
      <ns0:c r="M550" s="17" t="n"/>
      <ns0:c r="N550" s="17" t="n"/>
      <ns0:c r="O550" s="17" t="n"/>
      <ns0:c r="P550" s="17" t="n"/>
      <ns0:c r="Q550" s="17" t="n"/>
      <ns0:c r="R550" s="17" t="n"/>
      <ns0:c r="S550" s="17" t="n"/>
      <ns0:c r="T550" s="17" t="n"/>
      <ns0:c r="U550" s="17" t="n"/>
      <ns0:c r="V550" s="17" t="n"/>
      <ns0:c r="W550" s="17" t="n"/>
      <ns0:c r="X550" s="17" t="n"/>
      <ns0:c r="Y550" s="17" t="n"/>
      <ns0:c r="Z550" s="17" t="n"/>
      <ns0:c r="AA550" s="17" t="n"/>
      <ns0:c r="AB550" s="17" t="n"/>
      <ns0:c r="AC550" s="17" t="n"/>
      <ns0:c r="AD550" s="17" t="n"/>
      <ns0:c r="AE550" s="17" t="n"/>
      <ns0:c r="AF550" s="17" t="n"/>
      <ns0:c r="AG550" s="17" t="n"/>
    </ns0:row>
    <ns0:row r="551" ht="24" customHeight="1">
      <ns0:c r="D551" s="17" t="n"/>
      <ns0:c r="E551" s="17" t="n"/>
      <ns0:c r="F551" s="17" t="n"/>
      <ns0:c r="G551" s="17" t="n"/>
      <ns0:c r="H551" s="17" t="n"/>
      <ns0:c r="I551" s="17" t="n"/>
      <ns0:c r="J551" s="17" t="n"/>
      <ns0:c r="K551" s="17" t="n"/>
      <ns0:c r="L551" s="17" t="n"/>
      <ns0:c r="M551" s="17" t="n"/>
      <ns0:c r="N551" s="17" t="n"/>
      <ns0:c r="O551" s="17" t="n"/>
      <ns0:c r="P551" s="17" t="n"/>
      <ns0:c r="Q551" s="17" t="n"/>
      <ns0:c r="R551" s="17" t="n"/>
      <ns0:c r="S551" s="17" t="n"/>
      <ns0:c r="T551" s="17" t="n"/>
      <ns0:c r="U551" s="17" t="n"/>
      <ns0:c r="V551" s="17" t="n"/>
      <ns0:c r="W551" s="17" t="n"/>
      <ns0:c r="X551" s="17" t="n"/>
      <ns0:c r="Y551" s="17" t="n"/>
      <ns0:c r="Z551" s="17" t="n"/>
      <ns0:c r="AA551" s="17" t="n"/>
      <ns0:c r="AB551" s="17" t="n"/>
      <ns0:c r="AC551" s="17" t="n"/>
      <ns0:c r="AD551" s="17" t="n"/>
      <ns0:c r="AE551" s="17" t="n"/>
      <ns0:c r="AF551" s="17" t="n"/>
      <ns0:c r="AG551" s="17" t="n"/>
    </ns0:row>
    <ns0:row r="552" ht="24" customHeight="1">
      <ns0:c r="D552" s="17" t="n"/>
      <ns0:c r="E552" s="17" t="n"/>
      <ns0:c r="F552" s="17" t="n"/>
      <ns0:c r="G552" s="17" t="n"/>
      <ns0:c r="H552" s="17" t="n"/>
      <ns0:c r="I552" s="17" t="n"/>
      <ns0:c r="J552" s="17" t="n"/>
      <ns0:c r="K552" s="17" t="n"/>
      <ns0:c r="L552" s="17" t="n"/>
      <ns0:c r="M552" s="17" t="n"/>
      <ns0:c r="N552" s="17" t="n"/>
      <ns0:c r="O552" s="17" t="n"/>
      <ns0:c r="P552" s="17" t="n"/>
      <ns0:c r="Q552" s="17" t="n"/>
      <ns0:c r="R552" s="17" t="n"/>
      <ns0:c r="S552" s="17" t="n"/>
      <ns0:c r="T552" s="17" t="n"/>
      <ns0:c r="U552" s="17" t="n"/>
      <ns0:c r="V552" s="17" t="n"/>
      <ns0:c r="W552" s="17" t="n"/>
      <ns0:c r="X552" s="17" t="n"/>
      <ns0:c r="Y552" s="17" t="n"/>
      <ns0:c r="Z552" s="17" t="n"/>
      <ns0:c r="AA552" s="17" t="n"/>
      <ns0:c r="AB552" s="17" t="n"/>
      <ns0:c r="AC552" s="17" t="n"/>
      <ns0:c r="AD552" s="17" t="n"/>
      <ns0:c r="AE552" s="17" t="n"/>
      <ns0:c r="AF552" s="17" t="n"/>
      <ns0:c r="AG552" s="17" t="n"/>
    </ns0:row>
    <ns0:row r="553" ht="24" customHeight="1">
      <ns0:c r="D553" s="17" t="n"/>
      <ns0:c r="E553" s="17" t="n"/>
      <ns0:c r="F553" s="17" t="n"/>
      <ns0:c r="G553" s="17" t="n"/>
      <ns0:c r="H553" s="17" t="n"/>
      <ns0:c r="I553" s="17" t="n"/>
      <ns0:c r="J553" s="17" t="n"/>
      <ns0:c r="K553" s="17" t="n"/>
      <ns0:c r="L553" s="17" t="n"/>
      <ns0:c r="M553" s="17" t="n"/>
      <ns0:c r="N553" s="17" t="n"/>
      <ns0:c r="O553" s="17" t="n"/>
      <ns0:c r="P553" s="17" t="n"/>
      <ns0:c r="Q553" s="17" t="n"/>
      <ns0:c r="R553" s="17" t="n"/>
      <ns0:c r="S553" s="17" t="n"/>
      <ns0:c r="T553" s="17" t="n"/>
      <ns0:c r="U553" s="17" t="n"/>
      <ns0:c r="V553" s="17" t="n"/>
      <ns0:c r="W553" s="17" t="n"/>
      <ns0:c r="X553" s="17" t="n"/>
      <ns0:c r="Y553" s="17" t="n"/>
      <ns0:c r="Z553" s="17" t="n"/>
      <ns0:c r="AA553" s="17" t="n"/>
      <ns0:c r="AB553" s="17" t="n"/>
      <ns0:c r="AC553" s="17" t="n"/>
      <ns0:c r="AD553" s="17" t="n"/>
      <ns0:c r="AE553" s="17" t="n"/>
      <ns0:c r="AF553" s="17" t="n"/>
      <ns0:c r="AG553" s="17" t="n"/>
    </ns0:row>
    <ns0:row r="554" ht="24" customHeight="1">
      <ns0:c r="D554" s="17" t="n"/>
      <ns0:c r="E554" s="17" t="n"/>
      <ns0:c r="F554" s="17" t="n"/>
      <ns0:c r="G554" s="17" t="n"/>
      <ns0:c r="H554" s="17" t="n"/>
      <ns0:c r="I554" s="17" t="n"/>
      <ns0:c r="J554" s="17" t="n"/>
      <ns0:c r="K554" s="17" t="n"/>
      <ns0:c r="L554" s="17" t="n"/>
      <ns0:c r="M554" s="17" t="n"/>
      <ns0:c r="N554" s="17" t="n"/>
      <ns0:c r="O554" s="17" t="n"/>
      <ns0:c r="P554" s="17" t="n"/>
      <ns0:c r="Q554" s="17" t="n"/>
      <ns0:c r="R554" s="17" t="n"/>
      <ns0:c r="S554" s="17" t="n"/>
      <ns0:c r="T554" s="17" t="n"/>
      <ns0:c r="U554" s="17" t="n"/>
      <ns0:c r="V554" s="17" t="n"/>
      <ns0:c r="W554" s="17" t="n"/>
      <ns0:c r="X554" s="17" t="n"/>
      <ns0:c r="Y554" s="17" t="n"/>
      <ns0:c r="Z554" s="17" t="n"/>
      <ns0:c r="AA554" s="17" t="n"/>
      <ns0:c r="AB554" s="17" t="n"/>
      <ns0:c r="AC554" s="17" t="n"/>
      <ns0:c r="AD554" s="17" t="n"/>
      <ns0:c r="AE554" s="17" t="n"/>
      <ns0:c r="AF554" s="17" t="n"/>
      <ns0:c r="AG554" s="17" t="n"/>
    </ns0:row>
    <ns0:row r="555" ht="24" customHeight="1">
      <ns0:c r="D555" s="17" t="n"/>
      <ns0:c r="E555" s="17" t="n"/>
      <ns0:c r="F555" s="17" t="n"/>
      <ns0:c r="G555" s="17" t="n"/>
      <ns0:c r="H555" s="17" t="n"/>
      <ns0:c r="I555" s="17" t="n"/>
      <ns0:c r="J555" s="17" t="n"/>
      <ns0:c r="K555" s="17" t="n"/>
      <ns0:c r="L555" s="17" t="n"/>
      <ns0:c r="M555" s="17" t="n"/>
      <ns0:c r="N555" s="17" t="n"/>
      <ns0:c r="O555" s="17" t="n"/>
      <ns0:c r="P555" s="17" t="n"/>
      <ns0:c r="Q555" s="17" t="n"/>
      <ns0:c r="R555" s="17" t="n"/>
      <ns0:c r="S555" s="17" t="n"/>
      <ns0:c r="T555" s="17" t="n"/>
      <ns0:c r="U555" s="17" t="n"/>
      <ns0:c r="V555" s="17" t="n"/>
      <ns0:c r="W555" s="17" t="n"/>
      <ns0:c r="X555" s="17" t="n"/>
      <ns0:c r="Y555" s="17" t="n"/>
      <ns0:c r="Z555" s="17" t="n"/>
      <ns0:c r="AA555" s="17" t="n"/>
      <ns0:c r="AB555" s="17" t="n"/>
      <ns0:c r="AC555" s="17" t="n"/>
      <ns0:c r="AD555" s="17" t="n"/>
      <ns0:c r="AE555" s="17" t="n"/>
      <ns0:c r="AF555" s="17" t="n"/>
      <ns0:c r="AG555" s="17" t="n"/>
    </ns0:row>
    <ns0:row r="556" ht="24" customHeight="1">
      <ns0:c r="D556" s="17" t="n"/>
      <ns0:c r="E556" s="17" t="n"/>
      <ns0:c r="F556" s="17" t="n"/>
      <ns0:c r="G556" s="17" t="n"/>
      <ns0:c r="H556" s="17" t="n"/>
      <ns0:c r="I556" s="17" t="n"/>
      <ns0:c r="J556" s="17" t="n"/>
      <ns0:c r="K556" s="17" t="n"/>
      <ns0:c r="L556" s="17" t="n"/>
      <ns0:c r="M556" s="17" t="n"/>
      <ns0:c r="N556" s="17" t="n"/>
      <ns0:c r="O556" s="17" t="n"/>
      <ns0:c r="P556" s="17" t="n"/>
      <ns0:c r="Q556" s="17" t="n"/>
      <ns0:c r="R556" s="17" t="n"/>
      <ns0:c r="S556" s="17" t="n"/>
      <ns0:c r="T556" s="17" t="n"/>
      <ns0:c r="U556" s="17" t="n"/>
      <ns0:c r="V556" s="17" t="n"/>
      <ns0:c r="W556" s="17" t="n"/>
      <ns0:c r="X556" s="17" t="n"/>
      <ns0:c r="Y556" s="17" t="n"/>
      <ns0:c r="Z556" s="17" t="n"/>
      <ns0:c r="AA556" s="17" t="n"/>
      <ns0:c r="AB556" s="17" t="n"/>
      <ns0:c r="AC556" s="17" t="n"/>
      <ns0:c r="AD556" s="17" t="n"/>
      <ns0:c r="AE556" s="17" t="n"/>
      <ns0:c r="AF556" s="17" t="n"/>
      <ns0:c r="AG556" s="17" t="n"/>
    </ns0:row>
    <ns0:row r="557" ht="24" customHeight="1">
      <ns0:c r="D557" s="17" t="n"/>
      <ns0:c r="E557" s="17" t="n"/>
      <ns0:c r="F557" s="17" t="n"/>
      <ns0:c r="G557" s="17" t="n"/>
      <ns0:c r="H557" s="17" t="n"/>
      <ns0:c r="I557" s="17" t="n"/>
      <ns0:c r="J557" s="17" t="n"/>
      <ns0:c r="K557" s="17" t="n"/>
      <ns0:c r="L557" s="17" t="n"/>
      <ns0:c r="M557" s="17" t="n"/>
      <ns0:c r="N557" s="17" t="n"/>
      <ns0:c r="O557" s="17" t="n"/>
      <ns0:c r="P557" s="17" t="n"/>
      <ns0:c r="Q557" s="17" t="n"/>
      <ns0:c r="R557" s="17" t="n"/>
      <ns0:c r="S557" s="17" t="n"/>
      <ns0:c r="T557" s="17" t="n"/>
      <ns0:c r="U557" s="17" t="n"/>
      <ns0:c r="V557" s="17" t="n"/>
      <ns0:c r="W557" s="17" t="n"/>
      <ns0:c r="X557" s="17" t="n"/>
      <ns0:c r="Y557" s="17" t="n"/>
      <ns0:c r="Z557" s="17" t="n"/>
      <ns0:c r="AA557" s="17" t="n"/>
      <ns0:c r="AB557" s="17" t="n"/>
      <ns0:c r="AC557" s="17" t="n"/>
      <ns0:c r="AD557" s="17" t="n"/>
      <ns0:c r="AE557" s="17" t="n"/>
      <ns0:c r="AF557" s="17" t="n"/>
      <ns0:c r="AG557" s="17" t="n"/>
    </ns0:row>
    <ns0:row r="558" ht="24" customHeight="1">
      <ns0:c r="D558" s="17" t="n"/>
      <ns0:c r="E558" s="17" t="n"/>
      <ns0:c r="F558" s="17" t="n"/>
      <ns0:c r="G558" s="17" t="n"/>
      <ns0:c r="H558" s="17" t="n"/>
      <ns0:c r="I558" s="17" t="n"/>
      <ns0:c r="J558" s="17" t="n"/>
      <ns0:c r="K558" s="17" t="n"/>
      <ns0:c r="L558" s="17" t="n"/>
      <ns0:c r="M558" s="17" t="n"/>
      <ns0:c r="N558" s="17" t="n"/>
      <ns0:c r="O558" s="17" t="n"/>
      <ns0:c r="P558" s="17" t="n"/>
      <ns0:c r="Q558" s="17" t="n"/>
      <ns0:c r="R558" s="17" t="n"/>
      <ns0:c r="S558" s="17" t="n"/>
      <ns0:c r="T558" s="17" t="n"/>
      <ns0:c r="U558" s="17" t="n"/>
      <ns0:c r="V558" s="17" t="n"/>
      <ns0:c r="W558" s="17" t="n"/>
      <ns0:c r="X558" s="17" t="n"/>
      <ns0:c r="Y558" s="17" t="n"/>
      <ns0:c r="Z558" s="17" t="n"/>
      <ns0:c r="AA558" s="17" t="n"/>
      <ns0:c r="AB558" s="17" t="n"/>
      <ns0:c r="AC558" s="17" t="n"/>
      <ns0:c r="AD558" s="17" t="n"/>
      <ns0:c r="AE558" s="17" t="n"/>
      <ns0:c r="AF558" s="17" t="n"/>
      <ns0:c r="AG558" s="17" t="n"/>
    </ns0:row>
    <ns0:row r="559" ht="24" customHeight="1">
      <ns0:c r="D559" s="17" t="n"/>
      <ns0:c r="E559" s="17" t="n"/>
      <ns0:c r="F559" s="17" t="n"/>
      <ns0:c r="G559" s="17" t="n"/>
      <ns0:c r="H559" s="17" t="n"/>
      <ns0:c r="I559" s="17" t="n"/>
      <ns0:c r="J559" s="17" t="n"/>
      <ns0:c r="K559" s="17" t="n"/>
      <ns0:c r="L559" s="17" t="n"/>
      <ns0:c r="M559" s="17" t="n"/>
      <ns0:c r="N559" s="17" t="n"/>
      <ns0:c r="O559" s="17" t="n"/>
      <ns0:c r="P559" s="17" t="n"/>
      <ns0:c r="Q559" s="17" t="n"/>
      <ns0:c r="R559" s="17" t="n"/>
      <ns0:c r="S559" s="17" t="n"/>
      <ns0:c r="T559" s="17" t="n"/>
      <ns0:c r="U559" s="17" t="n"/>
      <ns0:c r="V559" s="17" t="n"/>
      <ns0:c r="W559" s="17" t="n"/>
      <ns0:c r="X559" s="17" t="n"/>
      <ns0:c r="Y559" s="17" t="n"/>
      <ns0:c r="Z559" s="17" t="n"/>
      <ns0:c r="AA559" s="17" t="n"/>
      <ns0:c r="AB559" s="17" t="n"/>
      <ns0:c r="AC559" s="17" t="n"/>
      <ns0:c r="AD559" s="17" t="n"/>
      <ns0:c r="AE559" s="17" t="n"/>
      <ns0:c r="AF559" s="17" t="n"/>
      <ns0:c r="AG559" s="17" t="n"/>
    </ns0:row>
    <ns0:row r="560" ht="24" customHeight="1">
      <ns0:c r="D560" s="17" t="n"/>
      <ns0:c r="E560" s="17" t="n"/>
      <ns0:c r="F560" s="17" t="n"/>
      <ns0:c r="G560" s="17" t="n"/>
      <ns0:c r="H560" s="17" t="n"/>
      <ns0:c r="I560" s="17" t="n"/>
      <ns0:c r="J560" s="17" t="n"/>
      <ns0:c r="K560" s="17" t="n"/>
      <ns0:c r="L560" s="17" t="n"/>
      <ns0:c r="M560" s="17" t="n"/>
      <ns0:c r="N560" s="17" t="n"/>
      <ns0:c r="O560" s="17" t="n"/>
      <ns0:c r="P560" s="17" t="n"/>
      <ns0:c r="Q560" s="17" t="n"/>
      <ns0:c r="R560" s="17" t="n"/>
      <ns0:c r="S560" s="17" t="n"/>
      <ns0:c r="T560" s="17" t="n"/>
      <ns0:c r="U560" s="17" t="n"/>
      <ns0:c r="V560" s="17" t="n"/>
      <ns0:c r="W560" s="17" t="n"/>
      <ns0:c r="X560" s="17" t="n"/>
      <ns0:c r="Y560" s="17" t="n"/>
      <ns0:c r="Z560" s="17" t="n"/>
      <ns0:c r="AA560" s="17" t="n"/>
      <ns0:c r="AB560" s="17" t="n"/>
      <ns0:c r="AC560" s="17" t="n"/>
      <ns0:c r="AD560" s="17" t="n"/>
      <ns0:c r="AE560" s="17" t="n"/>
      <ns0:c r="AF560" s="17" t="n"/>
      <ns0:c r="AG560" s="17" t="n"/>
    </ns0:row>
    <ns0:row r="561" ht="24" customHeight="1">
      <ns0:c r="D561" s="17" t="n"/>
      <ns0:c r="E561" s="17" t="n"/>
      <ns0:c r="F561" s="17" t="n"/>
      <ns0:c r="G561" s="17" t="n"/>
      <ns0:c r="H561" s="17" t="n"/>
      <ns0:c r="I561" s="17" t="n"/>
      <ns0:c r="J561" s="17" t="n"/>
      <ns0:c r="K561" s="17" t="n"/>
      <ns0:c r="L561" s="17" t="n"/>
      <ns0:c r="M561" s="17" t="n"/>
      <ns0:c r="N561" s="17" t="n"/>
      <ns0:c r="O561" s="17" t="n"/>
      <ns0:c r="P561" s="17" t="n"/>
      <ns0:c r="Q561" s="17" t="n"/>
      <ns0:c r="R561" s="17" t="n"/>
      <ns0:c r="S561" s="17" t="n"/>
      <ns0:c r="T561" s="17" t="n"/>
      <ns0:c r="U561" s="17" t="n"/>
      <ns0:c r="V561" s="17" t="n"/>
      <ns0:c r="W561" s="17" t="n"/>
      <ns0:c r="X561" s="17" t="n"/>
      <ns0:c r="Y561" s="17" t="n"/>
      <ns0:c r="Z561" s="17" t="n"/>
      <ns0:c r="AA561" s="17" t="n"/>
      <ns0:c r="AB561" s="17" t="n"/>
      <ns0:c r="AC561" s="17" t="n"/>
      <ns0:c r="AD561" s="17" t="n"/>
      <ns0:c r="AE561" s="17" t="n"/>
      <ns0:c r="AF561" s="17" t="n"/>
      <ns0:c r="AG561" s="17" t="n"/>
    </ns0:row>
    <ns0:row r="562" ht="24" customHeight="1">
      <ns0:c r="D562" s="17" t="n"/>
      <ns0:c r="E562" s="17" t="n"/>
      <ns0:c r="F562" s="17" t="n"/>
      <ns0:c r="G562" s="17" t="n"/>
      <ns0:c r="H562" s="17" t="n"/>
      <ns0:c r="I562" s="17" t="n"/>
      <ns0:c r="J562" s="17" t="n"/>
      <ns0:c r="K562" s="17" t="n"/>
      <ns0:c r="L562" s="17" t="n"/>
      <ns0:c r="M562" s="17" t="n"/>
      <ns0:c r="N562" s="17" t="n"/>
      <ns0:c r="O562" s="17" t="n"/>
      <ns0:c r="P562" s="17" t="n"/>
      <ns0:c r="Q562" s="17" t="n"/>
      <ns0:c r="R562" s="17" t="n"/>
      <ns0:c r="S562" s="17" t="n"/>
      <ns0:c r="T562" s="17" t="n"/>
      <ns0:c r="U562" s="17" t="n"/>
      <ns0:c r="V562" s="17" t="n"/>
      <ns0:c r="W562" s="17" t="n"/>
      <ns0:c r="X562" s="17" t="n"/>
      <ns0:c r="Y562" s="17" t="n"/>
      <ns0:c r="Z562" s="17" t="n"/>
      <ns0:c r="AA562" s="17" t="n"/>
      <ns0:c r="AB562" s="17" t="n"/>
      <ns0:c r="AC562" s="17" t="n"/>
      <ns0:c r="AD562" s="17" t="n"/>
      <ns0:c r="AE562" s="17" t="n"/>
      <ns0:c r="AF562" s="17" t="n"/>
      <ns0:c r="AG562" s="17" t="n"/>
    </ns0:row>
    <ns0:row r="563" ht="24" customHeight="1">
      <ns0:c r="D563" s="17" t="n"/>
      <ns0:c r="E563" s="17" t="n"/>
      <ns0:c r="F563" s="17" t="n"/>
      <ns0:c r="G563" s="17" t="n"/>
      <ns0:c r="H563" s="17" t="n"/>
      <ns0:c r="I563" s="17" t="n"/>
      <ns0:c r="J563" s="17" t="n"/>
      <ns0:c r="K563" s="17" t="n"/>
      <ns0:c r="L563" s="17" t="n"/>
      <ns0:c r="M563" s="17" t="n"/>
      <ns0:c r="N563" s="17" t="n"/>
      <ns0:c r="O563" s="17" t="n"/>
      <ns0:c r="P563" s="17" t="n"/>
      <ns0:c r="Q563" s="17" t="n"/>
      <ns0:c r="R563" s="17" t="n"/>
      <ns0:c r="S563" s="17" t="n"/>
      <ns0:c r="T563" s="17" t="n"/>
      <ns0:c r="U563" s="17" t="n"/>
      <ns0:c r="V563" s="17" t="n"/>
      <ns0:c r="W563" s="17" t="n"/>
      <ns0:c r="X563" s="17" t="n"/>
      <ns0:c r="Y563" s="17" t="n"/>
      <ns0:c r="Z563" s="17" t="n"/>
      <ns0:c r="AA563" s="17" t="n"/>
      <ns0:c r="AB563" s="17" t="n"/>
      <ns0:c r="AC563" s="17" t="n"/>
      <ns0:c r="AD563" s="17" t="n"/>
      <ns0:c r="AE563" s="17" t="n"/>
      <ns0:c r="AF563" s="17" t="n"/>
      <ns0:c r="AG563" s="17" t="n"/>
    </ns0:row>
    <ns0:row r="564" ht="24" customHeight="1">
      <ns0:c r="D564" s="17" t="n"/>
      <ns0:c r="E564" s="17" t="n"/>
      <ns0:c r="F564" s="17" t="n"/>
      <ns0:c r="G564" s="17" t="n"/>
      <ns0:c r="H564" s="17" t="n"/>
      <ns0:c r="I564" s="17" t="n"/>
      <ns0:c r="J564" s="17" t="n"/>
      <ns0:c r="K564" s="17" t="n"/>
      <ns0:c r="L564" s="17" t="n"/>
      <ns0:c r="M564" s="17" t="n"/>
      <ns0:c r="N564" s="17" t="n"/>
      <ns0:c r="O564" s="17" t="n"/>
      <ns0:c r="P564" s="17" t="n"/>
      <ns0:c r="Q564" s="17" t="n"/>
      <ns0:c r="R564" s="17" t="n"/>
      <ns0:c r="S564" s="17" t="n"/>
      <ns0:c r="T564" s="17" t="n"/>
      <ns0:c r="U564" s="17" t="n"/>
      <ns0:c r="V564" s="17" t="n"/>
      <ns0:c r="W564" s="17" t="n"/>
      <ns0:c r="X564" s="17" t="n"/>
      <ns0:c r="Y564" s="17" t="n"/>
      <ns0:c r="Z564" s="17" t="n"/>
      <ns0:c r="AA564" s="17" t="n"/>
      <ns0:c r="AB564" s="17" t="n"/>
      <ns0:c r="AC564" s="17" t="n"/>
      <ns0:c r="AD564" s="17" t="n"/>
      <ns0:c r="AE564" s="17" t="n"/>
      <ns0:c r="AF564" s="17" t="n"/>
      <ns0:c r="AG564" s="17" t="n"/>
    </ns0:row>
    <ns0:row r="565" ht="24" customHeight="1">
      <ns0:c r="D565" s="17" t="n"/>
      <ns0:c r="E565" s="17" t="n"/>
      <ns0:c r="F565" s="17" t="n"/>
      <ns0:c r="G565" s="17" t="n"/>
      <ns0:c r="H565" s="17" t="n"/>
      <ns0:c r="I565" s="17" t="n"/>
      <ns0:c r="J565" s="17" t="n"/>
      <ns0:c r="K565" s="17" t="n"/>
      <ns0:c r="L565" s="17" t="n"/>
      <ns0:c r="M565" s="17" t="n"/>
      <ns0:c r="N565" s="17" t="n"/>
      <ns0:c r="O565" s="17" t="n"/>
      <ns0:c r="P565" s="17" t="n"/>
      <ns0:c r="Q565" s="17" t="n"/>
      <ns0:c r="R565" s="17" t="n"/>
      <ns0:c r="S565" s="17" t="n"/>
      <ns0:c r="T565" s="17" t="n"/>
      <ns0:c r="U565" s="17" t="n"/>
      <ns0:c r="V565" s="17" t="n"/>
      <ns0:c r="W565" s="17" t="n"/>
      <ns0:c r="X565" s="17" t="n"/>
      <ns0:c r="Y565" s="17" t="n"/>
      <ns0:c r="Z565" s="17" t="n"/>
      <ns0:c r="AA565" s="17" t="n"/>
      <ns0:c r="AB565" s="17" t="n"/>
      <ns0:c r="AC565" s="17" t="n"/>
      <ns0:c r="AD565" s="17" t="n"/>
      <ns0:c r="AE565" s="17" t="n"/>
      <ns0:c r="AF565" s="17" t="n"/>
      <ns0:c r="AG565" s="17" t="n"/>
    </ns0:row>
    <ns0:row r="566" ht="24" customHeight="1">
      <ns0:c r="D566" s="17" t="n"/>
      <ns0:c r="E566" s="17" t="n"/>
      <ns0:c r="F566" s="17" t="n"/>
      <ns0:c r="G566" s="17" t="n"/>
      <ns0:c r="H566" s="17" t="n"/>
      <ns0:c r="I566" s="17" t="n"/>
      <ns0:c r="J566" s="17" t="n"/>
      <ns0:c r="K566" s="17" t="n"/>
      <ns0:c r="L566" s="17" t="n"/>
      <ns0:c r="M566" s="17" t="n"/>
      <ns0:c r="N566" s="17" t="n"/>
      <ns0:c r="O566" s="17" t="n"/>
      <ns0:c r="P566" s="17" t="n"/>
      <ns0:c r="Q566" s="17" t="n"/>
      <ns0:c r="R566" s="17" t="n"/>
      <ns0:c r="S566" s="17" t="n"/>
      <ns0:c r="T566" s="17" t="n"/>
      <ns0:c r="U566" s="17" t="n"/>
      <ns0:c r="V566" s="17" t="n"/>
      <ns0:c r="W566" s="17" t="n"/>
      <ns0:c r="X566" s="17" t="n"/>
      <ns0:c r="Y566" s="17" t="n"/>
      <ns0:c r="Z566" s="17" t="n"/>
      <ns0:c r="AA566" s="17" t="n"/>
      <ns0:c r="AB566" s="17" t="n"/>
      <ns0:c r="AC566" s="17" t="n"/>
      <ns0:c r="AD566" s="17" t="n"/>
      <ns0:c r="AE566" s="17" t="n"/>
      <ns0:c r="AF566" s="17" t="n"/>
      <ns0:c r="AG566" s="17" t="n"/>
    </ns0:row>
    <ns0:row r="567" ht="24" customHeight="1">
      <ns0:c r="D567" s="17" t="n"/>
      <ns0:c r="E567" s="17" t="n"/>
      <ns0:c r="F567" s="17" t="n"/>
      <ns0:c r="G567" s="17" t="n"/>
      <ns0:c r="H567" s="17" t="n"/>
      <ns0:c r="I567" s="17" t="n"/>
      <ns0:c r="J567" s="17" t="n"/>
      <ns0:c r="K567" s="17" t="n"/>
      <ns0:c r="L567" s="17" t="n"/>
      <ns0:c r="M567" s="17" t="n"/>
      <ns0:c r="N567" s="17" t="n"/>
      <ns0:c r="O567" s="17" t="n"/>
      <ns0:c r="P567" s="17" t="n"/>
      <ns0:c r="Q567" s="17" t="n"/>
      <ns0:c r="R567" s="17" t="n"/>
      <ns0:c r="S567" s="17" t="n"/>
      <ns0:c r="T567" s="17" t="n"/>
      <ns0:c r="U567" s="17" t="n"/>
      <ns0:c r="V567" s="17" t="n"/>
      <ns0:c r="W567" s="17" t="n"/>
      <ns0:c r="X567" s="17" t="n"/>
      <ns0:c r="Y567" s="17" t="n"/>
      <ns0:c r="Z567" s="17" t="n"/>
      <ns0:c r="AA567" s="17" t="n"/>
      <ns0:c r="AB567" s="17" t="n"/>
      <ns0:c r="AC567" s="17" t="n"/>
      <ns0:c r="AD567" s="17" t="n"/>
      <ns0:c r="AE567" s="17" t="n"/>
      <ns0:c r="AF567" s="17" t="n"/>
      <ns0:c r="AG567" s="17" t="n"/>
    </ns0:row>
    <ns0:row r="568" ht="24" customHeight="1">
      <ns0:c r="D568" s="17" t="n"/>
      <ns0:c r="E568" s="17" t="n"/>
      <ns0:c r="F568" s="17" t="n"/>
      <ns0:c r="G568" s="17" t="n"/>
      <ns0:c r="H568" s="17" t="n"/>
      <ns0:c r="I568" s="17" t="n"/>
      <ns0:c r="J568" s="17" t="n"/>
      <ns0:c r="K568" s="17" t="n"/>
      <ns0:c r="L568" s="17" t="n"/>
      <ns0:c r="M568" s="17" t="n"/>
      <ns0:c r="N568" s="17" t="n"/>
      <ns0:c r="O568" s="17" t="n"/>
      <ns0:c r="P568" s="17" t="n"/>
      <ns0:c r="Q568" s="17" t="n"/>
      <ns0:c r="R568" s="17" t="n"/>
      <ns0:c r="S568" s="17" t="n"/>
      <ns0:c r="T568" s="17" t="n"/>
      <ns0:c r="U568" s="17" t="n"/>
      <ns0:c r="V568" s="17" t="n"/>
      <ns0:c r="W568" s="17" t="n"/>
      <ns0:c r="X568" s="17" t="n"/>
      <ns0:c r="Y568" s="17" t="n"/>
      <ns0:c r="Z568" s="17" t="n"/>
      <ns0:c r="AA568" s="17" t="n"/>
      <ns0:c r="AB568" s="17" t="n"/>
      <ns0:c r="AC568" s="17" t="n"/>
      <ns0:c r="AD568" s="17" t="n"/>
      <ns0:c r="AE568" s="17" t="n"/>
      <ns0:c r="AF568" s="17" t="n"/>
      <ns0:c r="AG568" s="17" t="n"/>
    </ns0:row>
    <ns0:row r="569" ht="24" customHeight="1">
      <ns0:c r="D569" s="17" t="n"/>
      <ns0:c r="E569" s="17" t="n"/>
      <ns0:c r="F569" s="17" t="n"/>
      <ns0:c r="G569" s="17" t="n"/>
      <ns0:c r="H569" s="17" t="n"/>
      <ns0:c r="I569" s="17" t="n"/>
      <ns0:c r="J569" s="17" t="n"/>
      <ns0:c r="K569" s="17" t="n"/>
      <ns0:c r="L569" s="17" t="n"/>
      <ns0:c r="M569" s="17" t="n"/>
      <ns0:c r="N569" s="17" t="n"/>
      <ns0:c r="O569" s="17" t="n"/>
      <ns0:c r="P569" s="17" t="n"/>
      <ns0:c r="Q569" s="17" t="n"/>
      <ns0:c r="R569" s="17" t="n"/>
      <ns0:c r="S569" s="17" t="n"/>
      <ns0:c r="T569" s="17" t="n"/>
      <ns0:c r="U569" s="17" t="n"/>
      <ns0:c r="V569" s="17" t="n"/>
      <ns0:c r="W569" s="17" t="n"/>
      <ns0:c r="X569" s="17" t="n"/>
      <ns0:c r="Y569" s="17" t="n"/>
      <ns0:c r="Z569" s="17" t="n"/>
      <ns0:c r="AA569" s="17" t="n"/>
      <ns0:c r="AB569" s="17" t="n"/>
      <ns0:c r="AC569" s="17" t="n"/>
      <ns0:c r="AD569" s="17" t="n"/>
      <ns0:c r="AE569" s="17" t="n"/>
      <ns0:c r="AF569" s="17" t="n"/>
      <ns0:c r="AG569" s="17" t="n"/>
    </ns0:row>
    <ns0:row r="570" ht="24" customHeight="1">
      <ns0:c r="D570" s="17" t="n"/>
      <ns0:c r="E570" s="17" t="n"/>
      <ns0:c r="F570" s="17" t="n"/>
      <ns0:c r="G570" s="17" t="n"/>
      <ns0:c r="H570" s="17" t="n"/>
      <ns0:c r="I570" s="17" t="n"/>
      <ns0:c r="J570" s="17" t="n"/>
      <ns0:c r="K570" s="17" t="n"/>
      <ns0:c r="L570" s="17" t="n"/>
      <ns0:c r="M570" s="17" t="n"/>
      <ns0:c r="N570" s="17" t="n"/>
      <ns0:c r="O570" s="17" t="n"/>
      <ns0:c r="P570" s="17" t="n"/>
      <ns0:c r="Q570" s="17" t="n"/>
      <ns0:c r="R570" s="17" t="n"/>
      <ns0:c r="S570" s="17" t="n"/>
      <ns0:c r="T570" s="17" t="n"/>
      <ns0:c r="U570" s="17" t="n"/>
      <ns0:c r="V570" s="17" t="n"/>
      <ns0:c r="W570" s="17" t="n"/>
      <ns0:c r="X570" s="17" t="n"/>
      <ns0:c r="Y570" s="17" t="n"/>
      <ns0:c r="Z570" s="17" t="n"/>
      <ns0:c r="AA570" s="17" t="n"/>
      <ns0:c r="AB570" s="17" t="n"/>
      <ns0:c r="AC570" s="17" t="n"/>
      <ns0:c r="AD570" s="17" t="n"/>
      <ns0:c r="AE570" s="17" t="n"/>
      <ns0:c r="AF570" s="17" t="n"/>
      <ns0:c r="AG570" s="17" t="n"/>
    </ns0:row>
    <ns0:row r="571" ht="24" customHeight="1">
      <ns0:c r="D571" s="17" t="n"/>
      <ns0:c r="E571" s="17" t="n"/>
      <ns0:c r="F571" s="17" t="n"/>
      <ns0:c r="G571" s="17" t="n"/>
      <ns0:c r="H571" s="17" t="n"/>
      <ns0:c r="I571" s="17" t="n"/>
      <ns0:c r="J571" s="17" t="n"/>
      <ns0:c r="K571" s="17" t="n"/>
      <ns0:c r="L571" s="17" t="n"/>
      <ns0:c r="M571" s="17" t="n"/>
      <ns0:c r="N571" s="17" t="n"/>
      <ns0:c r="O571" s="17" t="n"/>
      <ns0:c r="P571" s="17" t="n"/>
      <ns0:c r="Q571" s="17" t="n"/>
      <ns0:c r="R571" s="17" t="n"/>
      <ns0:c r="S571" s="17" t="n"/>
      <ns0:c r="T571" s="17" t="n"/>
      <ns0:c r="U571" s="17" t="n"/>
      <ns0:c r="V571" s="17" t="n"/>
      <ns0:c r="W571" s="17" t="n"/>
      <ns0:c r="X571" s="17" t="n"/>
      <ns0:c r="Y571" s="17" t="n"/>
      <ns0:c r="Z571" s="17" t="n"/>
      <ns0:c r="AA571" s="17" t="n"/>
      <ns0:c r="AB571" s="17" t="n"/>
      <ns0:c r="AC571" s="17" t="n"/>
      <ns0:c r="AD571" s="17" t="n"/>
      <ns0:c r="AE571" s="17" t="n"/>
      <ns0:c r="AF571" s="17" t="n"/>
      <ns0:c r="AG571" s="17" t="n"/>
    </ns0:row>
    <ns0:row r="572" ht="24" customHeight="1">
      <ns0:c r="D572" s="17" t="n"/>
      <ns0:c r="E572" s="17" t="n"/>
      <ns0:c r="F572" s="17" t="n"/>
      <ns0:c r="G572" s="17" t="n"/>
      <ns0:c r="H572" s="17" t="n"/>
      <ns0:c r="I572" s="17" t="n"/>
      <ns0:c r="J572" s="17" t="n"/>
      <ns0:c r="K572" s="17" t="n"/>
      <ns0:c r="L572" s="17" t="n"/>
      <ns0:c r="M572" s="17" t="n"/>
      <ns0:c r="N572" s="17" t="n"/>
      <ns0:c r="O572" s="17" t="n"/>
      <ns0:c r="P572" s="17" t="n"/>
      <ns0:c r="Q572" s="17" t="n"/>
      <ns0:c r="R572" s="17" t="n"/>
      <ns0:c r="S572" s="17" t="n"/>
      <ns0:c r="T572" s="17" t="n"/>
      <ns0:c r="U572" s="17" t="n"/>
      <ns0:c r="V572" s="17" t="n"/>
      <ns0:c r="W572" s="17" t="n"/>
      <ns0:c r="X572" s="17" t="n"/>
      <ns0:c r="Y572" s="17" t="n"/>
      <ns0:c r="Z572" s="17" t="n"/>
      <ns0:c r="AA572" s="17" t="n"/>
      <ns0:c r="AB572" s="17" t="n"/>
      <ns0:c r="AC572" s="17" t="n"/>
      <ns0:c r="AD572" s="17" t="n"/>
      <ns0:c r="AE572" s="17" t="n"/>
      <ns0:c r="AF572" s="17" t="n"/>
      <ns0:c r="AG572" s="17" t="n"/>
    </ns0:row>
    <ns0:row r="573" ht="24" customHeight="1">
      <ns0:c r="D573" s="17" t="n"/>
      <ns0:c r="E573" s="17" t="n"/>
      <ns0:c r="F573" s="17" t="n"/>
      <ns0:c r="G573" s="17" t="n"/>
      <ns0:c r="H573" s="17" t="n"/>
      <ns0:c r="I573" s="17" t="n"/>
      <ns0:c r="J573" s="17" t="n"/>
      <ns0:c r="K573" s="17" t="n"/>
      <ns0:c r="L573" s="17" t="n"/>
      <ns0:c r="M573" s="17" t="n"/>
      <ns0:c r="N573" s="17" t="n"/>
      <ns0:c r="O573" s="17" t="n"/>
      <ns0:c r="P573" s="17" t="n"/>
      <ns0:c r="Q573" s="17" t="n"/>
      <ns0:c r="R573" s="17" t="n"/>
      <ns0:c r="S573" s="17" t="n"/>
      <ns0:c r="T573" s="17" t="n"/>
      <ns0:c r="U573" s="17" t="n"/>
      <ns0:c r="V573" s="17" t="n"/>
      <ns0:c r="W573" s="17" t="n"/>
      <ns0:c r="X573" s="17" t="n"/>
      <ns0:c r="Y573" s="17" t="n"/>
      <ns0:c r="Z573" s="17" t="n"/>
      <ns0:c r="AA573" s="17" t="n"/>
      <ns0:c r="AB573" s="17" t="n"/>
      <ns0:c r="AC573" s="17" t="n"/>
      <ns0:c r="AD573" s="17" t="n"/>
      <ns0:c r="AE573" s="17" t="n"/>
      <ns0:c r="AF573" s="17" t="n"/>
      <ns0:c r="AG573" s="17" t="n"/>
    </ns0:row>
    <ns0:row r="574" ht="24" customHeight="1">
      <ns0:c r="D574" s="17" t="n"/>
      <ns0:c r="E574" s="17" t="n"/>
      <ns0:c r="F574" s="17" t="n"/>
      <ns0:c r="G574" s="17" t="n"/>
      <ns0:c r="H574" s="17" t="n"/>
      <ns0:c r="I574" s="17" t="n"/>
      <ns0:c r="J574" s="17" t="n"/>
      <ns0:c r="K574" s="17" t="n"/>
      <ns0:c r="L574" s="17" t="n"/>
      <ns0:c r="M574" s="17" t="n"/>
      <ns0:c r="N574" s="17" t="n"/>
      <ns0:c r="O574" s="17" t="n"/>
      <ns0:c r="P574" s="17" t="n"/>
      <ns0:c r="Q574" s="17" t="n"/>
      <ns0:c r="R574" s="17" t="n"/>
      <ns0:c r="S574" s="17" t="n"/>
      <ns0:c r="T574" s="17" t="n"/>
      <ns0:c r="U574" s="17" t="n"/>
      <ns0:c r="V574" s="17" t="n"/>
      <ns0:c r="W574" s="17" t="n"/>
      <ns0:c r="X574" s="17" t="n"/>
      <ns0:c r="Y574" s="17" t="n"/>
      <ns0:c r="Z574" s="17" t="n"/>
      <ns0:c r="AA574" s="17" t="n"/>
      <ns0:c r="AB574" s="17" t="n"/>
      <ns0:c r="AC574" s="17" t="n"/>
      <ns0:c r="AD574" s="17" t="n"/>
      <ns0:c r="AE574" s="17" t="n"/>
      <ns0:c r="AF574" s="17" t="n"/>
      <ns0:c r="AG574" s="17" t="n"/>
    </ns0:row>
    <ns0:row r="575" ht="24" customHeight="1">
      <ns0:c r="D575" s="17" t="n"/>
      <ns0:c r="E575" s="17" t="n"/>
      <ns0:c r="F575" s="17" t="n"/>
      <ns0:c r="G575" s="17" t="n"/>
      <ns0:c r="H575" s="17" t="n"/>
      <ns0:c r="I575" s="17" t="n"/>
      <ns0:c r="J575" s="17" t="n"/>
      <ns0:c r="K575" s="17" t="n"/>
      <ns0:c r="L575" s="17" t="n"/>
      <ns0:c r="M575" s="17" t="n"/>
      <ns0:c r="N575" s="17" t="n"/>
      <ns0:c r="O575" s="17" t="n"/>
      <ns0:c r="P575" s="17" t="n"/>
      <ns0:c r="Q575" s="17" t="n"/>
      <ns0:c r="R575" s="17" t="n"/>
      <ns0:c r="S575" s="17" t="n"/>
      <ns0:c r="T575" s="17" t="n"/>
      <ns0:c r="U575" s="17" t="n"/>
      <ns0:c r="V575" s="17" t="n"/>
      <ns0:c r="W575" s="17" t="n"/>
      <ns0:c r="X575" s="17" t="n"/>
      <ns0:c r="Y575" s="17" t="n"/>
      <ns0:c r="Z575" s="17" t="n"/>
      <ns0:c r="AA575" s="17" t="n"/>
      <ns0:c r="AB575" s="17" t="n"/>
      <ns0:c r="AC575" s="17" t="n"/>
      <ns0:c r="AD575" s="17" t="n"/>
      <ns0:c r="AE575" s="17" t="n"/>
      <ns0:c r="AF575" s="17" t="n"/>
      <ns0:c r="AG575" s="17" t="n"/>
    </ns0:row>
    <ns0:row r="576" ht="24" customHeight="1">
      <ns0:c r="D576" s="17" t="n"/>
      <ns0:c r="E576" s="17" t="n"/>
      <ns0:c r="F576" s="17" t="n"/>
      <ns0:c r="G576" s="17" t="n"/>
      <ns0:c r="H576" s="17" t="n"/>
      <ns0:c r="I576" s="17" t="n"/>
      <ns0:c r="J576" s="17" t="n"/>
      <ns0:c r="K576" s="17" t="n"/>
      <ns0:c r="L576" s="17" t="n"/>
      <ns0:c r="M576" s="17" t="n"/>
      <ns0:c r="N576" s="17" t="n"/>
      <ns0:c r="O576" s="17" t="n"/>
      <ns0:c r="P576" s="17" t="n"/>
      <ns0:c r="Q576" s="17" t="n"/>
      <ns0:c r="R576" s="17" t="n"/>
      <ns0:c r="S576" s="17" t="n"/>
      <ns0:c r="T576" s="17" t="n"/>
      <ns0:c r="U576" s="17" t="n"/>
      <ns0:c r="V576" s="17" t="n"/>
      <ns0:c r="W576" s="17" t="n"/>
      <ns0:c r="X576" s="17" t="n"/>
      <ns0:c r="Y576" s="17" t="n"/>
      <ns0:c r="Z576" s="17" t="n"/>
      <ns0:c r="AA576" s="17" t="n"/>
      <ns0:c r="AB576" s="17" t="n"/>
      <ns0:c r="AC576" s="17" t="n"/>
      <ns0:c r="AD576" s="17" t="n"/>
      <ns0:c r="AE576" s="17" t="n"/>
      <ns0:c r="AF576" s="17" t="n"/>
      <ns0:c r="AG576" s="17" t="n"/>
    </ns0:row>
    <ns0:row r="577" ht="24" customHeight="1">
      <ns0:c r="D577" s="17" t="n"/>
      <ns0:c r="E577" s="17" t="n"/>
      <ns0:c r="F577" s="17" t="n"/>
      <ns0:c r="G577" s="17" t="n"/>
      <ns0:c r="H577" s="17" t="n"/>
      <ns0:c r="I577" s="17" t="n"/>
      <ns0:c r="J577" s="17" t="n"/>
      <ns0:c r="K577" s="17" t="n"/>
      <ns0:c r="L577" s="17" t="n"/>
      <ns0:c r="M577" s="17" t="n"/>
      <ns0:c r="N577" s="17" t="n"/>
      <ns0:c r="O577" s="17" t="n"/>
      <ns0:c r="P577" s="17" t="n"/>
      <ns0:c r="Q577" s="17" t="n"/>
      <ns0:c r="R577" s="17" t="n"/>
      <ns0:c r="S577" s="17" t="n"/>
      <ns0:c r="T577" s="17" t="n"/>
      <ns0:c r="U577" s="17" t="n"/>
      <ns0:c r="V577" s="17" t="n"/>
      <ns0:c r="W577" s="17" t="n"/>
      <ns0:c r="X577" s="17" t="n"/>
      <ns0:c r="Y577" s="17" t="n"/>
      <ns0:c r="Z577" s="17" t="n"/>
      <ns0:c r="AA577" s="17" t="n"/>
      <ns0:c r="AB577" s="17" t="n"/>
      <ns0:c r="AC577" s="17" t="n"/>
      <ns0:c r="AD577" s="17" t="n"/>
      <ns0:c r="AE577" s="17" t="n"/>
      <ns0:c r="AF577" s="17" t="n"/>
      <ns0:c r="AG577" s="17" t="n"/>
    </ns0:row>
    <ns0:row r="578" ht="24" customHeight="1">
      <ns0:c r="D578" s="17" t="n"/>
      <ns0:c r="E578" s="17" t="n"/>
      <ns0:c r="F578" s="17" t="n"/>
      <ns0:c r="G578" s="17" t="n"/>
      <ns0:c r="H578" s="17" t="n"/>
      <ns0:c r="I578" s="17" t="n"/>
      <ns0:c r="J578" s="17" t="n"/>
      <ns0:c r="K578" s="17" t="n"/>
      <ns0:c r="L578" s="17" t="n"/>
      <ns0:c r="M578" s="17" t="n"/>
      <ns0:c r="N578" s="17" t="n"/>
      <ns0:c r="O578" s="17" t="n"/>
      <ns0:c r="P578" s="17" t="n"/>
      <ns0:c r="Q578" s="17" t="n"/>
      <ns0:c r="R578" s="17" t="n"/>
      <ns0:c r="S578" s="17" t="n"/>
      <ns0:c r="T578" s="17" t="n"/>
      <ns0:c r="U578" s="17" t="n"/>
      <ns0:c r="V578" s="17" t="n"/>
      <ns0:c r="W578" s="17" t="n"/>
      <ns0:c r="X578" s="17" t="n"/>
      <ns0:c r="Y578" s="17" t="n"/>
      <ns0:c r="Z578" s="17" t="n"/>
      <ns0:c r="AA578" s="17" t="n"/>
      <ns0:c r="AB578" s="17" t="n"/>
      <ns0:c r="AC578" s="17" t="n"/>
      <ns0:c r="AD578" s="17" t="n"/>
      <ns0:c r="AE578" s="17" t="n"/>
      <ns0:c r="AF578" s="17" t="n"/>
      <ns0:c r="AG578" s="17" t="n"/>
    </ns0:row>
    <ns0:row r="579" ht="24" customHeight="1">
      <ns0:c r="D579" s="17" t="n"/>
      <ns0:c r="E579" s="17" t="n"/>
      <ns0:c r="F579" s="17" t="n"/>
      <ns0:c r="G579" s="17" t="n"/>
      <ns0:c r="H579" s="17" t="n"/>
      <ns0:c r="I579" s="17" t="n"/>
      <ns0:c r="J579" s="17" t="n"/>
      <ns0:c r="K579" s="17" t="n"/>
      <ns0:c r="L579" s="17" t="n"/>
      <ns0:c r="M579" s="17" t="n"/>
      <ns0:c r="N579" s="17" t="n"/>
      <ns0:c r="O579" s="17" t="n"/>
      <ns0:c r="P579" s="17" t="n"/>
      <ns0:c r="Q579" s="17" t="n"/>
      <ns0:c r="R579" s="17" t="n"/>
      <ns0:c r="S579" s="17" t="n"/>
      <ns0:c r="T579" s="17" t="n"/>
      <ns0:c r="U579" s="17" t="n"/>
      <ns0:c r="V579" s="17" t="n"/>
      <ns0:c r="W579" s="17" t="n"/>
      <ns0:c r="X579" s="17" t="n"/>
      <ns0:c r="Y579" s="17" t="n"/>
      <ns0:c r="Z579" s="17" t="n"/>
      <ns0:c r="AA579" s="17" t="n"/>
      <ns0:c r="AB579" s="17" t="n"/>
      <ns0:c r="AC579" s="17" t="n"/>
      <ns0:c r="AD579" s="17" t="n"/>
      <ns0:c r="AE579" s="17" t="n"/>
      <ns0:c r="AF579" s="17" t="n"/>
      <ns0:c r="AG579" s="17" t="n"/>
    </ns0:row>
    <ns0:row r="580" ht="24" customHeight="1">
      <ns0:c r="D580" s="17" t="n"/>
      <ns0:c r="E580" s="17" t="n"/>
      <ns0:c r="F580" s="17" t="n"/>
      <ns0:c r="G580" s="17" t="n"/>
      <ns0:c r="H580" s="17" t="n"/>
      <ns0:c r="I580" s="17" t="n"/>
      <ns0:c r="J580" s="17" t="n"/>
      <ns0:c r="K580" s="17" t="n"/>
      <ns0:c r="L580" s="17" t="n"/>
      <ns0:c r="M580" s="17" t="n"/>
      <ns0:c r="N580" s="17" t="n"/>
      <ns0:c r="O580" s="17" t="n"/>
      <ns0:c r="P580" s="17" t="n"/>
      <ns0:c r="Q580" s="17" t="n"/>
      <ns0:c r="R580" s="17" t="n"/>
      <ns0:c r="S580" s="17" t="n"/>
      <ns0:c r="T580" s="17" t="n"/>
      <ns0:c r="U580" s="17" t="n"/>
      <ns0:c r="V580" s="17" t="n"/>
      <ns0:c r="W580" s="17" t="n"/>
      <ns0:c r="X580" s="17" t="n"/>
      <ns0:c r="Y580" s="17" t="n"/>
      <ns0:c r="Z580" s="17" t="n"/>
      <ns0:c r="AA580" s="17" t="n"/>
      <ns0:c r="AB580" s="17" t="n"/>
      <ns0:c r="AC580" s="17" t="n"/>
      <ns0:c r="AD580" s="17" t="n"/>
      <ns0:c r="AE580" s="17" t="n"/>
      <ns0:c r="AF580" s="17" t="n"/>
      <ns0:c r="AG580" s="17" t="n"/>
    </ns0:row>
    <ns0:row r="581" ht="24" customHeight="1">
      <ns0:c r="D581" s="17" t="n"/>
      <ns0:c r="E581" s="17" t="n"/>
      <ns0:c r="F581" s="17" t="n"/>
      <ns0:c r="G581" s="17" t="n"/>
      <ns0:c r="H581" s="17" t="n"/>
      <ns0:c r="I581" s="17" t="n"/>
      <ns0:c r="J581" s="17" t="n"/>
      <ns0:c r="K581" s="17" t="n"/>
      <ns0:c r="L581" s="17" t="n"/>
      <ns0:c r="M581" s="17" t="n"/>
      <ns0:c r="N581" s="17" t="n"/>
      <ns0:c r="O581" s="17" t="n"/>
      <ns0:c r="P581" s="17" t="n"/>
      <ns0:c r="Q581" s="17" t="n"/>
      <ns0:c r="R581" s="17" t="n"/>
      <ns0:c r="S581" s="17" t="n"/>
      <ns0:c r="T581" s="17" t="n"/>
      <ns0:c r="U581" s="17" t="n"/>
      <ns0:c r="V581" s="17" t="n"/>
      <ns0:c r="W581" s="17" t="n"/>
      <ns0:c r="X581" s="17" t="n"/>
      <ns0:c r="Y581" s="17" t="n"/>
      <ns0:c r="Z581" s="17" t="n"/>
      <ns0:c r="AA581" s="17" t="n"/>
      <ns0:c r="AB581" s="17" t="n"/>
      <ns0:c r="AC581" s="17" t="n"/>
      <ns0:c r="AD581" s="17" t="n"/>
      <ns0:c r="AE581" s="17" t="n"/>
      <ns0:c r="AF581" s="17" t="n"/>
      <ns0:c r="AG581" s="17" t="n"/>
    </ns0:row>
    <ns0:row r="582" ht="24" customHeight="1">
      <ns0:c r="D582" s="17" t="n"/>
      <ns0:c r="E582" s="17" t="n"/>
      <ns0:c r="F582" s="17" t="n"/>
      <ns0:c r="G582" s="17" t="n"/>
      <ns0:c r="H582" s="17" t="n"/>
      <ns0:c r="I582" s="17" t="n"/>
      <ns0:c r="J582" s="17" t="n"/>
      <ns0:c r="K582" s="17" t="n"/>
      <ns0:c r="L582" s="17" t="n"/>
      <ns0:c r="M582" s="17" t="n"/>
      <ns0:c r="N582" s="17" t="n"/>
      <ns0:c r="O582" s="17" t="n"/>
      <ns0:c r="P582" s="17" t="n"/>
      <ns0:c r="Q582" s="17" t="n"/>
      <ns0:c r="R582" s="17" t="n"/>
      <ns0:c r="S582" s="17" t="n"/>
      <ns0:c r="T582" s="17" t="n"/>
      <ns0:c r="U582" s="17" t="n"/>
      <ns0:c r="V582" s="17" t="n"/>
      <ns0:c r="W582" s="17" t="n"/>
      <ns0:c r="X582" s="17" t="n"/>
      <ns0:c r="Y582" s="17" t="n"/>
      <ns0:c r="Z582" s="17" t="n"/>
      <ns0:c r="AA582" s="17" t="n"/>
      <ns0:c r="AB582" s="17" t="n"/>
      <ns0:c r="AC582" s="17" t="n"/>
      <ns0:c r="AD582" s="17" t="n"/>
      <ns0:c r="AE582" s="17" t="n"/>
      <ns0:c r="AF582" s="17" t="n"/>
      <ns0:c r="AG582" s="17" t="n"/>
    </ns0:row>
    <ns0:row r="583" ht="24" customHeight="1">
      <ns0:c r="D583" s="17" t="n"/>
      <ns0:c r="E583" s="17" t="n"/>
      <ns0:c r="F583" s="17" t="n"/>
      <ns0:c r="G583" s="17" t="n"/>
      <ns0:c r="H583" s="17" t="n"/>
      <ns0:c r="I583" s="17" t="n"/>
      <ns0:c r="J583" s="17" t="n"/>
      <ns0:c r="K583" s="17" t="n"/>
      <ns0:c r="L583" s="17" t="n"/>
      <ns0:c r="M583" s="17" t="n"/>
      <ns0:c r="N583" s="17" t="n"/>
      <ns0:c r="O583" s="17" t="n"/>
      <ns0:c r="P583" s="17" t="n"/>
      <ns0:c r="Q583" s="17" t="n"/>
      <ns0:c r="R583" s="17" t="n"/>
      <ns0:c r="S583" s="17" t="n"/>
      <ns0:c r="T583" s="17" t="n"/>
      <ns0:c r="U583" s="17" t="n"/>
      <ns0:c r="V583" s="17" t="n"/>
      <ns0:c r="W583" s="17" t="n"/>
      <ns0:c r="X583" s="17" t="n"/>
      <ns0:c r="Y583" s="17" t="n"/>
      <ns0:c r="Z583" s="17" t="n"/>
      <ns0:c r="AA583" s="17" t="n"/>
      <ns0:c r="AB583" s="17" t="n"/>
      <ns0:c r="AC583" s="17" t="n"/>
      <ns0:c r="AD583" s="17" t="n"/>
      <ns0:c r="AE583" s="17" t="n"/>
      <ns0:c r="AF583" s="17" t="n"/>
      <ns0:c r="AG583" s="17" t="n"/>
    </ns0:row>
    <ns0:row r="584" ht="24" customHeight="1">
      <ns0:c r="D584" s="17" t="n"/>
      <ns0:c r="E584" s="17" t="n"/>
      <ns0:c r="F584" s="17" t="n"/>
      <ns0:c r="G584" s="17" t="n"/>
      <ns0:c r="H584" s="17" t="n"/>
      <ns0:c r="I584" s="17" t="n"/>
      <ns0:c r="J584" s="17" t="n"/>
      <ns0:c r="K584" s="17" t="n"/>
      <ns0:c r="L584" s="17" t="n"/>
      <ns0:c r="M584" s="17" t="n"/>
      <ns0:c r="N584" s="17" t="n"/>
      <ns0:c r="O584" s="17" t="n"/>
      <ns0:c r="P584" s="17" t="n"/>
      <ns0:c r="Q584" s="17" t="n"/>
      <ns0:c r="R584" s="17" t="n"/>
      <ns0:c r="S584" s="17" t="n"/>
      <ns0:c r="T584" s="17" t="n"/>
      <ns0:c r="U584" s="17" t="n"/>
      <ns0:c r="V584" s="17" t="n"/>
      <ns0:c r="W584" s="17" t="n"/>
      <ns0:c r="X584" s="17" t="n"/>
      <ns0:c r="Y584" s="17" t="n"/>
      <ns0:c r="Z584" s="17" t="n"/>
      <ns0:c r="AA584" s="17" t="n"/>
      <ns0:c r="AB584" s="17" t="n"/>
      <ns0:c r="AC584" s="17" t="n"/>
      <ns0:c r="AD584" s="17" t="n"/>
      <ns0:c r="AE584" s="17" t="n"/>
      <ns0:c r="AF584" s="17" t="n"/>
      <ns0:c r="AG584" s="17" t="n"/>
    </ns0:row>
    <ns0:row r="585" ht="24" customHeight="1">
      <ns0:c r="D585" s="17" t="n"/>
      <ns0:c r="E585" s="17" t="n"/>
      <ns0:c r="F585" s="17" t="n"/>
      <ns0:c r="G585" s="17" t="n"/>
      <ns0:c r="H585" s="17" t="n"/>
      <ns0:c r="I585" s="17" t="n"/>
      <ns0:c r="J585" s="17" t="n"/>
      <ns0:c r="K585" s="17" t="n"/>
      <ns0:c r="L585" s="17" t="n"/>
      <ns0:c r="M585" s="17" t="n"/>
      <ns0:c r="N585" s="17" t="n"/>
      <ns0:c r="O585" s="17" t="n"/>
      <ns0:c r="P585" s="17" t="n"/>
      <ns0:c r="Q585" s="17" t="n"/>
      <ns0:c r="R585" s="17" t="n"/>
      <ns0:c r="S585" s="17" t="n"/>
      <ns0:c r="T585" s="17" t="n"/>
      <ns0:c r="U585" s="17" t="n"/>
      <ns0:c r="V585" s="17" t="n"/>
      <ns0:c r="W585" s="17" t="n"/>
      <ns0:c r="X585" s="17" t="n"/>
      <ns0:c r="Y585" s="17" t="n"/>
      <ns0:c r="Z585" s="17" t="n"/>
      <ns0:c r="AA585" s="17" t="n"/>
      <ns0:c r="AB585" s="17" t="n"/>
      <ns0:c r="AC585" s="17" t="n"/>
      <ns0:c r="AD585" s="17" t="n"/>
      <ns0:c r="AE585" s="17" t="n"/>
      <ns0:c r="AF585" s="17" t="n"/>
      <ns0:c r="AG585" s="17" t="n"/>
    </ns0:row>
    <ns0:row r="586" ht="24" customHeight="1">
      <ns0:c r="D586" s="17" t="n"/>
      <ns0:c r="E586" s="17" t="n"/>
      <ns0:c r="F586" s="17" t="n"/>
      <ns0:c r="G586" s="17" t="n"/>
      <ns0:c r="H586" s="17" t="n"/>
      <ns0:c r="I586" s="17" t="n"/>
      <ns0:c r="J586" s="17" t="n"/>
      <ns0:c r="K586" s="17" t="n"/>
      <ns0:c r="L586" s="17" t="n"/>
      <ns0:c r="M586" s="17" t="n"/>
      <ns0:c r="N586" s="17" t="n"/>
      <ns0:c r="O586" s="17" t="n"/>
      <ns0:c r="P586" s="17" t="n"/>
      <ns0:c r="Q586" s="17" t="n"/>
      <ns0:c r="R586" s="17" t="n"/>
      <ns0:c r="S586" s="17" t="n"/>
      <ns0:c r="T586" s="17" t="n"/>
      <ns0:c r="U586" s="17" t="n"/>
      <ns0:c r="V586" s="17" t="n"/>
      <ns0:c r="W586" s="17" t="n"/>
      <ns0:c r="X586" s="17" t="n"/>
      <ns0:c r="Y586" s="17" t="n"/>
      <ns0:c r="Z586" s="17" t="n"/>
      <ns0:c r="AA586" s="17" t="n"/>
      <ns0:c r="AB586" s="17" t="n"/>
      <ns0:c r="AC586" s="17" t="n"/>
      <ns0:c r="AD586" s="17" t="n"/>
      <ns0:c r="AE586" s="17" t="n"/>
      <ns0:c r="AF586" s="17" t="n"/>
      <ns0:c r="AG586" s="17" t="n"/>
    </ns0:row>
    <ns0:row r="587" ht="24" customHeight="1">
      <ns0:c r="D587" s="17" t="n"/>
      <ns0:c r="E587" s="17" t="n"/>
      <ns0:c r="F587" s="17" t="n"/>
      <ns0:c r="G587" s="17" t="n"/>
      <ns0:c r="H587" s="17" t="n"/>
      <ns0:c r="I587" s="17" t="n"/>
      <ns0:c r="J587" s="17" t="n"/>
      <ns0:c r="K587" s="17" t="n"/>
      <ns0:c r="L587" s="17" t="n"/>
      <ns0:c r="M587" s="17" t="n"/>
      <ns0:c r="N587" s="17" t="n"/>
      <ns0:c r="O587" s="17" t="n"/>
      <ns0:c r="P587" s="17" t="n"/>
      <ns0:c r="Q587" s="17" t="n"/>
      <ns0:c r="R587" s="17" t="n"/>
      <ns0:c r="S587" s="17" t="n"/>
      <ns0:c r="T587" s="17" t="n"/>
      <ns0:c r="U587" s="17" t="n"/>
      <ns0:c r="V587" s="17" t="n"/>
      <ns0:c r="W587" s="17" t="n"/>
      <ns0:c r="X587" s="17" t="n"/>
      <ns0:c r="Y587" s="17" t="n"/>
      <ns0:c r="Z587" s="17" t="n"/>
      <ns0:c r="AA587" s="17" t="n"/>
      <ns0:c r="AB587" s="17" t="n"/>
      <ns0:c r="AC587" s="17" t="n"/>
      <ns0:c r="AD587" s="17" t="n"/>
      <ns0:c r="AE587" s="17" t="n"/>
      <ns0:c r="AF587" s="17" t="n"/>
      <ns0:c r="AG587" s="17" t="n"/>
    </ns0:row>
    <ns0:row r="588" ht="24" customHeight="1">
      <ns0:c r="D588" s="17" t="n"/>
      <ns0:c r="E588" s="17" t="n"/>
      <ns0:c r="F588" s="17" t="n"/>
      <ns0:c r="G588" s="17" t="n"/>
      <ns0:c r="H588" s="17" t="n"/>
      <ns0:c r="I588" s="17" t="n"/>
      <ns0:c r="J588" s="17" t="n"/>
      <ns0:c r="K588" s="17" t="n"/>
      <ns0:c r="L588" s="17" t="n"/>
      <ns0:c r="M588" s="17" t="n"/>
      <ns0:c r="N588" s="17" t="n"/>
      <ns0:c r="O588" s="17" t="n"/>
      <ns0:c r="P588" s="17" t="n"/>
      <ns0:c r="Q588" s="17" t="n"/>
      <ns0:c r="R588" s="17" t="n"/>
      <ns0:c r="S588" s="17" t="n"/>
      <ns0:c r="T588" s="17" t="n"/>
      <ns0:c r="U588" s="17" t="n"/>
      <ns0:c r="V588" s="17" t="n"/>
      <ns0:c r="W588" s="17" t="n"/>
      <ns0:c r="X588" s="17" t="n"/>
      <ns0:c r="Y588" s="17" t="n"/>
      <ns0:c r="Z588" s="17" t="n"/>
      <ns0:c r="AA588" s="17" t="n"/>
      <ns0:c r="AB588" s="17" t="n"/>
      <ns0:c r="AC588" s="17" t="n"/>
      <ns0:c r="AD588" s="17" t="n"/>
      <ns0:c r="AE588" s="17" t="n"/>
      <ns0:c r="AF588" s="17" t="n"/>
      <ns0:c r="AG588" s="17" t="n"/>
    </ns0:row>
    <ns0:row r="589" ht="24" customHeight="1">
      <ns0:c r="D589" s="17" t="n"/>
      <ns0:c r="E589" s="17" t="n"/>
      <ns0:c r="F589" s="17" t="n"/>
      <ns0:c r="G589" s="17" t="n"/>
      <ns0:c r="H589" s="17" t="n"/>
      <ns0:c r="I589" s="17" t="n"/>
      <ns0:c r="J589" s="17" t="n"/>
      <ns0:c r="K589" s="17" t="n"/>
      <ns0:c r="L589" s="17" t="n"/>
      <ns0:c r="M589" s="17" t="n"/>
      <ns0:c r="N589" s="17" t="n"/>
      <ns0:c r="O589" s="17" t="n"/>
      <ns0:c r="P589" s="17" t="n"/>
      <ns0:c r="Q589" s="17" t="n"/>
      <ns0:c r="R589" s="17" t="n"/>
      <ns0:c r="S589" s="17" t="n"/>
      <ns0:c r="T589" s="17" t="n"/>
      <ns0:c r="U589" s="17" t="n"/>
      <ns0:c r="V589" s="17" t="n"/>
      <ns0:c r="W589" s="17" t="n"/>
      <ns0:c r="X589" s="17" t="n"/>
      <ns0:c r="Y589" s="17" t="n"/>
      <ns0:c r="Z589" s="17" t="n"/>
      <ns0:c r="AA589" s="17" t="n"/>
      <ns0:c r="AB589" s="17" t="n"/>
      <ns0:c r="AC589" s="17" t="n"/>
      <ns0:c r="AD589" s="17" t="n"/>
      <ns0:c r="AE589" s="17" t="n"/>
      <ns0:c r="AF589" s="17" t="n"/>
      <ns0:c r="AG589" s="17" t="n"/>
    </ns0:row>
    <ns0:row r="590" ht="24" customHeight="1">
      <ns0:c r="D590" s="17" t="n"/>
      <ns0:c r="E590" s="17" t="n"/>
      <ns0:c r="F590" s="17" t="n"/>
      <ns0:c r="G590" s="17" t="n"/>
      <ns0:c r="H590" s="17" t="n"/>
      <ns0:c r="I590" s="17" t="n"/>
      <ns0:c r="J590" s="17" t="n"/>
      <ns0:c r="K590" s="17" t="n"/>
      <ns0:c r="L590" s="17" t="n"/>
      <ns0:c r="M590" s="17" t="n"/>
      <ns0:c r="N590" s="17" t="n"/>
      <ns0:c r="O590" s="17" t="n"/>
      <ns0:c r="P590" s="17" t="n"/>
      <ns0:c r="Q590" s="17" t="n"/>
      <ns0:c r="R590" s="17" t="n"/>
      <ns0:c r="S590" s="17" t="n"/>
      <ns0:c r="T590" s="17" t="n"/>
      <ns0:c r="U590" s="17" t="n"/>
      <ns0:c r="V590" s="17" t="n"/>
      <ns0:c r="W590" s="17" t="n"/>
      <ns0:c r="X590" s="17" t="n"/>
      <ns0:c r="Y590" s="17" t="n"/>
      <ns0:c r="Z590" s="17" t="n"/>
      <ns0:c r="AA590" s="17" t="n"/>
      <ns0:c r="AB590" s="17" t="n"/>
      <ns0:c r="AC590" s="17" t="n"/>
      <ns0:c r="AD590" s="17" t="n"/>
      <ns0:c r="AE590" s="17" t="n"/>
      <ns0:c r="AF590" s="17" t="n"/>
      <ns0:c r="AG590" s="17" t="n"/>
    </ns0:row>
    <ns0:row r="591" ht="24" customHeight="1">
      <ns0:c r="D591" s="17" t="n"/>
      <ns0:c r="E591" s="17" t="n"/>
      <ns0:c r="F591" s="17" t="n"/>
      <ns0:c r="G591" s="17" t="n"/>
      <ns0:c r="H591" s="17" t="n"/>
      <ns0:c r="I591" s="17" t="n"/>
      <ns0:c r="J591" s="17" t="n"/>
      <ns0:c r="K591" s="17" t="n"/>
      <ns0:c r="L591" s="17" t="n"/>
      <ns0:c r="M591" s="17" t="n"/>
      <ns0:c r="N591" s="17" t="n"/>
      <ns0:c r="O591" s="17" t="n"/>
      <ns0:c r="P591" s="17" t="n"/>
      <ns0:c r="Q591" s="17" t="n"/>
      <ns0:c r="R591" s="17" t="n"/>
      <ns0:c r="S591" s="17" t="n"/>
      <ns0:c r="T591" s="17" t="n"/>
      <ns0:c r="U591" s="17" t="n"/>
      <ns0:c r="V591" s="17" t="n"/>
      <ns0:c r="W591" s="17" t="n"/>
      <ns0:c r="X591" s="17" t="n"/>
      <ns0:c r="Y591" s="17" t="n"/>
      <ns0:c r="Z591" s="17" t="n"/>
      <ns0:c r="AA591" s="17" t="n"/>
      <ns0:c r="AB591" s="17" t="n"/>
      <ns0:c r="AC591" s="17" t="n"/>
      <ns0:c r="AD591" s="17" t="n"/>
      <ns0:c r="AE591" s="17" t="n"/>
      <ns0:c r="AF591" s="17" t="n"/>
      <ns0:c r="AG591" s="17" t="n"/>
    </ns0:row>
    <ns0:row r="592" ht="24" customHeight="1">
      <ns0:c r="D592" s="17" t="n"/>
      <ns0:c r="E592" s="17" t="n"/>
      <ns0:c r="F592" s="17" t="n"/>
      <ns0:c r="G592" s="17" t="n"/>
      <ns0:c r="H592" s="17" t="n"/>
      <ns0:c r="I592" s="17" t="n"/>
      <ns0:c r="J592" s="17" t="n"/>
      <ns0:c r="K592" s="17" t="n"/>
      <ns0:c r="L592" s="17" t="n"/>
      <ns0:c r="M592" s="17" t="n"/>
      <ns0:c r="N592" s="17" t="n"/>
      <ns0:c r="O592" s="17" t="n"/>
      <ns0:c r="P592" s="17" t="n"/>
      <ns0:c r="Q592" s="17" t="n"/>
      <ns0:c r="R592" s="17" t="n"/>
      <ns0:c r="S592" s="17" t="n"/>
      <ns0:c r="T592" s="17" t="n"/>
      <ns0:c r="U592" s="17" t="n"/>
      <ns0:c r="V592" s="17" t="n"/>
      <ns0:c r="W592" s="17" t="n"/>
      <ns0:c r="X592" s="17" t="n"/>
      <ns0:c r="Y592" s="17" t="n"/>
      <ns0:c r="Z592" s="17" t="n"/>
      <ns0:c r="AA592" s="17" t="n"/>
      <ns0:c r="AB592" s="17" t="n"/>
      <ns0:c r="AC592" s="17" t="n"/>
      <ns0:c r="AD592" s="17" t="n"/>
      <ns0:c r="AE592" s="17" t="n"/>
      <ns0:c r="AF592" s="17" t="n"/>
      <ns0:c r="AG592" s="17" t="n"/>
    </ns0:row>
    <ns0:row r="593" ht="24" customHeight="1">
      <ns0:c r="D593" s="17" t="n"/>
      <ns0:c r="E593" s="17" t="n"/>
      <ns0:c r="F593" s="17" t="n"/>
      <ns0:c r="G593" s="17" t="n"/>
      <ns0:c r="H593" s="17" t="n"/>
      <ns0:c r="I593" s="17" t="n"/>
      <ns0:c r="J593" s="17" t="n"/>
      <ns0:c r="K593" s="17" t="n"/>
      <ns0:c r="L593" s="17" t="n"/>
      <ns0:c r="M593" s="17" t="n"/>
      <ns0:c r="N593" s="17" t="n"/>
      <ns0:c r="O593" s="17" t="n"/>
      <ns0:c r="P593" s="17" t="n"/>
      <ns0:c r="Q593" s="17" t="n"/>
      <ns0:c r="R593" s="17" t="n"/>
      <ns0:c r="S593" s="17" t="n"/>
      <ns0:c r="T593" s="17" t="n"/>
      <ns0:c r="U593" s="17" t="n"/>
      <ns0:c r="V593" s="17" t="n"/>
      <ns0:c r="W593" s="17" t="n"/>
      <ns0:c r="X593" s="17" t="n"/>
      <ns0:c r="Y593" s="17" t="n"/>
      <ns0:c r="Z593" s="17" t="n"/>
      <ns0:c r="AA593" s="17" t="n"/>
      <ns0:c r="AB593" s="17" t="n"/>
      <ns0:c r="AC593" s="17" t="n"/>
      <ns0:c r="AD593" s="17" t="n"/>
      <ns0:c r="AE593" s="17" t="n"/>
      <ns0:c r="AF593" s="17" t="n"/>
      <ns0:c r="AG593" s="17" t="n"/>
    </ns0:row>
    <ns0:row r="594" ht="24" customHeight="1">
      <ns0:c r="D594" s="17" t="n"/>
      <ns0:c r="E594" s="17" t="n"/>
      <ns0:c r="F594" s="17" t="n"/>
      <ns0:c r="G594" s="17" t="n"/>
      <ns0:c r="H594" s="17" t="n"/>
      <ns0:c r="I594" s="17" t="n"/>
      <ns0:c r="J594" s="17" t="n"/>
      <ns0:c r="K594" s="17" t="n"/>
      <ns0:c r="L594" s="17" t="n"/>
      <ns0:c r="M594" s="17" t="n"/>
      <ns0:c r="N594" s="17" t="n"/>
      <ns0:c r="O594" s="17" t="n"/>
      <ns0:c r="P594" s="17" t="n"/>
      <ns0:c r="Q594" s="17" t="n"/>
      <ns0:c r="R594" s="17" t="n"/>
      <ns0:c r="S594" s="17" t="n"/>
      <ns0:c r="T594" s="17" t="n"/>
      <ns0:c r="U594" s="17" t="n"/>
      <ns0:c r="V594" s="17" t="n"/>
      <ns0:c r="W594" s="17" t="n"/>
      <ns0:c r="X594" s="17" t="n"/>
      <ns0:c r="Y594" s="17" t="n"/>
      <ns0:c r="Z594" s="17" t="n"/>
      <ns0:c r="AA594" s="17" t="n"/>
      <ns0:c r="AB594" s="17" t="n"/>
      <ns0:c r="AC594" s="17" t="n"/>
      <ns0:c r="AD594" s="17" t="n"/>
      <ns0:c r="AE594" s="17" t="n"/>
      <ns0:c r="AF594" s="17" t="n"/>
      <ns0:c r="AG594" s="17" t="n"/>
    </ns0:row>
    <ns0:row r="595" ht="24" customHeight="1">
      <ns0:c r="D595" s="17" t="n"/>
      <ns0:c r="E595" s="17" t="n"/>
      <ns0:c r="F595" s="17" t="n"/>
      <ns0:c r="G595" s="17" t="n"/>
      <ns0:c r="H595" s="17" t="n"/>
      <ns0:c r="I595" s="17" t="n"/>
      <ns0:c r="J595" s="17" t="n"/>
      <ns0:c r="K595" s="17" t="n"/>
      <ns0:c r="L595" s="17" t="n"/>
      <ns0:c r="M595" s="17" t="n"/>
      <ns0:c r="N595" s="17" t="n"/>
      <ns0:c r="O595" s="17" t="n"/>
      <ns0:c r="P595" s="17" t="n"/>
      <ns0:c r="Q595" s="17" t="n"/>
      <ns0:c r="R595" s="17" t="n"/>
      <ns0:c r="S595" s="17" t="n"/>
      <ns0:c r="T595" s="17" t="n"/>
      <ns0:c r="U595" s="17" t="n"/>
      <ns0:c r="V595" s="17" t="n"/>
      <ns0:c r="W595" s="17" t="n"/>
      <ns0:c r="X595" s="17" t="n"/>
      <ns0:c r="Y595" s="17" t="n"/>
      <ns0:c r="Z595" s="17" t="n"/>
      <ns0:c r="AA595" s="17" t="n"/>
      <ns0:c r="AB595" s="17" t="n"/>
      <ns0:c r="AC595" s="17" t="n"/>
      <ns0:c r="AD595" s="17" t="n"/>
      <ns0:c r="AE595" s="17" t="n"/>
      <ns0:c r="AF595" s="17" t="n"/>
      <ns0:c r="AG595" s="17" t="n"/>
    </ns0:row>
    <ns0:row r="596" ht="24" customHeight="1">
      <ns0:c r="D596" s="17" t="n"/>
      <ns0:c r="E596" s="17" t="n"/>
      <ns0:c r="F596" s="17" t="n"/>
      <ns0:c r="G596" s="17" t="n"/>
      <ns0:c r="H596" s="17" t="n"/>
      <ns0:c r="I596" s="17" t="n"/>
      <ns0:c r="J596" s="17" t="n"/>
      <ns0:c r="K596" s="17" t="n"/>
      <ns0:c r="L596" s="17" t="n"/>
      <ns0:c r="M596" s="17" t="n"/>
      <ns0:c r="N596" s="17" t="n"/>
      <ns0:c r="O596" s="17" t="n"/>
      <ns0:c r="P596" s="17" t="n"/>
      <ns0:c r="Q596" s="17" t="n"/>
      <ns0:c r="R596" s="17" t="n"/>
      <ns0:c r="S596" s="17" t="n"/>
      <ns0:c r="T596" s="17" t="n"/>
      <ns0:c r="U596" s="17" t="n"/>
      <ns0:c r="V596" s="17" t="n"/>
      <ns0:c r="W596" s="17" t="n"/>
      <ns0:c r="X596" s="17" t="n"/>
      <ns0:c r="Y596" s="17" t="n"/>
      <ns0:c r="Z596" s="17" t="n"/>
      <ns0:c r="AA596" s="17" t="n"/>
      <ns0:c r="AB596" s="17" t="n"/>
      <ns0:c r="AC596" s="17" t="n"/>
      <ns0:c r="AD596" s="17" t="n"/>
      <ns0:c r="AE596" s="17" t="n"/>
      <ns0:c r="AF596" s="17" t="n"/>
      <ns0:c r="AG596" s="17" t="n"/>
    </ns0:row>
    <ns0:row r="597" ht="24" customHeight="1">
      <ns0:c r="D597" s="17" t="n"/>
      <ns0:c r="E597" s="17" t="n"/>
      <ns0:c r="F597" s="17" t="n"/>
      <ns0:c r="G597" s="17" t="n"/>
      <ns0:c r="H597" s="17" t="n"/>
      <ns0:c r="I597" s="17" t="n"/>
      <ns0:c r="J597" s="17" t="n"/>
      <ns0:c r="K597" s="17" t="n"/>
      <ns0:c r="L597" s="17" t="n"/>
      <ns0:c r="M597" s="17" t="n"/>
      <ns0:c r="N597" s="17" t="n"/>
      <ns0:c r="O597" s="17" t="n"/>
      <ns0:c r="P597" s="17" t="n"/>
      <ns0:c r="Q597" s="17" t="n"/>
      <ns0:c r="R597" s="17" t="n"/>
      <ns0:c r="S597" s="17" t="n"/>
      <ns0:c r="T597" s="17" t="n"/>
      <ns0:c r="U597" s="17" t="n"/>
      <ns0:c r="V597" s="17" t="n"/>
      <ns0:c r="W597" s="17" t="n"/>
      <ns0:c r="X597" s="17" t="n"/>
      <ns0:c r="Y597" s="17" t="n"/>
      <ns0:c r="Z597" s="17" t="n"/>
      <ns0:c r="AA597" s="17" t="n"/>
      <ns0:c r="AB597" s="17" t="n"/>
      <ns0:c r="AC597" s="17" t="n"/>
      <ns0:c r="AD597" s="17" t="n"/>
      <ns0:c r="AE597" s="17" t="n"/>
      <ns0:c r="AF597" s="17" t="n"/>
      <ns0:c r="AG597" s="17" t="n"/>
    </ns0:row>
    <ns0:row r="598" ht="24" customHeight="1">
      <ns0:c r="D598" s="17" t="n"/>
      <ns0:c r="E598" s="17" t="n"/>
      <ns0:c r="F598" s="17" t="n"/>
      <ns0:c r="G598" s="17" t="n"/>
      <ns0:c r="H598" s="17" t="n"/>
      <ns0:c r="I598" s="17" t="n"/>
      <ns0:c r="J598" s="17" t="n"/>
      <ns0:c r="K598" s="17" t="n"/>
      <ns0:c r="L598" s="17" t="n"/>
      <ns0:c r="M598" s="17" t="n"/>
      <ns0:c r="N598" s="17" t="n"/>
      <ns0:c r="O598" s="17" t="n"/>
      <ns0:c r="P598" s="17" t="n"/>
      <ns0:c r="Q598" s="17" t="n"/>
      <ns0:c r="R598" s="17" t="n"/>
      <ns0:c r="S598" s="17" t="n"/>
      <ns0:c r="T598" s="17" t="n"/>
      <ns0:c r="U598" s="17" t="n"/>
      <ns0:c r="V598" s="17" t="n"/>
      <ns0:c r="W598" s="17" t="n"/>
      <ns0:c r="X598" s="17" t="n"/>
      <ns0:c r="Y598" s="17" t="n"/>
      <ns0:c r="Z598" s="17" t="n"/>
      <ns0:c r="AA598" s="17" t="n"/>
      <ns0:c r="AB598" s="17" t="n"/>
      <ns0:c r="AC598" s="17" t="n"/>
      <ns0:c r="AD598" s="17" t="n"/>
      <ns0:c r="AE598" s="17" t="n"/>
      <ns0:c r="AF598" s="17" t="n"/>
      <ns0:c r="AG598" s="17" t="n"/>
    </ns0:row>
    <ns0:row r="599" ht="24" customHeight="1">
      <ns0:c r="D599" s="17" t="n"/>
      <ns0:c r="E599" s="17" t="n"/>
      <ns0:c r="F599" s="17" t="n"/>
      <ns0:c r="G599" s="17" t="n"/>
      <ns0:c r="H599" s="17" t="n"/>
      <ns0:c r="I599" s="17" t="n"/>
      <ns0:c r="J599" s="17" t="n"/>
      <ns0:c r="K599" s="17" t="n"/>
      <ns0:c r="L599" s="17" t="n"/>
      <ns0:c r="M599" s="17" t="n"/>
      <ns0:c r="N599" s="17" t="n"/>
      <ns0:c r="O599" s="17" t="n"/>
      <ns0:c r="P599" s="17" t="n"/>
      <ns0:c r="Q599" s="17" t="n"/>
      <ns0:c r="R599" s="17" t="n"/>
      <ns0:c r="S599" s="17" t="n"/>
      <ns0:c r="T599" s="17" t="n"/>
      <ns0:c r="U599" s="17" t="n"/>
      <ns0:c r="V599" s="17" t="n"/>
      <ns0:c r="W599" s="17" t="n"/>
      <ns0:c r="X599" s="17" t="n"/>
      <ns0:c r="Y599" s="17" t="n"/>
      <ns0:c r="Z599" s="17" t="n"/>
      <ns0:c r="AA599" s="17" t="n"/>
      <ns0:c r="AB599" s="17" t="n"/>
      <ns0:c r="AC599" s="17" t="n"/>
      <ns0:c r="AD599" s="17" t="n"/>
      <ns0:c r="AE599" s="17" t="n"/>
      <ns0:c r="AF599" s="17" t="n"/>
      <ns0:c r="AG599" s="17" t="n"/>
    </ns0:row>
    <ns0:row r="600" ht="24" customHeight="1">
      <ns0:c r="D600" s="17" t="n"/>
      <ns0:c r="E600" s="17" t="n"/>
      <ns0:c r="F600" s="17" t="n"/>
      <ns0:c r="G600" s="17" t="n"/>
      <ns0:c r="H600" s="17" t="n"/>
      <ns0:c r="I600" s="17" t="n"/>
      <ns0:c r="J600" s="17" t="n"/>
      <ns0:c r="K600" s="17" t="n"/>
      <ns0:c r="L600" s="17" t="n"/>
      <ns0:c r="M600" s="17" t="n"/>
      <ns0:c r="N600" s="17" t="n"/>
      <ns0:c r="O600" s="17" t="n"/>
      <ns0:c r="P600" s="17" t="n"/>
      <ns0:c r="Q600" s="17" t="n"/>
      <ns0:c r="R600" s="17" t="n"/>
      <ns0:c r="S600" s="17" t="n"/>
      <ns0:c r="T600" s="17" t="n"/>
      <ns0:c r="U600" s="17" t="n"/>
      <ns0:c r="V600" s="17" t="n"/>
      <ns0:c r="W600" s="17" t="n"/>
      <ns0:c r="X600" s="17" t="n"/>
      <ns0:c r="Y600" s="17" t="n"/>
      <ns0:c r="Z600" s="17" t="n"/>
      <ns0:c r="AA600" s="17" t="n"/>
      <ns0:c r="AB600" s="17" t="n"/>
      <ns0:c r="AC600" s="17" t="n"/>
      <ns0:c r="AD600" s="17" t="n"/>
      <ns0:c r="AE600" s="17" t="n"/>
      <ns0:c r="AF600" s="17" t="n"/>
      <ns0:c r="AG600" s="17" t="n"/>
    </ns0:row>
    <ns0:row r="601" ht="24" customHeight="1">
      <ns0:c r="D601" s="17" t="n"/>
      <ns0:c r="E601" s="17" t="n"/>
      <ns0:c r="F601" s="17" t="n"/>
      <ns0:c r="G601" s="17" t="n"/>
      <ns0:c r="H601" s="17" t="n"/>
      <ns0:c r="I601" s="17" t="n"/>
      <ns0:c r="J601" s="17" t="n"/>
      <ns0:c r="K601" s="17" t="n"/>
      <ns0:c r="L601" s="17" t="n"/>
      <ns0:c r="M601" s="17" t="n"/>
      <ns0:c r="N601" s="17" t="n"/>
      <ns0:c r="O601" s="17" t="n"/>
      <ns0:c r="P601" s="17" t="n"/>
      <ns0:c r="Q601" s="17" t="n"/>
      <ns0:c r="R601" s="17" t="n"/>
      <ns0:c r="S601" s="17" t="n"/>
      <ns0:c r="T601" s="17" t="n"/>
      <ns0:c r="U601" s="17" t="n"/>
      <ns0:c r="V601" s="17" t="n"/>
      <ns0:c r="W601" s="17" t="n"/>
      <ns0:c r="X601" s="17" t="n"/>
      <ns0:c r="Y601" s="17" t="n"/>
      <ns0:c r="Z601" s="17" t="n"/>
      <ns0:c r="AA601" s="17" t="n"/>
      <ns0:c r="AB601" s="17" t="n"/>
      <ns0:c r="AC601" s="17" t="n"/>
      <ns0:c r="AD601" s="17" t="n"/>
      <ns0:c r="AE601" s="17" t="n"/>
      <ns0:c r="AF601" s="17" t="n"/>
      <ns0:c r="AG601" s="17" t="n"/>
    </ns0:row>
    <ns0:row r="602" ht="24" customHeight="1">
      <ns0:c r="D602" s="17" t="n"/>
      <ns0:c r="E602" s="17" t="n"/>
      <ns0:c r="F602" s="17" t="n"/>
      <ns0:c r="G602" s="17" t="n"/>
      <ns0:c r="H602" s="17" t="n"/>
      <ns0:c r="I602" s="17" t="n"/>
      <ns0:c r="J602" s="17" t="n"/>
      <ns0:c r="K602" s="17" t="n"/>
      <ns0:c r="L602" s="17" t="n"/>
      <ns0:c r="M602" s="17" t="n"/>
      <ns0:c r="N602" s="17" t="n"/>
      <ns0:c r="O602" s="17" t="n"/>
      <ns0:c r="P602" s="17" t="n"/>
      <ns0:c r="Q602" s="17" t="n"/>
      <ns0:c r="R602" s="17" t="n"/>
      <ns0:c r="S602" s="17" t="n"/>
      <ns0:c r="T602" s="17" t="n"/>
      <ns0:c r="U602" s="17" t="n"/>
      <ns0:c r="V602" s="17" t="n"/>
      <ns0:c r="W602" s="17" t="n"/>
      <ns0:c r="X602" s="17" t="n"/>
      <ns0:c r="Y602" s="17" t="n"/>
      <ns0:c r="Z602" s="17" t="n"/>
      <ns0:c r="AA602" s="17" t="n"/>
      <ns0:c r="AB602" s="17" t="n"/>
      <ns0:c r="AC602" s="17" t="n"/>
      <ns0:c r="AD602" s="17" t="n"/>
      <ns0:c r="AE602" s="17" t="n"/>
      <ns0:c r="AF602" s="17" t="n"/>
      <ns0:c r="AG602" s="17" t="n"/>
    </ns0:row>
    <ns0:row r="603" ht="24" customHeight="1">
      <ns0:c r="D603" s="17" t="n"/>
      <ns0:c r="E603" s="17" t="n"/>
      <ns0:c r="F603" s="17" t="n"/>
      <ns0:c r="G603" s="17" t="n"/>
      <ns0:c r="H603" s="17" t="n"/>
      <ns0:c r="I603" s="17" t="n"/>
      <ns0:c r="J603" s="17" t="n"/>
      <ns0:c r="K603" s="17" t="n"/>
      <ns0:c r="L603" s="17" t="n"/>
      <ns0:c r="M603" s="17" t="n"/>
      <ns0:c r="N603" s="17" t="n"/>
      <ns0:c r="O603" s="17" t="n"/>
      <ns0:c r="P603" s="17" t="n"/>
      <ns0:c r="Q603" s="17" t="n"/>
      <ns0:c r="R603" s="17" t="n"/>
      <ns0:c r="S603" s="17" t="n"/>
      <ns0:c r="T603" s="17" t="n"/>
      <ns0:c r="U603" s="17" t="n"/>
      <ns0:c r="V603" s="17" t="n"/>
      <ns0:c r="W603" s="17" t="n"/>
      <ns0:c r="X603" s="17" t="n"/>
      <ns0:c r="Y603" s="17" t="n"/>
      <ns0:c r="Z603" s="17" t="n"/>
      <ns0:c r="AA603" s="17" t="n"/>
      <ns0:c r="AB603" s="17" t="n"/>
      <ns0:c r="AC603" s="17" t="n"/>
      <ns0:c r="AD603" s="17" t="n"/>
      <ns0:c r="AE603" s="17" t="n"/>
      <ns0:c r="AF603" s="17" t="n"/>
      <ns0:c r="AG603" s="17" t="n"/>
    </ns0:row>
    <ns0:row r="604" ht="24" customHeight="1">
      <ns0:c r="D604" s="17" t="n"/>
      <ns0:c r="E604" s="17" t="n"/>
      <ns0:c r="F604" s="17" t="n"/>
      <ns0:c r="G604" s="17" t="n"/>
      <ns0:c r="H604" s="17" t="n"/>
      <ns0:c r="I604" s="17" t="n"/>
      <ns0:c r="J604" s="17" t="n"/>
      <ns0:c r="K604" s="17" t="n"/>
      <ns0:c r="L604" s="17" t="n"/>
      <ns0:c r="M604" s="17" t="n"/>
      <ns0:c r="N604" s="17" t="n"/>
      <ns0:c r="O604" s="17" t="n"/>
      <ns0:c r="P604" s="17" t="n"/>
      <ns0:c r="Q604" s="17" t="n"/>
      <ns0:c r="R604" s="17" t="n"/>
      <ns0:c r="S604" s="17" t="n"/>
      <ns0:c r="T604" s="17" t="n"/>
      <ns0:c r="U604" s="17" t="n"/>
      <ns0:c r="V604" s="17" t="n"/>
      <ns0:c r="W604" s="17" t="n"/>
      <ns0:c r="X604" s="17" t="n"/>
      <ns0:c r="Y604" s="17" t="n"/>
      <ns0:c r="Z604" s="17" t="n"/>
      <ns0:c r="AA604" s="17" t="n"/>
      <ns0:c r="AB604" s="17" t="n"/>
      <ns0:c r="AC604" s="17" t="n"/>
      <ns0:c r="AD604" s="17" t="n"/>
      <ns0:c r="AE604" s="17" t="n"/>
      <ns0:c r="AF604" s="17" t="n"/>
      <ns0:c r="AG604" s="17" t="n"/>
    </ns0:row>
    <ns0:row r="605" ht="24" customHeight="1">
      <ns0:c r="D605" s="17" t="n"/>
      <ns0:c r="E605" s="17" t="n"/>
      <ns0:c r="F605" s="17" t="n"/>
      <ns0:c r="G605" s="17" t="n"/>
      <ns0:c r="H605" s="17" t="n"/>
      <ns0:c r="I605" s="17" t="n"/>
      <ns0:c r="J605" s="17" t="n"/>
      <ns0:c r="K605" s="17" t="n"/>
      <ns0:c r="L605" s="17" t="n"/>
      <ns0:c r="M605" s="17" t="n"/>
      <ns0:c r="N605" s="17" t="n"/>
      <ns0:c r="O605" s="17" t="n"/>
      <ns0:c r="P605" s="17" t="n"/>
      <ns0:c r="Q605" s="17" t="n"/>
      <ns0:c r="R605" s="17" t="n"/>
      <ns0:c r="S605" s="17" t="n"/>
      <ns0:c r="T605" s="17" t="n"/>
      <ns0:c r="U605" s="17" t="n"/>
      <ns0:c r="V605" s="17" t="n"/>
      <ns0:c r="W605" s="17" t="n"/>
      <ns0:c r="X605" s="17" t="n"/>
      <ns0:c r="Y605" s="17" t="n"/>
      <ns0:c r="Z605" s="17" t="n"/>
      <ns0:c r="AA605" s="17" t="n"/>
      <ns0:c r="AB605" s="17" t="n"/>
      <ns0:c r="AC605" s="17" t="n"/>
      <ns0:c r="AD605" s="17" t="n"/>
      <ns0:c r="AE605" s="17" t="n"/>
      <ns0:c r="AF605" s="17" t="n"/>
      <ns0:c r="AG605" s="17" t="n"/>
    </ns0:row>
    <ns0:row r="606" ht="24" customHeight="1">
      <ns0:c r="D606" s="17" t="n"/>
      <ns0:c r="E606" s="17" t="n"/>
      <ns0:c r="F606" s="17" t="n"/>
      <ns0:c r="G606" s="17" t="n"/>
      <ns0:c r="H606" s="17" t="n"/>
      <ns0:c r="I606" s="17" t="n"/>
      <ns0:c r="J606" s="17" t="n"/>
      <ns0:c r="K606" s="17" t="n"/>
      <ns0:c r="L606" s="17" t="n"/>
      <ns0:c r="M606" s="17" t="n"/>
      <ns0:c r="N606" s="17" t="n"/>
      <ns0:c r="O606" s="17" t="n"/>
      <ns0:c r="P606" s="17" t="n"/>
      <ns0:c r="Q606" s="17" t="n"/>
      <ns0:c r="R606" s="17" t="n"/>
      <ns0:c r="S606" s="17" t="n"/>
      <ns0:c r="T606" s="17" t="n"/>
      <ns0:c r="U606" s="17" t="n"/>
      <ns0:c r="V606" s="17" t="n"/>
      <ns0:c r="W606" s="17" t="n"/>
      <ns0:c r="X606" s="17" t="n"/>
      <ns0:c r="Y606" s="17" t="n"/>
      <ns0:c r="Z606" s="17" t="n"/>
      <ns0:c r="AA606" s="17" t="n"/>
      <ns0:c r="AB606" s="17" t="n"/>
      <ns0:c r="AC606" s="17" t="n"/>
      <ns0:c r="AD606" s="17" t="n"/>
      <ns0:c r="AE606" s="17" t="n"/>
      <ns0:c r="AF606" s="17" t="n"/>
      <ns0:c r="AG606" s="17" t="n"/>
    </ns0:row>
    <ns0:row r="607" ht="24" customHeight="1">
      <ns0:c r="D607" s="17" t="n"/>
      <ns0:c r="E607" s="17" t="n"/>
      <ns0:c r="F607" s="17" t="n"/>
      <ns0:c r="G607" s="17" t="n"/>
      <ns0:c r="H607" s="17" t="n"/>
      <ns0:c r="I607" s="17" t="n"/>
      <ns0:c r="J607" s="17" t="n"/>
      <ns0:c r="K607" s="17" t="n"/>
      <ns0:c r="L607" s="17" t="n"/>
      <ns0:c r="M607" s="17" t="n"/>
      <ns0:c r="N607" s="17" t="n"/>
      <ns0:c r="O607" s="17" t="n"/>
      <ns0:c r="P607" s="17" t="n"/>
      <ns0:c r="Q607" s="17" t="n"/>
      <ns0:c r="R607" s="17" t="n"/>
      <ns0:c r="S607" s="17" t="n"/>
      <ns0:c r="T607" s="17" t="n"/>
      <ns0:c r="U607" s="17" t="n"/>
      <ns0:c r="V607" s="17" t="n"/>
      <ns0:c r="W607" s="17" t="n"/>
      <ns0:c r="X607" s="17" t="n"/>
      <ns0:c r="Y607" s="17" t="n"/>
      <ns0:c r="Z607" s="17" t="n"/>
      <ns0:c r="AA607" s="17" t="n"/>
      <ns0:c r="AB607" s="17" t="n"/>
      <ns0:c r="AC607" s="17" t="n"/>
      <ns0:c r="AD607" s="17" t="n"/>
      <ns0:c r="AE607" s="17" t="n"/>
      <ns0:c r="AF607" s="17" t="n"/>
      <ns0:c r="AG607" s="17" t="n"/>
    </ns0:row>
    <ns0:row r="608" ht="24" customHeight="1">
      <ns0:c r="D608" s="17" t="n"/>
      <ns0:c r="E608" s="17" t="n"/>
      <ns0:c r="F608" s="17" t="n"/>
      <ns0:c r="G608" s="17" t="n"/>
      <ns0:c r="H608" s="17" t="n"/>
      <ns0:c r="I608" s="17" t="n"/>
      <ns0:c r="J608" s="17" t="n"/>
      <ns0:c r="K608" s="17" t="n"/>
      <ns0:c r="L608" s="17" t="n"/>
      <ns0:c r="M608" s="17" t="n"/>
      <ns0:c r="N608" s="17" t="n"/>
      <ns0:c r="O608" s="17" t="n"/>
      <ns0:c r="P608" s="17" t="n"/>
      <ns0:c r="Q608" s="17" t="n"/>
      <ns0:c r="R608" s="17" t="n"/>
      <ns0:c r="S608" s="17" t="n"/>
      <ns0:c r="T608" s="17" t="n"/>
      <ns0:c r="U608" s="17" t="n"/>
      <ns0:c r="V608" s="17" t="n"/>
      <ns0:c r="W608" s="17" t="n"/>
      <ns0:c r="X608" s="17" t="n"/>
      <ns0:c r="Y608" s="17" t="n"/>
      <ns0:c r="Z608" s="17" t="n"/>
      <ns0:c r="AA608" s="17" t="n"/>
      <ns0:c r="AB608" s="17" t="n"/>
      <ns0:c r="AC608" s="17" t="n"/>
      <ns0:c r="AD608" s="17" t="n"/>
      <ns0:c r="AE608" s="17" t="n"/>
      <ns0:c r="AF608" s="17" t="n"/>
      <ns0:c r="AG608" s="17" t="n"/>
    </ns0:row>
    <ns0:row r="609" ht="24" customHeight="1">
      <ns0:c r="D609" s="17" t="n"/>
      <ns0:c r="E609" s="17" t="n"/>
      <ns0:c r="F609" s="17" t="n"/>
      <ns0:c r="G609" s="17" t="n"/>
      <ns0:c r="H609" s="17" t="n"/>
      <ns0:c r="I609" s="17" t="n"/>
      <ns0:c r="J609" s="17" t="n"/>
      <ns0:c r="K609" s="17" t="n"/>
      <ns0:c r="L609" s="17" t="n"/>
      <ns0:c r="M609" s="17" t="n"/>
      <ns0:c r="N609" s="17" t="n"/>
      <ns0:c r="O609" s="17" t="n"/>
      <ns0:c r="P609" s="17" t="n"/>
      <ns0:c r="Q609" s="17" t="n"/>
      <ns0:c r="R609" s="17" t="n"/>
      <ns0:c r="S609" s="17" t="n"/>
      <ns0:c r="T609" s="17" t="n"/>
      <ns0:c r="U609" s="17" t="n"/>
      <ns0:c r="V609" s="17" t="n"/>
      <ns0:c r="W609" s="17" t="n"/>
      <ns0:c r="X609" s="17" t="n"/>
      <ns0:c r="Y609" s="17" t="n"/>
      <ns0:c r="Z609" s="17" t="n"/>
      <ns0:c r="AA609" s="17" t="n"/>
      <ns0:c r="AB609" s="17" t="n"/>
      <ns0:c r="AC609" s="17" t="n"/>
      <ns0:c r="AD609" s="17" t="n"/>
      <ns0:c r="AE609" s="17" t="n"/>
      <ns0:c r="AF609" s="17" t="n"/>
      <ns0:c r="AG609" s="17" t="n"/>
    </ns0:row>
    <ns0:row r="610" ht="24" customHeight="1">
      <ns0:c r="D610" s="17" t="n"/>
      <ns0:c r="E610" s="17" t="n"/>
      <ns0:c r="F610" s="17" t="n"/>
      <ns0:c r="G610" s="17" t="n"/>
      <ns0:c r="H610" s="17" t="n"/>
      <ns0:c r="I610" s="17" t="n"/>
      <ns0:c r="J610" s="17" t="n"/>
      <ns0:c r="K610" s="17" t="n"/>
      <ns0:c r="L610" s="17" t="n"/>
      <ns0:c r="M610" s="17" t="n"/>
      <ns0:c r="N610" s="17" t="n"/>
      <ns0:c r="O610" s="17" t="n"/>
      <ns0:c r="P610" s="17" t="n"/>
      <ns0:c r="Q610" s="17" t="n"/>
      <ns0:c r="R610" s="17" t="n"/>
      <ns0:c r="S610" s="17" t="n"/>
      <ns0:c r="T610" s="17" t="n"/>
      <ns0:c r="U610" s="17" t="n"/>
      <ns0:c r="V610" s="17" t="n"/>
      <ns0:c r="W610" s="17" t="n"/>
      <ns0:c r="X610" s="17" t="n"/>
      <ns0:c r="Y610" s="17" t="n"/>
      <ns0:c r="Z610" s="17" t="n"/>
      <ns0:c r="AA610" s="17" t="n"/>
      <ns0:c r="AB610" s="17" t="n"/>
      <ns0:c r="AC610" s="17" t="n"/>
      <ns0:c r="AD610" s="17" t="n"/>
      <ns0:c r="AE610" s="17" t="n"/>
      <ns0:c r="AF610" s="17" t="n"/>
      <ns0:c r="AG610" s="17" t="n"/>
    </ns0:row>
    <ns0:row r="611" ht="24" customHeight="1">
      <ns0:c r="D611" s="17" t="n"/>
      <ns0:c r="E611" s="17" t="n"/>
      <ns0:c r="F611" s="17" t="n"/>
      <ns0:c r="G611" s="17" t="n"/>
      <ns0:c r="H611" s="17" t="n"/>
      <ns0:c r="I611" s="17" t="n"/>
      <ns0:c r="J611" s="17" t="n"/>
      <ns0:c r="K611" s="17" t="n"/>
      <ns0:c r="L611" s="17" t="n"/>
      <ns0:c r="M611" s="17" t="n"/>
      <ns0:c r="N611" s="17" t="n"/>
      <ns0:c r="O611" s="17" t="n"/>
      <ns0:c r="P611" s="17" t="n"/>
      <ns0:c r="Q611" s="17" t="n"/>
      <ns0:c r="R611" s="17" t="n"/>
      <ns0:c r="S611" s="17" t="n"/>
      <ns0:c r="T611" s="17" t="n"/>
      <ns0:c r="U611" s="17" t="n"/>
      <ns0:c r="V611" s="17" t="n"/>
      <ns0:c r="W611" s="17" t="n"/>
      <ns0:c r="X611" s="17" t="n"/>
      <ns0:c r="Y611" s="17" t="n"/>
      <ns0:c r="Z611" s="17" t="n"/>
      <ns0:c r="AA611" s="17" t="n"/>
      <ns0:c r="AB611" s="17" t="n"/>
      <ns0:c r="AC611" s="17" t="n"/>
      <ns0:c r="AD611" s="17" t="n"/>
      <ns0:c r="AE611" s="17" t="n"/>
      <ns0:c r="AF611" s="17" t="n"/>
      <ns0:c r="AG611" s="17" t="n"/>
    </ns0:row>
    <ns0:row r="612" ht="24" customHeight="1">
      <ns0:c r="D612" s="17" t="n"/>
      <ns0:c r="E612" s="17" t="n"/>
      <ns0:c r="F612" s="17" t="n"/>
      <ns0:c r="G612" s="17" t="n"/>
      <ns0:c r="H612" s="17" t="n"/>
      <ns0:c r="I612" s="17" t="n"/>
      <ns0:c r="J612" s="17" t="n"/>
      <ns0:c r="K612" s="17" t="n"/>
      <ns0:c r="L612" s="17" t="n"/>
      <ns0:c r="M612" s="17" t="n"/>
      <ns0:c r="N612" s="17" t="n"/>
      <ns0:c r="O612" s="17" t="n"/>
      <ns0:c r="P612" s="17" t="n"/>
      <ns0:c r="Q612" s="17" t="n"/>
      <ns0:c r="R612" s="17" t="n"/>
      <ns0:c r="S612" s="17" t="n"/>
      <ns0:c r="T612" s="17" t="n"/>
      <ns0:c r="U612" s="17" t="n"/>
      <ns0:c r="V612" s="17" t="n"/>
      <ns0:c r="W612" s="17" t="n"/>
      <ns0:c r="X612" s="17" t="n"/>
      <ns0:c r="Y612" s="17" t="n"/>
      <ns0:c r="Z612" s="17" t="n"/>
      <ns0:c r="AA612" s="17" t="n"/>
      <ns0:c r="AB612" s="17" t="n"/>
      <ns0:c r="AC612" s="17" t="n"/>
      <ns0:c r="AD612" s="17" t="n"/>
      <ns0:c r="AE612" s="17" t="n"/>
      <ns0:c r="AF612" s="17" t="n"/>
      <ns0:c r="AG612" s="17" t="n"/>
    </ns0:row>
    <ns0:row r="613" ht="24" customHeight="1">
      <ns0:c r="D613" s="17" t="n"/>
      <ns0:c r="E613" s="17" t="n"/>
      <ns0:c r="F613" s="17" t="n"/>
      <ns0:c r="G613" s="17" t="n"/>
      <ns0:c r="H613" s="17" t="n"/>
      <ns0:c r="I613" s="17" t="n"/>
      <ns0:c r="J613" s="17" t="n"/>
      <ns0:c r="K613" s="17" t="n"/>
      <ns0:c r="L613" s="17" t="n"/>
      <ns0:c r="M613" s="17" t="n"/>
      <ns0:c r="N613" s="17" t="n"/>
      <ns0:c r="O613" s="17" t="n"/>
      <ns0:c r="P613" s="17" t="n"/>
      <ns0:c r="Q613" s="17" t="n"/>
      <ns0:c r="R613" s="17" t="n"/>
      <ns0:c r="S613" s="17" t="n"/>
      <ns0:c r="T613" s="17" t="n"/>
      <ns0:c r="U613" s="17" t="n"/>
      <ns0:c r="V613" s="17" t="n"/>
      <ns0:c r="W613" s="17" t="n"/>
      <ns0:c r="X613" s="17" t="n"/>
      <ns0:c r="Y613" s="17" t="n"/>
      <ns0:c r="Z613" s="17" t="n"/>
      <ns0:c r="AA613" s="17" t="n"/>
      <ns0:c r="AB613" s="17" t="n"/>
      <ns0:c r="AC613" s="17" t="n"/>
      <ns0:c r="AD613" s="17" t="n"/>
      <ns0:c r="AE613" s="17" t="n"/>
      <ns0:c r="AF613" s="17" t="n"/>
      <ns0:c r="AG613" s="17" t="n"/>
    </ns0:row>
    <ns0:row r="614" ht="24" customHeight="1">
      <ns0:c r="D614" s="17" t="n"/>
      <ns0:c r="E614" s="17" t="n"/>
      <ns0:c r="F614" s="17" t="n"/>
      <ns0:c r="G614" s="17" t="n"/>
      <ns0:c r="H614" s="17" t="n"/>
      <ns0:c r="I614" s="17" t="n"/>
      <ns0:c r="J614" s="17" t="n"/>
      <ns0:c r="K614" s="17" t="n"/>
      <ns0:c r="L614" s="17" t="n"/>
      <ns0:c r="M614" s="17" t="n"/>
      <ns0:c r="N614" s="17" t="n"/>
      <ns0:c r="O614" s="17" t="n"/>
      <ns0:c r="P614" s="17" t="n"/>
      <ns0:c r="Q614" s="17" t="n"/>
      <ns0:c r="R614" s="17" t="n"/>
      <ns0:c r="S614" s="17" t="n"/>
      <ns0:c r="T614" s="17" t="n"/>
      <ns0:c r="U614" s="17" t="n"/>
      <ns0:c r="V614" s="17" t="n"/>
      <ns0:c r="W614" s="17" t="n"/>
      <ns0:c r="X614" s="17" t="n"/>
      <ns0:c r="Y614" s="17" t="n"/>
      <ns0:c r="Z614" s="17" t="n"/>
      <ns0:c r="AA614" s="17" t="n"/>
      <ns0:c r="AB614" s="17" t="n"/>
      <ns0:c r="AC614" s="17" t="n"/>
      <ns0:c r="AD614" s="17" t="n"/>
      <ns0:c r="AE614" s="17" t="n"/>
      <ns0:c r="AF614" s="17" t="n"/>
      <ns0:c r="AG614" s="17" t="n"/>
    </ns0:row>
    <ns0:row r="615" ht="24" customHeight="1">
      <ns0:c r="D615" s="17" t="n"/>
      <ns0:c r="E615" s="17" t="n"/>
      <ns0:c r="F615" s="17" t="n"/>
      <ns0:c r="G615" s="17" t="n"/>
      <ns0:c r="H615" s="17" t="n"/>
      <ns0:c r="I615" s="17" t="n"/>
      <ns0:c r="J615" s="17" t="n"/>
      <ns0:c r="K615" s="17" t="n"/>
      <ns0:c r="L615" s="17" t="n"/>
      <ns0:c r="M615" s="17" t="n"/>
      <ns0:c r="N615" s="17" t="n"/>
      <ns0:c r="O615" s="17" t="n"/>
      <ns0:c r="P615" s="17" t="n"/>
      <ns0:c r="Q615" s="17" t="n"/>
      <ns0:c r="R615" s="17" t="n"/>
      <ns0:c r="S615" s="17" t="n"/>
      <ns0:c r="T615" s="17" t="n"/>
      <ns0:c r="U615" s="17" t="n"/>
      <ns0:c r="V615" s="17" t="n"/>
      <ns0:c r="W615" s="17" t="n"/>
      <ns0:c r="X615" s="17" t="n"/>
      <ns0:c r="Y615" s="17" t="n"/>
      <ns0:c r="Z615" s="17" t="n"/>
      <ns0:c r="AA615" s="17" t="n"/>
      <ns0:c r="AB615" s="17" t="n"/>
      <ns0:c r="AC615" s="17" t="n"/>
      <ns0:c r="AD615" s="17" t="n"/>
      <ns0:c r="AE615" s="17" t="n"/>
      <ns0:c r="AF615" s="17" t="n"/>
      <ns0:c r="AG615" s="17" t="n"/>
    </ns0:row>
    <ns0:row r="616" ht="24" customHeight="1">
      <ns0:c r="D616" s="17" t="n"/>
      <ns0:c r="E616" s="17" t="n"/>
      <ns0:c r="F616" s="17" t="n"/>
      <ns0:c r="G616" s="17" t="n"/>
      <ns0:c r="H616" s="17" t="n"/>
      <ns0:c r="I616" s="17" t="n"/>
      <ns0:c r="J616" s="17" t="n"/>
      <ns0:c r="K616" s="17" t="n"/>
      <ns0:c r="L616" s="17" t="n"/>
      <ns0:c r="M616" s="17" t="n"/>
      <ns0:c r="N616" s="17" t="n"/>
      <ns0:c r="O616" s="17" t="n"/>
      <ns0:c r="P616" s="17" t="n"/>
      <ns0:c r="Q616" s="17" t="n"/>
      <ns0:c r="R616" s="17" t="n"/>
      <ns0:c r="S616" s="17" t="n"/>
      <ns0:c r="T616" s="17" t="n"/>
      <ns0:c r="U616" s="17" t="n"/>
      <ns0:c r="V616" s="17" t="n"/>
      <ns0:c r="W616" s="17" t="n"/>
      <ns0:c r="X616" s="17" t="n"/>
      <ns0:c r="Y616" s="17" t="n"/>
      <ns0:c r="Z616" s="17" t="n"/>
      <ns0:c r="AA616" s="17" t="n"/>
      <ns0:c r="AB616" s="17" t="n"/>
      <ns0:c r="AC616" s="17" t="n"/>
      <ns0:c r="AD616" s="17" t="n"/>
      <ns0:c r="AE616" s="17" t="n"/>
      <ns0:c r="AF616" s="17" t="n"/>
      <ns0:c r="AG616" s="17" t="n"/>
    </ns0:row>
    <ns0:row r="617" ht="24" customHeight="1">
      <ns0:c r="D617" s="17" t="n"/>
      <ns0:c r="E617" s="17" t="n"/>
      <ns0:c r="F617" s="17" t="n"/>
      <ns0:c r="G617" s="17" t="n"/>
      <ns0:c r="H617" s="17" t="n"/>
      <ns0:c r="I617" s="17" t="n"/>
      <ns0:c r="J617" s="17" t="n"/>
      <ns0:c r="K617" s="17" t="n"/>
      <ns0:c r="L617" s="17" t="n"/>
      <ns0:c r="M617" s="17" t="n"/>
      <ns0:c r="N617" s="17" t="n"/>
      <ns0:c r="O617" s="17" t="n"/>
      <ns0:c r="P617" s="17" t="n"/>
      <ns0:c r="Q617" s="17" t="n"/>
      <ns0:c r="R617" s="17" t="n"/>
      <ns0:c r="S617" s="17" t="n"/>
      <ns0:c r="T617" s="17" t="n"/>
      <ns0:c r="U617" s="17" t="n"/>
      <ns0:c r="V617" s="17" t="n"/>
      <ns0:c r="W617" s="17" t="n"/>
      <ns0:c r="X617" s="17" t="n"/>
      <ns0:c r="Y617" s="17" t="n"/>
      <ns0:c r="Z617" s="17" t="n"/>
      <ns0:c r="AA617" s="17" t="n"/>
      <ns0:c r="AB617" s="17" t="n"/>
      <ns0:c r="AC617" s="17" t="n"/>
      <ns0:c r="AD617" s="17" t="n"/>
      <ns0:c r="AE617" s="17" t="n"/>
      <ns0:c r="AF617" s="17" t="n"/>
      <ns0:c r="AG617" s="17" t="n"/>
    </ns0:row>
    <ns0:row r="618" ht="24" customHeight="1">
      <ns0:c r="D618" s="17" t="n"/>
      <ns0:c r="E618" s="17" t="n"/>
      <ns0:c r="F618" s="17" t="n"/>
      <ns0:c r="G618" s="17" t="n"/>
      <ns0:c r="H618" s="17" t="n"/>
      <ns0:c r="I618" s="17" t="n"/>
      <ns0:c r="J618" s="17" t="n"/>
      <ns0:c r="K618" s="17" t="n"/>
      <ns0:c r="L618" s="17" t="n"/>
      <ns0:c r="M618" s="17" t="n"/>
      <ns0:c r="N618" s="17" t="n"/>
      <ns0:c r="O618" s="17" t="n"/>
      <ns0:c r="P618" s="17" t="n"/>
      <ns0:c r="Q618" s="17" t="n"/>
      <ns0:c r="R618" s="17" t="n"/>
      <ns0:c r="S618" s="17" t="n"/>
      <ns0:c r="T618" s="17" t="n"/>
      <ns0:c r="U618" s="17" t="n"/>
      <ns0:c r="V618" s="17" t="n"/>
      <ns0:c r="W618" s="17" t="n"/>
      <ns0:c r="X618" s="17" t="n"/>
      <ns0:c r="Y618" s="17" t="n"/>
      <ns0:c r="Z618" s="17" t="n"/>
      <ns0:c r="AA618" s="17" t="n"/>
      <ns0:c r="AB618" s="17" t="n"/>
      <ns0:c r="AC618" s="17" t="n"/>
      <ns0:c r="AD618" s="17" t="n"/>
      <ns0:c r="AE618" s="17" t="n"/>
      <ns0:c r="AF618" s="17" t="n"/>
      <ns0:c r="AG618" s="17" t="n"/>
    </ns0:row>
    <ns0:row r="619" ht="24" customHeight="1">
      <ns0:c r="D619" s="17" t="n"/>
      <ns0:c r="E619" s="17" t="n"/>
      <ns0:c r="F619" s="17" t="n"/>
      <ns0:c r="G619" s="17" t="n"/>
      <ns0:c r="H619" s="17" t="n"/>
      <ns0:c r="I619" s="17" t="n"/>
      <ns0:c r="J619" s="17" t="n"/>
      <ns0:c r="K619" s="17" t="n"/>
      <ns0:c r="L619" s="17" t="n"/>
      <ns0:c r="M619" s="17" t="n"/>
      <ns0:c r="N619" s="17" t="n"/>
      <ns0:c r="O619" s="17" t="n"/>
      <ns0:c r="P619" s="17" t="n"/>
      <ns0:c r="Q619" s="17" t="n"/>
      <ns0:c r="R619" s="17" t="n"/>
      <ns0:c r="S619" s="17" t="n"/>
      <ns0:c r="T619" s="17" t="n"/>
      <ns0:c r="U619" s="17" t="n"/>
      <ns0:c r="V619" s="17" t="n"/>
      <ns0:c r="W619" s="17" t="n"/>
      <ns0:c r="X619" s="17" t="n"/>
      <ns0:c r="Y619" s="17" t="n"/>
      <ns0:c r="Z619" s="17" t="n"/>
      <ns0:c r="AA619" s="17" t="n"/>
      <ns0:c r="AB619" s="17" t="n"/>
      <ns0:c r="AC619" s="17" t="n"/>
      <ns0:c r="AD619" s="17" t="n"/>
      <ns0:c r="AE619" s="17" t="n"/>
      <ns0:c r="AF619" s="17" t="n"/>
      <ns0:c r="AG619" s="17" t="n"/>
    </ns0:row>
    <ns0:row r="620" ht="24" customHeight="1">
      <ns0:c r="D620" s="17" t="n"/>
      <ns0:c r="E620" s="17" t="n"/>
      <ns0:c r="F620" s="17" t="n"/>
      <ns0:c r="G620" s="17" t="n"/>
      <ns0:c r="H620" s="17" t="n"/>
      <ns0:c r="I620" s="17" t="n"/>
      <ns0:c r="J620" s="17" t="n"/>
      <ns0:c r="K620" s="17" t="n"/>
      <ns0:c r="L620" s="17" t="n"/>
      <ns0:c r="M620" s="17" t="n"/>
      <ns0:c r="N620" s="17" t="n"/>
      <ns0:c r="O620" s="17" t="n"/>
      <ns0:c r="P620" s="17" t="n"/>
      <ns0:c r="Q620" s="17" t="n"/>
      <ns0:c r="R620" s="17" t="n"/>
      <ns0:c r="S620" s="17" t="n"/>
      <ns0:c r="T620" s="17" t="n"/>
      <ns0:c r="U620" s="17" t="n"/>
      <ns0:c r="V620" s="17" t="n"/>
      <ns0:c r="W620" s="17" t="n"/>
      <ns0:c r="X620" s="17" t="n"/>
      <ns0:c r="Y620" s="17" t="n"/>
      <ns0:c r="Z620" s="17" t="n"/>
      <ns0:c r="AA620" s="17" t="n"/>
      <ns0:c r="AB620" s="17" t="n"/>
      <ns0:c r="AC620" s="17" t="n"/>
      <ns0:c r="AD620" s="17" t="n"/>
      <ns0:c r="AE620" s="17" t="n"/>
      <ns0:c r="AF620" s="17" t="n"/>
      <ns0:c r="AG620" s="17" t="n"/>
    </ns0:row>
    <ns0:row r="621" ht="24" customHeight="1">
      <ns0:c r="D621" s="17" t="n"/>
      <ns0:c r="E621" s="17" t="n"/>
      <ns0:c r="F621" s="17" t="n"/>
      <ns0:c r="G621" s="17" t="n"/>
      <ns0:c r="H621" s="17" t="n"/>
      <ns0:c r="I621" s="17" t="n"/>
      <ns0:c r="J621" s="17" t="n"/>
      <ns0:c r="K621" s="17" t="n"/>
      <ns0:c r="L621" s="17" t="n"/>
      <ns0:c r="M621" s="17" t="n"/>
      <ns0:c r="N621" s="17" t="n"/>
      <ns0:c r="O621" s="17" t="n"/>
      <ns0:c r="P621" s="17" t="n"/>
      <ns0:c r="Q621" s="17" t="n"/>
      <ns0:c r="R621" s="17" t="n"/>
      <ns0:c r="S621" s="17" t="n"/>
      <ns0:c r="T621" s="17" t="n"/>
      <ns0:c r="U621" s="17" t="n"/>
      <ns0:c r="V621" s="17" t="n"/>
      <ns0:c r="W621" s="17" t="n"/>
      <ns0:c r="X621" s="17" t="n"/>
      <ns0:c r="Y621" s="17" t="n"/>
      <ns0:c r="Z621" s="17" t="n"/>
      <ns0:c r="AA621" s="17" t="n"/>
      <ns0:c r="AB621" s="17" t="n"/>
      <ns0:c r="AC621" s="17" t="n"/>
      <ns0:c r="AD621" s="17" t="n"/>
      <ns0:c r="AE621" s="17" t="n"/>
      <ns0:c r="AF621" s="17" t="n"/>
      <ns0:c r="AG621" s="17" t="n"/>
    </ns0:row>
    <ns0:row r="622" ht="24" customHeight="1">
      <ns0:c r="D622" s="17" t="n"/>
      <ns0:c r="E622" s="17" t="n"/>
      <ns0:c r="F622" s="17" t="n"/>
      <ns0:c r="G622" s="17" t="n"/>
      <ns0:c r="H622" s="17" t="n"/>
      <ns0:c r="I622" s="17" t="n"/>
      <ns0:c r="J622" s="17" t="n"/>
      <ns0:c r="K622" s="17" t="n"/>
      <ns0:c r="L622" s="17" t="n"/>
      <ns0:c r="M622" s="17" t="n"/>
      <ns0:c r="N622" s="17" t="n"/>
      <ns0:c r="O622" s="17" t="n"/>
      <ns0:c r="P622" s="17" t="n"/>
      <ns0:c r="Q622" s="17" t="n"/>
      <ns0:c r="R622" s="17" t="n"/>
      <ns0:c r="S622" s="17" t="n"/>
      <ns0:c r="T622" s="17" t="n"/>
      <ns0:c r="U622" s="17" t="n"/>
      <ns0:c r="V622" s="17" t="n"/>
      <ns0:c r="W622" s="17" t="n"/>
      <ns0:c r="X622" s="17" t="n"/>
      <ns0:c r="Y622" s="17" t="n"/>
      <ns0:c r="Z622" s="17" t="n"/>
      <ns0:c r="AA622" s="17" t="n"/>
      <ns0:c r="AB622" s="17" t="n"/>
      <ns0:c r="AC622" s="17" t="n"/>
      <ns0:c r="AD622" s="17" t="n"/>
      <ns0:c r="AE622" s="17" t="n"/>
      <ns0:c r="AF622" s="17" t="n"/>
      <ns0:c r="AG622" s="17" t="n"/>
    </ns0:row>
    <ns0:row r="623" ht="24" customHeight="1">
      <ns0:c r="D623" s="17" t="n"/>
      <ns0:c r="E623" s="17" t="n"/>
      <ns0:c r="F623" s="17" t="n"/>
      <ns0:c r="G623" s="17" t="n"/>
      <ns0:c r="H623" s="17" t="n"/>
      <ns0:c r="I623" s="17" t="n"/>
      <ns0:c r="J623" s="17" t="n"/>
      <ns0:c r="K623" s="17" t="n"/>
      <ns0:c r="L623" s="17" t="n"/>
      <ns0:c r="M623" s="17" t="n"/>
      <ns0:c r="N623" s="17" t="n"/>
      <ns0:c r="O623" s="17" t="n"/>
      <ns0:c r="P623" s="17" t="n"/>
      <ns0:c r="Q623" s="17" t="n"/>
      <ns0:c r="R623" s="17" t="n"/>
      <ns0:c r="S623" s="17" t="n"/>
      <ns0:c r="T623" s="17" t="n"/>
      <ns0:c r="U623" s="17" t="n"/>
      <ns0:c r="V623" s="17" t="n"/>
      <ns0:c r="W623" s="17" t="n"/>
      <ns0:c r="X623" s="17" t="n"/>
      <ns0:c r="Y623" s="17" t="n"/>
      <ns0:c r="Z623" s="17" t="n"/>
      <ns0:c r="AA623" s="17" t="n"/>
      <ns0:c r="AB623" s="17" t="n"/>
      <ns0:c r="AC623" s="17" t="n"/>
      <ns0:c r="AD623" s="17" t="n"/>
      <ns0:c r="AE623" s="17" t="n"/>
      <ns0:c r="AF623" s="17" t="n"/>
      <ns0:c r="AG623" s="17" t="n"/>
    </ns0:row>
    <ns0:row r="624" ht="24" customHeight="1">
      <ns0:c r="D624" s="17" t="n"/>
      <ns0:c r="E624" s="17" t="n"/>
      <ns0:c r="F624" s="17" t="n"/>
      <ns0:c r="G624" s="17" t="n"/>
      <ns0:c r="H624" s="17" t="n"/>
      <ns0:c r="I624" s="17" t="n"/>
      <ns0:c r="J624" s="17" t="n"/>
      <ns0:c r="K624" s="17" t="n"/>
      <ns0:c r="L624" s="17" t="n"/>
      <ns0:c r="M624" s="17" t="n"/>
      <ns0:c r="N624" s="17" t="n"/>
      <ns0:c r="O624" s="17" t="n"/>
      <ns0:c r="P624" s="17" t="n"/>
      <ns0:c r="Q624" s="17" t="n"/>
      <ns0:c r="R624" s="17" t="n"/>
      <ns0:c r="S624" s="17" t="n"/>
      <ns0:c r="T624" s="17" t="n"/>
      <ns0:c r="U624" s="17" t="n"/>
      <ns0:c r="V624" s="17" t="n"/>
      <ns0:c r="W624" s="17" t="n"/>
      <ns0:c r="X624" s="17" t="n"/>
      <ns0:c r="Y624" s="17" t="n"/>
      <ns0:c r="Z624" s="17" t="n"/>
      <ns0:c r="AA624" s="17" t="n"/>
      <ns0:c r="AB624" s="17" t="n"/>
      <ns0:c r="AC624" s="17" t="n"/>
      <ns0:c r="AD624" s="17" t="n"/>
      <ns0:c r="AE624" s="17" t="n"/>
      <ns0:c r="AF624" s="17" t="n"/>
      <ns0:c r="AG624" s="17" t="n"/>
    </ns0:row>
    <ns0:row r="625" ht="24" customHeight="1">
      <ns0:c r="D625" s="17" t="n"/>
      <ns0:c r="E625" s="17" t="n"/>
      <ns0:c r="F625" s="17" t="n"/>
      <ns0:c r="G625" s="17" t="n"/>
      <ns0:c r="H625" s="17" t="n"/>
      <ns0:c r="I625" s="17" t="n"/>
      <ns0:c r="J625" s="17" t="n"/>
      <ns0:c r="K625" s="17" t="n"/>
      <ns0:c r="L625" s="17" t="n"/>
      <ns0:c r="M625" s="17" t="n"/>
      <ns0:c r="N625" s="17" t="n"/>
      <ns0:c r="O625" s="17" t="n"/>
      <ns0:c r="P625" s="17" t="n"/>
      <ns0:c r="Q625" s="17" t="n"/>
      <ns0:c r="R625" s="17" t="n"/>
      <ns0:c r="S625" s="17" t="n"/>
      <ns0:c r="T625" s="17" t="n"/>
      <ns0:c r="U625" s="17" t="n"/>
      <ns0:c r="V625" s="17" t="n"/>
      <ns0:c r="W625" s="17" t="n"/>
      <ns0:c r="X625" s="17" t="n"/>
      <ns0:c r="Y625" s="17" t="n"/>
      <ns0:c r="Z625" s="17" t="n"/>
      <ns0:c r="AA625" s="17" t="n"/>
      <ns0:c r="AB625" s="17" t="n"/>
      <ns0:c r="AC625" s="17" t="n"/>
      <ns0:c r="AD625" s="17" t="n"/>
      <ns0:c r="AE625" s="17" t="n"/>
      <ns0:c r="AF625" s="17" t="n"/>
      <ns0:c r="AG625" s="17" t="n"/>
    </ns0:row>
    <ns0:row r="626" ht="24" customHeight="1">
      <ns0:c r="D626" s="17" t="n"/>
      <ns0:c r="E626" s="17" t="n"/>
      <ns0:c r="F626" s="17" t="n"/>
      <ns0:c r="G626" s="17" t="n"/>
      <ns0:c r="H626" s="17" t="n"/>
      <ns0:c r="I626" s="17" t="n"/>
      <ns0:c r="J626" s="17" t="n"/>
      <ns0:c r="K626" s="17" t="n"/>
      <ns0:c r="L626" s="17" t="n"/>
      <ns0:c r="M626" s="17" t="n"/>
      <ns0:c r="N626" s="17" t="n"/>
      <ns0:c r="O626" s="17" t="n"/>
      <ns0:c r="P626" s="17" t="n"/>
      <ns0:c r="Q626" s="17" t="n"/>
      <ns0:c r="R626" s="17" t="n"/>
      <ns0:c r="S626" s="17" t="n"/>
      <ns0:c r="T626" s="17" t="n"/>
      <ns0:c r="U626" s="17" t="n"/>
      <ns0:c r="V626" s="17" t="n"/>
      <ns0:c r="W626" s="17" t="n"/>
      <ns0:c r="X626" s="17" t="n"/>
      <ns0:c r="Y626" s="17" t="n"/>
      <ns0:c r="Z626" s="17" t="n"/>
      <ns0:c r="AA626" s="17" t="n"/>
      <ns0:c r="AB626" s="17" t="n"/>
      <ns0:c r="AC626" s="17" t="n"/>
      <ns0:c r="AD626" s="17" t="n"/>
      <ns0:c r="AE626" s="17" t="n"/>
      <ns0:c r="AF626" s="17" t="n"/>
      <ns0:c r="AG626" s="17" t="n"/>
    </ns0:row>
    <ns0:row r="627" ht="24" customHeight="1">
      <ns0:c r="D627" s="17" t="n"/>
      <ns0:c r="E627" s="17" t="n"/>
      <ns0:c r="F627" s="17" t="n"/>
      <ns0:c r="G627" s="17" t="n"/>
      <ns0:c r="H627" s="17" t="n"/>
      <ns0:c r="I627" s="17" t="n"/>
      <ns0:c r="J627" s="17" t="n"/>
      <ns0:c r="K627" s="17" t="n"/>
      <ns0:c r="L627" s="17" t="n"/>
      <ns0:c r="M627" s="17" t="n"/>
      <ns0:c r="N627" s="17" t="n"/>
      <ns0:c r="O627" s="17" t="n"/>
      <ns0:c r="P627" s="17" t="n"/>
      <ns0:c r="Q627" s="17" t="n"/>
      <ns0:c r="R627" s="17" t="n"/>
      <ns0:c r="S627" s="17" t="n"/>
      <ns0:c r="T627" s="17" t="n"/>
      <ns0:c r="U627" s="17" t="n"/>
      <ns0:c r="V627" s="17" t="n"/>
      <ns0:c r="W627" s="17" t="n"/>
      <ns0:c r="X627" s="17" t="n"/>
      <ns0:c r="Y627" s="17" t="n"/>
      <ns0:c r="Z627" s="17" t="n"/>
      <ns0:c r="AA627" s="17" t="n"/>
      <ns0:c r="AB627" s="17" t="n"/>
      <ns0:c r="AC627" s="17" t="n"/>
      <ns0:c r="AD627" s="17" t="n"/>
      <ns0:c r="AE627" s="17" t="n"/>
      <ns0:c r="AF627" s="17" t="n"/>
      <ns0:c r="AG627" s="17" t="n"/>
    </ns0:row>
    <ns0:row r="628" ht="24" customHeight="1">
      <ns0:c r="D628" s="17" t="n"/>
      <ns0:c r="E628" s="17" t="n"/>
      <ns0:c r="F628" s="17" t="n"/>
      <ns0:c r="G628" s="17" t="n"/>
      <ns0:c r="H628" s="17" t="n"/>
      <ns0:c r="I628" s="17" t="n"/>
      <ns0:c r="J628" s="17" t="n"/>
      <ns0:c r="K628" s="17" t="n"/>
      <ns0:c r="L628" s="17" t="n"/>
      <ns0:c r="M628" s="17" t="n"/>
      <ns0:c r="N628" s="17" t="n"/>
      <ns0:c r="O628" s="17" t="n"/>
      <ns0:c r="P628" s="17" t="n"/>
      <ns0:c r="Q628" s="17" t="n"/>
      <ns0:c r="R628" s="17" t="n"/>
      <ns0:c r="S628" s="17" t="n"/>
      <ns0:c r="T628" s="17" t="n"/>
      <ns0:c r="U628" s="17" t="n"/>
      <ns0:c r="V628" s="17" t="n"/>
      <ns0:c r="W628" s="17" t="n"/>
      <ns0:c r="X628" s="17" t="n"/>
      <ns0:c r="Y628" s="17" t="n"/>
      <ns0:c r="Z628" s="17" t="n"/>
      <ns0:c r="AA628" s="17" t="n"/>
      <ns0:c r="AB628" s="17" t="n"/>
      <ns0:c r="AC628" s="17" t="n"/>
      <ns0:c r="AD628" s="17" t="n"/>
      <ns0:c r="AE628" s="17" t="n"/>
      <ns0:c r="AF628" s="17" t="n"/>
      <ns0:c r="AG628" s="17" t="n"/>
    </ns0:row>
    <ns0:row r="629" ht="24" customHeight="1">
      <ns0:c r="D629" s="17" t="n"/>
      <ns0:c r="E629" s="17" t="n"/>
      <ns0:c r="F629" s="17" t="n"/>
      <ns0:c r="G629" s="17" t="n"/>
      <ns0:c r="H629" s="17" t="n"/>
      <ns0:c r="I629" s="17" t="n"/>
      <ns0:c r="J629" s="17" t="n"/>
      <ns0:c r="K629" s="17" t="n"/>
      <ns0:c r="L629" s="17" t="n"/>
      <ns0:c r="M629" s="17" t="n"/>
      <ns0:c r="N629" s="17" t="n"/>
      <ns0:c r="O629" s="17" t="n"/>
      <ns0:c r="P629" s="17" t="n"/>
      <ns0:c r="Q629" s="17" t="n"/>
      <ns0:c r="R629" s="17" t="n"/>
      <ns0:c r="S629" s="17" t="n"/>
      <ns0:c r="T629" s="17" t="n"/>
      <ns0:c r="U629" s="17" t="n"/>
      <ns0:c r="V629" s="17" t="n"/>
      <ns0:c r="W629" s="17" t="n"/>
      <ns0:c r="X629" s="17" t="n"/>
      <ns0:c r="Y629" s="17" t="n"/>
      <ns0:c r="Z629" s="17" t="n"/>
      <ns0:c r="AA629" s="17" t="n"/>
      <ns0:c r="AB629" s="17" t="n"/>
      <ns0:c r="AC629" s="17" t="n"/>
      <ns0:c r="AD629" s="17" t="n"/>
      <ns0:c r="AE629" s="17" t="n"/>
      <ns0:c r="AF629" s="17" t="n"/>
      <ns0:c r="AG629" s="17" t="n"/>
    </ns0:row>
    <ns0:row r="630" ht="24" customHeight="1">
      <ns0:c r="D630" s="17" t="n"/>
      <ns0:c r="E630" s="17" t="n"/>
      <ns0:c r="F630" s="17" t="n"/>
      <ns0:c r="G630" s="17" t="n"/>
      <ns0:c r="H630" s="17" t="n"/>
      <ns0:c r="I630" s="17" t="n"/>
      <ns0:c r="J630" s="17" t="n"/>
      <ns0:c r="K630" s="17" t="n"/>
      <ns0:c r="L630" s="17" t="n"/>
      <ns0:c r="M630" s="17" t="n"/>
      <ns0:c r="N630" s="17" t="n"/>
      <ns0:c r="O630" s="17" t="n"/>
      <ns0:c r="P630" s="17" t="n"/>
      <ns0:c r="Q630" s="17" t="n"/>
      <ns0:c r="R630" s="17" t="n"/>
      <ns0:c r="S630" s="17" t="n"/>
      <ns0:c r="T630" s="17" t="n"/>
      <ns0:c r="U630" s="17" t="n"/>
      <ns0:c r="V630" s="17" t="n"/>
      <ns0:c r="W630" s="17" t="n"/>
      <ns0:c r="X630" s="17" t="n"/>
      <ns0:c r="Y630" s="17" t="n"/>
      <ns0:c r="Z630" s="17" t="n"/>
      <ns0:c r="AA630" s="17" t="n"/>
      <ns0:c r="AB630" s="17" t="n"/>
      <ns0:c r="AC630" s="17" t="n"/>
      <ns0:c r="AD630" s="17" t="n"/>
      <ns0:c r="AE630" s="17" t="n"/>
      <ns0:c r="AF630" s="17" t="n"/>
      <ns0:c r="AG630" s="17" t="n"/>
    </ns0:row>
    <ns0:row r="631" ht="24" customHeight="1">
      <ns0:c r="D631" s="17" t="n"/>
      <ns0:c r="E631" s="17" t="n"/>
      <ns0:c r="F631" s="17" t="n"/>
      <ns0:c r="G631" s="17" t="n"/>
      <ns0:c r="H631" s="17" t="n"/>
      <ns0:c r="I631" s="17" t="n"/>
      <ns0:c r="J631" s="17" t="n"/>
      <ns0:c r="K631" s="17" t="n"/>
      <ns0:c r="L631" s="17" t="n"/>
      <ns0:c r="M631" s="17" t="n"/>
      <ns0:c r="N631" s="17" t="n"/>
      <ns0:c r="O631" s="17" t="n"/>
      <ns0:c r="P631" s="17" t="n"/>
      <ns0:c r="Q631" s="17" t="n"/>
      <ns0:c r="R631" s="17" t="n"/>
      <ns0:c r="S631" s="17" t="n"/>
      <ns0:c r="T631" s="17" t="n"/>
      <ns0:c r="U631" s="17" t="n"/>
      <ns0:c r="V631" s="17" t="n"/>
      <ns0:c r="W631" s="17" t="n"/>
      <ns0:c r="X631" s="17" t="n"/>
      <ns0:c r="Y631" s="17" t="n"/>
      <ns0:c r="Z631" s="17" t="n"/>
      <ns0:c r="AA631" s="17" t="n"/>
      <ns0:c r="AB631" s="17" t="n"/>
      <ns0:c r="AC631" s="17" t="n"/>
      <ns0:c r="AD631" s="17" t="n"/>
      <ns0:c r="AE631" s="17" t="n"/>
      <ns0:c r="AF631" s="17" t="n"/>
      <ns0:c r="AG631" s="17" t="n"/>
    </ns0:row>
    <ns0:row r="632" ht="24" customHeight="1">
      <ns0:c r="D632" s="17" t="n"/>
      <ns0:c r="E632" s="17" t="n"/>
      <ns0:c r="F632" s="17" t="n"/>
      <ns0:c r="G632" s="17" t="n"/>
      <ns0:c r="H632" s="17" t="n"/>
      <ns0:c r="I632" s="17" t="n"/>
      <ns0:c r="J632" s="17" t="n"/>
      <ns0:c r="K632" s="17" t="n"/>
      <ns0:c r="L632" s="17" t="n"/>
      <ns0:c r="M632" s="17" t="n"/>
      <ns0:c r="N632" s="17" t="n"/>
      <ns0:c r="O632" s="17" t="n"/>
      <ns0:c r="P632" s="17" t="n"/>
      <ns0:c r="Q632" s="17" t="n"/>
      <ns0:c r="R632" s="17" t="n"/>
      <ns0:c r="S632" s="17" t="n"/>
      <ns0:c r="T632" s="17" t="n"/>
      <ns0:c r="U632" s="17" t="n"/>
      <ns0:c r="V632" s="17" t="n"/>
      <ns0:c r="W632" s="17" t="n"/>
      <ns0:c r="X632" s="17" t="n"/>
      <ns0:c r="Y632" s="17" t="n"/>
      <ns0:c r="Z632" s="17" t="n"/>
      <ns0:c r="AA632" s="17" t="n"/>
      <ns0:c r="AB632" s="17" t="n"/>
      <ns0:c r="AC632" s="17" t="n"/>
      <ns0:c r="AD632" s="17" t="n"/>
      <ns0:c r="AE632" s="17" t="n"/>
      <ns0:c r="AF632" s="17" t="n"/>
      <ns0:c r="AG632" s="17" t="n"/>
    </ns0:row>
    <ns0:row r="633" ht="24" customHeight="1">
      <ns0:c r="D633" s="17" t="n"/>
      <ns0:c r="E633" s="17" t="n"/>
      <ns0:c r="F633" s="17" t="n"/>
      <ns0:c r="G633" s="17" t="n"/>
      <ns0:c r="H633" s="17" t="n"/>
      <ns0:c r="I633" s="17" t="n"/>
      <ns0:c r="J633" s="17" t="n"/>
      <ns0:c r="K633" s="17" t="n"/>
      <ns0:c r="L633" s="17" t="n"/>
      <ns0:c r="M633" s="17" t="n"/>
      <ns0:c r="N633" s="17" t="n"/>
      <ns0:c r="O633" s="17" t="n"/>
      <ns0:c r="P633" s="17" t="n"/>
      <ns0:c r="Q633" s="17" t="n"/>
      <ns0:c r="R633" s="17" t="n"/>
      <ns0:c r="S633" s="17" t="n"/>
      <ns0:c r="T633" s="17" t="n"/>
      <ns0:c r="U633" s="17" t="n"/>
      <ns0:c r="V633" s="17" t="n"/>
      <ns0:c r="W633" s="17" t="n"/>
      <ns0:c r="X633" s="17" t="n"/>
      <ns0:c r="Y633" s="17" t="n"/>
      <ns0:c r="Z633" s="17" t="n"/>
      <ns0:c r="AA633" s="17" t="n"/>
      <ns0:c r="AB633" s="17" t="n"/>
      <ns0:c r="AC633" s="17" t="n"/>
      <ns0:c r="AD633" s="17" t="n"/>
      <ns0:c r="AE633" s="17" t="n"/>
      <ns0:c r="AF633" s="17" t="n"/>
      <ns0:c r="AG633" s="17" t="n"/>
    </ns0:row>
    <ns0:row r="634" ht="24" customHeight="1">
      <ns0:c r="D634" s="17" t="n"/>
      <ns0:c r="E634" s="17" t="n"/>
      <ns0:c r="F634" s="17" t="n"/>
      <ns0:c r="G634" s="17" t="n"/>
      <ns0:c r="H634" s="17" t="n"/>
      <ns0:c r="I634" s="17" t="n"/>
      <ns0:c r="J634" s="17" t="n"/>
      <ns0:c r="K634" s="17" t="n"/>
      <ns0:c r="L634" s="17" t="n"/>
      <ns0:c r="M634" s="17" t="n"/>
      <ns0:c r="N634" s="17" t="n"/>
      <ns0:c r="O634" s="17" t="n"/>
      <ns0:c r="P634" s="17" t="n"/>
      <ns0:c r="Q634" s="17" t="n"/>
      <ns0:c r="R634" s="17" t="n"/>
      <ns0:c r="S634" s="17" t="n"/>
      <ns0:c r="T634" s="17" t="n"/>
      <ns0:c r="U634" s="17" t="n"/>
      <ns0:c r="V634" s="17" t="n"/>
      <ns0:c r="W634" s="17" t="n"/>
      <ns0:c r="X634" s="17" t="n"/>
      <ns0:c r="Y634" s="17" t="n"/>
      <ns0:c r="Z634" s="17" t="n"/>
      <ns0:c r="AA634" s="17" t="n"/>
      <ns0:c r="AB634" s="17" t="n"/>
      <ns0:c r="AC634" s="17" t="n"/>
      <ns0:c r="AD634" s="17" t="n"/>
      <ns0:c r="AE634" s="17" t="n"/>
      <ns0:c r="AF634" s="17" t="n"/>
      <ns0:c r="AG634" s="17" t="n"/>
    </ns0:row>
    <ns0:row r="635" ht="24" customHeight="1">
      <ns0:c r="D635" s="17" t="n"/>
      <ns0:c r="E635" s="17" t="n"/>
      <ns0:c r="F635" s="17" t="n"/>
      <ns0:c r="G635" s="17" t="n"/>
      <ns0:c r="H635" s="17" t="n"/>
      <ns0:c r="I635" s="17" t="n"/>
      <ns0:c r="J635" s="17" t="n"/>
      <ns0:c r="K635" s="17" t="n"/>
      <ns0:c r="L635" s="17" t="n"/>
      <ns0:c r="M635" s="17" t="n"/>
      <ns0:c r="N635" s="17" t="n"/>
      <ns0:c r="O635" s="17" t="n"/>
      <ns0:c r="P635" s="17" t="n"/>
      <ns0:c r="Q635" s="17" t="n"/>
      <ns0:c r="R635" s="17" t="n"/>
      <ns0:c r="S635" s="17" t="n"/>
      <ns0:c r="T635" s="17" t="n"/>
      <ns0:c r="U635" s="17" t="n"/>
      <ns0:c r="V635" s="17" t="n"/>
      <ns0:c r="W635" s="17" t="n"/>
      <ns0:c r="X635" s="17" t="n"/>
      <ns0:c r="Y635" s="17" t="n"/>
      <ns0:c r="Z635" s="17" t="n"/>
      <ns0:c r="AA635" s="17" t="n"/>
      <ns0:c r="AB635" s="17" t="n"/>
      <ns0:c r="AC635" s="17" t="n"/>
      <ns0:c r="AD635" s="17" t="n"/>
      <ns0:c r="AE635" s="17" t="n"/>
      <ns0:c r="AF635" s="17" t="n"/>
      <ns0:c r="AG635" s="17" t="n"/>
    </ns0:row>
    <ns0:row r="636" ht="24" customHeight="1">
      <ns0:c r="D636" s="17" t="n"/>
      <ns0:c r="E636" s="17" t="n"/>
      <ns0:c r="F636" s="17" t="n"/>
      <ns0:c r="G636" s="17" t="n"/>
      <ns0:c r="H636" s="17" t="n"/>
      <ns0:c r="I636" s="17" t="n"/>
      <ns0:c r="J636" s="17" t="n"/>
      <ns0:c r="K636" s="17" t="n"/>
      <ns0:c r="L636" s="17" t="n"/>
      <ns0:c r="M636" s="17" t="n"/>
      <ns0:c r="N636" s="17" t="n"/>
      <ns0:c r="O636" s="17" t="n"/>
      <ns0:c r="P636" s="17" t="n"/>
      <ns0:c r="Q636" s="17" t="n"/>
      <ns0:c r="R636" s="17" t="n"/>
      <ns0:c r="S636" s="17" t="n"/>
      <ns0:c r="T636" s="17" t="n"/>
      <ns0:c r="U636" s="17" t="n"/>
      <ns0:c r="V636" s="17" t="n"/>
      <ns0:c r="W636" s="17" t="n"/>
      <ns0:c r="X636" s="17" t="n"/>
      <ns0:c r="Y636" s="17" t="n"/>
      <ns0:c r="Z636" s="17" t="n"/>
      <ns0:c r="AA636" s="17" t="n"/>
      <ns0:c r="AB636" s="17" t="n"/>
      <ns0:c r="AC636" s="17" t="n"/>
      <ns0:c r="AD636" s="17" t="n"/>
      <ns0:c r="AE636" s="17" t="n"/>
      <ns0:c r="AF636" s="17" t="n"/>
      <ns0:c r="AG636" s="17" t="n"/>
    </ns0:row>
    <ns0:row r="637" ht="24" customHeight="1">
      <ns0:c r="D637" s="17" t="n"/>
      <ns0:c r="E637" s="17" t="n"/>
      <ns0:c r="F637" s="17" t="n"/>
      <ns0:c r="G637" s="17" t="n"/>
      <ns0:c r="H637" s="17" t="n"/>
      <ns0:c r="I637" s="17" t="n"/>
      <ns0:c r="J637" s="17" t="n"/>
      <ns0:c r="K637" s="17" t="n"/>
      <ns0:c r="L637" s="17" t="n"/>
      <ns0:c r="M637" s="17" t="n"/>
      <ns0:c r="N637" s="17" t="n"/>
      <ns0:c r="O637" s="17" t="n"/>
      <ns0:c r="P637" s="17" t="n"/>
      <ns0:c r="Q637" s="17" t="n"/>
      <ns0:c r="R637" s="17" t="n"/>
      <ns0:c r="S637" s="17" t="n"/>
      <ns0:c r="T637" s="17" t="n"/>
      <ns0:c r="U637" s="17" t="n"/>
      <ns0:c r="V637" s="17" t="n"/>
      <ns0:c r="W637" s="17" t="n"/>
      <ns0:c r="X637" s="17" t="n"/>
      <ns0:c r="Y637" s="17" t="n"/>
      <ns0:c r="Z637" s="17" t="n"/>
      <ns0:c r="AA637" s="17" t="n"/>
      <ns0:c r="AB637" s="17" t="n"/>
      <ns0:c r="AC637" s="17" t="n"/>
      <ns0:c r="AD637" s="17" t="n"/>
      <ns0:c r="AE637" s="17" t="n"/>
      <ns0:c r="AF637" s="17" t="n"/>
      <ns0:c r="AG637" s="17" t="n"/>
    </ns0:row>
    <ns0:row r="638" ht="24" customHeight="1">
      <ns0:c r="D638" s="17" t="n"/>
      <ns0:c r="E638" s="17" t="n"/>
      <ns0:c r="F638" s="17" t="n"/>
      <ns0:c r="G638" s="17" t="n"/>
      <ns0:c r="H638" s="17" t="n"/>
      <ns0:c r="I638" s="17" t="n"/>
      <ns0:c r="J638" s="17" t="n"/>
      <ns0:c r="K638" s="17" t="n"/>
      <ns0:c r="L638" s="17" t="n"/>
      <ns0:c r="M638" s="17" t="n"/>
      <ns0:c r="N638" s="17" t="n"/>
      <ns0:c r="O638" s="17" t="n"/>
      <ns0:c r="P638" s="17" t="n"/>
      <ns0:c r="Q638" s="17" t="n"/>
      <ns0:c r="R638" s="17" t="n"/>
      <ns0:c r="S638" s="17" t="n"/>
      <ns0:c r="T638" s="17" t="n"/>
      <ns0:c r="U638" s="17" t="n"/>
      <ns0:c r="V638" s="17" t="n"/>
      <ns0:c r="W638" s="17" t="n"/>
      <ns0:c r="X638" s="17" t="n"/>
      <ns0:c r="Y638" s="17" t="n"/>
      <ns0:c r="Z638" s="17" t="n"/>
      <ns0:c r="AA638" s="17" t="n"/>
      <ns0:c r="AB638" s="17" t="n"/>
      <ns0:c r="AC638" s="17" t="n"/>
      <ns0:c r="AD638" s="17" t="n"/>
      <ns0:c r="AE638" s="17" t="n"/>
      <ns0:c r="AF638" s="17" t="n"/>
      <ns0:c r="AG638" s="17" t="n"/>
    </ns0:row>
    <ns0:row r="639" ht="24" customHeight="1">
      <ns0:c r="D639" s="17" t="n"/>
      <ns0:c r="E639" s="17" t="n"/>
      <ns0:c r="F639" s="17" t="n"/>
      <ns0:c r="G639" s="17" t="n"/>
      <ns0:c r="H639" s="17" t="n"/>
      <ns0:c r="I639" s="17" t="n"/>
      <ns0:c r="J639" s="17" t="n"/>
      <ns0:c r="K639" s="17" t="n"/>
      <ns0:c r="L639" s="17" t="n"/>
      <ns0:c r="M639" s="17" t="n"/>
      <ns0:c r="N639" s="17" t="n"/>
      <ns0:c r="O639" s="17" t="n"/>
      <ns0:c r="P639" s="17" t="n"/>
      <ns0:c r="Q639" s="17" t="n"/>
      <ns0:c r="R639" s="17" t="n"/>
      <ns0:c r="S639" s="17" t="n"/>
      <ns0:c r="T639" s="17" t="n"/>
      <ns0:c r="U639" s="17" t="n"/>
      <ns0:c r="V639" s="17" t="n"/>
      <ns0:c r="W639" s="17" t="n"/>
      <ns0:c r="X639" s="17" t="n"/>
      <ns0:c r="Y639" s="17" t="n"/>
      <ns0:c r="Z639" s="17" t="n"/>
      <ns0:c r="AA639" s="17" t="n"/>
      <ns0:c r="AB639" s="17" t="n"/>
      <ns0:c r="AC639" s="17" t="n"/>
      <ns0:c r="AD639" s="17" t="n"/>
      <ns0:c r="AE639" s="17" t="n"/>
      <ns0:c r="AF639" s="17" t="n"/>
      <ns0:c r="AG639" s="17" t="n"/>
    </ns0:row>
    <ns0:row r="640" ht="24" customHeight="1">
      <ns0:c r="D640" s="17" t="n"/>
      <ns0:c r="E640" s="17" t="n"/>
      <ns0:c r="F640" s="17" t="n"/>
      <ns0:c r="G640" s="17" t="n"/>
      <ns0:c r="H640" s="17" t="n"/>
      <ns0:c r="I640" s="17" t="n"/>
      <ns0:c r="J640" s="17" t="n"/>
      <ns0:c r="K640" s="17" t="n"/>
      <ns0:c r="L640" s="17" t="n"/>
      <ns0:c r="M640" s="17" t="n"/>
      <ns0:c r="N640" s="17" t="n"/>
      <ns0:c r="O640" s="17" t="n"/>
      <ns0:c r="P640" s="17" t="n"/>
      <ns0:c r="Q640" s="17" t="n"/>
      <ns0:c r="R640" s="17" t="n"/>
      <ns0:c r="S640" s="17" t="n"/>
      <ns0:c r="T640" s="17" t="n"/>
      <ns0:c r="U640" s="17" t="n"/>
      <ns0:c r="V640" s="17" t="n"/>
      <ns0:c r="W640" s="17" t="n"/>
      <ns0:c r="X640" s="17" t="n"/>
      <ns0:c r="Y640" s="17" t="n"/>
      <ns0:c r="Z640" s="17" t="n"/>
      <ns0:c r="AA640" s="17" t="n"/>
      <ns0:c r="AB640" s="17" t="n"/>
      <ns0:c r="AC640" s="17" t="n"/>
      <ns0:c r="AD640" s="17" t="n"/>
      <ns0:c r="AE640" s="17" t="n"/>
      <ns0:c r="AF640" s="17" t="n"/>
      <ns0:c r="AG640" s="17" t="n"/>
    </ns0:row>
    <ns0:row r="641" ht="24" customHeight="1">
      <ns0:c r="D641" s="17" t="n"/>
      <ns0:c r="E641" s="17" t="n"/>
      <ns0:c r="F641" s="17" t="n"/>
      <ns0:c r="G641" s="17" t="n"/>
      <ns0:c r="H641" s="17" t="n"/>
      <ns0:c r="I641" s="17" t="n"/>
      <ns0:c r="J641" s="17" t="n"/>
      <ns0:c r="K641" s="17" t="n"/>
      <ns0:c r="L641" s="17" t="n"/>
      <ns0:c r="M641" s="17" t="n"/>
      <ns0:c r="N641" s="17" t="n"/>
      <ns0:c r="O641" s="17" t="n"/>
      <ns0:c r="P641" s="17" t="n"/>
      <ns0:c r="Q641" s="17" t="n"/>
      <ns0:c r="R641" s="17" t="n"/>
      <ns0:c r="S641" s="17" t="n"/>
      <ns0:c r="T641" s="17" t="n"/>
      <ns0:c r="U641" s="17" t="n"/>
      <ns0:c r="V641" s="17" t="n"/>
      <ns0:c r="W641" s="17" t="n"/>
      <ns0:c r="X641" s="17" t="n"/>
      <ns0:c r="Y641" s="17" t="n"/>
      <ns0:c r="Z641" s="17" t="n"/>
      <ns0:c r="AA641" s="17" t="n"/>
      <ns0:c r="AB641" s="17" t="n"/>
      <ns0:c r="AC641" s="17" t="n"/>
      <ns0:c r="AD641" s="17" t="n"/>
      <ns0:c r="AE641" s="17" t="n"/>
      <ns0:c r="AF641" s="17" t="n"/>
      <ns0:c r="AG641" s="17" t="n"/>
    </ns0:row>
    <ns0:row r="642" ht="24" customHeight="1">
      <ns0:c r="D642" s="17" t="n"/>
      <ns0:c r="E642" s="17" t="n"/>
      <ns0:c r="F642" s="17" t="n"/>
      <ns0:c r="G642" s="17" t="n"/>
      <ns0:c r="H642" s="17" t="n"/>
      <ns0:c r="I642" s="17" t="n"/>
      <ns0:c r="J642" s="17" t="n"/>
      <ns0:c r="K642" s="17" t="n"/>
      <ns0:c r="L642" s="17" t="n"/>
      <ns0:c r="M642" s="17" t="n"/>
      <ns0:c r="N642" s="17" t="n"/>
      <ns0:c r="O642" s="17" t="n"/>
      <ns0:c r="P642" s="17" t="n"/>
      <ns0:c r="Q642" s="17" t="n"/>
      <ns0:c r="R642" s="17" t="n"/>
      <ns0:c r="S642" s="17" t="n"/>
      <ns0:c r="T642" s="17" t="n"/>
      <ns0:c r="U642" s="17" t="n"/>
      <ns0:c r="V642" s="17" t="n"/>
      <ns0:c r="W642" s="17" t="n"/>
      <ns0:c r="X642" s="17" t="n"/>
      <ns0:c r="Y642" s="17" t="n"/>
      <ns0:c r="Z642" s="17" t="n"/>
      <ns0:c r="AA642" s="17" t="n"/>
      <ns0:c r="AB642" s="17" t="n"/>
      <ns0:c r="AC642" s="17" t="n"/>
      <ns0:c r="AD642" s="17" t="n"/>
      <ns0:c r="AE642" s="17" t="n"/>
      <ns0:c r="AF642" s="17" t="n"/>
      <ns0:c r="AG642" s="17" t="n"/>
    </ns0:row>
    <ns0:row r="643" ht="24" customHeight="1">
      <ns0:c r="D643" s="17" t="n"/>
      <ns0:c r="E643" s="17" t="n"/>
      <ns0:c r="F643" s="17" t="n"/>
      <ns0:c r="G643" s="17" t="n"/>
      <ns0:c r="H643" s="17" t="n"/>
      <ns0:c r="I643" s="17" t="n"/>
      <ns0:c r="J643" s="17" t="n"/>
      <ns0:c r="K643" s="17" t="n"/>
      <ns0:c r="L643" s="17" t="n"/>
      <ns0:c r="M643" s="17" t="n"/>
      <ns0:c r="N643" s="17" t="n"/>
      <ns0:c r="O643" s="17" t="n"/>
      <ns0:c r="P643" s="17" t="n"/>
      <ns0:c r="Q643" s="17" t="n"/>
      <ns0:c r="R643" s="17" t="n"/>
      <ns0:c r="S643" s="17" t="n"/>
      <ns0:c r="T643" s="17" t="n"/>
      <ns0:c r="U643" s="17" t="n"/>
      <ns0:c r="V643" s="17" t="n"/>
      <ns0:c r="W643" s="17" t="n"/>
      <ns0:c r="X643" s="17" t="n"/>
      <ns0:c r="Y643" s="17" t="n"/>
      <ns0:c r="Z643" s="17" t="n"/>
      <ns0:c r="AA643" s="17" t="n"/>
      <ns0:c r="AB643" s="17" t="n"/>
      <ns0:c r="AC643" s="17" t="n"/>
      <ns0:c r="AD643" s="17" t="n"/>
      <ns0:c r="AE643" s="17" t="n"/>
      <ns0:c r="AF643" s="17" t="n"/>
      <ns0:c r="AG643" s="17" t="n"/>
    </ns0:row>
    <ns0:row r="644" ht="24" customHeight="1">
      <ns0:c r="D644" s="17" t="n"/>
      <ns0:c r="E644" s="17" t="n"/>
      <ns0:c r="F644" s="17" t="n"/>
      <ns0:c r="G644" s="17" t="n"/>
      <ns0:c r="H644" s="17" t="n"/>
      <ns0:c r="I644" s="17" t="n"/>
      <ns0:c r="J644" s="17" t="n"/>
      <ns0:c r="K644" s="17" t="n"/>
      <ns0:c r="L644" s="17" t="n"/>
      <ns0:c r="M644" s="17" t="n"/>
      <ns0:c r="N644" s="17" t="n"/>
      <ns0:c r="O644" s="17" t="n"/>
      <ns0:c r="P644" s="17" t="n"/>
      <ns0:c r="Q644" s="17" t="n"/>
      <ns0:c r="R644" s="17" t="n"/>
      <ns0:c r="S644" s="17" t="n"/>
      <ns0:c r="T644" s="17" t="n"/>
      <ns0:c r="U644" s="17" t="n"/>
      <ns0:c r="V644" s="17" t="n"/>
      <ns0:c r="W644" s="17" t="n"/>
      <ns0:c r="X644" s="17" t="n"/>
      <ns0:c r="Y644" s="17" t="n"/>
      <ns0:c r="Z644" s="17" t="n"/>
      <ns0:c r="AA644" s="17" t="n"/>
      <ns0:c r="AB644" s="17" t="n"/>
      <ns0:c r="AC644" s="17" t="n"/>
      <ns0:c r="AD644" s="17" t="n"/>
      <ns0:c r="AE644" s="17" t="n"/>
      <ns0:c r="AF644" s="17" t="n"/>
      <ns0:c r="AG644" s="17" t="n"/>
    </ns0:row>
    <ns0:row r="645" ht="24" customHeight="1">
      <ns0:c r="D645" s="17" t="n"/>
      <ns0:c r="E645" s="17" t="n"/>
      <ns0:c r="F645" s="17" t="n"/>
      <ns0:c r="G645" s="17" t="n"/>
      <ns0:c r="H645" s="17" t="n"/>
      <ns0:c r="I645" s="17" t="n"/>
      <ns0:c r="J645" s="17" t="n"/>
      <ns0:c r="K645" s="17" t="n"/>
      <ns0:c r="L645" s="17" t="n"/>
      <ns0:c r="M645" s="17" t="n"/>
      <ns0:c r="N645" s="17" t="n"/>
      <ns0:c r="O645" s="17" t="n"/>
      <ns0:c r="P645" s="17" t="n"/>
      <ns0:c r="Q645" s="17" t="n"/>
      <ns0:c r="R645" s="17" t="n"/>
      <ns0:c r="S645" s="17" t="n"/>
      <ns0:c r="T645" s="17" t="n"/>
      <ns0:c r="U645" s="17" t="n"/>
      <ns0:c r="V645" s="17" t="n"/>
      <ns0:c r="W645" s="17" t="n"/>
      <ns0:c r="X645" s="17" t="n"/>
      <ns0:c r="Y645" s="17" t="n"/>
      <ns0:c r="Z645" s="17" t="n"/>
      <ns0:c r="AA645" s="17" t="n"/>
      <ns0:c r="AB645" s="17" t="n"/>
      <ns0:c r="AC645" s="17" t="n"/>
      <ns0:c r="AD645" s="17" t="n"/>
      <ns0:c r="AE645" s="17" t="n"/>
      <ns0:c r="AF645" s="17" t="n"/>
      <ns0:c r="AG645" s="17" t="n"/>
    </ns0:row>
    <ns0:row r="646" ht="24" customHeight="1">
      <ns0:c r="D646" s="17" t="n"/>
      <ns0:c r="E646" s="17" t="n"/>
      <ns0:c r="F646" s="17" t="n"/>
      <ns0:c r="G646" s="17" t="n"/>
      <ns0:c r="H646" s="17" t="n"/>
      <ns0:c r="I646" s="17" t="n"/>
      <ns0:c r="J646" s="17" t="n"/>
      <ns0:c r="K646" s="17" t="n"/>
      <ns0:c r="L646" s="17" t="n"/>
      <ns0:c r="M646" s="17" t="n"/>
      <ns0:c r="N646" s="17" t="n"/>
      <ns0:c r="O646" s="17" t="n"/>
      <ns0:c r="P646" s="17" t="n"/>
      <ns0:c r="Q646" s="17" t="n"/>
      <ns0:c r="R646" s="17" t="n"/>
      <ns0:c r="S646" s="17" t="n"/>
      <ns0:c r="T646" s="17" t="n"/>
      <ns0:c r="U646" s="17" t="n"/>
      <ns0:c r="V646" s="17" t="n"/>
      <ns0:c r="W646" s="17" t="n"/>
      <ns0:c r="X646" s="17" t="n"/>
      <ns0:c r="Y646" s="17" t="n"/>
      <ns0:c r="Z646" s="17" t="n"/>
      <ns0:c r="AA646" s="17" t="n"/>
      <ns0:c r="AB646" s="17" t="n"/>
      <ns0:c r="AC646" s="17" t="n"/>
      <ns0:c r="AD646" s="17" t="n"/>
      <ns0:c r="AE646" s="17" t="n"/>
      <ns0:c r="AF646" s="17" t="n"/>
      <ns0:c r="AG646" s="17" t="n"/>
    </ns0:row>
    <ns0:row r="647" ht="24" customHeight="1">
      <ns0:c r="D647" s="17" t="n"/>
      <ns0:c r="E647" s="17" t="n"/>
      <ns0:c r="F647" s="17" t="n"/>
      <ns0:c r="G647" s="17" t="n"/>
      <ns0:c r="H647" s="17" t="n"/>
      <ns0:c r="I647" s="17" t="n"/>
      <ns0:c r="J647" s="17" t="n"/>
      <ns0:c r="K647" s="17" t="n"/>
      <ns0:c r="L647" s="17" t="n"/>
      <ns0:c r="M647" s="17" t="n"/>
      <ns0:c r="N647" s="17" t="n"/>
      <ns0:c r="O647" s="17" t="n"/>
      <ns0:c r="P647" s="17" t="n"/>
      <ns0:c r="Q647" s="17" t="n"/>
      <ns0:c r="R647" s="17" t="n"/>
      <ns0:c r="S647" s="17" t="n"/>
      <ns0:c r="T647" s="17" t="n"/>
      <ns0:c r="U647" s="17" t="n"/>
      <ns0:c r="V647" s="17" t="n"/>
      <ns0:c r="W647" s="17" t="n"/>
      <ns0:c r="X647" s="17" t="n"/>
      <ns0:c r="Y647" s="17" t="n"/>
      <ns0:c r="Z647" s="17" t="n"/>
      <ns0:c r="AA647" s="17" t="n"/>
      <ns0:c r="AB647" s="17" t="n"/>
      <ns0:c r="AC647" s="17" t="n"/>
      <ns0:c r="AD647" s="17" t="n"/>
      <ns0:c r="AE647" s="17" t="n"/>
      <ns0:c r="AF647" s="17" t="n"/>
      <ns0:c r="AG647" s="17" t="n"/>
    </ns0:row>
    <ns0:row r="648" ht="24" customHeight="1">
      <ns0:c r="D648" s="17" t="n"/>
      <ns0:c r="E648" s="17" t="n"/>
      <ns0:c r="F648" s="17" t="n"/>
      <ns0:c r="G648" s="17" t="n"/>
      <ns0:c r="H648" s="17" t="n"/>
      <ns0:c r="I648" s="17" t="n"/>
      <ns0:c r="J648" s="17" t="n"/>
      <ns0:c r="K648" s="17" t="n"/>
      <ns0:c r="L648" s="17" t="n"/>
      <ns0:c r="M648" s="17" t="n"/>
      <ns0:c r="N648" s="17" t="n"/>
      <ns0:c r="O648" s="17" t="n"/>
      <ns0:c r="P648" s="17" t="n"/>
      <ns0:c r="Q648" s="17" t="n"/>
      <ns0:c r="R648" s="17" t="n"/>
      <ns0:c r="S648" s="17" t="n"/>
      <ns0:c r="T648" s="17" t="n"/>
      <ns0:c r="U648" s="17" t="n"/>
      <ns0:c r="V648" s="17" t="n"/>
      <ns0:c r="W648" s="17" t="n"/>
      <ns0:c r="X648" s="17" t="n"/>
      <ns0:c r="Y648" s="17" t="n"/>
      <ns0:c r="Z648" s="17" t="n"/>
      <ns0:c r="AA648" s="17" t="n"/>
      <ns0:c r="AB648" s="17" t="n"/>
      <ns0:c r="AC648" s="17" t="n"/>
      <ns0:c r="AD648" s="17" t="n"/>
      <ns0:c r="AE648" s="17" t="n"/>
      <ns0:c r="AF648" s="17" t="n"/>
      <ns0:c r="AG648" s="17" t="n"/>
    </ns0:row>
    <ns0:row r="649" ht="24" customHeight="1">
      <ns0:c r="D649" s="17" t="n"/>
      <ns0:c r="E649" s="17" t="n"/>
      <ns0:c r="F649" s="17" t="n"/>
      <ns0:c r="G649" s="17" t="n"/>
      <ns0:c r="H649" s="17" t="n"/>
      <ns0:c r="I649" s="17" t="n"/>
      <ns0:c r="J649" s="17" t="n"/>
      <ns0:c r="K649" s="17" t="n"/>
      <ns0:c r="L649" s="17" t="n"/>
      <ns0:c r="M649" s="17" t="n"/>
      <ns0:c r="N649" s="17" t="n"/>
      <ns0:c r="O649" s="17" t="n"/>
      <ns0:c r="P649" s="17" t="n"/>
      <ns0:c r="Q649" s="17" t="n"/>
      <ns0:c r="R649" s="17" t="n"/>
      <ns0:c r="S649" s="17" t="n"/>
      <ns0:c r="T649" s="17" t="n"/>
      <ns0:c r="U649" s="17" t="n"/>
      <ns0:c r="V649" s="17" t="n"/>
      <ns0:c r="W649" s="17" t="n"/>
      <ns0:c r="X649" s="17" t="n"/>
      <ns0:c r="Y649" s="17" t="n"/>
      <ns0:c r="Z649" s="17" t="n"/>
      <ns0:c r="AA649" s="17" t="n"/>
      <ns0:c r="AB649" s="17" t="n"/>
      <ns0:c r="AC649" s="17" t="n"/>
      <ns0:c r="AD649" s="17" t="n"/>
      <ns0:c r="AE649" s="17" t="n"/>
      <ns0:c r="AF649" s="17" t="n"/>
      <ns0:c r="AG649" s="17" t="n"/>
    </ns0:row>
    <ns0:row r="650" ht="24" customHeight="1">
      <ns0:c r="D650" s="17" t="n"/>
      <ns0:c r="E650" s="17" t="n"/>
      <ns0:c r="F650" s="17" t="n"/>
      <ns0:c r="G650" s="17" t="n"/>
      <ns0:c r="H650" s="17" t="n"/>
      <ns0:c r="I650" s="17" t="n"/>
      <ns0:c r="J650" s="17" t="n"/>
      <ns0:c r="K650" s="17" t="n"/>
      <ns0:c r="L650" s="17" t="n"/>
      <ns0:c r="M650" s="17" t="n"/>
      <ns0:c r="N650" s="17" t="n"/>
      <ns0:c r="O650" s="17" t="n"/>
      <ns0:c r="P650" s="17" t="n"/>
      <ns0:c r="Q650" s="17" t="n"/>
      <ns0:c r="R650" s="17" t="n"/>
      <ns0:c r="S650" s="17" t="n"/>
      <ns0:c r="T650" s="17" t="n"/>
      <ns0:c r="U650" s="17" t="n"/>
      <ns0:c r="V650" s="17" t="n"/>
      <ns0:c r="W650" s="17" t="n"/>
      <ns0:c r="X650" s="17" t="n"/>
      <ns0:c r="Y650" s="17" t="n"/>
      <ns0:c r="Z650" s="17" t="n"/>
      <ns0:c r="AA650" s="17" t="n"/>
      <ns0:c r="AB650" s="17" t="n"/>
      <ns0:c r="AC650" s="17" t="n"/>
      <ns0:c r="AD650" s="17" t="n"/>
      <ns0:c r="AE650" s="17" t="n"/>
      <ns0:c r="AF650" s="17" t="n"/>
      <ns0:c r="AG650" s="17" t="n"/>
    </ns0:row>
    <ns0:row r="651" ht="24" customHeight="1">
      <ns0:c r="D651" s="17" t="n"/>
      <ns0:c r="E651" s="17" t="n"/>
      <ns0:c r="F651" s="17" t="n"/>
      <ns0:c r="G651" s="17" t="n"/>
      <ns0:c r="H651" s="17" t="n"/>
      <ns0:c r="I651" s="17" t="n"/>
      <ns0:c r="J651" s="17" t="n"/>
      <ns0:c r="K651" s="17" t="n"/>
      <ns0:c r="L651" s="17" t="n"/>
      <ns0:c r="M651" s="17" t="n"/>
      <ns0:c r="N651" s="17" t="n"/>
      <ns0:c r="O651" s="17" t="n"/>
      <ns0:c r="P651" s="17" t="n"/>
      <ns0:c r="Q651" s="17" t="n"/>
      <ns0:c r="R651" s="17" t="n"/>
      <ns0:c r="S651" s="17" t="n"/>
      <ns0:c r="T651" s="17" t="n"/>
      <ns0:c r="U651" s="17" t="n"/>
      <ns0:c r="V651" s="17" t="n"/>
      <ns0:c r="W651" s="17" t="n"/>
      <ns0:c r="X651" s="17" t="n"/>
      <ns0:c r="Y651" s="17" t="n"/>
      <ns0:c r="Z651" s="17" t="n"/>
      <ns0:c r="AA651" s="17" t="n"/>
      <ns0:c r="AB651" s="17" t="n"/>
      <ns0:c r="AC651" s="17" t="n"/>
      <ns0:c r="AD651" s="17" t="n"/>
      <ns0:c r="AE651" s="17" t="n"/>
      <ns0:c r="AF651" s="17" t="n"/>
      <ns0:c r="AG651" s="17" t="n"/>
    </ns0:row>
    <ns0:row r="652" ht="24" customHeight="1">
      <ns0:c r="D652" s="17" t="n"/>
      <ns0:c r="E652" s="17" t="n"/>
      <ns0:c r="F652" s="17" t="n"/>
      <ns0:c r="G652" s="17" t="n"/>
      <ns0:c r="H652" s="17" t="n"/>
      <ns0:c r="I652" s="17" t="n"/>
      <ns0:c r="J652" s="17" t="n"/>
      <ns0:c r="K652" s="17" t="n"/>
      <ns0:c r="L652" s="17" t="n"/>
      <ns0:c r="M652" s="17" t="n"/>
      <ns0:c r="N652" s="17" t="n"/>
      <ns0:c r="O652" s="17" t="n"/>
      <ns0:c r="P652" s="17" t="n"/>
      <ns0:c r="Q652" s="17" t="n"/>
      <ns0:c r="R652" s="17" t="n"/>
      <ns0:c r="S652" s="17" t="n"/>
      <ns0:c r="T652" s="17" t="n"/>
      <ns0:c r="U652" s="17" t="n"/>
      <ns0:c r="V652" s="17" t="n"/>
      <ns0:c r="W652" s="17" t="n"/>
      <ns0:c r="X652" s="17" t="n"/>
      <ns0:c r="Y652" s="17" t="n"/>
      <ns0:c r="Z652" s="17" t="n"/>
      <ns0:c r="AA652" s="17" t="n"/>
      <ns0:c r="AB652" s="17" t="n"/>
      <ns0:c r="AC652" s="17" t="n"/>
      <ns0:c r="AD652" s="17" t="n"/>
      <ns0:c r="AE652" s="17" t="n"/>
      <ns0:c r="AF652" s="17" t="n"/>
      <ns0:c r="AG652" s="17" t="n"/>
    </ns0:row>
    <ns0:row r="653" ht="24" customHeight="1">
      <ns0:c r="D653" s="17" t="n"/>
      <ns0:c r="E653" s="17" t="n"/>
      <ns0:c r="F653" s="17" t="n"/>
      <ns0:c r="G653" s="17" t="n"/>
      <ns0:c r="H653" s="17" t="n"/>
      <ns0:c r="I653" s="17" t="n"/>
      <ns0:c r="J653" s="17" t="n"/>
      <ns0:c r="K653" s="17" t="n"/>
      <ns0:c r="L653" s="17" t="n"/>
      <ns0:c r="M653" s="17" t="n"/>
      <ns0:c r="N653" s="17" t="n"/>
      <ns0:c r="O653" s="17" t="n"/>
      <ns0:c r="P653" s="17" t="n"/>
      <ns0:c r="Q653" s="17" t="n"/>
      <ns0:c r="R653" s="17" t="n"/>
      <ns0:c r="S653" s="17" t="n"/>
      <ns0:c r="T653" s="17" t="n"/>
      <ns0:c r="U653" s="17" t="n"/>
      <ns0:c r="V653" s="17" t="n"/>
      <ns0:c r="W653" s="17" t="n"/>
      <ns0:c r="X653" s="17" t="n"/>
      <ns0:c r="Y653" s="17" t="n"/>
      <ns0:c r="Z653" s="17" t="n"/>
      <ns0:c r="AA653" s="17" t="n"/>
      <ns0:c r="AB653" s="17" t="n"/>
      <ns0:c r="AC653" s="17" t="n"/>
      <ns0:c r="AD653" s="17" t="n"/>
      <ns0:c r="AE653" s="17" t="n"/>
      <ns0:c r="AF653" s="17" t="n"/>
      <ns0:c r="AG653" s="17" t="n"/>
    </ns0:row>
    <ns0:row r="654" ht="24" customHeight="1">
      <ns0:c r="D654" s="17" t="n"/>
      <ns0:c r="E654" s="17" t="n"/>
      <ns0:c r="F654" s="17" t="n"/>
      <ns0:c r="G654" s="17" t="n"/>
      <ns0:c r="H654" s="17" t="n"/>
      <ns0:c r="I654" s="17" t="n"/>
      <ns0:c r="J654" s="17" t="n"/>
      <ns0:c r="K654" s="17" t="n"/>
      <ns0:c r="L654" s="17" t="n"/>
      <ns0:c r="M654" s="17" t="n"/>
      <ns0:c r="N654" s="17" t="n"/>
      <ns0:c r="O654" s="17" t="n"/>
      <ns0:c r="P654" s="17" t="n"/>
      <ns0:c r="Q654" s="17" t="n"/>
      <ns0:c r="R654" s="17" t="n"/>
      <ns0:c r="S654" s="17" t="n"/>
      <ns0:c r="T654" s="17" t="n"/>
      <ns0:c r="U654" s="17" t="n"/>
      <ns0:c r="V654" s="17" t="n"/>
      <ns0:c r="W654" s="17" t="n"/>
      <ns0:c r="X654" s="17" t="n"/>
      <ns0:c r="Y654" s="17" t="n"/>
      <ns0:c r="Z654" s="17" t="n"/>
      <ns0:c r="AA654" s="17" t="n"/>
      <ns0:c r="AB654" s="17" t="n"/>
      <ns0:c r="AC654" s="17" t="n"/>
      <ns0:c r="AD654" s="17" t="n"/>
      <ns0:c r="AE654" s="17" t="n"/>
      <ns0:c r="AF654" s="17" t="n"/>
      <ns0:c r="AG654" s="17" t="n"/>
    </ns0:row>
    <ns0:row r="655" ht="24" customHeight="1">
      <ns0:c r="D655" s="17" t="n"/>
      <ns0:c r="E655" s="17" t="n"/>
      <ns0:c r="F655" s="17" t="n"/>
      <ns0:c r="G655" s="17" t="n"/>
      <ns0:c r="H655" s="17" t="n"/>
      <ns0:c r="I655" s="17" t="n"/>
      <ns0:c r="J655" s="17" t="n"/>
      <ns0:c r="K655" s="17" t="n"/>
      <ns0:c r="L655" s="17" t="n"/>
      <ns0:c r="M655" s="17" t="n"/>
      <ns0:c r="N655" s="17" t="n"/>
      <ns0:c r="O655" s="17" t="n"/>
      <ns0:c r="P655" s="17" t="n"/>
      <ns0:c r="Q655" s="17" t="n"/>
      <ns0:c r="R655" s="17" t="n"/>
      <ns0:c r="S655" s="17" t="n"/>
      <ns0:c r="T655" s="17" t="n"/>
      <ns0:c r="U655" s="17" t="n"/>
      <ns0:c r="V655" s="17" t="n"/>
      <ns0:c r="W655" s="17" t="n"/>
      <ns0:c r="X655" s="17" t="n"/>
      <ns0:c r="Y655" s="17" t="n"/>
      <ns0:c r="Z655" s="17" t="n"/>
      <ns0:c r="AA655" s="17" t="n"/>
      <ns0:c r="AB655" s="17" t="n"/>
      <ns0:c r="AC655" s="17" t="n"/>
      <ns0:c r="AD655" s="17" t="n"/>
      <ns0:c r="AE655" s="17" t="n"/>
      <ns0:c r="AF655" s="17" t="n"/>
      <ns0:c r="AG655" s="17" t="n"/>
    </ns0:row>
    <ns0:row r="656" ht="24" customHeight="1">
      <ns0:c r="D656" s="17" t="n"/>
      <ns0:c r="E656" s="17" t="n"/>
      <ns0:c r="F656" s="17" t="n"/>
      <ns0:c r="G656" s="17" t="n"/>
      <ns0:c r="H656" s="17" t="n"/>
      <ns0:c r="I656" s="17" t="n"/>
      <ns0:c r="J656" s="17" t="n"/>
      <ns0:c r="K656" s="17" t="n"/>
      <ns0:c r="L656" s="17" t="n"/>
      <ns0:c r="M656" s="17" t="n"/>
      <ns0:c r="N656" s="17" t="n"/>
      <ns0:c r="O656" s="17" t="n"/>
      <ns0:c r="P656" s="17" t="n"/>
      <ns0:c r="Q656" s="17" t="n"/>
      <ns0:c r="R656" s="17" t="n"/>
      <ns0:c r="S656" s="17" t="n"/>
      <ns0:c r="T656" s="17" t="n"/>
      <ns0:c r="U656" s="17" t="n"/>
      <ns0:c r="V656" s="17" t="n"/>
      <ns0:c r="W656" s="17" t="n"/>
      <ns0:c r="X656" s="17" t="n"/>
      <ns0:c r="Y656" s="17" t="n"/>
      <ns0:c r="Z656" s="17" t="n"/>
      <ns0:c r="AA656" s="17" t="n"/>
      <ns0:c r="AB656" s="17" t="n"/>
      <ns0:c r="AC656" s="17" t="n"/>
      <ns0:c r="AD656" s="17" t="n"/>
      <ns0:c r="AE656" s="17" t="n"/>
      <ns0:c r="AF656" s="17" t="n"/>
      <ns0:c r="AG656" s="17" t="n"/>
    </ns0:row>
    <ns0:row r="657" ht="24" customHeight="1">
      <ns0:c r="D657" s="17" t="n"/>
      <ns0:c r="E657" s="17" t="n"/>
      <ns0:c r="F657" s="17" t="n"/>
      <ns0:c r="G657" s="17" t="n"/>
      <ns0:c r="H657" s="17" t="n"/>
      <ns0:c r="I657" s="17" t="n"/>
      <ns0:c r="J657" s="17" t="n"/>
      <ns0:c r="K657" s="17" t="n"/>
      <ns0:c r="L657" s="17" t="n"/>
      <ns0:c r="M657" s="17" t="n"/>
      <ns0:c r="N657" s="17" t="n"/>
      <ns0:c r="O657" s="17" t="n"/>
      <ns0:c r="P657" s="17" t="n"/>
      <ns0:c r="Q657" s="17" t="n"/>
      <ns0:c r="R657" s="17" t="n"/>
      <ns0:c r="S657" s="17" t="n"/>
      <ns0:c r="T657" s="17" t="n"/>
      <ns0:c r="U657" s="17" t="n"/>
      <ns0:c r="V657" s="17" t="n"/>
      <ns0:c r="W657" s="17" t="n"/>
      <ns0:c r="X657" s="17" t="n"/>
      <ns0:c r="Y657" s="17" t="n"/>
      <ns0:c r="Z657" s="17" t="n"/>
      <ns0:c r="AA657" s="17" t="n"/>
      <ns0:c r="AB657" s="17" t="n"/>
      <ns0:c r="AC657" s="17" t="n"/>
      <ns0:c r="AD657" s="17" t="n"/>
      <ns0:c r="AE657" s="17" t="n"/>
      <ns0:c r="AF657" s="17" t="n"/>
      <ns0:c r="AG657" s="17" t="n"/>
    </ns0:row>
    <ns0:row r="658" ht="24" customHeight="1">
      <ns0:c r="D658" s="17" t="n"/>
      <ns0:c r="E658" s="17" t="n"/>
      <ns0:c r="F658" s="17" t="n"/>
      <ns0:c r="G658" s="17" t="n"/>
      <ns0:c r="H658" s="17" t="n"/>
      <ns0:c r="I658" s="17" t="n"/>
      <ns0:c r="J658" s="17" t="n"/>
      <ns0:c r="K658" s="17" t="n"/>
      <ns0:c r="L658" s="17" t="n"/>
      <ns0:c r="M658" s="17" t="n"/>
      <ns0:c r="N658" s="17" t="n"/>
      <ns0:c r="O658" s="17" t="n"/>
      <ns0:c r="P658" s="17" t="n"/>
      <ns0:c r="Q658" s="17" t="n"/>
      <ns0:c r="R658" s="17" t="n"/>
      <ns0:c r="S658" s="17" t="n"/>
      <ns0:c r="T658" s="17" t="n"/>
      <ns0:c r="U658" s="17" t="n"/>
      <ns0:c r="V658" s="17" t="n"/>
      <ns0:c r="W658" s="17" t="n"/>
      <ns0:c r="X658" s="17" t="n"/>
      <ns0:c r="Y658" s="17" t="n"/>
      <ns0:c r="Z658" s="17" t="n"/>
      <ns0:c r="AA658" s="17" t="n"/>
      <ns0:c r="AB658" s="17" t="n"/>
      <ns0:c r="AC658" s="17" t="n"/>
      <ns0:c r="AD658" s="17" t="n"/>
      <ns0:c r="AE658" s="17" t="n"/>
      <ns0:c r="AF658" s="17" t="n"/>
      <ns0:c r="AG658" s="17" t="n"/>
    </ns0:row>
    <ns0:row r="659" ht="24" customHeight="1">
      <ns0:c r="D659" s="17" t="n"/>
      <ns0:c r="E659" s="17" t="n"/>
      <ns0:c r="F659" s="17" t="n"/>
      <ns0:c r="G659" s="17" t="n"/>
      <ns0:c r="H659" s="17" t="n"/>
      <ns0:c r="I659" s="17" t="n"/>
      <ns0:c r="J659" s="17" t="n"/>
      <ns0:c r="K659" s="17" t="n"/>
      <ns0:c r="L659" s="17" t="n"/>
      <ns0:c r="M659" s="17" t="n"/>
      <ns0:c r="N659" s="17" t="n"/>
      <ns0:c r="O659" s="17" t="n"/>
      <ns0:c r="P659" s="17" t="n"/>
      <ns0:c r="Q659" s="17" t="n"/>
      <ns0:c r="R659" s="17" t="n"/>
      <ns0:c r="S659" s="17" t="n"/>
      <ns0:c r="T659" s="17" t="n"/>
      <ns0:c r="U659" s="17" t="n"/>
      <ns0:c r="V659" s="17" t="n"/>
      <ns0:c r="W659" s="17" t="n"/>
      <ns0:c r="X659" s="17" t="n"/>
      <ns0:c r="Y659" s="17" t="n"/>
      <ns0:c r="Z659" s="17" t="n"/>
      <ns0:c r="AA659" s="17" t="n"/>
      <ns0:c r="AB659" s="17" t="n"/>
      <ns0:c r="AC659" s="17" t="n"/>
      <ns0:c r="AD659" s="17" t="n"/>
      <ns0:c r="AE659" s="17" t="n"/>
      <ns0:c r="AF659" s="17" t="n"/>
      <ns0:c r="AG659" s="17" t="n"/>
    </ns0:row>
    <ns0:row r="660" ht="24" customHeight="1">
      <ns0:c r="D660" s="17" t="n"/>
      <ns0:c r="E660" s="17" t="n"/>
      <ns0:c r="F660" s="17" t="n"/>
      <ns0:c r="G660" s="17" t="n"/>
      <ns0:c r="H660" s="17" t="n"/>
      <ns0:c r="I660" s="17" t="n"/>
      <ns0:c r="J660" s="17" t="n"/>
      <ns0:c r="K660" s="17" t="n"/>
      <ns0:c r="L660" s="17" t="n"/>
      <ns0:c r="M660" s="17" t="n"/>
      <ns0:c r="N660" s="17" t="n"/>
      <ns0:c r="O660" s="17" t="n"/>
      <ns0:c r="P660" s="17" t="n"/>
      <ns0:c r="Q660" s="17" t="n"/>
      <ns0:c r="R660" s="17" t="n"/>
      <ns0:c r="S660" s="17" t="n"/>
      <ns0:c r="T660" s="17" t="n"/>
      <ns0:c r="U660" s="17" t="n"/>
      <ns0:c r="V660" s="17" t="n"/>
      <ns0:c r="W660" s="17" t="n"/>
      <ns0:c r="X660" s="17" t="n"/>
      <ns0:c r="Y660" s="17" t="n"/>
      <ns0:c r="Z660" s="17" t="n"/>
      <ns0:c r="AA660" s="17" t="n"/>
      <ns0:c r="AB660" s="17" t="n"/>
      <ns0:c r="AC660" s="17" t="n"/>
      <ns0:c r="AD660" s="17" t="n"/>
      <ns0:c r="AE660" s="17" t="n"/>
      <ns0:c r="AF660" s="17" t="n"/>
      <ns0:c r="AG660" s="17" t="n"/>
    </ns0:row>
    <ns0:row r="661" ht="24" customHeight="1">
      <ns0:c r="D661" s="17" t="n"/>
      <ns0:c r="E661" s="17" t="n"/>
      <ns0:c r="F661" s="17" t="n"/>
      <ns0:c r="G661" s="17" t="n"/>
      <ns0:c r="H661" s="17" t="n"/>
      <ns0:c r="I661" s="17" t="n"/>
      <ns0:c r="J661" s="17" t="n"/>
      <ns0:c r="K661" s="17" t="n"/>
      <ns0:c r="L661" s="17" t="n"/>
      <ns0:c r="M661" s="17" t="n"/>
      <ns0:c r="N661" s="17" t="n"/>
      <ns0:c r="O661" s="17" t="n"/>
      <ns0:c r="P661" s="17" t="n"/>
      <ns0:c r="Q661" s="17" t="n"/>
      <ns0:c r="R661" s="17" t="n"/>
      <ns0:c r="S661" s="17" t="n"/>
      <ns0:c r="T661" s="17" t="n"/>
      <ns0:c r="U661" s="17" t="n"/>
      <ns0:c r="V661" s="17" t="n"/>
      <ns0:c r="W661" s="17" t="n"/>
      <ns0:c r="X661" s="17" t="n"/>
      <ns0:c r="Y661" s="17" t="n"/>
      <ns0:c r="Z661" s="17" t="n"/>
      <ns0:c r="AA661" s="17" t="n"/>
      <ns0:c r="AB661" s="17" t="n"/>
      <ns0:c r="AC661" s="17" t="n"/>
      <ns0:c r="AD661" s="17" t="n"/>
      <ns0:c r="AE661" s="17" t="n"/>
      <ns0:c r="AF661" s="17" t="n"/>
      <ns0:c r="AG661" s="17" t="n"/>
    </ns0:row>
    <ns0:row r="662" ht="24" customHeight="1">
      <ns0:c r="D662" s="17" t="n"/>
      <ns0:c r="E662" s="17" t="n"/>
      <ns0:c r="F662" s="17" t="n"/>
      <ns0:c r="G662" s="17" t="n"/>
      <ns0:c r="H662" s="17" t="n"/>
      <ns0:c r="I662" s="17" t="n"/>
      <ns0:c r="J662" s="17" t="n"/>
      <ns0:c r="K662" s="17" t="n"/>
      <ns0:c r="L662" s="17" t="n"/>
      <ns0:c r="M662" s="17" t="n"/>
      <ns0:c r="N662" s="17" t="n"/>
      <ns0:c r="O662" s="17" t="n"/>
      <ns0:c r="P662" s="17" t="n"/>
      <ns0:c r="Q662" s="17" t="n"/>
      <ns0:c r="R662" s="17" t="n"/>
      <ns0:c r="S662" s="17" t="n"/>
      <ns0:c r="T662" s="17" t="n"/>
      <ns0:c r="U662" s="17" t="n"/>
      <ns0:c r="V662" s="17" t="n"/>
      <ns0:c r="W662" s="17" t="n"/>
      <ns0:c r="X662" s="17" t="n"/>
      <ns0:c r="Y662" s="17" t="n"/>
      <ns0:c r="Z662" s="17" t="n"/>
      <ns0:c r="AA662" s="17" t="n"/>
      <ns0:c r="AB662" s="17" t="n"/>
      <ns0:c r="AC662" s="17" t="n"/>
      <ns0:c r="AD662" s="17" t="n"/>
      <ns0:c r="AE662" s="17" t="n"/>
      <ns0:c r="AF662" s="17" t="n"/>
      <ns0:c r="AG662" s="17" t="n"/>
    </ns0:row>
    <ns0:row r="663" ht="24" customHeight="1">
      <ns0:c r="D663" s="17" t="n"/>
      <ns0:c r="E663" s="17" t="n"/>
      <ns0:c r="F663" s="17" t="n"/>
      <ns0:c r="G663" s="17" t="n"/>
      <ns0:c r="H663" s="17" t="n"/>
      <ns0:c r="I663" s="17" t="n"/>
      <ns0:c r="J663" s="17" t="n"/>
      <ns0:c r="K663" s="17" t="n"/>
      <ns0:c r="L663" s="17" t="n"/>
      <ns0:c r="M663" s="17" t="n"/>
      <ns0:c r="N663" s="17" t="n"/>
      <ns0:c r="O663" s="17" t="n"/>
      <ns0:c r="P663" s="17" t="n"/>
      <ns0:c r="Q663" s="17" t="n"/>
      <ns0:c r="R663" s="17" t="n"/>
      <ns0:c r="S663" s="17" t="n"/>
      <ns0:c r="T663" s="17" t="n"/>
      <ns0:c r="U663" s="17" t="n"/>
      <ns0:c r="V663" s="17" t="n"/>
      <ns0:c r="W663" s="17" t="n"/>
      <ns0:c r="X663" s="17" t="n"/>
      <ns0:c r="Y663" s="17" t="n"/>
      <ns0:c r="Z663" s="17" t="n"/>
      <ns0:c r="AA663" s="17" t="n"/>
      <ns0:c r="AB663" s="17" t="n"/>
      <ns0:c r="AC663" s="17" t="n"/>
      <ns0:c r="AD663" s="17" t="n"/>
      <ns0:c r="AE663" s="17" t="n"/>
      <ns0:c r="AF663" s="17" t="n"/>
      <ns0:c r="AG663" s="17" t="n"/>
    </ns0:row>
    <ns0:row r="664" ht="24" customHeight="1">
      <ns0:c r="D664" s="17" t="n"/>
      <ns0:c r="E664" s="17" t="n"/>
      <ns0:c r="F664" s="17" t="n"/>
      <ns0:c r="G664" s="17" t="n"/>
      <ns0:c r="H664" s="17" t="n"/>
      <ns0:c r="I664" s="17" t="n"/>
      <ns0:c r="J664" s="17" t="n"/>
      <ns0:c r="K664" s="17" t="n"/>
      <ns0:c r="L664" s="17" t="n"/>
      <ns0:c r="M664" s="17" t="n"/>
      <ns0:c r="N664" s="17" t="n"/>
      <ns0:c r="O664" s="17" t="n"/>
      <ns0:c r="P664" s="17" t="n"/>
      <ns0:c r="Q664" s="17" t="n"/>
      <ns0:c r="R664" s="17" t="n"/>
      <ns0:c r="S664" s="17" t="n"/>
      <ns0:c r="T664" s="17" t="n"/>
      <ns0:c r="U664" s="17" t="n"/>
      <ns0:c r="V664" s="17" t="n"/>
      <ns0:c r="W664" s="17" t="n"/>
      <ns0:c r="X664" s="17" t="n"/>
      <ns0:c r="Y664" s="17" t="n"/>
      <ns0:c r="Z664" s="17" t="n"/>
      <ns0:c r="AA664" s="17" t="n"/>
      <ns0:c r="AB664" s="17" t="n"/>
      <ns0:c r="AC664" s="17" t="n"/>
      <ns0:c r="AD664" s="17" t="n"/>
      <ns0:c r="AE664" s="17" t="n"/>
      <ns0:c r="AF664" s="17" t="n"/>
      <ns0:c r="AG664" s="17" t="n"/>
    </ns0:row>
    <ns0:row r="665" ht="24" customHeight="1">
      <ns0:c r="D665" s="17" t="n"/>
      <ns0:c r="E665" s="17" t="n"/>
      <ns0:c r="F665" s="17" t="n"/>
      <ns0:c r="G665" s="17" t="n"/>
      <ns0:c r="H665" s="17" t="n"/>
      <ns0:c r="I665" s="17" t="n"/>
      <ns0:c r="J665" s="17" t="n"/>
      <ns0:c r="K665" s="17" t="n"/>
      <ns0:c r="L665" s="17" t="n"/>
      <ns0:c r="M665" s="17" t="n"/>
      <ns0:c r="N665" s="17" t="n"/>
      <ns0:c r="O665" s="17" t="n"/>
      <ns0:c r="P665" s="17" t="n"/>
      <ns0:c r="Q665" s="17" t="n"/>
      <ns0:c r="R665" s="17" t="n"/>
      <ns0:c r="S665" s="17" t="n"/>
      <ns0:c r="T665" s="17" t="n"/>
      <ns0:c r="U665" s="17" t="n"/>
      <ns0:c r="V665" s="17" t="n"/>
      <ns0:c r="W665" s="17" t="n"/>
      <ns0:c r="X665" s="17" t="n"/>
      <ns0:c r="Y665" s="17" t="n"/>
      <ns0:c r="Z665" s="17" t="n"/>
      <ns0:c r="AA665" s="17" t="n"/>
      <ns0:c r="AB665" s="17" t="n"/>
      <ns0:c r="AC665" s="17" t="n"/>
      <ns0:c r="AD665" s="17" t="n"/>
      <ns0:c r="AE665" s="17" t="n"/>
      <ns0:c r="AF665" s="17" t="n"/>
      <ns0:c r="AG665" s="17" t="n"/>
    </ns0:row>
    <ns0:row r="666" ht="24" customHeight="1">
      <ns0:c r="D666" s="17" t="n"/>
      <ns0:c r="E666" s="17" t="n"/>
      <ns0:c r="F666" s="17" t="n"/>
      <ns0:c r="G666" s="17" t="n"/>
      <ns0:c r="H666" s="17" t="n"/>
      <ns0:c r="I666" s="17" t="n"/>
      <ns0:c r="J666" s="17" t="n"/>
      <ns0:c r="K666" s="17" t="n"/>
      <ns0:c r="L666" s="17" t="n"/>
      <ns0:c r="M666" s="17" t="n"/>
      <ns0:c r="N666" s="17" t="n"/>
      <ns0:c r="O666" s="17" t="n"/>
      <ns0:c r="P666" s="17" t="n"/>
      <ns0:c r="Q666" s="17" t="n"/>
      <ns0:c r="R666" s="17" t="n"/>
      <ns0:c r="S666" s="17" t="n"/>
      <ns0:c r="T666" s="17" t="n"/>
      <ns0:c r="U666" s="17" t="n"/>
      <ns0:c r="V666" s="17" t="n"/>
      <ns0:c r="W666" s="17" t="n"/>
      <ns0:c r="X666" s="17" t="n"/>
      <ns0:c r="Y666" s="17" t="n"/>
      <ns0:c r="Z666" s="17" t="n"/>
      <ns0:c r="AA666" s="17" t="n"/>
      <ns0:c r="AB666" s="17" t="n"/>
      <ns0:c r="AC666" s="17" t="n"/>
      <ns0:c r="AD666" s="17" t="n"/>
      <ns0:c r="AE666" s="17" t="n"/>
      <ns0:c r="AF666" s="17" t="n"/>
      <ns0:c r="AG666" s="17" t="n"/>
    </ns0:row>
    <ns0:row r="667" ht="24" customHeight="1">
      <ns0:c r="D667" s="17" t="n"/>
      <ns0:c r="E667" s="17" t="n"/>
      <ns0:c r="F667" s="17" t="n"/>
      <ns0:c r="G667" s="17" t="n"/>
      <ns0:c r="H667" s="17" t="n"/>
      <ns0:c r="I667" s="17" t="n"/>
      <ns0:c r="J667" s="17" t="n"/>
      <ns0:c r="K667" s="17" t="n"/>
      <ns0:c r="L667" s="17" t="n"/>
      <ns0:c r="M667" s="17" t="n"/>
      <ns0:c r="N667" s="17" t="n"/>
      <ns0:c r="O667" s="17" t="n"/>
      <ns0:c r="P667" s="17" t="n"/>
      <ns0:c r="Q667" s="17" t="n"/>
      <ns0:c r="R667" s="17" t="n"/>
      <ns0:c r="S667" s="17" t="n"/>
      <ns0:c r="T667" s="17" t="n"/>
      <ns0:c r="U667" s="17" t="n"/>
      <ns0:c r="V667" s="17" t="n"/>
      <ns0:c r="W667" s="17" t="n"/>
      <ns0:c r="X667" s="17" t="n"/>
      <ns0:c r="Y667" s="17" t="n"/>
      <ns0:c r="Z667" s="17" t="n"/>
      <ns0:c r="AA667" s="17" t="n"/>
      <ns0:c r="AB667" s="17" t="n"/>
      <ns0:c r="AC667" s="17" t="n"/>
      <ns0:c r="AD667" s="17" t="n"/>
      <ns0:c r="AE667" s="17" t="n"/>
      <ns0:c r="AF667" s="17" t="n"/>
      <ns0:c r="AG667" s="17" t="n"/>
    </ns0:row>
    <ns0:row r="668" ht="24" customHeight="1">
      <ns0:c r="D668" s="17" t="n"/>
      <ns0:c r="E668" s="17" t="n"/>
      <ns0:c r="F668" s="17" t="n"/>
      <ns0:c r="G668" s="17" t="n"/>
      <ns0:c r="H668" s="17" t="n"/>
      <ns0:c r="I668" s="17" t="n"/>
      <ns0:c r="J668" s="17" t="n"/>
      <ns0:c r="K668" s="17" t="n"/>
      <ns0:c r="L668" s="17" t="n"/>
      <ns0:c r="M668" s="17" t="n"/>
      <ns0:c r="N668" s="17" t="n"/>
      <ns0:c r="O668" s="17" t="n"/>
      <ns0:c r="P668" s="17" t="n"/>
      <ns0:c r="Q668" s="17" t="n"/>
      <ns0:c r="R668" s="17" t="n"/>
      <ns0:c r="S668" s="17" t="n"/>
      <ns0:c r="T668" s="17" t="n"/>
      <ns0:c r="U668" s="17" t="n"/>
      <ns0:c r="V668" s="17" t="n"/>
      <ns0:c r="W668" s="17" t="n"/>
      <ns0:c r="X668" s="17" t="n"/>
      <ns0:c r="Y668" s="17" t="n"/>
      <ns0:c r="Z668" s="17" t="n"/>
      <ns0:c r="AA668" s="17" t="n"/>
      <ns0:c r="AB668" s="17" t="n"/>
      <ns0:c r="AC668" s="17" t="n"/>
      <ns0:c r="AD668" s="17" t="n"/>
      <ns0:c r="AE668" s="17" t="n"/>
      <ns0:c r="AF668" s="17" t="n"/>
      <ns0:c r="AG668" s="17" t="n"/>
    </ns0:row>
    <ns0:row r="669" ht="24" customHeight="1">
      <ns0:c r="D669" s="17" t="n"/>
      <ns0:c r="E669" s="17" t="n"/>
      <ns0:c r="F669" s="17" t="n"/>
      <ns0:c r="G669" s="17" t="n"/>
      <ns0:c r="H669" s="17" t="n"/>
      <ns0:c r="I669" s="17" t="n"/>
      <ns0:c r="J669" s="17" t="n"/>
      <ns0:c r="K669" s="17" t="n"/>
      <ns0:c r="L669" s="17" t="n"/>
      <ns0:c r="M669" s="17" t="n"/>
      <ns0:c r="N669" s="17" t="n"/>
      <ns0:c r="O669" s="17" t="n"/>
      <ns0:c r="P669" s="17" t="n"/>
      <ns0:c r="Q669" s="17" t="n"/>
      <ns0:c r="R669" s="17" t="n"/>
      <ns0:c r="S669" s="17" t="n"/>
      <ns0:c r="T669" s="17" t="n"/>
      <ns0:c r="U669" s="17" t="n"/>
      <ns0:c r="V669" s="17" t="n"/>
      <ns0:c r="W669" s="17" t="n"/>
      <ns0:c r="X669" s="17" t="n"/>
      <ns0:c r="Y669" s="17" t="n"/>
      <ns0:c r="Z669" s="17" t="n"/>
      <ns0:c r="AA669" s="17" t="n"/>
      <ns0:c r="AB669" s="17" t="n"/>
      <ns0:c r="AC669" s="17" t="n"/>
      <ns0:c r="AD669" s="17" t="n"/>
      <ns0:c r="AE669" s="17" t="n"/>
      <ns0:c r="AF669" s="17" t="n"/>
      <ns0:c r="AG669" s="17" t="n"/>
    </ns0:row>
    <ns0:row r="670" ht="24" customHeight="1">
      <ns0:c r="D670" s="17" t="n"/>
      <ns0:c r="E670" s="17" t="n"/>
      <ns0:c r="F670" s="17" t="n"/>
      <ns0:c r="G670" s="17" t="n"/>
      <ns0:c r="H670" s="17" t="n"/>
      <ns0:c r="I670" s="17" t="n"/>
      <ns0:c r="J670" s="17" t="n"/>
      <ns0:c r="K670" s="17" t="n"/>
      <ns0:c r="L670" s="17" t="n"/>
      <ns0:c r="M670" s="17" t="n"/>
      <ns0:c r="N670" s="17" t="n"/>
      <ns0:c r="O670" s="17" t="n"/>
      <ns0:c r="P670" s="17" t="n"/>
      <ns0:c r="Q670" s="17" t="n"/>
      <ns0:c r="R670" s="17" t="n"/>
      <ns0:c r="S670" s="17" t="n"/>
      <ns0:c r="T670" s="17" t="n"/>
      <ns0:c r="U670" s="17" t="n"/>
      <ns0:c r="V670" s="17" t="n"/>
      <ns0:c r="W670" s="17" t="n"/>
      <ns0:c r="X670" s="17" t="n"/>
      <ns0:c r="Y670" s="17" t="n"/>
      <ns0:c r="Z670" s="17" t="n"/>
      <ns0:c r="AA670" s="17" t="n"/>
      <ns0:c r="AB670" s="17" t="n"/>
      <ns0:c r="AC670" s="17" t="n"/>
      <ns0:c r="AD670" s="17" t="n"/>
      <ns0:c r="AE670" s="17" t="n"/>
      <ns0:c r="AF670" s="17" t="n"/>
      <ns0:c r="AG670" s="17" t="n"/>
    </ns0:row>
    <ns0:row r="671" ht="24" customHeight="1">
      <ns0:c r="D671" s="17" t="n"/>
      <ns0:c r="E671" s="17" t="n"/>
      <ns0:c r="F671" s="17" t="n"/>
      <ns0:c r="G671" s="17" t="n"/>
      <ns0:c r="H671" s="17" t="n"/>
      <ns0:c r="I671" s="17" t="n"/>
      <ns0:c r="J671" s="17" t="n"/>
      <ns0:c r="K671" s="17" t="n"/>
      <ns0:c r="L671" s="17" t="n"/>
      <ns0:c r="M671" s="17" t="n"/>
      <ns0:c r="N671" s="17" t="n"/>
      <ns0:c r="O671" s="17" t="n"/>
      <ns0:c r="P671" s="17" t="n"/>
      <ns0:c r="Q671" s="17" t="n"/>
      <ns0:c r="R671" s="17" t="n"/>
      <ns0:c r="S671" s="17" t="n"/>
      <ns0:c r="T671" s="17" t="n"/>
      <ns0:c r="U671" s="17" t="n"/>
      <ns0:c r="V671" s="17" t="n"/>
      <ns0:c r="W671" s="17" t="n"/>
      <ns0:c r="X671" s="17" t="n"/>
      <ns0:c r="Y671" s="17" t="n"/>
      <ns0:c r="Z671" s="17" t="n"/>
      <ns0:c r="AA671" s="17" t="n"/>
      <ns0:c r="AB671" s="17" t="n"/>
      <ns0:c r="AC671" s="17" t="n"/>
      <ns0:c r="AD671" s="17" t="n"/>
      <ns0:c r="AE671" s="17" t="n"/>
      <ns0:c r="AF671" s="17" t="n"/>
      <ns0:c r="AG671" s="17" t="n"/>
    </ns0:row>
    <ns0:row r="672" ht="24" customHeight="1">
      <ns0:c r="D672" s="17" t="n"/>
      <ns0:c r="E672" s="17" t="n"/>
      <ns0:c r="F672" s="17" t="n"/>
      <ns0:c r="G672" s="17" t="n"/>
      <ns0:c r="H672" s="17" t="n"/>
      <ns0:c r="I672" s="17" t="n"/>
      <ns0:c r="J672" s="17" t="n"/>
      <ns0:c r="K672" s="17" t="n"/>
      <ns0:c r="L672" s="17" t="n"/>
      <ns0:c r="M672" s="17" t="n"/>
      <ns0:c r="N672" s="17" t="n"/>
      <ns0:c r="O672" s="17" t="n"/>
      <ns0:c r="P672" s="17" t="n"/>
      <ns0:c r="Q672" s="17" t="n"/>
      <ns0:c r="R672" s="17" t="n"/>
      <ns0:c r="S672" s="17" t="n"/>
      <ns0:c r="T672" s="17" t="n"/>
      <ns0:c r="U672" s="17" t="n"/>
      <ns0:c r="V672" s="17" t="n"/>
      <ns0:c r="W672" s="17" t="n"/>
      <ns0:c r="X672" s="17" t="n"/>
      <ns0:c r="Y672" s="17" t="n"/>
      <ns0:c r="Z672" s="17" t="n"/>
      <ns0:c r="AA672" s="17" t="n"/>
      <ns0:c r="AB672" s="17" t="n"/>
      <ns0:c r="AC672" s="17" t="n"/>
      <ns0:c r="AD672" s="17" t="n"/>
      <ns0:c r="AE672" s="17" t="n"/>
      <ns0:c r="AF672" s="17" t="n"/>
      <ns0:c r="AG672" s="17" t="n"/>
    </ns0:row>
    <ns0:row r="673" ht="24" customHeight="1">
      <ns0:c r="D673" s="17" t="n"/>
      <ns0:c r="E673" s="17" t="n"/>
      <ns0:c r="F673" s="17" t="n"/>
      <ns0:c r="G673" s="17" t="n"/>
      <ns0:c r="H673" s="17" t="n"/>
      <ns0:c r="I673" s="17" t="n"/>
      <ns0:c r="J673" s="17" t="n"/>
      <ns0:c r="K673" s="17" t="n"/>
      <ns0:c r="L673" s="17" t="n"/>
      <ns0:c r="M673" s="17" t="n"/>
      <ns0:c r="N673" s="17" t="n"/>
      <ns0:c r="O673" s="17" t="n"/>
      <ns0:c r="P673" s="17" t="n"/>
      <ns0:c r="Q673" s="17" t="n"/>
      <ns0:c r="R673" s="17" t="n"/>
      <ns0:c r="S673" s="17" t="n"/>
      <ns0:c r="T673" s="17" t="n"/>
      <ns0:c r="U673" s="17" t="n"/>
      <ns0:c r="V673" s="17" t="n"/>
      <ns0:c r="W673" s="17" t="n"/>
      <ns0:c r="X673" s="17" t="n"/>
      <ns0:c r="Y673" s="17" t="n"/>
      <ns0:c r="Z673" s="17" t="n"/>
      <ns0:c r="AA673" s="17" t="n"/>
      <ns0:c r="AB673" s="17" t="n"/>
      <ns0:c r="AC673" s="17" t="n"/>
      <ns0:c r="AD673" s="17" t="n"/>
      <ns0:c r="AE673" s="17" t="n"/>
      <ns0:c r="AF673" s="17" t="n"/>
      <ns0:c r="AG673" s="17" t="n"/>
    </ns0:row>
    <ns0:row r="674" ht="24" customHeight="1">
      <ns0:c r="D674" s="17" t="n"/>
      <ns0:c r="E674" s="17" t="n"/>
      <ns0:c r="F674" s="17" t="n"/>
      <ns0:c r="G674" s="17" t="n"/>
      <ns0:c r="H674" s="17" t="n"/>
      <ns0:c r="I674" s="17" t="n"/>
      <ns0:c r="J674" s="17" t="n"/>
      <ns0:c r="K674" s="17" t="n"/>
      <ns0:c r="L674" s="17" t="n"/>
      <ns0:c r="M674" s="17" t="n"/>
      <ns0:c r="N674" s="17" t="n"/>
      <ns0:c r="O674" s="17" t="n"/>
      <ns0:c r="P674" s="17" t="n"/>
      <ns0:c r="Q674" s="17" t="n"/>
      <ns0:c r="R674" s="17" t="n"/>
      <ns0:c r="S674" s="17" t="n"/>
      <ns0:c r="T674" s="17" t="n"/>
      <ns0:c r="U674" s="17" t="n"/>
      <ns0:c r="V674" s="17" t="n"/>
      <ns0:c r="W674" s="17" t="n"/>
      <ns0:c r="X674" s="17" t="n"/>
      <ns0:c r="Y674" s="17" t="n"/>
      <ns0:c r="Z674" s="17" t="n"/>
      <ns0:c r="AA674" s="17" t="n"/>
      <ns0:c r="AB674" s="17" t="n"/>
      <ns0:c r="AC674" s="17" t="n"/>
      <ns0:c r="AD674" s="17" t="n"/>
      <ns0:c r="AE674" s="17" t="n"/>
      <ns0:c r="AF674" s="17" t="n"/>
      <ns0:c r="AG674" s="17" t="n"/>
    </ns0:row>
    <ns0:row r="675" ht="24" customHeight="1">
      <ns0:c r="D675" s="17" t="n"/>
      <ns0:c r="E675" s="17" t="n"/>
      <ns0:c r="F675" s="17" t="n"/>
      <ns0:c r="G675" s="17" t="n"/>
      <ns0:c r="H675" s="17" t="n"/>
      <ns0:c r="I675" s="17" t="n"/>
      <ns0:c r="J675" s="17" t="n"/>
      <ns0:c r="K675" s="17" t="n"/>
      <ns0:c r="L675" s="17" t="n"/>
      <ns0:c r="M675" s="17" t="n"/>
      <ns0:c r="N675" s="17" t="n"/>
      <ns0:c r="O675" s="17" t="n"/>
      <ns0:c r="P675" s="17" t="n"/>
      <ns0:c r="Q675" s="17" t="n"/>
      <ns0:c r="R675" s="17" t="n"/>
      <ns0:c r="S675" s="17" t="n"/>
      <ns0:c r="T675" s="17" t="n"/>
      <ns0:c r="U675" s="17" t="n"/>
      <ns0:c r="V675" s="17" t="n"/>
      <ns0:c r="W675" s="17" t="n"/>
      <ns0:c r="X675" s="17" t="n"/>
      <ns0:c r="Y675" s="17" t="n"/>
      <ns0:c r="Z675" s="17" t="n"/>
      <ns0:c r="AA675" s="17" t="n"/>
      <ns0:c r="AB675" s="17" t="n"/>
      <ns0:c r="AC675" s="17" t="n"/>
      <ns0:c r="AD675" s="17" t="n"/>
      <ns0:c r="AE675" s="17" t="n"/>
      <ns0:c r="AF675" s="17" t="n"/>
      <ns0:c r="AG675" s="17" t="n"/>
    </ns0:row>
    <ns0:row r="676" ht="24" customHeight="1">
      <ns0:c r="D676" s="17" t="n"/>
      <ns0:c r="E676" s="17" t="n"/>
      <ns0:c r="F676" s="17" t="n"/>
      <ns0:c r="G676" s="17" t="n"/>
      <ns0:c r="H676" s="17" t="n"/>
      <ns0:c r="I676" s="17" t="n"/>
      <ns0:c r="J676" s="17" t="n"/>
      <ns0:c r="K676" s="17" t="n"/>
      <ns0:c r="L676" s="17" t="n"/>
      <ns0:c r="M676" s="17" t="n"/>
      <ns0:c r="N676" s="17" t="n"/>
      <ns0:c r="O676" s="17" t="n"/>
      <ns0:c r="P676" s="17" t="n"/>
      <ns0:c r="Q676" s="17" t="n"/>
      <ns0:c r="R676" s="17" t="n"/>
      <ns0:c r="S676" s="17" t="n"/>
      <ns0:c r="T676" s="17" t="n"/>
      <ns0:c r="U676" s="17" t="n"/>
      <ns0:c r="V676" s="17" t="n"/>
      <ns0:c r="W676" s="17" t="n"/>
      <ns0:c r="X676" s="17" t="n"/>
      <ns0:c r="Y676" s="17" t="n"/>
      <ns0:c r="Z676" s="17" t="n"/>
      <ns0:c r="AA676" s="17" t="n"/>
      <ns0:c r="AB676" s="17" t="n"/>
      <ns0:c r="AC676" s="17" t="n"/>
      <ns0:c r="AD676" s="17" t="n"/>
      <ns0:c r="AE676" s="17" t="n"/>
      <ns0:c r="AF676" s="17" t="n"/>
      <ns0:c r="AG676" s="17" t="n"/>
    </ns0:row>
    <ns0:row r="677" ht="24" customHeight="1">
      <ns0:c r="D677" s="17" t="n"/>
      <ns0:c r="E677" s="17" t="n"/>
      <ns0:c r="F677" s="17" t="n"/>
      <ns0:c r="G677" s="17" t="n"/>
      <ns0:c r="H677" s="17" t="n"/>
      <ns0:c r="I677" s="17" t="n"/>
      <ns0:c r="J677" s="17" t="n"/>
      <ns0:c r="K677" s="17" t="n"/>
      <ns0:c r="L677" s="17" t="n"/>
      <ns0:c r="M677" s="17" t="n"/>
      <ns0:c r="N677" s="17" t="n"/>
      <ns0:c r="O677" s="17" t="n"/>
      <ns0:c r="P677" s="17" t="n"/>
      <ns0:c r="Q677" s="17" t="n"/>
      <ns0:c r="R677" s="17" t="n"/>
      <ns0:c r="S677" s="17" t="n"/>
      <ns0:c r="T677" s="17" t="n"/>
      <ns0:c r="U677" s="17" t="n"/>
      <ns0:c r="V677" s="17" t="n"/>
      <ns0:c r="W677" s="17" t="n"/>
      <ns0:c r="X677" s="17" t="n"/>
      <ns0:c r="Y677" s="17" t="n"/>
      <ns0:c r="Z677" s="17" t="n"/>
      <ns0:c r="AA677" s="17" t="n"/>
      <ns0:c r="AB677" s="17" t="n"/>
      <ns0:c r="AC677" s="17" t="n"/>
      <ns0:c r="AD677" s="17" t="n"/>
      <ns0:c r="AE677" s="17" t="n"/>
      <ns0:c r="AF677" s="17" t="n"/>
      <ns0:c r="AG677" s="17" t="n"/>
    </ns0:row>
    <ns0:row r="678" ht="24" customHeight="1">
      <ns0:c r="D678" s="17" t="n"/>
      <ns0:c r="E678" s="17" t="n"/>
      <ns0:c r="F678" s="17" t="n"/>
      <ns0:c r="G678" s="17" t="n"/>
      <ns0:c r="H678" s="17" t="n"/>
      <ns0:c r="I678" s="17" t="n"/>
      <ns0:c r="J678" s="17" t="n"/>
      <ns0:c r="K678" s="17" t="n"/>
      <ns0:c r="L678" s="17" t="n"/>
      <ns0:c r="M678" s="17" t="n"/>
      <ns0:c r="N678" s="17" t="n"/>
      <ns0:c r="O678" s="17" t="n"/>
      <ns0:c r="P678" s="17" t="n"/>
      <ns0:c r="Q678" s="17" t="n"/>
      <ns0:c r="R678" s="17" t="n"/>
      <ns0:c r="S678" s="17" t="n"/>
      <ns0:c r="T678" s="17" t="n"/>
      <ns0:c r="U678" s="17" t="n"/>
      <ns0:c r="V678" s="17" t="n"/>
      <ns0:c r="W678" s="17" t="n"/>
      <ns0:c r="X678" s="17" t="n"/>
      <ns0:c r="Y678" s="17" t="n"/>
      <ns0:c r="Z678" s="17" t="n"/>
      <ns0:c r="AA678" s="17" t="n"/>
      <ns0:c r="AB678" s="17" t="n"/>
      <ns0:c r="AC678" s="17" t="n"/>
      <ns0:c r="AD678" s="17" t="n"/>
      <ns0:c r="AE678" s="17" t="n"/>
      <ns0:c r="AF678" s="17" t="n"/>
      <ns0:c r="AG678" s="17" t="n"/>
    </ns0:row>
    <ns0:row r="679" ht="24" customHeight="1">
      <ns0:c r="D679" s="17" t="n"/>
      <ns0:c r="E679" s="17" t="n"/>
      <ns0:c r="F679" s="17" t="n"/>
      <ns0:c r="G679" s="17" t="n"/>
      <ns0:c r="H679" s="17" t="n"/>
      <ns0:c r="I679" s="17" t="n"/>
      <ns0:c r="J679" s="17" t="n"/>
      <ns0:c r="K679" s="17" t="n"/>
      <ns0:c r="L679" s="17" t="n"/>
      <ns0:c r="M679" s="17" t="n"/>
      <ns0:c r="N679" s="17" t="n"/>
      <ns0:c r="O679" s="17" t="n"/>
      <ns0:c r="P679" s="17" t="n"/>
      <ns0:c r="Q679" s="17" t="n"/>
      <ns0:c r="R679" s="17" t="n"/>
      <ns0:c r="S679" s="17" t="n"/>
      <ns0:c r="T679" s="17" t="n"/>
      <ns0:c r="U679" s="17" t="n"/>
      <ns0:c r="V679" s="17" t="n"/>
      <ns0:c r="W679" s="17" t="n"/>
      <ns0:c r="X679" s="17" t="n"/>
      <ns0:c r="Y679" s="17" t="n"/>
      <ns0:c r="Z679" s="17" t="n"/>
      <ns0:c r="AA679" s="17" t="n"/>
      <ns0:c r="AB679" s="17" t="n"/>
      <ns0:c r="AC679" s="17" t="n"/>
      <ns0:c r="AD679" s="17" t="n"/>
      <ns0:c r="AE679" s="17" t="n"/>
      <ns0:c r="AF679" s="17" t="n"/>
      <ns0:c r="AG679" s="17" t="n"/>
    </ns0:row>
    <ns0:row r="680" ht="24" customHeight="1">
      <ns0:c r="D680" s="17" t="n"/>
      <ns0:c r="E680" s="17" t="n"/>
      <ns0:c r="F680" s="17" t="n"/>
      <ns0:c r="G680" s="17" t="n"/>
      <ns0:c r="H680" s="17" t="n"/>
      <ns0:c r="I680" s="17" t="n"/>
      <ns0:c r="J680" s="17" t="n"/>
      <ns0:c r="K680" s="17" t="n"/>
      <ns0:c r="L680" s="17" t="n"/>
      <ns0:c r="M680" s="17" t="n"/>
      <ns0:c r="N680" s="17" t="n"/>
      <ns0:c r="O680" s="17" t="n"/>
      <ns0:c r="P680" s="17" t="n"/>
      <ns0:c r="Q680" s="17" t="n"/>
      <ns0:c r="R680" s="17" t="n"/>
      <ns0:c r="S680" s="17" t="n"/>
      <ns0:c r="T680" s="17" t="n"/>
      <ns0:c r="U680" s="17" t="n"/>
      <ns0:c r="V680" s="17" t="n"/>
      <ns0:c r="W680" s="17" t="n"/>
      <ns0:c r="X680" s="17" t="n"/>
      <ns0:c r="Y680" s="17" t="n"/>
      <ns0:c r="Z680" s="17" t="n"/>
      <ns0:c r="AA680" s="17" t="n"/>
      <ns0:c r="AB680" s="17" t="n"/>
      <ns0:c r="AC680" s="17" t="n"/>
      <ns0:c r="AD680" s="17" t="n"/>
      <ns0:c r="AE680" s="17" t="n"/>
      <ns0:c r="AF680" s="17" t="n"/>
      <ns0:c r="AG680" s="17" t="n"/>
    </ns0:row>
    <ns0:row r="681" ht="24" customHeight="1">
      <ns0:c r="D681" s="17" t="n"/>
      <ns0:c r="E681" s="17" t="n"/>
      <ns0:c r="F681" s="17" t="n"/>
      <ns0:c r="G681" s="17" t="n"/>
      <ns0:c r="H681" s="17" t="n"/>
      <ns0:c r="I681" s="17" t="n"/>
      <ns0:c r="J681" s="17" t="n"/>
      <ns0:c r="K681" s="17" t="n"/>
      <ns0:c r="L681" s="17" t="n"/>
      <ns0:c r="M681" s="17" t="n"/>
      <ns0:c r="N681" s="17" t="n"/>
      <ns0:c r="O681" s="17" t="n"/>
      <ns0:c r="P681" s="17" t="n"/>
      <ns0:c r="Q681" s="17" t="n"/>
      <ns0:c r="R681" s="17" t="n"/>
      <ns0:c r="S681" s="17" t="n"/>
      <ns0:c r="T681" s="17" t="n"/>
      <ns0:c r="U681" s="17" t="n"/>
      <ns0:c r="V681" s="17" t="n"/>
      <ns0:c r="W681" s="17" t="n"/>
      <ns0:c r="X681" s="17" t="n"/>
      <ns0:c r="Y681" s="17" t="n"/>
      <ns0:c r="Z681" s="17" t="n"/>
      <ns0:c r="AA681" s="17" t="n"/>
      <ns0:c r="AB681" s="17" t="n"/>
      <ns0:c r="AC681" s="17" t="n"/>
      <ns0:c r="AD681" s="17" t="n"/>
      <ns0:c r="AE681" s="17" t="n"/>
      <ns0:c r="AF681" s="17" t="n"/>
      <ns0:c r="AG681" s="17" t="n"/>
    </ns0:row>
    <ns0:row r="682" ht="24" customHeight="1">
      <ns0:c r="D682" s="17" t="n"/>
      <ns0:c r="E682" s="17" t="n"/>
      <ns0:c r="F682" s="17" t="n"/>
      <ns0:c r="G682" s="17" t="n"/>
      <ns0:c r="H682" s="17" t="n"/>
      <ns0:c r="I682" s="17" t="n"/>
      <ns0:c r="J682" s="17" t="n"/>
      <ns0:c r="K682" s="17" t="n"/>
      <ns0:c r="L682" s="17" t="n"/>
      <ns0:c r="M682" s="17" t="n"/>
      <ns0:c r="N682" s="17" t="n"/>
      <ns0:c r="O682" s="17" t="n"/>
      <ns0:c r="P682" s="17" t="n"/>
      <ns0:c r="Q682" s="17" t="n"/>
      <ns0:c r="R682" s="17" t="n"/>
      <ns0:c r="S682" s="17" t="n"/>
      <ns0:c r="T682" s="17" t="n"/>
      <ns0:c r="U682" s="17" t="n"/>
      <ns0:c r="V682" s="17" t="n"/>
      <ns0:c r="W682" s="17" t="n"/>
      <ns0:c r="X682" s="17" t="n"/>
      <ns0:c r="Y682" s="17" t="n"/>
      <ns0:c r="Z682" s="17" t="n"/>
      <ns0:c r="AA682" s="17" t="n"/>
      <ns0:c r="AB682" s="17" t="n"/>
      <ns0:c r="AC682" s="17" t="n"/>
      <ns0:c r="AD682" s="17" t="n"/>
      <ns0:c r="AE682" s="17" t="n"/>
      <ns0:c r="AF682" s="17" t="n"/>
      <ns0:c r="AG682" s="17" t="n"/>
    </ns0:row>
    <ns0:row r="683" ht="24" customHeight="1">
      <ns0:c r="D683" s="17" t="n"/>
      <ns0:c r="E683" s="17" t="n"/>
      <ns0:c r="F683" s="17" t="n"/>
      <ns0:c r="G683" s="17" t="n"/>
      <ns0:c r="H683" s="17" t="n"/>
      <ns0:c r="I683" s="17" t="n"/>
      <ns0:c r="J683" s="17" t="n"/>
      <ns0:c r="K683" s="17" t="n"/>
      <ns0:c r="L683" s="17" t="n"/>
      <ns0:c r="M683" s="17" t="n"/>
      <ns0:c r="N683" s="17" t="n"/>
      <ns0:c r="O683" s="17" t="n"/>
      <ns0:c r="P683" s="17" t="n"/>
      <ns0:c r="Q683" s="17" t="n"/>
      <ns0:c r="R683" s="17" t="n"/>
      <ns0:c r="S683" s="17" t="n"/>
      <ns0:c r="T683" s="17" t="n"/>
      <ns0:c r="U683" s="17" t="n"/>
      <ns0:c r="V683" s="17" t="n"/>
      <ns0:c r="W683" s="17" t="n"/>
      <ns0:c r="X683" s="17" t="n"/>
      <ns0:c r="Y683" s="17" t="n"/>
      <ns0:c r="Z683" s="17" t="n"/>
      <ns0:c r="AA683" s="17" t="n"/>
      <ns0:c r="AB683" s="17" t="n"/>
      <ns0:c r="AC683" s="17" t="n"/>
      <ns0:c r="AD683" s="17" t="n"/>
      <ns0:c r="AE683" s="17" t="n"/>
      <ns0:c r="AF683" s="17" t="n"/>
      <ns0:c r="AG683" s="17" t="n"/>
    </ns0:row>
    <ns0:row r="684" ht="24" customHeight="1">
      <ns0:c r="D684" s="17" t="n"/>
      <ns0:c r="E684" s="17" t="n"/>
      <ns0:c r="F684" s="17" t="n"/>
      <ns0:c r="G684" s="17" t="n"/>
      <ns0:c r="H684" s="17" t="n"/>
      <ns0:c r="I684" s="17" t="n"/>
      <ns0:c r="J684" s="17" t="n"/>
      <ns0:c r="K684" s="17" t="n"/>
      <ns0:c r="L684" s="17" t="n"/>
      <ns0:c r="M684" s="17" t="n"/>
      <ns0:c r="N684" s="17" t="n"/>
      <ns0:c r="O684" s="17" t="n"/>
      <ns0:c r="P684" s="17" t="n"/>
      <ns0:c r="Q684" s="17" t="n"/>
      <ns0:c r="R684" s="17" t="n"/>
      <ns0:c r="S684" s="17" t="n"/>
      <ns0:c r="T684" s="17" t="n"/>
      <ns0:c r="U684" s="17" t="n"/>
      <ns0:c r="V684" s="17" t="n"/>
      <ns0:c r="W684" s="17" t="n"/>
      <ns0:c r="X684" s="17" t="n"/>
      <ns0:c r="Y684" s="17" t="n"/>
      <ns0:c r="Z684" s="17" t="n"/>
      <ns0:c r="AA684" s="17" t="n"/>
      <ns0:c r="AB684" s="17" t="n"/>
      <ns0:c r="AC684" s="17" t="n"/>
      <ns0:c r="AD684" s="17" t="n"/>
      <ns0:c r="AE684" s="17" t="n"/>
      <ns0:c r="AF684" s="17" t="n"/>
      <ns0:c r="AG684" s="17" t="n"/>
    </ns0:row>
    <ns0:row r="685" ht="24" customHeight="1">
      <ns0:c r="D685" s="17" t="n"/>
      <ns0:c r="E685" s="17" t="n"/>
      <ns0:c r="F685" s="17" t="n"/>
      <ns0:c r="G685" s="17" t="n"/>
      <ns0:c r="H685" s="17" t="n"/>
      <ns0:c r="I685" s="17" t="n"/>
      <ns0:c r="J685" s="17" t="n"/>
      <ns0:c r="K685" s="17" t="n"/>
      <ns0:c r="L685" s="17" t="n"/>
      <ns0:c r="M685" s="17" t="n"/>
      <ns0:c r="N685" s="17" t="n"/>
      <ns0:c r="O685" s="17" t="n"/>
      <ns0:c r="P685" s="17" t="n"/>
      <ns0:c r="Q685" s="17" t="n"/>
      <ns0:c r="R685" s="17" t="n"/>
      <ns0:c r="S685" s="17" t="n"/>
      <ns0:c r="T685" s="17" t="n"/>
      <ns0:c r="U685" s="17" t="n"/>
      <ns0:c r="V685" s="17" t="n"/>
      <ns0:c r="W685" s="17" t="n"/>
      <ns0:c r="X685" s="17" t="n"/>
      <ns0:c r="Y685" s="17" t="n"/>
      <ns0:c r="Z685" s="17" t="n"/>
      <ns0:c r="AA685" s="17" t="n"/>
      <ns0:c r="AB685" s="17" t="n"/>
      <ns0:c r="AC685" s="17" t="n"/>
      <ns0:c r="AD685" s="17" t="n"/>
      <ns0:c r="AE685" s="17" t="n"/>
      <ns0:c r="AF685" s="17" t="n"/>
      <ns0:c r="AG685" s="17" t="n"/>
    </ns0:row>
    <ns0:row r="686" ht="24" customHeight="1">
      <ns0:c r="D686" s="17" t="n"/>
      <ns0:c r="E686" s="17" t="n"/>
      <ns0:c r="F686" s="17" t="n"/>
      <ns0:c r="G686" s="17" t="n"/>
      <ns0:c r="H686" s="17" t="n"/>
      <ns0:c r="I686" s="17" t="n"/>
      <ns0:c r="J686" s="17" t="n"/>
      <ns0:c r="K686" s="17" t="n"/>
      <ns0:c r="L686" s="17" t="n"/>
      <ns0:c r="M686" s="17" t="n"/>
      <ns0:c r="N686" s="17" t="n"/>
      <ns0:c r="O686" s="17" t="n"/>
      <ns0:c r="P686" s="17" t="n"/>
      <ns0:c r="Q686" s="17" t="n"/>
      <ns0:c r="R686" s="17" t="n"/>
      <ns0:c r="S686" s="17" t="n"/>
      <ns0:c r="T686" s="17" t="n"/>
      <ns0:c r="U686" s="17" t="n"/>
      <ns0:c r="V686" s="17" t="n"/>
      <ns0:c r="W686" s="17" t="n"/>
      <ns0:c r="X686" s="17" t="n"/>
      <ns0:c r="Y686" s="17" t="n"/>
      <ns0:c r="Z686" s="17" t="n"/>
      <ns0:c r="AA686" s="17" t="n"/>
      <ns0:c r="AB686" s="17" t="n"/>
      <ns0:c r="AC686" s="17" t="n"/>
      <ns0:c r="AD686" s="17" t="n"/>
      <ns0:c r="AE686" s="17" t="n"/>
      <ns0:c r="AF686" s="17" t="n"/>
      <ns0:c r="AG686" s="17" t="n"/>
    </ns0:row>
    <ns0:row r="687" ht="24" customHeight="1">
      <ns0:c r="D687" s="17" t="n"/>
      <ns0:c r="E687" s="17" t="n"/>
      <ns0:c r="F687" s="17" t="n"/>
      <ns0:c r="G687" s="17" t="n"/>
      <ns0:c r="H687" s="17" t="n"/>
      <ns0:c r="I687" s="17" t="n"/>
      <ns0:c r="J687" s="17" t="n"/>
      <ns0:c r="K687" s="17" t="n"/>
      <ns0:c r="L687" s="17" t="n"/>
      <ns0:c r="M687" s="17" t="n"/>
      <ns0:c r="N687" s="17" t="n"/>
      <ns0:c r="O687" s="17" t="n"/>
      <ns0:c r="P687" s="17" t="n"/>
      <ns0:c r="Q687" s="17" t="n"/>
      <ns0:c r="R687" s="17" t="n"/>
      <ns0:c r="S687" s="17" t="n"/>
      <ns0:c r="T687" s="17" t="n"/>
      <ns0:c r="U687" s="17" t="n"/>
      <ns0:c r="V687" s="17" t="n"/>
      <ns0:c r="W687" s="17" t="n"/>
      <ns0:c r="X687" s="17" t="n"/>
      <ns0:c r="Y687" s="17" t="n"/>
      <ns0:c r="Z687" s="17" t="n"/>
      <ns0:c r="AA687" s="17" t="n"/>
      <ns0:c r="AB687" s="17" t="n"/>
      <ns0:c r="AC687" s="17" t="n"/>
      <ns0:c r="AD687" s="17" t="n"/>
      <ns0:c r="AE687" s="17" t="n"/>
      <ns0:c r="AF687" s="17" t="n"/>
      <ns0:c r="AG687" s="17" t="n"/>
    </ns0:row>
    <ns0:row r="688" ht="24" customHeight="1">
      <ns0:c r="D688" s="17" t="n"/>
      <ns0:c r="E688" s="17" t="n"/>
      <ns0:c r="F688" s="17" t="n"/>
      <ns0:c r="G688" s="17" t="n"/>
      <ns0:c r="H688" s="17" t="n"/>
      <ns0:c r="I688" s="17" t="n"/>
      <ns0:c r="J688" s="17" t="n"/>
      <ns0:c r="K688" s="17" t="n"/>
      <ns0:c r="L688" s="17" t="n"/>
      <ns0:c r="M688" s="17" t="n"/>
      <ns0:c r="N688" s="17" t="n"/>
      <ns0:c r="O688" s="17" t="n"/>
      <ns0:c r="P688" s="17" t="n"/>
      <ns0:c r="Q688" s="17" t="n"/>
      <ns0:c r="R688" s="17" t="n"/>
      <ns0:c r="S688" s="17" t="n"/>
      <ns0:c r="T688" s="17" t="n"/>
      <ns0:c r="U688" s="17" t="n"/>
      <ns0:c r="V688" s="17" t="n"/>
      <ns0:c r="W688" s="17" t="n"/>
      <ns0:c r="X688" s="17" t="n"/>
      <ns0:c r="Y688" s="17" t="n"/>
      <ns0:c r="Z688" s="17" t="n"/>
      <ns0:c r="AA688" s="17" t="n"/>
      <ns0:c r="AB688" s="17" t="n"/>
      <ns0:c r="AC688" s="17" t="n"/>
      <ns0:c r="AD688" s="17" t="n"/>
      <ns0:c r="AE688" s="17" t="n"/>
      <ns0:c r="AF688" s="17" t="n"/>
      <ns0:c r="AG688" s="17" t="n"/>
    </ns0:row>
    <ns0:row r="689" ht="24" customHeight="1">
      <ns0:c r="D689" s="17" t="n"/>
      <ns0:c r="E689" s="17" t="n"/>
      <ns0:c r="F689" s="17" t="n"/>
      <ns0:c r="G689" s="17" t="n"/>
      <ns0:c r="H689" s="17" t="n"/>
      <ns0:c r="I689" s="17" t="n"/>
      <ns0:c r="J689" s="17" t="n"/>
      <ns0:c r="K689" s="17" t="n"/>
      <ns0:c r="L689" s="17" t="n"/>
      <ns0:c r="M689" s="17" t="n"/>
      <ns0:c r="N689" s="17" t="n"/>
      <ns0:c r="O689" s="17" t="n"/>
      <ns0:c r="P689" s="17" t="n"/>
      <ns0:c r="Q689" s="17" t="n"/>
      <ns0:c r="R689" s="17" t="n"/>
      <ns0:c r="S689" s="17" t="n"/>
      <ns0:c r="T689" s="17" t="n"/>
      <ns0:c r="U689" s="17" t="n"/>
      <ns0:c r="V689" s="17" t="n"/>
      <ns0:c r="W689" s="17" t="n"/>
      <ns0:c r="X689" s="17" t="n"/>
      <ns0:c r="Y689" s="17" t="n"/>
      <ns0:c r="Z689" s="17" t="n"/>
      <ns0:c r="AA689" s="17" t="n"/>
      <ns0:c r="AB689" s="17" t="n"/>
      <ns0:c r="AC689" s="17" t="n"/>
      <ns0:c r="AD689" s="17" t="n"/>
      <ns0:c r="AE689" s="17" t="n"/>
      <ns0:c r="AF689" s="17" t="n"/>
      <ns0:c r="AG689" s="17" t="n"/>
    </ns0:row>
    <ns0:row r="690" ht="24" customHeight="1">
      <ns0:c r="D690" s="17" t="n"/>
      <ns0:c r="E690" s="17" t="n"/>
      <ns0:c r="F690" s="17" t="n"/>
      <ns0:c r="G690" s="17" t="n"/>
      <ns0:c r="H690" s="17" t="n"/>
      <ns0:c r="I690" s="17" t="n"/>
      <ns0:c r="J690" s="17" t="n"/>
      <ns0:c r="K690" s="17" t="n"/>
      <ns0:c r="L690" s="17" t="n"/>
      <ns0:c r="M690" s="17" t="n"/>
      <ns0:c r="N690" s="17" t="n"/>
      <ns0:c r="O690" s="17" t="n"/>
      <ns0:c r="P690" s="17" t="n"/>
      <ns0:c r="Q690" s="17" t="n"/>
      <ns0:c r="R690" s="17" t="n"/>
      <ns0:c r="S690" s="17" t="n"/>
      <ns0:c r="T690" s="17" t="n"/>
      <ns0:c r="U690" s="17" t="n"/>
      <ns0:c r="V690" s="17" t="n"/>
      <ns0:c r="W690" s="17" t="n"/>
      <ns0:c r="X690" s="17" t="n"/>
      <ns0:c r="Y690" s="17" t="n"/>
      <ns0:c r="Z690" s="17" t="n"/>
      <ns0:c r="AA690" s="17" t="n"/>
      <ns0:c r="AB690" s="17" t="n"/>
      <ns0:c r="AC690" s="17" t="n"/>
      <ns0:c r="AD690" s="17" t="n"/>
      <ns0:c r="AE690" s="17" t="n"/>
      <ns0:c r="AF690" s="17" t="n"/>
      <ns0:c r="AG690" s="17" t="n"/>
    </ns0:row>
    <ns0:row r="691" ht="24" customHeight="1">
      <ns0:c r="D691" s="17" t="n"/>
      <ns0:c r="E691" s="17" t="n"/>
      <ns0:c r="F691" s="17" t="n"/>
      <ns0:c r="G691" s="17" t="n"/>
      <ns0:c r="H691" s="17" t="n"/>
      <ns0:c r="I691" s="17" t="n"/>
      <ns0:c r="J691" s="17" t="n"/>
      <ns0:c r="K691" s="17" t="n"/>
      <ns0:c r="L691" s="17" t="n"/>
      <ns0:c r="M691" s="17" t="n"/>
      <ns0:c r="N691" s="17" t="n"/>
      <ns0:c r="O691" s="17" t="n"/>
      <ns0:c r="P691" s="17" t="n"/>
      <ns0:c r="Q691" s="17" t="n"/>
      <ns0:c r="R691" s="17" t="n"/>
      <ns0:c r="S691" s="17" t="n"/>
      <ns0:c r="T691" s="17" t="n"/>
      <ns0:c r="U691" s="17" t="n"/>
      <ns0:c r="V691" s="17" t="n"/>
      <ns0:c r="W691" s="17" t="n"/>
      <ns0:c r="X691" s="17" t="n"/>
      <ns0:c r="Y691" s="17" t="n"/>
      <ns0:c r="Z691" s="17" t="n"/>
      <ns0:c r="AA691" s="17" t="n"/>
      <ns0:c r="AB691" s="17" t="n"/>
      <ns0:c r="AC691" s="17" t="n"/>
      <ns0:c r="AD691" s="17" t="n"/>
      <ns0:c r="AE691" s="17" t="n"/>
      <ns0:c r="AF691" s="17" t="n"/>
      <ns0:c r="AG691" s="17" t="n"/>
    </ns0:row>
    <ns0:row r="692" ht="24" customHeight="1">
      <ns0:c r="D692" s="17" t="n"/>
      <ns0:c r="E692" s="17" t="n"/>
      <ns0:c r="F692" s="17" t="n"/>
      <ns0:c r="G692" s="17" t="n"/>
      <ns0:c r="H692" s="17" t="n"/>
      <ns0:c r="I692" s="17" t="n"/>
      <ns0:c r="J692" s="17" t="n"/>
      <ns0:c r="K692" s="17" t="n"/>
      <ns0:c r="L692" s="17" t="n"/>
      <ns0:c r="M692" s="17" t="n"/>
      <ns0:c r="N692" s="17" t="n"/>
      <ns0:c r="O692" s="17" t="n"/>
      <ns0:c r="P692" s="17" t="n"/>
      <ns0:c r="Q692" s="17" t="n"/>
      <ns0:c r="R692" s="17" t="n"/>
      <ns0:c r="S692" s="17" t="n"/>
      <ns0:c r="T692" s="17" t="n"/>
      <ns0:c r="U692" s="17" t="n"/>
      <ns0:c r="V692" s="17" t="n"/>
      <ns0:c r="W692" s="17" t="n"/>
      <ns0:c r="X692" s="17" t="n"/>
      <ns0:c r="Y692" s="17" t="n"/>
      <ns0:c r="Z692" s="17" t="n"/>
      <ns0:c r="AA692" s="17" t="n"/>
      <ns0:c r="AB692" s="17" t="n"/>
      <ns0:c r="AC692" s="17" t="n"/>
      <ns0:c r="AD692" s="17" t="n"/>
      <ns0:c r="AE692" s="17" t="n"/>
      <ns0:c r="AF692" s="17" t="n"/>
      <ns0:c r="AG692" s="17" t="n"/>
    </ns0:row>
    <ns0:row r="693" ht="24" customHeight="1">
      <ns0:c r="D693" s="17" t="n"/>
      <ns0:c r="E693" s="17" t="n"/>
      <ns0:c r="F693" s="17" t="n"/>
      <ns0:c r="G693" s="17" t="n"/>
      <ns0:c r="H693" s="17" t="n"/>
      <ns0:c r="I693" s="17" t="n"/>
      <ns0:c r="J693" s="17" t="n"/>
      <ns0:c r="K693" s="17" t="n"/>
      <ns0:c r="L693" s="17" t="n"/>
      <ns0:c r="M693" s="17" t="n"/>
      <ns0:c r="N693" s="17" t="n"/>
      <ns0:c r="O693" s="17" t="n"/>
      <ns0:c r="P693" s="17" t="n"/>
      <ns0:c r="Q693" s="17" t="n"/>
      <ns0:c r="R693" s="17" t="n"/>
      <ns0:c r="S693" s="17" t="n"/>
      <ns0:c r="T693" s="17" t="n"/>
      <ns0:c r="U693" s="17" t="n"/>
      <ns0:c r="V693" s="17" t="n"/>
      <ns0:c r="W693" s="17" t="n"/>
      <ns0:c r="X693" s="17" t="n"/>
      <ns0:c r="Y693" s="17" t="n"/>
      <ns0:c r="Z693" s="17" t="n"/>
      <ns0:c r="AA693" s="17" t="n"/>
      <ns0:c r="AB693" s="17" t="n"/>
      <ns0:c r="AC693" s="17" t="n"/>
      <ns0:c r="AD693" s="17" t="n"/>
      <ns0:c r="AE693" s="17" t="n"/>
      <ns0:c r="AF693" s="17" t="n"/>
      <ns0:c r="AG693" s="17" t="n"/>
    </ns0:row>
    <ns0:row r="694" ht="24" customHeight="1">
      <ns0:c r="D694" s="17" t="n"/>
      <ns0:c r="E694" s="17" t="n"/>
      <ns0:c r="F694" s="17" t="n"/>
      <ns0:c r="G694" s="17" t="n"/>
      <ns0:c r="H694" s="17" t="n"/>
      <ns0:c r="I694" s="17" t="n"/>
      <ns0:c r="J694" s="17" t="n"/>
      <ns0:c r="K694" s="17" t="n"/>
      <ns0:c r="L694" s="17" t="n"/>
      <ns0:c r="M694" s="17" t="n"/>
      <ns0:c r="N694" s="17" t="n"/>
      <ns0:c r="O694" s="17" t="n"/>
      <ns0:c r="P694" s="17" t="n"/>
      <ns0:c r="Q694" s="17" t="n"/>
      <ns0:c r="R694" s="17" t="n"/>
      <ns0:c r="S694" s="17" t="n"/>
      <ns0:c r="T694" s="17" t="n"/>
      <ns0:c r="U694" s="17" t="n"/>
      <ns0:c r="V694" s="17" t="n"/>
      <ns0:c r="W694" s="17" t="n"/>
      <ns0:c r="X694" s="17" t="n"/>
      <ns0:c r="Y694" s="17" t="n"/>
      <ns0:c r="Z694" s="17" t="n"/>
      <ns0:c r="AA694" s="17" t="n"/>
      <ns0:c r="AB694" s="17" t="n"/>
      <ns0:c r="AC694" s="17" t="n"/>
      <ns0:c r="AD694" s="17" t="n"/>
      <ns0:c r="AE694" s="17" t="n"/>
      <ns0:c r="AF694" s="17" t="n"/>
      <ns0:c r="AG694" s="17" t="n"/>
    </ns0:row>
    <ns0:row r="695" ht="24" customHeight="1">
      <ns0:c r="D695" s="17" t="n"/>
      <ns0:c r="E695" s="17" t="n"/>
      <ns0:c r="F695" s="17" t="n"/>
      <ns0:c r="G695" s="17" t="n"/>
      <ns0:c r="H695" s="17" t="n"/>
      <ns0:c r="I695" s="17" t="n"/>
      <ns0:c r="J695" s="17" t="n"/>
      <ns0:c r="K695" s="17" t="n"/>
      <ns0:c r="L695" s="17" t="n"/>
      <ns0:c r="M695" s="17" t="n"/>
      <ns0:c r="N695" s="17" t="n"/>
      <ns0:c r="O695" s="17" t="n"/>
      <ns0:c r="P695" s="17" t="n"/>
      <ns0:c r="Q695" s="17" t="n"/>
      <ns0:c r="R695" s="17" t="n"/>
      <ns0:c r="S695" s="17" t="n"/>
      <ns0:c r="T695" s="17" t="n"/>
      <ns0:c r="U695" s="17" t="n"/>
      <ns0:c r="V695" s="17" t="n"/>
      <ns0:c r="W695" s="17" t="n"/>
      <ns0:c r="X695" s="17" t="n"/>
      <ns0:c r="Y695" s="17" t="n"/>
      <ns0:c r="Z695" s="17" t="n"/>
      <ns0:c r="AA695" s="17" t="n"/>
      <ns0:c r="AB695" s="17" t="n"/>
      <ns0:c r="AC695" s="17" t="n"/>
      <ns0:c r="AD695" s="17" t="n"/>
      <ns0:c r="AE695" s="17" t="n"/>
      <ns0:c r="AF695" s="17" t="n"/>
      <ns0:c r="AG695" s="17" t="n"/>
    </ns0:row>
    <ns0:row r="696" ht="24" customHeight="1">
      <ns0:c r="D696" s="17" t="n"/>
      <ns0:c r="E696" s="17" t="n"/>
      <ns0:c r="F696" s="17" t="n"/>
      <ns0:c r="G696" s="17" t="n"/>
      <ns0:c r="H696" s="17" t="n"/>
      <ns0:c r="I696" s="17" t="n"/>
      <ns0:c r="J696" s="17" t="n"/>
      <ns0:c r="K696" s="17" t="n"/>
      <ns0:c r="L696" s="17" t="n"/>
      <ns0:c r="M696" s="17" t="n"/>
      <ns0:c r="N696" s="17" t="n"/>
      <ns0:c r="O696" s="17" t="n"/>
      <ns0:c r="P696" s="17" t="n"/>
      <ns0:c r="Q696" s="17" t="n"/>
      <ns0:c r="R696" s="17" t="n"/>
      <ns0:c r="S696" s="17" t="n"/>
      <ns0:c r="T696" s="17" t="n"/>
      <ns0:c r="U696" s="17" t="n"/>
      <ns0:c r="V696" s="17" t="n"/>
      <ns0:c r="W696" s="17" t="n"/>
      <ns0:c r="X696" s="17" t="n"/>
      <ns0:c r="Y696" s="17" t="n"/>
      <ns0:c r="Z696" s="17" t="n"/>
      <ns0:c r="AA696" s="17" t="n"/>
      <ns0:c r="AB696" s="17" t="n"/>
      <ns0:c r="AC696" s="17" t="n"/>
      <ns0:c r="AD696" s="17" t="n"/>
      <ns0:c r="AE696" s="17" t="n"/>
      <ns0:c r="AF696" s="17" t="n"/>
      <ns0:c r="AG696" s="17" t="n"/>
    </ns0:row>
    <ns0:row r="697" ht="24" customHeight="1">
      <ns0:c r="D697" s="17" t="n"/>
      <ns0:c r="E697" s="17" t="n"/>
      <ns0:c r="F697" s="17" t="n"/>
      <ns0:c r="G697" s="17" t="n"/>
      <ns0:c r="H697" s="17" t="n"/>
      <ns0:c r="I697" s="17" t="n"/>
      <ns0:c r="J697" s="17" t="n"/>
      <ns0:c r="K697" s="17" t="n"/>
      <ns0:c r="L697" s="17" t="n"/>
      <ns0:c r="M697" s="17" t="n"/>
      <ns0:c r="N697" s="17" t="n"/>
      <ns0:c r="O697" s="17" t="n"/>
      <ns0:c r="P697" s="17" t="n"/>
      <ns0:c r="Q697" s="17" t="n"/>
      <ns0:c r="R697" s="17" t="n"/>
      <ns0:c r="S697" s="17" t="n"/>
      <ns0:c r="T697" s="17" t="n"/>
      <ns0:c r="U697" s="17" t="n"/>
      <ns0:c r="V697" s="17" t="n"/>
      <ns0:c r="W697" s="17" t="n"/>
      <ns0:c r="X697" s="17" t="n"/>
      <ns0:c r="Y697" s="17" t="n"/>
      <ns0:c r="Z697" s="17" t="n"/>
      <ns0:c r="AA697" s="17" t="n"/>
      <ns0:c r="AB697" s="17" t="n"/>
      <ns0:c r="AC697" s="17" t="n"/>
      <ns0:c r="AD697" s="17" t="n"/>
      <ns0:c r="AE697" s="17" t="n"/>
      <ns0:c r="AF697" s="17" t="n"/>
      <ns0:c r="AG697" s="17" t="n"/>
    </ns0:row>
    <ns0:row r="698" ht="24" customHeight="1">
      <ns0:c r="D698" s="17" t="n"/>
      <ns0:c r="E698" s="17" t="n"/>
      <ns0:c r="F698" s="17" t="n"/>
      <ns0:c r="G698" s="17" t="n"/>
      <ns0:c r="H698" s="17" t="n"/>
      <ns0:c r="I698" s="17" t="n"/>
      <ns0:c r="J698" s="17" t="n"/>
      <ns0:c r="K698" s="17" t="n"/>
      <ns0:c r="L698" s="17" t="n"/>
      <ns0:c r="M698" s="17" t="n"/>
      <ns0:c r="N698" s="17" t="n"/>
      <ns0:c r="O698" s="17" t="n"/>
      <ns0:c r="P698" s="17" t="n"/>
      <ns0:c r="Q698" s="17" t="n"/>
      <ns0:c r="R698" s="17" t="n"/>
      <ns0:c r="S698" s="17" t="n"/>
      <ns0:c r="T698" s="17" t="n"/>
      <ns0:c r="U698" s="17" t="n"/>
      <ns0:c r="V698" s="17" t="n"/>
      <ns0:c r="W698" s="17" t="n"/>
      <ns0:c r="X698" s="17" t="n"/>
      <ns0:c r="Y698" s="17" t="n"/>
      <ns0:c r="Z698" s="17" t="n"/>
      <ns0:c r="AA698" s="17" t="n"/>
      <ns0:c r="AB698" s="17" t="n"/>
      <ns0:c r="AC698" s="17" t="n"/>
      <ns0:c r="AD698" s="17" t="n"/>
      <ns0:c r="AE698" s="17" t="n"/>
      <ns0:c r="AF698" s="17" t="n"/>
      <ns0:c r="AG698" s="17" t="n"/>
    </ns0:row>
    <ns0:row r="699" ht="24" customHeight="1">
      <ns0:c r="D699" s="17" t="n"/>
      <ns0:c r="E699" s="17" t="n"/>
      <ns0:c r="F699" s="17" t="n"/>
      <ns0:c r="G699" s="17" t="n"/>
      <ns0:c r="H699" s="17" t="n"/>
      <ns0:c r="I699" s="17" t="n"/>
      <ns0:c r="J699" s="17" t="n"/>
      <ns0:c r="K699" s="17" t="n"/>
      <ns0:c r="L699" s="17" t="n"/>
      <ns0:c r="M699" s="17" t="n"/>
      <ns0:c r="N699" s="17" t="n"/>
      <ns0:c r="O699" s="17" t="n"/>
      <ns0:c r="P699" s="17" t="n"/>
      <ns0:c r="Q699" s="17" t="n"/>
      <ns0:c r="R699" s="17" t="n"/>
      <ns0:c r="S699" s="17" t="n"/>
      <ns0:c r="T699" s="17" t="n"/>
      <ns0:c r="U699" s="17" t="n"/>
      <ns0:c r="V699" s="17" t="n"/>
      <ns0:c r="W699" s="17" t="n"/>
      <ns0:c r="X699" s="17" t="n"/>
      <ns0:c r="Y699" s="17" t="n"/>
      <ns0:c r="Z699" s="17" t="n"/>
      <ns0:c r="AA699" s="17" t="n"/>
      <ns0:c r="AB699" s="17" t="n"/>
      <ns0:c r="AC699" s="17" t="n"/>
      <ns0:c r="AD699" s="17" t="n"/>
      <ns0:c r="AE699" s="17" t="n"/>
      <ns0:c r="AF699" s="17" t="n"/>
      <ns0:c r="AG699" s="17" t="n"/>
    </ns0:row>
    <ns0:row r="700" ht="24" customHeight="1">
      <ns0:c r="D700" s="17" t="n"/>
      <ns0:c r="E700" s="17" t="n"/>
      <ns0:c r="F700" s="17" t="n"/>
      <ns0:c r="G700" s="17" t="n"/>
      <ns0:c r="H700" s="17" t="n"/>
      <ns0:c r="I700" s="17" t="n"/>
      <ns0:c r="J700" s="17" t="n"/>
      <ns0:c r="K700" s="17" t="n"/>
      <ns0:c r="L700" s="17" t="n"/>
      <ns0:c r="M700" s="17" t="n"/>
      <ns0:c r="N700" s="17" t="n"/>
      <ns0:c r="O700" s="17" t="n"/>
      <ns0:c r="P700" s="17" t="n"/>
      <ns0:c r="Q700" s="17" t="n"/>
      <ns0:c r="R700" s="17" t="n"/>
      <ns0:c r="S700" s="17" t="n"/>
      <ns0:c r="T700" s="17" t="n"/>
      <ns0:c r="U700" s="17" t="n"/>
      <ns0:c r="V700" s="17" t="n"/>
      <ns0:c r="W700" s="17" t="n"/>
      <ns0:c r="X700" s="17" t="n"/>
      <ns0:c r="Y700" s="17" t="n"/>
      <ns0:c r="Z700" s="17" t="n"/>
      <ns0:c r="AA700" s="17" t="n"/>
      <ns0:c r="AB700" s="17" t="n"/>
      <ns0:c r="AC700" s="17" t="n"/>
      <ns0:c r="AD700" s="17" t="n"/>
      <ns0:c r="AE700" s="17" t="n"/>
      <ns0:c r="AF700" s="17" t="n"/>
      <ns0:c r="AG700" s="17" t="n"/>
    </ns0:row>
    <ns0:row r="701" ht="24" customHeight="1">
      <ns0:c r="D701" s="17" t="n"/>
      <ns0:c r="E701" s="17" t="n"/>
      <ns0:c r="F701" s="17" t="n"/>
      <ns0:c r="G701" s="17" t="n"/>
      <ns0:c r="H701" s="17" t="n"/>
      <ns0:c r="I701" s="17" t="n"/>
      <ns0:c r="J701" s="17" t="n"/>
      <ns0:c r="K701" s="17" t="n"/>
      <ns0:c r="L701" s="17" t="n"/>
      <ns0:c r="M701" s="17" t="n"/>
      <ns0:c r="N701" s="17" t="n"/>
      <ns0:c r="O701" s="17" t="n"/>
      <ns0:c r="P701" s="17" t="n"/>
      <ns0:c r="Q701" s="17" t="n"/>
      <ns0:c r="R701" s="17" t="n"/>
      <ns0:c r="S701" s="17" t="n"/>
      <ns0:c r="T701" s="17" t="n"/>
      <ns0:c r="U701" s="17" t="n"/>
      <ns0:c r="V701" s="17" t="n"/>
      <ns0:c r="W701" s="17" t="n"/>
      <ns0:c r="X701" s="17" t="n"/>
      <ns0:c r="Y701" s="17" t="n"/>
      <ns0:c r="Z701" s="17" t="n"/>
      <ns0:c r="AA701" s="17" t="n"/>
      <ns0:c r="AB701" s="17" t="n"/>
      <ns0:c r="AC701" s="17" t="n"/>
      <ns0:c r="AD701" s="17" t="n"/>
      <ns0:c r="AE701" s="17" t="n"/>
      <ns0:c r="AF701" s="17" t="n"/>
      <ns0:c r="AG701" s="17" t="n"/>
    </ns0:row>
    <ns0:row r="702" ht="24" customHeight="1">
      <ns0:c r="D702" s="17" t="n"/>
      <ns0:c r="E702" s="17" t="n"/>
      <ns0:c r="F702" s="17" t="n"/>
      <ns0:c r="G702" s="17" t="n"/>
      <ns0:c r="H702" s="17" t="n"/>
      <ns0:c r="I702" s="17" t="n"/>
      <ns0:c r="J702" s="17" t="n"/>
      <ns0:c r="K702" s="17" t="n"/>
      <ns0:c r="L702" s="17" t="n"/>
      <ns0:c r="M702" s="17" t="n"/>
      <ns0:c r="N702" s="17" t="n"/>
      <ns0:c r="O702" s="17" t="n"/>
      <ns0:c r="P702" s="17" t="n"/>
      <ns0:c r="Q702" s="17" t="n"/>
      <ns0:c r="R702" s="17" t="n"/>
      <ns0:c r="S702" s="17" t="n"/>
      <ns0:c r="T702" s="17" t="n"/>
      <ns0:c r="U702" s="17" t="n"/>
      <ns0:c r="V702" s="17" t="n"/>
      <ns0:c r="W702" s="17" t="n"/>
      <ns0:c r="X702" s="17" t="n"/>
      <ns0:c r="Y702" s="17" t="n"/>
      <ns0:c r="Z702" s="17" t="n"/>
      <ns0:c r="AA702" s="17" t="n"/>
      <ns0:c r="AB702" s="17" t="n"/>
      <ns0:c r="AC702" s="17" t="n"/>
      <ns0:c r="AD702" s="17" t="n"/>
      <ns0:c r="AE702" s="17" t="n"/>
      <ns0:c r="AF702" s="17" t="n"/>
      <ns0:c r="AG702" s="17" t="n"/>
    </ns0:row>
    <ns0:row r="703" ht="24" customHeight="1">
      <ns0:c r="D703" s="17" t="n"/>
      <ns0:c r="E703" s="17" t="n"/>
      <ns0:c r="F703" s="17" t="n"/>
      <ns0:c r="G703" s="17" t="n"/>
      <ns0:c r="H703" s="17" t="n"/>
      <ns0:c r="I703" s="17" t="n"/>
      <ns0:c r="J703" s="17" t="n"/>
      <ns0:c r="K703" s="17" t="n"/>
      <ns0:c r="L703" s="17" t="n"/>
      <ns0:c r="M703" s="17" t="n"/>
      <ns0:c r="N703" s="17" t="n"/>
      <ns0:c r="O703" s="17" t="n"/>
      <ns0:c r="P703" s="17" t="n"/>
      <ns0:c r="Q703" s="17" t="n"/>
      <ns0:c r="R703" s="17" t="n"/>
      <ns0:c r="S703" s="17" t="n"/>
      <ns0:c r="T703" s="17" t="n"/>
      <ns0:c r="U703" s="17" t="n"/>
      <ns0:c r="V703" s="17" t="n"/>
      <ns0:c r="W703" s="17" t="n"/>
      <ns0:c r="X703" s="17" t="n"/>
      <ns0:c r="Y703" s="17" t="n"/>
      <ns0:c r="Z703" s="17" t="n"/>
      <ns0:c r="AA703" s="17" t="n"/>
      <ns0:c r="AB703" s="17" t="n"/>
      <ns0:c r="AC703" s="17" t="n"/>
      <ns0:c r="AD703" s="17" t="n"/>
      <ns0:c r="AE703" s="17" t="n"/>
      <ns0:c r="AF703" s="17" t="n"/>
      <ns0:c r="AG703" s="17" t="n"/>
    </ns0:row>
    <ns0:row r="704" ht="24" customHeight="1">
      <ns0:c r="D704" s="17" t="n"/>
      <ns0:c r="E704" s="17" t="n"/>
      <ns0:c r="F704" s="17" t="n"/>
      <ns0:c r="G704" s="17" t="n"/>
      <ns0:c r="H704" s="17" t="n"/>
      <ns0:c r="I704" s="17" t="n"/>
      <ns0:c r="J704" s="17" t="n"/>
      <ns0:c r="K704" s="17" t="n"/>
      <ns0:c r="L704" s="17" t="n"/>
      <ns0:c r="M704" s="17" t="n"/>
      <ns0:c r="N704" s="17" t="n"/>
      <ns0:c r="O704" s="17" t="n"/>
      <ns0:c r="P704" s="17" t="n"/>
      <ns0:c r="Q704" s="17" t="n"/>
      <ns0:c r="R704" s="17" t="n"/>
      <ns0:c r="S704" s="17" t="n"/>
      <ns0:c r="T704" s="17" t="n"/>
      <ns0:c r="U704" s="17" t="n"/>
      <ns0:c r="V704" s="17" t="n"/>
      <ns0:c r="W704" s="17" t="n"/>
      <ns0:c r="X704" s="17" t="n"/>
      <ns0:c r="Y704" s="17" t="n"/>
      <ns0:c r="Z704" s="17" t="n"/>
      <ns0:c r="AA704" s="17" t="n"/>
      <ns0:c r="AB704" s="17" t="n"/>
      <ns0:c r="AC704" s="17" t="n"/>
      <ns0:c r="AD704" s="17" t="n"/>
      <ns0:c r="AE704" s="17" t="n"/>
      <ns0:c r="AF704" s="17" t="n"/>
      <ns0:c r="AG704" s="17" t="n"/>
    </ns0:row>
    <ns0:row r="705" ht="24" customHeight="1">
      <ns0:c r="D705" s="17" t="n"/>
      <ns0:c r="E705" s="17" t="n"/>
      <ns0:c r="F705" s="17" t="n"/>
      <ns0:c r="G705" s="17" t="n"/>
      <ns0:c r="H705" s="17" t="n"/>
      <ns0:c r="I705" s="17" t="n"/>
      <ns0:c r="J705" s="17" t="n"/>
      <ns0:c r="K705" s="17" t="n"/>
      <ns0:c r="L705" s="17" t="n"/>
      <ns0:c r="M705" s="17" t="n"/>
      <ns0:c r="N705" s="17" t="n"/>
      <ns0:c r="O705" s="17" t="n"/>
      <ns0:c r="P705" s="17" t="n"/>
      <ns0:c r="Q705" s="17" t="n"/>
      <ns0:c r="R705" s="17" t="n"/>
      <ns0:c r="S705" s="17" t="n"/>
      <ns0:c r="T705" s="17" t="n"/>
      <ns0:c r="U705" s="17" t="n"/>
      <ns0:c r="V705" s="17" t="n"/>
      <ns0:c r="W705" s="17" t="n"/>
      <ns0:c r="X705" s="17" t="n"/>
      <ns0:c r="Y705" s="17" t="n"/>
      <ns0:c r="Z705" s="17" t="n"/>
      <ns0:c r="AA705" s="17" t="n"/>
      <ns0:c r="AB705" s="17" t="n"/>
      <ns0:c r="AC705" s="17" t="n"/>
      <ns0:c r="AD705" s="17" t="n"/>
      <ns0:c r="AE705" s="17" t="n"/>
      <ns0:c r="AF705" s="17" t="n"/>
      <ns0:c r="AG705" s="17" t="n"/>
    </ns0:row>
    <ns0:row r="706" ht="24" customHeight="1">
      <ns0:c r="D706" s="17" t="n"/>
      <ns0:c r="E706" s="17" t="n"/>
      <ns0:c r="F706" s="17" t="n"/>
      <ns0:c r="G706" s="17" t="n"/>
      <ns0:c r="H706" s="17" t="n"/>
      <ns0:c r="I706" s="17" t="n"/>
      <ns0:c r="J706" s="17" t="n"/>
      <ns0:c r="K706" s="17" t="n"/>
      <ns0:c r="L706" s="17" t="n"/>
      <ns0:c r="M706" s="17" t="n"/>
      <ns0:c r="N706" s="17" t="n"/>
      <ns0:c r="O706" s="17" t="n"/>
      <ns0:c r="P706" s="17" t="n"/>
      <ns0:c r="Q706" s="17" t="n"/>
      <ns0:c r="R706" s="17" t="n"/>
      <ns0:c r="S706" s="17" t="n"/>
      <ns0:c r="T706" s="17" t="n"/>
      <ns0:c r="U706" s="17" t="n"/>
      <ns0:c r="V706" s="17" t="n"/>
      <ns0:c r="W706" s="17" t="n"/>
      <ns0:c r="X706" s="17" t="n"/>
      <ns0:c r="Y706" s="17" t="n"/>
      <ns0:c r="Z706" s="17" t="n"/>
      <ns0:c r="AA706" s="17" t="n"/>
      <ns0:c r="AB706" s="17" t="n"/>
      <ns0:c r="AC706" s="17" t="n"/>
      <ns0:c r="AD706" s="17" t="n"/>
      <ns0:c r="AE706" s="17" t="n"/>
      <ns0:c r="AF706" s="17" t="n"/>
      <ns0:c r="AG706" s="17" t="n"/>
    </ns0:row>
    <ns0:row r="707" ht="24" customHeight="1">
      <ns0:c r="D707" s="17" t="n"/>
      <ns0:c r="E707" s="17" t="n"/>
      <ns0:c r="F707" s="17" t="n"/>
      <ns0:c r="G707" s="17" t="n"/>
      <ns0:c r="H707" s="17" t="n"/>
      <ns0:c r="I707" s="17" t="n"/>
      <ns0:c r="J707" s="17" t="n"/>
      <ns0:c r="K707" s="17" t="n"/>
      <ns0:c r="L707" s="17" t="n"/>
      <ns0:c r="M707" s="17" t="n"/>
      <ns0:c r="N707" s="17" t="n"/>
      <ns0:c r="O707" s="17" t="n"/>
      <ns0:c r="P707" s="17" t="n"/>
      <ns0:c r="Q707" s="17" t="n"/>
      <ns0:c r="R707" s="17" t="n"/>
      <ns0:c r="S707" s="17" t="n"/>
      <ns0:c r="T707" s="17" t="n"/>
      <ns0:c r="U707" s="17" t="n"/>
      <ns0:c r="V707" s="17" t="n"/>
      <ns0:c r="W707" s="17" t="n"/>
      <ns0:c r="X707" s="17" t="n"/>
      <ns0:c r="Y707" s="17" t="n"/>
      <ns0:c r="Z707" s="17" t="n"/>
      <ns0:c r="AA707" s="17" t="n"/>
      <ns0:c r="AB707" s="17" t="n"/>
      <ns0:c r="AC707" s="17" t="n"/>
      <ns0:c r="AD707" s="17" t="n"/>
      <ns0:c r="AE707" s="17" t="n"/>
      <ns0:c r="AF707" s="17" t="n"/>
      <ns0:c r="AG707" s="17" t="n"/>
    </ns0:row>
    <ns0:row r="708" ht="24" customHeight="1">
      <ns0:c r="D708" s="17" t="n"/>
      <ns0:c r="E708" s="17" t="n"/>
      <ns0:c r="F708" s="17" t="n"/>
      <ns0:c r="G708" s="17" t="n"/>
      <ns0:c r="H708" s="17" t="n"/>
      <ns0:c r="I708" s="17" t="n"/>
      <ns0:c r="J708" s="17" t="n"/>
      <ns0:c r="K708" s="17" t="n"/>
      <ns0:c r="L708" s="17" t="n"/>
      <ns0:c r="M708" s="17" t="n"/>
      <ns0:c r="N708" s="17" t="n"/>
      <ns0:c r="O708" s="17" t="n"/>
      <ns0:c r="P708" s="17" t="n"/>
      <ns0:c r="Q708" s="17" t="n"/>
      <ns0:c r="R708" s="17" t="n"/>
      <ns0:c r="S708" s="17" t="n"/>
      <ns0:c r="T708" s="17" t="n"/>
      <ns0:c r="U708" s="17" t="n"/>
      <ns0:c r="V708" s="17" t="n"/>
      <ns0:c r="W708" s="17" t="n"/>
      <ns0:c r="X708" s="17" t="n"/>
      <ns0:c r="Y708" s="17" t="n"/>
      <ns0:c r="Z708" s="17" t="n"/>
      <ns0:c r="AA708" s="17" t="n"/>
      <ns0:c r="AB708" s="17" t="n"/>
      <ns0:c r="AC708" s="17" t="n"/>
      <ns0:c r="AD708" s="17" t="n"/>
      <ns0:c r="AE708" s="17" t="n"/>
      <ns0:c r="AF708" s="17" t="n"/>
      <ns0:c r="AG708" s="17" t="n"/>
    </ns0:row>
    <ns0:row r="709" ht="24" customHeight="1">
      <ns0:c r="D709" s="17" t="n"/>
      <ns0:c r="E709" s="17" t="n"/>
      <ns0:c r="F709" s="17" t="n"/>
      <ns0:c r="G709" s="17" t="n"/>
      <ns0:c r="H709" s="17" t="n"/>
      <ns0:c r="I709" s="17" t="n"/>
      <ns0:c r="J709" s="17" t="n"/>
      <ns0:c r="K709" s="17" t="n"/>
      <ns0:c r="L709" s="17" t="n"/>
      <ns0:c r="M709" s="17" t="n"/>
      <ns0:c r="N709" s="17" t="n"/>
      <ns0:c r="O709" s="17" t="n"/>
      <ns0:c r="P709" s="17" t="n"/>
      <ns0:c r="Q709" s="17" t="n"/>
      <ns0:c r="R709" s="17" t="n"/>
      <ns0:c r="S709" s="17" t="n"/>
      <ns0:c r="T709" s="17" t="n"/>
      <ns0:c r="U709" s="17" t="n"/>
      <ns0:c r="V709" s="17" t="n"/>
      <ns0:c r="W709" s="17" t="n"/>
      <ns0:c r="X709" s="17" t="n"/>
      <ns0:c r="Y709" s="17" t="n"/>
      <ns0:c r="Z709" s="17" t="n"/>
      <ns0:c r="AA709" s="17" t="n"/>
      <ns0:c r="AB709" s="17" t="n"/>
      <ns0:c r="AC709" s="17" t="n"/>
      <ns0:c r="AD709" s="17" t="n"/>
      <ns0:c r="AE709" s="17" t="n"/>
      <ns0:c r="AF709" s="17" t="n"/>
      <ns0:c r="AG709" s="17" t="n"/>
    </ns0:row>
    <ns0:row r="710" ht="24" customHeight="1">
      <ns0:c r="D710" s="17" t="n"/>
      <ns0:c r="E710" s="17" t="n"/>
      <ns0:c r="F710" s="17" t="n"/>
      <ns0:c r="G710" s="17" t="n"/>
      <ns0:c r="H710" s="17" t="n"/>
      <ns0:c r="I710" s="17" t="n"/>
      <ns0:c r="J710" s="17" t="n"/>
      <ns0:c r="K710" s="17" t="n"/>
      <ns0:c r="L710" s="17" t="n"/>
      <ns0:c r="M710" s="17" t="n"/>
      <ns0:c r="N710" s="17" t="n"/>
      <ns0:c r="O710" s="17" t="n"/>
      <ns0:c r="P710" s="17" t="n"/>
      <ns0:c r="Q710" s="17" t="n"/>
      <ns0:c r="R710" s="17" t="n"/>
      <ns0:c r="S710" s="17" t="n"/>
      <ns0:c r="T710" s="17" t="n"/>
      <ns0:c r="U710" s="17" t="n"/>
      <ns0:c r="V710" s="17" t="n"/>
      <ns0:c r="W710" s="17" t="n"/>
      <ns0:c r="X710" s="17" t="n"/>
      <ns0:c r="Y710" s="17" t="n"/>
      <ns0:c r="Z710" s="17" t="n"/>
      <ns0:c r="AA710" s="17" t="n"/>
      <ns0:c r="AB710" s="17" t="n"/>
      <ns0:c r="AC710" s="17" t="n"/>
      <ns0:c r="AD710" s="17" t="n"/>
      <ns0:c r="AE710" s="17" t="n"/>
      <ns0:c r="AF710" s="17" t="n"/>
      <ns0:c r="AG710" s="17" t="n"/>
    </ns0:row>
    <ns0:row r="711" ht="24" customHeight="1">
      <ns0:c r="D711" s="17" t="n"/>
      <ns0:c r="E711" s="17" t="n"/>
      <ns0:c r="F711" s="17" t="n"/>
      <ns0:c r="G711" s="17" t="n"/>
      <ns0:c r="H711" s="17" t="n"/>
      <ns0:c r="I711" s="17" t="n"/>
      <ns0:c r="J711" s="17" t="n"/>
      <ns0:c r="K711" s="17" t="n"/>
      <ns0:c r="L711" s="17" t="n"/>
      <ns0:c r="M711" s="17" t="n"/>
      <ns0:c r="N711" s="17" t="n"/>
      <ns0:c r="O711" s="17" t="n"/>
      <ns0:c r="P711" s="17" t="n"/>
      <ns0:c r="Q711" s="17" t="n"/>
      <ns0:c r="R711" s="17" t="n"/>
      <ns0:c r="S711" s="17" t="n"/>
      <ns0:c r="T711" s="17" t="n"/>
      <ns0:c r="U711" s="17" t="n"/>
      <ns0:c r="V711" s="17" t="n"/>
      <ns0:c r="W711" s="17" t="n"/>
      <ns0:c r="X711" s="17" t="n"/>
      <ns0:c r="Y711" s="17" t="n"/>
      <ns0:c r="Z711" s="17" t="n"/>
      <ns0:c r="AA711" s="17" t="n"/>
      <ns0:c r="AB711" s="17" t="n"/>
      <ns0:c r="AC711" s="17" t="n"/>
      <ns0:c r="AD711" s="17" t="n"/>
      <ns0:c r="AE711" s="17" t="n"/>
      <ns0:c r="AF711" s="17" t="n"/>
      <ns0:c r="AG711" s="17" t="n"/>
    </ns0:row>
    <ns0:row r="712" ht="24" customHeight="1">
      <ns0:c r="D712" s="17" t="n"/>
      <ns0:c r="E712" s="17" t="n"/>
      <ns0:c r="F712" s="17" t="n"/>
      <ns0:c r="G712" s="17" t="n"/>
      <ns0:c r="H712" s="17" t="n"/>
      <ns0:c r="I712" s="17" t="n"/>
      <ns0:c r="J712" s="17" t="n"/>
      <ns0:c r="K712" s="17" t="n"/>
      <ns0:c r="L712" s="17" t="n"/>
      <ns0:c r="M712" s="17" t="n"/>
      <ns0:c r="N712" s="17" t="n"/>
      <ns0:c r="O712" s="17" t="n"/>
      <ns0:c r="P712" s="17" t="n"/>
      <ns0:c r="Q712" s="17" t="n"/>
      <ns0:c r="R712" s="17" t="n"/>
      <ns0:c r="S712" s="17" t="n"/>
      <ns0:c r="T712" s="17" t="n"/>
      <ns0:c r="U712" s="17" t="n"/>
      <ns0:c r="V712" s="17" t="n"/>
      <ns0:c r="W712" s="17" t="n"/>
      <ns0:c r="X712" s="17" t="n"/>
      <ns0:c r="Y712" s="17" t="n"/>
      <ns0:c r="Z712" s="17" t="n"/>
      <ns0:c r="AA712" s="17" t="n"/>
      <ns0:c r="AB712" s="17" t="n"/>
      <ns0:c r="AC712" s="17" t="n"/>
      <ns0:c r="AD712" s="17" t="n"/>
      <ns0:c r="AE712" s="17" t="n"/>
      <ns0:c r="AF712" s="17" t="n"/>
      <ns0:c r="AG712" s="17" t="n"/>
    </ns0:row>
    <ns0:row r="713" ht="24" customHeight="1">
      <ns0:c r="D713" s="17" t="n"/>
      <ns0:c r="E713" s="17" t="n"/>
      <ns0:c r="F713" s="17" t="n"/>
      <ns0:c r="G713" s="17" t="n"/>
      <ns0:c r="H713" s="17" t="n"/>
      <ns0:c r="I713" s="17" t="n"/>
      <ns0:c r="J713" s="17" t="n"/>
      <ns0:c r="K713" s="17" t="n"/>
      <ns0:c r="L713" s="17" t="n"/>
      <ns0:c r="M713" s="17" t="n"/>
      <ns0:c r="N713" s="17" t="n"/>
      <ns0:c r="O713" s="17" t="n"/>
      <ns0:c r="P713" s="17" t="n"/>
      <ns0:c r="Q713" s="17" t="n"/>
      <ns0:c r="R713" s="17" t="n"/>
      <ns0:c r="S713" s="17" t="n"/>
      <ns0:c r="T713" s="17" t="n"/>
      <ns0:c r="U713" s="17" t="n"/>
      <ns0:c r="V713" s="17" t="n"/>
      <ns0:c r="W713" s="17" t="n"/>
      <ns0:c r="X713" s="17" t="n"/>
      <ns0:c r="Y713" s="17" t="n"/>
      <ns0:c r="Z713" s="17" t="n"/>
      <ns0:c r="AA713" s="17" t="n"/>
      <ns0:c r="AB713" s="17" t="n"/>
      <ns0:c r="AC713" s="17" t="n"/>
      <ns0:c r="AD713" s="17" t="n"/>
      <ns0:c r="AE713" s="17" t="n"/>
      <ns0:c r="AF713" s="17" t="n"/>
      <ns0:c r="AG713" s="17" t="n"/>
    </ns0:row>
    <ns0:row r="714" ht="24" customHeight="1">
      <ns0:c r="D714" s="17" t="n"/>
      <ns0:c r="E714" s="17" t="n"/>
      <ns0:c r="F714" s="17" t="n"/>
      <ns0:c r="G714" s="17" t="n"/>
      <ns0:c r="H714" s="17" t="n"/>
      <ns0:c r="I714" s="17" t="n"/>
      <ns0:c r="J714" s="17" t="n"/>
      <ns0:c r="K714" s="17" t="n"/>
      <ns0:c r="L714" s="17" t="n"/>
      <ns0:c r="M714" s="17" t="n"/>
      <ns0:c r="N714" s="17" t="n"/>
      <ns0:c r="O714" s="17" t="n"/>
      <ns0:c r="P714" s="17" t="n"/>
      <ns0:c r="Q714" s="17" t="n"/>
      <ns0:c r="R714" s="17" t="n"/>
      <ns0:c r="S714" s="17" t="n"/>
      <ns0:c r="T714" s="17" t="n"/>
      <ns0:c r="U714" s="17" t="n"/>
      <ns0:c r="V714" s="17" t="n"/>
      <ns0:c r="W714" s="17" t="n"/>
      <ns0:c r="X714" s="17" t="n"/>
      <ns0:c r="Y714" s="17" t="n"/>
      <ns0:c r="Z714" s="17" t="n"/>
      <ns0:c r="AA714" s="17" t="n"/>
      <ns0:c r="AB714" s="17" t="n"/>
      <ns0:c r="AC714" s="17" t="n"/>
      <ns0:c r="AD714" s="17" t="n"/>
      <ns0:c r="AE714" s="17" t="n"/>
      <ns0:c r="AF714" s="17" t="n"/>
      <ns0:c r="AG714" s="17" t="n"/>
    </ns0:row>
    <ns0:row r="715" ht="24" customHeight="1">
      <ns0:c r="D715" s="17" t="n"/>
      <ns0:c r="E715" s="17" t="n"/>
      <ns0:c r="F715" s="17" t="n"/>
      <ns0:c r="G715" s="17" t="n"/>
      <ns0:c r="H715" s="17" t="n"/>
      <ns0:c r="I715" s="17" t="n"/>
      <ns0:c r="J715" s="17" t="n"/>
      <ns0:c r="K715" s="17" t="n"/>
      <ns0:c r="L715" s="17" t="n"/>
      <ns0:c r="M715" s="17" t="n"/>
      <ns0:c r="N715" s="17" t="n"/>
      <ns0:c r="O715" s="17" t="n"/>
      <ns0:c r="P715" s="17" t="n"/>
      <ns0:c r="Q715" s="17" t="n"/>
      <ns0:c r="R715" s="17" t="n"/>
      <ns0:c r="S715" s="17" t="n"/>
      <ns0:c r="T715" s="17" t="n"/>
      <ns0:c r="U715" s="17" t="n"/>
      <ns0:c r="V715" s="17" t="n"/>
      <ns0:c r="W715" s="17" t="n"/>
      <ns0:c r="X715" s="17" t="n"/>
      <ns0:c r="Y715" s="17" t="n"/>
      <ns0:c r="Z715" s="17" t="n"/>
      <ns0:c r="AA715" s="17" t="n"/>
      <ns0:c r="AB715" s="17" t="n"/>
      <ns0:c r="AC715" s="17" t="n"/>
      <ns0:c r="AD715" s="17" t="n"/>
      <ns0:c r="AE715" s="17" t="n"/>
      <ns0:c r="AF715" s="17" t="n"/>
      <ns0:c r="AG715" s="17" t="n"/>
    </ns0:row>
    <ns0:row r="716" ht="24" customHeight="1">
      <ns0:c r="D716" s="17" t="n"/>
      <ns0:c r="E716" s="17" t="n"/>
      <ns0:c r="F716" s="17" t="n"/>
      <ns0:c r="G716" s="17" t="n"/>
      <ns0:c r="H716" s="17" t="n"/>
      <ns0:c r="I716" s="17" t="n"/>
      <ns0:c r="J716" s="17" t="n"/>
      <ns0:c r="K716" s="17" t="n"/>
      <ns0:c r="L716" s="17" t="n"/>
      <ns0:c r="M716" s="17" t="n"/>
      <ns0:c r="N716" s="17" t="n"/>
      <ns0:c r="O716" s="17" t="n"/>
      <ns0:c r="P716" s="17" t="n"/>
      <ns0:c r="Q716" s="17" t="n"/>
      <ns0:c r="R716" s="17" t="n"/>
      <ns0:c r="S716" s="17" t="n"/>
      <ns0:c r="T716" s="17" t="n"/>
      <ns0:c r="U716" s="17" t="n"/>
      <ns0:c r="V716" s="17" t="n"/>
      <ns0:c r="W716" s="17" t="n"/>
      <ns0:c r="X716" s="17" t="n"/>
      <ns0:c r="Y716" s="17" t="n"/>
      <ns0:c r="Z716" s="17" t="n"/>
      <ns0:c r="AA716" s="17" t="n"/>
      <ns0:c r="AB716" s="17" t="n"/>
      <ns0:c r="AC716" s="17" t="n"/>
      <ns0:c r="AD716" s="17" t="n"/>
      <ns0:c r="AE716" s="17" t="n"/>
      <ns0:c r="AF716" s="17" t="n"/>
      <ns0:c r="AG716" s="17" t="n"/>
    </ns0:row>
    <ns0:row r="717" ht="24" customHeight="1">
      <ns0:c r="D717" s="17" t="n"/>
      <ns0:c r="E717" s="17" t="n"/>
      <ns0:c r="F717" s="17" t="n"/>
      <ns0:c r="G717" s="17" t="n"/>
      <ns0:c r="H717" s="17" t="n"/>
      <ns0:c r="I717" s="17" t="n"/>
      <ns0:c r="J717" s="17" t="n"/>
      <ns0:c r="K717" s="17" t="n"/>
      <ns0:c r="L717" s="17" t="n"/>
      <ns0:c r="M717" s="17" t="n"/>
      <ns0:c r="N717" s="17" t="n"/>
      <ns0:c r="O717" s="17" t="n"/>
      <ns0:c r="P717" s="17" t="n"/>
      <ns0:c r="Q717" s="17" t="n"/>
      <ns0:c r="R717" s="17" t="n"/>
      <ns0:c r="S717" s="17" t="n"/>
      <ns0:c r="T717" s="17" t="n"/>
      <ns0:c r="U717" s="17" t="n"/>
      <ns0:c r="V717" s="17" t="n"/>
      <ns0:c r="W717" s="17" t="n"/>
      <ns0:c r="X717" s="17" t="n"/>
      <ns0:c r="Y717" s="17" t="n"/>
      <ns0:c r="Z717" s="17" t="n"/>
      <ns0:c r="AA717" s="17" t="n"/>
      <ns0:c r="AB717" s="17" t="n"/>
      <ns0:c r="AC717" s="17" t="n"/>
      <ns0:c r="AD717" s="17" t="n"/>
      <ns0:c r="AE717" s="17" t="n"/>
      <ns0:c r="AF717" s="17" t="n"/>
      <ns0:c r="AG717" s="17" t="n"/>
    </ns0:row>
    <ns0:row r="718" ht="24" customHeight="1">
      <ns0:c r="D718" s="17" t="n"/>
      <ns0:c r="E718" s="17" t="n"/>
      <ns0:c r="F718" s="17" t="n"/>
      <ns0:c r="G718" s="17" t="n"/>
      <ns0:c r="H718" s="17" t="n"/>
      <ns0:c r="I718" s="17" t="n"/>
      <ns0:c r="J718" s="17" t="n"/>
      <ns0:c r="K718" s="17" t="n"/>
      <ns0:c r="L718" s="17" t="n"/>
      <ns0:c r="M718" s="17" t="n"/>
      <ns0:c r="N718" s="17" t="n"/>
      <ns0:c r="O718" s="17" t="n"/>
      <ns0:c r="P718" s="17" t="n"/>
      <ns0:c r="Q718" s="17" t="n"/>
      <ns0:c r="R718" s="17" t="n"/>
      <ns0:c r="S718" s="17" t="n"/>
      <ns0:c r="T718" s="17" t="n"/>
      <ns0:c r="U718" s="17" t="n"/>
      <ns0:c r="V718" s="17" t="n"/>
      <ns0:c r="W718" s="17" t="n"/>
      <ns0:c r="X718" s="17" t="n"/>
      <ns0:c r="Y718" s="17" t="n"/>
      <ns0:c r="Z718" s="17" t="n"/>
      <ns0:c r="AA718" s="17" t="n"/>
      <ns0:c r="AB718" s="17" t="n"/>
      <ns0:c r="AC718" s="17" t="n"/>
      <ns0:c r="AD718" s="17" t="n"/>
      <ns0:c r="AE718" s="17" t="n"/>
      <ns0:c r="AF718" s="17" t="n"/>
      <ns0:c r="AG718" s="17" t="n"/>
    </ns0:row>
    <ns0:row r="719" ht="24" customHeight="1">
      <ns0:c r="D719" s="17" t="n"/>
      <ns0:c r="E719" s="17" t="n"/>
      <ns0:c r="F719" s="17" t="n"/>
      <ns0:c r="G719" s="17" t="n"/>
      <ns0:c r="H719" s="17" t="n"/>
      <ns0:c r="I719" s="17" t="n"/>
      <ns0:c r="J719" s="17" t="n"/>
      <ns0:c r="K719" s="17" t="n"/>
      <ns0:c r="L719" s="17" t="n"/>
      <ns0:c r="M719" s="17" t="n"/>
      <ns0:c r="N719" s="17" t="n"/>
      <ns0:c r="O719" s="17" t="n"/>
      <ns0:c r="P719" s="17" t="n"/>
      <ns0:c r="Q719" s="17" t="n"/>
      <ns0:c r="R719" s="17" t="n"/>
      <ns0:c r="S719" s="17" t="n"/>
      <ns0:c r="T719" s="17" t="n"/>
      <ns0:c r="U719" s="17" t="n"/>
      <ns0:c r="V719" s="17" t="n"/>
      <ns0:c r="W719" s="17" t="n"/>
      <ns0:c r="X719" s="17" t="n"/>
      <ns0:c r="Y719" s="17" t="n"/>
      <ns0:c r="Z719" s="17" t="n"/>
      <ns0:c r="AA719" s="17" t="n"/>
      <ns0:c r="AB719" s="17" t="n"/>
      <ns0:c r="AC719" s="17" t="n"/>
      <ns0:c r="AD719" s="17" t="n"/>
      <ns0:c r="AE719" s="17" t="n"/>
      <ns0:c r="AF719" s="17" t="n"/>
      <ns0:c r="AG719" s="17" t="n"/>
    </ns0:row>
    <ns0:row r="720" ht="24" customHeight="1">
      <ns0:c r="D720" s="17" t="n"/>
      <ns0:c r="E720" s="17" t="n"/>
      <ns0:c r="F720" s="17" t="n"/>
      <ns0:c r="G720" s="17" t="n"/>
      <ns0:c r="H720" s="17" t="n"/>
      <ns0:c r="I720" s="17" t="n"/>
      <ns0:c r="J720" s="17" t="n"/>
      <ns0:c r="K720" s="17" t="n"/>
      <ns0:c r="L720" s="17" t="n"/>
      <ns0:c r="M720" s="17" t="n"/>
      <ns0:c r="N720" s="17" t="n"/>
      <ns0:c r="O720" s="17" t="n"/>
      <ns0:c r="P720" s="17" t="n"/>
      <ns0:c r="Q720" s="17" t="n"/>
      <ns0:c r="R720" s="17" t="n"/>
      <ns0:c r="S720" s="17" t="n"/>
      <ns0:c r="T720" s="17" t="n"/>
      <ns0:c r="U720" s="17" t="n"/>
      <ns0:c r="V720" s="17" t="n"/>
      <ns0:c r="W720" s="17" t="n"/>
      <ns0:c r="X720" s="17" t="n"/>
      <ns0:c r="Y720" s="17" t="n"/>
      <ns0:c r="Z720" s="17" t="n"/>
      <ns0:c r="AA720" s="17" t="n"/>
      <ns0:c r="AB720" s="17" t="n"/>
      <ns0:c r="AC720" s="17" t="n"/>
      <ns0:c r="AD720" s="17" t="n"/>
      <ns0:c r="AE720" s="17" t="n"/>
      <ns0:c r="AF720" s="17" t="n"/>
      <ns0:c r="AG720" s="17" t="n"/>
    </ns0:row>
    <ns0:row r="721" ht="24" customHeight="1">
      <ns0:c r="D721" s="17" t="n"/>
      <ns0:c r="E721" s="17" t="n"/>
      <ns0:c r="F721" s="17" t="n"/>
      <ns0:c r="G721" s="17" t="n"/>
      <ns0:c r="H721" s="17" t="n"/>
      <ns0:c r="I721" s="17" t="n"/>
      <ns0:c r="J721" s="17" t="n"/>
      <ns0:c r="K721" s="17" t="n"/>
      <ns0:c r="L721" s="17" t="n"/>
      <ns0:c r="M721" s="17" t="n"/>
      <ns0:c r="N721" s="17" t="n"/>
      <ns0:c r="O721" s="17" t="n"/>
      <ns0:c r="P721" s="17" t="n"/>
      <ns0:c r="Q721" s="17" t="n"/>
      <ns0:c r="R721" s="17" t="n"/>
      <ns0:c r="S721" s="17" t="n"/>
      <ns0:c r="T721" s="17" t="n"/>
      <ns0:c r="U721" s="17" t="n"/>
      <ns0:c r="V721" s="17" t="n"/>
      <ns0:c r="W721" s="17" t="n"/>
      <ns0:c r="X721" s="17" t="n"/>
      <ns0:c r="Y721" s="17" t="n"/>
      <ns0:c r="Z721" s="17" t="n"/>
      <ns0:c r="AA721" s="17" t="n"/>
      <ns0:c r="AB721" s="17" t="n"/>
      <ns0:c r="AC721" s="17" t="n"/>
      <ns0:c r="AD721" s="17" t="n"/>
      <ns0:c r="AE721" s="17" t="n"/>
      <ns0:c r="AF721" s="17" t="n"/>
      <ns0:c r="AG721" s="17" t="n"/>
    </ns0:row>
    <ns0:row r="722" ht="24" customHeight="1">
      <ns0:c r="D722" s="17" t="n"/>
      <ns0:c r="E722" s="17" t="n"/>
      <ns0:c r="F722" s="17" t="n"/>
      <ns0:c r="G722" s="17" t="n"/>
      <ns0:c r="H722" s="17" t="n"/>
      <ns0:c r="I722" s="17" t="n"/>
      <ns0:c r="J722" s="17" t="n"/>
      <ns0:c r="K722" s="17" t="n"/>
      <ns0:c r="L722" s="17" t="n"/>
      <ns0:c r="M722" s="17" t="n"/>
      <ns0:c r="N722" s="17" t="n"/>
      <ns0:c r="O722" s="17" t="n"/>
      <ns0:c r="P722" s="17" t="n"/>
      <ns0:c r="Q722" s="17" t="n"/>
      <ns0:c r="R722" s="17" t="n"/>
      <ns0:c r="S722" s="17" t="n"/>
      <ns0:c r="T722" s="17" t="n"/>
      <ns0:c r="U722" s="17" t="n"/>
      <ns0:c r="V722" s="17" t="n"/>
      <ns0:c r="W722" s="17" t="n"/>
      <ns0:c r="X722" s="17" t="n"/>
      <ns0:c r="Y722" s="17" t="n"/>
      <ns0:c r="Z722" s="17" t="n"/>
      <ns0:c r="AA722" s="17" t="n"/>
      <ns0:c r="AB722" s="17" t="n"/>
      <ns0:c r="AC722" s="17" t="n"/>
      <ns0:c r="AD722" s="17" t="n"/>
      <ns0:c r="AE722" s="17" t="n"/>
      <ns0:c r="AF722" s="17" t="n"/>
      <ns0:c r="AG722" s="17" t="n"/>
    </ns0:row>
    <ns0:row r="723" ht="24" customHeight="1">
      <ns0:c r="D723" s="17" t="n"/>
      <ns0:c r="E723" s="17" t="n"/>
      <ns0:c r="F723" s="17" t="n"/>
      <ns0:c r="G723" s="17" t="n"/>
      <ns0:c r="H723" s="17" t="n"/>
      <ns0:c r="I723" s="17" t="n"/>
      <ns0:c r="J723" s="17" t="n"/>
      <ns0:c r="K723" s="17" t="n"/>
      <ns0:c r="L723" s="17" t="n"/>
      <ns0:c r="M723" s="17" t="n"/>
      <ns0:c r="N723" s="17" t="n"/>
      <ns0:c r="O723" s="17" t="n"/>
      <ns0:c r="P723" s="17" t="n"/>
      <ns0:c r="Q723" s="17" t="n"/>
      <ns0:c r="R723" s="17" t="n"/>
      <ns0:c r="S723" s="17" t="n"/>
      <ns0:c r="T723" s="17" t="n"/>
      <ns0:c r="U723" s="17" t="n"/>
      <ns0:c r="V723" s="17" t="n"/>
      <ns0:c r="W723" s="17" t="n"/>
      <ns0:c r="X723" s="17" t="n"/>
      <ns0:c r="Y723" s="17" t="n"/>
      <ns0:c r="Z723" s="17" t="n"/>
      <ns0:c r="AA723" s="17" t="n"/>
      <ns0:c r="AB723" s="17" t="n"/>
      <ns0:c r="AC723" s="17" t="n"/>
      <ns0:c r="AD723" s="17" t="n"/>
      <ns0:c r="AE723" s="17" t="n"/>
      <ns0:c r="AF723" s="17" t="n"/>
      <ns0:c r="AG723" s="17" t="n"/>
    </ns0:row>
    <ns0:row r="724" ht="24" customHeight="1">
      <ns0:c r="D724" s="17" t="n"/>
      <ns0:c r="E724" s="17" t="n"/>
      <ns0:c r="F724" s="17" t="n"/>
      <ns0:c r="G724" s="17" t="n"/>
      <ns0:c r="H724" s="17" t="n"/>
      <ns0:c r="I724" s="17" t="n"/>
      <ns0:c r="J724" s="17" t="n"/>
      <ns0:c r="K724" s="17" t="n"/>
      <ns0:c r="L724" s="17" t="n"/>
      <ns0:c r="M724" s="17" t="n"/>
      <ns0:c r="N724" s="17" t="n"/>
      <ns0:c r="O724" s="17" t="n"/>
      <ns0:c r="P724" s="17" t="n"/>
      <ns0:c r="Q724" s="17" t="n"/>
      <ns0:c r="R724" s="17" t="n"/>
      <ns0:c r="S724" s="17" t="n"/>
      <ns0:c r="T724" s="17" t="n"/>
      <ns0:c r="U724" s="17" t="n"/>
      <ns0:c r="V724" s="17" t="n"/>
      <ns0:c r="W724" s="17" t="n"/>
      <ns0:c r="X724" s="17" t="n"/>
      <ns0:c r="Y724" s="17" t="n"/>
      <ns0:c r="Z724" s="17" t="n"/>
      <ns0:c r="AA724" s="17" t="n"/>
      <ns0:c r="AB724" s="17" t="n"/>
      <ns0:c r="AC724" s="17" t="n"/>
      <ns0:c r="AD724" s="17" t="n"/>
      <ns0:c r="AE724" s="17" t="n"/>
      <ns0:c r="AF724" s="17" t="n"/>
      <ns0:c r="AG724" s="17" t="n"/>
    </ns0:row>
    <ns0:row r="725" ht="24" customHeight="1">
      <ns0:c r="D725" s="17" t="n"/>
      <ns0:c r="E725" s="17" t="n"/>
      <ns0:c r="F725" s="17" t="n"/>
      <ns0:c r="G725" s="17" t="n"/>
      <ns0:c r="H725" s="17" t="n"/>
      <ns0:c r="I725" s="17" t="n"/>
      <ns0:c r="J725" s="17" t="n"/>
      <ns0:c r="K725" s="17" t="n"/>
      <ns0:c r="L725" s="17" t="n"/>
      <ns0:c r="M725" s="17" t="n"/>
      <ns0:c r="N725" s="17" t="n"/>
      <ns0:c r="O725" s="17" t="n"/>
      <ns0:c r="P725" s="17" t="n"/>
      <ns0:c r="Q725" s="17" t="n"/>
      <ns0:c r="R725" s="17" t="n"/>
      <ns0:c r="S725" s="17" t="n"/>
      <ns0:c r="T725" s="17" t="n"/>
      <ns0:c r="U725" s="17" t="n"/>
      <ns0:c r="V725" s="17" t="n"/>
      <ns0:c r="W725" s="17" t="n"/>
      <ns0:c r="X725" s="17" t="n"/>
      <ns0:c r="Y725" s="17" t="n"/>
      <ns0:c r="Z725" s="17" t="n"/>
      <ns0:c r="AA725" s="17" t="n"/>
      <ns0:c r="AB725" s="17" t="n"/>
      <ns0:c r="AC725" s="17" t="n"/>
      <ns0:c r="AD725" s="17" t="n"/>
      <ns0:c r="AE725" s="17" t="n"/>
      <ns0:c r="AF725" s="17" t="n"/>
      <ns0:c r="AG725" s="17" t="n"/>
    </ns0:row>
    <ns0:row r="726" ht="24" customHeight="1">
      <ns0:c r="D726" s="17" t="n"/>
      <ns0:c r="E726" s="17" t="n"/>
      <ns0:c r="F726" s="17" t="n"/>
      <ns0:c r="G726" s="17" t="n"/>
      <ns0:c r="H726" s="17" t="n"/>
      <ns0:c r="I726" s="17" t="n"/>
      <ns0:c r="J726" s="17" t="n"/>
      <ns0:c r="K726" s="17" t="n"/>
      <ns0:c r="L726" s="17" t="n"/>
      <ns0:c r="M726" s="17" t="n"/>
      <ns0:c r="N726" s="17" t="n"/>
      <ns0:c r="O726" s="17" t="n"/>
      <ns0:c r="P726" s="17" t="n"/>
      <ns0:c r="Q726" s="17" t="n"/>
      <ns0:c r="R726" s="17" t="n"/>
      <ns0:c r="S726" s="17" t="n"/>
      <ns0:c r="T726" s="17" t="n"/>
      <ns0:c r="U726" s="17" t="n"/>
      <ns0:c r="V726" s="17" t="n"/>
      <ns0:c r="W726" s="17" t="n"/>
      <ns0:c r="X726" s="17" t="n"/>
      <ns0:c r="Y726" s="17" t="n"/>
      <ns0:c r="Z726" s="17" t="n"/>
      <ns0:c r="AA726" s="17" t="n"/>
      <ns0:c r="AB726" s="17" t="n"/>
      <ns0:c r="AC726" s="17" t="n"/>
      <ns0:c r="AD726" s="17" t="n"/>
      <ns0:c r="AE726" s="17" t="n"/>
      <ns0:c r="AF726" s="17" t="n"/>
      <ns0:c r="AG726" s="17" t="n"/>
    </ns0:row>
    <ns0:row r="727" ht="24" customHeight="1">
      <ns0:c r="D727" s="17" t="n"/>
      <ns0:c r="E727" s="17" t="n"/>
      <ns0:c r="F727" s="17" t="n"/>
      <ns0:c r="G727" s="17" t="n"/>
      <ns0:c r="H727" s="17" t="n"/>
      <ns0:c r="I727" s="17" t="n"/>
      <ns0:c r="J727" s="17" t="n"/>
      <ns0:c r="K727" s="17" t="n"/>
      <ns0:c r="L727" s="17" t="n"/>
      <ns0:c r="M727" s="17" t="n"/>
      <ns0:c r="N727" s="17" t="n"/>
      <ns0:c r="O727" s="17" t="n"/>
      <ns0:c r="P727" s="17" t="n"/>
      <ns0:c r="Q727" s="17" t="n"/>
      <ns0:c r="R727" s="17" t="n"/>
      <ns0:c r="S727" s="17" t="n"/>
      <ns0:c r="T727" s="17" t="n"/>
      <ns0:c r="U727" s="17" t="n"/>
      <ns0:c r="V727" s="17" t="n"/>
      <ns0:c r="W727" s="17" t="n"/>
      <ns0:c r="X727" s="17" t="n"/>
      <ns0:c r="Y727" s="17" t="n"/>
      <ns0:c r="Z727" s="17" t="n"/>
      <ns0:c r="AA727" s="17" t="n"/>
      <ns0:c r="AB727" s="17" t="n"/>
      <ns0:c r="AC727" s="17" t="n"/>
      <ns0:c r="AD727" s="17" t="n"/>
      <ns0:c r="AE727" s="17" t="n"/>
      <ns0:c r="AF727" s="17" t="n"/>
      <ns0:c r="AG727" s="17" t="n"/>
    </ns0:row>
    <ns0:row r="728" ht="24" customHeight="1">
      <ns0:c r="D728" s="17" t="n"/>
      <ns0:c r="E728" s="17" t="n"/>
      <ns0:c r="F728" s="17" t="n"/>
      <ns0:c r="G728" s="17" t="n"/>
      <ns0:c r="H728" s="17" t="n"/>
      <ns0:c r="I728" s="17" t="n"/>
      <ns0:c r="J728" s="17" t="n"/>
      <ns0:c r="K728" s="17" t="n"/>
      <ns0:c r="L728" s="17" t="n"/>
      <ns0:c r="M728" s="17" t="n"/>
      <ns0:c r="N728" s="17" t="n"/>
      <ns0:c r="O728" s="17" t="n"/>
      <ns0:c r="P728" s="17" t="n"/>
      <ns0:c r="Q728" s="17" t="n"/>
      <ns0:c r="R728" s="17" t="n"/>
      <ns0:c r="S728" s="17" t="n"/>
      <ns0:c r="T728" s="17" t="n"/>
      <ns0:c r="U728" s="17" t="n"/>
      <ns0:c r="V728" s="17" t="n"/>
      <ns0:c r="W728" s="17" t="n"/>
      <ns0:c r="X728" s="17" t="n"/>
      <ns0:c r="Y728" s="17" t="n"/>
      <ns0:c r="Z728" s="17" t="n"/>
      <ns0:c r="AA728" s="17" t="n"/>
      <ns0:c r="AB728" s="17" t="n"/>
      <ns0:c r="AC728" s="17" t="n"/>
      <ns0:c r="AD728" s="17" t="n"/>
      <ns0:c r="AE728" s="17" t="n"/>
      <ns0:c r="AF728" s="17" t="n"/>
      <ns0:c r="AG728" s="17" t="n"/>
    </ns0:row>
    <ns0:row r="729" ht="24" customHeight="1">
      <ns0:c r="D729" s="17" t="n"/>
      <ns0:c r="E729" s="17" t="n"/>
      <ns0:c r="F729" s="17" t="n"/>
      <ns0:c r="G729" s="17" t="n"/>
      <ns0:c r="H729" s="17" t="n"/>
      <ns0:c r="I729" s="17" t="n"/>
      <ns0:c r="J729" s="17" t="n"/>
      <ns0:c r="K729" s="17" t="n"/>
      <ns0:c r="L729" s="17" t="n"/>
      <ns0:c r="M729" s="17" t="n"/>
      <ns0:c r="N729" s="17" t="n"/>
      <ns0:c r="O729" s="17" t="n"/>
      <ns0:c r="P729" s="17" t="n"/>
      <ns0:c r="Q729" s="17" t="n"/>
      <ns0:c r="R729" s="17" t="n"/>
      <ns0:c r="S729" s="17" t="n"/>
      <ns0:c r="T729" s="17" t="n"/>
      <ns0:c r="U729" s="17" t="n"/>
      <ns0:c r="V729" s="17" t="n"/>
      <ns0:c r="W729" s="17" t="n"/>
      <ns0:c r="X729" s="17" t="n"/>
      <ns0:c r="Y729" s="17" t="n"/>
      <ns0:c r="Z729" s="17" t="n"/>
      <ns0:c r="AA729" s="17" t="n"/>
      <ns0:c r="AB729" s="17" t="n"/>
      <ns0:c r="AC729" s="17" t="n"/>
      <ns0:c r="AD729" s="17" t="n"/>
      <ns0:c r="AE729" s="17" t="n"/>
      <ns0:c r="AF729" s="17" t="n"/>
      <ns0:c r="AG729" s="17" t="n"/>
    </ns0:row>
    <ns0:row r="730" ht="24" customHeight="1">
      <ns0:c r="D730" s="17" t="n"/>
      <ns0:c r="E730" s="17" t="n"/>
      <ns0:c r="F730" s="17" t="n"/>
      <ns0:c r="G730" s="17" t="n"/>
      <ns0:c r="H730" s="17" t="n"/>
      <ns0:c r="I730" s="17" t="n"/>
      <ns0:c r="J730" s="17" t="n"/>
      <ns0:c r="K730" s="17" t="n"/>
      <ns0:c r="L730" s="17" t="n"/>
      <ns0:c r="M730" s="17" t="n"/>
      <ns0:c r="N730" s="17" t="n"/>
      <ns0:c r="O730" s="17" t="n"/>
      <ns0:c r="P730" s="17" t="n"/>
      <ns0:c r="Q730" s="17" t="n"/>
      <ns0:c r="R730" s="17" t="n"/>
      <ns0:c r="S730" s="17" t="n"/>
      <ns0:c r="T730" s="17" t="n"/>
      <ns0:c r="U730" s="17" t="n"/>
      <ns0:c r="V730" s="17" t="n"/>
      <ns0:c r="W730" s="17" t="n"/>
      <ns0:c r="X730" s="17" t="n"/>
      <ns0:c r="Y730" s="17" t="n"/>
      <ns0:c r="Z730" s="17" t="n"/>
      <ns0:c r="AA730" s="17" t="n"/>
      <ns0:c r="AB730" s="17" t="n"/>
      <ns0:c r="AC730" s="17" t="n"/>
      <ns0:c r="AD730" s="17" t="n"/>
      <ns0:c r="AE730" s="17" t="n"/>
      <ns0:c r="AF730" s="17" t="n"/>
      <ns0:c r="AG730" s="17" t="n"/>
    </ns0:row>
    <ns0:row r="731" ht="24" customHeight="1">
      <ns0:c r="D731" s="17" t="n"/>
      <ns0:c r="E731" s="17" t="n"/>
      <ns0:c r="F731" s="17" t="n"/>
      <ns0:c r="G731" s="17" t="n"/>
      <ns0:c r="H731" s="17" t="n"/>
      <ns0:c r="I731" s="17" t="n"/>
      <ns0:c r="J731" s="17" t="n"/>
      <ns0:c r="K731" s="17" t="n"/>
      <ns0:c r="L731" s="17" t="n"/>
      <ns0:c r="M731" s="17" t="n"/>
      <ns0:c r="N731" s="17" t="n"/>
      <ns0:c r="O731" s="17" t="n"/>
      <ns0:c r="P731" s="17" t="n"/>
      <ns0:c r="Q731" s="17" t="n"/>
      <ns0:c r="R731" s="17" t="n"/>
      <ns0:c r="S731" s="17" t="n"/>
      <ns0:c r="T731" s="17" t="n"/>
      <ns0:c r="U731" s="17" t="n"/>
      <ns0:c r="V731" s="17" t="n"/>
      <ns0:c r="W731" s="17" t="n"/>
      <ns0:c r="X731" s="17" t="n"/>
      <ns0:c r="Y731" s="17" t="n"/>
      <ns0:c r="Z731" s="17" t="n"/>
      <ns0:c r="AA731" s="17" t="n"/>
      <ns0:c r="AB731" s="17" t="n"/>
      <ns0:c r="AC731" s="17" t="n"/>
      <ns0:c r="AD731" s="17" t="n"/>
      <ns0:c r="AE731" s="17" t="n"/>
      <ns0:c r="AF731" s="17" t="n"/>
      <ns0:c r="AG731" s="17" t="n"/>
    </ns0:row>
    <ns0:row r="732" ht="24" customHeight="1">
      <ns0:c r="D732" s="17" t="n"/>
      <ns0:c r="E732" s="17" t="n"/>
      <ns0:c r="F732" s="17" t="n"/>
      <ns0:c r="G732" s="17" t="n"/>
      <ns0:c r="H732" s="17" t="n"/>
      <ns0:c r="I732" s="17" t="n"/>
      <ns0:c r="J732" s="17" t="n"/>
      <ns0:c r="K732" s="17" t="n"/>
      <ns0:c r="L732" s="17" t="n"/>
      <ns0:c r="M732" s="17" t="n"/>
      <ns0:c r="N732" s="17" t="n"/>
      <ns0:c r="O732" s="17" t="n"/>
      <ns0:c r="P732" s="17" t="n"/>
      <ns0:c r="Q732" s="17" t="n"/>
      <ns0:c r="R732" s="17" t="n"/>
      <ns0:c r="S732" s="17" t="n"/>
      <ns0:c r="T732" s="17" t="n"/>
      <ns0:c r="U732" s="17" t="n"/>
      <ns0:c r="V732" s="17" t="n"/>
      <ns0:c r="W732" s="17" t="n"/>
      <ns0:c r="X732" s="17" t="n"/>
      <ns0:c r="Y732" s="17" t="n"/>
      <ns0:c r="Z732" s="17" t="n"/>
      <ns0:c r="AA732" s="17" t="n"/>
      <ns0:c r="AB732" s="17" t="n"/>
      <ns0:c r="AC732" s="17" t="n"/>
      <ns0:c r="AD732" s="17" t="n"/>
      <ns0:c r="AE732" s="17" t="n"/>
      <ns0:c r="AF732" s="17" t="n"/>
      <ns0:c r="AG732" s="17" t="n"/>
    </ns0:row>
    <ns0:row r="733" ht="24" customHeight="1">
      <ns0:c r="D733" s="17" t="n"/>
      <ns0:c r="E733" s="17" t="n"/>
      <ns0:c r="F733" s="17" t="n"/>
      <ns0:c r="G733" s="17" t="n"/>
      <ns0:c r="H733" s="17" t="n"/>
      <ns0:c r="I733" s="17" t="n"/>
      <ns0:c r="J733" s="17" t="n"/>
      <ns0:c r="K733" s="17" t="n"/>
      <ns0:c r="L733" s="17" t="n"/>
      <ns0:c r="M733" s="17" t="n"/>
      <ns0:c r="N733" s="17" t="n"/>
      <ns0:c r="O733" s="17" t="n"/>
      <ns0:c r="P733" s="17" t="n"/>
      <ns0:c r="Q733" s="17" t="n"/>
      <ns0:c r="R733" s="17" t="n"/>
      <ns0:c r="S733" s="17" t="n"/>
      <ns0:c r="T733" s="17" t="n"/>
      <ns0:c r="U733" s="17" t="n"/>
      <ns0:c r="V733" s="17" t="n"/>
      <ns0:c r="W733" s="17" t="n"/>
      <ns0:c r="X733" s="17" t="n"/>
      <ns0:c r="Y733" s="17" t="n"/>
      <ns0:c r="Z733" s="17" t="n"/>
      <ns0:c r="AA733" s="17" t="n"/>
      <ns0:c r="AB733" s="17" t="n"/>
      <ns0:c r="AC733" s="17" t="n"/>
      <ns0:c r="AD733" s="17" t="n"/>
      <ns0:c r="AE733" s="17" t="n"/>
      <ns0:c r="AF733" s="17" t="n"/>
      <ns0:c r="AG733" s="17" t="n"/>
    </ns0:row>
    <ns0:row r="734" ht="24" customHeight="1">
      <ns0:c r="D734" s="17" t="n"/>
      <ns0:c r="E734" s="17" t="n"/>
      <ns0:c r="F734" s="17" t="n"/>
      <ns0:c r="G734" s="17" t="n"/>
      <ns0:c r="H734" s="17" t="n"/>
      <ns0:c r="I734" s="17" t="n"/>
      <ns0:c r="J734" s="17" t="n"/>
      <ns0:c r="K734" s="17" t="n"/>
      <ns0:c r="L734" s="17" t="n"/>
      <ns0:c r="M734" s="17" t="n"/>
      <ns0:c r="N734" s="17" t="n"/>
      <ns0:c r="O734" s="17" t="n"/>
      <ns0:c r="P734" s="17" t="n"/>
      <ns0:c r="Q734" s="17" t="n"/>
      <ns0:c r="R734" s="17" t="n"/>
      <ns0:c r="S734" s="17" t="n"/>
      <ns0:c r="T734" s="17" t="n"/>
      <ns0:c r="U734" s="17" t="n"/>
      <ns0:c r="V734" s="17" t="n"/>
      <ns0:c r="W734" s="17" t="n"/>
      <ns0:c r="X734" s="17" t="n"/>
      <ns0:c r="Y734" s="17" t="n"/>
      <ns0:c r="Z734" s="17" t="n"/>
      <ns0:c r="AA734" s="17" t="n"/>
      <ns0:c r="AB734" s="17" t="n"/>
      <ns0:c r="AC734" s="17" t="n"/>
      <ns0:c r="AD734" s="17" t="n"/>
      <ns0:c r="AE734" s="17" t="n"/>
      <ns0:c r="AF734" s="17" t="n"/>
      <ns0:c r="AG734" s="17" t="n"/>
    </ns0:row>
    <ns0:row r="735" ht="24" customHeight="1">
      <ns0:c r="D735" s="17" t="n"/>
      <ns0:c r="E735" s="17" t="n"/>
      <ns0:c r="F735" s="17" t="n"/>
      <ns0:c r="G735" s="17" t="n"/>
      <ns0:c r="H735" s="17" t="n"/>
      <ns0:c r="I735" s="17" t="n"/>
      <ns0:c r="J735" s="17" t="n"/>
      <ns0:c r="K735" s="17" t="n"/>
      <ns0:c r="L735" s="17" t="n"/>
      <ns0:c r="M735" s="17" t="n"/>
      <ns0:c r="N735" s="17" t="n"/>
      <ns0:c r="O735" s="17" t="n"/>
      <ns0:c r="P735" s="17" t="n"/>
      <ns0:c r="Q735" s="17" t="n"/>
      <ns0:c r="R735" s="17" t="n"/>
      <ns0:c r="S735" s="17" t="n"/>
      <ns0:c r="T735" s="17" t="n"/>
      <ns0:c r="U735" s="17" t="n"/>
      <ns0:c r="V735" s="17" t="n"/>
      <ns0:c r="W735" s="17" t="n"/>
      <ns0:c r="X735" s="17" t="n"/>
      <ns0:c r="Y735" s="17" t="n"/>
      <ns0:c r="Z735" s="17" t="n"/>
      <ns0:c r="AA735" s="17" t="n"/>
      <ns0:c r="AB735" s="17" t="n"/>
      <ns0:c r="AC735" s="17" t="n"/>
      <ns0:c r="AD735" s="17" t="n"/>
      <ns0:c r="AE735" s="17" t="n"/>
      <ns0:c r="AF735" s="17" t="n"/>
      <ns0:c r="AG735" s="17" t="n"/>
    </ns0:row>
    <ns0:row r="736" ht="24" customHeight="1">
      <ns0:c r="D736" s="17" t="n"/>
      <ns0:c r="E736" s="17" t="n"/>
      <ns0:c r="F736" s="17" t="n"/>
      <ns0:c r="G736" s="17" t="n"/>
      <ns0:c r="H736" s="17" t="n"/>
      <ns0:c r="I736" s="17" t="n"/>
      <ns0:c r="J736" s="17" t="n"/>
      <ns0:c r="K736" s="17" t="n"/>
      <ns0:c r="L736" s="17" t="n"/>
      <ns0:c r="M736" s="17" t="n"/>
      <ns0:c r="N736" s="17" t="n"/>
      <ns0:c r="O736" s="17" t="n"/>
      <ns0:c r="P736" s="17" t="n"/>
      <ns0:c r="Q736" s="17" t="n"/>
      <ns0:c r="R736" s="17" t="n"/>
      <ns0:c r="S736" s="17" t="n"/>
      <ns0:c r="T736" s="17" t="n"/>
      <ns0:c r="U736" s="17" t="n"/>
      <ns0:c r="V736" s="17" t="n"/>
      <ns0:c r="W736" s="17" t="n"/>
      <ns0:c r="X736" s="17" t="n"/>
      <ns0:c r="Y736" s="17" t="n"/>
      <ns0:c r="Z736" s="17" t="n"/>
      <ns0:c r="AA736" s="17" t="n"/>
      <ns0:c r="AB736" s="17" t="n"/>
      <ns0:c r="AC736" s="17" t="n"/>
      <ns0:c r="AD736" s="17" t="n"/>
      <ns0:c r="AE736" s="17" t="n"/>
      <ns0:c r="AF736" s="17" t="n"/>
      <ns0:c r="AG736" s="17" t="n"/>
    </ns0:row>
    <ns0:row r="737" ht="24" customHeight="1">
      <ns0:c r="D737" s="17" t="n"/>
      <ns0:c r="E737" s="17" t="n"/>
      <ns0:c r="F737" s="17" t="n"/>
      <ns0:c r="G737" s="17" t="n"/>
      <ns0:c r="H737" s="17" t="n"/>
      <ns0:c r="I737" s="17" t="n"/>
      <ns0:c r="J737" s="17" t="n"/>
      <ns0:c r="K737" s="17" t="n"/>
      <ns0:c r="L737" s="17" t="n"/>
      <ns0:c r="M737" s="17" t="n"/>
      <ns0:c r="N737" s="17" t="n"/>
      <ns0:c r="O737" s="17" t="n"/>
      <ns0:c r="P737" s="17" t="n"/>
      <ns0:c r="Q737" s="17" t="n"/>
      <ns0:c r="R737" s="17" t="n"/>
      <ns0:c r="S737" s="17" t="n"/>
      <ns0:c r="T737" s="17" t="n"/>
      <ns0:c r="U737" s="17" t="n"/>
      <ns0:c r="V737" s="17" t="n"/>
      <ns0:c r="W737" s="17" t="n"/>
      <ns0:c r="X737" s="17" t="n"/>
      <ns0:c r="Y737" s="17" t="n"/>
      <ns0:c r="Z737" s="17" t="n"/>
      <ns0:c r="AA737" s="17" t="n"/>
      <ns0:c r="AB737" s="17" t="n"/>
      <ns0:c r="AC737" s="17" t="n"/>
      <ns0:c r="AD737" s="17" t="n"/>
      <ns0:c r="AE737" s="17" t="n"/>
      <ns0:c r="AF737" s="17" t="n"/>
      <ns0:c r="AG737" s="17" t="n"/>
    </ns0:row>
    <ns0:row r="738" ht="24" customHeight="1">
      <ns0:c r="D738" s="17" t="n"/>
      <ns0:c r="E738" s="17" t="n"/>
      <ns0:c r="F738" s="17" t="n"/>
      <ns0:c r="G738" s="17" t="n"/>
      <ns0:c r="H738" s="17" t="n"/>
      <ns0:c r="I738" s="17" t="n"/>
      <ns0:c r="J738" s="17" t="n"/>
      <ns0:c r="K738" s="17" t="n"/>
      <ns0:c r="L738" s="17" t="n"/>
      <ns0:c r="M738" s="17" t="n"/>
      <ns0:c r="N738" s="17" t="n"/>
      <ns0:c r="O738" s="17" t="n"/>
      <ns0:c r="P738" s="17" t="n"/>
      <ns0:c r="Q738" s="17" t="n"/>
      <ns0:c r="R738" s="17" t="n"/>
      <ns0:c r="S738" s="17" t="n"/>
      <ns0:c r="T738" s="17" t="n"/>
      <ns0:c r="U738" s="17" t="n"/>
      <ns0:c r="V738" s="17" t="n"/>
      <ns0:c r="W738" s="17" t="n"/>
      <ns0:c r="X738" s="17" t="n"/>
      <ns0:c r="Y738" s="17" t="n"/>
      <ns0:c r="Z738" s="17" t="n"/>
      <ns0:c r="AA738" s="17" t="n"/>
      <ns0:c r="AB738" s="17" t="n"/>
      <ns0:c r="AC738" s="17" t="n"/>
      <ns0:c r="AD738" s="17" t="n"/>
      <ns0:c r="AE738" s="17" t="n"/>
      <ns0:c r="AF738" s="17" t="n"/>
      <ns0:c r="AG738" s="17" t="n"/>
    </ns0:row>
    <ns0:row r="739" ht="24" customHeight="1">
      <ns0:c r="D739" s="17" t="n"/>
      <ns0:c r="E739" s="17" t="n"/>
      <ns0:c r="F739" s="17" t="n"/>
      <ns0:c r="G739" s="17" t="n"/>
      <ns0:c r="H739" s="17" t="n"/>
      <ns0:c r="I739" s="17" t="n"/>
      <ns0:c r="J739" s="17" t="n"/>
      <ns0:c r="K739" s="17" t="n"/>
      <ns0:c r="L739" s="17" t="n"/>
      <ns0:c r="M739" s="17" t="n"/>
      <ns0:c r="N739" s="17" t="n"/>
      <ns0:c r="O739" s="17" t="n"/>
      <ns0:c r="P739" s="17" t="n"/>
      <ns0:c r="Q739" s="17" t="n"/>
      <ns0:c r="R739" s="17" t="n"/>
      <ns0:c r="S739" s="17" t="n"/>
      <ns0:c r="T739" s="17" t="n"/>
      <ns0:c r="U739" s="17" t="n"/>
      <ns0:c r="V739" s="17" t="n"/>
      <ns0:c r="W739" s="17" t="n"/>
      <ns0:c r="X739" s="17" t="n"/>
      <ns0:c r="Y739" s="17" t="n"/>
      <ns0:c r="Z739" s="17" t="n"/>
      <ns0:c r="AA739" s="17" t="n"/>
      <ns0:c r="AB739" s="17" t="n"/>
      <ns0:c r="AC739" s="17" t="n"/>
      <ns0:c r="AD739" s="17" t="n"/>
      <ns0:c r="AE739" s="17" t="n"/>
      <ns0:c r="AF739" s="17" t="n"/>
      <ns0:c r="AG739" s="17" t="n"/>
    </ns0:row>
    <ns0:row r="740" ht="24" customHeight="1">
      <ns0:c r="D740" s="17" t="n"/>
      <ns0:c r="E740" s="17" t="n"/>
      <ns0:c r="F740" s="17" t="n"/>
      <ns0:c r="G740" s="17" t="n"/>
      <ns0:c r="H740" s="17" t="n"/>
      <ns0:c r="I740" s="17" t="n"/>
      <ns0:c r="J740" s="17" t="n"/>
      <ns0:c r="K740" s="17" t="n"/>
      <ns0:c r="L740" s="17" t="n"/>
      <ns0:c r="M740" s="17" t="n"/>
      <ns0:c r="N740" s="17" t="n"/>
      <ns0:c r="O740" s="17" t="n"/>
      <ns0:c r="P740" s="17" t="n"/>
      <ns0:c r="Q740" s="17" t="n"/>
      <ns0:c r="R740" s="17" t="n"/>
      <ns0:c r="S740" s="17" t="n"/>
      <ns0:c r="T740" s="17" t="n"/>
      <ns0:c r="U740" s="17" t="n"/>
      <ns0:c r="V740" s="17" t="n"/>
      <ns0:c r="W740" s="17" t="n"/>
      <ns0:c r="X740" s="17" t="n"/>
      <ns0:c r="Y740" s="17" t="n"/>
      <ns0:c r="Z740" s="17" t="n"/>
      <ns0:c r="AA740" s="17" t="n"/>
      <ns0:c r="AB740" s="17" t="n"/>
      <ns0:c r="AC740" s="17" t="n"/>
      <ns0:c r="AD740" s="17" t="n"/>
      <ns0:c r="AE740" s="17" t="n"/>
      <ns0:c r="AF740" s="17" t="n"/>
      <ns0:c r="AG740" s="17" t="n"/>
    </ns0:row>
    <ns0:row r="741" ht="24" customHeight="1">
      <ns0:c r="D741" s="17" t="n"/>
      <ns0:c r="E741" s="17" t="n"/>
      <ns0:c r="F741" s="17" t="n"/>
      <ns0:c r="G741" s="17" t="n"/>
      <ns0:c r="H741" s="17" t="n"/>
      <ns0:c r="I741" s="17" t="n"/>
      <ns0:c r="J741" s="17" t="n"/>
      <ns0:c r="K741" s="17" t="n"/>
      <ns0:c r="L741" s="17" t="n"/>
      <ns0:c r="M741" s="17" t="n"/>
      <ns0:c r="N741" s="17" t="n"/>
      <ns0:c r="O741" s="17" t="n"/>
      <ns0:c r="P741" s="17" t="n"/>
      <ns0:c r="Q741" s="17" t="n"/>
      <ns0:c r="R741" s="17" t="n"/>
      <ns0:c r="S741" s="17" t="n"/>
      <ns0:c r="T741" s="17" t="n"/>
      <ns0:c r="U741" s="17" t="n"/>
      <ns0:c r="V741" s="17" t="n"/>
      <ns0:c r="W741" s="17" t="n"/>
      <ns0:c r="X741" s="17" t="n"/>
      <ns0:c r="Y741" s="17" t="n"/>
      <ns0:c r="Z741" s="17" t="n"/>
      <ns0:c r="AA741" s="17" t="n"/>
      <ns0:c r="AB741" s="17" t="n"/>
      <ns0:c r="AC741" s="17" t="n"/>
      <ns0:c r="AD741" s="17" t="n"/>
      <ns0:c r="AE741" s="17" t="n"/>
      <ns0:c r="AF741" s="17" t="n"/>
      <ns0:c r="AG741" s="17" t="n"/>
    </ns0:row>
    <ns0:row r="742" ht="24" customHeight="1">
      <ns0:c r="D742" s="17" t="n"/>
      <ns0:c r="E742" s="17" t="n"/>
      <ns0:c r="F742" s="17" t="n"/>
      <ns0:c r="G742" s="17" t="n"/>
      <ns0:c r="H742" s="17" t="n"/>
      <ns0:c r="I742" s="17" t="n"/>
      <ns0:c r="J742" s="17" t="n"/>
      <ns0:c r="K742" s="17" t="n"/>
      <ns0:c r="L742" s="17" t="n"/>
      <ns0:c r="M742" s="17" t="n"/>
      <ns0:c r="N742" s="17" t="n"/>
      <ns0:c r="O742" s="17" t="n"/>
      <ns0:c r="P742" s="17" t="n"/>
      <ns0:c r="Q742" s="17" t="n"/>
      <ns0:c r="R742" s="17" t="n"/>
      <ns0:c r="S742" s="17" t="n"/>
      <ns0:c r="T742" s="17" t="n"/>
      <ns0:c r="U742" s="17" t="n"/>
      <ns0:c r="V742" s="17" t="n"/>
      <ns0:c r="W742" s="17" t="n"/>
      <ns0:c r="X742" s="17" t="n"/>
      <ns0:c r="Y742" s="17" t="n"/>
      <ns0:c r="Z742" s="17" t="n"/>
      <ns0:c r="AA742" s="17" t="n"/>
      <ns0:c r="AB742" s="17" t="n"/>
      <ns0:c r="AC742" s="17" t="n"/>
      <ns0:c r="AD742" s="17" t="n"/>
      <ns0:c r="AE742" s="17" t="n"/>
      <ns0:c r="AF742" s="17" t="n"/>
      <ns0:c r="AG742" s="17" t="n"/>
    </ns0:row>
    <ns0:row r="743" ht="24" customHeight="1">
      <ns0:c r="D743" s="17" t="n"/>
      <ns0:c r="E743" s="17" t="n"/>
      <ns0:c r="F743" s="17" t="n"/>
      <ns0:c r="G743" s="17" t="n"/>
      <ns0:c r="H743" s="17" t="n"/>
      <ns0:c r="I743" s="17" t="n"/>
      <ns0:c r="J743" s="17" t="n"/>
      <ns0:c r="K743" s="17" t="n"/>
      <ns0:c r="L743" s="17" t="n"/>
      <ns0:c r="M743" s="17" t="n"/>
      <ns0:c r="N743" s="17" t="n"/>
      <ns0:c r="O743" s="17" t="n"/>
      <ns0:c r="P743" s="17" t="n"/>
      <ns0:c r="Q743" s="17" t="n"/>
      <ns0:c r="R743" s="17" t="n"/>
      <ns0:c r="S743" s="17" t="n"/>
      <ns0:c r="T743" s="17" t="n"/>
      <ns0:c r="U743" s="17" t="n"/>
      <ns0:c r="V743" s="17" t="n"/>
      <ns0:c r="W743" s="17" t="n"/>
      <ns0:c r="X743" s="17" t="n"/>
      <ns0:c r="Y743" s="17" t="n"/>
      <ns0:c r="Z743" s="17" t="n"/>
      <ns0:c r="AA743" s="17" t="n"/>
      <ns0:c r="AB743" s="17" t="n"/>
      <ns0:c r="AC743" s="17" t="n"/>
      <ns0:c r="AD743" s="17" t="n"/>
      <ns0:c r="AE743" s="17" t="n"/>
      <ns0:c r="AF743" s="17" t="n"/>
      <ns0:c r="AG743" s="17" t="n"/>
    </ns0:row>
    <ns0:row r="744" ht="24" customHeight="1">
      <ns0:c r="D744" s="17" t="n"/>
      <ns0:c r="E744" s="17" t="n"/>
      <ns0:c r="F744" s="17" t="n"/>
      <ns0:c r="G744" s="17" t="n"/>
      <ns0:c r="H744" s="17" t="n"/>
      <ns0:c r="I744" s="17" t="n"/>
      <ns0:c r="J744" s="17" t="n"/>
      <ns0:c r="K744" s="17" t="n"/>
      <ns0:c r="L744" s="17" t="n"/>
      <ns0:c r="M744" s="17" t="n"/>
      <ns0:c r="N744" s="17" t="n"/>
      <ns0:c r="O744" s="17" t="n"/>
      <ns0:c r="P744" s="17" t="n"/>
      <ns0:c r="Q744" s="17" t="n"/>
      <ns0:c r="R744" s="17" t="n"/>
      <ns0:c r="S744" s="17" t="n"/>
      <ns0:c r="T744" s="17" t="n"/>
      <ns0:c r="U744" s="17" t="n"/>
      <ns0:c r="V744" s="17" t="n"/>
      <ns0:c r="W744" s="17" t="n"/>
      <ns0:c r="X744" s="17" t="n"/>
      <ns0:c r="Y744" s="17" t="n"/>
      <ns0:c r="Z744" s="17" t="n"/>
      <ns0:c r="AA744" s="17" t="n"/>
      <ns0:c r="AB744" s="17" t="n"/>
      <ns0:c r="AC744" s="17" t="n"/>
      <ns0:c r="AD744" s="17" t="n"/>
      <ns0:c r="AE744" s="17" t="n"/>
      <ns0:c r="AF744" s="17" t="n"/>
      <ns0:c r="AG744" s="17" t="n"/>
    </ns0:row>
    <ns0:row r="745" ht="24" customHeight="1">
      <ns0:c r="D745" s="17" t="n"/>
      <ns0:c r="E745" s="17" t="n"/>
      <ns0:c r="F745" s="17" t="n"/>
      <ns0:c r="G745" s="17" t="n"/>
      <ns0:c r="H745" s="17" t="n"/>
      <ns0:c r="I745" s="17" t="n"/>
      <ns0:c r="J745" s="17" t="n"/>
      <ns0:c r="K745" s="17" t="n"/>
      <ns0:c r="L745" s="17" t="n"/>
      <ns0:c r="M745" s="17" t="n"/>
      <ns0:c r="N745" s="17" t="n"/>
      <ns0:c r="O745" s="17" t="n"/>
      <ns0:c r="P745" s="17" t="n"/>
      <ns0:c r="Q745" s="17" t="n"/>
      <ns0:c r="R745" s="17" t="n"/>
      <ns0:c r="S745" s="17" t="n"/>
      <ns0:c r="T745" s="17" t="n"/>
      <ns0:c r="U745" s="17" t="n"/>
      <ns0:c r="V745" s="17" t="n"/>
      <ns0:c r="W745" s="17" t="n"/>
      <ns0:c r="X745" s="17" t="n"/>
      <ns0:c r="Y745" s="17" t="n"/>
      <ns0:c r="Z745" s="17" t="n"/>
      <ns0:c r="AA745" s="17" t="n"/>
      <ns0:c r="AB745" s="17" t="n"/>
      <ns0:c r="AC745" s="17" t="n"/>
      <ns0:c r="AD745" s="17" t="n"/>
      <ns0:c r="AE745" s="17" t="n"/>
      <ns0:c r="AF745" s="17" t="n"/>
      <ns0:c r="AG745" s="17" t="n"/>
    </ns0:row>
    <ns0:row r="746" ht="24" customHeight="1">
      <ns0:c r="D746" s="17" t="n"/>
      <ns0:c r="E746" s="17" t="n"/>
      <ns0:c r="F746" s="17" t="n"/>
      <ns0:c r="G746" s="17" t="n"/>
      <ns0:c r="H746" s="17" t="n"/>
      <ns0:c r="I746" s="17" t="n"/>
      <ns0:c r="J746" s="17" t="n"/>
      <ns0:c r="K746" s="17" t="n"/>
      <ns0:c r="L746" s="17" t="n"/>
      <ns0:c r="M746" s="17" t="n"/>
      <ns0:c r="N746" s="17" t="n"/>
      <ns0:c r="O746" s="17" t="n"/>
      <ns0:c r="P746" s="17" t="n"/>
      <ns0:c r="Q746" s="17" t="n"/>
      <ns0:c r="R746" s="17" t="n"/>
      <ns0:c r="S746" s="17" t="n"/>
      <ns0:c r="T746" s="17" t="n"/>
      <ns0:c r="U746" s="17" t="n"/>
      <ns0:c r="V746" s="17" t="n"/>
      <ns0:c r="W746" s="17" t="n"/>
      <ns0:c r="X746" s="17" t="n"/>
      <ns0:c r="Y746" s="17" t="n"/>
      <ns0:c r="Z746" s="17" t="n"/>
      <ns0:c r="AA746" s="17" t="n"/>
      <ns0:c r="AB746" s="17" t="n"/>
      <ns0:c r="AC746" s="17" t="n"/>
      <ns0:c r="AD746" s="17" t="n"/>
      <ns0:c r="AE746" s="17" t="n"/>
      <ns0:c r="AF746" s="17" t="n"/>
      <ns0:c r="AG746" s="17" t="n"/>
    </ns0:row>
    <ns0:row r="747" ht="24" customHeight="1">
      <ns0:c r="D747" s="17" t="n"/>
      <ns0:c r="E747" s="17" t="n"/>
      <ns0:c r="F747" s="17" t="n"/>
      <ns0:c r="G747" s="17" t="n"/>
      <ns0:c r="H747" s="17" t="n"/>
      <ns0:c r="I747" s="17" t="n"/>
      <ns0:c r="J747" s="17" t="n"/>
      <ns0:c r="K747" s="17" t="n"/>
      <ns0:c r="L747" s="17" t="n"/>
      <ns0:c r="M747" s="17" t="n"/>
      <ns0:c r="N747" s="17" t="n"/>
      <ns0:c r="O747" s="17" t="n"/>
      <ns0:c r="P747" s="17" t="n"/>
      <ns0:c r="Q747" s="17" t="n"/>
      <ns0:c r="R747" s="17" t="n"/>
      <ns0:c r="S747" s="17" t="n"/>
      <ns0:c r="T747" s="17" t="n"/>
      <ns0:c r="U747" s="17" t="n"/>
      <ns0:c r="V747" s="17" t="n"/>
      <ns0:c r="W747" s="17" t="n"/>
      <ns0:c r="X747" s="17" t="n"/>
      <ns0:c r="Y747" s="17" t="n"/>
      <ns0:c r="Z747" s="17" t="n"/>
      <ns0:c r="AA747" s="17" t="n"/>
      <ns0:c r="AB747" s="17" t="n"/>
      <ns0:c r="AC747" s="17" t="n"/>
      <ns0:c r="AD747" s="17" t="n"/>
      <ns0:c r="AE747" s="17" t="n"/>
      <ns0:c r="AF747" s="17" t="n"/>
      <ns0:c r="AG747" s="17" t="n"/>
    </ns0:row>
    <ns0:row r="748" ht="24" customHeight="1">
      <ns0:c r="D748" s="17" t="n"/>
      <ns0:c r="E748" s="17" t="n"/>
      <ns0:c r="F748" s="17" t="n"/>
      <ns0:c r="G748" s="17" t="n"/>
      <ns0:c r="H748" s="17" t="n"/>
      <ns0:c r="I748" s="17" t="n"/>
      <ns0:c r="J748" s="17" t="n"/>
      <ns0:c r="K748" s="17" t="n"/>
      <ns0:c r="L748" s="17" t="n"/>
      <ns0:c r="M748" s="17" t="n"/>
      <ns0:c r="N748" s="17" t="n"/>
      <ns0:c r="O748" s="17" t="n"/>
      <ns0:c r="P748" s="17" t="n"/>
      <ns0:c r="Q748" s="17" t="n"/>
      <ns0:c r="R748" s="17" t="n"/>
      <ns0:c r="S748" s="17" t="n"/>
      <ns0:c r="T748" s="17" t="n"/>
      <ns0:c r="U748" s="17" t="n"/>
      <ns0:c r="V748" s="17" t="n"/>
      <ns0:c r="W748" s="17" t="n"/>
      <ns0:c r="X748" s="17" t="n"/>
      <ns0:c r="Y748" s="17" t="n"/>
      <ns0:c r="Z748" s="17" t="n"/>
      <ns0:c r="AA748" s="17" t="n"/>
      <ns0:c r="AB748" s="17" t="n"/>
      <ns0:c r="AC748" s="17" t="n"/>
      <ns0:c r="AD748" s="17" t="n"/>
      <ns0:c r="AE748" s="17" t="n"/>
      <ns0:c r="AF748" s="17" t="n"/>
      <ns0:c r="AG748" s="17" t="n"/>
    </ns0:row>
    <ns0:row r="749" ht="24" customHeight="1">
      <ns0:c r="D749" s="17" t="n"/>
      <ns0:c r="E749" s="17" t="n"/>
      <ns0:c r="F749" s="17" t="n"/>
      <ns0:c r="G749" s="17" t="n"/>
      <ns0:c r="H749" s="17" t="n"/>
      <ns0:c r="I749" s="17" t="n"/>
      <ns0:c r="J749" s="17" t="n"/>
      <ns0:c r="K749" s="17" t="n"/>
      <ns0:c r="L749" s="17" t="n"/>
      <ns0:c r="M749" s="17" t="n"/>
      <ns0:c r="N749" s="17" t="n"/>
      <ns0:c r="O749" s="17" t="n"/>
      <ns0:c r="P749" s="17" t="n"/>
      <ns0:c r="Q749" s="17" t="n"/>
      <ns0:c r="R749" s="17" t="n"/>
      <ns0:c r="S749" s="17" t="n"/>
      <ns0:c r="T749" s="17" t="n"/>
      <ns0:c r="U749" s="17" t="n"/>
      <ns0:c r="V749" s="17" t="n"/>
      <ns0:c r="W749" s="17" t="n"/>
      <ns0:c r="X749" s="17" t="n"/>
      <ns0:c r="Y749" s="17" t="n"/>
      <ns0:c r="Z749" s="17" t="n"/>
      <ns0:c r="AA749" s="17" t="n"/>
      <ns0:c r="AB749" s="17" t="n"/>
      <ns0:c r="AC749" s="17" t="n"/>
      <ns0:c r="AD749" s="17" t="n"/>
      <ns0:c r="AE749" s="17" t="n"/>
      <ns0:c r="AF749" s="17" t="n"/>
      <ns0:c r="AG749" s="17" t="n"/>
    </ns0:row>
    <ns0:row r="750" ht="24" customHeight="1">
      <ns0:c r="D750" s="17" t="n"/>
      <ns0:c r="E750" s="17" t="n"/>
      <ns0:c r="F750" s="17" t="n"/>
      <ns0:c r="G750" s="17" t="n"/>
      <ns0:c r="H750" s="17" t="n"/>
      <ns0:c r="I750" s="17" t="n"/>
      <ns0:c r="J750" s="17" t="n"/>
      <ns0:c r="K750" s="17" t="n"/>
      <ns0:c r="L750" s="17" t="n"/>
      <ns0:c r="M750" s="17" t="n"/>
      <ns0:c r="N750" s="17" t="n"/>
      <ns0:c r="O750" s="17" t="n"/>
      <ns0:c r="P750" s="17" t="n"/>
      <ns0:c r="Q750" s="17" t="n"/>
      <ns0:c r="R750" s="17" t="n"/>
      <ns0:c r="S750" s="17" t="n"/>
      <ns0:c r="T750" s="17" t="n"/>
      <ns0:c r="U750" s="17" t="n"/>
      <ns0:c r="V750" s="17" t="n"/>
      <ns0:c r="W750" s="17" t="n"/>
      <ns0:c r="X750" s="17" t="n"/>
      <ns0:c r="Y750" s="17" t="n"/>
      <ns0:c r="Z750" s="17" t="n"/>
      <ns0:c r="AA750" s="17" t="n"/>
      <ns0:c r="AB750" s="17" t="n"/>
      <ns0:c r="AC750" s="17" t="n"/>
      <ns0:c r="AD750" s="17" t="n"/>
      <ns0:c r="AE750" s="17" t="n"/>
      <ns0:c r="AF750" s="17" t="n"/>
      <ns0:c r="AG750" s="17" t="n"/>
    </ns0:row>
    <ns0:row r="751" ht="24" customHeight="1">
      <ns0:c r="D751" s="17" t="n"/>
      <ns0:c r="E751" s="17" t="n"/>
      <ns0:c r="F751" s="17" t="n"/>
      <ns0:c r="G751" s="17" t="n"/>
      <ns0:c r="H751" s="17" t="n"/>
      <ns0:c r="I751" s="17" t="n"/>
      <ns0:c r="J751" s="17" t="n"/>
      <ns0:c r="K751" s="17" t="n"/>
      <ns0:c r="L751" s="17" t="n"/>
      <ns0:c r="M751" s="17" t="n"/>
      <ns0:c r="N751" s="17" t="n"/>
      <ns0:c r="O751" s="17" t="n"/>
      <ns0:c r="P751" s="17" t="n"/>
      <ns0:c r="Q751" s="17" t="n"/>
      <ns0:c r="R751" s="17" t="n"/>
      <ns0:c r="S751" s="17" t="n"/>
      <ns0:c r="T751" s="17" t="n"/>
      <ns0:c r="U751" s="17" t="n"/>
      <ns0:c r="V751" s="17" t="n"/>
      <ns0:c r="W751" s="17" t="n"/>
      <ns0:c r="X751" s="17" t="n"/>
      <ns0:c r="Y751" s="17" t="n"/>
      <ns0:c r="Z751" s="17" t="n"/>
      <ns0:c r="AA751" s="17" t="n"/>
      <ns0:c r="AB751" s="17" t="n"/>
      <ns0:c r="AC751" s="17" t="n"/>
      <ns0:c r="AD751" s="17" t="n"/>
      <ns0:c r="AE751" s="17" t="n"/>
      <ns0:c r="AF751" s="17" t="n"/>
      <ns0:c r="AG751" s="17" t="n"/>
    </ns0:row>
    <ns0:row r="752" ht="24" customHeight="1">
      <ns0:c r="D752" s="17" t="n"/>
      <ns0:c r="E752" s="17" t="n"/>
      <ns0:c r="F752" s="17" t="n"/>
      <ns0:c r="G752" s="17" t="n"/>
      <ns0:c r="H752" s="17" t="n"/>
      <ns0:c r="I752" s="17" t="n"/>
      <ns0:c r="J752" s="17" t="n"/>
      <ns0:c r="K752" s="17" t="n"/>
      <ns0:c r="L752" s="17" t="n"/>
      <ns0:c r="M752" s="17" t="n"/>
      <ns0:c r="N752" s="17" t="n"/>
      <ns0:c r="O752" s="17" t="n"/>
      <ns0:c r="P752" s="17" t="n"/>
      <ns0:c r="Q752" s="17" t="n"/>
      <ns0:c r="R752" s="17" t="n"/>
      <ns0:c r="S752" s="17" t="n"/>
      <ns0:c r="T752" s="17" t="n"/>
      <ns0:c r="U752" s="17" t="n"/>
      <ns0:c r="V752" s="17" t="n"/>
      <ns0:c r="W752" s="17" t="n"/>
      <ns0:c r="X752" s="17" t="n"/>
      <ns0:c r="Y752" s="17" t="n"/>
      <ns0:c r="Z752" s="17" t="n"/>
      <ns0:c r="AA752" s="17" t="n"/>
      <ns0:c r="AB752" s="17" t="n"/>
      <ns0:c r="AC752" s="17" t="n"/>
      <ns0:c r="AD752" s="17" t="n"/>
      <ns0:c r="AE752" s="17" t="n"/>
      <ns0:c r="AF752" s="17" t="n"/>
      <ns0:c r="AG752" s="17" t="n"/>
    </ns0:row>
    <ns0:row r="753" ht="24" customHeight="1">
      <ns0:c r="D753" s="17" t="n"/>
      <ns0:c r="E753" s="17" t="n"/>
      <ns0:c r="F753" s="17" t="n"/>
      <ns0:c r="G753" s="17" t="n"/>
      <ns0:c r="H753" s="17" t="n"/>
      <ns0:c r="I753" s="17" t="n"/>
      <ns0:c r="J753" s="17" t="n"/>
      <ns0:c r="K753" s="17" t="n"/>
      <ns0:c r="L753" s="17" t="n"/>
      <ns0:c r="M753" s="17" t="n"/>
      <ns0:c r="N753" s="17" t="n"/>
      <ns0:c r="O753" s="17" t="n"/>
      <ns0:c r="P753" s="17" t="n"/>
      <ns0:c r="Q753" s="17" t="n"/>
      <ns0:c r="R753" s="17" t="n"/>
      <ns0:c r="S753" s="17" t="n"/>
      <ns0:c r="T753" s="17" t="n"/>
      <ns0:c r="U753" s="17" t="n"/>
      <ns0:c r="V753" s="17" t="n"/>
      <ns0:c r="W753" s="17" t="n"/>
      <ns0:c r="X753" s="17" t="n"/>
      <ns0:c r="Y753" s="17" t="n"/>
      <ns0:c r="Z753" s="17" t="n"/>
      <ns0:c r="AA753" s="17" t="n"/>
      <ns0:c r="AB753" s="17" t="n"/>
      <ns0:c r="AC753" s="17" t="n"/>
      <ns0:c r="AD753" s="17" t="n"/>
      <ns0:c r="AE753" s="17" t="n"/>
      <ns0:c r="AF753" s="17" t="n"/>
      <ns0:c r="AG753" s="17" t="n"/>
    </ns0:row>
    <ns0:row r="754" ht="24" customHeight="1">
      <ns0:c r="D754" s="17" t="n"/>
      <ns0:c r="E754" s="17" t="n"/>
      <ns0:c r="F754" s="17" t="n"/>
      <ns0:c r="G754" s="17" t="n"/>
      <ns0:c r="H754" s="17" t="n"/>
      <ns0:c r="I754" s="17" t="n"/>
      <ns0:c r="J754" s="17" t="n"/>
      <ns0:c r="K754" s="17" t="n"/>
      <ns0:c r="L754" s="17" t="n"/>
      <ns0:c r="M754" s="17" t="n"/>
      <ns0:c r="N754" s="17" t="n"/>
      <ns0:c r="O754" s="17" t="n"/>
      <ns0:c r="P754" s="17" t="n"/>
      <ns0:c r="Q754" s="17" t="n"/>
      <ns0:c r="R754" s="17" t="n"/>
      <ns0:c r="S754" s="17" t="n"/>
      <ns0:c r="T754" s="17" t="n"/>
      <ns0:c r="U754" s="17" t="n"/>
      <ns0:c r="V754" s="17" t="n"/>
      <ns0:c r="W754" s="17" t="n"/>
      <ns0:c r="X754" s="17" t="n"/>
      <ns0:c r="Y754" s="17" t="n"/>
      <ns0:c r="Z754" s="17" t="n"/>
      <ns0:c r="AA754" s="17" t="n"/>
      <ns0:c r="AB754" s="17" t="n"/>
      <ns0:c r="AC754" s="17" t="n"/>
      <ns0:c r="AD754" s="17" t="n"/>
      <ns0:c r="AE754" s="17" t="n"/>
      <ns0:c r="AF754" s="17" t="n"/>
      <ns0:c r="AG754" s="17" t="n"/>
    </ns0:row>
    <ns0:row r="755" ht="24" customHeight="1">
      <ns0:c r="D755" s="17" t="n"/>
      <ns0:c r="E755" s="17" t="n"/>
      <ns0:c r="F755" s="17" t="n"/>
      <ns0:c r="G755" s="17" t="n"/>
      <ns0:c r="H755" s="17" t="n"/>
      <ns0:c r="I755" s="17" t="n"/>
      <ns0:c r="J755" s="17" t="n"/>
      <ns0:c r="K755" s="17" t="n"/>
      <ns0:c r="L755" s="17" t="n"/>
      <ns0:c r="M755" s="17" t="n"/>
      <ns0:c r="N755" s="17" t="n"/>
      <ns0:c r="O755" s="17" t="n"/>
      <ns0:c r="P755" s="17" t="n"/>
      <ns0:c r="Q755" s="17" t="n"/>
      <ns0:c r="R755" s="17" t="n"/>
      <ns0:c r="S755" s="17" t="n"/>
      <ns0:c r="T755" s="17" t="n"/>
      <ns0:c r="U755" s="17" t="n"/>
      <ns0:c r="V755" s="17" t="n"/>
      <ns0:c r="W755" s="17" t="n"/>
      <ns0:c r="X755" s="17" t="n"/>
      <ns0:c r="Y755" s="17" t="n"/>
      <ns0:c r="Z755" s="17" t="n"/>
      <ns0:c r="AA755" s="17" t="n"/>
      <ns0:c r="AB755" s="17" t="n"/>
      <ns0:c r="AC755" s="17" t="n"/>
      <ns0:c r="AD755" s="17" t="n"/>
      <ns0:c r="AE755" s="17" t="n"/>
      <ns0:c r="AF755" s="17" t="n"/>
      <ns0:c r="AG755" s="17" t="n"/>
    </ns0:row>
    <ns0:row r="756" ht="24" customHeight="1">
      <ns0:c r="D756" s="17" t="n"/>
      <ns0:c r="E756" s="17" t="n"/>
      <ns0:c r="F756" s="17" t="n"/>
      <ns0:c r="G756" s="17" t="n"/>
      <ns0:c r="H756" s="17" t="n"/>
      <ns0:c r="I756" s="17" t="n"/>
      <ns0:c r="J756" s="17" t="n"/>
      <ns0:c r="K756" s="17" t="n"/>
      <ns0:c r="L756" s="17" t="n"/>
      <ns0:c r="M756" s="17" t="n"/>
      <ns0:c r="N756" s="17" t="n"/>
      <ns0:c r="O756" s="17" t="n"/>
      <ns0:c r="P756" s="17" t="n"/>
      <ns0:c r="Q756" s="17" t="n"/>
      <ns0:c r="R756" s="17" t="n"/>
      <ns0:c r="S756" s="17" t="n"/>
      <ns0:c r="T756" s="17" t="n"/>
      <ns0:c r="U756" s="17" t="n"/>
      <ns0:c r="V756" s="17" t="n"/>
      <ns0:c r="W756" s="17" t="n"/>
      <ns0:c r="X756" s="17" t="n"/>
      <ns0:c r="Y756" s="17" t="n"/>
      <ns0:c r="Z756" s="17" t="n"/>
      <ns0:c r="AA756" s="17" t="n"/>
      <ns0:c r="AB756" s="17" t="n"/>
      <ns0:c r="AC756" s="17" t="n"/>
      <ns0:c r="AD756" s="17" t="n"/>
      <ns0:c r="AE756" s="17" t="n"/>
      <ns0:c r="AF756" s="17" t="n"/>
      <ns0:c r="AG756" s="17" t="n"/>
    </ns0:row>
    <ns0:row r="757" ht="24" customHeight="1">
      <ns0:c r="D757" s="17" t="n"/>
      <ns0:c r="E757" s="17" t="n"/>
      <ns0:c r="F757" s="17" t="n"/>
      <ns0:c r="G757" s="17" t="n"/>
      <ns0:c r="H757" s="17" t="n"/>
      <ns0:c r="I757" s="17" t="n"/>
      <ns0:c r="J757" s="17" t="n"/>
      <ns0:c r="K757" s="17" t="n"/>
      <ns0:c r="L757" s="17" t="n"/>
      <ns0:c r="M757" s="17" t="n"/>
      <ns0:c r="N757" s="17" t="n"/>
      <ns0:c r="O757" s="17" t="n"/>
      <ns0:c r="P757" s="17" t="n"/>
      <ns0:c r="Q757" s="17" t="n"/>
      <ns0:c r="R757" s="17" t="n"/>
      <ns0:c r="S757" s="17" t="n"/>
      <ns0:c r="T757" s="17" t="n"/>
      <ns0:c r="U757" s="17" t="n"/>
      <ns0:c r="V757" s="17" t="n"/>
      <ns0:c r="W757" s="17" t="n"/>
      <ns0:c r="X757" s="17" t="n"/>
      <ns0:c r="Y757" s="17" t="n"/>
      <ns0:c r="Z757" s="17" t="n"/>
      <ns0:c r="AA757" s="17" t="n"/>
      <ns0:c r="AB757" s="17" t="n"/>
      <ns0:c r="AC757" s="17" t="n"/>
      <ns0:c r="AD757" s="17" t="n"/>
      <ns0:c r="AE757" s="17" t="n"/>
      <ns0:c r="AF757" s="17" t="n"/>
      <ns0:c r="AG757" s="17" t="n"/>
    </ns0:row>
    <ns0:row r="758" ht="24" customHeight="1">
      <ns0:c r="D758" s="17" t="n"/>
      <ns0:c r="E758" s="17" t="n"/>
      <ns0:c r="F758" s="17" t="n"/>
      <ns0:c r="G758" s="17" t="n"/>
      <ns0:c r="H758" s="17" t="n"/>
      <ns0:c r="I758" s="17" t="n"/>
      <ns0:c r="J758" s="17" t="n"/>
      <ns0:c r="K758" s="17" t="n"/>
      <ns0:c r="L758" s="17" t="n"/>
      <ns0:c r="M758" s="17" t="n"/>
      <ns0:c r="N758" s="17" t="n"/>
      <ns0:c r="O758" s="17" t="n"/>
      <ns0:c r="P758" s="17" t="n"/>
      <ns0:c r="Q758" s="17" t="n"/>
      <ns0:c r="R758" s="17" t="n"/>
      <ns0:c r="S758" s="17" t="n"/>
      <ns0:c r="T758" s="17" t="n"/>
      <ns0:c r="U758" s="17" t="n"/>
      <ns0:c r="V758" s="17" t="n"/>
      <ns0:c r="W758" s="17" t="n"/>
      <ns0:c r="X758" s="17" t="n"/>
      <ns0:c r="Y758" s="17" t="n"/>
      <ns0:c r="Z758" s="17" t="n"/>
      <ns0:c r="AA758" s="17" t="n"/>
      <ns0:c r="AB758" s="17" t="n"/>
      <ns0:c r="AC758" s="17" t="n"/>
      <ns0:c r="AD758" s="17" t="n"/>
      <ns0:c r="AE758" s="17" t="n"/>
      <ns0:c r="AF758" s="17" t="n"/>
      <ns0:c r="AG758" s="17" t="n"/>
    </ns0:row>
    <ns0:row r="759" ht="24" customHeight="1">
      <ns0:c r="D759" s="17" t="n"/>
      <ns0:c r="E759" s="17" t="n"/>
      <ns0:c r="F759" s="17" t="n"/>
      <ns0:c r="G759" s="17" t="n"/>
      <ns0:c r="H759" s="17" t="n"/>
      <ns0:c r="I759" s="17" t="n"/>
      <ns0:c r="J759" s="17" t="n"/>
      <ns0:c r="K759" s="17" t="n"/>
      <ns0:c r="L759" s="17" t="n"/>
      <ns0:c r="M759" s="17" t="n"/>
      <ns0:c r="N759" s="17" t="n"/>
      <ns0:c r="O759" s="17" t="n"/>
      <ns0:c r="P759" s="17" t="n"/>
      <ns0:c r="Q759" s="17" t="n"/>
      <ns0:c r="R759" s="17" t="n"/>
      <ns0:c r="S759" s="17" t="n"/>
      <ns0:c r="T759" s="17" t="n"/>
      <ns0:c r="U759" s="17" t="n"/>
      <ns0:c r="V759" s="17" t="n"/>
      <ns0:c r="W759" s="17" t="n"/>
      <ns0:c r="X759" s="17" t="n"/>
      <ns0:c r="Y759" s="17" t="n"/>
      <ns0:c r="Z759" s="17" t="n"/>
      <ns0:c r="AA759" s="17" t="n"/>
      <ns0:c r="AB759" s="17" t="n"/>
      <ns0:c r="AC759" s="17" t="n"/>
      <ns0:c r="AD759" s="17" t="n"/>
      <ns0:c r="AE759" s="17" t="n"/>
      <ns0:c r="AF759" s="17" t="n"/>
      <ns0:c r="AG759" s="17" t="n"/>
    </ns0:row>
    <ns0:row r="760" ht="24" customHeight="1">
      <ns0:c r="D760" s="17" t="n"/>
      <ns0:c r="E760" s="17" t="n"/>
      <ns0:c r="F760" s="17" t="n"/>
      <ns0:c r="G760" s="17" t="n"/>
      <ns0:c r="H760" s="17" t="n"/>
      <ns0:c r="I760" s="17" t="n"/>
      <ns0:c r="J760" s="17" t="n"/>
      <ns0:c r="K760" s="17" t="n"/>
      <ns0:c r="L760" s="17" t="n"/>
      <ns0:c r="M760" s="17" t="n"/>
      <ns0:c r="N760" s="17" t="n"/>
      <ns0:c r="O760" s="17" t="n"/>
      <ns0:c r="P760" s="17" t="n"/>
      <ns0:c r="Q760" s="17" t="n"/>
      <ns0:c r="R760" s="17" t="n"/>
      <ns0:c r="S760" s="17" t="n"/>
      <ns0:c r="T760" s="17" t="n"/>
      <ns0:c r="U760" s="17" t="n"/>
      <ns0:c r="V760" s="17" t="n"/>
      <ns0:c r="W760" s="17" t="n"/>
      <ns0:c r="X760" s="17" t="n"/>
      <ns0:c r="Y760" s="17" t="n"/>
      <ns0:c r="Z760" s="17" t="n"/>
      <ns0:c r="AA760" s="17" t="n"/>
      <ns0:c r="AB760" s="17" t="n"/>
      <ns0:c r="AC760" s="17" t="n"/>
      <ns0:c r="AD760" s="17" t="n"/>
      <ns0:c r="AE760" s="17" t="n"/>
      <ns0:c r="AF760" s="17" t="n"/>
      <ns0:c r="AG760" s="17" t="n"/>
    </ns0:row>
    <ns0:row r="761" ht="24" customHeight="1">
      <ns0:c r="D761" s="17" t="n"/>
      <ns0:c r="E761" s="17" t="n"/>
      <ns0:c r="F761" s="17" t="n"/>
      <ns0:c r="G761" s="17" t="n"/>
      <ns0:c r="H761" s="17" t="n"/>
      <ns0:c r="I761" s="17" t="n"/>
      <ns0:c r="J761" s="17" t="n"/>
      <ns0:c r="K761" s="17" t="n"/>
      <ns0:c r="L761" s="17" t="n"/>
      <ns0:c r="M761" s="17" t="n"/>
      <ns0:c r="N761" s="17" t="n"/>
      <ns0:c r="O761" s="17" t="n"/>
      <ns0:c r="P761" s="17" t="n"/>
      <ns0:c r="Q761" s="17" t="n"/>
      <ns0:c r="R761" s="17" t="n"/>
      <ns0:c r="S761" s="17" t="n"/>
      <ns0:c r="T761" s="17" t="n"/>
      <ns0:c r="U761" s="17" t="n"/>
      <ns0:c r="V761" s="17" t="n"/>
      <ns0:c r="W761" s="17" t="n"/>
      <ns0:c r="X761" s="17" t="n"/>
      <ns0:c r="Y761" s="17" t="n"/>
      <ns0:c r="Z761" s="17" t="n"/>
      <ns0:c r="AA761" s="17" t="n"/>
      <ns0:c r="AB761" s="17" t="n"/>
      <ns0:c r="AC761" s="17" t="n"/>
      <ns0:c r="AD761" s="17" t="n"/>
      <ns0:c r="AE761" s="17" t="n"/>
      <ns0:c r="AF761" s="17" t="n"/>
      <ns0:c r="AG761" s="17" t="n"/>
    </ns0:row>
    <ns0:row r="762" ht="24" customHeight="1">
      <ns0:c r="D762" s="17" t="n"/>
      <ns0:c r="E762" s="17" t="n"/>
      <ns0:c r="F762" s="17" t="n"/>
      <ns0:c r="G762" s="17" t="n"/>
      <ns0:c r="H762" s="17" t="n"/>
      <ns0:c r="I762" s="17" t="n"/>
      <ns0:c r="J762" s="17" t="n"/>
      <ns0:c r="K762" s="17" t="n"/>
      <ns0:c r="L762" s="17" t="n"/>
      <ns0:c r="M762" s="17" t="n"/>
      <ns0:c r="N762" s="17" t="n"/>
      <ns0:c r="O762" s="17" t="n"/>
      <ns0:c r="P762" s="17" t="n"/>
      <ns0:c r="Q762" s="17" t="n"/>
      <ns0:c r="R762" s="17" t="n"/>
      <ns0:c r="S762" s="17" t="n"/>
      <ns0:c r="T762" s="17" t="n"/>
      <ns0:c r="U762" s="17" t="n"/>
      <ns0:c r="V762" s="17" t="n"/>
      <ns0:c r="W762" s="17" t="n"/>
      <ns0:c r="X762" s="17" t="n"/>
      <ns0:c r="Y762" s="17" t="n"/>
      <ns0:c r="Z762" s="17" t="n"/>
      <ns0:c r="AA762" s="17" t="n"/>
      <ns0:c r="AB762" s="17" t="n"/>
      <ns0:c r="AC762" s="17" t="n"/>
      <ns0:c r="AD762" s="17" t="n"/>
      <ns0:c r="AE762" s="17" t="n"/>
      <ns0:c r="AF762" s="17" t="n"/>
      <ns0:c r="AG762" s="17" t="n"/>
    </ns0:row>
    <ns0:row r="763" ht="24" customHeight="1">
      <ns0:c r="D763" s="17" t="n"/>
      <ns0:c r="E763" s="17" t="n"/>
      <ns0:c r="F763" s="17" t="n"/>
      <ns0:c r="G763" s="17" t="n"/>
      <ns0:c r="H763" s="17" t="n"/>
      <ns0:c r="I763" s="17" t="n"/>
      <ns0:c r="J763" s="17" t="n"/>
      <ns0:c r="K763" s="17" t="n"/>
      <ns0:c r="L763" s="17" t="n"/>
      <ns0:c r="M763" s="17" t="n"/>
      <ns0:c r="N763" s="17" t="n"/>
      <ns0:c r="O763" s="17" t="n"/>
      <ns0:c r="P763" s="17" t="n"/>
      <ns0:c r="Q763" s="17" t="n"/>
      <ns0:c r="R763" s="17" t="n"/>
      <ns0:c r="S763" s="17" t="n"/>
      <ns0:c r="T763" s="17" t="n"/>
      <ns0:c r="U763" s="17" t="n"/>
      <ns0:c r="V763" s="17" t="n"/>
      <ns0:c r="W763" s="17" t="n"/>
      <ns0:c r="X763" s="17" t="n"/>
      <ns0:c r="Y763" s="17" t="n"/>
      <ns0:c r="Z763" s="17" t="n"/>
      <ns0:c r="AA763" s="17" t="n"/>
      <ns0:c r="AB763" s="17" t="n"/>
      <ns0:c r="AC763" s="17" t="n"/>
      <ns0:c r="AD763" s="17" t="n"/>
      <ns0:c r="AE763" s="17" t="n"/>
      <ns0:c r="AF763" s="17" t="n"/>
      <ns0:c r="AG763" s="17" t="n"/>
    </ns0:row>
    <ns0:row r="764" ht="24" customHeight="1">
      <ns0:c r="D764" s="17" t="n"/>
      <ns0:c r="E764" s="17" t="n"/>
      <ns0:c r="F764" s="17" t="n"/>
      <ns0:c r="G764" s="17" t="n"/>
      <ns0:c r="H764" s="17" t="n"/>
      <ns0:c r="I764" s="17" t="n"/>
      <ns0:c r="J764" s="17" t="n"/>
      <ns0:c r="K764" s="17" t="n"/>
      <ns0:c r="L764" s="17" t="n"/>
      <ns0:c r="M764" s="17" t="n"/>
      <ns0:c r="N764" s="17" t="n"/>
      <ns0:c r="O764" s="17" t="n"/>
      <ns0:c r="P764" s="17" t="n"/>
      <ns0:c r="Q764" s="17" t="n"/>
      <ns0:c r="R764" s="17" t="n"/>
      <ns0:c r="S764" s="17" t="n"/>
      <ns0:c r="T764" s="17" t="n"/>
      <ns0:c r="U764" s="17" t="n"/>
      <ns0:c r="V764" s="17" t="n"/>
      <ns0:c r="W764" s="17" t="n"/>
      <ns0:c r="X764" s="17" t="n"/>
      <ns0:c r="Y764" s="17" t="n"/>
      <ns0:c r="Z764" s="17" t="n"/>
      <ns0:c r="AA764" s="17" t="n"/>
      <ns0:c r="AB764" s="17" t="n"/>
      <ns0:c r="AC764" s="17" t="n"/>
      <ns0:c r="AD764" s="17" t="n"/>
      <ns0:c r="AE764" s="17" t="n"/>
      <ns0:c r="AF764" s="17" t="n"/>
      <ns0:c r="AG764" s="17" t="n"/>
    </ns0:row>
    <ns0:row r="765" ht="24" customHeight="1">
      <ns0:c r="D765" s="17" t="n"/>
      <ns0:c r="E765" s="17" t="n"/>
      <ns0:c r="F765" s="17" t="n"/>
      <ns0:c r="G765" s="17" t="n"/>
      <ns0:c r="H765" s="17" t="n"/>
      <ns0:c r="I765" s="17" t="n"/>
      <ns0:c r="J765" s="17" t="n"/>
      <ns0:c r="K765" s="17" t="n"/>
      <ns0:c r="L765" s="17" t="n"/>
      <ns0:c r="M765" s="17" t="n"/>
      <ns0:c r="N765" s="17" t="n"/>
      <ns0:c r="O765" s="17" t="n"/>
      <ns0:c r="P765" s="17" t="n"/>
      <ns0:c r="Q765" s="17" t="n"/>
      <ns0:c r="R765" s="17" t="n"/>
      <ns0:c r="S765" s="17" t="n"/>
      <ns0:c r="T765" s="17" t="n"/>
      <ns0:c r="U765" s="17" t="n"/>
      <ns0:c r="V765" s="17" t="n"/>
      <ns0:c r="W765" s="17" t="n"/>
      <ns0:c r="X765" s="17" t="n"/>
      <ns0:c r="Y765" s="17" t="n"/>
      <ns0:c r="Z765" s="17" t="n"/>
      <ns0:c r="AA765" s="17" t="n"/>
      <ns0:c r="AB765" s="17" t="n"/>
      <ns0:c r="AC765" s="17" t="n"/>
      <ns0:c r="AD765" s="17" t="n"/>
      <ns0:c r="AE765" s="17" t="n"/>
      <ns0:c r="AF765" s="17" t="n"/>
      <ns0:c r="AG765" s="17" t="n"/>
    </ns0:row>
    <ns0:row r="766" ht="24" customHeight="1">
      <ns0:c r="D766" s="17" t="n"/>
      <ns0:c r="E766" s="17" t="n"/>
      <ns0:c r="F766" s="17" t="n"/>
      <ns0:c r="G766" s="17" t="n"/>
      <ns0:c r="H766" s="17" t="n"/>
      <ns0:c r="I766" s="17" t="n"/>
      <ns0:c r="J766" s="17" t="n"/>
      <ns0:c r="K766" s="17" t="n"/>
      <ns0:c r="L766" s="17" t="n"/>
      <ns0:c r="M766" s="17" t="n"/>
      <ns0:c r="N766" s="17" t="n"/>
      <ns0:c r="O766" s="17" t="n"/>
      <ns0:c r="P766" s="17" t="n"/>
      <ns0:c r="Q766" s="17" t="n"/>
      <ns0:c r="R766" s="17" t="n"/>
      <ns0:c r="S766" s="17" t="n"/>
      <ns0:c r="T766" s="17" t="n"/>
      <ns0:c r="U766" s="17" t="n"/>
      <ns0:c r="V766" s="17" t="n"/>
      <ns0:c r="W766" s="17" t="n"/>
      <ns0:c r="X766" s="17" t="n"/>
      <ns0:c r="Y766" s="17" t="n"/>
      <ns0:c r="Z766" s="17" t="n"/>
      <ns0:c r="AA766" s="17" t="n"/>
      <ns0:c r="AB766" s="17" t="n"/>
      <ns0:c r="AC766" s="17" t="n"/>
      <ns0:c r="AD766" s="17" t="n"/>
      <ns0:c r="AE766" s="17" t="n"/>
      <ns0:c r="AF766" s="17" t="n"/>
      <ns0:c r="AG766" s="17" t="n"/>
    </ns0:row>
    <ns0:row r="767" ht="24" customHeight="1">
      <ns0:c r="D767" s="17" t="n"/>
      <ns0:c r="E767" s="17" t="n"/>
      <ns0:c r="F767" s="17" t="n"/>
      <ns0:c r="G767" s="17" t="n"/>
      <ns0:c r="H767" s="17" t="n"/>
      <ns0:c r="I767" s="17" t="n"/>
      <ns0:c r="J767" s="17" t="n"/>
      <ns0:c r="K767" s="17" t="n"/>
      <ns0:c r="L767" s="17" t="n"/>
      <ns0:c r="M767" s="17" t="n"/>
      <ns0:c r="N767" s="17" t="n"/>
      <ns0:c r="O767" s="17" t="n"/>
      <ns0:c r="P767" s="17" t="n"/>
      <ns0:c r="Q767" s="17" t="n"/>
      <ns0:c r="R767" s="17" t="n"/>
      <ns0:c r="S767" s="17" t="n"/>
      <ns0:c r="T767" s="17" t="n"/>
      <ns0:c r="U767" s="17" t="n"/>
      <ns0:c r="V767" s="17" t="n"/>
      <ns0:c r="W767" s="17" t="n"/>
      <ns0:c r="X767" s="17" t="n"/>
      <ns0:c r="Y767" s="17" t="n"/>
      <ns0:c r="Z767" s="17" t="n"/>
      <ns0:c r="AA767" s="17" t="n"/>
      <ns0:c r="AB767" s="17" t="n"/>
      <ns0:c r="AC767" s="17" t="n"/>
      <ns0:c r="AD767" s="17" t="n"/>
      <ns0:c r="AE767" s="17" t="n"/>
      <ns0:c r="AF767" s="17" t="n"/>
      <ns0:c r="AG767" s="17" t="n"/>
    </ns0:row>
    <ns0:row r="768" ht="24" customHeight="1">
      <ns0:c r="D768" s="17" t="n"/>
      <ns0:c r="E768" s="17" t="n"/>
      <ns0:c r="F768" s="17" t="n"/>
      <ns0:c r="G768" s="17" t="n"/>
      <ns0:c r="H768" s="17" t="n"/>
      <ns0:c r="I768" s="17" t="n"/>
      <ns0:c r="J768" s="17" t="n"/>
      <ns0:c r="K768" s="17" t="n"/>
      <ns0:c r="L768" s="17" t="n"/>
      <ns0:c r="M768" s="17" t="n"/>
      <ns0:c r="N768" s="17" t="n"/>
      <ns0:c r="O768" s="17" t="n"/>
      <ns0:c r="P768" s="17" t="n"/>
      <ns0:c r="Q768" s="17" t="n"/>
      <ns0:c r="R768" s="17" t="n"/>
      <ns0:c r="S768" s="17" t="n"/>
      <ns0:c r="T768" s="17" t="n"/>
      <ns0:c r="U768" s="17" t="n"/>
      <ns0:c r="V768" s="17" t="n"/>
      <ns0:c r="W768" s="17" t="n"/>
      <ns0:c r="X768" s="17" t="n"/>
      <ns0:c r="Y768" s="17" t="n"/>
      <ns0:c r="Z768" s="17" t="n"/>
      <ns0:c r="AA768" s="17" t="n"/>
      <ns0:c r="AB768" s="17" t="n"/>
      <ns0:c r="AC768" s="17" t="n"/>
      <ns0:c r="AD768" s="17" t="n"/>
      <ns0:c r="AE768" s="17" t="n"/>
      <ns0:c r="AF768" s="17" t="n"/>
      <ns0:c r="AG768" s="17" t="n"/>
    </ns0:row>
    <ns0:row r="769" ht="24" customHeight="1">
      <ns0:c r="D769" s="17" t="n"/>
      <ns0:c r="E769" s="17" t="n"/>
      <ns0:c r="F769" s="17" t="n"/>
      <ns0:c r="G769" s="17" t="n"/>
      <ns0:c r="H769" s="17" t="n"/>
      <ns0:c r="I769" s="17" t="n"/>
      <ns0:c r="J769" s="17" t="n"/>
      <ns0:c r="K769" s="17" t="n"/>
      <ns0:c r="L769" s="17" t="n"/>
      <ns0:c r="M769" s="17" t="n"/>
      <ns0:c r="N769" s="17" t="n"/>
      <ns0:c r="O769" s="17" t="n"/>
      <ns0:c r="P769" s="17" t="n"/>
      <ns0:c r="Q769" s="17" t="n"/>
      <ns0:c r="R769" s="17" t="n"/>
      <ns0:c r="S769" s="17" t="n"/>
      <ns0:c r="T769" s="17" t="n"/>
      <ns0:c r="U769" s="17" t="n"/>
      <ns0:c r="V769" s="17" t="n"/>
      <ns0:c r="W769" s="17" t="n"/>
      <ns0:c r="X769" s="17" t="n"/>
      <ns0:c r="Y769" s="17" t="n"/>
      <ns0:c r="Z769" s="17" t="n"/>
      <ns0:c r="AA769" s="17" t="n"/>
      <ns0:c r="AB769" s="17" t="n"/>
      <ns0:c r="AC769" s="17" t="n"/>
      <ns0:c r="AD769" s="17" t="n"/>
      <ns0:c r="AE769" s="17" t="n"/>
      <ns0:c r="AF769" s="17" t="n"/>
      <ns0:c r="AG769" s="17" t="n"/>
    </ns0:row>
    <ns0:row r="770" ht="24" customHeight="1">
      <ns0:c r="D770" s="17" t="n"/>
      <ns0:c r="E770" s="17" t="n"/>
      <ns0:c r="F770" s="17" t="n"/>
      <ns0:c r="G770" s="17" t="n"/>
      <ns0:c r="H770" s="17" t="n"/>
      <ns0:c r="I770" s="17" t="n"/>
      <ns0:c r="J770" s="17" t="n"/>
      <ns0:c r="K770" s="17" t="n"/>
      <ns0:c r="L770" s="17" t="n"/>
      <ns0:c r="M770" s="17" t="n"/>
      <ns0:c r="N770" s="17" t="n"/>
      <ns0:c r="O770" s="17" t="n"/>
      <ns0:c r="P770" s="17" t="n"/>
      <ns0:c r="Q770" s="17" t="n"/>
      <ns0:c r="R770" s="17" t="n"/>
      <ns0:c r="S770" s="17" t="n"/>
      <ns0:c r="T770" s="17" t="n"/>
      <ns0:c r="U770" s="17" t="n"/>
      <ns0:c r="V770" s="17" t="n"/>
      <ns0:c r="W770" s="17" t="n"/>
      <ns0:c r="X770" s="17" t="n"/>
      <ns0:c r="Y770" s="17" t="n"/>
      <ns0:c r="Z770" s="17" t="n"/>
      <ns0:c r="AA770" s="17" t="n"/>
      <ns0:c r="AB770" s="17" t="n"/>
      <ns0:c r="AC770" s="17" t="n"/>
      <ns0:c r="AD770" s="17" t="n"/>
      <ns0:c r="AE770" s="17" t="n"/>
      <ns0:c r="AF770" s="17" t="n"/>
      <ns0:c r="AG770" s="17" t="n"/>
    </ns0:row>
    <ns0:row r="771" ht="24" customHeight="1">
      <ns0:c r="D771" s="17" t="n"/>
      <ns0:c r="E771" s="17" t="n"/>
      <ns0:c r="F771" s="17" t="n"/>
      <ns0:c r="G771" s="17" t="n"/>
      <ns0:c r="H771" s="17" t="n"/>
      <ns0:c r="I771" s="17" t="n"/>
      <ns0:c r="J771" s="17" t="n"/>
      <ns0:c r="K771" s="17" t="n"/>
      <ns0:c r="L771" s="17" t="n"/>
      <ns0:c r="M771" s="17" t="n"/>
      <ns0:c r="N771" s="17" t="n"/>
      <ns0:c r="O771" s="17" t="n"/>
      <ns0:c r="P771" s="17" t="n"/>
      <ns0:c r="Q771" s="17" t="n"/>
      <ns0:c r="R771" s="17" t="n"/>
      <ns0:c r="S771" s="17" t="n"/>
      <ns0:c r="T771" s="17" t="n"/>
      <ns0:c r="U771" s="17" t="n"/>
      <ns0:c r="V771" s="17" t="n"/>
      <ns0:c r="W771" s="17" t="n"/>
      <ns0:c r="X771" s="17" t="n"/>
      <ns0:c r="Y771" s="17" t="n"/>
      <ns0:c r="Z771" s="17" t="n"/>
      <ns0:c r="AA771" s="17" t="n"/>
      <ns0:c r="AB771" s="17" t="n"/>
      <ns0:c r="AC771" s="17" t="n"/>
      <ns0:c r="AD771" s="17" t="n"/>
      <ns0:c r="AE771" s="17" t="n"/>
      <ns0:c r="AF771" s="17" t="n"/>
      <ns0:c r="AG771" s="17" t="n"/>
    </ns0:row>
    <ns0:row r="772" ht="24" customHeight="1">
      <ns0:c r="D772" s="17" t="n"/>
      <ns0:c r="E772" s="17" t="n"/>
      <ns0:c r="F772" s="17" t="n"/>
      <ns0:c r="G772" s="17" t="n"/>
      <ns0:c r="H772" s="17" t="n"/>
      <ns0:c r="I772" s="17" t="n"/>
      <ns0:c r="J772" s="17" t="n"/>
      <ns0:c r="K772" s="17" t="n"/>
      <ns0:c r="L772" s="17" t="n"/>
      <ns0:c r="M772" s="17" t="n"/>
      <ns0:c r="N772" s="17" t="n"/>
      <ns0:c r="O772" s="17" t="n"/>
      <ns0:c r="P772" s="17" t="n"/>
      <ns0:c r="Q772" s="17" t="n"/>
      <ns0:c r="R772" s="17" t="n"/>
      <ns0:c r="S772" s="17" t="n"/>
      <ns0:c r="T772" s="17" t="n"/>
      <ns0:c r="U772" s="17" t="n"/>
      <ns0:c r="V772" s="17" t="n"/>
      <ns0:c r="W772" s="17" t="n"/>
      <ns0:c r="X772" s="17" t="n"/>
      <ns0:c r="Y772" s="17" t="n"/>
      <ns0:c r="Z772" s="17" t="n"/>
      <ns0:c r="AA772" s="17" t="n"/>
      <ns0:c r="AB772" s="17" t="n"/>
      <ns0:c r="AC772" s="17" t="n"/>
      <ns0:c r="AD772" s="17" t="n"/>
      <ns0:c r="AE772" s="17" t="n"/>
      <ns0:c r="AF772" s="17" t="n"/>
      <ns0:c r="AG772" s="17" t="n"/>
    </ns0:row>
    <ns0:row r="773" ht="24" customHeight="1">
      <ns0:c r="D773" s="17" t="n"/>
      <ns0:c r="E773" s="17" t="n"/>
      <ns0:c r="F773" s="17" t="n"/>
      <ns0:c r="G773" s="17" t="n"/>
      <ns0:c r="H773" s="17" t="n"/>
      <ns0:c r="I773" s="17" t="n"/>
      <ns0:c r="J773" s="17" t="n"/>
      <ns0:c r="K773" s="17" t="n"/>
      <ns0:c r="L773" s="17" t="n"/>
      <ns0:c r="M773" s="17" t="n"/>
      <ns0:c r="N773" s="17" t="n"/>
      <ns0:c r="O773" s="17" t="n"/>
      <ns0:c r="P773" s="17" t="n"/>
      <ns0:c r="Q773" s="17" t="n"/>
      <ns0:c r="R773" s="17" t="n"/>
      <ns0:c r="S773" s="17" t="n"/>
      <ns0:c r="T773" s="17" t="n"/>
      <ns0:c r="U773" s="17" t="n"/>
      <ns0:c r="V773" s="17" t="n"/>
      <ns0:c r="W773" s="17" t="n"/>
      <ns0:c r="X773" s="17" t="n"/>
      <ns0:c r="Y773" s="17" t="n"/>
      <ns0:c r="Z773" s="17" t="n"/>
      <ns0:c r="AA773" s="17" t="n"/>
      <ns0:c r="AB773" s="17" t="n"/>
      <ns0:c r="AC773" s="17" t="n"/>
      <ns0:c r="AD773" s="17" t="n"/>
      <ns0:c r="AE773" s="17" t="n"/>
      <ns0:c r="AF773" s="17" t="n"/>
      <ns0:c r="AG773" s="17" t="n"/>
    </ns0:row>
    <ns0:row r="774" ht="24" customHeight="1">
      <ns0:c r="D774" s="17" t="n"/>
      <ns0:c r="E774" s="17" t="n"/>
      <ns0:c r="F774" s="17" t="n"/>
      <ns0:c r="G774" s="17" t="n"/>
      <ns0:c r="H774" s="17" t="n"/>
      <ns0:c r="I774" s="17" t="n"/>
      <ns0:c r="J774" s="17" t="n"/>
      <ns0:c r="K774" s="17" t="n"/>
      <ns0:c r="L774" s="17" t="n"/>
      <ns0:c r="M774" s="17" t="n"/>
      <ns0:c r="N774" s="17" t="n"/>
      <ns0:c r="O774" s="17" t="n"/>
      <ns0:c r="P774" s="17" t="n"/>
      <ns0:c r="Q774" s="17" t="n"/>
      <ns0:c r="R774" s="17" t="n"/>
      <ns0:c r="S774" s="17" t="n"/>
      <ns0:c r="T774" s="17" t="n"/>
      <ns0:c r="U774" s="17" t="n"/>
      <ns0:c r="V774" s="17" t="n"/>
      <ns0:c r="W774" s="17" t="n"/>
      <ns0:c r="X774" s="17" t="n"/>
      <ns0:c r="Y774" s="17" t="n"/>
      <ns0:c r="Z774" s="17" t="n"/>
      <ns0:c r="AA774" s="17" t="n"/>
      <ns0:c r="AB774" s="17" t="n"/>
      <ns0:c r="AC774" s="17" t="n"/>
      <ns0:c r="AD774" s="17" t="n"/>
      <ns0:c r="AE774" s="17" t="n"/>
      <ns0:c r="AF774" s="17" t="n"/>
      <ns0:c r="AG774" s="17" t="n"/>
    </ns0:row>
    <ns0:row r="775" ht="24" customHeight="1">
      <ns0:c r="D775" s="17" t="n"/>
      <ns0:c r="E775" s="17" t="n"/>
      <ns0:c r="F775" s="17" t="n"/>
      <ns0:c r="G775" s="17" t="n"/>
      <ns0:c r="H775" s="17" t="n"/>
      <ns0:c r="I775" s="17" t="n"/>
      <ns0:c r="J775" s="17" t="n"/>
      <ns0:c r="K775" s="17" t="n"/>
      <ns0:c r="L775" s="17" t="n"/>
      <ns0:c r="M775" s="17" t="n"/>
      <ns0:c r="N775" s="17" t="n"/>
      <ns0:c r="O775" s="17" t="n"/>
      <ns0:c r="P775" s="17" t="n"/>
      <ns0:c r="Q775" s="17" t="n"/>
      <ns0:c r="R775" s="17" t="n"/>
      <ns0:c r="S775" s="17" t="n"/>
      <ns0:c r="T775" s="17" t="n"/>
      <ns0:c r="U775" s="17" t="n"/>
      <ns0:c r="V775" s="17" t="n"/>
      <ns0:c r="W775" s="17" t="n"/>
      <ns0:c r="X775" s="17" t="n"/>
      <ns0:c r="Y775" s="17" t="n"/>
      <ns0:c r="Z775" s="17" t="n"/>
      <ns0:c r="AA775" s="17" t="n"/>
      <ns0:c r="AB775" s="17" t="n"/>
      <ns0:c r="AC775" s="17" t="n"/>
      <ns0:c r="AD775" s="17" t="n"/>
      <ns0:c r="AE775" s="17" t="n"/>
      <ns0:c r="AF775" s="17" t="n"/>
      <ns0:c r="AG775" s="17" t="n"/>
    </ns0:row>
    <ns0:row r="776" ht="24" customHeight="1">
      <ns0:c r="D776" s="17" t="n"/>
      <ns0:c r="E776" s="17" t="n"/>
      <ns0:c r="F776" s="17" t="n"/>
      <ns0:c r="G776" s="17" t="n"/>
      <ns0:c r="H776" s="17" t="n"/>
      <ns0:c r="I776" s="17" t="n"/>
      <ns0:c r="J776" s="17" t="n"/>
      <ns0:c r="K776" s="17" t="n"/>
      <ns0:c r="L776" s="17" t="n"/>
      <ns0:c r="M776" s="17" t="n"/>
      <ns0:c r="N776" s="17" t="n"/>
      <ns0:c r="O776" s="17" t="n"/>
      <ns0:c r="P776" s="17" t="n"/>
      <ns0:c r="Q776" s="17" t="n"/>
      <ns0:c r="R776" s="17" t="n"/>
      <ns0:c r="S776" s="17" t="n"/>
      <ns0:c r="T776" s="17" t="n"/>
      <ns0:c r="U776" s="17" t="n"/>
      <ns0:c r="V776" s="17" t="n"/>
      <ns0:c r="W776" s="17" t="n"/>
      <ns0:c r="X776" s="17" t="n"/>
      <ns0:c r="Y776" s="17" t="n"/>
      <ns0:c r="Z776" s="17" t="n"/>
      <ns0:c r="AA776" s="17" t="n"/>
      <ns0:c r="AB776" s="17" t="n"/>
      <ns0:c r="AC776" s="17" t="n"/>
      <ns0:c r="AD776" s="17" t="n"/>
      <ns0:c r="AE776" s="17" t="n"/>
      <ns0:c r="AF776" s="17" t="n"/>
      <ns0:c r="AG776" s="17" t="n"/>
    </ns0:row>
    <ns0:row r="777" ht="24" customHeight="1">
      <ns0:c r="D777" s="17" t="n"/>
      <ns0:c r="E777" s="17" t="n"/>
      <ns0:c r="F777" s="17" t="n"/>
      <ns0:c r="G777" s="17" t="n"/>
      <ns0:c r="H777" s="17" t="n"/>
      <ns0:c r="I777" s="17" t="n"/>
      <ns0:c r="J777" s="17" t="n"/>
      <ns0:c r="K777" s="17" t="n"/>
      <ns0:c r="L777" s="17" t="n"/>
      <ns0:c r="M777" s="17" t="n"/>
      <ns0:c r="N777" s="17" t="n"/>
      <ns0:c r="O777" s="17" t="n"/>
      <ns0:c r="P777" s="17" t="n"/>
      <ns0:c r="Q777" s="17" t="n"/>
      <ns0:c r="R777" s="17" t="n"/>
      <ns0:c r="S777" s="17" t="n"/>
      <ns0:c r="T777" s="17" t="n"/>
      <ns0:c r="U777" s="17" t="n"/>
      <ns0:c r="V777" s="17" t="n"/>
      <ns0:c r="W777" s="17" t="n"/>
      <ns0:c r="X777" s="17" t="n"/>
      <ns0:c r="Y777" s="17" t="n"/>
      <ns0:c r="Z777" s="17" t="n"/>
      <ns0:c r="AA777" s="17" t="n"/>
      <ns0:c r="AB777" s="17" t="n"/>
      <ns0:c r="AC777" s="17" t="n"/>
      <ns0:c r="AD777" s="17" t="n"/>
      <ns0:c r="AE777" s="17" t="n"/>
      <ns0:c r="AF777" s="17" t="n"/>
      <ns0:c r="AG777" s="17" t="n"/>
    </ns0:row>
    <ns0:row r="778" ht="24" customHeight="1">
      <ns0:c r="D778" s="17" t="n"/>
      <ns0:c r="E778" s="17" t="n"/>
      <ns0:c r="F778" s="17" t="n"/>
      <ns0:c r="G778" s="17" t="n"/>
      <ns0:c r="H778" s="17" t="n"/>
      <ns0:c r="I778" s="17" t="n"/>
      <ns0:c r="J778" s="17" t="n"/>
      <ns0:c r="K778" s="17" t="n"/>
      <ns0:c r="L778" s="17" t="n"/>
      <ns0:c r="M778" s="17" t="n"/>
      <ns0:c r="N778" s="17" t="n"/>
      <ns0:c r="O778" s="17" t="n"/>
      <ns0:c r="P778" s="17" t="n"/>
      <ns0:c r="Q778" s="17" t="n"/>
      <ns0:c r="R778" s="17" t="n"/>
      <ns0:c r="S778" s="17" t="n"/>
      <ns0:c r="T778" s="17" t="n"/>
      <ns0:c r="U778" s="17" t="n"/>
      <ns0:c r="V778" s="17" t="n"/>
      <ns0:c r="W778" s="17" t="n"/>
      <ns0:c r="X778" s="17" t="n"/>
      <ns0:c r="Y778" s="17" t="n"/>
      <ns0:c r="Z778" s="17" t="n"/>
      <ns0:c r="AA778" s="17" t="n"/>
      <ns0:c r="AB778" s="17" t="n"/>
      <ns0:c r="AC778" s="17" t="n"/>
      <ns0:c r="AD778" s="17" t="n"/>
      <ns0:c r="AE778" s="17" t="n"/>
      <ns0:c r="AF778" s="17" t="n"/>
      <ns0:c r="AG778" s="17" t="n"/>
    </ns0:row>
    <ns0:row r="779" ht="24" customHeight="1">
      <ns0:c r="D779" s="17" t="n"/>
      <ns0:c r="E779" s="17" t="n"/>
      <ns0:c r="F779" s="17" t="n"/>
      <ns0:c r="G779" s="17" t="n"/>
      <ns0:c r="H779" s="17" t="n"/>
      <ns0:c r="I779" s="17" t="n"/>
      <ns0:c r="J779" s="17" t="n"/>
      <ns0:c r="K779" s="17" t="n"/>
      <ns0:c r="L779" s="17" t="n"/>
      <ns0:c r="M779" s="17" t="n"/>
      <ns0:c r="N779" s="17" t="n"/>
      <ns0:c r="O779" s="17" t="n"/>
      <ns0:c r="P779" s="17" t="n"/>
      <ns0:c r="Q779" s="17" t="n"/>
      <ns0:c r="R779" s="17" t="n"/>
      <ns0:c r="S779" s="17" t="n"/>
      <ns0:c r="T779" s="17" t="n"/>
      <ns0:c r="U779" s="17" t="n"/>
      <ns0:c r="V779" s="17" t="n"/>
      <ns0:c r="W779" s="17" t="n"/>
      <ns0:c r="X779" s="17" t="n"/>
      <ns0:c r="Y779" s="17" t="n"/>
      <ns0:c r="Z779" s="17" t="n"/>
      <ns0:c r="AA779" s="17" t="n"/>
      <ns0:c r="AB779" s="17" t="n"/>
      <ns0:c r="AC779" s="17" t="n"/>
      <ns0:c r="AD779" s="17" t="n"/>
      <ns0:c r="AE779" s="17" t="n"/>
      <ns0:c r="AF779" s="17" t="n"/>
      <ns0:c r="AG779" s="17" t="n"/>
    </ns0:row>
    <ns0:row r="780" ht="24" customHeight="1">
      <ns0:c r="D780" s="17" t="n"/>
      <ns0:c r="E780" s="17" t="n"/>
      <ns0:c r="F780" s="17" t="n"/>
      <ns0:c r="G780" s="17" t="n"/>
      <ns0:c r="H780" s="17" t="n"/>
      <ns0:c r="I780" s="17" t="n"/>
      <ns0:c r="J780" s="17" t="n"/>
      <ns0:c r="K780" s="17" t="n"/>
      <ns0:c r="L780" s="17" t="n"/>
      <ns0:c r="M780" s="17" t="n"/>
      <ns0:c r="N780" s="17" t="n"/>
      <ns0:c r="O780" s="17" t="n"/>
      <ns0:c r="P780" s="17" t="n"/>
      <ns0:c r="Q780" s="17" t="n"/>
      <ns0:c r="R780" s="17" t="n"/>
      <ns0:c r="S780" s="17" t="n"/>
      <ns0:c r="T780" s="17" t="n"/>
      <ns0:c r="U780" s="17" t="n"/>
      <ns0:c r="V780" s="17" t="n"/>
      <ns0:c r="W780" s="17" t="n"/>
      <ns0:c r="X780" s="17" t="n"/>
      <ns0:c r="Y780" s="17" t="n"/>
      <ns0:c r="Z780" s="17" t="n"/>
      <ns0:c r="AA780" s="17" t="n"/>
      <ns0:c r="AB780" s="17" t="n"/>
      <ns0:c r="AC780" s="17" t="n"/>
      <ns0:c r="AD780" s="17" t="n"/>
      <ns0:c r="AE780" s="17" t="n"/>
      <ns0:c r="AF780" s="17" t="n"/>
      <ns0:c r="AG780" s="17" t="n"/>
    </ns0:row>
    <ns0:row r="781" ht="24" customHeight="1">
      <ns0:c r="D781" s="17" t="n"/>
      <ns0:c r="E781" s="17" t="n"/>
      <ns0:c r="F781" s="17" t="n"/>
      <ns0:c r="G781" s="17" t="n"/>
      <ns0:c r="H781" s="17" t="n"/>
      <ns0:c r="I781" s="17" t="n"/>
      <ns0:c r="J781" s="17" t="n"/>
      <ns0:c r="K781" s="17" t="n"/>
      <ns0:c r="L781" s="17" t="n"/>
      <ns0:c r="M781" s="17" t="n"/>
      <ns0:c r="N781" s="17" t="n"/>
      <ns0:c r="O781" s="17" t="n"/>
      <ns0:c r="P781" s="17" t="n"/>
      <ns0:c r="Q781" s="17" t="n"/>
      <ns0:c r="R781" s="17" t="n"/>
      <ns0:c r="S781" s="17" t="n"/>
      <ns0:c r="T781" s="17" t="n"/>
      <ns0:c r="U781" s="17" t="n"/>
      <ns0:c r="V781" s="17" t="n"/>
      <ns0:c r="W781" s="17" t="n"/>
      <ns0:c r="X781" s="17" t="n"/>
      <ns0:c r="Y781" s="17" t="n"/>
      <ns0:c r="Z781" s="17" t="n"/>
      <ns0:c r="AA781" s="17" t="n"/>
      <ns0:c r="AB781" s="17" t="n"/>
      <ns0:c r="AC781" s="17" t="n"/>
      <ns0:c r="AD781" s="17" t="n"/>
      <ns0:c r="AE781" s="17" t="n"/>
      <ns0:c r="AF781" s="17" t="n"/>
      <ns0:c r="AG781" s="17" t="n"/>
    </ns0:row>
    <ns0:row r="782" ht="24" customHeight="1">
      <ns0:c r="D782" s="17" t="n"/>
      <ns0:c r="E782" s="17" t="n"/>
      <ns0:c r="F782" s="17" t="n"/>
      <ns0:c r="G782" s="17" t="n"/>
      <ns0:c r="H782" s="17" t="n"/>
      <ns0:c r="I782" s="17" t="n"/>
      <ns0:c r="J782" s="17" t="n"/>
      <ns0:c r="K782" s="17" t="n"/>
      <ns0:c r="L782" s="17" t="n"/>
      <ns0:c r="M782" s="17" t="n"/>
      <ns0:c r="N782" s="17" t="n"/>
      <ns0:c r="O782" s="17" t="n"/>
      <ns0:c r="P782" s="17" t="n"/>
      <ns0:c r="Q782" s="17" t="n"/>
      <ns0:c r="R782" s="17" t="n"/>
      <ns0:c r="S782" s="17" t="n"/>
      <ns0:c r="T782" s="17" t="n"/>
      <ns0:c r="U782" s="17" t="n"/>
      <ns0:c r="V782" s="17" t="n"/>
      <ns0:c r="W782" s="17" t="n"/>
      <ns0:c r="X782" s="17" t="n"/>
      <ns0:c r="Y782" s="17" t="n"/>
      <ns0:c r="Z782" s="17" t="n"/>
      <ns0:c r="AA782" s="17" t="n"/>
      <ns0:c r="AB782" s="17" t="n"/>
      <ns0:c r="AC782" s="17" t="n"/>
      <ns0:c r="AD782" s="17" t="n"/>
      <ns0:c r="AE782" s="17" t="n"/>
      <ns0:c r="AF782" s="17" t="n"/>
      <ns0:c r="AG782" s="17" t="n"/>
    </ns0:row>
    <ns0:row r="783" ht="24" customHeight="1">
      <ns0:c r="D783" s="17" t="n"/>
      <ns0:c r="E783" s="17" t="n"/>
      <ns0:c r="F783" s="17" t="n"/>
      <ns0:c r="G783" s="17" t="n"/>
      <ns0:c r="H783" s="17" t="n"/>
      <ns0:c r="I783" s="17" t="n"/>
      <ns0:c r="J783" s="17" t="n"/>
      <ns0:c r="K783" s="17" t="n"/>
      <ns0:c r="L783" s="17" t="n"/>
      <ns0:c r="M783" s="17" t="n"/>
      <ns0:c r="N783" s="17" t="n"/>
      <ns0:c r="O783" s="17" t="n"/>
      <ns0:c r="P783" s="17" t="n"/>
      <ns0:c r="Q783" s="17" t="n"/>
      <ns0:c r="R783" s="17" t="n"/>
      <ns0:c r="S783" s="17" t="n"/>
      <ns0:c r="T783" s="17" t="n"/>
      <ns0:c r="U783" s="17" t="n"/>
      <ns0:c r="V783" s="17" t="n"/>
      <ns0:c r="W783" s="17" t="n"/>
      <ns0:c r="X783" s="17" t="n"/>
      <ns0:c r="Y783" s="17" t="n"/>
      <ns0:c r="Z783" s="17" t="n"/>
      <ns0:c r="AA783" s="17" t="n"/>
      <ns0:c r="AB783" s="17" t="n"/>
      <ns0:c r="AC783" s="17" t="n"/>
      <ns0:c r="AD783" s="17" t="n"/>
      <ns0:c r="AE783" s="17" t="n"/>
      <ns0:c r="AF783" s="17" t="n"/>
      <ns0:c r="AG783" s="17" t="n"/>
    </ns0:row>
    <ns0:row r="784" ht="24" customHeight="1">
      <ns0:c r="D784" s="17" t="n"/>
      <ns0:c r="E784" s="17" t="n"/>
      <ns0:c r="F784" s="17" t="n"/>
      <ns0:c r="G784" s="17" t="n"/>
      <ns0:c r="H784" s="17" t="n"/>
      <ns0:c r="I784" s="17" t="n"/>
      <ns0:c r="J784" s="17" t="n"/>
      <ns0:c r="K784" s="17" t="n"/>
      <ns0:c r="L784" s="17" t="n"/>
      <ns0:c r="M784" s="17" t="n"/>
      <ns0:c r="N784" s="17" t="n"/>
      <ns0:c r="O784" s="17" t="n"/>
      <ns0:c r="P784" s="17" t="n"/>
      <ns0:c r="Q784" s="17" t="n"/>
      <ns0:c r="R784" s="17" t="n"/>
      <ns0:c r="S784" s="17" t="n"/>
      <ns0:c r="T784" s="17" t="n"/>
      <ns0:c r="U784" s="17" t="n"/>
      <ns0:c r="V784" s="17" t="n"/>
      <ns0:c r="W784" s="17" t="n"/>
      <ns0:c r="X784" s="17" t="n"/>
      <ns0:c r="Y784" s="17" t="n"/>
      <ns0:c r="Z784" s="17" t="n"/>
      <ns0:c r="AA784" s="17" t="n"/>
      <ns0:c r="AB784" s="17" t="n"/>
      <ns0:c r="AC784" s="17" t="n"/>
      <ns0:c r="AD784" s="17" t="n"/>
      <ns0:c r="AE784" s="17" t="n"/>
      <ns0:c r="AF784" s="17" t="n"/>
      <ns0:c r="AG784" s="17" t="n"/>
    </ns0:row>
    <ns0:row r="785" ht="24" customHeight="1">
      <ns0:c r="D785" s="17" t="n"/>
      <ns0:c r="E785" s="17" t="n"/>
      <ns0:c r="F785" s="17" t="n"/>
      <ns0:c r="G785" s="17" t="n"/>
      <ns0:c r="H785" s="17" t="n"/>
      <ns0:c r="I785" s="17" t="n"/>
      <ns0:c r="J785" s="17" t="n"/>
      <ns0:c r="K785" s="17" t="n"/>
      <ns0:c r="L785" s="17" t="n"/>
      <ns0:c r="M785" s="17" t="n"/>
      <ns0:c r="N785" s="17" t="n"/>
      <ns0:c r="O785" s="17" t="n"/>
      <ns0:c r="P785" s="17" t="n"/>
      <ns0:c r="Q785" s="17" t="n"/>
      <ns0:c r="R785" s="17" t="n"/>
      <ns0:c r="S785" s="17" t="n"/>
      <ns0:c r="T785" s="17" t="n"/>
      <ns0:c r="U785" s="17" t="n"/>
      <ns0:c r="V785" s="17" t="n"/>
      <ns0:c r="W785" s="17" t="n"/>
      <ns0:c r="X785" s="17" t="n"/>
      <ns0:c r="Y785" s="17" t="n"/>
      <ns0:c r="Z785" s="17" t="n"/>
      <ns0:c r="AA785" s="17" t="n"/>
      <ns0:c r="AB785" s="17" t="n"/>
      <ns0:c r="AC785" s="17" t="n"/>
      <ns0:c r="AD785" s="17" t="n"/>
      <ns0:c r="AE785" s="17" t="n"/>
      <ns0:c r="AF785" s="17" t="n"/>
      <ns0:c r="AG785" s="17" t="n"/>
    </ns0:row>
    <ns0:row r="786" ht="24" customHeight="1">
      <ns0:c r="D786" s="17" t="n"/>
      <ns0:c r="E786" s="17" t="n"/>
      <ns0:c r="F786" s="17" t="n"/>
      <ns0:c r="G786" s="17" t="n"/>
      <ns0:c r="H786" s="17" t="n"/>
      <ns0:c r="I786" s="17" t="n"/>
      <ns0:c r="J786" s="17" t="n"/>
      <ns0:c r="K786" s="17" t="n"/>
      <ns0:c r="L786" s="17" t="n"/>
      <ns0:c r="M786" s="17" t="n"/>
      <ns0:c r="N786" s="17" t="n"/>
      <ns0:c r="O786" s="17" t="n"/>
      <ns0:c r="P786" s="17" t="n"/>
      <ns0:c r="Q786" s="17" t="n"/>
      <ns0:c r="R786" s="17" t="n"/>
      <ns0:c r="S786" s="17" t="n"/>
      <ns0:c r="T786" s="17" t="n"/>
      <ns0:c r="U786" s="17" t="n"/>
      <ns0:c r="V786" s="17" t="n"/>
      <ns0:c r="W786" s="17" t="n"/>
      <ns0:c r="X786" s="17" t="n"/>
      <ns0:c r="Y786" s="17" t="n"/>
      <ns0:c r="Z786" s="17" t="n"/>
      <ns0:c r="AA786" s="17" t="n"/>
      <ns0:c r="AB786" s="17" t="n"/>
      <ns0:c r="AC786" s="17" t="n"/>
      <ns0:c r="AD786" s="17" t="n"/>
      <ns0:c r="AE786" s="17" t="n"/>
      <ns0:c r="AF786" s="17" t="n"/>
      <ns0:c r="AG786" s="17" t="n"/>
    </ns0:row>
    <ns0:row r="787" ht="24" customHeight="1">
      <ns0:c r="D787" s="17" t="n"/>
      <ns0:c r="E787" s="17" t="n"/>
      <ns0:c r="F787" s="17" t="n"/>
      <ns0:c r="G787" s="17" t="n"/>
      <ns0:c r="H787" s="17" t="n"/>
      <ns0:c r="I787" s="17" t="n"/>
      <ns0:c r="J787" s="17" t="n"/>
      <ns0:c r="K787" s="17" t="n"/>
      <ns0:c r="L787" s="17" t="n"/>
      <ns0:c r="M787" s="17" t="n"/>
      <ns0:c r="N787" s="17" t="n"/>
      <ns0:c r="O787" s="17" t="n"/>
      <ns0:c r="P787" s="17" t="n"/>
      <ns0:c r="Q787" s="17" t="n"/>
      <ns0:c r="R787" s="17" t="n"/>
      <ns0:c r="S787" s="17" t="n"/>
      <ns0:c r="T787" s="17" t="n"/>
      <ns0:c r="U787" s="17" t="n"/>
      <ns0:c r="V787" s="17" t="n"/>
      <ns0:c r="W787" s="17" t="n"/>
      <ns0:c r="X787" s="17" t="n"/>
      <ns0:c r="Y787" s="17" t="n"/>
      <ns0:c r="Z787" s="17" t="n"/>
      <ns0:c r="AA787" s="17" t="n"/>
      <ns0:c r="AB787" s="17" t="n"/>
      <ns0:c r="AC787" s="17" t="n"/>
      <ns0:c r="AD787" s="17" t="n"/>
      <ns0:c r="AE787" s="17" t="n"/>
      <ns0:c r="AF787" s="17" t="n"/>
      <ns0:c r="AG787" s="17" t="n"/>
    </ns0:row>
    <ns0:row r="788" ht="24" customHeight="1">
      <ns0:c r="D788" s="17" t="n"/>
      <ns0:c r="E788" s="17" t="n"/>
      <ns0:c r="F788" s="17" t="n"/>
      <ns0:c r="G788" s="17" t="n"/>
      <ns0:c r="H788" s="17" t="n"/>
      <ns0:c r="I788" s="17" t="n"/>
      <ns0:c r="J788" s="17" t="n"/>
      <ns0:c r="K788" s="17" t="n"/>
      <ns0:c r="L788" s="17" t="n"/>
      <ns0:c r="M788" s="17" t="n"/>
      <ns0:c r="N788" s="17" t="n"/>
      <ns0:c r="O788" s="17" t="n"/>
      <ns0:c r="P788" s="17" t="n"/>
      <ns0:c r="Q788" s="17" t="n"/>
      <ns0:c r="R788" s="17" t="n"/>
      <ns0:c r="S788" s="17" t="n"/>
      <ns0:c r="T788" s="17" t="n"/>
      <ns0:c r="U788" s="17" t="n"/>
      <ns0:c r="V788" s="17" t="n"/>
      <ns0:c r="W788" s="17" t="n"/>
      <ns0:c r="X788" s="17" t="n"/>
      <ns0:c r="Y788" s="17" t="n"/>
      <ns0:c r="Z788" s="17" t="n"/>
      <ns0:c r="AA788" s="17" t="n"/>
      <ns0:c r="AB788" s="17" t="n"/>
      <ns0:c r="AC788" s="17" t="n"/>
      <ns0:c r="AD788" s="17" t="n"/>
      <ns0:c r="AE788" s="17" t="n"/>
      <ns0:c r="AF788" s="17" t="n"/>
      <ns0:c r="AG788" s="17" t="n"/>
    </ns0:row>
    <ns0:row r="789" ht="24" customHeight="1">
      <ns0:c r="D789" s="17" t="n"/>
      <ns0:c r="E789" s="17" t="n"/>
      <ns0:c r="F789" s="17" t="n"/>
      <ns0:c r="G789" s="17" t="n"/>
      <ns0:c r="H789" s="17" t="n"/>
      <ns0:c r="I789" s="17" t="n"/>
      <ns0:c r="J789" s="17" t="n"/>
      <ns0:c r="K789" s="17" t="n"/>
      <ns0:c r="L789" s="17" t="n"/>
      <ns0:c r="M789" s="17" t="n"/>
      <ns0:c r="N789" s="17" t="n"/>
      <ns0:c r="O789" s="17" t="n"/>
      <ns0:c r="P789" s="17" t="n"/>
      <ns0:c r="Q789" s="17" t="n"/>
      <ns0:c r="R789" s="17" t="n"/>
      <ns0:c r="S789" s="17" t="n"/>
      <ns0:c r="T789" s="17" t="n"/>
      <ns0:c r="U789" s="17" t="n"/>
      <ns0:c r="V789" s="17" t="n"/>
      <ns0:c r="W789" s="17" t="n"/>
      <ns0:c r="X789" s="17" t="n"/>
      <ns0:c r="Y789" s="17" t="n"/>
      <ns0:c r="Z789" s="17" t="n"/>
      <ns0:c r="AA789" s="17" t="n"/>
      <ns0:c r="AB789" s="17" t="n"/>
      <ns0:c r="AC789" s="17" t="n"/>
      <ns0:c r="AD789" s="17" t="n"/>
      <ns0:c r="AE789" s="17" t="n"/>
      <ns0:c r="AF789" s="17" t="n"/>
      <ns0:c r="AG789" s="17" t="n"/>
    </ns0:row>
    <ns0:row r="790" ht="24" customHeight="1">
      <ns0:c r="D790" s="17" t="n"/>
      <ns0:c r="E790" s="17" t="n"/>
      <ns0:c r="F790" s="17" t="n"/>
      <ns0:c r="G790" s="17" t="n"/>
      <ns0:c r="H790" s="17" t="n"/>
      <ns0:c r="I790" s="17" t="n"/>
      <ns0:c r="J790" s="17" t="n"/>
      <ns0:c r="K790" s="17" t="n"/>
      <ns0:c r="L790" s="17" t="n"/>
      <ns0:c r="M790" s="17" t="n"/>
      <ns0:c r="N790" s="17" t="n"/>
      <ns0:c r="O790" s="17" t="n"/>
      <ns0:c r="P790" s="17" t="n"/>
      <ns0:c r="Q790" s="17" t="n"/>
      <ns0:c r="R790" s="17" t="n"/>
      <ns0:c r="S790" s="17" t="n"/>
      <ns0:c r="T790" s="17" t="n"/>
      <ns0:c r="U790" s="17" t="n"/>
      <ns0:c r="V790" s="17" t="n"/>
      <ns0:c r="W790" s="17" t="n"/>
      <ns0:c r="X790" s="17" t="n"/>
      <ns0:c r="Y790" s="17" t="n"/>
      <ns0:c r="Z790" s="17" t="n"/>
      <ns0:c r="AA790" s="17" t="n"/>
      <ns0:c r="AB790" s="17" t="n"/>
      <ns0:c r="AC790" s="17" t="n"/>
      <ns0:c r="AD790" s="17" t="n"/>
      <ns0:c r="AE790" s="17" t="n"/>
      <ns0:c r="AF790" s="17" t="n"/>
      <ns0:c r="AG790" s="17" t="n"/>
    </ns0:row>
    <ns0:row r="791" ht="24" customHeight="1">
      <ns0:c r="D791" s="17" t="n"/>
      <ns0:c r="E791" s="17" t="n"/>
      <ns0:c r="F791" s="17" t="n"/>
      <ns0:c r="G791" s="17" t="n"/>
      <ns0:c r="H791" s="17" t="n"/>
      <ns0:c r="I791" s="17" t="n"/>
      <ns0:c r="J791" s="17" t="n"/>
      <ns0:c r="K791" s="17" t="n"/>
      <ns0:c r="L791" s="17" t="n"/>
      <ns0:c r="M791" s="17" t="n"/>
      <ns0:c r="N791" s="17" t="n"/>
      <ns0:c r="O791" s="17" t="n"/>
      <ns0:c r="P791" s="17" t="n"/>
      <ns0:c r="Q791" s="17" t="n"/>
      <ns0:c r="R791" s="17" t="n"/>
      <ns0:c r="S791" s="17" t="n"/>
      <ns0:c r="T791" s="17" t="n"/>
      <ns0:c r="U791" s="17" t="n"/>
      <ns0:c r="V791" s="17" t="n"/>
      <ns0:c r="W791" s="17" t="n"/>
      <ns0:c r="X791" s="17" t="n"/>
      <ns0:c r="Y791" s="17" t="n"/>
      <ns0:c r="Z791" s="17" t="n"/>
      <ns0:c r="AA791" s="17" t="n"/>
      <ns0:c r="AB791" s="17" t="n"/>
      <ns0:c r="AC791" s="17" t="n"/>
      <ns0:c r="AD791" s="17" t="n"/>
      <ns0:c r="AE791" s="17" t="n"/>
      <ns0:c r="AF791" s="17" t="n"/>
      <ns0:c r="AG791" s="17" t="n"/>
    </ns0:row>
    <ns0:row r="792" ht="24" customHeight="1">
      <ns0:c r="D792" s="17" t="n"/>
      <ns0:c r="E792" s="17" t="n"/>
      <ns0:c r="F792" s="17" t="n"/>
      <ns0:c r="G792" s="17" t="n"/>
      <ns0:c r="H792" s="17" t="n"/>
      <ns0:c r="I792" s="17" t="n"/>
      <ns0:c r="J792" s="17" t="n"/>
      <ns0:c r="K792" s="17" t="n"/>
      <ns0:c r="L792" s="17" t="n"/>
      <ns0:c r="M792" s="17" t="n"/>
      <ns0:c r="N792" s="17" t="n"/>
      <ns0:c r="O792" s="17" t="n"/>
      <ns0:c r="P792" s="17" t="n"/>
      <ns0:c r="Q792" s="17" t="n"/>
      <ns0:c r="R792" s="17" t="n"/>
      <ns0:c r="S792" s="17" t="n"/>
      <ns0:c r="T792" s="17" t="n"/>
      <ns0:c r="U792" s="17" t="n"/>
      <ns0:c r="V792" s="17" t="n"/>
      <ns0:c r="W792" s="17" t="n"/>
      <ns0:c r="X792" s="17" t="n"/>
      <ns0:c r="Y792" s="17" t="n"/>
      <ns0:c r="Z792" s="17" t="n"/>
      <ns0:c r="AA792" s="17" t="n"/>
      <ns0:c r="AB792" s="17" t="n"/>
      <ns0:c r="AC792" s="17" t="n"/>
      <ns0:c r="AD792" s="17" t="n"/>
      <ns0:c r="AE792" s="17" t="n"/>
      <ns0:c r="AF792" s="17" t="n"/>
      <ns0:c r="AG792" s="17" t="n"/>
    </ns0:row>
    <ns0:row r="793" ht="24" customHeight="1">
      <ns0:c r="D793" s="17" t="n"/>
      <ns0:c r="E793" s="17" t="n"/>
      <ns0:c r="F793" s="17" t="n"/>
      <ns0:c r="G793" s="17" t="n"/>
      <ns0:c r="H793" s="17" t="n"/>
      <ns0:c r="I793" s="17" t="n"/>
      <ns0:c r="J793" s="17" t="n"/>
      <ns0:c r="K793" s="17" t="n"/>
      <ns0:c r="L793" s="17" t="n"/>
      <ns0:c r="M793" s="17" t="n"/>
      <ns0:c r="N793" s="17" t="n"/>
      <ns0:c r="O793" s="17" t="n"/>
      <ns0:c r="P793" s="17" t="n"/>
      <ns0:c r="Q793" s="17" t="n"/>
      <ns0:c r="R793" s="17" t="n"/>
      <ns0:c r="S793" s="17" t="n"/>
      <ns0:c r="T793" s="17" t="n"/>
      <ns0:c r="U793" s="17" t="n"/>
      <ns0:c r="V793" s="17" t="n"/>
      <ns0:c r="W793" s="17" t="n"/>
      <ns0:c r="X793" s="17" t="n"/>
      <ns0:c r="Y793" s="17" t="n"/>
      <ns0:c r="Z793" s="17" t="n"/>
      <ns0:c r="AA793" s="17" t="n"/>
      <ns0:c r="AB793" s="17" t="n"/>
      <ns0:c r="AC793" s="17" t="n"/>
      <ns0:c r="AD793" s="17" t="n"/>
      <ns0:c r="AE793" s="17" t="n"/>
      <ns0:c r="AF793" s="17" t="n"/>
      <ns0:c r="AG793" s="17" t="n"/>
    </ns0:row>
    <ns0:row r="794" ht="24" customHeight="1">
      <ns0:c r="D794" s="17" t="n"/>
      <ns0:c r="E794" s="17" t="n"/>
      <ns0:c r="F794" s="17" t="n"/>
      <ns0:c r="G794" s="17" t="n"/>
      <ns0:c r="H794" s="17" t="n"/>
      <ns0:c r="I794" s="17" t="n"/>
      <ns0:c r="J794" s="17" t="n"/>
      <ns0:c r="K794" s="17" t="n"/>
      <ns0:c r="L794" s="17" t="n"/>
      <ns0:c r="M794" s="17" t="n"/>
      <ns0:c r="N794" s="17" t="n"/>
      <ns0:c r="O794" s="17" t="n"/>
      <ns0:c r="P794" s="17" t="n"/>
      <ns0:c r="Q794" s="17" t="n"/>
      <ns0:c r="R794" s="17" t="n"/>
      <ns0:c r="S794" s="17" t="n"/>
      <ns0:c r="T794" s="17" t="n"/>
      <ns0:c r="U794" s="17" t="n"/>
      <ns0:c r="V794" s="17" t="n"/>
      <ns0:c r="W794" s="17" t="n"/>
      <ns0:c r="X794" s="17" t="n"/>
      <ns0:c r="Y794" s="17" t="n"/>
      <ns0:c r="Z794" s="17" t="n"/>
      <ns0:c r="AA794" s="17" t="n"/>
      <ns0:c r="AB794" s="17" t="n"/>
      <ns0:c r="AC794" s="17" t="n"/>
      <ns0:c r="AD794" s="17" t="n"/>
      <ns0:c r="AE794" s="17" t="n"/>
      <ns0:c r="AF794" s="17" t="n"/>
      <ns0:c r="AG794" s="17" t="n"/>
    </ns0:row>
    <ns0:row r="795" ht="24" customHeight="1">
      <ns0:c r="D795" s="17" t="n"/>
      <ns0:c r="E795" s="17" t="n"/>
      <ns0:c r="F795" s="17" t="n"/>
      <ns0:c r="G795" s="17" t="n"/>
      <ns0:c r="H795" s="17" t="n"/>
      <ns0:c r="I795" s="17" t="n"/>
      <ns0:c r="J795" s="17" t="n"/>
      <ns0:c r="K795" s="17" t="n"/>
      <ns0:c r="L795" s="17" t="n"/>
      <ns0:c r="M795" s="17" t="n"/>
      <ns0:c r="N795" s="17" t="n"/>
      <ns0:c r="O795" s="17" t="n"/>
      <ns0:c r="P795" s="17" t="n"/>
      <ns0:c r="Q795" s="17" t="n"/>
      <ns0:c r="R795" s="17" t="n"/>
      <ns0:c r="S795" s="17" t="n"/>
      <ns0:c r="T795" s="17" t="n"/>
      <ns0:c r="U795" s="17" t="n"/>
      <ns0:c r="V795" s="17" t="n"/>
      <ns0:c r="W795" s="17" t="n"/>
      <ns0:c r="X795" s="17" t="n"/>
      <ns0:c r="Y795" s="17" t="n"/>
      <ns0:c r="Z795" s="17" t="n"/>
      <ns0:c r="AA795" s="17" t="n"/>
      <ns0:c r="AB795" s="17" t="n"/>
      <ns0:c r="AC795" s="17" t="n"/>
      <ns0:c r="AD795" s="17" t="n"/>
      <ns0:c r="AE795" s="17" t="n"/>
      <ns0:c r="AF795" s="17" t="n"/>
      <ns0:c r="AG795" s="17" t="n"/>
    </ns0:row>
    <ns0:row r="796" ht="24" customHeight="1">
      <ns0:c r="D796" s="17" t="n"/>
      <ns0:c r="E796" s="17" t="n"/>
      <ns0:c r="F796" s="17" t="n"/>
      <ns0:c r="G796" s="17" t="n"/>
      <ns0:c r="H796" s="17" t="n"/>
      <ns0:c r="I796" s="17" t="n"/>
      <ns0:c r="J796" s="17" t="n"/>
      <ns0:c r="K796" s="17" t="n"/>
      <ns0:c r="L796" s="17" t="n"/>
      <ns0:c r="M796" s="17" t="n"/>
      <ns0:c r="N796" s="17" t="n"/>
      <ns0:c r="O796" s="17" t="n"/>
      <ns0:c r="P796" s="17" t="n"/>
      <ns0:c r="Q796" s="17" t="n"/>
      <ns0:c r="R796" s="17" t="n"/>
      <ns0:c r="S796" s="17" t="n"/>
      <ns0:c r="T796" s="17" t="n"/>
      <ns0:c r="U796" s="17" t="n"/>
      <ns0:c r="V796" s="17" t="n"/>
      <ns0:c r="W796" s="17" t="n"/>
      <ns0:c r="X796" s="17" t="n"/>
      <ns0:c r="Y796" s="17" t="n"/>
      <ns0:c r="Z796" s="17" t="n"/>
      <ns0:c r="AA796" s="17" t="n"/>
      <ns0:c r="AB796" s="17" t="n"/>
      <ns0:c r="AC796" s="17" t="n"/>
      <ns0:c r="AD796" s="17" t="n"/>
      <ns0:c r="AE796" s="17" t="n"/>
      <ns0:c r="AF796" s="17" t="n"/>
      <ns0:c r="AG796" s="17" t="n"/>
    </ns0:row>
    <ns0:row r="797" ht="24" customHeight="1">
      <ns0:c r="D797" s="17" t="n"/>
      <ns0:c r="E797" s="17" t="n"/>
      <ns0:c r="F797" s="17" t="n"/>
      <ns0:c r="G797" s="17" t="n"/>
      <ns0:c r="H797" s="17" t="n"/>
      <ns0:c r="I797" s="17" t="n"/>
      <ns0:c r="J797" s="17" t="n"/>
      <ns0:c r="K797" s="17" t="n"/>
      <ns0:c r="L797" s="17" t="n"/>
      <ns0:c r="M797" s="17" t="n"/>
      <ns0:c r="N797" s="17" t="n"/>
      <ns0:c r="O797" s="17" t="n"/>
      <ns0:c r="P797" s="17" t="n"/>
      <ns0:c r="Q797" s="17" t="n"/>
      <ns0:c r="R797" s="17" t="n"/>
      <ns0:c r="S797" s="17" t="n"/>
      <ns0:c r="T797" s="17" t="n"/>
      <ns0:c r="U797" s="17" t="n"/>
      <ns0:c r="V797" s="17" t="n"/>
      <ns0:c r="W797" s="17" t="n"/>
      <ns0:c r="X797" s="17" t="n"/>
      <ns0:c r="Y797" s="17" t="n"/>
      <ns0:c r="Z797" s="17" t="n"/>
      <ns0:c r="AA797" s="17" t="n"/>
      <ns0:c r="AB797" s="17" t="n"/>
      <ns0:c r="AC797" s="17" t="n"/>
      <ns0:c r="AD797" s="17" t="n"/>
      <ns0:c r="AE797" s="17" t="n"/>
      <ns0:c r="AF797" s="17" t="n"/>
      <ns0:c r="AG797" s="17" t="n"/>
    </ns0:row>
    <ns0:row r="798" ht="24" customHeight="1">
      <ns0:c r="D798" s="17" t="n"/>
      <ns0:c r="E798" s="17" t="n"/>
      <ns0:c r="F798" s="17" t="n"/>
      <ns0:c r="G798" s="17" t="n"/>
      <ns0:c r="H798" s="17" t="n"/>
      <ns0:c r="I798" s="17" t="n"/>
      <ns0:c r="J798" s="17" t="n"/>
      <ns0:c r="K798" s="17" t="n"/>
      <ns0:c r="L798" s="17" t="n"/>
      <ns0:c r="M798" s="17" t="n"/>
      <ns0:c r="N798" s="17" t="n"/>
      <ns0:c r="O798" s="17" t="n"/>
      <ns0:c r="P798" s="17" t="n"/>
      <ns0:c r="Q798" s="17" t="n"/>
      <ns0:c r="R798" s="17" t="n"/>
      <ns0:c r="S798" s="17" t="n"/>
      <ns0:c r="T798" s="17" t="n"/>
      <ns0:c r="U798" s="17" t="n"/>
      <ns0:c r="V798" s="17" t="n"/>
      <ns0:c r="W798" s="17" t="n"/>
      <ns0:c r="X798" s="17" t="n"/>
      <ns0:c r="Y798" s="17" t="n"/>
      <ns0:c r="Z798" s="17" t="n"/>
      <ns0:c r="AA798" s="17" t="n"/>
      <ns0:c r="AB798" s="17" t="n"/>
      <ns0:c r="AC798" s="17" t="n"/>
      <ns0:c r="AD798" s="17" t="n"/>
      <ns0:c r="AE798" s="17" t="n"/>
      <ns0:c r="AF798" s="17" t="n"/>
      <ns0:c r="AG798" s="17" t="n"/>
    </ns0:row>
    <ns0:row r="799" ht="24" customHeight="1">
      <ns0:c r="D799" s="17" t="n"/>
      <ns0:c r="E799" s="17" t="n"/>
      <ns0:c r="F799" s="17" t="n"/>
      <ns0:c r="G799" s="17" t="n"/>
      <ns0:c r="H799" s="17" t="n"/>
      <ns0:c r="I799" s="17" t="n"/>
      <ns0:c r="J799" s="17" t="n"/>
      <ns0:c r="K799" s="17" t="n"/>
      <ns0:c r="L799" s="17" t="n"/>
      <ns0:c r="M799" s="17" t="n"/>
      <ns0:c r="N799" s="17" t="n"/>
      <ns0:c r="O799" s="17" t="n"/>
      <ns0:c r="P799" s="17" t="n"/>
      <ns0:c r="Q799" s="17" t="n"/>
      <ns0:c r="R799" s="17" t="n"/>
      <ns0:c r="S799" s="17" t="n"/>
      <ns0:c r="T799" s="17" t="n"/>
      <ns0:c r="U799" s="17" t="n"/>
      <ns0:c r="V799" s="17" t="n"/>
      <ns0:c r="W799" s="17" t="n"/>
      <ns0:c r="X799" s="17" t="n"/>
      <ns0:c r="Y799" s="17" t="n"/>
      <ns0:c r="Z799" s="17" t="n"/>
      <ns0:c r="AA799" s="17" t="n"/>
      <ns0:c r="AB799" s="17" t="n"/>
      <ns0:c r="AC799" s="17" t="n"/>
      <ns0:c r="AD799" s="17" t="n"/>
      <ns0:c r="AE799" s="17" t="n"/>
      <ns0:c r="AF799" s="17" t="n"/>
      <ns0:c r="AG799" s="17" t="n"/>
    </ns0:row>
    <ns0:row r="800" ht="24" customHeight="1">
      <ns0:c r="D800" s="17" t="n"/>
      <ns0:c r="E800" s="17" t="n"/>
      <ns0:c r="F800" s="17" t="n"/>
      <ns0:c r="G800" s="17" t="n"/>
      <ns0:c r="H800" s="17" t="n"/>
      <ns0:c r="I800" s="17" t="n"/>
      <ns0:c r="J800" s="17" t="n"/>
      <ns0:c r="K800" s="17" t="n"/>
      <ns0:c r="L800" s="17" t="n"/>
      <ns0:c r="M800" s="17" t="n"/>
      <ns0:c r="N800" s="17" t="n"/>
      <ns0:c r="O800" s="17" t="n"/>
      <ns0:c r="P800" s="17" t="n"/>
      <ns0:c r="Q800" s="17" t="n"/>
      <ns0:c r="R800" s="17" t="n"/>
      <ns0:c r="S800" s="17" t="n"/>
      <ns0:c r="T800" s="17" t="n"/>
      <ns0:c r="U800" s="17" t="n"/>
      <ns0:c r="V800" s="17" t="n"/>
      <ns0:c r="W800" s="17" t="n"/>
      <ns0:c r="X800" s="17" t="n"/>
      <ns0:c r="Y800" s="17" t="n"/>
      <ns0:c r="Z800" s="17" t="n"/>
      <ns0:c r="AA800" s="17" t="n"/>
      <ns0:c r="AB800" s="17" t="n"/>
      <ns0:c r="AC800" s="17" t="n"/>
      <ns0:c r="AD800" s="17" t="n"/>
      <ns0:c r="AE800" s="17" t="n"/>
      <ns0:c r="AF800" s="17" t="n"/>
      <ns0:c r="AG800" s="17" t="n"/>
    </ns0:row>
    <ns0:row r="801" ht="24" customHeight="1">
      <ns0:c r="D801" s="17" t="n"/>
      <ns0:c r="E801" s="17" t="n"/>
      <ns0:c r="F801" s="17" t="n"/>
      <ns0:c r="G801" s="17" t="n"/>
      <ns0:c r="H801" s="17" t="n"/>
      <ns0:c r="I801" s="17" t="n"/>
      <ns0:c r="J801" s="17" t="n"/>
      <ns0:c r="K801" s="17" t="n"/>
      <ns0:c r="L801" s="17" t="n"/>
      <ns0:c r="M801" s="17" t="n"/>
      <ns0:c r="N801" s="17" t="n"/>
      <ns0:c r="O801" s="17" t="n"/>
      <ns0:c r="P801" s="17" t="n"/>
      <ns0:c r="Q801" s="17" t="n"/>
      <ns0:c r="R801" s="17" t="n"/>
      <ns0:c r="S801" s="17" t="n"/>
      <ns0:c r="T801" s="17" t="n"/>
      <ns0:c r="U801" s="17" t="n"/>
      <ns0:c r="V801" s="17" t="n"/>
      <ns0:c r="W801" s="17" t="n"/>
      <ns0:c r="X801" s="17" t="n"/>
      <ns0:c r="Y801" s="17" t="n"/>
      <ns0:c r="Z801" s="17" t="n"/>
      <ns0:c r="AA801" s="17" t="n"/>
      <ns0:c r="AB801" s="17" t="n"/>
      <ns0:c r="AC801" s="17" t="n"/>
      <ns0:c r="AD801" s="17" t="n"/>
      <ns0:c r="AE801" s="17" t="n"/>
      <ns0:c r="AF801" s="17" t="n"/>
      <ns0:c r="AG801" s="17" t="n"/>
    </ns0:row>
    <ns0:row r="802" ht="24" customHeight="1">
      <ns0:c r="D802" s="17" t="n"/>
      <ns0:c r="E802" s="17" t="n"/>
      <ns0:c r="F802" s="17" t="n"/>
      <ns0:c r="G802" s="17" t="n"/>
      <ns0:c r="H802" s="17" t="n"/>
      <ns0:c r="I802" s="17" t="n"/>
      <ns0:c r="J802" s="17" t="n"/>
      <ns0:c r="K802" s="17" t="n"/>
      <ns0:c r="L802" s="17" t="n"/>
      <ns0:c r="M802" s="17" t="n"/>
      <ns0:c r="N802" s="17" t="n"/>
      <ns0:c r="O802" s="17" t="n"/>
      <ns0:c r="P802" s="17" t="n"/>
      <ns0:c r="Q802" s="17" t="n"/>
      <ns0:c r="R802" s="17" t="n"/>
      <ns0:c r="S802" s="17" t="n"/>
      <ns0:c r="T802" s="17" t="n"/>
      <ns0:c r="U802" s="17" t="n"/>
      <ns0:c r="V802" s="17" t="n"/>
      <ns0:c r="W802" s="17" t="n"/>
      <ns0:c r="X802" s="17" t="n"/>
      <ns0:c r="Y802" s="17" t="n"/>
      <ns0:c r="Z802" s="17" t="n"/>
      <ns0:c r="AA802" s="17" t="n"/>
      <ns0:c r="AB802" s="17" t="n"/>
      <ns0:c r="AC802" s="17" t="n"/>
      <ns0:c r="AD802" s="17" t="n"/>
      <ns0:c r="AE802" s="17" t="n"/>
      <ns0:c r="AF802" s="17" t="n"/>
      <ns0:c r="AG802" s="17" t="n"/>
    </ns0:row>
    <ns0:row r="803" ht="24" customHeight="1">
      <ns0:c r="D803" s="17" t="n"/>
      <ns0:c r="E803" s="17" t="n"/>
      <ns0:c r="F803" s="17" t="n"/>
      <ns0:c r="G803" s="17" t="n"/>
      <ns0:c r="H803" s="17" t="n"/>
      <ns0:c r="I803" s="17" t="n"/>
      <ns0:c r="J803" s="17" t="n"/>
      <ns0:c r="K803" s="17" t="n"/>
      <ns0:c r="L803" s="17" t="n"/>
      <ns0:c r="M803" s="17" t="n"/>
      <ns0:c r="N803" s="17" t="n"/>
      <ns0:c r="O803" s="17" t="n"/>
      <ns0:c r="P803" s="17" t="n"/>
      <ns0:c r="Q803" s="17" t="n"/>
      <ns0:c r="R803" s="17" t="n"/>
      <ns0:c r="S803" s="17" t="n"/>
      <ns0:c r="T803" s="17" t="n"/>
      <ns0:c r="U803" s="17" t="n"/>
      <ns0:c r="V803" s="17" t="n"/>
      <ns0:c r="W803" s="17" t="n"/>
      <ns0:c r="X803" s="17" t="n"/>
      <ns0:c r="Y803" s="17" t="n"/>
      <ns0:c r="Z803" s="17" t="n"/>
      <ns0:c r="AA803" s="17" t="n"/>
      <ns0:c r="AB803" s="17" t="n"/>
      <ns0:c r="AC803" s="17" t="n"/>
      <ns0:c r="AD803" s="17" t="n"/>
      <ns0:c r="AE803" s="17" t="n"/>
      <ns0:c r="AF803" s="17" t="n"/>
      <ns0:c r="AG803" s="17" t="n"/>
    </ns0:row>
    <ns0:row r="804" ht="24" customHeight="1">
      <ns0:c r="D804" s="17" t="n"/>
      <ns0:c r="E804" s="17" t="n"/>
      <ns0:c r="F804" s="17" t="n"/>
      <ns0:c r="G804" s="17" t="n"/>
      <ns0:c r="H804" s="17" t="n"/>
      <ns0:c r="I804" s="17" t="n"/>
      <ns0:c r="J804" s="17" t="n"/>
      <ns0:c r="K804" s="17" t="n"/>
      <ns0:c r="L804" s="17" t="n"/>
      <ns0:c r="M804" s="17" t="n"/>
      <ns0:c r="N804" s="17" t="n"/>
      <ns0:c r="O804" s="17" t="n"/>
      <ns0:c r="P804" s="17" t="n"/>
      <ns0:c r="Q804" s="17" t="n"/>
      <ns0:c r="R804" s="17" t="n"/>
      <ns0:c r="S804" s="17" t="n"/>
      <ns0:c r="T804" s="17" t="n"/>
      <ns0:c r="U804" s="17" t="n"/>
      <ns0:c r="V804" s="17" t="n"/>
      <ns0:c r="W804" s="17" t="n"/>
      <ns0:c r="X804" s="17" t="n"/>
      <ns0:c r="Y804" s="17" t="n"/>
      <ns0:c r="Z804" s="17" t="n"/>
      <ns0:c r="AA804" s="17" t="n"/>
      <ns0:c r="AB804" s="17" t="n"/>
      <ns0:c r="AC804" s="17" t="n"/>
      <ns0:c r="AD804" s="17" t="n"/>
      <ns0:c r="AE804" s="17" t="n"/>
      <ns0:c r="AF804" s="17" t="n"/>
      <ns0:c r="AG804" s="17" t="n"/>
    </ns0:row>
    <ns0:row r="805" ht="24" customHeight="1">
      <ns0:c r="D805" s="17" t="n"/>
      <ns0:c r="E805" s="17" t="n"/>
      <ns0:c r="F805" s="17" t="n"/>
      <ns0:c r="G805" s="17" t="n"/>
      <ns0:c r="H805" s="17" t="n"/>
      <ns0:c r="I805" s="17" t="n"/>
      <ns0:c r="J805" s="17" t="n"/>
      <ns0:c r="K805" s="17" t="n"/>
      <ns0:c r="L805" s="17" t="n"/>
      <ns0:c r="M805" s="17" t="n"/>
      <ns0:c r="N805" s="17" t="n"/>
      <ns0:c r="O805" s="17" t="n"/>
      <ns0:c r="P805" s="17" t="n"/>
      <ns0:c r="Q805" s="17" t="n"/>
      <ns0:c r="R805" s="17" t="n"/>
      <ns0:c r="S805" s="17" t="n"/>
      <ns0:c r="T805" s="17" t="n"/>
      <ns0:c r="U805" s="17" t="n"/>
      <ns0:c r="V805" s="17" t="n"/>
      <ns0:c r="W805" s="17" t="n"/>
      <ns0:c r="X805" s="17" t="n"/>
      <ns0:c r="Y805" s="17" t="n"/>
      <ns0:c r="Z805" s="17" t="n"/>
      <ns0:c r="AA805" s="17" t="n"/>
      <ns0:c r="AB805" s="17" t="n"/>
      <ns0:c r="AC805" s="17" t="n"/>
      <ns0:c r="AD805" s="17" t="n"/>
      <ns0:c r="AE805" s="17" t="n"/>
      <ns0:c r="AF805" s="17" t="n"/>
      <ns0:c r="AG805" s="17" t="n"/>
    </ns0:row>
    <ns0:row r="806" ht="24" customHeight="1">
      <ns0:c r="D806" s="17" t="n"/>
      <ns0:c r="E806" s="17" t="n"/>
      <ns0:c r="F806" s="17" t="n"/>
      <ns0:c r="G806" s="17" t="n"/>
      <ns0:c r="H806" s="17" t="n"/>
      <ns0:c r="I806" s="17" t="n"/>
      <ns0:c r="J806" s="17" t="n"/>
      <ns0:c r="K806" s="17" t="n"/>
      <ns0:c r="L806" s="17" t="n"/>
      <ns0:c r="M806" s="17" t="n"/>
      <ns0:c r="N806" s="17" t="n"/>
      <ns0:c r="O806" s="17" t="n"/>
      <ns0:c r="P806" s="17" t="n"/>
      <ns0:c r="Q806" s="17" t="n"/>
      <ns0:c r="R806" s="17" t="n"/>
      <ns0:c r="S806" s="17" t="n"/>
      <ns0:c r="T806" s="17" t="n"/>
      <ns0:c r="U806" s="17" t="n"/>
      <ns0:c r="V806" s="17" t="n"/>
      <ns0:c r="W806" s="17" t="n"/>
      <ns0:c r="X806" s="17" t="n"/>
      <ns0:c r="Y806" s="17" t="n"/>
      <ns0:c r="Z806" s="17" t="n"/>
      <ns0:c r="AA806" s="17" t="n"/>
      <ns0:c r="AB806" s="17" t="n"/>
      <ns0:c r="AC806" s="17" t="n"/>
      <ns0:c r="AD806" s="17" t="n"/>
      <ns0:c r="AE806" s="17" t="n"/>
      <ns0:c r="AF806" s="17" t="n"/>
      <ns0:c r="AG806" s="17" t="n"/>
    </ns0:row>
    <ns0:row r="807" ht="24" customHeight="1">
      <ns0:c r="D807" s="17" t="n"/>
      <ns0:c r="E807" s="17" t="n"/>
      <ns0:c r="F807" s="17" t="n"/>
      <ns0:c r="G807" s="17" t="n"/>
      <ns0:c r="H807" s="17" t="n"/>
      <ns0:c r="I807" s="17" t="n"/>
      <ns0:c r="J807" s="17" t="n"/>
      <ns0:c r="K807" s="17" t="n"/>
      <ns0:c r="L807" s="17" t="n"/>
      <ns0:c r="M807" s="17" t="n"/>
      <ns0:c r="N807" s="17" t="n"/>
      <ns0:c r="O807" s="17" t="n"/>
      <ns0:c r="P807" s="17" t="n"/>
      <ns0:c r="Q807" s="17" t="n"/>
      <ns0:c r="R807" s="17" t="n"/>
      <ns0:c r="S807" s="17" t="n"/>
      <ns0:c r="T807" s="17" t="n"/>
      <ns0:c r="U807" s="17" t="n"/>
      <ns0:c r="V807" s="17" t="n"/>
      <ns0:c r="W807" s="17" t="n"/>
      <ns0:c r="X807" s="17" t="n"/>
      <ns0:c r="Y807" s="17" t="n"/>
      <ns0:c r="Z807" s="17" t="n"/>
      <ns0:c r="AA807" s="17" t="n"/>
      <ns0:c r="AB807" s="17" t="n"/>
      <ns0:c r="AC807" s="17" t="n"/>
      <ns0:c r="AD807" s="17" t="n"/>
      <ns0:c r="AE807" s="17" t="n"/>
      <ns0:c r="AF807" s="17" t="n"/>
      <ns0:c r="AG807" s="17" t="n"/>
    </ns0:row>
    <ns0:row r="808" ht="24" customHeight="1">
      <ns0:c r="D808" s="17" t="n"/>
      <ns0:c r="E808" s="17" t="n"/>
      <ns0:c r="F808" s="17" t="n"/>
      <ns0:c r="G808" s="17" t="n"/>
      <ns0:c r="H808" s="17" t="n"/>
      <ns0:c r="I808" s="17" t="n"/>
      <ns0:c r="J808" s="17" t="n"/>
      <ns0:c r="K808" s="17" t="n"/>
      <ns0:c r="L808" s="17" t="n"/>
      <ns0:c r="M808" s="17" t="n"/>
      <ns0:c r="N808" s="17" t="n"/>
      <ns0:c r="O808" s="17" t="n"/>
      <ns0:c r="P808" s="17" t="n"/>
      <ns0:c r="Q808" s="17" t="n"/>
      <ns0:c r="R808" s="17" t="n"/>
      <ns0:c r="S808" s="17" t="n"/>
      <ns0:c r="T808" s="17" t="n"/>
      <ns0:c r="U808" s="17" t="n"/>
      <ns0:c r="V808" s="17" t="n"/>
      <ns0:c r="W808" s="17" t="n"/>
      <ns0:c r="X808" s="17" t="n"/>
      <ns0:c r="Y808" s="17" t="n"/>
      <ns0:c r="Z808" s="17" t="n"/>
      <ns0:c r="AA808" s="17" t="n"/>
      <ns0:c r="AB808" s="17" t="n"/>
      <ns0:c r="AC808" s="17" t="n"/>
      <ns0:c r="AD808" s="17" t="n"/>
      <ns0:c r="AE808" s="17" t="n"/>
      <ns0:c r="AF808" s="17" t="n"/>
      <ns0:c r="AG808" s="17" t="n"/>
    </ns0:row>
    <ns0:row r="809" ht="24" customHeight="1">
      <ns0:c r="D809" s="17" t="n"/>
      <ns0:c r="E809" s="17" t="n"/>
      <ns0:c r="F809" s="17" t="n"/>
      <ns0:c r="G809" s="17" t="n"/>
      <ns0:c r="H809" s="17" t="n"/>
      <ns0:c r="I809" s="17" t="n"/>
      <ns0:c r="J809" s="17" t="n"/>
      <ns0:c r="K809" s="17" t="n"/>
      <ns0:c r="L809" s="17" t="n"/>
      <ns0:c r="M809" s="17" t="n"/>
      <ns0:c r="N809" s="17" t="n"/>
      <ns0:c r="O809" s="17" t="n"/>
      <ns0:c r="P809" s="17" t="n"/>
      <ns0:c r="Q809" s="17" t="n"/>
      <ns0:c r="R809" s="17" t="n"/>
      <ns0:c r="S809" s="17" t="n"/>
      <ns0:c r="T809" s="17" t="n"/>
      <ns0:c r="U809" s="17" t="n"/>
      <ns0:c r="V809" s="17" t="n"/>
      <ns0:c r="W809" s="17" t="n"/>
      <ns0:c r="X809" s="17" t="n"/>
      <ns0:c r="Y809" s="17" t="n"/>
      <ns0:c r="Z809" s="17" t="n"/>
      <ns0:c r="AA809" s="17" t="n"/>
      <ns0:c r="AB809" s="17" t="n"/>
      <ns0:c r="AC809" s="17" t="n"/>
      <ns0:c r="AD809" s="17" t="n"/>
      <ns0:c r="AE809" s="17" t="n"/>
      <ns0:c r="AF809" s="17" t="n"/>
      <ns0:c r="AG809" s="17" t="n"/>
    </ns0:row>
    <ns0:row r="810" ht="24" customHeight="1">
      <ns0:c r="D810" s="17" t="n"/>
      <ns0:c r="E810" s="17" t="n"/>
      <ns0:c r="F810" s="17" t="n"/>
      <ns0:c r="G810" s="17" t="n"/>
      <ns0:c r="H810" s="17" t="n"/>
      <ns0:c r="I810" s="17" t="n"/>
      <ns0:c r="J810" s="17" t="n"/>
      <ns0:c r="K810" s="17" t="n"/>
      <ns0:c r="L810" s="17" t="n"/>
      <ns0:c r="M810" s="17" t="n"/>
      <ns0:c r="N810" s="17" t="n"/>
      <ns0:c r="O810" s="17" t="n"/>
      <ns0:c r="P810" s="17" t="n"/>
      <ns0:c r="Q810" s="17" t="n"/>
      <ns0:c r="R810" s="17" t="n"/>
      <ns0:c r="S810" s="17" t="n"/>
      <ns0:c r="T810" s="17" t="n"/>
      <ns0:c r="U810" s="17" t="n"/>
      <ns0:c r="V810" s="17" t="n"/>
      <ns0:c r="W810" s="17" t="n"/>
      <ns0:c r="X810" s="17" t="n"/>
      <ns0:c r="Y810" s="17" t="n"/>
      <ns0:c r="Z810" s="17" t="n"/>
      <ns0:c r="AA810" s="17" t="n"/>
      <ns0:c r="AB810" s="17" t="n"/>
      <ns0:c r="AC810" s="17" t="n"/>
      <ns0:c r="AD810" s="17" t="n"/>
      <ns0:c r="AE810" s="17" t="n"/>
      <ns0:c r="AF810" s="17" t="n"/>
      <ns0:c r="AG810" s="17" t="n"/>
    </ns0:row>
    <ns0:row r="811" ht="24" customHeight="1">
      <ns0:c r="D811" s="17" t="n"/>
      <ns0:c r="E811" s="17" t="n"/>
      <ns0:c r="F811" s="17" t="n"/>
      <ns0:c r="G811" s="17" t="n"/>
      <ns0:c r="H811" s="17" t="n"/>
      <ns0:c r="I811" s="17" t="n"/>
      <ns0:c r="J811" s="17" t="n"/>
      <ns0:c r="K811" s="17" t="n"/>
      <ns0:c r="L811" s="17" t="n"/>
      <ns0:c r="M811" s="17" t="n"/>
      <ns0:c r="N811" s="17" t="n"/>
      <ns0:c r="O811" s="17" t="n"/>
      <ns0:c r="P811" s="17" t="n"/>
      <ns0:c r="Q811" s="17" t="n"/>
      <ns0:c r="R811" s="17" t="n"/>
      <ns0:c r="S811" s="17" t="n"/>
      <ns0:c r="T811" s="17" t="n"/>
      <ns0:c r="U811" s="17" t="n"/>
      <ns0:c r="V811" s="17" t="n"/>
      <ns0:c r="W811" s="17" t="n"/>
      <ns0:c r="X811" s="17" t="n"/>
      <ns0:c r="Y811" s="17" t="n"/>
      <ns0:c r="Z811" s="17" t="n"/>
      <ns0:c r="AA811" s="17" t="n"/>
      <ns0:c r="AB811" s="17" t="n"/>
      <ns0:c r="AC811" s="17" t="n"/>
      <ns0:c r="AD811" s="17" t="n"/>
      <ns0:c r="AE811" s="17" t="n"/>
      <ns0:c r="AF811" s="17" t="n"/>
      <ns0:c r="AG811" s="17" t="n"/>
    </ns0:row>
    <ns0:row r="812" ht="24" customHeight="1">
      <ns0:c r="D812" s="17" t="n"/>
      <ns0:c r="E812" s="17" t="n"/>
      <ns0:c r="F812" s="17" t="n"/>
      <ns0:c r="G812" s="17" t="n"/>
      <ns0:c r="H812" s="17" t="n"/>
      <ns0:c r="I812" s="17" t="n"/>
      <ns0:c r="J812" s="17" t="n"/>
      <ns0:c r="K812" s="17" t="n"/>
      <ns0:c r="L812" s="17" t="n"/>
      <ns0:c r="M812" s="17" t="n"/>
      <ns0:c r="N812" s="17" t="n"/>
      <ns0:c r="O812" s="17" t="n"/>
      <ns0:c r="P812" s="17" t="n"/>
      <ns0:c r="Q812" s="17" t="n"/>
      <ns0:c r="R812" s="17" t="n"/>
      <ns0:c r="S812" s="17" t="n"/>
      <ns0:c r="T812" s="17" t="n"/>
      <ns0:c r="U812" s="17" t="n"/>
      <ns0:c r="V812" s="17" t="n"/>
      <ns0:c r="W812" s="17" t="n"/>
      <ns0:c r="X812" s="17" t="n"/>
      <ns0:c r="Y812" s="17" t="n"/>
      <ns0:c r="Z812" s="17" t="n"/>
      <ns0:c r="AA812" s="17" t="n"/>
      <ns0:c r="AB812" s="17" t="n"/>
      <ns0:c r="AC812" s="17" t="n"/>
      <ns0:c r="AD812" s="17" t="n"/>
      <ns0:c r="AE812" s="17" t="n"/>
      <ns0:c r="AF812" s="17" t="n"/>
      <ns0:c r="AG812" s="17" t="n"/>
    </ns0:row>
    <ns0:row r="813" ht="24" customHeight="1">
      <ns0:c r="D813" s="17" t="n"/>
      <ns0:c r="E813" s="17" t="n"/>
      <ns0:c r="F813" s="17" t="n"/>
      <ns0:c r="G813" s="17" t="n"/>
      <ns0:c r="H813" s="17" t="n"/>
      <ns0:c r="I813" s="17" t="n"/>
      <ns0:c r="J813" s="17" t="n"/>
      <ns0:c r="K813" s="17" t="n"/>
      <ns0:c r="L813" s="17" t="n"/>
      <ns0:c r="M813" s="17" t="n"/>
      <ns0:c r="N813" s="17" t="n"/>
      <ns0:c r="O813" s="17" t="n"/>
      <ns0:c r="P813" s="17" t="n"/>
      <ns0:c r="Q813" s="17" t="n"/>
      <ns0:c r="R813" s="17" t="n"/>
      <ns0:c r="S813" s="17" t="n"/>
      <ns0:c r="T813" s="17" t="n"/>
      <ns0:c r="U813" s="17" t="n"/>
      <ns0:c r="V813" s="17" t="n"/>
      <ns0:c r="W813" s="17" t="n"/>
      <ns0:c r="X813" s="17" t="n"/>
      <ns0:c r="Y813" s="17" t="n"/>
      <ns0:c r="Z813" s="17" t="n"/>
      <ns0:c r="AA813" s="17" t="n"/>
      <ns0:c r="AB813" s="17" t="n"/>
      <ns0:c r="AC813" s="17" t="n"/>
      <ns0:c r="AD813" s="17" t="n"/>
      <ns0:c r="AE813" s="17" t="n"/>
      <ns0:c r="AF813" s="17" t="n"/>
      <ns0:c r="AG813" s="17" t="n"/>
    </ns0:row>
    <ns0:row r="814" ht="24" customHeight="1">
      <ns0:c r="D814" s="17" t="n"/>
      <ns0:c r="E814" s="17" t="n"/>
      <ns0:c r="F814" s="17" t="n"/>
      <ns0:c r="G814" s="17" t="n"/>
      <ns0:c r="H814" s="17" t="n"/>
      <ns0:c r="I814" s="17" t="n"/>
      <ns0:c r="J814" s="17" t="n"/>
      <ns0:c r="K814" s="17" t="n"/>
      <ns0:c r="L814" s="17" t="n"/>
      <ns0:c r="M814" s="17" t="n"/>
      <ns0:c r="N814" s="17" t="n"/>
      <ns0:c r="O814" s="17" t="n"/>
      <ns0:c r="P814" s="17" t="n"/>
      <ns0:c r="Q814" s="17" t="n"/>
      <ns0:c r="R814" s="17" t="n"/>
      <ns0:c r="S814" s="17" t="n"/>
      <ns0:c r="T814" s="17" t="n"/>
      <ns0:c r="U814" s="17" t="n"/>
      <ns0:c r="V814" s="17" t="n"/>
      <ns0:c r="W814" s="17" t="n"/>
      <ns0:c r="X814" s="17" t="n"/>
      <ns0:c r="Y814" s="17" t="n"/>
      <ns0:c r="Z814" s="17" t="n"/>
      <ns0:c r="AA814" s="17" t="n"/>
      <ns0:c r="AB814" s="17" t="n"/>
      <ns0:c r="AC814" s="17" t="n"/>
      <ns0:c r="AD814" s="17" t="n"/>
      <ns0:c r="AE814" s="17" t="n"/>
      <ns0:c r="AF814" s="17" t="n"/>
      <ns0:c r="AG814" s="17" t="n"/>
    </ns0:row>
    <ns0:row r="815" ht="24" customHeight="1">
      <ns0:c r="D815" s="17" t="n"/>
      <ns0:c r="E815" s="17" t="n"/>
      <ns0:c r="F815" s="17" t="n"/>
      <ns0:c r="G815" s="17" t="n"/>
      <ns0:c r="H815" s="17" t="n"/>
      <ns0:c r="I815" s="17" t="n"/>
      <ns0:c r="J815" s="17" t="n"/>
      <ns0:c r="K815" s="17" t="n"/>
      <ns0:c r="L815" s="17" t="n"/>
      <ns0:c r="M815" s="17" t="n"/>
      <ns0:c r="N815" s="17" t="n"/>
      <ns0:c r="O815" s="17" t="n"/>
      <ns0:c r="P815" s="17" t="n"/>
      <ns0:c r="Q815" s="17" t="n"/>
      <ns0:c r="R815" s="17" t="n"/>
      <ns0:c r="S815" s="17" t="n"/>
      <ns0:c r="T815" s="17" t="n"/>
      <ns0:c r="U815" s="17" t="n"/>
      <ns0:c r="V815" s="17" t="n"/>
      <ns0:c r="W815" s="17" t="n"/>
      <ns0:c r="X815" s="17" t="n"/>
      <ns0:c r="Y815" s="17" t="n"/>
      <ns0:c r="Z815" s="17" t="n"/>
      <ns0:c r="AA815" s="17" t="n"/>
      <ns0:c r="AB815" s="17" t="n"/>
      <ns0:c r="AC815" s="17" t="n"/>
      <ns0:c r="AD815" s="17" t="n"/>
      <ns0:c r="AE815" s="17" t="n"/>
      <ns0:c r="AF815" s="17" t="n"/>
      <ns0:c r="AG815" s="17" t="n"/>
    </ns0:row>
    <ns0:row r="816" ht="24" customHeight="1">
      <ns0:c r="D816" s="17" t="n"/>
      <ns0:c r="E816" s="17" t="n"/>
      <ns0:c r="F816" s="17" t="n"/>
      <ns0:c r="G816" s="17" t="n"/>
      <ns0:c r="H816" s="17" t="n"/>
      <ns0:c r="I816" s="17" t="n"/>
      <ns0:c r="J816" s="17" t="n"/>
      <ns0:c r="K816" s="17" t="n"/>
      <ns0:c r="L816" s="17" t="n"/>
      <ns0:c r="M816" s="17" t="n"/>
      <ns0:c r="N816" s="17" t="n"/>
      <ns0:c r="O816" s="17" t="n"/>
      <ns0:c r="P816" s="17" t="n"/>
      <ns0:c r="Q816" s="17" t="n"/>
      <ns0:c r="R816" s="17" t="n"/>
      <ns0:c r="S816" s="17" t="n"/>
      <ns0:c r="T816" s="17" t="n"/>
      <ns0:c r="U816" s="17" t="n"/>
      <ns0:c r="V816" s="17" t="n"/>
      <ns0:c r="W816" s="17" t="n"/>
      <ns0:c r="X816" s="17" t="n"/>
      <ns0:c r="Y816" s="17" t="n"/>
      <ns0:c r="Z816" s="17" t="n"/>
      <ns0:c r="AA816" s="17" t="n"/>
      <ns0:c r="AB816" s="17" t="n"/>
      <ns0:c r="AC816" s="17" t="n"/>
      <ns0:c r="AD816" s="17" t="n"/>
      <ns0:c r="AE816" s="17" t="n"/>
      <ns0:c r="AF816" s="17" t="n"/>
      <ns0:c r="AG816" s="17" t="n"/>
    </ns0:row>
    <ns0:row r="817" ht="24" customHeight="1">
      <ns0:c r="D817" s="17" t="n"/>
      <ns0:c r="E817" s="17" t="n"/>
      <ns0:c r="F817" s="17" t="n"/>
      <ns0:c r="G817" s="17" t="n"/>
      <ns0:c r="H817" s="17" t="n"/>
      <ns0:c r="I817" s="17" t="n"/>
      <ns0:c r="J817" s="17" t="n"/>
      <ns0:c r="K817" s="17" t="n"/>
      <ns0:c r="L817" s="17" t="n"/>
      <ns0:c r="M817" s="17" t="n"/>
      <ns0:c r="N817" s="17" t="n"/>
      <ns0:c r="O817" s="17" t="n"/>
      <ns0:c r="P817" s="17" t="n"/>
      <ns0:c r="Q817" s="17" t="n"/>
      <ns0:c r="R817" s="17" t="n"/>
      <ns0:c r="S817" s="17" t="n"/>
      <ns0:c r="T817" s="17" t="n"/>
      <ns0:c r="U817" s="17" t="n"/>
      <ns0:c r="V817" s="17" t="n"/>
      <ns0:c r="W817" s="17" t="n"/>
      <ns0:c r="X817" s="17" t="n"/>
      <ns0:c r="Y817" s="17" t="n"/>
      <ns0:c r="Z817" s="17" t="n"/>
      <ns0:c r="AA817" s="17" t="n"/>
      <ns0:c r="AB817" s="17" t="n"/>
      <ns0:c r="AC817" s="17" t="n"/>
      <ns0:c r="AD817" s="17" t="n"/>
      <ns0:c r="AE817" s="17" t="n"/>
      <ns0:c r="AF817" s="17" t="n"/>
      <ns0:c r="AG817" s="17" t="n"/>
    </ns0:row>
    <ns0:row r="818" ht="24" customHeight="1">
      <ns0:c r="D818" s="17" t="n"/>
      <ns0:c r="E818" s="17" t="n"/>
      <ns0:c r="F818" s="17" t="n"/>
      <ns0:c r="G818" s="17" t="n"/>
      <ns0:c r="H818" s="17" t="n"/>
      <ns0:c r="I818" s="17" t="n"/>
      <ns0:c r="J818" s="17" t="n"/>
      <ns0:c r="K818" s="17" t="n"/>
      <ns0:c r="L818" s="17" t="n"/>
      <ns0:c r="M818" s="17" t="n"/>
      <ns0:c r="N818" s="17" t="n"/>
      <ns0:c r="O818" s="17" t="n"/>
      <ns0:c r="P818" s="17" t="n"/>
      <ns0:c r="Q818" s="17" t="n"/>
      <ns0:c r="R818" s="17" t="n"/>
      <ns0:c r="S818" s="17" t="n"/>
      <ns0:c r="T818" s="17" t="n"/>
      <ns0:c r="U818" s="17" t="n"/>
      <ns0:c r="V818" s="17" t="n"/>
      <ns0:c r="W818" s="17" t="n"/>
      <ns0:c r="X818" s="17" t="n"/>
      <ns0:c r="Y818" s="17" t="n"/>
      <ns0:c r="Z818" s="17" t="n"/>
      <ns0:c r="AA818" s="17" t="n"/>
      <ns0:c r="AB818" s="17" t="n"/>
      <ns0:c r="AC818" s="17" t="n"/>
      <ns0:c r="AD818" s="17" t="n"/>
      <ns0:c r="AE818" s="17" t="n"/>
      <ns0:c r="AF818" s="17" t="n"/>
      <ns0:c r="AG818" s="17" t="n"/>
    </ns0:row>
    <ns0:row r="819" ht="24" customHeight="1">
      <ns0:c r="D819" s="17" t="n"/>
      <ns0:c r="E819" s="17" t="n"/>
      <ns0:c r="F819" s="17" t="n"/>
      <ns0:c r="G819" s="17" t="n"/>
      <ns0:c r="H819" s="17" t="n"/>
      <ns0:c r="I819" s="17" t="n"/>
      <ns0:c r="J819" s="17" t="n"/>
      <ns0:c r="K819" s="17" t="n"/>
      <ns0:c r="L819" s="17" t="n"/>
      <ns0:c r="M819" s="17" t="n"/>
      <ns0:c r="N819" s="17" t="n"/>
      <ns0:c r="O819" s="17" t="n"/>
      <ns0:c r="P819" s="17" t="n"/>
      <ns0:c r="Q819" s="17" t="n"/>
      <ns0:c r="R819" s="17" t="n"/>
      <ns0:c r="S819" s="17" t="n"/>
      <ns0:c r="T819" s="17" t="n"/>
      <ns0:c r="U819" s="17" t="n"/>
      <ns0:c r="V819" s="17" t="n"/>
      <ns0:c r="W819" s="17" t="n"/>
      <ns0:c r="X819" s="17" t="n"/>
      <ns0:c r="Y819" s="17" t="n"/>
      <ns0:c r="Z819" s="17" t="n"/>
      <ns0:c r="AA819" s="17" t="n"/>
      <ns0:c r="AB819" s="17" t="n"/>
      <ns0:c r="AC819" s="17" t="n"/>
      <ns0:c r="AD819" s="17" t="n"/>
      <ns0:c r="AE819" s="17" t="n"/>
      <ns0:c r="AF819" s="17" t="n"/>
      <ns0:c r="AG819" s="17" t="n"/>
    </ns0:row>
    <ns0:row r="820" ht="24" customHeight="1">
      <ns0:c r="D820" s="17" t="n"/>
      <ns0:c r="E820" s="17" t="n"/>
      <ns0:c r="F820" s="17" t="n"/>
      <ns0:c r="G820" s="17" t="n"/>
      <ns0:c r="H820" s="17" t="n"/>
      <ns0:c r="I820" s="17" t="n"/>
      <ns0:c r="J820" s="17" t="n"/>
      <ns0:c r="K820" s="17" t="n"/>
      <ns0:c r="L820" s="17" t="n"/>
      <ns0:c r="M820" s="17" t="n"/>
      <ns0:c r="N820" s="17" t="n"/>
      <ns0:c r="O820" s="17" t="n"/>
      <ns0:c r="P820" s="17" t="n"/>
      <ns0:c r="Q820" s="17" t="n"/>
      <ns0:c r="R820" s="17" t="n"/>
      <ns0:c r="S820" s="17" t="n"/>
      <ns0:c r="T820" s="17" t="n"/>
      <ns0:c r="U820" s="17" t="n"/>
      <ns0:c r="V820" s="17" t="n"/>
      <ns0:c r="W820" s="17" t="n"/>
      <ns0:c r="X820" s="17" t="n"/>
      <ns0:c r="Y820" s="17" t="n"/>
      <ns0:c r="Z820" s="17" t="n"/>
      <ns0:c r="AA820" s="17" t="n"/>
      <ns0:c r="AB820" s="17" t="n"/>
      <ns0:c r="AC820" s="17" t="n"/>
      <ns0:c r="AD820" s="17" t="n"/>
      <ns0:c r="AE820" s="17" t="n"/>
      <ns0:c r="AF820" s="17" t="n"/>
      <ns0:c r="AG820" s="17" t="n"/>
    </ns0:row>
    <ns0:row r="821" ht="24" customHeight="1">
      <ns0:c r="D821" s="17" t="n"/>
      <ns0:c r="E821" s="17" t="n"/>
      <ns0:c r="F821" s="17" t="n"/>
      <ns0:c r="G821" s="17" t="n"/>
      <ns0:c r="H821" s="17" t="n"/>
      <ns0:c r="I821" s="17" t="n"/>
      <ns0:c r="J821" s="17" t="n"/>
      <ns0:c r="K821" s="17" t="n"/>
      <ns0:c r="L821" s="17" t="n"/>
      <ns0:c r="M821" s="17" t="n"/>
      <ns0:c r="N821" s="17" t="n"/>
      <ns0:c r="O821" s="17" t="n"/>
      <ns0:c r="P821" s="17" t="n"/>
      <ns0:c r="Q821" s="17" t="n"/>
      <ns0:c r="R821" s="17" t="n"/>
      <ns0:c r="S821" s="17" t="n"/>
      <ns0:c r="T821" s="17" t="n"/>
      <ns0:c r="U821" s="17" t="n"/>
      <ns0:c r="V821" s="17" t="n"/>
      <ns0:c r="W821" s="17" t="n"/>
      <ns0:c r="X821" s="17" t="n"/>
      <ns0:c r="Y821" s="17" t="n"/>
      <ns0:c r="Z821" s="17" t="n"/>
      <ns0:c r="AA821" s="17" t="n"/>
      <ns0:c r="AB821" s="17" t="n"/>
      <ns0:c r="AC821" s="17" t="n"/>
      <ns0:c r="AD821" s="17" t="n"/>
      <ns0:c r="AE821" s="17" t="n"/>
      <ns0:c r="AF821" s="17" t="n"/>
      <ns0:c r="AG821" s="17" t="n"/>
    </ns0:row>
    <ns0:row r="822" ht="24" customHeight="1">
      <ns0:c r="D822" s="17" t="n"/>
      <ns0:c r="E822" s="17" t="n"/>
      <ns0:c r="F822" s="17" t="n"/>
      <ns0:c r="G822" s="17" t="n"/>
      <ns0:c r="H822" s="17" t="n"/>
      <ns0:c r="I822" s="17" t="n"/>
      <ns0:c r="J822" s="17" t="n"/>
      <ns0:c r="K822" s="17" t="n"/>
      <ns0:c r="L822" s="17" t="n"/>
      <ns0:c r="M822" s="17" t="n"/>
      <ns0:c r="N822" s="17" t="n"/>
      <ns0:c r="O822" s="17" t="n"/>
      <ns0:c r="P822" s="17" t="n"/>
      <ns0:c r="Q822" s="17" t="n"/>
      <ns0:c r="R822" s="17" t="n"/>
      <ns0:c r="S822" s="17" t="n"/>
      <ns0:c r="T822" s="17" t="n"/>
      <ns0:c r="U822" s="17" t="n"/>
      <ns0:c r="V822" s="17" t="n"/>
      <ns0:c r="W822" s="17" t="n"/>
      <ns0:c r="X822" s="17" t="n"/>
      <ns0:c r="Y822" s="17" t="n"/>
      <ns0:c r="Z822" s="17" t="n"/>
      <ns0:c r="AA822" s="17" t="n"/>
      <ns0:c r="AB822" s="17" t="n"/>
      <ns0:c r="AC822" s="17" t="n"/>
      <ns0:c r="AD822" s="17" t="n"/>
      <ns0:c r="AE822" s="17" t="n"/>
      <ns0:c r="AF822" s="17" t="n"/>
      <ns0:c r="AG822" s="17" t="n"/>
    </ns0:row>
    <ns0:row r="823" ht="24" customHeight="1">
      <ns0:c r="D823" s="17" t="n"/>
      <ns0:c r="E823" s="17" t="n"/>
      <ns0:c r="F823" s="17" t="n"/>
      <ns0:c r="G823" s="17" t="n"/>
      <ns0:c r="H823" s="17" t="n"/>
      <ns0:c r="I823" s="17" t="n"/>
      <ns0:c r="J823" s="17" t="n"/>
      <ns0:c r="K823" s="17" t="n"/>
      <ns0:c r="L823" s="17" t="n"/>
      <ns0:c r="M823" s="17" t="n"/>
      <ns0:c r="N823" s="17" t="n"/>
      <ns0:c r="O823" s="17" t="n"/>
      <ns0:c r="P823" s="17" t="n"/>
      <ns0:c r="Q823" s="17" t="n"/>
      <ns0:c r="R823" s="17" t="n"/>
      <ns0:c r="S823" s="17" t="n"/>
      <ns0:c r="T823" s="17" t="n"/>
      <ns0:c r="U823" s="17" t="n"/>
      <ns0:c r="V823" s="17" t="n"/>
      <ns0:c r="W823" s="17" t="n"/>
      <ns0:c r="X823" s="17" t="n"/>
      <ns0:c r="Y823" s="17" t="n"/>
      <ns0:c r="Z823" s="17" t="n"/>
      <ns0:c r="AA823" s="17" t="n"/>
      <ns0:c r="AB823" s="17" t="n"/>
      <ns0:c r="AC823" s="17" t="n"/>
      <ns0:c r="AD823" s="17" t="n"/>
      <ns0:c r="AE823" s="17" t="n"/>
      <ns0:c r="AF823" s="17" t="n"/>
      <ns0:c r="AG823" s="17" t="n"/>
    </ns0:row>
    <ns0:row r="824" ht="24" customHeight="1">
      <ns0:c r="D824" s="17" t="n"/>
      <ns0:c r="E824" s="17" t="n"/>
      <ns0:c r="F824" s="17" t="n"/>
      <ns0:c r="G824" s="17" t="n"/>
      <ns0:c r="H824" s="17" t="n"/>
      <ns0:c r="I824" s="17" t="n"/>
      <ns0:c r="J824" s="17" t="n"/>
      <ns0:c r="K824" s="17" t="n"/>
      <ns0:c r="L824" s="17" t="n"/>
      <ns0:c r="M824" s="17" t="n"/>
      <ns0:c r="N824" s="17" t="n"/>
      <ns0:c r="O824" s="17" t="n"/>
      <ns0:c r="P824" s="17" t="n"/>
      <ns0:c r="Q824" s="17" t="n"/>
      <ns0:c r="R824" s="17" t="n"/>
      <ns0:c r="S824" s="17" t="n"/>
      <ns0:c r="T824" s="17" t="n"/>
      <ns0:c r="U824" s="17" t="n"/>
      <ns0:c r="V824" s="17" t="n"/>
      <ns0:c r="W824" s="17" t="n"/>
      <ns0:c r="X824" s="17" t="n"/>
      <ns0:c r="Y824" s="17" t="n"/>
      <ns0:c r="Z824" s="17" t="n"/>
      <ns0:c r="AA824" s="17" t="n"/>
      <ns0:c r="AB824" s="17" t="n"/>
      <ns0:c r="AC824" s="17" t="n"/>
      <ns0:c r="AD824" s="17" t="n"/>
      <ns0:c r="AE824" s="17" t="n"/>
      <ns0:c r="AF824" s="17" t="n"/>
      <ns0:c r="AG824" s="17" t="n"/>
    </ns0:row>
    <ns0:row r="825" ht="24" customHeight="1">
      <ns0:c r="D825" s="17" t="n"/>
      <ns0:c r="E825" s="17" t="n"/>
      <ns0:c r="F825" s="17" t="n"/>
      <ns0:c r="G825" s="17" t="n"/>
      <ns0:c r="H825" s="17" t="n"/>
      <ns0:c r="I825" s="17" t="n"/>
      <ns0:c r="J825" s="17" t="n"/>
      <ns0:c r="K825" s="17" t="n"/>
      <ns0:c r="L825" s="17" t="n"/>
      <ns0:c r="M825" s="17" t="n"/>
      <ns0:c r="N825" s="17" t="n"/>
      <ns0:c r="O825" s="17" t="n"/>
      <ns0:c r="P825" s="17" t="n"/>
      <ns0:c r="Q825" s="17" t="n"/>
      <ns0:c r="R825" s="17" t="n"/>
      <ns0:c r="S825" s="17" t="n"/>
      <ns0:c r="T825" s="17" t="n"/>
      <ns0:c r="U825" s="17" t="n"/>
      <ns0:c r="V825" s="17" t="n"/>
      <ns0:c r="W825" s="17" t="n"/>
      <ns0:c r="X825" s="17" t="n"/>
      <ns0:c r="Y825" s="17" t="n"/>
      <ns0:c r="Z825" s="17" t="n"/>
      <ns0:c r="AA825" s="17" t="n"/>
      <ns0:c r="AB825" s="17" t="n"/>
      <ns0:c r="AC825" s="17" t="n"/>
      <ns0:c r="AD825" s="17" t="n"/>
      <ns0:c r="AE825" s="17" t="n"/>
      <ns0:c r="AF825" s="17" t="n"/>
      <ns0:c r="AG825" s="17" t="n"/>
    </ns0:row>
    <ns0:row r="826" ht="24" customHeight="1">
      <ns0:c r="D826" s="17" t="n"/>
      <ns0:c r="E826" s="17" t="n"/>
      <ns0:c r="F826" s="17" t="n"/>
      <ns0:c r="G826" s="17" t="n"/>
      <ns0:c r="H826" s="17" t="n"/>
      <ns0:c r="I826" s="17" t="n"/>
      <ns0:c r="J826" s="17" t="n"/>
      <ns0:c r="K826" s="17" t="n"/>
      <ns0:c r="L826" s="17" t="n"/>
      <ns0:c r="M826" s="17" t="n"/>
      <ns0:c r="N826" s="17" t="n"/>
      <ns0:c r="O826" s="17" t="n"/>
      <ns0:c r="P826" s="17" t="n"/>
      <ns0:c r="Q826" s="17" t="n"/>
      <ns0:c r="R826" s="17" t="n"/>
      <ns0:c r="S826" s="17" t="n"/>
      <ns0:c r="T826" s="17" t="n"/>
      <ns0:c r="U826" s="17" t="n"/>
      <ns0:c r="V826" s="17" t="n"/>
      <ns0:c r="W826" s="17" t="n"/>
      <ns0:c r="X826" s="17" t="n"/>
      <ns0:c r="Y826" s="17" t="n"/>
      <ns0:c r="Z826" s="17" t="n"/>
      <ns0:c r="AA826" s="17" t="n"/>
      <ns0:c r="AB826" s="17" t="n"/>
      <ns0:c r="AC826" s="17" t="n"/>
      <ns0:c r="AD826" s="17" t="n"/>
      <ns0:c r="AE826" s="17" t="n"/>
      <ns0:c r="AF826" s="17" t="n"/>
      <ns0:c r="AG826" s="17" t="n"/>
    </ns0:row>
    <ns0:row r="827" ht="24" customHeight="1">
      <ns0:c r="D827" s="17" t="n"/>
      <ns0:c r="E827" s="17" t="n"/>
      <ns0:c r="F827" s="17" t="n"/>
      <ns0:c r="G827" s="17" t="n"/>
      <ns0:c r="H827" s="17" t="n"/>
      <ns0:c r="I827" s="17" t="n"/>
      <ns0:c r="J827" s="17" t="n"/>
      <ns0:c r="K827" s="17" t="n"/>
      <ns0:c r="L827" s="17" t="n"/>
      <ns0:c r="M827" s="17" t="n"/>
      <ns0:c r="N827" s="17" t="n"/>
      <ns0:c r="O827" s="17" t="n"/>
      <ns0:c r="P827" s="17" t="n"/>
      <ns0:c r="Q827" s="17" t="n"/>
      <ns0:c r="R827" s="17" t="n"/>
      <ns0:c r="S827" s="17" t="n"/>
      <ns0:c r="T827" s="17" t="n"/>
      <ns0:c r="U827" s="17" t="n"/>
      <ns0:c r="V827" s="17" t="n"/>
      <ns0:c r="W827" s="17" t="n"/>
      <ns0:c r="X827" s="17" t="n"/>
      <ns0:c r="Y827" s="17" t="n"/>
      <ns0:c r="Z827" s="17" t="n"/>
      <ns0:c r="AA827" s="17" t="n"/>
      <ns0:c r="AB827" s="17" t="n"/>
      <ns0:c r="AC827" s="17" t="n"/>
      <ns0:c r="AD827" s="17" t="n"/>
      <ns0:c r="AE827" s="17" t="n"/>
      <ns0:c r="AF827" s="17" t="n"/>
      <ns0:c r="AG827" s="17" t="n"/>
    </ns0:row>
    <ns0:row r="828" ht="24" customHeight="1">
      <ns0:c r="D828" s="17" t="n"/>
      <ns0:c r="E828" s="17" t="n"/>
      <ns0:c r="F828" s="17" t="n"/>
      <ns0:c r="G828" s="17" t="n"/>
      <ns0:c r="H828" s="17" t="n"/>
      <ns0:c r="I828" s="17" t="n"/>
      <ns0:c r="J828" s="17" t="n"/>
      <ns0:c r="K828" s="17" t="n"/>
      <ns0:c r="L828" s="17" t="n"/>
      <ns0:c r="M828" s="17" t="n"/>
      <ns0:c r="N828" s="17" t="n"/>
      <ns0:c r="O828" s="17" t="n"/>
      <ns0:c r="P828" s="17" t="n"/>
      <ns0:c r="Q828" s="17" t="n"/>
      <ns0:c r="R828" s="17" t="n"/>
      <ns0:c r="S828" s="17" t="n"/>
      <ns0:c r="T828" s="17" t="n"/>
      <ns0:c r="U828" s="17" t="n"/>
      <ns0:c r="V828" s="17" t="n"/>
      <ns0:c r="W828" s="17" t="n"/>
      <ns0:c r="X828" s="17" t="n"/>
      <ns0:c r="Y828" s="17" t="n"/>
      <ns0:c r="Z828" s="17" t="n"/>
      <ns0:c r="AA828" s="17" t="n"/>
      <ns0:c r="AB828" s="17" t="n"/>
      <ns0:c r="AC828" s="17" t="n"/>
      <ns0:c r="AD828" s="17" t="n"/>
      <ns0:c r="AE828" s="17" t="n"/>
      <ns0:c r="AF828" s="17" t="n"/>
      <ns0:c r="AG828" s="17" t="n"/>
    </ns0:row>
    <ns0:row r="829" ht="24" customHeight="1">
      <ns0:c r="D829" s="17" t="n"/>
      <ns0:c r="E829" s="17" t="n"/>
      <ns0:c r="F829" s="17" t="n"/>
      <ns0:c r="G829" s="17" t="n"/>
      <ns0:c r="H829" s="17" t="n"/>
      <ns0:c r="I829" s="17" t="n"/>
      <ns0:c r="J829" s="17" t="n"/>
      <ns0:c r="K829" s="17" t="n"/>
      <ns0:c r="L829" s="17" t="n"/>
      <ns0:c r="M829" s="17" t="n"/>
      <ns0:c r="N829" s="17" t="n"/>
      <ns0:c r="O829" s="17" t="n"/>
      <ns0:c r="P829" s="17" t="n"/>
      <ns0:c r="Q829" s="17" t="n"/>
      <ns0:c r="R829" s="17" t="n"/>
      <ns0:c r="S829" s="17" t="n"/>
      <ns0:c r="T829" s="17" t="n"/>
      <ns0:c r="U829" s="17" t="n"/>
      <ns0:c r="V829" s="17" t="n"/>
      <ns0:c r="W829" s="17" t="n"/>
      <ns0:c r="X829" s="17" t="n"/>
      <ns0:c r="Y829" s="17" t="n"/>
      <ns0:c r="Z829" s="17" t="n"/>
      <ns0:c r="AA829" s="17" t="n"/>
      <ns0:c r="AB829" s="17" t="n"/>
      <ns0:c r="AC829" s="17" t="n"/>
      <ns0:c r="AD829" s="17" t="n"/>
      <ns0:c r="AE829" s="17" t="n"/>
      <ns0:c r="AF829" s="17" t="n"/>
      <ns0:c r="AG829" s="17" t="n"/>
    </ns0:row>
    <ns0:row r="830" ht="24" customHeight="1">
      <ns0:c r="D830" s="17" t="n"/>
      <ns0:c r="E830" s="17" t="n"/>
      <ns0:c r="F830" s="17" t="n"/>
      <ns0:c r="G830" s="17" t="n"/>
      <ns0:c r="H830" s="17" t="n"/>
      <ns0:c r="I830" s="17" t="n"/>
      <ns0:c r="J830" s="17" t="n"/>
      <ns0:c r="K830" s="17" t="n"/>
      <ns0:c r="L830" s="17" t="n"/>
      <ns0:c r="M830" s="17" t="n"/>
      <ns0:c r="N830" s="17" t="n"/>
      <ns0:c r="O830" s="17" t="n"/>
      <ns0:c r="P830" s="17" t="n"/>
      <ns0:c r="Q830" s="17" t="n"/>
      <ns0:c r="R830" s="17" t="n"/>
      <ns0:c r="S830" s="17" t="n"/>
      <ns0:c r="T830" s="17" t="n"/>
      <ns0:c r="U830" s="17" t="n"/>
      <ns0:c r="V830" s="17" t="n"/>
      <ns0:c r="W830" s="17" t="n"/>
      <ns0:c r="X830" s="17" t="n"/>
      <ns0:c r="Y830" s="17" t="n"/>
      <ns0:c r="Z830" s="17" t="n"/>
      <ns0:c r="AA830" s="17" t="n"/>
      <ns0:c r="AB830" s="17" t="n"/>
      <ns0:c r="AC830" s="17" t="n"/>
      <ns0:c r="AD830" s="17" t="n"/>
      <ns0:c r="AE830" s="17" t="n"/>
      <ns0:c r="AF830" s="17" t="n"/>
      <ns0:c r="AG830" s="17" t="n"/>
    </ns0:row>
    <ns0:row r="831" ht="24" customHeight="1">
      <ns0:c r="D831" s="17" t="n"/>
      <ns0:c r="E831" s="17" t="n"/>
      <ns0:c r="F831" s="17" t="n"/>
      <ns0:c r="G831" s="17" t="n"/>
      <ns0:c r="H831" s="17" t="n"/>
      <ns0:c r="I831" s="17" t="n"/>
      <ns0:c r="J831" s="17" t="n"/>
      <ns0:c r="K831" s="17" t="n"/>
      <ns0:c r="L831" s="17" t="n"/>
      <ns0:c r="M831" s="17" t="n"/>
      <ns0:c r="N831" s="17" t="n"/>
      <ns0:c r="O831" s="17" t="n"/>
      <ns0:c r="P831" s="17" t="n"/>
      <ns0:c r="Q831" s="17" t="n"/>
      <ns0:c r="R831" s="17" t="n"/>
      <ns0:c r="S831" s="17" t="n"/>
      <ns0:c r="T831" s="17" t="n"/>
      <ns0:c r="U831" s="17" t="n"/>
      <ns0:c r="V831" s="17" t="n"/>
      <ns0:c r="W831" s="17" t="n"/>
      <ns0:c r="X831" s="17" t="n"/>
      <ns0:c r="Y831" s="17" t="n"/>
      <ns0:c r="Z831" s="17" t="n"/>
      <ns0:c r="AA831" s="17" t="n"/>
      <ns0:c r="AB831" s="17" t="n"/>
      <ns0:c r="AC831" s="17" t="n"/>
      <ns0:c r="AD831" s="17" t="n"/>
      <ns0:c r="AE831" s="17" t="n"/>
      <ns0:c r="AF831" s="17" t="n"/>
      <ns0:c r="AG831" s="17" t="n"/>
    </ns0:row>
    <ns0:row r="832" ht="24" customHeight="1">
      <ns0:c r="D832" s="17" t="n"/>
      <ns0:c r="E832" s="17" t="n"/>
      <ns0:c r="F832" s="17" t="n"/>
      <ns0:c r="G832" s="17" t="n"/>
      <ns0:c r="H832" s="17" t="n"/>
      <ns0:c r="I832" s="17" t="n"/>
      <ns0:c r="J832" s="17" t="n"/>
      <ns0:c r="K832" s="17" t="n"/>
      <ns0:c r="L832" s="17" t="n"/>
      <ns0:c r="M832" s="17" t="n"/>
      <ns0:c r="N832" s="17" t="n"/>
      <ns0:c r="O832" s="17" t="n"/>
      <ns0:c r="P832" s="17" t="n"/>
      <ns0:c r="Q832" s="17" t="n"/>
      <ns0:c r="R832" s="17" t="n"/>
      <ns0:c r="S832" s="17" t="n"/>
      <ns0:c r="T832" s="17" t="n"/>
      <ns0:c r="U832" s="17" t="n"/>
      <ns0:c r="V832" s="17" t="n"/>
      <ns0:c r="W832" s="17" t="n"/>
      <ns0:c r="X832" s="17" t="n"/>
      <ns0:c r="Y832" s="17" t="n"/>
      <ns0:c r="Z832" s="17" t="n"/>
      <ns0:c r="AA832" s="17" t="n"/>
      <ns0:c r="AB832" s="17" t="n"/>
      <ns0:c r="AC832" s="17" t="n"/>
      <ns0:c r="AD832" s="17" t="n"/>
      <ns0:c r="AE832" s="17" t="n"/>
      <ns0:c r="AF832" s="17" t="n"/>
      <ns0:c r="AG832" s="17" t="n"/>
    </ns0:row>
    <ns0:row r="833" ht="24" customHeight="1">
      <ns0:c r="D833" s="17" t="n"/>
      <ns0:c r="E833" s="17" t="n"/>
      <ns0:c r="F833" s="17" t="n"/>
      <ns0:c r="G833" s="17" t="n"/>
      <ns0:c r="H833" s="17" t="n"/>
      <ns0:c r="I833" s="17" t="n"/>
      <ns0:c r="J833" s="17" t="n"/>
      <ns0:c r="K833" s="17" t="n"/>
      <ns0:c r="L833" s="17" t="n"/>
      <ns0:c r="M833" s="17" t="n"/>
      <ns0:c r="N833" s="17" t="n"/>
      <ns0:c r="O833" s="17" t="n"/>
      <ns0:c r="P833" s="17" t="n"/>
      <ns0:c r="Q833" s="17" t="n"/>
      <ns0:c r="R833" s="17" t="n"/>
      <ns0:c r="S833" s="17" t="n"/>
      <ns0:c r="T833" s="17" t="n"/>
      <ns0:c r="U833" s="17" t="n"/>
      <ns0:c r="V833" s="17" t="n"/>
      <ns0:c r="W833" s="17" t="n"/>
      <ns0:c r="X833" s="17" t="n"/>
      <ns0:c r="Y833" s="17" t="n"/>
      <ns0:c r="Z833" s="17" t="n"/>
      <ns0:c r="AA833" s="17" t="n"/>
      <ns0:c r="AB833" s="17" t="n"/>
      <ns0:c r="AC833" s="17" t="n"/>
      <ns0:c r="AD833" s="17" t="n"/>
      <ns0:c r="AE833" s="17" t="n"/>
      <ns0:c r="AF833" s="17" t="n"/>
      <ns0:c r="AG833" s="17" t="n"/>
    </ns0:row>
    <ns0:row r="834" ht="24" customHeight="1">
      <ns0:c r="D834" s="17" t="n"/>
      <ns0:c r="E834" s="17" t="n"/>
      <ns0:c r="F834" s="17" t="n"/>
      <ns0:c r="G834" s="17" t="n"/>
      <ns0:c r="H834" s="17" t="n"/>
      <ns0:c r="I834" s="17" t="n"/>
      <ns0:c r="J834" s="17" t="n"/>
      <ns0:c r="K834" s="17" t="n"/>
      <ns0:c r="L834" s="17" t="n"/>
      <ns0:c r="M834" s="17" t="n"/>
      <ns0:c r="N834" s="17" t="n"/>
      <ns0:c r="O834" s="17" t="n"/>
      <ns0:c r="P834" s="17" t="n"/>
      <ns0:c r="Q834" s="17" t="n"/>
      <ns0:c r="R834" s="17" t="n"/>
      <ns0:c r="S834" s="17" t="n"/>
      <ns0:c r="T834" s="17" t="n"/>
      <ns0:c r="U834" s="17" t="n"/>
      <ns0:c r="V834" s="17" t="n"/>
      <ns0:c r="W834" s="17" t="n"/>
      <ns0:c r="X834" s="17" t="n"/>
      <ns0:c r="Y834" s="17" t="n"/>
      <ns0:c r="Z834" s="17" t="n"/>
      <ns0:c r="AA834" s="17" t="n"/>
      <ns0:c r="AB834" s="17" t="n"/>
      <ns0:c r="AC834" s="17" t="n"/>
      <ns0:c r="AD834" s="17" t="n"/>
      <ns0:c r="AE834" s="17" t="n"/>
      <ns0:c r="AF834" s="17" t="n"/>
      <ns0:c r="AG834" s="17" t="n"/>
    </ns0:row>
    <ns0:row r="835" ht="24" customHeight="1">
      <ns0:c r="D835" s="17" t="n"/>
      <ns0:c r="E835" s="17" t="n"/>
      <ns0:c r="F835" s="17" t="n"/>
      <ns0:c r="G835" s="17" t="n"/>
      <ns0:c r="H835" s="17" t="n"/>
      <ns0:c r="I835" s="17" t="n"/>
      <ns0:c r="J835" s="17" t="n"/>
      <ns0:c r="K835" s="17" t="n"/>
      <ns0:c r="L835" s="17" t="n"/>
      <ns0:c r="M835" s="17" t="n"/>
      <ns0:c r="N835" s="17" t="n"/>
      <ns0:c r="O835" s="17" t="n"/>
      <ns0:c r="P835" s="17" t="n"/>
      <ns0:c r="Q835" s="17" t="n"/>
      <ns0:c r="R835" s="17" t="n"/>
      <ns0:c r="S835" s="17" t="n"/>
      <ns0:c r="T835" s="17" t="n"/>
      <ns0:c r="U835" s="17" t="n"/>
      <ns0:c r="V835" s="17" t="n"/>
      <ns0:c r="W835" s="17" t="n"/>
      <ns0:c r="X835" s="17" t="n"/>
      <ns0:c r="Y835" s="17" t="n"/>
      <ns0:c r="Z835" s="17" t="n"/>
      <ns0:c r="AA835" s="17" t="n"/>
      <ns0:c r="AB835" s="17" t="n"/>
      <ns0:c r="AC835" s="17" t="n"/>
      <ns0:c r="AD835" s="17" t="n"/>
      <ns0:c r="AE835" s="17" t="n"/>
      <ns0:c r="AF835" s="17" t="n"/>
      <ns0:c r="AG835" s="17" t="n"/>
    </ns0:row>
    <ns0:row r="836" ht="24" customHeight="1">
      <ns0:c r="D836" s="17" t="n"/>
      <ns0:c r="E836" s="17" t="n"/>
      <ns0:c r="F836" s="17" t="n"/>
      <ns0:c r="G836" s="17" t="n"/>
      <ns0:c r="H836" s="17" t="n"/>
      <ns0:c r="I836" s="17" t="n"/>
      <ns0:c r="J836" s="17" t="n"/>
      <ns0:c r="K836" s="17" t="n"/>
      <ns0:c r="L836" s="17" t="n"/>
      <ns0:c r="M836" s="17" t="n"/>
      <ns0:c r="N836" s="17" t="n"/>
      <ns0:c r="O836" s="17" t="n"/>
      <ns0:c r="P836" s="17" t="n"/>
      <ns0:c r="Q836" s="17" t="n"/>
      <ns0:c r="R836" s="17" t="n"/>
      <ns0:c r="S836" s="17" t="n"/>
      <ns0:c r="T836" s="17" t="n"/>
      <ns0:c r="U836" s="17" t="n"/>
      <ns0:c r="V836" s="17" t="n"/>
      <ns0:c r="W836" s="17" t="n"/>
      <ns0:c r="X836" s="17" t="n"/>
      <ns0:c r="Y836" s="17" t="n"/>
      <ns0:c r="Z836" s="17" t="n"/>
      <ns0:c r="AA836" s="17" t="n"/>
      <ns0:c r="AB836" s="17" t="n"/>
      <ns0:c r="AC836" s="17" t="n"/>
      <ns0:c r="AD836" s="17" t="n"/>
      <ns0:c r="AE836" s="17" t="n"/>
      <ns0:c r="AF836" s="17" t="n"/>
      <ns0:c r="AG836" s="17" t="n"/>
    </ns0:row>
    <ns0:row r="837" ht="24" customHeight="1">
      <ns0:c r="D837" s="17" t="n"/>
      <ns0:c r="E837" s="17" t="n"/>
      <ns0:c r="F837" s="17" t="n"/>
      <ns0:c r="G837" s="17" t="n"/>
      <ns0:c r="H837" s="17" t="n"/>
      <ns0:c r="I837" s="17" t="n"/>
      <ns0:c r="J837" s="17" t="n"/>
      <ns0:c r="K837" s="17" t="n"/>
      <ns0:c r="L837" s="17" t="n"/>
      <ns0:c r="M837" s="17" t="n"/>
      <ns0:c r="N837" s="17" t="n"/>
      <ns0:c r="O837" s="17" t="n"/>
      <ns0:c r="P837" s="17" t="n"/>
      <ns0:c r="Q837" s="17" t="n"/>
      <ns0:c r="R837" s="17" t="n"/>
      <ns0:c r="S837" s="17" t="n"/>
      <ns0:c r="T837" s="17" t="n"/>
      <ns0:c r="U837" s="17" t="n"/>
      <ns0:c r="V837" s="17" t="n"/>
      <ns0:c r="W837" s="17" t="n"/>
      <ns0:c r="X837" s="17" t="n"/>
      <ns0:c r="Y837" s="17" t="n"/>
      <ns0:c r="Z837" s="17" t="n"/>
      <ns0:c r="AA837" s="17" t="n"/>
      <ns0:c r="AB837" s="17" t="n"/>
      <ns0:c r="AC837" s="17" t="n"/>
      <ns0:c r="AD837" s="17" t="n"/>
      <ns0:c r="AE837" s="17" t="n"/>
      <ns0:c r="AF837" s="17" t="n"/>
      <ns0:c r="AG837" s="17" t="n"/>
    </ns0:row>
    <ns0:row r="838" ht="24" customHeight="1">
      <ns0:c r="D838" s="17" t="n"/>
      <ns0:c r="E838" s="17" t="n"/>
      <ns0:c r="F838" s="17" t="n"/>
      <ns0:c r="G838" s="17" t="n"/>
      <ns0:c r="H838" s="17" t="n"/>
      <ns0:c r="I838" s="17" t="n"/>
      <ns0:c r="J838" s="17" t="n"/>
      <ns0:c r="K838" s="17" t="n"/>
      <ns0:c r="L838" s="17" t="n"/>
      <ns0:c r="M838" s="17" t="n"/>
      <ns0:c r="N838" s="17" t="n"/>
      <ns0:c r="O838" s="17" t="n"/>
      <ns0:c r="P838" s="17" t="n"/>
      <ns0:c r="Q838" s="17" t="n"/>
      <ns0:c r="R838" s="17" t="n"/>
      <ns0:c r="S838" s="17" t="n"/>
      <ns0:c r="T838" s="17" t="n"/>
      <ns0:c r="U838" s="17" t="n"/>
      <ns0:c r="V838" s="17" t="n"/>
      <ns0:c r="W838" s="17" t="n"/>
      <ns0:c r="X838" s="17" t="n"/>
      <ns0:c r="Y838" s="17" t="n"/>
      <ns0:c r="Z838" s="17" t="n"/>
      <ns0:c r="AA838" s="17" t="n"/>
      <ns0:c r="AB838" s="17" t="n"/>
      <ns0:c r="AC838" s="17" t="n"/>
      <ns0:c r="AD838" s="17" t="n"/>
      <ns0:c r="AE838" s="17" t="n"/>
      <ns0:c r="AF838" s="17" t="n"/>
      <ns0:c r="AG838" s="17" t="n"/>
    </ns0:row>
    <ns0:row r="839" ht="24" customHeight="1">
      <ns0:c r="D839" s="17" t="n"/>
      <ns0:c r="E839" s="17" t="n"/>
      <ns0:c r="F839" s="17" t="n"/>
      <ns0:c r="G839" s="17" t="n"/>
      <ns0:c r="H839" s="17" t="n"/>
      <ns0:c r="I839" s="17" t="n"/>
      <ns0:c r="J839" s="17" t="n"/>
      <ns0:c r="K839" s="17" t="n"/>
      <ns0:c r="L839" s="17" t="n"/>
      <ns0:c r="M839" s="17" t="n"/>
      <ns0:c r="N839" s="17" t="n"/>
      <ns0:c r="O839" s="17" t="n"/>
      <ns0:c r="P839" s="17" t="n"/>
      <ns0:c r="Q839" s="17" t="n"/>
      <ns0:c r="R839" s="17" t="n"/>
      <ns0:c r="S839" s="17" t="n"/>
      <ns0:c r="T839" s="17" t="n"/>
      <ns0:c r="U839" s="17" t="n"/>
      <ns0:c r="V839" s="17" t="n"/>
      <ns0:c r="W839" s="17" t="n"/>
      <ns0:c r="X839" s="17" t="n"/>
      <ns0:c r="Y839" s="17" t="n"/>
      <ns0:c r="Z839" s="17" t="n"/>
      <ns0:c r="AA839" s="17" t="n"/>
      <ns0:c r="AB839" s="17" t="n"/>
      <ns0:c r="AC839" s="17" t="n"/>
      <ns0:c r="AD839" s="17" t="n"/>
      <ns0:c r="AE839" s="17" t="n"/>
      <ns0:c r="AF839" s="17" t="n"/>
      <ns0:c r="AG839" s="17" t="n"/>
    </ns0:row>
    <ns0:row r="840" ht="24" customHeight="1">
      <ns0:c r="D840" s="17" t="n"/>
      <ns0:c r="E840" s="17" t="n"/>
      <ns0:c r="F840" s="17" t="n"/>
      <ns0:c r="G840" s="17" t="n"/>
      <ns0:c r="H840" s="17" t="n"/>
      <ns0:c r="I840" s="17" t="n"/>
      <ns0:c r="J840" s="17" t="n"/>
      <ns0:c r="K840" s="17" t="n"/>
      <ns0:c r="L840" s="17" t="n"/>
      <ns0:c r="M840" s="17" t="n"/>
      <ns0:c r="N840" s="17" t="n"/>
      <ns0:c r="O840" s="17" t="n"/>
      <ns0:c r="P840" s="17" t="n"/>
      <ns0:c r="Q840" s="17" t="n"/>
      <ns0:c r="R840" s="17" t="n"/>
      <ns0:c r="S840" s="17" t="n"/>
      <ns0:c r="T840" s="17" t="n"/>
      <ns0:c r="U840" s="17" t="n"/>
      <ns0:c r="V840" s="17" t="n"/>
      <ns0:c r="W840" s="17" t="n"/>
      <ns0:c r="X840" s="17" t="n"/>
      <ns0:c r="Y840" s="17" t="n"/>
      <ns0:c r="Z840" s="17" t="n"/>
      <ns0:c r="AA840" s="17" t="n"/>
      <ns0:c r="AB840" s="17" t="n"/>
      <ns0:c r="AC840" s="17" t="n"/>
      <ns0:c r="AD840" s="17" t="n"/>
      <ns0:c r="AE840" s="17" t="n"/>
      <ns0:c r="AF840" s="17" t="n"/>
      <ns0:c r="AG840" s="17" t="n"/>
    </ns0:row>
    <ns0:row r="841" ht="24" customHeight="1">
      <ns0:c r="D841" s="17" t="n"/>
      <ns0:c r="E841" s="17" t="n"/>
      <ns0:c r="F841" s="17" t="n"/>
      <ns0:c r="G841" s="17" t="n"/>
      <ns0:c r="H841" s="17" t="n"/>
      <ns0:c r="I841" s="17" t="n"/>
      <ns0:c r="J841" s="17" t="n"/>
      <ns0:c r="K841" s="17" t="n"/>
      <ns0:c r="L841" s="17" t="n"/>
      <ns0:c r="M841" s="17" t="n"/>
      <ns0:c r="N841" s="17" t="n"/>
      <ns0:c r="O841" s="17" t="n"/>
      <ns0:c r="P841" s="17" t="n"/>
      <ns0:c r="Q841" s="17" t="n"/>
      <ns0:c r="R841" s="17" t="n"/>
      <ns0:c r="S841" s="17" t="n"/>
      <ns0:c r="T841" s="17" t="n"/>
      <ns0:c r="U841" s="17" t="n"/>
      <ns0:c r="V841" s="17" t="n"/>
      <ns0:c r="W841" s="17" t="n"/>
      <ns0:c r="X841" s="17" t="n"/>
      <ns0:c r="Y841" s="17" t="n"/>
      <ns0:c r="Z841" s="17" t="n"/>
      <ns0:c r="AA841" s="17" t="n"/>
      <ns0:c r="AB841" s="17" t="n"/>
      <ns0:c r="AC841" s="17" t="n"/>
      <ns0:c r="AD841" s="17" t="n"/>
      <ns0:c r="AE841" s="17" t="n"/>
      <ns0:c r="AF841" s="17" t="n"/>
      <ns0:c r="AG841" s="17" t="n"/>
    </ns0:row>
    <ns0:row r="842" ht="24" customHeight="1">
      <ns0:c r="D842" s="17" t="n"/>
      <ns0:c r="E842" s="17" t="n"/>
      <ns0:c r="F842" s="17" t="n"/>
      <ns0:c r="G842" s="17" t="n"/>
      <ns0:c r="H842" s="17" t="n"/>
      <ns0:c r="I842" s="17" t="n"/>
      <ns0:c r="J842" s="17" t="n"/>
      <ns0:c r="K842" s="17" t="n"/>
      <ns0:c r="L842" s="17" t="n"/>
      <ns0:c r="M842" s="17" t="n"/>
      <ns0:c r="N842" s="17" t="n"/>
      <ns0:c r="O842" s="17" t="n"/>
      <ns0:c r="P842" s="17" t="n"/>
      <ns0:c r="Q842" s="17" t="n"/>
      <ns0:c r="R842" s="17" t="n"/>
      <ns0:c r="S842" s="17" t="n"/>
      <ns0:c r="T842" s="17" t="n"/>
      <ns0:c r="U842" s="17" t="n"/>
      <ns0:c r="V842" s="17" t="n"/>
      <ns0:c r="W842" s="17" t="n"/>
      <ns0:c r="X842" s="17" t="n"/>
      <ns0:c r="Y842" s="17" t="n"/>
      <ns0:c r="Z842" s="17" t="n"/>
      <ns0:c r="AA842" s="17" t="n"/>
      <ns0:c r="AB842" s="17" t="n"/>
      <ns0:c r="AC842" s="17" t="n"/>
      <ns0:c r="AD842" s="17" t="n"/>
      <ns0:c r="AE842" s="17" t="n"/>
      <ns0:c r="AF842" s="17" t="n"/>
      <ns0:c r="AG842" s="17" t="n"/>
    </ns0:row>
    <ns0:row r="843" ht="24" customHeight="1">
      <ns0:c r="D843" s="17" t="n"/>
      <ns0:c r="E843" s="17" t="n"/>
      <ns0:c r="F843" s="17" t="n"/>
      <ns0:c r="G843" s="17" t="n"/>
      <ns0:c r="H843" s="17" t="n"/>
      <ns0:c r="I843" s="17" t="n"/>
      <ns0:c r="J843" s="17" t="n"/>
      <ns0:c r="K843" s="17" t="n"/>
      <ns0:c r="L843" s="17" t="n"/>
      <ns0:c r="M843" s="17" t="n"/>
      <ns0:c r="N843" s="17" t="n"/>
      <ns0:c r="O843" s="17" t="n"/>
      <ns0:c r="P843" s="17" t="n"/>
      <ns0:c r="Q843" s="17" t="n"/>
      <ns0:c r="R843" s="17" t="n"/>
      <ns0:c r="S843" s="17" t="n"/>
      <ns0:c r="T843" s="17" t="n"/>
      <ns0:c r="U843" s="17" t="n"/>
      <ns0:c r="V843" s="17" t="n"/>
      <ns0:c r="W843" s="17" t="n"/>
      <ns0:c r="X843" s="17" t="n"/>
      <ns0:c r="Y843" s="17" t="n"/>
      <ns0:c r="Z843" s="17" t="n"/>
      <ns0:c r="AA843" s="17" t="n"/>
      <ns0:c r="AB843" s="17" t="n"/>
      <ns0:c r="AC843" s="17" t="n"/>
      <ns0:c r="AD843" s="17" t="n"/>
      <ns0:c r="AE843" s="17" t="n"/>
      <ns0:c r="AF843" s="17" t="n"/>
      <ns0:c r="AG843" s="17" t="n"/>
    </ns0:row>
    <ns0:row r="844" ht="24" customHeight="1">
      <ns0:c r="D844" s="17" t="n"/>
      <ns0:c r="E844" s="17" t="n"/>
      <ns0:c r="F844" s="17" t="n"/>
      <ns0:c r="G844" s="17" t="n"/>
      <ns0:c r="H844" s="17" t="n"/>
      <ns0:c r="I844" s="17" t="n"/>
      <ns0:c r="J844" s="17" t="n"/>
      <ns0:c r="K844" s="17" t="n"/>
      <ns0:c r="L844" s="17" t="n"/>
      <ns0:c r="M844" s="17" t="n"/>
      <ns0:c r="N844" s="17" t="n"/>
      <ns0:c r="O844" s="17" t="n"/>
      <ns0:c r="P844" s="17" t="n"/>
      <ns0:c r="Q844" s="17" t="n"/>
      <ns0:c r="R844" s="17" t="n"/>
      <ns0:c r="S844" s="17" t="n"/>
      <ns0:c r="T844" s="17" t="n"/>
      <ns0:c r="U844" s="17" t="n"/>
      <ns0:c r="V844" s="17" t="n"/>
      <ns0:c r="W844" s="17" t="n"/>
      <ns0:c r="X844" s="17" t="n"/>
      <ns0:c r="Y844" s="17" t="n"/>
      <ns0:c r="Z844" s="17" t="n"/>
      <ns0:c r="AA844" s="17" t="n"/>
      <ns0:c r="AB844" s="17" t="n"/>
      <ns0:c r="AC844" s="17" t="n"/>
      <ns0:c r="AD844" s="17" t="n"/>
      <ns0:c r="AE844" s="17" t="n"/>
      <ns0:c r="AF844" s="17" t="n"/>
      <ns0:c r="AG844" s="17" t="n"/>
    </ns0:row>
    <ns0:row r="845" ht="24" customHeight="1">
      <ns0:c r="D845" s="17" t="n"/>
      <ns0:c r="E845" s="17" t="n"/>
      <ns0:c r="F845" s="17" t="n"/>
      <ns0:c r="G845" s="17" t="n"/>
      <ns0:c r="H845" s="17" t="n"/>
      <ns0:c r="I845" s="17" t="n"/>
      <ns0:c r="J845" s="17" t="n"/>
      <ns0:c r="K845" s="17" t="n"/>
      <ns0:c r="L845" s="17" t="n"/>
      <ns0:c r="M845" s="17" t="n"/>
      <ns0:c r="N845" s="17" t="n"/>
      <ns0:c r="O845" s="17" t="n"/>
      <ns0:c r="P845" s="17" t="n"/>
      <ns0:c r="Q845" s="17" t="n"/>
      <ns0:c r="R845" s="17" t="n"/>
      <ns0:c r="S845" s="17" t="n"/>
      <ns0:c r="T845" s="17" t="n"/>
      <ns0:c r="U845" s="17" t="n"/>
      <ns0:c r="V845" s="17" t="n"/>
      <ns0:c r="W845" s="17" t="n"/>
      <ns0:c r="X845" s="17" t="n"/>
      <ns0:c r="Y845" s="17" t="n"/>
      <ns0:c r="Z845" s="17" t="n"/>
      <ns0:c r="AA845" s="17" t="n"/>
      <ns0:c r="AB845" s="17" t="n"/>
      <ns0:c r="AC845" s="17" t="n"/>
      <ns0:c r="AD845" s="17" t="n"/>
      <ns0:c r="AE845" s="17" t="n"/>
      <ns0:c r="AF845" s="17" t="n"/>
      <ns0:c r="AG845" s="17" t="n"/>
    </ns0:row>
    <ns0:row r="846" ht="24" customHeight="1">
      <ns0:c r="D846" s="17" t="n"/>
      <ns0:c r="E846" s="17" t="n"/>
      <ns0:c r="F846" s="17" t="n"/>
      <ns0:c r="G846" s="17" t="n"/>
      <ns0:c r="H846" s="17" t="n"/>
      <ns0:c r="I846" s="17" t="n"/>
      <ns0:c r="J846" s="17" t="n"/>
      <ns0:c r="K846" s="17" t="n"/>
      <ns0:c r="L846" s="17" t="n"/>
      <ns0:c r="M846" s="17" t="n"/>
      <ns0:c r="N846" s="17" t="n"/>
      <ns0:c r="O846" s="17" t="n"/>
      <ns0:c r="P846" s="17" t="n"/>
      <ns0:c r="Q846" s="17" t="n"/>
      <ns0:c r="R846" s="17" t="n"/>
      <ns0:c r="S846" s="17" t="n"/>
      <ns0:c r="T846" s="17" t="n"/>
      <ns0:c r="U846" s="17" t="n"/>
      <ns0:c r="V846" s="17" t="n"/>
      <ns0:c r="W846" s="17" t="n"/>
      <ns0:c r="X846" s="17" t="n"/>
      <ns0:c r="Y846" s="17" t="n"/>
      <ns0:c r="Z846" s="17" t="n"/>
      <ns0:c r="AA846" s="17" t="n"/>
      <ns0:c r="AB846" s="17" t="n"/>
      <ns0:c r="AC846" s="17" t="n"/>
      <ns0:c r="AD846" s="17" t="n"/>
      <ns0:c r="AE846" s="17" t="n"/>
      <ns0:c r="AF846" s="17" t="n"/>
      <ns0:c r="AG846" s="17" t="n"/>
    </ns0:row>
    <ns0:row r="847" ht="24" customHeight="1">
      <ns0:c r="D847" s="17" t="n"/>
      <ns0:c r="E847" s="17" t="n"/>
      <ns0:c r="F847" s="17" t="n"/>
      <ns0:c r="G847" s="17" t="n"/>
      <ns0:c r="H847" s="17" t="n"/>
      <ns0:c r="I847" s="17" t="n"/>
      <ns0:c r="J847" s="17" t="n"/>
      <ns0:c r="K847" s="17" t="n"/>
      <ns0:c r="L847" s="17" t="n"/>
      <ns0:c r="M847" s="17" t="n"/>
      <ns0:c r="N847" s="17" t="n"/>
      <ns0:c r="O847" s="17" t="n"/>
      <ns0:c r="P847" s="17" t="n"/>
      <ns0:c r="Q847" s="17" t="n"/>
      <ns0:c r="R847" s="17" t="n"/>
      <ns0:c r="S847" s="17" t="n"/>
      <ns0:c r="T847" s="17" t="n"/>
      <ns0:c r="U847" s="17" t="n"/>
      <ns0:c r="V847" s="17" t="n"/>
      <ns0:c r="W847" s="17" t="n"/>
      <ns0:c r="X847" s="17" t="n"/>
      <ns0:c r="Y847" s="17" t="n"/>
      <ns0:c r="Z847" s="17" t="n"/>
      <ns0:c r="AA847" s="17" t="n"/>
      <ns0:c r="AB847" s="17" t="n"/>
      <ns0:c r="AC847" s="17" t="n"/>
      <ns0:c r="AD847" s="17" t="n"/>
      <ns0:c r="AE847" s="17" t="n"/>
      <ns0:c r="AF847" s="17" t="n"/>
      <ns0:c r="AG847" s="17" t="n"/>
    </ns0:row>
    <ns0:row r="848" ht="24" customHeight="1">
      <ns0:c r="D848" s="17" t="n"/>
      <ns0:c r="E848" s="17" t="n"/>
      <ns0:c r="F848" s="17" t="n"/>
      <ns0:c r="G848" s="17" t="n"/>
      <ns0:c r="H848" s="17" t="n"/>
      <ns0:c r="I848" s="17" t="n"/>
      <ns0:c r="J848" s="17" t="n"/>
      <ns0:c r="K848" s="17" t="n"/>
      <ns0:c r="L848" s="17" t="n"/>
      <ns0:c r="M848" s="17" t="n"/>
      <ns0:c r="N848" s="17" t="n"/>
      <ns0:c r="O848" s="17" t="n"/>
      <ns0:c r="P848" s="17" t="n"/>
      <ns0:c r="Q848" s="17" t="n"/>
      <ns0:c r="R848" s="17" t="n"/>
      <ns0:c r="S848" s="17" t="n"/>
      <ns0:c r="T848" s="17" t="n"/>
      <ns0:c r="U848" s="17" t="n"/>
      <ns0:c r="V848" s="17" t="n"/>
      <ns0:c r="W848" s="17" t="n"/>
      <ns0:c r="X848" s="17" t="n"/>
      <ns0:c r="Y848" s="17" t="n"/>
      <ns0:c r="Z848" s="17" t="n"/>
      <ns0:c r="AA848" s="17" t="n"/>
      <ns0:c r="AB848" s="17" t="n"/>
      <ns0:c r="AC848" s="17" t="n"/>
      <ns0:c r="AD848" s="17" t="n"/>
      <ns0:c r="AE848" s="17" t="n"/>
      <ns0:c r="AF848" s="17" t="n"/>
      <ns0:c r="AG848" s="17" t="n"/>
    </ns0:row>
    <ns0:row r="849" ht="24" customHeight="1">
      <ns0:c r="D849" s="17" t="n"/>
      <ns0:c r="E849" s="17" t="n"/>
      <ns0:c r="F849" s="17" t="n"/>
      <ns0:c r="G849" s="17" t="n"/>
      <ns0:c r="H849" s="17" t="n"/>
      <ns0:c r="I849" s="17" t="n"/>
      <ns0:c r="J849" s="17" t="n"/>
      <ns0:c r="K849" s="17" t="n"/>
      <ns0:c r="L849" s="17" t="n"/>
      <ns0:c r="M849" s="17" t="n"/>
      <ns0:c r="N849" s="17" t="n"/>
      <ns0:c r="O849" s="17" t="n"/>
      <ns0:c r="P849" s="17" t="n"/>
      <ns0:c r="Q849" s="17" t="n"/>
      <ns0:c r="R849" s="17" t="n"/>
      <ns0:c r="S849" s="17" t="n"/>
      <ns0:c r="T849" s="17" t="n"/>
      <ns0:c r="U849" s="17" t="n"/>
      <ns0:c r="V849" s="17" t="n"/>
      <ns0:c r="W849" s="17" t="n"/>
      <ns0:c r="X849" s="17" t="n"/>
      <ns0:c r="Y849" s="17" t="n"/>
      <ns0:c r="Z849" s="17" t="n"/>
      <ns0:c r="AA849" s="17" t="n"/>
      <ns0:c r="AB849" s="17" t="n"/>
      <ns0:c r="AC849" s="17" t="n"/>
      <ns0:c r="AD849" s="17" t="n"/>
      <ns0:c r="AE849" s="17" t="n"/>
      <ns0:c r="AF849" s="17" t="n"/>
      <ns0:c r="AG849" s="17" t="n"/>
    </ns0:row>
    <ns0:row r="850" ht="24" customHeight="1">
      <ns0:c r="D850" s="17" t="n"/>
      <ns0:c r="E850" s="17" t="n"/>
      <ns0:c r="F850" s="17" t="n"/>
      <ns0:c r="G850" s="17" t="n"/>
      <ns0:c r="H850" s="17" t="n"/>
      <ns0:c r="I850" s="17" t="n"/>
      <ns0:c r="J850" s="17" t="n"/>
      <ns0:c r="K850" s="17" t="n"/>
      <ns0:c r="L850" s="17" t="n"/>
      <ns0:c r="M850" s="17" t="n"/>
      <ns0:c r="N850" s="17" t="n"/>
      <ns0:c r="O850" s="17" t="n"/>
      <ns0:c r="P850" s="17" t="n"/>
      <ns0:c r="Q850" s="17" t="n"/>
      <ns0:c r="R850" s="17" t="n"/>
      <ns0:c r="S850" s="17" t="n"/>
      <ns0:c r="T850" s="17" t="n"/>
      <ns0:c r="U850" s="17" t="n"/>
      <ns0:c r="V850" s="17" t="n"/>
      <ns0:c r="W850" s="17" t="n"/>
      <ns0:c r="X850" s="17" t="n"/>
      <ns0:c r="Y850" s="17" t="n"/>
      <ns0:c r="Z850" s="17" t="n"/>
      <ns0:c r="AA850" s="17" t="n"/>
      <ns0:c r="AB850" s="17" t="n"/>
      <ns0:c r="AC850" s="17" t="n"/>
      <ns0:c r="AD850" s="17" t="n"/>
      <ns0:c r="AE850" s="17" t="n"/>
      <ns0:c r="AF850" s="17" t="n"/>
      <ns0:c r="AG850" s="17" t="n"/>
    </ns0:row>
    <ns0:row r="851" ht="24" customHeight="1">
      <ns0:c r="D851" s="17" t="n"/>
      <ns0:c r="E851" s="17" t="n"/>
      <ns0:c r="F851" s="17" t="n"/>
      <ns0:c r="G851" s="17" t="n"/>
      <ns0:c r="H851" s="17" t="n"/>
      <ns0:c r="I851" s="17" t="n"/>
      <ns0:c r="J851" s="17" t="n"/>
      <ns0:c r="K851" s="17" t="n"/>
      <ns0:c r="L851" s="17" t="n"/>
      <ns0:c r="M851" s="17" t="n"/>
      <ns0:c r="N851" s="17" t="n"/>
      <ns0:c r="O851" s="17" t="n"/>
      <ns0:c r="P851" s="17" t="n"/>
      <ns0:c r="Q851" s="17" t="n"/>
      <ns0:c r="R851" s="17" t="n"/>
      <ns0:c r="S851" s="17" t="n"/>
      <ns0:c r="T851" s="17" t="n"/>
      <ns0:c r="U851" s="17" t="n"/>
      <ns0:c r="V851" s="17" t="n"/>
      <ns0:c r="W851" s="17" t="n"/>
      <ns0:c r="X851" s="17" t="n"/>
      <ns0:c r="Y851" s="17" t="n"/>
      <ns0:c r="Z851" s="17" t="n"/>
      <ns0:c r="AA851" s="17" t="n"/>
      <ns0:c r="AB851" s="17" t="n"/>
      <ns0:c r="AC851" s="17" t="n"/>
      <ns0:c r="AD851" s="17" t="n"/>
      <ns0:c r="AE851" s="17" t="n"/>
      <ns0:c r="AF851" s="17" t="n"/>
      <ns0:c r="AG851" s="17" t="n"/>
    </ns0:row>
    <ns0:row r="852" ht="24" customHeight="1">
      <ns0:c r="D852" s="17" t="n"/>
      <ns0:c r="E852" s="17" t="n"/>
      <ns0:c r="F852" s="17" t="n"/>
      <ns0:c r="G852" s="17" t="n"/>
      <ns0:c r="H852" s="17" t="n"/>
      <ns0:c r="I852" s="17" t="n"/>
      <ns0:c r="J852" s="17" t="n"/>
      <ns0:c r="K852" s="17" t="n"/>
      <ns0:c r="L852" s="17" t="n"/>
      <ns0:c r="M852" s="17" t="n"/>
      <ns0:c r="N852" s="17" t="n"/>
      <ns0:c r="O852" s="17" t="n"/>
      <ns0:c r="P852" s="17" t="n"/>
      <ns0:c r="Q852" s="17" t="n"/>
      <ns0:c r="R852" s="17" t="n"/>
      <ns0:c r="S852" s="17" t="n"/>
      <ns0:c r="T852" s="17" t="n"/>
      <ns0:c r="U852" s="17" t="n"/>
      <ns0:c r="V852" s="17" t="n"/>
      <ns0:c r="W852" s="17" t="n"/>
      <ns0:c r="X852" s="17" t="n"/>
      <ns0:c r="Y852" s="17" t="n"/>
      <ns0:c r="Z852" s="17" t="n"/>
      <ns0:c r="AA852" s="17" t="n"/>
      <ns0:c r="AB852" s="17" t="n"/>
      <ns0:c r="AC852" s="17" t="n"/>
      <ns0:c r="AD852" s="17" t="n"/>
      <ns0:c r="AE852" s="17" t="n"/>
      <ns0:c r="AF852" s="17" t="n"/>
      <ns0:c r="AG852" s="17" t="n"/>
    </ns0:row>
    <ns0:row r="853" ht="24" customHeight="1">
      <ns0:c r="D853" s="17" t="n"/>
      <ns0:c r="E853" s="17" t="n"/>
      <ns0:c r="F853" s="17" t="n"/>
      <ns0:c r="G853" s="17" t="n"/>
      <ns0:c r="H853" s="17" t="n"/>
      <ns0:c r="I853" s="17" t="n"/>
      <ns0:c r="J853" s="17" t="n"/>
      <ns0:c r="K853" s="17" t="n"/>
      <ns0:c r="L853" s="17" t="n"/>
      <ns0:c r="M853" s="17" t="n"/>
      <ns0:c r="N853" s="17" t="n"/>
      <ns0:c r="O853" s="17" t="n"/>
      <ns0:c r="P853" s="17" t="n"/>
      <ns0:c r="Q853" s="17" t="n"/>
      <ns0:c r="R853" s="17" t="n"/>
      <ns0:c r="S853" s="17" t="n"/>
      <ns0:c r="T853" s="17" t="n"/>
      <ns0:c r="U853" s="17" t="n"/>
      <ns0:c r="V853" s="17" t="n"/>
      <ns0:c r="W853" s="17" t="n"/>
      <ns0:c r="X853" s="17" t="n"/>
      <ns0:c r="Y853" s="17" t="n"/>
      <ns0:c r="Z853" s="17" t="n"/>
      <ns0:c r="AA853" s="17" t="n"/>
      <ns0:c r="AB853" s="17" t="n"/>
      <ns0:c r="AC853" s="17" t="n"/>
      <ns0:c r="AD853" s="17" t="n"/>
      <ns0:c r="AE853" s="17" t="n"/>
      <ns0:c r="AF853" s="17" t="n"/>
      <ns0:c r="AG853" s="17" t="n"/>
    </ns0:row>
    <ns0:row r="854" ht="24" customHeight="1">
      <ns0:c r="D854" s="17" t="n"/>
      <ns0:c r="E854" s="17" t="n"/>
      <ns0:c r="F854" s="17" t="n"/>
      <ns0:c r="G854" s="17" t="n"/>
      <ns0:c r="H854" s="17" t="n"/>
      <ns0:c r="I854" s="17" t="n"/>
      <ns0:c r="J854" s="17" t="n"/>
      <ns0:c r="K854" s="17" t="n"/>
      <ns0:c r="L854" s="17" t="n"/>
      <ns0:c r="M854" s="17" t="n"/>
      <ns0:c r="N854" s="17" t="n"/>
      <ns0:c r="O854" s="17" t="n"/>
      <ns0:c r="P854" s="17" t="n"/>
      <ns0:c r="Q854" s="17" t="n"/>
      <ns0:c r="R854" s="17" t="n"/>
      <ns0:c r="S854" s="17" t="n"/>
      <ns0:c r="T854" s="17" t="n"/>
      <ns0:c r="U854" s="17" t="n"/>
      <ns0:c r="V854" s="17" t="n"/>
      <ns0:c r="W854" s="17" t="n"/>
      <ns0:c r="X854" s="17" t="n"/>
      <ns0:c r="Y854" s="17" t="n"/>
      <ns0:c r="Z854" s="17" t="n"/>
      <ns0:c r="AA854" s="17" t="n"/>
      <ns0:c r="AB854" s="17" t="n"/>
      <ns0:c r="AC854" s="17" t="n"/>
      <ns0:c r="AD854" s="17" t="n"/>
      <ns0:c r="AE854" s="17" t="n"/>
      <ns0:c r="AF854" s="17" t="n"/>
      <ns0:c r="AG854" s="17" t="n"/>
    </ns0:row>
    <ns0:row r="855" ht="24" customHeight="1">
      <ns0:c r="D855" s="17" t="n"/>
      <ns0:c r="E855" s="17" t="n"/>
      <ns0:c r="F855" s="17" t="n"/>
      <ns0:c r="G855" s="17" t="n"/>
      <ns0:c r="H855" s="17" t="n"/>
      <ns0:c r="I855" s="17" t="n"/>
      <ns0:c r="J855" s="17" t="n"/>
      <ns0:c r="K855" s="17" t="n"/>
      <ns0:c r="L855" s="17" t="n"/>
      <ns0:c r="M855" s="17" t="n"/>
      <ns0:c r="N855" s="17" t="n"/>
      <ns0:c r="O855" s="17" t="n"/>
      <ns0:c r="P855" s="17" t="n"/>
      <ns0:c r="Q855" s="17" t="n"/>
      <ns0:c r="R855" s="17" t="n"/>
      <ns0:c r="S855" s="17" t="n"/>
      <ns0:c r="T855" s="17" t="n"/>
      <ns0:c r="U855" s="17" t="n"/>
      <ns0:c r="V855" s="17" t="n"/>
      <ns0:c r="W855" s="17" t="n"/>
      <ns0:c r="X855" s="17" t="n"/>
      <ns0:c r="Y855" s="17" t="n"/>
      <ns0:c r="Z855" s="17" t="n"/>
      <ns0:c r="AA855" s="17" t="n"/>
      <ns0:c r="AB855" s="17" t="n"/>
      <ns0:c r="AC855" s="17" t="n"/>
      <ns0:c r="AD855" s="17" t="n"/>
      <ns0:c r="AE855" s="17" t="n"/>
      <ns0:c r="AF855" s="17" t="n"/>
      <ns0:c r="AG855" s="17" t="n"/>
    </ns0:row>
    <ns0:row r="856" ht="24" customHeight="1">
      <ns0:c r="D856" s="17" t="n"/>
      <ns0:c r="E856" s="17" t="n"/>
      <ns0:c r="F856" s="17" t="n"/>
      <ns0:c r="G856" s="17" t="n"/>
      <ns0:c r="H856" s="17" t="n"/>
      <ns0:c r="I856" s="17" t="n"/>
      <ns0:c r="J856" s="17" t="n"/>
      <ns0:c r="K856" s="17" t="n"/>
      <ns0:c r="L856" s="17" t="n"/>
      <ns0:c r="M856" s="17" t="n"/>
      <ns0:c r="N856" s="17" t="n"/>
      <ns0:c r="O856" s="17" t="n"/>
      <ns0:c r="P856" s="17" t="n"/>
      <ns0:c r="Q856" s="17" t="n"/>
      <ns0:c r="R856" s="17" t="n"/>
      <ns0:c r="S856" s="17" t="n"/>
      <ns0:c r="T856" s="17" t="n"/>
      <ns0:c r="U856" s="17" t="n"/>
      <ns0:c r="V856" s="17" t="n"/>
      <ns0:c r="W856" s="17" t="n"/>
      <ns0:c r="X856" s="17" t="n"/>
      <ns0:c r="Y856" s="17" t="n"/>
      <ns0:c r="Z856" s="17" t="n"/>
      <ns0:c r="AA856" s="17" t="n"/>
      <ns0:c r="AB856" s="17" t="n"/>
      <ns0:c r="AC856" s="17" t="n"/>
      <ns0:c r="AD856" s="17" t="n"/>
      <ns0:c r="AE856" s="17" t="n"/>
      <ns0:c r="AF856" s="17" t="n"/>
      <ns0:c r="AG856" s="17" t="n"/>
    </ns0:row>
    <ns0:row r="857" ht="24" customHeight="1">
      <ns0:c r="D857" s="17" t="n"/>
      <ns0:c r="E857" s="17" t="n"/>
      <ns0:c r="F857" s="17" t="n"/>
      <ns0:c r="G857" s="17" t="n"/>
      <ns0:c r="H857" s="17" t="n"/>
      <ns0:c r="I857" s="17" t="n"/>
      <ns0:c r="J857" s="17" t="n"/>
      <ns0:c r="K857" s="17" t="n"/>
      <ns0:c r="L857" s="17" t="n"/>
      <ns0:c r="M857" s="17" t="n"/>
      <ns0:c r="N857" s="17" t="n"/>
      <ns0:c r="O857" s="17" t="n"/>
      <ns0:c r="P857" s="17" t="n"/>
      <ns0:c r="Q857" s="17" t="n"/>
      <ns0:c r="R857" s="17" t="n"/>
      <ns0:c r="S857" s="17" t="n"/>
      <ns0:c r="T857" s="17" t="n"/>
      <ns0:c r="U857" s="17" t="n"/>
      <ns0:c r="V857" s="17" t="n"/>
      <ns0:c r="W857" s="17" t="n"/>
      <ns0:c r="X857" s="17" t="n"/>
      <ns0:c r="Y857" s="17" t="n"/>
      <ns0:c r="Z857" s="17" t="n"/>
      <ns0:c r="AA857" s="17" t="n"/>
      <ns0:c r="AB857" s="17" t="n"/>
      <ns0:c r="AC857" s="17" t="n"/>
      <ns0:c r="AD857" s="17" t="n"/>
      <ns0:c r="AE857" s="17" t="n"/>
      <ns0:c r="AF857" s="17" t="n"/>
      <ns0:c r="AG857" s="17" t="n"/>
    </ns0:row>
    <ns0:row r="858" ht="24" customHeight="1">
      <ns0:c r="D858" s="17" t="n"/>
      <ns0:c r="E858" s="17" t="n"/>
      <ns0:c r="F858" s="17" t="n"/>
      <ns0:c r="G858" s="17" t="n"/>
      <ns0:c r="H858" s="17" t="n"/>
      <ns0:c r="I858" s="17" t="n"/>
      <ns0:c r="J858" s="17" t="n"/>
      <ns0:c r="K858" s="17" t="n"/>
      <ns0:c r="L858" s="17" t="n"/>
      <ns0:c r="M858" s="17" t="n"/>
      <ns0:c r="N858" s="17" t="n"/>
      <ns0:c r="O858" s="17" t="n"/>
      <ns0:c r="P858" s="17" t="n"/>
      <ns0:c r="Q858" s="17" t="n"/>
      <ns0:c r="R858" s="17" t="n"/>
      <ns0:c r="S858" s="17" t="n"/>
      <ns0:c r="T858" s="17" t="n"/>
      <ns0:c r="U858" s="17" t="n"/>
      <ns0:c r="V858" s="17" t="n"/>
      <ns0:c r="W858" s="17" t="n"/>
      <ns0:c r="X858" s="17" t="n"/>
      <ns0:c r="Y858" s="17" t="n"/>
      <ns0:c r="Z858" s="17" t="n"/>
      <ns0:c r="AA858" s="17" t="n"/>
      <ns0:c r="AB858" s="17" t="n"/>
      <ns0:c r="AC858" s="17" t="n"/>
      <ns0:c r="AD858" s="17" t="n"/>
      <ns0:c r="AE858" s="17" t="n"/>
      <ns0:c r="AF858" s="17" t="n"/>
      <ns0:c r="AG858" s="17" t="n"/>
    </ns0:row>
    <ns0:row r="859" ht="24" customHeight="1">
      <ns0:c r="D859" s="17" t="n"/>
      <ns0:c r="E859" s="17" t="n"/>
      <ns0:c r="F859" s="17" t="n"/>
      <ns0:c r="G859" s="17" t="n"/>
      <ns0:c r="H859" s="17" t="n"/>
      <ns0:c r="I859" s="17" t="n"/>
      <ns0:c r="J859" s="17" t="n"/>
      <ns0:c r="K859" s="17" t="n"/>
      <ns0:c r="L859" s="17" t="n"/>
      <ns0:c r="M859" s="17" t="n"/>
      <ns0:c r="N859" s="17" t="n"/>
      <ns0:c r="O859" s="17" t="n"/>
      <ns0:c r="P859" s="17" t="n"/>
      <ns0:c r="Q859" s="17" t="n"/>
      <ns0:c r="R859" s="17" t="n"/>
      <ns0:c r="S859" s="17" t="n"/>
      <ns0:c r="T859" s="17" t="n"/>
      <ns0:c r="U859" s="17" t="n"/>
      <ns0:c r="V859" s="17" t="n"/>
      <ns0:c r="W859" s="17" t="n"/>
      <ns0:c r="X859" s="17" t="n"/>
      <ns0:c r="Y859" s="17" t="n"/>
      <ns0:c r="Z859" s="17" t="n"/>
      <ns0:c r="AA859" s="17" t="n"/>
      <ns0:c r="AB859" s="17" t="n"/>
      <ns0:c r="AC859" s="17" t="n"/>
      <ns0:c r="AD859" s="17" t="n"/>
      <ns0:c r="AE859" s="17" t="n"/>
      <ns0:c r="AF859" s="17" t="n"/>
      <ns0:c r="AG859" s="17" t="n"/>
    </ns0:row>
    <ns0:row r="860" ht="24" customHeight="1">
      <ns0:c r="D860" s="17" t="n"/>
      <ns0:c r="E860" s="17" t="n"/>
      <ns0:c r="F860" s="17" t="n"/>
      <ns0:c r="G860" s="17" t="n"/>
      <ns0:c r="H860" s="17" t="n"/>
      <ns0:c r="I860" s="17" t="n"/>
      <ns0:c r="J860" s="17" t="n"/>
      <ns0:c r="K860" s="17" t="n"/>
      <ns0:c r="L860" s="17" t="n"/>
      <ns0:c r="M860" s="17" t="n"/>
      <ns0:c r="N860" s="17" t="n"/>
      <ns0:c r="O860" s="17" t="n"/>
      <ns0:c r="P860" s="17" t="n"/>
      <ns0:c r="Q860" s="17" t="n"/>
      <ns0:c r="R860" s="17" t="n"/>
      <ns0:c r="S860" s="17" t="n"/>
      <ns0:c r="T860" s="17" t="n"/>
      <ns0:c r="U860" s="17" t="n"/>
      <ns0:c r="V860" s="17" t="n"/>
      <ns0:c r="W860" s="17" t="n"/>
      <ns0:c r="X860" s="17" t="n"/>
      <ns0:c r="Y860" s="17" t="n"/>
      <ns0:c r="Z860" s="17" t="n"/>
      <ns0:c r="AA860" s="17" t="n"/>
      <ns0:c r="AB860" s="17" t="n"/>
      <ns0:c r="AC860" s="17" t="n"/>
      <ns0:c r="AD860" s="17" t="n"/>
      <ns0:c r="AE860" s="17" t="n"/>
      <ns0:c r="AF860" s="17" t="n"/>
      <ns0:c r="AG860" s="17" t="n"/>
    </ns0:row>
    <ns0:row r="861" ht="24" customHeight="1">
      <ns0:c r="D861" s="17" t="n"/>
      <ns0:c r="E861" s="17" t="n"/>
      <ns0:c r="F861" s="17" t="n"/>
      <ns0:c r="G861" s="17" t="n"/>
      <ns0:c r="H861" s="17" t="n"/>
      <ns0:c r="I861" s="17" t="n"/>
      <ns0:c r="J861" s="17" t="n"/>
      <ns0:c r="K861" s="17" t="n"/>
      <ns0:c r="L861" s="17" t="n"/>
      <ns0:c r="M861" s="17" t="n"/>
      <ns0:c r="N861" s="17" t="n"/>
      <ns0:c r="O861" s="17" t="n"/>
      <ns0:c r="P861" s="17" t="n"/>
      <ns0:c r="Q861" s="17" t="n"/>
      <ns0:c r="R861" s="17" t="n"/>
      <ns0:c r="S861" s="17" t="n"/>
      <ns0:c r="T861" s="17" t="n"/>
      <ns0:c r="U861" s="17" t="n"/>
      <ns0:c r="V861" s="17" t="n"/>
      <ns0:c r="W861" s="17" t="n"/>
      <ns0:c r="X861" s="17" t="n"/>
      <ns0:c r="Y861" s="17" t="n"/>
      <ns0:c r="Z861" s="17" t="n"/>
      <ns0:c r="AA861" s="17" t="n"/>
      <ns0:c r="AB861" s="17" t="n"/>
      <ns0:c r="AC861" s="17" t="n"/>
      <ns0:c r="AD861" s="17" t="n"/>
      <ns0:c r="AE861" s="17" t="n"/>
      <ns0:c r="AF861" s="17" t="n"/>
      <ns0:c r="AG861" s="17" t="n"/>
    </ns0:row>
    <ns0:row r="862" ht="24" customHeight="1">
      <ns0:c r="D862" s="17" t="n"/>
      <ns0:c r="E862" s="17" t="n"/>
      <ns0:c r="F862" s="17" t="n"/>
      <ns0:c r="G862" s="17" t="n"/>
      <ns0:c r="H862" s="17" t="n"/>
      <ns0:c r="I862" s="17" t="n"/>
      <ns0:c r="J862" s="17" t="n"/>
      <ns0:c r="K862" s="17" t="n"/>
      <ns0:c r="L862" s="17" t="n"/>
      <ns0:c r="M862" s="17" t="n"/>
      <ns0:c r="N862" s="17" t="n"/>
      <ns0:c r="O862" s="17" t="n"/>
      <ns0:c r="P862" s="17" t="n"/>
      <ns0:c r="Q862" s="17" t="n"/>
      <ns0:c r="R862" s="17" t="n"/>
      <ns0:c r="S862" s="17" t="n"/>
      <ns0:c r="T862" s="17" t="n"/>
      <ns0:c r="U862" s="17" t="n"/>
      <ns0:c r="V862" s="17" t="n"/>
      <ns0:c r="W862" s="17" t="n"/>
      <ns0:c r="X862" s="17" t="n"/>
      <ns0:c r="Y862" s="17" t="n"/>
      <ns0:c r="Z862" s="17" t="n"/>
      <ns0:c r="AA862" s="17" t="n"/>
      <ns0:c r="AB862" s="17" t="n"/>
      <ns0:c r="AC862" s="17" t="n"/>
      <ns0:c r="AD862" s="17" t="n"/>
      <ns0:c r="AE862" s="17" t="n"/>
      <ns0:c r="AF862" s="17" t="n"/>
      <ns0:c r="AG862" s="17" t="n"/>
    </ns0:row>
    <ns0:row r="863" ht="24" customHeight="1">
      <ns0:c r="D863" s="17" t="n"/>
      <ns0:c r="E863" s="17" t="n"/>
      <ns0:c r="F863" s="17" t="n"/>
      <ns0:c r="G863" s="17" t="n"/>
      <ns0:c r="H863" s="17" t="n"/>
      <ns0:c r="I863" s="17" t="n"/>
      <ns0:c r="J863" s="17" t="n"/>
      <ns0:c r="K863" s="17" t="n"/>
      <ns0:c r="L863" s="17" t="n"/>
      <ns0:c r="M863" s="17" t="n"/>
      <ns0:c r="N863" s="17" t="n"/>
      <ns0:c r="O863" s="17" t="n"/>
      <ns0:c r="P863" s="17" t="n"/>
      <ns0:c r="Q863" s="17" t="n"/>
      <ns0:c r="R863" s="17" t="n"/>
      <ns0:c r="S863" s="17" t="n"/>
      <ns0:c r="T863" s="17" t="n"/>
      <ns0:c r="U863" s="17" t="n"/>
      <ns0:c r="V863" s="17" t="n"/>
      <ns0:c r="W863" s="17" t="n"/>
      <ns0:c r="X863" s="17" t="n"/>
      <ns0:c r="Y863" s="17" t="n"/>
      <ns0:c r="Z863" s="17" t="n"/>
      <ns0:c r="AA863" s="17" t="n"/>
      <ns0:c r="AB863" s="17" t="n"/>
      <ns0:c r="AC863" s="17" t="n"/>
      <ns0:c r="AD863" s="17" t="n"/>
      <ns0:c r="AE863" s="17" t="n"/>
      <ns0:c r="AF863" s="17" t="n"/>
      <ns0:c r="AG863" s="17" t="n"/>
    </ns0:row>
    <ns0:row r="864" ht="24" customHeight="1">
      <ns0:c r="D864" s="17" t="n"/>
      <ns0:c r="E864" s="17" t="n"/>
      <ns0:c r="F864" s="17" t="n"/>
      <ns0:c r="G864" s="17" t="n"/>
      <ns0:c r="H864" s="17" t="n"/>
      <ns0:c r="I864" s="17" t="n"/>
      <ns0:c r="J864" s="17" t="n"/>
      <ns0:c r="K864" s="17" t="n"/>
      <ns0:c r="L864" s="17" t="n"/>
      <ns0:c r="M864" s="17" t="n"/>
      <ns0:c r="N864" s="17" t="n"/>
      <ns0:c r="O864" s="17" t="n"/>
      <ns0:c r="P864" s="17" t="n"/>
      <ns0:c r="Q864" s="17" t="n"/>
      <ns0:c r="R864" s="17" t="n"/>
      <ns0:c r="S864" s="17" t="n"/>
      <ns0:c r="T864" s="17" t="n"/>
      <ns0:c r="U864" s="17" t="n"/>
      <ns0:c r="V864" s="17" t="n"/>
      <ns0:c r="W864" s="17" t="n"/>
      <ns0:c r="X864" s="17" t="n"/>
      <ns0:c r="Y864" s="17" t="n"/>
      <ns0:c r="Z864" s="17" t="n"/>
      <ns0:c r="AA864" s="17" t="n"/>
      <ns0:c r="AB864" s="17" t="n"/>
      <ns0:c r="AC864" s="17" t="n"/>
      <ns0:c r="AD864" s="17" t="n"/>
      <ns0:c r="AE864" s="17" t="n"/>
      <ns0:c r="AF864" s="17" t="n"/>
      <ns0:c r="AG864" s="17" t="n"/>
    </ns0:row>
    <ns0:row r="865" ht="24" customHeight="1">
      <ns0:c r="D865" s="17" t="n"/>
      <ns0:c r="E865" s="17" t="n"/>
      <ns0:c r="F865" s="17" t="n"/>
      <ns0:c r="G865" s="17" t="n"/>
      <ns0:c r="H865" s="17" t="n"/>
      <ns0:c r="I865" s="17" t="n"/>
      <ns0:c r="J865" s="17" t="n"/>
      <ns0:c r="K865" s="17" t="n"/>
      <ns0:c r="L865" s="17" t="n"/>
      <ns0:c r="M865" s="17" t="n"/>
      <ns0:c r="N865" s="17" t="n"/>
      <ns0:c r="O865" s="17" t="n"/>
      <ns0:c r="P865" s="17" t="n"/>
      <ns0:c r="Q865" s="17" t="n"/>
      <ns0:c r="R865" s="17" t="n"/>
      <ns0:c r="S865" s="17" t="n"/>
      <ns0:c r="T865" s="17" t="n"/>
      <ns0:c r="U865" s="17" t="n"/>
      <ns0:c r="V865" s="17" t="n"/>
      <ns0:c r="W865" s="17" t="n"/>
      <ns0:c r="X865" s="17" t="n"/>
      <ns0:c r="Y865" s="17" t="n"/>
      <ns0:c r="Z865" s="17" t="n"/>
      <ns0:c r="AA865" s="17" t="n"/>
      <ns0:c r="AB865" s="17" t="n"/>
      <ns0:c r="AC865" s="17" t="n"/>
      <ns0:c r="AD865" s="17" t="n"/>
      <ns0:c r="AE865" s="17" t="n"/>
      <ns0:c r="AF865" s="17" t="n"/>
      <ns0:c r="AG865" s="17" t="n"/>
    </ns0:row>
    <ns0:row r="866" ht="24" customHeight="1">
      <ns0:c r="D866" s="17" t="n"/>
      <ns0:c r="E866" s="17" t="n"/>
      <ns0:c r="F866" s="17" t="n"/>
      <ns0:c r="G866" s="17" t="n"/>
      <ns0:c r="H866" s="17" t="n"/>
      <ns0:c r="I866" s="17" t="n"/>
      <ns0:c r="J866" s="17" t="n"/>
      <ns0:c r="K866" s="17" t="n"/>
      <ns0:c r="L866" s="17" t="n"/>
      <ns0:c r="M866" s="17" t="n"/>
      <ns0:c r="N866" s="17" t="n"/>
      <ns0:c r="O866" s="17" t="n"/>
      <ns0:c r="P866" s="17" t="n"/>
      <ns0:c r="Q866" s="17" t="n"/>
      <ns0:c r="R866" s="17" t="n"/>
      <ns0:c r="S866" s="17" t="n"/>
      <ns0:c r="T866" s="17" t="n"/>
      <ns0:c r="U866" s="17" t="n"/>
      <ns0:c r="V866" s="17" t="n"/>
      <ns0:c r="W866" s="17" t="n"/>
      <ns0:c r="X866" s="17" t="n"/>
      <ns0:c r="Y866" s="17" t="n"/>
      <ns0:c r="Z866" s="17" t="n"/>
      <ns0:c r="AA866" s="17" t="n"/>
      <ns0:c r="AB866" s="17" t="n"/>
      <ns0:c r="AC866" s="17" t="n"/>
      <ns0:c r="AD866" s="17" t="n"/>
      <ns0:c r="AE866" s="17" t="n"/>
      <ns0:c r="AF866" s="17" t="n"/>
      <ns0:c r="AG866" s="17" t="n"/>
    </ns0:row>
    <ns0:row r="867" ht="24" customHeight="1">
      <ns0:c r="D867" s="17" t="n"/>
      <ns0:c r="E867" s="17" t="n"/>
      <ns0:c r="F867" s="17" t="n"/>
      <ns0:c r="G867" s="17" t="n"/>
      <ns0:c r="H867" s="17" t="n"/>
      <ns0:c r="I867" s="17" t="n"/>
      <ns0:c r="J867" s="17" t="n"/>
      <ns0:c r="K867" s="17" t="n"/>
      <ns0:c r="L867" s="17" t="n"/>
      <ns0:c r="M867" s="17" t="n"/>
      <ns0:c r="N867" s="17" t="n"/>
      <ns0:c r="O867" s="17" t="n"/>
      <ns0:c r="P867" s="17" t="n"/>
      <ns0:c r="Q867" s="17" t="n"/>
      <ns0:c r="R867" s="17" t="n"/>
      <ns0:c r="S867" s="17" t="n"/>
      <ns0:c r="T867" s="17" t="n"/>
      <ns0:c r="U867" s="17" t="n"/>
      <ns0:c r="V867" s="17" t="n"/>
      <ns0:c r="W867" s="17" t="n"/>
      <ns0:c r="X867" s="17" t="n"/>
      <ns0:c r="Y867" s="17" t="n"/>
      <ns0:c r="Z867" s="17" t="n"/>
      <ns0:c r="AA867" s="17" t="n"/>
      <ns0:c r="AB867" s="17" t="n"/>
      <ns0:c r="AC867" s="17" t="n"/>
      <ns0:c r="AD867" s="17" t="n"/>
      <ns0:c r="AE867" s="17" t="n"/>
      <ns0:c r="AF867" s="17" t="n"/>
      <ns0:c r="AG867" s="17" t="n"/>
    </ns0:row>
    <ns0:row r="868" ht="24" customHeight="1">
      <ns0:c r="D868" s="17" t="n"/>
      <ns0:c r="E868" s="17" t="n"/>
      <ns0:c r="F868" s="17" t="n"/>
      <ns0:c r="G868" s="17" t="n"/>
      <ns0:c r="H868" s="17" t="n"/>
      <ns0:c r="I868" s="17" t="n"/>
      <ns0:c r="J868" s="17" t="n"/>
      <ns0:c r="K868" s="17" t="n"/>
      <ns0:c r="L868" s="17" t="n"/>
      <ns0:c r="M868" s="17" t="n"/>
      <ns0:c r="N868" s="17" t="n"/>
      <ns0:c r="O868" s="17" t="n"/>
      <ns0:c r="P868" s="17" t="n"/>
      <ns0:c r="Q868" s="17" t="n"/>
      <ns0:c r="R868" s="17" t="n"/>
      <ns0:c r="S868" s="17" t="n"/>
      <ns0:c r="T868" s="17" t="n"/>
      <ns0:c r="U868" s="17" t="n"/>
      <ns0:c r="V868" s="17" t="n"/>
      <ns0:c r="W868" s="17" t="n"/>
      <ns0:c r="X868" s="17" t="n"/>
      <ns0:c r="Y868" s="17" t="n"/>
      <ns0:c r="Z868" s="17" t="n"/>
      <ns0:c r="AA868" s="17" t="n"/>
      <ns0:c r="AB868" s="17" t="n"/>
      <ns0:c r="AC868" s="17" t="n"/>
      <ns0:c r="AD868" s="17" t="n"/>
      <ns0:c r="AE868" s="17" t="n"/>
      <ns0:c r="AF868" s="17" t="n"/>
      <ns0:c r="AG868" s="17" t="n"/>
    </ns0:row>
    <ns0:row r="869" ht="24" customHeight="1">
      <ns0:c r="D869" s="17" t="n"/>
      <ns0:c r="E869" s="17" t="n"/>
      <ns0:c r="F869" s="17" t="n"/>
      <ns0:c r="G869" s="17" t="n"/>
      <ns0:c r="H869" s="17" t="n"/>
      <ns0:c r="I869" s="17" t="n"/>
      <ns0:c r="J869" s="17" t="n"/>
      <ns0:c r="K869" s="17" t="n"/>
      <ns0:c r="L869" s="17" t="n"/>
      <ns0:c r="M869" s="17" t="n"/>
      <ns0:c r="N869" s="17" t="n"/>
      <ns0:c r="O869" s="17" t="n"/>
      <ns0:c r="P869" s="17" t="n"/>
      <ns0:c r="Q869" s="17" t="n"/>
      <ns0:c r="R869" s="17" t="n"/>
      <ns0:c r="S869" s="17" t="n"/>
      <ns0:c r="T869" s="17" t="n"/>
      <ns0:c r="U869" s="17" t="n"/>
      <ns0:c r="V869" s="17" t="n"/>
      <ns0:c r="W869" s="17" t="n"/>
      <ns0:c r="X869" s="17" t="n"/>
      <ns0:c r="Y869" s="17" t="n"/>
      <ns0:c r="Z869" s="17" t="n"/>
      <ns0:c r="AA869" s="17" t="n"/>
      <ns0:c r="AB869" s="17" t="n"/>
      <ns0:c r="AC869" s="17" t="n"/>
      <ns0:c r="AD869" s="17" t="n"/>
      <ns0:c r="AE869" s="17" t="n"/>
      <ns0:c r="AF869" s="17" t="n"/>
      <ns0:c r="AG869" s="17" t="n"/>
    </ns0:row>
    <ns0:row r="870" ht="24" customHeight="1">
      <ns0:c r="D870" s="17" t="n"/>
      <ns0:c r="E870" s="17" t="n"/>
      <ns0:c r="F870" s="17" t="n"/>
      <ns0:c r="G870" s="17" t="n"/>
      <ns0:c r="H870" s="17" t="n"/>
      <ns0:c r="I870" s="17" t="n"/>
      <ns0:c r="J870" s="17" t="n"/>
      <ns0:c r="K870" s="17" t="n"/>
      <ns0:c r="L870" s="17" t="n"/>
      <ns0:c r="M870" s="17" t="n"/>
      <ns0:c r="N870" s="17" t="n"/>
      <ns0:c r="O870" s="17" t="n"/>
      <ns0:c r="P870" s="17" t="n"/>
      <ns0:c r="Q870" s="17" t="n"/>
      <ns0:c r="R870" s="17" t="n"/>
      <ns0:c r="S870" s="17" t="n"/>
      <ns0:c r="T870" s="17" t="n"/>
      <ns0:c r="U870" s="17" t="n"/>
      <ns0:c r="V870" s="17" t="n"/>
      <ns0:c r="W870" s="17" t="n"/>
      <ns0:c r="X870" s="17" t="n"/>
      <ns0:c r="Y870" s="17" t="n"/>
      <ns0:c r="Z870" s="17" t="n"/>
      <ns0:c r="AA870" s="17" t="n"/>
      <ns0:c r="AB870" s="17" t="n"/>
      <ns0:c r="AC870" s="17" t="n"/>
      <ns0:c r="AD870" s="17" t="n"/>
      <ns0:c r="AE870" s="17" t="n"/>
      <ns0:c r="AF870" s="17" t="n"/>
      <ns0:c r="AG870" s="17" t="n"/>
    </ns0:row>
    <ns0:row r="871" ht="24" customHeight="1">
      <ns0:c r="D871" s="17" t="n"/>
      <ns0:c r="E871" s="17" t="n"/>
      <ns0:c r="F871" s="17" t="n"/>
      <ns0:c r="G871" s="17" t="n"/>
      <ns0:c r="H871" s="17" t="n"/>
      <ns0:c r="I871" s="17" t="n"/>
      <ns0:c r="J871" s="17" t="n"/>
      <ns0:c r="K871" s="17" t="n"/>
      <ns0:c r="L871" s="17" t="n"/>
      <ns0:c r="M871" s="17" t="n"/>
      <ns0:c r="N871" s="17" t="n"/>
      <ns0:c r="O871" s="17" t="n"/>
      <ns0:c r="P871" s="17" t="n"/>
      <ns0:c r="Q871" s="17" t="n"/>
      <ns0:c r="R871" s="17" t="n"/>
      <ns0:c r="S871" s="17" t="n"/>
      <ns0:c r="T871" s="17" t="n"/>
      <ns0:c r="U871" s="17" t="n"/>
      <ns0:c r="V871" s="17" t="n"/>
      <ns0:c r="W871" s="17" t="n"/>
      <ns0:c r="X871" s="17" t="n"/>
      <ns0:c r="Y871" s="17" t="n"/>
      <ns0:c r="Z871" s="17" t="n"/>
      <ns0:c r="AA871" s="17" t="n"/>
      <ns0:c r="AB871" s="17" t="n"/>
      <ns0:c r="AC871" s="17" t="n"/>
      <ns0:c r="AD871" s="17" t="n"/>
      <ns0:c r="AE871" s="17" t="n"/>
      <ns0:c r="AF871" s="17" t="n"/>
      <ns0:c r="AG871" s="17" t="n"/>
    </ns0:row>
    <ns0:row r="872" ht="24" customHeight="1">
      <ns0:c r="D872" s="17" t="n"/>
      <ns0:c r="E872" s="17" t="n"/>
      <ns0:c r="F872" s="17" t="n"/>
      <ns0:c r="G872" s="17" t="n"/>
      <ns0:c r="H872" s="17" t="n"/>
      <ns0:c r="I872" s="17" t="n"/>
      <ns0:c r="J872" s="17" t="n"/>
      <ns0:c r="K872" s="17" t="n"/>
      <ns0:c r="L872" s="17" t="n"/>
      <ns0:c r="M872" s="17" t="n"/>
      <ns0:c r="N872" s="17" t="n"/>
      <ns0:c r="O872" s="17" t="n"/>
      <ns0:c r="P872" s="17" t="n"/>
      <ns0:c r="Q872" s="17" t="n"/>
      <ns0:c r="R872" s="17" t="n"/>
      <ns0:c r="S872" s="17" t="n"/>
      <ns0:c r="T872" s="17" t="n"/>
      <ns0:c r="U872" s="17" t="n"/>
      <ns0:c r="V872" s="17" t="n"/>
      <ns0:c r="W872" s="17" t="n"/>
      <ns0:c r="X872" s="17" t="n"/>
      <ns0:c r="Y872" s="17" t="n"/>
      <ns0:c r="Z872" s="17" t="n"/>
      <ns0:c r="AA872" s="17" t="n"/>
      <ns0:c r="AB872" s="17" t="n"/>
      <ns0:c r="AC872" s="17" t="n"/>
      <ns0:c r="AD872" s="17" t="n"/>
      <ns0:c r="AE872" s="17" t="n"/>
      <ns0:c r="AF872" s="17" t="n"/>
      <ns0:c r="AG872" s="17" t="n"/>
    </ns0:row>
    <ns0:row r="873" ht="24" customHeight="1">
      <ns0:c r="D873" s="17" t="n"/>
      <ns0:c r="E873" s="17" t="n"/>
      <ns0:c r="F873" s="17" t="n"/>
      <ns0:c r="G873" s="17" t="n"/>
      <ns0:c r="H873" s="17" t="n"/>
      <ns0:c r="I873" s="17" t="n"/>
      <ns0:c r="J873" s="17" t="n"/>
      <ns0:c r="K873" s="17" t="n"/>
      <ns0:c r="L873" s="17" t="n"/>
      <ns0:c r="M873" s="17" t="n"/>
      <ns0:c r="N873" s="17" t="n"/>
      <ns0:c r="O873" s="17" t="n"/>
      <ns0:c r="P873" s="17" t="n"/>
      <ns0:c r="Q873" s="17" t="n"/>
      <ns0:c r="R873" s="17" t="n"/>
      <ns0:c r="S873" s="17" t="n"/>
      <ns0:c r="T873" s="17" t="n"/>
      <ns0:c r="U873" s="17" t="n"/>
      <ns0:c r="V873" s="17" t="n"/>
      <ns0:c r="W873" s="17" t="n"/>
      <ns0:c r="X873" s="17" t="n"/>
      <ns0:c r="Y873" s="17" t="n"/>
      <ns0:c r="Z873" s="17" t="n"/>
      <ns0:c r="AA873" s="17" t="n"/>
      <ns0:c r="AB873" s="17" t="n"/>
      <ns0:c r="AC873" s="17" t="n"/>
      <ns0:c r="AD873" s="17" t="n"/>
      <ns0:c r="AE873" s="17" t="n"/>
      <ns0:c r="AF873" s="17" t="n"/>
      <ns0:c r="AG873" s="17" t="n"/>
    </ns0:row>
    <ns0:row r="874" ht="24" customHeight="1">
      <ns0:c r="D874" s="17" t="n"/>
      <ns0:c r="E874" s="17" t="n"/>
      <ns0:c r="F874" s="17" t="n"/>
      <ns0:c r="G874" s="17" t="n"/>
      <ns0:c r="H874" s="17" t="n"/>
      <ns0:c r="I874" s="17" t="n"/>
      <ns0:c r="J874" s="17" t="n"/>
      <ns0:c r="K874" s="17" t="n"/>
      <ns0:c r="L874" s="17" t="n"/>
      <ns0:c r="M874" s="17" t="n"/>
      <ns0:c r="N874" s="17" t="n"/>
      <ns0:c r="O874" s="17" t="n"/>
      <ns0:c r="P874" s="17" t="n"/>
      <ns0:c r="Q874" s="17" t="n"/>
      <ns0:c r="R874" s="17" t="n"/>
      <ns0:c r="S874" s="17" t="n"/>
      <ns0:c r="T874" s="17" t="n"/>
      <ns0:c r="U874" s="17" t="n"/>
      <ns0:c r="V874" s="17" t="n"/>
      <ns0:c r="W874" s="17" t="n"/>
      <ns0:c r="X874" s="17" t="n"/>
      <ns0:c r="Y874" s="17" t="n"/>
      <ns0:c r="Z874" s="17" t="n"/>
      <ns0:c r="AA874" s="17" t="n"/>
      <ns0:c r="AB874" s="17" t="n"/>
      <ns0:c r="AC874" s="17" t="n"/>
      <ns0:c r="AD874" s="17" t="n"/>
      <ns0:c r="AE874" s="17" t="n"/>
      <ns0:c r="AF874" s="17" t="n"/>
      <ns0:c r="AG874" s="17" t="n"/>
    </ns0:row>
    <ns0:row r="875" ht="24" customHeight="1">
      <ns0:c r="D875" s="17" t="n"/>
      <ns0:c r="E875" s="17" t="n"/>
      <ns0:c r="F875" s="17" t="n"/>
      <ns0:c r="G875" s="17" t="n"/>
      <ns0:c r="H875" s="17" t="n"/>
      <ns0:c r="I875" s="17" t="n"/>
      <ns0:c r="J875" s="17" t="n"/>
      <ns0:c r="K875" s="17" t="n"/>
      <ns0:c r="L875" s="17" t="n"/>
      <ns0:c r="M875" s="17" t="n"/>
      <ns0:c r="N875" s="17" t="n"/>
      <ns0:c r="O875" s="17" t="n"/>
      <ns0:c r="P875" s="17" t="n"/>
      <ns0:c r="Q875" s="17" t="n"/>
      <ns0:c r="R875" s="17" t="n"/>
      <ns0:c r="S875" s="17" t="n"/>
      <ns0:c r="T875" s="17" t="n"/>
      <ns0:c r="U875" s="17" t="n"/>
      <ns0:c r="V875" s="17" t="n"/>
      <ns0:c r="W875" s="17" t="n"/>
      <ns0:c r="X875" s="17" t="n"/>
      <ns0:c r="Y875" s="17" t="n"/>
      <ns0:c r="Z875" s="17" t="n"/>
      <ns0:c r="AA875" s="17" t="n"/>
      <ns0:c r="AB875" s="17" t="n"/>
      <ns0:c r="AC875" s="17" t="n"/>
      <ns0:c r="AD875" s="17" t="n"/>
      <ns0:c r="AE875" s="17" t="n"/>
      <ns0:c r="AF875" s="17" t="n"/>
      <ns0:c r="AG875" s="17" t="n"/>
    </ns0:row>
    <ns0:row r="876" ht="24" customHeight="1">
      <ns0:c r="D876" s="17" t="n"/>
      <ns0:c r="E876" s="17" t="n"/>
      <ns0:c r="F876" s="17" t="n"/>
      <ns0:c r="G876" s="17" t="n"/>
      <ns0:c r="H876" s="17" t="n"/>
      <ns0:c r="I876" s="17" t="n"/>
      <ns0:c r="J876" s="17" t="n"/>
      <ns0:c r="K876" s="17" t="n"/>
      <ns0:c r="L876" s="17" t="n"/>
      <ns0:c r="M876" s="17" t="n"/>
      <ns0:c r="N876" s="17" t="n"/>
      <ns0:c r="O876" s="17" t="n"/>
      <ns0:c r="P876" s="17" t="n"/>
      <ns0:c r="Q876" s="17" t="n"/>
      <ns0:c r="R876" s="17" t="n"/>
      <ns0:c r="S876" s="17" t="n"/>
      <ns0:c r="T876" s="17" t="n"/>
      <ns0:c r="U876" s="17" t="n"/>
      <ns0:c r="V876" s="17" t="n"/>
      <ns0:c r="W876" s="17" t="n"/>
      <ns0:c r="X876" s="17" t="n"/>
      <ns0:c r="Y876" s="17" t="n"/>
      <ns0:c r="Z876" s="17" t="n"/>
      <ns0:c r="AA876" s="17" t="n"/>
      <ns0:c r="AB876" s="17" t="n"/>
      <ns0:c r="AC876" s="17" t="n"/>
      <ns0:c r="AD876" s="17" t="n"/>
      <ns0:c r="AE876" s="17" t="n"/>
      <ns0:c r="AF876" s="17" t="n"/>
      <ns0:c r="AG876" s="17" t="n"/>
    </ns0:row>
    <ns0:row r="877" ht="24" customHeight="1">
      <ns0:c r="D877" s="17" t="n"/>
      <ns0:c r="E877" s="17" t="n"/>
      <ns0:c r="F877" s="17" t="n"/>
      <ns0:c r="G877" s="17" t="n"/>
      <ns0:c r="H877" s="17" t="n"/>
      <ns0:c r="I877" s="17" t="n"/>
      <ns0:c r="J877" s="17" t="n"/>
      <ns0:c r="K877" s="17" t="n"/>
      <ns0:c r="L877" s="17" t="n"/>
      <ns0:c r="M877" s="17" t="n"/>
      <ns0:c r="N877" s="17" t="n"/>
      <ns0:c r="O877" s="17" t="n"/>
      <ns0:c r="P877" s="17" t="n"/>
      <ns0:c r="Q877" s="17" t="n"/>
      <ns0:c r="R877" s="17" t="n"/>
      <ns0:c r="S877" s="17" t="n"/>
      <ns0:c r="T877" s="17" t="n"/>
      <ns0:c r="U877" s="17" t="n"/>
      <ns0:c r="V877" s="17" t="n"/>
      <ns0:c r="W877" s="17" t="n"/>
      <ns0:c r="X877" s="17" t="n"/>
      <ns0:c r="Y877" s="17" t="n"/>
      <ns0:c r="Z877" s="17" t="n"/>
      <ns0:c r="AA877" s="17" t="n"/>
      <ns0:c r="AB877" s="17" t="n"/>
      <ns0:c r="AC877" s="17" t="n"/>
      <ns0:c r="AD877" s="17" t="n"/>
      <ns0:c r="AE877" s="17" t="n"/>
      <ns0:c r="AF877" s="17" t="n"/>
      <ns0:c r="AG877" s="17" t="n"/>
    </ns0:row>
    <ns0:row r="878" ht="24" customHeight="1">
      <ns0:c r="D878" s="17" t="n"/>
      <ns0:c r="E878" s="17" t="n"/>
      <ns0:c r="F878" s="17" t="n"/>
      <ns0:c r="G878" s="17" t="n"/>
      <ns0:c r="H878" s="17" t="n"/>
      <ns0:c r="I878" s="17" t="n"/>
      <ns0:c r="J878" s="17" t="n"/>
      <ns0:c r="K878" s="17" t="n"/>
      <ns0:c r="L878" s="17" t="n"/>
      <ns0:c r="M878" s="17" t="n"/>
      <ns0:c r="N878" s="17" t="n"/>
      <ns0:c r="O878" s="17" t="n"/>
      <ns0:c r="P878" s="17" t="n"/>
      <ns0:c r="Q878" s="17" t="n"/>
      <ns0:c r="R878" s="17" t="n"/>
      <ns0:c r="S878" s="17" t="n"/>
      <ns0:c r="T878" s="17" t="n"/>
      <ns0:c r="U878" s="17" t="n"/>
      <ns0:c r="V878" s="17" t="n"/>
      <ns0:c r="W878" s="17" t="n"/>
      <ns0:c r="X878" s="17" t="n"/>
      <ns0:c r="Y878" s="17" t="n"/>
      <ns0:c r="Z878" s="17" t="n"/>
      <ns0:c r="AA878" s="17" t="n"/>
      <ns0:c r="AB878" s="17" t="n"/>
      <ns0:c r="AC878" s="17" t="n"/>
      <ns0:c r="AD878" s="17" t="n"/>
      <ns0:c r="AE878" s="17" t="n"/>
      <ns0:c r="AF878" s="17" t="n"/>
      <ns0:c r="AG878" s="17" t="n"/>
    </ns0:row>
    <ns0:row r="879" ht="24" customHeight="1">
      <ns0:c r="D879" s="17" t="n"/>
      <ns0:c r="E879" s="17" t="n"/>
      <ns0:c r="F879" s="17" t="n"/>
      <ns0:c r="G879" s="17" t="n"/>
      <ns0:c r="H879" s="17" t="n"/>
      <ns0:c r="I879" s="17" t="n"/>
      <ns0:c r="J879" s="17" t="n"/>
      <ns0:c r="K879" s="17" t="n"/>
      <ns0:c r="L879" s="17" t="n"/>
      <ns0:c r="M879" s="17" t="n"/>
      <ns0:c r="N879" s="17" t="n"/>
      <ns0:c r="O879" s="17" t="n"/>
      <ns0:c r="P879" s="17" t="n"/>
      <ns0:c r="Q879" s="17" t="n"/>
      <ns0:c r="R879" s="17" t="n"/>
      <ns0:c r="S879" s="17" t="n"/>
      <ns0:c r="T879" s="17" t="n"/>
      <ns0:c r="U879" s="17" t="n"/>
      <ns0:c r="V879" s="17" t="n"/>
      <ns0:c r="W879" s="17" t="n"/>
      <ns0:c r="X879" s="17" t="n"/>
      <ns0:c r="Y879" s="17" t="n"/>
      <ns0:c r="Z879" s="17" t="n"/>
      <ns0:c r="AA879" s="17" t="n"/>
      <ns0:c r="AB879" s="17" t="n"/>
      <ns0:c r="AC879" s="17" t="n"/>
      <ns0:c r="AD879" s="17" t="n"/>
      <ns0:c r="AE879" s="17" t="n"/>
      <ns0:c r="AF879" s="17" t="n"/>
      <ns0:c r="AG879" s="17" t="n"/>
    </ns0:row>
    <ns0:row r="880" ht="24" customHeight="1">
      <ns0:c r="D880" s="17" t="n"/>
      <ns0:c r="E880" s="17" t="n"/>
      <ns0:c r="F880" s="17" t="n"/>
      <ns0:c r="G880" s="17" t="n"/>
      <ns0:c r="H880" s="17" t="n"/>
      <ns0:c r="I880" s="17" t="n"/>
      <ns0:c r="J880" s="17" t="n"/>
      <ns0:c r="K880" s="17" t="n"/>
      <ns0:c r="L880" s="17" t="n"/>
      <ns0:c r="M880" s="17" t="n"/>
      <ns0:c r="N880" s="17" t="n"/>
      <ns0:c r="O880" s="17" t="n"/>
      <ns0:c r="P880" s="17" t="n"/>
      <ns0:c r="Q880" s="17" t="n"/>
      <ns0:c r="R880" s="17" t="n"/>
      <ns0:c r="S880" s="17" t="n"/>
      <ns0:c r="T880" s="17" t="n"/>
      <ns0:c r="U880" s="17" t="n"/>
      <ns0:c r="V880" s="17" t="n"/>
      <ns0:c r="W880" s="17" t="n"/>
      <ns0:c r="X880" s="17" t="n"/>
      <ns0:c r="Y880" s="17" t="n"/>
      <ns0:c r="Z880" s="17" t="n"/>
      <ns0:c r="AA880" s="17" t="n"/>
      <ns0:c r="AB880" s="17" t="n"/>
      <ns0:c r="AC880" s="17" t="n"/>
      <ns0:c r="AD880" s="17" t="n"/>
      <ns0:c r="AE880" s="17" t="n"/>
      <ns0:c r="AF880" s="17" t="n"/>
      <ns0:c r="AG880" s="17" t="n"/>
    </ns0:row>
    <ns0:row r="881" ht="24" customHeight="1">
      <ns0:c r="D881" s="17" t="n"/>
      <ns0:c r="E881" s="17" t="n"/>
      <ns0:c r="F881" s="17" t="n"/>
      <ns0:c r="G881" s="17" t="n"/>
      <ns0:c r="H881" s="17" t="n"/>
      <ns0:c r="I881" s="17" t="n"/>
      <ns0:c r="J881" s="17" t="n"/>
      <ns0:c r="K881" s="17" t="n"/>
      <ns0:c r="L881" s="17" t="n"/>
      <ns0:c r="M881" s="17" t="n"/>
      <ns0:c r="N881" s="17" t="n"/>
      <ns0:c r="O881" s="17" t="n"/>
      <ns0:c r="P881" s="17" t="n"/>
      <ns0:c r="Q881" s="17" t="n"/>
      <ns0:c r="R881" s="17" t="n"/>
      <ns0:c r="S881" s="17" t="n"/>
      <ns0:c r="T881" s="17" t="n"/>
      <ns0:c r="U881" s="17" t="n"/>
      <ns0:c r="V881" s="17" t="n"/>
      <ns0:c r="W881" s="17" t="n"/>
      <ns0:c r="X881" s="17" t="n"/>
      <ns0:c r="Y881" s="17" t="n"/>
      <ns0:c r="Z881" s="17" t="n"/>
      <ns0:c r="AA881" s="17" t="n"/>
      <ns0:c r="AB881" s="17" t="n"/>
      <ns0:c r="AC881" s="17" t="n"/>
      <ns0:c r="AD881" s="17" t="n"/>
      <ns0:c r="AE881" s="17" t="n"/>
      <ns0:c r="AF881" s="17" t="n"/>
      <ns0:c r="AG881" s="17" t="n"/>
    </ns0:row>
    <ns0:row r="882" ht="24" customHeight="1">
      <ns0:c r="D882" s="17" t="n"/>
      <ns0:c r="E882" s="17" t="n"/>
      <ns0:c r="F882" s="17" t="n"/>
      <ns0:c r="G882" s="17" t="n"/>
      <ns0:c r="H882" s="17" t="n"/>
      <ns0:c r="I882" s="17" t="n"/>
      <ns0:c r="J882" s="17" t="n"/>
      <ns0:c r="K882" s="17" t="n"/>
      <ns0:c r="L882" s="17" t="n"/>
      <ns0:c r="M882" s="17" t="n"/>
      <ns0:c r="N882" s="17" t="n"/>
      <ns0:c r="O882" s="17" t="n"/>
      <ns0:c r="P882" s="17" t="n"/>
      <ns0:c r="Q882" s="17" t="n"/>
      <ns0:c r="R882" s="17" t="n"/>
      <ns0:c r="S882" s="17" t="n"/>
      <ns0:c r="T882" s="17" t="n"/>
      <ns0:c r="U882" s="17" t="n"/>
      <ns0:c r="V882" s="17" t="n"/>
      <ns0:c r="W882" s="17" t="n"/>
      <ns0:c r="X882" s="17" t="n"/>
      <ns0:c r="Y882" s="17" t="n"/>
      <ns0:c r="Z882" s="17" t="n"/>
      <ns0:c r="AA882" s="17" t="n"/>
      <ns0:c r="AB882" s="17" t="n"/>
      <ns0:c r="AC882" s="17" t="n"/>
      <ns0:c r="AD882" s="17" t="n"/>
      <ns0:c r="AE882" s="17" t="n"/>
      <ns0:c r="AF882" s="17" t="n"/>
      <ns0:c r="AG882" s="17" t="n"/>
    </ns0:row>
    <ns0:row r="883" ht="24" customHeight="1">
      <ns0:c r="D883" s="17" t="n"/>
      <ns0:c r="E883" s="17" t="n"/>
      <ns0:c r="F883" s="17" t="n"/>
      <ns0:c r="G883" s="17" t="n"/>
      <ns0:c r="H883" s="17" t="n"/>
      <ns0:c r="I883" s="17" t="n"/>
      <ns0:c r="J883" s="17" t="n"/>
      <ns0:c r="K883" s="17" t="n"/>
      <ns0:c r="L883" s="17" t="n"/>
      <ns0:c r="M883" s="17" t="n"/>
      <ns0:c r="N883" s="17" t="n"/>
      <ns0:c r="O883" s="17" t="n"/>
      <ns0:c r="P883" s="17" t="n"/>
      <ns0:c r="Q883" s="17" t="n"/>
      <ns0:c r="R883" s="17" t="n"/>
      <ns0:c r="S883" s="17" t="n"/>
      <ns0:c r="T883" s="17" t="n"/>
      <ns0:c r="U883" s="17" t="n"/>
      <ns0:c r="V883" s="17" t="n"/>
      <ns0:c r="W883" s="17" t="n"/>
      <ns0:c r="X883" s="17" t="n"/>
      <ns0:c r="Y883" s="17" t="n"/>
      <ns0:c r="Z883" s="17" t="n"/>
      <ns0:c r="AA883" s="17" t="n"/>
      <ns0:c r="AB883" s="17" t="n"/>
      <ns0:c r="AC883" s="17" t="n"/>
      <ns0:c r="AD883" s="17" t="n"/>
      <ns0:c r="AE883" s="17" t="n"/>
      <ns0:c r="AF883" s="17" t="n"/>
      <ns0:c r="AG883" s="17" t="n"/>
    </ns0:row>
    <ns0:row r="884" ht="24" customHeight="1">
      <ns0:c r="D884" s="17" t="n"/>
      <ns0:c r="E884" s="17" t="n"/>
      <ns0:c r="F884" s="17" t="n"/>
      <ns0:c r="G884" s="17" t="n"/>
      <ns0:c r="H884" s="17" t="n"/>
      <ns0:c r="I884" s="17" t="n"/>
      <ns0:c r="J884" s="17" t="n"/>
      <ns0:c r="K884" s="17" t="n"/>
      <ns0:c r="L884" s="17" t="n"/>
      <ns0:c r="M884" s="17" t="n"/>
      <ns0:c r="N884" s="17" t="n"/>
      <ns0:c r="O884" s="17" t="n"/>
      <ns0:c r="P884" s="17" t="n"/>
      <ns0:c r="Q884" s="17" t="n"/>
      <ns0:c r="R884" s="17" t="n"/>
      <ns0:c r="S884" s="17" t="n"/>
      <ns0:c r="T884" s="17" t="n"/>
      <ns0:c r="U884" s="17" t="n"/>
      <ns0:c r="V884" s="17" t="n"/>
      <ns0:c r="W884" s="17" t="n"/>
      <ns0:c r="X884" s="17" t="n"/>
      <ns0:c r="Y884" s="17" t="n"/>
      <ns0:c r="Z884" s="17" t="n"/>
      <ns0:c r="AA884" s="17" t="n"/>
      <ns0:c r="AB884" s="17" t="n"/>
      <ns0:c r="AC884" s="17" t="n"/>
      <ns0:c r="AD884" s="17" t="n"/>
      <ns0:c r="AE884" s="17" t="n"/>
      <ns0:c r="AF884" s="17" t="n"/>
      <ns0:c r="AG884" s="17" t="n"/>
    </ns0:row>
    <ns0:row r="885" ht="24" customHeight="1">
      <ns0:c r="D885" s="17" t="n"/>
      <ns0:c r="E885" s="17" t="n"/>
      <ns0:c r="F885" s="17" t="n"/>
      <ns0:c r="G885" s="17" t="n"/>
      <ns0:c r="H885" s="17" t="n"/>
      <ns0:c r="I885" s="17" t="n"/>
      <ns0:c r="J885" s="17" t="n"/>
      <ns0:c r="K885" s="17" t="n"/>
      <ns0:c r="L885" s="17" t="n"/>
      <ns0:c r="M885" s="17" t="n"/>
      <ns0:c r="N885" s="17" t="n"/>
      <ns0:c r="O885" s="17" t="n"/>
      <ns0:c r="P885" s="17" t="n"/>
      <ns0:c r="Q885" s="17" t="n"/>
      <ns0:c r="R885" s="17" t="n"/>
      <ns0:c r="S885" s="17" t="n"/>
      <ns0:c r="T885" s="17" t="n"/>
      <ns0:c r="U885" s="17" t="n"/>
      <ns0:c r="V885" s="17" t="n"/>
      <ns0:c r="W885" s="17" t="n"/>
      <ns0:c r="X885" s="17" t="n"/>
      <ns0:c r="Y885" s="17" t="n"/>
      <ns0:c r="Z885" s="17" t="n"/>
      <ns0:c r="AA885" s="17" t="n"/>
      <ns0:c r="AB885" s="17" t="n"/>
      <ns0:c r="AC885" s="17" t="n"/>
      <ns0:c r="AD885" s="17" t="n"/>
      <ns0:c r="AE885" s="17" t="n"/>
      <ns0:c r="AF885" s="17" t="n"/>
      <ns0:c r="AG885" s="17" t="n"/>
    </ns0:row>
    <ns0:row r="886" ht="24" customHeight="1">
      <ns0:c r="D886" s="17" t="n"/>
      <ns0:c r="E886" s="17" t="n"/>
      <ns0:c r="F886" s="17" t="n"/>
      <ns0:c r="G886" s="17" t="n"/>
      <ns0:c r="H886" s="17" t="n"/>
      <ns0:c r="I886" s="17" t="n"/>
      <ns0:c r="J886" s="17" t="n"/>
      <ns0:c r="K886" s="17" t="n"/>
      <ns0:c r="L886" s="17" t="n"/>
      <ns0:c r="M886" s="17" t="n"/>
      <ns0:c r="N886" s="17" t="n"/>
      <ns0:c r="O886" s="17" t="n"/>
      <ns0:c r="P886" s="17" t="n"/>
      <ns0:c r="Q886" s="17" t="n"/>
      <ns0:c r="R886" s="17" t="n"/>
      <ns0:c r="S886" s="17" t="n"/>
      <ns0:c r="T886" s="17" t="n"/>
      <ns0:c r="U886" s="17" t="n"/>
      <ns0:c r="V886" s="17" t="n"/>
      <ns0:c r="W886" s="17" t="n"/>
      <ns0:c r="X886" s="17" t="n"/>
      <ns0:c r="Y886" s="17" t="n"/>
      <ns0:c r="Z886" s="17" t="n"/>
      <ns0:c r="AA886" s="17" t="n"/>
      <ns0:c r="AB886" s="17" t="n"/>
      <ns0:c r="AC886" s="17" t="n"/>
      <ns0:c r="AD886" s="17" t="n"/>
      <ns0:c r="AE886" s="17" t="n"/>
      <ns0:c r="AF886" s="17" t="n"/>
      <ns0:c r="AG886" s="17" t="n"/>
    </ns0:row>
    <ns0:row r="887" ht="24" customHeight="1">
      <ns0:c r="D887" s="17" t="n"/>
      <ns0:c r="E887" s="17" t="n"/>
      <ns0:c r="F887" s="17" t="n"/>
      <ns0:c r="G887" s="17" t="n"/>
      <ns0:c r="H887" s="17" t="n"/>
      <ns0:c r="I887" s="17" t="n"/>
      <ns0:c r="J887" s="17" t="n"/>
      <ns0:c r="K887" s="17" t="n"/>
      <ns0:c r="L887" s="17" t="n"/>
      <ns0:c r="M887" s="17" t="n"/>
      <ns0:c r="N887" s="17" t="n"/>
      <ns0:c r="O887" s="17" t="n"/>
      <ns0:c r="P887" s="17" t="n"/>
      <ns0:c r="Q887" s="17" t="n"/>
      <ns0:c r="R887" s="17" t="n"/>
      <ns0:c r="S887" s="17" t="n"/>
      <ns0:c r="T887" s="17" t="n"/>
      <ns0:c r="U887" s="17" t="n"/>
      <ns0:c r="V887" s="17" t="n"/>
      <ns0:c r="W887" s="17" t="n"/>
      <ns0:c r="X887" s="17" t="n"/>
      <ns0:c r="Y887" s="17" t="n"/>
      <ns0:c r="Z887" s="17" t="n"/>
      <ns0:c r="AA887" s="17" t="n"/>
      <ns0:c r="AB887" s="17" t="n"/>
      <ns0:c r="AC887" s="17" t="n"/>
      <ns0:c r="AD887" s="17" t="n"/>
      <ns0:c r="AE887" s="17" t="n"/>
      <ns0:c r="AF887" s="17" t="n"/>
      <ns0:c r="AG887" s="17" t="n"/>
    </ns0:row>
    <ns0:row r="888" ht="24" customHeight="1">
      <ns0:c r="D888" s="17" t="n"/>
      <ns0:c r="E888" s="17" t="n"/>
      <ns0:c r="F888" s="17" t="n"/>
      <ns0:c r="G888" s="17" t="n"/>
      <ns0:c r="H888" s="17" t="n"/>
      <ns0:c r="I888" s="17" t="n"/>
      <ns0:c r="J888" s="17" t="n"/>
      <ns0:c r="K888" s="17" t="n"/>
      <ns0:c r="L888" s="17" t="n"/>
      <ns0:c r="M888" s="17" t="n"/>
      <ns0:c r="N888" s="17" t="n"/>
      <ns0:c r="O888" s="17" t="n"/>
      <ns0:c r="P888" s="17" t="n"/>
      <ns0:c r="Q888" s="17" t="n"/>
      <ns0:c r="R888" s="17" t="n"/>
      <ns0:c r="S888" s="17" t="n"/>
      <ns0:c r="T888" s="17" t="n"/>
      <ns0:c r="U888" s="17" t="n"/>
      <ns0:c r="V888" s="17" t="n"/>
      <ns0:c r="W888" s="17" t="n"/>
      <ns0:c r="X888" s="17" t="n"/>
      <ns0:c r="Y888" s="17" t="n"/>
      <ns0:c r="Z888" s="17" t="n"/>
      <ns0:c r="AA888" s="17" t="n"/>
      <ns0:c r="AB888" s="17" t="n"/>
      <ns0:c r="AC888" s="17" t="n"/>
      <ns0:c r="AD888" s="17" t="n"/>
      <ns0:c r="AE888" s="17" t="n"/>
      <ns0:c r="AF888" s="17" t="n"/>
      <ns0:c r="AG888" s="17" t="n"/>
    </ns0:row>
    <ns0:row r="889" ht="24" customHeight="1">
      <ns0:c r="D889" s="17" t="n"/>
      <ns0:c r="E889" s="17" t="n"/>
      <ns0:c r="F889" s="17" t="n"/>
      <ns0:c r="G889" s="17" t="n"/>
      <ns0:c r="H889" s="17" t="n"/>
      <ns0:c r="I889" s="17" t="n"/>
      <ns0:c r="J889" s="17" t="n"/>
      <ns0:c r="K889" s="17" t="n"/>
      <ns0:c r="L889" s="17" t="n"/>
      <ns0:c r="M889" s="17" t="n"/>
      <ns0:c r="N889" s="17" t="n"/>
      <ns0:c r="O889" s="17" t="n"/>
      <ns0:c r="P889" s="17" t="n"/>
      <ns0:c r="Q889" s="17" t="n"/>
      <ns0:c r="R889" s="17" t="n"/>
      <ns0:c r="S889" s="17" t="n"/>
      <ns0:c r="T889" s="17" t="n"/>
      <ns0:c r="U889" s="17" t="n"/>
      <ns0:c r="V889" s="17" t="n"/>
      <ns0:c r="W889" s="17" t="n"/>
      <ns0:c r="X889" s="17" t="n"/>
      <ns0:c r="Y889" s="17" t="n"/>
      <ns0:c r="Z889" s="17" t="n"/>
      <ns0:c r="AA889" s="17" t="n"/>
      <ns0:c r="AB889" s="17" t="n"/>
      <ns0:c r="AC889" s="17" t="n"/>
      <ns0:c r="AD889" s="17" t="n"/>
      <ns0:c r="AE889" s="17" t="n"/>
      <ns0:c r="AF889" s="17" t="n"/>
      <ns0:c r="AG889" s="17" t="n"/>
    </ns0:row>
    <ns0:row r="890" ht="24" customHeight="1">
      <ns0:c r="D890" s="17" t="n"/>
      <ns0:c r="E890" s="17" t="n"/>
      <ns0:c r="F890" s="17" t="n"/>
      <ns0:c r="G890" s="17" t="n"/>
      <ns0:c r="H890" s="17" t="n"/>
      <ns0:c r="I890" s="17" t="n"/>
      <ns0:c r="J890" s="17" t="n"/>
      <ns0:c r="K890" s="17" t="n"/>
      <ns0:c r="L890" s="17" t="n"/>
      <ns0:c r="M890" s="17" t="n"/>
      <ns0:c r="N890" s="17" t="n"/>
      <ns0:c r="O890" s="17" t="n"/>
      <ns0:c r="P890" s="17" t="n"/>
      <ns0:c r="Q890" s="17" t="n"/>
      <ns0:c r="R890" s="17" t="n"/>
      <ns0:c r="S890" s="17" t="n"/>
      <ns0:c r="T890" s="17" t="n"/>
      <ns0:c r="U890" s="17" t="n"/>
      <ns0:c r="V890" s="17" t="n"/>
      <ns0:c r="W890" s="17" t="n"/>
      <ns0:c r="X890" s="17" t="n"/>
      <ns0:c r="Y890" s="17" t="n"/>
      <ns0:c r="Z890" s="17" t="n"/>
      <ns0:c r="AA890" s="17" t="n"/>
      <ns0:c r="AB890" s="17" t="n"/>
      <ns0:c r="AC890" s="17" t="n"/>
      <ns0:c r="AD890" s="17" t="n"/>
      <ns0:c r="AE890" s="17" t="n"/>
      <ns0:c r="AF890" s="17" t="n"/>
      <ns0:c r="AG890" s="17" t="n"/>
    </ns0:row>
    <ns0:row r="891" ht="24" customHeight="1">
      <ns0:c r="D891" s="17" t="n"/>
      <ns0:c r="E891" s="17" t="n"/>
      <ns0:c r="F891" s="17" t="n"/>
      <ns0:c r="G891" s="17" t="n"/>
      <ns0:c r="H891" s="17" t="n"/>
      <ns0:c r="I891" s="17" t="n"/>
      <ns0:c r="J891" s="17" t="n"/>
      <ns0:c r="K891" s="17" t="n"/>
      <ns0:c r="L891" s="17" t="n"/>
      <ns0:c r="M891" s="17" t="n"/>
      <ns0:c r="N891" s="17" t="n"/>
      <ns0:c r="O891" s="17" t="n"/>
      <ns0:c r="P891" s="17" t="n"/>
      <ns0:c r="Q891" s="17" t="n"/>
      <ns0:c r="R891" s="17" t="n"/>
      <ns0:c r="S891" s="17" t="n"/>
      <ns0:c r="T891" s="17" t="n"/>
      <ns0:c r="U891" s="17" t="n"/>
      <ns0:c r="V891" s="17" t="n"/>
      <ns0:c r="W891" s="17" t="n"/>
      <ns0:c r="X891" s="17" t="n"/>
      <ns0:c r="Y891" s="17" t="n"/>
      <ns0:c r="Z891" s="17" t="n"/>
      <ns0:c r="AA891" s="17" t="n"/>
      <ns0:c r="AB891" s="17" t="n"/>
      <ns0:c r="AC891" s="17" t="n"/>
      <ns0:c r="AD891" s="17" t="n"/>
      <ns0:c r="AE891" s="17" t="n"/>
      <ns0:c r="AF891" s="17" t="n"/>
      <ns0:c r="AG891" s="17" t="n"/>
    </ns0:row>
    <ns0:row r="892" ht="24" customHeight="1">
      <ns0:c r="D892" s="17" t="n"/>
      <ns0:c r="E892" s="17" t="n"/>
      <ns0:c r="F892" s="17" t="n"/>
      <ns0:c r="G892" s="17" t="n"/>
      <ns0:c r="H892" s="17" t="n"/>
      <ns0:c r="I892" s="17" t="n"/>
      <ns0:c r="J892" s="17" t="n"/>
      <ns0:c r="K892" s="17" t="n"/>
      <ns0:c r="L892" s="17" t="n"/>
      <ns0:c r="M892" s="17" t="n"/>
      <ns0:c r="N892" s="17" t="n"/>
      <ns0:c r="O892" s="17" t="n"/>
      <ns0:c r="P892" s="17" t="n"/>
      <ns0:c r="Q892" s="17" t="n"/>
      <ns0:c r="R892" s="17" t="n"/>
      <ns0:c r="S892" s="17" t="n"/>
      <ns0:c r="T892" s="17" t="n"/>
      <ns0:c r="U892" s="17" t="n"/>
      <ns0:c r="V892" s="17" t="n"/>
      <ns0:c r="W892" s="17" t="n"/>
      <ns0:c r="X892" s="17" t="n"/>
      <ns0:c r="Y892" s="17" t="n"/>
      <ns0:c r="Z892" s="17" t="n"/>
      <ns0:c r="AA892" s="17" t="n"/>
      <ns0:c r="AB892" s="17" t="n"/>
      <ns0:c r="AC892" s="17" t="n"/>
      <ns0:c r="AD892" s="17" t="n"/>
      <ns0:c r="AE892" s="17" t="n"/>
      <ns0:c r="AF892" s="17" t="n"/>
      <ns0:c r="AG892" s="17" t="n"/>
    </ns0:row>
    <ns0:row r="893" ht="24" customHeight="1">
      <ns0:c r="D893" s="17" t="n"/>
      <ns0:c r="E893" s="17" t="n"/>
      <ns0:c r="F893" s="17" t="n"/>
      <ns0:c r="G893" s="17" t="n"/>
      <ns0:c r="H893" s="17" t="n"/>
      <ns0:c r="I893" s="17" t="n"/>
      <ns0:c r="J893" s="17" t="n"/>
      <ns0:c r="K893" s="17" t="n"/>
      <ns0:c r="L893" s="17" t="n"/>
      <ns0:c r="M893" s="17" t="n"/>
      <ns0:c r="N893" s="17" t="n"/>
      <ns0:c r="O893" s="17" t="n"/>
      <ns0:c r="P893" s="17" t="n"/>
      <ns0:c r="Q893" s="17" t="n"/>
      <ns0:c r="R893" s="17" t="n"/>
      <ns0:c r="S893" s="17" t="n"/>
      <ns0:c r="T893" s="17" t="n"/>
      <ns0:c r="U893" s="17" t="n"/>
      <ns0:c r="V893" s="17" t="n"/>
      <ns0:c r="W893" s="17" t="n"/>
      <ns0:c r="X893" s="17" t="n"/>
      <ns0:c r="Y893" s="17" t="n"/>
      <ns0:c r="Z893" s="17" t="n"/>
      <ns0:c r="AA893" s="17" t="n"/>
      <ns0:c r="AB893" s="17" t="n"/>
      <ns0:c r="AC893" s="17" t="n"/>
      <ns0:c r="AD893" s="17" t="n"/>
      <ns0:c r="AE893" s="17" t="n"/>
      <ns0:c r="AF893" s="17" t="n"/>
      <ns0:c r="AG893" s="17" t="n"/>
    </ns0:row>
    <ns0:row r="894" ht="24" customHeight="1">
      <ns0:c r="D894" s="17" t="n"/>
      <ns0:c r="E894" s="17" t="n"/>
      <ns0:c r="F894" s="17" t="n"/>
      <ns0:c r="G894" s="17" t="n"/>
      <ns0:c r="H894" s="17" t="n"/>
      <ns0:c r="I894" s="17" t="n"/>
      <ns0:c r="J894" s="17" t="n"/>
      <ns0:c r="K894" s="17" t="n"/>
      <ns0:c r="L894" s="17" t="n"/>
      <ns0:c r="M894" s="17" t="n"/>
      <ns0:c r="N894" s="17" t="n"/>
      <ns0:c r="O894" s="17" t="n"/>
      <ns0:c r="P894" s="17" t="n"/>
      <ns0:c r="Q894" s="17" t="n"/>
      <ns0:c r="R894" s="17" t="n"/>
      <ns0:c r="S894" s="17" t="n"/>
      <ns0:c r="T894" s="17" t="n"/>
      <ns0:c r="U894" s="17" t="n"/>
      <ns0:c r="V894" s="17" t="n"/>
      <ns0:c r="W894" s="17" t="n"/>
      <ns0:c r="X894" s="17" t="n"/>
      <ns0:c r="Y894" s="17" t="n"/>
      <ns0:c r="Z894" s="17" t="n"/>
      <ns0:c r="AA894" s="17" t="n"/>
      <ns0:c r="AB894" s="17" t="n"/>
      <ns0:c r="AC894" s="17" t="n"/>
      <ns0:c r="AD894" s="17" t="n"/>
      <ns0:c r="AE894" s="17" t="n"/>
      <ns0:c r="AF894" s="17" t="n"/>
      <ns0:c r="AG894" s="17" t="n"/>
    </ns0:row>
    <ns0:row r="895" ht="24" customHeight="1">
      <ns0:c r="D895" s="17" t="n"/>
      <ns0:c r="E895" s="17" t="n"/>
      <ns0:c r="F895" s="17" t="n"/>
      <ns0:c r="G895" s="17" t="n"/>
      <ns0:c r="H895" s="17" t="n"/>
      <ns0:c r="I895" s="17" t="n"/>
      <ns0:c r="J895" s="17" t="n"/>
      <ns0:c r="K895" s="17" t="n"/>
      <ns0:c r="L895" s="17" t="n"/>
      <ns0:c r="M895" s="17" t="n"/>
      <ns0:c r="N895" s="17" t="n"/>
      <ns0:c r="O895" s="17" t="n"/>
      <ns0:c r="P895" s="17" t="n"/>
      <ns0:c r="Q895" s="17" t="n"/>
      <ns0:c r="R895" s="17" t="n"/>
      <ns0:c r="S895" s="17" t="n"/>
      <ns0:c r="T895" s="17" t="n"/>
      <ns0:c r="U895" s="17" t="n"/>
      <ns0:c r="V895" s="17" t="n"/>
      <ns0:c r="W895" s="17" t="n"/>
      <ns0:c r="X895" s="17" t="n"/>
      <ns0:c r="Y895" s="17" t="n"/>
      <ns0:c r="Z895" s="17" t="n"/>
      <ns0:c r="AA895" s="17" t="n"/>
      <ns0:c r="AB895" s="17" t="n"/>
      <ns0:c r="AC895" s="17" t="n"/>
      <ns0:c r="AD895" s="17" t="n"/>
      <ns0:c r="AE895" s="17" t="n"/>
      <ns0:c r="AF895" s="17" t="n"/>
      <ns0:c r="AG895" s="17" t="n"/>
    </ns0:row>
    <ns0:row r="896" ht="24" customHeight="1">
      <ns0:c r="D896" s="17" t="n"/>
      <ns0:c r="E896" s="17" t="n"/>
      <ns0:c r="F896" s="17" t="n"/>
      <ns0:c r="G896" s="17" t="n"/>
      <ns0:c r="H896" s="17" t="n"/>
      <ns0:c r="I896" s="17" t="n"/>
      <ns0:c r="J896" s="17" t="n"/>
      <ns0:c r="K896" s="17" t="n"/>
      <ns0:c r="L896" s="17" t="n"/>
      <ns0:c r="M896" s="17" t="n"/>
      <ns0:c r="N896" s="17" t="n"/>
      <ns0:c r="O896" s="17" t="n"/>
      <ns0:c r="P896" s="17" t="n"/>
      <ns0:c r="Q896" s="17" t="n"/>
      <ns0:c r="R896" s="17" t="n"/>
      <ns0:c r="S896" s="17" t="n"/>
      <ns0:c r="T896" s="17" t="n"/>
      <ns0:c r="U896" s="17" t="n"/>
      <ns0:c r="V896" s="17" t="n"/>
      <ns0:c r="W896" s="17" t="n"/>
      <ns0:c r="X896" s="17" t="n"/>
      <ns0:c r="Y896" s="17" t="n"/>
      <ns0:c r="Z896" s="17" t="n"/>
      <ns0:c r="AA896" s="17" t="n"/>
      <ns0:c r="AB896" s="17" t="n"/>
      <ns0:c r="AC896" s="17" t="n"/>
      <ns0:c r="AD896" s="17" t="n"/>
      <ns0:c r="AE896" s="17" t="n"/>
      <ns0:c r="AF896" s="17" t="n"/>
      <ns0:c r="AG896" s="17" t="n"/>
    </ns0:row>
    <ns0:row r="897" ht="24" customHeight="1">
      <ns0:c r="D897" s="17" t="n"/>
      <ns0:c r="E897" s="17" t="n"/>
      <ns0:c r="F897" s="17" t="n"/>
      <ns0:c r="G897" s="17" t="n"/>
      <ns0:c r="H897" s="17" t="n"/>
      <ns0:c r="I897" s="17" t="n"/>
      <ns0:c r="J897" s="17" t="n"/>
      <ns0:c r="K897" s="17" t="n"/>
      <ns0:c r="L897" s="17" t="n"/>
      <ns0:c r="M897" s="17" t="n"/>
      <ns0:c r="N897" s="17" t="n"/>
      <ns0:c r="O897" s="17" t="n"/>
      <ns0:c r="P897" s="17" t="n"/>
      <ns0:c r="Q897" s="17" t="n"/>
      <ns0:c r="R897" s="17" t="n"/>
      <ns0:c r="S897" s="17" t="n"/>
      <ns0:c r="T897" s="17" t="n"/>
      <ns0:c r="U897" s="17" t="n"/>
      <ns0:c r="V897" s="17" t="n"/>
      <ns0:c r="W897" s="17" t="n"/>
      <ns0:c r="X897" s="17" t="n"/>
      <ns0:c r="Y897" s="17" t="n"/>
      <ns0:c r="Z897" s="17" t="n"/>
      <ns0:c r="AA897" s="17" t="n"/>
      <ns0:c r="AB897" s="17" t="n"/>
      <ns0:c r="AC897" s="17" t="n"/>
      <ns0:c r="AD897" s="17" t="n"/>
      <ns0:c r="AE897" s="17" t="n"/>
      <ns0:c r="AF897" s="17" t="n"/>
      <ns0:c r="AG897" s="17" t="n"/>
    </ns0:row>
    <ns0:row r="898" ht="24" customHeight="1">
      <ns0:c r="D898" s="17" t="n"/>
      <ns0:c r="E898" s="17" t="n"/>
      <ns0:c r="F898" s="17" t="n"/>
      <ns0:c r="G898" s="17" t="n"/>
      <ns0:c r="H898" s="17" t="n"/>
      <ns0:c r="I898" s="17" t="n"/>
      <ns0:c r="J898" s="17" t="n"/>
      <ns0:c r="K898" s="17" t="n"/>
      <ns0:c r="L898" s="17" t="n"/>
      <ns0:c r="M898" s="17" t="n"/>
      <ns0:c r="N898" s="17" t="n"/>
      <ns0:c r="O898" s="17" t="n"/>
      <ns0:c r="P898" s="17" t="n"/>
      <ns0:c r="Q898" s="17" t="n"/>
      <ns0:c r="R898" s="17" t="n"/>
      <ns0:c r="S898" s="17" t="n"/>
      <ns0:c r="T898" s="17" t="n"/>
      <ns0:c r="U898" s="17" t="n"/>
      <ns0:c r="V898" s="17" t="n"/>
      <ns0:c r="W898" s="17" t="n"/>
      <ns0:c r="X898" s="17" t="n"/>
      <ns0:c r="Y898" s="17" t="n"/>
      <ns0:c r="Z898" s="17" t="n"/>
      <ns0:c r="AA898" s="17" t="n"/>
      <ns0:c r="AB898" s="17" t="n"/>
      <ns0:c r="AC898" s="17" t="n"/>
      <ns0:c r="AD898" s="17" t="n"/>
      <ns0:c r="AE898" s="17" t="n"/>
      <ns0:c r="AF898" s="17" t="n"/>
      <ns0:c r="AG898" s="17" t="n"/>
    </ns0:row>
    <ns0:row r="899" ht="24" customHeight="1">
      <ns0:c r="D899" s="17" t="n"/>
      <ns0:c r="E899" s="17" t="n"/>
      <ns0:c r="F899" s="17" t="n"/>
      <ns0:c r="G899" s="17" t="n"/>
      <ns0:c r="H899" s="17" t="n"/>
      <ns0:c r="I899" s="17" t="n"/>
      <ns0:c r="J899" s="17" t="n"/>
      <ns0:c r="K899" s="17" t="n"/>
      <ns0:c r="L899" s="17" t="n"/>
      <ns0:c r="M899" s="17" t="n"/>
      <ns0:c r="N899" s="17" t="n"/>
      <ns0:c r="O899" s="17" t="n"/>
      <ns0:c r="P899" s="17" t="n"/>
      <ns0:c r="Q899" s="17" t="n"/>
      <ns0:c r="R899" s="17" t="n"/>
      <ns0:c r="S899" s="17" t="n"/>
      <ns0:c r="T899" s="17" t="n"/>
      <ns0:c r="U899" s="17" t="n"/>
      <ns0:c r="V899" s="17" t="n"/>
      <ns0:c r="W899" s="17" t="n"/>
      <ns0:c r="X899" s="17" t="n"/>
      <ns0:c r="Y899" s="17" t="n"/>
      <ns0:c r="Z899" s="17" t="n"/>
      <ns0:c r="AA899" s="17" t="n"/>
      <ns0:c r="AB899" s="17" t="n"/>
      <ns0:c r="AC899" s="17" t="n"/>
      <ns0:c r="AD899" s="17" t="n"/>
      <ns0:c r="AE899" s="17" t="n"/>
      <ns0:c r="AF899" s="17" t="n"/>
      <ns0:c r="AG899" s="17" t="n"/>
    </ns0:row>
    <ns0:row r="900" ht="24" customHeight="1">
      <ns0:c r="D900" s="17" t="n"/>
      <ns0:c r="E900" s="17" t="n"/>
      <ns0:c r="F900" s="17" t="n"/>
      <ns0:c r="G900" s="17" t="n"/>
      <ns0:c r="H900" s="17" t="n"/>
      <ns0:c r="I900" s="17" t="n"/>
      <ns0:c r="J900" s="17" t="n"/>
      <ns0:c r="K900" s="17" t="n"/>
      <ns0:c r="L900" s="17" t="n"/>
      <ns0:c r="M900" s="17" t="n"/>
      <ns0:c r="N900" s="17" t="n"/>
      <ns0:c r="O900" s="17" t="n"/>
      <ns0:c r="P900" s="17" t="n"/>
      <ns0:c r="Q900" s="17" t="n"/>
      <ns0:c r="R900" s="17" t="n"/>
      <ns0:c r="S900" s="17" t="n"/>
      <ns0:c r="T900" s="17" t="n"/>
      <ns0:c r="U900" s="17" t="n"/>
      <ns0:c r="V900" s="17" t="n"/>
      <ns0:c r="W900" s="17" t="n"/>
      <ns0:c r="X900" s="17" t="n"/>
      <ns0:c r="Y900" s="17" t="n"/>
      <ns0:c r="Z900" s="17" t="n"/>
      <ns0:c r="AA900" s="17" t="n"/>
      <ns0:c r="AB900" s="17" t="n"/>
      <ns0:c r="AC900" s="17" t="n"/>
      <ns0:c r="AD900" s="17" t="n"/>
      <ns0:c r="AE900" s="17" t="n"/>
      <ns0:c r="AF900" s="17" t="n"/>
      <ns0:c r="AG900" s="17" t="n"/>
    </ns0:row>
    <ns0:row r="901" ht="24" customHeight="1">
      <ns0:c r="D901" s="17" t="n"/>
      <ns0:c r="E901" s="17" t="n"/>
      <ns0:c r="F901" s="17" t="n"/>
      <ns0:c r="G901" s="17" t="n"/>
      <ns0:c r="H901" s="17" t="n"/>
      <ns0:c r="I901" s="17" t="n"/>
      <ns0:c r="J901" s="17" t="n"/>
      <ns0:c r="K901" s="17" t="n"/>
      <ns0:c r="L901" s="17" t="n"/>
      <ns0:c r="M901" s="17" t="n"/>
      <ns0:c r="N901" s="17" t="n"/>
      <ns0:c r="O901" s="17" t="n"/>
      <ns0:c r="P901" s="17" t="n"/>
      <ns0:c r="Q901" s="17" t="n"/>
      <ns0:c r="R901" s="17" t="n"/>
      <ns0:c r="S901" s="17" t="n"/>
      <ns0:c r="T901" s="17" t="n"/>
      <ns0:c r="U901" s="17" t="n"/>
      <ns0:c r="V901" s="17" t="n"/>
      <ns0:c r="W901" s="17" t="n"/>
      <ns0:c r="X901" s="17" t="n"/>
      <ns0:c r="Y901" s="17" t="n"/>
      <ns0:c r="Z901" s="17" t="n"/>
      <ns0:c r="AA901" s="17" t="n"/>
      <ns0:c r="AB901" s="17" t="n"/>
      <ns0:c r="AC901" s="17" t="n"/>
      <ns0:c r="AD901" s="17" t="n"/>
      <ns0:c r="AE901" s="17" t="n"/>
      <ns0:c r="AF901" s="17" t="n"/>
      <ns0:c r="AG901" s="17" t="n"/>
    </ns0:row>
    <ns0:row r="902" ht="24" customHeight="1">
      <ns0:c r="D902" s="17" t="n"/>
      <ns0:c r="E902" s="17" t="n"/>
      <ns0:c r="F902" s="17" t="n"/>
      <ns0:c r="G902" s="17" t="n"/>
      <ns0:c r="H902" s="17" t="n"/>
      <ns0:c r="I902" s="17" t="n"/>
      <ns0:c r="J902" s="17" t="n"/>
      <ns0:c r="K902" s="17" t="n"/>
      <ns0:c r="L902" s="17" t="n"/>
      <ns0:c r="M902" s="17" t="n"/>
      <ns0:c r="N902" s="17" t="n"/>
      <ns0:c r="O902" s="17" t="n"/>
      <ns0:c r="P902" s="17" t="n"/>
      <ns0:c r="Q902" s="17" t="n"/>
      <ns0:c r="R902" s="17" t="n"/>
      <ns0:c r="S902" s="17" t="n"/>
      <ns0:c r="T902" s="17" t="n"/>
      <ns0:c r="U902" s="17" t="n"/>
      <ns0:c r="V902" s="17" t="n"/>
      <ns0:c r="W902" s="17" t="n"/>
      <ns0:c r="X902" s="17" t="n"/>
      <ns0:c r="Y902" s="17" t="n"/>
      <ns0:c r="Z902" s="17" t="n"/>
      <ns0:c r="AA902" s="17" t="n"/>
      <ns0:c r="AB902" s="17" t="n"/>
      <ns0:c r="AC902" s="17" t="n"/>
      <ns0:c r="AD902" s="17" t="n"/>
      <ns0:c r="AE902" s="17" t="n"/>
      <ns0:c r="AF902" s="17" t="n"/>
      <ns0:c r="AG902" s="17" t="n"/>
    </ns0:row>
    <ns0:row r="903" ht="24" customHeight="1">
      <ns0:c r="D903" s="17" t="n"/>
      <ns0:c r="E903" s="17" t="n"/>
      <ns0:c r="F903" s="17" t="n"/>
      <ns0:c r="G903" s="17" t="n"/>
      <ns0:c r="H903" s="17" t="n"/>
      <ns0:c r="I903" s="17" t="n"/>
      <ns0:c r="J903" s="17" t="n"/>
      <ns0:c r="K903" s="17" t="n"/>
      <ns0:c r="L903" s="17" t="n"/>
      <ns0:c r="M903" s="17" t="n"/>
      <ns0:c r="N903" s="17" t="n"/>
      <ns0:c r="O903" s="17" t="n"/>
      <ns0:c r="P903" s="17" t="n"/>
      <ns0:c r="Q903" s="17" t="n"/>
      <ns0:c r="R903" s="17" t="n"/>
      <ns0:c r="S903" s="17" t="n"/>
      <ns0:c r="T903" s="17" t="n"/>
      <ns0:c r="U903" s="17" t="n"/>
      <ns0:c r="V903" s="17" t="n"/>
      <ns0:c r="W903" s="17" t="n"/>
      <ns0:c r="X903" s="17" t="n"/>
      <ns0:c r="Y903" s="17" t="n"/>
      <ns0:c r="Z903" s="17" t="n"/>
      <ns0:c r="AA903" s="17" t="n"/>
      <ns0:c r="AB903" s="17" t="n"/>
      <ns0:c r="AC903" s="17" t="n"/>
      <ns0:c r="AD903" s="17" t="n"/>
      <ns0:c r="AE903" s="17" t="n"/>
      <ns0:c r="AF903" s="17" t="n"/>
      <ns0:c r="AG903" s="17" t="n"/>
    </ns0:row>
    <ns0:row r="904" ht="24" customHeight="1">
      <ns0:c r="D904" s="17" t="n"/>
      <ns0:c r="E904" s="17" t="n"/>
      <ns0:c r="F904" s="17" t="n"/>
      <ns0:c r="G904" s="17" t="n"/>
      <ns0:c r="H904" s="17" t="n"/>
      <ns0:c r="I904" s="17" t="n"/>
      <ns0:c r="J904" s="17" t="n"/>
      <ns0:c r="K904" s="17" t="n"/>
      <ns0:c r="L904" s="17" t="n"/>
      <ns0:c r="M904" s="17" t="n"/>
      <ns0:c r="N904" s="17" t="n"/>
      <ns0:c r="O904" s="17" t="n"/>
      <ns0:c r="P904" s="17" t="n"/>
      <ns0:c r="Q904" s="17" t="n"/>
      <ns0:c r="R904" s="17" t="n"/>
      <ns0:c r="S904" s="17" t="n"/>
      <ns0:c r="T904" s="17" t="n"/>
      <ns0:c r="U904" s="17" t="n"/>
      <ns0:c r="V904" s="17" t="n"/>
      <ns0:c r="W904" s="17" t="n"/>
      <ns0:c r="X904" s="17" t="n"/>
      <ns0:c r="Y904" s="17" t="n"/>
      <ns0:c r="Z904" s="17" t="n"/>
      <ns0:c r="AA904" s="17" t="n"/>
      <ns0:c r="AB904" s="17" t="n"/>
      <ns0:c r="AC904" s="17" t="n"/>
      <ns0:c r="AD904" s="17" t="n"/>
      <ns0:c r="AE904" s="17" t="n"/>
      <ns0:c r="AF904" s="17" t="n"/>
      <ns0:c r="AG904" s="17" t="n"/>
    </ns0:row>
    <ns0:row r="905" ht="24" customHeight="1">
      <ns0:c r="D905" s="17" t="n"/>
      <ns0:c r="E905" s="17" t="n"/>
      <ns0:c r="F905" s="17" t="n"/>
      <ns0:c r="G905" s="17" t="n"/>
      <ns0:c r="H905" s="17" t="n"/>
      <ns0:c r="I905" s="17" t="n"/>
      <ns0:c r="J905" s="17" t="n"/>
      <ns0:c r="K905" s="17" t="n"/>
      <ns0:c r="L905" s="17" t="n"/>
      <ns0:c r="M905" s="17" t="n"/>
      <ns0:c r="N905" s="17" t="n"/>
      <ns0:c r="O905" s="17" t="n"/>
      <ns0:c r="P905" s="17" t="n"/>
      <ns0:c r="Q905" s="17" t="n"/>
      <ns0:c r="R905" s="17" t="n"/>
      <ns0:c r="S905" s="17" t="n"/>
      <ns0:c r="T905" s="17" t="n"/>
      <ns0:c r="U905" s="17" t="n"/>
      <ns0:c r="V905" s="17" t="n"/>
      <ns0:c r="W905" s="17" t="n"/>
      <ns0:c r="X905" s="17" t="n"/>
      <ns0:c r="Y905" s="17" t="n"/>
      <ns0:c r="Z905" s="17" t="n"/>
      <ns0:c r="AA905" s="17" t="n"/>
      <ns0:c r="AB905" s="17" t="n"/>
      <ns0:c r="AC905" s="17" t="n"/>
      <ns0:c r="AD905" s="17" t="n"/>
      <ns0:c r="AE905" s="17" t="n"/>
      <ns0:c r="AF905" s="17" t="n"/>
      <ns0:c r="AG905" s="17" t="n"/>
    </ns0:row>
    <ns0:row r="906" ht="24" customHeight="1">
      <ns0:c r="D906" s="17" t="n"/>
      <ns0:c r="E906" s="17" t="n"/>
      <ns0:c r="F906" s="17" t="n"/>
      <ns0:c r="G906" s="17" t="n"/>
      <ns0:c r="H906" s="17" t="n"/>
      <ns0:c r="I906" s="17" t="n"/>
      <ns0:c r="J906" s="17" t="n"/>
      <ns0:c r="K906" s="17" t="n"/>
      <ns0:c r="L906" s="17" t="n"/>
      <ns0:c r="M906" s="17" t="n"/>
      <ns0:c r="N906" s="17" t="n"/>
      <ns0:c r="O906" s="17" t="n"/>
      <ns0:c r="P906" s="17" t="n"/>
      <ns0:c r="Q906" s="17" t="n"/>
      <ns0:c r="R906" s="17" t="n"/>
      <ns0:c r="S906" s="17" t="n"/>
      <ns0:c r="T906" s="17" t="n"/>
      <ns0:c r="U906" s="17" t="n"/>
      <ns0:c r="V906" s="17" t="n"/>
      <ns0:c r="W906" s="17" t="n"/>
      <ns0:c r="X906" s="17" t="n"/>
      <ns0:c r="Y906" s="17" t="n"/>
      <ns0:c r="Z906" s="17" t="n"/>
      <ns0:c r="AA906" s="17" t="n"/>
      <ns0:c r="AB906" s="17" t="n"/>
      <ns0:c r="AC906" s="17" t="n"/>
      <ns0:c r="AD906" s="17" t="n"/>
      <ns0:c r="AE906" s="17" t="n"/>
      <ns0:c r="AF906" s="17" t="n"/>
      <ns0:c r="AG906" s="17" t="n"/>
    </ns0:row>
    <ns0:row r="907" ht="24" customHeight="1">
      <ns0:c r="D907" s="17" t="n"/>
      <ns0:c r="E907" s="17" t="n"/>
      <ns0:c r="F907" s="17" t="n"/>
      <ns0:c r="G907" s="17" t="n"/>
      <ns0:c r="H907" s="17" t="n"/>
      <ns0:c r="I907" s="17" t="n"/>
      <ns0:c r="J907" s="17" t="n"/>
      <ns0:c r="K907" s="17" t="n"/>
      <ns0:c r="L907" s="17" t="n"/>
      <ns0:c r="M907" s="17" t="n"/>
      <ns0:c r="N907" s="17" t="n"/>
      <ns0:c r="O907" s="17" t="n"/>
      <ns0:c r="P907" s="17" t="n"/>
      <ns0:c r="Q907" s="17" t="n"/>
      <ns0:c r="R907" s="17" t="n"/>
      <ns0:c r="S907" s="17" t="n"/>
      <ns0:c r="T907" s="17" t="n"/>
      <ns0:c r="U907" s="17" t="n"/>
      <ns0:c r="V907" s="17" t="n"/>
      <ns0:c r="W907" s="17" t="n"/>
      <ns0:c r="X907" s="17" t="n"/>
      <ns0:c r="Y907" s="17" t="n"/>
      <ns0:c r="Z907" s="17" t="n"/>
      <ns0:c r="AA907" s="17" t="n"/>
      <ns0:c r="AB907" s="17" t="n"/>
      <ns0:c r="AC907" s="17" t="n"/>
      <ns0:c r="AD907" s="17" t="n"/>
      <ns0:c r="AE907" s="17" t="n"/>
      <ns0:c r="AF907" s="17" t="n"/>
      <ns0:c r="AG907" s="17" t="n"/>
    </ns0:row>
    <ns0:row r="908" ht="24" customHeight="1">
      <ns0:c r="D908" s="17" t="n"/>
      <ns0:c r="E908" s="17" t="n"/>
      <ns0:c r="F908" s="17" t="n"/>
      <ns0:c r="G908" s="17" t="n"/>
      <ns0:c r="H908" s="17" t="n"/>
      <ns0:c r="I908" s="17" t="n"/>
      <ns0:c r="J908" s="17" t="n"/>
      <ns0:c r="K908" s="17" t="n"/>
      <ns0:c r="L908" s="17" t="n"/>
      <ns0:c r="M908" s="17" t="n"/>
      <ns0:c r="N908" s="17" t="n"/>
      <ns0:c r="O908" s="17" t="n"/>
      <ns0:c r="P908" s="17" t="n"/>
      <ns0:c r="Q908" s="17" t="n"/>
      <ns0:c r="R908" s="17" t="n"/>
      <ns0:c r="S908" s="17" t="n"/>
      <ns0:c r="T908" s="17" t="n"/>
      <ns0:c r="U908" s="17" t="n"/>
      <ns0:c r="V908" s="17" t="n"/>
      <ns0:c r="W908" s="17" t="n"/>
      <ns0:c r="X908" s="17" t="n"/>
      <ns0:c r="Y908" s="17" t="n"/>
      <ns0:c r="Z908" s="17" t="n"/>
      <ns0:c r="AA908" s="17" t="n"/>
      <ns0:c r="AB908" s="17" t="n"/>
      <ns0:c r="AC908" s="17" t="n"/>
      <ns0:c r="AD908" s="17" t="n"/>
      <ns0:c r="AE908" s="17" t="n"/>
      <ns0:c r="AF908" s="17" t="n"/>
      <ns0:c r="AG908" s="17" t="n"/>
    </ns0:row>
    <ns0:row r="909" ht="24" customHeight="1">
      <ns0:c r="D909" s="17" t="n"/>
      <ns0:c r="E909" s="17" t="n"/>
      <ns0:c r="F909" s="17" t="n"/>
      <ns0:c r="G909" s="17" t="n"/>
      <ns0:c r="H909" s="17" t="n"/>
      <ns0:c r="I909" s="17" t="n"/>
      <ns0:c r="J909" s="17" t="n"/>
      <ns0:c r="K909" s="17" t="n"/>
      <ns0:c r="L909" s="17" t="n"/>
      <ns0:c r="M909" s="17" t="n"/>
      <ns0:c r="N909" s="17" t="n"/>
      <ns0:c r="O909" s="17" t="n"/>
      <ns0:c r="P909" s="17" t="n"/>
      <ns0:c r="Q909" s="17" t="n"/>
      <ns0:c r="R909" s="17" t="n"/>
      <ns0:c r="S909" s="17" t="n"/>
      <ns0:c r="T909" s="17" t="n"/>
      <ns0:c r="U909" s="17" t="n"/>
      <ns0:c r="V909" s="17" t="n"/>
      <ns0:c r="W909" s="17" t="n"/>
      <ns0:c r="X909" s="17" t="n"/>
      <ns0:c r="Y909" s="17" t="n"/>
      <ns0:c r="Z909" s="17" t="n"/>
      <ns0:c r="AA909" s="17" t="n"/>
      <ns0:c r="AB909" s="17" t="n"/>
      <ns0:c r="AC909" s="17" t="n"/>
      <ns0:c r="AD909" s="17" t="n"/>
      <ns0:c r="AE909" s="17" t="n"/>
      <ns0:c r="AF909" s="17" t="n"/>
      <ns0:c r="AG909" s="17" t="n"/>
    </ns0:row>
    <ns0:row r="910" ht="24" customHeight="1">
      <ns0:c r="D910" s="17" t="n"/>
      <ns0:c r="E910" s="17" t="n"/>
      <ns0:c r="F910" s="17" t="n"/>
      <ns0:c r="G910" s="17" t="n"/>
      <ns0:c r="H910" s="17" t="n"/>
      <ns0:c r="I910" s="17" t="n"/>
      <ns0:c r="J910" s="17" t="n"/>
      <ns0:c r="K910" s="17" t="n"/>
      <ns0:c r="L910" s="17" t="n"/>
      <ns0:c r="M910" s="17" t="n"/>
      <ns0:c r="N910" s="17" t="n"/>
      <ns0:c r="O910" s="17" t="n"/>
      <ns0:c r="P910" s="17" t="n"/>
      <ns0:c r="Q910" s="17" t="n"/>
      <ns0:c r="R910" s="17" t="n"/>
      <ns0:c r="S910" s="17" t="n"/>
      <ns0:c r="T910" s="17" t="n"/>
      <ns0:c r="U910" s="17" t="n"/>
      <ns0:c r="V910" s="17" t="n"/>
      <ns0:c r="W910" s="17" t="n"/>
      <ns0:c r="X910" s="17" t="n"/>
      <ns0:c r="Y910" s="17" t="n"/>
      <ns0:c r="Z910" s="17" t="n"/>
      <ns0:c r="AA910" s="17" t="n"/>
      <ns0:c r="AB910" s="17" t="n"/>
      <ns0:c r="AC910" s="17" t="n"/>
      <ns0:c r="AD910" s="17" t="n"/>
      <ns0:c r="AE910" s="17" t="n"/>
      <ns0:c r="AF910" s="17" t="n"/>
      <ns0:c r="AG910" s="17" t="n"/>
    </ns0:row>
    <ns0:row r="911" ht="24" customHeight="1">
      <ns0:c r="D911" s="17" t="n"/>
      <ns0:c r="E911" s="17" t="n"/>
      <ns0:c r="F911" s="17" t="n"/>
      <ns0:c r="G911" s="17" t="n"/>
      <ns0:c r="H911" s="17" t="n"/>
      <ns0:c r="I911" s="17" t="n"/>
      <ns0:c r="J911" s="17" t="n"/>
      <ns0:c r="K911" s="17" t="n"/>
      <ns0:c r="L911" s="17" t="n"/>
      <ns0:c r="M911" s="17" t="n"/>
      <ns0:c r="N911" s="17" t="n"/>
      <ns0:c r="O911" s="17" t="n"/>
      <ns0:c r="P911" s="17" t="n"/>
      <ns0:c r="Q911" s="17" t="n"/>
      <ns0:c r="R911" s="17" t="n"/>
      <ns0:c r="S911" s="17" t="n"/>
      <ns0:c r="T911" s="17" t="n"/>
      <ns0:c r="U911" s="17" t="n"/>
      <ns0:c r="V911" s="17" t="n"/>
      <ns0:c r="W911" s="17" t="n"/>
      <ns0:c r="X911" s="17" t="n"/>
      <ns0:c r="Y911" s="17" t="n"/>
      <ns0:c r="Z911" s="17" t="n"/>
      <ns0:c r="AA911" s="17" t="n"/>
      <ns0:c r="AB911" s="17" t="n"/>
      <ns0:c r="AC911" s="17" t="n"/>
      <ns0:c r="AD911" s="17" t="n"/>
      <ns0:c r="AE911" s="17" t="n"/>
      <ns0:c r="AF911" s="17" t="n"/>
      <ns0:c r="AG911" s="17" t="n"/>
    </ns0:row>
    <ns0:row r="912" ht="24" customHeight="1">
      <ns0:c r="D912" s="17" t="n"/>
      <ns0:c r="E912" s="17" t="n"/>
      <ns0:c r="F912" s="17" t="n"/>
      <ns0:c r="G912" s="17" t="n"/>
      <ns0:c r="H912" s="17" t="n"/>
      <ns0:c r="I912" s="17" t="n"/>
      <ns0:c r="J912" s="17" t="n"/>
      <ns0:c r="K912" s="17" t="n"/>
      <ns0:c r="L912" s="17" t="n"/>
      <ns0:c r="M912" s="17" t="n"/>
      <ns0:c r="N912" s="17" t="n"/>
      <ns0:c r="O912" s="17" t="n"/>
      <ns0:c r="P912" s="17" t="n"/>
      <ns0:c r="Q912" s="17" t="n"/>
      <ns0:c r="R912" s="17" t="n"/>
      <ns0:c r="S912" s="17" t="n"/>
      <ns0:c r="T912" s="17" t="n"/>
      <ns0:c r="U912" s="17" t="n"/>
      <ns0:c r="V912" s="17" t="n"/>
      <ns0:c r="W912" s="17" t="n"/>
      <ns0:c r="X912" s="17" t="n"/>
      <ns0:c r="Y912" s="17" t="n"/>
      <ns0:c r="Z912" s="17" t="n"/>
      <ns0:c r="AA912" s="17" t="n"/>
      <ns0:c r="AB912" s="17" t="n"/>
      <ns0:c r="AC912" s="17" t="n"/>
      <ns0:c r="AD912" s="17" t="n"/>
      <ns0:c r="AE912" s="17" t="n"/>
      <ns0:c r="AF912" s="17" t="n"/>
      <ns0:c r="AG912" s="17" t="n"/>
    </ns0:row>
    <ns0:row r="913" ht="24" customHeight="1">
      <ns0:c r="D913" s="17" t="n"/>
      <ns0:c r="E913" s="17" t="n"/>
      <ns0:c r="F913" s="17" t="n"/>
      <ns0:c r="G913" s="17" t="n"/>
      <ns0:c r="H913" s="17" t="n"/>
      <ns0:c r="I913" s="17" t="n"/>
      <ns0:c r="J913" s="17" t="n"/>
      <ns0:c r="K913" s="17" t="n"/>
      <ns0:c r="L913" s="17" t="n"/>
      <ns0:c r="M913" s="17" t="n"/>
      <ns0:c r="N913" s="17" t="n"/>
      <ns0:c r="O913" s="17" t="n"/>
      <ns0:c r="P913" s="17" t="n"/>
      <ns0:c r="Q913" s="17" t="n"/>
      <ns0:c r="R913" s="17" t="n"/>
      <ns0:c r="S913" s="17" t="n"/>
      <ns0:c r="T913" s="17" t="n"/>
      <ns0:c r="U913" s="17" t="n"/>
      <ns0:c r="V913" s="17" t="n"/>
      <ns0:c r="W913" s="17" t="n"/>
      <ns0:c r="X913" s="17" t="n"/>
      <ns0:c r="Y913" s="17" t="n"/>
      <ns0:c r="Z913" s="17" t="n"/>
      <ns0:c r="AA913" s="17" t="n"/>
      <ns0:c r="AB913" s="17" t="n"/>
      <ns0:c r="AC913" s="17" t="n"/>
      <ns0:c r="AD913" s="17" t="n"/>
      <ns0:c r="AE913" s="17" t="n"/>
      <ns0:c r="AF913" s="17" t="n"/>
      <ns0:c r="AG913" s="17" t="n"/>
    </ns0:row>
    <ns0:row r="914" ht="24" customHeight="1">
      <ns0:c r="D914" s="17" t="n"/>
      <ns0:c r="E914" s="17" t="n"/>
      <ns0:c r="F914" s="17" t="n"/>
      <ns0:c r="G914" s="17" t="n"/>
      <ns0:c r="H914" s="17" t="n"/>
      <ns0:c r="I914" s="17" t="n"/>
      <ns0:c r="J914" s="17" t="n"/>
      <ns0:c r="K914" s="17" t="n"/>
      <ns0:c r="L914" s="17" t="n"/>
      <ns0:c r="M914" s="17" t="n"/>
      <ns0:c r="N914" s="17" t="n"/>
      <ns0:c r="O914" s="17" t="n"/>
      <ns0:c r="P914" s="17" t="n"/>
      <ns0:c r="Q914" s="17" t="n"/>
      <ns0:c r="R914" s="17" t="n"/>
      <ns0:c r="S914" s="17" t="n"/>
      <ns0:c r="T914" s="17" t="n"/>
      <ns0:c r="U914" s="17" t="n"/>
      <ns0:c r="V914" s="17" t="n"/>
      <ns0:c r="W914" s="17" t="n"/>
      <ns0:c r="X914" s="17" t="n"/>
      <ns0:c r="Y914" s="17" t="n"/>
      <ns0:c r="Z914" s="17" t="n"/>
      <ns0:c r="AA914" s="17" t="n"/>
      <ns0:c r="AB914" s="17" t="n"/>
      <ns0:c r="AC914" s="17" t="n"/>
      <ns0:c r="AD914" s="17" t="n"/>
      <ns0:c r="AE914" s="17" t="n"/>
      <ns0:c r="AF914" s="17" t="n"/>
      <ns0:c r="AG914" s="17" t="n"/>
    </ns0:row>
    <ns0:row r="915" ht="24" customHeight="1">
      <ns0:c r="D915" s="17" t="n"/>
      <ns0:c r="E915" s="17" t="n"/>
      <ns0:c r="F915" s="17" t="n"/>
      <ns0:c r="G915" s="17" t="n"/>
      <ns0:c r="H915" s="17" t="n"/>
      <ns0:c r="I915" s="17" t="n"/>
      <ns0:c r="J915" s="17" t="n"/>
      <ns0:c r="K915" s="17" t="n"/>
      <ns0:c r="L915" s="17" t="n"/>
      <ns0:c r="M915" s="17" t="n"/>
      <ns0:c r="N915" s="17" t="n"/>
      <ns0:c r="O915" s="17" t="n"/>
      <ns0:c r="P915" s="17" t="n"/>
      <ns0:c r="Q915" s="17" t="n"/>
      <ns0:c r="R915" s="17" t="n"/>
      <ns0:c r="S915" s="17" t="n"/>
      <ns0:c r="T915" s="17" t="n"/>
      <ns0:c r="U915" s="17" t="n"/>
      <ns0:c r="V915" s="17" t="n"/>
      <ns0:c r="W915" s="17" t="n"/>
      <ns0:c r="X915" s="17" t="n"/>
      <ns0:c r="Y915" s="17" t="n"/>
      <ns0:c r="Z915" s="17" t="n"/>
      <ns0:c r="AA915" s="17" t="n"/>
      <ns0:c r="AB915" s="17" t="n"/>
      <ns0:c r="AC915" s="17" t="n"/>
      <ns0:c r="AD915" s="17" t="n"/>
      <ns0:c r="AE915" s="17" t="n"/>
      <ns0:c r="AF915" s="17" t="n"/>
      <ns0:c r="AG915" s="17" t="n"/>
    </ns0:row>
    <ns0:row r="916" ht="24" customHeight="1">
      <ns0:c r="D916" s="17" t="n"/>
      <ns0:c r="E916" s="17" t="n"/>
      <ns0:c r="F916" s="17" t="n"/>
      <ns0:c r="G916" s="17" t="n"/>
      <ns0:c r="H916" s="17" t="n"/>
      <ns0:c r="I916" s="17" t="n"/>
      <ns0:c r="J916" s="17" t="n"/>
      <ns0:c r="K916" s="17" t="n"/>
      <ns0:c r="L916" s="17" t="n"/>
      <ns0:c r="M916" s="17" t="n"/>
      <ns0:c r="N916" s="17" t="n"/>
      <ns0:c r="O916" s="17" t="n"/>
      <ns0:c r="P916" s="17" t="n"/>
      <ns0:c r="Q916" s="17" t="n"/>
      <ns0:c r="R916" s="17" t="n"/>
      <ns0:c r="S916" s="17" t="n"/>
      <ns0:c r="T916" s="17" t="n"/>
      <ns0:c r="U916" s="17" t="n"/>
      <ns0:c r="V916" s="17" t="n"/>
      <ns0:c r="W916" s="17" t="n"/>
      <ns0:c r="X916" s="17" t="n"/>
      <ns0:c r="Y916" s="17" t="n"/>
      <ns0:c r="Z916" s="17" t="n"/>
      <ns0:c r="AA916" s="17" t="n"/>
      <ns0:c r="AB916" s="17" t="n"/>
      <ns0:c r="AC916" s="17" t="n"/>
      <ns0:c r="AD916" s="17" t="n"/>
      <ns0:c r="AE916" s="17" t="n"/>
      <ns0:c r="AF916" s="17" t="n"/>
      <ns0:c r="AG916" s="17" t="n"/>
    </ns0:row>
    <ns0:row r="917" ht="24" customHeight="1">
      <ns0:c r="D917" s="17" t="n"/>
      <ns0:c r="E917" s="17" t="n"/>
      <ns0:c r="F917" s="17" t="n"/>
      <ns0:c r="G917" s="17" t="n"/>
      <ns0:c r="H917" s="17" t="n"/>
      <ns0:c r="I917" s="17" t="n"/>
      <ns0:c r="J917" s="17" t="n"/>
      <ns0:c r="K917" s="17" t="n"/>
      <ns0:c r="L917" s="17" t="n"/>
      <ns0:c r="M917" s="17" t="n"/>
      <ns0:c r="N917" s="17" t="n"/>
      <ns0:c r="O917" s="17" t="n"/>
      <ns0:c r="P917" s="17" t="n"/>
      <ns0:c r="Q917" s="17" t="n"/>
      <ns0:c r="R917" s="17" t="n"/>
      <ns0:c r="S917" s="17" t="n"/>
      <ns0:c r="T917" s="17" t="n"/>
      <ns0:c r="U917" s="17" t="n"/>
      <ns0:c r="V917" s="17" t="n"/>
      <ns0:c r="W917" s="17" t="n"/>
      <ns0:c r="X917" s="17" t="n"/>
      <ns0:c r="Y917" s="17" t="n"/>
      <ns0:c r="Z917" s="17" t="n"/>
      <ns0:c r="AA917" s="17" t="n"/>
      <ns0:c r="AB917" s="17" t="n"/>
      <ns0:c r="AC917" s="17" t="n"/>
      <ns0:c r="AD917" s="17" t="n"/>
      <ns0:c r="AE917" s="17" t="n"/>
      <ns0:c r="AF917" s="17" t="n"/>
      <ns0:c r="AG917" s="17" t="n"/>
    </ns0:row>
    <ns0:row r="918" ht="24" customHeight="1">
      <ns0:c r="D918" s="17" t="n"/>
      <ns0:c r="E918" s="17" t="n"/>
      <ns0:c r="F918" s="17" t="n"/>
      <ns0:c r="G918" s="17" t="n"/>
      <ns0:c r="H918" s="17" t="n"/>
      <ns0:c r="I918" s="17" t="n"/>
      <ns0:c r="J918" s="17" t="n"/>
      <ns0:c r="K918" s="17" t="n"/>
      <ns0:c r="L918" s="17" t="n"/>
      <ns0:c r="M918" s="17" t="n"/>
      <ns0:c r="N918" s="17" t="n"/>
      <ns0:c r="O918" s="17" t="n"/>
      <ns0:c r="P918" s="17" t="n"/>
      <ns0:c r="Q918" s="17" t="n"/>
      <ns0:c r="R918" s="17" t="n"/>
      <ns0:c r="S918" s="17" t="n"/>
      <ns0:c r="T918" s="17" t="n"/>
      <ns0:c r="U918" s="17" t="n"/>
      <ns0:c r="V918" s="17" t="n"/>
      <ns0:c r="W918" s="17" t="n"/>
      <ns0:c r="X918" s="17" t="n"/>
      <ns0:c r="Y918" s="17" t="n"/>
      <ns0:c r="Z918" s="17" t="n"/>
      <ns0:c r="AA918" s="17" t="n"/>
      <ns0:c r="AB918" s="17" t="n"/>
      <ns0:c r="AC918" s="17" t="n"/>
      <ns0:c r="AD918" s="17" t="n"/>
      <ns0:c r="AE918" s="17" t="n"/>
      <ns0:c r="AF918" s="17" t="n"/>
      <ns0:c r="AG918" s="17" t="n"/>
    </ns0:row>
    <ns0:row r="919" ht="24" customHeight="1">
      <ns0:c r="D919" s="17" t="n"/>
      <ns0:c r="E919" s="17" t="n"/>
      <ns0:c r="F919" s="17" t="n"/>
      <ns0:c r="G919" s="17" t="n"/>
      <ns0:c r="H919" s="17" t="n"/>
      <ns0:c r="I919" s="17" t="n"/>
      <ns0:c r="J919" s="17" t="n"/>
      <ns0:c r="K919" s="17" t="n"/>
      <ns0:c r="L919" s="17" t="n"/>
      <ns0:c r="M919" s="17" t="n"/>
      <ns0:c r="N919" s="17" t="n"/>
      <ns0:c r="O919" s="17" t="n"/>
      <ns0:c r="P919" s="17" t="n"/>
      <ns0:c r="Q919" s="17" t="n"/>
      <ns0:c r="R919" s="17" t="n"/>
      <ns0:c r="S919" s="17" t="n"/>
      <ns0:c r="T919" s="17" t="n"/>
      <ns0:c r="U919" s="17" t="n"/>
      <ns0:c r="V919" s="17" t="n"/>
      <ns0:c r="W919" s="17" t="n"/>
      <ns0:c r="X919" s="17" t="n"/>
      <ns0:c r="Y919" s="17" t="n"/>
      <ns0:c r="Z919" s="17" t="n"/>
      <ns0:c r="AA919" s="17" t="n"/>
      <ns0:c r="AB919" s="17" t="n"/>
      <ns0:c r="AC919" s="17" t="n"/>
      <ns0:c r="AD919" s="17" t="n"/>
      <ns0:c r="AE919" s="17" t="n"/>
      <ns0:c r="AF919" s="17" t="n"/>
      <ns0:c r="AG919" s="17" t="n"/>
    </ns0:row>
    <ns0:row r="920" ht="24" customHeight="1">
      <ns0:c r="D920" s="17" t="n"/>
      <ns0:c r="E920" s="17" t="n"/>
      <ns0:c r="F920" s="17" t="n"/>
      <ns0:c r="G920" s="17" t="n"/>
      <ns0:c r="H920" s="17" t="n"/>
      <ns0:c r="I920" s="17" t="n"/>
      <ns0:c r="J920" s="17" t="n"/>
      <ns0:c r="K920" s="17" t="n"/>
      <ns0:c r="L920" s="17" t="n"/>
      <ns0:c r="M920" s="17" t="n"/>
      <ns0:c r="N920" s="17" t="n"/>
      <ns0:c r="O920" s="17" t="n"/>
      <ns0:c r="P920" s="17" t="n"/>
      <ns0:c r="Q920" s="17" t="n"/>
      <ns0:c r="R920" s="17" t="n"/>
      <ns0:c r="S920" s="17" t="n"/>
      <ns0:c r="T920" s="17" t="n"/>
      <ns0:c r="U920" s="17" t="n"/>
      <ns0:c r="V920" s="17" t="n"/>
      <ns0:c r="W920" s="17" t="n"/>
      <ns0:c r="X920" s="17" t="n"/>
      <ns0:c r="Y920" s="17" t="n"/>
      <ns0:c r="Z920" s="17" t="n"/>
      <ns0:c r="AA920" s="17" t="n"/>
      <ns0:c r="AB920" s="17" t="n"/>
      <ns0:c r="AC920" s="17" t="n"/>
      <ns0:c r="AD920" s="17" t="n"/>
      <ns0:c r="AE920" s="17" t="n"/>
      <ns0:c r="AF920" s="17" t="n"/>
      <ns0:c r="AG920" s="17" t="n"/>
    </ns0:row>
    <ns0:row r="921" ht="24" customHeight="1">
      <ns0:c r="D921" s="17" t="n"/>
      <ns0:c r="E921" s="17" t="n"/>
      <ns0:c r="F921" s="17" t="n"/>
      <ns0:c r="G921" s="17" t="n"/>
      <ns0:c r="H921" s="17" t="n"/>
      <ns0:c r="I921" s="17" t="n"/>
      <ns0:c r="J921" s="17" t="n"/>
      <ns0:c r="K921" s="17" t="n"/>
      <ns0:c r="L921" s="17" t="n"/>
      <ns0:c r="M921" s="17" t="n"/>
      <ns0:c r="N921" s="17" t="n"/>
      <ns0:c r="O921" s="17" t="n"/>
      <ns0:c r="P921" s="17" t="n"/>
      <ns0:c r="Q921" s="17" t="n"/>
      <ns0:c r="R921" s="17" t="n"/>
      <ns0:c r="S921" s="17" t="n"/>
      <ns0:c r="T921" s="17" t="n"/>
      <ns0:c r="U921" s="17" t="n"/>
      <ns0:c r="V921" s="17" t="n"/>
      <ns0:c r="W921" s="17" t="n"/>
      <ns0:c r="X921" s="17" t="n"/>
      <ns0:c r="Y921" s="17" t="n"/>
      <ns0:c r="Z921" s="17" t="n"/>
      <ns0:c r="AA921" s="17" t="n"/>
      <ns0:c r="AB921" s="17" t="n"/>
      <ns0:c r="AC921" s="17" t="n"/>
      <ns0:c r="AD921" s="17" t="n"/>
      <ns0:c r="AE921" s="17" t="n"/>
      <ns0:c r="AF921" s="17" t="n"/>
      <ns0:c r="AG921" s="17" t="n"/>
    </ns0:row>
    <ns0:row r="922" ht="24" customHeight="1">
      <ns0:c r="D922" s="17" t="n"/>
      <ns0:c r="E922" s="17" t="n"/>
      <ns0:c r="F922" s="17" t="n"/>
      <ns0:c r="G922" s="17" t="n"/>
      <ns0:c r="H922" s="17" t="n"/>
      <ns0:c r="I922" s="17" t="n"/>
      <ns0:c r="J922" s="17" t="n"/>
      <ns0:c r="K922" s="17" t="n"/>
      <ns0:c r="L922" s="17" t="n"/>
      <ns0:c r="M922" s="17" t="n"/>
      <ns0:c r="N922" s="17" t="n"/>
      <ns0:c r="O922" s="17" t="n"/>
      <ns0:c r="P922" s="17" t="n"/>
      <ns0:c r="Q922" s="17" t="n"/>
      <ns0:c r="R922" s="17" t="n"/>
      <ns0:c r="S922" s="17" t="n"/>
      <ns0:c r="T922" s="17" t="n"/>
      <ns0:c r="U922" s="17" t="n"/>
      <ns0:c r="V922" s="17" t="n"/>
      <ns0:c r="W922" s="17" t="n"/>
      <ns0:c r="X922" s="17" t="n"/>
      <ns0:c r="Y922" s="17" t="n"/>
      <ns0:c r="Z922" s="17" t="n"/>
      <ns0:c r="AA922" s="17" t="n"/>
      <ns0:c r="AB922" s="17" t="n"/>
      <ns0:c r="AC922" s="17" t="n"/>
      <ns0:c r="AD922" s="17" t="n"/>
      <ns0:c r="AE922" s="17" t="n"/>
      <ns0:c r="AF922" s="17" t="n"/>
      <ns0:c r="AG922" s="17" t="n"/>
    </ns0:row>
    <ns0:row r="923" ht="24" customHeight="1">
      <ns0:c r="D923" s="17" t="n"/>
      <ns0:c r="E923" s="17" t="n"/>
      <ns0:c r="F923" s="17" t="n"/>
      <ns0:c r="G923" s="17" t="n"/>
      <ns0:c r="H923" s="17" t="n"/>
      <ns0:c r="I923" s="17" t="n"/>
      <ns0:c r="J923" s="17" t="n"/>
      <ns0:c r="K923" s="17" t="n"/>
      <ns0:c r="L923" s="17" t="n"/>
      <ns0:c r="M923" s="17" t="n"/>
      <ns0:c r="N923" s="17" t="n"/>
      <ns0:c r="O923" s="17" t="n"/>
      <ns0:c r="P923" s="17" t="n"/>
      <ns0:c r="Q923" s="17" t="n"/>
      <ns0:c r="R923" s="17" t="n"/>
      <ns0:c r="S923" s="17" t="n"/>
      <ns0:c r="T923" s="17" t="n"/>
      <ns0:c r="U923" s="17" t="n"/>
      <ns0:c r="V923" s="17" t="n"/>
      <ns0:c r="W923" s="17" t="n"/>
      <ns0:c r="X923" s="17" t="n"/>
      <ns0:c r="Y923" s="17" t="n"/>
      <ns0:c r="Z923" s="17" t="n"/>
      <ns0:c r="AA923" s="17" t="n"/>
      <ns0:c r="AB923" s="17" t="n"/>
      <ns0:c r="AC923" s="17" t="n"/>
      <ns0:c r="AD923" s="17" t="n"/>
      <ns0:c r="AE923" s="17" t="n"/>
      <ns0:c r="AF923" s="17" t="n"/>
      <ns0:c r="AG923" s="17" t="n"/>
    </ns0:row>
    <ns0:row r="924" ht="24" customHeight="1">
      <ns0:c r="D924" s="17" t="n"/>
      <ns0:c r="E924" s="17" t="n"/>
      <ns0:c r="F924" s="17" t="n"/>
      <ns0:c r="G924" s="17" t="n"/>
      <ns0:c r="H924" s="17" t="n"/>
      <ns0:c r="I924" s="17" t="n"/>
      <ns0:c r="J924" s="17" t="n"/>
      <ns0:c r="K924" s="17" t="n"/>
      <ns0:c r="L924" s="17" t="n"/>
      <ns0:c r="M924" s="17" t="n"/>
      <ns0:c r="N924" s="17" t="n"/>
      <ns0:c r="O924" s="17" t="n"/>
      <ns0:c r="P924" s="17" t="n"/>
      <ns0:c r="Q924" s="17" t="n"/>
      <ns0:c r="R924" s="17" t="n"/>
      <ns0:c r="S924" s="17" t="n"/>
      <ns0:c r="T924" s="17" t="n"/>
      <ns0:c r="U924" s="17" t="n"/>
      <ns0:c r="V924" s="17" t="n"/>
      <ns0:c r="W924" s="17" t="n"/>
      <ns0:c r="X924" s="17" t="n"/>
      <ns0:c r="Y924" s="17" t="n"/>
      <ns0:c r="Z924" s="17" t="n"/>
      <ns0:c r="AA924" s="17" t="n"/>
      <ns0:c r="AB924" s="17" t="n"/>
      <ns0:c r="AC924" s="17" t="n"/>
      <ns0:c r="AD924" s="17" t="n"/>
      <ns0:c r="AE924" s="17" t="n"/>
      <ns0:c r="AF924" s="17" t="n"/>
      <ns0:c r="AG924" s="17" t="n"/>
    </ns0:row>
    <ns0:row r="925" ht="24" customHeight="1">
      <ns0:c r="D925" s="17" t="n"/>
      <ns0:c r="E925" s="17" t="n"/>
      <ns0:c r="F925" s="17" t="n"/>
      <ns0:c r="G925" s="17" t="n"/>
      <ns0:c r="H925" s="17" t="n"/>
      <ns0:c r="I925" s="17" t="n"/>
      <ns0:c r="J925" s="17" t="n"/>
      <ns0:c r="K925" s="17" t="n"/>
      <ns0:c r="L925" s="17" t="n"/>
      <ns0:c r="M925" s="17" t="n"/>
      <ns0:c r="N925" s="17" t="n"/>
      <ns0:c r="O925" s="17" t="n"/>
      <ns0:c r="P925" s="17" t="n"/>
      <ns0:c r="Q925" s="17" t="n"/>
      <ns0:c r="R925" s="17" t="n"/>
      <ns0:c r="S925" s="17" t="n"/>
      <ns0:c r="T925" s="17" t="n"/>
      <ns0:c r="U925" s="17" t="n"/>
      <ns0:c r="V925" s="17" t="n"/>
      <ns0:c r="W925" s="17" t="n"/>
      <ns0:c r="X925" s="17" t="n"/>
      <ns0:c r="Y925" s="17" t="n"/>
      <ns0:c r="Z925" s="17" t="n"/>
      <ns0:c r="AA925" s="17" t="n"/>
      <ns0:c r="AB925" s="17" t="n"/>
      <ns0:c r="AC925" s="17" t="n"/>
      <ns0:c r="AD925" s="17" t="n"/>
      <ns0:c r="AE925" s="17" t="n"/>
      <ns0:c r="AF925" s="17" t="n"/>
      <ns0:c r="AG925" s="17" t="n"/>
    </ns0:row>
    <ns0:row r="926" ht="24" customHeight="1">
      <ns0:c r="D926" s="17" t="n"/>
      <ns0:c r="E926" s="17" t="n"/>
      <ns0:c r="F926" s="17" t="n"/>
      <ns0:c r="G926" s="17" t="n"/>
      <ns0:c r="H926" s="17" t="n"/>
      <ns0:c r="I926" s="17" t="n"/>
      <ns0:c r="J926" s="17" t="n"/>
      <ns0:c r="K926" s="17" t="n"/>
      <ns0:c r="L926" s="17" t="n"/>
      <ns0:c r="M926" s="17" t="n"/>
      <ns0:c r="N926" s="17" t="n"/>
      <ns0:c r="O926" s="17" t="n"/>
      <ns0:c r="P926" s="17" t="n"/>
      <ns0:c r="Q926" s="17" t="n"/>
      <ns0:c r="R926" s="17" t="n"/>
      <ns0:c r="S926" s="17" t="n"/>
      <ns0:c r="T926" s="17" t="n"/>
      <ns0:c r="U926" s="17" t="n"/>
      <ns0:c r="V926" s="17" t="n"/>
      <ns0:c r="W926" s="17" t="n"/>
      <ns0:c r="X926" s="17" t="n"/>
      <ns0:c r="Y926" s="17" t="n"/>
      <ns0:c r="Z926" s="17" t="n"/>
      <ns0:c r="AA926" s="17" t="n"/>
      <ns0:c r="AB926" s="17" t="n"/>
      <ns0:c r="AC926" s="17" t="n"/>
      <ns0:c r="AD926" s="17" t="n"/>
      <ns0:c r="AE926" s="17" t="n"/>
      <ns0:c r="AF926" s="17" t="n"/>
      <ns0:c r="AG926" s="17" t="n"/>
    </ns0:row>
    <ns0:row r="927" ht="24" customHeight="1">
      <ns0:c r="D927" s="17" t="n"/>
      <ns0:c r="E927" s="17" t="n"/>
      <ns0:c r="F927" s="17" t="n"/>
      <ns0:c r="G927" s="17" t="n"/>
      <ns0:c r="H927" s="17" t="n"/>
      <ns0:c r="I927" s="17" t="n"/>
      <ns0:c r="J927" s="17" t="n"/>
      <ns0:c r="K927" s="17" t="n"/>
      <ns0:c r="L927" s="17" t="n"/>
      <ns0:c r="M927" s="17" t="n"/>
      <ns0:c r="N927" s="17" t="n"/>
      <ns0:c r="O927" s="17" t="n"/>
      <ns0:c r="P927" s="17" t="n"/>
      <ns0:c r="Q927" s="17" t="n"/>
      <ns0:c r="R927" s="17" t="n"/>
      <ns0:c r="S927" s="17" t="n"/>
      <ns0:c r="T927" s="17" t="n"/>
      <ns0:c r="U927" s="17" t="n"/>
      <ns0:c r="V927" s="17" t="n"/>
      <ns0:c r="W927" s="17" t="n"/>
      <ns0:c r="X927" s="17" t="n"/>
      <ns0:c r="Y927" s="17" t="n"/>
      <ns0:c r="Z927" s="17" t="n"/>
      <ns0:c r="AA927" s="17" t="n"/>
      <ns0:c r="AB927" s="17" t="n"/>
      <ns0:c r="AC927" s="17" t="n"/>
      <ns0:c r="AD927" s="17" t="n"/>
      <ns0:c r="AE927" s="17" t="n"/>
      <ns0:c r="AF927" s="17" t="n"/>
      <ns0:c r="AG927" s="17" t="n"/>
    </ns0:row>
    <ns0:row r="928" ht="24" customHeight="1">
      <ns0:c r="D928" s="17" t="n"/>
      <ns0:c r="E928" s="17" t="n"/>
      <ns0:c r="F928" s="17" t="n"/>
      <ns0:c r="G928" s="17" t="n"/>
      <ns0:c r="H928" s="17" t="n"/>
      <ns0:c r="I928" s="17" t="n"/>
      <ns0:c r="J928" s="17" t="n"/>
      <ns0:c r="K928" s="17" t="n"/>
      <ns0:c r="L928" s="17" t="n"/>
      <ns0:c r="M928" s="17" t="n"/>
      <ns0:c r="N928" s="17" t="n"/>
      <ns0:c r="O928" s="17" t="n"/>
      <ns0:c r="P928" s="17" t="n"/>
      <ns0:c r="Q928" s="17" t="n"/>
      <ns0:c r="R928" s="17" t="n"/>
      <ns0:c r="S928" s="17" t="n"/>
      <ns0:c r="T928" s="17" t="n"/>
      <ns0:c r="U928" s="17" t="n"/>
      <ns0:c r="V928" s="17" t="n"/>
      <ns0:c r="W928" s="17" t="n"/>
      <ns0:c r="X928" s="17" t="n"/>
      <ns0:c r="Y928" s="17" t="n"/>
      <ns0:c r="Z928" s="17" t="n"/>
      <ns0:c r="AA928" s="17" t="n"/>
      <ns0:c r="AB928" s="17" t="n"/>
      <ns0:c r="AC928" s="17" t="n"/>
      <ns0:c r="AD928" s="17" t="n"/>
      <ns0:c r="AE928" s="17" t="n"/>
      <ns0:c r="AF928" s="17" t="n"/>
      <ns0:c r="AG928" s="17" t="n"/>
    </ns0:row>
    <ns0:row r="929" ht="24" customHeight="1">
      <ns0:c r="D929" s="17" t="n"/>
      <ns0:c r="E929" s="17" t="n"/>
      <ns0:c r="F929" s="17" t="n"/>
      <ns0:c r="G929" s="17" t="n"/>
      <ns0:c r="H929" s="17" t="n"/>
      <ns0:c r="I929" s="17" t="n"/>
      <ns0:c r="J929" s="17" t="n"/>
      <ns0:c r="K929" s="17" t="n"/>
      <ns0:c r="L929" s="17" t="n"/>
      <ns0:c r="M929" s="17" t="n"/>
      <ns0:c r="N929" s="17" t="n"/>
      <ns0:c r="O929" s="17" t="n"/>
      <ns0:c r="P929" s="17" t="n"/>
      <ns0:c r="Q929" s="17" t="n"/>
      <ns0:c r="R929" s="17" t="n"/>
      <ns0:c r="S929" s="17" t="n"/>
      <ns0:c r="T929" s="17" t="n"/>
      <ns0:c r="U929" s="17" t="n"/>
      <ns0:c r="V929" s="17" t="n"/>
      <ns0:c r="W929" s="17" t="n"/>
      <ns0:c r="X929" s="17" t="n"/>
      <ns0:c r="Y929" s="17" t="n"/>
      <ns0:c r="Z929" s="17" t="n"/>
      <ns0:c r="AA929" s="17" t="n"/>
      <ns0:c r="AB929" s="17" t="n"/>
      <ns0:c r="AC929" s="17" t="n"/>
      <ns0:c r="AD929" s="17" t="n"/>
      <ns0:c r="AE929" s="17" t="n"/>
      <ns0:c r="AF929" s="17" t="n"/>
      <ns0:c r="AG929" s="17" t="n"/>
    </ns0:row>
    <ns0:row r="930" ht="24" customHeight="1">
      <ns0:c r="D930" s="17" t="n"/>
      <ns0:c r="E930" s="17" t="n"/>
      <ns0:c r="F930" s="17" t="n"/>
      <ns0:c r="G930" s="17" t="n"/>
      <ns0:c r="H930" s="17" t="n"/>
      <ns0:c r="I930" s="17" t="n"/>
      <ns0:c r="J930" s="17" t="n"/>
      <ns0:c r="K930" s="17" t="n"/>
      <ns0:c r="L930" s="17" t="n"/>
      <ns0:c r="M930" s="17" t="n"/>
      <ns0:c r="N930" s="17" t="n"/>
      <ns0:c r="O930" s="17" t="n"/>
      <ns0:c r="P930" s="17" t="n"/>
      <ns0:c r="Q930" s="17" t="n"/>
      <ns0:c r="R930" s="17" t="n"/>
      <ns0:c r="S930" s="17" t="n"/>
      <ns0:c r="T930" s="17" t="n"/>
      <ns0:c r="U930" s="17" t="n"/>
      <ns0:c r="V930" s="17" t="n"/>
      <ns0:c r="W930" s="17" t="n"/>
      <ns0:c r="X930" s="17" t="n"/>
      <ns0:c r="Y930" s="17" t="n"/>
      <ns0:c r="Z930" s="17" t="n"/>
      <ns0:c r="AA930" s="17" t="n"/>
      <ns0:c r="AB930" s="17" t="n"/>
      <ns0:c r="AC930" s="17" t="n"/>
      <ns0:c r="AD930" s="17" t="n"/>
      <ns0:c r="AE930" s="17" t="n"/>
      <ns0:c r="AF930" s="17" t="n"/>
      <ns0:c r="AG930" s="17" t="n"/>
    </ns0:row>
    <ns0:row r="931" ht="24" customHeight="1">
      <ns0:c r="D931" s="17" t="n"/>
      <ns0:c r="E931" s="17" t="n"/>
      <ns0:c r="F931" s="17" t="n"/>
      <ns0:c r="G931" s="17" t="n"/>
      <ns0:c r="H931" s="17" t="n"/>
      <ns0:c r="I931" s="17" t="n"/>
      <ns0:c r="J931" s="17" t="n"/>
      <ns0:c r="K931" s="17" t="n"/>
      <ns0:c r="L931" s="17" t="n"/>
      <ns0:c r="M931" s="17" t="n"/>
      <ns0:c r="N931" s="17" t="n"/>
      <ns0:c r="O931" s="17" t="n"/>
      <ns0:c r="P931" s="17" t="n"/>
      <ns0:c r="Q931" s="17" t="n"/>
      <ns0:c r="R931" s="17" t="n"/>
      <ns0:c r="S931" s="17" t="n"/>
      <ns0:c r="T931" s="17" t="n"/>
      <ns0:c r="U931" s="17" t="n"/>
      <ns0:c r="V931" s="17" t="n"/>
      <ns0:c r="W931" s="17" t="n"/>
      <ns0:c r="X931" s="17" t="n"/>
      <ns0:c r="Y931" s="17" t="n"/>
      <ns0:c r="Z931" s="17" t="n"/>
      <ns0:c r="AA931" s="17" t="n"/>
      <ns0:c r="AB931" s="17" t="n"/>
      <ns0:c r="AC931" s="17" t="n"/>
      <ns0:c r="AD931" s="17" t="n"/>
      <ns0:c r="AE931" s="17" t="n"/>
      <ns0:c r="AF931" s="17" t="n"/>
      <ns0:c r="AG931" s="17" t="n"/>
    </ns0:row>
    <ns0:row r="932" ht="24" customHeight="1">
      <ns0:c r="D932" s="17" t="n"/>
      <ns0:c r="E932" s="17" t="n"/>
      <ns0:c r="F932" s="17" t="n"/>
      <ns0:c r="G932" s="17" t="n"/>
      <ns0:c r="H932" s="17" t="n"/>
      <ns0:c r="I932" s="17" t="n"/>
      <ns0:c r="J932" s="17" t="n"/>
      <ns0:c r="K932" s="17" t="n"/>
      <ns0:c r="L932" s="17" t="n"/>
      <ns0:c r="M932" s="17" t="n"/>
      <ns0:c r="N932" s="17" t="n"/>
      <ns0:c r="O932" s="17" t="n"/>
      <ns0:c r="P932" s="17" t="n"/>
      <ns0:c r="Q932" s="17" t="n"/>
      <ns0:c r="R932" s="17" t="n"/>
      <ns0:c r="S932" s="17" t="n"/>
      <ns0:c r="T932" s="17" t="n"/>
      <ns0:c r="U932" s="17" t="n"/>
      <ns0:c r="V932" s="17" t="n"/>
      <ns0:c r="W932" s="17" t="n"/>
      <ns0:c r="X932" s="17" t="n"/>
      <ns0:c r="Y932" s="17" t="n"/>
      <ns0:c r="Z932" s="17" t="n"/>
      <ns0:c r="AA932" s="17" t="n"/>
      <ns0:c r="AB932" s="17" t="n"/>
      <ns0:c r="AC932" s="17" t="n"/>
      <ns0:c r="AD932" s="17" t="n"/>
      <ns0:c r="AE932" s="17" t="n"/>
      <ns0:c r="AF932" s="17" t="n"/>
      <ns0:c r="AG932" s="17" t="n"/>
    </ns0:row>
    <ns0:row r="933" ht="24" customHeight="1">
      <ns0:c r="D933" s="17" t="n"/>
      <ns0:c r="E933" s="17" t="n"/>
      <ns0:c r="F933" s="17" t="n"/>
      <ns0:c r="G933" s="17" t="n"/>
      <ns0:c r="H933" s="17" t="n"/>
      <ns0:c r="I933" s="17" t="n"/>
      <ns0:c r="J933" s="17" t="n"/>
      <ns0:c r="K933" s="17" t="n"/>
      <ns0:c r="L933" s="17" t="n"/>
      <ns0:c r="M933" s="17" t="n"/>
      <ns0:c r="N933" s="17" t="n"/>
      <ns0:c r="O933" s="17" t="n"/>
      <ns0:c r="P933" s="17" t="n"/>
      <ns0:c r="Q933" s="17" t="n"/>
      <ns0:c r="R933" s="17" t="n"/>
      <ns0:c r="S933" s="17" t="n"/>
      <ns0:c r="T933" s="17" t="n"/>
      <ns0:c r="U933" s="17" t="n"/>
      <ns0:c r="V933" s="17" t="n"/>
      <ns0:c r="W933" s="17" t="n"/>
      <ns0:c r="X933" s="17" t="n"/>
      <ns0:c r="Y933" s="17" t="n"/>
      <ns0:c r="Z933" s="17" t="n"/>
      <ns0:c r="AA933" s="17" t="n"/>
      <ns0:c r="AB933" s="17" t="n"/>
      <ns0:c r="AC933" s="17" t="n"/>
      <ns0:c r="AD933" s="17" t="n"/>
      <ns0:c r="AE933" s="17" t="n"/>
      <ns0:c r="AF933" s="17" t="n"/>
      <ns0:c r="AG933" s="17" t="n"/>
    </ns0:row>
    <ns0:row r="934" ht="24" customHeight="1">
      <ns0:c r="D934" s="17" t="n"/>
      <ns0:c r="E934" s="17" t="n"/>
      <ns0:c r="F934" s="17" t="n"/>
      <ns0:c r="G934" s="17" t="n"/>
      <ns0:c r="H934" s="17" t="n"/>
      <ns0:c r="I934" s="17" t="n"/>
      <ns0:c r="J934" s="17" t="n"/>
      <ns0:c r="K934" s="17" t="n"/>
      <ns0:c r="L934" s="17" t="n"/>
      <ns0:c r="M934" s="17" t="n"/>
      <ns0:c r="N934" s="17" t="n"/>
      <ns0:c r="O934" s="17" t="n"/>
      <ns0:c r="P934" s="17" t="n"/>
      <ns0:c r="Q934" s="17" t="n"/>
      <ns0:c r="R934" s="17" t="n"/>
      <ns0:c r="S934" s="17" t="n"/>
      <ns0:c r="T934" s="17" t="n"/>
      <ns0:c r="U934" s="17" t="n"/>
      <ns0:c r="V934" s="17" t="n"/>
      <ns0:c r="W934" s="17" t="n"/>
      <ns0:c r="X934" s="17" t="n"/>
      <ns0:c r="Y934" s="17" t="n"/>
      <ns0:c r="Z934" s="17" t="n"/>
      <ns0:c r="AA934" s="17" t="n"/>
      <ns0:c r="AB934" s="17" t="n"/>
      <ns0:c r="AC934" s="17" t="n"/>
      <ns0:c r="AD934" s="17" t="n"/>
      <ns0:c r="AE934" s="17" t="n"/>
      <ns0:c r="AF934" s="17" t="n"/>
      <ns0:c r="AG934" s="17" t="n"/>
    </ns0:row>
    <ns0:row r="935" ht="24" customHeight="1">
      <ns0:c r="D935" s="17" t="n"/>
      <ns0:c r="E935" s="17" t="n"/>
      <ns0:c r="F935" s="17" t="n"/>
      <ns0:c r="G935" s="17" t="n"/>
      <ns0:c r="H935" s="17" t="n"/>
      <ns0:c r="I935" s="17" t="n"/>
      <ns0:c r="J935" s="17" t="n"/>
      <ns0:c r="K935" s="17" t="n"/>
      <ns0:c r="L935" s="17" t="n"/>
      <ns0:c r="M935" s="17" t="n"/>
      <ns0:c r="N935" s="17" t="n"/>
      <ns0:c r="O935" s="17" t="n"/>
      <ns0:c r="P935" s="17" t="n"/>
      <ns0:c r="Q935" s="17" t="n"/>
      <ns0:c r="R935" s="17" t="n"/>
      <ns0:c r="S935" s="17" t="n"/>
      <ns0:c r="T935" s="17" t="n"/>
      <ns0:c r="U935" s="17" t="n"/>
      <ns0:c r="V935" s="17" t="n"/>
      <ns0:c r="W935" s="17" t="n"/>
      <ns0:c r="X935" s="17" t="n"/>
      <ns0:c r="Y935" s="17" t="n"/>
      <ns0:c r="Z935" s="17" t="n"/>
      <ns0:c r="AA935" s="17" t="n"/>
      <ns0:c r="AB935" s="17" t="n"/>
      <ns0:c r="AC935" s="17" t="n"/>
      <ns0:c r="AD935" s="17" t="n"/>
      <ns0:c r="AE935" s="17" t="n"/>
      <ns0:c r="AF935" s="17" t="n"/>
      <ns0:c r="AG935" s="17" t="n"/>
    </ns0:row>
    <ns0:row r="936" ht="24" customHeight="1">
      <ns0:c r="D936" s="17" t="n"/>
      <ns0:c r="E936" s="17" t="n"/>
      <ns0:c r="F936" s="17" t="n"/>
      <ns0:c r="G936" s="17" t="n"/>
      <ns0:c r="H936" s="17" t="n"/>
      <ns0:c r="I936" s="17" t="n"/>
      <ns0:c r="J936" s="17" t="n"/>
      <ns0:c r="K936" s="17" t="n"/>
      <ns0:c r="L936" s="17" t="n"/>
      <ns0:c r="M936" s="17" t="n"/>
      <ns0:c r="N936" s="17" t="n"/>
      <ns0:c r="O936" s="17" t="n"/>
      <ns0:c r="P936" s="17" t="n"/>
      <ns0:c r="Q936" s="17" t="n"/>
      <ns0:c r="R936" s="17" t="n"/>
      <ns0:c r="S936" s="17" t="n"/>
      <ns0:c r="T936" s="17" t="n"/>
      <ns0:c r="U936" s="17" t="n"/>
      <ns0:c r="V936" s="17" t="n"/>
      <ns0:c r="W936" s="17" t="n"/>
      <ns0:c r="X936" s="17" t="n"/>
      <ns0:c r="Y936" s="17" t="n"/>
      <ns0:c r="Z936" s="17" t="n"/>
      <ns0:c r="AA936" s="17" t="n"/>
      <ns0:c r="AB936" s="17" t="n"/>
      <ns0:c r="AC936" s="17" t="n"/>
      <ns0:c r="AD936" s="17" t="n"/>
      <ns0:c r="AE936" s="17" t="n"/>
      <ns0:c r="AF936" s="17" t="n"/>
      <ns0:c r="AG936" s="17" t="n"/>
    </ns0:row>
    <ns0:row r="937" ht="24" customHeight="1">
      <ns0:c r="D937" s="17" t="n"/>
      <ns0:c r="E937" s="17" t="n"/>
      <ns0:c r="F937" s="17" t="n"/>
      <ns0:c r="G937" s="17" t="n"/>
      <ns0:c r="H937" s="17" t="n"/>
      <ns0:c r="I937" s="17" t="n"/>
      <ns0:c r="J937" s="17" t="n"/>
      <ns0:c r="K937" s="17" t="n"/>
      <ns0:c r="L937" s="17" t="n"/>
      <ns0:c r="M937" s="17" t="n"/>
      <ns0:c r="N937" s="17" t="n"/>
      <ns0:c r="O937" s="17" t="n"/>
      <ns0:c r="P937" s="17" t="n"/>
      <ns0:c r="Q937" s="17" t="n"/>
      <ns0:c r="R937" s="17" t="n"/>
      <ns0:c r="S937" s="17" t="n"/>
      <ns0:c r="T937" s="17" t="n"/>
      <ns0:c r="U937" s="17" t="n"/>
      <ns0:c r="V937" s="17" t="n"/>
      <ns0:c r="W937" s="17" t="n"/>
      <ns0:c r="X937" s="17" t="n"/>
      <ns0:c r="Y937" s="17" t="n"/>
      <ns0:c r="Z937" s="17" t="n"/>
      <ns0:c r="AA937" s="17" t="n"/>
      <ns0:c r="AB937" s="17" t="n"/>
      <ns0:c r="AC937" s="17" t="n"/>
      <ns0:c r="AD937" s="17" t="n"/>
      <ns0:c r="AE937" s="17" t="n"/>
      <ns0:c r="AF937" s="17" t="n"/>
      <ns0:c r="AG937" s="17" t="n"/>
    </ns0:row>
    <ns0:row r="938" ht="24" customHeight="1">
      <ns0:c r="D938" s="17" t="n"/>
      <ns0:c r="E938" s="17" t="n"/>
      <ns0:c r="F938" s="17" t="n"/>
      <ns0:c r="G938" s="17" t="n"/>
      <ns0:c r="H938" s="17" t="n"/>
      <ns0:c r="I938" s="17" t="n"/>
      <ns0:c r="J938" s="17" t="n"/>
      <ns0:c r="K938" s="17" t="n"/>
      <ns0:c r="L938" s="17" t="n"/>
      <ns0:c r="M938" s="17" t="n"/>
      <ns0:c r="N938" s="17" t="n"/>
      <ns0:c r="O938" s="17" t="n"/>
      <ns0:c r="P938" s="17" t="n"/>
      <ns0:c r="Q938" s="17" t="n"/>
      <ns0:c r="R938" s="17" t="n"/>
      <ns0:c r="S938" s="17" t="n"/>
      <ns0:c r="T938" s="17" t="n"/>
      <ns0:c r="U938" s="17" t="n"/>
      <ns0:c r="V938" s="17" t="n"/>
      <ns0:c r="W938" s="17" t="n"/>
      <ns0:c r="X938" s="17" t="n"/>
      <ns0:c r="Y938" s="17" t="n"/>
      <ns0:c r="Z938" s="17" t="n"/>
      <ns0:c r="AA938" s="17" t="n"/>
      <ns0:c r="AB938" s="17" t="n"/>
      <ns0:c r="AC938" s="17" t="n"/>
      <ns0:c r="AD938" s="17" t="n"/>
      <ns0:c r="AE938" s="17" t="n"/>
      <ns0:c r="AF938" s="17" t="n"/>
      <ns0:c r="AG938" s="17" t="n"/>
    </ns0:row>
    <ns0:row r="939" ht="24" customHeight="1">
      <ns0:c r="D939" s="17" t="n"/>
      <ns0:c r="E939" s="17" t="n"/>
      <ns0:c r="F939" s="17" t="n"/>
      <ns0:c r="G939" s="17" t="n"/>
      <ns0:c r="H939" s="17" t="n"/>
      <ns0:c r="I939" s="17" t="n"/>
      <ns0:c r="J939" s="17" t="n"/>
      <ns0:c r="K939" s="17" t="n"/>
      <ns0:c r="L939" s="17" t="n"/>
      <ns0:c r="M939" s="17" t="n"/>
      <ns0:c r="N939" s="17" t="n"/>
      <ns0:c r="O939" s="17" t="n"/>
      <ns0:c r="P939" s="17" t="n"/>
      <ns0:c r="Q939" s="17" t="n"/>
      <ns0:c r="R939" s="17" t="n"/>
      <ns0:c r="S939" s="17" t="n"/>
      <ns0:c r="T939" s="17" t="n"/>
      <ns0:c r="U939" s="17" t="n"/>
      <ns0:c r="V939" s="17" t="n"/>
      <ns0:c r="W939" s="17" t="n"/>
      <ns0:c r="X939" s="17" t="n"/>
      <ns0:c r="Y939" s="17" t="n"/>
      <ns0:c r="Z939" s="17" t="n"/>
      <ns0:c r="AA939" s="17" t="n"/>
      <ns0:c r="AB939" s="17" t="n"/>
      <ns0:c r="AC939" s="17" t="n"/>
      <ns0:c r="AD939" s="17" t="n"/>
      <ns0:c r="AE939" s="17" t="n"/>
      <ns0:c r="AF939" s="17" t="n"/>
      <ns0:c r="AG939" s="17" t="n"/>
    </ns0:row>
    <ns0:row r="940" ht="24" customHeight="1">
      <ns0:c r="D940" s="17" t="n"/>
      <ns0:c r="E940" s="17" t="n"/>
      <ns0:c r="F940" s="17" t="n"/>
      <ns0:c r="G940" s="17" t="n"/>
      <ns0:c r="H940" s="17" t="n"/>
      <ns0:c r="I940" s="17" t="n"/>
      <ns0:c r="J940" s="17" t="n"/>
      <ns0:c r="K940" s="17" t="n"/>
      <ns0:c r="L940" s="17" t="n"/>
      <ns0:c r="M940" s="17" t="n"/>
      <ns0:c r="N940" s="17" t="n"/>
      <ns0:c r="O940" s="17" t="n"/>
      <ns0:c r="P940" s="17" t="n"/>
      <ns0:c r="Q940" s="17" t="n"/>
      <ns0:c r="R940" s="17" t="n"/>
      <ns0:c r="S940" s="17" t="n"/>
      <ns0:c r="T940" s="17" t="n"/>
      <ns0:c r="U940" s="17" t="n"/>
      <ns0:c r="V940" s="17" t="n"/>
      <ns0:c r="W940" s="17" t="n"/>
      <ns0:c r="X940" s="17" t="n"/>
      <ns0:c r="Y940" s="17" t="n"/>
      <ns0:c r="Z940" s="17" t="n"/>
      <ns0:c r="AA940" s="17" t="n"/>
      <ns0:c r="AB940" s="17" t="n"/>
      <ns0:c r="AC940" s="17" t="n"/>
      <ns0:c r="AD940" s="17" t="n"/>
      <ns0:c r="AE940" s="17" t="n"/>
      <ns0:c r="AF940" s="17" t="n"/>
      <ns0:c r="AG940" s="17" t="n"/>
    </ns0:row>
    <ns0:row r="941" ht="24" customHeight="1">
      <ns0:c r="D941" s="17" t="n"/>
      <ns0:c r="E941" s="17" t="n"/>
      <ns0:c r="F941" s="17" t="n"/>
      <ns0:c r="G941" s="17" t="n"/>
      <ns0:c r="H941" s="17" t="n"/>
      <ns0:c r="I941" s="17" t="n"/>
      <ns0:c r="J941" s="17" t="n"/>
      <ns0:c r="K941" s="17" t="n"/>
      <ns0:c r="L941" s="17" t="n"/>
      <ns0:c r="M941" s="17" t="n"/>
      <ns0:c r="N941" s="17" t="n"/>
      <ns0:c r="O941" s="17" t="n"/>
      <ns0:c r="P941" s="17" t="n"/>
      <ns0:c r="Q941" s="17" t="n"/>
      <ns0:c r="R941" s="17" t="n"/>
      <ns0:c r="S941" s="17" t="n"/>
      <ns0:c r="T941" s="17" t="n"/>
      <ns0:c r="U941" s="17" t="n"/>
      <ns0:c r="V941" s="17" t="n"/>
      <ns0:c r="W941" s="17" t="n"/>
      <ns0:c r="X941" s="17" t="n"/>
      <ns0:c r="Y941" s="17" t="n"/>
      <ns0:c r="Z941" s="17" t="n"/>
      <ns0:c r="AA941" s="17" t="n"/>
      <ns0:c r="AB941" s="17" t="n"/>
      <ns0:c r="AC941" s="17" t="n"/>
      <ns0:c r="AD941" s="17" t="n"/>
      <ns0:c r="AE941" s="17" t="n"/>
      <ns0:c r="AF941" s="17" t="n"/>
      <ns0:c r="AG941" s="17" t="n"/>
    </ns0:row>
    <ns0:row r="942" ht="24" customHeight="1">
      <ns0:c r="D942" s="17" t="n"/>
      <ns0:c r="E942" s="17" t="n"/>
      <ns0:c r="F942" s="17" t="n"/>
      <ns0:c r="G942" s="17" t="n"/>
      <ns0:c r="H942" s="17" t="n"/>
      <ns0:c r="I942" s="17" t="n"/>
      <ns0:c r="J942" s="17" t="n"/>
      <ns0:c r="K942" s="17" t="n"/>
      <ns0:c r="L942" s="17" t="n"/>
      <ns0:c r="M942" s="17" t="n"/>
      <ns0:c r="N942" s="17" t="n"/>
      <ns0:c r="O942" s="17" t="n"/>
      <ns0:c r="P942" s="17" t="n"/>
      <ns0:c r="Q942" s="17" t="n"/>
      <ns0:c r="R942" s="17" t="n"/>
      <ns0:c r="S942" s="17" t="n"/>
      <ns0:c r="T942" s="17" t="n"/>
      <ns0:c r="U942" s="17" t="n"/>
      <ns0:c r="V942" s="17" t="n"/>
      <ns0:c r="W942" s="17" t="n"/>
      <ns0:c r="X942" s="17" t="n"/>
      <ns0:c r="Y942" s="17" t="n"/>
      <ns0:c r="Z942" s="17" t="n"/>
      <ns0:c r="AA942" s="17" t="n"/>
      <ns0:c r="AB942" s="17" t="n"/>
      <ns0:c r="AC942" s="17" t="n"/>
      <ns0:c r="AD942" s="17" t="n"/>
      <ns0:c r="AE942" s="17" t="n"/>
      <ns0:c r="AF942" s="17" t="n"/>
      <ns0:c r="AG942" s="17" t="n"/>
    </ns0:row>
    <ns0:row r="943" ht="24" customHeight="1">
      <ns0:c r="D943" s="17" t="n"/>
      <ns0:c r="E943" s="17" t="n"/>
      <ns0:c r="F943" s="17" t="n"/>
      <ns0:c r="G943" s="17" t="n"/>
      <ns0:c r="H943" s="17" t="n"/>
      <ns0:c r="I943" s="17" t="n"/>
      <ns0:c r="J943" s="17" t="n"/>
      <ns0:c r="K943" s="17" t="n"/>
      <ns0:c r="L943" s="17" t="n"/>
      <ns0:c r="M943" s="17" t="n"/>
      <ns0:c r="N943" s="17" t="n"/>
      <ns0:c r="O943" s="17" t="n"/>
      <ns0:c r="P943" s="17" t="n"/>
      <ns0:c r="Q943" s="17" t="n"/>
      <ns0:c r="R943" s="17" t="n"/>
      <ns0:c r="S943" s="17" t="n"/>
      <ns0:c r="T943" s="17" t="n"/>
      <ns0:c r="U943" s="17" t="n"/>
      <ns0:c r="V943" s="17" t="n"/>
      <ns0:c r="W943" s="17" t="n"/>
      <ns0:c r="X943" s="17" t="n"/>
      <ns0:c r="Y943" s="17" t="n"/>
      <ns0:c r="Z943" s="17" t="n"/>
      <ns0:c r="AA943" s="17" t="n"/>
      <ns0:c r="AB943" s="17" t="n"/>
      <ns0:c r="AC943" s="17" t="n"/>
      <ns0:c r="AD943" s="17" t="n"/>
      <ns0:c r="AE943" s="17" t="n"/>
      <ns0:c r="AF943" s="17" t="n"/>
      <ns0:c r="AG943" s="17" t="n"/>
    </ns0:row>
    <ns0:row r="944" ht="24" customHeight="1">
      <ns0:c r="D944" s="17" t="n"/>
      <ns0:c r="E944" s="17" t="n"/>
      <ns0:c r="F944" s="17" t="n"/>
      <ns0:c r="G944" s="17" t="n"/>
      <ns0:c r="H944" s="17" t="n"/>
      <ns0:c r="I944" s="17" t="n"/>
      <ns0:c r="J944" s="17" t="n"/>
      <ns0:c r="K944" s="17" t="n"/>
      <ns0:c r="L944" s="17" t="n"/>
      <ns0:c r="M944" s="17" t="n"/>
      <ns0:c r="N944" s="17" t="n"/>
      <ns0:c r="O944" s="17" t="n"/>
      <ns0:c r="P944" s="17" t="n"/>
      <ns0:c r="Q944" s="17" t="n"/>
      <ns0:c r="R944" s="17" t="n"/>
      <ns0:c r="S944" s="17" t="n"/>
      <ns0:c r="T944" s="17" t="n"/>
      <ns0:c r="U944" s="17" t="n"/>
      <ns0:c r="V944" s="17" t="n"/>
      <ns0:c r="W944" s="17" t="n"/>
      <ns0:c r="X944" s="17" t="n"/>
      <ns0:c r="Y944" s="17" t="n"/>
      <ns0:c r="Z944" s="17" t="n"/>
      <ns0:c r="AA944" s="17" t="n"/>
      <ns0:c r="AB944" s="17" t="n"/>
      <ns0:c r="AC944" s="17" t="n"/>
      <ns0:c r="AD944" s="17" t="n"/>
      <ns0:c r="AE944" s="17" t="n"/>
      <ns0:c r="AF944" s="17" t="n"/>
      <ns0:c r="AG944" s="17" t="n"/>
    </ns0:row>
    <ns0:row r="945" ht="24" customHeight="1">
      <ns0:c r="D945" s="17" t="n"/>
      <ns0:c r="E945" s="17" t="n"/>
      <ns0:c r="F945" s="17" t="n"/>
      <ns0:c r="G945" s="17" t="n"/>
      <ns0:c r="H945" s="17" t="n"/>
      <ns0:c r="I945" s="17" t="n"/>
      <ns0:c r="J945" s="17" t="n"/>
      <ns0:c r="K945" s="17" t="n"/>
      <ns0:c r="L945" s="17" t="n"/>
      <ns0:c r="M945" s="17" t="n"/>
      <ns0:c r="N945" s="17" t="n"/>
      <ns0:c r="O945" s="17" t="n"/>
      <ns0:c r="P945" s="17" t="n"/>
      <ns0:c r="Q945" s="17" t="n"/>
      <ns0:c r="R945" s="17" t="n"/>
      <ns0:c r="S945" s="17" t="n"/>
      <ns0:c r="T945" s="17" t="n"/>
      <ns0:c r="U945" s="17" t="n"/>
      <ns0:c r="V945" s="17" t="n"/>
      <ns0:c r="W945" s="17" t="n"/>
      <ns0:c r="X945" s="17" t="n"/>
      <ns0:c r="Y945" s="17" t="n"/>
      <ns0:c r="Z945" s="17" t="n"/>
      <ns0:c r="AA945" s="17" t="n"/>
      <ns0:c r="AB945" s="17" t="n"/>
      <ns0:c r="AC945" s="17" t="n"/>
      <ns0:c r="AD945" s="17" t="n"/>
      <ns0:c r="AE945" s="17" t="n"/>
      <ns0:c r="AF945" s="17" t="n"/>
      <ns0:c r="AG945" s="17" t="n"/>
    </ns0:row>
    <ns0:row r="946" ht="24" customHeight="1">
      <ns0:c r="D946" s="17" t="n"/>
      <ns0:c r="E946" s="17" t="n"/>
      <ns0:c r="F946" s="17" t="n"/>
      <ns0:c r="G946" s="17" t="n"/>
      <ns0:c r="H946" s="17" t="n"/>
      <ns0:c r="I946" s="17" t="n"/>
      <ns0:c r="J946" s="17" t="n"/>
      <ns0:c r="K946" s="17" t="n"/>
      <ns0:c r="L946" s="17" t="n"/>
      <ns0:c r="M946" s="17" t="n"/>
      <ns0:c r="N946" s="17" t="n"/>
      <ns0:c r="O946" s="17" t="n"/>
      <ns0:c r="P946" s="17" t="n"/>
      <ns0:c r="Q946" s="17" t="n"/>
      <ns0:c r="R946" s="17" t="n"/>
      <ns0:c r="S946" s="17" t="n"/>
      <ns0:c r="T946" s="17" t="n"/>
      <ns0:c r="U946" s="17" t="n"/>
      <ns0:c r="V946" s="17" t="n"/>
      <ns0:c r="W946" s="17" t="n"/>
      <ns0:c r="X946" s="17" t="n"/>
      <ns0:c r="Y946" s="17" t="n"/>
      <ns0:c r="Z946" s="17" t="n"/>
      <ns0:c r="AA946" s="17" t="n"/>
      <ns0:c r="AB946" s="17" t="n"/>
      <ns0:c r="AC946" s="17" t="n"/>
      <ns0:c r="AD946" s="17" t="n"/>
      <ns0:c r="AE946" s="17" t="n"/>
      <ns0:c r="AF946" s="17" t="n"/>
      <ns0:c r="AG946" s="17" t="n"/>
    </ns0:row>
    <ns0:row r="947" ht="24" customHeight="1">
      <ns0:c r="D947" s="17" t="n"/>
      <ns0:c r="E947" s="17" t="n"/>
      <ns0:c r="F947" s="17" t="n"/>
      <ns0:c r="G947" s="17" t="n"/>
      <ns0:c r="H947" s="17" t="n"/>
      <ns0:c r="I947" s="17" t="n"/>
      <ns0:c r="J947" s="17" t="n"/>
      <ns0:c r="K947" s="17" t="n"/>
      <ns0:c r="L947" s="17" t="n"/>
      <ns0:c r="M947" s="17" t="n"/>
      <ns0:c r="N947" s="17" t="n"/>
      <ns0:c r="O947" s="17" t="n"/>
      <ns0:c r="P947" s="17" t="n"/>
      <ns0:c r="Q947" s="17" t="n"/>
      <ns0:c r="R947" s="17" t="n"/>
      <ns0:c r="S947" s="17" t="n"/>
      <ns0:c r="T947" s="17" t="n"/>
      <ns0:c r="U947" s="17" t="n"/>
      <ns0:c r="V947" s="17" t="n"/>
      <ns0:c r="W947" s="17" t="n"/>
      <ns0:c r="X947" s="17" t="n"/>
      <ns0:c r="Y947" s="17" t="n"/>
      <ns0:c r="Z947" s="17" t="n"/>
      <ns0:c r="AA947" s="17" t="n"/>
      <ns0:c r="AB947" s="17" t="n"/>
      <ns0:c r="AC947" s="17" t="n"/>
      <ns0:c r="AD947" s="17" t="n"/>
      <ns0:c r="AE947" s="17" t="n"/>
      <ns0:c r="AF947" s="17" t="n"/>
      <ns0:c r="AG947" s="17" t="n"/>
    </ns0:row>
    <ns0:row r="948" ht="24" customHeight="1">
      <ns0:c r="D948" s="17" t="n"/>
      <ns0:c r="E948" s="17" t="n"/>
      <ns0:c r="F948" s="17" t="n"/>
      <ns0:c r="G948" s="17" t="n"/>
      <ns0:c r="H948" s="17" t="n"/>
      <ns0:c r="I948" s="17" t="n"/>
      <ns0:c r="J948" s="17" t="n"/>
      <ns0:c r="K948" s="17" t="n"/>
      <ns0:c r="L948" s="17" t="n"/>
      <ns0:c r="M948" s="17" t="n"/>
      <ns0:c r="N948" s="17" t="n"/>
      <ns0:c r="O948" s="17" t="n"/>
      <ns0:c r="P948" s="17" t="n"/>
      <ns0:c r="Q948" s="17" t="n"/>
      <ns0:c r="R948" s="17" t="n"/>
      <ns0:c r="S948" s="17" t="n"/>
      <ns0:c r="T948" s="17" t="n"/>
      <ns0:c r="U948" s="17" t="n"/>
      <ns0:c r="V948" s="17" t="n"/>
      <ns0:c r="W948" s="17" t="n"/>
      <ns0:c r="X948" s="17" t="n"/>
      <ns0:c r="Y948" s="17" t="n"/>
      <ns0:c r="Z948" s="17" t="n"/>
      <ns0:c r="AA948" s="17" t="n"/>
      <ns0:c r="AB948" s="17" t="n"/>
      <ns0:c r="AC948" s="17" t="n"/>
      <ns0:c r="AD948" s="17" t="n"/>
      <ns0:c r="AE948" s="17" t="n"/>
      <ns0:c r="AF948" s="17" t="n"/>
      <ns0:c r="AG948" s="17" t="n"/>
    </ns0:row>
    <ns0:row r="949" ht="24" customHeight="1">
      <ns0:c r="D949" s="17" t="n"/>
      <ns0:c r="E949" s="17" t="n"/>
      <ns0:c r="F949" s="17" t="n"/>
      <ns0:c r="G949" s="17" t="n"/>
      <ns0:c r="H949" s="17" t="n"/>
      <ns0:c r="I949" s="17" t="n"/>
      <ns0:c r="J949" s="17" t="n"/>
      <ns0:c r="K949" s="17" t="n"/>
      <ns0:c r="L949" s="17" t="n"/>
      <ns0:c r="M949" s="17" t="n"/>
      <ns0:c r="N949" s="17" t="n"/>
      <ns0:c r="O949" s="17" t="n"/>
      <ns0:c r="P949" s="17" t="n"/>
      <ns0:c r="Q949" s="17" t="n"/>
      <ns0:c r="R949" s="17" t="n"/>
      <ns0:c r="S949" s="17" t="n"/>
      <ns0:c r="T949" s="17" t="n"/>
      <ns0:c r="U949" s="17" t="n"/>
      <ns0:c r="V949" s="17" t="n"/>
      <ns0:c r="W949" s="17" t="n"/>
      <ns0:c r="X949" s="17" t="n"/>
      <ns0:c r="Y949" s="17" t="n"/>
      <ns0:c r="Z949" s="17" t="n"/>
      <ns0:c r="AA949" s="17" t="n"/>
      <ns0:c r="AB949" s="17" t="n"/>
      <ns0:c r="AC949" s="17" t="n"/>
      <ns0:c r="AD949" s="17" t="n"/>
      <ns0:c r="AE949" s="17" t="n"/>
      <ns0:c r="AF949" s="17" t="n"/>
      <ns0:c r="AG949" s="17" t="n"/>
    </ns0:row>
    <ns0:row r="950" ht="24" customHeight="1">
      <ns0:c r="D950" s="17" t="n"/>
      <ns0:c r="E950" s="17" t="n"/>
      <ns0:c r="F950" s="17" t="n"/>
      <ns0:c r="G950" s="17" t="n"/>
      <ns0:c r="H950" s="17" t="n"/>
      <ns0:c r="I950" s="17" t="n"/>
      <ns0:c r="J950" s="17" t="n"/>
      <ns0:c r="K950" s="17" t="n"/>
      <ns0:c r="L950" s="17" t="n"/>
      <ns0:c r="M950" s="17" t="n"/>
      <ns0:c r="N950" s="17" t="n"/>
      <ns0:c r="O950" s="17" t="n"/>
      <ns0:c r="P950" s="17" t="n"/>
      <ns0:c r="Q950" s="17" t="n"/>
      <ns0:c r="R950" s="17" t="n"/>
      <ns0:c r="S950" s="17" t="n"/>
      <ns0:c r="T950" s="17" t="n"/>
      <ns0:c r="U950" s="17" t="n"/>
      <ns0:c r="V950" s="17" t="n"/>
      <ns0:c r="W950" s="17" t="n"/>
      <ns0:c r="X950" s="17" t="n"/>
      <ns0:c r="Y950" s="17" t="n"/>
      <ns0:c r="Z950" s="17" t="n"/>
      <ns0:c r="AA950" s="17" t="n"/>
      <ns0:c r="AB950" s="17" t="n"/>
      <ns0:c r="AC950" s="17" t="n"/>
      <ns0:c r="AD950" s="17" t="n"/>
      <ns0:c r="AE950" s="17" t="n"/>
      <ns0:c r="AF950" s="17" t="n"/>
      <ns0:c r="AG950" s="17" t="n"/>
    </ns0:row>
    <ns0:row r="951" ht="24" customHeight="1">
      <ns0:c r="D951" s="17" t="n"/>
      <ns0:c r="E951" s="17" t="n"/>
      <ns0:c r="F951" s="17" t="n"/>
      <ns0:c r="G951" s="17" t="n"/>
      <ns0:c r="H951" s="17" t="n"/>
      <ns0:c r="I951" s="17" t="n"/>
      <ns0:c r="J951" s="17" t="n"/>
      <ns0:c r="K951" s="17" t="n"/>
      <ns0:c r="L951" s="17" t="n"/>
      <ns0:c r="M951" s="17" t="n"/>
      <ns0:c r="N951" s="17" t="n"/>
      <ns0:c r="O951" s="17" t="n"/>
      <ns0:c r="P951" s="17" t="n"/>
      <ns0:c r="Q951" s="17" t="n"/>
      <ns0:c r="R951" s="17" t="n"/>
      <ns0:c r="S951" s="17" t="n"/>
      <ns0:c r="T951" s="17" t="n"/>
      <ns0:c r="U951" s="17" t="n"/>
      <ns0:c r="V951" s="17" t="n"/>
      <ns0:c r="W951" s="17" t="n"/>
      <ns0:c r="X951" s="17" t="n"/>
      <ns0:c r="Y951" s="17" t="n"/>
      <ns0:c r="Z951" s="17" t="n"/>
      <ns0:c r="AA951" s="17" t="n"/>
      <ns0:c r="AB951" s="17" t="n"/>
      <ns0:c r="AC951" s="17" t="n"/>
      <ns0:c r="AD951" s="17" t="n"/>
      <ns0:c r="AE951" s="17" t="n"/>
      <ns0:c r="AF951" s="17" t="n"/>
      <ns0:c r="AG951" s="17" t="n"/>
    </ns0:row>
    <ns0:row r="952" ht="24" customHeight="1">
      <ns0:c r="D952" s="17" t="n"/>
      <ns0:c r="E952" s="17" t="n"/>
      <ns0:c r="F952" s="17" t="n"/>
      <ns0:c r="G952" s="17" t="n"/>
      <ns0:c r="H952" s="17" t="n"/>
      <ns0:c r="I952" s="17" t="n"/>
      <ns0:c r="J952" s="17" t="n"/>
      <ns0:c r="K952" s="17" t="n"/>
      <ns0:c r="L952" s="17" t="n"/>
      <ns0:c r="M952" s="17" t="n"/>
      <ns0:c r="N952" s="17" t="n"/>
      <ns0:c r="O952" s="17" t="n"/>
      <ns0:c r="P952" s="17" t="n"/>
      <ns0:c r="Q952" s="17" t="n"/>
      <ns0:c r="R952" s="17" t="n"/>
      <ns0:c r="S952" s="17" t="n"/>
      <ns0:c r="T952" s="17" t="n"/>
      <ns0:c r="U952" s="17" t="n"/>
      <ns0:c r="V952" s="17" t="n"/>
      <ns0:c r="W952" s="17" t="n"/>
      <ns0:c r="X952" s="17" t="n"/>
      <ns0:c r="Y952" s="17" t="n"/>
      <ns0:c r="Z952" s="17" t="n"/>
      <ns0:c r="AA952" s="17" t="n"/>
      <ns0:c r="AB952" s="17" t="n"/>
      <ns0:c r="AC952" s="17" t="n"/>
      <ns0:c r="AD952" s="17" t="n"/>
      <ns0:c r="AE952" s="17" t="n"/>
      <ns0:c r="AF952" s="17" t="n"/>
      <ns0:c r="AG952" s="17" t="n"/>
    </ns0:row>
    <ns0:row r="953" ht="24" customHeight="1">
      <ns0:c r="D953" s="17" t="n"/>
      <ns0:c r="E953" s="17" t="n"/>
      <ns0:c r="F953" s="17" t="n"/>
      <ns0:c r="G953" s="17" t="n"/>
      <ns0:c r="H953" s="17" t="n"/>
      <ns0:c r="I953" s="17" t="n"/>
      <ns0:c r="J953" s="17" t="n"/>
      <ns0:c r="K953" s="17" t="n"/>
      <ns0:c r="L953" s="17" t="n"/>
      <ns0:c r="M953" s="17" t="n"/>
      <ns0:c r="N953" s="17" t="n"/>
      <ns0:c r="O953" s="17" t="n"/>
      <ns0:c r="P953" s="17" t="n"/>
      <ns0:c r="Q953" s="17" t="n"/>
      <ns0:c r="R953" s="17" t="n"/>
      <ns0:c r="S953" s="17" t="n"/>
      <ns0:c r="T953" s="17" t="n"/>
      <ns0:c r="U953" s="17" t="n"/>
      <ns0:c r="V953" s="17" t="n"/>
      <ns0:c r="W953" s="17" t="n"/>
      <ns0:c r="X953" s="17" t="n"/>
      <ns0:c r="Y953" s="17" t="n"/>
      <ns0:c r="Z953" s="17" t="n"/>
      <ns0:c r="AA953" s="17" t="n"/>
      <ns0:c r="AB953" s="17" t="n"/>
      <ns0:c r="AC953" s="17" t="n"/>
      <ns0:c r="AD953" s="17" t="n"/>
      <ns0:c r="AE953" s="17" t="n"/>
      <ns0:c r="AF953" s="17" t="n"/>
      <ns0:c r="AG953" s="17" t="n"/>
    </ns0:row>
    <ns0:row r="954" ht="24" customHeight="1">
      <ns0:c r="D954" s="17" t="n"/>
      <ns0:c r="E954" s="17" t="n"/>
      <ns0:c r="F954" s="17" t="n"/>
      <ns0:c r="G954" s="17" t="n"/>
      <ns0:c r="H954" s="17" t="n"/>
      <ns0:c r="I954" s="17" t="n"/>
      <ns0:c r="J954" s="17" t="n"/>
      <ns0:c r="K954" s="17" t="n"/>
      <ns0:c r="L954" s="17" t="n"/>
      <ns0:c r="M954" s="17" t="n"/>
      <ns0:c r="N954" s="17" t="n"/>
      <ns0:c r="O954" s="17" t="n"/>
      <ns0:c r="P954" s="17" t="n"/>
      <ns0:c r="Q954" s="17" t="n"/>
      <ns0:c r="R954" s="17" t="n"/>
      <ns0:c r="S954" s="17" t="n"/>
      <ns0:c r="T954" s="17" t="n"/>
      <ns0:c r="U954" s="17" t="n"/>
      <ns0:c r="V954" s="17" t="n"/>
      <ns0:c r="W954" s="17" t="n"/>
      <ns0:c r="X954" s="17" t="n"/>
      <ns0:c r="Y954" s="17" t="n"/>
      <ns0:c r="Z954" s="17" t="n"/>
      <ns0:c r="AA954" s="17" t="n"/>
      <ns0:c r="AB954" s="17" t="n"/>
      <ns0:c r="AC954" s="17" t="n"/>
      <ns0:c r="AD954" s="17" t="n"/>
      <ns0:c r="AE954" s="17" t="n"/>
      <ns0:c r="AF954" s="17" t="n"/>
      <ns0:c r="AG954" s="17" t="n"/>
    </ns0:row>
    <ns0:row r="955" ht="24" customHeight="1">
      <ns0:c r="D955" s="17" t="n"/>
      <ns0:c r="E955" s="17" t="n"/>
      <ns0:c r="F955" s="17" t="n"/>
      <ns0:c r="G955" s="17" t="n"/>
      <ns0:c r="H955" s="17" t="n"/>
      <ns0:c r="I955" s="17" t="n"/>
      <ns0:c r="J955" s="17" t="n"/>
      <ns0:c r="K955" s="17" t="n"/>
      <ns0:c r="L955" s="17" t="n"/>
      <ns0:c r="M955" s="17" t="n"/>
      <ns0:c r="N955" s="17" t="n"/>
      <ns0:c r="O955" s="17" t="n"/>
      <ns0:c r="P955" s="17" t="n"/>
      <ns0:c r="Q955" s="17" t="n"/>
      <ns0:c r="R955" s="17" t="n"/>
      <ns0:c r="S955" s="17" t="n"/>
      <ns0:c r="T955" s="17" t="n"/>
      <ns0:c r="U955" s="17" t="n"/>
      <ns0:c r="V955" s="17" t="n"/>
      <ns0:c r="W955" s="17" t="n"/>
      <ns0:c r="X955" s="17" t="n"/>
      <ns0:c r="Y955" s="17" t="n"/>
      <ns0:c r="Z955" s="17" t="n"/>
      <ns0:c r="AA955" s="17" t="n"/>
      <ns0:c r="AB955" s="17" t="n"/>
      <ns0:c r="AC955" s="17" t="n"/>
      <ns0:c r="AD955" s="17" t="n"/>
      <ns0:c r="AE955" s="17" t="n"/>
      <ns0:c r="AF955" s="17" t="n"/>
      <ns0:c r="AG955" s="17" t="n"/>
    </ns0:row>
    <ns0:row r="956" ht="24" customHeight="1">
      <ns0:c r="D956" s="17" t="n"/>
      <ns0:c r="E956" s="17" t="n"/>
      <ns0:c r="F956" s="17" t="n"/>
      <ns0:c r="G956" s="17" t="n"/>
      <ns0:c r="H956" s="17" t="n"/>
      <ns0:c r="I956" s="17" t="n"/>
      <ns0:c r="J956" s="17" t="n"/>
      <ns0:c r="K956" s="17" t="n"/>
      <ns0:c r="L956" s="17" t="n"/>
      <ns0:c r="M956" s="17" t="n"/>
      <ns0:c r="N956" s="17" t="n"/>
      <ns0:c r="O956" s="17" t="n"/>
      <ns0:c r="P956" s="17" t="n"/>
      <ns0:c r="Q956" s="17" t="n"/>
      <ns0:c r="R956" s="17" t="n"/>
      <ns0:c r="S956" s="17" t="n"/>
      <ns0:c r="T956" s="17" t="n"/>
      <ns0:c r="U956" s="17" t="n"/>
      <ns0:c r="V956" s="17" t="n"/>
      <ns0:c r="W956" s="17" t="n"/>
      <ns0:c r="X956" s="17" t="n"/>
      <ns0:c r="Y956" s="17" t="n"/>
      <ns0:c r="Z956" s="17" t="n"/>
      <ns0:c r="AA956" s="17" t="n"/>
      <ns0:c r="AB956" s="17" t="n"/>
      <ns0:c r="AC956" s="17" t="n"/>
      <ns0:c r="AD956" s="17" t="n"/>
      <ns0:c r="AE956" s="17" t="n"/>
      <ns0:c r="AF956" s="17" t="n"/>
      <ns0:c r="AG956" s="17" t="n"/>
    </ns0:row>
    <ns0:row r="957" ht="24" customHeight="1">
      <ns0:c r="D957" s="17" t="n"/>
      <ns0:c r="E957" s="17" t="n"/>
      <ns0:c r="F957" s="17" t="n"/>
      <ns0:c r="G957" s="17" t="n"/>
      <ns0:c r="H957" s="17" t="n"/>
      <ns0:c r="I957" s="17" t="n"/>
      <ns0:c r="J957" s="17" t="n"/>
      <ns0:c r="K957" s="17" t="n"/>
      <ns0:c r="L957" s="17" t="n"/>
      <ns0:c r="M957" s="17" t="n"/>
      <ns0:c r="N957" s="17" t="n"/>
      <ns0:c r="O957" s="17" t="n"/>
      <ns0:c r="P957" s="17" t="n"/>
      <ns0:c r="Q957" s="17" t="n"/>
      <ns0:c r="R957" s="17" t="n"/>
      <ns0:c r="S957" s="17" t="n"/>
      <ns0:c r="T957" s="17" t="n"/>
      <ns0:c r="U957" s="17" t="n"/>
      <ns0:c r="V957" s="17" t="n"/>
      <ns0:c r="W957" s="17" t="n"/>
      <ns0:c r="X957" s="17" t="n"/>
      <ns0:c r="Y957" s="17" t="n"/>
      <ns0:c r="Z957" s="17" t="n"/>
      <ns0:c r="AA957" s="17" t="n"/>
      <ns0:c r="AB957" s="17" t="n"/>
      <ns0:c r="AC957" s="17" t="n"/>
      <ns0:c r="AD957" s="17" t="n"/>
      <ns0:c r="AE957" s="17" t="n"/>
      <ns0:c r="AF957" s="17" t="n"/>
      <ns0:c r="AG957" s="17" t="n"/>
    </ns0:row>
    <ns0:row r="958" ht="24" customHeight="1">
      <ns0:c r="D958" s="17" t="n"/>
      <ns0:c r="E958" s="17" t="n"/>
      <ns0:c r="F958" s="17" t="n"/>
      <ns0:c r="G958" s="17" t="n"/>
      <ns0:c r="H958" s="17" t="n"/>
      <ns0:c r="I958" s="17" t="n"/>
      <ns0:c r="J958" s="17" t="n"/>
      <ns0:c r="K958" s="17" t="n"/>
      <ns0:c r="L958" s="17" t="n"/>
      <ns0:c r="M958" s="17" t="n"/>
      <ns0:c r="N958" s="17" t="n"/>
      <ns0:c r="O958" s="17" t="n"/>
      <ns0:c r="P958" s="17" t="n"/>
      <ns0:c r="Q958" s="17" t="n"/>
      <ns0:c r="R958" s="17" t="n"/>
      <ns0:c r="S958" s="17" t="n"/>
      <ns0:c r="T958" s="17" t="n"/>
      <ns0:c r="U958" s="17" t="n"/>
      <ns0:c r="V958" s="17" t="n"/>
      <ns0:c r="W958" s="17" t="n"/>
      <ns0:c r="X958" s="17" t="n"/>
      <ns0:c r="Y958" s="17" t="n"/>
      <ns0:c r="Z958" s="17" t="n"/>
      <ns0:c r="AA958" s="17" t="n"/>
      <ns0:c r="AB958" s="17" t="n"/>
      <ns0:c r="AC958" s="17" t="n"/>
      <ns0:c r="AD958" s="17" t="n"/>
      <ns0:c r="AE958" s="17" t="n"/>
      <ns0:c r="AF958" s="17" t="n"/>
      <ns0:c r="AG958" s="17" t="n"/>
    </ns0:row>
    <ns0:row r="959" ht="24" customHeight="1">
      <ns0:c r="D959" s="17" t="n"/>
      <ns0:c r="E959" s="17" t="n"/>
      <ns0:c r="F959" s="17" t="n"/>
      <ns0:c r="G959" s="17" t="n"/>
      <ns0:c r="H959" s="17" t="n"/>
      <ns0:c r="I959" s="17" t="n"/>
      <ns0:c r="J959" s="17" t="n"/>
      <ns0:c r="K959" s="17" t="n"/>
      <ns0:c r="L959" s="17" t="n"/>
      <ns0:c r="M959" s="17" t="n"/>
      <ns0:c r="N959" s="17" t="n"/>
      <ns0:c r="O959" s="17" t="n"/>
      <ns0:c r="P959" s="17" t="n"/>
      <ns0:c r="Q959" s="17" t="n"/>
      <ns0:c r="R959" s="17" t="n"/>
      <ns0:c r="S959" s="17" t="n"/>
      <ns0:c r="T959" s="17" t="n"/>
      <ns0:c r="U959" s="17" t="n"/>
      <ns0:c r="V959" s="17" t="n"/>
      <ns0:c r="W959" s="17" t="n"/>
      <ns0:c r="X959" s="17" t="n"/>
      <ns0:c r="Y959" s="17" t="n"/>
      <ns0:c r="Z959" s="17" t="n"/>
      <ns0:c r="AA959" s="17" t="n"/>
      <ns0:c r="AB959" s="17" t="n"/>
      <ns0:c r="AC959" s="17" t="n"/>
      <ns0:c r="AD959" s="17" t="n"/>
      <ns0:c r="AE959" s="17" t="n"/>
      <ns0:c r="AF959" s="17" t="n"/>
      <ns0:c r="AG959" s="17" t="n"/>
    </ns0:row>
    <ns0:row r="960" ht="24" customHeight="1">
      <ns0:c r="D960" s="17" t="n"/>
      <ns0:c r="E960" s="17" t="n"/>
      <ns0:c r="F960" s="17" t="n"/>
      <ns0:c r="G960" s="17" t="n"/>
      <ns0:c r="H960" s="17" t="n"/>
      <ns0:c r="I960" s="17" t="n"/>
      <ns0:c r="J960" s="17" t="n"/>
      <ns0:c r="K960" s="17" t="n"/>
      <ns0:c r="L960" s="17" t="n"/>
      <ns0:c r="M960" s="17" t="n"/>
      <ns0:c r="N960" s="17" t="n"/>
      <ns0:c r="O960" s="17" t="n"/>
      <ns0:c r="P960" s="17" t="n"/>
      <ns0:c r="Q960" s="17" t="n"/>
      <ns0:c r="R960" s="17" t="n"/>
      <ns0:c r="S960" s="17" t="n"/>
      <ns0:c r="T960" s="17" t="n"/>
      <ns0:c r="U960" s="17" t="n"/>
      <ns0:c r="V960" s="17" t="n"/>
      <ns0:c r="W960" s="17" t="n"/>
      <ns0:c r="X960" s="17" t="n"/>
      <ns0:c r="Y960" s="17" t="n"/>
      <ns0:c r="Z960" s="17" t="n"/>
      <ns0:c r="AA960" s="17" t="n"/>
      <ns0:c r="AB960" s="17" t="n"/>
      <ns0:c r="AC960" s="17" t="n"/>
      <ns0:c r="AD960" s="17" t="n"/>
      <ns0:c r="AE960" s="17" t="n"/>
      <ns0:c r="AF960" s="17" t="n"/>
      <ns0:c r="AG960" s="17" t="n"/>
    </ns0:row>
    <ns0:row r="961" ht="24" customHeight="1">
      <ns0:c r="D961" s="17" t="n"/>
      <ns0:c r="E961" s="17" t="n"/>
      <ns0:c r="F961" s="17" t="n"/>
      <ns0:c r="G961" s="17" t="n"/>
      <ns0:c r="H961" s="17" t="n"/>
      <ns0:c r="I961" s="17" t="n"/>
      <ns0:c r="J961" s="17" t="n"/>
      <ns0:c r="K961" s="17" t="n"/>
      <ns0:c r="L961" s="17" t="n"/>
      <ns0:c r="M961" s="17" t="n"/>
      <ns0:c r="N961" s="17" t="n"/>
      <ns0:c r="O961" s="17" t="n"/>
      <ns0:c r="P961" s="17" t="n"/>
      <ns0:c r="Q961" s="17" t="n"/>
      <ns0:c r="R961" s="17" t="n"/>
      <ns0:c r="S961" s="17" t="n"/>
      <ns0:c r="T961" s="17" t="n"/>
      <ns0:c r="U961" s="17" t="n"/>
      <ns0:c r="V961" s="17" t="n"/>
      <ns0:c r="W961" s="17" t="n"/>
      <ns0:c r="X961" s="17" t="n"/>
      <ns0:c r="Y961" s="17" t="n"/>
      <ns0:c r="Z961" s="17" t="n"/>
      <ns0:c r="AA961" s="17" t="n"/>
      <ns0:c r="AB961" s="17" t="n"/>
      <ns0:c r="AC961" s="17" t="n"/>
      <ns0:c r="AD961" s="17" t="n"/>
      <ns0:c r="AE961" s="17" t="n"/>
      <ns0:c r="AF961" s="17" t="n"/>
      <ns0:c r="AG961" s="17" t="n"/>
    </ns0:row>
    <ns0:row r="962" ht="24" customHeight="1">
      <ns0:c r="D962" s="17" t="n"/>
      <ns0:c r="E962" s="17" t="n"/>
      <ns0:c r="F962" s="17" t="n"/>
      <ns0:c r="G962" s="17" t="n"/>
      <ns0:c r="H962" s="17" t="n"/>
      <ns0:c r="I962" s="17" t="n"/>
      <ns0:c r="J962" s="17" t="n"/>
      <ns0:c r="K962" s="17" t="n"/>
      <ns0:c r="L962" s="17" t="n"/>
      <ns0:c r="M962" s="17" t="n"/>
      <ns0:c r="N962" s="17" t="n"/>
      <ns0:c r="O962" s="17" t="n"/>
      <ns0:c r="P962" s="17" t="n"/>
      <ns0:c r="Q962" s="17" t="n"/>
      <ns0:c r="R962" s="17" t="n"/>
      <ns0:c r="S962" s="17" t="n"/>
      <ns0:c r="T962" s="17" t="n"/>
      <ns0:c r="U962" s="17" t="n"/>
      <ns0:c r="V962" s="17" t="n"/>
      <ns0:c r="W962" s="17" t="n"/>
      <ns0:c r="X962" s="17" t="n"/>
      <ns0:c r="Y962" s="17" t="n"/>
      <ns0:c r="Z962" s="17" t="n"/>
      <ns0:c r="AA962" s="17" t="n"/>
      <ns0:c r="AB962" s="17" t="n"/>
      <ns0:c r="AC962" s="17" t="n"/>
      <ns0:c r="AD962" s="17" t="n"/>
      <ns0:c r="AE962" s="17" t="n"/>
      <ns0:c r="AF962" s="17" t="n"/>
      <ns0:c r="AG962" s="17" t="n"/>
    </ns0:row>
    <ns0:row r="963" ht="24" customHeight="1">
      <ns0:c r="D963" s="17" t="n"/>
      <ns0:c r="E963" s="17" t="n"/>
      <ns0:c r="F963" s="17" t="n"/>
      <ns0:c r="G963" s="17" t="n"/>
      <ns0:c r="H963" s="17" t="n"/>
      <ns0:c r="I963" s="17" t="n"/>
      <ns0:c r="J963" s="17" t="n"/>
      <ns0:c r="K963" s="17" t="n"/>
      <ns0:c r="L963" s="17" t="n"/>
      <ns0:c r="M963" s="17" t="n"/>
      <ns0:c r="N963" s="17" t="n"/>
      <ns0:c r="O963" s="17" t="n"/>
      <ns0:c r="P963" s="17" t="n"/>
      <ns0:c r="Q963" s="17" t="n"/>
      <ns0:c r="R963" s="17" t="n"/>
      <ns0:c r="S963" s="17" t="n"/>
      <ns0:c r="T963" s="17" t="n"/>
      <ns0:c r="U963" s="17" t="n"/>
      <ns0:c r="V963" s="17" t="n"/>
      <ns0:c r="W963" s="17" t="n"/>
      <ns0:c r="X963" s="17" t="n"/>
      <ns0:c r="Y963" s="17" t="n"/>
      <ns0:c r="Z963" s="17" t="n"/>
      <ns0:c r="AA963" s="17" t="n"/>
      <ns0:c r="AB963" s="17" t="n"/>
      <ns0:c r="AC963" s="17" t="n"/>
      <ns0:c r="AD963" s="17" t="n"/>
      <ns0:c r="AE963" s="17" t="n"/>
      <ns0:c r="AF963" s="17" t="n"/>
      <ns0:c r="AG963" s="17" t="n"/>
    </ns0:row>
    <ns0:row r="964" ht="24" customHeight="1">
      <ns0:c r="D964" s="17" t="n"/>
      <ns0:c r="E964" s="17" t="n"/>
      <ns0:c r="F964" s="17" t="n"/>
      <ns0:c r="G964" s="17" t="n"/>
      <ns0:c r="H964" s="17" t="n"/>
      <ns0:c r="I964" s="17" t="n"/>
      <ns0:c r="J964" s="17" t="n"/>
      <ns0:c r="K964" s="17" t="n"/>
      <ns0:c r="L964" s="17" t="n"/>
      <ns0:c r="M964" s="17" t="n"/>
      <ns0:c r="N964" s="17" t="n"/>
      <ns0:c r="O964" s="17" t="n"/>
      <ns0:c r="P964" s="17" t="n"/>
      <ns0:c r="Q964" s="17" t="n"/>
      <ns0:c r="R964" s="17" t="n"/>
      <ns0:c r="S964" s="17" t="n"/>
      <ns0:c r="T964" s="17" t="n"/>
      <ns0:c r="U964" s="17" t="n"/>
      <ns0:c r="V964" s="17" t="n"/>
      <ns0:c r="W964" s="17" t="n"/>
      <ns0:c r="X964" s="17" t="n"/>
      <ns0:c r="Y964" s="17" t="n"/>
      <ns0:c r="Z964" s="17" t="n"/>
      <ns0:c r="AA964" s="17" t="n"/>
      <ns0:c r="AB964" s="17" t="n"/>
      <ns0:c r="AC964" s="17" t="n"/>
      <ns0:c r="AD964" s="17" t="n"/>
      <ns0:c r="AE964" s="17" t="n"/>
      <ns0:c r="AF964" s="17" t="n"/>
      <ns0:c r="AG964" s="17" t="n"/>
    </ns0:row>
    <ns0:row r="965" ht="24" customHeight="1">
      <ns0:c r="D965" s="17" t="n"/>
      <ns0:c r="E965" s="17" t="n"/>
      <ns0:c r="F965" s="17" t="n"/>
      <ns0:c r="G965" s="17" t="n"/>
      <ns0:c r="H965" s="17" t="n"/>
      <ns0:c r="I965" s="17" t="n"/>
      <ns0:c r="J965" s="17" t="n"/>
      <ns0:c r="K965" s="17" t="n"/>
      <ns0:c r="L965" s="17" t="n"/>
      <ns0:c r="M965" s="17" t="n"/>
      <ns0:c r="N965" s="17" t="n"/>
      <ns0:c r="O965" s="17" t="n"/>
      <ns0:c r="P965" s="17" t="n"/>
      <ns0:c r="Q965" s="17" t="n"/>
      <ns0:c r="R965" s="17" t="n"/>
      <ns0:c r="S965" s="17" t="n"/>
      <ns0:c r="T965" s="17" t="n"/>
      <ns0:c r="U965" s="17" t="n"/>
      <ns0:c r="V965" s="17" t="n"/>
      <ns0:c r="W965" s="17" t="n"/>
      <ns0:c r="X965" s="17" t="n"/>
      <ns0:c r="Y965" s="17" t="n"/>
      <ns0:c r="Z965" s="17" t="n"/>
      <ns0:c r="AA965" s="17" t="n"/>
      <ns0:c r="AB965" s="17" t="n"/>
      <ns0:c r="AC965" s="17" t="n"/>
      <ns0:c r="AD965" s="17" t="n"/>
      <ns0:c r="AE965" s="17" t="n"/>
      <ns0:c r="AF965" s="17" t="n"/>
      <ns0:c r="AG965" s="17" t="n"/>
    </ns0:row>
    <ns0:row r="966" ht="24" customHeight="1">
      <ns0:c r="D966" s="17" t="n"/>
      <ns0:c r="E966" s="17" t="n"/>
      <ns0:c r="F966" s="17" t="n"/>
      <ns0:c r="G966" s="17" t="n"/>
      <ns0:c r="H966" s="17" t="n"/>
      <ns0:c r="I966" s="17" t="n"/>
      <ns0:c r="J966" s="17" t="n"/>
      <ns0:c r="K966" s="17" t="n"/>
      <ns0:c r="L966" s="17" t="n"/>
      <ns0:c r="M966" s="17" t="n"/>
      <ns0:c r="N966" s="17" t="n"/>
      <ns0:c r="O966" s="17" t="n"/>
      <ns0:c r="P966" s="17" t="n"/>
      <ns0:c r="Q966" s="17" t="n"/>
      <ns0:c r="R966" s="17" t="n"/>
      <ns0:c r="S966" s="17" t="n"/>
      <ns0:c r="T966" s="17" t="n"/>
      <ns0:c r="U966" s="17" t="n"/>
      <ns0:c r="V966" s="17" t="n"/>
      <ns0:c r="W966" s="17" t="n"/>
      <ns0:c r="X966" s="17" t="n"/>
      <ns0:c r="Y966" s="17" t="n"/>
      <ns0:c r="Z966" s="17" t="n"/>
      <ns0:c r="AA966" s="17" t="n"/>
      <ns0:c r="AB966" s="17" t="n"/>
      <ns0:c r="AC966" s="17" t="n"/>
      <ns0:c r="AD966" s="17" t="n"/>
      <ns0:c r="AE966" s="17" t="n"/>
      <ns0:c r="AF966" s="17" t="n"/>
      <ns0:c r="AG966" s="17" t="n"/>
    </ns0:row>
    <ns0:row r="967" ht="24" customHeight="1">
      <ns0:c r="D967" s="17" t="n"/>
      <ns0:c r="E967" s="17" t="n"/>
      <ns0:c r="F967" s="17" t="n"/>
      <ns0:c r="G967" s="17" t="n"/>
      <ns0:c r="H967" s="17" t="n"/>
      <ns0:c r="I967" s="17" t="n"/>
      <ns0:c r="J967" s="17" t="n"/>
      <ns0:c r="K967" s="17" t="n"/>
      <ns0:c r="L967" s="17" t="n"/>
      <ns0:c r="M967" s="17" t="n"/>
      <ns0:c r="N967" s="17" t="n"/>
      <ns0:c r="O967" s="17" t="n"/>
      <ns0:c r="P967" s="17" t="n"/>
      <ns0:c r="Q967" s="17" t="n"/>
      <ns0:c r="R967" s="17" t="n"/>
      <ns0:c r="S967" s="17" t="n"/>
      <ns0:c r="T967" s="17" t="n"/>
      <ns0:c r="U967" s="17" t="n"/>
      <ns0:c r="V967" s="17" t="n"/>
      <ns0:c r="W967" s="17" t="n"/>
      <ns0:c r="X967" s="17" t="n"/>
      <ns0:c r="Y967" s="17" t="n"/>
      <ns0:c r="Z967" s="17" t="n"/>
      <ns0:c r="AA967" s="17" t="n"/>
      <ns0:c r="AB967" s="17" t="n"/>
      <ns0:c r="AC967" s="17" t="n"/>
      <ns0:c r="AD967" s="17" t="n"/>
      <ns0:c r="AE967" s="17" t="n"/>
      <ns0:c r="AF967" s="17" t="n"/>
      <ns0:c r="AG967" s="17" t="n"/>
    </ns0:row>
    <ns0:row r="968" ht="24" customHeight="1">
      <ns0:c r="D968" s="17" t="n"/>
      <ns0:c r="E968" s="17" t="n"/>
      <ns0:c r="F968" s="17" t="n"/>
      <ns0:c r="G968" s="17" t="n"/>
      <ns0:c r="H968" s="17" t="n"/>
      <ns0:c r="I968" s="17" t="n"/>
      <ns0:c r="J968" s="17" t="n"/>
      <ns0:c r="K968" s="17" t="n"/>
      <ns0:c r="L968" s="17" t="n"/>
      <ns0:c r="M968" s="17" t="n"/>
      <ns0:c r="N968" s="17" t="n"/>
      <ns0:c r="O968" s="17" t="n"/>
      <ns0:c r="P968" s="17" t="n"/>
      <ns0:c r="Q968" s="17" t="n"/>
      <ns0:c r="R968" s="17" t="n"/>
      <ns0:c r="S968" s="17" t="n"/>
      <ns0:c r="T968" s="17" t="n"/>
      <ns0:c r="U968" s="17" t="n"/>
      <ns0:c r="V968" s="17" t="n"/>
      <ns0:c r="W968" s="17" t="n"/>
      <ns0:c r="X968" s="17" t="n"/>
      <ns0:c r="Y968" s="17" t="n"/>
      <ns0:c r="Z968" s="17" t="n"/>
      <ns0:c r="AA968" s="17" t="n"/>
      <ns0:c r="AB968" s="17" t="n"/>
      <ns0:c r="AC968" s="17" t="n"/>
      <ns0:c r="AD968" s="17" t="n"/>
      <ns0:c r="AE968" s="17" t="n"/>
      <ns0:c r="AF968" s="17" t="n"/>
      <ns0:c r="AG968" s="17" t="n"/>
    </ns0:row>
    <ns0:row r="969" ht="24" customHeight="1">
      <ns0:c r="D969" s="17" t="n"/>
      <ns0:c r="E969" s="17" t="n"/>
      <ns0:c r="F969" s="17" t="n"/>
      <ns0:c r="G969" s="17" t="n"/>
      <ns0:c r="H969" s="17" t="n"/>
      <ns0:c r="I969" s="17" t="n"/>
      <ns0:c r="J969" s="17" t="n"/>
      <ns0:c r="K969" s="17" t="n"/>
      <ns0:c r="L969" s="17" t="n"/>
      <ns0:c r="M969" s="17" t="n"/>
      <ns0:c r="N969" s="17" t="n"/>
      <ns0:c r="O969" s="17" t="n"/>
      <ns0:c r="P969" s="17" t="n"/>
      <ns0:c r="Q969" s="17" t="n"/>
      <ns0:c r="R969" s="17" t="n"/>
      <ns0:c r="S969" s="17" t="n"/>
      <ns0:c r="T969" s="17" t="n"/>
      <ns0:c r="U969" s="17" t="n"/>
      <ns0:c r="V969" s="17" t="n"/>
      <ns0:c r="W969" s="17" t="n"/>
      <ns0:c r="X969" s="17" t="n"/>
      <ns0:c r="Y969" s="17" t="n"/>
      <ns0:c r="Z969" s="17" t="n"/>
      <ns0:c r="AA969" s="17" t="n"/>
      <ns0:c r="AB969" s="17" t="n"/>
      <ns0:c r="AC969" s="17" t="n"/>
      <ns0:c r="AD969" s="17" t="n"/>
      <ns0:c r="AE969" s="17" t="n"/>
      <ns0:c r="AF969" s="17" t="n"/>
      <ns0:c r="AG969" s="17" t="n"/>
    </ns0:row>
    <ns0:row r="970" ht="24" customHeight="1">
      <ns0:c r="D970" s="17" t="n"/>
      <ns0:c r="E970" s="17" t="n"/>
      <ns0:c r="F970" s="17" t="n"/>
      <ns0:c r="G970" s="17" t="n"/>
      <ns0:c r="H970" s="17" t="n"/>
      <ns0:c r="I970" s="17" t="n"/>
      <ns0:c r="J970" s="17" t="n"/>
      <ns0:c r="K970" s="17" t="n"/>
      <ns0:c r="L970" s="17" t="n"/>
      <ns0:c r="M970" s="17" t="n"/>
      <ns0:c r="N970" s="17" t="n"/>
      <ns0:c r="O970" s="17" t="n"/>
      <ns0:c r="P970" s="17" t="n"/>
      <ns0:c r="Q970" s="17" t="n"/>
      <ns0:c r="R970" s="17" t="n"/>
      <ns0:c r="S970" s="17" t="n"/>
      <ns0:c r="T970" s="17" t="n"/>
      <ns0:c r="U970" s="17" t="n"/>
      <ns0:c r="V970" s="17" t="n"/>
      <ns0:c r="W970" s="17" t="n"/>
      <ns0:c r="X970" s="17" t="n"/>
      <ns0:c r="Y970" s="17" t="n"/>
      <ns0:c r="Z970" s="17" t="n"/>
      <ns0:c r="AA970" s="17" t="n"/>
      <ns0:c r="AB970" s="17" t="n"/>
      <ns0:c r="AC970" s="17" t="n"/>
      <ns0:c r="AD970" s="17" t="n"/>
      <ns0:c r="AE970" s="17" t="n"/>
      <ns0:c r="AF970" s="17" t="n"/>
      <ns0:c r="AG970" s="17" t="n"/>
    </ns0:row>
    <ns0:row r="971" ht="24" customHeight="1">
      <ns0:c r="D971" s="17" t="n"/>
      <ns0:c r="E971" s="17" t="n"/>
      <ns0:c r="F971" s="17" t="n"/>
      <ns0:c r="G971" s="17" t="n"/>
      <ns0:c r="H971" s="17" t="n"/>
      <ns0:c r="I971" s="17" t="n"/>
      <ns0:c r="J971" s="17" t="n"/>
      <ns0:c r="K971" s="17" t="n"/>
      <ns0:c r="L971" s="17" t="n"/>
      <ns0:c r="M971" s="17" t="n"/>
      <ns0:c r="N971" s="17" t="n"/>
      <ns0:c r="O971" s="17" t="n"/>
      <ns0:c r="P971" s="17" t="n"/>
      <ns0:c r="Q971" s="17" t="n"/>
      <ns0:c r="R971" s="17" t="n"/>
      <ns0:c r="S971" s="17" t="n"/>
      <ns0:c r="T971" s="17" t="n"/>
      <ns0:c r="U971" s="17" t="n"/>
      <ns0:c r="V971" s="17" t="n"/>
      <ns0:c r="W971" s="17" t="n"/>
      <ns0:c r="X971" s="17" t="n"/>
      <ns0:c r="Y971" s="17" t="n"/>
      <ns0:c r="Z971" s="17" t="n"/>
      <ns0:c r="AA971" s="17" t="n"/>
      <ns0:c r="AB971" s="17" t="n"/>
      <ns0:c r="AC971" s="17" t="n"/>
      <ns0:c r="AD971" s="17" t="n"/>
      <ns0:c r="AE971" s="17" t="n"/>
      <ns0:c r="AF971" s="17" t="n"/>
      <ns0:c r="AG971" s="17" t="n"/>
    </ns0:row>
    <ns0:row r="972" ht="24" customHeight="1">
      <ns0:c r="D972" s="17" t="n"/>
      <ns0:c r="E972" s="17" t="n"/>
      <ns0:c r="F972" s="17" t="n"/>
      <ns0:c r="G972" s="17" t="n"/>
      <ns0:c r="H972" s="17" t="n"/>
      <ns0:c r="I972" s="17" t="n"/>
      <ns0:c r="J972" s="17" t="n"/>
      <ns0:c r="K972" s="17" t="n"/>
      <ns0:c r="L972" s="17" t="n"/>
      <ns0:c r="M972" s="17" t="n"/>
      <ns0:c r="N972" s="17" t="n"/>
      <ns0:c r="O972" s="17" t="n"/>
      <ns0:c r="P972" s="17" t="n"/>
      <ns0:c r="Q972" s="17" t="n"/>
      <ns0:c r="R972" s="17" t="n"/>
      <ns0:c r="S972" s="17" t="n"/>
      <ns0:c r="T972" s="17" t="n"/>
      <ns0:c r="U972" s="17" t="n"/>
      <ns0:c r="V972" s="17" t="n"/>
      <ns0:c r="W972" s="17" t="n"/>
      <ns0:c r="X972" s="17" t="n"/>
      <ns0:c r="Y972" s="17" t="n"/>
      <ns0:c r="Z972" s="17" t="n"/>
      <ns0:c r="AA972" s="17" t="n"/>
      <ns0:c r="AB972" s="17" t="n"/>
      <ns0:c r="AC972" s="17" t="n"/>
      <ns0:c r="AD972" s="17" t="n"/>
      <ns0:c r="AE972" s="17" t="n"/>
      <ns0:c r="AF972" s="17" t="n"/>
      <ns0:c r="AG972" s="17" t="n"/>
    </ns0:row>
    <ns0:row r="973" ht="24" customHeight="1">
      <ns0:c r="D973" s="17" t="n"/>
      <ns0:c r="E973" s="17" t="n"/>
      <ns0:c r="F973" s="17" t="n"/>
      <ns0:c r="G973" s="17" t="n"/>
      <ns0:c r="H973" s="17" t="n"/>
      <ns0:c r="I973" s="17" t="n"/>
      <ns0:c r="J973" s="17" t="n"/>
      <ns0:c r="K973" s="17" t="n"/>
      <ns0:c r="L973" s="17" t="n"/>
      <ns0:c r="M973" s="17" t="n"/>
      <ns0:c r="N973" s="17" t="n"/>
      <ns0:c r="O973" s="17" t="n"/>
      <ns0:c r="P973" s="17" t="n"/>
      <ns0:c r="Q973" s="17" t="n"/>
      <ns0:c r="R973" s="17" t="n"/>
      <ns0:c r="S973" s="17" t="n"/>
      <ns0:c r="T973" s="17" t="n"/>
      <ns0:c r="U973" s="17" t="n"/>
      <ns0:c r="V973" s="17" t="n"/>
      <ns0:c r="W973" s="17" t="n"/>
      <ns0:c r="X973" s="17" t="n"/>
      <ns0:c r="Y973" s="17" t="n"/>
      <ns0:c r="Z973" s="17" t="n"/>
      <ns0:c r="AA973" s="17" t="n"/>
      <ns0:c r="AB973" s="17" t="n"/>
      <ns0:c r="AC973" s="17" t="n"/>
      <ns0:c r="AD973" s="17" t="n"/>
      <ns0:c r="AE973" s="17" t="n"/>
      <ns0:c r="AF973" s="17" t="n"/>
      <ns0:c r="AG973" s="17" t="n"/>
    </ns0:row>
    <ns0:row r="974" ht="24" customHeight="1">
      <ns0:c r="D974" s="17" t="n"/>
      <ns0:c r="E974" s="17" t="n"/>
      <ns0:c r="F974" s="17" t="n"/>
      <ns0:c r="G974" s="17" t="n"/>
      <ns0:c r="H974" s="17" t="n"/>
      <ns0:c r="I974" s="17" t="n"/>
      <ns0:c r="J974" s="17" t="n"/>
      <ns0:c r="K974" s="17" t="n"/>
      <ns0:c r="L974" s="17" t="n"/>
      <ns0:c r="M974" s="17" t="n"/>
      <ns0:c r="N974" s="17" t="n"/>
      <ns0:c r="O974" s="17" t="n"/>
      <ns0:c r="P974" s="17" t="n"/>
      <ns0:c r="Q974" s="17" t="n"/>
      <ns0:c r="R974" s="17" t="n"/>
      <ns0:c r="S974" s="17" t="n"/>
      <ns0:c r="T974" s="17" t="n"/>
      <ns0:c r="U974" s="17" t="n"/>
      <ns0:c r="V974" s="17" t="n"/>
      <ns0:c r="W974" s="17" t="n"/>
      <ns0:c r="X974" s="17" t="n"/>
      <ns0:c r="Y974" s="17" t="n"/>
      <ns0:c r="Z974" s="17" t="n"/>
      <ns0:c r="AA974" s="17" t="n"/>
      <ns0:c r="AB974" s="17" t="n"/>
      <ns0:c r="AC974" s="17" t="n"/>
      <ns0:c r="AD974" s="17" t="n"/>
      <ns0:c r="AE974" s="17" t="n"/>
      <ns0:c r="AF974" s="17" t="n"/>
      <ns0:c r="AG974" s="17" t="n"/>
    </ns0:row>
    <ns0:row r="975" ht="24" customHeight="1">
      <ns0:c r="D975" s="17" t="n"/>
      <ns0:c r="E975" s="17" t="n"/>
      <ns0:c r="F975" s="17" t="n"/>
      <ns0:c r="G975" s="17" t="n"/>
      <ns0:c r="H975" s="17" t="n"/>
      <ns0:c r="I975" s="17" t="n"/>
      <ns0:c r="J975" s="17" t="n"/>
      <ns0:c r="K975" s="17" t="n"/>
      <ns0:c r="L975" s="17" t="n"/>
      <ns0:c r="M975" s="17" t="n"/>
      <ns0:c r="N975" s="17" t="n"/>
      <ns0:c r="O975" s="17" t="n"/>
      <ns0:c r="P975" s="17" t="n"/>
      <ns0:c r="Q975" s="17" t="n"/>
      <ns0:c r="R975" s="17" t="n"/>
      <ns0:c r="S975" s="17" t="n"/>
      <ns0:c r="T975" s="17" t="n"/>
      <ns0:c r="U975" s="17" t="n"/>
      <ns0:c r="V975" s="17" t="n"/>
      <ns0:c r="W975" s="17" t="n"/>
      <ns0:c r="X975" s="17" t="n"/>
      <ns0:c r="Y975" s="17" t="n"/>
      <ns0:c r="Z975" s="17" t="n"/>
      <ns0:c r="AA975" s="17" t="n"/>
      <ns0:c r="AB975" s="17" t="n"/>
      <ns0:c r="AC975" s="17" t="n"/>
      <ns0:c r="AD975" s="17" t="n"/>
      <ns0:c r="AE975" s="17" t="n"/>
      <ns0:c r="AF975" s="17" t="n"/>
      <ns0:c r="AG975" s="17" t="n"/>
    </ns0:row>
    <ns0:row r="976" ht="24" customHeight="1">
      <ns0:c r="D976" s="17" t="n"/>
      <ns0:c r="E976" s="17" t="n"/>
      <ns0:c r="F976" s="17" t="n"/>
      <ns0:c r="G976" s="17" t="n"/>
      <ns0:c r="H976" s="17" t="n"/>
      <ns0:c r="I976" s="17" t="n"/>
      <ns0:c r="J976" s="17" t="n"/>
      <ns0:c r="K976" s="17" t="n"/>
      <ns0:c r="L976" s="17" t="n"/>
      <ns0:c r="M976" s="17" t="n"/>
      <ns0:c r="N976" s="17" t="n"/>
      <ns0:c r="O976" s="17" t="n"/>
      <ns0:c r="P976" s="17" t="n"/>
      <ns0:c r="Q976" s="17" t="n"/>
      <ns0:c r="R976" s="17" t="n"/>
      <ns0:c r="S976" s="17" t="n"/>
      <ns0:c r="T976" s="17" t="n"/>
      <ns0:c r="U976" s="17" t="n"/>
      <ns0:c r="V976" s="17" t="n"/>
      <ns0:c r="W976" s="17" t="n"/>
      <ns0:c r="X976" s="17" t="n"/>
      <ns0:c r="Y976" s="17" t="n"/>
      <ns0:c r="Z976" s="17" t="n"/>
      <ns0:c r="AA976" s="17" t="n"/>
      <ns0:c r="AB976" s="17" t="n"/>
      <ns0:c r="AC976" s="17" t="n"/>
      <ns0:c r="AD976" s="17" t="n"/>
      <ns0:c r="AE976" s="17" t="n"/>
      <ns0:c r="AF976" s="17" t="n"/>
      <ns0:c r="AG976" s="17" t="n"/>
    </ns0:row>
    <ns0:row r="977" ht="24" customHeight="1">
      <ns0:c r="D977" s="17" t="n"/>
      <ns0:c r="E977" s="17" t="n"/>
      <ns0:c r="F977" s="17" t="n"/>
      <ns0:c r="G977" s="17" t="n"/>
      <ns0:c r="H977" s="17" t="n"/>
      <ns0:c r="I977" s="17" t="n"/>
      <ns0:c r="J977" s="17" t="n"/>
      <ns0:c r="K977" s="17" t="n"/>
      <ns0:c r="L977" s="17" t="n"/>
      <ns0:c r="M977" s="17" t="n"/>
      <ns0:c r="N977" s="17" t="n"/>
      <ns0:c r="O977" s="17" t="n"/>
      <ns0:c r="P977" s="17" t="n"/>
      <ns0:c r="Q977" s="17" t="n"/>
      <ns0:c r="R977" s="17" t="n"/>
      <ns0:c r="S977" s="17" t="n"/>
      <ns0:c r="T977" s="17" t="n"/>
      <ns0:c r="U977" s="17" t="n"/>
      <ns0:c r="V977" s="17" t="n"/>
      <ns0:c r="W977" s="17" t="n"/>
      <ns0:c r="X977" s="17" t="n"/>
      <ns0:c r="Y977" s="17" t="n"/>
      <ns0:c r="Z977" s="17" t="n"/>
      <ns0:c r="AA977" s="17" t="n"/>
      <ns0:c r="AB977" s="17" t="n"/>
      <ns0:c r="AC977" s="17" t="n"/>
      <ns0:c r="AD977" s="17" t="n"/>
      <ns0:c r="AE977" s="17" t="n"/>
      <ns0:c r="AF977" s="17" t="n"/>
      <ns0:c r="AG977" s="17" t="n"/>
    </ns0:row>
    <ns0:row r="978" ht="24" customHeight="1">
      <ns0:c r="D978" s="17" t="n"/>
      <ns0:c r="E978" s="17" t="n"/>
      <ns0:c r="F978" s="17" t="n"/>
      <ns0:c r="G978" s="17" t="n"/>
      <ns0:c r="H978" s="17" t="n"/>
      <ns0:c r="I978" s="17" t="n"/>
      <ns0:c r="J978" s="17" t="n"/>
      <ns0:c r="K978" s="17" t="n"/>
      <ns0:c r="L978" s="17" t="n"/>
      <ns0:c r="M978" s="17" t="n"/>
      <ns0:c r="N978" s="17" t="n"/>
      <ns0:c r="O978" s="17" t="n"/>
      <ns0:c r="P978" s="17" t="n"/>
      <ns0:c r="Q978" s="17" t="n"/>
      <ns0:c r="R978" s="17" t="n"/>
      <ns0:c r="S978" s="17" t="n"/>
      <ns0:c r="T978" s="17" t="n"/>
      <ns0:c r="U978" s="17" t="n"/>
      <ns0:c r="V978" s="17" t="n"/>
      <ns0:c r="W978" s="17" t="n"/>
      <ns0:c r="X978" s="17" t="n"/>
      <ns0:c r="Y978" s="17" t="n"/>
      <ns0:c r="Z978" s="17" t="n"/>
      <ns0:c r="AA978" s="17" t="n"/>
      <ns0:c r="AB978" s="17" t="n"/>
      <ns0:c r="AC978" s="17" t="n"/>
      <ns0:c r="AD978" s="17" t="n"/>
      <ns0:c r="AE978" s="17" t="n"/>
      <ns0:c r="AF978" s="17" t="n"/>
      <ns0:c r="AG978" s="17" t="n"/>
    </ns0:row>
    <ns0:row r="979" ht="24" customHeight="1">
      <ns0:c r="D979" s="17" t="n"/>
      <ns0:c r="E979" s="17" t="n"/>
      <ns0:c r="F979" s="17" t="n"/>
      <ns0:c r="G979" s="17" t="n"/>
      <ns0:c r="H979" s="17" t="n"/>
      <ns0:c r="I979" s="17" t="n"/>
      <ns0:c r="J979" s="17" t="n"/>
      <ns0:c r="K979" s="17" t="n"/>
      <ns0:c r="L979" s="17" t="n"/>
      <ns0:c r="M979" s="17" t="n"/>
      <ns0:c r="N979" s="17" t="n"/>
      <ns0:c r="O979" s="17" t="n"/>
      <ns0:c r="P979" s="17" t="n"/>
      <ns0:c r="Q979" s="17" t="n"/>
      <ns0:c r="R979" s="17" t="n"/>
      <ns0:c r="S979" s="17" t="n"/>
      <ns0:c r="T979" s="17" t="n"/>
      <ns0:c r="U979" s="17" t="n"/>
      <ns0:c r="V979" s="17" t="n"/>
      <ns0:c r="W979" s="17" t="n"/>
      <ns0:c r="X979" s="17" t="n"/>
      <ns0:c r="Y979" s="17" t="n"/>
      <ns0:c r="Z979" s="17" t="n"/>
      <ns0:c r="AA979" s="17" t="n"/>
      <ns0:c r="AB979" s="17" t="n"/>
      <ns0:c r="AC979" s="17" t="n"/>
      <ns0:c r="AD979" s="17" t="n"/>
      <ns0:c r="AE979" s="17" t="n"/>
      <ns0:c r="AF979" s="17" t="n"/>
      <ns0:c r="AG979" s="17" t="n"/>
    </ns0:row>
    <ns0:row r="980" ht="24" customHeight="1">
      <ns0:c r="D980" s="17" t="n"/>
      <ns0:c r="E980" s="17" t="n"/>
      <ns0:c r="F980" s="17" t="n"/>
      <ns0:c r="G980" s="17" t="n"/>
      <ns0:c r="H980" s="17" t="n"/>
      <ns0:c r="I980" s="17" t="n"/>
      <ns0:c r="J980" s="17" t="n"/>
      <ns0:c r="K980" s="17" t="n"/>
      <ns0:c r="L980" s="17" t="n"/>
      <ns0:c r="M980" s="17" t="n"/>
      <ns0:c r="N980" s="17" t="n"/>
      <ns0:c r="O980" s="17" t="n"/>
      <ns0:c r="P980" s="17" t="n"/>
      <ns0:c r="Q980" s="17" t="n"/>
      <ns0:c r="R980" s="17" t="n"/>
      <ns0:c r="S980" s="17" t="n"/>
      <ns0:c r="T980" s="17" t="n"/>
      <ns0:c r="U980" s="17" t="n"/>
      <ns0:c r="V980" s="17" t="n"/>
      <ns0:c r="W980" s="17" t="n"/>
      <ns0:c r="X980" s="17" t="n"/>
      <ns0:c r="Y980" s="17" t="n"/>
      <ns0:c r="Z980" s="17" t="n"/>
      <ns0:c r="AA980" s="17" t="n"/>
      <ns0:c r="AB980" s="17" t="n"/>
      <ns0:c r="AC980" s="17" t="n"/>
      <ns0:c r="AD980" s="17" t="n"/>
      <ns0:c r="AE980" s="17" t="n"/>
      <ns0:c r="AF980" s="17" t="n"/>
      <ns0:c r="AG980" s="17" t="n"/>
    </ns0:row>
    <ns0:row r="981" ht="24" customHeight="1">
      <ns0:c r="D981" s="17" t="n"/>
      <ns0:c r="E981" s="17" t="n"/>
      <ns0:c r="F981" s="17" t="n"/>
      <ns0:c r="G981" s="17" t="n"/>
      <ns0:c r="H981" s="17" t="n"/>
      <ns0:c r="I981" s="17" t="n"/>
      <ns0:c r="J981" s="17" t="n"/>
      <ns0:c r="K981" s="17" t="n"/>
      <ns0:c r="L981" s="17" t="n"/>
      <ns0:c r="M981" s="17" t="n"/>
      <ns0:c r="N981" s="17" t="n"/>
      <ns0:c r="O981" s="17" t="n"/>
      <ns0:c r="P981" s="17" t="n"/>
      <ns0:c r="Q981" s="17" t="n"/>
      <ns0:c r="R981" s="17" t="n"/>
      <ns0:c r="S981" s="17" t="n"/>
      <ns0:c r="T981" s="17" t="n"/>
      <ns0:c r="U981" s="17" t="n"/>
      <ns0:c r="V981" s="17" t="n"/>
      <ns0:c r="W981" s="17" t="n"/>
      <ns0:c r="X981" s="17" t="n"/>
      <ns0:c r="Y981" s="17" t="n"/>
      <ns0:c r="Z981" s="17" t="n"/>
      <ns0:c r="AA981" s="17" t="n"/>
      <ns0:c r="AB981" s="17" t="n"/>
      <ns0:c r="AC981" s="17" t="n"/>
      <ns0:c r="AD981" s="17" t="n"/>
      <ns0:c r="AE981" s="17" t="n"/>
      <ns0:c r="AF981" s="17" t="n"/>
      <ns0:c r="AG981" s="17" t="n"/>
    </ns0:row>
    <ns0:row r="982" ht="24" customHeight="1">
      <ns0:c r="D982" s="17" t="n"/>
      <ns0:c r="E982" s="17" t="n"/>
      <ns0:c r="F982" s="17" t="n"/>
      <ns0:c r="G982" s="17" t="n"/>
      <ns0:c r="H982" s="17" t="n"/>
      <ns0:c r="I982" s="17" t="n"/>
      <ns0:c r="J982" s="17" t="n"/>
      <ns0:c r="K982" s="17" t="n"/>
      <ns0:c r="L982" s="17" t="n"/>
      <ns0:c r="M982" s="17" t="n"/>
      <ns0:c r="N982" s="17" t="n"/>
      <ns0:c r="O982" s="17" t="n"/>
      <ns0:c r="P982" s="17" t="n"/>
      <ns0:c r="Q982" s="17" t="n"/>
      <ns0:c r="R982" s="17" t="n"/>
      <ns0:c r="S982" s="17" t="n"/>
      <ns0:c r="T982" s="17" t="n"/>
      <ns0:c r="U982" s="17" t="n"/>
      <ns0:c r="V982" s="17" t="n"/>
      <ns0:c r="W982" s="17" t="n"/>
      <ns0:c r="X982" s="17" t="n"/>
      <ns0:c r="Y982" s="17" t="n"/>
      <ns0:c r="Z982" s="17" t="n"/>
      <ns0:c r="AA982" s="17" t="n"/>
      <ns0:c r="AB982" s="17" t="n"/>
      <ns0:c r="AC982" s="17" t="n"/>
      <ns0:c r="AD982" s="17" t="n"/>
      <ns0:c r="AE982" s="17" t="n"/>
      <ns0:c r="AF982" s="17" t="n"/>
      <ns0:c r="AG982" s="17" t="n"/>
    </ns0:row>
    <ns0:row r="983" ht="24" customHeight="1">
      <ns0:c r="D983" s="17" t="n"/>
      <ns0:c r="E983" s="17" t="n"/>
      <ns0:c r="F983" s="17" t="n"/>
      <ns0:c r="G983" s="17" t="n"/>
      <ns0:c r="H983" s="17" t="n"/>
      <ns0:c r="I983" s="17" t="n"/>
      <ns0:c r="J983" s="17" t="n"/>
      <ns0:c r="K983" s="17" t="n"/>
      <ns0:c r="L983" s="17" t="n"/>
      <ns0:c r="M983" s="17" t="n"/>
      <ns0:c r="N983" s="17" t="n"/>
      <ns0:c r="O983" s="17" t="n"/>
      <ns0:c r="P983" s="17" t="n"/>
      <ns0:c r="Q983" s="17" t="n"/>
      <ns0:c r="R983" s="17" t="n"/>
      <ns0:c r="S983" s="17" t="n"/>
      <ns0:c r="T983" s="17" t="n"/>
      <ns0:c r="U983" s="17" t="n"/>
      <ns0:c r="V983" s="17" t="n"/>
      <ns0:c r="W983" s="17" t="n"/>
      <ns0:c r="X983" s="17" t="n"/>
      <ns0:c r="Y983" s="17" t="n"/>
      <ns0:c r="Z983" s="17" t="n"/>
      <ns0:c r="AA983" s="17" t="n"/>
      <ns0:c r="AB983" s="17" t="n"/>
      <ns0:c r="AC983" s="17" t="n"/>
      <ns0:c r="AD983" s="17" t="n"/>
      <ns0:c r="AE983" s="17" t="n"/>
      <ns0:c r="AF983" s="17" t="n"/>
      <ns0:c r="AG983" s="17" t="n"/>
    </ns0:row>
    <ns0:row r="984" ht="24" customHeight="1">
      <ns0:c r="D984" s="17" t="n"/>
      <ns0:c r="E984" s="17" t="n"/>
      <ns0:c r="F984" s="17" t="n"/>
      <ns0:c r="G984" s="17" t="n"/>
      <ns0:c r="H984" s="17" t="n"/>
      <ns0:c r="I984" s="17" t="n"/>
      <ns0:c r="J984" s="17" t="n"/>
      <ns0:c r="K984" s="17" t="n"/>
      <ns0:c r="L984" s="17" t="n"/>
      <ns0:c r="M984" s="17" t="n"/>
      <ns0:c r="N984" s="17" t="n"/>
      <ns0:c r="O984" s="17" t="n"/>
      <ns0:c r="P984" s="17" t="n"/>
      <ns0:c r="Q984" s="17" t="n"/>
      <ns0:c r="R984" s="17" t="n"/>
      <ns0:c r="S984" s="17" t="n"/>
      <ns0:c r="T984" s="17" t="n"/>
      <ns0:c r="U984" s="17" t="n"/>
      <ns0:c r="V984" s="17" t="n"/>
      <ns0:c r="W984" s="17" t="n"/>
      <ns0:c r="X984" s="17" t="n"/>
      <ns0:c r="Y984" s="17" t="n"/>
      <ns0:c r="Z984" s="17" t="n"/>
      <ns0:c r="AA984" s="17" t="n"/>
      <ns0:c r="AB984" s="17" t="n"/>
      <ns0:c r="AC984" s="17" t="n"/>
      <ns0:c r="AD984" s="17" t="n"/>
      <ns0:c r="AE984" s="17" t="n"/>
      <ns0:c r="AF984" s="17" t="n"/>
      <ns0:c r="AG984" s="17" t="n"/>
    </ns0:row>
    <ns0:row r="985" ht="24" customHeight="1">
      <ns0:c r="D985" s="17" t="n"/>
      <ns0:c r="E985" s="17" t="n"/>
      <ns0:c r="F985" s="17" t="n"/>
      <ns0:c r="G985" s="17" t="n"/>
      <ns0:c r="H985" s="17" t="n"/>
      <ns0:c r="I985" s="17" t="n"/>
      <ns0:c r="J985" s="17" t="n"/>
      <ns0:c r="K985" s="17" t="n"/>
      <ns0:c r="L985" s="17" t="n"/>
      <ns0:c r="M985" s="17" t="n"/>
      <ns0:c r="N985" s="17" t="n"/>
      <ns0:c r="O985" s="17" t="n"/>
      <ns0:c r="P985" s="17" t="n"/>
      <ns0:c r="Q985" s="17" t="n"/>
      <ns0:c r="R985" s="17" t="n"/>
      <ns0:c r="S985" s="17" t="n"/>
      <ns0:c r="T985" s="17" t="n"/>
      <ns0:c r="U985" s="17" t="n"/>
      <ns0:c r="V985" s="17" t="n"/>
      <ns0:c r="W985" s="17" t="n"/>
      <ns0:c r="X985" s="17" t="n"/>
      <ns0:c r="Y985" s="17" t="n"/>
      <ns0:c r="Z985" s="17" t="n"/>
      <ns0:c r="AA985" s="17" t="n"/>
      <ns0:c r="AB985" s="17" t="n"/>
      <ns0:c r="AC985" s="17" t="n"/>
      <ns0:c r="AD985" s="17" t="n"/>
      <ns0:c r="AE985" s="17" t="n"/>
      <ns0:c r="AF985" s="17" t="n"/>
      <ns0:c r="AG985" s="17" t="n"/>
    </ns0:row>
    <ns0:row r="986" ht="24" customHeight="1">
      <ns0:c r="D986" s="17" t="n"/>
      <ns0:c r="E986" s="17" t="n"/>
      <ns0:c r="F986" s="17" t="n"/>
      <ns0:c r="G986" s="17" t="n"/>
      <ns0:c r="H986" s="17" t="n"/>
      <ns0:c r="I986" s="17" t="n"/>
      <ns0:c r="J986" s="17" t="n"/>
      <ns0:c r="K986" s="17" t="n"/>
      <ns0:c r="L986" s="17" t="n"/>
      <ns0:c r="M986" s="17" t="n"/>
      <ns0:c r="N986" s="17" t="n"/>
      <ns0:c r="O986" s="17" t="n"/>
      <ns0:c r="P986" s="17" t="n"/>
      <ns0:c r="Q986" s="17" t="n"/>
      <ns0:c r="R986" s="17" t="n"/>
      <ns0:c r="S986" s="17" t="n"/>
      <ns0:c r="T986" s="17" t="n"/>
      <ns0:c r="U986" s="17" t="n"/>
      <ns0:c r="V986" s="17" t="n"/>
      <ns0:c r="W986" s="17" t="n"/>
      <ns0:c r="X986" s="17" t="n"/>
      <ns0:c r="Y986" s="17" t="n"/>
      <ns0:c r="Z986" s="17" t="n"/>
      <ns0:c r="AA986" s="17" t="n"/>
      <ns0:c r="AB986" s="17" t="n"/>
      <ns0:c r="AC986" s="17" t="n"/>
      <ns0:c r="AD986" s="17" t="n"/>
      <ns0:c r="AE986" s="17" t="n"/>
      <ns0:c r="AF986" s="17" t="n"/>
      <ns0:c r="AG986" s="17" t="n"/>
    </ns0:row>
    <ns0:row r="987" ht="24" customHeight="1">
      <ns0:c r="D987" s="17" t="n"/>
      <ns0:c r="E987" s="17" t="n"/>
      <ns0:c r="F987" s="17" t="n"/>
      <ns0:c r="G987" s="17" t="n"/>
      <ns0:c r="H987" s="17" t="n"/>
      <ns0:c r="I987" s="17" t="n"/>
      <ns0:c r="J987" s="17" t="n"/>
      <ns0:c r="K987" s="17" t="n"/>
      <ns0:c r="L987" s="17" t="n"/>
      <ns0:c r="M987" s="17" t="n"/>
      <ns0:c r="N987" s="17" t="n"/>
      <ns0:c r="O987" s="17" t="n"/>
      <ns0:c r="P987" s="17" t="n"/>
      <ns0:c r="Q987" s="17" t="n"/>
      <ns0:c r="R987" s="17" t="n"/>
      <ns0:c r="S987" s="17" t="n"/>
      <ns0:c r="T987" s="17" t="n"/>
      <ns0:c r="U987" s="17" t="n"/>
      <ns0:c r="V987" s="17" t="n"/>
      <ns0:c r="W987" s="17" t="n"/>
      <ns0:c r="X987" s="17" t="n"/>
      <ns0:c r="Y987" s="17" t="n"/>
      <ns0:c r="Z987" s="17" t="n"/>
      <ns0:c r="AA987" s="17" t="n"/>
      <ns0:c r="AB987" s="17" t="n"/>
      <ns0:c r="AC987" s="17" t="n"/>
      <ns0:c r="AD987" s="17" t="n"/>
      <ns0:c r="AE987" s="17" t="n"/>
      <ns0:c r="AF987" s="17" t="n"/>
      <ns0:c r="AG987" s="17" t="n"/>
    </ns0:row>
    <ns0:row r="988" ht="24" customHeight="1">
      <ns0:c r="D988" s="17" t="n"/>
      <ns0:c r="E988" s="17" t="n"/>
      <ns0:c r="F988" s="17" t="n"/>
      <ns0:c r="G988" s="17" t="n"/>
      <ns0:c r="H988" s="17" t="n"/>
      <ns0:c r="I988" s="17" t="n"/>
      <ns0:c r="J988" s="17" t="n"/>
      <ns0:c r="K988" s="17" t="n"/>
      <ns0:c r="L988" s="17" t="n"/>
      <ns0:c r="M988" s="17" t="n"/>
      <ns0:c r="N988" s="17" t="n"/>
      <ns0:c r="O988" s="17" t="n"/>
      <ns0:c r="P988" s="17" t="n"/>
      <ns0:c r="Q988" s="17" t="n"/>
      <ns0:c r="R988" s="17" t="n"/>
      <ns0:c r="S988" s="17" t="n"/>
      <ns0:c r="T988" s="17" t="n"/>
      <ns0:c r="U988" s="17" t="n"/>
      <ns0:c r="V988" s="17" t="n"/>
      <ns0:c r="W988" s="17" t="n"/>
      <ns0:c r="X988" s="17" t="n"/>
      <ns0:c r="Y988" s="17" t="n"/>
      <ns0:c r="Z988" s="17" t="n"/>
      <ns0:c r="AA988" s="17" t="n"/>
      <ns0:c r="AB988" s="17" t="n"/>
      <ns0:c r="AC988" s="17" t="n"/>
      <ns0:c r="AD988" s="17" t="n"/>
      <ns0:c r="AE988" s="17" t="n"/>
      <ns0:c r="AF988" s="17" t="n"/>
      <ns0:c r="AG988" s="17" t="n"/>
    </ns0:row>
    <ns0:row r="989" ht="24" customHeight="1">
      <ns0:c r="D989" s="17" t="n"/>
      <ns0:c r="E989" s="17" t="n"/>
      <ns0:c r="F989" s="17" t="n"/>
      <ns0:c r="G989" s="17" t="n"/>
      <ns0:c r="H989" s="17" t="n"/>
      <ns0:c r="I989" s="17" t="n"/>
      <ns0:c r="J989" s="17" t="n"/>
      <ns0:c r="K989" s="17" t="n"/>
      <ns0:c r="L989" s="17" t="n"/>
      <ns0:c r="M989" s="17" t="n"/>
      <ns0:c r="N989" s="17" t="n"/>
      <ns0:c r="O989" s="17" t="n"/>
      <ns0:c r="P989" s="17" t="n"/>
      <ns0:c r="Q989" s="17" t="n"/>
      <ns0:c r="R989" s="17" t="n"/>
      <ns0:c r="S989" s="17" t="n"/>
      <ns0:c r="T989" s="17" t="n"/>
      <ns0:c r="U989" s="17" t="n"/>
      <ns0:c r="V989" s="17" t="n"/>
      <ns0:c r="W989" s="17" t="n"/>
      <ns0:c r="X989" s="17" t="n"/>
      <ns0:c r="Y989" s="17" t="n"/>
      <ns0:c r="Z989" s="17" t="n"/>
      <ns0:c r="AA989" s="17" t="n"/>
      <ns0:c r="AB989" s="17" t="n"/>
      <ns0:c r="AC989" s="17" t="n"/>
      <ns0:c r="AD989" s="17" t="n"/>
      <ns0:c r="AE989" s="17" t="n"/>
      <ns0:c r="AF989" s="17" t="n"/>
      <ns0:c r="AG989" s="17" t="n"/>
    </ns0:row>
    <ns0:row r="990" ht="24" customHeight="1">
      <ns0:c r="D990" s="17" t="n"/>
      <ns0:c r="E990" s="17" t="n"/>
      <ns0:c r="F990" s="17" t="n"/>
      <ns0:c r="G990" s="17" t="n"/>
      <ns0:c r="H990" s="17" t="n"/>
      <ns0:c r="I990" s="17" t="n"/>
      <ns0:c r="J990" s="17" t="n"/>
      <ns0:c r="K990" s="17" t="n"/>
      <ns0:c r="L990" s="17" t="n"/>
      <ns0:c r="M990" s="17" t="n"/>
      <ns0:c r="N990" s="17" t="n"/>
      <ns0:c r="O990" s="17" t="n"/>
      <ns0:c r="P990" s="17" t="n"/>
      <ns0:c r="Q990" s="17" t="n"/>
      <ns0:c r="R990" s="17" t="n"/>
      <ns0:c r="S990" s="17" t="n"/>
      <ns0:c r="T990" s="17" t="n"/>
      <ns0:c r="U990" s="17" t="n"/>
      <ns0:c r="V990" s="17" t="n"/>
      <ns0:c r="W990" s="17" t="n"/>
      <ns0:c r="X990" s="17" t="n"/>
      <ns0:c r="Y990" s="17" t="n"/>
      <ns0:c r="Z990" s="17" t="n"/>
      <ns0:c r="AA990" s="17" t="n"/>
      <ns0:c r="AB990" s="17" t="n"/>
      <ns0:c r="AC990" s="17" t="n"/>
      <ns0:c r="AD990" s="17" t="n"/>
      <ns0:c r="AE990" s="17" t="n"/>
      <ns0:c r="AF990" s="17" t="n"/>
      <ns0:c r="AG990" s="17" t="n"/>
    </ns0:row>
    <ns0:row r="991" ht="24" customHeight="1">
      <ns0:c r="D991" s="17" t="n"/>
      <ns0:c r="E991" s="17" t="n"/>
      <ns0:c r="F991" s="17" t="n"/>
      <ns0:c r="G991" s="17" t="n"/>
      <ns0:c r="H991" s="17" t="n"/>
      <ns0:c r="I991" s="17" t="n"/>
      <ns0:c r="J991" s="17" t="n"/>
      <ns0:c r="K991" s="17" t="n"/>
      <ns0:c r="L991" s="17" t="n"/>
      <ns0:c r="M991" s="17" t="n"/>
      <ns0:c r="N991" s="17" t="n"/>
      <ns0:c r="O991" s="17" t="n"/>
      <ns0:c r="P991" s="17" t="n"/>
      <ns0:c r="Q991" s="17" t="n"/>
      <ns0:c r="R991" s="17" t="n"/>
      <ns0:c r="S991" s="17" t="n"/>
      <ns0:c r="T991" s="17" t="n"/>
      <ns0:c r="U991" s="17" t="n"/>
      <ns0:c r="V991" s="17" t="n"/>
      <ns0:c r="W991" s="17" t="n"/>
      <ns0:c r="X991" s="17" t="n"/>
      <ns0:c r="Y991" s="17" t="n"/>
      <ns0:c r="Z991" s="17" t="n"/>
      <ns0:c r="AA991" s="17" t="n"/>
      <ns0:c r="AB991" s="17" t="n"/>
      <ns0:c r="AC991" s="17" t="n"/>
      <ns0:c r="AD991" s="17" t="n"/>
      <ns0:c r="AE991" s="17" t="n"/>
      <ns0:c r="AF991" s="17" t="n"/>
      <ns0:c r="AG991" s="17" t="n"/>
    </ns0:row>
    <ns0:row r="992" ht="24" customHeight="1">
      <ns0:c r="D992" s="17" t="n"/>
      <ns0:c r="E992" s="17" t="n"/>
      <ns0:c r="F992" s="17" t="n"/>
      <ns0:c r="G992" s="17" t="n"/>
      <ns0:c r="H992" s="17" t="n"/>
      <ns0:c r="I992" s="17" t="n"/>
      <ns0:c r="J992" s="17" t="n"/>
      <ns0:c r="K992" s="17" t="n"/>
      <ns0:c r="L992" s="17" t="n"/>
      <ns0:c r="M992" s="17" t="n"/>
      <ns0:c r="N992" s="17" t="n"/>
      <ns0:c r="O992" s="17" t="n"/>
      <ns0:c r="P992" s="17" t="n"/>
      <ns0:c r="Q992" s="17" t="n"/>
      <ns0:c r="R992" s="17" t="n"/>
      <ns0:c r="S992" s="17" t="n"/>
      <ns0:c r="T992" s="17" t="n"/>
      <ns0:c r="U992" s="17" t="n"/>
      <ns0:c r="V992" s="17" t="n"/>
      <ns0:c r="W992" s="17" t="n"/>
      <ns0:c r="X992" s="17" t="n"/>
      <ns0:c r="Y992" s="17" t="n"/>
      <ns0:c r="Z992" s="17" t="n"/>
      <ns0:c r="AA992" s="17" t="n"/>
      <ns0:c r="AB992" s="17" t="n"/>
      <ns0:c r="AC992" s="17" t="n"/>
      <ns0:c r="AD992" s="17" t="n"/>
      <ns0:c r="AE992" s="17" t="n"/>
      <ns0:c r="AF992" s="17" t="n"/>
      <ns0:c r="AG992" s="17" t="n"/>
    </ns0:row>
    <ns0:row r="993" ht="24" customHeight="1">
      <ns0:c r="D993" s="17" t="n"/>
      <ns0:c r="E993" s="17" t="n"/>
      <ns0:c r="F993" s="17" t="n"/>
      <ns0:c r="G993" s="17" t="n"/>
      <ns0:c r="H993" s="17" t="n"/>
      <ns0:c r="I993" s="17" t="n"/>
      <ns0:c r="J993" s="17" t="n"/>
      <ns0:c r="K993" s="17" t="n"/>
      <ns0:c r="L993" s="17" t="n"/>
      <ns0:c r="M993" s="17" t="n"/>
      <ns0:c r="N993" s="17" t="n"/>
      <ns0:c r="O993" s="17" t="n"/>
      <ns0:c r="P993" s="17" t="n"/>
      <ns0:c r="Q993" s="17" t="n"/>
      <ns0:c r="R993" s="17" t="n"/>
      <ns0:c r="S993" s="17" t="n"/>
      <ns0:c r="T993" s="17" t="n"/>
      <ns0:c r="U993" s="17" t="n"/>
      <ns0:c r="V993" s="17" t="n"/>
      <ns0:c r="W993" s="17" t="n"/>
      <ns0:c r="X993" s="17" t="n"/>
      <ns0:c r="Y993" s="17" t="n"/>
      <ns0:c r="Z993" s="17" t="n"/>
      <ns0:c r="AA993" s="17" t="n"/>
      <ns0:c r="AB993" s="17" t="n"/>
      <ns0:c r="AC993" s="17" t="n"/>
      <ns0:c r="AD993" s="17" t="n"/>
      <ns0:c r="AE993" s="17" t="n"/>
      <ns0:c r="AF993" s="17" t="n"/>
      <ns0:c r="AG993" s="17" t="n"/>
    </ns0:row>
    <ns0:row r="994" ht="24" customHeight="1">
      <ns0:c r="D994" s="17" t="n"/>
      <ns0:c r="E994" s="17" t="n"/>
      <ns0:c r="F994" s="17" t="n"/>
      <ns0:c r="G994" s="17" t="n"/>
      <ns0:c r="H994" s="17" t="n"/>
      <ns0:c r="I994" s="17" t="n"/>
      <ns0:c r="J994" s="17" t="n"/>
      <ns0:c r="K994" s="17" t="n"/>
      <ns0:c r="L994" s="17" t="n"/>
      <ns0:c r="M994" s="17" t="n"/>
      <ns0:c r="N994" s="17" t="n"/>
      <ns0:c r="O994" s="17" t="n"/>
      <ns0:c r="P994" s="17" t="n"/>
      <ns0:c r="Q994" s="17" t="n"/>
      <ns0:c r="R994" s="17" t="n"/>
      <ns0:c r="S994" s="17" t="n"/>
      <ns0:c r="T994" s="17" t="n"/>
      <ns0:c r="U994" s="17" t="n"/>
      <ns0:c r="V994" s="17" t="n"/>
      <ns0:c r="W994" s="17" t="n"/>
      <ns0:c r="X994" s="17" t="n"/>
      <ns0:c r="Y994" s="17" t="n"/>
      <ns0:c r="Z994" s="17" t="n"/>
      <ns0:c r="AA994" s="17" t="n"/>
      <ns0:c r="AB994" s="17" t="n"/>
      <ns0:c r="AC994" s="17" t="n"/>
      <ns0:c r="AD994" s="17" t="n"/>
      <ns0:c r="AE994" s="17" t="n"/>
      <ns0:c r="AF994" s="17" t="n"/>
      <ns0:c r="AG994" s="17" t="n"/>
    </ns0:row>
    <ns0:row r="995" ht="24" customHeight="1">
      <ns0:c r="D995" s="17" t="n"/>
      <ns0:c r="E995" s="17" t="n"/>
      <ns0:c r="F995" s="17" t="n"/>
      <ns0:c r="G995" s="17" t="n"/>
      <ns0:c r="H995" s="17" t="n"/>
      <ns0:c r="I995" s="17" t="n"/>
      <ns0:c r="J995" s="17" t="n"/>
      <ns0:c r="K995" s="17" t="n"/>
      <ns0:c r="L995" s="17" t="n"/>
      <ns0:c r="M995" s="17" t="n"/>
      <ns0:c r="N995" s="17" t="n"/>
      <ns0:c r="O995" s="17" t="n"/>
      <ns0:c r="P995" s="17" t="n"/>
      <ns0:c r="Q995" s="17" t="n"/>
      <ns0:c r="R995" s="17" t="n"/>
      <ns0:c r="S995" s="17" t="n"/>
      <ns0:c r="T995" s="17" t="n"/>
      <ns0:c r="U995" s="17" t="n"/>
      <ns0:c r="V995" s="17" t="n"/>
      <ns0:c r="W995" s="17" t="n"/>
      <ns0:c r="X995" s="17" t="n"/>
      <ns0:c r="Y995" s="17" t="n"/>
      <ns0:c r="Z995" s="17" t="n"/>
      <ns0:c r="AA995" s="17" t="n"/>
      <ns0:c r="AB995" s="17" t="n"/>
      <ns0:c r="AC995" s="17" t="n"/>
      <ns0:c r="AD995" s="17" t="n"/>
      <ns0:c r="AE995" s="17" t="n"/>
      <ns0:c r="AF995" s="17" t="n"/>
      <ns0:c r="AG995" s="17" t="n"/>
    </ns0:row>
    <ns0:row r="996" ht="24" customHeight="1">
      <ns0:c r="D996" s="17" t="n"/>
      <ns0:c r="E996" s="17" t="n"/>
      <ns0:c r="F996" s="17" t="n"/>
      <ns0:c r="G996" s="17" t="n"/>
      <ns0:c r="H996" s="17" t="n"/>
      <ns0:c r="I996" s="17" t="n"/>
      <ns0:c r="J996" s="17" t="n"/>
      <ns0:c r="K996" s="17" t="n"/>
      <ns0:c r="L996" s="17" t="n"/>
      <ns0:c r="M996" s="17" t="n"/>
      <ns0:c r="N996" s="17" t="n"/>
      <ns0:c r="O996" s="17" t="n"/>
      <ns0:c r="P996" s="17" t="n"/>
      <ns0:c r="Q996" s="17" t="n"/>
      <ns0:c r="R996" s="17" t="n"/>
      <ns0:c r="S996" s="17" t="n"/>
      <ns0:c r="T996" s="17" t="n"/>
      <ns0:c r="U996" s="17" t="n"/>
      <ns0:c r="V996" s="17" t="n"/>
      <ns0:c r="W996" s="17" t="n"/>
      <ns0:c r="X996" s="17" t="n"/>
      <ns0:c r="Y996" s="17" t="n"/>
      <ns0:c r="Z996" s="17" t="n"/>
      <ns0:c r="AA996" s="17" t="n"/>
      <ns0:c r="AB996" s="17" t="n"/>
      <ns0:c r="AC996" s="17" t="n"/>
      <ns0:c r="AD996" s="17" t="n"/>
      <ns0:c r="AE996" s="17" t="n"/>
      <ns0:c r="AF996" s="17" t="n"/>
      <ns0:c r="AG996" s="17" t="n"/>
    </ns0:row>
    <ns0:row r="997" ht="24" customHeight="1">
      <ns0:c r="D997" s="17" t="n"/>
      <ns0:c r="E997" s="17" t="n"/>
      <ns0:c r="F997" s="17" t="n"/>
      <ns0:c r="G997" s="17" t="n"/>
      <ns0:c r="H997" s="17" t="n"/>
      <ns0:c r="I997" s="17" t="n"/>
      <ns0:c r="J997" s="17" t="n"/>
      <ns0:c r="K997" s="17" t="n"/>
      <ns0:c r="L997" s="17" t="n"/>
      <ns0:c r="M997" s="17" t="n"/>
      <ns0:c r="N997" s="17" t="n"/>
      <ns0:c r="O997" s="17" t="n"/>
      <ns0:c r="P997" s="17" t="n"/>
      <ns0:c r="Q997" s="17" t="n"/>
      <ns0:c r="R997" s="17" t="n"/>
      <ns0:c r="S997" s="17" t="n"/>
      <ns0:c r="T997" s="17" t="n"/>
      <ns0:c r="U997" s="17" t="n"/>
      <ns0:c r="V997" s="17" t="n"/>
      <ns0:c r="W997" s="17" t="n"/>
      <ns0:c r="X997" s="17" t="n"/>
      <ns0:c r="Y997" s="17" t="n"/>
      <ns0:c r="Z997" s="17" t="n"/>
      <ns0:c r="AA997" s="17" t="n"/>
      <ns0:c r="AB997" s="17" t="n"/>
      <ns0:c r="AC997" s="17" t="n"/>
      <ns0:c r="AD997" s="17" t="n"/>
      <ns0:c r="AE997" s="17" t="n"/>
      <ns0:c r="AF997" s="17" t="n"/>
      <ns0:c r="AG997" s="17" t="n"/>
    </ns0:row>
    <ns0:row r="998" ht="24" customHeight="1">
      <ns0:c r="D998" s="17" t="n"/>
      <ns0:c r="E998" s="17" t="n"/>
      <ns0:c r="F998" s="17" t="n"/>
      <ns0:c r="G998" s="17" t="n"/>
      <ns0:c r="H998" s="17" t="n"/>
      <ns0:c r="I998" s="17" t="n"/>
      <ns0:c r="J998" s="17" t="n"/>
      <ns0:c r="K998" s="17" t="n"/>
      <ns0:c r="L998" s="17" t="n"/>
      <ns0:c r="M998" s="17" t="n"/>
      <ns0:c r="N998" s="17" t="n"/>
      <ns0:c r="O998" s="17" t="n"/>
      <ns0:c r="P998" s="17" t="n"/>
      <ns0:c r="Q998" s="17" t="n"/>
      <ns0:c r="R998" s="17" t="n"/>
      <ns0:c r="S998" s="17" t="n"/>
      <ns0:c r="T998" s="17" t="n"/>
      <ns0:c r="U998" s="17" t="n"/>
      <ns0:c r="V998" s="17" t="n"/>
      <ns0:c r="W998" s="17" t="n"/>
      <ns0:c r="X998" s="17" t="n"/>
      <ns0:c r="Y998" s="17" t="n"/>
      <ns0:c r="Z998" s="17" t="n"/>
      <ns0:c r="AA998" s="17" t="n"/>
      <ns0:c r="AB998" s="17" t="n"/>
      <ns0:c r="AC998" s="17" t="n"/>
      <ns0:c r="AD998" s="17" t="n"/>
      <ns0:c r="AE998" s="17" t="n"/>
      <ns0:c r="AF998" s="17" t="n"/>
      <ns0:c r="AG998" s="17" t="n"/>
    </ns0:row>
    <ns0:row r="999" ht="24" customHeight="1">
      <ns0:c r="D999" s="17" t="n"/>
      <ns0:c r="E999" s="17" t="n"/>
      <ns0:c r="F999" s="17" t="n"/>
      <ns0:c r="G999" s="17" t="n"/>
      <ns0:c r="H999" s="17" t="n"/>
      <ns0:c r="I999" s="17" t="n"/>
      <ns0:c r="J999" s="17" t="n"/>
      <ns0:c r="K999" s="17" t="n"/>
      <ns0:c r="L999" s="17" t="n"/>
      <ns0:c r="M999" s="17" t="n"/>
      <ns0:c r="N999" s="17" t="n"/>
      <ns0:c r="O999" s="17" t="n"/>
      <ns0:c r="P999" s="17" t="n"/>
      <ns0:c r="Q999" s="17" t="n"/>
      <ns0:c r="R999" s="17" t="n"/>
      <ns0:c r="S999" s="17" t="n"/>
      <ns0:c r="T999" s="17" t="n"/>
      <ns0:c r="U999" s="17" t="n"/>
      <ns0:c r="V999" s="17" t="n"/>
      <ns0:c r="W999" s="17" t="n"/>
      <ns0:c r="X999" s="17" t="n"/>
      <ns0:c r="Y999" s="17" t="n"/>
      <ns0:c r="Z999" s="17" t="n"/>
      <ns0:c r="AA999" s="17" t="n"/>
      <ns0:c r="AB999" s="17" t="n"/>
      <ns0:c r="AC999" s="17" t="n"/>
      <ns0:c r="AD999" s="17" t="n"/>
      <ns0:c r="AE999" s="17" t="n"/>
      <ns0:c r="AF999" s="17" t="n"/>
      <ns0:c r="AG999" s="17" t="n"/>
    </ns0:row>
    <ns0:row r="1000" ht="24" customHeight="1">
      <ns0:c r="D1000" s="17" t="n"/>
      <ns0:c r="E1000" s="17" t="n"/>
      <ns0:c r="F1000" s="17" t="n"/>
      <ns0:c r="G1000" s="17" t="n"/>
      <ns0:c r="H1000" s="17" t="n"/>
      <ns0:c r="I1000" s="17" t="n"/>
      <ns0:c r="J1000" s="17" t="n"/>
      <ns0:c r="K1000" s="17" t="n"/>
      <ns0:c r="L1000" s="17" t="n"/>
      <ns0:c r="M1000" s="17" t="n"/>
      <ns0:c r="N1000" s="17" t="n"/>
      <ns0:c r="O1000" s="17" t="n"/>
      <ns0:c r="P1000" s="17" t="n"/>
      <ns0:c r="Q1000" s="17" t="n"/>
      <ns0:c r="R1000" s="17" t="n"/>
      <ns0:c r="S1000" s="17" t="n"/>
      <ns0:c r="T1000" s="17" t="n"/>
      <ns0:c r="U1000" s="17" t="n"/>
      <ns0:c r="V1000" s="17" t="n"/>
      <ns0:c r="W1000" s="17" t="n"/>
      <ns0:c r="X1000" s="17" t="n"/>
      <ns0:c r="Y1000" s="17" t="n"/>
      <ns0:c r="Z1000" s="17" t="n"/>
      <ns0:c r="AA1000" s="17" t="n"/>
      <ns0:c r="AB1000" s="17" t="n"/>
      <ns0:c r="AC1000" s="17" t="n"/>
      <ns0:c r="AD1000" s="17" t="n"/>
      <ns0:c r="AE1000" s="17" t="n"/>
      <ns0:c r="AF1000" s="17" t="n"/>
      <ns0:c r="AG1000" s="17" t="n"/>
    </ns0:row>
    <ns0:row r="1001" ht="24" customHeight="1">
      <ns0:c r="D1001" s="17" t="n"/>
      <ns0:c r="E1001" s="17" t="n"/>
      <ns0:c r="F1001" s="17" t="n"/>
      <ns0:c r="G1001" s="17" t="n"/>
      <ns0:c r="H1001" s="17" t="n"/>
      <ns0:c r="I1001" s="17" t="n"/>
      <ns0:c r="J1001" s="17" t="n"/>
      <ns0:c r="K1001" s="17" t="n"/>
      <ns0:c r="L1001" s="17" t="n"/>
      <ns0:c r="M1001" s="17" t="n"/>
      <ns0:c r="N1001" s="17" t="n"/>
      <ns0:c r="O1001" s="17" t="n"/>
      <ns0:c r="P1001" s="17" t="n"/>
      <ns0:c r="Q1001" s="17" t="n"/>
      <ns0:c r="R1001" s="17" t="n"/>
      <ns0:c r="S1001" s="17" t="n"/>
      <ns0:c r="T1001" s="17" t="n"/>
      <ns0:c r="U1001" s="17" t="n"/>
      <ns0:c r="V1001" s="17" t="n"/>
      <ns0:c r="W1001" s="17" t="n"/>
      <ns0:c r="X1001" s="17" t="n"/>
      <ns0:c r="Y1001" s="17" t="n"/>
      <ns0:c r="Z1001" s="17" t="n"/>
      <ns0:c r="AA1001" s="17" t="n"/>
      <ns0:c r="AB1001" s="17" t="n"/>
      <ns0:c r="AC1001" s="17" t="n"/>
      <ns0:c r="AD1001" s="17" t="n"/>
      <ns0:c r="AE1001" s="17" t="n"/>
      <ns0:c r="AF1001" s="17" t="n"/>
      <ns0:c r="AG1001" s="17" t="n"/>
    </ns0:row>
    <ns0:row r="1002" ht="24" customHeight="1">
      <ns0:c r="D1002" s="17" t="n"/>
      <ns0:c r="E1002" s="17" t="n"/>
      <ns0:c r="F1002" s="17" t="n"/>
      <ns0:c r="G1002" s="17" t="n"/>
      <ns0:c r="H1002" s="17" t="n"/>
      <ns0:c r="I1002" s="17" t="n"/>
      <ns0:c r="J1002" s="17" t="n"/>
      <ns0:c r="K1002" s="17" t="n"/>
      <ns0:c r="L1002" s="17" t="n"/>
      <ns0:c r="M1002" s="17" t="n"/>
      <ns0:c r="N1002" s="17" t="n"/>
      <ns0:c r="O1002" s="17" t="n"/>
      <ns0:c r="P1002" s="17" t="n"/>
      <ns0:c r="Q1002" s="17" t="n"/>
      <ns0:c r="R1002" s="17" t="n"/>
      <ns0:c r="S1002" s="17" t="n"/>
      <ns0:c r="T1002" s="17" t="n"/>
      <ns0:c r="U1002" s="17" t="n"/>
      <ns0:c r="V1002" s="17" t="n"/>
      <ns0:c r="W1002" s="17" t="n"/>
      <ns0:c r="X1002" s="17" t="n"/>
      <ns0:c r="Y1002" s="17" t="n"/>
      <ns0:c r="Z1002" s="17" t="n"/>
      <ns0:c r="AA1002" s="17" t="n"/>
      <ns0:c r="AB1002" s="17" t="n"/>
      <ns0:c r="AC1002" s="17" t="n"/>
      <ns0:c r="AD1002" s="17" t="n"/>
      <ns0:c r="AE1002" s="17" t="n"/>
      <ns0:c r="AF1002" s="17" t="n"/>
      <ns0:c r="AG1002" s="17" t="n"/>
    </ns0:row>
    <ns0:row r="1003" ht="24" customHeight="1">
      <ns0:c r="D1003" s="17" t="n"/>
      <ns0:c r="E1003" s="17" t="n"/>
      <ns0:c r="F1003" s="17" t="n"/>
      <ns0:c r="G1003" s="17" t="n"/>
      <ns0:c r="H1003" s="17" t="n"/>
      <ns0:c r="I1003" s="17" t="n"/>
      <ns0:c r="J1003" s="17" t="n"/>
      <ns0:c r="K1003" s="17" t="n"/>
      <ns0:c r="L1003" s="17" t="n"/>
      <ns0:c r="M1003" s="17" t="n"/>
      <ns0:c r="N1003" s="17" t="n"/>
      <ns0:c r="O1003" s="17" t="n"/>
      <ns0:c r="P1003" s="17" t="n"/>
      <ns0:c r="Q1003" s="17" t="n"/>
      <ns0:c r="R1003" s="17" t="n"/>
      <ns0:c r="S1003" s="17" t="n"/>
      <ns0:c r="T1003" s="17" t="n"/>
      <ns0:c r="U1003" s="17" t="n"/>
      <ns0:c r="V1003" s="17" t="n"/>
      <ns0:c r="W1003" s="17" t="n"/>
      <ns0:c r="X1003" s="17" t="n"/>
      <ns0:c r="Y1003" s="17" t="n"/>
      <ns0:c r="Z1003" s="17" t="n"/>
      <ns0:c r="AA1003" s="17" t="n"/>
      <ns0:c r="AB1003" s="17" t="n"/>
      <ns0:c r="AC1003" s="17" t="n"/>
      <ns0:c r="AD1003" s="17" t="n"/>
      <ns0:c r="AE1003" s="17" t="n"/>
      <ns0:c r="AF1003" s="17" t="n"/>
      <ns0:c r="AG1003" s="17" t="n"/>
    </ns0:row>
    <ns0:row r="1004" ht="24" customHeight="1">
      <ns0:c r="D1004" s="17" t="n"/>
      <ns0:c r="E1004" s="17" t="n"/>
      <ns0:c r="F1004" s="17" t="n"/>
      <ns0:c r="G1004" s="17" t="n"/>
      <ns0:c r="H1004" s="17" t="n"/>
      <ns0:c r="I1004" s="17" t="n"/>
      <ns0:c r="J1004" s="17" t="n"/>
      <ns0:c r="K1004" s="17" t="n"/>
      <ns0:c r="L1004" s="17" t="n"/>
      <ns0:c r="M1004" s="17" t="n"/>
      <ns0:c r="N1004" s="17" t="n"/>
      <ns0:c r="O1004" s="17" t="n"/>
      <ns0:c r="P1004" s="17" t="n"/>
      <ns0:c r="Q1004" s="17" t="n"/>
      <ns0:c r="R1004" s="17" t="n"/>
      <ns0:c r="S1004" s="17" t="n"/>
      <ns0:c r="T1004" s="17" t="n"/>
      <ns0:c r="U1004" s="17" t="n"/>
      <ns0:c r="V1004" s="17" t="n"/>
      <ns0:c r="W1004" s="17" t="n"/>
      <ns0:c r="X1004" s="17" t="n"/>
      <ns0:c r="Y1004" s="17" t="n"/>
      <ns0:c r="Z1004" s="17" t="n"/>
      <ns0:c r="AA1004" s="17" t="n"/>
      <ns0:c r="AB1004" s="17" t="n"/>
      <ns0:c r="AC1004" s="17" t="n"/>
      <ns0:c r="AD1004" s="17" t="n"/>
      <ns0:c r="AE1004" s="17" t="n"/>
      <ns0:c r="AF1004" s="17" t="n"/>
      <ns0:c r="AG1004" s="17" t="n"/>
    </ns0:row>
    <ns0:row r="1005" ht="24" customHeight="1">
      <ns0:c r="D1005" s="17" t="n"/>
      <ns0:c r="E1005" s="17" t="n"/>
      <ns0:c r="F1005" s="17" t="n"/>
      <ns0:c r="G1005" s="17" t="n"/>
      <ns0:c r="H1005" s="17" t="n"/>
      <ns0:c r="I1005" s="17" t="n"/>
      <ns0:c r="J1005" s="17" t="n"/>
      <ns0:c r="K1005" s="17" t="n"/>
      <ns0:c r="L1005" s="17" t="n"/>
      <ns0:c r="M1005" s="17" t="n"/>
      <ns0:c r="N1005" s="17" t="n"/>
      <ns0:c r="O1005" s="17" t="n"/>
      <ns0:c r="P1005" s="17" t="n"/>
      <ns0:c r="Q1005" s="17" t="n"/>
      <ns0:c r="R1005" s="17" t="n"/>
      <ns0:c r="S1005" s="17" t="n"/>
      <ns0:c r="T1005" s="17" t="n"/>
      <ns0:c r="U1005" s="17" t="n"/>
      <ns0:c r="V1005" s="17" t="n"/>
      <ns0:c r="W1005" s="17" t="n"/>
      <ns0:c r="X1005" s="17" t="n"/>
      <ns0:c r="Y1005" s="17" t="n"/>
      <ns0:c r="Z1005" s="17" t="n"/>
      <ns0:c r="AA1005" s="17" t="n"/>
      <ns0:c r="AB1005" s="17" t="n"/>
      <ns0:c r="AC1005" s="17" t="n"/>
      <ns0:c r="AD1005" s="17" t="n"/>
      <ns0:c r="AE1005" s="17" t="n"/>
      <ns0:c r="AF1005" s="17" t="n"/>
      <ns0:c r="AG1005" s="17" t="n"/>
    </ns0:row>
    <ns0:row r="1006" ht="24" customHeight="1">
      <ns0:c r="D1006" s="17" t="n"/>
      <ns0:c r="E1006" s="17" t="n"/>
      <ns0:c r="F1006" s="17" t="n"/>
      <ns0:c r="G1006" s="17" t="n"/>
      <ns0:c r="H1006" s="17" t="n"/>
      <ns0:c r="I1006" s="17" t="n"/>
      <ns0:c r="J1006" s="17" t="n"/>
      <ns0:c r="K1006" s="17" t="n"/>
      <ns0:c r="L1006" s="17" t="n"/>
      <ns0:c r="M1006" s="17" t="n"/>
      <ns0:c r="N1006" s="17" t="n"/>
      <ns0:c r="O1006" s="17" t="n"/>
      <ns0:c r="P1006" s="17" t="n"/>
      <ns0:c r="Q1006" s="17" t="n"/>
      <ns0:c r="R1006" s="17" t="n"/>
      <ns0:c r="S1006" s="17" t="n"/>
      <ns0:c r="T1006" s="17" t="n"/>
      <ns0:c r="U1006" s="17" t="n"/>
      <ns0:c r="V1006" s="17" t="n"/>
      <ns0:c r="W1006" s="17" t="n"/>
      <ns0:c r="X1006" s="17" t="n"/>
      <ns0:c r="Y1006" s="17" t="n"/>
      <ns0:c r="Z1006" s="17" t="n"/>
      <ns0:c r="AA1006" s="17" t="n"/>
      <ns0:c r="AB1006" s="17" t="n"/>
      <ns0:c r="AC1006" s="17" t="n"/>
      <ns0:c r="AD1006" s="17" t="n"/>
      <ns0:c r="AE1006" s="17" t="n"/>
      <ns0:c r="AF1006" s="17" t="n"/>
      <ns0:c r="AG1006" s="17" t="n"/>
    </ns0:row>
    <ns0:row r="1007" ht="24" customHeight="1">
      <ns0:c r="D1007" s="17" t="n"/>
      <ns0:c r="E1007" s="17" t="n"/>
      <ns0:c r="F1007" s="17" t="n"/>
      <ns0:c r="G1007" s="17" t="n"/>
      <ns0:c r="H1007" s="17" t="n"/>
      <ns0:c r="I1007" s="17" t="n"/>
      <ns0:c r="J1007" s="17" t="n"/>
      <ns0:c r="K1007" s="17" t="n"/>
      <ns0:c r="L1007" s="17" t="n"/>
      <ns0:c r="M1007" s="17" t="n"/>
      <ns0:c r="N1007" s="17" t="n"/>
      <ns0:c r="O1007" s="17" t="n"/>
      <ns0:c r="P1007" s="17" t="n"/>
      <ns0:c r="Q1007" s="17" t="n"/>
      <ns0:c r="R1007" s="17" t="n"/>
      <ns0:c r="S1007" s="17" t="n"/>
      <ns0:c r="T1007" s="17" t="n"/>
      <ns0:c r="U1007" s="17" t="n"/>
      <ns0:c r="V1007" s="17" t="n"/>
      <ns0:c r="W1007" s="17" t="n"/>
      <ns0:c r="X1007" s="17" t="n"/>
      <ns0:c r="Y1007" s="17" t="n"/>
      <ns0:c r="Z1007" s="17" t="n"/>
      <ns0:c r="AA1007" s="17" t="n"/>
      <ns0:c r="AB1007" s="17" t="n"/>
      <ns0:c r="AC1007" s="17" t="n"/>
      <ns0:c r="AD1007" s="17" t="n"/>
      <ns0:c r="AE1007" s="17" t="n"/>
      <ns0:c r="AF1007" s="17" t="n"/>
      <ns0:c r="AG1007" s="17" t="n"/>
    </ns0:row>
    <ns0:row r="1008" ht="24" customHeight="1">
      <ns0:c r="D1008" s="17" t="n"/>
      <ns0:c r="E1008" s="17" t="n"/>
      <ns0:c r="F1008" s="17" t="n"/>
      <ns0:c r="G1008" s="17" t="n"/>
      <ns0:c r="H1008" s="17" t="n"/>
      <ns0:c r="I1008" s="17" t="n"/>
      <ns0:c r="J1008" s="17" t="n"/>
      <ns0:c r="K1008" s="17" t="n"/>
      <ns0:c r="L1008" s="17" t="n"/>
      <ns0:c r="M1008" s="17" t="n"/>
      <ns0:c r="N1008" s="17" t="n"/>
      <ns0:c r="O1008" s="17" t="n"/>
      <ns0:c r="P1008" s="17" t="n"/>
      <ns0:c r="Q1008" s="17" t="n"/>
      <ns0:c r="R1008" s="17" t="n"/>
      <ns0:c r="S1008" s="17" t="n"/>
      <ns0:c r="T1008" s="17" t="n"/>
      <ns0:c r="U1008" s="17" t="n"/>
      <ns0:c r="V1008" s="17" t="n"/>
      <ns0:c r="W1008" s="17" t="n"/>
      <ns0:c r="X1008" s="17" t="n"/>
      <ns0:c r="Y1008" s="17" t="n"/>
      <ns0:c r="Z1008" s="17" t="n"/>
      <ns0:c r="AA1008" s="17" t="n"/>
      <ns0:c r="AB1008" s="17" t="n"/>
      <ns0:c r="AC1008" s="17" t="n"/>
      <ns0:c r="AD1008" s="17" t="n"/>
      <ns0:c r="AE1008" s="17" t="n"/>
      <ns0:c r="AF1008" s="17" t="n"/>
      <ns0:c r="AG1008" s="17" t="n"/>
    </ns0:row>
    <ns0:row r="1009" ht="24" customHeight="1">
      <ns0:c r="D1009" s="17" t="n"/>
      <ns0:c r="E1009" s="17" t="n"/>
      <ns0:c r="F1009" s="17" t="n"/>
      <ns0:c r="G1009" s="17" t="n"/>
      <ns0:c r="H1009" s="17" t="n"/>
      <ns0:c r="I1009" s="17" t="n"/>
      <ns0:c r="J1009" s="17" t="n"/>
      <ns0:c r="K1009" s="17" t="n"/>
      <ns0:c r="L1009" s="17" t="n"/>
      <ns0:c r="M1009" s="17" t="n"/>
      <ns0:c r="N1009" s="17" t="n"/>
      <ns0:c r="O1009" s="17" t="n"/>
      <ns0:c r="P1009" s="17" t="n"/>
      <ns0:c r="Q1009" s="17" t="n"/>
      <ns0:c r="R1009" s="17" t="n"/>
      <ns0:c r="S1009" s="17" t="n"/>
      <ns0:c r="T1009" s="17" t="n"/>
      <ns0:c r="U1009" s="17" t="n"/>
      <ns0:c r="V1009" s="17" t="n"/>
      <ns0:c r="W1009" s="17" t="n"/>
      <ns0:c r="X1009" s="17" t="n"/>
      <ns0:c r="Y1009" s="17" t="n"/>
      <ns0:c r="Z1009" s="17" t="n"/>
      <ns0:c r="AA1009" s="17" t="n"/>
      <ns0:c r="AB1009" s="17" t="n"/>
      <ns0:c r="AC1009" s="17" t="n"/>
      <ns0:c r="AD1009" s="17" t="n"/>
      <ns0:c r="AE1009" s="17" t="n"/>
      <ns0:c r="AF1009" s="17" t="n"/>
      <ns0:c r="AG1009" s="17" t="n"/>
    </ns0:row>
    <ns0:row r="1010" ht="24" customHeight="1">
      <ns0:c r="D1010" s="17" t="n"/>
      <ns0:c r="E1010" s="17" t="n"/>
      <ns0:c r="F1010" s="17" t="n"/>
      <ns0:c r="G1010" s="17" t="n"/>
      <ns0:c r="H1010" s="17" t="n"/>
      <ns0:c r="I1010" s="17" t="n"/>
      <ns0:c r="J1010" s="17" t="n"/>
      <ns0:c r="K1010" s="17" t="n"/>
      <ns0:c r="L1010" s="17" t="n"/>
      <ns0:c r="M1010" s="17" t="n"/>
      <ns0:c r="N1010" s="17" t="n"/>
      <ns0:c r="O1010" s="17" t="n"/>
      <ns0:c r="P1010" s="17" t="n"/>
      <ns0:c r="Q1010" s="17" t="n"/>
      <ns0:c r="R1010" s="17" t="n"/>
      <ns0:c r="S1010" s="17" t="n"/>
      <ns0:c r="T1010" s="17" t="n"/>
      <ns0:c r="U1010" s="17" t="n"/>
      <ns0:c r="V1010" s="17" t="n"/>
      <ns0:c r="W1010" s="17" t="n"/>
      <ns0:c r="X1010" s="17" t="n"/>
      <ns0:c r="Y1010" s="17" t="n"/>
      <ns0:c r="Z1010" s="17" t="n"/>
      <ns0:c r="AA1010" s="17" t="n"/>
      <ns0:c r="AB1010" s="17" t="n"/>
      <ns0:c r="AC1010" s="17" t="n"/>
      <ns0:c r="AD1010" s="17" t="n"/>
      <ns0:c r="AE1010" s="17" t="n"/>
      <ns0:c r="AF1010" s="17" t="n"/>
      <ns0:c r="AG1010" s="17" t="n"/>
    </ns0:row>
    <ns0:row r="1011" ht="24" customHeight="1">
      <ns0:c r="D1011" s="17" t="n"/>
      <ns0:c r="E1011" s="17" t="n"/>
      <ns0:c r="F1011" s="17" t="n"/>
      <ns0:c r="G1011" s="17" t="n"/>
      <ns0:c r="H1011" s="17" t="n"/>
      <ns0:c r="I1011" s="17" t="n"/>
      <ns0:c r="J1011" s="17" t="n"/>
      <ns0:c r="K1011" s="17" t="n"/>
      <ns0:c r="L1011" s="17" t="n"/>
      <ns0:c r="M1011" s="17" t="n"/>
      <ns0:c r="N1011" s="17" t="n"/>
      <ns0:c r="O1011" s="17" t="n"/>
      <ns0:c r="P1011" s="17" t="n"/>
      <ns0:c r="Q1011" s="17" t="n"/>
      <ns0:c r="R1011" s="17" t="n"/>
      <ns0:c r="S1011" s="17" t="n"/>
      <ns0:c r="T1011" s="17" t="n"/>
      <ns0:c r="U1011" s="17" t="n"/>
      <ns0:c r="V1011" s="17" t="n"/>
      <ns0:c r="W1011" s="17" t="n"/>
      <ns0:c r="X1011" s="17" t="n"/>
      <ns0:c r="Y1011" s="17" t="n"/>
      <ns0:c r="Z1011" s="17" t="n"/>
      <ns0:c r="AA1011" s="17" t="n"/>
      <ns0:c r="AB1011" s="17" t="n"/>
      <ns0:c r="AC1011" s="17" t="n"/>
      <ns0:c r="AD1011" s="17" t="n"/>
      <ns0:c r="AE1011" s="17" t="n"/>
      <ns0:c r="AF1011" s="17" t="n"/>
      <ns0:c r="AG1011" s="17" t="n"/>
    </ns0:row>
    <ns0:row r="1012" ht="24" customHeight="1">
      <ns0:c r="D1012" s="17" t="n"/>
      <ns0:c r="E1012" s="17" t="n"/>
      <ns0:c r="F1012" s="17" t="n"/>
      <ns0:c r="G1012" s="17" t="n"/>
      <ns0:c r="H1012" s="17" t="n"/>
      <ns0:c r="I1012" s="17" t="n"/>
      <ns0:c r="J1012" s="17" t="n"/>
      <ns0:c r="K1012" s="17" t="n"/>
      <ns0:c r="L1012" s="17" t="n"/>
      <ns0:c r="M1012" s="17" t="n"/>
      <ns0:c r="N1012" s="17" t="n"/>
      <ns0:c r="O1012" s="17" t="n"/>
      <ns0:c r="P1012" s="17" t="n"/>
      <ns0:c r="Q1012" s="17" t="n"/>
      <ns0:c r="R1012" s="17" t="n"/>
      <ns0:c r="S1012" s="17" t="n"/>
      <ns0:c r="T1012" s="17" t="n"/>
      <ns0:c r="U1012" s="17" t="n"/>
      <ns0:c r="V1012" s="17" t="n"/>
      <ns0:c r="W1012" s="17" t="n"/>
      <ns0:c r="X1012" s="17" t="n"/>
      <ns0:c r="Y1012" s="17" t="n"/>
      <ns0:c r="Z1012" s="17" t="n"/>
      <ns0:c r="AA1012" s="17" t="n"/>
      <ns0:c r="AB1012" s="17" t="n"/>
      <ns0:c r="AC1012" s="17" t="n"/>
      <ns0:c r="AD1012" s="17" t="n"/>
      <ns0:c r="AE1012" s="17" t="n"/>
      <ns0:c r="AF1012" s="17" t="n"/>
      <ns0:c r="AG1012" s="17" t="n"/>
    </ns0:row>
    <ns0:row r="1013" ht="24" customHeight="1">
      <ns0:c r="D1013" s="17" t="n"/>
      <ns0:c r="E1013" s="17" t="n"/>
      <ns0:c r="F1013" s="17" t="n"/>
      <ns0:c r="G1013" s="17" t="n"/>
      <ns0:c r="H1013" s="17" t="n"/>
      <ns0:c r="I1013" s="17" t="n"/>
      <ns0:c r="J1013" s="17" t="n"/>
      <ns0:c r="K1013" s="17" t="n"/>
      <ns0:c r="L1013" s="17" t="n"/>
      <ns0:c r="M1013" s="17" t="n"/>
      <ns0:c r="N1013" s="17" t="n"/>
      <ns0:c r="O1013" s="17" t="n"/>
      <ns0:c r="P1013" s="17" t="n"/>
      <ns0:c r="Q1013" s="17" t="n"/>
      <ns0:c r="R1013" s="17" t="n"/>
      <ns0:c r="S1013" s="17" t="n"/>
      <ns0:c r="T1013" s="17" t="n"/>
      <ns0:c r="U1013" s="17" t="n"/>
      <ns0:c r="V1013" s="17" t="n"/>
      <ns0:c r="W1013" s="17" t="n"/>
      <ns0:c r="X1013" s="17" t="n"/>
      <ns0:c r="Y1013" s="17" t="n"/>
      <ns0:c r="Z1013" s="17" t="n"/>
      <ns0:c r="AA1013" s="17" t="n"/>
      <ns0:c r="AB1013" s="17" t="n"/>
      <ns0:c r="AC1013" s="17" t="n"/>
      <ns0:c r="AD1013" s="17" t="n"/>
      <ns0:c r="AE1013" s="17" t="n"/>
      <ns0:c r="AF1013" s="17" t="n"/>
      <ns0:c r="AG1013" s="17" t="n"/>
    </ns0:row>
    <ns0:row r="1014" ht="24" customHeight="1">
      <ns0:c r="D1014" s="17" t="n"/>
      <ns0:c r="E1014" s="17" t="n"/>
      <ns0:c r="F1014" s="17" t="n"/>
      <ns0:c r="G1014" s="17" t="n"/>
      <ns0:c r="H1014" s="17" t="n"/>
      <ns0:c r="I1014" s="17" t="n"/>
      <ns0:c r="J1014" s="17" t="n"/>
      <ns0:c r="K1014" s="17" t="n"/>
      <ns0:c r="L1014" s="17" t="n"/>
      <ns0:c r="M1014" s="17" t="n"/>
      <ns0:c r="N1014" s="17" t="n"/>
      <ns0:c r="O1014" s="17" t="n"/>
      <ns0:c r="P1014" s="17" t="n"/>
      <ns0:c r="Q1014" s="17" t="n"/>
      <ns0:c r="R1014" s="17" t="n"/>
      <ns0:c r="S1014" s="17" t="n"/>
      <ns0:c r="T1014" s="17" t="n"/>
      <ns0:c r="U1014" s="17" t="n"/>
      <ns0:c r="V1014" s="17" t="n"/>
      <ns0:c r="W1014" s="17" t="n"/>
      <ns0:c r="X1014" s="17" t="n"/>
      <ns0:c r="Y1014" s="17" t="n"/>
      <ns0:c r="Z1014" s="17" t="n"/>
      <ns0:c r="AA1014" s="17" t="n"/>
      <ns0:c r="AB1014" s="17" t="n"/>
      <ns0:c r="AC1014" s="17" t="n"/>
      <ns0:c r="AD1014" s="17" t="n"/>
      <ns0:c r="AE1014" s="17" t="n"/>
      <ns0:c r="AF1014" s="17" t="n"/>
      <ns0:c r="AG1014" s="17" t="n"/>
    </ns0:row>
    <ns0:row r="1015" ht="24" customHeight="1">
      <ns0:c r="D1015" s="17" t="n"/>
      <ns0:c r="E1015" s="17" t="n"/>
      <ns0:c r="F1015" s="17" t="n"/>
      <ns0:c r="G1015" s="17" t="n"/>
      <ns0:c r="H1015" s="17" t="n"/>
      <ns0:c r="I1015" s="17" t="n"/>
      <ns0:c r="J1015" s="17" t="n"/>
      <ns0:c r="K1015" s="17" t="n"/>
      <ns0:c r="L1015" s="17" t="n"/>
      <ns0:c r="M1015" s="17" t="n"/>
      <ns0:c r="N1015" s="17" t="n"/>
      <ns0:c r="O1015" s="17" t="n"/>
      <ns0:c r="P1015" s="17" t="n"/>
      <ns0:c r="Q1015" s="17" t="n"/>
      <ns0:c r="R1015" s="17" t="n"/>
      <ns0:c r="S1015" s="17" t="n"/>
      <ns0:c r="T1015" s="17" t="n"/>
      <ns0:c r="U1015" s="17" t="n"/>
      <ns0:c r="V1015" s="17" t="n"/>
      <ns0:c r="W1015" s="17" t="n"/>
      <ns0:c r="X1015" s="17" t="n"/>
      <ns0:c r="Y1015" s="17" t="n"/>
      <ns0:c r="Z1015" s="17" t="n"/>
      <ns0:c r="AA1015" s="17" t="n"/>
      <ns0:c r="AB1015" s="17" t="n"/>
      <ns0:c r="AC1015" s="17" t="n"/>
      <ns0:c r="AD1015" s="17" t="n"/>
      <ns0:c r="AE1015" s="17" t="n"/>
      <ns0:c r="AF1015" s="17" t="n"/>
      <ns0:c r="AG1015" s="17" t="n"/>
    </ns0:row>
    <ns0:row r="1016" ht="24" customHeight="1">
      <ns0:c r="D1016" s="17" t="n"/>
      <ns0:c r="E1016" s="17" t="n"/>
      <ns0:c r="F1016" s="17" t="n"/>
      <ns0:c r="G1016" s="17" t="n"/>
      <ns0:c r="H1016" s="17" t="n"/>
      <ns0:c r="I1016" s="17" t="n"/>
      <ns0:c r="J1016" s="17" t="n"/>
      <ns0:c r="K1016" s="17" t="n"/>
      <ns0:c r="L1016" s="17" t="n"/>
      <ns0:c r="M1016" s="17" t="n"/>
      <ns0:c r="N1016" s="17" t="n"/>
      <ns0:c r="O1016" s="17" t="n"/>
      <ns0:c r="P1016" s="17" t="n"/>
      <ns0:c r="Q1016" s="17" t="n"/>
      <ns0:c r="R1016" s="17" t="n"/>
      <ns0:c r="S1016" s="17" t="n"/>
      <ns0:c r="T1016" s="17" t="n"/>
      <ns0:c r="U1016" s="17" t="n"/>
      <ns0:c r="V1016" s="17" t="n"/>
      <ns0:c r="W1016" s="17" t="n"/>
      <ns0:c r="X1016" s="17" t="n"/>
      <ns0:c r="Y1016" s="17" t="n"/>
      <ns0:c r="Z1016" s="17" t="n"/>
      <ns0:c r="AA1016" s="17" t="n"/>
      <ns0:c r="AB1016" s="17" t="n"/>
      <ns0:c r="AC1016" s="17" t="n"/>
      <ns0:c r="AD1016" s="17" t="n"/>
      <ns0:c r="AE1016" s="17" t="n"/>
      <ns0:c r="AF1016" s="17" t="n"/>
      <ns0:c r="AG1016" s="17" t="n"/>
    </ns0:row>
    <ns0:row r="1017" ht="24" customHeight="1">
      <ns0:c r="D1017" s="17" t="n"/>
      <ns0:c r="E1017" s="17" t="n"/>
      <ns0:c r="F1017" s="17" t="n"/>
      <ns0:c r="G1017" s="17" t="n"/>
      <ns0:c r="H1017" s="17" t="n"/>
      <ns0:c r="I1017" s="17" t="n"/>
      <ns0:c r="J1017" s="17" t="n"/>
      <ns0:c r="K1017" s="17" t="n"/>
      <ns0:c r="L1017" s="17" t="n"/>
      <ns0:c r="M1017" s="17" t="n"/>
      <ns0:c r="N1017" s="17" t="n"/>
      <ns0:c r="O1017" s="17" t="n"/>
      <ns0:c r="P1017" s="17" t="n"/>
      <ns0:c r="Q1017" s="17" t="n"/>
      <ns0:c r="R1017" s="17" t="n"/>
      <ns0:c r="S1017" s="17" t="n"/>
      <ns0:c r="T1017" s="17" t="n"/>
      <ns0:c r="U1017" s="17" t="n"/>
      <ns0:c r="V1017" s="17" t="n"/>
      <ns0:c r="W1017" s="17" t="n"/>
      <ns0:c r="X1017" s="17" t="n"/>
      <ns0:c r="Y1017" s="17" t="n"/>
      <ns0:c r="Z1017" s="17" t="n"/>
      <ns0:c r="AA1017" s="17" t="n"/>
      <ns0:c r="AB1017" s="17" t="n"/>
      <ns0:c r="AC1017" s="17" t="n"/>
      <ns0:c r="AD1017" s="17" t="n"/>
      <ns0:c r="AE1017" s="17" t="n"/>
      <ns0:c r="AF1017" s="17" t="n"/>
      <ns0:c r="AG1017" s="17" t="n"/>
    </ns0:row>
    <ns0:row r="1018" ht="24" customHeight="1">
      <ns0:c r="D1018" s="17" t="n"/>
      <ns0:c r="E1018" s="17" t="n"/>
      <ns0:c r="F1018" s="17" t="n"/>
      <ns0:c r="G1018" s="17" t="n"/>
      <ns0:c r="H1018" s="17" t="n"/>
      <ns0:c r="I1018" s="17" t="n"/>
      <ns0:c r="J1018" s="17" t="n"/>
      <ns0:c r="K1018" s="17" t="n"/>
      <ns0:c r="L1018" s="17" t="n"/>
      <ns0:c r="M1018" s="17" t="n"/>
      <ns0:c r="N1018" s="17" t="n"/>
      <ns0:c r="O1018" s="17" t="n"/>
      <ns0:c r="P1018" s="17" t="n"/>
      <ns0:c r="Q1018" s="17" t="n"/>
      <ns0:c r="R1018" s="17" t="n"/>
      <ns0:c r="S1018" s="17" t="n"/>
      <ns0:c r="T1018" s="17" t="n"/>
      <ns0:c r="U1018" s="17" t="n"/>
      <ns0:c r="V1018" s="17" t="n"/>
      <ns0:c r="W1018" s="17" t="n"/>
      <ns0:c r="X1018" s="17" t="n"/>
      <ns0:c r="Y1018" s="17" t="n"/>
      <ns0:c r="Z1018" s="17" t="n"/>
      <ns0:c r="AA1018" s="17" t="n"/>
      <ns0:c r="AB1018" s="17" t="n"/>
      <ns0:c r="AC1018" s="17" t="n"/>
      <ns0:c r="AD1018" s="17" t="n"/>
      <ns0:c r="AE1018" s="17" t="n"/>
      <ns0:c r="AF1018" s="17" t="n"/>
      <ns0:c r="AG1018" s="17" t="n"/>
    </ns0:row>
    <ns0:row r="1019" ht="24" customHeight="1">
      <ns0:c r="D1019" s="17" t="n"/>
      <ns0:c r="E1019" s="17" t="n"/>
      <ns0:c r="F1019" s="17" t="n"/>
      <ns0:c r="G1019" s="17" t="n"/>
      <ns0:c r="H1019" s="17" t="n"/>
      <ns0:c r="I1019" s="17" t="n"/>
      <ns0:c r="J1019" s="17" t="n"/>
      <ns0:c r="K1019" s="17" t="n"/>
      <ns0:c r="L1019" s="17" t="n"/>
      <ns0:c r="M1019" s="17" t="n"/>
      <ns0:c r="N1019" s="17" t="n"/>
      <ns0:c r="O1019" s="17" t="n"/>
      <ns0:c r="P1019" s="17" t="n"/>
      <ns0:c r="Q1019" s="17" t="n"/>
      <ns0:c r="R1019" s="17" t="n"/>
      <ns0:c r="S1019" s="17" t="n"/>
      <ns0:c r="T1019" s="17" t="n"/>
      <ns0:c r="U1019" s="17" t="n"/>
      <ns0:c r="V1019" s="17" t="n"/>
      <ns0:c r="W1019" s="17" t="n"/>
      <ns0:c r="X1019" s="17" t="n"/>
      <ns0:c r="Y1019" s="17" t="n"/>
      <ns0:c r="Z1019" s="17" t="n"/>
      <ns0:c r="AA1019" s="17" t="n"/>
      <ns0:c r="AB1019" s="17" t="n"/>
      <ns0:c r="AC1019" s="17" t="n"/>
      <ns0:c r="AD1019" s="17" t="n"/>
      <ns0:c r="AE1019" s="17" t="n"/>
      <ns0:c r="AF1019" s="17" t="n"/>
      <ns0:c r="AG1019" s="17" t="n"/>
    </ns0:row>
    <ns0:row r="1020" ht="24" customHeight="1">
      <ns0:c r="D1020" s="17" t="n"/>
      <ns0:c r="E1020" s="17" t="n"/>
      <ns0:c r="F1020" s="17" t="n"/>
      <ns0:c r="G1020" s="17" t="n"/>
      <ns0:c r="H1020" s="17" t="n"/>
      <ns0:c r="I1020" s="17" t="n"/>
      <ns0:c r="J1020" s="17" t="n"/>
      <ns0:c r="K1020" s="17" t="n"/>
      <ns0:c r="L1020" s="17" t="n"/>
      <ns0:c r="M1020" s="17" t="n"/>
      <ns0:c r="N1020" s="17" t="n"/>
      <ns0:c r="O1020" s="17" t="n"/>
      <ns0:c r="P1020" s="17" t="n"/>
      <ns0:c r="Q1020" s="17" t="n"/>
      <ns0:c r="R1020" s="17" t="n"/>
      <ns0:c r="S1020" s="17" t="n"/>
      <ns0:c r="T1020" s="17" t="n"/>
      <ns0:c r="U1020" s="17" t="n"/>
      <ns0:c r="V1020" s="17" t="n"/>
      <ns0:c r="W1020" s="17" t="n"/>
      <ns0:c r="X1020" s="17" t="n"/>
      <ns0:c r="Y1020" s="17" t="n"/>
      <ns0:c r="Z1020" s="17" t="n"/>
      <ns0:c r="AA1020" s="17" t="n"/>
      <ns0:c r="AB1020" s="17" t="n"/>
      <ns0:c r="AC1020" s="17" t="n"/>
      <ns0:c r="AD1020" s="17" t="n"/>
      <ns0:c r="AE1020" s="17" t="n"/>
      <ns0:c r="AF1020" s="17" t="n"/>
      <ns0:c r="AG1020" s="17" t="n"/>
    </ns0:row>
    <ns0:row r="1021" ht="24" customHeight="1">
      <ns0:c r="D1021" s="17" t="n"/>
      <ns0:c r="E1021" s="17" t="n"/>
      <ns0:c r="F1021" s="17" t="n"/>
      <ns0:c r="G1021" s="17" t="n"/>
      <ns0:c r="H1021" s="17" t="n"/>
      <ns0:c r="I1021" s="17" t="n"/>
      <ns0:c r="J1021" s="17" t="n"/>
      <ns0:c r="K1021" s="17" t="n"/>
      <ns0:c r="L1021" s="17" t="n"/>
      <ns0:c r="M1021" s="17" t="n"/>
      <ns0:c r="N1021" s="17" t="n"/>
      <ns0:c r="O1021" s="17" t="n"/>
      <ns0:c r="P1021" s="17" t="n"/>
      <ns0:c r="Q1021" s="17" t="n"/>
      <ns0:c r="R1021" s="17" t="n"/>
      <ns0:c r="S1021" s="17" t="n"/>
      <ns0:c r="T1021" s="17" t="n"/>
      <ns0:c r="U1021" s="17" t="n"/>
      <ns0:c r="V1021" s="17" t="n"/>
      <ns0:c r="W1021" s="17" t="n"/>
      <ns0:c r="X1021" s="17" t="n"/>
      <ns0:c r="Y1021" s="17" t="n"/>
      <ns0:c r="Z1021" s="17" t="n"/>
      <ns0:c r="AA1021" s="17" t="n"/>
      <ns0:c r="AB1021" s="17" t="n"/>
      <ns0:c r="AC1021" s="17" t="n"/>
      <ns0:c r="AD1021" s="17" t="n"/>
      <ns0:c r="AE1021" s="17" t="n"/>
      <ns0:c r="AF1021" s="17" t="n"/>
      <ns0:c r="AG1021" s="17" t="n"/>
    </ns0:row>
    <ns0:row r="1022" ht="24" customHeight="1">
      <ns0:c r="D1022" s="17" t="n"/>
      <ns0:c r="E1022" s="17" t="n"/>
      <ns0:c r="F1022" s="17" t="n"/>
      <ns0:c r="G1022" s="17" t="n"/>
      <ns0:c r="H1022" s="17" t="n"/>
      <ns0:c r="I1022" s="17" t="n"/>
      <ns0:c r="J1022" s="17" t="n"/>
      <ns0:c r="K1022" s="17" t="n"/>
      <ns0:c r="L1022" s="17" t="n"/>
      <ns0:c r="M1022" s="17" t="n"/>
      <ns0:c r="N1022" s="17" t="n"/>
      <ns0:c r="O1022" s="17" t="n"/>
      <ns0:c r="P1022" s="17" t="n"/>
      <ns0:c r="Q1022" s="17" t="n"/>
      <ns0:c r="R1022" s="17" t="n"/>
      <ns0:c r="S1022" s="17" t="n"/>
      <ns0:c r="T1022" s="17" t="n"/>
      <ns0:c r="U1022" s="17" t="n"/>
      <ns0:c r="V1022" s="17" t="n"/>
      <ns0:c r="W1022" s="17" t="n"/>
      <ns0:c r="X1022" s="17" t="n"/>
      <ns0:c r="Y1022" s="17" t="n"/>
      <ns0:c r="Z1022" s="17" t="n"/>
      <ns0:c r="AA1022" s="17" t="n"/>
      <ns0:c r="AB1022" s="17" t="n"/>
      <ns0:c r="AC1022" s="17" t="n"/>
      <ns0:c r="AD1022" s="17" t="n"/>
      <ns0:c r="AE1022" s="17" t="n"/>
      <ns0:c r="AF1022" s="17" t="n"/>
      <ns0:c r="AG1022" s="17" t="n"/>
    </ns0:row>
    <ns0:row r="1023" ht="24" customHeight="1">
      <ns0:c r="D1023" s="17" t="n"/>
      <ns0:c r="E1023" s="17" t="n"/>
      <ns0:c r="F1023" s="17" t="n"/>
      <ns0:c r="G1023" s="17" t="n"/>
      <ns0:c r="H1023" s="17" t="n"/>
      <ns0:c r="I1023" s="17" t="n"/>
      <ns0:c r="J1023" s="17" t="n"/>
      <ns0:c r="K1023" s="17" t="n"/>
      <ns0:c r="L1023" s="17" t="n"/>
      <ns0:c r="M1023" s="17" t="n"/>
      <ns0:c r="N1023" s="17" t="n"/>
      <ns0:c r="O1023" s="17" t="n"/>
      <ns0:c r="P1023" s="17" t="n"/>
      <ns0:c r="Q1023" s="17" t="n"/>
      <ns0:c r="R1023" s="17" t="n"/>
      <ns0:c r="S1023" s="17" t="n"/>
      <ns0:c r="T1023" s="17" t="n"/>
      <ns0:c r="U1023" s="17" t="n"/>
      <ns0:c r="V1023" s="17" t="n"/>
      <ns0:c r="W1023" s="17" t="n"/>
      <ns0:c r="X1023" s="17" t="n"/>
      <ns0:c r="Y1023" s="17" t="n"/>
      <ns0:c r="Z1023" s="17" t="n"/>
      <ns0:c r="AA1023" s="17" t="n"/>
      <ns0:c r="AB1023" s="17" t="n"/>
      <ns0:c r="AC1023" s="17" t="n"/>
      <ns0:c r="AD1023" s="17" t="n"/>
      <ns0:c r="AE1023" s="17" t="n"/>
      <ns0:c r="AF1023" s="17" t="n"/>
      <ns0:c r="AG1023" s="17" t="n"/>
    </ns0:row>
    <ns0:row r="1024" ht="24" customHeight="1">
      <ns0:c r="D1024" s="17" t="n"/>
      <ns0:c r="E1024" s="17" t="n"/>
      <ns0:c r="F1024" s="17" t="n"/>
      <ns0:c r="G1024" s="17" t="n"/>
      <ns0:c r="H1024" s="17" t="n"/>
      <ns0:c r="I1024" s="17" t="n"/>
      <ns0:c r="J1024" s="17" t="n"/>
      <ns0:c r="K1024" s="17" t="n"/>
      <ns0:c r="L1024" s="17" t="n"/>
      <ns0:c r="M1024" s="17" t="n"/>
      <ns0:c r="N1024" s="17" t="n"/>
      <ns0:c r="O1024" s="17" t="n"/>
      <ns0:c r="P1024" s="17" t="n"/>
      <ns0:c r="Q1024" s="17" t="n"/>
      <ns0:c r="R1024" s="17" t="n"/>
      <ns0:c r="S1024" s="17" t="n"/>
      <ns0:c r="T1024" s="17" t="n"/>
      <ns0:c r="U1024" s="17" t="n"/>
      <ns0:c r="V1024" s="17" t="n"/>
      <ns0:c r="W1024" s="17" t="n"/>
      <ns0:c r="X1024" s="17" t="n"/>
      <ns0:c r="Y1024" s="17" t="n"/>
      <ns0:c r="Z1024" s="17" t="n"/>
      <ns0:c r="AA1024" s="17" t="n"/>
      <ns0:c r="AB1024" s="17" t="n"/>
      <ns0:c r="AC1024" s="17" t="n"/>
      <ns0:c r="AD1024" s="17" t="n"/>
      <ns0:c r="AE1024" s="17" t="n"/>
      <ns0:c r="AF1024" s="17" t="n"/>
      <ns0:c r="AG1024" s="17" t="n"/>
    </ns0:row>
    <ns0:row r="1025" ht="24" customHeight="1">
      <ns0:c r="D1025" s="17" t="n"/>
      <ns0:c r="E1025" s="17" t="n"/>
      <ns0:c r="F1025" s="17" t="n"/>
      <ns0:c r="G1025" s="17" t="n"/>
      <ns0:c r="H1025" s="17" t="n"/>
      <ns0:c r="I1025" s="17" t="n"/>
      <ns0:c r="J1025" s="17" t="n"/>
      <ns0:c r="K1025" s="17" t="n"/>
      <ns0:c r="L1025" s="17" t="n"/>
      <ns0:c r="M1025" s="17" t="n"/>
      <ns0:c r="N1025" s="17" t="n"/>
      <ns0:c r="O1025" s="17" t="n"/>
      <ns0:c r="P1025" s="17" t="n"/>
      <ns0:c r="Q1025" s="17" t="n"/>
      <ns0:c r="R1025" s="17" t="n"/>
      <ns0:c r="S1025" s="17" t="n"/>
      <ns0:c r="T1025" s="17" t="n"/>
      <ns0:c r="U1025" s="17" t="n"/>
      <ns0:c r="V1025" s="17" t="n"/>
      <ns0:c r="W1025" s="17" t="n"/>
      <ns0:c r="X1025" s="17" t="n"/>
      <ns0:c r="Y1025" s="17" t="n"/>
      <ns0:c r="Z1025" s="17" t="n"/>
      <ns0:c r="AA1025" s="17" t="n"/>
      <ns0:c r="AB1025" s="17" t="n"/>
      <ns0:c r="AC1025" s="17" t="n"/>
      <ns0:c r="AD1025" s="17" t="n"/>
      <ns0:c r="AE1025" s="17" t="n"/>
      <ns0:c r="AF1025" s="17" t="n"/>
      <ns0:c r="AG1025" s="17" t="n"/>
    </ns0:row>
    <ns0:row r="1026" ht="24" customHeight="1">
      <ns0:c r="D1026" s="17" t="n"/>
      <ns0:c r="E1026" s="17" t="n"/>
      <ns0:c r="F1026" s="17" t="n"/>
      <ns0:c r="G1026" s="17" t="n"/>
      <ns0:c r="H1026" s="17" t="n"/>
      <ns0:c r="I1026" s="17" t="n"/>
      <ns0:c r="J1026" s="17" t="n"/>
      <ns0:c r="K1026" s="17" t="n"/>
      <ns0:c r="L1026" s="17" t="n"/>
      <ns0:c r="M1026" s="17" t="n"/>
      <ns0:c r="N1026" s="17" t="n"/>
      <ns0:c r="O1026" s="17" t="n"/>
      <ns0:c r="P1026" s="17" t="n"/>
      <ns0:c r="Q1026" s="17" t="n"/>
      <ns0:c r="R1026" s="17" t="n"/>
      <ns0:c r="S1026" s="17" t="n"/>
      <ns0:c r="T1026" s="17" t="n"/>
      <ns0:c r="U1026" s="17" t="n"/>
      <ns0:c r="V1026" s="17" t="n"/>
      <ns0:c r="W1026" s="17" t="n"/>
      <ns0:c r="X1026" s="17" t="n"/>
      <ns0:c r="Y1026" s="17" t="n"/>
      <ns0:c r="Z1026" s="17" t="n"/>
      <ns0:c r="AA1026" s="17" t="n"/>
      <ns0:c r="AB1026" s="17" t="n"/>
      <ns0:c r="AC1026" s="17" t="n"/>
      <ns0:c r="AD1026" s="17" t="n"/>
      <ns0:c r="AE1026" s="17" t="n"/>
      <ns0:c r="AF1026" s="17" t="n"/>
      <ns0:c r="AG1026" s="17" t="n"/>
    </ns0:row>
    <ns0:row r="1027" ht="24" customHeight="1">
      <ns0:c r="D1027" s="17" t="n"/>
      <ns0:c r="E1027" s="17" t="n"/>
      <ns0:c r="F1027" s="17" t="n"/>
      <ns0:c r="G1027" s="17" t="n"/>
      <ns0:c r="H1027" s="17" t="n"/>
      <ns0:c r="I1027" s="17" t="n"/>
      <ns0:c r="J1027" s="17" t="n"/>
      <ns0:c r="K1027" s="17" t="n"/>
      <ns0:c r="L1027" s="17" t="n"/>
      <ns0:c r="M1027" s="17" t="n"/>
      <ns0:c r="N1027" s="17" t="n"/>
      <ns0:c r="O1027" s="17" t="n"/>
      <ns0:c r="P1027" s="17" t="n"/>
      <ns0:c r="Q1027" s="17" t="n"/>
      <ns0:c r="R1027" s="17" t="n"/>
      <ns0:c r="S1027" s="17" t="n"/>
      <ns0:c r="T1027" s="17" t="n"/>
      <ns0:c r="U1027" s="17" t="n"/>
      <ns0:c r="V1027" s="17" t="n"/>
      <ns0:c r="W1027" s="17" t="n"/>
      <ns0:c r="X1027" s="17" t="n"/>
      <ns0:c r="Y1027" s="17" t="n"/>
      <ns0:c r="Z1027" s="17" t="n"/>
      <ns0:c r="AA1027" s="17" t="n"/>
      <ns0:c r="AB1027" s="17" t="n"/>
      <ns0:c r="AC1027" s="17" t="n"/>
      <ns0:c r="AD1027" s="17" t="n"/>
      <ns0:c r="AE1027" s="17" t="n"/>
      <ns0:c r="AF1027" s="17" t="n"/>
      <ns0:c r="AG1027" s="17" t="n"/>
    </ns0:row>
    <ns0:row r="1028" ht="24" customHeight="1">
      <ns0:c r="D1028" s="17" t="n"/>
      <ns0:c r="E1028" s="17" t="n"/>
      <ns0:c r="F1028" s="17" t="n"/>
      <ns0:c r="G1028" s="17" t="n"/>
      <ns0:c r="H1028" s="17" t="n"/>
      <ns0:c r="I1028" s="17" t="n"/>
      <ns0:c r="J1028" s="17" t="n"/>
      <ns0:c r="K1028" s="17" t="n"/>
      <ns0:c r="L1028" s="17" t="n"/>
      <ns0:c r="M1028" s="17" t="n"/>
      <ns0:c r="N1028" s="17" t="n"/>
      <ns0:c r="O1028" s="17" t="n"/>
      <ns0:c r="P1028" s="17" t="n"/>
      <ns0:c r="Q1028" s="17" t="n"/>
      <ns0:c r="R1028" s="17" t="n"/>
      <ns0:c r="S1028" s="17" t="n"/>
      <ns0:c r="T1028" s="17" t="n"/>
      <ns0:c r="U1028" s="17" t="n"/>
      <ns0:c r="V1028" s="17" t="n"/>
      <ns0:c r="W1028" s="17" t="n"/>
      <ns0:c r="X1028" s="17" t="n"/>
      <ns0:c r="Y1028" s="17" t="n"/>
      <ns0:c r="Z1028" s="17" t="n"/>
      <ns0:c r="AA1028" s="17" t="n"/>
      <ns0:c r="AB1028" s="17" t="n"/>
      <ns0:c r="AC1028" s="17" t="n"/>
      <ns0:c r="AD1028" s="17" t="n"/>
      <ns0:c r="AE1028" s="17" t="n"/>
      <ns0:c r="AF1028" s="17" t="n"/>
      <ns0:c r="AG1028" s="17" t="n"/>
    </ns0:row>
    <ns0:row r="1029" ht="24" customHeight="1">
      <ns0:c r="D1029" s="17" t="n"/>
      <ns0:c r="E1029" s="17" t="n"/>
      <ns0:c r="F1029" s="17" t="n"/>
      <ns0:c r="G1029" s="17" t="n"/>
      <ns0:c r="H1029" s="17" t="n"/>
      <ns0:c r="I1029" s="17" t="n"/>
      <ns0:c r="J1029" s="17" t="n"/>
      <ns0:c r="K1029" s="17" t="n"/>
      <ns0:c r="L1029" s="17" t="n"/>
      <ns0:c r="M1029" s="17" t="n"/>
      <ns0:c r="N1029" s="17" t="n"/>
      <ns0:c r="O1029" s="17" t="n"/>
      <ns0:c r="P1029" s="17" t="n"/>
      <ns0:c r="Q1029" s="17" t="n"/>
      <ns0:c r="R1029" s="17" t="n"/>
      <ns0:c r="S1029" s="17" t="n"/>
      <ns0:c r="T1029" s="17" t="n"/>
      <ns0:c r="U1029" s="17" t="n"/>
      <ns0:c r="V1029" s="17" t="n"/>
      <ns0:c r="W1029" s="17" t="n"/>
      <ns0:c r="X1029" s="17" t="n"/>
      <ns0:c r="Y1029" s="17" t="n"/>
      <ns0:c r="Z1029" s="17" t="n"/>
      <ns0:c r="AA1029" s="17" t="n"/>
      <ns0:c r="AB1029" s="17" t="n"/>
      <ns0:c r="AC1029" s="17" t="n"/>
      <ns0:c r="AD1029" s="17" t="n"/>
      <ns0:c r="AE1029" s="17" t="n"/>
      <ns0:c r="AF1029" s="17" t="n"/>
      <ns0:c r="AG1029" s="17" t="n"/>
    </ns0:row>
    <ns0:row r="1030" ht="24" customHeight="1">
      <ns0:c r="D1030" s="17" t="n"/>
      <ns0:c r="E1030" s="17" t="n"/>
      <ns0:c r="F1030" s="17" t="n"/>
      <ns0:c r="G1030" s="17" t="n"/>
      <ns0:c r="H1030" s="17" t="n"/>
      <ns0:c r="I1030" s="17" t="n"/>
      <ns0:c r="J1030" s="17" t="n"/>
      <ns0:c r="K1030" s="17" t="n"/>
      <ns0:c r="L1030" s="17" t="n"/>
      <ns0:c r="M1030" s="17" t="n"/>
      <ns0:c r="N1030" s="17" t="n"/>
      <ns0:c r="O1030" s="17" t="n"/>
      <ns0:c r="P1030" s="17" t="n"/>
      <ns0:c r="Q1030" s="17" t="n"/>
      <ns0:c r="R1030" s="17" t="n"/>
      <ns0:c r="S1030" s="17" t="n"/>
      <ns0:c r="T1030" s="17" t="n"/>
      <ns0:c r="U1030" s="17" t="n"/>
      <ns0:c r="V1030" s="17" t="n"/>
      <ns0:c r="W1030" s="17" t="n"/>
      <ns0:c r="X1030" s="17" t="n"/>
      <ns0:c r="Y1030" s="17" t="n"/>
      <ns0:c r="Z1030" s="17" t="n"/>
      <ns0:c r="AA1030" s="17" t="n"/>
      <ns0:c r="AB1030" s="17" t="n"/>
      <ns0:c r="AC1030" s="17" t="n"/>
      <ns0:c r="AD1030" s="17" t="n"/>
      <ns0:c r="AE1030" s="17" t="n"/>
      <ns0:c r="AF1030" s="17" t="n"/>
      <ns0:c r="AG1030" s="17" t="n"/>
    </ns0:row>
    <ns0:row r="1031" ht="24" customHeight="1">
      <ns0:c r="D1031" s="17" t="n"/>
      <ns0:c r="E1031" s="17" t="n"/>
      <ns0:c r="F1031" s="17" t="n"/>
      <ns0:c r="G1031" s="17" t="n"/>
      <ns0:c r="H1031" s="17" t="n"/>
      <ns0:c r="I1031" s="17" t="n"/>
      <ns0:c r="J1031" s="17" t="n"/>
      <ns0:c r="K1031" s="17" t="n"/>
      <ns0:c r="L1031" s="17" t="n"/>
      <ns0:c r="M1031" s="17" t="n"/>
      <ns0:c r="N1031" s="17" t="n"/>
      <ns0:c r="O1031" s="17" t="n"/>
      <ns0:c r="P1031" s="17" t="n"/>
      <ns0:c r="Q1031" s="17" t="n"/>
      <ns0:c r="R1031" s="17" t="n"/>
      <ns0:c r="S1031" s="17" t="n"/>
      <ns0:c r="T1031" s="17" t="n"/>
      <ns0:c r="U1031" s="17" t="n"/>
      <ns0:c r="V1031" s="17" t="n"/>
      <ns0:c r="W1031" s="17" t="n"/>
      <ns0:c r="X1031" s="17" t="n"/>
      <ns0:c r="Y1031" s="17" t="n"/>
      <ns0:c r="Z1031" s="17" t="n"/>
      <ns0:c r="AA1031" s="17" t="n"/>
      <ns0:c r="AB1031" s="17" t="n"/>
      <ns0:c r="AC1031" s="17" t="n"/>
      <ns0:c r="AD1031" s="17" t="n"/>
      <ns0:c r="AE1031" s="17" t="n"/>
      <ns0:c r="AF1031" s="17" t="n"/>
      <ns0:c r="AG1031" s="17" t="n"/>
    </ns0:row>
    <ns0:row r="1032" ht="24" customHeight="1">
      <ns0:c r="D1032" s="17" t="n"/>
      <ns0:c r="E1032" s="17" t="n"/>
      <ns0:c r="F1032" s="17" t="n"/>
      <ns0:c r="G1032" s="17" t="n"/>
      <ns0:c r="H1032" s="17" t="n"/>
      <ns0:c r="I1032" s="17" t="n"/>
      <ns0:c r="J1032" s="17" t="n"/>
      <ns0:c r="K1032" s="17" t="n"/>
      <ns0:c r="L1032" s="17" t="n"/>
      <ns0:c r="M1032" s="17" t="n"/>
      <ns0:c r="N1032" s="17" t="n"/>
      <ns0:c r="O1032" s="17" t="n"/>
      <ns0:c r="P1032" s="17" t="n"/>
      <ns0:c r="Q1032" s="17" t="n"/>
      <ns0:c r="R1032" s="17" t="n"/>
      <ns0:c r="S1032" s="17" t="n"/>
      <ns0:c r="T1032" s="17" t="n"/>
      <ns0:c r="U1032" s="17" t="n"/>
      <ns0:c r="V1032" s="17" t="n"/>
      <ns0:c r="W1032" s="17" t="n"/>
      <ns0:c r="X1032" s="17" t="n"/>
      <ns0:c r="Y1032" s="17" t="n"/>
      <ns0:c r="Z1032" s="17" t="n"/>
      <ns0:c r="AA1032" s="17" t="n"/>
      <ns0:c r="AB1032" s="17" t="n"/>
      <ns0:c r="AC1032" s="17" t="n"/>
      <ns0:c r="AD1032" s="17" t="n"/>
      <ns0:c r="AE1032" s="17" t="n"/>
      <ns0:c r="AF1032" s="17" t="n"/>
      <ns0:c r="AG1032" s="17" t="n"/>
    </ns0:row>
    <ns0:row r="1033" ht="24" customHeight="1">
      <ns0:c r="D1033" s="17" t="n"/>
      <ns0:c r="E1033" s="17" t="n"/>
      <ns0:c r="F1033" s="17" t="n"/>
      <ns0:c r="G1033" s="17" t="n"/>
      <ns0:c r="H1033" s="17" t="n"/>
      <ns0:c r="I1033" s="17" t="n"/>
      <ns0:c r="J1033" s="17" t="n"/>
      <ns0:c r="K1033" s="17" t="n"/>
      <ns0:c r="L1033" s="17" t="n"/>
      <ns0:c r="M1033" s="17" t="n"/>
      <ns0:c r="N1033" s="17" t="n"/>
      <ns0:c r="O1033" s="17" t="n"/>
      <ns0:c r="P1033" s="17" t="n"/>
      <ns0:c r="Q1033" s="17" t="n"/>
      <ns0:c r="R1033" s="17" t="n"/>
      <ns0:c r="S1033" s="17" t="n"/>
      <ns0:c r="T1033" s="17" t="n"/>
      <ns0:c r="U1033" s="17" t="n"/>
      <ns0:c r="V1033" s="17" t="n"/>
      <ns0:c r="W1033" s="17" t="n"/>
      <ns0:c r="X1033" s="17" t="n"/>
      <ns0:c r="Y1033" s="17" t="n"/>
      <ns0:c r="Z1033" s="17" t="n"/>
      <ns0:c r="AA1033" s="17" t="n"/>
      <ns0:c r="AB1033" s="17" t="n"/>
      <ns0:c r="AC1033" s="17" t="n"/>
      <ns0:c r="AD1033" s="17" t="n"/>
      <ns0:c r="AE1033" s="17" t="n"/>
      <ns0:c r="AF1033" s="17" t="n"/>
      <ns0:c r="AG1033" s="17" t="n"/>
    </ns0:row>
    <ns0:row r="1034" ht="24" customHeight="1">
      <ns0:c r="D1034" s="17" t="n"/>
      <ns0:c r="E1034" s="17" t="n"/>
      <ns0:c r="F1034" s="17" t="n"/>
      <ns0:c r="G1034" s="17" t="n"/>
      <ns0:c r="H1034" s="17" t="n"/>
      <ns0:c r="I1034" s="17" t="n"/>
      <ns0:c r="J1034" s="17" t="n"/>
      <ns0:c r="K1034" s="17" t="n"/>
      <ns0:c r="L1034" s="17" t="n"/>
      <ns0:c r="M1034" s="17" t="n"/>
      <ns0:c r="N1034" s="17" t="n"/>
      <ns0:c r="O1034" s="17" t="n"/>
      <ns0:c r="P1034" s="17" t="n"/>
      <ns0:c r="Q1034" s="17" t="n"/>
      <ns0:c r="R1034" s="17" t="n"/>
      <ns0:c r="S1034" s="17" t="n"/>
      <ns0:c r="T1034" s="17" t="n"/>
      <ns0:c r="U1034" s="17" t="n"/>
      <ns0:c r="V1034" s="17" t="n"/>
      <ns0:c r="W1034" s="17" t="n"/>
      <ns0:c r="X1034" s="17" t="n"/>
      <ns0:c r="Y1034" s="17" t="n"/>
      <ns0:c r="Z1034" s="17" t="n"/>
      <ns0:c r="AA1034" s="17" t="n"/>
      <ns0:c r="AB1034" s="17" t="n"/>
      <ns0:c r="AC1034" s="17" t="n"/>
      <ns0:c r="AD1034" s="17" t="n"/>
      <ns0:c r="AE1034" s="17" t="n"/>
      <ns0:c r="AF1034" s="17" t="n"/>
      <ns0:c r="AG1034" s="17" t="n"/>
    </ns0:row>
    <ns0:row r="1035" ht="24" customHeight="1">
      <ns0:c r="D1035" s="17" t="n"/>
      <ns0:c r="E1035" s="17" t="n"/>
      <ns0:c r="F1035" s="17" t="n"/>
      <ns0:c r="G1035" s="17" t="n"/>
      <ns0:c r="H1035" s="17" t="n"/>
      <ns0:c r="I1035" s="17" t="n"/>
      <ns0:c r="J1035" s="17" t="n"/>
      <ns0:c r="K1035" s="17" t="n"/>
      <ns0:c r="L1035" s="17" t="n"/>
      <ns0:c r="M1035" s="17" t="n"/>
      <ns0:c r="N1035" s="17" t="n"/>
      <ns0:c r="O1035" s="17" t="n"/>
      <ns0:c r="P1035" s="17" t="n"/>
      <ns0:c r="Q1035" s="17" t="n"/>
      <ns0:c r="R1035" s="17" t="n"/>
      <ns0:c r="S1035" s="17" t="n"/>
      <ns0:c r="T1035" s="17" t="n"/>
      <ns0:c r="U1035" s="17" t="n"/>
      <ns0:c r="V1035" s="17" t="n"/>
      <ns0:c r="W1035" s="17" t="n"/>
      <ns0:c r="X1035" s="17" t="n"/>
      <ns0:c r="Y1035" s="17" t="n"/>
      <ns0:c r="Z1035" s="17" t="n"/>
      <ns0:c r="AA1035" s="17" t="n"/>
      <ns0:c r="AB1035" s="17" t="n"/>
      <ns0:c r="AC1035" s="17" t="n"/>
      <ns0:c r="AD1035" s="17" t="n"/>
      <ns0:c r="AE1035" s="17" t="n"/>
      <ns0:c r="AF1035" s="17" t="n"/>
      <ns0:c r="AG1035" s="17" t="n"/>
    </ns0:row>
    <ns0:row r="1036" ht="24" customHeight="1">
      <ns0:c r="D1036" s="17" t="n"/>
      <ns0:c r="E1036" s="17" t="n"/>
      <ns0:c r="F1036" s="17" t="n"/>
      <ns0:c r="G1036" s="17" t="n"/>
      <ns0:c r="H1036" s="17" t="n"/>
      <ns0:c r="I1036" s="17" t="n"/>
      <ns0:c r="J1036" s="17" t="n"/>
      <ns0:c r="K1036" s="17" t="n"/>
      <ns0:c r="L1036" s="17" t="n"/>
      <ns0:c r="M1036" s="17" t="n"/>
      <ns0:c r="N1036" s="17" t="n"/>
      <ns0:c r="O1036" s="17" t="n"/>
      <ns0:c r="P1036" s="17" t="n"/>
      <ns0:c r="Q1036" s="17" t="n"/>
      <ns0:c r="R1036" s="17" t="n"/>
      <ns0:c r="S1036" s="17" t="n"/>
      <ns0:c r="T1036" s="17" t="n"/>
      <ns0:c r="U1036" s="17" t="n"/>
      <ns0:c r="V1036" s="17" t="n"/>
      <ns0:c r="W1036" s="17" t="n"/>
      <ns0:c r="X1036" s="17" t="n"/>
      <ns0:c r="Y1036" s="17" t="n"/>
      <ns0:c r="Z1036" s="17" t="n"/>
      <ns0:c r="AA1036" s="17" t="n"/>
      <ns0:c r="AB1036" s="17" t="n"/>
      <ns0:c r="AC1036" s="17" t="n"/>
      <ns0:c r="AD1036" s="17" t="n"/>
      <ns0:c r="AE1036" s="17" t="n"/>
      <ns0:c r="AF1036" s="17" t="n"/>
      <ns0:c r="AG1036" s="17" t="n"/>
    </ns0:row>
    <ns0:row r="1037" ht="24" customHeight="1">
      <ns0:c r="D1037" s="17" t="n"/>
      <ns0:c r="E1037" s="17" t="n"/>
      <ns0:c r="F1037" s="17" t="n"/>
      <ns0:c r="G1037" s="17" t="n"/>
      <ns0:c r="H1037" s="17" t="n"/>
      <ns0:c r="I1037" s="17" t="n"/>
      <ns0:c r="J1037" s="17" t="n"/>
      <ns0:c r="K1037" s="17" t="n"/>
      <ns0:c r="L1037" s="17" t="n"/>
      <ns0:c r="M1037" s="17" t="n"/>
      <ns0:c r="N1037" s="17" t="n"/>
      <ns0:c r="O1037" s="17" t="n"/>
      <ns0:c r="P1037" s="17" t="n"/>
      <ns0:c r="Q1037" s="17" t="n"/>
      <ns0:c r="R1037" s="17" t="n"/>
      <ns0:c r="S1037" s="17" t="n"/>
      <ns0:c r="T1037" s="17" t="n"/>
      <ns0:c r="U1037" s="17" t="n"/>
      <ns0:c r="V1037" s="17" t="n"/>
      <ns0:c r="W1037" s="17" t="n"/>
      <ns0:c r="X1037" s="17" t="n"/>
      <ns0:c r="Y1037" s="17" t="n"/>
      <ns0:c r="Z1037" s="17" t="n"/>
      <ns0:c r="AA1037" s="17" t="n"/>
      <ns0:c r="AB1037" s="17" t="n"/>
      <ns0:c r="AC1037" s="17" t="n"/>
      <ns0:c r="AD1037" s="17" t="n"/>
      <ns0:c r="AE1037" s="17" t="n"/>
      <ns0:c r="AF1037" s="17" t="n"/>
      <ns0:c r="AG1037" s="17" t="n"/>
    </ns0:row>
    <ns0:row r="1038" ht="24" customHeight="1">
      <ns0:c r="D1038" s="17" t="n"/>
      <ns0:c r="E1038" s="17" t="n"/>
      <ns0:c r="F1038" s="17" t="n"/>
      <ns0:c r="G1038" s="17" t="n"/>
      <ns0:c r="H1038" s="17" t="n"/>
      <ns0:c r="I1038" s="17" t="n"/>
      <ns0:c r="J1038" s="17" t="n"/>
      <ns0:c r="K1038" s="17" t="n"/>
      <ns0:c r="L1038" s="17" t="n"/>
      <ns0:c r="M1038" s="17" t="n"/>
      <ns0:c r="N1038" s="17" t="n"/>
      <ns0:c r="O1038" s="17" t="n"/>
      <ns0:c r="P1038" s="17" t="n"/>
      <ns0:c r="Q1038" s="17" t="n"/>
      <ns0:c r="R1038" s="17" t="n"/>
      <ns0:c r="S1038" s="17" t="n"/>
      <ns0:c r="T1038" s="17" t="n"/>
      <ns0:c r="U1038" s="17" t="n"/>
      <ns0:c r="V1038" s="17" t="n"/>
      <ns0:c r="W1038" s="17" t="n"/>
      <ns0:c r="X1038" s="17" t="n"/>
      <ns0:c r="Y1038" s="17" t="n"/>
      <ns0:c r="Z1038" s="17" t="n"/>
      <ns0:c r="AA1038" s="17" t="n"/>
      <ns0:c r="AB1038" s="17" t="n"/>
      <ns0:c r="AC1038" s="17" t="n"/>
      <ns0:c r="AD1038" s="17" t="n"/>
      <ns0:c r="AE1038" s="17" t="n"/>
      <ns0:c r="AF1038" s="17" t="n"/>
      <ns0:c r="AG1038" s="17" t="n"/>
    </ns0:row>
    <ns0:row r="1039" ht="24" customHeight="1">
      <ns0:c r="D1039" s="17" t="n"/>
      <ns0:c r="E1039" s="17" t="n"/>
      <ns0:c r="F1039" s="17" t="n"/>
      <ns0:c r="G1039" s="17" t="n"/>
      <ns0:c r="H1039" s="17" t="n"/>
      <ns0:c r="I1039" s="17" t="n"/>
      <ns0:c r="J1039" s="17" t="n"/>
      <ns0:c r="K1039" s="17" t="n"/>
      <ns0:c r="L1039" s="17" t="n"/>
      <ns0:c r="M1039" s="17" t="n"/>
      <ns0:c r="N1039" s="17" t="n"/>
      <ns0:c r="O1039" s="17" t="n"/>
      <ns0:c r="P1039" s="17" t="n"/>
      <ns0:c r="Q1039" s="17" t="n"/>
      <ns0:c r="R1039" s="17" t="n"/>
      <ns0:c r="S1039" s="17" t="n"/>
      <ns0:c r="T1039" s="17" t="n"/>
      <ns0:c r="U1039" s="17" t="n"/>
      <ns0:c r="V1039" s="17" t="n"/>
      <ns0:c r="W1039" s="17" t="n"/>
      <ns0:c r="X1039" s="17" t="n"/>
      <ns0:c r="Y1039" s="17" t="n"/>
      <ns0:c r="Z1039" s="17" t="n"/>
      <ns0:c r="AA1039" s="17" t="n"/>
      <ns0:c r="AB1039" s="17" t="n"/>
      <ns0:c r="AC1039" s="17" t="n"/>
      <ns0:c r="AD1039" s="17" t="n"/>
      <ns0:c r="AE1039" s="17" t="n"/>
      <ns0:c r="AF1039" s="17" t="n"/>
      <ns0:c r="AG1039" s="17" t="n"/>
    </ns0:row>
    <ns0:row r="1040" ht="24" customHeight="1">
      <ns0:c r="D1040" s="17" t="n"/>
      <ns0:c r="E1040" s="17" t="n"/>
      <ns0:c r="F1040" s="17" t="n"/>
      <ns0:c r="G1040" s="17" t="n"/>
      <ns0:c r="H1040" s="17" t="n"/>
      <ns0:c r="I1040" s="17" t="n"/>
      <ns0:c r="J1040" s="17" t="n"/>
      <ns0:c r="K1040" s="17" t="n"/>
      <ns0:c r="L1040" s="17" t="n"/>
      <ns0:c r="M1040" s="17" t="n"/>
      <ns0:c r="N1040" s="17" t="n"/>
      <ns0:c r="O1040" s="17" t="n"/>
      <ns0:c r="P1040" s="17" t="n"/>
      <ns0:c r="Q1040" s="17" t="n"/>
      <ns0:c r="R1040" s="17" t="n"/>
      <ns0:c r="S1040" s="17" t="n"/>
      <ns0:c r="T1040" s="17" t="n"/>
      <ns0:c r="U1040" s="17" t="n"/>
      <ns0:c r="V1040" s="17" t="n"/>
      <ns0:c r="W1040" s="17" t="n"/>
      <ns0:c r="X1040" s="17" t="n"/>
      <ns0:c r="Y1040" s="17" t="n"/>
      <ns0:c r="Z1040" s="17" t="n"/>
      <ns0:c r="AA1040" s="17" t="n"/>
      <ns0:c r="AB1040" s="17" t="n"/>
      <ns0:c r="AC1040" s="17" t="n"/>
      <ns0:c r="AD1040" s="17" t="n"/>
      <ns0:c r="AE1040" s="17" t="n"/>
      <ns0:c r="AF1040" s="17" t="n"/>
      <ns0:c r="AG1040" s="17" t="n"/>
    </ns0:row>
    <ns0:row r="1041" ht="24" customHeight="1">
      <ns0:c r="D1041" s="17" t="n"/>
      <ns0:c r="E1041" s="17" t="n"/>
      <ns0:c r="F1041" s="17" t="n"/>
      <ns0:c r="G1041" s="17" t="n"/>
      <ns0:c r="H1041" s="17" t="n"/>
      <ns0:c r="I1041" s="17" t="n"/>
      <ns0:c r="J1041" s="17" t="n"/>
      <ns0:c r="K1041" s="17" t="n"/>
      <ns0:c r="L1041" s="17" t="n"/>
      <ns0:c r="M1041" s="17" t="n"/>
      <ns0:c r="N1041" s="17" t="n"/>
      <ns0:c r="O1041" s="17" t="n"/>
      <ns0:c r="P1041" s="17" t="n"/>
      <ns0:c r="Q1041" s="17" t="n"/>
      <ns0:c r="R1041" s="17" t="n"/>
      <ns0:c r="S1041" s="17" t="n"/>
      <ns0:c r="T1041" s="17" t="n"/>
      <ns0:c r="U1041" s="17" t="n"/>
      <ns0:c r="V1041" s="17" t="n"/>
      <ns0:c r="W1041" s="17" t="n"/>
      <ns0:c r="X1041" s="17" t="n"/>
      <ns0:c r="Y1041" s="17" t="n"/>
      <ns0:c r="Z1041" s="17" t="n"/>
      <ns0:c r="AA1041" s="17" t="n"/>
      <ns0:c r="AB1041" s="17" t="n"/>
      <ns0:c r="AC1041" s="17" t="n"/>
      <ns0:c r="AD1041" s="17" t="n"/>
      <ns0:c r="AE1041" s="17" t="n"/>
      <ns0:c r="AF1041" s="17" t="n"/>
      <ns0:c r="AG1041" s="17" t="n"/>
    </ns0:row>
    <ns0:row r="1042" ht="24" customHeight="1">
      <ns0:c r="D1042" s="17" t="n"/>
      <ns0:c r="E1042" s="17" t="n"/>
      <ns0:c r="F1042" s="17" t="n"/>
      <ns0:c r="G1042" s="17" t="n"/>
      <ns0:c r="H1042" s="17" t="n"/>
      <ns0:c r="I1042" s="17" t="n"/>
      <ns0:c r="J1042" s="17" t="n"/>
      <ns0:c r="K1042" s="17" t="n"/>
      <ns0:c r="L1042" s="17" t="n"/>
      <ns0:c r="M1042" s="17" t="n"/>
      <ns0:c r="N1042" s="17" t="n"/>
      <ns0:c r="O1042" s="17" t="n"/>
      <ns0:c r="P1042" s="17" t="n"/>
      <ns0:c r="Q1042" s="17" t="n"/>
      <ns0:c r="R1042" s="17" t="n"/>
      <ns0:c r="S1042" s="17" t="n"/>
      <ns0:c r="T1042" s="17" t="n"/>
      <ns0:c r="U1042" s="17" t="n"/>
      <ns0:c r="V1042" s="17" t="n"/>
      <ns0:c r="W1042" s="17" t="n"/>
      <ns0:c r="X1042" s="17" t="n"/>
      <ns0:c r="Y1042" s="17" t="n"/>
      <ns0:c r="Z1042" s="17" t="n"/>
      <ns0:c r="AA1042" s="17" t="n"/>
      <ns0:c r="AB1042" s="17" t="n"/>
      <ns0:c r="AC1042" s="17" t="n"/>
      <ns0:c r="AD1042" s="17" t="n"/>
      <ns0:c r="AE1042" s="17" t="n"/>
      <ns0:c r="AF1042" s="17" t="n"/>
      <ns0:c r="AG1042" s="17" t="n"/>
    </ns0:row>
    <ns0:row r="1043" ht="24" customHeight="1">
      <ns0:c r="D1043" s="17" t="n"/>
      <ns0:c r="E1043" s="17" t="n"/>
      <ns0:c r="F1043" s="17" t="n"/>
      <ns0:c r="G1043" s="17" t="n"/>
      <ns0:c r="H1043" s="17" t="n"/>
      <ns0:c r="I1043" s="17" t="n"/>
      <ns0:c r="J1043" s="17" t="n"/>
      <ns0:c r="K1043" s="17" t="n"/>
      <ns0:c r="L1043" s="17" t="n"/>
      <ns0:c r="M1043" s="17" t="n"/>
      <ns0:c r="N1043" s="17" t="n"/>
      <ns0:c r="O1043" s="17" t="n"/>
      <ns0:c r="P1043" s="17" t="n"/>
      <ns0:c r="Q1043" s="17" t="n"/>
      <ns0:c r="R1043" s="17" t="n"/>
      <ns0:c r="S1043" s="17" t="n"/>
      <ns0:c r="T1043" s="17" t="n"/>
      <ns0:c r="U1043" s="17" t="n"/>
      <ns0:c r="V1043" s="17" t="n"/>
      <ns0:c r="W1043" s="17" t="n"/>
      <ns0:c r="X1043" s="17" t="n"/>
      <ns0:c r="Y1043" s="17" t="n"/>
      <ns0:c r="Z1043" s="17" t="n"/>
      <ns0:c r="AA1043" s="17" t="n"/>
      <ns0:c r="AB1043" s="17" t="n"/>
      <ns0:c r="AC1043" s="17" t="n"/>
      <ns0:c r="AD1043" s="17" t="n"/>
      <ns0:c r="AE1043" s="17" t="n"/>
      <ns0:c r="AF1043" s="17" t="n"/>
      <ns0:c r="AG1043" s="17" t="n"/>
    </ns0:row>
    <ns0:row r="1044" ht="24" customHeight="1">
      <ns0:c r="D1044" s="17" t="n"/>
      <ns0:c r="E1044" s="17" t="n"/>
      <ns0:c r="F1044" s="17" t="n"/>
      <ns0:c r="G1044" s="17" t="n"/>
      <ns0:c r="H1044" s="17" t="n"/>
      <ns0:c r="I1044" s="17" t="n"/>
      <ns0:c r="J1044" s="17" t="n"/>
      <ns0:c r="K1044" s="17" t="n"/>
      <ns0:c r="L1044" s="17" t="n"/>
      <ns0:c r="M1044" s="17" t="n"/>
      <ns0:c r="N1044" s="17" t="n"/>
      <ns0:c r="O1044" s="17" t="n"/>
      <ns0:c r="P1044" s="17" t="n"/>
      <ns0:c r="Q1044" s="17" t="n"/>
      <ns0:c r="R1044" s="17" t="n"/>
      <ns0:c r="S1044" s="17" t="n"/>
      <ns0:c r="T1044" s="17" t="n"/>
      <ns0:c r="U1044" s="17" t="n"/>
      <ns0:c r="V1044" s="17" t="n"/>
      <ns0:c r="W1044" s="17" t="n"/>
      <ns0:c r="X1044" s="17" t="n"/>
      <ns0:c r="Y1044" s="17" t="n"/>
      <ns0:c r="Z1044" s="17" t="n"/>
      <ns0:c r="AA1044" s="17" t="n"/>
      <ns0:c r="AB1044" s="17" t="n"/>
      <ns0:c r="AC1044" s="17" t="n"/>
      <ns0:c r="AD1044" s="17" t="n"/>
      <ns0:c r="AE1044" s="17" t="n"/>
      <ns0:c r="AF1044" s="17" t="n"/>
      <ns0:c r="AG1044" s="17" t="n"/>
    </ns0:row>
    <ns0:row r="1045" ht="24" customHeight="1">
      <ns0:c r="D1045" s="17" t="n"/>
      <ns0:c r="E1045" s="17" t="n"/>
      <ns0:c r="F1045" s="17" t="n"/>
      <ns0:c r="G1045" s="17" t="n"/>
      <ns0:c r="H1045" s="17" t="n"/>
      <ns0:c r="I1045" s="17" t="n"/>
      <ns0:c r="J1045" s="17" t="n"/>
      <ns0:c r="K1045" s="17" t="n"/>
      <ns0:c r="L1045" s="17" t="n"/>
      <ns0:c r="M1045" s="17" t="n"/>
      <ns0:c r="N1045" s="17" t="n"/>
      <ns0:c r="O1045" s="17" t="n"/>
      <ns0:c r="P1045" s="17" t="n"/>
      <ns0:c r="Q1045" s="17" t="n"/>
      <ns0:c r="R1045" s="17" t="n"/>
      <ns0:c r="S1045" s="17" t="n"/>
      <ns0:c r="T1045" s="17" t="n"/>
      <ns0:c r="U1045" s="17" t="n"/>
      <ns0:c r="V1045" s="17" t="n"/>
      <ns0:c r="W1045" s="17" t="n"/>
      <ns0:c r="X1045" s="17" t="n"/>
      <ns0:c r="Y1045" s="17" t="n"/>
      <ns0:c r="Z1045" s="17" t="n"/>
      <ns0:c r="AA1045" s="17" t="n"/>
      <ns0:c r="AB1045" s="17" t="n"/>
      <ns0:c r="AC1045" s="17" t="n"/>
      <ns0:c r="AD1045" s="17" t="n"/>
      <ns0:c r="AE1045" s="17" t="n"/>
      <ns0:c r="AF1045" s="17" t="n"/>
      <ns0:c r="AG1045" s="17" t="n"/>
    </ns0:row>
    <ns0:row r="1046" ht="24" customHeight="1">
      <ns0:c r="D1046" s="17" t="n"/>
      <ns0:c r="E1046" s="17" t="n"/>
      <ns0:c r="F1046" s="17" t="n"/>
      <ns0:c r="G1046" s="17" t="n"/>
      <ns0:c r="H1046" s="17" t="n"/>
      <ns0:c r="I1046" s="17" t="n"/>
      <ns0:c r="J1046" s="17" t="n"/>
      <ns0:c r="K1046" s="17" t="n"/>
      <ns0:c r="L1046" s="17" t="n"/>
      <ns0:c r="M1046" s="17" t="n"/>
      <ns0:c r="N1046" s="17" t="n"/>
      <ns0:c r="O1046" s="17" t="n"/>
      <ns0:c r="P1046" s="17" t="n"/>
      <ns0:c r="Q1046" s="17" t="n"/>
      <ns0:c r="R1046" s="17" t="n"/>
      <ns0:c r="S1046" s="17" t="n"/>
      <ns0:c r="T1046" s="17" t="n"/>
      <ns0:c r="U1046" s="17" t="n"/>
      <ns0:c r="V1046" s="17" t="n"/>
      <ns0:c r="W1046" s="17" t="n"/>
      <ns0:c r="X1046" s="17" t="n"/>
      <ns0:c r="Y1046" s="17" t="n"/>
      <ns0:c r="Z1046" s="17" t="n"/>
      <ns0:c r="AA1046" s="17" t="n"/>
      <ns0:c r="AB1046" s="17" t="n"/>
      <ns0:c r="AC1046" s="17" t="n"/>
      <ns0:c r="AD1046" s="17" t="n"/>
      <ns0:c r="AE1046" s="17" t="n"/>
      <ns0:c r="AF1046" s="17" t="n"/>
      <ns0:c r="AG1046" s="17" t="n"/>
    </ns0:row>
    <ns0:row r="1047" ht="24" customHeight="1">
      <ns0:c r="D1047" s="17" t="n"/>
      <ns0:c r="E1047" s="17" t="n"/>
      <ns0:c r="F1047" s="17" t="n"/>
      <ns0:c r="G1047" s="17" t="n"/>
      <ns0:c r="H1047" s="17" t="n"/>
      <ns0:c r="I1047" s="17" t="n"/>
      <ns0:c r="J1047" s="17" t="n"/>
      <ns0:c r="K1047" s="17" t="n"/>
      <ns0:c r="L1047" s="17" t="n"/>
      <ns0:c r="M1047" s="17" t="n"/>
      <ns0:c r="N1047" s="17" t="n"/>
      <ns0:c r="O1047" s="17" t="n"/>
      <ns0:c r="P1047" s="17" t="n"/>
      <ns0:c r="Q1047" s="17" t="n"/>
      <ns0:c r="R1047" s="17" t="n"/>
      <ns0:c r="S1047" s="17" t="n"/>
      <ns0:c r="T1047" s="17" t="n"/>
      <ns0:c r="U1047" s="17" t="n"/>
      <ns0:c r="V1047" s="17" t="n"/>
      <ns0:c r="W1047" s="17" t="n"/>
      <ns0:c r="X1047" s="17" t="n"/>
      <ns0:c r="Y1047" s="17" t="n"/>
      <ns0:c r="Z1047" s="17" t="n"/>
      <ns0:c r="AA1047" s="17" t="n"/>
      <ns0:c r="AB1047" s="17" t="n"/>
      <ns0:c r="AC1047" s="17" t="n"/>
      <ns0:c r="AD1047" s="17" t="n"/>
      <ns0:c r="AE1047" s="17" t="n"/>
      <ns0:c r="AF1047" s="17" t="n"/>
      <ns0:c r="AG1047" s="17" t="n"/>
    </ns0:row>
    <ns0:row r="1048" ht="24" customHeight="1">
      <ns0:c r="D1048" s="17" t="n"/>
      <ns0:c r="E1048" s="17" t="n"/>
      <ns0:c r="F1048" s="17" t="n"/>
      <ns0:c r="G1048" s="17" t="n"/>
      <ns0:c r="H1048" s="17" t="n"/>
      <ns0:c r="I1048" s="17" t="n"/>
      <ns0:c r="J1048" s="17" t="n"/>
      <ns0:c r="K1048" s="17" t="n"/>
      <ns0:c r="L1048" s="17" t="n"/>
      <ns0:c r="M1048" s="17" t="n"/>
      <ns0:c r="N1048" s="17" t="n"/>
      <ns0:c r="O1048" s="17" t="n"/>
      <ns0:c r="P1048" s="17" t="n"/>
      <ns0:c r="Q1048" s="17" t="n"/>
      <ns0:c r="R1048" s="17" t="n"/>
      <ns0:c r="S1048" s="17" t="n"/>
      <ns0:c r="T1048" s="17" t="n"/>
      <ns0:c r="U1048" s="17" t="n"/>
      <ns0:c r="V1048" s="17" t="n"/>
      <ns0:c r="W1048" s="17" t="n"/>
      <ns0:c r="X1048" s="17" t="n"/>
      <ns0:c r="Y1048" s="17" t="n"/>
      <ns0:c r="Z1048" s="17" t="n"/>
      <ns0:c r="AA1048" s="17" t="n"/>
      <ns0:c r="AB1048" s="17" t="n"/>
      <ns0:c r="AC1048" s="17" t="n"/>
      <ns0:c r="AD1048" s="17" t="n"/>
      <ns0:c r="AE1048" s="17" t="n"/>
      <ns0:c r="AF1048" s="17" t="n"/>
      <ns0:c r="AG1048" s="17" t="n"/>
    </ns0:row>
    <ns0:row r="1049" ht="24" customHeight="1">
      <ns0:c r="D1049" s="17" t="n"/>
      <ns0:c r="E1049" s="17" t="n"/>
      <ns0:c r="F1049" s="17" t="n"/>
      <ns0:c r="G1049" s="17" t="n"/>
      <ns0:c r="H1049" s="17" t="n"/>
      <ns0:c r="I1049" s="17" t="n"/>
      <ns0:c r="J1049" s="17" t="n"/>
      <ns0:c r="K1049" s="17" t="n"/>
      <ns0:c r="L1049" s="17" t="n"/>
      <ns0:c r="M1049" s="17" t="n"/>
      <ns0:c r="N1049" s="17" t="n"/>
      <ns0:c r="O1049" s="17" t="n"/>
      <ns0:c r="P1049" s="17" t="n"/>
      <ns0:c r="Q1049" s="17" t="n"/>
      <ns0:c r="R1049" s="17" t="n"/>
      <ns0:c r="S1049" s="17" t="n"/>
      <ns0:c r="T1049" s="17" t="n"/>
      <ns0:c r="U1049" s="17" t="n"/>
      <ns0:c r="V1049" s="17" t="n"/>
      <ns0:c r="W1049" s="17" t="n"/>
      <ns0:c r="X1049" s="17" t="n"/>
      <ns0:c r="Y1049" s="17" t="n"/>
      <ns0:c r="Z1049" s="17" t="n"/>
      <ns0:c r="AA1049" s="17" t="n"/>
      <ns0:c r="AB1049" s="17" t="n"/>
      <ns0:c r="AC1049" s="17" t="n"/>
      <ns0:c r="AD1049" s="17" t="n"/>
      <ns0:c r="AE1049" s="17" t="n"/>
      <ns0:c r="AF1049" s="17" t="n"/>
      <ns0:c r="AG1049" s="17" t="n"/>
    </ns0:row>
    <ns0:row r="1050" ht="24" customHeight="1">
      <ns0:c r="D1050" s="17" t="n"/>
      <ns0:c r="E1050" s="17" t="n"/>
      <ns0:c r="F1050" s="17" t="n"/>
      <ns0:c r="G1050" s="17" t="n"/>
      <ns0:c r="H1050" s="17" t="n"/>
      <ns0:c r="I1050" s="17" t="n"/>
      <ns0:c r="J1050" s="17" t="n"/>
      <ns0:c r="K1050" s="17" t="n"/>
      <ns0:c r="L1050" s="17" t="n"/>
      <ns0:c r="M1050" s="17" t="n"/>
      <ns0:c r="N1050" s="17" t="n"/>
      <ns0:c r="O1050" s="17" t="n"/>
      <ns0:c r="P1050" s="17" t="n"/>
      <ns0:c r="Q1050" s="17" t="n"/>
      <ns0:c r="R1050" s="17" t="n"/>
      <ns0:c r="S1050" s="17" t="n"/>
      <ns0:c r="T1050" s="17" t="n"/>
      <ns0:c r="U1050" s="17" t="n"/>
      <ns0:c r="V1050" s="17" t="n"/>
      <ns0:c r="W1050" s="17" t="n"/>
      <ns0:c r="X1050" s="17" t="n"/>
      <ns0:c r="Y1050" s="17" t="n"/>
      <ns0:c r="Z1050" s="17" t="n"/>
      <ns0:c r="AA1050" s="17" t="n"/>
      <ns0:c r="AB1050" s="17" t="n"/>
      <ns0:c r="AC1050" s="17" t="n"/>
      <ns0:c r="AD1050" s="17" t="n"/>
      <ns0:c r="AE1050" s="17" t="n"/>
      <ns0:c r="AF1050" s="17" t="n"/>
      <ns0:c r="AG1050" s="17" t="n"/>
    </ns0:row>
    <ns0:row r="1051" ht="24" customHeight="1">
      <ns0:c r="D1051" s="17" t="n"/>
      <ns0:c r="E1051" s="17" t="n"/>
      <ns0:c r="F1051" s="17" t="n"/>
      <ns0:c r="G1051" s="17" t="n"/>
      <ns0:c r="H1051" s="17" t="n"/>
      <ns0:c r="I1051" s="17" t="n"/>
      <ns0:c r="J1051" s="17" t="n"/>
      <ns0:c r="K1051" s="17" t="n"/>
      <ns0:c r="L1051" s="17" t="n"/>
      <ns0:c r="M1051" s="17" t="n"/>
      <ns0:c r="N1051" s="17" t="n"/>
      <ns0:c r="O1051" s="17" t="n"/>
      <ns0:c r="P1051" s="17" t="n"/>
      <ns0:c r="Q1051" s="17" t="n"/>
      <ns0:c r="R1051" s="17" t="n"/>
      <ns0:c r="S1051" s="17" t="n"/>
      <ns0:c r="T1051" s="17" t="n"/>
      <ns0:c r="U1051" s="17" t="n"/>
      <ns0:c r="V1051" s="17" t="n"/>
      <ns0:c r="W1051" s="17" t="n"/>
      <ns0:c r="X1051" s="17" t="n"/>
      <ns0:c r="Y1051" s="17" t="n"/>
      <ns0:c r="Z1051" s="17" t="n"/>
      <ns0:c r="AA1051" s="17" t="n"/>
      <ns0:c r="AB1051" s="17" t="n"/>
      <ns0:c r="AC1051" s="17" t="n"/>
      <ns0:c r="AD1051" s="17" t="n"/>
      <ns0:c r="AE1051" s="17" t="n"/>
      <ns0:c r="AF1051" s="17" t="n"/>
      <ns0:c r="AG1051" s="17" t="n"/>
    </ns0:row>
    <ns0:row r="1052" ht="24" customHeight="1">
      <ns0:c r="D1052" s="17" t="n"/>
      <ns0:c r="E1052" s="17" t="n"/>
      <ns0:c r="F1052" s="17" t="n"/>
      <ns0:c r="G1052" s="17" t="n"/>
      <ns0:c r="H1052" s="17" t="n"/>
      <ns0:c r="I1052" s="17" t="n"/>
      <ns0:c r="J1052" s="17" t="n"/>
      <ns0:c r="K1052" s="17" t="n"/>
      <ns0:c r="L1052" s="17" t="n"/>
      <ns0:c r="M1052" s="17" t="n"/>
      <ns0:c r="N1052" s="17" t="n"/>
      <ns0:c r="O1052" s="17" t="n"/>
      <ns0:c r="P1052" s="17" t="n"/>
      <ns0:c r="Q1052" s="17" t="n"/>
      <ns0:c r="R1052" s="17" t="n"/>
      <ns0:c r="S1052" s="17" t="n"/>
      <ns0:c r="T1052" s="17" t="n"/>
      <ns0:c r="U1052" s="17" t="n"/>
      <ns0:c r="V1052" s="17" t="n"/>
      <ns0:c r="W1052" s="17" t="n"/>
      <ns0:c r="X1052" s="17" t="n"/>
      <ns0:c r="Y1052" s="17" t="n"/>
      <ns0:c r="Z1052" s="17" t="n"/>
      <ns0:c r="AA1052" s="17" t="n"/>
      <ns0:c r="AB1052" s="17" t="n"/>
      <ns0:c r="AC1052" s="17" t="n"/>
      <ns0:c r="AD1052" s="17" t="n"/>
      <ns0:c r="AE1052" s="17" t="n"/>
      <ns0:c r="AF1052" s="17" t="n"/>
      <ns0:c r="AG1052" s="17" t="n"/>
    </ns0:row>
    <ns0:row r="1053" ht="24" customHeight="1">
      <ns0:c r="D1053" s="17" t="n"/>
      <ns0:c r="E1053" s="17" t="n"/>
      <ns0:c r="F1053" s="17" t="n"/>
      <ns0:c r="G1053" s="17" t="n"/>
      <ns0:c r="H1053" s="17" t="n"/>
      <ns0:c r="I1053" s="17" t="n"/>
      <ns0:c r="J1053" s="17" t="n"/>
      <ns0:c r="K1053" s="17" t="n"/>
      <ns0:c r="L1053" s="17" t="n"/>
      <ns0:c r="M1053" s="17" t="n"/>
      <ns0:c r="N1053" s="17" t="n"/>
      <ns0:c r="O1053" s="17" t="n"/>
      <ns0:c r="P1053" s="17" t="n"/>
      <ns0:c r="Q1053" s="17" t="n"/>
      <ns0:c r="R1053" s="17" t="n"/>
      <ns0:c r="S1053" s="17" t="n"/>
      <ns0:c r="T1053" s="17" t="n"/>
      <ns0:c r="U1053" s="17" t="n"/>
      <ns0:c r="V1053" s="17" t="n"/>
      <ns0:c r="W1053" s="17" t="n"/>
      <ns0:c r="X1053" s="17" t="n"/>
      <ns0:c r="Y1053" s="17" t="n"/>
      <ns0:c r="Z1053" s="17" t="n"/>
      <ns0:c r="AA1053" s="17" t="n"/>
      <ns0:c r="AB1053" s="17" t="n"/>
      <ns0:c r="AC1053" s="17" t="n"/>
      <ns0:c r="AD1053" s="17" t="n"/>
      <ns0:c r="AE1053" s="17" t="n"/>
      <ns0:c r="AF1053" s="17" t="n"/>
      <ns0:c r="AG1053" s="17" t="n"/>
    </ns0:row>
    <ns0:row r="1054" ht="24" customHeight="1">
      <ns0:c r="D1054" s="17" t="n"/>
      <ns0:c r="E1054" s="17" t="n"/>
      <ns0:c r="F1054" s="17" t="n"/>
      <ns0:c r="G1054" s="17" t="n"/>
      <ns0:c r="H1054" s="17" t="n"/>
      <ns0:c r="I1054" s="17" t="n"/>
      <ns0:c r="J1054" s="17" t="n"/>
      <ns0:c r="K1054" s="17" t="n"/>
      <ns0:c r="L1054" s="17" t="n"/>
      <ns0:c r="M1054" s="17" t="n"/>
      <ns0:c r="N1054" s="17" t="n"/>
      <ns0:c r="O1054" s="17" t="n"/>
      <ns0:c r="P1054" s="17" t="n"/>
      <ns0:c r="Q1054" s="17" t="n"/>
      <ns0:c r="R1054" s="17" t="n"/>
      <ns0:c r="S1054" s="17" t="n"/>
      <ns0:c r="T1054" s="17" t="n"/>
      <ns0:c r="U1054" s="17" t="n"/>
      <ns0:c r="V1054" s="17" t="n"/>
      <ns0:c r="W1054" s="17" t="n"/>
      <ns0:c r="X1054" s="17" t="n"/>
      <ns0:c r="Y1054" s="17" t="n"/>
      <ns0:c r="Z1054" s="17" t="n"/>
      <ns0:c r="AA1054" s="17" t="n"/>
      <ns0:c r="AB1054" s="17" t="n"/>
      <ns0:c r="AC1054" s="17" t="n"/>
      <ns0:c r="AD1054" s="17" t="n"/>
      <ns0:c r="AE1054" s="17" t="n"/>
      <ns0:c r="AF1054" s="17" t="n"/>
      <ns0:c r="AG1054" s="17" t="n"/>
    </ns0:row>
    <ns0:row r="1055" ht="24" customHeight="1">
      <ns0:c r="D1055" s="17" t="n"/>
      <ns0:c r="E1055" s="17" t="n"/>
      <ns0:c r="F1055" s="17" t="n"/>
      <ns0:c r="G1055" s="17" t="n"/>
      <ns0:c r="H1055" s="17" t="n"/>
      <ns0:c r="I1055" s="17" t="n"/>
      <ns0:c r="J1055" s="17" t="n"/>
      <ns0:c r="K1055" s="17" t="n"/>
      <ns0:c r="L1055" s="17" t="n"/>
      <ns0:c r="M1055" s="17" t="n"/>
      <ns0:c r="N1055" s="17" t="n"/>
      <ns0:c r="O1055" s="17" t="n"/>
      <ns0:c r="P1055" s="17" t="n"/>
      <ns0:c r="Q1055" s="17" t="n"/>
      <ns0:c r="R1055" s="17" t="n"/>
      <ns0:c r="S1055" s="17" t="n"/>
      <ns0:c r="T1055" s="17" t="n"/>
      <ns0:c r="U1055" s="17" t="n"/>
      <ns0:c r="V1055" s="17" t="n"/>
      <ns0:c r="W1055" s="17" t="n"/>
      <ns0:c r="X1055" s="17" t="n"/>
      <ns0:c r="Y1055" s="17" t="n"/>
      <ns0:c r="Z1055" s="17" t="n"/>
      <ns0:c r="AA1055" s="17" t="n"/>
      <ns0:c r="AB1055" s="17" t="n"/>
      <ns0:c r="AC1055" s="17" t="n"/>
      <ns0:c r="AD1055" s="17" t="n"/>
      <ns0:c r="AE1055" s="17" t="n"/>
      <ns0:c r="AF1055" s="17" t="n"/>
      <ns0:c r="AG1055" s="17" t="n"/>
    </ns0:row>
    <ns0:row r="1056" ht="24" customHeight="1">
      <ns0:c r="D1056" s="17" t="n"/>
      <ns0:c r="E1056" s="17" t="n"/>
      <ns0:c r="F1056" s="17" t="n"/>
      <ns0:c r="G1056" s="17" t="n"/>
      <ns0:c r="H1056" s="17" t="n"/>
      <ns0:c r="I1056" s="17" t="n"/>
      <ns0:c r="J1056" s="17" t="n"/>
      <ns0:c r="K1056" s="17" t="n"/>
      <ns0:c r="L1056" s="17" t="n"/>
      <ns0:c r="M1056" s="17" t="n"/>
      <ns0:c r="N1056" s="17" t="n"/>
      <ns0:c r="O1056" s="17" t="n"/>
      <ns0:c r="P1056" s="17" t="n"/>
      <ns0:c r="Q1056" s="17" t="n"/>
      <ns0:c r="R1056" s="17" t="n"/>
      <ns0:c r="S1056" s="17" t="n"/>
      <ns0:c r="T1056" s="17" t="n"/>
      <ns0:c r="U1056" s="17" t="n"/>
      <ns0:c r="V1056" s="17" t="n"/>
      <ns0:c r="W1056" s="17" t="n"/>
      <ns0:c r="X1056" s="17" t="n"/>
      <ns0:c r="Y1056" s="17" t="n"/>
      <ns0:c r="Z1056" s="17" t="n"/>
      <ns0:c r="AA1056" s="17" t="n"/>
      <ns0:c r="AB1056" s="17" t="n"/>
      <ns0:c r="AC1056" s="17" t="n"/>
      <ns0:c r="AD1056" s="17" t="n"/>
      <ns0:c r="AE1056" s="17" t="n"/>
      <ns0:c r="AF1056" s="17" t="n"/>
      <ns0:c r="AG1056" s="17" t="n"/>
    </ns0:row>
    <ns0:row r="1057" ht="24" customHeight="1">
      <ns0:c r="D1057" s="17" t="n"/>
      <ns0:c r="E1057" s="17" t="n"/>
      <ns0:c r="F1057" s="17" t="n"/>
      <ns0:c r="G1057" s="17" t="n"/>
      <ns0:c r="H1057" s="17" t="n"/>
      <ns0:c r="I1057" s="17" t="n"/>
      <ns0:c r="J1057" s="17" t="n"/>
      <ns0:c r="K1057" s="17" t="n"/>
      <ns0:c r="L1057" s="17" t="n"/>
      <ns0:c r="M1057" s="17" t="n"/>
      <ns0:c r="N1057" s="17" t="n"/>
      <ns0:c r="O1057" s="17" t="n"/>
      <ns0:c r="P1057" s="17" t="n"/>
      <ns0:c r="Q1057" s="17" t="n"/>
      <ns0:c r="R1057" s="17" t="n"/>
      <ns0:c r="S1057" s="17" t="n"/>
      <ns0:c r="T1057" s="17" t="n"/>
      <ns0:c r="U1057" s="17" t="n"/>
      <ns0:c r="V1057" s="17" t="n"/>
      <ns0:c r="W1057" s="17" t="n"/>
      <ns0:c r="X1057" s="17" t="n"/>
      <ns0:c r="Y1057" s="17" t="n"/>
      <ns0:c r="Z1057" s="17" t="n"/>
      <ns0:c r="AA1057" s="17" t="n"/>
      <ns0:c r="AB1057" s="17" t="n"/>
      <ns0:c r="AC1057" s="17" t="n"/>
      <ns0:c r="AD1057" s="17" t="n"/>
      <ns0:c r="AE1057" s="17" t="n"/>
      <ns0:c r="AF1057" s="17" t="n"/>
      <ns0:c r="AG1057" s="17" t="n"/>
    </ns0:row>
    <ns0:row r="1058" ht="24" customHeight="1">
      <ns0:c r="D1058" s="17" t="n"/>
      <ns0:c r="E1058" s="17" t="n"/>
      <ns0:c r="F1058" s="17" t="n"/>
      <ns0:c r="G1058" s="17" t="n"/>
      <ns0:c r="H1058" s="17" t="n"/>
      <ns0:c r="I1058" s="17" t="n"/>
      <ns0:c r="J1058" s="17" t="n"/>
      <ns0:c r="K1058" s="17" t="n"/>
      <ns0:c r="L1058" s="17" t="n"/>
      <ns0:c r="M1058" s="17" t="n"/>
      <ns0:c r="N1058" s="17" t="n"/>
      <ns0:c r="O1058" s="17" t="n"/>
      <ns0:c r="P1058" s="17" t="n"/>
      <ns0:c r="Q1058" s="17" t="n"/>
      <ns0:c r="R1058" s="17" t="n"/>
      <ns0:c r="S1058" s="17" t="n"/>
      <ns0:c r="T1058" s="17" t="n"/>
      <ns0:c r="U1058" s="17" t="n"/>
      <ns0:c r="V1058" s="17" t="n"/>
      <ns0:c r="W1058" s="17" t="n"/>
      <ns0:c r="X1058" s="17" t="n"/>
      <ns0:c r="Y1058" s="17" t="n"/>
      <ns0:c r="Z1058" s="17" t="n"/>
      <ns0:c r="AA1058" s="17" t="n"/>
      <ns0:c r="AB1058" s="17" t="n"/>
      <ns0:c r="AC1058" s="17" t="n"/>
      <ns0:c r="AD1058" s="17" t="n"/>
      <ns0:c r="AE1058" s="17" t="n"/>
      <ns0:c r="AF1058" s="17" t="n"/>
      <ns0:c r="AG1058" s="17" t="n"/>
    </ns0:row>
    <ns0:row r="1059" ht="24" customHeight="1">
      <ns0:c r="D1059" s="17" t="n"/>
      <ns0:c r="E1059" s="17" t="n"/>
      <ns0:c r="F1059" s="17" t="n"/>
      <ns0:c r="G1059" s="17" t="n"/>
      <ns0:c r="H1059" s="17" t="n"/>
      <ns0:c r="I1059" s="17" t="n"/>
      <ns0:c r="J1059" s="17" t="n"/>
      <ns0:c r="K1059" s="17" t="n"/>
      <ns0:c r="L1059" s="17" t="n"/>
      <ns0:c r="M1059" s="17" t="n"/>
      <ns0:c r="N1059" s="17" t="n"/>
      <ns0:c r="O1059" s="17" t="n"/>
      <ns0:c r="P1059" s="17" t="n"/>
      <ns0:c r="Q1059" s="17" t="n"/>
      <ns0:c r="R1059" s="17" t="n"/>
      <ns0:c r="S1059" s="17" t="n"/>
      <ns0:c r="T1059" s="17" t="n"/>
      <ns0:c r="U1059" s="17" t="n"/>
      <ns0:c r="V1059" s="17" t="n"/>
      <ns0:c r="W1059" s="17" t="n"/>
      <ns0:c r="X1059" s="17" t="n"/>
      <ns0:c r="Y1059" s="17" t="n"/>
      <ns0:c r="Z1059" s="17" t="n"/>
      <ns0:c r="AA1059" s="17" t="n"/>
      <ns0:c r="AB1059" s="17" t="n"/>
      <ns0:c r="AC1059" s="17" t="n"/>
      <ns0:c r="AD1059" s="17" t="n"/>
      <ns0:c r="AE1059" s="17" t="n"/>
      <ns0:c r="AF1059" s="17" t="n"/>
      <ns0:c r="AG1059" s="17" t="n"/>
    </ns0:row>
    <ns0:row r="1060" ht="24" customHeight="1">
      <ns0:c r="D1060" s="17" t="n"/>
      <ns0:c r="E1060" s="17" t="n"/>
      <ns0:c r="F1060" s="17" t="n"/>
      <ns0:c r="G1060" s="17" t="n"/>
      <ns0:c r="H1060" s="17" t="n"/>
      <ns0:c r="I1060" s="17" t="n"/>
      <ns0:c r="J1060" s="17" t="n"/>
      <ns0:c r="K1060" s="17" t="n"/>
      <ns0:c r="L1060" s="17" t="n"/>
      <ns0:c r="M1060" s="17" t="n"/>
      <ns0:c r="N1060" s="17" t="n"/>
      <ns0:c r="O1060" s="17" t="n"/>
      <ns0:c r="P1060" s="17" t="n"/>
      <ns0:c r="Q1060" s="17" t="n"/>
      <ns0:c r="R1060" s="17" t="n"/>
      <ns0:c r="S1060" s="17" t="n"/>
      <ns0:c r="T1060" s="17" t="n"/>
      <ns0:c r="U1060" s="17" t="n"/>
      <ns0:c r="V1060" s="17" t="n"/>
      <ns0:c r="W1060" s="17" t="n"/>
      <ns0:c r="X1060" s="17" t="n"/>
      <ns0:c r="Y1060" s="17" t="n"/>
      <ns0:c r="Z1060" s="17" t="n"/>
      <ns0:c r="AA1060" s="17" t="n"/>
      <ns0:c r="AB1060" s="17" t="n"/>
      <ns0:c r="AC1060" s="17" t="n"/>
      <ns0:c r="AD1060" s="17" t="n"/>
      <ns0:c r="AE1060" s="17" t="n"/>
      <ns0:c r="AF1060" s="17" t="n"/>
      <ns0:c r="AG1060" s="17" t="n"/>
    </ns0:row>
    <ns0:row r="1061" ht="24" customHeight="1">
      <ns0:c r="D1061" s="17" t="n"/>
      <ns0:c r="E1061" s="17" t="n"/>
      <ns0:c r="F1061" s="17" t="n"/>
      <ns0:c r="G1061" s="17" t="n"/>
      <ns0:c r="H1061" s="17" t="n"/>
      <ns0:c r="I1061" s="17" t="n"/>
      <ns0:c r="J1061" s="17" t="n"/>
      <ns0:c r="K1061" s="17" t="n"/>
      <ns0:c r="L1061" s="17" t="n"/>
      <ns0:c r="M1061" s="17" t="n"/>
      <ns0:c r="N1061" s="17" t="n"/>
      <ns0:c r="O1061" s="17" t="n"/>
      <ns0:c r="P1061" s="17" t="n"/>
      <ns0:c r="Q1061" s="17" t="n"/>
      <ns0:c r="R1061" s="17" t="n"/>
      <ns0:c r="S1061" s="17" t="n"/>
      <ns0:c r="T1061" s="17" t="n"/>
      <ns0:c r="U1061" s="17" t="n"/>
      <ns0:c r="V1061" s="17" t="n"/>
      <ns0:c r="W1061" s="17" t="n"/>
      <ns0:c r="X1061" s="17" t="n"/>
      <ns0:c r="Y1061" s="17" t="n"/>
      <ns0:c r="Z1061" s="17" t="n"/>
      <ns0:c r="AA1061" s="17" t="n"/>
      <ns0:c r="AB1061" s="17" t="n"/>
      <ns0:c r="AC1061" s="17" t="n"/>
      <ns0:c r="AD1061" s="17" t="n"/>
      <ns0:c r="AE1061" s="17" t="n"/>
      <ns0:c r="AF1061" s="17" t="n"/>
      <ns0:c r="AG1061" s="17" t="n"/>
    </ns0:row>
    <ns0:row r="1062" ht="24" customHeight="1">
      <ns0:c r="D1062" s="17" t="n"/>
      <ns0:c r="E1062" s="17" t="n"/>
      <ns0:c r="F1062" s="17" t="n"/>
      <ns0:c r="G1062" s="17" t="n"/>
      <ns0:c r="H1062" s="17" t="n"/>
      <ns0:c r="I1062" s="17" t="n"/>
      <ns0:c r="J1062" s="17" t="n"/>
      <ns0:c r="K1062" s="17" t="n"/>
      <ns0:c r="L1062" s="17" t="n"/>
      <ns0:c r="M1062" s="17" t="n"/>
      <ns0:c r="N1062" s="17" t="n"/>
      <ns0:c r="O1062" s="17" t="n"/>
      <ns0:c r="P1062" s="17" t="n"/>
      <ns0:c r="Q1062" s="17" t="n"/>
      <ns0:c r="R1062" s="17" t="n"/>
      <ns0:c r="S1062" s="17" t="n"/>
      <ns0:c r="T1062" s="17" t="n"/>
      <ns0:c r="U1062" s="17" t="n"/>
      <ns0:c r="V1062" s="17" t="n"/>
      <ns0:c r="W1062" s="17" t="n"/>
      <ns0:c r="X1062" s="17" t="n"/>
      <ns0:c r="Y1062" s="17" t="n"/>
      <ns0:c r="Z1062" s="17" t="n"/>
      <ns0:c r="AA1062" s="17" t="n"/>
      <ns0:c r="AB1062" s="17" t="n"/>
      <ns0:c r="AC1062" s="17" t="n"/>
      <ns0:c r="AD1062" s="17" t="n"/>
      <ns0:c r="AE1062" s="17" t="n"/>
      <ns0:c r="AF1062" s="17" t="n"/>
      <ns0:c r="AG1062" s="17" t="n"/>
    </ns0:row>
    <ns0:row r="1063" ht="24" customHeight="1">
      <ns0:c r="D1063" s="17" t="n"/>
      <ns0:c r="E1063" s="17" t="n"/>
      <ns0:c r="F1063" s="17" t="n"/>
      <ns0:c r="G1063" s="17" t="n"/>
      <ns0:c r="H1063" s="17" t="n"/>
      <ns0:c r="I1063" s="17" t="n"/>
      <ns0:c r="J1063" s="17" t="n"/>
      <ns0:c r="K1063" s="17" t="n"/>
      <ns0:c r="L1063" s="17" t="n"/>
      <ns0:c r="M1063" s="17" t="n"/>
      <ns0:c r="N1063" s="17" t="n"/>
      <ns0:c r="O1063" s="17" t="n"/>
      <ns0:c r="P1063" s="17" t="n"/>
      <ns0:c r="Q1063" s="17" t="n"/>
      <ns0:c r="R1063" s="17" t="n"/>
      <ns0:c r="S1063" s="17" t="n"/>
      <ns0:c r="T1063" s="17" t="n"/>
      <ns0:c r="U1063" s="17" t="n"/>
      <ns0:c r="V1063" s="17" t="n"/>
      <ns0:c r="W1063" s="17" t="n"/>
      <ns0:c r="X1063" s="17" t="n"/>
      <ns0:c r="Y1063" s="17" t="n"/>
      <ns0:c r="Z1063" s="17" t="n"/>
      <ns0:c r="AA1063" s="17" t="n"/>
      <ns0:c r="AB1063" s="17" t="n"/>
      <ns0:c r="AC1063" s="17" t="n"/>
      <ns0:c r="AD1063" s="17" t="n"/>
      <ns0:c r="AE1063" s="17" t="n"/>
      <ns0:c r="AF1063" s="17" t="n"/>
      <ns0:c r="AG1063" s="17" t="n"/>
    </ns0:row>
    <ns0:row r="1064" ht="24" customHeight="1">
      <ns0:c r="D1064" s="17" t="n"/>
      <ns0:c r="E1064" s="17" t="n"/>
      <ns0:c r="F1064" s="17" t="n"/>
      <ns0:c r="G1064" s="17" t="n"/>
      <ns0:c r="H1064" s="17" t="n"/>
      <ns0:c r="I1064" s="17" t="n"/>
      <ns0:c r="J1064" s="17" t="n"/>
      <ns0:c r="K1064" s="17" t="n"/>
      <ns0:c r="L1064" s="17" t="n"/>
      <ns0:c r="M1064" s="17" t="n"/>
      <ns0:c r="N1064" s="17" t="n"/>
      <ns0:c r="O1064" s="17" t="n"/>
      <ns0:c r="P1064" s="17" t="n"/>
      <ns0:c r="Q1064" s="17" t="n"/>
      <ns0:c r="R1064" s="17" t="n"/>
      <ns0:c r="S1064" s="17" t="n"/>
      <ns0:c r="T1064" s="17" t="n"/>
      <ns0:c r="U1064" s="17" t="n"/>
      <ns0:c r="V1064" s="17" t="n"/>
      <ns0:c r="W1064" s="17" t="n"/>
      <ns0:c r="X1064" s="17" t="n"/>
      <ns0:c r="Y1064" s="17" t="n"/>
      <ns0:c r="Z1064" s="17" t="n"/>
      <ns0:c r="AA1064" s="17" t="n"/>
      <ns0:c r="AB1064" s="17" t="n"/>
      <ns0:c r="AC1064" s="17" t="n"/>
      <ns0:c r="AD1064" s="17" t="n"/>
      <ns0:c r="AE1064" s="17" t="n"/>
      <ns0:c r="AF1064" s="17" t="n"/>
      <ns0:c r="AG1064" s="17" t="n"/>
    </ns0:row>
    <ns0:row r="1065" ht="24" customHeight="1">
      <ns0:c r="D1065" s="17" t="n"/>
      <ns0:c r="E1065" s="17" t="n"/>
      <ns0:c r="F1065" s="17" t="n"/>
      <ns0:c r="G1065" s="17" t="n"/>
      <ns0:c r="H1065" s="17" t="n"/>
      <ns0:c r="I1065" s="17" t="n"/>
      <ns0:c r="J1065" s="17" t="n"/>
      <ns0:c r="K1065" s="17" t="n"/>
      <ns0:c r="L1065" s="17" t="n"/>
      <ns0:c r="M1065" s="17" t="n"/>
      <ns0:c r="N1065" s="17" t="n"/>
      <ns0:c r="O1065" s="17" t="n"/>
      <ns0:c r="P1065" s="17" t="n"/>
      <ns0:c r="Q1065" s="17" t="n"/>
      <ns0:c r="R1065" s="17" t="n"/>
      <ns0:c r="S1065" s="17" t="n"/>
      <ns0:c r="T1065" s="17" t="n"/>
      <ns0:c r="U1065" s="17" t="n"/>
      <ns0:c r="V1065" s="17" t="n"/>
      <ns0:c r="W1065" s="17" t="n"/>
      <ns0:c r="X1065" s="17" t="n"/>
      <ns0:c r="Y1065" s="17" t="n"/>
      <ns0:c r="Z1065" s="17" t="n"/>
      <ns0:c r="AA1065" s="17" t="n"/>
      <ns0:c r="AB1065" s="17" t="n"/>
      <ns0:c r="AC1065" s="17" t="n"/>
      <ns0:c r="AD1065" s="17" t="n"/>
      <ns0:c r="AE1065" s="17" t="n"/>
      <ns0:c r="AF1065" s="17" t="n"/>
      <ns0:c r="AG1065" s="17" t="n"/>
    </ns0:row>
    <ns0:row r="1066" ht="24" customHeight="1">
      <ns0:c r="D1066" s="17" t="n"/>
      <ns0:c r="E1066" s="17" t="n"/>
      <ns0:c r="F1066" s="17" t="n"/>
      <ns0:c r="G1066" s="17" t="n"/>
      <ns0:c r="H1066" s="17" t="n"/>
      <ns0:c r="I1066" s="17" t="n"/>
      <ns0:c r="J1066" s="17" t="n"/>
      <ns0:c r="K1066" s="17" t="n"/>
      <ns0:c r="L1066" s="17" t="n"/>
      <ns0:c r="M1066" s="17" t="n"/>
      <ns0:c r="N1066" s="17" t="n"/>
      <ns0:c r="O1066" s="17" t="n"/>
      <ns0:c r="P1066" s="17" t="n"/>
      <ns0:c r="Q1066" s="17" t="n"/>
      <ns0:c r="R1066" s="17" t="n"/>
      <ns0:c r="S1066" s="17" t="n"/>
      <ns0:c r="T1066" s="17" t="n"/>
      <ns0:c r="U1066" s="17" t="n"/>
      <ns0:c r="V1066" s="17" t="n"/>
      <ns0:c r="W1066" s="17" t="n"/>
      <ns0:c r="X1066" s="17" t="n"/>
      <ns0:c r="Y1066" s="17" t="n"/>
      <ns0:c r="Z1066" s="17" t="n"/>
      <ns0:c r="AA1066" s="17" t="n"/>
      <ns0:c r="AB1066" s="17" t="n"/>
      <ns0:c r="AC1066" s="17" t="n"/>
      <ns0:c r="AD1066" s="17" t="n"/>
      <ns0:c r="AE1066" s="17" t="n"/>
      <ns0:c r="AF1066" s="17" t="n"/>
      <ns0:c r="AG1066" s="17" t="n"/>
    </ns0:row>
    <ns0:row r="1067" ht="24" customHeight="1">
      <ns0:c r="D1067" s="17" t="n"/>
      <ns0:c r="E1067" s="17" t="n"/>
      <ns0:c r="F1067" s="17" t="n"/>
      <ns0:c r="G1067" s="17" t="n"/>
      <ns0:c r="H1067" s="17" t="n"/>
      <ns0:c r="I1067" s="17" t="n"/>
      <ns0:c r="J1067" s="17" t="n"/>
      <ns0:c r="K1067" s="17" t="n"/>
      <ns0:c r="L1067" s="17" t="n"/>
      <ns0:c r="M1067" s="17" t="n"/>
      <ns0:c r="N1067" s="17" t="n"/>
      <ns0:c r="O1067" s="17" t="n"/>
      <ns0:c r="P1067" s="17" t="n"/>
      <ns0:c r="Q1067" s="17" t="n"/>
      <ns0:c r="R1067" s="17" t="n"/>
      <ns0:c r="S1067" s="17" t="n"/>
      <ns0:c r="T1067" s="17" t="n"/>
      <ns0:c r="U1067" s="17" t="n"/>
      <ns0:c r="V1067" s="17" t="n"/>
      <ns0:c r="W1067" s="17" t="n"/>
      <ns0:c r="X1067" s="17" t="n"/>
      <ns0:c r="Y1067" s="17" t="n"/>
      <ns0:c r="Z1067" s="17" t="n"/>
      <ns0:c r="AA1067" s="17" t="n"/>
      <ns0:c r="AB1067" s="17" t="n"/>
      <ns0:c r="AC1067" s="17" t="n"/>
      <ns0:c r="AD1067" s="17" t="n"/>
      <ns0:c r="AE1067" s="17" t="n"/>
      <ns0:c r="AF1067" s="17" t="n"/>
      <ns0:c r="AG1067" s="17" t="n"/>
    </ns0:row>
    <ns0:row r="1068" ht="24" customHeight="1">
      <ns0:c r="D1068" s="17" t="n"/>
      <ns0:c r="E1068" s="17" t="n"/>
      <ns0:c r="F1068" s="17" t="n"/>
      <ns0:c r="G1068" s="17" t="n"/>
      <ns0:c r="H1068" s="17" t="n"/>
      <ns0:c r="I1068" s="17" t="n"/>
      <ns0:c r="J1068" s="17" t="n"/>
      <ns0:c r="K1068" s="17" t="n"/>
      <ns0:c r="L1068" s="17" t="n"/>
      <ns0:c r="M1068" s="17" t="n"/>
      <ns0:c r="N1068" s="17" t="n"/>
      <ns0:c r="O1068" s="17" t="n"/>
      <ns0:c r="P1068" s="17" t="n"/>
      <ns0:c r="Q1068" s="17" t="n"/>
      <ns0:c r="R1068" s="17" t="n"/>
      <ns0:c r="S1068" s="17" t="n"/>
      <ns0:c r="T1068" s="17" t="n"/>
      <ns0:c r="U1068" s="17" t="n"/>
      <ns0:c r="V1068" s="17" t="n"/>
      <ns0:c r="W1068" s="17" t="n"/>
      <ns0:c r="X1068" s="17" t="n"/>
      <ns0:c r="Y1068" s="17" t="n"/>
      <ns0:c r="Z1068" s="17" t="n"/>
      <ns0:c r="AA1068" s="17" t="n"/>
      <ns0:c r="AB1068" s="17" t="n"/>
      <ns0:c r="AC1068" s="17" t="n"/>
      <ns0:c r="AD1068" s="17" t="n"/>
      <ns0:c r="AE1068" s="17" t="n"/>
      <ns0:c r="AF1068" s="17" t="n"/>
      <ns0:c r="AG1068" s="17" t="n"/>
    </ns0:row>
    <ns0:row r="1069" ht="24" customHeight="1">
      <ns0:c r="D1069" s="17" t="n"/>
      <ns0:c r="E1069" s="17" t="n"/>
      <ns0:c r="F1069" s="17" t="n"/>
      <ns0:c r="G1069" s="17" t="n"/>
      <ns0:c r="H1069" s="17" t="n"/>
      <ns0:c r="I1069" s="17" t="n"/>
      <ns0:c r="J1069" s="17" t="n"/>
      <ns0:c r="K1069" s="17" t="n"/>
      <ns0:c r="L1069" s="17" t="n"/>
      <ns0:c r="M1069" s="17" t="n"/>
      <ns0:c r="N1069" s="17" t="n"/>
      <ns0:c r="O1069" s="17" t="n"/>
      <ns0:c r="P1069" s="17" t="n"/>
      <ns0:c r="Q1069" s="17" t="n"/>
      <ns0:c r="R1069" s="17" t="n"/>
      <ns0:c r="S1069" s="17" t="n"/>
      <ns0:c r="T1069" s="17" t="n"/>
      <ns0:c r="U1069" s="17" t="n"/>
      <ns0:c r="V1069" s="17" t="n"/>
      <ns0:c r="W1069" s="17" t="n"/>
      <ns0:c r="X1069" s="17" t="n"/>
      <ns0:c r="Y1069" s="17" t="n"/>
      <ns0:c r="Z1069" s="17" t="n"/>
      <ns0:c r="AA1069" s="17" t="n"/>
      <ns0:c r="AB1069" s="17" t="n"/>
      <ns0:c r="AC1069" s="17" t="n"/>
      <ns0:c r="AD1069" s="17" t="n"/>
      <ns0:c r="AE1069" s="17" t="n"/>
      <ns0:c r="AF1069" s="17" t="n"/>
      <ns0:c r="AG1069" s="17" t="n"/>
    </ns0:row>
    <ns0:row r="1070" ht="24" customHeight="1">
      <ns0:c r="D1070" s="17" t="n"/>
      <ns0:c r="E1070" s="17" t="n"/>
      <ns0:c r="F1070" s="17" t="n"/>
      <ns0:c r="G1070" s="17" t="n"/>
      <ns0:c r="H1070" s="17" t="n"/>
      <ns0:c r="I1070" s="17" t="n"/>
      <ns0:c r="J1070" s="17" t="n"/>
      <ns0:c r="K1070" s="17" t="n"/>
      <ns0:c r="L1070" s="17" t="n"/>
      <ns0:c r="M1070" s="17" t="n"/>
      <ns0:c r="N1070" s="17" t="n"/>
      <ns0:c r="O1070" s="17" t="n"/>
      <ns0:c r="P1070" s="17" t="n"/>
      <ns0:c r="Q1070" s="17" t="n"/>
      <ns0:c r="R1070" s="17" t="n"/>
      <ns0:c r="S1070" s="17" t="n"/>
      <ns0:c r="T1070" s="17" t="n"/>
      <ns0:c r="U1070" s="17" t="n"/>
      <ns0:c r="V1070" s="17" t="n"/>
      <ns0:c r="W1070" s="17" t="n"/>
      <ns0:c r="X1070" s="17" t="n"/>
      <ns0:c r="Y1070" s="17" t="n"/>
      <ns0:c r="Z1070" s="17" t="n"/>
      <ns0:c r="AA1070" s="17" t="n"/>
      <ns0:c r="AB1070" s="17" t="n"/>
      <ns0:c r="AC1070" s="17" t="n"/>
      <ns0:c r="AD1070" s="17" t="n"/>
      <ns0:c r="AE1070" s="17" t="n"/>
      <ns0:c r="AF1070" s="17" t="n"/>
      <ns0:c r="AG1070" s="17" t="n"/>
    </ns0:row>
    <ns0:row r="1071" ht="24" customHeight="1">
      <ns0:c r="D1071" s="17" t="n"/>
      <ns0:c r="E1071" s="17" t="n"/>
      <ns0:c r="F1071" s="17" t="n"/>
      <ns0:c r="G1071" s="17" t="n"/>
      <ns0:c r="H1071" s="17" t="n"/>
      <ns0:c r="I1071" s="17" t="n"/>
      <ns0:c r="J1071" s="17" t="n"/>
      <ns0:c r="K1071" s="17" t="n"/>
      <ns0:c r="L1071" s="17" t="n"/>
      <ns0:c r="M1071" s="17" t="n"/>
      <ns0:c r="N1071" s="17" t="n"/>
      <ns0:c r="O1071" s="17" t="n"/>
      <ns0:c r="P1071" s="17" t="n"/>
      <ns0:c r="Q1071" s="17" t="n"/>
      <ns0:c r="R1071" s="17" t="n"/>
      <ns0:c r="S1071" s="17" t="n"/>
      <ns0:c r="T1071" s="17" t="n"/>
      <ns0:c r="U1071" s="17" t="n"/>
      <ns0:c r="V1071" s="17" t="n"/>
      <ns0:c r="W1071" s="17" t="n"/>
      <ns0:c r="X1071" s="17" t="n"/>
      <ns0:c r="Y1071" s="17" t="n"/>
      <ns0:c r="Z1071" s="17" t="n"/>
      <ns0:c r="AA1071" s="17" t="n"/>
      <ns0:c r="AB1071" s="17" t="n"/>
      <ns0:c r="AC1071" s="17" t="n"/>
      <ns0:c r="AD1071" s="17" t="n"/>
      <ns0:c r="AE1071" s="17" t="n"/>
      <ns0:c r="AF1071" s="17" t="n"/>
      <ns0:c r="AG1071" s="17" t="n"/>
    </ns0:row>
    <ns0:row r="1072" ht="24" customHeight="1">
      <ns0:c r="D1072" s="17" t="n"/>
      <ns0:c r="E1072" s="17" t="n"/>
      <ns0:c r="F1072" s="17" t="n"/>
      <ns0:c r="G1072" s="17" t="n"/>
      <ns0:c r="H1072" s="17" t="n"/>
      <ns0:c r="I1072" s="17" t="n"/>
      <ns0:c r="J1072" s="17" t="n"/>
      <ns0:c r="K1072" s="17" t="n"/>
      <ns0:c r="L1072" s="17" t="n"/>
      <ns0:c r="M1072" s="17" t="n"/>
      <ns0:c r="N1072" s="17" t="n"/>
      <ns0:c r="O1072" s="17" t="n"/>
      <ns0:c r="P1072" s="17" t="n"/>
      <ns0:c r="Q1072" s="17" t="n"/>
      <ns0:c r="R1072" s="17" t="n"/>
      <ns0:c r="S1072" s="17" t="n"/>
      <ns0:c r="T1072" s="17" t="n"/>
      <ns0:c r="U1072" s="17" t="n"/>
      <ns0:c r="V1072" s="17" t="n"/>
      <ns0:c r="W1072" s="17" t="n"/>
      <ns0:c r="X1072" s="17" t="n"/>
      <ns0:c r="Y1072" s="17" t="n"/>
      <ns0:c r="Z1072" s="17" t="n"/>
      <ns0:c r="AA1072" s="17" t="n"/>
      <ns0:c r="AB1072" s="17" t="n"/>
      <ns0:c r="AC1072" s="17" t="n"/>
      <ns0:c r="AD1072" s="17" t="n"/>
      <ns0:c r="AE1072" s="17" t="n"/>
      <ns0:c r="AF1072" s="17" t="n"/>
      <ns0:c r="AG1072" s="17" t="n"/>
    </ns0:row>
    <ns0:row r="1073" ht="24" customHeight="1">
      <ns0:c r="D1073" s="17" t="n"/>
      <ns0:c r="E1073" s="17" t="n"/>
      <ns0:c r="F1073" s="17" t="n"/>
      <ns0:c r="G1073" s="17" t="n"/>
      <ns0:c r="H1073" s="17" t="n"/>
      <ns0:c r="I1073" s="17" t="n"/>
      <ns0:c r="J1073" s="17" t="n"/>
      <ns0:c r="K1073" s="17" t="n"/>
      <ns0:c r="L1073" s="17" t="n"/>
      <ns0:c r="M1073" s="17" t="n"/>
      <ns0:c r="N1073" s="17" t="n"/>
      <ns0:c r="O1073" s="17" t="n"/>
      <ns0:c r="P1073" s="17" t="n"/>
      <ns0:c r="Q1073" s="17" t="n"/>
      <ns0:c r="R1073" s="17" t="n"/>
      <ns0:c r="S1073" s="17" t="n"/>
      <ns0:c r="T1073" s="17" t="n"/>
      <ns0:c r="U1073" s="17" t="n"/>
      <ns0:c r="V1073" s="17" t="n"/>
      <ns0:c r="W1073" s="17" t="n"/>
      <ns0:c r="X1073" s="17" t="n"/>
      <ns0:c r="Y1073" s="17" t="n"/>
      <ns0:c r="Z1073" s="17" t="n"/>
      <ns0:c r="AA1073" s="17" t="n"/>
      <ns0:c r="AB1073" s="17" t="n"/>
      <ns0:c r="AC1073" s="17" t="n"/>
      <ns0:c r="AD1073" s="17" t="n"/>
      <ns0:c r="AE1073" s="17" t="n"/>
      <ns0:c r="AF1073" s="17" t="n"/>
      <ns0:c r="AG1073" s="17" t="n"/>
    </ns0:row>
    <ns0:row r="1074" ht="24" customHeight="1">
      <ns0:c r="D1074" s="17" t="n"/>
      <ns0:c r="E1074" s="17" t="n"/>
      <ns0:c r="F1074" s="17" t="n"/>
      <ns0:c r="G1074" s="17" t="n"/>
      <ns0:c r="H1074" s="17" t="n"/>
      <ns0:c r="I1074" s="17" t="n"/>
      <ns0:c r="J1074" s="17" t="n"/>
      <ns0:c r="K1074" s="17" t="n"/>
      <ns0:c r="L1074" s="17" t="n"/>
      <ns0:c r="M1074" s="17" t="n"/>
      <ns0:c r="N1074" s="17" t="n"/>
      <ns0:c r="O1074" s="17" t="n"/>
      <ns0:c r="P1074" s="17" t="n"/>
      <ns0:c r="Q1074" s="17" t="n"/>
      <ns0:c r="R1074" s="17" t="n"/>
      <ns0:c r="S1074" s="17" t="n"/>
      <ns0:c r="T1074" s="17" t="n"/>
      <ns0:c r="U1074" s="17" t="n"/>
      <ns0:c r="V1074" s="17" t="n"/>
      <ns0:c r="W1074" s="17" t="n"/>
      <ns0:c r="X1074" s="17" t="n"/>
      <ns0:c r="Y1074" s="17" t="n"/>
      <ns0:c r="Z1074" s="17" t="n"/>
      <ns0:c r="AA1074" s="17" t="n"/>
      <ns0:c r="AB1074" s="17" t="n"/>
      <ns0:c r="AC1074" s="17" t="n"/>
      <ns0:c r="AD1074" s="17" t="n"/>
      <ns0:c r="AE1074" s="17" t="n"/>
      <ns0:c r="AF1074" s="17" t="n"/>
      <ns0:c r="AG1074" s="17" t="n"/>
    </ns0:row>
    <ns0:row r="1075" ht="24" customHeight="1">
      <ns0:c r="D1075" s="17" t="n"/>
      <ns0:c r="E1075" s="17" t="n"/>
      <ns0:c r="F1075" s="17" t="n"/>
      <ns0:c r="G1075" s="17" t="n"/>
      <ns0:c r="H1075" s="17" t="n"/>
      <ns0:c r="I1075" s="17" t="n"/>
      <ns0:c r="J1075" s="17" t="n"/>
      <ns0:c r="K1075" s="17" t="n"/>
      <ns0:c r="L1075" s="17" t="n"/>
      <ns0:c r="M1075" s="17" t="n"/>
      <ns0:c r="N1075" s="17" t="n"/>
      <ns0:c r="O1075" s="17" t="n"/>
      <ns0:c r="P1075" s="17" t="n"/>
      <ns0:c r="Q1075" s="17" t="n"/>
      <ns0:c r="R1075" s="17" t="n"/>
      <ns0:c r="S1075" s="17" t="n"/>
      <ns0:c r="T1075" s="17" t="n"/>
      <ns0:c r="U1075" s="17" t="n"/>
      <ns0:c r="V1075" s="17" t="n"/>
      <ns0:c r="W1075" s="17" t="n"/>
      <ns0:c r="X1075" s="17" t="n"/>
      <ns0:c r="Y1075" s="17" t="n"/>
      <ns0:c r="Z1075" s="17" t="n"/>
      <ns0:c r="AA1075" s="17" t="n"/>
      <ns0:c r="AB1075" s="17" t="n"/>
      <ns0:c r="AC1075" s="17" t="n"/>
      <ns0:c r="AD1075" s="17" t="n"/>
      <ns0:c r="AE1075" s="17" t="n"/>
      <ns0:c r="AF1075" s="17" t="n"/>
      <ns0:c r="AG1075" s="17" t="n"/>
    </ns0:row>
    <ns0:row r="1076" ht="24" customHeight="1">
      <ns0:c r="D1076" s="17" t="n"/>
      <ns0:c r="E1076" s="17" t="n"/>
      <ns0:c r="F1076" s="17" t="n"/>
      <ns0:c r="G1076" s="17" t="n"/>
      <ns0:c r="H1076" s="17" t="n"/>
      <ns0:c r="I1076" s="17" t="n"/>
      <ns0:c r="J1076" s="17" t="n"/>
      <ns0:c r="K1076" s="17" t="n"/>
      <ns0:c r="L1076" s="17" t="n"/>
      <ns0:c r="M1076" s="17" t="n"/>
      <ns0:c r="N1076" s="17" t="n"/>
      <ns0:c r="O1076" s="17" t="n"/>
      <ns0:c r="P1076" s="17" t="n"/>
      <ns0:c r="Q1076" s="17" t="n"/>
      <ns0:c r="R1076" s="17" t="n"/>
      <ns0:c r="S1076" s="17" t="n"/>
      <ns0:c r="T1076" s="17" t="n"/>
      <ns0:c r="U1076" s="17" t="n"/>
      <ns0:c r="V1076" s="17" t="n"/>
      <ns0:c r="W1076" s="17" t="n"/>
      <ns0:c r="X1076" s="17" t="n"/>
      <ns0:c r="Y1076" s="17" t="n"/>
      <ns0:c r="Z1076" s="17" t="n"/>
      <ns0:c r="AA1076" s="17" t="n"/>
      <ns0:c r="AB1076" s="17" t="n"/>
      <ns0:c r="AC1076" s="17" t="n"/>
      <ns0:c r="AD1076" s="17" t="n"/>
      <ns0:c r="AE1076" s="17" t="n"/>
      <ns0:c r="AF1076" s="17" t="n"/>
      <ns0:c r="AG1076" s="17" t="n"/>
    </ns0:row>
    <ns0:row r="1077" ht="24" customHeight="1">
      <ns0:c r="D1077" s="17" t="n"/>
      <ns0:c r="E1077" s="17" t="n"/>
      <ns0:c r="F1077" s="17" t="n"/>
      <ns0:c r="G1077" s="17" t="n"/>
      <ns0:c r="H1077" s="17" t="n"/>
      <ns0:c r="I1077" s="17" t="n"/>
      <ns0:c r="J1077" s="17" t="n"/>
      <ns0:c r="K1077" s="17" t="n"/>
      <ns0:c r="L1077" s="17" t="n"/>
      <ns0:c r="M1077" s="17" t="n"/>
      <ns0:c r="N1077" s="17" t="n"/>
      <ns0:c r="O1077" s="17" t="n"/>
      <ns0:c r="P1077" s="17" t="n"/>
      <ns0:c r="Q1077" s="17" t="n"/>
      <ns0:c r="R1077" s="17" t="n"/>
      <ns0:c r="S1077" s="17" t="n"/>
      <ns0:c r="T1077" s="17" t="n"/>
      <ns0:c r="U1077" s="17" t="n"/>
      <ns0:c r="V1077" s="17" t="n"/>
      <ns0:c r="W1077" s="17" t="n"/>
      <ns0:c r="X1077" s="17" t="n"/>
      <ns0:c r="Y1077" s="17" t="n"/>
      <ns0:c r="Z1077" s="17" t="n"/>
      <ns0:c r="AA1077" s="17" t="n"/>
      <ns0:c r="AB1077" s="17" t="n"/>
      <ns0:c r="AC1077" s="17" t="n"/>
      <ns0:c r="AD1077" s="17" t="n"/>
      <ns0:c r="AE1077" s="17" t="n"/>
      <ns0:c r="AF1077" s="17" t="n"/>
      <ns0:c r="AG1077" s="17" t="n"/>
    </ns0:row>
    <ns0:row r="1078" ht="24" customHeight="1">
      <ns0:c r="D1078" s="17" t="n"/>
      <ns0:c r="E1078" s="17" t="n"/>
      <ns0:c r="F1078" s="17" t="n"/>
      <ns0:c r="G1078" s="17" t="n"/>
      <ns0:c r="H1078" s="17" t="n"/>
      <ns0:c r="I1078" s="17" t="n"/>
      <ns0:c r="J1078" s="17" t="n"/>
      <ns0:c r="K1078" s="17" t="n"/>
      <ns0:c r="L1078" s="17" t="n"/>
      <ns0:c r="M1078" s="17" t="n"/>
      <ns0:c r="N1078" s="17" t="n"/>
      <ns0:c r="O1078" s="17" t="n"/>
      <ns0:c r="P1078" s="17" t="n"/>
      <ns0:c r="Q1078" s="17" t="n"/>
      <ns0:c r="R1078" s="17" t="n"/>
      <ns0:c r="S1078" s="17" t="n"/>
      <ns0:c r="T1078" s="17" t="n"/>
      <ns0:c r="U1078" s="17" t="n"/>
      <ns0:c r="V1078" s="17" t="n"/>
      <ns0:c r="W1078" s="17" t="n"/>
      <ns0:c r="X1078" s="17" t="n"/>
      <ns0:c r="Y1078" s="17" t="n"/>
      <ns0:c r="Z1078" s="17" t="n"/>
      <ns0:c r="AA1078" s="17" t="n"/>
      <ns0:c r="AB1078" s="17" t="n"/>
      <ns0:c r="AC1078" s="17" t="n"/>
      <ns0:c r="AD1078" s="17" t="n"/>
      <ns0:c r="AE1078" s="17" t="n"/>
      <ns0:c r="AF1078" s="17" t="n"/>
      <ns0:c r="AG1078" s="17" t="n"/>
    </ns0:row>
    <ns0:row r="1079" ht="24" customHeight="1">
      <ns0:c r="D1079" s="17" t="n"/>
      <ns0:c r="E1079" s="17" t="n"/>
      <ns0:c r="F1079" s="17" t="n"/>
      <ns0:c r="G1079" s="17" t="n"/>
      <ns0:c r="H1079" s="17" t="n"/>
      <ns0:c r="I1079" s="17" t="n"/>
      <ns0:c r="J1079" s="17" t="n"/>
      <ns0:c r="K1079" s="17" t="n"/>
      <ns0:c r="L1079" s="17" t="n"/>
      <ns0:c r="M1079" s="17" t="n"/>
      <ns0:c r="N1079" s="17" t="n"/>
      <ns0:c r="O1079" s="17" t="n"/>
      <ns0:c r="P1079" s="17" t="n"/>
      <ns0:c r="Q1079" s="17" t="n"/>
      <ns0:c r="R1079" s="17" t="n"/>
      <ns0:c r="S1079" s="17" t="n"/>
      <ns0:c r="T1079" s="17" t="n"/>
      <ns0:c r="U1079" s="17" t="n"/>
      <ns0:c r="V1079" s="17" t="n"/>
      <ns0:c r="W1079" s="17" t="n"/>
      <ns0:c r="X1079" s="17" t="n"/>
      <ns0:c r="Y1079" s="17" t="n"/>
      <ns0:c r="Z1079" s="17" t="n"/>
      <ns0:c r="AA1079" s="17" t="n"/>
      <ns0:c r="AB1079" s="17" t="n"/>
      <ns0:c r="AC1079" s="17" t="n"/>
      <ns0:c r="AD1079" s="17" t="n"/>
      <ns0:c r="AE1079" s="17" t="n"/>
      <ns0:c r="AF1079" s="17" t="n"/>
      <ns0:c r="AG1079" s="17" t="n"/>
    </ns0:row>
    <ns0:row r="1080" ht="24" customHeight="1">
      <ns0:c r="D1080" s="17" t="n"/>
      <ns0:c r="E1080" s="17" t="n"/>
      <ns0:c r="F1080" s="17" t="n"/>
      <ns0:c r="G1080" s="17" t="n"/>
      <ns0:c r="H1080" s="17" t="n"/>
      <ns0:c r="I1080" s="17" t="n"/>
      <ns0:c r="J1080" s="17" t="n"/>
      <ns0:c r="K1080" s="17" t="n"/>
      <ns0:c r="L1080" s="17" t="n"/>
      <ns0:c r="M1080" s="17" t="n"/>
      <ns0:c r="N1080" s="17" t="n"/>
      <ns0:c r="O1080" s="17" t="n"/>
      <ns0:c r="P1080" s="17" t="n"/>
      <ns0:c r="Q1080" s="17" t="n"/>
      <ns0:c r="R1080" s="17" t="n"/>
      <ns0:c r="S1080" s="17" t="n"/>
      <ns0:c r="T1080" s="17" t="n"/>
      <ns0:c r="U1080" s="17" t="n"/>
      <ns0:c r="V1080" s="17" t="n"/>
      <ns0:c r="W1080" s="17" t="n"/>
      <ns0:c r="X1080" s="17" t="n"/>
      <ns0:c r="Y1080" s="17" t="n"/>
      <ns0:c r="Z1080" s="17" t="n"/>
      <ns0:c r="AA1080" s="17" t="n"/>
      <ns0:c r="AB1080" s="17" t="n"/>
      <ns0:c r="AC1080" s="17" t="n"/>
      <ns0:c r="AD1080" s="17" t="n"/>
      <ns0:c r="AE1080" s="17" t="n"/>
      <ns0:c r="AF1080" s="17" t="n"/>
      <ns0:c r="AG1080" s="17" t="n"/>
    </ns0:row>
    <ns0:row r="1081" ht="24" customHeight="1">
      <ns0:c r="D1081" s="17" t="n"/>
      <ns0:c r="E1081" s="17" t="n"/>
      <ns0:c r="F1081" s="17" t="n"/>
      <ns0:c r="G1081" s="17" t="n"/>
      <ns0:c r="H1081" s="17" t="n"/>
      <ns0:c r="I1081" s="17" t="n"/>
      <ns0:c r="J1081" s="17" t="n"/>
      <ns0:c r="K1081" s="17" t="n"/>
      <ns0:c r="L1081" s="17" t="n"/>
      <ns0:c r="M1081" s="17" t="n"/>
      <ns0:c r="N1081" s="17" t="n"/>
      <ns0:c r="O1081" s="17" t="n"/>
      <ns0:c r="P1081" s="17" t="n"/>
      <ns0:c r="Q1081" s="17" t="n"/>
      <ns0:c r="R1081" s="17" t="n"/>
      <ns0:c r="S1081" s="17" t="n"/>
      <ns0:c r="T1081" s="17" t="n"/>
      <ns0:c r="U1081" s="17" t="n"/>
      <ns0:c r="V1081" s="17" t="n"/>
      <ns0:c r="W1081" s="17" t="n"/>
      <ns0:c r="X1081" s="17" t="n"/>
      <ns0:c r="Y1081" s="17" t="n"/>
      <ns0:c r="Z1081" s="17" t="n"/>
      <ns0:c r="AA1081" s="17" t="n"/>
      <ns0:c r="AB1081" s="17" t="n"/>
      <ns0:c r="AC1081" s="17" t="n"/>
      <ns0:c r="AD1081" s="17" t="n"/>
      <ns0:c r="AE1081" s="17" t="n"/>
      <ns0:c r="AF1081" s="17" t="n"/>
      <ns0:c r="AG1081" s="17" t="n"/>
    </ns0:row>
    <ns0:row r="1082" ht="24" customHeight="1">
      <ns0:c r="D1082" s="17" t="n"/>
      <ns0:c r="E1082" s="17" t="n"/>
      <ns0:c r="F1082" s="17" t="n"/>
      <ns0:c r="G1082" s="17" t="n"/>
      <ns0:c r="H1082" s="17" t="n"/>
      <ns0:c r="I1082" s="17" t="n"/>
      <ns0:c r="J1082" s="17" t="n"/>
      <ns0:c r="K1082" s="17" t="n"/>
      <ns0:c r="L1082" s="17" t="n"/>
      <ns0:c r="M1082" s="17" t="n"/>
      <ns0:c r="N1082" s="17" t="n"/>
      <ns0:c r="O1082" s="17" t="n"/>
      <ns0:c r="P1082" s="17" t="n"/>
      <ns0:c r="Q1082" s="17" t="n"/>
      <ns0:c r="R1082" s="17" t="n"/>
      <ns0:c r="S1082" s="17" t="n"/>
      <ns0:c r="T1082" s="17" t="n"/>
      <ns0:c r="U1082" s="17" t="n"/>
      <ns0:c r="V1082" s="17" t="n"/>
      <ns0:c r="W1082" s="17" t="n"/>
      <ns0:c r="X1082" s="17" t="n"/>
      <ns0:c r="Y1082" s="17" t="n"/>
      <ns0:c r="Z1082" s="17" t="n"/>
      <ns0:c r="AA1082" s="17" t="n"/>
      <ns0:c r="AB1082" s="17" t="n"/>
      <ns0:c r="AC1082" s="17" t="n"/>
      <ns0:c r="AD1082" s="17" t="n"/>
      <ns0:c r="AE1082" s="17" t="n"/>
      <ns0:c r="AF1082" s="17" t="n"/>
      <ns0:c r="AG1082" s="17" t="n"/>
    </ns0:row>
    <ns0:row r="1083" ht="24" customHeight="1">
      <ns0:c r="D1083" s="17" t="n"/>
      <ns0:c r="E1083" s="17" t="n"/>
      <ns0:c r="F1083" s="17" t="n"/>
      <ns0:c r="G1083" s="17" t="n"/>
      <ns0:c r="H1083" s="17" t="n"/>
      <ns0:c r="I1083" s="17" t="n"/>
      <ns0:c r="J1083" s="17" t="n"/>
      <ns0:c r="K1083" s="17" t="n"/>
      <ns0:c r="L1083" s="17" t="n"/>
      <ns0:c r="M1083" s="17" t="n"/>
      <ns0:c r="N1083" s="17" t="n"/>
      <ns0:c r="O1083" s="17" t="n"/>
      <ns0:c r="P1083" s="17" t="n"/>
      <ns0:c r="Q1083" s="17" t="n"/>
      <ns0:c r="R1083" s="17" t="n"/>
      <ns0:c r="S1083" s="17" t="n"/>
      <ns0:c r="T1083" s="17" t="n"/>
      <ns0:c r="U1083" s="17" t="n"/>
      <ns0:c r="V1083" s="17" t="n"/>
      <ns0:c r="W1083" s="17" t="n"/>
      <ns0:c r="X1083" s="17" t="n"/>
      <ns0:c r="Y1083" s="17" t="n"/>
      <ns0:c r="Z1083" s="17" t="n"/>
      <ns0:c r="AA1083" s="17" t="n"/>
      <ns0:c r="AB1083" s="17" t="n"/>
      <ns0:c r="AC1083" s="17" t="n"/>
      <ns0:c r="AD1083" s="17" t="n"/>
      <ns0:c r="AE1083" s="17" t="n"/>
      <ns0:c r="AF1083" s="17" t="n"/>
      <ns0:c r="AG1083" s="17" t="n"/>
    </ns0:row>
    <ns0:row r="1084" ht="24" customHeight="1">
      <ns0:c r="D1084" s="17" t="n"/>
      <ns0:c r="E1084" s="17" t="n"/>
      <ns0:c r="F1084" s="17" t="n"/>
      <ns0:c r="G1084" s="17" t="n"/>
      <ns0:c r="H1084" s="17" t="n"/>
      <ns0:c r="I1084" s="17" t="n"/>
      <ns0:c r="J1084" s="17" t="n"/>
      <ns0:c r="K1084" s="17" t="n"/>
      <ns0:c r="L1084" s="17" t="n"/>
      <ns0:c r="M1084" s="17" t="n"/>
      <ns0:c r="N1084" s="17" t="n"/>
      <ns0:c r="O1084" s="17" t="n"/>
      <ns0:c r="P1084" s="17" t="n"/>
      <ns0:c r="Q1084" s="17" t="n"/>
      <ns0:c r="R1084" s="17" t="n"/>
      <ns0:c r="S1084" s="17" t="n"/>
      <ns0:c r="T1084" s="17" t="n"/>
      <ns0:c r="U1084" s="17" t="n"/>
      <ns0:c r="V1084" s="17" t="n"/>
      <ns0:c r="W1084" s="17" t="n"/>
      <ns0:c r="X1084" s="17" t="n"/>
      <ns0:c r="Y1084" s="17" t="n"/>
      <ns0:c r="Z1084" s="17" t="n"/>
      <ns0:c r="AA1084" s="17" t="n"/>
      <ns0:c r="AB1084" s="17" t="n"/>
      <ns0:c r="AC1084" s="17" t="n"/>
      <ns0:c r="AD1084" s="17" t="n"/>
      <ns0:c r="AE1084" s="17" t="n"/>
      <ns0:c r="AF1084" s="17" t="n"/>
      <ns0:c r="AG1084" s="17" t="n"/>
    </ns0:row>
    <ns0:row r="1085" ht="24" customHeight="1">
      <ns0:c r="D1085" s="17" t="n"/>
      <ns0:c r="E1085" s="17" t="n"/>
      <ns0:c r="F1085" s="17" t="n"/>
      <ns0:c r="G1085" s="17" t="n"/>
      <ns0:c r="H1085" s="17" t="n"/>
      <ns0:c r="I1085" s="17" t="n"/>
      <ns0:c r="J1085" s="17" t="n"/>
      <ns0:c r="K1085" s="17" t="n"/>
      <ns0:c r="L1085" s="17" t="n"/>
      <ns0:c r="M1085" s="17" t="n"/>
      <ns0:c r="N1085" s="17" t="n"/>
      <ns0:c r="O1085" s="17" t="n"/>
      <ns0:c r="P1085" s="17" t="n"/>
      <ns0:c r="Q1085" s="17" t="n"/>
      <ns0:c r="R1085" s="17" t="n"/>
      <ns0:c r="S1085" s="17" t="n"/>
      <ns0:c r="T1085" s="17" t="n"/>
      <ns0:c r="U1085" s="17" t="n"/>
      <ns0:c r="V1085" s="17" t="n"/>
      <ns0:c r="W1085" s="17" t="n"/>
      <ns0:c r="X1085" s="17" t="n"/>
      <ns0:c r="Y1085" s="17" t="n"/>
      <ns0:c r="Z1085" s="17" t="n"/>
      <ns0:c r="AA1085" s="17" t="n"/>
      <ns0:c r="AB1085" s="17" t="n"/>
      <ns0:c r="AC1085" s="17" t="n"/>
      <ns0:c r="AD1085" s="17" t="n"/>
      <ns0:c r="AE1085" s="17" t="n"/>
      <ns0:c r="AF1085" s="17" t="n"/>
      <ns0:c r="AG1085" s="17" t="n"/>
    </ns0:row>
    <ns0:row r="1086" ht="24" customHeight="1">
      <ns0:c r="D1086" s="17" t="n"/>
      <ns0:c r="E1086" s="17" t="n"/>
      <ns0:c r="F1086" s="17" t="n"/>
      <ns0:c r="G1086" s="17" t="n"/>
      <ns0:c r="H1086" s="17" t="n"/>
      <ns0:c r="I1086" s="17" t="n"/>
      <ns0:c r="J1086" s="17" t="n"/>
      <ns0:c r="K1086" s="17" t="n"/>
      <ns0:c r="L1086" s="17" t="n"/>
      <ns0:c r="M1086" s="17" t="n"/>
      <ns0:c r="N1086" s="17" t="n"/>
      <ns0:c r="O1086" s="17" t="n"/>
      <ns0:c r="P1086" s="17" t="n"/>
      <ns0:c r="Q1086" s="17" t="n"/>
      <ns0:c r="R1086" s="17" t="n"/>
      <ns0:c r="S1086" s="17" t="n"/>
      <ns0:c r="T1086" s="17" t="n"/>
      <ns0:c r="U1086" s="17" t="n"/>
      <ns0:c r="V1086" s="17" t="n"/>
      <ns0:c r="W1086" s="17" t="n"/>
      <ns0:c r="X1086" s="17" t="n"/>
      <ns0:c r="Y1086" s="17" t="n"/>
      <ns0:c r="Z1086" s="17" t="n"/>
      <ns0:c r="AA1086" s="17" t="n"/>
      <ns0:c r="AB1086" s="17" t="n"/>
      <ns0:c r="AC1086" s="17" t="n"/>
      <ns0:c r="AD1086" s="17" t="n"/>
      <ns0:c r="AE1086" s="17" t="n"/>
      <ns0:c r="AF1086" s="17" t="n"/>
      <ns0:c r="AG1086" s="17" t="n"/>
    </ns0:row>
    <ns0:row r="1087" ht="24" customHeight="1">
      <ns0:c r="D1087" s="17" t="n"/>
      <ns0:c r="E1087" s="17" t="n"/>
      <ns0:c r="F1087" s="17" t="n"/>
      <ns0:c r="G1087" s="17" t="n"/>
      <ns0:c r="H1087" s="17" t="n"/>
      <ns0:c r="I1087" s="17" t="n"/>
      <ns0:c r="J1087" s="17" t="n"/>
      <ns0:c r="K1087" s="17" t="n"/>
      <ns0:c r="L1087" s="17" t="n"/>
      <ns0:c r="M1087" s="17" t="n"/>
      <ns0:c r="N1087" s="17" t="n"/>
      <ns0:c r="O1087" s="17" t="n"/>
      <ns0:c r="P1087" s="17" t="n"/>
      <ns0:c r="Q1087" s="17" t="n"/>
      <ns0:c r="R1087" s="17" t="n"/>
      <ns0:c r="S1087" s="17" t="n"/>
      <ns0:c r="T1087" s="17" t="n"/>
      <ns0:c r="U1087" s="17" t="n"/>
      <ns0:c r="V1087" s="17" t="n"/>
      <ns0:c r="W1087" s="17" t="n"/>
      <ns0:c r="X1087" s="17" t="n"/>
      <ns0:c r="Y1087" s="17" t="n"/>
      <ns0:c r="Z1087" s="17" t="n"/>
      <ns0:c r="AA1087" s="17" t="n"/>
      <ns0:c r="AB1087" s="17" t="n"/>
      <ns0:c r="AC1087" s="17" t="n"/>
      <ns0:c r="AD1087" s="17" t="n"/>
      <ns0:c r="AE1087" s="17" t="n"/>
      <ns0:c r="AF1087" s="17" t="n"/>
      <ns0:c r="AG1087" s="17" t="n"/>
    </ns0:row>
    <ns0:row r="1088" ht="24" customHeight="1">
      <ns0:c r="D1088" s="17" t="n"/>
      <ns0:c r="E1088" s="17" t="n"/>
      <ns0:c r="F1088" s="17" t="n"/>
      <ns0:c r="G1088" s="17" t="n"/>
      <ns0:c r="H1088" s="17" t="n"/>
      <ns0:c r="I1088" s="17" t="n"/>
      <ns0:c r="J1088" s="17" t="n"/>
      <ns0:c r="K1088" s="17" t="n"/>
      <ns0:c r="L1088" s="17" t="n"/>
      <ns0:c r="M1088" s="17" t="n"/>
      <ns0:c r="N1088" s="17" t="n"/>
      <ns0:c r="O1088" s="17" t="n"/>
      <ns0:c r="P1088" s="17" t="n"/>
      <ns0:c r="Q1088" s="17" t="n"/>
      <ns0:c r="R1088" s="17" t="n"/>
      <ns0:c r="S1088" s="17" t="n"/>
      <ns0:c r="T1088" s="17" t="n"/>
      <ns0:c r="U1088" s="17" t="n"/>
      <ns0:c r="V1088" s="17" t="n"/>
      <ns0:c r="W1088" s="17" t="n"/>
      <ns0:c r="X1088" s="17" t="n"/>
      <ns0:c r="Y1088" s="17" t="n"/>
      <ns0:c r="Z1088" s="17" t="n"/>
      <ns0:c r="AA1088" s="17" t="n"/>
      <ns0:c r="AB1088" s="17" t="n"/>
      <ns0:c r="AC1088" s="17" t="n"/>
      <ns0:c r="AD1088" s="17" t="n"/>
      <ns0:c r="AE1088" s="17" t="n"/>
      <ns0:c r="AF1088" s="17" t="n"/>
      <ns0:c r="AG1088" s="17" t="n"/>
    </ns0:row>
    <ns0:row r="1089" ht="24" customHeight="1">
      <ns0:c r="D1089" s="17" t="n"/>
      <ns0:c r="E1089" s="17" t="n"/>
      <ns0:c r="F1089" s="17" t="n"/>
      <ns0:c r="G1089" s="17" t="n"/>
      <ns0:c r="H1089" s="17" t="n"/>
      <ns0:c r="I1089" s="17" t="n"/>
      <ns0:c r="J1089" s="17" t="n"/>
      <ns0:c r="K1089" s="17" t="n"/>
      <ns0:c r="L1089" s="17" t="n"/>
      <ns0:c r="M1089" s="17" t="n"/>
      <ns0:c r="N1089" s="17" t="n"/>
      <ns0:c r="O1089" s="17" t="n"/>
      <ns0:c r="P1089" s="17" t="n"/>
      <ns0:c r="Q1089" s="17" t="n"/>
      <ns0:c r="R1089" s="17" t="n"/>
      <ns0:c r="S1089" s="17" t="n"/>
      <ns0:c r="T1089" s="17" t="n"/>
      <ns0:c r="U1089" s="17" t="n"/>
      <ns0:c r="V1089" s="17" t="n"/>
      <ns0:c r="W1089" s="17" t="n"/>
      <ns0:c r="X1089" s="17" t="n"/>
      <ns0:c r="Y1089" s="17" t="n"/>
      <ns0:c r="Z1089" s="17" t="n"/>
      <ns0:c r="AA1089" s="17" t="n"/>
      <ns0:c r="AB1089" s="17" t="n"/>
      <ns0:c r="AC1089" s="17" t="n"/>
      <ns0:c r="AD1089" s="17" t="n"/>
      <ns0:c r="AE1089" s="17" t="n"/>
      <ns0:c r="AF1089" s="17" t="n"/>
      <ns0:c r="AG1089" s="17" t="n"/>
    </ns0:row>
    <ns0:row r="1090" ht="24" customHeight="1">
      <ns0:c r="D1090" s="17" t="n"/>
      <ns0:c r="E1090" s="17" t="n"/>
      <ns0:c r="F1090" s="17" t="n"/>
      <ns0:c r="G1090" s="17" t="n"/>
      <ns0:c r="H1090" s="17" t="n"/>
      <ns0:c r="I1090" s="17" t="n"/>
      <ns0:c r="J1090" s="17" t="n"/>
      <ns0:c r="K1090" s="17" t="n"/>
      <ns0:c r="L1090" s="17" t="n"/>
      <ns0:c r="M1090" s="17" t="n"/>
      <ns0:c r="N1090" s="17" t="n"/>
      <ns0:c r="O1090" s="17" t="n"/>
      <ns0:c r="P1090" s="17" t="n"/>
      <ns0:c r="Q1090" s="17" t="n"/>
      <ns0:c r="R1090" s="17" t="n"/>
      <ns0:c r="S1090" s="17" t="n"/>
      <ns0:c r="T1090" s="17" t="n"/>
      <ns0:c r="U1090" s="17" t="n"/>
      <ns0:c r="V1090" s="17" t="n"/>
      <ns0:c r="W1090" s="17" t="n"/>
      <ns0:c r="X1090" s="17" t="n"/>
      <ns0:c r="Y1090" s="17" t="n"/>
      <ns0:c r="Z1090" s="17" t="n"/>
      <ns0:c r="AA1090" s="17" t="n"/>
      <ns0:c r="AB1090" s="17" t="n"/>
      <ns0:c r="AC1090" s="17" t="n"/>
      <ns0:c r="AD1090" s="17" t="n"/>
      <ns0:c r="AE1090" s="17" t="n"/>
      <ns0:c r="AF1090" s="17" t="n"/>
      <ns0:c r="AG1090" s="17" t="n"/>
    </ns0:row>
    <ns0:row r="1091" ht="24" customHeight="1">
      <ns0:c r="D1091" s="17" t="n"/>
      <ns0:c r="E1091" s="17" t="n"/>
      <ns0:c r="F1091" s="17" t="n"/>
      <ns0:c r="G1091" s="17" t="n"/>
      <ns0:c r="H1091" s="17" t="n"/>
      <ns0:c r="I1091" s="17" t="n"/>
      <ns0:c r="J1091" s="17" t="n"/>
      <ns0:c r="K1091" s="17" t="n"/>
      <ns0:c r="L1091" s="17" t="n"/>
      <ns0:c r="M1091" s="17" t="n"/>
      <ns0:c r="N1091" s="17" t="n"/>
      <ns0:c r="O1091" s="17" t="n"/>
      <ns0:c r="P1091" s="17" t="n"/>
      <ns0:c r="Q1091" s="17" t="n"/>
      <ns0:c r="R1091" s="17" t="n"/>
      <ns0:c r="S1091" s="17" t="n"/>
      <ns0:c r="T1091" s="17" t="n"/>
      <ns0:c r="U1091" s="17" t="n"/>
      <ns0:c r="V1091" s="17" t="n"/>
      <ns0:c r="W1091" s="17" t="n"/>
      <ns0:c r="X1091" s="17" t="n"/>
      <ns0:c r="Y1091" s="17" t="n"/>
      <ns0:c r="Z1091" s="17" t="n"/>
      <ns0:c r="AA1091" s="17" t="n"/>
      <ns0:c r="AB1091" s="17" t="n"/>
      <ns0:c r="AC1091" s="17" t="n"/>
      <ns0:c r="AD1091" s="17" t="n"/>
      <ns0:c r="AE1091" s="17" t="n"/>
      <ns0:c r="AF1091" s="17" t="n"/>
      <ns0:c r="AG1091" s="17" t="n"/>
    </ns0:row>
    <ns0:row r="1092" ht="24" customHeight="1">
      <ns0:c r="D1092" s="17" t="n"/>
      <ns0:c r="E1092" s="17" t="n"/>
      <ns0:c r="F1092" s="17" t="n"/>
      <ns0:c r="G1092" s="17" t="n"/>
      <ns0:c r="H1092" s="17" t="n"/>
      <ns0:c r="I1092" s="17" t="n"/>
      <ns0:c r="J1092" s="17" t="n"/>
      <ns0:c r="K1092" s="17" t="n"/>
      <ns0:c r="L1092" s="17" t="n"/>
      <ns0:c r="M1092" s="17" t="n"/>
      <ns0:c r="N1092" s="17" t="n"/>
      <ns0:c r="O1092" s="17" t="n"/>
      <ns0:c r="P1092" s="17" t="n"/>
      <ns0:c r="Q1092" s="17" t="n"/>
      <ns0:c r="R1092" s="17" t="n"/>
      <ns0:c r="S1092" s="17" t="n"/>
      <ns0:c r="T1092" s="17" t="n"/>
      <ns0:c r="U1092" s="17" t="n"/>
      <ns0:c r="V1092" s="17" t="n"/>
      <ns0:c r="W1092" s="17" t="n"/>
      <ns0:c r="X1092" s="17" t="n"/>
      <ns0:c r="Y1092" s="17" t="n"/>
      <ns0:c r="Z1092" s="17" t="n"/>
      <ns0:c r="AA1092" s="17" t="n"/>
      <ns0:c r="AB1092" s="17" t="n"/>
      <ns0:c r="AC1092" s="17" t="n"/>
      <ns0:c r="AD1092" s="17" t="n"/>
      <ns0:c r="AE1092" s="17" t="n"/>
      <ns0:c r="AF1092" s="17" t="n"/>
      <ns0:c r="AG1092" s="17" t="n"/>
    </ns0:row>
    <ns0:row r="1093" ht="24" customHeight="1">
      <ns0:c r="D1093" s="17" t="n"/>
      <ns0:c r="E1093" s="17" t="n"/>
      <ns0:c r="F1093" s="17" t="n"/>
      <ns0:c r="G1093" s="17" t="n"/>
      <ns0:c r="H1093" s="17" t="n"/>
      <ns0:c r="I1093" s="17" t="n"/>
      <ns0:c r="J1093" s="17" t="n"/>
      <ns0:c r="K1093" s="17" t="n"/>
      <ns0:c r="L1093" s="17" t="n"/>
      <ns0:c r="M1093" s="17" t="n"/>
      <ns0:c r="N1093" s="17" t="n"/>
      <ns0:c r="O1093" s="17" t="n"/>
      <ns0:c r="P1093" s="17" t="n"/>
      <ns0:c r="Q1093" s="17" t="n"/>
      <ns0:c r="R1093" s="17" t="n"/>
      <ns0:c r="S1093" s="17" t="n"/>
      <ns0:c r="T1093" s="17" t="n"/>
      <ns0:c r="U1093" s="17" t="n"/>
      <ns0:c r="V1093" s="17" t="n"/>
      <ns0:c r="W1093" s="17" t="n"/>
      <ns0:c r="X1093" s="17" t="n"/>
      <ns0:c r="Y1093" s="17" t="n"/>
      <ns0:c r="Z1093" s="17" t="n"/>
      <ns0:c r="AA1093" s="17" t="n"/>
      <ns0:c r="AB1093" s="17" t="n"/>
      <ns0:c r="AC1093" s="17" t="n"/>
      <ns0:c r="AD1093" s="17" t="n"/>
      <ns0:c r="AE1093" s="17" t="n"/>
      <ns0:c r="AF1093" s="17" t="n"/>
      <ns0:c r="AG1093" s="17" t="n"/>
    </ns0:row>
    <ns0:row r="1094" ht="24" customHeight="1">
      <ns0:c r="D1094" s="17" t="n"/>
      <ns0:c r="E1094" s="17" t="n"/>
      <ns0:c r="F1094" s="17" t="n"/>
      <ns0:c r="G1094" s="17" t="n"/>
      <ns0:c r="H1094" s="17" t="n"/>
      <ns0:c r="I1094" s="17" t="n"/>
      <ns0:c r="J1094" s="17" t="n"/>
      <ns0:c r="K1094" s="17" t="n"/>
      <ns0:c r="L1094" s="17" t="n"/>
      <ns0:c r="M1094" s="17" t="n"/>
      <ns0:c r="N1094" s="17" t="n"/>
      <ns0:c r="O1094" s="17" t="n"/>
      <ns0:c r="P1094" s="17" t="n"/>
      <ns0:c r="Q1094" s="17" t="n"/>
      <ns0:c r="R1094" s="17" t="n"/>
      <ns0:c r="S1094" s="17" t="n"/>
      <ns0:c r="T1094" s="17" t="n"/>
      <ns0:c r="U1094" s="17" t="n"/>
      <ns0:c r="V1094" s="17" t="n"/>
      <ns0:c r="W1094" s="17" t="n"/>
      <ns0:c r="X1094" s="17" t="n"/>
      <ns0:c r="Y1094" s="17" t="n"/>
      <ns0:c r="Z1094" s="17" t="n"/>
      <ns0:c r="AA1094" s="17" t="n"/>
      <ns0:c r="AB1094" s="17" t="n"/>
      <ns0:c r="AC1094" s="17" t="n"/>
      <ns0:c r="AD1094" s="17" t="n"/>
      <ns0:c r="AE1094" s="17" t="n"/>
      <ns0:c r="AF1094" s="17" t="n"/>
      <ns0:c r="AG1094" s="17" t="n"/>
    </ns0:row>
    <ns0:row r="1095" ht="24" customHeight="1">
      <ns0:c r="D1095" s="17" t="n"/>
      <ns0:c r="E1095" s="17" t="n"/>
      <ns0:c r="F1095" s="17" t="n"/>
      <ns0:c r="G1095" s="17" t="n"/>
      <ns0:c r="H1095" s="17" t="n"/>
      <ns0:c r="I1095" s="17" t="n"/>
      <ns0:c r="J1095" s="17" t="n"/>
      <ns0:c r="K1095" s="17" t="n"/>
      <ns0:c r="L1095" s="17" t="n"/>
      <ns0:c r="M1095" s="17" t="n"/>
      <ns0:c r="N1095" s="17" t="n"/>
      <ns0:c r="O1095" s="17" t="n"/>
      <ns0:c r="P1095" s="17" t="n"/>
      <ns0:c r="Q1095" s="17" t="n"/>
      <ns0:c r="R1095" s="17" t="n"/>
      <ns0:c r="S1095" s="17" t="n"/>
      <ns0:c r="T1095" s="17" t="n"/>
      <ns0:c r="U1095" s="17" t="n"/>
      <ns0:c r="V1095" s="17" t="n"/>
      <ns0:c r="W1095" s="17" t="n"/>
      <ns0:c r="X1095" s="17" t="n"/>
      <ns0:c r="Y1095" s="17" t="n"/>
      <ns0:c r="Z1095" s="17" t="n"/>
      <ns0:c r="AA1095" s="17" t="n"/>
      <ns0:c r="AB1095" s="17" t="n"/>
      <ns0:c r="AC1095" s="17" t="n"/>
      <ns0:c r="AD1095" s="17" t="n"/>
      <ns0:c r="AE1095" s="17" t="n"/>
      <ns0:c r="AF1095" s="17" t="n"/>
      <ns0:c r="AG1095" s="17" t="n"/>
    </ns0:row>
    <ns0:row r="1096" ht="24" customHeight="1">
      <ns0:c r="D1096" s="17" t="n"/>
      <ns0:c r="E1096" s="17" t="n"/>
      <ns0:c r="F1096" s="17" t="n"/>
      <ns0:c r="G1096" s="17" t="n"/>
      <ns0:c r="H1096" s="17" t="n"/>
      <ns0:c r="I1096" s="17" t="n"/>
      <ns0:c r="J1096" s="17" t="n"/>
      <ns0:c r="K1096" s="17" t="n"/>
      <ns0:c r="L1096" s="17" t="n"/>
      <ns0:c r="M1096" s="17" t="n"/>
      <ns0:c r="N1096" s="17" t="n"/>
      <ns0:c r="O1096" s="17" t="n"/>
      <ns0:c r="P1096" s="17" t="n"/>
      <ns0:c r="Q1096" s="17" t="n"/>
      <ns0:c r="R1096" s="17" t="n"/>
      <ns0:c r="S1096" s="17" t="n"/>
      <ns0:c r="T1096" s="17" t="n"/>
      <ns0:c r="U1096" s="17" t="n"/>
      <ns0:c r="V1096" s="17" t="n"/>
      <ns0:c r="W1096" s="17" t="n"/>
      <ns0:c r="X1096" s="17" t="n"/>
      <ns0:c r="Y1096" s="17" t="n"/>
      <ns0:c r="Z1096" s="17" t="n"/>
      <ns0:c r="AA1096" s="17" t="n"/>
      <ns0:c r="AB1096" s="17" t="n"/>
      <ns0:c r="AC1096" s="17" t="n"/>
      <ns0:c r="AD1096" s="17" t="n"/>
      <ns0:c r="AE1096" s="17" t="n"/>
      <ns0:c r="AF1096" s="17" t="n"/>
      <ns0:c r="AG1096" s="17" t="n"/>
    </ns0:row>
    <ns0:row r="1097" ht="24" customHeight="1">
      <ns0:c r="D1097" s="17" t="n"/>
      <ns0:c r="E1097" s="17" t="n"/>
      <ns0:c r="F1097" s="17" t="n"/>
      <ns0:c r="G1097" s="17" t="n"/>
      <ns0:c r="H1097" s="17" t="n"/>
      <ns0:c r="I1097" s="17" t="n"/>
      <ns0:c r="J1097" s="17" t="n"/>
      <ns0:c r="K1097" s="17" t="n"/>
      <ns0:c r="L1097" s="17" t="n"/>
      <ns0:c r="M1097" s="17" t="n"/>
      <ns0:c r="N1097" s="17" t="n"/>
      <ns0:c r="O1097" s="17" t="n"/>
      <ns0:c r="P1097" s="17" t="n"/>
      <ns0:c r="Q1097" s="17" t="n"/>
      <ns0:c r="R1097" s="17" t="n"/>
      <ns0:c r="S1097" s="17" t="n"/>
      <ns0:c r="T1097" s="17" t="n"/>
      <ns0:c r="U1097" s="17" t="n"/>
      <ns0:c r="V1097" s="17" t="n"/>
      <ns0:c r="W1097" s="17" t="n"/>
      <ns0:c r="X1097" s="17" t="n"/>
      <ns0:c r="Y1097" s="17" t="n"/>
      <ns0:c r="Z1097" s="17" t="n"/>
      <ns0:c r="AA1097" s="17" t="n"/>
      <ns0:c r="AB1097" s="17" t="n"/>
      <ns0:c r="AC1097" s="17" t="n"/>
      <ns0:c r="AD1097" s="17" t="n"/>
      <ns0:c r="AE1097" s="17" t="n"/>
      <ns0:c r="AF1097" s="17" t="n"/>
      <ns0:c r="AG1097" s="17" t="n"/>
    </ns0:row>
    <ns0:row r="1098" ht="24" customHeight="1">
      <ns0:c r="D1098" s="17" t="n"/>
      <ns0:c r="E1098" s="17" t="n"/>
      <ns0:c r="F1098" s="17" t="n"/>
      <ns0:c r="G1098" s="17" t="n"/>
      <ns0:c r="H1098" s="17" t="n"/>
      <ns0:c r="I1098" s="17" t="n"/>
      <ns0:c r="J1098" s="17" t="n"/>
      <ns0:c r="K1098" s="17" t="n"/>
      <ns0:c r="L1098" s="17" t="n"/>
      <ns0:c r="M1098" s="17" t="n"/>
      <ns0:c r="N1098" s="17" t="n"/>
      <ns0:c r="O1098" s="17" t="n"/>
      <ns0:c r="P1098" s="17" t="n"/>
      <ns0:c r="Q1098" s="17" t="n"/>
      <ns0:c r="R1098" s="17" t="n"/>
      <ns0:c r="S1098" s="17" t="n"/>
      <ns0:c r="T1098" s="17" t="n"/>
      <ns0:c r="U1098" s="17" t="n"/>
      <ns0:c r="V1098" s="17" t="n"/>
      <ns0:c r="W1098" s="17" t="n"/>
      <ns0:c r="X1098" s="17" t="n"/>
      <ns0:c r="Y1098" s="17" t="n"/>
      <ns0:c r="Z1098" s="17" t="n"/>
      <ns0:c r="AA1098" s="17" t="n"/>
      <ns0:c r="AB1098" s="17" t="n"/>
      <ns0:c r="AC1098" s="17" t="n"/>
      <ns0:c r="AD1098" s="17" t="n"/>
      <ns0:c r="AE1098" s="17" t="n"/>
      <ns0:c r="AF1098" s="17" t="n"/>
      <ns0:c r="AG1098" s="17" t="n"/>
    </ns0:row>
    <ns0:row r="1099" ht="24" customHeight="1">
      <ns0:c r="D1099" s="17" t="n"/>
      <ns0:c r="E1099" s="17" t="n"/>
      <ns0:c r="F1099" s="17" t="n"/>
      <ns0:c r="G1099" s="17" t="n"/>
      <ns0:c r="H1099" s="17" t="n"/>
      <ns0:c r="I1099" s="17" t="n"/>
      <ns0:c r="J1099" s="17" t="n"/>
      <ns0:c r="K1099" s="17" t="n"/>
      <ns0:c r="L1099" s="17" t="n"/>
      <ns0:c r="M1099" s="17" t="n"/>
      <ns0:c r="N1099" s="17" t="n"/>
      <ns0:c r="O1099" s="17" t="n"/>
      <ns0:c r="P1099" s="17" t="n"/>
      <ns0:c r="Q1099" s="17" t="n"/>
      <ns0:c r="R1099" s="17" t="n"/>
      <ns0:c r="S1099" s="17" t="n"/>
      <ns0:c r="T1099" s="17" t="n"/>
      <ns0:c r="U1099" s="17" t="n"/>
      <ns0:c r="V1099" s="17" t="n"/>
      <ns0:c r="W1099" s="17" t="n"/>
      <ns0:c r="X1099" s="17" t="n"/>
      <ns0:c r="Y1099" s="17" t="n"/>
      <ns0:c r="Z1099" s="17" t="n"/>
      <ns0:c r="AA1099" s="17" t="n"/>
      <ns0:c r="AB1099" s="17" t="n"/>
      <ns0:c r="AC1099" s="17" t="n"/>
      <ns0:c r="AD1099" s="17" t="n"/>
      <ns0:c r="AE1099" s="17" t="n"/>
      <ns0:c r="AF1099" s="17" t="n"/>
      <ns0:c r="AG1099" s="17" t="n"/>
    </ns0:row>
    <ns0:row r="1100" ht="24" customHeight="1">
      <ns0:c r="D1100" s="17" t="n"/>
      <ns0:c r="E1100" s="17" t="n"/>
      <ns0:c r="F1100" s="17" t="n"/>
      <ns0:c r="G1100" s="17" t="n"/>
      <ns0:c r="H1100" s="17" t="n"/>
      <ns0:c r="I1100" s="17" t="n"/>
      <ns0:c r="J1100" s="17" t="n"/>
      <ns0:c r="K1100" s="17" t="n"/>
      <ns0:c r="L1100" s="17" t="n"/>
      <ns0:c r="M1100" s="17" t="n"/>
      <ns0:c r="N1100" s="17" t="n"/>
      <ns0:c r="O1100" s="17" t="n"/>
      <ns0:c r="P1100" s="17" t="n"/>
      <ns0:c r="Q1100" s="17" t="n"/>
      <ns0:c r="R1100" s="17" t="n"/>
      <ns0:c r="S1100" s="17" t="n"/>
      <ns0:c r="T1100" s="17" t="n"/>
      <ns0:c r="U1100" s="17" t="n"/>
      <ns0:c r="V1100" s="17" t="n"/>
      <ns0:c r="W1100" s="17" t="n"/>
      <ns0:c r="X1100" s="17" t="n"/>
      <ns0:c r="Y1100" s="17" t="n"/>
      <ns0:c r="Z1100" s="17" t="n"/>
      <ns0:c r="AA1100" s="17" t="n"/>
      <ns0:c r="AB1100" s="17" t="n"/>
      <ns0:c r="AC1100" s="17" t="n"/>
      <ns0:c r="AD1100" s="17" t="n"/>
      <ns0:c r="AE1100" s="17" t="n"/>
      <ns0:c r="AF1100" s="17" t="n"/>
      <ns0:c r="AG1100" s="17" t="n"/>
    </ns0:row>
  </ns0:sheetData>
  <ns0:mergeCells count="2">
    <ns0:mergeCell ref="A1:I1"/>
    <ns0:mergeCell ref="A2:I2"/>
  </ns0:mergeCells>
  <ns0:conditionalFormatting sqref="S5:AG40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R2083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</ns0:cols>
  <ns0:sheetData>
    <ns0:row r="1" ht="32" customHeight="1">
      <ns0:c r="A1" s="1" t="inlineStr">
        <ns0:is>
          <ns0:t>作成時条件による2,079ケース比較（固定表）</ns0:t>
        </ns0:is>
      </ns0:c>
    </ns0:row>
    <ns0:row r="2" ht="48" customHeight="1">
      <ns0:c r="A2" s="2" t="inlineStr">
        <ns0:is>
          <ns0:t>この表は前提編集に連動しない。現在条件は経営比較/利益曲線/累積回収を参照。再生成はGit script。</ns0:t>
        </ns0:is>
      </ns0:c>
    </ns0:row>
    <ns0:row r="3" ht="24" customHeight="1"/>
    <ns0:row r="4" ht="42" customHeight="1">
      <ns0:c r="A4" s="5" t="inlineStr">
        <ns0:is>
          <ns0:t>契約構成</ns0:t>
        </ns0:is>
      </ns0:c>
      <ns0:c r="B4" s="5" t="inlineStr">
        <ns0:is>
          <ns0:t>Guard案</ns0:t>
        </ns0:is>
      </ns0:c>
      <ns0:c r="C4" s="5" t="inlineStr">
        <ns0:is>
          <ns0:t>Send案</ns0:t>
        </ns0:is>
      </ns0:c>
      <ns0:c r="D4" s="5" t="inlineStr">
        <ns0:is>
          <ns0:t>規模シナリオ</ns0:t>
        </ns0:is>
      </ns0:c>
      <ns0:c r="E4" s="5" t="inlineStr">
        <ns0:is>
          <ns0:t>割引</ns0:t>
        </ns0:is>
      </ns0:c>
      <ns0:c r="F4" s="5" t="inlineStr">
        <ns0:is>
          <ns0:t>共通率</ns0:t>
        </ns0:is>
      </ns0:c>
      <ns0:c r="G4" s="5" t="inlineStr">
        <ns0:is>
          <ns0:t>利用</ns0:t>
        </ns0:is>
      </ns0:c>
      <ns0:c r="H4" s="5" t="inlineStr">
        <ns0:is>
          <ns0:t>平均売上</ns0:t>
        </ns0:is>
      </ns0:c>
      <ns0:c r="I4" s="5" t="inlineStr">
        <ns0:is>
          <ns0:t>基本原資</ns0:t>
        </ns0:is>
      </ns0:c>
      <ns0:c r="J4" s="5" t="inlineStr">
        <ns0:is>
          <ns0:t>配分/社</ns0:t>
        </ns0:is>
      </ns0:c>
      <ns0:c r="K4" s="5" t="inlineStr">
        <ns0:is>
          <ns0:t>継続黒字</ns0:t>
        </ns0:is>
      </ns0:c>
      <ns0:c r="L4" s="5" t="inlineStr">
        <ns0:is>
          <ns0:t>両サービス黒字</ns0:t>
        </ns0:is>
      </ns0:c>
      <ns0:c r="M4" s="5" t="inlineStr">
        <ns0:is>
          <ns0:t>10社差引</ns0:t>
        </ns0:is>
      </ns0:c>
      <ns0:c r="N4" s="5" t="inlineStr">
        <ns0:is>
          <ns0:t>30社</ns0:t>
        </ns0:is>
      </ns0:c>
      <ns0:c r="O4" s="5" t="inlineStr">
        <ns0:is>
          <ns0:t>50社</ns0:t>
        </ns0:is>
      </ns0:c>
      <ns0:c r="P4" s="5" t="inlineStr">
        <ns0:is>
          <ns0:t>100社</ns0:t>
        </ns0:is>
      </ns0:c>
      <ns0:c r="Q4" s="5" t="inlineStr">
        <ns0:is>
          <ns0:t>300社</ns0:t>
        </ns0:is>
      </ns0:c>
      <ns0:c r="R4" s="5" t="inlineStr">
        <ns0:is>
          <ns0:t>1000社</ns0:t>
        </ns0:is>
      </ns0:c>
    </ns0:row>
    <ns0:row r="5" ht="24" customHeight="1">
      <ns0:c r="A5" s="3" t="inlineStr">
        <ns0:is>
          <ns0:t>Gのみ</ns0:t>
        </ns0:is>
      </ns0:c>
      <ns0:c r="B5" s="3" t="inlineStr">
        <ns0:is>
          <ns0:t>G0基本5000比較</ns0:t>
        </ns0:is>
      </ns0:c>
      <ns0:c r="C5" s="3" t="inlineStr">
        <ns0:is>
          <ns0:t>A</ns0:t>
        </ns0:is>
      </ns0:c>
      <ns0:c r="D5" s="4" t="n">
        <ns0:v>0</ns0:v>
      </ns0:c>
      <ns0:c r="E5" s="4" t="n">
        <ns0:v>0</ns0:v>
      </ns0:c>
      <ns0:c r="F5" s="6" t="n">
        <ns0:v>0.3</ns0:v>
      </ns0:c>
      <ns0:c r="G5" s="4" t="n">
        <ns0:v>1</ns0:v>
      </ns0:c>
      <ns0:c r="H5" s="7" t="n">
        <ns0:v>7058.823529411764</ns0:v>
      </ns0:c>
      <ns0:c r="I5" s="7" t="n">
        <ns0:v>5000</ns0:v>
      </ns0:c>
      <ns0:c r="J5" s="7" t="n">
        <ns0:v>1500</ns0:v>
      </ns0:c>
      <ns0:c r="K5" s="7" t="n">
        <ns0:v>7</ns0:v>
      </ns0:c>
      <ns0:c r="L5" s="7" t="n">
        <ns0:v>7</ns0:v>
      </ns0:c>
      <ns0:c r="M5" s="7" t="n">
        <ns0:v>14160.07509386733</ns0:v>
      </ns0:c>
      <ns0:c r="N5" s="7" t="n">
        <ns0:v>90083.10387984979</ns0:v>
      </ns0:c>
      <ns0:c r="O5" s="7" t="n">
        <ns0:v>163471.8397997496</ns0:v>
      </ns0:c>
      <ns0:c r="P5" s="7" t="n">
        <ns0:v>346943.6795994993</ns0:v>
      </ns0:c>
      <ns0:c r="Q5" s="7" t="n">
        <ns0:v>1060831.038798498</ns0:v>
      </ns0:c>
      <ns0:c r="R5" s="7" t="n">
        <ns0:v>3589436.795994994</ns0:v>
      </ns0:c>
    </ns0:row>
    <ns0:row r="6" ht="24" customHeight="1">
      <ns0:c r="A6" s="3" t="inlineStr">
        <ns0:is>
          <ns0:t>Gのみ</ns0:t>
        </ns0:is>
      </ns0:c>
      <ns0:c r="B6" s="3" t="inlineStr">
        <ns0:is>
          <ns0:t>G0基本5000比較</ns0:t>
        </ns0:is>
      </ns0:c>
      <ns0:c r="C6" s="3" t="inlineStr">
        <ns0:is>
          <ns0:t>A</ns0:t>
        </ns0:is>
      </ns0:c>
      <ns0:c r="D6" s="4" t="n">
        <ns0:v>0</ns0:v>
      </ns0:c>
      <ns0:c r="E6" s="4" t="n">
        <ns0:v>0</ns0:v>
      </ns0:c>
      <ns0:c r="F6" s="6" t="n">
        <ns0:v>0.4</ns0:v>
      </ns0:c>
      <ns0:c r="G6" s="4" t="n">
        <ns0:v>1</ns0:v>
      </ns0:c>
      <ns0:c r="H6" s="7" t="n">
        <ns0:v>7058.823529411764</ns0:v>
      </ns0:c>
      <ns0:c r="I6" s="7" t="n">
        <ns0:v>5000</ns0:v>
      </ns0:c>
      <ns0:c r="J6" s="7" t="n">
        <ns0:v>2000</ns0:v>
      </ns0:c>
      <ns0:c r="K6" s="7" t="n">
        <ns0:v>8</ns0:v>
      </ns0:c>
      <ns0:c r="L6" s="7" t="n">
        <ns0:v>8</ns0:v>
      </ns0:c>
      <ns0:c r="M6" s="7" t="n">
        <ns0:v>9160.07509386733</ns0:v>
      </ns0:c>
      <ns0:c r="N6" s="7" t="n">
        <ns0:v>75083.1038798498</ns0:v>
      </ns0:c>
      <ns0:c r="O6" s="7" t="n">
        <ns0:v>138471.8397997497</ns0:v>
      </ns0:c>
      <ns0:c r="P6" s="7" t="n">
        <ns0:v>296943.6795994993</ns0:v>
      </ns0:c>
      <ns0:c r="Q6" s="7" t="n">
        <ns0:v>910831.0387984982</ns0:v>
      </ns0:c>
      <ns0:c r="R6" s="7" t="n">
        <ns0:v>3089436.795994994</ns0:v>
      </ns0:c>
    </ns0:row>
    <ns0:row r="7" ht="24" customHeight="1">
      <ns0:c r="A7" s="3" t="inlineStr">
        <ns0:is>
          <ns0:t>Gのみ</ns0:t>
        </ns0:is>
      </ns0:c>
      <ns0:c r="B7" s="3" t="inlineStr">
        <ns0:is>
          <ns0:t>G0基本5000比較</ns0:t>
        </ns0:is>
      </ns0:c>
      <ns0:c r="C7" s="3" t="inlineStr">
        <ns0:is>
          <ns0:t>A</ns0:t>
        </ns0:is>
      </ns0:c>
      <ns0:c r="D7" s="4" t="n">
        <ns0:v>0</ns0:v>
      </ns0:c>
      <ns0:c r="E7" s="4" t="n">
        <ns0:v>0</ns0:v>
      </ns0:c>
      <ns0:c r="F7" s="6" t="n">
        <ns0:v>0.5</ns0:v>
      </ns0:c>
      <ns0:c r="G7" s="4" t="n">
        <ns0:v>1</ns0:v>
      </ns0:c>
      <ns0:c r="H7" s="7" t="n">
        <ns0:v>7058.823529411764</ns0:v>
      </ns0:c>
      <ns0:c r="I7" s="7" t="n">
        <ns0:v>5000</ns0:v>
      </ns0:c>
      <ns0:c r="J7" s="7" t="n">
        <ns0:v>2500</ns0:v>
      </ns0:c>
      <ns0:c r="K7" s="7" t="n">
        <ns0:v>12</ns0:v>
      </ns0:c>
      <ns0:c r="L7" s="7" t="n">
        <ns0:v>12</ns0:v>
      </ns0:c>
      <ns0:c r="M7" s="7" t="n">
        <ns0:v>4160.07509386733</ns0:v>
      </ns0:c>
      <ns0:c r="N7" s="7" t="n">
        <ns0:v>60083.1038798498</ns0:v>
      </ns0:c>
      <ns0:c r="O7" s="7" t="n">
        <ns0:v>113471.8397997497</ns0:v>
      </ns0:c>
      <ns0:c r="P7" s="7" t="n">
        <ns0:v>246943.6795994993</ns0:v>
      </ns0:c>
      <ns0:c r="Q7" s="7" t="n">
        <ns0:v>760831.0387984982</ns0:v>
      </ns0:c>
      <ns0:c r="R7" s="7" t="n">
        <ns0:v>2589436.795994994</ns0:v>
      </ns0:c>
    </ns0:row>
    <ns0:row r="8" ht="24" customHeight="1">
      <ns0:c r="A8" s="3" t="inlineStr">
        <ns0:is>
          <ns0:t>Gのみ</ns0:t>
        </ns0:is>
      </ns0:c>
      <ns0:c r="B8" s="3" t="inlineStr">
        <ns0:is>
          <ns0:t>G0基本5000比較</ns0:t>
        </ns0:is>
      </ns0:c>
      <ns0:c r="C8" s="3" t="inlineStr">
        <ns0:is>
          <ns0:t>A</ns0:t>
        </ns0:is>
      </ns0:c>
      <ns0:c r="D8" s="4" t="n">
        <ns0:v>1</ns0:v>
      </ns0:c>
      <ns0:c r="E8" s="4" t="n">
        <ns0:v>0</ns0:v>
      </ns0:c>
      <ns0:c r="F8" s="6" t="n">
        <ns0:v>0.3</ns0:v>
      </ns0:c>
      <ns0:c r="G8" s="4" t="n">
        <ns0:v>1</ns0:v>
      </ns0:c>
      <ns0:c r="H8" s="7" t="n">
        <ns0:v>7843.575418994413</ns0:v>
      </ns0:c>
      <ns0:c r="I8" s="7" t="n">
        <ns0:v>4999.999999999999</ns0:v>
      </ns0:c>
      <ns0:c r="J8" s="7" t="n">
        <ns0:v>1500</ns0:v>
      </ns0:c>
      <ns0:c r="K8" s="7" t="n">
        <ns0:v>7</ns0:v>
      </ns0:c>
      <ns0:c r="L8" s="7" t="n">
        <ns0:v>7</ns0:v>
      </ns0:c>
      <ns0:c r="M8" s="7" t="n">
        <ns0:v>21490.65176908752</ns0:v>
      </ns0:c>
      <ns0:c r="N8" s="7" t="n">
        <ns0:v>99415.53072625695</ns0:v>
      </ns0:c>
      <ns0:c r="O8" s="7" t="n">
        <ns0:v>179025.8845437616</ns0:v>
      </ns0:c>
      <ns0:c r="P8" s="7" t="n">
        <ns0:v>378051.7690875231</ns0:v>
      </ns0:c>
      <ns0:c r="Q8" s="7" t="n">
        <ns0:v>1154155.30726257</ns0:v>
      </ns0:c>
      <ns0:c r="R8" s="7" t="n">
        <ns0:v>3900517.690875232</ns0:v>
      </ns0:c>
    </ns0:row>
    <ns0:row r="9" ht="24" customHeight="1">
      <ns0:c r="A9" s="3" t="inlineStr">
        <ns0:is>
          <ns0:t>Gのみ</ns0:t>
        </ns0:is>
      </ns0:c>
      <ns0:c r="B9" s="3" t="inlineStr">
        <ns0:is>
          <ns0:t>G0基本5000比較</ns0:t>
        </ns0:is>
      </ns0:c>
      <ns0:c r="C9" s="3" t="inlineStr">
        <ns0:is>
          <ns0:t>A</ns0:t>
        </ns0:is>
      </ns0:c>
      <ns0:c r="D9" s="4" t="n">
        <ns0:v>1</ns0:v>
      </ns0:c>
      <ns0:c r="E9" s="4" t="n">
        <ns0:v>0</ns0:v>
      </ns0:c>
      <ns0:c r="F9" s="6" t="n">
        <ns0:v>0.4</ns0:v>
      </ns0:c>
      <ns0:c r="G9" s="4" t="n">
        <ns0:v>1</ns0:v>
      </ns0:c>
      <ns0:c r="H9" s="7" t="n">
        <ns0:v>7843.575418994413</ns0:v>
      </ns0:c>
      <ns0:c r="I9" s="7" t="n">
        <ns0:v>4999.999999999999</ns0:v>
      </ns0:c>
      <ns0:c r="J9" s="7" t="n">
        <ns0:v>2000</ns0:v>
      </ns0:c>
      <ns0:c r="K9" s="7" t="n">
        <ns0:v>7</ns0:v>
      </ns0:c>
      <ns0:c r="L9" s="7" t="n">
        <ns0:v>7</ns0:v>
      </ns0:c>
      <ns0:c r="M9" s="7" t="n">
        <ns0:v>16490.65176908752</ns0:v>
      </ns0:c>
      <ns0:c r="N9" s="7" t="n">
        <ns0:v>84415.53072625695</ns0:v>
      </ns0:c>
      <ns0:c r="O9" s="7" t="n">
        <ns0:v>154025.8845437616</ns0:v>
      </ns0:c>
      <ns0:c r="P9" s="7" t="n">
        <ns0:v>328051.7690875232</ns0:v>
      </ns0:c>
      <ns0:c r="Q9" s="7" t="n">
        <ns0:v>1004155.30726257</ns0:v>
      </ns0:c>
      <ns0:c r="R9" s="7" t="n">
        <ns0:v>3400517.690875232</ns0:v>
      </ns0:c>
    </ns0:row>
    <ns0:row r="10" ht="24" customHeight="1">
      <ns0:c r="A10" s="3" t="inlineStr">
        <ns0:is>
          <ns0:t>Gのみ</ns0:t>
        </ns0:is>
      </ns0:c>
      <ns0:c r="B10" s="3" t="inlineStr">
        <ns0:is>
          <ns0:t>G0基本5000比較</ns0:t>
        </ns0:is>
      </ns0:c>
      <ns0:c r="C10" s="3" t="inlineStr">
        <ns0:is>
          <ns0:t>A</ns0:t>
        </ns0:is>
      </ns0:c>
      <ns0:c r="D10" s="4" t="n">
        <ns0:v>1</ns0:v>
      </ns0:c>
      <ns0:c r="E10" s="4" t="n">
        <ns0:v>0</ns0:v>
      </ns0:c>
      <ns0:c r="F10" s="6" t="n">
        <ns0:v>0.5</ns0:v>
      </ns0:c>
      <ns0:c r="G10" s="4" t="n">
        <ns0:v>1</ns0:v>
      </ns0:c>
      <ns0:c r="H10" s="7" t="n">
        <ns0:v>7843.575418994413</ns0:v>
      </ns0:c>
      <ns0:c r="I10" s="7" t="n">
        <ns0:v>4999.999999999999</ns0:v>
      </ns0:c>
      <ns0:c r="J10" s="7" t="n">
        <ns0:v>2500</ns0:v>
      </ns0:c>
      <ns0:c r="K10" s="7" t="n">
        <ns0:v>8</ns0:v>
      </ns0:c>
      <ns0:c r="L10" s="7" t="n">
        <ns0:v>8</ns0:v>
      </ns0:c>
      <ns0:c r="M10" s="7" t="n">
        <ns0:v>11490.65176908752</ns0:v>
      </ns0:c>
      <ns0:c r="N10" s="7" t="n">
        <ns0:v>69415.53072625695</ns0:v>
      </ns0:c>
      <ns0:c r="O10" s="7" t="n">
        <ns0:v>129025.8845437616</ns0:v>
      </ns0:c>
      <ns0:c r="P10" s="7" t="n">
        <ns0:v>278051.7690875232</ns0:v>
      </ns0:c>
      <ns0:c r="Q10" s="7" t="n">
        <ns0:v>854155.3072625697</ns0:v>
      </ns0:c>
      <ns0:c r="R10" s="7" t="n">
        <ns0:v>2900517.690875232</ns0:v>
      </ns0:c>
    </ns0:row>
    <ns0:row r="11" ht="24" customHeight="1">
      <ns0:c r="A11" s="3" t="inlineStr">
        <ns0:is>
          <ns0:t>Gのみ</ns0:t>
        </ns0:is>
      </ns0:c>
      <ns0:c r="B11" s="3" t="inlineStr">
        <ns0:is>
          <ns0:t>G0基本5000比較</ns0:t>
        </ns0:is>
      </ns0:c>
      <ns0:c r="C11" s="3" t="inlineStr">
        <ns0:is>
          <ns0:t>A</ns0:t>
        </ns0:is>
      </ns0:c>
      <ns0:c r="D11" s="4" t="n">
        <ns0:v>2</ns0:v>
      </ns0:c>
      <ns0:c r="E11" s="4" t="n">
        <ns0:v>0</ns0:v>
      </ns0:c>
      <ns0:c r="F11" s="6" t="n">
        <ns0:v>0.3</ns0:v>
      </ns0:c>
      <ns0:c r="G11" s="4" t="n">
        <ns0:v>1</ns0:v>
      </ns0:c>
      <ns0:c r="H11" s="7" t="n">
        <ns0:v>9155.913978494624</ns0:v>
      </ns0:c>
      <ns0:c r="I11" s="7" t="n">
        <ns0:v>5000.000000000001</ns0:v>
      </ns0:c>
      <ns0:c r="J11" s="7" t="n">
        <ns0:v>1500</ns0:v>
      </ns0:c>
      <ns0:c r="K11" s="7" t="n">
        <ns0:v>5</ns0:v>
      </ns0:c>
      <ns0:c r="L11" s="7" t="n">
        <ns0:v>5</ns0:v>
      </ns0:c>
      <ns0:c r="M11" s="7" t="n">
        <ns0:v>33730.21505376346</ns0:v>
      </ns0:c>
      <ns0:c r="N11" s="7" t="n">
        <ns0:v>113919.6774193549</ns0:v>
      </ns0:c>
      <ns0:c r="O11" s="7" t="n">
        <ns0:v>203199.4623655914</ns0:v>
      </ns0:c>
      <ns0:c r="P11" s="7" t="n">
        <ns0:v>426398.9247311829</ns0:v>
      </ns0:c>
      <ns0:c r="Q11" s="7" t="n">
        <ns0:v>1299196.774193549</ns0:v>
      </ns0:c>
      <ns0:c r="R11" s="7" t="n">
        <ns0:v>4383989.247311831</ns0:v>
      </ns0:c>
    </ns0:row>
    <ns0:row r="12" ht="24" customHeight="1">
      <ns0:c r="A12" s="3" t="inlineStr">
        <ns0:is>
          <ns0:t>Gのみ</ns0:t>
        </ns0:is>
      </ns0:c>
      <ns0:c r="B12" s="3" t="inlineStr">
        <ns0:is>
          <ns0:t>G0基本5000比較</ns0:t>
        </ns0:is>
      </ns0:c>
      <ns0:c r="C12" s="3" t="inlineStr">
        <ns0:is>
          <ns0:t>A</ns0:t>
        </ns0:is>
      </ns0:c>
      <ns0:c r="D12" s="4" t="n">
        <ns0:v>2</ns0:v>
      </ns0:c>
      <ns0:c r="E12" s="4" t="n">
        <ns0:v>0</ns0:v>
      </ns0:c>
      <ns0:c r="F12" s="6" t="n">
        <ns0:v>0.4</ns0:v>
      </ns0:c>
      <ns0:c r="G12" s="4" t="n">
        <ns0:v>1</ns0:v>
      </ns0:c>
      <ns0:c r="H12" s="7" t="n">
        <ns0:v>9155.913978494624</ns0:v>
      </ns0:c>
      <ns0:c r="I12" s="7" t="n">
        <ns0:v>5000.000000000001</ns0:v>
      </ns0:c>
      <ns0:c r="J12" s="7" t="n">
        <ns0:v>2000.000000000001</ns0:v>
      </ns0:c>
      <ns0:c r="K12" s="7" t="n">
        <ns0:v>6</ns0:v>
      </ns0:c>
      <ns0:c r="L12" s="7" t="n">
        <ns0:v>6</ns0:v>
      </ns0:c>
      <ns0:c r="M12" s="7" t="n">
        <ns0:v>28730.21505376346</ns0:v>
      </ns0:c>
      <ns0:c r="N12" s="7" t="n">
        <ns0:v>98919.67741935488</ns0:v>
      </ns0:c>
      <ns0:c r="O12" s="7" t="n">
        <ns0:v>178199.4623655914</ns0:v>
      </ns0:c>
      <ns0:c r="P12" s="7" t="n">
        <ns0:v>376398.9247311829</ns0:v>
      </ns0:c>
      <ns0:c r="Q12" s="7" t="n">
        <ns0:v>1149196.774193549</ns0:v>
      </ns0:c>
      <ns0:c r="R12" s="7" t="n">
        <ns0:v>3883989.24731183</ns0:v>
      </ns0:c>
    </ns0:row>
    <ns0:row r="13" ht="24" customHeight="1">
      <ns0:c r="A13" s="3" t="inlineStr">
        <ns0:is>
          <ns0:t>Gのみ</ns0:t>
        </ns0:is>
      </ns0:c>
      <ns0:c r="B13" s="3" t="inlineStr">
        <ns0:is>
          <ns0:t>G0基本5000比較</ns0:t>
        </ns0:is>
      </ns0:c>
      <ns0:c r="C13" s="3" t="inlineStr">
        <ns0:is>
          <ns0:t>A</ns0:t>
        </ns0:is>
      </ns0:c>
      <ns0:c r="D13" s="4" t="n">
        <ns0:v>2</ns0:v>
      </ns0:c>
      <ns0:c r="E13" s="4" t="n">
        <ns0:v>0</ns0:v>
      </ns0:c>
      <ns0:c r="F13" s="6" t="n">
        <ns0:v>0.5</ns0:v>
      </ns0:c>
      <ns0:c r="G13" s="4" t="n">
        <ns0:v>1</ns0:v>
      </ns0:c>
      <ns0:c r="H13" s="7" t="n">
        <ns0:v>9155.913978494624</ns0:v>
      </ns0:c>
      <ns0:c r="I13" s="7" t="n">
        <ns0:v>5000.000000000001</ns0:v>
      </ns0:c>
      <ns0:c r="J13" s="7" t="n">
        <ns0:v>2500</ns0:v>
      </ns0:c>
      <ns0:c r="K13" s="7" t="n">
        <ns0:v>6</ns0:v>
      </ns0:c>
      <ns0:c r="L13" s="7" t="n">
        <ns0:v>6</ns0:v>
      </ns0:c>
      <ns0:c r="M13" s="7" t="n">
        <ns0:v>23730.21505376345</ns0:v>
      </ns0:c>
      <ns0:c r="N13" s="7" t="n">
        <ns0:v>83919.67741935488</ns0:v>
      </ns0:c>
      <ns0:c r="O13" s="7" t="n">
        <ns0:v>153199.4623655914</ns0:v>
      </ns0:c>
      <ns0:c r="P13" s="7" t="n">
        <ns0:v>326398.9247311829</ns0:v>
      </ns0:c>
      <ns0:c r="Q13" s="7" t="n">
        <ns0:v>999196.7741935487</ns0:v>
      </ns0:c>
      <ns0:c r="R13" s="7" t="n">
        <ns0:v>3383989.24731183</ns0:v>
      </ns0:c>
    </ns0:row>
    <ns0:row r="14" ht="24" customHeight="1">
      <ns0:c r="A14" s="3" t="inlineStr">
        <ns0:is>
          <ns0:t>Gのみ</ns0:t>
        </ns0:is>
      </ns0:c>
      <ns0:c r="B14" s="3" t="inlineStr">
        <ns0:is>
          <ns0:t>G2二段階</ns0:t>
        </ns0:is>
      </ns0:c>
      <ns0:c r="C14" s="3" t="inlineStr">
        <ns0:is>
          <ns0:t>A</ns0:t>
        </ns0:is>
      </ns0:c>
      <ns0:c r="D14" s="4" t="n">
        <ns0:v>0</ns0:v>
      </ns0:c>
      <ns0:c r="E14" s="4" t="n">
        <ns0:v>0</ns0:v>
      </ns0:c>
      <ns0:c r="F14" s="6" t="n">
        <ns0:v>0.3</ns0:v>
      </ns0:c>
      <ns0:c r="G14" s="4" t="n">
        <ns0:v>1</ns0:v>
      </ns0:c>
      <ns0:c r="H14" s="7" t="n">
        <ns0:v>4763.454317897372</ns0:v>
      </ns0:c>
      <ns0:c r="I14" s="7" t="n">
        <ns0:v>2704.630788485607</ns0:v>
      </ns0:c>
      <ns0:c r="J14" s="7" t="n">
        <ns0:v>811.389236545682</ns0:v>
      </ns0:c>
      <ns0:c r="K14" s="7" t="n">
        <ns0:v>14</ns0:v>
      </ns0:c>
      <ns0:c r="L14" s="7" t="n">
        <ns0:v>14</ns0:v>
      </ns0:c>
      <ns0:c r="M14" s="7" t="n">
        <ns0:v>-1081.176470588242</ns0:v>
      </ns0:c>
      <ns0:c r="N14" s="7" t="n">
        <ns0:v>44359.34918648309</ns0:v>
      </ns0:c>
      <ns0:c r="O14" s="7" t="n">
        <ns0:v>87265.58197747185</ns0:v>
      </ns0:c>
      <ns0:c r="P14" s="7" t="n">
        <ns0:v>194531.1639549437</ns0:v>
      </ns0:c>
      <ns0:c r="Q14" s="7" t="n">
        <ns0:v>603593.491864831</ns0:v>
      </ns0:c>
      <ns0:c r="R14" s="7" t="n">
        <ns0:v>2065311.639549437</ns0:v>
      </ns0:c>
    </ns0:row>
    <ns0:row r="15" ht="24" customHeight="1">
      <ns0:c r="A15" s="3" t="inlineStr">
        <ns0:is>
          <ns0:t>Gのみ</ns0:t>
        </ns0:is>
      </ns0:c>
      <ns0:c r="B15" s="3" t="inlineStr">
        <ns0:is>
          <ns0:t>G2二段階</ns0:t>
        </ns0:is>
      </ns0:c>
      <ns0:c r="C15" s="3" t="inlineStr">
        <ns0:is>
          <ns0:t>A</ns0:t>
        </ns0:is>
      </ns0:c>
      <ns0:c r="D15" s="4" t="n">
        <ns0:v>0</ns0:v>
      </ns0:c>
      <ns0:c r="E15" s="4" t="n">
        <ns0:v>0</ns0:v>
      </ns0:c>
      <ns0:c r="F15" s="6" t="n">
        <ns0:v>0.4</ns0:v>
      </ns0:c>
      <ns0:c r="G15" s="4" t="n">
        <ns0:v>1</ns0:v>
      </ns0:c>
      <ns0:c r="H15" s="7" t="n">
        <ns0:v>4763.454317897372</ns0:v>
      </ns0:c>
      <ns0:c r="I15" s="7" t="n">
        <ns0:v>2704.630788485607</ns0:v>
      </ns0:c>
      <ns0:c r="J15" s="7" t="n">
        <ns0:v>1081.852315394243</ns0:v>
      </ns0:c>
      <ns0:c r="K15" s="7" t="n">
        <ns0:v>15</ns0:v>
      </ns0:c>
      <ns0:c r="L15" s="7" t="n">
        <ns0:v>15</ns0:v>
      </ns0:c>
      <ns0:c r="M15" s="7" t="n">
        <ns0:v>-3785.807259073848</ns0:v>
      </ns0:c>
      <ns0:c r="N15" s="7" t="n">
        <ns0:v>36245.45682102627</ns0:v>
      </ns0:c>
      <ns0:c r="O15" s="7" t="n">
        <ns0:v>73742.42803504382</ns0:v>
      </ns0:c>
      <ns0:c r="P15" s="7" t="n">
        <ns0:v>167484.8560700876</ns0:v>
      </ns0:c>
      <ns0:c r="Q15" s="7" t="n">
        <ns0:v>522454.5682102627</ns0:v>
      </ns0:c>
      <ns0:c r="R15" s="7" t="n">
        <ns0:v>1794848.560700876</ns0:v>
      </ns0:c>
    </ns0:row>
    <ns0:row r="16" ht="24" customHeight="1">
      <ns0:c r="A16" s="3" t="inlineStr">
        <ns0:is>
          <ns0:t>Gのみ</ns0:t>
        </ns0:is>
      </ns0:c>
      <ns0:c r="B16" s="3" t="inlineStr">
        <ns0:is>
          <ns0:t>G2二段階</ns0:t>
        </ns0:is>
      </ns0:c>
      <ns0:c r="C16" s="3" t="inlineStr">
        <ns0:is>
          <ns0:t>A</ns0:t>
        </ns0:is>
      </ns0:c>
      <ns0:c r="D16" s="4" t="n">
        <ns0:v>0</ns0:v>
      </ns0:c>
      <ns0:c r="E16" s="4" t="n">
        <ns0:v>0</ns0:v>
      </ns0:c>
      <ns0:c r="F16" s="6" t="n">
        <ns0:v>0.5</ns0:v>
      </ns0:c>
      <ns0:c r="G16" s="4" t="n">
        <ns0:v>1</ns0:v>
      </ns0:c>
      <ns0:c r="H16" s="7" t="n">
        <ns0:v>4763.454317897372</ns0:v>
      </ns0:c>
      <ns0:c r="I16" s="7" t="n">
        <ns0:v>2704.630788485607</ns0:v>
      </ns0:c>
      <ns0:c r="J16" s="7" t="n">
        <ns0:v>1352.315394242803</ns0:v>
      </ns0:c>
      <ns0:c r="K16" s="7" t="n">
        <ns0:v>17</ns0:v>
      </ns0:c>
      <ns0:c r="L16" s="7" t="n">
        <ns0:v>17</ns0:v>
      </ns0:c>
      <ns0:c r="M16" s="7" t="n">
        <ns0:v>-6490.438047559455</ns0:v>
      </ns0:c>
      <ns0:c r="N16" s="7" t="n">
        <ns0:v>28131.56445556945</ns0:v>
      </ns0:c>
      <ns0:c r="O16" s="7" t="n">
        <ns0:v>60219.27409261577</ns0:v>
      </ns0:c>
      <ns0:c r="P16" s="7" t="n">
        <ns0:v>140438.5481852315</ns0:v>
      </ns0:c>
      <ns0:c r="Q16" s="7" t="n">
        <ns0:v>441315.6445556945</ns0:v>
      </ns0:c>
      <ns0:c r="R16" s="7" t="n">
        <ns0:v>1524385.481852316</ns0:v>
      </ns0:c>
    </ns0:row>
    <ns0:row r="17" ht="24" customHeight="1">
      <ns0:c r="A17" s="3" t="inlineStr">
        <ns0:is>
          <ns0:t>Gのみ</ns0:t>
        </ns0:is>
      </ns0:c>
      <ns0:c r="B17" s="3" t="inlineStr">
        <ns0:is>
          <ns0:t>G2二段階</ns0:t>
        </ns0:is>
      </ns0:c>
      <ns0:c r="C17" s="3" t="inlineStr">
        <ns0:is>
          <ns0:t>A</ns0:t>
        </ns0:is>
      </ns0:c>
      <ns0:c r="D17" s="4" t="n">
        <ns0:v>1</ns0:v>
      </ns0:c>
      <ns0:c r="E17" s="4" t="n">
        <ns0:v>0</ns0:v>
      </ns0:c>
      <ns0:c r="F17" s="6" t="n">
        <ns0:v>0.3</ns0:v>
      </ns0:c>
      <ns0:c r="G17" s="4" t="n">
        <ns0:v>1</ns0:v>
      </ns0:c>
      <ns0:c r="H17" s="7" t="n">
        <ns0:v>5754.189944134077</ns0:v>
      </ns0:c>
      <ns0:c r="I17" s="7" t="n">
        <ns0:v>2910.614525139664</ns0:v>
      </ns0:c>
      <ns0:c r="J17" s="7" t="n">
        <ns0:v>873.1843575418992</ns0:v>
      </ns0:c>
      <ns0:c r="K17" s="7" t="n">
        <ns0:v>9</ns0:v>
      </ns0:c>
      <ns0:c r="L17" s="7" t="n">
        <ns0:v>9</ns0:v>
      </ns0:c>
      <ns0:c r="M17" s="7" t="n">
        <ns0:v>7617.132216014892</ns0:v>
      </ns0:c>
      <ns0:c r="N17" s="7" t="n">
        <ns0:v>57794.97206703909</ns0:v>
      </ns0:c>
      <ns0:c r="O17" s="7" t="n">
        <ns0:v>109658.2867783985</ns0:v>
      </ns0:c>
      <ns0:c r="P17" s="7" t="n">
        <ns0:v>239316.573556797</ns0:v>
      </ns0:c>
      <ns0:c r="Q17" s="7" t="n">
        <ns0:v>737949.7206703906</ns0:v>
      </ns0:c>
      <ns0:c r="R17" s="7" t="n">
        <ns0:v>2513165.73556797</ns0:v>
      </ns0:c>
    </ns0:row>
    <ns0:row r="18" ht="24" customHeight="1">
      <ns0:c r="A18" s="3" t="inlineStr">
        <ns0:is>
          <ns0:t>Gのみ</ns0:t>
        </ns0:is>
      </ns0:c>
      <ns0:c r="B18" s="3" t="inlineStr">
        <ns0:is>
          <ns0:t>G2二段階</ns0:t>
        </ns0:is>
      </ns0:c>
      <ns0:c r="C18" s="3" t="inlineStr">
        <ns0:is>
          <ns0:t>A</ns0:t>
        </ns0:is>
      </ns0:c>
      <ns0:c r="D18" s="4" t="n">
        <ns0:v>1</ns0:v>
      </ns0:c>
      <ns0:c r="E18" s="4" t="n">
        <ns0:v>0</ns0:v>
      </ns0:c>
      <ns0:c r="F18" s="6" t="n">
        <ns0:v>0.4</ns0:v>
      </ns0:c>
      <ns0:c r="G18" s="4" t="n">
        <ns0:v>1</ns0:v>
      </ns0:c>
      <ns0:c r="H18" s="7" t="n">
        <ns0:v>5754.189944134077</ns0:v>
      </ns0:c>
      <ns0:c r="I18" s="7" t="n">
        <ns0:v>2910.614525139664</ns0:v>
      </ns0:c>
      <ns0:c r="J18" s="7" t="n">
        <ns0:v>1164.245810055866</ns0:v>
      </ns0:c>
      <ns0:c r="K18" s="7" t="n">
        <ns0:v>12</ns0:v>
      </ns0:c>
      <ns0:c r="L18" s="7" t="n">
        <ns0:v>12</ns0:v>
      </ns0:c>
      <ns0:c r="M18" s="7" t="n">
        <ns0:v>4706.517690875226</ns0:v>
      </ns0:c>
      <ns0:c r="N18" s="7" t="n">
        <ns0:v>49063.1284916201</ns0:v>
      </ns0:c>
      <ns0:c r="O18" s="7" t="n">
        <ns0:v>95105.21415270019</ns0:v>
      </ns0:c>
      <ns0:c r="P18" s="7" t="n">
        <ns0:v>210210.4283054004</ns0:v>
      </ns0:c>
      <ns0:c r="Q18" s="7" t="n">
        <ns0:v>650631.2849162009</ns0:v>
      </ns0:c>
      <ns0:c r="R18" s="7" t="n">
        <ns0:v>2222104.283054003</ns0:v>
      </ns0:c>
    </ns0:row>
    <ns0:row r="19" ht="24" customHeight="1">
      <ns0:c r="A19" s="3" t="inlineStr">
        <ns0:is>
          <ns0:t>Gのみ</ns0:t>
        </ns0:is>
      </ns0:c>
      <ns0:c r="B19" s="3" t="inlineStr">
        <ns0:is>
          <ns0:t>G2二段階</ns0:t>
        </ns0:is>
      </ns0:c>
      <ns0:c r="C19" s="3" t="inlineStr">
        <ns0:is>
          <ns0:t>A</ns0:t>
        </ns0:is>
      </ns0:c>
      <ns0:c r="D19" s="4" t="n">
        <ns0:v>1</ns0:v>
      </ns0:c>
      <ns0:c r="E19" s="4" t="n">
        <ns0:v>0</ns0:v>
      </ns0:c>
      <ns0:c r="F19" s="6" t="n">
        <ns0:v>0.5</ns0:v>
      </ns0:c>
      <ns0:c r="G19" s="4" t="n">
        <ns0:v>1</ns0:v>
      </ns0:c>
      <ns0:c r="H19" s="7" t="n">
        <ns0:v>5754.189944134077</ns0:v>
      </ns0:c>
      <ns0:c r="I19" s="7" t="n">
        <ns0:v>2910.614525139664</ns0:v>
      </ns0:c>
      <ns0:c r="J19" s="7" t="n">
        <ns0:v>1455.307262569832</ns0:v>
      </ns0:c>
      <ns0:c r="K19" s="7" t="n">
        <ns0:v>13</ns0:v>
      </ns0:c>
      <ns0:c r="L19" s="7" t="n">
        <ns0:v>13</ns0:v>
      </ns0:c>
      <ns0:c r="M19" s="7" t="n">
        <ns0:v>1795.903165735566</ns0:v>
      </ns0:c>
      <ns0:c r="N19" s="7" t="n">
        <ns0:v>40331.28491620112</ns0:v>
      </ns0:c>
      <ns0:c r="O19" s="7" t="n">
        <ns0:v>80552.14152700185</ns0:v>
      </ns0:c>
      <ns0:c r="P19" s="7" t="n">
        <ns0:v>181104.2830540037</ns0:v>
      </ns0:c>
      <ns0:c r="Q19" s="7" t="n">
        <ns0:v>563312.8491620109</ns0:v>
      </ns0:c>
      <ns0:c r="R19" s="7" t="n">
        <ns0:v>1931042.830540037</ns0:v>
      </ns0:c>
    </ns0:row>
    <ns0:row r="20" ht="24" customHeight="1">
      <ns0:c r="A20" s="3" t="inlineStr">
        <ns0:is>
          <ns0:t>Gのみ</ns0:t>
        </ns0:is>
      </ns0:c>
      <ns0:c r="B20" s="3" t="inlineStr">
        <ns0:is>
          <ns0:t>G2二段階</ns0:t>
        </ns0:is>
      </ns0:c>
      <ns0:c r="C20" s="3" t="inlineStr">
        <ns0:is>
          <ns0:t>A</ns0:t>
        </ns0:is>
      </ns0:c>
      <ns0:c r="D20" s="4" t="n">
        <ns0:v>2</ns0:v>
      </ns0:c>
      <ns0:c r="E20" s="4" t="n">
        <ns0:v>0</ns0:v>
      </ns0:c>
      <ns0:c r="F20" s="6" t="n">
        <ns0:v>0.3</ns0:v>
      </ns0:c>
      <ns0:c r="G20" s="4" t="n">
        <ns0:v>1</ns0:v>
      </ns0:c>
      <ns0:c r="H20" s="7" t="n">
        <ns0:v>7349.462365591398</ns0:v>
      </ns0:c>
      <ns0:c r="I20" s="7" t="n">
        <ns0:v>3193.548387096774</ns0:v>
      </ns0:c>
      <ns0:c r="J20" s="7" t="n">
        <ns0:v>958.0645161290321</ns0:v>
      </ns0:c>
      <ns0:c r="K20" s="7" t="n">
        <ns0:v>6</ns0:v>
      </ns0:c>
      <ns0:c r="L20" s="7" t="n">
        <ns0:v>6</ns0:v>
      </ns0:c>
      <ns0:c r="M20" s="7" t="n">
        <ns0:v>21735.37634408603</ns0:v>
      </ns0:c>
      <ns0:c r="N20" s="7" t="n">
        <ns0:v>77935.16129032261</ns0:v>
      </ns0:c>
      <ns0:c r="O20" s="7" t="n">
        <ns0:v>143225.2688172043</ns0:v>
      </ns0:c>
      <ns0:c r="P20" s="7" t="n">
        <ns0:v>306450.5376344086</ns0:v>
      </ns0:c>
      <ns0:c r="Q20" s="7" t="n">
        <ns0:v>939351.6129032263</ns0:v>
      </ns0:c>
      <ns0:c r="R20" s="7" t="n">
        <ns0:v>3184505.376344086</ns0:v>
      </ns0:c>
    </ns0:row>
    <ns0:row r="21" ht="24" customHeight="1">
      <ns0:c r="A21" s="3" t="inlineStr">
        <ns0:is>
          <ns0:t>Gのみ</ns0:t>
        </ns0:is>
      </ns0:c>
      <ns0:c r="B21" s="3" t="inlineStr">
        <ns0:is>
          <ns0:t>G2二段階</ns0:t>
        </ns0:is>
      </ns0:c>
      <ns0:c r="C21" s="3" t="inlineStr">
        <ns0:is>
          <ns0:t>A</ns0:t>
        </ns0:is>
      </ns0:c>
      <ns0:c r="D21" s="4" t="n">
        <ns0:v>2</ns0:v>
      </ns0:c>
      <ns0:c r="E21" s="4" t="n">
        <ns0:v>0</ns0:v>
      </ns0:c>
      <ns0:c r="F21" s="6" t="n">
        <ns0:v>0.4</ns0:v>
      </ns0:c>
      <ns0:c r="G21" s="4" t="n">
        <ns0:v>1</ns0:v>
      </ns0:c>
      <ns0:c r="H21" s="7" t="n">
        <ns0:v>7349.462365591398</ns0:v>
      </ns0:c>
      <ns0:c r="I21" s="7" t="n">
        <ns0:v>3193.548387096774</ns0:v>
      </ns0:c>
      <ns0:c r="J21" s="7" t="n">
        <ns0:v>1277.41935483871</ns0:v>
      </ns0:c>
      <ns0:c r="K21" s="7" t="n">
        <ns0:v>7</ns0:v>
      </ns0:c>
      <ns0:c r="L21" s="7" t="n">
        <ns0:v>7</ns0:v>
      </ns0:c>
      <ns0:c r="M21" s="7" t="n">
        <ns0:v>18541.82795698925</ns0:v>
      </ns0:c>
      <ns0:c r="N21" s="7" t="n">
        <ns0:v>68354.51612903227</ns0:v>
      </ns0:c>
      <ns0:c r="O21" s="7" t="n">
        <ns0:v>127257.5268817204</ns0:v>
      </ns0:c>
      <ns0:c r="P21" s="7" t="n">
        <ns0:v>274515.0537634409</ns0:v>
      </ns0:c>
      <ns0:c r="Q21" s="7" t="n">
        <ns0:v>843545.161290323</ns0:v>
      </ns0:c>
      <ns0:c r="R21" s="7" t="n">
        <ns0:v>2865150.537634408</ns0:v>
      </ns0:c>
    </ns0:row>
    <ns0:row r="22" ht="24" customHeight="1">
      <ns0:c r="A22" s="3" t="inlineStr">
        <ns0:is>
          <ns0:t>Gのみ</ns0:t>
        </ns0:is>
      </ns0:c>
      <ns0:c r="B22" s="3" t="inlineStr">
        <ns0:is>
          <ns0:t>G2二段階</ns0:t>
        </ns0:is>
      </ns0:c>
      <ns0:c r="C22" s="3" t="inlineStr">
        <ns0:is>
          <ns0:t>A</ns0:t>
        </ns0:is>
      </ns0:c>
      <ns0:c r="D22" s="4" t="n">
        <ns0:v>2</ns0:v>
      </ns0:c>
      <ns0:c r="E22" s="4" t="n">
        <ns0:v>0</ns0:v>
      </ns0:c>
      <ns0:c r="F22" s="6" t="n">
        <ns0:v>0.5</ns0:v>
      </ns0:c>
      <ns0:c r="G22" s="4" t="n">
        <ns0:v>1</ns0:v>
      </ns0:c>
      <ns0:c r="H22" s="7" t="n">
        <ns0:v>7349.462365591398</ns0:v>
      </ns0:c>
      <ns0:c r="I22" s="7" t="n">
        <ns0:v>3193.548387096774</ns0:v>
      </ns0:c>
      <ns0:c r="J22" s="7" t="n">
        <ns0:v>1596.774193548387</ns0:v>
      </ns0:c>
      <ns0:c r="K22" s="7" t="n">
        <ns0:v>7</ns0:v>
      </ns0:c>
      <ns0:c r="L22" s="7" t="n">
        <ns0:v>7</ns0:v>
      </ns0:c>
      <ns0:c r="M22" s="7" t="n">
        <ns0:v>15348.27956989247</ns0:v>
      </ns0:c>
      <ns0:c r="N22" s="7" t="n">
        <ns0:v>58773.87096774197</ns0:v>
      </ns0:c>
      <ns0:c r="O22" s="7" t="n">
        <ns0:v>111289.7849462366</ns0:v>
      </ns0:c>
      <ns0:c r="P22" s="7" t="n">
        <ns0:v>242579.5698924731</ns0:v>
      </ns0:c>
      <ns0:c r="Q22" s="7" t="n">
        <ns0:v>747738.7096774197</ns0:v>
      </ns0:c>
      <ns0:c r="R22" s="7" t="n">
        <ns0:v>2545795.698924731</ns0:v>
      </ns0:c>
    </ns0:row>
    <ns0:row r="23" ht="24" customHeight="1">
      <ns0:c r="A23" s="3" t="inlineStr">
        <ns0:is>
          <ns0:t>Gのみ</ns0:t>
        </ns0:is>
      </ns0:c>
      <ns0:c r="B23" s="3" t="inlineStr">
        <ns0:is>
          <ns0:t>G3三段階</ns0:t>
        </ns0:is>
      </ns0:c>
      <ns0:c r="C23" s="3" t="inlineStr">
        <ns0:is>
          <ns0:t>A</ns0:t>
        </ns0:is>
      </ns0:c>
      <ns0:c r="D23" s="4" t="n">
        <ns0:v>0</ns0:v>
      </ns0:c>
      <ns0:c r="E23" s="4" t="n">
        <ns0:v>0</ns0:v>
      </ns0:c>
      <ns0:c r="F23" s="6" t="n">
        <ns0:v>0.3</ns0:v>
      </ns0:c>
      <ns0:c r="G23" s="4" t="n">
        <ns0:v>1</ns0:v>
      </ns0:c>
      <ns0:c r="H23" s="7" t="n">
        <ns0:v>4531.289111389236</ns0:v>
      </ns0:c>
      <ns0:c r="I23" s="7" t="n">
        <ns0:v>2472.465581977472</ns0:v>
      </ns0:c>
      <ns0:c r="J23" s="7" t="n">
        <ns0:v>741.7396745932415</ns0:v>
      </ns0:c>
      <ns0:c r="K23" s="7" t="n">
        <ns0:v>15</ns0:v>
      </ns0:c>
      <ns0:c r="L23" s="7" t="n">
        <ns0:v>15</ns0:v>
      </ns0:c>
      <ns0:c r="M23" s="7" t="n">
        <ns0:v>-2622.753441802259</ns0:v>
      </ns0:c>
      <ns0:c r="N23" s="7" t="n">
        <ns0:v>39734.61827284105</ns0:v>
      </ns0:c>
      <ns0:c r="O23" s="7" t="n">
        <ns0:v>79557.69712140175</ns0:v>
      </ns0:c>
      <ns0:c r="P23" s="7" t="n">
        <ns0:v>179115.3942428035</ns0:v>
      </ns0:c>
      <ns0:c r="Q23" s="7" t="n">
        <ns0:v>557346.1827284105</ns0:v>
      </ns0:c>
      <ns0:c r="R23" s="7" t="n">
        <ns0:v>1911153.942428036</ns0:v>
      </ns0:c>
    </ns0:row>
    <ns0:row r="24" ht="24" customHeight="1">
      <ns0:c r="A24" s="3" t="inlineStr">
        <ns0:is>
          <ns0:t>Gのみ</ns0:t>
        </ns0:is>
      </ns0:c>
      <ns0:c r="B24" s="3" t="inlineStr">
        <ns0:is>
          <ns0:t>G3三段階</ns0:t>
        </ns0:is>
      </ns0:c>
      <ns0:c r="C24" s="3" t="inlineStr">
        <ns0:is>
          <ns0:t>A</ns0:t>
        </ns0:is>
      </ns0:c>
      <ns0:c r="D24" s="4" t="n">
        <ns0:v>0</ns0:v>
      </ns0:c>
      <ns0:c r="E24" s="4" t="n">
        <ns0:v>0</ns0:v>
      </ns0:c>
      <ns0:c r="F24" s="6" t="n">
        <ns0:v>0.4</ns0:v>
      </ns0:c>
      <ns0:c r="G24" s="4" t="n">
        <ns0:v>1</ns0:v>
      </ns0:c>
      <ns0:c r="H24" s="7" t="n">
        <ns0:v>4531.289111389236</ns0:v>
      </ns0:c>
      <ns0:c r="I24" s="7" t="n">
        <ns0:v>2472.465581977472</ns0:v>
      </ns0:c>
      <ns0:c r="J24" s="7" t="n">
        <ns0:v>988.9862327909888</ns0:v>
      </ns0:c>
      <ns0:c r="K24" s="7" t="n">
        <ns0:v>16</ns0:v>
      </ns0:c>
      <ns0:c r="L24" s="7" t="n">
        <ns0:v>16</ns0:v>
      </ns0:c>
      <ns0:c r="M24" s="7" t="n">
        <ns0:v>-5095.219023779729</ns0:v>
      </ns0:c>
      <ns0:c r="N24" s="7" t="n">
        <ns0:v>32317.22152690863</ns0:v>
      </ns0:c>
      <ns0:c r="O24" s="7" t="n">
        <ns0:v>67195.36921151439</ns0:v>
      </ns0:c>
      <ns0:c r="P24" s="7" t="n">
        <ns0:v>154390.7384230288</ns0:v>
      </ns0:c>
      <ns0:c r="Q24" s="7" t="n">
        <ns0:v>483172.2152690861</ns0:v>
      </ns0:c>
      <ns0:c r="R24" s="7" t="n">
        <ns0:v>1663907.384230288</ns0:v>
      </ns0:c>
    </ns0:row>
    <ns0:row r="25" ht="24" customHeight="1">
      <ns0:c r="A25" s="3" t="inlineStr">
        <ns0:is>
          <ns0:t>Gのみ</ns0:t>
        </ns0:is>
      </ns0:c>
      <ns0:c r="B25" s="3" t="inlineStr">
        <ns0:is>
          <ns0:t>G3三段階</ns0:t>
        </ns0:is>
      </ns0:c>
      <ns0:c r="C25" s="3" t="inlineStr">
        <ns0:is>
          <ns0:t>A</ns0:t>
        </ns0:is>
      </ns0:c>
      <ns0:c r="D25" s="4" t="n">
        <ns0:v>0</ns0:v>
      </ns0:c>
      <ns0:c r="E25" s="4" t="n">
        <ns0:v>0</ns0:v>
      </ns0:c>
      <ns0:c r="F25" s="6" t="n">
        <ns0:v>0.5</ns0:v>
      </ns0:c>
      <ns0:c r="G25" s="4" t="n">
        <ns0:v>1</ns0:v>
      </ns0:c>
      <ns0:c r="H25" s="7" t="n">
        <ns0:v>4531.289111389236</ns0:v>
      </ns0:c>
      <ns0:c r="I25" s="7" t="n">
        <ns0:v>2472.465581977472</ns0:v>
      </ns0:c>
      <ns0:c r="J25" s="7" t="n">
        <ns0:v>1236.232790988736</ns0:v>
      </ns0:c>
      <ns0:c r="K25" s="7" t="n">
        <ns0:v>18</ns0:v>
      </ns0:c>
      <ns0:c r="L25" s="7" t="n">
        <ns0:v>18</ns0:v>
      </ns0:c>
      <ns0:c r="M25" s="7" t="n">
        <ns0:v>-7567.684605757207</ns0:v>
      </ns0:c>
      <ns0:c r="N25" s="7" t="n">
        <ns0:v>24899.82478097621</ns0:v>
      </ns0:c>
      <ns0:c r="O25" s="7" t="n">
        <ns0:v>54833.04130162702</ns0:v>
      </ns0:c>
      <ns0:c r="P25" s="7" t="n">
        <ns0:v>129666.082603254</ns0:v>
      </ns0:c>
      <ns0:c r="Q25" s="7" t="n">
        <ns0:v>408998.2478097621</ns0:v>
      </ns0:c>
      <ns0:c r="R25" s="7" t="n">
        <ns0:v>1416660.826032541</ns0:v>
      </ns0:c>
    </ns0:row>
    <ns0:row r="26" ht="24" customHeight="1">
      <ns0:c r="A26" s="3" t="inlineStr">
        <ns0:is>
          <ns0:t>Gのみ</ns0:t>
        </ns0:is>
      </ns0:c>
      <ns0:c r="B26" s="3" t="inlineStr">
        <ns0:is>
          <ns0:t>G3三段階</ns0:t>
        </ns0:is>
      </ns0:c>
      <ns0:c r="C26" s="3" t="inlineStr">
        <ns0:is>
          <ns0:t>A</ns0:t>
        </ns0:is>
      </ns0:c>
      <ns0:c r="D26" s="4" t="n">
        <ns0:v>1</ns0:v>
      </ns0:c>
      <ns0:c r="E26" s="4" t="n">
        <ns0:v>0</ns0:v>
      </ns0:c>
      <ns0:c r="F26" s="6" t="n">
        <ns0:v>0.3</ns0:v>
      </ns0:c>
      <ns0:c r="G26" s="4" t="n">
        <ns0:v>1</ns0:v>
      </ns0:c>
      <ns0:c r="H26" s="7" t="n">
        <ns0:v>5505.586592178771</ns0:v>
      </ns0:c>
      <ns0:c r="I26" s="7" t="n">
        <ns0:v>2662.011173184357</ns0:v>
      </ns0:c>
      <ns0:c r="J26" s="7" t="n">
        <ns0:v>798.6033519553071</ns0:v>
      </ns0:c>
      <ns0:c r="K26" s="7" t="n">
        <ns0:v>12</ns0:v>
      </ns0:c>
      <ns0:c r="L26" s="7" t="n">
        <ns0:v>12</ns0:v>
      </ns0:c>
      <ns0:c r="M26" s="7" t="n">
        <ns0:v>5966.405959031646</ns0:v>
      </ns0:c>
      <ns0:c r="N26" s="7" t="n">
        <ns0:v>52842.79329608937</ns0:v>
      </ns0:c>
      <ns0:c r="O26" s="7" t="n">
        <ns0:v>101404.6554934824</ns0:v>
      </ns0:c>
      <ns0:c r="P26" s="7" t="n">
        <ns0:v>222809.3109869647</ns0:v>
      </ns0:c>
      <ns0:c r="Q26" s="7" t="n">
        <ns0:v>688427.9329608937</ns0:v>
      </ns0:c>
      <ns0:c r="R26" s="7" t="n">
        <ns0:v>2348093.109869646</ns0:v>
      </ns0:c>
    </ns0:row>
    <ns0:row r="27" ht="24" customHeight="1">
      <ns0:c r="A27" s="3" t="inlineStr">
        <ns0:is>
          <ns0:t>Gのみ</ns0:t>
        </ns0:is>
      </ns0:c>
      <ns0:c r="B27" s="3" t="inlineStr">
        <ns0:is>
          <ns0:t>G3三段階</ns0:t>
        </ns0:is>
      </ns0:c>
      <ns0:c r="C27" s="3" t="inlineStr">
        <ns0:is>
          <ns0:t>A</ns0:t>
        </ns0:is>
      </ns0:c>
      <ns0:c r="D27" s="4" t="n">
        <ns0:v>1</ns0:v>
      </ns0:c>
      <ns0:c r="E27" s="4" t="n">
        <ns0:v>0</ns0:v>
      </ns0:c>
      <ns0:c r="F27" s="6" t="n">
        <ns0:v>0.4</ns0:v>
      </ns0:c>
      <ns0:c r="G27" s="4" t="n">
        <ns0:v>1</ns0:v>
      </ns0:c>
      <ns0:c r="H27" s="7" t="n">
        <ns0:v>5505.586592178771</ns0:v>
      </ns0:c>
      <ns0:c r="I27" s="7" t="n">
        <ns0:v>2662.011173184357</ns0:v>
      </ns0:c>
      <ns0:c r="J27" s="7" t="n">
        <ns0:v>1064.804469273743</ns0:v>
      </ns0:c>
      <ns0:c r="K27" s="7" t="n">
        <ns0:v>12</ns0:v>
      </ns0:c>
      <ns0:c r="L27" s="7" t="n">
        <ns0:v>12</ns0:v>
      </ns0:c>
      <ns0:c r="M27" s="7" t="n">
        <ns0:v>3304.394785847289</ns0:v>
      </ns0:c>
      <ns0:c r="N27" s="7" t="n">
        <ns0:v>44856.7597765363</ns0:v>
      </ns0:c>
      <ns0:c r="O27" s="7" t="n">
        <ns0:v>88094.59962756054</ns0:v>
      </ns0:c>
      <ns0:c r="P27" s="7" t="n">
        <ns0:v>196189.1992551211</ns0:v>
      </ns0:c>
      <ns0:c r="Q27" s="7" t="n">
        <ns0:v>608567.5977653628</ns0:v>
      </ns0:c>
      <ns0:c r="R27" s="7" t="n">
        <ns0:v>2081891.99255121</ns0:v>
      </ns0:c>
    </ns0:row>
    <ns0:row r="28" ht="24" customHeight="1">
      <ns0:c r="A28" s="3" t="inlineStr">
        <ns0:is>
          <ns0:t>Gのみ</ns0:t>
        </ns0:is>
      </ns0:c>
      <ns0:c r="B28" s="3" t="inlineStr">
        <ns0:is>
          <ns0:t>G3三段階</ns0:t>
        </ns0:is>
      </ns0:c>
      <ns0:c r="C28" s="3" t="inlineStr">
        <ns0:is>
          <ns0:t>A</ns0:t>
        </ns0:is>
      </ns0:c>
      <ns0:c r="D28" s="4" t="n">
        <ns0:v>1</ns0:v>
      </ns0:c>
      <ns0:c r="E28" s="4" t="n">
        <ns0:v>0</ns0:v>
      </ns0:c>
      <ns0:c r="F28" s="6" t="n">
        <ns0:v>0.5</ns0:v>
      </ns0:c>
      <ns0:c r="G28" s="4" t="n">
        <ns0:v>1</ns0:v>
      </ns0:c>
      <ns0:c r="H28" s="7" t="n">
        <ns0:v>5505.586592178771</ns0:v>
      </ns0:c>
      <ns0:c r="I28" s="7" t="n">
        <ns0:v>2662.011173184357</ns0:v>
      </ns0:c>
      <ns0:c r="J28" s="7" t="n">
        <ns0:v>1331.005586592178</ns0:v>
      </ns0:c>
      <ns0:c r="K28" s="7" t="n">
        <ns0:v>13</ns0:v>
      </ns0:c>
      <ns0:c r="L28" s="7" t="n">
        <ns0:v>13</ns0:v>
      </ns0:c>
      <ns0:c r="M28" s="7" t="n">
        <ns0:v>642.3836126629321</ns0:v>
      </ns0:c>
      <ns0:c r="N28" s="7" t="n">
        <ns0:v>36870.72625698322</ns0:v>
      </ns0:c>
      <ns0:c r="O28" s="7" t="n">
        <ns0:v>74784.54376163876</ns0:v>
      </ns0:c>
      <ns0:c r="P28" s="7" t="n">
        <ns0:v>169569.0875232775</ns0:v>
      </ns0:c>
      <ns0:c r="Q28" s="7" t="n">
        <ns0:v>528707.2625698321</ns0:v>
      </ns0:c>
      <ns0:c r="R28" s="7" t="n">
        <ns0:v>1815690.875232774</ns0:v>
      </ns0:c>
    </ns0:row>
    <ns0:row r="29" ht="24" customHeight="1">
      <ns0:c r="A29" s="3" t="inlineStr">
        <ns0:is>
          <ns0:t>Gのみ</ns0:t>
        </ns0:is>
      </ns0:c>
      <ns0:c r="B29" s="3" t="inlineStr">
        <ns0:is>
          <ns0:t>G3三段階</ns0:t>
        </ns0:is>
      </ns0:c>
      <ns0:c r="C29" s="3" t="inlineStr">
        <ns0:is>
          <ns0:t>A</ns0:t>
        </ns0:is>
      </ns0:c>
      <ns0:c r="D29" s="4" t="n">
        <ns0:v>2</ns0:v>
      </ns0:c>
      <ns0:c r="E29" s="4" t="n">
        <ns0:v>0</ns0:v>
      </ns0:c>
      <ns0:c r="F29" s="6" t="n">
        <ns0:v>0.3</ns0:v>
      </ns0:c>
      <ns0:c r="G29" s="4" t="n">
        <ns0:v>1</ns0:v>
      </ns0:c>
      <ns0:c r="H29" s="7" t="n">
        <ns0:v>7096.774193548386</ns0:v>
      </ns0:c>
      <ns0:c r="I29" s="7" t="n">
        <ns0:v>2940.860215053763</ns0:v>
      </ns0:c>
      <ns0:c r="J29" s="7" t="n">
        <ns0:v>882.2580645161289</ns0:v>
      </ns0:c>
      <ns0:c r="K29" s="7" t="n">
        <ns0:v>7</ns0:v>
      </ns0:c>
      <ns0:c r="L29" s="7" t="n">
        <ns0:v>7</ns0:v>
      </ns0:c>
      <ns0:c r="M29" s="7" t="n">
        <ns0:v>20057.52688172043</ns0:v>
      </ns0:c>
      <ns0:c r="N29" s="7" t="n">
        <ns0:v>72901.61290322579</ns0:v>
      </ns0:c>
      <ns0:c r="O29" s="7" t="n">
        <ns0:v>134836.0215053763</ns0:v>
      </ns0:c>
      <ns0:c r="P29" s="7" t="n">
        <ns0:v>289672.0430107526</ns0:v>
      </ns0:c>
      <ns0:c r="Q29" s="7" t="n">
        <ns0:v>889016.1290322578</ns0:v>
      </ns0:c>
      <ns0:c r="R29" s="7" t="n">
        <ns0:v>3016720.430107526</ns0:v>
      </ns0:c>
    </ns0:row>
    <ns0:row r="30" ht="24" customHeight="1">
      <ns0:c r="A30" s="3" t="inlineStr">
        <ns0:is>
          <ns0:t>Gのみ</ns0:t>
        </ns0:is>
      </ns0:c>
      <ns0:c r="B30" s="3" t="inlineStr">
        <ns0:is>
          <ns0:t>G3三段階</ns0:t>
        </ns0:is>
      </ns0:c>
      <ns0:c r="C30" s="3" t="inlineStr">
        <ns0:is>
          <ns0:t>A</ns0:t>
        </ns0:is>
      </ns0:c>
      <ns0:c r="D30" s="4" t="n">
        <ns0:v>2</ns0:v>
      </ns0:c>
      <ns0:c r="E30" s="4" t="n">
        <ns0:v>0</ns0:v>
      </ns0:c>
      <ns0:c r="F30" s="6" t="n">
        <ns0:v>0.4</ns0:v>
      </ns0:c>
      <ns0:c r="G30" s="4" t="n">
        <ns0:v>1</ns0:v>
      </ns0:c>
      <ns0:c r="H30" s="7" t="n">
        <ns0:v>7096.774193548386</ns0:v>
      </ns0:c>
      <ns0:c r="I30" s="7" t="n">
        <ns0:v>2940.860215053763</ns0:v>
      </ns0:c>
      <ns0:c r="J30" s="7" t="n">
        <ns0:v>1176.344086021505</ns0:v>
      </ns0:c>
      <ns0:c r="K30" s="7" t="n">
        <ns0:v>7</ns0:v>
      </ns0:c>
      <ns0:c r="L30" s="7" t="n">
        <ns0:v>7</ns0:v>
      </ns0:c>
      <ns0:c r="M30" s="7" t="n">
        <ns0:v>17116.66666666666</ns0:v>
      </ns0:c>
      <ns0:c r="N30" s="7" t="n">
        <ns0:v>64079.03225806452</ns0:v>
      </ns0:c>
      <ns0:c r="O30" s="7" t="n">
        <ns0:v>120131.7204301075</ns0:v>
      </ns0:c>
      <ns0:c r="P30" s="7" t="n">
        <ns0:v>260263.4408602151</ns0:v>
      </ns0:c>
      <ns0:c r="Q30" s="7" t="n">
        <ns0:v>800790.322580645</ns0:v>
      </ns0:c>
      <ns0:c r="R30" s="7" t="n">
        <ns0:v>2722634.40860215</ns0:v>
      </ns0:c>
    </ns0:row>
    <ns0:row r="31" ht="24" customHeight="1">
      <ns0:c r="A31" s="3" t="inlineStr">
        <ns0:is>
          <ns0:t>Gのみ</ns0:t>
        </ns0:is>
      </ns0:c>
      <ns0:c r="B31" s="3" t="inlineStr">
        <ns0:is>
          <ns0:t>G3三段階</ns0:t>
        </ns0:is>
      </ns0:c>
      <ns0:c r="C31" s="3" t="inlineStr">
        <ns0:is>
          <ns0:t>A</ns0:t>
        </ns0:is>
      </ns0:c>
      <ns0:c r="D31" s="4" t="n">
        <ns0:v>2</ns0:v>
      </ns0:c>
      <ns0:c r="E31" s="4" t="n">
        <ns0:v>0</ns0:v>
      </ns0:c>
      <ns0:c r="F31" s="6" t="n">
        <ns0:v>0.5</ns0:v>
      </ns0:c>
      <ns0:c r="G31" s="4" t="n">
        <ns0:v>1</ns0:v>
      </ns0:c>
      <ns0:c r="H31" s="7" t="n">
        <ns0:v>7096.774193548386</ns0:v>
      </ns0:c>
      <ns0:c r="I31" s="7" t="n">
        <ns0:v>2940.860215053763</ns0:v>
      </ns0:c>
      <ns0:c r="J31" s="7" t="n">
        <ns0:v>1470.430107526882</ns0:v>
      </ns0:c>
      <ns0:c r="K31" s="7" t="n">
        <ns0:v>7</ns0:v>
      </ns0:c>
      <ns0:c r="L31" s="7" t="n">
        <ns0:v>7</ns0:v>
      </ns0:c>
      <ns0:c r="M31" s="7" t="n">
        <ns0:v>14175.8064516129</ns0:v>
      </ns0:c>
      <ns0:c r="N31" s="7" t="n">
        <ns0:v>55256.45161290324</ns0:v>
      </ns0:c>
      <ns0:c r="O31" s="7" t="n">
        <ns0:v>105427.4193548387</ns0:v>
      </ns0:c>
      <ns0:c r="P31" s="7" t="n">
        <ns0:v>230854.8387096774</ns0:v>
      </ns0:c>
      <ns0:c r="Q31" s="7" t="n">
        <ns0:v>712564.5161290321</ns0:v>
      </ns0:c>
      <ns0:c r="R31" s="7" t="n">
        <ns0:v>2428548.387096773</ns0:v>
      </ns0:c>
    </ns0:row>
    <ns0:row r="32" ht="24" customHeight="1">
      <ns0:c r="A32" s="3" t="inlineStr">
        <ns0:is>
          <ns0:t>Sのみ</ns0:t>
        </ns0:is>
      </ns0:c>
      <ns0:c r="B32" s="3" t="inlineStr">
        <ns0:is>
          <ns0:t>G0基本5000比較</ns0:t>
        </ns0:is>
      </ns0:c>
      <ns0:c r="C32" s="3" t="inlineStr">
        <ns0:is>
          <ns0:t>A</ns0:t>
        </ns0:is>
      </ns0:c>
      <ns0:c r="D32" s="4" t="n">
        <ns0:v>0</ns0:v>
      </ns0:c>
      <ns0:c r="E32" s="4" t="n">
        <ns0:v>0</ns0:v>
      </ns0:c>
      <ns0:c r="F32" s="6" t="n">
        <ns0:v>0.3</ns0:v>
      </ns0:c>
      <ns0:c r="G32" s="4" t="n">
        <ns0:v>0</ns0:v>
      </ns0:c>
      <ns0:c r="H32" s="7" t="n">
        <ns0:v>1934.77</ns0:v>
      </ns0:c>
      <ns0:c r="I32" s="7" t="n">
        <ns0:v>1514.25</ns0:v>
      </ns0:c>
      <ns0:c r="J32" s="7" t="n">
        <ns0:v>454.275</ns0:v>
      </ns0:c>
      <ns0:c r="K32" s="7" t="n">
        <ns0:v>31</ns0:v>
      </ns0:c>
      <ns0:c r="L32" s="7" t="n">
        <ns0:v>31</ns0:v>
      </ns0:c>
      <ns0:c r="M32" s="7" t="n">
        <ns0:v>-18611.87508675874</ns0:v>
      </ns0:c>
      <ns0:c r="N32" s="7" t="n">
        <ns0:v>-313.7560076606242</ns0:v>
      </ns0:c>
      <ns0:c r="O32" s="7" t="n">
        <ns0:v>22484.3630714375</ns0:v>
      </ns0:c>
      <ns0:c r="P32" s="7" t="n">
        <ns0:v>79479.66076918278</ns0:v>
      </ns0:c>
      <ns0:c r="Q32" s="7" t="n">
        <ns0:v>285460.8515601639</ns0:v>
      </ns0:c>
      <ns0:c r="R32" s="7" t="n">
        <ns0:v>1053395.019328598</ns0:v>
      </ns0:c>
    </ns0:row>
    <ns0:row r="33" ht="24" customHeight="1">
      <ns0:c r="A33" s="3" t="inlineStr">
        <ns0:is>
          <ns0:t>Sのみ</ns0:t>
        </ns0:is>
      </ns0:c>
      <ns0:c r="B33" s="3" t="inlineStr">
        <ns0:is>
          <ns0:t>G0基本5000比較</ns0:t>
        </ns0:is>
      </ns0:c>
      <ns0:c r="C33" s="3" t="inlineStr">
        <ns0:is>
          <ns0:t>A</ns0:t>
        </ns0:is>
      </ns0:c>
      <ns0:c r="D33" s="4" t="n">
        <ns0:v>0</ns0:v>
      </ns0:c>
      <ns0:c r="E33" s="4" t="n">
        <ns0:v>0</ns0:v>
      </ns0:c>
      <ns0:c r="F33" s="6" t="n">
        <ns0:v>0.3</ns0:v>
      </ns0:c>
      <ns0:c r="G33" s="4" t="n">
        <ns0:v>1</ns0:v>
      </ns0:c>
      <ns0:c r="H33" s="7" t="n">
        <ns0:v>1934.77</ns0:v>
      </ns0:c>
      <ns0:c r="I33" s="7" t="n">
        <ns0:v>1514.25</ns0:v>
      </ns0:c>
      <ns0:c r="J33" s="7" t="n">
        <ns0:v>454.275</ns0:v>
      </ns0:c>
      <ns0:c r="K33" s="7" t="n">
        <ns0:v>45</ns0:v>
      </ns0:c>
      <ns0:c r="L33" s="7" t="n">
        <ns0:v>45</ns0:v>
      </ns0:c>
      <ns0:c r="M33" s="7" t="n">
        <ns0:v>-22291.71405367228</ns0:v>
      </ns0:c>
      <ns0:c r="N33" s="7" t="n">
        <ns0:v>-11353.27290840122</ns0:v>
      </ns0:c>
      <ns0:c r="O33" s="7" t="n">
        <ns0:v>4085.168236869831</ns0:v>
      </ns0:c>
      <ns0:c r="P33" s="7" t="n">
        <ns0:v>42681.27110004746</ns0:v>
      </ns0:c>
      <ns0:c r="Q33" s="7" t="n">
        <ns0:v>175065.6825527579</ns0:v>
      </ns0:c>
      <ns0:c r="R33" s="7" t="n">
        <ns0:v>685411.1226372445</ns0:v>
      </ns0:c>
    </ns0:row>
    <ns0:row r="34" ht="24" customHeight="1">
      <ns0:c r="A34" s="3" t="inlineStr">
        <ns0:is>
          <ns0:t>Sのみ</ns0:t>
        </ns0:is>
      </ns0:c>
      <ns0:c r="B34" s="3" t="inlineStr">
        <ns0:is>
          <ns0:t>G0基本5000比較</ns0:t>
        </ns0:is>
      </ns0:c>
      <ns0:c r="C34" s="3" t="inlineStr">
        <ns0:is>
          <ns0:t>A</ns0:t>
        </ns0:is>
      </ns0:c>
      <ns0:c r="D34" s="4" t="n">
        <ns0:v>0</ns0:v>
      </ns0:c>
      <ns0:c r="E34" s="4" t="n">
        <ns0:v>0</ns0:v>
      </ns0:c>
      <ns0:c r="F34" s="6" t="n">
        <ns0:v>0.3</ns0:v>
      </ns0:c>
      <ns0:c r="G34" s="4" t="n">
        <ns0:v>2</ns0:v>
      </ns0:c>
      <ns0:c r="H34" s="7" t="n">
        <ns0:v>1934.77</ns0:v>
      </ns0:c>
      <ns0:c r="I34" s="7" t="n">
        <ns0:v>1514.25</ns0:v>
      </ns0:c>
      <ns0:c r="J34" s="7" t="n">
        <ns0:v>454.275</ns0:v>
      </ns0:c>
      <ns0:c r="K34" s="18" t="inlineStr">
        <ns0:is>
          <ns0:t>範囲内なし</ns0:t>
        </ns0:is>
      </ns0:c>
      <ns0:c r="L34" s="18" t="inlineStr">
        <ns0:is>
          <ns0:t>範囲内なし</ns0:t>
        </ns0:is>
      </ns0:c>
      <ns0:c r="M34" s="7" t="n">
        <ns0:v>-40294.42644393898</ns0:v>
      </ns0:c>
      <ns0:c r="N34" s="7" t="n">
        <ns0:v>-65361.41007920135</ns0:v>
      </ns0:c>
      <ns0:c r="O34" s="7" t="n">
        <ns0:v>-85928.39371446369</ns0:v>
      </ns0:c>
      <ns0:c r="P34" s="7" t="n">
        <ns0:v>-137345.8528026196</ns0:v>
      </ns0:c>
      <ns0:c r="Q34" s="7" t="n">
        <ns0:v>-365015.6891552433</ns0:v>
      </ns0:c>
      <ns0:c r="R34" s="7" t="n">
        <ns0:v>-1114860.116389426</ns0:v>
      </ns0:c>
    </ns0:row>
    <ns0:row r="35" ht="24" customHeight="1">
      <ns0:c r="A35" s="3" t="inlineStr">
        <ns0:is>
          <ns0:t>Sのみ</ns0:t>
        </ns0:is>
      </ns0:c>
      <ns0:c r="B35" s="3" t="inlineStr">
        <ns0:is>
          <ns0:t>G0基本5000比較</ns0:t>
        </ns0:is>
      </ns0:c>
      <ns0:c r="C35" s="3" t="inlineStr">
        <ns0:is>
          <ns0:t>A</ns0:t>
        </ns0:is>
      </ns0:c>
      <ns0:c r="D35" s="4" t="n">
        <ns0:v>0</ns0:v>
      </ns0:c>
      <ns0:c r="E35" s="4" t="n">
        <ns0:v>0</ns0:v>
      </ns0:c>
      <ns0:c r="F35" s="6" t="n">
        <ns0:v>0.3</ns0:v>
      </ns0:c>
      <ns0:c r="G35" s="4" t="n">
        <ns0:v>3</ns0:v>
      </ns0:c>
      <ns0:c r="H35" s="7" t="n">
        <ns0:v>1934.77</ns0:v>
      </ns0:c>
      <ns0:c r="I35" s="7" t="n">
        <ns0:v>1514.25</ns0:v>
      </ns0:c>
      <ns0:c r="J35" s="7" t="n">
        <ns0:v>454.275</ns0:v>
      </ns0:c>
      <ns0:c r="K35" s="18" t="inlineStr">
        <ns0:is>
          <ns0:t>範囲内なし</ns0:t>
        </ns0:is>
      </ns0:c>
      <ns0:c r="L35" s="18" t="inlineStr">
        <ns0:is>
          <ns0:t>範囲内なし</ns0:t>
        </ns0:is>
      </ns0:c>
      <ns0:c r="M35" s="7" t="n">
        <ns0:v>-30803.51038745677</ns0:v>
      </ns0:c>
      <ns0:c r="N35" s="7" t="n">
        <ns0:v>-36888.66190975472</ns0:v>
      </ns0:c>
      <ns0:c r="O35" s="7" t="n">
        <ns0:v>-38473.81343205266</ns0:v>
      </ns0:c>
      <ns0:c r="P35" s="7" t="n">
        <ns0:v>-42436.69223779752</ns0:v>
      </ns0:c>
      <ns0:c r="Q35" s="7" t="n">
        <ns0:v>-80288.20746077702</ns0:v>
      </ns0:c>
      <ns0:c r="R35" s="7" t="n">
        <ns0:v>-165768.5107412052</ns0:v>
      </ns0:c>
    </ns0:row>
    <ns0:row r="36" ht="24" customHeight="1">
      <ns0:c r="A36" s="3" t="inlineStr">
        <ns0:is>
          <ns0:t>Sのみ</ns0:t>
        </ns0:is>
      </ns0:c>
      <ns0:c r="B36" s="3" t="inlineStr">
        <ns0:is>
          <ns0:t>G0基本5000比較</ns0:t>
        </ns0:is>
      </ns0:c>
      <ns0:c r="C36" s="3" t="inlineStr">
        <ns0:is>
          <ns0:t>A</ns0:t>
        </ns0:is>
      </ns0:c>
      <ns0:c r="D36" s="4" t="n">
        <ns0:v>0</ns0:v>
      </ns0:c>
      <ns0:c r="E36" s="4" t="n">
        <ns0:v>0</ns0:v>
      </ns0:c>
      <ns0:c r="F36" s="6" t="n">
        <ns0:v>0.4</ns0:v>
      </ns0:c>
      <ns0:c r="G36" s="4" t="n">
        <ns0:v>0</ns0:v>
      </ns0:c>
      <ns0:c r="H36" s="7" t="n">
        <ns0:v>1934.77</ns0:v>
      </ns0:c>
      <ns0:c r="I36" s="7" t="n">
        <ns0:v>1514.25</ns0:v>
      </ns0:c>
      <ns0:c r="J36" s="7" t="n">
        <ns0:v>605.7</ns0:v>
      </ns0:c>
      <ns0:c r="K36" s="7" t="n">
        <ns0:v>35</ns0:v>
      </ns0:c>
      <ns0:c r="L36" s="7" t="n">
        <ns0:v>35</ns0:v>
      </ns0:c>
      <ns0:c r="M36" s="7" t="n">
        <ns0:v>-20126.12508675874</ns0:v>
      </ns0:c>
      <ns0:c r="N36" s="7" t="n">
        <ns0:v>-4856.506007660628</ns0:v>
      </ns0:c>
      <ns0:c r="O36" s="7" t="n">
        <ns0:v>14913.11307143748</ns0:v>
      </ns0:c>
      <ns0:c r="P36" s="7" t="n">
        <ns0:v>64337.16076918276</ns0:v>
      </ns0:c>
      <ns0:c r="Q36" s="7" t="n">
        <ns0:v>240033.3515601639</ns0:v>
      </ns0:c>
      <ns0:c r="R36" s="7" t="n">
        <ns0:v>901970.0193285979</ns0:v>
      </ns0:c>
    </ns0:row>
    <ns0:row r="37" ht="24" customHeight="1">
      <ns0:c r="A37" s="3" t="inlineStr">
        <ns0:is>
          <ns0:t>Sのみ</ns0:t>
        </ns0:is>
      </ns0:c>
      <ns0:c r="B37" s="3" t="inlineStr">
        <ns0:is>
          <ns0:t>G0基本5000比較</ns0:t>
        </ns0:is>
      </ns0:c>
      <ns0:c r="C37" s="3" t="inlineStr">
        <ns0:is>
          <ns0:t>A</ns0:t>
        </ns0:is>
      </ns0:c>
      <ns0:c r="D37" s="4" t="n">
        <ns0:v>0</ns0:v>
      </ns0:c>
      <ns0:c r="E37" s="4" t="n">
        <ns0:v>0</ns0:v>
      </ns0:c>
      <ns0:c r="F37" s="6" t="n">
        <ns0:v>0.4</ns0:v>
      </ns0:c>
      <ns0:c r="G37" s="4" t="n">
        <ns0:v>1</ns0:v>
      </ns0:c>
      <ns0:c r="H37" s="7" t="n">
        <ns0:v>1934.77</ns0:v>
      </ns0:c>
      <ns0:c r="I37" s="7" t="n">
        <ns0:v>1514.25</ns0:v>
      </ns0:c>
      <ns0:c r="J37" s="7" t="n">
        <ns0:v>605.7</ns0:v>
      </ns0:c>
      <ns0:c r="K37" s="7" t="n">
        <ns0:v>56</ns0:v>
      </ns0:c>
      <ns0:c r="L37" s="7" t="n">
        <ns0:v>56</ns0:v>
      </ns0:c>
      <ns0:c r="M37" s="7" t="n">
        <ns0:v>-23805.96405367228</ns0:v>
      </ns0:c>
      <ns0:c r="N37" s="7" t="n">
        <ns0:v>-15896.02290840122</ns0:v>
      </ns0:c>
      <ns0:c r="O37" s="7" t="n">
        <ns0:v>-3486.08176313018</ns0:v>
      </ns0:c>
      <ns0:c r="P37" s="7" t="n">
        <ns0:v>27538.77110004744</ns0:v>
      </ns0:c>
      <ns0:c r="Q37" s="7" t="n">
        <ns0:v>129638.1825527579</ns0:v>
      </ns0:c>
      <ns0:c r="R37" s="7" t="n">
        <ns0:v>533986.1226372445</ns0:v>
      </ns0:c>
    </ns0:row>
    <ns0:row r="38" ht="24" customHeight="1">
      <ns0:c r="A38" s="3" t="inlineStr">
        <ns0:is>
          <ns0:t>Sのみ</ns0:t>
        </ns0:is>
      </ns0:c>
      <ns0:c r="B38" s="3" t="inlineStr">
        <ns0:is>
          <ns0:t>G0基本5000比較</ns0:t>
        </ns0:is>
      </ns0:c>
      <ns0:c r="C38" s="3" t="inlineStr">
        <ns0:is>
          <ns0:t>A</ns0:t>
        </ns0:is>
      </ns0:c>
      <ns0:c r="D38" s="4" t="n">
        <ns0:v>0</ns0:v>
      </ns0:c>
      <ns0:c r="E38" s="4" t="n">
        <ns0:v>0</ns0:v>
      </ns0:c>
      <ns0:c r="F38" s="6" t="n">
        <ns0:v>0.4</ns0:v>
      </ns0:c>
      <ns0:c r="G38" s="4" t="n">
        <ns0:v>2</ns0:v>
      </ns0:c>
      <ns0:c r="H38" s="7" t="n">
        <ns0:v>1934.77</ns0:v>
      </ns0:c>
      <ns0:c r="I38" s="7" t="n">
        <ns0:v>1514.25</ns0:v>
      </ns0:c>
      <ns0:c r="J38" s="7" t="n">
        <ns0:v>605.7</ns0:v>
      </ns0:c>
      <ns0:c r="K38" s="18" t="inlineStr">
        <ns0:is>
          <ns0:t>範囲内なし</ns0:t>
        </ns0:is>
      </ns0:c>
      <ns0:c r="L38" s="18" t="inlineStr">
        <ns0:is>
          <ns0:t>範囲内なし</ns0:t>
        </ns0:is>
      </ns0:c>
      <ns0:c r="M38" s="7" t="n">
        <ns0:v>-41808.67644393898</ns0:v>
      </ns0:c>
      <ns0:c r="N38" s="7" t="n">
        <ns0:v>-69904.16007920135</ns0:v>
      </ns0:c>
      <ns0:c r="O38" s="7" t="n">
        <ns0:v>-93499.6437144637</ns0:v>
      </ns0:c>
      <ns0:c r="P38" s="7" t="n">
        <ns0:v>-152488.3528026196</ns0:v>
      </ns0:c>
      <ns0:c r="Q38" s="7" t="n">
        <ns0:v>-410443.1891552433</ns0:v>
      </ns0:c>
      <ns0:c r="R38" s="7" t="n">
        <ns0:v>-1266285.116389426</ns0:v>
      </ns0:c>
    </ns0:row>
    <ns0:row r="39" ht="24" customHeight="1">
      <ns0:c r="A39" s="3" t="inlineStr">
        <ns0:is>
          <ns0:t>Sのみ</ns0:t>
        </ns0:is>
      </ns0:c>
      <ns0:c r="B39" s="3" t="inlineStr">
        <ns0:is>
          <ns0:t>G0基本5000比較</ns0:t>
        </ns0:is>
      </ns0:c>
      <ns0:c r="C39" s="3" t="inlineStr">
        <ns0:is>
          <ns0:t>A</ns0:t>
        </ns0:is>
      </ns0:c>
      <ns0:c r="D39" s="4" t="n">
        <ns0:v>0</ns0:v>
      </ns0:c>
      <ns0:c r="E39" s="4" t="n">
        <ns0:v>0</ns0:v>
      </ns0:c>
      <ns0:c r="F39" s="6" t="n">
        <ns0:v>0.4</ns0:v>
      </ns0:c>
      <ns0:c r="G39" s="4" t="n">
        <ns0:v>3</ns0:v>
      </ns0:c>
      <ns0:c r="H39" s="7" t="n">
        <ns0:v>1934.77</ns0:v>
      </ns0:c>
      <ns0:c r="I39" s="7" t="n">
        <ns0:v>1514.25</ns0:v>
      </ns0:c>
      <ns0:c r="J39" s="7" t="n">
        <ns0:v>605.7</ns0:v>
      </ns0:c>
      <ns0:c r="K39" s="18" t="inlineStr">
        <ns0:is>
          <ns0:t>範囲内なし</ns0:t>
        </ns0:is>
      </ns0:c>
      <ns0:c r="L39" s="18" t="inlineStr">
        <ns0:is>
          <ns0:t>範囲内なし</ns0:t>
        </ns0:is>
      </ns0:c>
      <ns0:c r="M39" s="7" t="n">
        <ns0:v>-32317.76038745677</ns0:v>
      </ns0:c>
      <ns0:c r="N39" s="7" t="n">
        <ns0:v>-41431.41190975472</ns0:v>
      </ns0:c>
      <ns0:c r="O39" s="7" t="n">
        <ns0:v>-46045.06343205267</ns0:v>
      </ns0:c>
      <ns0:c r="P39" s="7" t="n">
        <ns0:v>-57579.19223779754</ns0:v>
      </ns0:c>
      <ns0:c r="Q39" s="7" t="n">
        <ns0:v>-125715.707460777</ns0:v>
      </ns0:c>
      <ns0:c r="R39" s="7" t="n">
        <ns0:v>-317193.5107412052</ns0:v>
      </ns0:c>
    </ns0:row>
    <ns0:row r="40" ht="24" customHeight="1">
      <ns0:c r="A40" s="3" t="inlineStr">
        <ns0:is>
          <ns0:t>Sのみ</ns0:t>
        </ns0:is>
      </ns0:c>
      <ns0:c r="B40" s="3" t="inlineStr">
        <ns0:is>
          <ns0:t>G0基本5000比較</ns0:t>
        </ns0:is>
      </ns0:c>
      <ns0:c r="C40" s="3" t="inlineStr">
        <ns0:is>
          <ns0:t>A</ns0:t>
        </ns0:is>
      </ns0:c>
      <ns0:c r="D40" s="4" t="n">
        <ns0:v>0</ns0:v>
      </ns0:c>
      <ns0:c r="E40" s="4" t="n">
        <ns0:v>0</ns0:v>
      </ns0:c>
      <ns0:c r="F40" s="6" t="n">
        <ns0:v>0.5</ns0:v>
      </ns0:c>
      <ns0:c r="G40" s="4" t="n">
        <ns0:v>0</ns0:v>
      </ns0:c>
      <ns0:c r="H40" s="7" t="n">
        <ns0:v>1934.77</ns0:v>
      </ns0:c>
      <ns0:c r="I40" s="7" t="n">
        <ns0:v>1514.25</ns0:v>
      </ns0:c>
      <ns0:c r="J40" s="7" t="n">
        <ns0:v>757.125</ns0:v>
      </ns0:c>
      <ns0:c r="K40" s="7" t="n">
        <ns0:v>42</ns0:v>
      </ns0:c>
      <ns0:c r="L40" s="7" t="n">
        <ns0:v>42</ns0:v>
      </ns0:c>
      <ns0:c r="M40" s="7" t="n">
        <ns0:v>-21640.37508675874</ns0:v>
      </ns0:c>
      <ns0:c r="N40" s="7" t="n">
        <ns0:v>-9399.256007660628</ns0:v>
      </ns0:c>
      <ns0:c r="O40" s="7" t="n">
        <ns0:v>7341.863071437481</ns0:v>
      </ns0:c>
      <ns0:c r="P40" s="7" t="n">
        <ns0:v>49194.66076918276</ns0:v>
      </ns0:c>
      <ns0:c r="Q40" s="7" t="n">
        <ns0:v>194605.8515601639</ns0:v>
      </ns0:c>
      <ns0:c r="R40" s="7" t="n">
        <ns0:v>750545.0193285979</ns0:v>
      </ns0:c>
    </ns0:row>
    <ns0:row r="41" ht="24" customHeight="1">
      <ns0:c r="A41" s="3" t="inlineStr">
        <ns0:is>
          <ns0:t>Sのみ</ns0:t>
        </ns0:is>
      </ns0:c>
      <ns0:c r="B41" s="3" t="inlineStr">
        <ns0:is>
          <ns0:t>G0基本5000比較</ns0:t>
        </ns0:is>
      </ns0:c>
      <ns0:c r="C41" s="3" t="inlineStr">
        <ns0:is>
          <ns0:t>A</ns0:t>
        </ns0:is>
      </ns0:c>
      <ns0:c r="D41" s="4" t="n">
        <ns0:v>0</ns0:v>
      </ns0:c>
      <ns0:c r="E41" s="4" t="n">
        <ns0:v>0</ns0:v>
      </ns0:c>
      <ns0:c r="F41" s="6" t="n">
        <ns0:v>0.5</ns0:v>
      </ns0:c>
      <ns0:c r="G41" s="4" t="n">
        <ns0:v>1</ns0:v>
      </ns0:c>
      <ns0:c r="H41" s="7" t="n">
        <ns0:v>1934.77</ns0:v>
      </ns0:c>
      <ns0:c r="I41" s="7" t="n">
        <ns0:v>1514.25</ns0:v>
      </ns0:c>
      <ns0:c r="J41" s="7" t="n">
        <ns0:v>757.125</ns0:v>
      </ns0:c>
      <ns0:c r="K41" s="7" t="n">
        <ns0:v>121</ns0:v>
      </ns0:c>
      <ns0:c r="L41" s="7" t="n">
        <ns0:v>121</ns0:v>
      </ns0:c>
      <ns0:c r="M41" s="7" t="n">
        <ns0:v>-25320.21405367228</ns0:v>
      </ns0:c>
      <ns0:c r="N41" s="7" t="n">
        <ns0:v>-20438.77290840122</ns0:v>
      </ns0:c>
      <ns0:c r="O41" s="7" t="n">
        <ns0:v>-11057.33176313018</ns0:v>
      </ns0:c>
      <ns0:c r="P41" s="7" t="n">
        <ns0:v>12396.27110004744</ns0:v>
      </ns0:c>
      <ns0:c r="Q41" s="7" t="n">
        <ns0:v>84210.68255275788</ns0:v>
      </ns0:c>
      <ns0:c r="R41" s="7" t="n">
        <ns0:v>382561.1226372445</ns0:v>
      </ns0:c>
    </ns0:row>
    <ns0:row r="42" ht="24" customHeight="1">
      <ns0:c r="A42" s="3" t="inlineStr">
        <ns0:is>
          <ns0:t>Sのみ</ns0:t>
        </ns0:is>
      </ns0:c>
      <ns0:c r="B42" s="3" t="inlineStr">
        <ns0:is>
          <ns0:t>G0基本5000比較</ns0:t>
        </ns0:is>
      </ns0:c>
      <ns0:c r="C42" s="3" t="inlineStr">
        <ns0:is>
          <ns0:t>A</ns0:t>
        </ns0:is>
      </ns0:c>
      <ns0:c r="D42" s="4" t="n">
        <ns0:v>0</ns0:v>
      </ns0:c>
      <ns0:c r="E42" s="4" t="n">
        <ns0:v>0</ns0:v>
      </ns0:c>
      <ns0:c r="F42" s="6" t="n">
        <ns0:v>0.5</ns0:v>
      </ns0:c>
      <ns0:c r="G42" s="4" t="n">
        <ns0:v>2</ns0:v>
      </ns0:c>
      <ns0:c r="H42" s="7" t="n">
        <ns0:v>1934.77</ns0:v>
      </ns0:c>
      <ns0:c r="I42" s="7" t="n">
        <ns0:v>1514.25</ns0:v>
      </ns0:c>
      <ns0:c r="J42" s="7" t="n">
        <ns0:v>757.125</ns0:v>
      </ns0:c>
      <ns0:c r="K42" s="18" t="inlineStr">
        <ns0:is>
          <ns0:t>範囲内なし</ns0:t>
        </ns0:is>
      </ns0:c>
      <ns0:c r="L42" s="18" t="inlineStr">
        <ns0:is>
          <ns0:t>範囲内なし</ns0:t>
        </ns0:is>
      </ns0:c>
      <ns0:c r="M42" s="7" t="n">
        <ns0:v>-43322.92644393898</ns0:v>
      </ns0:c>
      <ns0:c r="N42" s="7" t="n">
        <ns0:v>-74446.91007920135</ns0:v>
      </ns0:c>
      <ns0:c r="O42" s="7" t="n">
        <ns0:v>-101070.8937144637</ns0:v>
      </ns0:c>
      <ns0:c r="P42" s="7" t="n">
        <ns0:v>-167630.8528026196</ns0:v>
      </ns0:c>
      <ns0:c r="Q42" s="7" t="n">
        <ns0:v>-455870.6891552433</ns0:v>
      </ns0:c>
      <ns0:c r="R42" s="7" t="n">
        <ns0:v>-1417710.116389426</ns0:v>
      </ns0:c>
    </ns0:row>
    <ns0:row r="43" ht="24" customHeight="1">
      <ns0:c r="A43" s="3" t="inlineStr">
        <ns0:is>
          <ns0:t>Sのみ</ns0:t>
        </ns0:is>
      </ns0:c>
      <ns0:c r="B43" s="3" t="inlineStr">
        <ns0:is>
          <ns0:t>G0基本5000比較</ns0:t>
        </ns0:is>
      </ns0:c>
      <ns0:c r="C43" s="3" t="inlineStr">
        <ns0:is>
          <ns0:t>A</ns0:t>
        </ns0:is>
      </ns0:c>
      <ns0:c r="D43" s="4" t="n">
        <ns0:v>0</ns0:v>
      </ns0:c>
      <ns0:c r="E43" s="4" t="n">
        <ns0:v>0</ns0:v>
      </ns0:c>
      <ns0:c r="F43" s="6" t="n">
        <ns0:v>0.5</ns0:v>
      </ns0:c>
      <ns0:c r="G43" s="4" t="n">
        <ns0:v>3</ns0:v>
      </ns0:c>
      <ns0:c r="H43" s="7" t="n">
        <ns0:v>1934.77</ns0:v>
      </ns0:c>
      <ns0:c r="I43" s="7" t="n">
        <ns0:v>1514.25</ns0:v>
      </ns0:c>
      <ns0:c r="J43" s="7" t="n">
        <ns0:v>757.125</ns0:v>
      </ns0:c>
      <ns0:c r="K43" s="18" t="inlineStr">
        <ns0:is>
          <ns0:t>範囲内なし</ns0:t>
        </ns0:is>
      </ns0:c>
      <ns0:c r="L43" s="18" t="inlineStr">
        <ns0:is>
          <ns0:t>範囲内なし</ns0:t>
        </ns0:is>
      </ns0:c>
      <ns0:c r="M43" s="7" t="n">
        <ns0:v>-33832.01038745677</ns0:v>
      </ns0:c>
      <ns0:c r="N43" s="7" t="n">
        <ns0:v>-45974.16190975472</ns0:v>
      </ns0:c>
      <ns0:c r="O43" s="7" t="n">
        <ns0:v>-53616.31343205267</ns0:v>
      </ns0:c>
      <ns0:c r="P43" s="7" t="n">
        <ns0:v>-72721.69223779754</ns0:v>
      </ns0:c>
      <ns0:c r="Q43" s="7" t="n">
        <ns0:v>-171143.207460777</ns0:v>
      </ns0:c>
      <ns0:c r="R43" s="7" t="n">
        <ns0:v>-468618.5107412053</ns0:v>
      </ns0:c>
    </ns0:row>
    <ns0:row r="44" ht="24" customHeight="1">
      <ns0:c r="A44" s="3" t="inlineStr">
        <ns0:is>
          <ns0:t>Sのみ</ns0:t>
        </ns0:is>
      </ns0:c>
      <ns0:c r="B44" s="3" t="inlineStr">
        <ns0:is>
          <ns0:t>G0基本5000比較</ns0:t>
        </ns0:is>
      </ns0:c>
      <ns0:c r="C44" s="3" t="inlineStr">
        <ns0:is>
          <ns0:t>A</ns0:t>
        </ns0:is>
      </ns0:c>
      <ns0:c r="D44" s="4" t="n">
        <ns0:v>1</ns0:v>
      </ns0:c>
      <ns0:c r="E44" s="4" t="n">
        <ns0:v>0</ns0:v>
      </ns0:c>
      <ns0:c r="F44" s="6" t="n">
        <ns0:v>0.3</ns0:v>
      </ns0:c>
      <ns0:c r="G44" s="4" t="n">
        <ns0:v>0</ns0:v>
      </ns0:c>
      <ns0:c r="H44" s="7" t="n">
        <ns0:v>2759.296482412061</ns0:v>
      </ns0:c>
      <ns0:c r="I44" s="7" t="n">
        <ns0:v>1658.291457286433</ns0:v>
      </ns0:c>
      <ns0:c r="J44" s="7" t="n">
        <ns0:v>497.4874371859298</ns0:v>
      </ns0:c>
      <ns0:c r="K44" s="7" t="n">
        <ns0:v>19</ns0:v>
      </ns0:c>
      <ns0:c r="L44" s="7" t="n">
        <ns0:v>19</ns0:v>
      </ns0:c>
      <ns0:c r="M44" s="7" t="n">
        <ns0:v>-11434.37175971574</ns0:v>
      </ns0:c>
      <ns0:c r="N44" s="7" t="n">
        <ns0:v>21218.75397346835</ns0:v>
      </ns0:c>
      <ns0:c r="O44" s="7" t="n">
        <ns0:v>58371.87970665246</ns0:v>
      </ns0:c>
      <ns0:c r="P44" s="7" t="n">
        <ns0:v>151254.6940396127</ns0:v>
      </ns0:c>
      <ns0:c r="Q44" s="7" t="n">
        <ns0:v>500785.9513714537</ns0:v>
      </ns0:c>
      <ns0:c r="R44" s="7" t="n">
        <ns0:v>1771145.352032898</ns0:v>
      </ns0:c>
    </ns0:row>
    <ns0:row r="45" ht="24" customHeight="1">
      <ns0:c r="A45" s="3" t="inlineStr">
        <ns0:is>
          <ns0:t>Sのみ</ns0:t>
        </ns0:is>
      </ns0:c>
      <ns0:c r="B45" s="3" t="inlineStr">
        <ns0:is>
          <ns0:t>G0基本5000比較</ns0:t>
        </ns0:is>
      </ns0:c>
      <ns0:c r="C45" s="3" t="inlineStr">
        <ns0:is>
          <ns0:t>A</ns0:t>
        </ns0:is>
      </ns0:c>
      <ns0:c r="D45" s="4" t="n">
        <ns0:v>1</ns0:v>
      </ns0:c>
      <ns0:c r="E45" s="4" t="n">
        <ns0:v>0</ns0:v>
      </ns0:c>
      <ns0:c r="F45" s="6" t="n">
        <ns0:v>0.3</ns0:v>
      </ns0:c>
      <ns0:c r="G45" s="4" t="n">
        <ns0:v>1</ns0:v>
      </ns0:c>
      <ns0:c r="H45" s="7" t="n">
        <ns0:v>2759.296482412061</ns0:v>
      </ns0:c>
      <ns0:c r="I45" s="7" t="n">
        <ns0:v>1658.291457286433</ns0:v>
      </ns0:c>
      <ns0:c r="J45" s="7" t="n">
        <ns0:v>497.4874371859298</ns0:v>
      </ns0:c>
      <ns0:c r="K45" s="7" t="n">
        <ns0:v>25</ns0:v>
      </ns0:c>
      <ns0:c r="L45" s="7" t="n">
        <ns0:v>25</ns0:v>
      </ns0:c>
      <ns0:c r="M45" s="7" t="n">
        <ns0:v>-15674.92578125925</ns0:v>
      </ns0:c>
      <ns0:c r="N45" s="7" t="n">
        <ns0:v>8497.09190883785</ns0:v>
      </ns0:c>
      <ns0:c r="O45" s="7" t="n">
        <ns0:v>37169.10959893495</ns0:v>
      </ns0:c>
      <ns0:c r="P45" s="7" t="n">
        <ns0:v>108849.1538241777</ns0:v>
      </ns0:c>
      <ns0:c r="Q45" s="7" t="n">
        <ns0:v>373569.3307251486</ns0:v>
      </ns0:c>
      <ns0:c r="R45" s="7" t="n">
        <ns0:v>1347089.949878548</ns0:v>
      </ns0:c>
    </ns0:row>
    <ns0:row r="46" ht="24" customHeight="1">
      <ns0:c r="A46" s="3" t="inlineStr">
        <ns0:is>
          <ns0:t>Sのみ</ns0:t>
        </ns0:is>
      </ns0:c>
      <ns0:c r="B46" s="3" t="inlineStr">
        <ns0:is>
          <ns0:t>G0基本5000比較</ns0:t>
        </ns0:is>
      </ns0:c>
      <ns0:c r="C46" s="3" t="inlineStr">
        <ns0:is>
          <ns0:t>A</ns0:t>
        </ns0:is>
      </ns0:c>
      <ns0:c r="D46" s="4" t="n">
        <ns0:v>1</ns0:v>
      </ns0:c>
      <ns0:c r="E46" s="4" t="n">
        <ns0:v>0</ns0:v>
      </ns0:c>
      <ns0:c r="F46" s="6" t="n">
        <ns0:v>0.3</ns0:v>
      </ns0:c>
      <ns0:c r="G46" s="4" t="n">
        <ns0:v>2</ns0:v>
      </ns0:c>
      <ns0:c r="H46" s="7" t="n">
        <ns0:v>2759.296482412061</ns0:v>
      </ns0:c>
      <ns0:c r="I46" s="7" t="n">
        <ns0:v>1658.291457286433</ns0:v>
      </ns0:c>
      <ns0:c r="J46" s="7" t="n">
        <ns0:v>497.4874371859298</ns0:v>
      </ns0:c>
      <ns0:c r="K46" s="18" t="inlineStr">
        <ns0:is>
          <ns0:t>範囲内なし</ns0:t>
        </ns0:is>
      </ns0:c>
      <ns0:c r="L46" s="18" t="inlineStr">
        <ns0:is>
          <ns0:t>範囲内なし</ns0:t>
        </ns0:is>
      </ns0:c>
      <ns0:c r="M46" s="7" t="n">
        <ns0:v>-49864.01692215628</ns0:v>
      </ns0:c>
      <ns0:c r="N46" s="7" t="n">
        <ns0:v>-94070.18151385324</ns0:v>
      </ns0:c>
      <ns0:c r="O46" s="7" t="n">
        <ns0:v>-133776.3461055502</ns0:v>
      </ns0:c>
      <ns0:c r="P46" s="7" t="n">
        <ns0:v>-233041.7575847926</ns0:v>
      </ns0:c>
      <ns0:c r="Q46" s="7" t="n">
        <ns0:v>-652103.4035017623</ns0:v>
      </ns0:c>
      <ns0:c r="R46" s="7" t="n">
        <ns0:v>-2071819.164211156</ns0:v>
      </ns0:c>
    </ns0:row>
    <ns0:row r="47" ht="24" customHeight="1">
      <ns0:c r="A47" s="3" t="inlineStr">
        <ns0:is>
          <ns0:t>Sのみ</ns0:t>
        </ns0:is>
      </ns0:c>
      <ns0:c r="B47" s="3" t="inlineStr">
        <ns0:is>
          <ns0:t>G0基本5000比較</ns0:t>
        </ns0:is>
      </ns0:c>
      <ns0:c r="C47" s="3" t="inlineStr">
        <ns0:is>
          <ns0:t>A</ns0:t>
        </ns0:is>
      </ns0:c>
      <ns0:c r="D47" s="4" t="n">
        <ns0:v>1</ns0:v>
      </ns0:c>
      <ns0:c r="E47" s="4" t="n">
        <ns0:v>0</ns0:v>
      </ns0:c>
      <ns0:c r="F47" s="6" t="n">
        <ns0:v>0.3</ns0:v>
      </ns0:c>
      <ns0:c r="G47" s="4" t="n">
        <ns0:v>3</ns0:v>
      </ns0:c>
      <ns0:c r="H47" s="7" t="n">
        <ns0:v>2759.296482412061</ns0:v>
      </ns0:c>
      <ns0:c r="I47" s="7" t="n">
        <ns0:v>1658.291457286433</ns0:v>
      </ns0:c>
      <ns0:c r="J47" s="7" t="n">
        <ns0:v>497.4874371859298</ns0:v>
      </ns0:c>
      <ns0:c r="K47" s="7" t="n">
        <ns0:v>114</ns0:v>
      </ns0:c>
      <ns0:c r="L47" s="7" t="n">
        <ns0:v>114</ns0:v>
      </ns0:c>
      <ns0:c r="M47" s="7" t="n">
        <ns0:v>-25014.91040823918</ns0:v>
      </ns0:c>
      <ns0:c r="N47" s="7" t="n">
        <ns0:v>-19522.86197210194</ns0:v>
      </ns0:c>
      <ns0:c r="O47" s="7" t="n">
        <ns0:v>-9530.813535964706</ns0:v>
      </ns0:c>
      <ns0:c r="P47" s="7" t="n">
        <ns0:v>15449.30755437839</ns0:v>
      </ns0:c>
      <ns0:c r="Q47" s="7" t="n">
        <ns0:v>93369.7919157506</ns0:v>
      </ns0:c>
      <ns0:c r="R47" s="7" t="n">
        <ns0:v>413091.4871805543</ns0:v>
      </ns0:c>
    </ns0:row>
    <ns0:row r="48" ht="24" customHeight="1">
      <ns0:c r="A48" s="3" t="inlineStr">
        <ns0:is>
          <ns0:t>Sのみ</ns0:t>
        </ns0:is>
      </ns0:c>
      <ns0:c r="B48" s="3" t="inlineStr">
        <ns0:is>
          <ns0:t>G0基本5000比較</ns0:t>
        </ns0:is>
      </ns0:c>
      <ns0:c r="C48" s="3" t="inlineStr">
        <ns0:is>
          <ns0:t>A</ns0:t>
        </ns0:is>
      </ns0:c>
      <ns0:c r="D48" s="4" t="n">
        <ns0:v>1</ns0:v>
      </ns0:c>
      <ns0:c r="E48" s="4" t="n">
        <ns0:v>0</ns0:v>
      </ns0:c>
      <ns0:c r="F48" s="6" t="n">
        <ns0:v>0.4</ns0:v>
      </ns0:c>
      <ns0:c r="G48" s="4" t="n">
        <ns0:v>0</ns0:v>
      </ns0:c>
      <ns0:c r="H48" s="7" t="n">
        <ns0:v>2759.296482412061</ns0:v>
      </ns0:c>
      <ns0:c r="I48" s="7" t="n">
        <ns0:v>1658.291457286433</ns0:v>
      </ns0:c>
      <ns0:c r="J48" s="7" t="n">
        <ns0:v>663.3165829145731</ns0:v>
      </ns0:c>
      <ns0:c r="K48" s="7" t="n">
        <ns0:v>21</ns0:v>
      </ns0:c>
      <ns0:c r="L48" s="7" t="n">
        <ns0:v>21</ns0:v>
      </ns0:c>
      <ns0:c r="M48" s="7" t="n">
        <ns0:v>-13092.66321700218</ns0:v>
      </ns0:c>
      <ns0:c r="N48" s="7" t="n">
        <ns0:v>16243.87960160906</ns0:v>
      </ns0:c>
      <ns0:c r="O48" s="7" t="n">
        <ns0:v>50080.4224202203</ns0:v>
      </ns0:c>
      <ns0:c r="P48" s="7" t="n">
        <ns0:v>134671.7794667484</ns0:v>
      </ns0:c>
      <ns0:c r="Q48" s="7" t="n">
        <ns0:v>451037.2076528608</ns0:v>
      </ns0:c>
      <ns0:c r="R48" s="7" t="n">
        <ns0:v>1605316.206304254</ns0:v>
      </ns0:c>
    </ns0:row>
    <ns0:row r="49" ht="24" customHeight="1">
      <ns0:c r="A49" s="3" t="inlineStr">
        <ns0:is>
          <ns0:t>Sのみ</ns0:t>
        </ns0:is>
      </ns0:c>
      <ns0:c r="B49" s="3" t="inlineStr">
        <ns0:is>
          <ns0:t>G0基本5000比較</ns0:t>
        </ns0:is>
      </ns0:c>
      <ns0:c r="C49" s="3" t="inlineStr">
        <ns0:is>
          <ns0:t>A</ns0:t>
        </ns0:is>
      </ns0:c>
      <ns0:c r="D49" s="4" t="n">
        <ns0:v>1</ns0:v>
      </ns0:c>
      <ns0:c r="E49" s="4" t="n">
        <ns0:v>0</ns0:v>
      </ns0:c>
      <ns0:c r="F49" s="6" t="n">
        <ns0:v>0.4</ns0:v>
      </ns0:c>
      <ns0:c r="G49" s="4" t="n">
        <ns0:v>1</ns0:v>
      </ns0:c>
      <ns0:c r="H49" s="7" t="n">
        <ns0:v>2759.296482412061</ns0:v>
      </ns0:c>
      <ns0:c r="I49" s="7" t="n">
        <ns0:v>1658.291457286433</ns0:v>
      </ns0:c>
      <ns0:c r="J49" s="7" t="n">
        <ns0:v>663.3165829145731</ns0:v>
      </ns0:c>
      <ns0:c r="K49" s="7" t="n">
        <ns0:v>28</ns0:v>
      </ns0:c>
      <ns0:c r="L49" s="7" t="n">
        <ns0:v>28</ns0:v>
      </ns0:c>
      <ns0:c r="M49" s="7" t="n">
        <ns0:v>-17333.21723854568</ns0:v>
      </ns0:c>
      <ns0:c r="N49" s="7" t="n">
        <ns0:v>3522.217536978547</ns0:v>
      </ns0:c>
      <ns0:c r="O49" s="7" t="n">
        <ns0:v>28877.65231250278</ns0:v>
      </ns0:c>
      <ns0:c r="P49" s="7" t="n">
        <ns0:v>92266.23925131335</ns0:v>
      </ns0:c>
      <ns0:c r="Q49" s="7" t="n">
        <ns0:v>323820.5870065557</ns0:v>
      </ns0:c>
      <ns0:c r="R49" s="7" t="n">
        <ns0:v>1181260.804149904</ns0:v>
      </ns0:c>
    </ns0:row>
    <ns0:row r="50" ht="24" customHeight="1">
      <ns0:c r="A50" s="3" t="inlineStr">
        <ns0:is>
          <ns0:t>Sのみ</ns0:t>
        </ns0:is>
      </ns0:c>
      <ns0:c r="B50" s="3" t="inlineStr">
        <ns0:is>
          <ns0:t>G0基本5000比較</ns0:t>
        </ns0:is>
      </ns0:c>
      <ns0:c r="C50" s="3" t="inlineStr">
        <ns0:is>
          <ns0:t>A</ns0:t>
        </ns0:is>
      </ns0:c>
      <ns0:c r="D50" s="4" t="n">
        <ns0:v>1</ns0:v>
      </ns0:c>
      <ns0:c r="E50" s="4" t="n">
        <ns0:v>0</ns0:v>
      </ns0:c>
      <ns0:c r="F50" s="6" t="n">
        <ns0:v>0.4</ns0:v>
      </ns0:c>
      <ns0:c r="G50" s="4" t="n">
        <ns0:v>2</ns0:v>
      </ns0:c>
      <ns0:c r="H50" s="7" t="n">
        <ns0:v>2759.296482412061</ns0:v>
      </ns0:c>
      <ns0:c r="I50" s="7" t="n">
        <ns0:v>1658.291457286433</ns0:v>
      </ns0:c>
      <ns0:c r="J50" s="7" t="n">
        <ns0:v>663.3165829145731</ns0:v>
      </ns0:c>
      <ns0:c r="K50" s="18" t="inlineStr">
        <ns0:is>
          <ns0:t>範囲内なし</ns0:t>
        </ns0:is>
      </ns0:c>
      <ns0:c r="L50" s="18" t="inlineStr">
        <ns0:is>
          <ns0:t>範囲内なし</ns0:t>
        </ns0:is>
      </ns0:c>
      <ns0:c r="M50" s="7" t="n">
        <ns0:v>-51522.30837944271</ns0:v>
      </ns0:c>
      <ns0:c r="N50" s="7" t="n">
        <ns0:v>-99045.05588571253</ns0:v>
      </ns0:c>
      <ns0:c r="O50" s="7" t="n">
        <ns0:v>-142067.8033919824</ns0:v>
      </ns0:c>
      <ns0:c r="P50" s="7" t="n">
        <ns0:v>-249624.672157657</ns0:v>
      </ns0:c>
      <ns0:c r="Q50" s="7" t="n">
        <ns0:v>-701852.1472203552</ns0:v>
      </ns0:c>
      <ns0:c r="R50" s="7" t="n">
        <ns0:v>-2237648.309939799</ns0:v>
      </ns0:c>
    </ns0:row>
    <ns0:row r="51" ht="24" customHeight="1">
      <ns0:c r="A51" s="3" t="inlineStr">
        <ns0:is>
          <ns0:t>Sのみ</ns0:t>
        </ns0:is>
      </ns0:c>
      <ns0:c r="B51" s="3" t="inlineStr">
        <ns0:is>
          <ns0:t>G0基本5000比較</ns0:t>
        </ns0:is>
      </ns0:c>
      <ns0:c r="C51" s="3" t="inlineStr">
        <ns0:is>
          <ns0:t>A</ns0:t>
        </ns0:is>
      </ns0:c>
      <ns0:c r="D51" s="4" t="n">
        <ns0:v>1</ns0:v>
      </ns0:c>
      <ns0:c r="E51" s="4" t="n">
        <ns0:v>0</ns0:v>
      </ns0:c>
      <ns0:c r="F51" s="6" t="n">
        <ns0:v>0.4</ns0:v>
      </ns0:c>
      <ns0:c r="G51" s="4" t="n">
        <ns0:v>3</ns0:v>
      </ns0:c>
      <ns0:c r="H51" s="7" t="n">
        <ns0:v>2759.296482412061</ns0:v>
      </ns0:c>
      <ns0:c r="I51" s="7" t="n">
        <ns0:v>1658.291457286433</ns0:v>
      </ns0:c>
      <ns0:c r="J51" s="7" t="n">
        <ns0:v>663.3165829145731</ns0:v>
      </ns0:c>
      <ns0:c r="K51" s="7" t="n">
        <ns0:v>170</ns0:v>
      </ns0:c>
      <ns0:c r="L51" s="7" t="n">
        <ns0:v>170</ns0:v>
      </ns0:c>
      <ns0:c r="M51" s="7" t="n">
        <ns0:v>-26673.20186552562</ns0:v>
      </ns0:c>
      <ns0:c r="N51" s="7" t="n">
        <ns0:v>-24497.73634396125</ns0:v>
      </ns0:c>
      <ns0:c r="O51" s="7" t="n">
        <ns0:v>-17822.27082239687</ns0:v>
      </ns0:c>
      <ns0:c r="P51" s="7" t="n">
        <ns0:v>-1133.607018485949</ns0:v>
      </ns0:c>
      <ns0:c r="Q51" s="7" t="n">
        <ns0:v>43621.04819715775</ns0:v>
      </ns0:c>
      <ns0:c r="R51" s="7" t="n">
        <ns0:v>247262.3414519106</ns0:v>
      </ns0:c>
    </ns0:row>
    <ns0:row r="52" ht="24" customHeight="1">
      <ns0:c r="A52" s="3" t="inlineStr">
        <ns0:is>
          <ns0:t>Sのみ</ns0:t>
        </ns0:is>
      </ns0:c>
      <ns0:c r="B52" s="3" t="inlineStr">
        <ns0:is>
          <ns0:t>G0基本5000比較</ns0:t>
        </ns0:is>
      </ns0:c>
      <ns0:c r="C52" s="3" t="inlineStr">
        <ns0:is>
          <ns0:t>A</ns0:t>
        </ns0:is>
      </ns0:c>
      <ns0:c r="D52" s="4" t="n">
        <ns0:v>1</ns0:v>
      </ns0:c>
      <ns0:c r="E52" s="4" t="n">
        <ns0:v>0</ns0:v>
      </ns0:c>
      <ns0:c r="F52" s="6" t="n">
        <ns0:v>0.5</ns0:v>
      </ns0:c>
      <ns0:c r="G52" s="4" t="n">
        <ns0:v>0</ns0:v>
      </ns0:c>
      <ns0:c r="H52" s="7" t="n">
        <ns0:v>2759.296482412061</ns0:v>
      </ns0:c>
      <ns0:c r="I52" s="7" t="n">
        <ns0:v>1658.291457286433</ns0:v>
      </ns0:c>
      <ns0:c r="J52" s="7" t="n">
        <ns0:v>829.1457286432163</ns0:v>
      </ns0:c>
      <ns0:c r="K52" s="7" t="n">
        <ns0:v>23</ns0:v>
      </ns0:c>
      <ns0:c r="L52" s="7" t="n">
        <ns0:v>23</ns0:v>
      </ns0:c>
      <ns0:c r="M52" s="7" t="n">
        <ns0:v>-14750.95467428861</ns0:v>
      </ns0:c>
      <ns0:c r="N52" s="7" t="n">
        <ns0:v>11269.00522974976</ns0:v>
      </ns0:c>
      <ns0:c r="O52" s="7" t="n">
        <ns0:v>41788.96513378813</ns0:v>
      </ns0:c>
      <ns0:c r="P52" s="7" t="n">
        <ns0:v>118088.864893884</ns0:v>
      </ns0:c>
      <ns0:c r="Q52" s="7" t="n">
        <ns0:v>401288.4639342679</ns0:v>
      </ns0:c>
      <ns0:c r="R52" s="7" t="n">
        <ns0:v>1439487.060575611</ns0:v>
      </ns0:c>
    </ns0:row>
    <ns0:row r="53" ht="24" customHeight="1">
      <ns0:c r="A53" s="3" t="inlineStr">
        <ns0:is>
          <ns0:t>Sのみ</ns0:t>
        </ns0:is>
      </ns0:c>
      <ns0:c r="B53" s="3" t="inlineStr">
        <ns0:is>
          <ns0:t>G0基本5000比較</ns0:t>
        </ns0:is>
      </ns0:c>
      <ns0:c r="C53" s="3" t="inlineStr">
        <ns0:is>
          <ns0:t>A</ns0:t>
        </ns0:is>
      </ns0:c>
      <ns0:c r="D53" s="4" t="n">
        <ns0:v>1</ns0:v>
      </ns0:c>
      <ns0:c r="E53" s="4" t="n">
        <ns0:v>0</ns0:v>
      </ns0:c>
      <ns0:c r="F53" s="6" t="n">
        <ns0:v>0.5</ns0:v>
      </ns0:c>
      <ns0:c r="G53" s="4" t="n">
        <ns0:v>1</ns0:v>
      </ns0:c>
      <ns0:c r="H53" s="7" t="n">
        <ns0:v>2759.296482412061</ns0:v>
      </ns0:c>
      <ns0:c r="I53" s="7" t="n">
        <ns0:v>1658.291457286433</ns0:v>
      </ns0:c>
      <ns0:c r="J53" s="7" t="n">
        <ns0:v>829.1457286432163</ns0:v>
      </ns0:c>
      <ns0:c r="K53" s="7" t="n">
        <ns0:v>32</ns0:v>
      </ns0:c>
      <ns0:c r="L53" s="7" t="n">
        <ns0:v>32</ns0:v>
      </ns0:c>
      <ns0:c r="M53" s="7" t="n">
        <ns0:v>-18991.50869583212</ns0:v>
      </ns0:c>
      <ns0:c r="N53" s="7" t="n">
        <ns0:v>-1452.656834880741</ns0:v>
      </ns0:c>
      <ns0:c r="O53" s="7" t="n">
        <ns0:v>20586.19502607061</ns0:v>
      </ns0:c>
      <ns0:c r="P53" s="7" t="n">
        <ns0:v>75683.32467844902</ns0:v>
      </ns0:c>
      <ns0:c r="Q53" s="7" t="n">
        <ns0:v>274071.8432879628</ns0:v>
      </ns0:c>
      <ns0:c r="R53" s="7" t="n">
        <ns0:v>1015431.658421261</ns0:v>
      </ns0:c>
    </ns0:row>
    <ns0:row r="54" ht="24" customHeight="1">
      <ns0:c r="A54" s="3" t="inlineStr">
        <ns0:is>
          <ns0:t>Sのみ</ns0:t>
        </ns0:is>
      </ns0:c>
      <ns0:c r="B54" s="3" t="inlineStr">
        <ns0:is>
          <ns0:t>G0基本5000比較</ns0:t>
        </ns0:is>
      </ns0:c>
      <ns0:c r="C54" s="3" t="inlineStr">
        <ns0:is>
          <ns0:t>A</ns0:t>
        </ns0:is>
      </ns0:c>
      <ns0:c r="D54" s="4" t="n">
        <ns0:v>1</ns0:v>
      </ns0:c>
      <ns0:c r="E54" s="4" t="n">
        <ns0:v>0</ns0:v>
      </ns0:c>
      <ns0:c r="F54" s="6" t="n">
        <ns0:v>0.5</ns0:v>
      </ns0:c>
      <ns0:c r="G54" s="4" t="n">
        <ns0:v>2</ns0:v>
      </ns0:c>
      <ns0:c r="H54" s="7" t="n">
        <ns0:v>2759.296482412061</ns0:v>
      </ns0:c>
      <ns0:c r="I54" s="7" t="n">
        <ns0:v>1658.291457286433</ns0:v>
      </ns0:c>
      <ns0:c r="J54" s="7" t="n">
        <ns0:v>829.1457286432163</ns0:v>
      </ns0:c>
      <ns0:c r="K54" s="18" t="inlineStr">
        <ns0:is>
          <ns0:t>範囲内なし</ns0:t>
        </ns0:is>
      </ns0:c>
      <ns0:c r="L54" s="18" t="inlineStr">
        <ns0:is>
          <ns0:t>範囲内なし</ns0:t>
        </ns0:is>
      </ns0:c>
      <ns0:c r="M54" s="7" t="n">
        <ns0:v>-53180.59983672915</ns0:v>
      </ns0:c>
      <ns0:c r="N54" s="7" t="n">
        <ns0:v>-104019.9302575718</ns0:v>
      </ns0:c>
      <ns0:c r="O54" s="7" t="n">
        <ns0:v>-150359.2606784145</ns0:v>
      </ns0:c>
      <ns0:c r="P54" s="7" t="n">
        <ns0:v>-266207.5867305213</ns0:v>
      </ns0:c>
      <ns0:c r="Q54" s="7" t="n">
        <ns0:v>-751600.8909389481</ns0:v>
      </ns0:c>
      <ns0:c r="R54" s="7" t="n">
        <ns0:v>-2403477.455668442</ns0:v>
      </ns0:c>
    </ns0:row>
    <ns0:row r="55" ht="24" customHeight="1">
      <ns0:c r="A55" s="3" t="inlineStr">
        <ns0:is>
          <ns0:t>Sのみ</ns0:t>
        </ns0:is>
      </ns0:c>
      <ns0:c r="B55" s="3" t="inlineStr">
        <ns0:is>
          <ns0:t>G0基本5000比較</ns0:t>
        </ns0:is>
      </ns0:c>
      <ns0:c r="C55" s="3" t="inlineStr">
        <ns0:is>
          <ns0:t>A</ns0:t>
        </ns0:is>
      </ns0:c>
      <ns0:c r="D55" s="4" t="n">
        <ns0:v>1</ns0:v>
      </ns0:c>
      <ns0:c r="E55" s="4" t="n">
        <ns0:v>0</ns0:v>
      </ns0:c>
      <ns0:c r="F55" s="6" t="n">
        <ns0:v>0.5</ns0:v>
      </ns0:c>
      <ns0:c r="G55" s="4" t="n">
        <ns0:v>3</ns0:v>
      </ns0:c>
      <ns0:c r="H55" s="7" t="n">
        <ns0:v>2759.296482412061</ns0:v>
      </ns0:c>
      <ns0:c r="I55" s="7" t="n">
        <ns0:v>1658.291457286433</ns0:v>
      </ns0:c>
      <ns0:c r="J55" s="7" t="n">
        <ns0:v>829.1457286432163</ns0:v>
      </ns0:c>
      <ns0:c r="K55" s="7" t="n">
        <ns0:v>516</ns0:v>
      </ns0:c>
      <ns0:c r="L55" s="7" t="n">
        <ns0:v>516</ns0:v>
      </ns0:c>
      <ns0:c r="M55" s="7" t="n">
        <ns0:v>-28331.49332281205</ns0:v>
      </ns0:c>
      <ns0:c r="N55" s="7" t="n">
        <ns0:v>-29472.61071582053</ns0:v>
      </ns0:c>
      <ns0:c r="O55" s="7" t="n">
        <ns0:v>-26113.72810882904</ns0:v>
      </ns0:c>
      <ns0:c r="P55" s="7" t="n">
        <ns0:v>-17716.52159135028</ns0:v>
      </ns0:c>
      <ns0:c r="Q55" s="7" t="n">
        <ns0:v>-6127.695521435169</ns0:v>
      </ns0:c>
      <ns0:c r="R55" s="7" t="n">
        <ns0:v>81433.1957232675</ns0:v>
      </ns0:c>
    </ns0:row>
    <ns0:row r="56" ht="24" customHeight="1">
      <ns0:c r="A56" s="3" t="inlineStr">
        <ns0:is>
          <ns0:t>Sのみ</ns0:t>
        </ns0:is>
      </ns0:c>
      <ns0:c r="B56" s="3" t="inlineStr">
        <ns0:is>
          <ns0:t>G0基本5000比較</ns0:t>
        </ns0:is>
      </ns0:c>
      <ns0:c r="C56" s="3" t="inlineStr">
        <ns0:is>
          <ns0:t>A</ns0:t>
        </ns0:is>
      </ns0:c>
      <ns0:c r="D56" s="4" t="n">
        <ns0:v>2</ns0:v>
      </ns0:c>
      <ns0:c r="E56" s="4" t="n">
        <ns0:v>0</ns0:v>
      </ns0:c>
      <ns0:c r="F56" s="6" t="n">
        <ns0:v>0.3</ns0:v>
      </ns0:c>
      <ns0:c r="G56" s="4" t="n">
        <ns0:v>0</ns0:v>
      </ns0:c>
      <ns0:c r="H56" s="7" t="n">
        <ns0:v>4526.446280991735</ns0:v>
      </ns0:c>
      <ns0:c r="I56" s="7" t="n">
        <ns0:v>2147.727272727273</ns0:v>
      </ns0:c>
      <ns0:c r="J56" s="7" t="n">
        <ns0:v>644.3181818181818</ns0:v>
      </ns0:c>
      <ns0:c r="K56" s="7" t="n">
        <ns0:v>9</ns0:v>
      </ns0:c>
      <ns0:c r="L56" s="7" t="n">
        <ns0:v>9</ns0:v>
      </ns0:c>
      <ns0:c r="M56" s="7" t="n">
        <ns0:v>3496.482142830202</ns0:v>
      </ns0:c>
      <ns0:c r="N56" s="7" t="n">
        <ns0:v>66011.31568110621</ns0:v>
      </ns0:c>
      <ns0:c r="O56" s="7" t="n">
        <ns0:v>133026.1492193822</ns0:v>
      </ns0:c>
      <ns0:c r="P56" s="7" t="n">
        <ns0:v>300563.2330650722</ns0:v>
      </ns0:c>
      <ns0:c r="Q56" s="7" t="n">
        <ns0:v>948711.5684478318</ns0:v>
      </ns0:c>
      <ns0:c r="R56" s="7" t="n">
        <ns0:v>3264230.742287492</ns0:v>
      </ns0:c>
    </ns0:row>
    <ns0:row r="57" ht="24" customHeight="1">
      <ns0:c r="A57" s="3" t="inlineStr">
        <ns0:is>
          <ns0:t>Sのみ</ns0:t>
        </ns0:is>
      </ns0:c>
      <ns0:c r="B57" s="3" t="inlineStr">
        <ns0:is>
          <ns0:t>G0基本5000比較</ns0:t>
        </ns0:is>
      </ns0:c>
      <ns0:c r="C57" s="3" t="inlineStr">
        <ns0:is>
          <ns0:t>A</ns0:t>
        </ns0:is>
      </ns0:c>
      <ns0:c r="D57" s="4" t="n">
        <ns0:v>2</ns0:v>
      </ns0:c>
      <ns0:c r="E57" s="4" t="n">
        <ns0:v>0</ns0:v>
      </ns0:c>
      <ns0:c r="F57" s="6" t="n">
        <ns0:v>0.3</ns0:v>
      </ns0:c>
      <ns0:c r="G57" s="4" t="n">
        <ns0:v>1</ns0:v>
      </ns0:c>
      <ns0:c r="H57" s="7" t="n">
        <ns0:v>4526.446280991735</ns0:v>
      </ns0:c>
      <ns0:c r="I57" s="7" t="n">
        <ns0:v>2147.727272727273</ns0:v>
      </ns0:c>
      <ns0:c r="J57" s="7" t="n">
        <ns0:v>644.3181818181818</ns0:v>
      </ns0:c>
      <ns0:c r="K57" s="7" t="n">
        <ns0:v>13</ns0:v>
      </ns0:c>
      <ns0:c r="L57" s="7" t="n">
        <ns0:v>13</ns0:v>
      </ns0:c>
      <ns0:c r="M57" s="7" t="n">
        <ns0:v>-1796.89955221707</ns0:v>
      </ns0:c>
      <ns0:c r="N57" s="7" t="n">
        <ns0:v>50131.1705959644</ns0:v>
      </ns0:c>
      <ns0:c r="O57" s="7" t="n">
        <ns0:v>106559.2407441458</ns0:v>
      </ns0:c>
      <ns0:c r="P57" s="7" t="n">
        <ns0:v>247629.4161145994</ns0:v>
      </ns0:c>
      <ns0:c r="Q57" s="7" t="n">
        <ns0:v>789910.1175964137</ns0:v>
      </ns0:c>
      <ns0:c r="R57" s="7" t="n">
        <ns0:v>2734892.572782765</ns0:v>
      </ns0:c>
    </ns0:row>
    <ns0:row r="58" ht="24" customHeight="1">
      <ns0:c r="A58" s="3" t="inlineStr">
        <ns0:is>
          <ns0:t>Sのみ</ns0:t>
        </ns0:is>
      </ns0:c>
      <ns0:c r="B58" s="3" t="inlineStr">
        <ns0:is>
          <ns0:t>G0基本5000比較</ns0:t>
        </ns0:is>
      </ns0:c>
      <ns0:c r="C58" s="3" t="inlineStr">
        <ns0:is>
          <ns0:t>A</ns0:t>
        </ns0:is>
      </ns0:c>
      <ns0:c r="D58" s="4" t="n">
        <ns0:v>2</ns0:v>
      </ns0:c>
      <ns0:c r="E58" s="4" t="n">
        <ns0:v>0</ns0:v>
      </ns0:c>
      <ns0:c r="F58" s="6" t="n">
        <ns0:v>0.3</ns0:v>
      </ns0:c>
      <ns0:c r="G58" s="4" t="n">
        <ns0:v>2</ns0:v>
      </ns0:c>
      <ns0:c r="H58" s="7" t="n">
        <ns0:v>4526.446280991735</ns0:v>
      </ns0:c>
      <ns0:c r="I58" s="7" t="n">
        <ns0:v>2147.727272727273</ns0:v>
      </ns0:c>
      <ns0:c r="J58" s="7" t="n">
        <ns0:v>644.3181818181818</ns0:v>
      </ns0:c>
      <ns0:c r="K58" s="18" t="inlineStr">
        <ns0:is>
          <ns0:t>範囲内なし</ns0:t>
        </ns0:is>
      </ns0:c>
      <ns0:c r="L58" s="18" t="inlineStr">
        <ns0:is>
          <ns0:t>範囲内なし</ns0:t>
        </ns0:is>
      </ns0:c>
      <ns0:c r="M58" s="7" t="n">
        <ns0:v>-66378.37509899215</ns0:v>
      </ns0:c>
      <ns0:c r="N58" s="7" t="n">
        <ns0:v>-143613.2560443609</ns0:v>
      </ns0:c>
      <ns0:c r="O58" s="7" t="n">
        <ns0:v>-216348.1369897296</ns0:v>
      </ns0:c>
      <ns0:c r="P58" s="7" t="n">
        <ns0:v>-398185.3393531514</ns0:v>
      </ns0:c>
      <ns0:c r="Q58" s="7" t="n">
        <ns0:v>-1147534.148806839</ns0:v>
      </ns0:c>
      <ns0:c r="R58" s="7" t="n">
        <ns0:v>-3723254.981894743</ns0:v>
      </ns0:c>
    </ns0:row>
    <ns0:row r="59" ht="24" customHeight="1">
      <ns0:c r="A59" s="3" t="inlineStr">
        <ns0:is>
          <ns0:t>Sのみ</ns0:t>
        </ns0:is>
      </ns0:c>
      <ns0:c r="B59" s="3" t="inlineStr">
        <ns0:is>
          <ns0:t>G0基本5000比較</ns0:t>
        </ns0:is>
      </ns0:c>
      <ns0:c r="C59" s="3" t="inlineStr">
        <ns0:is>
          <ns0:t>A</ns0:t>
        </ns0:is>
      </ns0:c>
      <ns0:c r="D59" s="4" t="n">
        <ns0:v>2</ns0:v>
      </ns0:c>
      <ns0:c r="E59" s="4" t="n">
        <ns0:v>0</ns0:v>
      </ns0:c>
      <ns0:c r="F59" s="6" t="n">
        <ns0:v>0.3</ns0:v>
      </ns0:c>
      <ns0:c r="G59" s="4" t="n">
        <ns0:v>3</ns0:v>
      </ns0:c>
      <ns0:c r="H59" s="7" t="n">
        <ns0:v>4526.446280991735</ns0:v>
      </ns0:c>
      <ns0:c r="I59" s="7" t="n">
        <ns0:v>2147.727272727273</ns0:v>
      </ns0:c>
      <ns0:c r="J59" s="7" t="n">
        <ns0:v>644.3181818181818</ns0:v>
      </ns0:c>
      <ns0:c r="K59" s="7" t="n">
        <ns0:v>20</ns0:v>
      </ns0:c>
      <ns0:c r="L59" s="7" t="n">
        <ns0:v>20</ns0:v>
      </ns0:c>
      <ns0:c r="M59" s="7" t="n">
        <ns0:v>-12691.93348052783</ns0:v>
      </ns0:c>
      <ns0:c r="N59" s="7" t="n">
        <ns0:v>17446.06881103212</ns0:v>
      </ns0:c>
      <ns0:c r="O59" s="7" t="n">
        <ns0:v>52084.07110259207</ns0:v>
      </ns0:c>
      <ns0:c r="P59" s="7" t="n">
        <ns0:v>138679.0768314919</ns0:v>
      </ns0:c>
      <ns0:c r="Q59" s="7" t="n">
        <ns0:v>463059.0997470911</ns0:v>
      </ns0:c>
      <ns0:c r="R59" s="7" t="n">
        <ns0:v>1645389.179951689</ns0:v>
      </ns0:c>
    </ns0:row>
    <ns0:row r="60" ht="24" customHeight="1">
      <ns0:c r="A60" s="3" t="inlineStr">
        <ns0:is>
          <ns0:t>Sのみ</ns0:t>
        </ns0:is>
      </ns0:c>
      <ns0:c r="B60" s="3" t="inlineStr">
        <ns0:is>
          <ns0:t>G0基本5000比較</ns0:t>
        </ns0:is>
      </ns0:c>
      <ns0:c r="C60" s="3" t="inlineStr">
        <ns0:is>
          <ns0:t>A</ns0:t>
        </ns0:is>
      </ns0:c>
      <ns0:c r="D60" s="4" t="n">
        <ns0:v>2</ns0:v>
      </ns0:c>
      <ns0:c r="E60" s="4" t="n">
        <ns0:v>0</ns0:v>
      </ns0:c>
      <ns0:c r="F60" s="6" t="n">
        <ns0:v>0.4</ns0:v>
      </ns0:c>
      <ns0:c r="G60" s="4" t="n">
        <ns0:v>0</ns0:v>
      </ns0:c>
      <ns0:c r="H60" s="7" t="n">
        <ns0:v>4526.446280991735</ns0:v>
      </ns0:c>
      <ns0:c r="I60" s="7" t="n">
        <ns0:v>2147.727272727273</ns0:v>
      </ns0:c>
      <ns0:c r="J60" s="7" t="n">
        <ns0:v>859.0909090909091</ns0:v>
      </ns0:c>
      <ns0:c r="K60" s="7" t="n">
        <ns0:v>12</ns0:v>
      </ns0:c>
      <ns0:c r="L60" s="7" t="n">
        <ns0:v>12</ns0:v>
      </ns0:c>
      <ns0:c r="M60" s="7" t="n">
        <ns0:v>1348.75487010293</ns0:v>
      </ns0:c>
      <ns0:c r="N60" s="7" t="n">
        <ns0:v>59568.13386292439</ns0:v>
      </ns0:c>
      <ns0:c r="O60" s="7" t="n">
        <ns0:v>122287.5128557458</ns0:v>
      </ns0:c>
      <ns0:c r="P60" s="7" t="n">
        <ns0:v>279085.9603377994</ns0:v>
      </ns0:c>
      <ns0:c r="Q60" s="7" t="n">
        <ns0:v>884279.750266014</ns0:v>
      </ns0:c>
      <ns0:c r="R60" s="7" t="n">
        <ns0:v>3049458.015014764</ns0:v>
      </ns0:c>
    </ns0:row>
    <ns0:row r="61" ht="24" customHeight="1">
      <ns0:c r="A61" s="3" t="inlineStr">
        <ns0:is>
          <ns0:t>Sのみ</ns0:t>
        </ns0:is>
      </ns0:c>
      <ns0:c r="B61" s="3" t="inlineStr">
        <ns0:is>
          <ns0:t>G0基本5000比較</ns0:t>
        </ns0:is>
      </ns0:c>
      <ns0:c r="C61" s="3" t="inlineStr">
        <ns0:is>
          <ns0:t>A</ns0:t>
        </ns0:is>
      </ns0:c>
      <ns0:c r="D61" s="4" t="n">
        <ns0:v>2</ns0:v>
      </ns0:c>
      <ns0:c r="E61" s="4" t="n">
        <ns0:v>0</ns0:v>
      </ns0:c>
      <ns0:c r="F61" s="6" t="n">
        <ns0:v>0.4</ns0:v>
      </ns0:c>
      <ns0:c r="G61" s="4" t="n">
        <ns0:v>1</ns0:v>
      </ns0:c>
      <ns0:c r="H61" s="7" t="n">
        <ns0:v>4526.446280991735</ns0:v>
      </ns0:c>
      <ns0:c r="I61" s="7" t="n">
        <ns0:v>2147.727272727273</ns0:v>
      </ns0:c>
      <ns0:c r="J61" s="7" t="n">
        <ns0:v>859.0909090909091</ns0:v>
      </ns0:c>
      <ns0:c r="K61" s="7" t="n">
        <ns0:v>14</ns0:v>
      </ns0:c>
      <ns0:c r="L61" s="7" t="n">
        <ns0:v>14</ns0:v>
      </ns0:c>
      <ns0:c r="M61" s="7" t="n">
        <ns0:v>-3944.626824944342</ns0:v>
      </ns0:c>
      <ns0:c r="N61" s="7" t="n">
        <ns0:v>43687.98877778259</ns0:v>
      </ns0:c>
      <ns0:c r="O61" s="7" t="n">
        <ns0:v>95820.6043805095</ns0:v>
      </ns0:c>
      <ns0:c r="P61" s="7" t="n">
        <ns0:v>226152.1433873268</ns0:v>
      </ns0:c>
      <ns0:c r="Q61" s="7" t="n">
        <ns0:v>725478.2994145958</ns0:v>
      </ns0:c>
      <ns0:c r="R61" s="7" t="n">
        <ns0:v>2520119.845510038</ns0:v>
      </ns0:c>
    </ns0:row>
    <ns0:row r="62" ht="24" customHeight="1">
      <ns0:c r="A62" s="3" t="inlineStr">
        <ns0:is>
          <ns0:t>Sのみ</ns0:t>
        </ns0:is>
      </ns0:c>
      <ns0:c r="B62" s="3" t="inlineStr">
        <ns0:is>
          <ns0:t>G0基本5000比較</ns0:t>
        </ns0:is>
      </ns0:c>
      <ns0:c r="C62" s="3" t="inlineStr">
        <ns0:is>
          <ns0:t>A</ns0:t>
        </ns0:is>
      </ns0:c>
      <ns0:c r="D62" s="4" t="n">
        <ns0:v>2</ns0:v>
      </ns0:c>
      <ns0:c r="E62" s="4" t="n">
        <ns0:v>0</ns0:v>
      </ns0:c>
      <ns0:c r="F62" s="6" t="n">
        <ns0:v>0.4</ns0:v>
      </ns0:c>
      <ns0:c r="G62" s="4" t="n">
        <ns0:v>2</ns0:v>
      </ns0:c>
      <ns0:c r="H62" s="7" t="n">
        <ns0:v>4526.446280991735</ns0:v>
      </ns0:c>
      <ns0:c r="I62" s="7" t="n">
        <ns0:v>2147.727272727273</ns0:v>
      </ns0:c>
      <ns0:c r="J62" s="7" t="n">
        <ns0:v>859.0909090909091</ns0:v>
      </ns0:c>
      <ns0:c r="K62" s="18" t="inlineStr">
        <ns0:is>
          <ns0:t>範囲内なし</ns0:t>
        </ns0:is>
      </ns0:c>
      <ns0:c r="L62" s="18" t="inlineStr">
        <ns0:is>
          <ns0:t>範囲内なし</ns0:t>
        </ns0:is>
      </ns0:c>
      <ns0:c r="M62" s="7" t="n">
        <ns0:v>-68526.10237171943</ns0:v>
      </ns0:c>
      <ns0:c r="N62" s="7" t="n">
        <ns0:v>-150056.4378625427</ns0:v>
      </ns0:c>
      <ns0:c r="O62" s="7" t="n">
        <ns0:v>-227086.7733533659</ns0:v>
      </ns0:c>
      <ns0:c r="P62" s="7" t="n">
        <ns0:v>-419662.6120804241</ns0:v>
      </ns0:c>
      <ns0:c r="Q62" s="7" t="n">
        <ns0:v>-1211965.966988657</ns0:v>
      </ns0:c>
      <ns0:c r="R62" s="7" t="n">
        <ns0:v>-3938027.709167471</ns0:v>
      </ns0:c>
    </ns0:row>
    <ns0:row r="63" ht="24" customHeight="1">
      <ns0:c r="A63" s="3" t="inlineStr">
        <ns0:is>
          <ns0:t>Sのみ</ns0:t>
        </ns0:is>
      </ns0:c>
      <ns0:c r="B63" s="3" t="inlineStr">
        <ns0:is>
          <ns0:t>G0基本5000比較</ns0:t>
        </ns0:is>
      </ns0:c>
      <ns0:c r="C63" s="3" t="inlineStr">
        <ns0:is>
          <ns0:t>A</ns0:t>
        </ns0:is>
      </ns0:c>
      <ns0:c r="D63" s="4" t="n">
        <ns0:v>2</ns0:v>
      </ns0:c>
      <ns0:c r="E63" s="4" t="n">
        <ns0:v>0</ns0:v>
      </ns0:c>
      <ns0:c r="F63" s="6" t="n">
        <ns0:v>0.4</ns0:v>
      </ns0:c>
      <ns0:c r="G63" s="4" t="n">
        <ns0:v>3</ns0:v>
      </ns0:c>
      <ns0:c r="H63" s="7" t="n">
        <ns0:v>4526.446280991735</ns0:v>
      </ns0:c>
      <ns0:c r="I63" s="7" t="n">
        <ns0:v>2147.727272727273</ns0:v>
      </ns0:c>
      <ns0:c r="J63" s="7" t="n">
        <ns0:v>859.0909090909091</ns0:v>
      </ns0:c>
      <ns0:c r="K63" s="7" t="n">
        <ns0:v>23</ns0:v>
      </ns0:c>
      <ns0:c r="L63" s="7" t="n">
        <ns0:v>23</ns0:v>
      </ns0:c>
      <ns0:c r="M63" s="7" t="n">
        <ns0:v>-14839.6607532551</ns0:v>
      </ns0:c>
      <ns0:c r="N63" s="7" t="n">
        <ns0:v>11002.88699285031</ns0:v>
      </ns0:c>
      <ns0:c r="O63" s="7" t="n">
        <ns0:v>41345.43473895569</ns0:v>
      </ns0:c>
      <ns0:c r="P63" s="7" t="n">
        <ns0:v>117201.8041042192</ns0:v>
      </ns0:c>
      <ns0:c r="Q63" s="7" t="n">
        <ns0:v>398627.2815652732</ns0:v>
      </ns0:c>
      <ns0:c r="R63" s="7" t="n">
        <ns0:v>1430616.452678962</ns0:v>
      </ns0:c>
    </ns0:row>
    <ns0:row r="64" ht="24" customHeight="1">
      <ns0:c r="A64" s="3" t="inlineStr">
        <ns0:is>
          <ns0:t>Sのみ</ns0:t>
        </ns0:is>
      </ns0:c>
      <ns0:c r="B64" s="3" t="inlineStr">
        <ns0:is>
          <ns0:t>G0基本5000比較</ns0:t>
        </ns0:is>
      </ns0:c>
      <ns0:c r="C64" s="3" t="inlineStr">
        <ns0:is>
          <ns0:t>A</ns0:t>
        </ns0:is>
      </ns0:c>
      <ns0:c r="D64" s="4" t="n">
        <ns0:v>2</ns0:v>
      </ns0:c>
      <ns0:c r="E64" s="4" t="n">
        <ns0:v>0</ns0:v>
      </ns0:c>
      <ns0:c r="F64" s="6" t="n">
        <ns0:v>0.5</ns0:v>
      </ns0:c>
      <ns0:c r="G64" s="4" t="n">
        <ns0:v>0</ns0:v>
      </ns0:c>
      <ns0:c r="H64" s="7" t="n">
        <ns0:v>4526.446280991735</ns0:v>
      </ns0:c>
      <ns0:c r="I64" s="7" t="n">
        <ns0:v>2147.727272727273</ns0:v>
      </ns0:c>
      <ns0:c r="J64" s="7" t="n">
        <ns0:v>1073.863636363636</ns0:v>
      </ns0:c>
      <ns0:c r="K64" s="7" t="n">
        <ns0:v>12</ns0:v>
      </ns0:c>
      <ns0:c r="L64" s="7" t="n">
        <ns0:v>12</ns0:v>
      </ns0:c>
      <ns0:c r="M64" s="7" t="n">
        <ns0:v>-798.9724026243421</ns0:v>
      </ns0:c>
      <ns0:c r="N64" s="7" t="n">
        <ns0:v>53124.95204474257</ns0:v>
      </ns0:c>
      <ns0:c r="O64" s="7" t="n">
        <ns0:v>111548.8764921095</ns0:v>
      </ns0:c>
      <ns0:c r="P64" s="7" t="n">
        <ns0:v>257608.6876105267</ns0:v>
      </ns0:c>
      <ns0:c r="Q64" s="7" t="n">
        <ns0:v>819847.9320841958</ns0:v>
      </ns0:c>
      <ns0:c r="R64" s="7" t="n">
        <ns0:v>2834685.287742037</ns0:v>
      </ns0:c>
    </ns0:row>
    <ns0:row r="65" ht="24" customHeight="1">
      <ns0:c r="A65" s="3" t="inlineStr">
        <ns0:is>
          <ns0:t>Sのみ</ns0:t>
        </ns0:is>
      </ns0:c>
      <ns0:c r="B65" s="3" t="inlineStr">
        <ns0:is>
          <ns0:t>G0基本5000比較</ns0:t>
        </ns0:is>
      </ns0:c>
      <ns0:c r="C65" s="3" t="inlineStr">
        <ns0:is>
          <ns0:t>A</ns0:t>
        </ns0:is>
      </ns0:c>
      <ns0:c r="D65" s="4" t="n">
        <ns0:v>2</ns0:v>
      </ns0:c>
      <ns0:c r="E65" s="4" t="n">
        <ns0:v>0</ns0:v>
      </ns0:c>
      <ns0:c r="F65" s="6" t="n">
        <ns0:v>0.5</ns0:v>
      </ns0:c>
      <ns0:c r="G65" s="4" t="n">
        <ns0:v>1</ns0:v>
      </ns0:c>
      <ns0:c r="H65" s="7" t="n">
        <ns0:v>4526.446280991735</ns0:v>
      </ns0:c>
      <ns0:c r="I65" s="7" t="n">
        <ns0:v>2147.727272727273</ns0:v>
      </ns0:c>
      <ns0:c r="J65" s="7" t="n">
        <ns0:v>1073.863636363636</ns0:v>
      </ns0:c>
      <ns0:c r="K65" s="7" t="n">
        <ns0:v>15</ns0:v>
      </ns0:c>
      <ns0:c r="L65" s="7" t="n">
        <ns0:v>15</ns0:v>
      </ns0:c>
      <ns0:c r="M65" s="7" t="n">
        <ns0:v>-6092.354097671614</ns0:v>
      </ns0:c>
      <ns0:c r="N65" s="7" t="n">
        <ns0:v>37244.80695960076</ns0:v>
      </ns0:c>
      <ns0:c r="O65" s="7" t="n">
        <ns0:v>85081.96801687314</ns0:v>
      </ns0:c>
      <ns0:c r="P65" s="7" t="n">
        <ns0:v>204674.8706600541</ns0:v>
      </ns0:c>
      <ns0:c r="Q65" s="7" t="n">
        <ns0:v>661046.4812327777</ns0:v>
      </ns0:c>
      <ns0:c r="R65" s="7" t="n">
        <ns0:v>2305347.118237311</ns0:v>
      </ns0:c>
    </ns0:row>
    <ns0:row r="66" ht="24" customHeight="1">
      <ns0:c r="A66" s="3" t="inlineStr">
        <ns0:is>
          <ns0:t>Sのみ</ns0:t>
        </ns0:is>
      </ns0:c>
      <ns0:c r="B66" s="3" t="inlineStr">
        <ns0:is>
          <ns0:t>G0基本5000比較</ns0:t>
        </ns0:is>
      </ns0:c>
      <ns0:c r="C66" s="3" t="inlineStr">
        <ns0:is>
          <ns0:t>A</ns0:t>
        </ns0:is>
      </ns0:c>
      <ns0:c r="D66" s="4" t="n">
        <ns0:v>2</ns0:v>
      </ns0:c>
      <ns0:c r="E66" s="4" t="n">
        <ns0:v>0</ns0:v>
      </ns0:c>
      <ns0:c r="F66" s="6" t="n">
        <ns0:v>0.5</ns0:v>
      </ns0:c>
      <ns0:c r="G66" s="4" t="n">
        <ns0:v>2</ns0:v>
      </ns0:c>
      <ns0:c r="H66" s="7" t="n">
        <ns0:v>4526.446280991735</ns0:v>
      </ns0:c>
      <ns0:c r="I66" s="7" t="n">
        <ns0:v>2147.727272727273</ns0:v>
      </ns0:c>
      <ns0:c r="J66" s="7" t="n">
        <ns0:v>1073.863636363636</ns0:v>
      </ns0:c>
      <ns0:c r="K66" s="18" t="inlineStr">
        <ns0:is>
          <ns0:t>範囲内なし</ns0:t>
        </ns0:is>
      </ns0:c>
      <ns0:c r="L66" s="18" t="inlineStr">
        <ns0:is>
          <ns0:t>範囲内なし</ns0:t>
        </ns0:is>
      </ns0:c>
      <ns0:c r="M66" s="7" t="n">
        <ns0:v>-70673.8296444467</ns0:v>
      </ns0:c>
      <ns0:c r="N66" s="7" t="n">
        <ns0:v>-156499.6196807245</ns0:v>
      </ns0:c>
      <ns0:c r="O66" s="7" t="n">
        <ns0:v>-237825.4097170023</ns0:v>
      </ns0:c>
      <ns0:c r="P66" s="7" t="n">
        <ns0:v>-441139.8848076968</ns0:v>
      </ns0:c>
      <ns0:c r="Q66" s="7" t="n">
        <ns0:v>-1276397.785170475</ns0:v>
      </ns0:c>
      <ns0:c r="R66" s="7" t="n">
        <ns0:v>-4152800.436440198</ns0:v>
      </ns0:c>
    </ns0:row>
    <ns0:row r="67" ht="24" customHeight="1">
      <ns0:c r="A67" s="3" t="inlineStr">
        <ns0:is>
          <ns0:t>Sのみ</ns0:t>
        </ns0:is>
      </ns0:c>
      <ns0:c r="B67" s="3" t="inlineStr">
        <ns0:is>
          <ns0:t>G0基本5000比較</ns0:t>
        </ns0:is>
      </ns0:c>
      <ns0:c r="C67" s="3" t="inlineStr">
        <ns0:is>
          <ns0:t>A</ns0:t>
        </ns0:is>
      </ns0:c>
      <ns0:c r="D67" s="4" t="n">
        <ns0:v>2</ns0:v>
      </ns0:c>
      <ns0:c r="E67" s="4" t="n">
        <ns0:v>0</ns0:v>
      </ns0:c>
      <ns0:c r="F67" s="6" t="n">
        <ns0:v>0.5</ns0:v>
      </ns0:c>
      <ns0:c r="G67" s="4" t="n">
        <ns0:v>3</ns0:v>
      </ns0:c>
      <ns0:c r="H67" s="7" t="n">
        <ns0:v>4526.446280991735</ns0:v>
      </ns0:c>
      <ns0:c r="I67" s="7" t="n">
        <ns0:v>2147.727272727273</ns0:v>
      </ns0:c>
      <ns0:c r="J67" s="7" t="n">
        <ns0:v>1073.863636363636</ns0:v>
      </ns0:c>
      <ns0:c r="K67" s="7" t="n">
        <ns0:v>27</ns0:v>
      </ns0:c>
      <ns0:c r="L67" s="7" t="n">
        <ns0:v>27</ns0:v>
      </ns0:c>
      <ns0:c r="M67" s="7" t="n">
        <ns0:v>-16987.38802598237</ns0:v>
      </ns0:c>
      <ns0:c r="N67" s="7" t="n">
        <ns0:v>4559.705174668488</ns0:v>
      </ns0:c>
      <ns0:c r="O67" s="7" t="n">
        <ns0:v>30606.79837531933</ns0:v>
      </ns0:c>
      <ns0:c r="P67" s="7" t="n">
        <ns0:v>95724.53137694646</ns0:v>
      </ns0:c>
      <ns0:c r="Q67" s="7" t="n">
        <ns0:v>334195.4633834549</ns0:v>
      </ns0:c>
      <ns0:c r="R67" s="7" t="n">
        <ns0:v>1215843.725406235</ns0:v>
      </ns0:c>
    </ns0:row>
    <ns0:row r="68" ht="24" customHeight="1">
      <ns0:c r="A68" s="3" t="inlineStr">
        <ns0:is>
          <ns0:t>Sのみ</ns0:t>
        </ns0:is>
      </ns0:c>
      <ns0:c r="B68" s="3" t="inlineStr">
        <ns0:is>
          <ns0:t>G0基本5000比較</ns0:t>
        </ns0:is>
      </ns0:c>
      <ns0:c r="C68" s="3" t="inlineStr">
        <ns0:is>
          <ns0:t>C</ns0:t>
        </ns0:is>
      </ns0:c>
      <ns0:c r="D68" s="4" t="n">
        <ns0:v>0</ns0:v>
      </ns0:c>
      <ns0:c r="E68" s="4" t="n">
        <ns0:v>0</ns0:v>
      </ns0:c>
      <ns0:c r="F68" s="6" t="n">
        <ns0:v>0.3</ns0:v>
      </ns0:c>
      <ns0:c r="G68" s="4" t="n">
        <ns0:v>0</ns0:v>
      </ns0:c>
      <ns0:c r="H68" s="7" t="n">
        <ns0:v>1453.97</ns0:v>
      </ns0:c>
      <ns0:c r="I68" s="7" t="n">
        <ns0:v>1033.45</ns0:v>
      </ns0:c>
      <ns0:c r="J68" s="7" t="n">
        <ns0:v>310.035</ns0:v>
      </ns0:c>
      <ns0:c r="K68" s="7" t="n">
        <ns0:v>43</ns0:v>
      </ns0:c>
      <ns0:c r="L68" s="7" t="n">
        <ns0:v>43</ns0:v>
      </ns0:c>
      <ns0:c r="M68" s="7" t="n">
        <ns0:v>-21804.38708675874</ns0:v>
      </ns0:c>
      <ns0:c r="N68" s="7" t="n">
        <ns0:v>-9891.292007660624</ns0:v>
      </ns0:c>
      <ns0:c r="O68" s="7" t="n">
        <ns0:v>6521.803071437484</ns0:v>
      </ns0:c>
      <ns0:c r="P68" s="7" t="n">
        <ns0:v>47554.54076918276</ns0:v>
      </ns0:c>
      <ns0:c r="Q68" s="7" t="n">
        <ns0:v>189685.4915601639</ns0:v>
      </ns0:c>
      <ns0:c r="R68" s="7" t="n">
        <ns0:v>734143.819328598</ns0:v>
      </ns0:c>
    </ns0:row>
    <ns0:row r="69" ht="24" customHeight="1">
      <ns0:c r="A69" s="3" t="inlineStr">
        <ns0:is>
          <ns0:t>Sのみ</ns0:t>
        </ns0:is>
      </ns0:c>
      <ns0:c r="B69" s="3" t="inlineStr">
        <ns0:is>
          <ns0:t>G0基本5000比較</ns0:t>
        </ns0:is>
      </ns0:c>
      <ns0:c r="C69" s="3" t="inlineStr">
        <ns0:is>
          <ns0:t>C</ns0:t>
        </ns0:is>
      </ns0:c>
      <ns0:c r="D69" s="4" t="n">
        <ns0:v>0</ns0:v>
      </ns0:c>
      <ns0:c r="E69" s="4" t="n">
        <ns0:v>0</ns0:v>
      </ns0:c>
      <ns0:c r="F69" s="6" t="n">
        <ns0:v>0.3</ns0:v>
      </ns0:c>
      <ns0:c r="G69" s="4" t="n">
        <ns0:v>1</ns0:v>
      </ns0:c>
      <ns0:c r="H69" s="7" t="n">
        <ns0:v>1453.97</ns0:v>
      </ns0:c>
      <ns0:c r="I69" s="7" t="n">
        <ns0:v>1033.45</ns0:v>
      </ns0:c>
      <ns0:c r="J69" s="7" t="n">
        <ns0:v>310.035</ns0:v>
      </ns0:c>
      <ns0:c r="K69" s="7" t="n">
        <ns0:v>125</ns0:v>
      </ns0:c>
      <ns0:c r="L69" s="7" t="n">
        <ns0:v>125</ns0:v>
      </ns0:c>
      <ns0:c r="M69" s="7" t="n">
        <ns0:v>-25484.22605367228</ns0:v>
      </ns0:c>
      <ns0:c r="N69" s="7" t="n">
        <ns0:v>-20930.80890840122</ns0:v>
      </ns0:c>
      <ns0:c r="O69" s="7" t="n">
        <ns0:v>-11877.39176313018</ns0:v>
      </ns0:c>
      <ns0:c r="P69" s="7" t="n">
        <ns0:v>10756.15110004744</ns0:v>
      </ns0:c>
      <ns0:c r="Q69" s="7" t="n">
        <ns0:v>79290.32255275789</ns0:v>
      </ns0:c>
      <ns0:c r="R69" s="7" t="n">
        <ns0:v>366159.9226372446</ns0:v>
      </ns0:c>
    </ns0:row>
    <ns0:row r="70" ht="24" customHeight="1">
      <ns0:c r="A70" s="3" t="inlineStr">
        <ns0:is>
          <ns0:t>Sのみ</ns0:t>
        </ns0:is>
      </ns0:c>
      <ns0:c r="B70" s="3" t="inlineStr">
        <ns0:is>
          <ns0:t>G0基本5000比較</ns0:t>
        </ns0:is>
      </ns0:c>
      <ns0:c r="C70" s="3" t="inlineStr">
        <ns0:is>
          <ns0:t>C</ns0:t>
        </ns0:is>
      </ns0:c>
      <ns0:c r="D70" s="4" t="n">
        <ns0:v>0</ns0:v>
      </ns0:c>
      <ns0:c r="E70" s="4" t="n">
        <ns0:v>0</ns0:v>
      </ns0:c>
      <ns0:c r="F70" s="6" t="n">
        <ns0:v>0.3</ns0:v>
      </ns0:c>
      <ns0:c r="G70" s="4" t="n">
        <ns0:v>2</ns0:v>
      </ns0:c>
      <ns0:c r="H70" s="7" t="n">
        <ns0:v>1453.97</ns0:v>
      </ns0:c>
      <ns0:c r="I70" s="7" t="n">
        <ns0:v>1033.45</ns0:v>
      </ns0:c>
      <ns0:c r="J70" s="7" t="n">
        <ns0:v>310.035</ns0:v>
      </ns0:c>
      <ns0:c r="K70" s="18" t="inlineStr">
        <ns0:is>
          <ns0:t>範囲内なし</ns0:t>
        </ns0:is>
      </ns0:c>
      <ns0:c r="L70" s="18" t="inlineStr">
        <ns0:is>
          <ns0:t>範囲内なし</ns0:t>
        </ns0:is>
      </ns0:c>
      <ns0:c r="M70" s="7" t="n">
        <ns0:v>-43486.93844393898</ns0:v>
      </ns0:c>
      <ns0:c r="N70" s="7" t="n">
        <ns0:v>-74938.94607920136</ns0:v>
      </ns0:c>
      <ns0:c r="O70" s="7" t="n">
        <ns0:v>-101890.9537144637</ns0:v>
      </ns0:c>
      <ns0:c r="P70" s="7" t="n">
        <ns0:v>-169270.9728026196</ns0:v>
      </ns0:c>
      <ns0:c r="Q70" s="7" t="n">
        <ns0:v>-460791.0491552433</ns0:v>
      </ns0:c>
      <ns0:c r="R70" s="7" t="n">
        <ns0:v>-1434111.316389426</ns0:v>
      </ns0:c>
    </ns0:row>
    <ns0:row r="71" ht="24" customHeight="1">
      <ns0:c r="A71" s="3" t="inlineStr">
        <ns0:is>
          <ns0:t>Sのみ</ns0:t>
        </ns0:is>
      </ns0:c>
      <ns0:c r="B71" s="3" t="inlineStr">
        <ns0:is>
          <ns0:t>G0基本5000比較</ns0:t>
        </ns0:is>
      </ns0:c>
      <ns0:c r="C71" s="3" t="inlineStr">
        <ns0:is>
          <ns0:t>C</ns0:t>
        </ns0:is>
      </ns0:c>
      <ns0:c r="D71" s="4" t="n">
        <ns0:v>0</ns0:v>
      </ns0:c>
      <ns0:c r="E71" s="4" t="n">
        <ns0:v>0</ns0:v>
      </ns0:c>
      <ns0:c r="F71" s="6" t="n">
        <ns0:v>0.3</ns0:v>
      </ns0:c>
      <ns0:c r="G71" s="4" t="n">
        <ns0:v>3</ns0:v>
      </ns0:c>
      <ns0:c r="H71" s="7" t="n">
        <ns0:v>1453.97</ns0:v>
      </ns0:c>
      <ns0:c r="I71" s="7" t="n">
        <ns0:v>1033.45</ns0:v>
      </ns0:c>
      <ns0:c r="J71" s="7" t="n">
        <ns0:v>310.035</ns0:v>
      </ns0:c>
      <ns0:c r="K71" s="18" t="inlineStr">
        <ns0:is>
          <ns0:t>範囲内なし</ns0:t>
        </ns0:is>
      </ns0:c>
      <ns0:c r="L71" s="18" t="inlineStr">
        <ns0:is>
          <ns0:t>範囲内なし</ns0:t>
        </ns0:is>
      </ns0:c>
      <ns0:c r="M71" s="7" t="n">
        <ns0:v>-33996.02238745677</ns0:v>
      </ns0:c>
      <ns0:c r="N71" s="7" t="n">
        <ns0:v>-46466.19790975472</ns0:v>
      </ns0:c>
      <ns0:c r="O71" s="7" t="n">
        <ns0:v>-54436.37343205266</ns0:v>
      </ns0:c>
      <ns0:c r="P71" s="7" t="n">
        <ns0:v>-74361.81223779754</ns0:v>
      </ns0:c>
      <ns0:c r="Q71" s="7" t="n">
        <ns0:v>-176063.567460777</ns0:v>
      </ns0:c>
      <ns0:c r="R71" s="7" t="n">
        <ns0:v>-485019.7107412053</ns0:v>
      </ns0:c>
    </ns0:row>
    <ns0:row r="72" ht="24" customHeight="1">
      <ns0:c r="A72" s="3" t="inlineStr">
        <ns0:is>
          <ns0:t>Sのみ</ns0:t>
        </ns0:is>
      </ns0:c>
      <ns0:c r="B72" s="3" t="inlineStr">
        <ns0:is>
          <ns0:t>G0基本5000比較</ns0:t>
        </ns0:is>
      </ns0:c>
      <ns0:c r="C72" s="3" t="inlineStr">
        <ns0:is>
          <ns0:t>C</ns0:t>
        </ns0:is>
      </ns0:c>
      <ns0:c r="D72" s="4" t="n">
        <ns0:v>0</ns0:v>
      </ns0:c>
      <ns0:c r="E72" s="4" t="n">
        <ns0:v>0</ns0:v>
      </ns0:c>
      <ns0:c r="F72" s="6" t="n">
        <ns0:v>0.4</ns0:v>
      </ns0:c>
      <ns0:c r="G72" s="4" t="n">
        <ns0:v>0</ns0:v>
      </ns0:c>
      <ns0:c r="H72" s="7" t="n">
        <ns0:v>1453.97</ns0:v>
      </ns0:c>
      <ns0:c r="I72" s="7" t="n">
        <ns0:v>1033.45</ns0:v>
      </ns0:c>
      <ns0:c r="J72" s="7" t="n">
        <ns0:v>413.38</ns0:v>
      </ns0:c>
      <ns0:c r="K72" s="7" t="n">
        <ns0:v>49</ns0:v>
      </ns0:c>
      <ns0:c r="L72" s="7" t="n">
        <ns0:v>49</ns0:v>
      </ns0:c>
      <ns0:c r="M72" s="7" t="n">
        <ns0:v>-22837.83708675874</ns0:v>
      </ns0:c>
      <ns0:c r="N72" s="7" t="n">
        <ns0:v>-12991.64200766063</ns0:v>
      </ns0:c>
      <ns0:c r="O72" s="7" t="n">
        <ns0:v>1354.553071437484</ns0:v>
      </ns0:c>
      <ns0:c r="P72" s="7" t="n">
        <ns0:v>37220.04076918276</ns0:v>
      </ns0:c>
      <ns0:c r="Q72" s="7" t="n">
        <ns0:v>158681.9915601639</ns0:v>
      </ns0:c>
      <ns0:c r="R72" s="7" t="n">
        <ns0:v>630798.819328598</ns0:v>
      </ns0:c>
    </ns0:row>
    <ns0:row r="73" ht="24" customHeight="1">
      <ns0:c r="A73" s="3" t="inlineStr">
        <ns0:is>
          <ns0:t>Sのみ</ns0:t>
        </ns0:is>
      </ns0:c>
      <ns0:c r="B73" s="3" t="inlineStr">
        <ns0:is>
          <ns0:t>G0基本5000比較</ns0:t>
        </ns0:is>
      </ns0:c>
      <ns0:c r="C73" s="3" t="inlineStr">
        <ns0:is>
          <ns0:t>C</ns0:t>
        </ns0:is>
      </ns0:c>
      <ns0:c r="D73" s="4" t="n">
        <ns0:v>0</ns0:v>
      </ns0:c>
      <ns0:c r="E73" s="4" t="n">
        <ns0:v>0</ns0:v>
      </ns0:c>
      <ns0:c r="F73" s="6" t="n">
        <ns0:v>0.4</ns0:v>
      </ns0:c>
      <ns0:c r="G73" s="4" t="n">
        <ns0:v>1</ns0:v>
      </ns0:c>
      <ns0:c r="H73" s="7" t="n">
        <ns0:v>1453.97</ns0:v>
      </ns0:c>
      <ns0:c r="I73" s="7" t="n">
        <ns0:v>1033.45</ns0:v>
      </ns0:c>
      <ns0:c r="J73" s="7" t="n">
        <ns0:v>413.38</ns0:v>
      </ns0:c>
      <ns0:c r="K73" s="7" t="n">
        <ns0:v>162</ns0:v>
      </ns0:c>
      <ns0:c r="L73" s="7" t="n">
        <ns0:v>162</ns0:v>
      </ns0:c>
      <ns0:c r="M73" s="7" t="n">
        <ns0:v>-26517.67605367228</ns0:v>
      </ns0:c>
      <ns0:c r="N73" s="7" t="n">
        <ns0:v>-24031.15890840123</ns0:v>
      </ns0:c>
      <ns0:c r="O73" s="7" t="n">
        <ns0:v>-17044.64176313018</ns0:v>
      </ns0:c>
      <ns0:c r="P73" s="7" t="n">
        <ns0:v>421.651100047442</ns0:v>
      </ns0:c>
      <ns0:c r="Q73" s="7" t="n">
        <ns0:v>48286.8225527579</ns0:v>
      </ns0:c>
      <ns0:c r="R73" s="7" t="n">
        <ns0:v>262814.9226372445</ns0:v>
      </ns0:c>
    </ns0:row>
    <ns0:row r="74" ht="24" customHeight="1">
      <ns0:c r="A74" s="3" t="inlineStr">
        <ns0:is>
          <ns0:t>Sのみ</ns0:t>
        </ns0:is>
      </ns0:c>
      <ns0:c r="B74" s="3" t="inlineStr">
        <ns0:is>
          <ns0:t>G0基本5000比較</ns0:t>
        </ns0:is>
      </ns0:c>
      <ns0:c r="C74" s="3" t="inlineStr">
        <ns0:is>
          <ns0:t>C</ns0:t>
        </ns0:is>
      </ns0:c>
      <ns0:c r="D74" s="4" t="n">
        <ns0:v>0</ns0:v>
      </ns0:c>
      <ns0:c r="E74" s="4" t="n">
        <ns0:v>0</ns0:v>
      </ns0:c>
      <ns0:c r="F74" s="6" t="n">
        <ns0:v>0.4</ns0:v>
      </ns0:c>
      <ns0:c r="G74" s="4" t="n">
        <ns0:v>2</ns0:v>
      </ns0:c>
      <ns0:c r="H74" s="7" t="n">
        <ns0:v>1453.97</ns0:v>
      </ns0:c>
      <ns0:c r="I74" s="7" t="n">
        <ns0:v>1033.45</ns0:v>
      </ns0:c>
      <ns0:c r="J74" s="7" t="n">
        <ns0:v>413.38</ns0:v>
      </ns0:c>
      <ns0:c r="K74" s="18" t="inlineStr">
        <ns0:is>
          <ns0:t>範囲内なし</ns0:t>
        </ns0:is>
      </ns0:c>
      <ns0:c r="L74" s="18" t="inlineStr">
        <ns0:is>
          <ns0:t>範囲内なし</ns0:t>
        </ns0:is>
      </ns0:c>
      <ns0:c r="M74" s="7" t="n">
        <ns0:v>-44520.38844393898</ns0:v>
      </ns0:c>
      <ns0:c r="N74" s="7" t="n">
        <ns0:v>-78039.29607920136</ns0:v>
      </ns0:c>
      <ns0:c r="O74" s="7" t="n">
        <ns0:v>-107058.2037144637</ns0:v>
      </ns0:c>
      <ns0:c r="P74" s="7" t="n">
        <ns0:v>-179605.4728026196</ns0:v>
      </ns0:c>
      <ns0:c r="Q74" s="7" t="n">
        <ns0:v>-491794.5491552433</ns0:v>
      </ns0:c>
      <ns0:c r="R74" s="7" t="n">
        <ns0:v>-1537456.316389426</ns0:v>
      </ns0:c>
    </ns0:row>
    <ns0:row r="75" ht="24" customHeight="1">
      <ns0:c r="A75" s="3" t="inlineStr">
        <ns0:is>
          <ns0:t>Sのみ</ns0:t>
        </ns0:is>
      </ns0:c>
      <ns0:c r="B75" s="3" t="inlineStr">
        <ns0:is>
          <ns0:t>G0基本5000比較</ns0:t>
        </ns0:is>
      </ns0:c>
      <ns0:c r="C75" s="3" t="inlineStr">
        <ns0:is>
          <ns0:t>C</ns0:t>
        </ns0:is>
      </ns0:c>
      <ns0:c r="D75" s="4" t="n">
        <ns0:v>0</ns0:v>
      </ns0:c>
      <ns0:c r="E75" s="4" t="n">
        <ns0:v>0</ns0:v>
      </ns0:c>
      <ns0:c r="F75" s="6" t="n">
        <ns0:v>0.4</ns0:v>
      </ns0:c>
      <ns0:c r="G75" s="4" t="n">
        <ns0:v>3</ns0:v>
      </ns0:c>
      <ns0:c r="H75" s="7" t="n">
        <ns0:v>1453.97</ns0:v>
      </ns0:c>
      <ns0:c r="I75" s="7" t="n">
        <ns0:v>1033.45</ns0:v>
      </ns0:c>
      <ns0:c r="J75" s="7" t="n">
        <ns0:v>413.38</ns0:v>
      </ns0:c>
      <ns0:c r="K75" s="18" t="inlineStr">
        <ns0:is>
          <ns0:t>範囲内なし</ns0:t>
        </ns0:is>
      </ns0:c>
      <ns0:c r="L75" s="18" t="inlineStr">
        <ns0:is>
          <ns0:t>範囲内なし</ns0:t>
        </ns0:is>
      </ns0:c>
      <ns0:c r="M75" s="7" t="n">
        <ns0:v>-35029.47238745677</ns0:v>
      </ns0:c>
      <ns0:c r="N75" s="7" t="n">
        <ns0:v>-49566.54790975472</ns0:v>
      </ns0:c>
      <ns0:c r="O75" s="7" t="n">
        <ns0:v>-59603.62343205266</ns0:v>
      </ns0:c>
      <ns0:c r="P75" s="7" t="n">
        <ns0:v>-84696.31223779754</ns0:v>
      </ns0:c>
      <ns0:c r="Q75" s="7" t="n">
        <ns0:v>-207067.067460777</ns0:v>
      </ns0:c>
      <ns0:c r="R75" s="7" t="n">
        <ns0:v>-588364.7107412054</ns0:v>
      </ns0:c>
    </ns0:row>
    <ns0:row r="76" ht="24" customHeight="1">
      <ns0:c r="A76" s="3" t="inlineStr">
        <ns0:is>
          <ns0:t>Sのみ</ns0:t>
        </ns0:is>
      </ns0:c>
      <ns0:c r="B76" s="3" t="inlineStr">
        <ns0:is>
          <ns0:t>G0基本5000比較</ns0:t>
        </ns0:is>
      </ns0:c>
      <ns0:c r="C76" s="3" t="inlineStr">
        <ns0:is>
          <ns0:t>C</ns0:t>
        </ns0:is>
      </ns0:c>
      <ns0:c r="D76" s="4" t="n">
        <ns0:v>0</ns0:v>
      </ns0:c>
      <ns0:c r="E76" s="4" t="n">
        <ns0:v>0</ns0:v>
      </ns0:c>
      <ns0:c r="F76" s="6" t="n">
        <ns0:v>0.5</ns0:v>
      </ns0:c>
      <ns0:c r="G76" s="4" t="n">
        <ns0:v>0</ns0:v>
      </ns0:c>
      <ns0:c r="H76" s="7" t="n">
        <ns0:v>1453.97</ns0:v>
      </ns0:c>
      <ns0:c r="I76" s="7" t="n">
        <ns0:v>1033.45</ns0:v>
      </ns0:c>
      <ns0:c r="J76" s="7" t="n">
        <ns0:v>516.725</ns0:v>
      </ns0:c>
      <ns0:c r="K76" s="7" t="n">
        <ns0:v>57</ns0:v>
      </ns0:c>
      <ns0:c r="L76" s="7" t="n">
        <ns0:v>57</ns0:v>
      </ns0:c>
      <ns0:c r="M76" s="7" t="n">
        <ns0:v>-23871.28708675874</ns0:v>
      </ns0:c>
      <ns0:c r="N76" s="7" t="n">
        <ns0:v>-16091.99200766063</ns0:v>
      </ns0:c>
      <ns0:c r="O76" s="7" t="n">
        <ns0:v>-3812.696928562513</ns0:v>
      </ns0:c>
      <ns0:c r="P76" s="7" t="n">
        <ns0:v>26885.54076918277</ns0:v>
      </ns0:c>
      <ns0:c r="Q76" s="7" t="n">
        <ns0:v>127678.4915601639</ns0:v>
      </ns0:c>
      <ns0:c r="R76" s="7" t="n">
        <ns0:v>527453.819328598</ns0:v>
      </ns0:c>
    </ns0:row>
    <ns0:row r="77" ht="24" customHeight="1">
      <ns0:c r="A77" s="3" t="inlineStr">
        <ns0:is>
          <ns0:t>Sのみ</ns0:t>
        </ns0:is>
      </ns0:c>
      <ns0:c r="B77" s="3" t="inlineStr">
        <ns0:is>
          <ns0:t>G0基本5000比較</ns0:t>
        </ns0:is>
      </ns0:c>
      <ns0:c r="C77" s="3" t="inlineStr">
        <ns0:is>
          <ns0:t>C</ns0:t>
        </ns0:is>
      </ns0:c>
      <ns0:c r="D77" s="4" t="n">
        <ns0:v>0</ns0:v>
      </ns0:c>
      <ns0:c r="E77" s="4" t="n">
        <ns0:v>0</ns0:v>
      </ns0:c>
      <ns0:c r="F77" s="6" t="n">
        <ns0:v>0.5</ns0:v>
      </ns0:c>
      <ns0:c r="G77" s="4" t="n">
        <ns0:v>1</ns0:v>
      </ns0:c>
      <ns0:c r="H77" s="7" t="n">
        <ns0:v>1453.97</ns0:v>
      </ns0:c>
      <ns0:c r="I77" s="7" t="n">
        <ns0:v>1033.45</ns0:v>
      </ns0:c>
      <ns0:c r="J77" s="7" t="n">
        <ns0:v>516.725</ns0:v>
      </ns0:c>
      <ns0:c r="K77" s="7" t="n">
        <ns0:v>230</ns0:v>
      </ns0:c>
      <ns0:c r="L77" s="7" t="n">
        <ns0:v>230</ns0:v>
      </ns0:c>
      <ns0:c r="M77" s="7" t="n">
        <ns0:v>-27551.12605367228</ns0:v>
      </ns0:c>
      <ns0:c r="N77" s="7" t="n">
        <ns0:v>-27131.50890840123</ns0:v>
      </ns0:c>
      <ns0:c r="O77" s="7" t="n">
        <ns0:v>-22211.89176313018</ns0:v>
      </ns0:c>
      <ns0:c r="P77" s="7" t="n">
        <ns0:v>-9912.848899952558</ns0:v>
      </ns0:c>
      <ns0:c r="Q77" s="7" t="n">
        <ns0:v>17283.32255275793</ns0:v>
      </ns0:c>
      <ns0:c r="R77" s="7" t="n">
        <ns0:v>159469.9226372445</ns0:v>
      </ns0:c>
    </ns0:row>
    <ns0:row r="78" ht="24" customHeight="1">
      <ns0:c r="A78" s="3" t="inlineStr">
        <ns0:is>
          <ns0:t>Sのみ</ns0:t>
        </ns0:is>
      </ns0:c>
      <ns0:c r="B78" s="3" t="inlineStr">
        <ns0:is>
          <ns0:t>G0基本5000比較</ns0:t>
        </ns0:is>
      </ns0:c>
      <ns0:c r="C78" s="3" t="inlineStr">
        <ns0:is>
          <ns0:t>C</ns0:t>
        </ns0:is>
      </ns0:c>
      <ns0:c r="D78" s="4" t="n">
        <ns0:v>0</ns0:v>
      </ns0:c>
      <ns0:c r="E78" s="4" t="n">
        <ns0:v>0</ns0:v>
      </ns0:c>
      <ns0:c r="F78" s="6" t="n">
        <ns0:v>0.5</ns0:v>
      </ns0:c>
      <ns0:c r="G78" s="4" t="n">
        <ns0:v>2</ns0:v>
      </ns0:c>
      <ns0:c r="H78" s="7" t="n">
        <ns0:v>1453.97</ns0:v>
      </ns0:c>
      <ns0:c r="I78" s="7" t="n">
        <ns0:v>1033.45</ns0:v>
      </ns0:c>
      <ns0:c r="J78" s="7" t="n">
        <ns0:v>516.725</ns0:v>
      </ns0:c>
      <ns0:c r="K78" s="18" t="inlineStr">
        <ns0:is>
          <ns0:t>範囲内なし</ns0:t>
        </ns0:is>
      </ns0:c>
      <ns0:c r="L78" s="18" t="inlineStr">
        <ns0:is>
          <ns0:t>範囲内なし</ns0:t>
        </ns0:is>
      </ns0:c>
      <ns0:c r="M78" s="7" t="n">
        <ns0:v>-45553.83844393898</ns0:v>
      </ns0:c>
      <ns0:c r="N78" s="7" t="n">
        <ns0:v>-81139.64607920134</ns0:v>
      </ns0:c>
      <ns0:c r="O78" s="7" t="n">
        <ns0:v>-112225.4537144637</ns0:v>
      </ns0:c>
      <ns0:c r="P78" s="7" t="n">
        <ns0:v>-189939.9728026196</ns0:v>
      </ns0:c>
      <ns0:c r="Q78" s="7" t="n">
        <ns0:v>-522798.0491552433</ns0:v>
      </ns0:c>
      <ns0:c r="R78" s="7" t="n">
        <ns0:v>-1640801.316389426</ns0:v>
      </ns0:c>
    </ns0:row>
    <ns0:row r="79" ht="24" customHeight="1">
      <ns0:c r="A79" s="3" t="inlineStr">
        <ns0:is>
          <ns0:t>Sのみ</ns0:t>
        </ns0:is>
      </ns0:c>
      <ns0:c r="B79" s="3" t="inlineStr">
        <ns0:is>
          <ns0:t>G0基本5000比較</ns0:t>
        </ns0:is>
      </ns0:c>
      <ns0:c r="C79" s="3" t="inlineStr">
        <ns0:is>
          <ns0:t>C</ns0:t>
        </ns0:is>
      </ns0:c>
      <ns0:c r="D79" s="4" t="n">
        <ns0:v>0</ns0:v>
      </ns0:c>
      <ns0:c r="E79" s="4" t="n">
        <ns0:v>0</ns0:v>
      </ns0:c>
      <ns0:c r="F79" s="6" t="n">
        <ns0:v>0.5</ns0:v>
      </ns0:c>
      <ns0:c r="G79" s="4" t="n">
        <ns0:v>3</ns0:v>
      </ns0:c>
      <ns0:c r="H79" s="7" t="n">
        <ns0:v>1453.97</ns0:v>
      </ns0:c>
      <ns0:c r="I79" s="7" t="n">
        <ns0:v>1033.45</ns0:v>
      </ns0:c>
      <ns0:c r="J79" s="7" t="n">
        <ns0:v>516.725</ns0:v>
      </ns0:c>
      <ns0:c r="K79" s="18" t="inlineStr">
        <ns0:is>
          <ns0:t>範囲内なし</ns0:t>
        </ns0:is>
      </ns0:c>
      <ns0:c r="L79" s="18" t="inlineStr">
        <ns0:is>
          <ns0:t>範囲内なし</ns0:t>
        </ns0:is>
      </ns0:c>
      <ns0:c r="M79" s="7" t="n">
        <ns0:v>-36062.92238745678</ns0:v>
      </ns0:c>
      <ns0:c r="N79" s="7" t="n">
        <ns0:v>-52666.89790975473</ns0:v>
      </ns0:c>
      <ns0:c r="O79" s="7" t="n">
        <ns0:v>-64770.87343205266</ns0:v>
      </ns0:c>
      <ns0:c r="P79" s="7" t="n">
        <ns0:v>-95030.81223779754</ns0:v>
      </ns0:c>
      <ns0:c r="Q79" s="7" t="n">
        <ns0:v>-238070.567460777</ns0:v>
      </ns0:c>
      <ns0:c r="R79" s="7" t="n">
        <ns0:v>-691709.7107412054</ns0:v>
      </ns0:c>
    </ns0:row>
    <ns0:row r="80" ht="24" customHeight="1">
      <ns0:c r="A80" s="3" t="inlineStr">
        <ns0:is>
          <ns0:t>Sのみ</ns0:t>
        </ns0:is>
      </ns0:c>
      <ns0:c r="B80" s="3" t="inlineStr">
        <ns0:is>
          <ns0:t>G0基本5000比較</ns0:t>
        </ns0:is>
      </ns0:c>
      <ns0:c r="C80" s="3" t="inlineStr">
        <ns0:is>
          <ns0:t>C</ns0:t>
        </ns0:is>
      </ns0:c>
      <ns0:c r="D80" s="4" t="n">
        <ns0:v>1</ns0:v>
      </ns0:c>
      <ns0:c r="E80" s="4" t="n">
        <ns0:v>0</ns0:v>
      </ns0:c>
      <ns0:c r="F80" s="6" t="n">
        <ns0:v>0.3</ns0:v>
      </ns0:c>
      <ns0:c r="G80" s="4" t="n">
        <ns0:v>0</ns0:v>
      </ns0:c>
      <ns0:c r="H80" s="7" t="n">
        <ns0:v>2378.643216080402</ns0:v>
      </ns0:c>
      <ns0:c r="I80" s="7" t="n">
        <ns0:v>1277.638190954774</ns0:v>
      </ns0:c>
      <ns0:c r="J80" s="7" t="n">
        <ns0:v>383.2914572864323</ns0:v>
      </ns0:c>
      <ns0:c r="K80" s="7" t="n">
        <ns0:v>22</ns0:v>
      </ns0:c>
      <ns0:c r="L80" s="7" t="n">
        <ns0:v>22</ns0:v>
      </ns0:c>
      <ns0:c r="M80" s="7" t="n">
        <ns0:v>-13961.90944815795</ns0:v>
      </ns0:c>
      <ns0:c r="N80" s="7" t="n">
        <ns0:v>13636.14090814172</ns0:v>
      </ns0:c>
      <ns0:c r="O80" s="7" t="n">
        <ns0:v>45734.1912644414</ns0:v>
      </ns0:c>
      <ns0:c r="P80" s="7" t="n">
        <ns0:v>125979.3171551906</ns0:v>
      </ns0:c>
      <ns0:c r="Q80" s="7" t="n">
        <ns0:v>424959.8207181875</ns0:v>
      </ns0:c>
      <ns0:c r="R80" s="7" t="n">
        <ns0:v>1518391.583188676</ns0:v>
      </ns0:c>
    </ns0:row>
    <ns0:row r="81" ht="24" customHeight="1">
      <ns0:c r="A81" s="3" t="inlineStr">
        <ns0:is>
          <ns0:t>Sのみ</ns0:t>
        </ns0:is>
      </ns0:c>
      <ns0:c r="B81" s="3" t="inlineStr">
        <ns0:is>
          <ns0:t>G0基本5000比較</ns0:t>
        </ns0:is>
      </ns0:c>
      <ns0:c r="C81" s="3" t="inlineStr">
        <ns0:is>
          <ns0:t>C</ns0:t>
        </ns0:is>
      </ns0:c>
      <ns0:c r="D81" s="4" t="n">
        <ns0:v>1</ns0:v>
      </ns0:c>
      <ns0:c r="E81" s="4" t="n">
        <ns0:v>0</ns0:v>
      </ns0:c>
      <ns0:c r="F81" s="6" t="n">
        <ns0:v>0.3</ns0:v>
      </ns0:c>
      <ns0:c r="G81" s="4" t="n">
        <ns0:v>1</ns0:v>
      </ns0:c>
      <ns0:c r="H81" s="7" t="n">
        <ns0:v>2378.643216080402</ns0:v>
      </ns0:c>
      <ns0:c r="I81" s="7" t="n">
        <ns0:v>1277.638190954774</ns0:v>
      </ns0:c>
      <ns0:c r="J81" s="7" t="n">
        <ns0:v>383.2914572864323</ns0:v>
      </ns0:c>
      <ns0:c r="K81" s="7" t="n">
        <ns0:v>30</ns0:v>
      </ns0:c>
      <ns0:c r="L81" s="7" t="n">
        <ns0:v>30</ns0:v>
      </ns0:c>
      <ns0:c r="M81" s="7" t="n">
        <ns0:v>-18202.46346970146</ns0:v>
      </ns0:c>
      <ns0:c r="N81" s="7" t="n">
        <ns0:v>914.4788435112205</ns0:v>
      </ns0:c>
      <ns0:c r="O81" s="7" t="n">
        <ns0:v>24531.42115672389</ns0:v>
      </ns0:c>
      <ns0:c r="P81" s="7" t="n">
        <ns0:v>83573.77693975557</ns0:v>
      </ns0:c>
      <ns0:c r="Q81" s="7" t="n">
        <ns0:v>297743.2000718824</ns0:v>
      </ns0:c>
      <ns0:c r="R81" s="7" t="n">
        <ns0:v>1094336.181034326</ns0:v>
      </ns0:c>
    </ns0:row>
    <ns0:row r="82" ht="24" customHeight="1">
      <ns0:c r="A82" s="3" t="inlineStr">
        <ns0:is>
          <ns0:t>Sのみ</ns0:t>
        </ns0:is>
      </ns0:c>
      <ns0:c r="B82" s="3" t="inlineStr">
        <ns0:is>
          <ns0:t>G0基本5000比較</ns0:t>
        </ns0:is>
      </ns0:c>
      <ns0:c r="C82" s="3" t="inlineStr">
        <ns0:is>
          <ns0:t>C</ns0:t>
        </ns0:is>
      </ns0:c>
      <ns0:c r="D82" s="4" t="n">
        <ns0:v>1</ns0:v>
      </ns0:c>
      <ns0:c r="E82" s="4" t="n">
        <ns0:v>0</ns0:v>
      </ns0:c>
      <ns0:c r="F82" s="6" t="n">
        <ns0:v>0.3</ns0:v>
      </ns0:c>
      <ns0:c r="G82" s="4" t="n">
        <ns0:v>2</ns0:v>
      </ns0:c>
      <ns0:c r="H82" s="7" t="n">
        <ns0:v>2378.643216080402</ns0:v>
      </ns0:c>
      <ns0:c r="I82" s="7" t="n">
        <ns0:v>1277.638190954774</ns0:v>
      </ns0:c>
      <ns0:c r="J82" s="7" t="n">
        <ns0:v>383.2914572864323</ns0:v>
      </ns0:c>
      <ns0:c r="K82" s="18" t="inlineStr">
        <ns0:is>
          <ns0:t>範囲内なし</ns0:t>
        </ns0:is>
      </ns0:c>
      <ns0:c r="L82" s="18" t="inlineStr">
        <ns0:is>
          <ns0:t>範囲内なし</ns0:t>
        </ns0:is>
      </ns0:c>
      <ns0:c r="M82" s="7" t="n">
        <ns0:v>-52391.55461059849</ns0:v>
      </ns0:c>
      <ns0:c r="N82" s="7" t="n">
        <ns0:v>-101652.7945791799</ns0:v>
      </ns0:c>
      <ns0:c r="O82" s="7" t="n">
        <ns0:v>-146414.0345477613</ns0:v>
      </ns0:c>
      <ns0:c r="P82" s="7" t="n">
        <ns0:v>-258317.1344692147</ns0:v>
      </ns0:c>
      <ns0:c r="Q82" s="7" t="n">
        <ns0:v>-727929.5341550285</ns0:v>
      </ns0:c>
      <ns0:c r="R82" s="7" t="n">
        <ns0:v>-2324572.933055378</ns0:v>
      </ns0:c>
    </ns0:row>
    <ns0:row r="83" ht="24" customHeight="1">
      <ns0:c r="A83" s="3" t="inlineStr">
        <ns0:is>
          <ns0:t>Sのみ</ns0:t>
        </ns0:is>
      </ns0:c>
      <ns0:c r="B83" s="3" t="inlineStr">
        <ns0:is>
          <ns0:t>G0基本5000比較</ns0:t>
        </ns0:is>
      </ns0:c>
      <ns0:c r="C83" s="3" t="inlineStr">
        <ns0:is>
          <ns0:t>C</ns0:t>
        </ns0:is>
      </ns0:c>
      <ns0:c r="D83" s="4" t="n">
        <ns0:v>1</ns0:v>
      </ns0:c>
      <ns0:c r="E83" s="4" t="n">
        <ns0:v>0</ns0:v>
      </ns0:c>
      <ns0:c r="F83" s="6" t="n">
        <ns0:v>0.3</ns0:v>
      </ns0:c>
      <ns0:c r="G83" s="4" t="n">
        <ns0:v>3</ns0:v>
      </ns0:c>
      <ns0:c r="H83" s="7" t="n">
        <ns0:v>2378.643216080402</ns0:v>
      </ns0:c>
      <ns0:c r="I83" s="7" t="n">
        <ns0:v>1277.638190954774</ns0:v>
      </ns0:c>
      <ns0:c r="J83" s="7" t="n">
        <ns0:v>383.2914572864323</ns0:v>
      </ns0:c>
      <ns0:c r="K83" s="7" t="n">
        <ns0:v>229</ns0:v>
      </ns0:c>
      <ns0:c r="L83" s="7" t="n">
        <ns0:v>229</ns0:v>
      </ns0:c>
      <ns0:c r="M83" s="7" t="n">
        <ns0:v>-27542.44809668139</ns0:v>
      </ns0:c>
      <ns0:c r="N83" s="7" t="n">
        <ns0:v>-27105.47503742857</ns0:v>
      </ns0:c>
      <ns0:c r="O83" s="7" t="n">
        <ns0:v>-22168.50197817577</ns0:v>
      </ns0:c>
      <ns0:c r="P83" s="7" t="n">
        <ns0:v>-9826.069330043734</ns0:v>
      </ns0:c>
      <ns0:c r="Q83" s="7" t="n">
        <ns0:v>17543.66126248445</ns0:v>
      </ns0:c>
      <ns0:c r="R83" s="7" t="n">
        <ns0:v>160337.7183363326</ns0:v>
      </ns0:c>
    </ns0:row>
    <ns0:row r="84" ht="24" customHeight="1">
      <ns0:c r="A84" s="3" t="inlineStr">
        <ns0:is>
          <ns0:t>Sのみ</ns0:t>
        </ns0:is>
      </ns0:c>
      <ns0:c r="B84" s="3" t="inlineStr">
        <ns0:is>
          <ns0:t>G0基本5000比較</ns0:t>
        </ns0:is>
      </ns0:c>
      <ns0:c r="C84" s="3" t="inlineStr">
        <ns0:is>
          <ns0:t>C</ns0:t>
        </ns0:is>
      </ns0:c>
      <ns0:c r="D84" s="4" t="n">
        <ns0:v>1</ns0:v>
      </ns0:c>
      <ns0:c r="E84" s="4" t="n">
        <ns0:v>0</ns0:v>
      </ns0:c>
      <ns0:c r="F84" s="6" t="n">
        <ns0:v>0.4</ns0:v>
      </ns0:c>
      <ns0:c r="G84" s="4" t="n">
        <ns0:v>0</ns0:v>
      </ns0:c>
      <ns0:c r="H84" s="7" t="n">
        <ns0:v>2378.643216080402</ns0:v>
      </ns0:c>
      <ns0:c r="I84" s="7" t="n">
        <ns0:v>1277.638190954774</ns0:v>
      </ns0:c>
      <ns0:c r="J84" s="7" t="n">
        <ns0:v>511.0552763819097</ns0:v>
      </ns0:c>
      <ns0:c r="K84" s="7" t="n">
        <ns0:v>24</ns0:v>
      </ns0:c>
      <ns0:c r="L84" s="7" t="n">
        <ns0:v>24</ns0:v>
      </ns0:c>
      <ns0:c r="M84" s="7" t="n">
        <ns0:v>-15239.54763911273</ns0:v>
      </ns0:c>
      <ns0:c r="N84" s="7" t="n">
        <ns0:v>9803.226335277395</ns0:v>
      </ns0:c>
      <ns0:c r="O84" s="7" t="n">
        <ns0:v>39346.00030966753</ns0:v>
      </ns0:c>
      <ns0:c r="P84" s="7" t="n">
        <ns0:v>113202.9352456428</ns0:v>
      </ns0:c>
      <ns0:c r="Q84" s="7" t="n">
        <ns0:v>386630.6749895442</ns0:v>
      </ns0:c>
      <ns0:c r="R84" s="7" t="n">
        <ns0:v>1390627.764093199</ns0:v>
      </ns0:c>
    </ns0:row>
    <ns0:row r="85" ht="24" customHeight="1">
      <ns0:c r="A85" s="3" t="inlineStr">
        <ns0:is>
          <ns0:t>Sのみ</ns0:t>
        </ns0:is>
      </ns0:c>
      <ns0:c r="B85" s="3" t="inlineStr">
        <ns0:is>
          <ns0:t>G0基本5000比較</ns0:t>
        </ns0:is>
      </ns0:c>
      <ns0:c r="C85" s="3" t="inlineStr">
        <ns0:is>
          <ns0:t>C</ns0:t>
        </ns0:is>
      </ns0:c>
      <ns0:c r="D85" s="4" t="n">
        <ns0:v>1</ns0:v>
      </ns0:c>
      <ns0:c r="E85" s="4" t="n">
        <ns0:v>0</ns0:v>
      </ns0:c>
      <ns0:c r="F85" s="6" t="n">
        <ns0:v>0.4</ns0:v>
      </ns0:c>
      <ns0:c r="G85" s="4" t="n">
        <ns0:v>1</ns0:v>
      </ns0:c>
      <ns0:c r="H85" s="7" t="n">
        <ns0:v>2378.643216080402</ns0:v>
      </ns0:c>
      <ns0:c r="I85" s="7" t="n">
        <ns0:v>1277.638190954774</ns0:v>
      </ns0:c>
      <ns0:c r="J85" s="7" t="n">
        <ns0:v>511.0552763819097</ns0:v>
      </ns0:c>
      <ns0:c r="K85" s="7" t="n">
        <ns0:v>33</ns0:v>
      </ns0:c>
      <ns0:c r="L85" s="7" t="n">
        <ns0:v>33</ns0:v>
      </ns0:c>
      <ns0:c r="M85" s="7" t="n">
        <ns0:v>-19480.10166065623</ns0:v>
      </ns0:c>
      <ns0:c r="N85" s="7" t="n">
        <ns0:v>-2918.43572935311</ns0:v>
      </ns0:c>
      <ns0:c r="O85" s="7" t="n">
        <ns0:v>18143.23020195001</ns0:v>
      </ns0:c>
      <ns0:c r="P85" s="7" t="n">
        <ns0:v>70797.39503020782</ns0:v>
      </ns0:c>
      <ns0:c r="Q85" s="7" t="n">
        <ns0:v>259414.0543432391</ns0:v>
      </ns0:c>
      <ns0:c r="R85" s="7" t="n">
        <ns0:v>966572.3619388484</ns0:v>
      </ns0:c>
    </ns0:row>
    <ns0:row r="86" ht="24" customHeight="1">
      <ns0:c r="A86" s="3" t="inlineStr">
        <ns0:is>
          <ns0:t>Sのみ</ns0:t>
        </ns0:is>
      </ns0:c>
      <ns0:c r="B86" s="3" t="inlineStr">
        <ns0:is>
          <ns0:t>G0基本5000比較</ns0:t>
        </ns0:is>
      </ns0:c>
      <ns0:c r="C86" s="3" t="inlineStr">
        <ns0:is>
          <ns0:t>C</ns0:t>
        </ns0:is>
      </ns0:c>
      <ns0:c r="D86" s="4" t="n">
        <ns0:v>1</ns0:v>
      </ns0:c>
      <ns0:c r="E86" s="4" t="n">
        <ns0:v>0</ns0:v>
      </ns0:c>
      <ns0:c r="F86" s="6" t="n">
        <ns0:v>0.4</ns0:v>
      </ns0:c>
      <ns0:c r="G86" s="4" t="n">
        <ns0:v>2</ns0:v>
      </ns0:c>
      <ns0:c r="H86" s="7" t="n">
        <ns0:v>2378.643216080402</ns0:v>
      </ns0:c>
      <ns0:c r="I86" s="7" t="n">
        <ns0:v>1277.638190954774</ns0:v>
      </ns0:c>
      <ns0:c r="J86" s="7" t="n">
        <ns0:v>511.0552763819097</ns0:v>
      </ns0:c>
      <ns0:c r="K86" s="18" t="inlineStr">
        <ns0:is>
          <ns0:t>範囲内なし</ns0:t>
        </ns0:is>
      </ns0:c>
      <ns0:c r="L86" s="18" t="inlineStr">
        <ns0:is>
          <ns0:t>範囲内なし</ns0:t>
        </ns0:is>
      </ns0:c>
      <ns0:c r="M86" s="7" t="n">
        <ns0:v>-53669.19280155326</ns0:v>
      </ns0:c>
      <ns0:c r="N86" s="7" t="n">
        <ns0:v>-105485.7091520442</ns0:v>
      </ns0:c>
      <ns0:c r="O86" s="7" t="n">
        <ns0:v>-152802.2255025351</ns0:v>
      </ns0:c>
      <ns0:c r="P86" s="7" t="n">
        <ns0:v>-271093.5163787625</ns0:v>
      </ns0:c>
      <ns0:c r="Q86" s="7" t="n">
        <ns0:v>-766258.6798836718</ns0:v>
      </ns0:c>
      <ns0:c r="R86" s="7" t="n">
        <ns0:v>-2452336.752150855</ns0:v>
      </ns0:c>
    </ns0:row>
    <ns0:row r="87" ht="24" customHeight="1">
      <ns0:c r="A87" s="3" t="inlineStr">
        <ns0:is>
          <ns0:t>Sのみ</ns0:t>
        </ns0:is>
      </ns0:c>
      <ns0:c r="B87" s="3" t="inlineStr">
        <ns0:is>
          <ns0:t>G0基本5000比較</ns0:t>
        </ns0:is>
      </ns0:c>
      <ns0:c r="C87" s="3" t="inlineStr">
        <ns0:is>
          <ns0:t>C</ns0:t>
        </ns0:is>
      </ns0:c>
      <ns0:c r="D87" s="4" t="n">
        <ns0:v>1</ns0:v>
      </ns0:c>
      <ns0:c r="E87" s="4" t="n">
        <ns0:v>0</ns0:v>
      </ns0:c>
      <ns0:c r="F87" s="6" t="n">
        <ns0:v>0.4</ns0:v>
      </ns0:c>
      <ns0:c r="G87" s="4" t="n">
        <ns0:v>3</ns0:v>
      </ns0:c>
      <ns0:c r="H87" s="7" t="n">
        <ns0:v>2378.643216080402</ns0:v>
      </ns0:c>
      <ns0:c r="I87" s="7" t="n">
        <ns0:v>1277.638190954774</ns0:v>
      </ns0:c>
      <ns0:c r="J87" s="7" t="n">
        <ns0:v>511.0552763819097</ns0:v>
      </ns0:c>
      <ns0:c r="K87" s="7" t="n">
        <ns0:v>727</ns0:v>
      </ns0:c>
      <ns0:c r="L87" s="7" t="n">
        <ns0:v>727</ns0:v>
      </ns0:c>
      <ns0:c r="M87" s="7" t="n">
        <ns0:v>-28820.08628763616</ns0:v>
      </ns0:c>
      <ns0:c r="N87" s="7" t="n">
        <ns0:v>-30938.38961029291</ns0:v>
      </ns0:c>
      <ns0:c r="O87" s="7" t="n">
        <ns0:v>-28556.69293294964</ns0:v>
      </ns0:c>
      <ns0:c r="P87" s="7" t="n">
        <ns0:v>-22602.45123959149</ns0:v>
      </ns0:c>
      <ns0:c r="Q87" s="7" t="n">
        <ns0:v>-20785.48446615884</ns0:v>
      </ns0:c>
      <ns0:c r="R87" s="7" t="n">
        <ns0:v>32573.89924085513</ns0:v>
      </ns0:c>
    </ns0:row>
    <ns0:row r="88" ht="24" customHeight="1">
      <ns0:c r="A88" s="3" t="inlineStr">
        <ns0:is>
          <ns0:t>Sのみ</ns0:t>
        </ns0:is>
      </ns0:c>
      <ns0:c r="B88" s="3" t="inlineStr">
        <ns0:is>
          <ns0:t>G0基本5000比較</ns0:t>
        </ns0:is>
      </ns0:c>
      <ns0:c r="C88" s="3" t="inlineStr">
        <ns0:is>
          <ns0:t>C</ns0:t>
        </ns0:is>
      </ns0:c>
      <ns0:c r="D88" s="4" t="n">
        <ns0:v>1</ns0:v>
      </ns0:c>
      <ns0:c r="E88" s="4" t="n">
        <ns0:v>0</ns0:v>
      </ns0:c>
      <ns0:c r="F88" s="6" t="n">
        <ns0:v>0.5</ns0:v>
      </ns0:c>
      <ns0:c r="G88" s="4" t="n">
        <ns0:v>0</ns0:v>
      </ns0:c>
      <ns0:c r="H88" s="7" t="n">
        <ns0:v>2378.643216080402</ns0:v>
      </ns0:c>
      <ns0:c r="I88" s="7" t="n">
        <ns0:v>1277.638190954774</ns0:v>
      </ns0:c>
      <ns0:c r="J88" s="7" t="n">
        <ns0:v>638.8190954773871</ns0:v>
      </ns0:c>
      <ns0:c r="K88" s="7" t="n">
        <ns0:v>26</ns0:v>
      </ns0:c>
      <ns0:c r="L88" s="7" t="n">
        <ns0:v>26</ns0:v>
      </ns0:c>
      <ns0:c r="M88" s="7" t="n">
        <ns0:v>-16517.1858300675</ns0:v>
      </ns0:c>
      <ns0:c r="N88" s="7" t="n">
        <ns0:v>5970.311762413075</ns0:v>
      </ns0:c>
      <ns0:c r="O88" s="7" t="n">
        <ns0:v>32957.80935489367</ns0:v>
      </ns0:c>
      <ns0:c r="P88" s="7" t="n">
        <ns0:v>100426.5533360951</ns0:v>
      </ns0:c>
      <ns0:c r="Q88" s="7" t="n">
        <ns0:v>348301.5292609009</ns0:v>
      </ns0:c>
      <ns0:c r="R88" s="7" t="n">
        <ns0:v>1262863.944997721</ns0:v>
      </ns0:c>
    </ns0:row>
    <ns0:row r="89" ht="24" customHeight="1">
      <ns0:c r="A89" s="3" t="inlineStr">
        <ns0:is>
          <ns0:t>Sのみ</ns0:t>
        </ns0:is>
      </ns0:c>
      <ns0:c r="B89" s="3" t="inlineStr">
        <ns0:is>
          <ns0:t>G0基本5000比較</ns0:t>
        </ns0:is>
      </ns0:c>
      <ns0:c r="C89" s="3" t="inlineStr">
        <ns0:is>
          <ns0:t>C</ns0:t>
        </ns0:is>
      </ns0:c>
      <ns0:c r="D89" s="4" t="n">
        <ns0:v>1</ns0:v>
      </ns0:c>
      <ns0:c r="E89" s="4" t="n">
        <ns0:v>0</ns0:v>
      </ns0:c>
      <ns0:c r="F89" s="6" t="n">
        <ns0:v>0.5</ns0:v>
      </ns0:c>
      <ns0:c r="G89" s="4" t="n">
        <ns0:v>1</ns0:v>
      </ns0:c>
      <ns0:c r="H89" s="7" t="n">
        <ns0:v>2378.643216080402</ns0:v>
      </ns0:c>
      <ns0:c r="I89" s="7" t="n">
        <ns0:v>1277.638190954774</ns0:v>
      </ns0:c>
      <ns0:c r="J89" s="7" t="n">
        <ns0:v>638.8190954773871</ns0:v>
      </ns0:c>
      <ns0:c r="K89" s="7" t="n">
        <ns0:v>38</ns0:v>
      </ns0:c>
      <ns0:c r="L89" s="7" t="n">
        <ns0:v>38</ns0:v>
      </ns0:c>
      <ns0:c r="M89" s="7" t="n">
        <ns0:v>-20757.739851611</ns0:v>
      </ns0:c>
      <ns0:c r="N89" s="7" t="n">
        <ns0:v>-6751.35030221743</ns0:v>
      </ns0:c>
      <ns0:c r="O89" s="7" t="n">
        <ns0:v>11755.03924717615</ns0:v>
      </ns0:c>
      <ns0:c r="P89" s="7" t="n">
        <ns0:v>58021.0131206601</ns0:v>
      </ns0:c>
      <ns0:c r="Q89" s="7" t="n">
        <ns0:v>221084.9086145959</ns0:v>
      </ns0:c>
      <ns0:c r="R89" s="7" t="n">
        <ns0:v>838808.5428433709</ns0:v>
      </ns0:c>
    </ns0:row>
    <ns0:row r="90" ht="24" customHeight="1">
      <ns0:c r="A90" s="3" t="inlineStr">
        <ns0:is>
          <ns0:t>Sのみ</ns0:t>
        </ns0:is>
      </ns0:c>
      <ns0:c r="B90" s="3" t="inlineStr">
        <ns0:is>
          <ns0:t>G0基本5000比較</ns0:t>
        </ns0:is>
      </ns0:c>
      <ns0:c r="C90" s="3" t="inlineStr">
        <ns0:is>
          <ns0:t>C</ns0:t>
        </ns0:is>
      </ns0:c>
      <ns0:c r="D90" s="4" t="n">
        <ns0:v>1</ns0:v>
      </ns0:c>
      <ns0:c r="E90" s="4" t="n">
        <ns0:v>0</ns0:v>
      </ns0:c>
      <ns0:c r="F90" s="6" t="n">
        <ns0:v>0.5</ns0:v>
      </ns0:c>
      <ns0:c r="G90" s="4" t="n">
        <ns0:v>2</ns0:v>
      </ns0:c>
      <ns0:c r="H90" s="7" t="n">
        <ns0:v>2378.643216080402</ns0:v>
      </ns0:c>
      <ns0:c r="I90" s="7" t="n">
        <ns0:v>1277.638190954774</ns0:v>
      </ns0:c>
      <ns0:c r="J90" s="7" t="n">
        <ns0:v>638.8190954773871</ns0:v>
      </ns0:c>
      <ns0:c r="K90" s="18" t="inlineStr">
        <ns0:is>
          <ns0:t>範囲内なし</ns0:t>
        </ns0:is>
      </ns0:c>
      <ns0:c r="L90" s="18" t="inlineStr">
        <ns0:is>
          <ns0:t>範囲内なし</ns0:t>
        </ns0:is>
      </ns0:c>
      <ns0:c r="M90" s="7" t="n">
        <ns0:v>-54946.83099250804</ns0:v>
      </ns0:c>
      <ns0:c r="N90" s="7" t="n">
        <ns0:v>-109318.6237249085</ns0:v>
      </ns0:c>
      <ns0:c r="O90" s="7" t="n">
        <ns0:v>-159190.416457309</ns0:v>
      </ns0:c>
      <ns0:c r="P90" s="7" t="n">
        <ns0:v>-283869.8982883102</ns0:v>
      </ns0:c>
      <ns0:c r="Q90" s="7" t="n">
        <ns0:v>-804587.825612315</ns0:v>
      </ns0:c>
      <ns0:c r="R90" s="7" t="n">
        <ns0:v>-2580100.571246332</ns0:v>
      </ns0:c>
    </ns0:row>
    <ns0:row r="91" ht="24" customHeight="1">
      <ns0:c r="A91" s="3" t="inlineStr">
        <ns0:is>
          <ns0:t>Sのみ</ns0:t>
        </ns0:is>
      </ns0:c>
      <ns0:c r="B91" s="3" t="inlineStr">
        <ns0:is>
          <ns0:t>G0基本5000比較</ns0:t>
        </ns0:is>
      </ns0:c>
      <ns0:c r="C91" s="3" t="inlineStr">
        <ns0:is>
          <ns0:t>C</ns0:t>
        </ns0:is>
      </ns0:c>
      <ns0:c r="D91" s="4" t="n">
        <ns0:v>1</ns0:v>
      </ns0:c>
      <ns0:c r="E91" s="4" t="n">
        <ns0:v>0</ns0:v>
      </ns0:c>
      <ns0:c r="F91" s="6" t="n">
        <ns0:v>0.5</ns0:v>
      </ns0:c>
      <ns0:c r="G91" s="4" t="n">
        <ns0:v>3</ns0:v>
      </ns0:c>
      <ns0:c r="H91" s="7" t="n">
        <ns0:v>2378.643216080402</ns0:v>
      </ns0:c>
      <ns0:c r="I91" s="7" t="n">
        <ns0:v>1277.638190954774</ns0:v>
      </ns0:c>
      <ns0:c r="J91" s="7" t="n">
        <ns0:v>638.8190954773871</ns0:v>
      </ns0:c>
      <ns0:c r="K91" s="18" t="inlineStr">
        <ns0:is>
          <ns0:t>範囲内なし</ns0:t>
        </ns0:is>
      </ns0:c>
      <ns0:c r="L91" s="18" t="inlineStr">
        <ns0:is>
          <ns0:t>範囲内なし</ns0:t>
        </ns0:is>
      </ns0:c>
      <ns0:c r="M91" s="7" t="n">
        <ns0:v>-30097.72447859094</ns0:v>
      </ns0:c>
      <ns0:c r="N91" s="7" t="n">
        <ns0:v>-34771.30418315723</ns0:v>
      </ns0:c>
      <ns0:c r="O91" s="7" t="n">
        <ns0:v>-34944.8838877235</ns0:v>
      </ns0:c>
      <ns0:c r="P91" s="7" t="n">
        <ns0:v>-35378.83314913921</ns0:v>
      </ns0:c>
      <ns0:c r="Q91" s="7" t="n">
        <ns0:v>-59114.63019480206</ns0:v>
      </ns0:c>
      <ns0:c r="R91" s="7" t="n">
        <ns0:v>-95189.91985462233</ns0:v>
      </ns0:c>
    </ns0:row>
    <ns0:row r="92" ht="24" customHeight="1">
      <ns0:c r="A92" s="3" t="inlineStr">
        <ns0:is>
          <ns0:t>Sのみ</ns0:t>
        </ns0:is>
      </ns0:c>
      <ns0:c r="B92" s="3" t="inlineStr">
        <ns0:is>
          <ns0:t>G0基本5000比較</ns0:t>
        </ns0:is>
      </ns0:c>
      <ns0:c r="C92" s="3" t="inlineStr">
        <ns0:is>
          <ns0:t>C</ns0:t>
        </ns0:is>
      </ns0:c>
      <ns0:c r="D92" s="4" t="n">
        <ns0:v>2</ns0:v>
      </ns0:c>
      <ns0:c r="E92" s="4" t="n">
        <ns0:v>0</ns0:v>
      </ns0:c>
      <ns0:c r="F92" s="6" t="n">
        <ns0:v>0.3</ns0:v>
      </ns0:c>
      <ns0:c r="G92" s="4" t="n">
        <ns0:v>0</ns0:v>
      </ns0:c>
      <ns0:c r="H92" s="7" t="n">
        <ns0:v>4240.805785123966</ns0:v>
      </ns0:c>
      <ns0:c r="I92" s="7" t="n">
        <ns0:v>1862.086776859504</ns0:v>
      </ns0:c>
      <ns0:c r="J92" s="7" t="n">
        <ns0:v>558.6260330578513</ns0:v>
      </ns0:c>
      <ns0:c r="K92" s="7" t="n">
        <ns0:v>10</ns0:v>
      </ns0:c>
      <ns0:c r="L92" s="7" t="n">
        <ns0:v>10</ns0:v>
      </ns0:c>
      <ns0:c r="M92" s="7" t="n">
        <ns0:v>1599.829250268223</ns0:v>
      </ns0:c>
      <ns0:c r="N92" s="7" t="n">
        <ns0:v>60321.35700342026</ns0:v>
      </ns0:c>
      <ns0:c r="O92" s="7" t="n">
        <ns0:v>123542.8847565723</ns0:v>
      </ns0:c>
      <ns0:c r="P92" s="7" t="n">
        <ns0:v>281596.7041394524</ns0:v>
      </ns0:c>
      <ns0:c r="Q92" s="7" t="n">
        <ns0:v>891811.9816709728</ns0:v>
      </ns0:c>
      <ns0:c r="R92" s="7" t="n">
        <ns0:v>3074565.453031294</ns0:v>
      </ns0:c>
    </ns0:row>
    <ns0:row r="93" ht="24" customHeight="1">
      <ns0:c r="A93" s="3" t="inlineStr">
        <ns0:is>
          <ns0:t>Sのみ</ns0:t>
        </ns0:is>
      </ns0:c>
      <ns0:c r="B93" s="3" t="inlineStr">
        <ns0:is>
          <ns0:t>G0基本5000比較</ns0:t>
        </ns0:is>
      </ns0:c>
      <ns0:c r="C93" s="3" t="inlineStr">
        <ns0:is>
          <ns0:t>C</ns0:t>
        </ns0:is>
      </ns0:c>
      <ns0:c r="D93" s="4" t="n">
        <ns0:v>2</ns0:v>
      </ns0:c>
      <ns0:c r="E93" s="4" t="n">
        <ns0:v>0</ns0:v>
      </ns0:c>
      <ns0:c r="F93" s="6" t="n">
        <ns0:v>0.3</ns0:v>
      </ns0:c>
      <ns0:c r="G93" s="4" t="n">
        <ns0:v>1</ns0:v>
      </ns0:c>
      <ns0:c r="H93" s="7" t="n">
        <ns0:v>4240.805785123966</ns0:v>
      </ns0:c>
      <ns0:c r="I93" s="7" t="n">
        <ns0:v>1862.086776859504</ns0:v>
      </ns0:c>
      <ns0:c r="J93" s="7" t="n">
        <ns0:v>558.6260330578513</ns0:v>
      </ns0:c>
      <ns0:c r="K93" s="7" t="n">
        <ns0:v>14</ns0:v>
      </ns0:c>
      <ns0:c r="L93" s="7" t="n">
        <ns0:v>14</ns0:v>
      </ns0:c>
      <ns0:c r="M93" s="7" t="n">
        <ns0:v>-3693.552444779049</ns0:v>
      </ns0:c>
      <ns0:c r="N93" s="7" t="n">
        <ns0:v>44441.21191827846</ns0:v>
      </ns0:c>
      <ns0:c r="O93" s="7" t="n">
        <ns0:v>97075.97628133593</ns0:v>
      </ns0:c>
      <ns0:c r="P93" s="7" t="n">
        <ns0:v>228662.8871889797</ns0:v>
      </ns0:c>
      <ns0:c r="Q93" s="7" t="n">
        <ns0:v>733010.5308195546</ns0:v>
      </ns0:c>
      <ns0:c r="R93" s="7" t="n">
        <ns0:v>2545227.283526567</ns0:v>
      </ns0:c>
    </ns0:row>
    <ns0:row r="94" ht="24" customHeight="1">
      <ns0:c r="A94" s="3" t="inlineStr">
        <ns0:is>
          <ns0:t>Sのみ</ns0:t>
        </ns0:is>
      </ns0:c>
      <ns0:c r="B94" s="3" t="inlineStr">
        <ns0:is>
          <ns0:t>G0基本5000比較</ns0:t>
        </ns0:is>
      </ns0:c>
      <ns0:c r="C94" s="3" t="inlineStr">
        <ns0:is>
          <ns0:t>C</ns0:t>
        </ns0:is>
      </ns0:c>
      <ns0:c r="D94" s="4" t="n">
        <ns0:v>2</ns0:v>
      </ns0:c>
      <ns0:c r="E94" s="4" t="n">
        <ns0:v>0</ns0:v>
      </ns0:c>
      <ns0:c r="F94" s="6" t="n">
        <ns0:v>0.3</ns0:v>
      </ns0:c>
      <ns0:c r="G94" s="4" t="n">
        <ns0:v>2</ns0:v>
      </ns0:c>
      <ns0:c r="H94" s="7" t="n">
        <ns0:v>4240.805785123966</ns0:v>
      </ns0:c>
      <ns0:c r="I94" s="7" t="n">
        <ns0:v>1862.086776859504</ns0:v>
      </ns0:c>
      <ns0:c r="J94" s="7" t="n">
        <ns0:v>558.6260330578513</ns0:v>
      </ns0:c>
      <ns0:c r="K94" s="18" t="inlineStr">
        <ns0:is>
          <ns0:t>範囲内なし</ns0:t>
        </ns0:is>
      </ns0:c>
      <ns0:c r="L94" s="18" t="inlineStr">
        <ns0:is>
          <ns0:t>範囲内なし</ns0:t>
        </ns0:is>
      </ns0:c>
      <ns0:c r="M94" s="7" t="n">
        <ns0:v>-68275.02799155413</ns0:v>
      </ns0:c>
      <ns0:c r="N94" s="7" t="n">
        <ns0:v>-149303.2147220468</ns0:v>
      </ns0:c>
      <ns0:c r="O94" s="7" t="n">
        <ns0:v>-225831.4014525395</ns0:v>
      </ns0:c>
      <ns0:c r="P94" s="7" t="n">
        <ns0:v>-417151.8682787712</ns0:v>
      </ns0:c>
      <ns0:c r="Q94" s="7" t="n">
        <ns0:v>-1204433.735583698</ns0:v>
      </ns0:c>
      <ns0:c r="R94" s="7" t="n">
        <ns0:v>-3912920.271150941</ns0:v>
      </ns0:c>
    </ns0:row>
    <ns0:row r="95" ht="24" customHeight="1">
      <ns0:c r="A95" s="3" t="inlineStr">
        <ns0:is>
          <ns0:t>Sのみ</ns0:t>
        </ns0:is>
      </ns0:c>
      <ns0:c r="B95" s="3" t="inlineStr">
        <ns0:is>
          <ns0:t>G0基本5000比較</ns0:t>
        </ns0:is>
      </ns0:c>
      <ns0:c r="C95" s="3" t="inlineStr">
        <ns0:is>
          <ns0:t>C</ns0:t>
        </ns0:is>
      </ns0:c>
      <ns0:c r="D95" s="4" t="n">
        <ns0:v>2</ns0:v>
      </ns0:c>
      <ns0:c r="E95" s="4" t="n">
        <ns0:v>0</ns0:v>
      </ns0:c>
      <ns0:c r="F95" s="6" t="n">
        <ns0:v>0.3</ns0:v>
      </ns0:c>
      <ns0:c r="G95" s="4" t="n">
        <ns0:v>3</ns0:v>
      </ns0:c>
      <ns0:c r="H95" s="7" t="n">
        <ns0:v>4240.805785123966</ns0:v>
      </ns0:c>
      <ns0:c r="I95" s="7" t="n">
        <ns0:v>1862.086776859504</ns0:v>
      </ns0:c>
      <ns0:c r="J95" s="7" t="n">
        <ns0:v>558.6260330578513</ns0:v>
      </ns0:c>
      <ns0:c r="K95" s="7" t="n">
        <ns0:v>23</ns0:v>
      </ns0:c>
      <ns0:c r="L95" s="7" t="n">
        <ns0:v>23</ns0:v>
      </ns0:c>
      <ns0:c r="M95" s="7" t="n">
        <ns0:v>-14588.5863730898</ns0:v>
      </ns0:c>
      <ns0:c r="N95" s="7" t="n">
        <ns0:v>11756.11013334618</ns0:v>
      </ns0:c>
      <ns0:c r="O95" s="7" t="n">
        <ns0:v>42600.80663978215</ns0:v>
      </ns0:c>
      <ns0:c r="P95" s="7" t="n">
        <ns0:v>119712.5479058721</ns0:v>
      </ns0:c>
      <ns0:c r="Q95" s="7" t="n">
        <ns0:v>406159.5129702319</ns0:v>
      </ns0:c>
      <ns0:c r="R95" s="7" t="n">
        <ns0:v>1455723.890695491</ns0:v>
      </ns0:c>
    </ns0:row>
    <ns0:row r="96" ht="24" customHeight="1">
      <ns0:c r="A96" s="3" t="inlineStr">
        <ns0:is>
          <ns0:t>Sのみ</ns0:t>
        </ns0:is>
      </ns0:c>
      <ns0:c r="B96" s="3" t="inlineStr">
        <ns0:is>
          <ns0:t>G0基本5000比較</ns0:t>
        </ns0:is>
      </ns0:c>
      <ns0:c r="C96" s="3" t="inlineStr">
        <ns0:is>
          <ns0:t>C</ns0:t>
        </ns0:is>
      </ns0:c>
      <ns0:c r="D96" s="4" t="n">
        <ns0:v>2</ns0:v>
      </ns0:c>
      <ns0:c r="E96" s="4" t="n">
        <ns0:v>0</ns0:v>
      </ns0:c>
      <ns0:c r="F96" s="6" t="n">
        <ns0:v>0.4</ns0:v>
      </ns0:c>
      <ns0:c r="G96" s="4" t="n">
        <ns0:v>0</ns0:v>
      </ns0:c>
      <ns0:c r="H96" s="7" t="n">
        <ns0:v>4240.805785123966</ns0:v>
      </ns0:c>
      <ns0:c r="I96" s="7" t="n">
        <ns0:v>1862.086776859504</ns0:v>
      </ns0:c>
      <ns0:c r="J96" s="7" t="n">
        <ns0:v>744.8347107438017</ns0:v>
      </ns0:c>
      <ns0:c r="K96" s="7" t="n">
        <ns0:v>12</ns0:v>
      </ns0:c>
      <ns0:c r="L96" s="7" t="n">
        <ns0:v>12</ns0:v>
      </ns0:c>
      <ns0:c r="M96" s="7" t="n">
        <ns0:v>-262.2575265912819</ns0:v>
      </ns0:c>
      <ns0:c r="N96" s="7" t="n">
        <ns0:v>54735.09667284175</ns0:v>
      </ns0:c>
      <ns0:c r="O96" s="7" t="n">
        <ns0:v>114232.4508722748</ns0:v>
      </ns0:c>
      <ns0:c r="P96" s="7" t="n">
        <ns0:v>262975.8363708573</ns0:v>
      </ns0:c>
      <ns0:c r="Q96" s="7" t="n">
        <ns0:v>835949.3783651877</ns0:v>
      </ns0:c>
      <ns0:c r="R96" s="7" t="n">
        <ns0:v>2888356.775345343</ns0:v>
      </ns0:c>
    </ns0:row>
    <ns0:row r="97" ht="24" customHeight="1">
      <ns0:c r="A97" s="3" t="inlineStr">
        <ns0:is>
          <ns0:t>Sのみ</ns0:t>
        </ns0:is>
      </ns0:c>
      <ns0:c r="B97" s="3" t="inlineStr">
        <ns0:is>
          <ns0:t>G0基本5000比較</ns0:t>
        </ns0:is>
      </ns0:c>
      <ns0:c r="C97" s="3" t="inlineStr">
        <ns0:is>
          <ns0:t>C</ns0:t>
        </ns0:is>
      </ns0:c>
      <ns0:c r="D97" s="4" t="n">
        <ns0:v>2</ns0:v>
      </ns0:c>
      <ns0:c r="E97" s="4" t="n">
        <ns0:v>0</ns0:v>
      </ns0:c>
      <ns0:c r="F97" s="6" t="n">
        <ns0:v>0.4</ns0:v>
      </ns0:c>
      <ns0:c r="G97" s="4" t="n">
        <ns0:v>1</ns0:v>
      </ns0:c>
      <ns0:c r="H97" s="7" t="n">
        <ns0:v>4240.805785123966</ns0:v>
      </ns0:c>
      <ns0:c r="I97" s="7" t="n">
        <ns0:v>1862.086776859504</ns0:v>
      </ns0:c>
      <ns0:c r="J97" s="7" t="n">
        <ns0:v>744.8347107438017</ns0:v>
      </ns0:c>
      <ns0:c r="K97" s="7" t="n">
        <ns0:v>15</ns0:v>
      </ns0:c>
      <ns0:c r="L97" s="7" t="n">
        <ns0:v>15</ns0:v>
      </ns0:c>
      <ns0:c r="M97" s="7" t="n">
        <ns0:v>-5555.639221638554</ns0:v>
      </ns0:c>
      <ns0:c r="N97" s="7" t="n">
        <ns0:v>38854.95158769994</ns0:v>
      </ns0:c>
      <ns0:c r="O97" s="7" t="n">
        <ns0:v>87765.5423970384</ns0:v>
      </ns0:c>
      <ns0:c r="P97" s="7" t="n">
        <ns0:v>210042.0194203846</ns0:v>
      </ns0:c>
      <ns0:c r="Q97" s="7" t="n">
        <ns0:v>677147.9275137696</ns0:v>
      </ns0:c>
      <ns0:c r="R97" s="7" t="n">
        <ns0:v>2359018.605840616</ns0:v>
      </ns0:c>
    </ns0:row>
    <ns0:row r="98" ht="24" customHeight="1">
      <ns0:c r="A98" s="3" t="inlineStr">
        <ns0:is>
          <ns0:t>Sのみ</ns0:t>
        </ns0:is>
      </ns0:c>
      <ns0:c r="B98" s="3" t="inlineStr">
        <ns0:is>
          <ns0:t>G0基本5000比較</ns0:t>
        </ns0:is>
      </ns0:c>
      <ns0:c r="C98" s="3" t="inlineStr">
        <ns0:is>
          <ns0:t>C</ns0:t>
        </ns0:is>
      </ns0:c>
      <ns0:c r="D98" s="4" t="n">
        <ns0:v>2</ns0:v>
      </ns0:c>
      <ns0:c r="E98" s="4" t="n">
        <ns0:v>0</ns0:v>
      </ns0:c>
      <ns0:c r="F98" s="6" t="n">
        <ns0:v>0.4</ns0:v>
      </ns0:c>
      <ns0:c r="G98" s="4" t="n">
        <ns0:v>2</ns0:v>
      </ns0:c>
      <ns0:c r="H98" s="7" t="n">
        <ns0:v>4240.805785123966</ns0:v>
      </ns0:c>
      <ns0:c r="I98" s="7" t="n">
        <ns0:v>1862.086776859504</ns0:v>
      </ns0:c>
      <ns0:c r="J98" s="7" t="n">
        <ns0:v>744.8347107438017</ns0:v>
      </ns0:c>
      <ns0:c r="K98" s="18" t="inlineStr">
        <ns0:is>
          <ns0:t>範囲内なし</ns0:t>
        </ns0:is>
      </ns0:c>
      <ns0:c r="L98" s="18" t="inlineStr">
        <ns0:is>
          <ns0:t>範囲内なし</ns0:t>
        </ns0:is>
      </ns0:c>
      <ns0:c r="M98" s="7" t="n">
        <ns0:v>-70137.11476841364</ns0:v>
      </ns0:c>
      <ns0:c r="N98" s="7" t="n">
        <ns0:v>-154889.4750526253</ns0:v>
      </ns0:c>
      <ns0:c r="O98" s="7" t="n">
        <ns0:v>-235141.835336837</ns0:v>
      </ns0:c>
      <ns0:c r="P98" s="7" t="n">
        <ns0:v>-435772.7360473663</ns0:v>
      </ns0:c>
      <ns0:c r="Q98" s="7" t="n">
        <ns0:v>-1260296.338889483</ns0:v>
      </ns0:c>
      <ns0:c r="R98" s="7" t="n">
        <ns0:v>-4099128.948836892</ns0:v>
      </ns0:c>
    </ns0:row>
    <ns0:row r="99" ht="24" customHeight="1">
      <ns0:c r="A99" s="3" t="inlineStr">
        <ns0:is>
          <ns0:t>Sのみ</ns0:t>
        </ns0:is>
      </ns0:c>
      <ns0:c r="B99" s="3" t="inlineStr">
        <ns0:is>
          <ns0:t>G0基本5000比較</ns0:t>
        </ns0:is>
      </ns0:c>
      <ns0:c r="C99" s="3" t="inlineStr">
        <ns0:is>
          <ns0:t>C</ns0:t>
        </ns0:is>
      </ns0:c>
      <ns0:c r="D99" s="4" t="n">
        <ns0:v>2</ns0:v>
      </ns0:c>
      <ns0:c r="E99" s="4" t="n">
        <ns0:v>0</ns0:v>
      </ns0:c>
      <ns0:c r="F99" s="6" t="n">
        <ns0:v>0.4</ns0:v>
      </ns0:c>
      <ns0:c r="G99" s="4" t="n">
        <ns0:v>3</ns0:v>
      </ns0:c>
      <ns0:c r="H99" s="7" t="n">
        <ns0:v>4240.805785123966</ns0:v>
      </ns0:c>
      <ns0:c r="I99" s="7" t="n">
        <ns0:v>1862.086776859504</ns0:v>
      </ns0:c>
      <ns0:c r="J99" s="7" t="n">
        <ns0:v>744.8347107438017</ns0:v>
      </ns0:c>
      <ns0:c r="K99" s="7" t="n">
        <ns0:v>26</ns0:v>
      </ns0:c>
      <ns0:c r="L99" s="7" t="n">
        <ns0:v>26</ns0:v>
      </ns0:c>
      <ns0:c r="M99" s="7" t="n">
        <ns0:v>-16450.67314994931</ns0:v>
      </ns0:c>
      <ns0:c r="N99" s="7" t="n">
        <ns0:v>6169.849802767669</ns0:v>
      </ns0:c>
      <ns0:c r="O99" s="7" t="n">
        <ns0:v>33290.37275548462</ns0:v>
      </ns0:c>
      <ns0:c r="P99" s="7" t="n">
        <ns0:v>101091.680137277</ns0:v>
      </ns0:c>
      <ns0:c r="Q99" s="7" t="n">
        <ns0:v>350296.9096644468</ns0:v>
      </ns0:c>
      <ns0:c r="R99" s="7" t="n">
        <ns0:v>1269515.213009541</ns0:v>
      </ns0:c>
    </ns0:row>
    <ns0:row r="100" ht="24" customHeight="1">
      <ns0:c r="A100" s="3" t="inlineStr">
        <ns0:is>
          <ns0:t>Sのみ</ns0:t>
        </ns0:is>
      </ns0:c>
      <ns0:c r="B100" s="3" t="inlineStr">
        <ns0:is>
          <ns0:t>G0基本5000比較</ns0:t>
        </ns0:is>
      </ns0:c>
      <ns0:c r="C100" s="3" t="inlineStr">
        <ns0:is>
          <ns0:t>C</ns0:t>
        </ns0:is>
      </ns0:c>
      <ns0:c r="D100" s="4" t="n">
        <ns0:v>2</ns0:v>
      </ns0:c>
      <ns0:c r="E100" s="4" t="n">
        <ns0:v>0</ns0:v>
      </ns0:c>
      <ns0:c r="F100" s="6" t="n">
        <ns0:v>0.5</ns0:v>
      </ns0:c>
      <ns0:c r="G100" s="4" t="n">
        <ns0:v>0</ns0:v>
      </ns0:c>
      <ns0:c r="H100" s="7" t="n">
        <ns0:v>4240.805785123966</ns0:v>
      </ns0:c>
      <ns0:c r="I100" s="7" t="n">
        <ns0:v>1862.086776859504</ns0:v>
      </ns0:c>
      <ns0:c r="J100" s="7" t="n">
        <ns0:v>931.0433884297521</ns0:v>
      </ns0:c>
      <ns0:c r="K100" s="7" t="n">
        <ns0:v>13</ns0:v>
      </ns0:c>
      <ns0:c r="L100" s="7" t="n">
        <ns0:v>13</ns0:v>
      </ns0:c>
      <ns0:c r="M100" s="7" t="n">
        <ns0:v>-2124.344303450787</ns0:v>
      </ns0:c>
      <ns0:c r="N100" s="7" t="n">
        <ns0:v>49148.83634226323</ns0:v>
      </ns0:c>
      <ns0:c r="O100" s="7" t="n">
        <ns0:v>104922.0169879772</ns0:v>
      </ns0:c>
      <ns0:c r="P100" s="7" t="n">
        <ns0:v>244354.9686022623</ns0:v>
      </ns0:c>
      <ns0:c r="Q100" s="7" t="n">
        <ns0:v>780086.7750594025</ns0:v>
      </ns0:c>
      <ns0:c r="R100" s="7" t="n">
        <ns0:v>2702148.097659393</ns0:v>
      </ns0:c>
    </ns0:row>
    <ns0:row r="101" ht="24" customHeight="1">
      <ns0:c r="A101" s="3" t="inlineStr">
        <ns0:is>
          <ns0:t>Sのみ</ns0:t>
        </ns0:is>
      </ns0:c>
      <ns0:c r="B101" s="3" t="inlineStr">
        <ns0:is>
          <ns0:t>G0基本5000比較</ns0:t>
        </ns0:is>
      </ns0:c>
      <ns0:c r="C101" s="3" t="inlineStr">
        <ns0:is>
          <ns0:t>C</ns0:t>
        </ns0:is>
      </ns0:c>
      <ns0:c r="D101" s="4" t="n">
        <ns0:v>2</ns0:v>
      </ns0:c>
      <ns0:c r="E101" s="4" t="n">
        <ns0:v>0</ns0:v>
      </ns0:c>
      <ns0:c r="F101" s="6" t="n">
        <ns0:v>0.5</ns0:v>
      </ns0:c>
      <ns0:c r="G101" s="4" t="n">
        <ns0:v>1</ns0:v>
      </ns0:c>
      <ns0:c r="H101" s="7" t="n">
        <ns0:v>4240.805785123966</ns0:v>
      </ns0:c>
      <ns0:c r="I101" s="7" t="n">
        <ns0:v>1862.086776859504</ns0:v>
      </ns0:c>
      <ns0:c r="J101" s="7" t="n">
        <ns0:v>931.0433884297521</ns0:v>
      </ns0:c>
      <ns0:c r="K101" s="7" t="n">
        <ns0:v>16</ns0:v>
      </ns0:c>
      <ns0:c r="L101" s="7" t="n">
        <ns0:v>16</ns0:v>
      </ns0:c>
      <ns0:c r="M101" s="7" t="n">
        <ns0:v>-7417.725998498059</ns0:v>
      </ns0:c>
      <ns0:c r="N101" s="7" t="n">
        <ns0:v>33268.69125712143</ns0:v>
      </ns0:c>
      <ns0:c r="O101" s="7" t="n">
        <ns0:v>78455.1085127409</ns0:v>
      </ns0:c>
      <ns0:c r="P101" s="7" t="n">
        <ns0:v>191421.1516517896</ns0:v>
      </ns0:c>
      <ns0:c r="Q101" s="7" t="n">
        <ns0:v>621285.3242079844</ns0:v>
      </ns0:c>
      <ns0:c r="R101" s="7" t="n">
        <ns0:v>2172809.928154666</ns0:v>
      </ns0:c>
    </ns0:row>
    <ns0:row r="102" ht="24" customHeight="1">
      <ns0:c r="A102" s="3" t="inlineStr">
        <ns0:is>
          <ns0:t>Sのみ</ns0:t>
        </ns0:is>
      </ns0:c>
      <ns0:c r="B102" s="3" t="inlineStr">
        <ns0:is>
          <ns0:t>G0基本5000比較</ns0:t>
        </ns0:is>
      </ns0:c>
      <ns0:c r="C102" s="3" t="inlineStr">
        <ns0:is>
          <ns0:t>C</ns0:t>
        </ns0:is>
      </ns0:c>
      <ns0:c r="D102" s="4" t="n">
        <ns0:v>2</ns0:v>
      </ns0:c>
      <ns0:c r="E102" s="4" t="n">
        <ns0:v>0</ns0:v>
      </ns0:c>
      <ns0:c r="F102" s="6" t="n">
        <ns0:v>0.5</ns0:v>
      </ns0:c>
      <ns0:c r="G102" s="4" t="n">
        <ns0:v>2</ns0:v>
      </ns0:c>
      <ns0:c r="H102" s="7" t="n">
        <ns0:v>4240.805785123966</ns0:v>
      </ns0:c>
      <ns0:c r="I102" s="7" t="n">
        <ns0:v>1862.086776859504</ns0:v>
      </ns0:c>
      <ns0:c r="J102" s="7" t="n">
        <ns0:v>931.0433884297521</ns0:v>
      </ns0:c>
      <ns0:c r="K102" s="18" t="inlineStr">
        <ns0:is>
          <ns0:t>範囲内なし</ns0:t>
        </ns0:is>
      </ns0:c>
      <ns0:c r="L102" s="18" t="inlineStr">
        <ns0:is>
          <ns0:t>範囲内なし</ns0:t>
        </ns0:is>
      </ns0:c>
      <ns0:c r="M102" s="7" t="n">
        <ns0:v>-71999.20154527314</ns0:v>
      </ns0:c>
      <ns0:c r="N102" s="7" t="n">
        <ns0:v>-160475.7353832039</ns0:v>
      </ns0:c>
      <ns0:c r="O102" s="7" t="n">
        <ns0:v>-244452.2692211345</ns0:v>
      </ns0:c>
      <ns0:c r="P102" s="7" t="n">
        <ns0:v>-454393.6038159613</ns0:v>
      </ns0:c>
      <ns0:c r="Q102" s="7" t="n">
        <ns0:v>-1316158.942195268</ns0:v>
      </ns0:c>
      <ns0:c r="R102" s="7" t="n">
        <ns0:v>-4285337.626522843</ns0:v>
      </ns0:c>
    </ns0:row>
    <ns0:row r="103" ht="24" customHeight="1">
      <ns0:c r="A103" s="3" t="inlineStr">
        <ns0:is>
          <ns0:t>Sのみ</ns0:t>
        </ns0:is>
      </ns0:c>
      <ns0:c r="B103" s="3" t="inlineStr">
        <ns0:is>
          <ns0:t>G0基本5000比較</ns0:t>
        </ns0:is>
      </ns0:c>
      <ns0:c r="C103" s="3" t="inlineStr">
        <ns0:is>
          <ns0:t>C</ns0:t>
        </ns0:is>
      </ns0:c>
      <ns0:c r="D103" s="4" t="n">
        <ns0:v>2</ns0:v>
      </ns0:c>
      <ns0:c r="E103" s="4" t="n">
        <ns0:v>0</ns0:v>
      </ns0:c>
      <ns0:c r="F103" s="6" t="n">
        <ns0:v>0.5</ns0:v>
      </ns0:c>
      <ns0:c r="G103" s="4" t="n">
        <ns0:v>3</ns0:v>
      </ns0:c>
      <ns0:c r="H103" s="7" t="n">
        <ns0:v>4240.805785123966</ns0:v>
      </ns0:c>
      <ns0:c r="I103" s="7" t="n">
        <ns0:v>1862.086776859504</ns0:v>
      </ns0:c>
      <ns0:c r="J103" s="7" t="n">
        <ns0:v>931.0433884297521</ns0:v>
      </ns0:c>
      <ns0:c r="K103" s="7" t="n">
        <ns0:v>30</ns0:v>
      </ns0:c>
      <ns0:c r="L103" s="7" t="n">
        <ns0:v>30</ns0:v>
      </ns0:c>
      <ns0:c r="M103" s="7" t="n">
        <ns0:v>-18312.75992680882</ns0:v>
      </ns0:c>
      <ns0:c r="N103" s="7" t="n">
        <ns0:v>583.5894721891527</ns0:v>
      </ns0:c>
      <ns0:c r="O103" s="7" t="n">
        <ns0:v>23979.93887118709</ns0:v>
      </ns0:c>
      <ns0:c r="P103" s="7" t="n">
        <ns0:v>82470.81236868197</ns0:v>
      </ns0:c>
      <ns0:c r="Q103" s="7" t="n">
        <ns0:v>294434.3063586616</ns0:v>
      </ns0:c>
      <ns0:c r="R103" s="7" t="n">
        <ns0:v>1083306.53532359</ns0:v>
      </ns0:c>
    </ns0:row>
    <ns0:row r="104" ht="24" customHeight="1">
      <ns0:c r="A104" s="3" t="inlineStr">
        <ns0:is>
          <ns0:t>Sのみ</ns0:t>
        </ns0:is>
      </ns0:c>
      <ns0:c r="B104" s="3" t="inlineStr">
        <ns0:is>
          <ns0:t>G0基本5000比較</ns0:t>
        </ns0:is>
      </ns0:c>
      <ns0:c r="C104" s="3" t="inlineStr">
        <ns0:is>
          <ns0:t>D</ns0:t>
        </ns0:is>
      </ns0:c>
      <ns0:c r="D104" s="4" t="n">
        <ns0:v>0</ns0:v>
      </ns0:c>
      <ns0:c r="E104" s="4" t="n">
        <ns0:v>0</ns0:v>
      </ns0:c>
      <ns0:c r="F104" s="6" t="n">
        <ns0:v>0.3</ns0:v>
      </ns0:c>
      <ns0:c r="G104" s="4" t="n">
        <ns0:v>0</ns0:v>
      </ns0:c>
      <ns0:c r="H104" s="7" t="n">
        <ns0:v>1632.87</ns0:v>
      </ns0:c>
      <ns0:c r="I104" s="7" t="n">
        <ns0:v>1212.35</ns0:v>
      </ns0:c>
      <ns0:c r="J104" s="7" t="n">
        <ns0:v>363.7049999999999</ns0:v>
      </ns0:c>
      <ns0:c r="K104" s="7" t="n">
        <ns0:v>37</ns0:v>
      </ns0:c>
      <ns0:c r="L104" s="7" t="n">
        <ns0:v>37</ns0:v>
      </ns0:c>
      <ns0:c r="M104" s="7" t="n">
        <ns0:v>-20616.49108675874</ns0:v>
      </ns0:c>
      <ns0:c r="N104" s="7" t="n">
        <ns0:v>-6327.604007660633</ns0:v>
      </ns0:c>
      <ns0:c r="O104" s="7" t="n">
        <ns0:v>12461.28307143748</ns0:v>
      </ns0:c>
      <ns0:c r="P104" s="7" t="n">
        <ns0:v>59433.50076918276</ns0:v>
      </ns0:c>
      <ns0:c r="Q104" s="7" t="n">
        <ns0:v>225322.3715601639</ns0:v>
      </ns0:c>
      <ns0:c r="R104" s="7" t="n">
        <ns0:v>852933.4193285978</ns0:v>
      </ns0:c>
    </ns0:row>
    <ns0:row r="105" ht="24" customHeight="1">
      <ns0:c r="A105" s="3" t="inlineStr">
        <ns0:is>
          <ns0:t>Sのみ</ns0:t>
        </ns0:is>
      </ns0:c>
      <ns0:c r="B105" s="3" t="inlineStr">
        <ns0:is>
          <ns0:t>G0基本5000比較</ns0:t>
        </ns0:is>
      </ns0:c>
      <ns0:c r="C105" s="3" t="inlineStr">
        <ns0:is>
          <ns0:t>D</ns0:t>
        </ns0:is>
      </ns0:c>
      <ns0:c r="D105" s="4" t="n">
        <ns0:v>0</ns0:v>
      </ns0:c>
      <ns0:c r="E105" s="4" t="n">
        <ns0:v>0</ns0:v>
      </ns0:c>
      <ns0:c r="F105" s="6" t="n">
        <ns0:v>0.3</ns0:v>
      </ns0:c>
      <ns0:c r="G105" s="4" t="n">
        <ns0:v>1</ns0:v>
      </ns0:c>
      <ns0:c r="H105" s="7" t="n">
        <ns0:v>1632.87</ns0:v>
      </ns0:c>
      <ns0:c r="I105" s="7" t="n">
        <ns0:v>1212.35</ns0:v>
      </ns0:c>
      <ns0:c r="J105" s="7" t="n">
        <ns0:v>363.7049999999999</ns0:v>
      </ns0:c>
      <ns0:c r="K105" s="7" t="n">
        <ns0:v>61</ns0:v>
      </ns0:c>
      <ns0:c r="L105" s="7" t="n">
        <ns0:v>61</ns0:v>
      </ns0:c>
      <ns0:c r="M105" s="7" t="n">
        <ns0:v>-24296.33005367227</ns0:v>
      </ns0:c>
      <ns0:c r="N105" s="7" t="n">
        <ns0:v>-17367.12090840123</ns0:v>
      </ns0:c>
      <ns0:c r="O105" s="7" t="n">
        <ns0:v>-5937.911763130189</ns0:v>
      </ns0:c>
      <ns0:c r="P105" s="7" t="n">
        <ns0:v>22635.11110004742</ns0:v>
      </ns0:c>
      <ns0:c r="Q105" s="7" t="n">
        <ns0:v>114927.2025527579</ns0:v>
      </ns0:c>
      <ns0:c r="R105" s="7" t="n">
        <ns0:v>484949.5226372444</ns0:v>
      </ns0:c>
    </ns0:row>
    <ns0:row r="106" ht="24" customHeight="1">
      <ns0:c r="A106" s="3" t="inlineStr">
        <ns0:is>
          <ns0:t>Sのみ</ns0:t>
        </ns0:is>
      </ns0:c>
      <ns0:c r="B106" s="3" t="inlineStr">
        <ns0:is>
          <ns0:t>G0基本5000比較</ns0:t>
        </ns0:is>
      </ns0:c>
      <ns0:c r="C106" s="3" t="inlineStr">
        <ns0:is>
          <ns0:t>D</ns0:t>
        </ns0:is>
      </ns0:c>
      <ns0:c r="D106" s="4" t="n">
        <ns0:v>0</ns0:v>
      </ns0:c>
      <ns0:c r="E106" s="4" t="n">
        <ns0:v>0</ns0:v>
      </ns0:c>
      <ns0:c r="F106" s="6" t="n">
        <ns0:v>0.3</ns0:v>
      </ns0:c>
      <ns0:c r="G106" s="4" t="n">
        <ns0:v>2</ns0:v>
      </ns0:c>
      <ns0:c r="H106" s="7" t="n">
        <ns0:v>1632.87</ns0:v>
      </ns0:c>
      <ns0:c r="I106" s="7" t="n">
        <ns0:v>1212.35</ns0:v>
      </ns0:c>
      <ns0:c r="J106" s="7" t="n">
        <ns0:v>363.7049999999999</ns0:v>
      </ns0:c>
      <ns0:c r="K106" s="18" t="inlineStr">
        <ns0:is>
          <ns0:t>範囲内なし</ns0:t>
        </ns0:is>
      </ns0:c>
      <ns0:c r="L106" s="18" t="inlineStr">
        <ns0:is>
          <ns0:t>範囲内なし</ns0:t>
        </ns0:is>
      </ns0:c>
      <ns0:c r="M106" s="7" t="n">
        <ns0:v>-42299.04244393898</ns0:v>
      </ns0:c>
      <ns0:c r="N106" s="7" t="n">
        <ns0:v>-71375.25807920136</ns0:v>
      </ns0:c>
      <ns0:c r="O106" s="7" t="n">
        <ns0:v>-95951.4737144637</ns0:v>
      </ns0:c>
      <ns0:c r="P106" s="7" t="n">
        <ns0:v>-157392.0128026196</ns0:v>
      </ns0:c>
      <ns0:c r="Q106" s="7" t="n">
        <ns0:v>-425154.1691552433</ns0:v>
      </ns0:c>
      <ns0:c r="R106" s="7" t="n">
        <ns0:v>-1315321.716389426</ns0:v>
      </ns0:c>
    </ns0:row>
    <ns0:row r="107" ht="24" customHeight="1">
      <ns0:c r="A107" s="3" t="inlineStr">
        <ns0:is>
          <ns0:t>Sのみ</ns0:t>
        </ns0:is>
      </ns0:c>
      <ns0:c r="B107" s="3" t="inlineStr">
        <ns0:is>
          <ns0:t>G0基本5000比較</ns0:t>
        </ns0:is>
      </ns0:c>
      <ns0:c r="C107" s="3" t="inlineStr">
        <ns0:is>
          <ns0:t>D</ns0:t>
        </ns0:is>
      </ns0:c>
      <ns0:c r="D107" s="4" t="n">
        <ns0:v>0</ns0:v>
      </ns0:c>
      <ns0:c r="E107" s="4" t="n">
        <ns0:v>0</ns0:v>
      </ns0:c>
      <ns0:c r="F107" s="6" t="n">
        <ns0:v>0.3</ns0:v>
      </ns0:c>
      <ns0:c r="G107" s="4" t="n">
        <ns0:v>3</ns0:v>
      </ns0:c>
      <ns0:c r="H107" s="7" t="n">
        <ns0:v>1632.87</ns0:v>
      </ns0:c>
      <ns0:c r="I107" s="7" t="n">
        <ns0:v>1212.35</ns0:v>
      </ns0:c>
      <ns0:c r="J107" s="7" t="n">
        <ns0:v>363.7049999999999</ns0:v>
      </ns0:c>
      <ns0:c r="K107" s="18" t="inlineStr">
        <ns0:is>
          <ns0:t>範囲内なし</ns0:t>
        </ns0:is>
      </ns0:c>
      <ns0:c r="L107" s="18" t="inlineStr">
        <ns0:is>
          <ns0:t>範囲内なし</ns0:t>
        </ns0:is>
      </ns0:c>
      <ns0:c r="M107" s="7" t="n">
        <ns0:v>-32808.12638745677</ns0:v>
      </ns0:c>
      <ns0:c r="N107" s="7" t="n">
        <ns0:v>-42902.50990975473</ns0:v>
      </ns0:c>
      <ns0:c r="O107" s="7" t="n">
        <ns0:v>-48496.89343205268</ns0:v>
      </ns0:c>
      <ns0:c r="P107" s="7" t="n">
        <ns0:v>-62482.85223779755</ns0:v>
      </ns0:c>
      <ns0:c r="Q107" s="7" t="n">
        <ns0:v>-140426.687460777</ns0:v>
      </ns0:c>
      <ns0:c r="R107" s="7" t="n">
        <ns0:v>-366230.1107412053</ns0:v>
      </ns0:c>
    </ns0:row>
    <ns0:row r="108" ht="24" customHeight="1">
      <ns0:c r="A108" s="3" t="inlineStr">
        <ns0:is>
          <ns0:t>Sのみ</ns0:t>
        </ns0:is>
      </ns0:c>
      <ns0:c r="B108" s="3" t="inlineStr">
        <ns0:is>
          <ns0:t>G0基本5000比較</ns0:t>
        </ns0:is>
      </ns0:c>
      <ns0:c r="C108" s="3" t="inlineStr">
        <ns0:is>
          <ns0:t>D</ns0:t>
        </ns0:is>
      </ns0:c>
      <ns0:c r="D108" s="4" t="n">
        <ns0:v>0</ns0:v>
      </ns0:c>
      <ns0:c r="E108" s="4" t="n">
        <ns0:v>0</ns0:v>
      </ns0:c>
      <ns0:c r="F108" s="6" t="n">
        <ns0:v>0.4</ns0:v>
      </ns0:c>
      <ns0:c r="G108" s="4" t="n">
        <ns0:v>0</ns0:v>
      </ns0:c>
      <ns0:c r="H108" s="7" t="n">
        <ns0:v>1632.87</ns0:v>
      </ns0:c>
      <ns0:c r="I108" s="7" t="n">
        <ns0:v>1212.35</ns0:v>
      </ns0:c>
      <ns0:c r="J108" s="7" t="n">
        <ns0:v>484.94</ns0:v>
      </ns0:c>
      <ns0:c r="K108" s="7" t="n">
        <ns0:v>43</ns0:v>
      </ns0:c>
      <ns0:c r="L108" s="7" t="n">
        <ns0:v>43</ns0:v>
      </ns0:c>
      <ns0:c r="M108" s="7" t="n">
        <ns0:v>-21828.84108675874</ns0:v>
      </ns0:c>
      <ns0:c r="N108" s="7" t="n">
        <ns0:v>-9964.654007660632</ns0:v>
      </ns0:c>
      <ns0:c r="O108" s="7" t="n">
        <ns0:v>6399.53307143748</ns0:v>
      </ns0:c>
      <ns0:c r="P108" s="7" t="n">
        <ns0:v>47310.00076918276</ns0:v>
      </ns0:c>
      <ns0:c r="Q108" s="7" t="n">
        <ns0:v>188951.8715601639</ns0:v>
      </ns0:c>
      <ns0:c r="R108" s="7" t="n">
        <ns0:v>731698.4193285978</ns0:v>
      </ns0:c>
    </ns0:row>
    <ns0:row r="109" ht="24" customHeight="1">
      <ns0:c r="A109" s="3" t="inlineStr">
        <ns0:is>
          <ns0:t>Sのみ</ns0:t>
        </ns0:is>
      </ns0:c>
      <ns0:c r="B109" s="3" t="inlineStr">
        <ns0:is>
          <ns0:t>G0基本5000比較</ns0:t>
        </ns0:is>
      </ns0:c>
      <ns0:c r="C109" s="3" t="inlineStr">
        <ns0:is>
          <ns0:t>D</ns0:t>
        </ns0:is>
      </ns0:c>
      <ns0:c r="D109" s="4" t="n">
        <ns0:v>0</ns0:v>
      </ns0:c>
      <ns0:c r="E109" s="4" t="n">
        <ns0:v>0</ns0:v>
      </ns0:c>
      <ns0:c r="F109" s="6" t="n">
        <ns0:v>0.4</ns0:v>
      </ns0:c>
      <ns0:c r="G109" s="4" t="n">
        <ns0:v>1</ns0:v>
      </ns0:c>
      <ns0:c r="H109" s="7" t="n">
        <ns0:v>1632.87</ns0:v>
      </ns0:c>
      <ns0:c r="I109" s="7" t="n">
        <ns0:v>1212.35</ns0:v>
      </ns0:c>
      <ns0:c r="J109" s="7" t="n">
        <ns0:v>484.94</ns0:v>
      </ns0:c>
      <ns0:c r="K109" s="7" t="n">
        <ns0:v>126</ns0:v>
      </ns0:c>
      <ns0:c r="L109" s="7" t="n">
        <ns0:v>126</ns0:v>
      </ns0:c>
      <ns0:c r="M109" s="7" t="n">
        <ns0:v>-25508.68005367227</ns0:v>
      </ns0:c>
      <ns0:c r="N109" s="7" t="n">
        <ns0:v>-21004.17090840123</ns0:v>
      </ns0:c>
      <ns0:c r="O109" s="7" t="n">
        <ns0:v>-11999.66176313019</ns0:v>
      </ns0:c>
      <ns0:c r="P109" s="7" t="n">
        <ns0:v>10511.61110004742</ns0:v>
      </ns0:c>
      <ns0:c r="Q109" s="7" t="n">
        <ns0:v>78556.7025527579</ns0:v>
      </ns0:c>
      <ns0:c r="R109" s="7" t="n">
        <ns0:v>363714.5226372444</ns0:v>
      </ns0:c>
    </ns0:row>
    <ns0:row r="110" ht="24" customHeight="1">
      <ns0:c r="A110" s="3" t="inlineStr">
        <ns0:is>
          <ns0:t>Sのみ</ns0:t>
        </ns0:is>
      </ns0:c>
      <ns0:c r="B110" s="3" t="inlineStr">
        <ns0:is>
          <ns0:t>G0基本5000比較</ns0:t>
        </ns0:is>
      </ns0:c>
      <ns0:c r="C110" s="3" t="inlineStr">
        <ns0:is>
          <ns0:t>D</ns0:t>
        </ns0:is>
      </ns0:c>
      <ns0:c r="D110" s="4" t="n">
        <ns0:v>0</ns0:v>
      </ns0:c>
      <ns0:c r="E110" s="4" t="n">
        <ns0:v>0</ns0:v>
      </ns0:c>
      <ns0:c r="F110" s="6" t="n">
        <ns0:v>0.4</ns0:v>
      </ns0:c>
      <ns0:c r="G110" s="4" t="n">
        <ns0:v>2</ns0:v>
      </ns0:c>
      <ns0:c r="H110" s="7" t="n">
        <ns0:v>1632.87</ns0:v>
      </ns0:c>
      <ns0:c r="I110" s="7" t="n">
        <ns0:v>1212.35</ns0:v>
      </ns0:c>
      <ns0:c r="J110" s="7" t="n">
        <ns0:v>484.94</ns0:v>
      </ns0:c>
      <ns0:c r="K110" s="18" t="inlineStr">
        <ns0:is>
          <ns0:t>範囲内なし</ns0:t>
        </ns0:is>
      </ns0:c>
      <ns0:c r="L110" s="18" t="inlineStr">
        <ns0:is>
          <ns0:t>範囲内なし</ns0:t>
        </ns0:is>
      </ns0:c>
      <ns0:c r="M110" s="7" t="n">
        <ns0:v>-43511.39244393898</ns0:v>
      </ns0:c>
      <ns0:c r="N110" s="7" t="n">
        <ns0:v>-75012.30807920135</ns0:v>
      </ns0:c>
      <ns0:c r="O110" s="7" t="n">
        <ns0:v>-102013.2237144637</ns0:v>
      </ns0:c>
      <ns0:c r="P110" s="7" t="n">
        <ns0:v>-169515.5128026196</ns0:v>
      </ns0:c>
      <ns0:c r="Q110" s="7" t="n">
        <ns0:v>-461524.6691552433</ns0:v>
      </ns0:c>
      <ns0:c r="R110" s="7" t="n">
        <ns0:v>-1436556.716389426</ns0:v>
      </ns0:c>
    </ns0:row>
    <ns0:row r="111" ht="24" customHeight="1">
      <ns0:c r="A111" s="3" t="inlineStr">
        <ns0:is>
          <ns0:t>Sのみ</ns0:t>
        </ns0:is>
      </ns0:c>
      <ns0:c r="B111" s="3" t="inlineStr">
        <ns0:is>
          <ns0:t>G0基本5000比較</ns0:t>
        </ns0:is>
      </ns0:c>
      <ns0:c r="C111" s="3" t="inlineStr">
        <ns0:is>
          <ns0:t>D</ns0:t>
        </ns0:is>
      </ns0:c>
      <ns0:c r="D111" s="4" t="n">
        <ns0:v>0</ns0:v>
      </ns0:c>
      <ns0:c r="E111" s="4" t="n">
        <ns0:v>0</ns0:v>
      </ns0:c>
      <ns0:c r="F111" s="6" t="n">
        <ns0:v>0.4</ns0:v>
      </ns0:c>
      <ns0:c r="G111" s="4" t="n">
        <ns0:v>3</ns0:v>
      </ns0:c>
      <ns0:c r="H111" s="7" t="n">
        <ns0:v>1632.87</ns0:v>
      </ns0:c>
      <ns0:c r="I111" s="7" t="n">
        <ns0:v>1212.35</ns0:v>
      </ns0:c>
      <ns0:c r="J111" s="7" t="n">
        <ns0:v>484.94</ns0:v>
      </ns0:c>
      <ns0:c r="K111" s="18" t="inlineStr">
        <ns0:is>
          <ns0:t>範囲内なし</ns0:t>
        </ns0:is>
      </ns0:c>
      <ns0:c r="L111" s="18" t="inlineStr">
        <ns0:is>
          <ns0:t>範囲内なし</ns0:t>
        </ns0:is>
      </ns0:c>
      <ns0:c r="M111" s="7" t="n">
        <ns0:v>-34020.47638745677</ns0:v>
      </ns0:c>
      <ns0:c r="N111" s="7" t="n">
        <ns0:v>-46539.55990975472</ns0:v>
      </ns0:c>
      <ns0:c r="O111" s="7" t="n">
        <ns0:v>-54558.64343205268</ns0:v>
      </ns0:c>
      <ns0:c r="P111" s="7" t="n">
        <ns0:v>-74606.35223779755</ns0:v>
      </ns0:c>
      <ns0:c r="Q111" s="7" t="n">
        <ns0:v>-176797.187460777</ns0:v>
      </ns0:c>
      <ns0:c r="R111" s="7" t="n">
        <ns0:v>-487465.1107412054</ns0:v>
      </ns0:c>
    </ns0:row>
    <ns0:row r="112" ht="24" customHeight="1">
      <ns0:c r="A112" s="3" t="inlineStr">
        <ns0:is>
          <ns0:t>Sのみ</ns0:t>
        </ns0:is>
      </ns0:c>
      <ns0:c r="B112" s="3" t="inlineStr">
        <ns0:is>
          <ns0:t>G0基本5000比較</ns0:t>
        </ns0:is>
      </ns0:c>
      <ns0:c r="C112" s="3" t="inlineStr">
        <ns0:is>
          <ns0:t>D</ns0:t>
        </ns0:is>
      </ns0:c>
      <ns0:c r="D112" s="4" t="n">
        <ns0:v>0</ns0:v>
      </ns0:c>
      <ns0:c r="E112" s="4" t="n">
        <ns0:v>0</ns0:v>
      </ns0:c>
      <ns0:c r="F112" s="6" t="n">
        <ns0:v>0.5</ns0:v>
      </ns0:c>
      <ns0:c r="G112" s="4" t="n">
        <ns0:v>0</ns0:v>
      </ns0:c>
      <ns0:c r="H112" s="7" t="n">
        <ns0:v>1632.87</ns0:v>
      </ns0:c>
      <ns0:c r="I112" s="7" t="n">
        <ns0:v>1212.35</ns0:v>
      </ns0:c>
      <ns0:c r="J112" s="7" t="n">
        <ns0:v>606.175</ns0:v>
      </ns0:c>
      <ns0:c r="K112" s="7" t="n">
        <ns0:v>50</ns0:v>
      </ns0:c>
      <ns0:c r="L112" s="7" t="n">
        <ns0:v>50</ns0:v>
      </ns0:c>
      <ns0:c r="M112" s="7" t="n">
        <ns0:v>-23041.19108675874</ns0:v>
      </ns0:c>
      <ns0:c r="N112" s="7" t="n">
        <ns0:v>-13601.70400766063</ns0:v>
      </ns0:c>
      <ns0:c r="O112" s="7" t="n">
        <ns0:v>337.7830714374795</ns0:v>
      </ns0:c>
      <ns0:c r="P112" s="7" t="n">
        <ns0:v>35186.50076918276</ns0:v>
      </ns0:c>
      <ns0:c r="Q112" s="7" t="n">
        <ns0:v>152581.3715601639</ns0:v>
      </ns0:c>
      <ns0:c r="R112" s="7" t="n">
        <ns0:v>610463.4193285981</ns0:v>
      </ns0:c>
    </ns0:row>
    <ns0:row r="113" ht="24" customHeight="1">
      <ns0:c r="A113" s="3" t="inlineStr">
        <ns0:is>
          <ns0:t>Sのみ</ns0:t>
        </ns0:is>
      </ns0:c>
      <ns0:c r="B113" s="3" t="inlineStr">
        <ns0:is>
          <ns0:t>G0基本5000比較</ns0:t>
        </ns0:is>
      </ns0:c>
      <ns0:c r="C113" s="3" t="inlineStr">
        <ns0:is>
          <ns0:t>D</ns0:t>
        </ns0:is>
      </ns0:c>
      <ns0:c r="D113" s="4" t="n">
        <ns0:v>0</ns0:v>
      </ns0:c>
      <ns0:c r="E113" s="4" t="n">
        <ns0:v>0</ns0:v>
      </ns0:c>
      <ns0:c r="F113" s="6" t="n">
        <ns0:v>0.5</ns0:v>
      </ns0:c>
      <ns0:c r="G113" s="4" t="n">
        <ns0:v>1</ns0:v>
      </ns0:c>
      <ns0:c r="H113" s="7" t="n">
        <ns0:v>1632.87</ns0:v>
      </ns0:c>
      <ns0:c r="I113" s="7" t="n">
        <ns0:v>1212.35</ns0:v>
      </ns0:c>
      <ns0:c r="J113" s="7" t="n">
        <ns0:v>606.175</ns0:v>
      </ns0:c>
      <ns0:c r="K113" s="7" t="n">
        <ns0:v>172</ns0:v>
      </ns0:c>
      <ns0:c r="L113" s="7" t="n">
        <ns0:v>172</ns0:v>
      </ns0:c>
      <ns0:c r="M113" s="7" t="n">
        <ns0:v>-26721.03005367227</ns0:v>
      </ns0:c>
      <ns0:c r="N113" s="7" t="n">
        <ns0:v>-24641.22090840122</ns0:v>
      </ns0:c>
      <ns0:c r="O113" s="7" t="n">
        <ns0:v>-18061.41176313019</ns0:v>
      </ns0:c>
      <ns0:c r="P113" s="7" t="n">
        <ns0:v>-1611.888899952581</ns0:v>
      </ns0:c>
      <ns0:c r="Q113" s="7" t="n">
        <ns0:v>42186.2025527579</ns0:v>
      </ns0:c>
      <ns0:c r="R113" s="7" t="n">
        <ns0:v>242479.5226372445</ns0:v>
      </ns0:c>
    </ns0:row>
    <ns0:row r="114" ht="24" customHeight="1">
      <ns0:c r="A114" s="3" t="inlineStr">
        <ns0:is>
          <ns0:t>Sのみ</ns0:t>
        </ns0:is>
      </ns0:c>
      <ns0:c r="B114" s="3" t="inlineStr">
        <ns0:is>
          <ns0:t>G0基本5000比較</ns0:t>
        </ns0:is>
      </ns0:c>
      <ns0:c r="C114" s="3" t="inlineStr">
        <ns0:is>
          <ns0:t>D</ns0:t>
        </ns0:is>
      </ns0:c>
      <ns0:c r="D114" s="4" t="n">
        <ns0:v>0</ns0:v>
      </ns0:c>
      <ns0:c r="E114" s="4" t="n">
        <ns0:v>0</ns0:v>
      </ns0:c>
      <ns0:c r="F114" s="6" t="n">
        <ns0:v>0.5</ns0:v>
      </ns0:c>
      <ns0:c r="G114" s="4" t="n">
        <ns0:v>2</ns0:v>
      </ns0:c>
      <ns0:c r="H114" s="7" t="n">
        <ns0:v>1632.87</ns0:v>
      </ns0:c>
      <ns0:c r="I114" s="7" t="n">
        <ns0:v>1212.35</ns0:v>
      </ns0:c>
      <ns0:c r="J114" s="7" t="n">
        <ns0:v>606.175</ns0:v>
      </ns0:c>
      <ns0:c r="K114" s="18" t="inlineStr">
        <ns0:is>
          <ns0:t>範囲内なし</ns0:t>
        </ns0:is>
      </ns0:c>
      <ns0:c r="L114" s="18" t="inlineStr">
        <ns0:is>
          <ns0:t>範囲内なし</ns0:t>
        </ns0:is>
      </ns0:c>
      <ns0:c r="M114" s="7" t="n">
        <ns0:v>-44723.74244393898</ns0:v>
      </ns0:c>
      <ns0:c r="N114" s="7" t="n">
        <ns0:v>-78649.35807920134</ns0:v>
      </ns0:c>
      <ns0:c r="O114" s="7" t="n">
        <ns0:v>-108074.9737144637</ns0:v>
      </ns0:c>
      <ns0:c r="P114" s="7" t="n">
        <ns0:v>-181639.0128026196</ns0:v>
      </ns0:c>
      <ns0:c r="Q114" s="7" t="n">
        <ns0:v>-497895.1691552433</ns0:v>
      </ns0:c>
      <ns0:c r="R114" s="7" t="n">
        <ns0:v>-1557791.716389426</ns0:v>
      </ns0:c>
    </ns0:row>
    <ns0:row r="115" ht="24" customHeight="1">
      <ns0:c r="A115" s="3" t="inlineStr">
        <ns0:is>
          <ns0:t>Sのみ</ns0:t>
        </ns0:is>
      </ns0:c>
      <ns0:c r="B115" s="3" t="inlineStr">
        <ns0:is>
          <ns0:t>G0基本5000比較</ns0:t>
        </ns0:is>
      </ns0:c>
      <ns0:c r="C115" s="3" t="inlineStr">
        <ns0:is>
          <ns0:t>D</ns0:t>
        </ns0:is>
      </ns0:c>
      <ns0:c r="D115" s="4" t="n">
        <ns0:v>0</ns0:v>
      </ns0:c>
      <ns0:c r="E115" s="4" t="n">
        <ns0:v>0</ns0:v>
      </ns0:c>
      <ns0:c r="F115" s="6" t="n">
        <ns0:v>0.5</ns0:v>
      </ns0:c>
      <ns0:c r="G115" s="4" t="n">
        <ns0:v>3</ns0:v>
      </ns0:c>
      <ns0:c r="H115" s="7" t="n">
        <ns0:v>1632.87</ns0:v>
      </ns0:c>
      <ns0:c r="I115" s="7" t="n">
        <ns0:v>1212.35</ns0:v>
      </ns0:c>
      <ns0:c r="J115" s="7" t="n">
        <ns0:v>606.175</ns0:v>
      </ns0:c>
      <ns0:c r="K115" s="18" t="inlineStr">
        <ns0:is>
          <ns0:t>範囲内なし</ns0:t>
        </ns0:is>
      </ns0:c>
      <ns0:c r="L115" s="18" t="inlineStr">
        <ns0:is>
          <ns0:t>範囲内なし</ns0:t>
        </ns0:is>
      </ns0:c>
      <ns0:c r="M115" s="7" t="n">
        <ns0:v>-35232.82638745677</ns0:v>
      </ns0:c>
      <ns0:c r="N115" s="7" t="n">
        <ns0:v>-50176.60990975473</ns0:v>
      </ns0:c>
      <ns0:c r="O115" s="7" t="n">
        <ns0:v>-60620.39343205268</ns0:v>
      </ns0:c>
      <ns0:c r="P115" s="7" t="n">
        <ns0:v>-86729.85223779755</ns0:v>
      </ns0:c>
      <ns0:c r="Q115" s="7" t="n">
        <ns0:v>-213167.687460777</ns0:v>
      </ns0:c>
      <ns0:c r="R115" s="7" t="n">
        <ns0:v>-608700.1107412053</ns0:v>
      </ns0:c>
    </ns0:row>
    <ns0:row r="116" ht="24" customHeight="1">
      <ns0:c r="A116" s="3" t="inlineStr">
        <ns0:is>
          <ns0:t>Sのみ</ns0:t>
        </ns0:is>
      </ns0:c>
      <ns0:c r="B116" s="3" t="inlineStr">
        <ns0:is>
          <ns0:t>G0基本5000比較</ns0:t>
        </ns0:is>
      </ns0:c>
      <ns0:c r="C116" s="3" t="inlineStr">
        <ns0:is>
          <ns0:t>D</ns0:t>
        </ns0:is>
      </ns0:c>
      <ns0:c r="D116" s="4" t="n">
        <ns0:v>1</ns0:v>
      </ns0:c>
      <ns0:c r="E116" s="4" t="n">
        <ns0:v>0</ns0:v>
      </ns0:c>
      <ns0:c r="F116" s="6" t="n">
        <ns0:v>0.3</ns0:v>
      </ns0:c>
      <ns0:c r="G116" s="4" t="n">
        <ns0:v>0</ns0:v>
      </ns0:c>
      <ns0:c r="H116" s="7" t="n">
        <ns0:v>2438.19095477387</ns0:v>
      </ns0:c>
      <ns0:c r="I116" s="7" t="n">
        <ns0:v>1337.185929648241</ns0:v>
      </ns0:c>
      <ns0:c r="J116" s="7" t="n">
        <ns0:v>401.1557788944724</ns0:v>
      </ns0:c>
      <ns0:c r="K116" s="7" t="n">
        <ns0:v>21</ns0:v>
      </ns0:c>
      <ns0:c r="L116" s="7" t="n">
        <ns0:v>21</ns0:v>
      </ns0:c>
      <ns0:c r="M116" s="7" t="n">
        <ns0:v>-13566.51246323333</ns0:v>
      </ns0:c>
      <ns0:c r="N116" s="7" t="n">
        <ns0:v>14822.33186291559</ns0:v>
      </ns0:c>
      <ns0:c r="O116" s="7" t="n">
        <ns0:v>47711.17618906452</ns0:v>
      </ns0:c>
      <ns0:c r="P116" s="7" t="n">
        <ns0:v>129933.2870044368</ns0:v>
      </ns0:c>
      <ns0:c r="Q116" s="7" t="n">
        <ns0:v>436821.7302659261</ns0:v>
      </ns0:c>
      <ns0:c r="R116" s="7" t="n">
        <ns0:v>1557931.281681138</ns0:v>
      </ns0:c>
    </ns0:row>
    <ns0:row r="117" ht="24" customHeight="1">
      <ns0:c r="A117" s="3" t="inlineStr">
        <ns0:is>
          <ns0:t>Sのみ</ns0:t>
        </ns0:is>
      </ns0:c>
      <ns0:c r="B117" s="3" t="inlineStr">
        <ns0:is>
          <ns0:t>G0基本5000比較</ns0:t>
        </ns0:is>
      </ns0:c>
      <ns0:c r="C117" s="3" t="inlineStr">
        <ns0:is>
          <ns0:t>D</ns0:t>
        </ns0:is>
      </ns0:c>
      <ns0:c r="D117" s="4" t="n">
        <ns0:v>1</ns0:v>
      </ns0:c>
      <ns0:c r="E117" s="4" t="n">
        <ns0:v>0</ns0:v>
      </ns0:c>
      <ns0:c r="F117" s="6" t="n">
        <ns0:v>0.3</ns0:v>
      </ns0:c>
      <ns0:c r="G117" s="4" t="n">
        <ns0:v>1</ns0:v>
      </ns0:c>
      <ns0:c r="H117" s="7" t="n">
        <ns0:v>2438.19095477387</ns0:v>
      </ns0:c>
      <ns0:c r="I117" s="7" t="n">
        <ns0:v>1337.185929648241</ns0:v>
      </ns0:c>
      <ns0:c r="J117" s="7" t="n">
        <ns0:v>401.1557788944724</ns0:v>
      </ns0:c>
      <ns0:c r="K117" s="7" t="n">
        <ns0:v>29</ns0:v>
      </ns0:c>
      <ns0:c r="L117" s="7" t="n">
        <ns0:v>29</ns0:v>
      </ns0:c>
      <ns0:c r="M117" s="7" t="n">
        <ns0:v>-17807.06648477683</ns0:v>
      </ns0:c>
      <ns0:c r="N117" s="7" t="n">
        <ns0:v>2100.669798285082</ns0:v>
      </ns0:c>
      <ns0:c r="O117" s="7" t="n">
        <ns0:v>26508.40608134701</ns0:v>
      </ns0:c>
      <ns0:c r="P117" s="7" t="n">
        <ns0:v>87527.7467890018</ns0:v>
      </ns0:c>
      <ns0:c r="Q117" s="7" t="n">
        <ns0:v>309605.109619621</ns0:v>
      </ns0:c>
      <ns0:c r="R117" s="7" t="n">
        <ns0:v>1133875.879526788</ns0:v>
      </ns0:c>
    </ns0:row>
    <ns0:row r="118" ht="24" customHeight="1">
      <ns0:c r="A118" s="3" t="inlineStr">
        <ns0:is>
          <ns0:t>Sのみ</ns0:t>
        </ns0:is>
      </ns0:c>
      <ns0:c r="B118" s="3" t="inlineStr">
        <ns0:is>
          <ns0:t>G0基本5000比較</ns0:t>
        </ns0:is>
      </ns0:c>
      <ns0:c r="C118" s="3" t="inlineStr">
        <ns0:is>
          <ns0:t>D</ns0:t>
        </ns0:is>
      </ns0:c>
      <ns0:c r="D118" s="4" t="n">
        <ns0:v>1</ns0:v>
      </ns0:c>
      <ns0:c r="E118" s="4" t="n">
        <ns0:v>0</ns0:v>
      </ns0:c>
      <ns0:c r="F118" s="6" t="n">
        <ns0:v>0.3</ns0:v>
      </ns0:c>
      <ns0:c r="G118" s="4" t="n">
        <ns0:v>2</ns0:v>
      </ns0:c>
      <ns0:c r="H118" s="7" t="n">
        <ns0:v>2438.19095477387</ns0:v>
      </ns0:c>
      <ns0:c r="I118" s="7" t="n">
        <ns0:v>1337.185929648241</ns0:v>
      </ns0:c>
      <ns0:c r="J118" s="7" t="n">
        <ns0:v>401.1557788944724</ns0:v>
      </ns0:c>
      <ns0:c r="K118" s="18" t="inlineStr">
        <ns0:is>
          <ns0:t>範囲内なし</ns0:t>
        </ns0:is>
      </ns0:c>
      <ns0:c r="L118" s="18" t="inlineStr">
        <ns0:is>
          <ns0:t>範囲内なし</ns0:t>
        </ns0:is>
      </ns0:c>
      <ns0:c r="M118" s="7" t="n">
        <ns0:v>-51996.15762567387</ns0:v>
      </ns0:c>
      <ns0:c r="N118" s="7" t="n">
        <ns0:v>-100466.603624406</ns0:v>
      </ns0:c>
      <ns0:c r="O118" s="7" t="n">
        <ns0:v>-144437.0496231382</ns0:v>
      </ns0:c>
      <ns0:c r="P118" s="7" t="n">
        <ns0:v>-254363.1646199685</ns0:v>
      </ns0:c>
      <ns0:c r="Q118" s="7" t="n">
        <ns0:v>-716067.6246072899</ns0:v>
      </ns0:c>
      <ns0:c r="R118" s="7" t="n">
        <ns0:v>-2285033.234562915</ns0:v>
      </ns0:c>
    </ns0:row>
    <ns0:row r="119" ht="24" customHeight="1">
      <ns0:c r="A119" s="3" t="inlineStr">
        <ns0:is>
          <ns0:t>Sのみ</ns0:t>
        </ns0:is>
      </ns0:c>
      <ns0:c r="B119" s="3" t="inlineStr">
        <ns0:is>
          <ns0:t>G0基本5000比較</ns0:t>
        </ns0:is>
      </ns0:c>
      <ns0:c r="C119" s="3" t="inlineStr">
        <ns0:is>
          <ns0:t>D</ns0:t>
        </ns0:is>
      </ns0:c>
      <ns0:c r="D119" s="4" t="n">
        <ns0:v>1</ns0:v>
      </ns0:c>
      <ns0:c r="E119" s="4" t="n">
        <ns0:v>0</ns0:v>
      </ns0:c>
      <ns0:c r="F119" s="6" t="n">
        <ns0:v>0.3</ns0:v>
      </ns0:c>
      <ns0:c r="G119" s="4" t="n">
        <ns0:v>3</ns0:v>
      </ns0:c>
      <ns0:c r="H119" s="7" t="n">
        <ns0:v>2438.19095477387</ns0:v>
      </ns0:c>
      <ns0:c r="I119" s="7" t="n">
        <ns0:v>1337.185929648241</ns0:v>
      </ns0:c>
      <ns0:c r="J119" s="7" t="n">
        <ns0:v>401.1557788944724</ns0:v>
      </ns0:c>
      <ns0:c r="K119" s="7" t="n">
        <ns0:v>198</ns0:v>
      </ns0:c>
      <ns0:c r="L119" s="7" t="n">
        <ns0:v>198</ns0:v>
      </ns0:c>
      <ns0:c r="M119" s="7" t="n">
        <ns0:v>-27147.05111175677</ns0:v>
      </ns0:c>
      <ns0:c r="N119" s="7" t="n">
        <ns0:v>-25919.28408265471</ns0:v>
      </ns0:c>
      <ns0:c r="O119" s="7" t="n">
        <ns0:v>-20191.51705355265</ns0:v>
      </ns0:c>
      <ns0:c r="P119" s="7" t="n">
        <ns0:v>-5872.0994807975</ns0:v>
      </ns0:c>
      <ns0:c r="Q119" s="7" t="n">
        <ns0:v>29405.57081022306</ns0:v>
      </ns0:c>
      <ns0:c r="R119" s="7" t="n">
        <ns0:v>199877.4168287949</ns0:v>
      </ns0:c>
    </ns0:row>
    <ns0:row r="120" ht="24" customHeight="1">
      <ns0:c r="A120" s="3" t="inlineStr">
        <ns0:is>
          <ns0:t>Sのみ</ns0:t>
        </ns0:is>
      </ns0:c>
      <ns0:c r="B120" s="3" t="inlineStr">
        <ns0:is>
          <ns0:t>G0基本5000比較</ns0:t>
        </ns0:is>
      </ns0:c>
      <ns0:c r="C120" s="3" t="inlineStr">
        <ns0:is>
          <ns0:t>D</ns0:t>
        </ns0:is>
      </ns0:c>
      <ns0:c r="D120" s="4" t="n">
        <ns0:v>1</ns0:v>
      </ns0:c>
      <ns0:c r="E120" s="4" t="n">
        <ns0:v>0</ns0:v>
      </ns0:c>
      <ns0:c r="F120" s="6" t="n">
        <ns0:v>0.4</ns0:v>
      </ns0:c>
      <ns0:c r="G120" s="4" t="n">
        <ns0:v>0</ns0:v>
      </ns0:c>
      <ns0:c r="H120" s="7" t="n">
        <ns0:v>2438.19095477387</ns0:v>
      </ns0:c>
      <ns0:c r="I120" s="7" t="n">
        <ns0:v>1337.185929648241</ns0:v>
      </ns0:c>
      <ns0:c r="J120" s="7" t="n">
        <ns0:v>534.8743718592966</ns0:v>
      </ns0:c>
      <ns0:c r="K120" s="7" t="n">
        <ns0:v>23</ns0:v>
      </ns0:c>
      <ns0:c r="L120" s="7" t="n">
        <ns0:v>23</ns0:v>
      </ns0:c>
      <ns0:c r="M120" s="7" t="n">
        <ns0:v>-14903.69839288158</ns0:v>
      </ns0:c>
      <ns0:c r="N120" s="7" t="n">
        <ns0:v>10810.77407397086</ns0:v>
      </ns0:c>
      <ns0:c r="O120" s="7" t="n">
        <ns0:v>41025.24654082332</ns0:v>
      </ns0:c>
      <ns0:c r="P120" s="7" t="n">
        <ns0:v>116561.4277079544</ns0:v>
      </ns0:c>
      <ns0:c r="Q120" s="7" t="n">
        <ns0:v>396706.1523764788</ns0:v>
      </ns0:c>
      <ns0:c r="R120" s="7" t="n">
        <ns0:v>1424212.688716314</ns0:v>
      </ns0:c>
    </ns0:row>
    <ns0:row r="121" ht="24" customHeight="1">
      <ns0:c r="A121" s="3" t="inlineStr">
        <ns0:is>
          <ns0:t>Sのみ</ns0:t>
        </ns0:is>
      </ns0:c>
      <ns0:c r="B121" s="3" t="inlineStr">
        <ns0:is>
          <ns0:t>G0基本5000比較</ns0:t>
        </ns0:is>
      </ns0:c>
      <ns0:c r="C121" s="3" t="inlineStr">
        <ns0:is>
          <ns0:t>D</ns0:t>
        </ns0:is>
      </ns0:c>
      <ns0:c r="D121" s="4" t="n">
        <ns0:v>1</ns0:v>
      </ns0:c>
      <ns0:c r="E121" s="4" t="n">
        <ns0:v>0</ns0:v>
      </ns0:c>
      <ns0:c r="F121" s="6" t="n">
        <ns0:v>0.4</ns0:v>
      </ns0:c>
      <ns0:c r="G121" s="4" t="n">
        <ns0:v>1</ns0:v>
      </ns0:c>
      <ns0:c r="H121" s="7" t="n">
        <ns0:v>2438.19095477387</ns0:v>
      </ns0:c>
      <ns0:c r="I121" s="7" t="n">
        <ns0:v>1337.185929648241</ns0:v>
      </ns0:c>
      <ns0:c r="J121" s="7" t="n">
        <ns0:v>534.8743718592966</ns0:v>
      </ns0:c>
      <ns0:c r="K121" s="7" t="n">
        <ns0:v>32</ns0:v>
      </ns0:c>
      <ns0:c r="L121" s="7" t="n">
        <ns0:v>32</ns0:v>
      </ns0:c>
      <ns0:c r="M121" s="7" t="n">
        <ns0:v>-19144.25241442508</ns0:v>
      </ns0:c>
      <ns0:c r="N121" s="7" t="n">
        <ns0:v>-1910.887990659645</ns0:v>
      </ns0:c>
      <ns0:c r="O121" s="7" t="n">
        <ns0:v>19822.4764331058</ns0:v>
      </ns0:c>
      <ns0:c r="P121" s="7" t="n">
        <ns0:v>74155.8874925194</ns0:v>
      </ns0:c>
      <ns0:c r="Q121" s="7" t="n">
        <ns0:v>269489.5317301737</ns0:v>
      </ns0:c>
      <ns0:c r="R121" s="7" t="n">
        <ns0:v>1000157.286561964</ns0:v>
      </ns0:c>
    </ns0:row>
    <ns0:row r="122" ht="24" customHeight="1">
      <ns0:c r="A122" s="3" t="inlineStr">
        <ns0:is>
          <ns0:t>Sのみ</ns0:t>
        </ns0:is>
      </ns0:c>
      <ns0:c r="B122" s="3" t="inlineStr">
        <ns0:is>
          <ns0:t>G0基本5000比較</ns0:t>
        </ns0:is>
      </ns0:c>
      <ns0:c r="C122" s="3" t="inlineStr">
        <ns0:is>
          <ns0:t>D</ns0:t>
        </ns0:is>
      </ns0:c>
      <ns0:c r="D122" s="4" t="n">
        <ns0:v>1</ns0:v>
      </ns0:c>
      <ns0:c r="E122" s="4" t="n">
        <ns0:v>0</ns0:v>
      </ns0:c>
      <ns0:c r="F122" s="6" t="n">
        <ns0:v>0.4</ns0:v>
      </ns0:c>
      <ns0:c r="G122" s="4" t="n">
        <ns0:v>2</ns0:v>
      </ns0:c>
      <ns0:c r="H122" s="7" t="n">
        <ns0:v>2438.19095477387</ns0:v>
      </ns0:c>
      <ns0:c r="I122" s="7" t="n">
        <ns0:v>1337.185929648241</ns0:v>
      </ns0:c>
      <ns0:c r="J122" s="7" t="n">
        <ns0:v>534.8743718592966</ns0:v>
      </ns0:c>
      <ns0:c r="K122" s="18" t="inlineStr">
        <ns0:is>
          <ns0:t>範囲内なし</ns0:t>
        </ns0:is>
      </ns0:c>
      <ns0:c r="L122" s="18" t="inlineStr">
        <ns0:is>
          <ns0:t>範囲内なし</ns0:t>
        </ns0:is>
      </ns0:c>
      <ns0:c r="M122" s="7" t="n">
        <ns0:v>-53333.34355532211</ns0:v>
      </ns0:c>
      <ns0:c r="N122" s="7" t="n">
        <ns0:v>-104478.1614133507</ns0:v>
      </ns0:c>
      <ns0:c r="O122" s="7" t="n">
        <ns0:v>-151122.9792713794</ns0:v>
      </ns0:c>
      <ns0:c r="P122" s="7" t="n">
        <ns0:v>-267735.0239164509</ns0:v>
      </ns0:c>
      <ns0:c r="Q122" s="7" t="n">
        <ns0:v>-756183.2024967372</ns0:v>
      </ns0:c>
      <ns0:c r="R122" s="7" t="n">
        <ns0:v>-2418751.82752774</ns0:v>
      </ns0:c>
    </ns0:row>
    <ns0:row r="123" ht="24" customHeight="1">
      <ns0:c r="A123" s="3" t="inlineStr">
        <ns0:is>
          <ns0:t>Sのみ</ns0:t>
        </ns0:is>
      </ns0:c>
      <ns0:c r="B123" s="3" t="inlineStr">
        <ns0:is>
          <ns0:t>G0基本5000比較</ns0:t>
        </ns0:is>
      </ns0:c>
      <ns0:c r="C123" s="3" t="inlineStr">
        <ns0:is>
          <ns0:t>D</ns0:t>
        </ns0:is>
      </ns0:c>
      <ns0:c r="D123" s="4" t="n">
        <ns0:v>1</ns0:v>
      </ns0:c>
      <ns0:c r="E123" s="4" t="n">
        <ns0:v>0</ns0:v>
      </ns0:c>
      <ns0:c r="F123" s="6" t="n">
        <ns0:v>0.4</ns0:v>
      </ns0:c>
      <ns0:c r="G123" s="4" t="n">
        <ns0:v>3</ns0:v>
      </ns0:c>
      <ns0:c r="H123" s="7" t="n">
        <ns0:v>2438.19095477387</ns0:v>
      </ns0:c>
      <ns0:c r="I123" s="7" t="n">
        <ns0:v>1337.185929648241</ns0:v>
      </ns0:c>
      <ns0:c r="J123" s="7" t="n">
        <ns0:v>534.8743718592966</ns0:v>
      </ns0:c>
      <ns0:c r="K123" s="7" t="n">
        <ns0:v>567</ns0:v>
      </ns0:c>
      <ns0:c r="L123" s="7" t="n">
        <ns0:v>567</ns0:v>
      </ns0:c>
      <ns0:c r="M123" s="7" t="n">
        <ns0:v>-28484.23704140501</ns0:v>
      </ns0:c>
      <ns0:c r="N123" s="7" t="n">
        <ns0:v>-29930.84187159944</ns0:v>
      </ns0:c>
      <ns0:c r="O123" s="7" t="n">
        <ns0:v>-26877.44670179385</ns0:v>
      </ns0:c>
      <ns0:c r="P123" s="7" t="n">
        <ns0:v>-19243.95877727991</ns0:v>
      </ns0:c>
      <ns0:c r="Q123" s="7" t="n">
        <ns0:v>-10710.00707922427</ns0:v>
      </ns0:c>
      <ns0:c r="R123" s="7" t="n">
        <ns0:v>66158.82386397058</ns0:v>
      </ns0:c>
    </ns0:row>
    <ns0:row r="124" ht="24" customHeight="1">
      <ns0:c r="A124" s="3" t="inlineStr">
        <ns0:is>
          <ns0:t>Sのみ</ns0:t>
        </ns0:is>
      </ns0:c>
      <ns0:c r="B124" s="3" t="inlineStr">
        <ns0:is>
          <ns0:t>G0基本5000比較</ns0:t>
        </ns0:is>
      </ns0:c>
      <ns0:c r="C124" s="3" t="inlineStr">
        <ns0:is>
          <ns0:t>D</ns0:t>
        </ns0:is>
      </ns0:c>
      <ns0:c r="D124" s="4" t="n">
        <ns0:v>1</ns0:v>
      </ns0:c>
      <ns0:c r="E124" s="4" t="n">
        <ns0:v>0</ns0:v>
      </ns0:c>
      <ns0:c r="F124" s="6" t="n">
        <ns0:v>0.5</ns0:v>
      </ns0:c>
      <ns0:c r="G124" s="4" t="n">
        <ns0:v>0</ns0:v>
      </ns0:c>
      <ns0:c r="H124" s="7" t="n">
        <ns0:v>2438.19095477387</ns0:v>
      </ns0:c>
      <ns0:c r="I124" s="7" t="n">
        <ns0:v>1337.185929648241</ns0:v>
      </ns0:c>
      <ns0:c r="J124" s="7" t="n">
        <ns0:v>668.5929648241207</ns0:v>
      </ns0:c>
      <ns0:c r="K124" s="7" t="n">
        <ns0:v>26</ns0:v>
      </ns0:c>
      <ns0:c r="L124" s="7" t="n">
        <ns0:v>26</ns0:v>
      </ns0:c>
      <ns0:c r="M124" s="7" t="n">
        <ns0:v>-16240.88432252982</ns0:v>
      </ns0:c>
      <ns0:c r="N124" s="7" t="n">
        <ns0:v>6799.216285026145</ns0:v>
      </ns0:c>
      <ns0:c r="O124" s="7" t="n">
        <ns0:v>34339.3168925821</ns0:v>
      </ns0:c>
      <ns0:c r="P124" s="7" t="n">
        <ns0:v>103189.568411472</ns0:v>
      </ns0:c>
      <ns0:c r="Q124" s="7" t="n">
        <ns0:v>356590.5744870316</ns0:v>
      </ns0:c>
      <ns0:c r="R124" s="7" t="n">
        <ns0:v>1290494.09575149</ns0:v>
      </ns0:c>
    </ns0:row>
    <ns0:row r="125" ht="24" customHeight="1">
      <ns0:c r="A125" s="3" t="inlineStr">
        <ns0:is>
          <ns0:t>Sのみ</ns0:t>
        </ns0:is>
      </ns0:c>
      <ns0:c r="B125" s="3" t="inlineStr">
        <ns0:is>
          <ns0:t>G0基本5000比較</ns0:t>
        </ns0:is>
      </ns0:c>
      <ns0:c r="C125" s="3" t="inlineStr">
        <ns0:is>
          <ns0:t>D</ns0:t>
        </ns0:is>
      </ns0:c>
      <ns0:c r="D125" s="4" t="n">
        <ns0:v>1</ns0:v>
      </ns0:c>
      <ns0:c r="E125" s="4" t="n">
        <ns0:v>0</ns0:v>
      </ns0:c>
      <ns0:c r="F125" s="6" t="n">
        <ns0:v>0.5</ns0:v>
      </ns0:c>
      <ns0:c r="G125" s="4" t="n">
        <ns0:v>1</ns0:v>
      </ns0:c>
      <ns0:c r="H125" s="7" t="n">
        <ns0:v>2438.19095477387</ns0:v>
      </ns0:c>
      <ns0:c r="I125" s="7" t="n">
        <ns0:v>1337.185929648241</ns0:v>
      </ns0:c>
      <ns0:c r="J125" s="7" t="n">
        <ns0:v>668.5929648241207</ns0:v>
      </ns0:c>
      <ns0:c r="K125" s="7" t="n">
        <ns0:v>37</ns0:v>
      </ns0:c>
      <ns0:c r="L125" s="7" t="n">
        <ns0:v>37</ns0:v>
      </ns0:c>
      <ns0:c r="M125" s="7" t="n">
        <ns0:v>-20481.43834407332</ns0:v>
      </ns0:c>
      <ns0:c r="N125" s="7" t="n">
        <ns0:v>-5922.445779604361</ns0:v>
      </ns0:c>
      <ns0:c r="O125" s="7" t="n">
        <ns0:v>13136.54678486459</ns0:v>
      </ns0:c>
      <ns0:c r="P125" s="7" t="n">
        <ns0:v>60784.02819603697</ns0:v>
      </ns0:c>
      <ns0:c r="Q125" s="7" t="n">
        <ns0:v>229373.9538407265</ns0:v>
      </ns0:c>
      <ns0:c r="R125" s="7" t="n">
        <ns0:v>866438.6935971398</ns0:v>
      </ns0:c>
    </ns0:row>
    <ns0:row r="126" ht="24" customHeight="1">
      <ns0:c r="A126" s="3" t="inlineStr">
        <ns0:is>
          <ns0:t>Sのみ</ns0:t>
        </ns0:is>
      </ns0:c>
      <ns0:c r="B126" s="3" t="inlineStr">
        <ns0:is>
          <ns0:t>G0基本5000比較</ns0:t>
        </ns0:is>
      </ns0:c>
      <ns0:c r="C126" s="3" t="inlineStr">
        <ns0:is>
          <ns0:t>D</ns0:t>
        </ns0:is>
      </ns0:c>
      <ns0:c r="D126" s="4" t="n">
        <ns0:v>1</ns0:v>
      </ns0:c>
      <ns0:c r="E126" s="4" t="n">
        <ns0:v>0</ns0:v>
      </ns0:c>
      <ns0:c r="F126" s="6" t="n">
        <ns0:v>0.5</ns0:v>
      </ns0:c>
      <ns0:c r="G126" s="4" t="n">
        <ns0:v>2</ns0:v>
      </ns0:c>
      <ns0:c r="H126" s="7" t="n">
        <ns0:v>2438.19095477387</ns0:v>
      </ns0:c>
      <ns0:c r="I126" s="7" t="n">
        <ns0:v>1337.185929648241</ns0:v>
      </ns0:c>
      <ns0:c r="J126" s="7" t="n">
        <ns0:v>668.5929648241207</ns0:v>
      </ns0:c>
      <ns0:c r="K126" s="18" t="inlineStr">
        <ns0:is>
          <ns0:t>範囲内なし</ns0:t>
        </ns0:is>
      </ns0:c>
      <ns0:c r="L126" s="18" t="inlineStr">
        <ns0:is>
          <ns0:t>範囲内なし</ns0:t>
        </ns0:is>
      </ns0:c>
      <ns0:c r="M126" s="7" t="n">
        <ns0:v>-54670.52948497035</ns0:v>
      </ns0:c>
      <ns0:c r="N126" s="7" t="n">
        <ns0:v>-108489.7192022954</ns0:v>
      </ns0:c>
      <ns0:c r="O126" s="7" t="n">
        <ns0:v>-157808.9089196206</ns0:v>
      </ns0:c>
      <ns0:c r="P126" s="7" t="n">
        <ns0:v>-281106.8832129333</ns0:v>
      </ns0:c>
      <ns0:c r="Q126" s="7" t="n">
        <ns0:v>-796298.7803861843</ns0:v>
      </ns0:c>
      <ns0:c r="R126" s="7" t="n">
        <ns0:v>-2552470.420492564</ns0:v>
      </ns0:c>
    </ns0:row>
    <ns0:row r="127" ht="24" customHeight="1">
      <ns0:c r="A127" s="3" t="inlineStr">
        <ns0:is>
          <ns0:t>Sのみ</ns0:t>
        </ns0:is>
      </ns0:c>
      <ns0:c r="B127" s="3" t="inlineStr">
        <ns0:is>
          <ns0:t>G0基本5000比較</ns0:t>
        </ns0:is>
      </ns0:c>
      <ns0:c r="C127" s="3" t="inlineStr">
        <ns0:is>
          <ns0:t>D</ns0:t>
        </ns0:is>
      </ns0:c>
      <ns0:c r="D127" s="4" t="n">
        <ns0:v>1</ns0:v>
      </ns0:c>
      <ns0:c r="E127" s="4" t="n">
        <ns0:v>0</ns0:v>
      </ns0:c>
      <ns0:c r="F127" s="6" t="n">
        <ns0:v>0.5</ns0:v>
      </ns0:c>
      <ns0:c r="G127" s="4" t="n">
        <ns0:v>3</ns0:v>
      </ns0:c>
      <ns0:c r="H127" s="7" t="n">
        <ns0:v>2438.19095477387</ns0:v>
      </ns0:c>
      <ns0:c r="I127" s="7" t="n">
        <ns0:v>1337.185929648241</ns0:v>
      </ns0:c>
      <ns0:c r="J127" s="7" t="n">
        <ns0:v>668.5929648241207</ns0:v>
      </ns0:c>
      <ns0:c r="K127" s="18" t="inlineStr">
        <ns0:is>
          <ns0:t>範囲内なし</ns0:t>
        </ns0:is>
      </ns0:c>
      <ns0:c r="L127" s="18" t="inlineStr">
        <ns0:is>
          <ns0:t>範囲内なし</ns0:t>
        </ns0:is>
      </ns0:c>
      <ns0:c r="M127" s="7" t="n">
        <ns0:v>-29821.42297105325</ns0:v>
      </ns0:c>
      <ns0:c r="N127" s="7" t="n">
        <ns0:v>-33942.39966054416</ns0:v>
      </ns0:c>
      <ns0:c r="O127" s="7" t="n">
        <ns0:v>-33563.37635003507</ns0:v>
      </ns0:c>
      <ns0:c r="P127" s="7" t="n">
        <ns0:v>-32615.81807376234</ns0:v>
      </ns0:c>
      <ns0:c r="Q127" s="7" t="n">
        <ns0:v>-50825.58496867143</ns0:v>
      </ns0:c>
      <ns0:c r="R127" s="7" t="n">
        <ns0:v>-67559.76910085347</ns0:v>
      </ns0:c>
    </ns0:row>
    <ns0:row r="128" ht="24" customHeight="1">
      <ns0:c r="A128" s="3" t="inlineStr">
        <ns0:is>
          <ns0:t>Sのみ</ns0:t>
        </ns0:is>
      </ns0:c>
      <ns0:c r="B128" s="3" t="inlineStr">
        <ns0:is>
          <ns0:t>G0基本5000比較</ns0:t>
        </ns0:is>
      </ns0:c>
      <ns0:c r="C128" s="3" t="inlineStr">
        <ns0:is>
          <ns0:t>D</ns0:t>
        </ns0:is>
      </ns0:c>
      <ns0:c r="D128" s="4" t="n">
        <ns0:v>2</ns0:v>
      </ns0:c>
      <ns0:c r="E128" s="4" t="n">
        <ns0:v>0</ns0:v>
      </ns0:c>
      <ns0:c r="F128" s="6" t="n">
        <ns0:v>0.3</ns0:v>
      </ns0:c>
      <ns0:c r="G128" s="4" t="n">
        <ns0:v>0</ns0:v>
      </ns0:c>
      <ns0:c r="H128" s="7" t="n">
        <ns0:v>4140.082644628099</ns0:v>
      </ns0:c>
      <ns0:c r="I128" s="7" t="n">
        <ns0:v>1761.363636363636</ns0:v>
      </ns0:c>
      <ns0:c r="J128" s="7" t="n">
        <ns0:v>528.4090909090908</ns0:v>
      </ns0:c>
      <ns0:c r="K128" s="7" t="n">
        <ns0:v>12</ns0:v>
      </ns0:c>
      <ns0:c r="L128" s="7" t="n">
        <ns0:v>12</ns0:v>
      </ns0:c>
      <ns0:c r="M128" s="7" t="n">
        <ns0:v>931.0275973756579</ns0:v>
      </ns0:c>
      <ns0:c r="N128" s="7" t="n">
        <ns0:v>58314.95204474257</ns0:v>
      </ns0:c>
      <ns0:c r="O128" s="7" t="n">
        <ns0:v>120198.8764921095</ns0:v>
      </ns0:c>
      <ns0:c r="P128" s="7" t="n">
        <ns0:v>274908.6876105268</ns0:v>
      </ns0:c>
      <ns0:c r="Q128" s="7" t="n">
        <ns0:v>871747.9320841958</ns0:v>
      </ns0:c>
      <ns0:c r="R128" s="7" t="n">
        <ns0:v>3007685.287742037</ns0:v>
      </ns0:c>
    </ns0:row>
    <ns0:row r="129" ht="24" customHeight="1">
      <ns0:c r="A129" s="3" t="inlineStr">
        <ns0:is>
          <ns0:t>Sのみ</ns0:t>
        </ns0:is>
      </ns0:c>
      <ns0:c r="B129" s="3" t="inlineStr">
        <ns0:is>
          <ns0:t>G0基本5000比較</ns0:t>
        </ns0:is>
      </ns0:c>
      <ns0:c r="C129" s="3" t="inlineStr">
        <ns0:is>
          <ns0:t>D</ns0:t>
        </ns0:is>
      </ns0:c>
      <ns0:c r="D129" s="4" t="n">
        <ns0:v>2</ns0:v>
      </ns0:c>
      <ns0:c r="E129" s="4" t="n">
        <ns0:v>0</ns0:v>
      </ns0:c>
      <ns0:c r="F129" s="6" t="n">
        <ns0:v>0.3</ns0:v>
      </ns0:c>
      <ns0:c r="G129" s="4" t="n">
        <ns0:v>1</ns0:v>
      </ns0:c>
      <ns0:c r="H129" s="7" t="n">
        <ns0:v>4140.082644628099</ns0:v>
      </ns0:c>
      <ns0:c r="I129" s="7" t="n">
        <ns0:v>1761.363636363636</ns0:v>
      </ns0:c>
      <ns0:c r="J129" s="7" t="n">
        <ns0:v>528.4090909090908</ns0:v>
      </ns0:c>
      <ns0:c r="K129" s="7" t="n">
        <ns0:v>14</ns0:v>
      </ns0:c>
      <ns0:c r="L129" s="7" t="n">
        <ns0:v>14</ns0:v>
      </ns0:c>
      <ns0:c r="M129" s="7" t="n">
        <ns0:v>-4362.354097671614</ns0:v>
      </ns0:c>
      <ns0:c r="N129" s="7" t="n">
        <ns0:v>42434.80695960076</ns0:v>
      </ns0:c>
      <ns0:c r="O129" s="7" t="n">
        <ns0:v>93731.96801687314</ns0:v>
      </ns0:c>
      <ns0:c r="P129" s="7" t="n">
        <ns0:v>221974.8706600541</ns0:v>
      </ns0:c>
      <ns0:c r="Q129" s="7" t="n">
        <ns0:v>712946.4812327777</ns0:v>
      </ns0:c>
      <ns0:c r="R129" s="7" t="n">
        <ns0:v>2478347.118237311</ns0:v>
      </ns0:c>
    </ns0:row>
    <ns0:row r="130" ht="24" customHeight="1">
      <ns0:c r="A130" s="3" t="inlineStr">
        <ns0:is>
          <ns0:t>Sのみ</ns0:t>
        </ns0:is>
      </ns0:c>
      <ns0:c r="B130" s="3" t="inlineStr">
        <ns0:is>
          <ns0:t>G0基本5000比較</ns0:t>
        </ns0:is>
      </ns0:c>
      <ns0:c r="C130" s="3" t="inlineStr">
        <ns0:is>
          <ns0:t>D</ns0:t>
        </ns0:is>
      </ns0:c>
      <ns0:c r="D130" s="4" t="n">
        <ns0:v>2</ns0:v>
      </ns0:c>
      <ns0:c r="E130" s="4" t="n">
        <ns0:v>0</ns0:v>
      </ns0:c>
      <ns0:c r="F130" s="6" t="n">
        <ns0:v>0.3</ns0:v>
      </ns0:c>
      <ns0:c r="G130" s="4" t="n">
        <ns0:v>2</ns0:v>
      </ns0:c>
      <ns0:c r="H130" s="7" t="n">
        <ns0:v>4140.082644628099</ns0:v>
      </ns0:c>
      <ns0:c r="I130" s="7" t="n">
        <ns0:v>1761.363636363636</ns0:v>
      </ns0:c>
      <ns0:c r="J130" s="7" t="n">
        <ns0:v>528.4090909090908</ns0:v>
      </ns0:c>
      <ns0:c r="K130" s="18" t="inlineStr">
        <ns0:is>
          <ns0:t>範囲内なし</ns0:t>
        </ns0:is>
      </ns0:c>
      <ns0:c r="L130" s="18" t="inlineStr">
        <ns0:is>
          <ns0:t>範囲内なし</ns0:t>
        </ns0:is>
      </ns0:c>
      <ns0:c r="M130" s="7" t="n">
        <ns0:v>-68943.8296444467</ns0:v>
      </ns0:c>
      <ns0:c r="N130" s="7" t="n">
        <ns0:v>-151309.6196807245</ns0:v>
      </ns0:c>
      <ns0:c r="O130" s="7" t="n">
        <ns0:v>-229175.4097170023</ns0:v>
      </ns0:c>
      <ns0:c r="P130" s="7" t="n">
        <ns0:v>-423839.8848076968</ns0:v>
      </ns0:c>
      <ns0:c r="Q130" s="7" t="n">
        <ns0:v>-1224497.785170475</ns0:v>
      </ns0:c>
      <ns0:c r="R130" s="7" t="n">
        <ns0:v>-3979800.436440198</ns0:v>
      </ns0:c>
    </ns0:row>
    <ns0:row r="131" ht="24" customHeight="1">
      <ns0:c r="A131" s="3" t="inlineStr">
        <ns0:is>
          <ns0:t>Sのみ</ns0:t>
        </ns0:is>
      </ns0:c>
      <ns0:c r="B131" s="3" t="inlineStr">
        <ns0:is>
          <ns0:t>G0基本5000比較</ns0:t>
        </ns0:is>
      </ns0:c>
      <ns0:c r="C131" s="3" t="inlineStr">
        <ns0:is>
          <ns0:t>D</ns0:t>
        </ns0:is>
      </ns0:c>
      <ns0:c r="D131" s="4" t="n">
        <ns0:v>2</ns0:v>
      </ns0:c>
      <ns0:c r="E131" s="4" t="n">
        <ns0:v>0</ns0:v>
      </ns0:c>
      <ns0:c r="F131" s="6" t="n">
        <ns0:v>0.3</ns0:v>
      </ns0:c>
      <ns0:c r="G131" s="4" t="n">
        <ns0:v>3</ns0:v>
      </ns0:c>
      <ns0:c r="H131" s="7" t="n">
        <ns0:v>4140.082644628099</ns0:v>
      </ns0:c>
      <ns0:c r="I131" s="7" t="n">
        <ns0:v>1761.363636363636</ns0:v>
      </ns0:c>
      <ns0:c r="J131" s="7" t="n">
        <ns0:v>528.4090909090908</ns0:v>
      </ns0:c>
      <ns0:c r="K131" s="7" t="n">
        <ns0:v>24</ns0:v>
      </ns0:c>
      <ns0:c r="L131" s="7" t="n">
        <ns0:v>24</ns0:v>
      </ns0:c>
      <ns0:c r="M131" s="7" t="n">
        <ns0:v>-15257.38802598237</ns0:v>
      </ns0:c>
      <ns0:c r="N131" s="7" t="n">
        <ns0:v>9749.705174668488</ns0:v>
      </ns0:c>
      <ns0:c r="O131" s="7" t="n">
        <ns0:v>39256.79837531936</ns0:v>
      </ns0:c>
      <ns0:c r="P131" s="7" t="n">
        <ns0:v>113024.5313769465</ns0:v>
      </ns0:c>
      <ns0:c r="Q131" s="7" t="n">
        <ns0:v>386095.4633834549</ns0:v>
      </ns0:c>
      <ns0:c r="R131" s="7" t="n">
        <ns0:v>1388843.725406235</ns0:v>
      </ns0:c>
    </ns0:row>
    <ns0:row r="132" ht="24" customHeight="1">
      <ns0:c r="A132" s="3" t="inlineStr">
        <ns0:is>
          <ns0:t>Sのみ</ns0:t>
        </ns0:is>
      </ns0:c>
      <ns0:c r="B132" s="3" t="inlineStr">
        <ns0:is>
          <ns0:t>G0基本5000比較</ns0:t>
        </ns0:is>
      </ns0:c>
      <ns0:c r="C132" s="3" t="inlineStr">
        <ns0:is>
          <ns0:t>D</ns0:t>
        </ns0:is>
      </ns0:c>
      <ns0:c r="D132" s="4" t="n">
        <ns0:v>2</ns0:v>
      </ns0:c>
      <ns0:c r="E132" s="4" t="n">
        <ns0:v>0</ns0:v>
      </ns0:c>
      <ns0:c r="F132" s="6" t="n">
        <ns0:v>0.4</ns0:v>
      </ns0:c>
      <ns0:c r="G132" s="4" t="n">
        <ns0:v>0</ns0:v>
      </ns0:c>
      <ns0:c r="H132" s="7" t="n">
        <ns0:v>4140.082644628099</ns0:v>
      </ns0:c>
      <ns0:c r="I132" s="7" t="n">
        <ns0:v>1761.363636363636</ns0:v>
      </ns0:c>
      <ns0:c r="J132" s="7" t="n">
        <ns0:v>704.5454545454545</ns0:v>
      </ns0:c>
      <ns0:c r="K132" s="7" t="n">
        <ns0:v>12</ns0:v>
      </ns0:c>
      <ns0:c r="L132" s="7" t="n">
        <ns0:v>12</ns0:v>
      </ns0:c>
      <ns0:c r="M132" s="7" t="n">
        <ns0:v>-830.3360389879745</ns0:v>
      </ns0:c>
      <ns0:c r="N132" s="7" t="n">
        <ns0:v>53030.86113565166</ns0:v>
      </ns0:c>
      <ns0:c r="O132" s="7" t="n">
        <ns0:v>111392.0583102913</ns0:v>
      </ns0:c>
      <ns0:c r="P132" s="7" t="n">
        <ns0:v>257295.0512468904</ns0:v>
      </ns0:c>
      <ns0:c r="Q132" s="7" t="n">
        <ns0:v>818907.0229932867</ns0:v>
      </ns0:c>
      <ns0:c r="R132" s="7" t="n">
        <ns0:v>2831548.924105674</ns0:v>
      </ns0:c>
    </ns0:row>
    <ns0:row r="133" ht="24" customHeight="1">
      <ns0:c r="A133" s="3" t="inlineStr">
        <ns0:is>
          <ns0:t>Sのみ</ns0:t>
        </ns0:is>
      </ns0:c>
      <ns0:c r="B133" s="3" t="inlineStr">
        <ns0:is>
          <ns0:t>G0基本5000比較</ns0:t>
        </ns0:is>
      </ns0:c>
      <ns0:c r="C133" s="3" t="inlineStr">
        <ns0:is>
          <ns0:t>D</ns0:t>
        </ns0:is>
      </ns0:c>
      <ns0:c r="D133" s="4" t="n">
        <ns0:v>2</ns0:v>
      </ns0:c>
      <ns0:c r="E133" s="4" t="n">
        <ns0:v>0</ns0:v>
      </ns0:c>
      <ns0:c r="F133" s="6" t="n">
        <ns0:v>0.4</ns0:v>
      </ns0:c>
      <ns0:c r="G133" s="4" t="n">
        <ns0:v>1</ns0:v>
      </ns0:c>
      <ns0:c r="H133" s="7" t="n">
        <ns0:v>4140.082644628099</ns0:v>
      </ns0:c>
      <ns0:c r="I133" s="7" t="n">
        <ns0:v>1761.363636363636</ns0:v>
      </ns0:c>
      <ns0:c r="J133" s="7" t="n">
        <ns0:v>704.5454545454545</ns0:v>
      </ns0:c>
      <ns0:c r="K133" s="7" t="n">
        <ns0:v>15</ns0:v>
      </ns0:c>
      <ns0:c r="L133" s="7" t="n">
        <ns0:v>15</ns0:v>
      </ns0:c>
      <ns0:c r="M133" s="7" t="n">
        <ns0:v>-6123.717734035246</ns0:v>
      </ns0:c>
      <ns0:c r="N133" s="7" t="n">
        <ns0:v>37150.71605050985</ns0:v>
      </ns0:c>
      <ns0:c r="O133" s="7" t="n">
        <ns0:v>84925.14983505497</ns0:v>
      </ns0:c>
      <ns0:c r="P133" s="7" t="n">
        <ns0:v>204361.2342964177</ns0:v>
      </ns0:c>
      <ns0:c r="Q133" s="7" t="n">
        <ns0:v>660105.5721418685</ns0:v>
      </ns0:c>
      <ns0:c r="R133" s="7" t="n">
        <ns0:v>2302210.754600947</ns0:v>
      </ns0:c>
    </ns0:row>
    <ns0:row r="134" ht="24" customHeight="1">
      <ns0:c r="A134" s="3" t="inlineStr">
        <ns0:is>
          <ns0:t>Sのみ</ns0:t>
        </ns0:is>
      </ns0:c>
      <ns0:c r="B134" s="3" t="inlineStr">
        <ns0:is>
          <ns0:t>G0基本5000比較</ns0:t>
        </ns0:is>
      </ns0:c>
      <ns0:c r="C134" s="3" t="inlineStr">
        <ns0:is>
          <ns0:t>D</ns0:t>
        </ns0:is>
      </ns0:c>
      <ns0:c r="D134" s="4" t="n">
        <ns0:v>2</ns0:v>
      </ns0:c>
      <ns0:c r="E134" s="4" t="n">
        <ns0:v>0</ns0:v>
      </ns0:c>
      <ns0:c r="F134" s="6" t="n">
        <ns0:v>0.4</ns0:v>
      </ns0:c>
      <ns0:c r="G134" s="4" t="n">
        <ns0:v>2</ns0:v>
      </ns0:c>
      <ns0:c r="H134" s="7" t="n">
        <ns0:v>4140.082644628099</ns0:v>
      </ns0:c>
      <ns0:c r="I134" s="7" t="n">
        <ns0:v>1761.363636363636</ns0:v>
      </ns0:c>
      <ns0:c r="J134" s="7" t="n">
        <ns0:v>704.5454545454545</ns0:v>
      </ns0:c>
      <ns0:c r="K134" s="18" t="inlineStr">
        <ns0:is>
          <ns0:t>範囲内なし</ns0:t>
        </ns0:is>
      </ns0:c>
      <ns0:c r="L134" s="18" t="inlineStr">
        <ns0:is>
          <ns0:t>範囲内なし</ns0:t>
        </ns0:is>
      </ns0:c>
      <ns0:c r="M134" s="7" t="n">
        <ns0:v>-70705.19328081033</ns0:v>
      </ns0:c>
      <ns0:c r="N134" s="7" t="n">
        <ns0:v>-156593.7105898154</ns0:v>
      </ns0:c>
      <ns0:c r="O134" s="7" t="n">
        <ns0:v>-237982.2278988205</ns0:v>
      </ns0:c>
      <ns0:c r="P134" s="7" t="n">
        <ns0:v>-441453.5211713332</ns0:v>
      </ns0:c>
      <ns0:c r="Q134" s="7" t="n">
        <ns0:v>-1277338.694261384</ns0:v>
      </ns0:c>
      <ns0:c r="R134" s="7" t="n">
        <ns0:v>-4155936.800076562</ns0:v>
      </ns0:c>
    </ns0:row>
    <ns0:row r="135" ht="24" customHeight="1">
      <ns0:c r="A135" s="3" t="inlineStr">
        <ns0:is>
          <ns0:t>Sのみ</ns0:t>
        </ns0:is>
      </ns0:c>
      <ns0:c r="B135" s="3" t="inlineStr">
        <ns0:is>
          <ns0:t>G0基本5000比較</ns0:t>
        </ns0:is>
      </ns0:c>
      <ns0:c r="C135" s="3" t="inlineStr">
        <ns0:is>
          <ns0:t>D</ns0:t>
        </ns0:is>
      </ns0:c>
      <ns0:c r="D135" s="4" t="n">
        <ns0:v>2</ns0:v>
      </ns0:c>
      <ns0:c r="E135" s="4" t="n">
        <ns0:v>0</ns0:v>
      </ns0:c>
      <ns0:c r="F135" s="6" t="n">
        <ns0:v>0.4</ns0:v>
      </ns0:c>
      <ns0:c r="G135" s="4" t="n">
        <ns0:v>3</ns0:v>
      </ns0:c>
      <ns0:c r="H135" s="7" t="n">
        <ns0:v>4140.082644628099</ns0:v>
      </ns0:c>
      <ns0:c r="I135" s="7" t="n">
        <ns0:v>1761.363636363636</ns0:v>
      </ns0:c>
      <ns0:c r="J135" s="7" t="n">
        <ns0:v>704.5454545454545</ns0:v>
      </ns0:c>
      <ns0:c r="K135" s="7" t="n">
        <ns0:v>27</ns0:v>
      </ns0:c>
      <ns0:c r="L135" s="7" t="n">
        <ns0:v>27</ns0:v>
      </ns0:c>
      <ns0:c r="M135" s="7" t="n">
        <ns0:v>-17018.751662346</ns0:v>
      </ns0:c>
      <ns0:c r="N135" s="7" t="n">
        <ns0:v>4465.614265577577</ns0:v>
      </ns0:c>
      <ns0:c r="O135" s="7" t="n">
        <ns0:v>30449.98019350116</ns0:v>
      </ns0:c>
      <ns0:c r="P135" s="7" t="n">
        <ns0:v>95410.8950133101</ns0:v>
      </ns0:c>
      <ns0:c r="Q135" s="7" t="n">
        <ns0:v>333254.5542925459</ns0:v>
      </ns0:c>
      <ns0:c r="R135" s="7" t="n">
        <ns0:v>1212707.361769871</ns0:v>
      </ns0:c>
    </ns0:row>
    <ns0:row r="136" ht="24" customHeight="1">
      <ns0:c r="A136" s="3" t="inlineStr">
        <ns0:is>
          <ns0:t>Sのみ</ns0:t>
        </ns0:is>
      </ns0:c>
      <ns0:c r="B136" s="3" t="inlineStr">
        <ns0:is>
          <ns0:t>G0基本5000比較</ns0:t>
        </ns0:is>
      </ns0:c>
      <ns0:c r="C136" s="3" t="inlineStr">
        <ns0:is>
          <ns0:t>D</ns0:t>
        </ns0:is>
      </ns0:c>
      <ns0:c r="D136" s="4" t="n">
        <ns0:v>2</ns0:v>
      </ns0:c>
      <ns0:c r="E136" s="4" t="n">
        <ns0:v>0</ns0:v>
      </ns0:c>
      <ns0:c r="F136" s="6" t="n">
        <ns0:v>0.5</ns0:v>
      </ns0:c>
      <ns0:c r="G136" s="4" t="n">
        <ns0:v>0</ns0:v>
      </ns0:c>
      <ns0:c r="H136" s="7" t="n">
        <ns0:v>4140.082644628099</ns0:v>
      </ns0:c>
      <ns0:c r="I136" s="7" t="n">
        <ns0:v>1761.363636363636</ns0:v>
      </ns0:c>
      <ns0:c r="J136" s="7" t="n">
        <ns0:v>880.6818181818181</ns0:v>
      </ns0:c>
      <ns0:c r="K136" s="7" t="n">
        <ns0:v>13</ns0:v>
      </ns0:c>
      <ns0:c r="L136" s="7" t="n">
        <ns0:v>13</ns0:v>
      </ns0:c>
      <ns0:c r="M136" s="7" t="n">
        <ns0:v>-2591.699675351621</ns0:v>
      </ns0:c>
      <ns0:c r="N136" s="7" t="n">
        <ns0:v>47746.77022656074</ns0:v>
      </ns0:c>
      <ns0:c r="O136" s="7" t="n">
        <ns0:v>102585.2401284731</ns0:v>
      </ns0:c>
      <ns0:c r="P136" s="7" t="n">
        <ns0:v>239681.414883254</ns0:v>
      </ns0:c>
      <ns0:c r="Q136" s="7" t="n">
        <ns0:v>766066.1139023777</ns0:v>
      </ns0:c>
      <ns0:c r="R136" s="7" t="n">
        <ns0:v>2655412.56046931</ns0:v>
      </ns0:c>
    </ns0:row>
    <ns0:row r="137" ht="24" customHeight="1">
      <ns0:c r="A137" s="3" t="inlineStr">
        <ns0:is>
          <ns0:t>Sのみ</ns0:t>
        </ns0:is>
      </ns0:c>
      <ns0:c r="B137" s="3" t="inlineStr">
        <ns0:is>
          <ns0:t>G0基本5000比較</ns0:t>
        </ns0:is>
      </ns0:c>
      <ns0:c r="C137" s="3" t="inlineStr">
        <ns0:is>
          <ns0:t>D</ns0:t>
        </ns0:is>
      </ns0:c>
      <ns0:c r="D137" s="4" t="n">
        <ns0:v>2</ns0:v>
      </ns0:c>
      <ns0:c r="E137" s="4" t="n">
        <ns0:v>0</ns0:v>
      </ns0:c>
      <ns0:c r="F137" s="6" t="n">
        <ns0:v>0.5</ns0:v>
      </ns0:c>
      <ns0:c r="G137" s="4" t="n">
        <ns0:v>1</ns0:v>
      </ns0:c>
      <ns0:c r="H137" s="7" t="n">
        <ns0:v>4140.082644628099</ns0:v>
      </ns0:c>
      <ns0:c r="I137" s="7" t="n">
        <ns0:v>1761.363636363636</ns0:v>
      </ns0:c>
      <ns0:c r="J137" s="7" t="n">
        <ns0:v>880.6818181818181</ns0:v>
      </ns0:c>
      <ns0:c r="K137" s="7" t="n">
        <ns0:v>16</ns0:v>
      </ns0:c>
      <ns0:c r="L137" s="7" t="n">
        <ns0:v>16</ns0:v>
      </ns0:c>
      <ns0:c r="M137" s="7" t="n">
        <ns0:v>-7885.08137039889</ns0:v>
      </ns0:c>
      <ns0:c r="N137" s="7" t="n">
        <ns0:v>31866.62514141894</ns0:v>
      </ns0:c>
      <ns0:c r="O137" s="7" t="n">
        <ns0:v>76118.33165323679</ns0:v>
      </ns0:c>
      <ns0:c r="P137" s="7" t="n">
        <ns0:v>186747.5979327814</ns0:v>
      </ns0:c>
      <ns0:c r="Q137" s="7" t="n">
        <ns0:v>607264.6630509596</ns0:v>
      </ns0:c>
      <ns0:c r="R137" s="7" t="n">
        <ns0:v>2126074.390964583</ns0:v>
      </ns0:c>
    </ns0:row>
    <ns0:row r="138" ht="24" customHeight="1">
      <ns0:c r="A138" s="3" t="inlineStr">
        <ns0:is>
          <ns0:t>Sのみ</ns0:t>
        </ns0:is>
      </ns0:c>
      <ns0:c r="B138" s="3" t="inlineStr">
        <ns0:is>
          <ns0:t>G0基本5000比較</ns0:t>
        </ns0:is>
      </ns0:c>
      <ns0:c r="C138" s="3" t="inlineStr">
        <ns0:is>
          <ns0:t>D</ns0:t>
        </ns0:is>
      </ns0:c>
      <ns0:c r="D138" s="4" t="n">
        <ns0:v>2</ns0:v>
      </ns0:c>
      <ns0:c r="E138" s="4" t="n">
        <ns0:v>0</ns0:v>
      </ns0:c>
      <ns0:c r="F138" s="6" t="n">
        <ns0:v>0.5</ns0:v>
      </ns0:c>
      <ns0:c r="G138" s="4" t="n">
        <ns0:v>2</ns0:v>
      </ns0:c>
      <ns0:c r="H138" s="7" t="n">
        <ns0:v>4140.082644628099</ns0:v>
      </ns0:c>
      <ns0:c r="I138" s="7" t="n">
        <ns0:v>1761.363636363636</ns0:v>
      </ns0:c>
      <ns0:c r="J138" s="7" t="n">
        <ns0:v>880.6818181818181</ns0:v>
      </ns0:c>
      <ns0:c r="K138" s="18" t="inlineStr">
        <ns0:is>
          <ns0:t>範囲内なし</ns0:t>
        </ns0:is>
      </ns0:c>
      <ns0:c r="L138" s="18" t="inlineStr">
        <ns0:is>
          <ns0:t>範囲内なし</ns0:t>
        </ns0:is>
      </ns0:c>
      <ns0:c r="M138" s="7" t="n">
        <ns0:v>-72466.55691717398</ns0:v>
      </ns0:c>
      <ns0:c r="N138" s="7" t="n">
        <ns0:v>-161877.8014989063</ns0:v>
      </ns0:c>
      <ns0:c r="O138" s="7" t="n">
        <ns0:v>-246789.0460806387</ns0:v>
      </ns0:c>
      <ns0:c r="P138" s="7" t="n">
        <ns0:v>-459067.1575349695</ns0:v>
      </ns0:c>
      <ns0:c r="Q138" s="7" t="n">
        <ns0:v>-1330179.603352293</ns0:v>
      </ns0:c>
      <ns0:c r="R138" s="7" t="n">
        <ns0:v>-4332073.163712924</ns0:v>
      </ns0:c>
    </ns0:row>
    <ns0:row r="139" ht="24" customHeight="1">
      <ns0:c r="A139" s="3" t="inlineStr">
        <ns0:is>
          <ns0:t>Sのみ</ns0:t>
        </ns0:is>
      </ns0:c>
      <ns0:c r="B139" s="3" t="inlineStr">
        <ns0:is>
          <ns0:t>G0基本5000比較</ns0:t>
        </ns0:is>
      </ns0:c>
      <ns0:c r="C139" s="3" t="inlineStr">
        <ns0:is>
          <ns0:t>D</ns0:t>
        </ns0:is>
      </ns0:c>
      <ns0:c r="D139" s="4" t="n">
        <ns0:v>2</ns0:v>
      </ns0:c>
      <ns0:c r="E139" s="4" t="n">
        <ns0:v>0</ns0:v>
      </ns0:c>
      <ns0:c r="F139" s="6" t="n">
        <ns0:v>0.5</ns0:v>
      </ns0:c>
      <ns0:c r="G139" s="4" t="n">
        <ns0:v>3</ns0:v>
      </ns0:c>
      <ns0:c r="H139" s="7" t="n">
        <ns0:v>4140.082644628099</ns0:v>
      </ns0:c>
      <ns0:c r="I139" s="7" t="n">
        <ns0:v>1761.363636363636</ns0:v>
      </ns0:c>
      <ns0:c r="J139" s="7" t="n">
        <ns0:v>880.6818181818181</ns0:v>
      </ns0:c>
      <ns0:c r="K139" s="7" t="n">
        <ns0:v>31</ns0:v>
      </ns0:c>
      <ns0:c r="L139" s="7" t="n">
        <ns0:v>31</ns0:v>
      </ns0:c>
      <ns0:c r="M139" s="7" t="n">
        <ns0:v>-18780.11529870964</ns0:v>
      </ns0:c>
      <ns0:c r="N139" s="7" t="n">
        <ns0:v>-818.4766435133351</ns0:v>
      </ns0:c>
      <ns0:c r="O139" s="7" t="n">
        <ns0:v>21643.16201168298</ns0:v>
      </ns0:c>
      <ns0:c r="P139" s="7" t="n">
        <ns0:v>77797.25864967375</ns0:v>
      </ns0:c>
      <ns0:c r="Q139" s="7" t="n">
        <ns0:v>280413.6452016368</ns0:v>
      </ns0:c>
      <ns0:c r="R139" s="7" t="n">
        <ns0:v>1036570.998133508</ns0:v>
      </ns0:c>
    </ns0:row>
    <ns0:row r="140" ht="24" customHeight="1">
      <ns0:c r="A140" s="3" t="inlineStr">
        <ns0:is>
          <ns0:t>セット</ns0:t>
        </ns0:is>
      </ns0:c>
      <ns0:c r="B140" s="3" t="inlineStr">
        <ns0:is>
          <ns0:t>G0基本5000比較</ns0:t>
        </ns0:is>
      </ns0:c>
      <ns0:c r="C140" s="3" t="inlineStr">
        <ns0:is>
          <ns0:t>A</ns0:t>
        </ns0:is>
      </ns0:c>
      <ns0:c r="D140" s="4" t="n">
        <ns0:v>0</ns0:v>
      </ns0:c>
      <ns0:c r="E140" s="4" t="n">
        <ns0:v>500</ns0:v>
      </ns0:c>
      <ns0:c r="F140" s="6" t="n">
        <ns0:v>0.3</ns0:v>
      </ns0:c>
      <ns0:c r="G140" s="4" t="n">
        <ns0:v>0</ns0:v>
      </ns0:c>
      <ns0:c r="H140" s="7" t="n">
        <ns0:v>8542.390488110139</ns0:v>
      </ns0:c>
      <ns0:c r="I140" s="7" t="n">
        <ns0:v>6015.957446808511</ns0:v>
      </ns0:c>
      <ns0:c r="J140" s="7" t="n">
        <ns0:v>1804.787234042553</ns0:v>
      </ns0:c>
      <ns0:c r="K140" s="7" t="n">
        <ns0:v>14</ns0:v>
      </ns0:c>
      <ns0:c r="L140" s="7" t="n">
        <ns0:v>32</ns0:v>
      </ns0:c>
      <ns0:c r="M140" s="7" t="n">
        <ns0:v>-7329.965110984791</ns0:v>
      </ns0:c>
      <ns0:c r="N140" s="7" t="n">
        <ns0:v>81134.85251790898</ns0:v>
      </ns0:c>
      <ns0:c r="O140" s="7" t="n">
        <ns0:v>171565.3772807203</ns0:v>
      </ns0:c>
      <ns0:c r="P140" s="7" t="n">
        <ns0:v>397641.6891877484</ns0:v>
      </ns0:c>
      <ns0:c r="Q140" s="7" t="n">
        <ns0:v>1259946.93681586</ns0:v>
      </ns0:c>
      <ns0:c r="R140" s="7" t="n">
        <ns0:v>4355015.303514253</ns0:v>
      </ns0:c>
    </ns0:row>
    <ns0:row r="141" ht="24" customHeight="1">
      <ns0:c r="A141" s="3" t="inlineStr">
        <ns0:is>
          <ns0:t>セット</ns0:t>
        </ns0:is>
      </ns0:c>
      <ns0:c r="B141" s="3" t="inlineStr">
        <ns0:is>
          <ns0:t>G0基本5000比較</ns0:t>
        </ns0:is>
      </ns0:c>
      <ns0:c r="C141" s="3" t="inlineStr">
        <ns0:is>
          <ns0:t>A</ns0:t>
        </ns0:is>
      </ns0:c>
      <ns0:c r="D141" s="4" t="n">
        <ns0:v>0</ns0:v>
      </ns0:c>
      <ns0:c r="E141" s="4" t="n">
        <ns0:v>500</ns0:v>
      </ns0:c>
      <ns0:c r="F141" s="6" t="n">
        <ns0:v>0.3</ns0:v>
      </ns0:c>
      <ns0:c r="G141" s="4" t="n">
        <ns0:v>1</ns0:v>
      </ns0:c>
      <ns0:c r="H141" s="7" t="n">
        <ns0:v>8542.390488110139</ns0:v>
      </ns0:c>
      <ns0:c r="I141" s="7" t="n">
        <ns0:v>6015.957446808511</ns0:v>
      </ns0:c>
      <ns0:c r="J141" s="7" t="n">
        <ns0:v>1804.787234042553</ns0:v>
      </ns0:c>
      <ns0:c r="K141" s="7" t="n">
        <ns0:v>15</ns0:v>
      </ns0:c>
      <ns0:c r="L141" s="7" t="n">
        <ns0:v>47</ns0:v>
      </ns0:c>
      <ns0:c r="M141" s="7" t="n">
        <ns0:v>-11048.60551695563</ns0:v>
      </ns0:c>
      <ns0:c r="N141" s="7" t="n">
        <ns0:v>69978.93129999645</ns0:v>
      </ns0:c>
      <ns0:c r="O141" s="7" t="n">
        <ns0:v>152972.175250866</ns0:v>
      </ns0:c>
      <ns0:c r="P141" s="7" t="n">
        <ns0:v>360455.2851280399</ns0:v>
      </ns0:c>
      <ns0:c r="Q141" s="7" t="n">
        <ns0:v>1148387.724636735</ns0:v>
      </ns0:c>
      <ns0:c r="R141" s="7" t="n">
        <ns0:v>3983151.262917169</ns0:v>
      </ns0:c>
    </ns0:row>
    <ns0:row r="142" ht="24" customHeight="1">
      <ns0:c r="A142" s="3" t="inlineStr">
        <ns0:is>
          <ns0:t>セット</ns0:t>
        </ns0:is>
      </ns0:c>
      <ns0:c r="B142" s="3" t="inlineStr">
        <ns0:is>
          <ns0:t>G0基本5000比較</ns0:t>
        </ns0:is>
      </ns0:c>
      <ns0:c r="C142" s="3" t="inlineStr">
        <ns0:is>
          <ns0:t>A</ns0:t>
        </ns0:is>
      </ns0:c>
      <ns0:c r="D142" s="4" t="n">
        <ns0:v>0</ns0:v>
      </ns0:c>
      <ns0:c r="E142" s="4" t="n">
        <ns0:v>500</ns0:v>
      </ns0:c>
      <ns0:c r="F142" s="6" t="n">
        <ns0:v>0.3</ns0:v>
      </ns0:c>
      <ns0:c r="G142" s="4" t="n">
        <ns0:v>2</ns0:v>
      </ns0:c>
      <ns0:c r="H142" s="7" t="n">
        <ns0:v>8542.390488110139</ns0:v>
      </ns0:c>
      <ns0:c r="I142" s="7" t="n">
        <ns0:v>6015.957446808511</ns0:v>
      </ns0:c>
      <ns0:c r="J142" s="7" t="n">
        <ns0:v>1804.787234042553</ns0:v>
      </ns0:c>
      <ns0:c r="K142" s="7" t="n">
        <ns0:v>25</ns0:v>
      </ns0:c>
      <ns0:c r="L142" s="18" t="inlineStr">
        <ns0:is>
          <ns0:t>範囲内なし</ns0:t>
        </ns0:is>
      </ns0:c>
      <ns0:c r="M142" s="7" t="n">
        <ns0:v>-30171.41408346208</ns0:v>
      </ns0:c>
      <ns0:c r="N142" s="7" t="n">
        <ns0:v>12610.50560047712</ns0:v>
      </ns0:c>
      <ns0:c r="O142" s="7" t="n">
        <ns0:v>57358.13241833384</ns0:v>
      </ns0:c>
      <ns0:c r="P142" s="7" t="n">
        <ns0:v>169227.1994629755</ns0:v>
      </ns0:c>
      <ns0:c r="Q142" s="7" t="n">
        <ns0:v>574703.4676415417</ns0:v>
      </ns0:c>
      <ns0:c r="R142" s="7" t="n">
        <ns0:v>2070870.406266524</ns0:v>
      </ns0:c>
    </ns0:row>
    <ns0:row r="143" ht="24" customHeight="1">
      <ns0:c r="A143" s="3" t="inlineStr">
        <ns0:is>
          <ns0:t>セット</ns0:t>
        </ns0:is>
      </ns0:c>
      <ns0:c r="B143" s="3" t="inlineStr">
        <ns0:is>
          <ns0:t>G0基本5000比較</ns0:t>
        </ns0:is>
      </ns0:c>
      <ns0:c r="C143" s="3" t="inlineStr">
        <ns0:is>
          <ns0:t>A</ns0:t>
        </ns0:is>
      </ns0:c>
      <ns0:c r="D143" s="4" t="n">
        <ns0:v>0</ns0:v>
      </ns0:c>
      <ns0:c r="E143" s="4" t="n">
        <ns0:v>500</ns0:v>
      </ns0:c>
      <ns0:c r="F143" s="6" t="n">
        <ns0:v>0.3</ns0:v>
      </ns0:c>
      <ns0:c r="G143" s="4" t="n">
        <ns0:v>3</ns0:v>
      </ns0:c>
      <ns0:c r="H143" s="7" t="n">
        <ns0:v>8542.390488110139</ns0:v>
      </ns0:c>
      <ns0:c r="I143" s="7" t="n">
        <ns0:v>6015.957446808511</ns0:v>
      </ns0:c>
      <ns0:c r="J143" s="7" t="n">
        <ns0:v>1804.787234042553</ns0:v>
      </ns0:c>
      <ns0:c r="K143" s="7" t="n">
        <ns0:v>18</ns0:v>
      </ns0:c>
      <ns0:c r="L143" s="18" t="inlineStr">
        <ns0:is>
          <ns0:t>範囲内なし</ns0:t>
        </ns0:is>
      </ns0:c>
      <ns0:c r="M143" s="7" t="n">
        <ns0:v>-19617.71241752633</ns0:v>
      </ns0:c>
      <ns0:c r="N143" s="7" t="n">
        <ns0:v>44271.61059828437</ns0:v>
      </ns0:c>
      <ns0:c r="O143" s="7" t="n">
        <ns0:v>110126.6407480126</ns0:v>
      </ns0:c>
      <ns0:c r="P143" s="7" t="n">
        <ns0:v>274764.216122333</ns0:v>
      </ns0:c>
      <ns0:c r="Q143" s="7" t="n">
        <ns0:v>891314.5176196141</ns0:v>
      </ns0:c>
      <ns0:c r="R143" s="7" t="n">
        <ns0:v>3126240.572860099</ns0:v>
      </ns0:c>
    </ns0:row>
    <ns0:row r="144" ht="24" customHeight="1">
      <ns0:c r="A144" s="3" t="inlineStr">
        <ns0:is>
          <ns0:t>セット</ns0:t>
        </ns0:is>
      </ns0:c>
      <ns0:c r="B144" s="3" t="inlineStr">
        <ns0:is>
          <ns0:t>G0基本5000比較</ns0:t>
        </ns0:is>
      </ns0:c>
      <ns0:c r="C144" s="3" t="inlineStr">
        <ns0:is>
          <ns0:t>A</ns0:t>
        </ns0:is>
      </ns0:c>
      <ns0:c r="D144" s="4" t="n">
        <ns0:v>0</ns0:v>
      </ns0:c>
      <ns0:c r="E144" s="4" t="n">
        <ns0:v>500</ns0:v>
      </ns0:c>
      <ns0:c r="F144" s="6" t="n">
        <ns0:v>0.4</ns0:v>
      </ns0:c>
      <ns0:c r="G144" s="4" t="n">
        <ns0:v>0</ns0:v>
      </ns0:c>
      <ns0:c r="H144" s="7" t="n">
        <ns0:v>8542.390488110139</ns0:v>
      </ns0:c>
      <ns0:c r="I144" s="7" t="n">
        <ns0:v>6015.957446808511</ns0:v>
      </ns0:c>
      <ns0:c r="J144" s="7" t="n">
        <ns0:v>2406.382978723404</ns0:v>
      </ns0:c>
      <ns0:c r="K144" s="7" t="n">
        <ns0:v>16</ns0:v>
      </ns0:c>
      <ns0:c r="L144" s="7" t="n">
        <ns0:v>36</ns0:v>
      </ns0:c>
      <ns0:c r="M144" s="7" t="n">
        <ns0:v>-13345.92255779331</ns0:v>
      </ns0:c>
      <ns0:c r="N144" s="7" t="n">
        <ns0:v>63086.98017748345</ns0:v>
      </ns0:c>
      <ns0:c r="O144" s="7" t="n">
        <ns0:v>141485.5900466777</ns0:v>
      </ns0:c>
      <ns0:c r="P144" s="7" t="n">
        <ns0:v>337482.1147196632</ns0:v>
      </ns0:c>
      <ns0:c r="Q144" s="7" t="n">
        <ns0:v>1079468.213411605</ns0:v>
      </ns0:c>
      <ns0:c r="R144" s="7" t="n">
        <ns0:v>3753419.558833402</ns0:v>
      </ns0:c>
    </ns0:row>
    <ns0:row r="145" ht="24" customHeight="1">
      <ns0:c r="A145" s="3" t="inlineStr">
        <ns0:is>
          <ns0:t>セット</ns0:t>
        </ns0:is>
      </ns0:c>
      <ns0:c r="B145" s="3" t="inlineStr">
        <ns0:is>
          <ns0:t>G0基本5000比較</ns0:t>
        </ns0:is>
      </ns0:c>
      <ns0:c r="C145" s="3" t="inlineStr">
        <ns0:is>
          <ns0:t>A</ns0:t>
        </ns0:is>
      </ns0:c>
      <ns0:c r="D145" s="4" t="n">
        <ns0:v>0</ns0:v>
      </ns0:c>
      <ns0:c r="E145" s="4" t="n">
        <ns0:v>500</ns0:v>
      </ns0:c>
      <ns0:c r="F145" s="6" t="n">
        <ns0:v>0.4</ns0:v>
      </ns0:c>
      <ns0:c r="G145" s="4" t="n">
        <ns0:v>1</ns0:v>
      </ns0:c>
      <ns0:c r="H145" s="7" t="n">
        <ns0:v>8542.390488110139</ns0:v>
      </ns0:c>
      <ns0:c r="I145" s="7" t="n">
        <ns0:v>6015.957446808511</ns0:v>
      </ns0:c>
      <ns0:c r="J145" s="7" t="n">
        <ns0:v>2406.382978723404</ns0:v>
      </ns0:c>
      <ns0:c r="K145" s="7" t="n">
        <ns0:v>17</ns0:v>
      </ns0:c>
      <ns0:c r="L145" s="7" t="n">
        <ns0:v>58</ns0:v>
      </ns0:c>
      <ns0:c r="M145" s="7" t="n">
        <ns0:v>-17064.56296376415</ns0:v>
      </ns0:c>
      <ns0:c r="N145" s="7" t="n">
        <ns0:v>51931.05895957092</ns0:v>
      </ns0:c>
      <ns0:c r="O145" s="7" t="n">
        <ns0:v>122892.3880168235</ns0:v>
      </ns0:c>
      <ns0:c r="P145" s="7" t="n">
        <ns0:v>300295.7106599548</ns0:v>
      </ns0:c>
      <ns0:c r="Q145" s="7" t="n">
        <ns0:v>967909.0012324797</ns0:v>
      </ns0:c>
      <ns0:c r="R145" s="7" t="n">
        <ns0:v>3381555.518236318</ns0:v>
      </ns0:c>
    </ns0:row>
    <ns0:row r="146" ht="24" customHeight="1">
      <ns0:c r="A146" s="3" t="inlineStr">
        <ns0:is>
          <ns0:t>セット</ns0:t>
        </ns0:is>
      </ns0:c>
      <ns0:c r="B146" s="3" t="inlineStr">
        <ns0:is>
          <ns0:t>G0基本5000比較</ns0:t>
        </ns0:is>
      </ns0:c>
      <ns0:c r="C146" s="3" t="inlineStr">
        <ns0:is>
          <ns0:t>A</ns0:t>
        </ns0:is>
      </ns0:c>
      <ns0:c r="D146" s="4" t="n">
        <ns0:v>0</ns0:v>
      </ns0:c>
      <ns0:c r="E146" s="4" t="n">
        <ns0:v>500</ns0:v>
      </ns0:c>
      <ns0:c r="F146" s="6" t="n">
        <ns0:v>0.4</ns0:v>
      </ns0:c>
      <ns0:c r="G146" s="4" t="n">
        <ns0:v>2</ns0:v>
      </ns0:c>
      <ns0:c r="H146" s="7" t="n">
        <ns0:v>8542.390488110139</ns0:v>
      </ns0:c>
      <ns0:c r="I146" s="7" t="n">
        <ns0:v>6015.957446808511</ns0:v>
      </ns0:c>
      <ns0:c r="J146" s="7" t="n">
        <ns0:v>2406.382978723404</ns0:v>
      </ns0:c>
      <ns0:c r="K146" s="7" t="n">
        <ns0:v>34</ns0:v>
      </ns0:c>
      <ns0:c r="L146" s="18" t="inlineStr">
        <ns0:is>
          <ns0:t>範囲内なし</ns0:t>
        </ns0:is>
      </ns0:c>
      <ns0:c r="M146" s="7" t="n">
        <ns0:v>-36187.3715302706</ns0:v>
      </ns0:c>
      <ns0:c r="N146" s="7" t="n">
        <ns0:v>-5437.366739948397</ns0:v>
      </ns0:c>
      <ns0:c r="O146" s="7" t="n">
        <ns0:v>27278.34518429131</ns0:v>
      </ns0:c>
      <ns0:c r="P146" s="7" t="n">
        <ns0:v>109067.6249948904</ns0:v>
      </ns0:c>
      <ns0:c r="Q146" s="7" t="n">
        <ns0:v>394224.7442372864</ns0:v>
      </ns0:c>
      <ns0:c r="R146" s="7" t="n">
        <ns0:v>1469274.661585673</ns0:v>
      </ns0:c>
    </ns0:row>
    <ns0:row r="147" ht="24" customHeight="1">
      <ns0:c r="A147" s="3" t="inlineStr">
        <ns0:is>
          <ns0:t>セット</ns0:t>
        </ns0:is>
      </ns0:c>
      <ns0:c r="B147" s="3" t="inlineStr">
        <ns0:is>
          <ns0:t>G0基本5000比較</ns0:t>
        </ns0:is>
      </ns0:c>
      <ns0:c r="C147" s="3" t="inlineStr">
        <ns0:is>
          <ns0:t>A</ns0:t>
        </ns0:is>
      </ns0:c>
      <ns0:c r="D147" s="4" t="n">
        <ns0:v>0</ns0:v>
      </ns0:c>
      <ns0:c r="E147" s="4" t="n">
        <ns0:v>500</ns0:v>
      </ns0:c>
      <ns0:c r="F147" s="6" t="n">
        <ns0:v>0.4</ns0:v>
      </ns0:c>
      <ns0:c r="G147" s="4" t="n">
        <ns0:v>3</ns0:v>
      </ns0:c>
      <ns0:c r="H147" s="7" t="n">
        <ns0:v>8542.390488110139</ns0:v>
      </ns0:c>
      <ns0:c r="I147" s="7" t="n">
        <ns0:v>6015.957446808511</ns0:v>
      </ns0:c>
      <ns0:c r="J147" s="7" t="n">
        <ns0:v>2406.382978723404</ns0:v>
      </ns0:c>
      <ns0:c r="K147" s="7" t="n">
        <ns0:v>21</ns0:v>
      </ns0:c>
      <ns0:c r="L147" s="18" t="inlineStr">
        <ns0:is>
          <ns0:t>範囲内なし</ns0:t>
        </ns0:is>
      </ns0:c>
      <ns0:c r="M147" s="7" t="n">
        <ns0:v>-25633.66986433485</ns0:v>
      </ns0:c>
      <ns0:c r="N147" s="7" t="n">
        <ns0:v>26223.73825785884</ns0:v>
      </ns0:c>
      <ns0:c r="O147" s="7" t="n">
        <ns0:v>80046.85351397004</ns0:v>
      </ns0:c>
      <ns0:c r="P147" s="7" t="n">
        <ns0:v>214604.6416542479</ns0:v>
      </ns0:c>
      <ns0:c r="Q147" s="7" t="n">
        <ns0:v>710835.7942153589</ns0:v>
      </ns0:c>
      <ns0:c r="R147" s="7" t="n">
        <ns0:v>2524644.828179248</ns0:v>
      </ns0:c>
    </ns0:row>
    <ns0:row r="148" ht="24" customHeight="1">
      <ns0:c r="A148" s="3" t="inlineStr">
        <ns0:is>
          <ns0:t>セット</ns0:t>
        </ns0:is>
      </ns0:c>
      <ns0:c r="B148" s="3" t="inlineStr">
        <ns0:is>
          <ns0:t>G0基本5000比較</ns0:t>
        </ns0:is>
      </ns0:c>
      <ns0:c r="C148" s="3" t="inlineStr">
        <ns0:is>
          <ns0:t>A</ns0:t>
        </ns0:is>
      </ns0:c>
      <ns0:c r="D148" s="4" t="n">
        <ns0:v>0</ns0:v>
      </ns0:c>
      <ns0:c r="E148" s="4" t="n">
        <ns0:v>500</ns0:v>
      </ns0:c>
      <ns0:c r="F148" s="6" t="n">
        <ns0:v>0.5</ns0:v>
      </ns0:c>
      <ns0:c r="G148" s="4" t="n">
        <ns0:v>0</ns0:v>
      </ns0:c>
      <ns0:c r="H148" s="7" t="n">
        <ns0:v>8542.390488110139</ns0:v>
      </ns0:c>
      <ns0:c r="I148" s="7" t="n">
        <ns0:v>6015.957446808511</ns0:v>
      </ns0:c>
      <ns0:c r="J148" s="7" t="n">
        <ns0:v>3007.978723404256</ns0:v>
      </ns0:c>
      <ns0:c r="K148" s="7" t="n">
        <ns0:v>18</ns0:v>
      </ns0:c>
      <ns0:c r="L148" s="7" t="n">
        <ns0:v>42</ns0:v>
      </ns0:c>
      <ns0:c r="M148" s="7" t="n">
        <ns0:v>-19361.88000460181</ns0:v>
      </ns0:c>
      <ns0:c r="N148" s="7" t="n">
        <ns0:v>45039.10783705793</ns0:v>
      </ns0:c>
      <ns0:c r="O148" s="7" t="n">
        <ns0:v>111405.8028126351</ns0:v>
      </ns0:c>
      <ns0:c r="P148" s="7" t="n">
        <ns0:v>277322.5402515781</ns0:v>
      </ns0:c>
      <ns0:c r="Q148" s="7" t="n">
        <ns0:v>898989.4900073495</ns0:v>
      </ns0:c>
      <ns0:c r="R148" s="7" t="n">
        <ns0:v>3151823.814152552</ns0:v>
      </ns0:c>
    </ns0:row>
    <ns0:row r="149" ht="24" customHeight="1">
      <ns0:c r="A149" s="3" t="inlineStr">
        <ns0:is>
          <ns0:t>セット</ns0:t>
        </ns0:is>
      </ns0:c>
      <ns0:c r="B149" s="3" t="inlineStr">
        <ns0:is>
          <ns0:t>G0基本5000比較</ns0:t>
        </ns0:is>
      </ns0:c>
      <ns0:c r="C149" s="3" t="inlineStr">
        <ns0:is>
          <ns0:t>A</ns0:t>
        </ns0:is>
      </ns0:c>
      <ns0:c r="D149" s="4" t="n">
        <ns0:v>0</ns0:v>
      </ns0:c>
      <ns0:c r="E149" s="4" t="n">
        <ns0:v>500</ns0:v>
      </ns0:c>
      <ns0:c r="F149" s="6" t="n">
        <ns0:v>0.5</ns0:v>
      </ns0:c>
      <ns0:c r="G149" s="4" t="n">
        <ns0:v>1</ns0:v>
      </ns0:c>
      <ns0:c r="H149" s="7" t="n">
        <ns0:v>8542.390488110139</ns0:v>
      </ns0:c>
      <ns0:c r="I149" s="7" t="n">
        <ns0:v>6015.957446808511</ns0:v>
      </ns0:c>
      <ns0:c r="J149" s="7" t="n">
        <ns0:v>3007.978723404256</ns0:v>
      </ns0:c>
      <ns0:c r="K149" s="7" t="n">
        <ns0:v>20</ns0:v>
      </ns0:c>
      <ns0:c r="L149" s="7" t="n">
        <ns0:v>125</ns0:v>
      </ns0:c>
      <ns0:c r="M149" s="7" t="n">
        <ns0:v>-23080.52041057265</ns0:v>
      </ns0:c>
      <ns0:c r="N149" s="7" t="n">
        <ns0:v>33883.1866191454</ns0:v>
      </ns0:c>
      <ns0:c r="O149" s="7" t="n">
        <ns0:v>92812.60078278094</ns0:v>
      </ns0:c>
      <ns0:c r="P149" s="7" t="n">
        <ns0:v>240136.1361918697</ns0:v>
      </ns0:c>
      <ns0:c r="Q149" s="7" t="n">
        <ns0:v>787430.2778282242</ns0:v>
      </ns0:c>
      <ns0:c r="R149" s="7" t="n">
        <ns0:v>2779959.773555467</ns0:v>
      </ns0:c>
    </ns0:row>
    <ns0:row r="150" ht="24" customHeight="1">
      <ns0:c r="A150" s="3" t="inlineStr">
        <ns0:is>
          <ns0:t>セット</ns0:t>
        </ns0:is>
      </ns0:c>
      <ns0:c r="B150" s="3" t="inlineStr">
        <ns0:is>
          <ns0:t>G0基本5000比較</ns0:t>
        </ns0:is>
      </ns0:c>
      <ns0:c r="C150" s="3" t="inlineStr">
        <ns0:is>
          <ns0:t>A</ns0:t>
        </ns0:is>
      </ns0:c>
      <ns0:c r="D150" s="4" t="n">
        <ns0:v>0</ns0:v>
      </ns0:c>
      <ns0:c r="E150" s="4" t="n">
        <ns0:v>500</ns0:v>
      </ns0:c>
      <ns0:c r="F150" s="6" t="n">
        <ns0:v>0.5</ns0:v>
      </ns0:c>
      <ns0:c r="G150" s="4" t="n">
        <ns0:v>2</ns0:v>
      </ns0:c>
      <ns0:c r="H150" s="7" t="n">
        <ns0:v>8542.390488110139</ns0:v>
      </ns0:c>
      <ns0:c r="I150" s="7" t="n">
        <ns0:v>6015.957446808511</ns0:v>
      </ns0:c>
      <ns0:c r="J150" s="7" t="n">
        <ns0:v>3007.978723404256</ns0:v>
      </ns0:c>
      <ns0:c r="K150" s="7" t="n">
        <ns0:v>53</ns0:v>
      </ns0:c>
      <ns0:c r="L150" s="18" t="inlineStr">
        <ns0:is>
          <ns0:t>範囲内なし</ns0:t>
        </ns0:is>
      </ns0:c>
      <ns0:c r="M150" s="7" t="n">
        <ns0:v>-42203.32897707909</ns0:v>
      </ns0:c>
      <ns0:c r="N150" s="7" t="n">
        <ns0:v>-23485.23908037391</ns0:v>
      </ns0:c>
      <ns0:c r="O150" s="7" t="n">
        <ns0:v>-2801.442049751262</ns0:v>
      </ns0:c>
      <ns0:c r="P150" s="7" t="n">
        <ns0:v>48908.05052680525</ns0:v>
      </ns0:c>
      <ns0:c r="Q150" s="7" t="n">
        <ns0:v>213746.020833031</ns0:v>
      </ns0:c>
      <ns0:c r="R150" s="7" t="n">
        <ns0:v>867678.9169048229</ns0:v>
      </ns0:c>
    </ns0:row>
    <ns0:row r="151" ht="24" customHeight="1">
      <ns0:c r="A151" s="3" t="inlineStr">
        <ns0:is>
          <ns0:t>セット</ns0:t>
        </ns0:is>
      </ns0:c>
      <ns0:c r="B151" s="3" t="inlineStr">
        <ns0:is>
          <ns0:t>G0基本5000比較</ns0:t>
        </ns0:is>
      </ns0:c>
      <ns0:c r="C151" s="3" t="inlineStr">
        <ns0:is>
          <ns0:t>A</ns0:t>
        </ns0:is>
      </ns0:c>
      <ns0:c r="D151" s="4" t="n">
        <ns0:v>0</ns0:v>
      </ns0:c>
      <ns0:c r="E151" s="4" t="n">
        <ns0:v>500</ns0:v>
      </ns0:c>
      <ns0:c r="F151" s="6" t="n">
        <ns0:v>0.5</ns0:v>
      </ns0:c>
      <ns0:c r="G151" s="4" t="n">
        <ns0:v>3</ns0:v>
      </ns0:c>
      <ns0:c r="H151" s="7" t="n">
        <ns0:v>8542.390488110139</ns0:v>
      </ns0:c>
      <ns0:c r="I151" s="7" t="n">
        <ns0:v>6015.957446808511</ns0:v>
      </ns0:c>
      <ns0:c r="J151" s="7" t="n">
        <ns0:v>3007.978723404256</ns0:v>
      </ns0:c>
      <ns0:c r="K151" s="7" t="n">
        <ns0:v>27</ns0:v>
      </ns0:c>
      <ns0:c r="L151" s="18" t="inlineStr">
        <ns0:is>
          <ns0:t>範囲内なし</ns0:t>
        </ns0:is>
      </ns0:c>
      <ns0:c r="M151" s="7" t="n">
        <ns0:v>-31649.62731114335</ns0:v>
      </ns0:c>
      <ns0:c r="N151" s="7" t="n">
        <ns0:v>8175.86591743333</ns0:v>
      </ns0:c>
      <ns0:c r="O151" s="7" t="n">
        <ns0:v>49967.06627992748</ns0:v>
      </ns0:c>
      <ns0:c r="P151" s="7" t="n">
        <ns0:v>154445.0671861627</ns0:v>
      </ns0:c>
      <ns0:c r="Q151" s="7" t="n">
        <ns0:v>530357.0708111034</ns0:v>
      </ns0:c>
      <ns0:c r="R151" s="7" t="n">
        <ns0:v>1923049.083498398</ns0:v>
      </ns0:c>
    </ns0:row>
    <ns0:row r="152" ht="24" customHeight="1">
      <ns0:c r="A152" s="3" t="inlineStr">
        <ns0:is>
          <ns0:t>セット</ns0:t>
        </ns0:is>
      </ns0:c>
      <ns0:c r="B152" s="3" t="inlineStr">
        <ns0:is>
          <ns0:t>G0基本5000比較</ns0:t>
        </ns0:is>
      </ns0:c>
      <ns0:c r="C152" s="3" t="inlineStr">
        <ns0:is>
          <ns0:t>A</ns0:t>
        </ns0:is>
      </ns0:c>
      <ns0:c r="D152" s="4" t="n">
        <ns0:v>0</ns0:v>
      </ns0:c>
      <ns0:c r="E152" s="4" t="n">
        <ns0:v>1000</ns0:v>
      </ns0:c>
      <ns0:c r="F152" s="6" t="n">
        <ns0:v>0.3</ns0:v>
      </ns0:c>
      <ns0:c r="G152" s="4" t="n">
        <ns0:v>0</ns0:v>
      </ns0:c>
      <ns0:c r="H152" s="7" t="n">
        <ns0:v>8042.390488110137</ns0:v>
      </ns0:c>
      <ns0:c r="I152" s="7" t="n">
        <ns0:v>5515.95744680851</ns0:v>
      </ns0:c>
      <ns0:c r="J152" s="7" t="n">
        <ns0:v>1654.787234042553</ns0:v>
      </ns0:c>
      <ns0:c r="K152" s="7" t="n">
        <ns0:v>15</ns0:v>
      </ns0:c>
      <ns0:c r="L152" s="7" t="n">
        <ns0:v>34</ns0:v>
      </ns0:c>
      <ns0:c r="M152" s="7" t="n">
        <ns0:v>-10649.9651109848</ns0:v>
      </ns0:c>
      <ns0:c r="N152" s="7" t="n">
        <ns0:v>71174.85251790899</ns0:v>
      </ns0:c>
      <ns0:c r="O152" s="7" t="n">
        <ns0:v>154965.3772807202</ns0:v>
      </ns0:c>
      <ns0:c r="P152" s="7" t="n">
        <ns0:v>364441.6891877482</ns0:v>
      </ns0:c>
      <ns0:c r="Q152" s="7" t="n">
        <ns0:v>1160346.93681586</ns0:v>
      </ns0:c>
      <ns0:c r="R152" s="7" t="n">
        <ns0:v>4023015.303514251</ns0:v>
      </ns0:c>
    </ns0:row>
    <ns0:row r="153" ht="24" customHeight="1">
      <ns0:c r="A153" s="3" t="inlineStr">
        <ns0:is>
          <ns0:t>セット</ns0:t>
        </ns0:is>
      </ns0:c>
      <ns0:c r="B153" s="3" t="inlineStr">
        <ns0:is>
          <ns0:t>G0基本5000比較</ns0:t>
        </ns0:is>
      </ns0:c>
      <ns0:c r="C153" s="3" t="inlineStr">
        <ns0:is>
          <ns0:t>A</ns0:t>
        </ns0:is>
      </ns0:c>
      <ns0:c r="D153" s="4" t="n">
        <ns0:v>0</ns0:v>
      </ns0:c>
      <ns0:c r="E153" s="4" t="n">
        <ns0:v>1000</ns0:v>
      </ns0:c>
      <ns0:c r="F153" s="6" t="n">
        <ns0:v>0.3</ns0:v>
      </ns0:c>
      <ns0:c r="G153" s="4" t="n">
        <ns0:v>1</ns0:v>
      </ns0:c>
      <ns0:c r="H153" s="7" t="n">
        <ns0:v>8042.390488110137</ns0:v>
      </ns0:c>
      <ns0:c r="I153" s="7" t="n">
        <ns0:v>5515.95744680851</ns0:v>
      </ns0:c>
      <ns0:c r="J153" s="7" t="n">
        <ns0:v>1654.787234042553</ns0:v>
      </ns0:c>
      <ns0:c r="K153" s="7" t="n">
        <ns0:v>16</ns0:v>
      </ns0:c>
      <ns0:c r="L153" s="7" t="n">
        <ns0:v>53</ns0:v>
      </ns0:c>
      <ns0:c r="M153" s="7" t="n">
        <ns0:v>-14368.60551695564</ns0:v>
      </ns0:c>
      <ns0:c r="N153" s="7" t="n">
        <ns0:v>60018.93129999646</ns0:v>
      </ns0:c>
      <ns0:c r="O153" s="7" t="n">
        <ns0:v>136372.175250866</ns0:v>
      </ns0:c>
      <ns0:c r="P153" s="7" t="n">
        <ns0:v>327255.2851280398</ns0:v>
      </ns0:c>
      <ns0:c r="Q153" s="7" t="n">
        <ns0:v>1048787.724636735</ns0:v>
      </ns0:c>
      <ns0:c r="R153" s="7" t="n">
        <ns0:v>3651151.262917168</ns0:v>
      </ns0:c>
    </ns0:row>
    <ns0:row r="154" ht="24" customHeight="1">
      <ns0:c r="A154" s="3" t="inlineStr">
        <ns0:is>
          <ns0:t>セット</ns0:t>
        </ns0:is>
      </ns0:c>
      <ns0:c r="B154" s="3" t="inlineStr">
        <ns0:is>
          <ns0:t>G0基本5000比較</ns0:t>
        </ns0:is>
      </ns0:c>
      <ns0:c r="C154" s="3" t="inlineStr">
        <ns0:is>
          <ns0:t>A</ns0:t>
        </ns0:is>
      </ns0:c>
      <ns0:c r="D154" s="4" t="n">
        <ns0:v>0</ns0:v>
      </ns0:c>
      <ns0:c r="E154" s="4" t="n">
        <ns0:v>1000</ns0:v>
      </ns0:c>
      <ns0:c r="F154" s="6" t="n">
        <ns0:v>0.3</ns0:v>
      </ns0:c>
      <ns0:c r="G154" s="4" t="n">
        <ns0:v>2</ns0:v>
      </ns0:c>
      <ns0:c r="H154" s="7" t="n">
        <ns0:v>8042.390488110137</ns0:v>
      </ns0:c>
      <ns0:c r="I154" s="7" t="n">
        <ns0:v>5515.95744680851</ns0:v>
      </ns0:c>
      <ns0:c r="J154" s="7" t="n">
        <ns0:v>1654.787234042553</ns0:v>
      </ns0:c>
      <ns0:c r="K154" s="7" t="n">
        <ns0:v>29</ns0:v>
      </ns0:c>
      <ns0:c r="L154" s="18" t="inlineStr">
        <ns0:is>
          <ns0:t>範囲内なし</ns0:t>
        </ns0:is>
      </ns0:c>
      <ns0:c r="M154" s="7" t="n">
        <ns0:v>-33491.41408346208</ns0:v>
      </ns0:c>
      <ns0:c r="N154" s="7" t="n">
        <ns0:v>2650.505600477132</ns0:v>
      </ns0:c>
      <ns0:c r="O154" s="7" t="n">
        <ns0:v>40758.1324183338</ns0:v>
      </ns0:c>
      <ns0:c r="P154" s="7" t="n">
        <ns0:v>136027.1994629754</ns0:v>
      </ns0:c>
      <ns0:c r="Q154" s="7" t="n">
        <ns0:v>475103.467641542</ns0:v>
      </ns0:c>
      <ns0:c r="R154" s="7" t="n">
        <ns0:v>1738870.406266523</ns0:v>
      </ns0:c>
    </ns0:row>
    <ns0:row r="155" ht="24" customHeight="1">
      <ns0:c r="A155" s="3" t="inlineStr">
        <ns0:is>
          <ns0:t>セット</ns0:t>
        </ns0:is>
      </ns0:c>
      <ns0:c r="B155" s="3" t="inlineStr">
        <ns0:is>
          <ns0:t>G0基本5000比較</ns0:t>
        </ns0:is>
      </ns0:c>
      <ns0:c r="C155" s="3" t="inlineStr">
        <ns0:is>
          <ns0:t>A</ns0:t>
        </ns0:is>
      </ns0:c>
      <ns0:c r="D155" s="4" t="n">
        <ns0:v>0</ns0:v>
      </ns0:c>
      <ns0:c r="E155" s="4" t="n">
        <ns0:v>1000</ns0:v>
      </ns0:c>
      <ns0:c r="F155" s="6" t="n">
        <ns0:v>0.3</ns0:v>
      </ns0:c>
      <ns0:c r="G155" s="4" t="n">
        <ns0:v>3</ns0:v>
      </ns0:c>
      <ns0:c r="H155" s="7" t="n">
        <ns0:v>8042.390488110137</ns0:v>
      </ns0:c>
      <ns0:c r="I155" s="7" t="n">
        <ns0:v>5515.95744680851</ns0:v>
      </ns0:c>
      <ns0:c r="J155" s="7" t="n">
        <ns0:v>1654.787234042553</ns0:v>
      </ns0:c>
      <ns0:c r="K155" s="7" t="n">
        <ns0:v>20</ns0:v>
      </ns0:c>
      <ns0:c r="L155" s="18" t="inlineStr">
        <ns0:is>
          <ns0:t>範囲内なし</ns0:t>
        </ns0:is>
      </ns0:c>
      <ns0:c r="M155" s="7" t="n">
        <ns0:v>-22937.71241752634</ns0:v>
      </ns0:c>
      <ns0:c r="N155" s="7" t="n">
        <ns0:v>34311.61059828439</ns0:v>
      </ns0:c>
      <ns0:c r="O155" s="7" t="n">
        <ns0:v>93526.64074801255</ns0:v>
      </ns0:c>
      <ns0:c r="P155" s="7" t="n">
        <ns0:v>241564.2161223329</ns0:v>
      </ns0:c>
      <ns0:c r="Q155" s="7" t="n">
        <ns0:v>791714.5176196145</ns0:v>
      </ns0:c>
      <ns0:c r="R155" s="7" t="n">
        <ns0:v>2794240.572860098</ns0:v>
      </ns0:c>
    </ns0:row>
    <ns0:row r="156" ht="24" customHeight="1">
      <ns0:c r="A156" s="3" t="inlineStr">
        <ns0:is>
          <ns0:t>セット</ns0:t>
        </ns0:is>
      </ns0:c>
      <ns0:c r="B156" s="3" t="inlineStr">
        <ns0:is>
          <ns0:t>G0基本5000比較</ns0:t>
        </ns0:is>
      </ns0:c>
      <ns0:c r="C156" s="3" t="inlineStr">
        <ns0:is>
          <ns0:t>A</ns0:t>
        </ns0:is>
      </ns0:c>
      <ns0:c r="D156" s="4" t="n">
        <ns0:v>0</ns0:v>
      </ns0:c>
      <ns0:c r="E156" s="4" t="n">
        <ns0:v>1000</ns0:v>
      </ns0:c>
      <ns0:c r="F156" s="6" t="n">
        <ns0:v>0.4</ns0:v>
      </ns0:c>
      <ns0:c r="G156" s="4" t="n">
        <ns0:v>0</ns0:v>
      </ns0:c>
      <ns0:c r="H156" s="7" t="n">
        <ns0:v>8042.390488110137</ns0:v>
      </ns0:c>
      <ns0:c r="I156" s="7" t="n">
        <ns0:v>5515.95744680851</ns0:v>
      </ns0:c>
      <ns0:c r="J156" s="7" t="n">
        <ns0:v>2206.382978723404</ns0:v>
      </ns0:c>
      <ns0:c r="K156" s="7" t="n">
        <ns0:v>17</ns0:v>
      </ns0:c>
      <ns0:c r="L156" s="7" t="n">
        <ns0:v>39</ns0:v>
      </ns0:c>
      <ns0:c r="M156" s="7" t="n">
        <ns0:v>-16165.92255779331</ns0:v>
      </ns0:c>
      <ns0:c r="N156" s="7" t="n">
        <ns0:v>54626.98017748345</ns0:v>
      </ns0:c>
      <ns0:c r="O156" s="7" t="n">
        <ns0:v>127385.5900466777</ns0:v>
      </ns0:c>
      <ns0:c r="P156" s="7" t="n">
        <ns0:v>309282.1147196632</ns0:v>
      </ns0:c>
      <ns0:c r="Q156" s="7" t="n">
        <ns0:v>994868.2134116049</ns0:v>
      </ns0:c>
      <ns0:c r="R156" s="7" t="n">
        <ns0:v>3471419.5588334</ns0:v>
      </ns0:c>
    </ns0:row>
    <ns0:row r="157" ht="24" customHeight="1">
      <ns0:c r="A157" s="3" t="inlineStr">
        <ns0:is>
          <ns0:t>セット</ns0:t>
        </ns0:is>
      </ns0:c>
      <ns0:c r="B157" s="3" t="inlineStr">
        <ns0:is>
          <ns0:t>G0基本5000比較</ns0:t>
        </ns0:is>
      </ns0:c>
      <ns0:c r="C157" s="3" t="inlineStr">
        <ns0:is>
          <ns0:t>A</ns0:t>
        </ns0:is>
      </ns0:c>
      <ns0:c r="D157" s="4" t="n">
        <ns0:v>0</ns0:v>
      </ns0:c>
      <ns0:c r="E157" s="4" t="n">
        <ns0:v>1000</ns0:v>
      </ns0:c>
      <ns0:c r="F157" s="6" t="n">
        <ns0:v>0.4</ns0:v>
      </ns0:c>
      <ns0:c r="G157" s="4" t="n">
        <ns0:v>1</ns0:v>
      </ns0:c>
      <ns0:c r="H157" s="7" t="n">
        <ns0:v>8042.390488110137</ns0:v>
      </ns0:c>
      <ns0:c r="I157" s="7" t="n">
        <ns0:v>5515.95744680851</ns0:v>
      </ns0:c>
      <ns0:c r="J157" s="7" t="n">
        <ns0:v>2206.382978723404</ns0:v>
      </ns0:c>
      <ns0:c r="K157" s="7" t="n">
        <ns0:v>19</ns0:v>
      </ns0:c>
      <ns0:c r="L157" s="7" t="n">
        <ns0:v>107</ns0:v>
      </ns0:c>
      <ns0:c r="M157" s="7" t="n">
        <ns0:v>-19884.56296376415</ns0:v>
      </ns0:c>
      <ns0:c r="N157" s="7" t="n">
        <ns0:v>43471.05895957093</ns0:v>
      </ns0:c>
      <ns0:c r="O157" s="7" t="n">
        <ns0:v>108792.3880168235</ns0:v>
      </ns0:c>
      <ns0:c r="P157" s="7" t="n">
        <ns0:v>272095.7106599548</ns0:v>
      </ns0:c>
      <ns0:c r="Q157" s="7" t="n">
        <ns0:v>883309.0012324796</ns0:v>
      </ns0:c>
      <ns0:c r="R157" s="7" t="n">
        <ns0:v>3099555.518236316</ns0:v>
      </ns0:c>
    </ns0:row>
    <ns0:row r="158" ht="24" customHeight="1">
      <ns0:c r="A158" s="3" t="inlineStr">
        <ns0:is>
          <ns0:t>セット</ns0:t>
        </ns0:is>
      </ns0:c>
      <ns0:c r="B158" s="3" t="inlineStr">
        <ns0:is>
          <ns0:t>G0基本5000比較</ns0:t>
        </ns0:is>
      </ns0:c>
      <ns0:c r="C158" s="3" t="inlineStr">
        <ns0:is>
          <ns0:t>A</ns0:t>
        </ns0:is>
      </ns0:c>
      <ns0:c r="D158" s="4" t="n">
        <ns0:v>0</ns0:v>
      </ns0:c>
      <ns0:c r="E158" s="4" t="n">
        <ns0:v>1000</ns0:v>
      </ns0:c>
      <ns0:c r="F158" s="6" t="n">
        <ns0:v>0.4</ns0:v>
      </ns0:c>
      <ns0:c r="G158" s="4" t="n">
        <ns0:v>2</ns0:v>
      </ns0:c>
      <ns0:c r="H158" s="7" t="n">
        <ns0:v>8042.390488110137</ns0:v>
      </ns0:c>
      <ns0:c r="I158" s="7" t="n">
        <ns0:v>5515.95744680851</ns0:v>
      </ns0:c>
      <ns0:c r="J158" s="7" t="n">
        <ns0:v>2206.382978723404</ns0:v>
      </ns0:c>
      <ns0:c r="K158" s="7" t="n">
        <ns0:v>41</ns0:v>
      </ns0:c>
      <ns0:c r="L158" s="18" t="inlineStr">
        <ns0:is>
          <ns0:t>範囲内なし</ns0:t>
        </ns0:is>
      </ns0:c>
      <ns0:c r="M158" s="7" t="n">
        <ns0:v>-39007.3715302706</ns0:v>
      </ns0:c>
      <ns0:c r="N158" s="7" t="n">
        <ns0:v>-13897.3667399484</ns0:v>
      </ns0:c>
      <ns0:c r="O158" s="7" t="n">
        <ns0:v>13178.34518429128</ns0:v>
      </ns0:c>
      <ns0:c r="P158" s="7" t="n">
        <ns0:v>80867.62499489036</ns0:v>
      </ns0:c>
      <ns0:c r="Q158" s="7" t="n">
        <ns0:v>309624.7442372863</ns0:v>
      </ns0:c>
      <ns0:c r="R158" s="7" t="n">
        <ns0:v>1187274.661585672</ns0:v>
      </ns0:c>
    </ns0:row>
    <ns0:row r="159" ht="24" customHeight="1">
      <ns0:c r="A159" s="3" t="inlineStr">
        <ns0:is>
          <ns0:t>セット</ns0:t>
        </ns0:is>
      </ns0:c>
      <ns0:c r="B159" s="3" t="inlineStr">
        <ns0:is>
          <ns0:t>G0基本5000比較</ns0:t>
        </ns0:is>
      </ns0:c>
      <ns0:c r="C159" s="3" t="inlineStr">
        <ns0:is>
          <ns0:t>A</ns0:t>
        </ns0:is>
      </ns0:c>
      <ns0:c r="D159" s="4" t="n">
        <ns0:v>0</ns0:v>
      </ns0:c>
      <ns0:c r="E159" s="4" t="n">
        <ns0:v>1000</ns0:v>
      </ns0:c>
      <ns0:c r="F159" s="6" t="n">
        <ns0:v>0.4</ns0:v>
      </ns0:c>
      <ns0:c r="G159" s="4" t="n">
        <ns0:v>3</ns0:v>
      </ns0:c>
      <ns0:c r="H159" s="7" t="n">
        <ns0:v>8042.390488110137</ns0:v>
      </ns0:c>
      <ns0:c r="I159" s="7" t="n">
        <ns0:v>5515.95744680851</ns0:v>
      </ns0:c>
      <ns0:c r="J159" s="7" t="n">
        <ns0:v>2206.382978723404</ns0:v>
      </ns0:c>
      <ns0:c r="K159" s="7" t="n">
        <ns0:v>23</ns0:v>
      </ns0:c>
      <ns0:c r="L159" s="18" t="inlineStr">
        <ns0:is>
          <ns0:t>範囲内なし</ns0:t>
        </ns0:is>
      </ns0:c>
      <ns0:c r="M159" s="7" t="n">
        <ns0:v>-28453.66986433484</ns0:v>
      </ns0:c>
      <ns0:c r="N159" s="7" t="n">
        <ns0:v>17763.73825785884</ns0:v>
      </ns0:c>
      <ns0:c r="O159" s="7" t="n">
        <ns0:v>65946.85351397003</ns0:v>
      </ns0:c>
      <ns0:c r="P159" s="7" t="n">
        <ns0:v>186404.6416542479</ns0:v>
      </ns0:c>
      <ns0:c r="Q159" s="7" t="n">
        <ns0:v>626235.7942153588</ns0:v>
      </ns0:c>
      <ns0:c r="R159" s="7" t="n">
        <ns0:v>2242644.828179247</ns0:v>
      </ns0:c>
    </ns0:row>
    <ns0:row r="160" ht="24" customHeight="1">
      <ns0:c r="A160" s="3" t="inlineStr">
        <ns0:is>
          <ns0:t>セット</ns0:t>
        </ns0:is>
      </ns0:c>
      <ns0:c r="B160" s="3" t="inlineStr">
        <ns0:is>
          <ns0:t>G0基本5000比較</ns0:t>
        </ns0:is>
      </ns0:c>
      <ns0:c r="C160" s="3" t="inlineStr">
        <ns0:is>
          <ns0:t>A</ns0:t>
        </ns0:is>
      </ns0:c>
      <ns0:c r="D160" s="4" t="n">
        <ns0:v>0</ns0:v>
      </ns0:c>
      <ns0:c r="E160" s="4" t="n">
        <ns0:v>1000</ns0:v>
      </ns0:c>
      <ns0:c r="F160" s="6" t="n">
        <ns0:v>0.5</ns0:v>
      </ns0:c>
      <ns0:c r="G160" s="4" t="n">
        <ns0:v>0</ns0:v>
      </ns0:c>
      <ns0:c r="H160" s="7" t="n">
        <ns0:v>8042.390488110137</ns0:v>
      </ns0:c>
      <ns0:c r="I160" s="7" t="n">
        <ns0:v>5515.95744680851</ns0:v>
      </ns0:c>
      <ns0:c r="J160" s="7" t="n">
        <ns0:v>2757.978723404255</ns0:v>
      </ns0:c>
      <ns0:c r="K160" s="7" t="n">
        <ns0:v>19</ns0:v>
      </ns0:c>
      <ns0:c r="L160" s="7" t="n">
        <ns0:v>45</ns0:v>
      </ns0:c>
      <ns0:c r="M160" s="7" t="n">
        <ns0:v>-21681.88000460182</ns0:v>
      </ns0:c>
      <ns0:c r="N160" s="7" t="n">
        <ns0:v>38079.10783705795</ns0:v>
      </ns0:c>
      <ns0:c r="O160" s="7" t="n">
        <ns0:v>99805.80281263511</ns0:v>
      </ns0:c>
      <ns0:c r="P160" s="7" t="n">
        <ns0:v>254122.540251578</ns0:v>
      </ns0:c>
      <ns0:c r="Q160" s="7" t="n">
        <ns0:v>829389.4900073495</ns0:v>
      </ns0:c>
      <ns0:c r="R160" s="7" t="n">
        <ns0:v>2919823.81415255</ns0:v>
      </ns0:c>
    </ns0:row>
    <ns0:row r="161" ht="24" customHeight="1">
      <ns0:c r="A161" s="3" t="inlineStr">
        <ns0:is>
          <ns0:t>セット</ns0:t>
        </ns0:is>
      </ns0:c>
      <ns0:c r="B161" s="3" t="inlineStr">
        <ns0:is>
          <ns0:t>G0基本5000比較</ns0:t>
        </ns0:is>
      </ns0:c>
      <ns0:c r="C161" s="3" t="inlineStr">
        <ns0:is>
          <ns0:t>A</ns0:t>
        </ns0:is>
      </ns0:c>
      <ns0:c r="D161" s="4" t="n">
        <ns0:v>0</ns0:v>
      </ns0:c>
      <ns0:c r="E161" s="4" t="n">
        <ns0:v>1000</ns0:v>
      </ns0:c>
      <ns0:c r="F161" s="6" t="n">
        <ns0:v>0.5</ns0:v>
      </ns0:c>
      <ns0:c r="G161" s="4" t="n">
        <ns0:v>1</ns0:v>
      </ns0:c>
      <ns0:c r="H161" s="7" t="n">
        <ns0:v>8042.390488110137</ns0:v>
      </ns0:c>
      <ns0:c r="I161" s="7" t="n">
        <ns0:v>5515.95744680851</ns0:v>
      </ns0:c>
      <ns0:c r="J161" s="7" t="n">
        <ns0:v>2757.978723404255</ns0:v>
      </ns0:c>
      <ns0:c r="K161" s="7" t="n">
        <ns0:v>21</ns0:v>
      </ns0:c>
      <ns0:c r="L161" s="7" t="n">
        <ns0:v>141</ns0:v>
      </ns0:c>
      <ns0:c r="M161" s="7" t="n">
        <ns0:v>-25400.52041057266</ns0:v>
      </ns0:c>
      <ns0:c r="N161" s="7" t="n">
        <ns0:v>26923.18661914542</ns0:v>
      </ns0:c>
      <ns0:c r="O161" s="7" t="n">
        <ns0:v>81212.60078278091</ns0:v>
      </ns0:c>
      <ns0:c r="P161" s="7" t="n">
        <ns0:v>216936.1361918696</ns0:v>
      </ns0:c>
      <ns0:c r="Q161" s="7" t="n">
        <ns0:v>717830.2778282242</ns0:v>
      </ns0:c>
      <ns0:c r="R161" s="7" t="n">
        <ns0:v>2547959.773555466</ns0:v>
      </ns0:c>
    </ns0:row>
    <ns0:row r="162" ht="24" customHeight="1">
      <ns0:c r="A162" s="3" t="inlineStr">
        <ns0:is>
          <ns0:t>セット</ns0:t>
        </ns0:is>
      </ns0:c>
      <ns0:c r="B162" s="3" t="inlineStr">
        <ns0:is>
          <ns0:t>G0基本5000比較</ns0:t>
        </ns0:is>
      </ns0:c>
      <ns0:c r="C162" s="3" t="inlineStr">
        <ns0:is>
          <ns0:t>A</ns0:t>
        </ns0:is>
      </ns0:c>
      <ns0:c r="D162" s="4" t="n">
        <ns0:v>0</ns0:v>
      </ns0:c>
      <ns0:c r="E162" s="4" t="n">
        <ns0:v>1000</ns0:v>
      </ns0:c>
      <ns0:c r="F162" s="6" t="n">
        <ns0:v>0.5</ns0:v>
      </ns0:c>
      <ns0:c r="G162" s="4" t="n">
        <ns0:v>2</ns0:v>
      </ns0:c>
      <ns0:c r="H162" s="7" t="n">
        <ns0:v>8042.390488110137</ns0:v>
      </ns0:c>
      <ns0:c r="I162" s="7" t="n">
        <ns0:v>5515.95744680851</ns0:v>
      </ns0:c>
      <ns0:c r="J162" s="7" t="n">
        <ns0:v>2757.978723404255</ns0:v>
      </ns0:c>
      <ns0:c r="K162" s="7" t="n">
        <ns0:v>121</ns0:v>
      </ns0:c>
      <ns0:c r="L162" s="18" t="inlineStr">
        <ns0:is>
          <ns0:t>範囲内なし</ns0:t>
        </ns0:is>
      </ns0:c>
      <ns0:c r="M162" s="7" t="n">
        <ns0:v>-44523.3289770791</ns0:v>
      </ns0:c>
      <ns0:c r="N162" s="7" t="n">
        <ns0:v>-30445.23908037391</ns0:v>
      </ns0:c>
      <ns0:c r="O162" s="7" t="n">
        <ns0:v>-14401.44204975132</ns0:v>
      </ns0:c>
      <ns0:c r="P162" s="7" t="n">
        <ns0:v>25708.05052680516</ns0:v>
      </ns0:c>
      <ns0:c r="Q162" s="7" t="n">
        <ns0:v>144146.020833031</ns0:v>
      </ns0:c>
      <ns0:c r="R162" s="7" t="n">
        <ns0:v>635678.9169048213</ns0:v>
      </ns0:c>
    </ns0:row>
    <ns0:row r="163" ht="24" customHeight="1">
      <ns0:c r="A163" s="3" t="inlineStr">
        <ns0:is>
          <ns0:t>セット</ns0:t>
        </ns0:is>
      </ns0:c>
      <ns0:c r="B163" s="3" t="inlineStr">
        <ns0:is>
          <ns0:t>G0基本5000比較</ns0:t>
        </ns0:is>
      </ns0:c>
      <ns0:c r="C163" s="3" t="inlineStr">
        <ns0:is>
          <ns0:t>A</ns0:t>
        </ns0:is>
      </ns0:c>
      <ns0:c r="D163" s="4" t="n">
        <ns0:v>0</ns0:v>
      </ns0:c>
      <ns0:c r="E163" s="4" t="n">
        <ns0:v>1000</ns0:v>
      </ns0:c>
      <ns0:c r="F163" s="6" t="n">
        <ns0:v>0.5</ns0:v>
      </ns0:c>
      <ns0:c r="G163" s="4" t="n">
        <ns0:v>3</ns0:v>
      </ns0:c>
      <ns0:c r="H163" s="7" t="n">
        <ns0:v>8042.390488110137</ns0:v>
      </ns0:c>
      <ns0:c r="I163" s="7" t="n">
        <ns0:v>5515.95744680851</ns0:v>
      </ns0:c>
      <ns0:c r="J163" s="7" t="n">
        <ns0:v>2757.978723404255</ns0:v>
      </ns0:c>
      <ns0:c r="K163" s="7" t="n">
        <ns0:v>30</ns0:v>
      </ns0:c>
      <ns0:c r="L163" s="18" t="inlineStr">
        <ns0:is>
          <ns0:t>範囲内なし</ns0:t>
        </ns0:is>
      </ns0:c>
      <ns0:c r="M163" s="7" t="n">
        <ns0:v>-33969.62731114335</ns0:v>
      </ns0:c>
      <ns0:c r="N163" s="7" t="n">
        <ns0:v>1215.865917433337</ns0:v>
      </ns0:c>
      <ns0:c r="O163" s="7" t="n">
        <ns0:v>38367.06627992744</ns0:v>
      </ns0:c>
      <ns0:c r="P163" s="7" t="n">
        <ns0:v>131245.0671861627</ns0:v>
      </ns0:c>
      <ns0:c r="Q163" s="7" t="n">
        <ns0:v>460757.0708111034</ns0:v>
      </ns0:c>
      <ns0:c r="R163" s="7" t="n">
        <ns0:v>1691049.083498396</ns0:v>
      </ns0:c>
    </ns0:row>
    <ns0:row r="164" ht="24" customHeight="1">
      <ns0:c r="A164" s="3" t="inlineStr">
        <ns0:is>
          <ns0:t>セット</ns0:t>
        </ns0:is>
      </ns0:c>
      <ns0:c r="B164" s="3" t="inlineStr">
        <ns0:is>
          <ns0:t>G0基本5000比較</ns0:t>
        </ns0:is>
      </ns0:c>
      <ns0:c r="C164" s="3" t="inlineStr">
        <ns0:is>
          <ns0:t>A</ns0:t>
        </ns0:is>
      </ns0:c>
      <ns0:c r="D164" s="4" t="n">
        <ns0:v>0</ns0:v>
      </ns0:c>
      <ns0:c r="E164" s="4" t="n">
        <ns0:v>1500</ns0:v>
      </ns0:c>
      <ns0:c r="F164" s="6" t="n">
        <ns0:v>0.3</ns0:v>
      </ns0:c>
      <ns0:c r="G164" s="4" t="n">
        <ns0:v>0</ns0:v>
      </ns0:c>
      <ns0:c r="H164" s="7" t="n">
        <ns0:v>7542.390488110138</ns0:v>
      </ns0:c>
      <ns0:c r="I164" s="7" t="n">
        <ns0:v>5015.95744680851</ns0:v>
      </ns0:c>
      <ns0:c r="J164" s="7" t="n">
        <ns0:v>1504.787234042553</ns0:v>
      </ns0:c>
      <ns0:c r="K164" s="7" t="n">
        <ns0:v>16</ns0:v>
      </ns0:c>
      <ns0:c r="L164" s="7" t="n">
        <ns0:v>37</ns0:v>
      </ns0:c>
      <ns0:c r="M164" s="7" t="n">
        <ns0:v>-13969.96511098479</ns0:v>
      </ns0:c>
      <ns0:c r="N164" s="7" t="n">
        <ns0:v>61214.85251790899</ns0:v>
      </ns0:c>
      <ns0:c r="O164" s="7" t="n">
        <ns0:v>138365.3772807202</ns0:v>
      </ns0:c>
      <ns0:c r="P164" s="7" t="n">
        <ns0:v>331241.6891877483</ns0:v>
      </ns0:c>
      <ns0:c r="Q164" s="7" t="n">
        <ns0:v>1060746.93681586</ns0:v>
      </ns0:c>
      <ns0:c r="R164" s="7" t="n">
        <ns0:v>3691015.303514252</ns0:v>
      </ns0:c>
    </ns0:row>
    <ns0:row r="165" ht="24" customHeight="1">
      <ns0:c r="A165" s="3" t="inlineStr">
        <ns0:is>
          <ns0:t>セット</ns0:t>
        </ns0:is>
      </ns0:c>
      <ns0:c r="B165" s="3" t="inlineStr">
        <ns0:is>
          <ns0:t>G0基本5000比較</ns0:t>
        </ns0:is>
      </ns0:c>
      <ns0:c r="C165" s="3" t="inlineStr">
        <ns0:is>
          <ns0:t>A</ns0:t>
        </ns0:is>
      </ns0:c>
      <ns0:c r="D165" s="4" t="n">
        <ns0:v>0</ns0:v>
      </ns0:c>
      <ns0:c r="E165" s="4" t="n">
        <ns0:v>1500</ns0:v>
      </ns0:c>
      <ns0:c r="F165" s="6" t="n">
        <ns0:v>0.3</ns0:v>
      </ns0:c>
      <ns0:c r="G165" s="4" t="n">
        <ns0:v>1</ns0:v>
      </ns0:c>
      <ns0:c r="H165" s="7" t="n">
        <ns0:v>7542.390488110138</ns0:v>
      </ns0:c>
      <ns0:c r="I165" s="7" t="n">
        <ns0:v>5015.95744680851</ns0:v>
      </ns0:c>
      <ns0:c r="J165" s="7" t="n">
        <ns0:v>1504.787234042553</ns0:v>
      </ns0:c>
      <ns0:c r="K165" s="7" t="n">
        <ns0:v>18</ns0:v>
      </ns0:c>
      <ns0:c r="L165" s="7" t="n">
        <ns0:v>60</ns0:v>
      </ns0:c>
      <ns0:c r="M165" s="7" t="n">
        <ns0:v>-17688.60551695563</ns0:v>
      </ns0:c>
      <ns0:c r="N165" s="7" t="n">
        <ns0:v>50058.93129999647</ns0:v>
      </ns0:c>
      <ns0:c r="O165" s="7" t="n">
        <ns0:v>119772.175250866</ns0:v>
      </ns0:c>
      <ns0:c r="P165" s="7" t="n">
        <ns0:v>294055.2851280398</ns0:v>
      </ns0:c>
      <ns0:c r="Q165" s="7" t="n">
        <ns0:v>949187.724636735</ns0:v>
      </ns0:c>
      <ns0:c r="R165" s="7" t="n">
        <ns0:v>3319151.262917168</ns0:v>
      </ns0:c>
    </ns0:row>
    <ns0:row r="166" ht="24" customHeight="1">
      <ns0:c r="A166" s="3" t="inlineStr">
        <ns0:is>
          <ns0:t>セット</ns0:t>
        </ns0:is>
      </ns0:c>
      <ns0:c r="B166" s="3" t="inlineStr">
        <ns0:is>
          <ns0:t>G0基本5000比較</ns0:t>
        </ns0:is>
      </ns0:c>
      <ns0:c r="C166" s="3" t="inlineStr">
        <ns0:is>
          <ns0:t>A</ns0:t>
        </ns0:is>
      </ns0:c>
      <ns0:c r="D166" s="4" t="n">
        <ns0:v>0</ns0:v>
      </ns0:c>
      <ns0:c r="E166" s="4" t="n">
        <ns0:v>1500</ns0:v>
      </ns0:c>
      <ns0:c r="F166" s="6" t="n">
        <ns0:v>0.3</ns0:v>
      </ns0:c>
      <ns0:c r="G166" s="4" t="n">
        <ns0:v>2</ns0:v>
      </ns0:c>
      <ns0:c r="H166" s="7" t="n">
        <ns0:v>7542.390488110138</ns0:v>
      </ns0:c>
      <ns0:c r="I166" s="7" t="n">
        <ns0:v>5015.95744680851</ns0:v>
      </ns0:c>
      <ns0:c r="J166" s="7" t="n">
        <ns0:v>1504.787234042553</ns0:v>
      </ns0:c>
      <ns0:c r="K166" s="7" t="n">
        <ns0:v>35</ns0:v>
      </ns0:c>
      <ns0:c r="L166" s="18" t="inlineStr">
        <ns0:is>
          <ns0:t>範囲内なし</ns0:t>
        </ns0:is>
      </ns0:c>
      <ns0:c r="M166" s="7" t="n">
        <ns0:v>-36811.41408346208</ns0:v>
      </ns0:c>
      <ns0:c r="N166" s="7" t="n">
        <ns0:v>-7309.494399522853</ns0:v>
      </ns0:c>
      <ns0:c r="O166" s="7" t="n">
        <ns0:v>24158.13241833381</ns0:v>
      </ns0:c>
      <ns0:c r="P166" s="7" t="n">
        <ns0:v>102827.1994629754</ns0:v>
      </ns0:c>
      <ns0:c r="Q166" s="7" t="n">
        <ns0:v>375503.4676415417</ns0:v>
      </ns0:c>
      <ns0:c r="R166" s="7" t="n">
        <ns0:v>1406870.406266524</ns0:v>
      </ns0:c>
    </ns0:row>
    <ns0:row r="167" ht="24" customHeight="1">
      <ns0:c r="A167" s="3" t="inlineStr">
        <ns0:is>
          <ns0:t>セット</ns0:t>
        </ns0:is>
      </ns0:c>
      <ns0:c r="B167" s="3" t="inlineStr">
        <ns0:is>
          <ns0:t>G0基本5000比較</ns0:t>
        </ns0:is>
      </ns0:c>
      <ns0:c r="C167" s="3" t="inlineStr">
        <ns0:is>
          <ns0:t>A</ns0:t>
        </ns0:is>
      </ns0:c>
      <ns0:c r="D167" s="4" t="n">
        <ns0:v>0</ns0:v>
      </ns0:c>
      <ns0:c r="E167" s="4" t="n">
        <ns0:v>1500</ns0:v>
      </ns0:c>
      <ns0:c r="F167" s="6" t="n">
        <ns0:v>0.3</ns0:v>
      </ns0:c>
      <ns0:c r="G167" s="4" t="n">
        <ns0:v>3</ns0:v>
      </ns0:c>
      <ns0:c r="H167" s="7" t="n">
        <ns0:v>7542.390488110138</ns0:v>
      </ns0:c>
      <ns0:c r="I167" s="7" t="n">
        <ns0:v>5015.95744680851</ns0:v>
      </ns0:c>
      <ns0:c r="J167" s="7" t="n">
        <ns0:v>1504.787234042553</ns0:v>
      </ns0:c>
      <ns0:c r="K167" s="7" t="n">
        <ns0:v>22</ns0:v>
      </ns0:c>
      <ns0:c r="L167" s="18" t="inlineStr">
        <ns0:is>
          <ns0:t>範囲内なし</ns0:t>
        </ns0:is>
      </ns0:c>
      <ns0:c r="M167" s="7" t="n">
        <ns0:v>-26257.71241752633</ns0:v>
      </ns0:c>
      <ns0:c r="N167" s="7" t="n">
        <ns0:v>24351.61059828439</ns0:v>
      </ns0:c>
      <ns0:c r="O167" s="7" t="n">
        <ns0:v>76926.64074801258</ns0:v>
      </ns0:c>
      <ns0:c r="P167" s="7" t="n">
        <ns0:v>208364.2161223329</ns0:v>
      </ns0:c>
      <ns0:c r="Q167" s="7" t="n">
        <ns0:v>692114.5176196143</ns0:v>
      </ns0:c>
      <ns0:c r="R167" s="7" t="n">
        <ns0:v>2462240.572860098</ns0:v>
      </ns0:c>
    </ns0:row>
    <ns0:row r="168" ht="24" customHeight="1">
      <ns0:c r="A168" s="3" t="inlineStr">
        <ns0:is>
          <ns0:t>セット</ns0:t>
        </ns0:is>
      </ns0:c>
      <ns0:c r="B168" s="3" t="inlineStr">
        <ns0:is>
          <ns0:t>G0基本5000比較</ns0:t>
        </ns0:is>
      </ns0:c>
      <ns0:c r="C168" s="3" t="inlineStr">
        <ns0:is>
          <ns0:t>A</ns0:t>
        </ns0:is>
      </ns0:c>
      <ns0:c r="D168" s="4" t="n">
        <ns0:v>0</ns0:v>
      </ns0:c>
      <ns0:c r="E168" s="4" t="n">
        <ns0:v>1500</ns0:v>
      </ns0:c>
      <ns0:c r="F168" s="6" t="n">
        <ns0:v>0.4</ns0:v>
      </ns0:c>
      <ns0:c r="G168" s="4" t="n">
        <ns0:v>0</ns0:v>
      </ns0:c>
      <ns0:c r="H168" s="7" t="n">
        <ns0:v>7542.390488110138</ns0:v>
      </ns0:c>
      <ns0:c r="I168" s="7" t="n">
        <ns0:v>5015.95744680851</ns0:v>
      </ns0:c>
      <ns0:c r="J168" s="7" t="n">
        <ns0:v>2006.382978723404</ns0:v>
      </ns0:c>
      <ns0:c r="K168" s="7" t="n">
        <ns0:v>18</ns0:v>
      </ns0:c>
      <ns0:c r="L168" s="7" t="n">
        <ns0:v>42</ns0:v>
      </ns0:c>
      <ns0:c r="M168" s="7" t="n">
        <ns0:v>-18985.92255779331</ns0:v>
      </ns0:c>
      <ns0:c r="N168" s="7" t="n">
        <ns0:v>46166.98017748346</ns0:v>
      </ns0:c>
      <ns0:c r="O168" s="7" t="n">
        <ns0:v>113285.5900466777</ns0:v>
      </ns0:c>
      <ns0:c r="P168" s="7" t="n">
        <ns0:v>281082.1147196632</ns0:v>
      </ns0:c>
      <ns0:c r="Q168" s="7" t="n">
        <ns0:v>910268.2134116052</ns0:v>
      </ns0:c>
      <ns0:c r="R168" s="7" t="n">
        <ns0:v>3189419.558833402</ns0:v>
      </ns0:c>
    </ns0:row>
    <ns0:row r="169" ht="24" customHeight="1">
      <ns0:c r="A169" s="3" t="inlineStr">
        <ns0:is>
          <ns0:t>セット</ns0:t>
        </ns0:is>
      </ns0:c>
      <ns0:c r="B169" s="3" t="inlineStr">
        <ns0:is>
          <ns0:t>G0基本5000比較</ns0:t>
        </ns0:is>
      </ns0:c>
      <ns0:c r="C169" s="3" t="inlineStr">
        <ns0:is>
          <ns0:t>A</ns0:t>
        </ns0:is>
      </ns0:c>
      <ns0:c r="D169" s="4" t="n">
        <ns0:v>0</ns0:v>
      </ns0:c>
      <ns0:c r="E169" s="4" t="n">
        <ns0:v>1500</ns0:v>
      </ns0:c>
      <ns0:c r="F169" s="6" t="n">
        <ns0:v>0.4</ns0:v>
      </ns0:c>
      <ns0:c r="G169" s="4" t="n">
        <ns0:v>1</ns0:v>
      </ns0:c>
      <ns0:c r="H169" s="7" t="n">
        <ns0:v>7542.390488110138</ns0:v>
      </ns0:c>
      <ns0:c r="I169" s="7" t="n">
        <ns0:v>5015.95744680851</ns0:v>
      </ns0:c>
      <ns0:c r="J169" s="7" t="n">
        <ns0:v>2006.382978723404</ns0:v>
      </ns0:c>
      <ns0:c r="K169" s="7" t="n">
        <ns0:v>20</ns0:v>
      </ns0:c>
      <ns0:c r="L169" s="7" t="n">
        <ns0:v>122</ns0:v>
      </ns0:c>
      <ns0:c r="M169" s="7" t="n">
        <ns0:v>-22704.56296376415</ns0:v>
      </ns0:c>
      <ns0:c r="N169" s="7" t="n">
        <ns0:v>35011.05895957093</ns0:v>
      </ns0:c>
      <ns0:c r="O169" s="7" t="n">
        <ns0:v>94692.38801682346</ns0:v>
      </ns0:c>
      <ns0:c r="P169" s="7" t="n">
        <ns0:v>243895.7106599547</ns0:v>
      </ns0:c>
      <ns0:c r="Q169" s="7" t="n">
        <ns0:v>798709.0012324799</ns0:v>
      </ns0:c>
      <ns0:c r="R169" s="7" t="n">
        <ns0:v>2817555.518236318</ns0:v>
      </ns0:c>
    </ns0:row>
    <ns0:row r="170" ht="24" customHeight="1">
      <ns0:c r="A170" s="3" t="inlineStr">
        <ns0:is>
          <ns0:t>セット</ns0:t>
        </ns0:is>
      </ns0:c>
      <ns0:c r="B170" s="3" t="inlineStr">
        <ns0:is>
          <ns0:t>G0基本5000比較</ns0:t>
        </ns0:is>
      </ns0:c>
      <ns0:c r="C170" s="3" t="inlineStr">
        <ns0:is>
          <ns0:t>A</ns0:t>
        </ns0:is>
      </ns0:c>
      <ns0:c r="D170" s="4" t="n">
        <ns0:v>0</ns0:v>
      </ns0:c>
      <ns0:c r="E170" s="4" t="n">
        <ns0:v>1500</ns0:v>
      </ns0:c>
      <ns0:c r="F170" s="6" t="n">
        <ns0:v>0.4</ns0:v>
      </ns0:c>
      <ns0:c r="G170" s="4" t="n">
        <ns0:v>2</ns0:v>
      </ns0:c>
      <ns0:c r="H170" s="7" t="n">
        <ns0:v>7542.390488110138</ns0:v>
      </ns0:c>
      <ns0:c r="I170" s="7" t="n">
        <ns0:v>5015.95744680851</ns0:v>
      </ns0:c>
      <ns0:c r="J170" s="7" t="n">
        <ns0:v>2006.382978723404</ns0:v>
      </ns0:c>
      <ns0:c r="K170" s="7" t="n">
        <ns0:v>51</ns0:v>
      </ns0:c>
      <ns0:c r="L170" s="18" t="inlineStr">
        <ns0:is>
          <ns0:t>範囲内なし</ns0:t>
        </ns0:is>
      </ns0:c>
      <ns0:c r="M170" s="7" t="n">
        <ns0:v>-41827.37153027059</ns0:v>
      </ns0:c>
      <ns0:c r="N170" s="7" t="n">
        <ns0:v>-22357.3667399484</ns0:v>
      </ns0:c>
      <ns0:c r="O170" s="7" t="n">
        <ns0:v>-921.6548157087527</ns0:v>
      </ns0:c>
      <ns0:c r="P170" s="7" t="n">
        <ns0:v>52667.6249948903</ns0:v>
      </ns0:c>
      <ns0:c r="Q170" s="7" t="n">
        <ns0:v>225024.7442372867</ns0:v>
      </ns0:c>
      <ns0:c r="R170" s="7" t="n">
        <ns0:v>905274.6615856732</ns0:v>
      </ns0:c>
    </ns0:row>
    <ns0:row r="171" ht="24" customHeight="1">
      <ns0:c r="A171" s="3" t="inlineStr">
        <ns0:is>
          <ns0:t>セット</ns0:t>
        </ns0:is>
      </ns0:c>
      <ns0:c r="B171" s="3" t="inlineStr">
        <ns0:is>
          <ns0:t>G0基本5000比較</ns0:t>
        </ns0:is>
      </ns0:c>
      <ns0:c r="C171" s="3" t="inlineStr">
        <ns0:is>
          <ns0:t>A</ns0:t>
        </ns0:is>
      </ns0:c>
      <ns0:c r="D171" s="4" t="n">
        <ns0:v>0</ns0:v>
      </ns0:c>
      <ns0:c r="E171" s="4" t="n">
        <ns0:v>1500</ns0:v>
      </ns0:c>
      <ns0:c r="F171" s="6" t="n">
        <ns0:v>0.4</ns0:v>
      </ns0:c>
      <ns0:c r="G171" s="4" t="n">
        <ns0:v>3</ns0:v>
      </ns0:c>
      <ns0:c r="H171" s="7" t="n">
        <ns0:v>7542.390488110138</ns0:v>
      </ns0:c>
      <ns0:c r="I171" s="7" t="n">
        <ns0:v>5015.95744680851</ns0:v>
      </ns0:c>
      <ns0:c r="J171" s="7" t="n">
        <ns0:v>2006.382978723404</ns0:v>
      </ns0:c>
      <ns0:c r="K171" s="7" t="n">
        <ns0:v>26</ns0:v>
      </ns0:c>
      <ns0:c r="L171" s="18" t="inlineStr">
        <ns0:is>
          <ns0:t>範囲内なし</ns0:t>
        </ns0:is>
      </ns0:c>
      <ns0:c r="M171" s="7" t="n">
        <ns0:v>-31273.66986433484</ns0:v>
      </ns0:c>
      <ns0:c r="N171" s="7" t="n">
        <ns0:v>9303.738257858859</ns0:v>
      </ns0:c>
      <ns0:c r="O171" s="7" t="n">
        <ns0:v>51846.85351397</ns0:v>
      </ns0:c>
      <ns0:c r="P171" s="7" t="n">
        <ns0:v>158204.6416542478</ns0:v>
      </ns0:c>
      <ns0:c r="Q171" s="7" t="n">
        <ns0:v>541635.7942153591</ns0:v>
      </ns0:c>
      <ns0:c r="R171" s="7" t="n">
        <ns0:v>1960644.828179248</ns0:v>
      </ns0:c>
    </ns0:row>
    <ns0:row r="172" ht="24" customHeight="1">
      <ns0:c r="A172" s="3" t="inlineStr">
        <ns0:is>
          <ns0:t>セット</ns0:t>
        </ns0:is>
      </ns0:c>
      <ns0:c r="B172" s="3" t="inlineStr">
        <ns0:is>
          <ns0:t>G0基本5000比較</ns0:t>
        </ns0:is>
      </ns0:c>
      <ns0:c r="C172" s="3" t="inlineStr">
        <ns0:is>
          <ns0:t>A</ns0:t>
        </ns0:is>
      </ns0:c>
      <ns0:c r="D172" s="4" t="n">
        <ns0:v>0</ns0:v>
      </ns0:c>
      <ns0:c r="E172" s="4" t="n">
        <ns0:v>1500</ns0:v>
      </ns0:c>
      <ns0:c r="F172" s="6" t="n">
        <ns0:v>0.5</ns0:v>
      </ns0:c>
      <ns0:c r="G172" s="4" t="n">
        <ns0:v>0</ns0:v>
      </ns0:c>
      <ns0:c r="H172" s="7" t="n">
        <ns0:v>7542.390488110138</ns0:v>
      </ns0:c>
      <ns0:c r="I172" s="7" t="n">
        <ns0:v>5015.95744680851</ns0:v>
      </ns0:c>
      <ns0:c r="J172" s="7" t="n">
        <ns0:v>2507.978723404255</ns0:v>
      </ns0:c>
      <ns0:c r="K172" s="7" t="n">
        <ns0:v>20</ns0:v>
      </ns0:c>
      <ns0:c r="L172" s="7" t="n">
        <ns0:v>48</ns0:v>
      </ns0:c>
      <ns0:c r="M172" s="7" t="n">
        <ns0:v>-24001.88000460182</ns0:v>
      </ns0:c>
      <ns0:c r="N172" s="7" t="n">
        <ns0:v>31119.10783705792</ns0:v>
      </ns0:c>
      <ns0:c r="O172" s="7" t="n">
        <ns0:v>88205.80281263514</ns0:v>
      </ns0:c>
      <ns0:c r="P172" s="7" t="n">
        <ns0:v>230922.5402515781</ns0:v>
      </ns0:c>
      <ns0:c r="Q172" s="7" t="n">
        <ns0:v>759789.4900073498</ns0:v>
      </ns0:c>
      <ns0:c r="R172" s="7" t="n">
        <ns0:v>2687823.814152551</ns0:v>
      </ns0:c>
    </ns0:row>
    <ns0:row r="173" ht="24" customHeight="1">
      <ns0:c r="A173" s="3" t="inlineStr">
        <ns0:is>
          <ns0:t>セット</ns0:t>
        </ns0:is>
      </ns0:c>
      <ns0:c r="B173" s="3" t="inlineStr">
        <ns0:is>
          <ns0:t>G0基本5000比較</ns0:t>
        </ns0:is>
      </ns0:c>
      <ns0:c r="C173" s="3" t="inlineStr">
        <ns0:is>
          <ns0:t>A</ns0:t>
        </ns0:is>
      </ns0:c>
      <ns0:c r="D173" s="4" t="n">
        <ns0:v>0</ns0:v>
      </ns0:c>
      <ns0:c r="E173" s="4" t="n">
        <ns0:v>1500</ns0:v>
      </ns0:c>
      <ns0:c r="F173" s="6" t="n">
        <ns0:v>0.5</ns0:v>
      </ns0:c>
      <ns0:c r="G173" s="4" t="n">
        <ns0:v>1</ns0:v>
      </ns0:c>
      <ns0:c r="H173" s="7" t="n">
        <ns0:v>7542.390488110138</ns0:v>
      </ns0:c>
      <ns0:c r="I173" s="7" t="n">
        <ns0:v>5015.95744680851</ns0:v>
      </ns0:c>
      <ns0:c r="J173" s="7" t="n">
        <ns0:v>2507.978723404255</ns0:v>
      </ns0:c>
      <ns0:c r="K173" s="7" t="n">
        <ns0:v>23</ns0:v>
      </ns0:c>
      <ns0:c r="L173" s="7" t="n">
        <ns0:v>163</ns0:v>
      </ns0:c>
      <ns0:c r="M173" s="7" t="n">
        <ns0:v>-27720.52041057266</ns0:v>
      </ns0:c>
      <ns0:c r="N173" s="7" t="n">
        <ns0:v>19963.1866191454</ns0:v>
      </ns0:c>
      <ns0:c r="O173" s="7" t="n">
        <ns0:v>69612.60078278094</ns0:v>
      </ns0:c>
      <ns0:c r="P173" s="7" t="n">
        <ns0:v>193736.1361918697</ns0:v>
      </ns0:c>
      <ns0:c r="Q173" s="7" t="n">
        <ns0:v>648230.2778282245</ns0:v>
      </ns0:c>
      <ns0:c r="R173" s="7" t="n">
        <ns0:v>2315959.773555467</ns0:v>
      </ns0:c>
    </ns0:row>
    <ns0:row r="174" ht="24" customHeight="1">
      <ns0:c r="A174" s="3" t="inlineStr">
        <ns0:is>
          <ns0:t>セット</ns0:t>
        </ns0:is>
      </ns0:c>
      <ns0:c r="B174" s="3" t="inlineStr">
        <ns0:is>
          <ns0:t>G0基本5000比較</ns0:t>
        </ns0:is>
      </ns0:c>
      <ns0:c r="C174" s="3" t="inlineStr">
        <ns0:is>
          <ns0:t>A</ns0:t>
        </ns0:is>
      </ns0:c>
      <ns0:c r="D174" s="4" t="n">
        <ns0:v>0</ns0:v>
      </ns0:c>
      <ns0:c r="E174" s="4" t="n">
        <ns0:v>1500</ns0:v>
      </ns0:c>
      <ns0:c r="F174" s="6" t="n">
        <ns0:v>0.5</ns0:v>
      </ns0:c>
      <ns0:c r="G174" s="4" t="n">
        <ns0:v>2</ns0:v>
      </ns0:c>
      <ns0:c r="H174" s="7" t="n">
        <ns0:v>7542.390488110138</ns0:v>
      </ns0:c>
      <ns0:c r="I174" s="7" t="n">
        <ns0:v>5015.95744680851</ns0:v>
      </ns0:c>
      <ns0:c r="J174" s="7" t="n">
        <ns0:v>2507.978723404255</ns0:v>
      </ns0:c>
      <ns0:c r="K174" s="7" t="n">
        <ns0:v>170</ns0:v>
      </ns0:c>
      <ns0:c r="L174" s="18" t="inlineStr">
        <ns0:is>
          <ns0:t>範囲内なし</ns0:t>
        </ns0:is>
      </ns0:c>
      <ns0:c r="M174" s="7" t="n">
        <ns0:v>-46843.3289770791</ns0:v>
      </ns0:c>
      <ns0:c r="N174" s="7" t="n">
        <ns0:v>-37405.23908037393</ns0:v>
      </ns0:c>
      <ns0:c r="O174" s="7" t="n">
        <ns0:v>-26001.44204975126</ns0:v>
      </ns0:c>
      <ns0:c r="P174" s="7" t="n">
        <ns0:v>2508.050526805251</ns0:v>
      </ns0:c>
      <ns0:c r="Q174" s="7" t="n">
        <ns0:v>74546.02083303116</ns0:v>
      </ns0:c>
      <ns0:c r="R174" s="7" t="n">
        <ns0:v>403678.9169048225</ns0:v>
      </ns0:c>
    </ns0:row>
    <ns0:row r="175" ht="24" customHeight="1">
      <ns0:c r="A175" s="3" t="inlineStr">
        <ns0:is>
          <ns0:t>セット</ns0:t>
        </ns0:is>
      </ns0:c>
      <ns0:c r="B175" s="3" t="inlineStr">
        <ns0:is>
          <ns0:t>G0基本5000比較</ns0:t>
        </ns0:is>
      </ns0:c>
      <ns0:c r="C175" s="3" t="inlineStr">
        <ns0:is>
          <ns0:t>A</ns0:t>
        </ns0:is>
      </ns0:c>
      <ns0:c r="D175" s="4" t="n">
        <ns0:v>0</ns0:v>
      </ns0:c>
      <ns0:c r="E175" s="4" t="n">
        <ns0:v>1500</ns0:v>
      </ns0:c>
      <ns0:c r="F175" s="6" t="n">
        <ns0:v>0.5</ns0:v>
      </ns0:c>
      <ns0:c r="G175" s="4" t="n">
        <ns0:v>3</ns0:v>
      </ns0:c>
      <ns0:c r="H175" s="7" t="n">
        <ns0:v>7542.390488110138</ns0:v>
      </ns0:c>
      <ns0:c r="I175" s="7" t="n">
        <ns0:v>5015.95744680851</ns0:v>
      </ns0:c>
      <ns0:c r="J175" s="7" t="n">
        <ns0:v>2507.978723404255</ns0:v>
      </ns0:c>
      <ns0:c r="K175" s="7" t="n">
        <ns0:v>34</ns0:v>
      </ns0:c>
      <ns0:c r="L175" s="18" t="inlineStr">
        <ns0:is>
          <ns0:t>範囲内なし</ns0:t>
        </ns0:is>
      </ns0:c>
      <ns0:c r="M175" s="7" t="n">
        <ns0:v>-36289.62731114335</ns0:v>
      </ns0:c>
      <ns0:c r="N175" s="7" t="n">
        <ns0:v>-5744.134082566685</ns0:v>
      </ns0:c>
      <ns0:c r="O175" s="7" t="n">
        <ns0:v>26767.06627992748</ns0:v>
      </ns0:c>
      <ns0:c r="P175" s="7" t="n">
        <ns0:v>108045.0671861627</ns0:v>
      </ns0:c>
      <ns0:c r="Q175" s="7" t="n">
        <ns0:v>391157.0708111036</ns0:v>
      </ns0:c>
      <ns0:c r="R175" s="7" t="n">
        <ns0:v>1459049.083498397</ns0:v>
      </ns0:c>
    </ns0:row>
    <ns0:row r="176" ht="24" customHeight="1">
      <ns0:c r="A176" s="3" t="inlineStr">
        <ns0:is>
          <ns0:t>セット</ns0:t>
        </ns0:is>
      </ns0:c>
      <ns0:c r="B176" s="3" t="inlineStr">
        <ns0:is>
          <ns0:t>G0基本5000比較</ns0:t>
        </ns0:is>
      </ns0:c>
      <ns0:c r="C176" s="3" t="inlineStr">
        <ns0:is>
          <ns0:t>A</ns0:t>
        </ns0:is>
      </ns0:c>
      <ns0:c r="D176" s="4" t="n">
        <ns0:v>1</ns0:v>
      </ns0:c>
      <ns0:c r="E176" s="4" t="n">
        <ns0:v>500</ns0:v>
      </ns0:c>
      <ns0:c r="F176" s="6" t="n">
        <ns0:v>0.3</ns0:v>
      </ns0:c>
      <ns0:c r="G176" s="4" t="n">
        <ns0:v>0</ns0:v>
      </ns0:c>
      <ns0:c r="H176" s="7" t="n">
        <ns0:v>10221.22905027933</ns0:v>
      </ns0:c>
      <ns0:c r="I176" s="7" t="n">
        <ns0:v>6175.977653631284</ns0:v>
      </ns0:c>
      <ns0:c r="J176" s="7" t="n">
        <ns0:v>1852.793296089385</ns0:v>
      </ns0:c>
      <ns0:c r="K176" s="7" t="n">
        <ns0:v>9</ns0:v>
      </ns0:c>
      <ns0:c r="L176" s="7" t="n">
        <ns0:v>19</ns0:v>
      </ns0:c>
      <ns0:c r="M176" s="7" t="n">
        <ns0:v>7774.061141417758</ns0:v>
      </ns0:c>
      <ns0:c r="N176" s="7" t="n">
        <ns0:v>113787.6280958633</ns0:v>
      </ns0:c>
      <ns0:c r="O176" s="7" t="n">
        <ns0:v>225986.6699106441</ns0:v>
      </ns0:c>
      <ns0:c r="P176" s="7" t="n">
        <ns0:v>506484.274447596</ns0:v>
      </ns0:c>
      <ns0:c r="Q176" s="7" t="n">
        <ns0:v>1586474.692595403</ns0:v>
      </ns0:c>
      <ns0:c r="R176" s="7" t="n">
        <ns0:v>5443441.156112729</ns0:v>
      </ns0:c>
    </ns0:row>
    <ns0:row r="177" ht="24" customHeight="1">
      <ns0:c r="A177" s="3" t="inlineStr">
        <ns0:is>
          <ns0:t>セット</ns0:t>
        </ns0:is>
      </ns0:c>
      <ns0:c r="B177" s="3" t="inlineStr">
        <ns0:is>
          <ns0:t>G0基本5000比較</ns0:t>
        </ns0:is>
      </ns0:c>
      <ns0:c r="C177" s="3" t="inlineStr">
        <ns0:is>
          <ns0:t>A</ns0:t>
        </ns0:is>
      </ns0:c>
      <ns0:c r="D177" s="4" t="n">
        <ns0:v>1</ns0:v>
      </ns0:c>
      <ns0:c r="E177" s="4" t="n">
        <ns0:v>500</ns0:v>
      </ns0:c>
      <ns0:c r="F177" s="6" t="n">
        <ns0:v>0.3</ns0:v>
      </ns0:c>
      <ns0:c r="G177" s="4" t="n">
        <ns0:v>1</ns0:v>
      </ns0:c>
      <ns0:c r="H177" s="7" t="n">
        <ns0:v>10221.22905027933</ns0:v>
      </ns0:c>
      <ns0:c r="I177" s="7" t="n">
        <ns0:v>6175.977653631284</ns0:v>
      </ns0:c>
      <ns0:c r="J177" s="7" t="n">
        <ns0:v>1852.793296089385</ns0:v>
      </ns0:c>
      <ns0:c r="K177" s="7" t="n">
        <ns0:v>12</ns0:v>
      </ns0:c>
      <ns0:c r="L177" s="7" t="n">
        <ns0:v>24</ns0:v>
      </ns0:c>
      <ns0:c r="M177" s="7" t="n">
        <ns0:v>3450.554936413688</ns0:v>
      </ns0:c>
      <ns0:c r="N177" s="7" t="n">
        <ns0:v>100817.1094808511</ns0:v>
      </ns0:c>
      <ns0:c r="O177" s="7" t="n">
        <ns0:v>204369.1388856238</ns0:v>
      </ns0:c>
      <ns0:c r="P177" s="7" t="n">
        <ns0:v>463249.2123975554</ns0:v>
      </ns0:c>
      <ns0:c r="Q177" s="7" t="n">
        <ns0:v>1456769.506445281</ns0:v>
      </ns0:c>
      <ns0:c r="R177" s="7" t="n">
        <ns0:v>5011090.535612321</ns0:v>
      </ns0:c>
    </ns0:row>
    <ns0:row r="178" ht="24" customHeight="1">
      <ns0:c r="A178" s="3" t="inlineStr">
        <ns0:is>
          <ns0:t>セット</ns0:t>
        </ns0:is>
      </ns0:c>
      <ns0:c r="B178" s="3" t="inlineStr">
        <ns0:is>
          <ns0:t>G0基本5000比較</ns0:t>
        </ns0:is>
      </ns0:c>
      <ns0:c r="C178" s="3" t="inlineStr">
        <ns0:is>
          <ns0:t>A</ns0:t>
        </ns0:is>
      </ns0:c>
      <ns0:c r="D178" s="4" t="n">
        <ns0:v>1</ns0:v>
      </ns0:c>
      <ns0:c r="E178" s="4" t="n">
        <ns0:v>500</ns0:v>
      </ns0:c>
      <ns0:c r="F178" s="6" t="n">
        <ns0:v>0.3</ns0:v>
      </ns0:c>
      <ns0:c r="G178" s="4" t="n">
        <ns0:v>2</ns0:v>
      </ns0:c>
      <ns0:c r="H178" s="7" t="n">
        <ns0:v>10221.22905027933</ns0:v>
      </ns0:c>
      <ns0:c r="I178" s="7" t="n">
        <ns0:v>6175.977653631284</ns0:v>
      </ns0:c>
      <ns0:c r="J178" s="7" t="n">
        <ns0:v>1852.793296089385</ns0:v>
      </ns0:c>
      <ns0:c r="K178" s="7" t="n">
        <ns0:v>36</ns0:v>
      </ns0:c>
      <ns0:c r="L178" s="18" t="inlineStr">
        <ns0:is>
          <ns0:t>範囲内なし</ns0:t>
        </ns0:is>
      </ns0:c>
      <ns0:c r="M178" s="7" t="n">
        <ns0:v>-33133.14902715957</ns0:v>
      </ns0:c>
      <ns0:c r="N178" s="7" t="n">
        <ns0:v>-8934.002409868728</ns0:v>
      </ns0:c>
      <ns0:c r="O178" s="7" t="n">
        <ns0:v>21450.61906775748</ns0:v>
      </ns0:c>
      <ns0:c r="P178" s="7" t="n">
        <ns0:v>97412.17276182276</ns0:v>
      </ns0:c>
      <ns0:c r="Q178" s="7" t="n">
        <ns0:v>359258.3875380836</ns0:v>
      </ns0:c>
      <ns0:c r="R178" s="7" t="n">
        <ns0:v>1352720.139254996</ns0:v>
      </ns0:c>
    </ns0:row>
    <ns0:row r="179" ht="24" customHeight="1">
      <ns0:c r="A179" s="3" t="inlineStr">
        <ns0:is>
          <ns0:t>セット</ns0:t>
        </ns0:is>
      </ns0:c>
      <ns0:c r="B179" s="3" t="inlineStr">
        <ns0:is>
          <ns0:t>G0基本5000比較</ns0:t>
        </ns0:is>
      </ns0:c>
      <ns0:c r="C179" s="3" t="inlineStr">
        <ns0:is>
          <ns0:t>A</ns0:t>
        </ns0:is>
      </ns0:c>
      <ns0:c r="D179" s="4" t="n">
        <ns0:v>1</ns0:v>
      </ns0:c>
      <ns0:c r="E179" s="4" t="n">
        <ns0:v>500</ns0:v>
      </ns0:c>
      <ns0:c r="F179" s="6" t="n">
        <ns0:v>0.3</ns0:v>
      </ns0:c>
      <ns0:c r="G179" s="4" t="n">
        <ns0:v>3</ns0:v>
      </ns0:c>
      <ns0:c r="H179" s="7" t="n">
        <ns0:v>10221.22905027933</ns0:v>
      </ns0:c>
      <ns0:c r="I179" s="7" t="n">
        <ns0:v>6175.977653631284</ns0:v>
      </ns0:c>
      <ns0:c r="J179" s="7" t="n">
        <ns0:v>1852.793296089385</ns0:v>
      </ns0:c>
      <ns0:c r="K179" s="7" t="n">
        <ns0:v>14</ns0:v>
      </ns0:c>
      <ns0:c r="L179" s="7" t="n">
        <ns0:v>113</ns0:v>
      </ns0:c>
      <ns0:c r="M179" s="7" t="n">
        <ns0:v>-6011.951864119044</ns0:v>
      </ns0:c>
      <ns0:c r="N179" s="7" t="n">
        <ns0:v>72429.58907925285</ns0:v>
      </ns0:c>
      <ns0:c r="O179" s="7" t="n">
        <ns0:v>157056.6048829601</ns0:v>
      </ns0:c>
      <ns0:c r="P179" s="7" t="n">
        <ns0:v>368624.144392228</ns0:v>
      </ns0:c>
      <ns0:c r="Q179" s="7" t="n">
        <ns0:v>1172894.302429299</ns0:v>
      </ns0:c>
      <ns0:c r="R179" s="7" t="n">
        <ns0:v>4064839.855559048</ns0:v>
      </ns0:c>
    </ns0:row>
    <ns0:row r="180" ht="24" customHeight="1">
      <ns0:c r="A180" s="3" t="inlineStr">
        <ns0:is>
          <ns0:t>セット</ns0:t>
        </ns0:is>
      </ns0:c>
      <ns0:c r="B180" s="3" t="inlineStr">
        <ns0:is>
          <ns0:t>G0基本5000比較</ns0:t>
        </ns0:is>
      </ns0:c>
      <ns0:c r="C180" s="3" t="inlineStr">
        <ns0:is>
          <ns0:t>A</ns0:t>
        </ns0:is>
      </ns0:c>
      <ns0:c r="D180" s="4" t="n">
        <ns0:v>1</ns0:v>
      </ns0:c>
      <ns0:c r="E180" s="4" t="n">
        <ns0:v>500</ns0:v>
      </ns0:c>
      <ns0:c r="F180" s="6" t="n">
        <ns0:v>0.4</ns0:v>
      </ns0:c>
      <ns0:c r="G180" s="4" t="n">
        <ns0:v>0</ns0:v>
      </ns0:c>
      <ns0:c r="H180" s="7" t="n">
        <ns0:v>10221.22905027933</ns0:v>
      </ns0:c>
      <ns0:c r="I180" s="7" t="n">
        <ns0:v>6175.977653631284</ns0:v>
      </ns0:c>
      <ns0:c r="J180" s="7" t="n">
        <ns0:v>2470.391061452514</ns0:v>
      </ns0:c>
      <ns0:c r="K180" s="7" t="n">
        <ns0:v>13</ns0:v>
      </ns0:c>
      <ns0:c r="L180" s="7" t="n">
        <ns0:v>21</ns0:v>
      </ns0:c>
      <ns0:c r="M180" s="7" t="n">
        <ns0:v>1598.083487786476</ns0:v>
      </ns0:c>
      <ns0:c r="N180" s="7" t="n">
        <ns0:v>95259.6951349694</ns0:v>
      </ns0:c>
      <ns0:c r="O180" s="7" t="n">
        <ns0:v>195106.7816424877</ns0:v>
      </ns0:c>
      <ns0:c r="P180" s="7" t="n">
        <ns0:v>444724.4979112832</ns0:v>
      </ns0:c>
      <ns0:c r="Q180" s="7" t="n">
        <ns0:v>1401195.362986465</ns0:v>
      </ns0:c>
      <ns0:c r="R180" s="7" t="n">
        <ns0:v>4825843.3907496</ns0:v>
      </ns0:c>
    </ns0:row>
    <ns0:row r="181" ht="24" customHeight="1">
      <ns0:c r="A181" s="3" t="inlineStr">
        <ns0:is>
          <ns0:t>セット</ns0:t>
        </ns0:is>
      </ns0:c>
      <ns0:c r="B181" s="3" t="inlineStr">
        <ns0:is>
          <ns0:t>G0基本5000比較</ns0:t>
        </ns0:is>
      </ns0:c>
      <ns0:c r="C181" s="3" t="inlineStr">
        <ns0:is>
          <ns0:t>A</ns0:t>
        </ns0:is>
      </ns0:c>
      <ns0:c r="D181" s="4" t="n">
        <ns0:v>1</ns0:v>
      </ns0:c>
      <ns0:c r="E181" s="4" t="n">
        <ns0:v>500</ns0:v>
      </ns0:c>
      <ns0:c r="F181" s="6" t="n">
        <ns0:v>0.4</ns0:v>
      </ns0:c>
      <ns0:c r="G181" s="4" t="n">
        <ns0:v>1</ns0:v>
      </ns0:c>
      <ns0:c r="H181" s="7" t="n">
        <ns0:v>10221.22905027933</ns0:v>
      </ns0:c>
      <ns0:c r="I181" s="7" t="n">
        <ns0:v>6175.977653631284</ns0:v>
      </ns0:c>
      <ns0:c r="J181" s="7" t="n">
        <ns0:v>2470.391061452514</ns0:v>
      </ns0:c>
      <ns0:c r="K181" s="7" t="n">
        <ns0:v>13</ns0:v>
      </ns0:c>
      <ns0:c r="L181" s="7" t="n">
        <ns0:v>27</ns0:v>
      </ns0:c>
      <ns0:c r="M181" s="7" t="n">
        <ns0:v>-2725.422717217596</ns0:v>
      </ns0:c>
      <ns0:c r="N181" s="7" t="n">
        <ns0:v>82289.1765199572</ns0:v>
      </ns0:c>
      <ns0:c r="O181" s="7" t="n">
        <ns0:v>173489.2506174673</ns0:v>
      </ns0:c>
      <ns0:c r="P181" s="7" t="n">
        <ns0:v>401489.4358612424</ns0:v>
      </ns0:c>
      <ns0:c r="Q181" s="7" t="n">
        <ns0:v>1271490.176836343</ns0:v>
      </ns0:c>
      <ns0:c r="R181" s="7" t="n">
        <ns0:v>4393492.770249193</ns0:v>
      </ns0:c>
    </ns0:row>
    <ns0:row r="182" ht="24" customHeight="1">
      <ns0:c r="A182" s="3" t="inlineStr">
        <ns0:is>
          <ns0:t>セット</ns0:t>
        </ns0:is>
      </ns0:c>
      <ns0:c r="B182" s="3" t="inlineStr">
        <ns0:is>
          <ns0:t>G0基本5000比較</ns0:t>
        </ns0:is>
      </ns0:c>
      <ns0:c r="C182" s="3" t="inlineStr">
        <ns0:is>
          <ns0:t>A</ns0:t>
        </ns0:is>
      </ns0:c>
      <ns0:c r="D182" s="4" t="n">
        <ns0:v>1</ns0:v>
      </ns0:c>
      <ns0:c r="E182" s="4" t="n">
        <ns0:v>500</ns0:v>
      </ns0:c>
      <ns0:c r="F182" s="6" t="n">
        <ns0:v>0.4</ns0:v>
      </ns0:c>
      <ns0:c r="G182" s="4" t="n">
        <ns0:v>2</ns0:v>
      </ns0:c>
      <ns0:c r="H182" s="7" t="n">
        <ns0:v>10221.22905027933</ns0:v>
      </ns0:c>
      <ns0:c r="I182" s="7" t="n">
        <ns0:v>6175.977653631284</ns0:v>
      </ns0:c>
      <ns0:c r="J182" s="7" t="n">
        <ns0:v>2470.391061452514</ns0:v>
      </ns0:c>
      <ns0:c r="K182" s="7" t="n">
        <ns0:v>108</ns0:v>
      </ns0:c>
      <ns0:c r="L182" s="18" t="inlineStr">
        <ns0:is>
          <ns0:t>範囲内なし</ns0:t>
        </ns0:is>
      </ns0:c>
      <ns0:c r="M182" s="7" t="n">
        <ns0:v>-39309.12668079085</ns0:v>
      </ns0:c>
      <ns0:c r="N182" s="7" t="n">
        <ns0:v>-27461.9353707626</ns0:v>
      </ns0:c>
      <ns0:c r="O182" s="7" t="n">
        <ns0:v>-9429.269200398965</ns0:v>
      </ns0:c>
      <ns0:c r="P182" s="7" t="n">
        <ns0:v>35652.39622550987</ns0:v>
      </ns0:c>
      <ns0:c r="Q182" s="7" t="n">
        <ns0:v>173979.0579291449</ns0:v>
      </ns0:c>
      <ns0:c r="R182" s="7" t="n">
        <ns0:v>735122.3738918668</ns0:v>
      </ns0:c>
    </ns0:row>
    <ns0:row r="183" ht="24" customHeight="1">
      <ns0:c r="A183" s="3" t="inlineStr">
        <ns0:is>
          <ns0:t>セット</ns0:t>
        </ns0:is>
      </ns0:c>
      <ns0:c r="B183" s="3" t="inlineStr">
        <ns0:is>
          <ns0:t>G0基本5000比較</ns0:t>
        </ns0:is>
      </ns0:c>
      <ns0:c r="C183" s="3" t="inlineStr">
        <ns0:is>
          <ns0:t>A</ns0:t>
        </ns0:is>
      </ns0:c>
      <ns0:c r="D183" s="4" t="n">
        <ns0:v>1</ns0:v>
      </ns0:c>
      <ns0:c r="E183" s="4" t="n">
        <ns0:v>500</ns0:v>
      </ns0:c>
      <ns0:c r="F183" s="6" t="n">
        <ns0:v>0.4</ns0:v>
      </ns0:c>
      <ns0:c r="G183" s="4" t="n">
        <ns0:v>3</ns0:v>
      </ns0:c>
      <ns0:c r="H183" s="7" t="n">
        <ns0:v>10221.22905027933</ns0:v>
      </ns0:c>
      <ns0:c r="I183" s="7" t="n">
        <ns0:v>6175.977653631284</ns0:v>
      </ns0:c>
      <ns0:c r="J183" s="7" t="n">
        <ns0:v>2470.391061452514</ns0:v>
      </ns0:c>
      <ns0:c r="K183" s="7" t="n">
        <ns0:v>16</ns0:v>
      </ns0:c>
      <ns0:c r="L183" s="7" t="n">
        <ns0:v>164</ns0:v>
      </ns0:c>
      <ns0:c r="M183" s="7" t="n">
        <ns0:v>-12187.92951775033</ns0:v>
      </ns0:c>
      <ns0:c r="N183" s="7" t="n">
        <ns0:v>53901.656118359</ns0:v>
      </ns0:c>
      <ns0:c r="O183" s="7" t="n">
        <ns0:v>126176.7166148036</ns0:v>
      </ns0:c>
      <ns0:c r="P183" s="7" t="n">
        <ns0:v>306864.3678559151</ns0:v>
      </ns0:c>
      <ns0:c r="Q183" s="7" t="n">
        <ns0:v>987614.9728203607</ns0:v>
      </ns0:c>
      <ns0:c r="R183" s="7" t="n">
        <ns0:v>3447242.090195919</ns0:v>
      </ns0:c>
    </ns0:row>
    <ns0:row r="184" ht="24" customHeight="1">
      <ns0:c r="A184" s="3" t="inlineStr">
        <ns0:is>
          <ns0:t>セット</ns0:t>
        </ns0:is>
      </ns0:c>
      <ns0:c r="B184" s="3" t="inlineStr">
        <ns0:is>
          <ns0:t>G0基本5000比較</ns0:t>
        </ns0:is>
      </ns0:c>
      <ns0:c r="C184" s="3" t="inlineStr">
        <ns0:is>
          <ns0:t>A</ns0:t>
        </ns0:is>
      </ns0:c>
      <ns0:c r="D184" s="4" t="n">
        <ns0:v>1</ns0:v>
      </ns0:c>
      <ns0:c r="E184" s="4" t="n">
        <ns0:v>500</ns0:v>
      </ns0:c>
      <ns0:c r="F184" s="6" t="n">
        <ns0:v>0.5</ns0:v>
      </ns0:c>
      <ns0:c r="G184" s="4" t="n">
        <ns0:v>0</ns0:v>
      </ns0:c>
      <ns0:c r="H184" s="7" t="n">
        <ns0:v>10221.22905027933</ns0:v>
      </ns0:c>
      <ns0:c r="I184" s="7" t="n">
        <ns0:v>6175.977653631284</ns0:v>
      </ns0:c>
      <ns0:c r="J184" s="7" t="n">
        <ns0:v>3087.988826815642</ns0:v>
      </ns0:c>
      <ns0:c r="K184" s="7" t="n">
        <ns0:v>14</ns0:v>
      </ns0:c>
      <ns0:c r="L184" s="7" t="n">
        <ns0:v>22</ns0:v>
      </ns0:c>
      <ns0:c r="M184" s="7" t="n">
        <ns0:v>-4577.894165844809</ns0:v>
      </ns0:c>
      <ns0:c r="N184" s="7" t="n">
        <ns0:v>76731.76217407559</ns0:v>
      </ns0:c>
      <ns0:c r="O184" s="7" t="n">
        <ns0:v>164226.8933743312</ns0:v>
      </ns0:c>
      <ns0:c r="P184" s="7" t="n">
        <ns0:v>382964.7213749702</ns0:v>
      </ns0:c>
      <ns0:c r="Q184" s="7" t="n">
        <ns0:v>1215916.033377526</ns0:v>
      </ns0:c>
      <ns0:c r="R184" s="7" t="n">
        <ns0:v>4208245.625386473</ns0:v>
      </ns0:c>
    </ns0:row>
    <ns0:row r="185" ht="24" customHeight="1">
      <ns0:c r="A185" s="3" t="inlineStr">
        <ns0:is>
          <ns0:t>セット</ns0:t>
        </ns0:is>
      </ns0:c>
      <ns0:c r="B185" s="3" t="inlineStr">
        <ns0:is>
          <ns0:t>G0基本5000比較</ns0:t>
        </ns0:is>
      </ns0:c>
      <ns0:c r="C185" s="3" t="inlineStr">
        <ns0:is>
          <ns0:t>A</ns0:t>
        </ns0:is>
      </ns0:c>
      <ns0:c r="D185" s="4" t="n">
        <ns0:v>1</ns0:v>
      </ns0:c>
      <ns0:c r="E185" s="4" t="n">
        <ns0:v>500</ns0:v>
      </ns0:c>
      <ns0:c r="F185" s="6" t="n">
        <ns0:v>0.5</ns0:v>
      </ns0:c>
      <ns0:c r="G185" s="4" t="n">
        <ns0:v>1</ns0:v>
      </ns0:c>
      <ns0:c r="H185" s="7" t="n">
        <ns0:v>10221.22905027933</ns0:v>
      </ns0:c>
      <ns0:c r="I185" s="7" t="n">
        <ns0:v>6175.977653631284</ns0:v>
      </ns0:c>
      <ns0:c r="J185" s="7" t="n">
        <ns0:v>3087.988826815642</ns0:v>
      </ns0:c>
      <ns0:c r="K185" s="7" t="n">
        <ns0:v>15</ns0:v>
      </ns0:c>
      <ns0:c r="L185" s="7" t="n">
        <ns0:v>31</ns0:v>
      </ns0:c>
      <ns0:c r="M185" s="7" t="n">
        <ns0:v>-8901.400370848882</ns0:v>
      </ns0:c>
      <ns0:c r="N185" s="7" t="n">
        <ns0:v>63761.24355906337</ns0:v>
      </ns0:c>
      <ns0:c r="O185" s="7" t="n">
        <ns0:v>142609.3623493109</ns0:v>
      </ns0:c>
      <ns0:c r="P185" s="7" t="n">
        <ns0:v>339729.6593249295</ns0:v>
      </ns0:c>
      <ns0:c r="Q185" s="7" t="n">
        <ns0:v>1086210.847227404</ns0:v>
      </ns0:c>
      <ns0:c r="R185" s="7" t="n">
        <ns0:v>3775895.004886065</ns0:v>
      </ns0:c>
    </ns0:row>
    <ns0:row r="186" ht="24" customHeight="1">
      <ns0:c r="A186" s="3" t="inlineStr">
        <ns0:is>
          <ns0:t>セット</ns0:t>
        </ns0:is>
      </ns0:c>
      <ns0:c r="B186" s="3" t="inlineStr">
        <ns0:is>
          <ns0:t>G0基本5000比較</ns0:t>
        </ns0:is>
      </ns0:c>
      <ns0:c r="C186" s="3" t="inlineStr">
        <ns0:is>
          <ns0:t>A</ns0:t>
        </ns0:is>
      </ns0:c>
      <ns0:c r="D186" s="4" t="n">
        <ns0:v>1</ns0:v>
      </ns0:c>
      <ns0:c r="E186" s="4" t="n">
        <ns0:v>500</ns0:v>
      </ns0:c>
      <ns0:c r="F186" s="6" t="n">
        <ns0:v>0.5</ns0:v>
      </ns0:c>
      <ns0:c r="G186" s="4" t="n">
        <ns0:v>2</ns0:v>
      </ns0:c>
      <ns0:c r="H186" s="7" t="n">
        <ns0:v>10221.22905027933</ns0:v>
      </ns0:c>
      <ns0:c r="I186" s="7" t="n">
        <ns0:v>6175.977653631284</ns0:v>
      </ns0:c>
      <ns0:c r="J186" s="7" t="n">
        <ns0:v>3087.988826815642</ns0:v>
      </ns0:c>
      <ns0:c r="K186" s="7" t="n">
        <ns0:v>587</ns0:v>
      </ns0:c>
      <ns0:c r="L186" s="18" t="inlineStr">
        <ns0:is>
          <ns0:t>範囲内なし</ns0:t>
        </ns0:is>
      </ns0:c>
      <ns0:c r="M186" s="7" t="n">
        <ns0:v>-45485.10433442214</ns0:v>
      </ns0:c>
      <ns0:c r="N186" s="7" t="n">
        <ns0:v>-45989.86833165641</ns0:v>
      </ns0:c>
      <ns0:c r="O186" s="7" t="n">
        <ns0:v>-40309.15746855542</ns0:v>
      </ns0:c>
      <ns0:c r="P186" s="7" t="n">
        <ns0:v>-26107.38031080304</ns0:v>
      </ns0:c>
      <ns0:c r="Q186" s="7" t="n">
        <ns0:v>-11300.27167979372</ns0:v>
      </ns0:c>
      <ns0:c r="R186" s="7" t="n">
        <ns0:v>117524.6085287398</ns0:v>
      </ns0:c>
    </ns0:row>
    <ns0:row r="187" ht="24" customHeight="1">
      <ns0:c r="A187" s="3" t="inlineStr">
        <ns0:is>
          <ns0:t>セット</ns0:t>
        </ns0:is>
      </ns0:c>
      <ns0:c r="B187" s="3" t="inlineStr">
        <ns0:is>
          <ns0:t>G0基本5000比較</ns0:t>
        </ns0:is>
      </ns0:c>
      <ns0:c r="C187" s="3" t="inlineStr">
        <ns0:is>
          <ns0:t>A</ns0:t>
        </ns0:is>
      </ns0:c>
      <ns0:c r="D187" s="4" t="n">
        <ns0:v>1</ns0:v>
      </ns0:c>
      <ns0:c r="E187" s="4" t="n">
        <ns0:v>500</ns0:v>
      </ns0:c>
      <ns0:c r="F187" s="6" t="n">
        <ns0:v>0.5</ns0:v>
      </ns0:c>
      <ns0:c r="G187" s="4" t="n">
        <ns0:v>3</ns0:v>
      </ns0:c>
      <ns0:c r="H187" s="7" t="n">
        <ns0:v>10221.22905027933</ns0:v>
      </ns0:c>
      <ns0:c r="I187" s="7" t="n">
        <ns0:v>6175.977653631284</ns0:v>
      </ns0:c>
      <ns0:c r="J187" s="7" t="n">
        <ns0:v>3087.988826815642</ns0:v>
      </ns0:c>
      <ns0:c r="K187" s="7" t="n">
        <ns0:v>19</ns0:v>
      </ns0:c>
      <ns0:c r="L187" s="7" t="n">
        <ns0:v>298</ns0:v>
      </ns0:c>
      <ns0:c r="M187" s="7" t="n">
        <ns0:v>-18363.90717138162</ns0:v>
      </ns0:c>
      <ns0:c r="N187" s="7" t="n">
        <ns0:v>35373.72315746517</ns0:v>
      </ns0:c>
      <ns0:c r="O187" s="7" t="n">
        <ns0:v>95296.82834664718</ns0:v>
      </ns0:c>
      <ns0:c r="P187" s="7" t="n">
        <ns0:v>245104.5913196022</ns0:v>
      </ns0:c>
      <ns0:c r="Q187" s="7" t="n">
        <ns0:v>802335.6432114221</ns0:v>
      </ns0:c>
      <ns0:c r="R187" s="7" t="n">
        <ns0:v>2829644.324832792</ns0:v>
      </ns0:c>
    </ns0:row>
    <ns0:row r="188" ht="24" customHeight="1">
      <ns0:c r="A188" s="3" t="inlineStr">
        <ns0:is>
          <ns0:t>セット</ns0:t>
        </ns0:is>
      </ns0:c>
      <ns0:c r="B188" s="3" t="inlineStr">
        <ns0:is>
          <ns0:t>G0基本5000比較</ns0:t>
        </ns0:is>
      </ns0:c>
      <ns0:c r="C188" s="3" t="inlineStr">
        <ns0:is>
          <ns0:t>A</ns0:t>
        </ns0:is>
      </ns0:c>
      <ns0:c r="D188" s="4" t="n">
        <ns0:v>1</ns0:v>
      </ns0:c>
      <ns0:c r="E188" s="4" t="n">
        <ns0:v>1000</ns0:v>
      </ns0:c>
      <ns0:c r="F188" s="6" t="n">
        <ns0:v>0.3</ns0:v>
      </ns0:c>
      <ns0:c r="G188" s="4" t="n">
        <ns0:v>0</ns0:v>
      </ns0:c>
      <ns0:c r="H188" s="7" t="n">
        <ns0:v>9721.229050279328</ns0:v>
      </ns0:c>
      <ns0:c r="I188" s="7" t="n">
        <ns0:v>5675.977653631285</ns0:v>
      </ns0:c>
      <ns0:c r="J188" s="7" t="n">
        <ns0:v>1702.793296089385</ns0:v>
      </ns0:c>
      <ns0:c r="K188" s="7" t="n">
        <ns0:v>12</ns0:v>
      </ns0:c>
      <ns0:c r="L188" s="7" t="n">
        <ns0:v>20</ns0:v>
      </ns0:c>
      <ns0:c r="M188" s="7" t="n">
        <ns0:v>4454.061141417777</ns0:v>
      </ns0:c>
      <ns0:c r="N188" s="7" t="n">
        <ns0:v>103827.6280958634</ns0:v>
      </ns0:c>
      <ns0:c r="O188" s="7" t="n">
        <ns0:v>209386.6699106441</ns0:v>
      </ns0:c>
      <ns0:c r="P188" s="7" t="n">
        <ns0:v>473284.2744475959</ns0:v>
      </ns0:c>
      <ns0:c r="Q188" s="7" t="n">
        <ns0:v>1486874.692595403</ns0:v>
      </ns0:c>
      <ns0:c r="R188" s="7" t="n">
        <ns0:v>5111441.156112731</ns0:v>
      </ns0:c>
    </ns0:row>
    <ns0:row r="189" ht="24" customHeight="1">
      <ns0:c r="A189" s="3" t="inlineStr">
        <ns0:is>
          <ns0:t>セット</ns0:t>
        </ns0:is>
      </ns0:c>
      <ns0:c r="B189" s="3" t="inlineStr">
        <ns0:is>
          <ns0:t>G0基本5000比較</ns0:t>
        </ns0:is>
      </ns0:c>
      <ns0:c r="C189" s="3" t="inlineStr">
        <ns0:is>
          <ns0:t>A</ns0:t>
        </ns0:is>
      </ns0:c>
      <ns0:c r="D189" s="4" t="n">
        <ns0:v>1</ns0:v>
      </ns0:c>
      <ns0:c r="E189" s="4" t="n">
        <ns0:v>1000</ns0:v>
      </ns0:c>
      <ns0:c r="F189" s="6" t="n">
        <ns0:v>0.3</ns0:v>
      </ns0:c>
      <ns0:c r="G189" s="4" t="n">
        <ns0:v>1</ns0:v>
      </ns0:c>
      <ns0:c r="H189" s="7" t="n">
        <ns0:v>9721.229050279328</ns0:v>
      </ns0:c>
      <ns0:c r="I189" s="7" t="n">
        <ns0:v>5675.977653631285</ns0:v>
      </ns0:c>
      <ns0:c r="J189" s="7" t="n">
        <ns0:v>1702.793296089385</ns0:v>
      </ns0:c>
      <ns0:c r="K189" s="7" t="n">
        <ns0:v>13</ns0:v>
      </ns0:c>
      <ns0:c r="L189" s="7" t="n">
        <ns0:v>26</ns0:v>
      </ns0:c>
      <ns0:c r="M189" s="7" t="n">
        <ns0:v>130.5549364137059</ns0:v>
      </ns0:c>
      <ns0:c r="N189" s="7" t="n">
        <ns0:v>90857.10948085113</ns0:v>
      </ns0:c>
      <ns0:c r="O189" s="7" t="n">
        <ns0:v>187769.1388856237</ns0:v>
      </ns0:c>
      <ns0:c r="P189" s="7" t="n">
        <ns0:v>430049.2123975552</ns0:v>
      </ns0:c>
      <ns0:c r="Q189" s="7" t="n">
        <ns0:v>1357169.506445281</ns0:v>
      </ns0:c>
      <ns0:c r="R189" s="7" t="n">
        <ns0:v>4679090.535612323</ns0:v>
      </ns0:c>
    </ns0:row>
    <ns0:row r="190" ht="24" customHeight="1">
      <ns0:c r="A190" s="3" t="inlineStr">
        <ns0:is>
          <ns0:t>セット</ns0:t>
        </ns0:is>
      </ns0:c>
      <ns0:c r="B190" s="3" t="inlineStr">
        <ns0:is>
          <ns0:t>G0基本5000比較</ns0:t>
        </ns0:is>
      </ns0:c>
      <ns0:c r="C190" s="3" t="inlineStr">
        <ns0:is>
          <ns0:t>A</ns0:t>
        </ns0:is>
      </ns0:c>
      <ns0:c r="D190" s="4" t="n">
        <ns0:v>1</ns0:v>
      </ns0:c>
      <ns0:c r="E190" s="4" t="n">
        <ns0:v>1000</ns0:v>
      </ns0:c>
      <ns0:c r="F190" s="6" t="n">
        <ns0:v>0.3</ns0:v>
      </ns0:c>
      <ns0:c r="G190" s="4" t="n">
        <ns0:v>2</ns0:v>
      </ns0:c>
      <ns0:c r="H190" s="7" t="n">
        <ns0:v>9721.229050279328</ns0:v>
      </ns0:c>
      <ns0:c r="I190" s="7" t="n">
        <ns0:v>5675.977653631285</ns0:v>
      </ns0:c>
      <ns0:c r="J190" s="7" t="n">
        <ns0:v>1702.793296089385</ns0:v>
      </ns0:c>
      <ns0:c r="K190" s="7" t="n">
        <ns0:v>46</ns0:v>
      </ns0:c>
      <ns0:c r="L190" s="18" t="inlineStr">
        <ns0:is>
          <ns0:t>範囲内なし</ns0:t>
        </ns0:is>
      </ns0:c>
      <ns0:c r="M190" s="7" t="n">
        <ns0:v>-36453.14902715955</ns0:v>
      </ns0:c>
      <ns0:c r="N190" s="7" t="n">
        <ns0:v>-18894.00240986864</ns0:v>
      </ns0:c>
      <ns0:c r="O190" s="7" t="n">
        <ns0:v>4850.61906775742</ns0:v>
      </ns0:c>
      <ns0:c r="P190" s="7" t="n">
        <ns0:v>64212.17276182264</ns0:v>
      </ns0:c>
      <ns0:c r="Q190" s="7" t="n">
        <ns0:v>259658.3875380836</ns0:v>
      </ns0:c>
      <ns0:c r="R190" s="7" t="n">
        <ns0:v>1020720.139254997</ns0:v>
      </ns0:c>
    </ns0:row>
    <ns0:row r="191" ht="24" customHeight="1">
      <ns0:c r="A191" s="3" t="inlineStr">
        <ns0:is>
          <ns0:t>セット</ns0:t>
        </ns0:is>
      </ns0:c>
      <ns0:c r="B191" s="3" t="inlineStr">
        <ns0:is>
          <ns0:t>G0基本5000比較</ns0:t>
        </ns0:is>
      </ns0:c>
      <ns0:c r="C191" s="3" t="inlineStr">
        <ns0:is>
          <ns0:t>A</ns0:t>
        </ns0:is>
      </ns0:c>
      <ns0:c r="D191" s="4" t="n">
        <ns0:v>1</ns0:v>
      </ns0:c>
      <ns0:c r="E191" s="4" t="n">
        <ns0:v>1000</ns0:v>
      </ns0:c>
      <ns0:c r="F191" s="6" t="n">
        <ns0:v>0.3</ns0:v>
      </ns0:c>
      <ns0:c r="G191" s="4" t="n">
        <ns0:v>3</ns0:v>
      </ns0:c>
      <ns0:c r="H191" s="7" t="n">
        <ns0:v>9721.229050279328</ns0:v>
      </ns0:c>
      <ns0:c r="I191" s="7" t="n">
        <ns0:v>5675.977653631285</ns0:v>
      </ns0:c>
      <ns0:c r="J191" s="7" t="n">
        <ns0:v>1702.793296089385</ns0:v>
      </ns0:c>
      <ns0:c r="K191" s="7" t="n">
        <ns0:v>15</ns0:v>
      </ns0:c>
      <ns0:c r="L191" s="7" t="n">
        <ns0:v>136</ns0:v>
      </ns0:c>
      <ns0:c r="M191" s="7" t="n">
        <ns0:v>-9331.95186411903</ns0:v>
      </ns0:c>
      <ns0:c r="N191" s="7" t="n">
        <ns0:v>62469.58907925293</ns0:v>
      </ns0:c>
      <ns0:c r="O191" s="7" t="n">
        <ns0:v>140456.60488296</ns0:v>
      </ns0:c>
      <ns0:c r="P191" s="7" t="n">
        <ns0:v>335424.1443922279</ns0:v>
      </ns0:c>
      <ns0:c r="Q191" s="7" t="n">
        <ns0:v>1073294.302429299</ns0:v>
      </ns0:c>
      <ns0:c r="R191" s="7" t="n">
        <ns0:v>3732839.85555905</ns0:v>
      </ns0:c>
    </ns0:row>
    <ns0:row r="192" ht="24" customHeight="1">
      <ns0:c r="A192" s="3" t="inlineStr">
        <ns0:is>
          <ns0:t>セット</ns0:t>
        </ns0:is>
      </ns0:c>
      <ns0:c r="B192" s="3" t="inlineStr">
        <ns0:is>
          <ns0:t>G0基本5000比較</ns0:t>
        </ns0:is>
      </ns0:c>
      <ns0:c r="C192" s="3" t="inlineStr">
        <ns0:is>
          <ns0:t>A</ns0:t>
        </ns0:is>
      </ns0:c>
      <ns0:c r="D192" s="4" t="n">
        <ns0:v>1</ns0:v>
      </ns0:c>
      <ns0:c r="E192" s="4" t="n">
        <ns0:v>1000</ns0:v>
      </ns0:c>
      <ns0:c r="F192" s="6" t="n">
        <ns0:v>0.4</ns0:v>
      </ns0:c>
      <ns0:c r="G192" s="4" t="n">
        <ns0:v>0</ns0:v>
      </ns0:c>
      <ns0:c r="H192" s="7" t="n">
        <ns0:v>9721.229050279328</ns0:v>
      </ns0:c>
      <ns0:c r="I192" s="7" t="n">
        <ns0:v>5675.977653631285</ns0:v>
      </ns0:c>
      <ns0:c r="J192" s="7" t="n">
        <ns0:v>2270.391061452514</ns0:v>
      </ns0:c>
      <ns0:c r="K192" s="7" t="n">
        <ns0:v>13</ns0:v>
      </ns0:c>
      <ns0:c r="L192" s="7" t="n">
        <ns0:v>21</ns0:v>
      </ns0:c>
      <ns0:c r="M192" s="7" t="n">
        <ns0:v>-1221.91651221352</ns0:v>
      </ns0:c>
      <ns0:c r="N192" s="7" t="n">
        <ns0:v>86799.69513496949</ns0:v>
      </ns0:c>
      <ns0:c r="O192" s="7" t="n">
        <ns0:v>181006.7816424877</ns0:v>
      </ns0:c>
      <ns0:c r="P192" s="7" t="n">
        <ns0:v>416524.4979112831</ns0:v>
      </ns0:c>
      <ns0:c r="Q192" s="7" t="n">
        <ns0:v>1316595.362986465</ns0:v>
      </ns0:c>
      <ns0:c r="R192" s="7" t="n">
        <ns0:v>4543843.390749602</ns0:v>
      </ns0:c>
    </ns0:row>
    <ns0:row r="193" ht="24" customHeight="1">
      <ns0:c r="A193" s="3" t="inlineStr">
        <ns0:is>
          <ns0:t>セット</ns0:t>
        </ns0:is>
      </ns0:c>
      <ns0:c r="B193" s="3" t="inlineStr">
        <ns0:is>
          <ns0:t>G0基本5000比較</ns0:t>
        </ns0:is>
      </ns0:c>
      <ns0:c r="C193" s="3" t="inlineStr">
        <ns0:is>
          <ns0:t>A</ns0:t>
        </ns0:is>
      </ns0:c>
      <ns0:c r="D193" s="4" t="n">
        <ns0:v>1</ns0:v>
      </ns0:c>
      <ns0:c r="E193" s="4" t="n">
        <ns0:v>1000</ns0:v>
      </ns0:c>
      <ns0:c r="F193" s="6" t="n">
        <ns0:v>0.4</ns0:v>
      </ns0:c>
      <ns0:c r="G193" s="4" t="n">
        <ns0:v>1</ns0:v>
      </ns0:c>
      <ns0:c r="H193" s="7" t="n">
        <ns0:v>9721.229050279328</ns0:v>
      </ns0:c>
      <ns0:c r="I193" s="7" t="n">
        <ns0:v>5675.977653631285</ns0:v>
      </ns0:c>
      <ns0:c r="J193" s="7" t="n">
        <ns0:v>2270.391061452514</ns0:v>
      </ns0:c>
      <ns0:c r="K193" s="7" t="n">
        <ns0:v>14</ns0:v>
      </ns0:c>
      <ns0:c r="L193" s="7" t="n">
        <ns0:v>29</ns0:v>
      </ns0:c>
      <ns0:c r="M193" s="7" t="n">
        <ns0:v>-5545.422717217589</ns0:v>
      </ns0:c>
      <ns0:c r="N193" s="7" t="n">
        <ns0:v>73829.17651995728</ns0:v>
      </ns0:c>
      <ns0:c r="O193" s="7" t="n">
        <ns0:v>159389.2506174673</ns0:v>
      </ns0:c>
      <ns0:c r="P193" s="7" t="n">
        <ns0:v>373289.4358612424</ns0:v>
      </ns0:c>
      <ns0:c r="Q193" s="7" t="n">
        <ns0:v>1186890.176836343</ns0:v>
      </ns0:c>
      <ns0:c r="R193" s="7" t="n">
        <ns0:v>4111492.770249195</ns0:v>
      </ns0:c>
    </ns0:row>
    <ns0:row r="194" ht="24" customHeight="1">
      <ns0:c r="A194" s="3" t="inlineStr">
        <ns0:is>
          <ns0:t>セット</ns0:t>
        </ns0:is>
      </ns0:c>
      <ns0:c r="B194" s="3" t="inlineStr">
        <ns0:is>
          <ns0:t>G0基本5000比較</ns0:t>
        </ns0:is>
      </ns0:c>
      <ns0:c r="C194" s="3" t="inlineStr">
        <ns0:is>
          <ns0:t>A</ns0:t>
        </ns0:is>
      </ns0:c>
      <ns0:c r="D194" s="4" t="n">
        <ns0:v>1</ns0:v>
      </ns0:c>
      <ns0:c r="E194" s="4" t="n">
        <ns0:v>1000</ns0:v>
      </ns0:c>
      <ns0:c r="F194" s="6" t="n">
        <ns0:v>0.4</ns0:v>
      </ns0:c>
      <ns0:c r="G194" s="4" t="n">
        <ns0:v>2</ns0:v>
      </ns0:c>
      <ns0:c r="H194" s="7" t="n">
        <ns0:v>9721.229050279328</ns0:v>
      </ns0:c>
      <ns0:c r="I194" s="7" t="n">
        <ns0:v>5675.977653631285</ns0:v>
      </ns0:c>
      <ns0:c r="J194" s="7" t="n">
        <ns0:v>2270.391061452514</ns0:v>
      </ns0:c>
      <ns0:c r="K194" s="7" t="n">
        <ns0:v>156</ns0:v>
      </ns0:c>
      <ns0:c r="L194" s="18" t="inlineStr">
        <ns0:is>
          <ns0:t>範囲内なし</ns0:t>
        </ns0:is>
      </ns0:c>
      <ns0:c r="M194" s="7" t="n">
        <ns0:v>-42129.12668079085</ns0:v>
      </ns0:c>
      <ns0:c r="N194" s="7" t="n">
        <ns0:v>-35921.93537076251</ns0:v>
      </ns0:c>
      <ns0:c r="O194" s="7" t="n">
        <ns0:v>-23529.26920039899</ns0:v>
      </ns0:c>
      <ns0:c r="P194" s="7" t="n">
        <ns0:v>7452.396225509816</ns0:v>
      </ns0:c>
      <ns0:c r="Q194" s="7" t="n">
        <ns0:v>89379.05792914494</ns0:v>
      </ns0:c>
      <ns0:c r="R194" s="7" t="n">
        <ns0:v>453122.3738918696</ns0:v>
      </ns0:c>
    </ns0:row>
    <ns0:row r="195" ht="24" customHeight="1">
      <ns0:c r="A195" s="3" t="inlineStr">
        <ns0:is>
          <ns0:t>セット</ns0:t>
        </ns0:is>
      </ns0:c>
      <ns0:c r="B195" s="3" t="inlineStr">
        <ns0:is>
          <ns0:t>G0基本5000比較</ns0:t>
        </ns0:is>
      </ns0:c>
      <ns0:c r="C195" s="3" t="inlineStr">
        <ns0:is>
          <ns0:t>A</ns0:t>
        </ns0:is>
      </ns0:c>
      <ns0:c r="D195" s="4" t="n">
        <ns0:v>1</ns0:v>
      </ns0:c>
      <ns0:c r="E195" s="4" t="n">
        <ns0:v>1000</ns0:v>
      </ns0:c>
      <ns0:c r="F195" s="6" t="n">
        <ns0:v>0.4</ns0:v>
      </ns0:c>
      <ns0:c r="G195" s="4" t="n">
        <ns0:v>3</ns0:v>
      </ns0:c>
      <ns0:c r="H195" s="7" t="n">
        <ns0:v>9721.229050279328</ns0:v>
      </ns0:c>
      <ns0:c r="I195" s="7" t="n">
        <ns0:v>5675.977653631285</ns0:v>
      </ns0:c>
      <ns0:c r="J195" s="7" t="n">
        <ns0:v>2270.391061452514</ns0:v>
      </ns0:c>
      <ns0:c r="K195" s="7" t="n">
        <ns0:v>17</ns0:v>
      </ns0:c>
      <ns0:c r="L195" s="7" t="n">
        <ns0:v>206</ns0:v>
      </ns0:c>
      <ns0:c r="M195" s="7" t="n">
        <ns0:v>-15007.92951775032</ns0:v>
      </ns0:c>
      <ns0:c r="N195" s="7" t="n">
        <ns0:v>45441.65611835907</ns0:v>
      </ns0:c>
      <ns0:c r="O195" s="7" t="n">
        <ns0:v>112076.7166148036</ns0:v>
      </ns0:c>
      <ns0:c r="P195" s="7" t="n">
        <ns0:v>278664.367855915</ns0:v>
      </ns0:c>
      <ns0:c r="Q195" s="7" t="n">
        <ns0:v>903014.9728203608</ns0:v>
      </ns0:c>
      <ns0:c r="R195" s="7" t="n">
        <ns0:v>3165242.090195922</ns0:v>
      </ns0:c>
    </ns0:row>
    <ns0:row r="196" ht="24" customHeight="1">
      <ns0:c r="A196" s="3" t="inlineStr">
        <ns0:is>
          <ns0:t>セット</ns0:t>
        </ns0:is>
      </ns0:c>
      <ns0:c r="B196" s="3" t="inlineStr">
        <ns0:is>
          <ns0:t>G0基本5000比較</ns0:t>
        </ns0:is>
      </ns0:c>
      <ns0:c r="C196" s="3" t="inlineStr">
        <ns0:is>
          <ns0:t>A</ns0:t>
        </ns0:is>
      </ns0:c>
      <ns0:c r="D196" s="4" t="n">
        <ns0:v>1</ns0:v>
      </ns0:c>
      <ns0:c r="E196" s="4" t="n">
        <ns0:v>1000</ns0:v>
      </ns0:c>
      <ns0:c r="F196" s="6" t="n">
        <ns0:v>0.5</ns0:v>
      </ns0:c>
      <ns0:c r="G196" s="4" t="n">
        <ns0:v>0</ns0:v>
      </ns0:c>
      <ns0:c r="H196" s="7" t="n">
        <ns0:v>9721.229050279328</ns0:v>
      </ns0:c>
      <ns0:c r="I196" s="7" t="n">
        <ns0:v>5675.977653631285</ns0:v>
      </ns0:c>
      <ns0:c r="J196" s="7" t="n">
        <ns0:v>2837.988826815642</ns0:v>
      </ns0:c>
      <ns0:c r="K196" s="7" t="n">
        <ns0:v>14</ns0:v>
      </ns0:c>
      <ns0:c r="L196" s="7" t="n">
        <ns0:v>23</ns0:v>
      </ns0:c>
      <ns0:c r="M196" s="7" t="n">
        <ns0:v>-6897.894165844798</ns0:v>
      </ns0:c>
      <ns0:c r="N196" s="7" t="n">
        <ns0:v>69771.76217407564</ns0:v>
      </ns0:c>
      <ns0:c r="O196" s="7" t="n">
        <ns0:v>152626.8933743312</ns0:v>
      </ns0:c>
      <ns0:c r="P196" s="7" t="n">
        <ns0:v>359764.7213749703</ns0:v>
      </ns0:c>
      <ns0:c r="Q196" s="7" t="n">
        <ns0:v>1146316.033377526</ns0:v>
      </ns0:c>
      <ns0:c r="R196" s="7" t="n">
        <ns0:v>3976245.625386474</ns0:v>
      </ns0:c>
    </ns0:row>
    <ns0:row r="197" ht="24" customHeight="1">
      <ns0:c r="A197" s="3" t="inlineStr">
        <ns0:is>
          <ns0:t>セット</ns0:t>
        </ns0:is>
      </ns0:c>
      <ns0:c r="B197" s="3" t="inlineStr">
        <ns0:is>
          <ns0:t>G0基本5000比較</ns0:t>
        </ns0:is>
      </ns0:c>
      <ns0:c r="C197" s="3" t="inlineStr">
        <ns0:is>
          <ns0:t>A</ns0:t>
        </ns0:is>
      </ns0:c>
      <ns0:c r="D197" s="4" t="n">
        <ns0:v>1</ns0:v>
      </ns0:c>
      <ns0:c r="E197" s="4" t="n">
        <ns0:v>1000</ns0:v>
      </ns0:c>
      <ns0:c r="F197" s="6" t="n">
        <ns0:v>0.5</ns0:v>
      </ns0:c>
      <ns0:c r="G197" s="4" t="n">
        <ns0:v>1</ns0:v>
      </ns0:c>
      <ns0:c r="H197" s="7" t="n">
        <ns0:v>9721.229050279328</ns0:v>
      </ns0:c>
      <ns0:c r="I197" s="7" t="n">
        <ns0:v>5675.977653631285</ns0:v>
      </ns0:c>
      <ns0:c r="J197" s="7" t="n">
        <ns0:v>2837.988826815642</ns0:v>
      </ns0:c>
      <ns0:c r="K197" s="7" t="n">
        <ns0:v>16</ns0:v>
      </ns0:c>
      <ns0:c r="L197" s="7" t="n">
        <ns0:v>32</ns0:v>
      </ns0:c>
      <ns0:c r="M197" s="7" t="n">
        <ns0:v>-11221.40037084887</ns0:v>
      </ns0:c>
      <ns0:c r="N197" s="7" t="n">
        <ns0:v>56801.24355906343</ns0:v>
      </ns0:c>
      <ns0:c r="O197" s="7" t="n">
        <ns0:v>131009.3623493109</ns0:v>
      </ns0:c>
      <ns0:c r="P197" s="7" t="n">
        <ns0:v>316529.6593249295</ns0:v>
      </ns0:c>
      <ns0:c r="Q197" s="7" t="n">
        <ns0:v>1016610.847227404</ns0:v>
      </ns0:c>
      <ns0:c r="R197" s="7" t="n">
        <ns0:v>3543895.004886067</ns0:v>
      </ns0:c>
    </ns0:row>
    <ns0:row r="198" ht="24" customHeight="1">
      <ns0:c r="A198" s="3" t="inlineStr">
        <ns0:is>
          <ns0:t>セット</ns0:t>
        </ns0:is>
      </ns0:c>
      <ns0:c r="B198" s="3" t="inlineStr">
        <ns0:is>
          <ns0:t>G0基本5000比較</ns0:t>
        </ns0:is>
      </ns0:c>
      <ns0:c r="C198" s="3" t="inlineStr">
        <ns0:is>
          <ns0:t>A</ns0:t>
        </ns0:is>
      </ns0:c>
      <ns0:c r="D198" s="4" t="n">
        <ns0:v>1</ns0:v>
      </ns0:c>
      <ns0:c r="E198" s="4" t="n">
        <ns0:v>1000</ns0:v>
      </ns0:c>
      <ns0:c r="F198" s="6" t="n">
        <ns0:v>0.5</ns0:v>
      </ns0:c>
      <ns0:c r="G198" s="4" t="n">
        <ns0:v>2</ns0:v>
      </ns0:c>
      <ns0:c r="H198" s="7" t="n">
        <ns0:v>9721.229050279328</ns0:v>
      </ns0:c>
      <ns0:c r="I198" s="7" t="n">
        <ns0:v>5675.977653631285</ns0:v>
      </ns0:c>
      <ns0:c r="J198" s="7" t="n">
        <ns0:v>2837.988826815642</ns0:v>
      </ns0:c>
      <ns0:c r="K198" s="18" t="inlineStr">
        <ns0:is>
          <ns0:t>範囲内なし</ns0:t>
        </ns0:is>
      </ns0:c>
      <ns0:c r="L198" s="18" t="inlineStr">
        <ns0:is>
          <ns0:t>範囲内なし</ns0:t>
        </ns0:is>
      </ns0:c>
      <ns0:c r="M198" s="7" t="n">
        <ns0:v>-47805.10433442213</ns0:v>
      </ns0:c>
      <ns0:c r="N198" s="7" t="n">
        <ns0:v>-52949.86833165635</ns0:v>
      </ns0:c>
      <ns0:c r="O198" s="7" t="n">
        <ns0:v>-51909.15746855542</ns0:v>
      </ns0:c>
      <ns0:c r="P198" s="7" t="n">
        <ns0:v>-49307.38031080304</ns0:v>
      </ns0:c>
      <ns0:c r="Q198" s="7" t="n">
        <ns0:v>-80900.27167979372</ns0:v>
      </ns0:c>
      <ns0:c r="R198" s="7" t="n">
        <ns0:v>-114475.3914712593</ns0:v>
      </ns0:c>
    </ns0:row>
    <ns0:row r="199" ht="24" customHeight="1">
      <ns0:c r="A199" s="3" t="inlineStr">
        <ns0:is>
          <ns0:t>セット</ns0:t>
        </ns0:is>
      </ns0:c>
      <ns0:c r="B199" s="3" t="inlineStr">
        <ns0:is>
          <ns0:t>G0基本5000比較</ns0:t>
        </ns0:is>
      </ns0:c>
      <ns0:c r="C199" s="3" t="inlineStr">
        <ns0:is>
          <ns0:t>A</ns0:t>
        </ns0:is>
      </ns0:c>
      <ns0:c r="D199" s="4" t="n">
        <ns0:v>1</ns0:v>
      </ns0:c>
      <ns0:c r="E199" s="4" t="n">
        <ns0:v>1000</ns0:v>
      </ns0:c>
      <ns0:c r="F199" s="6" t="n">
        <ns0:v>0.5</ns0:v>
      </ns0:c>
      <ns0:c r="G199" s="4" t="n">
        <ns0:v>3</ns0:v>
      </ns0:c>
      <ns0:c r="H199" s="7" t="n">
        <ns0:v>9721.229050279328</ns0:v>
      </ns0:c>
      <ns0:c r="I199" s="7" t="n">
        <ns0:v>5675.977653631285</ns0:v>
      </ns0:c>
      <ns0:c r="J199" s="7" t="n">
        <ns0:v>2837.988826815642</ns0:v>
      </ns0:c>
      <ns0:c r="K199" s="7" t="n">
        <ns0:v>20</ns0:v>
      </ns0:c>
      <ns0:c r="L199" s="7" t="n">
        <ns0:v>652</ns0:v>
      </ns0:c>
      <ns0:c r="M199" s="7" t="n">
        <ns0:v>-20683.9071713816</ns0:v>
      </ns0:c>
      <ns0:c r="N199" s="7" t="n">
        <ns0:v>28413.72315746523</ns0:v>
      </ns0:c>
      <ns0:c r="O199" s="7" t="n">
        <ns0:v>83696.82834664721</ns0:v>
      </ns0:c>
      <ns0:c r="P199" s="7" t="n">
        <ns0:v>221904.5913196022</ns0:v>
      </ns0:c>
      <ns0:c r="Q199" s="7" t="n">
        <ns0:v>732735.6432114221</ns0:v>
      </ns0:c>
      <ns0:c r="R199" s="7" t="n">
        <ns0:v>2597644.324832793</ns0:v>
      </ns0:c>
    </ns0:row>
    <ns0:row r="200" ht="24" customHeight="1">
      <ns0:c r="A200" s="3" t="inlineStr">
        <ns0:is>
          <ns0:t>セット</ns0:t>
        </ns0:is>
      </ns0:c>
      <ns0:c r="B200" s="3" t="inlineStr">
        <ns0:is>
          <ns0:t>G0基本5000比較</ns0:t>
        </ns0:is>
      </ns0:c>
      <ns0:c r="C200" s="3" t="inlineStr">
        <ns0:is>
          <ns0:t>A</ns0:t>
        </ns0:is>
      </ns0:c>
      <ns0:c r="D200" s="4" t="n">
        <ns0:v>1</ns0:v>
      </ns0:c>
      <ns0:c r="E200" s="4" t="n">
        <ns0:v>1500</ns0:v>
      </ns0:c>
      <ns0:c r="F200" s="6" t="n">
        <ns0:v>0.3</ns0:v>
      </ns0:c>
      <ns0:c r="G200" s="4" t="n">
        <ns0:v>0</ns0:v>
      </ns0:c>
      <ns0:c r="H200" s="7" t="n">
        <ns0:v>9221.229050279328</ns0:v>
      </ns0:c>
      <ns0:c r="I200" s="7" t="n">
        <ns0:v>5175.977653631285</ns0:v>
      </ns0:c>
      <ns0:c r="J200" s="7" t="n">
        <ns0:v>1552.793296089385</ns0:v>
      </ns0:c>
      <ns0:c r="K200" s="7" t="n">
        <ns0:v>13</ns0:v>
      </ns0:c>
      <ns0:c r="L200" s="7" t="n">
        <ns0:v>21</ns0:v>
      </ns0:c>
      <ns0:c r="M200" s="7" t="n">
        <ns0:v>1134.06114141778</ns0:v>
      </ns0:c>
      <ns0:c r="N200" s="7" t="n">
        <ns0:v>93867.62809586333</ns0:v>
      </ns0:c>
      <ns0:c r="O200" s="7" t="n">
        <ns0:v>192786.6699106441</ns0:v>
      </ns0:c>
      <ns0:c r="P200" s="7" t="n">
        <ns0:v>440084.274447596</ns0:v>
      </ns0:c>
      <ns0:c r="Q200" s="7" t="n">
        <ns0:v>1387274.692595403</ns0:v>
      </ns0:c>
      <ns0:c r="R200" s="7" t="n">
        <ns0:v>4779441.156112731</ns0:v>
      </ns0:c>
    </ns0:row>
    <ns0:row r="201" ht="24" customHeight="1">
      <ns0:c r="A201" s="3" t="inlineStr">
        <ns0:is>
          <ns0:t>セット</ns0:t>
        </ns0:is>
      </ns0:c>
      <ns0:c r="B201" s="3" t="inlineStr">
        <ns0:is>
          <ns0:t>G0基本5000比較</ns0:t>
        </ns0:is>
      </ns0:c>
      <ns0:c r="C201" s="3" t="inlineStr">
        <ns0:is>
          <ns0:t>A</ns0:t>
        </ns0:is>
      </ns0:c>
      <ns0:c r="D201" s="4" t="n">
        <ns0:v>1</ns0:v>
      </ns0:c>
      <ns0:c r="E201" s="4" t="n">
        <ns0:v>1500</ns0:v>
      </ns0:c>
      <ns0:c r="F201" s="6" t="n">
        <ns0:v>0.3</ns0:v>
      </ns0:c>
      <ns0:c r="G201" s="4" t="n">
        <ns0:v>1</ns0:v>
      </ns0:c>
      <ns0:c r="H201" s="7" t="n">
        <ns0:v>9221.229050279328</ns0:v>
      </ns0:c>
      <ns0:c r="I201" s="7" t="n">
        <ns0:v>5175.977653631285</ns0:v>
      </ns0:c>
      <ns0:c r="J201" s="7" t="n">
        <ns0:v>1552.793296089385</ns0:v>
      </ns0:c>
      <ns0:c r="K201" s="7" t="n">
        <ns0:v>13</ns0:v>
      </ns0:c>
      <ns0:c r="L201" s="7" t="n">
        <ns0:v>27</ns0:v>
      </ns0:c>
      <ns0:c r="M201" s="7" t="n">
        <ns0:v>-3189.445063586289</ns0:v>
      </ns0:c>
      <ns0:c r="N201" s="7" t="n">
        <ns0:v>80897.10948085113</ns0:v>
      </ns0:c>
      <ns0:c r="O201" s="7" t="n">
        <ns0:v>171169.1388856238</ns0:v>
      </ns0:c>
      <ns0:c r="P201" s="7" t="n">
        <ns0:v>396849.2123975554</ns0:v>
      </ns0:c>
      <ns0:c r="Q201" s="7" t="n">
        <ns0:v>1257569.506445281</ns0:v>
      </ns0:c>
      <ns0:c r="R201" s="7" t="n">
        <ns0:v>4347090.535612324</ns0:v>
      </ns0:c>
    </ns0:row>
    <ns0:row r="202" ht="24" customHeight="1">
      <ns0:c r="A202" s="3" t="inlineStr">
        <ns0:is>
          <ns0:t>セット</ns0:t>
        </ns0:is>
      </ns0:c>
      <ns0:c r="B202" s="3" t="inlineStr">
        <ns0:is>
          <ns0:t>G0基本5000比較</ns0:t>
        </ns0:is>
      </ns0:c>
      <ns0:c r="C202" s="3" t="inlineStr">
        <ns0:is>
          <ns0:t>A</ns0:t>
        </ns0:is>
      </ns0:c>
      <ns0:c r="D202" s="4" t="n">
        <ns0:v>1</ns0:v>
      </ns0:c>
      <ns0:c r="E202" s="4" t="n">
        <ns0:v>1500</ns0:v>
      </ns0:c>
      <ns0:c r="F202" s="6" t="n">
        <ns0:v>0.3</ns0:v>
      </ns0:c>
      <ns0:c r="G202" s="4" t="n">
        <ns0:v>2</ns0:v>
      </ns0:c>
      <ns0:c r="H202" s="7" t="n">
        <ns0:v>9221.229050279328</ns0:v>
      </ns0:c>
      <ns0:c r="I202" s="7" t="n">
        <ns0:v>5175.977653631285</ns0:v>
      </ns0:c>
      <ns0:c r="J202" s="7" t="n">
        <ns0:v>1552.793296089385</ns0:v>
      </ns0:c>
      <ns0:c r="K202" s="7" t="n">
        <ns0:v>113</ns0:v>
      </ns0:c>
      <ns0:c r="L202" s="18" t="inlineStr">
        <ns0:is>
          <ns0:t>範囲内なし</ns0:t>
        </ns0:is>
      </ns0:c>
      <ns0:c r="M202" s="7" t="n">
        <ns0:v>-39773.14902715955</ns0:v>
      </ns0:c>
      <ns0:c r="N202" s="7" t="n">
        <ns0:v>-28854.00240986867</ns0:v>
      </ns0:c>
      <ns0:c r="O202" s="7" t="n">
        <ns0:v>-11749.38093224252</ns0:v>
      </ns0:c>
      <ns0:c r="P202" s="7" t="n">
        <ns0:v>31012.17276182276</ns0:v>
      </ns0:c>
      <ns0:c r="Q202" s="7" t="n">
        <ns0:v>160058.3875380836</ns0:v>
      </ns0:c>
      <ns0:c r="R202" s="7" t="n">
        <ns0:v>688720.139254998</ns0:v>
      </ns0:c>
    </ns0:row>
    <ns0:row r="203" ht="24" customHeight="1">
      <ns0:c r="A203" s="3" t="inlineStr">
        <ns0:is>
          <ns0:t>セット</ns0:t>
        </ns0:is>
      </ns0:c>
      <ns0:c r="B203" s="3" t="inlineStr">
        <ns0:is>
          <ns0:t>G0基本5000比較</ns0:t>
        </ns0:is>
      </ns0:c>
      <ns0:c r="C203" s="3" t="inlineStr">
        <ns0:is>
          <ns0:t>A</ns0:t>
        </ns0:is>
      </ns0:c>
      <ns0:c r="D203" s="4" t="n">
        <ns0:v>1</ns0:v>
      </ns0:c>
      <ns0:c r="E203" s="4" t="n">
        <ns0:v>1500</ns0:v>
      </ns0:c>
      <ns0:c r="F203" s="6" t="n">
        <ns0:v>0.3</ns0:v>
      </ns0:c>
      <ns0:c r="G203" s="4" t="n">
        <ns0:v>3</ns0:v>
      </ns0:c>
      <ns0:c r="H203" s="7" t="n">
        <ns0:v>9221.229050279328</ns0:v>
      </ns0:c>
      <ns0:c r="I203" s="7" t="n">
        <ns0:v>5175.977653631285</ns0:v>
      </ns0:c>
      <ns0:c r="J203" s="7" t="n">
        <ns0:v>1552.793296089385</ns0:v>
      </ns0:c>
      <ns0:c r="K203" s="7" t="n">
        <ns0:v>16</ns0:v>
      </ns0:c>
      <ns0:c r="L203" s="7" t="n">
        <ns0:v>169</ns0:v>
      </ns0:c>
      <ns0:c r="M203" s="7" t="n">
        <ns0:v>-12651.95186411902</ns0:v>
      </ns0:c>
      <ns0:c r="N203" s="7" t="n">
        <ns0:v>52509.58907925292</ns0:v>
      </ns0:c>
      <ns0:c r="O203" s="7" t="n">
        <ns0:v>123856.6048829601</ns0:v>
      </ns0:c>
      <ns0:c r="P203" s="7" t="n">
        <ns0:v>302224.144392228</ns0:v>
      </ns0:c>
      <ns0:c r="Q203" s="7" t="n">
        <ns0:v>973694.3024292993</ns0:v>
      </ns0:c>
      <ns0:c r="R203" s="7" t="n">
        <ns0:v>3400839.85555905</ns0:v>
      </ns0:c>
    </ns0:row>
    <ns0:row r="204" ht="24" customHeight="1">
      <ns0:c r="A204" s="3" t="inlineStr">
        <ns0:is>
          <ns0:t>セット</ns0:t>
        </ns0:is>
      </ns0:c>
      <ns0:c r="B204" s="3" t="inlineStr">
        <ns0:is>
          <ns0:t>G0基本5000比較</ns0:t>
        </ns0:is>
      </ns0:c>
      <ns0:c r="C204" s="3" t="inlineStr">
        <ns0:is>
          <ns0:t>A</ns0:t>
        </ns0:is>
      </ns0:c>
      <ns0:c r="D204" s="4" t="n">
        <ns0:v>1</ns0:v>
      </ns0:c>
      <ns0:c r="E204" s="4" t="n">
        <ns0:v>1500</ns0:v>
      </ns0:c>
      <ns0:c r="F204" s="6" t="n">
        <ns0:v>0.4</ns0:v>
      </ns0:c>
      <ns0:c r="G204" s="4" t="n">
        <ns0:v>0</ns0:v>
      </ns0:c>
      <ns0:c r="H204" s="7" t="n">
        <ns0:v>9221.229050279328</ns0:v>
      </ns0:c>
      <ns0:c r="I204" s="7" t="n">
        <ns0:v>5175.977653631285</ns0:v>
      </ns0:c>
      <ns0:c r="J204" s="7" t="n">
        <ns0:v>2070.391061452514</ns0:v>
      </ns0:c>
      <ns0:c r="K204" s="7" t="n">
        <ns0:v>14</ns0:v>
      </ns0:c>
      <ns0:c r="L204" s="7" t="n">
        <ns0:v>22</ns0:v>
      </ns0:c>
      <ns0:c r="M204" s="7" t="n">
        <ns0:v>-4041.916512213505</ns0:v>
      </ns0:c>
      <ns0:c r="N204" s="7" t="n">
        <ns0:v>78339.69513496949</ns0:v>
      </ns0:c>
      <ns0:c r="O204" s="7" t="n">
        <ns0:v>166906.7816424877</ns0:v>
      </ns0:c>
      <ns0:c r="P204" s="7" t="n">
        <ns0:v>388324.497911283</ns0:v>
      </ns0:c>
      <ns0:c r="Q204" s="7" t="n">
        <ns0:v>1231995.362986465</ns0:v>
      </ns0:c>
      <ns0:c r="R204" s="7" t="n">
        <ns0:v>4261843.390749603</ns0:v>
      </ns0:c>
    </ns0:row>
    <ns0:row r="205" ht="24" customHeight="1">
      <ns0:c r="A205" s="3" t="inlineStr">
        <ns0:is>
          <ns0:t>セット</ns0:t>
        </ns0:is>
      </ns0:c>
      <ns0:c r="B205" s="3" t="inlineStr">
        <ns0:is>
          <ns0:t>G0基本5000比較</ns0:t>
        </ns0:is>
      </ns0:c>
      <ns0:c r="C205" s="3" t="inlineStr">
        <ns0:is>
          <ns0:t>A</ns0:t>
        </ns0:is>
      </ns0:c>
      <ns0:c r="D205" s="4" t="n">
        <ns0:v>1</ns0:v>
      </ns0:c>
      <ns0:c r="E205" s="4" t="n">
        <ns0:v>1500</ns0:v>
      </ns0:c>
      <ns0:c r="F205" s="6" t="n">
        <ns0:v>0.4</ns0:v>
      </ns0:c>
      <ns0:c r="G205" s="4" t="n">
        <ns0:v>1</ns0:v>
      </ns0:c>
      <ns0:c r="H205" s="7" t="n">
        <ns0:v>9221.229050279328</ns0:v>
      </ns0:c>
      <ns0:c r="I205" s="7" t="n">
        <ns0:v>5175.977653631285</ns0:v>
      </ns0:c>
      <ns0:c r="J205" s="7" t="n">
        <ns0:v>2070.391061452514</ns0:v>
      </ns0:c>
      <ns0:c r="K205" s="7" t="n">
        <ns0:v>15</ns0:v>
      </ns0:c>
      <ns0:c r="L205" s="7" t="n">
        <ns0:v>30</ns0:v>
      </ns0:c>
      <ns0:c r="M205" s="7" t="n">
        <ns0:v>-8365.422717217574</ns0:v>
      </ns0:c>
      <ns0:c r="N205" s="7" t="n">
        <ns0:v>65369.17651995728</ns0:v>
      </ns0:c>
      <ns0:c r="O205" s="7" t="n">
        <ns0:v>145289.2506174673</ns0:v>
      </ns0:c>
      <ns0:c r="P205" s="7" t="n">
        <ns0:v>345089.4358612424</ns0:v>
      </ns0:c>
      <ns0:c r="Q205" s="7" t="n">
        <ns0:v>1102290.176836343</ns0:v>
      </ns0:c>
      <ns0:c r="R205" s="7" t="n">
        <ns0:v>3829492.770249195</ns0:v>
      </ns0:c>
    </ns0:row>
    <ns0:row r="206" ht="24" customHeight="1">
      <ns0:c r="A206" s="3" t="inlineStr">
        <ns0:is>
          <ns0:t>セット</ns0:t>
        </ns0:is>
      </ns0:c>
      <ns0:c r="B206" s="3" t="inlineStr">
        <ns0:is>
          <ns0:t>G0基本5000比較</ns0:t>
        </ns0:is>
      </ns0:c>
      <ns0:c r="C206" s="3" t="inlineStr">
        <ns0:is>
          <ns0:t>A</ns0:t>
        </ns0:is>
      </ns0:c>
      <ns0:c r="D206" s="4" t="n">
        <ns0:v>1</ns0:v>
      </ns0:c>
      <ns0:c r="E206" s="4" t="n">
        <ns0:v>1500</ns0:v>
      </ns0:c>
      <ns0:c r="F206" s="6" t="n">
        <ns0:v>0.4</ns0:v>
      </ns0:c>
      <ns0:c r="G206" s="4" t="n">
        <ns0:v>2</ns0:v>
      </ns0:c>
      <ns0:c r="H206" s="7" t="n">
        <ns0:v>9221.229050279328</ns0:v>
      </ns0:c>
      <ns0:c r="I206" s="7" t="n">
        <ns0:v>5175.977653631285</ns0:v>
      </ns0:c>
      <ns0:c r="J206" s="7" t="n">
        <ns0:v>2070.391061452514</ns0:v>
      </ns0:c>
      <ns0:c r="K206" s="7" t="n">
        <ns0:v>286</ns0:v>
      </ns0:c>
      <ns0:c r="L206" s="18" t="inlineStr">
        <ns0:is>
          <ns0:t>範囲内なし</ns0:t>
        </ns0:is>
      </ns0:c>
      <ns0:c r="M206" s="7" t="n">
        <ns0:v>-44949.12668079083</ns0:v>
      </ns0:c>
      <ns0:c r="N206" s="7" t="n">
        <ns0:v>-44381.93537076251</ns0:v>
      </ns0:c>
      <ns0:c r="O206" s="7" t="n">
        <ns0:v>-37629.26920039898</ns0:v>
      </ns0:c>
      <ns0:c r="P206" s="7" t="n">
        <ns0:v>-20747.60377449018</ns0:v>
      </ns0:c>
      <ns0:c r="Q206" s="7" t="n">
        <ns0:v>4779.057929144707</ns0:v>
      </ns0:c>
      <ns0:c r="R206" s="7" t="n">
        <ns0:v>171122.3738918696</ns0:v>
      </ns0:c>
    </ns0:row>
    <ns0:row r="207" ht="24" customHeight="1">
      <ns0:c r="A207" s="3" t="inlineStr">
        <ns0:is>
          <ns0:t>セット</ns0:t>
        </ns0:is>
      </ns0:c>
      <ns0:c r="B207" s="3" t="inlineStr">
        <ns0:is>
          <ns0:t>G0基本5000比較</ns0:t>
        </ns0:is>
      </ns0:c>
      <ns0:c r="C207" s="3" t="inlineStr">
        <ns0:is>
          <ns0:t>A</ns0:t>
        </ns0:is>
      </ns0:c>
      <ns0:c r="D207" s="4" t="n">
        <ns0:v>1</ns0:v>
      </ns0:c>
      <ns0:c r="E207" s="4" t="n">
        <ns0:v>1500</ns0:v>
      </ns0:c>
      <ns0:c r="F207" s="6" t="n">
        <ns0:v>0.4</ns0:v>
      </ns0:c>
      <ns0:c r="G207" s="4" t="n">
        <ns0:v>3</ns0:v>
      </ns0:c>
      <ns0:c r="H207" s="7" t="n">
        <ns0:v>9221.229050279328</ns0:v>
      </ns0:c>
      <ns0:c r="I207" s="7" t="n">
        <ns0:v>5175.977653631285</ns0:v>
      </ns0:c>
      <ns0:c r="J207" s="7" t="n">
        <ns0:v>2070.391061452514</ns0:v>
      </ns0:c>
      <ns0:c r="K207" s="7" t="n">
        <ns0:v>18</ns0:v>
      </ns0:c>
      <ns0:c r="L207" s="7" t="n">
        <ns0:v>275</ns0:v>
      </ns0:c>
      <ns0:c r="M207" s="7" t="n">
        <ns0:v>-17827.92951775031</ns0:v>
      </ns0:c>
      <ns0:c r="N207" s="7" t="n">
        <ns0:v>36981.65611835908</ns0:v>
      </ns0:c>
      <ns0:c r="O207" s="7" t="n">
        <ns0:v>97976.71661480362</ns0:v>
      </ns0:c>
      <ns0:c r="P207" s="7" t="n">
        <ns0:v>250464.367855915</ns0:v>
      </ns0:c>
      <ns0:c r="Q207" s="7" t="n">
        <ns0:v>818414.9728203606</ns0:v>
      </ns0:c>
      <ns0:c r="R207" s="7" t="n">
        <ns0:v>2883242.090195922</ns0:v>
      </ns0:c>
    </ns0:row>
    <ns0:row r="208" ht="24" customHeight="1">
      <ns0:c r="A208" s="3" t="inlineStr">
        <ns0:is>
          <ns0:t>セット</ns0:t>
        </ns0:is>
      </ns0:c>
      <ns0:c r="B208" s="3" t="inlineStr">
        <ns0:is>
          <ns0:t>G0基本5000比較</ns0:t>
        </ns0:is>
      </ns0:c>
      <ns0:c r="C208" s="3" t="inlineStr">
        <ns0:is>
          <ns0:t>A</ns0:t>
        </ns0:is>
      </ns0:c>
      <ns0:c r="D208" s="4" t="n">
        <ns0:v>1</ns0:v>
      </ns0:c>
      <ns0:c r="E208" s="4" t="n">
        <ns0:v>1500</ns0:v>
      </ns0:c>
      <ns0:c r="F208" s="6" t="n">
        <ns0:v>0.5</ns0:v>
      </ns0:c>
      <ns0:c r="G208" s="4" t="n">
        <ns0:v>0</ns0:v>
      </ns0:c>
      <ns0:c r="H208" s="7" t="n">
        <ns0:v>9221.229050279328</ns0:v>
      </ns0:c>
      <ns0:c r="I208" s="7" t="n">
        <ns0:v>5175.977653631285</ns0:v>
      </ns0:c>
      <ns0:c r="J208" s="7" t="n">
        <ns0:v>2587.988826815642</ns0:v>
      </ns0:c>
      <ns0:c r="K208" s="7" t="n">
        <ns0:v>15</ns0:v>
      </ns0:c>
      <ns0:c r="L208" s="7" t="n">
        <ns0:v>24</ns0:v>
      </ns0:c>
      <ns0:c r="M208" s="7" t="n">
        <ns0:v>-9217.894165844787</ns0:v>
      </ns0:c>
      <ns0:c r="N208" s="7" t="n">
        <ns0:v>62811.76217407561</ns0:v>
      </ns0:c>
      <ns0:c r="O208" s="7" t="n">
        <ns0:v>141026.8933743312</ns0:v>
      </ns0:c>
      <ns0:c r="P208" s="7" t="n">
        <ns0:v>336564.7213749702</ns0:v>
      </ns0:c>
      <ns0:c r="Q208" s="7" t="n">
        <ns0:v>1076716.033377526</ns0:v>
      </ns0:c>
      <ns0:c r="R208" s="7" t="n">
        <ns0:v>3744245.625386474</ns0:v>
      </ns0:c>
    </ns0:row>
    <ns0:row r="209" ht="24" customHeight="1">
      <ns0:c r="A209" s="3" t="inlineStr">
        <ns0:is>
          <ns0:t>セット</ns0:t>
        </ns0:is>
      </ns0:c>
      <ns0:c r="B209" s="3" t="inlineStr">
        <ns0:is>
          <ns0:t>G0基本5000比較</ns0:t>
        </ns0:is>
      </ns0:c>
      <ns0:c r="C209" s="3" t="inlineStr">
        <ns0:is>
          <ns0:t>A</ns0:t>
        </ns0:is>
      </ns0:c>
      <ns0:c r="D209" s="4" t="n">
        <ns0:v>1</ns0:v>
      </ns0:c>
      <ns0:c r="E209" s="4" t="n">
        <ns0:v>1500</ns0:v>
      </ns0:c>
      <ns0:c r="F209" s="6" t="n">
        <ns0:v>0.5</ns0:v>
      </ns0:c>
      <ns0:c r="G209" s="4" t="n">
        <ns0:v>1</ns0:v>
      </ns0:c>
      <ns0:c r="H209" s="7" t="n">
        <ns0:v>9221.229050279328</ns0:v>
      </ns0:c>
      <ns0:c r="I209" s="7" t="n">
        <ns0:v>5175.977653631285</ns0:v>
      </ns0:c>
      <ns0:c r="J209" s="7" t="n">
        <ns0:v>2587.988826815642</ns0:v>
      </ns0:c>
      <ns0:c r="K209" s="7" t="n">
        <ns0:v>16</ns0:v>
      </ns0:c>
      <ns0:c r="L209" s="7" t="n">
        <ns0:v>34</ns0:v>
      </ns0:c>
      <ns0:c r="M209" s="7" t="n">
        <ns0:v>-13541.40037084886</ns0:v>
      </ns0:c>
      <ns0:c r="N209" s="7" t="n">
        <ns0:v>49841.24355906341</ns0:v>
      </ns0:c>
      <ns0:c r="O209" s="7" t="n">
        <ns0:v>119409.3623493109</ns0:v>
      </ns0:c>
      <ns0:c r="P209" s="7" t="n">
        <ns0:v>293329.6593249295</ns0:v>
      </ns0:c>
      <ns0:c r="Q209" s="7" t="n">
        <ns0:v>947010.8472274041</ns0:v>
      </ns0:c>
      <ns0:c r="R209" s="7" t="n">
        <ns0:v>3311895.004886067</ns0:v>
      </ns0:c>
    </ns0:row>
    <ns0:row r="210" ht="24" customHeight="1">
      <ns0:c r="A210" s="3" t="inlineStr">
        <ns0:is>
          <ns0:t>セット</ns0:t>
        </ns0:is>
      </ns0:c>
      <ns0:c r="B210" s="3" t="inlineStr">
        <ns0:is>
          <ns0:t>G0基本5000比較</ns0:t>
        </ns0:is>
      </ns0:c>
      <ns0:c r="C210" s="3" t="inlineStr">
        <ns0:is>
          <ns0:t>A</ns0:t>
        </ns0:is>
      </ns0:c>
      <ns0:c r="D210" s="4" t="n">
        <ns0:v>1</ns0:v>
      </ns0:c>
      <ns0:c r="E210" s="4" t="n">
        <ns0:v>1500</ns0:v>
      </ns0:c>
      <ns0:c r="F210" s="6" t="n">
        <ns0:v>0.5</ns0:v>
      </ns0:c>
      <ns0:c r="G210" s="4" t="n">
        <ns0:v>2</ns0:v>
      </ns0:c>
      <ns0:c r="H210" s="7" t="n">
        <ns0:v>9221.229050279328</ns0:v>
      </ns0:c>
      <ns0:c r="I210" s="7" t="n">
        <ns0:v>5175.977653631285</ns0:v>
      </ns0:c>
      <ns0:c r="J210" s="7" t="n">
        <ns0:v>2587.988826815642</ns0:v>
      </ns0:c>
      <ns0:c r="K210" s="18" t="inlineStr">
        <ns0:is>
          <ns0:t>範囲内なし</ns0:t>
        </ns0:is>
      </ns0:c>
      <ns0:c r="L210" s="18" t="inlineStr">
        <ns0:is>
          <ns0:t>範囲内なし</ns0:t>
        </ns0:is>
      </ns0:c>
      <ns0:c r="M210" s="7" t="n">
        <ns0:v>-50125.10433442212</ns0:v>
      </ns0:c>
      <ns0:c r="N210" s="7" t="n">
        <ns0:v>-59909.86833165638</ns0:v>
      </ns0:c>
      <ns0:c r="O210" s="7" t="n">
        <ns0:v>-63509.15746855542</ns0:v>
      </ns0:c>
      <ns0:c r="P210" s="7" t="n">
        <ns0:v>-72507.38031080304</ns0:v>
      </ns0:c>
      <ns0:c r="Q210" s="7" t="n">
        <ns0:v>-150500.2716797935</ns0:v>
      </ns0:c>
      <ns0:c r="R210" s="7" t="n">
        <ns0:v>-346475.3914712588</ns0:v>
      </ns0:c>
    </ns0:row>
    <ns0:row r="211" ht="24" customHeight="1">
      <ns0:c r="A211" s="3" t="inlineStr">
        <ns0:is>
          <ns0:t>セット</ns0:t>
        </ns0:is>
      </ns0:c>
      <ns0:c r="B211" s="3" t="inlineStr">
        <ns0:is>
          <ns0:t>G0基本5000比較</ns0:t>
        </ns0:is>
      </ns0:c>
      <ns0:c r="C211" s="3" t="inlineStr">
        <ns0:is>
          <ns0:t>A</ns0:t>
        </ns0:is>
      </ns0:c>
      <ns0:c r="D211" s="4" t="n">
        <ns0:v>1</ns0:v>
      </ns0:c>
      <ns0:c r="E211" s="4" t="n">
        <ns0:v>1500</ns0:v>
      </ns0:c>
      <ns0:c r="F211" s="6" t="n">
        <ns0:v>0.5</ns0:v>
      </ns0:c>
      <ns0:c r="G211" s="4" t="n">
        <ns0:v>3</ns0:v>
      </ns0:c>
      <ns0:c r="H211" s="7" t="n">
        <ns0:v>9221.229050279328</ns0:v>
      </ns0:c>
      <ns0:c r="I211" s="7" t="n">
        <ns0:v>5175.977653631285</ns0:v>
      </ns0:c>
      <ns0:c r="J211" s="7" t="n">
        <ns0:v>2587.988826815642</ns0:v>
      </ns0:c>
      <ns0:c r="K211" s="7" t="n">
        <ns0:v>22</ns0:v>
      </ns0:c>
      <ns0:c r="L211" s="18" t="inlineStr">
        <ns0:is>
          <ns0:t>範囲内なし</ns0:t>
        </ns0:is>
      </ns0:c>
      <ns0:c r="M211" s="7" t="n">
        <ns0:v>-23003.90717138159</ns0:v>
      </ns0:c>
      <ns0:c r="N211" s="7" t="n">
        <ns0:v>21453.72315746521</ns0:v>
      </ns0:c>
      <ns0:c r="O211" s="7" t="n">
        <ns0:v>72096.82834664718</ns0:v>
      </ns0:c>
      <ns0:c r="P211" s="7" t="n">
        <ns0:v>198704.5913196022</ns0:v>
      </ns0:c>
      <ns0:c r="Q211" s="7" t="n">
        <ns0:v>663135.6432114223</ns0:v>
      </ns0:c>
      <ns0:c r="R211" s="7" t="n">
        <ns0:v>2365644.324832793</ns0:v>
      </ns0:c>
    </ns0:row>
    <ns0:row r="212" ht="24" customHeight="1">
      <ns0:c r="A212" s="3" t="inlineStr">
        <ns0:is>
          <ns0:t>セット</ns0:t>
        </ns0:is>
      </ns0:c>
      <ns0:c r="B212" s="3" t="inlineStr">
        <ns0:is>
          <ns0:t>G0基本5000比較</ns0:t>
        </ns0:is>
      </ns0:c>
      <ns0:c r="C212" s="3" t="inlineStr">
        <ns0:is>
          <ns0:t>A</ns0:t>
        </ns0:is>
      </ns0:c>
      <ns0:c r="D212" s="4" t="n">
        <ns0:v>2</ns0:v>
      </ns0:c>
      <ns0:c r="E212" s="4" t="n">
        <ns0:v>500</ns0:v>
      </ns0:c>
      <ns0:c r="F212" s="6" t="n">
        <ns0:v>0.3</ns0:v>
      </ns0:c>
      <ns0:c r="G212" s="4" t="n">
        <ns0:v>0</ns0:v>
      </ns0:c>
      <ns0:c r="H212" s="7" t="n">
        <ns0:v>13178.21350762527</ns0:v>
      </ns0:c>
      <ns0:c r="I212" s="7" t="n">
        <ns0:v>6683.006535947712</ns0:v>
      </ns0:c>
      <ns0:c r="J212" s="7" t="n">
        <ns0:v>2004.901960784314</ns0:v>
      </ns0:c>
      <ns0:c r="K212" s="7" t="n">
        <ns0:v>7</ns0:v>
      </ns0:c>
      <ns0:c r="L212" s="7" t="n">
        <ns0:v>9</ns0:v>
      </ns0:c>
      <ns0:c r="M212" s="7" t="n">
        <ns0:v>33757.90199652972</ns0:v>
      </ns0:c>
      <ns0:c r="N212" s="7" t="n">
        <ns0:v>172466.1634774989</ns0:v>
      </ns0:c>
      <ns0:c r="O212" s="7" t="n">
        <ns0:v>323784.2288800366</ns0:v>
      </ns0:c>
      <ns0:c r="P212" s="7" t="n">
        <ns0:v>702079.392386381</ns0:v>
      </ns0:c>
      <ns0:c r="Q212" s="7" t="n">
        <ns0:v>2173260.04641176</ns0:v>
      </ns0:c>
      <ns0:c r="R212" s="7" t="n">
        <ns0:v>7399392.335500584</ns0:v>
      </ns0:c>
    </ns0:row>
    <ns0:row r="213" ht="24" customHeight="1">
      <ns0:c r="A213" s="3" t="inlineStr">
        <ns0:is>
          <ns0:t>セット</ns0:t>
        </ns0:is>
      </ns0:c>
      <ns0:c r="B213" s="3" t="inlineStr">
        <ns0:is>
          <ns0:t>G0基本5000比較</ns0:t>
        </ns0:is>
      </ns0:c>
      <ns0:c r="C213" s="3" t="inlineStr">
        <ns0:is>
          <ns0:t>A</ns0:t>
        </ns0:is>
      </ns0:c>
      <ns0:c r="D213" s="4" t="n">
        <ns0:v>2</ns0:v>
      </ns0:c>
      <ns0:c r="E213" s="4" t="n">
        <ns0:v>500</ns0:v>
      </ns0:c>
      <ns0:c r="F213" s="6" t="n">
        <ns0:v>0.3</ns0:v>
      </ns0:c>
      <ns0:c r="G213" s="4" t="n">
        <ns0:v>1</ns0:v>
      </ns0:c>
      <ns0:c r="H213" s="7" t="n">
        <ns0:v>13178.21350762527</ns0:v>
      </ns0:c>
      <ns0:c r="I213" s="7" t="n">
        <ns0:v>6683.006535947712</ns0:v>
      </ns0:c>
      <ns0:c r="J213" s="7" t="n">
        <ns0:v>2004.901960784314</ns0:v>
      </ns0:c>
      <ns0:c r="K213" s="7" t="n">
        <ns0:v>7</ns0:v>
      </ns0:c>
      <ns0:c r="L213" s="7" t="n">
        <ns0:v>13</ns0:v>
      </ns0:c>
      <ns0:c r="M213" s="7" t="n">
        <ns0:v>28369.43260422731</ns0:v>
      </ns0:c>
      <ns0:c r="N213" s="7" t="n">
        <ns0:v>156300.7553005917</ns0:v>
      </ns0:c>
      <ns0:c r="O213" s="7" t="n">
        <ns0:v>296841.8819185246</ns0:v>
      </ns0:c>
      <ns0:c r="P213" s="7" t="n">
        <ns0:v>648194.6984633571</ns0:v>
      </ns0:c>
      <ns0:c r="Q213" s="7" t="n">
        <ns0:v>2011605.964642687</ns0:v>
      </ns0:c>
      <ns0:c r="R213" s="7" t="n">
        <ns0:v>6860545.396270343</ns0:v>
      </ns0:c>
    </ns0:row>
    <ns0:row r="214" ht="24" customHeight="1">
      <ns0:c r="A214" s="3" t="inlineStr">
        <ns0:is>
          <ns0:t>セット</ns0:t>
        </ns0:is>
      </ns0:c>
      <ns0:c r="B214" s="3" t="inlineStr">
        <ns0:is>
          <ns0:t>G0基本5000比較</ns0:t>
        </ns0:is>
      </ns0:c>
      <ns0:c r="C214" s="3" t="inlineStr">
        <ns0:is>
          <ns0:t>A</ns0:t>
        </ns0:is>
      </ns0:c>
      <ns0:c r="D214" s="4" t="n">
        <ns0:v>2</ns0:v>
      </ns0:c>
      <ns0:c r="E214" s="4" t="n">
        <ns0:v>500</ns0:v>
      </ns0:c>
      <ns0:c r="F214" s="6" t="n">
        <ns0:v>0.3</ns0:v>
      </ns0:c>
      <ns0:c r="G214" s="4" t="n">
        <ns0:v>2</ns0:v>
      </ns0:c>
      <ns0:c r="H214" s="7" t="n">
        <ns0:v>13178.21350762527</ns0:v>
      </ns0:c>
      <ns0:c r="I214" s="7" t="n">
        <ns0:v>6683.006535947712</ns0:v>
      </ns0:c>
      <ns0:c r="J214" s="7" t="n">
        <ns0:v>2004.901960784314</ns0:v>
      </ns0:c>
      <ns0:c r="K214" s="7" t="n">
        <ns0:v>566</ns0:v>
      </ns0:c>
      <ns0:c r="L214" s="18" t="inlineStr">
        <ns0:is>
          <ns0:t>範囲内なし</ns0:t>
        </ns0:is>
      </ns0:c>
      <ns0:c r="M214" s="7" t="n">
        <ns0:v>-38956.97634426057</ns0:v>
      </ns0:c>
      <ns0:c r="N214" s="7" t="n">
        <ns0:v>-45678.47154487195</ns0:v>
      </ns0:c>
      <ns0:c r="O214" s="7" t="n">
        <ns0:v>-39790.16282391478</ns0:v>
      </ns0:c>
      <ns0:c r="P214" s="7" t="n">
        <ns0:v>-25069.39102152176</ns0:v>
      </ns0:c>
      <ns0:c r="Q214" s="7" t="n">
        <ns0:v>-8186.303811948746</ns0:v>
      </ns0:c>
      <ns0:c r="R214" s="7" t="n">
        <ns0:v>127904.5014215554</ns0:v>
      </ns0:c>
    </ns0:row>
    <ns0:row r="215" ht="24" customHeight="1">
      <ns0:c r="A215" s="3" t="inlineStr">
        <ns0:is>
          <ns0:t>セット</ns0:t>
        </ns0:is>
      </ns0:c>
      <ns0:c r="B215" s="3" t="inlineStr">
        <ns0:is>
          <ns0:t>G0基本5000比較</ns0:t>
        </ns0:is>
      </ns0:c>
      <ns0:c r="C215" s="3" t="inlineStr">
        <ns0:is>
          <ns0:t>A</ns0:t>
        </ns0:is>
      </ns0:c>
      <ns0:c r="D215" s="4" t="n">
        <ns0:v>2</ns0:v>
      </ns0:c>
      <ns0:c r="E215" s="4" t="n">
        <ns0:v>500</ns0:v>
      </ns0:c>
      <ns0:c r="F215" s="6" t="n">
        <ns0:v>0.3</ns0:v>
      </ns0:c>
      <ns0:c r="G215" s="4" t="n">
        <ns0:v>3</ns0:v>
      </ns0:c>
      <ns0:c r="H215" s="7" t="n">
        <ns0:v>13178.21350762527</ns0:v>
      </ns0:c>
      <ns0:c r="I215" s="7" t="n">
        <ns0:v>6683.006535947712</ns0:v>
      </ns0:c>
      <ns0:c r="J215" s="7" t="n">
        <ns0:v>2004.901960784314</ns0:v>
      </ns0:c>
      <ns0:c r="K215" s="7" t="n">
        <ns0:v>8</ns0:v>
      </ns0:c>
      <ns0:c r="L215" s="7" t="n">
        <ns0:v>20</ns0:v>
      </ns0:c>
      <ns0:c r="M215" s="7" t="n">
        <ns0:v>17333.95208536514</ns0:v>
      </ns0:c>
      <ns0:c r="N215" s="7" t="n">
        <ns0:v>123194.3137440052</ns0:v>
      </ns0:c>
      <ns0:c r="O215" s="7" t="n">
        <ns0:v>241664.4793242138</ns0:v>
      </ns0:c>
      <ns0:c r="P215" s="7" t="n">
        <ns0:v>537839.8932747353</ns0:v>
      </ns0:c>
      <ns0:c r="Q215" s="7" t="n">
        <ns0:v>1680541.549076823</ns0:v>
      </ns0:c>
      <ns0:c r="R215" s="7" t="n">
        <ns0:v>5756997.344384127</ns0:v>
      </ns0:c>
    </ns0:row>
    <ns0:row r="216" ht="24" customHeight="1">
      <ns0:c r="A216" s="3" t="inlineStr">
        <ns0:is>
          <ns0:t>セット</ns0:t>
        </ns0:is>
      </ns0:c>
      <ns0:c r="B216" s="3" t="inlineStr">
        <ns0:is>
          <ns0:t>G0基本5000比較</ns0:t>
        </ns0:is>
      </ns0:c>
      <ns0:c r="C216" s="3" t="inlineStr">
        <ns0:is>
          <ns0:t>A</ns0:t>
        </ns0:is>
      </ns0:c>
      <ns0:c r="D216" s="4" t="n">
        <ns0:v>2</ns0:v>
      </ns0:c>
      <ns0:c r="E216" s="4" t="n">
        <ns0:v>500</ns0:v>
      </ns0:c>
      <ns0:c r="F216" s="6" t="n">
        <ns0:v>0.4</ns0:v>
      </ns0:c>
      <ns0:c r="G216" s="4" t="n">
        <ns0:v>0</ns0:v>
      </ns0:c>
      <ns0:c r="H216" s="7" t="n">
        <ns0:v>13178.21350762527</ns0:v>
      </ns0:c>
      <ns0:c r="I216" s="7" t="n">
        <ns0:v>6683.006535947712</ns0:v>
      </ns0:c>
      <ns0:c r="J216" s="7" t="n">
        <ns0:v>2673.202614379085</ns0:v>
      </ns0:c>
      <ns0:c r="K216" s="7" t="n">
        <ns0:v>7</ns0:v>
      </ns0:c>
      <ns0:c r="L216" s="7" t="n">
        <ns0:v>10</ns0:v>
      </ns0:c>
      <ns0:c r="M216" s="7" t="n">
        <ns0:v>27074.89546058202</ns0:v>
      </ns0:c>
      <ns0:c r="N216" s="7" t="n">
        <ns0:v>152417.1438696558</ns0:v>
      </ns0:c>
      <ns0:c r="O216" s="7" t="n">
        <ns0:v>290369.196200298</ns0:v>
      </ns0:c>
      <ns0:c r="P216" s="7" t="n">
        <ns0:v>635249.3270269039</ns0:v>
      </ns0:c>
      <ns0:c r="Q216" s="7" t="n">
        <ns0:v>1972769.850333328</ns0:v>
      </ns0:c>
      <ns0:c r="R216" s="7" t="n">
        <ns0:v>6731091.681905812</ns0:v>
      </ns0:c>
    </ns0:row>
    <ns0:row r="217" ht="24" customHeight="1">
      <ns0:c r="A217" s="3" t="inlineStr">
        <ns0:is>
          <ns0:t>セット</ns0:t>
        </ns0:is>
      </ns0:c>
      <ns0:c r="B217" s="3" t="inlineStr">
        <ns0:is>
          <ns0:t>G0基本5000比較</ns0:t>
        </ns0:is>
      </ns0:c>
      <ns0:c r="C217" s="3" t="inlineStr">
        <ns0:is>
          <ns0:t>A</ns0:t>
        </ns0:is>
      </ns0:c>
      <ns0:c r="D217" s="4" t="n">
        <ns0:v>2</ns0:v>
      </ns0:c>
      <ns0:c r="E217" s="4" t="n">
        <ns0:v>500</ns0:v>
      </ns0:c>
      <ns0:c r="F217" s="6" t="n">
        <ns0:v>0.4</ns0:v>
      </ns0:c>
      <ns0:c r="G217" s="4" t="n">
        <ns0:v>1</ns0:v>
      </ns0:c>
      <ns0:c r="H217" s="7" t="n">
        <ns0:v>13178.21350762527</ns0:v>
      </ns0:c>
      <ns0:c r="I217" s="7" t="n">
        <ns0:v>6683.006535947712</ns0:v>
      </ns0:c>
      <ns0:c r="J217" s="7" t="n">
        <ns0:v>2673.202614379085</ns0:v>
      </ns0:c>
      <ns0:c r="K217" s="7" t="n">
        <ns0:v>8</ns0:v>
      </ns0:c>
      <ns0:c r="L217" s="7" t="n">
        <ns0:v>14</ns0:v>
      </ns0:c>
      <ns0:c r="M217" s="7" t="n">
        <ns0:v>21686.42606827961</ns0:v>
      </ns0:c>
      <ns0:c r="N217" s="7" t="n">
        <ns0:v>136251.7356927485</ns0:v>
      </ns0:c>
      <ns0:c r="O217" s="7" t="n">
        <ns0:v>263426.849238786</ns0:v>
      </ns0:c>
      <ns0:c r="P217" s="7" t="n">
        <ns0:v>581364.6331038799</ns0:v>
      </ns0:c>
      <ns0:c r="Q217" s="7" t="n">
        <ns0:v>1811115.768564256</ns0:v>
      </ns0:c>
      <ns0:c r="R217" s="7" t="n">
        <ns0:v>6192244.742675571</ns0:v>
      </ns0:c>
    </ns0:row>
    <ns0:row r="218" ht="24" customHeight="1">
      <ns0:c r="A218" s="3" t="inlineStr">
        <ns0:is>
          <ns0:t>セット</ns0:t>
        </ns0:is>
      </ns0:c>
      <ns0:c r="B218" s="3" t="inlineStr">
        <ns0:is>
          <ns0:t>G0基本5000比較</ns0:t>
        </ns0:is>
      </ns0:c>
      <ns0:c r="C218" s="3" t="inlineStr">
        <ns0:is>
          <ns0:t>A</ns0:t>
        </ns0:is>
      </ns0:c>
      <ns0:c r="D218" s="4" t="n">
        <ns0:v>2</ns0:v>
      </ns0:c>
      <ns0:c r="E218" s="4" t="n">
        <ns0:v>500</ns0:v>
      </ns0:c>
      <ns0:c r="F218" s="6" t="n">
        <ns0:v>0.4</ns0:v>
      </ns0:c>
      <ns0:c r="G218" s="4" t="n">
        <ns0:v>2</ns0:v>
      </ns0:c>
      <ns0:c r="H218" s="7" t="n">
        <ns0:v>13178.21350762527</ns0:v>
      </ns0:c>
      <ns0:c r="I218" s="7" t="n">
        <ns0:v>6683.006535947712</ns0:v>
      </ns0:c>
      <ns0:c r="J218" s="7" t="n">
        <ns0:v>2673.202614379085</ns0:v>
      </ns0:c>
      <ns0:c r="K218" s="18" t="inlineStr">
        <ns0:is>
          <ns0:t>範囲内なし</ns0:t>
        </ns0:is>
      </ns0:c>
      <ns0:c r="L218" s="18" t="inlineStr">
        <ns0:is>
          <ns0:t>範囲内なし</ns0:t>
        </ns0:is>
      </ns0:c>
      <ns0:c r="M218" s="7" t="n">
        <ns0:v>-45639.98288020828</ns0:v>
      </ns0:c>
      <ns0:c r="N218" s="7" t="n">
        <ns0:v>-65727.49115271508</ns0:v>
      </ns0:c>
      <ns0:c r="O218" s="7" t="n">
        <ns0:v>-73205.19550365338</ns0:v>
      </ns0:c>
      <ns0:c r="P218" s="7" t="n">
        <ns0:v>-91899.45638099895</ns0:v>
      </ns0:c>
      <ns0:c r="Q218" s="7" t="n">
        <ns0:v>-208676.4998903805</ns0:v>
      </ns0:c>
      <ns0:c r="R218" s="7" t="n">
        <ns0:v>-540396.1521732169</ns0:v>
      </ns0:c>
    </ns0:row>
    <ns0:row r="219" ht="24" customHeight="1">
      <ns0:c r="A219" s="3" t="inlineStr">
        <ns0:is>
          <ns0:t>セット</ns0:t>
        </ns0:is>
      </ns0:c>
      <ns0:c r="B219" s="3" t="inlineStr">
        <ns0:is>
          <ns0:t>G0基本5000比較</ns0:t>
        </ns0:is>
      </ns0:c>
      <ns0:c r="C219" s="3" t="inlineStr">
        <ns0:is>
          <ns0:t>A</ns0:t>
        </ns0:is>
      </ns0:c>
      <ns0:c r="D219" s="4" t="n">
        <ns0:v>2</ns0:v>
      </ns0:c>
      <ns0:c r="E219" s="4" t="n">
        <ns0:v>500</ns0:v>
      </ns0:c>
      <ns0:c r="F219" s="6" t="n">
        <ns0:v>0.4</ns0:v>
      </ns0:c>
      <ns0:c r="G219" s="4" t="n">
        <ns0:v>3</ns0:v>
      </ns0:c>
      <ns0:c r="H219" s="7" t="n">
        <ns0:v>13178.21350762527</ns0:v>
      </ns0:c>
      <ns0:c r="I219" s="7" t="n">
        <ns0:v>6683.006535947712</ns0:v>
      </ns0:c>
      <ns0:c r="J219" s="7" t="n">
        <ns0:v>2673.202614379085</ns0:v>
      </ns0:c>
      <ns0:c r="K219" s="7" t="n">
        <ns0:v>9</ns0:v>
      </ns0:c>
      <ns0:c r="L219" s="7" t="n">
        <ns0:v>23</ns0:v>
      </ns0:c>
      <ns0:c r="M219" s="7" t="n">
        <ns0:v>10650.94554941744</ns0:v>
      </ns0:c>
      <ns0:c r="N219" s="7" t="n">
        <ns0:v>103145.2941361621</ns0:v>
      </ns0:c>
      <ns0:c r="O219" s="7" t="n">
        <ns0:v>208249.4466444752</ns0:v>
      </ns0:c>
      <ns0:c r="P219" s="7" t="n">
        <ns0:v>471009.8279152582</ns0:v>
      </ns0:c>
      <ns0:c r="Q219" s="7" t="n">
        <ns0:v>1480051.352998391</ns0:v>
      </ns0:c>
      <ns0:c r="R219" s="7" t="n">
        <ns0:v>5088696.690789355</ns0:v>
      </ns0:c>
    </ns0:row>
    <ns0:row r="220" ht="24" customHeight="1">
      <ns0:c r="A220" s="3" t="inlineStr">
        <ns0:is>
          <ns0:t>セット</ns0:t>
        </ns0:is>
      </ns0:c>
      <ns0:c r="B220" s="3" t="inlineStr">
        <ns0:is>
          <ns0:t>G0基本5000比較</ns0:t>
        </ns0:is>
      </ns0:c>
      <ns0:c r="C220" s="3" t="inlineStr">
        <ns0:is>
          <ns0:t>A</ns0:t>
        </ns0:is>
      </ns0:c>
      <ns0:c r="D220" s="4" t="n">
        <ns0:v>2</ns0:v>
      </ns0:c>
      <ns0:c r="E220" s="4" t="n">
        <ns0:v>500</ns0:v>
      </ns0:c>
      <ns0:c r="F220" s="6" t="n">
        <ns0:v>0.5</ns0:v>
      </ns0:c>
      <ns0:c r="G220" s="4" t="n">
        <ns0:v>0</ns0:v>
      </ns0:c>
      <ns0:c r="H220" s="7" t="n">
        <ns0:v>13178.21350762527</ns0:v>
      </ns0:c>
      <ns0:c r="I220" s="7" t="n">
        <ns0:v>6683.006535947712</ns0:v>
      </ns0:c>
      <ns0:c r="J220" s="7" t="n">
        <ns0:v>3341.503267973856</ns0:v>
      </ns0:c>
      <ns0:c r="K220" s="7" t="n">
        <ns0:v>8</ns0:v>
      </ns0:c>
      <ns0:c r="L220" s="7" t="n">
        <ns0:v>12</ns0:v>
      </ns0:c>
      <ns0:c r="M220" s="7" t="n">
        <ns0:v>20391.8889246343</ns0:v>
      </ns0:c>
      <ns0:c r="N220" s="7" t="n">
        <ns0:v>132368.1242618126</ns0:v>
      </ns0:c>
      <ns0:c r="O220" s="7" t="n">
        <ns0:v>256954.1635205595</ns0:v>
      </ns0:c>
      <ns0:c r="P220" s="7" t="n">
        <ns0:v>568419.2616674267</ns0:v>
      </ns0:c>
      <ns0:c r="Q220" s="7" t="n">
        <ns0:v>1772279.654254897</ns0:v>
      </ns0:c>
      <ns0:c r="R220" s="7" t="n">
        <ns0:v>6062791.028311042</ns0:v>
      </ns0:c>
    </ns0:row>
    <ns0:row r="221" ht="24" customHeight="1">
      <ns0:c r="A221" s="3" t="inlineStr">
        <ns0:is>
          <ns0:t>セット</ns0:t>
        </ns0:is>
      </ns0:c>
      <ns0:c r="B221" s="3" t="inlineStr">
        <ns0:is>
          <ns0:t>G0基本5000比較</ns0:t>
        </ns0:is>
      </ns0:c>
      <ns0:c r="C221" s="3" t="inlineStr">
        <ns0:is>
          <ns0:t>A</ns0:t>
        </ns0:is>
      </ns0:c>
      <ns0:c r="D221" s="4" t="n">
        <ns0:v>2</ns0:v>
      </ns0:c>
      <ns0:c r="E221" s="4" t="n">
        <ns0:v>500</ns0:v>
      </ns0:c>
      <ns0:c r="F221" s="6" t="n">
        <ns0:v>0.5</ns0:v>
      </ns0:c>
      <ns0:c r="G221" s="4" t="n">
        <ns0:v>1</ns0:v>
      </ns0:c>
      <ns0:c r="H221" s="7" t="n">
        <ns0:v>13178.21350762527</ns0:v>
      </ns0:c>
      <ns0:c r="I221" s="7" t="n">
        <ns0:v>6683.006535947712</ns0:v>
      </ns0:c>
      <ns0:c r="J221" s="7" t="n">
        <ns0:v>3341.503267973856</ns0:v>
      </ns0:c>
      <ns0:c r="K221" s="7" t="n">
        <ns0:v>9</ns0:v>
      </ns0:c>
      <ns0:c r="L221" s="7" t="n">
        <ns0:v>15</ns0:v>
      </ns0:c>
      <ns0:c r="M221" s="7" t="n">
        <ns0:v>15003.41953233189</ns0:v>
      </ns0:c>
      <ns0:c r="N221" s="7" t="n">
        <ns0:v>116202.7160849054</ns0:v>
      </ns0:c>
      <ns0:c r="O221" s="7" t="n">
        <ns0:v>230011.8165590474</ns0:v>
      </ns0:c>
      <ns0:c r="P221" s="7" t="n">
        <ns0:v>514534.5677444027</ns0:v>
      </ns0:c>
      <ns0:c r="Q221" s="7" t="n">
        <ns0:v>1610625.572485825</ns0:v>
      </ns0:c>
      <ns0:c r="R221" s="7" t="n">
        <ns0:v>5523944.089080801</ns0:v>
      </ns0:c>
    </ns0:row>
    <ns0:row r="222" ht="24" customHeight="1">
      <ns0:c r="A222" s="3" t="inlineStr">
        <ns0:is>
          <ns0:t>セット</ns0:t>
        </ns0:is>
      </ns0:c>
      <ns0:c r="B222" s="3" t="inlineStr">
        <ns0:is>
          <ns0:t>G0基本5000比較</ns0:t>
        </ns0:is>
      </ns0:c>
      <ns0:c r="C222" s="3" t="inlineStr">
        <ns0:is>
          <ns0:t>A</ns0:t>
        </ns0:is>
      </ns0:c>
      <ns0:c r="D222" s="4" t="n">
        <ns0:v>2</ns0:v>
      </ns0:c>
      <ns0:c r="E222" s="4" t="n">
        <ns0:v>500</ns0:v>
      </ns0:c>
      <ns0:c r="F222" s="6" t="n">
        <ns0:v>0.5</ns0:v>
      </ns0:c>
      <ns0:c r="G222" s="4" t="n">
        <ns0:v>2</ns0:v>
      </ns0:c>
      <ns0:c r="H222" s="7" t="n">
        <ns0:v>13178.21350762527</ns0:v>
      </ns0:c>
      <ns0:c r="I222" s="7" t="n">
        <ns0:v>6683.006535947712</ns0:v>
      </ns0:c>
      <ns0:c r="J222" s="7" t="n">
        <ns0:v>3341.503267973856</ns0:v>
      </ns0:c>
      <ns0:c r="K222" s="18" t="inlineStr">
        <ns0:is>
          <ns0:t>範囲内なし</ns0:t>
        </ns0:is>
      </ns0:c>
      <ns0:c r="L222" s="18" t="inlineStr">
        <ns0:is>
          <ns0:t>範囲内なし</ns0:t>
        </ns0:is>
      </ns0:c>
      <ns0:c r="M222" s="7" t="n">
        <ns0:v>-52322.98941615597</ns0:v>
      </ns0:c>
      <ns0:c r="N222" s="7" t="n">
        <ns0:v>-85776.51076055825</ns0:v>
      </ns0:c>
      <ns0:c r="O222" s="7" t="n">
        <ns0:v>-106620.228183392</ns0:v>
      </ns0:c>
      <ns0:c r="P222" s="7" t="n">
        <ns0:v>-158729.5217404761</ns0:v>
      </ns0:c>
      <ns0:c r="Q222" s="7" t="n">
        <ns0:v>-409166.6959688115</ns0:v>
      </ns0:c>
      <ns0:c r="R222" s="7" t="n">
        <ns0:v>-1208696.805767987</ns0:v>
      </ns0:c>
    </ns0:row>
    <ns0:row r="223" ht="24" customHeight="1">
      <ns0:c r="A223" s="3" t="inlineStr">
        <ns0:is>
          <ns0:t>セット</ns0:t>
        </ns0:is>
      </ns0:c>
      <ns0:c r="B223" s="3" t="inlineStr">
        <ns0:is>
          <ns0:t>G0基本5000比較</ns0:t>
        </ns0:is>
      </ns0:c>
      <ns0:c r="C223" s="3" t="inlineStr">
        <ns0:is>
          <ns0:t>A</ns0:t>
        </ns0:is>
      </ns0:c>
      <ns0:c r="D223" s="4" t="n">
        <ns0:v>2</ns0:v>
      </ns0:c>
      <ns0:c r="E223" s="4" t="n">
        <ns0:v>500</ns0:v>
      </ns0:c>
      <ns0:c r="F223" s="6" t="n">
        <ns0:v>0.5</ns0:v>
      </ns0:c>
      <ns0:c r="G223" s="4" t="n">
        <ns0:v>3</ns0:v>
      </ns0:c>
      <ns0:c r="H223" s="7" t="n">
        <ns0:v>13178.21350762527</ns0:v>
      </ns0:c>
      <ns0:c r="I223" s="7" t="n">
        <ns0:v>6683.006535947712</ns0:v>
      </ns0:c>
      <ns0:c r="J223" s="7" t="n">
        <ns0:v>3341.503267973856</ns0:v>
      </ns0:c>
      <ns0:c r="K223" s="7" t="n">
        <ns0:v>12</ns0:v>
      </ns0:c>
      <ns0:c r="L223" s="7" t="n">
        <ns0:v>26</ns0:v>
      </ns0:c>
      <ns0:c r="M223" s="7" t="n">
        <ns0:v>3967.939013469728</ns0:v>
      </ns0:c>
      <ns0:c r="N223" s="7" t="n">
        <ns0:v>83096.2745283189</ns0:v>
      </ns0:c>
      <ns0:c r="O223" s="7" t="n">
        <ns0:v>174834.4139647366</ns0:v>
      </ns0:c>
      <ns0:c r="P223" s="7" t="n">
        <ns0:v>404179.7625557811</ns0:v>
      </ns0:c>
      <ns0:c r="Q223" s="7" t="n">
        <ns0:v>1279561.15691996</ns0:v>
      </ns0:c>
      <ns0:c r="R223" s="7" t="n">
        <ns0:v>4420396.037194584</ns0:v>
      </ns0:c>
    </ns0:row>
    <ns0:row r="224" ht="24" customHeight="1">
      <ns0:c r="A224" s="3" t="inlineStr">
        <ns0:is>
          <ns0:t>セット</ns0:t>
        </ns0:is>
      </ns0:c>
      <ns0:c r="B224" s="3" t="inlineStr">
        <ns0:is>
          <ns0:t>G0基本5000比較</ns0:t>
        </ns0:is>
      </ns0:c>
      <ns0:c r="C224" s="3" t="inlineStr">
        <ns0:is>
          <ns0:t>A</ns0:t>
        </ns0:is>
      </ns0:c>
      <ns0:c r="D224" s="4" t="n">
        <ns0:v>2</ns0:v>
      </ns0:c>
      <ns0:c r="E224" s="4" t="n">
        <ns0:v>1000</ns0:v>
      </ns0:c>
      <ns0:c r="F224" s="6" t="n">
        <ns0:v>0.3</ns0:v>
      </ns0:c>
      <ns0:c r="G224" s="4" t="n">
        <ns0:v>0</ns0:v>
      </ns0:c>
      <ns0:c r="H224" s="7" t="n">
        <ns0:v>12678.21350762527</ns0:v>
      </ns0:c>
      <ns0:c r="I224" s="7" t="n">
        <ns0:v>6183.006535947712</ns0:v>
      </ns0:c>
      <ns0:c r="J224" s="7" t="n">
        <ns0:v>1854.901960784314</ns0:v>
      </ns0:c>
      <ns0:c r="K224" s="7" t="n">
        <ns0:v>7</ns0:v>
      </ns0:c>
      <ns0:c r="L224" s="7" t="n">
        <ns0:v>10</ns0:v>
      </ns0:c>
      <ns0:c r="M224" s="7" t="n">
        <ns0:v>30437.90199652973</ns0:v>
      </ns0:c>
      <ns0:c r="N224" s="7" t="n">
        <ns0:v>162506.163477499</ns0:v>
      </ns0:c>
      <ns0:c r="O224" s="7" t="n">
        <ns0:v>307184.2288800367</ns0:v>
      </ns0:c>
      <ns0:c r="P224" s="7" t="n">
        <ns0:v>668879.3923863813</ns0:v>
      </ns0:c>
      <ns0:c r="Q224" s="7" t="n">
        <ns0:v>2073660.04641176</ns0:v>
      </ns0:c>
      <ns0:c r="R224" s="7" t="n">
        <ns0:v>7067392.335500585</ns0:v>
      </ns0:c>
    </ns0:row>
    <ns0:row r="225" ht="24" customHeight="1">
      <ns0:c r="A225" s="3" t="inlineStr">
        <ns0:is>
          <ns0:t>セット</ns0:t>
        </ns0:is>
      </ns0:c>
      <ns0:c r="B225" s="3" t="inlineStr">
        <ns0:is>
          <ns0:t>G0基本5000比較</ns0:t>
        </ns0:is>
      </ns0:c>
      <ns0:c r="C225" s="3" t="inlineStr">
        <ns0:is>
          <ns0:t>A</ns0:t>
        </ns0:is>
      </ns0:c>
      <ns0:c r="D225" s="4" t="n">
        <ns0:v>2</ns0:v>
      </ns0:c>
      <ns0:c r="E225" s="4" t="n">
        <ns0:v>1000</ns0:v>
      </ns0:c>
      <ns0:c r="F225" s="6" t="n">
        <ns0:v>0.3</ns0:v>
      </ns0:c>
      <ns0:c r="G225" s="4" t="n">
        <ns0:v>1</ns0:v>
      </ns0:c>
      <ns0:c r="H225" s="7" t="n">
        <ns0:v>12678.21350762527</ns0:v>
      </ns0:c>
      <ns0:c r="I225" s="7" t="n">
        <ns0:v>6183.006535947712</ns0:v>
      </ns0:c>
      <ns0:c r="J225" s="7" t="n">
        <ns0:v>1854.901960784314</ns0:v>
      </ns0:c>
      <ns0:c r="K225" s="7" t="n">
        <ns0:v>8</ns0:v>
      </ns0:c>
      <ns0:c r="L225" s="7" t="n">
        <ns0:v>13</ns0:v>
      </ns0:c>
      <ns0:c r="M225" s="7" t="n">
        <ns0:v>25049.43260422732</ns0:v>
      </ns0:c>
      <ns0:c r="N225" s="7" t="n">
        <ns0:v>146340.7553005917</ns0:v>
      </ns0:c>
      <ns0:c r="O225" s="7" t="n">
        <ns0:v>280241.8819185247</ns0:v>
      </ns0:c>
      <ns0:c r="P225" s="7" t="n">
        <ns0:v>614994.6984633573</ns0:v>
      </ns0:c>
      <ns0:c r="Q225" s="7" t="n">
        <ns0:v>1912005.964642688</ns0:v>
      </ns0:c>
      <ns0:c r="R225" s="7" t="n">
        <ns0:v>6528545.396270344</ns0:v>
      </ns0:c>
    </ns0:row>
    <ns0:row r="226" ht="24" customHeight="1">
      <ns0:c r="A226" s="3" t="inlineStr">
        <ns0:is>
          <ns0:t>セット</ns0:t>
        </ns0:is>
      </ns0:c>
      <ns0:c r="B226" s="3" t="inlineStr">
        <ns0:is>
          <ns0:t>G0基本5000比較</ns0:t>
        </ns0:is>
      </ns0:c>
      <ns0:c r="C226" s="3" t="inlineStr">
        <ns0:is>
          <ns0:t>A</ns0:t>
        </ns0:is>
      </ns0:c>
      <ns0:c r="D226" s="4" t="n">
        <ns0:v>2</ns0:v>
      </ns0:c>
      <ns0:c r="E226" s="4" t="n">
        <ns0:v>1000</ns0:v>
      </ns0:c>
      <ns0:c r="F226" s="6" t="n">
        <ns0:v>0.3</ns0:v>
      </ns0:c>
      <ns0:c r="G226" s="4" t="n">
        <ns0:v>2</ns0:v>
      </ns0:c>
      <ns0:c r="H226" s="7" t="n">
        <ns0:v>12678.21350762527</ns0:v>
      </ns0:c>
      <ns0:c r="I226" s="7" t="n">
        <ns0:v>6183.006535947712</ns0:v>
      </ns0:c>
      <ns0:c r="J226" s="7" t="n">
        <ns0:v>1854.901960784314</ns0:v>
      </ns0:c>
      <ns0:c r="K226" s="18" t="inlineStr">
        <ns0:is>
          <ns0:t>範囲内なし</ns0:t>
        </ns0:is>
      </ns0:c>
      <ns0:c r="L226" s="18" t="inlineStr">
        <ns0:is>
          <ns0:t>範囲内なし</ns0:t>
        </ns0:is>
      </ns0:c>
      <ns0:c r="M226" s="7" t="n">
        <ns0:v>-42276.97634426055</ns0:v>
      </ns0:c>
      <ns0:c r="N226" s="7" t="n">
        <ns0:v>-55638.47154487189</ns0:v>
      </ns0:c>
      <ns0:c r="O226" s="7" t="n">
        <ns0:v>-56390.16282391467</ns0:v>
      </ns0:c>
      <ns0:c r="P226" s="7" t="n">
        <ns0:v>-58269.39102152153</ns0:v>
      </ns0:c>
      <ns0:c r="Q226" s="7" t="n">
        <ns0:v>-107786.3038119483</ns0:v>
      </ns0:c>
      <ns0:c r="R226" s="7" t="n">
        <ns0:v>-204095.4985784437</ns0:v>
      </ns0:c>
    </ns0:row>
    <ns0:row r="227" ht="24" customHeight="1">
      <ns0:c r="A227" s="3" t="inlineStr">
        <ns0:is>
          <ns0:t>セット</ns0:t>
        </ns0:is>
      </ns0:c>
      <ns0:c r="B227" s="3" t="inlineStr">
        <ns0:is>
          <ns0:t>G0基本5000比較</ns0:t>
        </ns0:is>
      </ns0:c>
      <ns0:c r="C227" s="3" t="inlineStr">
        <ns0:is>
          <ns0:t>A</ns0:t>
        </ns0:is>
      </ns0:c>
      <ns0:c r="D227" s="4" t="n">
        <ns0:v>2</ns0:v>
      </ns0:c>
      <ns0:c r="E227" s="4" t="n">
        <ns0:v>1000</ns0:v>
      </ns0:c>
      <ns0:c r="F227" s="6" t="n">
        <ns0:v>0.3</ns0:v>
      </ns0:c>
      <ns0:c r="G227" s="4" t="n">
        <ns0:v>3</ns0:v>
      </ns0:c>
      <ns0:c r="H227" s="7" t="n">
        <ns0:v>12678.21350762527</ns0:v>
      </ns0:c>
      <ns0:c r="I227" s="7" t="n">
        <ns0:v>6183.006535947712</ns0:v>
      </ns0:c>
      <ns0:c r="J227" s="7" t="n">
        <ns0:v>1854.901960784314</ns0:v>
      </ns0:c>
      <ns0:c r="K227" s="7" t="n">
        <ns0:v>9</ns0:v>
      </ns0:c>
      <ns0:c r="L227" s="7" t="n">
        <ns0:v>22</ns0:v>
      </ns0:c>
      <ns0:c r="M227" s="7" t="n">
        <ns0:v>14013.95208536516</ns0:v>
      </ns0:c>
      <ns0:c r="N227" s="7" t="n">
        <ns0:v>113234.3137440053</ns0:v>
      </ns0:c>
      <ns0:c r="O227" s="7" t="n">
        <ns0:v>225064.4793242139</ns0:v>
      </ns0:c>
      <ns0:c r="P227" s="7" t="n">
        <ns0:v>504639.8932747357</ns0:v>
      </ns0:c>
      <ns0:c r="Q227" s="7" t="n">
        <ns0:v>1580941.549076823</ns0:v>
      </ns0:c>
      <ns0:c r="R227" s="7" t="n">
        <ns0:v>5424997.344384128</ns0:v>
      </ns0:c>
    </ns0:row>
    <ns0:row r="228" ht="24" customHeight="1">
      <ns0:c r="A228" s="3" t="inlineStr">
        <ns0:is>
          <ns0:t>セット</ns0:t>
        </ns0:is>
      </ns0:c>
      <ns0:c r="B228" s="3" t="inlineStr">
        <ns0:is>
          <ns0:t>G0基本5000比較</ns0:t>
        </ns0:is>
      </ns0:c>
      <ns0:c r="C228" s="3" t="inlineStr">
        <ns0:is>
          <ns0:t>A</ns0:t>
        </ns0:is>
      </ns0:c>
      <ns0:c r="D228" s="4" t="n">
        <ns0:v>2</ns0:v>
      </ns0:c>
      <ns0:c r="E228" s="4" t="n">
        <ns0:v>1000</ns0:v>
      </ns0:c>
      <ns0:c r="F228" s="6" t="n">
        <ns0:v>0.4</ns0:v>
      </ns0:c>
      <ns0:c r="G228" s="4" t="n">
        <ns0:v>0</ns0:v>
      </ns0:c>
      <ns0:c r="H228" s="7" t="n">
        <ns0:v>12678.21350762527</ns0:v>
      </ns0:c>
      <ns0:c r="I228" s="7" t="n">
        <ns0:v>6183.006535947712</ns0:v>
      </ns0:c>
      <ns0:c r="J228" s="7" t="n">
        <ns0:v>2473.202614379085</ns0:v>
      </ns0:c>
      <ns0:c r="K228" s="7" t="n">
        <ns0:v>8</ns0:v>
      </ns0:c>
      <ns0:c r="L228" s="7" t="n">
        <ns0:v>12</ns0:v>
      </ns0:c>
      <ns0:c r="M228" s="7" t="n">
        <ns0:v>24254.89546058203</ns0:v>
      </ns0:c>
      <ns0:c r="N228" s="7" t="n">
        <ns0:v>143957.1438696558</ns0:v>
      </ns0:c>
      <ns0:c r="O228" s="7" t="n">
        <ns0:v>276269.1962002982</ns0:v>
      </ns0:c>
      <ns0:c r="P228" s="7" t="n">
        <ns0:v>607049.3270269042</ns0:v>
      </ns0:c>
      <ns0:c r="Q228" s="7" t="n">
        <ns0:v>1888169.850333328</ns0:v>
      </ns0:c>
      <ns0:c r="R228" s="7" t="n">
        <ns0:v>6449091.681905814</ns0:v>
      </ns0:c>
    </ns0:row>
    <ns0:row r="229" ht="24" customHeight="1">
      <ns0:c r="A229" s="3" t="inlineStr">
        <ns0:is>
          <ns0:t>セット</ns0:t>
        </ns0:is>
      </ns0:c>
      <ns0:c r="B229" s="3" t="inlineStr">
        <ns0:is>
          <ns0:t>G0基本5000比較</ns0:t>
        </ns0:is>
      </ns0:c>
      <ns0:c r="C229" s="3" t="inlineStr">
        <ns0:is>
          <ns0:t>A</ns0:t>
        </ns0:is>
      </ns0:c>
      <ns0:c r="D229" s="4" t="n">
        <ns0:v>2</ns0:v>
      </ns0:c>
      <ns0:c r="E229" s="4" t="n">
        <ns0:v>1000</ns0:v>
      </ns0:c>
      <ns0:c r="F229" s="6" t="n">
        <ns0:v>0.4</ns0:v>
      </ns0:c>
      <ns0:c r="G229" s="4" t="n">
        <ns0:v>1</ns0:v>
      </ns0:c>
      <ns0:c r="H229" s="7" t="n">
        <ns0:v>12678.21350762527</ns0:v>
      </ns0:c>
      <ns0:c r="I229" s="7" t="n">
        <ns0:v>6183.006535947712</ns0:v>
      </ns0:c>
      <ns0:c r="J229" s="7" t="n">
        <ns0:v>2473.202614379085</ns0:v>
      </ns0:c>
      <ns0:c r="K229" s="7" t="n">
        <ns0:v>8</ns0:v>
      </ns0:c>
      <ns0:c r="L229" s="7" t="n">
        <ns0:v>14</ns0:v>
      </ns0:c>
      <ns0:c r="M229" s="7" t="n">
        <ns0:v>18866.42606827962</ns0:v>
      </ns0:c>
      <ns0:c r="N229" s="7" t="n">
        <ns0:v>127791.7356927486</ns0:v>
      </ns0:c>
      <ns0:c r="O229" s="7" t="n">
        <ns0:v>249326.8492387862</ns0:v>
      </ns0:c>
      <ns0:c r="P229" s="7" t="n">
        <ns0:v>553164.6331038801</ns0:v>
      </ns0:c>
      <ns0:c r="Q229" s="7" t="n">
        <ns0:v>1726515.768564256</ns0:v>
      </ns0:c>
      <ns0:c r="R229" s="7" t="n">
        <ns0:v>5910244.742675573</ns0:v>
      </ns0:c>
    </ns0:row>
    <ns0:row r="230" ht="24" customHeight="1">
      <ns0:c r="A230" s="3" t="inlineStr">
        <ns0:is>
          <ns0:t>セット</ns0:t>
        </ns0:is>
      </ns0:c>
      <ns0:c r="B230" s="3" t="inlineStr">
        <ns0:is>
          <ns0:t>G0基本5000比較</ns0:t>
        </ns0:is>
      </ns0:c>
      <ns0:c r="C230" s="3" t="inlineStr">
        <ns0:is>
          <ns0:t>A</ns0:t>
        </ns0:is>
      </ns0:c>
      <ns0:c r="D230" s="4" t="n">
        <ns0:v>2</ns0:v>
      </ns0:c>
      <ns0:c r="E230" s="4" t="n">
        <ns0:v>1000</ns0:v>
      </ns0:c>
      <ns0:c r="F230" s="6" t="n">
        <ns0:v>0.4</ns0:v>
      </ns0:c>
      <ns0:c r="G230" s="4" t="n">
        <ns0:v>2</ns0:v>
      </ns0:c>
      <ns0:c r="H230" s="7" t="n">
        <ns0:v>12678.21350762527</ns0:v>
      </ns0:c>
      <ns0:c r="I230" s="7" t="n">
        <ns0:v>6183.006535947712</ns0:v>
      </ns0:c>
      <ns0:c r="J230" s="7" t="n">
        <ns0:v>2473.202614379085</ns0:v>
      </ns0:c>
      <ns0:c r="K230" s="18" t="inlineStr">
        <ns0:is>
          <ns0:t>範囲内なし</ns0:t>
        </ns0:is>
      </ns0:c>
      <ns0:c r="L230" s="18" t="inlineStr">
        <ns0:is>
          <ns0:t>範囲内なし</ns0:t>
        </ns0:is>
      </ns0:c>
      <ns0:c r="M230" s="7" t="n">
        <ns0:v>-48459.98288020826</ns0:v>
      </ns0:c>
      <ns0:c r="N230" s="7" t="n">
        <ns0:v>-74187.49115271505</ns0:v>
      </ns0:c>
      <ns0:c r="O230" s="7" t="n">
        <ns0:v>-87305.1955036532</ns0:v>
      </ns0:c>
      <ns0:c r="P230" s="7" t="n">
        <ns0:v>-120099.4563809986</ns0:v>
      </ns0:c>
      <ns0:c r="Q230" s="7" t="n">
        <ns0:v>-293276.4998903804</ns0:v>
      </ns0:c>
      <ns0:c r="R230" s="7" t="n">
        <ns0:v>-822396.1521732155</ns0:v>
      </ns0:c>
    </ns0:row>
    <ns0:row r="231" ht="24" customHeight="1">
      <ns0:c r="A231" s="3" t="inlineStr">
        <ns0:is>
          <ns0:t>セット</ns0:t>
        </ns0:is>
      </ns0:c>
      <ns0:c r="B231" s="3" t="inlineStr">
        <ns0:is>
          <ns0:t>G0基本5000比較</ns0:t>
        </ns0:is>
      </ns0:c>
      <ns0:c r="C231" s="3" t="inlineStr">
        <ns0:is>
          <ns0:t>A</ns0:t>
        </ns0:is>
      </ns0:c>
      <ns0:c r="D231" s="4" t="n">
        <ns0:v>2</ns0:v>
      </ns0:c>
      <ns0:c r="E231" s="4" t="n">
        <ns0:v>1000</ns0:v>
      </ns0:c>
      <ns0:c r="F231" s="6" t="n">
        <ns0:v>0.4</ns0:v>
      </ns0:c>
      <ns0:c r="G231" s="4" t="n">
        <ns0:v>3</ns0:v>
      </ns0:c>
      <ns0:c r="H231" s="7" t="n">
        <ns0:v>12678.21350762527</ns0:v>
      </ns0:c>
      <ns0:c r="I231" s="7" t="n">
        <ns0:v>6183.006535947712</ns0:v>
      </ns0:c>
      <ns0:c r="J231" s="7" t="n">
        <ns0:v>2473.202614379085</ns0:v>
      </ns0:c>
      <ns0:c r="K231" s="7" t="n">
        <ns0:v>9</ns0:v>
      </ns0:c>
      <ns0:c r="L231" s="7" t="n">
        <ns0:v>24</ns0:v>
      </ns0:c>
      <ns0:c r="M231" s="7" t="n">
        <ns0:v>7830.945549417451</ns0:v>
      </ns0:c>
      <ns0:c r="N231" s="7" t="n">
        <ns0:v>94685.29413616209</ns0:v>
      </ns0:c>
      <ns0:c r="O231" s="7" t="n">
        <ns0:v>194149.4466444754</ns0:v>
      </ns0:c>
      <ns0:c r="P231" s="7" t="n">
        <ns0:v>442809.8279152585</ns0:v>
      </ns0:c>
      <ns0:c r="Q231" s="7" t="n">
        <ns0:v>1395451.352998391</ns0:v>
      </ns0:c>
      <ns0:c r="R231" s="7" t="n">
        <ns0:v>4806696.690789357</ns0:v>
      </ns0:c>
    </ns0:row>
    <ns0:row r="232" ht="24" customHeight="1">
      <ns0:c r="A232" s="3" t="inlineStr">
        <ns0:is>
          <ns0:t>セット</ns0:t>
        </ns0:is>
      </ns0:c>
      <ns0:c r="B232" s="3" t="inlineStr">
        <ns0:is>
          <ns0:t>G0基本5000比較</ns0:t>
        </ns0:is>
      </ns0:c>
      <ns0:c r="C232" s="3" t="inlineStr">
        <ns0:is>
          <ns0:t>A</ns0:t>
        </ns0:is>
      </ns0:c>
      <ns0:c r="D232" s="4" t="n">
        <ns0:v>2</ns0:v>
      </ns0:c>
      <ns0:c r="E232" s="4" t="n">
        <ns0:v>1000</ns0:v>
      </ns0:c>
      <ns0:c r="F232" s="6" t="n">
        <ns0:v>0.5</ns0:v>
      </ns0:c>
      <ns0:c r="G232" s="4" t="n">
        <ns0:v>0</ns0:v>
      </ns0:c>
      <ns0:c r="H232" s="7" t="n">
        <ns0:v>12678.21350762527</ns0:v>
      </ns0:c>
      <ns0:c r="I232" s="7" t="n">
        <ns0:v>6183.006535947712</ns0:v>
      </ns0:c>
      <ns0:c r="J232" s="7" t="n">
        <ns0:v>3091.503267973856</ns0:v>
      </ns0:c>
      <ns0:c r="K232" s="7" t="n">
        <ns0:v>8</ns0:v>
      </ns0:c>
      <ns0:c r="L232" s="7" t="n">
        <ns0:v>12</ns0:v>
      </ns0:c>
      <ns0:c r="M232" s="7" t="n">
        <ns0:v>18071.88892463432</ns0:v>
      </ns0:c>
      <ns0:c r="N232" s="7" t="n">
        <ns0:v>125408.1242618127</ns0:v>
      </ns0:c>
      <ns0:c r="O232" s="7" t="n">
        <ns0:v>245354.1635205597</ns0:v>
      </ns0:c>
      <ns0:c r="P232" s="7" t="n">
        <ns0:v>545219.2616674271</ns0:v>
      </ns0:c>
      <ns0:c r="Q232" s="7" t="n">
        <ns0:v>1702679.654254897</ns0:v>
      </ns0:c>
      <ns0:c r="R232" s="7" t="n">
        <ns0:v>5830791.028311042</ns0:v>
      </ns0:c>
    </ns0:row>
    <ns0:row r="233" ht="24" customHeight="1">
      <ns0:c r="A233" s="3" t="inlineStr">
        <ns0:is>
          <ns0:t>セット</ns0:t>
        </ns0:is>
      </ns0:c>
      <ns0:c r="B233" s="3" t="inlineStr">
        <ns0:is>
          <ns0:t>G0基本5000比較</ns0:t>
        </ns0:is>
      </ns0:c>
      <ns0:c r="C233" s="3" t="inlineStr">
        <ns0:is>
          <ns0:t>A</ns0:t>
        </ns0:is>
      </ns0:c>
      <ns0:c r="D233" s="4" t="n">
        <ns0:v>2</ns0:v>
      </ns0:c>
      <ns0:c r="E233" s="4" t="n">
        <ns0:v>1000</ns0:v>
      </ns0:c>
      <ns0:c r="F233" s="6" t="n">
        <ns0:v>0.5</ns0:v>
      </ns0:c>
      <ns0:c r="G233" s="4" t="n">
        <ns0:v>1</ns0:v>
      </ns0:c>
      <ns0:c r="H233" s="7" t="n">
        <ns0:v>12678.21350762527</ns0:v>
      </ns0:c>
      <ns0:c r="I233" s="7" t="n">
        <ns0:v>6183.006535947712</ns0:v>
      </ns0:c>
      <ns0:c r="J233" s="7" t="n">
        <ns0:v>3091.503267973856</ns0:v>
      </ns0:c>
      <ns0:c r="K233" s="7" t="n">
        <ns0:v>9</ns0:v>
      </ns0:c>
      <ns0:c r="L233" s="7" t="n">
        <ns0:v>15</ns0:v>
      </ns0:c>
      <ns0:c r="M233" s="7" t="n">
        <ns0:v>12683.41953233191</ns0:v>
      </ns0:c>
      <ns0:c r="N233" s="7" t="n">
        <ns0:v>109242.7160849054</ns0:v>
      </ns0:c>
      <ns0:c r="O233" s="7" t="n">
        <ns0:v>218411.8165590477</ns0:v>
      </ns0:c>
      <ns0:c r="P233" s="7" t="n">
        <ns0:v>491334.5677444031</ns0:v>
      </ns0:c>
      <ns0:c r="Q233" s="7" t="n">
        <ns0:v>1541025.572485825</ns0:v>
      </ns0:c>
      <ns0:c r="R233" s="7" t="n">
        <ns0:v>5291944.089080801</ns0:v>
      </ns0:c>
    </ns0:row>
    <ns0:row r="234" ht="24" customHeight="1">
      <ns0:c r="A234" s="3" t="inlineStr">
        <ns0:is>
          <ns0:t>セット</ns0:t>
        </ns0:is>
      </ns0:c>
      <ns0:c r="B234" s="3" t="inlineStr">
        <ns0:is>
          <ns0:t>G0基本5000比較</ns0:t>
        </ns0:is>
      </ns0:c>
      <ns0:c r="C234" s="3" t="inlineStr">
        <ns0:is>
          <ns0:t>A</ns0:t>
        </ns0:is>
      </ns0:c>
      <ns0:c r="D234" s="4" t="n">
        <ns0:v>2</ns0:v>
      </ns0:c>
      <ns0:c r="E234" s="4" t="n">
        <ns0:v>1000</ns0:v>
      </ns0:c>
      <ns0:c r="F234" s="6" t="n">
        <ns0:v>0.5</ns0:v>
      </ns0:c>
      <ns0:c r="G234" s="4" t="n">
        <ns0:v>2</ns0:v>
      </ns0:c>
      <ns0:c r="H234" s="7" t="n">
        <ns0:v>12678.21350762527</ns0:v>
      </ns0:c>
      <ns0:c r="I234" s="7" t="n">
        <ns0:v>6183.006535947712</ns0:v>
      </ns0:c>
      <ns0:c r="J234" s="7" t="n">
        <ns0:v>3091.503267973856</ns0:v>
      </ns0:c>
      <ns0:c r="K234" s="18" t="inlineStr">
        <ns0:is>
          <ns0:t>範囲内なし</ns0:t>
        </ns0:is>
      </ns0:c>
      <ns0:c r="L234" s="18" t="inlineStr">
        <ns0:is>
          <ns0:t>範囲内なし</ns0:t>
        </ns0:is>
      </ns0:c>
      <ns0:c r="M234" s="7" t="n">
        <ns0:v>-54642.98941615596</ns0:v>
      </ns0:c>
      <ns0:c r="N234" s="7" t="n">
        <ns0:v>-92736.51076055819</ns0:v>
      </ns0:c>
      <ns0:c r="O234" s="7" t="n">
        <ns0:v>-118220.2281833917</ns0:v>
      </ns0:c>
      <ns0:c r="P234" s="7" t="n">
        <ns0:v>-181929.5217404757</ns0:v>
      </ns0:c>
      <ns0:c r="Q234" s="7" t="n">
        <ns0:v>-478766.6959688115</ns0:v>
      </ns0:c>
      <ns0:c r="R234" s="7" t="n">
        <ns0:v>-1440696.805767986</ns0:v>
      </ns0:c>
    </ns0:row>
    <ns0:row r="235" ht="24" customHeight="1">
      <ns0:c r="A235" s="3" t="inlineStr">
        <ns0:is>
          <ns0:t>セット</ns0:t>
        </ns0:is>
      </ns0:c>
      <ns0:c r="B235" s="3" t="inlineStr">
        <ns0:is>
          <ns0:t>G0基本5000比較</ns0:t>
        </ns0:is>
      </ns0:c>
      <ns0:c r="C235" s="3" t="inlineStr">
        <ns0:is>
          <ns0:t>A</ns0:t>
        </ns0:is>
      </ns0:c>
      <ns0:c r="D235" s="4" t="n">
        <ns0:v>2</ns0:v>
      </ns0:c>
      <ns0:c r="E235" s="4" t="n">
        <ns0:v>1000</ns0:v>
      </ns0:c>
      <ns0:c r="F235" s="6" t="n">
        <ns0:v>0.5</ns0:v>
      </ns0:c>
      <ns0:c r="G235" s="4" t="n">
        <ns0:v>3</ns0:v>
      </ns0:c>
      <ns0:c r="H235" s="7" t="n">
        <ns0:v>12678.21350762527</ns0:v>
      </ns0:c>
      <ns0:c r="I235" s="7" t="n">
        <ns0:v>6183.006535947712</ns0:v>
      </ns0:c>
      <ns0:c r="J235" s="7" t="n">
        <ns0:v>3091.503267973856</ns0:v>
      </ns0:c>
      <ns0:c r="K235" s="7" t="n">
        <ns0:v>13</ns0:v>
      </ns0:c>
      <ns0:c r="L235" s="7" t="n">
        <ns0:v>28</ns0:v>
      </ns0:c>
      <ns0:c r="M235" s="7" t="n">
        <ns0:v>1647.939013469742</ns0:v>
      </ns0:c>
      <ns0:c r="N235" s="7" t="n">
        <ns0:v>76136.27452831896</ns0:v>
      </ns0:c>
      <ns0:c r="O235" s="7" t="n">
        <ns0:v>163234.4139647369</ns0:v>
      </ns0:c>
      <ns0:c r="P235" s="7" t="n">
        <ns0:v>380979.7625557815</ns0:v>
      </ns0:c>
      <ns0:c r="Q235" s="7" t="n">
        <ns0:v>1209961.15691996</ns0:v>
      </ns0:c>
      <ns0:c r="R235" s="7" t="n">
        <ns0:v>4188396.037194585</ns0:v>
      </ns0:c>
    </ns0:row>
    <ns0:row r="236" ht="24" customHeight="1">
      <ns0:c r="A236" s="3" t="inlineStr">
        <ns0:is>
          <ns0:t>セット</ns0:t>
        </ns0:is>
      </ns0:c>
      <ns0:c r="B236" s="3" t="inlineStr">
        <ns0:is>
          <ns0:t>G0基本5000比較</ns0:t>
        </ns0:is>
      </ns0:c>
      <ns0:c r="C236" s="3" t="inlineStr">
        <ns0:is>
          <ns0:t>A</ns0:t>
        </ns0:is>
      </ns0:c>
      <ns0:c r="D236" s="4" t="n">
        <ns0:v>2</ns0:v>
      </ns0:c>
      <ns0:c r="E236" s="4" t="n">
        <ns0:v>1500</ns0:v>
      </ns0:c>
      <ns0:c r="F236" s="6" t="n">
        <ns0:v>0.3</ns0:v>
      </ns0:c>
      <ns0:c r="G236" s="4" t="n">
        <ns0:v>0</ns0:v>
      </ns0:c>
      <ns0:c r="H236" s="7" t="n">
        <ns0:v>12178.21350762527</ns0:v>
      </ns0:c>
      <ns0:c r="I236" s="7" t="n">
        <ns0:v>5683.006535947713</ns0:v>
      </ns0:c>
      <ns0:c r="J236" s="7" t="n">
        <ns0:v>1704.901960784314</ns0:v>
      </ns0:c>
      <ns0:c r="K236" s="7" t="n">
        <ns0:v>7</ns0:v>
      </ns0:c>
      <ns0:c r="L236" s="7" t="n">
        <ns0:v>10</ns0:v>
      </ns0:c>
      <ns0:c r="M236" s="7" t="n">
        <ns0:v>27117.90199652975</ns0:v>
      </ns0:c>
      <ns0:c r="N236" s="7" t="n">
        <ns0:v>152546.1634774989</ns0:v>
      </ns0:c>
      <ns0:c r="O236" s="7" t="n">
        <ns0:v>290584.2288800367</ns0:v>
      </ns0:c>
      <ns0:c r="P236" s="7" t="n">
        <ns0:v>635679.3923863813</ns0:v>
      </ns0:c>
      <ns0:c r="Q236" s="7" t="n">
        <ns0:v>1974060.046411759</ns0:v>
      </ns0:c>
      <ns0:c r="R236" s="7" t="n">
        <ns0:v>6735392.335500584</ns0:v>
      </ns0:c>
    </ns0:row>
    <ns0:row r="237" ht="24" customHeight="1">
      <ns0:c r="A237" s="3" t="inlineStr">
        <ns0:is>
          <ns0:t>セット</ns0:t>
        </ns0:is>
      </ns0:c>
      <ns0:c r="B237" s="3" t="inlineStr">
        <ns0:is>
          <ns0:t>G0基本5000比較</ns0:t>
        </ns0:is>
      </ns0:c>
      <ns0:c r="C237" s="3" t="inlineStr">
        <ns0:is>
          <ns0:t>A</ns0:t>
        </ns0:is>
      </ns0:c>
      <ns0:c r="D237" s="4" t="n">
        <ns0:v>2</ns0:v>
      </ns0:c>
      <ns0:c r="E237" s="4" t="n">
        <ns0:v>1500</ns0:v>
      </ns0:c>
      <ns0:c r="F237" s="6" t="n">
        <ns0:v>0.3</ns0:v>
      </ns0:c>
      <ns0:c r="G237" s="4" t="n">
        <ns0:v>1</ns0:v>
      </ns0:c>
      <ns0:c r="H237" s="7" t="n">
        <ns0:v>12178.21350762527</ns0:v>
      </ns0:c>
      <ns0:c r="I237" s="7" t="n">
        <ns0:v>5683.006535947713</ns0:v>
      </ns0:c>
      <ns0:c r="J237" s="7" t="n">
        <ns0:v>1704.901960784314</ns0:v>
      </ns0:c>
      <ns0:c r="K237" s="7" t="n">
        <ns0:v>8</ns0:v>
      </ns0:c>
      <ns0:c r="L237" s="7" t="n">
        <ns0:v>14</ns0:v>
      </ns0:c>
      <ns0:c r="M237" s="7" t="n">
        <ns0:v>21729.43260422734</ns0:v>
      </ns0:c>
      <ns0:c r="N237" s="7" t="n">
        <ns0:v>136380.7553005917</ns0:v>
      </ns0:c>
      <ns0:c r="O237" s="7" t="n">
        <ns0:v>263641.8819185247</ns0:v>
      </ns0:c>
      <ns0:c r="P237" s="7" t="n">
        <ns0:v>581794.6984633573</ns0:v>
      </ns0:c>
      <ns0:c r="Q237" s="7" t="n">
        <ns0:v>1812405.964642687</ns0:v>
      </ns0:c>
      <ns0:c r="R237" s="7" t="n">
        <ns0:v>6196545.396270343</ns0:v>
      </ns0:c>
    </ns0:row>
    <ns0:row r="238" ht="24" customHeight="1">
      <ns0:c r="A238" s="3" t="inlineStr">
        <ns0:is>
          <ns0:t>セット</ns0:t>
        </ns0:is>
      </ns0:c>
      <ns0:c r="B238" s="3" t="inlineStr">
        <ns0:is>
          <ns0:t>G0基本5000比較</ns0:t>
        </ns0:is>
      </ns0:c>
      <ns0:c r="C238" s="3" t="inlineStr">
        <ns0:is>
          <ns0:t>A</ns0:t>
        </ns0:is>
      </ns0:c>
      <ns0:c r="D238" s="4" t="n">
        <ns0:v>2</ns0:v>
      </ns0:c>
      <ns0:c r="E238" s="4" t="n">
        <ns0:v>1500</ns0:v>
      </ns0:c>
      <ns0:c r="F238" s="6" t="n">
        <ns0:v>0.3</ns0:v>
      </ns0:c>
      <ns0:c r="G238" s="4" t="n">
        <ns0:v>2</ns0:v>
      </ns0:c>
      <ns0:c r="H238" s="7" t="n">
        <ns0:v>12178.21350762527</ns0:v>
      </ns0:c>
      <ns0:c r="I238" s="7" t="n">
        <ns0:v>5683.006535947713</ns0:v>
      </ns0:c>
      <ns0:c r="J238" s="7" t="n">
        <ns0:v>1704.901960784314</ns0:v>
      </ns0:c>
      <ns0:c r="K238" s="18" t="inlineStr">
        <ns0:is>
          <ns0:t>範囲内なし</ns0:t>
        </ns0:is>
      </ns0:c>
      <ns0:c r="L238" s="18" t="inlineStr">
        <ns0:is>
          <ns0:t>範囲内なし</ns0:t>
        </ns0:is>
      </ns0:c>
      <ns0:c r="M238" s="7" t="n">
        <ns0:v>-45596.97634426053</ns0:v>
      </ns0:c>
      <ns0:c r="N238" s="7" t="n">
        <ns0:v>-65598.47154487192</ns0:v>
      </ns0:c>
      <ns0:c r="O238" s="7" t="n">
        <ns0:v>-72990.16282391467</ns0:v>
      </ns0:c>
      <ns0:c r="P238" s="7" t="n">
        <ns0:v>-91469.39102152153</ns0:v>
      </ns0:c>
      <ns0:c r="Q238" s="7" t="n">
        <ns0:v>-207386.3038119494</ns0:v>
      </ns0:c>
      <ns0:c r="R238" s="7" t="n">
        <ns0:v>-536095.4985784446</ns0:v>
      </ns0:c>
    </ns0:row>
    <ns0:row r="239" ht="24" customHeight="1">
      <ns0:c r="A239" s="3" t="inlineStr">
        <ns0:is>
          <ns0:t>セット</ns0:t>
        </ns0:is>
      </ns0:c>
      <ns0:c r="B239" s="3" t="inlineStr">
        <ns0:is>
          <ns0:t>G0基本5000比較</ns0:t>
        </ns0:is>
      </ns0:c>
      <ns0:c r="C239" s="3" t="inlineStr">
        <ns0:is>
          <ns0:t>A</ns0:t>
        </ns0:is>
      </ns0:c>
      <ns0:c r="D239" s="4" t="n">
        <ns0:v>2</ns0:v>
      </ns0:c>
      <ns0:c r="E239" s="4" t="n">
        <ns0:v>1500</ns0:v>
      </ns0:c>
      <ns0:c r="F239" s="6" t="n">
        <ns0:v>0.3</ns0:v>
      </ns0:c>
      <ns0:c r="G239" s="4" t="n">
        <ns0:v>3</ns0:v>
      </ns0:c>
      <ns0:c r="H239" s="7" t="n">
        <ns0:v>12178.21350762527</ns0:v>
      </ns0:c>
      <ns0:c r="I239" s="7" t="n">
        <ns0:v>5683.006535947713</ns0:v>
      </ns0:c>
      <ns0:c r="J239" s="7" t="n">
        <ns0:v>1704.901960784314</ns0:v>
      </ns0:c>
      <ns0:c r="K239" s="7" t="n">
        <ns0:v>9</ns0:v>
      </ns0:c>
      <ns0:c r="L239" s="7" t="n">
        <ns0:v>23</ns0:v>
      </ns0:c>
      <ns0:c r="M239" s="7" t="n">
        <ns0:v>10693.95208536517</ns0:v>
      </ns0:c>
      <ns0:c r="N239" s="7" t="n">
        <ns0:v>103274.3137440052</ns0:v>
      </ns0:c>
      <ns0:c r="O239" s="7" t="n">
        <ns0:v>208464.4793242139</ns0:v>
      </ns0:c>
      <ns0:c r="P239" s="7" t="n">
        <ns0:v>471439.8932747355</ns0:v>
      </ns0:c>
      <ns0:c r="Q239" s="7" t="n">
        <ns0:v>1481341.549076822</ns0:v>
      </ns0:c>
      <ns0:c r="R239" s="7" t="n">
        <ns0:v>5092997.344384127</ns0:v>
      </ns0:c>
    </ns0:row>
    <ns0:row r="240" ht="24" customHeight="1">
      <ns0:c r="A240" s="3" t="inlineStr">
        <ns0:is>
          <ns0:t>セット</ns0:t>
        </ns0:is>
      </ns0:c>
      <ns0:c r="B240" s="3" t="inlineStr">
        <ns0:is>
          <ns0:t>G0基本5000比較</ns0:t>
        </ns0:is>
      </ns0:c>
      <ns0:c r="C240" s="3" t="inlineStr">
        <ns0:is>
          <ns0:t>A</ns0:t>
        </ns0:is>
      </ns0:c>
      <ns0:c r="D240" s="4" t="n">
        <ns0:v>2</ns0:v>
      </ns0:c>
      <ns0:c r="E240" s="4" t="n">
        <ns0:v>1500</ns0:v>
      </ns0:c>
      <ns0:c r="F240" s="6" t="n">
        <ns0:v>0.4</ns0:v>
      </ns0:c>
      <ns0:c r="G240" s="4" t="n">
        <ns0:v>0</ns0:v>
      </ns0:c>
      <ns0:c r="H240" s="7" t="n">
        <ns0:v>12178.21350762527</ns0:v>
      </ns0:c>
      <ns0:c r="I240" s="7" t="n">
        <ns0:v>5683.006535947713</ns0:v>
      </ns0:c>
      <ns0:c r="J240" s="7" t="n">
        <ns0:v>2273.202614379085</ns0:v>
      </ns0:c>
      <ns0:c r="K240" s="7" t="n">
        <ns0:v>8</ns0:v>
      </ns0:c>
      <ns0:c r="L240" s="7" t="n">
        <ns0:v>12</ns0:v>
      </ns0:c>
      <ns0:c r="M240" s="7" t="n">
        <ns0:v>21434.89546058203</ns0:v>
      </ns0:c>
      <ns0:c r="N240" s="7" t="n">
        <ns0:v>135497.1438696558</ns0:v>
      </ns0:c>
      <ns0:c r="O240" s="7" t="n">
        <ns0:v>262169.1962002981</ns0:v>
      </ns0:c>
      <ns0:c r="P240" s="7" t="n">
        <ns0:v>578849.3270269041</ns0:v>
      </ns0:c>
      <ns0:c r="Q240" s="7" t="n">
        <ns0:v>1803569.850333328</ns0:v>
      </ns0:c>
      <ns0:c r="R240" s="7" t="n">
        <ns0:v>6167091.681905812</ns0:v>
      </ns0:c>
    </ns0:row>
    <ns0:row r="241" ht="24" customHeight="1">
      <ns0:c r="A241" s="3" t="inlineStr">
        <ns0:is>
          <ns0:t>セット</ns0:t>
        </ns0:is>
      </ns0:c>
      <ns0:c r="B241" s="3" t="inlineStr">
        <ns0:is>
          <ns0:t>G0基本5000比較</ns0:t>
        </ns0:is>
      </ns0:c>
      <ns0:c r="C241" s="3" t="inlineStr">
        <ns0:is>
          <ns0:t>A</ns0:t>
        </ns0:is>
      </ns0:c>
      <ns0:c r="D241" s="4" t="n">
        <ns0:v>2</ns0:v>
      </ns0:c>
      <ns0:c r="E241" s="4" t="n">
        <ns0:v>1500</ns0:v>
      </ns0:c>
      <ns0:c r="F241" s="6" t="n">
        <ns0:v>0.4</ns0:v>
      </ns0:c>
      <ns0:c r="G241" s="4" t="n">
        <ns0:v>1</ns0:v>
      </ns0:c>
      <ns0:c r="H241" s="7" t="n">
        <ns0:v>12178.21350762527</ns0:v>
      </ns0:c>
      <ns0:c r="I241" s="7" t="n">
        <ns0:v>5683.006535947713</ns0:v>
      </ns0:c>
      <ns0:c r="J241" s="7" t="n">
        <ns0:v>2273.202614379085</ns0:v>
      </ns0:c>
      <ns0:c r="K241" s="7" t="n">
        <ns0:v>8</ns0:v>
      </ns0:c>
      <ns0:c r="L241" s="7" t="n">
        <ns0:v>14</ns0:v>
      </ns0:c>
      <ns0:c r="M241" s="7" t="n">
        <ns0:v>16046.42606827962</ns0:v>
      </ns0:c>
      <ns0:c r="N241" s="7" t="n">
        <ns0:v>119331.7356927485</ns0:v>
      </ns0:c>
      <ns0:c r="O241" s="7" t="n">
        <ns0:v>235226.8492387861</ns0:v>
      </ns0:c>
      <ns0:c r="P241" s="7" t="n">
        <ns0:v>524964.6331038801</ns0:v>
      </ns0:c>
      <ns0:c r="Q241" s="7" t="n">
        <ns0:v>1641915.768564256</ns0:v>
      </ns0:c>
      <ns0:c r="R241" s="7" t="n">
        <ns0:v>5628244.742675571</ns0:v>
      </ns0:c>
    </ns0:row>
    <ns0:row r="242" ht="24" customHeight="1">
      <ns0:c r="A242" s="3" t="inlineStr">
        <ns0:is>
          <ns0:t>セット</ns0:t>
        </ns0:is>
      </ns0:c>
      <ns0:c r="B242" s="3" t="inlineStr">
        <ns0:is>
          <ns0:t>G0基本5000比較</ns0:t>
        </ns0:is>
      </ns0:c>
      <ns0:c r="C242" s="3" t="inlineStr">
        <ns0:is>
          <ns0:t>A</ns0:t>
        </ns0:is>
      </ns0:c>
      <ns0:c r="D242" s="4" t="n">
        <ns0:v>2</ns0:v>
      </ns0:c>
      <ns0:c r="E242" s="4" t="n">
        <ns0:v>1500</ns0:v>
      </ns0:c>
      <ns0:c r="F242" s="6" t="n">
        <ns0:v>0.4</ns0:v>
      </ns0:c>
      <ns0:c r="G242" s="4" t="n">
        <ns0:v>2</ns0:v>
      </ns0:c>
      <ns0:c r="H242" s="7" t="n">
        <ns0:v>12178.21350762527</ns0:v>
      </ns0:c>
      <ns0:c r="I242" s="7" t="n">
        <ns0:v>5683.006535947713</ns0:v>
      </ns0:c>
      <ns0:c r="J242" s="7" t="n">
        <ns0:v>2273.202614379085</ns0:v>
      </ns0:c>
      <ns0:c r="K242" s="18" t="inlineStr">
        <ns0:is>
          <ns0:t>範囲内なし</ns0:t>
        </ns0:is>
      </ns0:c>
      <ns0:c r="L242" s="18" t="inlineStr">
        <ns0:is>
          <ns0:t>範囲内なし</ns0:t>
        </ns0:is>
      </ns0:c>
      <ns0:c r="M242" s="7" t="n">
        <ns0:v>-51279.98288020826</ns0:v>
      </ns0:c>
      <ns0:c r="N242" s="7" t="n">
        <ns0:v>-82647.49115271508</ns0:v>
      </ns0:c>
      <ns0:c r="O242" s="7" t="n">
        <ns0:v>-101405.1955036533</ns0:v>
      </ns0:c>
      <ns0:c r="P242" s="7" t="n">
        <ns0:v>-148299.4563809987</ns0:v>
      </ns0:c>
      <ns0:c r="Q242" s="7" t="n">
        <ns0:v>-377876.4998903804</ns0:v>
      </ns0:c>
      <ns0:c r="R242" s="7" t="n">
        <ns0:v>-1104396.152173216</ns0:v>
      </ns0:c>
    </ns0:row>
    <ns0:row r="243" ht="24" customHeight="1">
      <ns0:c r="A243" s="3" t="inlineStr">
        <ns0:is>
          <ns0:t>セット</ns0:t>
        </ns0:is>
      </ns0:c>
      <ns0:c r="B243" s="3" t="inlineStr">
        <ns0:is>
          <ns0:t>G0基本5000比較</ns0:t>
        </ns0:is>
      </ns0:c>
      <ns0:c r="C243" s="3" t="inlineStr">
        <ns0:is>
          <ns0:t>A</ns0:t>
        </ns0:is>
      </ns0:c>
      <ns0:c r="D243" s="4" t="n">
        <ns0:v>2</ns0:v>
      </ns0:c>
      <ns0:c r="E243" s="4" t="n">
        <ns0:v>1500</ns0:v>
      </ns0:c>
      <ns0:c r="F243" s="6" t="n">
        <ns0:v>0.4</ns0:v>
      </ns0:c>
      <ns0:c r="G243" s="4" t="n">
        <ns0:v>3</ns0:v>
      </ns0:c>
      <ns0:c r="H243" s="7" t="n">
        <ns0:v>12178.21350762527</ns0:v>
      </ns0:c>
      <ns0:c r="I243" s="7" t="n">
        <ns0:v>5683.006535947713</ns0:v>
      </ns0:c>
      <ns0:c r="J243" s="7" t="n">
        <ns0:v>2273.202614379085</ns0:v>
      </ns0:c>
      <ns0:c r="K243" s="7" t="n">
        <ns0:v>12</ns0:v>
      </ns0:c>
      <ns0:c r="L243" s="7" t="n">
        <ns0:v>26</ns0:v>
      </ns0:c>
      <ns0:c r="M243" s="7" t="n">
        <ns0:v>5010.945549417458</ns0:v>
      </ns0:c>
      <ns0:c r="N243" s="7" t="n">
        <ns0:v>86225.29413616206</ns0:v>
      </ns0:c>
      <ns0:c r="O243" s="7" t="n">
        <ns0:v>180049.4466444753</ns0:v>
      </ns0:c>
      <ns0:c r="P243" s="7" t="n">
        <ns0:v>414609.8279152584</ns0:v>
      </ns0:c>
      <ns0:c r="Q243" s="7" t="n">
        <ns0:v>1310851.352998391</ns0:v>
      </ns0:c>
      <ns0:c r="R243" s="7" t="n">
        <ns0:v>4524696.690789355</ns0:v>
      </ns0:c>
    </ns0:row>
    <ns0:row r="244" ht="24" customHeight="1">
      <ns0:c r="A244" s="3" t="inlineStr">
        <ns0:is>
          <ns0:t>セット</ns0:t>
        </ns0:is>
      </ns0:c>
      <ns0:c r="B244" s="3" t="inlineStr">
        <ns0:is>
          <ns0:t>G0基本5000比較</ns0:t>
        </ns0:is>
      </ns0:c>
      <ns0:c r="C244" s="3" t="inlineStr">
        <ns0:is>
          <ns0:t>A</ns0:t>
        </ns0:is>
      </ns0:c>
      <ns0:c r="D244" s="4" t="n">
        <ns0:v>2</ns0:v>
      </ns0:c>
      <ns0:c r="E244" s="4" t="n">
        <ns0:v>1500</ns0:v>
      </ns0:c>
      <ns0:c r="F244" s="6" t="n">
        <ns0:v>0.5</ns0:v>
      </ns0:c>
      <ns0:c r="G244" s="4" t="n">
        <ns0:v>0</ns0:v>
      </ns0:c>
      <ns0:c r="H244" s="7" t="n">
        <ns0:v>12178.21350762527</ns0:v>
      </ns0:c>
      <ns0:c r="I244" s="7" t="n">
        <ns0:v>5683.006535947713</ns0:v>
      </ns0:c>
      <ns0:c r="J244" s="7" t="n">
        <ns0:v>2841.503267973857</ns0:v>
      </ns0:c>
      <ns0:c r="K244" s="7" t="n">
        <ns0:v>8</ns0:v>
      </ns0:c>
      <ns0:c r="L244" s="7" t="n">
        <ns0:v>13</ns0:v>
      </ns0:c>
      <ns0:c r="M244" s="7" t="n">
        <ns0:v>15751.88892463432</ns0:v>
      </ns0:c>
      <ns0:c r="N244" s="7" t="n">
        <ns0:v>118448.1242618127</ns0:v>
      </ns0:c>
      <ns0:c r="O244" s="7" t="n">
        <ns0:v>233754.1635205596</ns0:v>
      </ns0:c>
      <ns0:c r="P244" s="7" t="n">
        <ns0:v>522019.2616674271</ns0:v>
      </ns0:c>
      <ns0:c r="Q244" s="7" t="n">
        <ns0:v>1633079.654254897</ns0:v>
      </ns0:c>
      <ns0:c r="R244" s="7" t="n">
        <ns0:v>5598791.028311041</ns0:v>
      </ns0:c>
    </ns0:row>
    <ns0:row r="245" ht="24" customHeight="1">
      <ns0:c r="A245" s="3" t="inlineStr">
        <ns0:is>
          <ns0:t>セット</ns0:t>
        </ns0:is>
      </ns0:c>
      <ns0:c r="B245" s="3" t="inlineStr">
        <ns0:is>
          <ns0:t>G0基本5000比較</ns0:t>
        </ns0:is>
      </ns0:c>
      <ns0:c r="C245" s="3" t="inlineStr">
        <ns0:is>
          <ns0:t>A</ns0:t>
        </ns0:is>
      </ns0:c>
      <ns0:c r="D245" s="4" t="n">
        <ns0:v>2</ns0:v>
      </ns0:c>
      <ns0:c r="E245" s="4" t="n">
        <ns0:v>1500</ns0:v>
      </ns0:c>
      <ns0:c r="F245" s="6" t="n">
        <ns0:v>0.5</ns0:v>
      </ns0:c>
      <ns0:c r="G245" s="4" t="n">
        <ns0:v>1</ns0:v>
      </ns0:c>
      <ns0:c r="H245" s="7" t="n">
        <ns0:v>12178.21350762527</ns0:v>
      </ns0:c>
      <ns0:c r="I245" s="7" t="n">
        <ns0:v>5683.006535947713</ns0:v>
      </ns0:c>
      <ns0:c r="J245" s="7" t="n">
        <ns0:v>2841.503267973857</ns0:v>
      </ns0:c>
      <ns0:c r="K245" s="7" t="n">
        <ns0:v>9</ns0:v>
      </ns0:c>
      <ns0:c r="L245" s="7" t="n">
        <ns0:v>16</ns0:v>
      </ns0:c>
      <ns0:c r="M245" s="7" t="n">
        <ns0:v>10363.41953233191</ns0:v>
      </ns0:c>
      <ns0:c r="N245" s="7" t="n">
        <ns0:v>102282.7160849054</ns0:v>
      </ns0:c>
      <ns0:c r="O245" s="7" t="n">
        <ns0:v>206811.8165590476</ns0:v>
      </ns0:c>
      <ns0:c r="P245" s="7" t="n">
        <ns0:v>468134.567744403</ns0:v>
      </ns0:c>
      <ns0:c r="Q245" s="7" t="n">
        <ns0:v>1471425.572485824</ns0:v>
      </ns0:c>
      <ns0:c r="R245" s="7" t="n">
        <ns0:v>5059944.0890808</ns0:v>
      </ns0:c>
    </ns0:row>
    <ns0:row r="246" ht="24" customHeight="1">
      <ns0:c r="A246" s="3" t="inlineStr">
        <ns0:is>
          <ns0:t>セット</ns0:t>
        </ns0:is>
      </ns0:c>
      <ns0:c r="B246" s="3" t="inlineStr">
        <ns0:is>
          <ns0:t>G0基本5000比較</ns0:t>
        </ns0:is>
      </ns0:c>
      <ns0:c r="C246" s="3" t="inlineStr">
        <ns0:is>
          <ns0:t>A</ns0:t>
        </ns0:is>
      </ns0:c>
      <ns0:c r="D246" s="4" t="n">
        <ns0:v>2</ns0:v>
      </ns0:c>
      <ns0:c r="E246" s="4" t="n">
        <ns0:v>1500</ns0:v>
      </ns0:c>
      <ns0:c r="F246" s="6" t="n">
        <ns0:v>0.5</ns0:v>
      </ns0:c>
      <ns0:c r="G246" s="4" t="n">
        <ns0:v>2</ns0:v>
      </ns0:c>
      <ns0:c r="H246" s="7" t="n">
        <ns0:v>12178.21350762527</ns0:v>
      </ns0:c>
      <ns0:c r="I246" s="7" t="n">
        <ns0:v>5683.006535947713</ns0:v>
      </ns0:c>
      <ns0:c r="J246" s="7" t="n">
        <ns0:v>2841.503267973857</ns0:v>
      </ns0:c>
      <ns0:c r="K246" s="18" t="inlineStr">
        <ns0:is>
          <ns0:t>範囲内なし</ns0:t>
        </ns0:is>
      </ns0:c>
      <ns0:c r="L246" s="18" t="inlineStr">
        <ns0:is>
          <ns0:t>範囲内なし</ns0:t>
        </ns0:is>
      </ns0:c>
      <ns0:c r="M246" s="7" t="n">
        <ns0:v>-56962.98941615598</ns0:v>
      </ns0:c>
      <ns0:c r="N246" s="7" t="n">
        <ns0:v>-99696.51076055822</ns0:v>
      </ns0:c>
      <ns0:c r="O246" s="7" t="n">
        <ns0:v>-129820.2281833918</ns0:v>
      </ns0:c>
      <ns0:c r="P246" s="7" t="n">
        <ns0:v>-205129.5217404758</ns0:v>
      </ns0:c>
      <ns0:c r="Q246" s="7" t="n">
        <ns0:v>-548366.695968812</ns0:v>
      </ns0:c>
      <ns0:c r="R246" s="7" t="n">
        <ns0:v>-1672696.805767988</ns0:v>
      </ns0:c>
    </ns0:row>
    <ns0:row r="247" ht="24" customHeight="1">
      <ns0:c r="A247" s="3" t="inlineStr">
        <ns0:is>
          <ns0:t>セット</ns0:t>
        </ns0:is>
      </ns0:c>
      <ns0:c r="B247" s="3" t="inlineStr">
        <ns0:is>
          <ns0:t>G0基本5000比較</ns0:t>
        </ns0:is>
      </ns0:c>
      <ns0:c r="C247" s="3" t="inlineStr">
        <ns0:is>
          <ns0:t>A</ns0:t>
        </ns0:is>
      </ns0:c>
      <ns0:c r="D247" s="4" t="n">
        <ns0:v>2</ns0:v>
      </ns0:c>
      <ns0:c r="E247" s="4" t="n">
        <ns0:v>1500</ns0:v>
      </ns0:c>
      <ns0:c r="F247" s="6" t="n">
        <ns0:v>0.5</ns0:v>
      </ns0:c>
      <ns0:c r="G247" s="4" t="n">
        <ns0:v>3</ns0:v>
      </ns0:c>
      <ns0:c r="H247" s="7" t="n">
        <ns0:v>12178.21350762527</ns0:v>
      </ns0:c>
      <ns0:c r="I247" s="7" t="n">
        <ns0:v>5683.006535947713</ns0:v>
      </ns0:c>
      <ns0:c r="J247" s="7" t="n">
        <ns0:v>2841.503267973857</ns0:v>
      </ns0:c>
      <ns0:c r="K247" s="7" t="n">
        <ns0:v>14</ns0:v>
      </ns0:c>
      <ns0:c r="L247" s="7" t="n">
        <ns0:v>29</ns0:v>
      </ns0:c>
      <ns0:c r="M247" s="7" t="n">
        <ns0:v>-672.0609865302577</ns0:v>
      </ns0:c>
      <ns0:c r="N247" s="7" t="n">
        <ns0:v>69176.27452831893</ns0:v>
      </ns0:c>
      <ns0:c r="O247" s="7" t="n">
        <ns0:v>151634.4139647368</ns0:v>
      </ns0:c>
      <ns0:c r="P247" s="7" t="n">
        <ns0:v>357779.7625557814</ns0:v>
      </ns0:c>
      <ns0:c r="Q247" s="7" t="n">
        <ns0:v>1140361.156919959</ns0:v>
      </ns0:c>
      <ns0:c r="R247" s="7" t="n">
        <ns0:v>3956396.037194584</ns0:v>
      </ns0:c>
    </ns0:row>
    <ns0:row r="248" ht="24" customHeight="1">
      <ns0:c r="A248" s="3" t="inlineStr">
        <ns0:is>
          <ns0:t>セット</ns0:t>
        </ns0:is>
      </ns0:c>
      <ns0:c r="B248" s="3" t="inlineStr">
        <ns0:is>
          <ns0:t>G0基本5000比較</ns0:t>
        </ns0:is>
      </ns0:c>
      <ns0:c r="C248" s="3" t="inlineStr">
        <ns0:is>
          <ns0:t>C</ns0:t>
        </ns0:is>
      </ns0:c>
      <ns0:c r="D248" s="4" t="n">
        <ns0:v>0</ns0:v>
      </ns0:c>
      <ns0:c r="E248" s="4" t="n">
        <ns0:v>500</ns0:v>
      </ns0:c>
      <ns0:c r="F248" s="6" t="n">
        <ns0:v>0.3</ns0:v>
      </ns0:c>
      <ns0:c r="G248" s="4" t="n">
        <ns0:v>0</ns0:v>
      </ns0:c>
      <ns0:c r="H248" s="7" t="n">
        <ns0:v>8065.857321652064</ns0:v>
      </ns0:c>
      <ns0:c r="I248" s="7" t="n">
        <ns0:v>5539.424280350438</ns0:v>
      </ns0:c>
      <ns0:c r="J248" s="7" t="n">
        <ns0:v>1661.827284105131</ns0:v>
      </ns0:c>
      <ns0:c r="K248" s="7" t="n">
        <ns0:v>15</ns0:v>
      </ns0:c>
      <ns0:c r="L248" s="7" t="n">
        <ns0:v>43</ns0:v>
      </ns0:c>
      <ns0:c r="M248" s="7" t="n">
        <ns0:v>-10494.14533626639</ns0:v>
      </ns0:c>
      <ns0:c r="N248" s="7" t="n">
        <ns0:v>71642.31184206417</ns0:v>
      </ns0:c>
      <ns0:c r="O248" s="7" t="n">
        <ns0:v>155744.4761543122</ns0:v>
      </ns0:c>
      <ns0:c r="P248" s="7" t="n">
        <ns0:v>365999.8869349321</ns0:v>
      </ns0:c>
      <ns0:c r="Q248" s="7" t="n">
        <ns0:v>1165021.530057412</ns0:v>
      </ns0:c>
      <ns0:c r="R248" s="7" t="n">
        <ns0:v>4038597.280986091</ns0:v>
      </ns0:c>
    </ns0:row>
    <ns0:row r="249" ht="24" customHeight="1">
      <ns0:c r="A249" s="3" t="inlineStr">
        <ns0:is>
          <ns0:t>セット</ns0:t>
        </ns0:is>
      </ns0:c>
      <ns0:c r="B249" s="3" t="inlineStr">
        <ns0:is>
          <ns0:t>G0基本5000比較</ns0:t>
        </ns0:is>
      </ns0:c>
      <ns0:c r="C249" s="3" t="inlineStr">
        <ns0:is>
          <ns0:t>C</ns0:t>
        </ns0:is>
      </ns0:c>
      <ns0:c r="D249" s="4" t="n">
        <ns0:v>0</ns0:v>
      </ns0:c>
      <ns0:c r="E249" s="4" t="n">
        <ns0:v>500</ns0:v>
      </ns0:c>
      <ns0:c r="F249" s="6" t="n">
        <ns0:v>0.3</ns0:v>
      </ns0:c>
      <ns0:c r="G249" s="4" t="n">
        <ns0:v>1</ns0:v>
      </ns0:c>
      <ns0:c r="H249" s="7" t="n">
        <ns0:v>8065.857321652064</ns0:v>
      </ns0:c>
      <ns0:c r="I249" s="7" t="n">
        <ns0:v>5539.424280350438</ns0:v>
      </ns0:c>
      <ns0:c r="J249" s="7" t="n">
        <ns0:v>1661.827284105131</ns0:v>
      </ns0:c>
      <ns0:c r="K249" s="7" t="n">
        <ns0:v>16</ns0:v>
      </ns0:c>
      <ns0:c r="L249" s="7" t="n">
        <ns0:v>129</ns0:v>
      </ns0:c>
      <ns0:c r="M249" s="7" t="n">
        <ns0:v>-14212.78574223723</ns0:v>
      </ns0:c>
      <ns0:c r="N249" s="7" t="n">
        <ns0:v>60486.39062415165</ns0:v>
      </ns0:c>
      <ns0:c r="O249" s="7" t="n">
        <ns0:v>137151.274124458</ns0:v>
      </ns0:c>
      <ns0:c r="P249" s="7" t="n">
        <ns0:v>328813.4828752237</ns0:v>
      </ns0:c>
      <ns0:c r="Q249" s="7" t="n">
        <ns0:v>1053462.317878287</ns0:v>
      </ns0:c>
      <ns0:c r="R249" s="7" t="n">
        <ns0:v>3666733.240389007</ns0:v>
      </ns0:c>
    </ns0:row>
    <ns0:row r="250" ht="24" customHeight="1">
      <ns0:c r="A250" s="3" t="inlineStr">
        <ns0:is>
          <ns0:t>セット</ns0:t>
        </ns0:is>
      </ns0:c>
      <ns0:c r="B250" s="3" t="inlineStr">
        <ns0:is>
          <ns0:t>G0基本5000比較</ns0:t>
        </ns0:is>
      </ns0:c>
      <ns0:c r="C250" s="3" t="inlineStr">
        <ns0:is>
          <ns0:t>C</ns0:t>
        </ns0:is>
      </ns0:c>
      <ns0:c r="D250" s="4" t="n">
        <ns0:v>0</ns0:v>
      </ns0:c>
      <ns0:c r="E250" s="4" t="n">
        <ns0:v>500</ns0:v>
      </ns0:c>
      <ns0:c r="F250" s="6" t="n">
        <ns0:v>0.3</ns0:v>
      </ns0:c>
      <ns0:c r="G250" s="4" t="n">
        <ns0:v>2</ns0:v>
      </ns0:c>
      <ns0:c r="H250" s="7" t="n">
        <ns0:v>8065.857321652064</ns0:v>
      </ns0:c>
      <ns0:c r="I250" s="7" t="n">
        <ns0:v>5539.424280350438</ns0:v>
      </ns0:c>
      <ns0:c r="J250" s="7" t="n">
        <ns0:v>1661.827284105131</ns0:v>
      </ns0:c>
      <ns0:c r="K250" s="7" t="n">
        <ns0:v>29</ns0:v>
      </ns0:c>
      <ns0:c r="L250" s="18" t="inlineStr">
        <ns0:is>
          <ns0:t>範囲内なし</ns0:t>
        </ns0:is>
      </ns0:c>
      <ns0:c r="M250" s="7" t="n">
        <ns0:v>-33335.59430874368</ns0:v>
      </ns0:c>
      <ns0:c r="N250" s="7" t="n">
        <ns0:v>3117.964924632324</ns0:v>
      </ns0:c>
      <ns0:c r="O250" s="7" t="n">
        <ns0:v>41537.23129192577</ns0:v>
      </ns0:c>
      <ns0:c r="P250" s="7" t="n">
        <ns0:v>137585.3972101593</ns0:v>
      </ns0:c>
      <ns0:c r="Q250" s="7" t="n">
        <ns0:v>479778.0608830936</ns0:v>
      </ns0:c>
      <ns0:c r="R250" s="7" t="n">
        <ns0:v>1754452.383738363</ns0:v>
      </ns0:c>
    </ns0:row>
    <ns0:row r="251" ht="24" customHeight="1">
      <ns0:c r="A251" s="3" t="inlineStr">
        <ns0:is>
          <ns0:t>セット</ns0:t>
        </ns0:is>
      </ns0:c>
      <ns0:c r="B251" s="3" t="inlineStr">
        <ns0:is>
          <ns0:t>G0基本5000比較</ns0:t>
        </ns0:is>
      </ns0:c>
      <ns0:c r="C251" s="3" t="inlineStr">
        <ns0:is>
          <ns0:t>C</ns0:t>
        </ns0:is>
      </ns0:c>
      <ns0:c r="D251" s="4" t="n">
        <ns0:v>0</ns0:v>
      </ns0:c>
      <ns0:c r="E251" s="4" t="n">
        <ns0:v>500</ns0:v>
      </ns0:c>
      <ns0:c r="F251" s="6" t="n">
        <ns0:v>0.3</ns0:v>
      </ns0:c>
      <ns0:c r="G251" s="4" t="n">
        <ns0:v>3</ns0:v>
      </ns0:c>
      <ns0:c r="H251" s="7" t="n">
        <ns0:v>8065.857321652064</ns0:v>
      </ns0:c>
      <ns0:c r="I251" s="7" t="n">
        <ns0:v>5539.424280350438</ns0:v>
      </ns0:c>
      <ns0:c r="J251" s="7" t="n">
        <ns0:v>1661.827284105131</ns0:v>
      </ns0:c>
      <ns0:c r="K251" s="7" t="n">
        <ns0:v>20</ns0:v>
      </ns0:c>
      <ns0:c r="L251" s="18" t="inlineStr">
        <ns0:is>
          <ns0:t>範囲内なし</ns0:t>
        </ns0:is>
      </ns0:c>
      <ns0:c r="M251" s="7" t="n">
        <ns0:v>-22781.89264280793</ns0:v>
      </ns0:c>
      <ns0:c r="N251" s="7" t="n">
        <ns0:v>34779.06992243956</ns0:v>
      </ns0:c>
      <ns0:c r="O251" s="7" t="n">
        <ns0:v>94305.73962160452</ns0:v>
      </ns0:c>
      <ns0:c r="P251" s="7" t="n">
        <ns0:v>243122.4138695168</ns0:v>
      </ns0:c>
      <ns0:c r="Q251" s="7" t="n">
        <ns0:v>796389.110861166</ns0:v>
      </ns0:c>
      <ns0:c r="R251" s="7" t="n">
        <ns0:v>2809822.550331938</ns0:v>
      </ns0:c>
    </ns0:row>
    <ns0:row r="252" ht="24" customHeight="1">
      <ns0:c r="A252" s="3" t="inlineStr">
        <ns0:is>
          <ns0:t>セット</ns0:t>
        </ns0:is>
      </ns0:c>
      <ns0:c r="B252" s="3" t="inlineStr">
        <ns0:is>
          <ns0:t>G0基本5000比較</ns0:t>
        </ns0:is>
      </ns0:c>
      <ns0:c r="C252" s="3" t="inlineStr">
        <ns0:is>
          <ns0:t>C</ns0:t>
        </ns0:is>
      </ns0:c>
      <ns0:c r="D252" s="4" t="n">
        <ns0:v>0</ns0:v>
      </ns0:c>
      <ns0:c r="E252" s="4" t="n">
        <ns0:v>500</ns0:v>
      </ns0:c>
      <ns0:c r="F252" s="6" t="n">
        <ns0:v>0.4</ns0:v>
      </ns0:c>
      <ns0:c r="G252" s="4" t="n">
        <ns0:v>0</ns0:v>
      </ns0:c>
      <ns0:c r="H252" s="7" t="n">
        <ns0:v>8065.857321652064</ns0:v>
      </ns0:c>
      <ns0:c r="I252" s="7" t="n">
        <ns0:v>5539.424280350438</ns0:v>
      </ns0:c>
      <ns0:c r="J252" s="7" t="n">
        <ns0:v>2215.769712140175</ns0:v>
      </ns0:c>
      <ns0:c r="K252" s="7" t="n">
        <ns0:v>17</ns0:v>
      </ns0:c>
      <ns0:c r="L252" s="7" t="n">
        <ns0:v>49</ns0:v>
      </ns0:c>
      <ns0:c r="M252" s="7" t="n">
        <ns0:v>-16033.56961661684</ns0:v>
      </ns0:c>
      <ns0:c r="N252" s="7" t="n">
        <ns0:v>55024.03900101286</ns0:v>
      </ns0:c>
      <ns0:c r="O252" s="7" t="n">
        <ns0:v>128047.35475256</ns0:v>
      </ns0:c>
      <ns0:c r="P252" s="7" t="n">
        <ns0:v>310605.6441314279</ns0:v>
      </ns0:c>
      <ns0:c r="Q252" s="7" t="n">
        <ns0:v>998838.8016468992</ns0:v>
      </ns0:c>
      <ns0:c r="R252" s="7" t="n">
        <ns0:v>3484654.852951048</ns0:v>
      </ns0:c>
    </ns0:row>
    <ns0:row r="253" ht="24" customHeight="1">
      <ns0:c r="A253" s="3" t="inlineStr">
        <ns0:is>
          <ns0:t>セット</ns0:t>
        </ns0:is>
      </ns0:c>
      <ns0:c r="B253" s="3" t="inlineStr">
        <ns0:is>
          <ns0:t>G0基本5000比較</ns0:t>
        </ns0:is>
      </ns0:c>
      <ns0:c r="C253" s="3" t="inlineStr">
        <ns0:is>
          <ns0:t>C</ns0:t>
        </ns0:is>
      </ns0:c>
      <ns0:c r="D253" s="4" t="n">
        <ns0:v>0</ns0:v>
      </ns0:c>
      <ns0:c r="E253" s="4" t="n">
        <ns0:v>500</ns0:v>
      </ns0:c>
      <ns0:c r="F253" s="6" t="n">
        <ns0:v>0.4</ns0:v>
      </ns0:c>
      <ns0:c r="G253" s="4" t="n">
        <ns0:v>1</ns0:v>
      </ns0:c>
      <ns0:c r="H253" s="7" t="n">
        <ns0:v>8065.857321652064</ns0:v>
      </ns0:c>
      <ns0:c r="I253" s="7" t="n">
        <ns0:v>5539.424280350438</ns0:v>
      </ns0:c>
      <ns0:c r="J253" s="7" t="n">
        <ns0:v>2215.769712140175</ns0:v>
      </ns0:c>
      <ns0:c r="K253" s="7" t="n">
        <ns0:v>19</ns0:v>
      </ns0:c>
      <ns0:c r="L253" s="7" t="n">
        <ns0:v>165</ns0:v>
      </ns0:c>
      <ns0:c r="M253" s="7" t="n">
        <ns0:v>-19752.21002258768</ns0:v>
      </ns0:c>
      <ns0:c r="N253" s="7" t="n">
        <ns0:v>43868.11778310034</ns0:v>
      </ns0:c>
      <ns0:c r="O253" s="7" t="n">
        <ns0:v>109454.1527227058</ns0:v>
      </ns0:c>
      <ns0:c r="P253" s="7" t="n">
        <ns0:v>273419.2400717194</ns0:v>
      </ns0:c>
      <ns0:c r="Q253" s="7" t="n">
        <ns0:v>887279.5894677739</ns0:v>
      </ns0:c>
      <ns0:c r="R253" s="7" t="n">
        <ns0:v>3112790.812353964</ns0:v>
      </ns0:c>
    </ns0:row>
    <ns0:row r="254" ht="24" customHeight="1">
      <ns0:c r="A254" s="3" t="inlineStr">
        <ns0:is>
          <ns0:t>セット</ns0:t>
        </ns0:is>
      </ns0:c>
      <ns0:c r="B254" s="3" t="inlineStr">
        <ns0:is>
          <ns0:t>G0基本5000比較</ns0:t>
        </ns0:is>
      </ns0:c>
      <ns0:c r="C254" s="3" t="inlineStr">
        <ns0:is>
          <ns0:t>C</ns0:t>
        </ns0:is>
      </ns0:c>
      <ns0:c r="D254" s="4" t="n">
        <ns0:v>0</ns0:v>
      </ns0:c>
      <ns0:c r="E254" s="4" t="n">
        <ns0:v>500</ns0:v>
      </ns0:c>
      <ns0:c r="F254" s="6" t="n">
        <ns0:v>0.4</ns0:v>
      </ns0:c>
      <ns0:c r="G254" s="4" t="n">
        <ns0:v>2</ns0:v>
      </ns0:c>
      <ns0:c r="H254" s="7" t="n">
        <ns0:v>8065.857321652064</ns0:v>
      </ns0:c>
      <ns0:c r="I254" s="7" t="n">
        <ns0:v>5539.424280350438</ns0:v>
      </ns0:c>
      <ns0:c r="J254" s="7" t="n">
        <ns0:v>2215.769712140175</ns0:v>
      </ns0:c>
      <ns0:c r="K254" s="7" t="n">
        <ns0:v>40</ns0:v>
      </ns0:c>
      <ns0:c r="L254" s="18" t="inlineStr">
        <ns0:is>
          <ns0:t>範囲内なし</ns0:t>
        </ns0:is>
      </ns0:c>
      <ns0:c r="M254" s="7" t="n">
        <ns0:v>-38875.01858909413</ns0:v>
      </ns0:c>
      <ns0:c r="N254" s="7" t="n">
        <ns0:v>-13500.307916419</ns0:v>
      </ns0:c>
      <ns0:c r="O254" s="7" t="n">
        <ns0:v>13840.1098901736</ns0:v>
      </ns0:c>
      <ns0:c r="P254" s="7" t="n">
        <ns0:v>82191.154406655</ns0:v>
      </ns0:c>
      <ns0:c r="Q254" s="7" t="n">
        <ns0:v>313595.3324725806</ns0:v>
      </ns0:c>
      <ns0:c r="R254" s="7" t="n">
        <ns0:v>1200509.95570332</ns0:v>
      </ns0:c>
    </ns0:row>
    <ns0:row r="255" ht="24" customHeight="1">
      <ns0:c r="A255" s="3" t="inlineStr">
        <ns0:is>
          <ns0:t>セット</ns0:t>
        </ns0:is>
      </ns0:c>
      <ns0:c r="B255" s="3" t="inlineStr">
        <ns0:is>
          <ns0:t>G0基本5000比較</ns0:t>
        </ns0:is>
      </ns0:c>
      <ns0:c r="C255" s="3" t="inlineStr">
        <ns0:is>
          <ns0:t>C</ns0:t>
        </ns0:is>
      </ns0:c>
      <ns0:c r="D255" s="4" t="n">
        <ns0:v>0</ns0:v>
      </ns0:c>
      <ns0:c r="E255" s="4" t="n">
        <ns0:v>500</ns0:v>
      </ns0:c>
      <ns0:c r="F255" s="6" t="n">
        <ns0:v>0.4</ns0:v>
      </ns0:c>
      <ns0:c r="G255" s="4" t="n">
        <ns0:v>3</ns0:v>
      </ns0:c>
      <ns0:c r="H255" s="7" t="n">
        <ns0:v>8065.857321652064</ns0:v>
      </ns0:c>
      <ns0:c r="I255" s="7" t="n">
        <ns0:v>5539.424280350438</ns0:v>
      </ns0:c>
      <ns0:c r="J255" s="7" t="n">
        <ns0:v>2215.769712140175</ns0:v>
      </ns0:c>
      <ns0:c r="K255" s="7" t="n">
        <ns0:v>23</ns0:v>
      </ns0:c>
      <ns0:c r="L255" s="18" t="inlineStr">
        <ns0:is>
          <ns0:t>範囲内なし</ns0:t>
        </ns0:is>
      </ns0:c>
      <ns0:c r="M255" s="7" t="n">
        <ns0:v>-28321.31692315837</ns0:v>
      </ns0:c>
      <ns0:c r="N255" s="7" t="n">
        <ns0:v>18160.79708138826</ns0:v>
      </ns0:c>
      <ns0:c r="O255" s="7" t="n">
        <ns0:v>66608.61821985236</ns0:v>
      </ns0:c>
      <ns0:c r="P255" s="7" t="n">
        <ns0:v>187728.1710660125</ns0:v>
      </ns0:c>
      <ns0:c r="Q255" s="7" t="n">
        <ns0:v>630206.382450653</ns0:v>
      </ns0:c>
      <ns0:c r="R255" s="7" t="n">
        <ns0:v>2255880.122296895</ns0:v>
      </ns0:c>
    </ns0:row>
    <ns0:row r="256" ht="24" customHeight="1">
      <ns0:c r="A256" s="3" t="inlineStr">
        <ns0:is>
          <ns0:t>セット</ns0:t>
        </ns0:is>
      </ns0:c>
      <ns0:c r="B256" s="3" t="inlineStr">
        <ns0:is>
          <ns0:t>G0基本5000比較</ns0:t>
        </ns0:is>
      </ns0:c>
      <ns0:c r="C256" s="3" t="inlineStr">
        <ns0:is>
          <ns0:t>C</ns0:t>
        </ns0:is>
      </ns0:c>
      <ns0:c r="D256" s="4" t="n">
        <ns0:v>0</ns0:v>
      </ns0:c>
      <ns0:c r="E256" s="4" t="n">
        <ns0:v>500</ns0:v>
      </ns0:c>
      <ns0:c r="F256" s="6" t="n">
        <ns0:v>0.5</ns0:v>
      </ns0:c>
      <ns0:c r="G256" s="4" t="n">
        <ns0:v>0</ns0:v>
      </ns0:c>
      <ns0:c r="H256" s="7" t="n">
        <ns0:v>8065.857321652064</ns0:v>
      </ns0:c>
      <ns0:c r="I256" s="7" t="n">
        <ns0:v>5539.424280350438</ns0:v>
      </ns0:c>
      <ns0:c r="J256" s="7" t="n">
        <ns0:v>2769.712140175219</ns0:v>
      </ns0:c>
      <ns0:c r="K256" s="7" t="n">
        <ns0:v>19</ns0:v>
      </ns0:c>
      <ns0:c r="L256" s="7" t="n">
        <ns0:v>56</ns0:v>
      </ns0:c>
      <ns0:c r="M256" s="7" t="n">
        <ns0:v>-21572.99389696728</ns0:v>
      </ns0:c>
      <ns0:c r="N256" s="7" t="n">
        <ns0:v>38405.76615996157</ns0:v>
      </ns0:c>
      <ns0:c r="O256" s="7" t="n">
        <ns0:v>100350.2333508078</ns0:v>
      </ns0:c>
      <ns0:c r="P256" s="7" t="n">
        <ns0:v>255211.4013279235</ns0:v>
      </ns0:c>
      <ns0:c r="Q256" s="7" t="n">
        <ns0:v>832656.0732363857</ns0:v>
      </ns0:c>
      <ns0:c r="R256" s="7" t="n">
        <ns0:v>2930712.424916005</ns0:v>
      </ns0:c>
    </ns0:row>
    <ns0:row r="257" ht="24" customHeight="1">
      <ns0:c r="A257" s="3" t="inlineStr">
        <ns0:is>
          <ns0:t>セット</ns0:t>
        </ns0:is>
      </ns0:c>
      <ns0:c r="B257" s="3" t="inlineStr">
        <ns0:is>
          <ns0:t>G0基本5000比較</ns0:t>
        </ns0:is>
      </ns0:c>
      <ns0:c r="C257" s="3" t="inlineStr">
        <ns0:is>
          <ns0:t>C</ns0:t>
        </ns0:is>
      </ns0:c>
      <ns0:c r="D257" s="4" t="n">
        <ns0:v>0</ns0:v>
      </ns0:c>
      <ns0:c r="E257" s="4" t="n">
        <ns0:v>500</ns0:v>
      </ns0:c>
      <ns0:c r="F257" s="6" t="n">
        <ns0:v>0.5</ns0:v>
      </ns0:c>
      <ns0:c r="G257" s="4" t="n">
        <ns0:v>1</ns0:v>
      </ns0:c>
      <ns0:c r="H257" s="7" t="n">
        <ns0:v>8065.857321652064</ns0:v>
      </ns0:c>
      <ns0:c r="I257" s="7" t="n">
        <ns0:v>5539.424280350438</ns0:v>
      </ns0:c>
      <ns0:c r="J257" s="7" t="n">
        <ns0:v>2769.712140175219</ns0:v>
      </ns0:c>
      <ns0:c r="K257" s="7" t="n">
        <ns0:v>21</ns0:v>
      </ns0:c>
      <ns0:c r="L257" s="7" t="n">
        <ns0:v>228</ns0:v>
      </ns0:c>
      <ns0:c r="M257" s="7" t="n">
        <ns0:v>-25291.63430293812</ns0:v>
      </ns0:c>
      <ns0:c r="N257" s="7" t="n">
        <ns0:v>27249.84494204904</ns0:v>
      </ns0:c>
      <ns0:c r="O257" s="7" t="n">
        <ns0:v>81757.03132095363</ns0:v>
      </ns0:c>
      <ns0:c r="P257" s="7" t="n">
        <ns0:v>218024.9972682151</ns0:v>
      </ns0:c>
      <ns0:c r="Q257" s="7" t="n">
        <ns0:v>721096.8610572604</ns0:v>
      </ns0:c>
      <ns0:c r="R257" s="7" t="n">
        <ns0:v>2558848.384318921</ns0:v>
      </ns0:c>
    </ns0:row>
    <ns0:row r="258" ht="24" customHeight="1">
      <ns0:c r="A258" s="3" t="inlineStr">
        <ns0:is>
          <ns0:t>セット</ns0:t>
        </ns0:is>
      </ns0:c>
      <ns0:c r="B258" s="3" t="inlineStr">
        <ns0:is>
          <ns0:t>G0基本5000比較</ns0:t>
        </ns0:is>
      </ns0:c>
      <ns0:c r="C258" s="3" t="inlineStr">
        <ns0:is>
          <ns0:t>C</ns0:t>
        </ns0:is>
      </ns0:c>
      <ns0:c r="D258" s="4" t="n">
        <ns0:v>0</ns0:v>
      </ns0:c>
      <ns0:c r="E258" s="4" t="n">
        <ns0:v>500</ns0:v>
      </ns0:c>
      <ns0:c r="F258" s="6" t="n">
        <ns0:v>0.5</ns0:v>
      </ns0:c>
      <ns0:c r="G258" s="4" t="n">
        <ns0:v>2</ns0:v>
      </ns0:c>
      <ns0:c r="H258" s="7" t="n">
        <ns0:v>8065.857321652064</ns0:v>
      </ns0:c>
      <ns0:c r="I258" s="7" t="n">
        <ns0:v>5539.424280350438</ns0:v>
      </ns0:c>
      <ns0:c r="J258" s="7" t="n">
        <ns0:v>2769.712140175219</ns0:v>
      </ns0:c>
      <ns0:c r="K258" s="7" t="n">
        <ns0:v>119</ns0:v>
      </ns0:c>
      <ns0:c r="L258" s="18" t="inlineStr">
        <ns0:is>
          <ns0:t>範囲内なし</ns0:t>
        </ns0:is>
      </ns0:c>
      <ns0:c r="M258" s="7" t="n">
        <ns0:v>-44414.44286944456</ns0:v>
      </ns0:c>
      <ns0:c r="N258" s="7" t="n">
        <ns0:v>-30118.58075747029</ns0:v>
      </ns0:c>
      <ns0:c r="O258" s="7" t="n">
        <ns0:v>-13857.01151157857</ns0:v>
      </ns0:c>
      <ns0:c r="P258" s="7" t="n">
        <ns0:v>26796.91160315063</ns0:v>
      </ns0:c>
      <ns0:c r="Q258" s="7" t="n">
        <ns0:v>147412.6040620672</ns0:v>
      </ns0:c>
      <ns0:c r="R258" s="7" t="n">
        <ns0:v>646567.5276682763</ns0:v>
      </ns0:c>
    </ns0:row>
    <ns0:row r="259" ht="24" customHeight="1">
      <ns0:c r="A259" s="3" t="inlineStr">
        <ns0:is>
          <ns0:t>セット</ns0:t>
        </ns0:is>
      </ns0:c>
      <ns0:c r="B259" s="3" t="inlineStr">
        <ns0:is>
          <ns0:t>G0基本5000比較</ns0:t>
        </ns0:is>
      </ns0:c>
      <ns0:c r="C259" s="3" t="inlineStr">
        <ns0:is>
          <ns0:t>C</ns0:t>
        </ns0:is>
      </ns0:c>
      <ns0:c r="D259" s="4" t="n">
        <ns0:v>0</ns0:v>
      </ns0:c>
      <ns0:c r="E259" s="4" t="n">
        <ns0:v>500</ns0:v>
      </ns0:c>
      <ns0:c r="F259" s="6" t="n">
        <ns0:v>0.5</ns0:v>
      </ns0:c>
      <ns0:c r="G259" s="4" t="n">
        <ns0:v>3</ns0:v>
      </ns0:c>
      <ns0:c r="H259" s="7" t="n">
        <ns0:v>8065.857321652064</ns0:v>
      </ns0:c>
      <ns0:c r="I259" s="7" t="n">
        <ns0:v>5539.424280350438</ns0:v>
      </ns0:c>
      <ns0:c r="J259" s="7" t="n">
        <ns0:v>2769.712140175219</ns0:v>
      </ns0:c>
      <ns0:c r="K259" s="7" t="n">
        <ns0:v>30</ns0:v>
      </ns0:c>
      <ns0:c r="L259" s="18" t="inlineStr">
        <ns0:is>
          <ns0:t>範囲内なし</ns0:t>
        </ns0:is>
      </ns0:c>
      <ns0:c r="M259" s="7" t="n">
        <ns0:v>-33860.74120350881</ns0:v>
      </ns0:c>
      <ns0:c r="N259" s="7" t="n">
        <ns0:v>1542.524240336956</ns0:v>
      </ns0:c>
      <ns0:c r="O259" s="7" t="n">
        <ns0:v>38911.49681810017</ns0:v>
      </ns0:c>
      <ns0:c r="P259" s="7" t="n">
        <ns0:v>132333.9282625081</ns0:v>
      </ns0:c>
      <ns0:c r="Q259" s="7" t="n">
        <ns0:v>464023.6540401396</ns0:v>
      </ns0:c>
      <ns0:c r="R259" s="7" t="n">
        <ns0:v>1701937.694261851</ns0:v>
      </ns0:c>
    </ns0:row>
    <ns0:row r="260" ht="24" customHeight="1">
      <ns0:c r="A260" s="3" t="inlineStr">
        <ns0:is>
          <ns0:t>セット</ns0:t>
        </ns0:is>
      </ns0:c>
      <ns0:c r="B260" s="3" t="inlineStr">
        <ns0:is>
          <ns0:t>G0基本5000比較</ns0:t>
        </ns0:is>
      </ns0:c>
      <ns0:c r="C260" s="3" t="inlineStr">
        <ns0:is>
          <ns0:t>C</ns0:t>
        </ns0:is>
      </ns0:c>
      <ns0:c r="D260" s="4" t="n">
        <ns0:v>0</ns0:v>
      </ns0:c>
      <ns0:c r="E260" s="4" t="n">
        <ns0:v>1000</ns0:v>
      </ns0:c>
      <ns0:c r="F260" s="6" t="n">
        <ns0:v>0.3</ns0:v>
      </ns0:c>
      <ns0:c r="G260" s="4" t="n">
        <ns0:v>0</ns0:v>
      </ns0:c>
      <ns0:c r="H260" s="7" t="n">
        <ns0:v>7565.857321652064</ns0:v>
      </ns0:c>
      <ns0:c r="I260" s="7" t="n">
        <ns0:v>5039.424280350438</ns0:v>
      </ns0:c>
      <ns0:c r="J260" s="7" t="n">
        <ns0:v>1511.827284105131</ns0:v>
      </ns0:c>
      <ns0:c r="K260" s="7" t="n">
        <ns0:v>16</ns0:v>
      </ns0:c>
      <ns0:c r="L260" s="7" t="n">
        <ns0:v>46</ns0:v>
      </ns0:c>
      <ns0:c r="M260" s="7" t="n">
        <ns0:v>-13814.1453362664</ns0:v>
      </ns0:c>
      <ns0:c r="N260" s="7" t="n">
        <ns0:v>61682.31184206423</ns0:v>
      </ns0:c>
      <ns0:c r="O260" s="7" t="n">
        <ns0:v>139144.4761543123</ns0:v>
      </ns0:c>
      <ns0:c r="P260" s="7" t="n">
        <ns0:v>332799.8869349323</ns0:v>
      </ns0:c>
      <ns0:c r="Q260" s="7" t="n">
        <ns0:v>1065421.530057413</ns0:v>
      </ns0:c>
      <ns0:c r="R260" s="7" t="n">
        <ns0:v>3706597.280986093</ns0:v>
      </ns0:c>
    </ns0:row>
    <ns0:row r="261" ht="24" customHeight="1">
      <ns0:c r="A261" s="3" t="inlineStr">
        <ns0:is>
          <ns0:t>セット</ns0:t>
        </ns0:is>
      </ns0:c>
      <ns0:c r="B261" s="3" t="inlineStr">
        <ns0:is>
          <ns0:t>G0基本5000比較</ns0:t>
        </ns0:is>
      </ns0:c>
      <ns0:c r="C261" s="3" t="inlineStr">
        <ns0:is>
          <ns0:t>C</ns0:t>
        </ns0:is>
      </ns0:c>
      <ns0:c r="D261" s="4" t="n">
        <ns0:v>0</ns0:v>
      </ns0:c>
      <ns0:c r="E261" s="4" t="n">
        <ns0:v>1000</ns0:v>
      </ns0:c>
      <ns0:c r="F261" s="6" t="n">
        <ns0:v>0.3</ns0:v>
      </ns0:c>
      <ns0:c r="G261" s="4" t="n">
        <ns0:v>1</ns0:v>
      </ns0:c>
      <ns0:c r="H261" s="7" t="n">
        <ns0:v>7565.857321652064</ns0:v>
      </ns0:c>
      <ns0:c r="I261" s="7" t="n">
        <ns0:v>5039.424280350438</ns0:v>
      </ns0:c>
      <ns0:c r="J261" s="7" t="n">
        <ns0:v>1511.827284105131</ns0:v>
      </ns0:c>
      <ns0:c r="K261" s="7" t="n">
        <ns0:v>18</ns0:v>
      </ns0:c>
      <ns0:c r="L261" s="7" t="n">
        <ns0:v>148</ns0:v>
      </ns0:c>
      <ns0:c r="M261" s="7" t="n">
        <ns0:v>-17532.78574223724</ns0:v>
      </ns0:c>
      <ns0:c r="N261" s="7" t="n">
        <ns0:v>50526.3906241517</ns0:v>
      </ns0:c>
      <ns0:c r="O261" s="7" t="n">
        <ns0:v>120551.2741244581</ns0:v>
      </ns0:c>
      <ns0:c r="P261" s="7" t="n">
        <ns0:v>295613.4828752239</ns0:v>
      </ns0:c>
      <ns0:c r="Q261" s="7" t="n">
        <ns0:v>953862.3178782874</ns0:v>
      </ns0:c>
      <ns0:c r="R261" s="7" t="n">
        <ns0:v>3334733.240389009</ns0:v>
      </ns0:c>
    </ns0:row>
    <ns0:row r="262" ht="24" customHeight="1">
      <ns0:c r="A262" s="3" t="inlineStr">
        <ns0:is>
          <ns0:t>セット</ns0:t>
        </ns0:is>
      </ns0:c>
      <ns0:c r="B262" s="3" t="inlineStr">
        <ns0:is>
          <ns0:t>G0基本5000比較</ns0:t>
        </ns0:is>
      </ns0:c>
      <ns0:c r="C262" s="3" t="inlineStr">
        <ns0:is>
          <ns0:t>C</ns0:t>
        </ns0:is>
      </ns0:c>
      <ns0:c r="D262" s="4" t="n">
        <ns0:v>0</ns0:v>
      </ns0:c>
      <ns0:c r="E262" s="4" t="n">
        <ns0:v>1000</ns0:v>
      </ns0:c>
      <ns0:c r="F262" s="6" t="n">
        <ns0:v>0.3</ns0:v>
      </ns0:c>
      <ns0:c r="G262" s="4" t="n">
        <ns0:v>2</ns0:v>
      </ns0:c>
      <ns0:c r="H262" s="7" t="n">
        <ns0:v>7565.857321652064</ns0:v>
      </ns0:c>
      <ns0:c r="I262" s="7" t="n">
        <ns0:v>5039.424280350438</ns0:v>
      </ns0:c>
      <ns0:c r="J262" s="7" t="n">
        <ns0:v>1511.827284105131</ns0:v>
      </ns0:c>
      <ns0:c r="K262" s="7" t="n">
        <ns0:v>35</ns0:v>
      </ns0:c>
      <ns0:c r="L262" s="18" t="inlineStr">
        <ns0:is>
          <ns0:t>範囲内なし</ns0:t>
        </ns0:is>
      </ns0:c>
      <ns0:c r="M262" s="7" t="n">
        <ns0:v>-36655.59430874368</ns0:v>
      </ns0:c>
      <ns0:c r="N262" s="7" t="n">
        <ns0:v>-6842.035075367632</ns0:v>
      </ns0:c>
      <ns0:c r="O262" s="7" t="n">
        <ns0:v>24937.23129192585</ns0:v>
      </ns0:c>
      <ns0:c r="P262" s="7" t="n">
        <ns0:v>104385.3972101595</ns0:v>
      </ns0:c>
      <ns0:c r="Q262" s="7" t="n">
        <ns0:v>380178.0608830941</ns0:v>
      </ns0:c>
      <ns0:c r="R262" s="7" t="n">
        <ns0:v>1422452.383738365</ns0:v>
      </ns0:c>
    </ns0:row>
    <ns0:row r="263" ht="24" customHeight="1">
      <ns0:c r="A263" s="3" t="inlineStr">
        <ns0:is>
          <ns0:t>セット</ns0:t>
        </ns0:is>
      </ns0:c>
      <ns0:c r="B263" s="3" t="inlineStr">
        <ns0:is>
          <ns0:t>G0基本5000比較</ns0:t>
        </ns0:is>
      </ns0:c>
      <ns0:c r="C263" s="3" t="inlineStr">
        <ns0:is>
          <ns0:t>C</ns0:t>
        </ns0:is>
      </ns0:c>
      <ns0:c r="D263" s="4" t="n">
        <ns0:v>0</ns0:v>
      </ns0:c>
      <ns0:c r="E263" s="4" t="n">
        <ns0:v>1000</ns0:v>
      </ns0:c>
      <ns0:c r="F263" s="6" t="n">
        <ns0:v>0.3</ns0:v>
      </ns0:c>
      <ns0:c r="G263" s="4" t="n">
        <ns0:v>3</ns0:v>
      </ns0:c>
      <ns0:c r="H263" s="7" t="n">
        <ns0:v>7565.857321652064</ns0:v>
      </ns0:c>
      <ns0:c r="I263" s="7" t="n">
        <ns0:v>5039.424280350438</ns0:v>
      </ns0:c>
      <ns0:c r="J263" s="7" t="n">
        <ns0:v>1511.827284105131</ns0:v>
      </ns0:c>
      <ns0:c r="K263" s="7" t="n">
        <ns0:v>22</ns0:v>
      </ns0:c>
      <ns0:c r="L263" s="18" t="inlineStr">
        <ns0:is>
          <ns0:t>範囲内なし</ns0:t>
        </ns0:is>
      </ns0:c>
      <ns0:c r="M263" s="7" t="n">
        <ns0:v>-26101.89264280794</ns0:v>
      </ns0:c>
      <ns0:c r="N263" s="7" t="n">
        <ns0:v>24819.06992243962</ns0:v>
      </ns0:c>
      <ns0:c r="O263" s="7" t="n">
        <ns0:v>77705.73962160459</ns0:v>
      </ns0:c>
      <ns0:c r="P263" s="7" t="n">
        <ns0:v>209922.413869517</ns0:v>
      </ns0:c>
      <ns0:c r="Q263" s="7" t="n">
        <ns0:v>696789.1108611666</ns0:v>
      </ns0:c>
      <ns0:c r="R263" s="7" t="n">
        <ns0:v>2477822.550331939</ns0:v>
      </ns0:c>
    </ns0:row>
    <ns0:row r="264" ht="24" customHeight="1">
      <ns0:c r="A264" s="3" t="inlineStr">
        <ns0:is>
          <ns0:t>セット</ns0:t>
        </ns0:is>
      </ns0:c>
      <ns0:c r="B264" s="3" t="inlineStr">
        <ns0:is>
          <ns0:t>G0基本5000比較</ns0:t>
        </ns0:is>
      </ns0:c>
      <ns0:c r="C264" s="3" t="inlineStr">
        <ns0:is>
          <ns0:t>C</ns0:t>
        </ns0:is>
      </ns0:c>
      <ns0:c r="D264" s="4" t="n">
        <ns0:v>0</ns0:v>
      </ns0:c>
      <ns0:c r="E264" s="4" t="n">
        <ns0:v>1000</ns0:v>
      </ns0:c>
      <ns0:c r="F264" s="6" t="n">
        <ns0:v>0.4</ns0:v>
      </ns0:c>
      <ns0:c r="G264" s="4" t="n">
        <ns0:v>0</ns0:v>
      </ns0:c>
      <ns0:c r="H264" s="7" t="n">
        <ns0:v>7565.857321652064</ns0:v>
      </ns0:c>
      <ns0:c r="I264" s="7" t="n">
        <ns0:v>5039.424280350438</ns0:v>
      </ns0:c>
      <ns0:c r="J264" s="7" t="n">
        <ns0:v>2015.769712140175</ns0:v>
      </ns0:c>
      <ns0:c r="K264" s="7" t="n">
        <ns0:v>18</ns0:v>
      </ns0:c>
      <ns0:c r="L264" s="7" t="n">
        <ns0:v>52</ns0:v>
      </ns0:c>
      <ns0:c r="M264" s="7" t="n">
        <ns0:v>-18853.56961661685</ns0:v>
      </ns0:c>
      <ns0:c r="N264" s="7" t="n">
        <ns0:v>46564.0390010129</ns0:v>
      </ns0:c>
      <ns0:c r="O264" s="7" t="n">
        <ns0:v>113947.35475256</ns0:v>
      </ns0:c>
      <ns0:c r="P264" s="7" t="n">
        <ns0:v>282405.6441314278</ns0:v>
      </ns0:c>
      <ns0:c r="Q264" s="7" t="n">
        <ns0:v>914238.8016468994</ns0:v>
      </ns0:c>
      <ns0:c r="R264" s="7" t="n">
        <ns0:v>3202654.852951048</ns0:v>
      </ns0:c>
    </ns0:row>
    <ns0:row r="265" ht="24" customHeight="1">
      <ns0:c r="A265" s="3" t="inlineStr">
        <ns0:is>
          <ns0:t>セット</ns0:t>
        </ns0:is>
      </ns0:c>
      <ns0:c r="B265" s="3" t="inlineStr">
        <ns0:is>
          <ns0:t>G0基本5000比較</ns0:t>
        </ns0:is>
      </ns0:c>
      <ns0:c r="C265" s="3" t="inlineStr">
        <ns0:is>
          <ns0:t>C</ns0:t>
        </ns0:is>
      </ns0:c>
      <ns0:c r="D265" s="4" t="n">
        <ns0:v>0</ns0:v>
      </ns0:c>
      <ns0:c r="E265" s="4" t="n">
        <ns0:v>1000</ns0:v>
      </ns0:c>
      <ns0:c r="F265" s="6" t="n">
        <ns0:v>0.4</ns0:v>
      </ns0:c>
      <ns0:c r="G265" s="4" t="n">
        <ns0:v>1</ns0:v>
      </ns0:c>
      <ns0:c r="H265" s="7" t="n">
        <ns0:v>7565.857321652064</ns0:v>
      </ns0:c>
      <ns0:c r="I265" s="7" t="n">
        <ns0:v>5039.424280350438</ns0:v>
      </ns0:c>
      <ns0:c r="J265" s="7" t="n">
        <ns0:v>2015.769712140175</ns0:v>
      </ns0:c>
      <ns0:c r="K265" s="7" t="n">
        <ns0:v>20</ns0:v>
      </ns0:c>
      <ns0:c r="L265" s="7" t="n">
        <ns0:v>192</ns0:v>
      </ns0:c>
      <ns0:c r="M265" s="7" t="n">
        <ns0:v>-22572.21002258769</ns0:v>
      </ns0:c>
      <ns0:c r="N265" s="7" t="n">
        <ns0:v>35408.11778310037</ns0:v>
      </ns0:c>
      <ns0:c r="O265" s="7" t="n">
        <ns0:v>95354.1527227058</ns0:v>
      </ns0:c>
      <ns0:c r="P265" s="7" t="n">
        <ns0:v>245219.2400717194</ns0:v>
      </ns0:c>
      <ns0:c r="Q265" s="7" t="n">
        <ns0:v>802679.5894677741</ns0:v>
      </ns0:c>
      <ns0:c r="R265" s="7" t="n">
        <ns0:v>2830790.812353964</ns0:v>
      </ns0:c>
    </ns0:row>
    <ns0:row r="266" ht="24" customHeight="1">
      <ns0:c r="A266" s="3" t="inlineStr">
        <ns0:is>
          <ns0:t>セット</ns0:t>
        </ns0:is>
      </ns0:c>
      <ns0:c r="B266" s="3" t="inlineStr">
        <ns0:is>
          <ns0:t>G0基本5000比較</ns0:t>
        </ns0:is>
      </ns0:c>
      <ns0:c r="C266" s="3" t="inlineStr">
        <ns0:is>
          <ns0:t>C</ns0:t>
        </ns0:is>
      </ns0:c>
      <ns0:c r="D266" s="4" t="n">
        <ns0:v>0</ns0:v>
      </ns0:c>
      <ns0:c r="E266" s="4" t="n">
        <ns0:v>1000</ns0:v>
      </ns0:c>
      <ns0:c r="F266" s="6" t="n">
        <ns0:v>0.4</ns0:v>
      </ns0:c>
      <ns0:c r="G266" s="4" t="n">
        <ns0:v>2</ns0:v>
      </ns0:c>
      <ns0:c r="H266" s="7" t="n">
        <ns0:v>7565.857321652064</ns0:v>
      </ns0:c>
      <ns0:c r="I266" s="7" t="n">
        <ns0:v>5039.424280350438</ns0:v>
      </ns0:c>
      <ns0:c r="J266" s="7" t="n">
        <ns0:v>2015.769712140175</ns0:v>
      </ns0:c>
      <ns0:c r="K266" s="7" t="n">
        <ns0:v>51</ns0:v>
      </ns0:c>
      <ns0:c r="L266" s="18" t="inlineStr">
        <ns0:is>
          <ns0:t>範囲内なし</ns0:t>
        </ns0:is>
      </ns0:c>
      <ns0:c r="M266" s="7" t="n">
        <ns0:v>-41695.01858909413</ns0:v>
      </ns0:c>
      <ns0:c r="N266" s="7" t="n">
        <ns0:v>-21960.30791641894</ns0:v>
      </ns0:c>
      <ns0:c r="O266" s="7" t="n">
        <ns0:v>-259.8901098264032</ns0:v>
      </ns0:c>
      <ns0:c r="P266" s="7" t="n">
        <ns0:v>53991.154406655</ns0:v>
      </ns0:c>
      <ns0:c r="Q266" s="7" t="n">
        <ns0:v>228995.332472581</ns0:v>
      </ns0:c>
      <ns0:c r="R266" s="7" t="n">
        <ns0:v>918509.95570332</ns0:v>
      </ns0:c>
    </ns0:row>
    <ns0:row r="267" ht="24" customHeight="1">
      <ns0:c r="A267" s="3" t="inlineStr">
        <ns0:is>
          <ns0:t>セット</ns0:t>
        </ns0:is>
      </ns0:c>
      <ns0:c r="B267" s="3" t="inlineStr">
        <ns0:is>
          <ns0:t>G0基本5000比較</ns0:t>
        </ns0:is>
      </ns0:c>
      <ns0:c r="C267" s="3" t="inlineStr">
        <ns0:is>
          <ns0:t>C</ns0:t>
        </ns0:is>
      </ns0:c>
      <ns0:c r="D267" s="4" t="n">
        <ns0:v>0</ns0:v>
      </ns0:c>
      <ns0:c r="E267" s="4" t="n">
        <ns0:v>1000</ns0:v>
      </ns0:c>
      <ns0:c r="F267" s="6" t="n">
        <ns0:v>0.4</ns0:v>
      </ns0:c>
      <ns0:c r="G267" s="4" t="n">
        <ns0:v>3</ns0:v>
      </ns0:c>
      <ns0:c r="H267" s="7" t="n">
        <ns0:v>7565.857321652064</ns0:v>
      </ns0:c>
      <ns0:c r="I267" s="7" t="n">
        <ns0:v>5039.424280350438</ns0:v>
      </ns0:c>
      <ns0:c r="J267" s="7" t="n">
        <ns0:v>2015.769712140175</ns0:v>
      </ns0:c>
      <ns0:c r="K267" s="7" t="n">
        <ns0:v>26</ns0:v>
      </ns0:c>
      <ns0:c r="L267" s="18" t="inlineStr">
        <ns0:is>
          <ns0:t>範囲内なし</ns0:t>
        </ns0:is>
      </ns0:c>
      <ns0:c r="M267" s="7" t="n">
        <ns0:v>-31141.31692315838</ns0:v>
      </ns0:c>
      <ns0:c r="N267" s="7" t="n">
        <ns0:v>9700.797081388293</ns0:v>
      </ns0:c>
      <ns0:c r="O267" s="7" t="n">
        <ns0:v>52508.61821985235</ns0:v>
      </ns0:c>
      <ns0:c r="P267" s="7" t="n">
        <ns0:v>159528.1710660125</ns0:v>
      </ns0:c>
      <ns0:c r="Q267" s="7" t="n">
        <ns0:v>545606.3824506534</ns0:v>
      </ns0:c>
      <ns0:c r="R267" s="7" t="n">
        <ns0:v>1973880.122296895</ns0:v>
      </ns0:c>
    </ns0:row>
    <ns0:row r="268" ht="24" customHeight="1">
      <ns0:c r="A268" s="3" t="inlineStr">
        <ns0:is>
          <ns0:t>セット</ns0:t>
        </ns0:is>
      </ns0:c>
      <ns0:c r="B268" s="3" t="inlineStr">
        <ns0:is>
          <ns0:t>G0基本5000比較</ns0:t>
        </ns0:is>
      </ns0:c>
      <ns0:c r="C268" s="3" t="inlineStr">
        <ns0:is>
          <ns0:t>C</ns0:t>
        </ns0:is>
      </ns0:c>
      <ns0:c r="D268" s="4" t="n">
        <ns0:v>0</ns0:v>
      </ns0:c>
      <ns0:c r="E268" s="4" t="n">
        <ns0:v>1000</ns0:v>
      </ns0:c>
      <ns0:c r="F268" s="6" t="n">
        <ns0:v>0.5</ns0:v>
      </ns0:c>
      <ns0:c r="G268" s="4" t="n">
        <ns0:v>0</ns0:v>
      </ns0:c>
      <ns0:c r="H268" s="7" t="n">
        <ns0:v>7565.857321652064</ns0:v>
      </ns0:c>
      <ns0:c r="I268" s="7" t="n">
        <ns0:v>5039.424280350438</ns0:v>
      </ns0:c>
      <ns0:c r="J268" s="7" t="n">
        <ns0:v>2519.712140175219</ns0:v>
      </ns0:c>
      <ns0:c r="K268" s="7" t="n">
        <ns0:v>20</ns0:v>
      </ns0:c>
      <ns0:c r="L268" s="7" t="n">
        <ns0:v>60</ns0:v>
      </ns0:c>
      <ns0:c r="M268" s="7" t="n">
        <ns0:v>-23892.99389696728</ns0:v>
      </ns0:c>
      <ns0:c r="N268" s="7" t="n">
        <ns0:v>31445.76615996158</ns0:v>
      </ns0:c>
      <ns0:c r="O268" s="7" t="n">
        <ns0:v>88750.23335080783</ns0:v>
      </ns0:c>
      <ns0:c r="P268" s="7" t="n">
        <ns0:v>232011.4013279235</ns0:v>
      </ns0:c>
      <ns0:c r="Q268" s="7" t="n">
        <ns0:v>763056.0732363863</ns0:v>
      </ns0:c>
      <ns0:c r="R268" s="7" t="n">
        <ns0:v>2698712.424916005</ns0:v>
      </ns0:c>
    </ns0:row>
    <ns0:row r="269" ht="24" customHeight="1">
      <ns0:c r="A269" s="3" t="inlineStr">
        <ns0:is>
          <ns0:t>セット</ns0:t>
        </ns0:is>
      </ns0:c>
      <ns0:c r="B269" s="3" t="inlineStr">
        <ns0:is>
          <ns0:t>G0基本5000比較</ns0:t>
        </ns0:is>
      </ns0:c>
      <ns0:c r="C269" s="3" t="inlineStr">
        <ns0:is>
          <ns0:t>C</ns0:t>
        </ns0:is>
      </ns0:c>
      <ns0:c r="D269" s="4" t="n">
        <ns0:v>0</ns0:v>
      </ns0:c>
      <ns0:c r="E269" s="4" t="n">
        <ns0:v>1000</ns0:v>
      </ns0:c>
      <ns0:c r="F269" s="6" t="n">
        <ns0:v>0.5</ns0:v>
      </ns0:c>
      <ns0:c r="G269" s="4" t="n">
        <ns0:v>1</ns0:v>
      </ns0:c>
      <ns0:c r="H269" s="7" t="n">
        <ns0:v>7565.857321652064</ns0:v>
      </ns0:c>
      <ns0:c r="I269" s="7" t="n">
        <ns0:v>5039.424280350438</ns0:v>
      </ns0:c>
      <ns0:c r="J269" s="7" t="n">
        <ns0:v>2519.712140175219</ns0:v>
      </ns0:c>
      <ns0:c r="K269" s="7" t="n">
        <ns0:v>23</ns0:v>
      </ns0:c>
      <ns0:c r="L269" s="7" t="n">
        <ns0:v>272</ns0:v>
      </ns0:c>
      <ns0:c r="M269" s="7" t="n">
        <ns0:v>-27611.63430293812</ns0:v>
      </ns0:c>
      <ns0:c r="N269" s="7" t="n">
        <ns0:v>20289.84494204905</ns0:v>
      </ns0:c>
      <ns0:c r="O269" s="7" t="n">
        <ns0:v>70157.03132095363</ns0:v>
      </ns0:c>
      <ns0:c r="P269" s="7" t="n">
        <ns0:v>194824.9972682151</ns0:v>
      </ns0:c>
      <ns0:c r="Q269" s="7" t="n">
        <ns0:v>651496.861057261</ns0:v>
      </ns0:c>
      <ns0:c r="R269" s="7" t="n">
        <ns0:v>2326848.384318921</ns0:v>
      </ns0:c>
    </ns0:row>
    <ns0:row r="270" ht="24" customHeight="1">
      <ns0:c r="A270" s="3" t="inlineStr">
        <ns0:is>
          <ns0:t>セット</ns0:t>
        </ns0:is>
      </ns0:c>
      <ns0:c r="B270" s="3" t="inlineStr">
        <ns0:is>
          <ns0:t>G0基本5000比較</ns0:t>
        </ns0:is>
      </ns0:c>
      <ns0:c r="C270" s="3" t="inlineStr">
        <ns0:is>
          <ns0:t>C</ns0:t>
        </ns0:is>
      </ns0:c>
      <ns0:c r="D270" s="4" t="n">
        <ns0:v>0</ns0:v>
      </ns0:c>
      <ns0:c r="E270" s="4" t="n">
        <ns0:v>1000</ns0:v>
      </ns0:c>
      <ns0:c r="F270" s="6" t="n">
        <ns0:v>0.5</ns0:v>
      </ns0:c>
      <ns0:c r="G270" s="4" t="n">
        <ns0:v>2</ns0:v>
      </ns0:c>
      <ns0:c r="H270" s="7" t="n">
        <ns0:v>7565.857321652064</ns0:v>
      </ns0:c>
      <ns0:c r="I270" s="7" t="n">
        <ns0:v>5039.424280350438</ns0:v>
      </ns0:c>
      <ns0:c r="J270" s="7" t="n">
        <ns0:v>2519.712140175219</ns0:v>
      </ns0:c>
      <ns0:c r="K270" s="7" t="n">
        <ns0:v>167</ns0:v>
      </ns0:c>
      <ns0:c r="L270" s="18" t="inlineStr">
        <ns0:is>
          <ns0:t>範囲内なし</ns0:t>
        </ns0:is>
      </ns0:c>
      <ns0:c r="M270" s="7" t="n">
        <ns0:v>-46734.44286944456</ns0:v>
      </ns0:c>
      <ns0:c r="N270" s="7" t="n">
        <ns0:v>-37078.58075747028</ns0:v>
      </ns0:c>
      <ns0:c r="O270" s="7" t="n">
        <ns0:v>-25457.01151157857</ns0:v>
      </ns0:c>
      <ns0:c r="P270" s="7" t="n">
        <ns0:v>3596.911603150627</ns0:v>
      </ns0:c>
      <ns0:c r="Q270" s="7" t="n">
        <ns0:v>77812.60406206769</ns0:v>
      </ns0:c>
      <ns0:c r="R270" s="7" t="n">
        <ns0:v>414567.5276682763</ns0:v>
      </ns0:c>
    </ns0:row>
    <ns0:row r="271" ht="24" customHeight="1">
      <ns0:c r="A271" s="3" t="inlineStr">
        <ns0:is>
          <ns0:t>セット</ns0:t>
        </ns0:is>
      </ns0:c>
      <ns0:c r="B271" s="3" t="inlineStr">
        <ns0:is>
          <ns0:t>G0基本5000比較</ns0:t>
        </ns0:is>
      </ns0:c>
      <ns0:c r="C271" s="3" t="inlineStr">
        <ns0:is>
          <ns0:t>C</ns0:t>
        </ns0:is>
      </ns0:c>
      <ns0:c r="D271" s="4" t="n">
        <ns0:v>0</ns0:v>
      </ns0:c>
      <ns0:c r="E271" s="4" t="n">
        <ns0:v>1000</ns0:v>
      </ns0:c>
      <ns0:c r="F271" s="6" t="n">
        <ns0:v>0.5</ns0:v>
      </ns0:c>
      <ns0:c r="G271" s="4" t="n">
        <ns0:v>3</ns0:v>
      </ns0:c>
      <ns0:c r="H271" s="7" t="n">
        <ns0:v>7565.857321652064</ns0:v>
      </ns0:c>
      <ns0:c r="I271" s="7" t="n">
        <ns0:v>5039.424280350438</ns0:v>
      </ns0:c>
      <ns0:c r="J271" s="7" t="n">
        <ns0:v>2519.712140175219</ns0:v>
      </ns0:c>
      <ns0:c r="K271" s="7" t="n">
        <ns0:v>34</ns0:v>
      </ns0:c>
      <ns0:c r="L271" s="18" t="inlineStr">
        <ns0:is>
          <ns0:t>範囲内なし</ns0:t>
        </ns0:is>
      </ns0:c>
      <ns0:c r="M271" s="7" t="n">
        <ns0:v>-36180.74120350881</ns0:v>
      </ns0:c>
      <ns0:c r="N271" s="7" t="n">
        <ns0:v>-5417.475759663022</ns0:v>
      </ns0:c>
      <ns0:c r="O271" s="7" t="n">
        <ns0:v>27311.49681810016</ns0:v>
      </ns0:c>
      <ns0:c r="P271" s="7" t="n">
        <ns0:v>109133.9282625081</ns0:v>
      </ns0:c>
      <ns0:c r="Q271" s="7" t="n">
        <ns0:v>394423.6540401402</ns0:v>
      </ns0:c>
      <ns0:c r="R271" s="7" t="n">
        <ns0:v>1469937.694261851</ns0:v>
      </ns0:c>
    </ns0:row>
    <ns0:row r="272" ht="24" customHeight="1">
      <ns0:c r="A272" s="3" t="inlineStr">
        <ns0:is>
          <ns0:t>セット</ns0:t>
        </ns0:is>
      </ns0:c>
      <ns0:c r="B272" s="3" t="inlineStr">
        <ns0:is>
          <ns0:t>G0基本5000比較</ns0:t>
        </ns0:is>
      </ns0:c>
      <ns0:c r="C272" s="3" t="inlineStr">
        <ns0:is>
          <ns0:t>C</ns0:t>
        </ns0:is>
      </ns0:c>
      <ns0:c r="D272" s="4" t="n">
        <ns0:v>0</ns0:v>
      </ns0:c>
      <ns0:c r="E272" s="4" t="n">
        <ns0:v>1500</ns0:v>
      </ns0:c>
      <ns0:c r="F272" s="6" t="n">
        <ns0:v>0.3</ns0:v>
      </ns0:c>
      <ns0:c r="G272" s="4" t="n">
        <ns0:v>0</ns0:v>
      </ns0:c>
      <ns0:c r="H272" s="7" t="n">
        <ns0:v>7065.857321652065</ns0:v>
      </ns0:c>
      <ns0:c r="I272" s="7" t="n">
        <ns0:v>4539.424280350438</ns0:v>
      </ns0:c>
      <ns0:c r="J272" s="7" t="n">
        <ns0:v>1361.827284105132</ns0:v>
      </ns0:c>
      <ns0:c r="K272" s="7" t="n">
        <ns0:v>17</ns0:v>
      </ns0:c>
      <ns0:c r="L272" s="7" t="n">
        <ns0:v>50</ns0:v>
      </ns0:c>
      <ns0:c r="M272" s="7" t="n">
        <ns0:v>-17134.14533626639</ns0:v>
      </ns0:c>
      <ns0:c r="N272" s="7" t="n">
        <ns0:v>51722.31184206418</ns0:v>
      </ns0:c>
      <ns0:c r="O272" s="7" t="n">
        <ns0:v>122544.4761543123</ns0:v>
      </ns0:c>
      <ns0:c r="P272" s="7" t="n">
        <ns0:v>299599.8869349324</ns0:v>
      </ns0:c>
      <ns0:c r="Q272" s="7" t="n">
        <ns0:v>965821.5300574123</ns0:v>
      </ns0:c>
      <ns0:c r="R272" s="7" t="n">
        <ns0:v>3374597.280986092</ns0:v>
      </ns0:c>
    </ns0:row>
    <ns0:row r="273" ht="24" customHeight="1">
      <ns0:c r="A273" s="3" t="inlineStr">
        <ns0:is>
          <ns0:t>セット</ns0:t>
        </ns0:is>
      </ns0:c>
      <ns0:c r="B273" s="3" t="inlineStr">
        <ns0:is>
          <ns0:t>G0基本5000比較</ns0:t>
        </ns0:is>
      </ns0:c>
      <ns0:c r="C273" s="3" t="inlineStr">
        <ns0:is>
          <ns0:t>C</ns0:t>
        </ns0:is>
      </ns0:c>
      <ns0:c r="D273" s="4" t="n">
        <ns0:v>0</ns0:v>
      </ns0:c>
      <ns0:c r="E273" s="4" t="n">
        <ns0:v>1500</ns0:v>
      </ns0:c>
      <ns0:c r="F273" s="6" t="n">
        <ns0:v>0.3</ns0:v>
      </ns0:c>
      <ns0:c r="G273" s="4" t="n">
        <ns0:v>1</ns0:v>
      </ns0:c>
      <ns0:c r="H273" s="7" t="n">
        <ns0:v>7065.857321652065</ns0:v>
      </ns0:c>
      <ns0:c r="I273" s="7" t="n">
        <ns0:v>4539.424280350438</ns0:v>
      </ns0:c>
      <ns0:c r="J273" s="7" t="n">
        <ns0:v>1361.827284105132</ns0:v>
      </ns0:c>
      <ns0:c r="K273" s="7" t="n">
        <ns0:v>19</ns0:v>
      </ns0:c>
      <ns0:c r="L273" s="7" t="n">
        <ns0:v>174</ns0:v>
      </ns0:c>
      <ns0:c r="M273" s="7" t="n">
        <ns0:v>-20852.78574223723</ns0:v>
      </ns0:c>
      <ns0:c r="N273" s="7" t="n">
        <ns0:v>40566.39062415165</ns0:v>
      </ns0:c>
      <ns0:c r="O273" s="7" t="n">
        <ns0:v>103951.2741244581</ns0:v>
      </ns0:c>
      <ns0:c r="P273" s="7" t="n">
        <ns0:v>262413.4828752239</ns0:v>
      </ns0:c>
      <ns0:c r="Q273" s="7" t="n">
        <ns0:v>854262.3178782872</ns0:v>
      </ns0:c>
      <ns0:c r="R273" s="7" t="n">
        <ns0:v>3002733.240389008</ns0:v>
      </ns0:c>
    </ns0:row>
    <ns0:row r="274" ht="24" customHeight="1">
      <ns0:c r="A274" s="3" t="inlineStr">
        <ns0:is>
          <ns0:t>セット</ns0:t>
        </ns0:is>
      </ns0:c>
      <ns0:c r="B274" s="3" t="inlineStr">
        <ns0:is>
          <ns0:t>G0基本5000比較</ns0:t>
        </ns0:is>
      </ns0:c>
      <ns0:c r="C274" s="3" t="inlineStr">
        <ns0:is>
          <ns0:t>C</ns0:t>
        </ns0:is>
      </ns0:c>
      <ns0:c r="D274" s="4" t="n">
        <ns0:v>0</ns0:v>
      </ns0:c>
      <ns0:c r="E274" s="4" t="n">
        <ns0:v>1500</ns0:v>
      </ns0:c>
      <ns0:c r="F274" s="6" t="n">
        <ns0:v>0.3</ns0:v>
      </ns0:c>
      <ns0:c r="G274" s="4" t="n">
        <ns0:v>2</ns0:v>
      </ns0:c>
      <ns0:c r="H274" s="7" t="n">
        <ns0:v>7065.857321652065</ns0:v>
      </ns0:c>
      <ns0:c r="I274" s="7" t="n">
        <ns0:v>4539.424280350438</ns0:v>
      </ns0:c>
      <ns0:c r="J274" s="7" t="n">
        <ns0:v>1361.827284105132</ns0:v>
      </ns0:c>
      <ns0:c r="K274" s="7" t="n">
        <ns0:v>44</ns0:v>
      </ns0:c>
      <ns0:c r="L274" s="18" t="inlineStr">
        <ns0:is>
          <ns0:t>範囲内なし</ns0:t>
        </ns0:is>
      </ns0:c>
      <ns0:c r="M274" s="7" t="n">
        <ns0:v>-39975.59430874368</ns0:v>
      </ns0:c>
      <ns0:c r="N274" s="7" t="n">
        <ns0:v>-16802.03507536766</ns0:v>
      </ns0:c>
      <ns0:c r="O274" s="7" t="n">
        <ns0:v>8337.231291925855</ns0:v>
      </ns0:c>
      <ns0:c r="P274" s="7" t="n">
        <ns0:v>71185.39721015951</ns0:v>
      </ns0:c>
      <ns0:c r="Q274" s="7" t="n">
        <ns0:v>280578.0608830939</ns0:v>
      </ns0:c>
      <ns0:c r="R274" s="7" t="n">
        <ns0:v>1090452.383738363</ns0:v>
      </ns0:c>
    </ns0:row>
    <ns0:row r="275" ht="24" customHeight="1">
      <ns0:c r="A275" s="3" t="inlineStr">
        <ns0:is>
          <ns0:t>セット</ns0:t>
        </ns0:is>
      </ns0:c>
      <ns0:c r="B275" s="3" t="inlineStr">
        <ns0:is>
          <ns0:t>G0基本5000比較</ns0:t>
        </ns0:is>
      </ns0:c>
      <ns0:c r="C275" s="3" t="inlineStr">
        <ns0:is>
          <ns0:t>C</ns0:t>
        </ns0:is>
      </ns0:c>
      <ns0:c r="D275" s="4" t="n">
        <ns0:v>0</ns0:v>
      </ns0:c>
      <ns0:c r="E275" s="4" t="n">
        <ns0:v>1500</ns0:v>
      </ns0:c>
      <ns0:c r="F275" s="6" t="n">
        <ns0:v>0.3</ns0:v>
      </ns0:c>
      <ns0:c r="G275" s="4" t="n">
        <ns0:v>3</ns0:v>
      </ns0:c>
      <ns0:c r="H275" s="7" t="n">
        <ns0:v>7065.857321652065</ns0:v>
      </ns0:c>
      <ns0:c r="I275" s="7" t="n">
        <ns0:v>4539.424280350438</ns0:v>
      </ns0:c>
      <ns0:c r="J275" s="7" t="n">
        <ns0:v>1361.827284105132</ns0:v>
      </ns0:c>
      <ns0:c r="K275" s="7" t="n">
        <ns0:v>24</ns0:v>
      </ns0:c>
      <ns0:c r="L275" s="18" t="inlineStr">
        <ns0:is>
          <ns0:t>範囲内なし</ns0:t>
        </ns0:is>
      </ns0:c>
      <ns0:c r="M275" s="7" t="n">
        <ns0:v>-29421.89264280793</ns0:v>
      </ns0:c>
      <ns0:c r="N275" s="7" t="n">
        <ns0:v>14859.06992243957</ns0:v>
      </ns0:c>
      <ns0:c r="O275" s="7" t="n">
        <ns0:v>61105.73962160461</ns0:v>
      </ns0:c>
      <ns0:c r="P275" s="7" t="n">
        <ns0:v>176722.413869517</ns0:v>
      </ns0:c>
      <ns0:c r="Q275" s="7" t="n">
        <ns0:v>597189.1108611664</ns0:v>
      </ns0:c>
      <ns0:c r="R275" s="7" t="n">
        <ns0:v>2145822.550331938</ns0:v>
      </ns0:c>
    </ns0:row>
    <ns0:row r="276" ht="24" customHeight="1">
      <ns0:c r="A276" s="3" t="inlineStr">
        <ns0:is>
          <ns0:t>セット</ns0:t>
        </ns0:is>
      </ns0:c>
      <ns0:c r="B276" s="3" t="inlineStr">
        <ns0:is>
          <ns0:t>G0基本5000比較</ns0:t>
        </ns0:is>
      </ns0:c>
      <ns0:c r="C276" s="3" t="inlineStr">
        <ns0:is>
          <ns0:t>C</ns0:t>
        </ns0:is>
      </ns0:c>
      <ns0:c r="D276" s="4" t="n">
        <ns0:v>0</ns0:v>
      </ns0:c>
      <ns0:c r="E276" s="4" t="n">
        <ns0:v>1500</ns0:v>
      </ns0:c>
      <ns0:c r="F276" s="6" t="n">
        <ns0:v>0.4</ns0:v>
      </ns0:c>
      <ns0:c r="G276" s="4" t="n">
        <ns0:v>0</ns0:v>
      </ns0:c>
      <ns0:c r="H276" s="7" t="n">
        <ns0:v>7065.857321652065</ns0:v>
      </ns0:c>
      <ns0:c r="I276" s="7" t="n">
        <ns0:v>4539.424280350438</ns0:v>
      </ns0:c>
      <ns0:c r="J276" s="7" t="n">
        <ns0:v>1815.769712140175</ns0:v>
      </ns0:c>
      <ns0:c r="K276" s="7" t="n">
        <ns0:v>19</ns0:v>
      </ns0:c>
      <ns0:c r="L276" s="7" t="n">
        <ns0:v>56</ns0:v>
      </ns0:c>
      <ns0:c r="M276" s="7" t="n">
        <ns0:v>-21673.56961661683</ns0:v>
      </ns0:c>
      <ns0:c r="N276" s="7" t="n">
        <ns0:v>38104.03900101288</ns0:v>
      </ns0:c>
      <ns0:c r="O276" s="7" t="n">
        <ns0:v>99847.35475256006</ns0:v>
      </ns0:c>
      <ns0:c r="P276" s="7" t="n">
        <ns0:v>254205.6441314279</ns0:v>
      </ns0:c>
      <ns0:c r="Q276" s="7" t="n">
        <ns0:v>829638.8016468991</ns0:v>
      </ns0:c>
      <ns0:c r="R276" s="7" t="n">
        <ns0:v>2920654.852951049</ns0:v>
      </ns0:c>
    </ns0:row>
    <ns0:row r="277" ht="24" customHeight="1">
      <ns0:c r="A277" s="3" t="inlineStr">
        <ns0:is>
          <ns0:t>セット</ns0:t>
        </ns0:is>
      </ns0:c>
      <ns0:c r="B277" s="3" t="inlineStr">
        <ns0:is>
          <ns0:t>G0基本5000比較</ns0:t>
        </ns0:is>
      </ns0:c>
      <ns0:c r="C277" s="3" t="inlineStr">
        <ns0:is>
          <ns0:t>C</ns0:t>
        </ns0:is>
      </ns0:c>
      <ns0:c r="D277" s="4" t="n">
        <ns0:v>0</ns0:v>
      </ns0:c>
      <ns0:c r="E277" s="4" t="n">
        <ns0:v>1500</ns0:v>
      </ns0:c>
      <ns0:c r="F277" s="6" t="n">
        <ns0:v>0.4</ns0:v>
      </ns0:c>
      <ns0:c r="G277" s="4" t="n">
        <ns0:v>1</ns0:v>
      </ns0:c>
      <ns0:c r="H277" s="7" t="n">
        <ns0:v>7065.857321652065</ns0:v>
      </ns0:c>
      <ns0:c r="I277" s="7" t="n">
        <ns0:v>4539.424280350438</ns0:v>
      </ns0:c>
      <ns0:c r="J277" s="7" t="n">
        <ns0:v>1815.769712140175</ns0:v>
      </ns0:c>
      <ns0:c r="K277" s="7" t="n">
        <ns0:v>21</ns0:v>
      </ns0:c>
      <ns0:c r="L277" s="7" t="n">
        <ns0:v>229</ns0:v>
      </ns0:c>
      <ns0:c r="M277" s="7" t="n">
        <ns0:v>-25392.21002258768</ns0:v>
      </ns0:c>
      <ns0:c r="N277" s="7" t="n">
        <ns0:v>26948.11778310036</ns0:v>
      </ns0:c>
      <ns0:c r="O277" s="7" t="n">
        <ns0:v>81254.15272270585</ns0:v>
      </ns0:c>
      <ns0:c r="P277" s="7" t="n">
        <ns0:v>217019.2400717195</ns0:v>
      </ns0:c>
      <ns0:c r="Q277" s="7" t="n">
        <ns0:v>718079.5894677738</ns0:v>
      </ns0:c>
      <ns0:c r="R277" s="7" t="n">
        <ns0:v>2548790.812353965</ns0:v>
      </ns0:c>
    </ns0:row>
    <ns0:row r="278" ht="24" customHeight="1">
      <ns0:c r="A278" s="3" t="inlineStr">
        <ns0:is>
          <ns0:t>セット</ns0:t>
        </ns0:is>
      </ns0:c>
      <ns0:c r="B278" s="3" t="inlineStr">
        <ns0:is>
          <ns0:t>G0基本5000比較</ns0:t>
        </ns0:is>
      </ns0:c>
      <ns0:c r="C278" s="3" t="inlineStr">
        <ns0:is>
          <ns0:t>C</ns0:t>
        </ns0:is>
      </ns0:c>
      <ns0:c r="D278" s="4" t="n">
        <ns0:v>0</ns0:v>
      </ns0:c>
      <ns0:c r="E278" s="4" t="n">
        <ns0:v>1500</ns0:v>
      </ns0:c>
      <ns0:c r="F278" s="6" t="n">
        <ns0:v>0.4</ns0:v>
      </ns0:c>
      <ns0:c r="G278" s="4" t="n">
        <ns0:v>2</ns0:v>
      </ns0:c>
      <ns0:c r="H278" s="7" t="n">
        <ns0:v>7065.857321652065</ns0:v>
      </ns0:c>
      <ns0:c r="I278" s="7" t="n">
        <ns0:v>4539.424280350438</ns0:v>
      </ns0:c>
      <ns0:c r="J278" s="7" t="n">
        <ns0:v>1815.769712140175</ns0:v>
      </ns0:c>
      <ns0:c r="K278" s="7" t="n">
        <ns0:v>121</ns0:v>
      </ns0:c>
      <ns0:c r="L278" s="18" t="inlineStr">
        <ns0:is>
          <ns0:t>範囲内なし</ns0:t>
        </ns0:is>
      </ns0:c>
      <ns0:c r="M278" s="7" t="n">
        <ns0:v>-44515.01858909412</ns0:v>
      </ns0:c>
      <ns0:c r="N278" s="7" t="n">
        <ns0:v>-30420.30791641897</ns0:v>
      </ns0:c>
      <ns0:c r="O278" s="7" t="n">
        <ns0:v>-14359.89010982634</ns0:v>
      </ns0:c>
      <ns0:c r="P278" s="7" t="n">
        <ns0:v>25791.15440665509</ns0:v>
      </ns0:c>
      <ns0:c r="Q278" s="7" t="n">
        <ns0:v>144395.3324725806</ns0:v>
      </ns0:c>
      <ns0:c r="R278" s="7" t="n">
        <ns0:v>636509.9557033202</ns0:v>
      </ns0:c>
    </ns0:row>
    <ns0:row r="279" ht="24" customHeight="1">
      <ns0:c r="A279" s="3" t="inlineStr">
        <ns0:is>
          <ns0:t>セット</ns0:t>
        </ns0:is>
      </ns0:c>
      <ns0:c r="B279" s="3" t="inlineStr">
        <ns0:is>
          <ns0:t>G0基本5000比較</ns0:t>
        </ns0:is>
      </ns0:c>
      <ns0:c r="C279" s="3" t="inlineStr">
        <ns0:is>
          <ns0:t>C</ns0:t>
        </ns0:is>
      </ns0:c>
      <ns0:c r="D279" s="4" t="n">
        <ns0:v>0</ns0:v>
      </ns0:c>
      <ns0:c r="E279" s="4" t="n">
        <ns0:v>1500</ns0:v>
      </ns0:c>
      <ns0:c r="F279" s="6" t="n">
        <ns0:v>0.4</ns0:v>
      </ns0:c>
      <ns0:c r="G279" s="4" t="n">
        <ns0:v>3</ns0:v>
      </ns0:c>
      <ns0:c r="H279" s="7" t="n">
        <ns0:v>7065.857321652065</ns0:v>
      </ns0:c>
      <ns0:c r="I279" s="7" t="n">
        <ns0:v>4539.424280350438</ns0:v>
      </ns0:c>
      <ns0:c r="J279" s="7" t="n">
        <ns0:v>1815.769712140175</ns0:v>
      </ns0:c>
      <ns0:c r="K279" s="7" t="n">
        <ns0:v>30</ns0:v>
      </ns0:c>
      <ns0:c r="L279" s="18" t="inlineStr">
        <ns0:is>
          <ns0:t>範囲内なし</ns0:t>
        </ns0:is>
      </ns0:c>
      <ns0:c r="M279" s="7" t="n">
        <ns0:v>-33961.31692315837</ns0:v>
      </ns0:c>
      <ns0:c r="N279" s="7" t="n">
        <ns0:v>1240.797081388271</ns0:v>
      </ns0:c>
      <ns0:c r="O279" s="7" t="n">
        <ns0:v>38408.6182198524</ns0:v>
      </ns0:c>
      <ns0:c r="P279" s="7" t="n">
        <ns0:v>131328.1710660126</ns0:v>
      </ns0:c>
      <ns0:c r="Q279" s="7" t="n">
        <ns0:v>461006.382450653</ns0:v>
      </ns0:c>
      <ns0:c r="R279" s="7" t="n">
        <ns0:v>1691880.122296895</ns0:v>
      </ns0:c>
    </ns0:row>
    <ns0:row r="280" ht="24" customHeight="1">
      <ns0:c r="A280" s="3" t="inlineStr">
        <ns0:is>
          <ns0:t>セット</ns0:t>
        </ns0:is>
      </ns0:c>
      <ns0:c r="B280" s="3" t="inlineStr">
        <ns0:is>
          <ns0:t>G0基本5000比較</ns0:t>
        </ns0:is>
      </ns0:c>
      <ns0:c r="C280" s="3" t="inlineStr">
        <ns0:is>
          <ns0:t>C</ns0:t>
        </ns0:is>
      </ns0:c>
      <ns0:c r="D280" s="4" t="n">
        <ns0:v>0</ns0:v>
      </ns0:c>
      <ns0:c r="E280" s="4" t="n">
        <ns0:v>1500</ns0:v>
      </ns0:c>
      <ns0:c r="F280" s="6" t="n">
        <ns0:v>0.5</ns0:v>
      </ns0:c>
      <ns0:c r="G280" s="4" t="n">
        <ns0:v>0</ns0:v>
      </ns0:c>
      <ns0:c r="H280" s="7" t="n">
        <ns0:v>7065.857321652065</ns0:v>
      </ns0:c>
      <ns0:c r="I280" s="7" t="n">
        <ns0:v>4539.424280350438</ns0:v>
      </ns0:c>
      <ns0:c r="J280" s="7" t="n">
        <ns0:v>2269.712140175219</ns0:v>
      </ns0:c>
      <ns0:c r="K280" s="7" t="n">
        <ns0:v>22</ns0:v>
      </ns0:c>
      <ns0:c r="L280" s="7" t="n">
        <ns0:v>105</ns0:v>
      </ns0:c>
      <ns0:c r="M280" s="7" t="n">
        <ns0:v>-26212.99389696728</ns0:v>
      </ns0:c>
      <ns0:c r="N280" s="7" t="n">
        <ns0:v>24485.76615996157</ns0:v>
      </ns0:c>
      <ns0:c r="O280" s="7" t="n">
        <ns0:v>77150.23335080787</ns0:v>
      </ns0:c>
      <ns0:c r="P280" s="7" t="n">
        <ns0:v>208811.4013279236</ns0:v>
      </ns0:c>
      <ns0:c r="Q280" s="7" t="n">
        <ns0:v>693456.0732363861</ns0:v>
      </ns0:c>
      <ns0:c r="R280" s="7" t="n">
        <ns0:v>2466712.424916005</ns0:v>
      </ns0:c>
    </ns0:row>
    <ns0:row r="281" ht="24" customHeight="1">
      <ns0:c r="A281" s="3" t="inlineStr">
        <ns0:is>
          <ns0:t>セット</ns0:t>
        </ns0:is>
      </ns0:c>
      <ns0:c r="B281" s="3" t="inlineStr">
        <ns0:is>
          <ns0:t>G0基本5000比較</ns0:t>
        </ns0:is>
      </ns0:c>
      <ns0:c r="C281" s="3" t="inlineStr">
        <ns0:is>
          <ns0:t>C</ns0:t>
        </ns0:is>
      </ns0:c>
      <ns0:c r="D281" s="4" t="n">
        <ns0:v>0</ns0:v>
      </ns0:c>
      <ns0:c r="E281" s="4" t="n">
        <ns0:v>1500</ns0:v>
      </ns0:c>
      <ns0:c r="F281" s="6" t="n">
        <ns0:v>0.5</ns0:v>
      </ns0:c>
      <ns0:c r="G281" s="4" t="n">
        <ns0:v>1</ns0:v>
      </ns0:c>
      <ns0:c r="H281" s="7" t="n">
        <ns0:v>7065.857321652065</ns0:v>
      </ns0:c>
      <ns0:c r="I281" s="7" t="n">
        <ns0:v>4539.424280350438</ns0:v>
      </ns0:c>
      <ns0:c r="J281" s="7" t="n">
        <ns0:v>2269.712140175219</ns0:v>
      </ns0:c>
      <ns0:c r="K281" s="7" t="n">
        <ns0:v>25</ns0:v>
      </ns0:c>
      <ns0:c r="L281" s="7" t="n">
        <ns0:v>514</ns0:v>
      </ns0:c>
      <ns0:c r="M281" s="7" t="n">
        <ns0:v>-29931.63430293812</ns0:v>
      </ns0:c>
      <ns0:c r="N281" s="7" t="n">
        <ns0:v>13329.84494204904</ns0:v>
      </ns0:c>
      <ns0:c r="O281" s="7" t="n">
        <ns0:v>58557.03132095367</ns0:v>
      </ns0:c>
      <ns0:c r="P281" s="7" t="n">
        <ns0:v>171624.9972682151</ns0:v>
      </ns0:c>
      <ns0:c r="Q281" s="7" t="n">
        <ns0:v>581896.8610572609</ns0:v>
      </ns0:c>
      <ns0:c r="R281" s="7" t="n">
        <ns0:v>2094848.384318921</ns0:v>
      </ns0:c>
    </ns0:row>
    <ns0:row r="282" ht="24" customHeight="1">
      <ns0:c r="A282" s="3" t="inlineStr">
        <ns0:is>
          <ns0:t>セット</ns0:t>
        </ns0:is>
      </ns0:c>
      <ns0:c r="B282" s="3" t="inlineStr">
        <ns0:is>
          <ns0:t>G0基本5000比較</ns0:t>
        </ns0:is>
      </ns0:c>
      <ns0:c r="C282" s="3" t="inlineStr">
        <ns0:is>
          <ns0:t>C</ns0:t>
        </ns0:is>
      </ns0:c>
      <ns0:c r="D282" s="4" t="n">
        <ns0:v>0</ns0:v>
      </ns0:c>
      <ns0:c r="E282" s="4" t="n">
        <ns0:v>1500</ns0:v>
      </ns0:c>
      <ns0:c r="F282" s="6" t="n">
        <ns0:v>0.5</ns0:v>
      </ns0:c>
      <ns0:c r="G282" s="4" t="n">
        <ns0:v>2</ns0:v>
      </ns0:c>
      <ns0:c r="H282" s="7" t="n">
        <ns0:v>7065.857321652065</ns0:v>
      </ns0:c>
      <ns0:c r="I282" s="7" t="n">
        <ns0:v>4539.424280350438</ns0:v>
      </ns0:c>
      <ns0:c r="J282" s="7" t="n">
        <ns0:v>2269.712140175219</ns0:v>
      </ns0:c>
      <ns0:c r="K282" s="7" t="n">
        <ns0:v>277</ns0:v>
      </ns0:c>
      <ns0:c r="L282" s="18" t="inlineStr">
        <ns0:is>
          <ns0:t>範囲内なし</ns0:t>
        </ns0:is>
      </ns0:c>
      <ns0:c r="M282" s="7" t="n">
        <ns0:v>-49054.44286944457</ns0:v>
      </ns0:c>
      <ns0:c r="N282" s="7" t="n">
        <ns0:v>-44038.58075747029</ns0:v>
      </ns0:c>
      <ns0:c r="O282" s="7" t="n">
        <ns0:v>-37057.01151157854</ns0:v>
      </ns0:c>
      <ns0:c r="P282" s="7" t="n">
        <ns0:v>-19603.08839684929</ns0:v>
      </ns0:c>
      <ns0:c r="Q282" s="7" t="n">
        <ns0:v>8212.604062067578</ns0:v>
      </ns0:c>
      <ns0:c r="R282" s="7" t="n">
        <ns0:v>182567.5276682761</ns0:v>
      </ns0:c>
    </ns0:row>
    <ns0:row r="283" ht="24" customHeight="1">
      <ns0:c r="A283" s="3" t="inlineStr">
        <ns0:is>
          <ns0:t>セット</ns0:t>
        </ns0:is>
      </ns0:c>
      <ns0:c r="B283" s="3" t="inlineStr">
        <ns0:is>
          <ns0:t>G0基本5000比較</ns0:t>
        </ns0:is>
      </ns0:c>
      <ns0:c r="C283" s="3" t="inlineStr">
        <ns0:is>
          <ns0:t>C</ns0:t>
        </ns0:is>
      </ns0:c>
      <ns0:c r="D283" s="4" t="n">
        <ns0:v>0</ns0:v>
      </ns0:c>
      <ns0:c r="E283" s="4" t="n">
        <ns0:v>1500</ns0:v>
      </ns0:c>
      <ns0:c r="F283" s="6" t="n">
        <ns0:v>0.5</ns0:v>
      </ns0:c>
      <ns0:c r="G283" s="4" t="n">
        <ns0:v>3</ns0:v>
      </ns0:c>
      <ns0:c r="H283" s="7" t="n">
        <ns0:v>7065.857321652065</ns0:v>
      </ns0:c>
      <ns0:c r="I283" s="7" t="n">
        <ns0:v>4539.424280350438</ns0:v>
      </ns0:c>
      <ns0:c r="J283" s="7" t="n">
        <ns0:v>2269.712140175219</ns0:v>
      </ns0:c>
      <ns0:c r="K283" s="7" t="n">
        <ns0:v>39</ns0:v>
      </ns0:c>
      <ns0:c r="L283" s="18" t="inlineStr">
        <ns0:is>
          <ns0:t>範囲内なし</ns0:t>
        </ns0:is>
      </ns0:c>
      <ns0:c r="M283" s="7" t="n">
        <ns0:v>-38500.74120350882</ns0:v>
      </ns0:c>
      <ns0:c r="N283" s="7" t="n">
        <ns0:v>-12377.47575966304</ns0:v>
      </ns0:c>
      <ns0:c r="O283" s="7" t="n">
        <ns0:v>15711.49681810022</ns0:v>
      </ns0:c>
      <ns0:c r="P283" s="7" t="n">
        <ns0:v>85933.92826250821</ns0:v>
      </ns0:c>
      <ns0:c r="Q283" s="7" t="n">
        <ns0:v>324823.65404014</ns0:v>
      </ns0:c>
      <ns0:c r="R283" s="7" t="n">
        <ns0:v>1237937.694261851</ns0:v>
      </ns0:c>
    </ns0:row>
    <ns0:row r="284" ht="24" customHeight="1">
      <ns0:c r="A284" s="3" t="inlineStr">
        <ns0:is>
          <ns0:t>セット</ns0:t>
        </ns0:is>
      </ns0:c>
      <ns0:c r="B284" s="3" t="inlineStr">
        <ns0:is>
          <ns0:t>G0基本5000比較</ns0:t>
        </ns0:is>
      </ns0:c>
      <ns0:c r="C284" s="3" t="inlineStr">
        <ns0:is>
          <ns0:t>C</ns0:t>
        </ns0:is>
      </ns0:c>
      <ns0:c r="D284" s="4" t="n">
        <ns0:v>1</ns0:v>
      </ns0:c>
      <ns0:c r="E284" s="4" t="n">
        <ns0:v>500</ns0:v>
      </ns0:c>
      <ns0:c r="F284" s="6" t="n">
        <ns0:v>0.3</ns0:v>
      </ns0:c>
      <ns0:c r="G284" s="4" t="n">
        <ns0:v>0</ns0:v>
      </ns0:c>
      <ns0:c r="H284" s="7" t="n">
        <ns0:v>9853.910614525137</ns0:v>
      </ns0:c>
      <ns0:c r="I284" s="7" t="n">
        <ns0:v>5808.659217877094</ns0:v>
      </ns0:c>
      <ns0:c r="J284" s="7" t="n">
        <ns0:v>1742.597765363128</ns0:v>
      </ns0:c>
      <ns0:c r="K284" s="7" t="n">
        <ns0:v>12</ns0:v>
      </ns0:c>
      <ns0:c r="L284" s="7" t="n">
        <ns0:v>21</ns0:v>
      </ns0:c>
      <ns0:c r="M284" s="7" t="n">
        <ns0:v>5335.066728009948</ns0:v>
      </ns0:c>
      <ns0:c r="N284" s="7" t="n">
        <ns0:v>106470.6448556399</ns0:v>
      </ns0:c>
      <ns0:c r="O284" s="7" t="n">
        <ns0:v>213791.697843605</ns0:v>
      </ns0:c>
      <ns0:c r="P284" s="7" t="n">
        <ns0:v>482094.3303135177</ns0:v>
      </ns0:c>
      <ns0:c r="Q284" s="7" t="n">
        <ns0:v>1513304.860193169</ns0:v>
      </ns0:c>
      <ns0:c r="R284" s="7" t="n">
        <ns0:v>5199541.714771947</ns0:v>
      </ns0:c>
    </ns0:row>
    <ns0:row r="285" ht="24" customHeight="1">
      <ns0:c r="A285" s="3" t="inlineStr">
        <ns0:is>
          <ns0:t>セット</ns0:t>
        </ns0:is>
      </ns0:c>
      <ns0:c r="B285" s="3" t="inlineStr">
        <ns0:is>
          <ns0:t>G0基本5000比較</ns0:t>
        </ns0:is>
      </ns0:c>
      <ns0:c r="C285" s="3" t="inlineStr">
        <ns0:is>
          <ns0:t>C</ns0:t>
        </ns0:is>
      </ns0:c>
      <ns0:c r="D285" s="4" t="n">
        <ns0:v>1</ns0:v>
      </ns0:c>
      <ns0:c r="E285" s="4" t="n">
        <ns0:v>500</ns0:v>
      </ns0:c>
      <ns0:c r="F285" s="6" t="n">
        <ns0:v>0.3</ns0:v>
      </ns0:c>
      <ns0:c r="G285" s="4" t="n">
        <ns0:v>1</ns0:v>
      </ns0:c>
      <ns0:c r="H285" s="7" t="n">
        <ns0:v>9853.910614525137</ns0:v>
      </ns0:c>
      <ns0:c r="I285" s="7" t="n">
        <ns0:v>5808.659217877094</ns0:v>
      </ns0:c>
      <ns0:c r="J285" s="7" t="n">
        <ns0:v>1742.597765363128</ns0:v>
      </ns0:c>
      <ns0:c r="K285" s="7" t="n">
        <ns0:v>13</ns0:v>
      </ns0:c>
      <ns0:c r="L285" s="7" t="n">
        <ns0:v>29</ns0:v>
      </ns0:c>
      <ns0:c r="M285" s="7" t="n">
        <ns0:v>1011.560523005879</ns0:v>
      </ns0:c>
      <ns0:c r="N285" s="7" t="n">
        <ns0:v>93500.12624062767</ns0:v>
      </ns0:c>
      <ns0:c r="O285" s="7" t="n">
        <ns0:v>192174.1668185846</ns0:v>
      </ns0:c>
      <ns0:c r="P285" s="7" t="n">
        <ns0:v>438859.268263477</ns0:v>
      </ns0:c>
      <ns0:c r="Q285" s="7" t="n">
        <ns0:v>1383599.674043047</ns0:v>
      </ns0:c>
      <ns0:c r="R285" s="7" t="n">
        <ns0:v>4767191.094271541</ns0:v>
      </ns0:c>
    </ns0:row>
    <ns0:row r="286" ht="24" customHeight="1">
      <ns0:c r="A286" s="3" t="inlineStr">
        <ns0:is>
          <ns0:t>セット</ns0:t>
        </ns0:is>
      </ns0:c>
      <ns0:c r="B286" s="3" t="inlineStr">
        <ns0:is>
          <ns0:t>G0基本5000比較</ns0:t>
        </ns0:is>
      </ns0:c>
      <ns0:c r="C286" s="3" t="inlineStr">
        <ns0:is>
          <ns0:t>C</ns0:t>
        </ns0:is>
      </ns0:c>
      <ns0:c r="D286" s="4" t="n">
        <ns0:v>1</ns0:v>
      </ns0:c>
      <ns0:c r="E286" s="4" t="n">
        <ns0:v>500</ns0:v>
      </ns0:c>
      <ns0:c r="F286" s="6" t="n">
        <ns0:v>0.3</ns0:v>
      </ns0:c>
      <ns0:c r="G286" s="4" t="n">
        <ns0:v>2</ns0:v>
      </ns0:c>
      <ns0:c r="H286" s="7" t="n">
        <ns0:v>9853.910614525137</ns0:v>
      </ns0:c>
      <ns0:c r="I286" s="7" t="n">
        <ns0:v>5808.659217877094</ns0:v>
      </ns0:c>
      <ns0:c r="J286" s="7" t="n">
        <ns0:v>1742.597765363128</ns0:v>
      </ns0:c>
      <ns0:c r="K286" s="7" t="n">
        <ns0:v>43</ns0:v>
      </ns0:c>
      <ns0:c r="L286" s="18" t="inlineStr">
        <ns0:is>
          <ns0:t>範囲内なし</ns0:t>
        </ns0:is>
      </ns0:c>
      <ns0:c r="M286" s="7" t="n">
        <ns0:v>-35572.14344056738</ns0:v>
      </ns0:c>
      <ns0:c r="N286" s="7" t="n">
        <ns0:v>-16250.98565009213</ns0:v>
      </ns0:c>
      <ns0:c r="O286" s="7" t="n">
        <ns0:v>9255.647000718309</ns0:v>
      </ns0:c>
      <ns0:c r="P286" s="7" t="n">
        <ns0:v>73022.22862774442</ns0:v>
      </ns0:c>
      <ns0:c r="Q286" s="7" t="n">
        <ns0:v>286088.5551358492</ns0:v>
      </ns0:c>
      <ns0:c r="R286" s="7" t="n">
        <ns0:v>1108820.697914215</ns0:v>
      </ns0:c>
    </ns0:row>
    <ns0:row r="287" ht="24" customHeight="1">
      <ns0:c r="A287" s="3" t="inlineStr">
        <ns0:is>
          <ns0:t>セット</ns0:t>
        </ns0:is>
      </ns0:c>
      <ns0:c r="B287" s="3" t="inlineStr">
        <ns0:is>
          <ns0:t>G0基本5000比較</ns0:t>
        </ns0:is>
      </ns0:c>
      <ns0:c r="C287" s="3" t="inlineStr">
        <ns0:is>
          <ns0:t>C</ns0:t>
        </ns0:is>
      </ns0:c>
      <ns0:c r="D287" s="4" t="n">
        <ns0:v>1</ns0:v>
      </ns0:c>
      <ns0:c r="E287" s="4" t="n">
        <ns0:v>500</ns0:v>
      </ns0:c>
      <ns0:c r="F287" s="6" t="n">
        <ns0:v>0.3</ns0:v>
      </ns0:c>
      <ns0:c r="G287" s="4" t="n">
        <ns0:v>3</ns0:v>
      </ns0:c>
      <ns0:c r="H287" s="7" t="n">
        <ns0:v>9853.910614525137</ns0:v>
      </ns0:c>
      <ns0:c r="I287" s="7" t="n">
        <ns0:v>5808.659217877094</ns0:v>
      </ns0:c>
      <ns0:c r="J287" s="7" t="n">
        <ns0:v>1742.597765363128</ns0:v>
      </ns0:c>
      <ns0:c r="K287" s="7" t="n">
        <ns0:v>15</ns0:v>
      </ns0:c>
      <ns0:c r="L287" s="7" t="n">
        <ns0:v>209</ns0:v>
      </ns0:c>
      <ns0:c r="M287" s="7" t="n">
        <ns0:v>-8450.946277526855</ns0:v>
      </ns0:c>
      <ns0:c r="N287" s="7" t="n">
        <ns0:v>65112.60583902946</ns0:v>
      </ns0:c>
      <ns0:c r="O287" s="7" t="n">
        <ns0:v>144861.6328159209</ns0:v>
      </ns0:c>
      <ns0:c r="P287" s="7" t="n">
        <ns0:v>344234.2002581496</ns0:v>
      </ns0:c>
      <ns0:c r="Q287" s="7" t="n">
        <ns0:v>1099724.470027065</ns0:v>
      </ns0:c>
      <ns0:c r="R287" s="7" t="n">
        <ns0:v>3820940.414218267</ns0:v>
      </ns0:c>
    </ns0:row>
    <ns0:row r="288" ht="24" customHeight="1">
      <ns0:c r="A288" s="3" t="inlineStr">
        <ns0:is>
          <ns0:t>セット</ns0:t>
        </ns0:is>
      </ns0:c>
      <ns0:c r="B288" s="3" t="inlineStr">
        <ns0:is>
          <ns0:t>G0基本5000比較</ns0:t>
        </ns0:is>
      </ns0:c>
      <ns0:c r="C288" s="3" t="inlineStr">
        <ns0:is>
          <ns0:t>C</ns0:t>
        </ns0:is>
      </ns0:c>
      <ns0:c r="D288" s="4" t="n">
        <ns0:v>1</ns0:v>
      </ns0:c>
      <ns0:c r="E288" s="4" t="n">
        <ns0:v>500</ns0:v>
      </ns0:c>
      <ns0:c r="F288" s="6" t="n">
        <ns0:v>0.4</ns0:v>
      </ns0:c>
      <ns0:c r="G288" s="4" t="n">
        <ns0:v>0</ns0:v>
      </ns0:c>
      <ns0:c r="H288" s="7" t="n">
        <ns0:v>9853.910614525137</ns0:v>
      </ns0:c>
      <ns0:c r="I288" s="7" t="n">
        <ns0:v>5808.659217877094</ns0:v>
      </ns0:c>
      <ns0:c r="J288" s="7" t="n">
        <ns0:v>2323.463687150838</ns0:v>
      </ns0:c>
      <ns0:c r="K288" s="7" t="n">
        <ns0:v>13</ns0:v>
      </ns0:c>
      <ns0:c r="L288" s="7" t="n">
        <ns0:v>23</ns0:v>
      </ns0:c>
      <ns0:c r="M288" s="7" t="n">
        <ns0:v>-473.592489867151</ns0:v>
      </ns0:c>
      <ns0:c r="N288" s="7" t="n">
        <ns0:v>89044.66720200857</ns0:v>
      </ns0:c>
      <ns0:c r="O288" s="7" t="n">
        <ns0:v>184748.4017542195</ns0:v>
      </ns0:c>
      <ns0:c r="P288" s="7" t="n">
        <ns0:v>424007.7381347468</ns0:v>
      </ns0:c>
      <ns0:c r="Q288" s="7" t="n">
        <ns0:v>1339045.083656856</ns0:v>
      </ns0:c>
      <ns0:c r="R288" s="7" t="n">
        <ns0:v>4618675.792984238</ns0:v>
      </ns0:c>
    </ns0:row>
    <ns0:row r="289" ht="24" customHeight="1">
      <ns0:c r="A289" s="3" t="inlineStr">
        <ns0:is>
          <ns0:t>セット</ns0:t>
        </ns0:is>
      </ns0:c>
      <ns0:c r="B289" s="3" t="inlineStr">
        <ns0:is>
          <ns0:t>G0基本5000比較</ns0:t>
        </ns0:is>
      </ns0:c>
      <ns0:c r="C289" s="3" t="inlineStr">
        <ns0:is>
          <ns0:t>C</ns0:t>
        </ns0:is>
      </ns0:c>
      <ns0:c r="D289" s="4" t="n">
        <ns0:v>1</ns0:v>
      </ns0:c>
      <ns0:c r="E289" s="4" t="n">
        <ns0:v>500</ns0:v>
      </ns0:c>
      <ns0:c r="F289" s="6" t="n">
        <ns0:v>0.4</ns0:v>
      </ns0:c>
      <ns0:c r="G289" s="4" t="n">
        <ns0:v>1</ns0:v>
      </ns0:c>
      <ns0:c r="H289" s="7" t="n">
        <ns0:v>9853.910614525137</ns0:v>
      </ns0:c>
      <ns0:c r="I289" s="7" t="n">
        <ns0:v>5808.659217877094</ns0:v>
      </ns0:c>
      <ns0:c r="J289" s="7" t="n">
        <ns0:v>2323.463687150838</ns0:v>
      </ns0:c>
      <ns0:c r="K289" s="7" t="n">
        <ns0:v>14</ns0:v>
      </ns0:c>
      <ns0:c r="L289" s="7" t="n">
        <ns0:v>32</ns0:v>
      </ns0:c>
      <ns0:c r="M289" s="7" t="n">
        <ns0:v>-4797.098694871223</ns0:v>
      </ns0:c>
      <ns0:c r="N289" s="7" t="n">
        <ns0:v>76074.14858699637</ns0:v>
      </ns0:c>
      <ns0:c r="O289" s="7" t="n">
        <ns0:v>163130.8707291991</ns0:v>
      </ns0:c>
      <ns0:c r="P289" s="7" t="n">
        <ns0:v>380772.676084706</ns0:v>
      </ns0:c>
      <ns0:c r="Q289" s="7" t="n">
        <ns0:v>1209339.897506734</ns0:v>
      </ns0:c>
      <ns0:c r="R289" s="7" t="n">
        <ns0:v>4186325.172483831</ns0:v>
      </ns0:c>
    </ns0:row>
    <ns0:row r="290" ht="24" customHeight="1">
      <ns0:c r="A290" s="3" t="inlineStr">
        <ns0:is>
          <ns0:t>セット</ns0:t>
        </ns0:is>
      </ns0:c>
      <ns0:c r="B290" s="3" t="inlineStr">
        <ns0:is>
          <ns0:t>G0基本5000比較</ns0:t>
        </ns0:is>
      </ns0:c>
      <ns0:c r="C290" s="3" t="inlineStr">
        <ns0:is>
          <ns0:t>C</ns0:t>
        </ns0:is>
      </ns0:c>
      <ns0:c r="D290" s="4" t="n">
        <ns0:v>1</ns0:v>
      </ns0:c>
      <ns0:c r="E290" s="4" t="n">
        <ns0:v>500</ns0:v>
      </ns0:c>
      <ns0:c r="F290" s="6" t="n">
        <ns0:v>0.4</ns0:v>
      </ns0:c>
      <ns0:c r="G290" s="4" t="n">
        <ns0:v>2</ns0:v>
      </ns0:c>
      <ns0:c r="H290" s="7" t="n">
        <ns0:v>9853.910614525137</ns0:v>
      </ns0:c>
      <ns0:c r="I290" s="7" t="n">
        <ns0:v>5808.659217877094</ns0:v>
      </ns0:c>
      <ns0:c r="J290" s="7" t="n">
        <ns0:v>2323.463687150838</ns0:v>
      </ns0:c>
      <ns0:c r="K290" s="7" t="n">
        <ns0:v>139</ns0:v>
      </ns0:c>
      <ns0:c r="L290" s="18" t="inlineStr">
        <ns0:is>
          <ns0:t>範囲内なし</ns0:t>
        </ns0:is>
      </ns0:c>
      <ns0:c r="M290" s="7" t="n">
        <ns0:v>-41380.80265844448</ns0:v>
      </ns0:c>
      <ns0:c r="N290" s="7" t="n">
        <ns0:v>-33676.96330372343</ns0:v>
      </ns0:c>
      <ns0:c r="O290" s="7" t="n">
        <ns0:v>-19787.64908866715</ns0:v>
      </ns0:c>
      <ns0:c r="P290" s="7" t="n">
        <ns0:v>14935.6364489735</ns0:v>
      </ns0:c>
      <ns0:c r="Q290" s="7" t="n">
        <ns0:v>111828.778599536</ns0:v>
      </ns0:c>
      <ns0:c r="R290" s="7" t="n">
        <ns0:v>527954.7761265053</ns0:v>
      </ns0:c>
    </ns0:row>
    <ns0:row r="291" ht="24" customHeight="1">
      <ns0:c r="A291" s="3" t="inlineStr">
        <ns0:is>
          <ns0:t>セット</ns0:t>
        </ns0:is>
      </ns0:c>
      <ns0:c r="B291" s="3" t="inlineStr">
        <ns0:is>
          <ns0:t>G0基本5000比較</ns0:t>
        </ns0:is>
      </ns0:c>
      <ns0:c r="C291" s="3" t="inlineStr">
        <ns0:is>
          <ns0:t>C</ns0:t>
        </ns0:is>
      </ns0:c>
      <ns0:c r="D291" s="4" t="n">
        <ns0:v>1</ns0:v>
      </ns0:c>
      <ns0:c r="E291" s="4" t="n">
        <ns0:v>500</ns0:v>
      </ns0:c>
      <ns0:c r="F291" s="6" t="n">
        <ns0:v>0.4</ns0:v>
      </ns0:c>
      <ns0:c r="G291" s="4" t="n">
        <ns0:v>3</ns0:v>
      </ns0:c>
      <ns0:c r="H291" s="7" t="n">
        <ns0:v>9853.910614525137</ns0:v>
      </ns0:c>
      <ns0:c r="I291" s="7" t="n">
        <ns0:v>5808.659217877094</ns0:v>
      </ns0:c>
      <ns0:c r="J291" s="7" t="n">
        <ns0:v>2323.463687150838</ns0:v>
      </ns0:c>
      <ns0:c r="K291" s="7" t="n">
        <ns0:v>17</ns0:v>
      </ns0:c>
      <ns0:c r="L291" s="7" t="n">
        <ns0:v>574</ns0:v>
      </ns0:c>
      <ns0:c r="M291" s="7" t="n">
        <ns0:v>-14259.60549540396</ns0:v>
      </ns0:c>
      <ns0:c r="N291" s="7" t="n">
        <ns0:v>47686.62818539816</ns0:v>
      </ns0:c>
      <ns0:c r="O291" s="7" t="n">
        <ns0:v>115818.3367265355</ns0:v>
      </ns0:c>
      <ns0:c r="P291" s="7" t="n">
        <ns0:v>286147.6080793787</ns0:v>
      </ns0:c>
      <ns0:c r="Q291" s="7" t="n">
        <ns0:v>925464.6934907519</ns0:v>
      </ns0:c>
      <ns0:c r="R291" s="7" t="n">
        <ns0:v>3240074.492430557</ns0:v>
      </ns0:c>
    </ns0:row>
    <ns0:row r="292" ht="24" customHeight="1">
      <ns0:c r="A292" s="3" t="inlineStr">
        <ns0:is>
          <ns0:t>セット</ns0:t>
        </ns0:is>
      </ns0:c>
      <ns0:c r="B292" s="3" t="inlineStr">
        <ns0:is>
          <ns0:t>G0基本5000比較</ns0:t>
        </ns0:is>
      </ns0:c>
      <ns0:c r="C292" s="3" t="inlineStr">
        <ns0:is>
          <ns0:t>C</ns0:t>
        </ns0:is>
      </ns0:c>
      <ns0:c r="D292" s="4" t="n">
        <ns0:v>1</ns0:v>
      </ns0:c>
      <ns0:c r="E292" s="4" t="n">
        <ns0:v>500</ns0:v>
      </ns0:c>
      <ns0:c r="F292" s="6" t="n">
        <ns0:v>0.5</ns0:v>
      </ns0:c>
      <ns0:c r="G292" s="4" t="n">
        <ns0:v>0</ns0:v>
      </ns0:c>
      <ns0:c r="H292" s="7" t="n">
        <ns0:v>9853.910614525137</ns0:v>
      </ns0:c>
      <ns0:c r="I292" s="7" t="n">
        <ns0:v>5808.659217877094</ns0:v>
      </ns0:c>
      <ns0:c r="J292" s="7" t="n">
        <ns0:v>2904.329608938547</ns0:v>
      </ns0:c>
      <ns0:c r="K292" s="7" t="n">
        <ns0:v>14</ns0:v>
      </ns0:c>
      <ns0:c r="L292" s="7" t="n">
        <ns0:v>25</ns0:v>
      </ns0:c>
      <ns0:c r="M292" s="7" t="n">
        <ns0:v>-6282.251707744243</ns0:v>
      </ns0:c>
      <ns0:c r="N292" s="7" t="n">
        <ns0:v>71618.68954837728</ns0:v>
      </ns0:c>
      <ns0:c r="O292" s="7" t="n">
        <ns0:v>155705.105664834</ns0:v>
      </ns0:c>
      <ns0:c r="P292" s="7" t="n">
        <ns0:v>365921.1459559759</ns0:v>
      </ns0:c>
      <ns0:c r="Q292" s="7" t="n">
        <ns0:v>1164785.307120543</ns0:v>
      </ns0:c>
      <ns0:c r="R292" s="7" t="n">
        <ns0:v>4037809.871196529</ns0:v>
      </ns0:c>
    </ns0:row>
    <ns0:row r="293" ht="24" customHeight="1">
      <ns0:c r="A293" s="3" t="inlineStr">
        <ns0:is>
          <ns0:t>セット</ns0:t>
        </ns0:is>
      </ns0:c>
      <ns0:c r="B293" s="3" t="inlineStr">
        <ns0:is>
          <ns0:t>G0基本5000比較</ns0:t>
        </ns0:is>
      </ns0:c>
      <ns0:c r="C293" s="3" t="inlineStr">
        <ns0:is>
          <ns0:t>C</ns0:t>
        </ns0:is>
      </ns0:c>
      <ns0:c r="D293" s="4" t="n">
        <ns0:v>1</ns0:v>
      </ns0:c>
      <ns0:c r="E293" s="4" t="n">
        <ns0:v>500</ns0:v>
      </ns0:c>
      <ns0:c r="F293" s="6" t="n">
        <ns0:v>0.5</ns0:v>
      </ns0:c>
      <ns0:c r="G293" s="4" t="n">
        <ns0:v>1</ns0:v>
      </ns0:c>
      <ns0:c r="H293" s="7" t="n">
        <ns0:v>9853.910614525137</ns0:v>
      </ns0:c>
      <ns0:c r="I293" s="7" t="n">
        <ns0:v>5808.659217877094</ns0:v>
      </ns0:c>
      <ns0:c r="J293" s="7" t="n">
        <ns0:v>2904.329608938547</ns0:v>
      </ns0:c>
      <ns0:c r="K293" s="7" t="n">
        <ns0:v>15</ns0:v>
      </ns0:c>
      <ns0:c r="L293" s="7" t="n">
        <ns0:v>36</ns0:v>
      </ns0:c>
      <ns0:c r="M293" s="7" t="n">
        <ns0:v>-10605.75791274831</ns0:v>
      </ns0:c>
      <ns0:c r="N293" s="7" t="n">
        <ns0:v>58648.17093336508</ns0:v>
      </ns0:c>
      <ns0:c r="O293" s="7" t="n">
        <ns0:v>134087.5746398137</ns0:v>
      </ns0:c>
      <ns0:c r="P293" s="7" t="n">
        <ns0:v>322686.0839059351</ns0:v>
      </ns0:c>
      <ns0:c r="Q293" s="7" t="n">
        <ns0:v>1035080.120970421</ns0:v>
      </ns0:c>
      <ns0:c r="R293" s="7" t="n">
        <ns0:v>3605459.250696122</ns0:v>
      </ns0:c>
    </ns0:row>
    <ns0:row r="294" ht="24" customHeight="1">
      <ns0:c r="A294" s="3" t="inlineStr">
        <ns0:is>
          <ns0:t>セット</ns0:t>
        </ns0:is>
      </ns0:c>
      <ns0:c r="B294" s="3" t="inlineStr">
        <ns0:is>
          <ns0:t>G0基本5000比較</ns0:t>
        </ns0:is>
      </ns0:c>
      <ns0:c r="C294" s="3" t="inlineStr">
        <ns0:is>
          <ns0:t>C</ns0:t>
        </ns0:is>
      </ns0:c>
      <ns0:c r="D294" s="4" t="n">
        <ns0:v>1</ns0:v>
      </ns0:c>
      <ns0:c r="E294" s="4" t="n">
        <ns0:v>500</ns0:v>
      </ns0:c>
      <ns0:c r="F294" s="6" t="n">
        <ns0:v>0.5</ns0:v>
      </ns0:c>
      <ns0:c r="G294" s="4" t="n">
        <ns0:v>2</ns0:v>
      </ns0:c>
      <ns0:c r="H294" s="7" t="n">
        <ns0:v>9853.910614525137</ns0:v>
      </ns0:c>
      <ns0:c r="I294" s="7" t="n">
        <ns0:v>5808.659217877094</ns0:v>
      </ns0:c>
      <ns0:c r="J294" s="7" t="n">
        <ns0:v>2904.329608938547</ns0:v>
      </ns0:c>
      <ns0:c r="K294" s="18" t="inlineStr">
        <ns0:is>
          <ns0:t>範囲内なし</ns0:t>
        </ns0:is>
      </ns0:c>
      <ns0:c r="L294" s="18" t="inlineStr">
        <ns0:is>
          <ns0:t>範囲内なし</ns0:t>
        </ns0:is>
      </ns0:c>
      <ns0:c r="M294" s="7" t="n">
        <ns0:v>-47189.46187632157</ns0:v>
      </ns0:c>
      <ns0:c r="N294" s="7" t="n">
        <ns0:v>-51102.94095735472</ns0:v>
      </ns0:c>
      <ns0:c r="O294" s="7" t="n">
        <ns0:v>-48830.94517805263</ns0:v>
      </ns0:c>
      <ns0:c r="P294" s="7" t="n">
        <ns0:v>-43150.95572979745</ns0:v>
      </ns0:c>
      <ns0:c r="Q294" s="7" t="n">
        <ns0:v>-62430.99793677684</ns0:v>
      </ns0:c>
      <ns0:c r="R294" s="7" t="n">
        <ns0:v>-52911.14566120412</ns0:v>
      </ns0:c>
    </ns0:row>
    <ns0:row r="295" ht="24" customHeight="1">
      <ns0:c r="A295" s="3" t="inlineStr">
        <ns0:is>
          <ns0:t>セット</ns0:t>
        </ns0:is>
      </ns0:c>
      <ns0:c r="B295" s="3" t="inlineStr">
        <ns0:is>
          <ns0:t>G0基本5000比較</ns0:t>
        </ns0:is>
      </ns0:c>
      <ns0:c r="C295" s="3" t="inlineStr">
        <ns0:is>
          <ns0:t>C</ns0:t>
        </ns0:is>
      </ns0:c>
      <ns0:c r="D295" s="4" t="n">
        <ns0:v>1</ns0:v>
      </ns0:c>
      <ns0:c r="E295" s="4" t="n">
        <ns0:v>500</ns0:v>
      </ns0:c>
      <ns0:c r="F295" s="6" t="n">
        <ns0:v>0.5</ns0:v>
      </ns0:c>
      <ns0:c r="G295" s="4" t="n">
        <ns0:v>3</ns0:v>
      </ns0:c>
      <ns0:c r="H295" s="7" t="n">
        <ns0:v>9853.910614525137</ns0:v>
      </ns0:c>
      <ns0:c r="I295" s="7" t="n">
        <ns0:v>5808.659217877094</ns0:v>
      </ns0:c>
      <ns0:c r="J295" s="7" t="n">
        <ns0:v>2904.329608938547</ns0:v>
      </ns0:c>
      <ns0:c r="K295" s="7" t="n">
        <ns0:v>20</ns0:v>
      </ns0:c>
      <ns0:c r="L295" s="18" t="inlineStr">
        <ns0:is>
          <ns0:t>範囲内なし</ns0:t>
        </ns0:is>
      </ns0:c>
      <ns0:c r="M295" s="7" t="n">
        <ns0:v>-20068.26471328105</ns0:v>
      </ns0:c>
      <ns0:c r="N295" s="7" t="n">
        <ns0:v>30260.65053176688</ns0:v>
      </ns0:c>
      <ns0:c r="O295" s="7" t="n">
        <ns0:v>86775.04063715</ns0:v>
      </ns0:c>
      <ns0:c r="P295" s="7" t="n">
        <ns0:v>228061.0159006078</ns0:v>
      </ns0:c>
      <ns0:c r="Q295" s="7" t="n">
        <ns0:v>751204.9169544389</ns0:v>
      </ns0:c>
      <ns0:c r="R295" s="7" t="n">
        <ns0:v>2659208.570642848</ns0:v>
      </ns0:c>
    </ns0:row>
    <ns0:row r="296" ht="24" customHeight="1">
      <ns0:c r="A296" s="3" t="inlineStr">
        <ns0:is>
          <ns0:t>セット</ns0:t>
        </ns0:is>
      </ns0:c>
      <ns0:c r="B296" s="3" t="inlineStr">
        <ns0:is>
          <ns0:t>G0基本5000比較</ns0:t>
        </ns0:is>
      </ns0:c>
      <ns0:c r="C296" s="3" t="inlineStr">
        <ns0:is>
          <ns0:t>C</ns0:t>
        </ns0:is>
      </ns0:c>
      <ns0:c r="D296" s="4" t="n">
        <ns0:v>1</ns0:v>
      </ns0:c>
      <ns0:c r="E296" s="4" t="n">
        <ns0:v>1000</ns0:v>
      </ns0:c>
      <ns0:c r="F296" s="6" t="n">
        <ns0:v>0.3</ns0:v>
      </ns0:c>
      <ns0:c r="G296" s="4" t="n">
        <ns0:v>0</ns0:v>
      </ns0:c>
      <ns0:c r="H296" s="7" t="n">
        <ns0:v>9353.910614525137</ns0:v>
      </ns0:c>
      <ns0:c r="I296" s="7" t="n">
        <ns0:v>5308.659217877094</ns0:v>
      </ns0:c>
      <ns0:c r="J296" s="7" t="n">
        <ns0:v>1592.597765363128</ns0:v>
      </ns0:c>
      <ns0:c r="K296" s="7" t="n">
        <ns0:v>12</ns0:v>
      </ns0:c>
      <ns0:c r="L296" s="7" t="n">
        <ns0:v>22</ns0:v>
      </ns0:c>
      <ns0:c r="M296" s="7" t="n">
        <ns0:v>2015.066728009951</ns0:v>
      </ns0:c>
      <ns0:c r="N296" s="7" t="n">
        <ns0:v>96510.64485563987</ns0:v>
      </ns0:c>
      <ns0:c r="O296" s="7" t="n">
        <ns0:v>197191.697843605</ns0:v>
      </ns0:c>
      <ns0:c r="P296" s="7" t="n">
        <ns0:v>448894.3303135177</ns0:v>
      </ns0:c>
      <ns0:c r="Q296" s="7" t="n">
        <ns0:v>1413704.860193169</ns0:v>
      </ns0:c>
      <ns0:c r="R296" s="7" t="n">
        <ns0:v>4867541.714771947</ns0:v>
      </ns0:c>
    </ns0:row>
    <ns0:row r="297" ht="24" customHeight="1">
      <ns0:c r="A297" s="3" t="inlineStr">
        <ns0:is>
          <ns0:t>セット</ns0:t>
        </ns0:is>
      </ns0:c>
      <ns0:c r="B297" s="3" t="inlineStr">
        <ns0:is>
          <ns0:t>G0基本5000比較</ns0:t>
        </ns0:is>
      </ns0:c>
      <ns0:c r="C297" s="3" t="inlineStr">
        <ns0:is>
          <ns0:t>C</ns0:t>
        </ns0:is>
      </ns0:c>
      <ns0:c r="D297" s="4" t="n">
        <ns0:v>1</ns0:v>
      </ns0:c>
      <ns0:c r="E297" s="4" t="n">
        <ns0:v>1000</ns0:v>
      </ns0:c>
      <ns0:c r="F297" s="6" t="n">
        <ns0:v>0.3</ns0:v>
      </ns0:c>
      <ns0:c r="G297" s="4" t="n">
        <ns0:v>1</ns0:v>
      </ns0:c>
      <ns0:c r="H297" s="7" t="n">
        <ns0:v>9353.910614525137</ns0:v>
      </ns0:c>
      <ns0:c r="I297" s="7" t="n">
        <ns0:v>5308.659217877094</ns0:v>
      </ns0:c>
      <ns0:c r="J297" s="7" t="n">
        <ns0:v>1592.597765363128</ns0:v>
      </ns0:c>
      <ns0:c r="K297" s="7" t="n">
        <ns0:v>13</ns0:v>
      </ns0:c>
      <ns0:c r="L297" s="7" t="n">
        <ns0:v>30</ns0:v>
      </ns0:c>
      <ns0:c r="M297" s="7" t="n">
        <ns0:v>-2308.439476994121</ns0:v>
      </ns0:c>
      <ns0:c r="N297" s="7" t="n">
        <ns0:v>83540.12624062767</ns0:v>
      </ns0:c>
      <ns0:c r="O297" s="7" t="n">
        <ns0:v>175574.1668185846</ns0:v>
      </ns0:c>
      <ns0:c r="P297" s="7" t="n">
        <ns0:v>405659.268263477</ns0:v>
      </ns0:c>
      <ns0:c r="Q297" s="7" t="n">
        <ns0:v>1283999.674043047</ns0:v>
      </ns0:c>
      <ns0:c r="R297" s="7" t="n">
        <ns0:v>4435191.094271539</ns0:v>
      </ns0:c>
    </ns0:row>
    <ns0:row r="298" ht="24" customHeight="1">
      <ns0:c r="A298" s="3" t="inlineStr">
        <ns0:is>
          <ns0:t>セット</ns0:t>
        </ns0:is>
      </ns0:c>
      <ns0:c r="B298" s="3" t="inlineStr">
        <ns0:is>
          <ns0:t>G0基本5000比較</ns0:t>
        </ns0:is>
      </ns0:c>
      <ns0:c r="C298" s="3" t="inlineStr">
        <ns0:is>
          <ns0:t>C</ns0:t>
        </ns0:is>
      </ns0:c>
      <ns0:c r="D298" s="4" t="n">
        <ns0:v>1</ns0:v>
      </ns0:c>
      <ns0:c r="E298" s="4" t="n">
        <ns0:v>1000</ns0:v>
      </ns0:c>
      <ns0:c r="F298" s="6" t="n">
        <ns0:v>0.3</ns0:v>
      </ns0:c>
      <ns0:c r="G298" s="4" t="n">
        <ns0:v>2</ns0:v>
      </ns0:c>
      <ns0:c r="H298" s="7" t="n">
        <ns0:v>9353.910614525137</ns0:v>
      </ns0:c>
      <ns0:c r="I298" s="7" t="n">
        <ns0:v>5308.659217877094</ns0:v>
      </ns0:c>
      <ns0:c r="J298" s="7" t="n">
        <ns0:v>1592.597765363128</ns0:v>
      </ns0:c>
      <ns0:c r="K298" s="7" t="n">
        <ns0:v>103</ns0:v>
      </ns0:c>
      <ns0:c r="L298" s="18" t="inlineStr">
        <ns0:is>
          <ns0:t>範囲内なし</ns0:t>
        </ns0:is>
      </ns0:c>
      <ns0:c r="M298" s="7" t="n">
        <ns0:v>-38892.14344056738</ns0:v>
      </ns0:c>
      <ns0:c r="N298" s="7" t="n">
        <ns0:v>-26210.98565009213</ns0:v>
      </ns0:c>
      <ns0:c r="O298" s="7" t="n">
        <ns0:v>-7344.352999281691</ns0:v>
      </ns0:c>
      <ns0:c r="P298" s="7" t="n">
        <ns0:v>39822.22862774442</ns0:v>
      </ns0:c>
      <ns0:c r="Q298" s="7" t="n">
        <ns0:v>186488.5551358489</ns0:v>
      </ns0:c>
      <ns0:c r="R298" s="7" t="n">
        <ns0:v>776820.6979142139</ns0:v>
      </ns0:c>
    </ns0:row>
    <ns0:row r="299" ht="24" customHeight="1">
      <ns0:c r="A299" s="3" t="inlineStr">
        <ns0:is>
          <ns0:t>セット</ns0:t>
        </ns0:is>
      </ns0:c>
      <ns0:c r="B299" s="3" t="inlineStr">
        <ns0:is>
          <ns0:t>G0基本5000比較</ns0:t>
        </ns0:is>
      </ns0:c>
      <ns0:c r="C299" s="3" t="inlineStr">
        <ns0:is>
          <ns0:t>C</ns0:t>
        </ns0:is>
      </ns0:c>
      <ns0:c r="D299" s="4" t="n">
        <ns0:v>1</ns0:v>
      </ns0:c>
      <ns0:c r="E299" s="4" t="n">
        <ns0:v>1000</ns0:v>
      </ns0:c>
      <ns0:c r="F299" s="6" t="n">
        <ns0:v>0.3</ns0:v>
      </ns0:c>
      <ns0:c r="G299" s="4" t="n">
        <ns0:v>3</ns0:v>
      </ns0:c>
      <ns0:c r="H299" s="7" t="n">
        <ns0:v>9353.910614525137</ns0:v>
      </ns0:c>
      <ns0:c r="I299" s="7" t="n">
        <ns0:v>5308.659217877094</ns0:v>
      </ns0:c>
      <ns0:c r="J299" s="7" t="n">
        <ns0:v>1592.597765363128</ns0:v>
      </ns0:c>
      <ns0:c r="K299" s="7" t="n">
        <ns0:v>16</ns0:v>
      </ns0:c>
      <ns0:c r="L299" s="7" t="n">
        <ns0:v>277</ns0:v>
      </ns0:c>
      <ns0:c r="M299" s="7" t="n">
        <ns0:v>-11770.94627752685</ns0:v>
      </ns0:c>
      <ns0:c r="N299" s="7" t="n">
        <ns0:v>55152.60583902946</ns0:v>
      </ns0:c>
      <ns0:c r="O299" s="7" t="n">
        <ns0:v>128261.6328159209</ns0:v>
      </ns0:c>
      <ns0:c r="P299" s="7" t="n">
        <ns0:v>311034.2002581496</ns0:v>
      </ns0:c>
      <ns0:c r="Q299" s="7" t="n">
        <ns0:v>1000124.470027065</ns0:v>
      </ns0:c>
      <ns0:c r="R299" s="7" t="n">
        <ns0:v>3488940.414218266</ns0:v>
      </ns0:c>
    </ns0:row>
    <ns0:row r="300" ht="24" customHeight="1">
      <ns0:c r="A300" s="3" t="inlineStr">
        <ns0:is>
          <ns0:t>セット</ns0:t>
        </ns0:is>
      </ns0:c>
      <ns0:c r="B300" s="3" t="inlineStr">
        <ns0:is>
          <ns0:t>G0基本5000比較</ns0:t>
        </ns0:is>
      </ns0:c>
      <ns0:c r="C300" s="3" t="inlineStr">
        <ns0:is>
          <ns0:t>C</ns0:t>
        </ns0:is>
      </ns0:c>
      <ns0:c r="D300" s="4" t="n">
        <ns0:v>1</ns0:v>
      </ns0:c>
      <ns0:c r="E300" s="4" t="n">
        <ns0:v>1000</ns0:v>
      </ns0:c>
      <ns0:c r="F300" s="6" t="n">
        <ns0:v>0.4</ns0:v>
      </ns0:c>
      <ns0:c r="G300" s="4" t="n">
        <ns0:v>0</ns0:v>
      </ns0:c>
      <ns0:c r="H300" s="7" t="n">
        <ns0:v>9353.910614525137</ns0:v>
      </ns0:c>
      <ns0:c r="I300" s="7" t="n">
        <ns0:v>5308.659217877094</ns0:v>
      </ns0:c>
      <ns0:c r="J300" s="7" t="n">
        <ns0:v>2123.463687150838</ns0:v>
      </ns0:c>
      <ns0:c r="K300" s="7" t="n">
        <ns0:v>14</ns0:v>
      </ns0:c>
      <ns0:c r="L300" s="7" t="n">
        <ns0:v>24</ns0:v>
      </ns0:c>
      <ns0:c r="M300" s="7" t="n">
        <ns0:v>-3293.592489867155</ns0:v>
      </ns0:c>
      <ns0:c r="N300" s="7" t="n">
        <ns0:v>80584.66720200857</ns0:v>
      </ns0:c>
      <ns0:c r="O300" s="7" t="n">
        <ns0:v>170648.4017542195</ns0:v>
      </ns0:c>
      <ns0:c r="P300" s="7" t="n">
        <ns0:v>395807.7381347468</ns0:v>
      </ns0:c>
      <ns0:c r="Q300" s="7" t="n">
        <ns0:v>1254445.083656856</ns0:v>
      </ns0:c>
      <ns0:c r="R300" s="7" t="n">
        <ns0:v>4336675.792984237</ns0:v>
      </ns0:c>
    </ns0:row>
    <ns0:row r="301" ht="24" customHeight="1">
      <ns0:c r="A301" s="3" t="inlineStr">
        <ns0:is>
          <ns0:t>セット</ns0:t>
        </ns0:is>
      </ns0:c>
      <ns0:c r="B301" s="3" t="inlineStr">
        <ns0:is>
          <ns0:t>G0基本5000比較</ns0:t>
        </ns0:is>
      </ns0:c>
      <ns0:c r="C301" s="3" t="inlineStr">
        <ns0:is>
          <ns0:t>C</ns0:t>
        </ns0:is>
      </ns0:c>
      <ns0:c r="D301" s="4" t="n">
        <ns0:v>1</ns0:v>
      </ns0:c>
      <ns0:c r="E301" s="4" t="n">
        <ns0:v>1000</ns0:v>
      </ns0:c>
      <ns0:c r="F301" s="6" t="n">
        <ns0:v>0.4</ns0:v>
      </ns0:c>
      <ns0:c r="G301" s="4" t="n">
        <ns0:v>1</ns0:v>
      </ns0:c>
      <ns0:c r="H301" s="7" t="n">
        <ns0:v>9353.910614525137</ns0:v>
      </ns0:c>
      <ns0:c r="I301" s="7" t="n">
        <ns0:v>5308.659217877094</ns0:v>
      </ns0:c>
      <ns0:c r="J301" s="7" t="n">
        <ns0:v>2123.463687150838</ns0:v>
      </ns0:c>
      <ns0:c r="K301" s="7" t="n">
        <ns0:v>15</ns0:v>
      </ns0:c>
      <ns0:c r="L301" s="7" t="n">
        <ns0:v>34</ns0:v>
      </ns0:c>
      <ns0:c r="M301" s="7" t="n">
        <ns0:v>-7617.098694871223</ns0:v>
      </ns0:c>
      <ns0:c r="N301" s="7" t="n">
        <ns0:v>67614.14858699637</ns0:v>
      </ns0:c>
      <ns0:c r="O301" s="7" t="n">
        <ns0:v>149030.8707291991</ns0:v>
      </ns0:c>
      <ns0:c r="P301" s="7" t="n">
        <ns0:v>352572.676084706</ns0:v>
      </ns0:c>
      <ns0:c r="Q301" s="7" t="n">
        <ns0:v>1124739.897506734</ns0:v>
      </ns0:c>
      <ns0:c r="R301" s="7" t="n">
        <ns0:v>3904325.17248383</ns0:v>
      </ns0:c>
    </ns0:row>
    <ns0:row r="302" ht="24" customHeight="1">
      <ns0:c r="A302" s="3" t="inlineStr">
        <ns0:is>
          <ns0:t>セット</ns0:t>
        </ns0:is>
      </ns0:c>
      <ns0:c r="B302" s="3" t="inlineStr">
        <ns0:is>
          <ns0:t>G0基本5000比較</ns0:t>
        </ns0:is>
      </ns0:c>
      <ns0:c r="C302" s="3" t="inlineStr">
        <ns0:is>
          <ns0:t>C</ns0:t>
        </ns0:is>
      </ns0:c>
      <ns0:c r="D302" s="4" t="n">
        <ns0:v>1</ns0:v>
      </ns0:c>
      <ns0:c r="E302" s="4" t="n">
        <ns0:v>1000</ns0:v>
      </ns0:c>
      <ns0:c r="F302" s="6" t="n">
        <ns0:v>0.4</ns0:v>
      </ns0:c>
      <ns0:c r="G302" s="4" t="n">
        <ns0:v>2</ns0:v>
      </ns0:c>
      <ns0:c r="H302" s="7" t="n">
        <ns0:v>9353.910614525137</ns0:v>
      </ns0:c>
      <ns0:c r="I302" s="7" t="n">
        <ns0:v>5308.659217877094</ns0:v>
      </ns0:c>
      <ns0:c r="J302" s="7" t="n">
        <ns0:v>2123.463687150838</ns0:v>
      </ns0:c>
      <ns0:c r="K302" s="7" t="n">
        <ns0:v>234</ns0:v>
      </ns0:c>
      <ns0:c r="L302" s="18" t="inlineStr">
        <ns0:is>
          <ns0:t>範囲内なし</ns0:t>
        </ns0:is>
      </ns0:c>
      <ns0:c r="M302" s="7" t="n">
        <ns0:v>-44200.80265844448</ns0:v>
      </ns0:c>
      <ns0:c r="N302" s="7" t="n">
        <ns0:v>-42136.96330372343</ns0:v>
      </ns0:c>
      <ns0:c r="O302" s="7" t="n">
        <ns0:v>-33887.64908866715</ns0:v>
      </ns0:c>
      <ns0:c r="P302" s="7" t="n">
        <ns0:v>-13264.3635510265</ns0:v>
      </ns0:c>
      <ns0:c r="Q302" s="7" t="n">
        <ns0:v>27228.77859953581</ns0:v>
      </ns0:c>
      <ns0:c r="R302" s="7" t="n">
        <ns0:v>245954.7761265044</ns0:v>
      </ns0:c>
    </ns0:row>
    <ns0:row r="303" ht="24" customHeight="1">
      <ns0:c r="A303" s="3" t="inlineStr">
        <ns0:is>
          <ns0:t>セット</ns0:t>
        </ns0:is>
      </ns0:c>
      <ns0:c r="B303" s="3" t="inlineStr">
        <ns0:is>
          <ns0:t>G0基本5000比較</ns0:t>
        </ns0:is>
      </ns0:c>
      <ns0:c r="C303" s="3" t="inlineStr">
        <ns0:is>
          <ns0:t>C</ns0:t>
        </ns0:is>
      </ns0:c>
      <ns0:c r="D303" s="4" t="n">
        <ns0:v>1</ns0:v>
      </ns0:c>
      <ns0:c r="E303" s="4" t="n">
        <ns0:v>1000</ns0:v>
      </ns0:c>
      <ns0:c r="F303" s="6" t="n">
        <ns0:v>0.4</ns0:v>
      </ns0:c>
      <ns0:c r="G303" s="4" t="n">
        <ns0:v>3</ns0:v>
      </ns0:c>
      <ns0:c r="H303" s="7" t="n">
        <ns0:v>9353.910614525137</ns0:v>
      </ns0:c>
      <ns0:c r="I303" s="7" t="n">
        <ns0:v>5308.659217877094</ns0:v>
      </ns0:c>
      <ns0:c r="J303" s="7" t="n">
        <ns0:v>2123.463687150838</ns0:v>
      </ns0:c>
      <ns0:c r="K303" s="7" t="n">
        <ns0:v>18</ns0:v>
      </ns0:c>
      <ns0:c r="L303" s="7" t="n">
        <ns0:v>924</ns0:v>
      </ns0:c>
      <ns0:c r="M303" s="7" t="n">
        <ns0:v>-17079.60549540396</ns0:v>
      </ns0:c>
      <ns0:c r="N303" s="7" t="n">
        <ns0:v>39226.62818539817</ns0:v>
      </ns0:c>
      <ns0:c r="O303" s="7" t="n">
        <ns0:v>101718.3367265355</ns0:v>
      </ns0:c>
      <ns0:c r="P303" s="7" t="n">
        <ns0:v>257947.6080793787</ns0:v>
      </ns0:c>
      <ns0:c r="Q303" s="7" t="n">
        <ns0:v>840864.6934907517</ns0:v>
      </ns0:c>
      <ns0:c r="R303" s="7" t="n">
        <ns0:v>2958074.492430557</ns0:v>
      </ns0:c>
    </ns0:row>
    <ns0:row r="304" ht="24" customHeight="1">
      <ns0:c r="A304" s="3" t="inlineStr">
        <ns0:is>
          <ns0:t>セット</ns0:t>
        </ns0:is>
      </ns0:c>
      <ns0:c r="B304" s="3" t="inlineStr">
        <ns0:is>
          <ns0:t>G0基本5000比較</ns0:t>
        </ns0:is>
      </ns0:c>
      <ns0:c r="C304" s="3" t="inlineStr">
        <ns0:is>
          <ns0:t>C</ns0:t>
        </ns0:is>
      </ns0:c>
      <ns0:c r="D304" s="4" t="n">
        <ns0:v>1</ns0:v>
      </ns0:c>
      <ns0:c r="E304" s="4" t="n">
        <ns0:v>1000</ns0:v>
      </ns0:c>
      <ns0:c r="F304" s="6" t="n">
        <ns0:v>0.5</ns0:v>
      </ns0:c>
      <ns0:c r="G304" s="4" t="n">
        <ns0:v>0</ns0:v>
      </ns0:c>
      <ns0:c r="H304" s="7" t="n">
        <ns0:v>9353.910614525137</ns0:v>
      </ns0:c>
      <ns0:c r="I304" s="7" t="n">
        <ns0:v>5308.659217877094</ns0:v>
      </ns0:c>
      <ns0:c r="J304" s="7" t="n">
        <ns0:v>2654.329608938547</ns0:v>
      </ns0:c>
      <ns0:c r="K304" s="7" t="n">
        <ns0:v>15</ns0:v>
      </ns0:c>
      <ns0:c r="L304" s="7" t="n">
        <ns0:v>26</ns0:v>
      </ns0:c>
      <ns0:c r="M304" s="7" t="n">
        <ns0:v>-8602.251707744243</ns0:v>
      </ns0:c>
      <ns0:c r="N304" s="7" t="n">
        <ns0:v>64658.68954837728</ns0:v>
      </ns0:c>
      <ns0:c r="O304" s="7" t="n">
        <ns0:v>144105.105664834</ns0:v>
      </ns0:c>
      <ns0:c r="P304" s="7" t="n">
        <ns0:v>342721.1459559759</ns0:v>
      </ns0:c>
      <ns0:c r="Q304" s="7" t="n">
        <ns0:v>1095185.307120543</ns0:v>
      </ns0:c>
      <ns0:c r="R304" s="7" t="n">
        <ns0:v>3805809.871196528</ns0:v>
      </ns0:c>
    </ns0:row>
    <ns0:row r="305" ht="24" customHeight="1">
      <ns0:c r="A305" s="3" t="inlineStr">
        <ns0:is>
          <ns0:t>セット</ns0:t>
        </ns0:is>
      </ns0:c>
      <ns0:c r="B305" s="3" t="inlineStr">
        <ns0:is>
          <ns0:t>G0基本5000比較</ns0:t>
        </ns0:is>
      </ns0:c>
      <ns0:c r="C305" s="3" t="inlineStr">
        <ns0:is>
          <ns0:t>C</ns0:t>
        </ns0:is>
      </ns0:c>
      <ns0:c r="D305" s="4" t="n">
        <ns0:v>1</ns0:v>
      </ns0:c>
      <ns0:c r="E305" s="4" t="n">
        <ns0:v>1000</ns0:v>
      </ns0:c>
      <ns0:c r="F305" s="6" t="n">
        <ns0:v>0.5</ns0:v>
      </ns0:c>
      <ns0:c r="G305" s="4" t="n">
        <ns0:v>1</ns0:v>
      </ns0:c>
      <ns0:c r="H305" s="7" t="n">
        <ns0:v>9353.910614525137</ns0:v>
      </ns0:c>
      <ns0:c r="I305" s="7" t="n">
        <ns0:v>5308.659217877094</ns0:v>
      </ns0:c>
      <ns0:c r="J305" s="7" t="n">
        <ns0:v>2654.329608938547</ns0:v>
      </ns0:c>
      <ns0:c r="K305" s="7" t="n">
        <ns0:v>16</ns0:v>
      </ns0:c>
      <ns0:c r="L305" s="7" t="n">
        <ns0:v>38</ns0:v>
      </ns0:c>
      <ns0:c r="M305" s="7" t="n">
        <ns0:v>-12925.75791274831</ns0:v>
      </ns0:c>
      <ns0:c r="N305" s="7" t="n">
        <ns0:v>51688.17093336508</ns0:v>
      </ns0:c>
      <ns0:c r="O305" s="7" t="n">
        <ns0:v>122487.5746398137</ns0:v>
      </ns0:c>
      <ns0:c r="P305" s="7" t="n">
        <ns0:v>299486.0839059351</ns0:v>
      </ns0:c>
      <ns0:c r="Q305" s="7" t="n">
        <ns0:v>965480.120970421</ns0:v>
      </ns0:c>
      <ns0:c r="R305" s="7" t="n">
        <ns0:v>3373459.250696121</ns0:v>
      </ns0:c>
    </ns0:row>
    <ns0:row r="306" ht="24" customHeight="1">
      <ns0:c r="A306" s="3" t="inlineStr">
        <ns0:is>
          <ns0:t>セット</ns0:t>
        </ns0:is>
      </ns0:c>
      <ns0:c r="B306" s="3" t="inlineStr">
        <ns0:is>
          <ns0:t>G0基本5000比較</ns0:t>
        </ns0:is>
      </ns0:c>
      <ns0:c r="C306" s="3" t="inlineStr">
        <ns0:is>
          <ns0:t>C</ns0:t>
        </ns0:is>
      </ns0:c>
      <ns0:c r="D306" s="4" t="n">
        <ns0:v>1</ns0:v>
      </ns0:c>
      <ns0:c r="E306" s="4" t="n">
        <ns0:v>1000</ns0:v>
      </ns0:c>
      <ns0:c r="F306" s="6" t="n">
        <ns0:v>0.5</ns0:v>
      </ns0:c>
      <ns0:c r="G306" s="4" t="n">
        <ns0:v>2</ns0:v>
      </ns0:c>
      <ns0:c r="H306" s="7" t="n">
        <ns0:v>9353.910614525137</ns0:v>
      </ns0:c>
      <ns0:c r="I306" s="7" t="n">
        <ns0:v>5308.659217877094</ns0:v>
      </ns0:c>
      <ns0:c r="J306" s="7" t="n">
        <ns0:v>2654.329608938547</ns0:v>
      </ns0:c>
      <ns0:c r="K306" s="18" t="inlineStr">
        <ns0:is>
          <ns0:t>範囲内なし</ns0:t>
        </ns0:is>
      </ns0:c>
      <ns0:c r="L306" s="18" t="inlineStr">
        <ns0:is>
          <ns0:t>範囲内なし</ns0:t>
        </ns0:is>
      </ns0:c>
      <ns0:c r="M306" s="7" t="n">
        <ns0:v>-49509.46187632157</ns0:v>
      </ns0:c>
      <ns0:c r="N306" s="7" t="n">
        <ns0:v>-58062.94095735472</ns0:v>
      </ns0:c>
      <ns0:c r="O306" s="7" t="n">
        <ns0:v>-60430.94517805263</ns0:v>
      </ns0:c>
      <ns0:c r="P306" s="7" t="n">
        <ns0:v>-66350.95572979745</ns0:v>
      </ns0:c>
      <ns0:c r="Q306" s="7" t="n">
        <ns0:v>-132030.9979367768</ns0:v>
      </ns0:c>
      <ns0:c r="R306" s="7" t="n">
        <ns0:v>-284911.1456612046</ns0:v>
      </ns0:c>
    </ns0:row>
    <ns0:row r="307" ht="24" customHeight="1">
      <ns0:c r="A307" s="3" t="inlineStr">
        <ns0:is>
          <ns0:t>セット</ns0:t>
        </ns0:is>
      </ns0:c>
      <ns0:c r="B307" s="3" t="inlineStr">
        <ns0:is>
          <ns0:t>G0基本5000比較</ns0:t>
        </ns0:is>
      </ns0:c>
      <ns0:c r="C307" s="3" t="inlineStr">
        <ns0:is>
          <ns0:t>C</ns0:t>
        </ns0:is>
      </ns0:c>
      <ns0:c r="D307" s="4" t="n">
        <ns0:v>1</ns0:v>
      </ns0:c>
      <ns0:c r="E307" s="4" t="n">
        <ns0:v>1000</ns0:v>
      </ns0:c>
      <ns0:c r="F307" s="6" t="n">
        <ns0:v>0.5</ns0:v>
      </ns0:c>
      <ns0:c r="G307" s="4" t="n">
        <ns0:v>3</ns0:v>
      </ns0:c>
      <ns0:c r="H307" s="7" t="n">
        <ns0:v>9353.910614525137</ns0:v>
      </ns0:c>
      <ns0:c r="I307" s="7" t="n">
        <ns0:v>5308.659217877094</ns0:v>
      </ns0:c>
      <ns0:c r="J307" s="7" t="n">
        <ns0:v>2654.329608938547</ns0:v>
      </ns0:c>
      <ns0:c r="K307" s="7" t="n">
        <ns0:v>22</ns0:v>
      </ns0:c>
      <ns0:c r="L307" s="18" t="inlineStr">
        <ns0:is>
          <ns0:t>範囲内なし</ns0:t>
        </ns0:is>
      </ns0:c>
      <ns0:c r="M307" s="7" t="n">
        <ns0:v>-22388.26471328105</ns0:v>
      </ns0:c>
      <ns0:c r="N307" s="7" t="n">
        <ns0:v>23300.65053176688</ns0:v>
      </ns0:c>
      <ns0:c r="O307" s="7" t="n">
        <ns0:v>75175.04063715</ns0:v>
      </ns0:c>
      <ns0:c r="P307" s="7" t="n">
        <ns0:v>204861.0159006078</ns0:v>
      </ns0:c>
      <ns0:c r="Q307" s="7" t="n">
        <ns0:v>681604.916954439</ns0:v>
      </ns0:c>
      <ns0:c r="R307" s="7" t="n">
        <ns0:v>2427208.570642848</ns0:v>
      </ns0:c>
    </ns0:row>
    <ns0:row r="308" ht="24" customHeight="1">
      <ns0:c r="A308" s="3" t="inlineStr">
        <ns0:is>
          <ns0:t>セット</ns0:t>
        </ns0:is>
      </ns0:c>
      <ns0:c r="B308" s="3" t="inlineStr">
        <ns0:is>
          <ns0:t>G0基本5000比較</ns0:t>
        </ns0:is>
      </ns0:c>
      <ns0:c r="C308" s="3" t="inlineStr">
        <ns0:is>
          <ns0:t>C</ns0:t>
        </ns0:is>
      </ns0:c>
      <ns0:c r="D308" s="4" t="n">
        <ns0:v>1</ns0:v>
      </ns0:c>
      <ns0:c r="E308" s="4" t="n">
        <ns0:v>1500</ns0:v>
      </ns0:c>
      <ns0:c r="F308" s="6" t="n">
        <ns0:v>0.3</ns0:v>
      </ns0:c>
      <ns0:c r="G308" s="4" t="n">
        <ns0:v>0</ns0:v>
      </ns0:c>
      <ns0:c r="H308" s="7" t="n">
        <ns0:v>8853.910614525139</ns0:v>
      </ns0:c>
      <ns0:c r="I308" s="7" t="n">
        <ns0:v>4808.659217877094</ns0:v>
      </ns0:c>
      <ns0:c r="J308" s="7" t="n">
        <ns0:v>1442.597765363128</ns0:v>
      </ns0:c>
      <ns0:c r="K308" s="7" t="n">
        <ns0:v>13</ns0:v>
      </ns0:c>
      <ns0:c r="L308" s="7" t="n">
        <ns0:v>23</ns0:v>
      </ns0:c>
      <ns0:c r="M308" s="7" t="n">
        <ns0:v>-1304.933271990063</ns0:v>
      </ns0:c>
      <ns0:c r="N308" s="7" t="n">
        <ns0:v>86550.64485563981</ns0:v>
      </ns0:c>
      <ns0:c r="O308" s="7" t="n">
        <ns0:v>180591.697843605</ns0:v>
      </ns0:c>
      <ns0:c r="P308" s="7" t="n">
        <ns0:v>415694.3303135177</ns0:v>
      </ns0:c>
      <ns0:c r="Q308" s="7" t="n">
        <ns0:v>1314104.860193169</ns0:v>
      </ns0:c>
      <ns0:c r="R308" s="7" t="n">
        <ns0:v>4535541.714771947</ns0:v>
      </ns0:c>
    </ns0:row>
    <ns0:row r="309" ht="24" customHeight="1">
      <ns0:c r="A309" s="3" t="inlineStr">
        <ns0:is>
          <ns0:t>セット</ns0:t>
        </ns0:is>
      </ns0:c>
      <ns0:c r="B309" s="3" t="inlineStr">
        <ns0:is>
          <ns0:t>G0基本5000比較</ns0:t>
        </ns0:is>
      </ns0:c>
      <ns0:c r="C309" s="3" t="inlineStr">
        <ns0:is>
          <ns0:t>C</ns0:t>
        </ns0:is>
      </ns0:c>
      <ns0:c r="D309" s="4" t="n">
        <ns0:v>1</ns0:v>
      </ns0:c>
      <ns0:c r="E309" s="4" t="n">
        <ns0:v>1500</ns0:v>
      </ns0:c>
      <ns0:c r="F309" s="6" t="n">
        <ns0:v>0.3</ns0:v>
      </ns0:c>
      <ns0:c r="G309" s="4" t="n">
        <ns0:v>1</ns0:v>
      </ns0:c>
      <ns0:c r="H309" s="7" t="n">
        <ns0:v>8853.910614525139</ns0:v>
      </ns0:c>
      <ns0:c r="I309" s="7" t="n">
        <ns0:v>4808.659217877094</ns0:v>
      </ns0:c>
      <ns0:c r="J309" s="7" t="n">
        <ns0:v>1442.597765363128</ns0:v>
      </ns0:c>
      <ns0:c r="K309" s="7" t="n">
        <ns0:v>14</ns0:v>
      </ns0:c>
      <ns0:c r="L309" s="7" t="n">
        <ns0:v>32</ns0:v>
      </ns0:c>
      <ns0:c r="M309" s="7" t="n">
        <ns0:v>-5628.439476994135</ns0:v>
      </ns0:c>
      <ns0:c r="N309" s="7" t="n">
        <ns0:v>73580.12624062761</ns0:v>
      </ns0:c>
      <ns0:c r="O309" s="7" t="n">
        <ns0:v>158974.1668185846</ns0:v>
      </ns0:c>
      <ns0:c r="P309" s="7" t="n">
        <ns0:v>372459.268263477</ns0:v>
      </ns0:c>
      <ns0:c r="Q309" s="7" t="n">
        <ns0:v>1184399.674043047</ns0:v>
      </ns0:c>
      <ns0:c r="R309" s="7" t="n">
        <ns0:v>4103191.09427154</ns0:v>
      </ns0:c>
    </ns0:row>
    <ns0:row r="310" ht="24" customHeight="1">
      <ns0:c r="A310" s="3" t="inlineStr">
        <ns0:is>
          <ns0:t>セット</ns0:t>
        </ns0:is>
      </ns0:c>
      <ns0:c r="B310" s="3" t="inlineStr">
        <ns0:is>
          <ns0:t>G0基本5000比較</ns0:t>
        </ns0:is>
      </ns0:c>
      <ns0:c r="C310" s="3" t="inlineStr">
        <ns0:is>
          <ns0:t>C</ns0:t>
        </ns0:is>
      </ns0:c>
      <ns0:c r="D310" s="4" t="n">
        <ns0:v>1</ns0:v>
      </ns0:c>
      <ns0:c r="E310" s="4" t="n">
        <ns0:v>1500</ns0:v>
      </ns0:c>
      <ns0:c r="F310" s="6" t="n">
        <ns0:v>0.3</ns0:v>
      </ns0:c>
      <ns0:c r="G310" s="4" t="n">
        <ns0:v>2</ns0:v>
      </ns0:c>
      <ns0:c r="H310" s="7" t="n">
        <ns0:v>8853.910614525139</ns0:v>
      </ns0:c>
      <ns0:c r="I310" s="7" t="n">
        <ns0:v>4808.659217877094</ns0:v>
      </ns0:c>
      <ns0:c r="J310" s="7" t="n">
        <ns0:v>1442.597765363128</ns0:v>
      </ns0:c>
      <ns0:c r="K310" s="7" t="n">
        <ns0:v>158</ns0:v>
      </ns0:c>
      <ns0:c r="L310" s="18" t="inlineStr">
        <ns0:is>
          <ns0:t>範囲内なし</ns0:t>
        </ns0:is>
      </ns0:c>
      <ns0:c r="M310" s="7" t="n">
        <ns0:v>-42212.14344056739</ns0:v>
      </ns0:c>
      <ns0:c r="N310" s="7" t="n">
        <ns0:v>-36170.98565009219</ns0:v>
      </ns0:c>
      <ns0:c r="O310" s="7" t="n">
        <ns0:v>-23944.35299928166</ns0:v>
      </ns0:c>
      <ns0:c r="P310" s="7" t="n">
        <ns0:v>6622.22862774448</ns0:v>
      </ns0:c>
      <ns0:c r="Q310" s="7" t="n">
        <ns0:v>86888.55513584893</ns0:v>
      </ns0:c>
      <ns0:c r="R310" s="7" t="n">
        <ns0:v>444820.6979142139</ns0:v>
      </ns0:c>
    </ns0:row>
    <ns0:row r="311" ht="24" customHeight="1">
      <ns0:c r="A311" s="3" t="inlineStr">
        <ns0:is>
          <ns0:t>セット</ns0:t>
        </ns0:is>
      </ns0:c>
      <ns0:c r="B311" s="3" t="inlineStr">
        <ns0:is>
          <ns0:t>G0基本5000比較</ns0:t>
        </ns0:is>
      </ns0:c>
      <ns0:c r="C311" s="3" t="inlineStr">
        <ns0:is>
          <ns0:t>C</ns0:t>
        </ns0:is>
      </ns0:c>
      <ns0:c r="D311" s="4" t="n">
        <ns0:v>1</ns0:v>
      </ns0:c>
      <ns0:c r="E311" s="4" t="n">
        <ns0:v>1500</ns0:v>
      </ns0:c>
      <ns0:c r="F311" s="6" t="n">
        <ns0:v>0.3</ns0:v>
      </ns0:c>
      <ns0:c r="G311" s="4" t="n">
        <ns0:v>3</ns0:v>
      </ns0:c>
      <ns0:c r="H311" s="7" t="n">
        <ns0:v>8853.910614525139</ns0:v>
      </ns0:c>
      <ns0:c r="I311" s="7" t="n">
        <ns0:v>4808.659217877094</ns0:v>
      </ns0:c>
      <ns0:c r="J311" s="7" t="n">
        <ns0:v>1442.597765363128</ns0:v>
      </ns0:c>
      <ns0:c r="K311" s="7" t="n">
        <ns0:v>17</ns0:v>
      </ns0:c>
      <ns0:c r="L311" s="7" t="n">
        <ns0:v>632</ns0:v>
      </ns0:c>
      <ns0:c r="M311" s="7" t="n">
        <ns0:v>-15090.94627752687</ns0:v>
      </ns0:c>
      <ns0:c r="N311" s="7" t="n">
        <ns0:v>45192.60583902941</ns0:v>
      </ns0:c>
      <ns0:c r="O311" s="7" t="n">
        <ns0:v>111661.632815921</ns0:v>
      </ns0:c>
      <ns0:c r="P311" s="7" t="n">
        <ns0:v>277834.2002581497</ns0:v>
      </ns0:c>
      <ns0:c r="Q311" s="7" t="n">
        <ns0:v>900524.4700270647</ns0:v>
      </ns0:c>
      <ns0:c r="R311" s="7" t="n">
        <ns0:v>3156940.414218266</ns0:v>
      </ns0:c>
    </ns0:row>
    <ns0:row r="312" ht="24" customHeight="1">
      <ns0:c r="A312" s="3" t="inlineStr">
        <ns0:is>
          <ns0:t>セット</ns0:t>
        </ns0:is>
      </ns0:c>
      <ns0:c r="B312" s="3" t="inlineStr">
        <ns0:is>
          <ns0:t>G0基本5000比較</ns0:t>
        </ns0:is>
      </ns0:c>
      <ns0:c r="C312" s="3" t="inlineStr">
        <ns0:is>
          <ns0:t>C</ns0:t>
        </ns0:is>
      </ns0:c>
      <ns0:c r="D312" s="4" t="n">
        <ns0:v>1</ns0:v>
      </ns0:c>
      <ns0:c r="E312" s="4" t="n">
        <ns0:v>1500</ns0:v>
      </ns0:c>
      <ns0:c r="F312" s="6" t="n">
        <ns0:v>0.4</ns0:v>
      </ns0:c>
      <ns0:c r="G312" s="4" t="n">
        <ns0:v>0</ns0:v>
      </ns0:c>
      <ns0:c r="H312" s="7" t="n">
        <ns0:v>8853.910614525139</ns0:v>
      </ns0:c>
      <ns0:c r="I312" s="7" t="n">
        <ns0:v>4808.659217877094</ns0:v>
      </ns0:c>
      <ns0:c r="J312" s="7" t="n">
        <ns0:v>1923.463687150838</ns0:v>
      </ns0:c>
      <ns0:c r="K312" s="7" t="n">
        <ns0:v>14</ns0:v>
      </ns0:c>
      <ns0:c r="L312" s="7" t="n">
        <ns0:v>25</ns0:v>
      </ns0:c>
      <ns0:c r="M312" s="7" t="n">
        <ns0:v>-6113.592489867158</ns0:v>
      </ns0:c>
      <ns0:c r="N312" s="7" t="n">
        <ns0:v>72124.66720200855</ns0:v>
      </ns0:c>
      <ns0:c r="O312" s="7" t="n">
        <ns0:v>156548.4017542195</ns0:v>
      </ns0:c>
      <ns0:c r="P312" s="7" t="n">
        <ns0:v>367607.7381347468</ns0:v>
      </ns0:c>
      <ns0:c r="Q312" s="7" t="n">
        <ns0:v>1169845.083656856</ns0:v>
      </ns0:c>
      <ns0:c r="R312" s="7" t="n">
        <ns0:v>4054675.792984238</ns0:v>
      </ns0:c>
    </ns0:row>
    <ns0:row r="313" ht="24" customHeight="1">
      <ns0:c r="A313" s="3" t="inlineStr">
        <ns0:is>
          <ns0:t>セット</ns0:t>
        </ns0:is>
      </ns0:c>
      <ns0:c r="B313" s="3" t="inlineStr">
        <ns0:is>
          <ns0:t>G0基本5000比較</ns0:t>
        </ns0:is>
      </ns0:c>
      <ns0:c r="C313" s="3" t="inlineStr">
        <ns0:is>
          <ns0:t>C</ns0:t>
        </ns0:is>
      </ns0:c>
      <ns0:c r="D313" s="4" t="n">
        <ns0:v>1</ns0:v>
      </ns0:c>
      <ns0:c r="E313" s="4" t="n">
        <ns0:v>1500</ns0:v>
      </ns0:c>
      <ns0:c r="F313" s="6" t="n">
        <ns0:v>0.4</ns0:v>
      </ns0:c>
      <ns0:c r="G313" s="4" t="n">
        <ns0:v>1</ns0:v>
      </ns0:c>
      <ns0:c r="H313" s="7" t="n">
        <ns0:v>8853.910614525139</ns0:v>
      </ns0:c>
      <ns0:c r="I313" s="7" t="n">
        <ns0:v>4808.659217877094</ns0:v>
      </ns0:c>
      <ns0:c r="J313" s="7" t="n">
        <ns0:v>1923.463687150838</ns0:v>
      </ns0:c>
      <ns0:c r="K313" s="7" t="n">
        <ns0:v>15</ns0:v>
      </ns0:c>
      <ns0:c r="L313" s="7" t="n">
        <ns0:v>36</ns0:v>
      </ns0:c>
      <ns0:c r="M313" s="7" t="n">
        <ns0:v>-10437.09869487123</ns0:v>
      </ns0:c>
      <ns0:c r="N313" s="7" t="n">
        <ns0:v>59154.14858699635</ns0:v>
      </ns0:c>
      <ns0:c r="O313" s="7" t="n">
        <ns0:v>134930.8707291991</ns0:v>
      </ns0:c>
      <ns0:c r="P313" s="7" t="n">
        <ns0:v>324372.6760847061</ns0:v>
      </ns0:c>
      <ns0:c r="Q313" s="7" t="n">
        <ns0:v>1040139.897506734</ns0:v>
      </ns0:c>
      <ns0:c r="R313" s="7" t="n">
        <ns0:v>3622325.172483831</ns0:v>
      </ns0:c>
    </ns0:row>
    <ns0:row r="314" ht="24" customHeight="1">
      <ns0:c r="A314" s="3" t="inlineStr">
        <ns0:is>
          <ns0:t>セット</ns0:t>
        </ns0:is>
      </ns0:c>
      <ns0:c r="B314" s="3" t="inlineStr">
        <ns0:is>
          <ns0:t>G0基本5000比較</ns0:t>
        </ns0:is>
      </ns0:c>
      <ns0:c r="C314" s="3" t="inlineStr">
        <ns0:is>
          <ns0:t>C</ns0:t>
        </ns0:is>
      </ns0:c>
      <ns0:c r="D314" s="4" t="n">
        <ns0:v>1</ns0:v>
      </ns0:c>
      <ns0:c r="E314" s="4" t="n">
        <ns0:v>1500</ns0:v>
      </ns0:c>
      <ns0:c r="F314" s="6" t="n">
        <ns0:v>0.4</ns0:v>
      </ns0:c>
      <ns0:c r="G314" s="4" t="n">
        <ns0:v>2</ns0:v>
      </ns0:c>
      <ns0:c r="H314" s="7" t="n">
        <ns0:v>8853.910614525139</ns0:v>
      </ns0:c>
      <ns0:c r="I314" s="7" t="n">
        <ns0:v>4808.659217877094</ns0:v>
      </ns0:c>
      <ns0:c r="J314" s="7" t="n">
        <ns0:v>1923.463687150838</ns0:v>
      </ns0:c>
      <ns0:c r="K314" s="18" t="inlineStr">
        <ns0:is>
          <ns0:t>範囲内なし</ns0:t>
        </ns0:is>
      </ns0:c>
      <ns0:c r="L314" s="18" t="inlineStr">
        <ns0:is>
          <ns0:t>範囲内なし</ns0:t>
        </ns0:is>
      </ns0:c>
      <ns0:c r="M314" s="7" t="n">
        <ns0:v>-47020.80265844449</ns0:v>
      </ns0:c>
      <ns0:c r="N314" s="7" t="n">
        <ns0:v>-50596.96330372345</ns0:v>
      </ns0:c>
      <ns0:c r="O314" s="7" t="n">
        <ns0:v>-47987.64908866714</ns0:v>
      </ns0:c>
      <ns0:c r="P314" s="7" t="n">
        <ns0:v>-41464.36355102647</ns0:v>
      </ns0:c>
      <ns0:c r="Q314" s="7" t="n">
        <ns0:v>-57371.22140046395</ns0:v>
      </ns0:c>
      <ns0:c r="R314" s="7" t="n">
        <ns0:v>-36045.22387349512</ns0:v>
      </ns0:c>
    </ns0:row>
    <ns0:row r="315" ht="24" customHeight="1">
      <ns0:c r="A315" s="3" t="inlineStr">
        <ns0:is>
          <ns0:t>セット</ns0:t>
        </ns0:is>
      </ns0:c>
      <ns0:c r="B315" s="3" t="inlineStr">
        <ns0:is>
          <ns0:t>G0基本5000比較</ns0:t>
        </ns0:is>
      </ns0:c>
      <ns0:c r="C315" s="3" t="inlineStr">
        <ns0:is>
          <ns0:t>C</ns0:t>
        </ns0:is>
      </ns0:c>
      <ns0:c r="D315" s="4" t="n">
        <ns0:v>1</ns0:v>
      </ns0:c>
      <ns0:c r="E315" s="4" t="n">
        <ns0:v>1500</ns0:v>
      </ns0:c>
      <ns0:c r="F315" s="6" t="n">
        <ns0:v>0.4</ns0:v>
      </ns0:c>
      <ns0:c r="G315" s="4" t="n">
        <ns0:v>3</ns0:v>
      </ns0:c>
      <ns0:c r="H315" s="7" t="n">
        <ns0:v>8853.910614525139</ns0:v>
      </ns0:c>
      <ns0:c r="I315" s="7" t="n">
        <ns0:v>4808.659217877094</ns0:v>
      </ns0:c>
      <ns0:c r="J315" s="7" t="n">
        <ns0:v>1923.463687150838</ns0:v>
      </ns0:c>
      <ns0:c r="K315" s="7" t="n">
        <ns0:v>20</ns0:v>
      </ns0:c>
      <ns0:c r="L315" s="18" t="inlineStr">
        <ns0:is>
          <ns0:t>範囲内なし</ns0:t>
        </ns0:is>
      </ns0:c>
      <ns0:c r="M315" s="7" t="n">
        <ns0:v>-19899.60549540396</ns0:v>
      </ns0:c>
      <ns0:c r="N315" s="7" t="n">
        <ns0:v>30766.62818539815</ns0:v>
      </ns0:c>
      <ns0:c r="O315" s="7" t="n">
        <ns0:v>87618.33672653549</ns0:v>
      </ns0:c>
      <ns0:c r="P315" s="7" t="n">
        <ns0:v>229747.6080793788</ns0:v>
      </ns0:c>
      <ns0:c r="Q315" s="7" t="n">
        <ns0:v>756264.6934907519</ns0:v>
      </ns0:c>
      <ns0:c r="R315" s="7" t="n">
        <ns0:v>2676074.492430557</ns0:v>
      </ns0:c>
    </ns0:row>
    <ns0:row r="316" ht="24" customHeight="1">
      <ns0:c r="A316" s="3" t="inlineStr">
        <ns0:is>
          <ns0:t>セット</ns0:t>
        </ns0:is>
      </ns0:c>
      <ns0:c r="B316" s="3" t="inlineStr">
        <ns0:is>
          <ns0:t>G0基本5000比較</ns0:t>
        </ns0:is>
      </ns0:c>
      <ns0:c r="C316" s="3" t="inlineStr">
        <ns0:is>
          <ns0:t>C</ns0:t>
        </ns0:is>
      </ns0:c>
      <ns0:c r="D316" s="4" t="n">
        <ns0:v>1</ns0:v>
      </ns0:c>
      <ns0:c r="E316" s="4" t="n">
        <ns0:v>1500</ns0:v>
      </ns0:c>
      <ns0:c r="F316" s="6" t="n">
        <ns0:v>0.5</ns0:v>
      </ns0:c>
      <ns0:c r="G316" s="4" t="n">
        <ns0:v>0</ns0:v>
      </ns0:c>
      <ns0:c r="H316" s="7" t="n">
        <ns0:v>8853.910614525139</ns0:v>
      </ns0:c>
      <ns0:c r="I316" s="7" t="n">
        <ns0:v>4808.659217877094</ns0:v>
      </ns0:c>
      <ns0:c r="J316" s="7" t="n">
        <ns0:v>2404.329608938547</ns0:v>
      </ns0:c>
      <ns0:c r="K316" s="7" t="n">
        <ns0:v>15</ns0:v>
      </ns0:c>
      <ns0:c r="L316" s="7" t="n">
        <ns0:v>27</ns0:v>
      </ns0:c>
      <ns0:c r="M316" s="7" t="n">
        <ns0:v>-10922.25170774425</ns0:v>
      </ns0:c>
      <ns0:c r="N316" s="7" t="n">
        <ns0:v>57698.68954837728</ns0:v>
      </ns0:c>
      <ns0:c r="O316" s="7" t="n">
        <ns0:v>132505.1056648341</ns0:v>
      </ns0:c>
      <ns0:c r="P316" s="7" t="n">
        <ns0:v>319521.1459559759</ns0:v>
      </ns0:c>
      <ns0:c r="Q316" s="7" t="n">
        <ns0:v>1025585.307120543</ns0:v>
      </ns0:c>
      <ns0:c r="R316" s="7" t="n">
        <ns0:v>3573809.871196528</ns0:v>
      </ns0:c>
    </ns0:row>
    <ns0:row r="317" ht="24" customHeight="1">
      <ns0:c r="A317" s="3" t="inlineStr">
        <ns0:is>
          <ns0:t>セット</ns0:t>
        </ns0:is>
      </ns0:c>
      <ns0:c r="B317" s="3" t="inlineStr">
        <ns0:is>
          <ns0:t>G0基本5000比較</ns0:t>
        </ns0:is>
      </ns0:c>
      <ns0:c r="C317" s="3" t="inlineStr">
        <ns0:is>
          <ns0:t>C</ns0:t>
        </ns0:is>
      </ns0:c>
      <ns0:c r="D317" s="4" t="n">
        <ns0:v>1</ns0:v>
      </ns0:c>
      <ns0:c r="E317" s="4" t="n">
        <ns0:v>1500</ns0:v>
      </ns0:c>
      <ns0:c r="F317" s="6" t="n">
        <ns0:v>0.5</ns0:v>
      </ns0:c>
      <ns0:c r="G317" s="4" t="n">
        <ns0:v>1</ns0:v>
      </ns0:c>
      <ns0:c r="H317" s="7" t="n">
        <ns0:v>8853.910614525139</ns0:v>
      </ns0:c>
      <ns0:c r="I317" s="7" t="n">
        <ns0:v>4808.659217877094</ns0:v>
      </ns0:c>
      <ns0:c r="J317" s="7" t="n">
        <ns0:v>2404.329608938547</ns0:v>
      </ns0:c>
      <ns0:c r="K317" s="7" t="n">
        <ns0:v>17</ns0:v>
      </ns0:c>
      <ns0:c r="L317" s="7" t="n">
        <ns0:v>40</ns0:v>
      </ns0:c>
      <ns0:c r="M317" s="7" t="n">
        <ns0:v>-15245.75791274832</ns0:v>
      </ns0:c>
      <ns0:c r="N317" s="7" t="n">
        <ns0:v>44728.17093336508</ns0:v>
      </ns0:c>
      <ns0:c r="O317" s="7" t="n">
        <ns0:v>110887.5746398137</ns0:v>
      </ns0:c>
      <ns0:c r="P317" s="7" t="n">
        <ns0:v>276286.0839059352</ns0:v>
      </ns0:c>
      <ns0:c r="Q317" s="7" t="n">
        <ns0:v>895880.1209704205</ns0:v>
      </ns0:c>
      <ns0:c r="R317" s="7" t="n">
        <ns0:v>3141459.250696121</ns0:v>
      </ns0:c>
    </ns0:row>
    <ns0:row r="318" ht="24" customHeight="1">
      <ns0:c r="A318" s="3" t="inlineStr">
        <ns0:is>
          <ns0:t>セット</ns0:t>
        </ns0:is>
      </ns0:c>
      <ns0:c r="B318" s="3" t="inlineStr">
        <ns0:is>
          <ns0:t>G0基本5000比較</ns0:t>
        </ns0:is>
      </ns0:c>
      <ns0:c r="C318" s="3" t="inlineStr">
        <ns0:is>
          <ns0:t>C</ns0:t>
        </ns0:is>
      </ns0:c>
      <ns0:c r="D318" s="4" t="n">
        <ns0:v>1</ns0:v>
      </ns0:c>
      <ns0:c r="E318" s="4" t="n">
        <ns0:v>1500</ns0:v>
      </ns0:c>
      <ns0:c r="F318" s="6" t="n">
        <ns0:v>0.5</ns0:v>
      </ns0:c>
      <ns0:c r="G318" s="4" t="n">
        <ns0:v>2</ns0:v>
      </ns0:c>
      <ns0:c r="H318" s="7" t="n">
        <ns0:v>8853.910614525139</ns0:v>
      </ns0:c>
      <ns0:c r="I318" s="7" t="n">
        <ns0:v>4808.659217877094</ns0:v>
      </ns0:c>
      <ns0:c r="J318" s="7" t="n">
        <ns0:v>2404.329608938547</ns0:v>
      </ns0:c>
      <ns0:c r="K318" s="18" t="inlineStr">
        <ns0:is>
          <ns0:t>範囲内なし</ns0:t>
        </ns0:is>
      </ns0:c>
      <ns0:c r="L318" s="18" t="inlineStr">
        <ns0:is>
          <ns0:t>範囲内なし</ns0:t>
        </ns0:is>
      </ns0:c>
      <ns0:c r="M318" s="7" t="n">
        <ns0:v>-51829.46187632158</ns0:v>
      </ns0:c>
      <ns0:c r="N318" s="7" t="n">
        <ns0:v>-65022.94095735472</ns0:v>
      </ns0:c>
      <ns0:c r="O318" s="7" t="n">
        <ns0:v>-72030.9451780526</ns0:v>
      </ns0:c>
      <ns0:c r="P318" s="7" t="n">
        <ns0:v>-89550.9557297974</ns0:v>
      </ns0:c>
      <ns0:c r="Q318" s="7" t="n">
        <ns0:v>-201630.9979367771</ns0:v>
      </ns0:c>
      <ns0:c r="R318" s="7" t="n">
        <ns0:v>-516911.1456612046</ns0:v>
      </ns0:c>
    </ns0:row>
    <ns0:row r="319" ht="24" customHeight="1">
      <ns0:c r="A319" s="3" t="inlineStr">
        <ns0:is>
          <ns0:t>セット</ns0:t>
        </ns0:is>
      </ns0:c>
      <ns0:c r="B319" s="3" t="inlineStr">
        <ns0:is>
          <ns0:t>G0基本5000比較</ns0:t>
        </ns0:is>
      </ns0:c>
      <ns0:c r="C319" s="3" t="inlineStr">
        <ns0:is>
          <ns0:t>C</ns0:t>
        </ns0:is>
      </ns0:c>
      <ns0:c r="D319" s="4" t="n">
        <ns0:v>1</ns0:v>
      </ns0:c>
      <ns0:c r="E319" s="4" t="n">
        <ns0:v>1500</ns0:v>
      </ns0:c>
      <ns0:c r="F319" s="6" t="n">
        <ns0:v>0.5</ns0:v>
      </ns0:c>
      <ns0:c r="G319" s="4" t="n">
        <ns0:v>3</ns0:v>
      </ns0:c>
      <ns0:c r="H319" s="7" t="n">
        <ns0:v>8853.910614525139</ns0:v>
      </ns0:c>
      <ns0:c r="I319" s="7" t="n">
        <ns0:v>4808.659217877094</ns0:v>
      </ns0:c>
      <ns0:c r="J319" s="7" t="n">
        <ns0:v>2404.329608938547</ns0:v>
      </ns0:c>
      <ns0:c r="K319" s="7" t="n">
        <ns0:v>24</ns0:v>
      </ns0:c>
      <ns0:c r="L319" s="18" t="inlineStr">
        <ns0:is>
          <ns0:t>範囲内なし</ns0:t>
        </ns0:is>
      </ns0:c>
      <ns0:c r="M319" s="7" t="n">
        <ns0:v>-24708.26471328105</ns0:v>
      </ns0:c>
      <ns0:c r="N319" s="7" t="n">
        <ns0:v>16340.65053176688</ns0:v>
      </ns0:c>
      <ns0:c r="O319" s="7" t="n">
        <ns0:v>63575.04063715004</ns0:v>
      </ns0:c>
      <ns0:c r="P319" s="7" t="n">
        <ns0:v>181661.0159006079</ns0:v>
      </ns0:c>
      <ns0:c r="Q319" s="7" t="n">
        <ns0:v>612004.9169544387</ns0:v>
      </ns0:c>
      <ns0:c r="R319" s="7" t="n">
        <ns0:v>2195208.570642848</ns0:v>
      </ns0:c>
    </ns0:row>
    <ns0:row r="320" ht="24" customHeight="1">
      <ns0:c r="A320" s="3" t="inlineStr">
        <ns0:is>
          <ns0:t>セット</ns0:t>
        </ns0:is>
      </ns0:c>
      <ns0:c r="B320" s="3" t="inlineStr">
        <ns0:is>
          <ns0:t>G0基本5000比較</ns0:t>
        </ns0:is>
      </ns0:c>
      <ns0:c r="C320" s="3" t="inlineStr">
        <ns0:is>
          <ns0:t>C</ns0:t>
        </ns0:is>
      </ns0:c>
      <ns0:c r="D320" s="4" t="n">
        <ns0:v>2</ns0:v>
      </ns0:c>
      <ns0:c r="E320" s="4" t="n">
        <ns0:v>500</ns0:v>
      </ns0:c>
      <ns0:c r="F320" s="6" t="n">
        <ns0:v>0.3</ns0:v>
      </ns0:c>
      <ns0:c r="G320" s="4" t="n">
        <ns0:v>0</ns0:v>
      </ns0:c>
      <ns0:c r="H320" s="7" t="n">
        <ns0:v>12904.24836601307</ns0:v>
      </ns0:c>
      <ns0:c r="I320" s="7" t="n">
        <ns0:v>6409.041394335512</ns0:v>
      </ns0:c>
      <ns0:c r="J320" s="7" t="n">
        <ns0:v>1922.712418300654</ns0:v>
      </ns0:c>
      <ns0:c r="K320" s="7" t="n">
        <ns0:v>7</ns0:v>
      </ns0:c>
      <ns0:c r="L320" s="7" t="n">
        <ns0:v>10</ns0:v>
      </ns0:c>
      <ns0:c r="M320" s="7" t="n">
        <ns0:v>31938.77345622473</ns0:v>
      </ns0:c>
      <ns0:c r="N320" s="7" t="n">
        <ns0:v>167008.7778565839</ns0:v>
      </ns0:c>
      <ns0:c r="O320" s="7" t="n">
        <ns0:v>314688.5861785116</ns0:v>
      </ns0:c>
      <ns0:c r="P320" s="7" t="n">
        <ns0:v>683888.106983331</ns0:v>
      </ns0:c>
      <ns0:c r="Q320" s="7" t="n">
        <ns0:v>2118686.19020261</ns0:v>
      </ns0:c>
      <ns0:c r="R320" s="7" t="n">
        <ns0:v>7217479.481470083</ns0:v>
      </ns0:c>
    </ns0:row>
    <ns0:row r="321" ht="24" customHeight="1">
      <ns0:c r="A321" s="3" t="inlineStr">
        <ns0:is>
          <ns0:t>セット</ns0:t>
        </ns0:is>
      </ns0:c>
      <ns0:c r="B321" s="3" t="inlineStr">
        <ns0:is>
          <ns0:t>G0基本5000比較</ns0:t>
        </ns0:is>
      </ns0:c>
      <ns0:c r="C321" s="3" t="inlineStr">
        <ns0:is>
          <ns0:t>C</ns0:t>
        </ns0:is>
      </ns0:c>
      <ns0:c r="D321" s="4" t="n">
        <ns0:v>2</ns0:v>
      </ns0:c>
      <ns0:c r="E321" s="4" t="n">
        <ns0:v>500</ns0:v>
      </ns0:c>
      <ns0:c r="F321" s="6" t="n">
        <ns0:v>0.3</ns0:v>
      </ns0:c>
      <ns0:c r="G321" s="4" t="n">
        <ns0:v>1</ns0:v>
      </ns0:c>
      <ns0:c r="H321" s="7" t="n">
        <ns0:v>12904.24836601307</ns0:v>
      </ns0:c>
      <ns0:c r="I321" s="7" t="n">
        <ns0:v>6409.041394335512</ns0:v>
      </ns0:c>
      <ns0:c r="J321" s="7" t="n">
        <ns0:v>1922.712418300654</ns0:v>
      </ns0:c>
      <ns0:c r="K321" s="7" t="n">
        <ns0:v>8</ns0:v>
      </ns0:c>
      <ns0:c r="L321" s="7" t="n">
        <ns0:v>13</ns0:v>
      </ns0:c>
      <ns0:c r="M321" s="7" t="n">
        <ns0:v>26550.30406392231</ns0:v>
      </ns0:c>
      <ns0:c r="N321" s="7" t="n">
        <ns0:v>150843.3696796767</ns0:v>
      </ns0:c>
      <ns0:c r="O321" s="7" t="n">
        <ns0:v>287746.2392169996</ns0:v>
      </ns0:c>
      <ns0:c r="P321" s="7" t="n">
        <ns0:v>630003.413060307</ns0:v>
      </ns0:c>
      <ns0:c r="Q321" s="7" t="n">
        <ns0:v>1957032.108433537</ns0:v>
      </ns0:c>
      <ns0:c r="R321" s="7" t="n">
        <ns0:v>6678632.542239842</ns0:v>
      </ns0:c>
    </ns0:row>
    <ns0:row r="322" ht="24" customHeight="1">
      <ns0:c r="A322" s="3" t="inlineStr">
        <ns0:is>
          <ns0:t>セット</ns0:t>
        </ns0:is>
      </ns0:c>
      <ns0:c r="B322" s="3" t="inlineStr">
        <ns0:is>
          <ns0:t>G0基本5000比較</ns0:t>
        </ns0:is>
      </ns0:c>
      <ns0:c r="C322" s="3" t="inlineStr">
        <ns0:is>
          <ns0:t>C</ns0:t>
        </ns0:is>
      </ns0:c>
      <ns0:c r="D322" s="4" t="n">
        <ns0:v>2</ns0:v>
      </ns0:c>
      <ns0:c r="E322" s="4" t="n">
        <ns0:v>500</ns0:v>
      </ns0:c>
      <ns0:c r="F322" s="6" t="n">
        <ns0:v>0.3</ns0:v>
      </ns0:c>
      <ns0:c r="G322" s="4" t="n">
        <ns0:v>2</ns0:v>
      </ns0:c>
      <ns0:c r="H322" s="7" t="n">
        <ns0:v>12904.24836601307</ns0:v>
      </ns0:c>
      <ns0:c r="I322" s="7" t="n">
        <ns0:v>6409.041394335512</ns0:v>
      </ns0:c>
      <ns0:c r="J322" s="7" t="n">
        <ns0:v>1922.712418300654</ns0:v>
      </ns0:c>
      <ns0:c r="K322" s="18" t="inlineStr">
        <ns0:is>
          <ns0:t>範囲内なし</ns0:t>
        </ns0:is>
      </ns0:c>
      <ns0:c r="L322" s="18" t="inlineStr">
        <ns0:is>
          <ns0:t>範囲内なし</ns0:t>
        </ns0:is>
      </ns0:c>
      <ns0:c r="M322" s="7" t="n">
        <ns0:v>-40776.10488456555</ns0:v>
      </ns0:c>
      <ns0:c r="N322" s="7" t="n">
        <ns0:v>-51135.85716578693</ns0:v>
      </ns0:c>
      <ns0:c r="O322" s="7" t="n">
        <ns0:v>-48885.80552543979</ns0:v>
      </ns0:c>
      <ns0:c r="P322" s="7" t="n">
        <ns0:v>-43260.67642457178</ns0:v>
      </ns0:c>
      <ns0:c r="Q322" s="7" t="n">
        <ns0:v>-62760.16002109903</ns0:v>
      </ns0:c>
      <ns0:c r="R322" s="7" t="n">
        <ns0:v>-54008.35260894569</ns0:v>
      </ns0:c>
    </ns0:row>
    <ns0:row r="323" ht="24" customHeight="1">
      <ns0:c r="A323" s="3" t="inlineStr">
        <ns0:is>
          <ns0:t>セット</ns0:t>
        </ns0:is>
      </ns0:c>
      <ns0:c r="B323" s="3" t="inlineStr">
        <ns0:is>
          <ns0:t>G0基本5000比較</ns0:t>
        </ns0:is>
      </ns0:c>
      <ns0:c r="C323" s="3" t="inlineStr">
        <ns0:is>
          <ns0:t>C</ns0:t>
        </ns0:is>
      </ns0:c>
      <ns0:c r="D323" s="4" t="n">
        <ns0:v>2</ns0:v>
      </ns0:c>
      <ns0:c r="E323" s="4" t="n">
        <ns0:v>500</ns0:v>
      </ns0:c>
      <ns0:c r="F323" s="6" t="n">
        <ns0:v>0.3</ns0:v>
      </ns0:c>
      <ns0:c r="G323" s="4" t="n">
        <ns0:v>3</ns0:v>
      </ns0:c>
      <ns0:c r="H323" s="7" t="n">
        <ns0:v>12904.24836601307</ns0:v>
      </ns0:c>
      <ns0:c r="I323" s="7" t="n">
        <ns0:v>6409.041394335512</ns0:v>
      </ns0:c>
      <ns0:c r="J323" s="7" t="n">
        <ns0:v>1922.712418300654</ns0:v>
      </ns0:c>
      <ns0:c r="K323" s="7" t="n">
        <ns0:v>9</ns0:v>
      </ns0:c>
      <ns0:c r="L323" s="7" t="n">
        <ns0:v>23</ns0:v>
      </ns0:c>
      <ns0:c r="M323" s="7" t="n">
        <ns0:v>15514.82354506015</ns0:v>
      </ns0:c>
      <ns0:c r="N323" s="7" t="n">
        <ns0:v>117736.9281230902</ns0:v>
      </ns0:c>
      <ns0:c r="O323" s="7" t="n">
        <ns0:v>232568.8366226888</ns0:v>
      </ns0:c>
      <ns0:c r="P323" s="7" t="n">
        <ns0:v>519648.6078716854</ns0:v>
      </ns0:c>
      <ns0:c r="Q323" s="7" t="n">
        <ns0:v>1625967.692867672</ns0:v>
      </ns0:c>
      <ns0:c r="R323" s="7" t="n">
        <ns0:v>5575084.490353626</ns0:v>
      </ns0:c>
    </ns0:row>
    <ns0:row r="324" ht="24" customHeight="1">
      <ns0:c r="A324" s="3" t="inlineStr">
        <ns0:is>
          <ns0:t>セット</ns0:t>
        </ns0:is>
      </ns0:c>
      <ns0:c r="B324" s="3" t="inlineStr">
        <ns0:is>
          <ns0:t>G0基本5000比較</ns0:t>
        </ns0:is>
      </ns0:c>
      <ns0:c r="C324" s="3" t="inlineStr">
        <ns0:is>
          <ns0:t>C</ns0:t>
        </ns0:is>
      </ns0:c>
      <ns0:c r="D324" s="4" t="n">
        <ns0:v>2</ns0:v>
      </ns0:c>
      <ns0:c r="E324" s="4" t="n">
        <ns0:v>500</ns0:v>
      </ns0:c>
      <ns0:c r="F324" s="6" t="n">
        <ns0:v>0.4</ns0:v>
      </ns0:c>
      <ns0:c r="G324" s="4" t="n">
        <ns0:v>0</ns0:v>
      </ns0:c>
      <ns0:c r="H324" s="7" t="n">
        <ns0:v>12904.24836601307</ns0:v>
      </ns0:c>
      <ns0:c r="I324" s="7" t="n">
        <ns0:v>6409.041394335512</ns0:v>
      </ns0:c>
      <ns0:c r="J324" s="7" t="n">
        <ns0:v>2563.616557734205</ns0:v>
      </ns0:c>
      <ns0:c r="K324" s="7" t="n">
        <ns0:v>8</ns0:v>
      </ns0:c>
      <ns0:c r="L324" s="7" t="n">
        <ns0:v>12</ns0:v>
      </ns0:c>
      <ns0:c r="M324" s="7" t="n">
        <ns0:v>25529.73206188922</ns0:v>
      </ns0:c>
      <ns0:c r="N324" s="7" t="n">
        <ns0:v>147781.6536735774</ns0:v>
      </ns0:c>
      <ns0:c r="O324" s="7" t="n">
        <ns0:v>282643.379206834</ns0:v>
      </ns0:c>
      <ns0:c r="P324" s="7" t="n">
        <ns0:v>619797.6930399758</ns0:v>
      </ns0:c>
      <ns0:c r="Q324" s="7" t="n">
        <ns0:v>1926414.948372544</ns0:v>
      </ns0:c>
      <ns0:c r="R324" s="7" t="n">
        <ns0:v>6576575.342036532</ns0:v>
      </ns0:c>
    </ns0:row>
    <ns0:row r="325" ht="24" customHeight="1">
      <ns0:c r="A325" s="3" t="inlineStr">
        <ns0:is>
          <ns0:t>セット</ns0:t>
        </ns0:is>
      </ns0:c>
      <ns0:c r="B325" s="3" t="inlineStr">
        <ns0:is>
          <ns0:t>G0基本5000比較</ns0:t>
        </ns0:is>
      </ns0:c>
      <ns0:c r="C325" s="3" t="inlineStr">
        <ns0:is>
          <ns0:t>C</ns0:t>
        </ns0:is>
      </ns0:c>
      <ns0:c r="D325" s="4" t="n">
        <ns0:v>2</ns0:v>
      </ns0:c>
      <ns0:c r="E325" s="4" t="n">
        <ns0:v>500</ns0:v>
      </ns0:c>
      <ns0:c r="F325" s="6" t="n">
        <ns0:v>0.4</ns0:v>
      </ns0:c>
      <ns0:c r="G325" s="4" t="n">
        <ns0:v>1</ns0:v>
      </ns0:c>
      <ns0:c r="H325" s="7" t="n">
        <ns0:v>12904.24836601307</ns0:v>
      </ns0:c>
      <ns0:c r="I325" s="7" t="n">
        <ns0:v>6409.041394335512</ns0:v>
      </ns0:c>
      <ns0:c r="J325" s="7" t="n">
        <ns0:v>2563.616557734205</ns0:v>
      </ns0:c>
      <ns0:c r="K325" s="7" t="n">
        <ns0:v>8</ns0:v>
      </ns0:c>
      <ns0:c r="L325" s="7" t="n">
        <ns0:v>14</ns0:v>
      </ns0:c>
      <ns0:c r="M325" s="7" t="n">
        <ns0:v>20141.26266958681</ns0:v>
      </ns0:c>
      <ns0:c r="N325" s="7" t="n">
        <ns0:v>131616.2454966702</ns0:v>
      </ns0:c>
      <ns0:c r="O325" s="7" t="n">
        <ns0:v>255701.032245322</ns0:v>
      </ns0:c>
      <ns0:c r="P325" s="7" t="n">
        <ns0:v>565912.9991169518</ns0:v>
      </ns0:c>
      <ns0:c r="Q325" s="7" t="n">
        <ns0:v>1764760.866603472</ns0:v>
      </ns0:c>
      <ns0:c r="R325" s="7" t="n">
        <ns0:v>6037728.402806291</ns0:v>
      </ns0:c>
    </ns0:row>
    <ns0:row r="326" ht="24" customHeight="1">
      <ns0:c r="A326" s="3" t="inlineStr">
        <ns0:is>
          <ns0:t>セット</ns0:t>
        </ns0:is>
      </ns0:c>
      <ns0:c r="B326" s="3" t="inlineStr">
        <ns0:is>
          <ns0:t>G0基本5000比較</ns0:t>
        </ns0:is>
      </ns0:c>
      <ns0:c r="C326" s="3" t="inlineStr">
        <ns0:is>
          <ns0:t>C</ns0:t>
        </ns0:is>
      </ns0:c>
      <ns0:c r="D326" s="4" t="n">
        <ns0:v>2</ns0:v>
      </ns0:c>
      <ns0:c r="E326" s="4" t="n">
        <ns0:v>500</ns0:v>
      </ns0:c>
      <ns0:c r="F326" s="6" t="n">
        <ns0:v>0.4</ns0:v>
      </ns0:c>
      <ns0:c r="G326" s="4" t="n">
        <ns0:v>2</ns0:v>
      </ns0:c>
      <ns0:c r="H326" s="7" t="n">
        <ns0:v>12904.24836601307</ns0:v>
      </ns0:c>
      <ns0:c r="I326" s="7" t="n">
        <ns0:v>6409.041394335512</ns0:v>
      </ns0:c>
      <ns0:c r="J326" s="7" t="n">
        <ns0:v>2563.616557734205</ns0:v>
      </ns0:c>
      <ns0:c r="K326" s="18" t="inlineStr">
        <ns0:is>
          <ns0:t>範囲内なし</ns0:t>
        </ns0:is>
      </ns0:c>
      <ns0:c r="L326" s="18" t="inlineStr">
        <ns0:is>
          <ns0:t>範囲内なし</ns0:t>
        </ns0:is>
      </ns0:c>
      <ns0:c r="M326" s="7" t="n">
        <ns0:v>-47185.14627890107</ns0:v>
      </ns0:c>
      <ns0:c r="N326" s="7" t="n">
        <ns0:v>-70362.98134879346</ns0:v>
      </ns0:c>
      <ns0:c r="O326" s="7" t="n">
        <ns0:v>-80931.01249711739</ns0:v>
      </ns0:c>
      <ns0:c r="P326" s="7" t="n">
        <ns0:v>-107351.090367927</ns0:v>
      </ns0:c>
      <ns0:c r="Q326" s="7" t="n">
        <ns0:v>-255031.4018511646</ns0:v>
      </ns0:c>
      <ns0:c r="R326" s="7" t="n">
        <ns0:v>-694912.4920424968</ns0:v>
      </ns0:c>
    </ns0:row>
    <ns0:row r="327" ht="24" customHeight="1">
      <ns0:c r="A327" s="3" t="inlineStr">
        <ns0:is>
          <ns0:t>セット</ns0:t>
        </ns0:is>
      </ns0:c>
      <ns0:c r="B327" s="3" t="inlineStr">
        <ns0:is>
          <ns0:t>G0基本5000比較</ns0:t>
        </ns0:is>
      </ns0:c>
      <ns0:c r="C327" s="3" t="inlineStr">
        <ns0:is>
          <ns0:t>C</ns0:t>
        </ns0:is>
      </ns0:c>
      <ns0:c r="D327" s="4" t="n">
        <ns0:v>2</ns0:v>
      </ns0:c>
      <ns0:c r="E327" s="4" t="n">
        <ns0:v>500</ns0:v>
      </ns0:c>
      <ns0:c r="F327" s="6" t="n">
        <ns0:v>0.4</ns0:v>
      </ns0:c>
      <ns0:c r="G327" s="4" t="n">
        <ns0:v>3</ns0:v>
      </ns0:c>
      <ns0:c r="H327" s="7" t="n">
        <ns0:v>12904.24836601307</ns0:v>
      </ns0:c>
      <ns0:c r="I327" s="7" t="n">
        <ns0:v>6409.041394335512</ns0:v>
      </ns0:c>
      <ns0:c r="J327" s="7" t="n">
        <ns0:v>2563.616557734205</ns0:v>
      </ns0:c>
      <ns0:c r="K327" s="7" t="n">
        <ns0:v>9</ns0:v>
      </ns0:c>
      <ns0:c r="L327" s="7" t="n">
        <ns0:v>25</ns0:v>
      </ns0:c>
      <ns0:c r="M327" s="7" t="n">
        <ns0:v>9105.782150724644</ns0:v>
      </ns0:c>
      <ns0:c r="N327" s="7" t="n">
        <ns0:v>98509.80394008369</ns0:v>
      </ns0:c>
      <ns0:c r="O327" s="7" t="n">
        <ns0:v>200523.6296510112</ns0:v>
      </ns0:c>
      <ns0:c r="P327" s="7" t="n">
        <ns0:v>455558.1939283301</ns0:v>
      </ns0:c>
      <ns0:c r="Q327" s="7" t="n">
        <ns0:v>1433696.451037607</ns0:v>
      </ns0:c>
      <ns0:c r="R327" s="7" t="n">
        <ns0:v>4934180.350920075</ns0:v>
      </ns0:c>
    </ns0:row>
    <ns0:row r="328" ht="24" customHeight="1">
      <ns0:c r="A328" s="3" t="inlineStr">
        <ns0:is>
          <ns0:t>セット</ns0:t>
        </ns0:is>
      </ns0:c>
      <ns0:c r="B328" s="3" t="inlineStr">
        <ns0:is>
          <ns0:t>G0基本5000比較</ns0:t>
        </ns0:is>
      </ns0:c>
      <ns0:c r="C328" s="3" t="inlineStr">
        <ns0:is>
          <ns0:t>C</ns0:t>
        </ns0:is>
      </ns0:c>
      <ns0:c r="D328" s="4" t="n">
        <ns0:v>2</ns0:v>
      </ns0:c>
      <ns0:c r="E328" s="4" t="n">
        <ns0:v>500</ns0:v>
      </ns0:c>
      <ns0:c r="F328" s="6" t="n">
        <ns0:v>0.5</ns0:v>
      </ns0:c>
      <ns0:c r="G328" s="4" t="n">
        <ns0:v>0</ns0:v>
      </ns0:c>
      <ns0:c r="H328" s="7" t="n">
        <ns0:v>12904.24836601307</ns0:v>
      </ns0:c>
      <ns0:c r="I328" s="7" t="n">
        <ns0:v>6409.041394335512</ns0:v>
      </ns0:c>
      <ns0:c r="J328" s="7" t="n">
        <ns0:v>3204.520697167756</ns0:v>
      </ns0:c>
      <ns0:c r="K328" s="7" t="n">
        <ns0:v>8</ns0:v>
      </ns0:c>
      <ns0:c r="L328" s="7" t="n">
        <ns0:v>13</ns0:v>
      </ns0:c>
      <ns0:c r="M328" s="7" t="n">
        <ns0:v>19120.69066755371</ns0:v>
      </ns0:c>
      <ns0:c r="N328" s="7" t="n">
        <ns0:v>128554.5294905709</ns0:v>
      </ns0:c>
      <ns0:c r="O328" s="7" t="n">
        <ns0:v>250598.1722351565</ns0:v>
      </ns0:c>
      <ns0:c r="P328" s="7" t="n">
        <ns0:v>555707.2790966209</ns0:v>
      </ns0:c>
      <ns0:c r="Q328" s="7" t="n">
        <ns0:v>1734143.706542479</ns0:v>
      </ns0:c>
      <ns0:c r="R328" s="7" t="n">
        <ns0:v>5935671.202602981</ns0:v>
      </ns0:c>
    </ns0:row>
    <ns0:row r="329" ht="24" customHeight="1">
      <ns0:c r="A329" s="3" t="inlineStr">
        <ns0:is>
          <ns0:t>セット</ns0:t>
        </ns0:is>
      </ns0:c>
      <ns0:c r="B329" s="3" t="inlineStr">
        <ns0:is>
          <ns0:t>G0基本5000比較</ns0:t>
        </ns0:is>
      </ns0:c>
      <ns0:c r="C329" s="3" t="inlineStr">
        <ns0:is>
          <ns0:t>C</ns0:t>
        </ns0:is>
      </ns0:c>
      <ns0:c r="D329" s="4" t="n">
        <ns0:v>2</ns0:v>
      </ns0:c>
      <ns0:c r="E329" s="4" t="n">
        <ns0:v>500</ns0:v>
      </ns0:c>
      <ns0:c r="F329" s="6" t="n">
        <ns0:v>0.5</ns0:v>
      </ns0:c>
      <ns0:c r="G329" s="4" t="n">
        <ns0:v>1</ns0:v>
      </ns0:c>
      <ns0:c r="H329" s="7" t="n">
        <ns0:v>12904.24836601307</ns0:v>
      </ns0:c>
      <ns0:c r="I329" s="7" t="n">
        <ns0:v>6409.041394335512</ns0:v>
      </ns0:c>
      <ns0:c r="J329" s="7" t="n">
        <ns0:v>3204.520697167756</ns0:v>
      </ns0:c>
      <ns0:c r="K329" s="7" t="n">
        <ns0:v>9</ns0:v>
      </ns0:c>
      <ns0:c r="L329" s="7" t="n">
        <ns0:v>15</ns0:v>
      </ns0:c>
      <ns0:c r="M329" s="7" t="n">
        <ns0:v>13732.2212752513</ns0:v>
      </ns0:c>
      <ns0:c r="N329" s="7" t="n">
        <ns0:v>112389.1213136636</ns0:v>
      </ns0:c>
      <ns0:c r="O329" s="7" t="n">
        <ns0:v>223655.8252736445</ns0:v>
      </ns0:c>
      <ns0:c r="P329" s="7" t="n">
        <ns0:v>501822.5851735967</ns0:v>
      </ns0:c>
      <ns0:c r="Q329" s="7" t="n">
        <ns0:v>1572489.624773406</ns0:v>
      </ns0:c>
      <ns0:c r="R329" s="7" t="n">
        <ns0:v>5396824.26337274</ns0:v>
      </ns0:c>
    </ns0:row>
    <ns0:row r="330" ht="24" customHeight="1">
      <ns0:c r="A330" s="3" t="inlineStr">
        <ns0:is>
          <ns0:t>セット</ns0:t>
        </ns0:is>
      </ns0:c>
      <ns0:c r="B330" s="3" t="inlineStr">
        <ns0:is>
          <ns0:t>G0基本5000比較</ns0:t>
        </ns0:is>
      </ns0:c>
      <ns0:c r="C330" s="3" t="inlineStr">
        <ns0:is>
          <ns0:t>C</ns0:t>
        </ns0:is>
      </ns0:c>
      <ns0:c r="D330" s="4" t="n">
        <ns0:v>2</ns0:v>
      </ns0:c>
      <ns0:c r="E330" s="4" t="n">
        <ns0:v>500</ns0:v>
      </ns0:c>
      <ns0:c r="F330" s="6" t="n">
        <ns0:v>0.5</ns0:v>
      </ns0:c>
      <ns0:c r="G330" s="4" t="n">
        <ns0:v>2</ns0:v>
      </ns0:c>
      <ns0:c r="H330" s="7" t="n">
        <ns0:v>12904.24836601307</ns0:v>
      </ns0:c>
      <ns0:c r="I330" s="7" t="n">
        <ns0:v>6409.041394335512</ns0:v>
      </ns0:c>
      <ns0:c r="J330" s="7" t="n">
        <ns0:v>3204.520697167756</ns0:v>
      </ns0:c>
      <ns0:c r="K330" s="18" t="inlineStr">
        <ns0:is>
          <ns0:t>範囲内なし</ns0:t>
        </ns0:is>
      </ns0:c>
      <ns0:c r="L330" s="18" t="inlineStr">
        <ns0:is>
          <ns0:t>範囲内なし</ns0:t>
        </ns0:is>
      </ns0:c>
      <ns0:c r="M330" s="7" t="n">
        <ns0:v>-53594.18767323656</ns0:v>
      </ns0:c>
      <ns0:c r="N330" s="7" t="n">
        <ns0:v>-89590.10553179999</ns0:v>
      </ns0:c>
      <ns0:c r="O330" s="7" t="n">
        <ns0:v>-112976.2194687949</ns0:v>
      </ns0:c>
      <ns0:c r="P330" s="7" t="n">
        <ns0:v>-171441.5043112821</ns0:v>
      </ns0:c>
      <ns0:c r="Q330" s="7" t="n">
        <ns0:v>-447302.6436812299</ns0:v>
      </ns0:c>
      <ns0:c r="R330" s="7" t="n">
        <ns0:v>-1335816.631476048</ns0:v>
      </ns0:c>
    </ns0:row>
    <ns0:row r="331" ht="24" customHeight="1">
      <ns0:c r="A331" s="3" t="inlineStr">
        <ns0:is>
          <ns0:t>セット</ns0:t>
        </ns0:is>
      </ns0:c>
      <ns0:c r="B331" s="3" t="inlineStr">
        <ns0:is>
          <ns0:t>G0基本5000比較</ns0:t>
        </ns0:is>
      </ns0:c>
      <ns0:c r="C331" s="3" t="inlineStr">
        <ns0:is>
          <ns0:t>C</ns0:t>
        </ns0:is>
      </ns0:c>
      <ns0:c r="D331" s="4" t="n">
        <ns0:v>2</ns0:v>
      </ns0:c>
      <ns0:c r="E331" s="4" t="n">
        <ns0:v>500</ns0:v>
      </ns0:c>
      <ns0:c r="F331" s="6" t="n">
        <ns0:v>0.5</ns0:v>
      </ns0:c>
      <ns0:c r="G331" s="4" t="n">
        <ns0:v>3</ns0:v>
      </ns0:c>
      <ns0:c r="H331" s="7" t="n">
        <ns0:v>12904.24836601307</ns0:v>
      </ns0:c>
      <ns0:c r="I331" s="7" t="n">
        <ns0:v>6409.041394335512</ns0:v>
      </ns0:c>
      <ns0:c r="J331" s="7" t="n">
        <ns0:v>3204.520697167756</ns0:v>
      </ns0:c>
      <ns0:c r="K331" s="7" t="n">
        <ns0:v>13</ns0:v>
      </ns0:c>
      <ns0:c r="L331" s="7" t="n">
        <ns0:v>29</ns0:v>
      </ns0:c>
      <ns0:c r="M331" s="7" t="n">
        <ns0:v>2696.740756389143</ns0:v>
      </ns0:c>
      <ns0:c r="N331" s="7" t="n">
        <ns0:v>79282.67975707716</ns0:v>
      </ns0:c>
      <ns0:c r="O331" s="7" t="n">
        <ns0:v>168478.4226793337</ns0:v>
      </ns0:c>
      <ns0:c r="P331" s="7" t="n">
        <ns0:v>391467.7799849751</ns0:v>
      </ns0:c>
      <ns0:c r="Q331" s="7" t="n">
        <ns0:v>1241425.209207541</ns0:v>
      </ns0:c>
      <ns0:c r="R331" s="7" t="n">
        <ns0:v>4293276.211486524</ns0:v>
      </ns0:c>
    </ns0:row>
    <ns0:row r="332" ht="24" customHeight="1">
      <ns0:c r="A332" s="3" t="inlineStr">
        <ns0:is>
          <ns0:t>セット</ns0:t>
        </ns0:is>
      </ns0:c>
      <ns0:c r="B332" s="3" t="inlineStr">
        <ns0:is>
          <ns0:t>G0基本5000比較</ns0:t>
        </ns0:is>
      </ns0:c>
      <ns0:c r="C332" s="3" t="inlineStr">
        <ns0:is>
          <ns0:t>C</ns0:t>
        </ns0:is>
      </ns0:c>
      <ns0:c r="D332" s="4" t="n">
        <ns0:v>2</ns0:v>
      </ns0:c>
      <ns0:c r="E332" s="4" t="n">
        <ns0:v>1000</ns0:v>
      </ns0:c>
      <ns0:c r="F332" s="6" t="n">
        <ns0:v>0.3</ns0:v>
      </ns0:c>
      <ns0:c r="G332" s="4" t="n">
        <ns0:v>0</ns0:v>
      </ns0:c>
      <ns0:c r="H332" s="7" t="n">
        <ns0:v>12404.24836601307</ns0:v>
      </ns0:c>
      <ns0:c r="I332" s="7" t="n">
        <ns0:v>5909.041394335512</ns0:v>
      </ns0:c>
      <ns0:c r="J332" s="7" t="n">
        <ns0:v>1772.712418300654</ns0:v>
      </ns0:c>
      <ns0:c r="K332" s="7" t="n">
        <ns0:v>7</ns0:v>
      </ns0:c>
      <ns0:c r="L332" s="7" t="n">
        <ns0:v>12</ns0:v>
      </ns0:c>
      <ns0:c r="M332" s="7" t="n">
        <ns0:v>28618.77345622472</ns0:v>
      </ns0:c>
      <ns0:c r="N332" s="7" t="n">
        <ns0:v>157048.7778565839</ns0:v>
      </ns0:c>
      <ns0:c r="O332" s="7" t="n">
        <ns0:v>298088.5861785117</ns0:v>
      </ns0:c>
      <ns0:c r="P332" s="7" t="n">
        <ns0:v>650688.1069833313</ns0:v>
      </ns0:c>
      <ns0:c r="Q332" s="7" t="n">
        <ns0:v>2019086.19020261</ns0:v>
      </ns0:c>
      <ns0:c r="R332" s="7" t="n">
        <ns0:v>6885479.481470083</ns0:v>
      </ns0:c>
    </ns0:row>
    <ns0:row r="333" ht="24" customHeight="1">
      <ns0:c r="A333" s="3" t="inlineStr">
        <ns0:is>
          <ns0:t>セット</ns0:t>
        </ns0:is>
      </ns0:c>
      <ns0:c r="B333" s="3" t="inlineStr">
        <ns0:is>
          <ns0:t>G0基本5000比較</ns0:t>
        </ns0:is>
      </ns0:c>
      <ns0:c r="C333" s="3" t="inlineStr">
        <ns0:is>
          <ns0:t>C</ns0:t>
        </ns0:is>
      </ns0:c>
      <ns0:c r="D333" s="4" t="n">
        <ns0:v>2</ns0:v>
      </ns0:c>
      <ns0:c r="E333" s="4" t="n">
        <ns0:v>1000</ns0:v>
      </ns0:c>
      <ns0:c r="F333" s="6" t="n">
        <ns0:v>0.3</ns0:v>
      </ns0:c>
      <ns0:c r="G333" s="4" t="n">
        <ns0:v>1</ns0:v>
      </ns0:c>
      <ns0:c r="H333" s="7" t="n">
        <ns0:v>12404.24836601307</ns0:v>
      </ns0:c>
      <ns0:c r="I333" s="7" t="n">
        <ns0:v>5909.041394335512</ns0:v>
      </ns0:c>
      <ns0:c r="J333" s="7" t="n">
        <ns0:v>1772.712418300654</ns0:v>
      </ns0:c>
      <ns0:c r="K333" s="7" t="n">
        <ns0:v>8</ns0:v>
      </ns0:c>
      <ns0:c r="L333" s="7" t="n">
        <ns0:v>14</ns0:v>
      </ns0:c>
      <ns0:c r="M333" s="7" t="n">
        <ns0:v>23230.30406392231</ns0:v>
      </ns0:c>
      <ns0:c r="N333" s="7" t="n">
        <ns0:v>140883.3696796767</ns0:v>
      </ns0:c>
      <ns0:c r="O333" s="7" t="n">
        <ns0:v>271146.2392169997</ns0:v>
      </ns0:c>
      <ns0:c r="P333" s="7" t="n">
        <ns0:v>596803.4130603072</ns0:v>
      </ns0:c>
      <ns0:c r="Q333" s="7" t="n">
        <ns0:v>1857432.108433537</ns0:v>
      </ns0:c>
      <ns0:c r="R333" s="7" t="n">
        <ns0:v>6346632.542239842</ns0:v>
      </ns0:c>
    </ns0:row>
    <ns0:row r="334" ht="24" customHeight="1">
      <ns0:c r="A334" s="3" t="inlineStr">
        <ns0:is>
          <ns0:t>セット</ns0:t>
        </ns0:is>
      </ns0:c>
      <ns0:c r="B334" s="3" t="inlineStr">
        <ns0:is>
          <ns0:t>G0基本5000比較</ns0:t>
        </ns0:is>
      </ns0:c>
      <ns0:c r="C334" s="3" t="inlineStr">
        <ns0:is>
          <ns0:t>C</ns0:t>
        </ns0:is>
      </ns0:c>
      <ns0:c r="D334" s="4" t="n">
        <ns0:v>2</ns0:v>
      </ns0:c>
      <ns0:c r="E334" s="4" t="n">
        <ns0:v>1000</ns0:v>
      </ns0:c>
      <ns0:c r="F334" s="6" t="n">
        <ns0:v>0.3</ns0:v>
      </ns0:c>
      <ns0:c r="G334" s="4" t="n">
        <ns0:v>2</ns0:v>
      </ns0:c>
      <ns0:c r="H334" s="7" t="n">
        <ns0:v>12404.24836601307</ns0:v>
      </ns0:c>
      <ns0:c r="I334" s="7" t="n">
        <ns0:v>5909.041394335512</ns0:v>
      </ns0:c>
      <ns0:c r="J334" s="7" t="n">
        <ns0:v>1772.712418300654</ns0:v>
      </ns0:c>
      <ns0:c r="K334" s="18" t="inlineStr">
        <ns0:is>
          <ns0:t>範囲内なし</ns0:t>
        </ns0:is>
      </ns0:c>
      <ns0:c r="L334" s="18" t="inlineStr">
        <ns0:is>
          <ns0:t>範囲内なし</ns0:t>
        </ns0:is>
      </ns0:c>
      <ns0:c r="M334" s="7" t="n">
        <ns0:v>-44096.10488456555</ns0:v>
      </ns0:c>
      <ns0:c r="N334" s="7" t="n">
        <ns0:v>-61095.85716578696</ns0:v>
      </ns0:c>
      <ns0:c r="O334" s="7" t="n">
        <ns0:v>-65485.80552543973</ns0:v>
      </ns0:c>
      <ns0:c r="P334" s="7" t="n">
        <ns0:v>-76460.67642457166</ns0:v>
      </ns0:c>
      <ns0:c r="Q334" s="7" t="n">
        <ns0:v>-162360.160021099</ns0:v>
      </ns0:c>
      <ns0:c r="R334" s="7" t="n">
        <ns0:v>-386008.3526089462</ns0:v>
      </ns0:c>
    </ns0:row>
    <ns0:row r="335" ht="24" customHeight="1">
      <ns0:c r="A335" s="3" t="inlineStr">
        <ns0:is>
          <ns0:t>セット</ns0:t>
        </ns0:is>
      </ns0:c>
      <ns0:c r="B335" s="3" t="inlineStr">
        <ns0:is>
          <ns0:t>G0基本5000比較</ns0:t>
        </ns0:is>
      </ns0:c>
      <ns0:c r="C335" s="3" t="inlineStr">
        <ns0:is>
          <ns0:t>C</ns0:t>
        </ns0:is>
      </ns0:c>
      <ns0:c r="D335" s="4" t="n">
        <ns0:v>2</ns0:v>
      </ns0:c>
      <ns0:c r="E335" s="4" t="n">
        <ns0:v>1000</ns0:v>
      </ns0:c>
      <ns0:c r="F335" s="6" t="n">
        <ns0:v>0.3</ns0:v>
      </ns0:c>
      <ns0:c r="G335" s="4" t="n">
        <ns0:v>3</ns0:v>
      </ns0:c>
      <ns0:c r="H335" s="7" t="n">
        <ns0:v>12404.24836601307</ns0:v>
      </ns0:c>
      <ns0:c r="I335" s="7" t="n">
        <ns0:v>5909.041394335512</ns0:v>
      </ns0:c>
      <ns0:c r="J335" s="7" t="n">
        <ns0:v>1772.712418300654</ns0:v>
      </ns0:c>
      <ns0:c r="K335" s="7" t="n">
        <ns0:v>9</ns0:v>
      </ns0:c>
      <ns0:c r="L335" s="7" t="n">
        <ns0:v>24</ns0:v>
      </ns0:c>
      <ns0:c r="M335" s="7" t="n">
        <ns0:v>12194.82354506015</ns0:v>
      </ns0:c>
      <ns0:c r="N335" s="7" t="n">
        <ns0:v>107776.9281230902</ns0:v>
      </ns0:c>
      <ns0:c r="O335" s="7" t="n">
        <ns0:v>215968.8366226889</ns0:v>
      </ns0:c>
      <ns0:c r="P335" s="7" t="n">
        <ns0:v>486448.6078716855</ns0:v>
      </ns0:c>
      <ns0:c r="Q335" s="7" t="n">
        <ns0:v>1526367.692867672</ns0:v>
      </ns0:c>
      <ns0:c r="R335" s="7" t="n">
        <ns0:v>5243084.490353626</ns0:v>
      </ns0:c>
    </ns0:row>
    <ns0:row r="336" ht="24" customHeight="1">
      <ns0:c r="A336" s="3" t="inlineStr">
        <ns0:is>
          <ns0:t>セット</ns0:t>
        </ns0:is>
      </ns0:c>
      <ns0:c r="B336" s="3" t="inlineStr">
        <ns0:is>
          <ns0:t>G0基本5000比較</ns0:t>
        </ns0:is>
      </ns0:c>
      <ns0:c r="C336" s="3" t="inlineStr">
        <ns0:is>
          <ns0:t>C</ns0:t>
        </ns0:is>
      </ns0:c>
      <ns0:c r="D336" s="4" t="n">
        <ns0:v>2</ns0:v>
      </ns0:c>
      <ns0:c r="E336" s="4" t="n">
        <ns0:v>1000</ns0:v>
      </ns0:c>
      <ns0:c r="F336" s="6" t="n">
        <ns0:v>0.4</ns0:v>
      </ns0:c>
      <ns0:c r="G336" s="4" t="n">
        <ns0:v>0</ns0:v>
      </ns0:c>
      <ns0:c r="H336" s="7" t="n">
        <ns0:v>12404.24836601307</ns0:v>
      </ns0:c>
      <ns0:c r="I336" s="7" t="n">
        <ns0:v>5909.041394335512</ns0:v>
      </ns0:c>
      <ns0:c r="J336" s="7" t="n">
        <ns0:v>2363.616557734205</ns0:v>
      </ns0:c>
      <ns0:c r="K336" s="7" t="n">
        <ns0:v>8</ns0:v>
      </ns0:c>
      <ns0:c r="L336" s="7" t="n">
        <ns0:v>12</ns0:v>
      </ns0:c>
      <ns0:c r="M336" s="7" t="n">
        <ns0:v>22709.73206188921</ns0:v>
      </ns0:c>
      <ns0:c r="N336" s="7" t="n">
        <ns0:v>139321.6536735774</ns0:v>
      </ns0:c>
      <ns0:c r="O336" s="7" t="n">
        <ns0:v>268543.3792068341</ns0:v>
      </ns0:c>
      <ns0:c r="P336" s="7" t="n">
        <ns0:v>591597.6930399761</ns0:v>
      </ns0:c>
      <ns0:c r="Q336" s="7" t="n">
        <ns0:v>1841814.948372544</ns0:v>
      </ns0:c>
      <ns0:c r="R336" s="7" t="n">
        <ns0:v>6294575.342036532</ns0:v>
      </ns0:c>
    </ns0:row>
    <ns0:row r="337" ht="24" customHeight="1">
      <ns0:c r="A337" s="3" t="inlineStr">
        <ns0:is>
          <ns0:t>セット</ns0:t>
        </ns0:is>
      </ns0:c>
      <ns0:c r="B337" s="3" t="inlineStr">
        <ns0:is>
          <ns0:t>G0基本5000比較</ns0:t>
        </ns0:is>
      </ns0:c>
      <ns0:c r="C337" s="3" t="inlineStr">
        <ns0:is>
          <ns0:t>C</ns0:t>
        </ns0:is>
      </ns0:c>
      <ns0:c r="D337" s="4" t="n">
        <ns0:v>2</ns0:v>
      </ns0:c>
      <ns0:c r="E337" s="4" t="n">
        <ns0:v>1000</ns0:v>
      </ns0:c>
      <ns0:c r="F337" s="6" t="n">
        <ns0:v>0.4</ns0:v>
      </ns0:c>
      <ns0:c r="G337" s="4" t="n">
        <ns0:v>1</ns0:v>
      </ns0:c>
      <ns0:c r="H337" s="7" t="n">
        <ns0:v>12404.24836601307</ns0:v>
      </ns0:c>
      <ns0:c r="I337" s="7" t="n">
        <ns0:v>5909.041394335512</ns0:v>
      </ns0:c>
      <ns0:c r="J337" s="7" t="n">
        <ns0:v>2363.616557734205</ns0:v>
      </ns0:c>
      <ns0:c r="K337" s="7" t="n">
        <ns0:v>8</ns0:v>
      </ns0:c>
      <ns0:c r="L337" s="7" t="n">
        <ns0:v>15</ns0:v>
      </ns0:c>
      <ns0:c r="M337" s="7" t="n">
        <ns0:v>17321.2626695868</ns0:v>
      </ns0:c>
      <ns0:c r="N337" s="7" t="n">
        <ns0:v>123156.2454966701</ns0:v>
      </ns0:c>
      <ns0:c r="O337" s="7" t="n">
        <ns0:v>241601.0322453221</ns0:v>
      </ns0:c>
      <ns0:c r="P337" s="7" t="n">
        <ns0:v>537712.9991169521</ns0:v>
      </ns0:c>
      <ns0:c r="Q337" s="7" t="n">
        <ns0:v>1680160.866603472</ns0:v>
      </ns0:c>
      <ns0:c r="R337" s="7" t="n">
        <ns0:v>5755728.402806291</ns0:v>
      </ns0:c>
    </ns0:row>
    <ns0:row r="338" ht="24" customHeight="1">
      <ns0:c r="A338" s="3" t="inlineStr">
        <ns0:is>
          <ns0:t>セット</ns0:t>
        </ns0:is>
      </ns0:c>
      <ns0:c r="B338" s="3" t="inlineStr">
        <ns0:is>
          <ns0:t>G0基本5000比較</ns0:t>
        </ns0:is>
      </ns0:c>
      <ns0:c r="C338" s="3" t="inlineStr">
        <ns0:is>
          <ns0:t>C</ns0:t>
        </ns0:is>
      </ns0:c>
      <ns0:c r="D338" s="4" t="n">
        <ns0:v>2</ns0:v>
      </ns0:c>
      <ns0:c r="E338" s="4" t="n">
        <ns0:v>1000</ns0:v>
      </ns0:c>
      <ns0:c r="F338" s="6" t="n">
        <ns0:v>0.4</ns0:v>
      </ns0:c>
      <ns0:c r="G338" s="4" t="n">
        <ns0:v>2</ns0:v>
      </ns0:c>
      <ns0:c r="H338" s="7" t="n">
        <ns0:v>12404.24836601307</ns0:v>
      </ns0:c>
      <ns0:c r="I338" s="7" t="n">
        <ns0:v>5909.041394335512</ns0:v>
      </ns0:c>
      <ns0:c r="J338" s="7" t="n">
        <ns0:v>2363.616557734205</ns0:v>
      </ns0:c>
      <ns0:c r="K338" s="18" t="inlineStr">
        <ns0:is>
          <ns0:t>範囲内なし</ns0:t>
        </ns0:is>
      </ns0:c>
      <ns0:c r="L338" s="18" t="inlineStr">
        <ns0:is>
          <ns0:t>範囲内なし</ns0:t>
        </ns0:is>
      </ns0:c>
      <ns0:c r="M338" s="7" t="n">
        <ns0:v>-50005.14627890106</ns0:v>
      </ns0:c>
      <ns0:c r="N338" s="7" t="n">
        <ns0:v>-78822.98134879352</ns0:v>
      </ns0:c>
      <ns0:c r="O338" s="7" t="n">
        <ns0:v>-95031.01249711728</ns0:v>
      </ns0:c>
      <ns0:c r="P338" s="7" t="n">
        <ns0:v>-135551.0903679268</ns0:v>
      </ns0:c>
      <ns0:c r="Q338" s="7" t="n">
        <ns0:v>-339631.4018511645</ns0:v>
      </ns0:c>
      <ns0:c r="R338" s="7" t="n">
        <ns0:v>-976912.4920424977</ns0:v>
      </ns0:c>
    </ns0:row>
    <ns0:row r="339" ht="24" customHeight="1">
      <ns0:c r="A339" s="3" t="inlineStr">
        <ns0:is>
          <ns0:t>セット</ns0:t>
        </ns0:is>
      </ns0:c>
      <ns0:c r="B339" s="3" t="inlineStr">
        <ns0:is>
          <ns0:t>G0基本5000比較</ns0:t>
        </ns0:is>
      </ns0:c>
      <ns0:c r="C339" s="3" t="inlineStr">
        <ns0:is>
          <ns0:t>C</ns0:t>
        </ns0:is>
      </ns0:c>
      <ns0:c r="D339" s="4" t="n">
        <ns0:v>2</ns0:v>
      </ns0:c>
      <ns0:c r="E339" s="4" t="n">
        <ns0:v>1000</ns0:v>
      </ns0:c>
      <ns0:c r="F339" s="6" t="n">
        <ns0:v>0.4</ns0:v>
      </ns0:c>
      <ns0:c r="G339" s="4" t="n">
        <ns0:v>3</ns0:v>
      </ns0:c>
      <ns0:c r="H339" s="7" t="n">
        <ns0:v>12404.24836601307</ns0:v>
      </ns0:c>
      <ns0:c r="I339" s="7" t="n">
        <ns0:v>5909.041394335512</ns0:v>
      </ns0:c>
      <ns0:c r="J339" s="7" t="n">
        <ns0:v>2363.616557734205</ns0:v>
      </ns0:c>
      <ns0:c r="K339" s="7" t="n">
        <ns0:v>12</ns0:v>
      </ns0:c>
      <ns0:c r="L339" s="7" t="n">
        <ns0:v>27</ns0:v>
      </ns0:c>
      <ns0:c r="M339" s="7" t="n">
        <ns0:v>6285.782150724637</ns0:v>
      </ns0:c>
      <ns0:c r="N339" s="7" t="n">
        <ns0:v>90049.80394008363</ns0:v>
      </ns0:c>
      <ns0:c r="O339" s="7" t="n">
        <ns0:v>186423.6296510113</ns0:v>
      </ns0:c>
      <ns0:c r="P339" s="7" t="n">
        <ns0:v>427358.1939283304</ns0:v>
      </ns0:c>
      <ns0:c r="Q339" s="7" t="n">
        <ns0:v>1349096.451037607</ns0:v>
      </ns0:c>
      <ns0:c r="R339" s="7" t="n">
        <ns0:v>4652180.350920075</ns0:v>
      </ns0:c>
    </ns0:row>
    <ns0:row r="340" ht="24" customHeight="1">
      <ns0:c r="A340" s="3" t="inlineStr">
        <ns0:is>
          <ns0:t>セット</ns0:t>
        </ns0:is>
      </ns0:c>
      <ns0:c r="B340" s="3" t="inlineStr">
        <ns0:is>
          <ns0:t>G0基本5000比較</ns0:t>
        </ns0:is>
      </ns0:c>
      <ns0:c r="C340" s="3" t="inlineStr">
        <ns0:is>
          <ns0:t>C</ns0:t>
        </ns0:is>
      </ns0:c>
      <ns0:c r="D340" s="4" t="n">
        <ns0:v>2</ns0:v>
      </ns0:c>
      <ns0:c r="E340" s="4" t="n">
        <ns0:v>1000</ns0:v>
      </ns0:c>
      <ns0:c r="F340" s="6" t="n">
        <ns0:v>0.5</ns0:v>
      </ns0:c>
      <ns0:c r="G340" s="4" t="n">
        <ns0:v>0</ns0:v>
      </ns0:c>
      <ns0:c r="H340" s="7" t="n">
        <ns0:v>12404.24836601307</ns0:v>
      </ns0:c>
      <ns0:c r="I340" s="7" t="n">
        <ns0:v>5909.041394335512</ns0:v>
      </ns0:c>
      <ns0:c r="J340" s="7" t="n">
        <ns0:v>2954.520697167756</ns0:v>
      </ns0:c>
      <ns0:c r="K340" s="7" t="n">
        <ns0:v>8</ns0:v>
      </ns0:c>
      <ns0:c r="L340" s="7" t="n">
        <ns0:v>13</ns0:v>
      </ns0:c>
      <ns0:c r="M340" s="7" t="n">
        <ns0:v>16800.6906675537</ns0:v>
      </ns0:c>
      <ns0:c r="N340" s="7" t="n">
        <ns0:v>121594.5294905708</ns0:v>
      </ns0:c>
      <ns0:c r="O340" s="7" t="n">
        <ns0:v>238998.1722351566</ns0:v>
      </ns0:c>
      <ns0:c r="P340" s="7" t="n">
        <ns0:v>532507.2790966211</ns0:v>
      </ns0:c>
      <ns0:c r="Q340" s="7" t="n">
        <ns0:v>1664543.706542479</ns0:v>
      </ns0:c>
      <ns0:c r="R340" s="7" t="n">
        <ns0:v>5703671.202602981</ns0:v>
      </ns0:c>
    </ns0:row>
    <ns0:row r="341" ht="24" customHeight="1">
      <ns0:c r="A341" s="3" t="inlineStr">
        <ns0:is>
          <ns0:t>セット</ns0:t>
        </ns0:is>
      </ns0:c>
      <ns0:c r="B341" s="3" t="inlineStr">
        <ns0:is>
          <ns0:t>G0基本5000比較</ns0:t>
        </ns0:is>
      </ns0:c>
      <ns0:c r="C341" s="3" t="inlineStr">
        <ns0:is>
          <ns0:t>C</ns0:t>
        </ns0:is>
      </ns0:c>
      <ns0:c r="D341" s="4" t="n">
        <ns0:v>2</ns0:v>
      </ns0:c>
      <ns0:c r="E341" s="4" t="n">
        <ns0:v>1000</ns0:v>
      </ns0:c>
      <ns0:c r="F341" s="6" t="n">
        <ns0:v>0.5</ns0:v>
      </ns0:c>
      <ns0:c r="G341" s="4" t="n">
        <ns0:v>1</ns0:v>
      </ns0:c>
      <ns0:c r="H341" s="7" t="n">
        <ns0:v>12404.24836601307</ns0:v>
      </ns0:c>
      <ns0:c r="I341" s="7" t="n">
        <ns0:v>5909.041394335512</ns0:v>
      </ns0:c>
      <ns0:c r="J341" s="7" t="n">
        <ns0:v>2954.520697167756</ns0:v>
      </ns0:c>
      <ns0:c r="K341" s="7" t="n">
        <ns0:v>9</ns0:v>
      </ns0:c>
      <ns0:c r="L341" s="7" t="n">
        <ns0:v>16</ns0:v>
      </ns0:c>
      <ns0:c r="M341" s="7" t="n">
        <ns0:v>11412.22127525129</ns0:v>
      </ns0:c>
      <ns0:c r="N341" s="7" t="n">
        <ns0:v>105429.1213136635</ns0:v>
      </ns0:c>
      <ns0:c r="O341" s="7" t="n">
        <ns0:v>212055.8252736446</ns0:v>
      </ns0:c>
      <ns0:c r="P341" s="7" t="n">
        <ns0:v>478622.585173597</ns0:v>
      </ns0:c>
      <ns0:c r="Q341" s="7" t="n">
        <ns0:v>1502889.624773406</ns0:v>
      </ns0:c>
      <ns0:c r="R341" s="7" t="n">
        <ns0:v>5164824.26337274</ns0:v>
      </ns0:c>
    </ns0:row>
    <ns0:row r="342" ht="24" customHeight="1">
      <ns0:c r="A342" s="3" t="inlineStr">
        <ns0:is>
          <ns0:t>セット</ns0:t>
        </ns0:is>
      </ns0:c>
      <ns0:c r="B342" s="3" t="inlineStr">
        <ns0:is>
          <ns0:t>G0基本5000比較</ns0:t>
        </ns0:is>
      </ns0:c>
      <ns0:c r="C342" s="3" t="inlineStr">
        <ns0:is>
          <ns0:t>C</ns0:t>
        </ns0:is>
      </ns0:c>
      <ns0:c r="D342" s="4" t="n">
        <ns0:v>2</ns0:v>
      </ns0:c>
      <ns0:c r="E342" s="4" t="n">
        <ns0:v>1000</ns0:v>
      </ns0:c>
      <ns0:c r="F342" s="6" t="n">
        <ns0:v>0.5</ns0:v>
      </ns0:c>
      <ns0:c r="G342" s="4" t="n">
        <ns0:v>2</ns0:v>
      </ns0:c>
      <ns0:c r="H342" s="7" t="n">
        <ns0:v>12404.24836601307</ns0:v>
      </ns0:c>
      <ns0:c r="I342" s="7" t="n">
        <ns0:v>5909.041394335512</ns0:v>
      </ns0:c>
      <ns0:c r="J342" s="7" t="n">
        <ns0:v>2954.520697167756</ns0:v>
      </ns0:c>
      <ns0:c r="K342" s="18" t="inlineStr">
        <ns0:is>
          <ns0:t>範囲内なし</ns0:t>
        </ns0:is>
      </ns0:c>
      <ns0:c r="L342" s="18" t="inlineStr">
        <ns0:is>
          <ns0:t>範囲内なし</ns0:t>
        </ns0:is>
      </ns0:c>
      <ns0:c r="M342" s="7" t="n">
        <ns0:v>-55914.18767323659</ns0:v>
      </ns0:c>
      <ns0:c r="N342" s="7" t="n">
        <ns0:v>-96550.10553180007</ns0:v>
      </ns0:c>
      <ns0:c r="O342" s="7" t="n">
        <ns0:v>-124576.2194687948</ns0:v>
      </ns0:c>
      <ns0:c r="P342" s="7" t="n">
        <ns0:v>-194641.5043112817</ns0:v>
      </ns0:c>
      <ns0:c r="Q342" s="7" t="n">
        <ns0:v>-516902.6436812299</ns0:v>
      </ns0:c>
      <ns0:c r="R342" s="7" t="n">
        <ns0:v>-1567816.631476047</ns0:v>
      </ns0:c>
    </ns0:row>
    <ns0:row r="343" ht="24" customHeight="1">
      <ns0:c r="A343" s="3" t="inlineStr">
        <ns0:is>
          <ns0:t>セット</ns0:t>
        </ns0:is>
      </ns0:c>
      <ns0:c r="B343" s="3" t="inlineStr">
        <ns0:is>
          <ns0:t>G0基本5000比較</ns0:t>
        </ns0:is>
      </ns0:c>
      <ns0:c r="C343" s="3" t="inlineStr">
        <ns0:is>
          <ns0:t>C</ns0:t>
        </ns0:is>
      </ns0:c>
      <ns0:c r="D343" s="4" t="n">
        <ns0:v>2</ns0:v>
      </ns0:c>
      <ns0:c r="E343" s="4" t="n">
        <ns0:v>1000</ns0:v>
      </ns0:c>
      <ns0:c r="F343" s="6" t="n">
        <ns0:v>0.5</ns0:v>
      </ns0:c>
      <ns0:c r="G343" s="4" t="n">
        <ns0:v>3</ns0:v>
      </ns0:c>
      <ns0:c r="H343" s="7" t="n">
        <ns0:v>12404.24836601307</ns0:v>
      </ns0:c>
      <ns0:c r="I343" s="7" t="n">
        <ns0:v>5909.041394335512</ns0:v>
      </ns0:c>
      <ns0:c r="J343" s="7" t="n">
        <ns0:v>2954.520697167756</ns0:v>
      </ns0:c>
      <ns0:c r="K343" s="7" t="n">
        <ns0:v>13</ns0:v>
      </ns0:c>
      <ns0:c r="L343" s="7" t="n">
        <ns0:v>31</ns0:v>
      </ns0:c>
      <ns0:c r="M343" s="7" t="n">
        <ns0:v>376.7407563891284</ns0:v>
      </ns0:c>
      <ns0:c r="N343" s="7" t="n">
        <ns0:v>72322.67975707707</ns0:v>
      </ns0:c>
      <ns0:c r="O343" s="7" t="n">
        <ns0:v>156878.4226793338</ns0:v>
      </ns0:c>
      <ns0:c r="P343" s="7" t="n">
        <ns0:v>368267.7799849754</ns0:v>
      </ns0:c>
      <ns0:c r="Q343" s="7" t="n">
        <ns0:v>1171825.209207541</ns0:v>
      </ns0:c>
      <ns0:c r="R343" s="7" t="n">
        <ns0:v>4061276.211486524</ns0:v>
      </ns0:c>
    </ns0:row>
    <ns0:row r="344" ht="24" customHeight="1">
      <ns0:c r="A344" s="3" t="inlineStr">
        <ns0:is>
          <ns0:t>セット</ns0:t>
        </ns0:is>
      </ns0:c>
      <ns0:c r="B344" s="3" t="inlineStr">
        <ns0:is>
          <ns0:t>G0基本5000比較</ns0:t>
        </ns0:is>
      </ns0:c>
      <ns0:c r="C344" s="3" t="inlineStr">
        <ns0:is>
          <ns0:t>C</ns0:t>
        </ns0:is>
      </ns0:c>
      <ns0:c r="D344" s="4" t="n">
        <ns0:v>2</ns0:v>
      </ns0:c>
      <ns0:c r="E344" s="4" t="n">
        <ns0:v>1500</ns0:v>
      </ns0:c>
      <ns0:c r="F344" s="6" t="n">
        <ns0:v>0.3</ns0:v>
      </ns0:c>
      <ns0:c r="G344" s="4" t="n">
        <ns0:v>0</ns0:v>
      </ns0:c>
      <ns0:c r="H344" s="7" t="n">
        <ns0:v>11904.24836601307</ns0:v>
      </ns0:c>
      <ns0:c r="I344" s="7" t="n">
        <ns0:v>5409.041394335512</ns0:v>
      </ns0:c>
      <ns0:c r="J344" s="7" t="n">
        <ns0:v>1622.712418300653</ns0:v>
      </ns0:c>
      <ns0:c r="K344" s="7" t="n">
        <ns0:v>8</ns0:v>
      </ns0:c>
      <ns0:c r="L344" s="7" t="n">
        <ns0:v>12</ns0:v>
      </ns0:c>
      <ns0:c r="M344" s="7" t="n">
        <ns0:v>25298.77345622472</ns0:v>
      </ns0:c>
      <ns0:c r="N344" s="7" t="n">
        <ns0:v>147088.7778565839</ns0:v>
      </ns0:c>
      <ns0:c r="O344" s="7" t="n">
        <ns0:v>281488.5861785116</ns0:v>
      </ns0:c>
      <ns0:c r="P344" s="7" t="n">
        <ns0:v>617488.106983331</ns0:v>
      </ns0:c>
      <ns0:c r="Q344" s="7" t="n">
        <ns0:v>1919486.190202609</ns0:v>
      </ns0:c>
      <ns0:c r="R344" s="7" t="n">
        <ns0:v>6553479.48147008</ns0:v>
      </ns0:c>
    </ns0:row>
    <ns0:row r="345" ht="24" customHeight="1">
      <ns0:c r="A345" s="3" t="inlineStr">
        <ns0:is>
          <ns0:t>セット</ns0:t>
        </ns0:is>
      </ns0:c>
      <ns0:c r="B345" s="3" t="inlineStr">
        <ns0:is>
          <ns0:t>G0基本5000比較</ns0:t>
        </ns0:is>
      </ns0:c>
      <ns0:c r="C345" s="3" t="inlineStr">
        <ns0:is>
          <ns0:t>C</ns0:t>
        </ns0:is>
      </ns0:c>
      <ns0:c r="D345" s="4" t="n">
        <ns0:v>2</ns0:v>
      </ns0:c>
      <ns0:c r="E345" s="4" t="n">
        <ns0:v>1500</ns0:v>
      </ns0:c>
      <ns0:c r="F345" s="6" t="n">
        <ns0:v>0.3</ns0:v>
      </ns0:c>
      <ns0:c r="G345" s="4" t="n">
        <ns0:v>1</ns0:v>
      </ns0:c>
      <ns0:c r="H345" s="7" t="n">
        <ns0:v>11904.24836601307</ns0:v>
      </ns0:c>
      <ns0:c r="I345" s="7" t="n">
        <ns0:v>5409.041394335512</ns0:v>
      </ns0:c>
      <ns0:c r="J345" s="7" t="n">
        <ns0:v>1622.712418300653</ns0:v>
      </ns0:c>
      <ns0:c r="K345" s="7" t="n">
        <ns0:v>8</ns0:v>
      </ns0:c>
      <ns0:c r="L345" s="7" t="n">
        <ns0:v>14</ns0:v>
      </ns0:c>
      <ns0:c r="M345" s="7" t="n">
        <ns0:v>19910.30406392231</ns0:v>
      </ns0:c>
      <ns0:c r="N345" s="7" t="n">
        <ns0:v>130923.3696796767</ns0:v>
      </ns0:c>
      <ns0:c r="O345" s="7" t="n">
        <ns0:v>254546.2392169996</ns0:v>
      </ns0:c>
      <ns0:c r="P345" s="7" t="n">
        <ns0:v>563603.413060307</ns0:v>
      </ns0:c>
      <ns0:c r="Q345" s="7" t="n">
        <ns0:v>1757832.108433537</ns0:v>
      </ns0:c>
      <ns0:c r="R345" s="7" t="n">
        <ns0:v>6014632.542239839</ns0:v>
      </ns0:c>
    </ns0:row>
    <ns0:row r="346" ht="24" customHeight="1">
      <ns0:c r="A346" s="3" t="inlineStr">
        <ns0:is>
          <ns0:t>セット</ns0:t>
        </ns0:is>
      </ns0:c>
      <ns0:c r="B346" s="3" t="inlineStr">
        <ns0:is>
          <ns0:t>G0基本5000比較</ns0:t>
        </ns0:is>
      </ns0:c>
      <ns0:c r="C346" s="3" t="inlineStr">
        <ns0:is>
          <ns0:t>C</ns0:t>
        </ns0:is>
      </ns0:c>
      <ns0:c r="D346" s="4" t="n">
        <ns0:v>2</ns0:v>
      </ns0:c>
      <ns0:c r="E346" s="4" t="n">
        <ns0:v>1500</ns0:v>
      </ns0:c>
      <ns0:c r="F346" s="6" t="n">
        <ns0:v>0.3</ns0:v>
      </ns0:c>
      <ns0:c r="G346" s="4" t="n">
        <ns0:v>2</ns0:v>
      </ns0:c>
      <ns0:c r="H346" s="7" t="n">
        <ns0:v>11904.24836601307</ns0:v>
      </ns0:c>
      <ns0:c r="I346" s="7" t="n">
        <ns0:v>5409.041394335512</ns0:v>
      </ns0:c>
      <ns0:c r="J346" s="7" t="n">
        <ns0:v>1622.712418300653</ns0:v>
      </ns0:c>
      <ns0:c r="K346" s="18" t="inlineStr">
        <ns0:is>
          <ns0:t>範囲内なし</ns0:t>
        </ns0:is>
      </ns0:c>
      <ns0:c r="L346" s="18" t="inlineStr">
        <ns0:is>
          <ns0:t>範囲内なし</ns0:t>
        </ns0:is>
      </ns0:c>
      <ns0:c r="M346" s="7" t="n">
        <ns0:v>-47416.10488456556</ns0:v>
      </ns0:c>
      <ns0:c r="N346" s="7" t="n">
        <ns0:v>-71055.85716578696</ns0:v>
      </ns0:c>
      <ns0:c r="O346" s="7" t="n">
        <ns0:v>-82085.80552543979</ns0:v>
      </ns0:c>
      <ns0:c r="P346" s="7" t="n">
        <ns0:v>-109660.6764245718</ns0:v>
      </ns0:c>
      <ns0:c r="Q346" s="7" t="n">
        <ns0:v>-261960.1600210993</ns0:v>
      </ns0:c>
      <ns0:c r="R346" s="7" t="n">
        <ns0:v>-718008.3526089489</ns0:v>
      </ns0:c>
    </ns0:row>
    <ns0:row r="347" ht="24" customHeight="1">
      <ns0:c r="A347" s="3" t="inlineStr">
        <ns0:is>
          <ns0:t>セット</ns0:t>
        </ns0:is>
      </ns0:c>
      <ns0:c r="B347" s="3" t="inlineStr">
        <ns0:is>
          <ns0:t>G0基本5000比較</ns0:t>
        </ns0:is>
      </ns0:c>
      <ns0:c r="C347" s="3" t="inlineStr">
        <ns0:is>
          <ns0:t>C</ns0:t>
        </ns0:is>
      </ns0:c>
      <ns0:c r="D347" s="4" t="n">
        <ns0:v>2</ns0:v>
      </ns0:c>
      <ns0:c r="E347" s="4" t="n">
        <ns0:v>1500</ns0:v>
      </ns0:c>
      <ns0:c r="F347" s="6" t="n">
        <ns0:v>0.3</ns0:v>
      </ns0:c>
      <ns0:c r="G347" s="4" t="n">
        <ns0:v>3</ns0:v>
      </ns0:c>
      <ns0:c r="H347" s="7" t="n">
        <ns0:v>11904.24836601307</ns0:v>
      </ns0:c>
      <ns0:c r="I347" s="7" t="n">
        <ns0:v>5409.041394335512</ns0:v>
      </ns0:c>
      <ns0:c r="J347" s="7" t="n">
        <ns0:v>1622.712418300653</ns0:v>
      </ns0:c>
      <ns0:c r="K347" s="7" t="n">
        <ns0:v>9</ns0:v>
      </ns0:c>
      <ns0:c r="L347" s="7" t="n">
        <ns0:v>25</ns0:v>
      </ns0:c>
      <ns0:c r="M347" s="7" t="n">
        <ns0:v>8874.823545060146</ns0:v>
      </ns0:c>
      <ns0:c r="N347" s="7" t="n">
        <ns0:v>97816.92812309018</ns0:v>
      </ns0:c>
      <ns0:c r="O347" s="7" t="n">
        <ns0:v>199368.8366226888</ns0:v>
      </ns0:c>
      <ns0:c r="P347" s="7" t="n">
        <ns0:v>453248.6078716853</ns0:v>
      </ns0:c>
      <ns0:c r="Q347" s="7" t="n">
        <ns0:v>1426767.692867672</ns0:v>
      </ns0:c>
      <ns0:c r="R347" s="7" t="n">
        <ns0:v>4911084.490353623</ns0:v>
      </ns0:c>
    </ns0:row>
    <ns0:row r="348" ht="24" customHeight="1">
      <ns0:c r="A348" s="3" t="inlineStr">
        <ns0:is>
          <ns0:t>セット</ns0:t>
        </ns0:is>
      </ns0:c>
      <ns0:c r="B348" s="3" t="inlineStr">
        <ns0:is>
          <ns0:t>G0基本5000比較</ns0:t>
        </ns0:is>
      </ns0:c>
      <ns0:c r="C348" s="3" t="inlineStr">
        <ns0:is>
          <ns0:t>C</ns0:t>
        </ns0:is>
      </ns0:c>
      <ns0:c r="D348" s="4" t="n">
        <ns0:v>2</ns0:v>
      </ns0:c>
      <ns0:c r="E348" s="4" t="n">
        <ns0:v>1500</ns0:v>
      </ns0:c>
      <ns0:c r="F348" s="6" t="n">
        <ns0:v>0.4</ns0:v>
      </ns0:c>
      <ns0:c r="G348" s="4" t="n">
        <ns0:v>0</ns0:v>
      </ns0:c>
      <ns0:c r="H348" s="7" t="n">
        <ns0:v>11904.24836601307</ns0:v>
      </ns0:c>
      <ns0:c r="I348" s="7" t="n">
        <ns0:v>5409.041394335512</ns0:v>
      </ns0:c>
      <ns0:c r="J348" s="7" t="n">
        <ns0:v>2163.616557734205</ns0:v>
      </ns0:c>
      <ns0:c r="K348" s="7" t="n">
        <ns0:v>8</ns0:v>
      </ns0:c>
      <ns0:c r="L348" s="7" t="n">
        <ns0:v>12</ns0:v>
      </ns0:c>
      <ns0:c r="M348" s="7" t="n">
        <ns0:v>19889.73206188921</ns0:v>
      </ns0:c>
      <ns0:c r="N348" s="7" t="n">
        <ns0:v>130861.6536735774</ns0:v>
      </ns0:c>
      <ns0:c r="O348" s="7" t="n">
        <ns0:v>254443.3792068341</ns0:v>
      </ns0:c>
      <ns0:c r="P348" s="7" t="n">
        <ns0:v>563397.6930399759</ns0:v>
      </ns0:c>
      <ns0:c r="Q348" s="7" t="n">
        <ns0:v>1757214.948372544</ns0:v>
      </ns0:c>
      <ns0:c r="R348" s="7" t="n">
        <ns0:v>6012575.342036529</ns0:v>
      </ns0:c>
    </ns0:row>
    <ns0:row r="349" ht="24" customHeight="1">
      <ns0:c r="A349" s="3" t="inlineStr">
        <ns0:is>
          <ns0:t>セット</ns0:t>
        </ns0:is>
      </ns0:c>
      <ns0:c r="B349" s="3" t="inlineStr">
        <ns0:is>
          <ns0:t>G0基本5000比較</ns0:t>
        </ns0:is>
      </ns0:c>
      <ns0:c r="C349" s="3" t="inlineStr">
        <ns0:is>
          <ns0:t>C</ns0:t>
        </ns0:is>
      </ns0:c>
      <ns0:c r="D349" s="4" t="n">
        <ns0:v>2</ns0:v>
      </ns0:c>
      <ns0:c r="E349" s="4" t="n">
        <ns0:v>1500</ns0:v>
      </ns0:c>
      <ns0:c r="F349" s="6" t="n">
        <ns0:v>0.4</ns0:v>
      </ns0:c>
      <ns0:c r="G349" s="4" t="n">
        <ns0:v>1</ns0:v>
      </ns0:c>
      <ns0:c r="H349" s="7" t="n">
        <ns0:v>11904.24836601307</ns0:v>
      </ns0:c>
      <ns0:c r="I349" s="7" t="n">
        <ns0:v>5409.041394335512</ns0:v>
      </ns0:c>
      <ns0:c r="J349" s="7" t="n">
        <ns0:v>2163.616557734205</ns0:v>
      </ns0:c>
      <ns0:c r="K349" s="7" t="n">
        <ns0:v>9</ns0:v>
      </ns0:c>
      <ns0:c r="L349" s="7" t="n">
        <ns0:v>15</ns0:v>
      </ns0:c>
      <ns0:c r="M349" s="7" t="n">
        <ns0:v>14501.2626695868</ns0:v>
      </ns0:c>
      <ns0:c r="N349" s="7" t="n">
        <ns0:v>114696.2454966701</ns0:v>
      </ns0:c>
      <ns0:c r="O349" s="7" t="n">
        <ns0:v>227501.032245322</ns0:v>
      </ns0:c>
      <ns0:c r="P349" s="7" t="n">
        <ns0:v>509512.9991169519</ns0:v>
      </ns0:c>
      <ns0:c r="Q349" s="7" t="n">
        <ns0:v>1595560.866603471</ns0:v>
      </ns0:c>
      <ns0:c r="R349" s="7" t="n">
        <ns0:v>5473728.402806289</ns0:v>
      </ns0:c>
    </ns0:row>
    <ns0:row r="350" ht="24" customHeight="1">
      <ns0:c r="A350" s="3" t="inlineStr">
        <ns0:is>
          <ns0:t>セット</ns0:t>
        </ns0:is>
      </ns0:c>
      <ns0:c r="B350" s="3" t="inlineStr">
        <ns0:is>
          <ns0:t>G0基本5000比較</ns0:t>
        </ns0:is>
      </ns0:c>
      <ns0:c r="C350" s="3" t="inlineStr">
        <ns0:is>
          <ns0:t>C</ns0:t>
        </ns0:is>
      </ns0:c>
      <ns0:c r="D350" s="4" t="n">
        <ns0:v>2</ns0:v>
      </ns0:c>
      <ns0:c r="E350" s="4" t="n">
        <ns0:v>1500</ns0:v>
      </ns0:c>
      <ns0:c r="F350" s="6" t="n">
        <ns0:v>0.4</ns0:v>
      </ns0:c>
      <ns0:c r="G350" s="4" t="n">
        <ns0:v>2</ns0:v>
      </ns0:c>
      <ns0:c r="H350" s="7" t="n">
        <ns0:v>11904.24836601307</ns0:v>
      </ns0:c>
      <ns0:c r="I350" s="7" t="n">
        <ns0:v>5409.041394335512</ns0:v>
      </ns0:c>
      <ns0:c r="J350" s="7" t="n">
        <ns0:v>2163.616557734205</ns0:v>
      </ns0:c>
      <ns0:c r="K350" s="18" t="inlineStr">
        <ns0:is>
          <ns0:t>範囲内なし</ns0:t>
        </ns0:is>
      </ns0:c>
      <ns0:c r="L350" s="18" t="inlineStr">
        <ns0:is>
          <ns0:t>範囲内なし</ns0:t>
        </ns0:is>
      </ns0:c>
      <ns0:c r="M350" s="7" t="n">
        <ns0:v>-52825.14627890108</ns0:v>
      </ns0:c>
      <ns0:c r="N350" s="7" t="n">
        <ns0:v>-87282.98134879349</ns0:v>
      </ns0:c>
      <ns0:c r="O350" s="7" t="n">
        <ns0:v>-109131.0124971173</ns0:v>
      </ns0:c>
      <ns0:c r="P350" s="7" t="n">
        <ns0:v>-163751.0903679269</ns0:v>
      </ns0:c>
      <ns0:c r="Q350" s="7" t="n">
        <ns0:v>-424231.4018511648</ns0:v>
      </ns0:c>
      <ns0:c r="R350" s="7" t="n">
        <ns0:v>-1258912.492042499</ns0:v>
      </ns0:c>
    </ns0:row>
    <ns0:row r="351" ht="24" customHeight="1">
      <ns0:c r="A351" s="3" t="inlineStr">
        <ns0:is>
          <ns0:t>セット</ns0:t>
        </ns0:is>
      </ns0:c>
      <ns0:c r="B351" s="3" t="inlineStr">
        <ns0:is>
          <ns0:t>G0基本5000比較</ns0:t>
        </ns0:is>
      </ns0:c>
      <ns0:c r="C351" s="3" t="inlineStr">
        <ns0:is>
          <ns0:t>C</ns0:t>
        </ns0:is>
      </ns0:c>
      <ns0:c r="D351" s="4" t="n">
        <ns0:v>2</ns0:v>
      </ns0:c>
      <ns0:c r="E351" s="4" t="n">
        <ns0:v>1500</ns0:v>
      </ns0:c>
      <ns0:c r="F351" s="6" t="n">
        <ns0:v>0.4</ns0:v>
      </ns0:c>
      <ns0:c r="G351" s="4" t="n">
        <ns0:v>3</ns0:v>
      </ns0:c>
      <ns0:c r="H351" s="7" t="n">
        <ns0:v>11904.24836601307</ns0:v>
      </ns0:c>
      <ns0:c r="I351" s="7" t="n">
        <ns0:v>5409.041394335512</ns0:v>
      </ns0:c>
      <ns0:c r="J351" s="7" t="n">
        <ns0:v>2163.616557734205</ns0:v>
      </ns0:c>
      <ns0:c r="K351" s="7" t="n">
        <ns0:v>13</ns0:v>
      </ns0:c>
      <ns0:c r="L351" s="7" t="n">
        <ns0:v>28</ns0:v>
      </ns0:c>
      <ns0:c r="M351" s="7" t="n">
        <ns0:v>3465.782150724637</ns0:v>
      </ns0:c>
      <ns0:c r="N351" s="7" t="n">
        <ns0:v>81589.80394008366</ns0:v>
      </ns0:c>
      <ns0:c r="O351" s="7" t="n">
        <ns0:v>172323.6296510112</ns0:v>
      </ns0:c>
      <ns0:c r="P351" s="7" t="n">
        <ns0:v>399158.1939283302</ns0:v>
      </ns0:c>
      <ns0:c r="Q351" s="7" t="n">
        <ns0:v>1264496.451037606</ns0:v>
      </ns0:c>
      <ns0:c r="R351" s="7" t="n">
        <ns0:v>4370180.350920073</ns0:v>
      </ns0:c>
    </ns0:row>
    <ns0:row r="352" ht="24" customHeight="1">
      <ns0:c r="A352" s="3" t="inlineStr">
        <ns0:is>
          <ns0:t>セット</ns0:t>
        </ns0:is>
      </ns0:c>
      <ns0:c r="B352" s="3" t="inlineStr">
        <ns0:is>
          <ns0:t>G0基本5000比較</ns0:t>
        </ns0:is>
      </ns0:c>
      <ns0:c r="C352" s="3" t="inlineStr">
        <ns0:is>
          <ns0:t>C</ns0:t>
        </ns0:is>
      </ns0:c>
      <ns0:c r="D352" s="4" t="n">
        <ns0:v>2</ns0:v>
      </ns0:c>
      <ns0:c r="E352" s="4" t="n">
        <ns0:v>1500</ns0:v>
      </ns0:c>
      <ns0:c r="F352" s="6" t="n">
        <ns0:v>0.5</ns0:v>
      </ns0:c>
      <ns0:c r="G352" s="4" t="n">
        <ns0:v>0</ns0:v>
      </ns0:c>
      <ns0:c r="H352" s="7" t="n">
        <ns0:v>11904.24836601307</ns0:v>
      </ns0:c>
      <ns0:c r="I352" s="7" t="n">
        <ns0:v>5409.041394335512</ns0:v>
      </ns0:c>
      <ns0:c r="J352" s="7" t="n">
        <ns0:v>2704.520697167756</ns0:v>
      </ns0:c>
      <ns0:c r="K352" s="7" t="n">
        <ns0:v>9</ns0:v>
      </ns0:c>
      <ns0:c r="L352" s="7" t="n">
        <ns0:v>13</ns0:v>
      </ns0:c>
      <ns0:c r="M352" s="7" t="n">
        <ns0:v>14480.6906675537</ns0:v>
      </ns0:c>
      <ns0:c r="N352" s="7" t="n">
        <ns0:v>114634.5294905708</ns0:v>
      </ns0:c>
      <ns0:c r="O352" s="7" t="n">
        <ns0:v>227398.1722351565</ns0:v>
      </ns0:c>
      <ns0:c r="P352" s="7" t="n">
        <ns0:v>509307.2790966209</ns0:v>
      </ns0:c>
      <ns0:c r="Q352" s="7" t="n">
        <ns0:v>1594943.706542478</ns0:v>
      </ns0:c>
      <ns0:c r="R352" s="7" t="n">
        <ns0:v>5471671.202602979</ns0:v>
      </ns0:c>
    </ns0:row>
    <ns0:row r="353" ht="24" customHeight="1">
      <ns0:c r="A353" s="3" t="inlineStr">
        <ns0:is>
          <ns0:t>セット</ns0:t>
        </ns0:is>
      </ns0:c>
      <ns0:c r="B353" s="3" t="inlineStr">
        <ns0:is>
          <ns0:t>G0基本5000比較</ns0:t>
        </ns0:is>
      </ns0:c>
      <ns0:c r="C353" s="3" t="inlineStr">
        <ns0:is>
          <ns0:t>C</ns0:t>
        </ns0:is>
      </ns0:c>
      <ns0:c r="D353" s="4" t="n">
        <ns0:v>2</ns0:v>
      </ns0:c>
      <ns0:c r="E353" s="4" t="n">
        <ns0:v>1500</ns0:v>
      </ns0:c>
      <ns0:c r="F353" s="6" t="n">
        <ns0:v>0.5</ns0:v>
      </ns0:c>
      <ns0:c r="G353" s="4" t="n">
        <ns0:v>1</ns0:v>
      </ns0:c>
      <ns0:c r="H353" s="7" t="n">
        <ns0:v>11904.24836601307</ns0:v>
      </ns0:c>
      <ns0:c r="I353" s="7" t="n">
        <ns0:v>5409.041394335512</ns0:v>
      </ns0:c>
      <ns0:c r="J353" s="7" t="n">
        <ns0:v>2704.520697167756</ns0:v>
      </ns0:c>
      <ns0:c r="K353" s="7" t="n">
        <ns0:v>9</ns0:v>
      </ns0:c>
      <ns0:c r="L353" s="7" t="n">
        <ns0:v>16</ns0:v>
      </ns0:c>
      <ns0:c r="M353" s="7" t="n">
        <ns0:v>9092.221275251293</ns0:v>
      </ns0:c>
      <ns0:c r="N353" s="7" t="n">
        <ns0:v>98469.12131366361</ns0:v>
      </ns0:c>
      <ns0:c r="O353" s="7" t="n">
        <ns0:v>200455.8252736445</ns0:v>
      </ns0:c>
      <ns0:c r="P353" s="7" t="n">
        <ns0:v>455422.5851735968</ns0:v>
      </ns0:c>
      <ns0:c r="Q353" s="7" t="n">
        <ns0:v>1433289.624773406</ns0:v>
      </ns0:c>
      <ns0:c r="R353" s="7" t="n">
        <ns0:v>4932824.263372738</ns0:v>
      </ns0:c>
    </ns0:row>
    <ns0:row r="354" ht="24" customHeight="1">
      <ns0:c r="A354" s="3" t="inlineStr">
        <ns0:is>
          <ns0:t>セット</ns0:t>
        </ns0:is>
      </ns0:c>
      <ns0:c r="B354" s="3" t="inlineStr">
        <ns0:is>
          <ns0:t>G0基本5000比較</ns0:t>
        </ns0:is>
      </ns0:c>
      <ns0:c r="C354" s="3" t="inlineStr">
        <ns0:is>
          <ns0:t>C</ns0:t>
        </ns0:is>
      </ns0:c>
      <ns0:c r="D354" s="4" t="n">
        <ns0:v>2</ns0:v>
      </ns0:c>
      <ns0:c r="E354" s="4" t="n">
        <ns0:v>1500</ns0:v>
      </ns0:c>
      <ns0:c r="F354" s="6" t="n">
        <ns0:v>0.5</ns0:v>
      </ns0:c>
      <ns0:c r="G354" s="4" t="n">
        <ns0:v>2</ns0:v>
      </ns0:c>
      <ns0:c r="H354" s="7" t="n">
        <ns0:v>11904.24836601307</ns0:v>
      </ns0:c>
      <ns0:c r="I354" s="7" t="n">
        <ns0:v>5409.041394335512</ns0:v>
      </ns0:c>
      <ns0:c r="J354" s="7" t="n">
        <ns0:v>2704.520697167756</ns0:v>
      </ns0:c>
      <ns0:c r="K354" s="18" t="inlineStr">
        <ns0:is>
          <ns0:t>範囲内なし</ns0:t>
        </ns0:is>
      </ns0:c>
      <ns0:c r="L354" s="18" t="inlineStr">
        <ns0:is>
          <ns0:t>範囲内なし</ns0:t>
        </ns0:is>
      </ns0:c>
      <ns0:c r="M354" s="7" t="n">
        <ns0:v>-58234.18767323658</ns0:v>
      </ns0:c>
      <ns0:c r="N354" s="7" t="n">
        <ns0:v>-103510.1055318</ns0:v>
      </ns0:c>
      <ns0:c r="O354" s="7" t="n">
        <ns0:v>-136176.2194687949</ns0:v>
      </ns0:c>
      <ns0:c r="P354" s="7" t="n">
        <ns0:v>-217841.504311282</ns0:v>
      </ns0:c>
      <ns0:c r="Q354" s="7" t="n">
        <ns0:v>-586502.6436812301</ns0:v>
      </ns0:c>
      <ns0:c r="R354" s="7" t="n">
        <ns0:v>-1799816.63147605</ns0:v>
      </ns0:c>
    </ns0:row>
    <ns0:row r="355" ht="24" customHeight="1">
      <ns0:c r="A355" s="3" t="inlineStr">
        <ns0:is>
          <ns0:t>セット</ns0:t>
        </ns0:is>
      </ns0:c>
      <ns0:c r="B355" s="3" t="inlineStr">
        <ns0:is>
          <ns0:t>G0基本5000比較</ns0:t>
        </ns0:is>
      </ns0:c>
      <ns0:c r="C355" s="3" t="inlineStr">
        <ns0:is>
          <ns0:t>C</ns0:t>
        </ns0:is>
      </ns0:c>
      <ns0:c r="D355" s="4" t="n">
        <ns0:v>2</ns0:v>
      </ns0:c>
      <ns0:c r="E355" s="4" t="n">
        <ns0:v>1500</ns0:v>
      </ns0:c>
      <ns0:c r="F355" s="6" t="n">
        <ns0:v>0.5</ns0:v>
      </ns0:c>
      <ns0:c r="G355" s="4" t="n">
        <ns0:v>3</ns0:v>
      </ns0:c>
      <ns0:c r="H355" s="7" t="n">
        <ns0:v>11904.24836601307</ns0:v>
      </ns0:c>
      <ns0:c r="I355" s="7" t="n">
        <ns0:v>5409.041394335512</ns0:v>
      </ns0:c>
      <ns0:c r="J355" s="7" t="n">
        <ns0:v>2704.520697167756</ns0:v>
      </ns0:c>
      <ns0:c r="K355" s="7" t="n">
        <ns0:v>14</ns0:v>
      </ns0:c>
      <ns0:c r="L355" s="7" t="n">
        <ns0:v>32</ns0:v>
      </ns0:c>
      <ns0:c r="M355" s="7" t="n">
        <ns0:v>-1943.259243610872</ns0:v>
      </ns0:c>
      <ns0:c r="N355" s="7" t="n">
        <ns0:v>65362.67975707711</ns0:v>
      </ns0:c>
      <ns0:c r="O355" s="7" t="n">
        <ns0:v>145278.4226793337</ns0:v>
      </ns0:c>
      <ns0:c r="P355" s="7" t="n">
        <ns0:v>345067.7799849751</ns0:v>
      </ns0:c>
      <ns0:c r="Q355" s="7" t="n">
        <ns0:v>1102225.209207541</ns0:v>
      </ns0:c>
      <ns0:c r="R355" s="7" t="n">
        <ns0:v>3829276.211486521</ns0:v>
      </ns0:c>
    </ns0:row>
    <ns0:row r="356" ht="24" customHeight="1">
      <ns0:c r="A356" s="3" t="inlineStr">
        <ns0:is>
          <ns0:t>セット</ns0:t>
        </ns0:is>
      </ns0:c>
      <ns0:c r="B356" s="3" t="inlineStr">
        <ns0:is>
          <ns0:t>G0基本5000比較</ns0:t>
        </ns0:is>
      </ns0:c>
      <ns0:c r="C356" s="3" t="inlineStr">
        <ns0:is>
          <ns0:t>D</ns0:t>
        </ns0:is>
      </ns0:c>
      <ns0:c r="D356" s="4" t="n">
        <ns0:v>0</ns0:v>
      </ns0:c>
      <ns0:c r="E356" s="4" t="n">
        <ns0:v>500</ns0:v>
      </ns0:c>
      <ns0:c r="F356" s="6" t="n">
        <ns0:v>0.3</ns0:v>
      </ns0:c>
      <ns0:c r="G356" s="4" t="n">
        <ns0:v>0</ns0:v>
      </ns0:c>
      <ns0:c r="H356" s="7" t="n">
        <ns0:v>8240.262828535668</ns0:v>
      </ns0:c>
      <ns0:c r="I356" s="7" t="n">
        <ns0:v>5713.829787234043</ns0:v>
      </ns0:c>
      <ns0:c r="J356" s="7" t="n">
        <ns0:v>1714.148936170212</ns0:v>
      </ns0:c>
      <ns0:c r="K356" s="7" t="n">
        <ns0:v>15</ns0:v>
      </ns0:c>
      <ns0:c r="L356" s="7" t="n">
        <ns0:v>38</ns0:v>
      </ns0:c>
      <ns0:c r="M356" s="7" t="n">
        <ns0:v>-9336.092770559277</ns0:v>
      </ns0:c>
      <ns0:c r="N356" s="7" t="n">
        <ns0:v>75116.46953918559</ns0:v>
      </ns0:c>
      <ns0:c r="O356" s="7" t="n">
        <ns0:v>161534.7389828479</ns0:v>
      </ns0:c>
      <ns0:c r="P356" s="7" t="n">
        <ns0:v>377580.4125920035</ns0:v>
      </ns0:c>
      <ns0:c r="Q356" s="7" t="n">
        <ns0:v>1199763.107028626</ns0:v>
      </ns0:c>
      <ns0:c r="R356" s="7" t="n">
        <ns0:v>4154402.537556804</ns0:v>
      </ns0:c>
    </ns0:row>
    <ns0:row r="357" ht="24" customHeight="1">
      <ns0:c r="A357" s="3" t="inlineStr">
        <ns0:is>
          <ns0:t>セット</ns0:t>
        </ns0:is>
      </ns0:c>
      <ns0:c r="B357" s="3" t="inlineStr">
        <ns0:is>
          <ns0:t>G0基本5000比較</ns0:t>
        </ns0:is>
      </ns0:c>
      <ns0:c r="C357" s="3" t="inlineStr">
        <ns0:is>
          <ns0:t>D</ns0:t>
        </ns0:is>
      </ns0:c>
      <ns0:c r="D357" s="4" t="n">
        <ns0:v>0</ns0:v>
      </ns0:c>
      <ns0:c r="E357" s="4" t="n">
        <ns0:v>500</ns0:v>
      </ns0:c>
      <ns0:c r="F357" s="6" t="n">
        <ns0:v>0.3</ns0:v>
      </ns0:c>
      <ns0:c r="G357" s="4" t="n">
        <ns0:v>1</ns0:v>
      </ns0:c>
      <ns0:c r="H357" s="7" t="n">
        <ns0:v>8240.262828535668</ns0:v>
      </ns0:c>
      <ns0:c r="I357" s="7" t="n">
        <ns0:v>5713.829787234043</ns0:v>
      </ns0:c>
      <ns0:c r="J357" s="7" t="n">
        <ns0:v>1714.148936170212</ns0:v>
      </ns0:c>
      <ns0:c r="K357" s="7" t="n">
        <ns0:v>16</ns0:v>
      </ns0:c>
      <ns0:c r="L357" s="7" t="n">
        <ns0:v>104</ns0:v>
      </ns0:c>
      <ns0:c r="M357" s="7" t="n">
        <ns0:v>-13054.73317653012</ns0:v>
      </ns0:c>
      <ns0:c r="N357" s="7" t="n">
        <ns0:v>63960.54832127306</ns0:v>
      </ns0:c>
      <ns0:c r="O357" s="7" t="n">
        <ns0:v>142941.5369529937</ns0:v>
      </ns0:c>
      <ns0:c r="P357" s="7" t="n">
        <ns0:v>340394.0085322951</ns0:v>
      </ns0:c>
      <ns0:c r="Q357" s="7" t="n">
        <ns0:v>1088203.894849501</ns0:v>
      </ns0:c>
      <ns0:c r="R357" s="7" t="n">
        <ns0:v>3782538.49695972</ns0:v>
      </ns0:c>
    </ns0:row>
    <ns0:row r="358" ht="24" customHeight="1">
      <ns0:c r="A358" s="3" t="inlineStr">
        <ns0:is>
          <ns0:t>セット</ns0:t>
        </ns0:is>
      </ns0:c>
      <ns0:c r="B358" s="3" t="inlineStr">
        <ns0:is>
          <ns0:t>G0基本5000比較</ns0:t>
        </ns0:is>
      </ns0:c>
      <ns0:c r="C358" s="3" t="inlineStr">
        <ns0:is>
          <ns0:t>D</ns0:t>
        </ns0:is>
      </ns0:c>
      <ns0:c r="D358" s="4" t="n">
        <ns0:v>0</ns0:v>
      </ns0:c>
      <ns0:c r="E358" s="4" t="n">
        <ns0:v>500</ns0:v>
      </ns0:c>
      <ns0:c r="F358" s="6" t="n">
        <ns0:v>0.3</ns0:v>
      </ns0:c>
      <ns0:c r="G358" s="4" t="n">
        <ns0:v>2</ns0:v>
      </ns0:c>
      <ns0:c r="H358" s="7" t="n">
        <ns0:v>8240.262828535668</ns0:v>
      </ns0:c>
      <ns0:c r="I358" s="7" t="n">
        <ns0:v>5713.829787234043</ns0:v>
      </ns0:c>
      <ns0:c r="J358" s="7" t="n">
        <ns0:v>1714.148936170212</ns0:v>
      </ns0:c>
      <ns0:c r="K358" s="7" t="n">
        <ns0:v>27</ns0:v>
      </ns0:c>
      <ns0:c r="L358" s="18" t="inlineStr">
        <ns0:is>
          <ns0:t>範囲内なし</ns0:t>
        </ns0:is>
      </ns0:c>
      <ns0:c r="M358" s="7" t="n">
        <ns0:v>-32177.54174303656</ns0:v>
      </ns0:c>
      <ns0:c r="N358" s="7" t="n">
        <ns0:v>6592.122621753733</ns0:v>
      </ns0:c>
      <ns0:c r="O358" s="7" t="n">
        <ns0:v>47327.49412046143</ns0:v>
      </ns0:c>
      <ns0:c r="P358" s="7" t="n">
        <ns0:v>149165.9228672307</ns0:v>
      </ns0:c>
      <ns0:c r="Q358" s="7" t="n">
        <ns0:v>514519.6378543077</ns0:v>
      </ns0:c>
      <ns0:c r="R358" s="7" t="n">
        <ns0:v>1870257.640309076</ns0:v>
      </ns0:c>
    </ns0:row>
    <ns0:row r="359" ht="24" customHeight="1">
      <ns0:c r="A359" s="3" t="inlineStr">
        <ns0:is>
          <ns0:t>セット</ns0:t>
        </ns0:is>
      </ns0:c>
      <ns0:c r="B359" s="3" t="inlineStr">
        <ns0:is>
          <ns0:t>G0基本5000比較</ns0:t>
        </ns0:is>
      </ns0:c>
      <ns0:c r="C359" s="3" t="inlineStr">
        <ns0:is>
          <ns0:t>D</ns0:t>
        </ns0:is>
      </ns0:c>
      <ns0:c r="D359" s="4" t="n">
        <ns0:v>0</ns0:v>
      </ns0:c>
      <ns0:c r="E359" s="4" t="n">
        <ns0:v>500</ns0:v>
      </ns0:c>
      <ns0:c r="F359" s="6" t="n">
        <ns0:v>0.3</ns0:v>
      </ns0:c>
      <ns0:c r="G359" s="4" t="n">
        <ns0:v>3</ns0:v>
      </ns0:c>
      <ns0:c r="H359" s="7" t="n">
        <ns0:v>8240.262828535668</ns0:v>
      </ns0:c>
      <ns0:c r="I359" s="7" t="n">
        <ns0:v>5713.829787234043</ns0:v>
      </ns0:c>
      <ns0:c r="J359" s="7" t="n">
        <ns0:v>1714.148936170212</ns0:v>
      </ns0:c>
      <ns0:c r="K359" s="7" t="n">
        <ns0:v>19</ns0:v>
      </ns0:c>
      <ns0:c r="L359" s="18" t="inlineStr">
        <ns0:is>
          <ns0:t>範囲内なし</ns0:t>
        </ns0:is>
      </ns0:c>
      <ns0:c r="M359" s="7" t="n">
        <ns0:v>-21623.84007710082</ns0:v>
      </ns0:c>
      <ns0:c r="N359" s="7" t="n">
        <ns0:v>38253.22761956099</ns0:v>
      </ns0:c>
      <ns0:c r="O359" s="7" t="n">
        <ns0:v>100096.0024501402</ns0:v>
      </ns0:c>
      <ns0:c r="P359" s="7" t="n">
        <ns0:v>254702.9395265882</ns0:v>
      </ns0:c>
      <ns0:c r="Q359" s="7" t="n">
        <ns0:v>831130.6878323802</ns0:v>
      </ns0:c>
      <ns0:c r="R359" s="7" t="n">
        <ns0:v>2925627.806902651</ns0:v>
      </ns0:c>
    </ns0:row>
    <ns0:row r="360" ht="24" customHeight="1">
      <ns0:c r="A360" s="3" t="inlineStr">
        <ns0:is>
          <ns0:t>セット</ns0:t>
        </ns0:is>
      </ns0:c>
      <ns0:c r="B360" s="3" t="inlineStr">
        <ns0:is>
          <ns0:t>G0基本5000比較</ns0:t>
        </ns0:is>
      </ns0:c>
      <ns0:c r="C360" s="3" t="inlineStr">
        <ns0:is>
          <ns0:t>D</ns0:t>
        </ns0:is>
      </ns0:c>
      <ns0:c r="D360" s="4" t="n">
        <ns0:v>0</ns0:v>
      </ns0:c>
      <ns0:c r="E360" s="4" t="n">
        <ns0:v>500</ns0:v>
      </ns0:c>
      <ns0:c r="F360" s="6" t="n">
        <ns0:v>0.4</ns0:v>
      </ns0:c>
      <ns0:c r="G360" s="4" t="n">
        <ns0:v>0</ns0:v>
      </ns0:c>
      <ns0:c r="H360" s="7" t="n">
        <ns0:v>8240.262828535668</ns0:v>
      </ns0:c>
      <ns0:c r="I360" s="7" t="n">
        <ns0:v>5713.829787234043</ns0:v>
      </ns0:c>
      <ns0:c r="J360" s="7" t="n">
        <ns0:v>2285.531914893617</ns0:v>
      </ns0:c>
      <ns0:c r="K360" s="7" t="n">
        <ns0:v>17</ns0:v>
      </ns0:c>
      <ns0:c r="L360" s="7" t="n">
        <ns0:v>43</ns0:v>
      </ns0:c>
      <ns0:c r="M360" s="7" t="n">
        <ns0:v>-15049.92255779331</ns0:v>
      </ns0:c>
      <ns0:c r="N360" s="7" t="n">
        <ns0:v>57974.98017748348</ns0:v>
      </ns0:c>
      <ns0:c r="O360" s="7" t="n">
        <ns0:v>132965.5900466776</ns0:v>
      </ns0:c>
      <ns0:c r="P360" s="7" t="n">
        <ns0:v>320442.114719663</ns0:v>
      </ns0:c>
      <ns0:c r="Q360" s="7" t="n">
        <ns0:v>1028348.213411605</ns0:v>
      </ns0:c>
      <ns0:c r="R360" s="7" t="n">
        <ns0:v>3583019.558833401</ns0:v>
      </ns0:c>
    </ns0:row>
    <ns0:row r="361" ht="24" customHeight="1">
      <ns0:c r="A361" s="3" t="inlineStr">
        <ns0:is>
          <ns0:t>セット</ns0:t>
        </ns0:is>
      </ns0:c>
      <ns0:c r="B361" s="3" t="inlineStr">
        <ns0:is>
          <ns0:t>G0基本5000比較</ns0:t>
        </ns0:is>
      </ns0:c>
      <ns0:c r="C361" s="3" t="inlineStr">
        <ns0:is>
          <ns0:t>D</ns0:t>
        </ns0:is>
      </ns0:c>
      <ns0:c r="D361" s="4" t="n">
        <ns0:v>0</ns0:v>
      </ns0:c>
      <ns0:c r="E361" s="4" t="n">
        <ns0:v>500</ns0:v>
      </ns0:c>
      <ns0:c r="F361" s="6" t="n">
        <ns0:v>0.4</ns0:v>
      </ns0:c>
      <ns0:c r="G361" s="4" t="n">
        <ns0:v>1</ns0:v>
      </ns0:c>
      <ns0:c r="H361" s="7" t="n">
        <ns0:v>8240.262828535668</ns0:v>
      </ns0:c>
      <ns0:c r="I361" s="7" t="n">
        <ns0:v>5713.829787234043</ns0:v>
      </ns0:c>
      <ns0:c r="J361" s="7" t="n">
        <ns0:v>2285.531914893617</ns0:v>
      </ns0:c>
      <ns0:c r="K361" s="7" t="n">
        <ns0:v>18</ns0:v>
      </ns0:c>
      <ns0:c r="L361" s="7" t="n">
        <ns0:v>130</ns0:v>
      </ns0:c>
      <ns0:c r="M361" s="7" t="n">
        <ns0:v>-18768.56296376415</ns0:v>
      </ns0:c>
      <ns0:c r="N361" s="7" t="n">
        <ns0:v>46819.05895957095</ns0:v>
      </ns0:c>
      <ns0:c r="O361" s="7" t="n">
        <ns0:v>114372.3880168234</ns0:v>
      </ns0:c>
      <ns0:c r="P361" s="7" t="n">
        <ns0:v>283255.7106599546</ns0:v>
      </ns0:c>
      <ns0:c r="Q361" s="7" t="n">
        <ns0:v>916789.0012324798</ns0:v>
      </ns0:c>
      <ns0:c r="R361" s="7" t="n">
        <ns0:v>3211155.518236317</ns0:v>
      </ns0:c>
    </ns0:row>
    <ns0:row r="362" ht="24" customHeight="1">
      <ns0:c r="A362" s="3" t="inlineStr">
        <ns0:is>
          <ns0:t>セット</ns0:t>
        </ns0:is>
      </ns0:c>
      <ns0:c r="B362" s="3" t="inlineStr">
        <ns0:is>
          <ns0:t>G0基本5000比較</ns0:t>
        </ns0:is>
      </ns0:c>
      <ns0:c r="C362" s="3" t="inlineStr">
        <ns0:is>
          <ns0:t>D</ns0:t>
        </ns0:is>
      </ns0:c>
      <ns0:c r="D362" s="4" t="n">
        <ns0:v>0</ns0:v>
      </ns0:c>
      <ns0:c r="E362" s="4" t="n">
        <ns0:v>500</ns0:v>
      </ns0:c>
      <ns0:c r="F362" s="6" t="n">
        <ns0:v>0.4</ns0:v>
      </ns0:c>
      <ns0:c r="G362" s="4" t="n">
        <ns0:v>2</ns0:v>
      </ns0:c>
      <ns0:c r="H362" s="7" t="n">
        <ns0:v>8240.262828535668</ns0:v>
      </ns0:c>
      <ns0:c r="I362" s="7" t="n">
        <ns0:v>5713.829787234043</ns0:v>
      </ns0:c>
      <ns0:c r="J362" s="7" t="n">
        <ns0:v>2285.531914893617</ns0:v>
      </ns0:c>
      <ns0:c r="K362" s="7" t="n">
        <ns0:v>38</ns0:v>
      </ns0:c>
      <ns0:c r="L362" s="18" t="inlineStr">
        <ns0:is>
          <ns0:t>範囲内なし</ns0:t>
        </ns0:is>
      </ns0:c>
      <ns0:c r="M362" s="7" t="n">
        <ns0:v>-37891.3715302706</ns0:v>
      </ns0:c>
      <ns0:c r="N362" s="7" t="n">
        <ns0:v>-10549.36673994837</ns0:v>
      </ns0:c>
      <ns0:c r="O362" s="7" t="n">
        <ns0:v>18758.34518429119</ns0:v>
      </ns0:c>
      <ns0:c r="P362" s="7" t="n">
        <ns0:v>92027.62499489015</ns0:v>
      </ns0:c>
      <ns0:c r="Q362" s="7" t="n">
        <ns0:v>343104.7442372865</ns0:v>
      </ns0:c>
      <ns0:c r="R362" s="7" t="n">
        <ns0:v>1298874.661585672</ns0:v>
      </ns0:c>
    </ns0:row>
    <ns0:row r="363" ht="24" customHeight="1">
      <ns0:c r="A363" s="3" t="inlineStr">
        <ns0:is>
          <ns0:t>セット</ns0:t>
        </ns0:is>
      </ns0:c>
      <ns0:c r="B363" s="3" t="inlineStr">
        <ns0:is>
          <ns0:t>G0基本5000比較</ns0:t>
        </ns0:is>
      </ns0:c>
      <ns0:c r="C363" s="3" t="inlineStr">
        <ns0:is>
          <ns0:t>D</ns0:t>
        </ns0:is>
      </ns0:c>
      <ns0:c r="D363" s="4" t="n">
        <ns0:v>0</ns0:v>
      </ns0:c>
      <ns0:c r="E363" s="4" t="n">
        <ns0:v>500</ns0:v>
      </ns0:c>
      <ns0:c r="F363" s="6" t="n">
        <ns0:v>0.4</ns0:v>
      </ns0:c>
      <ns0:c r="G363" s="4" t="n">
        <ns0:v>3</ns0:v>
      </ns0:c>
      <ns0:c r="H363" s="7" t="n">
        <ns0:v>8240.262828535668</ns0:v>
      </ns0:c>
      <ns0:c r="I363" s="7" t="n">
        <ns0:v>5713.829787234043</ns0:v>
      </ns0:c>
      <ns0:c r="J363" s="7" t="n">
        <ns0:v>2285.531914893617</ns0:v>
      </ns0:c>
      <ns0:c r="K363" s="7" t="n">
        <ns0:v>22</ns0:v>
      </ns0:c>
      <ns0:c r="L363" s="18" t="inlineStr">
        <ns0:is>
          <ns0:t>範囲内なし</ns0:t>
        </ns0:is>
      </ns0:c>
      <ns0:c r="M363" s="7" t="n">
        <ns0:v>-27337.66986433485</ns0:v>
      </ns0:c>
      <ns0:c r="N363" s="7" t="n">
        <ns0:v>21111.73825785887</ns0:v>
      </ns0:c>
      <ns0:c r="O363" s="7" t="n">
        <ns0:v>71526.85351396992</ns0:v>
      </ns0:c>
      <ns0:c r="P363" s="7" t="n">
        <ns0:v>197564.6416542477</ns0:v>
      </ns0:c>
      <ns0:c r="Q363" s="7" t="n">
        <ns0:v>659715.794215359</ns0:v>
      </ns0:c>
      <ns0:c r="R363" s="7" t="n">
        <ns0:v>2354244.828179247</ns0:v>
      </ns0:c>
    </ns0:row>
    <ns0:row r="364" ht="24" customHeight="1">
      <ns0:c r="A364" s="3" t="inlineStr">
        <ns0:is>
          <ns0:t>セット</ns0:t>
        </ns0:is>
      </ns0:c>
      <ns0:c r="B364" s="3" t="inlineStr">
        <ns0:is>
          <ns0:t>G0基本5000比較</ns0:t>
        </ns0:is>
      </ns0:c>
      <ns0:c r="C364" s="3" t="inlineStr">
        <ns0:is>
          <ns0:t>D</ns0:t>
        </ns0:is>
      </ns0:c>
      <ns0:c r="D364" s="4" t="n">
        <ns0:v>0</ns0:v>
      </ns0:c>
      <ns0:c r="E364" s="4" t="n">
        <ns0:v>500</ns0:v>
      </ns0:c>
      <ns0:c r="F364" s="6" t="n">
        <ns0:v>0.5</ns0:v>
      </ns0:c>
      <ns0:c r="G364" s="4" t="n">
        <ns0:v>0</ns0:v>
      </ns0:c>
      <ns0:c r="H364" s="7" t="n">
        <ns0:v>8240.262828535668</ns0:v>
      </ns0:c>
      <ns0:c r="I364" s="7" t="n">
        <ns0:v>5713.829787234043</ns0:v>
      </ns0:c>
      <ns0:c r="J364" s="7" t="n">
        <ns0:v>2856.914893617021</ns0:v>
      </ns0:c>
      <ns0:c r="K364" s="7" t="n">
        <ns0:v>19</ns0:v>
      </ns0:c>
      <ns0:c r="L364" s="7" t="n">
        <ns0:v>50</ns0:v>
      </ns0:c>
      <ns0:c r="M364" s="7" t="n">
        <ns0:v>-20763.75234502736</ns0:v>
      </ns0:c>
      <ns0:c r="N364" s="7" t="n">
        <ns0:v>40833.49081578132</ns0:v>
      </ns0:c>
      <ns0:c r="O364" s="7" t="n">
        <ns0:v>104396.4411105074</ns0:v>
      </ns0:c>
      <ns0:c r="P364" s="7" t="n">
        <ns0:v>263303.8168473226</ns0:v>
      </ns0:c>
      <ns0:c r="Q364" s="7" t="n">
        <ns0:v>856933.3197945836</ns0:v>
      </ns0:c>
      <ns0:c r="R364" s="7" t="n">
        <ns0:v>3011636.580109997</ns0:v>
      </ns0:c>
    </ns0:row>
    <ns0:row r="365" ht="24" customHeight="1">
      <ns0:c r="A365" s="3" t="inlineStr">
        <ns0:is>
          <ns0:t>セット</ns0:t>
        </ns0:is>
      </ns0:c>
      <ns0:c r="B365" s="3" t="inlineStr">
        <ns0:is>
          <ns0:t>G0基本5000比較</ns0:t>
        </ns0:is>
      </ns0:c>
      <ns0:c r="C365" s="3" t="inlineStr">
        <ns0:is>
          <ns0:t>D</ns0:t>
        </ns0:is>
      </ns0:c>
      <ns0:c r="D365" s="4" t="n">
        <ns0:v>0</ns0:v>
      </ns0:c>
      <ns0:c r="E365" s="4" t="n">
        <ns0:v>500</ns0:v>
      </ns0:c>
      <ns0:c r="F365" s="6" t="n">
        <ns0:v>0.5</ns0:v>
      </ns0:c>
      <ns0:c r="G365" s="4" t="n">
        <ns0:v>1</ns0:v>
      </ns0:c>
      <ns0:c r="H365" s="7" t="n">
        <ns0:v>8240.262828535668</ns0:v>
      </ns0:c>
      <ns0:c r="I365" s="7" t="n">
        <ns0:v>5713.829787234043</ns0:v>
      </ns0:c>
      <ns0:c r="J365" s="7" t="n">
        <ns0:v>2856.914893617021</ns0:v>
      </ns0:c>
      <ns0:c r="K365" s="7" t="n">
        <ns0:v>21</ns0:v>
      </ns0:c>
      <ns0:c r="L365" s="7" t="n">
        <ns0:v>175</ns0:v>
      </ns0:c>
      <ns0:c r="M365" s="7" t="n">
        <ns0:v>-24482.3927509982</ns0:v>
      </ns0:c>
      <ns0:c r="N365" s="7" t="n">
        <ns0:v>29677.5695978688</ns0:v>
      </ns0:c>
      <ns0:c r="O365" s="7" t="n">
        <ns0:v>85803.23908065319</ns0:v>
      </ns0:c>
      <ns0:c r="P365" s="7" t="n">
        <ns0:v>226117.4127876142</ns0:v>
      </ns0:c>
      <ns0:c r="Q365" s="7" t="n">
        <ns0:v>745374.1076154583</ns0:v>
      </ns0:c>
      <ns0:c r="R365" s="7" t="n">
        <ns0:v>2639772.539512912</ns0:v>
      </ns0:c>
    </ns0:row>
    <ns0:row r="366" ht="24" customHeight="1">
      <ns0:c r="A366" s="3" t="inlineStr">
        <ns0:is>
          <ns0:t>セット</ns0:t>
        </ns0:is>
      </ns0:c>
      <ns0:c r="B366" s="3" t="inlineStr">
        <ns0:is>
          <ns0:t>G0基本5000比較</ns0:t>
        </ns0:is>
      </ns0:c>
      <ns0:c r="C366" s="3" t="inlineStr">
        <ns0:is>
          <ns0:t>D</ns0:t>
        </ns0:is>
      </ns0:c>
      <ns0:c r="D366" s="4" t="n">
        <ns0:v>0</ns0:v>
      </ns0:c>
      <ns0:c r="E366" s="4" t="n">
        <ns0:v>500</ns0:v>
      </ns0:c>
      <ns0:c r="F366" s="6" t="n">
        <ns0:v>0.5</ns0:v>
      </ns0:c>
      <ns0:c r="G366" s="4" t="n">
        <ns0:v>2</ns0:v>
      </ns0:c>
      <ns0:c r="H366" s="7" t="n">
        <ns0:v>8240.262828535668</ns0:v>
      </ns0:c>
      <ns0:c r="I366" s="7" t="n">
        <ns0:v>5713.829787234043</ns0:v>
      </ns0:c>
      <ns0:c r="J366" s="7" t="n">
        <ns0:v>2856.914893617021</ns0:v>
      </ns0:c>
      <ns0:c r="K366" s="7" t="n">
        <ns0:v>108</ns0:v>
      </ns0:c>
      <ns0:c r="L366" s="18" t="inlineStr">
        <ns0:is>
          <ns0:t>範囲内なし</ns0:t>
        </ns0:is>
      </ns0:c>
      <ns0:c r="M366" s="7" t="n">
        <ns0:v>-43605.20131750464</ns0:v>
      </ns0:c>
      <ns0:c r="N366" s="7" t="n">
        <ns0:v>-27690.85610165053</ns0:v>
      </ns0:c>
      <ns0:c r="O366" s="7" t="n">
        <ns0:v>-9810.803751879022</ns0:v>
      </ns0:c>
      <ns0:c r="P366" s="7" t="n">
        <ns0:v>34889.32712254976</ns0:v>
      </ns0:c>
      <ns0:c r="Q366" s="7" t="n">
        <ns0:v>171689.8506202651</ns0:v>
      </ns0:c>
      <ns0:c r="R366" s="7" t="n">
        <ns0:v>727491.6828622678</ns0:v>
      </ns0:c>
    </ns0:row>
    <ns0:row r="367" ht="24" customHeight="1">
      <ns0:c r="A367" s="3" t="inlineStr">
        <ns0:is>
          <ns0:t>セット</ns0:t>
        </ns0:is>
      </ns0:c>
      <ns0:c r="B367" s="3" t="inlineStr">
        <ns0:is>
          <ns0:t>G0基本5000比較</ns0:t>
        </ns0:is>
      </ns0:c>
      <ns0:c r="C367" s="3" t="inlineStr">
        <ns0:is>
          <ns0:t>D</ns0:t>
        </ns0:is>
      </ns0:c>
      <ns0:c r="D367" s="4" t="n">
        <ns0:v>0</ns0:v>
      </ns0:c>
      <ns0:c r="E367" s="4" t="n">
        <ns0:v>500</ns0:v>
      </ns0:c>
      <ns0:c r="F367" s="6" t="n">
        <ns0:v>0.5</ns0:v>
      </ns0:c>
      <ns0:c r="G367" s="4" t="n">
        <ns0:v>3</ns0:v>
      </ns0:c>
      <ns0:c r="H367" s="7" t="n">
        <ns0:v>8240.262828535668</ns0:v>
      </ns0:c>
      <ns0:c r="I367" s="7" t="n">
        <ns0:v>5713.829787234043</ns0:v>
      </ns0:c>
      <ns0:c r="J367" s="7" t="n">
        <ns0:v>2856.914893617021</ns0:v>
      </ns0:c>
      <ns0:c r="K367" s="7" t="n">
        <ns0:v>28</ns0:v>
      </ns0:c>
      <ns0:c r="L367" s="18" t="inlineStr">
        <ns0:is>
          <ns0:t>範囲内なし</ns0:t>
        </ns0:is>
      </ns0:c>
      <ns0:c r="M367" s="7" t="n">
        <ns0:v>-33051.4996515689</ns0:v>
      </ns0:c>
      <ns0:c r="N367" s="7" t="n">
        <ns0:v>3970.248896156714</ns0:v>
      </ns0:c>
      <ns0:c r="O367" s="7" t="n">
        <ns0:v>42957.70457779973</ns0:v>
      </ns0:c>
      <ns0:c r="P367" s="7" t="n">
        <ns0:v>140426.3437819073</ns0:v>
      </ns0:c>
      <ns0:c r="Q367" s="7" t="n">
        <ns0:v>488300.9005983375</ns0:v>
      </ns0:c>
      <ns0:c r="R367" s="7" t="n">
        <ns0:v>1782861.849455843</ns0:v>
      </ns0:c>
    </ns0:row>
    <ns0:row r="368" ht="24" customHeight="1">
      <ns0:c r="A368" s="3" t="inlineStr">
        <ns0:is>
          <ns0:t>セット</ns0:t>
        </ns0:is>
      </ns0:c>
      <ns0:c r="B368" s="3" t="inlineStr">
        <ns0:is>
          <ns0:t>G0基本5000比較</ns0:t>
        </ns0:is>
      </ns0:c>
      <ns0:c r="C368" s="3" t="inlineStr">
        <ns0:is>
          <ns0:t>D</ns0:t>
        </ns0:is>
      </ns0:c>
      <ns0:c r="D368" s="4" t="n">
        <ns0:v>0</ns0:v>
      </ns0:c>
      <ns0:c r="E368" s="4" t="n">
        <ns0:v>1000</ns0:v>
      </ns0:c>
      <ns0:c r="F368" s="6" t="n">
        <ns0:v>0.3</ns0:v>
      </ns0:c>
      <ns0:c r="G368" s="4" t="n">
        <ns0:v>0</ns0:v>
      </ns0:c>
      <ns0:c r="H368" s="7" t="n">
        <ns0:v>7740.26282853567</ns0:v>
      </ns0:c>
      <ns0:c r="I368" s="7" t="n">
        <ns0:v>5213.829787234043</ns0:v>
      </ns0:c>
      <ns0:c r="J368" s="7" t="n">
        <ns0:v>1564.148936170213</ns0:v>
      </ns0:c>
      <ns0:c r="K368" s="7" t="n">
        <ns0:v>16</ns0:v>
      </ns0:c>
      <ns0:c r="L368" s="7" t="n">
        <ns0:v>41</ns0:v>
      </ns0:c>
      <ns0:c r="M368" s="7" t="n">
        <ns0:v>-12656.09277055927</ns0:v>
      </ns0:c>
      <ns0:c r="N368" s="7" t="n">
        <ns0:v>65156.46953918561</ns0:v>
      </ns0:c>
      <ns0:c r="O368" s="7" t="n">
        <ns0:v>144934.7389828479</ns0:v>
      </ns0:c>
      <ns0:c r="P368" s="7" t="n">
        <ns0:v>344380.4125920036</ns0:v>
      </ns0:c>
      <ns0:c r="Q368" s="7" t="n">
        <ns0:v>1100163.107028627</ns0:v>
      </ns0:c>
      <ns0:c r="R368" s="7" t="n">
        <ns0:v>3822402.537556806</ns0:v>
      </ns0:c>
    </ns0:row>
    <ns0:row r="369" ht="24" customHeight="1">
      <ns0:c r="A369" s="3" t="inlineStr">
        <ns0:is>
          <ns0:t>セット</ns0:t>
        </ns0:is>
      </ns0:c>
      <ns0:c r="B369" s="3" t="inlineStr">
        <ns0:is>
          <ns0:t>G0基本5000比較</ns0:t>
        </ns0:is>
      </ns0:c>
      <ns0:c r="C369" s="3" t="inlineStr">
        <ns0:is>
          <ns0:t>D</ns0:t>
        </ns0:is>
      </ns0:c>
      <ns0:c r="D369" s="4" t="n">
        <ns0:v>0</ns0:v>
      </ns0:c>
      <ns0:c r="E369" s="4" t="n">
        <ns0:v>1000</ns0:v>
      </ns0:c>
      <ns0:c r="F369" s="6" t="n">
        <ns0:v>0.3</ns0:v>
      </ns0:c>
      <ns0:c r="G369" s="4" t="n">
        <ns0:v>1</ns0:v>
      </ns0:c>
      <ns0:c r="H369" s="7" t="n">
        <ns0:v>7740.26282853567</ns0:v>
      </ns0:c>
      <ns0:c r="I369" s="7" t="n">
        <ns0:v>5213.829787234043</ns0:v>
      </ns0:c>
      <ns0:c r="J369" s="7" t="n">
        <ns0:v>1564.148936170213</ns0:v>
      </ns0:c>
      <ns0:c r="K369" s="7" t="n">
        <ns0:v>17</ns0:v>
      </ns0:c>
      <ns0:c r="L369" s="7" t="n">
        <ns0:v>118</ns0:v>
      </ns0:c>
      <ns0:c r="M369" s="7" t="n">
        <ns0:v>-16374.73317653011</ns0:v>
      </ns0:c>
      <ns0:c r="N369" s="7" t="n">
        <ns0:v>54000.54832127308</ns0:v>
      </ns0:c>
      <ns0:c r="O369" s="7" t="n">
        <ns0:v>126341.5369529937</ns0:v>
      </ns0:c>
      <ns0:c r="P369" s="7" t="n">
        <ns0:v>307194.0085322952</ns0:v>
      </ns0:c>
      <ns0:c r="Q369" s="7" t="n">
        <ns0:v>988603.8948495013</ns0:v>
      </ns0:c>
      <ns0:c r="R369" s="7" t="n">
        <ns0:v>3450538.496959722</ns0:v>
      </ns0:c>
    </ns0:row>
    <ns0:row r="370" ht="24" customHeight="1">
      <ns0:c r="A370" s="3" t="inlineStr">
        <ns0:is>
          <ns0:t>セット</ns0:t>
        </ns0:is>
      </ns0:c>
      <ns0:c r="B370" s="3" t="inlineStr">
        <ns0:is>
          <ns0:t>G0基本5000比較</ns0:t>
        </ns0:is>
      </ns0:c>
      <ns0:c r="C370" s="3" t="inlineStr">
        <ns0:is>
          <ns0:t>D</ns0:t>
        </ns0:is>
      </ns0:c>
      <ns0:c r="D370" s="4" t="n">
        <ns0:v>0</ns0:v>
      </ns0:c>
      <ns0:c r="E370" s="4" t="n">
        <ns0:v>1000</ns0:v>
      </ns0:c>
      <ns0:c r="F370" s="6" t="n">
        <ns0:v>0.3</ns0:v>
      </ns0:c>
      <ns0:c r="G370" s="4" t="n">
        <ns0:v>2</ns0:v>
      </ns0:c>
      <ns0:c r="H370" s="7" t="n">
        <ns0:v>7740.26282853567</ns0:v>
      </ns0:c>
      <ns0:c r="I370" s="7" t="n">
        <ns0:v>5213.829787234043</ns0:v>
      </ns0:c>
      <ns0:c r="J370" s="7" t="n">
        <ns0:v>1564.148936170213</ns0:v>
      </ns0:c>
      <ns0:c r="K370" s="7" t="n">
        <ns0:v>32</ns0:v>
      </ns0:c>
      <ns0:c r="L370" s="18" t="inlineStr">
        <ns0:is>
          <ns0:t>範囲内なし</ns0:t>
        </ns0:is>
      </ns0:c>
      <ns0:c r="M370" s="7" t="n">
        <ns0:v>-35497.54174303656</ns0:v>
      </ns0:c>
      <ns0:c r="N370" s="7" t="n">
        <ns0:v>-3367.877378246252</ns0:v>
      </ns0:c>
      <ns0:c r="O370" s="7" t="n">
        <ns0:v>30727.49412046149</ns0:v>
      </ns0:c>
      <ns0:c r="P370" s="7" t="n">
        <ns0:v>115965.9228672308</ns0:v>
      </ns0:c>
      <ns0:c r="Q370" s="7" t="n">
        <ns0:v>414919.6378543081</ns0:v>
      </ns0:c>
      <ns0:c r="R370" s="7" t="n">
        <ns0:v>1538257.640309077</ns0:v>
      </ns0:c>
    </ns0:row>
    <ns0:row r="371" ht="24" customHeight="1">
      <ns0:c r="A371" s="3" t="inlineStr">
        <ns0:is>
          <ns0:t>セット</ns0:t>
        </ns0:is>
      </ns0:c>
      <ns0:c r="B371" s="3" t="inlineStr">
        <ns0:is>
          <ns0:t>G0基本5000比較</ns0:t>
        </ns0:is>
      </ns0:c>
      <ns0:c r="C371" s="3" t="inlineStr">
        <ns0:is>
          <ns0:t>D</ns0:t>
        </ns0:is>
      </ns0:c>
      <ns0:c r="D371" s="4" t="n">
        <ns0:v>0</ns0:v>
      </ns0:c>
      <ns0:c r="E371" s="4" t="n">
        <ns0:v>1000</ns0:v>
      </ns0:c>
      <ns0:c r="F371" s="6" t="n">
        <ns0:v>0.3</ns0:v>
      </ns0:c>
      <ns0:c r="G371" s="4" t="n">
        <ns0:v>3</ns0:v>
      </ns0:c>
      <ns0:c r="H371" s="7" t="n">
        <ns0:v>7740.26282853567</ns0:v>
      </ns0:c>
      <ns0:c r="I371" s="7" t="n">
        <ns0:v>5213.829787234043</ns0:v>
      </ns0:c>
      <ns0:c r="J371" s="7" t="n">
        <ns0:v>1564.148936170213</ns0:v>
      </ns0:c>
      <ns0:c r="K371" s="7" t="n">
        <ns0:v>21</ns0:v>
      </ns0:c>
      <ns0:c r="L371" s="18" t="inlineStr">
        <ns0:is>
          <ns0:t>範囲内なし</ns0:t>
        </ns0:is>
      </ns0:c>
      <ns0:c r="M371" s="7" t="n">
        <ns0:v>-24943.84007710081</ns0:v>
      </ns0:c>
      <ns0:c r="N371" s="7" t="n">
        <ns0:v>28293.227619561</ns0:v>
      </ns0:c>
      <ns0:c r="O371" s="7" t="n">
        <ns0:v>83496.00245014025</ns0:v>
      </ns0:c>
      <ns0:c r="P371" s="7" t="n">
        <ns0:v>221502.9395265883</ns0:v>
      </ns0:c>
      <ns0:c r="Q371" s="7" t="n">
        <ns0:v>731530.6878323805</ns0:v>
      </ns0:c>
      <ns0:c r="R371" s="7" t="n">
        <ns0:v>2593627.806902652</ns0:v>
      </ns0:c>
    </ns0:row>
    <ns0:row r="372" ht="24" customHeight="1">
      <ns0:c r="A372" s="3" t="inlineStr">
        <ns0:is>
          <ns0:t>セット</ns0:t>
        </ns0:is>
      </ns0:c>
      <ns0:c r="B372" s="3" t="inlineStr">
        <ns0:is>
          <ns0:t>G0基本5000比較</ns0:t>
        </ns0:is>
      </ns0:c>
      <ns0:c r="C372" s="3" t="inlineStr">
        <ns0:is>
          <ns0:t>D</ns0:t>
        </ns0:is>
      </ns0:c>
      <ns0:c r="D372" s="4" t="n">
        <ns0:v>0</ns0:v>
      </ns0:c>
      <ns0:c r="E372" s="4" t="n">
        <ns0:v>1000</ns0:v>
      </ns0:c>
      <ns0:c r="F372" s="6" t="n">
        <ns0:v>0.4</ns0:v>
      </ns0:c>
      <ns0:c r="G372" s="4" t="n">
        <ns0:v>0</ns0:v>
      </ns0:c>
      <ns0:c r="H372" s="7" t="n">
        <ns0:v>7740.26282853567</ns0:v>
      </ns0:c>
      <ns0:c r="I372" s="7" t="n">
        <ns0:v>5213.829787234043</ns0:v>
      </ns0:c>
      <ns0:c r="J372" s="7" t="n">
        <ns0:v>2085.531914893617</ns0:v>
      </ns0:c>
      <ns0:c r="K372" s="7" t="n">
        <ns0:v>18</ns0:v>
      </ns0:c>
      <ns0:c r="L372" s="7" t="n">
        <ns0:v>46</ns0:v>
      </ns0:c>
      <ns0:c r="M372" s="7" t="n">
        <ns0:v>-17869.92255779331</ns0:v>
      </ns0:c>
      <ns0:c r="N372" s="7" t="n">
        <ns0:v>49514.98017748348</ns0:v>
      </ns0:c>
      <ns0:c r="O372" s="7" t="n">
        <ns0:v>118865.5900466777</ns0:v>
      </ns0:c>
      <ns0:c r="P372" s="7" t="n">
        <ns0:v>292242.1147196633</ns0:v>
      </ns0:c>
      <ns0:c r="Q372" s="7" t="n">
        <ns0:v>943748.213411605</ns0:v>
      </ns0:c>
      <ns0:c r="R372" s="7" t="n">
        <ns0:v>3301019.558833402</ns0:v>
      </ns0:c>
    </ns0:row>
    <ns0:row r="373" ht="24" customHeight="1">
      <ns0:c r="A373" s="3" t="inlineStr">
        <ns0:is>
          <ns0:t>セット</ns0:t>
        </ns0:is>
      </ns0:c>
      <ns0:c r="B373" s="3" t="inlineStr">
        <ns0:is>
          <ns0:t>G0基本5000比較</ns0:t>
        </ns0:is>
      </ns0:c>
      <ns0:c r="C373" s="3" t="inlineStr">
        <ns0:is>
          <ns0:t>D</ns0:t>
        </ns0:is>
      </ns0:c>
      <ns0:c r="D373" s="4" t="n">
        <ns0:v>0</ns0:v>
      </ns0:c>
      <ns0:c r="E373" s="4" t="n">
        <ns0:v>1000</ns0:v>
      </ns0:c>
      <ns0:c r="F373" s="6" t="n">
        <ns0:v>0.4</ns0:v>
      </ns0:c>
      <ns0:c r="G373" s="4" t="n">
        <ns0:v>1</ns0:v>
      </ns0:c>
      <ns0:c r="H373" s="7" t="n">
        <ns0:v>7740.26282853567</ns0:v>
      </ns0:c>
      <ns0:c r="I373" s="7" t="n">
        <ns0:v>5213.829787234043</ns0:v>
      </ns0:c>
      <ns0:c r="J373" s="7" t="n">
        <ns0:v>2085.531914893617</ns0:v>
      </ns0:c>
      <ns0:c r="K373" s="7" t="n">
        <ns0:v>19</ns0:v>
      </ns0:c>
      <ns0:c r="L373" s="7" t="n">
        <ns0:v>149</ns0:v>
      </ns0:c>
      <ns0:c r="M373" s="7" t="n">
        <ns0:v>-21588.56296376415</ns0:v>
      </ns0:c>
      <ns0:c r="N373" s="7" t="n">
        <ns0:v>38359.05895957095</ns0:v>
      </ns0:c>
      <ns0:c r="O373" s="7" t="n">
        <ns0:v>100272.3880168235</ns0:v>
      </ns0:c>
      <ns0:c r="P373" s="7" t="n">
        <ns0:v>255055.7106599548</ns0:v>
      </ns0:c>
      <ns0:c r="Q373" s="7" t="n">
        <ns0:v>832189.0012324798</ns0:v>
      </ns0:c>
      <ns0:c r="R373" s="7" t="n">
        <ns0:v>2929155.518236318</ns0:v>
      </ns0:c>
    </ns0:row>
    <ns0:row r="374" ht="24" customHeight="1">
      <ns0:c r="A374" s="3" t="inlineStr">
        <ns0:is>
          <ns0:t>セット</ns0:t>
        </ns0:is>
      </ns0:c>
      <ns0:c r="B374" s="3" t="inlineStr">
        <ns0:is>
          <ns0:t>G0基本5000比較</ns0:t>
        </ns0:is>
      </ns0:c>
      <ns0:c r="C374" s="3" t="inlineStr">
        <ns0:is>
          <ns0:t>D</ns0:t>
        </ns0:is>
      </ns0:c>
      <ns0:c r="D374" s="4" t="n">
        <ns0:v>0</ns0:v>
      </ns0:c>
      <ns0:c r="E374" s="4" t="n">
        <ns0:v>1000</ns0:v>
      </ns0:c>
      <ns0:c r="F374" s="6" t="n">
        <ns0:v>0.4</ns0:v>
      </ns0:c>
      <ns0:c r="G374" s="4" t="n">
        <ns0:v>2</ns0:v>
      </ns0:c>
      <ns0:c r="H374" s="7" t="n">
        <ns0:v>7740.26282853567</ns0:v>
      </ns0:c>
      <ns0:c r="I374" s="7" t="n">
        <ns0:v>5213.829787234043</ns0:v>
      </ns0:c>
      <ns0:c r="J374" s="7" t="n">
        <ns0:v>2085.531914893617</ns0:v>
      </ns0:c>
      <ns0:c r="K374" s="7" t="n">
        <ns0:v>47</ns0:v>
      </ns0:c>
      <ns0:c r="L374" s="18" t="inlineStr">
        <ns0:is>
          <ns0:t>範囲内なし</ns0:t>
        </ns0:is>
      </ns0:c>
      <ns0:c r="M374" s="7" t="n">
        <ns0:v>-40711.3715302706</ns0:v>
      </ns0:c>
      <ns0:c r="N374" s="7" t="n">
        <ns0:v>-19009.36673994838</ns0:v>
      </ns0:c>
      <ns0:c r="O374" s="7" t="n">
        <ns0:v>4658.345184291305</ns0:v>
      </ns0:c>
      <ns0:c r="P374" s="7" t="n">
        <ns0:v>63827.62499489042</ns0:v>
      </ns0:c>
      <ns0:c r="Q374" s="7" t="n">
        <ns0:v>258504.7442372865</ns0:v>
      </ns0:c>
      <ns0:c r="R374" s="7" t="n">
        <ns0:v>1016874.661585673</ns0:v>
      </ns0:c>
    </ns0:row>
    <ns0:row r="375" ht="24" customHeight="1">
      <ns0:c r="A375" s="3" t="inlineStr">
        <ns0:is>
          <ns0:t>セット</ns0:t>
        </ns0:is>
      </ns0:c>
      <ns0:c r="B375" s="3" t="inlineStr">
        <ns0:is>
          <ns0:t>G0基本5000比較</ns0:t>
        </ns0:is>
      </ns0:c>
      <ns0:c r="C375" s="3" t="inlineStr">
        <ns0:is>
          <ns0:t>D</ns0:t>
        </ns0:is>
      </ns0:c>
      <ns0:c r="D375" s="4" t="n">
        <ns0:v>0</ns0:v>
      </ns0:c>
      <ns0:c r="E375" s="4" t="n">
        <ns0:v>1000</ns0:v>
      </ns0:c>
      <ns0:c r="F375" s="6" t="n">
        <ns0:v>0.4</ns0:v>
      </ns0:c>
      <ns0:c r="G375" s="4" t="n">
        <ns0:v>3</ns0:v>
      </ns0:c>
      <ns0:c r="H375" s="7" t="n">
        <ns0:v>7740.26282853567</ns0:v>
      </ns0:c>
      <ns0:c r="I375" s="7" t="n">
        <ns0:v>5213.829787234043</ns0:v>
      </ns0:c>
      <ns0:c r="J375" s="7" t="n">
        <ns0:v>2085.531914893617</ns0:v>
      </ns0:c>
      <ns0:c r="K375" s="7" t="n">
        <ns0:v>25</ns0:v>
      </ns0:c>
      <ns0:c r="L375" s="18" t="inlineStr">
        <ns0:is>
          <ns0:t>範囲内なし</ns0:t>
        </ns0:is>
      </ns0:c>
      <ns0:c r="M375" s="7" t="n">
        <ns0:v>-30157.66986433485</ns0:v>
      </ns0:c>
      <ns0:c r="N375" s="7" t="n">
        <ns0:v>12651.73825785887</ns0:v>
      </ns0:c>
      <ns0:c r="O375" s="7" t="n">
        <ns0:v>57426.85351397006</ns0:v>
      </ns0:c>
      <ns0:c r="P375" s="7" t="n">
        <ns0:v>169364.6416542479</ns0:v>
      </ns0:c>
      <ns0:c r="Q375" s="7" t="n">
        <ns0:v>575115.794215359</ns0:v>
      </ns0:c>
      <ns0:c r="R375" s="7" t="n">
        <ns0:v>2072244.828179248</ns0:v>
      </ns0:c>
    </ns0:row>
    <ns0:row r="376" ht="24" customHeight="1">
      <ns0:c r="A376" s="3" t="inlineStr">
        <ns0:is>
          <ns0:t>セット</ns0:t>
        </ns0:is>
      </ns0:c>
      <ns0:c r="B376" s="3" t="inlineStr">
        <ns0:is>
          <ns0:t>G0基本5000比較</ns0:t>
        </ns0:is>
      </ns0:c>
      <ns0:c r="C376" s="3" t="inlineStr">
        <ns0:is>
          <ns0:t>D</ns0:t>
        </ns0:is>
      </ns0:c>
      <ns0:c r="D376" s="4" t="n">
        <ns0:v>0</ns0:v>
      </ns0:c>
      <ns0:c r="E376" s="4" t="n">
        <ns0:v>1000</ns0:v>
      </ns0:c>
      <ns0:c r="F376" s="6" t="n">
        <ns0:v>0.5</ns0:v>
      </ns0:c>
      <ns0:c r="G376" s="4" t="n">
        <ns0:v>0</ns0:v>
      </ns0:c>
      <ns0:c r="H376" s="7" t="n">
        <ns0:v>7740.26282853567</ns0:v>
      </ns0:c>
      <ns0:c r="I376" s="7" t="n">
        <ns0:v>5213.829787234043</ns0:v>
      </ns0:c>
      <ns0:c r="J376" s="7" t="n">
        <ns0:v>2606.914893617021</ns0:v>
      </ns0:c>
      <ns0:c r="K376" s="7" t="n">
        <ns0:v>20</ns0:v>
      </ns0:c>
      <ns0:c r="L376" s="7" t="n">
        <ns0:v>54</ns0:v>
      </ns0:c>
      <ns0:c r="M376" s="7" t="n">
        <ns0:v>-23083.75234502735</ns0:v>
      </ns0:c>
      <ns0:c r="N376" s="7" t="n">
        <ns0:v>33873.49081578135</ns0:v>
      </ns0:c>
      <ns0:c r="O376" s="7" t="n">
        <ns0:v>92796.44111050748</ns0:v>
      </ns0:c>
      <ns0:c r="P376" s="7" t="n">
        <ns0:v>240103.8168473228</ns0:v>
      </ns0:c>
      <ns0:c r="Q376" s="7" t="n">
        <ns0:v>787333.3197945836</ns0:v>
      </ns0:c>
      <ns0:c r="R376" s="7" t="n">
        <ns0:v>2779636.580109998</ns0:v>
      </ns0:c>
    </ns0:row>
    <ns0:row r="377" ht="24" customHeight="1">
      <ns0:c r="A377" s="3" t="inlineStr">
        <ns0:is>
          <ns0:t>セット</ns0:t>
        </ns0:is>
      </ns0:c>
      <ns0:c r="B377" s="3" t="inlineStr">
        <ns0:is>
          <ns0:t>G0基本5000比較</ns0:t>
        </ns0:is>
      </ns0:c>
      <ns0:c r="C377" s="3" t="inlineStr">
        <ns0:is>
          <ns0:t>D</ns0:t>
        </ns0:is>
      </ns0:c>
      <ns0:c r="D377" s="4" t="n">
        <ns0:v>0</ns0:v>
      </ns0:c>
      <ns0:c r="E377" s="4" t="n">
        <ns0:v>1000</ns0:v>
      </ns0:c>
      <ns0:c r="F377" s="6" t="n">
        <ns0:v>0.5</ns0:v>
      </ns0:c>
      <ns0:c r="G377" s="4" t="n">
        <ns0:v>1</ns0:v>
      </ns0:c>
      <ns0:c r="H377" s="7" t="n">
        <ns0:v>7740.26282853567</ns0:v>
      </ns0:c>
      <ns0:c r="I377" s="7" t="n">
        <ns0:v>5213.829787234043</ns0:v>
      </ns0:c>
      <ns0:c r="J377" s="7" t="n">
        <ns0:v>2606.914893617021</ns0:v>
      </ns0:c>
      <ns0:c r="K377" s="7" t="n">
        <ns0:v>22</ns0:v>
      </ns0:c>
      <ns0:c r="L377" s="7" t="n">
        <ns0:v>204</ns0:v>
      </ns0:c>
      <ns0:c r="M377" s="7" t="n">
        <ns0:v>-26802.39275099819</ns0:v>
      </ns0:c>
      <ns0:c r="N377" s="7" t="n">
        <ns0:v>22717.56959786882</ns0:v>
      </ns0:c>
      <ns0:c r="O377" s="7" t="n">
        <ns0:v>74203.23908065328</ns0:v>
      </ns0:c>
      <ns0:c r="P377" s="7" t="n">
        <ns0:v>202917.4127876144</ns0:v>
      </ns0:c>
      <ns0:c r="Q377" s="7" t="n">
        <ns0:v>675774.1076154584</ns0:v>
      </ns0:c>
      <ns0:c r="R377" s="7" t="n">
        <ns0:v>2407772.539512914</ns0:v>
      </ns0:c>
    </ns0:row>
    <ns0:row r="378" ht="24" customHeight="1">
      <ns0:c r="A378" s="3" t="inlineStr">
        <ns0:is>
          <ns0:t>セット</ns0:t>
        </ns0:is>
      </ns0:c>
      <ns0:c r="B378" s="3" t="inlineStr">
        <ns0:is>
          <ns0:t>G0基本5000比較</ns0:t>
        </ns0:is>
      </ns0:c>
      <ns0:c r="C378" s="3" t="inlineStr">
        <ns0:is>
          <ns0:t>D</ns0:t>
        </ns0:is>
      </ns0:c>
      <ns0:c r="D378" s="4" t="n">
        <ns0:v>0</ns0:v>
      </ns0:c>
      <ns0:c r="E378" s="4" t="n">
        <ns0:v>1000</ns0:v>
      </ns0:c>
      <ns0:c r="F378" s="6" t="n">
        <ns0:v>0.5</ns0:v>
      </ns0:c>
      <ns0:c r="G378" s="4" t="n">
        <ns0:v>2</ns0:v>
      </ns0:c>
      <ns0:c r="H378" s="7" t="n">
        <ns0:v>7740.26282853567</ns0:v>
      </ns0:c>
      <ns0:c r="I378" s="7" t="n">
        <ns0:v>5213.829787234043</ns0:v>
      </ns0:c>
      <ns0:c r="J378" s="7" t="n">
        <ns0:v>2606.914893617021</ns0:v>
      </ns0:c>
      <ns0:c r="K378" s="7" t="n">
        <ns0:v>146</ns0:v>
      </ns0:c>
      <ns0:c r="L378" s="18" t="inlineStr">
        <ns0:is>
          <ns0:t>範囲内なし</ns0:t>
        </ns0:is>
      </ns0:c>
      <ns0:c r="M378" s="7" t="n">
        <ns0:v>-45925.20131750464</ns0:v>
      </ns0:c>
      <ns0:c r="N378" s="7" t="n">
        <ns0:v>-34650.8561016505</ns0:v>
      </ns0:c>
      <ns0:c r="O378" s="7" t="n">
        <ns0:v>-21410.80375187894</ns0:v>
      </ns0:c>
      <ns0:c r="P378" s="7" t="n">
        <ns0:v>11689.32712254993</ns0:v>
      </ns0:c>
      <ns0:c r="Q378" s="7" t="n">
        <ns0:v>102089.8506202651</ns0:v>
      </ns0:c>
      <ns0:c r="R378" s="7" t="n">
        <ns0:v>495491.6828622692</ns0:v>
      </ns0:c>
    </ns0:row>
    <ns0:row r="379" ht="24" customHeight="1">
      <ns0:c r="A379" s="3" t="inlineStr">
        <ns0:is>
          <ns0:t>セット</ns0:t>
        </ns0:is>
      </ns0:c>
      <ns0:c r="B379" s="3" t="inlineStr">
        <ns0:is>
          <ns0:t>G0基本5000比較</ns0:t>
        </ns0:is>
      </ns0:c>
      <ns0:c r="C379" s="3" t="inlineStr">
        <ns0:is>
          <ns0:t>D</ns0:t>
        </ns0:is>
      </ns0:c>
      <ns0:c r="D379" s="4" t="n">
        <ns0:v>0</ns0:v>
      </ns0:c>
      <ns0:c r="E379" s="4" t="n">
        <ns0:v>1000</ns0:v>
      </ns0:c>
      <ns0:c r="F379" s="6" t="n">
        <ns0:v>0.5</ns0:v>
      </ns0:c>
      <ns0:c r="G379" s="4" t="n">
        <ns0:v>3</ns0:v>
      </ns0:c>
      <ns0:c r="H379" s="7" t="n">
        <ns0:v>7740.26282853567</ns0:v>
      </ns0:c>
      <ns0:c r="I379" s="7" t="n">
        <ns0:v>5213.829787234043</ns0:v>
      </ns0:c>
      <ns0:c r="J379" s="7" t="n">
        <ns0:v>2606.914893617021</ns0:v>
      </ns0:c>
      <ns0:c r="K379" s="7" t="n">
        <ns0:v>32</ns0:v>
      </ns0:c>
      <ns0:c r="L379" s="18" t="inlineStr">
        <ns0:is>
          <ns0:t>範囲内なし</ns0:t>
        </ns0:is>
      </ns0:c>
      <ns0:c r="M379" s="7" t="n">
        <ns0:v>-35371.49965156889</ns0:v>
      </ns0:c>
      <ns0:c r="N379" s="7" t="n">
        <ns0:v>-2989.751103843257</ns0:v>
      </ns0:c>
      <ns0:c r="O379" s="7" t="n">
        <ns0:v>31357.70457779982</ns0:v>
      </ns0:c>
      <ns0:c r="P379" s="7" t="n">
        <ns0:v>117226.3437819074</ns0:v>
      </ns0:c>
      <ns0:c r="Q379" s="7" t="n">
        <ns0:v>418700.9005983376</ns0:v>
      </ns0:c>
      <ns0:c r="R379" s="7" t="n">
        <ns0:v>1550861.849455844</ns0:v>
      </ns0:c>
    </ns0:row>
    <ns0:row r="380" ht="24" customHeight="1">
      <ns0:c r="A380" s="3" t="inlineStr">
        <ns0:is>
          <ns0:t>セット</ns0:t>
        </ns0:is>
      </ns0:c>
      <ns0:c r="B380" s="3" t="inlineStr">
        <ns0:is>
          <ns0:t>G0基本5000比較</ns0:t>
        </ns0:is>
      </ns0:c>
      <ns0:c r="C380" s="3" t="inlineStr">
        <ns0:is>
          <ns0:t>D</ns0:t>
        </ns0:is>
      </ns0:c>
      <ns0:c r="D380" s="4" t="n">
        <ns0:v>0</ns0:v>
      </ns0:c>
      <ns0:c r="E380" s="4" t="n">
        <ns0:v>1500</ns0:v>
      </ns0:c>
      <ns0:c r="F380" s="6" t="n">
        <ns0:v>0.3</ns0:v>
      </ns0:c>
      <ns0:c r="G380" s="4" t="n">
        <ns0:v>0</ns0:v>
      </ns0:c>
      <ns0:c r="H380" s="7" t="n">
        <ns0:v>7240.26282853567</ns0:v>
      </ns0:c>
      <ns0:c r="I380" s="7" t="n">
        <ns0:v>4713.829787234043</ns0:v>
      </ns0:c>
      <ns0:c r="J380" s="7" t="n">
        <ns0:v>1414.148936170213</ns0:v>
      </ns0:c>
      <ns0:c r="K380" s="7" t="n">
        <ns0:v>17</ns0:v>
      </ns0:c>
      <ns0:c r="L380" s="7" t="n">
        <ns0:v>44</ns0:v>
      </ns0:c>
      <ns0:c r="M380" s="7" t="n">
        <ns0:v>-15976.09277055928</ns0:v>
      </ns0:c>
      <ns0:c r="N380" s="7" t="n">
        <ns0:v>55196.46953918558</ns0:v>
      </ns0:c>
      <ns0:c r="O380" s="7" t="n">
        <ns0:v>128334.7389828479</ns0:v>
      </ns0:c>
      <ns0:c r="P380" s="7" t="n">
        <ns0:v>311180.4125920035</ns0:v>
      </ns0:c>
      <ns0:c r="Q380" s="7" t="n">
        <ns0:v>1000563.107028626</ns0:v>
      </ns0:c>
      <ns0:c r="R380" s="7" t="n">
        <ns0:v>3490402.537556807</ns0:v>
      </ns0:c>
    </ns0:row>
    <ns0:row r="381" ht="24" customHeight="1">
      <ns0:c r="A381" s="3" t="inlineStr">
        <ns0:is>
          <ns0:t>セット</ns0:t>
        </ns0:is>
      </ns0:c>
      <ns0:c r="B381" s="3" t="inlineStr">
        <ns0:is>
          <ns0:t>G0基本5000比較</ns0:t>
        </ns0:is>
      </ns0:c>
      <ns0:c r="C381" s="3" t="inlineStr">
        <ns0:is>
          <ns0:t>D</ns0:t>
        </ns0:is>
      </ns0:c>
      <ns0:c r="D381" s="4" t="n">
        <ns0:v>0</ns0:v>
      </ns0:c>
      <ns0:c r="E381" s="4" t="n">
        <ns0:v>1500</ns0:v>
      </ns0:c>
      <ns0:c r="F381" s="6" t="n">
        <ns0:v>0.3</ns0:v>
      </ns0:c>
      <ns0:c r="G381" s="4" t="n">
        <ns0:v>1</ns0:v>
      </ns0:c>
      <ns0:c r="H381" s="7" t="n">
        <ns0:v>7240.26282853567</ns0:v>
      </ns0:c>
      <ns0:c r="I381" s="7" t="n">
        <ns0:v>4713.829787234043</ns0:v>
      </ns0:c>
      <ns0:c r="J381" s="7" t="n">
        <ns0:v>1414.148936170213</ns0:v>
      </ns0:c>
      <ns0:c r="K381" s="7" t="n">
        <ns0:v>18</ns0:v>
      </ns0:c>
      <ns0:c r="L381" s="7" t="n">
        <ns0:v>136</ns0:v>
      </ns0:c>
      <ns0:c r="M381" s="7" t="n">
        <ns0:v>-19694.73317653012</ns0:v>
      </ns0:c>
      <ns0:c r="N381" s="7" t="n">
        <ns0:v>44040.54832127305</ns0:v>
      </ns0:c>
      <ns0:c r="O381" s="7" t="n">
        <ns0:v>109741.5369529937</ns0:v>
      </ns0:c>
      <ns0:c r="P381" s="7" t="n">
        <ns0:v>273994.0085322951</ns0:v>
      </ns0:c>
      <ns0:c r="Q381" s="7" t="n">
        <ns0:v>889003.8948495009</ns0:v>
      </ns0:c>
      <ns0:c r="R381" s="7" t="n">
        <ns0:v>3118538.496959722</ns0:v>
      </ns0:c>
    </ns0:row>
    <ns0:row r="382" ht="24" customHeight="1">
      <ns0:c r="A382" s="3" t="inlineStr">
        <ns0:is>
          <ns0:t>セット</ns0:t>
        </ns0:is>
      </ns0:c>
      <ns0:c r="B382" s="3" t="inlineStr">
        <ns0:is>
          <ns0:t>G0基本5000比較</ns0:t>
        </ns0:is>
      </ns0:c>
      <ns0:c r="C382" s="3" t="inlineStr">
        <ns0:is>
          <ns0:t>D</ns0:t>
        </ns0:is>
      </ns0:c>
      <ns0:c r="D382" s="4" t="n">
        <ns0:v>0</ns0:v>
      </ns0:c>
      <ns0:c r="E382" s="4" t="n">
        <ns0:v>1500</ns0:v>
      </ns0:c>
      <ns0:c r="F382" s="6" t="n">
        <ns0:v>0.3</ns0:v>
      </ns0:c>
      <ns0:c r="G382" s="4" t="n">
        <ns0:v>2</ns0:v>
      </ns0:c>
      <ns0:c r="H382" s="7" t="n">
        <ns0:v>7240.26282853567</ns0:v>
      </ns0:c>
      <ns0:c r="I382" s="7" t="n">
        <ns0:v>4713.829787234043</ns0:v>
      </ns0:c>
      <ns0:c r="J382" s="7" t="n">
        <ns0:v>1414.148936170213</ns0:v>
      </ns0:c>
      <ns0:c r="K382" s="7" t="n">
        <ns0:v>40</ns0:v>
      </ns0:c>
      <ns0:c r="L382" s="18" t="inlineStr">
        <ns0:is>
          <ns0:t>範囲内なし</ns0:t>
        </ns0:is>
      </ns0:c>
      <ns0:c r="M382" s="7" t="n">
        <ns0:v>-38817.54174303656</ns0:v>
      </ns0:c>
      <ns0:c r="N382" s="7" t="n">
        <ns0:v>-13327.87737824628</ns0:v>
      </ns0:c>
      <ns0:c r="O382" s="7" t="n">
        <ns0:v>14127.49412046146</ns0:v>
      </ns0:c>
      <ns0:c r="P382" s="7" t="n">
        <ns0:v>82765.92286723072</ns0:v>
      </ns0:c>
      <ns0:c r="Q382" s="7" t="n">
        <ns0:v>315319.6378543076</ns0:v>
      </ns0:c>
      <ns0:c r="R382" s="7" t="n">
        <ns0:v>1206257.640309078</ns0:v>
      </ns0:c>
    </ns0:row>
    <ns0:row r="383" ht="24" customHeight="1">
      <ns0:c r="A383" s="3" t="inlineStr">
        <ns0:is>
          <ns0:t>セット</ns0:t>
        </ns0:is>
      </ns0:c>
      <ns0:c r="B383" s="3" t="inlineStr">
        <ns0:is>
          <ns0:t>G0基本5000比較</ns0:t>
        </ns0:is>
      </ns0:c>
      <ns0:c r="C383" s="3" t="inlineStr">
        <ns0:is>
          <ns0:t>D</ns0:t>
        </ns0:is>
      </ns0:c>
      <ns0:c r="D383" s="4" t="n">
        <ns0:v>0</ns0:v>
      </ns0:c>
      <ns0:c r="E383" s="4" t="n">
        <ns0:v>1500</ns0:v>
      </ns0:c>
      <ns0:c r="F383" s="6" t="n">
        <ns0:v>0.3</ns0:v>
      </ns0:c>
      <ns0:c r="G383" s="4" t="n">
        <ns0:v>3</ns0:v>
      </ns0:c>
      <ns0:c r="H383" s="7" t="n">
        <ns0:v>7240.26282853567</ns0:v>
      </ns0:c>
      <ns0:c r="I383" s="7" t="n">
        <ns0:v>4713.829787234043</ns0:v>
      </ns0:c>
      <ns0:c r="J383" s="7" t="n">
        <ns0:v>1414.148936170213</ns0:v>
      </ns0:c>
      <ns0:c r="K383" s="7" t="n">
        <ns0:v>23</ns0:v>
      </ns0:c>
      <ns0:c r="L383" s="18" t="inlineStr">
        <ns0:is>
          <ns0:t>範囲内なし</ns0:t>
        </ns0:is>
      </ns0:c>
      <ns0:c r="M383" s="7" t="n">
        <ns0:v>-28263.84007710082</ns0:v>
      </ns0:c>
      <ns0:c r="N383" s="7" t="n">
        <ns0:v>18333.22761956097</ns0:v>
      </ns0:c>
      <ns0:c r="O383" s="7" t="n">
        <ns0:v>66896.00245014021</ns0:v>
      </ns0:c>
      <ns0:c r="P383" s="7" t="n">
        <ns0:v>188302.9395265882</ns0:v>
      </ns0:c>
      <ns0:c r="Q383" s="7" t="n">
        <ns0:v>631930.6878323801</ns0:v>
      </ns0:c>
      <ns0:c r="R383" s="7" t="n">
        <ns0:v>2261627.806902653</ns0:v>
      </ns0:c>
    </ns0:row>
    <ns0:row r="384" ht="24" customHeight="1">
      <ns0:c r="A384" s="3" t="inlineStr">
        <ns0:is>
          <ns0:t>セット</ns0:t>
        </ns0:is>
      </ns0:c>
      <ns0:c r="B384" s="3" t="inlineStr">
        <ns0:is>
          <ns0:t>G0基本5000比較</ns0:t>
        </ns0:is>
      </ns0:c>
      <ns0:c r="C384" s="3" t="inlineStr">
        <ns0:is>
          <ns0:t>D</ns0:t>
        </ns0:is>
      </ns0:c>
      <ns0:c r="D384" s="4" t="n">
        <ns0:v>0</ns0:v>
      </ns0:c>
      <ns0:c r="E384" s="4" t="n">
        <ns0:v>1500</ns0:v>
      </ns0:c>
      <ns0:c r="F384" s="6" t="n">
        <ns0:v>0.4</ns0:v>
      </ns0:c>
      <ns0:c r="G384" s="4" t="n">
        <ns0:v>0</ns0:v>
      </ns0:c>
      <ns0:c r="H384" s="7" t="n">
        <ns0:v>7240.26282853567</ns0:v>
      </ns0:c>
      <ns0:c r="I384" s="7" t="n">
        <ns0:v>4713.829787234043</ns0:v>
      </ns0:c>
      <ns0:c r="J384" s="7" t="n">
        <ns0:v>1885.531914893617</ns0:v>
      </ns0:c>
      <ns0:c r="K384" s="7" t="n">
        <ns0:v>19</ns0:v>
      </ns0:c>
      <ns0:c r="L384" s="7" t="n">
        <ns0:v>50</ns0:v>
      </ns0:c>
      <ns0:c r="M384" s="7" t="n">
        <ns0:v>-20689.92255779332</ns0:v>
      </ns0:c>
      <ns0:c r="N384" s="7" t="n">
        <ns0:v>41054.98017748346</ns0:v>
      </ns0:c>
      <ns0:c r="O384" s="7" t="n">
        <ns0:v>104765.5900466776</ns0:v>
      </ns0:c>
      <ns0:c r="P384" s="7" t="n">
        <ns0:v>264042.114719663</ns0:v>
      </ns0:c>
      <ns0:c r="Q384" s="7" t="n">
        <ns0:v>859148.2134116048</ns0:v>
      </ns0:c>
      <ns0:c r="R384" s="7" t="n">
        <ns0:v>3019019.558833402</ns0:v>
      </ns0:c>
    </ns0:row>
    <ns0:row r="385" ht="24" customHeight="1">
      <ns0:c r="A385" s="3" t="inlineStr">
        <ns0:is>
          <ns0:t>セット</ns0:t>
        </ns0:is>
      </ns0:c>
      <ns0:c r="B385" s="3" t="inlineStr">
        <ns0:is>
          <ns0:t>G0基本5000比較</ns0:t>
        </ns0:is>
      </ns0:c>
      <ns0:c r="C385" s="3" t="inlineStr">
        <ns0:is>
          <ns0:t>D</ns0:t>
        </ns0:is>
      </ns0:c>
      <ns0:c r="D385" s="4" t="n">
        <ns0:v>0</ns0:v>
      </ns0:c>
      <ns0:c r="E385" s="4" t="n">
        <ns0:v>1500</ns0:v>
      </ns0:c>
      <ns0:c r="F385" s="6" t="n">
        <ns0:v>0.4</ns0:v>
      </ns0:c>
      <ns0:c r="G385" s="4" t="n">
        <ns0:v>1</ns0:v>
      </ns0:c>
      <ns0:c r="H385" s="7" t="n">
        <ns0:v>7240.26282853567</ns0:v>
      </ns0:c>
      <ns0:c r="I385" s="7" t="n">
        <ns0:v>4713.829787234043</ns0:v>
      </ns0:c>
      <ns0:c r="J385" s="7" t="n">
        <ns0:v>1885.531914893617</ns0:v>
      </ns0:c>
      <ns0:c r="K385" s="7" t="n">
        <ns0:v>21</ns0:v>
      </ns0:c>
      <ns0:c r="L385" s="7" t="n">
        <ns0:v>174</ns0:v>
      </ns0:c>
      <ns0:c r="M385" s="7" t="n">
        <ns0:v>-24408.56296376417</ns0:v>
      </ns0:c>
      <ns0:c r="N385" s="7" t="n">
        <ns0:v>29899.05895957093</ns0:v>
      </ns0:c>
      <ns0:c r="O385" s="7" t="n">
        <ns0:v>86172.38801682342</ns0:v>
      </ns0:c>
      <ns0:c r="P385" s="7" t="n">
        <ns0:v>226855.7106599546</ns0:v>
      </ns0:c>
      <ns0:c r="Q385" s="7" t="n">
        <ns0:v>747589.0012324796</ns0:v>
      </ns0:c>
      <ns0:c r="R385" s="7" t="n">
        <ns0:v>2647155.518236318</ns0:v>
      </ns0:c>
    </ns0:row>
    <ns0:row r="386" ht="24" customHeight="1">
      <ns0:c r="A386" s="3" t="inlineStr">
        <ns0:is>
          <ns0:t>セット</ns0:t>
        </ns0:is>
      </ns0:c>
      <ns0:c r="B386" s="3" t="inlineStr">
        <ns0:is>
          <ns0:t>G0基本5000比較</ns0:t>
        </ns0:is>
      </ns0:c>
      <ns0:c r="C386" s="3" t="inlineStr">
        <ns0:is>
          <ns0:t>D</ns0:t>
        </ns0:is>
      </ns0:c>
      <ns0:c r="D386" s="4" t="n">
        <ns0:v>0</ns0:v>
      </ns0:c>
      <ns0:c r="E386" s="4" t="n">
        <ns0:v>1500</ns0:v>
      </ns0:c>
      <ns0:c r="F386" s="6" t="n">
        <ns0:v>0.4</ns0:v>
      </ns0:c>
      <ns0:c r="G386" s="4" t="n">
        <ns0:v>2</ns0:v>
      </ns0:c>
      <ns0:c r="H386" s="7" t="n">
        <ns0:v>7240.26282853567</ns0:v>
      </ns0:c>
      <ns0:c r="I386" s="7" t="n">
        <ns0:v>4713.829787234043</ns0:v>
      </ns0:c>
      <ns0:c r="J386" s="7" t="n">
        <ns0:v>1885.531914893617</ns0:v>
      </ns0:c>
      <ns0:c r="K386" s="7" t="n">
        <ns0:v>108</ns0:v>
      </ns0:c>
      <ns0:c r="L386" s="18" t="inlineStr">
        <ns0:is>
          <ns0:t>範囲内なし</ns0:t>
        </ns0:is>
      </ns0:c>
      <ns0:c r="M386" s="7" t="n">
        <ns0:v>-43531.37153027061</ns0:v>
      </ns0:c>
      <ns0:c r="N386" s="7" t="n">
        <ns0:v>-27469.36673994838</ns0:v>
      </ns0:c>
      <ns0:c r="O386" s="7" t="n">
        <ns0:v>-9441.654815708782</ns0:v>
      </ns0:c>
      <ns0:c r="P386" s="7" t="n">
        <ns0:v>35627.62499489024</ns0:v>
      </ns0:c>
      <ns0:c r="Q386" s="7" t="n">
        <ns0:v>173904.7442372863</ns0:v>
      </ns0:c>
      <ns0:c r="R386" s="7" t="n">
        <ns0:v>734874.6615856732</ns0:v>
      </ns0:c>
    </ns0:row>
    <ns0:row r="387" ht="24" customHeight="1">
      <ns0:c r="A387" s="3" t="inlineStr">
        <ns0:is>
          <ns0:t>セット</ns0:t>
        </ns0:is>
      </ns0:c>
      <ns0:c r="B387" s="3" t="inlineStr">
        <ns0:is>
          <ns0:t>G0基本5000比較</ns0:t>
        </ns0:is>
      </ns0:c>
      <ns0:c r="C387" s="3" t="inlineStr">
        <ns0:is>
          <ns0:t>D</ns0:t>
        </ns0:is>
      </ns0:c>
      <ns0:c r="D387" s="4" t="n">
        <ns0:v>0</ns0:v>
      </ns0:c>
      <ns0:c r="E387" s="4" t="n">
        <ns0:v>1500</ns0:v>
      </ns0:c>
      <ns0:c r="F387" s="6" t="n">
        <ns0:v>0.4</ns0:v>
      </ns0:c>
      <ns0:c r="G387" s="4" t="n">
        <ns0:v>3</ns0:v>
      </ns0:c>
      <ns0:c r="H387" s="7" t="n">
        <ns0:v>7240.26282853567</ns0:v>
      </ns0:c>
      <ns0:c r="I387" s="7" t="n">
        <ns0:v>4713.829787234043</ns0:v>
      </ns0:c>
      <ns0:c r="J387" s="7" t="n">
        <ns0:v>1885.531914893617</ns0:v>
      </ns0:c>
      <ns0:c r="K387" s="7" t="n">
        <ns0:v>28</ns0:v>
      </ns0:c>
      <ns0:c r="L387" s="18" t="inlineStr">
        <ns0:is>
          <ns0:t>範囲内なし</ns0:t>
        </ns0:is>
      </ns0:c>
      <ns0:c r="M387" s="7" t="n">
        <ns0:v>-32977.66986433486</ns0:v>
      </ns0:c>
      <ns0:c r="N387" s="7" t="n">
        <ns0:v>4191.738257858851</ns0:v>
      </ns0:c>
      <ns0:c r="O387" s="7" t="n">
        <ns0:v>43326.85351396997</ns0:v>
      </ns0:c>
      <ns0:c r="P387" s="7" t="n">
        <ns0:v>141164.6416542477</ns0:v>
      </ns0:c>
      <ns0:c r="Q387" s="7" t="n">
        <ns0:v>490515.7942153587</ns0:v>
      </ns0:c>
      <ns0:c r="R387" s="7" t="n">
        <ns0:v>1790244.828179248</ns0:v>
      </ns0:c>
    </ns0:row>
    <ns0:row r="388" ht="24" customHeight="1">
      <ns0:c r="A388" s="3" t="inlineStr">
        <ns0:is>
          <ns0:t>セット</ns0:t>
        </ns0:is>
      </ns0:c>
      <ns0:c r="B388" s="3" t="inlineStr">
        <ns0:is>
          <ns0:t>G0基本5000比較</ns0:t>
        </ns0:is>
      </ns0:c>
      <ns0:c r="C388" s="3" t="inlineStr">
        <ns0:is>
          <ns0:t>D</ns0:t>
        </ns0:is>
      </ns0:c>
      <ns0:c r="D388" s="4" t="n">
        <ns0:v>0</ns0:v>
      </ns0:c>
      <ns0:c r="E388" s="4" t="n">
        <ns0:v>1500</ns0:v>
      </ns0:c>
      <ns0:c r="F388" s="6" t="n">
        <ns0:v>0.5</ns0:v>
      </ns0:c>
      <ns0:c r="G388" s="4" t="n">
        <ns0:v>0</ns0:v>
      </ns0:c>
      <ns0:c r="H388" s="7" t="n">
        <ns0:v>7240.26282853567</ns0:v>
      </ns0:c>
      <ns0:c r="I388" s="7" t="n">
        <ns0:v>4713.829787234043</ns0:v>
      </ns0:c>
      <ns0:c r="J388" s="7" t="n">
        <ns0:v>2356.914893617021</ns0:v>
      </ns0:c>
      <ns0:c r="K388" s="7" t="n">
        <ns0:v>21</ns0:v>
      </ns0:c>
      <ns0:c r="L388" s="7" t="n">
        <ns0:v>58</ns0:v>
      </ns0:c>
      <ns0:c r="M388" s="7" t="n">
        <ns0:v>-25403.75234502735</ns0:v>
      </ns0:c>
      <ns0:c r="N388" s="7" t="n">
        <ns0:v>26913.49081578134</ns0:v>
      </ns0:c>
      <ns0:c r="O388" s="7" t="n">
        <ns0:v>81196.44111050747</ns0:v>
      </ns0:c>
      <ns0:c r="P388" s="7" t="n">
        <ns0:v>216903.8168473227</ns0:v>
      </ns0:c>
      <ns0:c r="Q388" s="7" t="n">
        <ns0:v>717733.3197945836</ns0:v>
      </ns0:c>
      <ns0:c r="R388" s="7" t="n">
        <ns0:v>2547636.580109998</ns0:v>
      </ns0:c>
    </ns0:row>
    <ns0:row r="389" ht="24" customHeight="1">
      <ns0:c r="A389" s="3" t="inlineStr">
        <ns0:is>
          <ns0:t>セット</ns0:t>
        </ns0:is>
      </ns0:c>
      <ns0:c r="B389" s="3" t="inlineStr">
        <ns0:is>
          <ns0:t>G0基本5000比較</ns0:t>
        </ns0:is>
      </ns0:c>
      <ns0:c r="C389" s="3" t="inlineStr">
        <ns0:is>
          <ns0:t>D</ns0:t>
        </ns0:is>
      </ns0:c>
      <ns0:c r="D389" s="4" t="n">
        <ns0:v>0</ns0:v>
      </ns0:c>
      <ns0:c r="E389" s="4" t="n">
        <ns0:v>1500</ns0:v>
      </ns0:c>
      <ns0:c r="F389" s="6" t="n">
        <ns0:v>0.5</ns0:v>
      </ns0:c>
      <ns0:c r="G389" s="4" t="n">
        <ns0:v>1</ns0:v>
      </ns0:c>
      <ns0:c r="H389" s="7" t="n">
        <ns0:v>7240.26282853567</ns0:v>
      </ns0:c>
      <ns0:c r="I389" s="7" t="n">
        <ns0:v>4713.829787234043</ns0:v>
      </ns0:c>
      <ns0:c r="J389" s="7" t="n">
        <ns0:v>2356.914893617021</ns0:v>
      </ns0:c>
      <ns0:c r="K389" s="7" t="n">
        <ns0:v>24</ns0:v>
      </ns0:c>
      <ns0:c r="L389" s="7" t="n">
        <ns0:v>243</ns0:v>
      </ns0:c>
      <ns0:c r="M389" s="7" t="n">
        <ns0:v>-29122.3927509982</ns0:v>
      </ns0:c>
      <ns0:c r="N389" s="7" t="n">
        <ns0:v>15757.56959786881</ns0:v>
      </ns0:c>
      <ns0:c r="O389" s="7" t="n">
        <ns0:v>62603.23908065326</ns0:v>
      </ns0:c>
      <ns0:c r="P389" s="7" t="n">
        <ns0:v>179717.4127876143</ns0:v>
      </ns0:c>
      <ns0:c r="Q389" s="7" t="n">
        <ns0:v>606174.1076154583</ns0:v>
      </ns0:c>
      <ns0:c r="R389" s="7" t="n">
        <ns0:v>2175772.539512914</ns0:v>
      </ns0:c>
    </ns0:row>
    <ns0:row r="390" ht="24" customHeight="1">
      <ns0:c r="A390" s="3" t="inlineStr">
        <ns0:is>
          <ns0:t>セット</ns0:t>
        </ns0:is>
      </ns0:c>
      <ns0:c r="B390" s="3" t="inlineStr">
        <ns0:is>
          <ns0:t>G0基本5000比較</ns0:t>
        </ns0:is>
      </ns0:c>
      <ns0:c r="C390" s="3" t="inlineStr">
        <ns0:is>
          <ns0:t>D</ns0:t>
        </ns0:is>
      </ns0:c>
      <ns0:c r="D390" s="4" t="n">
        <ns0:v>0</ns0:v>
      </ns0:c>
      <ns0:c r="E390" s="4" t="n">
        <ns0:v>1500</ns0:v>
      </ns0:c>
      <ns0:c r="F390" s="6" t="n">
        <ns0:v>0.5</ns0:v>
      </ns0:c>
      <ns0:c r="G390" s="4" t="n">
        <ns0:v>2</ns0:v>
      </ns0:c>
      <ns0:c r="H390" s="7" t="n">
        <ns0:v>7240.26282853567</ns0:v>
      </ns0:c>
      <ns0:c r="I390" s="7" t="n">
        <ns0:v>4713.829787234043</ns0:v>
      </ns0:c>
      <ns0:c r="J390" s="7" t="n">
        <ns0:v>2356.914893617021</ns0:v>
      </ns0:c>
      <ns0:c r="K390" s="7" t="n">
        <ns0:v>225</ns0:v>
      </ns0:c>
      <ns0:c r="L390" s="18" t="inlineStr">
        <ns0:is>
          <ns0:t>範囲内なし</ns0:t>
        </ns0:is>
      </ns0:c>
      <ns0:c r="M390" s="7" t="n">
        <ns0:v>-48245.20131750464</ns0:v>
      </ns0:c>
      <ns0:c r="N390" s="7" t="n">
        <ns0:v>-41610.85610165051</ns0:v>
      </ns0:c>
      <ns0:c r="O390" s="7" t="n">
        <ns0:v>-33010.80375187896</ns0:v>
      </ns0:c>
      <ns0:c r="P390" s="7" t="n">
        <ns0:v>-11510.67287745012</ns0:v>
      </ns0:c>
      <ns0:c r="Q390" s="7" t="n">
        <ns0:v>32489.850620265</ns0:v>
      </ns0:c>
      <ns0:c r="R390" s="7" t="n">
        <ns0:v>263491.682862269</ns0:v>
      </ns0:c>
    </ns0:row>
    <ns0:row r="391" ht="24" customHeight="1">
      <ns0:c r="A391" s="3" t="inlineStr">
        <ns0:is>
          <ns0:t>セット</ns0:t>
        </ns0:is>
      </ns0:c>
      <ns0:c r="B391" s="3" t="inlineStr">
        <ns0:is>
          <ns0:t>G0基本5000比較</ns0:t>
        </ns0:is>
      </ns0:c>
      <ns0:c r="C391" s="3" t="inlineStr">
        <ns0:is>
          <ns0:t>D</ns0:t>
        </ns0:is>
      </ns0:c>
      <ns0:c r="D391" s="4" t="n">
        <ns0:v>0</ns0:v>
      </ns0:c>
      <ns0:c r="E391" s="4" t="n">
        <ns0:v>1500</ns0:v>
      </ns0:c>
      <ns0:c r="F391" s="6" t="n">
        <ns0:v>0.5</ns0:v>
      </ns0:c>
      <ns0:c r="G391" s="4" t="n">
        <ns0:v>3</ns0:v>
      </ns0:c>
      <ns0:c r="H391" s="7" t="n">
        <ns0:v>7240.26282853567</ns0:v>
      </ns0:c>
      <ns0:c r="I391" s="7" t="n">
        <ns0:v>4713.829787234043</ns0:v>
      </ns0:c>
      <ns0:c r="J391" s="7" t="n">
        <ns0:v>2356.914893617021</ns0:v>
      </ns0:c>
      <ns0:c r="K391" s="7" t="n">
        <ns0:v>37</ns0:v>
      </ns0:c>
      <ns0:c r="L391" s="18" t="inlineStr">
        <ns0:is>
          <ns0:t>範囲内なし</ns0:t>
        </ns0:is>
      </ns0:c>
      <ns0:c r="M391" s="7" t="n">
        <ns0:v>-37691.4996515689</ns0:v>
      </ns0:c>
      <ns0:c r="N391" s="7" t="n">
        <ns0:v>-9949.751103843271</ns0:v>
      </ns0:c>
      <ns0:c r="O391" s="7" t="n">
        <ns0:v>19757.7045777998</ns0:v>
      </ns0:c>
      <ns0:c r="P391" s="7" t="n">
        <ns0:v>94026.3437819074</ns0:v>
      </ns0:c>
      <ns0:c r="Q391" s="7" t="n">
        <ns0:v>349100.9005983375</ns0:v>
      </ns0:c>
      <ns0:c r="R391" s="7" t="n">
        <ns0:v>1318861.849455844</ns0:v>
      </ns0:c>
    </ns0:row>
    <ns0:row r="392" ht="24" customHeight="1">
      <ns0:c r="A392" s="3" t="inlineStr">
        <ns0:is>
          <ns0:t>セット</ns0:t>
        </ns0:is>
      </ns0:c>
      <ns0:c r="B392" s="3" t="inlineStr">
        <ns0:is>
          <ns0:t>G0基本5000比較</ns0:t>
        </ns0:is>
      </ns0:c>
      <ns0:c r="C392" s="3" t="inlineStr">
        <ns0:is>
          <ns0:t>D</ns0:t>
        </ns0:is>
      </ns0:c>
      <ns0:c r="D392" s="4" t="n">
        <ns0:v>1</ns0:v>
      </ns0:c>
      <ns0:c r="E392" s="4" t="n">
        <ns0:v>500</ns0:v>
      </ns0:c>
      <ns0:c r="F392" s="6" t="n">
        <ns0:v>0.3</ns0:v>
      </ns0:c>
      <ns0:c r="G392" s="4" t="n">
        <ns0:v>0</ns0:v>
      </ns0:c>
      <ns0:c r="H392" s="7" t="n">
        <ns0:v>9897.76536312849</ns0:v>
      </ns0:c>
      <ns0:c r="I392" s="7" t="n">
        <ns0:v>5852.513966480446</ns0:v>
      </ns0:c>
      <ns0:c r="J392" s="7" t="n">
        <ns0:v>1755.754189944134</ns0:v>
      </ns0:c>
      <ns0:c r="K392" s="7" t="n">
        <ns0:v>12</ns0:v>
      </ns0:c>
      <ns0:c r="L392" s="7" t="n">
        <ns0:v>21</ns0:v>
      </ns0:c>
      <ns0:c r="M392" s="7" t="n">
        <ns0:v>5626.262258736202</ns0:v>
      </ns0:c>
      <ns0:c r="N392" s="7" t="n">
        <ns0:v>107344.2314478186</ns0:v>
      </ns0:c>
      <ns0:c r="O392" s="7" t="n">
        <ns0:v>215247.6754972363</ns0:v>
      </ns0:c>
      <ns0:c r="P392" s="7" t="n">
        <ns0:v>485006.2856207803</ns0:v>
      </ns0:c>
      <ns0:c r="Q392" s="7" t="n">
        <ns0:v>1522040.726114956</ns0:v>
      </ns0:c>
      <ns0:c r="R392" s="7" t="n">
        <ns0:v>5228661.267844572</ns0:v>
      </ns0:c>
    </ns0:row>
    <ns0:row r="393" ht="24" customHeight="1">
      <ns0:c r="A393" s="3" t="inlineStr">
        <ns0:is>
          <ns0:t>セット</ns0:t>
        </ns0:is>
      </ns0:c>
      <ns0:c r="B393" s="3" t="inlineStr">
        <ns0:is>
          <ns0:t>G0基本5000比較</ns0:t>
        </ns0:is>
      </ns0:c>
      <ns0:c r="C393" s="3" t="inlineStr">
        <ns0:is>
          <ns0:t>D</ns0:t>
        </ns0:is>
      </ns0:c>
      <ns0:c r="D393" s="4" t="n">
        <ns0:v>1</ns0:v>
      </ns0:c>
      <ns0:c r="E393" s="4" t="n">
        <ns0:v>500</ns0:v>
      </ns0:c>
      <ns0:c r="F393" s="6" t="n">
        <ns0:v>0.3</ns0:v>
      </ns0:c>
      <ns0:c r="G393" s="4" t="n">
        <ns0:v>1</ns0:v>
      </ns0:c>
      <ns0:c r="H393" s="7" t="n">
        <ns0:v>9897.76536312849</ns0:v>
      </ns0:c>
      <ns0:c r="I393" s="7" t="n">
        <ns0:v>5852.513966480446</ns0:v>
      </ns0:c>
      <ns0:c r="J393" s="7" t="n">
        <ns0:v>1755.754189944134</ns0:v>
      </ns0:c>
      <ns0:c r="K393" s="7" t="n">
        <ns0:v>13</ns0:v>
      </ns0:c>
      <ns0:c r="L393" s="7" t="n">
        <ns0:v>28</ns0:v>
      </ns0:c>
      <ns0:c r="M393" s="7" t="n">
        <ns0:v>1302.756053732133</ns0:v>
      </ns0:c>
      <ns0:c r="N393" s="7" t="n">
        <ns0:v>94373.7128328064</ns0:v>
      </ns0:c>
      <ns0:c r="O393" s="7" t="n">
        <ns0:v>193630.1444722159</ns0:v>
      </ns0:c>
      <ns0:c r="P393" s="7" t="n">
        <ns0:v>441771.2235707396</ns0:v>
      </ns0:c>
      <ns0:c r="Q393" s="7" t="n">
        <ns0:v>1392335.539964834</ns0:v>
      </ns0:c>
      <ns0:c r="R393" s="7" t="n">
        <ns0:v>4796310.647344165</ns0:v>
      </ns0:c>
    </ns0:row>
    <ns0:row r="394" ht="24" customHeight="1">
      <ns0:c r="A394" s="3" t="inlineStr">
        <ns0:is>
          <ns0:t>セット</ns0:t>
        </ns0:is>
      </ns0:c>
      <ns0:c r="B394" s="3" t="inlineStr">
        <ns0:is>
          <ns0:t>G0基本5000比較</ns0:t>
        </ns0:is>
      </ns0:c>
      <ns0:c r="C394" s="3" t="inlineStr">
        <ns0:is>
          <ns0:t>D</ns0:t>
        </ns0:is>
      </ns0:c>
      <ns0:c r="D394" s="4" t="n">
        <ns0:v>1</ns0:v>
      </ns0:c>
      <ns0:c r="E394" s="4" t="n">
        <ns0:v>500</ns0:v>
      </ns0:c>
      <ns0:c r="F394" s="6" t="n">
        <ns0:v>0.3</ns0:v>
      </ns0:c>
      <ns0:c r="G394" s="4" t="n">
        <ns0:v>2</ns0:v>
      </ns0:c>
      <ns0:c r="H394" s="7" t="n">
        <ns0:v>9897.76536312849</ns0:v>
      </ns0:c>
      <ns0:c r="I394" s="7" t="n">
        <ns0:v>5852.513966480446</ns0:v>
      </ns0:c>
      <ns0:c r="J394" s="7" t="n">
        <ns0:v>1755.754189944134</ns0:v>
      </ns0:c>
      <ns0:c r="K394" s="7" t="n">
        <ns0:v>42</ns0:v>
      </ns0:c>
      <ns0:c r="L394" s="18" t="inlineStr">
        <ns0:is>
          <ns0:t>範囲内なし</ns0:t>
        </ns0:is>
      </ns0:c>
      <ns0:c r="M394" s="7" t="n">
        <ns0:v>-35280.94790984112</ns0:v>
      </ns0:c>
      <ns0:c r="N394" s="7" t="n">
        <ns0:v>-15377.3990579134</ns0:v>
      </ns0:c>
      <ns0:c r="O394" s="7" t="n">
        <ns0:v>10711.62465434961</ns0:v>
      </ns0:c>
      <ns0:c r="P394" s="7" t="n">
        <ns0:v>75934.18393500702</ns0:v>
      </ns0:c>
      <ns0:c r="Q394" s="7" t="n">
        <ns0:v>294824.4210576366</ns0:v>
      </ns0:c>
      <ns0:c r="R394" s="7" t="n">
        <ns0:v>1137940.250986839</ns0:v>
      </ns0:c>
    </ns0:row>
    <ns0:row r="395" ht="24" customHeight="1">
      <ns0:c r="A395" s="3" t="inlineStr">
        <ns0:is>
          <ns0:t>セット</ns0:t>
        </ns0:is>
      </ns0:c>
      <ns0:c r="B395" s="3" t="inlineStr">
        <ns0:is>
          <ns0:t>G0基本5000比較</ns0:t>
        </ns0:is>
      </ns0:c>
      <ns0:c r="C395" s="3" t="inlineStr">
        <ns0:is>
          <ns0:t>D</ns0:t>
        </ns0:is>
      </ns0:c>
      <ns0:c r="D395" s="4" t="n">
        <ns0:v>1</ns0:v>
      </ns0:c>
      <ns0:c r="E395" s="4" t="n">
        <ns0:v>500</ns0:v>
      </ns0:c>
      <ns0:c r="F395" s="6" t="n">
        <ns0:v>0.3</ns0:v>
      </ns0:c>
      <ns0:c r="G395" s="4" t="n">
        <ns0:v>3</ns0:v>
      </ns0:c>
      <ns0:c r="H395" s="7" t="n">
        <ns0:v>9897.76536312849</ns0:v>
      </ns0:c>
      <ns0:c r="I395" s="7" t="n">
        <ns0:v>5852.513966480446</ns0:v>
      </ns0:c>
      <ns0:c r="J395" s="7" t="n">
        <ns0:v>1755.754189944134</ns0:v>
      </ns0:c>
      <ns0:c r="K395" s="7" t="n">
        <ns0:v>15</ns0:v>
      </ns0:c>
      <ns0:c r="L395" s="7" t="n">
        <ns0:v>190</ns0:v>
      </ns0:c>
      <ns0:c r="M395" s="7" t="n">
        <ns0:v>-8159.750746800601</ns0:v>
      </ns0:c>
      <ns0:c r="N395" s="7" t="n">
        <ns0:v>65986.19243120818</ns0:v>
      </ns0:c>
      <ns0:c r="O395" s="7" t="n">
        <ns0:v>146317.6104695522</ns0:v>
      </ns0:c>
      <ns0:c r="P395" s="7" t="n">
        <ns0:v>347146.1555654122</ns0:v>
      </ns0:c>
      <ns0:c r="Q395" s="7" t="n">
        <ns0:v>1108460.335948852</ns0:v>
      </ns0:c>
      <ns0:c r="R395" s="7" t="n">
        <ns0:v>3850059.967290891</ns0:v>
      </ns0:c>
    </ns0:row>
    <ns0:row r="396" ht="24" customHeight="1">
      <ns0:c r="A396" s="3" t="inlineStr">
        <ns0:is>
          <ns0:t>セット</ns0:t>
        </ns0:is>
      </ns0:c>
      <ns0:c r="B396" s="3" t="inlineStr">
        <ns0:is>
          <ns0:t>G0基本5000比較</ns0:t>
        </ns0:is>
      </ns0:c>
      <ns0:c r="C396" s="3" t="inlineStr">
        <ns0:is>
          <ns0:t>D</ns0:t>
        </ns0:is>
      </ns0:c>
      <ns0:c r="D396" s="4" t="n">
        <ns0:v>1</ns0:v>
      </ns0:c>
      <ns0:c r="E396" s="4" t="n">
        <ns0:v>500</ns0:v>
      </ns0:c>
      <ns0:c r="F396" s="6" t="n">
        <ns0:v>0.4</ns0:v>
      </ns0:c>
      <ns0:c r="G396" s="4" t="n">
        <ns0:v>0</ns0:v>
      </ns0:c>
      <ns0:c r="H396" s="7" t="n">
        <ns0:v>9897.76536312849</ns0:v>
      </ns0:c>
      <ns0:c r="I396" s="7" t="n">
        <ns0:v>5852.513966480446</ns0:v>
      </ns0:c>
      <ns0:c r="J396" s="7" t="n">
        <ns0:v>2341.005586592179</ns0:v>
      </ns0:c>
      <ns0:c r="K396" s="7" t="n">
        <ns0:v>13</ns0:v>
      </ns0:c>
      <ns0:c r="L396" s="7" t="n">
        <ns0:v>23</ns0:v>
      </ns0:c>
      <ns0:c r="M396" s="7" t="n">
        <ns0:v>-226.2517077442535</ns0:v>
      </ns0:c>
      <ns0:c r="N396" s="7" t="n">
        <ns0:v>89786.68954837727</ns0:v>
      </ns0:c>
      <ns0:c r="O396" s="7" t="n">
        <ns0:v>185985.105664834</ns0:v>
      </ns0:c>
      <ns0:c r="P396" s="7" t="n">
        <ns0:v>426481.1459559759</ns0:v>
      </ns0:c>
      <ns0:c r="Q396" s="7" t="n">
        <ns0:v>1346465.307120543</ns0:v>
      </ns0:c>
      <ns0:c r="R396" s="7" t="n">
        <ns0:v>4643409.871196527</ns0:v>
      </ns0:c>
    </ns0:row>
    <ns0:row r="397" ht="24" customHeight="1">
      <ns0:c r="A397" s="3" t="inlineStr">
        <ns0:is>
          <ns0:t>セット</ns0:t>
        </ns0:is>
      </ns0:c>
      <ns0:c r="B397" s="3" t="inlineStr">
        <ns0:is>
          <ns0:t>G0基本5000比較</ns0:t>
        </ns0:is>
      </ns0:c>
      <ns0:c r="C397" s="3" t="inlineStr">
        <ns0:is>
          <ns0:t>D</ns0:t>
        </ns0:is>
      </ns0:c>
      <ns0:c r="D397" s="4" t="n">
        <ns0:v>1</ns0:v>
      </ns0:c>
      <ns0:c r="E397" s="4" t="n">
        <ns0:v>500</ns0:v>
      </ns0:c>
      <ns0:c r="F397" s="6" t="n">
        <ns0:v>0.4</ns0:v>
      </ns0:c>
      <ns0:c r="G397" s="4" t="n">
        <ns0:v>1</ns0:v>
      </ns0:c>
      <ns0:c r="H397" s="7" t="n">
        <ns0:v>9897.76536312849</ns0:v>
      </ns0:c>
      <ns0:c r="I397" s="7" t="n">
        <ns0:v>5852.513966480446</ns0:v>
      </ns0:c>
      <ns0:c r="J397" s="7" t="n">
        <ns0:v>2341.005586592179</ns0:v>
      </ns0:c>
      <ns0:c r="K397" s="7" t="n">
        <ns0:v>14</ns0:v>
      </ns0:c>
      <ns0:c r="L397" s="7" t="n">
        <ns0:v>31</ns0:v>
      </ns0:c>
      <ns0:c r="M397" s="7" t="n">
        <ns0:v>-4549.757912748326</ns0:v>
      </ns0:c>
      <ns0:c r="N397" s="7" t="n">
        <ns0:v>76816.17093336507</ns0:v>
      </ns0:c>
      <ns0:c r="O397" s="7" t="n">
        <ns0:v>164367.5746398137</ns0:v>
      </ns0:c>
      <ns0:c r="P397" s="7" t="n">
        <ns0:v>383246.0839059351</ns0:v>
      </ns0:c>
      <ns0:c r="Q397" s="7" t="n">
        <ns0:v>1216760.120970421</ns0:v>
      </ns0:c>
      <ns0:c r="R397" s="7" t="n">
        <ns0:v>4211059.250696121</ns0:v>
      </ns0:c>
    </ns0:row>
    <ns0:row r="398" ht="24" customHeight="1">
      <ns0:c r="A398" s="3" t="inlineStr">
        <ns0:is>
          <ns0:t>セット</ns0:t>
        </ns0:is>
      </ns0:c>
      <ns0:c r="B398" s="3" t="inlineStr">
        <ns0:is>
          <ns0:t>G0基本5000比較</ns0:t>
        </ns0:is>
      </ns0:c>
      <ns0:c r="C398" s="3" t="inlineStr">
        <ns0:is>
          <ns0:t>D</ns0:t>
        </ns0:is>
      </ns0:c>
      <ns0:c r="D398" s="4" t="n">
        <ns0:v>1</ns0:v>
      </ns0:c>
      <ns0:c r="E398" s="4" t="n">
        <ns0:v>500</ns0:v>
      </ns0:c>
      <ns0:c r="F398" s="6" t="n">
        <ns0:v>0.4</ns0:v>
      </ns0:c>
      <ns0:c r="G398" s="4" t="n">
        <ns0:v>2</ns0:v>
      </ns0:c>
      <ns0:c r="H398" s="7" t="n">
        <ns0:v>9897.76536312849</ns0:v>
      </ns0:c>
      <ns0:c r="I398" s="7" t="n">
        <ns0:v>5852.513966480446</ns0:v>
      </ns0:c>
      <ns0:c r="J398" s="7" t="n">
        <ns0:v>2341.005586592179</ns0:v>
      </ns0:c>
      <ns0:c r="K398" s="7" t="n">
        <ns0:v>135</ns0:v>
      </ns0:c>
      <ns0:c r="L398" s="18" t="inlineStr">
        <ns0:is>
          <ns0:t>範囲内なし</ns0:t>
        </ns0:is>
      </ns0:c>
      <ns0:c r="M398" s="7" t="n">
        <ns0:v>-41133.46187632158</ns0:v>
      </ns0:c>
      <ns0:c r="N398" s="7" t="n">
        <ns0:v>-32934.94095735473</ns0:v>
      </ns0:c>
      <ns0:c r="O398" s="7" t="n">
        <ns0:v>-18550.94517805261</ns0:v>
      </ns0:c>
      <ns0:c r="P398" s="7" t="n">
        <ns0:v>17409.04427020258</ns0:v>
      </ns0:c>
      <ns0:c r="Q398" s="7" t="n">
        <ns0:v>119249.0020632232</ns0:v>
      </ns0:c>
      <ns0:c r="R398" s="7" t="n">
        <ns0:v>552688.8543387949</ns0:v>
      </ns0:c>
    </ns0:row>
    <ns0:row r="399" ht="24" customHeight="1">
      <ns0:c r="A399" s="3" t="inlineStr">
        <ns0:is>
          <ns0:t>セット</ns0:t>
        </ns0:is>
      </ns0:c>
      <ns0:c r="B399" s="3" t="inlineStr">
        <ns0:is>
          <ns0:t>G0基本5000比較</ns0:t>
        </ns0:is>
      </ns0:c>
      <ns0:c r="C399" s="3" t="inlineStr">
        <ns0:is>
          <ns0:t>D</ns0:t>
        </ns0:is>
      </ns0:c>
      <ns0:c r="D399" s="4" t="n">
        <ns0:v>1</ns0:v>
      </ns0:c>
      <ns0:c r="E399" s="4" t="n">
        <ns0:v>500</ns0:v>
      </ns0:c>
      <ns0:c r="F399" s="6" t="n">
        <ns0:v>0.4</ns0:v>
      </ns0:c>
      <ns0:c r="G399" s="4" t="n">
        <ns0:v>3</ns0:v>
      </ns0:c>
      <ns0:c r="H399" s="7" t="n">
        <ns0:v>9897.76536312849</ns0:v>
      </ns0:c>
      <ns0:c r="I399" s="7" t="n">
        <ns0:v>5852.513966480446</ns0:v>
      </ns0:c>
      <ns0:c r="J399" s="7" t="n">
        <ns0:v>2341.005586592179</ns0:v>
      </ns0:c>
      <ns0:c r="K399" s="7" t="n">
        <ns0:v>16</ns0:v>
      </ns0:c>
      <ns0:c r="L399" s="7" t="n">
        <ns0:v>326</ns0:v>
      </ns0:c>
      <ns0:c r="M399" s="7" t="n">
        <ns0:v>-14012.26471328106</ns0:v>
      </ns0:c>
      <ns0:c r="N399" s="7" t="n">
        <ns0:v>48428.65053176686</ns0:v>
      </ns0:c>
      <ns0:c r="O399" s="7" t="n">
        <ns0:v>117055.04063715</ns0:v>
      </ns0:c>
      <ns0:c r="P399" s="7" t="n">
        <ns0:v>288621.0159006078</ns0:v>
      </ns0:c>
      <ns0:c r="Q399" s="7" t="n">
        <ns0:v>932884.9169544389</ns0:v>
      </ns0:c>
      <ns0:c r="R399" s="7" t="n">
        <ns0:v>3264808.570642847</ns0:v>
      </ns0:c>
    </ns0:row>
    <ns0:row r="400" ht="24" customHeight="1">
      <ns0:c r="A400" s="3" t="inlineStr">
        <ns0:is>
          <ns0:t>セット</ns0:t>
        </ns0:is>
      </ns0:c>
      <ns0:c r="B400" s="3" t="inlineStr">
        <ns0:is>
          <ns0:t>G0基本5000比較</ns0:t>
        </ns0:is>
      </ns0:c>
      <ns0:c r="C400" s="3" t="inlineStr">
        <ns0:is>
          <ns0:t>D</ns0:t>
        </ns0:is>
      </ns0:c>
      <ns0:c r="D400" s="4" t="n">
        <ns0:v>1</ns0:v>
      </ns0:c>
      <ns0:c r="E400" s="4" t="n">
        <ns0:v>500</ns0:v>
      </ns0:c>
      <ns0:c r="F400" s="6" t="n">
        <ns0:v>0.5</ns0:v>
      </ns0:c>
      <ns0:c r="G400" s="4" t="n">
        <ns0:v>0</ns0:v>
      </ns0:c>
      <ns0:c r="H400" s="7" t="n">
        <ns0:v>9897.76536312849</ns0:v>
      </ns0:c>
      <ns0:c r="I400" s="7" t="n">
        <ns0:v>5852.513966480446</ns0:v>
      </ns0:c>
      <ns0:c r="J400" s="7" t="n">
        <ns0:v>2926.256983240223</ns0:v>
      </ns0:c>
      <ns0:c r="K400" s="7" t="n">
        <ns0:v>14</ns0:v>
      </ns0:c>
      <ns0:c r="L400" s="7" t="n">
        <ns0:v>25</ns0:v>
      </ns0:c>
      <ns0:c r="M400" s="7" t="n">
        <ns0:v>-6078.765674224695</ns0:v>
      </ns0:c>
      <ns0:c r="N400" s="7" t="n">
        <ns0:v>72229.14764893593</ns0:v>
      </ns0:c>
      <ns0:c r="O400" s="7" t="n">
        <ns0:v>156722.5358324318</ns0:v>
      </ns0:c>
      <ns0:c r="P400" s="7" t="n">
        <ns0:v>367956.0062911714</ns0:v>
      </ns0:c>
      <ns0:c r="Q400" s="7" t="n">
        <ns0:v>1170889.88812613</ns0:v>
      </ns0:c>
      <ns0:c r="R400" s="7" t="n">
        <ns0:v>4058158.474548483</ns0:v>
      </ns0:c>
    </ns0:row>
    <ns0:row r="401" ht="24" customHeight="1">
      <ns0:c r="A401" s="3" t="inlineStr">
        <ns0:is>
          <ns0:t>セット</ns0:t>
        </ns0:is>
      </ns0:c>
      <ns0:c r="B401" s="3" t="inlineStr">
        <ns0:is>
          <ns0:t>G0基本5000比較</ns0:t>
        </ns0:is>
      </ns0:c>
      <ns0:c r="C401" s="3" t="inlineStr">
        <ns0:is>
          <ns0:t>D</ns0:t>
        </ns0:is>
      </ns0:c>
      <ns0:c r="D401" s="4" t="n">
        <ns0:v>1</ns0:v>
      </ns0:c>
      <ns0:c r="E401" s="4" t="n">
        <ns0:v>500</ns0:v>
      </ns0:c>
      <ns0:c r="F401" s="6" t="n">
        <ns0:v>0.5</ns0:v>
      </ns0:c>
      <ns0:c r="G401" s="4" t="n">
        <ns0:v>1</ns0:v>
      </ns0:c>
      <ns0:c r="H401" s="7" t="n">
        <ns0:v>9897.76536312849</ns0:v>
      </ns0:c>
      <ns0:c r="I401" s="7" t="n">
        <ns0:v>5852.513966480446</ns0:v>
      </ns0:c>
      <ns0:c r="J401" s="7" t="n">
        <ns0:v>2926.256983240223</ns0:v>
      </ns0:c>
      <ns0:c r="K401" s="7" t="n">
        <ns0:v>15</ns0:v>
      </ns0:c>
      <ns0:c r="L401" s="7" t="n">
        <ns0:v>35</ns0:v>
      </ns0:c>
      <ns0:c r="M401" s="7" t="n">
        <ns0:v>-10402.27187922876</ns0:v>
      </ns0:c>
      <ns0:c r="N401" s="7" t="n">
        <ns0:v>59258.62903392372</ns0:v>
      </ns0:c>
      <ns0:c r="O401" s="7" t="n">
        <ns0:v>135105.0048074114</ns0:v>
      </ns0:c>
      <ns0:c r="P401" s="7" t="n">
        <ns0:v>324720.9442411307</ns0:v>
      </ns0:c>
      <ns0:c r="Q401" s="7" t="n">
        <ns0:v>1041184.701976007</ns0:v>
      </ns0:c>
      <ns0:c r="R401" s="7" t="n">
        <ns0:v>3625807.854048076</ns0:v>
      </ns0:c>
    </ns0:row>
    <ns0:row r="402" ht="24" customHeight="1">
      <ns0:c r="A402" s="3" t="inlineStr">
        <ns0:is>
          <ns0:t>セット</ns0:t>
        </ns0:is>
      </ns0:c>
      <ns0:c r="B402" s="3" t="inlineStr">
        <ns0:is>
          <ns0:t>G0基本5000比較</ns0:t>
        </ns0:is>
      </ns0:c>
      <ns0:c r="C402" s="3" t="inlineStr">
        <ns0:is>
          <ns0:t>D</ns0:t>
        </ns0:is>
      </ns0:c>
      <ns0:c r="D402" s="4" t="n">
        <ns0:v>1</ns0:v>
      </ns0:c>
      <ns0:c r="E402" s="4" t="n">
        <ns0:v>500</ns0:v>
      </ns0:c>
      <ns0:c r="F402" s="6" t="n">
        <ns0:v>0.5</ns0:v>
      </ns0:c>
      <ns0:c r="G402" s="4" t="n">
        <ns0:v>2</ns0:v>
      </ns0:c>
      <ns0:c r="H402" s="7" t="n">
        <ns0:v>9897.76536312849</ns0:v>
      </ns0:c>
      <ns0:c r="I402" s="7" t="n">
        <ns0:v>5852.513966480446</ns0:v>
      </ns0:c>
      <ns0:c r="J402" s="7" t="n">
        <ns0:v>2926.256983240223</ns0:v>
      </ns0:c>
      <ns0:c r="K402" s="18" t="inlineStr">
        <ns0:is>
          <ns0:t>範囲内なし</ns0:t>
        </ns0:is>
      </ns0:c>
      <ns0:c r="L402" s="18" t="inlineStr">
        <ns0:is>
          <ns0:t>範囲内なし</ns0:t>
        </ns0:is>
      </ns0:c>
      <ns0:c r="M402" s="7" t="n">
        <ns0:v>-46985.97584280202</ns0:v>
      </ns0:c>
      <ns0:c r="N402" s="7" t="n">
        <ns0:v>-50492.48285679606</ns0:v>
      </ns0:c>
      <ns0:c r="O402" s="7" t="n">
        <ns0:v>-47813.51501045488</ns0:v>
      </ns0:c>
      <ns0:c r="P402" s="7" t="n">
        <ns0:v>-41116.09539460196</ns0:v>
      </ns0:c>
      <ns0:c r="Q402" s="7" t="n">
        <ns0:v>-56326.4169311903</ns0:v>
      </ns0:c>
      <ns0:c r="R402" s="7" t="n">
        <ns0:v>-32562.54230924975</ns0:v>
      </ns0:c>
    </ns0:row>
    <ns0:row r="403" ht="24" customHeight="1">
      <ns0:c r="A403" s="3" t="inlineStr">
        <ns0:is>
          <ns0:t>セット</ns0:t>
        </ns0:is>
      </ns0:c>
      <ns0:c r="B403" s="3" t="inlineStr">
        <ns0:is>
          <ns0:t>G0基本5000比較</ns0:t>
        </ns0:is>
      </ns0:c>
      <ns0:c r="C403" s="3" t="inlineStr">
        <ns0:is>
          <ns0:t>D</ns0:t>
        </ns0:is>
      </ns0:c>
      <ns0:c r="D403" s="4" t="n">
        <ns0:v>1</ns0:v>
      </ns0:c>
      <ns0:c r="E403" s="4" t="n">
        <ns0:v>500</ns0:v>
      </ns0:c>
      <ns0:c r="F403" s="6" t="n">
        <ns0:v>0.5</ns0:v>
      </ns0:c>
      <ns0:c r="G403" s="4" t="n">
        <ns0:v>3</ns0:v>
      </ns0:c>
      <ns0:c r="H403" s="7" t="n">
        <ns0:v>9897.76536312849</ns0:v>
      </ns0:c>
      <ns0:c r="I403" s="7" t="n">
        <ns0:v>5852.513966480446</ns0:v>
      </ns0:c>
      <ns0:c r="J403" s="7" t="n">
        <ns0:v>2926.256983240223</ns0:v>
      </ns0:c>
      <ns0:c r="K403" s="7" t="n">
        <ns0:v>20</ns0:v>
      </ns0:c>
      <ns0:c r="L403" s="18" t="inlineStr">
        <ns0:is>
          <ns0:t>範囲内なし</ns0:t>
        </ns0:is>
      </ns0:c>
      <ns0:c r="M403" s="7" t="n">
        <ns0:v>-19864.7786797615</ns0:v>
      </ns0:c>
      <ns0:c r="N403" s="7" t="n">
        <ns0:v>30871.10863232551</ns0:v>
      </ns0:c>
      <ns0:c r="O403" s="7" t="n">
        <ns0:v>87792.47080474775</ns0:v>
      </ns0:c>
      <ns0:c r="P403" s="7" t="n">
        <ns0:v>230095.8762358033</ns0:v>
      </ns0:c>
      <ns0:c r="Q403" s="7" t="n">
        <ns0:v>757309.4979600254</ns0:v>
      </ns0:c>
      <ns0:c r="R403" s="7" t="n">
        <ns0:v>2679557.173994803</ns0:v>
      </ns0:c>
    </ns0:row>
    <ns0:row r="404" ht="24" customHeight="1">
      <ns0:c r="A404" s="3" t="inlineStr">
        <ns0:is>
          <ns0:t>セット</ns0:t>
        </ns0:is>
      </ns0:c>
      <ns0:c r="B404" s="3" t="inlineStr">
        <ns0:is>
          <ns0:t>G0基本5000比較</ns0:t>
        </ns0:is>
      </ns0:c>
      <ns0:c r="C404" s="3" t="inlineStr">
        <ns0:is>
          <ns0:t>D</ns0:t>
        </ns0:is>
      </ns0:c>
      <ns0:c r="D404" s="4" t="n">
        <ns0:v>1</ns0:v>
      </ns0:c>
      <ns0:c r="E404" s="4" t="n">
        <ns0:v>1000</ns0:v>
      </ns0:c>
      <ns0:c r="F404" s="6" t="n">
        <ns0:v>0.3</ns0:v>
      </ns0:c>
      <ns0:c r="G404" s="4" t="n">
        <ns0:v>0</ns0:v>
      </ns0:c>
      <ns0:c r="H404" s="7" t="n">
        <ns0:v>9397.76536312849</ns0:v>
      </ns0:c>
      <ns0:c r="I404" s="7" t="n">
        <ns0:v>5352.513966480446</ns0:v>
      </ns0:c>
      <ns0:c r="J404" s="7" t="n">
        <ns0:v>1605.754189944134</ns0:v>
      </ns0:c>
      <ns0:c r="K404" s="7" t="n">
        <ns0:v>12</ns0:v>
      </ns0:c>
      <ns0:c r="L404" s="7" t="n">
        <ns0:v>22</ns0:v>
      </ns0:c>
      <ns0:c r="M404" s="7" t="n">
        <ns0:v>2306.262258736198</ns0:v>
      </ns0:c>
      <ns0:c r="N404" s="7" t="n">
        <ns0:v>97384.2314478186</ns0:v>
      </ns0:c>
      <ns0:c r="O404" s="7" t="n">
        <ns0:v>198647.6754972362</ns0:v>
      </ns0:c>
      <ns0:c r="P404" s="7" t="n">
        <ns0:v>451806.2856207802</ns0:v>
      </ns0:c>
      <ns0:c r="Q404" s="7" t="n">
        <ns0:v>1422440.726114956</ns0:v>
      </ns0:c>
      <ns0:c r="R404" s="7" t="n">
        <ns0:v>4896661.267844573</ns0:v>
      </ns0:c>
    </ns0:row>
    <ns0:row r="405" ht="24" customHeight="1">
      <ns0:c r="A405" s="3" t="inlineStr">
        <ns0:is>
          <ns0:t>セット</ns0:t>
        </ns0:is>
      </ns0:c>
      <ns0:c r="B405" s="3" t="inlineStr">
        <ns0:is>
          <ns0:t>G0基本5000比較</ns0:t>
        </ns0:is>
      </ns0:c>
      <ns0:c r="C405" s="3" t="inlineStr">
        <ns0:is>
          <ns0:t>D</ns0:t>
        </ns0:is>
      </ns0:c>
      <ns0:c r="D405" s="4" t="n">
        <ns0:v>1</ns0:v>
      </ns0:c>
      <ns0:c r="E405" s="4" t="n">
        <ns0:v>1000</ns0:v>
      </ns0:c>
      <ns0:c r="F405" s="6" t="n">
        <ns0:v>0.3</ns0:v>
      </ns0:c>
      <ns0:c r="G405" s="4" t="n">
        <ns0:v>1</ns0:v>
      </ns0:c>
      <ns0:c r="H405" s="7" t="n">
        <ns0:v>9397.76536312849</ns0:v>
      </ns0:c>
      <ns0:c r="I405" s="7" t="n">
        <ns0:v>5352.513966480446</ns0:v>
      </ns0:c>
      <ns0:c r="J405" s="7" t="n">
        <ns0:v>1605.754189944134</ns0:v>
      </ns0:c>
      <ns0:c r="K405" s="7" t="n">
        <ns0:v>13</ns0:v>
      </ns0:c>
      <ns0:c r="L405" s="7" t="n">
        <ns0:v>30</ns0:v>
      </ns0:c>
      <ns0:c r="M405" s="7" t="n">
        <ns0:v>-2017.243946267874</ns0:v>
      </ns0:c>
      <ns0:c r="N405" s="7" t="n">
        <ns0:v>84413.7128328064</ns0:v>
      </ns0:c>
      <ns0:c r="O405" s="7" t="n">
        <ns0:v>177030.1444722158</ns0:v>
      </ns0:c>
      <ns0:c r="P405" s="7" t="n">
        <ns0:v>408571.2235707395</ns0:v>
      </ns0:c>
      <ns0:c r="Q405" s="7" t="n">
        <ns0:v>1292735.539964834</ns0:v>
      </ns0:c>
      <ns0:c r="R405" s="7" t="n">
        <ns0:v>4464310.647344166</ns0:v>
      </ns0:c>
    </ns0:row>
    <ns0:row r="406" ht="24" customHeight="1">
      <ns0:c r="A406" s="3" t="inlineStr">
        <ns0:is>
          <ns0:t>セット</ns0:t>
        </ns0:is>
      </ns0:c>
      <ns0:c r="B406" s="3" t="inlineStr">
        <ns0:is>
          <ns0:t>G0基本5000比較</ns0:t>
        </ns0:is>
      </ns0:c>
      <ns0:c r="C406" s="3" t="inlineStr">
        <ns0:is>
          <ns0:t>D</ns0:t>
        </ns0:is>
      </ns0:c>
      <ns0:c r="D406" s="4" t="n">
        <ns0:v>1</ns0:v>
      </ns0:c>
      <ns0:c r="E406" s="4" t="n">
        <ns0:v>1000</ns0:v>
      </ns0:c>
      <ns0:c r="F406" s="6" t="n">
        <ns0:v>0.3</ns0:v>
      </ns0:c>
      <ns0:c r="G406" s="4" t="n">
        <ns0:v>2</ns0:v>
      </ns0:c>
      <ns0:c r="H406" s="7" t="n">
        <ns0:v>9397.76536312849</ns0:v>
      </ns0:c>
      <ns0:c r="I406" s="7" t="n">
        <ns0:v>5352.513966480446</ns0:v>
      </ns0:c>
      <ns0:c r="J406" s="7" t="n">
        <ns0:v>1605.754189944134</ns0:v>
      </ns0:c>
      <ns0:c r="K406" s="7" t="n">
        <ns0:v>57</ns0:v>
      </ns0:c>
      <ns0:c r="L406" s="18" t="inlineStr">
        <ns0:is>
          <ns0:t>範囲内なし</ns0:t>
        </ns0:is>
      </ns0:c>
      <ns0:c r="M406" s="7" t="n">
        <ns0:v>-38600.94790984113</ns0:v>
      </ns0:c>
      <ns0:c r="N406" s="7" t="n">
        <ns0:v>-25337.3990579134</ns0:v>
      </ns0:c>
      <ns0:c r="O406" s="7" t="n">
        <ns0:v>-5888.37534565042</ns0:v>
      </ns0:c>
      <ns0:c r="P406" s="7" t="n">
        <ns0:v>42734.18393500696</ns0:v>
      </ns0:c>
      <ns0:c r="Q406" s="7" t="n">
        <ns0:v>195224.4210576364</ns0:v>
      </ns0:c>
      <ns0:c r="R406" s="7" t="n">
        <ns0:v>805940.2509868406</ns0:v>
      </ns0:c>
    </ns0:row>
    <ns0:row r="407" ht="24" customHeight="1">
      <ns0:c r="A407" s="3" t="inlineStr">
        <ns0:is>
          <ns0:t>セット</ns0:t>
        </ns0:is>
      </ns0:c>
      <ns0:c r="B407" s="3" t="inlineStr">
        <ns0:is>
          <ns0:t>G0基本5000比較</ns0:t>
        </ns0:is>
      </ns0:c>
      <ns0:c r="C407" s="3" t="inlineStr">
        <ns0:is>
          <ns0:t>D</ns0:t>
        </ns0:is>
      </ns0:c>
      <ns0:c r="D407" s="4" t="n">
        <ns0:v>1</ns0:v>
      </ns0:c>
      <ns0:c r="E407" s="4" t="n">
        <ns0:v>1000</ns0:v>
      </ns0:c>
      <ns0:c r="F407" s="6" t="n">
        <ns0:v>0.3</ns0:v>
      </ns0:c>
      <ns0:c r="G407" s="4" t="n">
        <ns0:v>3</ns0:v>
      </ns0:c>
      <ns0:c r="H407" s="7" t="n">
        <ns0:v>9397.76536312849</ns0:v>
      </ns0:c>
      <ns0:c r="I407" s="7" t="n">
        <ns0:v>5352.513966480446</ns0:v>
      </ns0:c>
      <ns0:c r="J407" s="7" t="n">
        <ns0:v>1605.754189944134</ns0:v>
      </ns0:c>
      <ns0:c r="K407" s="7" t="n">
        <ns0:v>16</ns0:v>
      </ns0:c>
      <ns0:c r="L407" s="7" t="n">
        <ns0:v>248</ns0:v>
      </ns0:c>
      <ns0:c r="M407" s="7" t="n">
        <ns0:v>-11479.75074680061</ns0:v>
      </ns0:c>
      <ns0:c r="N407" s="7" t="n">
        <ns0:v>56026.1924312082</ns0:v>
      </ns0:c>
      <ns0:c r="O407" s="7" t="n">
        <ns0:v>129717.6104695522</ns0:v>
      </ns0:c>
      <ns0:c r="P407" s="7" t="n">
        <ns0:v>313946.1555654122</ns0:v>
      </ns0:c>
      <ns0:c r="Q407" s="7" t="n">
        <ns0:v>1008860.335948852</ns0:v>
      </ns0:c>
      <ns0:c r="R407" s="7" t="n">
        <ns0:v>3518059.967290893</ns0:v>
      </ns0:c>
    </ns0:row>
    <ns0:row r="408" ht="24" customHeight="1">
      <ns0:c r="A408" s="3" t="inlineStr">
        <ns0:is>
          <ns0:t>セット</ns0:t>
        </ns0:is>
      </ns0:c>
      <ns0:c r="B408" s="3" t="inlineStr">
        <ns0:is>
          <ns0:t>G0基本5000比較</ns0:t>
        </ns0:is>
      </ns0:c>
      <ns0:c r="C408" s="3" t="inlineStr">
        <ns0:is>
          <ns0:t>D</ns0:t>
        </ns0:is>
      </ns0:c>
      <ns0:c r="D408" s="4" t="n">
        <ns0:v>1</ns0:v>
      </ns0:c>
      <ns0:c r="E408" s="4" t="n">
        <ns0:v>1000</ns0:v>
      </ns0:c>
      <ns0:c r="F408" s="6" t="n">
        <ns0:v>0.4</ns0:v>
      </ns0:c>
      <ns0:c r="G408" s="4" t="n">
        <ns0:v>0</ns0:v>
      </ns0:c>
      <ns0:c r="H408" s="7" t="n">
        <ns0:v>9397.76536312849</ns0:v>
      </ns0:c>
      <ns0:c r="I408" s="7" t="n">
        <ns0:v>5352.513966480446</ns0:v>
      </ns0:c>
      <ns0:c r="J408" s="7" t="n">
        <ns0:v>2141.005586592179</ns0:v>
      </ns0:c>
      <ns0:c r="K408" s="7" t="n">
        <ns0:v>13</ns0:v>
      </ns0:c>
      <ns0:c r="L408" s="7" t="n">
        <ns0:v>24</ns0:v>
      </ns0:c>
      <ns0:c r="M408" s="7" t="n">
        <ns0:v>-3046.251707744243</ns0:v>
      </ns0:c>
      <ns0:c r="N408" s="7" t="n">
        <ns0:v>81326.68954837727</ns0:v>
      </ns0:c>
      <ns0:c r="O408" s="7" t="n">
        <ns0:v>171885.105664834</ns0:v>
      </ns0:c>
      <ns0:c r="P408" s="7" t="n">
        <ns0:v>398281.1459559757</ns0:v>
      </ns0:c>
      <ns0:c r="Q408" s="7" t="n">
        <ns0:v>1261865.307120543</ns0:v>
      </ns0:c>
      <ns0:c r="R408" s="7" t="n">
        <ns0:v>4361409.871196529</ns0:v>
      </ns0:c>
    </ns0:row>
    <ns0:row r="409" ht="24" customHeight="1">
      <ns0:c r="A409" s="3" t="inlineStr">
        <ns0:is>
          <ns0:t>セット</ns0:t>
        </ns0:is>
      </ns0:c>
      <ns0:c r="B409" s="3" t="inlineStr">
        <ns0:is>
          <ns0:t>G0基本5000比較</ns0:t>
        </ns0:is>
      </ns0:c>
      <ns0:c r="C409" s="3" t="inlineStr">
        <ns0:is>
          <ns0:t>D</ns0:t>
        </ns0:is>
      </ns0:c>
      <ns0:c r="D409" s="4" t="n">
        <ns0:v>1</ns0:v>
      </ns0:c>
      <ns0:c r="E409" s="4" t="n">
        <ns0:v>1000</ns0:v>
      </ns0:c>
      <ns0:c r="F409" s="6" t="n">
        <ns0:v>0.4</ns0:v>
      </ns0:c>
      <ns0:c r="G409" s="4" t="n">
        <ns0:v>1</ns0:v>
      </ns0:c>
      <ns0:c r="H409" s="7" t="n">
        <ns0:v>9397.76536312849</ns0:v>
      </ns0:c>
      <ns0:c r="I409" s="7" t="n">
        <ns0:v>5352.513966480446</ns0:v>
      </ns0:c>
      <ns0:c r="J409" s="7" t="n">
        <ns0:v>2141.005586592179</ns0:v>
      </ns0:c>
      <ns0:c r="K409" s="7" t="n">
        <ns0:v>14</ns0:v>
      </ns0:c>
      <ns0:c r="L409" s="7" t="n">
        <ns0:v>33</ns0:v>
      </ns0:c>
      <ns0:c r="M409" s="7" t="n">
        <ns0:v>-7369.757912748311</ns0:v>
      </ns0:c>
      <ns0:c r="N409" s="7" t="n">
        <ns0:v>68356.17093336507</ns0:v>
      </ns0:c>
      <ns0:c r="O409" s="7" t="n">
        <ns0:v>150267.5746398136</ns0:v>
      </ns0:c>
      <ns0:c r="P409" s="7" t="n">
        <ns0:v>355046.0839059351</ns0:v>
      </ns0:c>
      <ns0:c r="Q409" s="7" t="n">
        <ns0:v>1132160.120970421</ns0:v>
      </ns0:c>
      <ns0:c r="R409" s="7" t="n">
        <ns0:v>3929059.250696121</ns0:v>
      </ns0:c>
    </ns0:row>
    <ns0:row r="410" ht="24" customHeight="1">
      <ns0:c r="A410" s="3" t="inlineStr">
        <ns0:is>
          <ns0:t>セット</ns0:t>
        </ns0:is>
      </ns0:c>
      <ns0:c r="B410" s="3" t="inlineStr">
        <ns0:is>
          <ns0:t>G0基本5000比較</ns0:t>
        </ns0:is>
      </ns0:c>
      <ns0:c r="C410" s="3" t="inlineStr">
        <ns0:is>
          <ns0:t>D</ns0:t>
        </ns0:is>
      </ns0:c>
      <ns0:c r="D410" s="4" t="n">
        <ns0:v>1</ns0:v>
      </ns0:c>
      <ns0:c r="E410" s="4" t="n">
        <ns0:v>1000</ns0:v>
      </ns0:c>
      <ns0:c r="F410" s="6" t="n">
        <ns0:v>0.4</ns0:v>
      </ns0:c>
      <ns0:c r="G410" s="4" t="n">
        <ns0:v>2</ns0:v>
      </ns0:c>
      <ns0:c r="H410" s="7" t="n">
        <ns0:v>9397.76536312849</ns0:v>
      </ns0:c>
      <ns0:c r="I410" s="7" t="n">
        <ns0:v>5352.513966480446</ns0:v>
      </ns0:c>
      <ns0:c r="J410" s="7" t="n">
        <ns0:v>2141.005586592179</ns0:v>
      </ns0:c>
      <ns0:c r="K410" s="7" t="n">
        <ns0:v>221</ns0:v>
      </ns0:c>
      <ns0:c r="L410" s="18" t="inlineStr">
        <ns0:is>
          <ns0:t>範囲内なし</ns0:t>
        </ns0:is>
      </ns0:c>
      <ns0:c r="M410" s="7" t="n">
        <ns0:v>-43953.46187632157</ns0:v>
      </ns0:c>
      <ns0:c r="N410" s="7" t="n">
        <ns0:v>-41394.94095735473</ns0:v>
      </ns0:c>
      <ns0:c r="O410" s="7" t="n">
        <ns0:v>-32650.94517805264</ns0:v>
      </ns0:c>
      <ns0:c r="P410" s="7" t="n">
        <ns0:v>-10790.95572979748</ns0:v>
      </ns0:c>
      <ns0:c r="Q410" s="7" t="n">
        <ns0:v>34649.00206322293</ns0:v>
      </ns0:c>
      <ns0:c r="R410" s="7" t="n">
        <ns0:v>270688.8543387959</ns0:v>
      </ns0:c>
    </ns0:row>
    <ns0:row r="411" ht="24" customHeight="1">
      <ns0:c r="A411" s="3" t="inlineStr">
        <ns0:is>
          <ns0:t>セット</ns0:t>
        </ns0:is>
      </ns0:c>
      <ns0:c r="B411" s="3" t="inlineStr">
        <ns0:is>
          <ns0:t>G0基本5000比較</ns0:t>
        </ns0:is>
      </ns0:c>
      <ns0:c r="C411" s="3" t="inlineStr">
        <ns0:is>
          <ns0:t>D</ns0:t>
        </ns0:is>
      </ns0:c>
      <ns0:c r="D411" s="4" t="n">
        <ns0:v>1</ns0:v>
      </ns0:c>
      <ns0:c r="E411" s="4" t="n">
        <ns0:v>1000</ns0:v>
      </ns0:c>
      <ns0:c r="F411" s="6" t="n">
        <ns0:v>0.4</ns0:v>
      </ns0:c>
      <ns0:c r="G411" s="4" t="n">
        <ns0:v>3</ns0:v>
      </ns0:c>
      <ns0:c r="H411" s="7" t="n">
        <ns0:v>9397.76536312849</ns0:v>
      </ns0:c>
      <ns0:c r="I411" s="7" t="n">
        <ns0:v>5352.513966480446</ns0:v>
      </ns0:c>
      <ns0:c r="J411" s="7" t="n">
        <ns0:v>2141.005586592179</ns0:v>
      </ns0:c>
      <ns0:c r="K411" s="7" t="n">
        <ns0:v>18</ns0:v>
      </ns0:c>
      <ns0:c r="L411" s="7" t="n">
        <ns0:v>757</ns0:v>
      </ns0:c>
      <ns0:c r="M411" s="7" t="n">
        <ns0:v>-16832.26471328105</ns0:v>
      </ns0:c>
      <ns0:c r="N411" s="7" t="n">
        <ns0:v>39968.65053176687</ns0:v>
      </ns0:c>
      <ns0:c r="O411" s="7" t="n">
        <ns0:v>102955.04063715</ns0:v>
      </ns0:c>
      <ns0:c r="P411" s="7" t="n">
        <ns0:v>260421.0159006077</ns0:v>
      </ns0:c>
      <ns0:c r="Q411" s="7" t="n">
        <ns0:v>848284.9169544387</ns0:v>
      </ns0:c>
      <ns0:c r="R411" s="7" t="n">
        <ns0:v>2982808.570642848</ns0:v>
      </ns0:c>
    </ns0:row>
    <ns0:row r="412" ht="24" customHeight="1">
      <ns0:c r="A412" s="3" t="inlineStr">
        <ns0:is>
          <ns0:t>セット</ns0:t>
        </ns0:is>
      </ns0:c>
      <ns0:c r="B412" s="3" t="inlineStr">
        <ns0:is>
          <ns0:t>G0基本5000比較</ns0:t>
        </ns0:is>
      </ns0:c>
      <ns0:c r="C412" s="3" t="inlineStr">
        <ns0:is>
          <ns0:t>D</ns0:t>
        </ns0:is>
      </ns0:c>
      <ns0:c r="D412" s="4" t="n">
        <ns0:v>1</ns0:v>
      </ns0:c>
      <ns0:c r="E412" s="4" t="n">
        <ns0:v>1000</ns0:v>
      </ns0:c>
      <ns0:c r="F412" s="6" t="n">
        <ns0:v>0.5</ns0:v>
      </ns0:c>
      <ns0:c r="G412" s="4" t="n">
        <ns0:v>0</ns0:v>
      </ns0:c>
      <ns0:c r="H412" s="7" t="n">
        <ns0:v>9397.76536312849</ns0:v>
      </ns0:c>
      <ns0:c r="I412" s="7" t="n">
        <ns0:v>5352.513966480446</ns0:v>
      </ns0:c>
      <ns0:c r="J412" s="7" t="n">
        <ns0:v>2676.256983240223</ns0:v>
      </ns0:c>
      <ns0:c r="K412" s="7" t="n">
        <ns0:v>15</ns0:v>
      </ns0:c>
      <ns0:c r="L412" s="7" t="n">
        <ns0:v>26</ns0:v>
      </ns0:c>
      <ns0:c r="M412" s="7" t="n">
        <ns0:v>-8398.765674224691</ns0:v>
      </ns0:c>
      <ns0:c r="N412" s="7" t="n">
        <ns0:v>65269.14764893595</ns0:v>
      </ns0:c>
      <ns0:c r="O412" s="7" t="n">
        <ns0:v>145122.5358324318</ns0:v>
      </ns0:c>
      <ns0:c r="P412" s="7" t="n">
        <ns0:v>344756.0062911713</ns0:v>
      </ns0:c>
      <ns0:c r="Q412" s="7" t="n">
        <ns0:v>1101289.888126129</ns0:v>
      </ns0:c>
      <ns0:c r="R412" s="7" t="n">
        <ns0:v>3826158.474548484</ns0:v>
      </ns0:c>
    </ns0:row>
    <ns0:row r="413" ht="24" customHeight="1">
      <ns0:c r="A413" s="3" t="inlineStr">
        <ns0:is>
          <ns0:t>セット</ns0:t>
        </ns0:is>
      </ns0:c>
      <ns0:c r="B413" s="3" t="inlineStr">
        <ns0:is>
          <ns0:t>G0基本5000比較</ns0:t>
        </ns0:is>
      </ns0:c>
      <ns0:c r="C413" s="3" t="inlineStr">
        <ns0:is>
          <ns0:t>D</ns0:t>
        </ns0:is>
      </ns0:c>
      <ns0:c r="D413" s="4" t="n">
        <ns0:v>1</ns0:v>
      </ns0:c>
      <ns0:c r="E413" s="4" t="n">
        <ns0:v>1000</ns0:v>
      </ns0:c>
      <ns0:c r="F413" s="6" t="n">
        <ns0:v>0.5</ns0:v>
      </ns0:c>
      <ns0:c r="G413" s="4" t="n">
        <ns0:v>1</ns0:v>
      </ns0:c>
      <ns0:c r="H413" s="7" t="n">
        <ns0:v>9397.76536312849</ns0:v>
      </ns0:c>
      <ns0:c r="I413" s="7" t="n">
        <ns0:v>5352.513966480446</ns0:v>
      </ns0:c>
      <ns0:c r="J413" s="7" t="n">
        <ns0:v>2676.256983240223</ns0:v>
      </ns0:c>
      <ns0:c r="K413" s="7" t="n">
        <ns0:v>16</ns0:v>
      </ns0:c>
      <ns0:c r="L413" s="7" t="n">
        <ns0:v>37</ns0:v>
      </ns0:c>
      <ns0:c r="M413" s="7" t="n">
        <ns0:v>-12722.27187922876</ns0:v>
      </ns0:c>
      <ns0:c r="N413" s="7" t="n">
        <ns0:v>52298.62903392375</ns0:v>
      </ns0:c>
      <ns0:c r="O413" s="7" t="n">
        <ns0:v>123505.0048074114</ns0:v>
      </ns0:c>
      <ns0:c r="P413" s="7" t="n">
        <ns0:v>301520.9442411306</ns0:v>
      </ns0:c>
      <ns0:c r="Q413" s="7" t="n">
        <ns0:v>971584.7019760071</ns0:v>
      </ns0:c>
      <ns0:c r="R413" s="7" t="n">
        <ns0:v>3393807.854048077</ns0:v>
      </ns0:c>
    </ns0:row>
    <ns0:row r="414" ht="24" customHeight="1">
      <ns0:c r="A414" s="3" t="inlineStr">
        <ns0:is>
          <ns0:t>セット</ns0:t>
        </ns0:is>
      </ns0:c>
      <ns0:c r="B414" s="3" t="inlineStr">
        <ns0:is>
          <ns0:t>G0基本5000比較</ns0:t>
        </ns0:is>
      </ns0:c>
      <ns0:c r="C414" s="3" t="inlineStr">
        <ns0:is>
          <ns0:t>D</ns0:t>
        </ns0:is>
      </ns0:c>
      <ns0:c r="D414" s="4" t="n">
        <ns0:v>1</ns0:v>
      </ns0:c>
      <ns0:c r="E414" s="4" t="n">
        <ns0:v>1000</ns0:v>
      </ns0:c>
      <ns0:c r="F414" s="6" t="n">
        <ns0:v>0.5</ns0:v>
      </ns0:c>
      <ns0:c r="G414" s="4" t="n">
        <ns0:v>2</ns0:v>
      </ns0:c>
      <ns0:c r="H414" s="7" t="n">
        <ns0:v>9397.76536312849</ns0:v>
      </ns0:c>
      <ns0:c r="I414" s="7" t="n">
        <ns0:v>5352.513966480446</ns0:v>
      </ns0:c>
      <ns0:c r="J414" s="7" t="n">
        <ns0:v>2676.256983240223</ns0:v>
      </ns0:c>
      <ns0:c r="K414" s="18" t="inlineStr">
        <ns0:is>
          <ns0:t>範囲内なし</ns0:t>
        </ns0:is>
      </ns0:c>
      <ns0:c r="L414" s="18" t="inlineStr">
        <ns0:is>
          <ns0:t>範囲内なし</ns0:t>
        </ns0:is>
      </ns0:c>
      <ns0:c r="M414" s="7" t="n">
        <ns0:v>-49305.97584280202</ns0:v>
      </ns0:c>
      <ns0:c r="N414" s="7" t="n">
        <ns0:v>-57452.48285679606</ns0:v>
      </ns0:c>
      <ns0:c r="O414" s="7" t="n">
        <ns0:v>-59413.51501045488</ns0:v>
      </ns0:c>
      <ns0:c r="P414" s="7" t="n">
        <ns0:v>-64316.09539460196</ns0:v>
      </ns0:c>
      <ns0:c r="Q414" s="7" t="n">
        <ns0:v>-125926.4169311905</ns0:v>
      </ns0:c>
      <ns0:c r="R414" s="7" t="n">
        <ns0:v>-264562.5423092488</ns0:v>
      </ns0:c>
    </ns0:row>
    <ns0:row r="415" ht="24" customHeight="1">
      <ns0:c r="A415" s="3" t="inlineStr">
        <ns0:is>
          <ns0:t>セット</ns0:t>
        </ns0:is>
      </ns0:c>
      <ns0:c r="B415" s="3" t="inlineStr">
        <ns0:is>
          <ns0:t>G0基本5000比較</ns0:t>
        </ns0:is>
      </ns0:c>
      <ns0:c r="C415" s="3" t="inlineStr">
        <ns0:is>
          <ns0:t>D</ns0:t>
        </ns0:is>
      </ns0:c>
      <ns0:c r="D415" s="4" t="n">
        <ns0:v>1</ns0:v>
      </ns0:c>
      <ns0:c r="E415" s="4" t="n">
        <ns0:v>1000</ns0:v>
      </ns0:c>
      <ns0:c r="F415" s="6" t="n">
        <ns0:v>0.5</ns0:v>
      </ns0:c>
      <ns0:c r="G415" s="4" t="n">
        <ns0:v>3</ns0:v>
      </ns0:c>
      <ns0:c r="H415" s="7" t="n">
        <ns0:v>9397.76536312849</ns0:v>
      </ns0:c>
      <ns0:c r="I415" s="7" t="n">
        <ns0:v>5352.513966480446</ns0:v>
      </ns0:c>
      <ns0:c r="J415" s="7" t="n">
        <ns0:v>2676.256983240223</ns0:v>
      </ns0:c>
      <ns0:c r="K415" s="7" t="n">
        <ns0:v>21</ns0:v>
      </ns0:c>
      <ns0:c r="L415" s="18" t="inlineStr">
        <ns0:is>
          <ns0:t>範囲内なし</ns0:t>
        </ns0:is>
      </ns0:c>
      <ns0:c r="M415" s="7" t="n">
        <ns0:v>-22184.7786797615</ns0:v>
      </ns0:c>
      <ns0:c r="N415" s="7" t="n">
        <ns0:v>23911.10863232554</ns0:v>
      </ns0:c>
      <ns0:c r="O415" s="7" t="n">
        <ns0:v>76192.47080474775</ns0:v>
      </ns0:c>
      <ns0:c r="P415" s="7" t="n">
        <ns0:v>206895.8762358033</ns0:v>
      </ns0:c>
      <ns0:c r="Q415" s="7" t="n">
        <ns0:v>687709.4979600252</ns0:v>
      </ns0:c>
      <ns0:c r="R415" s="7" t="n">
        <ns0:v>2447557.173994804</ns0:v>
      </ns0:c>
    </ns0:row>
    <ns0:row r="416" ht="24" customHeight="1">
      <ns0:c r="A416" s="3" t="inlineStr">
        <ns0:is>
          <ns0:t>セット</ns0:t>
        </ns0:is>
      </ns0:c>
      <ns0:c r="B416" s="3" t="inlineStr">
        <ns0:is>
          <ns0:t>G0基本5000比較</ns0:t>
        </ns0:is>
      </ns0:c>
      <ns0:c r="C416" s="3" t="inlineStr">
        <ns0:is>
          <ns0:t>D</ns0:t>
        </ns0:is>
      </ns0:c>
      <ns0:c r="D416" s="4" t="n">
        <ns0:v>1</ns0:v>
      </ns0:c>
      <ns0:c r="E416" s="4" t="n">
        <ns0:v>1500</ns0:v>
      </ns0:c>
      <ns0:c r="F416" s="6" t="n">
        <ns0:v>0.3</ns0:v>
      </ns0:c>
      <ns0:c r="G416" s="4" t="n">
        <ns0:v>0</ns0:v>
      </ns0:c>
      <ns0:c r="H416" s="7" t="n">
        <ns0:v>8897.76536312849</ns0:v>
      </ns0:c>
      <ns0:c r="I416" s="7" t="n">
        <ns0:v>4852.513966480446</ns0:v>
      </ns0:c>
      <ns0:c r="J416" s="7" t="n">
        <ns0:v>1455.754189944134</ns0:v>
      </ns0:c>
      <ns0:c r="K416" s="7" t="n">
        <ns0:v>13</ns0:v>
      </ns0:c>
      <ns0:c r="L416" s="7" t="n">
        <ns0:v>23</ns0:v>
      </ns0:c>
      <ns0:c r="M416" s="7" t="n">
        <ns0:v>-1013.737741263802</ns0:v>
      </ns0:c>
      <ns0:c r="N416" s="7" t="n">
        <ns0:v>87424.23144781863</ns0:v>
      </ns0:c>
      <ns0:c r="O416" s="7" t="n">
        <ns0:v>182047.6754972362</ns0:v>
      </ns0:c>
      <ns0:c r="P416" s="7" t="n">
        <ns0:v>418606.2856207803</ns0:v>
      </ns0:c>
      <ns0:c r="Q416" s="7" t="n">
        <ns0:v>1322840.726114956</ns0:v>
      </ns0:c>
      <ns0:c r="R416" s="7" t="n">
        <ns0:v>4564661.267844573</ns0:v>
      </ns0:c>
    </ns0:row>
    <ns0:row r="417" ht="24" customHeight="1">
      <ns0:c r="A417" s="3" t="inlineStr">
        <ns0:is>
          <ns0:t>セット</ns0:t>
        </ns0:is>
      </ns0:c>
      <ns0:c r="B417" s="3" t="inlineStr">
        <ns0:is>
          <ns0:t>G0基本5000比較</ns0:t>
        </ns0:is>
      </ns0:c>
      <ns0:c r="C417" s="3" t="inlineStr">
        <ns0:is>
          <ns0:t>D</ns0:t>
        </ns0:is>
      </ns0:c>
      <ns0:c r="D417" s="4" t="n">
        <ns0:v>1</ns0:v>
      </ns0:c>
      <ns0:c r="E417" s="4" t="n">
        <ns0:v>1500</ns0:v>
      </ns0:c>
      <ns0:c r="F417" s="6" t="n">
        <ns0:v>0.3</ns0:v>
      </ns0:c>
      <ns0:c r="G417" s="4" t="n">
        <ns0:v>1</ns0:v>
      </ns0:c>
      <ns0:c r="H417" s="7" t="n">
        <ns0:v>8897.76536312849</ns0:v>
      </ns0:c>
      <ns0:c r="I417" s="7" t="n">
        <ns0:v>4852.513966480446</ns0:v>
      </ns0:c>
      <ns0:c r="J417" s="7" t="n">
        <ns0:v>1455.754189944134</ns0:v>
      </ns0:c>
      <ns0:c r="K417" s="7" t="n">
        <ns0:v>14</ns0:v>
      </ns0:c>
      <ns0:c r="L417" s="7" t="n">
        <ns0:v>32</ns0:v>
      </ns0:c>
      <ns0:c r="M417" s="7" t="n">
        <ns0:v>-5337.243946267874</ns0:v>
      </ns0:c>
      <ns0:c r="N417" s="7" t="n">
        <ns0:v>74453.7128328064</ns0:v>
      </ns0:c>
      <ns0:c r="O417" s="7" t="n">
        <ns0:v>160430.1444722159</ns0:v>
      </ns0:c>
      <ns0:c r="P417" s="7" t="n">
        <ns0:v>375371.2235707395</ns0:v>
      </ns0:c>
      <ns0:c r="Q417" s="7" t="n">
        <ns0:v>1193135.539964834</ns0:v>
      </ns0:c>
      <ns0:c r="R417" s="7" t="n">
        <ns0:v>4132310.647344166</ns0:v>
      </ns0:c>
    </ns0:row>
    <ns0:row r="418" ht="24" customHeight="1">
      <ns0:c r="A418" s="3" t="inlineStr">
        <ns0:is>
          <ns0:t>セット</ns0:t>
        </ns0:is>
      </ns0:c>
      <ns0:c r="B418" s="3" t="inlineStr">
        <ns0:is>
          <ns0:t>G0基本5000比較</ns0:t>
        </ns0:is>
      </ns0:c>
      <ns0:c r="C418" s="3" t="inlineStr">
        <ns0:is>
          <ns0:t>D</ns0:t>
        </ns0:is>
      </ns0:c>
      <ns0:c r="D418" s="4" t="n">
        <ns0:v>1</ns0:v>
      </ns0:c>
      <ns0:c r="E418" s="4" t="n">
        <ns0:v>1500</ns0:v>
      </ns0:c>
      <ns0:c r="F418" s="6" t="n">
        <ns0:v>0.3</ns0:v>
      </ns0:c>
      <ns0:c r="G418" s="4" t="n">
        <ns0:v>2</ns0:v>
      </ns0:c>
      <ns0:c r="H418" s="7" t="n">
        <ns0:v>8897.76536312849</ns0:v>
      </ns0:c>
      <ns0:c r="I418" s="7" t="n">
        <ns0:v>4852.513966480446</ns0:v>
      </ns0:c>
      <ns0:c r="J418" s="7" t="n">
        <ns0:v>1455.754189944134</ns0:v>
      </ns0:c>
      <ns0:c r="K418" s="7" t="n">
        <ns0:v>151</ns0:v>
      </ns0:c>
      <ns0:c r="L418" s="18" t="inlineStr">
        <ns0:is>
          <ns0:t>範囲内なし</ns0:t>
        </ns0:is>
      </ns0:c>
      <ns0:c r="M418" s="7" t="n">
        <ns0:v>-41920.94790984113</ns0:v>
      </ns0:c>
      <ns0:c r="N418" s="7" t="n">
        <ns0:v>-35297.39905791337</ns0:v>
      </ns0:c>
      <ns0:c r="O418" s="7" t="n">
        <ns0:v>-22488.37534565042</ns0:v>
      </ns0:c>
      <ns0:c r="P418" s="7" t="n">
        <ns0:v>9534.183935006964</ns0:v>
      </ns0:c>
      <ns0:c r="Q418" s="7" t="n">
        <ns0:v>95624.42105763615</ns0:v>
      </ns0:c>
      <ns0:c r="R418" s="7" t="n">
        <ns0:v>473940.2509868401</ns0:v>
      </ns0:c>
    </ns0:row>
    <ns0:row r="419" ht="24" customHeight="1">
      <ns0:c r="A419" s="3" t="inlineStr">
        <ns0:is>
          <ns0:t>セット</ns0:t>
        </ns0:is>
      </ns0:c>
      <ns0:c r="B419" s="3" t="inlineStr">
        <ns0:is>
          <ns0:t>G0基本5000比較</ns0:t>
        </ns0:is>
      </ns0:c>
      <ns0:c r="C419" s="3" t="inlineStr">
        <ns0:is>
          <ns0:t>D</ns0:t>
        </ns0:is>
      </ns0:c>
      <ns0:c r="D419" s="4" t="n">
        <ns0:v>1</ns0:v>
      </ns0:c>
      <ns0:c r="E419" s="4" t="n">
        <ns0:v>1500</ns0:v>
      </ns0:c>
      <ns0:c r="F419" s="6" t="n">
        <ns0:v>0.3</ns0:v>
      </ns0:c>
      <ns0:c r="G419" s="4" t="n">
        <ns0:v>3</ns0:v>
      </ns0:c>
      <ns0:c r="H419" s="7" t="n">
        <ns0:v>8897.76536312849</ns0:v>
      </ns0:c>
      <ns0:c r="I419" s="7" t="n">
        <ns0:v>4852.513966480446</ns0:v>
      </ns0:c>
      <ns0:c r="J419" s="7" t="n">
        <ns0:v>1455.754189944134</ns0:v>
      </ns0:c>
      <ns0:c r="K419" s="7" t="n">
        <ns0:v>17</ns0:v>
      </ns0:c>
      <ns0:c r="L419" s="7" t="n">
        <ns0:v>545</ns0:v>
      </ns0:c>
      <ns0:c r="M419" s="7" t="n">
        <ns0:v>-14799.75074680061</ns0:v>
      </ns0:c>
      <ns0:c r="N419" s="7" t="n">
        <ns0:v>46066.1924312082</ns0:v>
      </ns0:c>
      <ns0:c r="O419" s="7" t="n">
        <ns0:v>113117.6104695522</ns0:v>
      </ns0:c>
      <ns0:c r="P419" s="7" t="n">
        <ns0:v>280746.1555654122</ns0:v>
      </ns0:c>
      <ns0:c r="Q419" s="7" t="n">
        <ns0:v>909260.335948852</ns0:v>
      </ns0:c>
      <ns0:c r="R419" s="7" t="n">
        <ns0:v>3186059.967290892</ns0:v>
      </ns0:c>
    </ns0:row>
    <ns0:row r="420" ht="24" customHeight="1">
      <ns0:c r="A420" s="3" t="inlineStr">
        <ns0:is>
          <ns0:t>セット</ns0:t>
        </ns0:is>
      </ns0:c>
      <ns0:c r="B420" s="3" t="inlineStr">
        <ns0:is>
          <ns0:t>G0基本5000比較</ns0:t>
        </ns0:is>
      </ns0:c>
      <ns0:c r="C420" s="3" t="inlineStr">
        <ns0:is>
          <ns0:t>D</ns0:t>
        </ns0:is>
      </ns0:c>
      <ns0:c r="D420" s="4" t="n">
        <ns0:v>1</ns0:v>
      </ns0:c>
      <ns0:c r="E420" s="4" t="n">
        <ns0:v>1500</ns0:v>
      </ns0:c>
      <ns0:c r="F420" s="6" t="n">
        <ns0:v>0.4</ns0:v>
      </ns0:c>
      <ns0:c r="G420" s="4" t="n">
        <ns0:v>0</ns0:v>
      </ns0:c>
      <ns0:c r="H420" s="7" t="n">
        <ns0:v>8897.76536312849</ns0:v>
      </ns0:c>
      <ns0:c r="I420" s="7" t="n">
        <ns0:v>4852.513966480446</ns0:v>
      </ns0:c>
      <ns0:c r="J420" s="7" t="n">
        <ns0:v>1941.005586592178</ns0:v>
      </ns0:c>
      <ns0:c r="K420" s="7" t="n">
        <ns0:v>14</ns0:v>
      </ns0:c>
      <ns0:c r="L420" s="7" t="n">
        <ns0:v>25</ns0:v>
      </ns0:c>
      <ns0:c r="M420" s="7" t="n">
        <ns0:v>-5866.25170774425</ns0:v>
      </ns0:c>
      <ns0:c r="N420" s="7" t="n">
        <ns0:v>72866.68954837728</ns0:v>
      </ns0:c>
      <ns0:c r="O420" s="7" t="n">
        <ns0:v>157785.105664834</ns0:v>
      </ns0:c>
      <ns0:c r="P420" s="7" t="n">
        <ns0:v>370081.1459559757</ns0:v>
      </ns0:c>
      <ns0:c r="Q420" s="7" t="n">
        <ns0:v>1177265.307120543</ns0:v>
      </ns0:c>
      <ns0:c r="R420" s="7" t="n">
        <ns0:v>4079409.871196528</ns0:v>
      </ns0:c>
    </ns0:row>
    <ns0:row r="421" ht="24" customHeight="1">
      <ns0:c r="A421" s="3" t="inlineStr">
        <ns0:is>
          <ns0:t>セット</ns0:t>
        </ns0:is>
      </ns0:c>
      <ns0:c r="B421" s="3" t="inlineStr">
        <ns0:is>
          <ns0:t>G0基本5000比較</ns0:t>
        </ns0:is>
      </ns0:c>
      <ns0:c r="C421" s="3" t="inlineStr">
        <ns0:is>
          <ns0:t>D</ns0:t>
        </ns0:is>
      </ns0:c>
      <ns0:c r="D421" s="4" t="n">
        <ns0:v>1</ns0:v>
      </ns0:c>
      <ns0:c r="E421" s="4" t="n">
        <ns0:v>1500</ns0:v>
      </ns0:c>
      <ns0:c r="F421" s="6" t="n">
        <ns0:v>0.4</ns0:v>
      </ns0:c>
      <ns0:c r="G421" s="4" t="n">
        <ns0:v>1</ns0:v>
      </ns0:c>
      <ns0:c r="H421" s="7" t="n">
        <ns0:v>8897.76536312849</ns0:v>
      </ns0:c>
      <ns0:c r="I421" s="7" t="n">
        <ns0:v>4852.513966480446</ns0:v>
      </ns0:c>
      <ns0:c r="J421" s="7" t="n">
        <ns0:v>1941.005586592178</ns0:v>
      </ns0:c>
      <ns0:c r="K421" s="7" t="n">
        <ns0:v>15</ns0:v>
      </ns0:c>
      <ns0:c r="L421" s="7" t="n">
        <ns0:v>35</ns0:v>
      </ns0:c>
      <ns0:c r="M421" s="7" t="n">
        <ns0:v>-10189.75791274832</ns0:v>
      </ns0:c>
      <ns0:c r="N421" s="7" t="n">
        <ns0:v>59896.17093336507</ns0:v>
      </ns0:c>
      <ns0:c r="O421" s="7" t="n">
        <ns0:v>136167.5746398136</ns0:v>
      </ns0:c>
      <ns0:c r="P421" s="7" t="n">
        <ns0:v>326846.0839059351</ns0:v>
      </ns0:c>
      <ns0:c r="Q421" s="7" t="n">
        <ns0:v>1047560.120970421</ns0:v>
      </ns0:c>
      <ns0:c r="R421" s="7" t="n">
        <ns0:v>3647059.250696121</ns0:v>
      </ns0:c>
    </ns0:row>
    <ns0:row r="422" ht="24" customHeight="1">
      <ns0:c r="A422" s="3" t="inlineStr">
        <ns0:is>
          <ns0:t>セット</ns0:t>
        </ns0:is>
      </ns0:c>
      <ns0:c r="B422" s="3" t="inlineStr">
        <ns0:is>
          <ns0:t>G0基本5000比較</ns0:t>
        </ns0:is>
      </ns0:c>
      <ns0:c r="C422" s="3" t="inlineStr">
        <ns0:is>
          <ns0:t>D</ns0:t>
        </ns0:is>
      </ns0:c>
      <ns0:c r="D422" s="4" t="n">
        <ns0:v>1</ns0:v>
      </ns0:c>
      <ns0:c r="E422" s="4" t="n">
        <ns0:v>1500</ns0:v>
      </ns0:c>
      <ns0:c r="F422" s="6" t="n">
        <ns0:v>0.4</ns0:v>
      </ns0:c>
      <ns0:c r="G422" s="4" t="n">
        <ns0:v>2</ns0:v>
      </ns0:c>
      <ns0:c r="H422" s="7" t="n">
        <ns0:v>8897.76536312849</ns0:v>
      </ns0:c>
      <ns0:c r="I422" s="7" t="n">
        <ns0:v>4852.513966480446</ns0:v>
      </ns0:c>
      <ns0:c r="J422" s="7" t="n">
        <ns0:v>1941.005586592178</ns0:v>
      </ns0:c>
      <ns0:c r="K422" s="18" t="inlineStr">
        <ns0:is>
          <ns0:t>範囲内なし</ns0:t>
        </ns0:is>
      </ns0:c>
      <ns0:c r="L422" s="18" t="inlineStr">
        <ns0:is>
          <ns0:t>範囲内なし</ns0:t>
        </ns0:is>
      </ns0:c>
      <ns0:c r="M422" s="7" t="n">
        <ns0:v>-46773.46187632158</ns0:v>
      </ns0:c>
      <ns0:c r="N422" s="7" t="n">
        <ns0:v>-49854.94095735472</ns0:v>
      </ns0:c>
      <ns0:c r="O422" s="7" t="n">
        <ns0:v>-46750.94517805266</ns0:v>
      </ns0:c>
      <ns0:c r="P422" s="7" t="n">
        <ns0:v>-38990.95572979751</ns0:v>
      </ns0:c>
      <ns0:c r="Q422" s="7" t="n">
        <ns0:v>-49950.9979367773</ns0:v>
      </ns0:c>
      <ns0:c r="R422" s="7" t="n">
        <ns0:v>-11311.14566120505</ns0:v>
      </ns0:c>
    </ns0:row>
    <ns0:row r="423" ht="24" customHeight="1">
      <ns0:c r="A423" s="3" t="inlineStr">
        <ns0:is>
          <ns0:t>セット</ns0:t>
        </ns0:is>
      </ns0:c>
      <ns0:c r="B423" s="3" t="inlineStr">
        <ns0:is>
          <ns0:t>G0基本5000比較</ns0:t>
        </ns0:is>
      </ns0:c>
      <ns0:c r="C423" s="3" t="inlineStr">
        <ns0:is>
          <ns0:t>D</ns0:t>
        </ns0:is>
      </ns0:c>
      <ns0:c r="D423" s="4" t="n">
        <ns0:v>1</ns0:v>
      </ns0:c>
      <ns0:c r="E423" s="4" t="n">
        <ns0:v>1500</ns0:v>
      </ns0:c>
      <ns0:c r="F423" s="6" t="n">
        <ns0:v>0.4</ns0:v>
      </ns0:c>
      <ns0:c r="G423" s="4" t="n">
        <ns0:v>3</ns0:v>
      </ns0:c>
      <ns0:c r="H423" s="7" t="n">
        <ns0:v>8897.76536312849</ns0:v>
      </ns0:c>
      <ns0:c r="I423" s="7" t="n">
        <ns0:v>4852.513966480446</ns0:v>
      </ns0:c>
      <ns0:c r="J423" s="7" t="n">
        <ns0:v>1941.005586592178</ns0:v>
      </ns0:c>
      <ns0:c r="K423" s="7" t="n">
        <ns0:v>20</ns0:v>
      </ns0:c>
      <ns0:c r="L423" s="18" t="inlineStr">
        <ns0:is>
          <ns0:t>範囲内なし</ns0:t>
        </ns0:is>
      </ns0:c>
      <ns0:c r="M423" s="7" t="n">
        <ns0:v>-19652.26471328105</ns0:v>
      </ns0:c>
      <ns0:c r="N423" s="7" t="n">
        <ns0:v>31508.65053176686</ns0:v>
      </ns0:c>
      <ns0:c r="O423" s="7" t="n">
        <ns0:v>88855.04063714997</ns0:v>
      </ns0:c>
      <ns0:c r="P423" s="7" t="n">
        <ns0:v>232221.0159006077</ns0:v>
      </ns0:c>
      <ns0:c r="Q423" s="7" t="n">
        <ns0:v>763684.9169544386</ns0:v>
      </ns0:c>
      <ns0:c r="R423" s="7" t="n">
        <ns0:v>2700808.570642848</ns0:v>
      </ns0:c>
    </ns0:row>
    <ns0:row r="424" ht="24" customHeight="1">
      <ns0:c r="A424" s="3" t="inlineStr">
        <ns0:is>
          <ns0:t>セット</ns0:t>
        </ns0:is>
      </ns0:c>
      <ns0:c r="B424" s="3" t="inlineStr">
        <ns0:is>
          <ns0:t>G0基本5000比較</ns0:t>
        </ns0:is>
      </ns0:c>
      <ns0:c r="C424" s="3" t="inlineStr">
        <ns0:is>
          <ns0:t>D</ns0:t>
        </ns0:is>
      </ns0:c>
      <ns0:c r="D424" s="4" t="n">
        <ns0:v>1</ns0:v>
      </ns0:c>
      <ns0:c r="E424" s="4" t="n">
        <ns0:v>1500</ns0:v>
      </ns0:c>
      <ns0:c r="F424" s="6" t="n">
        <ns0:v>0.5</ns0:v>
      </ns0:c>
      <ns0:c r="G424" s="4" t="n">
        <ns0:v>0</ns0:v>
      </ns0:c>
      <ns0:c r="H424" s="7" t="n">
        <ns0:v>8897.76536312849</ns0:v>
      </ns0:c>
      <ns0:c r="I424" s="7" t="n">
        <ns0:v>4852.513966480446</ns0:v>
      </ns0:c>
      <ns0:c r="J424" s="7" t="n">
        <ns0:v>2426.256983240223</ns0:v>
      </ns0:c>
      <ns0:c r="K424" s="7" t="n">
        <ns0:v>15</ns0:v>
      </ns0:c>
      <ns0:c r="L424" s="7" t="n">
        <ns0:v>26</ns0:v>
      </ns0:c>
      <ns0:c r="M424" s="7" t="n">
        <ns0:v>-10718.76567422469</ns0:v>
      </ns0:c>
      <ns0:c r="N424" s="7" t="n">
        <ns0:v>58309.14764893593</ns0:v>
      </ns0:c>
      <ns0:c r="O424" s="7" t="n">
        <ns0:v>133522.5358324317</ns0:v>
      </ns0:c>
      <ns0:c r="P424" s="7" t="n">
        <ns0:v>321556.0062911713</ns0:v>
      </ns0:c>
      <ns0:c r="Q424" s="7" t="n">
        <ns0:v>1031689.888126129</ns0:v>
      </ns0:c>
      <ns0:c r="R424" s="7" t="n">
        <ns0:v>3594158.474548483</ns0:v>
      </ns0:c>
    </ns0:row>
    <ns0:row r="425" ht="24" customHeight="1">
      <ns0:c r="A425" s="3" t="inlineStr">
        <ns0:is>
          <ns0:t>セット</ns0:t>
        </ns0:is>
      </ns0:c>
      <ns0:c r="B425" s="3" t="inlineStr">
        <ns0:is>
          <ns0:t>G0基本5000比較</ns0:t>
        </ns0:is>
      </ns0:c>
      <ns0:c r="C425" s="3" t="inlineStr">
        <ns0:is>
          <ns0:t>D</ns0:t>
        </ns0:is>
      </ns0:c>
      <ns0:c r="D425" s="4" t="n">
        <ns0:v>1</ns0:v>
      </ns0:c>
      <ns0:c r="E425" s="4" t="n">
        <ns0:v>1500</ns0:v>
      </ns0:c>
      <ns0:c r="F425" s="6" t="n">
        <ns0:v>0.5</ns0:v>
      </ns0:c>
      <ns0:c r="G425" s="4" t="n">
        <ns0:v>1</ns0:v>
      </ns0:c>
      <ns0:c r="H425" s="7" t="n">
        <ns0:v>8897.76536312849</ns0:v>
      </ns0:c>
      <ns0:c r="I425" s="7" t="n">
        <ns0:v>4852.513966480446</ns0:v>
      </ns0:c>
      <ns0:c r="J425" s="7" t="n">
        <ns0:v>2426.256983240223</ns0:v>
      </ns0:c>
      <ns0:c r="K425" s="7" t="n">
        <ns0:v>17</ns0:v>
      </ns0:c>
      <ns0:c r="L425" s="7" t="n">
        <ns0:v>39</ns0:v>
      </ns0:c>
      <ns0:c r="M425" s="7" t="n">
        <ns0:v>-15042.27187922876</ns0:v>
      </ns0:c>
      <ns0:c r="N425" s="7" t="n">
        <ns0:v>45338.62903392373</ns0:v>
      </ns0:c>
      <ns0:c r="O425" s="7" t="n">
        <ns0:v>111905.0048074114</ns0:v>
      </ns0:c>
      <ns0:c r="P425" s="7" t="n">
        <ns0:v>278320.9442411306</ns0:v>
      </ns0:c>
      <ns0:c r="Q425" s="7" t="n">
        <ns0:v>901984.7019760071</ns0:v>
      </ns0:c>
      <ns0:c r="R425" s="7" t="n">
        <ns0:v>3161807.854048076</ns0:v>
      </ns0:c>
    </ns0:row>
    <ns0:row r="426" ht="24" customHeight="1">
      <ns0:c r="A426" s="3" t="inlineStr">
        <ns0:is>
          <ns0:t>セット</ns0:t>
        </ns0:is>
      </ns0:c>
      <ns0:c r="B426" s="3" t="inlineStr">
        <ns0:is>
          <ns0:t>G0基本5000比較</ns0:t>
        </ns0:is>
      </ns0:c>
      <ns0:c r="C426" s="3" t="inlineStr">
        <ns0:is>
          <ns0:t>D</ns0:t>
        </ns0:is>
      </ns0:c>
      <ns0:c r="D426" s="4" t="n">
        <ns0:v>1</ns0:v>
      </ns0:c>
      <ns0:c r="E426" s="4" t="n">
        <ns0:v>1500</ns0:v>
      </ns0:c>
      <ns0:c r="F426" s="6" t="n">
        <ns0:v>0.5</ns0:v>
      </ns0:c>
      <ns0:c r="G426" s="4" t="n">
        <ns0:v>2</ns0:v>
      </ns0:c>
      <ns0:c r="H426" s="7" t="n">
        <ns0:v>8897.76536312849</ns0:v>
      </ns0:c>
      <ns0:c r="I426" s="7" t="n">
        <ns0:v>4852.513966480446</ns0:v>
      </ns0:c>
      <ns0:c r="J426" s="7" t="n">
        <ns0:v>2426.256983240223</ns0:v>
      </ns0:c>
      <ns0:c r="K426" s="18" t="inlineStr">
        <ns0:is>
          <ns0:t>範囲内なし</ns0:t>
        </ns0:is>
      </ns0:c>
      <ns0:c r="L426" s="18" t="inlineStr">
        <ns0:is>
          <ns0:t>範囲内なし</ns0:t>
        </ns0:is>
      </ns0:c>
      <ns0:c r="M426" s="7" t="n">
        <ns0:v>-51625.97584280202</ns0:v>
      </ns0:c>
      <ns0:c r="N426" s="7" t="n">
        <ns0:v>-64412.48285679606</ns0:v>
      </ns0:c>
      <ns0:c r="O426" s="7" t="n">
        <ns0:v>-71013.51501045488</ns0:v>
      </ns0:c>
      <ns0:c r="P426" s="7" t="n">
        <ns0:v>-87516.09539460196</ns0:v>
      </ns0:c>
      <ns0:c r="Q426" s="7" t="n">
        <ns0:v>-195526.4169311905</ns0:v>
      </ns0:c>
      <ns0:c r="R426" s="7" t="n">
        <ns0:v>-496562.5423092498</ns0:v>
      </ns0:c>
    </ns0:row>
    <ns0:row r="427" ht="24" customHeight="1">
      <ns0:c r="A427" s="3" t="inlineStr">
        <ns0:is>
          <ns0:t>セット</ns0:t>
        </ns0:is>
      </ns0:c>
      <ns0:c r="B427" s="3" t="inlineStr">
        <ns0:is>
          <ns0:t>G0基本5000比較</ns0:t>
        </ns0:is>
      </ns0:c>
      <ns0:c r="C427" s="3" t="inlineStr">
        <ns0:is>
          <ns0:t>D</ns0:t>
        </ns0:is>
      </ns0:c>
      <ns0:c r="D427" s="4" t="n">
        <ns0:v>1</ns0:v>
      </ns0:c>
      <ns0:c r="E427" s="4" t="n">
        <ns0:v>1500</ns0:v>
      </ns0:c>
      <ns0:c r="F427" s="6" t="n">
        <ns0:v>0.5</ns0:v>
      </ns0:c>
      <ns0:c r="G427" s="4" t="n">
        <ns0:v>3</ns0:v>
      </ns0:c>
      <ns0:c r="H427" s="7" t="n">
        <ns0:v>8897.76536312849</ns0:v>
      </ns0:c>
      <ns0:c r="I427" s="7" t="n">
        <ns0:v>4852.513966480446</ns0:v>
      </ns0:c>
      <ns0:c r="J427" s="7" t="n">
        <ns0:v>2426.256983240223</ns0:v>
      </ns0:c>
      <ns0:c r="K427" s="7" t="n">
        <ns0:v>23</ns0:v>
      </ns0:c>
      <ns0:c r="L427" s="18" t="inlineStr">
        <ns0:is>
          <ns0:t>範囲内なし</ns0:t>
        </ns0:is>
      </ns0:c>
      <ns0:c r="M427" s="7" t="n">
        <ns0:v>-24504.7786797615</ns0:v>
      </ns0:c>
      <ns0:c r="N427" s="7" t="n">
        <ns0:v>16951.10863232553</ns0:v>
      </ns0:c>
      <ns0:c r="O427" s="7" t="n">
        <ns0:v>64592.47080474773</ns0:v>
      </ns0:c>
      <ns0:c r="P427" s="7" t="n">
        <ns0:v>183695.8762358032</ns0:v>
      </ns0:c>
      <ns0:c r="Q427" s="7" t="n">
        <ns0:v>618109.4979600252</ns0:v>
      </ns0:c>
      <ns0:c r="R427" s="7" t="n">
        <ns0:v>2215557.173994802</ns0:v>
      </ns0:c>
    </ns0:row>
    <ns0:row r="428" ht="24" customHeight="1">
      <ns0:c r="A428" s="3" t="inlineStr">
        <ns0:is>
          <ns0:t>セット</ns0:t>
        </ns0:is>
      </ns0:c>
      <ns0:c r="B428" s="3" t="inlineStr">
        <ns0:is>
          <ns0:t>G0基本5000比較</ns0:t>
        </ns0:is>
      </ns0:c>
      <ns0:c r="C428" s="3" t="inlineStr">
        <ns0:is>
          <ns0:t>D</ns0:t>
        </ns0:is>
      </ns0:c>
      <ns0:c r="D428" s="4" t="n">
        <ns0:v>2</ns0:v>
      </ns0:c>
      <ns0:c r="E428" s="4" t="n">
        <ns0:v>500</ns0:v>
      </ns0:c>
      <ns0:c r="F428" s="6" t="n">
        <ns0:v>0.3</ns0:v>
      </ns0:c>
      <ns0:c r="G428" s="4" t="n">
        <ns0:v>0</ns0:v>
      </ns0:c>
      <ns0:c r="H428" s="7" t="n">
        <ns0:v>12787.14596949891</ns0:v>
      </ns0:c>
      <ns0:c r="I428" s="7" t="n">
        <ns0:v>6291.93899782135</ns0:v>
      </ns0:c>
      <ns0:c r="J428" s="7" t="n">
        <ns0:v>1887.581699346405</ns0:v>
      </ns0:c>
      <ns0:c r="K428" s="7" t="n">
        <ns0:v>7</ns0:v>
      </ns0:c>
      <ns0:c r="L428" s="7" t="n">
        <ns0:v>12</ns0:v>
      </ns0:c>
      <ns0:c r="M428" s="7" t="n">
        <ns0:v>31161.21354337072</ns0:v>
      </ns0:c>
      <ns0:c r="N428" s="7" t="n">
        <ns0:v>164676.0981180219</ns0:v>
      </ns0:c>
      <ns0:c r="O428" s="7" t="n">
        <ns0:v>310800.7866142415</ns0:v>
      </ns0:c>
      <ns0:c r="P428" s="7" t="n">
        <ns0:v>676112.5078547908</ns0:v>
      </ns0:c>
      <ns0:c r="Q428" s="7" t="n">
        <ns0:v>2095359.392816988</ns0:v>
      </ns0:c>
      <ns0:c r="R428" s="7" t="n">
        <ns0:v>7139723.49018468</ns0:v>
      </ns0:c>
    </ns0:row>
    <ns0:row r="429" ht="24" customHeight="1">
      <ns0:c r="A429" s="3" t="inlineStr">
        <ns0:is>
          <ns0:t>セット</ns0:t>
        </ns0:is>
      </ns0:c>
      <ns0:c r="B429" s="3" t="inlineStr">
        <ns0:is>
          <ns0:t>G0基本5000比較</ns0:t>
        </ns0:is>
      </ns0:c>
      <ns0:c r="C429" s="3" t="inlineStr">
        <ns0:is>
          <ns0:t>D</ns0:t>
        </ns0:is>
      </ns0:c>
      <ns0:c r="D429" s="4" t="n">
        <ns0:v>2</ns0:v>
      </ns0:c>
      <ns0:c r="E429" s="4" t="n">
        <ns0:v>500</ns0:v>
      </ns0:c>
      <ns0:c r="F429" s="6" t="n">
        <ns0:v>0.3</ns0:v>
      </ns0:c>
      <ns0:c r="G429" s="4" t="n">
        <ns0:v>1</ns0:v>
      </ns0:c>
      <ns0:c r="H429" s="7" t="n">
        <ns0:v>12787.14596949891</ns0:v>
      </ns0:c>
      <ns0:c r="I429" s="7" t="n">
        <ns0:v>6291.93899782135</ns0:v>
      </ns0:c>
      <ns0:c r="J429" s="7" t="n">
        <ns0:v>1887.581699346405</ns0:v>
      </ns0:c>
      <ns0:c r="K429" s="7" t="n">
        <ns0:v>8</ns0:v>
      </ns0:c>
      <ns0:c r="L429" s="7" t="n">
        <ns0:v>14</ns0:v>
      </ns0:c>
      <ns0:c r="M429" s="7" t="n">
        <ns0:v>25772.74415106831</ns0:v>
      </ns0:c>
      <ns0:c r="N429" s="7" t="n">
        <ns0:v>148510.6899411146</ns0:v>
      </ns0:c>
      <ns0:c r="O429" s="7" t="n">
        <ns0:v>283858.4396527294</ns0:v>
      </ns0:c>
      <ns0:c r="P429" s="7" t="n">
        <ns0:v>622227.8139317667</ns0:v>
      </ns0:c>
      <ns0:c r="Q429" s="7" t="n">
        <ns0:v>1933705.311047916</ns0:v>
      </ns0:c>
      <ns0:c r="R429" s="7" t="n">
        <ns0:v>6600876.550954439</ns0:v>
      </ns0:c>
    </ns0:row>
    <ns0:row r="430" ht="24" customHeight="1">
      <ns0:c r="A430" s="3" t="inlineStr">
        <ns0:is>
          <ns0:t>セット</ns0:t>
        </ns0:is>
      </ns0:c>
      <ns0:c r="B430" s="3" t="inlineStr">
        <ns0:is>
          <ns0:t>G0基本5000比較</ns0:t>
        </ns0:is>
      </ns0:c>
      <ns0:c r="C430" s="3" t="inlineStr">
        <ns0:is>
          <ns0:t>D</ns0:t>
        </ns0:is>
      </ns0:c>
      <ns0:c r="D430" s="4" t="n">
        <ns0:v>2</ns0:v>
      </ns0:c>
      <ns0:c r="E430" s="4" t="n">
        <ns0:v>500</ns0:v>
      </ns0:c>
      <ns0:c r="F430" s="6" t="n">
        <ns0:v>0.3</ns0:v>
      </ns0:c>
      <ns0:c r="G430" s="4" t="n">
        <ns0:v>2</ns0:v>
      </ns0:c>
      <ns0:c r="H430" s="7" t="n">
        <ns0:v>12787.14596949891</ns0:v>
      </ns0:c>
      <ns0:c r="I430" s="7" t="n">
        <ns0:v>6291.93899782135</ns0:v>
      </ns0:c>
      <ns0:c r="J430" s="7" t="n">
        <ns0:v>1887.581699346405</ns0:v>
      </ns0:c>
      <ns0:c r="K430" s="18" t="inlineStr">
        <ns0:is>
          <ns0:t>範囲内なし</ns0:t>
        </ns0:is>
      </ns0:c>
      <ns0:c r="L430" s="18" t="inlineStr">
        <ns0:is>
          <ns0:t>範囲内なし</ns0:t>
        </ns0:is>
      </ns0:c>
      <ns0:c r="M430" s="7" t="n">
        <ns0:v>-41553.66479741957</ns0:v>
      </ns0:c>
      <ns0:c r="N430" s="7" t="n">
        <ns0:v>-53468.53690434902</ns0:v>
      </ns0:c>
      <ns0:c r="O430" s="7" t="n">
        <ns0:v>-52773.60508970992</ns0:v>
      </ns0:c>
      <ns0:c r="P430" s="7" t="n">
        <ns0:v>-51036.27555311203</ns0:v>
      </ns0:c>
      <ns0:c r="Q430" s="7" t="n">
        <ns0:v>-86086.95740672061</ns0:v>
      </ns0:c>
      <ns0:c r="R430" s="7" t="n">
        <ns0:v>-131764.3438943494</ns0:v>
      </ns0:c>
    </ns0:row>
    <ns0:row r="431" ht="24" customHeight="1">
      <ns0:c r="A431" s="3" t="inlineStr">
        <ns0:is>
          <ns0:t>セット</ns0:t>
        </ns0:is>
      </ns0:c>
      <ns0:c r="B431" s="3" t="inlineStr">
        <ns0:is>
          <ns0:t>G0基本5000比較</ns0:t>
        </ns0:is>
      </ns0:c>
      <ns0:c r="C431" s="3" t="inlineStr">
        <ns0:is>
          <ns0:t>D</ns0:t>
        </ns0:is>
      </ns0:c>
      <ns0:c r="D431" s="4" t="n">
        <ns0:v>2</ns0:v>
      </ns0:c>
      <ns0:c r="E431" s="4" t="n">
        <ns0:v>500</ns0:v>
      </ns0:c>
      <ns0:c r="F431" s="6" t="n">
        <ns0:v>0.3</ns0:v>
      </ns0:c>
      <ns0:c r="G431" s="4" t="n">
        <ns0:v>3</ns0:v>
      </ns0:c>
      <ns0:c r="H431" s="7" t="n">
        <ns0:v>12787.14596949891</ns0:v>
      </ns0:c>
      <ns0:c r="I431" s="7" t="n">
        <ns0:v>6291.93899782135</ns0:v>
      </ns0:c>
      <ns0:c r="J431" s="7" t="n">
        <ns0:v>1887.581699346405</ns0:v>
      </ns0:c>
      <ns0:c r="K431" s="7" t="n">
        <ns0:v>9</ns0:v>
      </ns0:c>
      <ns0:c r="L431" s="7" t="n">
        <ns0:v>24</ns0:v>
      </ns0:c>
      <ns0:c r="M431" s="7" t="n">
        <ns0:v>14737.26363220614</ns0:v>
      </ns0:c>
      <ns0:c r="N431" s="7" t="n">
        <ns0:v>115404.2483845281</ns0:v>
      </ns0:c>
      <ns0:c r="O431" s="7" t="n">
        <ns0:v>228681.0370584186</ns0:v>
      </ns0:c>
      <ns0:c r="P431" s="7" t="n">
        <ns0:v>511873.008743145</ns0:v>
      </ns0:c>
      <ns0:c r="Q431" s="7" t="n">
        <ns0:v>1602640.895482051</ns0:v>
      </ns0:c>
      <ns0:c r="R431" s="7" t="n">
        <ns0:v>5497328.499068222</ns0:v>
      </ns0:c>
    </ns0:row>
    <ns0:row r="432" ht="24" customHeight="1">
      <ns0:c r="A432" s="3" t="inlineStr">
        <ns0:is>
          <ns0:t>セット</ns0:t>
        </ns0:is>
      </ns0:c>
      <ns0:c r="B432" s="3" t="inlineStr">
        <ns0:is>
          <ns0:t>G0基本5000比較</ns0:t>
        </ns0:is>
      </ns0:c>
      <ns0:c r="C432" s="3" t="inlineStr">
        <ns0:is>
          <ns0:t>D</ns0:t>
        </ns0:is>
      </ns0:c>
      <ns0:c r="D432" s="4" t="n">
        <ns0:v>2</ns0:v>
      </ns0:c>
      <ns0:c r="E432" s="4" t="n">
        <ns0:v>500</ns0:v>
      </ns0:c>
      <ns0:c r="F432" s="6" t="n">
        <ns0:v>0.4</ns0:v>
      </ns0:c>
      <ns0:c r="G432" s="4" t="n">
        <ns0:v>0</ns0:v>
      </ns0:c>
      <ns0:c r="H432" s="7" t="n">
        <ns0:v>12787.14596949891</ns0:v>
      </ns0:c>
      <ns0:c r="I432" s="7" t="n">
        <ns0:v>6291.93899782135</ns0:v>
      </ns0:c>
      <ns0:c r="J432" s="7" t="n">
        <ns0:v>2516.77559912854</ns0:v>
      </ns0:c>
      <ns0:c r="K432" s="7" t="n">
        <ns0:v>8</ns0:v>
      </ns0:c>
      <ns0:c r="L432" s="7" t="n">
        <ns0:v>12</ns0:v>
      </ns0:c>
      <ns0:c r="M432" s="7" t="n">
        <ns0:v>24869.27454554936</ns0:v>
      </ns0:c>
      <ns0:c r="N432" s="7" t="n">
        <ns0:v>145800.2811245578</ns0:v>
      </ns0:c>
      <ns0:c r="O432" s="7" t="n">
        <ns0:v>279341.0916251347</ns0:v>
      </ns0:c>
      <ns0:c r="P432" s="7" t="n">
        <ns0:v>613193.1178765772</ns0:v>
      </ns0:c>
      <ns0:c r="Q432" s="7" t="n">
        <ns0:v>1906601.222882348</ns0:v>
      </ns0:c>
      <ns0:c r="R432" s="7" t="n">
        <ns0:v>6510529.590402544</ns0:v>
      </ns0:c>
    </ns0:row>
    <ns0:row r="433" ht="24" customHeight="1">
      <ns0:c r="A433" s="3" t="inlineStr">
        <ns0:is>
          <ns0:t>セット</ns0:t>
        </ns0:is>
      </ns0:c>
      <ns0:c r="B433" s="3" t="inlineStr">
        <ns0:is>
          <ns0:t>G0基本5000比較</ns0:t>
        </ns0:is>
      </ns0:c>
      <ns0:c r="C433" s="3" t="inlineStr">
        <ns0:is>
          <ns0:t>D</ns0:t>
        </ns0:is>
      </ns0:c>
      <ns0:c r="D433" s="4" t="n">
        <ns0:v>2</ns0:v>
      </ns0:c>
      <ns0:c r="E433" s="4" t="n">
        <ns0:v>500</ns0:v>
      </ns0:c>
      <ns0:c r="F433" s="6" t="n">
        <ns0:v>0.4</ns0:v>
      </ns0:c>
      <ns0:c r="G433" s="4" t="n">
        <ns0:v>1</ns0:v>
      </ns0:c>
      <ns0:c r="H433" s="7" t="n">
        <ns0:v>12787.14596949891</ns0:v>
      </ns0:c>
      <ns0:c r="I433" s="7" t="n">
        <ns0:v>6291.93899782135</ns0:v>
      </ns0:c>
      <ns0:c r="J433" s="7" t="n">
        <ns0:v>2516.77559912854</ns0:v>
      </ns0:c>
      <ns0:c r="K433" s="7" t="n">
        <ns0:v>8</ns0:v>
      </ns0:c>
      <ns0:c r="L433" s="7" t="n">
        <ns0:v>15</ns0:v>
      </ns0:c>
      <ns0:c r="M433" s="7" t="n">
        <ns0:v>19480.80515324695</ns0:v>
      </ns0:c>
      <ns0:c r="N433" s="7" t="n">
        <ns0:v>129634.8729476506</ns0:v>
      </ns0:c>
      <ns0:c r="O433" s="7" t="n">
        <ns0:v>252398.7446636227</ns0:v>
      </ns0:c>
      <ns0:c r="P433" s="7" t="n">
        <ns0:v>559308.4239535532</ns0:v>
      </ns0:c>
      <ns0:c r="Q433" s="7" t="n">
        <ns0:v>1744947.141113275</ns0:v>
      </ns0:c>
      <ns0:c r="R433" s="7" t="n">
        <ns0:v>5971682.651172303</ns0:v>
      </ns0:c>
    </ns0:row>
    <ns0:row r="434" ht="24" customHeight="1">
      <ns0:c r="A434" s="3" t="inlineStr">
        <ns0:is>
          <ns0:t>セット</ns0:t>
        </ns0:is>
      </ns0:c>
      <ns0:c r="B434" s="3" t="inlineStr">
        <ns0:is>
          <ns0:t>G0基本5000比較</ns0:t>
        </ns0:is>
      </ns0:c>
      <ns0:c r="C434" s="3" t="inlineStr">
        <ns0:is>
          <ns0:t>D</ns0:t>
        </ns0:is>
      </ns0:c>
      <ns0:c r="D434" s="4" t="n">
        <ns0:v>2</ns0:v>
      </ns0:c>
      <ns0:c r="E434" s="4" t="n">
        <ns0:v>500</ns0:v>
      </ns0:c>
      <ns0:c r="F434" s="6" t="n">
        <ns0:v>0.4</ns0:v>
      </ns0:c>
      <ns0:c r="G434" s="4" t="n">
        <ns0:v>2</ns0:v>
      </ns0:c>
      <ns0:c r="H434" s="7" t="n">
        <ns0:v>12787.14596949891</ns0:v>
      </ns0:c>
      <ns0:c r="I434" s="7" t="n">
        <ns0:v>6291.93899782135</ns0:v>
      </ns0:c>
      <ns0:c r="J434" s="7" t="n">
        <ns0:v>2516.77559912854</ns0:v>
      </ns0:c>
      <ns0:c r="K434" s="18" t="inlineStr">
        <ns0:is>
          <ns0:t>範囲内なし</ns0:t>
        </ns0:is>
      </ns0:c>
      <ns0:c r="L434" s="18" t="inlineStr">
        <ns0:is>
          <ns0:t>範囲内なし</ns0:t>
        </ns0:is>
      </ns0:c>
      <ns0:c r="M434" s="7" t="n">
        <ns0:v>-47845.60379524092</ns0:v>
      </ns0:c>
      <ns0:c r="N434" s="7" t="n">
        <ns0:v>-72344.35389781304</ns0:v>
      </ns0:c>
      <ns0:c r="O434" s="7" t="n">
        <ns0:v>-84233.30007881671</ns0:v>
      </ns0:c>
      <ns0:c r="P434" s="7" t="n">
        <ns0:v>-113955.6655313256</ns0:v>
      </ns0:c>
      <ns0:c r="Q434" s="7" t="n">
        <ns0:v>-274845.1273413608</ns0:v>
      </ns0:c>
      <ns0:c r="R434" s="7" t="n">
        <ns0:v>-760958.2436764855</ns0:v>
      </ns0:c>
    </ns0:row>
    <ns0:row r="435" ht="24" customHeight="1">
      <ns0:c r="A435" s="3" t="inlineStr">
        <ns0:is>
          <ns0:t>セット</ns0:t>
        </ns0:is>
      </ns0:c>
      <ns0:c r="B435" s="3" t="inlineStr">
        <ns0:is>
          <ns0:t>G0基本5000比較</ns0:t>
        </ns0:is>
      </ns0:c>
      <ns0:c r="C435" s="3" t="inlineStr">
        <ns0:is>
          <ns0:t>D</ns0:t>
        </ns0:is>
      </ns0:c>
      <ns0:c r="D435" s="4" t="n">
        <ns0:v>2</ns0:v>
      </ns0:c>
      <ns0:c r="E435" s="4" t="n">
        <ns0:v>500</ns0:v>
      </ns0:c>
      <ns0:c r="F435" s="6" t="n">
        <ns0:v>0.4</ns0:v>
      </ns0:c>
      <ns0:c r="G435" s="4" t="n">
        <ns0:v>3</ns0:v>
      </ns0:c>
      <ns0:c r="H435" s="7" t="n">
        <ns0:v>12787.14596949891</ns0:v>
      </ns0:c>
      <ns0:c r="I435" s="7" t="n">
        <ns0:v>6291.93899782135</ns0:v>
      </ns0:c>
      <ns0:c r="J435" s="7" t="n">
        <ns0:v>2516.77559912854</ns0:v>
      </ns0:c>
      <ns0:c r="K435" s="7" t="n">
        <ns0:v>9</ns0:v>
      </ns0:c>
      <ns0:c r="L435" s="7" t="n">
        <ns0:v>27</ns0:v>
      </ns0:c>
      <ns0:c r="M435" s="7" t="n">
        <ns0:v>8445.324634384782</ns0:v>
      </ns0:c>
      <ns0:c r="N435" s="7" t="n">
        <ns0:v>96528.43139106408</ns0:v>
      </ns0:c>
      <ns0:c r="O435" s="7" t="n">
        <ns0:v>197221.3420693119</ns0:v>
      </ns0:c>
      <ns0:c r="P435" s="7" t="n">
        <ns0:v>448953.6187649316</ns0:v>
      </ns0:c>
      <ns0:c r="Q435" s="7" t="n">
        <ns0:v>1413882.725547411</ns0:v>
      </ns0:c>
      <ns0:c r="R435" s="7" t="n">
        <ns0:v>4868134.599286087</ns0:v>
      </ns0:c>
    </ns0:row>
    <ns0:row r="436" ht="24" customHeight="1">
      <ns0:c r="A436" s="3" t="inlineStr">
        <ns0:is>
          <ns0:t>セット</ns0:t>
        </ns0:is>
      </ns0:c>
      <ns0:c r="B436" s="3" t="inlineStr">
        <ns0:is>
          <ns0:t>G0基本5000比較</ns0:t>
        </ns0:is>
      </ns0:c>
      <ns0:c r="C436" s="3" t="inlineStr">
        <ns0:is>
          <ns0:t>D</ns0:t>
        </ns0:is>
      </ns0:c>
      <ns0:c r="D436" s="4" t="n">
        <ns0:v>2</ns0:v>
      </ns0:c>
      <ns0:c r="E436" s="4" t="n">
        <ns0:v>500</ns0:v>
      </ns0:c>
      <ns0:c r="F436" s="6" t="n">
        <ns0:v>0.5</ns0:v>
      </ns0:c>
      <ns0:c r="G436" s="4" t="n">
        <ns0:v>0</ns0:v>
      </ns0:c>
      <ns0:c r="H436" s="7" t="n">
        <ns0:v>12787.14596949891</ns0:v>
      </ns0:c>
      <ns0:c r="I436" s="7" t="n">
        <ns0:v>6291.93899782135</ns0:v>
      </ns0:c>
      <ns0:c r="J436" s="7" t="n">
        <ns0:v>3145.969498910675</ns0:v>
      </ns0:c>
      <ns0:c r="K436" s="7" t="n">
        <ns0:v>8</ns0:v>
      </ns0:c>
      <ns0:c r="L436" s="7" t="n">
        <ns0:v>13</ns0:v>
      </ns0:c>
      <ns0:c r="M436" s="7" t="n">
        <ns0:v>18577.33554772801</ns0:v>
      </ns0:c>
      <ns0:c r="N436" s="7" t="n">
        <ns0:v>126924.4641310937</ns0:v>
      </ns0:c>
      <ns0:c r="O436" s="7" t="n">
        <ns0:v>247881.396636028</ns0:v>
      </ns0:c>
      <ns0:c r="P436" s="7" t="n">
        <ns0:v>550273.7278983637</ns0:v>
      </ns0:c>
      <ns0:c r="Q436" s="7" t="n">
        <ns0:v>1717843.052947707</ns0:v>
      </ns0:c>
      <ns0:c r="R436" s="7" t="n">
        <ns0:v>5881335.690620408</ns0:v>
      </ns0:c>
    </ns0:row>
    <ns0:row r="437" ht="24" customHeight="1">
      <ns0:c r="A437" s="3" t="inlineStr">
        <ns0:is>
          <ns0:t>セット</ns0:t>
        </ns0:is>
      </ns0:c>
      <ns0:c r="B437" s="3" t="inlineStr">
        <ns0:is>
          <ns0:t>G0基本5000比較</ns0:t>
        </ns0:is>
      </ns0:c>
      <ns0:c r="C437" s="3" t="inlineStr">
        <ns0:is>
          <ns0:t>D</ns0:t>
        </ns0:is>
      </ns0:c>
      <ns0:c r="D437" s="4" t="n">
        <ns0:v>2</ns0:v>
      </ns0:c>
      <ns0:c r="E437" s="4" t="n">
        <ns0:v>500</ns0:v>
      </ns0:c>
      <ns0:c r="F437" s="6" t="n">
        <ns0:v>0.5</ns0:v>
      </ns0:c>
      <ns0:c r="G437" s="4" t="n">
        <ns0:v>1</ns0:v>
      </ns0:c>
      <ns0:c r="H437" s="7" t="n">
        <ns0:v>12787.14596949891</ns0:v>
      </ns0:c>
      <ns0:c r="I437" s="7" t="n">
        <ns0:v>6291.93899782135</ns0:v>
      </ns0:c>
      <ns0:c r="J437" s="7" t="n">
        <ns0:v>3145.969498910675</ns0:v>
      </ns0:c>
      <ns0:c r="K437" s="7" t="n">
        <ns0:v>9</ns0:v>
      </ns0:c>
      <ns0:c r="L437" s="7" t="n">
        <ns0:v>16</ns0:v>
      </ns0:c>
      <ns0:c r="M437" s="7" t="n">
        <ns0:v>13188.8661554256</ns0:v>
      </ns0:c>
      <ns0:c r="N437" s="7" t="n">
        <ns0:v>110759.0559541865</ns0:v>
      </ns0:c>
      <ns0:c r="O437" s="7" t="n">
        <ns0:v>220939.0496745159</ns0:v>
      </ns0:c>
      <ns0:c r="P437" s="7" t="n">
        <ns0:v>496389.0339753397</ns0:v>
      </ns0:c>
      <ns0:c r="Q437" s="7" t="n">
        <ns0:v>1556188.971178635</ns0:v>
      </ns0:c>
      <ns0:c r="R437" s="7" t="n">
        <ns0:v>5342488.751390168</ns0:v>
      </ns0:c>
    </ns0:row>
    <ns0:row r="438" ht="24" customHeight="1">
      <ns0:c r="A438" s="3" t="inlineStr">
        <ns0:is>
          <ns0:t>セット</ns0:t>
        </ns0:is>
      </ns0:c>
      <ns0:c r="B438" s="3" t="inlineStr">
        <ns0:is>
          <ns0:t>G0基本5000比較</ns0:t>
        </ns0:is>
      </ns0:c>
      <ns0:c r="C438" s="3" t="inlineStr">
        <ns0:is>
          <ns0:t>D</ns0:t>
        </ns0:is>
      </ns0:c>
      <ns0:c r="D438" s="4" t="n">
        <ns0:v>2</ns0:v>
      </ns0:c>
      <ns0:c r="E438" s="4" t="n">
        <ns0:v>500</ns0:v>
      </ns0:c>
      <ns0:c r="F438" s="6" t="n">
        <ns0:v>0.5</ns0:v>
      </ns0:c>
      <ns0:c r="G438" s="4" t="n">
        <ns0:v>2</ns0:v>
      </ns0:c>
      <ns0:c r="H438" s="7" t="n">
        <ns0:v>12787.14596949891</ns0:v>
      </ns0:c>
      <ns0:c r="I438" s="7" t="n">
        <ns0:v>6291.93899782135</ns0:v>
      </ns0:c>
      <ns0:c r="J438" s="7" t="n">
        <ns0:v>3145.969498910675</ns0:v>
      </ns0:c>
      <ns0:c r="K438" s="18" t="inlineStr">
        <ns0:is>
          <ns0:t>範囲内なし</ns0:t>
        </ns0:is>
      </ns0:c>
      <ns0:c r="L438" s="18" t="inlineStr">
        <ns0:is>
          <ns0:t>範囲内なし</ns0:t>
        </ns0:is>
      </ns0:c>
      <ns0:c r="M438" s="7" t="n">
        <ns0:v>-54137.54279306228</ns0:v>
      </ns0:c>
      <ns0:c r="N438" s="7" t="n">
        <ns0:v>-91220.17089127714</ns0:v>
      </ns0:c>
      <ns0:c r="O438" s="7" t="n">
        <ns0:v>-115692.9950679234</ns0:v>
      </ns0:c>
      <ns0:c r="P438" s="7" t="n">
        <ns0:v>-176875.0555095391</ns0:v>
      </ns0:c>
      <ns0:c r="Q438" s="7" t="n">
        <ns0:v>-463603.2972760015</ns0:v>
      </ns0:c>
      <ns0:c r="R438" s="7" t="n">
        <ns0:v>-1390152.14345862</ns0:v>
      </ns0:c>
    </ns0:row>
    <ns0:row r="439" ht="24" customHeight="1">
      <ns0:c r="A439" s="3" t="inlineStr">
        <ns0:is>
          <ns0:t>セット</ns0:t>
        </ns0:is>
      </ns0:c>
      <ns0:c r="B439" s="3" t="inlineStr">
        <ns0:is>
          <ns0:t>G0基本5000比較</ns0:t>
        </ns0:is>
      </ns0:c>
      <ns0:c r="C439" s="3" t="inlineStr">
        <ns0:is>
          <ns0:t>D</ns0:t>
        </ns0:is>
      </ns0:c>
      <ns0:c r="D439" s="4" t="n">
        <ns0:v>2</ns0:v>
      </ns0:c>
      <ns0:c r="E439" s="4" t="n">
        <ns0:v>500</ns0:v>
      </ns0:c>
      <ns0:c r="F439" s="6" t="n">
        <ns0:v>0.5</ns0:v>
      </ns0:c>
      <ns0:c r="G439" s="4" t="n">
        <ns0:v>3</ns0:v>
      </ns0:c>
      <ns0:c r="H439" s="7" t="n">
        <ns0:v>12787.14596949891</ns0:v>
      </ns0:c>
      <ns0:c r="I439" s="7" t="n">
        <ns0:v>6291.93899782135</ns0:v>
      </ns0:c>
      <ns0:c r="J439" s="7" t="n">
        <ns0:v>3145.969498910675</ns0:v>
      </ns0:c>
      <ns0:c r="K439" s="7" t="n">
        <ns0:v>13</ns0:v>
      </ns0:c>
      <ns0:c r="L439" s="7" t="n">
        <ns0:v>30</ns0:v>
      </ns0:c>
      <ns0:c r="M439" s="7" t="n">
        <ns0:v>2153.385636563438</ns0:v>
      </ns0:c>
      <ns0:c r="N439" s="7" t="n">
        <ns0:v>77652.6143976</ns0:v>
      </ns0:c>
      <ns0:c r="O439" s="7" t="n">
        <ns0:v>165761.6470802051</ns0:v>
      </ns0:c>
      <ns0:c r="P439" s="7" t="n">
        <ns0:v>386034.228786718</ns0:v>
      </ns0:c>
      <ns0:c r="Q439" s="7" t="n">
        <ns0:v>1225124.55561277</ns0:v>
      </ns0:c>
      <ns0:c r="R439" s="7" t="n">
        <ns0:v>4238940.699503952</ns0:v>
      </ns0:c>
    </ns0:row>
    <ns0:row r="440" ht="24" customHeight="1">
      <ns0:c r="A440" s="3" t="inlineStr">
        <ns0:is>
          <ns0:t>セット</ns0:t>
        </ns0:is>
      </ns0:c>
      <ns0:c r="B440" s="3" t="inlineStr">
        <ns0:is>
          <ns0:t>G0基本5000比較</ns0:t>
        </ns0:is>
      </ns0:c>
      <ns0:c r="C440" s="3" t="inlineStr">
        <ns0:is>
          <ns0:t>D</ns0:t>
        </ns0:is>
      </ns0:c>
      <ns0:c r="D440" s="4" t="n">
        <ns0:v>2</ns0:v>
      </ns0:c>
      <ns0:c r="E440" s="4" t="n">
        <ns0:v>1000</ns0:v>
      </ns0:c>
      <ns0:c r="F440" s="6" t="n">
        <ns0:v>0.3</ns0:v>
      </ns0:c>
      <ns0:c r="G440" s="4" t="n">
        <ns0:v>0</ns0:v>
      </ns0:c>
      <ns0:c r="H440" s="7" t="n">
        <ns0:v>12287.14596949891</ns0:v>
      </ns0:c>
      <ns0:c r="I440" s="7" t="n">
        <ns0:v>5791.938997821349</ns0:v>
      </ns0:c>
      <ns0:c r="J440" s="7" t="n">
        <ns0:v>1737.581699346405</ns0:v>
      </ns0:c>
      <ns0:c r="K440" s="7" t="n">
        <ns0:v>7</ns0:v>
      </ns0:c>
      <ns0:c r="L440" s="7" t="n">
        <ns0:v>12</ns0:v>
      </ns0:c>
      <ns0:c r="M440" s="7" t="n">
        <ns0:v>27841.21354337069</ns0:v>
      </ns0:c>
      <ns0:c r="N440" s="7" t="n">
        <ns0:v>154716.0981180218</ns0:v>
      </ns0:c>
      <ns0:c r="O440" s="7" t="n">
        <ns0:v>294200.7866142414</ns0:v>
      </ns0:c>
      <ns0:c r="P440" s="7" t="n">
        <ns0:v>642912.5078547907</ns0:v>
      </ns0:c>
      <ns0:c r="Q440" s="7" t="n">
        <ns0:v>1995759.392816988</ns0:v>
      </ns0:c>
      <ns0:c r="R440" s="7" t="n">
        <ns0:v>6807723.490184679</ns0:v>
      </ns0:c>
    </ns0:row>
    <ns0:row r="441" ht="24" customHeight="1">
      <ns0:c r="A441" s="3" t="inlineStr">
        <ns0:is>
          <ns0:t>セット</ns0:t>
        </ns0:is>
      </ns0:c>
      <ns0:c r="B441" s="3" t="inlineStr">
        <ns0:is>
          <ns0:t>G0基本5000比較</ns0:t>
        </ns0:is>
      </ns0:c>
      <ns0:c r="C441" s="3" t="inlineStr">
        <ns0:is>
          <ns0:t>D</ns0:t>
        </ns0:is>
      </ns0:c>
      <ns0:c r="D441" s="4" t="n">
        <ns0:v>2</ns0:v>
      </ns0:c>
      <ns0:c r="E441" s="4" t="n">
        <ns0:v>1000</ns0:v>
      </ns0:c>
      <ns0:c r="F441" s="6" t="n">
        <ns0:v>0.3</ns0:v>
      </ns0:c>
      <ns0:c r="G441" s="4" t="n">
        <ns0:v>1</ns0:v>
      </ns0:c>
      <ns0:c r="H441" s="7" t="n">
        <ns0:v>12287.14596949891</ns0:v>
      </ns0:c>
      <ns0:c r="I441" s="7" t="n">
        <ns0:v>5791.938997821349</ns0:v>
      </ns0:c>
      <ns0:c r="J441" s="7" t="n">
        <ns0:v>1737.581699346405</ns0:v>
      </ns0:c>
      <ns0:c r="K441" s="7" t="n">
        <ns0:v>8</ns0:v>
      </ns0:c>
      <ns0:c r="L441" s="7" t="n">
        <ns0:v>14</ns0:v>
      </ns0:c>
      <ns0:c r="M441" s="7" t="n">
        <ns0:v>22452.74415106828</ns0:v>
      </ns0:c>
      <ns0:c r="N441" s="7" t="n">
        <ns0:v>138550.6899411146</ns0:v>
      </ns0:c>
      <ns0:c r="O441" s="7" t="n">
        <ns0:v>267258.4396527294</ns0:v>
      </ns0:c>
      <ns0:c r="P441" s="7" t="n">
        <ns0:v>589027.8139317665</ns0:v>
      </ns0:c>
      <ns0:c r="Q441" s="7" t="n">
        <ns0:v>1834105.311047916</ns0:v>
      </ns0:c>
      <ns0:c r="R441" s="7" t="n">
        <ns0:v>6268876.550954438</ns0:v>
      </ns0:c>
    </ns0:row>
    <ns0:row r="442" ht="24" customHeight="1">
      <ns0:c r="A442" s="3" t="inlineStr">
        <ns0:is>
          <ns0:t>セット</ns0:t>
        </ns0:is>
      </ns0:c>
      <ns0:c r="B442" s="3" t="inlineStr">
        <ns0:is>
          <ns0:t>G0基本5000比較</ns0:t>
        </ns0:is>
      </ns0:c>
      <ns0:c r="C442" s="3" t="inlineStr">
        <ns0:is>
          <ns0:t>D</ns0:t>
        </ns0:is>
      </ns0:c>
      <ns0:c r="D442" s="4" t="n">
        <ns0:v>2</ns0:v>
      </ns0:c>
      <ns0:c r="E442" s="4" t="n">
        <ns0:v>1000</ns0:v>
      </ns0:c>
      <ns0:c r="F442" s="6" t="n">
        <ns0:v>0.3</ns0:v>
      </ns0:c>
      <ns0:c r="G442" s="4" t="n">
        <ns0:v>2</ns0:v>
      </ns0:c>
      <ns0:c r="H442" s="7" t="n">
        <ns0:v>12287.14596949891</ns0:v>
      </ns0:c>
      <ns0:c r="I442" s="7" t="n">
        <ns0:v>5791.938997821349</ns0:v>
      </ns0:c>
      <ns0:c r="J442" s="7" t="n">
        <ns0:v>1737.581699346405</ns0:v>
      </ns0:c>
      <ns0:c r="K442" s="18" t="inlineStr">
        <ns0:is>
          <ns0:t>範囲内なし</ns0:t>
        </ns0:is>
      </ns0:c>
      <ns0:c r="L442" s="18" t="inlineStr">
        <ns0:is>
          <ns0:t>範囲内なし</ns0:t>
        </ns0:is>
      </ns0:c>
      <ns0:c r="M442" s="7" t="n">
        <ns0:v>-44873.66479741959</ns0:v>
      </ns0:c>
      <ns0:c r="N442" s="7" t="n">
        <ns0:v>-63428.53690434905</ns0:v>
      </ns0:c>
      <ns0:c r="O442" s="7" t="n">
        <ns0:v>-69373.60508971004</ns0:v>
      </ns0:c>
      <ns0:c r="P442" s="7" t="n">
        <ns0:v>-84236.27555311227</ns0:v>
      </ns0:c>
      <ns0:c r="Q442" s="7" t="n">
        <ns0:v>-185686.9574067206</ns0:v>
      </ns0:c>
      <ns0:c r="R442" s="7" t="n">
        <ns0:v>-463764.3438943503</ns0:v>
      </ns0:c>
    </ns0:row>
    <ns0:row r="443" ht="24" customHeight="1">
      <ns0:c r="A443" s="3" t="inlineStr">
        <ns0:is>
          <ns0:t>セット</ns0:t>
        </ns0:is>
      </ns0:c>
      <ns0:c r="B443" s="3" t="inlineStr">
        <ns0:is>
          <ns0:t>G0基本5000比較</ns0:t>
        </ns0:is>
      </ns0:c>
      <ns0:c r="C443" s="3" t="inlineStr">
        <ns0:is>
          <ns0:t>D</ns0:t>
        </ns0:is>
      </ns0:c>
      <ns0:c r="D443" s="4" t="n">
        <ns0:v>2</ns0:v>
      </ns0:c>
      <ns0:c r="E443" s="4" t="n">
        <ns0:v>1000</ns0:v>
      </ns0:c>
      <ns0:c r="F443" s="6" t="n">
        <ns0:v>0.3</ns0:v>
      </ns0:c>
      <ns0:c r="G443" s="4" t="n">
        <ns0:v>3</ns0:v>
      </ns0:c>
      <ns0:c r="H443" s="7" t="n">
        <ns0:v>12287.14596949891</ns0:v>
      </ns0:c>
      <ns0:c r="I443" s="7" t="n">
        <ns0:v>5791.938997821349</ns0:v>
      </ns0:c>
      <ns0:c r="J443" s="7" t="n">
        <ns0:v>1737.581699346405</ns0:v>
      </ns0:c>
      <ns0:c r="K443" s="7" t="n">
        <ns0:v>9</ns0:v>
      </ns0:c>
      <ns0:c r="L443" s="7" t="n">
        <ns0:v>25</ns0:v>
      </ns0:c>
      <ns0:c r="M443" s="7" t="n">
        <ns0:v>11417.26363220612</ns0:v>
      </ns0:c>
      <ns0:c r="N443" s="7" t="n">
        <ns0:v>105444.2483845281</ns0:v>
      </ns0:c>
      <ns0:c r="O443" s="7" t="n">
        <ns0:v>212081.0370584186</ns0:v>
      </ns0:c>
      <ns0:c r="P443" s="7" t="n">
        <ns0:v>478673.0087431449</ns0:v>
      </ns0:c>
      <ns0:c r="Q443" s="7" t="n">
        <ns0:v>1503040.895482051</ns0:v>
      </ns0:c>
      <ns0:c r="R443" s="7" t="n">
        <ns0:v>5165328.499068222</ns0:v>
      </ns0:c>
    </ns0:row>
    <ns0:row r="444" ht="24" customHeight="1">
      <ns0:c r="A444" s="3" t="inlineStr">
        <ns0:is>
          <ns0:t>セット</ns0:t>
        </ns0:is>
      </ns0:c>
      <ns0:c r="B444" s="3" t="inlineStr">
        <ns0:is>
          <ns0:t>G0基本5000比較</ns0:t>
        </ns0:is>
      </ns0:c>
      <ns0:c r="C444" s="3" t="inlineStr">
        <ns0:is>
          <ns0:t>D</ns0:t>
        </ns0:is>
      </ns0:c>
      <ns0:c r="D444" s="4" t="n">
        <ns0:v>2</ns0:v>
      </ns0:c>
      <ns0:c r="E444" s="4" t="n">
        <ns0:v>1000</ns0:v>
      </ns0:c>
      <ns0:c r="F444" s="6" t="n">
        <ns0:v>0.4</ns0:v>
      </ns0:c>
      <ns0:c r="G444" s="4" t="n">
        <ns0:v>0</ns0:v>
      </ns0:c>
      <ns0:c r="H444" s="7" t="n">
        <ns0:v>12287.14596949891</ns0:v>
      </ns0:c>
      <ns0:c r="I444" s="7" t="n">
        <ns0:v>5791.938997821349</ns0:v>
      </ns0:c>
      <ns0:c r="J444" s="7" t="n">
        <ns0:v>2316.77559912854</ns0:v>
      </ns0:c>
      <ns0:c r="K444" s="7" t="n">
        <ns0:v>8</ns0:v>
      </ns0:c>
      <ns0:c r="L444" s="7" t="n">
        <ns0:v>12</ns0:v>
      </ns0:c>
      <ns0:c r="M444" s="7" t="n">
        <ns0:v>22049.27454554933</ns0:v>
      </ns0:c>
      <ns0:c r="N444" s="7" t="n">
        <ns0:v>137340.2811245577</ns0:v>
      </ns0:c>
      <ns0:c r="O444" s="7" t="n">
        <ns0:v>265241.0916251346</ns0:v>
      </ns0:c>
      <ns0:c r="P444" s="7" t="n">
        <ns0:v>584993.1178765771</ns0:v>
      </ns0:c>
      <ns0:c r="Q444" s="7" t="n">
        <ns0:v>1822001.222882348</ns0:v>
      </ns0:c>
      <ns0:c r="R444" s="7" t="n">
        <ns0:v>6228529.590402544</ns0:v>
      </ns0:c>
    </ns0:row>
    <ns0:row r="445" ht="24" customHeight="1">
      <ns0:c r="A445" s="3" t="inlineStr">
        <ns0:is>
          <ns0:t>セット</ns0:t>
        </ns0:is>
      </ns0:c>
      <ns0:c r="B445" s="3" t="inlineStr">
        <ns0:is>
          <ns0:t>G0基本5000比較</ns0:t>
        </ns0:is>
      </ns0:c>
      <ns0:c r="C445" s="3" t="inlineStr">
        <ns0:is>
          <ns0:t>D</ns0:t>
        </ns0:is>
      </ns0:c>
      <ns0:c r="D445" s="4" t="n">
        <ns0:v>2</ns0:v>
      </ns0:c>
      <ns0:c r="E445" s="4" t="n">
        <ns0:v>1000</ns0:v>
      </ns0:c>
      <ns0:c r="F445" s="6" t="n">
        <ns0:v>0.4</ns0:v>
      </ns0:c>
      <ns0:c r="G445" s="4" t="n">
        <ns0:v>1</ns0:v>
      </ns0:c>
      <ns0:c r="H445" s="7" t="n">
        <ns0:v>12287.14596949891</ns0:v>
      </ns0:c>
      <ns0:c r="I445" s="7" t="n">
        <ns0:v>5791.938997821349</ns0:v>
      </ns0:c>
      <ns0:c r="J445" s="7" t="n">
        <ns0:v>2316.77559912854</ns0:v>
      </ns0:c>
      <ns0:c r="K445" s="7" t="n">
        <ns0:v>8</ns0:v>
      </ns0:c>
      <ns0:c r="L445" s="7" t="n">
        <ns0:v>15</ns0:v>
      </ns0:c>
      <ns0:c r="M445" s="7" t="n">
        <ns0:v>16660.80515324692</ns0:v>
      </ns0:c>
      <ns0:c r="N445" s="7" t="n">
        <ns0:v>121174.8729476505</ns0:v>
      </ns0:c>
      <ns0:c r="O445" s="7" t="n">
        <ns0:v>238298.7446636226</ns0:v>
      </ns0:c>
      <ns0:c r="P445" s="7" t="n">
        <ns0:v>531108.423953553</ns0:v>
      </ns0:c>
      <ns0:c r="Q445" s="7" t="n">
        <ns0:v>1660347.141113275</ns0:v>
      </ns0:c>
      <ns0:c r="R445" s="7" t="n">
        <ns0:v>5689682.651172303</ns0:v>
      </ns0:c>
    </ns0:row>
    <ns0:row r="446" ht="24" customHeight="1">
      <ns0:c r="A446" s="3" t="inlineStr">
        <ns0:is>
          <ns0:t>セット</ns0:t>
        </ns0:is>
      </ns0:c>
      <ns0:c r="B446" s="3" t="inlineStr">
        <ns0:is>
          <ns0:t>G0基本5000比較</ns0:t>
        </ns0:is>
      </ns0:c>
      <ns0:c r="C446" s="3" t="inlineStr">
        <ns0:is>
          <ns0:t>D</ns0:t>
        </ns0:is>
      </ns0:c>
      <ns0:c r="D446" s="4" t="n">
        <ns0:v>2</ns0:v>
      </ns0:c>
      <ns0:c r="E446" s="4" t="n">
        <ns0:v>1000</ns0:v>
      </ns0:c>
      <ns0:c r="F446" s="6" t="n">
        <ns0:v>0.4</ns0:v>
      </ns0:c>
      <ns0:c r="G446" s="4" t="n">
        <ns0:v>2</ns0:v>
      </ns0:c>
      <ns0:c r="H446" s="7" t="n">
        <ns0:v>12287.14596949891</ns0:v>
      </ns0:c>
      <ns0:c r="I446" s="7" t="n">
        <ns0:v>5791.938997821349</ns0:v>
      </ns0:c>
      <ns0:c r="J446" s="7" t="n">
        <ns0:v>2316.77559912854</ns0:v>
      </ns0:c>
      <ns0:c r="K446" s="18" t="inlineStr">
        <ns0:is>
          <ns0:t>範囲内なし</ns0:t>
        </ns0:is>
      </ns0:c>
      <ns0:c r="L446" s="18" t="inlineStr">
        <ns0:is>
          <ns0:t>範囲内なし</ns0:t>
        </ns0:is>
      </ns0:c>
      <ns0:c r="M446" s="7" t="n">
        <ns0:v>-50665.60379524096</ns0:v>
      </ns0:c>
      <ns0:c r="N446" s="7" t="n">
        <ns0:v>-80804.3538978131</ns0:v>
      </ns0:c>
      <ns0:c r="O446" s="7" t="n">
        <ns0:v>-98333.30007881677</ns0:v>
      </ns0:c>
      <ns0:c r="P446" s="7" t="n">
        <ns0:v>-142155.6655313257</ns0:v>
      </ns0:c>
      <ns0:c r="Q446" s="7" t="n">
        <ns0:v>-359445.1273413611</ns0:v>
      </ns0:c>
      <ns0:c r="R446" s="7" t="n">
        <ns0:v>-1042958.243676485</ns0:v>
      </ns0:c>
    </ns0:row>
    <ns0:row r="447" ht="24" customHeight="1">
      <ns0:c r="A447" s="3" t="inlineStr">
        <ns0:is>
          <ns0:t>セット</ns0:t>
        </ns0:is>
      </ns0:c>
      <ns0:c r="B447" s="3" t="inlineStr">
        <ns0:is>
          <ns0:t>G0基本5000比較</ns0:t>
        </ns0:is>
      </ns0:c>
      <ns0:c r="C447" s="3" t="inlineStr">
        <ns0:is>
          <ns0:t>D</ns0:t>
        </ns0:is>
      </ns0:c>
      <ns0:c r="D447" s="4" t="n">
        <ns0:v>2</ns0:v>
      </ns0:c>
      <ns0:c r="E447" s="4" t="n">
        <ns0:v>1000</ns0:v>
      </ns0:c>
      <ns0:c r="F447" s="6" t="n">
        <ns0:v>0.4</ns0:v>
      </ns0:c>
      <ns0:c r="G447" s="4" t="n">
        <ns0:v>3</ns0:v>
      </ns0:c>
      <ns0:c r="H447" s="7" t="n">
        <ns0:v>12287.14596949891</ns0:v>
      </ns0:c>
      <ns0:c r="I447" s="7" t="n">
        <ns0:v>5791.938997821349</ns0:v>
      </ns0:c>
      <ns0:c r="J447" s="7" t="n">
        <ns0:v>2316.77559912854</ns0:v>
      </ns0:c>
      <ns0:c r="K447" s="7" t="n">
        <ns0:v>12</ns0:v>
      </ns0:c>
      <ns0:c r="L447" s="7" t="n">
        <ns0:v>28</ns0:v>
      </ns0:c>
      <ns0:c r="M447" s="7" t="n">
        <ns0:v>5625.32463438476</ns0:v>
      </ns0:c>
      <ns0:c r="N447" s="7" t="n">
        <ns0:v>88068.43139106402</ns0:v>
      </ns0:c>
      <ns0:c r="O447" s="7" t="n">
        <ns0:v>183121.3420693118</ns0:v>
      </ns0:c>
      <ns0:c r="P447" s="7" t="n">
        <ns0:v>420753.6187649313</ns0:v>
      </ns0:c>
      <ns0:c r="Q447" s="7" t="n">
        <ns0:v>1329282.72554741</ns0:v>
      </ns0:c>
      <ns0:c r="R447" s="7" t="n">
        <ns0:v>4586134.599286087</ns0:v>
      </ns0:c>
    </ns0:row>
    <ns0:row r="448" ht="24" customHeight="1">
      <ns0:c r="A448" s="3" t="inlineStr">
        <ns0:is>
          <ns0:t>セット</ns0:t>
        </ns0:is>
      </ns0:c>
      <ns0:c r="B448" s="3" t="inlineStr">
        <ns0:is>
          <ns0:t>G0基本5000比較</ns0:t>
        </ns0:is>
      </ns0:c>
      <ns0:c r="C448" s="3" t="inlineStr">
        <ns0:is>
          <ns0:t>D</ns0:t>
        </ns0:is>
      </ns0:c>
      <ns0:c r="D448" s="4" t="n">
        <ns0:v>2</ns0:v>
      </ns0:c>
      <ns0:c r="E448" s="4" t="n">
        <ns0:v>1000</ns0:v>
      </ns0:c>
      <ns0:c r="F448" s="6" t="n">
        <ns0:v>0.5</ns0:v>
      </ns0:c>
      <ns0:c r="G448" s="4" t="n">
        <ns0:v>0</ns0:v>
      </ns0:c>
      <ns0:c r="H448" s="7" t="n">
        <ns0:v>12287.14596949891</ns0:v>
      </ns0:c>
      <ns0:c r="I448" s="7" t="n">
        <ns0:v>5791.938997821349</ns0:v>
      </ns0:c>
      <ns0:c r="J448" s="7" t="n">
        <ns0:v>2895.969498910675</ns0:v>
      </ns0:c>
      <ns0:c r="K448" s="7" t="n">
        <ns0:v>8</ns0:v>
      </ns0:c>
      <ns0:c r="L448" s="7" t="n">
        <ns0:v>13</ns0:v>
      </ns0:c>
      <ns0:c r="M448" s="7" t="n">
        <ns0:v>16257.33554772799</ns0:v>
      </ns0:c>
      <ns0:c r="N448" s="7" t="n">
        <ns0:v>119964.4641310937</ns0:v>
      </ns0:c>
      <ns0:c r="O448" s="7" t="n">
        <ns0:v>236281.396636028</ns0:v>
      </ns0:c>
      <ns0:c r="P448" s="7" t="n">
        <ns0:v>527073.7278983637</ns0:v>
      </ns0:c>
      <ns0:c r="Q448" s="7" t="n">
        <ns0:v>1648243.052947707</ns0:v>
      </ns0:c>
      <ns0:c r="R448" s="7" t="n">
        <ns0:v>5649335.690620408</ns0:v>
      </ns0:c>
    </ns0:row>
    <ns0:row r="449" ht="24" customHeight="1">
      <ns0:c r="A449" s="3" t="inlineStr">
        <ns0:is>
          <ns0:t>セット</ns0:t>
        </ns0:is>
      </ns0:c>
      <ns0:c r="B449" s="3" t="inlineStr">
        <ns0:is>
          <ns0:t>G0基本5000比較</ns0:t>
        </ns0:is>
      </ns0:c>
      <ns0:c r="C449" s="3" t="inlineStr">
        <ns0:is>
          <ns0:t>D</ns0:t>
        </ns0:is>
      </ns0:c>
      <ns0:c r="D449" s="4" t="n">
        <ns0:v>2</ns0:v>
      </ns0:c>
      <ns0:c r="E449" s="4" t="n">
        <ns0:v>1000</ns0:v>
      </ns0:c>
      <ns0:c r="F449" s="6" t="n">
        <ns0:v>0.5</ns0:v>
      </ns0:c>
      <ns0:c r="G449" s="4" t="n">
        <ns0:v>1</ns0:v>
      </ns0:c>
      <ns0:c r="H449" s="7" t="n">
        <ns0:v>12287.14596949891</ns0:v>
      </ns0:c>
      <ns0:c r="I449" s="7" t="n">
        <ns0:v>5791.938997821349</ns0:v>
      </ns0:c>
      <ns0:c r="J449" s="7" t="n">
        <ns0:v>2895.969498910675</ns0:v>
      </ns0:c>
      <ns0:c r="K449" s="7" t="n">
        <ns0:v>9</ns0:v>
      </ns0:c>
      <ns0:c r="L449" s="7" t="n">
        <ns0:v>16</ns0:v>
      </ns0:c>
      <ns0:c r="M449" s="7" t="n">
        <ns0:v>10868.86615542558</ns0:v>
      </ns0:c>
      <ns0:c r="N449" s="7" t="n">
        <ns0:v>103799.0559541865</ns0:v>
      </ns0:c>
      <ns0:c r="O449" s="7" t="n">
        <ns0:v>209339.049674516</ns0:v>
      </ns0:c>
      <ns0:c r="P449" s="7" t="n">
        <ns0:v>473189.0339753397</ns0:v>
      </ns0:c>
      <ns0:c r="Q449" s="7" t="n">
        <ns0:v>1486588.971178635</ns0:v>
      </ns0:c>
      <ns0:c r="R449" s="7" t="n">
        <ns0:v>5110488.751390168</ns0:v>
      </ns0:c>
    </ns0:row>
    <ns0:row r="450" ht="24" customHeight="1">
      <ns0:c r="A450" s="3" t="inlineStr">
        <ns0:is>
          <ns0:t>セット</ns0:t>
        </ns0:is>
      </ns0:c>
      <ns0:c r="B450" s="3" t="inlineStr">
        <ns0:is>
          <ns0:t>G0基本5000比較</ns0:t>
        </ns0:is>
      </ns0:c>
      <ns0:c r="C450" s="3" t="inlineStr">
        <ns0:is>
          <ns0:t>D</ns0:t>
        </ns0:is>
      </ns0:c>
      <ns0:c r="D450" s="4" t="n">
        <ns0:v>2</ns0:v>
      </ns0:c>
      <ns0:c r="E450" s="4" t="n">
        <ns0:v>1000</ns0:v>
      </ns0:c>
      <ns0:c r="F450" s="6" t="n">
        <ns0:v>0.5</ns0:v>
      </ns0:c>
      <ns0:c r="G450" s="4" t="n">
        <ns0:v>2</ns0:v>
      </ns0:c>
      <ns0:c r="H450" s="7" t="n">
        <ns0:v>12287.14596949891</ns0:v>
      </ns0:c>
      <ns0:c r="I450" s="7" t="n">
        <ns0:v>5791.938997821349</ns0:v>
      </ns0:c>
      <ns0:c r="J450" s="7" t="n">
        <ns0:v>2895.969498910675</ns0:v>
      </ns0:c>
      <ns0:c r="K450" s="18" t="inlineStr">
        <ns0:is>
          <ns0:t>範囲内なし</ns0:t>
        </ns0:is>
      </ns0:c>
      <ns0:c r="L450" s="18" t="inlineStr">
        <ns0:is>
          <ns0:t>範囲内なし</ns0:t>
        </ns0:is>
      </ns0:c>
      <ns0:c r="M450" s="7" t="n">
        <ns0:v>-56457.5427930623</ns0:v>
      </ns0:c>
      <ns0:c r="N450" s="7" t="n">
        <ns0:v>-98180.17089127714</ns0:v>
      </ns0:c>
      <ns0:c r="O450" s="7" t="n">
        <ns0:v>-127292.9950679234</ns0:v>
      </ns0:c>
      <ns0:c r="P450" s="7" t="n">
        <ns0:v>-200075.0555095391</ns0:v>
      </ns0:c>
      <ns0:c r="Q450" s="7" t="n">
        <ns0:v>-533203.2972760015</ns0:v>
      </ns0:c>
      <ns0:c r="R450" s="7" t="n">
        <ns0:v>-1622152.143458621</ns0:v>
      </ns0:c>
    </ns0:row>
    <ns0:row r="451" ht="24" customHeight="1">
      <ns0:c r="A451" s="3" t="inlineStr">
        <ns0:is>
          <ns0:t>セット</ns0:t>
        </ns0:is>
      </ns0:c>
      <ns0:c r="B451" s="3" t="inlineStr">
        <ns0:is>
          <ns0:t>G0基本5000比較</ns0:t>
        </ns0:is>
      </ns0:c>
      <ns0:c r="C451" s="3" t="inlineStr">
        <ns0:is>
          <ns0:t>D</ns0:t>
        </ns0:is>
      </ns0:c>
      <ns0:c r="D451" s="4" t="n">
        <ns0:v>2</ns0:v>
      </ns0:c>
      <ns0:c r="E451" s="4" t="n">
        <ns0:v>1000</ns0:v>
      </ns0:c>
      <ns0:c r="F451" s="6" t="n">
        <ns0:v>0.5</ns0:v>
      </ns0:c>
      <ns0:c r="G451" s="4" t="n">
        <ns0:v>3</ns0:v>
      </ns0:c>
      <ns0:c r="H451" s="7" t="n">
        <ns0:v>12287.14596949891</ns0:v>
      </ns0:c>
      <ns0:c r="I451" s="7" t="n">
        <ns0:v>5791.938997821349</ns0:v>
      </ns0:c>
      <ns0:c r="J451" s="7" t="n">
        <ns0:v>2895.969498910675</ns0:v>
      </ns0:c>
      <ns0:c r="K451" s="7" t="n">
        <ns0:v>14</ns0:v>
      </ns0:c>
      <ns0:c r="L451" s="7" t="n">
        <ns0:v>32</ns0:v>
      </ns0:c>
      <ns0:c r="M451" s="7" t="n">
        <ns0:v>-166.6143634365835</ns0:v>
      </ns0:c>
      <ns0:c r="N451" s="7" t="n">
        <ns0:v>70692.61439759997</ns0:v>
      </ns0:c>
      <ns0:c r="O451" s="7" t="n">
        <ns0:v>154161.6470802051</ns0:v>
      </ns0:c>
      <ns0:c r="P451" s="7" t="n">
        <ns0:v>362834.2287867181</ns0:v>
      </ns0:c>
      <ns0:c r="Q451" s="7" t="n">
        <ns0:v>1155524.55561277</ns0:v>
      </ns0:c>
      <ns0:c r="R451" s="7" t="n">
        <ns0:v>4006940.699503952</ns0:v>
      </ns0:c>
    </ns0:row>
    <ns0:row r="452" ht="24" customHeight="1">
      <ns0:c r="A452" s="3" t="inlineStr">
        <ns0:is>
          <ns0:t>セット</ns0:t>
        </ns0:is>
      </ns0:c>
      <ns0:c r="B452" s="3" t="inlineStr">
        <ns0:is>
          <ns0:t>G0基本5000比較</ns0:t>
        </ns0:is>
      </ns0:c>
      <ns0:c r="C452" s="3" t="inlineStr">
        <ns0:is>
          <ns0:t>D</ns0:t>
        </ns0:is>
      </ns0:c>
      <ns0:c r="D452" s="4" t="n">
        <ns0:v>2</ns0:v>
      </ns0:c>
      <ns0:c r="E452" s="4" t="n">
        <ns0:v>1500</ns0:v>
      </ns0:c>
      <ns0:c r="F452" s="6" t="n">
        <ns0:v>0.3</ns0:v>
      </ns0:c>
      <ns0:c r="G452" s="4" t="n">
        <ns0:v>0</ns0:v>
      </ns0:c>
      <ns0:c r="H452" s="7" t="n">
        <ns0:v>11787.14596949891</ns0:v>
      </ns0:c>
      <ns0:c r="I452" s="7" t="n">
        <ns0:v>5291.938997821349</ns0:v>
      </ns0:c>
      <ns0:c r="J452" s="7" t="n">
        <ns0:v>1587.581699346405</ns0:v>
      </ns0:c>
      <ns0:c r="K452" s="7" t="n">
        <ns0:v>8</ns0:v>
      </ns0:c>
      <ns0:c r="L452" s="7" t="n">
        <ns0:v>12</ns0:v>
      </ns0:c>
      <ns0:c r="M452" s="7" t="n">
        <ns0:v>24521.21354337069</ns0:v>
      </ns0:c>
      <ns0:c r="N452" s="7" t="n">
        <ns0:v>144756.0981180218</ns0:v>
      </ns0:c>
      <ns0:c r="O452" s="7" t="n">
        <ns0:v>277600.7866142414</ns0:v>
      </ns0:c>
      <ns0:c r="P452" s="7" t="n">
        <ns0:v>609712.5078547907</ns0:v>
      </ns0:c>
      <ns0:c r="Q452" s="7" t="n">
        <ns0:v>1896159.392816989</ns0:v>
      </ns0:c>
      <ns0:c r="R452" s="7" t="n">
        <ns0:v>6475723.49018468</ns0:v>
      </ns0:c>
    </ns0:row>
    <ns0:row r="453" ht="24" customHeight="1">
      <ns0:c r="A453" s="3" t="inlineStr">
        <ns0:is>
          <ns0:t>セット</ns0:t>
        </ns0:is>
      </ns0:c>
      <ns0:c r="B453" s="3" t="inlineStr">
        <ns0:is>
          <ns0:t>G0基本5000比較</ns0:t>
        </ns0:is>
      </ns0:c>
      <ns0:c r="C453" s="3" t="inlineStr">
        <ns0:is>
          <ns0:t>D</ns0:t>
        </ns0:is>
      </ns0:c>
      <ns0:c r="D453" s="4" t="n">
        <ns0:v>2</ns0:v>
      </ns0:c>
      <ns0:c r="E453" s="4" t="n">
        <ns0:v>1500</ns0:v>
      </ns0:c>
      <ns0:c r="F453" s="6" t="n">
        <ns0:v>0.3</ns0:v>
      </ns0:c>
      <ns0:c r="G453" s="4" t="n">
        <ns0:v>1</ns0:v>
      </ns0:c>
      <ns0:c r="H453" s="7" t="n">
        <ns0:v>11787.14596949891</ns0:v>
      </ns0:c>
      <ns0:c r="I453" s="7" t="n">
        <ns0:v>5291.938997821349</ns0:v>
      </ns0:c>
      <ns0:c r="J453" s="7" t="n">
        <ns0:v>1587.581699346405</ns0:v>
      </ns0:c>
      <ns0:c r="K453" s="7" t="n">
        <ns0:v>8</ns0:v>
      </ns0:c>
      <ns0:c r="L453" s="7" t="n">
        <ns0:v>15</ns0:v>
      </ns0:c>
      <ns0:c r="M453" s="7" t="n">
        <ns0:v>19132.74415106828</ns0:v>
      </ns0:c>
      <ns0:c r="N453" s="7" t="n">
        <ns0:v>128590.6899411146</ns0:v>
      </ns0:c>
      <ns0:c r="O453" s="7" t="n">
        <ns0:v>250658.4396527294</ns0:v>
      </ns0:c>
      <ns0:c r="P453" s="7" t="n">
        <ns0:v>555827.8139317667</ns0:v>
      </ns0:c>
      <ns0:c r="Q453" s="7" t="n">
        <ns0:v>1734505.311047916</ns0:v>
      </ns0:c>
      <ns0:c r="R453" s="7" t="n">
        <ns0:v>5936876.550954439</ns0:v>
      </ns0:c>
    </ns0:row>
    <ns0:row r="454" ht="24" customHeight="1">
      <ns0:c r="A454" s="3" t="inlineStr">
        <ns0:is>
          <ns0:t>セット</ns0:t>
        </ns0:is>
      </ns0:c>
      <ns0:c r="B454" s="3" t="inlineStr">
        <ns0:is>
          <ns0:t>G0基本5000比較</ns0:t>
        </ns0:is>
      </ns0:c>
      <ns0:c r="C454" s="3" t="inlineStr">
        <ns0:is>
          <ns0:t>D</ns0:t>
        </ns0:is>
      </ns0:c>
      <ns0:c r="D454" s="4" t="n">
        <ns0:v>2</ns0:v>
      </ns0:c>
      <ns0:c r="E454" s="4" t="n">
        <ns0:v>1500</ns0:v>
      </ns0:c>
      <ns0:c r="F454" s="6" t="n">
        <ns0:v>0.3</ns0:v>
      </ns0:c>
      <ns0:c r="G454" s="4" t="n">
        <ns0:v>2</ns0:v>
      </ns0:c>
      <ns0:c r="H454" s="7" t="n">
        <ns0:v>11787.14596949891</ns0:v>
      </ns0:c>
      <ns0:c r="I454" s="7" t="n">
        <ns0:v>5291.938997821349</ns0:v>
      </ns0:c>
      <ns0:c r="J454" s="7" t="n">
        <ns0:v>1587.581699346405</ns0:v>
      </ns0:c>
      <ns0:c r="K454" s="18" t="inlineStr">
        <ns0:is>
          <ns0:t>範囲内なし</ns0:t>
        </ns0:is>
      </ns0:c>
      <ns0:c r="L454" s="18" t="inlineStr">
        <ns0:is>
          <ns0:t>範囲内なし</ns0:t>
        </ns0:is>
      </ns0:c>
      <ns0:c r="M454" s="7" t="n">
        <ns0:v>-48193.6647974196</ns0:v>
      </ns0:c>
      <ns0:c r="N454" s="7" t="n">
        <ns0:v>-73388.53690434905</ns0:v>
      </ns0:c>
      <ns0:c r="O454" s="7" t="n">
        <ns0:v>-85973.60508970998</ns0:v>
      </ns0:c>
      <ns0:c r="P454" s="7" t="n">
        <ns0:v>-117436.2755531122</ns0:v>
      </ns0:c>
      <ns0:c r="Q454" s="7" t="n">
        <ns0:v>-285286.9574067199</ns0:v>
      </ns0:c>
      <ns0:c r="R454" s="7" t="n">
        <ns0:v>-795764.3438943494</ns0:v>
      </ns0:c>
    </ns0:row>
    <ns0:row r="455" ht="24" customHeight="1">
      <ns0:c r="A455" s="3" t="inlineStr">
        <ns0:is>
          <ns0:t>セット</ns0:t>
        </ns0:is>
      </ns0:c>
      <ns0:c r="B455" s="3" t="inlineStr">
        <ns0:is>
          <ns0:t>G0基本5000比較</ns0:t>
        </ns0:is>
      </ns0:c>
      <ns0:c r="C455" s="3" t="inlineStr">
        <ns0:is>
          <ns0:t>D</ns0:t>
        </ns0:is>
      </ns0:c>
      <ns0:c r="D455" s="4" t="n">
        <ns0:v>2</ns0:v>
      </ns0:c>
      <ns0:c r="E455" s="4" t="n">
        <ns0:v>1500</ns0:v>
      </ns0:c>
      <ns0:c r="F455" s="6" t="n">
        <ns0:v>0.3</ns0:v>
      </ns0:c>
      <ns0:c r="G455" s="4" t="n">
        <ns0:v>3</ns0:v>
      </ns0:c>
      <ns0:c r="H455" s="7" t="n">
        <ns0:v>11787.14596949891</ns0:v>
      </ns0:c>
      <ns0:c r="I455" s="7" t="n">
        <ns0:v>5291.938997821349</ns0:v>
      </ns0:c>
      <ns0:c r="J455" s="7" t="n">
        <ns0:v>1587.581699346405</ns0:v>
      </ns0:c>
      <ns0:c r="K455" s="7" t="n">
        <ns0:v>9</ns0:v>
      </ns0:c>
      <ns0:c r="L455" s="7" t="n">
        <ns0:v>27</ns0:v>
      </ns0:c>
      <ns0:c r="M455" s="7" t="n">
        <ns0:v>8097.263632206112</ns0:v>
      </ns0:c>
      <ns0:c r="N455" s="7" t="n">
        <ns0:v>95484.24838452809</ns0:v>
      </ns0:c>
      <ns0:c r="O455" s="7" t="n">
        <ns0:v>195481.0370584186</ns0:v>
      </ns0:c>
      <ns0:c r="P455" s="7" t="n">
        <ns0:v>445473.008743145</ns0:v>
      </ns0:c>
      <ns0:c r="Q455" s="7" t="n">
        <ns0:v>1403440.895482051</ns0:v>
      </ns0:c>
      <ns0:c r="R455" s="7" t="n">
        <ns0:v>4833328.499068222</ns0:v>
      </ns0:c>
    </ns0:row>
    <ns0:row r="456" ht="24" customHeight="1">
      <ns0:c r="A456" s="3" t="inlineStr">
        <ns0:is>
          <ns0:t>セット</ns0:t>
        </ns0:is>
      </ns0:c>
      <ns0:c r="B456" s="3" t="inlineStr">
        <ns0:is>
          <ns0:t>G0基本5000比較</ns0:t>
        </ns0:is>
      </ns0:c>
      <ns0:c r="C456" s="3" t="inlineStr">
        <ns0:is>
          <ns0:t>D</ns0:t>
        </ns0:is>
      </ns0:c>
      <ns0:c r="D456" s="4" t="n">
        <ns0:v>2</ns0:v>
      </ns0:c>
      <ns0:c r="E456" s="4" t="n">
        <ns0:v>1500</ns0:v>
      </ns0:c>
      <ns0:c r="F456" s="6" t="n">
        <ns0:v>0.4</ns0:v>
      </ns0:c>
      <ns0:c r="G456" s="4" t="n">
        <ns0:v>0</ns0:v>
      </ns0:c>
      <ns0:c r="H456" s="7" t="n">
        <ns0:v>11787.14596949891</ns0:v>
      </ns0:c>
      <ns0:c r="I456" s="7" t="n">
        <ns0:v>5291.938997821349</ns0:v>
      </ns0:c>
      <ns0:c r="J456" s="7" t="n">
        <ns0:v>2116.77559912854</ns0:v>
      </ns0:c>
      <ns0:c r="K456" s="7" t="n">
        <ns0:v>8</ns0:v>
      </ns0:c>
      <ns0:c r="L456" s="7" t="n">
        <ns0:v>13</ns0:v>
      </ns0:c>
      <ns0:c r="M456" s="7" t="n">
        <ns0:v>19229.27454554933</ns0:v>
      </ns0:c>
      <ns0:c r="N456" s="7" t="n">
        <ns0:v>128880.2811245577</ns0:v>
      </ns0:c>
      <ns0:c r="O456" s="7" t="n">
        <ns0:v>251141.0916251347</ns0:v>
      </ns0:c>
      <ns0:c r="P456" s="7" t="n">
        <ns0:v>556793.1178765772</ns0:v>
      </ns0:c>
      <ns0:c r="Q456" s="7" t="n">
        <ns0:v>1737401.222882348</ns0:v>
      </ns0:c>
      <ns0:c r="R456" s="7" t="n">
        <ns0:v>5946529.590402545</ns0:v>
      </ns0:c>
    </ns0:row>
    <ns0:row r="457" ht="24" customHeight="1">
      <ns0:c r="A457" s="3" t="inlineStr">
        <ns0:is>
          <ns0:t>セット</ns0:t>
        </ns0:is>
      </ns0:c>
      <ns0:c r="B457" s="3" t="inlineStr">
        <ns0:is>
          <ns0:t>G0基本5000比較</ns0:t>
        </ns0:is>
      </ns0:c>
      <ns0:c r="C457" s="3" t="inlineStr">
        <ns0:is>
          <ns0:t>D</ns0:t>
        </ns0:is>
      </ns0:c>
      <ns0:c r="D457" s="4" t="n">
        <ns0:v>2</ns0:v>
      </ns0:c>
      <ns0:c r="E457" s="4" t="n">
        <ns0:v>1500</ns0:v>
      </ns0:c>
      <ns0:c r="F457" s="6" t="n">
        <ns0:v>0.4</ns0:v>
      </ns0:c>
      <ns0:c r="G457" s="4" t="n">
        <ns0:v>1</ns0:v>
      </ns0:c>
      <ns0:c r="H457" s="7" t="n">
        <ns0:v>11787.14596949891</ns0:v>
      </ns0:c>
      <ns0:c r="I457" s="7" t="n">
        <ns0:v>5291.938997821349</ns0:v>
      </ns0:c>
      <ns0:c r="J457" s="7" t="n">
        <ns0:v>2116.77559912854</ns0:v>
      </ns0:c>
      <ns0:c r="K457" s="7" t="n">
        <ns0:v>9</ns0:v>
      </ns0:c>
      <ns0:c r="L457" s="7" t="n">
        <ns0:v>16</ns0:v>
      </ns0:c>
      <ns0:c r="M457" s="7" t="n">
        <ns0:v>13840.80515324692</ns0:v>
      </ns0:c>
      <ns0:c r="N457" s="7" t="n">
        <ns0:v>112714.8729476505</ns0:v>
      </ns0:c>
      <ns0:c r="O457" s="7" t="n">
        <ns0:v>224198.7446636227</ns0:v>
      </ns0:c>
      <ns0:c r="P457" s="7" t="n">
        <ns0:v>502908.4239535531</ns0:v>
      </ns0:c>
      <ns0:c r="Q457" s="7" t="n">
        <ns0:v>1575747.141113276</ns0:v>
      </ns0:c>
      <ns0:c r="R457" s="7" t="n">
        <ns0:v>5407682.651172305</ns0:v>
      </ns0:c>
    </ns0:row>
    <ns0:row r="458" ht="24" customHeight="1">
      <ns0:c r="A458" s="3" t="inlineStr">
        <ns0:is>
          <ns0:t>セット</ns0:t>
        </ns0:is>
      </ns0:c>
      <ns0:c r="B458" s="3" t="inlineStr">
        <ns0:is>
          <ns0:t>G0基本5000比較</ns0:t>
        </ns0:is>
      </ns0:c>
      <ns0:c r="C458" s="3" t="inlineStr">
        <ns0:is>
          <ns0:t>D</ns0:t>
        </ns0:is>
      </ns0:c>
      <ns0:c r="D458" s="4" t="n">
        <ns0:v>2</ns0:v>
      </ns0:c>
      <ns0:c r="E458" s="4" t="n">
        <ns0:v>1500</ns0:v>
      </ns0:c>
      <ns0:c r="F458" s="6" t="n">
        <ns0:v>0.4</ns0:v>
      </ns0:c>
      <ns0:c r="G458" s="4" t="n">
        <ns0:v>2</ns0:v>
      </ns0:c>
      <ns0:c r="H458" s="7" t="n">
        <ns0:v>11787.14596949891</ns0:v>
      </ns0:c>
      <ns0:c r="I458" s="7" t="n">
        <ns0:v>5291.938997821349</ns0:v>
      </ns0:c>
      <ns0:c r="J458" s="7" t="n">
        <ns0:v>2116.77559912854</ns0:v>
      </ns0:c>
      <ns0:c r="K458" s="18" t="inlineStr">
        <ns0:is>
          <ns0:t>範囲内なし</ns0:t>
        </ns0:is>
      </ns0:c>
      <ns0:c r="L458" s="18" t="inlineStr">
        <ns0:is>
          <ns0:t>範囲内なし</ns0:t>
        </ns0:is>
      </ns0:c>
      <ns0:c r="M458" s="7" t="n">
        <ns0:v>-53485.60379524095</ns0:v>
      </ns0:c>
      <ns0:c r="N458" s="7" t="n">
        <ns0:v>-89264.3538978131</ns0:v>
      </ns0:c>
      <ns0:c r="O458" s="7" t="n">
        <ns0:v>-112433.3000788167</ns0:v>
      </ns0:c>
      <ns0:c r="P458" s="7" t="n">
        <ns0:v>-170355.6655313256</ns0:v>
      </ns0:c>
      <ns0:c r="Q458" s="7" t="n">
        <ns0:v>-444045.1273413607</ns0:v>
      </ns0:c>
      <ns0:c r="R458" s="7" t="n">
        <ns0:v>-1324958.243676484</ns0:v>
      </ns0:c>
    </ns0:row>
    <ns0:row r="459" ht="24" customHeight="1">
      <ns0:c r="A459" s="3" t="inlineStr">
        <ns0:is>
          <ns0:t>セット</ns0:t>
        </ns0:is>
      </ns0:c>
      <ns0:c r="B459" s="3" t="inlineStr">
        <ns0:is>
          <ns0:t>G0基本5000比較</ns0:t>
        </ns0:is>
      </ns0:c>
      <ns0:c r="C459" s="3" t="inlineStr">
        <ns0:is>
          <ns0:t>D</ns0:t>
        </ns0:is>
      </ns0:c>
      <ns0:c r="D459" s="4" t="n">
        <ns0:v>2</ns0:v>
      </ns0:c>
      <ns0:c r="E459" s="4" t="n">
        <ns0:v>1500</ns0:v>
      </ns0:c>
      <ns0:c r="F459" s="6" t="n">
        <ns0:v>0.4</ns0:v>
      </ns0:c>
      <ns0:c r="G459" s="4" t="n">
        <ns0:v>3</ns0:v>
      </ns0:c>
      <ns0:c r="H459" s="7" t="n">
        <ns0:v>11787.14596949891</ns0:v>
      </ns0:c>
      <ns0:c r="I459" s="7" t="n">
        <ns0:v>5291.938997821349</ns0:v>
      </ns0:c>
      <ns0:c r="J459" s="7" t="n">
        <ns0:v>2116.77559912854</ns0:v>
      </ns0:c>
      <ns0:c r="K459" s="7" t="n">
        <ns0:v>13</ns0:v>
      </ns0:c>
      <ns0:c r="L459" s="7" t="n">
        <ns0:v>30</ns0:v>
      </ns0:c>
      <ns0:c r="M459" s="7" t="n">
        <ns0:v>2805.32463438476</ns0:v>
      </ns0:c>
      <ns0:c r="N459" s="7" t="n">
        <ns0:v>79608.43139106402</ns0:v>
      </ns0:c>
      <ns0:c r="O459" s="7" t="n">
        <ns0:v>169021.3420693119</ns0:v>
      </ns0:c>
      <ns0:c r="P459" s="7" t="n">
        <ns0:v>392553.6187649315</ns0:v>
      </ns0:c>
      <ns0:c r="Q459" s="7" t="n">
        <ns0:v>1244682.725547411</ns0:v>
      </ns0:c>
      <ns0:c r="R459" s="7" t="n">
        <ns0:v>4304134.599286088</ns0:v>
      </ns0:c>
    </ns0:row>
    <ns0:row r="460" ht="24" customHeight="1">
      <ns0:c r="A460" s="3" t="inlineStr">
        <ns0:is>
          <ns0:t>セット</ns0:t>
        </ns0:is>
      </ns0:c>
      <ns0:c r="B460" s="3" t="inlineStr">
        <ns0:is>
          <ns0:t>G0基本5000比較</ns0:t>
        </ns0:is>
      </ns0:c>
      <ns0:c r="C460" s="3" t="inlineStr">
        <ns0:is>
          <ns0:t>D</ns0:t>
        </ns0:is>
      </ns0:c>
      <ns0:c r="D460" s="4" t="n">
        <ns0:v>2</ns0:v>
      </ns0:c>
      <ns0:c r="E460" s="4" t="n">
        <ns0:v>1500</ns0:v>
      </ns0:c>
      <ns0:c r="F460" s="6" t="n">
        <ns0:v>0.5</ns0:v>
      </ns0:c>
      <ns0:c r="G460" s="4" t="n">
        <ns0:v>0</ns0:v>
      </ns0:c>
      <ns0:c r="H460" s="7" t="n">
        <ns0:v>11787.14596949891</ns0:v>
      </ns0:c>
      <ns0:c r="I460" s="7" t="n">
        <ns0:v>5291.938997821349</ns0:v>
      </ns0:c>
      <ns0:c r="J460" s="7" t="n">
        <ns0:v>2645.969498910675</ns0:v>
      </ns0:c>
      <ns0:c r="K460" s="7" t="n">
        <ns0:v>9</ns0:v>
      </ns0:c>
      <ns0:c r="L460" s="7" t="n">
        <ns0:v>13</ns0:v>
      </ns0:c>
      <ns0:c r="M460" s="7" t="n">
        <ns0:v>13937.33554772799</ns0:v>
      </ns0:c>
      <ns0:c r="N460" s="7" t="n">
        <ns0:v>113004.4641310937</ns0:v>
      </ns0:c>
      <ns0:c r="O460" s="7" t="n">
        <ns0:v>224681.396636028</ns0:v>
      </ns0:c>
      <ns0:c r="P460" s="7" t="n">
        <ns0:v>503873.7278983639</ns0:v>
      </ns0:c>
      <ns0:c r="Q460" s="7" t="n">
        <ns0:v>1578643.052947707</ns0:v>
      </ns0:c>
      <ns0:c r="R460" s="7" t="n">
        <ns0:v>5417335.690620409</ns0:v>
      </ns0:c>
    </ns0:row>
    <ns0:row r="461" ht="24" customHeight="1">
      <ns0:c r="A461" s="3" t="inlineStr">
        <ns0:is>
          <ns0:t>セット</ns0:t>
        </ns0:is>
      </ns0:c>
      <ns0:c r="B461" s="3" t="inlineStr">
        <ns0:is>
          <ns0:t>G0基本5000比較</ns0:t>
        </ns0:is>
      </ns0:c>
      <ns0:c r="C461" s="3" t="inlineStr">
        <ns0:is>
          <ns0:t>D</ns0:t>
        </ns0:is>
      </ns0:c>
      <ns0:c r="D461" s="4" t="n">
        <ns0:v>2</ns0:v>
      </ns0:c>
      <ns0:c r="E461" s="4" t="n">
        <ns0:v>1500</ns0:v>
      </ns0:c>
      <ns0:c r="F461" s="6" t="n">
        <ns0:v>0.5</ns0:v>
      </ns0:c>
      <ns0:c r="G461" s="4" t="n">
        <ns0:v>1</ns0:v>
      </ns0:c>
      <ns0:c r="H461" s="7" t="n">
        <ns0:v>11787.14596949891</ns0:v>
      </ns0:c>
      <ns0:c r="I461" s="7" t="n">
        <ns0:v>5291.938997821349</ns0:v>
      </ns0:c>
      <ns0:c r="J461" s="7" t="n">
        <ns0:v>2645.969498910675</ns0:v>
      </ns0:c>
      <ns0:c r="K461" s="7" t="n">
        <ns0:v>9</ns0:v>
      </ns0:c>
      <ns0:c r="L461" s="7" t="n">
        <ns0:v>17</ns0:v>
      </ns0:c>
      <ns0:c r="M461" s="7" t="n">
        <ns0:v>8548.866155425578</ns0:v>
      </ns0:c>
      <ns0:c r="N461" s="7" t="n">
        <ns0:v>96839.05595418648</ns0:v>
      </ns0:c>
      <ns0:c r="O461" s="7" t="n">
        <ns0:v>197739.049674516</ns0:v>
      </ns0:c>
      <ns0:c r="P461" s="7" t="n">
        <ns0:v>449989.0339753398</ns0:v>
      </ns0:c>
      <ns0:c r="Q461" s="7" t="n">
        <ns0:v>1416988.971178635</ns0:v>
      </ns0:c>
      <ns0:c r="R461" s="7" t="n">
        <ns0:v>4878488.751390168</ns0:v>
      </ns0:c>
    </ns0:row>
    <ns0:row r="462" ht="24" customHeight="1">
      <ns0:c r="A462" s="3" t="inlineStr">
        <ns0:is>
          <ns0:t>セット</ns0:t>
        </ns0:is>
      </ns0:c>
      <ns0:c r="B462" s="3" t="inlineStr">
        <ns0:is>
          <ns0:t>G0基本5000比較</ns0:t>
        </ns0:is>
      </ns0:c>
      <ns0:c r="C462" s="3" t="inlineStr">
        <ns0:is>
          <ns0:t>D</ns0:t>
        </ns0:is>
      </ns0:c>
      <ns0:c r="D462" s="4" t="n">
        <ns0:v>2</ns0:v>
      </ns0:c>
      <ns0:c r="E462" s="4" t="n">
        <ns0:v>1500</ns0:v>
      </ns0:c>
      <ns0:c r="F462" s="6" t="n">
        <ns0:v>0.5</ns0:v>
      </ns0:c>
      <ns0:c r="G462" s="4" t="n">
        <ns0:v>2</ns0:v>
      </ns0:c>
      <ns0:c r="H462" s="7" t="n">
        <ns0:v>11787.14596949891</ns0:v>
      </ns0:c>
      <ns0:c r="I462" s="7" t="n">
        <ns0:v>5291.938997821349</ns0:v>
      </ns0:c>
      <ns0:c r="J462" s="7" t="n">
        <ns0:v>2645.969498910675</ns0:v>
      </ns0:c>
      <ns0:c r="K462" s="18" t="inlineStr">
        <ns0:is>
          <ns0:t>範囲内なし</ns0:t>
        </ns0:is>
      </ns0:c>
      <ns0:c r="L462" s="18" t="inlineStr">
        <ns0:is>
          <ns0:t>範囲内なし</ns0:t>
        </ns0:is>
      </ns0:c>
      <ns0:c r="M462" s="7" t="n">
        <ns0:v>-58777.5427930623</ns0:v>
      </ns0:c>
      <ns0:c r="N462" s="7" t="n">
        <ns0:v>-105140.1708912771</ns0:v>
      </ns0:c>
      <ns0:c r="O462" s="7" t="n">
        <ns0:v>-138892.9950679234</ns0:v>
      </ns0:c>
      <ns0:c r="P462" s="7" t="n">
        <ns0:v>-223275.055509539</ns0:v>
      </ns0:c>
      <ns0:c r="Q462" s="7" t="n">
        <ns0:v>-602803.2972760011</ns0:v>
      </ns0:c>
      <ns0:c r="R462" s="7" t="n">
        <ns0:v>-1854152.143458621</ns0:v>
      </ns0:c>
    </ns0:row>
    <ns0:row r="463" ht="24" customHeight="1">
      <ns0:c r="A463" s="3" t="inlineStr">
        <ns0:is>
          <ns0:t>セット</ns0:t>
        </ns0:is>
      </ns0:c>
      <ns0:c r="B463" s="3" t="inlineStr">
        <ns0:is>
          <ns0:t>G0基本5000比較</ns0:t>
        </ns0:is>
      </ns0:c>
      <ns0:c r="C463" s="3" t="inlineStr">
        <ns0:is>
          <ns0:t>D</ns0:t>
        </ns0:is>
      </ns0:c>
      <ns0:c r="D463" s="4" t="n">
        <ns0:v>2</ns0:v>
      </ns0:c>
      <ns0:c r="E463" s="4" t="n">
        <ns0:v>1500</ns0:v>
      </ns0:c>
      <ns0:c r="F463" s="6" t="n">
        <ns0:v>0.5</ns0:v>
      </ns0:c>
      <ns0:c r="G463" s="4" t="n">
        <ns0:v>3</ns0:v>
      </ns0:c>
      <ns0:c r="H463" s="7" t="n">
        <ns0:v>11787.14596949891</ns0:v>
      </ns0:c>
      <ns0:c r="I463" s="7" t="n">
        <ns0:v>5291.938997821349</ns0:v>
      </ns0:c>
      <ns0:c r="J463" s="7" t="n">
        <ns0:v>2645.969498910675</ns0:v>
      </ns0:c>
      <ns0:c r="K463" s="7" t="n">
        <ns0:v>14</ns0:v>
      </ns0:c>
      <ns0:c r="L463" s="7" t="n">
        <ns0:v>34</ns0:v>
      </ns0:c>
      <ns0:c r="M463" s="7" t="n">
        <ns0:v>-2486.614363436584</ns0:v>
      </ns0:c>
      <ns0:c r="N463" s="7" t="n">
        <ns0:v>63732.61439760001</ns0:v>
      </ns0:c>
      <ns0:c r="O463" s="7" t="n">
        <ns0:v>142561.6470802052</ns0:v>
      </ns0:c>
      <ns0:c r="P463" s="7" t="n">
        <ns0:v>339634.2287867182</ns0:v>
      </ns0:c>
      <ns0:c r="Q463" s="7" t="n">
        <ns0:v>1085924.55561277</ns0:v>
      </ns0:c>
      <ns0:c r="R463" s="7" t="n">
        <ns0:v>3774940.699503952</ns0:v>
      </ns0:c>
    </ns0:row>
    <ns0:row r="464" ht="24" customHeight="1">
      <ns0:c r="A464" s="3" t="inlineStr">
        <ns0:is>
          <ns0:t>セット</ns0:t>
        </ns0:is>
      </ns0:c>
      <ns0:c r="B464" s="3" t="inlineStr">
        <ns0:is>
          <ns0:t>G2二段階</ns0:t>
        </ns0:is>
      </ns0:c>
      <ns0:c r="C464" s="3" t="inlineStr">
        <ns0:is>
          <ns0:t>A</ns0:t>
        </ns0:is>
      </ns0:c>
      <ns0:c r="D464" s="4" t="n">
        <ns0:v>0</ns0:v>
      </ns0:c>
      <ns0:c r="E464" s="4" t="n">
        <ns0:v>500</ns0:v>
      </ns0:c>
      <ns0:c r="F464" s="6" t="n">
        <ns0:v>0.3</ns0:v>
      </ns0:c>
      <ns0:c r="G464" s="4" t="n">
        <ns0:v>0</ns0:v>
      </ns0:c>
      <ns0:c r="H464" s="7" t="n">
        <ns0:v>6247.021276595744</ns0:v>
      </ns0:c>
      <ns0:c r="I464" s="7" t="n">
        <ns0:v>3720.588235294118</ns0:v>
      </ns0:c>
      <ns0:c r="J464" s="7" t="n">
        <ns0:v>1116.176470588235</ns0:v>
      </ns0:c>
      <ns0:c r="K464" s="7" t="n">
        <ns0:v>20</ns0:v>
      </ns0:c>
      <ns0:c r="L464" s="7" t="n">
        <ns0:v>33</ns0:v>
      </ns0:c>
      <ns0:c r="M464" s="7" t="n">
        <ns0:v>-22571.21667544037</ns0:v>
      </ns0:c>
      <ns0:c r="N464" s="7" t="n">
        <ns0:v>35411.0978245423</ns0:v>
      </ns0:c>
      <ns0:c r="O464" s="7" t="n">
        <ns0:v>95359.11945844235</ns0:v>
      </ns0:c>
      <ns0:c r="P464" s="7" t="n">
        <ns0:v>245229.1735431925</ns0:v>
      </ns0:c>
      <ns0:c r="Q464" s="7" t="n">
        <ns0:v>802709.3898821929</ns0:v>
      </ns0:c>
      <ns0:c r="R464" s="7" t="n">
        <ns0:v>2830890.147068695</ns0:v>
      </ns0:c>
    </ns0:row>
    <ns0:row r="465" ht="24" customHeight="1">
      <ns0:c r="A465" s="3" t="inlineStr">
        <ns0:is>
          <ns0:t>セット</ns0:t>
        </ns0:is>
      </ns0:c>
      <ns0:c r="B465" s="3" t="inlineStr">
        <ns0:is>
          <ns0:t>G2二段階</ns0:t>
        </ns0:is>
      </ns0:c>
      <ns0:c r="C465" s="3" t="inlineStr">
        <ns0:is>
          <ns0:t>A</ns0:t>
        </ns0:is>
      </ns0:c>
      <ns0:c r="D465" s="4" t="n">
        <ns0:v>0</ns0:v>
      </ns0:c>
      <ns0:c r="E465" s="4" t="n">
        <ns0:v>500</ns0:v>
      </ns0:c>
      <ns0:c r="F465" s="6" t="n">
        <ns0:v>0.3</ns0:v>
      </ns0:c>
      <ns0:c r="G465" s="4" t="n">
        <ns0:v>1</ns0:v>
      </ns0:c>
      <ns0:c r="H465" s="7" t="n">
        <ns0:v>6247.021276595744</ns0:v>
      </ns0:c>
      <ns0:c r="I465" s="7" t="n">
        <ns0:v>3720.588235294118</ns0:v>
      </ns0:c>
      <ns0:c r="J465" s="7" t="n">
        <ns0:v>1116.176470588235</ns0:v>
      </ns0:c>
      <ns0:c r="K465" s="7" t="n">
        <ns0:v>22</ns0:v>
      </ns0:c>
      <ns0:c r="L465" s="7" t="n">
        <ns0:v>50</ns0:v>
      </ns0:c>
      <ns0:c r="M465" s="7" t="n">
        <ns0:v>-26289.85708141121</ns0:v>
      </ns0:c>
      <ns0:c r="N465" s="7" t="n">
        <ns0:v>24255.17660662978</ns0:v>
      </ns0:c>
      <ns0:c r="O465" s="7" t="n">
        <ns0:v>76765.91742858815</ns0:v>
      </ns0:c>
      <ns0:c r="P465" s="7" t="n">
        <ns0:v>208042.7694834841</ns0:v>
      </ns0:c>
      <ns0:c r="Q465" s="7" t="n">
        <ns0:v>691150.1777030677</ns0:v>
      </ns0:c>
      <ns0:c r="R465" s="7" t="n">
        <ns0:v>2459026.106471611</ns0:v>
      </ns0:c>
    </ns0:row>
    <ns0:row r="466" ht="24" customHeight="1">
      <ns0:c r="A466" s="3" t="inlineStr">
        <ns0:is>
          <ns0:t>セット</ns0:t>
        </ns0:is>
      </ns0:c>
      <ns0:c r="B466" s="3" t="inlineStr">
        <ns0:is>
          <ns0:t>G2二段階</ns0:t>
        </ns0:is>
      </ns0:c>
      <ns0:c r="C466" s="3" t="inlineStr">
        <ns0:is>
          <ns0:t>A</ns0:t>
        </ns0:is>
      </ns0:c>
      <ns0:c r="D466" s="4" t="n">
        <ns0:v>0</ns0:v>
      </ns0:c>
      <ns0:c r="E466" s="4" t="n">
        <ns0:v>500</ns0:v>
      </ns0:c>
      <ns0:c r="F466" s="6" t="n">
        <ns0:v>0.3</ns0:v>
      </ns0:c>
      <ns0:c r="G466" s="4" t="n">
        <ns0:v>2</ns0:v>
      </ns0:c>
      <ns0:c r="H466" s="7" t="n">
        <ns0:v>6247.021276595744</ns0:v>
      </ns0:c>
      <ns0:c r="I466" s="7" t="n">
        <ns0:v>3720.588235294118</ns0:v>
      </ns0:c>
      <ns0:c r="J466" s="7" t="n">
        <ns0:v>1116.176470588235</ns0:v>
      </ns0:c>
      <ns0:c r="K466" s="7" t="n">
        <ns0:v>136</ns0:v>
      </ns0:c>
      <ns0:c r="L466" s="18" t="inlineStr">
        <ns0:is>
          <ns0:t>範囲内なし</ns0:t>
        </ns0:is>
      </ns0:c>
      <ns0:c r="M466" s="7" t="n">
        <ns0:v>-45412.66564791766</ns0:v>
      </ns0:c>
      <ns0:c r="N466" s="7" t="n">
        <ns0:v>-33113.24909288954</ns0:v>
      </ns0:c>
      <ns0:c r="O466" s="7" t="n">
        <ns0:v>-18848.12540394405</ns0:v>
      </ns0:c>
      <ns0:c r="P466" s="7" t="n">
        <ns0:v>16814.6838184197</ns0:v>
      </ns0:c>
      <ns0:c r="Q466" s="7" t="n">
        <ns0:v>117465.9207078744</ns0:v>
      </ns0:c>
      <ns0:c r="R466" s="7" t="n">
        <ns0:v>546745.2498209663</ns0:v>
      </ns0:c>
    </ns0:row>
    <ns0:row r="467" ht="24" customHeight="1">
      <ns0:c r="A467" s="3" t="inlineStr">
        <ns0:is>
          <ns0:t>セット</ns0:t>
        </ns0:is>
      </ns0:c>
      <ns0:c r="B467" s="3" t="inlineStr">
        <ns0:is>
          <ns0:t>G2二段階</ns0:t>
        </ns0:is>
      </ns0:c>
      <ns0:c r="C467" s="3" t="inlineStr">
        <ns0:is>
          <ns0:t>A</ns0:t>
        </ns0:is>
      </ns0:c>
      <ns0:c r="D467" s="4" t="n">
        <ns0:v>0</ns0:v>
      </ns0:c>
      <ns0:c r="E467" s="4" t="n">
        <ns0:v>500</ns0:v>
      </ns0:c>
      <ns0:c r="F467" s="6" t="n">
        <ns0:v>0.3</ns0:v>
      </ns0:c>
      <ns0:c r="G467" s="4" t="n">
        <ns0:v>3</ns0:v>
      </ns0:c>
      <ns0:c r="H467" s="7" t="n">
        <ns0:v>6247.021276595744</ns0:v>
      </ns0:c>
      <ns0:c r="I467" s="7" t="n">
        <ns0:v>3720.588235294118</ns0:v>
      </ns0:c>
      <ns0:c r="J467" s="7" t="n">
        <ns0:v>1116.176470588235</ns0:v>
      </ns0:c>
      <ns0:c r="K467" s="7" t="n">
        <ns0:v>31</ns0:v>
      </ns0:c>
      <ns0:c r="L467" s="18" t="inlineStr">
        <ns0:is>
          <ns0:t>範囲内なし</ns0:t>
        </ns0:is>
      </ns0:c>
      <ns0:c r="M467" s="7" t="n">
        <ns0:v>-34858.9639819819</ns0:v>
      </ns0:c>
      <ns0:c r="N467" s="7" t="n">
        <ns0:v>-1452.144095082302</ns0:v>
      </ns0:c>
      <ns0:c r="O467" s="7" t="n">
        <ns0:v>33920.3829257347</ns0:v>
      </ns0:c>
      <ns0:c r="P467" s="7" t="n">
        <ns0:v>122351.7004777772</ns0:v>
      </ns0:c>
      <ns0:c r="Q467" s="7" t="n">
        <ns0:v>434076.9706859469</ns0:v>
      </ns0:c>
      <ns0:c r="R467" s="7" t="n">
        <ns0:v>1602115.416414541</ns0:v>
      </ns0:c>
    </ns0:row>
    <ns0:row r="468" ht="24" customHeight="1">
      <ns0:c r="A468" s="3" t="inlineStr">
        <ns0:is>
          <ns0:t>セット</ns0:t>
        </ns0:is>
      </ns0:c>
      <ns0:c r="B468" s="3" t="inlineStr">
        <ns0:is>
          <ns0:t>G2二段階</ns0:t>
        </ns0:is>
      </ns0:c>
      <ns0:c r="C468" s="3" t="inlineStr">
        <ns0:is>
          <ns0:t>A</ns0:t>
        </ns0:is>
      </ns0:c>
      <ns0:c r="D468" s="4" t="n">
        <ns0:v>0</ns0:v>
      </ns0:c>
      <ns0:c r="E468" s="4" t="n">
        <ns0:v>500</ns0:v>
      </ns0:c>
      <ns0:c r="F468" s="6" t="n">
        <ns0:v>0.4</ns0:v>
      </ns0:c>
      <ns0:c r="G468" s="4" t="n">
        <ns0:v>0</ns0:v>
      </ns0:c>
      <ns0:c r="H468" s="7" t="n">
        <ns0:v>6247.021276595744</ns0:v>
      </ns0:c>
      <ns0:c r="I468" s="7" t="n">
        <ns0:v>3720.588235294118</ns0:v>
      </ns0:c>
      <ns0:c r="J468" s="7" t="n">
        <ns0:v>1488.235294117647</ns0:v>
      </ns0:c>
      <ns0:c r="K468" s="7" t="n">
        <ns0:v>22</ns0:v>
      </ns0:c>
      <ns0:c r="L468" s="7" t="n">
        <ns0:v>38</ns0:v>
      </ns0:c>
      <ns0:c r="M468" s="7" t="n">
        <ns0:v>-26291.80491073449</ns0:v>
      </ns0:c>
      <ns0:c r="N468" s="7" t="n">
        <ns0:v>24249.33311865994</ns0:v>
      </ns0:c>
      <ns0:c r="O468" s="7" t="n">
        <ns0:v>76756.17828197178</ns0:v>
      </ns0:c>
      <ns0:c r="P468" s="7" t="n">
        <ns0:v>208023.2911902514</ns0:v>
      </ns0:c>
      <ns0:c r="Q468" s="7" t="n">
        <ns0:v>691091.7428233693</ns0:v>
      </ns0:c>
      <ns0:c r="R468" s="7" t="n">
        <ns0:v>2458831.323539283</ns0:v>
      </ns0:c>
    </ns0:row>
    <ns0:row r="469" ht="24" customHeight="1">
      <ns0:c r="A469" s="3" t="inlineStr">
        <ns0:is>
          <ns0:t>セット</ns0:t>
        </ns0:is>
      </ns0:c>
      <ns0:c r="B469" s="3" t="inlineStr">
        <ns0:is>
          <ns0:t>G2二段階</ns0:t>
        </ns0:is>
      </ns0:c>
      <ns0:c r="C469" s="3" t="inlineStr">
        <ns0:is>
          <ns0:t>A</ns0:t>
        </ns0:is>
      </ns0:c>
      <ns0:c r="D469" s="4" t="n">
        <ns0:v>0</ns0:v>
      </ns0:c>
      <ns0:c r="E469" s="4" t="n">
        <ns0:v>500</ns0:v>
      </ns0:c>
      <ns0:c r="F469" s="6" t="n">
        <ns0:v>0.4</ns0:v>
      </ns0:c>
      <ns0:c r="G469" s="4" t="n">
        <ns0:v>1</ns0:v>
      </ns0:c>
      <ns0:c r="H469" s="7" t="n">
        <ns0:v>6247.021276595744</ns0:v>
      </ns0:c>
      <ns0:c r="I469" s="7" t="n">
        <ns0:v>3720.588235294118</ns0:v>
      </ns0:c>
      <ns0:c r="J469" s="7" t="n">
        <ns0:v>1488.235294117647</ns0:v>
      </ns0:c>
      <ns0:c r="K469" s="7" t="n">
        <ns0:v>25</ns0:v>
      </ns0:c>
      <ns0:c r="L469" s="7" t="n">
        <ns0:v>102</ns0:v>
      </ns0:c>
      <ns0:c r="M469" s="7" t="n">
        <ns0:v>-30010.44531670533</ns0:v>
      </ns0:c>
      <ns0:c r="N469" s="7" t="n">
        <ns0:v>13093.41190074742</ns0:v>
      </ns0:c>
      <ns0:c r="O469" s="7" t="n">
        <ns0:v>58162.97625211758</ns0:v>
      </ns0:c>
      <ns0:c r="P469" s="7" t="n">
        <ns0:v>170836.8871305429</ns0:v>
      </ns0:c>
      <ns0:c r="Q469" s="7" t="n">
        <ns0:v>579532.530644244</ns0:v>
      </ns0:c>
      <ns0:c r="R469" s="7" t="n">
        <ns0:v>2086967.282942199</ns0:v>
      </ns0:c>
    </ns0:row>
    <ns0:row r="470" ht="24" customHeight="1">
      <ns0:c r="A470" s="3" t="inlineStr">
        <ns0:is>
          <ns0:t>セット</ns0:t>
        </ns0:is>
      </ns0:c>
      <ns0:c r="B470" s="3" t="inlineStr">
        <ns0:is>
          <ns0:t>G2二段階</ns0:t>
        </ns0:is>
      </ns0:c>
      <ns0:c r="C470" s="3" t="inlineStr">
        <ns0:is>
          <ns0:t>A</ns0:t>
        </ns0:is>
      </ns0:c>
      <ns0:c r="D470" s="4" t="n">
        <ns0:v>0</ns0:v>
      </ns0:c>
      <ns0:c r="E470" s="4" t="n">
        <ns0:v>500</ns0:v>
      </ns0:c>
      <ns0:c r="F470" s="6" t="n">
        <ns0:v>0.4</ns0:v>
      </ns0:c>
      <ns0:c r="G470" s="4" t="n">
        <ns0:v>2</ns0:v>
      </ns0:c>
      <ns0:c r="H470" s="7" t="n">
        <ns0:v>6247.021276595744</ns0:v>
      </ns0:c>
      <ns0:c r="I470" s="7" t="n">
        <ns0:v>3720.588235294118</ns0:v>
      </ns0:c>
      <ns0:c r="J470" s="7" t="n">
        <ns0:v>1488.235294117647</ns0:v>
      </ns0:c>
      <ns0:c r="K470" s="7" t="n">
        <ns0:v>283</ns0:v>
      </ns0:c>
      <ns0:c r="L470" s="18" t="inlineStr">
        <ns0:is>
          <ns0:t>範囲内なし</ns0:t>
        </ns0:is>
      </ns0:c>
      <ns0:c r="M470" s="7" t="n">
        <ns0:v>-49133.25388321177</ns0:v>
      </ns0:c>
      <ns0:c r="N470" s="7" t="n">
        <ns0:v>-44275.01379877191</ns0:v>
      </ns0:c>
      <ns0:c r="O470" s="7" t="n">
        <ns0:v>-37451.06658041463</ns0:v>
      </ns0:c>
      <ns0:c r="P470" s="7" t="n">
        <ns0:v>-20391.19853452145</ns0:v>
      </ns0:c>
      <ns0:c r="Q470" s="7" t="n">
        <ns0:v>5848.273649050796</ns0:v>
      </ns0:c>
      <ns0:c r="R470" s="7" t="n">
        <ns0:v>174686.4262915549</ns0:v>
      </ns0:c>
    </ns0:row>
    <ns0:row r="471" ht="24" customHeight="1">
      <ns0:c r="A471" s="3" t="inlineStr">
        <ns0:is>
          <ns0:t>セット</ns0:t>
        </ns0:is>
      </ns0:c>
      <ns0:c r="B471" s="3" t="inlineStr">
        <ns0:is>
          <ns0:t>G2二段階</ns0:t>
        </ns0:is>
      </ns0:c>
      <ns0:c r="C471" s="3" t="inlineStr">
        <ns0:is>
          <ns0:t>A</ns0:t>
        </ns0:is>
      </ns0:c>
      <ns0:c r="D471" s="4" t="n">
        <ns0:v>0</ns0:v>
      </ns0:c>
      <ns0:c r="E471" s="4" t="n">
        <ns0:v>500</ns0:v>
      </ns0:c>
      <ns0:c r="F471" s="6" t="n">
        <ns0:v>0.4</ns0:v>
      </ns0:c>
      <ns0:c r="G471" s="4" t="n">
        <ns0:v>3</ns0:v>
      </ns0:c>
      <ns0:c r="H471" s="7" t="n">
        <ns0:v>6247.021276595744</ns0:v>
      </ns0:c>
      <ns0:c r="I471" s="7" t="n">
        <ns0:v>3720.588235294118</ns0:v>
      </ns0:c>
      <ns0:c r="J471" s="7" t="n">
        <ns0:v>1488.235294117647</ns0:v>
      </ns0:c>
      <ns0:c r="K471" s="7" t="n">
        <ns0:v>40</ns0:v>
      </ns0:c>
      <ns0:c r="L471" s="18" t="inlineStr">
        <ns0:is>
          <ns0:t>範囲内なし</ns0:t>
        </ns0:is>
      </ns0:c>
      <ns0:c r="M471" s="7" t="n">
        <ns0:v>-38579.55221727602</ns0:v>
      </ns0:c>
      <ns0:c r="N471" s="7" t="n">
        <ns0:v>-12613.90880096467</ns0:v>
      </ns0:c>
      <ns0:c r="O471" s="7" t="n">
        <ns0:v>15317.44174926412</ns0:v>
      </ns0:c>
      <ns0:c r="P471" s="7" t="n">
        <ns0:v>85145.81812483605</ns0:v>
      </ns0:c>
      <ns0:c r="Q471" s="7" t="n">
        <ns0:v>322459.3236271233</ns0:v>
      </ns0:c>
      <ns0:c r="R471" s="7" t="n">
        <ns0:v>1230056.59288513</ns0:v>
      </ns0:c>
    </ns0:row>
    <ns0:row r="472" ht="24" customHeight="1">
      <ns0:c r="A472" s="3" t="inlineStr">
        <ns0:is>
          <ns0:t>セット</ns0:t>
        </ns0:is>
      </ns0:c>
      <ns0:c r="B472" s="3" t="inlineStr">
        <ns0:is>
          <ns0:t>G2二段階</ns0:t>
        </ns0:is>
      </ns0:c>
      <ns0:c r="C472" s="3" t="inlineStr">
        <ns0:is>
          <ns0:t>A</ns0:t>
        </ns0:is>
      </ns0:c>
      <ns0:c r="D472" s="4" t="n">
        <ns0:v>0</ns0:v>
      </ns0:c>
      <ns0:c r="E472" s="4" t="n">
        <ns0:v>500</ns0:v>
      </ns0:c>
      <ns0:c r="F472" s="6" t="n">
        <ns0:v>0.5</ns0:v>
      </ns0:c>
      <ns0:c r="G472" s="4" t="n">
        <ns0:v>0</ns0:v>
      </ns0:c>
      <ns0:c r="H472" s="7" t="n">
        <ns0:v>6247.021276595744</ns0:v>
      </ns0:c>
      <ns0:c r="I472" s="7" t="n">
        <ns0:v>3720.588235294118</ns0:v>
      </ns0:c>
      <ns0:c r="J472" s="7" t="n">
        <ns0:v>1860.294117647059</ns0:v>
      </ns0:c>
      <ns0:c r="K472" s="7" t="n">
        <ns0:v>25</ns0:v>
      </ns0:c>
      <ns0:c r="L472" s="7" t="n">
        <ns0:v>44</ns0:v>
      </ns0:c>
      <ns0:c r="M472" s="7" t="n">
        <ns0:v>-30012.39314602861</ns0:v>
      </ns0:c>
      <ns0:c r="N472" s="7" t="n">
        <ns0:v>13087.56841277759</ns0:v>
      </ns0:c>
      <ns0:c r="O472" s="7" t="n">
        <ns0:v>58153.2371055012</ns0:v>
      </ns0:c>
      <ns0:c r="P472" s="7" t="n">
        <ns0:v>170817.4088373102</ns0:v>
      </ns0:c>
      <ns0:c r="Q472" s="7" t="n">
        <ns0:v>579474.0957645458</ns0:v>
      </ns0:c>
      <ns0:c r="R472" s="7" t="n">
        <ns0:v>2086772.500009872</ns0:v>
      </ns0:c>
    </ns0:row>
    <ns0:row r="473" ht="24" customHeight="1">
      <ns0:c r="A473" s="3" t="inlineStr">
        <ns0:is>
          <ns0:t>セット</ns0:t>
        </ns0:is>
      </ns0:c>
      <ns0:c r="B473" s="3" t="inlineStr">
        <ns0:is>
          <ns0:t>G2二段階</ns0:t>
        </ns0:is>
      </ns0:c>
      <ns0:c r="C473" s="3" t="inlineStr">
        <ns0:is>
          <ns0:t>A</ns0:t>
        </ns0:is>
      </ns0:c>
      <ns0:c r="D473" s="4" t="n">
        <ns0:v>0</ns0:v>
      </ns0:c>
      <ns0:c r="E473" s="4" t="n">
        <ns0:v>500</ns0:v>
      </ns0:c>
      <ns0:c r="F473" s="6" t="n">
        <ns0:v>0.5</ns0:v>
      </ns0:c>
      <ns0:c r="G473" s="4" t="n">
        <ns0:v>1</ns0:v>
      </ns0:c>
      <ns0:c r="H473" s="7" t="n">
        <ns0:v>6247.021276595744</ns0:v>
      </ns0:c>
      <ns0:c r="I473" s="7" t="n">
        <ns0:v>3720.588235294118</ns0:v>
      </ns0:c>
      <ns0:c r="J473" s="7" t="n">
        <ns0:v>1860.294117647059</ns0:v>
      </ns0:c>
      <ns0:c r="K473" s="7" t="n">
        <ns0:v>29</ns0:v>
      </ns0:c>
      <ns0:c r="L473" s="7" t="n">
        <ns0:v>134</ns0:v>
      </ns0:c>
      <ns0:c r="M473" s="7" t="n">
        <ns0:v>-33731.03355199945</ns0:v>
      </ns0:c>
      <ns0:c r="N473" s="7" t="n">
        <ns0:v>1931.647194865069</ns0:v>
      </ns0:c>
      <ns0:c r="O473" s="7" t="n">
        <ns0:v>39560.03507564699</ns0:v>
      </ns0:c>
      <ns0:c r="P473" s="7" t="n">
        <ns0:v>133631.0047776018</ns0:v>
      </ns0:c>
      <ns0:c r="Q473" s="7" t="n">
        <ns0:v>467914.8835854206</ns0:v>
      </ns0:c>
      <ns0:c r="R473" s="7" t="n">
        <ns0:v>1714908.459412787</ns0:v>
      </ns0:c>
    </ns0:row>
    <ns0:row r="474" ht="24" customHeight="1">
      <ns0:c r="A474" s="3" t="inlineStr">
        <ns0:is>
          <ns0:t>セット</ns0:t>
        </ns0:is>
      </ns0:c>
      <ns0:c r="B474" s="3" t="inlineStr">
        <ns0:is>
          <ns0:t>G2二段階</ns0:t>
        </ns0:is>
      </ns0:c>
      <ns0:c r="C474" s="3" t="inlineStr">
        <ns0:is>
          <ns0:t>A</ns0:t>
        </ns0:is>
      </ns0:c>
      <ns0:c r="D474" s="4" t="n">
        <ns0:v>0</ns0:v>
      </ns0:c>
      <ns0:c r="E474" s="4" t="n">
        <ns0:v>500</ns0:v>
      </ns0:c>
      <ns0:c r="F474" s="6" t="n">
        <ns0:v>0.5</ns0:v>
      </ns0:c>
      <ns0:c r="G474" s="4" t="n">
        <ns0:v>2</ns0:v>
      </ns0:c>
      <ns0:c r="H474" s="7" t="n">
        <ns0:v>6247.021276595744</ns0:v>
      </ns0:c>
      <ns0:c r="I474" s="7" t="n">
        <ns0:v>3720.588235294118</ns0:v>
      </ns0:c>
      <ns0:c r="J474" s="7" t="n">
        <ns0:v>1860.294117647059</ns0:v>
      </ns0:c>
      <ns0:c r="K474" s="18" t="inlineStr">
        <ns0:is>
          <ns0:t>範囲内なし</ns0:t>
        </ns0:is>
      </ns0:c>
      <ns0:c r="L474" s="18" t="inlineStr">
        <ns0:is>
          <ns0:t>範囲内なし</ns0:t>
        </ns0:is>
      </ns0:c>
      <ns0:c r="M474" s="7" t="n">
        <ns0:v>-52853.8421185059</ns0:v>
      </ns0:c>
      <ns0:c r="N474" s="7" t="n">
        <ns0:v>-55436.77850465426</ns0:v>
      </ns0:c>
      <ns0:c r="O474" s="7" t="n">
        <ns0:v>-56054.00775688521</ns0:v>
      </ns0:c>
      <ns0:c r="P474" s="7" t="n">
        <ns0:v>-57597.08088746262</ns0:v>
      </ns0:c>
      <ns0:c r="Q474" s="7" t="n">
        <ns0:v>-105769.3734097727</ns0:v>
      </ns0:c>
      <ns0:c r="R474" s="7" t="n">
        <ns0:v>-197372.3972378571</ns0:v>
      </ns0:c>
    </ns0:row>
    <ns0:row r="475" ht="24" customHeight="1">
      <ns0:c r="A475" s="3" t="inlineStr">
        <ns0:is>
          <ns0:t>セット</ns0:t>
        </ns0:is>
      </ns0:c>
      <ns0:c r="B475" s="3" t="inlineStr">
        <ns0:is>
          <ns0:t>G2二段階</ns0:t>
        </ns0:is>
      </ns0:c>
      <ns0:c r="C475" s="3" t="inlineStr">
        <ns0:is>
          <ns0:t>A</ns0:t>
        </ns0:is>
      </ns0:c>
      <ns0:c r="D475" s="4" t="n">
        <ns0:v>0</ns0:v>
      </ns0:c>
      <ns0:c r="E475" s="4" t="n">
        <ns0:v>500</ns0:v>
      </ns0:c>
      <ns0:c r="F475" s="6" t="n">
        <ns0:v>0.5</ns0:v>
      </ns0:c>
      <ns0:c r="G475" s="4" t="n">
        <ns0:v>3</ns0:v>
      </ns0:c>
      <ns0:c r="H475" s="7" t="n">
        <ns0:v>6247.021276595744</ns0:v>
      </ns0:c>
      <ns0:c r="I475" s="7" t="n">
        <ns0:v>3720.588235294118</ns0:v>
      </ns0:c>
      <ns0:c r="J475" s="7" t="n">
        <ns0:v>1860.294117647059</ns0:v>
      </ns0:c>
      <ns0:c r="K475" s="7" t="n">
        <ns0:v>54</ns0:v>
      </ns0:c>
      <ns0:c r="L475" s="18" t="inlineStr">
        <ns0:is>
          <ns0:t>範囲内なし</ns0:t>
        </ns0:is>
      </ns0:c>
      <ns0:c r="M475" s="7" t="n">
        <ns0:v>-42300.14045257014</ns0:v>
      </ns0:c>
      <ns0:c r="N475" s="7" t="n">
        <ns0:v>-23775.67350684702</ns0:v>
      </ns0:c>
      <ns0:c r="O475" s="7" t="n">
        <ns0:v>-3285.499427206465</ns0:v>
      </ns0:c>
      <ns0:c r="P475" s="7" t="n">
        <ns0:v>47939.93577189487</ns0:v>
      </ns0:c>
      <ns0:c r="Q475" s="7" t="n">
        <ns0:v>210841.6765682998</ns0:v>
      </ns0:c>
      <ns0:c r="R475" s="7" t="n">
        <ns0:v>857997.7693557178</ns0:v>
      </ns0:c>
    </ns0:row>
    <ns0:row r="476" ht="24" customHeight="1">
      <ns0:c r="A476" s="3" t="inlineStr">
        <ns0:is>
          <ns0:t>セット</ns0:t>
        </ns0:is>
      </ns0:c>
      <ns0:c r="B476" s="3" t="inlineStr">
        <ns0:is>
          <ns0:t>G2二段階</ns0:t>
        </ns0:is>
      </ns0:c>
      <ns0:c r="C476" s="3" t="inlineStr">
        <ns0:is>
          <ns0:t>A</ns0:t>
        </ns0:is>
      </ns0:c>
      <ns0:c r="D476" s="4" t="n">
        <ns0:v>0</ns0:v>
      </ns0:c>
      <ns0:c r="E476" s="4" t="n">
        <ns0:v>1000</ns0:v>
      </ns0:c>
      <ns0:c r="F476" s="6" t="n">
        <ns0:v>0.3</ns0:v>
      </ns0:c>
      <ns0:c r="G476" s="4" t="n">
        <ns0:v>0</ns0:v>
      </ns0:c>
      <ns0:c r="H476" s="7" t="n">
        <ns0:v>5747.021276595744</ns0:v>
      </ns0:c>
      <ns0:c r="I476" s="7" t="n">
        <ns0:v>3220.588235294118</ns0:v>
      </ns0:c>
      <ns0:c r="J476" s="7" t="n">
        <ns0:v>966.1764705882352</ns0:v>
      </ns0:c>
      <ns0:c r="K476" s="7" t="n">
        <ns0:v>22</ns0:v>
      </ns0:c>
      <ns0:c r="L476" s="7" t="n">
        <ns0:v>37</ns0:v>
      </ns0:c>
      <ns0:c r="M476" s="7" t="n">
        <ns0:v>-25891.21667544038</ns0:v>
      </ns0:c>
      <ns0:c r="N476" s="7" t="n">
        <ns0:v>25451.09782454229</ns0:v>
      </ns0:c>
      <ns0:c r="O476" s="7" t="n">
        <ns0:v>78759.11945844235</ns0:v>
      </ns0:c>
      <ns0:c r="P476" s="7" t="n">
        <ns0:v>212029.1735431925</ns0:v>
      </ns0:c>
      <ns0:c r="Q476" s="7" t="n">
        <ns0:v>703109.3898821932</ns0:v>
      </ns0:c>
      <ns0:c r="R476" s="7" t="n">
        <ns0:v>2498890.147068696</ns0:v>
      </ns0:c>
    </ns0:row>
    <ns0:row r="477" ht="24" customHeight="1">
      <ns0:c r="A477" s="3" t="inlineStr">
        <ns0:is>
          <ns0:t>セット</ns0:t>
        </ns0:is>
      </ns0:c>
      <ns0:c r="B477" s="3" t="inlineStr">
        <ns0:is>
          <ns0:t>G2二段階</ns0:t>
        </ns0:is>
      </ns0:c>
      <ns0:c r="C477" s="3" t="inlineStr">
        <ns0:is>
          <ns0:t>A</ns0:t>
        </ns0:is>
      </ns0:c>
      <ns0:c r="D477" s="4" t="n">
        <ns0:v>0</ns0:v>
      </ns0:c>
      <ns0:c r="E477" s="4" t="n">
        <ns0:v>1000</ns0:v>
      </ns0:c>
      <ns0:c r="F477" s="6" t="n">
        <ns0:v>0.3</ns0:v>
      </ns0:c>
      <ns0:c r="G477" s="4" t="n">
        <ns0:v>1</ns0:v>
      </ns0:c>
      <ns0:c r="H477" s="7" t="n">
        <ns0:v>5747.021276595744</ns0:v>
      </ns0:c>
      <ns0:c r="I477" s="7" t="n">
        <ns0:v>3220.588235294118</ns0:v>
      </ns0:c>
      <ns0:c r="J477" s="7" t="n">
        <ns0:v>966.1764705882352</ns0:v>
      </ns0:c>
      <ns0:c r="K477" s="7" t="n">
        <ns0:v>24</ns0:v>
      </ns0:c>
      <ns0:c r="L477" s="7" t="n">
        <ns0:v>61</ns0:v>
      </ns0:c>
      <ns0:c r="M477" s="7" t="n">
        <ns0:v>-29609.85708141122</ns0:v>
      </ns0:c>
      <ns0:c r="N477" s="7" t="n">
        <ns0:v>14295.17660662977</ns0:v>
      </ns0:c>
      <ns0:c r="O477" s="7" t="n">
        <ns0:v>60165.91742858814</ns0:v>
      </ns0:c>
      <ns0:c r="P477" s="7" t="n">
        <ns0:v>174842.7694834841</ns0:v>
      </ns0:c>
      <ns0:c r="Q477" s="7" t="n">
        <ns0:v>591550.1777030679</ns0:v>
      </ns0:c>
      <ns0:c r="R477" s="7" t="n">
        <ns0:v>2127026.106471612</ns0:v>
      </ns0:c>
    </ns0:row>
    <ns0:row r="478" ht="24" customHeight="1">
      <ns0:c r="A478" s="3" t="inlineStr">
        <ns0:is>
          <ns0:t>セット</ns0:t>
        </ns0:is>
      </ns0:c>
      <ns0:c r="B478" s="3" t="inlineStr">
        <ns0:is>
          <ns0:t>G2二段階</ns0:t>
        </ns0:is>
      </ns0:c>
      <ns0:c r="C478" s="3" t="inlineStr">
        <ns0:is>
          <ns0:t>A</ns0:t>
        </ns0:is>
      </ns0:c>
      <ns0:c r="D478" s="4" t="n">
        <ns0:v>0</ns0:v>
      </ns0:c>
      <ns0:c r="E478" s="4" t="n">
        <ns0:v>1000</ns0:v>
      </ns0:c>
      <ns0:c r="F478" s="6" t="n">
        <ns0:v>0.3</ns0:v>
      </ns0:c>
      <ns0:c r="G478" s="4" t="n">
        <ns0:v>2</ns0:v>
      </ns0:c>
      <ns0:c r="H478" s="7" t="n">
        <ns0:v>5747.021276595744</ns0:v>
      </ns0:c>
      <ns0:c r="I478" s="7" t="n">
        <ns0:v>3220.588235294118</ns0:v>
      </ns0:c>
      <ns0:c r="J478" s="7" t="n">
        <ns0:v>966.1764705882352</ns0:v>
      </ns0:c>
      <ns0:c r="K478" s="7" t="n">
        <ns0:v>254</ns0:v>
      </ns0:c>
      <ns0:c r="L478" s="18" t="inlineStr">
        <ns0:is>
          <ns0:t>範囲内なし</ns0:t>
        </ns0:is>
      </ns0:c>
      <ns0:c r="M478" s="7" t="n">
        <ns0:v>-48732.66564791766</ns0:v>
      </ns0:c>
      <ns0:c r="N478" s="7" t="n">
        <ns0:v>-43073.24909288956</ns0:v>
      </ns0:c>
      <ns0:c r="O478" s="7" t="n">
        <ns0:v>-35448.12540394408</ns0:v>
      </ns0:c>
      <ns0:c r="P478" s="7" t="n">
        <ns0:v>-16385.31618158036</ns0:v>
      </ns0:c>
      <ns0:c r="Q478" s="7" t="n">
        <ns0:v>17865.92070787458</ns0:v>
      </ns0:c>
      <ns0:c r="R478" s="7" t="n">
        <ns0:v>214745.2498209674</ns0:v>
      </ns0:c>
    </ns0:row>
    <ns0:row r="479" ht="24" customHeight="1">
      <ns0:c r="A479" s="3" t="inlineStr">
        <ns0:is>
          <ns0:t>セット</ns0:t>
        </ns0:is>
      </ns0:c>
      <ns0:c r="B479" s="3" t="inlineStr">
        <ns0:is>
          <ns0:t>G2二段階</ns0:t>
        </ns0:is>
      </ns0:c>
      <ns0:c r="C479" s="3" t="inlineStr">
        <ns0:is>
          <ns0:t>A</ns0:t>
        </ns0:is>
      </ns0:c>
      <ns0:c r="D479" s="4" t="n">
        <ns0:v>0</ns0:v>
      </ns0:c>
      <ns0:c r="E479" s="4" t="n">
        <ns0:v>1000</ns0:v>
      </ns0:c>
      <ns0:c r="F479" s="6" t="n">
        <ns0:v>0.3</ns0:v>
      </ns0:c>
      <ns0:c r="G479" s="4" t="n">
        <ns0:v>3</ns0:v>
      </ns0:c>
      <ns0:c r="H479" s="7" t="n">
        <ns0:v>5747.021276595744</ns0:v>
      </ns0:c>
      <ns0:c r="I479" s="7" t="n">
        <ns0:v>3220.588235294118</ns0:v>
      </ns0:c>
      <ns0:c r="J479" s="7" t="n">
        <ns0:v>966.1764705882352</ns0:v>
      </ns0:c>
      <ns0:c r="K479" s="7" t="n">
        <ns0:v>38</ns0:v>
      </ns0:c>
      <ns0:c r="L479" s="18" t="inlineStr">
        <ns0:is>
          <ns0:t>範囲内なし</ns0:t>
        </ns0:is>
      </ns0:c>
      <ns0:c r="M479" s="7" t="n">
        <ns0:v>-38178.96398198191</ns0:v>
      </ns0:c>
      <ns0:c r="N479" s="7" t="n">
        <ns0:v>-11412.14409508232</ns0:v>
      </ns0:c>
      <ns0:c r="O479" s="7" t="n">
        <ns0:v>17320.38292573468</ns0:v>
      </ns0:c>
      <ns0:c r="P479" s="7" t="n">
        <ns0:v>89151.70047777717</ns0:v>
      </ns0:c>
      <ns0:c r="Q479" s="7" t="n">
        <ns0:v>334476.970685947</ns0:v>
      </ns0:c>
      <ns0:c r="R479" s="7" t="n">
        <ns0:v>1270115.416414542</ns0:v>
      </ns0:c>
    </ns0:row>
    <ns0:row r="480" ht="24" customHeight="1">
      <ns0:c r="A480" s="3" t="inlineStr">
        <ns0:is>
          <ns0:t>セット</ns0:t>
        </ns0:is>
      </ns0:c>
      <ns0:c r="B480" s="3" t="inlineStr">
        <ns0:is>
          <ns0:t>G2二段階</ns0:t>
        </ns0:is>
      </ns0:c>
      <ns0:c r="C480" s="3" t="inlineStr">
        <ns0:is>
          <ns0:t>A</ns0:t>
        </ns0:is>
      </ns0:c>
      <ns0:c r="D480" s="4" t="n">
        <ns0:v>0</ns0:v>
      </ns0:c>
      <ns0:c r="E480" s="4" t="n">
        <ns0:v>1000</ns0:v>
      </ns0:c>
      <ns0:c r="F480" s="6" t="n">
        <ns0:v>0.4</ns0:v>
      </ns0:c>
      <ns0:c r="G480" s="4" t="n">
        <ns0:v>0</ns0:v>
      </ns0:c>
      <ns0:c r="H480" s="7" t="n">
        <ns0:v>5747.021276595744</ns0:v>
      </ns0:c>
      <ns0:c r="I480" s="7" t="n">
        <ns0:v>3220.588235294118</ns0:v>
      </ns0:c>
      <ns0:c r="J480" s="7" t="n">
        <ns0:v>1288.235294117647</ns0:v>
      </ns0:c>
      <ns0:c r="K480" s="7" t="n">
        <ns0:v>24</ns0:v>
      </ns0:c>
      <ns0:c r="L480" s="7" t="n">
        <ns0:v>42</ns0:v>
      </ns0:c>
      <ns0:c r="M480" s="7" t="n">
        <ns0:v>-29111.80491073449</ns0:v>
      </ns0:c>
      <ns0:c r="N480" s="7" t="n">
        <ns0:v>15789.33311865993</ns0:v>
      </ns0:c>
      <ns0:c r="O480" s="7" t="n">
        <ns0:v>62656.17828197174</ns0:v>
      </ns0:c>
      <ns0:c r="P480" s="7" t="n">
        <ns0:v>179823.2911902513</ns0:v>
      </ns0:c>
      <ns0:c r="Q480" s="7" t="n">
        <ns0:v>606491.7428233693</ns0:v>
      </ns0:c>
      <ns0:c r="R480" s="7" t="n">
        <ns0:v>2176831.323539284</ns0:v>
      </ns0:c>
    </ns0:row>
    <ns0:row r="481" ht="24" customHeight="1">
      <ns0:c r="A481" s="3" t="inlineStr">
        <ns0:is>
          <ns0:t>セット</ns0:t>
        </ns0:is>
      </ns0:c>
      <ns0:c r="B481" s="3" t="inlineStr">
        <ns0:is>
          <ns0:t>G2二段階</ns0:t>
        </ns0:is>
      </ns0:c>
      <ns0:c r="C481" s="3" t="inlineStr">
        <ns0:is>
          <ns0:t>A</ns0:t>
        </ns0:is>
      </ns0:c>
      <ns0:c r="D481" s="4" t="n">
        <ns0:v>0</ns0:v>
      </ns0:c>
      <ns0:c r="E481" s="4" t="n">
        <ns0:v>1000</ns0:v>
      </ns0:c>
      <ns0:c r="F481" s="6" t="n">
        <ns0:v>0.4</ns0:v>
      </ns0:c>
      <ns0:c r="G481" s="4" t="n">
        <ns0:v>1</ns0:v>
      </ns0:c>
      <ns0:c r="H481" s="7" t="n">
        <ns0:v>5747.021276595744</ns0:v>
      </ns0:c>
      <ns0:c r="I481" s="7" t="n">
        <ns0:v>3220.588235294118</ns0:v>
      </ns0:c>
      <ns0:c r="J481" s="7" t="n">
        <ns0:v>1288.235294117647</ns0:v>
      </ns0:c>
      <ns0:c r="K481" s="7" t="n">
        <ns0:v>28</ns0:v>
      </ns0:c>
      <ns0:c r="L481" s="7" t="n">
        <ns0:v>124</ns0:v>
      </ns0:c>
      <ns0:c r="M481" s="7" t="n">
        <ns0:v>-32830.44531670533</ns0:v>
      </ns0:c>
      <ns0:c r="N481" s="7" t="n">
        <ns0:v>4633.411900747404</ns0:v>
      </ns0:c>
      <ns0:c r="O481" s="7" t="n">
        <ns0:v>44062.97625211753</ns0:v>
      </ns0:c>
      <ns0:c r="P481" s="7" t="n">
        <ns0:v>142636.8871305429</ns0:v>
      </ns0:c>
      <ns0:c r="Q481" s="7" t="n">
        <ns0:v>494932.5306442442</ns0:v>
      </ns0:c>
      <ns0:c r="R481" s="7" t="n">
        <ns0:v>1804967.2829422</ns0:v>
      </ns0:c>
    </ns0:row>
    <ns0:row r="482" ht="24" customHeight="1">
      <ns0:c r="A482" s="3" t="inlineStr">
        <ns0:is>
          <ns0:t>セット</ns0:t>
        </ns0:is>
      </ns0:c>
      <ns0:c r="B482" s="3" t="inlineStr">
        <ns0:is>
          <ns0:t>G2二段階</ns0:t>
        </ns0:is>
      </ns0:c>
      <ns0:c r="C482" s="3" t="inlineStr">
        <ns0:is>
          <ns0:t>A</ns0:t>
        </ns0:is>
      </ns0:c>
      <ns0:c r="D482" s="4" t="n">
        <ns0:v>0</ns0:v>
      </ns0:c>
      <ns0:c r="E482" s="4" t="n">
        <ns0:v>1000</ns0:v>
      </ns0:c>
      <ns0:c r="F482" s="6" t="n">
        <ns0:v>0.4</ns0:v>
      </ns0:c>
      <ns0:c r="G482" s="4" t="n">
        <ns0:v>2</ns0:v>
      </ns0:c>
      <ns0:c r="H482" s="7" t="n">
        <ns0:v>5747.021276595744</ns0:v>
      </ns0:c>
      <ns0:c r="I482" s="7" t="n">
        <ns0:v>3220.588235294118</ns0:v>
      </ns0:c>
      <ns0:c r="J482" s="7" t="n">
        <ns0:v>1288.235294117647</ns0:v>
      </ns0:c>
      <ns0:c r="K482" s="18" t="inlineStr">
        <ns0:is>
          <ns0:t>範囲内なし</ns0:t>
        </ns0:is>
      </ns0:c>
      <ns0:c r="L482" s="18" t="inlineStr">
        <ns0:is>
          <ns0:t>範囲内なし</ns0:t>
        </ns0:is>
      </ns0:c>
      <ns0:c r="M482" s="7" t="n">
        <ns0:v>-51953.25388321177</ns0:v>
      </ns0:c>
      <ns0:c r="N482" s="7" t="n">
        <ns0:v>-52735.01379877192</ns0:v>
      </ns0:c>
      <ns0:c r="O482" s="7" t="n">
        <ns0:v>-51551.06658041467</ns0:v>
      </ns0:c>
      <ns0:c r="P482" s="7" t="n">
        <ns0:v>-48591.19853452157</ns0:v>
      </ns0:c>
      <ns0:c r="Q482" s="7" t="n">
        <ns0:v>-78751.72635094915</ns0:v>
      </ns0:c>
      <ns0:c r="R482" s="7" t="n">
        <ns0:v>-107313.5737084446</ns0:v>
      </ns0:c>
    </ns0:row>
    <ns0:row r="483" ht="24" customHeight="1">
      <ns0:c r="A483" s="3" t="inlineStr">
        <ns0:is>
          <ns0:t>セット</ns0:t>
        </ns0:is>
      </ns0:c>
      <ns0:c r="B483" s="3" t="inlineStr">
        <ns0:is>
          <ns0:t>G2二段階</ns0:t>
        </ns0:is>
      </ns0:c>
      <ns0:c r="C483" s="3" t="inlineStr">
        <ns0:is>
          <ns0:t>A</ns0:t>
        </ns0:is>
      </ns0:c>
      <ns0:c r="D483" s="4" t="n">
        <ns0:v>0</ns0:v>
      </ns0:c>
      <ns0:c r="E483" s="4" t="n">
        <ns0:v>1000</ns0:v>
      </ns0:c>
      <ns0:c r="F483" s="6" t="n">
        <ns0:v>0.4</ns0:v>
      </ns0:c>
      <ns0:c r="G483" s="4" t="n">
        <ns0:v>3</ns0:v>
      </ns0:c>
      <ns0:c r="H483" s="7" t="n">
        <ns0:v>5747.021276595744</ns0:v>
      </ns0:c>
      <ns0:c r="I483" s="7" t="n">
        <ns0:v>3220.588235294118</ns0:v>
      </ns0:c>
      <ns0:c r="J483" s="7" t="n">
        <ns0:v>1288.235294117647</ns0:v>
      </ns0:c>
      <ns0:c r="K483" s="7" t="n">
        <ns0:v>49</ns0:v>
      </ns0:c>
      <ns0:c r="L483" s="18" t="inlineStr">
        <ns0:is>
          <ns0:t>範囲内なし</ns0:t>
        </ns0:is>
      </ns0:c>
      <ns0:c r="M483" s="7" t="n">
        <ns0:v>-41399.55221727602</ns0:v>
      </ns0:c>
      <ns0:c r="N483" s="7" t="n">
        <ns0:v>-21073.90880096468</ns0:v>
      </ns0:c>
      <ns0:c r="O483" s="7" t="n">
        <ns0:v>1217.441749264071</ns0:v>
      </ns0:c>
      <ns0:c r="P483" s="7" t="n">
        <ns0:v>56945.81812483593</ns0:v>
      </ns0:c>
      <ns0:c r="Q483" s="7" t="n">
        <ns0:v>237859.3236271233</ns0:v>
      </ns0:c>
      <ns0:c r="R483" s="7" t="n">
        <ns0:v>948056.5928851303</ns0:v>
      </ns0:c>
    </ns0:row>
    <ns0:row r="484" ht="24" customHeight="1">
      <ns0:c r="A484" s="3" t="inlineStr">
        <ns0:is>
          <ns0:t>セット</ns0:t>
        </ns0:is>
      </ns0:c>
      <ns0:c r="B484" s="3" t="inlineStr">
        <ns0:is>
          <ns0:t>G2二段階</ns0:t>
        </ns0:is>
      </ns0:c>
      <ns0:c r="C484" s="3" t="inlineStr">
        <ns0:is>
          <ns0:t>A</ns0:t>
        </ns0:is>
      </ns0:c>
      <ns0:c r="D484" s="4" t="n">
        <ns0:v>0</ns0:v>
      </ns0:c>
      <ns0:c r="E484" s="4" t="n">
        <ns0:v>1000</ns0:v>
      </ns0:c>
      <ns0:c r="F484" s="6" t="n">
        <ns0:v>0.5</ns0:v>
      </ns0:c>
      <ns0:c r="G484" s="4" t="n">
        <ns0:v>0</ns0:v>
      </ns0:c>
      <ns0:c r="H484" s="7" t="n">
        <ns0:v>5747.021276595744</ns0:v>
      </ns0:c>
      <ns0:c r="I484" s="7" t="n">
        <ns0:v>3220.588235294118</ns0:v>
      </ns0:c>
      <ns0:c r="J484" s="7" t="n">
        <ns0:v>1610.294117647059</ns0:v>
      </ns0:c>
      <ns0:c r="K484" s="7" t="n">
        <ns0:v>27</ns0:v>
      </ns0:c>
      <ns0:c r="L484" s="7" t="n">
        <ns0:v>49</ns0:v>
      </ns0:c>
      <ns0:c r="M484" s="7" t="n">
        <ns0:v>-32332.39314602861</ns0:v>
      </ns0:c>
      <ns0:c r="N484" s="7" t="n">
        <ns0:v>6127.568412777578</ns0:v>
      </ns0:c>
      <ns0:c r="O484" s="7" t="n">
        <ns0:v>46553.23710550115</ns0:v>
      </ns0:c>
      <ns0:c r="P484" s="7" t="n">
        <ns0:v>147617.4088373101</ns0:v>
      </ns0:c>
      <ns0:c r="Q484" s="7" t="n">
        <ns0:v>509874.095764546</ns0:v>
      </ns0:c>
      <ns0:c r="R484" s="7" t="n">
        <ns0:v>1854772.500009872</ns0:v>
      </ns0:c>
    </ns0:row>
    <ns0:row r="485" ht="24" customHeight="1">
      <ns0:c r="A485" s="3" t="inlineStr">
        <ns0:is>
          <ns0:t>セット</ns0:t>
        </ns0:is>
      </ns0:c>
      <ns0:c r="B485" s="3" t="inlineStr">
        <ns0:is>
          <ns0:t>G2二段階</ns0:t>
        </ns0:is>
      </ns0:c>
      <ns0:c r="C485" s="3" t="inlineStr">
        <ns0:is>
          <ns0:t>A</ns0:t>
        </ns0:is>
      </ns0:c>
      <ns0:c r="D485" s="4" t="n">
        <ns0:v>0</ns0:v>
      </ns0:c>
      <ns0:c r="E485" s="4" t="n">
        <ns0:v>1000</ns0:v>
      </ns0:c>
      <ns0:c r="F485" s="6" t="n">
        <ns0:v>0.5</ns0:v>
      </ns0:c>
      <ns0:c r="G485" s="4" t="n">
        <ns0:v>1</ns0:v>
      </ns0:c>
      <ns0:c r="H485" s="7" t="n">
        <ns0:v>5747.021276595744</ns0:v>
      </ns0:c>
      <ns0:c r="I485" s="7" t="n">
        <ns0:v>3220.588235294118</ns0:v>
      </ns0:c>
      <ns0:c r="J485" s="7" t="n">
        <ns0:v>1610.294117647059</ns0:v>
      </ns0:c>
      <ns0:c r="K485" s="7" t="n">
        <ns0:v>34</ns0:v>
      </ns0:c>
      <ns0:c r="L485" s="7" t="n">
        <ns0:v>166</ns0:v>
      </ns0:c>
      <ns0:c r="M485" s="7" t="n">
        <ns0:v>-36051.03355199946</ns0:v>
      </ns0:c>
      <ns0:c r="N485" s="7" t="n">
        <ns0:v>-5028.352805134946</ns0:v>
      </ns0:c>
      <ns0:c r="O485" s="7" t="n">
        <ns0:v>27960.03507564694</ns0:v>
      </ns0:c>
      <ns0:c r="P485" s="7" t="n">
        <ns0:v>110431.0047776017</ns0:v>
      </ns0:c>
      <ns0:c r="Q485" s="7" t="n">
        <ns0:v>398314.8835854208</ns0:v>
      </ns0:c>
      <ns0:c r="R485" s="7" t="n">
        <ns0:v>1482908.459412788</ns0:v>
      </ns0:c>
    </ns0:row>
    <ns0:row r="486" ht="24" customHeight="1">
      <ns0:c r="A486" s="3" t="inlineStr">
        <ns0:is>
          <ns0:t>セット</ns0:t>
        </ns0:is>
      </ns0:c>
      <ns0:c r="B486" s="3" t="inlineStr">
        <ns0:is>
          <ns0:t>G2二段階</ns0:t>
        </ns0:is>
      </ns0:c>
      <ns0:c r="C486" s="3" t="inlineStr">
        <ns0:is>
          <ns0:t>A</ns0:t>
        </ns0:is>
      </ns0:c>
      <ns0:c r="D486" s="4" t="n">
        <ns0:v>0</ns0:v>
      </ns0:c>
      <ns0:c r="E486" s="4" t="n">
        <ns0:v>1000</ns0:v>
      </ns0:c>
      <ns0:c r="F486" s="6" t="n">
        <ns0:v>0.5</ns0:v>
      </ns0:c>
      <ns0:c r="G486" s="4" t="n">
        <ns0:v>2</ns0:v>
      </ns0:c>
      <ns0:c r="H486" s="7" t="n">
        <ns0:v>5747.021276595744</ns0:v>
      </ns0:c>
      <ns0:c r="I486" s="7" t="n">
        <ns0:v>3220.588235294118</ns0:v>
      </ns0:c>
      <ns0:c r="J486" s="7" t="n">
        <ns0:v>1610.294117647059</ns0:v>
      </ns0:c>
      <ns0:c r="K486" s="18" t="inlineStr">
        <ns0:is>
          <ns0:t>範囲内なし</ns0:t>
        </ns0:is>
      </ns0:c>
      <ns0:c r="L486" s="18" t="inlineStr">
        <ns0:is>
          <ns0:t>範囲内なし</ns0:t>
        </ns0:is>
      </ns0:c>
      <ns0:c r="M486" s="7" t="n">
        <ns0:v>-55173.8421185059</ns0:v>
      </ns0:c>
      <ns0:c r="N486" s="7" t="n">
        <ns0:v>-62396.77850465427</ns0:v>
      </ns0:c>
      <ns0:c r="O486" s="7" t="n">
        <ns0:v>-67654.00775688527</ns0:v>
      </ns0:c>
      <ns0:c r="P486" s="7" t="n">
        <ns0:v>-80797.08088746274</ns0:v>
      </ns0:c>
      <ns0:c r="Q486" s="7" t="n">
        <ns0:v>-175369.3734097725</ns0:v>
      </ns0:c>
      <ns0:c r="R486" s="7" t="n">
        <ns0:v>-429372.3972378562</ns0:v>
      </ns0:c>
    </ns0:row>
    <ns0:row r="487" ht="24" customHeight="1">
      <ns0:c r="A487" s="3" t="inlineStr">
        <ns0:is>
          <ns0:t>セット</ns0:t>
        </ns0:is>
      </ns0:c>
      <ns0:c r="B487" s="3" t="inlineStr">
        <ns0:is>
          <ns0:t>G2二段階</ns0:t>
        </ns0:is>
      </ns0:c>
      <ns0:c r="C487" s="3" t="inlineStr">
        <ns0:is>
          <ns0:t>A</ns0:t>
        </ns0:is>
      </ns0:c>
      <ns0:c r="D487" s="4" t="n">
        <ns0:v>0</ns0:v>
      </ns0:c>
      <ns0:c r="E487" s="4" t="n">
        <ns0:v>1000</ns0:v>
      </ns0:c>
      <ns0:c r="F487" s="6" t="n">
        <ns0:v>0.5</ns0:v>
      </ns0:c>
      <ns0:c r="G487" s="4" t="n">
        <ns0:v>3</ns0:v>
      </ns0:c>
      <ns0:c r="H487" s="7" t="n">
        <ns0:v>5747.021276595744</ns0:v>
      </ns0:c>
      <ns0:c r="I487" s="7" t="n">
        <ns0:v>3220.588235294118</ns0:v>
      </ns0:c>
      <ns0:c r="J487" s="7" t="n">
        <ns0:v>1610.294117647059</ns0:v>
      </ns0:c>
      <ns0:c r="K487" s="7" t="n">
        <ns0:v>122</ns0:v>
      </ns0:c>
      <ns0:c r="L487" s="18" t="inlineStr">
        <ns0:is>
          <ns0:t>範囲内なし</ns0:t>
        </ns0:is>
      </ns0:c>
      <ns0:c r="M487" s="7" t="n">
        <ns0:v>-44620.14045257015</ns0:v>
      </ns0:c>
      <ns0:c r="N487" s="7" t="n">
        <ns0:v>-30735.67350684703</ns0:v>
      </ns0:c>
      <ns0:c r="O487" s="7" t="n">
        <ns0:v>-14885.49942720652</ns0:v>
      </ns0:c>
      <ns0:c r="P487" s="7" t="n">
        <ns0:v>24739.93577189476</ns0:v>
      </ns0:c>
      <ns0:c r="Q487" s="7" t="n">
        <ns0:v>141241.6765682999</ns0:v>
      </ns0:c>
      <ns0:c r="R487" s="7" t="n">
        <ns0:v>625997.7693557187</ns0:v>
      </ns0:c>
    </ns0:row>
    <ns0:row r="488" ht="24" customHeight="1">
      <ns0:c r="A488" s="3" t="inlineStr">
        <ns0:is>
          <ns0:t>セット</ns0:t>
        </ns0:is>
      </ns0:c>
      <ns0:c r="B488" s="3" t="inlineStr">
        <ns0:is>
          <ns0:t>G2二段階</ns0:t>
        </ns0:is>
      </ns0:c>
      <ns0:c r="C488" s="3" t="inlineStr">
        <ns0:is>
          <ns0:t>A</ns0:t>
        </ns0:is>
      </ns0:c>
      <ns0:c r="D488" s="4" t="n">
        <ns0:v>0</ns0:v>
      </ns0:c>
      <ns0:c r="E488" s="4" t="n">
        <ns0:v>1500</ns0:v>
      </ns0:c>
      <ns0:c r="F488" s="6" t="n">
        <ns0:v>0.3</ns0:v>
      </ns0:c>
      <ns0:c r="G488" s="4" t="n">
        <ns0:v>0</ns0:v>
      </ns0:c>
      <ns0:c r="H488" s="7" t="n">
        <ns0:v>5247.021276595744</ns0:v>
      </ns0:c>
      <ns0:c r="I488" s="7" t="n">
        <ns0:v>2720.588235294118</ns0:v>
      </ns0:c>
      <ns0:c r="J488" s="7" t="n">
        <ns0:v>816.1764705882352</ns0:v>
      </ns0:c>
      <ns0:c r="K488" s="7" t="n">
        <ns0:v>24</ns0:v>
      </ns0:c>
      <ns0:c r="L488" s="7" t="n">
        <ns0:v>42</ns0:v>
      </ns0:c>
      <ns0:c r="M488" s="7" t="n">
        <ns0:v>-29211.21667544037</ns0:v>
      </ns0:c>
      <ns0:c r="N488" s="7" t="n">
        <ns0:v>15491.09782454229</ns0:v>
      </ns0:c>
      <ns0:c r="O488" s="7" t="n">
        <ns0:v>62159.11945844236</ns0:v>
      </ns0:c>
      <ns0:c r="P488" s="7" t="n">
        <ns0:v>178829.1735431925</ns0:v>
      </ns0:c>
      <ns0:c r="Q488" s="7" t="n">
        <ns0:v>603509.3898821932</ns0:v>
      </ns0:c>
      <ns0:c r="R488" s="7" t="n">
        <ns0:v>2166890.147068695</ns0:v>
      </ns0:c>
    </ns0:row>
    <ns0:row r="489" ht="24" customHeight="1">
      <ns0:c r="A489" s="3" t="inlineStr">
        <ns0:is>
          <ns0:t>セット</ns0:t>
        </ns0:is>
      </ns0:c>
      <ns0:c r="B489" s="3" t="inlineStr">
        <ns0:is>
          <ns0:t>G2二段階</ns0:t>
        </ns0:is>
      </ns0:c>
      <ns0:c r="C489" s="3" t="inlineStr">
        <ns0:is>
          <ns0:t>A</ns0:t>
        </ns0:is>
      </ns0:c>
      <ns0:c r="D489" s="4" t="n">
        <ns0:v>0</ns0:v>
      </ns0:c>
      <ns0:c r="E489" s="4" t="n">
        <ns0:v>1500</ns0:v>
      </ns0:c>
      <ns0:c r="F489" s="6" t="n">
        <ns0:v>0.3</ns0:v>
      </ns0:c>
      <ns0:c r="G489" s="4" t="n">
        <ns0:v>1</ns0:v>
      </ns0:c>
      <ns0:c r="H489" s="7" t="n">
        <ns0:v>5247.021276595744</ns0:v>
      </ns0:c>
      <ns0:c r="I489" s="7" t="n">
        <ns0:v>2720.588235294118</ns0:v>
      </ns0:c>
      <ns0:c r="J489" s="7" t="n">
        <ns0:v>816.1764705882352</ns0:v>
      </ns0:c>
      <ns0:c r="K489" s="7" t="n">
        <ns0:v>28</ns0:v>
      </ns0:c>
      <ns0:c r="L489" s="7" t="n">
        <ns0:v>126</ns0:v>
      </ns0:c>
      <ns0:c r="M489" s="7" t="n">
        <ns0:v>-32929.85708141121</ns0:v>
      </ns0:c>
      <ns0:c r="N489" s="7" t="n">
        <ns0:v>4335.176606629768</ns0:v>
      </ns0:c>
      <ns0:c r="O489" s="7" t="n">
        <ns0:v>43565.91742858815</ns0:v>
      </ns0:c>
      <ns0:c r="P489" s="7" t="n">
        <ns0:v>141642.7694834841</ns0:v>
      </ns0:c>
      <ns0:c r="Q489" s="7" t="n">
        <ns0:v>491950.1777030679</ns0:v>
      </ns0:c>
      <ns0:c r="R489" s="7" t="n">
        <ns0:v>1795026.106471611</ns0:v>
      </ns0:c>
    </ns0:row>
    <ns0:row r="490" ht="24" customHeight="1">
      <ns0:c r="A490" s="3" t="inlineStr">
        <ns0:is>
          <ns0:t>セット</ns0:t>
        </ns0:is>
      </ns0:c>
      <ns0:c r="B490" s="3" t="inlineStr">
        <ns0:is>
          <ns0:t>G2二段階</ns0:t>
        </ns0:is>
      </ns0:c>
      <ns0:c r="C490" s="3" t="inlineStr">
        <ns0:is>
          <ns0:t>A</ns0:t>
        </ns0:is>
      </ns0:c>
      <ns0:c r="D490" s="4" t="n">
        <ns0:v>0</ns0:v>
      </ns0:c>
      <ns0:c r="E490" s="4" t="n">
        <ns0:v>1500</ns0:v>
      </ns0:c>
      <ns0:c r="F490" s="6" t="n">
        <ns0:v>0.3</ns0:v>
      </ns0:c>
      <ns0:c r="G490" s="4" t="n">
        <ns0:v>2</ns0:v>
      </ns0:c>
      <ns0:c r="H490" s="7" t="n">
        <ns0:v>5247.021276595744</ns0:v>
      </ns0:c>
      <ns0:c r="I490" s="7" t="n">
        <ns0:v>2720.588235294118</ns0:v>
      </ns0:c>
      <ns0:c r="J490" s="7" t="n">
        <ns0:v>816.1764705882352</ns0:v>
      </ns0:c>
      <ns0:c r="K490" s="18" t="inlineStr">
        <ns0:is>
          <ns0:t>範囲内なし</ns0:t>
        </ns0:is>
      </ns0:c>
      <ns0:c r="L490" s="18" t="inlineStr">
        <ns0:is>
          <ns0:t>範囲内なし</ns0:t>
        </ns0:is>
      </ns0:c>
      <ns0:c r="M490" s="7" t="n">
        <ns0:v>-52052.66564791765</ns0:v>
      </ns0:c>
      <ns0:c r="N490" s="7" t="n">
        <ns0:v>-53033.24909288956</ns0:v>
      </ns0:c>
      <ns0:c r="O490" s="7" t="n">
        <ns0:v>-52048.12540394407</ns0:v>
      </ns0:c>
      <ns0:c r="P490" s="7" t="n">
        <ns0:v>-49585.31618158033</ns0:v>
      </ns0:c>
      <ns0:c r="Q490" s="7" t="n">
        <ns0:v>-81734.07929212536</ns0:v>
      </ns0:c>
      <ns0:c r="R490" s="7" t="n">
        <ns0:v>-117254.7501790333</ns0:v>
      </ns0:c>
    </ns0:row>
    <ns0:row r="491" ht="24" customHeight="1">
      <ns0:c r="A491" s="3" t="inlineStr">
        <ns0:is>
          <ns0:t>セット</ns0:t>
        </ns0:is>
      </ns0:c>
      <ns0:c r="B491" s="3" t="inlineStr">
        <ns0:is>
          <ns0:t>G2二段階</ns0:t>
        </ns0:is>
      </ns0:c>
      <ns0:c r="C491" s="3" t="inlineStr">
        <ns0:is>
          <ns0:t>A</ns0:t>
        </ns0:is>
      </ns0:c>
      <ns0:c r="D491" s="4" t="n">
        <ns0:v>0</ns0:v>
      </ns0:c>
      <ns0:c r="E491" s="4" t="n">
        <ns0:v>1500</ns0:v>
      </ns0:c>
      <ns0:c r="F491" s="6" t="n">
        <ns0:v>0.3</ns0:v>
      </ns0:c>
      <ns0:c r="G491" s="4" t="n">
        <ns0:v>3</ns0:v>
      </ns0:c>
      <ns0:c r="H491" s="7" t="n">
        <ns0:v>5247.021276595744</ns0:v>
      </ns0:c>
      <ns0:c r="I491" s="7" t="n">
        <ns0:v>2720.588235294118</ns0:v>
      </ns0:c>
      <ns0:c r="J491" s="7" t="n">
        <ns0:v>816.1764705882352</ns0:v>
      </ns0:c>
      <ns0:c r="K491" s="7" t="n">
        <ns0:v>50</ns0:v>
      </ns0:c>
      <ns0:c r="L491" s="18" t="inlineStr">
        <ns0:is>
          <ns0:t>範囲内なし</ns0:t>
        </ns0:is>
      </ns0:c>
      <ns0:c r="M491" s="7" t="n">
        <ns0:v>-41498.96398198191</ns0:v>
      </ns0:c>
      <ns0:c r="N491" s="7" t="n">
        <ns0:v>-21372.14409508232</ns0:v>
      </ns0:c>
      <ns0:c r="O491" s="7" t="n">
        <ns0:v>720.3829257346952</ns0:v>
      </ns0:c>
      <ns0:c r="P491" s="7" t="n">
        <ns0:v>55951.70047777719</ns0:v>
      </ns0:c>
      <ns0:c r="Q491" s="7" t="n">
        <ns0:v>234876.9706859471</ns0:v>
      </ns0:c>
      <ns0:c r="R491" s="7" t="n">
        <ns0:v>938115.4164145417</ns0:v>
      </ns0:c>
    </ns0:row>
    <ns0:row r="492" ht="24" customHeight="1">
      <ns0:c r="A492" s="3" t="inlineStr">
        <ns0:is>
          <ns0:t>セット</ns0:t>
        </ns0:is>
      </ns0:c>
      <ns0:c r="B492" s="3" t="inlineStr">
        <ns0:is>
          <ns0:t>G2二段階</ns0:t>
        </ns0:is>
      </ns0:c>
      <ns0:c r="C492" s="3" t="inlineStr">
        <ns0:is>
          <ns0:t>A</ns0:t>
        </ns0:is>
      </ns0:c>
      <ns0:c r="D492" s="4" t="n">
        <ns0:v>0</ns0:v>
      </ns0:c>
      <ns0:c r="E492" s="4" t="n">
        <ns0:v>1500</ns0:v>
      </ns0:c>
      <ns0:c r="F492" s="6" t="n">
        <ns0:v>0.4</ns0:v>
      </ns0:c>
      <ns0:c r="G492" s="4" t="n">
        <ns0:v>0</ns0:v>
      </ns0:c>
      <ns0:c r="H492" s="7" t="n">
        <ns0:v>5247.021276595744</ns0:v>
      </ns0:c>
      <ns0:c r="I492" s="7" t="n">
        <ns0:v>2720.588235294118</ns0:v>
      </ns0:c>
      <ns0:c r="J492" s="7" t="n">
        <ns0:v>1088.235294117647</ns0:v>
      </ns0:c>
      <ns0:c r="K492" s="7" t="n">
        <ns0:v>27</ns0:v>
      </ns0:c>
      <ns0:c r="L492" s="7" t="n">
        <ns0:v>48</ns0:v>
      </ns0:c>
      <ns0:c r="M492" s="7" t="n">
        <ns0:v>-31931.80491073449</ns0:v>
      </ns0:c>
      <ns0:c r="N492" s="7" t="n">
        <ns0:v>7329.333118659928</ns0:v>
      </ns0:c>
      <ns0:c r="O492" s="7" t="n">
        <ns0:v>48556.17828197178</ns0:v>
      </ns0:c>
      <ns0:c r="P492" s="7" t="n">
        <ns0:v>151623.2911902514</ns0:v>
      </ns0:c>
      <ns0:c r="Q492" s="7" t="n">
        <ns0:v>521891.7428233697</ns0:v>
      </ns0:c>
      <ns0:c r="R492" s="7" t="n">
        <ns0:v>1894831.323539283</ns0:v>
      </ns0:c>
    </ns0:row>
    <ns0:row r="493" ht="24" customHeight="1">
      <ns0:c r="A493" s="3" t="inlineStr">
        <ns0:is>
          <ns0:t>セット</ns0:t>
        </ns0:is>
      </ns0:c>
      <ns0:c r="B493" s="3" t="inlineStr">
        <ns0:is>
          <ns0:t>G2二段階</ns0:t>
        </ns0:is>
      </ns0:c>
      <ns0:c r="C493" s="3" t="inlineStr">
        <ns0:is>
          <ns0:t>A</ns0:t>
        </ns0:is>
      </ns0:c>
      <ns0:c r="D493" s="4" t="n">
        <ns0:v>0</ns0:v>
      </ns0:c>
      <ns0:c r="E493" s="4" t="n">
        <ns0:v>1500</ns0:v>
      </ns0:c>
      <ns0:c r="F493" s="6" t="n">
        <ns0:v>0.4</ns0:v>
      </ns0:c>
      <ns0:c r="G493" s="4" t="n">
        <ns0:v>1</ns0:v>
      </ns0:c>
      <ns0:c r="H493" s="7" t="n">
        <ns0:v>5247.021276595744</ns0:v>
      </ns0:c>
      <ns0:c r="I493" s="7" t="n">
        <ns0:v>2720.588235294118</ns0:v>
      </ns0:c>
      <ns0:c r="J493" s="7" t="n">
        <ns0:v>1088.235294117647</ns0:v>
      </ns0:c>
      <ns0:c r="K493" s="7" t="n">
        <ns0:v>33</ns0:v>
      </ns0:c>
      <ns0:c r="L493" s="7" t="n">
        <ns0:v>160</ns0:v>
      </ns0:c>
      <ns0:c r="M493" s="7" t="n">
        <ns0:v>-35650.44531670533</ns0:v>
      </ns0:c>
      <ns0:c r="N493" s="7" t="n">
        <ns0:v>-3826.5880992526</ns0:v>
      </ns0:c>
      <ns0:c r="O493" s="7" t="n">
        <ns0:v>29962.97625211757</ns0:v>
      </ns0:c>
      <ns0:c r="P493" s="7" t="n">
        <ns0:v>114436.8871305429</ns0:v>
      </ns0:c>
      <ns0:c r="Q493" s="7" t="n">
        <ns0:v>410332.5306442445</ns0:v>
      </ns0:c>
      <ns0:c r="R493" s="7" t="n">
        <ns0:v>1522967.282942199</ns0:v>
      </ns0:c>
    </ns0:row>
    <ns0:row r="494" ht="24" customHeight="1">
      <ns0:c r="A494" s="3" t="inlineStr">
        <ns0:is>
          <ns0:t>セット</ns0:t>
        </ns0:is>
      </ns0:c>
      <ns0:c r="B494" s="3" t="inlineStr">
        <ns0:is>
          <ns0:t>G2二段階</ns0:t>
        </ns0:is>
      </ns0:c>
      <ns0:c r="C494" s="3" t="inlineStr">
        <ns0:is>
          <ns0:t>A</ns0:t>
        </ns0:is>
      </ns0:c>
      <ns0:c r="D494" s="4" t="n">
        <ns0:v>0</ns0:v>
      </ns0:c>
      <ns0:c r="E494" s="4" t="n">
        <ns0:v>1500</ns0:v>
      </ns0:c>
      <ns0:c r="F494" s="6" t="n">
        <ns0:v>0.4</ns0:v>
      </ns0:c>
      <ns0:c r="G494" s="4" t="n">
        <ns0:v>2</ns0:v>
      </ns0:c>
      <ns0:c r="H494" s="7" t="n">
        <ns0:v>5247.021276595744</ns0:v>
      </ns0:c>
      <ns0:c r="I494" s="7" t="n">
        <ns0:v>2720.588235294118</ns0:v>
      </ns0:c>
      <ns0:c r="J494" s="7" t="n">
        <ns0:v>1088.235294117647</ns0:v>
      </ns0:c>
      <ns0:c r="K494" s="18" t="inlineStr">
        <ns0:is>
          <ns0:t>範囲内なし</ns0:t>
        </ns0:is>
      </ns0:c>
      <ns0:c r="L494" s="18" t="inlineStr">
        <ns0:is>
          <ns0:t>範囲内なし</ns0:t>
        </ns0:is>
      </ns0:c>
      <ns0:c r="M494" s="7" t="n">
        <ns0:v>-54773.25388321177</ns0:v>
      </ns0:c>
      <ns0:c r="N494" s="7" t="n">
        <ns0:v>-61195.01379877192</ns0:v>
      </ns0:c>
      <ns0:c r="O494" s="7" t="n">
        <ns0:v>-65651.06658041464</ns0:v>
      </ns0:c>
      <ns0:c r="P494" s="7" t="n">
        <ns0:v>-76791.19853452148</ns0:v>
      </ns0:c>
      <ns0:c r="Q494" s="7" t="n">
        <ns0:v>-163351.7263509489</ns0:v>
      </ns0:c>
      <ns0:c r="R494" s="7" t="n">
        <ns0:v>-389313.5737084453</ns0:v>
      </ns0:c>
    </ns0:row>
    <ns0:row r="495" ht="24" customHeight="1">
      <ns0:c r="A495" s="3" t="inlineStr">
        <ns0:is>
          <ns0:t>セット</ns0:t>
        </ns0:is>
      </ns0:c>
      <ns0:c r="B495" s="3" t="inlineStr">
        <ns0:is>
          <ns0:t>G2二段階</ns0:t>
        </ns0:is>
      </ns0:c>
      <ns0:c r="C495" s="3" t="inlineStr">
        <ns0:is>
          <ns0:t>A</ns0:t>
        </ns0:is>
      </ns0:c>
      <ns0:c r="D495" s="4" t="n">
        <ns0:v>0</ns0:v>
      </ns0:c>
      <ns0:c r="E495" s="4" t="n">
        <ns0:v>1500</ns0:v>
      </ns0:c>
      <ns0:c r="F495" s="6" t="n">
        <ns0:v>0.4</ns0:v>
      </ns0:c>
      <ns0:c r="G495" s="4" t="n">
        <ns0:v>3</ns0:v>
      </ns0:c>
      <ns0:c r="H495" s="7" t="n">
        <ns0:v>5247.021276595744</ns0:v>
      </ns0:c>
      <ns0:c r="I495" s="7" t="n">
        <ns0:v>2720.588235294118</ns0:v>
      </ns0:c>
      <ns0:c r="J495" s="7" t="n">
        <ns0:v>1088.235294117647</ns0:v>
      </ns0:c>
      <ns0:c r="K495" s="7" t="n">
        <ns0:v>116</ns0:v>
      </ns0:c>
      <ns0:c r="L495" s="18" t="inlineStr">
        <ns0:is>
          <ns0:t>範囲内なし</ns0:t>
        </ns0:is>
      </ns0:c>
      <ns0:c r="M495" s="7" t="n">
        <ns0:v>-44219.55221727602</ns0:v>
      </ns0:c>
      <ns0:c r="N495" s="7" t="n">
        <ns0:v>-29533.90880096468</ns0:v>
      </ns0:c>
      <ns0:c r="O495" s="7" t="n">
        <ns0:v>-12882.55825073588</ns0:v>
      </ns0:c>
      <ns0:c r="P495" s="7" t="n">
        <ns0:v>28745.81812483602</ns0:v>
      </ns0:c>
      <ns0:c r="Q495" s="7" t="n">
        <ns0:v>153259.3236271236</ns0:v>
      </ns0:c>
      <ns0:c r="R495" s="7" t="n">
        <ns0:v>666056.5928851295</ns0:v>
      </ns0:c>
    </ns0:row>
    <ns0:row r="496" ht="24" customHeight="1">
      <ns0:c r="A496" s="3" t="inlineStr">
        <ns0:is>
          <ns0:t>セット</ns0:t>
        </ns0:is>
      </ns0:c>
      <ns0:c r="B496" s="3" t="inlineStr">
        <ns0:is>
          <ns0:t>G2二段階</ns0:t>
        </ns0:is>
      </ns0:c>
      <ns0:c r="C496" s="3" t="inlineStr">
        <ns0:is>
          <ns0:t>A</ns0:t>
        </ns0:is>
      </ns0:c>
      <ns0:c r="D496" s="4" t="n">
        <ns0:v>0</ns0:v>
      </ns0:c>
      <ns0:c r="E496" s="4" t="n">
        <ns0:v>1500</ns0:v>
      </ns0:c>
      <ns0:c r="F496" s="6" t="n">
        <ns0:v>0.5</ns0:v>
      </ns0:c>
      <ns0:c r="G496" s="4" t="n">
        <ns0:v>0</ns0:v>
      </ns0:c>
      <ns0:c r="H496" s="7" t="n">
        <ns0:v>5247.021276595744</ns0:v>
      </ns0:c>
      <ns0:c r="I496" s="7" t="n">
        <ns0:v>2720.588235294118</ns0:v>
      </ns0:c>
      <ns0:c r="J496" s="7" t="n">
        <ns0:v>1360.294117647059</ns0:v>
      </ns0:c>
      <ns0:c r="K496" s="7" t="n">
        <ns0:v>31</ns0:v>
      </ns0:c>
      <ns0:c r="L496" s="7" t="n">
        <ns0:v>55</ns0:v>
      </ns0:c>
      <ns0:c r="M496" s="7" t="n">
        <ns0:v>-34652.3931460286</ns0:v>
      </ns0:c>
      <ns0:c r="N496" s="7" t="n">
        <ns0:v>-832.4315872224142</ns0:v>
      </ns0:c>
      <ns0:c r="O496" s="7" t="n">
        <ns0:v>34953.2371055012</ns0:v>
      </ns0:c>
      <ns0:c r="P496" s="7" t="n">
        <ns0:v>124417.4088373102</ns0:v>
      </ns0:c>
      <ns0:c r="Q496" s="7" t="n">
        <ns0:v>440274.0957645461</ns0:v>
      </ns0:c>
      <ns0:c r="R496" s="7" t="n">
        <ns0:v>1622772.500009872</ns0:v>
      </ns0:c>
    </ns0:row>
    <ns0:row r="497" ht="24" customHeight="1">
      <ns0:c r="A497" s="3" t="inlineStr">
        <ns0:is>
          <ns0:t>セット</ns0:t>
        </ns0:is>
      </ns0:c>
      <ns0:c r="B497" s="3" t="inlineStr">
        <ns0:is>
          <ns0:t>G2二段階</ns0:t>
        </ns0:is>
      </ns0:c>
      <ns0:c r="C497" s="3" t="inlineStr">
        <ns0:is>
          <ns0:t>A</ns0:t>
        </ns0:is>
      </ns0:c>
      <ns0:c r="D497" s="4" t="n">
        <ns0:v>0</ns0:v>
      </ns0:c>
      <ns0:c r="E497" s="4" t="n">
        <ns0:v>1500</ns0:v>
      </ns0:c>
      <ns0:c r="F497" s="6" t="n">
        <ns0:v>0.5</ns0:v>
      </ns0:c>
      <ns0:c r="G497" s="4" t="n">
        <ns0:v>1</ns0:v>
      </ns0:c>
      <ns0:c r="H497" s="7" t="n">
        <ns0:v>5247.021276595744</ns0:v>
      </ns0:c>
      <ns0:c r="I497" s="7" t="n">
        <ns0:v>2720.588235294118</ns0:v>
      </ns0:c>
      <ns0:c r="J497" s="7" t="n">
        <ns0:v>1360.294117647059</ns0:v>
      </ns0:c>
      <ns0:c r="K497" s="7" t="n">
        <ns0:v>39</ns0:v>
      </ns0:c>
      <ns0:c r="L497" s="7" t="n">
        <ns0:v>221</ns0:v>
      </ns0:c>
      <ns0:c r="M497" s="7" t="n">
        <ns0:v>-38371.03355199944</ns0:v>
      </ns0:c>
      <ns0:c r="N497" s="7" t="n">
        <ns0:v>-11988.35280513494</ns0:v>
      </ns0:c>
      <ns0:c r="O497" s="7" t="n">
        <ns0:v>16360.03507564699</ns0:v>
      </ns0:c>
      <ns0:c r="P497" s="7" t="n">
        <ns0:v>87231.00477760177</ns0:v>
      </ns0:c>
      <ns0:c r="Q497" s="7" t="n">
        <ns0:v>328714.8835854209</ns0:v>
      </ns0:c>
      <ns0:c r="R497" s="7" t="n">
        <ns0:v>1250908.459412788</ns0:v>
      </ns0:c>
    </ns0:row>
    <ns0:row r="498" ht="24" customHeight="1">
      <ns0:c r="A498" s="3" t="inlineStr">
        <ns0:is>
          <ns0:t>セット</ns0:t>
        </ns0:is>
      </ns0:c>
      <ns0:c r="B498" s="3" t="inlineStr">
        <ns0:is>
          <ns0:t>G2二段階</ns0:t>
        </ns0:is>
      </ns0:c>
      <ns0:c r="C498" s="3" t="inlineStr">
        <ns0:is>
          <ns0:t>A</ns0:t>
        </ns0:is>
      </ns0:c>
      <ns0:c r="D498" s="4" t="n">
        <ns0:v>0</ns0:v>
      </ns0:c>
      <ns0:c r="E498" s="4" t="n">
        <ns0:v>1500</ns0:v>
      </ns0:c>
      <ns0:c r="F498" s="6" t="n">
        <ns0:v>0.5</ns0:v>
      </ns0:c>
      <ns0:c r="G498" s="4" t="n">
        <ns0:v>2</ns0:v>
      </ns0:c>
      <ns0:c r="H498" s="7" t="n">
        <ns0:v>5247.021276595744</ns0:v>
      </ns0:c>
      <ns0:c r="I498" s="7" t="n">
        <ns0:v>2720.588235294118</ns0:v>
      </ns0:c>
      <ns0:c r="J498" s="7" t="n">
        <ns0:v>1360.294117647059</ns0:v>
      </ns0:c>
      <ns0:c r="K498" s="18" t="inlineStr">
        <ns0:is>
          <ns0:t>範囲内なし</ns0:t>
        </ns0:is>
      </ns0:c>
      <ns0:c r="L498" s="18" t="inlineStr">
        <ns0:is>
          <ns0:t>範囲内なし</ns0:t>
        </ns0:is>
      </ns0:c>
      <ns0:c r="M498" s="7" t="n">
        <ns0:v>-57493.84211850589</ns0:v>
      </ns0:c>
      <ns0:c r="N498" s="7" t="n">
        <ns0:v>-69356.77850465427</ns0:v>
      </ns0:c>
      <ns0:c r="O498" s="7" t="n">
        <ns0:v>-79254.00775688521</ns0:v>
      </ns0:c>
      <ns0:c r="P498" s="7" t="n">
        <ns0:v>-103997.0808874626</ns0:v>
      </ns0:c>
      <ns0:c r="Q498" s="7" t="n">
        <ns0:v>-244969.3734097723</ns0:v>
      </ns0:c>
      <ns0:c r="R498" s="7" t="n">
        <ns0:v>-661372.3972378569</ns0:v>
      </ns0:c>
    </ns0:row>
    <ns0:row r="499" ht="24" customHeight="1">
      <ns0:c r="A499" s="3" t="inlineStr">
        <ns0:is>
          <ns0:t>セット</ns0:t>
        </ns0:is>
      </ns0:c>
      <ns0:c r="B499" s="3" t="inlineStr">
        <ns0:is>
          <ns0:t>G2二段階</ns0:t>
        </ns0:is>
      </ns0:c>
      <ns0:c r="C499" s="3" t="inlineStr">
        <ns0:is>
          <ns0:t>A</ns0:t>
        </ns0:is>
      </ns0:c>
      <ns0:c r="D499" s="4" t="n">
        <ns0:v>0</ns0:v>
      </ns0:c>
      <ns0:c r="E499" s="4" t="n">
        <ns0:v>1500</ns0:v>
      </ns0:c>
      <ns0:c r="F499" s="6" t="n">
        <ns0:v>0.5</ns0:v>
      </ns0:c>
      <ns0:c r="G499" s="4" t="n">
        <ns0:v>3</ns0:v>
      </ns0:c>
      <ns0:c r="H499" s="7" t="n">
        <ns0:v>5247.021276595744</ns0:v>
      </ns0:c>
      <ns0:c r="I499" s="7" t="n">
        <ns0:v>2720.588235294118</ns0:v>
      </ns0:c>
      <ns0:c r="J499" s="7" t="n">
        <ns0:v>1360.294117647059</ns0:v>
      </ns0:c>
      <ns0:c r="K499" s="7" t="n">
        <ns0:v>173</ns0:v>
      </ns0:c>
      <ns0:c r="L499" s="18" t="inlineStr">
        <ns0:is>
          <ns0:t>範囲内なし</ns0:t>
        </ns0:is>
      </ns0:c>
      <ns0:c r="M499" s="7" t="n">
        <ns0:v>-46940.14045257014</ns0:v>
      </ns0:c>
      <ns0:c r="N499" s="7" t="n">
        <ns0:v>-37695.67350684702</ns0:v>
      </ns0:c>
      <ns0:c r="O499" s="7" t="n">
        <ns0:v>-26485.49942720647</ns0:v>
      </ns0:c>
      <ns0:c r="P499" s="7" t="n">
        <ns0:v>1539.935771894874</ns0:v>
      </ns0:c>
      <ns0:c r="Q499" s="7" t="n">
        <ns0:v>71641.67656830006</ns0:v>
      </ns0:c>
      <ns0:c r="R499" s="7" t="n">
        <ns0:v>393997.7693557179</ns0:v>
      </ns0:c>
    </ns0:row>
    <ns0:row r="500" ht="24" customHeight="1">
      <ns0:c r="A500" s="3" t="inlineStr">
        <ns0:is>
          <ns0:t>セット</ns0:t>
        </ns0:is>
      </ns0:c>
      <ns0:c r="B500" s="3" t="inlineStr">
        <ns0:is>
          <ns0:t>G2二段階</ns0:t>
        </ns0:is>
      </ns0:c>
      <ns0:c r="C500" s="3" t="inlineStr">
        <ns0:is>
          <ns0:t>A</ns0:t>
        </ns0:is>
      </ns0:c>
      <ns0:c r="D500" s="4" t="n">
        <ns0:v>1</ns0:v>
      </ns0:c>
      <ns0:c r="E500" s="4" t="n">
        <ns0:v>500</ns0:v>
      </ns0:c>
      <ns0:c r="F500" s="6" t="n">
        <ns0:v>0.3</ns0:v>
      </ns0:c>
      <ns0:c r="G500" s="4" t="n">
        <ns0:v>0</ns0:v>
      </ns0:c>
      <ns0:c r="H500" s="7" t="n">
        <ns0:v>8131.843575418992</ns0:v>
      </ns0:c>
      <ns0:c r="I500" s="7" t="n">
        <ns0:v>4086.592178770949</ns0:v>
      </ns0:c>
      <ns0:c r="J500" s="7" t="n">
        <ns0:v>1225.977653631285</ns0:v>
      </ns0:c>
      <ns0:c r="K500" s="7" t="n">
        <ns0:v>14</ns0:v>
      </ns0:c>
      <ns0:c r="L500" s="7" t="n">
        <ns0:v>19</ns0:v>
      </ns0:c>
      <ns0:c r="M500" s="7" t="n">
        <ns0:v>-6099.458411654865</ns0:v>
      </ns0:c>
      <ns0:c r="N500" s="7" t="n">
        <ns0:v>72167.06943664546</ns0:v>
      </ns0:c>
      <ns0:c r="O500" s="7" t="n">
        <ns0:v>156619.0721452809</ns0:v>
      </ns0:c>
      <ns0:c r="P500" s="7" t="n">
        <ns0:v>367749.0789168696</ns0:v>
      </ns0:c>
      <ns0:c r="Q500" s="7" t="n">
        <ns0:v>1170269.106003225</ns0:v>
      </ns0:c>
      <ns0:c r="R500" s="7" t="n">
        <ns0:v>4056089.200805467</ns0:v>
      </ns0:c>
    </ns0:row>
    <ns0:row r="501" ht="24" customHeight="1">
      <ns0:c r="A501" s="3" t="inlineStr">
        <ns0:is>
          <ns0:t>セット</ns0:t>
        </ns0:is>
      </ns0:c>
      <ns0:c r="B501" s="3" t="inlineStr">
        <ns0:is>
          <ns0:t>G2二段階</ns0:t>
        </ns0:is>
      </ns0:c>
      <ns0:c r="C501" s="3" t="inlineStr">
        <ns0:is>
          <ns0:t>A</ns0:t>
        </ns0:is>
      </ns0:c>
      <ns0:c r="D501" s="4" t="n">
        <ns0:v>1</ns0:v>
      </ns0:c>
      <ns0:c r="E501" s="4" t="n">
        <ns0:v>500</ns0:v>
      </ns0:c>
      <ns0:c r="F501" s="6" t="n">
        <ns0:v>0.3</ns0:v>
      </ns0:c>
      <ns0:c r="G501" s="4" t="n">
        <ns0:v>1</ns0:v>
      </ns0:c>
      <ns0:c r="H501" s="7" t="n">
        <ns0:v>8131.843575418992</ns0:v>
      </ns0:c>
      <ns0:c r="I501" s="7" t="n">
        <ns0:v>4086.592178770949</ns0:v>
      </ns0:c>
      <ns0:c r="J501" s="7" t="n">
        <ns0:v>1225.977653631285</ns0:v>
      </ns0:c>
      <ns0:c r="K501" s="7" t="n">
        <ns0:v>15</ns0:v>
      </ns0:c>
      <ns0:c r="L501" s="7" t="n">
        <ns0:v>25</ns0:v>
      </ns0:c>
      <ns0:c r="M501" s="7" t="n">
        <ns0:v>-10422.96461665894</ns0:v>
      </ns0:c>
      <ns0:c r="N501" s="7" t="n">
        <ns0:v>59196.55082163325</ns0:v>
      </ns0:c>
      <ns0:c r="O501" s="7" t="n">
        <ns0:v>135001.5411202605</ns0:v>
      </ns0:c>
      <ns0:c r="P501" s="7" t="n">
        <ns0:v>324514.0168668289</ns0:v>
      </ns0:c>
      <ns0:c r="Q501" s="7" t="n">
        <ns0:v>1040563.919853102</ns0:v>
      </ns0:c>
      <ns0:c r="R501" s="7" t="n">
        <ns0:v>3623738.580305059</ns0:v>
      </ns0:c>
    </ns0:row>
    <ns0:row r="502" ht="24" customHeight="1">
      <ns0:c r="A502" s="3" t="inlineStr">
        <ns0:is>
          <ns0:t>セット</ns0:t>
        </ns0:is>
      </ns0:c>
      <ns0:c r="B502" s="3" t="inlineStr">
        <ns0:is>
          <ns0:t>G2二段階</ns0:t>
        </ns0:is>
      </ns0:c>
      <ns0:c r="C502" s="3" t="inlineStr">
        <ns0:is>
          <ns0:t>A</ns0:t>
        </ns0:is>
      </ns0:c>
      <ns0:c r="D502" s="4" t="n">
        <ns0:v>1</ns0:v>
      </ns0:c>
      <ns0:c r="E502" s="4" t="n">
        <ns0:v>500</ns0:v>
      </ns0:c>
      <ns0:c r="F502" s="6" t="n">
        <ns0:v>0.3</ns0:v>
      </ns0:c>
      <ns0:c r="G502" s="4" t="n">
        <ns0:v>2</ns0:v>
      </ns0:c>
      <ns0:c r="H502" s="7" t="n">
        <ns0:v>8131.843575418992</ns0:v>
      </ns0:c>
      <ns0:c r="I502" s="7" t="n">
        <ns0:v>4086.592178770949</ns0:v>
      </ns0:c>
      <ns0:c r="J502" s="7" t="n">
        <ns0:v>1225.977653631285</ns0:v>
      </ns0:c>
      <ns0:c r="K502" s="18" t="inlineStr">
        <ns0:is>
          <ns0:t>範囲内なし</ns0:t>
        </ns0:is>
      </ns0:c>
      <ns0:c r="L502" s="18" t="inlineStr">
        <ns0:is>
          <ns0:t>範囲内なし</ns0:t>
        </ns0:is>
      </ns0:c>
      <ns0:c r="M502" s="7" t="n">
        <ns0:v>-47006.6685802322</ns0:v>
      </ns0:c>
      <ns0:c r="N502" s="7" t="n">
        <ns0:v>-50554.56106908654</ns0:v>
      </ns0:c>
      <ns0:c r="O502" s="7" t="n">
        <ns0:v>-47916.97869760574</ns0:v>
      </ns0:c>
      <ns0:c r="P502" s="7" t="n">
        <ns0:v>-41323.02276890367</ns0:v>
      </ns0:c>
      <ns0:c r="Q502" s="7" t="n">
        <ns0:v>-56947.1990540952</ns0:v>
      </ns0:c>
      <ns0:c r="R502" s="7" t="n">
        <ns0:v>-34631.8160522664</ns0:v>
      </ns0:c>
    </ns0:row>
    <ns0:row r="503" ht="24" customHeight="1">
      <ns0:c r="A503" s="3" t="inlineStr">
        <ns0:is>
          <ns0:t>セット</ns0:t>
        </ns0:is>
      </ns0:c>
      <ns0:c r="B503" s="3" t="inlineStr">
        <ns0:is>
          <ns0:t>G2二段階</ns0:t>
        </ns0:is>
      </ns0:c>
      <ns0:c r="C503" s="3" t="inlineStr">
        <ns0:is>
          <ns0:t>A</ns0:t>
        </ns0:is>
      </ns0:c>
      <ns0:c r="D503" s="4" t="n">
        <ns0:v>1</ns0:v>
      </ns0:c>
      <ns0:c r="E503" s="4" t="n">
        <ns0:v>500</ns0:v>
      </ns0:c>
      <ns0:c r="F503" s="6" t="n">
        <ns0:v>0.3</ns0:v>
      </ns0:c>
      <ns0:c r="G503" s="4" t="n">
        <ns0:v>3</ns0:v>
      </ns0:c>
      <ns0:c r="H503" s="7" t="n">
        <ns0:v>8131.843575418992</ns0:v>
      </ns0:c>
      <ns0:c r="I503" s="7" t="n">
        <ns0:v>4086.592178770949</ns0:v>
      </ns0:c>
      <ns0:c r="J503" s="7" t="n">
        <ns0:v>1225.977653631285</ns0:v>
      </ns0:c>
      <ns0:c r="K503" s="7" t="n">
        <ns0:v>20</ns0:v>
      </ns0:c>
      <ns0:c r="L503" s="7" t="n">
        <ns0:v>123</ns0:v>
      </ns0:c>
      <ns0:c r="M503" s="7" t="n">
        <ns0:v>-19885.47141719167</ns0:v>
      </ns0:c>
      <ns0:c r="N503" s="7" t="n">
        <ns0:v>30809.03042003505</ns0:v>
      </ns0:c>
      <ns0:c r="O503" s="7" t="n">
        <ns0:v>87689.00711759689</ns0:v>
      </ns0:c>
      <ns0:c r="P503" s="7" t="n">
        <ns0:v>229888.9488615016</ns0:v>
      </ns0:c>
      <ns0:c r="Q503" s="7" t="n">
        <ns0:v>756688.7158371205</ns0:v>
      </ns0:c>
      <ns0:c r="R503" s="7" t="n">
        <ns0:v>2677487.900251786</ns0:v>
      </ns0:c>
    </ns0:row>
    <ns0:row r="504" ht="24" customHeight="1">
      <ns0:c r="A504" s="3" t="inlineStr">
        <ns0:is>
          <ns0:t>セット</ns0:t>
        </ns0:is>
      </ns0:c>
      <ns0:c r="B504" s="3" t="inlineStr">
        <ns0:is>
          <ns0:t>G2二段階</ns0:t>
        </ns0:is>
      </ns0:c>
      <ns0:c r="C504" s="3" t="inlineStr">
        <ns0:is>
          <ns0:t>A</ns0:t>
        </ns0:is>
      </ns0:c>
      <ns0:c r="D504" s="4" t="n">
        <ns0:v>1</ns0:v>
      </ns0:c>
      <ns0:c r="E504" s="4" t="n">
        <ns0:v>500</ns0:v>
      </ns0:c>
      <ns0:c r="F504" s="6" t="n">
        <ns0:v>0.4</ns0:v>
      </ns0:c>
      <ns0:c r="G504" s="4" t="n">
        <ns0:v>0</ns0:v>
      </ns0:c>
      <ns0:c r="H504" s="7" t="n">
        <ns0:v>8131.843575418992</ns0:v>
      </ns0:c>
      <ns0:c r="I504" s="7" t="n">
        <ns0:v>4086.592178770949</ns0:v>
      </ns0:c>
      <ns0:c r="J504" s="7" t="n">
        <ns0:v>1634.63687150838</ns0:v>
      </ns0:c>
      <ns0:c r="K504" s="7" t="n">
        <ns0:v>15</ns0:v>
      </ns0:c>
      <ns0:c r="L504" s="7" t="n">
        <ns0:v>21</ns0:v>
      </ns0:c>
      <ns0:c r="M504" s="7" t="n">
        <ns0:v>-10186.05059042581</ns0:v>
      </ns0:c>
      <ns0:c r="N504" s="7" t="n">
        <ns0:v>59907.2929003326</ns0:v>
      </ns0:c>
      <ns0:c r="O504" s="7" t="n">
        <ns0:v>136186.1112514262</ns0:v>
      </ns0:c>
      <ns0:c r="P504" s="7" t="n">
        <ns0:v>326883.1571291601</ns0:v>
      </ns0:c>
      <ns0:c r="Q504" s="7" t="n">
        <ns0:v>1047671.340640096</ns0:v>
      </ns0:c>
      <ns0:c r="R504" s="7" t="n">
        <ns0:v>3647429.982928372</ns0:v>
      </ns0:c>
    </ns0:row>
    <ns0:row r="505" ht="24" customHeight="1">
      <ns0:c r="A505" s="3" t="inlineStr">
        <ns0:is>
          <ns0:t>セット</ns0:t>
        </ns0:is>
      </ns0:c>
      <ns0:c r="B505" s="3" t="inlineStr">
        <ns0:is>
          <ns0:t>G2二段階</ns0:t>
        </ns0:is>
      </ns0:c>
      <ns0:c r="C505" s="3" t="inlineStr">
        <ns0:is>
          <ns0:t>A</ns0:t>
        </ns0:is>
      </ns0:c>
      <ns0:c r="D505" s="4" t="n">
        <ns0:v>1</ns0:v>
      </ns0:c>
      <ns0:c r="E505" s="4" t="n">
        <ns0:v>500</ns0:v>
      </ns0:c>
      <ns0:c r="F505" s="6" t="n">
        <ns0:v>0.4</ns0:v>
      </ns0:c>
      <ns0:c r="G505" s="4" t="n">
        <ns0:v>1</ns0:v>
      </ns0:c>
      <ns0:c r="H505" s="7" t="n">
        <ns0:v>8131.843575418992</ns0:v>
      </ns0:c>
      <ns0:c r="I505" s="7" t="n">
        <ns0:v>4086.592178770949</ns0:v>
      </ns0:c>
      <ns0:c r="J505" s="7" t="n">
        <ns0:v>1634.63687150838</ns0:v>
      </ns0:c>
      <ns0:c r="K505" s="7" t="n">
        <ns0:v>17</ns0:v>
      </ns0:c>
      <ns0:c r="L505" s="7" t="n">
        <ns0:v>28</ns0:v>
      </ns0:c>
      <ns0:c r="M505" s="7" t="n">
        <ns0:v>-14509.55679542988</ns0:v>
      </ns0:c>
      <ns0:c r="N505" s="7" t="n">
        <ns0:v>46936.7742853204</ns0:v>
      </ns0:c>
      <ns0:c r="O505" s="7" t="n">
        <ns0:v>114568.5802264058</ns0:v>
      </ns0:c>
      <ns0:c r="P505" s="7" t="n">
        <ns0:v>283648.0950791194</ns0:v>
      </ns0:c>
      <ns0:c r="Q505" s="7" t="n">
        <ns0:v>917966.1544899738</ns0:v>
      </ns0:c>
      <ns0:c r="R505" s="7" t="n">
        <ns0:v>3215079.362427965</ns0:v>
      </ns0:c>
    </ns0:row>
    <ns0:row r="506" ht="24" customHeight="1">
      <ns0:c r="A506" s="3" t="inlineStr">
        <ns0:is>
          <ns0:t>セット</ns0:t>
        </ns0:is>
      </ns0:c>
      <ns0:c r="B506" s="3" t="inlineStr">
        <ns0:is>
          <ns0:t>G2二段階</ns0:t>
        </ns0:is>
      </ns0:c>
      <ns0:c r="C506" s="3" t="inlineStr">
        <ns0:is>
          <ns0:t>A</ns0:t>
        </ns0:is>
      </ns0:c>
      <ns0:c r="D506" s="4" t="n">
        <ns0:v>1</ns0:v>
      </ns0:c>
      <ns0:c r="E506" s="4" t="n">
        <ns0:v>500</ns0:v>
      </ns0:c>
      <ns0:c r="F506" s="6" t="n">
        <ns0:v>0.4</ns0:v>
      </ns0:c>
      <ns0:c r="G506" s="4" t="n">
        <ns0:v>2</ns0:v>
      </ns0:c>
      <ns0:c r="H506" s="7" t="n">
        <ns0:v>8131.843575418992</ns0:v>
      </ns0:c>
      <ns0:c r="I506" s="7" t="n">
        <ns0:v>4086.592178770949</ns0:v>
      </ns0:c>
      <ns0:c r="J506" s="7" t="n">
        <ns0:v>1634.63687150838</ns0:v>
      </ns0:c>
      <ns0:c r="K506" s="18" t="inlineStr">
        <ns0:is>
          <ns0:t>範囲内なし</ns0:t>
        </ns0:is>
      </ns0:c>
      <ns0:c r="L506" s="18" t="inlineStr">
        <ns0:is>
          <ns0:t>範囲内なし</ns0:t>
        </ns0:is>
      </ns0:c>
      <ns0:c r="M506" s="7" t="n">
        <ns0:v>-51093.26075900314</ns0:v>
      </ns0:c>
      <ns0:c r="N506" s="7" t="n">
        <ns0:v>-62814.33760539939</ns0:v>
      </ns0:c>
      <ns0:c r="O506" s="7" t="n">
        <ns0:v>-68349.93959146047</ns0:v>
      </ns0:c>
      <ns0:c r="P506" s="7" t="n">
        <ns0:v>-82188.94455661313</ns0:v>
      </ns0:c>
      <ns0:c r="Q506" s="7" t="n">
        <ns0:v>-179544.9644172238</ns0:v>
      </ns0:c>
      <ns0:c r="R506" s="7" t="n">
        <ns0:v>-443291.033929361</ns0:v>
      </ns0:c>
    </ns0:row>
    <ns0:row r="507" ht="24" customHeight="1">
      <ns0:c r="A507" s="3" t="inlineStr">
        <ns0:is>
          <ns0:t>セット</ns0:t>
        </ns0:is>
      </ns0:c>
      <ns0:c r="B507" s="3" t="inlineStr">
        <ns0:is>
          <ns0:t>G2二段階</ns0:t>
        </ns0:is>
      </ns0:c>
      <ns0:c r="C507" s="3" t="inlineStr">
        <ns0:is>
          <ns0:t>A</ns0:t>
        </ns0:is>
      </ns0:c>
      <ns0:c r="D507" s="4" t="n">
        <ns0:v>1</ns0:v>
      </ns0:c>
      <ns0:c r="E507" s="4" t="n">
        <ns0:v>500</ns0:v>
      </ns0:c>
      <ns0:c r="F507" s="6" t="n">
        <ns0:v>0.4</ns0:v>
      </ns0:c>
      <ns0:c r="G507" s="4" t="n">
        <ns0:v>3</ns0:v>
      </ns0:c>
      <ns0:c r="H507" s="7" t="n">
        <ns0:v>8131.843575418992</ns0:v>
      </ns0:c>
      <ns0:c r="I507" s="7" t="n">
        <ns0:v>4086.592178770949</ns0:v>
      </ns0:c>
      <ns0:c r="J507" s="7" t="n">
        <ns0:v>1634.63687150838</ns0:v>
      </ns0:c>
      <ns0:c r="K507" s="7" t="n">
        <ns0:v>23</ns0:v>
      </ns0:c>
      <ns0:c r="L507" s="7" t="n">
        <ns0:v>181</ns0:v>
      </ns0:c>
      <ns0:c r="M507" s="7" t="n">
        <ns0:v>-23972.06359596262</ns0:v>
      </ns0:c>
      <ns0:c r="N507" s="7" t="n">
        <ns0:v>18549.25388372219</ns0:v>
      </ns0:c>
      <ns0:c r="O507" s="7" t="n">
        <ns0:v>67256.04622374216</ns0:v>
      </ns0:c>
      <ns0:c r="P507" s="7" t="n">
        <ns0:v>189023.0270737921</ns0:v>
      </ns0:c>
      <ns0:c r="Q507" s="7" t="n">
        <ns0:v>634090.9504739919</ns0:v>
      </ns0:c>
      <ns0:c r="R507" s="7" t="n">
        <ns0:v>2268828.682374692</ns0:v>
      </ns0:c>
    </ns0:row>
    <ns0:row r="508" ht="24" customHeight="1">
      <ns0:c r="A508" s="3" t="inlineStr">
        <ns0:is>
          <ns0:t>セット</ns0:t>
        </ns0:is>
      </ns0:c>
      <ns0:c r="B508" s="3" t="inlineStr">
        <ns0:is>
          <ns0:t>G2二段階</ns0:t>
        </ns0:is>
      </ns0:c>
      <ns0:c r="C508" s="3" t="inlineStr">
        <ns0:is>
          <ns0:t>A</ns0:t>
        </ns0:is>
      </ns0:c>
      <ns0:c r="D508" s="4" t="n">
        <ns0:v>1</ns0:v>
      </ns0:c>
      <ns0:c r="E508" s="4" t="n">
        <ns0:v>500</ns0:v>
      </ns0:c>
      <ns0:c r="F508" s="6" t="n">
        <ns0:v>0.5</ns0:v>
      </ns0:c>
      <ns0:c r="G508" s="4" t="n">
        <ns0:v>0</ns0:v>
      </ns0:c>
      <ns0:c r="H508" s="7" t="n">
        <ns0:v>8131.843575418992</ns0:v>
      </ns0:c>
      <ns0:c r="I508" s="7" t="n">
        <ns0:v>4086.592178770949</ns0:v>
      </ns0:c>
      <ns0:c r="J508" s="7" t="n">
        <ns0:v>2043.296089385474</ns0:v>
      </ns0:c>
      <ns0:c r="K508" s="7" t="n">
        <ns0:v>17</ns0:v>
      </ns0:c>
      <ns0:c r="L508" s="7" t="n">
        <ns0:v>23</ns0:v>
      </ns0:c>
      <ns0:c r="M508" s="7" t="n">
        <ns0:v>-14272.64276919676</ns0:v>
      </ns0:c>
      <ns0:c r="N508" s="7" t="n">
        <ns0:v>47647.51636401977</ns0:v>
      </ns0:c>
      <ns0:c r="O508" s="7" t="n">
        <ns0:v>115753.1503575714</ns0:v>
      </ns0:c>
      <ns0:c r="P508" s="7" t="n">
        <ns0:v>286017.2353414507</ns0:v>
      </ns0:c>
      <ns0:c r="Q508" s="7" t="n">
        <ns0:v>925073.5752769676</ns0:v>
      </ns0:c>
      <ns0:c r="R508" s="7" t="n">
        <ns0:v>3238770.765051277</ns0:v>
      </ns0:c>
    </ns0:row>
    <ns0:row r="509" ht="24" customHeight="1">
      <ns0:c r="A509" s="3" t="inlineStr">
        <ns0:is>
          <ns0:t>セット</ns0:t>
        </ns0:is>
      </ns0:c>
      <ns0:c r="B509" s="3" t="inlineStr">
        <ns0:is>
          <ns0:t>G2二段階</ns0:t>
        </ns0:is>
      </ns0:c>
      <ns0:c r="C509" s="3" t="inlineStr">
        <ns0:is>
          <ns0:t>A</ns0:t>
        </ns0:is>
      </ns0:c>
      <ns0:c r="D509" s="4" t="n">
        <ns0:v>1</ns0:v>
      </ns0:c>
      <ns0:c r="E509" s="4" t="n">
        <ns0:v>500</ns0:v>
      </ns0:c>
      <ns0:c r="F509" s="6" t="n">
        <ns0:v>0.5</ns0:v>
      </ns0:c>
      <ns0:c r="G509" s="4" t="n">
        <ns0:v>1</ns0:v>
      </ns0:c>
      <ns0:c r="H509" s="7" t="n">
        <ns0:v>8131.843575418992</ns0:v>
      </ns0:c>
      <ns0:c r="I509" s="7" t="n">
        <ns0:v>4086.592178770949</ns0:v>
      </ns0:c>
      <ns0:c r="J509" s="7" t="n">
        <ns0:v>2043.296089385474</ns0:v>
      </ns0:c>
      <ns0:c r="K509" s="7" t="n">
        <ns0:v>19</ns0:v>
      </ns0:c>
      <ns0:c r="L509" s="7" t="n">
        <ns0:v>32</ns0:v>
      </ns0:c>
      <ns0:c r="M509" s="7" t="n">
        <ns0:v>-18596.14897420083</ns0:v>
      </ns0:c>
      <ns0:c r="N509" s="7" t="n">
        <ns0:v>34676.99774900757</ns0:v>
      </ns0:c>
      <ns0:c r="O509" s="7" t="n">
        <ns0:v>94135.61933255108</ns0:v>
      </ns0:c>
      <ns0:c r="P509" s="7" t="n">
        <ns0:v>242782.1732914099</ns0:v>
      </ns0:c>
      <ns0:c r="Q509" s="7" t="n">
        <ns0:v>795368.3891268454</ns0:v>
      </ns0:c>
      <ns0:c r="R509" s="7" t="n">
        <ns0:v>2806420.14455087</ns0:v>
      </ns0:c>
    </ns0:row>
    <ns0:row r="510" ht="24" customHeight="1">
      <ns0:c r="A510" s="3" t="inlineStr">
        <ns0:is>
          <ns0:t>セット</ns0:t>
        </ns0:is>
      </ns0:c>
      <ns0:c r="B510" s="3" t="inlineStr">
        <ns0:is>
          <ns0:t>G2二段階</ns0:t>
        </ns0:is>
      </ns0:c>
      <ns0:c r="C510" s="3" t="inlineStr">
        <ns0:is>
          <ns0:t>A</ns0:t>
        </ns0:is>
      </ns0:c>
      <ns0:c r="D510" s="4" t="n">
        <ns0:v>1</ns0:v>
      </ns0:c>
      <ns0:c r="E510" s="4" t="n">
        <ns0:v>500</ns0:v>
      </ns0:c>
      <ns0:c r="F510" s="6" t="n">
        <ns0:v>0.5</ns0:v>
      </ns0:c>
      <ns0:c r="G510" s="4" t="n">
        <ns0:v>2</ns0:v>
      </ns0:c>
      <ns0:c r="H510" s="7" t="n">
        <ns0:v>8131.843575418992</ns0:v>
      </ns0:c>
      <ns0:c r="I510" s="7" t="n">
        <ns0:v>4086.592178770949</ns0:v>
      </ns0:c>
      <ns0:c r="J510" s="7" t="n">
        <ns0:v>2043.296089385474</ns0:v>
      </ns0:c>
      <ns0:c r="K510" s="18" t="inlineStr">
        <ns0:is>
          <ns0:t>範囲内なし</ns0:t>
        </ns0:is>
      </ns0:c>
      <ns0:c r="L510" s="18" t="inlineStr">
        <ns0:is>
          <ns0:t>範囲内なし</ns0:t>
        </ns0:is>
      </ns0:c>
      <ns0:c r="M510" s="7" t="n">
        <ns0:v>-55179.85293777409</ns0:v>
      </ns0:c>
      <ns0:c r="N510" s="7" t="n">
        <ns0:v>-75074.11414171223</ns0:v>
      </ns0:c>
      <ns0:c r="O510" s="7" t="n">
        <ns0:v>-88782.9004853152</ns0:v>
      </ns0:c>
      <ns0:c r="P510" s="7" t="n">
        <ns0:v>-123054.8663443226</ns0:v>
      </ns0:c>
      <ns0:c r="Q510" s="7" t="n">
        <ns0:v>-302142.7297803522</ns0:v>
      </ns0:c>
      <ns0:c r="R510" s="7" t="n">
        <ns0:v>-851950.2518064557</ns0:v>
      </ns0:c>
    </ns0:row>
    <ns0:row r="511" ht="24" customHeight="1">
      <ns0:c r="A511" s="3" t="inlineStr">
        <ns0:is>
          <ns0:t>セット</ns0:t>
        </ns0:is>
      </ns0:c>
      <ns0:c r="B511" s="3" t="inlineStr">
        <ns0:is>
          <ns0:t>G2二段階</ns0:t>
        </ns0:is>
      </ns0:c>
      <ns0:c r="C511" s="3" t="inlineStr">
        <ns0:is>
          <ns0:t>A</ns0:t>
        </ns0:is>
      </ns0:c>
      <ns0:c r="D511" s="4" t="n">
        <ns0:v>1</ns0:v>
      </ns0:c>
      <ns0:c r="E511" s="4" t="n">
        <ns0:v>500</ns0:v>
      </ns0:c>
      <ns0:c r="F511" s="6" t="n">
        <ns0:v>0.5</ns0:v>
      </ns0:c>
      <ns0:c r="G511" s="4" t="n">
        <ns0:v>3</ns0:v>
      </ns0:c>
      <ns0:c r="H511" s="7" t="n">
        <ns0:v>8131.843575418992</ns0:v>
      </ns0:c>
      <ns0:c r="I511" s="7" t="n">
        <ns0:v>4086.592178770949</ns0:v>
      </ns0:c>
      <ns0:c r="J511" s="7" t="n">
        <ns0:v>2043.296089385474</ns0:v>
      </ns0:c>
      <ns0:c r="K511" s="7" t="n">
        <ns0:v>27</ns0:v>
      </ns0:c>
      <ns0:c r="L511" s="7" t="n">
        <ns0:v>532</ns0:v>
      </ns0:c>
      <ns0:c r="M511" s="7" t="n">
        <ns0:v>-28058.65577473357</ns0:v>
      </ns0:c>
      <ns0:c r="N511" s="7" t="n">
        <ns0:v>6289.477347409367</ns0:v>
      </ns0:c>
      <ns0:c r="O511" s="7" t="n">
        <ns0:v>46823.08532988741</ns0:v>
      </ns0:c>
      <ns0:c r="P511" s="7" t="n">
        <ns0:v>148157.1052860826</ns0:v>
      </ns0:c>
      <ns0:c r="Q511" s="7" t="n">
        <ns0:v>511493.1851108635</ns0:v>
      </ns0:c>
      <ns0:c r="R511" s="7" t="n">
        <ns0:v>1860169.464497596</ns0:v>
      </ns0:c>
    </ns0:row>
    <ns0:row r="512" ht="24" customHeight="1">
      <ns0:c r="A512" s="3" t="inlineStr">
        <ns0:is>
          <ns0:t>セット</ns0:t>
        </ns0:is>
      </ns0:c>
      <ns0:c r="B512" s="3" t="inlineStr">
        <ns0:is>
          <ns0:t>G2二段階</ns0:t>
        </ns0:is>
      </ns0:c>
      <ns0:c r="C512" s="3" t="inlineStr">
        <ns0:is>
          <ns0:t>A</ns0:t>
        </ns0:is>
      </ns0:c>
      <ns0:c r="D512" s="4" t="n">
        <ns0:v>1</ns0:v>
      </ns0:c>
      <ns0:c r="E512" s="4" t="n">
        <ns0:v>1000</ns0:v>
      </ns0:c>
      <ns0:c r="F512" s="6" t="n">
        <ns0:v>0.3</ns0:v>
      </ns0:c>
      <ns0:c r="G512" s="4" t="n">
        <ns0:v>0</ns0:v>
      </ns0:c>
      <ns0:c r="H512" s="7" t="n">
        <ns0:v>7631.843575418992</ns0:v>
      </ns0:c>
      <ns0:c r="I512" s="7" t="n">
        <ns0:v>3586.592178770949</ns0:v>
      </ns0:c>
      <ns0:c r="J512" s="7" t="n">
        <ns0:v>1075.977653631285</ns0:v>
      </ns0:c>
      <ns0:c r="K512" s="7" t="n">
        <ns0:v>15</ns0:v>
      </ns0:c>
      <ns0:c r="L512" s="7" t="n">
        <ns0:v>21</ns0:v>
      </ns0:c>
      <ns0:c r="M512" s="7" t="n">
        <ns0:v>-9419.458411654854</ns0:v>
      </ns0:c>
      <ns0:c r="N512" s="7" t="n">
        <ns0:v>62207.06943664548</ns0:v>
      </ns0:c>
      <ns0:c r="O512" s="7" t="n">
        <ns0:v>140019.0721452809</ns0:v>
      </ns0:c>
      <ns0:c r="P512" s="7" t="n">
        <ns0:v>334549.0789168696</ns0:v>
      </ns0:c>
      <ns0:c r="Q512" s="7" t="n">
        <ns0:v>1070669.106003225</ns0:v>
      </ns0:c>
      <ns0:c r="R512" s="7" t="n">
        <ns0:v>3724089.200805467</ns0:v>
      </ns0:c>
    </ns0:row>
    <ns0:row r="513" ht="24" customHeight="1">
      <ns0:c r="A513" s="3" t="inlineStr">
        <ns0:is>
          <ns0:t>セット</ns0:t>
        </ns0:is>
      </ns0:c>
      <ns0:c r="B513" s="3" t="inlineStr">
        <ns0:is>
          <ns0:t>G2二段階</ns0:t>
        </ns0:is>
      </ns0:c>
      <ns0:c r="C513" s="3" t="inlineStr">
        <ns0:is>
          <ns0:t>A</ns0:t>
        </ns0:is>
      </ns0:c>
      <ns0:c r="D513" s="4" t="n">
        <ns0:v>1</ns0:v>
      </ns0:c>
      <ns0:c r="E513" s="4" t="n">
        <ns0:v>1000</ns0:v>
      </ns0:c>
      <ns0:c r="F513" s="6" t="n">
        <ns0:v>0.3</ns0:v>
      </ns0:c>
      <ns0:c r="G513" s="4" t="n">
        <ns0:v>1</ns0:v>
      </ns0:c>
      <ns0:c r="H513" s="7" t="n">
        <ns0:v>7631.843575418992</ns0:v>
      </ns0:c>
      <ns0:c r="I513" s="7" t="n">
        <ns0:v>3586.592178770949</ns0:v>
      </ns0:c>
      <ns0:c r="J513" s="7" t="n">
        <ns0:v>1075.977653631285</ns0:v>
      </ns0:c>
      <ns0:c r="K513" s="7" t="n">
        <ns0:v>16</ns0:v>
      </ns0:c>
      <ns0:c r="L513" s="7" t="n">
        <ns0:v>27</ns0:v>
      </ns0:c>
      <ns0:c r="M513" s="7" t="n">
        <ns0:v>-13742.96461665892</ns0:v>
      </ns0:c>
      <ns0:c r="N513" s="7" t="n">
        <ns0:v>49236.55082163328</ns0:v>
      </ns0:c>
      <ns0:c r="O513" s="7" t="n">
        <ns0:v>118401.5411202605</ns0:v>
      </ns0:c>
      <ns0:c r="P513" s="7" t="n">
        <ns0:v>291314.0168668289</ns0:v>
      </ns0:c>
      <ns0:c r="Q513" s="7" t="n">
        <ns0:v>940963.9198531024</ns0:v>
      </ns0:c>
      <ns0:c r="R513" s="7" t="n">
        <ns0:v>3291738.580305059</ns0:v>
      </ns0:c>
    </ns0:row>
    <ns0:row r="514" ht="24" customHeight="1">
      <ns0:c r="A514" s="3" t="inlineStr">
        <ns0:is>
          <ns0:t>セット</ns0:t>
        </ns0:is>
      </ns0:c>
      <ns0:c r="B514" s="3" t="inlineStr">
        <ns0:is>
          <ns0:t>G2二段階</ns0:t>
        </ns0:is>
      </ns0:c>
      <ns0:c r="C514" s="3" t="inlineStr">
        <ns0:is>
          <ns0:t>A</ns0:t>
        </ns0:is>
      </ns0:c>
      <ns0:c r="D514" s="4" t="n">
        <ns0:v>1</ns0:v>
      </ns0:c>
      <ns0:c r="E514" s="4" t="n">
        <ns0:v>1000</ns0:v>
      </ns0:c>
      <ns0:c r="F514" s="6" t="n">
        <ns0:v>0.3</ns0:v>
      </ns0:c>
      <ns0:c r="G514" s="4" t="n">
        <ns0:v>2</ns0:v>
      </ns0:c>
      <ns0:c r="H514" s="7" t="n">
        <ns0:v>7631.843575418992</ns0:v>
      </ns0:c>
      <ns0:c r="I514" s="7" t="n">
        <ns0:v>3586.592178770949</ns0:v>
      </ns0:c>
      <ns0:c r="J514" s="7" t="n">
        <ns0:v>1075.977653631285</ns0:v>
      </ns0:c>
      <ns0:c r="K514" s="18" t="inlineStr">
        <ns0:is>
          <ns0:t>範囲内なし</ns0:t>
        </ns0:is>
      </ns0:c>
      <ns0:c r="L514" s="18" t="inlineStr">
        <ns0:is>
          <ns0:t>範囲内なし</ns0:t>
        </ns0:is>
      </ns0:c>
      <ns0:c r="M514" s="7" t="n">
        <ns0:v>-50326.66858023218</ns0:v>
      </ns0:c>
      <ns0:c r="N514" s="7" t="n">
        <ns0:v>-60514.56106908651</ns0:v>
      </ns0:c>
      <ns0:c r="O514" s="7" t="n">
        <ns0:v>-64516.97869760574</ns0:v>
      </ns0:c>
      <ns0:c r="P514" s="7" t="n">
        <ns0:v>-74523.02276890367</ns0:v>
      </ns0:c>
      <ns0:c r="Q514" s="7" t="n">
        <ns0:v>-156547.1990540952</ns0:v>
      </ns0:c>
      <ns0:c r="R514" s="7" t="n">
        <ns0:v>-366631.8160522664</ns0:v>
      </ns0:c>
    </ns0:row>
    <ns0:row r="515" ht="24" customHeight="1">
      <ns0:c r="A515" s="3" t="inlineStr">
        <ns0:is>
          <ns0:t>セット</ns0:t>
        </ns0:is>
      </ns0:c>
      <ns0:c r="B515" s="3" t="inlineStr">
        <ns0:is>
          <ns0:t>G2二段階</ns0:t>
        </ns0:is>
      </ns0:c>
      <ns0:c r="C515" s="3" t="inlineStr">
        <ns0:is>
          <ns0:t>A</ns0:t>
        </ns0:is>
      </ns0:c>
      <ns0:c r="D515" s="4" t="n">
        <ns0:v>1</ns0:v>
      </ns0:c>
      <ns0:c r="E515" s="4" t="n">
        <ns0:v>1000</ns0:v>
      </ns0:c>
      <ns0:c r="F515" s="6" t="n">
        <ns0:v>0.3</ns0:v>
      </ns0:c>
      <ns0:c r="G515" s="4" t="n">
        <ns0:v>3</ns0:v>
      </ns0:c>
      <ns0:c r="H515" s="7" t="n">
        <ns0:v>7631.843575418992</ns0:v>
      </ns0:c>
      <ns0:c r="I515" s="7" t="n">
        <ns0:v>3586.592178770949</ns0:v>
      </ns0:c>
      <ns0:c r="J515" s="7" t="n">
        <ns0:v>1075.977653631285</ns0:v>
      </ns0:c>
      <ns0:c r="K515" s="7" t="n">
        <ns0:v>22</ns0:v>
      </ns0:c>
      <ns0:c r="L515" s="7" t="n">
        <ns0:v>167</ns0:v>
      </ns0:c>
      <ns0:c r="M515" s="7" t="n">
        <ns0:v>-23205.47141719166</ns0:v>
      </ns0:c>
      <ns0:c r="N515" s="7" t="n">
        <ns0:v>20849.03042003508</ns0:v>
      </ns0:c>
      <ns0:c r="O515" s="7" t="n">
        <ns0:v>71089.00711759689</ns0:v>
      </ns0:c>
      <ns0:c r="P515" s="7" t="n">
        <ns0:v>196688.9488615016</ns0:v>
      </ns0:c>
      <ns0:c r="Q515" s="7" t="n">
        <ns0:v>657088.7158371205</ns0:v>
      </ns0:c>
      <ns0:c r="R515" s="7" t="n">
        <ns0:v>2345487.900251786</ns0:v>
      </ns0:c>
    </ns0:row>
    <ns0:row r="516" ht="24" customHeight="1">
      <ns0:c r="A516" s="3" t="inlineStr">
        <ns0:is>
          <ns0:t>セット</ns0:t>
        </ns0:is>
      </ns0:c>
      <ns0:c r="B516" s="3" t="inlineStr">
        <ns0:is>
          <ns0:t>G2二段階</ns0:t>
        </ns0:is>
      </ns0:c>
      <ns0:c r="C516" s="3" t="inlineStr">
        <ns0:is>
          <ns0:t>A</ns0:t>
        </ns0:is>
      </ns0:c>
      <ns0:c r="D516" s="4" t="n">
        <ns0:v>1</ns0:v>
      </ns0:c>
      <ns0:c r="E516" s="4" t="n">
        <ns0:v>1000</ns0:v>
      </ns0:c>
      <ns0:c r="F516" s="6" t="n">
        <ns0:v>0.4</ns0:v>
      </ns0:c>
      <ns0:c r="G516" s="4" t="n">
        <ns0:v>0</ns0:v>
      </ns0:c>
      <ns0:c r="H516" s="7" t="n">
        <ns0:v>7631.843575418992</ns0:v>
      </ns0:c>
      <ns0:c r="I516" s="7" t="n">
        <ns0:v>3586.592178770949</ns0:v>
      </ns0:c>
      <ns0:c r="J516" s="7" t="n">
        <ns0:v>1434.63687150838</ns0:v>
      </ns0:c>
      <ns0:c r="K516" s="7" t="n">
        <ns0:v>16</ns0:v>
      </ns0:c>
      <ns0:c r="L516" s="7" t="n">
        <ns0:v>22</ns0:v>
      </ns0:c>
      <ns0:c r="M516" s="7" t="n">
        <ns0:v>-13006.0505904258</ns0:v>
      </ns0:c>
      <ns0:c r="N516" s="7" t="n">
        <ns0:v>51447.29290033261</ns0:v>
      </ns0:c>
      <ns0:c r="O516" s="7" t="n">
        <ns0:v>122086.1112514262</ns0:v>
      </ns0:c>
      <ns0:c r="P516" s="7" t="n">
        <ns0:v>298683.1571291601</ns0:v>
      </ns0:c>
      <ns0:c r="Q516" s="7" t="n">
        <ns0:v>963071.340640096</ns0:v>
      </ns0:c>
      <ns0:c r="R516" s="7" t="n">
        <ns0:v>3365429.982928372</ns0:v>
      </ns0:c>
    </ns0:row>
    <ns0:row r="517" ht="24" customHeight="1">
      <ns0:c r="A517" s="3" t="inlineStr">
        <ns0:is>
          <ns0:t>セット</ns0:t>
        </ns0:is>
      </ns0:c>
      <ns0:c r="B517" s="3" t="inlineStr">
        <ns0:is>
          <ns0:t>G2二段階</ns0:t>
        </ns0:is>
      </ns0:c>
      <ns0:c r="C517" s="3" t="inlineStr">
        <ns0:is>
          <ns0:t>A</ns0:t>
        </ns0:is>
      </ns0:c>
      <ns0:c r="D517" s="4" t="n">
        <ns0:v>1</ns0:v>
      </ns0:c>
      <ns0:c r="E517" s="4" t="n">
        <ns0:v>1000</ns0:v>
      </ns0:c>
      <ns0:c r="F517" s="6" t="n">
        <ns0:v>0.4</ns0:v>
      </ns0:c>
      <ns0:c r="G517" s="4" t="n">
        <ns0:v>1</ns0:v>
      </ns0:c>
      <ns0:c r="H517" s="7" t="n">
        <ns0:v>7631.843575418992</ns0:v>
      </ns0:c>
      <ns0:c r="I517" s="7" t="n">
        <ns0:v>3586.592178770949</ns0:v>
      </ns0:c>
      <ns0:c r="J517" s="7" t="n">
        <ns0:v>1434.63687150838</ns0:v>
      </ns0:c>
      <ns0:c r="K517" s="7" t="n">
        <ns0:v>18</ns0:v>
      </ns0:c>
      <ns0:c r="L517" s="7" t="n">
        <ns0:v>30</ns0:v>
      </ns0:c>
      <ns0:c r="M517" s="7" t="n">
        <ns0:v>-17329.55679542987</ns0:v>
      </ns0:c>
      <ns0:c r="N517" s="7" t="n">
        <ns0:v>38476.77428532041</ns0:v>
      </ns0:c>
      <ns0:c r="O517" s="7" t="n">
        <ns0:v>100468.5802264058</ns0:v>
      </ns0:c>
      <ns0:c r="P517" s="7" t="n">
        <ns0:v>255448.0950791194</ns0:v>
      </ns0:c>
      <ns0:c r="Q517" s="7" t="n">
        <ns0:v>833366.154489974</ns0:v>
      </ns0:c>
      <ns0:c r="R517" s="7" t="n">
        <ns0:v>2933079.362427965</ns0:v>
      </ns0:c>
    </ns0:row>
    <ns0:row r="518" ht="24" customHeight="1">
      <ns0:c r="A518" s="3" t="inlineStr">
        <ns0:is>
          <ns0:t>セット</ns0:t>
        </ns0:is>
      </ns0:c>
      <ns0:c r="B518" s="3" t="inlineStr">
        <ns0:is>
          <ns0:t>G2二段階</ns0:t>
        </ns0:is>
      </ns0:c>
      <ns0:c r="C518" s="3" t="inlineStr">
        <ns0:is>
          <ns0:t>A</ns0:t>
        </ns0:is>
      </ns0:c>
      <ns0:c r="D518" s="4" t="n">
        <ns0:v>1</ns0:v>
      </ns0:c>
      <ns0:c r="E518" s="4" t="n">
        <ns0:v>1000</ns0:v>
      </ns0:c>
      <ns0:c r="F518" s="6" t="n">
        <ns0:v>0.4</ns0:v>
      </ns0:c>
      <ns0:c r="G518" s="4" t="n">
        <ns0:v>2</ns0:v>
      </ns0:c>
      <ns0:c r="H518" s="7" t="n">
        <ns0:v>7631.843575418992</ns0:v>
      </ns0:c>
      <ns0:c r="I518" s="7" t="n">
        <ns0:v>3586.592178770949</ns0:v>
      </ns0:c>
      <ns0:c r="J518" s="7" t="n">
        <ns0:v>1434.63687150838</ns0:v>
      </ns0:c>
      <ns0:c r="K518" s="18" t="inlineStr">
        <ns0:is>
          <ns0:t>範囲内なし</ns0:t>
        </ns0:is>
      </ns0:c>
      <ns0:c r="L518" s="18" t="inlineStr">
        <ns0:is>
          <ns0:t>範囲内なし</ns0:t>
        </ns0:is>
      </ns0:c>
      <ns0:c r="M518" s="7" t="n">
        <ns0:v>-53913.26075900313</ns0:v>
      </ns0:c>
      <ns0:c r="N518" s="7" t="n">
        <ns0:v>-71274.3376053994</ns0:v>
      </ns0:c>
      <ns0:c r="O518" s="7" t="n">
        <ns0:v>-82449.93959146047</ns0:v>
      </ns0:c>
      <ns0:c r="P518" s="7" t="n">
        <ns0:v>-110388.9445566131</ns0:v>
      </ns0:c>
      <ns0:c r="Q518" s="7" t="n">
        <ns0:v>-264144.9644172238</ns0:v>
      </ns0:c>
      <ns0:c r="R518" s="7" t="n">
        <ns0:v>-725291.0339293601</ns0:v>
      </ns0:c>
    </ns0:row>
    <ns0:row r="519" ht="24" customHeight="1">
      <ns0:c r="A519" s="3" t="inlineStr">
        <ns0:is>
          <ns0:t>セット</ns0:t>
        </ns0:is>
      </ns0:c>
      <ns0:c r="B519" s="3" t="inlineStr">
        <ns0:is>
          <ns0:t>G2二段階</ns0:t>
        </ns0:is>
      </ns0:c>
      <ns0:c r="C519" s="3" t="inlineStr">
        <ns0:is>
          <ns0:t>A</ns0:t>
        </ns0:is>
      </ns0:c>
      <ns0:c r="D519" s="4" t="n">
        <ns0:v>1</ns0:v>
      </ns0:c>
      <ns0:c r="E519" s="4" t="n">
        <ns0:v>1000</ns0:v>
      </ns0:c>
      <ns0:c r="F519" s="6" t="n">
        <ns0:v>0.4</ns0:v>
      </ns0:c>
      <ns0:c r="G519" s="4" t="n">
        <ns0:v>3</ns0:v>
      </ns0:c>
      <ns0:c r="H519" s="7" t="n">
        <ns0:v>7631.843575418992</ns0:v>
      </ns0:c>
      <ns0:c r="I519" s="7" t="n">
        <ns0:v>3586.592178770949</ns0:v>
      </ns0:c>
      <ns0:c r="J519" s="7" t="n">
        <ns0:v>1434.63687150838</ns0:v>
      </ns0:c>
      <ns0:c r="K519" s="7" t="n">
        <ns0:v>26</ns0:v>
      </ns0:c>
      <ns0:c r="L519" s="7" t="n">
        <ns0:v>271</ns0:v>
      </ns0:c>
      <ns0:c r="M519" s="7" t="n">
        <ns0:v>-26792.06359596261</ns0:v>
      </ns0:c>
      <ns0:c r="N519" s="7" t="n">
        <ns0:v>10089.25388372221</ns0:v>
      </ns0:c>
      <ns0:c r="O519" s="7" t="n">
        <ns0:v>53156.04622374215</ns0:v>
      </ns0:c>
      <ns0:c r="P519" s="7" t="n">
        <ns0:v>160823.0270737921</ns0:v>
      </ns0:c>
      <ns0:c r="Q519" s="7" t="n">
        <ns0:v>549490.950473992</ns0:v>
      </ns0:c>
      <ns0:c r="R519" s="7" t="n">
        <ns0:v>1986828.682374692</ns0:v>
      </ns0:c>
    </ns0:row>
    <ns0:row r="520" ht="24" customHeight="1">
      <ns0:c r="A520" s="3" t="inlineStr">
        <ns0:is>
          <ns0:t>セット</ns0:t>
        </ns0:is>
      </ns0:c>
      <ns0:c r="B520" s="3" t="inlineStr">
        <ns0:is>
          <ns0:t>G2二段階</ns0:t>
        </ns0:is>
      </ns0:c>
      <ns0:c r="C520" s="3" t="inlineStr">
        <ns0:is>
          <ns0:t>A</ns0:t>
        </ns0:is>
      </ns0:c>
      <ns0:c r="D520" s="4" t="n">
        <ns0:v>1</ns0:v>
      </ns0:c>
      <ns0:c r="E520" s="4" t="n">
        <ns0:v>1000</ns0:v>
      </ns0:c>
      <ns0:c r="F520" s="6" t="n">
        <ns0:v>0.5</ns0:v>
      </ns0:c>
      <ns0:c r="G520" s="4" t="n">
        <ns0:v>0</ns0:v>
      </ns0:c>
      <ns0:c r="H520" s="7" t="n">
        <ns0:v>7631.843575418992</ns0:v>
      </ns0:c>
      <ns0:c r="I520" s="7" t="n">
        <ns0:v>3586.592178770949</ns0:v>
      </ns0:c>
      <ns0:c r="J520" s="7" t="n">
        <ns0:v>1793.296089385474</ns0:v>
      </ns0:c>
      <ns0:c r="K520" s="7" t="n">
        <ns0:v>18</ns0:v>
      </ns0:c>
      <ns0:c r="L520" s="7" t="n">
        <ns0:v>24</ns0:v>
      </ns0:c>
      <ns0:c r="M520" s="7" t="n">
        <ns0:v>-16592.64276919675</ns0:v>
      </ns0:c>
      <ns0:c r="N520" s="7" t="n">
        <ns0:v>40687.51636401977</ns0:v>
      </ns0:c>
      <ns0:c r="O520" s="7" t="n">
        <ns0:v>104153.1503575714</ns0:v>
      </ns0:c>
      <ns0:c r="P520" s="7" t="n">
        <ns0:v>262817.2353414507</ns0:v>
      </ns0:c>
      <ns0:c r="Q520" s="7" t="n">
        <ns0:v>855473.5752769676</ns0:v>
      </ns0:c>
      <ns0:c r="R520" s="7" t="n">
        <ns0:v>3006770.765051278</ns0:v>
      </ns0:c>
    </ns0:row>
    <ns0:row r="521" ht="24" customHeight="1">
      <ns0:c r="A521" s="3" t="inlineStr">
        <ns0:is>
          <ns0:t>セット</ns0:t>
        </ns0:is>
      </ns0:c>
      <ns0:c r="B521" s="3" t="inlineStr">
        <ns0:is>
          <ns0:t>G2二段階</ns0:t>
        </ns0:is>
      </ns0:c>
      <ns0:c r="C521" s="3" t="inlineStr">
        <ns0:is>
          <ns0:t>A</ns0:t>
        </ns0:is>
      </ns0:c>
      <ns0:c r="D521" s="4" t="n">
        <ns0:v>1</ns0:v>
      </ns0:c>
      <ns0:c r="E521" s="4" t="n">
        <ns0:v>1000</ns0:v>
      </ns0:c>
      <ns0:c r="F521" s="6" t="n">
        <ns0:v>0.5</ns0:v>
      </ns0:c>
      <ns0:c r="G521" s="4" t="n">
        <ns0:v>1</ns0:v>
      </ns0:c>
      <ns0:c r="H521" s="7" t="n">
        <ns0:v>7631.843575418992</ns0:v>
      </ns0:c>
      <ns0:c r="I521" s="7" t="n">
        <ns0:v>3586.592178770949</ns0:v>
      </ns0:c>
      <ns0:c r="J521" s="7" t="n">
        <ns0:v>1793.296089385474</ns0:v>
      </ns0:c>
      <ns0:c r="K521" s="7" t="n">
        <ns0:v>20</ns0:v>
      </ns0:c>
      <ns0:c r="L521" s="7" t="n">
        <ns0:v>34</ns0:v>
      </ns0:c>
      <ns0:c r="M521" s="7" t="n">
        <ns0:v>-20916.14897420082</ns0:v>
      </ns0:c>
      <ns0:c r="N521" s="7" t="n">
        <ns0:v>27716.99774900756</ns0:v>
      </ns0:c>
      <ns0:c r="O521" s="7" t="n">
        <ns0:v>82535.61933255108</ns0:v>
      </ns0:c>
      <ns0:c r="P521" s="7" t="n">
        <ns0:v>219582.1732914099</ns0:v>
      </ns0:c>
      <ns0:c r="Q521" s="7" t="n">
        <ns0:v>725768.3891268454</ns0:v>
      </ns0:c>
      <ns0:c r="R521" s="7" t="n">
        <ns0:v>2574420.144550871</ns0:v>
      </ns0:c>
    </ns0:row>
    <ns0:row r="522" ht="24" customHeight="1">
      <ns0:c r="A522" s="3" t="inlineStr">
        <ns0:is>
          <ns0:t>セット</ns0:t>
        </ns0:is>
      </ns0:c>
      <ns0:c r="B522" s="3" t="inlineStr">
        <ns0:is>
          <ns0:t>G2二段階</ns0:t>
        </ns0:is>
      </ns0:c>
      <ns0:c r="C522" s="3" t="inlineStr">
        <ns0:is>
          <ns0:t>A</ns0:t>
        </ns0:is>
      </ns0:c>
      <ns0:c r="D522" s="4" t="n">
        <ns0:v>1</ns0:v>
      </ns0:c>
      <ns0:c r="E522" s="4" t="n">
        <ns0:v>1000</ns0:v>
      </ns0:c>
      <ns0:c r="F522" s="6" t="n">
        <ns0:v>0.5</ns0:v>
      </ns0:c>
      <ns0:c r="G522" s="4" t="n">
        <ns0:v>2</ns0:v>
      </ns0:c>
      <ns0:c r="H522" s="7" t="n">
        <ns0:v>7631.843575418992</ns0:v>
      </ns0:c>
      <ns0:c r="I522" s="7" t="n">
        <ns0:v>3586.592178770949</ns0:v>
      </ns0:c>
      <ns0:c r="J522" s="7" t="n">
        <ns0:v>1793.296089385474</ns0:v>
      </ns0:c>
      <ns0:c r="K522" s="18" t="inlineStr">
        <ns0:is>
          <ns0:t>範囲内なし</ns0:t>
        </ns0:is>
      </ns0:c>
      <ns0:c r="L522" s="18" t="inlineStr">
        <ns0:is>
          <ns0:t>範囲内なし</ns0:t>
        </ns0:is>
      </ns0:c>
      <ns0:c r="M522" s="7" t="n">
        <ns0:v>-57499.85293777408</ns0:v>
      </ns0:c>
      <ns0:c r="N522" s="7" t="n">
        <ns0:v>-82034.11414171223</ns0:v>
      </ns0:c>
      <ns0:c r="O522" s="7" t="n">
        <ns0:v>-100382.9004853152</ns0:v>
      </ns0:c>
      <ns0:c r="P522" s="7" t="n">
        <ns0:v>-146254.8663443226</ns0:v>
      </ns0:c>
      <ns0:c r="Q522" s="7" t="n">
        <ns0:v>-371742.7297803522</ns0:v>
      </ns0:c>
      <ns0:c r="R522" s="7" t="n">
        <ns0:v>-1083950.251806455</ns0:v>
      </ns0:c>
    </ns0:row>
    <ns0:row r="523" ht="24" customHeight="1">
      <ns0:c r="A523" s="3" t="inlineStr">
        <ns0:is>
          <ns0:t>セット</ns0:t>
        </ns0:is>
      </ns0:c>
      <ns0:c r="B523" s="3" t="inlineStr">
        <ns0:is>
          <ns0:t>G2二段階</ns0:t>
        </ns0:is>
      </ns0:c>
      <ns0:c r="C523" s="3" t="inlineStr">
        <ns0:is>
          <ns0:t>A</ns0:t>
        </ns0:is>
      </ns0:c>
      <ns0:c r="D523" s="4" t="n">
        <ns0:v>1</ns0:v>
      </ns0:c>
      <ns0:c r="E523" s="4" t="n">
        <ns0:v>1000</ns0:v>
      </ns0:c>
      <ns0:c r="F523" s="6" t="n">
        <ns0:v>0.5</ns0:v>
      </ns0:c>
      <ns0:c r="G523" s="4" t="n">
        <ns0:v>3</ns0:v>
      </ns0:c>
      <ns0:c r="H523" s="7" t="n">
        <ns0:v>7631.843575418992</ns0:v>
      </ns0:c>
      <ns0:c r="I523" s="7" t="n">
        <ns0:v>3586.592178770949</ns0:v>
      </ns0:c>
      <ns0:c r="J523" s="7" t="n">
        <ns0:v>1793.296089385474</ns0:v>
      </ns0:c>
      <ns0:c r="K523" s="7" t="n">
        <ns0:v>31</ns0:v>
      </ns0:c>
      <ns0:c r="L523" s="18" t="inlineStr">
        <ns0:is>
          <ns0:t>範囲内なし</ns0:t>
        </ns0:is>
      </ns0:c>
      <ns0:c r="M523" s="7" t="n">
        <ns0:v>-30378.65577473355</ns0:v>
      </ns0:c>
      <ns0:c r="N523" s="7" t="n">
        <ns0:v>-670.5226525906473</ns0:v>
      </ns0:c>
      <ns0:c r="O523" s="7" t="n">
        <ns0:v>35223.08532988741</ns0:v>
      </ns0:c>
      <ns0:c r="P523" s="7" t="n">
        <ns0:v>124957.1052860826</ns0:v>
      </ns0:c>
      <ns0:c r="Q523" s="7" t="n">
        <ns0:v>441893.1851108635</ns0:v>
      </ns0:c>
      <ns0:c r="R523" s="7" t="n">
        <ns0:v>1628169.464497597</ns0:v>
      </ns0:c>
    </ns0:row>
    <ns0:row r="524" ht="24" customHeight="1">
      <ns0:c r="A524" s="3" t="inlineStr">
        <ns0:is>
          <ns0:t>セット</ns0:t>
        </ns0:is>
      </ns0:c>
      <ns0:c r="B524" s="3" t="inlineStr">
        <ns0:is>
          <ns0:t>G2二段階</ns0:t>
        </ns0:is>
      </ns0:c>
      <ns0:c r="C524" s="3" t="inlineStr">
        <ns0:is>
          <ns0:t>A</ns0:t>
        </ns0:is>
      </ns0:c>
      <ns0:c r="D524" s="4" t="n">
        <ns0:v>1</ns0:v>
      </ns0:c>
      <ns0:c r="E524" s="4" t="n">
        <ns0:v>1500</ns0:v>
      </ns0:c>
      <ns0:c r="F524" s="6" t="n">
        <ns0:v>0.3</ns0:v>
      </ns0:c>
      <ns0:c r="G524" s="4" t="n">
        <ns0:v>0</ns0:v>
      </ns0:c>
      <ns0:c r="H524" s="7" t="n">
        <ns0:v>7131.843575418993</ns0:v>
      </ns0:c>
      <ns0:c r="I524" s="7" t="n">
        <ns0:v>3086.592178770949</ns0:v>
      </ns0:c>
      <ns0:c r="J524" s="7" t="n">
        <ns0:v>925.9776536312847</ns0:v>
      </ns0:c>
      <ns0:c r="K524" s="7" t="n">
        <ns0:v>16</ns0:v>
      </ns0:c>
      <ns0:c r="L524" s="7" t="n">
        <ns0:v>22</ns0:v>
      </ns0:c>
      <ns0:c r="M524" s="7" t="n">
        <ns0:v>-12739.45841165486</ns0:v>
      </ns0:c>
      <ns0:c r="N524" s="7" t="n">
        <ns0:v>52247.06943664548</ns0:v>
      </ns0:c>
      <ns0:c r="O524" s="7" t="n">
        <ns0:v>123419.072145281</ns0:v>
      </ns0:c>
      <ns0:c r="P524" s="7" t="n">
        <ns0:v>301349.0789168697</ns0:v>
      </ns0:c>
      <ns0:c r="Q524" s="7" t="n">
        <ns0:v>971069.1060032244</ns0:v>
      </ns0:c>
      <ns0:c r="R524" s="7" t="n">
        <ns0:v>3392089.200805467</ns0:v>
      </ns0:c>
    </ns0:row>
    <ns0:row r="525" ht="24" customHeight="1">
      <ns0:c r="A525" s="3" t="inlineStr">
        <ns0:is>
          <ns0:t>セット</ns0:t>
        </ns0:is>
      </ns0:c>
      <ns0:c r="B525" s="3" t="inlineStr">
        <ns0:is>
          <ns0:t>G2二段階</ns0:t>
        </ns0:is>
      </ns0:c>
      <ns0:c r="C525" s="3" t="inlineStr">
        <ns0:is>
          <ns0:t>A</ns0:t>
        </ns0:is>
      </ns0:c>
      <ns0:c r="D525" s="4" t="n">
        <ns0:v>1</ns0:v>
      </ns0:c>
      <ns0:c r="E525" s="4" t="n">
        <ns0:v>1500</ns0:v>
      </ns0:c>
      <ns0:c r="F525" s="6" t="n">
        <ns0:v>0.3</ns0:v>
      </ns0:c>
      <ns0:c r="G525" s="4" t="n">
        <ns0:v>1</ns0:v>
      </ns0:c>
      <ns0:c r="H525" s="7" t="n">
        <ns0:v>7131.843575418993</ns0:v>
      </ns0:c>
      <ns0:c r="I525" s="7" t="n">
        <ns0:v>3086.592178770949</ns0:v>
      </ns0:c>
      <ns0:c r="J525" s="7" t="n">
        <ns0:v>925.9776536312847</ns0:v>
      </ns0:c>
      <ns0:c r="K525" s="7" t="n">
        <ns0:v>18</ns0:v>
      </ns0:c>
      <ns0:c r="L525" s="7" t="n">
        <ns0:v>30</ns0:v>
      </ns0:c>
      <ns0:c r="M525" s="7" t="n">
        <ns0:v>-17062.96461665893</ns0:v>
      </ns0:c>
      <ns0:c r="N525" s="7" t="n">
        <ns0:v>39276.55082163327</ns0:v>
      </ns0:c>
      <ns0:c r="O525" s="7" t="n">
        <ns0:v>101801.5411202606</ns0:v>
      </ns0:c>
      <ns0:c r="P525" s="7" t="n">
        <ns0:v>258114.016866829</ns0:v>
      </ns0:c>
      <ns0:c r="Q525" s="7" t="n">
        <ns0:v>841363.9198531024</ns0:v>
      </ns0:c>
      <ns0:c r="R525" s="7" t="n">
        <ns0:v>2959738.580305059</ns0:v>
      </ns0:c>
    </ns0:row>
    <ns0:row r="526" ht="24" customHeight="1">
      <ns0:c r="A526" s="3" t="inlineStr">
        <ns0:is>
          <ns0:t>セット</ns0:t>
        </ns0:is>
      </ns0:c>
      <ns0:c r="B526" s="3" t="inlineStr">
        <ns0:is>
          <ns0:t>G2二段階</ns0:t>
        </ns0:is>
      </ns0:c>
      <ns0:c r="C526" s="3" t="inlineStr">
        <ns0:is>
          <ns0:t>A</ns0:t>
        </ns0:is>
      </ns0:c>
      <ns0:c r="D526" s="4" t="n">
        <ns0:v>1</ns0:v>
      </ns0:c>
      <ns0:c r="E526" s="4" t="n">
        <ns0:v>1500</ns0:v>
      </ns0:c>
      <ns0:c r="F526" s="6" t="n">
        <ns0:v>0.3</ns0:v>
      </ns0:c>
      <ns0:c r="G526" s="4" t="n">
        <ns0:v>2</ns0:v>
      </ns0:c>
      <ns0:c r="H526" s="7" t="n">
        <ns0:v>7131.843575418993</ns0:v>
      </ns0:c>
      <ns0:c r="I526" s="7" t="n">
        <ns0:v>3086.592178770949</ns0:v>
      </ns0:c>
      <ns0:c r="J526" s="7" t="n">
        <ns0:v>925.9776536312847</ns0:v>
      </ns0:c>
      <ns0:c r="K526" s="18" t="inlineStr">
        <ns0:is>
          <ns0:t>範囲内なし</ns0:t>
        </ns0:is>
      </ns0:c>
      <ns0:c r="L526" s="18" t="inlineStr">
        <ns0:is>
          <ns0:t>範囲内なし</ns0:t>
        </ns0:is>
      </ns0:c>
      <ns0:c r="M526" s="7" t="n">
        <ns0:v>-53646.66858023219</ns0:v>
      </ns0:c>
      <ns0:c r="N526" s="7" t="n">
        <ns0:v>-70474.56106908651</ns0:v>
      </ns0:c>
      <ns0:c r="O526" s="7" t="n">
        <ns0:v>-81116.97869760571</ns0:v>
      </ns0:c>
      <ns0:c r="P526" s="7" t="n">
        <ns0:v>-107723.0227689036</ns0:v>
      </ns0:c>
      <ns0:c r="Q526" s="7" t="n">
        <ns0:v>-256147.1990540954</ns0:v>
      </ns0:c>
      <ns0:c r="R526" s="7" t="n">
        <ns0:v>-698631.8160522664</ns0:v>
      </ns0:c>
    </ns0:row>
    <ns0:row r="527" ht="24" customHeight="1">
      <ns0:c r="A527" s="3" t="inlineStr">
        <ns0:is>
          <ns0:t>セット</ns0:t>
        </ns0:is>
      </ns0:c>
      <ns0:c r="B527" s="3" t="inlineStr">
        <ns0:is>
          <ns0:t>G2二段階</ns0:t>
        </ns0:is>
      </ns0:c>
      <ns0:c r="C527" s="3" t="inlineStr">
        <ns0:is>
          <ns0:t>A</ns0:t>
        </ns0:is>
      </ns0:c>
      <ns0:c r="D527" s="4" t="n">
        <ns0:v>1</ns0:v>
      </ns0:c>
      <ns0:c r="E527" s="4" t="n">
        <ns0:v>1500</ns0:v>
      </ns0:c>
      <ns0:c r="F527" s="6" t="n">
        <ns0:v>0.3</ns0:v>
      </ns0:c>
      <ns0:c r="G527" s="4" t="n">
        <ns0:v>3</ns0:v>
      </ns0:c>
      <ns0:c r="H527" s="7" t="n">
        <ns0:v>7131.843575418993</ns0:v>
      </ns0:c>
      <ns0:c r="I527" s="7" t="n">
        <ns0:v>3086.592178770949</ns0:v>
      </ns0:c>
      <ns0:c r="J527" s="7" t="n">
        <ns0:v>925.9776536312847</ns0:v>
      </ns0:c>
      <ns0:c r="K527" s="7" t="n">
        <ns0:v>26</ns0:v>
      </ns0:c>
      <ns0:c r="L527" s="7" t="n">
        <ns0:v>259</ns0:v>
      </ns0:c>
      <ns0:c r="M527" s="7" t="n">
        <ns0:v>-26525.47141719166</ns0:v>
      </ns0:c>
      <ns0:c r="N527" s="7" t="n">
        <ns0:v>10889.03042003507</ns0:v>
      </ns0:c>
      <ns0:c r="O527" s="7" t="n">
        <ns0:v>54489.00711759691</ns0:v>
      </ns0:c>
      <ns0:c r="P527" s="7" t="n">
        <ns0:v>163488.9488615016</ns0:v>
      </ns0:c>
      <ns0:c r="Q527" s="7" t="n">
        <ns0:v>557488.7158371204</ns0:v>
      </ns0:c>
      <ns0:c r="R527" s="7" t="n">
        <ns0:v>2013487.900251786</ns0:v>
      </ns0:c>
    </ns0:row>
    <ns0:row r="528" ht="24" customHeight="1">
      <ns0:c r="A528" s="3" t="inlineStr">
        <ns0:is>
          <ns0:t>セット</ns0:t>
        </ns0:is>
      </ns0:c>
      <ns0:c r="B528" s="3" t="inlineStr">
        <ns0:is>
          <ns0:t>G2二段階</ns0:t>
        </ns0:is>
      </ns0:c>
      <ns0:c r="C528" s="3" t="inlineStr">
        <ns0:is>
          <ns0:t>A</ns0:t>
        </ns0:is>
      </ns0:c>
      <ns0:c r="D528" s="4" t="n">
        <ns0:v>1</ns0:v>
      </ns0:c>
      <ns0:c r="E528" s="4" t="n">
        <ns0:v>1500</ns0:v>
      </ns0:c>
      <ns0:c r="F528" s="6" t="n">
        <ns0:v>0.4</ns0:v>
      </ns0:c>
      <ns0:c r="G528" s="4" t="n">
        <ns0:v>0</ns0:v>
      </ns0:c>
      <ns0:c r="H528" s="7" t="n">
        <ns0:v>7131.843575418993</ns0:v>
      </ns0:c>
      <ns0:c r="I528" s="7" t="n">
        <ns0:v>3086.592178770949</ns0:v>
      </ns0:c>
      <ns0:c r="J528" s="7" t="n">
        <ns0:v>1234.63687150838</ns0:v>
      </ns0:c>
      <ns0:c r="K528" s="7" t="n">
        <ns0:v>17</ns0:v>
      </ns0:c>
      <ns0:c r="L528" s="7" t="n">
        <ns0:v>24</ns0:v>
      </ns0:c>
      <ns0:c r="M528" s="7" t="n">
        <ns0:v>-15826.05059042581</ns0:v>
      </ns0:c>
      <ns0:c r="N528" s="7" t="n">
        <ns0:v>42987.29290033261</ns0:v>
      </ns0:c>
      <ns0:c r="O528" s="7" t="n">
        <ns0:v>107986.1112514262</ns0:v>
      </ns0:c>
      <ns0:c r="P528" s="7" t="n">
        <ns0:v>270483.1571291602</ns0:v>
      </ns0:c>
      <ns0:c r="Q528" s="7" t="n">
        <ns0:v>878471.3406400958</ns0:v>
      </ns0:c>
      <ns0:c r="R528" s="7" t="n">
        <ns0:v>3083429.982928372</ns0:v>
      </ns0:c>
    </ns0:row>
    <ns0:row r="529" ht="24" customHeight="1">
      <ns0:c r="A529" s="3" t="inlineStr">
        <ns0:is>
          <ns0:t>セット</ns0:t>
        </ns0:is>
      </ns0:c>
      <ns0:c r="B529" s="3" t="inlineStr">
        <ns0:is>
          <ns0:t>G2二段階</ns0:t>
        </ns0:is>
      </ns0:c>
      <ns0:c r="C529" s="3" t="inlineStr">
        <ns0:is>
          <ns0:t>A</ns0:t>
        </ns0:is>
      </ns0:c>
      <ns0:c r="D529" s="4" t="n">
        <ns0:v>1</ns0:v>
      </ns0:c>
      <ns0:c r="E529" s="4" t="n">
        <ns0:v>1500</ns0:v>
      </ns0:c>
      <ns0:c r="F529" s="6" t="n">
        <ns0:v>0.4</ns0:v>
      </ns0:c>
      <ns0:c r="G529" s="4" t="n">
        <ns0:v>1</ns0:v>
      </ns0:c>
      <ns0:c r="H529" s="7" t="n">
        <ns0:v>7131.843575418993</ns0:v>
      </ns0:c>
      <ns0:c r="I529" s="7" t="n">
        <ns0:v>3086.592178770949</ns0:v>
      </ns0:c>
      <ns0:c r="J529" s="7" t="n">
        <ns0:v>1234.63687150838</ns0:v>
      </ns0:c>
      <ns0:c r="K529" s="7" t="n">
        <ns0:v>20</ns0:v>
      </ns0:c>
      <ns0:c r="L529" s="7" t="n">
        <ns0:v>33</ns0:v>
      </ns0:c>
      <ns0:c r="M529" s="7" t="n">
        <ns0:v>-20149.55679542988</ns0:v>
      </ns0:c>
      <ns0:c r="N529" s="7" t="n">
        <ns0:v>30016.77428532041</ns0:v>
      </ns0:c>
      <ns0:c r="O529" s="7" t="n">
        <ns0:v>86368.58022640584</ns0:v>
      </ns0:c>
      <ns0:c r="P529" s="7" t="n">
        <ns0:v>227248.0950791195</ns0:v>
      </ns0:c>
      <ns0:c r="Q529" s="7" t="n">
        <ns0:v>748766.1544899738</ns0:v>
      </ns0:c>
      <ns0:c r="R529" s="7" t="n">
        <ns0:v>2651079.362427964</ns0:v>
      </ns0:c>
    </ns0:row>
    <ns0:row r="530" ht="24" customHeight="1">
      <ns0:c r="A530" s="3" t="inlineStr">
        <ns0:is>
          <ns0:t>セット</ns0:t>
        </ns0:is>
      </ns0:c>
      <ns0:c r="B530" s="3" t="inlineStr">
        <ns0:is>
          <ns0:t>G2二段階</ns0:t>
        </ns0:is>
      </ns0:c>
      <ns0:c r="C530" s="3" t="inlineStr">
        <ns0:is>
          <ns0:t>A</ns0:t>
        </ns0:is>
      </ns0:c>
      <ns0:c r="D530" s="4" t="n">
        <ns0:v>1</ns0:v>
      </ns0:c>
      <ns0:c r="E530" s="4" t="n">
        <ns0:v>1500</ns0:v>
      </ns0:c>
      <ns0:c r="F530" s="6" t="n">
        <ns0:v>0.4</ns0:v>
      </ns0:c>
      <ns0:c r="G530" s="4" t="n">
        <ns0:v>2</ns0:v>
      </ns0:c>
      <ns0:c r="H530" s="7" t="n">
        <ns0:v>7131.843575418993</ns0:v>
      </ns0:c>
      <ns0:c r="I530" s="7" t="n">
        <ns0:v>3086.592178770949</ns0:v>
      </ns0:c>
      <ns0:c r="J530" s="7" t="n">
        <ns0:v>1234.63687150838</ns0:v>
      </ns0:c>
      <ns0:c r="K530" s="18" t="inlineStr">
        <ns0:is>
          <ns0:t>範囲内なし</ns0:t>
        </ns0:is>
      </ns0:c>
      <ns0:c r="L530" s="18" t="inlineStr">
        <ns0:is>
          <ns0:t>範囲内なし</ns0:t>
        </ns0:is>
      </ns0:c>
      <ns0:c r="M530" s="7" t="n">
        <ns0:v>-56733.26075900314</ns0:v>
      </ns0:c>
      <ns0:c r="N530" s="7" t="n">
        <ns0:v>-79734.3376053994</ns0:v>
      </ns0:c>
      <ns0:c r="O530" s="7" t="n">
        <ns0:v>-96549.93959146044</ns0:v>
      </ns0:c>
      <ns0:c r="P530" s="7" t="n">
        <ns0:v>-138588.9445566131</ns0:v>
      </ns0:c>
      <ns0:c r="Q530" s="7" t="n">
        <ns0:v>-348744.9644172241</ns0:v>
      </ns0:c>
      <ns0:c r="R530" s="7" t="n">
        <ns0:v>-1007291.033929361</ns0:v>
      </ns0:c>
    </ns0:row>
    <ns0:row r="531" ht="24" customHeight="1">
      <ns0:c r="A531" s="3" t="inlineStr">
        <ns0:is>
          <ns0:t>セット</ns0:t>
        </ns0:is>
      </ns0:c>
      <ns0:c r="B531" s="3" t="inlineStr">
        <ns0:is>
          <ns0:t>G2二段階</ns0:t>
        </ns0:is>
      </ns0:c>
      <ns0:c r="C531" s="3" t="inlineStr">
        <ns0:is>
          <ns0:t>A</ns0:t>
        </ns0:is>
      </ns0:c>
      <ns0:c r="D531" s="4" t="n">
        <ns0:v>1</ns0:v>
      </ns0:c>
      <ns0:c r="E531" s="4" t="n">
        <ns0:v>1500</ns0:v>
      </ns0:c>
      <ns0:c r="F531" s="6" t="n">
        <ns0:v>0.4</ns0:v>
      </ns0:c>
      <ns0:c r="G531" s="4" t="n">
        <ns0:v>3</ns0:v>
      </ns0:c>
      <ns0:c r="H531" s="7" t="n">
        <ns0:v>7131.843575418993</ns0:v>
      </ns0:c>
      <ns0:c r="I531" s="7" t="n">
        <ns0:v>3086.592178770949</ns0:v>
      </ns0:c>
      <ns0:c r="J531" s="7" t="n">
        <ns0:v>1234.63687150838</ns0:v>
      </ns0:c>
      <ns0:c r="K531" s="7" t="n">
        <ns0:v>30</ns0:v>
      </ns0:c>
      <ns0:c r="L531" s="7" t="n">
        <ns0:v>815</ns0:v>
      </ns0:c>
      <ns0:c r="M531" s="7" t="n">
        <ns0:v>-29612.06359596262</ns0:v>
      </ns0:c>
      <ns0:c r="N531" s="7" t="n">
        <ns0:v>1629.253883722209</ns0:v>
      </ns0:c>
      <ns0:c r="O531" s="7" t="n">
        <ns0:v>39056.04622374218</ns0:v>
      </ns0:c>
      <ns0:c r="P531" s="7" t="n">
        <ns0:v>132623.0270737922</ns0:v>
      </ns0:c>
      <ns0:c r="Q531" s="7" t="n">
        <ns0:v>464890.9504739917</ns0:v>
      </ns0:c>
      <ns0:c r="R531" s="7" t="n">
        <ns0:v>1704828.682374691</ns0:v>
      </ns0:c>
    </ns0:row>
    <ns0:row r="532" ht="24" customHeight="1">
      <ns0:c r="A532" s="3" t="inlineStr">
        <ns0:is>
          <ns0:t>セット</ns0:t>
        </ns0:is>
      </ns0:c>
      <ns0:c r="B532" s="3" t="inlineStr">
        <ns0:is>
          <ns0:t>G2二段階</ns0:t>
        </ns0:is>
      </ns0:c>
      <ns0:c r="C532" s="3" t="inlineStr">
        <ns0:is>
          <ns0:t>A</ns0:t>
        </ns0:is>
      </ns0:c>
      <ns0:c r="D532" s="4" t="n">
        <ns0:v>1</ns0:v>
      </ns0:c>
      <ns0:c r="E532" s="4" t="n">
        <ns0:v>1500</ns0:v>
      </ns0:c>
      <ns0:c r="F532" s="6" t="n">
        <ns0:v>0.5</ns0:v>
      </ns0:c>
      <ns0:c r="G532" s="4" t="n">
        <ns0:v>0</ns0:v>
      </ns0:c>
      <ns0:c r="H532" s="7" t="n">
        <ns0:v>7131.843575418993</ns0:v>
      </ns0:c>
      <ns0:c r="I532" s="7" t="n">
        <ns0:v>3086.592178770949</ns0:v>
      </ns0:c>
      <ns0:c r="J532" s="7" t="n">
        <ns0:v>1543.296089385475</ns0:v>
      </ns0:c>
      <ns0:c r="K532" s="7" t="n">
        <ns0:v>19</ns0:v>
      </ns0:c>
      <ns0:c r="L532" s="7" t="n">
        <ns0:v>26</ns0:v>
      </ns0:c>
      <ns0:c r="M532" s="7" t="n">
        <ns0:v>-18912.64276919675</ns0:v>
      </ns0:c>
      <ns0:c r="N532" s="7" t="n">
        <ns0:v>33727.51636401979</ns0:v>
      </ns0:c>
      <ns0:c r="O532" s="7" t="n">
        <ns0:v>92553.15035757146</ns0:v>
      </ns0:c>
      <ns0:c r="P532" s="7" t="n">
        <ns0:v>239617.2353414507</ns0:v>
      </ns0:c>
      <ns0:c r="Q532" s="7" t="n">
        <ns0:v>785873.5752769674</ns0:v>
      </ns0:c>
      <ns0:c r="R532" s="7" t="n">
        <ns0:v>2774770.765051276</ns0:v>
      </ns0:c>
    </ns0:row>
    <ns0:row r="533" ht="24" customHeight="1">
      <ns0:c r="A533" s="3" t="inlineStr">
        <ns0:is>
          <ns0:t>セット</ns0:t>
        </ns0:is>
      </ns0:c>
      <ns0:c r="B533" s="3" t="inlineStr">
        <ns0:is>
          <ns0:t>G2二段階</ns0:t>
        </ns0:is>
      </ns0:c>
      <ns0:c r="C533" s="3" t="inlineStr">
        <ns0:is>
          <ns0:t>A</ns0:t>
        </ns0:is>
      </ns0:c>
      <ns0:c r="D533" s="4" t="n">
        <ns0:v>1</ns0:v>
      </ns0:c>
      <ns0:c r="E533" s="4" t="n">
        <ns0:v>1500</ns0:v>
      </ns0:c>
      <ns0:c r="F533" s="6" t="n">
        <ns0:v>0.5</ns0:v>
      </ns0:c>
      <ns0:c r="G533" s="4" t="n">
        <ns0:v>1</ns0:v>
      </ns0:c>
      <ns0:c r="H533" s="7" t="n">
        <ns0:v>7131.843575418993</ns0:v>
      </ns0:c>
      <ns0:c r="I533" s="7" t="n">
        <ns0:v>3086.592178770949</ns0:v>
      </ns0:c>
      <ns0:c r="J533" s="7" t="n">
        <ns0:v>1543.296089385475</ns0:v>
      </ns0:c>
      <ns0:c r="K533" s="7" t="n">
        <ns0:v>22</ns0:v>
      </ns0:c>
      <ns0:c r="L533" s="7" t="n">
        <ns0:v>37</ns0:v>
      </ns0:c>
      <ns0:c r="M533" s="7" t="n">
        <ns0:v>-23236.14897420083</ns0:v>
      </ns0:c>
      <ns0:c r="N533" s="7" t="n">
        <ns0:v>20756.99774900757</ns0:v>
      </ns0:c>
      <ns0:c r="O533" s="7" t="n">
        <ns0:v>70935.61933255111</ns0:v>
      </ns0:c>
      <ns0:c r="P533" s="7" t="n">
        <ns0:v>196382.17329141</ns0:v>
      </ns0:c>
      <ns0:c r="Q533" s="7" t="n">
        <ns0:v>656168.3891268452</ns0:v>
      </ns0:c>
      <ns0:c r="R533" s="7" t="n">
        <ns0:v>2342420.14455087</ns0:v>
      </ns0:c>
    </ns0:row>
    <ns0:row r="534" ht="24" customHeight="1">
      <ns0:c r="A534" s="3" t="inlineStr">
        <ns0:is>
          <ns0:t>セット</ns0:t>
        </ns0:is>
      </ns0:c>
      <ns0:c r="B534" s="3" t="inlineStr">
        <ns0:is>
          <ns0:t>G2二段階</ns0:t>
        </ns0:is>
      </ns0:c>
      <ns0:c r="C534" s="3" t="inlineStr">
        <ns0:is>
          <ns0:t>A</ns0:t>
        </ns0:is>
      </ns0:c>
      <ns0:c r="D534" s="4" t="n">
        <ns0:v>1</ns0:v>
      </ns0:c>
      <ns0:c r="E534" s="4" t="n">
        <ns0:v>1500</ns0:v>
      </ns0:c>
      <ns0:c r="F534" s="6" t="n">
        <ns0:v>0.5</ns0:v>
      </ns0:c>
      <ns0:c r="G534" s="4" t="n">
        <ns0:v>2</ns0:v>
      </ns0:c>
      <ns0:c r="H534" s="7" t="n">
        <ns0:v>7131.843575418993</ns0:v>
      </ns0:c>
      <ns0:c r="I534" s="7" t="n">
        <ns0:v>3086.592178770949</ns0:v>
      </ns0:c>
      <ns0:c r="J534" s="7" t="n">
        <ns0:v>1543.296089385475</ns0:v>
      </ns0:c>
      <ns0:c r="K534" s="18" t="inlineStr">
        <ns0:is>
          <ns0:t>範囲内なし</ns0:t>
        </ns0:is>
      </ns0:c>
      <ns0:c r="L534" s="18" t="inlineStr">
        <ns0:is>
          <ns0:t>範囲内なし</ns0:t>
        </ns0:is>
      </ns0:c>
      <ns0:c r="M534" s="7" t="n">
        <ns0:v>-59819.85293777409</ns0:v>
      </ns0:c>
      <ns0:c r="N534" s="7" t="n">
        <ns0:v>-88994.11414171223</ns0:v>
      </ns0:c>
      <ns0:c r="O534" s="7" t="n">
        <ns0:v>-111982.9004853152</ns0:v>
      </ns0:c>
      <ns0:c r="P534" s="7" t="n">
        <ns0:v>-169454.8663443226</ns0:v>
      </ns0:c>
      <ns0:c r="Q534" s="7" t="n">
        <ns0:v>-441342.7297803524</ns0:v>
      </ns0:c>
      <ns0:c r="R534" s="7" t="n">
        <ns0:v>-1315950.251806456</ns0:v>
      </ns0:c>
    </ns0:row>
    <ns0:row r="535" ht="24" customHeight="1">
      <ns0:c r="A535" s="3" t="inlineStr">
        <ns0:is>
          <ns0:t>セット</ns0:t>
        </ns0:is>
      </ns0:c>
      <ns0:c r="B535" s="3" t="inlineStr">
        <ns0:is>
          <ns0:t>G2二段階</ns0:t>
        </ns0:is>
      </ns0:c>
      <ns0:c r="C535" s="3" t="inlineStr">
        <ns0:is>
          <ns0:t>A</ns0:t>
        </ns0:is>
      </ns0:c>
      <ns0:c r="D535" s="4" t="n">
        <ns0:v>1</ns0:v>
      </ns0:c>
      <ns0:c r="E535" s="4" t="n">
        <ns0:v>1500</ns0:v>
      </ns0:c>
      <ns0:c r="F535" s="6" t="n">
        <ns0:v>0.5</ns0:v>
      </ns0:c>
      <ns0:c r="G535" s="4" t="n">
        <ns0:v>3</ns0:v>
      </ns0:c>
      <ns0:c r="H535" s="7" t="n">
        <ns0:v>7131.843575418993</ns0:v>
      </ns0:c>
      <ns0:c r="I535" s="7" t="n">
        <ns0:v>3086.592178770949</ns0:v>
      </ns0:c>
      <ns0:c r="J535" s="7" t="n">
        <ns0:v>1543.296089385475</ns0:v>
      </ns0:c>
      <ns0:c r="K535" s="7" t="n">
        <ns0:v>35</ns0:v>
      </ns0:c>
      <ns0:c r="L535" s="18" t="inlineStr">
        <ns0:is>
          <ns0:t>範囲内なし</ns0:t>
        </ns0:is>
      </ns0:c>
      <ns0:c r="M535" s="7" t="n">
        <ns0:v>-32698.65577473356</ns0:v>
      </ns0:c>
      <ns0:c r="N535" s="7" t="n">
        <ns0:v>-7630.522652590633</ns0:v>
      </ns0:c>
      <ns0:c r="O535" s="7" t="n">
        <ns0:v>23623.08532988744</ns0:v>
      </ns0:c>
      <ns0:c r="P535" s="7" t="n">
        <ns0:v>101757.1052860827</ns0:v>
      </ns0:c>
      <ns0:c r="Q535" s="7" t="n">
        <ns0:v>372293.1851108632</ns0:v>
      </ns0:c>
      <ns0:c r="R535" s="7" t="n">
        <ns0:v>1396169.464497596</ns0:v>
      </ns0:c>
    </ns0:row>
    <ns0:row r="536" ht="24" customHeight="1">
      <ns0:c r="A536" s="3" t="inlineStr">
        <ns0:is>
          <ns0:t>セット</ns0:t>
        </ns0:is>
      </ns0:c>
      <ns0:c r="B536" s="3" t="inlineStr">
        <ns0:is>
          <ns0:t>G2二段階</ns0:t>
        </ns0:is>
      </ns0:c>
      <ns0:c r="C536" s="3" t="inlineStr">
        <ns0:is>
          <ns0:t>A</ns0:t>
        </ns0:is>
      </ns0:c>
      <ns0:c r="D536" s="4" t="n">
        <ns0:v>2</ns0:v>
      </ns0:c>
      <ns0:c r="E536" s="4" t="n">
        <ns0:v>500</ns0:v>
      </ns0:c>
      <ns0:c r="F536" s="6" t="n">
        <ns0:v>0.3</ns0:v>
      </ns0:c>
      <ns0:c r="G536" s="4" t="n">
        <ns0:v>0</ns0:v>
      </ns0:c>
      <ns0:c r="H536" s="7" t="n">
        <ns0:v>11361.22004357298</ns0:v>
      </ns0:c>
      <ns0:c r="I536" s="7" t="n">
        <ns0:v>4866.013071895426</ns0:v>
      </ns0:c>
      <ns0:c r="J536" s="7" t="n">
        <ns0:v>1459.803921568628</ns0:v>
      </ns0:c>
      <ns0:c r="K536" s="7" t="n">
        <ns0:v>8</ns0:v>
      </ns0:c>
      <ns0:c r="L536" s="7" t="n">
        <ns0:v>9</ns0:v>
      </ns0:c>
      <ns0:c r="M536" s="7" t="n">
        <ns0:v>21693.06539522255</ns0:v>
      </ns0:c>
      <ns0:c r="N536" s="7" t="n">
        <ns0:v>136271.6536735774</ns0:v>
      </ns0:c>
      <ns0:c r="O536" s="7" t="n">
        <ns0:v>263460.0458735009</ns0:v>
      </ns0:c>
      <ns0:c r="P536" s="7" t="n">
        <ns0:v>581431.0263733095</ns0:v>
      </ns0:c>
      <ns0:c r="Q536" s="7" t="n">
        <ns0:v>1811314.948372544</ns0:v>
      </ns0:c>
      <ns0:c r="R536" s="7" t="n">
        <ns0:v>6192908.675369864</ns0:v>
      </ns0:c>
    </ns0:row>
    <ns0:row r="537" ht="24" customHeight="1">
      <ns0:c r="A537" s="3" t="inlineStr">
        <ns0:is>
          <ns0:t>セット</ns0:t>
        </ns0:is>
      </ns0:c>
      <ns0:c r="B537" s="3" t="inlineStr">
        <ns0:is>
          <ns0:t>G2二段階</ns0:t>
        </ns0:is>
      </ns0:c>
      <ns0:c r="C537" s="3" t="inlineStr">
        <ns0:is>
          <ns0:t>A</ns0:t>
        </ns0:is>
      </ns0:c>
      <ns0:c r="D537" s="4" t="n">
        <ns0:v>2</ns0:v>
      </ns0:c>
      <ns0:c r="E537" s="4" t="n">
        <ns0:v>500</ns0:v>
      </ns0:c>
      <ns0:c r="F537" s="6" t="n">
        <ns0:v>0.3</ns0:v>
      </ns0:c>
      <ns0:c r="G537" s="4" t="n">
        <ns0:v>1</ns0:v>
      </ns0:c>
      <ns0:c r="H537" s="7" t="n">
        <ns0:v>11361.22004357298</ns0:v>
      </ns0:c>
      <ns0:c r="I537" s="7" t="n">
        <ns0:v>4866.013071895426</ns0:v>
      </ns0:c>
      <ns0:c r="J537" s="7" t="n">
        <ns0:v>1459.803921568628</ns0:v>
      </ns0:c>
      <ns0:c r="K537" s="7" t="n">
        <ns0:v>8</ns0:v>
      </ns0:c>
      <ns0:c r="L537" s="7" t="n">
        <ns0:v>13</ns0:v>
      </ns0:c>
      <ns0:c r="M537" s="7" t="n">
        <ns0:v>16304.59600292014</ns0:v>
      </ns0:c>
      <ns0:c r="N537" s="7" t="n">
        <ns0:v>120106.2454966702</ns0:v>
      </ns0:c>
      <ns0:c r="O537" s="7" t="n">
        <ns0:v>236517.6989119888</ns0:v>
      </ns0:c>
      <ns0:c r="P537" s="7" t="n">
        <ns0:v>527546.3324502856</ns0:v>
      </ns0:c>
      <ns0:c r="Q537" s="7" t="n">
        <ns0:v>1649660.866603472</ns0:v>
      </ns0:c>
      <ns0:c r="R537" s="7" t="n">
        <ns0:v>5654061.736139623</ns0:v>
      </ns0:c>
    </ns0:row>
    <ns0:row r="538" ht="24" customHeight="1">
      <ns0:c r="A538" s="3" t="inlineStr">
        <ns0:is>
          <ns0:t>セット</ns0:t>
        </ns0:is>
      </ns0:c>
      <ns0:c r="B538" s="3" t="inlineStr">
        <ns0:is>
          <ns0:t>G2二段階</ns0:t>
        </ns0:is>
      </ns0:c>
      <ns0:c r="C538" s="3" t="inlineStr">
        <ns0:is>
          <ns0:t>A</ns0:t>
        </ns0:is>
      </ns0:c>
      <ns0:c r="D538" s="4" t="n">
        <ns0:v>2</ns0:v>
      </ns0:c>
      <ns0:c r="E538" s="4" t="n">
        <ns0:v>500</ns0:v>
      </ns0:c>
      <ns0:c r="F538" s="6" t="n">
        <ns0:v>0.3</ns0:v>
      </ns0:c>
      <ns0:c r="G538" s="4" t="n">
        <ns0:v>2</ns0:v>
      </ns0:c>
      <ns0:c r="H538" s="7" t="n">
        <ns0:v>11361.22004357298</ns0:v>
      </ns0:c>
      <ns0:c r="I538" s="7" t="n">
        <ns0:v>4866.013071895426</ns0:v>
      </ns0:c>
      <ns0:c r="J538" s="7" t="n">
        <ns0:v>1459.803921568628</ns0:v>
      </ns0:c>
      <ns0:c r="K538" s="18" t="inlineStr">
        <ns0:is>
          <ns0:t>範囲内なし</ns0:t>
        </ns0:is>
      </ns0:c>
      <ns0:c r="L538" s="18" t="inlineStr">
        <ns0:is>
          <ns0:t>範囲内なし</ns0:t>
        </ns0:is>
      </ns0:c>
      <ns0:c r="M538" s="7" t="n">
        <ns0:v>-51021.81294556774</ns0:v>
      </ns0:c>
      <ns0:c r="N538" s="7" t="n">
        <ns0:v>-81872.98134879346</ns0:v>
      </ns0:c>
      <ns0:c r="O538" s="7" t="n">
        <ns0:v>-100114.3458304505</ns0:v>
      </ns0:c>
      <ns0:c r="P538" s="7" t="n">
        <ns0:v>-145717.7570345933</ns0:v>
      </ns0:c>
      <ns0:c r="Q538" s="7" t="n">
        <ns0:v>-370131.4018511645</ns0:v>
      </ns0:c>
      <ns0:c r="R538" s="7" t="n">
        <ns0:v>-1078579.158709164</ns0:v>
      </ns0:c>
    </ns0:row>
    <ns0:row r="539" ht="24" customHeight="1">
      <ns0:c r="A539" s="3" t="inlineStr">
        <ns0:is>
          <ns0:t>セット</ns0:t>
        </ns0:is>
      </ns0:c>
      <ns0:c r="B539" s="3" t="inlineStr">
        <ns0:is>
          <ns0:t>G2二段階</ns0:t>
        </ns0:is>
      </ns0:c>
      <ns0:c r="C539" s="3" t="inlineStr">
        <ns0:is>
          <ns0:t>A</ns0:t>
        </ns0:is>
      </ns0:c>
      <ns0:c r="D539" s="4" t="n">
        <ns0:v>2</ns0:v>
      </ns0:c>
      <ns0:c r="E539" s="4" t="n">
        <ns0:v>500</ns0:v>
      </ns0:c>
      <ns0:c r="F539" s="6" t="n">
        <ns0:v>0.3</ns0:v>
      </ns0:c>
      <ns0:c r="G539" s="4" t="n">
        <ns0:v>3</ns0:v>
      </ns0:c>
      <ns0:c r="H539" s="7" t="n">
        <ns0:v>11361.22004357298</ns0:v>
      </ns0:c>
      <ns0:c r="I539" s="7" t="n">
        <ns0:v>4866.013071895426</ns0:v>
      </ns0:c>
      <ns0:c r="J539" s="7" t="n">
        <ns0:v>1459.803921568628</ns0:v>
      </ns0:c>
      <ns0:c r="K539" s="7" t="n">
        <ns0:v>12</ns0:v>
      </ns0:c>
      <ns0:c r="L539" s="7" t="n">
        <ns0:v>21</ns0:v>
      </ns0:c>
      <ns0:c r="M539" s="7" t="n">
        <ns0:v>5269.11548405798</ns0:v>
      </ns0:c>
      <ns0:c r="N539" s="7" t="n">
        <ns0:v>86999.80394008366</ns0:v>
      </ns0:c>
      <ns0:c r="O539" s="7" t="n">
        <ns0:v>181340.296317678</ns0:v>
      </ns0:c>
      <ns0:c r="P539" s="7" t="n">
        <ns0:v>417191.5272616638</ns0:v>
      </ns0:c>
      <ns0:c r="Q539" s="7" t="n">
        <ns0:v>1318596.451037607</ns0:v>
      </ns0:c>
      <ns0:c r="R539" s="7" t="n">
        <ns0:v>4550513.684253408</ns0:v>
      </ns0:c>
    </ns0:row>
    <ns0:row r="540" ht="24" customHeight="1">
      <ns0:c r="A540" s="3" t="inlineStr">
        <ns0:is>
          <ns0:t>セット</ns0:t>
        </ns0:is>
      </ns0:c>
      <ns0:c r="B540" s="3" t="inlineStr">
        <ns0:is>
          <ns0:t>G2二段階</ns0:t>
        </ns0:is>
      </ns0:c>
      <ns0:c r="C540" s="3" t="inlineStr">
        <ns0:is>
          <ns0:t>A</ns0:t>
        </ns0:is>
      </ns0:c>
      <ns0:c r="D540" s="4" t="n">
        <ns0:v>2</ns0:v>
      </ns0:c>
      <ns0:c r="E540" s="4" t="n">
        <ns0:v>500</ns0:v>
      </ns0:c>
      <ns0:c r="F540" s="6" t="n">
        <ns0:v>0.4</ns0:v>
      </ns0:c>
      <ns0:c r="G540" s="4" t="n">
        <ns0:v>0</ns0:v>
      </ns0:c>
      <ns0:c r="H540" s="7" t="n">
        <ns0:v>11361.22004357298</ns0:v>
      </ns0:c>
      <ns0:c r="I540" s="7" t="n">
        <ns0:v>4866.013071895426</ns0:v>
      </ns0:c>
      <ns0:c r="J540" s="7" t="n">
        <ns0:v>1946.40522875817</ns0:v>
      </ns0:c>
      <ns0:c r="K540" s="7" t="n">
        <ns0:v>8</ns0:v>
      </ns0:c>
      <ns0:c r="L540" s="7" t="n">
        <ns0:v>10</ns0:v>
      </ns0:c>
      <ns0:c r="M540" s="7" t="n">
        <ns0:v>16827.05232332712</ns0:v>
      </ns0:c>
      <ns0:c r="N540" s="7" t="n">
        <ns0:v>121673.6144578911</ns0:v>
      </ns0:c>
      <ns0:c r="O540" s="7" t="n">
        <ns0:v>239129.9805140237</ns0:v>
      </ns0:c>
      <ns0:c r="P540" s="7" t="n">
        <ns0:v>532770.8956543552</ns0:v>
      </ns0:c>
      <ns0:c r="Q540" s="7" t="n">
        <ns0:v>1665334.556215681</ns0:v>
      </ns0:c>
      <ns0:c r="R540" s="7" t="n">
        <ns0:v>5706307.368180322</ns0:v>
      </ns0:c>
    </ns0:row>
    <ns0:row r="541" ht="24" customHeight="1">
      <ns0:c r="A541" s="3" t="inlineStr">
        <ns0:is>
          <ns0:t>セット</ns0:t>
        </ns0:is>
      </ns0:c>
      <ns0:c r="B541" s="3" t="inlineStr">
        <ns0:is>
          <ns0:t>G2二段階</ns0:t>
        </ns0:is>
      </ns0:c>
      <ns0:c r="C541" s="3" t="inlineStr">
        <ns0:is>
          <ns0:t>A</ns0:t>
        </ns0:is>
      </ns0:c>
      <ns0:c r="D541" s="4" t="n">
        <ns0:v>2</ns0:v>
      </ns0:c>
      <ns0:c r="E541" s="4" t="n">
        <ns0:v>500</ns0:v>
      </ns0:c>
      <ns0:c r="F541" s="6" t="n">
        <ns0:v>0.4</ns0:v>
      </ns0:c>
      <ns0:c r="G541" s="4" t="n">
        <ns0:v>1</ns0:v>
      </ns0:c>
      <ns0:c r="H541" s="7" t="n">
        <ns0:v>11361.22004357298</ns0:v>
      </ns0:c>
      <ns0:c r="I541" s="7" t="n">
        <ns0:v>4866.013071895426</ns0:v>
      </ns0:c>
      <ns0:c r="J541" s="7" t="n">
        <ns0:v>1946.40522875817</ns0:v>
      </ns0:c>
      <ns0:c r="K541" s="7" t="n">
        <ns0:v>9</ns0:v>
      </ns0:c>
      <ns0:c r="L541" s="7" t="n">
        <ns0:v>14</ns0:v>
      </ns0:c>
      <ns0:c r="M541" s="7" t="n">
        <ns0:v>11438.58293102471</ns0:v>
      </ns0:c>
      <ns0:c r="N541" s="7" t="n">
        <ns0:v>105508.2062809839</ns0:v>
      </ns0:c>
      <ns0:c r="O541" s="7" t="n">
        <ns0:v>212187.6335525117</ns0:v>
      </ns0:c>
      <ns0:c r="P541" s="7" t="n">
        <ns0:v>478886.2017313312</ns0:v>
      </ns0:c>
      <ns0:c r="Q541" s="7" t="n">
        <ns0:v>1503680.474446609</ns0:v>
      </ns0:c>
      <ns0:c r="R541" s="7" t="n">
        <ns0:v>5167460.428950081</ns0:v>
      </ns0:c>
    </ns0:row>
    <ns0:row r="542" ht="24" customHeight="1">
      <ns0:c r="A542" s="3" t="inlineStr">
        <ns0:is>
          <ns0:t>セット</ns0:t>
        </ns0:is>
      </ns0:c>
      <ns0:c r="B542" s="3" t="inlineStr">
        <ns0:is>
          <ns0:t>G2二段階</ns0:t>
        </ns0:is>
      </ns0:c>
      <ns0:c r="C542" s="3" t="inlineStr">
        <ns0:is>
          <ns0:t>A</ns0:t>
        </ns0:is>
      </ns0:c>
      <ns0:c r="D542" s="4" t="n">
        <ns0:v>2</ns0:v>
      </ns0:c>
      <ns0:c r="E542" s="4" t="n">
        <ns0:v>500</ns0:v>
      </ns0:c>
      <ns0:c r="F542" s="6" t="n">
        <ns0:v>0.4</ns0:v>
      </ns0:c>
      <ns0:c r="G542" s="4" t="n">
        <ns0:v>2</ns0:v>
      </ns0:c>
      <ns0:c r="H542" s="7" t="n">
        <ns0:v>11361.22004357298</ns0:v>
      </ns0:c>
      <ns0:c r="I542" s="7" t="n">
        <ns0:v>4866.013071895426</ns0:v>
      </ns0:c>
      <ns0:c r="J542" s="7" t="n">
        <ns0:v>1946.40522875817</ns0:v>
      </ns0:c>
      <ns0:c r="K542" s="18" t="inlineStr">
        <ns0:is>
          <ns0:t>範囲内なし</ns0:t>
        </ns0:is>
      </ns0:c>
      <ns0:c r="L542" s="18" t="inlineStr">
        <ns0:is>
          <ns0:t>範囲内なし</ns0:t>
        </ns0:is>
      </ns0:c>
      <ns0:c r="M542" s="7" t="n">
        <ns0:v>-55887.82601746317</ns0:v>
      </ns0:c>
      <ns0:c r="N542" s="7" t="n">
        <ns0:v>-96471.02056447975</ns0:v>
      </ns0:c>
      <ns0:c r="O542" s="7" t="n">
        <ns0:v>-124444.4111899277</ns0:v>
      </ns0:c>
      <ns0:c r="P542" s="7" t="n">
        <ns0:v>-194377.8877535477</ns0:v>
      </ns0:c>
      <ns0:c r="Q542" s="7" t="n">
        <ns0:v>-516111.7940080274</ns0:v>
      </ns0:c>
      <ns0:c r="R542" s="7" t="n">
        <ns0:v>-1565180.465898707</ns0:v>
      </ns0:c>
    </ns0:row>
    <ns0:row r="543" ht="24" customHeight="1">
      <ns0:c r="A543" s="3" t="inlineStr">
        <ns0:is>
          <ns0:t>セット</ns0:t>
        </ns0:is>
      </ns0:c>
      <ns0:c r="B543" s="3" t="inlineStr">
        <ns0:is>
          <ns0:t>G2二段階</ns0:t>
        </ns0:is>
      </ns0:c>
      <ns0:c r="C543" s="3" t="inlineStr">
        <ns0:is>
          <ns0:t>A</ns0:t>
        </ns0:is>
      </ns0:c>
      <ns0:c r="D543" s="4" t="n">
        <ns0:v>2</ns0:v>
      </ns0:c>
      <ns0:c r="E543" s="4" t="n">
        <ns0:v>500</ns0:v>
      </ns0:c>
      <ns0:c r="F543" s="6" t="n">
        <ns0:v>0.4</ns0:v>
      </ns0:c>
      <ns0:c r="G543" s="4" t="n">
        <ns0:v>3</ns0:v>
      </ns0:c>
      <ns0:c r="H543" s="7" t="n">
        <ns0:v>11361.22004357298</ns0:v>
      </ns0:c>
      <ns0:c r="I543" s="7" t="n">
        <ns0:v>4866.013071895426</ns0:v>
      </ns0:c>
      <ns0:c r="J543" s="7" t="n">
        <ns0:v>1946.40522875817</ns0:v>
      </ns0:c>
      <ns0:c r="K543" s="7" t="n">
        <ns0:v>13</ns0:v>
      </ns0:c>
      <ns0:c r="L543" s="7" t="n">
        <ns0:v>23</ns0:v>
      </ns0:c>
      <ns0:c r="M543" s="7" t="n">
        <ns0:v>403.1024121625487</ns0:v>
      </ns0:c>
      <ns0:c r="N543" s="7" t="n">
        <ns0:v>72401.76472439739</ns0:v>
      </ns0:c>
      <ns0:c r="O543" s="7" t="n">
        <ns0:v>157010.2309582008</ns0:v>
      </ns0:c>
      <ns0:c r="P543" s="7" t="n">
        <ns0:v>368531.3965427095</ns0:v>
      </ns0:c>
      <ns0:c r="Q543" s="7" t="n">
        <ns0:v>1172616.058880744</ns0:v>
      </ns0:c>
      <ns0:c r="R543" s="7" t="n">
        <ns0:v>4063912.377063865</ns0:v>
      </ns0:c>
    </ns0:row>
    <ns0:row r="544" ht="24" customHeight="1">
      <ns0:c r="A544" s="3" t="inlineStr">
        <ns0:is>
          <ns0:t>セット</ns0:t>
        </ns0:is>
      </ns0:c>
      <ns0:c r="B544" s="3" t="inlineStr">
        <ns0:is>
          <ns0:t>G2二段階</ns0:t>
        </ns0:is>
      </ns0:c>
      <ns0:c r="C544" s="3" t="inlineStr">
        <ns0:is>
          <ns0:t>A</ns0:t>
        </ns0:is>
      </ns0:c>
      <ns0:c r="D544" s="4" t="n">
        <ns0:v>2</ns0:v>
      </ns0:c>
      <ns0:c r="E544" s="4" t="n">
        <ns0:v>500</ns0:v>
      </ns0:c>
      <ns0:c r="F544" s="6" t="n">
        <ns0:v>0.5</ns0:v>
      </ns0:c>
      <ns0:c r="G544" s="4" t="n">
        <ns0:v>0</ns0:v>
      </ns0:c>
      <ns0:c r="H544" s="7" t="n">
        <ns0:v>11361.22004357298</ns0:v>
      </ns0:c>
      <ns0:c r="I544" s="7" t="n">
        <ns0:v>4866.013071895426</ns0:v>
      </ns0:c>
      <ns0:c r="J544" s="7" t="n">
        <ns0:v>2433.006535947713</ns0:v>
      </ns0:c>
      <ns0:c r="K544" s="7" t="n">
        <ns0:v>9</ns0:v>
      </ns0:c>
      <ns0:c r="L544" s="7" t="n">
        <ns0:v>12</ns0:v>
      </ns0:c>
      <ns0:c r="M544" s="7" t="n">
        <ns0:v>11961.03925143171</ns0:v>
      </ns0:c>
      <ns0:c r="N544" s="7" t="n">
        <ns0:v>107075.5752422048</ns0:v>
      </ns0:c>
      <ns0:c r="O544" s="7" t="n">
        <ns0:v>214799.9151545466</ns0:v>
      </ns0:c>
      <ns0:c r="P544" s="7" t="n">
        <ns0:v>484110.764935401</ns0:v>
      </ns0:c>
      <ns0:c r="Q544" s="7" t="n">
        <ns0:v>1519354.164058818</ns0:v>
      </ns0:c>
      <ns0:c r="R544" s="7" t="n">
        <ns0:v>5219706.060990779</ns0:v>
      </ns0:c>
    </ns0:row>
    <ns0:row r="545" ht="24" customHeight="1">
      <ns0:c r="A545" s="3" t="inlineStr">
        <ns0:is>
          <ns0:t>セット</ns0:t>
        </ns0:is>
      </ns0:c>
      <ns0:c r="B545" s="3" t="inlineStr">
        <ns0:is>
          <ns0:t>G2二段階</ns0:t>
        </ns0:is>
      </ns0:c>
      <ns0:c r="C545" s="3" t="inlineStr">
        <ns0:is>
          <ns0:t>A</ns0:t>
        </ns0:is>
      </ns0:c>
      <ns0:c r="D545" s="4" t="n">
        <ns0:v>2</ns0:v>
      </ns0:c>
      <ns0:c r="E545" s="4" t="n">
        <ns0:v>500</ns0:v>
      </ns0:c>
      <ns0:c r="F545" s="6" t="n">
        <ns0:v>0.5</ns0:v>
      </ns0:c>
      <ns0:c r="G545" s="4" t="n">
        <ns0:v>1</ns0:v>
      </ns0:c>
      <ns0:c r="H545" s="7" t="n">
        <ns0:v>11361.22004357298</ns0:v>
      </ns0:c>
      <ns0:c r="I545" s="7" t="n">
        <ns0:v>4866.013071895426</ns0:v>
      </ns0:c>
      <ns0:c r="J545" s="7" t="n">
        <ns0:v>2433.006535947713</ns0:v>
      </ns0:c>
      <ns0:c r="K545" s="7" t="n">
        <ns0:v>12</ns0:v>
      </ns0:c>
      <ns0:c r="L545" s="7" t="n">
        <ns0:v>15</ns0:v>
      </ns0:c>
      <ns0:c r="M545" s="7" t="n">
        <ns0:v>6572.569859129297</ns0:v>
      </ns0:c>
      <ns0:c r="N545" s="7" t="n">
        <ns0:v>90910.1670652976</ns0:v>
      </ns0:c>
      <ns0:c r="O545" s="7" t="n">
        <ns0:v>187857.5681930346</ns0:v>
      </ns0:c>
      <ns0:c r="P545" s="7" t="n">
        <ns0:v>430226.0710123769</ns0:v>
      </ns0:c>
      <ns0:c r="Q545" s="7" t="n">
        <ns0:v>1357700.082289746</ns0:v>
      </ns0:c>
      <ns0:c r="R545" s="7" t="n">
        <ns0:v>4680859.121760538</ns0:v>
      </ns0:c>
    </ns0:row>
    <ns0:row r="546" ht="24" customHeight="1">
      <ns0:c r="A546" s="3" t="inlineStr">
        <ns0:is>
          <ns0:t>セット</ns0:t>
        </ns0:is>
      </ns0:c>
      <ns0:c r="B546" s="3" t="inlineStr">
        <ns0:is>
          <ns0:t>G2二段階</ns0:t>
        </ns0:is>
      </ns0:c>
      <ns0:c r="C546" s="3" t="inlineStr">
        <ns0:is>
          <ns0:t>A</ns0:t>
        </ns0:is>
      </ns0:c>
      <ns0:c r="D546" s="4" t="n">
        <ns0:v>2</ns0:v>
      </ns0:c>
      <ns0:c r="E546" s="4" t="n">
        <ns0:v>500</ns0:v>
      </ns0:c>
      <ns0:c r="F546" s="6" t="n">
        <ns0:v>0.5</ns0:v>
      </ns0:c>
      <ns0:c r="G546" s="4" t="n">
        <ns0:v>2</ns0:v>
      </ns0:c>
      <ns0:c r="H546" s="7" t="n">
        <ns0:v>11361.22004357298</ns0:v>
      </ns0:c>
      <ns0:c r="I546" s="7" t="n">
        <ns0:v>4866.013071895426</ns0:v>
      </ns0:c>
      <ns0:c r="J546" s="7" t="n">
        <ns0:v>2433.006535947713</ns0:v>
      </ns0:c>
      <ns0:c r="K546" s="18" t="inlineStr">
        <ns0:is>
          <ns0:t>範囲内なし</ns0:t>
        </ns0:is>
      </ns0:c>
      <ns0:c r="L546" s="18" t="inlineStr">
        <ns0:is>
          <ns0:t>範囲内なし</ns0:t>
        </ns0:is>
      </ns0:c>
      <ns0:c r="M546" s="7" t="n">
        <ns0:v>-60753.83908935857</ns0:v>
      </ns0:c>
      <ns0:c r="N546" s="7" t="n">
        <ns0:v>-111069.059780166</ns0:v>
      </ns0:c>
      <ns0:c r="O546" s="7" t="n">
        <ns0:v>-148774.4765494048</ns0:v>
      </ns0:c>
      <ns0:c r="P546" s="7" t="n">
        <ns0:v>-243038.0184725019</ns0:v>
      </ns0:c>
      <ns0:c r="Q546" s="7" t="n">
        <ns0:v>-662092.1861648901</ns0:v>
      </ns0:c>
      <ns0:c r="R546" s="7" t="n">
        <ns0:v>-2051781.773088249</ns0:v>
      </ns0:c>
    </ns0:row>
    <ns0:row r="547" ht="24" customHeight="1">
      <ns0:c r="A547" s="3" t="inlineStr">
        <ns0:is>
          <ns0:t>セット</ns0:t>
        </ns0:is>
      </ns0:c>
      <ns0:c r="B547" s="3" t="inlineStr">
        <ns0:is>
          <ns0:t>G2二段階</ns0:t>
        </ns0:is>
      </ns0:c>
      <ns0:c r="C547" s="3" t="inlineStr">
        <ns0:is>
          <ns0:t>A</ns0:t>
        </ns0:is>
      </ns0:c>
      <ns0:c r="D547" s="4" t="n">
        <ns0:v>2</ns0:v>
      </ns0:c>
      <ns0:c r="E547" s="4" t="n">
        <ns0:v>500</ns0:v>
      </ns0:c>
      <ns0:c r="F547" s="6" t="n">
        <ns0:v>0.5</ns0:v>
      </ns0:c>
      <ns0:c r="G547" s="4" t="n">
        <ns0:v>3</ns0:v>
      </ns0:c>
      <ns0:c r="H547" s="7" t="n">
        <ns0:v>11361.22004357298</ns0:v>
      </ns0:c>
      <ns0:c r="I547" s="7" t="n">
        <ns0:v>4866.013071895426</ns0:v>
      </ns0:c>
      <ns0:c r="J547" s="7" t="n">
        <ns0:v>2433.006535947713</ns0:v>
      </ns0:c>
      <ns0:c r="K547" s="7" t="n">
        <ns0:v>15</ns0:v>
      </ns0:c>
      <ns0:c r="L547" s="7" t="n">
        <ns0:v>27</ns0:v>
      </ns0:c>
      <ns0:c r="M547" s="7" t="n">
        <ns0:v>-4462.910659732868</ns0:v>
      </ns0:c>
      <ns0:c r="N547" s="7" t="n">
        <ns0:v>57803.7255087111</ns0:v>
      </ns0:c>
      <ns0:c r="O547" s="7" t="n">
        <ns0:v>132680.1655987237</ns0:v>
      </ns0:c>
      <ns0:c r="P547" s="7" t="n">
        <ns0:v>319871.2658237553</ns0:v>
      </ns0:c>
      <ns0:c r="Q547" s="7" t="n">
        <ns0:v>1026635.666723881</ns0:v>
      </ns0:c>
      <ns0:c r="R547" s="7" t="n">
        <ns0:v>3577311.069874322</ns0:v>
      </ns0:c>
    </ns0:row>
    <ns0:row r="548" ht="24" customHeight="1">
      <ns0:c r="A548" s="3" t="inlineStr">
        <ns0:is>
          <ns0:t>セット</ns0:t>
        </ns0:is>
      </ns0:c>
      <ns0:c r="B548" s="3" t="inlineStr">
        <ns0:is>
          <ns0:t>G2二段階</ns0:t>
        </ns0:is>
      </ns0:c>
      <ns0:c r="C548" s="3" t="inlineStr">
        <ns0:is>
          <ns0:t>A</ns0:t>
        </ns0:is>
      </ns0:c>
      <ns0:c r="D548" s="4" t="n">
        <ns0:v>2</ns0:v>
      </ns0:c>
      <ns0:c r="E548" s="4" t="n">
        <ns0:v>1000</ns0:v>
      </ns0:c>
      <ns0:c r="F548" s="6" t="n">
        <ns0:v>0.3</ns0:v>
      </ns0:c>
      <ns0:c r="G548" s="4" t="n">
        <ns0:v>0</ns0:v>
      </ns0:c>
      <ns0:c r="H548" s="7" t="n">
        <ns0:v>10861.22004357298</ns0:v>
      </ns0:c>
      <ns0:c r="I548" s="7" t="n">
        <ns0:v>4366.013071895426</ns0:v>
      </ns0:c>
      <ns0:c r="J548" s="7" t="n">
        <ns0:v>1309.803921568628</ns0:v>
      </ns0:c>
      <ns0:c r="K548" s="7" t="n">
        <ns0:v>8</ns0:v>
      </ns0:c>
      <ns0:c r="L548" s="7" t="n">
        <ns0:v>10</ns0:v>
      </ns0:c>
      <ns0:c r="M548" s="7" t="n">
        <ns0:v>18373.06539522255</ns0:v>
      </ns0:c>
      <ns0:c r="N548" s="7" t="n">
        <ns0:v>126311.6536735774</ns0:v>
      </ns0:c>
      <ns0:c r="O548" s="7" t="n">
        <ns0:v>246860.0458735008</ns0:v>
      </ns0:c>
      <ns0:c r="P548" s="7" t="n">
        <ns0:v>548231.0263733094</ns0:v>
      </ns0:c>
      <ns0:c r="Q548" s="7" t="n">
        <ns0:v>1711714.948372544</ns0:v>
      </ns0:c>
      <ns0:c r="R548" s="7" t="n">
        <ns0:v>5860908.675369864</ns0:v>
      </ns0:c>
    </ns0:row>
    <ns0:row r="549" ht="24" customHeight="1">
      <ns0:c r="A549" s="3" t="inlineStr">
        <ns0:is>
          <ns0:t>セット</ns0:t>
        </ns0:is>
      </ns0:c>
      <ns0:c r="B549" s="3" t="inlineStr">
        <ns0:is>
          <ns0:t>G2二段階</ns0:t>
        </ns0:is>
      </ns0:c>
      <ns0:c r="C549" s="3" t="inlineStr">
        <ns0:is>
          <ns0:t>A</ns0:t>
        </ns0:is>
      </ns0:c>
      <ns0:c r="D549" s="4" t="n">
        <ns0:v>2</ns0:v>
      </ns0:c>
      <ns0:c r="E549" s="4" t="n">
        <ns0:v>1000</ns0:v>
      </ns0:c>
      <ns0:c r="F549" s="6" t="n">
        <ns0:v>0.3</ns0:v>
      </ns0:c>
      <ns0:c r="G549" s="4" t="n">
        <ns0:v>1</ns0:v>
      </ns0:c>
      <ns0:c r="H549" s="7" t="n">
        <ns0:v>10861.22004357298</ns0:v>
      </ns0:c>
      <ns0:c r="I549" s="7" t="n">
        <ns0:v>4366.013071895426</ns0:v>
      </ns0:c>
      <ns0:c r="J549" s="7" t="n">
        <ns0:v>1309.803921568628</ns0:v>
      </ns0:c>
      <ns0:c r="K549" s="7" t="n">
        <ns0:v>9</ns0:v>
      </ns0:c>
      <ns0:c r="L549" s="7" t="n">
        <ns0:v>13</ns0:v>
      </ns0:c>
      <ns0:c r="M549" s="7" t="n">
        <ns0:v>12984.59600292014</ns0:v>
      </ns0:c>
      <ns0:c r="N549" s="7" t="n">
        <ns0:v>110146.2454966702</ns0:v>
      </ns0:c>
      <ns0:c r="O549" s="7" t="n">
        <ns0:v>219917.6989119888</ns0:v>
      </ns0:c>
      <ns0:c r="P549" s="7" t="n">
        <ns0:v>494346.3324502854</ns0:v>
      </ns0:c>
      <ns0:c r="Q549" s="7" t="n">
        <ns0:v>1550060.866603472</ns0:v>
      </ns0:c>
      <ns0:c r="R549" s="7" t="n">
        <ns0:v>5322061.736139623</ns0:v>
      </ns0:c>
    </ns0:row>
    <ns0:row r="550" ht="24" customHeight="1">
      <ns0:c r="A550" s="3" t="inlineStr">
        <ns0:is>
          <ns0:t>セット</ns0:t>
        </ns0:is>
      </ns0:c>
      <ns0:c r="B550" s="3" t="inlineStr">
        <ns0:is>
          <ns0:t>G2二段階</ns0:t>
        </ns0:is>
      </ns0:c>
      <ns0:c r="C550" s="3" t="inlineStr">
        <ns0:is>
          <ns0:t>A</ns0:t>
        </ns0:is>
      </ns0:c>
      <ns0:c r="D550" s="4" t="n">
        <ns0:v>2</ns0:v>
      </ns0:c>
      <ns0:c r="E550" s="4" t="n">
        <ns0:v>1000</ns0:v>
      </ns0:c>
      <ns0:c r="F550" s="6" t="n">
        <ns0:v>0.3</ns0:v>
      </ns0:c>
      <ns0:c r="G550" s="4" t="n">
        <ns0:v>2</ns0:v>
      </ns0:c>
      <ns0:c r="H550" s="7" t="n">
        <ns0:v>10861.22004357298</ns0:v>
      </ns0:c>
      <ns0:c r="I550" s="7" t="n">
        <ns0:v>4366.013071895426</ns0:v>
      </ns0:c>
      <ns0:c r="J550" s="7" t="n">
        <ns0:v>1309.803921568628</ns0:v>
      </ns0:c>
      <ns0:c r="K550" s="18" t="inlineStr">
        <ns0:is>
          <ns0:t>範囲内なし</ns0:t>
        </ns0:is>
      </ns0:c>
      <ns0:c r="L550" s="18" t="inlineStr">
        <ns0:is>
          <ns0:t>範囲内なし</ns0:t>
        </ns0:is>
      </ns0:c>
      <ns0:c r="M550" s="7" t="n">
        <ns0:v>-54341.81294556773</ns0:v>
      </ns0:c>
      <ns0:c r="N550" s="7" t="n">
        <ns0:v>-91832.98134879346</ns0:v>
      </ns0:c>
      <ns0:c r="O550" s="7" t="n">
        <ns0:v>-116714.3458304506</ns0:v>
      </ns0:c>
      <ns0:c r="P550" s="7" t="n">
        <ns0:v>-178917.7570345934</ns0:v>
      </ns0:c>
      <ns0:c r="Q550" s="7" t="n">
        <ns0:v>-469731.4018511645</ns0:v>
      </ns0:c>
      <ns0:c r="R550" s="7" t="n">
        <ns0:v>-1410579.158709164</ns0:v>
      </ns0:c>
    </ns0:row>
    <ns0:row r="551" ht="24" customHeight="1">
      <ns0:c r="A551" s="3" t="inlineStr">
        <ns0:is>
          <ns0:t>セット</ns0:t>
        </ns0:is>
      </ns0:c>
      <ns0:c r="B551" s="3" t="inlineStr">
        <ns0:is>
          <ns0:t>G2二段階</ns0:t>
        </ns0:is>
      </ns0:c>
      <ns0:c r="C551" s="3" t="inlineStr">
        <ns0:is>
          <ns0:t>A</ns0:t>
        </ns0:is>
      </ns0:c>
      <ns0:c r="D551" s="4" t="n">
        <ns0:v>2</ns0:v>
      </ns0:c>
      <ns0:c r="E551" s="4" t="n">
        <ns0:v>1000</ns0:v>
      </ns0:c>
      <ns0:c r="F551" s="6" t="n">
        <ns0:v>0.3</ns0:v>
      </ns0:c>
      <ns0:c r="G551" s="4" t="n">
        <ns0:v>3</ns0:v>
      </ns0:c>
      <ns0:c r="H551" s="7" t="n">
        <ns0:v>10861.22004357298</ns0:v>
      </ns0:c>
      <ns0:c r="I551" s="7" t="n">
        <ns0:v>4366.013071895426</ns0:v>
      </ns0:c>
      <ns0:c r="J551" s="7" t="n">
        <ns0:v>1309.803921568628</ns0:v>
      </ns0:c>
      <ns0:c r="K551" s="7" t="n">
        <ns0:v>13</ns0:v>
      </ns0:c>
      <ns0:c r="L551" s="7" t="n">
        <ns0:v>22</ns0:v>
      </ns0:c>
      <ns0:c r="M551" s="7" t="n">
        <ns0:v>1949.11548405798</ns0:v>
      </ns0:c>
      <ns0:c r="N551" s="7" t="n">
        <ns0:v>77039.80394008366</ns0:v>
      </ns0:c>
      <ns0:c r="O551" s="7" t="n">
        <ns0:v>164740.296317678</ns0:v>
      </ns0:c>
      <ns0:c r="P551" s="7" t="n">
        <ns0:v>383991.5272616638</ns0:v>
      </ns0:c>
      <ns0:c r="Q551" s="7" t="n">
        <ns0:v>1218996.451037607</ns0:v>
      </ns0:c>
      <ns0:c r="R551" s="7" t="n">
        <ns0:v>4218513.684253408</ns0:v>
      </ns0:c>
    </ns0:row>
    <ns0:row r="552" ht="24" customHeight="1">
      <ns0:c r="A552" s="3" t="inlineStr">
        <ns0:is>
          <ns0:t>セット</ns0:t>
        </ns0:is>
      </ns0:c>
      <ns0:c r="B552" s="3" t="inlineStr">
        <ns0:is>
          <ns0:t>G2二段階</ns0:t>
        </ns0:is>
      </ns0:c>
      <ns0:c r="C552" s="3" t="inlineStr">
        <ns0:is>
          <ns0:t>A</ns0:t>
        </ns0:is>
      </ns0:c>
      <ns0:c r="D552" s="4" t="n">
        <ns0:v>2</ns0:v>
      </ns0:c>
      <ns0:c r="E552" s="4" t="n">
        <ns0:v>1000</ns0:v>
      </ns0:c>
      <ns0:c r="F552" s="6" t="n">
        <ns0:v>0.4</ns0:v>
      </ns0:c>
      <ns0:c r="G552" s="4" t="n">
        <ns0:v>0</ns0:v>
      </ns0:c>
      <ns0:c r="H552" s="7" t="n">
        <ns0:v>10861.22004357298</ns0:v>
      </ns0:c>
      <ns0:c r="I552" s="7" t="n">
        <ns0:v>4366.013071895426</ns0:v>
      </ns0:c>
      <ns0:c r="J552" s="7" t="n">
        <ns0:v>1746.40522875817</ns0:v>
      </ns0:c>
      <ns0:c r="K552" s="7" t="n">
        <ns0:v>9</ns0:v>
      </ns0:c>
      <ns0:c r="L552" s="7" t="n">
        <ns0:v>12</ns0:v>
      </ns0:c>
      <ns0:c r="M552" s="7" t="n">
        <ns0:v>14007.05232332712</ns0:v>
      </ns0:c>
      <ns0:c r="N552" s="7" t="n">
        <ns0:v>113213.6144578911</ns0:v>
      </ns0:c>
      <ns0:c r="O552" s="7" t="n">
        <ns0:v>225029.9805140236</ns0:v>
      </ns0:c>
      <ns0:c r="P552" s="7" t="n">
        <ns0:v>504570.8956543551</ns0:v>
      </ns0:c>
      <ns0:c r="Q552" s="7" t="n">
        <ns0:v>1580734.556215681</ns0:v>
      </ns0:c>
      <ns0:c r="R552" s="7" t="n">
        <ns0:v>5424307.368180322</ns0:v>
      </ns0:c>
    </ns0:row>
    <ns0:row r="553" ht="24" customHeight="1">
      <ns0:c r="A553" s="3" t="inlineStr">
        <ns0:is>
          <ns0:t>セット</ns0:t>
        </ns0:is>
      </ns0:c>
      <ns0:c r="B553" s="3" t="inlineStr">
        <ns0:is>
          <ns0:t>G2二段階</ns0:t>
        </ns0:is>
      </ns0:c>
      <ns0:c r="C553" s="3" t="inlineStr">
        <ns0:is>
          <ns0:t>A</ns0:t>
        </ns0:is>
      </ns0:c>
      <ns0:c r="D553" s="4" t="n">
        <ns0:v>2</ns0:v>
      </ns0:c>
      <ns0:c r="E553" s="4" t="n">
        <ns0:v>1000</ns0:v>
      </ns0:c>
      <ns0:c r="F553" s="6" t="n">
        <ns0:v>0.4</ns0:v>
      </ns0:c>
      <ns0:c r="G553" s="4" t="n">
        <ns0:v>1</ns0:v>
      </ns0:c>
      <ns0:c r="H553" s="7" t="n">
        <ns0:v>10861.22004357298</ns0:v>
      </ns0:c>
      <ns0:c r="I553" s="7" t="n">
        <ns0:v>4366.013071895426</ns0:v>
      </ns0:c>
      <ns0:c r="J553" s="7" t="n">
        <ns0:v>1746.40522875817</ns0:v>
      </ns0:c>
      <ns0:c r="K553" s="7" t="n">
        <ns0:v>9</ns0:v>
      </ns0:c>
      <ns0:c r="L553" s="7" t="n">
        <ns0:v>14</ns0:v>
      </ns0:c>
      <ns0:c r="M553" s="7" t="n">
        <ns0:v>8618.582931024714</ns0:v>
      </ns0:c>
      <ns0:c r="N553" s="7" t="n">
        <ns0:v>97048.2062809839</ns0:v>
      </ns0:c>
      <ns0:c r="O553" s="7" t="n">
        <ns0:v>198087.6335525116</ns0:v>
      </ns0:c>
      <ns0:c r="P553" s="7" t="n">
        <ns0:v>450686.2017313311</ns0:v>
      </ns0:c>
      <ns0:c r="Q553" s="7" t="n">
        <ns0:v>1419080.474446609</ns0:v>
      </ns0:c>
      <ns0:c r="R553" s="7" t="n">
        <ns0:v>4885460.428950081</ns0:v>
      </ns0:c>
    </ns0:row>
    <ns0:row r="554" ht="24" customHeight="1">
      <ns0:c r="A554" s="3" t="inlineStr">
        <ns0:is>
          <ns0:t>セット</ns0:t>
        </ns0:is>
      </ns0:c>
      <ns0:c r="B554" s="3" t="inlineStr">
        <ns0:is>
          <ns0:t>G2二段階</ns0:t>
        </ns0:is>
      </ns0:c>
      <ns0:c r="C554" s="3" t="inlineStr">
        <ns0:is>
          <ns0:t>A</ns0:t>
        </ns0:is>
      </ns0:c>
      <ns0:c r="D554" s="4" t="n">
        <ns0:v>2</ns0:v>
      </ns0:c>
      <ns0:c r="E554" s="4" t="n">
        <ns0:v>1000</ns0:v>
      </ns0:c>
      <ns0:c r="F554" s="6" t="n">
        <ns0:v>0.4</ns0:v>
      </ns0:c>
      <ns0:c r="G554" s="4" t="n">
        <ns0:v>2</ns0:v>
      </ns0:c>
      <ns0:c r="H554" s="7" t="n">
        <ns0:v>10861.22004357298</ns0:v>
      </ns0:c>
      <ns0:c r="I554" s="7" t="n">
        <ns0:v>4366.013071895426</ns0:v>
      </ns0:c>
      <ns0:c r="J554" s="7" t="n">
        <ns0:v>1746.40522875817</ns0:v>
      </ns0:c>
      <ns0:c r="K554" s="18" t="inlineStr">
        <ns0:is>
          <ns0:t>範囲内なし</ns0:t>
        </ns0:is>
      </ns0:c>
      <ns0:c r="L554" s="18" t="inlineStr">
        <ns0:is>
          <ns0:t>範囲内なし</ns0:t>
        </ns0:is>
      </ns0:c>
      <ns0:c r="M554" s="7" t="n">
        <ns0:v>-58707.82601746315</ns0:v>
      </ns0:c>
      <ns0:c r="N554" s="7" t="n">
        <ns0:v>-104931.0205644797</ns0:v>
      </ns0:c>
      <ns0:c r="O554" s="7" t="n">
        <ns0:v>-138544.4111899278</ns0:v>
      </ns0:c>
      <ns0:c r="P554" s="7" t="n">
        <ns0:v>-222577.8877535478</ns0:v>
      </ns0:c>
      <ns0:c r="Q554" s="7" t="n">
        <ns0:v>-600711.7940080272</ns0:v>
      </ns0:c>
      <ns0:c r="R554" s="7" t="n">
        <ns0:v>-1847180.465898708</ns0:v>
      </ns0:c>
    </ns0:row>
    <ns0:row r="555" ht="24" customHeight="1">
      <ns0:c r="A555" s="3" t="inlineStr">
        <ns0:is>
          <ns0:t>セット</ns0:t>
        </ns0:is>
      </ns0:c>
      <ns0:c r="B555" s="3" t="inlineStr">
        <ns0:is>
          <ns0:t>G2二段階</ns0:t>
        </ns0:is>
      </ns0:c>
      <ns0:c r="C555" s="3" t="inlineStr">
        <ns0:is>
          <ns0:t>A</ns0:t>
        </ns0:is>
      </ns0:c>
      <ns0:c r="D555" s="4" t="n">
        <ns0:v>2</ns0:v>
      </ns0:c>
      <ns0:c r="E555" s="4" t="n">
        <ns0:v>1000</ns0:v>
      </ns0:c>
      <ns0:c r="F555" s="6" t="n">
        <ns0:v>0.4</ns0:v>
      </ns0:c>
      <ns0:c r="G555" s="4" t="n">
        <ns0:v>3</ns0:v>
      </ns0:c>
      <ns0:c r="H555" s="7" t="n">
        <ns0:v>10861.22004357298</ns0:v>
      </ns0:c>
      <ns0:c r="I555" s="7" t="n">
        <ns0:v>4366.013071895426</ns0:v>
      </ns0:c>
      <ns0:c r="J555" s="7" t="n">
        <ns0:v>1746.40522875817</ns0:v>
      </ns0:c>
      <ns0:c r="K555" s="7" t="n">
        <ns0:v>14</ns0:v>
      </ns0:c>
      <ns0:c r="L555" s="7" t="n">
        <ns0:v>25</ns0:v>
      </ns0:c>
      <ns0:c r="M555" s="7" t="n">
        <ns0:v>-2416.897587837451</ns0:v>
      </ns0:c>
      <ns0:c r="N555" s="7" t="n">
        <ns0:v>63941.7647243974</ns0:v>
      </ns0:c>
      <ns0:c r="O555" s="7" t="n">
        <ns0:v>142910.2309582008</ns0:v>
      </ns0:c>
      <ns0:c r="P555" s="7" t="n">
        <ns0:v>340331.3965427094</ns0:v>
      </ns0:c>
      <ns0:c r="Q555" s="7" t="n">
        <ns0:v>1088016.058880744</ns0:v>
      </ns0:c>
      <ns0:c r="R555" s="7" t="n">
        <ns0:v>3781912.377063864</ns0:v>
      </ns0:c>
    </ns0:row>
    <ns0:row r="556" ht="24" customHeight="1">
      <ns0:c r="A556" s="3" t="inlineStr">
        <ns0:is>
          <ns0:t>セット</ns0:t>
        </ns0:is>
      </ns0:c>
      <ns0:c r="B556" s="3" t="inlineStr">
        <ns0:is>
          <ns0:t>G2二段階</ns0:t>
        </ns0:is>
      </ns0:c>
      <ns0:c r="C556" s="3" t="inlineStr">
        <ns0:is>
          <ns0:t>A</ns0:t>
        </ns0:is>
      </ns0:c>
      <ns0:c r="D556" s="4" t="n">
        <ns0:v>2</ns0:v>
      </ns0:c>
      <ns0:c r="E556" s="4" t="n">
        <ns0:v>1000</ns0:v>
      </ns0:c>
      <ns0:c r="F556" s="6" t="n">
        <ns0:v>0.5</ns0:v>
      </ns0:c>
      <ns0:c r="G556" s="4" t="n">
        <ns0:v>0</ns0:v>
      </ns0:c>
      <ns0:c r="H556" s="7" t="n">
        <ns0:v>10861.22004357298</ns0:v>
      </ns0:c>
      <ns0:c r="I556" s="7" t="n">
        <ns0:v>4366.013071895426</ns0:v>
      </ns0:c>
      <ns0:c r="J556" s="7" t="n">
        <ns0:v>2183.006535947713</ns0:v>
      </ns0:c>
      <ns0:c r="K556" s="7" t="n">
        <ns0:v>9</ns0:v>
      </ns0:c>
      <ns0:c r="L556" s="7" t="n">
        <ns0:v>13</ns0:v>
      </ns0:c>
      <ns0:c r="M556" s="7" t="n">
        <ns0:v>9641.039251431695</ns0:v>
      </ns0:c>
      <ns0:c r="N556" s="7" t="n">
        <ns0:v>100115.5752422048</ns0:v>
      </ns0:c>
      <ns0:c r="O556" s="7" t="n">
        <ns0:v>203199.9151545466</ns0:v>
      </ns0:c>
      <ns0:c r="P556" s="7" t="n">
        <ns0:v>460910.7649354009</ns0:v>
      </ns0:c>
      <ns0:c r="Q556" s="7" t="n">
        <ns0:v>1449754.164058818</ns0:v>
      </ns0:c>
      <ns0:c r="R556" s="7" t="n">
        <ns0:v>4987706.060990779</ns0:v>
      </ns0:c>
    </ns0:row>
    <ns0:row r="557" ht="24" customHeight="1">
      <ns0:c r="A557" s="3" t="inlineStr">
        <ns0:is>
          <ns0:t>セット</ns0:t>
        </ns0:is>
      </ns0:c>
      <ns0:c r="B557" s="3" t="inlineStr">
        <ns0:is>
          <ns0:t>G2二段階</ns0:t>
        </ns0:is>
      </ns0:c>
      <ns0:c r="C557" s="3" t="inlineStr">
        <ns0:is>
          <ns0:t>A</ns0:t>
        </ns0:is>
      </ns0:c>
      <ns0:c r="D557" s="4" t="n">
        <ns0:v>2</ns0:v>
      </ns0:c>
      <ns0:c r="E557" s="4" t="n">
        <ns0:v>1000</ns0:v>
      </ns0:c>
      <ns0:c r="F557" s="6" t="n">
        <ns0:v>0.5</ns0:v>
      </ns0:c>
      <ns0:c r="G557" s="4" t="n">
        <ns0:v>1</ns0:v>
      </ns0:c>
      <ns0:c r="H557" s="7" t="n">
        <ns0:v>10861.22004357298</ns0:v>
      </ns0:c>
      <ns0:c r="I557" s="7" t="n">
        <ns0:v>4366.013071895426</ns0:v>
      </ns0:c>
      <ns0:c r="J557" s="7" t="n">
        <ns0:v>2183.006535947713</ns0:v>
      </ns0:c>
      <ns0:c r="K557" s="7" t="n">
        <ns0:v>12</ns0:v>
      </ns0:c>
      <ns0:c r="L557" s="7" t="n">
        <ns0:v>15</ns0:v>
      </ns0:c>
      <ns0:c r="M557" s="7" t="n">
        <ns0:v>4252.569859129286</ns0:v>
      </ns0:c>
      <ns0:c r="N557" s="7" t="n">
        <ns0:v>83950.1670652976</ns0:v>
      </ns0:c>
      <ns0:c r="O557" s="7" t="n">
        <ns0:v>176257.5681930346</ns0:v>
      </ns0:c>
      <ns0:c r="P557" s="7" t="n">
        <ns0:v>407026.0710123769</ns0:v>
      </ns0:c>
      <ns0:c r="Q557" s="7" t="n">
        <ns0:v>1288100.082289746</ns0:v>
      </ns0:c>
      <ns0:c r="R557" s="7" t="n">
        <ns0:v>4448859.121760538</ns0:v>
      </ns0:c>
    </ns0:row>
    <ns0:row r="558" ht="24" customHeight="1">
      <ns0:c r="A558" s="3" t="inlineStr">
        <ns0:is>
          <ns0:t>セット</ns0:t>
        </ns0:is>
      </ns0:c>
      <ns0:c r="B558" s="3" t="inlineStr">
        <ns0:is>
          <ns0:t>G2二段階</ns0:t>
        </ns0:is>
      </ns0:c>
      <ns0:c r="C558" s="3" t="inlineStr">
        <ns0:is>
          <ns0:t>A</ns0:t>
        </ns0:is>
      </ns0:c>
      <ns0:c r="D558" s="4" t="n">
        <ns0:v>2</ns0:v>
      </ns0:c>
      <ns0:c r="E558" s="4" t="n">
        <ns0:v>1000</ns0:v>
      </ns0:c>
      <ns0:c r="F558" s="6" t="n">
        <ns0:v>0.5</ns0:v>
      </ns0:c>
      <ns0:c r="G558" s="4" t="n">
        <ns0:v>2</ns0:v>
      </ns0:c>
      <ns0:c r="H558" s="7" t="n">
        <ns0:v>10861.22004357298</ns0:v>
      </ns0:c>
      <ns0:c r="I558" s="7" t="n">
        <ns0:v>4366.013071895426</ns0:v>
      </ns0:c>
      <ns0:c r="J558" s="7" t="n">
        <ns0:v>2183.006535947713</ns0:v>
      </ns0:c>
      <ns0:c r="K558" s="18" t="inlineStr">
        <ns0:is>
          <ns0:t>範囲内なし</ns0:t>
        </ns0:is>
      </ns0:c>
      <ns0:c r="L558" s="18" t="inlineStr">
        <ns0:is>
          <ns0:t>範囲内なし</ns0:t>
        </ns0:is>
      </ns0:c>
      <ns0:c r="M558" s="7" t="n">
        <ns0:v>-63073.8390893586</ns0:v>
      </ns0:c>
      <ns0:c r="N558" s="7" t="n">
        <ns0:v>-118029.059780166</ns0:v>
      </ns0:c>
      <ns0:c r="O558" s="7" t="n">
        <ns0:v>-160374.4765494048</ns0:v>
      </ns0:c>
      <ns0:c r="P558" s="7" t="n">
        <ns0:v>-266238.0184725019</ns0:v>
      </ns0:c>
      <ns0:c r="Q558" s="7" t="n">
        <ns0:v>-731692.1861648901</ns0:v>
      </ns0:c>
      <ns0:c r="R558" s="7" t="n">
        <ns0:v>-2283781.77308825</ns0:v>
      </ns0:c>
    </ns0:row>
    <ns0:row r="559" ht="24" customHeight="1">
      <ns0:c r="A559" s="3" t="inlineStr">
        <ns0:is>
          <ns0:t>セット</ns0:t>
        </ns0:is>
      </ns0:c>
      <ns0:c r="B559" s="3" t="inlineStr">
        <ns0:is>
          <ns0:t>G2二段階</ns0:t>
        </ns0:is>
      </ns0:c>
      <ns0:c r="C559" s="3" t="inlineStr">
        <ns0:is>
          <ns0:t>A</ns0:t>
        </ns0:is>
      </ns0:c>
      <ns0:c r="D559" s="4" t="n">
        <ns0:v>2</ns0:v>
      </ns0:c>
      <ns0:c r="E559" s="4" t="n">
        <ns0:v>1000</ns0:v>
      </ns0:c>
      <ns0:c r="F559" s="6" t="n">
        <ns0:v>0.5</ns0:v>
      </ns0:c>
      <ns0:c r="G559" s="4" t="n">
        <ns0:v>3</ns0:v>
      </ns0:c>
      <ns0:c r="H559" s="7" t="n">
        <ns0:v>10861.22004357298</ns0:v>
      </ns0:c>
      <ns0:c r="I559" s="7" t="n">
        <ns0:v>4366.013071895426</ns0:v>
      </ns0:c>
      <ns0:c r="J559" s="7" t="n">
        <ns0:v>2183.006535947713</ns0:v>
      </ns0:c>
      <ns0:c r="K559" s="7" t="n">
        <ns0:v>16</ns0:v>
      </ns0:c>
      <ns0:c r="L559" s="7" t="n">
        <ns0:v>29</ns0:v>
      </ns0:c>
      <ns0:c r="M559" s="7" t="n">
        <ns0:v>-6782.910659732876</ns0:v>
      </ns0:c>
      <ns0:c r="N559" s="7" t="n">
        <ns0:v>50843.7255087111</ns0:v>
      </ns0:c>
      <ns0:c r="O559" s="7" t="n">
        <ns0:v>121080.1655987237</ns0:v>
      </ns0:c>
      <ns0:c r="P559" s="7" t="n">
        <ns0:v>296671.2658237552</ns0:v>
      </ns0:c>
      <ns0:c r="Q559" s="7" t="n">
        <ns0:v>957035.6667238814</ns0:v>
      </ns0:c>
      <ns0:c r="R559" s="7" t="n">
        <ns0:v>3345311.069874322</ns0:v>
      </ns0:c>
    </ns0:row>
    <ns0:row r="560" ht="24" customHeight="1">
      <ns0:c r="A560" s="3" t="inlineStr">
        <ns0:is>
          <ns0:t>セット</ns0:t>
        </ns0:is>
      </ns0:c>
      <ns0:c r="B560" s="3" t="inlineStr">
        <ns0:is>
          <ns0:t>G2二段階</ns0:t>
        </ns0:is>
      </ns0:c>
      <ns0:c r="C560" s="3" t="inlineStr">
        <ns0:is>
          <ns0:t>A</ns0:t>
        </ns0:is>
      </ns0:c>
      <ns0:c r="D560" s="4" t="n">
        <ns0:v>2</ns0:v>
      </ns0:c>
      <ns0:c r="E560" s="4" t="n">
        <ns0:v>1500</ns0:v>
      </ns0:c>
      <ns0:c r="F560" s="6" t="n">
        <ns0:v>0.3</ns0:v>
      </ns0:c>
      <ns0:c r="G560" s="4" t="n">
        <ns0:v>0</ns0:v>
      </ns0:c>
      <ns0:c r="H560" s="7" t="n">
        <ns0:v>10361.22004357298</ns0:v>
      </ns0:c>
      <ns0:c r="I560" s="7" t="n">
        <ns0:v>3866.013071895425</ns0:v>
      </ns0:c>
      <ns0:c r="J560" s="7" t="n">
        <ns0:v>1159.803921568627</ns0:v>
      </ns0:c>
      <ns0:c r="K560" s="7" t="n">
        <ns0:v>9</ns0:v>
      </ns0:c>
      <ns0:c r="L560" s="7" t="n">
        <ns0:v>12</ns0:v>
      </ns0:c>
      <ns0:c r="M560" s="7" t="n">
        <ns0:v>15053.06539522255</ns0:v>
      </ns0:c>
      <ns0:c r="N560" s="7" t="n">
        <ns0:v>116351.6536735774</ns0:v>
      </ns0:c>
      <ns0:c r="O560" s="7" t="n">
        <ns0:v>230260.0458735008</ns0:v>
      </ns0:c>
      <ns0:c r="P560" s="7" t="n">
        <ns0:v>515031.0263733094</ns0:v>
      </ns0:c>
      <ns0:c r="Q560" s="7" t="n">
        <ns0:v>1612114.948372544</ns0:v>
      </ns0:c>
      <ns0:c r="R560" s="7" t="n">
        <ns0:v>5528908.675369864</ns0:v>
      </ns0:c>
    </ns0:row>
    <ns0:row r="561" ht="24" customHeight="1">
      <ns0:c r="A561" s="3" t="inlineStr">
        <ns0:is>
          <ns0:t>セット</ns0:t>
        </ns0:is>
      </ns0:c>
      <ns0:c r="B561" s="3" t="inlineStr">
        <ns0:is>
          <ns0:t>G2二段階</ns0:t>
        </ns0:is>
      </ns0:c>
      <ns0:c r="C561" s="3" t="inlineStr">
        <ns0:is>
          <ns0:t>A</ns0:t>
        </ns0:is>
      </ns0:c>
      <ns0:c r="D561" s="4" t="n">
        <ns0:v>2</ns0:v>
      </ns0:c>
      <ns0:c r="E561" s="4" t="n">
        <ns0:v>1500</ns0:v>
      </ns0:c>
      <ns0:c r="F561" s="6" t="n">
        <ns0:v>0.3</ns0:v>
      </ns0:c>
      <ns0:c r="G561" s="4" t="n">
        <ns0:v>1</ns0:v>
      </ns0:c>
      <ns0:c r="H561" s="7" t="n">
        <ns0:v>10361.22004357298</ns0:v>
      </ns0:c>
      <ns0:c r="I561" s="7" t="n">
        <ns0:v>3866.013071895425</ns0:v>
      </ns0:c>
      <ns0:c r="J561" s="7" t="n">
        <ns0:v>1159.803921568627</ns0:v>
      </ns0:c>
      <ns0:c r="K561" s="7" t="n">
        <ns0:v>9</ns0:v>
      </ns0:c>
      <ns0:c r="L561" s="7" t="n">
        <ns0:v>14</ns0:v>
      </ns0:c>
      <ns0:c r="M561" s="7" t="n">
        <ns0:v>9664.596002920138</ns0:v>
      </ns0:c>
      <ns0:c r="N561" s="7" t="n">
        <ns0:v>100186.2454966701</ns0:v>
      </ns0:c>
      <ns0:c r="O561" s="7" t="n">
        <ns0:v>203317.6989119888</ns0:v>
      </ns0:c>
      <ns0:c r="P561" s="7" t="n">
        <ns0:v>461146.3324502853</ns0:v>
      </ns0:c>
      <ns0:c r="Q561" s="7" t="n">
        <ns0:v>1450460.866603471</ns0:v>
      </ns0:c>
      <ns0:c r="R561" s="7" t="n">
        <ns0:v>4990061.736139623</ns0:v>
      </ns0:c>
    </ns0:row>
    <ns0:row r="562" ht="24" customHeight="1">
      <ns0:c r="A562" s="3" t="inlineStr">
        <ns0:is>
          <ns0:t>セット</ns0:t>
        </ns0:is>
      </ns0:c>
      <ns0:c r="B562" s="3" t="inlineStr">
        <ns0:is>
          <ns0:t>G2二段階</ns0:t>
        </ns0:is>
      </ns0:c>
      <ns0:c r="C562" s="3" t="inlineStr">
        <ns0:is>
          <ns0:t>A</ns0:t>
        </ns0:is>
      </ns0:c>
      <ns0:c r="D562" s="4" t="n">
        <ns0:v>2</ns0:v>
      </ns0:c>
      <ns0:c r="E562" s="4" t="n">
        <ns0:v>1500</ns0:v>
      </ns0:c>
      <ns0:c r="F562" s="6" t="n">
        <ns0:v>0.3</ns0:v>
      </ns0:c>
      <ns0:c r="G562" s="4" t="n">
        <ns0:v>2</ns0:v>
      </ns0:c>
      <ns0:c r="H562" s="7" t="n">
        <ns0:v>10361.22004357298</ns0:v>
      </ns0:c>
      <ns0:c r="I562" s="7" t="n">
        <ns0:v>3866.013071895425</ns0:v>
      </ns0:c>
      <ns0:c r="J562" s="7" t="n">
        <ns0:v>1159.803921568627</ns0:v>
      </ns0:c>
      <ns0:c r="K562" s="18" t="inlineStr">
        <ns0:is>
          <ns0:t>範囲内なし</ns0:t>
        </ns0:is>
      </ns0:c>
      <ns0:c r="L562" s="18" t="inlineStr">
        <ns0:is>
          <ns0:t>範囲内なし</ns0:t>
        </ns0:is>
      </ns0:c>
      <ns0:c r="M562" s="7" t="n">
        <ns0:v>-57661.81294556775</ns0:v>
      </ns0:c>
      <ns0:c r="N562" s="7" t="n">
        <ns0:v>-101792.9813487935</ns0:v>
      </ns0:c>
      <ns0:c r="O562" s="7" t="n">
        <ns0:v>-133314.3458304506</ns0:v>
      </ns0:c>
      <ns0:c r="P562" s="7" t="n">
        <ns0:v>-212117.7570345934</ns0:v>
      </ns0:c>
      <ns0:c r="Q562" s="7" t="n">
        <ns0:v>-569331.4018511648</ns0:v>
      </ns0:c>
      <ns0:c r="R562" s="7" t="n">
        <ns0:v>-1742579.158709165</ns0:v>
      </ns0:c>
    </ns0:row>
    <ns0:row r="563" ht="24" customHeight="1">
      <ns0:c r="A563" s="3" t="inlineStr">
        <ns0:is>
          <ns0:t>セット</ns0:t>
        </ns0:is>
      </ns0:c>
      <ns0:c r="B563" s="3" t="inlineStr">
        <ns0:is>
          <ns0:t>G2二段階</ns0:t>
        </ns0:is>
      </ns0:c>
      <ns0:c r="C563" s="3" t="inlineStr">
        <ns0:is>
          <ns0:t>A</ns0:t>
        </ns0:is>
      </ns0:c>
      <ns0:c r="D563" s="4" t="n">
        <ns0:v>2</ns0:v>
      </ns0:c>
      <ns0:c r="E563" s="4" t="n">
        <ns0:v>1500</ns0:v>
      </ns0:c>
      <ns0:c r="F563" s="6" t="n">
        <ns0:v>0.3</ns0:v>
      </ns0:c>
      <ns0:c r="G563" s="4" t="n">
        <ns0:v>3</ns0:v>
      </ns0:c>
      <ns0:c r="H563" s="7" t="n">
        <ns0:v>10361.22004357298</ns0:v>
      </ns0:c>
      <ns0:c r="I563" s="7" t="n">
        <ns0:v>3866.013071895425</ns0:v>
      </ns0:c>
      <ns0:c r="J563" s="7" t="n">
        <ns0:v>1159.803921568627</ns0:v>
      </ns0:c>
      <ns0:c r="K563" s="7" t="n">
        <ns0:v>14</ns0:v>
      </ns0:c>
      <ns0:c r="L563" s="7" t="n">
        <ns0:v>24</ns0:v>
      </ns0:c>
      <ns0:c r="M563" s="7" t="n">
        <ns0:v>-1370.884515942027</ns0:v>
      </ns0:c>
      <ns0:c r="N563" s="7" t="n">
        <ns0:v>67079.80394008366</ns0:v>
      </ns0:c>
      <ns0:c r="O563" s="7" t="n">
        <ns0:v>148140.2963176779</ns0:v>
      </ns0:c>
      <ns0:c r="P563" s="7" t="n">
        <ns0:v>350791.5272616637</ns0:v>
      </ns0:c>
      <ns0:c r="Q563" s="7" t="n">
        <ns0:v>1119396.451037606</ns0:v>
      </ns0:c>
      <ns0:c r="R563" s="7" t="n">
        <ns0:v>3886513.684253408</ns0:v>
      </ns0:c>
    </ns0:row>
    <ns0:row r="564" ht="24" customHeight="1">
      <ns0:c r="A564" s="3" t="inlineStr">
        <ns0:is>
          <ns0:t>セット</ns0:t>
        </ns0:is>
      </ns0:c>
      <ns0:c r="B564" s="3" t="inlineStr">
        <ns0:is>
          <ns0:t>G2二段階</ns0:t>
        </ns0:is>
      </ns0:c>
      <ns0:c r="C564" s="3" t="inlineStr">
        <ns0:is>
          <ns0:t>A</ns0:t>
        </ns0:is>
      </ns0:c>
      <ns0:c r="D564" s="4" t="n">
        <ns0:v>2</ns0:v>
      </ns0:c>
      <ns0:c r="E564" s="4" t="n">
        <ns0:v>1500</ns0:v>
      </ns0:c>
      <ns0:c r="F564" s="6" t="n">
        <ns0:v>0.4</ns0:v>
      </ns0:c>
      <ns0:c r="G564" s="4" t="n">
        <ns0:v>0</ns0:v>
      </ns0:c>
      <ns0:c r="H564" s="7" t="n">
        <ns0:v>10361.22004357298</ns0:v>
      </ns0:c>
      <ns0:c r="I564" s="7" t="n">
        <ns0:v>3866.013071895425</ns0:v>
      </ns0:c>
      <ns0:c r="J564" s="7" t="n">
        <ns0:v>1546.40522875817</ns0:v>
      </ns0:c>
      <ns0:c r="K564" s="7" t="n">
        <ns0:v>9</ns0:v>
      </ns0:c>
      <ns0:c r="L564" s="7" t="n">
        <ns0:v>12</ns0:v>
      </ns0:c>
      <ns0:c r="M564" s="7" t="n">
        <ns0:v>11187.05232332712</ns0:v>
      </ns0:c>
      <ns0:c r="N564" s="7" t="n">
        <ns0:v>104753.6144578911</ns0:v>
      </ns0:c>
      <ns0:c r="O564" s="7" t="n">
        <ns0:v>210929.9805140237</ns0:v>
      </ns0:c>
      <ns0:c r="P564" s="7" t="n">
        <ns0:v>476370.8956543552</ns0:v>
      </ns0:c>
      <ns0:c r="Q564" s="7" t="n">
        <ns0:v>1496134.556215681</ns0:v>
      </ns0:c>
      <ns0:c r="R564" s="7" t="n">
        <ns0:v>5142307.368180322</ns0:v>
      </ns0:c>
    </ns0:row>
    <ns0:row r="565" ht="24" customHeight="1">
      <ns0:c r="A565" s="3" t="inlineStr">
        <ns0:is>
          <ns0:t>セット</ns0:t>
        </ns0:is>
      </ns0:c>
      <ns0:c r="B565" s="3" t="inlineStr">
        <ns0:is>
          <ns0:t>G2二段階</ns0:t>
        </ns0:is>
      </ns0:c>
      <ns0:c r="C565" s="3" t="inlineStr">
        <ns0:is>
          <ns0:t>A</ns0:t>
        </ns0:is>
      </ns0:c>
      <ns0:c r="D565" s="4" t="n">
        <ns0:v>2</ns0:v>
      </ns0:c>
      <ns0:c r="E565" s="4" t="n">
        <ns0:v>1500</ns0:v>
      </ns0:c>
      <ns0:c r="F565" s="6" t="n">
        <ns0:v>0.4</ns0:v>
      </ns0:c>
      <ns0:c r="G565" s="4" t="n">
        <ns0:v>1</ns0:v>
      </ns0:c>
      <ns0:c r="H565" s="7" t="n">
        <ns0:v>10361.22004357298</ns0:v>
      </ns0:c>
      <ns0:c r="I565" s="7" t="n">
        <ns0:v>3866.013071895425</ns0:v>
      </ns0:c>
      <ns0:c r="J565" s="7" t="n">
        <ns0:v>1546.40522875817</ns0:v>
      </ns0:c>
      <ns0:c r="K565" s="7" t="n">
        <ns0:v>12</ns0:v>
      </ns0:c>
      <ns0:c r="L565" s="7" t="n">
        <ns0:v>15</ns0:v>
      </ns0:c>
      <ns0:c r="M565" s="7" t="n">
        <ns0:v>5798.582931024714</ns0:v>
      </ns0:c>
      <ns0:c r="N565" s="7" t="n">
        <ns0:v>88588.20628098384</ns0:v>
      </ns0:c>
      <ns0:c r="O565" s="7" t="n">
        <ns0:v>183987.6335525117</ns0:v>
      </ns0:c>
      <ns0:c r="P565" s="7" t="n">
        <ns0:v>422486.2017313312</ns0:v>
      </ns0:c>
      <ns0:c r="Q565" s="7" t="n">
        <ns0:v>1334480.474446609</ns0:v>
      </ns0:c>
      <ns0:c r="R565" s="7" t="n">
        <ns0:v>4603460.428950081</ns0:v>
      </ns0:c>
    </ns0:row>
    <ns0:row r="566" ht="24" customHeight="1">
      <ns0:c r="A566" s="3" t="inlineStr">
        <ns0:is>
          <ns0:t>セット</ns0:t>
        </ns0:is>
      </ns0:c>
      <ns0:c r="B566" s="3" t="inlineStr">
        <ns0:is>
          <ns0:t>G2二段階</ns0:t>
        </ns0:is>
      </ns0:c>
      <ns0:c r="C566" s="3" t="inlineStr">
        <ns0:is>
          <ns0:t>A</ns0:t>
        </ns0:is>
      </ns0:c>
      <ns0:c r="D566" s="4" t="n">
        <ns0:v>2</ns0:v>
      </ns0:c>
      <ns0:c r="E566" s="4" t="n">
        <ns0:v>1500</ns0:v>
      </ns0:c>
      <ns0:c r="F566" s="6" t="n">
        <ns0:v>0.4</ns0:v>
      </ns0:c>
      <ns0:c r="G566" s="4" t="n">
        <ns0:v>2</ns0:v>
      </ns0:c>
      <ns0:c r="H566" s="7" t="n">
        <ns0:v>10361.22004357298</ns0:v>
      </ns0:c>
      <ns0:c r="I566" s="7" t="n">
        <ns0:v>3866.013071895425</ns0:v>
      </ns0:c>
      <ns0:c r="J566" s="7" t="n">
        <ns0:v>1546.40522875817</ns0:v>
      </ns0:c>
      <ns0:c r="K566" s="18" t="inlineStr">
        <ns0:is>
          <ns0:t>範囲内なし</ns0:t>
        </ns0:is>
      </ns0:c>
      <ns0:c r="L566" s="18" t="inlineStr">
        <ns0:is>
          <ns0:t>範囲内なし</ns0:t>
        </ns0:is>
      </ns0:c>
      <ns0:c r="M566" s="7" t="n">
        <ns0:v>-61527.82601746315</ns0:v>
      </ns0:c>
      <ns0:c r="N566" s="7" t="n">
        <ns0:v>-113391.0205644798</ns0:v>
      </ns0:c>
      <ns0:c r="O566" s="7" t="n">
        <ns0:v>-152644.4111899277</ns0:v>
      </ns0:c>
      <ns0:c r="P566" s="7" t="n">
        <ns0:v>-250777.8877535477</ns0:v>
      </ns0:c>
      <ns0:c r="Q566" s="7" t="n">
        <ns0:v>-685311.7940080274</ns0:v>
      </ns0:c>
      <ns0:c r="R566" s="7" t="n">
        <ns0:v>-2129180.465898708</ns0:v>
      </ns0:c>
    </ns0:row>
    <ns0:row r="567" ht="24" customHeight="1">
      <ns0:c r="A567" s="3" t="inlineStr">
        <ns0:is>
          <ns0:t>セット</ns0:t>
        </ns0:is>
      </ns0:c>
      <ns0:c r="B567" s="3" t="inlineStr">
        <ns0:is>
          <ns0:t>G2二段階</ns0:t>
        </ns0:is>
      </ns0:c>
      <ns0:c r="C567" s="3" t="inlineStr">
        <ns0:is>
          <ns0:t>A</ns0:t>
        </ns0:is>
      </ns0:c>
      <ns0:c r="D567" s="4" t="n">
        <ns0:v>2</ns0:v>
      </ns0:c>
      <ns0:c r="E567" s="4" t="n">
        <ns0:v>1500</ns0:v>
      </ns0:c>
      <ns0:c r="F567" s="6" t="n">
        <ns0:v>0.4</ns0:v>
      </ns0:c>
      <ns0:c r="G567" s="4" t="n">
        <ns0:v>3</ns0:v>
      </ns0:c>
      <ns0:c r="H567" s="7" t="n">
        <ns0:v>10361.22004357298</ns0:v>
      </ns0:c>
      <ns0:c r="I567" s="7" t="n">
        <ns0:v>3866.013071895425</ns0:v>
      </ns0:c>
      <ns0:c r="J567" s="7" t="n">
        <ns0:v>1546.40522875817</ns0:v>
      </ns0:c>
      <ns0:c r="K567" s="7" t="n">
        <ns0:v>15</ns0:v>
      </ns0:c>
      <ns0:c r="L567" s="7" t="n">
        <ns0:v>27</ns0:v>
      </ns0:c>
      <ns0:c r="M567" s="7" t="n">
        <ns0:v>-5236.897587837451</ns0:v>
      </ns0:c>
      <ns0:c r="N567" s="7" t="n">
        <ns0:v>55481.76472439734</ns0:v>
      </ns0:c>
      <ns0:c r="O567" s="7" t="n">
        <ns0:v>128810.2309582008</ns0:v>
      </ns0:c>
      <ns0:c r="P567" s="7" t="n">
        <ns0:v>312131.3965427095</ns0:v>
      </ns0:c>
      <ns0:c r="Q567" s="7" t="n">
        <ns0:v>1003416.058880744</ns0:v>
      </ns0:c>
      <ns0:c r="R567" s="7" t="n">
        <ns0:v>3499912.377063865</ns0:v>
      </ns0:c>
    </ns0:row>
    <ns0:row r="568" ht="24" customHeight="1">
      <ns0:c r="A568" s="3" t="inlineStr">
        <ns0:is>
          <ns0:t>セット</ns0:t>
        </ns0:is>
      </ns0:c>
      <ns0:c r="B568" s="3" t="inlineStr">
        <ns0:is>
          <ns0:t>G2二段階</ns0:t>
        </ns0:is>
      </ns0:c>
      <ns0:c r="C568" s="3" t="inlineStr">
        <ns0:is>
          <ns0:t>A</ns0:t>
        </ns0:is>
      </ns0:c>
      <ns0:c r="D568" s="4" t="n">
        <ns0:v>2</ns0:v>
      </ns0:c>
      <ns0:c r="E568" s="4" t="n">
        <ns0:v>1500</ns0:v>
      </ns0:c>
      <ns0:c r="F568" s="6" t="n">
        <ns0:v>0.5</ns0:v>
      </ns0:c>
      <ns0:c r="G568" s="4" t="n">
        <ns0:v>0</ns0:v>
      </ns0:c>
      <ns0:c r="H568" s="7" t="n">
        <ns0:v>10361.22004357298</ns0:v>
      </ns0:c>
      <ns0:c r="I568" s="7" t="n">
        <ns0:v>3866.013071895425</ns0:v>
      </ns0:c>
      <ns0:c r="J568" s="7" t="n">
        <ns0:v>1933.006535947712</ns0:v>
      </ns0:c>
      <ns0:c r="K568" s="7" t="n">
        <ns0:v>12</ns0:v>
      </ns0:c>
      <ns0:c r="L568" s="7" t="n">
        <ns0:v>13</ns0:v>
      </ns0:c>
      <ns0:c r="M568" s="7" t="n">
        <ns0:v>7321.039251431699</ns0:v>
      </ns0:c>
      <ns0:c r="N568" s="7" t="n">
        <ns0:v>93155.57524220482</ns0:v>
      </ns0:c>
      <ns0:c r="O568" s="7" t="n">
        <ns0:v>191599.9151545466</ns0:v>
      </ns0:c>
      <ns0:c r="P568" s="7" t="n">
        <ns0:v>437710.7649354009</ns0:v>
      </ns0:c>
      <ns0:c r="Q568" s="7" t="n">
        <ns0:v>1380154.164058818</ns0:v>
      </ns0:c>
      <ns0:c r="R568" s="7" t="n">
        <ns0:v>4755706.060990779</ns0:v>
      </ns0:c>
    </ns0:row>
    <ns0:row r="569" ht="24" customHeight="1">
      <ns0:c r="A569" s="3" t="inlineStr">
        <ns0:is>
          <ns0:t>セット</ns0:t>
        </ns0:is>
      </ns0:c>
      <ns0:c r="B569" s="3" t="inlineStr">
        <ns0:is>
          <ns0:t>G2二段階</ns0:t>
        </ns0:is>
      </ns0:c>
      <ns0:c r="C569" s="3" t="inlineStr">
        <ns0:is>
          <ns0:t>A</ns0:t>
        </ns0:is>
      </ns0:c>
      <ns0:c r="D569" s="4" t="n">
        <ns0:v>2</ns0:v>
      </ns0:c>
      <ns0:c r="E569" s="4" t="n">
        <ns0:v>1500</ns0:v>
      </ns0:c>
      <ns0:c r="F569" s="6" t="n">
        <ns0:v>0.5</ns0:v>
      </ns0:c>
      <ns0:c r="G569" s="4" t="n">
        <ns0:v>1</ns0:v>
      </ns0:c>
      <ns0:c r="H569" s="7" t="n">
        <ns0:v>10361.22004357298</ns0:v>
      </ns0:c>
      <ns0:c r="I569" s="7" t="n">
        <ns0:v>3866.013071895425</ns0:v>
      </ns0:c>
      <ns0:c r="J569" s="7" t="n">
        <ns0:v>1933.006535947712</ns0:v>
      </ns0:c>
      <ns0:c r="K569" s="7" t="n">
        <ns0:v>13</ns0:v>
      </ns0:c>
      <ns0:c r="L569" s="7" t="n">
        <ns0:v>16</ns0:v>
      </ns0:c>
      <ns0:c r="M569" s="7" t="n">
        <ns0:v>1932.569859129289</ns0:v>
      </ns0:c>
      <ns0:c r="N569" s="7" t="n">
        <ns0:v>76990.16706529757</ns0:v>
      </ns0:c>
      <ns0:c r="O569" s="7" t="n">
        <ns0:v>164657.5681930345</ns0:v>
      </ns0:c>
      <ns0:c r="P569" s="7" t="n">
        <ns0:v>383826.0710123768</ns0:v>
      </ns0:c>
      <ns0:c r="Q569" s="7" t="n">
        <ns0:v>1218500.082289746</ns0:v>
      </ns0:c>
      <ns0:c r="R569" s="7" t="n">
        <ns0:v>4216859.121760538</ns0:v>
      </ns0:c>
    </ns0:row>
    <ns0:row r="570" ht="24" customHeight="1">
      <ns0:c r="A570" s="3" t="inlineStr">
        <ns0:is>
          <ns0:t>セット</ns0:t>
        </ns0:is>
      </ns0:c>
      <ns0:c r="B570" s="3" t="inlineStr">
        <ns0:is>
          <ns0:t>G2二段階</ns0:t>
        </ns0:is>
      </ns0:c>
      <ns0:c r="C570" s="3" t="inlineStr">
        <ns0:is>
          <ns0:t>A</ns0:t>
        </ns0:is>
      </ns0:c>
      <ns0:c r="D570" s="4" t="n">
        <ns0:v>2</ns0:v>
      </ns0:c>
      <ns0:c r="E570" s="4" t="n">
        <ns0:v>1500</ns0:v>
      </ns0:c>
      <ns0:c r="F570" s="6" t="n">
        <ns0:v>0.5</ns0:v>
      </ns0:c>
      <ns0:c r="G570" s="4" t="n">
        <ns0:v>2</ns0:v>
      </ns0:c>
      <ns0:c r="H570" s="7" t="n">
        <ns0:v>10361.22004357298</ns0:v>
      </ns0:c>
      <ns0:c r="I570" s="7" t="n">
        <ns0:v>3866.013071895425</ns0:v>
      </ns0:c>
      <ns0:c r="J570" s="7" t="n">
        <ns0:v>1933.006535947712</ns0:v>
      </ns0:c>
      <ns0:c r="K570" s="18" t="inlineStr">
        <ns0:is>
          <ns0:t>範囲内なし</ns0:t>
        </ns0:is>
      </ns0:c>
      <ns0:c r="L570" s="18" t="inlineStr">
        <ns0:is>
          <ns0:t>範囲内なし</ns0:t>
        </ns0:is>
      </ns0:c>
      <ns0:c r="M570" s="7" t="n">
        <ns0:v>-65393.83908935858</ns0:v>
      </ns0:c>
      <ns0:c r="N570" s="7" t="n">
        <ns0:v>-124989.059780166</ns0:v>
      </ns0:c>
      <ns0:c r="O570" s="7" t="n">
        <ns0:v>-171974.4765494048</ns0:v>
      </ns0:c>
      <ns0:c r="P570" s="7" t="n">
        <ns0:v>-289438.0184725019</ns0:v>
      </ns0:c>
      <ns0:c r="Q570" s="7" t="n">
        <ns0:v>-801292.1861648903</ns0:v>
      </ns0:c>
      <ns0:c r="R570" s="7" t="n">
        <ns0:v>-2515781.77308825</ns0:v>
      </ns0:c>
    </ns0:row>
    <ns0:row r="571" ht="24" customHeight="1">
      <ns0:c r="A571" s="3" t="inlineStr">
        <ns0:is>
          <ns0:t>セット</ns0:t>
        </ns0:is>
      </ns0:c>
      <ns0:c r="B571" s="3" t="inlineStr">
        <ns0:is>
          <ns0:t>G2二段階</ns0:t>
        </ns0:is>
      </ns0:c>
      <ns0:c r="C571" s="3" t="inlineStr">
        <ns0:is>
          <ns0:t>A</ns0:t>
        </ns0:is>
      </ns0:c>
      <ns0:c r="D571" s="4" t="n">
        <ns0:v>2</ns0:v>
      </ns0:c>
      <ns0:c r="E571" s="4" t="n">
        <ns0:v>1500</ns0:v>
      </ns0:c>
      <ns0:c r="F571" s="6" t="n">
        <ns0:v>0.5</ns0:v>
      </ns0:c>
      <ns0:c r="G571" s="4" t="n">
        <ns0:v>3</ns0:v>
      </ns0:c>
      <ns0:c r="H571" s="7" t="n">
        <ns0:v>10361.22004357298</ns0:v>
      </ns0:c>
      <ns0:c r="I571" s="7" t="n">
        <ns0:v>3866.013071895425</ns0:v>
      </ns0:c>
      <ns0:c r="J571" s="7" t="n">
        <ns0:v>1933.006535947712</ns0:v>
      </ns0:c>
      <ns0:c r="K571" s="7" t="n">
        <ns0:v>17</ns0:v>
      </ns0:c>
      <ns0:c r="L571" s="7" t="n">
        <ns0:v>31</ns0:v>
      </ns0:c>
      <ns0:c r="M571" s="7" t="n">
        <ns0:v>-9102.910659732876</ns0:v>
      </ns0:c>
      <ns0:c r="N571" s="7" t="n">
        <ns0:v>43883.7255087111</ns0:v>
      </ns0:c>
      <ns0:c r="O571" s="7" t="n">
        <ns0:v>109480.1655987237</ns0:v>
      </ns0:c>
      <ns0:c r="P571" s="7" t="n">
        <ns0:v>273471.2658237552</ns0:v>
      </ns0:c>
      <ns0:c r="Q571" s="7" t="n">
        <ns0:v>887435.6667238809</ns0:v>
      </ns0:c>
      <ns0:c r="R571" s="7" t="n">
        <ns0:v>3113311.069874322</ns0:v>
      </ns0:c>
    </ns0:row>
    <ns0:row r="572" ht="24" customHeight="1">
      <ns0:c r="A572" s="3" t="inlineStr">
        <ns0:is>
          <ns0:t>セット</ns0:t>
        </ns0:is>
      </ns0:c>
      <ns0:c r="B572" s="3" t="inlineStr">
        <ns0:is>
          <ns0:t>G2二段階</ns0:t>
        </ns0:is>
      </ns0:c>
      <ns0:c r="C572" s="3" t="inlineStr">
        <ns0:is>
          <ns0:t>C</ns0:t>
        </ns0:is>
      </ns0:c>
      <ns0:c r="D572" s="4" t="n">
        <ns0:v>0</ns0:v>
      </ns0:c>
      <ns0:c r="E572" s="4" t="n">
        <ns0:v>500</ns0:v>
      </ns0:c>
      <ns0:c r="F572" s="6" t="n">
        <ns0:v>0.3</ns0:v>
      </ns0:c>
      <ns0:c r="G572" s="4" t="n">
        <ns0:v>0</ns0:v>
      </ns0:c>
      <ns0:c r="H572" s="7" t="n">
        <ns0:v>5770.488110137671</ns0:v>
      </ns0:c>
      <ns0:c r="I572" s="7" t="n">
        <ns0:v>3244.055068836044</ns0:v>
      </ns0:c>
      <ns0:c r="J572" s="7" t="n">
        <ns0:v>973.2165206508133</ns0:v>
      </ns0:c>
      <ns0:c r="K572" s="7" t="n">
        <ns0:v>21</ns0:v>
      </ns0:c>
      <ns0:c r="L572" s="7" t="n">
        <ns0:v>45</ns0:v>
      </ns0:c>
      <ns0:c r="M572" s="7" t="n">
        <ns0:v>-25735.39690072198</ns0:v>
      </ns0:c>
      <ns0:c r="N572" s="7" t="n">
        <ns0:v>25918.55714869749</ns0:v>
      </ns0:c>
      <ns0:c r="O572" s="7" t="n">
        <ns0:v>79538.21833203436</ns0:v>
      </ns0:c>
      <ns0:c r="P572" s="7" t="n">
        <ns0:v>213587.3712903765</ns0:v>
      </ns0:c>
      <ns0:c r="Q572" s="7" t="n">
        <ns0:v>707783.9831237451</ns0:v>
      </ns0:c>
      <ns0:c r="R572" s="7" t="n">
        <ns0:v>2514472.124540534</ns0:v>
      </ns0:c>
    </ns0:row>
    <ns0:row r="573" ht="24" customHeight="1">
      <ns0:c r="A573" s="3" t="inlineStr">
        <ns0:is>
          <ns0:t>セット</ns0:t>
        </ns0:is>
      </ns0:c>
      <ns0:c r="B573" s="3" t="inlineStr">
        <ns0:is>
          <ns0:t>G2二段階</ns0:t>
        </ns0:is>
      </ns0:c>
      <ns0:c r="C573" s="3" t="inlineStr">
        <ns0:is>
          <ns0:t>C</ns0:t>
        </ns0:is>
      </ns0:c>
      <ns0:c r="D573" s="4" t="n">
        <ns0:v>0</ns0:v>
      </ns0:c>
      <ns0:c r="E573" s="4" t="n">
        <ns0:v>500</ns0:v>
      </ns0:c>
      <ns0:c r="F573" s="6" t="n">
        <ns0:v>0.3</ns0:v>
      </ns0:c>
      <ns0:c r="G573" s="4" t="n">
        <ns0:v>1</ns0:v>
      </ns0:c>
      <ns0:c r="H573" s="7" t="n">
        <ns0:v>5770.488110137671</ns0:v>
      </ns0:c>
      <ns0:c r="I573" s="7" t="n">
        <ns0:v>3244.055068836044</ns0:v>
      </ns0:c>
      <ns0:c r="J573" s="7" t="n">
        <ns0:v>973.2165206508133</ns0:v>
      </ns0:c>
      <ns0:c r="K573" s="7" t="n">
        <ns0:v>24</ns0:v>
      </ns0:c>
      <ns0:c r="L573" s="7" t="n">
        <ns0:v>141</ns0:v>
      </ns0:c>
      <ns0:c r="M573" s="7" t="n">
        <ns0:v>-29454.03730669282</ns0:v>
      </ns0:c>
      <ns0:c r="N573" s="7" t="n">
        <ns0:v>14762.63593078496</ns0:v>
      </ns0:c>
      <ns0:c r="O573" s="7" t="n">
        <ns0:v>60945.01630218015</ns0:v>
      </ns0:c>
      <ns0:c r="P573" s="7" t="n">
        <ns0:v>176400.9672306681</ns0:v>
      </ns0:c>
      <ns0:c r="Q573" s="7" t="n">
        <ns0:v>596224.7709446198</ns0:v>
      </ns0:c>
      <ns0:c r="R573" s="7" t="n">
        <ns0:v>2142608.08394345</ns0:v>
      </ns0:c>
    </ns0:row>
    <ns0:row r="574" ht="24" customHeight="1">
      <ns0:c r="A574" s="3" t="inlineStr">
        <ns0:is>
          <ns0:t>セット</ns0:t>
        </ns0:is>
      </ns0:c>
      <ns0:c r="B574" s="3" t="inlineStr">
        <ns0:is>
          <ns0:t>G2二段階</ns0:t>
        </ns0:is>
      </ns0:c>
      <ns0:c r="C574" s="3" t="inlineStr">
        <ns0:is>
          <ns0:t>C</ns0:t>
        </ns0:is>
      </ns0:c>
      <ns0:c r="D574" s="4" t="n">
        <ns0:v>0</ns0:v>
      </ns0:c>
      <ns0:c r="E574" s="4" t="n">
        <ns0:v>500</ns0:v>
      </ns0:c>
      <ns0:c r="F574" s="6" t="n">
        <ns0:v>0.3</ns0:v>
      </ns0:c>
      <ns0:c r="G574" s="4" t="n">
        <ns0:v>2</ns0:v>
      </ns0:c>
      <ns0:c r="H574" s="7" t="n">
        <ns0:v>5770.488110137671</ns0:v>
      </ns0:c>
      <ns0:c r="I574" s="7" t="n">
        <ns0:v>3244.055068836044</ns0:v>
      </ns0:c>
      <ns0:c r="J574" s="7" t="n">
        <ns0:v>973.2165206508133</ns0:v>
      </ns0:c>
      <ns0:c r="K574" s="7" t="n">
        <ns0:v>244</ns0:v>
      </ns0:c>
      <ns0:c r="L574" s="18" t="inlineStr">
        <ns0:is>
          <ns0:t>範囲内なし</ns0:t>
        </ns0:is>
      </ns0:c>
      <ns0:c r="M574" s="7" t="n">
        <ns0:v>-48576.84587319926</ns0:v>
      </ns0:c>
      <ns0:c r="N574" s="7" t="n">
        <ns0:v>-42605.78976873435</ns0:v>
      </ns0:c>
      <ns0:c r="O574" s="7" t="n">
        <ns0:v>-34669.02653035207</ns0:v>
      </ns0:c>
      <ns0:c r="P574" s="7" t="n">
        <ns0:v>-14827.11843439634</ns0:v>
      </ns0:c>
      <ns0:c r="Q574" s="7" t="n">
        <ns0:v>22540.51394942647</ns0:v>
      </ns0:c>
      <ns0:c r="R574" s="7" t="n">
        <ns0:v>230327.2272928057</ns0:v>
      </ns0:c>
    </ns0:row>
    <ns0:row r="575" ht="24" customHeight="1">
      <ns0:c r="A575" s="3" t="inlineStr">
        <ns0:is>
          <ns0:t>セット</ns0:t>
        </ns0:is>
      </ns0:c>
      <ns0:c r="B575" s="3" t="inlineStr">
        <ns0:is>
          <ns0:t>G2二段階</ns0:t>
        </ns0:is>
      </ns0:c>
      <ns0:c r="C575" s="3" t="inlineStr">
        <ns0:is>
          <ns0:t>C</ns0:t>
        </ns0:is>
      </ns0:c>
      <ns0:c r="D575" s="4" t="n">
        <ns0:v>0</ns0:v>
      </ns0:c>
      <ns0:c r="E575" s="4" t="n">
        <ns0:v>500</ns0:v>
      </ns0:c>
      <ns0:c r="F575" s="6" t="n">
        <ns0:v>0.3</ns0:v>
      </ns0:c>
      <ns0:c r="G575" s="4" t="n">
        <ns0:v>3</ns0:v>
      </ns0:c>
      <ns0:c r="H575" s="7" t="n">
        <ns0:v>5770.488110137671</ns0:v>
      </ns0:c>
      <ns0:c r="I575" s="7" t="n">
        <ns0:v>3244.055068836044</ns0:v>
      </ns0:c>
      <ns0:c r="J575" s="7" t="n">
        <ns0:v>973.2165206508133</ns0:v>
      </ns0:c>
      <ns0:c r="K575" s="7" t="n">
        <ns0:v>38</ns0:v>
      </ns0:c>
      <ns0:c r="L575" s="18" t="inlineStr">
        <ns0:is>
          <ns0:t>範囲内なし</ns0:t>
        </ns0:is>
      </ns0:c>
      <ns0:c r="M575" s="7" t="n">
        <ns0:v>-38023.14420726351</ns0:v>
      </ns0:c>
      <ns0:c r="N575" s="7" t="n">
        <ns0:v>-10944.68477092712</ns0:v>
      </ns0:c>
      <ns0:c r="O575" s="7" t="n">
        <ns0:v>18099.48179932669</ns0:v>
      </ns0:c>
      <ns0:c r="P575" s="7" t="n">
        <ns0:v>90709.89822496119</ns0:v>
      </ns0:c>
      <ns0:c r="Q575" s="7" t="n">
        <ns0:v>339151.5639274989</ns0:v>
      </ns0:c>
      <ns0:c r="R575" s="7" t="n">
        <ns0:v>1285697.393886381</ns0:v>
      </ns0:c>
    </ns0:row>
    <ns0:row r="576" ht="24" customHeight="1">
      <ns0:c r="A576" s="3" t="inlineStr">
        <ns0:is>
          <ns0:t>セット</ns0:t>
        </ns0:is>
      </ns0:c>
      <ns0:c r="B576" s="3" t="inlineStr">
        <ns0:is>
          <ns0:t>G2二段階</ns0:t>
        </ns0:is>
      </ns0:c>
      <ns0:c r="C576" s="3" t="inlineStr">
        <ns0:is>
          <ns0:t>C</ns0:t>
        </ns0:is>
      </ns0:c>
      <ns0:c r="D576" s="4" t="n">
        <ns0:v>0</ns0:v>
      </ns0:c>
      <ns0:c r="E576" s="4" t="n">
        <ns0:v>500</ns0:v>
      </ns0:c>
      <ns0:c r="F576" s="6" t="n">
        <ns0:v>0.4</ns0:v>
      </ns0:c>
      <ns0:c r="G576" s="4" t="n">
        <ns0:v>0</ns0:v>
      </ns0:c>
      <ns0:c r="H576" s="7" t="n">
        <ns0:v>5770.488110137671</ns0:v>
      </ns0:c>
      <ns0:c r="I576" s="7" t="n">
        <ns0:v>3244.055068836044</ns0:v>
      </ns0:c>
      <ns0:c r="J576" s="7" t="n">
        <ns0:v>1297.622027534418</ns0:v>
      </ns0:c>
      <ns0:c r="K576" s="7" t="n">
        <ns0:v>24</ns0:v>
      </ns0:c>
      <ns0:c r="L576" s="7" t="n">
        <ns0:v>51</ns0:v>
      </ns0:c>
      <ns0:c r="M576" s="7" t="n">
        <ns0:v>-28979.45196955802</ns0:v>
      </ns0:c>
      <ns0:c r="N576" s="7" t="n">
        <ns0:v>16186.39194218936</ns0:v>
      </ns0:c>
      <ns0:c r="O576" s="7" t="n">
        <ns0:v>63317.94298785413</ns0:v>
      </ns0:c>
      <ns0:c r="P576" s="7" t="n">
        <ns0:v>181146.8206020161</ns0:v>
      </ns0:c>
      <ns0:c r="Q576" s="7" t="n">
        <ns0:v>610462.3310586635</ns0:v>
      </ns0:c>
      <ns0:c r="R576" s="7" t="n">
        <ns0:v>2190066.61765693</ns0:v>
      </ns0:c>
    </ns0:row>
    <ns0:row r="577" ht="24" customHeight="1">
      <ns0:c r="A577" s="3" t="inlineStr">
        <ns0:is>
          <ns0:t>セット</ns0:t>
        </ns0:is>
      </ns0:c>
      <ns0:c r="B577" s="3" t="inlineStr">
        <ns0:is>
          <ns0:t>G2二段階</ns0:t>
        </ns0:is>
      </ns0:c>
      <ns0:c r="C577" s="3" t="inlineStr">
        <ns0:is>
          <ns0:t>C</ns0:t>
        </ns0:is>
      </ns0:c>
      <ns0:c r="D577" s="4" t="n">
        <ns0:v>0</ns0:v>
      </ns0:c>
      <ns0:c r="E577" s="4" t="n">
        <ns0:v>500</ns0:v>
      </ns0:c>
      <ns0:c r="F577" s="6" t="n">
        <ns0:v>0.4</ns0:v>
      </ns0:c>
      <ns0:c r="G577" s="4" t="n">
        <ns0:v>1</ns0:v>
      </ns0:c>
      <ns0:c r="H577" s="7" t="n">
        <ns0:v>5770.488110137671</ns0:v>
      </ns0:c>
      <ns0:c r="I577" s="7" t="n">
        <ns0:v>3244.055068836044</ns0:v>
      </ns0:c>
      <ns0:c r="J577" s="7" t="n">
        <ns0:v>1297.622027534418</ns0:v>
      </ns0:c>
      <ns0:c r="K577" s="7" t="n">
        <ns0:v>28</ns0:v>
      </ns0:c>
      <ns0:c r="L577" s="7" t="n">
        <ns0:v>181</ns0:v>
      </ns0:c>
      <ns0:c r="M577" s="7" t="n">
        <ns0:v>-32698.09237552886</ns0:v>
      </ns0:c>
      <ns0:c r="N577" s="7" t="n">
        <ns0:v>5030.470724276835</ns0:v>
      </ns0:c>
      <ns0:c r="O577" s="7" t="n">
        <ns0:v>44724.74095799993</ns0:v>
      </ns0:c>
      <ns0:c r="P577" s="7" t="n">
        <ns0:v>143960.4165423076</ns0:v>
      </ns0:c>
      <ns0:c r="Q577" s="7" t="n">
        <ns0:v>498903.1188795383</ns0:v>
      </ns0:c>
      <ns0:c r="R577" s="7" t="n">
        <ns0:v>1818202.577059846</ns0:v>
      </ns0:c>
    </ns0:row>
    <ns0:row r="578" ht="24" customHeight="1">
      <ns0:c r="A578" s="3" t="inlineStr">
        <ns0:is>
          <ns0:t>セット</ns0:t>
        </ns0:is>
      </ns0:c>
      <ns0:c r="B578" s="3" t="inlineStr">
        <ns0:is>
          <ns0:t>G2二段階</ns0:t>
        </ns0:is>
      </ns0:c>
      <ns0:c r="C578" s="3" t="inlineStr">
        <ns0:is>
          <ns0:t>C</ns0:t>
        </ns0:is>
      </ns0:c>
      <ns0:c r="D578" s="4" t="n">
        <ns0:v>0</ns0:v>
      </ns0:c>
      <ns0:c r="E578" s="4" t="n">
        <ns0:v>500</ns0:v>
      </ns0:c>
      <ns0:c r="F578" s="6" t="n">
        <ns0:v>0.4</ns0:v>
      </ns0:c>
      <ns0:c r="G578" s="4" t="n">
        <ns0:v>2</ns0:v>
      </ns0:c>
      <ns0:c r="H578" s="7" t="n">
        <ns0:v>5770.488110137671</ns0:v>
      </ns0:c>
      <ns0:c r="I578" s="7" t="n">
        <ns0:v>3244.055068836044</ns0:v>
      </ns0:c>
      <ns0:c r="J578" s="7" t="n">
        <ns0:v>1297.622027534418</ns0:v>
      </ns0:c>
      <ns0:c r="K578" s="18" t="inlineStr">
        <ns0:is>
          <ns0:t>範囲内なし</ns0:t>
        </ns0:is>
      </ns0:c>
      <ns0:c r="L578" s="18" t="inlineStr">
        <ns0:is>
          <ns0:t>範囲内なし</ns0:t>
        </ns0:is>
      </ns0:c>
      <ns0:c r="M578" s="7" t="n">
        <ns0:v>-51820.90094203531</ns0:v>
      </ns0:c>
      <ns0:c r="N578" s="7" t="n">
        <ns0:v>-52337.95497524248</ns0:v>
      </ns0:c>
      <ns0:c r="O578" s="7" t="n">
        <ns0:v>-50889.30187453228</ns0:v>
      </ns0:c>
      <ns0:c r="P578" s="7" t="n">
        <ns0:v>-47267.66912275675</ns0:v>
      </ns0:c>
      <ns0:c r="Q578" s="7" t="n">
        <ns0:v>-74781.13811565499</ns0:v>
      </ns0:c>
      <ns0:c r="R578" s="7" t="n">
        <ns0:v>-94078.27959079877</ns0:v>
      </ns0:c>
    </ns0:row>
    <ns0:row r="579" ht="24" customHeight="1">
      <ns0:c r="A579" s="3" t="inlineStr">
        <ns0:is>
          <ns0:t>セット</ns0:t>
        </ns0:is>
      </ns0:c>
      <ns0:c r="B579" s="3" t="inlineStr">
        <ns0:is>
          <ns0:t>G2二段階</ns0:t>
        </ns0:is>
      </ns0:c>
      <ns0:c r="C579" s="3" t="inlineStr">
        <ns0:is>
          <ns0:t>C</ns0:t>
        </ns0:is>
      </ns0:c>
      <ns0:c r="D579" s="4" t="n">
        <ns0:v>0</ns0:v>
      </ns0:c>
      <ns0:c r="E579" s="4" t="n">
        <ns0:v>500</ns0:v>
      </ns0:c>
      <ns0:c r="F579" s="6" t="n">
        <ns0:v>0.4</ns0:v>
      </ns0:c>
      <ns0:c r="G579" s="4" t="n">
        <ns0:v>3</ns0:v>
      </ns0:c>
      <ns0:c r="H579" s="7" t="n">
        <ns0:v>5770.488110137671</ns0:v>
      </ns0:c>
      <ns0:c r="I579" s="7" t="n">
        <ns0:v>3244.055068836044</ns0:v>
      </ns0:c>
      <ns0:c r="J579" s="7" t="n">
        <ns0:v>1297.622027534418</ns0:v>
      </ns0:c>
      <ns0:c r="K579" s="7" t="n">
        <ns0:v>49</ns0:v>
      </ns0:c>
      <ns0:c r="L579" s="18" t="inlineStr">
        <ns0:is>
          <ns0:t>範囲内なし</ns0:t>
        </ns0:is>
      </ns0:c>
      <ns0:c r="M579" s="7" t="n">
        <ns0:v>-41267.19927609956</ns0:v>
      </ns0:c>
      <ns0:c r="N579" s="7" t="n">
        <ns0:v>-20676.84997743525</ns0:v>
      </ns0:c>
      <ns0:c r="O579" s="7" t="n">
        <ns0:v>1879.206455146472</ns0:v>
      </ns0:c>
      <ns0:c r="P579" s="7" t="n">
        <ns0:v>58269.34753660075</ns0:v>
      </ns0:c>
      <ns0:c r="Q579" s="7" t="n">
        <ns0:v>241829.9118624175</ns0:v>
      </ns0:c>
      <ns0:c r="R579" s="7" t="n">
        <ns0:v>961291.8870027761</ns0:v>
      </ns0:c>
    </ns0:row>
    <ns0:row r="580" ht="24" customHeight="1">
      <ns0:c r="A580" s="3" t="inlineStr">
        <ns0:is>
          <ns0:t>セット</ns0:t>
        </ns0:is>
      </ns0:c>
      <ns0:c r="B580" s="3" t="inlineStr">
        <ns0:is>
          <ns0:t>G2二段階</ns0:t>
        </ns0:is>
      </ns0:c>
      <ns0:c r="C580" s="3" t="inlineStr">
        <ns0:is>
          <ns0:t>C</ns0:t>
        </ns0:is>
      </ns0:c>
      <ns0:c r="D580" s="4" t="n">
        <ns0:v>0</ns0:v>
      </ns0:c>
      <ns0:c r="E580" s="4" t="n">
        <ns0:v>500</ns0:v>
      </ns0:c>
      <ns0:c r="F580" s="6" t="n">
        <ns0:v>0.5</ns0:v>
      </ns0:c>
      <ns0:c r="G580" s="4" t="n">
        <ns0:v>0</ns0:v>
      </ns0:c>
      <ns0:c r="H580" s="7" t="n">
        <ns0:v>5770.488110137671</ns0:v>
      </ns0:c>
      <ns0:c r="I580" s="7" t="n">
        <ns0:v>3244.055068836044</ns0:v>
      </ns0:c>
      <ns0:c r="J580" s="7" t="n">
        <ns0:v>1622.027534418022</ns0:v>
      </ns0:c>
      <ns0:c r="K580" s="7" t="n">
        <ns0:v>27</ns0:v>
      </ns0:c>
      <ns0:c r="L580" s="7" t="n">
        <ns0:v>59</ns0:v>
      </ns0:c>
      <ns0:c r="M580" s="7" t="n">
        <ns0:v>-32223.50703839407</ns0:v>
      </ns0:c>
      <ns0:c r="N580" s="7" t="n">
        <ns0:v>6454.226735681219</ns0:v>
      </ns0:c>
      <ns0:c r="O580" s="7" t="n">
        <ns0:v>47097.66764367391</ns0:v>
      </ns0:c>
      <ns0:c r="P580" s="7" t="n">
        <ns0:v>148706.2699136556</ns0:v>
      </ns0:c>
      <ns0:c r="Q580" s="7" t="n">
        <ns0:v>513140.6789935824</ns0:v>
      </ns0:c>
      <ns0:c r="R580" s="7" t="n">
        <ns0:v>1865661.110773325</ns0:v>
      </ns0:c>
    </ns0:row>
    <ns0:row r="581" ht="24" customHeight="1">
      <ns0:c r="A581" s="3" t="inlineStr">
        <ns0:is>
          <ns0:t>セット</ns0:t>
        </ns0:is>
      </ns0:c>
      <ns0:c r="B581" s="3" t="inlineStr">
        <ns0:is>
          <ns0:t>G2二段階</ns0:t>
        </ns0:is>
      </ns0:c>
      <ns0:c r="C581" s="3" t="inlineStr">
        <ns0:is>
          <ns0:t>C</ns0:t>
        </ns0:is>
      </ns0:c>
      <ns0:c r="D581" s="4" t="n">
        <ns0:v>0</ns0:v>
      </ns0:c>
      <ns0:c r="E581" s="4" t="n">
        <ns0:v>500</ns0:v>
      </ns0:c>
      <ns0:c r="F581" s="6" t="n">
        <ns0:v>0.5</ns0:v>
      </ns0:c>
      <ns0:c r="G581" s="4" t="n">
        <ns0:v>1</ns0:v>
      </ns0:c>
      <ns0:c r="H581" s="7" t="n">
        <ns0:v>5770.488110137671</ns0:v>
      </ns0:c>
      <ns0:c r="I581" s="7" t="n">
        <ns0:v>3244.055068836044</ns0:v>
      </ns0:c>
      <ns0:c r="J581" s="7" t="n">
        <ns0:v>1622.027534418022</ns0:v>
      </ns0:c>
      <ns0:c r="K581" s="7" t="n">
        <ns0:v>33</ns0:v>
      </ns0:c>
      <ns0:c r="L581" s="7" t="n">
        <ns0:v>254</ns0:v>
      </ns0:c>
      <ns0:c r="M581" s="7" t="n">
        <ns0:v>-35942.14744436491</ns0:v>
      </ns0:c>
      <ns0:c r="N581" s="7" t="n">
        <ns0:v>-4701.694482231309</ns0:v>
      </ns0:c>
      <ns0:c r="O581" s="7" t="n">
        <ns0:v>28504.4656138197</ns0:v>
      </ns0:c>
      <ns0:c r="P581" s="7" t="n">
        <ns0:v>111519.8658539472</ns0:v>
      </ns0:c>
      <ns0:c r="Q581" s="7" t="n">
        <ns0:v>401581.4668144571</ns0:v>
      </ns0:c>
      <ns0:c r="R581" s="7" t="n">
        <ns0:v>1493797.070176241</ns0:v>
      </ns0:c>
    </ns0:row>
    <ns0:row r="582" ht="24" customHeight="1">
      <ns0:c r="A582" s="3" t="inlineStr">
        <ns0:is>
          <ns0:t>セット</ns0:t>
        </ns0:is>
      </ns0:c>
      <ns0:c r="B582" s="3" t="inlineStr">
        <ns0:is>
          <ns0:t>G2二段階</ns0:t>
        </ns0:is>
      </ns0:c>
      <ns0:c r="C582" s="3" t="inlineStr">
        <ns0:is>
          <ns0:t>C</ns0:t>
        </ns0:is>
      </ns0:c>
      <ns0:c r="D582" s="4" t="n">
        <ns0:v>0</ns0:v>
      </ns0:c>
      <ns0:c r="E582" s="4" t="n">
        <ns0:v>500</ns0:v>
      </ns0:c>
      <ns0:c r="F582" s="6" t="n">
        <ns0:v>0.5</ns0:v>
      </ns0:c>
      <ns0:c r="G582" s="4" t="n">
        <ns0:v>2</ns0:v>
      </ns0:c>
      <ns0:c r="H582" s="7" t="n">
        <ns0:v>5770.488110137671</ns0:v>
      </ns0:c>
      <ns0:c r="I582" s="7" t="n">
        <ns0:v>3244.055068836044</ns0:v>
      </ns0:c>
      <ns0:c r="J582" s="7" t="n">
        <ns0:v>1622.027534418022</ns0:v>
      </ns0:c>
      <ns0:c r="K582" s="18" t="inlineStr">
        <ns0:is>
          <ns0:t>範囲内なし</ns0:t>
        </ns0:is>
      </ns0:c>
      <ns0:c r="L582" s="18" t="inlineStr">
        <ns0:is>
          <ns0:t>範囲内なし</ns0:t>
        </ns0:is>
      </ns0:c>
      <ns0:c r="M582" s="7" t="n">
        <ns0:v>-55064.95601087135</ns0:v>
      </ns0:c>
      <ns0:c r="N582" s="7" t="n">
        <ns0:v>-62070.12018175062</ns0:v>
      </ns0:c>
      <ns0:c r="O582" s="7" t="n">
        <ns0:v>-67109.57721871253</ns0:v>
      </ns0:c>
      <ns0:c r="P582" s="7" t="n">
        <ns0:v>-79708.21981111725</ns0:v>
      </ns0:c>
      <ns0:c r="Q582" s="7" t="n">
        <ns0:v>-172102.7901807362</ns0:v>
      </ns0:c>
      <ns0:c r="R582" s="7" t="n">
        <ns0:v>-418483.786474403</ns0:v>
      </ns0:c>
    </ns0:row>
    <ns0:row r="583" ht="24" customHeight="1">
      <ns0:c r="A583" s="3" t="inlineStr">
        <ns0:is>
          <ns0:t>セット</ns0:t>
        </ns0:is>
      </ns0:c>
      <ns0:c r="B583" s="3" t="inlineStr">
        <ns0:is>
          <ns0:t>G2二段階</ns0:t>
        </ns0:is>
      </ns0:c>
      <ns0:c r="C583" s="3" t="inlineStr">
        <ns0:is>
          <ns0:t>C</ns0:t>
        </ns0:is>
      </ns0:c>
      <ns0:c r="D583" s="4" t="n">
        <ns0:v>0</ns0:v>
      </ns0:c>
      <ns0:c r="E583" s="4" t="n">
        <ns0:v>500</ns0:v>
      </ns0:c>
      <ns0:c r="F583" s="6" t="n">
        <ns0:v>0.5</ns0:v>
      </ns0:c>
      <ns0:c r="G583" s="4" t="n">
        <ns0:v>3</ns0:v>
      </ns0:c>
      <ns0:c r="H583" s="7" t="n">
        <ns0:v>5770.488110137671</ns0:v>
      </ns0:c>
      <ns0:c r="I583" s="7" t="n">
        <ns0:v>3244.055068836044</ns0:v>
      </ns0:c>
      <ns0:c r="J583" s="7" t="n">
        <ns0:v>1622.027534418022</ns0:v>
      </ns0:c>
      <ns0:c r="K583" s="7" t="n">
        <ns0:v>121</ns0:v>
      </ns0:c>
      <ns0:c r="L583" s="18" t="inlineStr">
        <ns0:is>
          <ns0:t>範囲内なし</ns0:t>
        </ns0:is>
      </ns0:c>
      <ns0:c r="M583" s="7" t="n">
        <ns0:v>-44511.2543449356</ns0:v>
      </ns0:c>
      <ns0:c r="N583" s="7" t="n">
        <ns0:v>-30409.01518394339</ns0:v>
      </ns0:c>
      <ns0:c r="O583" s="7" t="n">
        <ns0:v>-14341.06888903376</ns0:v>
      </ns0:c>
      <ns0:c r="P583" s="7" t="n">
        <ns0:v>25828.79684824028</ns0:v>
      </ns0:c>
      <ns0:c r="Q583" s="7" t="n">
        <ns0:v>144508.2597973363</ns0:v>
      </ns0:c>
      <ns0:c r="R583" s="7" t="n">
        <ns0:v>636886.3801191718</ns0:v>
      </ns0:c>
    </ns0:row>
    <ns0:row r="584" ht="24" customHeight="1">
      <ns0:c r="A584" s="3" t="inlineStr">
        <ns0:is>
          <ns0:t>セット</ns0:t>
        </ns0:is>
      </ns0:c>
      <ns0:c r="B584" s="3" t="inlineStr">
        <ns0:is>
          <ns0:t>G2二段階</ns0:t>
        </ns0:is>
      </ns0:c>
      <ns0:c r="C584" s="3" t="inlineStr">
        <ns0:is>
          <ns0:t>C</ns0:t>
        </ns0:is>
      </ns0:c>
      <ns0:c r="D584" s="4" t="n">
        <ns0:v>0</ns0:v>
      </ns0:c>
      <ns0:c r="E584" s="4" t="n">
        <ns0:v>1000</ns0:v>
      </ns0:c>
      <ns0:c r="F584" s="6" t="n">
        <ns0:v>0.3</ns0:v>
      </ns0:c>
      <ns0:c r="G584" s="4" t="n">
        <ns0:v>0</ns0:v>
      </ns0:c>
      <ns0:c r="H584" s="7" t="n">
        <ns0:v>5270.488110137671</ns0:v>
      </ns0:c>
      <ns0:c r="I584" s="7" t="n">
        <ns0:v>2744.055068836045</ns0:v>
      </ns0:c>
      <ns0:c r="J584" s="7" t="n">
        <ns0:v>823.2165206508134</ns0:v>
      </ns0:c>
      <ns0:c r="K584" s="7" t="n">
        <ns0:v>24</ns0:v>
      </ns0:c>
      <ns0:c r="L584" s="7" t="n">
        <ns0:v>51</ns0:v>
      </ns0:c>
      <ns0:c r="M584" s="7" t="n">
        <ns0:v>-29055.39690072197</ns0:v>
      </ns0:c>
      <ns0:c r="N584" s="7" t="n">
        <ns0:v>15958.5571486975</ns0:v>
      </ns0:c>
      <ns0:c r="O584" s="7" t="n">
        <ns0:v>62938.21833203435</ns0:v>
      </ns0:c>
      <ns0:c r="P584" s="7" t="n">
        <ns0:v>180387.3712903765</ns0:v>
      </ns0:c>
      <ns0:c r="Q584" s="7" t="n">
        <ns0:v>608183.9831237451</ns0:v>
      </ns0:c>
      <ns0:c r="R584" s="7" t="n">
        <ns0:v>2182472.124540536</ns0:v>
      </ns0:c>
    </ns0:row>
    <ns0:row r="585" ht="24" customHeight="1">
      <ns0:c r="A585" s="3" t="inlineStr">
        <ns0:is>
          <ns0:t>セット</ns0:t>
        </ns0:is>
      </ns0:c>
      <ns0:c r="B585" s="3" t="inlineStr">
        <ns0:is>
          <ns0:t>G2二段階</ns0:t>
        </ns0:is>
      </ns0:c>
      <ns0:c r="C585" s="3" t="inlineStr">
        <ns0:is>
          <ns0:t>C</ns0:t>
        </ns0:is>
      </ns0:c>
      <ns0:c r="D585" s="4" t="n">
        <ns0:v>0</ns0:v>
      </ns0:c>
      <ns0:c r="E585" s="4" t="n">
        <ns0:v>1000</ns0:v>
      </ns0:c>
      <ns0:c r="F585" s="6" t="n">
        <ns0:v>0.3</ns0:v>
      </ns0:c>
      <ns0:c r="G585" s="4" t="n">
        <ns0:v>1</ns0:v>
      </ns0:c>
      <ns0:c r="H585" s="7" t="n">
        <ns0:v>5270.488110137671</ns0:v>
      </ns0:c>
      <ns0:c r="I585" s="7" t="n">
        <ns0:v>2744.055068836045</ns0:v>
      </ns0:c>
      <ns0:c r="J585" s="7" t="n">
        <ns0:v>823.2165206508134</ns0:v>
      </ns0:c>
      <ns0:c r="K585" s="7" t="n">
        <ns0:v>28</ns0:v>
      </ns0:c>
      <ns0:c r="L585" s="7" t="n">
        <ns0:v>183</ns0:v>
      </ns0:c>
      <ns0:c r="M585" s="7" t="n">
        <ns0:v>-32774.03730669282</ns0:v>
      </ns0:c>
      <ns0:c r="N585" s="7" t="n">
        <ns0:v>4802.635930784974</ns0:v>
      </ns0:c>
      <ns0:c r="O585" s="7" t="n">
        <ns0:v>44345.01630218014</ns0:v>
      </ns0:c>
      <ns0:c r="P585" s="7" t="n">
        <ns0:v>143200.9672306681</ns0:v>
      </ns0:c>
      <ns0:c r="Q585" s="7" t="n">
        <ns0:v>496624.7709446198</ns0:v>
      </ns0:c>
      <ns0:c r="R585" s="7" t="n">
        <ns0:v>1810608.083943452</ns0:v>
      </ns0:c>
    </ns0:row>
    <ns0:row r="586" ht="24" customHeight="1">
      <ns0:c r="A586" s="3" t="inlineStr">
        <ns0:is>
          <ns0:t>セット</ns0:t>
        </ns0:is>
      </ns0:c>
      <ns0:c r="B586" s="3" t="inlineStr">
        <ns0:is>
          <ns0:t>G2二段階</ns0:t>
        </ns0:is>
      </ns0:c>
      <ns0:c r="C586" s="3" t="inlineStr">
        <ns0:is>
          <ns0:t>C</ns0:t>
        </ns0:is>
      </ns0:c>
      <ns0:c r="D586" s="4" t="n">
        <ns0:v>0</ns0:v>
      </ns0:c>
      <ns0:c r="E586" s="4" t="n">
        <ns0:v>1000</ns0:v>
      </ns0:c>
      <ns0:c r="F586" s="6" t="n">
        <ns0:v>0.3</ns0:v>
      </ns0:c>
      <ns0:c r="G586" s="4" t="n">
        <ns0:v>2</ns0:v>
      </ns0:c>
      <ns0:c r="H586" s="7" t="n">
        <ns0:v>5270.488110137671</ns0:v>
      </ns0:c>
      <ns0:c r="I586" s="7" t="n">
        <ns0:v>2744.055068836045</ns0:v>
      </ns0:c>
      <ns0:c r="J586" s="7" t="n">
        <ns0:v>823.2165206508134</ns0:v>
      </ns0:c>
      <ns0:c r="K586" s="18" t="inlineStr">
        <ns0:is>
          <ns0:t>範囲内なし</ns0:t>
        </ns0:is>
      </ns0:c>
      <ns0:c r="L586" s="18" t="inlineStr">
        <ns0:is>
          <ns0:t>範囲内なし</ns0:t>
        </ns0:is>
      </ns0:c>
      <ns0:c r="M586" s="7" t="n">
        <ns0:v>-51896.84587319926</ns0:v>
      </ns0:c>
      <ns0:c r="N586" s="7" t="n">
        <ns0:v>-52565.78976873435</ns0:v>
      </ns0:c>
      <ns0:c r="O586" s="7" t="n">
        <ns0:v>-51269.02653035207</ns0:v>
      </ns0:c>
      <ns0:c r="P586" s="7" t="n">
        <ns0:v>-48027.11843439634</ns0:v>
      </ns0:c>
      <ns0:c r="Q586" s="7" t="n">
        <ns0:v>-77059.48605057347</ns0:v>
      </ns0:c>
      <ns0:c r="R586" s="7" t="n">
        <ns0:v>-101672.7727071929</ns0:v>
      </ns0:c>
    </ns0:row>
    <ns0:row r="587" ht="24" customHeight="1">
      <ns0:c r="A587" s="3" t="inlineStr">
        <ns0:is>
          <ns0:t>セット</ns0:t>
        </ns0:is>
      </ns0:c>
      <ns0:c r="B587" s="3" t="inlineStr">
        <ns0:is>
          <ns0:t>G2二段階</ns0:t>
        </ns0:is>
      </ns0:c>
      <ns0:c r="C587" s="3" t="inlineStr">
        <ns0:is>
          <ns0:t>C</ns0:t>
        </ns0:is>
      </ns0:c>
      <ns0:c r="D587" s="4" t="n">
        <ns0:v>0</ns0:v>
      </ns0:c>
      <ns0:c r="E587" s="4" t="n">
        <ns0:v>1000</ns0:v>
      </ns0:c>
      <ns0:c r="F587" s="6" t="n">
        <ns0:v>0.3</ns0:v>
      </ns0:c>
      <ns0:c r="G587" s="4" t="n">
        <ns0:v>3</ns0:v>
      </ns0:c>
      <ns0:c r="H587" s="7" t="n">
        <ns0:v>5270.488110137671</ns0:v>
      </ns0:c>
      <ns0:c r="I587" s="7" t="n">
        <ns0:v>2744.055068836045</ns0:v>
      </ns0:c>
      <ns0:c r="J587" s="7" t="n">
        <ns0:v>823.2165206508134</ns0:v>
      </ns0:c>
      <ns0:c r="K587" s="7" t="n">
        <ns0:v>49</ns0:v>
      </ns0:c>
      <ns0:c r="L587" s="18" t="inlineStr">
        <ns0:is>
          <ns0:t>範囲内なし</ns0:t>
        </ns0:is>
      </ns0:c>
      <ns0:c r="M587" s="7" t="n">
        <ns0:v>-41343.14420726351</ns0:v>
      </ns0:c>
      <ns0:c r="N587" s="7" t="n">
        <ns0:v>-20904.68477092711</ns0:v>
      </ns0:c>
      <ns0:c r="O587" s="7" t="n">
        <ns0:v>1499.481799326684</ns0:v>
      </ns0:c>
      <ns0:c r="P587" s="7" t="n">
        <ns0:v>57509.89822496116</ns0:v>
      </ns0:c>
      <ns0:c r="Q587" s="7" t="n">
        <ns0:v>239551.563927499</ns0:v>
      </ns0:c>
      <ns0:c r="R587" s="7" t="n">
        <ns0:v>953697.393886382</ns0:v>
      </ns0:c>
    </ns0:row>
    <ns0:row r="588" ht="24" customHeight="1">
      <ns0:c r="A588" s="3" t="inlineStr">
        <ns0:is>
          <ns0:t>セット</ns0:t>
        </ns0:is>
      </ns0:c>
      <ns0:c r="B588" s="3" t="inlineStr">
        <ns0:is>
          <ns0:t>G2二段階</ns0:t>
        </ns0:is>
      </ns0:c>
      <ns0:c r="C588" s="3" t="inlineStr">
        <ns0:is>
          <ns0:t>C</ns0:t>
        </ns0:is>
      </ns0:c>
      <ns0:c r="D588" s="4" t="n">
        <ns0:v>0</ns0:v>
      </ns0:c>
      <ns0:c r="E588" s="4" t="n">
        <ns0:v>1000</ns0:v>
      </ns0:c>
      <ns0:c r="F588" s="6" t="n">
        <ns0:v>0.4</ns0:v>
      </ns0:c>
      <ns0:c r="G588" s="4" t="n">
        <ns0:v>0</ns0:v>
      </ns0:c>
      <ns0:c r="H588" s="7" t="n">
        <ns0:v>5270.488110137671</ns0:v>
      </ns0:c>
      <ns0:c r="I588" s="7" t="n">
        <ns0:v>2744.055068836045</ns0:v>
      </ns0:c>
      <ns0:c r="J588" s="7" t="n">
        <ns0:v>1097.622027534418</ns0:v>
      </ns0:c>
      <ns0:c r="K588" s="7" t="n">
        <ns0:v>27</ns0:v>
      </ns0:c>
      <ns0:c r="L588" s="7" t="n">
        <ns0:v>57</ns0:v>
      </ns0:c>
      <ns0:c r="M588" s="7" t="n">
        <ns0:v>-31799.45196955802</ns0:v>
      </ns0:c>
      <ns0:c r="N588" s="7" t="n">
        <ns0:v>7726.391942189355</ns0:v>
      </ns0:c>
      <ns0:c r="O588" s="7" t="n">
        <ns0:v>49217.9429878541</ns0:v>
      </ns0:c>
      <ns0:c r="P588" s="7" t="n">
        <ns0:v>152946.820602016</ns0:v>
      </ns0:c>
      <ns0:c r="Q588" s="7" t="n">
        <ns0:v>525862.3310586637</ns0:v>
      </ns0:c>
      <ns0:c r="R588" s="7" t="n">
        <ns0:v>1908066.617656931</ns0:v>
      </ns0:c>
    </ns0:row>
    <ns0:row r="589" ht="24" customHeight="1">
      <ns0:c r="A589" s="3" t="inlineStr">
        <ns0:is>
          <ns0:t>セット</ns0:t>
        </ns0:is>
      </ns0:c>
      <ns0:c r="B589" s="3" t="inlineStr">
        <ns0:is>
          <ns0:t>G2二段階</ns0:t>
        </ns0:is>
      </ns0:c>
      <ns0:c r="C589" s="3" t="inlineStr">
        <ns0:is>
          <ns0:t>C</ns0:t>
        </ns0:is>
      </ns0:c>
      <ns0:c r="D589" s="4" t="n">
        <ns0:v>0</ns0:v>
      </ns0:c>
      <ns0:c r="E589" s="4" t="n">
        <ns0:v>1000</ns0:v>
      </ns0:c>
      <ns0:c r="F589" s="6" t="n">
        <ns0:v>0.4</ns0:v>
      </ns0:c>
      <ns0:c r="G589" s="4" t="n">
        <ns0:v>1</ns0:v>
      </ns0:c>
      <ns0:c r="H589" s="7" t="n">
        <ns0:v>5270.488110137671</ns0:v>
      </ns0:c>
      <ns0:c r="I589" s="7" t="n">
        <ns0:v>2744.055068836045</ns0:v>
      </ns0:c>
      <ns0:c r="J589" s="7" t="n">
        <ns0:v>1097.622027534418</ns0:v>
      </ns0:c>
      <ns0:c r="K589" s="7" t="n">
        <ns0:v>33</ns0:v>
      </ns0:c>
      <ns0:c r="L589" s="7" t="n">
        <ns0:v>242</ns0:v>
      </ns0:c>
      <ns0:c r="M589" s="7" t="n">
        <ns0:v>-35518.09237552886</ns0:v>
      </ns0:c>
      <ns0:c r="N589" s="7" t="n">
        <ns0:v>-3429.529275723169</ns0:v>
      </ns0:c>
      <ns0:c r="O589" s="7" t="n">
        <ns0:v>30624.74095799989</ns0:v>
      </ns0:c>
      <ns0:c r="P589" s="7" t="n">
        <ns0:v>115760.4165423076</ns0:v>
      </ns0:c>
      <ns0:c r="Q589" s="7" t="n">
        <ns0:v>414303.1188795384</ns0:v>
      </ns0:c>
      <ns0:c r="R589" s="7" t="n">
        <ns0:v>1536202.577059847</ns0:v>
      </ns0:c>
    </ns0:row>
    <ns0:row r="590" ht="24" customHeight="1">
      <ns0:c r="A590" s="3" t="inlineStr">
        <ns0:is>
          <ns0:t>セット</ns0:t>
        </ns0:is>
      </ns0:c>
      <ns0:c r="B590" s="3" t="inlineStr">
        <ns0:is>
          <ns0:t>G2二段階</ns0:t>
        </ns0:is>
      </ns0:c>
      <ns0:c r="C590" s="3" t="inlineStr">
        <ns0:is>
          <ns0:t>C</ns0:t>
        </ns0:is>
      </ns0:c>
      <ns0:c r="D590" s="4" t="n">
        <ns0:v>0</ns0:v>
      </ns0:c>
      <ns0:c r="E590" s="4" t="n">
        <ns0:v>1000</ns0:v>
      </ns0:c>
      <ns0:c r="F590" s="6" t="n">
        <ns0:v>0.4</ns0:v>
      </ns0:c>
      <ns0:c r="G590" s="4" t="n">
        <ns0:v>2</ns0:v>
      </ns0:c>
      <ns0:c r="H590" s="7" t="n">
        <ns0:v>5270.488110137671</ns0:v>
      </ns0:c>
      <ns0:c r="I590" s="7" t="n">
        <ns0:v>2744.055068836045</ns0:v>
      </ns0:c>
      <ns0:c r="J590" s="7" t="n">
        <ns0:v>1097.622027534418</ns0:v>
      </ns0:c>
      <ns0:c r="K590" s="18" t="inlineStr">
        <ns0:is>
          <ns0:t>範囲内なし</ns0:t>
        </ns0:is>
      </ns0:c>
      <ns0:c r="L590" s="18" t="inlineStr">
        <ns0:is>
          <ns0:t>範囲内なし</ns0:t>
        </ns0:is>
      </ns0:c>
      <ns0:c r="M590" s="7" t="n">
        <ns0:v>-54640.9009420353</ns0:v>
      </ns0:c>
      <ns0:c r="N590" s="7" t="n">
        <ns0:v>-60797.95497524249</ns0:v>
      </ns0:c>
      <ns0:c r="O590" s="7" t="n">
        <ns0:v>-64989.30187453232</ns0:v>
      </ns0:c>
      <ns0:c r="P590" s="7" t="n">
        <ns0:v>-75467.66912275684</ns0:v>
      </ns0:c>
      <ns0:c r="Q590" s="7" t="n">
        <ns0:v>-159381.1381156549</ns0:v>
      </ns0:c>
      <ns0:c r="R590" s="7" t="n">
        <ns0:v>-376078.2795907976</ns0:v>
      </ns0:c>
    </ns0:row>
    <ns0:row r="591" ht="24" customHeight="1">
      <ns0:c r="A591" s="3" t="inlineStr">
        <ns0:is>
          <ns0:t>セット</ns0:t>
        </ns0:is>
      </ns0:c>
      <ns0:c r="B591" s="3" t="inlineStr">
        <ns0:is>
          <ns0:t>G2二段階</ns0:t>
        </ns0:is>
      </ns0:c>
      <ns0:c r="C591" s="3" t="inlineStr">
        <ns0:is>
          <ns0:t>C</ns0:t>
        </ns0:is>
      </ns0:c>
      <ns0:c r="D591" s="4" t="n">
        <ns0:v>0</ns0:v>
      </ns0:c>
      <ns0:c r="E591" s="4" t="n">
        <ns0:v>1000</ns0:v>
      </ns0:c>
      <ns0:c r="F591" s="6" t="n">
        <ns0:v>0.4</ns0:v>
      </ns0:c>
      <ns0:c r="G591" s="4" t="n">
        <ns0:v>3</ns0:v>
      </ns0:c>
      <ns0:c r="H591" s="7" t="n">
        <ns0:v>5270.488110137671</ns0:v>
      </ns0:c>
      <ns0:c r="I591" s="7" t="n">
        <ns0:v>2744.055068836045</ns0:v>
      </ns0:c>
      <ns0:c r="J591" s="7" t="n">
        <ns0:v>1097.622027534418</ns0:v>
      </ns0:c>
      <ns0:c r="K591" s="7" t="n">
        <ns0:v>115</ns0:v>
      </ns0:c>
      <ns0:c r="L591" s="18" t="inlineStr">
        <ns0:is>
          <ns0:t>範囲内なし</ns0:t>
        </ns0:is>
      </ns0:c>
      <ns0:c r="M591" s="7" t="n">
        <ns0:v>-44087.19927609956</ns0:v>
      </ns0:c>
      <ns0:c r="N591" s="7" t="n">
        <ns0:v>-29136.84997743525</ns0:v>
      </ns0:c>
      <ns0:c r="O591" s="7" t="n">
        <ns0:v>-12220.79354485356</ns0:v>
      </ns0:c>
      <ns0:c r="P591" s="7" t="n">
        <ns0:v>30069.34753660066</ns0:v>
      </ns0:c>
      <ns0:c r="Q591" s="7" t="n">
        <ns0:v>157229.9118624176</ns0:v>
      </ns0:c>
      <ns0:c r="R591" s="7" t="n">
        <ns0:v>679291.8870027772</ns0:v>
      </ns0:c>
    </ns0:row>
    <ns0:row r="592" ht="24" customHeight="1">
      <ns0:c r="A592" s="3" t="inlineStr">
        <ns0:is>
          <ns0:t>セット</ns0:t>
        </ns0:is>
      </ns0:c>
      <ns0:c r="B592" s="3" t="inlineStr">
        <ns0:is>
          <ns0:t>G2二段階</ns0:t>
        </ns0:is>
      </ns0:c>
      <ns0:c r="C592" s="3" t="inlineStr">
        <ns0:is>
          <ns0:t>C</ns0:t>
        </ns0:is>
      </ns0:c>
      <ns0:c r="D592" s="4" t="n">
        <ns0:v>0</ns0:v>
      </ns0:c>
      <ns0:c r="E592" s="4" t="n">
        <ns0:v>1000</ns0:v>
      </ns0:c>
      <ns0:c r="F592" s="6" t="n">
        <ns0:v>0.5</ns0:v>
      </ns0:c>
      <ns0:c r="G592" s="4" t="n">
        <ns0:v>0</ns0:v>
      </ns0:c>
      <ns0:c r="H592" s="7" t="n">
        <ns0:v>5270.488110137671</ns0:v>
      </ns0:c>
      <ns0:c r="I592" s="7" t="n">
        <ns0:v>2744.055068836045</ns0:v>
      </ns0:c>
      <ns0:c r="J592" s="7" t="n">
        <ns0:v>1372.027534418022</ns0:v>
      </ns0:c>
      <ns0:c r="K592" s="7" t="n">
        <ns0:v>31</ns0:v>
      </ns0:c>
      <ns0:c r="L592" s="7" t="n">
        <ns0:v>107</ns0:v>
      </ns0:c>
      <ns0:c r="M592" s="7" t="n">
        <ns0:v>-34543.50703839406</ns0:v>
      </ns0:c>
      <ns0:c r="N592" s="7" t="n">
        <ns0:v>-505.773264318781</ns0:v>
      </ns0:c>
      <ns0:c r="O592" s="7" t="n">
        <ns0:v>35497.66764367389</ns0:v>
      </ns0:c>
      <ns0:c r="P592" s="7" t="n">
        <ns0:v>125506.2699136556</ns0:v>
      </ns0:c>
      <ns0:c r="Q592" s="7" t="n">
        <ns0:v>443540.6789935824</ns0:v>
      </ns0:c>
      <ns0:c r="R592" s="7" t="n">
        <ns0:v>1633661.110773326</ns0:v>
      </ns0:c>
    </ns0:row>
    <ns0:row r="593" ht="24" customHeight="1">
      <ns0:c r="A593" s="3" t="inlineStr">
        <ns0:is>
          <ns0:t>セット</ns0:t>
        </ns0:is>
      </ns0:c>
      <ns0:c r="B593" s="3" t="inlineStr">
        <ns0:is>
          <ns0:t>G2二段階</ns0:t>
        </ns0:is>
      </ns0:c>
      <ns0:c r="C593" s="3" t="inlineStr">
        <ns0:is>
          <ns0:t>C</ns0:t>
        </ns0:is>
      </ns0:c>
      <ns0:c r="D593" s="4" t="n">
        <ns0:v>0</ns0:v>
      </ns0:c>
      <ns0:c r="E593" s="4" t="n">
        <ns0:v>1000</ns0:v>
      </ns0:c>
      <ns0:c r="F593" s="6" t="n">
        <ns0:v>0.5</ns0:v>
      </ns0:c>
      <ns0:c r="G593" s="4" t="n">
        <ns0:v>1</ns0:v>
      </ns0:c>
      <ns0:c r="H593" s="7" t="n">
        <ns0:v>5270.488110137671</ns0:v>
      </ns0:c>
      <ns0:c r="I593" s="7" t="n">
        <ns0:v>2744.055068836045</ns0:v>
      </ns0:c>
      <ns0:c r="J593" s="7" t="n">
        <ns0:v>1372.027534418022</ns0:v>
      </ns0:c>
      <ns0:c r="K593" s="7" t="n">
        <ns0:v>39</ns0:v>
      </ns0:c>
      <ns0:c r="L593" s="7" t="n">
        <ns0:v>547</ns0:v>
      </ns0:c>
      <ns0:c r="M593" s="7" t="n">
        <ns0:v>-38262.14744436491</ns0:v>
      </ns0:c>
      <ns0:c r="N593" s="7" t="n">
        <ns0:v>-11661.69448223131</ns0:v>
      </ns0:c>
      <ns0:c r="O593" s="7" t="n">
        <ns0:v>16904.46561381968</ns0:v>
      </ns0:c>
      <ns0:c r="P593" s="7" t="n">
        <ns0:v>88319.86585394715</ns0:v>
      </ns0:c>
      <ns0:c r="Q593" s="7" t="n">
        <ns0:v>331981.4668144571</ns0:v>
      </ns0:c>
      <ns0:c r="R593" s="7" t="n">
        <ns0:v>1261797.070176242</ns0:v>
      </ns0:c>
    </ns0:row>
    <ns0:row r="594" ht="24" customHeight="1">
      <ns0:c r="A594" s="3" t="inlineStr">
        <ns0:is>
          <ns0:t>セット</ns0:t>
        </ns0:is>
      </ns0:c>
      <ns0:c r="B594" s="3" t="inlineStr">
        <ns0:is>
          <ns0:t>G2二段階</ns0:t>
        </ns0:is>
      </ns0:c>
      <ns0:c r="C594" s="3" t="inlineStr">
        <ns0:is>
          <ns0:t>C</ns0:t>
        </ns0:is>
      </ns0:c>
      <ns0:c r="D594" s="4" t="n">
        <ns0:v>0</ns0:v>
      </ns0:c>
      <ns0:c r="E594" s="4" t="n">
        <ns0:v>1000</ns0:v>
      </ns0:c>
      <ns0:c r="F594" s="6" t="n">
        <ns0:v>0.5</ns0:v>
      </ns0:c>
      <ns0:c r="G594" s="4" t="n">
        <ns0:v>2</ns0:v>
      </ns0:c>
      <ns0:c r="H594" s="7" t="n">
        <ns0:v>5270.488110137671</ns0:v>
      </ns0:c>
      <ns0:c r="I594" s="7" t="n">
        <ns0:v>2744.055068836045</ns0:v>
      </ns0:c>
      <ns0:c r="J594" s="7" t="n">
        <ns0:v>1372.027534418022</ns0:v>
      </ns0:c>
      <ns0:c r="K594" s="18" t="inlineStr">
        <ns0:is>
          <ns0:t>範囲内なし</ns0:t>
        </ns0:is>
      </ns0:c>
      <ns0:c r="L594" s="18" t="inlineStr">
        <ns0:is>
          <ns0:t>範囲内なし</ns0:t>
        </ns0:is>
      </ns0:c>
      <ns0:c r="M594" s="7" t="n">
        <ns0:v>-57384.95601087135</ns0:v>
      </ns0:c>
      <ns0:c r="N594" s="7" t="n">
        <ns0:v>-69030.12018175064</ns0:v>
      </ns0:c>
      <ns0:c r="O594" s="7" t="n">
        <ns0:v>-78709.57721871253</ns0:v>
      </ns0:c>
      <ns0:c r="P594" s="7" t="n">
        <ns0:v>-102908.2198111172</ns0:v>
      </ns0:c>
      <ns0:c r="Q594" s="7" t="n">
        <ns0:v>-241702.7901807362</ns0:v>
      </ns0:c>
      <ns0:c r="R594" s="7" t="n">
        <ns0:v>-650483.7864744025</ns0:v>
      </ns0:c>
    </ns0:row>
    <ns0:row r="595" ht="24" customHeight="1">
      <ns0:c r="A595" s="3" t="inlineStr">
        <ns0:is>
          <ns0:t>セット</ns0:t>
        </ns0:is>
      </ns0:c>
      <ns0:c r="B595" s="3" t="inlineStr">
        <ns0:is>
          <ns0:t>G2二段階</ns0:t>
        </ns0:is>
      </ns0:c>
      <ns0:c r="C595" s="3" t="inlineStr">
        <ns0:is>
          <ns0:t>C</ns0:t>
        </ns0:is>
      </ns0:c>
      <ns0:c r="D595" s="4" t="n">
        <ns0:v>0</ns0:v>
      </ns0:c>
      <ns0:c r="E595" s="4" t="n">
        <ns0:v>1000</ns0:v>
      </ns0:c>
      <ns0:c r="F595" s="6" t="n">
        <ns0:v>0.5</ns0:v>
      </ns0:c>
      <ns0:c r="G595" s="4" t="n">
        <ns0:v>3</ns0:v>
      </ns0:c>
      <ns0:c r="H595" s="7" t="n">
        <ns0:v>5270.488110137671</ns0:v>
      </ns0:c>
      <ns0:c r="I595" s="7" t="n">
        <ns0:v>2744.055068836045</ns0:v>
      </ns0:c>
      <ns0:c r="J595" s="7" t="n">
        <ns0:v>1372.027534418022</ns0:v>
      </ns0:c>
      <ns0:c r="K595" s="7" t="n">
        <ns0:v>169</ns0:v>
      </ns0:c>
      <ns0:c r="L595" s="18" t="inlineStr">
        <ns0:is>
          <ns0:t>範囲内なし</ns0:t>
        </ns0:is>
      </ns0:c>
      <ns0:c r="M595" s="7" t="n">
        <ns0:v>-46831.2543449356</ns0:v>
      </ns0:c>
      <ns0:c r="N595" s="7" t="n">
        <ns0:v>-37369.01518394338</ns0:v>
      </ns0:c>
      <ns0:c r="O595" s="7" t="n">
        <ns0:v>-25941.06888903379</ns0:v>
      </ns0:c>
      <ns0:c r="P595" s="7" t="n">
        <ns0:v>2628.796848240221</ns0:v>
      </ns0:c>
      <ns0:c r="Q595" s="7" t="n">
        <ns0:v>74908.2597973363</ns0:v>
      </ns0:c>
      <ns0:c r="R595" s="7" t="n">
        <ns0:v>404886.3801191725</ns0:v>
      </ns0:c>
    </ns0:row>
    <ns0:row r="596" ht="24" customHeight="1">
      <ns0:c r="A596" s="3" t="inlineStr">
        <ns0:is>
          <ns0:t>セット</ns0:t>
        </ns0:is>
      </ns0:c>
      <ns0:c r="B596" s="3" t="inlineStr">
        <ns0:is>
          <ns0:t>G2二段階</ns0:t>
        </ns0:is>
      </ns0:c>
      <ns0:c r="C596" s="3" t="inlineStr">
        <ns0:is>
          <ns0:t>C</ns0:t>
        </ns0:is>
      </ns0:c>
      <ns0:c r="D596" s="4" t="n">
        <ns0:v>0</ns0:v>
      </ns0:c>
      <ns0:c r="E596" s="4" t="n">
        <ns0:v>1500</ns0:v>
      </ns0:c>
      <ns0:c r="F596" s="6" t="n">
        <ns0:v>0.3</ns0:v>
      </ns0:c>
      <ns0:c r="G596" s="4" t="n">
        <ns0:v>0</ns0:v>
      </ns0:c>
      <ns0:c r="H596" s="7" t="n">
        <ns0:v>4770.488110137671</ns0:v>
      </ns0:c>
      <ns0:c r="I596" s="7" t="n">
        <ns0:v>2244.055068836045</ns0:v>
      </ns0:c>
      <ns0:c r="J596" s="7" t="n">
        <ns0:v>673.2165206508134</ns0:v>
      </ns0:c>
      <ns0:c r="K596" s="7" t="n">
        <ns0:v>28</ns0:v>
      </ns0:c>
      <ns0:c r="L596" s="7" t="n">
        <ns0:v>59</ns0:v>
      </ns0:c>
      <ns0:c r="M596" s="7" t="n">
        <ns0:v>-32375.39690072197</ns0:v>
      </ns0:c>
      <ns0:c r="N596" s="7" t="n">
        <ns0:v>5998.557148697499</ns0:v>
      </ns0:c>
      <ns0:c r="O596" s="7" t="n">
        <ns0:v>46338.21833203433</ns0:v>
      </ns0:c>
      <ns0:c r="P596" s="7" t="n">
        <ns0:v>147187.3712903765</ns0:v>
      </ns0:c>
      <ns0:c r="Q596" s="7" t="n">
        <ns0:v>508583.983123745</ns0:v>
      </ns0:c>
      <ns0:c r="R596" s="7" t="n">
        <ns0:v>1850472.124540535</ns0:v>
      </ns0:c>
    </ns0:row>
    <ns0:row r="597" ht="24" customHeight="1">
      <ns0:c r="A597" s="3" t="inlineStr">
        <ns0:is>
          <ns0:t>セット</ns0:t>
        </ns0:is>
      </ns0:c>
      <ns0:c r="B597" s="3" t="inlineStr">
        <ns0:is>
          <ns0:t>G2二段階</ns0:t>
        </ns0:is>
      </ns0:c>
      <ns0:c r="C597" s="3" t="inlineStr">
        <ns0:is>
          <ns0:t>C</ns0:t>
        </ns0:is>
      </ns0:c>
      <ns0:c r="D597" s="4" t="n">
        <ns0:v>0</ns0:v>
      </ns0:c>
      <ns0:c r="E597" s="4" t="n">
        <ns0:v>1500</ns0:v>
      </ns0:c>
      <ns0:c r="F597" s="6" t="n">
        <ns0:v>0.3</ns0:v>
      </ns0:c>
      <ns0:c r="G597" s="4" t="n">
        <ns0:v>1</ns0:v>
      </ns0:c>
      <ns0:c r="H597" s="7" t="n">
        <ns0:v>4770.488110137671</ns0:v>
      </ns0:c>
      <ns0:c r="I597" s="7" t="n">
        <ns0:v>2244.055068836045</ns0:v>
      </ns0:c>
      <ns0:c r="J597" s="7" t="n">
        <ns0:v>673.2165206508134</ns0:v>
      </ns0:c>
      <ns0:c r="K597" s="7" t="n">
        <ns0:v>34</ns0:v>
      </ns0:c>
      <ns0:c r="L597" s="7" t="n">
        <ns0:v>260</ns0:v>
      </ns0:c>
      <ns0:c r="M597" s="7" t="n">
        <ns0:v>-36094.03730669282</ns0:v>
      </ns0:c>
      <ns0:c r="N597" s="7" t="n">
        <ns0:v>-5157.364069215029</ns0:v>
      </ns0:c>
      <ns0:c r="O597" s="7" t="n">
        <ns0:v>27745.01630218012</ns0:v>
      </ns0:c>
      <ns0:c r="P597" s="7" t="n">
        <ns0:v>110000.967230668</ns0:v>
      </ns0:c>
      <ns0:c r="Q597" s="7" t="n">
        <ns0:v>397024.7709446198</ns0:v>
      </ns0:c>
      <ns0:c r="R597" s="7" t="n">
        <ns0:v>1478608.083943451</ns0:v>
      </ns0:c>
    </ns0:row>
    <ns0:row r="598" ht="24" customHeight="1">
      <ns0:c r="A598" s="3" t="inlineStr">
        <ns0:is>
          <ns0:t>セット</ns0:t>
        </ns0:is>
      </ns0:c>
      <ns0:c r="B598" s="3" t="inlineStr">
        <ns0:is>
          <ns0:t>G2二段階</ns0:t>
        </ns0:is>
      </ns0:c>
      <ns0:c r="C598" s="3" t="inlineStr">
        <ns0:is>
          <ns0:t>C</ns0:t>
        </ns0:is>
      </ns0:c>
      <ns0:c r="D598" s="4" t="n">
        <ns0:v>0</ns0:v>
      </ns0:c>
      <ns0:c r="E598" s="4" t="n">
        <ns0:v>1500</ns0:v>
      </ns0:c>
      <ns0:c r="F598" s="6" t="n">
        <ns0:v>0.3</ns0:v>
      </ns0:c>
      <ns0:c r="G598" s="4" t="n">
        <ns0:v>2</ns0:v>
      </ns0:c>
      <ns0:c r="H598" s="7" t="n">
        <ns0:v>4770.488110137671</ns0:v>
      </ns0:c>
      <ns0:c r="I598" s="7" t="n">
        <ns0:v>2244.055068836045</ns0:v>
      </ns0:c>
      <ns0:c r="J598" s="7" t="n">
        <ns0:v>673.2165206508134</ns0:v>
      </ns0:c>
      <ns0:c r="K598" s="18" t="inlineStr">
        <ns0:is>
          <ns0:t>範囲内なし</ns0:t>
        </ns0:is>
      </ns0:c>
      <ns0:c r="L598" s="18" t="inlineStr">
        <ns0:is>
          <ns0:t>範囲内なし</ns0:t>
        </ns0:is>
      </ns0:c>
      <ns0:c r="M598" s="7" t="n">
        <ns0:v>-55216.84587319926</ns0:v>
      </ns0:c>
      <ns0:c r="N598" s="7" t="n">
        <ns0:v>-62525.78976873436</ns0:v>
      </ns0:c>
      <ns0:c r="O598" s="7" t="n">
        <ns0:v>-67869.02653035209</ns0:v>
      </ns0:c>
      <ns0:c r="P598" s="7" t="n">
        <ns0:v>-81227.11843439637</ns0:v>
      </ns0:c>
      <ns0:c r="Q598" s="7" t="n">
        <ns0:v>-176659.4860505735</ns0:v>
      </ns0:c>
      <ns0:c r="R598" s="7" t="n">
        <ns0:v>-433672.7727071934</ns0:v>
      </ns0:c>
    </ns0:row>
    <ns0:row r="599" ht="24" customHeight="1">
      <ns0:c r="A599" s="3" t="inlineStr">
        <ns0:is>
          <ns0:t>セット</ns0:t>
        </ns0:is>
      </ns0:c>
      <ns0:c r="B599" s="3" t="inlineStr">
        <ns0:is>
          <ns0:t>G2二段階</ns0:t>
        </ns0:is>
      </ns0:c>
      <ns0:c r="C599" s="3" t="inlineStr">
        <ns0:is>
          <ns0:t>C</ns0:t>
        </ns0:is>
      </ns0:c>
      <ns0:c r="D599" s="4" t="n">
        <ns0:v>0</ns0:v>
      </ns0:c>
      <ns0:c r="E599" s="4" t="n">
        <ns0:v>1500</ns0:v>
      </ns0:c>
      <ns0:c r="F599" s="6" t="n">
        <ns0:v>0.3</ns0:v>
      </ns0:c>
      <ns0:c r="G599" s="4" t="n">
        <ns0:v>3</ns0:v>
      </ns0:c>
      <ns0:c r="H599" s="7" t="n">
        <ns0:v>4770.488110137671</ns0:v>
      </ns0:c>
      <ns0:c r="I599" s="7" t="n">
        <ns0:v>2244.055068836045</ns0:v>
      </ns0:c>
      <ns0:c r="J599" s="7" t="n">
        <ns0:v>673.2165206508134</ns0:v>
      </ns0:c>
      <ns0:c r="K599" s="7" t="n">
        <ns0:v>123</ns0:v>
      </ns0:c>
      <ns0:c r="L599" s="18" t="inlineStr">
        <ns0:is>
          <ns0:t>範囲内なし</ns0:t>
        </ns0:is>
      </ns0:c>
      <ns0:c r="M599" s="7" t="n">
        <ns0:v>-44663.14420726351</ns0:v>
      </ns0:c>
      <ns0:c r="N599" s="7" t="n">
        <ns0:v>-30864.68477092711</ns0:v>
      </ns0:c>
      <ns0:c r="O599" s="7" t="n">
        <ns0:v>-15100.51820067334</ns0:v>
      </ns0:c>
      <ns0:c r="P599" s="7" t="n">
        <ns0:v>24309.89822496113</ns0:v>
      </ns0:c>
      <ns0:c r="Q599" s="7" t="n">
        <ns0:v>139951.5639274989</ns0:v>
      </ns0:c>
      <ns0:c r="R599" s="7" t="n">
        <ns0:v>621697.3938863815</ns0:v>
      </ns0:c>
    </ns0:row>
    <ns0:row r="600" ht="24" customHeight="1">
      <ns0:c r="A600" s="3" t="inlineStr">
        <ns0:is>
          <ns0:t>セット</ns0:t>
        </ns0:is>
      </ns0:c>
      <ns0:c r="B600" s="3" t="inlineStr">
        <ns0:is>
          <ns0:t>G2二段階</ns0:t>
        </ns0:is>
      </ns0:c>
      <ns0:c r="C600" s="3" t="inlineStr">
        <ns0:is>
          <ns0:t>C</ns0:t>
        </ns0:is>
      </ns0:c>
      <ns0:c r="D600" s="4" t="n">
        <ns0:v>0</ns0:v>
      </ns0:c>
      <ns0:c r="E600" s="4" t="n">
        <ns0:v>1500</ns0:v>
      </ns0:c>
      <ns0:c r="F600" s="6" t="n">
        <ns0:v>0.4</ns0:v>
      </ns0:c>
      <ns0:c r="G600" s="4" t="n">
        <ns0:v>0</ns0:v>
      </ns0:c>
      <ns0:c r="H600" s="7" t="n">
        <ns0:v>4770.488110137671</ns0:v>
      </ns0:c>
      <ns0:c r="I600" s="7" t="n">
        <ns0:v>2244.055068836045</ns0:v>
      </ns0:c>
      <ns0:c r="J600" s="7" t="n">
        <ns0:v>897.6220275344181</ns0:v>
      </ns0:c>
      <ns0:c r="K600" s="7" t="n">
        <ns0:v>31</ns0:v>
      </ns0:c>
      <ns0:c r="L600" s="7" t="n">
        <ns0:v>108</ns0:v>
      </ns0:c>
      <ns0:c r="M600" s="7" t="n">
        <ns0:v>-34619.45196955802</ns0:v>
      </ns0:c>
      <ns0:c r="N600" s="7" t="n">
        <ns0:v>-733.6080578106375</ns0:v>
      </ns0:c>
      <ns0:c r="O600" s="7" t="n">
        <ns0:v>35117.9429878541</ns0:v>
      </ns0:c>
      <ns0:c r="P600" s="7" t="n">
        <ns0:v>124746.820602016</ns0:v>
      </ns0:c>
      <ns0:c r="Q600" s="7" t="n">
        <ns0:v>441262.3310586637</ns0:v>
      </ns0:c>
      <ns0:c r="R600" s="7" t="n">
        <ns0:v>1626066.617656931</ns0:v>
      </ns0:c>
    </ns0:row>
    <ns0:row r="601" ht="24" customHeight="1">
      <ns0:c r="A601" s="3" t="inlineStr">
        <ns0:is>
          <ns0:t>セット</ns0:t>
        </ns0:is>
      </ns0:c>
      <ns0:c r="B601" s="3" t="inlineStr">
        <ns0:is>
          <ns0:t>G2二段階</ns0:t>
        </ns0:is>
      </ns0:c>
      <ns0:c r="C601" s="3" t="inlineStr">
        <ns0:is>
          <ns0:t>C</ns0:t>
        </ns0:is>
      </ns0:c>
      <ns0:c r="D601" s="4" t="n">
        <ns0:v>0</ns0:v>
      </ns0:c>
      <ns0:c r="E601" s="4" t="n">
        <ns0:v>1500</ns0:v>
      </ns0:c>
      <ns0:c r="F601" s="6" t="n">
        <ns0:v>0.4</ns0:v>
      </ns0:c>
      <ns0:c r="G601" s="4" t="n">
        <ns0:v>1</ns0:v>
      </ns0:c>
      <ns0:c r="H601" s="7" t="n">
        <ns0:v>4770.488110137671</ns0:v>
      </ns0:c>
      <ns0:c r="I601" s="7" t="n">
        <ns0:v>2244.055068836045</ns0:v>
      </ns0:c>
      <ns0:c r="J601" s="7" t="n">
        <ns0:v>897.6220275344181</ns0:v>
      </ns0:c>
      <ns0:c r="K601" s="7" t="n">
        <ns0:v>39</ns0:v>
      </ns0:c>
      <ns0:c r="L601" s="7" t="n">
        <ns0:v>557</ns0:v>
      </ns0:c>
      <ns0:c r="M601" s="7" t="n">
        <ns0:v>-38338.09237552887</ns0:v>
      </ns0:c>
      <ns0:c r="N601" s="7" t="n">
        <ns0:v>-11889.52927572316</ns0:v>
      </ns0:c>
      <ns0:c r="O601" s="7" t="n">
        <ns0:v>16524.74095799989</ns0:v>
      </ns0:c>
      <ns0:c r="P601" s="7" t="n">
        <ns0:v>87560.41654230759</ns0:v>
      </ns0:c>
      <ns0:c r="Q601" s="7" t="n">
        <ns0:v>329703.1188795384</ns0:v>
      </ns0:c>
      <ns0:c r="R601" s="7" t="n">
        <ns0:v>1254202.577059846</ns0:v>
      </ns0:c>
    </ns0:row>
    <ns0:row r="602" ht="24" customHeight="1">
      <ns0:c r="A602" s="3" t="inlineStr">
        <ns0:is>
          <ns0:t>セット</ns0:t>
        </ns0:is>
      </ns0:c>
      <ns0:c r="B602" s="3" t="inlineStr">
        <ns0:is>
          <ns0:t>G2二段階</ns0:t>
        </ns0:is>
      </ns0:c>
      <ns0:c r="C602" s="3" t="inlineStr">
        <ns0:is>
          <ns0:t>C</ns0:t>
        </ns0:is>
      </ns0:c>
      <ns0:c r="D602" s="4" t="n">
        <ns0:v>0</ns0:v>
      </ns0:c>
      <ns0:c r="E602" s="4" t="n">
        <ns0:v>1500</ns0:v>
      </ns0:c>
      <ns0:c r="F602" s="6" t="n">
        <ns0:v>0.4</ns0:v>
      </ns0:c>
      <ns0:c r="G602" s="4" t="n">
        <ns0:v>2</ns0:v>
      </ns0:c>
      <ns0:c r="H602" s="7" t="n">
        <ns0:v>4770.488110137671</ns0:v>
      </ns0:c>
      <ns0:c r="I602" s="7" t="n">
        <ns0:v>2244.055068836045</ns0:v>
      </ns0:c>
      <ns0:c r="J602" s="7" t="n">
        <ns0:v>897.6220275344181</ns0:v>
      </ns0:c>
      <ns0:c r="K602" s="18" t="inlineStr">
        <ns0:is>
          <ns0:t>範囲内なし</ns0:t>
        </ns0:is>
      </ns0:c>
      <ns0:c r="L602" s="18" t="inlineStr">
        <ns0:is>
          <ns0:t>範囲内なし</ns0:t>
        </ns0:is>
      </ns0:c>
      <ns0:c r="M602" s="7" t="n">
        <ns0:v>-57460.9009420353</ns0:v>
      </ns0:c>
      <ns0:c r="N602" s="7" t="n">
        <ns0:v>-69257.95497524248</ns0:v>
      </ns0:c>
      <ns0:c r="O602" s="7" t="n">
        <ns0:v>-79089.30187453232</ns0:v>
      </ns0:c>
      <ns0:c r="P602" s="7" t="n">
        <ns0:v>-103667.6691227568</ns0:v>
      </ns0:c>
      <ns0:c r="Q602" s="7" t="n">
        <ns0:v>-243981.1381156549</ns0:v>
      </ns0:c>
      <ns0:c r="R602" s="7" t="n">
        <ns0:v>-658078.2795907981</ns0:v>
      </ns0:c>
    </ns0:row>
    <ns0:row r="603" ht="24" customHeight="1">
      <ns0:c r="A603" s="3" t="inlineStr">
        <ns0:is>
          <ns0:t>セット</ns0:t>
        </ns0:is>
      </ns0:c>
      <ns0:c r="B603" s="3" t="inlineStr">
        <ns0:is>
          <ns0:t>G2二段階</ns0:t>
        </ns0:is>
      </ns0:c>
      <ns0:c r="C603" s="3" t="inlineStr">
        <ns0:is>
          <ns0:t>C</ns0:t>
        </ns0:is>
      </ns0:c>
      <ns0:c r="D603" s="4" t="n">
        <ns0:v>0</ns0:v>
      </ns0:c>
      <ns0:c r="E603" s="4" t="n">
        <ns0:v>1500</ns0:v>
      </ns0:c>
      <ns0:c r="F603" s="6" t="n">
        <ns0:v>0.4</ns0:v>
      </ns0:c>
      <ns0:c r="G603" s="4" t="n">
        <ns0:v>3</ns0:v>
      </ns0:c>
      <ns0:c r="H603" s="7" t="n">
        <ns0:v>4770.488110137671</ns0:v>
      </ns0:c>
      <ns0:c r="I603" s="7" t="n">
        <ns0:v>2244.055068836045</ns0:v>
      </ns0:c>
      <ns0:c r="J603" s="7" t="n">
        <ns0:v>897.6220275344181</ns0:v>
      </ns0:c>
      <ns0:c r="K603" s="7" t="n">
        <ns0:v>172</ns0:v>
      </ns0:c>
      <ns0:c r="L603" s="18" t="inlineStr">
        <ns0:is>
          <ns0:t>範囲内なし</ns0:t>
        </ns0:is>
      </ns0:c>
      <ns0:c r="M603" s="7" t="n">
        <ns0:v>-46907.19927609956</ns0:v>
      </ns0:c>
      <ns0:c r="N603" s="7" t="n">
        <ns0:v>-37596.84997743524</ns0:v>
      </ns0:c>
      <ns0:c r="O603" s="7" t="n">
        <ns0:v>-26320.79354485356</ns0:v>
      </ns0:c>
      <ns0:c r="P603" s="7" t="n">
        <ns0:v>1869.347536600661</ns0:v>
      </ns0:c>
      <ns0:c r="Q603" s="7" t="n">
        <ns0:v>72629.91186241759</ns0:v>
      </ns0:c>
      <ns0:c r="R603" s="7" t="n">
        <ns0:v>397291.887002777</ns0:v>
      </ns0:c>
    </ns0:row>
    <ns0:row r="604" ht="24" customHeight="1">
      <ns0:c r="A604" s="3" t="inlineStr">
        <ns0:is>
          <ns0:t>セット</ns0:t>
        </ns0:is>
      </ns0:c>
      <ns0:c r="B604" s="3" t="inlineStr">
        <ns0:is>
          <ns0:t>G2二段階</ns0:t>
        </ns0:is>
      </ns0:c>
      <ns0:c r="C604" s="3" t="inlineStr">
        <ns0:is>
          <ns0:t>C</ns0:t>
        </ns0:is>
      </ns0:c>
      <ns0:c r="D604" s="4" t="n">
        <ns0:v>0</ns0:v>
      </ns0:c>
      <ns0:c r="E604" s="4" t="n">
        <ns0:v>1500</ns0:v>
      </ns0:c>
      <ns0:c r="F604" s="6" t="n">
        <ns0:v>0.5</ns0:v>
      </ns0:c>
      <ns0:c r="G604" s="4" t="n">
        <ns0:v>0</ns0:v>
      </ns0:c>
      <ns0:c r="H604" s="7" t="n">
        <ns0:v>4770.488110137671</ns0:v>
      </ns0:c>
      <ns0:c r="I604" s="7" t="n">
        <ns0:v>2244.055068836045</ns0:v>
      </ns0:c>
      <ns0:c r="J604" s="7" t="n">
        <ns0:v>1122.027534418022</ns0:v>
      </ns0:c>
      <ns0:c r="K604" s="7" t="n">
        <ns0:v>35</ns0:v>
      </ns0:c>
      <ns0:c r="L604" s="7" t="n">
        <ns0:v>122</ns0:v>
      </ns0:c>
      <ns0:c r="M604" s="7" t="n">
        <ns0:v>-36863.50703839406</ns0:v>
      </ns0:c>
      <ns0:c r="N604" s="7" t="n">
        <ns0:v>-7465.773264318781</ns0:v>
      </ns0:c>
      <ns0:c r="O604" s="7" t="n">
        <ns0:v>23897.66764367387</ns0:v>
      </ns0:c>
      <ns0:c r="P604" s="7" t="n">
        <ns0:v>102306.2699136555</ns0:v>
      </ns0:c>
      <ns0:c r="Q604" s="7" t="n">
        <ns0:v>373940.6789935824</ns0:v>
      </ns0:c>
      <ns0:c r="R604" s="7" t="n">
        <ns0:v>1401661.110773327</ns0:v>
      </ns0:c>
    </ns0:row>
    <ns0:row r="605" ht="24" customHeight="1">
      <ns0:c r="A605" s="3" t="inlineStr">
        <ns0:is>
          <ns0:t>セット</ns0:t>
        </ns0:is>
      </ns0:c>
      <ns0:c r="B605" s="3" t="inlineStr">
        <ns0:is>
          <ns0:t>G2二段階</ns0:t>
        </ns0:is>
      </ns0:c>
      <ns0:c r="C605" s="3" t="inlineStr">
        <ns0:is>
          <ns0:t>C</ns0:t>
        </ns0:is>
      </ns0:c>
      <ns0:c r="D605" s="4" t="n">
        <ns0:v>0</ns0:v>
      </ns0:c>
      <ns0:c r="E605" s="4" t="n">
        <ns0:v>1500</ns0:v>
      </ns0:c>
      <ns0:c r="F605" s="6" t="n">
        <ns0:v>0.5</ns0:v>
      </ns0:c>
      <ns0:c r="G605" s="4" t="n">
        <ns0:v>1</ns0:v>
      </ns0:c>
      <ns0:c r="H605" s="7" t="n">
        <ns0:v>4770.488110137671</ns0:v>
      </ns0:c>
      <ns0:c r="I605" s="7" t="n">
        <ns0:v>2244.055068836045</ns0:v>
      </ns0:c>
      <ns0:c r="J605" s="7" t="n">
        <ns0:v>1122.027534418022</ns0:v>
      </ns0:c>
      <ns0:c r="K605" s="7" t="n">
        <ns0:v>46</ns0:v>
      </ns0:c>
      <ns0:c r="L605" s="7" t="n">
        <ns0:v>926</ns0:v>
      </ns0:c>
      <ns0:c r="M605" s="7" t="n">
        <ns0:v>-40582.14744436491</ns0:v>
      </ns0:c>
      <ns0:c r="N605" s="7" t="n">
        <ns0:v>-18621.69448223131</ns0:v>
      </ns0:c>
      <ns0:c r="O605" s="7" t="n">
        <ns0:v>5304.465613819659</ns0:v>
      </ns0:c>
      <ns0:c r="P605" s="7" t="n">
        <ns0:v>65119.86585394711</ns0:v>
      </ns0:c>
      <ns0:c r="Q605" s="7" t="n">
        <ns0:v>262381.4668144571</ns0:v>
      </ns0:c>
      <ns0:c r="R605" s="7" t="n">
        <ns0:v>1029797.070176243</ns0:v>
      </ns0:c>
    </ns0:row>
    <ns0:row r="606" ht="24" customHeight="1">
      <ns0:c r="A606" s="3" t="inlineStr">
        <ns0:is>
          <ns0:t>セット</ns0:t>
        </ns0:is>
      </ns0:c>
      <ns0:c r="B606" s="3" t="inlineStr">
        <ns0:is>
          <ns0:t>G2二段階</ns0:t>
        </ns0:is>
      </ns0:c>
      <ns0:c r="C606" s="3" t="inlineStr">
        <ns0:is>
          <ns0:t>C</ns0:t>
        </ns0:is>
      </ns0:c>
      <ns0:c r="D606" s="4" t="n">
        <ns0:v>0</ns0:v>
      </ns0:c>
      <ns0:c r="E606" s="4" t="n">
        <ns0:v>1500</ns0:v>
      </ns0:c>
      <ns0:c r="F606" s="6" t="n">
        <ns0:v>0.5</ns0:v>
      </ns0:c>
      <ns0:c r="G606" s="4" t="n">
        <ns0:v>2</ns0:v>
      </ns0:c>
      <ns0:c r="H606" s="7" t="n">
        <ns0:v>4770.488110137671</ns0:v>
      </ns0:c>
      <ns0:c r="I606" s="7" t="n">
        <ns0:v>2244.055068836045</ns0:v>
      </ns0:c>
      <ns0:c r="J606" s="7" t="n">
        <ns0:v>1122.027534418022</ns0:v>
      </ns0:c>
      <ns0:c r="K606" s="18" t="inlineStr">
        <ns0:is>
          <ns0:t>範囲内なし</ns0:t>
        </ns0:is>
      </ns0:c>
      <ns0:c r="L606" s="18" t="inlineStr">
        <ns0:is>
          <ns0:t>範囲内なし</ns0:t>
        </ns0:is>
      </ns0:c>
      <ns0:c r="M606" s="7" t="n">
        <ns0:v>-59704.95601087135</ns0:v>
      </ns0:c>
      <ns0:c r="N606" s="7" t="n">
        <ns0:v>-75990.12018175064</ns0:v>
      </ns0:c>
      <ns0:c r="O606" s="7" t="n">
        <ns0:v>-90309.57721871255</ns0:v>
      </ns0:c>
      <ns0:c r="P606" s="7" t="n">
        <ns0:v>-126108.2198111173</ns0:v>
      </ns0:c>
      <ns0:c r="Q606" s="7" t="n">
        <ns0:v>-311302.7901807362</ns0:v>
      </ns0:c>
      <ns0:c r="R606" s="7" t="n">
        <ns0:v>-882483.7864744021</ns0:v>
      </ns0:c>
    </ns0:row>
    <ns0:row r="607" ht="24" customHeight="1">
      <ns0:c r="A607" s="3" t="inlineStr">
        <ns0:is>
          <ns0:t>セット</ns0:t>
        </ns0:is>
      </ns0:c>
      <ns0:c r="B607" s="3" t="inlineStr">
        <ns0:is>
          <ns0:t>G2二段階</ns0:t>
        </ns0:is>
      </ns0:c>
      <ns0:c r="C607" s="3" t="inlineStr">
        <ns0:is>
          <ns0:t>C</ns0:t>
        </ns0:is>
      </ns0:c>
      <ns0:c r="D607" s="4" t="n">
        <ns0:v>0</ns0:v>
      </ns0:c>
      <ns0:c r="E607" s="4" t="n">
        <ns0:v>1500</ns0:v>
      </ns0:c>
      <ns0:c r="F607" s="6" t="n">
        <ns0:v>0.5</ns0:v>
      </ns0:c>
      <ns0:c r="G607" s="4" t="n">
        <ns0:v>3</ns0:v>
      </ns0:c>
      <ns0:c r="H607" s="7" t="n">
        <ns0:v>4770.488110137671</ns0:v>
      </ns0:c>
      <ns0:c r="I607" s="7" t="n">
        <ns0:v>2244.055068836045</ns0:v>
      </ns0:c>
      <ns0:c r="J607" s="7" t="n">
        <ns0:v>1122.027534418022</ns0:v>
      </ns0:c>
      <ns0:c r="K607" s="7" t="n">
        <ns0:v>285</ns0:v>
      </ns0:c>
      <ns0:c r="L607" s="18" t="inlineStr">
        <ns0:is>
          <ns0:t>範囲内なし</ns0:t>
        </ns0:is>
      </ns0:c>
      <ns0:c r="M607" s="7" t="n">
        <ns0:v>-49151.2543449356</ns0:v>
      </ns0:c>
      <ns0:c r="N607" s="7" t="n">
        <ns0:v>-44329.01518394339</ns0:v>
      </ns0:c>
      <ns0:c r="O607" s="7" t="n">
        <ns0:v>-37541.06888903379</ns0:v>
      </ns0:c>
      <ns0:c r="P607" s="7" t="n">
        <ns0:v>-20571.20315175981</ns0:v>
      </ns0:c>
      <ns0:c r="Q607" s="7" t="n">
        <ns0:v>5308.259797336359</ns0:v>
      </ns0:c>
      <ns0:c r="R607" s="7" t="n">
        <ns0:v>172886.380119173</ns0:v>
      </ns0:c>
    </ns0:row>
    <ns0:row r="608" ht="24" customHeight="1">
      <ns0:c r="A608" s="3" t="inlineStr">
        <ns0:is>
          <ns0:t>セット</ns0:t>
        </ns0:is>
      </ns0:c>
      <ns0:c r="B608" s="3" t="inlineStr">
        <ns0:is>
          <ns0:t>G2二段階</ns0:t>
        </ns0:is>
      </ns0:c>
      <ns0:c r="C608" s="3" t="inlineStr">
        <ns0:is>
          <ns0:t>C</ns0:t>
        </ns0:is>
      </ns0:c>
      <ns0:c r="D608" s="4" t="n">
        <ns0:v>1</ns0:v>
      </ns0:c>
      <ns0:c r="E608" s="4" t="n">
        <ns0:v>500</ns0:v>
      </ns0:c>
      <ns0:c r="F608" s="6" t="n">
        <ns0:v>0.3</ns0:v>
      </ns0:c>
      <ns0:c r="G608" s="4" t="n">
        <ns0:v>0</ns0:v>
      </ns0:c>
      <ns0:c r="H608" s="7" t="n">
        <ns0:v>7764.525139664803</ns0:v>
      </ns0:c>
      <ns0:c r="I608" s="7" t="n">
        <ns0:v>3719.273743016759</ns0:v>
      </ns0:c>
      <ns0:c r="J608" s="7" t="n">
        <ns0:v>1115.782122905028</ns0:v>
      </ns0:c>
      <ns0:c r="K608" s="7" t="n">
        <ns0:v>15</ns0:v>
      </ns0:c>
      <ns0:c r="L608" s="7" t="n">
        <ns0:v>22</ns0:v>
      </ns0:c>
      <ns0:c r="M608" s="7" t="n">
        <ns0:v>-8538.452825062683</ns0:v>
      </ns0:c>
      <ns0:c r="N608" s="7" t="n">
        <ns0:v>64850.08619642201</ns0:v>
      </ns0:c>
      <ns0:c r="O608" s="7" t="n">
        <ns0:v>144424.1000782418</ns0:v>
      </ns0:c>
      <ns0:c r="P608" s="7" t="n">
        <ns0:v>343359.1347827915</ns0:v>
      </ns0:c>
      <ns0:c r="Q608" s="7" t="n">
        <ns0:v>1097099.27360099</ns0:v>
      </ns0:c>
      <ns0:c r="R608" s="7" t="n">
        <ns0:v>3812189.759464685</ns0:v>
      </ns0:c>
    </ns0:row>
    <ns0:row r="609" ht="24" customHeight="1">
      <ns0:c r="A609" s="3" t="inlineStr">
        <ns0:is>
          <ns0:t>セット</ns0:t>
        </ns0:is>
      </ns0:c>
      <ns0:c r="B609" s="3" t="inlineStr">
        <ns0:is>
          <ns0:t>G2二段階</ns0:t>
        </ns0:is>
      </ns0:c>
      <ns0:c r="C609" s="3" t="inlineStr">
        <ns0:is>
          <ns0:t>C</ns0:t>
        </ns0:is>
      </ns0:c>
      <ns0:c r="D609" s="4" t="n">
        <ns0:v>1</ns0:v>
      </ns0:c>
      <ns0:c r="E609" s="4" t="n">
        <ns0:v>500</ns0:v>
      </ns0:c>
      <ns0:c r="F609" s="6" t="n">
        <ns0:v>0.3</ns0:v>
      </ns0:c>
      <ns0:c r="G609" s="4" t="n">
        <ns0:v>1</ns0:v>
      </ns0:c>
      <ns0:c r="H609" s="7" t="n">
        <ns0:v>7764.525139664803</ns0:v>
      </ns0:c>
      <ns0:c r="I609" s="7" t="n">
        <ns0:v>3719.273743016759</ns0:v>
      </ns0:c>
      <ns0:c r="J609" s="7" t="n">
        <ns0:v>1115.782122905028</ns0:v>
      </ns0:c>
      <ns0:c r="K609" s="7" t="n">
        <ns0:v>16</ns0:v>
      </ns0:c>
      <ns0:c r="L609" s="7" t="n">
        <ns0:v>30</ns0:v>
      </ns0:c>
      <ns0:c r="M609" s="7" t="n">
        <ns0:v>-12861.95903006676</ns0:v>
      </ns0:c>
      <ns0:c r="N609" s="7" t="n">
        <ns0:v>51879.56758140979</ns0:v>
      </ns0:c>
      <ns0:c r="O609" s="7" t="n">
        <ns0:v>122806.5690532215</ns0:v>
      </ns0:c>
      <ns0:c r="P609" s="7" t="n">
        <ns0:v>300124.0727327508</ns0:v>
      </ns0:c>
      <ns0:c r="Q609" s="7" t="n">
        <ns0:v>967394.0874508678</ns0:v>
      </ns0:c>
      <ns0:c r="R609" s="7" t="n">
        <ns0:v>3379839.138964278</ns0:v>
      </ns0:c>
    </ns0:row>
    <ns0:row r="610" ht="24" customHeight="1">
      <ns0:c r="A610" s="3" t="inlineStr">
        <ns0:is>
          <ns0:t>セット</ns0:t>
        </ns0:is>
      </ns0:c>
      <ns0:c r="B610" s="3" t="inlineStr">
        <ns0:is>
          <ns0:t>G2二段階</ns0:t>
        </ns0:is>
      </ns0:c>
      <ns0:c r="C610" s="3" t="inlineStr">
        <ns0:is>
          <ns0:t>C</ns0:t>
        </ns0:is>
      </ns0:c>
      <ns0:c r="D610" s="4" t="n">
        <ns0:v>1</ns0:v>
      </ns0:c>
      <ns0:c r="E610" s="4" t="n">
        <ns0:v>500</ns0:v>
      </ns0:c>
      <ns0:c r="F610" s="6" t="n">
        <ns0:v>0.3</ns0:v>
      </ns0:c>
      <ns0:c r="G610" s="4" t="n">
        <ns0:v>2</ns0:v>
      </ns0:c>
      <ns0:c r="H610" s="7" t="n">
        <ns0:v>7764.525139664803</ns0:v>
      </ns0:c>
      <ns0:c r="I610" s="7" t="n">
        <ns0:v>3719.273743016759</ns0:v>
      </ns0:c>
      <ns0:c r="J610" s="7" t="n">
        <ns0:v>1115.782122905028</ns0:v>
      </ns0:c>
      <ns0:c r="K610" s="18" t="inlineStr">
        <ns0:is>
          <ns0:t>範囲内なし</ns0:t>
        </ns0:is>
      </ns0:c>
      <ns0:c r="L610" s="18" t="inlineStr">
        <ns0:is>
          <ns0:t>範囲内なし</ns0:t>
        </ns0:is>
      </ns0:c>
      <ns0:c r="M610" s="7" t="n">
        <ns0:v>-49445.66299364001</ns0:v>
      </ns0:c>
      <ns0:c r="N610" s="7" t="n">
        <ns0:v>-57871.54430931</ns0:v>
      </ns0:c>
      <ns0:c r="O610" s="7" t="n">
        <ns0:v>-60111.95076464479</ns0:v>
      </ns0:c>
      <ns0:c r="P610" s="7" t="n">
        <ns0:v>-65712.96690298177</ns0:v>
      </ns0:c>
      <ns0:c r="Q610" s="7" t="n">
        <ns0:v>-130117.0314563301</ns0:v>
      </ns0:c>
      <ns0:c r="R610" s="7" t="n">
        <ns0:v>-278531.2573930477</ns0:v>
      </ns0:c>
    </ns0:row>
    <ns0:row r="611" ht="24" customHeight="1">
      <ns0:c r="A611" s="3" t="inlineStr">
        <ns0:is>
          <ns0:t>セット</ns0:t>
        </ns0:is>
      </ns0:c>
      <ns0:c r="B611" s="3" t="inlineStr">
        <ns0:is>
          <ns0:t>G2二段階</ns0:t>
        </ns0:is>
      </ns0:c>
      <ns0:c r="C611" s="3" t="inlineStr">
        <ns0:is>
          <ns0:t>C</ns0:t>
        </ns0:is>
      </ns0:c>
      <ns0:c r="D611" s="4" t="n">
        <ns0:v>1</ns0:v>
      </ns0:c>
      <ns0:c r="E611" s="4" t="n">
        <ns0:v>500</ns0:v>
      </ns0:c>
      <ns0:c r="F611" s="6" t="n">
        <ns0:v>0.3</ns0:v>
      </ns0:c>
      <ns0:c r="G611" s="4" t="n">
        <ns0:v>3</ns0:v>
      </ns0:c>
      <ns0:c r="H611" s="7" t="n">
        <ns0:v>7764.525139664803</ns0:v>
      </ns0:c>
      <ns0:c r="I611" s="7" t="n">
        <ns0:v>3719.273743016759</ns0:v>
      </ns0:c>
      <ns0:c r="J611" s="7" t="n">
        <ns0:v>1115.782122905028</ns0:v>
      </ns0:c>
      <ns0:c r="K611" s="7" t="n">
        <ns0:v>21</ns0:v>
      </ns0:c>
      <ns0:c r="L611" s="7" t="n">
        <ns0:v>238</ns0:v>
      </ns0:c>
      <ns0:c r="M611" s="7" t="n">
        <ns0:v>-22324.46583059949</ns0:v>
      </ns0:c>
      <ns0:c r="N611" s="7" t="n">
        <ns0:v>23492.04717981159</ns0:v>
      </ns0:c>
      <ns0:c r="O611" s="7" t="n">
        <ns0:v>75494.03505055781</ns0:v>
      </ns0:c>
      <ns0:c r="P611" s="7" t="n">
        <ns0:v>205499.0047274234</ns0:v>
      </ns0:c>
      <ns0:c r="Q611" s="7" t="n">
        <ns0:v>683518.8834348858</ns0:v>
      </ns0:c>
      <ns0:c r="R611" s="7" t="n">
        <ns0:v>2433588.458911004</ns0:v>
      </ns0:c>
    </ns0:row>
    <ns0:row r="612" ht="24" customHeight="1">
      <ns0:c r="A612" s="3" t="inlineStr">
        <ns0:is>
          <ns0:t>セット</ns0:t>
        </ns0:is>
      </ns0:c>
      <ns0:c r="B612" s="3" t="inlineStr">
        <ns0:is>
          <ns0:t>G2二段階</ns0:t>
        </ns0:is>
      </ns0:c>
      <ns0:c r="C612" s="3" t="inlineStr">
        <ns0:is>
          <ns0:t>C</ns0:t>
        </ns0:is>
      </ns0:c>
      <ns0:c r="D612" s="4" t="n">
        <ns0:v>1</ns0:v>
      </ns0:c>
      <ns0:c r="E612" s="4" t="n">
        <ns0:v>500</ns0:v>
      </ns0:c>
      <ns0:c r="F612" s="6" t="n">
        <ns0:v>0.4</ns0:v>
      </ns0:c>
      <ns0:c r="G612" s="4" t="n">
        <ns0:v>0</ns0:v>
      </ns0:c>
      <ns0:c r="H612" s="7" t="n">
        <ns0:v>7764.525139664803</ns0:v>
      </ns0:c>
      <ns0:c r="I612" s="7" t="n">
        <ns0:v>3719.273743016759</ns0:v>
      </ns0:c>
      <ns0:c r="J612" s="7" t="n">
        <ns0:v>1487.709497206704</ns0:v>
      </ns0:c>
      <ns0:c r="K612" s="7" t="n">
        <ns0:v>16</ns0:v>
      </ns0:c>
      <ns0:c r="L612" s="7" t="n">
        <ns0:v>23</ns0:v>
      </ns0:c>
      <ns0:c r="M612" s="7" t="n">
        <ns0:v>-12257.72656807944</ns0:v>
      </ns0:c>
      <ns0:c r="N612" s="7" t="n">
        <ns0:v>53692.26496737171</ns0:v>
      </ns0:c>
      <ns0:c r="O612" s="7" t="n">
        <ns0:v>125827.7313631581</ns0:v>
      </ns0:c>
      <ns0:c r="P612" s="7" t="n">
        <ns0:v>306166.3973526239</ns0:v>
      </ns0:c>
      <ns0:c r="Q612" s="7" t="n">
        <ns0:v>985521.0613104869</ns0:v>
      </ns0:c>
      <ns0:c r="R612" s="7" t="n">
        <ns0:v>3440262.385163009</ns0:v>
      </ns0:c>
    </ns0:row>
    <ns0:row r="613" ht="24" customHeight="1">
      <ns0:c r="A613" s="3" t="inlineStr">
        <ns0:is>
          <ns0:t>セット</ns0:t>
        </ns0:is>
      </ns0:c>
      <ns0:c r="B613" s="3" t="inlineStr">
        <ns0:is>
          <ns0:t>G2二段階</ns0:t>
        </ns0:is>
      </ns0:c>
      <ns0:c r="C613" s="3" t="inlineStr">
        <ns0:is>
          <ns0:t>C</ns0:t>
        </ns0:is>
      </ns0:c>
      <ns0:c r="D613" s="4" t="n">
        <ns0:v>1</ns0:v>
      </ns0:c>
      <ns0:c r="E613" s="4" t="n">
        <ns0:v>500</ns0:v>
      </ns0:c>
      <ns0:c r="F613" s="6" t="n">
        <ns0:v>0.4</ns0:v>
      </ns0:c>
      <ns0:c r="G613" s="4" t="n">
        <ns0:v>1</ns0:v>
      </ns0:c>
      <ns0:c r="H613" s="7" t="n">
        <ns0:v>7764.525139664803</ns0:v>
      </ns0:c>
      <ns0:c r="I613" s="7" t="n">
        <ns0:v>3719.273743016759</ns0:v>
      </ns0:c>
      <ns0:c r="J613" s="7" t="n">
        <ns0:v>1487.709497206704</ns0:v>
      </ns0:c>
      <ns0:c r="K613" s="7" t="n">
        <ns0:v>18</ns0:v>
      </ns0:c>
      <ns0:c r="L613" s="7" t="n">
        <ns0:v>33</ns0:v>
      </ns0:c>
      <ns0:c r="M613" s="7" t="n">
        <ns0:v>-16581.23277308351</ns0:v>
      </ns0:c>
      <ns0:c r="N613" s="7" t="n">
        <ns0:v>40721.74635235951</ns0:v>
      </ns0:c>
      <ns0:c r="O613" s="7" t="n">
        <ns0:v>104210.2003381377</ns0:v>
      </ns0:c>
      <ns0:c r="P613" s="7" t="n">
        <ns0:v>262931.3353025832</ns0:v>
      </ns0:c>
      <ns0:c r="Q613" s="7" t="n">
        <ns0:v>855815.8751603649</ns0:v>
      </ns0:c>
      <ns0:c r="R613" s="7" t="n">
        <ns0:v>3007911.764662602</ns0:v>
      </ns0:c>
    </ns0:row>
    <ns0:row r="614" ht="24" customHeight="1">
      <ns0:c r="A614" s="3" t="inlineStr">
        <ns0:is>
          <ns0:t>セット</ns0:t>
        </ns0:is>
      </ns0:c>
      <ns0:c r="B614" s="3" t="inlineStr">
        <ns0:is>
          <ns0:t>G2二段階</ns0:t>
        </ns0:is>
      </ns0:c>
      <ns0:c r="C614" s="3" t="inlineStr">
        <ns0:is>
          <ns0:t>C</ns0:t>
        </ns0:is>
      </ns0:c>
      <ns0:c r="D614" s="4" t="n">
        <ns0:v>1</ns0:v>
      </ns0:c>
      <ns0:c r="E614" s="4" t="n">
        <ns0:v>500</ns0:v>
      </ns0:c>
      <ns0:c r="F614" s="6" t="n">
        <ns0:v>0.4</ns0:v>
      </ns0:c>
      <ns0:c r="G614" s="4" t="n">
        <ns0:v>2</ns0:v>
      </ns0:c>
      <ns0:c r="H614" s="7" t="n">
        <ns0:v>7764.525139664803</ns0:v>
      </ns0:c>
      <ns0:c r="I614" s="7" t="n">
        <ns0:v>3719.273743016759</ns0:v>
      </ns0:c>
      <ns0:c r="J614" s="7" t="n">
        <ns0:v>1487.709497206704</ns0:v>
      </ns0:c>
      <ns0:c r="K614" s="18" t="inlineStr">
        <ns0:is>
          <ns0:t>範囲内なし</ns0:t>
        </ns0:is>
      </ns0:c>
      <ns0:c r="L614" s="18" t="inlineStr">
        <ns0:is>
          <ns0:t>範囲内なし</ns0:t>
        </ns0:is>
      </ns0:c>
      <ns0:c r="M614" s="7" t="n">
        <ns0:v>-53164.93673665677</ns0:v>
      </ns0:c>
      <ns0:c r="N614" s="7" t="n">
        <ns0:v>-69029.36553836029</ns0:v>
      </ns0:c>
      <ns0:c r="O614" s="7" t="n">
        <ns0:v>-78708.3194797286</ns0:v>
      </ns0:c>
      <ns0:c r="P614" s="7" t="n">
        <ns0:v>-102905.7043331494</ns0:v>
      </ns0:c>
      <ns0:c r="Q614" s="7" t="n">
        <ns0:v>-241695.2437468329</ns0:v>
      </ns0:c>
      <ns0:c r="R614" s="7" t="n">
        <ns0:v>-650458.6316947234</ns0:v>
      </ns0:c>
    </ns0:row>
    <ns0:row r="615" ht="24" customHeight="1">
      <ns0:c r="A615" s="3" t="inlineStr">
        <ns0:is>
          <ns0:t>セット</ns0:t>
        </ns0:is>
      </ns0:c>
      <ns0:c r="B615" s="3" t="inlineStr">
        <ns0:is>
          <ns0:t>G2二段階</ns0:t>
        </ns0:is>
      </ns0:c>
      <ns0:c r="C615" s="3" t="inlineStr">
        <ns0:is>
          <ns0:t>C</ns0:t>
        </ns0:is>
      </ns0:c>
      <ns0:c r="D615" s="4" t="n">
        <ns0:v>1</ns0:v>
      </ns0:c>
      <ns0:c r="E615" s="4" t="n">
        <ns0:v>500</ns0:v>
      </ns0:c>
      <ns0:c r="F615" s="6" t="n">
        <ns0:v>0.4</ns0:v>
      </ns0:c>
      <ns0:c r="G615" s="4" t="n">
        <ns0:v>3</ns0:v>
      </ns0:c>
      <ns0:c r="H615" s="7" t="n">
        <ns0:v>7764.525139664803</ns0:v>
      </ns0:c>
      <ns0:c r="I615" s="7" t="n">
        <ns0:v>3719.273743016759</ns0:v>
      </ns0:c>
      <ns0:c r="J615" s="7" t="n">
        <ns0:v>1487.709497206704</ns0:v>
      </ns0:c>
      <ns0:c r="K615" s="7" t="n">
        <ns0:v>25</ns0:v>
      </ns0:c>
      <ns0:c r="L615" s="7" t="n">
        <ns0:v>708</ns0:v>
      </ns0:c>
      <ns0:c r="M615" s="7" t="n">
        <ns0:v>-26043.73957361624</ns0:v>
      </ns0:c>
      <ns0:c r="N615" s="7" t="n">
        <ns0:v>12334.22595076131</ns0:v>
      </ns0:c>
      <ns0:c r="O615" s="7" t="n">
        <ns0:v>56897.66633547402</ns0:v>
      </ns0:c>
      <ns0:c r="P615" s="7" t="n">
        <ns0:v>168306.2672972558</ns0:v>
      </ns0:c>
      <ns0:c r="Q615" s="7" t="n">
        <ns0:v>571940.6711443829</ns0:v>
      </ns0:c>
      <ns0:c r="R615" s="7" t="n">
        <ns0:v>2061661.084609329</ns0:v>
      </ns0:c>
    </ns0:row>
    <ns0:row r="616" ht="24" customHeight="1">
      <ns0:c r="A616" s="3" t="inlineStr">
        <ns0:is>
          <ns0:t>セット</ns0:t>
        </ns0:is>
      </ns0:c>
      <ns0:c r="B616" s="3" t="inlineStr">
        <ns0:is>
          <ns0:t>G2二段階</ns0:t>
        </ns0:is>
      </ns0:c>
      <ns0:c r="C616" s="3" t="inlineStr">
        <ns0:is>
          <ns0:t>C</ns0:t>
        </ns0:is>
      </ns0:c>
      <ns0:c r="D616" s="4" t="n">
        <ns0:v>1</ns0:v>
      </ns0:c>
      <ns0:c r="E616" s="4" t="n">
        <ns0:v>500</ns0:v>
      </ns0:c>
      <ns0:c r="F616" s="6" t="n">
        <ns0:v>0.5</ns0:v>
      </ns0:c>
      <ns0:c r="G616" s="4" t="n">
        <ns0:v>0</ns0:v>
      </ns0:c>
      <ns0:c r="H616" s="7" t="n">
        <ns0:v>7764.525139664803</ns0:v>
      </ns0:c>
      <ns0:c r="I616" s="7" t="n">
        <ns0:v>3719.273743016759</ns0:v>
      </ns0:c>
      <ns0:c r="J616" s="7" t="n">
        <ns0:v>1859.63687150838</ns0:v>
      </ns0:c>
      <ns0:c r="K616" s="7" t="n">
        <ns0:v>17</ns0:v>
      </ns0:c>
      <ns0:c r="L616" s="7" t="n">
        <ns0:v>25</ns0:v>
      </ns0:c>
      <ns0:c r="M616" s="7" t="n">
        <ns0:v>-15977.0003110962</ns0:v>
      </ns0:c>
      <ns0:c r="N616" s="7" t="n">
        <ns0:v>42534.44373832145</ns0:v>
      </ns0:c>
      <ns0:c r="O616" s="7" t="n">
        <ns0:v>107231.3626480743</ns0:v>
      </ns0:c>
      <ns0:c r="P616" s="7" t="n">
        <ns0:v>268973.6599224563</ns0:v>
      </ns0:c>
      <ns0:c r="Q616" s="7" t="n">
        <ns0:v>873942.8490199842</ns0:v>
      </ns0:c>
      <ns0:c r="R616" s="7" t="n">
        <ns0:v>3068335.010861333</ns0:v>
      </ns0:c>
    </ns0:row>
    <ns0:row r="617" ht="24" customHeight="1">
      <ns0:c r="A617" s="3" t="inlineStr">
        <ns0:is>
          <ns0:t>セット</ns0:t>
        </ns0:is>
      </ns0:c>
      <ns0:c r="B617" s="3" t="inlineStr">
        <ns0:is>
          <ns0:t>G2二段階</ns0:t>
        </ns0:is>
      </ns0:c>
      <ns0:c r="C617" s="3" t="inlineStr">
        <ns0:is>
          <ns0:t>C</ns0:t>
        </ns0:is>
      </ns0:c>
      <ns0:c r="D617" s="4" t="n">
        <ns0:v>1</ns0:v>
      </ns0:c>
      <ns0:c r="E617" s="4" t="n">
        <ns0:v>500</ns0:v>
      </ns0:c>
      <ns0:c r="F617" s="6" t="n">
        <ns0:v>0.5</ns0:v>
      </ns0:c>
      <ns0:c r="G617" s="4" t="n">
        <ns0:v>1</ns0:v>
      </ns0:c>
      <ns0:c r="H617" s="7" t="n">
        <ns0:v>7764.525139664803</ns0:v>
      </ns0:c>
      <ns0:c r="I617" s="7" t="n">
        <ns0:v>3719.273743016759</ns0:v>
      </ns0:c>
      <ns0:c r="J617" s="7" t="n">
        <ns0:v>1859.63687150838</ns0:v>
      </ns0:c>
      <ns0:c r="K617" s="7" t="n">
        <ns0:v>20</ns0:v>
      </ns0:c>
      <ns0:c r="L617" s="7" t="n">
        <ns0:v>37</ns0:v>
      </ns0:c>
      <ns0:c r="M617" s="7" t="n">
        <ns0:v>-20300.50651610027</ns0:v>
      </ns0:c>
      <ns0:c r="N617" s="7" t="n">
        <ns0:v>29563.92512330925</ns0:v>
      </ns0:c>
      <ns0:c r="O617" s="7" t="n">
        <ns0:v>85613.83162305388</ns0:v>
      </ns0:c>
      <ns0:c r="P617" s="7" t="n">
        <ns0:v>225738.5978724156</ns0:v>
      </ns0:c>
      <ns0:c r="Q617" s="7" t="n">
        <ns0:v>744237.662869862</ns0:v>
      </ns0:c>
      <ns0:c r="R617" s="7" t="n">
        <ns0:v>2635984.390360926</ns0:v>
      </ns0:c>
    </ns0:row>
    <ns0:row r="618" ht="24" customHeight="1">
      <ns0:c r="A618" s="3" t="inlineStr">
        <ns0:is>
          <ns0:t>セット</ns0:t>
        </ns0:is>
      </ns0:c>
      <ns0:c r="B618" s="3" t="inlineStr">
        <ns0:is>
          <ns0:t>G2二段階</ns0:t>
        </ns0:is>
      </ns0:c>
      <ns0:c r="C618" s="3" t="inlineStr">
        <ns0:is>
          <ns0:t>C</ns0:t>
        </ns0:is>
      </ns0:c>
      <ns0:c r="D618" s="4" t="n">
        <ns0:v>1</ns0:v>
      </ns0:c>
      <ns0:c r="E618" s="4" t="n">
        <ns0:v>500</ns0:v>
      </ns0:c>
      <ns0:c r="F618" s="6" t="n">
        <ns0:v>0.5</ns0:v>
      </ns0:c>
      <ns0:c r="G618" s="4" t="n">
        <ns0:v>2</ns0:v>
      </ns0:c>
      <ns0:c r="H618" s="7" t="n">
        <ns0:v>7764.525139664803</ns0:v>
      </ns0:c>
      <ns0:c r="I618" s="7" t="n">
        <ns0:v>3719.273743016759</ns0:v>
      </ns0:c>
      <ns0:c r="J618" s="7" t="n">
        <ns0:v>1859.63687150838</ns0:v>
      </ns0:c>
      <ns0:c r="K618" s="18" t="inlineStr">
        <ns0:is>
          <ns0:t>範囲内なし</ns0:t>
        </ns0:is>
      </ns0:c>
      <ns0:c r="L618" s="18" t="inlineStr">
        <ns0:is>
          <ns0:t>範囲内なし</ns0:t>
        </ns0:is>
      </ns0:c>
      <ns0:c r="M618" s="7" t="n">
        <ns0:v>-56884.21047967353</ns0:v>
      </ns0:c>
      <ns0:c r="N618" s="7" t="n">
        <ns0:v>-80187.18676741055</ns0:v>
      </ns0:c>
      <ns0:c r="O618" s="7" t="n">
        <ns0:v>-97304.68819481241</ns0:v>
      </ns0:c>
      <ns0:c r="P618" s="7" t="n">
        <ns0:v>-140098.441763317</ns0:v>
      </ns0:c>
      <ns0:c r="Q618" s="7" t="n">
        <ns0:v>-353273.4560373356</ns0:v>
      </ns0:c>
      <ns0:c r="R618" s="7" t="n">
        <ns0:v>-1022386.0059964</ns0:v>
      </ns0:c>
    </ns0:row>
    <ns0:row r="619" ht="24" customHeight="1">
      <ns0:c r="A619" s="3" t="inlineStr">
        <ns0:is>
          <ns0:t>セット</ns0:t>
        </ns0:is>
      </ns0:c>
      <ns0:c r="B619" s="3" t="inlineStr">
        <ns0:is>
          <ns0:t>G2二段階</ns0:t>
        </ns0:is>
      </ns0:c>
      <ns0:c r="C619" s="3" t="inlineStr">
        <ns0:is>
          <ns0:t>C</ns0:t>
        </ns0:is>
      </ns0:c>
      <ns0:c r="D619" s="4" t="n">
        <ns0:v>1</ns0:v>
      </ns0:c>
      <ns0:c r="E619" s="4" t="n">
        <ns0:v>500</ns0:v>
      </ns0:c>
      <ns0:c r="F619" s="6" t="n">
        <ns0:v>0.5</ns0:v>
      </ns0:c>
      <ns0:c r="G619" s="4" t="n">
        <ns0:v>3</ns0:v>
      </ns0:c>
      <ns0:c r="H619" s="7" t="n">
        <ns0:v>7764.525139664803</ns0:v>
      </ns0:c>
      <ns0:c r="I619" s="7" t="n">
        <ns0:v>3719.273743016759</ns0:v>
      </ns0:c>
      <ns0:c r="J619" s="7" t="n">
        <ns0:v>1859.63687150838</ns0:v>
      </ns0:c>
      <ns0:c r="K619" s="7" t="n">
        <ns0:v>30</ns0:v>
      </ns0:c>
      <ns0:c r="L619" s="18" t="inlineStr">
        <ns0:is>
          <ns0:t>範囲内なし</ns0:t>
        </ns0:is>
      </ns0:c>
      <ns0:c r="M619" s="7" t="n">
        <ns0:v>-29763.01331663301</ns0:v>
      </ns0:c>
      <ns0:c r="N619" s="7" t="n">
        <ns0:v>1176.404721711049</ns0:v>
      </ns0:c>
      <ns0:c r="O619" s="7" t="n">
        <ns0:v>38301.29762039021</ns0:v>
      </ns0:c>
      <ns0:c r="P619" s="7" t="n">
        <ns0:v>131113.5298670882</ns0:v>
      </ns0:c>
      <ns0:c r="Q619" s="7" t="n">
        <ns0:v>460362.4588538801</ns0:v>
      </ns0:c>
      <ns0:c r="R619" s="7" t="n">
        <ns0:v>1689733.710307653</ns0:v>
      </ns0:c>
    </ns0:row>
    <ns0:row r="620" ht="24" customHeight="1">
      <ns0:c r="A620" s="3" t="inlineStr">
        <ns0:is>
          <ns0:t>セット</ns0:t>
        </ns0:is>
      </ns0:c>
      <ns0:c r="B620" s="3" t="inlineStr">
        <ns0:is>
          <ns0:t>G2二段階</ns0:t>
        </ns0:is>
      </ns0:c>
      <ns0:c r="C620" s="3" t="inlineStr">
        <ns0:is>
          <ns0:t>C</ns0:t>
        </ns0:is>
      </ns0:c>
      <ns0:c r="D620" s="4" t="n">
        <ns0:v>1</ns0:v>
      </ns0:c>
      <ns0:c r="E620" s="4" t="n">
        <ns0:v>1000</ns0:v>
      </ns0:c>
      <ns0:c r="F620" s="6" t="n">
        <ns0:v>0.3</ns0:v>
      </ns0:c>
      <ns0:c r="G620" s="4" t="n">
        <ns0:v>0</ns0:v>
      </ns0:c>
      <ns0:c r="H620" s="7" t="n">
        <ns0:v>7264.525139664804</ns0:v>
      </ns0:c>
      <ns0:c r="I620" s="7" t="n">
        <ns0:v>3219.273743016759</ns0:v>
      </ns0:c>
      <ns0:c r="J620" s="7" t="n">
        <ns0:v>965.7821229050279</ns0:v>
      </ns0:c>
      <ns0:c r="K620" s="7" t="n">
        <ns0:v>16</ns0:v>
      </ns0:c>
      <ns0:c r="L620" s="7" t="n">
        <ns0:v>23</ns0:v>
      </ns0:c>
      <ns0:c r="M620" s="7" t="n">
        <ns0:v>-11858.45282506268</ns0:v>
      </ns0:c>
      <ns0:c r="N620" s="7" t="n">
        <ns0:v>54890.08619642199</ns0:v>
      </ns0:c>
      <ns0:c r="O620" s="7" t="n">
        <ns0:v>127824.1000782419</ns0:v>
      </ns0:c>
      <ns0:c r="P620" s="7" t="n">
        <ns0:v>310159.1347827915</ns0:v>
      </ns0:c>
      <ns0:c r="Q620" s="7" t="n">
        <ns0:v>997499.27360099</ns0:v>
      </ns0:c>
      <ns0:c r="R620" s="7" t="n">
        <ns0:v>3480189.759464684</ns0:v>
      </ns0:c>
    </ns0:row>
    <ns0:row r="621" ht="24" customHeight="1">
      <ns0:c r="A621" s="3" t="inlineStr">
        <ns0:is>
          <ns0:t>セット</ns0:t>
        </ns0:is>
      </ns0:c>
      <ns0:c r="B621" s="3" t="inlineStr">
        <ns0:is>
          <ns0:t>G2二段階</ns0:t>
        </ns0:is>
      </ns0:c>
      <ns0:c r="C621" s="3" t="inlineStr">
        <ns0:is>
          <ns0:t>C</ns0:t>
        </ns0:is>
      </ns0:c>
      <ns0:c r="D621" s="4" t="n">
        <ns0:v>1</ns0:v>
      </ns0:c>
      <ns0:c r="E621" s="4" t="n">
        <ns0:v>1000</ns0:v>
      </ns0:c>
      <ns0:c r="F621" s="6" t="n">
        <ns0:v>0.3</ns0:v>
      </ns0:c>
      <ns0:c r="G621" s="4" t="n">
        <ns0:v>1</ns0:v>
      </ns0:c>
      <ns0:c r="H621" s="7" t="n">
        <ns0:v>7264.525139664804</ns0:v>
      </ns0:c>
      <ns0:c r="I621" s="7" t="n">
        <ns0:v>3219.273743016759</ns0:v>
      </ns0:c>
      <ns0:c r="J621" s="7" t="n">
        <ns0:v>965.7821229050279</ns0:v>
      </ns0:c>
      <ns0:c r="K621" s="7" t="n">
        <ns0:v>17</ns0:v>
      </ns0:c>
      <ns0:c r="L621" s="7" t="n">
        <ns0:v>32</ns0:v>
      </ns0:c>
      <ns0:c r="M621" s="7" t="n">
        <ns0:v>-16181.95903006675</ns0:v>
      </ns0:c>
      <ns0:c r="N621" s="7" t="n">
        <ns0:v>41919.56758140978</ns0:v>
      </ns0:c>
      <ns0:c r="O621" s="7" t="n">
        <ns0:v>106206.5690532215</ns0:v>
      </ns0:c>
      <ns0:c r="P621" s="7" t="n">
        <ns0:v>266924.0727327508</ns0:v>
      </ns0:c>
      <ns0:c r="Q621" s="7" t="n">
        <ns0:v>867794.0874508678</ns0:v>
      </ns0:c>
      <ns0:c r="R621" s="7" t="n">
        <ns0:v>3047839.138964277</ns0:v>
      </ns0:c>
    </ns0:row>
    <ns0:row r="622" ht="24" customHeight="1">
      <ns0:c r="A622" s="3" t="inlineStr">
        <ns0:is>
          <ns0:t>セット</ns0:t>
        </ns0:is>
      </ns0:c>
      <ns0:c r="B622" s="3" t="inlineStr">
        <ns0:is>
          <ns0:t>G2二段階</ns0:t>
        </ns0:is>
      </ns0:c>
      <ns0:c r="C622" s="3" t="inlineStr">
        <ns0:is>
          <ns0:t>C</ns0:t>
        </ns0:is>
      </ns0:c>
      <ns0:c r="D622" s="4" t="n">
        <ns0:v>1</ns0:v>
      </ns0:c>
      <ns0:c r="E622" s="4" t="n">
        <ns0:v>1000</ns0:v>
      </ns0:c>
      <ns0:c r="F622" s="6" t="n">
        <ns0:v>0.3</ns0:v>
      </ns0:c>
      <ns0:c r="G622" s="4" t="n">
        <ns0:v>2</ns0:v>
      </ns0:c>
      <ns0:c r="H622" s="7" t="n">
        <ns0:v>7264.525139664804</ns0:v>
      </ns0:c>
      <ns0:c r="I622" s="7" t="n">
        <ns0:v>3219.273743016759</ns0:v>
      </ns0:c>
      <ns0:c r="J622" s="7" t="n">
        <ns0:v>965.7821229050279</ns0:v>
      </ns0:c>
      <ns0:c r="K622" s="18" t="inlineStr">
        <ns0:is>
          <ns0:t>範囲内なし</ns0:t>
        </ns0:is>
      </ns0:c>
      <ns0:c r="L622" s="18" t="inlineStr">
        <ns0:is>
          <ns0:t>範囲内なし</ns0:t>
        </ns0:is>
      </ns0:c>
      <ns0:c r="M622" s="7" t="n">
        <ns0:v>-52765.66299364001</ns0:v>
      </ns0:c>
      <ns0:c r="N622" s="7" t="n">
        <ns0:v>-67831.54430931</ns0:v>
      </ns0:c>
      <ns0:c r="O622" s="7" t="n">
        <ns0:v>-76711.95076464479</ns0:v>
      </ns0:c>
      <ns0:c r="P622" s="7" t="n">
        <ns0:v>-98912.96690298177</ns0:v>
      </ns0:c>
      <ns0:c r="Q622" s="7" t="n">
        <ns0:v>-229717.0314563299</ns0:v>
      </ns0:c>
      <ns0:c r="R622" s="7" t="n">
        <ns0:v>-610531.2573930491</ns0:v>
      </ns0:c>
    </ns0:row>
    <ns0:row r="623" ht="24" customHeight="1">
      <ns0:c r="A623" s="3" t="inlineStr">
        <ns0:is>
          <ns0:t>セット</ns0:t>
        </ns0:is>
      </ns0:c>
      <ns0:c r="B623" s="3" t="inlineStr">
        <ns0:is>
          <ns0:t>G2二段階</ns0:t>
        </ns0:is>
      </ns0:c>
      <ns0:c r="C623" s="3" t="inlineStr">
        <ns0:is>
          <ns0:t>C</ns0:t>
        </ns0:is>
      </ns0:c>
      <ns0:c r="D623" s="4" t="n">
        <ns0:v>1</ns0:v>
      </ns0:c>
      <ns0:c r="E623" s="4" t="n">
        <ns0:v>1000</ns0:v>
      </ns0:c>
      <ns0:c r="F623" s="6" t="n">
        <ns0:v>0.3</ns0:v>
      </ns0:c>
      <ns0:c r="G623" s="4" t="n">
        <ns0:v>3</ns0:v>
      </ns0:c>
      <ns0:c r="H623" s="7" t="n">
        <ns0:v>7264.525139664804</ns0:v>
      </ns0:c>
      <ns0:c r="I623" s="7" t="n">
        <ns0:v>3219.273743016759</ns0:v>
      </ns0:c>
      <ns0:c r="J623" s="7" t="n">
        <ns0:v>965.7821229050279</ns0:v>
      </ns0:c>
      <ns0:c r="K623" s="7" t="n">
        <ns0:v>25</ns0:v>
      </ns0:c>
      <ns0:c r="L623" s="7" t="n">
        <ns0:v>632</ns0:v>
      </ns0:c>
      <ns0:c r="M623" s="7" t="n">
        <ns0:v>-25644.46583059948</ns0:v>
      </ns0:c>
      <ns0:c r="N623" s="7" t="n">
        <ns0:v>13532.04717981158</ns0:v>
      </ns0:c>
      <ns0:c r="O623" s="7" t="n">
        <ns0:v>58894.03505055783</ns0:v>
      </ns0:c>
      <ns0:c r="P623" s="7" t="n">
        <ns0:v>172299.0047274235</ns0:v>
      </ns0:c>
      <ns0:c r="Q623" s="7" t="n">
        <ns0:v>583918.8834348859</ns0:v>
      </ns0:c>
      <ns0:c r="R623" s="7" t="n">
        <ns0:v>2101588.458911004</ns0:v>
      </ns0:c>
    </ns0:row>
    <ns0:row r="624" ht="24" customHeight="1">
      <ns0:c r="A624" s="3" t="inlineStr">
        <ns0:is>
          <ns0:t>セット</ns0:t>
        </ns0:is>
      </ns0:c>
      <ns0:c r="B624" s="3" t="inlineStr">
        <ns0:is>
          <ns0:t>G2二段階</ns0:t>
        </ns0:is>
      </ns0:c>
      <ns0:c r="C624" s="3" t="inlineStr">
        <ns0:is>
          <ns0:t>C</ns0:t>
        </ns0:is>
      </ns0:c>
      <ns0:c r="D624" s="4" t="n">
        <ns0:v>1</ns0:v>
      </ns0:c>
      <ns0:c r="E624" s="4" t="n">
        <ns0:v>1000</ns0:v>
      </ns0:c>
      <ns0:c r="F624" s="6" t="n">
        <ns0:v>0.4</ns0:v>
      </ns0:c>
      <ns0:c r="G624" s="4" t="n">
        <ns0:v>0</ns0:v>
      </ns0:c>
      <ns0:c r="H624" s="7" t="n">
        <ns0:v>7264.525139664804</ns0:v>
      </ns0:c>
      <ns0:c r="I624" s="7" t="n">
        <ns0:v>3219.273743016759</ns0:v>
      </ns0:c>
      <ns0:c r="J624" s="7" t="n">
        <ns0:v>1287.709497206704</ns0:v>
      </ns0:c>
      <ns0:c r="K624" s="7" t="n">
        <ns0:v>17</ns0:v>
      </ns0:c>
      <ns0:c r="L624" s="7" t="n">
        <ns0:v>25</ns0:v>
      </ns0:c>
      <ns0:c r="M624" s="7" t="n">
        <ns0:v>-15077.72656807944</ns0:v>
      </ns0:c>
      <ns0:c r="N624" s="7" t="n">
        <ns0:v>45232.26496737172</ns0:v>
      </ns0:c>
      <ns0:c r="O624" s="7" t="n">
        <ns0:v>111727.7313631581</ns0:v>
      </ns0:c>
      <ns0:c r="P624" s="7" t="n">
        <ns0:v>277966.3973526239</ns0:v>
      </ns0:c>
      <ns0:c r="Q624" s="7" t="n">
        <ns0:v>900921.0613104871</ns0:v>
      </ns0:c>
      <ns0:c r="R624" s="7" t="n">
        <ns0:v>3158262.385163009</ns0:v>
      </ns0:c>
    </ns0:row>
    <ns0:row r="625" ht="24" customHeight="1">
      <ns0:c r="A625" s="3" t="inlineStr">
        <ns0:is>
          <ns0:t>セット</ns0:t>
        </ns0:is>
      </ns0:c>
      <ns0:c r="B625" s="3" t="inlineStr">
        <ns0:is>
          <ns0:t>G2二段階</ns0:t>
        </ns0:is>
      </ns0:c>
      <ns0:c r="C625" s="3" t="inlineStr">
        <ns0:is>
          <ns0:t>C</ns0:t>
        </ns0:is>
      </ns0:c>
      <ns0:c r="D625" s="4" t="n">
        <ns0:v>1</ns0:v>
      </ns0:c>
      <ns0:c r="E625" s="4" t="n">
        <ns0:v>1000</ns0:v>
      </ns0:c>
      <ns0:c r="F625" s="6" t="n">
        <ns0:v>0.4</ns0:v>
      </ns0:c>
      <ns0:c r="G625" s="4" t="n">
        <ns0:v>1</ns0:v>
      </ns0:c>
      <ns0:c r="H625" s="7" t="n">
        <ns0:v>7264.525139664804</ns0:v>
      </ns0:c>
      <ns0:c r="I625" s="7" t="n">
        <ns0:v>3219.273743016759</ns0:v>
      </ns0:c>
      <ns0:c r="J625" s="7" t="n">
        <ns0:v>1287.709497206704</ns0:v>
      </ns0:c>
      <ns0:c r="K625" s="7" t="n">
        <ns0:v>19</ns0:v>
      </ns0:c>
      <ns0:c r="L625" s="7" t="n">
        <ns0:v>36</ns0:v>
      </ns0:c>
      <ns0:c r="M625" s="7" t="n">
        <ns0:v>-19401.23277308351</ns0:v>
      </ns0:c>
      <ns0:c r="N625" s="7" t="n">
        <ns0:v>32261.74635235951</ns0:v>
      </ns0:c>
      <ns0:c r="O625" s="7" t="n">
        <ns0:v>90110.20033813769</ns0:v>
      </ns0:c>
      <ns0:c r="P625" s="7" t="n">
        <ns0:v>234731.3353025832</ns0:v>
      </ns0:c>
      <ns0:c r="Q625" s="7" t="n">
        <ns0:v>771215.8751603651</ns0:v>
      </ns0:c>
      <ns0:c r="R625" s="7" t="n">
        <ns0:v>2725911.764662602</ns0:v>
      </ns0:c>
    </ns0:row>
    <ns0:row r="626" ht="24" customHeight="1">
      <ns0:c r="A626" s="3" t="inlineStr">
        <ns0:is>
          <ns0:t>セット</ns0:t>
        </ns0:is>
      </ns0:c>
      <ns0:c r="B626" s="3" t="inlineStr">
        <ns0:is>
          <ns0:t>G2二段階</ns0:t>
        </ns0:is>
      </ns0:c>
      <ns0:c r="C626" s="3" t="inlineStr">
        <ns0:is>
          <ns0:t>C</ns0:t>
        </ns0:is>
      </ns0:c>
      <ns0:c r="D626" s="4" t="n">
        <ns0:v>1</ns0:v>
      </ns0:c>
      <ns0:c r="E626" s="4" t="n">
        <ns0:v>1000</ns0:v>
      </ns0:c>
      <ns0:c r="F626" s="6" t="n">
        <ns0:v>0.4</ns0:v>
      </ns0:c>
      <ns0:c r="G626" s="4" t="n">
        <ns0:v>2</ns0:v>
      </ns0:c>
      <ns0:c r="H626" s="7" t="n">
        <ns0:v>7264.525139664804</ns0:v>
      </ns0:c>
      <ns0:c r="I626" s="7" t="n">
        <ns0:v>3219.273743016759</ns0:v>
      </ns0:c>
      <ns0:c r="J626" s="7" t="n">
        <ns0:v>1287.709497206704</ns0:v>
      </ns0:c>
      <ns0:c r="K626" s="18" t="inlineStr">
        <ns0:is>
          <ns0:t>範囲内なし</ns0:t>
        </ns0:is>
      </ns0:c>
      <ns0:c r="L626" s="18" t="inlineStr">
        <ns0:is>
          <ns0:t>範囲内なし</ns0:t>
        </ns0:is>
      </ns0:c>
      <ns0:c r="M626" s="7" t="n">
        <ns0:v>-55984.93673665677</ns0:v>
      </ns0:c>
      <ns0:c r="N626" s="7" t="n">
        <ns0:v>-77489.36553836029</ns0:v>
      </ns0:c>
      <ns0:c r="O626" s="7" t="n">
        <ns0:v>-92808.3194797286</ns0:v>
      </ns0:c>
      <ns0:c r="P626" s="7" t="n">
        <ns0:v>-131105.7043331494</ns0:v>
      </ns0:c>
      <ns0:c r="Q626" s="7" t="n">
        <ns0:v>-326295.2437468327</ns0:v>
      </ns0:c>
      <ns0:c r="R626" s="7" t="n">
        <ns0:v>-932458.6316947239</ns0:v>
      </ns0:c>
    </ns0:row>
    <ns0:row r="627" ht="24" customHeight="1">
      <ns0:c r="A627" s="3" t="inlineStr">
        <ns0:is>
          <ns0:t>セット</ns0:t>
        </ns0:is>
      </ns0:c>
      <ns0:c r="B627" s="3" t="inlineStr">
        <ns0:is>
          <ns0:t>G2二段階</ns0:t>
        </ns0:is>
      </ns0:c>
      <ns0:c r="C627" s="3" t="inlineStr">
        <ns0:is>
          <ns0:t>C</ns0:t>
        </ns0:is>
      </ns0:c>
      <ns0:c r="D627" s="4" t="n">
        <ns0:v>1</ns0:v>
      </ns0:c>
      <ns0:c r="E627" s="4" t="n">
        <ns0:v>1000</ns0:v>
      </ns0:c>
      <ns0:c r="F627" s="6" t="n">
        <ns0:v>0.4</ns0:v>
      </ns0:c>
      <ns0:c r="G627" s="4" t="n">
        <ns0:v>3</ns0:v>
      </ns0:c>
      <ns0:c r="H627" s="7" t="n">
        <ns0:v>7264.525139664804</ns0:v>
      </ns0:c>
      <ns0:c r="I627" s="7" t="n">
        <ns0:v>3219.273743016759</ns0:v>
      </ns0:c>
      <ns0:c r="J627" s="7" t="n">
        <ns0:v>1287.709497206704</ns0:v>
      </ns0:c>
      <ns0:c r="K627" s="7" t="n">
        <ns0:v>29</ns0:v>
      </ns0:c>
      <ns0:c r="L627" s="18" t="inlineStr">
        <ns0:is>
          <ns0:t>範囲内なし</ns0:t>
        </ns0:is>
      </ns0:c>
      <ns0:c r="M627" s="7" t="n">
        <ns0:v>-28863.73957361624</ns0:v>
      </ns0:c>
      <ns0:c r="N627" s="7" t="n">
        <ns0:v>3874.225950761305</ns0:v>
      </ns0:c>
      <ns0:c r="O627" s="7" t="n">
        <ns0:v>42797.66633547402</ns0:v>
      </ns0:c>
      <ns0:c r="P627" s="7" t="n">
        <ns0:v>140106.2672972558</ns0:v>
      </ns0:c>
      <ns0:c r="Q627" s="7" t="n">
        <ns0:v>487340.6711443831</ns0:v>
      </ns0:c>
      <ns0:c r="R627" s="7" t="n">
        <ns0:v>1779661.084609328</ns0:v>
      </ns0:c>
    </ns0:row>
    <ns0:row r="628" ht="24" customHeight="1">
      <ns0:c r="A628" s="3" t="inlineStr">
        <ns0:is>
          <ns0:t>セット</ns0:t>
        </ns0:is>
      </ns0:c>
      <ns0:c r="B628" s="3" t="inlineStr">
        <ns0:is>
          <ns0:t>G2二段階</ns0:t>
        </ns0:is>
      </ns0:c>
      <ns0:c r="C628" s="3" t="inlineStr">
        <ns0:is>
          <ns0:t>C</ns0:t>
        </ns0:is>
      </ns0:c>
      <ns0:c r="D628" s="4" t="n">
        <ns0:v>1</ns0:v>
      </ns0:c>
      <ns0:c r="E628" s="4" t="n">
        <ns0:v>1000</ns0:v>
      </ns0:c>
      <ns0:c r="F628" s="6" t="n">
        <ns0:v>0.5</ns0:v>
      </ns0:c>
      <ns0:c r="G628" s="4" t="n">
        <ns0:v>0</ns0:v>
      </ns0:c>
      <ns0:c r="H628" s="7" t="n">
        <ns0:v>7264.525139664804</ns0:v>
      </ns0:c>
      <ns0:c r="I628" s="7" t="n">
        <ns0:v>3219.273743016759</ns0:v>
      </ns0:c>
      <ns0:c r="J628" s="7" t="n">
        <ns0:v>1609.63687150838</ns0:v>
      </ns0:c>
      <ns0:c r="K628" s="7" t="n">
        <ns0:v>19</ns0:v>
      </ns0:c>
      <ns0:c r="L628" s="7" t="n">
        <ns0:v>27</ns0:v>
      </ns0:c>
      <ns0:c r="M628" s="7" t="n">
        <ns0:v>-18297.0003110962</ns0:v>
      </ns0:c>
      <ns0:c r="N628" s="7" t="n">
        <ns0:v>35574.44373832145</ns0:v>
      </ns0:c>
      <ns0:c r="O628" s="7" t="n">
        <ns0:v>95631.36264807425</ns0:v>
      </ns0:c>
      <ns0:c r="P628" s="7" t="n">
        <ns0:v>245773.6599224563</ns0:v>
      </ns0:c>
      <ns0:c r="Q628" s="7" t="n">
        <ns0:v>804342.8490199842</ns0:v>
      </ns0:c>
      <ns0:c r="R628" s="7" t="n">
        <ns0:v>2836335.010861333</ns0:v>
      </ns0:c>
    </ns0:row>
    <ns0:row r="629" ht="24" customHeight="1">
      <ns0:c r="A629" s="3" t="inlineStr">
        <ns0:is>
          <ns0:t>セット</ns0:t>
        </ns0:is>
      </ns0:c>
      <ns0:c r="B629" s="3" t="inlineStr">
        <ns0:is>
          <ns0:t>G2二段階</ns0:t>
        </ns0:is>
      </ns0:c>
      <ns0:c r="C629" s="3" t="inlineStr">
        <ns0:is>
          <ns0:t>C</ns0:t>
        </ns0:is>
      </ns0:c>
      <ns0:c r="D629" s="4" t="n">
        <ns0:v>1</ns0:v>
      </ns0:c>
      <ns0:c r="E629" s="4" t="n">
        <ns0:v>1000</ns0:v>
      </ns0:c>
      <ns0:c r="F629" s="6" t="n">
        <ns0:v>0.5</ns0:v>
      </ns0:c>
      <ns0:c r="G629" s="4" t="n">
        <ns0:v>1</ns0:v>
      </ns0:c>
      <ns0:c r="H629" s="7" t="n">
        <ns0:v>7264.525139664804</ns0:v>
      </ns0:c>
      <ns0:c r="I629" s="7" t="n">
        <ns0:v>3219.273743016759</ns0:v>
      </ns0:c>
      <ns0:c r="J629" s="7" t="n">
        <ns0:v>1609.63687150838</ns0:v>
      </ns0:c>
      <ns0:c r="K629" s="7" t="n">
        <ns0:v>22</ns0:v>
      </ns0:c>
      <ns0:c r="L629" s="7" t="n">
        <ns0:v>40</ns0:v>
      </ns0:c>
      <ns0:c r="M629" s="7" t="n">
        <ns0:v>-22620.50651610027</ns0:v>
      </ns0:c>
      <ns0:c r="N629" s="7" t="n">
        <ns0:v>22603.92512330924</ns0:v>
      </ns0:c>
      <ns0:c r="O629" s="7" t="n">
        <ns0:v>74013.83162305391</ns0:v>
      </ns0:c>
      <ns0:c r="P629" s="7" t="n">
        <ns0:v>202538.5978724156</ns0:v>
      </ns0:c>
      <ns0:c r="Q629" s="7" t="n">
        <ns0:v>674637.6628698623</ns0:v>
      </ns0:c>
      <ns0:c r="R629" s="7" t="n">
        <ns0:v>2403984.390360926</ns0:v>
      </ns0:c>
    </ns0:row>
    <ns0:row r="630" ht="24" customHeight="1">
      <ns0:c r="A630" s="3" t="inlineStr">
        <ns0:is>
          <ns0:t>セット</ns0:t>
        </ns0:is>
      </ns0:c>
      <ns0:c r="B630" s="3" t="inlineStr">
        <ns0:is>
          <ns0:t>G2二段階</ns0:t>
        </ns0:is>
      </ns0:c>
      <ns0:c r="C630" s="3" t="inlineStr">
        <ns0:is>
          <ns0:t>C</ns0:t>
        </ns0:is>
      </ns0:c>
      <ns0:c r="D630" s="4" t="n">
        <ns0:v>1</ns0:v>
      </ns0:c>
      <ns0:c r="E630" s="4" t="n">
        <ns0:v>1000</ns0:v>
      </ns0:c>
      <ns0:c r="F630" s="6" t="n">
        <ns0:v>0.5</ns0:v>
      </ns0:c>
      <ns0:c r="G630" s="4" t="n">
        <ns0:v>2</ns0:v>
      </ns0:c>
      <ns0:c r="H630" s="7" t="n">
        <ns0:v>7264.525139664804</ns0:v>
      </ns0:c>
      <ns0:c r="I630" s="7" t="n">
        <ns0:v>3219.273743016759</ns0:v>
      </ns0:c>
      <ns0:c r="J630" s="7" t="n">
        <ns0:v>1609.63687150838</ns0:v>
      </ns0:c>
      <ns0:c r="K630" s="18" t="inlineStr">
        <ns0:is>
          <ns0:t>範囲内なし</ns0:t>
        </ns0:is>
      </ns0:c>
      <ns0:c r="L630" s="18" t="inlineStr">
        <ns0:is>
          <ns0:t>範囲内なし</ns0:t>
        </ns0:is>
      </ns0:c>
      <ns0:c r="M630" s="7" t="n">
        <ns0:v>-59204.21047967353</ns0:v>
      </ns0:c>
      <ns0:c r="N630" s="7" t="n">
        <ns0:v>-87147.18676741055</ns0:v>
      </ns0:c>
      <ns0:c r="O630" s="7" t="n">
        <ns0:v>-108904.6881948124</ns0:v>
      </ns0:c>
      <ns0:c r="P630" s="7" t="n">
        <ns0:v>-163298.441763317</ns0:v>
      </ns0:c>
      <ns0:c r="Q630" s="7" t="n">
        <ns0:v>-422873.4560373356</ns0:v>
      </ns0:c>
      <ns0:c r="R630" s="7" t="n">
        <ns0:v>-1254386.0059964</ns0:v>
      </ns0:c>
    </ns0:row>
    <ns0:row r="631" ht="24" customHeight="1">
      <ns0:c r="A631" s="3" t="inlineStr">
        <ns0:is>
          <ns0:t>セット</ns0:t>
        </ns0:is>
      </ns0:c>
      <ns0:c r="B631" s="3" t="inlineStr">
        <ns0:is>
          <ns0:t>G2二段階</ns0:t>
        </ns0:is>
      </ns0:c>
      <ns0:c r="C631" s="3" t="inlineStr">
        <ns0:is>
          <ns0:t>C</ns0:t>
        </ns0:is>
      </ns0:c>
      <ns0:c r="D631" s="4" t="n">
        <ns0:v>1</ns0:v>
      </ns0:c>
      <ns0:c r="E631" s="4" t="n">
        <ns0:v>1000</ns0:v>
      </ns0:c>
      <ns0:c r="F631" s="6" t="n">
        <ns0:v>0.5</ns0:v>
      </ns0:c>
      <ns0:c r="G631" s="4" t="n">
        <ns0:v>3</ns0:v>
      </ns0:c>
      <ns0:c r="H631" s="7" t="n">
        <ns0:v>7264.525139664804</ns0:v>
      </ns0:c>
      <ns0:c r="I631" s="7" t="n">
        <ns0:v>3219.273743016759</ns0:v>
      </ns0:c>
      <ns0:c r="J631" s="7" t="n">
        <ns0:v>1609.63687150838</ns0:v>
      </ns0:c>
      <ns0:c r="K631" s="7" t="n">
        <ns0:v>34</ns0:v>
      </ns0:c>
      <ns0:c r="L631" s="18" t="inlineStr">
        <ns0:is>
          <ns0:t>範囲内なし</ns0:t>
        </ns0:is>
      </ns0:c>
      <ns0:c r="M631" s="7" t="n">
        <ns0:v>-32083.01331663301</ns0:v>
      </ns0:c>
      <ns0:c r="N631" s="7" t="n">
        <ns0:v>-5783.595278288965</ns0:v>
      </ns0:c>
      <ns0:c r="O631" s="7" t="n">
        <ns0:v>26701.29762039024</ns0:v>
      </ns0:c>
      <ns0:c r="P631" s="7" t="n">
        <ns0:v>107913.5298670883</ns0:v>
      </ns0:c>
      <ns0:c r="Q631" s="7" t="n">
        <ns0:v>390762.4588538802</ns0:v>
      </ns0:c>
      <ns0:c r="R631" s="7" t="n">
        <ns0:v>1457733.710307652</ns0:v>
      </ns0:c>
    </ns0:row>
    <ns0:row r="632" ht="24" customHeight="1">
      <ns0:c r="A632" s="3" t="inlineStr">
        <ns0:is>
          <ns0:t>セット</ns0:t>
        </ns0:is>
      </ns0:c>
      <ns0:c r="B632" s="3" t="inlineStr">
        <ns0:is>
          <ns0:t>G2二段階</ns0:t>
        </ns0:is>
      </ns0:c>
      <ns0:c r="C632" s="3" t="inlineStr">
        <ns0:is>
          <ns0:t>C</ns0:t>
        </ns0:is>
      </ns0:c>
      <ns0:c r="D632" s="4" t="n">
        <ns0:v>1</ns0:v>
      </ns0:c>
      <ns0:c r="E632" s="4" t="n">
        <ns0:v>1500</ns0:v>
      </ns0:c>
      <ns0:c r="F632" s="6" t="n">
        <ns0:v>0.3</ns0:v>
      </ns0:c>
      <ns0:c r="G632" s="4" t="n">
        <ns0:v>0</ns0:v>
      </ns0:c>
      <ns0:c r="H632" s="7" t="n">
        <ns0:v>6764.525139664804</ns0:v>
      </ns0:c>
      <ns0:c r="I632" s="7" t="n">
        <ns0:v>2719.273743016759</ns0:v>
      </ns0:c>
      <ns0:c r="J632" s="7" t="n">
        <ns0:v>815.7821229050279</ns0:v>
      </ns0:c>
      <ns0:c r="K632" s="7" t="n">
        <ns0:v>17</ns0:v>
      </ns0:c>
      <ns0:c r="L632" s="7" t="n">
        <ns0:v>25</ns0:v>
      </ns0:c>
      <ns0:c r="M632" s="7" t="n">
        <ns0:v>-15178.45282506268</ns0:v>
      </ns0:c>
      <ns0:c r="N632" s="7" t="n">
        <ns0:v>44930.08619642199</ns0:v>
      </ns0:c>
      <ns0:c r="O632" s="7" t="n">
        <ns0:v>111224.1000782419</ns0:v>
      </ns0:c>
      <ns0:c r="P632" s="7" t="n">
        <ns0:v>276959.1347827915</ns0:v>
      </ns0:c>
      <ns0:c r="Q632" s="7" t="n">
        <ns0:v>897899.27360099</ns0:v>
      </ns0:c>
      <ns0:c r="R632" s="7" t="n">
        <ns0:v>3148189.759464685</ns0:v>
      </ns0:c>
    </ns0:row>
    <ns0:row r="633" ht="24" customHeight="1">
      <ns0:c r="A633" s="3" t="inlineStr">
        <ns0:is>
          <ns0:t>セット</ns0:t>
        </ns0:is>
      </ns0:c>
      <ns0:c r="B633" s="3" t="inlineStr">
        <ns0:is>
          <ns0:t>G2二段階</ns0:t>
        </ns0:is>
      </ns0:c>
      <ns0:c r="C633" s="3" t="inlineStr">
        <ns0:is>
          <ns0:t>C</ns0:t>
        </ns0:is>
      </ns0:c>
      <ns0:c r="D633" s="4" t="n">
        <ns0:v>1</ns0:v>
      </ns0:c>
      <ns0:c r="E633" s="4" t="n">
        <ns0:v>1500</ns0:v>
      </ns0:c>
      <ns0:c r="F633" s="6" t="n">
        <ns0:v>0.3</ns0:v>
      </ns0:c>
      <ns0:c r="G633" s="4" t="n">
        <ns0:v>1</ns0:v>
      </ns0:c>
      <ns0:c r="H633" s="7" t="n">
        <ns0:v>6764.525139664804</ns0:v>
      </ns0:c>
      <ns0:c r="I633" s="7" t="n">
        <ns0:v>2719.273743016759</ns0:v>
      </ns0:c>
      <ns0:c r="J633" s="7" t="n">
        <ns0:v>815.7821229050279</ns0:v>
      </ns0:c>
      <ns0:c r="K633" s="7" t="n">
        <ns0:v>19</ns0:v>
      </ns0:c>
      <ns0:c r="L633" s="7" t="n">
        <ns0:v>36</ns0:v>
      </ns0:c>
      <ns0:c r="M633" s="7" t="n">
        <ns0:v>-19501.95903006675</ns0:v>
      </ns0:c>
      <ns0:c r="N633" s="7" t="n">
        <ns0:v>31959.56758140979</ns0:v>
      </ns0:c>
      <ns0:c r="O633" s="7" t="n">
        <ns0:v>89606.56905322152</ns0:v>
      </ns0:c>
      <ns0:c r="P633" s="7" t="n">
        <ns0:v>233724.0727327508</ns0:v>
      </ns0:c>
      <ns0:c r="Q633" s="7" t="n">
        <ns0:v>768194.0874508678</ns0:v>
      </ns0:c>
      <ns0:c r="R633" s="7" t="n">
        <ns0:v>2715839.138964278</ns0:v>
      </ns0:c>
    </ns0:row>
    <ns0:row r="634" ht="24" customHeight="1">
      <ns0:c r="A634" s="3" t="inlineStr">
        <ns0:is>
          <ns0:t>セット</ns0:t>
        </ns0:is>
      </ns0:c>
      <ns0:c r="B634" s="3" t="inlineStr">
        <ns0:is>
          <ns0:t>G2二段階</ns0:t>
        </ns0:is>
      </ns0:c>
      <ns0:c r="C634" s="3" t="inlineStr">
        <ns0:is>
          <ns0:t>C</ns0:t>
        </ns0:is>
      </ns0:c>
      <ns0:c r="D634" s="4" t="n">
        <ns0:v>1</ns0:v>
      </ns0:c>
      <ns0:c r="E634" s="4" t="n">
        <ns0:v>1500</ns0:v>
      </ns0:c>
      <ns0:c r="F634" s="6" t="n">
        <ns0:v>0.3</ns0:v>
      </ns0:c>
      <ns0:c r="G634" s="4" t="n">
        <ns0:v>2</ns0:v>
      </ns0:c>
      <ns0:c r="H634" s="7" t="n">
        <ns0:v>6764.525139664804</ns0:v>
      </ns0:c>
      <ns0:c r="I634" s="7" t="n">
        <ns0:v>2719.273743016759</ns0:v>
      </ns0:c>
      <ns0:c r="J634" s="7" t="n">
        <ns0:v>815.7821229050279</ns0:v>
      </ns0:c>
      <ns0:c r="K634" s="18" t="inlineStr">
        <ns0:is>
          <ns0:t>範囲内なし</ns0:t>
        </ns0:is>
      </ns0:c>
      <ns0:c r="L634" s="18" t="inlineStr">
        <ns0:is>
          <ns0:t>範囲内なし</ns0:t>
        </ns0:is>
      </ns0:c>
      <ns0:c r="M634" s="7" t="n">
        <ns0:v>-56085.66299364001</ns0:v>
      </ns0:c>
      <ns0:c r="N634" s="7" t="n">
        <ns0:v>-77791.54430931</ns0:v>
      </ns0:c>
      <ns0:c r="O634" s="7" t="n">
        <ns0:v>-93311.95076464476</ns0:v>
      </ns0:c>
      <ns0:c r="P634" s="7" t="n">
        <ns0:v>-132112.9669029817</ns0:v>
      </ns0:c>
      <ns0:c r="Q634" s="7" t="n">
        <ns0:v>-329317.0314563299</ns0:v>
      </ns0:c>
      <ns0:c r="R634" s="7" t="n">
        <ns0:v>-942531.2573930477</ns0:v>
      </ns0:c>
    </ns0:row>
    <ns0:row r="635" ht="24" customHeight="1">
      <ns0:c r="A635" s="3" t="inlineStr">
        <ns0:is>
          <ns0:t>セット</ns0:t>
        </ns0:is>
      </ns0:c>
      <ns0:c r="B635" s="3" t="inlineStr">
        <ns0:is>
          <ns0:t>G2二段階</ns0:t>
        </ns0:is>
      </ns0:c>
      <ns0:c r="C635" s="3" t="inlineStr">
        <ns0:is>
          <ns0:t>C</ns0:t>
        </ns0:is>
      </ns0:c>
      <ns0:c r="D635" s="4" t="n">
        <ns0:v>1</ns0:v>
      </ns0:c>
      <ns0:c r="E635" s="4" t="n">
        <ns0:v>1500</ns0:v>
      </ns0:c>
      <ns0:c r="F635" s="6" t="n">
        <ns0:v>0.3</ns0:v>
      </ns0:c>
      <ns0:c r="G635" s="4" t="n">
        <ns0:v>3</ns0:v>
      </ns0:c>
      <ns0:c r="H635" s="7" t="n">
        <ns0:v>6764.525139664804</ns0:v>
      </ns0:c>
      <ns0:c r="I635" s="7" t="n">
        <ns0:v>2719.273743016759</ns0:v>
      </ns0:c>
      <ns0:c r="J635" s="7" t="n">
        <ns0:v>815.7821229050279</ns0:v>
      </ns0:c>
      <ns0:c r="K635" s="7" t="n">
        <ns0:v>29</ns0:v>
      </ns0:c>
      <ns0:c r="L635" s="18" t="inlineStr">
        <ns0:is>
          <ns0:t>範囲内なし</ns0:t>
        </ns0:is>
      </ns0:c>
      <ns0:c r="M635" s="7" t="n">
        <ns0:v>-28964.46583059948</ns0:v>
      </ns0:c>
      <ns0:c r="N635" s="7" t="n">
        <ns0:v>3572.04717981159</ns0:v>
      </ns0:c>
      <ns0:c r="O635" s="7" t="n">
        <ns0:v>42294.03505055785</ns0:v>
      </ns0:c>
      <ns0:c r="P635" s="7" t="n">
        <ns0:v>139099.0047274235</ns0:v>
      </ns0:c>
      <ns0:c r="Q635" s="7" t="n">
        <ns0:v>484318.8834348858</ns0:v>
      </ns0:c>
      <ns0:c r="R635" s="7" t="n">
        <ns0:v>1769588.458911005</ns0:v>
      </ns0:c>
    </ns0:row>
    <ns0:row r="636" ht="24" customHeight="1">
      <ns0:c r="A636" s="3" t="inlineStr">
        <ns0:is>
          <ns0:t>セット</ns0:t>
        </ns0:is>
      </ns0:c>
      <ns0:c r="B636" s="3" t="inlineStr">
        <ns0:is>
          <ns0:t>G2二段階</ns0:t>
        </ns0:is>
      </ns0:c>
      <ns0:c r="C636" s="3" t="inlineStr">
        <ns0:is>
          <ns0:t>C</ns0:t>
        </ns0:is>
      </ns0:c>
      <ns0:c r="D636" s="4" t="n">
        <ns0:v>1</ns0:v>
      </ns0:c>
      <ns0:c r="E636" s="4" t="n">
        <ns0:v>1500</ns0:v>
      </ns0:c>
      <ns0:c r="F636" s="6" t="n">
        <ns0:v>0.4</ns0:v>
      </ns0:c>
      <ns0:c r="G636" s="4" t="n">
        <ns0:v>0</ns0:v>
      </ns0:c>
      <ns0:c r="H636" s="7" t="n">
        <ns0:v>6764.525139664804</ns0:v>
      </ns0:c>
      <ns0:c r="I636" s="7" t="n">
        <ns0:v>2719.273743016759</ns0:v>
      </ns0:c>
      <ns0:c r="J636" s="7" t="n">
        <ns0:v>1087.709497206704</ns0:v>
      </ns0:c>
      <ns0:c r="K636" s="7" t="n">
        <ns0:v>18</ns0:v>
      </ns0:c>
      <ns0:c r="L636" s="7" t="n">
        <ns0:v>26</ns0:v>
      </ns0:c>
      <ns0:c r="M636" s="7" t="n">
        <ns0:v>-17897.72656807944</ns0:v>
      </ns0:c>
      <ns0:c r="N636" s="7" t="n">
        <ns0:v>36772.26496737171</ns0:v>
      </ns0:c>
      <ns0:c r="O636" s="7" t="n">
        <ns0:v>97627.73136315809</ns0:v>
      </ns0:c>
      <ns0:c r="P636" s="7" t="n">
        <ns0:v>249766.397352624</ns0:v>
      </ns0:c>
      <ns0:c r="Q636" s="7" t="n">
        <ns0:v>816321.0613104871</ns0:v>
      </ns0:c>
      <ns0:c r="R636" s="7" t="n">
        <ns0:v>2876262.38516301</ns0:v>
      </ns0:c>
    </ns0:row>
    <ns0:row r="637" ht="24" customHeight="1">
      <ns0:c r="A637" s="3" t="inlineStr">
        <ns0:is>
          <ns0:t>セット</ns0:t>
        </ns0:is>
      </ns0:c>
      <ns0:c r="B637" s="3" t="inlineStr">
        <ns0:is>
          <ns0:t>G2二段階</ns0:t>
        </ns0:is>
      </ns0:c>
      <ns0:c r="C637" s="3" t="inlineStr">
        <ns0:is>
          <ns0:t>C</ns0:t>
        </ns0:is>
      </ns0:c>
      <ns0:c r="D637" s="4" t="n">
        <ns0:v>1</ns0:v>
      </ns0:c>
      <ns0:c r="E637" s="4" t="n">
        <ns0:v>1500</ns0:v>
      </ns0:c>
      <ns0:c r="F637" s="6" t="n">
        <ns0:v>0.4</ns0:v>
      </ns0:c>
      <ns0:c r="G637" s="4" t="n">
        <ns0:v>1</ns0:v>
      </ns0:c>
      <ns0:c r="H637" s="7" t="n">
        <ns0:v>6764.525139664804</ns0:v>
      </ns0:c>
      <ns0:c r="I637" s="7" t="n">
        <ns0:v>2719.273743016759</ns0:v>
      </ns0:c>
      <ns0:c r="J637" s="7" t="n">
        <ns0:v>1087.709497206704</ns0:v>
      </ns0:c>
      <ns0:c r="K637" s="7" t="n">
        <ns0:v>21</ns0:v>
      </ns0:c>
      <ns0:c r="L637" s="7" t="n">
        <ns0:v>39</ns0:v>
      </ns0:c>
      <ns0:c r="M637" s="7" t="n">
        <ns0:v>-22221.23277308351</ns0:v>
      </ns0:c>
      <ns0:c r="N637" s="7" t="n">
        <ns0:v>23801.7463523595</ns0:v>
      </ns0:c>
      <ns0:c r="O637" s="7" t="n">
        <ns0:v>76010.20033813771</ns0:v>
      </ns0:c>
      <ns0:c r="P637" s="7" t="n">
        <ns0:v>206531.3353025832</ns0:v>
      </ns0:c>
      <ns0:c r="Q637" s="7" t="n">
        <ns0:v>686615.8751603649</ns0:v>
      </ns0:c>
      <ns0:c r="R637" s="7" t="n">
        <ns0:v>2443911.764662602</ns0:v>
      </ns0:c>
    </ns0:row>
    <ns0:row r="638" ht="24" customHeight="1">
      <ns0:c r="A638" s="3" t="inlineStr">
        <ns0:is>
          <ns0:t>セット</ns0:t>
        </ns0:is>
      </ns0:c>
      <ns0:c r="B638" s="3" t="inlineStr">
        <ns0:is>
          <ns0:t>G2二段階</ns0:t>
        </ns0:is>
      </ns0:c>
      <ns0:c r="C638" s="3" t="inlineStr">
        <ns0:is>
          <ns0:t>C</ns0:t>
        </ns0:is>
      </ns0:c>
      <ns0:c r="D638" s="4" t="n">
        <ns0:v>1</ns0:v>
      </ns0:c>
      <ns0:c r="E638" s="4" t="n">
        <ns0:v>1500</ns0:v>
      </ns0:c>
      <ns0:c r="F638" s="6" t="n">
        <ns0:v>0.4</ns0:v>
      </ns0:c>
      <ns0:c r="G638" s="4" t="n">
        <ns0:v>2</ns0:v>
      </ns0:c>
      <ns0:c r="H638" s="7" t="n">
        <ns0:v>6764.525139664804</ns0:v>
      </ns0:c>
      <ns0:c r="I638" s="7" t="n">
        <ns0:v>2719.273743016759</ns0:v>
      </ns0:c>
      <ns0:c r="J638" s="7" t="n">
        <ns0:v>1087.709497206704</ns0:v>
      </ns0:c>
      <ns0:c r="K638" s="18" t="inlineStr">
        <ns0:is>
          <ns0:t>範囲内なし</ns0:t>
        </ns0:is>
      </ns0:c>
      <ns0:c r="L638" s="18" t="inlineStr">
        <ns0:is>
          <ns0:t>範囲内なし</ns0:t>
        </ns0:is>
      </ns0:c>
      <ns0:c r="M638" s="7" t="n">
        <ns0:v>-58804.93673665677</ns0:v>
      </ns0:c>
      <ns0:c r="N638" s="7" t="n">
        <ns0:v>-85949.36553836029</ns0:v>
      </ns0:c>
      <ns0:c r="O638" s="7" t="n">
        <ns0:v>-106908.3194797286</ns0:v>
      </ns0:c>
      <ns0:c r="P638" s="7" t="n">
        <ns0:v>-159305.7043331493</ns0:v>
      </ns0:c>
      <ns0:c r="Q638" s="7" t="n">
        <ns0:v>-410895.2437468327</ns0:v>
      </ns0:c>
      <ns0:c r="R638" s="7" t="n">
        <ns0:v>-1214458.631694723</ns0:v>
      </ns0:c>
    </ns0:row>
    <ns0:row r="639" ht="24" customHeight="1">
      <ns0:c r="A639" s="3" t="inlineStr">
        <ns0:is>
          <ns0:t>セット</ns0:t>
        </ns0:is>
      </ns0:c>
      <ns0:c r="B639" s="3" t="inlineStr">
        <ns0:is>
          <ns0:t>G2二段階</ns0:t>
        </ns0:is>
      </ns0:c>
      <ns0:c r="C639" s="3" t="inlineStr">
        <ns0:is>
          <ns0:t>C</ns0:t>
        </ns0:is>
      </ns0:c>
      <ns0:c r="D639" s="4" t="n">
        <ns0:v>1</ns0:v>
      </ns0:c>
      <ns0:c r="E639" s="4" t="n">
        <ns0:v>1500</ns0:v>
      </ns0:c>
      <ns0:c r="F639" s="6" t="n">
        <ns0:v>0.4</ns0:v>
      </ns0:c>
      <ns0:c r="G639" s="4" t="n">
        <ns0:v>3</ns0:v>
      </ns0:c>
      <ns0:c r="H639" s="7" t="n">
        <ns0:v>6764.525139664804</ns0:v>
      </ns0:c>
      <ns0:c r="I639" s="7" t="n">
        <ns0:v>2719.273743016759</ns0:v>
      </ns0:c>
      <ns0:c r="J639" s="7" t="n">
        <ns0:v>1087.709497206704</ns0:v>
      </ns0:c>
      <ns0:c r="K639" s="7" t="n">
        <ns0:v>33</ns0:v>
      </ns0:c>
      <ns0:c r="L639" s="18" t="inlineStr">
        <ns0:is>
          <ns0:t>範囲内なし</ns0:t>
        </ns0:is>
      </ns0:c>
      <ns0:c r="M639" s="7" t="n">
        <ns0:v>-31683.73957361624</ns0:v>
      </ns0:c>
      <ns0:c r="N639" s="7" t="n">
        <ns0:v>-4585.774049238709</ns0:v>
      </ns0:c>
      <ns0:c r="O639" s="7" t="n">
        <ns0:v>28697.66633547405</ns0:v>
      </ns0:c>
      <ns0:c r="P639" s="7" t="n">
        <ns0:v>111906.2672972559</ns0:v>
      </ns0:c>
      <ns0:c r="Q639" s="7" t="n">
        <ns0:v>402740.671144383</ns0:v>
      </ns0:c>
      <ns0:c r="R639" s="7" t="n">
        <ns0:v>1497661.084609329</ns0:v>
      </ns0:c>
    </ns0:row>
    <ns0:row r="640" ht="24" customHeight="1">
      <ns0:c r="A640" s="3" t="inlineStr">
        <ns0:is>
          <ns0:t>セット</ns0:t>
        </ns0:is>
      </ns0:c>
      <ns0:c r="B640" s="3" t="inlineStr">
        <ns0:is>
          <ns0:t>G2二段階</ns0:t>
        </ns0:is>
      </ns0:c>
      <ns0:c r="C640" s="3" t="inlineStr">
        <ns0:is>
          <ns0:t>C</ns0:t>
        </ns0:is>
      </ns0:c>
      <ns0:c r="D640" s="4" t="n">
        <ns0:v>1</ns0:v>
      </ns0:c>
      <ns0:c r="E640" s="4" t="n">
        <ns0:v>1500</ns0:v>
      </ns0:c>
      <ns0:c r="F640" s="6" t="n">
        <ns0:v>0.5</ns0:v>
      </ns0:c>
      <ns0:c r="G640" s="4" t="n">
        <ns0:v>0</ns0:v>
      </ns0:c>
      <ns0:c r="H640" s="7" t="n">
        <ns0:v>6764.525139664804</ns0:v>
      </ns0:c>
      <ns0:c r="I640" s="7" t="n">
        <ns0:v>2719.273743016759</ns0:v>
      </ns0:c>
      <ns0:c r="J640" s="7" t="n">
        <ns0:v>1359.63687150838</ns0:v>
      </ns0:c>
      <ns0:c r="K640" s="7" t="n">
        <ns0:v>20</ns0:v>
      </ns0:c>
      <ns0:c r="L640" s="7" t="n">
        <ns0:v>28</ns0:v>
      </ns0:c>
      <ns0:c r="M640" s="7" t="n">
        <ns0:v>-20617.0003110962</ns0:v>
      </ns0:c>
      <ns0:c r="N640" s="7" t="n">
        <ns0:v>28614.44373832141</ns0:v>
      </ns0:c>
      <ns0:c r="O640" s="7" t="n">
        <ns0:v>84031.36264807428</ns0:v>
      </ns0:c>
      <ns0:c r="P640" s="7" t="n">
        <ns0:v>222573.6599224564</ns0:v>
      </ns0:c>
      <ns0:c r="Q640" s="7" t="n">
        <ns0:v>734742.8490199844</ns0:v>
      </ns0:c>
      <ns0:c r="R640" s="7" t="n">
        <ns0:v>2604335.010861333</ns0:v>
      </ns0:c>
    </ns0:row>
    <ns0:row r="641" ht="24" customHeight="1">
      <ns0:c r="A641" s="3" t="inlineStr">
        <ns0:is>
          <ns0:t>セット</ns0:t>
        </ns0:is>
      </ns0:c>
      <ns0:c r="B641" s="3" t="inlineStr">
        <ns0:is>
          <ns0:t>G2二段階</ns0:t>
        </ns0:is>
      </ns0:c>
      <ns0:c r="C641" s="3" t="inlineStr">
        <ns0:is>
          <ns0:t>C</ns0:t>
        </ns0:is>
      </ns0:c>
      <ns0:c r="D641" s="4" t="n">
        <ns0:v>1</ns0:v>
      </ns0:c>
      <ns0:c r="E641" s="4" t="n">
        <ns0:v>1500</ns0:v>
      </ns0:c>
      <ns0:c r="F641" s="6" t="n">
        <ns0:v>0.5</ns0:v>
      </ns0:c>
      <ns0:c r="G641" s="4" t="n">
        <ns0:v>1</ns0:v>
      </ns0:c>
      <ns0:c r="H641" s="7" t="n">
        <ns0:v>6764.525139664804</ns0:v>
      </ns0:c>
      <ns0:c r="I641" s="7" t="n">
        <ns0:v>2719.273743016759</ns0:v>
      </ns0:c>
      <ns0:c r="J641" s="7" t="n">
        <ns0:v>1359.63687150838</ns0:v>
      </ns0:c>
      <ns0:c r="K641" s="7" t="n">
        <ns0:v>24</ns0:v>
      </ns0:c>
      <ns0:c r="L641" s="7" t="n">
        <ns0:v>43</ns0:v>
      </ns0:c>
      <ns0:c r="M641" s="7" t="n">
        <ns0:v>-24940.50651610027</ns0:v>
      </ns0:c>
      <ns0:c r="N641" s="7" t="n">
        <ns0:v>15643.9251233092</ns0:v>
      </ns0:c>
      <ns0:c r="O641" s="7" t="n">
        <ns0:v>62413.83162305393</ns0:v>
      </ns0:c>
      <ns0:c r="P641" s="7" t="n">
        <ns0:v>179338.5978724156</ns0:v>
      </ns0:c>
      <ns0:c r="Q641" s="7" t="n">
        <ns0:v>605037.6628698623</ns0:v>
      </ns0:c>
      <ns0:c r="R641" s="7" t="n">
        <ns0:v>2171984.390360926</ns0:v>
      </ns0:c>
    </ns0:row>
    <ns0:row r="642" ht="24" customHeight="1">
      <ns0:c r="A642" s="3" t="inlineStr">
        <ns0:is>
          <ns0:t>セット</ns0:t>
        </ns0:is>
      </ns0:c>
      <ns0:c r="B642" s="3" t="inlineStr">
        <ns0:is>
          <ns0:t>G2二段階</ns0:t>
        </ns0:is>
      </ns0:c>
      <ns0:c r="C642" s="3" t="inlineStr">
        <ns0:is>
          <ns0:t>C</ns0:t>
        </ns0:is>
      </ns0:c>
      <ns0:c r="D642" s="4" t="n">
        <ns0:v>1</ns0:v>
      </ns0:c>
      <ns0:c r="E642" s="4" t="n">
        <ns0:v>1500</ns0:v>
      </ns0:c>
      <ns0:c r="F642" s="6" t="n">
        <ns0:v>0.5</ns0:v>
      </ns0:c>
      <ns0:c r="G642" s="4" t="n">
        <ns0:v>2</ns0:v>
      </ns0:c>
      <ns0:c r="H642" s="7" t="n">
        <ns0:v>6764.525139664804</ns0:v>
      </ns0:c>
      <ns0:c r="I642" s="7" t="n">
        <ns0:v>2719.273743016759</ns0:v>
      </ns0:c>
      <ns0:c r="J642" s="7" t="n">
        <ns0:v>1359.63687150838</ns0:v>
      </ns0:c>
      <ns0:c r="K642" s="18" t="inlineStr">
        <ns0:is>
          <ns0:t>範囲内なし</ns0:t>
        </ns0:is>
      </ns0:c>
      <ns0:c r="L642" s="18" t="inlineStr">
        <ns0:is>
          <ns0:t>範囲内なし</ns0:t>
        </ns0:is>
      </ns0:c>
      <ns0:c r="M642" s="7" t="n">
        <ns0:v>-61524.21047967353</ns0:v>
      </ns0:c>
      <ns0:c r="N642" s="7" t="n">
        <ns0:v>-94107.1867674106</ns0:v>
      </ns0:c>
      <ns0:c r="O642" s="7" t="n">
        <ns0:v>-120504.6881948124</ns0:v>
      </ns0:c>
      <ns0:c r="P642" s="7" t="n">
        <ns0:v>-186498.441763317</ns0:v>
      </ns0:c>
      <ns0:c r="Q642" s="7" t="n">
        <ns0:v>-492473.4560373354</ns0:v>
      </ns0:c>
      <ns0:c r="R642" s="7" t="n">
        <ns0:v>-1486386.0059964</ns0:v>
      </ns0:c>
    </ns0:row>
    <ns0:row r="643" ht="24" customHeight="1">
      <ns0:c r="A643" s="3" t="inlineStr">
        <ns0:is>
          <ns0:t>セット</ns0:t>
        </ns0:is>
      </ns0:c>
      <ns0:c r="B643" s="3" t="inlineStr">
        <ns0:is>
          <ns0:t>G2二段階</ns0:t>
        </ns0:is>
      </ns0:c>
      <ns0:c r="C643" s="3" t="inlineStr">
        <ns0:is>
          <ns0:t>C</ns0:t>
        </ns0:is>
      </ns0:c>
      <ns0:c r="D643" s="4" t="n">
        <ns0:v>1</ns0:v>
      </ns0:c>
      <ns0:c r="E643" s="4" t="n">
        <ns0:v>1500</ns0:v>
      </ns0:c>
      <ns0:c r="F643" s="6" t="n">
        <ns0:v>0.5</ns0:v>
      </ns0:c>
      <ns0:c r="G643" s="4" t="n">
        <ns0:v>3</ns0:v>
      </ns0:c>
      <ns0:c r="H643" s="7" t="n">
        <ns0:v>6764.525139664804</ns0:v>
      </ns0:c>
      <ns0:c r="I643" s="7" t="n">
        <ns0:v>2719.273743016759</ns0:v>
      </ns0:c>
      <ns0:c r="J643" s="7" t="n">
        <ns0:v>1359.63687150838</ns0:v>
      </ns0:c>
      <ns0:c r="K643" s="7" t="n">
        <ns0:v>40</ns0:v>
      </ns0:c>
      <ns0:c r="L643" s="18" t="inlineStr">
        <ns0:is>
          <ns0:t>範囲内なし</ns0:t>
        </ns0:is>
      </ns0:c>
      <ns0:c r="M643" s="7" t="n">
        <ns0:v>-34403.01331663301</ns0:v>
      </ns0:c>
      <ns0:c r="N643" s="7" t="n">
        <ns0:v>-12743.59527828899</ns0:v>
      </ns0:c>
      <ns0:c r="O643" s="7" t="n">
        <ns0:v>15101.29762039027</ns0:v>
      </ns0:c>
      <ns0:c r="P643" s="7" t="n">
        <ns0:v>84713.52986708833</ns0:v>
      </ns0:c>
      <ns0:c r="Q643" s="7" t="n">
        <ns0:v>321162.4588538802</ns0:v>
      </ns0:c>
      <ns0:c r="R643" s="7" t="n">
        <ns0:v>1225733.710307653</ns0:v>
      </ns0:c>
    </ns0:row>
    <ns0:row r="644" ht="24" customHeight="1">
      <ns0:c r="A644" s="3" t="inlineStr">
        <ns0:is>
          <ns0:t>セット</ns0:t>
        </ns0:is>
      </ns0:c>
      <ns0:c r="B644" s="3" t="inlineStr">
        <ns0:is>
          <ns0:t>G2二段階</ns0:t>
        </ns0:is>
      </ns0:c>
      <ns0:c r="C644" s="3" t="inlineStr">
        <ns0:is>
          <ns0:t>C</ns0:t>
        </ns0:is>
      </ns0:c>
      <ns0:c r="D644" s="4" t="n">
        <ns0:v>2</ns0:v>
      </ns0:c>
      <ns0:c r="E644" s="4" t="n">
        <ns0:v>500</ns0:v>
      </ns0:c>
      <ns0:c r="F644" s="6" t="n">
        <ns0:v>0.3</ns0:v>
      </ns0:c>
      <ns0:c r="G644" s="4" t="n">
        <ns0:v>0</ns0:v>
      </ns0:c>
      <ns0:c r="H644" s="7" t="n">
        <ns0:v>11087.25490196078</ns0:v>
      </ns0:c>
      <ns0:c r="I644" s="7" t="n">
        <ns0:v>4592.047930283224</ns0:v>
      </ns0:c>
      <ns0:c r="J644" s="7" t="n">
        <ns0:v>1377.614379084967</ns0:v>
      </ns0:c>
      <ns0:c r="K644" s="7" t="n">
        <ns0:v>8</ns0:v>
      </ns0:c>
      <ns0:c r="L644" s="7" t="n">
        <ns0:v>10</ns0:v>
      </ns0:c>
      <ns0:c r="M644" s="7" t="n">
        <ns0:v>19873.93685491753</ns0:v>
      </ns0:c>
      <ns0:c r="N644" s="7" t="n">
        <ns0:v>130814.2680526624</ns0:v>
      </ns0:c>
      <ns0:c r="O644" s="7" t="n">
        <ns0:v>254364.4031719757</ns0:v>
      </ns0:c>
      <ns0:c r="P644" s="7" t="n">
        <ns0:v>563239.7409702593</ns0:v>
      </ns0:c>
      <ns0:c r="Q644" s="7" t="n">
        <ns0:v>1756741.092163394</ns0:v>
      </ns0:c>
      <ns0:c r="R644" s="7" t="n">
        <ns0:v>6010995.821339363</ns0:v>
      </ns0:c>
    </ns0:row>
    <ns0:row r="645" ht="24" customHeight="1">
      <ns0:c r="A645" s="3" t="inlineStr">
        <ns0:is>
          <ns0:t>セット</ns0:t>
        </ns0:is>
      </ns0:c>
      <ns0:c r="B645" s="3" t="inlineStr">
        <ns0:is>
          <ns0:t>G2二段階</ns0:t>
        </ns0:is>
      </ns0:c>
      <ns0:c r="C645" s="3" t="inlineStr">
        <ns0:is>
          <ns0:t>C</ns0:t>
        </ns0:is>
      </ns0:c>
      <ns0:c r="D645" s="4" t="n">
        <ns0:v>2</ns0:v>
      </ns0:c>
      <ns0:c r="E645" s="4" t="n">
        <ns0:v>500</ns0:v>
      </ns0:c>
      <ns0:c r="F645" s="6" t="n">
        <ns0:v>0.3</ns0:v>
      </ns0:c>
      <ns0:c r="G645" s="4" t="n">
        <ns0:v>1</ns0:v>
      </ns0:c>
      <ns0:c r="H645" s="7" t="n">
        <ns0:v>11087.25490196078</ns0:v>
      </ns0:c>
      <ns0:c r="I645" s="7" t="n">
        <ns0:v>4592.047930283224</ns0:v>
      </ns0:c>
      <ns0:c r="J645" s="7" t="n">
        <ns0:v>1377.614379084967</ns0:v>
      </ns0:c>
      <ns0:c r="K645" s="7" t="n">
        <ns0:v>9</ns0:v>
      </ns0:c>
      <ns0:c r="L645" s="7" t="n">
        <ns0:v>14</ns0:v>
      </ns0:c>
      <ns0:c r="M645" s="7" t="n">
        <ns0:v>14485.46746261512</ns0:v>
      </ns0:c>
      <ns0:c r="N645" s="7" t="n">
        <ns0:v>114648.8598757551</ns0:v>
      </ns0:c>
      <ns0:c r="O645" s="7" t="n">
        <ns0:v>227422.0562104637</ns0:v>
      </ns0:c>
      <ns0:c r="P645" s="7" t="n">
        <ns0:v>509355.0470472352</ns0:v>
      </ns0:c>
      <ns0:c r="Q645" s="7" t="n">
        <ns0:v>1595087.010394321</ns0:v>
      </ns0:c>
      <ns0:c r="R645" s="7" t="n">
        <ns0:v>5472148.882109122</ns0:v>
      </ns0:c>
    </ns0:row>
    <ns0:row r="646" ht="24" customHeight="1">
      <ns0:c r="A646" s="3" t="inlineStr">
        <ns0:is>
          <ns0:t>セット</ns0:t>
        </ns0:is>
      </ns0:c>
      <ns0:c r="B646" s="3" t="inlineStr">
        <ns0:is>
          <ns0:t>G2二段階</ns0:t>
        </ns0:is>
      </ns0:c>
      <ns0:c r="C646" s="3" t="inlineStr">
        <ns0:is>
          <ns0:t>C</ns0:t>
        </ns0:is>
      </ns0:c>
      <ns0:c r="D646" s="4" t="n">
        <ns0:v>2</ns0:v>
      </ns0:c>
      <ns0:c r="E646" s="4" t="n">
        <ns0:v>500</ns0:v>
      </ns0:c>
      <ns0:c r="F646" s="6" t="n">
        <ns0:v>0.3</ns0:v>
      </ns0:c>
      <ns0:c r="G646" s="4" t="n">
        <ns0:v>2</ns0:v>
      </ns0:c>
      <ns0:c r="H646" s="7" t="n">
        <ns0:v>11087.25490196078</ns0:v>
      </ns0:c>
      <ns0:c r="I646" s="7" t="n">
        <ns0:v>4592.047930283224</ns0:v>
      </ns0:c>
      <ns0:c r="J646" s="7" t="n">
        <ns0:v>1377.614379084967</ns0:v>
      </ns0:c>
      <ns0:c r="K646" s="18" t="inlineStr">
        <ns0:is>
          <ns0:t>範囲内なし</ns0:t>
        </ns0:is>
      </ns0:c>
      <ns0:c r="L646" s="18" t="inlineStr">
        <ns0:is>
          <ns0:t>範囲内なし</ns0:t>
        </ns0:is>
      </ns0:c>
      <ns0:c r="M646" s="7" t="n">
        <ns0:v>-52840.94148587276</ns0:v>
      </ns0:c>
      <ns0:c r="N646" s="7" t="n">
        <ns0:v>-87330.3669697085</ns0:v>
      </ns0:c>
      <ns0:c r="O646" s="7" t="n">
        <ns0:v>-109209.9885319757</ns0:v>
      </ns0:c>
      <ns0:c r="P646" s="7" t="n">
        <ns0:v>-163909.0424376435</ns0:v>
      </ns0:c>
      <ns0:c r="Q646" s="7" t="n">
        <ns0:v>-424705.258060315</ns0:v>
      </ns0:c>
      <ns0:c r="R646" s="7" t="n">
        <ns0:v>-1260492.012739665</ns0:v>
      </ns0:c>
    </ns0:row>
    <ns0:row r="647" ht="24" customHeight="1">
      <ns0:c r="A647" s="3" t="inlineStr">
        <ns0:is>
          <ns0:t>セット</ns0:t>
        </ns0:is>
      </ns0:c>
      <ns0:c r="B647" s="3" t="inlineStr">
        <ns0:is>
          <ns0:t>G2二段階</ns0:t>
        </ns0:is>
      </ns0:c>
      <ns0:c r="C647" s="3" t="inlineStr">
        <ns0:is>
          <ns0:t>C</ns0:t>
        </ns0:is>
      </ns0:c>
      <ns0:c r="D647" s="4" t="n">
        <ns0:v>2</ns0:v>
      </ns0:c>
      <ns0:c r="E647" s="4" t="n">
        <ns0:v>500</ns0:v>
      </ns0:c>
      <ns0:c r="F647" s="6" t="n">
        <ns0:v>0.3</ns0:v>
      </ns0:c>
      <ns0:c r="G647" s="4" t="n">
        <ns0:v>3</ns0:v>
      </ns0:c>
      <ns0:c r="H647" s="7" t="n">
        <ns0:v>11087.25490196078</ns0:v>
      </ns0:c>
      <ns0:c r="I647" s="7" t="n">
        <ns0:v>4592.047930283224</ns0:v>
      </ns0:c>
      <ns0:c r="J647" s="7" t="n">
        <ns0:v>1377.614379084967</ns0:v>
      </ns0:c>
      <ns0:c r="K647" s="7" t="n">
        <ns0:v>13</ns0:v>
      </ns0:c>
      <ns0:c r="L647" s="7" t="n">
        <ns0:v>23</ns0:v>
      </ns0:c>
      <ns0:c r="M647" s="7" t="n">
        <ns0:v>3449.98694375296</ns0:v>
      </ns0:c>
      <ns0:c r="N647" s="7" t="n">
        <ns0:v>81542.41831916865</ns0:v>
      </ns0:c>
      <ns0:c r="O647" s="7" t="n">
        <ns0:v>172244.6536161529</ns0:v>
      </ns0:c>
      <ns0:c r="P647" s="7" t="n">
        <ns0:v>399000.2418586136</ns0:v>
      </ns0:c>
      <ns0:c r="Q647" s="7" t="n">
        <ns0:v>1264022.594828456</ns0:v>
      </ns0:c>
      <ns0:c r="R647" s="7" t="n">
        <ns0:v>4368600.830222907</ns0:v>
      </ns0:c>
    </ns0:row>
    <ns0:row r="648" ht="24" customHeight="1">
      <ns0:c r="A648" s="3" t="inlineStr">
        <ns0:is>
          <ns0:t>セット</ns0:t>
        </ns0:is>
      </ns0:c>
      <ns0:c r="B648" s="3" t="inlineStr">
        <ns0:is>
          <ns0:t>G2二段階</ns0:t>
        </ns0:is>
      </ns0:c>
      <ns0:c r="C648" s="3" t="inlineStr">
        <ns0:is>
          <ns0:t>C</ns0:t>
        </ns0:is>
      </ns0:c>
      <ns0:c r="D648" s="4" t="n">
        <ns0:v>2</ns0:v>
      </ns0:c>
      <ns0:c r="E648" s="4" t="n">
        <ns0:v>500</ns0:v>
      </ns0:c>
      <ns0:c r="F648" s="6" t="n">
        <ns0:v>0.4</ns0:v>
      </ns0:c>
      <ns0:c r="G648" s="4" t="n">
        <ns0:v>0</ns0:v>
      </ns0:c>
      <ns0:c r="H648" s="7" t="n">
        <ns0:v>11087.25490196078</ns0:v>
      </ns0:c>
      <ns0:c r="I648" s="7" t="n">
        <ns0:v>4592.047930283224</ns0:v>
      </ns0:c>
      <ns0:c r="J648" s="7" t="n">
        <ns0:v>1836.81917211329</ns0:v>
      </ns0:c>
      <ns0:c r="K648" s="7" t="n">
        <ns0:v>9</ns0:v>
      </ns0:c>
      <ns0:c r="L648" s="7" t="n">
        <ns0:v>12</ns0:v>
      </ns0:c>
      <ns0:c r="M648" s="7" t="n">
        <ns0:v>15281.88892463431</ns0:v>
      </ns0:c>
      <ns0:c r="N648" s="7" t="n">
        <ns0:v>117038.1242618127</ns0:v>
      </ns0:c>
      <ns0:c r="O648" s="7" t="n">
        <ns0:v>231404.1635205596</ns0:v>
      </ns0:c>
      <ns0:c r="P648" s="7" t="n">
        <ns0:v>517319.2616674269</ns0:v>
      </ns0:c>
      <ns0:c r="Q648" s="7" t="n">
        <ns0:v>1618979.654254897</ns0:v>
      </ns0:c>
      <ns0:c r="R648" s="7" t="n">
        <ns0:v>5551791.02831104</ns0:v>
      </ns0:c>
    </ns0:row>
    <ns0:row r="649" ht="24" customHeight="1">
      <ns0:c r="A649" s="3" t="inlineStr">
        <ns0:is>
          <ns0:t>セット</ns0:t>
        </ns0:is>
      </ns0:c>
      <ns0:c r="B649" s="3" t="inlineStr">
        <ns0:is>
          <ns0:t>G2二段階</ns0:t>
        </ns0:is>
      </ns0:c>
      <ns0:c r="C649" s="3" t="inlineStr">
        <ns0:is>
          <ns0:t>C</ns0:t>
        </ns0:is>
      </ns0:c>
      <ns0:c r="D649" s="4" t="n">
        <ns0:v>2</ns0:v>
      </ns0:c>
      <ns0:c r="E649" s="4" t="n">
        <ns0:v>500</ns0:v>
      </ns0:c>
      <ns0:c r="F649" s="6" t="n">
        <ns0:v>0.4</ns0:v>
      </ns0:c>
      <ns0:c r="G649" s="4" t="n">
        <ns0:v>1</ns0:v>
      </ns0:c>
      <ns0:c r="H649" s="7" t="n">
        <ns0:v>11087.25490196078</ns0:v>
      </ns0:c>
      <ns0:c r="I649" s="7" t="n">
        <ns0:v>4592.047930283224</ns0:v>
      </ns0:c>
      <ns0:c r="J649" s="7" t="n">
        <ns0:v>1836.81917211329</ns0:v>
      </ns0:c>
      <ns0:c r="K649" s="7" t="n">
        <ns0:v>9</ns0:v>
      </ns0:c>
      <ns0:c r="L649" s="7" t="n">
        <ns0:v>14</ns0:v>
      </ns0:c>
      <ns0:c r="M649" s="7" t="n">
        <ns0:v>9893.4195323319</ns0:v>
      </ns0:c>
      <ns0:c r="N649" s="7" t="n">
        <ns0:v>100872.7160849054</ns0:v>
      </ns0:c>
      <ns0:c r="O649" s="7" t="n">
        <ns0:v>204461.8165590476</ns0:v>
      </ns0:c>
      <ns0:c r="P649" s="7" t="n">
        <ns0:v>463434.5677444029</ns0:v>
      </ns0:c>
      <ns0:c r="Q649" s="7" t="n">
        <ns0:v>1457325.572485824</ns0:v>
      </ns0:c>
      <ns0:c r="R649" s="7" t="n">
        <ns0:v>5012944.089080799</ns0:v>
      </ns0:c>
    </ns0:row>
    <ns0:row r="650" ht="24" customHeight="1">
      <ns0:c r="A650" s="3" t="inlineStr">
        <ns0:is>
          <ns0:t>セット</ns0:t>
        </ns0:is>
      </ns0:c>
      <ns0:c r="B650" s="3" t="inlineStr">
        <ns0:is>
          <ns0:t>G2二段階</ns0:t>
        </ns0:is>
      </ns0:c>
      <ns0:c r="C650" s="3" t="inlineStr">
        <ns0:is>
          <ns0:t>C</ns0:t>
        </ns0:is>
      </ns0:c>
      <ns0:c r="D650" s="4" t="n">
        <ns0:v>2</ns0:v>
      </ns0:c>
      <ns0:c r="E650" s="4" t="n">
        <ns0:v>500</ns0:v>
      </ns0:c>
      <ns0:c r="F650" s="6" t="n">
        <ns0:v>0.4</ns0:v>
      </ns0:c>
      <ns0:c r="G650" s="4" t="n">
        <ns0:v>2</ns0:v>
      </ns0:c>
      <ns0:c r="H650" s="7" t="n">
        <ns0:v>11087.25490196078</ns0:v>
      </ns0:c>
      <ns0:c r="I650" s="7" t="n">
        <ns0:v>4592.047930283224</ns0:v>
      </ns0:c>
      <ns0:c r="J650" s="7" t="n">
        <ns0:v>1836.81917211329</ns0:v>
      </ns0:c>
      <ns0:c r="K650" s="18" t="inlineStr">
        <ns0:is>
          <ns0:t>範囲内なし</ns0:t>
        </ns0:is>
      </ns0:c>
      <ns0:c r="L650" s="18" t="inlineStr">
        <ns0:is>
          <ns0:t>範囲内なし</ns0:t>
        </ns0:is>
      </ns0:c>
      <ns0:c r="M650" s="7" t="n">
        <ns0:v>-57432.98941615597</ns0:v>
      </ns0:c>
      <ns0:c r="N650" s="7" t="n">
        <ns0:v>-101106.5107605582</ns0:v>
      </ns0:c>
      <ns0:c r="O650" s="7" t="n">
        <ns0:v>-132170.2281833919</ns0:v>
      </ns0:c>
      <ns0:c r="P650" s="7" t="n">
        <ns0:v>-209829.5217404759</ns0:v>
      </ns0:c>
      <ns0:c r="Q650" s="7" t="n">
        <ns0:v>-562466.695968812</ns0:v>
      </ns0:c>
      <ns0:c r="R650" s="7" t="n">
        <ns0:v>-1719696.805767988</ns0:v>
      </ns0:c>
    </ns0:row>
    <ns0:row r="651" ht="24" customHeight="1">
      <ns0:c r="A651" s="3" t="inlineStr">
        <ns0:is>
          <ns0:t>セット</ns0:t>
        </ns0:is>
      </ns0:c>
      <ns0:c r="B651" s="3" t="inlineStr">
        <ns0:is>
          <ns0:t>G2二段階</ns0:t>
        </ns0:is>
      </ns0:c>
      <ns0:c r="C651" s="3" t="inlineStr">
        <ns0:is>
          <ns0:t>C</ns0:t>
        </ns0:is>
      </ns0:c>
      <ns0:c r="D651" s="4" t="n">
        <ns0:v>2</ns0:v>
      </ns0:c>
      <ns0:c r="E651" s="4" t="n">
        <ns0:v>500</ns0:v>
      </ns0:c>
      <ns0:c r="F651" s="6" t="n">
        <ns0:v>0.4</ns0:v>
      </ns0:c>
      <ns0:c r="G651" s="4" t="n">
        <ns0:v>3</ns0:v>
      </ns0:c>
      <ns0:c r="H651" s="7" t="n">
        <ns0:v>11087.25490196078</ns0:v>
      </ns0:c>
      <ns0:c r="I651" s="7" t="n">
        <ns0:v>4592.047930283224</ns0:v>
      </ns0:c>
      <ns0:c r="J651" s="7" t="n">
        <ns0:v>1836.81917211329</ns0:v>
      </ns0:c>
      <ns0:c r="K651" s="7" t="n">
        <ns0:v>14</ns0:v>
      </ns0:c>
      <ns0:c r="L651" s="7" t="n">
        <ns0:v>26</ns0:v>
      </ns0:c>
      <ns0:c r="M651" s="7" t="n">
        <ns0:v>-1142.060986530265</ns0:v>
      </ns0:c>
      <ns0:c r="N651" s="7" t="n">
        <ns0:v>67766.27452831893</ns0:v>
      </ns0:c>
      <ns0:c r="O651" s="7" t="n">
        <ns0:v>149284.4139647367</ns0:v>
      </ns0:c>
      <ns0:c r="P651" s="7" t="n">
        <ns0:v>353079.7625557812</ns0:v>
      </ns0:c>
      <ns0:c r="Q651" s="7" t="n">
        <ns0:v>1126261.156919959</ns0:v>
      </ns0:c>
      <ns0:c r="R651" s="7" t="n">
        <ns0:v>3909396.037194584</ns0:v>
      </ns0:c>
    </ns0:row>
    <ns0:row r="652" ht="24" customHeight="1">
      <ns0:c r="A652" s="3" t="inlineStr">
        <ns0:is>
          <ns0:t>セット</ns0:t>
        </ns0:is>
      </ns0:c>
      <ns0:c r="B652" s="3" t="inlineStr">
        <ns0:is>
          <ns0:t>G2二段階</ns0:t>
        </ns0:is>
      </ns0:c>
      <ns0:c r="C652" s="3" t="inlineStr">
        <ns0:is>
          <ns0:t>C</ns0:t>
        </ns0:is>
      </ns0:c>
      <ns0:c r="D652" s="4" t="n">
        <ns0:v>2</ns0:v>
      </ns0:c>
      <ns0:c r="E652" s="4" t="n">
        <ns0:v>500</ns0:v>
      </ns0:c>
      <ns0:c r="F652" s="6" t="n">
        <ns0:v>0.5</ns0:v>
      </ns0:c>
      <ns0:c r="G652" s="4" t="n">
        <ns0:v>0</ns0:v>
      </ns0:c>
      <ns0:c r="H652" s="7" t="n">
        <ns0:v>11087.25490196078</ns0:v>
      </ns0:c>
      <ns0:c r="I652" s="7" t="n">
        <ns0:v>4592.047930283224</ns0:v>
      </ns0:c>
      <ns0:c r="J652" s="7" t="n">
        <ns0:v>2296.023965141612</ns0:v>
      </ns0:c>
      <ns0:c r="K652" s="7" t="n">
        <ns0:v>9</ns0:v>
      </ns0:c>
      <ns0:c r="L652" s="7" t="n">
        <ns0:v>13</ns0:v>
      </ns0:c>
      <ns0:c r="M652" s="7" t="n">
        <ns0:v>10689.84099435109</ns0:v>
      </ns0:c>
      <ns0:c r="N652" s="7" t="n">
        <ns0:v>103261.980470963</ns0:v>
      </ns0:c>
      <ns0:c r="O652" s="7" t="n">
        <ns0:v>208443.9238691435</ns0:v>
      </ns0:c>
      <ns0:c r="P652" s="7" t="n">
        <ns0:v>471398.7823645949</ns0:v>
      </ns0:c>
      <ns0:c r="Q652" s="7" t="n">
        <ns0:v>1481218.2163464</ns0:v>
      </ns0:c>
      <ns0:c r="R652" s="7" t="n">
        <ns0:v>5092586.235282719</ns0:v>
      </ns0:c>
    </ns0:row>
    <ns0:row r="653" ht="24" customHeight="1">
      <ns0:c r="A653" s="3" t="inlineStr">
        <ns0:is>
          <ns0:t>セット</ns0:t>
        </ns0:is>
      </ns0:c>
      <ns0:c r="B653" s="3" t="inlineStr">
        <ns0:is>
          <ns0:t>G2二段階</ns0:t>
        </ns0:is>
      </ns0:c>
      <ns0:c r="C653" s="3" t="inlineStr">
        <ns0:is>
          <ns0:t>C</ns0:t>
        </ns0:is>
      </ns0:c>
      <ns0:c r="D653" s="4" t="n">
        <ns0:v>2</ns0:v>
      </ns0:c>
      <ns0:c r="E653" s="4" t="n">
        <ns0:v>500</ns0:v>
      </ns0:c>
      <ns0:c r="F653" s="6" t="n">
        <ns0:v>0.5</ns0:v>
      </ns0:c>
      <ns0:c r="G653" s="4" t="n">
        <ns0:v>1</ns0:v>
      </ns0:c>
      <ns0:c r="H653" s="7" t="n">
        <ns0:v>11087.25490196078</ns0:v>
      </ns0:c>
      <ns0:c r="I653" s="7" t="n">
        <ns0:v>4592.047930283224</ns0:v>
      </ns0:c>
      <ns0:c r="J653" s="7" t="n">
        <ns0:v>2296.023965141612</ns0:v>
      </ns0:c>
      <ns0:c r="K653" s="7" t="n">
        <ns0:v>12</ns0:v>
      </ns0:c>
      <ns0:c r="L653" s="7" t="n">
        <ns0:v>16</ns0:v>
      </ns0:c>
      <ns0:c r="M653" s="7" t="n">
        <ns0:v>5301.371602048683</ns0:v>
      </ns0:c>
      <ns0:c r="N653" s="7" t="n">
        <ns0:v>87096.57229405578</ns0:v>
      </ns0:c>
      <ns0:c r="O653" s="7" t="n">
        <ns0:v>181501.5769076315</ns0:v>
      </ns0:c>
      <ns0:c r="P653" s="7" t="n">
        <ns0:v>417514.0884415708</ns0:v>
      </ns0:c>
      <ns0:c r="Q653" s="7" t="n">
        <ns0:v>1319564.134577327</ns0:v>
      </ns0:c>
      <ns0:c r="R653" s="7" t="n">
        <ns0:v>4553739.296052478</ns0:v>
      </ns0:c>
    </ns0:row>
    <ns0:row r="654" ht="24" customHeight="1">
      <ns0:c r="A654" s="3" t="inlineStr">
        <ns0:is>
          <ns0:t>セット</ns0:t>
        </ns0:is>
      </ns0:c>
      <ns0:c r="B654" s="3" t="inlineStr">
        <ns0:is>
          <ns0:t>G2二段階</ns0:t>
        </ns0:is>
      </ns0:c>
      <ns0:c r="C654" s="3" t="inlineStr">
        <ns0:is>
          <ns0:t>C</ns0:t>
        </ns0:is>
      </ns0:c>
      <ns0:c r="D654" s="4" t="n">
        <ns0:v>2</ns0:v>
      </ns0:c>
      <ns0:c r="E654" s="4" t="n">
        <ns0:v>500</ns0:v>
      </ns0:c>
      <ns0:c r="F654" s="6" t="n">
        <ns0:v>0.5</ns0:v>
      </ns0:c>
      <ns0:c r="G654" s="4" t="n">
        <ns0:v>2</ns0:v>
      </ns0:c>
      <ns0:c r="H654" s="7" t="n">
        <ns0:v>11087.25490196078</ns0:v>
      </ns0:c>
      <ns0:c r="I654" s="7" t="n">
        <ns0:v>4592.047930283224</ns0:v>
      </ns0:c>
      <ns0:c r="J654" s="7" t="n">
        <ns0:v>2296.023965141612</ns0:v>
      </ns0:c>
      <ns0:c r="K654" s="18" t="inlineStr">
        <ns0:is>
          <ns0:t>範囲内なし</ns0:t>
        </ns0:is>
      </ns0:c>
      <ns0:c r="L654" s="18" t="inlineStr">
        <ns0:is>
          <ns0:t>範囲内なし</ns0:t>
        </ns0:is>
      </ns0:c>
      <ns0:c r="M654" s="7" t="n">
        <ns0:v>-62025.03734643918</ns0:v>
      </ns0:c>
      <ns0:c r="N654" s="7" t="n">
        <ns0:v>-114882.6545514079</ns0:v>
      </ns0:c>
      <ns0:c r="O654" s="7" t="n">
        <ns0:v>-155130.4678348079</ns0:v>
      </ns0:c>
      <ns0:c r="P654" s="7" t="n">
        <ns0:v>-255750.001043308</ns0:v>
      </ns0:c>
      <ns0:c r="Q654" s="7" t="n">
        <ns0:v>-700228.1338773087</ns0:v>
      </ns0:c>
      <ns0:c r="R654" s="7" t="n">
        <ns0:v>-2178901.59879631</ns0:v>
      </ns0:c>
    </ns0:row>
    <ns0:row r="655" ht="24" customHeight="1">
      <ns0:c r="A655" s="3" t="inlineStr">
        <ns0:is>
          <ns0:t>セット</ns0:t>
        </ns0:is>
      </ns0:c>
      <ns0:c r="B655" s="3" t="inlineStr">
        <ns0:is>
          <ns0:t>G2二段階</ns0:t>
        </ns0:is>
      </ns0:c>
      <ns0:c r="C655" s="3" t="inlineStr">
        <ns0:is>
          <ns0:t>C</ns0:t>
        </ns0:is>
      </ns0:c>
      <ns0:c r="D655" s="4" t="n">
        <ns0:v>2</ns0:v>
      </ns0:c>
      <ns0:c r="E655" s="4" t="n">
        <ns0:v>500</ns0:v>
      </ns0:c>
      <ns0:c r="F655" s="6" t="n">
        <ns0:v>0.5</ns0:v>
      </ns0:c>
      <ns0:c r="G655" s="4" t="n">
        <ns0:v>3</ns0:v>
      </ns0:c>
      <ns0:c r="H655" s="7" t="n">
        <ns0:v>11087.25490196078</ns0:v>
      </ns0:c>
      <ns0:c r="I655" s="7" t="n">
        <ns0:v>4592.047930283224</ns0:v>
      </ns0:c>
      <ns0:c r="J655" s="7" t="n">
        <ns0:v>2296.023965141612</ns0:v>
      </ns0:c>
      <ns0:c r="K655" s="7" t="n">
        <ns0:v>16</ns0:v>
      </ns0:c>
      <ns0:c r="L655" s="7" t="n">
        <ns0:v>30</ns0:v>
      </ns0:c>
      <ns0:c r="M655" s="7" t="n">
        <ns0:v>-5734.108916813482</ns0:v>
      </ns0:c>
      <ns0:c r="N655" s="7" t="n">
        <ns0:v>53990.13073746928</ns0:v>
      </ns0:c>
      <ns0:c r="O655" s="7" t="n">
        <ns0:v>126324.1743133207</ns0:v>
      </ns0:c>
      <ns0:c r="P655" s="7" t="n">
        <ns0:v>307159.2832529491</ns0:v>
      </ns0:c>
      <ns0:c r="Q655" s="7" t="n">
        <ns0:v>988499.7190114625</ns0:v>
      </ns0:c>
      <ns0:c r="R655" s="7" t="n">
        <ns0:v>3450191.244166262</ns0:v>
      </ns0:c>
    </ns0:row>
    <ns0:row r="656" ht="24" customHeight="1">
      <ns0:c r="A656" s="3" t="inlineStr">
        <ns0:is>
          <ns0:t>セット</ns0:t>
        </ns0:is>
      </ns0:c>
      <ns0:c r="B656" s="3" t="inlineStr">
        <ns0:is>
          <ns0:t>G2二段階</ns0:t>
        </ns0:is>
      </ns0:c>
      <ns0:c r="C656" s="3" t="inlineStr">
        <ns0:is>
          <ns0:t>C</ns0:t>
        </ns0:is>
      </ns0:c>
      <ns0:c r="D656" s="4" t="n">
        <ns0:v>2</ns0:v>
      </ns0:c>
      <ns0:c r="E656" s="4" t="n">
        <ns0:v>1000</ns0:v>
      </ns0:c>
      <ns0:c r="F656" s="6" t="n">
        <ns0:v>0.3</ns0:v>
      </ns0:c>
      <ns0:c r="G656" s="4" t="n">
        <ns0:v>0</ns0:v>
      </ns0:c>
      <ns0:c r="H656" s="7" t="n">
        <ns0:v>10587.25490196078</ns0:v>
      </ns0:c>
      <ns0:c r="I656" s="7" t="n">
        <ns0:v>4092.047930283225</ns0:v>
      </ns0:c>
      <ns0:c r="J656" s="7" t="n">
        <ns0:v>1227.614379084967</ns0:v>
      </ns0:c>
      <ns0:c r="K656" s="7" t="n">
        <ns0:v>8</ns0:v>
      </ns0:c>
      <ns0:c r="L656" s="7" t="n">
        <ns0:v>12</ns0:v>
      </ns0:c>
      <ns0:c r="M656" s="7" t="n">
        <ns0:v>16553.93685491753</ns0:v>
      </ns0:c>
      <ns0:c r="N656" s="7" t="n">
        <ns0:v>120854.2680526623</ns0:v>
      </ns0:c>
      <ns0:c r="O656" s="7" t="n">
        <ns0:v>237764.4031719757</ns0:v>
      </ns0:c>
      <ns0:c r="P656" s="7" t="n">
        <ns0:v>530039.7409702593</ns0:v>
      </ns0:c>
      <ns0:c r="Q656" s="7" t="n">
        <ns0:v>1657141.092163394</ns0:v>
      </ns0:c>
      <ns0:c r="R656" s="7" t="n">
        <ns0:v>5678995.821339363</ns0:v>
      </ns0:c>
    </ns0:row>
    <ns0:row r="657" ht="24" customHeight="1">
      <ns0:c r="A657" s="3" t="inlineStr">
        <ns0:is>
          <ns0:t>セット</ns0:t>
        </ns0:is>
      </ns0:c>
      <ns0:c r="B657" s="3" t="inlineStr">
        <ns0:is>
          <ns0:t>G2二段階</ns0:t>
        </ns0:is>
      </ns0:c>
      <ns0:c r="C657" s="3" t="inlineStr">
        <ns0:is>
          <ns0:t>C</ns0:t>
        </ns0:is>
      </ns0:c>
      <ns0:c r="D657" s="4" t="n">
        <ns0:v>2</ns0:v>
      </ns0:c>
      <ns0:c r="E657" s="4" t="n">
        <ns0:v>1000</ns0:v>
      </ns0:c>
      <ns0:c r="F657" s="6" t="n">
        <ns0:v>0.3</ns0:v>
      </ns0:c>
      <ns0:c r="G657" s="4" t="n">
        <ns0:v>1</ns0:v>
      </ns0:c>
      <ns0:c r="H657" s="7" t="n">
        <ns0:v>10587.25490196078</ns0:v>
      </ns0:c>
      <ns0:c r="I657" s="7" t="n">
        <ns0:v>4092.047930283225</ns0:v>
      </ns0:c>
      <ns0:c r="J657" s="7" t="n">
        <ns0:v>1227.614379084967</ns0:v>
      </ns0:c>
      <ns0:c r="K657" s="7" t="n">
        <ns0:v>9</ns0:v>
      </ns0:c>
      <ns0:c r="L657" s="7" t="n">
        <ns0:v>14</ns0:v>
      </ns0:c>
      <ns0:c r="M657" s="7" t="n">
        <ns0:v>11165.46746261512</ns0:v>
      </ns0:c>
      <ns0:c r="N657" s="7" t="n">
        <ns0:v>104688.8598757551</ns0:v>
      </ns0:c>
      <ns0:c r="O657" s="7" t="n">
        <ns0:v>210822.0562104637</ns0:v>
      </ns0:c>
      <ns0:c r="P657" s="7" t="n">
        <ns0:v>476155.0470472352</ns0:v>
      </ns0:c>
      <ns0:c r="Q657" s="7" t="n">
        <ns0:v>1495487.010394321</ns0:v>
      </ns0:c>
      <ns0:c r="R657" s="7" t="n">
        <ns0:v>5140148.882109122</ns0:v>
      </ns0:c>
    </ns0:row>
    <ns0:row r="658" ht="24" customHeight="1">
      <ns0:c r="A658" s="3" t="inlineStr">
        <ns0:is>
          <ns0:t>セット</ns0:t>
        </ns0:is>
      </ns0:c>
      <ns0:c r="B658" s="3" t="inlineStr">
        <ns0:is>
          <ns0:t>G2二段階</ns0:t>
        </ns0:is>
      </ns0:c>
      <ns0:c r="C658" s="3" t="inlineStr">
        <ns0:is>
          <ns0:t>C</ns0:t>
        </ns0:is>
      </ns0:c>
      <ns0:c r="D658" s="4" t="n">
        <ns0:v>2</ns0:v>
      </ns0:c>
      <ns0:c r="E658" s="4" t="n">
        <ns0:v>1000</ns0:v>
      </ns0:c>
      <ns0:c r="F658" s="6" t="n">
        <ns0:v>0.3</ns0:v>
      </ns0:c>
      <ns0:c r="G658" s="4" t="n">
        <ns0:v>2</ns0:v>
      </ns0:c>
      <ns0:c r="H658" s="7" t="n">
        <ns0:v>10587.25490196078</ns0:v>
      </ns0:c>
      <ns0:c r="I658" s="7" t="n">
        <ns0:v>4092.047930283225</ns0:v>
      </ns0:c>
      <ns0:c r="J658" s="7" t="n">
        <ns0:v>1227.614379084967</ns0:v>
      </ns0:c>
      <ns0:c r="K658" s="18" t="inlineStr">
        <ns0:is>
          <ns0:t>範囲内なし</ns0:t>
        </ns0:is>
      </ns0:c>
      <ns0:c r="L658" s="18" t="inlineStr">
        <ns0:is>
          <ns0:t>範囲内なし</ns0:t>
        </ns0:is>
      </ns0:c>
      <ns0:c r="M658" s="7" t="n">
        <ns0:v>-56160.94148587275</ns0:v>
      </ns0:c>
      <ns0:c r="N658" s="7" t="n">
        <ns0:v>-97290.36696970853</ns0:v>
      </ns0:c>
      <ns0:c r="O658" s="7" t="n">
        <ns0:v>-125809.9885319757</ns0:v>
      </ns0:c>
      <ns0:c r="P658" s="7" t="n">
        <ns0:v>-197109.0424376435</ns0:v>
      </ns0:c>
      <ns0:c r="Q658" s="7" t="n">
        <ns0:v>-524305.2580603148</ns0:v>
      </ns0:c>
      <ns0:c r="R658" s="7" t="n">
        <ns0:v>-1592492.012739667</ns0:v>
      </ns0:c>
    </ns0:row>
    <ns0:row r="659" ht="24" customHeight="1">
      <ns0:c r="A659" s="3" t="inlineStr">
        <ns0:is>
          <ns0:t>セット</ns0:t>
        </ns0:is>
      </ns0:c>
      <ns0:c r="B659" s="3" t="inlineStr">
        <ns0:is>
          <ns0:t>G2二段階</ns0:t>
        </ns0:is>
      </ns0:c>
      <ns0:c r="C659" s="3" t="inlineStr">
        <ns0:is>
          <ns0:t>C</ns0:t>
        </ns0:is>
      </ns0:c>
      <ns0:c r="D659" s="4" t="n">
        <ns0:v>2</ns0:v>
      </ns0:c>
      <ns0:c r="E659" s="4" t="n">
        <ns0:v>1000</ns0:v>
      </ns0:c>
      <ns0:c r="F659" s="6" t="n">
        <ns0:v>0.3</ns0:v>
      </ns0:c>
      <ns0:c r="G659" s="4" t="n">
        <ns0:v>3</ns0:v>
      </ns0:c>
      <ns0:c r="H659" s="7" t="n">
        <ns0:v>10587.25490196078</ns0:v>
      </ns0:c>
      <ns0:c r="I659" s="7" t="n">
        <ns0:v>4092.047930283225</ns0:v>
      </ns0:c>
      <ns0:c r="J659" s="7" t="n">
        <ns0:v>1227.614379084967</ns0:v>
      </ns0:c>
      <ns0:c r="K659" s="7" t="n">
        <ns0:v>13</ns0:v>
      </ns0:c>
      <ns0:c r="L659" s="7" t="n">
        <ns0:v>25</ns0:v>
      </ns0:c>
      <ns0:c r="M659" s="7" t="n">
        <ns0:v>129.9869437529596</ns0:v>
      </ns0:c>
      <ns0:c r="N659" s="7" t="n">
        <ns0:v>71582.41831916859</ns0:v>
      </ns0:c>
      <ns0:c r="O659" s="7" t="n">
        <ns0:v>155644.6536161529</ns0:v>
      </ns0:c>
      <ns0:c r="P659" s="7" t="n">
        <ns0:v>365800.2418586136</ns0:v>
      </ns0:c>
      <ns0:c r="Q659" s="7" t="n">
        <ns0:v>1164422.594828456</ns0:v>
      </ns0:c>
      <ns0:c r="R659" s="7" t="n">
        <ns0:v>4036600.830222906</ns0:v>
      </ns0:c>
    </ns0:row>
    <ns0:row r="660" ht="24" customHeight="1">
      <ns0:c r="A660" s="3" t="inlineStr">
        <ns0:is>
          <ns0:t>セット</ns0:t>
        </ns0:is>
      </ns0:c>
      <ns0:c r="B660" s="3" t="inlineStr">
        <ns0:is>
          <ns0:t>G2二段階</ns0:t>
        </ns0:is>
      </ns0:c>
      <ns0:c r="C660" s="3" t="inlineStr">
        <ns0:is>
          <ns0:t>C</ns0:t>
        </ns0:is>
      </ns0:c>
      <ns0:c r="D660" s="4" t="n">
        <ns0:v>2</ns0:v>
      </ns0:c>
      <ns0:c r="E660" s="4" t="n">
        <ns0:v>1000</ns0:v>
      </ns0:c>
      <ns0:c r="F660" s="6" t="n">
        <ns0:v>0.4</ns0:v>
      </ns0:c>
      <ns0:c r="G660" s="4" t="n">
        <ns0:v>0</ns0:v>
      </ns0:c>
      <ns0:c r="H660" s="7" t="n">
        <ns0:v>10587.25490196078</ns0:v>
      </ns0:c>
      <ns0:c r="I660" s="7" t="n">
        <ns0:v>4092.047930283225</ns0:v>
      </ns0:c>
      <ns0:c r="J660" s="7" t="n">
        <ns0:v>1636.81917211329</ns0:v>
      </ns0:c>
      <ns0:c r="K660" s="7" t="n">
        <ns0:v>9</ns0:v>
      </ns0:c>
      <ns0:c r="L660" s="7" t="n">
        <ns0:v>12</ns0:v>
      </ns0:c>
      <ns0:c r="M660" s="7" t="n">
        <ns0:v>12461.88892463431</ns0:v>
      </ns0:c>
      <ns0:c r="N660" s="7" t="n">
        <ns0:v>108578.1242618126</ns0:v>
      </ns0:c>
      <ns0:c r="O660" s="7" t="n">
        <ns0:v>217304.1635205597</ns0:v>
      </ns0:c>
      <ns0:c r="P660" s="7" t="n">
        <ns0:v>489119.2616674271</ns0:v>
      </ns0:c>
      <ns0:c r="Q660" s="7" t="n">
        <ns0:v>1534379.654254897</ns0:v>
      </ns0:c>
      <ns0:c r="R660" s="7" t="n">
        <ns0:v>5269791.02831104</ns0:v>
      </ns0:c>
    </ns0:row>
    <ns0:row r="661" ht="24" customHeight="1">
      <ns0:c r="A661" s="3" t="inlineStr">
        <ns0:is>
          <ns0:t>セット</ns0:t>
        </ns0:is>
      </ns0:c>
      <ns0:c r="B661" s="3" t="inlineStr">
        <ns0:is>
          <ns0:t>G2二段階</ns0:t>
        </ns0:is>
      </ns0:c>
      <ns0:c r="C661" s="3" t="inlineStr">
        <ns0:is>
          <ns0:t>C</ns0:t>
        </ns0:is>
      </ns0:c>
      <ns0:c r="D661" s="4" t="n">
        <ns0:v>2</ns0:v>
      </ns0:c>
      <ns0:c r="E661" s="4" t="n">
        <ns0:v>1000</ns0:v>
      </ns0:c>
      <ns0:c r="F661" s="6" t="n">
        <ns0:v>0.4</ns0:v>
      </ns0:c>
      <ns0:c r="G661" s="4" t="n">
        <ns0:v>1</ns0:v>
      </ns0:c>
      <ns0:c r="H661" s="7" t="n">
        <ns0:v>10587.25490196078</ns0:v>
      </ns0:c>
      <ns0:c r="I661" s="7" t="n">
        <ns0:v>4092.047930283225</ns0:v>
      </ns0:c>
      <ns0:c r="J661" s="7" t="n">
        <ns0:v>1636.81917211329</ns0:v>
      </ns0:c>
      <ns0:c r="K661" s="7" t="n">
        <ns0:v>12</ns0:v>
      </ns0:c>
      <ns0:c r="L661" s="7" t="n">
        <ns0:v>15</ns0:v>
      </ns0:c>
      <ns0:c r="M661" s="7" t="n">
        <ns0:v>7073.4195323319</ns0:v>
      </ns0:c>
      <ns0:c r="N661" s="7" t="n">
        <ns0:v>92412.71608490541</ns0:v>
      </ns0:c>
      <ns0:c r="O661" s="7" t="n">
        <ns0:v>190361.8165590476</ns0:v>
      </ns0:c>
      <ns0:c r="P661" s="7" t="n">
        <ns0:v>435234.567744403</ns0:v>
      </ns0:c>
      <ns0:c r="Q661" s="7" t="n">
        <ns0:v>1372725.572485825</ns0:v>
      </ns0:c>
      <ns0:c r="R661" s="7" t="n">
        <ns0:v>4730944.089080799</ns0:v>
      </ns0:c>
    </ns0:row>
    <ns0:row r="662" ht="24" customHeight="1">
      <ns0:c r="A662" s="3" t="inlineStr">
        <ns0:is>
          <ns0:t>セット</ns0:t>
        </ns0:is>
      </ns0:c>
      <ns0:c r="B662" s="3" t="inlineStr">
        <ns0:is>
          <ns0:t>G2二段階</ns0:t>
        </ns0:is>
      </ns0:c>
      <ns0:c r="C662" s="3" t="inlineStr">
        <ns0:is>
          <ns0:t>C</ns0:t>
        </ns0:is>
      </ns0:c>
      <ns0:c r="D662" s="4" t="n">
        <ns0:v>2</ns0:v>
      </ns0:c>
      <ns0:c r="E662" s="4" t="n">
        <ns0:v>1000</ns0:v>
      </ns0:c>
      <ns0:c r="F662" s="6" t="n">
        <ns0:v>0.4</ns0:v>
      </ns0:c>
      <ns0:c r="G662" s="4" t="n">
        <ns0:v>2</ns0:v>
      </ns0:c>
      <ns0:c r="H662" s="7" t="n">
        <ns0:v>10587.25490196078</ns0:v>
      </ns0:c>
      <ns0:c r="I662" s="7" t="n">
        <ns0:v>4092.047930283225</ns0:v>
      </ns0:c>
      <ns0:c r="J662" s="7" t="n">
        <ns0:v>1636.81917211329</ns0:v>
      </ns0:c>
      <ns0:c r="K662" s="18" t="inlineStr">
        <ns0:is>
          <ns0:t>範囲内なし</ns0:t>
        </ns0:is>
      </ns0:c>
      <ns0:c r="L662" s="18" t="inlineStr">
        <ns0:is>
          <ns0:t>範囲内なし</ns0:t>
        </ns0:is>
      </ns0:c>
      <ns0:c r="M662" s="7" t="n">
        <ns0:v>-60252.98941615598</ns0:v>
      </ns0:c>
      <ns0:c r="N662" s="7" t="n">
        <ns0:v>-109566.5107605582</ns0:v>
      </ns0:c>
      <ns0:c r="O662" s="7" t="n">
        <ns0:v>-146270.2281833918</ns0:v>
      </ns0:c>
      <ns0:c r="P662" s="7" t="n">
        <ns0:v>-238029.5217404758</ns0:v>
      </ns0:c>
      <ns0:c r="Q662" s="7" t="n">
        <ns0:v>-647066.6959688117</ns0:v>
      </ns0:c>
      <ns0:c r="R662" s="7" t="n">
        <ns0:v>-2001696.805767989</ns0:v>
      </ns0:c>
    </ns0:row>
    <ns0:row r="663" ht="24" customHeight="1">
      <ns0:c r="A663" s="3" t="inlineStr">
        <ns0:is>
          <ns0:t>セット</ns0:t>
        </ns0:is>
      </ns0:c>
      <ns0:c r="B663" s="3" t="inlineStr">
        <ns0:is>
          <ns0:t>G2二段階</ns0:t>
        </ns0:is>
      </ns0:c>
      <ns0:c r="C663" s="3" t="inlineStr">
        <ns0:is>
          <ns0:t>C</ns0:t>
        </ns0:is>
      </ns0:c>
      <ns0:c r="D663" s="4" t="n">
        <ns0:v>2</ns0:v>
      </ns0:c>
      <ns0:c r="E663" s="4" t="n">
        <ns0:v>1000</ns0:v>
      </ns0:c>
      <ns0:c r="F663" s="6" t="n">
        <ns0:v>0.4</ns0:v>
      </ns0:c>
      <ns0:c r="G663" s="4" t="n">
        <ns0:v>3</ns0:v>
      </ns0:c>
      <ns0:c r="H663" s="7" t="n">
        <ns0:v>10587.25490196078</ns0:v>
      </ns0:c>
      <ns0:c r="I663" s="7" t="n">
        <ns0:v>4092.047930283225</ns0:v>
      </ns0:c>
      <ns0:c r="J663" s="7" t="n">
        <ns0:v>1636.81917211329</ns0:v>
      </ns0:c>
      <ns0:c r="K663" s="7" t="n">
        <ns0:v>15</ns0:v>
      </ns0:c>
      <ns0:c r="L663" s="7" t="n">
        <ns0:v>28</ns0:v>
      </ns0:c>
      <ns0:c r="M663" s="7" t="n">
        <ns0:v>-3962.060986530265</ns0:v>
      </ns0:c>
      <ns0:c r="N663" s="7" t="n">
        <ns0:v>59306.27452831891</ns0:v>
      </ns0:c>
      <ns0:c r="O663" s="7" t="n">
        <ns0:v>135184.4139647368</ns0:v>
      </ns0:c>
      <ns0:c r="P663" s="7" t="n">
        <ns0:v>324879.7625557814</ns0:v>
      </ns0:c>
      <ns0:c r="Q663" s="7" t="n">
        <ns0:v>1041661.15691996</ns0:v>
      </ns0:c>
      <ns0:c r="R663" s="7" t="n">
        <ns0:v>3627396.037194584</ns0:v>
      </ns0:c>
    </ns0:row>
    <ns0:row r="664" ht="24" customHeight="1">
      <ns0:c r="A664" s="3" t="inlineStr">
        <ns0:is>
          <ns0:t>セット</ns0:t>
        </ns0:is>
      </ns0:c>
      <ns0:c r="B664" s="3" t="inlineStr">
        <ns0:is>
          <ns0:t>G2二段階</ns0:t>
        </ns0:is>
      </ns0:c>
      <ns0:c r="C664" s="3" t="inlineStr">
        <ns0:is>
          <ns0:t>C</ns0:t>
        </ns0:is>
      </ns0:c>
      <ns0:c r="D664" s="4" t="n">
        <ns0:v>2</ns0:v>
      </ns0:c>
      <ns0:c r="E664" s="4" t="n">
        <ns0:v>1000</ns0:v>
      </ns0:c>
      <ns0:c r="F664" s="6" t="n">
        <ns0:v>0.5</ns0:v>
      </ns0:c>
      <ns0:c r="G664" s="4" t="n">
        <ns0:v>0</ns0:v>
      </ns0:c>
      <ns0:c r="H664" s="7" t="n">
        <ns0:v>10587.25490196078</ns0:v>
      </ns0:c>
      <ns0:c r="I664" s="7" t="n">
        <ns0:v>4092.047930283225</ns0:v>
      </ns0:c>
      <ns0:c r="J664" s="7" t="n">
        <ns0:v>2046.023965141613</ns0:v>
      </ns0:c>
      <ns0:c r="K664" s="7" t="n">
        <ns0:v>9</ns0:v>
      </ns0:c>
      <ns0:c r="L664" s="7" t="n">
        <ns0:v>13</ns0:v>
      </ns0:c>
      <ns0:c r="M664" s="7" t="n">
        <ns0:v>8369.840994351085</ns0:v>
      </ns0:c>
      <ns0:c r="N664" s="7" t="n">
        <ns0:v>96301.98047096297</ns0:v>
      </ns0:c>
      <ns0:c r="O664" s="7" t="n">
        <ns0:v>196843.9238691435</ns0:v>
      </ns0:c>
      <ns0:c r="P664" s="7" t="n">
        <ns0:v>448198.7823645949</ns0:v>
      </ns0:c>
      <ns0:c r="Q664" s="7" t="n">
        <ns0:v>1411618.2163464</ns0:v>
      </ns0:c>
      <ns0:c r="R664" s="7" t="n">
        <ns0:v>4860586.235282719</ns0:v>
      </ns0:c>
    </ns0:row>
    <ns0:row r="665" ht="24" customHeight="1">
      <ns0:c r="A665" s="3" t="inlineStr">
        <ns0:is>
          <ns0:t>セット</ns0:t>
        </ns0:is>
      </ns0:c>
      <ns0:c r="B665" s="3" t="inlineStr">
        <ns0:is>
          <ns0:t>G2二段階</ns0:t>
        </ns0:is>
      </ns0:c>
      <ns0:c r="C665" s="3" t="inlineStr">
        <ns0:is>
          <ns0:t>C</ns0:t>
        </ns0:is>
      </ns0:c>
      <ns0:c r="D665" s="4" t="n">
        <ns0:v>2</ns0:v>
      </ns0:c>
      <ns0:c r="E665" s="4" t="n">
        <ns0:v>1000</ns0:v>
      </ns0:c>
      <ns0:c r="F665" s="6" t="n">
        <ns0:v>0.5</ns0:v>
      </ns0:c>
      <ns0:c r="G665" s="4" t="n">
        <ns0:v>1</ns0:v>
      </ns0:c>
      <ns0:c r="H665" s="7" t="n">
        <ns0:v>10587.25490196078</ns0:v>
      </ns0:c>
      <ns0:c r="I665" s="7" t="n">
        <ns0:v>4092.047930283225</ns0:v>
      </ns0:c>
      <ns0:c r="J665" s="7" t="n">
        <ns0:v>2046.023965141613</ns0:v>
      </ns0:c>
      <ns0:c r="K665" s="7" t="n">
        <ns0:v>13</ns0:v>
      </ns0:c>
      <ns0:c r="L665" s="7" t="n">
        <ns0:v>16</ns0:v>
      </ns0:c>
      <ns0:c r="M665" s="7" t="n">
        <ns0:v>2981.371602048675</ns0:v>
      </ns0:c>
      <ns0:c r="N665" s="7" t="n">
        <ns0:v>80136.57229405575</ns0:v>
      </ns0:c>
      <ns0:c r="O665" s="7" t="n">
        <ns0:v>169901.5769076315</ns0:v>
      </ns0:c>
      <ns0:c r="P665" s="7" t="n">
        <ns0:v>394314.0884415709</ns0:v>
      </ns0:c>
      <ns0:c r="Q665" s="7" t="n">
        <ns0:v>1249964.134577328</ns0:v>
      </ns0:c>
      <ns0:c r="R665" s="7" t="n">
        <ns0:v>4321739.296052478</ns0:v>
      </ns0:c>
    </ns0:row>
    <ns0:row r="666" ht="24" customHeight="1">
      <ns0:c r="A666" s="3" t="inlineStr">
        <ns0:is>
          <ns0:t>セット</ns0:t>
        </ns0:is>
      </ns0:c>
      <ns0:c r="B666" s="3" t="inlineStr">
        <ns0:is>
          <ns0:t>G2二段階</ns0:t>
        </ns0:is>
      </ns0:c>
      <ns0:c r="C666" s="3" t="inlineStr">
        <ns0:is>
          <ns0:t>C</ns0:t>
        </ns0:is>
      </ns0:c>
      <ns0:c r="D666" s="4" t="n">
        <ns0:v>2</ns0:v>
      </ns0:c>
      <ns0:c r="E666" s="4" t="n">
        <ns0:v>1000</ns0:v>
      </ns0:c>
      <ns0:c r="F666" s="6" t="n">
        <ns0:v>0.5</ns0:v>
      </ns0:c>
      <ns0:c r="G666" s="4" t="n">
        <ns0:v>2</ns0:v>
      </ns0:c>
      <ns0:c r="H666" s="7" t="n">
        <ns0:v>10587.25490196078</ns0:v>
      </ns0:c>
      <ns0:c r="I666" s="7" t="n">
        <ns0:v>4092.047930283225</ns0:v>
      </ns0:c>
      <ns0:c r="J666" s="7" t="n">
        <ns0:v>2046.023965141613</ns0:v>
      </ns0:c>
      <ns0:c r="K666" s="18" t="inlineStr">
        <ns0:is>
          <ns0:t>範囲内なし</ns0:t>
        </ns0:is>
      </ns0:c>
      <ns0:c r="L666" s="18" t="inlineStr">
        <ns0:is>
          <ns0:t>範囲内なし</ns0:t>
        </ns0:is>
      </ns0:c>
      <ns0:c r="M666" s="7" t="n">
        <ns0:v>-64345.03734643919</ns0:v>
      </ns0:c>
      <ns0:c r="N666" s="7" t="n">
        <ns0:v>-121842.6545514079</ns0:v>
      </ns0:c>
      <ns0:c r="O666" s="7" t="n">
        <ns0:v>-166730.4678348079</ns0:v>
      </ns0:c>
      <ns0:c r="P666" s="7" t="n">
        <ns0:v>-278950.0010433079</ns0:v>
      </ns0:c>
      <ns0:c r="Q666" s="7" t="n">
        <ns0:v>-769828.1338773082</ns0:v>
      </ns0:c>
      <ns0:c r="R666" s="7" t="n">
        <ns0:v>-2410901.59879631</ns0:v>
      </ns0:c>
    </ns0:row>
    <ns0:row r="667" ht="24" customHeight="1">
      <ns0:c r="A667" s="3" t="inlineStr">
        <ns0:is>
          <ns0:t>セット</ns0:t>
        </ns0:is>
      </ns0:c>
      <ns0:c r="B667" s="3" t="inlineStr">
        <ns0:is>
          <ns0:t>G2二段階</ns0:t>
        </ns0:is>
      </ns0:c>
      <ns0:c r="C667" s="3" t="inlineStr">
        <ns0:is>
          <ns0:t>C</ns0:t>
        </ns0:is>
      </ns0:c>
      <ns0:c r="D667" s="4" t="n">
        <ns0:v>2</ns0:v>
      </ns0:c>
      <ns0:c r="E667" s="4" t="n">
        <ns0:v>1000</ns0:v>
      </ns0:c>
      <ns0:c r="F667" s="6" t="n">
        <ns0:v>0.5</ns0:v>
      </ns0:c>
      <ns0:c r="G667" s="4" t="n">
        <ns0:v>3</ns0:v>
      </ns0:c>
      <ns0:c r="H667" s="7" t="n">
        <ns0:v>10587.25490196078</ns0:v>
      </ns0:c>
      <ns0:c r="I667" s="7" t="n">
        <ns0:v>4092.047930283225</ns0:v>
      </ns0:c>
      <ns0:c r="J667" s="7" t="n">
        <ns0:v>2046.023965141613</ns0:v>
      </ns0:c>
      <ns0:c r="K667" s="7" t="n">
        <ns0:v>17</ns0:v>
      </ns0:c>
      <ns0:c r="L667" s="7" t="n">
        <ns0:v>32</ns0:v>
      </ns0:c>
      <ns0:c r="M667" s="7" t="n">
        <ns0:v>-8054.108916813489</ns0:v>
      </ns0:c>
      <ns0:c r="N667" s="7" t="n">
        <ns0:v>47030.13073746925</ns0:v>
      </ns0:c>
      <ns0:c r="O667" s="7" t="n">
        <ns0:v>114724.1743133207</ns0:v>
      </ns0:c>
      <ns0:c r="P667" s="7" t="n">
        <ns0:v>283959.2832529492</ns0:v>
      </ns0:c>
      <ns0:c r="Q667" s="7" t="n">
        <ns0:v>918899.7190114632</ns0:v>
      </ns0:c>
      <ns0:c r="R667" s="7" t="n">
        <ns0:v>3218191.244166262</ns0:v>
      </ns0:c>
    </ns0:row>
    <ns0:row r="668" ht="24" customHeight="1">
      <ns0:c r="A668" s="3" t="inlineStr">
        <ns0:is>
          <ns0:t>セット</ns0:t>
        </ns0:is>
      </ns0:c>
      <ns0:c r="B668" s="3" t="inlineStr">
        <ns0:is>
          <ns0:t>G2二段階</ns0:t>
        </ns0:is>
      </ns0:c>
      <ns0:c r="C668" s="3" t="inlineStr">
        <ns0:is>
          <ns0:t>C</ns0:t>
        </ns0:is>
      </ns0:c>
      <ns0:c r="D668" s="4" t="n">
        <ns0:v>2</ns0:v>
      </ns0:c>
      <ns0:c r="E668" s="4" t="n">
        <ns0:v>1500</ns0:v>
      </ns0:c>
      <ns0:c r="F668" s="6" t="n">
        <ns0:v>0.3</ns0:v>
      </ns0:c>
      <ns0:c r="G668" s="4" t="n">
        <ns0:v>0</ns0:v>
      </ns0:c>
      <ns0:c r="H668" s="7" t="n">
        <ns0:v>10087.25490196078</ns0:v>
      </ns0:c>
      <ns0:c r="I668" s="7" t="n">
        <ns0:v>3592.047930283225</ns0:v>
      </ns0:c>
      <ns0:c r="J668" s="7" t="n">
        <ns0:v>1077.614379084967</ns0:v>
      </ns0:c>
      <ns0:c r="K668" s="7" t="n">
        <ns0:v>9</ns0:v>
      </ns0:c>
      <ns0:c r="L668" s="7" t="n">
        <ns0:v>12</ns0:v>
      </ns0:c>
      <ns0:c r="M668" s="7" t="n">
        <ns0:v>13233.93685491753</ns0:v>
      </ns0:c>
      <ns0:c r="N668" s="7" t="n">
        <ns0:v>110894.2680526623</ns0:v>
      </ns0:c>
      <ns0:c r="O668" s="7" t="n">
        <ns0:v>221164.4031719757</ns0:v>
      </ns0:c>
      <ns0:c r="P668" s="7" t="n">
        <ns0:v>496839.7409702593</ns0:v>
      </ns0:c>
      <ns0:c r="Q668" s="7" t="n">
        <ns0:v>1557541.092163394</ns0:v>
      </ns0:c>
      <ns0:c r="R668" s="7" t="n">
        <ns0:v>5346995.821339363</ns0:v>
      </ns0:c>
    </ns0:row>
    <ns0:row r="669" ht="24" customHeight="1">
      <ns0:c r="A669" s="3" t="inlineStr">
        <ns0:is>
          <ns0:t>セット</ns0:t>
        </ns0:is>
      </ns0:c>
      <ns0:c r="B669" s="3" t="inlineStr">
        <ns0:is>
          <ns0:t>G2二段階</ns0:t>
        </ns0:is>
      </ns0:c>
      <ns0:c r="C669" s="3" t="inlineStr">
        <ns0:is>
          <ns0:t>C</ns0:t>
        </ns0:is>
      </ns0:c>
      <ns0:c r="D669" s="4" t="n">
        <ns0:v>2</ns0:v>
      </ns0:c>
      <ns0:c r="E669" s="4" t="n">
        <ns0:v>1500</ns0:v>
      </ns0:c>
      <ns0:c r="F669" s="6" t="n">
        <ns0:v>0.3</ns0:v>
      </ns0:c>
      <ns0:c r="G669" s="4" t="n">
        <ns0:v>1</ns0:v>
      </ns0:c>
      <ns0:c r="H669" s="7" t="n">
        <ns0:v>10087.25490196078</ns0:v>
      </ns0:c>
      <ns0:c r="I669" s="7" t="n">
        <ns0:v>3592.047930283225</ns0:v>
      </ns0:c>
      <ns0:c r="J669" s="7" t="n">
        <ns0:v>1077.614379084967</ns0:v>
      </ns0:c>
      <ns0:c r="K669" s="7" t="n">
        <ns0:v>9</ns0:v>
      </ns0:c>
      <ns0:c r="L669" s="7" t="n">
        <ns0:v>15</ns0:v>
      </ns0:c>
      <ns0:c r="M669" s="7" t="n">
        <ns0:v>7845.467462615125</ns0:v>
      </ns0:c>
      <ns0:c r="N669" s="7" t="n">
        <ns0:v>94728.85987575506</ns0:v>
      </ns0:c>
      <ns0:c r="O669" s="7" t="n">
        <ns0:v>194222.0562104637</ns0:v>
      </ns0:c>
      <ns0:c r="P669" s="7" t="n">
        <ns0:v>442955.0470472352</ns0:v>
      </ns0:c>
      <ns0:c r="Q669" s="7" t="n">
        <ns0:v>1395887.010394321</ns0:v>
      </ns0:c>
      <ns0:c r="R669" s="7" t="n">
        <ns0:v>4808148.882109122</ns0:v>
      </ns0:c>
    </ns0:row>
    <ns0:row r="670" ht="24" customHeight="1">
      <ns0:c r="A670" s="3" t="inlineStr">
        <ns0:is>
          <ns0:t>セット</ns0:t>
        </ns0:is>
      </ns0:c>
      <ns0:c r="B670" s="3" t="inlineStr">
        <ns0:is>
          <ns0:t>G2二段階</ns0:t>
        </ns0:is>
      </ns0:c>
      <ns0:c r="C670" s="3" t="inlineStr">
        <ns0:is>
          <ns0:t>C</ns0:t>
        </ns0:is>
      </ns0:c>
      <ns0:c r="D670" s="4" t="n">
        <ns0:v>2</ns0:v>
      </ns0:c>
      <ns0:c r="E670" s="4" t="n">
        <ns0:v>1500</ns0:v>
      </ns0:c>
      <ns0:c r="F670" s="6" t="n">
        <ns0:v>0.3</ns0:v>
      </ns0:c>
      <ns0:c r="G670" s="4" t="n">
        <ns0:v>2</ns0:v>
      </ns0:c>
      <ns0:c r="H670" s="7" t="n">
        <ns0:v>10087.25490196078</ns0:v>
      </ns0:c>
      <ns0:c r="I670" s="7" t="n">
        <ns0:v>3592.047930283225</ns0:v>
      </ns0:c>
      <ns0:c r="J670" s="7" t="n">
        <ns0:v>1077.614379084967</ns0:v>
      </ns0:c>
      <ns0:c r="K670" s="18" t="inlineStr">
        <ns0:is>
          <ns0:t>範囲内なし</ns0:t>
        </ns0:is>
      </ns0:c>
      <ns0:c r="L670" s="18" t="inlineStr">
        <ns0:is>
          <ns0:t>範囲内なし</ns0:t>
        </ns0:is>
      </ns0:c>
      <ns0:c r="M670" s="7" t="n">
        <ns0:v>-59480.94148587274</ns0:v>
      </ns0:c>
      <ns0:c r="N670" s="7" t="n">
        <ns0:v>-107250.3669697086</ns0:v>
      </ns0:c>
      <ns0:c r="O670" s="7" t="n">
        <ns0:v>-142409.9885319757</ns0:v>
      </ns0:c>
      <ns0:c r="P670" s="7" t="n">
        <ns0:v>-230309.0424376435</ns0:v>
      </ns0:c>
      <ns0:c r="Q670" s="7" t="n">
        <ns0:v>-623905.258060315</ns0:v>
      </ns0:c>
      <ns0:c r="R670" s="7" t="n">
        <ns0:v>-1924492.012739666</ns0:v>
      </ns0:c>
    </ns0:row>
    <ns0:row r="671" ht="24" customHeight="1">
      <ns0:c r="A671" s="3" t="inlineStr">
        <ns0:is>
          <ns0:t>セット</ns0:t>
        </ns0:is>
      </ns0:c>
      <ns0:c r="B671" s="3" t="inlineStr">
        <ns0:is>
          <ns0:t>G2二段階</ns0:t>
        </ns0:is>
      </ns0:c>
      <ns0:c r="C671" s="3" t="inlineStr">
        <ns0:is>
          <ns0:t>C</ns0:t>
        </ns0:is>
      </ns0:c>
      <ns0:c r="D671" s="4" t="n">
        <ns0:v>2</ns0:v>
      </ns0:c>
      <ns0:c r="E671" s="4" t="n">
        <ns0:v>1500</ns0:v>
      </ns0:c>
      <ns0:c r="F671" s="6" t="n">
        <ns0:v>0.3</ns0:v>
      </ns0:c>
      <ns0:c r="G671" s="4" t="n">
        <ns0:v>3</ns0:v>
      </ns0:c>
      <ns0:c r="H671" s="7" t="n">
        <ns0:v>10087.25490196078</ns0:v>
      </ns0:c>
      <ns0:c r="I671" s="7" t="n">
        <ns0:v>3592.047930283225</ns0:v>
      </ns0:c>
      <ns0:c r="J671" s="7" t="n">
        <ns0:v>1077.614379084967</ns0:v>
      </ns0:c>
      <ns0:c r="K671" s="7" t="n">
        <ns0:v>15</ns0:v>
      </ns0:c>
      <ns0:c r="L671" s="7" t="n">
        <ns0:v>27</ns0:v>
      </ns0:c>
      <ns0:c r="M671" s="7" t="n">
        <ns0:v>-3190.01305624704</ns0:v>
      </ns0:c>
      <ns0:c r="N671" s="7" t="n">
        <ns0:v>61622.4183191686</ns0:v>
      </ns0:c>
      <ns0:c r="O671" s="7" t="n">
        <ns0:v>139044.6536161529</ns0:v>
      </ns0:c>
      <ns0:c r="P671" s="7" t="n">
        <ns0:v>332600.2418586136</ns0:v>
      </ns0:c>
      <ns0:c r="Q671" s="7" t="n">
        <ns0:v>1064822.594828456</ns0:v>
      </ns0:c>
      <ns0:c r="R671" s="7" t="n">
        <ns0:v>3704600.830222907</ns0:v>
      </ns0:c>
    </ns0:row>
    <ns0:row r="672" ht="24" customHeight="1">
      <ns0:c r="A672" s="3" t="inlineStr">
        <ns0:is>
          <ns0:t>セット</ns0:t>
        </ns0:is>
      </ns0:c>
      <ns0:c r="B672" s="3" t="inlineStr">
        <ns0:is>
          <ns0:t>G2二段階</ns0:t>
        </ns0:is>
      </ns0:c>
      <ns0:c r="C672" s="3" t="inlineStr">
        <ns0:is>
          <ns0:t>C</ns0:t>
        </ns0:is>
      </ns0:c>
      <ns0:c r="D672" s="4" t="n">
        <ns0:v>2</ns0:v>
      </ns0:c>
      <ns0:c r="E672" s="4" t="n">
        <ns0:v>1500</ns0:v>
      </ns0:c>
      <ns0:c r="F672" s="6" t="n">
        <ns0:v>0.4</ns0:v>
      </ns0:c>
      <ns0:c r="G672" s="4" t="n">
        <ns0:v>0</ns0:v>
      </ns0:c>
      <ns0:c r="H672" s="7" t="n">
        <ns0:v>10087.25490196078</ns0:v>
      </ns0:c>
      <ns0:c r="I672" s="7" t="n">
        <ns0:v>3592.047930283225</ns0:v>
      </ns0:c>
      <ns0:c r="J672" s="7" t="n">
        <ns0:v>1436.81917211329</ns0:v>
      </ns0:c>
      <ns0:c r="K672" s="7" t="n">
        <ns0:v>9</ns0:v>
      </ns0:c>
      <ns0:c r="L672" s="7" t="n">
        <ns0:v>13</ns0:v>
      </ns0:c>
      <ns0:c r="M672" s="7" t="n">
        <ns0:v>9641.888924634306</ns0:v>
      </ns0:c>
      <ns0:c r="N672" s="7" t="n">
        <ns0:v>100118.1242618126</ns0:v>
      </ns0:c>
      <ns0:c r="O672" s="7" t="n">
        <ns0:v>203204.1635205597</ns0:v>
      </ns0:c>
      <ns0:c r="P672" s="7" t="n">
        <ns0:v>460919.2616674271</ns0:v>
      </ns0:c>
      <ns0:c r="Q672" s="7" t="n">
        <ns0:v>1449779.654254897</ns0:v>
      </ns0:c>
      <ns0:c r="R672" s="7" t="n">
        <ns0:v>4987791.028311041</ns0:v>
      </ns0:c>
    </ns0:row>
    <ns0:row r="673" ht="24" customHeight="1">
      <ns0:c r="A673" s="3" t="inlineStr">
        <ns0:is>
          <ns0:t>セット</ns0:t>
        </ns0:is>
      </ns0:c>
      <ns0:c r="B673" s="3" t="inlineStr">
        <ns0:is>
          <ns0:t>G2二段階</ns0:t>
        </ns0:is>
      </ns0:c>
      <ns0:c r="C673" s="3" t="inlineStr">
        <ns0:is>
          <ns0:t>C</ns0:t>
        </ns0:is>
      </ns0:c>
      <ns0:c r="D673" s="4" t="n">
        <ns0:v>2</ns0:v>
      </ns0:c>
      <ns0:c r="E673" s="4" t="n">
        <ns0:v>1500</ns0:v>
      </ns0:c>
      <ns0:c r="F673" s="6" t="n">
        <ns0:v>0.4</ns0:v>
      </ns0:c>
      <ns0:c r="G673" s="4" t="n">
        <ns0:v>1</ns0:v>
      </ns0:c>
      <ns0:c r="H673" s="7" t="n">
        <ns0:v>10087.25490196078</ns0:v>
      </ns0:c>
      <ns0:c r="I673" s="7" t="n">
        <ns0:v>3592.047930283225</ns0:v>
      </ns0:c>
      <ns0:c r="J673" s="7" t="n">
        <ns0:v>1436.81917211329</ns0:v>
      </ns0:c>
      <ns0:c r="K673" s="7" t="n">
        <ns0:v>12</ns0:v>
      </ns0:c>
      <ns0:c r="L673" s="7" t="n">
        <ns0:v>16</ns0:v>
      </ns0:c>
      <ns0:c r="M673" s="7" t="n">
        <ns0:v>4253.419532331896</ns0:v>
      </ns0:c>
      <ns0:c r="N673" s="7" t="n">
        <ns0:v>83952.71608490541</ns0:v>
      </ns0:c>
      <ns0:c r="O673" s="7" t="n">
        <ns0:v>176261.8165590476</ns0:v>
      </ns0:c>
      <ns0:c r="P673" s="7" t="n">
        <ns0:v>407034.567744403</ns0:v>
      </ns0:c>
      <ns0:c r="Q673" s="7" t="n">
        <ns0:v>1288125.572485824</ns0:v>
      </ns0:c>
      <ns0:c r="R673" s="7" t="n">
        <ns0:v>4448944.0890808</ns0:v>
      </ns0:c>
    </ns0:row>
    <ns0:row r="674" ht="24" customHeight="1">
      <ns0:c r="A674" s="3" t="inlineStr">
        <ns0:is>
          <ns0:t>セット</ns0:t>
        </ns0:is>
      </ns0:c>
      <ns0:c r="B674" s="3" t="inlineStr">
        <ns0:is>
          <ns0:t>G2二段階</ns0:t>
        </ns0:is>
      </ns0:c>
      <ns0:c r="C674" s="3" t="inlineStr">
        <ns0:is>
          <ns0:t>C</ns0:t>
        </ns0:is>
      </ns0:c>
      <ns0:c r="D674" s="4" t="n">
        <ns0:v>2</ns0:v>
      </ns0:c>
      <ns0:c r="E674" s="4" t="n">
        <ns0:v>1500</ns0:v>
      </ns0:c>
      <ns0:c r="F674" s="6" t="n">
        <ns0:v>0.4</ns0:v>
      </ns0:c>
      <ns0:c r="G674" s="4" t="n">
        <ns0:v>2</ns0:v>
      </ns0:c>
      <ns0:c r="H674" s="7" t="n">
        <ns0:v>10087.25490196078</ns0:v>
      </ns0:c>
      <ns0:c r="I674" s="7" t="n">
        <ns0:v>3592.047930283225</ns0:v>
      </ns0:c>
      <ns0:c r="J674" s="7" t="n">
        <ns0:v>1436.81917211329</ns0:v>
      </ns0:c>
      <ns0:c r="K674" s="18" t="inlineStr">
        <ns0:is>
          <ns0:t>範囲内なし</ns0:t>
        </ns0:is>
      </ns0:c>
      <ns0:c r="L674" s="18" t="inlineStr">
        <ns0:is>
          <ns0:t>範囲内なし</ns0:t>
        </ns0:is>
      </ns0:c>
      <ns0:c r="M674" s="7" t="n">
        <ns0:v>-63072.98941615598</ns0:v>
      </ns0:c>
      <ns0:c r="N674" s="7" t="n">
        <ns0:v>-118026.5107605582</ns0:v>
      </ns0:c>
      <ns0:c r="O674" s="7" t="n">
        <ns0:v>-160370.2281833917</ns0:v>
      </ns0:c>
      <ns0:c r="P674" s="7" t="n">
        <ns0:v>-266229.5217404757</ns0:v>
      </ns0:c>
      <ns0:c r="Q674" s="7" t="n">
        <ns0:v>-731666.695968812</ns0:v>
      </ns0:c>
      <ns0:c r="R674" s="7" t="n">
        <ns0:v>-2283696.805767988</ns0:v>
      </ns0:c>
    </ns0:row>
    <ns0:row r="675" ht="24" customHeight="1">
      <ns0:c r="A675" s="3" t="inlineStr">
        <ns0:is>
          <ns0:t>セット</ns0:t>
        </ns0:is>
      </ns0:c>
      <ns0:c r="B675" s="3" t="inlineStr">
        <ns0:is>
          <ns0:t>G2二段階</ns0:t>
        </ns0:is>
      </ns0:c>
      <ns0:c r="C675" s="3" t="inlineStr">
        <ns0:is>
          <ns0:t>C</ns0:t>
        </ns0:is>
      </ns0:c>
      <ns0:c r="D675" s="4" t="n">
        <ns0:v>2</ns0:v>
      </ns0:c>
      <ns0:c r="E675" s="4" t="n">
        <ns0:v>1500</ns0:v>
      </ns0:c>
      <ns0:c r="F675" s="6" t="n">
        <ns0:v>0.4</ns0:v>
      </ns0:c>
      <ns0:c r="G675" s="4" t="n">
        <ns0:v>3</ns0:v>
      </ns0:c>
      <ns0:c r="H675" s="7" t="n">
        <ns0:v>10087.25490196078</ns0:v>
      </ns0:c>
      <ns0:c r="I675" s="7" t="n">
        <ns0:v>3592.047930283225</ns0:v>
      </ns0:c>
      <ns0:c r="J675" s="7" t="n">
        <ns0:v>1436.81917211329</ns0:v>
      </ns0:c>
      <ns0:c r="K675" s="7" t="n">
        <ns0:v>16</ns0:v>
      </ns0:c>
      <ns0:c r="L675" s="7" t="n">
        <ns0:v>30</ns0:v>
      </ns0:c>
      <ns0:c r="M675" s="7" t="n">
        <ns0:v>-6782.060986530265</ns0:v>
      </ns0:c>
      <ns0:c r="N675" s="7" t="n">
        <ns0:v>50846.27452831891</ns0:v>
      </ns0:c>
      <ns0:c r="O675" s="7" t="n">
        <ns0:v>121084.4139647368</ns0:v>
      </ns0:c>
      <ns0:c r="P675" s="7" t="n">
        <ns0:v>296679.7625557814</ns0:v>
      </ns0:c>
      <ns0:c r="Q675" s="7" t="n">
        <ns0:v>957061.1569199595</ns0:v>
      </ns0:c>
      <ns0:c r="R675" s="7" t="n">
        <ns0:v>3345396.037194584</ns0:v>
      </ns0:c>
    </ns0:row>
    <ns0:row r="676" ht="24" customHeight="1">
      <ns0:c r="A676" s="3" t="inlineStr">
        <ns0:is>
          <ns0:t>セット</ns0:t>
        </ns0:is>
      </ns0:c>
      <ns0:c r="B676" s="3" t="inlineStr">
        <ns0:is>
          <ns0:t>G2二段階</ns0:t>
        </ns0:is>
      </ns0:c>
      <ns0:c r="C676" s="3" t="inlineStr">
        <ns0:is>
          <ns0:t>C</ns0:t>
        </ns0:is>
      </ns0:c>
      <ns0:c r="D676" s="4" t="n">
        <ns0:v>2</ns0:v>
      </ns0:c>
      <ns0:c r="E676" s="4" t="n">
        <ns0:v>1500</ns0:v>
      </ns0:c>
      <ns0:c r="F676" s="6" t="n">
        <ns0:v>0.5</ns0:v>
      </ns0:c>
      <ns0:c r="G676" s="4" t="n">
        <ns0:v>0</ns0:v>
      </ns0:c>
      <ns0:c r="H676" s="7" t="n">
        <ns0:v>10087.25490196078</ns0:v>
      </ns0:c>
      <ns0:c r="I676" s="7" t="n">
        <ns0:v>3592.047930283225</ns0:v>
      </ns0:c>
      <ns0:c r="J676" s="7" t="n">
        <ns0:v>1796.023965141612</ns0:v>
      </ns0:c>
      <ns0:c r="K676" s="7" t="n">
        <ns0:v>12</ns0:v>
      </ns0:c>
      <ns0:c r="L676" s="7" t="n">
        <ns0:v>13</ns0:v>
      </ns0:c>
      <ns0:c r="M676" s="7" t="n">
        <ns0:v>6049.840994351085</ns0:v>
      </ns0:c>
      <ns0:c r="N676" s="7" t="n">
        <ns0:v>89341.980470963</ns0:v>
      </ns0:c>
      <ns0:c r="O676" s="7" t="n">
        <ns0:v>185243.9238691435</ns0:v>
      </ns0:c>
      <ns0:c r="P676" s="7" t="n">
        <ns0:v>424998.7823645949</ns0:v>
      </ns0:c>
      <ns0:c r="Q676" s="7" t="n">
        <ns0:v>1342018.2163464</ns0:v>
      </ns0:c>
      <ns0:c r="R676" s="7" t="n">
        <ns0:v>4628586.235282718</ns0:v>
      </ns0:c>
    </ns0:row>
    <ns0:row r="677" ht="24" customHeight="1">
      <ns0:c r="A677" s="3" t="inlineStr">
        <ns0:is>
          <ns0:t>セット</ns0:t>
        </ns0:is>
      </ns0:c>
      <ns0:c r="B677" s="3" t="inlineStr">
        <ns0:is>
          <ns0:t>G2二段階</ns0:t>
        </ns0:is>
      </ns0:c>
      <ns0:c r="C677" s="3" t="inlineStr">
        <ns0:is>
          <ns0:t>C</ns0:t>
        </ns0:is>
      </ns0:c>
      <ns0:c r="D677" s="4" t="n">
        <ns0:v>2</ns0:v>
      </ns0:c>
      <ns0:c r="E677" s="4" t="n">
        <ns0:v>1500</ns0:v>
      </ns0:c>
      <ns0:c r="F677" s="6" t="n">
        <ns0:v>0.5</ns0:v>
      </ns0:c>
      <ns0:c r="G677" s="4" t="n">
        <ns0:v>1</ns0:v>
      </ns0:c>
      <ns0:c r="H677" s="7" t="n">
        <ns0:v>10087.25490196078</ns0:v>
      </ns0:c>
      <ns0:c r="I677" s="7" t="n">
        <ns0:v>3592.047930283225</ns0:v>
      </ns0:c>
      <ns0:c r="J677" s="7" t="n">
        <ns0:v>1796.023965141612</ns0:v>
      </ns0:c>
      <ns0:c r="K677" s="7" t="n">
        <ns0:v>13</ns0:v>
      </ns0:c>
      <ns0:c r="L677" s="7" t="n">
        <ns0:v>17</ns0:v>
      </ns0:c>
      <ns0:c r="M677" s="7" t="n">
        <ns0:v>661.3716020486754</ns0:v>
      </ns0:c>
      <ns0:c r="N677" s="7" t="n">
        <ns0:v>73176.57229405575</ns0:v>
      </ns0:c>
      <ns0:c r="O677" s="7" t="n">
        <ns0:v>158301.5769076315</ns0:v>
      </ns0:c>
      <ns0:c r="P677" s="7" t="n">
        <ns0:v>371114.0884415709</ns0:v>
      </ns0:c>
      <ns0:c r="Q677" s="7" t="n">
        <ns0:v>1180364.134577328</ns0:v>
      </ns0:c>
      <ns0:c r="R677" s="7" t="n">
        <ns0:v>4089739.296052477</ns0:v>
      </ns0:c>
    </ns0:row>
    <ns0:row r="678" ht="24" customHeight="1">
      <ns0:c r="A678" s="3" t="inlineStr">
        <ns0:is>
          <ns0:t>セット</ns0:t>
        </ns0:is>
      </ns0:c>
      <ns0:c r="B678" s="3" t="inlineStr">
        <ns0:is>
          <ns0:t>G2二段階</ns0:t>
        </ns0:is>
      </ns0:c>
      <ns0:c r="C678" s="3" t="inlineStr">
        <ns0:is>
          <ns0:t>C</ns0:t>
        </ns0:is>
      </ns0:c>
      <ns0:c r="D678" s="4" t="n">
        <ns0:v>2</ns0:v>
      </ns0:c>
      <ns0:c r="E678" s="4" t="n">
        <ns0:v>1500</ns0:v>
      </ns0:c>
      <ns0:c r="F678" s="6" t="n">
        <ns0:v>0.5</ns0:v>
      </ns0:c>
      <ns0:c r="G678" s="4" t="n">
        <ns0:v>2</ns0:v>
      </ns0:c>
      <ns0:c r="H678" s="7" t="n">
        <ns0:v>10087.25490196078</ns0:v>
      </ns0:c>
      <ns0:c r="I678" s="7" t="n">
        <ns0:v>3592.047930283225</ns0:v>
      </ns0:c>
      <ns0:c r="J678" s="7" t="n">
        <ns0:v>1796.023965141612</ns0:v>
      </ns0:c>
      <ns0:c r="K678" s="18" t="inlineStr">
        <ns0:is>
          <ns0:t>範囲内なし</ns0:t>
        </ns0:is>
      </ns0:c>
      <ns0:c r="L678" s="18" t="inlineStr">
        <ns0:is>
          <ns0:t>範囲内なし</ns0:t>
        </ns0:is>
      </ns0:c>
      <ns0:c r="M678" s="7" t="n">
        <ns0:v>-66665.03734643919</ns0:v>
      </ns0:c>
      <ns0:c r="N678" s="7" t="n">
        <ns0:v>-128802.6545514079</ns0:v>
      </ns0:c>
      <ns0:c r="O678" s="7" t="n">
        <ns0:v>-178330.4678348079</ns0:v>
      </ns0:c>
      <ns0:c r="P678" s="7" t="n">
        <ns0:v>-302150.0010433079</ns0:v>
      </ns0:c>
      <ns0:c r="Q678" s="7" t="n">
        <ns0:v>-839428.1338773085</ns0:v>
      </ns0:c>
      <ns0:c r="R678" s="7" t="n">
        <ns0:v>-2642901.598796311</ns0:v>
      </ns0:c>
    </ns0:row>
    <ns0:row r="679" ht="24" customHeight="1">
      <ns0:c r="A679" s="3" t="inlineStr">
        <ns0:is>
          <ns0:t>セット</ns0:t>
        </ns0:is>
      </ns0:c>
      <ns0:c r="B679" s="3" t="inlineStr">
        <ns0:is>
          <ns0:t>G2二段階</ns0:t>
        </ns0:is>
      </ns0:c>
      <ns0:c r="C679" s="3" t="inlineStr">
        <ns0:is>
          <ns0:t>C</ns0:t>
        </ns0:is>
      </ns0:c>
      <ns0:c r="D679" s="4" t="n">
        <ns0:v>2</ns0:v>
      </ns0:c>
      <ns0:c r="E679" s="4" t="n">
        <ns0:v>1500</ns0:v>
      </ns0:c>
      <ns0:c r="F679" s="6" t="n">
        <ns0:v>0.5</ns0:v>
      </ns0:c>
      <ns0:c r="G679" s="4" t="n">
        <ns0:v>3</ns0:v>
      </ns0:c>
      <ns0:c r="H679" s="7" t="n">
        <ns0:v>10087.25490196078</ns0:v>
      </ns0:c>
      <ns0:c r="I679" s="7" t="n">
        <ns0:v>3592.047930283225</ns0:v>
      </ns0:c>
      <ns0:c r="J679" s="7" t="n">
        <ns0:v>1796.023965141612</ns0:v>
      </ns0:c>
      <ns0:c r="K679" s="7" t="n">
        <ns0:v>18</ns0:v>
      </ns0:c>
      <ns0:c r="L679" s="7" t="n">
        <ns0:v>34</ns0:v>
      </ns0:c>
      <ns0:c r="M679" s="7" t="n">
        <ns0:v>-10374.10891681349</ns0:v>
      </ns0:c>
      <ns0:c r="N679" s="7" t="n">
        <ns0:v>40070.13073746928</ns0:v>
      </ns0:c>
      <ns0:c r="O679" s="7" t="n">
        <ns0:v>103124.1743133207</ns0:v>
      </ns0:c>
      <ns0:c r="P679" s="7" t="n">
        <ns0:v>260759.2832529492</ns0:v>
      </ns0:c>
      <ns0:c r="Q679" s="7" t="n">
        <ns0:v>849299.7190114628</ns0:v>
      </ns0:c>
      <ns0:c r="R679" s="7" t="n">
        <ns0:v>2986191.244166262</ns0:v>
      </ns0:c>
    </ns0:row>
    <ns0:row r="680" ht="24" customHeight="1">
      <ns0:c r="A680" s="3" t="inlineStr">
        <ns0:is>
          <ns0:t>セット</ns0:t>
        </ns0:is>
      </ns0:c>
      <ns0:c r="B680" s="3" t="inlineStr">
        <ns0:is>
          <ns0:t>G2二段階</ns0:t>
        </ns0:is>
      </ns0:c>
      <ns0:c r="C680" s="3" t="inlineStr">
        <ns0:is>
          <ns0:t>D</ns0:t>
        </ns0:is>
      </ns0:c>
      <ns0:c r="D680" s="4" t="n">
        <ns0:v>0</ns0:v>
      </ns0:c>
      <ns0:c r="E680" s="4" t="n">
        <ns0:v>500</ns0:v>
      </ns0:c>
      <ns0:c r="F680" s="6" t="n">
        <ns0:v>0.3</ns0:v>
      </ns0:c>
      <ns0:c r="G680" s="4" t="n">
        <ns0:v>0</ns0:v>
      </ns0:c>
      <ns0:c r="H680" s="7" t="n">
        <ns0:v>5944.893617021276</ns0:v>
      </ns0:c>
      <ns0:c r="I680" s="7" t="n">
        <ns0:v>3418.46057571965</ns0:v>
      </ns0:c>
      <ns0:c r="J680" s="7" t="n">
        <ns0:v>1025.538172715895</ns0:v>
      </ns0:c>
      <ns0:c r="K680" s="7" t="n">
        <ns0:v>21</ns0:v>
      </ns0:c>
      <ns0:c r="L680" s="7" t="n">
        <ns0:v>40</ns0:v>
      </ns0:c>
      <ns0:c r="M680" s="7" t="n">
        <ns0:v>-24577.34433501484</ns0:v>
      </ns0:c>
      <ns0:c r="N680" s="7" t="n">
        <ns0:v>29392.71484581889</ns0:v>
      </ns0:c>
      <ns0:c r="O680" s="7" t="n">
        <ns0:v>85328.48116057005</ns0:v>
      </ns0:c>
      <ns0:c r="P680" s="7" t="n">
        <ns0:v>225167.8969474479</ns0:v>
      </ns0:c>
      <ns0:c r="Q680" s="7" t="n">
        <ns0:v>742525.5600949591</ns0:v>
      </ns0:c>
      <ns0:c r="R680" s="7" t="n">
        <ns0:v>2630277.381111248</ns0:v>
      </ns0:c>
    </ns0:row>
    <ns0:row r="681" ht="24" customHeight="1">
      <ns0:c r="A681" s="3" t="inlineStr">
        <ns0:is>
          <ns0:t>セット</ns0:t>
        </ns0:is>
      </ns0:c>
      <ns0:c r="B681" s="3" t="inlineStr">
        <ns0:is>
          <ns0:t>G2二段階</ns0:t>
        </ns0:is>
      </ns0:c>
      <ns0:c r="C681" s="3" t="inlineStr">
        <ns0:is>
          <ns0:t>D</ns0:t>
        </ns0:is>
      </ns0:c>
      <ns0:c r="D681" s="4" t="n">
        <ns0:v>0</ns0:v>
      </ns0:c>
      <ns0:c r="E681" s="4" t="n">
        <ns0:v>500</ns0:v>
      </ns0:c>
      <ns0:c r="F681" s="6" t="n">
        <ns0:v>0.3</ns0:v>
      </ns0:c>
      <ns0:c r="G681" s="4" t="n">
        <ns0:v>1</ns0:v>
      </ns0:c>
      <ns0:c r="H681" s="7" t="n">
        <ns0:v>5944.893617021276</ns0:v>
      </ns0:c>
      <ns0:c r="I681" s="7" t="n">
        <ns0:v>3418.46057571965</ns0:v>
      </ns0:c>
      <ns0:c r="J681" s="7" t="n">
        <ns0:v>1025.538172715895</ns0:v>
      </ns0:c>
      <ns0:c r="K681" s="7" t="n">
        <ns0:v>23</ns0:v>
      </ns0:c>
      <ns0:c r="L681" s="7" t="n">
        <ns0:v>112</ns0:v>
      </ns0:c>
      <ns0:c r="M681" s="7" t="n">
        <ns0:v>-28295.98474098568</ns0:v>
      </ns0:c>
      <ns0:c r="N681" s="7" t="n">
        <ns0:v>18236.79362790636</ns0:v>
      </ns0:c>
      <ns0:c r="O681" s="7" t="n">
        <ns0:v>66735.27913071585</ns0:v>
      </ns0:c>
      <ns0:c r="P681" s="7" t="n">
        <ns0:v>187981.4928877395</ns0:v>
      </ns0:c>
      <ns0:c r="Q681" s="7" t="n">
        <ns0:v>630966.3479158339</ns0:v>
      </ns0:c>
      <ns0:c r="R681" s="7" t="n">
        <ns0:v>2258413.340514164</ns0:v>
      </ns0:c>
    </ns0:row>
    <ns0:row r="682" ht="24" customHeight="1">
      <ns0:c r="A682" s="3" t="inlineStr">
        <ns0:is>
          <ns0:t>セット</ns0:t>
        </ns0:is>
      </ns0:c>
      <ns0:c r="B682" s="3" t="inlineStr">
        <ns0:is>
          <ns0:t>G2二段階</ns0:t>
        </ns0:is>
      </ns0:c>
      <ns0:c r="C682" s="3" t="inlineStr">
        <ns0:is>
          <ns0:t>D</ns0:t>
        </ns0:is>
      </ns0:c>
      <ns0:c r="D682" s="4" t="n">
        <ns0:v>0</ns0:v>
      </ns0:c>
      <ns0:c r="E682" s="4" t="n">
        <ns0:v>500</ns0:v>
      </ns0:c>
      <ns0:c r="F682" s="6" t="n">
        <ns0:v>0.3</ns0:v>
      </ns0:c>
      <ns0:c r="G682" s="4" t="n">
        <ns0:v>2</ns0:v>
      </ns0:c>
      <ns0:c r="H682" s="7" t="n">
        <ns0:v>5944.893617021276</ns0:v>
      </ns0:c>
      <ns0:c r="I682" s="7" t="n">
        <ns0:v>3418.46057571965</ns0:v>
      </ns0:c>
      <ns0:c r="J682" s="7" t="n">
        <ns0:v>1025.538172715895</ns0:v>
      </ns0:c>
      <ns0:c r="K682" s="7" t="n">
        <ns0:v>189</ns0:v>
      </ns0:c>
      <ns0:c r="L682" s="18" t="inlineStr">
        <ns0:is>
          <ns0:t>範囲内なし</ns0:t>
        </ns0:is>
      </ns0:c>
      <ns0:c r="M682" s="7" t="n">
        <ns0:v>-47418.79330749213</ns0:v>
      </ns0:c>
      <ns0:c r="N682" s="7" t="n">
        <ns0:v>-39131.63207161296</ns0:v>
      </ns0:c>
      <ns0:c r="O682" s="7" t="n">
        <ns0:v>-28878.76370181638</ns0:v>
      </ns0:c>
      <ns0:c r="P682" s="7" t="n">
        <ns0:v>-3246.592777324957</ns0:v>
      </ns0:c>
      <ns0:c r="Q682" s="7" t="n">
        <ns0:v>57282.09092064062</ns0:v>
      </ns0:c>
      <ns0:c r="R682" s="7" t="n">
        <ns0:v>346132.4838635202</ns0:v>
      </ns0:c>
    </ns0:row>
    <ns0:row r="683" ht="24" customHeight="1">
      <ns0:c r="A683" s="3" t="inlineStr">
        <ns0:is>
          <ns0:t>セット</ns0:t>
        </ns0:is>
      </ns0:c>
      <ns0:c r="B683" s="3" t="inlineStr">
        <ns0:is>
          <ns0:t>G2二段階</ns0:t>
        </ns0:is>
      </ns0:c>
      <ns0:c r="C683" s="3" t="inlineStr">
        <ns0:is>
          <ns0:t>D</ns0:t>
        </ns0:is>
      </ns0:c>
      <ns0:c r="D683" s="4" t="n">
        <ns0:v>0</ns0:v>
      </ns0:c>
      <ns0:c r="E683" s="4" t="n">
        <ns0:v>500</ns0:v>
      </ns0:c>
      <ns0:c r="F683" s="6" t="n">
        <ns0:v>0.3</ns0:v>
      </ns0:c>
      <ns0:c r="G683" s="4" t="n">
        <ns0:v>3</ns0:v>
      </ns0:c>
      <ns0:c r="H683" s="7" t="n">
        <ns0:v>5944.893617021276</ns0:v>
      </ns0:c>
      <ns0:c r="I683" s="7" t="n">
        <ns0:v>3418.46057571965</ns0:v>
      </ns0:c>
      <ns0:c r="J683" s="7" t="n">
        <ns0:v>1025.538172715895</ns0:v>
      </ns0:c>
      <ns0:c r="K683" s="7" t="n">
        <ns0:v>35</ns0:v>
      </ns0:c>
      <ns0:c r="L683" s="18" t="inlineStr">
        <ns0:is>
          <ns0:t>範囲内なし</ns0:t>
        </ns0:is>
      </ns0:c>
      <ns0:c r="M683" s="7" t="n">
        <ns0:v>-36865.09164155638</ns0:v>
      </ns0:c>
      <ns0:c r="N683" s="7" t="n">
        <ns0:v>-7470.527073805715</ns0:v>
      </ns0:c>
      <ns0:c r="O683" s="7" t="n">
        <ns0:v>23889.74462786238</ns0:v>
      </ns0:c>
      <ns0:c r="P683" s="7" t="n">
        <ns0:v>102290.4238820326</ns0:v>
      </ns0:c>
      <ns0:c r="Q683" s="7" t="n">
        <ns0:v>373893.1408987131</ns0:v>
      </ns0:c>
      <ns0:c r="R683" s="7" t="n">
        <ns0:v>1401502.650457095</ns0:v>
      </ns0:c>
    </ns0:row>
    <ns0:row r="684" ht="24" customHeight="1">
      <ns0:c r="A684" s="3" t="inlineStr">
        <ns0:is>
          <ns0:t>セット</ns0:t>
        </ns0:is>
      </ns0:c>
      <ns0:c r="B684" s="3" t="inlineStr">
        <ns0:is>
          <ns0:t>G2二段階</ns0:t>
        </ns0:is>
      </ns0:c>
      <ns0:c r="C684" s="3" t="inlineStr">
        <ns0:is>
          <ns0:t>D</ns0:t>
        </ns0:is>
      </ns0:c>
      <ns0:c r="D684" s="4" t="n">
        <ns0:v>0</ns0:v>
      </ns0:c>
      <ns0:c r="E684" s="4" t="n">
        <ns0:v>500</ns0:v>
      </ns0:c>
      <ns0:c r="F684" s="6" t="n">
        <ns0:v>0.4</ns0:v>
      </ns0:c>
      <ns0:c r="G684" s="4" t="n">
        <ns0:v>0</ns0:v>
      </ns0:c>
      <ns0:c r="H684" s="7" t="n">
        <ns0:v>5944.893617021276</ns0:v>
      </ns0:c>
      <ns0:c r="I684" s="7" t="n">
        <ns0:v>3418.46057571965</ns0:v>
      </ns0:c>
      <ns0:c r="J684" s="7" t="n">
        <ns0:v>1367.38423028786</ns0:v>
      </ns0:c>
      <ns0:c r="K684" s="7" t="n">
        <ns0:v>23</ns0:v>
      </ns0:c>
      <ns0:c r="L684" s="7" t="n">
        <ns0:v>45</ns0:v>
      </ns0:c>
      <ns0:c r="M684" s="7" t="n">
        <ns0:v>-27995.8049107345</ns0:v>
      </ns0:c>
      <ns0:c r="N684" s="7" t="n">
        <ns0:v>19137.33311865993</ns0:v>
      </ns0:c>
      <ns0:c r="O684" s="7" t="n">
        <ns0:v>68236.17828197178</ns0:v>
      </ns0:c>
      <ns0:c r="P684" s="7" t="n">
        <ns0:v>190983.2911902514</ns0:v>
      </ns0:c>
      <ns0:c r="Q684" s="7" t="n">
        <ns0:v>639971.7428233695</ns0:v>
      </ns0:c>
      <ns0:c r="R684" s="7" t="n">
        <ns0:v>2288431.323539284</ns0:v>
      </ns0:c>
    </ns0:row>
    <ns0:row r="685" ht="24" customHeight="1">
      <ns0:c r="A685" s="3" t="inlineStr">
        <ns0:is>
          <ns0:t>セット</ns0:t>
        </ns0:is>
      </ns0:c>
      <ns0:c r="B685" s="3" t="inlineStr">
        <ns0:is>
          <ns0:t>G2二段階</ns0:t>
        </ns0:is>
      </ns0:c>
      <ns0:c r="C685" s="3" t="inlineStr">
        <ns0:is>
          <ns0:t>D</ns0:t>
        </ns0:is>
      </ns0:c>
      <ns0:c r="D685" s="4" t="n">
        <ns0:v>0</ns0:v>
      </ns0:c>
      <ns0:c r="E685" s="4" t="n">
        <ns0:v>500</ns0:v>
      </ns0:c>
      <ns0:c r="F685" s="6" t="n">
        <ns0:v>0.4</ns0:v>
      </ns0:c>
      <ns0:c r="G685" s="4" t="n">
        <ns0:v>1</ns0:v>
      </ns0:c>
      <ns0:c r="H685" s="7" t="n">
        <ns0:v>5944.893617021276</ns0:v>
      </ns0:c>
      <ns0:c r="I685" s="7" t="n">
        <ns0:v>3418.46057571965</ns0:v>
      </ns0:c>
      <ns0:c r="J685" s="7" t="n">
        <ns0:v>1367.38423028786</ns0:v>
      </ns0:c>
      <ns0:c r="K685" s="7" t="n">
        <ns0:v>27</ns0:v>
      </ns0:c>
      <ns0:c r="L685" s="7" t="n">
        <ns0:v>141</ns0:v>
      </ns0:c>
      <ns0:c r="M685" s="7" t="n">
        <ns0:v>-31714.44531670534</ns0:v>
      </ns0:c>
      <ns0:c r="N685" s="7" t="n">
        <ns0:v>7981.411900747404</ns0:v>
      </ns0:c>
      <ns0:c r="O685" s="7" t="n">
        <ns0:v>49642.97625211758</ns0:v>
      </ns0:c>
      <ns0:c r="P685" s="7" t="n">
        <ns0:v>153796.8871305429</ns0:v>
      </ns0:c>
      <ns0:c r="Q685" s="7" t="n">
        <ns0:v>528412.5306442442</ns0:v>
      </ns0:c>
      <ns0:c r="R685" s="7" t="n">
        <ns0:v>1916567.2829422</ns0:v>
      </ns0:c>
    </ns0:row>
    <ns0:row r="686" ht="24" customHeight="1">
      <ns0:c r="A686" s="3" t="inlineStr">
        <ns0:is>
          <ns0:t>セット</ns0:t>
        </ns0:is>
      </ns0:c>
      <ns0:c r="B686" s="3" t="inlineStr">
        <ns0:is>
          <ns0:t>G2二段階</ns0:t>
        </ns0:is>
      </ns0:c>
      <ns0:c r="C686" s="3" t="inlineStr">
        <ns0:is>
          <ns0:t>D</ns0:t>
        </ns0:is>
      </ns0:c>
      <ns0:c r="D686" s="4" t="n">
        <ns0:v>0</ns0:v>
      </ns0:c>
      <ns0:c r="E686" s="4" t="n">
        <ns0:v>500</ns0:v>
      </ns0:c>
      <ns0:c r="F686" s="6" t="n">
        <ns0:v>0.4</ns0:v>
      </ns0:c>
      <ns0:c r="G686" s="4" t="n">
        <ns0:v>2</ns0:v>
      </ns0:c>
      <ns0:c r="H686" s="7" t="n">
        <ns0:v>5944.893617021276</ns0:v>
      </ns0:c>
      <ns0:c r="I686" s="7" t="n">
        <ns0:v>3418.46057571965</ns0:v>
      </ns0:c>
      <ns0:c r="J686" s="7" t="n">
        <ns0:v>1367.38423028786</ns0:v>
      </ns0:c>
      <ns0:c r="K686" s="7" t="n">
        <ns0:v>975</ns0:v>
      </ns0:c>
      <ns0:c r="L686" s="18" t="inlineStr">
        <ns0:is>
          <ns0:t>範囲内なし</ns0:t>
        </ns0:is>
      </ns0:c>
      <ns0:c r="M686" s="7" t="n">
        <ns0:v>-50837.25388321179</ns0:v>
      </ns0:c>
      <ns0:c r="N686" s="7" t="n">
        <ns0:v>-49387.01379877192</ns0:v>
      </ns0:c>
      <ns0:c r="O686" s="7" t="n">
        <ns0:v>-45971.06658041463</ns0:v>
      </ns0:c>
      <ns0:c r="P686" s="7" t="n">
        <ns0:v>-37431.19853452145</ns0:v>
      </ns0:c>
      <ns0:c r="Q686" s="7" t="n">
        <ns0:v>-45271.72635094909</ns0:v>
      </ns0:c>
      <ns0:c r="R686" s="7" t="n">
        <ns0:v>4286.426291555166</ns0:v>
      </ns0:c>
    </ns0:row>
    <ns0:row r="687" ht="24" customHeight="1">
      <ns0:c r="A687" s="3" t="inlineStr">
        <ns0:is>
          <ns0:t>セット</ns0:t>
        </ns0:is>
      </ns0:c>
      <ns0:c r="B687" s="3" t="inlineStr">
        <ns0:is>
          <ns0:t>G2二段階</ns0:t>
        </ns0:is>
      </ns0:c>
      <ns0:c r="C687" s="3" t="inlineStr">
        <ns0:is>
          <ns0:t>D</ns0:t>
        </ns0:is>
      </ns0:c>
      <ns0:c r="D687" s="4" t="n">
        <ns0:v>0</ns0:v>
      </ns0:c>
      <ns0:c r="E687" s="4" t="n">
        <ns0:v>500</ns0:v>
      </ns0:c>
      <ns0:c r="F687" s="6" t="n">
        <ns0:v>0.4</ns0:v>
      </ns0:c>
      <ns0:c r="G687" s="4" t="n">
        <ns0:v>3</ns0:v>
      </ns0:c>
      <ns0:c r="H687" s="7" t="n">
        <ns0:v>5944.893617021276</ns0:v>
      </ns0:c>
      <ns0:c r="I687" s="7" t="n">
        <ns0:v>3418.46057571965</ns0:v>
      </ns0:c>
      <ns0:c r="J687" s="7" t="n">
        <ns0:v>1367.38423028786</ns0:v>
      </ns0:c>
      <ns0:c r="K687" s="7" t="n">
        <ns0:v>45</ns0:v>
      </ns0:c>
      <ns0:c r="L687" s="18" t="inlineStr">
        <ns0:is>
          <ns0:t>範囲内なし</ns0:t>
        </ns0:is>
      </ns0:c>
      <ns0:c r="M687" s="7" t="n">
        <ns0:v>-40283.55221727602</ns0:v>
      </ns0:c>
      <ns0:c r="N687" s="7" t="n">
        <ns0:v>-17725.90880096468</ns0:v>
      </ns0:c>
      <ns0:c r="O687" s="7" t="n">
        <ns0:v>6797.441749264122</ns0:v>
      </ns0:c>
      <ns0:c r="P687" s="7" t="n">
        <ns0:v>68105.81812483605</ns0:v>
      </ns0:c>
      <ns0:c r="Q687" s="7" t="n">
        <ns0:v>271339.3236271234</ns0:v>
      </ns0:c>
      <ns0:c r="R687" s="7" t="n">
        <ns0:v>1059656.59288513</ns0:v>
      </ns0:c>
    </ns0:row>
    <ns0:row r="688" ht="24" customHeight="1">
      <ns0:c r="A688" s="3" t="inlineStr">
        <ns0:is>
          <ns0:t>セット</ns0:t>
        </ns0:is>
      </ns0:c>
      <ns0:c r="B688" s="3" t="inlineStr">
        <ns0:is>
          <ns0:t>G2二段階</ns0:t>
        </ns0:is>
      </ns0:c>
      <ns0:c r="C688" s="3" t="inlineStr">
        <ns0:is>
          <ns0:t>D</ns0:t>
        </ns0:is>
      </ns0:c>
      <ns0:c r="D688" s="4" t="n">
        <ns0:v>0</ns0:v>
      </ns0:c>
      <ns0:c r="E688" s="4" t="n">
        <ns0:v>500</ns0:v>
      </ns0:c>
      <ns0:c r="F688" s="6" t="n">
        <ns0:v>0.5</ns0:v>
      </ns0:c>
      <ns0:c r="G688" s="4" t="n">
        <ns0:v>0</ns0:v>
      </ns0:c>
      <ns0:c r="H688" s="7" t="n">
        <ns0:v>5944.893617021276</ns0:v>
      </ns0:c>
      <ns0:c r="I688" s="7" t="n">
        <ns0:v>3418.46057571965</ns0:v>
      </ns0:c>
      <ns0:c r="J688" s="7" t="n">
        <ns0:v>1709.230287859825</ns0:v>
      </ns0:c>
      <ns0:c r="K688" s="7" t="n">
        <ns0:v>26</ns0:v>
      </ns0:c>
      <ns0:c r="L688" s="7" t="n">
        <ns0:v>52</ns0:v>
      </ns0:c>
      <ns0:c r="M688" s="7" t="n">
        <ns0:v>-31414.26548645414</ns0:v>
      </ns0:c>
      <ns0:c r="N688" s="7" t="n">
        <ns0:v>8881.951391500992</ns0:v>
      </ns0:c>
      <ns0:c r="O688" s="7" t="n">
        <ns0:v>51143.87540337351</ns0:v>
      </ns0:c>
      <ns0:c r="P688" s="7" t="n">
        <ns0:v>156798.6854330548</ns0:v>
      </ns0:c>
      <ns0:c r="Q688" s="7" t="n">
        <ns0:v>537417.92555178</ns0:v>
      </ns0:c>
      <ns0:c r="R688" s="7" t="n">
        <ns0:v>1946585.265967319</ns0:v>
      </ns0:c>
    </ns0:row>
    <ns0:row r="689" ht="24" customHeight="1">
      <ns0:c r="A689" s="3" t="inlineStr">
        <ns0:is>
          <ns0:t>セット</ns0:t>
        </ns0:is>
      </ns0:c>
      <ns0:c r="B689" s="3" t="inlineStr">
        <ns0:is>
          <ns0:t>G2二段階</ns0:t>
        </ns0:is>
      </ns0:c>
      <ns0:c r="C689" s="3" t="inlineStr">
        <ns0:is>
          <ns0:t>D</ns0:t>
        </ns0:is>
      </ns0:c>
      <ns0:c r="D689" s="4" t="n">
        <ns0:v>0</ns0:v>
      </ns0:c>
      <ns0:c r="E689" s="4" t="n">
        <ns0:v>500</ns0:v>
      </ns0:c>
      <ns0:c r="F689" s="6" t="n">
        <ns0:v>0.5</ns0:v>
      </ns0:c>
      <ns0:c r="G689" s="4" t="n">
        <ns0:v>1</ns0:v>
      </ns0:c>
      <ns0:c r="H689" s="7" t="n">
        <ns0:v>5944.893617021276</ns0:v>
      </ns0:c>
      <ns0:c r="I689" s="7" t="n">
        <ns0:v>3418.46057571965</ns0:v>
      </ns0:c>
      <ns0:c r="J689" s="7" t="n">
        <ns0:v>1709.230287859825</ns0:v>
      </ns0:c>
      <ns0:c r="K689" s="7" t="n">
        <ns0:v>32</ns0:v>
      </ns0:c>
      <ns0:c r="L689" s="7" t="n">
        <ns0:v>191</ns0:v>
      </ns0:c>
      <ns0:c r="M689" s="7" t="n">
        <ns0:v>-35132.90589242498</ns0:v>
      </ns0:c>
      <ns0:c r="N689" s="7" t="n">
        <ns0:v>-2273.969826411536</ns0:v>
      </ns0:c>
      <ns0:c r="O689" s="7" t="n">
        <ns0:v>32550.6733735193</ns0:v>
      </ns0:c>
      <ns0:c r="P689" s="7" t="n">
        <ns0:v>119612.2813733464</ns0:v>
      </ns0:c>
      <ns0:c r="Q689" s="7" t="n">
        <ns0:v>425858.7133726547</ns0:v>
      </ns0:c>
      <ns0:c r="R689" s="7" t="n">
        <ns0:v>1574721.225370235</ns0:v>
      </ns0:c>
    </ns0:row>
    <ns0:row r="690" ht="24" customHeight="1">
      <ns0:c r="A690" s="3" t="inlineStr">
        <ns0:is>
          <ns0:t>セット</ns0:t>
        </ns0:is>
      </ns0:c>
      <ns0:c r="B690" s="3" t="inlineStr">
        <ns0:is>
          <ns0:t>G2二段階</ns0:t>
        </ns0:is>
      </ns0:c>
      <ns0:c r="C690" s="3" t="inlineStr">
        <ns0:is>
          <ns0:t>D</ns0:t>
        </ns0:is>
      </ns0:c>
      <ns0:c r="D690" s="4" t="n">
        <ns0:v>0</ns0:v>
      </ns0:c>
      <ns0:c r="E690" s="4" t="n">
        <ns0:v>500</ns0:v>
      </ns0:c>
      <ns0:c r="F690" s="6" t="n">
        <ns0:v>0.5</ns0:v>
      </ns0:c>
      <ns0:c r="G690" s="4" t="n">
        <ns0:v>2</ns0:v>
      </ns0:c>
      <ns0:c r="H690" s="7" t="n">
        <ns0:v>5944.893617021276</ns0:v>
      </ns0:c>
      <ns0:c r="I690" s="7" t="n">
        <ns0:v>3418.46057571965</ns0:v>
      </ns0:c>
      <ns0:c r="J690" s="7" t="n">
        <ns0:v>1709.230287859825</ns0:v>
      </ns0:c>
      <ns0:c r="K690" s="18" t="inlineStr">
        <ns0:is>
          <ns0:t>範囲内なし</ns0:t>
        </ns0:is>
      </ns0:c>
      <ns0:c r="L690" s="18" t="inlineStr">
        <ns0:is>
          <ns0:t>範囲内なし</ns0:t>
        </ns0:is>
      </ns0:c>
      <ns0:c r="M690" s="7" t="n">
        <ns0:v>-54255.71445893143</ns0:v>
      </ns0:c>
      <ns0:c r="N690" s="7" t="n">
        <ns0:v>-59642.39552593087</ns0:v>
      </ns0:c>
      <ns0:c r="O690" s="7" t="n">
        <ns0:v>-63063.36945901292</ns0:v>
      </ns0:c>
      <ns0:c r="P690" s="7" t="n">
        <ns0:v>-71615.80429171803</ns0:v>
      </ns0:c>
      <ns0:c r="Q690" s="7" t="n">
        <ns0:v>-147825.5436225385</ns0:v>
      </ns0:c>
      <ns0:c r="R690" s="7" t="n">
        <ns0:v>-337559.6312804094</ns0:v>
      </ns0:c>
    </ns0:row>
    <ns0:row r="691" ht="24" customHeight="1">
      <ns0:c r="A691" s="3" t="inlineStr">
        <ns0:is>
          <ns0:t>セット</ns0:t>
        </ns0:is>
      </ns0:c>
      <ns0:c r="B691" s="3" t="inlineStr">
        <ns0:is>
          <ns0:t>G2二段階</ns0:t>
        </ns0:is>
      </ns0:c>
      <ns0:c r="C691" s="3" t="inlineStr">
        <ns0:is>
          <ns0:t>D</ns0:t>
        </ns0:is>
      </ns0:c>
      <ns0:c r="D691" s="4" t="n">
        <ns0:v>0</ns0:v>
      </ns0:c>
      <ns0:c r="E691" s="4" t="n">
        <ns0:v>500</ns0:v>
      </ns0:c>
      <ns0:c r="F691" s="6" t="n">
        <ns0:v>0.5</ns0:v>
      </ns0:c>
      <ns0:c r="G691" s="4" t="n">
        <ns0:v>3</ns0:v>
      </ns0:c>
      <ns0:c r="H691" s="7" t="n">
        <ns0:v>5944.893617021276</ns0:v>
      </ns0:c>
      <ns0:c r="I691" s="7" t="n">
        <ns0:v>3418.46057571965</ns0:v>
      </ns0:c>
      <ns0:c r="J691" s="7" t="n">
        <ns0:v>1709.230287859825</ns0:v>
      </ns0:c>
      <ns0:c r="K691" s="7" t="n">
        <ns0:v>110</ns0:v>
      </ns0:c>
      <ns0:c r="L691" s="18" t="inlineStr">
        <ns0:is>
          <ns0:t>範囲内なし</ns0:t>
        </ns0:is>
      </ns0:c>
      <ns0:c r="M691" s="7" t="n">
        <ns0:v>-43702.01279299568</ns0:v>
      </ns0:c>
      <ns0:c r="N691" s="7" t="n">
        <ns0:v>-27981.29052812362</ns0:v>
      </ns0:c>
      <ns0:c r="O691" s="7" t="n">
        <ns0:v>-10294.86112933415</ns0:v>
      </ns0:c>
      <ns0:c r="P691" s="7" t="n">
        <ns0:v>33921.2123676395</ns0:v>
      </ns0:c>
      <ns0:c r="Q691" s="7" t="n">
        <ns0:v>168785.5063555339</ns0:v>
      </ns0:c>
      <ns0:c r="R691" s="7" t="n">
        <ns0:v>717810.5353131655</ns0:v>
      </ns0:c>
    </ns0:row>
    <ns0:row r="692" ht="24" customHeight="1">
      <ns0:c r="A692" s="3" t="inlineStr">
        <ns0:is>
          <ns0:t>セット</ns0:t>
        </ns0:is>
      </ns0:c>
      <ns0:c r="B692" s="3" t="inlineStr">
        <ns0:is>
          <ns0:t>G2二段階</ns0:t>
        </ns0:is>
      </ns0:c>
      <ns0:c r="C692" s="3" t="inlineStr">
        <ns0:is>
          <ns0:t>D</ns0:t>
        </ns0:is>
      </ns0:c>
      <ns0:c r="D692" s="4" t="n">
        <ns0:v>0</ns0:v>
      </ns0:c>
      <ns0:c r="E692" s="4" t="n">
        <ns0:v>1000</ns0:v>
      </ns0:c>
      <ns0:c r="F692" s="6" t="n">
        <ns0:v>0.3</ns0:v>
      </ns0:c>
      <ns0:c r="G692" s="4" t="n">
        <ns0:v>0</ns0:v>
      </ns0:c>
      <ns0:c r="H692" s="7" t="n">
        <ns0:v>5444.893617021276</ns0:v>
      </ns0:c>
      <ns0:c r="I692" s="7" t="n">
        <ns0:v>2918.46057571965</ns0:v>
      </ns0:c>
      <ns0:c r="J692" s="7" t="n">
        <ns0:v>875.5381727158948</ns0:v>
      </ns0:c>
      <ns0:c r="K692" s="7" t="n">
        <ns0:v>23</ns0:v>
      </ns0:c>
      <ns0:c r="L692" s="7" t="n">
        <ns0:v>45</ns0:v>
      </ns0:c>
      <ns0:c r="M692" s="7" t="n">
        <ns0:v>-27897.34433501483</ns0:v>
      </ns0:c>
      <ns0:c r="N692" s="7" t="n">
        <ns0:v>19432.71484581891</ns0:v>
      </ns0:c>
      <ns0:c r="O692" s="7" t="n">
        <ns0:v>68728.48116057002</ns0:v>
      </ns0:c>
      <ns0:c r="P692" s="7" t="n">
        <ns0:v>191967.8969474478</ns0:v>
      </ns0:c>
      <ns0:c r="Q692" s="7" t="n">
        <ns0:v>642925.5600949589</ns0:v>
      </ns0:c>
      <ns0:c r="R692" s="7" t="n">
        <ns0:v>2298277.381111249</ns0:v>
      </ns0:c>
    </ns0:row>
    <ns0:row r="693" ht="24" customHeight="1">
      <ns0:c r="A693" s="3" t="inlineStr">
        <ns0:is>
          <ns0:t>セット</ns0:t>
        </ns0:is>
      </ns0:c>
      <ns0:c r="B693" s="3" t="inlineStr">
        <ns0:is>
          <ns0:t>G2二段階</ns0:t>
        </ns0:is>
      </ns0:c>
      <ns0:c r="C693" s="3" t="inlineStr">
        <ns0:is>
          <ns0:t>D</ns0:t>
        </ns0:is>
      </ns0:c>
      <ns0:c r="D693" s="4" t="n">
        <ns0:v>0</ns0:v>
      </ns0:c>
      <ns0:c r="E693" s="4" t="n">
        <ns0:v>1000</ns0:v>
      </ns0:c>
      <ns0:c r="F693" s="6" t="n">
        <ns0:v>0.3</ns0:v>
      </ns0:c>
      <ns0:c r="G693" s="4" t="n">
        <ns0:v>1</ns0:v>
      </ns0:c>
      <ns0:c r="H693" s="7" t="n">
        <ns0:v>5444.893617021276</ns0:v>
      </ns0:c>
      <ns0:c r="I693" s="7" t="n">
        <ns0:v>2918.46057571965</ns0:v>
      </ns0:c>
      <ns0:c r="J693" s="7" t="n">
        <ns0:v>875.5381727158948</ns0:v>
      </ns0:c>
      <ns0:c r="K693" s="7" t="n">
        <ns0:v>27</ns0:v>
      </ns0:c>
      <ns0:c r="L693" s="7" t="n">
        <ns0:v>141</ns0:v>
      </ns0:c>
      <ns0:c r="M693" s="7" t="n">
        <ns0:v>-31615.98474098568</ns0:v>
      </ns0:c>
      <ns0:c r="N693" s="7" t="n">
        <ns0:v>8276.79362790638</ns0:v>
      </ns0:c>
      <ns0:c r="O693" s="7" t="n">
        <ns0:v>50135.27913071581</ns0:v>
      </ns0:c>
      <ns0:c r="P693" s="7" t="n">
        <ns0:v>154781.4928877394</ns0:v>
      </ns0:c>
      <ns0:c r="Q693" s="7" t="n">
        <ns0:v>531366.3479158337</ns0:v>
      </ns0:c>
      <ns0:c r="R693" s="7" t="n">
        <ns0:v>1926413.340514165</ns0:v>
      </ns0:c>
    </ns0:row>
    <ns0:row r="694" ht="24" customHeight="1">
      <ns0:c r="A694" s="3" t="inlineStr">
        <ns0:is>
          <ns0:t>セット</ns0:t>
        </ns0:is>
      </ns0:c>
      <ns0:c r="B694" s="3" t="inlineStr">
        <ns0:is>
          <ns0:t>G2二段階</ns0:t>
        </ns0:is>
      </ns0:c>
      <ns0:c r="C694" s="3" t="inlineStr">
        <ns0:is>
          <ns0:t>D</ns0:t>
        </ns0:is>
      </ns0:c>
      <ns0:c r="D694" s="4" t="n">
        <ns0:v>0</ns0:v>
      </ns0:c>
      <ns0:c r="E694" s="4" t="n">
        <ns0:v>1000</ns0:v>
      </ns0:c>
      <ns0:c r="F694" s="6" t="n">
        <ns0:v>0.3</ns0:v>
      </ns0:c>
      <ns0:c r="G694" s="4" t="n">
        <ns0:v>2</ns0:v>
      </ns0:c>
      <ns0:c r="H694" s="7" t="n">
        <ns0:v>5444.893617021276</ns0:v>
      </ns0:c>
      <ns0:c r="I694" s="7" t="n">
        <ns0:v>2918.46057571965</ns0:v>
      </ns0:c>
      <ns0:c r="J694" s="7" t="n">
        <ns0:v>875.5381727158948</ns0:v>
      </ns0:c>
      <ns0:c r="K694" s="7" t="n">
        <ns0:v>922</ns0:v>
      </ns0:c>
      <ns0:c r="L694" s="18" t="inlineStr">
        <ns0:is>
          <ns0:t>範囲内なし</ns0:t>
        </ns0:is>
      </ns0:c>
      <ns0:c r="M694" s="7" t="n">
        <ns0:v>-50738.79330749212</ns0:v>
      </ns0:c>
      <ns0:c r="N694" s="7" t="n">
        <ns0:v>-49091.63207161294</ns0:v>
      </ns0:c>
      <ns0:c r="O694" s="7" t="n">
        <ns0:v>-45478.76370181641</ns0:v>
      </ns0:c>
      <ns0:c r="P694" s="7" t="n">
        <ns0:v>-36446.59277732502</ns0:v>
      </ns0:c>
      <ns0:c r="Q694" s="7" t="n">
        <ns0:v>-42317.90907935961</ns0:v>
      </ns0:c>
      <ns0:c r="R694" s="7" t="n">
        <ns0:v>14132.48386352044</ns0:v>
      </ns0:c>
    </ns0:row>
    <ns0:row r="695" ht="24" customHeight="1">
      <ns0:c r="A695" s="3" t="inlineStr">
        <ns0:is>
          <ns0:t>セット</ns0:t>
        </ns0:is>
      </ns0:c>
      <ns0:c r="B695" s="3" t="inlineStr">
        <ns0:is>
          <ns0:t>G2二段階</ns0:t>
        </ns0:is>
      </ns0:c>
      <ns0:c r="C695" s="3" t="inlineStr">
        <ns0:is>
          <ns0:t>D</ns0:t>
        </ns0:is>
      </ns0:c>
      <ns0:c r="D695" s="4" t="n">
        <ns0:v>0</ns0:v>
      </ns0:c>
      <ns0:c r="E695" s="4" t="n">
        <ns0:v>1000</ns0:v>
      </ns0:c>
      <ns0:c r="F695" s="6" t="n">
        <ns0:v>0.3</ns0:v>
      </ns0:c>
      <ns0:c r="G695" s="4" t="n">
        <ns0:v>3</ns0:v>
      </ns0:c>
      <ns0:c r="H695" s="7" t="n">
        <ns0:v>5444.893617021276</ns0:v>
      </ns0:c>
      <ns0:c r="I695" s="7" t="n">
        <ns0:v>2918.46057571965</ns0:v>
      </ns0:c>
      <ns0:c r="J695" s="7" t="n">
        <ns0:v>875.5381727158948</ns0:v>
      </ns0:c>
      <ns0:c r="K695" s="7" t="n">
        <ns0:v>45</ns0:v>
      </ns0:c>
      <ns0:c r="L695" s="18" t="inlineStr">
        <ns0:is>
          <ns0:t>範囲内なし</ns0:t>
        </ns0:is>
      </ns0:c>
      <ns0:c r="M695" s="7" t="n">
        <ns0:v>-40185.09164155637</ns0:v>
      </ns0:c>
      <ns0:c r="N695" s="7" t="n">
        <ns0:v>-17430.5270738057</ns0:v>
      </ns0:c>
      <ns0:c r="O695" s="7" t="n">
        <ns0:v>7289.744627862354</ns0:v>
      </ns0:c>
      <ns0:c r="P695" s="7" t="n">
        <ns0:v>69090.42388203251</ns0:v>
      </ns0:c>
      <ns0:c r="Q695" s="7" t="n">
        <ns0:v>274293.1408987129</ns0:v>
      </ns0:c>
      <ns0:c r="R695" s="7" t="n">
        <ns0:v>1069502.650457095</ns0:v>
      </ns0:c>
    </ns0:row>
    <ns0:row r="696" ht="24" customHeight="1">
      <ns0:c r="A696" s="3" t="inlineStr">
        <ns0:is>
          <ns0:t>セット</ns0:t>
        </ns0:is>
      </ns0:c>
      <ns0:c r="B696" s="3" t="inlineStr">
        <ns0:is>
          <ns0:t>G2二段階</ns0:t>
        </ns0:is>
      </ns0:c>
      <ns0:c r="C696" s="3" t="inlineStr">
        <ns0:is>
          <ns0:t>D</ns0:t>
        </ns0:is>
      </ns0:c>
      <ns0:c r="D696" s="4" t="n">
        <ns0:v>0</ns0:v>
      </ns0:c>
      <ns0:c r="E696" s="4" t="n">
        <ns0:v>1000</ns0:v>
      </ns0:c>
      <ns0:c r="F696" s="6" t="n">
        <ns0:v>0.4</ns0:v>
      </ns0:c>
      <ns0:c r="G696" s="4" t="n">
        <ns0:v>0</ns0:v>
      </ns0:c>
      <ns0:c r="H696" s="7" t="n">
        <ns0:v>5444.893617021276</ns0:v>
      </ns0:c>
      <ns0:c r="I696" s="7" t="n">
        <ns0:v>2918.46057571965</ns0:v>
      </ns0:c>
      <ns0:c r="J696" s="7" t="n">
        <ns0:v>1167.38423028786</ns0:v>
      </ns0:c>
      <ns0:c r="K696" s="7" t="n">
        <ns0:v>26</ns0:v>
      </ns0:c>
      <ns0:c r="L696" s="7" t="n">
        <ns0:v>51</ns0:v>
      </ns0:c>
      <ns0:c r="M696" s="7" t="n">
        <ns0:v>-30815.80491073449</ns0:v>
      </ns0:c>
      <ns0:c r="N696" s="7" t="n">
        <ns0:v>10677.33311865996</ns0:v>
      </ns0:c>
      <ns0:c r="O696" s="7" t="n">
        <ns0:v>54136.17828197176</ns0:v>
      </ns0:c>
      <ns0:c r="P696" s="7" t="n">
        <ns0:v>162783.2911902513</ns0:v>
      </ns0:c>
      <ns0:c r="Q696" s="7" t="n">
        <ns0:v>555371.7428233696</ns0:v>
      </ns0:c>
      <ns0:c r="R696" s="7" t="n">
        <ns0:v>2006431.323539284</ns0:v>
      </ns0:c>
    </ns0:row>
    <ns0:row r="697" ht="24" customHeight="1">
      <ns0:c r="A697" s="3" t="inlineStr">
        <ns0:is>
          <ns0:t>セット</ns0:t>
        </ns0:is>
      </ns0:c>
      <ns0:c r="B697" s="3" t="inlineStr">
        <ns0:is>
          <ns0:t>G2二段階</ns0:t>
        </ns0:is>
      </ns0:c>
      <ns0:c r="C697" s="3" t="inlineStr">
        <ns0:is>
          <ns0:t>D</ns0:t>
        </ns0:is>
      </ns0:c>
      <ns0:c r="D697" s="4" t="n">
        <ns0:v>0</ns0:v>
      </ns0:c>
      <ns0:c r="E697" s="4" t="n">
        <ns0:v>1000</ns0:v>
      </ns0:c>
      <ns0:c r="F697" s="6" t="n">
        <ns0:v>0.4</ns0:v>
      </ns0:c>
      <ns0:c r="G697" s="4" t="n">
        <ns0:v>1</ns0:v>
      </ns0:c>
      <ns0:c r="H697" s="7" t="n">
        <ns0:v>5444.893617021276</ns0:v>
      </ns0:c>
      <ns0:c r="I697" s="7" t="n">
        <ns0:v>2918.46057571965</ns0:v>
      </ns0:c>
      <ns0:c r="J697" s="7" t="n">
        <ns0:v>1167.38423028786</ns0:v>
      </ns0:c>
      <ns0:c r="K697" s="7" t="n">
        <ns0:v>31</ns0:v>
      </ns0:c>
      <ns0:c r="L697" s="7" t="n">
        <ns0:v>181</ns0:v>
      </ns0:c>
      <ns0:c r="M697" s="7" t="n">
        <ns0:v>-34534.44531670533</ns0:v>
      </ns0:c>
      <ns0:c r="N697" s="7" t="n">
        <ns0:v>-478.5880992525708</ns0:v>
      </ns0:c>
      <ns0:c r="O697" s="7" t="n">
        <ns0:v>35542.97625211755</ns0:v>
      </ns0:c>
      <ns0:c r="P697" s="7" t="n">
        <ns0:v>125596.8871305429</ns0:v>
      </ns0:c>
      <ns0:c r="Q697" s="7" t="n">
        <ns0:v>443812.5306442443</ns0:v>
      </ns0:c>
      <ns0:c r="R697" s="7" t="n">
        <ns0:v>1634567.2829422</ns0:v>
      </ns0:c>
    </ns0:row>
    <ns0:row r="698" ht="24" customHeight="1">
      <ns0:c r="A698" s="3" t="inlineStr">
        <ns0:is>
          <ns0:t>セット</ns0:t>
        </ns0:is>
      </ns0:c>
      <ns0:c r="B698" s="3" t="inlineStr">
        <ns0:is>
          <ns0:t>G2二段階</ns0:t>
        </ns0:is>
      </ns0:c>
      <ns0:c r="C698" s="3" t="inlineStr">
        <ns0:is>
          <ns0:t>D</ns0:t>
        </ns0:is>
      </ns0:c>
      <ns0:c r="D698" s="4" t="n">
        <ns0:v>0</ns0:v>
      </ns0:c>
      <ns0:c r="E698" s="4" t="n">
        <ns0:v>1000</ns0:v>
      </ns0:c>
      <ns0:c r="F698" s="6" t="n">
        <ns0:v>0.4</ns0:v>
      </ns0:c>
      <ns0:c r="G698" s="4" t="n">
        <ns0:v>2</ns0:v>
      </ns0:c>
      <ns0:c r="H698" s="7" t="n">
        <ns0:v>5444.893617021276</ns0:v>
      </ns0:c>
      <ns0:c r="I698" s="7" t="n">
        <ns0:v>2918.46057571965</ns0:v>
      </ns0:c>
      <ns0:c r="J698" s="7" t="n">
        <ns0:v>1167.38423028786</ns0:v>
      </ns0:c>
      <ns0:c r="K698" s="18" t="inlineStr">
        <ns0:is>
          <ns0:t>範囲内なし</ns0:t>
        </ns0:is>
      </ns0:c>
      <ns0:c r="L698" s="18" t="inlineStr">
        <ns0:is>
          <ns0:t>範囲内なし</ns0:t>
        </ns0:is>
      </ns0:c>
      <ns0:c r="M698" s="7" t="n">
        <ns0:v>-53657.25388321177</ns0:v>
      </ns0:c>
      <ns0:c r="N698" s="7" t="n">
        <ns0:v>-57847.01379877189</ns0:v>
      </ns0:c>
      <ns0:c r="O698" s="7" t="n">
        <ns0:v>-60071.06658041467</ns0:v>
      </ns0:c>
      <ns0:c r="P698" s="7" t="n">
        <ns0:v>-65631.19853452154</ns0:v>
      </ns0:c>
      <ns0:c r="Q698" s="7" t="n">
        <ns0:v>-129871.726350949</ns0:v>
      </ns0:c>
      <ns0:c r="R698" s="7" t="n">
        <ns0:v>-277713.5737084444</ns0:v>
      </ns0:c>
    </ns0:row>
    <ns0:row r="699" ht="24" customHeight="1">
      <ns0:c r="A699" s="3" t="inlineStr">
        <ns0:is>
          <ns0:t>セット</ns0:t>
        </ns0:is>
      </ns0:c>
      <ns0:c r="B699" s="3" t="inlineStr">
        <ns0:is>
          <ns0:t>G2二段階</ns0:t>
        </ns0:is>
      </ns0:c>
      <ns0:c r="C699" s="3" t="inlineStr">
        <ns0:is>
          <ns0:t>D</ns0:t>
        </ns0:is>
      </ns0:c>
      <ns0:c r="D699" s="4" t="n">
        <ns0:v>0</ns0:v>
      </ns0:c>
      <ns0:c r="E699" s="4" t="n">
        <ns0:v>1000</ns0:v>
      </ns0:c>
      <ns0:c r="F699" s="6" t="n">
        <ns0:v>0.4</ns0:v>
      </ns0:c>
      <ns0:c r="G699" s="4" t="n">
        <ns0:v>3</ns0:v>
      </ns0:c>
      <ns0:c r="H699" s="7" t="n">
        <ns0:v>5444.893617021276</ns0:v>
      </ns0:c>
      <ns0:c r="I699" s="7" t="n">
        <ns0:v>2918.46057571965</ns0:v>
      </ns0:c>
      <ns0:c r="J699" s="7" t="n">
        <ns0:v>1167.38423028786</ns0:v>
      </ns0:c>
      <ns0:c r="K699" s="7" t="n">
        <ns0:v>103</ns0:v>
      </ns0:c>
      <ns0:c r="L699" s="18" t="inlineStr">
        <ns0:is>
          <ns0:t>範囲内なし</ns0:t>
        </ns0:is>
      </ns0:c>
      <ns0:c r="M699" s="7" t="n">
        <ns0:v>-43103.55221727602</ns0:v>
      </ns0:c>
      <ns0:c r="N699" s="7" t="n">
        <ns0:v>-26185.90880096465</ns0:v>
      </ns0:c>
      <ns0:c r="O699" s="7" t="n">
        <ns0:v>-7302.558250735907</ns0:v>
      </ns0:c>
      <ns0:c r="P699" s="7" t="n">
        <ns0:v>39905.81812483599</ns0:v>
      </ns0:c>
      <ns0:c r="Q699" s="7" t="n">
        <ns0:v>186739.3236271234</ns0:v>
      </ns0:c>
      <ns0:c r="R699" s="7" t="n">
        <ns0:v>777656.5928851304</ns0:v>
      </ns0:c>
    </ns0:row>
    <ns0:row r="700" ht="24" customHeight="1">
      <ns0:c r="A700" s="3" t="inlineStr">
        <ns0:is>
          <ns0:t>セット</ns0:t>
        </ns0:is>
      </ns0:c>
      <ns0:c r="B700" s="3" t="inlineStr">
        <ns0:is>
          <ns0:t>G2二段階</ns0:t>
        </ns0:is>
      </ns0:c>
      <ns0:c r="C700" s="3" t="inlineStr">
        <ns0:is>
          <ns0:t>D</ns0:t>
        </ns0:is>
      </ns0:c>
      <ns0:c r="D700" s="4" t="n">
        <ns0:v>0</ns0:v>
      </ns0:c>
      <ns0:c r="E700" s="4" t="n">
        <ns0:v>1000</ns0:v>
      </ns0:c>
      <ns0:c r="F700" s="6" t="n">
        <ns0:v>0.5</ns0:v>
      </ns0:c>
      <ns0:c r="G700" s="4" t="n">
        <ns0:v>0</ns0:v>
      </ns0:c>
      <ns0:c r="H700" s="7" t="n">
        <ns0:v>5444.893617021276</ns0:v>
      </ns0:c>
      <ns0:c r="I700" s="7" t="n">
        <ns0:v>2918.46057571965</ns0:v>
      </ns0:c>
      <ns0:c r="J700" s="7" t="n">
        <ns0:v>1459.230287859825</ns0:v>
      </ns0:c>
      <ns0:c r="K700" s="7" t="n">
        <ns0:v>29</ns0:v>
      </ns0:c>
      <ns0:c r="L700" s="7" t="n">
        <ns0:v>58</ns0:v>
      </ns0:c>
      <ns0:c r="M700" s="7" t="n">
        <ns0:v>-33734.26548645414</ns0:v>
      </ns0:c>
      <ns0:c r="N700" s="7" t="n">
        <ns0:v>1921.951391501007</ns0:v>
      </ns0:c>
      <ns0:c r="O700" s="7" t="n">
        <ns0:v>39543.87540337352</ns0:v>
      </ns0:c>
      <ns0:c r="P700" s="7" t="n">
        <ns0:v>133598.6854330548</ns0:v>
      </ns0:c>
      <ns0:c r="Q700" s="7" t="n">
        <ns0:v>467817.92555178</ns0:v>
      </ns0:c>
      <ns0:c r="R700" s="7" t="n">
        <ns0:v>1714585.265967319</ns0:v>
      </ns0:c>
    </ns0:row>
    <ns0:row r="701" ht="24" customHeight="1">
      <ns0:c r="A701" s="3" t="inlineStr">
        <ns0:is>
          <ns0:t>セット</ns0:t>
        </ns0:is>
      </ns0:c>
      <ns0:c r="B701" s="3" t="inlineStr">
        <ns0:is>
          <ns0:t>G2二段階</ns0:t>
        </ns0:is>
      </ns0:c>
      <ns0:c r="C701" s="3" t="inlineStr">
        <ns0:is>
          <ns0:t>D</ns0:t>
        </ns0:is>
      </ns0:c>
      <ns0:c r="D701" s="4" t="n">
        <ns0:v>0</ns0:v>
      </ns0:c>
      <ns0:c r="E701" s="4" t="n">
        <ns0:v>1000</ns0:v>
      </ns0:c>
      <ns0:c r="F701" s="6" t="n">
        <ns0:v>0.5</ns0:v>
      </ns0:c>
      <ns0:c r="G701" s="4" t="n">
        <ns0:v>1</ns0:v>
      </ns0:c>
      <ns0:c r="H701" s="7" t="n">
        <ns0:v>5444.893617021276</ns0:v>
      </ns0:c>
      <ns0:c r="I701" s="7" t="n">
        <ns0:v>2918.46057571965</ns0:v>
      </ns0:c>
      <ns0:c r="J701" s="7" t="n">
        <ns0:v>1459.230287859825</ns0:v>
      </ns0:c>
      <ns0:c r="K701" s="7" t="n">
        <ns0:v>37</ns0:v>
      </ns0:c>
      <ns0:c r="L701" s="7" t="n">
        <ns0:v>253</ns0:v>
      </ns0:c>
      <ns0:c r="M701" s="7" t="n">
        <ns0:v>-37452.90589242498</ns0:v>
      </ns0:c>
      <ns0:c r="N701" s="7" t="n">
        <ns0:v>-9233.969826411518</ns0:v>
      </ns0:c>
      <ns0:c r="O701" s="7" t="n">
        <ns0:v>20950.6733735193</ns0:v>
      </ns0:c>
      <ns0:c r="P701" s="7" t="n">
        <ns0:v>96412.2813733464</ns0:v>
      </ns0:c>
      <ns0:c r="Q701" s="7" t="n">
        <ns0:v>356258.7133726547</ns0:v>
      </ns0:c>
      <ns0:c r="R701" s="7" t="n">
        <ns0:v>1342721.225370235</ns0:v>
      </ns0:c>
    </ns0:row>
    <ns0:row r="702" ht="24" customHeight="1">
      <ns0:c r="A702" s="3" t="inlineStr">
        <ns0:is>
          <ns0:t>セット</ns0:t>
        </ns0:is>
      </ns0:c>
      <ns0:c r="B702" s="3" t="inlineStr">
        <ns0:is>
          <ns0:t>G2二段階</ns0:t>
        </ns0:is>
      </ns0:c>
      <ns0:c r="C702" s="3" t="inlineStr">
        <ns0:is>
          <ns0:t>D</ns0:t>
        </ns0:is>
      </ns0:c>
      <ns0:c r="D702" s="4" t="n">
        <ns0:v>0</ns0:v>
      </ns0:c>
      <ns0:c r="E702" s="4" t="n">
        <ns0:v>1000</ns0:v>
      </ns0:c>
      <ns0:c r="F702" s="6" t="n">
        <ns0:v>0.5</ns0:v>
      </ns0:c>
      <ns0:c r="G702" s="4" t="n">
        <ns0:v>2</ns0:v>
      </ns0:c>
      <ns0:c r="H702" s="7" t="n">
        <ns0:v>5444.893617021276</ns0:v>
      </ns0:c>
      <ns0:c r="I702" s="7" t="n">
        <ns0:v>2918.46057571965</ns0:v>
      </ns0:c>
      <ns0:c r="J702" s="7" t="n">
        <ns0:v>1459.230287859825</ns0:v>
      </ns0:c>
      <ns0:c r="K702" s="18" t="inlineStr">
        <ns0:is>
          <ns0:t>範囲内なし</ns0:t>
        </ns0:is>
      </ns0:c>
      <ns0:c r="L702" s="18" t="inlineStr">
        <ns0:is>
          <ns0:t>範囲内なし</ns0:t>
        </ns0:is>
      </ns0:c>
      <ns0:c r="M702" s="7" t="n">
        <ns0:v>-56575.71445893143</ns0:v>
      </ns0:c>
      <ns0:c r="N702" s="7" t="n">
        <ns0:v>-66602.39552593084</ns0:v>
      </ns0:c>
      <ns0:c r="O702" s="7" t="n">
        <ns0:v>-74663.36945901292</ns0:v>
      </ns0:c>
      <ns0:c r="P702" s="7" t="n">
        <ns0:v>-94815.80429171803</ns0:v>
      </ns0:c>
      <ns0:c r="Q702" s="7" t="n">
        <ns0:v>-217425.5436225386</ns0:v>
      </ns0:c>
      <ns0:c r="R702" s="7" t="n">
        <ns0:v>-569559.6312804092</ns0:v>
      </ns0:c>
    </ns0:row>
    <ns0:row r="703" ht="24" customHeight="1">
      <ns0:c r="A703" s="3" t="inlineStr">
        <ns0:is>
          <ns0:t>セット</ns0:t>
        </ns0:is>
      </ns0:c>
      <ns0:c r="B703" s="3" t="inlineStr">
        <ns0:is>
          <ns0:t>G2二段階</ns0:t>
        </ns0:is>
      </ns0:c>
      <ns0:c r="C703" s="3" t="inlineStr">
        <ns0:is>
          <ns0:t>D</ns0:t>
        </ns0:is>
      </ns0:c>
      <ns0:c r="D703" s="4" t="n">
        <ns0:v>0</ns0:v>
      </ns0:c>
      <ns0:c r="E703" s="4" t="n">
        <ns0:v>1000</ns0:v>
      </ns0:c>
      <ns0:c r="F703" s="6" t="n">
        <ns0:v>0.5</ns0:v>
      </ns0:c>
      <ns0:c r="G703" s="4" t="n">
        <ns0:v>3</ns0:v>
      </ns0:c>
      <ns0:c r="H703" s="7" t="n">
        <ns0:v>5444.893617021276</ns0:v>
      </ns0:c>
      <ns0:c r="I703" s="7" t="n">
        <ns0:v>2918.46057571965</ns0:v>
      </ns0:c>
      <ns0:c r="J703" s="7" t="n">
        <ns0:v>1459.230287859825</ns0:v>
      </ns0:c>
      <ns0:c r="K703" s="7" t="n">
        <ns0:v>148</ns0:v>
      </ns0:c>
      <ns0:c r="L703" s="18" t="inlineStr">
        <ns0:is>
          <ns0:t>範囲内なし</ns0:t>
        </ns0:is>
      </ns0:c>
      <ns0:c r="M703" s="7" t="n">
        <ns0:v>-46022.01279299568</ns0:v>
      </ns0:c>
      <ns0:c r="N703" s="7" t="n">
        <ns0:v>-34941.2905281236</ns0:v>
      </ns0:c>
      <ns0:c r="O703" s="7" t="n">
        <ns0:v>-21894.86112933415</ns0:v>
      </ns0:c>
      <ns0:c r="P703" s="7" t="n">
        <ns0:v>10721.2123676395</ns0:v>
      </ns0:c>
      <ns0:c r="Q703" s="7" t="n">
        <ns0:v>99185.50635553387</ns0:v>
      </ns0:c>
      <ns0:c r="R703" s="7" t="n">
        <ns0:v>485810.5353131656</ns0:v>
      </ns0:c>
    </ns0:row>
    <ns0:row r="704" ht="24" customHeight="1">
      <ns0:c r="A704" s="3" t="inlineStr">
        <ns0:is>
          <ns0:t>セット</ns0:t>
        </ns0:is>
      </ns0:c>
      <ns0:c r="B704" s="3" t="inlineStr">
        <ns0:is>
          <ns0:t>G2二段階</ns0:t>
        </ns0:is>
      </ns0:c>
      <ns0:c r="C704" s="3" t="inlineStr">
        <ns0:is>
          <ns0:t>D</ns0:t>
        </ns0:is>
      </ns0:c>
      <ns0:c r="D704" s="4" t="n">
        <ns0:v>0</ns0:v>
      </ns0:c>
      <ns0:c r="E704" s="4" t="n">
        <ns0:v>1500</ns0:v>
      </ns0:c>
      <ns0:c r="F704" s="6" t="n">
        <ns0:v>0.3</ns0:v>
      </ns0:c>
      <ns0:c r="G704" s="4" t="n">
        <ns0:v>0</ns0:v>
      </ns0:c>
      <ns0:c r="H704" s="7" t="n">
        <ns0:v>4944.893617021276</ns0:v>
      </ns0:c>
      <ns0:c r="I704" s="7" t="n">
        <ns0:v>2418.46057571965</ns0:v>
      </ns0:c>
      <ns0:c r="J704" s="7" t="n">
        <ns0:v>725.5381727158948</ns0:v>
      </ns0:c>
      <ns0:c r="K704" s="7" t="n">
        <ns0:v>26</ns0:v>
      </ns0:c>
      <ns0:c r="L704" s="7" t="n">
        <ns0:v>52</ns0:v>
      </ns0:c>
      <ns0:c r="M704" s="7" t="n">
        <ns0:v>-31217.34433501484</ns0:v>
      </ns0:c>
      <ns0:c r="N704" s="7" t="n">
        <ns0:v>9472.7148458189</ns0:v>
      </ns0:c>
      <ns0:c r="O704" s="7" t="n">
        <ns0:v>52128.48116057002</ns0:v>
      </ns0:c>
      <ns0:c r="P704" s="7" t="n">
        <ns0:v>158767.8969474478</ns0:v>
      </ns0:c>
      <ns0:c r="Q704" s="7" t="n">
        <ns0:v>543325.5600949591</ns0:v>
      </ns0:c>
      <ns0:c r="R704" s="7" t="n">
        <ns0:v>1966277.38111125</ns0:v>
      </ns0:c>
    </ns0:row>
    <ns0:row r="705" ht="24" customHeight="1">
      <ns0:c r="A705" s="3" t="inlineStr">
        <ns0:is>
          <ns0:t>セット</ns0:t>
        </ns0:is>
      </ns0:c>
      <ns0:c r="B705" s="3" t="inlineStr">
        <ns0:is>
          <ns0:t>G2二段階</ns0:t>
        </ns0:is>
      </ns0:c>
      <ns0:c r="C705" s="3" t="inlineStr">
        <ns0:is>
          <ns0:t>D</ns0:t>
        </ns0:is>
      </ns0:c>
      <ns0:c r="D705" s="4" t="n">
        <ns0:v>0</ns0:v>
      </ns0:c>
      <ns0:c r="E705" s="4" t="n">
        <ns0:v>1500</ns0:v>
      </ns0:c>
      <ns0:c r="F705" s="6" t="n">
        <ns0:v>0.3</ns0:v>
      </ns0:c>
      <ns0:c r="G705" s="4" t="n">
        <ns0:v>1</ns0:v>
      </ns0:c>
      <ns0:c r="H705" s="7" t="n">
        <ns0:v>4944.893617021276</ns0:v>
      </ns0:c>
      <ns0:c r="I705" s="7" t="n">
        <ns0:v>2418.46057571965</ns0:v>
      </ns0:c>
      <ns0:c r="J705" s="7" t="n">
        <ns0:v>725.5381727158948</ns0:v>
      </ns0:c>
      <ns0:c r="K705" s="7" t="n">
        <ns0:v>31</ns0:v>
      </ns0:c>
      <ns0:c r="L705" s="7" t="n">
        <ns0:v>189</ns0:v>
      </ns0:c>
      <ns0:c r="M705" s="7" t="n">
        <ns0:v>-34935.98474098569</ns0:v>
      </ns0:c>
      <ns0:c r="N705" s="7" t="n">
        <ns0:v>-1683.206372093624</ns0:v>
      </ns0:c>
      <ns0:c r="O705" s="7" t="n">
        <ns0:v>33535.2791307158</ns0:v>
      </ns0:c>
      <ns0:c r="P705" s="7" t="n">
        <ns0:v>121581.4928877394</ns0:v>
      </ns0:c>
      <ns0:c r="Q705" s="7" t="n">
        <ns0:v>431766.3479158338</ns0:v>
      </ns0:c>
      <ns0:c r="R705" s="7" t="n">
        <ns0:v>1594413.340514165</ns0:v>
      </ns0:c>
    </ns0:row>
    <ns0:row r="706" ht="24" customHeight="1">
      <ns0:c r="A706" s="3" t="inlineStr">
        <ns0:is>
          <ns0:t>セット</ns0:t>
        </ns0:is>
      </ns0:c>
      <ns0:c r="B706" s="3" t="inlineStr">
        <ns0:is>
          <ns0:t>G2二段階</ns0:t>
        </ns0:is>
      </ns0:c>
      <ns0:c r="C706" s="3" t="inlineStr">
        <ns0:is>
          <ns0:t>D</ns0:t>
        </ns0:is>
      </ns0:c>
      <ns0:c r="D706" s="4" t="n">
        <ns0:v>0</ns0:v>
      </ns0:c>
      <ns0:c r="E706" s="4" t="n">
        <ns0:v>1500</ns0:v>
      </ns0:c>
      <ns0:c r="F706" s="6" t="n">
        <ns0:v>0.3</ns0:v>
      </ns0:c>
      <ns0:c r="G706" s="4" t="n">
        <ns0:v>2</ns0:v>
      </ns0:c>
      <ns0:c r="H706" s="7" t="n">
        <ns0:v>4944.893617021276</ns0:v>
      </ns0:c>
      <ns0:c r="I706" s="7" t="n">
        <ns0:v>2418.46057571965</ns0:v>
      </ns0:c>
      <ns0:c r="J706" s="7" t="n">
        <ns0:v>725.5381727158948</ns0:v>
      </ns0:c>
      <ns0:c r="K706" s="18" t="inlineStr">
        <ns0:is>
          <ns0:t>範囲内なし</ns0:t>
        </ns0:is>
      </ns0:c>
      <ns0:c r="L706" s="18" t="inlineStr">
        <ns0:is>
          <ns0:t>範囲内なし</ns0:t>
        </ns0:is>
      </ns0:c>
      <ns0:c r="M706" s="7" t="n">
        <ns0:v>-54058.79330749213</ns0:v>
      </ns0:c>
      <ns0:c r="N706" s="7" t="n">
        <ns0:v>-59051.63207161296</ns0:v>
      </ns0:c>
      <ns0:c r="O706" s="7" t="n">
        <ns0:v>-62078.7637018164</ns0:v>
      </ns0:c>
      <ns0:c r="P706" s="7" t="n">
        <ns0:v>-69646.59277732502</ns0:v>
      </ns0:c>
      <ns0:c r="Q706" s="7" t="n">
        <ns0:v>-141917.9090793594</ns0:v>
      </ns0:c>
      <ns0:c r="R706" s="7" t="n">
        <ns0:v>-317867.5161364791</ns0:v>
      </ns0:c>
    </ns0:row>
    <ns0:row r="707" ht="24" customHeight="1">
      <ns0:c r="A707" s="3" t="inlineStr">
        <ns0:is>
          <ns0:t>セット</ns0:t>
        </ns0:is>
      </ns0:c>
      <ns0:c r="B707" s="3" t="inlineStr">
        <ns0:is>
          <ns0:t>G2二段階</ns0:t>
        </ns0:is>
      </ns0:c>
      <ns0:c r="C707" s="3" t="inlineStr">
        <ns0:is>
          <ns0:t>D</ns0:t>
        </ns0:is>
      </ns0:c>
      <ns0:c r="D707" s="4" t="n">
        <ns0:v>0</ns0:v>
      </ns0:c>
      <ns0:c r="E707" s="4" t="n">
        <ns0:v>1500</ns0:v>
      </ns0:c>
      <ns0:c r="F707" s="6" t="n">
        <ns0:v>0.3</ns0:v>
      </ns0:c>
      <ns0:c r="G707" s="4" t="n">
        <ns0:v>3</ns0:v>
      </ns0:c>
      <ns0:c r="H707" s="7" t="n">
        <ns0:v>4944.893617021276</ns0:v>
      </ns0:c>
      <ns0:c r="I707" s="7" t="n">
        <ns0:v>2418.46057571965</ns0:v>
      </ns0:c>
      <ns0:c r="J707" s="7" t="n">
        <ns0:v>725.5381727158948</ns0:v>
      </ns0:c>
      <ns0:c r="K707" s="7" t="n">
        <ns0:v>107</ns0:v>
      </ns0:c>
      <ns0:c r="L707" s="18" t="inlineStr">
        <ns0:is>
          <ns0:t>範囲内なし</ns0:t>
        </ns0:is>
      </ns0:c>
      <ns0:c r="M707" s="7" t="n">
        <ns0:v>-43505.09164155638</ns0:v>
      </ns0:c>
      <ns0:c r="N707" s="7" t="n">
        <ns0:v>-27390.5270738057</ns0:v>
      </ns0:c>
      <ns0:c r="O707" s="7" t="n">
        <ns0:v>-9310.255372137653</ns0:v>
      </ns0:c>
      <ns0:c r="P707" s="7" t="n">
        <ns0:v>35890.42388203248</ns0:v>
      </ns0:c>
      <ns0:c r="Q707" s="7" t="n">
        <ns0:v>174693.140898713</ns0:v>
      </ns0:c>
      <ns0:c r="R707" s="7" t="n">
        <ns0:v>737502.6504570958</ns0:v>
      </ns0:c>
    </ns0:row>
    <ns0:row r="708" ht="24" customHeight="1">
      <ns0:c r="A708" s="3" t="inlineStr">
        <ns0:is>
          <ns0:t>セット</ns0:t>
        </ns0:is>
      </ns0:c>
      <ns0:c r="B708" s="3" t="inlineStr">
        <ns0:is>
          <ns0:t>G2二段階</ns0:t>
        </ns0:is>
      </ns0:c>
      <ns0:c r="C708" s="3" t="inlineStr">
        <ns0:is>
          <ns0:t>D</ns0:t>
        </ns0:is>
      </ns0:c>
      <ns0:c r="D708" s="4" t="n">
        <ns0:v>0</ns0:v>
      </ns0:c>
      <ns0:c r="E708" s="4" t="n">
        <ns0:v>1500</ns0:v>
      </ns0:c>
      <ns0:c r="F708" s="6" t="n">
        <ns0:v>0.4</ns0:v>
      </ns0:c>
      <ns0:c r="G708" s="4" t="n">
        <ns0:v>0</ns0:v>
      </ns0:c>
      <ns0:c r="H708" s="7" t="n">
        <ns0:v>4944.893617021276</ns0:v>
      </ns0:c>
      <ns0:c r="I708" s="7" t="n">
        <ns0:v>2418.46057571965</ns0:v>
      </ns0:c>
      <ns0:c r="J708" s="7" t="n">
        <ns0:v>967.3842302878599</ns0:v>
      </ns0:c>
      <ns0:c r="K708" s="7" t="n">
        <ns0:v>29</ns0:v>
      </ns0:c>
      <ns0:c r="L708" s="7" t="n">
        <ns0:v>58</ns0:v>
      </ns0:c>
      <ns0:c r="M708" s="7" t="n">
        <ns0:v>-33635.80491073449</ns0:v>
      </ns0:c>
      <ns0:c r="N708" s="7" t="n">
        <ns0:v>2217.333118659957</ns0:v>
      </ns0:c>
      <ns0:c r="O708" s="7" t="n">
        <ns0:v>40036.17828197176</ns0:v>
      </ns0:c>
      <ns0:c r="P708" s="7" t="n">
        <ns0:v>134583.2911902513</ns0:v>
      </ns0:c>
      <ns0:c r="Q708" s="7" t="n">
        <ns0:v>470771.7428233696</ns0:v>
      </ns0:c>
      <ns0:c r="R708" s="7" t="n">
        <ns0:v>1724431.323539284</ns0:v>
      </ns0:c>
    </ns0:row>
    <ns0:row r="709" ht="24" customHeight="1">
      <ns0:c r="A709" s="3" t="inlineStr">
        <ns0:is>
          <ns0:t>セット</ns0:t>
        </ns0:is>
      </ns0:c>
      <ns0:c r="B709" s="3" t="inlineStr">
        <ns0:is>
          <ns0:t>G2二段階</ns0:t>
        </ns0:is>
      </ns0:c>
      <ns0:c r="C709" s="3" t="inlineStr">
        <ns0:is>
          <ns0:t>D</ns0:t>
        </ns0:is>
      </ns0:c>
      <ns0:c r="D709" s="4" t="n">
        <ns0:v>0</ns0:v>
      </ns0:c>
      <ns0:c r="E709" s="4" t="n">
        <ns0:v>1500</ns0:v>
      </ns0:c>
      <ns0:c r="F709" s="6" t="n">
        <ns0:v>0.4</ns0:v>
      </ns0:c>
      <ns0:c r="G709" s="4" t="n">
        <ns0:v>1</ns0:v>
      </ns0:c>
      <ns0:c r="H709" s="7" t="n">
        <ns0:v>4944.893617021276</ns0:v>
      </ns0:c>
      <ns0:c r="I709" s="7" t="n">
        <ns0:v>2418.46057571965</ns0:v>
      </ns0:c>
      <ns0:c r="J709" s="7" t="n">
        <ns0:v>967.3842302878599</ns0:v>
      </ns0:c>
      <ns0:c r="K709" s="7" t="n">
        <ns0:v>36</ns0:v>
      </ns0:c>
      <ns0:c r="L709" s="7" t="n">
        <ns0:v>251</ns0:v>
      </ns0:c>
      <ns0:c r="M709" s="7" t="n">
        <ns0:v>-37354.44531670534</ns0:v>
      </ns0:c>
      <ns0:c r="N709" s="7" t="n">
        <ns0:v>-8938.588099252567</ns0:v>
      </ns0:c>
      <ns0:c r="O709" s="7" t="n">
        <ns0:v>21442.97625211755</ns0:v>
      </ns0:c>
      <ns0:c r="P709" s="7" t="n">
        <ns0:v>97396.88713054289</ns0:v>
      </ns0:c>
      <ns0:c r="Q709" s="7" t="n">
        <ns0:v>359212.5306442443</ns0:v>
      </ns0:c>
      <ns0:c r="R709" s="7" t="n">
        <ns0:v>1352567.2829422</ns0:v>
      </ns0:c>
    </ns0:row>
    <ns0:row r="710" ht="24" customHeight="1">
      <ns0:c r="A710" s="3" t="inlineStr">
        <ns0:is>
          <ns0:t>セット</ns0:t>
        </ns0:is>
      </ns0:c>
      <ns0:c r="B710" s="3" t="inlineStr">
        <ns0:is>
          <ns0:t>G2二段階</ns0:t>
        </ns0:is>
      </ns0:c>
      <ns0:c r="C710" s="3" t="inlineStr">
        <ns0:is>
          <ns0:t>D</ns0:t>
        </ns0:is>
      </ns0:c>
      <ns0:c r="D710" s="4" t="n">
        <ns0:v>0</ns0:v>
      </ns0:c>
      <ns0:c r="E710" s="4" t="n">
        <ns0:v>1500</ns0:v>
      </ns0:c>
      <ns0:c r="F710" s="6" t="n">
        <ns0:v>0.4</ns0:v>
      </ns0:c>
      <ns0:c r="G710" s="4" t="n">
        <ns0:v>2</ns0:v>
      </ns0:c>
      <ns0:c r="H710" s="7" t="n">
        <ns0:v>4944.893617021276</ns0:v>
      </ns0:c>
      <ns0:c r="I710" s="7" t="n">
        <ns0:v>2418.46057571965</ns0:v>
      </ns0:c>
      <ns0:c r="J710" s="7" t="n">
        <ns0:v>967.3842302878599</ns0:v>
      </ns0:c>
      <ns0:c r="K710" s="18" t="inlineStr">
        <ns0:is>
          <ns0:t>範囲内なし</ns0:t>
        </ns0:is>
      </ns0:c>
      <ns0:c r="L710" s="18" t="inlineStr">
        <ns0:is>
          <ns0:t>範囲内なし</ns0:t>
        </ns0:is>
      </ns0:c>
      <ns0:c r="M710" s="7" t="n">
        <ns0:v>-56477.25388321178</ns0:v>
      </ns0:c>
      <ns0:c r="N710" s="7" t="n">
        <ns0:v>-66307.01379877189</ns0:v>
      </ns0:c>
      <ns0:c r="O710" s="7" t="n">
        <ns0:v>-74171.06658041467</ns0:v>
      </ns0:c>
      <ns0:c r="P710" s="7" t="n">
        <ns0:v>-93831.19853452154</ns0:v>
      </ns0:c>
      <ns0:c r="Q710" s="7" t="n">
        <ns0:v>-214471.726350949</ns0:v>
      </ns0:c>
      <ns0:c r="R710" s="7" t="n">
        <ns0:v>-559713.5737084444</ns0:v>
      </ns0:c>
    </ns0:row>
    <ns0:row r="711" ht="24" customHeight="1">
      <ns0:c r="A711" s="3" t="inlineStr">
        <ns0:is>
          <ns0:t>セット</ns0:t>
        </ns0:is>
      </ns0:c>
      <ns0:c r="B711" s="3" t="inlineStr">
        <ns0:is>
          <ns0:t>G2二段階</ns0:t>
        </ns0:is>
      </ns0:c>
      <ns0:c r="C711" s="3" t="inlineStr">
        <ns0:is>
          <ns0:t>D</ns0:t>
        </ns0:is>
      </ns0:c>
      <ns0:c r="D711" s="4" t="n">
        <ns0:v>0</ns0:v>
      </ns0:c>
      <ns0:c r="E711" s="4" t="n">
        <ns0:v>1500</ns0:v>
      </ns0:c>
      <ns0:c r="F711" s="6" t="n">
        <ns0:v>0.4</ns0:v>
      </ns0:c>
      <ns0:c r="G711" s="4" t="n">
        <ns0:v>3</ns0:v>
      </ns0:c>
      <ns0:c r="H711" s="7" t="n">
        <ns0:v>4944.893617021276</ns0:v>
      </ns0:c>
      <ns0:c r="I711" s="7" t="n">
        <ns0:v>2418.46057571965</ns0:v>
      </ns0:c>
      <ns0:c r="J711" s="7" t="n">
        <ns0:v>967.3842302878599</ns0:v>
      </ns0:c>
      <ns0:c r="K711" s="7" t="n">
        <ns0:v>146</ns0:v>
      </ns0:c>
      <ns0:c r="L711" s="18" t="inlineStr">
        <ns0:is>
          <ns0:t>範囲内なし</ns0:t>
        </ns0:is>
      </ns0:c>
      <ns0:c r="M711" s="7" t="n">
        <ns0:v>-45923.55221727603</ns0:v>
      </ns0:c>
      <ns0:c r="N711" s="7" t="n">
        <ns0:v>-34645.90880096465</ns0:v>
      </ns0:c>
      <ns0:c r="O711" s="7" t="n">
        <ns0:v>-21402.55825073591</ns0:v>
      </ns0:c>
      <ns0:c r="P711" s="7" t="n">
        <ns0:v>11705.81812483599</ns0:v>
      </ns0:c>
      <ns0:c r="Q711" s="7" t="n">
        <ns0:v>102139.3236271235</ns0:v>
      </ns0:c>
      <ns0:c r="R711" s="7" t="n">
        <ns0:v>495656.5928851307</ns0:v>
      </ns0:c>
    </ns0:row>
    <ns0:row r="712" ht="24" customHeight="1">
      <ns0:c r="A712" s="3" t="inlineStr">
        <ns0:is>
          <ns0:t>セット</ns0:t>
        </ns0:is>
      </ns0:c>
      <ns0:c r="B712" s="3" t="inlineStr">
        <ns0:is>
          <ns0:t>G2二段階</ns0:t>
        </ns0:is>
      </ns0:c>
      <ns0:c r="C712" s="3" t="inlineStr">
        <ns0:is>
          <ns0:t>D</ns0:t>
        </ns0:is>
      </ns0:c>
      <ns0:c r="D712" s="4" t="n">
        <ns0:v>0</ns0:v>
      </ns0:c>
      <ns0:c r="E712" s="4" t="n">
        <ns0:v>1500</ns0:v>
      </ns0:c>
      <ns0:c r="F712" s="6" t="n">
        <ns0:v>0.5</ns0:v>
      </ns0:c>
      <ns0:c r="G712" s="4" t="n">
        <ns0:v>0</ns0:v>
      </ns0:c>
      <ns0:c r="H712" s="7" t="n">
        <ns0:v>4944.893617021276</ns0:v>
      </ns0:c>
      <ns0:c r="I712" s="7" t="n">
        <ns0:v>2418.46057571965</ns0:v>
      </ns0:c>
      <ns0:c r="J712" s="7" t="n">
        <ns0:v>1209.230287859825</ns0:v>
      </ns0:c>
      <ns0:c r="K712" s="7" t="n">
        <ns0:v>34</ns0:v>
      </ns0:c>
      <ns0:c r="L712" s="7" t="n">
        <ns0:v>109</ns0:v>
      </ns0:c>
      <ns0:c r="M712" s="7" t="n">
        <ns0:v>-36054.26548645414</ns0:v>
      </ns0:c>
      <ns0:c r="N712" s="7" t="n">
        <ns0:v>-5038.048608498986</ns0:v>
      </ns0:c>
      <ns0:c r="O712" s="7" t="n">
        <ns0:v>27943.87540337351</ns0:v>
      </ns0:c>
      <ns0:c r="P712" s="7" t="n">
        <ns0:v>110398.6854330548</ns0:v>
      </ns0:c>
      <ns0:c r="Q712" s="7" t="n">
        <ns0:v>398217.9255517801</ns0:v>
      </ns0:c>
      <ns0:c r="R712" s="7" t="n">
        <ns0:v>1482585.265967319</ns0:v>
      </ns0:c>
    </ns0:row>
    <ns0:row r="713" ht="24" customHeight="1">
      <ns0:c r="A713" s="3" t="inlineStr">
        <ns0:is>
          <ns0:t>セット</ns0:t>
        </ns0:is>
      </ns0:c>
      <ns0:c r="B713" s="3" t="inlineStr">
        <ns0:is>
          <ns0:t>G2二段階</ns0:t>
        </ns0:is>
      </ns0:c>
      <ns0:c r="C713" s="3" t="inlineStr">
        <ns0:is>
          <ns0:t>D</ns0:t>
        </ns0:is>
      </ns0:c>
      <ns0:c r="D713" s="4" t="n">
        <ns0:v>0</ns0:v>
      </ns0:c>
      <ns0:c r="E713" s="4" t="n">
        <ns0:v>1500</ns0:v>
      </ns0:c>
      <ns0:c r="F713" s="6" t="n">
        <ns0:v>0.5</ns0:v>
      </ns0:c>
      <ns0:c r="G713" s="4" t="n">
        <ns0:v>1</ns0:v>
      </ns0:c>
      <ns0:c r="H713" s="7" t="n">
        <ns0:v>4944.893617021276</ns0:v>
      </ns0:c>
      <ns0:c r="I713" s="7" t="n">
        <ns0:v>2418.46057571965</ns0:v>
      </ns0:c>
      <ns0:c r="J713" s="7" t="n">
        <ns0:v>1209.230287859825</ns0:v>
      </ns0:c>
      <ns0:c r="K713" s="7" t="n">
        <ns0:v>43</ns0:v>
      </ns0:c>
      <ns0:c r="L713" s="7" t="n">
        <ns0:v>574</ns0:v>
      </ns0:c>
      <ns0:c r="M713" s="7" t="n">
        <ns0:v>-39772.90589242498</ns0:v>
      </ns0:c>
      <ns0:c r="N713" s="7" t="n">
        <ns0:v>-16193.96982641151</ns0:v>
      </ns0:c>
      <ns0:c r="O713" s="7" t="n">
        <ns0:v>9350.673373519297</ns0:v>
      </ns0:c>
      <ns0:c r="P713" s="7" t="n">
        <ns0:v>73212.2813733464</ns0:v>
      </ns0:c>
      <ns0:c r="Q713" s="7" t="n">
        <ns0:v>286658.7133726549</ns0:v>
      </ns0:c>
      <ns0:c r="R713" s="7" t="n">
        <ns0:v>1110721.225370235</ns0:v>
      </ns0:c>
    </ns0:row>
    <ns0:row r="714" ht="24" customHeight="1">
      <ns0:c r="A714" s="3" t="inlineStr">
        <ns0:is>
          <ns0:t>セット</ns0:t>
        </ns0:is>
      </ns0:c>
      <ns0:c r="B714" s="3" t="inlineStr">
        <ns0:is>
          <ns0:t>G2二段階</ns0:t>
        </ns0:is>
      </ns0:c>
      <ns0:c r="C714" s="3" t="inlineStr">
        <ns0:is>
          <ns0:t>D</ns0:t>
        </ns0:is>
      </ns0:c>
      <ns0:c r="D714" s="4" t="n">
        <ns0:v>0</ns0:v>
      </ns0:c>
      <ns0:c r="E714" s="4" t="n">
        <ns0:v>1500</ns0:v>
      </ns0:c>
      <ns0:c r="F714" s="6" t="n">
        <ns0:v>0.5</ns0:v>
      </ns0:c>
      <ns0:c r="G714" s="4" t="n">
        <ns0:v>2</ns0:v>
      </ns0:c>
      <ns0:c r="H714" s="7" t="n">
        <ns0:v>4944.893617021276</ns0:v>
      </ns0:c>
      <ns0:c r="I714" s="7" t="n">
        <ns0:v>2418.46057571965</ns0:v>
      </ns0:c>
      <ns0:c r="J714" s="7" t="n">
        <ns0:v>1209.230287859825</ns0:v>
      </ns0:c>
      <ns0:c r="K714" s="18" t="inlineStr">
        <ns0:is>
          <ns0:t>範囲内なし</ns0:t>
        </ns0:is>
      </ns0:c>
      <ns0:c r="L714" s="18" t="inlineStr">
        <ns0:is>
          <ns0:t>範囲内なし</ns0:t>
        </ns0:is>
      </ns0:c>
      <ns0:c r="M714" s="7" t="n">
        <ns0:v>-58895.71445893143</ns0:v>
      </ns0:c>
      <ns0:c r="N714" s="7" t="n">
        <ns0:v>-73562.39552593083</ns0:v>
      </ns0:c>
      <ns0:c r="O714" s="7" t="n">
        <ns0:v>-86263.36945901292</ns0:v>
      </ns0:c>
      <ns0:c r="P714" s="7" t="n">
        <ns0:v>-118015.804291718</ns0:v>
      </ns0:c>
      <ns0:c r="Q714" s="7" t="n">
        <ns0:v>-287025.5436225384</ns0:v>
      </ns0:c>
      <ns0:c r="R714" s="7" t="n">
        <ns0:v>-801559.6312804092</ns0:v>
      </ns0:c>
    </ns0:row>
    <ns0:row r="715" ht="24" customHeight="1">
      <ns0:c r="A715" s="3" t="inlineStr">
        <ns0:is>
          <ns0:t>セット</ns0:t>
        </ns0:is>
      </ns0:c>
      <ns0:c r="B715" s="3" t="inlineStr">
        <ns0:is>
          <ns0:t>G2二段階</ns0:t>
        </ns0:is>
      </ns0:c>
      <ns0:c r="C715" s="3" t="inlineStr">
        <ns0:is>
          <ns0:t>D</ns0:t>
        </ns0:is>
      </ns0:c>
      <ns0:c r="D715" s="4" t="n">
        <ns0:v>0</ns0:v>
      </ns0:c>
      <ns0:c r="E715" s="4" t="n">
        <ns0:v>1500</ns0:v>
      </ns0:c>
      <ns0:c r="F715" s="6" t="n">
        <ns0:v>0.5</ns0:v>
      </ns0:c>
      <ns0:c r="G715" s="4" t="n">
        <ns0:v>3</ns0:v>
      </ns0:c>
      <ns0:c r="H715" s="7" t="n">
        <ns0:v>4944.893617021276</ns0:v>
      </ns0:c>
      <ns0:c r="I715" s="7" t="n">
        <ns0:v>2418.46057571965</ns0:v>
      </ns0:c>
      <ns0:c r="J715" s="7" t="n">
        <ns0:v>1209.230287859825</ns0:v>
      </ns0:c>
      <ns0:c r="K715" s="7" t="n">
        <ns0:v>230</ns0:v>
      </ns0:c>
      <ns0:c r="L715" s="18" t="inlineStr">
        <ns0:is>
          <ns0:t>範囲内なし</ns0:t>
        </ns0:is>
      </ns0:c>
      <ns0:c r="M715" s="7" t="n">
        <ns0:v>-48342.01279299568</ns0:v>
      </ns0:c>
      <ns0:c r="N715" s="7" t="n">
        <ns0:v>-41901.29052812359</ns0:v>
      </ns0:c>
      <ns0:c r="O715" s="7" t="n">
        <ns0:v>-33494.86112933415</ns0:v>
      </ns0:c>
      <ns0:c r="P715" s="7" t="n">
        <ns0:v>-12478.78763236053</ns0:v>
      </ns0:c>
      <ns0:c r="Q715" s="7" t="n">
        <ns0:v>29585.50635553402</ns0:v>
      </ns0:c>
      <ns0:c r="R715" s="7" t="n">
        <ns0:v>253810.5353131659</ns0:v>
      </ns0:c>
    </ns0:row>
    <ns0:row r="716" ht="24" customHeight="1">
      <ns0:c r="A716" s="3" t="inlineStr">
        <ns0:is>
          <ns0:t>セット</ns0:t>
        </ns0:is>
      </ns0:c>
      <ns0:c r="B716" s="3" t="inlineStr">
        <ns0:is>
          <ns0:t>G2二段階</ns0:t>
        </ns0:is>
      </ns0:c>
      <ns0:c r="C716" s="3" t="inlineStr">
        <ns0:is>
          <ns0:t>D</ns0:t>
        </ns0:is>
      </ns0:c>
      <ns0:c r="D716" s="4" t="n">
        <ns0:v>1</ns0:v>
      </ns0:c>
      <ns0:c r="E716" s="4" t="n">
        <ns0:v>500</ns0:v>
      </ns0:c>
      <ns0:c r="F716" s="6" t="n">
        <ns0:v>0.3</ns0:v>
      </ns0:c>
      <ns0:c r="G716" s="4" t="n">
        <ns0:v>0</ns0:v>
      </ns0:c>
      <ns0:c r="H716" s="7" t="n">
        <ns0:v>7808.379888268155</ns0:v>
      </ns0:c>
      <ns0:c r="I716" s="7" t="n">
        <ns0:v>3763.128491620111</ns0:v>
      </ns0:c>
      <ns0:c r="J716" s="7" t="n">
        <ns0:v>1128.938547486033</ns0:v>
      </ns0:c>
      <ns0:c r="K716" s="7" t="n">
        <ns0:v>15</ns0:v>
      </ns0:c>
      <ns0:c r="L716" s="7" t="n">
        <ns0:v>22</ns0:v>
      </ns0:c>
      <ns0:c r="M716" s="7" t="n">
        <ns0:v>-8247.257294336421</ns0:v>
      </ns0:c>
      <ns0:c r="N716" s="7" t="n">
        <ns0:v>65723.67278860076</ns0:v>
      </ns0:c>
      <ns0:c r="O716" s="7" t="n">
        <ns0:v>145880.0777318731</ns0:v>
      </ns0:c>
      <ns0:c r="P716" s="7" t="n">
        <ns0:v>346271.0900900541</ns0:v>
      </ns0:c>
      <ns0:c r="Q716" s="7" t="n">
        <ns0:v>1105835.139522777</ns0:v>
      </ns0:c>
      <ns0:c r="R716" s="7" t="n">
        <ns0:v>3841309.31253731</ns0:v>
      </ns0:c>
    </ns0:row>
    <ns0:row r="717" ht="24" customHeight="1">
      <ns0:c r="A717" s="3" t="inlineStr">
        <ns0:is>
          <ns0:t>セット</ns0:t>
        </ns0:is>
      </ns0:c>
      <ns0:c r="B717" s="3" t="inlineStr">
        <ns0:is>
          <ns0:t>G2二段階</ns0:t>
        </ns0:is>
      </ns0:c>
      <ns0:c r="C717" s="3" t="inlineStr">
        <ns0:is>
          <ns0:t>D</ns0:t>
        </ns0:is>
      </ns0:c>
      <ns0:c r="D717" s="4" t="n">
        <ns0:v>1</ns0:v>
      </ns0:c>
      <ns0:c r="E717" s="4" t="n">
        <ns0:v>500</ns0:v>
      </ns0:c>
      <ns0:c r="F717" s="6" t="n">
        <ns0:v>0.3</ns0:v>
      </ns0:c>
      <ns0:c r="G717" s="4" t="n">
        <ns0:v>1</ns0:v>
      </ns0:c>
      <ns0:c r="H717" s="7" t="n">
        <ns0:v>7808.379888268155</ns0:v>
      </ns0:c>
      <ns0:c r="I717" s="7" t="n">
        <ns0:v>3763.128491620111</ns0:v>
      </ns0:c>
      <ns0:c r="J717" s="7" t="n">
        <ns0:v>1128.938547486033</ns0:v>
      </ns0:c>
      <ns0:c r="K717" s="7" t="n">
        <ns0:v>16</ns0:v>
      </ns0:c>
      <ns0:c r="L717" s="7" t="n">
        <ns0:v>29</ns0:v>
      </ns0:c>
      <ns0:c r="M717" s="7" t="n">
        <ns0:v>-12570.76349934049</ns0:v>
      </ns0:c>
      <ns0:c r="N717" s="7" t="n">
        <ns0:v>52753.15417358854</ns0:v>
      </ns0:c>
      <ns0:c r="O717" s="7" t="n">
        <ns0:v>124262.5467068528</ns0:v>
      </ns0:c>
      <ns0:c r="P717" s="7" t="n">
        <ns0:v>303036.0280400133</ns0:v>
      </ns0:c>
      <ns0:c r="Q717" s="7" t="n">
        <ns0:v>976129.9533726554</ns0:v>
      </ns0:c>
      <ns0:c r="R717" s="7" t="n">
        <ns0:v>3408958.692036903</ns0:v>
      </ns0:c>
    </ns0:row>
    <ns0:row r="718" ht="24" customHeight="1">
      <ns0:c r="A718" s="3" t="inlineStr">
        <ns0:is>
          <ns0:t>セット</ns0:t>
        </ns0:is>
      </ns0:c>
      <ns0:c r="B718" s="3" t="inlineStr">
        <ns0:is>
          <ns0:t>G2二段階</ns0:t>
        </ns0:is>
      </ns0:c>
      <ns0:c r="C718" s="3" t="inlineStr">
        <ns0:is>
          <ns0:t>D</ns0:t>
        </ns0:is>
      </ns0:c>
      <ns0:c r="D718" s="4" t="n">
        <ns0:v>1</ns0:v>
      </ns0:c>
      <ns0:c r="E718" s="4" t="n">
        <ns0:v>500</ns0:v>
      </ns0:c>
      <ns0:c r="F718" s="6" t="n">
        <ns0:v>0.3</ns0:v>
      </ns0:c>
      <ns0:c r="G718" s="4" t="n">
        <ns0:v>2</ns0:v>
      </ns0:c>
      <ns0:c r="H718" s="7" t="n">
        <ns0:v>7808.379888268155</ns0:v>
      </ns0:c>
      <ns0:c r="I718" s="7" t="n">
        <ns0:v>3763.128491620111</ns0:v>
      </ns0:c>
      <ns0:c r="J718" s="7" t="n">
        <ns0:v>1128.938547486033</ns0:v>
      </ns0:c>
      <ns0:c r="K718" s="18" t="inlineStr">
        <ns0:is>
          <ns0:t>範囲内なし</ns0:t>
        </ns0:is>
      </ns0:c>
      <ns0:c r="L718" s="18" t="inlineStr">
        <ns0:is>
          <ns0:t>範囲内なし</ns0:t>
        </ns0:is>
      </ns0:c>
      <ns0:c r="M718" s="7" t="n">
        <ns0:v>-49154.46746291375</ns0:v>
      </ns0:c>
      <ns0:c r="N718" s="7" t="n">
        <ns0:v>-56997.95771713123</ns0:v>
      </ns0:c>
      <ns0:c r="O718" s="7" t="n">
        <ns0:v>-58655.97311101352</ns0:v>
      </ns0:c>
      <ns0:c r="P718" s="7" t="n">
        <ns0:v>-62801.01159571923</ns0:v>
      </ns0:c>
      <ns0:c r="Q718" s="7" t="n">
        <ns0:v>-121381.1655345424</ns0:v>
      </ns0:c>
      <ns0:c r="R718" s="7" t="n">
        <ns0:v>-249411.7043204224</ns0:v>
      </ns0:c>
    </ns0:row>
    <ns0:row r="719" ht="24" customHeight="1">
      <ns0:c r="A719" s="3" t="inlineStr">
        <ns0:is>
          <ns0:t>セット</ns0:t>
        </ns0:is>
      </ns0:c>
      <ns0:c r="B719" s="3" t="inlineStr">
        <ns0:is>
          <ns0:t>G2二段階</ns0:t>
        </ns0:is>
      </ns0:c>
      <ns0:c r="C719" s="3" t="inlineStr">
        <ns0:is>
          <ns0:t>D</ns0:t>
        </ns0:is>
      </ns0:c>
      <ns0:c r="D719" s="4" t="n">
        <ns0:v>1</ns0:v>
      </ns0:c>
      <ns0:c r="E719" s="4" t="n">
        <ns0:v>500</ns0:v>
      </ns0:c>
      <ns0:c r="F719" s="6" t="n">
        <ns0:v>0.3</ns0:v>
      </ns0:c>
      <ns0:c r="G719" s="4" t="n">
        <ns0:v>3</ns0:v>
      </ns0:c>
      <ns0:c r="H719" s="7" t="n">
        <ns0:v>7808.379888268155</ns0:v>
      </ns0:c>
      <ns0:c r="I719" s="7" t="n">
        <ns0:v>3763.128491620111</ns0:v>
      </ns0:c>
      <ns0:c r="J719" s="7" t="n">
        <ns0:v>1128.938547486033</ns0:v>
      </ns0:c>
      <ns0:c r="K719" s="7" t="n">
        <ns0:v>21</ns0:v>
      </ns0:c>
      <ns0:c r="L719" s="7" t="n">
        <ns0:v>215</ns0:v>
      </ns0:c>
      <ns0:c r="M719" s="7" t="n">
        <ns0:v>-22033.27029987323</ns0:v>
      </ns0:c>
      <ns0:c r="N719" s="7" t="n">
        <ns0:v>24365.63377199034</ns0:v>
      </ns0:c>
      <ns0:c r="O719" s="7" t="n">
        <ns0:v>76950.01270418911</ns0:v>
      </ns0:c>
      <ns0:c r="P719" s="7" t="n">
        <ns0:v>208410.960034686</ns0:v>
      </ns0:c>
      <ns0:c r="Q719" s="7" t="n">
        <ns0:v>692254.7493566734</ns0:v>
      </ns0:c>
      <ns0:c r="R719" s="7" t="n">
        <ns0:v>2462708.01198363</ns0:v>
      </ns0:c>
    </ns0:row>
    <ns0:row r="720" ht="24" customHeight="1">
      <ns0:c r="A720" s="3" t="inlineStr">
        <ns0:is>
          <ns0:t>セット</ns0:t>
        </ns0:is>
      </ns0:c>
      <ns0:c r="B720" s="3" t="inlineStr">
        <ns0:is>
          <ns0:t>G2二段階</ns0:t>
        </ns0:is>
      </ns0:c>
      <ns0:c r="C720" s="3" t="inlineStr">
        <ns0:is>
          <ns0:t>D</ns0:t>
        </ns0:is>
      </ns0:c>
      <ns0:c r="D720" s="4" t="n">
        <ns0:v>1</ns0:v>
      </ns0:c>
      <ns0:c r="E720" s="4" t="n">
        <ns0:v>500</ns0:v>
      </ns0:c>
      <ns0:c r="F720" s="6" t="n">
        <ns0:v>0.4</ns0:v>
      </ns0:c>
      <ns0:c r="G720" s="4" t="n">
        <ns0:v>0</ns0:v>
      </ns0:c>
      <ns0:c r="H720" s="7" t="n">
        <ns0:v>7808.379888268155</ns0:v>
      </ns0:c>
      <ns0:c r="I720" s="7" t="n">
        <ns0:v>3763.128491620111</ns0:v>
      </ns0:c>
      <ns0:c r="J720" s="7" t="n">
        <ns0:v>1505.251396648044</ns0:v>
      </ns0:c>
      <ns0:c r="K720" s="7" t="n">
        <ns0:v>16</ns0:v>
      </ns0:c>
      <ns0:c r="L720" s="7" t="n">
        <ns0:v>23</ns0:v>
      </ns0:c>
      <ns0:c r="M720" s="7" t="n">
        <ns0:v>-12010.38578595653</ns0:v>
      </ns0:c>
      <ns0:c r="N720" s="7" t="n">
        <ns0:v>54434.28731374042</ns0:v>
      </ns0:c>
      <ns0:c r="O720" s="7" t="n">
        <ns0:v>127064.4352737725</ns0:v>
      </ns0:c>
      <ns0:c r="P720" s="7" t="n">
        <ns0:v>308639.8051738529</ns0:v>
      </ns0:c>
      <ns0:c r="Q720" s="7" t="n">
        <ns0:v>992941.284774174</ns0:v>
      </ns0:c>
      <ns0:c r="R720" s="7" t="n">
        <ns0:v>3464996.4633753</ns0:v>
      </ns0:c>
    </ns0:row>
    <ns0:row r="721" ht="24" customHeight="1">
      <ns0:c r="A721" s="3" t="inlineStr">
        <ns0:is>
          <ns0:t>セット</ns0:t>
        </ns0:is>
      </ns0:c>
      <ns0:c r="B721" s="3" t="inlineStr">
        <ns0:is>
          <ns0:t>G2二段階</ns0:t>
        </ns0:is>
      </ns0:c>
      <ns0:c r="C721" s="3" t="inlineStr">
        <ns0:is>
          <ns0:t>D</ns0:t>
        </ns0:is>
      </ns0:c>
      <ns0:c r="D721" s="4" t="n">
        <ns0:v>1</ns0:v>
      </ns0:c>
      <ns0:c r="E721" s="4" t="n">
        <ns0:v>500</ns0:v>
      </ns0:c>
      <ns0:c r="F721" s="6" t="n">
        <ns0:v>0.4</ns0:v>
      </ns0:c>
      <ns0:c r="G721" s="4" t="n">
        <ns0:v>1</ns0:v>
      </ns0:c>
      <ns0:c r="H721" s="7" t="n">
        <ns0:v>7808.379888268155</ns0:v>
      </ns0:c>
      <ns0:c r="I721" s="7" t="n">
        <ns0:v>3763.128491620111</ns0:v>
      </ns0:c>
      <ns0:c r="J721" s="7" t="n">
        <ns0:v>1505.251396648044</ns0:v>
      </ns0:c>
      <ns0:c r="K721" s="7" t="n">
        <ns0:v>18</ns0:v>
      </ns0:c>
      <ns0:c r="L721" s="7" t="n">
        <ns0:v>32</ns0:v>
      </ns0:c>
      <ns0:c r="M721" s="7" t="n">
        <ns0:v>-16333.8919909606</ns0:v>
      </ns0:c>
      <ns0:c r="N721" s="7" t="n">
        <ns0:v>41463.76869872821</ns0:v>
      </ns0:c>
      <ns0:c r="O721" s="7" t="n">
        <ns0:v>105446.9042487522</ns0:v>
      </ns0:c>
      <ns0:c r="P721" s="7" t="n">
        <ns0:v>265404.7431238121</ns0:v>
      </ns0:c>
      <ns0:c r="Q721" s="7" t="n">
        <ns0:v>863236.098624052</ns0:v>
      </ns0:c>
      <ns0:c r="R721" s="7" t="n">
        <ns0:v>3032645.842874893</ns0:v>
      </ns0:c>
    </ns0:row>
    <ns0:row r="722" ht="24" customHeight="1">
      <ns0:c r="A722" s="3" t="inlineStr">
        <ns0:is>
          <ns0:t>セット</ns0:t>
        </ns0:is>
      </ns0:c>
      <ns0:c r="B722" s="3" t="inlineStr">
        <ns0:is>
          <ns0:t>G2二段階</ns0:t>
        </ns0:is>
      </ns0:c>
      <ns0:c r="C722" s="3" t="inlineStr">
        <ns0:is>
          <ns0:t>D</ns0:t>
        </ns0:is>
      </ns0:c>
      <ns0:c r="D722" s="4" t="n">
        <ns0:v>1</ns0:v>
      </ns0:c>
      <ns0:c r="E722" s="4" t="n">
        <ns0:v>500</ns0:v>
      </ns0:c>
      <ns0:c r="F722" s="6" t="n">
        <ns0:v>0.4</ns0:v>
      </ns0:c>
      <ns0:c r="G722" s="4" t="n">
        <ns0:v>2</ns0:v>
      </ns0:c>
      <ns0:c r="H722" s="7" t="n">
        <ns0:v>7808.379888268155</ns0:v>
      </ns0:c>
      <ns0:c r="I722" s="7" t="n">
        <ns0:v>3763.128491620111</ns0:v>
      </ns0:c>
      <ns0:c r="J722" s="7" t="n">
        <ns0:v>1505.251396648044</ns0:v>
      </ns0:c>
      <ns0:c r="K722" s="18" t="inlineStr">
        <ns0:is>
          <ns0:t>範囲内なし</ns0:t>
        </ns0:is>
      </ns0:c>
      <ns0:c r="L722" s="18" t="inlineStr">
        <ns0:is>
          <ns0:t>範囲内なし</ns0:t>
        </ns0:is>
      </ns0:c>
      <ns0:c r="M722" s="7" t="n">
        <ns0:v>-52917.59595453386</ns0:v>
      </ns0:c>
      <ns0:c r="N722" s="7" t="n">
        <ns0:v>-68287.34319199159</ns0:v>
      </ns0:c>
      <ns0:c r="O722" s="7" t="n">
        <ns0:v>-77471.61556911409</ns0:v>
      </ns0:c>
      <ns0:c r="P722" s="7" t="n">
        <ns0:v>-100432.2965119204</ns0:v>
      </ns0:c>
      <ns0:c r="Q722" s="7" t="n">
        <ns0:v>-234275.0202831458</ns0:v>
      </ns0:c>
      <ns0:c r="R722" s="7" t="n">
        <ns0:v>-625724.5534824328</ns0:v>
      </ns0:c>
    </ns0:row>
    <ns0:row r="723" ht="24" customHeight="1">
      <ns0:c r="A723" s="3" t="inlineStr">
        <ns0:is>
          <ns0:t>セット</ns0:t>
        </ns0:is>
      </ns0:c>
      <ns0:c r="B723" s="3" t="inlineStr">
        <ns0:is>
          <ns0:t>G2二段階</ns0:t>
        </ns0:is>
      </ns0:c>
      <ns0:c r="C723" s="3" t="inlineStr">
        <ns0:is>
          <ns0:t>D</ns0:t>
        </ns0:is>
      </ns0:c>
      <ns0:c r="D723" s="4" t="n">
        <ns0:v>1</ns0:v>
      </ns0:c>
      <ns0:c r="E723" s="4" t="n">
        <ns0:v>500</ns0:v>
      </ns0:c>
      <ns0:c r="F723" s="6" t="n">
        <ns0:v>0.4</ns0:v>
      </ns0:c>
      <ns0:c r="G723" s="4" t="n">
        <ns0:v>3</ns0:v>
      </ns0:c>
      <ns0:c r="H723" s="7" t="n">
        <ns0:v>7808.379888268155</ns0:v>
      </ns0:c>
      <ns0:c r="I723" s="7" t="n">
        <ns0:v>3763.128491620111</ns0:v>
      </ns0:c>
      <ns0:c r="J723" s="7" t="n">
        <ns0:v>1505.251396648044</ns0:v>
      </ns0:c>
      <ns0:c r="K723" s="7" t="n">
        <ns0:v>25</ns0:v>
      </ns0:c>
      <ns0:c r="L723" s="7" t="n">
        <ns0:v>603</ns0:v>
      </ns0:c>
      <ns0:c r="M723" s="7" t="n">
        <ns0:v>-25796.39879149334</ns0:v>
      </ns0:c>
      <ns0:c r="N723" s="7" t="n">
        <ns0:v>13076.24829713001</ns0:v>
      </ns0:c>
      <ns0:c r="O723" s="7" t="n">
        <ns0:v>58134.37024608852</ns0:v>
      </ns0:c>
      <ns0:c r="P723" s="7" t="n">
        <ns0:v>170779.6751184848</ns0:v>
      </ns0:c>
      <ns0:c r="Q723" s="7" t="n">
        <ns0:v>579360.89460807</ns0:v>
      </ns0:c>
      <ns0:c r="R723" s="7" t="n">
        <ns0:v>2086395.162821619</ns0:v>
      </ns0:c>
    </ns0:row>
    <ns0:row r="724" ht="24" customHeight="1">
      <ns0:c r="A724" s="3" t="inlineStr">
        <ns0:is>
          <ns0:t>セット</ns0:t>
        </ns0:is>
      </ns0:c>
      <ns0:c r="B724" s="3" t="inlineStr">
        <ns0:is>
          <ns0:t>G2二段階</ns0:t>
        </ns0:is>
      </ns0:c>
      <ns0:c r="C724" s="3" t="inlineStr">
        <ns0:is>
          <ns0:t>D</ns0:t>
        </ns0:is>
      </ns0:c>
      <ns0:c r="D724" s="4" t="n">
        <ns0:v>1</ns0:v>
      </ns0:c>
      <ns0:c r="E724" s="4" t="n">
        <ns0:v>500</ns0:v>
      </ns0:c>
      <ns0:c r="F724" s="6" t="n">
        <ns0:v>0.5</ns0:v>
      </ns0:c>
      <ns0:c r="G724" s="4" t="n">
        <ns0:v>0</ns0:v>
      </ns0:c>
      <ns0:c r="H724" s="7" t="n">
        <ns0:v>7808.379888268155</ns0:v>
      </ns0:c>
      <ns0:c r="I724" s="7" t="n">
        <ns0:v>3763.128491620111</ns0:v>
      </ns0:c>
      <ns0:c r="J724" s="7" t="n">
        <ns0:v>1881.564245810056</ns0:v>
      </ns0:c>
      <ns0:c r="K724" s="7" t="n">
        <ns0:v>17</ns0:v>
      </ns0:c>
      <ns0:c r="L724" s="7" t="n">
        <ns0:v>25</ns0:v>
      </ns0:c>
      <ns0:c r="M724" s="7" t="n">
        <ns0:v>-15773.51427757664</ns0:v>
      </ns0:c>
      <ns0:c r="N724" s="7" t="n">
        <ns0:v>43144.90183888011</ns0:v>
      </ns0:c>
      <ns0:c r="O724" s="7" t="n">
        <ns0:v>108248.792815672</ns0:v>
      </ns0:c>
      <ns0:c r="P724" s="7" t="n">
        <ns0:v>271008.5202576518</ns0:v>
      </ns0:c>
      <ns0:c r="Q724" s="7" t="n">
        <ns0:v>880047.4300255709</ns0:v>
      </ns0:c>
      <ns0:c r="R724" s="7" t="n">
        <ns0:v>3088683.614213288</ns0:v>
      </ns0:c>
    </ns0:row>
    <ns0:row r="725" ht="24" customHeight="1">
      <ns0:c r="A725" s="3" t="inlineStr">
        <ns0:is>
          <ns0:t>セット</ns0:t>
        </ns0:is>
      </ns0:c>
      <ns0:c r="B725" s="3" t="inlineStr">
        <ns0:is>
          <ns0:t>G2二段階</ns0:t>
        </ns0:is>
      </ns0:c>
      <ns0:c r="C725" s="3" t="inlineStr">
        <ns0:is>
          <ns0:t>D</ns0:t>
        </ns0:is>
      </ns0:c>
      <ns0:c r="D725" s="4" t="n">
        <ns0:v>1</ns0:v>
      </ns0:c>
      <ns0:c r="E725" s="4" t="n">
        <ns0:v>500</ns0:v>
      </ns0:c>
      <ns0:c r="F725" s="6" t="n">
        <ns0:v>0.5</ns0:v>
      </ns0:c>
      <ns0:c r="G725" s="4" t="n">
        <ns0:v>1</ns0:v>
      </ns0:c>
      <ns0:c r="H725" s="7" t="n">
        <ns0:v>7808.379888268155</ns0:v>
      </ns0:c>
      <ns0:c r="I725" s="7" t="n">
        <ns0:v>3763.128491620111</ns0:v>
      </ns0:c>
      <ns0:c r="J725" s="7" t="n">
        <ns0:v>1881.564245810056</ns0:v>
      </ns0:c>
      <ns0:c r="K725" s="7" t="n">
        <ns0:v>20</ns0:v>
      </ns0:c>
      <ns0:c r="L725" s="7" t="n">
        <ns0:v>36</ns0:v>
      </ns0:c>
      <ns0:c r="M725" s="7" t="n">
        <ns0:v>-20097.02048258072</ns0:v>
      </ns0:c>
      <ns0:c r="N725" s="7" t="n">
        <ns0:v>30174.3832238679</ns0:v>
      </ns0:c>
      <ns0:c r="O725" s="7" t="n">
        <ns0:v>86631.26179065165</ns0:v>
      </ns0:c>
      <ns0:c r="P725" s="7" t="n">
        <ns0:v>227773.4582076111</ns0:v>
      </ns0:c>
      <ns0:c r="Q725" s="7" t="n">
        <ns0:v>750342.2438754488</ns0:v>
      </ns0:c>
      <ns0:c r="R725" s="7" t="n">
        <ns0:v>2656332.993712881</ns0:v>
      </ns0:c>
    </ns0:row>
    <ns0:row r="726" ht="24" customHeight="1">
      <ns0:c r="A726" s="3" t="inlineStr">
        <ns0:is>
          <ns0:t>セット</ns0:t>
        </ns0:is>
      </ns0:c>
      <ns0:c r="B726" s="3" t="inlineStr">
        <ns0:is>
          <ns0:t>G2二段階</ns0:t>
        </ns0:is>
      </ns0:c>
      <ns0:c r="C726" s="3" t="inlineStr">
        <ns0:is>
          <ns0:t>D</ns0:t>
        </ns0:is>
      </ns0:c>
      <ns0:c r="D726" s="4" t="n">
        <ns0:v>1</ns0:v>
      </ns0:c>
      <ns0:c r="E726" s="4" t="n">
        <ns0:v>500</ns0:v>
      </ns0:c>
      <ns0:c r="F726" s="6" t="n">
        <ns0:v>0.5</ns0:v>
      </ns0:c>
      <ns0:c r="G726" s="4" t="n">
        <ns0:v>2</ns0:v>
      </ns0:c>
      <ns0:c r="H726" s="7" t="n">
        <ns0:v>7808.379888268155</ns0:v>
      </ns0:c>
      <ns0:c r="I726" s="7" t="n">
        <ns0:v>3763.128491620111</ns0:v>
      </ns0:c>
      <ns0:c r="J726" s="7" t="n">
        <ns0:v>1881.564245810056</ns0:v>
      </ns0:c>
      <ns0:c r="K726" s="18" t="inlineStr">
        <ns0:is>
          <ns0:t>範囲内なし</ns0:t>
        </ns0:is>
      </ns0:c>
      <ns0:c r="L726" s="18" t="inlineStr">
        <ns0:is>
          <ns0:t>範囲内なし</ns0:t>
        </ns0:is>
      </ns0:c>
      <ns0:c r="M726" s="7" t="n">
        <ns0:v>-56680.72444615397</ns0:v>
      </ns0:c>
      <ns0:c r="N726" s="7" t="n">
        <ns0:v>-79576.72866685191</ns0:v>
      </ns0:c>
      <ns0:c r="O726" s="7" t="n">
        <ns0:v>-96287.25802721463</ns0:v>
      </ns0:c>
      <ns0:c r="P726" s="7" t="n">
        <ns0:v>-138063.5814281215</ns0:v>
      </ns0:c>
      <ns0:c r="Q726" s="7" t="n">
        <ns0:v>-347168.8750317489</ns0:v>
      </ns0:c>
      <ns0:c r="R726" s="7" t="n">
        <ns0:v>-1002037.402644444</ns0:v>
      </ns0:c>
    </ns0:row>
    <ns0:row r="727" ht="24" customHeight="1">
      <ns0:c r="A727" s="3" t="inlineStr">
        <ns0:is>
          <ns0:t>セット</ns0:t>
        </ns0:is>
      </ns0:c>
      <ns0:c r="B727" s="3" t="inlineStr">
        <ns0:is>
          <ns0:t>G2二段階</ns0:t>
        </ns0:is>
      </ns0:c>
      <ns0:c r="C727" s="3" t="inlineStr">
        <ns0:is>
          <ns0:t>D</ns0:t>
        </ns0:is>
      </ns0:c>
      <ns0:c r="D727" s="4" t="n">
        <ns0:v>1</ns0:v>
      </ns0:c>
      <ns0:c r="E727" s="4" t="n">
        <ns0:v>500</ns0:v>
      </ns0:c>
      <ns0:c r="F727" s="6" t="n">
        <ns0:v>0.5</ns0:v>
      </ns0:c>
      <ns0:c r="G727" s="4" t="n">
        <ns0:v>3</ns0:v>
      </ns0:c>
      <ns0:c r="H727" s="7" t="n">
        <ns0:v>7808.379888268155</ns0:v>
      </ns0:c>
      <ns0:c r="I727" s="7" t="n">
        <ns0:v>3763.128491620111</ns0:v>
      </ns0:c>
      <ns0:c r="J727" s="7" t="n">
        <ns0:v>1881.564245810056</ns0:v>
      </ns0:c>
      <ns0:c r="K727" s="7" t="n">
        <ns0:v>30</ns0:v>
      </ns0:c>
      <ns0:c r="L727" s="18" t="inlineStr">
        <ns0:is>
          <ns0:t>範囲内なし</ns0:t>
        </ns0:is>
      </ns0:c>
      <ns0:c r="M727" s="7" t="n">
        <ns0:v>-29559.52728311345</ns0:v>
      </ns0:c>
      <ns0:c r="N727" s="7" t="n">
        <ns0:v>1786.862822269701</ns0:v>
      </ns0:c>
      <ns0:c r="O727" s="7" t="n">
        <ns0:v>39318.72778798799</ns0:v>
      </ns0:c>
      <ns0:c r="P727" s="7" t="n">
        <ns0:v>133148.3902022838</ns0:v>
      </ns0:c>
      <ns0:c r="Q727" s="7" t="n">
        <ns0:v>466467.0398594668</ns0:v>
      </ns0:c>
      <ns0:c r="R727" s="7" t="n">
        <ns0:v>1710082.313659608</ns0:v>
      </ns0:c>
    </ns0:row>
    <ns0:row r="728" ht="24" customHeight="1">
      <ns0:c r="A728" s="3" t="inlineStr">
        <ns0:is>
          <ns0:t>セット</ns0:t>
        </ns0:is>
      </ns0:c>
      <ns0:c r="B728" s="3" t="inlineStr">
        <ns0:is>
          <ns0:t>G2二段階</ns0:t>
        </ns0:is>
      </ns0:c>
      <ns0:c r="C728" s="3" t="inlineStr">
        <ns0:is>
          <ns0:t>D</ns0:t>
        </ns0:is>
      </ns0:c>
      <ns0:c r="D728" s="4" t="n">
        <ns0:v>1</ns0:v>
      </ns0:c>
      <ns0:c r="E728" s="4" t="n">
        <ns0:v>1000</ns0:v>
      </ns0:c>
      <ns0:c r="F728" s="6" t="n">
        <ns0:v>0.3</ns0:v>
      </ns0:c>
      <ns0:c r="G728" s="4" t="n">
        <ns0:v>0</ns0:v>
      </ns0:c>
      <ns0:c r="H728" s="7" t="n">
        <ns0:v>7308.379888268155</ns0:v>
      </ns0:c>
      <ns0:c r="I728" s="7" t="n">
        <ns0:v>3263.128491620111</ns0:v>
      </ns0:c>
      <ns0:c r="J728" s="7" t="n">
        <ns0:v>978.9385474860334</ns0:v>
      </ns0:c>
      <ns0:c r="K728" s="7" t="n">
        <ns0:v>16</ns0:v>
      </ns0:c>
      <ns0:c r="L728" s="7" t="n">
        <ns0:v>23</ns0:v>
      </ns0:c>
      <ns0:c r="M728" s="7" t="n">
        <ns0:v>-11567.25729433642</ns0:v>
      </ns0:c>
      <ns0:c r="N728" s="7" t="n">
        <ns0:v>55763.67278860074</ns0:v>
      </ns0:c>
      <ns0:c r="O728" s="7" t="n">
        <ns0:v>129280.0777318731</ns0:v>
      </ns0:c>
      <ns0:c r="P728" s="7" t="n">
        <ns0:v>313071.0900900541</ns0:v>
      </ns0:c>
      <ns0:c r="Q728" s="7" t="n">
        <ns0:v>1006235.139522778</ns0:v>
      </ns0:c>
      <ns0:c r="R728" s="7" t="n">
        <ns0:v>3509309.312537311</ns0:v>
      </ns0:c>
    </ns0:row>
    <ns0:row r="729" ht="24" customHeight="1">
      <ns0:c r="A729" s="3" t="inlineStr">
        <ns0:is>
          <ns0:t>セット</ns0:t>
        </ns0:is>
      </ns0:c>
      <ns0:c r="B729" s="3" t="inlineStr">
        <ns0:is>
          <ns0:t>G2二段階</ns0:t>
        </ns0:is>
      </ns0:c>
      <ns0:c r="C729" s="3" t="inlineStr">
        <ns0:is>
          <ns0:t>D</ns0:t>
        </ns0:is>
      </ns0:c>
      <ns0:c r="D729" s="4" t="n">
        <ns0:v>1</ns0:v>
      </ns0:c>
      <ns0:c r="E729" s="4" t="n">
        <ns0:v>1000</ns0:v>
      </ns0:c>
      <ns0:c r="F729" s="6" t="n">
        <ns0:v>0.3</ns0:v>
      </ns0:c>
      <ns0:c r="G729" s="4" t="n">
        <ns0:v>1</ns0:v>
      </ns0:c>
      <ns0:c r="H729" s="7" t="n">
        <ns0:v>7308.379888268155</ns0:v>
      </ns0:c>
      <ns0:c r="I729" s="7" t="n">
        <ns0:v>3263.128491620111</ns0:v>
      </ns0:c>
      <ns0:c r="J729" s="7" t="n">
        <ns0:v>978.9385474860334</ns0:v>
      </ns0:c>
      <ns0:c r="K729" s="7" t="n">
        <ns0:v>17</ns0:v>
      </ns0:c>
      <ns0:c r="L729" s="7" t="n">
        <ns0:v>32</ns0:v>
      </ns0:c>
      <ns0:c r="M729" s="7" t="n">
        <ns0:v>-15890.76349934049</ns0:v>
      </ns0:c>
      <ns0:c r="N729" s="7" t="n">
        <ns0:v>42793.15417358854</ns0:v>
      </ns0:c>
      <ns0:c r="O729" s="7" t="n">
        <ns0:v>107662.5467068528</ns0:v>
      </ns0:c>
      <ns0:c r="P729" s="7" t="n">
        <ns0:v>269836.0280400134</ns0:v>
      </ns0:c>
      <ns0:c r="Q729" s="7" t="n">
        <ns0:v>876529.9533726554</ns0:v>
      </ns0:c>
      <ns0:c r="R729" s="7" t="n">
        <ns0:v>3076958.692036904</ns0:v>
      </ns0:c>
    </ns0:row>
    <ns0:row r="730" ht="24" customHeight="1">
      <ns0:c r="A730" s="3" t="inlineStr">
        <ns0:is>
          <ns0:t>セット</ns0:t>
        </ns0:is>
      </ns0:c>
      <ns0:c r="B730" s="3" t="inlineStr">
        <ns0:is>
          <ns0:t>G2二段階</ns0:t>
        </ns0:is>
      </ns0:c>
      <ns0:c r="C730" s="3" t="inlineStr">
        <ns0:is>
          <ns0:t>D</ns0:t>
        </ns0:is>
      </ns0:c>
      <ns0:c r="D730" s="4" t="n">
        <ns0:v>1</ns0:v>
      </ns0:c>
      <ns0:c r="E730" s="4" t="n">
        <ns0:v>1000</ns0:v>
      </ns0:c>
      <ns0:c r="F730" s="6" t="n">
        <ns0:v>0.3</ns0:v>
      </ns0:c>
      <ns0:c r="G730" s="4" t="n">
        <ns0:v>2</ns0:v>
      </ns0:c>
      <ns0:c r="H730" s="7" t="n">
        <ns0:v>7308.379888268155</ns0:v>
      </ns0:c>
      <ns0:c r="I730" s="7" t="n">
        <ns0:v>3263.128491620111</ns0:v>
      </ns0:c>
      <ns0:c r="J730" s="7" t="n">
        <ns0:v>978.9385474860334</ns0:v>
      </ns0:c>
      <ns0:c r="K730" s="18" t="inlineStr">
        <ns0:is>
          <ns0:t>範囲内なし</ns0:t>
        </ns0:is>
      </ns0:c>
      <ns0:c r="L730" s="18" t="inlineStr">
        <ns0:is>
          <ns0:t>範囲内なし</ns0:t>
        </ns0:is>
      </ns0:c>
      <ns0:c r="M730" s="7" t="n">
        <ns0:v>-52474.46746291374</ns0:v>
      </ns0:c>
      <ns0:c r="N730" s="7" t="n">
        <ns0:v>-66957.95771713127</ns0:v>
      </ns0:c>
      <ns0:c r="O730" s="7" t="n">
        <ns0:v>-75255.97311101349</ns0:v>
      </ns0:c>
      <ns0:c r="P730" s="7" t="n">
        <ns0:v>-96001.01159571917</ns0:v>
      </ns0:c>
      <ns0:c r="Q730" s="7" t="n">
        <ns0:v>-220981.1655345422</ns0:v>
      </ns0:c>
      <ns0:c r="R730" s="7" t="n">
        <ns0:v>-581411.7043204214</ns0:v>
      </ns0:c>
    </ns0:row>
    <ns0:row r="731" ht="24" customHeight="1">
      <ns0:c r="A731" s="3" t="inlineStr">
        <ns0:is>
          <ns0:t>セット</ns0:t>
        </ns0:is>
      </ns0:c>
      <ns0:c r="B731" s="3" t="inlineStr">
        <ns0:is>
          <ns0:t>G2二段階</ns0:t>
        </ns0:is>
      </ns0:c>
      <ns0:c r="C731" s="3" t="inlineStr">
        <ns0:is>
          <ns0:t>D</ns0:t>
        </ns0:is>
      </ns0:c>
      <ns0:c r="D731" s="4" t="n">
        <ns0:v>1</ns0:v>
      </ns0:c>
      <ns0:c r="E731" s="4" t="n">
        <ns0:v>1000</ns0:v>
      </ns0:c>
      <ns0:c r="F731" s="6" t="n">
        <ns0:v>0.3</ns0:v>
      </ns0:c>
      <ns0:c r="G731" s="4" t="n">
        <ns0:v>3</ns0:v>
      </ns0:c>
      <ns0:c r="H731" s="7" t="n">
        <ns0:v>7308.379888268155</ns0:v>
      </ns0:c>
      <ns0:c r="I731" s="7" t="n">
        <ns0:v>3263.128491620111</ns0:v>
      </ns0:c>
      <ns0:c r="J731" s="7" t="n">
        <ns0:v>978.9385474860334</ns0:v>
      </ns0:c>
      <ns0:c r="K731" s="7" t="n">
        <ns0:v>24</ns0:v>
      </ns0:c>
      <ns0:c r="L731" s="7" t="n">
        <ns0:v>549</ns0:v>
      </ns0:c>
      <ns0:c r="M731" s="7" t="n">
        <ns0:v>-25353.27029987322</ns0:v>
      </ns0:c>
      <ns0:c r="N731" s="7" t="n">
        <ns0:v>14405.63377199034</ns0:v>
      </ns0:c>
      <ns0:c r="O731" s="7" t="n">
        <ns0:v>60350.01270418912</ns0:v>
      </ns0:c>
      <ns0:c r="P731" s="7" t="n">
        <ns0:v>175210.960034686</ns0:v>
      </ns0:c>
      <ns0:c r="Q731" s="7" t="n">
        <ns0:v>592654.7493566736</ns0:v>
      </ns0:c>
      <ns0:c r="R731" s="7" t="n">
        <ns0:v>2130708.011983631</ns0:v>
      </ns0:c>
    </ns0:row>
    <ns0:row r="732" ht="24" customHeight="1">
      <ns0:c r="A732" s="3" t="inlineStr">
        <ns0:is>
          <ns0:t>セット</ns0:t>
        </ns0:is>
      </ns0:c>
      <ns0:c r="B732" s="3" t="inlineStr">
        <ns0:is>
          <ns0:t>G2二段階</ns0:t>
        </ns0:is>
      </ns0:c>
      <ns0:c r="C732" s="3" t="inlineStr">
        <ns0:is>
          <ns0:t>D</ns0:t>
        </ns0:is>
      </ns0:c>
      <ns0:c r="D732" s="4" t="n">
        <ns0:v>1</ns0:v>
      </ns0:c>
      <ns0:c r="E732" s="4" t="n">
        <ns0:v>1000</ns0:v>
      </ns0:c>
      <ns0:c r="F732" s="6" t="n">
        <ns0:v>0.4</ns0:v>
      </ns0:c>
      <ns0:c r="G732" s="4" t="n">
        <ns0:v>0</ns0:v>
      </ns0:c>
      <ns0:c r="H732" s="7" t="n">
        <ns0:v>7308.379888268155</ns0:v>
      </ns0:c>
      <ns0:c r="I732" s="7" t="n">
        <ns0:v>3263.128491620111</ns0:v>
      </ns0:c>
      <ns0:c r="J732" s="7" t="n">
        <ns0:v>1305.251396648045</ns0:v>
      </ns0:c>
      <ns0:c r="K732" s="7" t="n">
        <ns0:v>17</ns0:v>
      </ns0:c>
      <ns0:c r="L732" s="7" t="n">
        <ns0:v>25</ns0:v>
      </ns0:c>
      <ns0:c r="M732" s="7" t="n">
        <ns0:v>-14830.38578595653</ns0:v>
      </ns0:c>
      <ns0:c r="N732" s="7" t="n">
        <ns0:v>45974.28731374041</ns0:v>
      </ns0:c>
      <ns0:c r="O732" s="7" t="n">
        <ns0:v>112964.4352737726</ns0:v>
      </ns0:c>
      <ns0:c r="P732" s="7" t="n">
        <ns0:v>280439.8051738529</ns0:v>
      </ns0:c>
      <ns0:c r="Q732" s="7" t="n">
        <ns0:v>908341.2847741744</ns0:v>
      </ns0:c>
      <ns0:c r="R732" s="7" t="n">
        <ns0:v>3182996.4633753</ns0:v>
      </ns0:c>
    </ns0:row>
    <ns0:row r="733" ht="24" customHeight="1">
      <ns0:c r="A733" s="3" t="inlineStr">
        <ns0:is>
          <ns0:t>セット</ns0:t>
        </ns0:is>
      </ns0:c>
      <ns0:c r="B733" s="3" t="inlineStr">
        <ns0:is>
          <ns0:t>G2二段階</ns0:t>
        </ns0:is>
      </ns0:c>
      <ns0:c r="C733" s="3" t="inlineStr">
        <ns0:is>
          <ns0:t>D</ns0:t>
        </ns0:is>
      </ns0:c>
      <ns0:c r="D733" s="4" t="n">
        <ns0:v>1</ns0:v>
      </ns0:c>
      <ns0:c r="E733" s="4" t="n">
        <ns0:v>1000</ns0:v>
      </ns0:c>
      <ns0:c r="F733" s="6" t="n">
        <ns0:v>0.4</ns0:v>
      </ns0:c>
      <ns0:c r="G733" s="4" t="n">
        <ns0:v>1</ns0:v>
      </ns0:c>
      <ns0:c r="H733" s="7" t="n">
        <ns0:v>7308.379888268155</ns0:v>
      </ns0:c>
      <ns0:c r="I733" s="7" t="n">
        <ns0:v>3263.128491620111</ns0:v>
      </ns0:c>
      <ns0:c r="J733" s="7" t="n">
        <ns0:v>1305.251396648045</ns0:v>
      </ns0:c>
      <ns0:c r="K733" s="7" t="n">
        <ns0:v>19</ns0:v>
      </ns0:c>
      <ns0:c r="L733" s="7" t="n">
        <ns0:v>35</ns0:v>
      </ns0:c>
      <ns0:c r="M733" s="7" t="n">
        <ns0:v>-19153.8919909606</ns0:v>
      </ns0:c>
      <ns0:c r="N733" s="7" t="n">
        <ns0:v>33003.76869872819</ns0:v>
      </ns0:c>
      <ns0:c r="O733" s="7" t="n">
        <ns0:v>91346.90424875222</ns0:v>
      </ns0:c>
      <ns0:c r="P733" s="7" t="n">
        <ns0:v>237204.7431238122</ns0:v>
      </ns0:c>
      <ns0:c r="Q733" s="7" t="n">
        <ns0:v>778636.0986240522</ns0:v>
      </ns0:c>
      <ns0:c r="R733" s="7" t="n">
        <ns0:v>2750645.842874893</ns0:v>
      </ns0:c>
    </ns0:row>
    <ns0:row r="734" ht="24" customHeight="1">
      <ns0:c r="A734" s="3" t="inlineStr">
        <ns0:is>
          <ns0:t>セット</ns0:t>
        </ns0:is>
      </ns0:c>
      <ns0:c r="B734" s="3" t="inlineStr">
        <ns0:is>
          <ns0:t>G2二段階</ns0:t>
        </ns0:is>
      </ns0:c>
      <ns0:c r="C734" s="3" t="inlineStr">
        <ns0:is>
          <ns0:t>D</ns0:t>
        </ns0:is>
      </ns0:c>
      <ns0:c r="D734" s="4" t="n">
        <ns0:v>1</ns0:v>
      </ns0:c>
      <ns0:c r="E734" s="4" t="n">
        <ns0:v>1000</ns0:v>
      </ns0:c>
      <ns0:c r="F734" s="6" t="n">
        <ns0:v>0.4</ns0:v>
      </ns0:c>
      <ns0:c r="G734" s="4" t="n">
        <ns0:v>2</ns0:v>
      </ns0:c>
      <ns0:c r="H734" s="7" t="n">
        <ns0:v>7308.379888268155</ns0:v>
      </ns0:c>
      <ns0:c r="I734" s="7" t="n">
        <ns0:v>3263.128491620111</ns0:v>
      </ns0:c>
      <ns0:c r="J734" s="7" t="n">
        <ns0:v>1305.251396648045</ns0:v>
      </ns0:c>
      <ns0:c r="K734" s="18" t="inlineStr">
        <ns0:is>
          <ns0:t>範囲内なし</ns0:t>
        </ns0:is>
      </ns0:c>
      <ns0:c r="L734" s="18" t="inlineStr">
        <ns0:is>
          <ns0:t>範囲内なし</ns0:t>
        </ns0:is>
      </ns0:c>
      <ns0:c r="M734" s="7" t="n">
        <ns0:v>-55737.59595453386</ns0:v>
      </ns0:c>
      <ns0:c r="N734" s="7" t="n">
        <ns0:v>-76747.34319199159</ns0:v>
      </ns0:c>
      <ns0:c r="O734" s="7" t="n">
        <ns0:v>-91571.61556911406</ns0:v>
      </ns0:c>
      <ns0:c r="P734" s="7" t="n">
        <ns0:v>-128632.2965119203</ns0:v>
      </ns0:c>
      <ns0:c r="Q734" s="7" t="n">
        <ns0:v>-318875.0202831454</ns0:v>
      </ns0:c>
      <ns0:c r="R734" s="7" t="n">
        <ns0:v>-907724.5534824328</ns0:v>
      </ns0:c>
    </ns0:row>
    <ns0:row r="735" ht="24" customHeight="1">
      <ns0:c r="A735" s="3" t="inlineStr">
        <ns0:is>
          <ns0:t>セット</ns0:t>
        </ns0:is>
      </ns0:c>
      <ns0:c r="B735" s="3" t="inlineStr">
        <ns0:is>
          <ns0:t>G2二段階</ns0:t>
        </ns0:is>
      </ns0:c>
      <ns0:c r="C735" s="3" t="inlineStr">
        <ns0:is>
          <ns0:t>D</ns0:t>
        </ns0:is>
      </ns0:c>
      <ns0:c r="D735" s="4" t="n">
        <ns0:v>1</ns0:v>
      </ns0:c>
      <ns0:c r="E735" s="4" t="n">
        <ns0:v>1000</ns0:v>
      </ns0:c>
      <ns0:c r="F735" s="6" t="n">
        <ns0:v>0.4</ns0:v>
      </ns0:c>
      <ns0:c r="G735" s="4" t="n">
        <ns0:v>3</ns0:v>
      </ns0:c>
      <ns0:c r="H735" s="7" t="n">
        <ns0:v>7308.379888268155</ns0:v>
      </ns0:c>
      <ns0:c r="I735" s="7" t="n">
        <ns0:v>3263.128491620111</ns0:v>
      </ns0:c>
      <ns0:c r="J735" s="7" t="n">
        <ns0:v>1305.251396648045</ns0:v>
      </ns0:c>
      <ns0:c r="K735" s="7" t="n">
        <ns0:v>28</ns0:v>
      </ns0:c>
      <ns0:c r="L735" s="18" t="inlineStr">
        <ns0:is>
          <ns0:t>範囲内なし</ns0:t>
        </ns0:is>
      </ns0:c>
      <ns0:c r="M735" s="7" t="n">
        <ns0:v>-28616.39879149333</ns0:v>
      </ns0:c>
      <ns0:c r="N735" s="7" t="n">
        <ns0:v>4616.248297129991</ns0:v>
      </ns0:c>
      <ns0:c r="O735" s="7" t="n">
        <ns0:v>44034.37024608855</ns0:v>
      </ns0:c>
      <ns0:c r="P735" s="7" t="n">
        <ns0:v>142579.6751184849</ns0:v>
      </ns0:c>
      <ns0:c r="Q735" s="7" t="n">
        <ns0:v>494760.8946080703</ns0:v>
      </ns0:c>
      <ns0:c r="R735" s="7" t="n">
        <ns0:v>1804395.16282162</ns0:v>
      </ns0:c>
    </ns0:row>
    <ns0:row r="736" ht="24" customHeight="1">
      <ns0:c r="A736" s="3" t="inlineStr">
        <ns0:is>
          <ns0:t>セット</ns0:t>
        </ns0:is>
      </ns0:c>
      <ns0:c r="B736" s="3" t="inlineStr">
        <ns0:is>
          <ns0:t>G2二段階</ns0:t>
        </ns0:is>
      </ns0:c>
      <ns0:c r="C736" s="3" t="inlineStr">
        <ns0:is>
          <ns0:t>D</ns0:t>
        </ns0:is>
      </ns0:c>
      <ns0:c r="D736" s="4" t="n">
        <ns0:v>1</ns0:v>
      </ns0:c>
      <ns0:c r="E736" s="4" t="n">
        <ns0:v>1000</ns0:v>
      </ns0:c>
      <ns0:c r="F736" s="6" t="n">
        <ns0:v>0.5</ns0:v>
      </ns0:c>
      <ns0:c r="G736" s="4" t="n">
        <ns0:v>0</ns0:v>
      </ns0:c>
      <ns0:c r="H736" s="7" t="n">
        <ns0:v>7308.379888268155</ns0:v>
      </ns0:c>
      <ns0:c r="I736" s="7" t="n">
        <ns0:v>3263.128491620111</ns0:v>
      </ns0:c>
      <ns0:c r="J736" s="7" t="n">
        <ns0:v>1631.564245810056</ns0:v>
      </ns0:c>
      <ns0:c r="K736" s="7" t="n">
        <ns0:v>19</ns0:v>
      </ns0:c>
      <ns0:c r="L736" s="7" t="n">
        <ns0:v>26</ns0:v>
      </ns0:c>
      <ns0:c r="M736" s="7" t="n">
        <ns0:v>-18093.51427757664</ns0:v>
      </ns0:c>
      <ns0:c r="N736" s="7" t="n">
        <ns0:v>36184.90183888009</ns0:v>
      </ns0:c>
      <ns0:c r="O736" s="7" t="n">
        <ns0:v>96648.79281567206</ns0:v>
      </ns0:c>
      <ns0:c r="P736" s="7" t="n">
        <ns0:v>247808.5202576519</ns0:v>
      </ns0:c>
      <ns0:c r="Q736" s="7" t="n">
        <ns0:v>810447.4300255713</ns0:v>
      </ns0:c>
      <ns0:c r="R736" s="7" t="n">
        <ns0:v>2856683.614213288</ns0:v>
      </ns0:c>
    </ns0:row>
    <ns0:row r="737" ht="24" customHeight="1">
      <ns0:c r="A737" s="3" t="inlineStr">
        <ns0:is>
          <ns0:t>セット</ns0:t>
        </ns0:is>
      </ns0:c>
      <ns0:c r="B737" s="3" t="inlineStr">
        <ns0:is>
          <ns0:t>G2二段階</ns0:t>
        </ns0:is>
      </ns0:c>
      <ns0:c r="C737" s="3" t="inlineStr">
        <ns0:is>
          <ns0:t>D</ns0:t>
        </ns0:is>
      </ns0:c>
      <ns0:c r="D737" s="4" t="n">
        <ns0:v>1</ns0:v>
      </ns0:c>
      <ns0:c r="E737" s="4" t="n">
        <ns0:v>1000</ns0:v>
      </ns0:c>
      <ns0:c r="F737" s="6" t="n">
        <ns0:v>0.5</ns0:v>
      </ns0:c>
      <ns0:c r="G737" s="4" t="n">
        <ns0:v>1</ns0:v>
      </ns0:c>
      <ns0:c r="H737" s="7" t="n">
        <ns0:v>7308.379888268155</ns0:v>
      </ns0:c>
      <ns0:c r="I737" s="7" t="n">
        <ns0:v>3263.128491620111</ns0:v>
      </ns0:c>
      <ns0:c r="J737" s="7" t="n">
        <ns0:v>1631.564245810056</ns0:v>
      </ns0:c>
      <ns0:c r="K737" s="7" t="n">
        <ns0:v>22</ns0:v>
      </ns0:c>
      <ns0:c r="L737" s="7" t="n">
        <ns0:v>39</ns0:v>
      </ns0:c>
      <ns0:c r="M737" s="7" t="n">
        <ns0:v>-22417.02048258071</ns0:v>
      </ns0:c>
      <ns0:c r="N737" s="7" t="n">
        <ns0:v>23214.38322386788</ns0:v>
      </ns0:c>
      <ns0:c r="O737" s="7" t="n">
        <ns0:v>75031.26179065168</ns0:v>
      </ns0:c>
      <ns0:c r="P737" s="7" t="n">
        <ns0:v>204573.4582076112</ns0:v>
      </ns0:c>
      <ns0:c r="Q737" s="7" t="n">
        <ns0:v>680742.2438754491</ns0:v>
      </ns0:c>
      <ns0:c r="R737" s="7" t="n">
        <ns0:v>2424332.993712881</ns0:v>
      </ns0:c>
    </ns0:row>
    <ns0:row r="738" ht="24" customHeight="1">
      <ns0:c r="A738" s="3" t="inlineStr">
        <ns0:is>
          <ns0:t>セット</ns0:t>
        </ns0:is>
      </ns0:c>
      <ns0:c r="B738" s="3" t="inlineStr">
        <ns0:is>
          <ns0:t>G2二段階</ns0:t>
        </ns0:is>
      </ns0:c>
      <ns0:c r="C738" s="3" t="inlineStr">
        <ns0:is>
          <ns0:t>D</ns0:t>
        </ns0:is>
      </ns0:c>
      <ns0:c r="D738" s="4" t="n">
        <ns0:v>1</ns0:v>
      </ns0:c>
      <ns0:c r="E738" s="4" t="n">
        <ns0:v>1000</ns0:v>
      </ns0:c>
      <ns0:c r="F738" s="6" t="n">
        <ns0:v>0.5</ns0:v>
      </ns0:c>
      <ns0:c r="G738" s="4" t="n">
        <ns0:v>2</ns0:v>
      </ns0:c>
      <ns0:c r="H738" s="7" t="n">
        <ns0:v>7308.379888268155</ns0:v>
      </ns0:c>
      <ns0:c r="I738" s="7" t="n">
        <ns0:v>3263.128491620111</ns0:v>
      </ns0:c>
      <ns0:c r="J738" s="7" t="n">
        <ns0:v>1631.564245810056</ns0:v>
      </ns0:c>
      <ns0:c r="K738" s="18" t="inlineStr">
        <ns0:is>
          <ns0:t>範囲内なし</ns0:t>
        </ns0:is>
      </ns0:c>
      <ns0:c r="L738" s="18" t="inlineStr">
        <ns0:is>
          <ns0:t>範囲内なし</ns0:t>
        </ns0:is>
      </ns0:c>
      <ns0:c r="M738" s="7" t="n">
        <ns0:v>-59000.72444615397</ns0:v>
      </ns0:c>
      <ns0:c r="N738" s="7" t="n">
        <ns0:v>-86536.72866685191</ns0:v>
      </ns0:c>
      <ns0:c r="O738" s="7" t="n">
        <ns0:v>-107887.2580272146</ns0:v>
      </ns0:c>
      <ns0:c r="P738" s="7" t="n">
        <ns0:v>-161263.5814281214</ns0:v>
      </ns0:c>
      <ns0:c r="Q738" s="7" t="n">
        <ns0:v>-416768.8750317486</ns0:v>
      </ns0:c>
      <ns0:c r="R738" s="7" t="n">
        <ns0:v>-1234037.402644444</ns0:v>
      </ns0:c>
    </ns0:row>
    <ns0:row r="739" ht="24" customHeight="1">
      <ns0:c r="A739" s="3" t="inlineStr">
        <ns0:is>
          <ns0:t>セット</ns0:t>
        </ns0:is>
      </ns0:c>
      <ns0:c r="B739" s="3" t="inlineStr">
        <ns0:is>
          <ns0:t>G2二段階</ns0:t>
        </ns0:is>
      </ns0:c>
      <ns0:c r="C739" s="3" t="inlineStr">
        <ns0:is>
          <ns0:t>D</ns0:t>
        </ns0:is>
      </ns0:c>
      <ns0:c r="D739" s="4" t="n">
        <ns0:v>1</ns0:v>
      </ns0:c>
      <ns0:c r="E739" s="4" t="n">
        <ns0:v>1000</ns0:v>
      </ns0:c>
      <ns0:c r="F739" s="6" t="n">
        <ns0:v>0.5</ns0:v>
      </ns0:c>
      <ns0:c r="G739" s="4" t="n">
        <ns0:v>3</ns0:v>
      </ns0:c>
      <ns0:c r="H739" s="7" t="n">
        <ns0:v>7308.379888268155</ns0:v>
      </ns0:c>
      <ns0:c r="I739" s="7" t="n">
        <ns0:v>3263.128491620111</ns0:v>
      </ns0:c>
      <ns0:c r="J739" s="7" t="n">
        <ns0:v>1631.564245810056</ns0:v>
      </ns0:c>
      <ns0:c r="K739" s="7" t="n">
        <ns0:v>34</ns0:v>
      </ns0:c>
      <ns0:c r="L739" s="18" t="inlineStr">
        <ns0:is>
          <ns0:t>範囲内なし</ns0:t>
        </ns0:is>
      </ns0:c>
      <ns0:c r="M739" s="7" t="n">
        <ns0:v>-31879.52728311344</ns0:v>
      </ns0:c>
      <ns0:c r="N739" s="7" t="n">
        <ns0:v>-5173.137177730328</ns0:v>
      </ns0:c>
      <ns0:c r="O739" s="7" t="n">
        <ns0:v>27718.72778798802</ns0:v>
      </ns0:c>
      <ns0:c r="P739" s="7" t="n">
        <ns0:v>109948.3902022838</ns0:v>
      </ns0:c>
      <ns0:c r="Q739" s="7" t="n">
        <ns0:v>396867.0398594671</ns0:v>
      </ns0:c>
      <ns0:c r="R739" s="7" t="n">
        <ns0:v>1478082.313659608</ns0:v>
      </ns0:c>
    </ns0:row>
    <ns0:row r="740" ht="24" customHeight="1">
      <ns0:c r="A740" s="3" t="inlineStr">
        <ns0:is>
          <ns0:t>セット</ns0:t>
        </ns0:is>
      </ns0:c>
      <ns0:c r="B740" s="3" t="inlineStr">
        <ns0:is>
          <ns0:t>G2二段階</ns0:t>
        </ns0:is>
      </ns0:c>
      <ns0:c r="C740" s="3" t="inlineStr">
        <ns0:is>
          <ns0:t>D</ns0:t>
        </ns0:is>
      </ns0:c>
      <ns0:c r="D740" s="4" t="n">
        <ns0:v>1</ns0:v>
      </ns0:c>
      <ns0:c r="E740" s="4" t="n">
        <ns0:v>1500</ns0:v>
      </ns0:c>
      <ns0:c r="F740" s="6" t="n">
        <ns0:v>0.3</ns0:v>
      </ns0:c>
      <ns0:c r="G740" s="4" t="n">
        <ns0:v>0</ns0:v>
      </ns0:c>
      <ns0:c r="H740" s="7" t="n">
        <ns0:v>6808.379888268155</ns0:v>
      </ns0:c>
      <ns0:c r="I740" s="7" t="n">
        <ns0:v>2763.128491620112</ns0:v>
      </ns0:c>
      <ns0:c r="J740" s="7" t="n">
        <ns0:v>828.9385474860334</ns0:v>
      </ns0:c>
      <ns0:c r="K740" s="7" t="n">
        <ns0:v>17</ns0:v>
      </ns0:c>
      <ns0:c r="L740" s="7" t="n">
        <ns0:v>25</ns0:v>
      </ns0:c>
      <ns0:c r="M740" s="7" t="n">
        <ns0:v>-14887.25729433641</ns0:v>
      </ns0:c>
      <ns0:c r="N740" s="7" t="n">
        <ns0:v>45803.67278860079</ns0:v>
      </ns0:c>
      <ns0:c r="O740" s="7" t="n">
        <ns0:v>112680.0777318732</ns0:v>
      </ns0:c>
      <ns0:c r="P740" s="7" t="n">
        <ns0:v>279871.0900900541</ns0:v>
      </ns0:c>
      <ns0:c r="Q740" s="7" t="n">
        <ns0:v>906635.1395227776</ns0:v>
      </ns0:c>
      <ns0:c r="R740" s="7" t="n">
        <ns0:v>3177309.312537311</ns0:v>
      </ns0:c>
    </ns0:row>
    <ns0:row r="741" ht="24" customHeight="1">
      <ns0:c r="A741" s="3" t="inlineStr">
        <ns0:is>
          <ns0:t>セット</ns0:t>
        </ns0:is>
      </ns0:c>
      <ns0:c r="B741" s="3" t="inlineStr">
        <ns0:is>
          <ns0:t>G2二段階</ns0:t>
        </ns0:is>
      </ns0:c>
      <ns0:c r="C741" s="3" t="inlineStr">
        <ns0:is>
          <ns0:t>D</ns0:t>
        </ns0:is>
      </ns0:c>
      <ns0:c r="D741" s="4" t="n">
        <ns0:v>1</ns0:v>
      </ns0:c>
      <ns0:c r="E741" s="4" t="n">
        <ns0:v>1500</ns0:v>
      </ns0:c>
      <ns0:c r="F741" s="6" t="n">
        <ns0:v>0.3</ns0:v>
      </ns0:c>
      <ns0:c r="G741" s="4" t="n">
        <ns0:v>1</ns0:v>
      </ns0:c>
      <ns0:c r="H741" s="7" t="n">
        <ns0:v>6808.379888268155</ns0:v>
      </ns0:c>
      <ns0:c r="I741" s="7" t="n">
        <ns0:v>2763.128491620112</ns0:v>
      </ns0:c>
      <ns0:c r="J741" s="7" t="n">
        <ns0:v>828.9385474860334</ns0:v>
      </ns0:c>
      <ns0:c r="K741" s="7" t="n">
        <ns0:v>19</ns0:v>
      </ns0:c>
      <ns0:c r="L741" s="7" t="n">
        <ns0:v>35</ns0:v>
      </ns0:c>
      <ns0:c r="M741" s="7" t="n">
        <ns0:v>-19210.76349934049</ns0:v>
      </ns0:c>
      <ns0:c r="N741" s="7" t="n">
        <ns0:v>32833.15417358857</ns0:v>
      </ns0:c>
      <ns0:c r="O741" s="7" t="n">
        <ns0:v>91062.54670685279</ns0:v>
      </ns0:c>
      <ns0:c r="P741" s="7" t="n">
        <ns0:v>236636.0280400134</ns0:v>
      </ns0:c>
      <ns0:c r="Q741" s="7" t="n">
        <ns0:v>776929.9533726554</ns0:v>
      </ns0:c>
      <ns0:c r="R741" s="7" t="n">
        <ns0:v>2744958.692036904</ns0:v>
      </ns0:c>
    </ns0:row>
    <ns0:row r="742" ht="24" customHeight="1">
      <ns0:c r="A742" s="3" t="inlineStr">
        <ns0:is>
          <ns0:t>セット</ns0:t>
        </ns0:is>
      </ns0:c>
      <ns0:c r="B742" s="3" t="inlineStr">
        <ns0:is>
          <ns0:t>G2二段階</ns0:t>
        </ns0:is>
      </ns0:c>
      <ns0:c r="C742" s="3" t="inlineStr">
        <ns0:is>
          <ns0:t>D</ns0:t>
        </ns0:is>
      </ns0:c>
      <ns0:c r="D742" s="4" t="n">
        <ns0:v>1</ns0:v>
      </ns0:c>
      <ns0:c r="E742" s="4" t="n">
        <ns0:v>1500</ns0:v>
      </ns0:c>
      <ns0:c r="F742" s="6" t="n">
        <ns0:v>0.3</ns0:v>
      </ns0:c>
      <ns0:c r="G742" s="4" t="n">
        <ns0:v>2</ns0:v>
      </ns0:c>
      <ns0:c r="H742" s="7" t="n">
        <ns0:v>6808.379888268155</ns0:v>
      </ns0:c>
      <ns0:c r="I742" s="7" t="n">
        <ns0:v>2763.128491620112</ns0:v>
      </ns0:c>
      <ns0:c r="J742" s="7" t="n">
        <ns0:v>828.9385474860334</ns0:v>
      </ns0:c>
      <ns0:c r="K742" s="18" t="inlineStr">
        <ns0:is>
          <ns0:t>範囲内なし</ns0:t>
        </ns0:is>
      </ns0:c>
      <ns0:c r="L742" s="18" t="inlineStr">
        <ns0:is>
          <ns0:t>範囲内なし</ns0:t>
        </ns0:is>
      </ns0:c>
      <ns0:c r="M742" s="7" t="n">
        <ns0:v>-55794.46746291374</ns0:v>
      </ns0:c>
      <ns0:c r="N742" s="7" t="n">
        <ns0:v>-76917.95771713121</ns0:v>
      </ns0:c>
      <ns0:c r="O742" s="7" t="n">
        <ns0:v>-91855.97311101349</ns0:v>
      </ns0:c>
      <ns0:c r="P742" s="7" t="n">
        <ns0:v>-129201.0115957192</ns0:v>
      </ns0:c>
      <ns0:c r="Q742" s="7" t="n">
        <ns0:v>-320581.1655345422</ns0:v>
      </ns0:c>
      <ns0:c r="R742" s="7" t="n">
        <ns0:v>-913411.7043204219</ns0:v>
      </ns0:c>
    </ns0:row>
    <ns0:row r="743" ht="24" customHeight="1">
      <ns0:c r="A743" s="3" t="inlineStr">
        <ns0:is>
          <ns0:t>セット</ns0:t>
        </ns0:is>
      </ns0:c>
      <ns0:c r="B743" s="3" t="inlineStr">
        <ns0:is>
          <ns0:t>G2二段階</ns0:t>
        </ns0:is>
      </ns0:c>
      <ns0:c r="C743" s="3" t="inlineStr">
        <ns0:is>
          <ns0:t>D</ns0:t>
        </ns0:is>
      </ns0:c>
      <ns0:c r="D743" s="4" t="n">
        <ns0:v>1</ns0:v>
      </ns0:c>
      <ns0:c r="E743" s="4" t="n">
        <ns0:v>1500</ns0:v>
      </ns0:c>
      <ns0:c r="F743" s="6" t="n">
        <ns0:v>0.3</ns0:v>
      </ns0:c>
      <ns0:c r="G743" s="4" t="n">
        <ns0:v>3</ns0:v>
      </ns0:c>
      <ns0:c r="H743" s="7" t="n">
        <ns0:v>6808.379888268155</ns0:v>
      </ns0:c>
      <ns0:c r="I743" s="7" t="n">
        <ns0:v>2763.128491620112</ns0:v>
      </ns0:c>
      <ns0:c r="J743" s="7" t="n">
        <ns0:v>828.9385474860334</ns0:v>
      </ns0:c>
      <ns0:c r="K743" s="7" t="n">
        <ns0:v>28</ns0:v>
      </ns0:c>
      <ns0:c r="L743" s="18" t="inlineStr">
        <ns0:is>
          <ns0:t>範囲内なし</ns0:t>
        </ns0:is>
      </ns0:c>
      <ns0:c r="M743" s="7" t="n">
        <ns0:v>-28673.27029987322</ns0:v>
      </ns0:c>
      <ns0:c r="N743" s="7" t="n">
        <ns0:v>4445.633771990368</ns0:v>
      </ns0:c>
      <ns0:c r="O743" s="7" t="n">
        <ns0:v>43750.01270418913</ns0:v>
      </ns0:c>
      <ns0:c r="P743" s="7" t="n">
        <ns0:v>142010.9600346861</ns0:v>
      </ns0:c>
      <ns0:c r="Q743" s="7" t="n">
        <ns0:v>493054.7493566735</ns0:v>
      </ns0:c>
      <ns0:c r="R743" s="7" t="n">
        <ns0:v>1798708.01198363</ns0:v>
      </ns0:c>
    </ns0:row>
    <ns0:row r="744" ht="24" customHeight="1">
      <ns0:c r="A744" s="3" t="inlineStr">
        <ns0:is>
          <ns0:t>セット</ns0:t>
        </ns0:is>
      </ns0:c>
      <ns0:c r="B744" s="3" t="inlineStr">
        <ns0:is>
          <ns0:t>G2二段階</ns0:t>
        </ns0:is>
      </ns0:c>
      <ns0:c r="C744" s="3" t="inlineStr">
        <ns0:is>
          <ns0:t>D</ns0:t>
        </ns0:is>
      </ns0:c>
      <ns0:c r="D744" s="4" t="n">
        <ns0:v>1</ns0:v>
      </ns0:c>
      <ns0:c r="E744" s="4" t="n">
        <ns0:v>1500</ns0:v>
      </ns0:c>
      <ns0:c r="F744" s="6" t="n">
        <ns0:v>0.4</ns0:v>
      </ns0:c>
      <ns0:c r="G744" s="4" t="n">
        <ns0:v>0</ns0:v>
      </ns0:c>
      <ns0:c r="H744" s="7" t="n">
        <ns0:v>6808.379888268155</ns0:v>
      </ns0:c>
      <ns0:c r="I744" s="7" t="n">
        <ns0:v>2763.128491620112</ns0:v>
      </ns0:c>
      <ns0:c r="J744" s="7" t="n">
        <ns0:v>1105.251396648045</ns0:v>
      </ns0:c>
      <ns0:c r="K744" s="7" t="n">
        <ns0:v>18</ns0:v>
      </ns0:c>
      <ns0:c r="L744" s="7" t="n">
        <ns0:v>26</ns0:v>
      </ns0:c>
      <ns0:c r="M744" s="7" t="n">
        <ns0:v>-17650.38578595653</ns0:v>
      </ns0:c>
      <ns0:c r="N744" s="7" t="n">
        <ns0:v>37514.28731374042</ns0:v>
      </ns0:c>
      <ns0:c r="O744" s="7" t="n">
        <ns0:v>98864.43527377257</ns0:v>
      </ns0:c>
      <ns0:c r="P744" s="7" t="n">
        <ns0:v>252239.8051738529</ns0:v>
      </ns0:c>
      <ns0:c r="Q744" s="7" t="n">
        <ns0:v>823741.2847741743</ns0:v>
      </ns0:c>
      <ns0:c r="R744" s="7" t="n">
        <ns0:v>2900996.4633753</ns0:v>
      </ns0:c>
    </ns0:row>
    <ns0:row r="745" ht="24" customHeight="1">
      <ns0:c r="A745" s="3" t="inlineStr">
        <ns0:is>
          <ns0:t>セット</ns0:t>
        </ns0:is>
      </ns0:c>
      <ns0:c r="B745" s="3" t="inlineStr">
        <ns0:is>
          <ns0:t>G2二段階</ns0:t>
        </ns0:is>
      </ns0:c>
      <ns0:c r="C745" s="3" t="inlineStr">
        <ns0:is>
          <ns0:t>D</ns0:t>
        </ns0:is>
      </ns0:c>
      <ns0:c r="D745" s="4" t="n">
        <ns0:v>1</ns0:v>
      </ns0:c>
      <ns0:c r="E745" s="4" t="n">
        <ns0:v>1500</ns0:v>
      </ns0:c>
      <ns0:c r="F745" s="6" t="n">
        <ns0:v>0.4</ns0:v>
      </ns0:c>
      <ns0:c r="G745" s="4" t="n">
        <ns0:v>1</ns0:v>
      </ns0:c>
      <ns0:c r="H745" s="7" t="n">
        <ns0:v>6808.379888268155</ns0:v>
      </ns0:c>
      <ns0:c r="I745" s="7" t="n">
        <ns0:v>2763.128491620112</ns0:v>
      </ns0:c>
      <ns0:c r="J745" s="7" t="n">
        <ns0:v>1105.251396648045</ns0:v>
      </ns0:c>
      <ns0:c r="K745" s="7" t="n">
        <ns0:v>21</ns0:v>
      </ns0:c>
      <ns0:c r="L745" s="7" t="n">
        <ns0:v>38</ns0:v>
      </ns0:c>
      <ns0:c r="M745" s="7" t="n">
        <ns0:v>-21973.8919909606</ns0:v>
      </ns0:c>
      <ns0:c r="N745" s="7" t="n">
        <ns0:v>24543.76869872822</ns0:v>
      </ns0:c>
      <ns0:c r="O745" s="7" t="n">
        <ns0:v>77246.90424875222</ns0:v>
      </ns0:c>
      <ns0:c r="P745" s="7" t="n">
        <ns0:v>209004.7431238122</ns0:v>
      </ns0:c>
      <ns0:c r="Q745" s="7" t="n">
        <ns0:v>694036.0986240522</ns0:v>
      </ns0:c>
      <ns0:c r="R745" s="7" t="n">
        <ns0:v>2468645.842874893</ns0:v>
      </ns0:c>
    </ns0:row>
    <ns0:row r="746" ht="24" customHeight="1">
      <ns0:c r="A746" s="3" t="inlineStr">
        <ns0:is>
          <ns0:t>セット</ns0:t>
        </ns0:is>
      </ns0:c>
      <ns0:c r="B746" s="3" t="inlineStr">
        <ns0:is>
          <ns0:t>G2二段階</ns0:t>
        </ns0:is>
      </ns0:c>
      <ns0:c r="C746" s="3" t="inlineStr">
        <ns0:is>
          <ns0:t>D</ns0:t>
        </ns0:is>
      </ns0:c>
      <ns0:c r="D746" s="4" t="n">
        <ns0:v>1</ns0:v>
      </ns0:c>
      <ns0:c r="E746" s="4" t="n">
        <ns0:v>1500</ns0:v>
      </ns0:c>
      <ns0:c r="F746" s="6" t="n">
        <ns0:v>0.4</ns0:v>
      </ns0:c>
      <ns0:c r="G746" s="4" t="n">
        <ns0:v>2</ns0:v>
      </ns0:c>
      <ns0:c r="H746" s="7" t="n">
        <ns0:v>6808.379888268155</ns0:v>
      </ns0:c>
      <ns0:c r="I746" s="7" t="n">
        <ns0:v>2763.128491620112</ns0:v>
      </ns0:c>
      <ns0:c r="J746" s="7" t="n">
        <ns0:v>1105.251396648045</ns0:v>
      </ns0:c>
      <ns0:c r="K746" s="18" t="inlineStr">
        <ns0:is>
          <ns0:t>範囲内なし</ns0:t>
        </ns0:is>
      </ns0:c>
      <ns0:c r="L746" s="18" t="inlineStr">
        <ns0:is>
          <ns0:t>範囲内なし</ns0:t>
        </ns0:is>
      </ns0:c>
      <ns0:c r="M746" s="7" t="n">
        <ns0:v>-58557.59595453386</ns0:v>
      </ns0:c>
      <ns0:c r="N746" s="7" t="n">
        <ns0:v>-85207.34319199159</ns0:v>
      </ns0:c>
      <ns0:c r="O746" s="7" t="n">
        <ns0:v>-105671.6155691141</ns0:v>
      </ns0:c>
      <ns0:c r="P746" s="7" t="n">
        <ns0:v>-156832.2965119203</ns0:v>
      </ns0:c>
      <ns0:c r="Q746" s="7" t="n">
        <ns0:v>-403475.0202831455</ns0:v>
      </ns0:c>
      <ns0:c r="R746" s="7" t="n">
        <ns0:v>-1189724.553482433</ns0:v>
      </ns0:c>
    </ns0:row>
    <ns0:row r="747" ht="24" customHeight="1">
      <ns0:c r="A747" s="3" t="inlineStr">
        <ns0:is>
          <ns0:t>セット</ns0:t>
        </ns0:is>
      </ns0:c>
      <ns0:c r="B747" s="3" t="inlineStr">
        <ns0:is>
          <ns0:t>G2二段階</ns0:t>
        </ns0:is>
      </ns0:c>
      <ns0:c r="C747" s="3" t="inlineStr">
        <ns0:is>
          <ns0:t>D</ns0:t>
        </ns0:is>
      </ns0:c>
      <ns0:c r="D747" s="4" t="n">
        <ns0:v>1</ns0:v>
      </ns0:c>
      <ns0:c r="E747" s="4" t="n">
        <ns0:v>1500</ns0:v>
      </ns0:c>
      <ns0:c r="F747" s="6" t="n">
        <ns0:v>0.4</ns0:v>
      </ns0:c>
      <ns0:c r="G747" s="4" t="n">
        <ns0:v>3</ns0:v>
      </ns0:c>
      <ns0:c r="H747" s="7" t="n">
        <ns0:v>6808.379888268155</ns0:v>
      </ns0:c>
      <ns0:c r="I747" s="7" t="n">
        <ns0:v>2763.128491620112</ns0:v>
      </ns0:c>
      <ns0:c r="J747" s="7" t="n">
        <ns0:v>1105.251396648045</ns0:v>
      </ns0:c>
      <ns0:c r="K747" s="7" t="n">
        <ns0:v>33</ns0:v>
      </ns0:c>
      <ns0:c r="L747" s="18" t="inlineStr">
        <ns0:is>
          <ns0:t>範囲内なし</ns0:t>
        </ns0:is>
      </ns0:c>
      <ns0:c r="M747" s="7" t="n">
        <ns0:v>-31436.39879149333</ns0:v>
      </ns0:c>
      <ns0:c r="N747" s="7" t="n">
        <ns0:v>-3843.75170286998</ns0:v>
      </ns0:c>
      <ns0:c r="O747" s="7" t="n">
        <ns0:v>29934.37024608855</ns0:v>
      </ns0:c>
      <ns0:c r="P747" s="7" t="n">
        <ns0:v>114379.6751184849</ns0:v>
      </ns0:c>
      <ns0:c r="Q747" s="7" t="n">
        <ns0:v>410160.8946080702</ns0:v>
      </ns0:c>
      <ns0:c r="R747" s="7" t="n">
        <ns0:v>1522395.16282162</ns0:v>
      </ns0:c>
    </ns0:row>
    <ns0:row r="748" ht="24" customHeight="1">
      <ns0:c r="A748" s="3" t="inlineStr">
        <ns0:is>
          <ns0:t>セット</ns0:t>
        </ns0:is>
      </ns0:c>
      <ns0:c r="B748" s="3" t="inlineStr">
        <ns0:is>
          <ns0:t>G2二段階</ns0:t>
        </ns0:is>
      </ns0:c>
      <ns0:c r="C748" s="3" t="inlineStr">
        <ns0:is>
          <ns0:t>D</ns0:t>
        </ns0:is>
      </ns0:c>
      <ns0:c r="D748" s="4" t="n">
        <ns0:v>1</ns0:v>
      </ns0:c>
      <ns0:c r="E748" s="4" t="n">
        <ns0:v>1500</ns0:v>
      </ns0:c>
      <ns0:c r="F748" s="6" t="n">
        <ns0:v>0.5</ns0:v>
      </ns0:c>
      <ns0:c r="G748" s="4" t="n">
        <ns0:v>0</ns0:v>
      </ns0:c>
      <ns0:c r="H748" s="7" t="n">
        <ns0:v>6808.379888268155</ns0:v>
      </ns0:c>
      <ns0:c r="I748" s="7" t="n">
        <ns0:v>2763.128491620112</ns0:v>
      </ns0:c>
      <ns0:c r="J748" s="7" t="n">
        <ns0:v>1381.564245810056</ns0:v>
      </ns0:c>
      <ns0:c r="K748" s="7" t="n">
        <ns0:v>20</ns0:v>
      </ns0:c>
      <ns0:c r="L748" s="7" t="n">
        <ns0:v>28</ns0:v>
      </ns0:c>
      <ns0:c r="M748" s="7" t="n">
        <ns0:v>-20413.51427757664</ns0:v>
      </ns0:c>
      <ns0:c r="N748" s="7" t="n">
        <ns0:v>29224.90183888011</ns0:v>
      </ns0:c>
      <ns0:c r="O748" s="7" t="n">
        <ns0:v>85048.79281567203</ns0:v>
      </ns0:c>
      <ns0:c r="P748" s="7" t="n">
        <ns0:v>224608.5202576519</ns0:v>
      </ns0:c>
      <ns0:c r="Q748" s="7" t="n">
        <ns0:v>740847.4300255708</ns0:v>
      </ns0:c>
      <ns0:c r="R748" s="7" t="n">
        <ns0:v>2624683.614213289</ns0:v>
      </ns0:c>
    </ns0:row>
    <ns0:row r="749" ht="24" customHeight="1">
      <ns0:c r="A749" s="3" t="inlineStr">
        <ns0:is>
          <ns0:t>セット</ns0:t>
        </ns0:is>
      </ns0:c>
      <ns0:c r="B749" s="3" t="inlineStr">
        <ns0:is>
          <ns0:t>G2二段階</ns0:t>
        </ns0:is>
      </ns0:c>
      <ns0:c r="C749" s="3" t="inlineStr">
        <ns0:is>
          <ns0:t>D</ns0:t>
        </ns0:is>
      </ns0:c>
      <ns0:c r="D749" s="4" t="n">
        <ns0:v>1</ns0:v>
      </ns0:c>
      <ns0:c r="E749" s="4" t="n">
        <ns0:v>1500</ns0:v>
      </ns0:c>
      <ns0:c r="F749" s="6" t="n">
        <ns0:v>0.5</ns0:v>
      </ns0:c>
      <ns0:c r="G749" s="4" t="n">
        <ns0:v>1</ns0:v>
      </ns0:c>
      <ns0:c r="H749" s="7" t="n">
        <ns0:v>6808.379888268155</ns0:v>
      </ns0:c>
      <ns0:c r="I749" s="7" t="n">
        <ns0:v>2763.128491620112</ns0:v>
      </ns0:c>
      <ns0:c r="J749" s="7" t="n">
        <ns0:v>1381.564245810056</ns0:v>
      </ns0:c>
      <ns0:c r="K749" s="7" t="n">
        <ns0:v>24</ns0:v>
      </ns0:c>
      <ns0:c r="L749" s="7" t="n">
        <ns0:v>42</ns0:v>
      </ns0:c>
      <ns0:c r="M749" s="7" t="n">
        <ns0:v>-24737.02048258071</ns0:v>
      </ns0:c>
      <ns0:c r="N749" s="7" t="n">
        <ns0:v>16254.38322386789</ns0:v>
      </ns0:c>
      <ns0:c r="O749" s="7" t="n">
        <ns0:v>63431.26179065168</ns0:v>
      </ns0:c>
      <ns0:c r="P749" s="7" t="n">
        <ns0:v>181373.4582076111</ns0:v>
      </ns0:c>
      <ns0:c r="Q749" s="7" t="n">
        <ns0:v>611142.2438754486</ns0:v>
      </ns0:c>
      <ns0:c r="R749" s="7" t="n">
        <ns0:v>2192332.993712882</ns0:v>
      </ns0:c>
    </ns0:row>
    <ns0:row r="750" ht="24" customHeight="1">
      <ns0:c r="A750" s="3" t="inlineStr">
        <ns0:is>
          <ns0:t>セット</ns0:t>
        </ns0:is>
      </ns0:c>
      <ns0:c r="B750" s="3" t="inlineStr">
        <ns0:is>
          <ns0:t>G2二段階</ns0:t>
        </ns0:is>
      </ns0:c>
      <ns0:c r="C750" s="3" t="inlineStr">
        <ns0:is>
          <ns0:t>D</ns0:t>
        </ns0:is>
      </ns0:c>
      <ns0:c r="D750" s="4" t="n">
        <ns0:v>1</ns0:v>
      </ns0:c>
      <ns0:c r="E750" s="4" t="n">
        <ns0:v>1500</ns0:v>
      </ns0:c>
      <ns0:c r="F750" s="6" t="n">
        <ns0:v>0.5</ns0:v>
      </ns0:c>
      <ns0:c r="G750" s="4" t="n">
        <ns0:v>2</ns0:v>
      </ns0:c>
      <ns0:c r="H750" s="7" t="n">
        <ns0:v>6808.379888268155</ns0:v>
      </ns0:c>
      <ns0:c r="I750" s="7" t="n">
        <ns0:v>2763.128491620112</ns0:v>
      </ns0:c>
      <ns0:c r="J750" s="7" t="n">
        <ns0:v>1381.564245810056</ns0:v>
      </ns0:c>
      <ns0:c r="K750" s="18" t="inlineStr">
        <ns0:is>
          <ns0:t>範囲内なし</ns0:t>
        </ns0:is>
      </ns0:c>
      <ns0:c r="L750" s="18" t="inlineStr">
        <ns0:is>
          <ns0:t>範囲内なし</ns0:t>
        </ns0:is>
      </ns0:c>
      <ns0:c r="M750" s="7" t="n">
        <ns0:v>-61320.72444615397</ns0:v>
      </ns0:c>
      <ns0:c r="N750" s="7" t="n">
        <ns0:v>-93496.72866685191</ns0:v>
      </ns0:c>
      <ns0:c r="O750" s="7" t="n">
        <ns0:v>-119487.2580272146</ns0:v>
      </ns0:c>
      <ns0:c r="P750" s="7" t="n">
        <ns0:v>-184463.5814281215</ns0:v>
      </ns0:c>
      <ns0:c r="Q750" s="7" t="n">
        <ns0:v>-486368.875031749</ns0:v>
      </ns0:c>
      <ns0:c r="R750" s="7" t="n">
        <ns0:v>-1466037.402644444</ns0:v>
      </ns0:c>
    </ns0:row>
    <ns0:row r="751" ht="24" customHeight="1">
      <ns0:c r="A751" s="3" t="inlineStr">
        <ns0:is>
          <ns0:t>セット</ns0:t>
        </ns0:is>
      </ns0:c>
      <ns0:c r="B751" s="3" t="inlineStr">
        <ns0:is>
          <ns0:t>G2二段階</ns0:t>
        </ns0:is>
      </ns0:c>
      <ns0:c r="C751" s="3" t="inlineStr">
        <ns0:is>
          <ns0:t>D</ns0:t>
        </ns0:is>
      </ns0:c>
      <ns0:c r="D751" s="4" t="n">
        <ns0:v>1</ns0:v>
      </ns0:c>
      <ns0:c r="E751" s="4" t="n">
        <ns0:v>1500</ns0:v>
      </ns0:c>
      <ns0:c r="F751" s="6" t="n">
        <ns0:v>0.5</ns0:v>
      </ns0:c>
      <ns0:c r="G751" s="4" t="n">
        <ns0:v>3</ns0:v>
      </ns0:c>
      <ns0:c r="H751" s="7" t="n">
        <ns0:v>6808.379888268155</ns0:v>
      </ns0:c>
      <ns0:c r="I751" s="7" t="n">
        <ns0:v>2763.128491620112</ns0:v>
      </ns0:c>
      <ns0:c r="J751" s="7" t="n">
        <ns0:v>1381.564245810056</ns0:v>
      </ns0:c>
      <ns0:c r="K751" s="7" t="n">
        <ns0:v>39</ns0:v>
      </ns0:c>
      <ns0:c r="L751" s="18" t="inlineStr">
        <ns0:is>
          <ns0:t>範囲内なし</ns0:t>
        </ns0:is>
      </ns0:c>
      <ns0:c r="M751" s="7" t="n">
        <ns0:v>-34199.52728311344</ns0:v>
      </ns0:c>
      <ns0:c r="N751" s="7" t="n">
        <ns0:v>-12133.13717773031</ns0:v>
      </ns0:c>
      <ns0:c r="O751" s="7" t="n">
        <ns0:v>16118.72778798801</ns0:v>
      </ns0:c>
      <ns0:c r="P751" s="7" t="n">
        <ns0:v>86748.39020228383</ns0:v>
      </ns0:c>
      <ns0:c r="Q751" s="7" t="n">
        <ns0:v>327267.0398594667</ns0:v>
      </ns0:c>
      <ns0:c r="R751" s="7" t="n">
        <ns0:v>1246082.313659609</ns0:v>
      </ns0:c>
    </ns0:row>
    <ns0:row r="752" ht="24" customHeight="1">
      <ns0:c r="A752" s="3" t="inlineStr">
        <ns0:is>
          <ns0:t>セット</ns0:t>
        </ns0:is>
      </ns0:c>
      <ns0:c r="B752" s="3" t="inlineStr">
        <ns0:is>
          <ns0:t>G2二段階</ns0:t>
        </ns0:is>
      </ns0:c>
      <ns0:c r="C752" s="3" t="inlineStr">
        <ns0:is>
          <ns0:t>D</ns0:t>
        </ns0:is>
      </ns0:c>
      <ns0:c r="D752" s="4" t="n">
        <ns0:v>2</ns0:v>
      </ns0:c>
      <ns0:c r="E752" s="4" t="n">
        <ns0:v>500</ns0:v>
      </ns0:c>
      <ns0:c r="F752" s="6" t="n">
        <ns0:v>0.3</ns0:v>
      </ns0:c>
      <ns0:c r="G752" s="4" t="n">
        <ns0:v>0</ns0:v>
      </ns0:c>
      <ns0:c r="H752" s="7" t="n">
        <ns0:v>10970.15250544662</ns0:v>
      </ns0:c>
      <ns0:c r="I752" s="7" t="n">
        <ns0:v>4474.945533769063</ns0:v>
      </ns0:c>
      <ns0:c r="J752" s="7" t="n">
        <ns0:v>1342.483660130719</ns0:v>
      </ns0:c>
      <ns0:c r="K752" s="7" t="n">
        <ns0:v>8</ns0:v>
      </ns0:c>
      <ns0:c r="L752" s="7" t="n">
        <ns0:v>12</ns0:v>
      </ns0:c>
      <ns0:c r="M752" s="7" t="n">
        <ns0:v>19096.37694206351</ns0:v>
      </ns0:c>
      <ns0:c r="N752" s="7" t="n">
        <ns0:v>128481.5883141003</ns0:v>
      </ns0:c>
      <ns0:c r="O752" s="7" t="n">
        <ns0:v>250476.6036077056</ns0:v>
      </ns0:c>
      <ns0:c r="P752" s="7" t="n">
        <ns0:v>555464.1418417189</ns0:v>
      </ns0:c>
      <ns0:c r="Q752" s="7" t="n">
        <ns0:v>1733414.294777772</ns0:v>
      </ns0:c>
      <ns0:c r="R752" s="7" t="n">
        <ns0:v>5933239.830053961</ns0:v>
      </ns0:c>
    </ns0:row>
    <ns0:row r="753" ht="24" customHeight="1">
      <ns0:c r="A753" s="3" t="inlineStr">
        <ns0:is>
          <ns0:t>セット</ns0:t>
        </ns0:is>
      </ns0:c>
      <ns0:c r="B753" s="3" t="inlineStr">
        <ns0:is>
          <ns0:t>G2二段階</ns0:t>
        </ns0:is>
      </ns0:c>
      <ns0:c r="C753" s="3" t="inlineStr">
        <ns0:is>
          <ns0:t>D</ns0:t>
        </ns0:is>
      </ns0:c>
      <ns0:c r="D753" s="4" t="n">
        <ns0:v>2</ns0:v>
      </ns0:c>
      <ns0:c r="E753" s="4" t="n">
        <ns0:v>500</ns0:v>
      </ns0:c>
      <ns0:c r="F753" s="6" t="n">
        <ns0:v>0.3</ns0:v>
      </ns0:c>
      <ns0:c r="G753" s="4" t="n">
        <ns0:v>1</ns0:v>
      </ns0:c>
      <ns0:c r="H753" s="7" t="n">
        <ns0:v>10970.15250544662</ns0:v>
      </ns0:c>
      <ns0:c r="I753" s="7" t="n">
        <ns0:v>4474.945533769063</ns0:v>
      </ns0:c>
      <ns0:c r="J753" s="7" t="n">
        <ns0:v>1342.483660130719</ns0:v>
      </ns0:c>
      <ns0:c r="K753" s="7" t="n">
        <ns0:v>9</ns0:v>
      </ns0:c>
      <ns0:c r="L753" s="7" t="n">
        <ns0:v>14</ns0:v>
      </ns0:c>
      <ns0:c r="M753" s="7" t="n">
        <ns0:v>13707.9075497611</ns0:v>
      </ns0:c>
      <ns0:c r="N753" s="7" t="n">
        <ns0:v>112316.180137193</ns0:v>
      </ns0:c>
      <ns0:c r="O753" s="7" t="n">
        <ns0:v>223534.2566461936</ns0:v>
      </ns0:c>
      <ns0:c r="P753" s="7" t="n">
        <ns0:v>501579.4479186949</ns0:v>
      </ns0:c>
      <ns0:c r="Q753" s="7" t="n">
        <ns0:v>1571760.2130087</ns0:v>
      </ns0:c>
      <ns0:c r="R753" s="7" t="n">
        <ns0:v>5394392.89082372</ns0:v>
      </ns0:c>
    </ns0:row>
    <ns0:row r="754" ht="24" customHeight="1">
      <ns0:c r="A754" s="3" t="inlineStr">
        <ns0:is>
          <ns0:t>セット</ns0:t>
        </ns0:is>
      </ns0:c>
      <ns0:c r="B754" s="3" t="inlineStr">
        <ns0:is>
          <ns0:t>G2二段階</ns0:t>
        </ns0:is>
      </ns0:c>
      <ns0:c r="C754" s="3" t="inlineStr">
        <ns0:is>
          <ns0:t>D</ns0:t>
        </ns0:is>
      </ns0:c>
      <ns0:c r="D754" s="4" t="n">
        <ns0:v>2</ns0:v>
      </ns0:c>
      <ns0:c r="E754" s="4" t="n">
        <ns0:v>500</ns0:v>
      </ns0:c>
      <ns0:c r="F754" s="6" t="n">
        <ns0:v>0.3</ns0:v>
      </ns0:c>
      <ns0:c r="G754" s="4" t="n">
        <ns0:v>2</ns0:v>
      </ns0:c>
      <ns0:c r="H754" s="7" t="n">
        <ns0:v>10970.15250544662</ns0:v>
      </ns0:c>
      <ns0:c r="I754" s="7" t="n">
        <ns0:v>4474.945533769063</ns0:v>
      </ns0:c>
      <ns0:c r="J754" s="7" t="n">
        <ns0:v>1342.483660130719</ns0:v>
      </ns0:c>
      <ns0:c r="K754" s="18" t="inlineStr">
        <ns0:is>
          <ns0:t>範囲内なし</ns0:t>
        </ns0:is>
      </ns0:c>
      <ns0:c r="L754" s="18" t="inlineStr">
        <ns0:is>
          <ns0:t>範囲内なし</ns0:t>
        </ns0:is>
      </ns0:c>
      <ns0:c r="M754" s="7" t="n">
        <ns0:v>-53618.50139872677</ns0:v>
      </ns0:c>
      <ns0:c r="N754" s="7" t="n">
        <ns0:v>-89663.04670827062</ns0:v>
      </ns0:c>
      <ns0:c r="O754" s="7" t="n">
        <ns0:v>-113097.7880962459</ns0:v>
      </ns0:c>
      <ns0:c r="P754" s="7" t="n">
        <ns0:v>-171684.6415661839</ns0:v>
      </ns0:c>
      <ns0:c r="Q754" s="7" t="n">
        <ns0:v>-448032.0554459362</ns0:v>
      </ns0:c>
      <ns0:c r="R754" s="7" t="n">
        <ns0:v>-1338248.004025067</ns0:v>
      </ns0:c>
    </ns0:row>
    <ns0:row r="755" ht="24" customHeight="1">
      <ns0:c r="A755" s="3" t="inlineStr">
        <ns0:is>
          <ns0:t>セット</ns0:t>
        </ns0:is>
      </ns0:c>
      <ns0:c r="B755" s="3" t="inlineStr">
        <ns0:is>
          <ns0:t>G2二段階</ns0:t>
        </ns0:is>
      </ns0:c>
      <ns0:c r="C755" s="3" t="inlineStr">
        <ns0:is>
          <ns0:t>D</ns0:t>
        </ns0:is>
      </ns0:c>
      <ns0:c r="D755" s="4" t="n">
        <ns0:v>2</ns0:v>
      </ns0:c>
      <ns0:c r="E755" s="4" t="n">
        <ns0:v>500</ns0:v>
      </ns0:c>
      <ns0:c r="F755" s="6" t="n">
        <ns0:v>0.3</ns0:v>
      </ns0:c>
      <ns0:c r="G755" s="4" t="n">
        <ns0:v>3</ns0:v>
      </ns0:c>
      <ns0:c r="H755" s="7" t="n">
        <ns0:v>10970.15250544662</ns0:v>
      </ns0:c>
      <ns0:c r="I755" s="7" t="n">
        <ns0:v>4474.945533769063</ns0:v>
      </ns0:c>
      <ns0:c r="J755" s="7" t="n">
        <ns0:v>1342.483660130719</ns0:v>
      </ns0:c>
      <ns0:c r="K755" s="7" t="n">
        <ns0:v>13</ns0:v>
      </ns0:c>
      <ns0:c r="L755" s="7" t="n">
        <ns0:v>24</ns0:v>
      </ns0:c>
      <ns0:c r="M755" s="7" t="n">
        <ns0:v>2672.427030898933</ns0:v>
      </ns0:c>
      <ns0:c r="N755" s="7" t="n">
        <ns0:v>79209.73858060653</ns0:v>
      </ns0:c>
      <ns0:c r="O755" s="7" t="n">
        <ns0:v>168356.8540518827</ns0:v>
      </ns0:c>
      <ns0:c r="P755" s="7" t="n">
        <ns0:v>391224.6427300733</ns0:v>
      </ns0:c>
      <ns0:c r="Q755" s="7" t="n">
        <ns0:v>1240695.797442835</ns0:v>
      </ns0:c>
      <ns0:c r="R755" s="7" t="n">
        <ns0:v>4290844.838937504</ns0:v>
      </ns0:c>
    </ns0:row>
    <ns0:row r="756" ht="24" customHeight="1">
      <ns0:c r="A756" s="3" t="inlineStr">
        <ns0:is>
          <ns0:t>セット</ns0:t>
        </ns0:is>
      </ns0:c>
      <ns0:c r="B756" s="3" t="inlineStr">
        <ns0:is>
          <ns0:t>G2二段階</ns0:t>
        </ns0:is>
      </ns0:c>
      <ns0:c r="C756" s="3" t="inlineStr">
        <ns0:is>
          <ns0:t>D</ns0:t>
        </ns0:is>
      </ns0:c>
      <ns0:c r="D756" s="4" t="n">
        <ns0:v>2</ns0:v>
      </ns0:c>
      <ns0:c r="E756" s="4" t="n">
        <ns0:v>500</ns0:v>
      </ns0:c>
      <ns0:c r="F756" s="6" t="n">
        <ns0:v>0.4</ns0:v>
      </ns0:c>
      <ns0:c r="G756" s="4" t="n">
        <ns0:v>0</ns0:v>
      </ns0:c>
      <ns0:c r="H756" s="7" t="n">
        <ns0:v>10970.15250544662</ns0:v>
      </ns0:c>
      <ns0:c r="I756" s="7" t="n">
        <ns0:v>4474.945533769063</ns0:v>
      </ns0:c>
      <ns0:c r="J756" s="7" t="n">
        <ns0:v>1789.978213507625</ns0:v>
      </ns0:c>
      <ns0:c r="K756" s="7" t="n">
        <ns0:v>9</ns0:v>
      </ns0:c>
      <ns0:c r="L756" s="7" t="n">
        <ns0:v>12</ns0:v>
      </ns0:c>
      <ns0:c r="M756" s="7" t="n">
        <ns0:v>14621.43140829445</ns0:v>
      </ns0:c>
      <ns0:c r="N756" s="7" t="n">
        <ns0:v>115056.751712793</ns0:v>
      </ns0:c>
      <ns0:c r="O756" s="7" t="n">
        <ns0:v>228101.8759388602</ns0:v>
      </ns0:c>
      <ns0:c r="P756" s="7" t="n">
        <ns0:v>510714.6865040283</ns0:v>
      </ns0:c>
      <ns0:c r="Q756" s="7" t="n">
        <ns0:v>1599165.928764701</ns0:v>
      </ns0:c>
      <ns0:c r="R756" s="7" t="n">
        <ns0:v>5485745.276677055</ns0:v>
      </ns0:c>
    </ns0:row>
    <ns0:row r="757" ht="24" customHeight="1">
      <ns0:c r="A757" s="3" t="inlineStr">
        <ns0:is>
          <ns0:t>セット</ns0:t>
        </ns0:is>
      </ns0:c>
      <ns0:c r="B757" s="3" t="inlineStr">
        <ns0:is>
          <ns0:t>G2二段階</ns0:t>
        </ns0:is>
      </ns0:c>
      <ns0:c r="C757" s="3" t="inlineStr">
        <ns0:is>
          <ns0:t>D</ns0:t>
        </ns0:is>
      </ns0:c>
      <ns0:c r="D757" s="4" t="n">
        <ns0:v>2</ns0:v>
      </ns0:c>
      <ns0:c r="E757" s="4" t="n">
        <ns0:v>500</ns0:v>
      </ns0:c>
      <ns0:c r="F757" s="6" t="n">
        <ns0:v>0.4</ns0:v>
      </ns0:c>
      <ns0:c r="G757" s="4" t="n">
        <ns0:v>1</ns0:v>
      </ns0:c>
      <ns0:c r="H757" s="7" t="n">
        <ns0:v>10970.15250544662</ns0:v>
      </ns0:c>
      <ns0:c r="I757" s="7" t="n">
        <ns0:v>4474.945533769063</ns0:v>
      </ns0:c>
      <ns0:c r="J757" s="7" t="n">
        <ns0:v>1789.978213507625</ns0:v>
      </ns0:c>
      <ns0:c r="K757" s="7" t="n">
        <ns0:v>9</ns0:v>
      </ns0:c>
      <ns0:c r="L757" s="7" t="n">
        <ns0:v>15</ns0:v>
      </ns0:c>
      <ns0:c r="M757" s="7" t="n">
        <ns0:v>9232.962015992038</ns0:v>
      </ns0:c>
      <ns0:c r="N757" s="7" t="n">
        <ns0:v>98891.34353588583</ns0:v>
      </ns0:c>
      <ns0:c r="O757" s="7" t="n">
        <ns0:v>201159.5289773482</ns0:v>
      </ns0:c>
      <ns0:c r="P757" s="7" t="n">
        <ns0:v>456829.9925810043</ns0:v>
      </ns0:c>
      <ns0:c r="Q757" s="7" t="n">
        <ns0:v>1437511.846995628</ns0:v>
      </ns0:c>
      <ns0:c r="R757" s="7" t="n">
        <ns0:v>4946898.337446814</ns0:v>
      </ns0:c>
    </ns0:row>
    <ns0:row r="758" ht="24" customHeight="1">
      <ns0:c r="A758" s="3" t="inlineStr">
        <ns0:is>
          <ns0:t>セット</ns0:t>
        </ns0:is>
      </ns0:c>
      <ns0:c r="B758" s="3" t="inlineStr">
        <ns0:is>
          <ns0:t>G2二段階</ns0:t>
        </ns0:is>
      </ns0:c>
      <ns0:c r="C758" s="3" t="inlineStr">
        <ns0:is>
          <ns0:t>D</ns0:t>
        </ns0:is>
      </ns0:c>
      <ns0:c r="D758" s="4" t="n">
        <ns0:v>2</ns0:v>
      </ns0:c>
      <ns0:c r="E758" s="4" t="n">
        <ns0:v>500</ns0:v>
      </ns0:c>
      <ns0:c r="F758" s="6" t="n">
        <ns0:v>0.4</ns0:v>
      </ns0:c>
      <ns0:c r="G758" s="4" t="n">
        <ns0:v>2</ns0:v>
      </ns0:c>
      <ns0:c r="H758" s="7" t="n">
        <ns0:v>10970.15250544662</ns0:v>
      </ns0:c>
      <ns0:c r="I758" s="7" t="n">
        <ns0:v>4474.945533769063</ns0:v>
      </ns0:c>
      <ns0:c r="J758" s="7" t="n">
        <ns0:v>1789.978213507625</ns0:v>
      </ns0:c>
      <ns0:c r="K758" s="18" t="inlineStr">
        <ns0:is>
          <ns0:t>範囲内なし</ns0:t>
        </ns0:is>
      </ns0:c>
      <ns0:c r="L758" s="18" t="inlineStr">
        <ns0:is>
          <ns0:t>範囲内なし</ns0:t>
        </ns0:is>
      </ns0:c>
      <ns0:c r="M758" s="7" t="n">
        <ns0:v>-58093.44693249583</ns0:v>
      </ns0:c>
      <ns0:c r="N758" s="7" t="n">
        <ns0:v>-103087.8833095778</ns0:v>
      </ns0:c>
      <ns0:c r="O758" s="7" t="n">
        <ns0:v>-135472.5157650912</ns0:v>
      </ns0:c>
      <ns0:c r="P758" s="7" t="n">
        <ns0:v>-216434.0969038746</ns0:v>
      </ns0:c>
      <ns0:c r="Q758" s="7" t="n">
        <ns0:v>-582280.4214590079</ns0:v>
      </ns0:c>
      <ns0:c r="R758" s="7" t="n">
        <ns0:v>-1785742.557401974</ns0:v>
      </ns0:c>
    </ns0:row>
    <ns0:row r="759" ht="24" customHeight="1">
      <ns0:c r="A759" s="3" t="inlineStr">
        <ns0:is>
          <ns0:t>セット</ns0:t>
        </ns0:is>
      </ns0:c>
      <ns0:c r="B759" s="3" t="inlineStr">
        <ns0:is>
          <ns0:t>G2二段階</ns0:t>
        </ns0:is>
      </ns0:c>
      <ns0:c r="C759" s="3" t="inlineStr">
        <ns0:is>
          <ns0:t>D</ns0:t>
        </ns0:is>
      </ns0:c>
      <ns0:c r="D759" s="4" t="n">
        <ns0:v>2</ns0:v>
      </ns0:c>
      <ns0:c r="E759" s="4" t="n">
        <ns0:v>500</ns0:v>
      </ns0:c>
      <ns0:c r="F759" s="6" t="n">
        <ns0:v>0.4</ns0:v>
      </ns0:c>
      <ns0:c r="G759" s="4" t="n">
        <ns0:v>3</ns0:v>
      </ns0:c>
      <ns0:c r="H759" s="7" t="n">
        <ns0:v>10970.15250544662</ns0:v>
      </ns0:c>
      <ns0:c r="I759" s="7" t="n">
        <ns0:v>4474.945533769063</ns0:v>
      </ns0:c>
      <ns0:c r="J759" s="7" t="n">
        <ns0:v>1789.978213507625</ns0:v>
      </ns0:c>
      <ns0:c r="K759" s="7" t="n">
        <ns0:v>14</ns0:v>
      </ns0:c>
      <ns0:c r="L759" s="7" t="n">
        <ns0:v>27</ns0:v>
      </ns0:c>
      <ns0:c r="M759" s="7" t="n">
        <ns0:v>-1802.518502870127</ns0:v>
      </ns0:c>
      <ns0:c r="N759" s="7" t="n">
        <ns0:v>65784.90197929932</ns0:v>
      </ns0:c>
      <ns0:c r="O759" s="7" t="n">
        <ns0:v>145982.1263830374</ns0:v>
      </ns0:c>
      <ns0:c r="P759" s="7" t="n">
        <ns0:v>346475.1873923826</ns0:v>
      </ns0:c>
      <ns0:c r="Q759" s="7" t="n">
        <ns0:v>1106447.431429763</ns0:v>
      </ns0:c>
      <ns0:c r="R759" s="7" t="n">
        <ns0:v>3843350.285560599</ns0:v>
      </ns0:c>
    </ns0:row>
    <ns0:row r="760" ht="24" customHeight="1">
      <ns0:c r="A760" s="3" t="inlineStr">
        <ns0:is>
          <ns0:t>セット</ns0:t>
        </ns0:is>
      </ns0:c>
      <ns0:c r="B760" s="3" t="inlineStr">
        <ns0:is>
          <ns0:t>G2二段階</ns0:t>
        </ns0:is>
      </ns0:c>
      <ns0:c r="C760" s="3" t="inlineStr">
        <ns0:is>
          <ns0:t>D</ns0:t>
        </ns0:is>
      </ns0:c>
      <ns0:c r="D760" s="4" t="n">
        <ns0:v>2</ns0:v>
      </ns0:c>
      <ns0:c r="E760" s="4" t="n">
        <ns0:v>500</ns0:v>
      </ns0:c>
      <ns0:c r="F760" s="6" t="n">
        <ns0:v>0.5</ns0:v>
      </ns0:c>
      <ns0:c r="G760" s="4" t="n">
        <ns0:v>0</ns0:v>
      </ns0:c>
      <ns0:c r="H760" s="7" t="n">
        <ns0:v>10970.15250544662</ns0:v>
      </ns0:c>
      <ns0:c r="I760" s="7" t="n">
        <ns0:v>4474.945533769063</ns0:v>
      </ns0:c>
      <ns0:c r="J760" s="7" t="n">
        <ns0:v>2237.472766884532</ns0:v>
      </ns0:c>
      <ns0:c r="K760" s="7" t="n">
        <ns0:v>9</ns0:v>
      </ns0:c>
      <ns0:c r="L760" s="7" t="n">
        <ns0:v>13</ns0:v>
      </ns0:c>
      <ns0:c r="M760" s="7" t="n">
        <ns0:v>10146.48587452538</ns0:v>
      </ns0:c>
      <ns0:c r="N760" s="7" t="n">
        <ns0:v>101631.9151114859</ns0:v>
      </ns0:c>
      <ns0:c r="O760" s="7" t="n">
        <ns0:v>205727.148270015</ns0:v>
      </ns0:c>
      <ns0:c r="P760" s="7" t="n">
        <ns0:v>465965.2311663377</ns0:v>
      </ns0:c>
      <ns0:c r="Q760" s="7" t="n">
        <ns0:v>1464917.562751628</ns0:v>
      </ns0:c>
      <ns0:c r="R760" s="7" t="n">
        <ns0:v>5038250.723300149</ns0:v>
      </ns0:c>
    </ns0:row>
    <ns0:row r="761" ht="24" customHeight="1">
      <ns0:c r="A761" s="3" t="inlineStr">
        <ns0:is>
          <ns0:t>セット</ns0:t>
        </ns0:is>
      </ns0:c>
      <ns0:c r="B761" s="3" t="inlineStr">
        <ns0:is>
          <ns0:t>G2二段階</ns0:t>
        </ns0:is>
      </ns0:c>
      <ns0:c r="C761" s="3" t="inlineStr">
        <ns0:is>
          <ns0:t>D</ns0:t>
        </ns0:is>
      </ns0:c>
      <ns0:c r="D761" s="4" t="n">
        <ns0:v>2</ns0:v>
      </ns0:c>
      <ns0:c r="E761" s="4" t="n">
        <ns0:v>500</ns0:v>
      </ns0:c>
      <ns0:c r="F761" s="6" t="n">
        <ns0:v>0.5</ns0:v>
      </ns0:c>
      <ns0:c r="G761" s="4" t="n">
        <ns0:v>1</ns0:v>
      </ns0:c>
      <ns0:c r="H761" s="7" t="n">
        <ns0:v>10970.15250544662</ns0:v>
      </ns0:c>
      <ns0:c r="I761" s="7" t="n">
        <ns0:v>4474.945533769063</ns0:v>
      </ns0:c>
      <ns0:c r="J761" s="7" t="n">
        <ns0:v>2237.472766884532</ns0:v>
      </ns0:c>
      <ns0:c r="K761" s="7" t="n">
        <ns0:v>12</ns0:v>
      </ns0:c>
      <ns0:c r="L761" s="7" t="n">
        <ns0:v>16</ns0:v>
      </ns0:c>
      <ns0:c r="M761" s="7" t="n">
        <ns0:v>4758.016482222967</ns0:v>
      </ns0:c>
      <ns0:c r="N761" s="7" t="n">
        <ns0:v>85466.50693457865</ns0:v>
      </ns0:c>
      <ns0:c r="O761" s="7" t="n">
        <ns0:v>178784.801308503</ns0:v>
      </ns0:c>
      <ns0:c r="P761" s="7" t="n">
        <ns0:v>412080.5372433137</ns0:v>
      </ns0:c>
      <ns0:c r="Q761" s="7" t="n">
        <ns0:v>1303263.480982556</ns0:v>
      </ns0:c>
      <ns0:c r="R761" s="7" t="n">
        <ns0:v>4499403.784069908</ns0:v>
      </ns0:c>
    </ns0:row>
    <ns0:row r="762" ht="24" customHeight="1">
      <ns0:c r="A762" s="3" t="inlineStr">
        <ns0:is>
          <ns0:t>セット</ns0:t>
        </ns0:is>
      </ns0:c>
      <ns0:c r="B762" s="3" t="inlineStr">
        <ns0:is>
          <ns0:t>G2二段階</ns0:t>
        </ns0:is>
      </ns0:c>
      <ns0:c r="C762" s="3" t="inlineStr">
        <ns0:is>
          <ns0:t>D</ns0:t>
        </ns0:is>
      </ns0:c>
      <ns0:c r="D762" s="4" t="n">
        <ns0:v>2</ns0:v>
      </ns0:c>
      <ns0:c r="E762" s="4" t="n">
        <ns0:v>500</ns0:v>
      </ns0:c>
      <ns0:c r="F762" s="6" t="n">
        <ns0:v>0.5</ns0:v>
      </ns0:c>
      <ns0:c r="G762" s="4" t="n">
        <ns0:v>2</ns0:v>
      </ns0:c>
      <ns0:c r="H762" s="7" t="n">
        <ns0:v>10970.15250544662</ns0:v>
      </ns0:c>
      <ns0:c r="I762" s="7" t="n">
        <ns0:v>4474.945533769063</ns0:v>
      </ns0:c>
      <ns0:c r="J762" s="7" t="n">
        <ns0:v>2237.472766884532</ns0:v>
      </ns0:c>
      <ns0:c r="K762" s="18" t="inlineStr">
        <ns0:is>
          <ns0:t>範囲内なし</ns0:t>
        </ns0:is>
      </ns0:c>
      <ns0:c r="L762" s="18" t="inlineStr">
        <ns0:is>
          <ns0:t>範囲内なし</ns0:t>
        </ns0:is>
      </ns0:c>
      <ns0:c r="M762" s="7" t="n">
        <ns0:v>-62568.39246626492</ns0:v>
      </ns0:c>
      <ns0:c r="N762" s="7" t="n">
        <ns0:v>-116512.719910885</ns0:v>
      </ns0:c>
      <ns0:c r="O762" s="7" t="n">
        <ns0:v>-157847.2434339364</ns0:v>
      </ns0:c>
      <ns0:c r="P762" s="7" t="n">
        <ns0:v>-261183.552241565</ns0:v>
      </ns0:c>
      <ns0:c r="Q762" s="7" t="n">
        <ns0:v>-716528.7874720801</ns0:v>
      </ns0:c>
      <ns0:c r="R762" s="7" t="n">
        <ns0:v>-2233237.110778879</ns0:v>
      </ns0:c>
    </ns0:row>
    <ns0:row r="763" ht="24" customHeight="1">
      <ns0:c r="A763" s="3" t="inlineStr">
        <ns0:is>
          <ns0:t>セット</ns0:t>
        </ns0:is>
      </ns0:c>
      <ns0:c r="B763" s="3" t="inlineStr">
        <ns0:is>
          <ns0:t>G2二段階</ns0:t>
        </ns0:is>
      </ns0:c>
      <ns0:c r="C763" s="3" t="inlineStr">
        <ns0:is>
          <ns0:t>D</ns0:t>
        </ns0:is>
      </ns0:c>
      <ns0:c r="D763" s="4" t="n">
        <ns0:v>2</ns0:v>
      </ns0:c>
      <ns0:c r="E763" s="4" t="n">
        <ns0:v>500</ns0:v>
      </ns0:c>
      <ns0:c r="F763" s="6" t="n">
        <ns0:v>0.5</ns0:v>
      </ns0:c>
      <ns0:c r="G763" s="4" t="n">
        <ns0:v>3</ns0:v>
      </ns0:c>
      <ns0:c r="H763" s="7" t="n">
        <ns0:v>10970.15250544662</ns0:v>
      </ns0:c>
      <ns0:c r="I763" s="7" t="n">
        <ns0:v>4474.945533769063</ns0:v>
      </ns0:c>
      <ns0:c r="J763" s="7" t="n">
        <ns0:v>2237.472766884532</ns0:v>
      </ns0:c>
      <ns0:c r="K763" s="7" t="n">
        <ns0:v>16</ns0:v>
      </ns0:c>
      <ns0:c r="L763" s="7" t="n">
        <ns0:v>31</ns0:v>
      </ns0:c>
      <ns0:c r="M763" s="7" t="n">
        <ns0:v>-6277.464036639194</ns0:v>
      </ns0:c>
      <ns0:c r="N763" s="7" t="n">
        <ns0:v>52360.06537799215</ns0:v>
      </ns0:c>
      <ns0:c r="O763" s="7" t="n">
        <ns0:v>123607.3987141921</ns0:v>
      </ns0:c>
      <ns0:c r="P763" s="7" t="n">
        <ns0:v>301725.7320546921</ns0:v>
      </ns0:c>
      <ns0:c r="Q763" s="7" t="n">
        <ns0:v>972199.0654166911</ns0:v>
      </ns0:c>
      <ns0:c r="R763" s="7" t="n">
        <ns0:v>3395855.732183692</ns0:v>
      </ns0:c>
    </ns0:row>
    <ns0:row r="764" ht="24" customHeight="1">
      <ns0:c r="A764" s="3" t="inlineStr">
        <ns0:is>
          <ns0:t>セット</ns0:t>
        </ns0:is>
      </ns0:c>
      <ns0:c r="B764" s="3" t="inlineStr">
        <ns0:is>
          <ns0:t>G2二段階</ns0:t>
        </ns0:is>
      </ns0:c>
      <ns0:c r="C764" s="3" t="inlineStr">
        <ns0:is>
          <ns0:t>D</ns0:t>
        </ns0:is>
      </ns0:c>
      <ns0:c r="D764" s="4" t="n">
        <ns0:v>2</ns0:v>
      </ns0:c>
      <ns0:c r="E764" s="4" t="n">
        <ns0:v>1000</ns0:v>
      </ns0:c>
      <ns0:c r="F764" s="6" t="n">
        <ns0:v>0.3</ns0:v>
      </ns0:c>
      <ns0:c r="G764" s="4" t="n">
        <ns0:v>0</ns0:v>
      </ns0:c>
      <ns0:c r="H764" s="7" t="n">
        <ns0:v>10470.15250544662</ns0:v>
      </ns0:c>
      <ns0:c r="I764" s="7" t="n">
        <ns0:v>3974.945533769062</ns0:v>
      </ns0:c>
      <ns0:c r="J764" s="7" t="n">
        <ns0:v>1192.483660130719</ns0:v>
      </ns0:c>
      <ns0:c r="K764" s="7" t="n">
        <ns0:v>8</ns0:v>
      </ns0:c>
      <ns0:c r="L764" s="7" t="n">
        <ns0:v>12</ns0:v>
      </ns0:c>
      <ns0:c r="M764" s="7" t="n">
        <ns0:v>15776.37694206351</ns0:v>
      </ns0:c>
      <ns0:c r="N764" s="7" t="n">
        <ns0:v>118521.5883141003</ns0:v>
      </ns0:c>
      <ns0:c r="O764" s="7" t="n">
        <ns0:v>233876.6036077056</ns0:v>
      </ns0:c>
      <ns0:c r="P764" s="7" t="n">
        <ns0:v>522264.1418417189</ns0:v>
      </ns0:c>
      <ns0:c r="Q764" s="7" t="n">
        <ns0:v>1633814.294777773</ns0:v>
      </ns0:c>
      <ns0:c r="R764" s="7" t="n">
        <ns0:v>5601239.83005396</ns0:v>
      </ns0:c>
    </ns0:row>
    <ns0:row r="765" ht="24" customHeight="1">
      <ns0:c r="A765" s="3" t="inlineStr">
        <ns0:is>
          <ns0:t>セット</ns0:t>
        </ns0:is>
      </ns0:c>
      <ns0:c r="B765" s="3" t="inlineStr">
        <ns0:is>
          <ns0:t>G2二段階</ns0:t>
        </ns0:is>
      </ns0:c>
      <ns0:c r="C765" s="3" t="inlineStr">
        <ns0:is>
          <ns0:t>D</ns0:t>
        </ns0:is>
      </ns0:c>
      <ns0:c r="D765" s="4" t="n">
        <ns0:v>2</ns0:v>
      </ns0:c>
      <ns0:c r="E765" s="4" t="n">
        <ns0:v>1000</ns0:v>
      </ns0:c>
      <ns0:c r="F765" s="6" t="n">
        <ns0:v>0.3</ns0:v>
      </ns0:c>
      <ns0:c r="G765" s="4" t="n">
        <ns0:v>1</ns0:v>
      </ns0:c>
      <ns0:c r="H765" s="7" t="n">
        <ns0:v>10470.15250544662</ns0:v>
      </ns0:c>
      <ns0:c r="I765" s="7" t="n">
        <ns0:v>3974.945533769062</ns0:v>
      </ns0:c>
      <ns0:c r="J765" s="7" t="n">
        <ns0:v>1192.483660130719</ns0:v>
      </ns0:c>
      <ns0:c r="K765" s="7" t="n">
        <ns0:v>9</ns0:v>
      </ns0:c>
      <ns0:c r="L765" s="7" t="n">
        <ns0:v>15</ns0:v>
      </ns0:c>
      <ns0:c r="M765" s="7" t="n">
        <ns0:v>10387.9075497611</ns0:v>
      </ns0:c>
      <ns0:c r="N765" s="7" t="n">
        <ns0:v>102356.180137193</ns0:v>
      </ns0:c>
      <ns0:c r="O765" s="7" t="n">
        <ns0:v>206934.2566461935</ns0:v>
      </ns0:c>
      <ns0:c r="P765" s="7" t="n">
        <ns0:v>468379.4479186948</ns0:v>
      </ns0:c>
      <ns0:c r="Q765" s="7" t="n">
        <ns0:v>1472160.2130087</ns0:v>
      </ns0:c>
      <ns0:c r="R765" s="7" t="n">
        <ns0:v>5062392.890823719</ns0:v>
      </ns0:c>
    </ns0:row>
    <ns0:row r="766" ht="24" customHeight="1">
      <ns0:c r="A766" s="3" t="inlineStr">
        <ns0:is>
          <ns0:t>セット</ns0:t>
        </ns0:is>
      </ns0:c>
      <ns0:c r="B766" s="3" t="inlineStr">
        <ns0:is>
          <ns0:t>G2二段階</ns0:t>
        </ns0:is>
      </ns0:c>
      <ns0:c r="C766" s="3" t="inlineStr">
        <ns0:is>
          <ns0:t>D</ns0:t>
        </ns0:is>
      </ns0:c>
      <ns0:c r="D766" s="4" t="n">
        <ns0:v>2</ns0:v>
      </ns0:c>
      <ns0:c r="E766" s="4" t="n">
        <ns0:v>1000</ns0:v>
      </ns0:c>
      <ns0:c r="F766" s="6" t="n">
        <ns0:v>0.3</ns0:v>
      </ns0:c>
      <ns0:c r="G766" s="4" t="n">
        <ns0:v>2</ns0:v>
      </ns0:c>
      <ns0:c r="H766" s="7" t="n">
        <ns0:v>10470.15250544662</ns0:v>
      </ns0:c>
      <ns0:c r="I766" s="7" t="n">
        <ns0:v>3974.945533769062</ns0:v>
      </ns0:c>
      <ns0:c r="J766" s="7" t="n">
        <ns0:v>1192.483660130719</ns0:v>
      </ns0:c>
      <ns0:c r="K766" s="18" t="inlineStr">
        <ns0:is>
          <ns0:t>範囲内なし</ns0:t>
        </ns0:is>
      </ns0:c>
      <ns0:c r="L766" s="18" t="inlineStr">
        <ns0:is>
          <ns0:t>範囲内なし</ns0:t>
        </ns0:is>
      </ns0:c>
      <ns0:c r="M766" s="7" t="n">
        <ns0:v>-56938.50139872678</ns0:v>
      </ns0:c>
      <ns0:c r="N766" s="7" t="n">
        <ns0:v>-99623.04670827062</ns0:v>
      </ns0:c>
      <ns0:c r="O766" s="7" t="n">
        <ns0:v>-129697.7880962459</ns0:v>
      </ns0:c>
      <ns0:c r="P766" s="7" t="n">
        <ns0:v>-204884.6415661839</ns0:v>
      </ns0:c>
      <ns0:c r="Q766" s="7" t="n">
        <ns0:v>-547632.0554459359</ns0:v>
      </ns0:c>
      <ns0:c r="R766" s="7" t="n">
        <ns0:v>-1670248.004025068</ns0:v>
      </ns0:c>
    </ns0:row>
    <ns0:row r="767" ht="24" customHeight="1">
      <ns0:c r="A767" s="3" t="inlineStr">
        <ns0:is>
          <ns0:t>セット</ns0:t>
        </ns0:is>
      </ns0:c>
      <ns0:c r="B767" s="3" t="inlineStr">
        <ns0:is>
          <ns0:t>G2二段階</ns0:t>
        </ns0:is>
      </ns0:c>
      <ns0:c r="C767" s="3" t="inlineStr">
        <ns0:is>
          <ns0:t>D</ns0:t>
        </ns0:is>
      </ns0:c>
      <ns0:c r="D767" s="4" t="n">
        <ns0:v>2</ns0:v>
      </ns0:c>
      <ns0:c r="E767" s="4" t="n">
        <ns0:v>1000</ns0:v>
      </ns0:c>
      <ns0:c r="F767" s="6" t="n">
        <ns0:v>0.3</ns0:v>
      </ns0:c>
      <ns0:c r="G767" s="4" t="n">
        <ns0:v>3</ns0:v>
      </ns0:c>
      <ns0:c r="H767" s="7" t="n">
        <ns0:v>10470.15250544662</ns0:v>
      </ns0:c>
      <ns0:c r="I767" s="7" t="n">
        <ns0:v>3974.945533769062</ns0:v>
      </ns0:c>
      <ns0:c r="J767" s="7" t="n">
        <ns0:v>1192.483660130719</ns0:v>
      </ns0:c>
      <ns0:c r="K767" s="7" t="n">
        <ns0:v>14</ns0:v>
      </ns0:c>
      <ns0:c r="L767" s="7" t="n">
        <ns0:v>26</ns0:v>
      </ns0:c>
      <ns0:c r="M767" s="7" t="n">
        <ns0:v>-647.5729691010674</ns0:v>
      </ns0:c>
      <ns0:c r="N767" s="7" t="n">
        <ns0:v>69249.73858060653</ns0:v>
      </ns0:c>
      <ns0:c r="O767" s="7" t="n">
        <ns0:v>151756.8540518827</ns0:v>
      </ns0:c>
      <ns0:c r="P767" s="7" t="n">
        <ns0:v>358024.6427300732</ns0:v>
      </ns0:c>
      <ns0:c r="Q767" s="7" t="n">
        <ns0:v>1141095.797442835</ns0:v>
      </ns0:c>
      <ns0:c r="R767" s="7" t="n">
        <ns0:v>3958844.838937503</ns0:v>
      </ns0:c>
    </ns0:row>
    <ns0:row r="768" ht="24" customHeight="1">
      <ns0:c r="A768" s="3" t="inlineStr">
        <ns0:is>
          <ns0:t>セット</ns0:t>
        </ns0:is>
      </ns0:c>
      <ns0:c r="B768" s="3" t="inlineStr">
        <ns0:is>
          <ns0:t>G2二段階</ns0:t>
        </ns0:is>
      </ns0:c>
      <ns0:c r="C768" s="3" t="inlineStr">
        <ns0:is>
          <ns0:t>D</ns0:t>
        </ns0:is>
      </ns0:c>
      <ns0:c r="D768" s="4" t="n">
        <ns0:v>2</ns0:v>
      </ns0:c>
      <ns0:c r="E768" s="4" t="n">
        <ns0:v>1000</ns0:v>
      </ns0:c>
      <ns0:c r="F768" s="6" t="n">
        <ns0:v>0.4</ns0:v>
      </ns0:c>
      <ns0:c r="G768" s="4" t="n">
        <ns0:v>0</ns0:v>
      </ns0:c>
      <ns0:c r="H768" s="7" t="n">
        <ns0:v>10470.15250544662</ns0:v>
      </ns0:c>
      <ns0:c r="I768" s="7" t="n">
        <ns0:v>3974.945533769062</ns0:v>
      </ns0:c>
      <ns0:c r="J768" s="7" t="n">
        <ns0:v>1589.978213507625</ns0:v>
      </ns0:c>
      <ns0:c r="K768" s="7" t="n">
        <ns0:v>9</ns0:v>
      </ns0:c>
      <ns0:c r="L768" s="7" t="n">
        <ns0:v>13</ns0:v>
      </ns0:c>
      <ns0:c r="M768" s="7" t="n">
        <ns0:v>11801.43140829444</ns0:v>
      </ns0:c>
      <ns0:c r="N768" s="7" t="n">
        <ns0:v>106596.7517127931</ns0:v>
      </ns0:c>
      <ns0:c r="O768" s="7" t="n">
        <ns0:v>214001.8759388602</ns0:v>
      </ns0:c>
      <ns0:c r="P768" s="7" t="n">
        <ns0:v>482514.6865040283</ns0:v>
      </ns0:c>
      <ns0:c r="Q768" s="7" t="n">
        <ns0:v>1514565.928764701</ns0:v>
      </ns0:c>
      <ns0:c r="R768" s="7" t="n">
        <ns0:v>5203745.276677053</ns0:v>
      </ns0:c>
    </ns0:row>
    <ns0:row r="769" ht="24" customHeight="1">
      <ns0:c r="A769" s="3" t="inlineStr">
        <ns0:is>
          <ns0:t>セット</ns0:t>
        </ns0:is>
      </ns0:c>
      <ns0:c r="B769" s="3" t="inlineStr">
        <ns0:is>
          <ns0:t>G2二段階</ns0:t>
        </ns0:is>
      </ns0:c>
      <ns0:c r="C769" s="3" t="inlineStr">
        <ns0:is>
          <ns0:t>D</ns0:t>
        </ns0:is>
      </ns0:c>
      <ns0:c r="D769" s="4" t="n">
        <ns0:v>2</ns0:v>
      </ns0:c>
      <ns0:c r="E769" s="4" t="n">
        <ns0:v>1000</ns0:v>
      </ns0:c>
      <ns0:c r="F769" s="6" t="n">
        <ns0:v>0.4</ns0:v>
      </ns0:c>
      <ns0:c r="G769" s="4" t="n">
        <ns0:v>1</ns0:v>
      </ns0:c>
      <ns0:c r="H769" s="7" t="n">
        <ns0:v>10470.15250544662</ns0:v>
      </ns0:c>
      <ns0:c r="I769" s="7" t="n">
        <ns0:v>3974.945533769062</ns0:v>
      </ns0:c>
      <ns0:c r="J769" s="7" t="n">
        <ns0:v>1589.978213507625</ns0:v>
      </ns0:c>
      <ns0:c r="K769" s="7" t="n">
        <ns0:v>12</ns0:v>
      </ns0:c>
      <ns0:c r="L769" s="7" t="n">
        <ns0:v>15</ns0:v>
      </ns0:c>
      <ns0:c r="M769" s="7" t="n">
        <ns0:v>6412.962015992034</ns0:v>
      </ns0:c>
      <ns0:c r="N769" s="7" t="n">
        <ns0:v>90431.34353588583</ns0:v>
      </ns0:c>
      <ns0:c r="O769" s="7" t="n">
        <ns0:v>187059.5289773482</ns0:v>
      </ns0:c>
      <ns0:c r="P769" s="7" t="n">
        <ns0:v>428629.9925810042</ns0:v>
      </ns0:c>
      <ns0:c r="Q769" s="7" t="n">
        <ns0:v>1352911.846995628</ns0:v>
      </ns0:c>
      <ns0:c r="R769" s="7" t="n">
        <ns0:v>4664898.337446813</ns0:v>
      </ns0:c>
    </ns0:row>
    <ns0:row r="770" ht="24" customHeight="1">
      <ns0:c r="A770" s="3" t="inlineStr">
        <ns0:is>
          <ns0:t>セット</ns0:t>
        </ns0:is>
      </ns0:c>
      <ns0:c r="B770" s="3" t="inlineStr">
        <ns0:is>
          <ns0:t>G2二段階</ns0:t>
        </ns0:is>
      </ns0:c>
      <ns0:c r="C770" s="3" t="inlineStr">
        <ns0:is>
          <ns0:t>D</ns0:t>
        </ns0:is>
      </ns0:c>
      <ns0:c r="D770" s="4" t="n">
        <ns0:v>2</ns0:v>
      </ns0:c>
      <ns0:c r="E770" s="4" t="n">
        <ns0:v>1000</ns0:v>
      </ns0:c>
      <ns0:c r="F770" s="6" t="n">
        <ns0:v>0.4</ns0:v>
      </ns0:c>
      <ns0:c r="G770" s="4" t="n">
        <ns0:v>2</ns0:v>
      </ns0:c>
      <ns0:c r="H770" s="7" t="n">
        <ns0:v>10470.15250544662</ns0:v>
      </ns0:c>
      <ns0:c r="I770" s="7" t="n">
        <ns0:v>3974.945533769062</ns0:v>
      </ns0:c>
      <ns0:c r="J770" s="7" t="n">
        <ns0:v>1589.978213507625</ns0:v>
      </ns0:c>
      <ns0:c r="K770" s="18" t="inlineStr">
        <ns0:is>
          <ns0:t>範囲内なし</ns0:t>
        </ns0:is>
      </ns0:c>
      <ns0:c r="L770" s="18" t="inlineStr">
        <ns0:is>
          <ns0:t>範囲内なし</ns0:t>
        </ns0:is>
      </ns0:c>
      <ns0:c r="M770" s="7" t="n">
        <ns0:v>-60913.44693249583</ns0:v>
      </ns0:c>
      <ns0:c r="N770" s="7" t="n">
        <ns0:v>-111547.8833095778</ns0:v>
      </ns0:c>
      <ns0:c r="O770" s="7" t="n">
        <ns0:v>-149572.5157650912</ns0:v>
      </ns0:c>
      <ns0:c r="P770" s="7" t="n">
        <ns0:v>-244634.0969038746</ns0:v>
      </ns0:c>
      <ns0:c r="Q770" s="7" t="n">
        <ns0:v>-666880.4214590079</ns0:v>
      </ns0:c>
      <ns0:c r="R770" s="7" t="n">
        <ns0:v>-2067742.557401975</ns0:v>
      </ns0:c>
    </ns0:row>
    <ns0:row r="771" ht="24" customHeight="1">
      <ns0:c r="A771" s="3" t="inlineStr">
        <ns0:is>
          <ns0:t>セット</ns0:t>
        </ns0:is>
      </ns0:c>
      <ns0:c r="B771" s="3" t="inlineStr">
        <ns0:is>
          <ns0:t>G2二段階</ns0:t>
        </ns0:is>
      </ns0:c>
      <ns0:c r="C771" s="3" t="inlineStr">
        <ns0:is>
          <ns0:t>D</ns0:t>
        </ns0:is>
      </ns0:c>
      <ns0:c r="D771" s="4" t="n">
        <ns0:v>2</ns0:v>
      </ns0:c>
      <ns0:c r="E771" s="4" t="n">
        <ns0:v>1000</ns0:v>
      </ns0:c>
      <ns0:c r="F771" s="6" t="n">
        <ns0:v>0.4</ns0:v>
      </ns0:c>
      <ns0:c r="G771" s="4" t="n">
        <ns0:v>3</ns0:v>
      </ns0:c>
      <ns0:c r="H771" s="7" t="n">
        <ns0:v>10470.15250544662</ns0:v>
      </ns0:c>
      <ns0:c r="I771" s="7" t="n">
        <ns0:v>3974.945533769062</ns0:v>
      </ns0:c>
      <ns0:c r="J771" s="7" t="n">
        <ns0:v>1589.978213507625</ns0:v>
      </ns0:c>
      <ns0:c r="K771" s="7" t="n">
        <ns0:v>15</ns0:v>
      </ns0:c>
      <ns0:c r="L771" s="7" t="n">
        <ns0:v>29</ns0:v>
      </ns0:c>
      <ns0:c r="M771" s="7" t="n">
        <ns0:v>-4622.518502870127</ns0:v>
      </ns0:c>
      <ns0:c r="N771" s="7" t="n">
        <ns0:v>57324.90197929936</ns0:v>
      </ns0:c>
      <ns0:c r="O771" s="7" t="n">
        <ns0:v>131882.1263830374</ns0:v>
      </ns0:c>
      <ns0:c r="P771" s="7" t="n">
        <ns0:v>318275.1873923825</ns0:v>
      </ns0:c>
      <ns0:c r="Q771" s="7" t="n">
        <ns0:v>1021847.431429764</ns0:v>
      </ns0:c>
      <ns0:c r="R771" s="7" t="n">
        <ns0:v>3561350.285560597</ns0:v>
      </ns0:c>
    </ns0:row>
    <ns0:row r="772" ht="24" customHeight="1">
      <ns0:c r="A772" s="3" t="inlineStr">
        <ns0:is>
          <ns0:t>セット</ns0:t>
        </ns0:is>
      </ns0:c>
      <ns0:c r="B772" s="3" t="inlineStr">
        <ns0:is>
          <ns0:t>G2二段階</ns0:t>
        </ns0:is>
      </ns0:c>
      <ns0:c r="C772" s="3" t="inlineStr">
        <ns0:is>
          <ns0:t>D</ns0:t>
        </ns0:is>
      </ns0:c>
      <ns0:c r="D772" s="4" t="n">
        <ns0:v>2</ns0:v>
      </ns0:c>
      <ns0:c r="E772" s="4" t="n">
        <ns0:v>1000</ns0:v>
      </ns0:c>
      <ns0:c r="F772" s="6" t="n">
        <ns0:v>0.5</ns0:v>
      </ns0:c>
      <ns0:c r="G772" s="4" t="n">
        <ns0:v>0</ns0:v>
      </ns0:c>
      <ns0:c r="H772" s="7" t="n">
        <ns0:v>10470.15250544662</ns0:v>
      </ns0:c>
      <ns0:c r="I772" s="7" t="n">
        <ns0:v>3974.945533769062</ns0:v>
      </ns0:c>
      <ns0:c r="J772" s="7" t="n">
        <ns0:v>1987.472766884531</ns0:v>
      </ns0:c>
      <ns0:c r="K772" s="7" t="n">
        <ns0:v>9</ns0:v>
      </ns0:c>
      <ns0:c r="L772" s="7" t="n">
        <ns0:v>13</ns0:v>
      </ns0:c>
      <ns0:c r="M772" s="7" t="n">
        <ns0:v>7826.48587452538</ns0:v>
      </ns0:c>
      <ns0:c r="N772" s="7" t="n">
        <ns0:v>94671.91511148587</ns0:v>
      </ns0:c>
      <ns0:c r="O772" s="7" t="n">
        <ns0:v>194127.148270015</ns0:v>
      </ns0:c>
      <ns0:c r="P772" s="7" t="n">
        <ns0:v>442765.2311663377</ns0:v>
      </ns0:c>
      <ns0:c r="Q772" s="7" t="n">
        <ns0:v>1395317.562751629</ns0:v>
      </ns0:c>
      <ns0:c r="R772" s="7" t="n">
        <ns0:v>4806250.723300147</ns0:v>
      </ns0:c>
    </ns0:row>
    <ns0:row r="773" ht="24" customHeight="1">
      <ns0:c r="A773" s="3" t="inlineStr">
        <ns0:is>
          <ns0:t>セット</ns0:t>
        </ns0:is>
      </ns0:c>
      <ns0:c r="B773" s="3" t="inlineStr">
        <ns0:is>
          <ns0:t>G2二段階</ns0:t>
        </ns0:is>
      </ns0:c>
      <ns0:c r="C773" s="3" t="inlineStr">
        <ns0:is>
          <ns0:t>D</ns0:t>
        </ns0:is>
      </ns0:c>
      <ns0:c r="D773" s="4" t="n">
        <ns0:v>2</ns0:v>
      </ns0:c>
      <ns0:c r="E773" s="4" t="n">
        <ns0:v>1000</ns0:v>
      </ns0:c>
      <ns0:c r="F773" s="6" t="n">
        <ns0:v>0.5</ns0:v>
      </ns0:c>
      <ns0:c r="G773" s="4" t="n">
        <ns0:v>1</ns0:v>
      </ns0:c>
      <ns0:c r="H773" s="7" t="n">
        <ns0:v>10470.15250544662</ns0:v>
      </ns0:c>
      <ns0:c r="I773" s="7" t="n">
        <ns0:v>3974.945533769062</ns0:v>
      </ns0:c>
      <ns0:c r="J773" s="7" t="n">
        <ns0:v>1987.472766884531</ns0:v>
      </ns0:c>
      <ns0:c r="K773" s="7" t="n">
        <ns0:v>13</ns0:v>
      </ns0:c>
      <ns0:c r="L773" s="7" t="n">
        <ns0:v>16</ns0:v>
      </ns0:c>
      <ns0:c r="M773" s="7" t="n">
        <ns0:v>2438.016482222971</ns0:v>
      </ns0:c>
      <ns0:c r="N773" s="7" t="n">
        <ns0:v>78506.50693457865</ns0:v>
      </ns0:c>
      <ns0:c r="O773" s="7" t="n">
        <ns0:v>167184.8013085029</ns0:v>
      </ns0:c>
      <ns0:c r="P773" s="7" t="n">
        <ns0:v>388880.5372433136</ns0:v>
      </ns0:c>
      <ns0:c r="Q773" s="7" t="n">
        <ns0:v>1233663.480982556</ns0:v>
      </ns0:c>
      <ns0:c r="R773" s="7" t="n">
        <ns0:v>4267403.784069906</ns0:v>
      </ns0:c>
    </ns0:row>
    <ns0:row r="774" ht="24" customHeight="1">
      <ns0:c r="A774" s="3" t="inlineStr">
        <ns0:is>
          <ns0:t>セット</ns0:t>
        </ns0:is>
      </ns0:c>
      <ns0:c r="B774" s="3" t="inlineStr">
        <ns0:is>
          <ns0:t>G2二段階</ns0:t>
        </ns0:is>
      </ns0:c>
      <ns0:c r="C774" s="3" t="inlineStr">
        <ns0:is>
          <ns0:t>D</ns0:t>
        </ns0:is>
      </ns0:c>
      <ns0:c r="D774" s="4" t="n">
        <ns0:v>2</ns0:v>
      </ns0:c>
      <ns0:c r="E774" s="4" t="n">
        <ns0:v>1000</ns0:v>
      </ns0:c>
      <ns0:c r="F774" s="6" t="n">
        <ns0:v>0.5</ns0:v>
      </ns0:c>
      <ns0:c r="G774" s="4" t="n">
        <ns0:v>2</ns0:v>
      </ns0:c>
      <ns0:c r="H774" s="7" t="n">
        <ns0:v>10470.15250544662</ns0:v>
      </ns0:c>
      <ns0:c r="I774" s="7" t="n">
        <ns0:v>3974.945533769062</ns0:v>
      </ns0:c>
      <ns0:c r="J774" s="7" t="n">
        <ns0:v>1987.472766884531</ns0:v>
      </ns0:c>
      <ns0:c r="K774" s="18" t="inlineStr">
        <ns0:is>
          <ns0:t>範囲内なし</ns0:t>
        </ns0:is>
      </ns0:c>
      <ns0:c r="L774" s="18" t="inlineStr">
        <ns0:is>
          <ns0:t>範囲内なし</ns0:t>
        </ns0:is>
      </ns0:c>
      <ns0:c r="M774" s="7" t="n">
        <ns0:v>-64888.39246626492</ns0:v>
      </ns0:c>
      <ns0:c r="N774" s="7" t="n">
        <ns0:v>-123472.719910885</ns0:v>
      </ns0:c>
      <ns0:c r="O774" s="7" t="n">
        <ns0:v>-169447.2434339365</ns0:v>
      </ns0:c>
      <ns0:c r="P774" s="7" t="n">
        <ns0:v>-284383.5522415652</ns0:v>
      </ns0:c>
      <ns0:c r="Q774" s="7" t="n">
        <ns0:v>-786128.7874720796</ns0:v>
      </ns0:c>
      <ns0:c r="R774" s="7" t="n">
        <ns0:v>-2465237.110778882</ns0:v>
      </ns0:c>
    </ns0:row>
    <ns0:row r="775" ht="24" customHeight="1">
      <ns0:c r="A775" s="3" t="inlineStr">
        <ns0:is>
          <ns0:t>セット</ns0:t>
        </ns0:is>
      </ns0:c>
      <ns0:c r="B775" s="3" t="inlineStr">
        <ns0:is>
          <ns0:t>G2二段階</ns0:t>
        </ns0:is>
      </ns0:c>
      <ns0:c r="C775" s="3" t="inlineStr">
        <ns0:is>
          <ns0:t>D</ns0:t>
        </ns0:is>
      </ns0:c>
      <ns0:c r="D775" s="4" t="n">
        <ns0:v>2</ns0:v>
      </ns0:c>
      <ns0:c r="E775" s="4" t="n">
        <ns0:v>1000</ns0:v>
      </ns0:c>
      <ns0:c r="F775" s="6" t="n">
        <ns0:v>0.5</ns0:v>
      </ns0:c>
      <ns0:c r="G775" s="4" t="n">
        <ns0:v>3</ns0:v>
      </ns0:c>
      <ns0:c r="H775" s="7" t="n">
        <ns0:v>10470.15250544662</ns0:v>
      </ns0:c>
      <ns0:c r="I775" s="7" t="n">
        <ns0:v>3974.945533769062</ns0:v>
      </ns0:c>
      <ns0:c r="J775" s="7" t="n">
        <ns0:v>1987.472766884531</ns0:v>
      </ns0:c>
      <ns0:c r="K775" s="7" t="n">
        <ns0:v>17</ns0:v>
      </ns0:c>
      <ns0:c r="L775" s="7" t="n">
        <ns0:v>33</ns0:v>
      </ns0:c>
      <ns0:c r="M775" s="7" t="n">
        <ns0:v>-8597.464036639194</ns0:v>
      </ns0:c>
      <ns0:c r="N775" s="7" t="n">
        <ns0:v>45400.06537799215</ns0:v>
      </ns0:c>
      <ns0:c r="O775" s="7" t="n">
        <ns0:v>112007.3987141921</ns0:v>
      </ns0:c>
      <ns0:c r="P775" s="7" t="n">
        <ns0:v>278525.732054692</ns0:v>
      </ns0:c>
      <ns0:c r="Q775" s="7" t="n">
        <ns0:v>902599.0654166916</ns0:v>
      </ns0:c>
      <ns0:c r="R775" s="7" t="n">
        <ns0:v>3163855.73218369</ns0:v>
      </ns0:c>
    </ns0:row>
    <ns0:row r="776" ht="24" customHeight="1">
      <ns0:c r="A776" s="3" t="inlineStr">
        <ns0:is>
          <ns0:t>セット</ns0:t>
        </ns0:is>
      </ns0:c>
      <ns0:c r="B776" s="3" t="inlineStr">
        <ns0:is>
          <ns0:t>G2二段階</ns0:t>
        </ns0:is>
      </ns0:c>
      <ns0:c r="C776" s="3" t="inlineStr">
        <ns0:is>
          <ns0:t>D</ns0:t>
        </ns0:is>
      </ns0:c>
      <ns0:c r="D776" s="4" t="n">
        <ns0:v>2</ns0:v>
      </ns0:c>
      <ns0:c r="E776" s="4" t="n">
        <ns0:v>1500</ns0:v>
      </ns0:c>
      <ns0:c r="F776" s="6" t="n">
        <ns0:v>0.3</ns0:v>
      </ns0:c>
      <ns0:c r="G776" s="4" t="n">
        <ns0:v>0</ns0:v>
      </ns0:c>
      <ns0:c r="H776" s="7" t="n">
        <ns0:v>9970.152505446622</ns0:v>
      </ns0:c>
      <ns0:c r="I776" s="7" t="n">
        <ns0:v>3474.945533769063</ns0:v>
      </ns0:c>
      <ns0:c r="J776" s="7" t="n">
        <ns0:v>1042.483660130719</ns0:v>
      </ns0:c>
      <ns0:c r="K776" s="7" t="n">
        <ns0:v>9</ns0:v>
      </ns0:c>
      <ns0:c r="L776" s="7" t="n">
        <ns0:v>13</ns0:v>
      </ns0:c>
      <ns0:c r="M776" s="7" t="n">
        <ns0:v>12456.37694206351</ns0:v>
      </ns0:c>
      <ns0:c r="N776" s="7" t="n">
        <ns0:v>108561.5883141003</ns0:v>
      </ns0:c>
      <ns0:c r="O776" s="7" t="n">
        <ns0:v>217276.6036077056</ns0:v>
      </ns0:c>
      <ns0:c r="P776" s="7" t="n">
        <ns0:v>489064.1418417189</ns0:v>
      </ns0:c>
      <ns0:c r="Q776" s="7" t="n">
        <ns0:v>1534214.294777773</ns0:v>
      </ns0:c>
      <ns0:c r="R776" s="7" t="n">
        <ns0:v>5269239.830053961</ns0:v>
      </ns0:c>
    </ns0:row>
    <ns0:row r="777" ht="24" customHeight="1">
      <ns0:c r="A777" s="3" t="inlineStr">
        <ns0:is>
          <ns0:t>セット</ns0:t>
        </ns0:is>
      </ns0:c>
      <ns0:c r="B777" s="3" t="inlineStr">
        <ns0:is>
          <ns0:t>G2二段階</ns0:t>
        </ns0:is>
      </ns0:c>
      <ns0:c r="C777" s="3" t="inlineStr">
        <ns0:is>
          <ns0:t>D</ns0:t>
        </ns0:is>
      </ns0:c>
      <ns0:c r="D777" s="4" t="n">
        <ns0:v>2</ns0:v>
      </ns0:c>
      <ns0:c r="E777" s="4" t="n">
        <ns0:v>1500</ns0:v>
      </ns0:c>
      <ns0:c r="F777" s="6" t="n">
        <ns0:v>0.3</ns0:v>
      </ns0:c>
      <ns0:c r="G777" s="4" t="n">
        <ns0:v>1</ns0:v>
      </ns0:c>
      <ns0:c r="H777" s="7" t="n">
        <ns0:v>9970.152505446622</ns0:v>
      </ns0:c>
      <ns0:c r="I777" s="7" t="n">
        <ns0:v>3474.945533769063</ns0:v>
      </ns0:c>
      <ns0:c r="J777" s="7" t="n">
        <ns0:v>1042.483660130719</ns0:v>
      </ns0:c>
      <ns0:c r="K777" s="7" t="n">
        <ns0:v>12</ns0:v>
      </ns0:c>
      <ns0:c r="L777" s="7" t="n">
        <ns0:v>15</ns0:v>
      </ns0:c>
      <ns0:c r="M777" s="7" t="n">
        <ns0:v>7067.907549761105</ns0:v>
      </ns0:c>
      <ns0:c r="N777" s="7" t="n">
        <ns0:v>92396.18013719303</ns0:v>
      </ns0:c>
      <ns0:c r="O777" s="7" t="n">
        <ns0:v>190334.2566461935</ns0:v>
      </ns0:c>
      <ns0:c r="P777" s="7" t="n">
        <ns0:v>435179.4479186948</ns0:v>
      </ns0:c>
      <ns0:c r="Q777" s="7" t="n">
        <ns0:v>1372560.2130087</ns0:v>
      </ns0:c>
      <ns0:c r="R777" s="7" t="n">
        <ns0:v>4730392.89082372</ns0:v>
      </ns0:c>
    </ns0:row>
    <ns0:row r="778" ht="24" customHeight="1">
      <ns0:c r="A778" s="3" t="inlineStr">
        <ns0:is>
          <ns0:t>セット</ns0:t>
        </ns0:is>
      </ns0:c>
      <ns0:c r="B778" s="3" t="inlineStr">
        <ns0:is>
          <ns0:t>G2二段階</ns0:t>
        </ns0:is>
      </ns0:c>
      <ns0:c r="C778" s="3" t="inlineStr">
        <ns0:is>
          <ns0:t>D</ns0:t>
        </ns0:is>
      </ns0:c>
      <ns0:c r="D778" s="4" t="n">
        <ns0:v>2</ns0:v>
      </ns0:c>
      <ns0:c r="E778" s="4" t="n">
        <ns0:v>1500</ns0:v>
      </ns0:c>
      <ns0:c r="F778" s="6" t="n">
        <ns0:v>0.3</ns0:v>
      </ns0:c>
      <ns0:c r="G778" s="4" t="n">
        <ns0:v>2</ns0:v>
      </ns0:c>
      <ns0:c r="H778" s="7" t="n">
        <ns0:v>9970.152505446622</ns0:v>
      </ns0:c>
      <ns0:c r="I778" s="7" t="n">
        <ns0:v>3474.945533769063</ns0:v>
      </ns0:c>
      <ns0:c r="J778" s="7" t="n">
        <ns0:v>1042.483660130719</ns0:v>
      </ns0:c>
      <ns0:c r="K778" s="18" t="inlineStr">
        <ns0:is>
          <ns0:t>範囲内なし</ns0:t>
        </ns0:is>
      </ns0:c>
      <ns0:c r="L778" s="18" t="inlineStr">
        <ns0:is>
          <ns0:t>範囲内なし</ns0:t>
        </ns0:is>
      </ns0:c>
      <ns0:c r="M778" s="7" t="n">
        <ns0:v>-60258.50139872676</ns0:v>
      </ns0:c>
      <ns0:c r="N778" s="7" t="n">
        <ns0:v>-109583.0467082706</ns0:v>
      </ns0:c>
      <ns0:c r="O778" s="7" t="n">
        <ns0:v>-146297.7880962458</ns0:v>
      </ns0:c>
      <ns0:c r="P778" s="7" t="n">
        <ns0:v>-238084.6415661839</ns0:v>
      </ns0:c>
      <ns0:c r="Q778" s="7" t="n">
        <ns0:v>-647232.0554459357</ns0:v>
      </ns0:c>
      <ns0:c r="R778" s="7" t="n">
        <ns0:v>-2002248.004025067</ns0:v>
      </ns0:c>
    </ns0:row>
    <ns0:row r="779" ht="24" customHeight="1">
      <ns0:c r="A779" s="3" t="inlineStr">
        <ns0:is>
          <ns0:t>セット</ns0:t>
        </ns0:is>
      </ns0:c>
      <ns0:c r="B779" s="3" t="inlineStr">
        <ns0:is>
          <ns0:t>G2二段階</ns0:t>
        </ns0:is>
      </ns0:c>
      <ns0:c r="C779" s="3" t="inlineStr">
        <ns0:is>
          <ns0:t>D</ns0:t>
        </ns0:is>
      </ns0:c>
      <ns0:c r="D779" s="4" t="n">
        <ns0:v>2</ns0:v>
      </ns0:c>
      <ns0:c r="E779" s="4" t="n">
        <ns0:v>1500</ns0:v>
      </ns0:c>
      <ns0:c r="F779" s="6" t="n">
        <ns0:v>0.3</ns0:v>
      </ns0:c>
      <ns0:c r="G779" s="4" t="n">
        <ns0:v>3</ns0:v>
      </ns0:c>
      <ns0:c r="H779" s="7" t="n">
        <ns0:v>9970.152505446622</ns0:v>
      </ns0:c>
      <ns0:c r="I779" s="7" t="n">
        <ns0:v>3474.945533769063</ns0:v>
      </ns0:c>
      <ns0:c r="J779" s="7" t="n">
        <ns0:v>1042.483660130719</ns0:v>
      </ns0:c>
      <ns0:c r="K779" s="7" t="n">
        <ns0:v>15</ns0:v>
      </ns0:c>
      <ns0:c r="L779" s="7" t="n">
        <ns0:v>29</ns0:v>
      </ns0:c>
      <ns0:c r="M779" s="7" t="n">
        <ns0:v>-3967.57296910106</ns0:v>
      </ns0:c>
      <ns0:c r="N779" s="7" t="n">
        <ns0:v>59289.73858060654</ns0:v>
      </ns0:c>
      <ns0:c r="O779" s="7" t="n">
        <ns0:v>135156.8540518827</ns0:v>
      </ns0:c>
      <ns0:c r="P779" s="7" t="n">
        <ns0:v>324824.6427300732</ns0:v>
      </ns0:c>
      <ns0:c r="Q779" s="7" t="n">
        <ns0:v>1041495.797442836</ns0:v>
      </ns0:c>
      <ns0:c r="R779" s="7" t="n">
        <ns0:v>3626844.838937504</ns0:v>
      </ns0:c>
    </ns0:row>
    <ns0:row r="780" ht="24" customHeight="1">
      <ns0:c r="A780" s="3" t="inlineStr">
        <ns0:is>
          <ns0:t>セット</ns0:t>
        </ns0:is>
      </ns0:c>
      <ns0:c r="B780" s="3" t="inlineStr">
        <ns0:is>
          <ns0:t>G2二段階</ns0:t>
        </ns0:is>
      </ns0:c>
      <ns0:c r="C780" s="3" t="inlineStr">
        <ns0:is>
          <ns0:t>D</ns0:t>
        </ns0:is>
      </ns0:c>
      <ns0:c r="D780" s="4" t="n">
        <ns0:v>2</ns0:v>
      </ns0:c>
      <ns0:c r="E780" s="4" t="n">
        <ns0:v>1500</ns0:v>
      </ns0:c>
      <ns0:c r="F780" s="6" t="n">
        <ns0:v>0.4</ns0:v>
      </ns0:c>
      <ns0:c r="G780" s="4" t="n">
        <ns0:v>0</ns0:v>
      </ns0:c>
      <ns0:c r="H780" s="7" t="n">
        <ns0:v>9970.152505446622</ns0:v>
      </ns0:c>
      <ns0:c r="I780" s="7" t="n">
        <ns0:v>3474.945533769063</ns0:v>
      </ns0:c>
      <ns0:c r="J780" s="7" t="n">
        <ns0:v>1389.978213507625</ns0:v>
      </ns0:c>
      <ns0:c r="K780" s="7" t="n">
        <ns0:v>9</ns0:v>
      </ns0:c>
      <ns0:c r="L780" s="7" t="n">
        <ns0:v>13</ns0:v>
      </ns0:c>
      <ns0:c r="M780" s="7" t="n">
        <ns0:v>8981.431408294444</ns0:v>
      </ns0:c>
      <ns0:c r="N780" s="7" t="n">
        <ns0:v>98136.75171279308</ns0:v>
      </ns0:c>
      <ns0:c r="O780" s="7" t="n">
        <ns0:v>199901.8759388603</ns0:v>
      </ns0:c>
      <ns0:c r="P780" s="7" t="n">
        <ns0:v>454314.6865040284</ns0:v>
      </ns0:c>
      <ns0:c r="Q780" s="7" t="n">
        <ns0:v>1429965.928764701</ns0:v>
      </ns0:c>
      <ns0:c r="R780" s="7" t="n">
        <ns0:v>4921745.276677054</ns0:v>
      </ns0:c>
    </ns0:row>
    <ns0:row r="781" ht="24" customHeight="1">
      <ns0:c r="A781" s="3" t="inlineStr">
        <ns0:is>
          <ns0:t>セット</ns0:t>
        </ns0:is>
      </ns0:c>
      <ns0:c r="B781" s="3" t="inlineStr">
        <ns0:is>
          <ns0:t>G2二段階</ns0:t>
        </ns0:is>
      </ns0:c>
      <ns0:c r="C781" s="3" t="inlineStr">
        <ns0:is>
          <ns0:t>D</ns0:t>
        </ns0:is>
      </ns0:c>
      <ns0:c r="D781" s="4" t="n">
        <ns0:v>2</ns0:v>
      </ns0:c>
      <ns0:c r="E781" s="4" t="n">
        <ns0:v>1500</ns0:v>
      </ns0:c>
      <ns0:c r="F781" s="6" t="n">
        <ns0:v>0.4</ns0:v>
      </ns0:c>
      <ns0:c r="G781" s="4" t="n">
        <ns0:v>1</ns0:v>
      </ns0:c>
      <ns0:c r="H781" s="7" t="n">
        <ns0:v>9970.152505446622</ns0:v>
      </ns0:c>
      <ns0:c r="I781" s="7" t="n">
        <ns0:v>3474.945533769063</ns0:v>
      </ns0:c>
      <ns0:c r="J781" s="7" t="n">
        <ns0:v>1389.978213507625</ns0:v>
      </ns0:c>
      <ns0:c r="K781" s="7" t="n">
        <ns0:v>12</ns0:v>
      </ns0:c>
      <ns0:c r="L781" s="7" t="n">
        <ns0:v>16</ns0:v>
      </ns0:c>
      <ns0:c r="M781" s="7" t="n">
        <ns0:v>3592.962015992034</ns0:v>
      </ns0:c>
      <ns0:c r="N781" s="7" t="n">
        <ns0:v>81971.34353588583</ns0:v>
      </ns0:c>
      <ns0:c r="O781" s="7" t="n">
        <ns0:v>172959.5289773483</ns0:v>
      </ns0:c>
      <ns0:c r="P781" s="7" t="n">
        <ns0:v>400429.9925810044</ns0:v>
      </ns0:c>
      <ns0:c r="Q781" s="7" t="n">
        <ns0:v>1268311.846995628</ns0:v>
      </ns0:c>
      <ns0:c r="R781" s="7" t="n">
        <ns0:v>4382898.337446813</ns0:v>
      </ns0:c>
    </ns0:row>
    <ns0:row r="782" ht="24" customHeight="1">
      <ns0:c r="A782" s="3" t="inlineStr">
        <ns0:is>
          <ns0:t>セット</ns0:t>
        </ns0:is>
      </ns0:c>
      <ns0:c r="B782" s="3" t="inlineStr">
        <ns0:is>
          <ns0:t>G2二段階</ns0:t>
        </ns0:is>
      </ns0:c>
      <ns0:c r="C782" s="3" t="inlineStr">
        <ns0:is>
          <ns0:t>D</ns0:t>
        </ns0:is>
      </ns0:c>
      <ns0:c r="D782" s="4" t="n">
        <ns0:v>2</ns0:v>
      </ns0:c>
      <ns0:c r="E782" s="4" t="n">
        <ns0:v>1500</ns0:v>
      </ns0:c>
      <ns0:c r="F782" s="6" t="n">
        <ns0:v>0.4</ns0:v>
      </ns0:c>
      <ns0:c r="G782" s="4" t="n">
        <ns0:v>2</ns0:v>
      </ns0:c>
      <ns0:c r="H782" s="7" t="n">
        <ns0:v>9970.152505446622</ns0:v>
      </ns0:c>
      <ns0:c r="I782" s="7" t="n">
        <ns0:v>3474.945533769063</ns0:v>
      </ns0:c>
      <ns0:c r="J782" s="7" t="n">
        <ns0:v>1389.978213507625</ns0:v>
      </ns0:c>
      <ns0:c r="K782" s="18" t="inlineStr">
        <ns0:is>
          <ns0:t>範囲内なし</ns0:t>
        </ns0:is>
      </ns0:c>
      <ns0:c r="L782" s="18" t="inlineStr">
        <ns0:is>
          <ns0:t>範囲内なし</ns0:t>
        </ns0:is>
      </ns0:c>
      <ns0:c r="M782" s="7" t="n">
        <ns0:v>-63733.44693249583</ns0:v>
      </ns0:c>
      <ns0:c r="N782" s="7" t="n">
        <ns0:v>-120007.8833095778</ns0:v>
      </ns0:c>
      <ns0:c r="O782" s="7" t="n">
        <ns0:v>-163672.5157650911</ns0:v>
      </ns0:c>
      <ns0:c r="P782" s="7" t="n">
        <ns0:v>-272834.0969038744</ns0:v>
      </ns0:c>
      <ns0:c r="Q782" s="7" t="n">
        <ns0:v>-751480.4214590077</ns0:v>
      </ns0:c>
      <ns0:c r="R782" s="7" t="n">
        <ns0:v>-2349742.557401974</ns0:v>
      </ns0:c>
    </ns0:row>
    <ns0:row r="783" ht="24" customHeight="1">
      <ns0:c r="A783" s="3" t="inlineStr">
        <ns0:is>
          <ns0:t>セット</ns0:t>
        </ns0:is>
      </ns0:c>
      <ns0:c r="B783" s="3" t="inlineStr">
        <ns0:is>
          <ns0:t>G2二段階</ns0:t>
        </ns0:is>
      </ns0:c>
      <ns0:c r="C783" s="3" t="inlineStr">
        <ns0:is>
          <ns0:t>D</ns0:t>
        </ns0:is>
      </ns0:c>
      <ns0:c r="D783" s="4" t="n">
        <ns0:v>2</ns0:v>
      </ns0:c>
      <ns0:c r="E783" s="4" t="n">
        <ns0:v>1500</ns0:v>
      </ns0:c>
      <ns0:c r="F783" s="6" t="n">
        <ns0:v>0.4</ns0:v>
      </ns0:c>
      <ns0:c r="G783" s="4" t="n">
        <ns0:v>3</ns0:v>
      </ns0:c>
      <ns0:c r="H783" s="7" t="n">
        <ns0:v>9970.152505446622</ns0:v>
      </ns0:c>
      <ns0:c r="I783" s="7" t="n">
        <ns0:v>3474.945533769063</ns0:v>
      </ns0:c>
      <ns0:c r="J783" s="7" t="n">
        <ns0:v>1389.978213507625</ns0:v>
      </ns0:c>
      <ns0:c r="K783" s="7" t="n">
        <ns0:v>16</ns0:v>
      </ns0:c>
      <ns0:c r="L783" s="7" t="n">
        <ns0:v>32</ns0:v>
      </ns0:c>
      <ns0:c r="M783" s="7" t="n">
        <ns0:v>-7442.518502870127</ns0:v>
      </ns0:c>
      <ns0:c r="N783" s="7" t="n">
        <ns0:v>48864.90197929936</ns0:v>
      </ns0:c>
      <ns0:c r="O783" s="7" t="n">
        <ns0:v>117782.1263830375</ns0:v>
      </ns0:c>
      <ns0:c r="P783" s="7" t="n">
        <ns0:v>290075.1873923827</ns0:v>
      </ns0:c>
      <ns0:c r="Q783" s="7" t="n">
        <ns0:v>937247.4314297638</ns0:v>
      </ns0:c>
      <ns0:c r="R783" s="7" t="n">
        <ns0:v>3279350.285560598</ns0:v>
      </ns0:c>
    </ns0:row>
    <ns0:row r="784" ht="24" customHeight="1">
      <ns0:c r="A784" s="3" t="inlineStr">
        <ns0:is>
          <ns0:t>セット</ns0:t>
        </ns0:is>
      </ns0:c>
      <ns0:c r="B784" s="3" t="inlineStr">
        <ns0:is>
          <ns0:t>G2二段階</ns0:t>
        </ns0:is>
      </ns0:c>
      <ns0:c r="C784" s="3" t="inlineStr">
        <ns0:is>
          <ns0:t>D</ns0:t>
        </ns0:is>
      </ns0:c>
      <ns0:c r="D784" s="4" t="n">
        <ns0:v>2</ns0:v>
      </ns0:c>
      <ns0:c r="E784" s="4" t="n">
        <ns0:v>1500</ns0:v>
      </ns0:c>
      <ns0:c r="F784" s="6" t="n">
        <ns0:v>0.5</ns0:v>
      </ns0:c>
      <ns0:c r="G784" s="4" t="n">
        <ns0:v>0</ns0:v>
      </ns0:c>
      <ns0:c r="H784" s="7" t="n">
        <ns0:v>9970.152505446622</ns0:v>
      </ns0:c>
      <ns0:c r="I784" s="7" t="n">
        <ns0:v>3474.945533769063</ns0:v>
      </ns0:c>
      <ns0:c r="J784" s="7" t="n">
        <ns0:v>1737.472766884532</ns0:v>
      </ns0:c>
      <ns0:c r="K784" s="7" t="n">
        <ns0:v>12</ns0:v>
      </ns0:c>
      <ns0:c r="L784" s="7" t="n">
        <ns0:v>14</ns0:v>
      </ns0:c>
      <ns0:c r="M784" s="7" t="n">
        <ns0:v>5506.485874525384</ns0:v>
      </ns0:c>
      <ns0:c r="N784" s="7" t="n">
        <ns0:v>87711.9151114859</ns0:v>
      </ns0:c>
      <ns0:c r="O784" s="7" t="n">
        <ns0:v>182527.148270015</ns0:v>
      </ns0:c>
      <ns0:c r="P784" s="7" t="n">
        <ns0:v>419565.2311663377</ns0:v>
      </ns0:c>
      <ns0:c r="Q784" s="7" t="n">
        <ns0:v>1325717.562751629</ns0:v>
      </ns0:c>
      <ns0:c r="R784" s="7" t="n">
        <ns0:v>4574250.723300149</ns0:v>
      </ns0:c>
    </ns0:row>
    <ns0:row r="785" ht="24" customHeight="1">
      <ns0:c r="A785" s="3" t="inlineStr">
        <ns0:is>
          <ns0:t>セット</ns0:t>
        </ns0:is>
      </ns0:c>
      <ns0:c r="B785" s="3" t="inlineStr">
        <ns0:is>
          <ns0:t>G2二段階</ns0:t>
        </ns0:is>
      </ns0:c>
      <ns0:c r="C785" s="3" t="inlineStr">
        <ns0:is>
          <ns0:t>D</ns0:t>
        </ns0:is>
      </ns0:c>
      <ns0:c r="D785" s="4" t="n">
        <ns0:v>2</ns0:v>
      </ns0:c>
      <ns0:c r="E785" s="4" t="n">
        <ns0:v>1500</ns0:v>
      </ns0:c>
      <ns0:c r="F785" s="6" t="n">
        <ns0:v>0.5</ns0:v>
      </ns0:c>
      <ns0:c r="G785" s="4" t="n">
        <ns0:v>1</ns0:v>
      </ns0:c>
      <ns0:c r="H785" s="7" t="n">
        <ns0:v>9970.152505446622</ns0:v>
      </ns0:c>
      <ns0:c r="I785" s="7" t="n">
        <ns0:v>3474.945533769063</ns0:v>
      </ns0:c>
      <ns0:c r="J785" s="7" t="n">
        <ns0:v>1737.472766884532</ns0:v>
      </ns0:c>
      <ns0:c r="K785" s="7" t="n">
        <ns0:v>13</ns0:v>
      </ns0:c>
      <ns0:c r="L785" s="7" t="n">
        <ns0:v>17</ns0:v>
      </ns0:c>
      <ns0:c r="M785" s="7" t="n">
        <ns0:v>118.0164822229744</ns0:v>
      </ns0:c>
      <ns0:c r="N785" s="7" t="n">
        <ns0:v>71546.50693457865</ns0:v>
      </ns0:c>
      <ns0:c r="O785" s="7" t="n">
        <ns0:v>155584.801308503</ns0:v>
      </ns0:c>
      <ns0:c r="P785" s="7" t="n">
        <ns0:v>365680.5372433137</ns0:v>
      </ns0:c>
      <ns0:c r="Q785" s="7" t="n">
        <ns0:v>1164063.480982557</ns0:v>
      </ns0:c>
      <ns0:c r="R785" s="7" t="n">
        <ns0:v>4035403.784069908</ns0:v>
      </ns0:c>
    </ns0:row>
    <ns0:row r="786" ht="24" customHeight="1">
      <ns0:c r="A786" s="3" t="inlineStr">
        <ns0:is>
          <ns0:t>セット</ns0:t>
        </ns0:is>
      </ns0:c>
      <ns0:c r="B786" s="3" t="inlineStr">
        <ns0:is>
          <ns0:t>G2二段階</ns0:t>
        </ns0:is>
      </ns0:c>
      <ns0:c r="C786" s="3" t="inlineStr">
        <ns0:is>
          <ns0:t>D</ns0:t>
        </ns0:is>
      </ns0:c>
      <ns0:c r="D786" s="4" t="n">
        <ns0:v>2</ns0:v>
      </ns0:c>
      <ns0:c r="E786" s="4" t="n">
        <ns0:v>1500</ns0:v>
      </ns0:c>
      <ns0:c r="F786" s="6" t="n">
        <ns0:v>0.5</ns0:v>
      </ns0:c>
      <ns0:c r="G786" s="4" t="n">
        <ns0:v>2</ns0:v>
      </ns0:c>
      <ns0:c r="H786" s="7" t="n">
        <ns0:v>9970.152505446622</ns0:v>
      </ns0:c>
      <ns0:c r="I786" s="7" t="n">
        <ns0:v>3474.945533769063</ns0:v>
      </ns0:c>
      <ns0:c r="J786" s="7" t="n">
        <ns0:v>1737.472766884532</ns0:v>
      </ns0:c>
      <ns0:c r="K786" s="18" t="inlineStr">
        <ns0:is>
          <ns0:t>範囲内なし</ns0:t>
        </ns0:is>
      </ns0:c>
      <ns0:c r="L786" s="18" t="inlineStr">
        <ns0:is>
          <ns0:t>範囲内なし</ns0:t>
        </ns0:is>
      </ns0:c>
      <ns0:c r="M786" s="7" t="n">
        <ns0:v>-67208.39246626489</ns0:v>
      </ns0:c>
      <ns0:c r="N786" s="7" t="n">
        <ns0:v>-130432.719910885</ns0:v>
      </ns0:c>
      <ns0:c r="O786" s="7" t="n">
        <ns0:v>-181047.2434339364</ns0:v>
      </ns0:c>
      <ns0:c r="P786" s="7" t="n">
        <ns0:v>-307583.5522415651</ns0:v>
      </ns0:c>
      <ns0:c r="Q786" s="7" t="n">
        <ns0:v>-855728.7874720794</ns0:v>
      </ns0:c>
      <ns0:c r="R786" s="7" t="n">
        <ns0:v>-2697237.11077888</ns0:v>
      </ns0:c>
    </ns0:row>
    <ns0:row r="787" ht="24" customHeight="1">
      <ns0:c r="A787" s="3" t="inlineStr">
        <ns0:is>
          <ns0:t>セット</ns0:t>
        </ns0:is>
      </ns0:c>
      <ns0:c r="B787" s="3" t="inlineStr">
        <ns0:is>
          <ns0:t>G2二段階</ns0:t>
        </ns0:is>
      </ns0:c>
      <ns0:c r="C787" s="3" t="inlineStr">
        <ns0:is>
          <ns0:t>D</ns0:t>
        </ns0:is>
      </ns0:c>
      <ns0:c r="D787" s="4" t="n">
        <ns0:v>2</ns0:v>
      </ns0:c>
      <ns0:c r="E787" s="4" t="n">
        <ns0:v>1500</ns0:v>
      </ns0:c>
      <ns0:c r="F787" s="6" t="n">
        <ns0:v>0.5</ns0:v>
      </ns0:c>
      <ns0:c r="G787" s="4" t="n">
        <ns0:v>3</ns0:v>
      </ns0:c>
      <ns0:c r="H787" s="7" t="n">
        <ns0:v>9970.152505446622</ns0:v>
      </ns0:c>
      <ns0:c r="I787" s="7" t="n">
        <ns0:v>3474.945533769063</ns0:v>
      </ns0:c>
      <ns0:c r="J787" s="7" t="n">
        <ns0:v>1737.472766884532</ns0:v>
      </ns0:c>
      <ns0:c r="K787" s="7" t="n">
        <ns0:v>18</ns0:v>
      </ns0:c>
      <ns0:c r="L787" s="7" t="n">
        <ns0:v>36</ns0:v>
      </ns0:c>
      <ns0:c r="M787" s="7" t="n">
        <ns0:v>-10917.46403663919</ns0:v>
      </ns0:c>
      <ns0:c r="N787" s="7" t="n">
        <ns0:v>38440.06537799218</ns0:v>
      </ns0:c>
      <ns0:c r="O787" s="7" t="n">
        <ns0:v>100407.3987141921</ns0:v>
      </ns0:c>
      <ns0:c r="P787" s="7" t="n">
        <ns0:v>255325.7320546921</ns0:v>
      </ns0:c>
      <ns0:c r="Q787" s="7" t="n">
        <ns0:v>832999.0654166918</ns0:v>
      </ns0:c>
      <ns0:c r="R787" s="7" t="n">
        <ns0:v>2931855.732183691</ns0:v>
      </ns0:c>
    </ns0:row>
    <ns0:row r="788" ht="24" customHeight="1">
      <ns0:c r="A788" s="3" t="inlineStr">
        <ns0:is>
          <ns0:t>セット</ns0:t>
        </ns0:is>
      </ns0:c>
      <ns0:c r="B788" s="3" t="inlineStr">
        <ns0:is>
          <ns0:t>G3三段階</ns0:t>
        </ns0:is>
      </ns0:c>
      <ns0:c r="C788" s="3" t="inlineStr">
        <ns0:is>
          <ns0:t>A</ns0:t>
        </ns0:is>
      </ns0:c>
      <ns0:c r="D788" s="4" t="n">
        <ns0:v>0</ns0:v>
      </ns0:c>
      <ns0:c r="E788" s="4" t="n">
        <ns0:v>500</ns0:v>
      </ns0:c>
      <ns0:c r="F788" s="6" t="n">
        <ns0:v>0.3</ns0:v>
      </ns0:c>
      <ns0:c r="G788" s="4" t="n">
        <ns0:v>0</ns0:v>
      </ns0:c>
      <ns0:c r="H788" s="7" t="n">
        <ns0:v>6014.856070087609</ns0:v>
      </ns0:c>
      <ns0:c r="I788" s="7" t="n">
        <ns0:v>3488.423028785982</ns0:v>
      </ns0:c>
      <ns0:c r="J788" s="7" t="n">
        <ns0:v>1046.526908635795</ns0:v>
      </ns0:c>
      <ns0:c r="K788" s="7" t="n">
        <ns0:v>21</ns0:v>
      </ns0:c>
      <ns0:c r="L788" s="7" t="n">
        <ns0:v>33</ns0:v>
      </ns0:c>
      <ns0:c r="M788" s="7" t="n">
        <ns0:v>-24112.79364665438</ns0:v>
      </ns0:c>
      <ns0:c r="N788" s="7" t="n">
        <ns0:v>30786.36691090023</ns0:v>
      </ns0:c>
      <ns0:c r="O788" s="7" t="n">
        <ns0:v>87651.23460237225</ns0:v>
      </ns0:c>
      <ns0:c r="P788" s="7" t="n">
        <ns0:v>229813.4038310523</ns0:v>
      </ns0:c>
      <ns0:c r="Q788" s="7" t="n">
        <ns0:v>756462.0807457725</ns0:v>
      </ns0:c>
      <ns0:c r="R788" s="7" t="n">
        <ns0:v>2676732.449947293</ns0:v>
      </ns0:c>
    </ns0:row>
    <ns0:row r="789" ht="24" customHeight="1">
      <ns0:c r="A789" s="3" t="inlineStr">
        <ns0:is>
          <ns0:t>セット</ns0:t>
        </ns0:is>
      </ns0:c>
      <ns0:c r="B789" s="3" t="inlineStr">
        <ns0:is>
          <ns0:t>G3三段階</ns0:t>
        </ns0:is>
      </ns0:c>
      <ns0:c r="C789" s="3" t="inlineStr">
        <ns0:is>
          <ns0:t>A</ns0:t>
        </ns0:is>
      </ns0:c>
      <ns0:c r="D789" s="4" t="n">
        <ns0:v>0</ns0:v>
      </ns0:c>
      <ns0:c r="E789" s="4" t="n">
        <ns0:v>500</ns0:v>
      </ns0:c>
      <ns0:c r="F789" s="6" t="n">
        <ns0:v>0.3</ns0:v>
      </ns0:c>
      <ns0:c r="G789" s="4" t="n">
        <ns0:v>1</ns0:v>
      </ns0:c>
      <ns0:c r="H789" s="7" t="n">
        <ns0:v>6014.856070087609</ns0:v>
      </ns0:c>
      <ns0:c r="I789" s="7" t="n">
        <ns0:v>3488.423028785982</ns0:v>
      </ns0:c>
      <ns0:c r="J789" s="7" t="n">
        <ns0:v>1046.526908635795</ns0:v>
      </ns0:c>
      <ns0:c r="K789" s="7" t="n">
        <ns0:v>23</ns0:v>
      </ns0:c>
      <ns0:c r="L789" s="7" t="n">
        <ns0:v>51</ns0:v>
      </ns0:c>
      <ns0:c r="M789" s="7" t="n">
        <ns0:v>-27831.43405262522</ns0:v>
      </ns0:c>
      <ns0:c r="N789" s="7" t="n">
        <ns0:v>19630.44569298771</ns0:v>
      </ns0:c>
      <ns0:c r="O789" s="7" t="n">
        <ns0:v>69058.03257251804</ns0:v>
      </ns0:c>
      <ns0:c r="P789" s="7" t="n">
        <ns0:v>192626.9997713439</ns0:v>
      </ns0:c>
      <ns0:c r="Q789" s="7" t="n">
        <ns0:v>644902.8685666472</ns0:v>
      </ns0:c>
      <ns0:c r="R789" s="7" t="n">
        <ns0:v>2304868.409350209</ns0:v>
      </ns0:c>
    </ns0:row>
    <ns0:row r="790" ht="24" customHeight="1">
      <ns0:c r="A790" s="3" t="inlineStr">
        <ns0:is>
          <ns0:t>セット</ns0:t>
        </ns0:is>
      </ns0:c>
      <ns0:c r="B790" s="3" t="inlineStr">
        <ns0:is>
          <ns0:t>G3三段階</ns0:t>
        </ns0:is>
      </ns0:c>
      <ns0:c r="C790" s="3" t="inlineStr">
        <ns0:is>
          <ns0:t>A</ns0:t>
        </ns0:is>
      </ns0:c>
      <ns0:c r="D790" s="4" t="n">
        <ns0:v>0</ns0:v>
      </ns0:c>
      <ns0:c r="E790" s="4" t="n">
        <ns0:v>500</ns0:v>
      </ns0:c>
      <ns0:c r="F790" s="6" t="n">
        <ns0:v>0.3</ns0:v>
      </ns0:c>
      <ns0:c r="G790" s="4" t="n">
        <ns0:v>2</ns0:v>
      </ns0:c>
      <ns0:c r="H790" s="7" t="n">
        <ns0:v>6014.856070087609</ns0:v>
      </ns0:c>
      <ns0:c r="I790" s="7" t="n">
        <ns0:v>3488.423028785982</ns0:v>
      </ns0:c>
      <ns0:c r="J790" s="7" t="n">
        <ns0:v>1046.526908635795</ns0:v>
      </ns0:c>
      <ns0:c r="K790" s="7" t="n">
        <ns0:v>173</ns0:v>
      </ns0:c>
      <ns0:c r="L790" s="18" t="inlineStr">
        <ns0:is>
          <ns0:t>範囲内なし</ns0:t>
        </ns0:is>
      </ns0:c>
      <ns0:c r="M790" s="7" t="n">
        <ns0:v>-46954.24261913166</ns0:v>
      </ns0:c>
      <ns0:c r="N790" s="7" t="n">
        <ns0:v>-37737.98000653161</ns0:v>
      </ns0:c>
      <ns0:c r="O790" s="7" t="n">
        <ns0:v>-26556.01026001415</ns0:v>
      </ns0:c>
      <ns0:c r="P790" s="7" t="n">
        <ns0:v>1398.914106279495</ns0:v>
      </ns0:c>
      <ns0:c r="Q790" s="7" t="n">
        <ns0:v>71218.61157145386</ns0:v>
      </ns0:c>
      <ns0:c r="R790" s="7" t="n">
        <ns0:v>392587.5526995647</ns0:v>
      </ns0:c>
    </ns0:row>
    <ns0:row r="791" ht="24" customHeight="1">
      <ns0:c r="A791" s="3" t="inlineStr">
        <ns0:is>
          <ns0:t>セット</ns0:t>
        </ns0:is>
      </ns0:c>
      <ns0:c r="B791" s="3" t="inlineStr">
        <ns0:is>
          <ns0:t>G3三段階</ns0:t>
        </ns0:is>
      </ns0:c>
      <ns0:c r="C791" s="3" t="inlineStr">
        <ns0:is>
          <ns0:t>A</ns0:t>
        </ns0:is>
      </ns0:c>
      <ns0:c r="D791" s="4" t="n">
        <ns0:v>0</ns0:v>
      </ns0:c>
      <ns0:c r="E791" s="4" t="n">
        <ns0:v>500</ns0:v>
      </ns0:c>
      <ns0:c r="F791" s="6" t="n">
        <ns0:v>0.3</ns0:v>
      </ns0:c>
      <ns0:c r="G791" s="4" t="n">
        <ns0:v>3</ns0:v>
      </ns0:c>
      <ns0:c r="H791" s="7" t="n">
        <ns0:v>6014.856070087609</ns0:v>
      </ns0:c>
      <ns0:c r="I791" s="7" t="n">
        <ns0:v>3488.423028785982</ns0:v>
      </ns0:c>
      <ns0:c r="J791" s="7" t="n">
        <ns0:v>1046.526908635795</ns0:v>
      </ns0:c>
      <ns0:c r="K791" s="7" t="n">
        <ns0:v>34</ns0:v>
      </ns0:c>
      <ns0:c r="L791" s="18" t="inlineStr">
        <ns0:is>
          <ns0:t>範囲内なし</ns0:t>
        </ns0:is>
      </ns0:c>
      <ns0:c r="M791" s="7" t="n">
        <ns0:v>-36400.54095319592</ns0:v>
      </ns0:c>
      <ns0:c r="N791" s="7" t="n">
        <ns0:v>-6076.875008724368</ns0:v>
      </ns0:c>
      <ns0:c r="O791" s="7" t="n">
        <ns0:v>26212.49806966459</ns0:v>
      </ns0:c>
      <ns0:c r="P791" s="7" t="n">
        <ns0:v>106935.930765637</ns0:v>
      </ns0:c>
      <ns0:c r="Q791" s="7" t="n">
        <ns0:v>387829.6615495263</ns0:v>
      </ns0:c>
      <ns0:c r="R791" s="7" t="n">
        <ns0:v>1447957.71929314</ns0:v>
      </ns0:c>
    </ns0:row>
    <ns0:row r="792" ht="24" customHeight="1">
      <ns0:c r="A792" s="3" t="inlineStr">
        <ns0:is>
          <ns0:t>セット</ns0:t>
        </ns0:is>
      </ns0:c>
      <ns0:c r="B792" s="3" t="inlineStr">
        <ns0:is>
          <ns0:t>G3三段階</ns0:t>
        </ns0:is>
      </ns0:c>
      <ns0:c r="C792" s="3" t="inlineStr">
        <ns0:is>
          <ns0:t>A</ns0:t>
        </ns0:is>
      </ns0:c>
      <ns0:c r="D792" s="4" t="n">
        <ns0:v>0</ns0:v>
      </ns0:c>
      <ns0:c r="E792" s="4" t="n">
        <ns0:v>500</ns0:v>
      </ns0:c>
      <ns0:c r="F792" s="6" t="n">
        <ns0:v>0.4</ns0:v>
      </ns0:c>
      <ns0:c r="G792" s="4" t="n">
        <ns0:v>0</ns0:v>
      </ns0:c>
      <ns0:c r="H792" s="7" t="n">
        <ns0:v>6014.856070087609</ns0:v>
      </ns0:c>
      <ns0:c r="I792" s="7" t="n">
        <ns0:v>3488.423028785982</ns0:v>
      </ns0:c>
      <ns0:c r="J792" s="7" t="n">
        <ns0:v>1395.369211514393</ns0:v>
      </ns0:c>
      <ns0:c r="K792" s="7" t="n">
        <ns0:v>23</ns0:v>
      </ns0:c>
      <ns0:c r="L792" s="7" t="n">
        <ns0:v>38</ns0:v>
      </ns0:c>
      <ns0:c r="M792" s="7" t="n">
        <ns0:v>-27601.21667544037</ns0:v>
      </ns0:c>
      <ns0:c r="N792" s="7" t="n">
        <ns0:v>20321.0978245423</ns0:v>
      </ns0:c>
      <ns0:c r="O792" s="7" t="n">
        <ns0:v>70209.11945844232</ns0:v>
      </ns0:c>
      <ns0:c r="P792" s="7" t="n">
        <ns0:v>194929.1735431924</ns0:v>
      </ns0:c>
      <ns0:c r="Q792" s="7" t="n">
        <ns0:v>651809.3898821929</ns0:v>
      </ns0:c>
      <ns0:c r="R792" s="7" t="n">
        <ns0:v>2327890.147068695</ns0:v>
      </ns0:c>
    </ns0:row>
    <ns0:row r="793" ht="24" customHeight="1">
      <ns0:c r="A793" s="3" t="inlineStr">
        <ns0:is>
          <ns0:t>セット</ns0:t>
        </ns0:is>
      </ns0:c>
      <ns0:c r="B793" s="3" t="inlineStr">
        <ns0:is>
          <ns0:t>G3三段階</ns0:t>
        </ns0:is>
      </ns0:c>
      <ns0:c r="C793" s="3" t="inlineStr">
        <ns0:is>
          <ns0:t>A</ns0:t>
        </ns0:is>
      </ns0:c>
      <ns0:c r="D793" s="4" t="n">
        <ns0:v>0</ns0:v>
      </ns0:c>
      <ns0:c r="E793" s="4" t="n">
        <ns0:v>500</ns0:v>
      </ns0:c>
      <ns0:c r="F793" s="6" t="n">
        <ns0:v>0.4</ns0:v>
      </ns0:c>
      <ns0:c r="G793" s="4" t="n">
        <ns0:v>1</ns0:v>
      </ns0:c>
      <ns0:c r="H793" s="7" t="n">
        <ns0:v>6014.856070087609</ns0:v>
      </ns0:c>
      <ns0:c r="I793" s="7" t="n">
        <ns0:v>3488.423028785982</ns0:v>
      </ns0:c>
      <ns0:c r="J793" s="7" t="n">
        <ns0:v>1395.369211514393</ns0:v>
      </ns0:c>
      <ns0:c r="K793" s="7" t="n">
        <ns0:v>26</ns0:v>
      </ns0:c>
      <ns0:c r="L793" s="7" t="n">
        <ns0:v>103</ns0:v>
      </ns0:c>
      <ns0:c r="M793" s="7" t="n">
        <ns0:v>-31319.85708141121</ns0:v>
      </ns0:c>
      <ns0:c r="N793" s="7" t="n">
        <ns0:v>9165.176606629775</ns0:v>
      </ns0:c>
      <ns0:c r="O793" s="7" t="n">
        <ns0:v>51615.91742858811</ns0:v>
      </ns0:c>
      <ns0:c r="P793" s="7" t="n">
        <ns0:v>157742.769483484</ns0:v>
      </ns0:c>
      <ns0:c r="Q793" s="7" t="n">
        <ns0:v>540250.1777030677</ns0:v>
      </ns0:c>
      <ns0:c r="R793" s="7" t="n">
        <ns0:v>1956026.106471611</ns0:v>
      </ns0:c>
    </ns0:row>
    <ns0:row r="794" ht="24" customHeight="1">
      <ns0:c r="A794" s="3" t="inlineStr">
        <ns0:is>
          <ns0:t>セット</ns0:t>
        </ns0:is>
      </ns0:c>
      <ns0:c r="B794" s="3" t="inlineStr">
        <ns0:is>
          <ns0:t>G3三段階</ns0:t>
        </ns0:is>
      </ns0:c>
      <ns0:c r="C794" s="3" t="inlineStr">
        <ns0:is>
          <ns0:t>A</ns0:t>
        </ns0:is>
      </ns0:c>
      <ns0:c r="D794" s="4" t="n">
        <ns0:v>0</ns0:v>
      </ns0:c>
      <ns0:c r="E794" s="4" t="n">
        <ns0:v>500</ns0:v>
      </ns0:c>
      <ns0:c r="F794" s="6" t="n">
        <ns0:v>0.4</ns0:v>
      </ns0:c>
      <ns0:c r="G794" s="4" t="n">
        <ns0:v>2</ns0:v>
      </ns0:c>
      <ns0:c r="H794" s="7" t="n">
        <ns0:v>6014.856070087609</ns0:v>
      </ns0:c>
      <ns0:c r="I794" s="7" t="n">
        <ns0:v>3488.423028785982</ns0:v>
      </ns0:c>
      <ns0:c r="J794" s="7" t="n">
        <ns0:v>1395.369211514393</ns0:v>
      </ns0:c>
      <ns0:c r="K794" s="7" t="n">
        <ns0:v>792</ns0:v>
      </ns0:c>
      <ns0:c r="L794" s="18" t="inlineStr">
        <ns0:is>
          <ns0:t>範囲内なし</ns0:t>
        </ns0:is>
      </ns0:c>
      <ns0:c r="M794" s="7" t="n">
        <ns0:v>-50442.66564791765</ns0:v>
      </ns0:c>
      <ns0:c r="N794" s="7" t="n">
        <ns0:v>-48203.24909288956</ns0:v>
      </ns0:c>
      <ns0:c r="O794" s="7" t="n">
        <ns0:v>-43998.1254039441</ns0:v>
      </ns0:c>
      <ns0:c r="P794" s="7" t="n">
        <ns0:v>-33485.31618158039</ns0:v>
      </ns0:c>
      <ns0:c r="Q794" s="7" t="n">
        <ns0:v>-33434.07929212559</ns0:v>
      </ns0:c>
      <ns0:c r="R794" s="7" t="n">
        <ns0:v>43745.24982096627</ns0:v>
      </ns0:c>
    </ns0:row>
    <ns0:row r="795" ht="24" customHeight="1">
      <ns0:c r="A795" s="3" t="inlineStr">
        <ns0:is>
          <ns0:t>セット</ns0:t>
        </ns0:is>
      </ns0:c>
      <ns0:c r="B795" s="3" t="inlineStr">
        <ns0:is>
          <ns0:t>G3三段階</ns0:t>
        </ns0:is>
      </ns0:c>
      <ns0:c r="C795" s="3" t="inlineStr">
        <ns0:is>
          <ns0:t>A</ns0:t>
        </ns0:is>
      </ns0:c>
      <ns0:c r="D795" s="4" t="n">
        <ns0:v>0</ns0:v>
      </ns0:c>
      <ns0:c r="E795" s="4" t="n">
        <ns0:v>500</ns0:v>
      </ns0:c>
      <ns0:c r="F795" s="6" t="n">
        <ns0:v>0.4</ns0:v>
      </ns0:c>
      <ns0:c r="G795" s="4" t="n">
        <ns0:v>3</ns0:v>
      </ns0:c>
      <ns0:c r="H795" s="7" t="n">
        <ns0:v>6014.856070087609</ns0:v>
      </ns0:c>
      <ns0:c r="I795" s="7" t="n">
        <ns0:v>3488.423028785982</ns0:v>
      </ns0:c>
      <ns0:c r="J795" s="7" t="n">
        <ns0:v>1395.369211514393</ns0:v>
      </ns0:c>
      <ns0:c r="K795" s="7" t="n">
        <ns0:v>44</ns0:v>
      </ns0:c>
      <ns0:c r="L795" s="18" t="inlineStr">
        <ns0:is>
          <ns0:t>範囲内なし</ns0:t>
        </ns0:is>
      </ns0:c>
      <ns0:c r="M795" s="7" t="n">
        <ns0:v>-39888.96398198191</ns0:v>
      </ns0:c>
      <ns0:c r="N795" s="7" t="n">
        <ns0:v>-16542.1440950823</ns0:v>
      </ns0:c>
      <ns0:c r="O795" s="7" t="n">
        <ns0:v>8770.382925734652</ns0:v>
      </ns0:c>
      <ns0:c r="P795" s="7" t="n">
        <ns0:v>72051.70047777711</ns0:v>
      </ns0:c>
      <ns0:c r="Q795" s="7" t="n">
        <ns0:v>283176.9706859469</ns0:v>
      </ns0:c>
      <ns0:c r="R795" s="7" t="n">
        <ns0:v>1099115.416414541</ns0:v>
      </ns0:c>
    </ns0:row>
    <ns0:row r="796" ht="24" customHeight="1">
      <ns0:c r="A796" s="3" t="inlineStr">
        <ns0:is>
          <ns0:t>セット</ns0:t>
        </ns0:is>
      </ns0:c>
      <ns0:c r="B796" s="3" t="inlineStr">
        <ns0:is>
          <ns0:t>G3三段階</ns0:t>
        </ns0:is>
      </ns0:c>
      <ns0:c r="C796" s="3" t="inlineStr">
        <ns0:is>
          <ns0:t>A</ns0:t>
        </ns0:is>
      </ns0:c>
      <ns0:c r="D796" s="4" t="n">
        <ns0:v>0</ns0:v>
      </ns0:c>
      <ns0:c r="E796" s="4" t="n">
        <ns0:v>500</ns0:v>
      </ns0:c>
      <ns0:c r="F796" s="6" t="n">
        <ns0:v>0.5</ns0:v>
      </ns0:c>
      <ns0:c r="G796" s="4" t="n">
        <ns0:v>0</ns0:v>
      </ns0:c>
      <ns0:c r="H796" s="7" t="n">
        <ns0:v>6014.856070087609</ns0:v>
      </ns0:c>
      <ns0:c r="I796" s="7" t="n">
        <ns0:v>3488.423028785982</ns0:v>
      </ns0:c>
      <ns0:c r="J796" s="7" t="n">
        <ns0:v>1744.211514392991</ns0:v>
      </ns0:c>
      <ns0:c r="K796" s="7" t="n">
        <ns0:v>26</ns0:v>
      </ns0:c>
      <ns0:c r="L796" s="7" t="n">
        <ns0:v>44</ns0:v>
      </ns0:c>
      <ns0:c r="M796" s="7" t="n">
        <ns0:v>-31089.63970422635</ns0:v>
      </ns0:c>
      <ns0:c r="N796" s="7" t="n">
        <ns0:v>9855.828738184344</ns0:v>
      </ns0:c>
      <ns0:c r="O796" s="7" t="n">
        <ns0:v>52767.00431451241</ns0:v>
      </ns0:c>
      <ns0:c r="P796" s="7" t="n">
        <ns0:v>160044.9432553326</ns0:v>
      </ns0:c>
      <ns0:c r="Q796" s="7" t="n">
        <ns0:v>547156.6990186136</ns0:v>
      </ns0:c>
      <ns0:c r="R796" s="7" t="n">
        <ns0:v>1979047.844190097</ns0:v>
      </ns0:c>
    </ns0:row>
    <ns0:row r="797" ht="24" customHeight="1">
      <ns0:c r="A797" s="3" t="inlineStr">
        <ns0:is>
          <ns0:t>セット</ns0:t>
        </ns0:is>
      </ns0:c>
      <ns0:c r="B797" s="3" t="inlineStr">
        <ns0:is>
          <ns0:t>G3三段階</ns0:t>
        </ns0:is>
      </ns0:c>
      <ns0:c r="C797" s="3" t="inlineStr">
        <ns0:is>
          <ns0:t>A</ns0:t>
        </ns0:is>
      </ns0:c>
      <ns0:c r="D797" s="4" t="n">
        <ns0:v>0</ns0:v>
      </ns0:c>
      <ns0:c r="E797" s="4" t="n">
        <ns0:v>500</ns0:v>
      </ns0:c>
      <ns0:c r="F797" s="6" t="n">
        <ns0:v>0.5</ns0:v>
      </ns0:c>
      <ns0:c r="G797" s="4" t="n">
        <ns0:v>1</ns0:v>
      </ns0:c>
      <ns0:c r="H797" s="7" t="n">
        <ns0:v>6014.856070087609</ns0:v>
      </ns0:c>
      <ns0:c r="I797" s="7" t="n">
        <ns0:v>3488.423028785982</ns0:v>
      </ns0:c>
      <ns0:c r="J797" s="7" t="n">
        <ns0:v>1744.211514392991</ns0:v>
      </ns0:c>
      <ns0:c r="K797" s="7" t="n">
        <ns0:v>31</ns0:v>
      </ns0:c>
      <ns0:c r="L797" s="7" t="n">
        <ns0:v>135</ns0:v>
      </ns0:c>
      <ns0:c r="M797" s="7" t="n">
        <ns0:v>-34808.28011019719</ns0:v>
      </ns0:c>
      <ns0:c r="N797" s="7" t="n">
        <ns0:v>-1300.092479728184</ns0:v>
      </ns0:c>
      <ns0:c r="O797" s="7" t="n">
        <ns0:v>34173.80228465821</ns0:v>
      </ns0:c>
      <ns0:c r="P797" s="7" t="n">
        <ns0:v>122858.5391956242</ns0:v>
      </ns0:c>
      <ns0:c r="Q797" s="7" t="n">
        <ns0:v>435597.4868394883</ns0:v>
      </ns0:c>
      <ns0:c r="R797" s="7" t="n">
        <ns0:v>1607183.803593013</ns0:v>
      </ns0:c>
    </ns0:row>
    <ns0:row r="798" ht="24" customHeight="1">
      <ns0:c r="A798" s="3" t="inlineStr">
        <ns0:is>
          <ns0:t>セット</ns0:t>
        </ns0:is>
      </ns0:c>
      <ns0:c r="B798" s="3" t="inlineStr">
        <ns0:is>
          <ns0:t>G3三段階</ns0:t>
        </ns0:is>
      </ns0:c>
      <ns0:c r="C798" s="3" t="inlineStr">
        <ns0:is>
          <ns0:t>A</ns0:t>
        </ns0:is>
      </ns0:c>
      <ns0:c r="D798" s="4" t="n">
        <ns0:v>0</ns0:v>
      </ns0:c>
      <ns0:c r="E798" s="4" t="n">
        <ns0:v>500</ns0:v>
      </ns0:c>
      <ns0:c r="F798" s="6" t="n">
        <ns0:v>0.5</ns0:v>
      </ns0:c>
      <ns0:c r="G798" s="4" t="n">
        <ns0:v>2</ns0:v>
      </ns0:c>
      <ns0:c r="H798" s="7" t="n">
        <ns0:v>6014.856070087609</ns0:v>
      </ns0:c>
      <ns0:c r="I798" s="7" t="n">
        <ns0:v>3488.423028785982</ns0:v>
      </ns0:c>
      <ns0:c r="J798" s="7" t="n">
        <ns0:v>1744.211514392991</ns0:v>
      </ns0:c>
      <ns0:c r="K798" s="18" t="inlineStr">
        <ns0:is>
          <ns0:t>範囲内なし</ns0:t>
        </ns0:is>
      </ns0:c>
      <ns0:c r="L798" s="18" t="inlineStr">
        <ns0:is>
          <ns0:t>範囲内なし</ns0:t>
        </ns0:is>
      </ns0:c>
      <ns0:c r="M798" s="7" t="n">
        <ns0:v>-53931.08867670364</ns0:v>
      </ns0:c>
      <ns0:c r="N798" s="7" t="n">
        <ns0:v>-58668.51817924752</ns0:v>
      </ns0:c>
      <ns0:c r="O798" s="7" t="n">
        <ns0:v>-61440.240547874</ns0:v>
      </ns0:c>
      <ns0:c r="P798" s="7" t="n">
        <ns0:v>-68369.54646944019</ns0:v>
      </ns0:c>
      <ns0:c r="Q798" s="7" t="n">
        <ns0:v>-138086.770155705</ns0:v>
      </ns0:c>
      <ns0:c r="R798" s="7" t="n">
        <ns0:v>-305097.0530576317</ns0:v>
      </ns0:c>
    </ns0:row>
    <ns0:row r="799" ht="24" customHeight="1">
      <ns0:c r="A799" s="3" t="inlineStr">
        <ns0:is>
          <ns0:t>セット</ns0:t>
        </ns0:is>
      </ns0:c>
      <ns0:c r="B799" s="3" t="inlineStr">
        <ns0:is>
          <ns0:t>G3三段階</ns0:t>
        </ns0:is>
      </ns0:c>
      <ns0:c r="C799" s="3" t="inlineStr">
        <ns0:is>
          <ns0:t>A</ns0:t>
        </ns0:is>
      </ns0:c>
      <ns0:c r="D799" s="4" t="n">
        <ns0:v>0</ns0:v>
      </ns0:c>
      <ns0:c r="E799" s="4" t="n">
        <ns0:v>500</ns0:v>
      </ns0:c>
      <ns0:c r="F799" s="6" t="n">
        <ns0:v>0.5</ns0:v>
      </ns0:c>
      <ns0:c r="G799" s="4" t="n">
        <ns0:v>3</ns0:v>
      </ns0:c>
      <ns0:c r="H799" s="7" t="n">
        <ns0:v>6014.856070087609</ns0:v>
      </ns0:c>
      <ns0:c r="I799" s="7" t="n">
        <ns0:v>3488.423028785982</ns0:v>
      </ns0:c>
      <ns0:c r="J799" s="7" t="n">
        <ns0:v>1744.211514392991</ns0:v>
      </ns0:c>
      <ns0:c r="K799" s="7" t="n">
        <ns0:v>106</ns0:v>
      </ns0:c>
      <ns0:c r="L799" s="18" t="inlineStr">
        <ns0:is>
          <ns0:t>範囲内なし</ns0:t>
        </ns0:is>
      </ns0:c>
      <ns0:c r="M799" s="7" t="n">
        <ns0:v>-43377.38701076789</ns0:v>
      </ns0:c>
      <ns0:c r="N799" s="7" t="n">
        <ns0:v>-27007.41318144026</ns0:v>
      </ns0:c>
      <ns0:c r="O799" s="7" t="n">
        <ns0:v>-8671.732218195248</ns0:v>
      </ns0:c>
      <ns0:c r="P799" s="7" t="n">
        <ns0:v>37167.47018991731</ns0:v>
      </ns0:c>
      <ns0:c r="Q799" s="7" t="n">
        <ns0:v>178524.2798223675</ns0:v>
      </ns0:c>
      <ns0:c r="R799" s="7" t="n">
        <ns0:v>750273.1135359432</ns0:v>
      </ns0:c>
    </ns0:row>
    <ns0:row r="800" ht="24" customHeight="1">
      <ns0:c r="A800" s="3" t="inlineStr">
        <ns0:is>
          <ns0:t>セット</ns0:t>
        </ns0:is>
      </ns0:c>
      <ns0:c r="B800" s="3" t="inlineStr">
        <ns0:is>
          <ns0:t>G3三段階</ns0:t>
        </ns0:is>
      </ns0:c>
      <ns0:c r="C800" s="3" t="inlineStr">
        <ns0:is>
          <ns0:t>A</ns0:t>
        </ns0:is>
      </ns0:c>
      <ns0:c r="D800" s="4" t="n">
        <ns0:v>0</ns0:v>
      </ns0:c>
      <ns0:c r="E800" s="4" t="n">
        <ns0:v>1000</ns0:v>
      </ns0:c>
      <ns0:c r="F800" s="6" t="n">
        <ns0:v>0.3</ns0:v>
      </ns0:c>
      <ns0:c r="G800" s="4" t="n">
        <ns0:v>0</ns0:v>
      </ns0:c>
      <ns0:c r="H800" s="7" t="n">
        <ns0:v>5514.856070087608</ns0:v>
      </ns0:c>
      <ns0:c r="I800" s="7" t="n">
        <ns0:v>2988.423028785982</ns0:v>
      </ns0:c>
      <ns0:c r="J800" s="7" t="n">
        <ns0:v>896.5269086357945</ns0:v>
      </ns0:c>
      <ns0:c r="K800" s="7" t="n">
        <ns0:v>22</ns0:v>
      </ns0:c>
      <ns0:c r="L800" s="7" t="n">
        <ns0:v>38</ns0:v>
      </ns0:c>
      <ns0:c r="M800" s="7" t="n">
        <ns0:v>-27432.79364665439</ns0:v>
      </ns0:c>
      <ns0:c r="N800" s="7" t="n">
        <ns0:v>20826.36691090024</ns0:v>
      </ns0:c>
      <ns0:c r="O800" s="7" t="n">
        <ns0:v>71051.23460237225</ns0:v>
      </ns0:c>
      <ns0:c r="P800" s="7" t="n">
        <ns0:v>196613.4038310523</ns0:v>
      </ns0:c>
      <ns0:c r="Q800" s="7" t="n">
        <ns0:v>656862.0807457725</ns0:v>
      </ns0:c>
      <ns0:c r="R800" s="7" t="n">
        <ns0:v>2344732.449947294</ns0:v>
      </ns0:c>
    </ns0:row>
    <ns0:row r="801" ht="24" customHeight="1">
      <ns0:c r="A801" s="3" t="inlineStr">
        <ns0:is>
          <ns0:t>セット</ns0:t>
        </ns0:is>
      </ns0:c>
      <ns0:c r="B801" s="3" t="inlineStr">
        <ns0:is>
          <ns0:t>G3三段階</ns0:t>
        </ns0:is>
      </ns0:c>
      <ns0:c r="C801" s="3" t="inlineStr">
        <ns0:is>
          <ns0:t>A</ns0:t>
        </ns0:is>
      </ns0:c>
      <ns0:c r="D801" s="4" t="n">
        <ns0:v>0</ns0:v>
      </ns0:c>
      <ns0:c r="E801" s="4" t="n">
        <ns0:v>1000</ns0:v>
      </ns0:c>
      <ns0:c r="F801" s="6" t="n">
        <ns0:v>0.3</ns0:v>
      </ns0:c>
      <ns0:c r="G801" s="4" t="n">
        <ns0:v>1</ns0:v>
      </ns0:c>
      <ns0:c r="H801" s="7" t="n">
        <ns0:v>5514.856070087608</ns0:v>
      </ns0:c>
      <ns0:c r="I801" s="7" t="n">
        <ns0:v>2988.423028785982</ns0:v>
      </ns0:c>
      <ns0:c r="J801" s="7" t="n">
        <ns0:v>896.5269086357945</ns0:v>
      </ns0:c>
      <ns0:c r="K801" s="7" t="n">
        <ns0:v>26</ns0:v>
      </ns0:c>
      <ns0:c r="L801" s="7" t="n">
        <ns0:v>102</ns0:v>
      </ns0:c>
      <ns0:c r="M801" s="7" t="n">
        <ns0:v>-31151.43405262523</ns0:v>
      </ns0:c>
      <ns0:c r="N801" s="7" t="n">
        <ns0:v>9670.445692987716</ns0:v>
      </ns0:c>
      <ns0:c r="O801" s="7" t="n">
        <ns0:v>52458.03257251805</ns0:v>
      </ns0:c>
      <ns0:c r="P801" s="7" t="n">
        <ns0:v>159426.9997713439</ns0:v>
      </ns0:c>
      <ns0:c r="Q801" s="7" t="n">
        <ns0:v>545302.8685666472</ns0:v>
      </ns0:c>
      <ns0:c r="R801" s="7" t="n">
        <ns0:v>1972868.40935021</ns0:v>
      </ns0:c>
    </ns0:row>
    <ns0:row r="802" ht="24" customHeight="1">
      <ns0:c r="A802" s="3" t="inlineStr">
        <ns0:is>
          <ns0:t>セット</ns0:t>
        </ns0:is>
      </ns0:c>
      <ns0:c r="B802" s="3" t="inlineStr">
        <ns0:is>
          <ns0:t>G3三段階</ns0:t>
        </ns0:is>
      </ns0:c>
      <ns0:c r="C802" s="3" t="inlineStr">
        <ns0:is>
          <ns0:t>A</ns0:t>
        </ns0:is>
      </ns0:c>
      <ns0:c r="D802" s="4" t="n">
        <ns0:v>0</ns0:v>
      </ns0:c>
      <ns0:c r="E802" s="4" t="n">
        <ns0:v>1000</ns0:v>
      </ns0:c>
      <ns0:c r="F802" s="6" t="n">
        <ns0:v>0.3</ns0:v>
      </ns0:c>
      <ns0:c r="G802" s="4" t="n">
        <ns0:v>2</ns0:v>
      </ns0:c>
      <ns0:c r="H802" s="7" t="n">
        <ns0:v>5514.856070087608</ns0:v>
      </ns0:c>
      <ns0:c r="I802" s="7" t="n">
        <ns0:v>2988.423028785982</ns0:v>
      </ns0:c>
      <ns0:c r="J802" s="7" t="n">
        <ns0:v>896.5269086357945</ns0:v>
      </ns0:c>
      <ns0:c r="K802" s="7" t="n">
        <ns0:v>734</ns0:v>
      </ns0:c>
      <ns0:c r="L802" s="18" t="inlineStr">
        <ns0:is>
          <ns0:t>範囲内なし</ns0:t>
        </ns0:is>
      </ns0:c>
      <ns0:c r="M802" s="7" t="n">
        <ns0:v>-50274.24261913168</ns0:v>
      </ns0:c>
      <ns0:c r="N802" s="7" t="n">
        <ns0:v>-47697.98000653161</ns0:v>
      </ns0:c>
      <ns0:c r="O802" s="7" t="n">
        <ns0:v>-43156.01026001417</ns0:v>
      </ns0:c>
      <ns0:c r="P802" s="7" t="n">
        <ns0:v>-31801.08589372053</ns0:v>
      </ns0:c>
      <ns0:c r="Q802" s="7" t="n">
        <ns0:v>-28381.38842854608</ns0:v>
      </ns0:c>
      <ns0:c r="R802" s="7" t="n">
        <ns0:v>60587.55269956565</ns0:v>
      </ns0:c>
    </ns0:row>
    <ns0:row r="803" ht="24" customHeight="1">
      <ns0:c r="A803" s="3" t="inlineStr">
        <ns0:is>
          <ns0:t>セット</ns0:t>
        </ns0:is>
      </ns0:c>
      <ns0:c r="B803" s="3" t="inlineStr">
        <ns0:is>
          <ns0:t>G3三段階</ns0:t>
        </ns0:is>
      </ns0:c>
      <ns0:c r="C803" s="3" t="inlineStr">
        <ns0:is>
          <ns0:t>A</ns0:t>
        </ns0:is>
      </ns0:c>
      <ns0:c r="D803" s="4" t="n">
        <ns0:v>0</ns0:v>
      </ns0:c>
      <ns0:c r="E803" s="4" t="n">
        <ns0:v>1000</ns0:v>
      </ns0:c>
      <ns0:c r="F803" s="6" t="n">
        <ns0:v>0.3</ns0:v>
      </ns0:c>
      <ns0:c r="G803" s="4" t="n">
        <ns0:v>3</ns0:v>
      </ns0:c>
      <ns0:c r="H803" s="7" t="n">
        <ns0:v>5514.856070087608</ns0:v>
      </ns0:c>
      <ns0:c r="I803" s="7" t="n">
        <ns0:v>2988.423028785982</ns0:v>
      </ns0:c>
      <ns0:c r="J803" s="7" t="n">
        <ns0:v>896.5269086357945</ns0:v>
      </ns0:c>
      <ns0:c r="K803" s="7" t="n">
        <ns0:v>43</ns0:v>
      </ns0:c>
      <ns0:c r="L803" s="18" t="inlineStr">
        <ns0:is>
          <ns0:t>範囲内なし</ns0:t>
        </ns0:is>
      </ns0:c>
      <ns0:c r="M803" s="7" t="n">
        <ns0:v>-39720.54095319593</ns0:v>
      </ns0:c>
      <ns0:c r="N803" s="7" t="n">
        <ns0:v>-16036.87500872437</ns0:v>
      </ns0:c>
      <ns0:c r="O803" s="7" t="n">
        <ns0:v>9612.498069664594</ns0:v>
      </ns0:c>
      <ns0:c r="P803" s="7" t="n">
        <ns0:v>73735.93076563699</ns0:v>
      </ns0:c>
      <ns0:c r="Q803" s="7" t="n">
        <ns0:v>288229.6615495264</ns0:v>
      </ns0:c>
      <ns0:c r="R803" s="7" t="n">
        <ns0:v>1115957.719293141</ns0:v>
      </ns0:c>
    </ns0:row>
    <ns0:row r="804" ht="24" customHeight="1">
      <ns0:c r="A804" s="3" t="inlineStr">
        <ns0:is>
          <ns0:t>セット</ns0:t>
        </ns0:is>
      </ns0:c>
      <ns0:c r="B804" s="3" t="inlineStr">
        <ns0:is>
          <ns0:t>G3三段階</ns0:t>
        </ns0:is>
      </ns0:c>
      <ns0:c r="C804" s="3" t="inlineStr">
        <ns0:is>
          <ns0:t>A</ns0:t>
        </ns0:is>
      </ns0:c>
      <ns0:c r="D804" s="4" t="n">
        <ns0:v>0</ns0:v>
      </ns0:c>
      <ns0:c r="E804" s="4" t="n">
        <ns0:v>1000</ns0:v>
      </ns0:c>
      <ns0:c r="F804" s="6" t="n">
        <ns0:v>0.4</ns0:v>
      </ns0:c>
      <ns0:c r="G804" s="4" t="n">
        <ns0:v>0</ns0:v>
      </ns0:c>
      <ns0:c r="H804" s="7" t="n">
        <ns0:v>5514.856070087608</ns0:v>
      </ns0:c>
      <ns0:c r="I804" s="7" t="n">
        <ns0:v>2988.423028785982</ns0:v>
      </ns0:c>
      <ns0:c r="J804" s="7" t="n">
        <ns0:v>1195.369211514393</ns0:v>
      </ns0:c>
      <ns0:c r="K804" s="7" t="n">
        <ns0:v>25</ns0:v>
      </ns0:c>
      <ns0:c r="L804" s="7" t="n">
        <ns0:v>43</ns0:v>
      </ns0:c>
      <ns0:c r="M804" s="7" t="n">
        <ns0:v>-30421.21667544037</ns0:v>
      </ns0:c>
      <ns0:c r="N804" s="7" t="n">
        <ns0:v>11861.0978245423</ns0:v>
      </ns0:c>
      <ns0:c r="O804" s="7" t="n">
        <ns0:v>56109.11945844234</ns0:v>
      </ns0:c>
      <ns0:c r="P804" s="7" t="n">
        <ns0:v>166729.1735431925</ns0:v>
      </ns0:c>
      <ns0:c r="Q804" s="7" t="n">
        <ns0:v>567209.3898821931</ns0:v>
      </ns0:c>
      <ns0:c r="R804" s="7" t="n">
        <ns0:v>2045890.147068696</ns0:v>
      </ns0:c>
    </ns0:row>
    <ns0:row r="805" ht="24" customHeight="1">
      <ns0:c r="A805" s="3" t="inlineStr">
        <ns0:is>
          <ns0:t>セット</ns0:t>
        </ns0:is>
      </ns0:c>
      <ns0:c r="B805" s="3" t="inlineStr">
        <ns0:is>
          <ns0:t>G3三段階</ns0:t>
        </ns0:is>
      </ns0:c>
      <ns0:c r="C805" s="3" t="inlineStr">
        <ns0:is>
          <ns0:t>A</ns0:t>
        </ns0:is>
      </ns0:c>
      <ns0:c r="D805" s="4" t="n">
        <ns0:v>0</ns0:v>
      </ns0:c>
      <ns0:c r="E805" s="4" t="n">
        <ns0:v>1000</ns0:v>
      </ns0:c>
      <ns0:c r="F805" s="6" t="n">
        <ns0:v>0.4</ns0:v>
      </ns0:c>
      <ns0:c r="G805" s="4" t="n">
        <ns0:v>1</ns0:v>
      </ns0:c>
      <ns0:c r="H805" s="7" t="n">
        <ns0:v>5514.856070087608</ns0:v>
      </ns0:c>
      <ns0:c r="I805" s="7" t="n">
        <ns0:v>2988.423028785982</ns0:v>
      </ns0:c>
      <ns0:c r="J805" s="7" t="n">
        <ns0:v>1195.369211514393</ns0:v>
      </ns0:c>
      <ns0:c r="K805" s="7" t="n">
        <ns0:v>30</ns0:v>
      </ns0:c>
      <ns0:c r="L805" s="7" t="n">
        <ns0:v>128</ns0:v>
      </ns0:c>
      <ns0:c r="M805" s="7" t="n">
        <ns0:v>-34139.85708141122</ns0:v>
      </ns0:c>
      <ns0:c r="N805" s="7" t="n">
        <ns0:v>705.1766066297714</ns0:v>
      </ns0:c>
      <ns0:c r="O805" s="7" t="n">
        <ns0:v>37515.91742858814</ns0:v>
      </ns0:c>
      <ns0:c r="P805" s="7" t="n">
        <ns0:v>129542.7694834841</ns0:v>
      </ns0:c>
      <ns0:c r="Q805" s="7" t="n">
        <ns0:v>455650.1777030678</ns0:v>
      </ns0:c>
      <ns0:c r="R805" s="7" t="n">
        <ns0:v>1674026.106471611</ns0:v>
      </ns0:c>
    </ns0:row>
    <ns0:row r="806" ht="24" customHeight="1">
      <ns0:c r="A806" s="3" t="inlineStr">
        <ns0:is>
          <ns0:t>セット</ns0:t>
        </ns0:is>
      </ns0:c>
      <ns0:c r="B806" s="3" t="inlineStr">
        <ns0:is>
          <ns0:t>G3三段階</ns0:t>
        </ns0:is>
      </ns0:c>
      <ns0:c r="C806" s="3" t="inlineStr">
        <ns0:is>
          <ns0:t>A</ns0:t>
        </ns0:is>
      </ns0:c>
      <ns0:c r="D806" s="4" t="n">
        <ns0:v>0</ns0:v>
      </ns0:c>
      <ns0:c r="E806" s="4" t="n">
        <ns0:v>1000</ns0:v>
      </ns0:c>
      <ns0:c r="F806" s="6" t="n">
        <ns0:v>0.4</ns0:v>
      </ns0:c>
      <ns0:c r="G806" s="4" t="n">
        <ns0:v>2</ns0:v>
      </ns0:c>
      <ns0:c r="H806" s="7" t="n">
        <ns0:v>5514.856070087608</ns0:v>
      </ns0:c>
      <ns0:c r="I806" s="7" t="n">
        <ns0:v>2988.423028785982</ns0:v>
      </ns0:c>
      <ns0:c r="J806" s="7" t="n">
        <ns0:v>1195.369211514393</ns0:v>
      </ns0:c>
      <ns0:c r="K806" s="18" t="inlineStr">
        <ns0:is>
          <ns0:t>範囲内なし</ns0:t>
        </ns0:is>
      </ns0:c>
      <ns0:c r="L806" s="18" t="inlineStr">
        <ns0:is>
          <ns0:t>範囲内なし</ns0:t>
        </ns0:is>
      </ns0:c>
      <ns0:c r="M806" s="7" t="n">
        <ns0:v>-53262.66564791766</ns0:v>
      </ns0:c>
      <ns0:c r="N806" s="7" t="n">
        <ns0:v>-56663.24909288954</ns0:v>
      </ns0:c>
      <ns0:c r="O806" s="7" t="n">
        <ns0:v>-58098.12540394407</ns0:v>
      </ns0:c>
      <ns0:c r="P806" s="7" t="n">
        <ns0:v>-61685.31618158033</ns0:v>
      </ns0:c>
      <ns0:c r="Q806" s="7" t="n">
        <ns0:v>-118034.0792921255</ns0:v>
      </ns0:c>
      <ns0:c r="R806" s="7" t="n">
        <ns0:v>-238254.750179033</ns0:v>
      </ns0:c>
    </ns0:row>
    <ns0:row r="807" ht="24" customHeight="1">
      <ns0:c r="A807" s="3" t="inlineStr">
        <ns0:is>
          <ns0:t>セット</ns0:t>
        </ns0:is>
      </ns0:c>
      <ns0:c r="B807" s="3" t="inlineStr">
        <ns0:is>
          <ns0:t>G3三段階</ns0:t>
        </ns0:is>
      </ns0:c>
      <ns0:c r="C807" s="3" t="inlineStr">
        <ns0:is>
          <ns0:t>A</ns0:t>
        </ns0:is>
      </ns0:c>
      <ns0:c r="D807" s="4" t="n">
        <ns0:v>0</ns0:v>
      </ns0:c>
      <ns0:c r="E807" s="4" t="n">
        <ns0:v>1000</ns0:v>
      </ns0:c>
      <ns0:c r="F807" s="6" t="n">
        <ns0:v>0.4</ns0:v>
      </ns0:c>
      <ns0:c r="G807" s="4" t="n">
        <ns0:v>3</ns0:v>
      </ns0:c>
      <ns0:c r="H807" s="7" t="n">
        <ns0:v>5514.856070087608</ns0:v>
      </ns0:c>
      <ns0:c r="I807" s="7" t="n">
        <ns0:v>2988.423028785982</ns0:v>
      </ns0:c>
      <ns0:c r="J807" s="7" t="n">
        <ns0:v>1195.369211514393</ns0:v>
      </ns0:c>
      <ns0:c r="K807" s="7" t="n">
        <ns0:v>56</ns0:v>
      </ns0:c>
      <ns0:c r="L807" s="18" t="inlineStr">
        <ns0:is>
          <ns0:t>範囲内なし</ns0:t>
        </ns0:is>
      </ns0:c>
      <ns0:c r="M807" s="7" t="n">
        <ns0:v>-42708.96398198191</ns0:v>
      </ns0:c>
      <ns0:c r="N807" s="7" t="n">
        <ns0:v>-25002.14409508231</ns0:v>
      </ns0:c>
      <ns0:c r="O807" s="7" t="n">
        <ns0:v>-5329.617074265319</ns0:v>
      </ns0:c>
      <ns0:c r="P807" s="7" t="n">
        <ns0:v>43851.70047777717</ns0:v>
      </ns0:c>
      <ns0:c r="Q807" s="7" t="n">
        <ns0:v>198576.970685947</ns0:v>
      </ns0:c>
      <ns0:c r="R807" s="7" t="n">
        <ns0:v>817115.4164145419</ns0:v>
      </ns0:c>
    </ns0:row>
    <ns0:row r="808" ht="24" customHeight="1">
      <ns0:c r="A808" s="3" t="inlineStr">
        <ns0:is>
          <ns0:t>セット</ns0:t>
        </ns0:is>
      </ns0:c>
      <ns0:c r="B808" s="3" t="inlineStr">
        <ns0:is>
          <ns0:t>G3三段階</ns0:t>
        </ns0:is>
      </ns0:c>
      <ns0:c r="C808" s="3" t="inlineStr">
        <ns0:is>
          <ns0:t>A</ns0:t>
        </ns0:is>
      </ns0:c>
      <ns0:c r="D808" s="4" t="n">
        <ns0:v>0</ns0:v>
      </ns0:c>
      <ns0:c r="E808" s="4" t="n">
        <ns0:v>1000</ns0:v>
      </ns0:c>
      <ns0:c r="F808" s="6" t="n">
        <ns0:v>0.5</ns0:v>
      </ns0:c>
      <ns0:c r="G808" s="4" t="n">
        <ns0:v>0</ns0:v>
      </ns0:c>
      <ns0:c r="H808" s="7" t="n">
        <ns0:v>5514.856070087608</ns0:v>
      </ns0:c>
      <ns0:c r="I808" s="7" t="n">
        <ns0:v>2988.423028785982</ns0:v>
      </ns0:c>
      <ns0:c r="J808" s="7" t="n">
        <ns0:v>1494.211514392991</ns0:v>
      </ns0:c>
      <ns0:c r="K808" s="7" t="n">
        <ns0:v>29</ns0:v>
      </ns0:c>
      <ns0:c r="L808" s="7" t="n">
        <ns0:v>50</ns0:v>
      </ns0:c>
      <ns0:c r="M808" s="7" t="n">
        <ns0:v>-33409.63970422636</ns0:v>
      </ns0:c>
      <ns0:c r="N808" s="7" t="n">
        <ns0:v>2895.828738184358</ns0:v>
      </ns0:c>
      <ns0:c r="O808" s="7" t="n">
        <ns0:v>41167.00431451243</ns0:v>
      </ns0:c>
      <ns0:c r="P808" s="7" t="n">
        <ns0:v>136844.9432553326</ns0:v>
      </ns0:c>
      <ns0:c r="Q808" s="7" t="n">
        <ns0:v>477556.6990186136</ns0:v>
      </ns0:c>
      <ns0:c r="R808" s="7" t="n">
        <ns0:v>1747047.844190098</ns0:v>
      </ns0:c>
    </ns0:row>
    <ns0:row r="809" ht="24" customHeight="1">
      <ns0:c r="A809" s="3" t="inlineStr">
        <ns0:is>
          <ns0:t>セット</ns0:t>
        </ns0:is>
      </ns0:c>
      <ns0:c r="B809" s="3" t="inlineStr">
        <ns0:is>
          <ns0:t>G3三段階</ns0:t>
        </ns0:is>
      </ns0:c>
      <ns0:c r="C809" s="3" t="inlineStr">
        <ns0:is>
          <ns0:t>A</ns0:t>
        </ns0:is>
      </ns0:c>
      <ns0:c r="D809" s="4" t="n">
        <ns0:v>0</ns0:v>
      </ns0:c>
      <ns0:c r="E809" s="4" t="n">
        <ns0:v>1000</ns0:v>
      </ns0:c>
      <ns0:c r="F809" s="6" t="n">
        <ns0:v>0.5</ns0:v>
      </ns0:c>
      <ns0:c r="G809" s="4" t="n">
        <ns0:v>1</ns0:v>
      </ns0:c>
      <ns0:c r="H809" s="7" t="n">
        <ns0:v>5514.856070087608</ns0:v>
      </ns0:c>
      <ns0:c r="I809" s="7" t="n">
        <ns0:v>2988.423028785982</ns0:v>
      </ns0:c>
      <ns0:c r="J809" s="7" t="n">
        <ns0:v>1494.211514392991</ns0:v>
      </ns0:c>
      <ns0:c r="K809" s="7" t="n">
        <ns0:v>36</ns0:v>
      </ns0:c>
      <ns0:c r="L809" s="7" t="n">
        <ns0:v>172</ns0:v>
      </ns0:c>
      <ns0:c r="M809" s="7" t="n">
        <ns0:v>-37128.2801101972</ns0:v>
      </ns0:c>
      <ns0:c r="N809" s="7" t="n">
        <ns0:v>-8260.092479728166</ns0:v>
      </ns0:c>
      <ns0:c r="O809" s="7" t="n">
        <ns0:v>22573.80228465822</ns0:v>
      </ns0:c>
      <ns0:c r="P809" s="7" t="n">
        <ns0:v>99658.53919562424</ns0:v>
      </ns0:c>
      <ns0:c r="Q809" s="7" t="n">
        <ns0:v>365997.4868394883</ns0:v>
      </ns0:c>
      <ns0:c r="R809" s="7" t="n">
        <ns0:v>1375183.803593014</ns0:v>
      </ns0:c>
    </ns0:row>
    <ns0:row r="810" ht="24" customHeight="1">
      <ns0:c r="A810" s="3" t="inlineStr">
        <ns0:is>
          <ns0:t>セット</ns0:t>
        </ns0:is>
      </ns0:c>
      <ns0:c r="B810" s="3" t="inlineStr">
        <ns0:is>
          <ns0:t>G3三段階</ns0:t>
        </ns0:is>
      </ns0:c>
      <ns0:c r="C810" s="3" t="inlineStr">
        <ns0:is>
          <ns0:t>A</ns0:t>
        </ns0:is>
      </ns0:c>
      <ns0:c r="D810" s="4" t="n">
        <ns0:v>0</ns0:v>
      </ns0:c>
      <ns0:c r="E810" s="4" t="n">
        <ns0:v>1000</ns0:v>
      </ns0:c>
      <ns0:c r="F810" s="6" t="n">
        <ns0:v>0.5</ns0:v>
      </ns0:c>
      <ns0:c r="G810" s="4" t="n">
        <ns0:v>2</ns0:v>
      </ns0:c>
      <ns0:c r="H810" s="7" t="n">
        <ns0:v>5514.856070087608</ns0:v>
      </ns0:c>
      <ns0:c r="I810" s="7" t="n">
        <ns0:v>2988.423028785982</ns0:v>
      </ns0:c>
      <ns0:c r="J810" s="7" t="n">
        <ns0:v>1494.211514392991</ns0:v>
      </ns0:c>
      <ns0:c r="K810" s="18" t="inlineStr">
        <ns0:is>
          <ns0:t>範囲内なし</ns0:t>
        </ns0:is>
      </ns0:c>
      <ns0:c r="L810" s="18" t="inlineStr">
        <ns0:is>
          <ns0:t>範囲内なし</ns0:t>
        </ns0:is>
      </ns0:c>
      <ns0:c r="M810" s="7" t="n">
        <ns0:v>-56251.08867670364</ns0:v>
      </ns0:c>
      <ns0:c r="N810" s="7" t="n">
        <ns0:v>-65628.51817924749</ns0:v>
      </ns0:c>
      <ns0:c r="O810" s="7" t="n">
        <ns0:v>-73040.240547874</ns0:v>
      </ns0:c>
      <ns0:c r="P810" s="7" t="n">
        <ns0:v>-91569.54646944019</ns0:v>
      </ns0:c>
      <ns0:c r="Q810" s="7" t="n">
        <ns0:v>-207686.770155705</ns0:v>
      </ns0:c>
      <ns0:c r="R810" s="7" t="n">
        <ns0:v>-537097.0530576308</ns0:v>
      </ns0:c>
    </ns0:row>
    <ns0:row r="811" ht="24" customHeight="1">
      <ns0:c r="A811" s="3" t="inlineStr">
        <ns0:is>
          <ns0:t>セット</ns0:t>
        </ns0:is>
      </ns0:c>
      <ns0:c r="B811" s="3" t="inlineStr">
        <ns0:is>
          <ns0:t>G3三段階</ns0:t>
        </ns0:is>
      </ns0:c>
      <ns0:c r="C811" s="3" t="inlineStr">
        <ns0:is>
          <ns0:t>A</ns0:t>
        </ns0:is>
      </ns0:c>
      <ns0:c r="D811" s="4" t="n">
        <ns0:v>0</ns0:v>
      </ns0:c>
      <ns0:c r="E811" s="4" t="n">
        <ns0:v>1000</ns0:v>
      </ns0:c>
      <ns0:c r="F811" s="6" t="n">
        <ns0:v>0.5</ns0:v>
      </ns0:c>
      <ns0:c r="G811" s="4" t="n">
        <ns0:v>3</ns0:v>
      </ns0:c>
      <ns0:c r="H811" s="7" t="n">
        <ns0:v>5514.856070087608</ns0:v>
      </ns0:c>
      <ns0:c r="I811" s="7" t="n">
        <ns0:v>2988.423028785982</ns0:v>
      </ns0:c>
      <ns0:c r="J811" s="7" t="n">
        <ns0:v>1494.211514392991</ns0:v>
      </ns0:c>
      <ns0:c r="K811" s="7" t="n">
        <ns0:v>141</ns0:v>
      </ns0:c>
      <ns0:c r="L811" s="18" t="inlineStr">
        <ns0:is>
          <ns0:t>範囲内なし</ns0:t>
        </ns0:is>
      </ns0:c>
      <ns0:c r="M811" s="7" t="n">
        <ns0:v>-45697.3870107679</ns0:v>
      </ns0:c>
      <ns0:c r="N811" s="7" t="n">
        <ns0:v>-33967.41318144025</ns0:v>
      </ns0:c>
      <ns0:c r="O811" s="7" t="n">
        <ns0:v>-20271.73221819523</ns0:v>
      </ns0:c>
      <ns0:c r="P811" s="7" t="n">
        <ns0:v>13967.47018991734</ns0:v>
      </ns0:c>
      <ns0:c r="Q811" s="7" t="n">
        <ns0:v>108924.2798223675</ns0:v>
      </ns0:c>
      <ns0:c r="R811" s="7" t="n">
        <ns0:v>518273.1135359441</ns0:v>
      </ns0:c>
    </ns0:row>
    <ns0:row r="812" ht="24" customHeight="1">
      <ns0:c r="A812" s="3" t="inlineStr">
        <ns0:is>
          <ns0:t>セット</ns0:t>
        </ns0:is>
      </ns0:c>
      <ns0:c r="B812" s="3" t="inlineStr">
        <ns0:is>
          <ns0:t>G3三段階</ns0:t>
        </ns0:is>
      </ns0:c>
      <ns0:c r="C812" s="3" t="inlineStr">
        <ns0:is>
          <ns0:t>A</ns0:t>
        </ns0:is>
      </ns0:c>
      <ns0:c r="D812" s="4" t="n">
        <ns0:v>0</ns0:v>
      </ns0:c>
      <ns0:c r="E812" s="4" t="n">
        <ns0:v>1500</ns0:v>
      </ns0:c>
      <ns0:c r="F812" s="6" t="n">
        <ns0:v>0.3</ns0:v>
      </ns0:c>
      <ns0:c r="G812" s="4" t="n">
        <ns0:v>0</ns0:v>
      </ns0:c>
      <ns0:c r="H812" s="7" t="n">
        <ns0:v>5014.85607008761</ns0:v>
      </ns0:c>
      <ns0:c r="I812" s="7" t="n">
        <ns0:v>2488.423028785983</ns0:v>
      </ns0:c>
      <ns0:c r="J812" s="7" t="n">
        <ns0:v>746.5269086357948</ns0:v>
      </ns0:c>
      <ns0:c r="K812" s="7" t="n">
        <ns0:v>26</ns0:v>
      </ns0:c>
      <ns0:c r="L812" s="7" t="n">
        <ns0:v>44</ns0:v>
      </ns0:c>
      <ns0:c r="M812" s="7" t="n">
        <ns0:v>-30752.79364665439</ns0:v>
      </ns0:c>
      <ns0:c r="N812" s="7" t="n">
        <ns0:v>10866.36691090025</ns0:v>
      </ns0:c>
      <ns0:c r="O812" s="7" t="n">
        <ns0:v>54451.23460237229</ns0:v>
      </ns0:c>
      <ns0:c r="P812" s="7" t="n">
        <ns0:v>163413.4038310524</ns0:v>
      </ns0:c>
      <ns0:c r="Q812" s="7" t="n">
        <ns0:v>557262.0807457725</ns0:v>
      </ns0:c>
      <ns0:c r="R812" s="7" t="n">
        <ns0:v>2012732.449947294</ns0:v>
      </ns0:c>
    </ns0:row>
    <ns0:row r="813" ht="24" customHeight="1">
      <ns0:c r="A813" s="3" t="inlineStr">
        <ns0:is>
          <ns0:t>セット</ns0:t>
        </ns0:is>
      </ns0:c>
      <ns0:c r="B813" s="3" t="inlineStr">
        <ns0:is>
          <ns0:t>G3三段階</ns0:t>
        </ns0:is>
      </ns0:c>
      <ns0:c r="C813" s="3" t="inlineStr">
        <ns0:is>
          <ns0:t>A</ns0:t>
        </ns0:is>
      </ns0:c>
      <ns0:c r="D813" s="4" t="n">
        <ns0:v>0</ns0:v>
      </ns0:c>
      <ns0:c r="E813" s="4" t="n">
        <ns0:v>1500</ns0:v>
      </ns0:c>
      <ns0:c r="F813" s="6" t="n">
        <ns0:v>0.3</ns0:v>
      </ns0:c>
      <ns0:c r="G813" s="4" t="n">
        <ns0:v>1</ns0:v>
      </ns0:c>
      <ns0:c r="H813" s="7" t="n">
        <ns0:v>5014.85607008761</ns0:v>
      </ns0:c>
      <ns0:c r="I813" s="7" t="n">
        <ns0:v>2488.423028785983</ns0:v>
      </ns0:c>
      <ns0:c r="J813" s="7" t="n">
        <ns0:v>746.5269086357948</ns0:v>
      </ns0:c>
      <ns0:c r="K813" s="7" t="n">
        <ns0:v>31</ns0:v>
      </ns0:c>
      <ns0:c r="L813" s="7" t="n">
        <ns0:v>133</ns0:v>
      </ns0:c>
      <ns0:c r="M813" s="7" t="n">
        <ns0:v>-34471.43405262523</ns0:v>
      </ns0:c>
      <ns0:c r="N813" s="7" t="n">
        <ns0:v>-289.5543070122694</ns0:v>
      </ns0:c>
      <ns0:c r="O813" s="7" t="n">
        <ns0:v>35858.03257251807</ns0:v>
      </ns0:c>
      <ns0:c r="P813" s="7" t="n">
        <ns0:v>126226.999771344</ns0:v>
      </ns0:c>
      <ns0:c r="Q813" s="7" t="n">
        <ns0:v>445702.8685666473</ns0:v>
      </ns0:c>
      <ns0:c r="R813" s="7" t="n">
        <ns0:v>1640868.40935021</ns0:v>
      </ns0:c>
    </ns0:row>
    <ns0:row r="814" ht="24" customHeight="1">
      <ns0:c r="A814" s="3" t="inlineStr">
        <ns0:is>
          <ns0:t>セット</ns0:t>
        </ns0:is>
      </ns0:c>
      <ns0:c r="B814" s="3" t="inlineStr">
        <ns0:is>
          <ns0:t>G3三段階</ns0:t>
        </ns0:is>
      </ns0:c>
      <ns0:c r="C814" s="3" t="inlineStr">
        <ns0:is>
          <ns0:t>A</ns0:t>
        </ns0:is>
      </ns0:c>
      <ns0:c r="D814" s="4" t="n">
        <ns0:v>0</ns0:v>
      </ns0:c>
      <ns0:c r="E814" s="4" t="n">
        <ns0:v>1500</ns0:v>
      </ns0:c>
      <ns0:c r="F814" s="6" t="n">
        <ns0:v>0.3</ns0:v>
      </ns0:c>
      <ns0:c r="G814" s="4" t="n">
        <ns0:v>2</ns0:v>
      </ns0:c>
      <ns0:c r="H814" s="7" t="n">
        <ns0:v>5014.85607008761</ns0:v>
      </ns0:c>
      <ns0:c r="I814" s="7" t="n">
        <ns0:v>2488.423028785983</ns0:v>
      </ns0:c>
      <ns0:c r="J814" s="7" t="n">
        <ns0:v>746.5269086357948</ns0:v>
      </ns0:c>
      <ns0:c r="K814" s="18" t="inlineStr">
        <ns0:is>
          <ns0:t>範囲内なし</ns0:t>
        </ns0:is>
      </ns0:c>
      <ns0:c r="L814" s="18" t="inlineStr">
        <ns0:is>
          <ns0:t>範囲内なし</ns0:t>
        </ns0:is>
      </ns0:c>
      <ns0:c r="M814" s="7" t="n">
        <ns0:v>-53594.24261913168</ns0:v>
      </ns0:c>
      <ns0:c r="N814" s="7" t="n">
        <ns0:v>-57657.98000653159</ns0:v>
      </ns0:c>
      <ns0:c r="O814" s="7" t="n">
        <ns0:v>-59756.01026001414</ns0:v>
      </ns0:c>
      <ns0:c r="P814" s="7" t="n">
        <ns0:v>-65001.08589372048</ns0:v>
      </ns0:c>
      <ns0:c r="Q814" s="7" t="n">
        <ns0:v>-127981.388428546</ns0:v>
      </ns0:c>
      <ns0:c r="R814" s="7" t="n">
        <ns0:v>-271412.4473004346</ns0:v>
      </ns0:c>
    </ns0:row>
    <ns0:row r="815" ht="24" customHeight="1">
      <ns0:c r="A815" s="3" t="inlineStr">
        <ns0:is>
          <ns0:t>セット</ns0:t>
        </ns0:is>
      </ns0:c>
      <ns0:c r="B815" s="3" t="inlineStr">
        <ns0:is>
          <ns0:t>G3三段階</ns0:t>
        </ns0:is>
      </ns0:c>
      <ns0:c r="C815" s="3" t="inlineStr">
        <ns0:is>
          <ns0:t>A</ns0:t>
        </ns0:is>
      </ns0:c>
      <ns0:c r="D815" s="4" t="n">
        <ns0:v>0</ns0:v>
      </ns0:c>
      <ns0:c r="E815" s="4" t="n">
        <ns0:v>1500</ns0:v>
      </ns0:c>
      <ns0:c r="F815" s="6" t="n">
        <ns0:v>0.3</ns0:v>
      </ns0:c>
      <ns0:c r="G815" s="4" t="n">
        <ns0:v>3</ns0:v>
      </ns0:c>
      <ns0:c r="H815" s="7" t="n">
        <ns0:v>5014.85607008761</ns0:v>
      </ns0:c>
      <ns0:c r="I815" s="7" t="n">
        <ns0:v>2488.423028785983</ns0:v>
      </ns0:c>
      <ns0:c r="J815" s="7" t="n">
        <ns0:v>746.5269086357948</ns0:v>
      </ns0:c>
      <ns0:c r="K815" s="7" t="n">
        <ns0:v>102</ns0:v>
      </ns0:c>
      <ns0:c r="L815" s="18" t="inlineStr">
        <ns0:is>
          <ns0:t>範囲内なし</ns0:t>
        </ns0:is>
      </ns0:c>
      <ns0:c r="M815" s="7" t="n">
        <ns0:v>-43040.54095319592</ns0:v>
      </ns0:c>
      <ns0:c r="N815" s="7" t="n">
        <ns0:v>-25996.87500872435</ns0:v>
      </ns0:c>
      <ns0:c r="O815" s="7" t="n">
        <ns0:v>-6987.501930335384</ns0:v>
      </ns0:c>
      <ns0:c r="P815" s="7" t="n">
        <ns0:v>40535.93076563702</ns0:v>
      </ns0:c>
      <ns0:c r="Q815" s="7" t="n">
        <ns0:v>188629.6615495264</ns0:v>
      </ns0:c>
      <ns0:c r="R815" s="7" t="n">
        <ns0:v>783957.7192931403</ns0:v>
      </ns0:c>
    </ns0:row>
    <ns0:row r="816" ht="24" customHeight="1">
      <ns0:c r="A816" s="3" t="inlineStr">
        <ns0:is>
          <ns0:t>セット</ns0:t>
        </ns0:is>
      </ns0:c>
      <ns0:c r="B816" s="3" t="inlineStr">
        <ns0:is>
          <ns0:t>G3三段階</ns0:t>
        </ns0:is>
      </ns0:c>
      <ns0:c r="C816" s="3" t="inlineStr">
        <ns0:is>
          <ns0:t>A</ns0:t>
        </ns0:is>
      </ns0:c>
      <ns0:c r="D816" s="4" t="n">
        <ns0:v>0</ns0:v>
      </ns0:c>
      <ns0:c r="E816" s="4" t="n">
        <ns0:v>1500</ns0:v>
      </ns0:c>
      <ns0:c r="F816" s="6" t="n">
        <ns0:v>0.4</ns0:v>
      </ns0:c>
      <ns0:c r="G816" s="4" t="n">
        <ns0:v>0</ns0:v>
      </ns0:c>
      <ns0:c r="H816" s="7" t="n">
        <ns0:v>5014.85607008761</ns0:v>
      </ns0:c>
      <ns0:c r="I816" s="7" t="n">
        <ns0:v>2488.423028785983</ns0:v>
      </ns0:c>
      <ns0:c r="J816" s="7" t="n">
        <ns0:v>995.3692115143931</ns0:v>
      </ns0:c>
      <ns0:c r="K816" s="7" t="n">
        <ns0:v>29</ns0:v>
      </ns0:c>
      <ns0:c r="L816" s="7" t="n">
        <ns0:v>49</ns0:v>
      </ns0:c>
      <ns0:c r="M816" s="7" t="n">
        <ns0:v>-33241.21667544037</ns0:v>
      </ns0:c>
      <ns0:c r="N816" s="7" t="n">
        <ns0:v>3401.097824542299</ns0:v>
      </ns0:c>
      <ns0:c r="O816" s="7" t="n">
        <ns0:v>42009.11945844237</ns0:v>
      </ns0:c>
      <ns0:c r="P816" s="7" t="n">
        <ns0:v>138529.1735431925</ns0:v>
      </ns0:c>
      <ns0:c r="Q816" s="7" t="n">
        <ns0:v>482609.389882193</ns0:v>
      </ns0:c>
      <ns0:c r="R816" s="7" t="n">
        <ns0:v>1763890.147068696</ns0:v>
      </ns0:c>
    </ns0:row>
    <ns0:row r="817" ht="24" customHeight="1">
      <ns0:c r="A817" s="3" t="inlineStr">
        <ns0:is>
          <ns0:t>セット</ns0:t>
        </ns0:is>
      </ns0:c>
      <ns0:c r="B817" s="3" t="inlineStr">
        <ns0:is>
          <ns0:t>G3三段階</ns0:t>
        </ns0:is>
      </ns0:c>
      <ns0:c r="C817" s="3" t="inlineStr">
        <ns0:is>
          <ns0:t>A</ns0:t>
        </ns0:is>
      </ns0:c>
      <ns0:c r="D817" s="4" t="n">
        <ns0:v>0</ns0:v>
      </ns0:c>
      <ns0:c r="E817" s="4" t="n">
        <ns0:v>1500</ns0:v>
      </ns0:c>
      <ns0:c r="F817" s="6" t="n">
        <ns0:v>0.4</ns0:v>
      </ns0:c>
      <ns0:c r="G817" s="4" t="n">
        <ns0:v>1</ns0:v>
      </ns0:c>
      <ns0:c r="H817" s="7" t="n">
        <ns0:v>5014.85607008761</ns0:v>
      </ns0:c>
      <ns0:c r="I817" s="7" t="n">
        <ns0:v>2488.423028785983</ns0:v>
      </ns0:c>
      <ns0:c r="J817" s="7" t="n">
        <ns0:v>995.3692115143931</ns0:v>
      </ns0:c>
      <ns0:c r="K817" s="7" t="n">
        <ns0:v>35</ns0:v>
      </ns0:c>
      <ns0:c r="L817" s="7" t="n">
        <ns0:v>170</ns0:v>
      </ns0:c>
      <ns0:c r="M817" s="7" t="n">
        <ns0:v>-36959.85708141121</ns0:v>
      </ns0:c>
      <ns0:c r="N817" s="7" t="n">
        <ns0:v>-7754.823393370225</ns0:v>
      </ns0:c>
      <ns0:c r="O817" s="7" t="n">
        <ns0:v>23415.91742858817</ns0:v>
      </ns0:c>
      <ns0:c r="P817" s="7" t="n">
        <ns0:v>101342.7694834841</ns0:v>
      </ns0:c>
      <ns0:c r="Q817" s="7" t="n">
        <ns0:v>371050.1777030678</ns0:v>
      </ns0:c>
      <ns0:c r="R817" s="7" t="n">
        <ns0:v>1392026.106471612</ns0:v>
      </ns0:c>
    </ns0:row>
    <ns0:row r="818" ht="24" customHeight="1">
      <ns0:c r="A818" s="3" t="inlineStr">
        <ns0:is>
          <ns0:t>セット</ns0:t>
        </ns0:is>
      </ns0:c>
      <ns0:c r="B818" s="3" t="inlineStr">
        <ns0:is>
          <ns0:t>G3三段階</ns0:t>
        </ns0:is>
      </ns0:c>
      <ns0:c r="C818" s="3" t="inlineStr">
        <ns0:is>
          <ns0:t>A</ns0:t>
        </ns0:is>
      </ns0:c>
      <ns0:c r="D818" s="4" t="n">
        <ns0:v>0</ns0:v>
      </ns0:c>
      <ns0:c r="E818" s="4" t="n">
        <ns0:v>1500</ns0:v>
      </ns0:c>
      <ns0:c r="F818" s="6" t="n">
        <ns0:v>0.4</ns0:v>
      </ns0:c>
      <ns0:c r="G818" s="4" t="n">
        <ns0:v>2</ns0:v>
      </ns0:c>
      <ns0:c r="H818" s="7" t="n">
        <ns0:v>5014.85607008761</ns0:v>
      </ns0:c>
      <ns0:c r="I818" s="7" t="n">
        <ns0:v>2488.423028785983</ns0:v>
      </ns0:c>
      <ns0:c r="J818" s="7" t="n">
        <ns0:v>995.3692115143931</ns0:v>
      </ns0:c>
      <ns0:c r="K818" s="18" t="inlineStr">
        <ns0:is>
          <ns0:t>範囲内なし</ns0:t>
        </ns0:is>
      </ns0:c>
      <ns0:c r="L818" s="18" t="inlineStr">
        <ns0:is>
          <ns0:t>範囲内なし</ns0:t>
        </ns0:is>
      </ns0:c>
      <ns0:c r="M818" s="7" t="n">
        <ns0:v>-56082.66564791766</ns0:v>
      </ns0:c>
      <ns0:c r="N818" s="7" t="n">
        <ns0:v>-65123.24909288956</ns0:v>
      </ns0:c>
      <ns0:c r="O818" s="7" t="n">
        <ns0:v>-72198.12540394404</ns0:v>
      </ns0:c>
      <ns0:c r="P818" s="7" t="n">
        <ns0:v>-89885.31618158027</ns0:v>
      </ns0:c>
      <ns0:c r="Q818" s="7" t="n">
        <ns0:v>-202634.0792921255</ns0:v>
      </ns0:c>
      <ns0:c r="R818" s="7" t="n">
        <ns0:v>-520254.7501790328</ns0:v>
      </ns0:c>
    </ns0:row>
    <ns0:row r="819" ht="24" customHeight="1">
      <ns0:c r="A819" s="3" t="inlineStr">
        <ns0:is>
          <ns0:t>セット</ns0:t>
        </ns0:is>
      </ns0:c>
      <ns0:c r="B819" s="3" t="inlineStr">
        <ns0:is>
          <ns0:t>G3三段階</ns0:t>
        </ns0:is>
      </ns0:c>
      <ns0:c r="C819" s="3" t="inlineStr">
        <ns0:is>
          <ns0:t>A</ns0:t>
        </ns0:is>
      </ns0:c>
      <ns0:c r="D819" s="4" t="n">
        <ns0:v>0</ns0:v>
      </ns0:c>
      <ns0:c r="E819" s="4" t="n">
        <ns0:v>1500</ns0:v>
      </ns0:c>
      <ns0:c r="F819" s="6" t="n">
        <ns0:v>0.4</ns0:v>
      </ns0:c>
      <ns0:c r="G819" s="4" t="n">
        <ns0:v>3</ns0:v>
      </ns0:c>
      <ns0:c r="H819" s="7" t="n">
        <ns0:v>5014.85607008761</ns0:v>
      </ns0:c>
      <ns0:c r="I819" s="7" t="n">
        <ns0:v>2488.423028785983</ns0:v>
      </ns0:c>
      <ns0:c r="J819" s="7" t="n">
        <ns0:v>995.3692115143931</ns0:v>
      </ns0:c>
      <ns0:c r="K819" s="7" t="n">
        <ns0:v>138</ns0:v>
      </ns0:c>
      <ns0:c r="L819" s="18" t="inlineStr">
        <ns0:is>
          <ns0:t>範囲内なし</ns0:t>
        </ns0:is>
      </ns0:c>
      <ns0:c r="M819" s="7" t="n">
        <ns0:v>-45528.96398198191</ns0:v>
      </ns0:c>
      <ns0:c r="N819" s="7" t="n">
        <ns0:v>-33462.1440950823</ns0:v>
      </ns0:c>
      <ns0:c r="O819" s="7" t="n">
        <ns0:v>-19429.61707426529</ns0:v>
      </ns0:c>
      <ns0:c r="P819" s="7" t="n">
        <ns0:v>15651.70047777722</ns0:v>
      </ns0:c>
      <ns0:c r="Q819" s="7" t="n">
        <ns0:v>113976.9706859469</ns0:v>
      </ns0:c>
      <ns0:c r="R819" s="7" t="n">
        <ns0:v>535115.4164145421</ns0:v>
      </ns0:c>
    </ns0:row>
    <ns0:row r="820" ht="24" customHeight="1">
      <ns0:c r="A820" s="3" t="inlineStr">
        <ns0:is>
          <ns0:t>セット</ns0:t>
        </ns0:is>
      </ns0:c>
      <ns0:c r="B820" s="3" t="inlineStr">
        <ns0:is>
          <ns0:t>G3三段階</ns0:t>
        </ns0:is>
      </ns0:c>
      <ns0:c r="C820" s="3" t="inlineStr">
        <ns0:is>
          <ns0:t>A</ns0:t>
        </ns0:is>
      </ns0:c>
      <ns0:c r="D820" s="4" t="n">
        <ns0:v>0</ns0:v>
      </ns0:c>
      <ns0:c r="E820" s="4" t="n">
        <ns0:v>1500</ns0:v>
      </ns0:c>
      <ns0:c r="F820" s="6" t="n">
        <ns0:v>0.5</ns0:v>
      </ns0:c>
      <ns0:c r="G820" s="4" t="n">
        <ns0:v>0</ns0:v>
      </ns0:c>
      <ns0:c r="H820" s="7" t="n">
        <ns0:v>5014.85607008761</ns0:v>
      </ns0:c>
      <ns0:c r="I820" s="7" t="n">
        <ns0:v>2488.423028785983</ns0:v>
      </ns0:c>
      <ns0:c r="J820" s="7" t="n">
        <ns0:v>1244.211514392991</ns0:v>
      </ns0:c>
      <ns0:c r="K820" s="7" t="n">
        <ns0:v>33</ns0:v>
      </ns0:c>
      <ns0:c r="L820" s="7" t="n">
        <ns0:v>57</ns0:v>
      </ns0:c>
      <ns0:c r="M820" s="7" t="n">
        <ns0:v>-35729.63970422636</ns0:v>
      </ns0:c>
      <ns0:c r="N820" s="7" t="n">
        <ns0:v>-4064.171261815656</ns0:v>
      </ns0:c>
      <ns0:c r="O820" s="7" t="n">
        <ns0:v>29567.00431451248</ns0:v>
      </ns0:c>
      <ns0:c r="P820" s="7" t="n">
        <ns0:v>113644.9432553327</ns0:v>
      </ns0:c>
      <ns0:c r="Q820" s="7" t="n">
        <ns0:v>407956.6990186135</ns0:v>
      </ns0:c>
      <ns0:c r="R820" s="7" t="n">
        <ns0:v>1515047.844190097</ns0:v>
      </ns0:c>
    </ns0:row>
    <ns0:row r="821" ht="24" customHeight="1">
      <ns0:c r="A821" s="3" t="inlineStr">
        <ns0:is>
          <ns0:t>セット</ns0:t>
        </ns0:is>
      </ns0:c>
      <ns0:c r="B821" s="3" t="inlineStr">
        <ns0:is>
          <ns0:t>G3三段階</ns0:t>
        </ns0:is>
      </ns0:c>
      <ns0:c r="C821" s="3" t="inlineStr">
        <ns0:is>
          <ns0:t>A</ns0:t>
        </ns0:is>
      </ns0:c>
      <ns0:c r="D821" s="4" t="n">
        <ns0:v>0</ns0:v>
      </ns0:c>
      <ns0:c r="E821" s="4" t="n">
        <ns0:v>1500</ns0:v>
      </ns0:c>
      <ns0:c r="F821" s="6" t="n">
        <ns0:v>0.5</ns0:v>
      </ns0:c>
      <ns0:c r="G821" s="4" t="n">
        <ns0:v>1</ns0:v>
      </ns0:c>
      <ns0:c r="H821" s="7" t="n">
        <ns0:v>5014.85607008761</ns0:v>
      </ns0:c>
      <ns0:c r="I821" s="7" t="n">
        <ns0:v>2488.423028785983</ns0:v>
      </ns0:c>
      <ns0:c r="J821" s="7" t="n">
        <ns0:v>1244.211514392991</ns0:v>
      </ns0:c>
      <ns0:c r="K821" s="7" t="n">
        <ns0:v>42</ns0:v>
      </ns0:c>
      <ns0:c r="L821" s="7" t="n">
        <ns0:v>236</ns0:v>
      </ns0:c>
      <ns0:c r="M821" s="7" t="n">
        <ns0:v>-39448.2801101972</ns0:v>
      </ns0:c>
      <ns0:c r="N821" s="7" t="n">
        <ns0:v>-15220.09247972818</ns0:v>
      </ns0:c>
      <ns0:c r="O821" s="7" t="n">
        <ns0:v>10973.80228465827</ns0:v>
      </ns0:c>
      <ns0:c r="P821" s="7" t="n">
        <ns0:v>76458.53919562433</ns0:v>
      </ns0:c>
      <ns0:c r="Q821" s="7" t="n">
        <ns0:v>296397.4868394883</ns0:v>
      </ns0:c>
      <ns0:c r="R821" s="7" t="n">
        <ns0:v>1143183.803593013</ns0:v>
      </ns0:c>
    </ns0:row>
    <ns0:row r="822" ht="24" customHeight="1">
      <ns0:c r="A822" s="3" t="inlineStr">
        <ns0:is>
          <ns0:t>セット</ns0:t>
        </ns0:is>
      </ns0:c>
      <ns0:c r="B822" s="3" t="inlineStr">
        <ns0:is>
          <ns0:t>G3三段階</ns0:t>
        </ns0:is>
      </ns0:c>
      <ns0:c r="C822" s="3" t="inlineStr">
        <ns0:is>
          <ns0:t>A</ns0:t>
        </ns0:is>
      </ns0:c>
      <ns0:c r="D822" s="4" t="n">
        <ns0:v>0</ns0:v>
      </ns0:c>
      <ns0:c r="E822" s="4" t="n">
        <ns0:v>1500</ns0:v>
      </ns0:c>
      <ns0:c r="F822" s="6" t="n">
        <ns0:v>0.5</ns0:v>
      </ns0:c>
      <ns0:c r="G822" s="4" t="n">
        <ns0:v>2</ns0:v>
      </ns0:c>
      <ns0:c r="H822" s="7" t="n">
        <ns0:v>5014.85607008761</ns0:v>
      </ns0:c>
      <ns0:c r="I822" s="7" t="n">
        <ns0:v>2488.423028785983</ns0:v>
      </ns0:c>
      <ns0:c r="J822" s="7" t="n">
        <ns0:v>1244.211514392991</ns0:v>
      </ns0:c>
      <ns0:c r="K822" s="18" t="inlineStr">
        <ns0:is>
          <ns0:t>範囲内なし</ns0:t>
        </ns0:is>
      </ns0:c>
      <ns0:c r="L822" s="18" t="inlineStr">
        <ns0:is>
          <ns0:t>範囲内なし</ns0:t>
        </ns0:is>
      </ns0:c>
      <ns0:c r="M822" s="7" t="n">
        <ns0:v>-58571.08867670364</ns0:v>
      </ns0:c>
      <ns0:c r="N822" s="7" t="n">
        <ns0:v>-72588.51817924751</ns0:v>
      </ns0:c>
      <ns0:c r="O822" s="7" t="n">
        <ns0:v>-84640.24054787394</ns0:v>
      </ns0:c>
      <ns0:c r="P822" s="7" t="n">
        <ns0:v>-114769.5464694401</ns0:v>
      </ns0:c>
      <ns0:c r="Q822" s="7" t="n">
        <ns0:v>-277286.770155705</ns0:v>
      </ns0:c>
      <ns0:c r="R822" s="7" t="n">
        <ns0:v>-769097.0530576312</ns0:v>
      </ns0:c>
    </ns0:row>
    <ns0:row r="823" ht="24" customHeight="1">
      <ns0:c r="A823" s="3" t="inlineStr">
        <ns0:is>
          <ns0:t>セット</ns0:t>
        </ns0:is>
      </ns0:c>
      <ns0:c r="B823" s="3" t="inlineStr">
        <ns0:is>
          <ns0:t>G3三段階</ns0:t>
        </ns0:is>
      </ns0:c>
      <ns0:c r="C823" s="3" t="inlineStr">
        <ns0:is>
          <ns0:t>A</ns0:t>
        </ns0:is>
      </ns0:c>
      <ns0:c r="D823" s="4" t="n">
        <ns0:v>0</ns0:v>
      </ns0:c>
      <ns0:c r="E823" s="4" t="n">
        <ns0:v>1500</ns0:v>
      </ns0:c>
      <ns0:c r="F823" s="6" t="n">
        <ns0:v>0.5</ns0:v>
      </ns0:c>
      <ns0:c r="G823" s="4" t="n">
        <ns0:v>3</ns0:v>
      </ns0:c>
      <ns0:c r="H823" s="7" t="n">
        <ns0:v>5014.85607008761</ns0:v>
      </ns0:c>
      <ns0:c r="I823" s="7" t="n">
        <ns0:v>2488.423028785983</ns0:v>
      </ns0:c>
      <ns0:c r="J823" s="7" t="n">
        <ns0:v>1244.211514392991</ns0:v>
      </ns0:c>
      <ns0:c r="K823" s="7" t="n">
        <ns0:v>214</ns0:v>
      </ns0:c>
      <ns0:c r="L823" s="18" t="inlineStr">
        <ns0:is>
          <ns0:t>範囲内なし</ns0:t>
        </ns0:is>
      </ns0:c>
      <ns0:c r="M823" s="7" t="n">
        <ns0:v>-48017.38701076788</ns0:v>
      </ns0:c>
      <ns0:c r="N823" s="7" t="n">
        <ns0:v>-40927.41318144026</ns0:v>
      </ns0:c>
      <ns0:c r="O823" s="7" t="n">
        <ns0:v>-31871.73221819519</ns0:v>
      </ns0:c>
      <ns0:c r="P823" s="7" t="n">
        <ns0:v>-9232.529810082575</ns0:v>
      </ns0:c>
      <ns0:c r="Q823" s="7" t="n">
        <ns0:v>39324.27982236742</ns0:v>
      </ns0:c>
      <ns0:c r="R823" s="7" t="n">
        <ns0:v>286273.1135359437</ns0:v>
      </ns0:c>
    </ns0:row>
    <ns0:row r="824" ht="24" customHeight="1">
      <ns0:c r="A824" s="3" t="inlineStr">
        <ns0:is>
          <ns0:t>セット</ns0:t>
        </ns0:is>
      </ns0:c>
      <ns0:c r="B824" s="3" t="inlineStr">
        <ns0:is>
          <ns0:t>G3三段階</ns0:t>
        </ns0:is>
      </ns0:c>
      <ns0:c r="C824" s="3" t="inlineStr">
        <ns0:is>
          <ns0:t>A</ns0:t>
        </ns0:is>
      </ns0:c>
      <ns0:c r="D824" s="4" t="n">
        <ns0:v>1</ns0:v>
      </ns0:c>
      <ns0:c r="E824" s="4" t="n">
        <ns0:v>500</ns0:v>
      </ns0:c>
      <ns0:c r="F824" s="6" t="n">
        <ns0:v>0.3</ns0:v>
      </ns0:c>
      <ns0:c r="G824" s="4" t="n">
        <ns0:v>0</ns0:v>
      </ns0:c>
      <ns0:c r="H824" s="7" t="n">
        <ns0:v>7883.240223463686</ns0:v>
      </ns0:c>
      <ns0:c r="I824" s="7" t="n">
        <ns0:v>3837.988826815642</ns0:v>
      </ns0:c>
      <ns0:c r="J824" s="7" t="n">
        <ns0:v>1151.396648044692</ns0:v>
      </ns0:c>
      <ns0:c r="K824" s="7" t="n">
        <ns0:v>15</ns0:v>
      </ns0:c>
      <ns0:c r="L824" s="7" t="n">
        <ns0:v>19</ns0:v>
      </ns0:c>
      <ns0:c r="M824" s="7" t="n">
        <ns0:v>-7750.184668638103</ns0:v>
      </ns0:c>
      <ns0:c r="N824" s="7" t="n">
        <ns0:v>67214.89066569571</ns0:v>
      </ns0:c>
      <ns0:c r="O824" s="7" t="n">
        <ns0:v>148365.4408603648</ns0:v>
      </ns0:c>
      <ns0:c r="P824" s="7" t="n">
        <ns0:v>351241.8163470373</ns0:v>
      </ns0:c>
      <ns0:c r="Q824" s="7" t="n">
        <ns0:v>1120747.318293727</ns0:v>
      </ns0:c>
      <ns0:c r="R824" s="7" t="n">
        <ns0:v>3891016.575107144</ns0:v>
      </ns0:c>
    </ns0:row>
    <ns0:row r="825" ht="24" customHeight="1">
      <ns0:c r="A825" s="3" t="inlineStr">
        <ns0:is>
          <ns0:t>セット</ns0:t>
        </ns0:is>
      </ns0:c>
      <ns0:c r="B825" s="3" t="inlineStr">
        <ns0:is>
          <ns0:t>G3三段階</ns0:t>
        </ns0:is>
      </ns0:c>
      <ns0:c r="C825" s="3" t="inlineStr">
        <ns0:is>
          <ns0:t>A</ns0:t>
        </ns0:is>
      </ns0:c>
      <ns0:c r="D825" s="4" t="n">
        <ns0:v>1</ns0:v>
      </ns0:c>
      <ns0:c r="E825" s="4" t="n">
        <ns0:v>500</ns0:v>
      </ns0:c>
      <ns0:c r="F825" s="6" t="n">
        <ns0:v>0.3</ns0:v>
      </ns0:c>
      <ns0:c r="G825" s="4" t="n">
        <ns0:v>1</ns0:v>
      </ns0:c>
      <ns0:c r="H825" s="7" t="n">
        <ns0:v>7883.240223463686</ns0:v>
      </ns0:c>
      <ns0:c r="I825" s="7" t="n">
        <ns0:v>3837.988826815642</ns0:v>
      </ns0:c>
      <ns0:c r="J825" s="7" t="n">
        <ns0:v>1151.396648044692</ns0:v>
      </ns0:c>
      <ns0:c r="K825" s="7" t="n">
        <ns0:v>16</ns0:v>
      </ns0:c>
      <ns0:c r="L825" s="7" t="n">
        <ns0:v>25</ns0:v>
      </ns0:c>
      <ns0:c r="M825" s="7" t="n">
        <ns0:v>-12073.69087364217</ns0:v>
      </ns0:c>
      <ns0:c r="N825" s="7" t="n">
        <ns0:v>54244.37205068351</ns0:v>
      </ns0:c>
      <ns0:c r="O825" s="7" t="n">
        <ns0:v>126747.9098353444</ns0:v>
      </ns0:c>
      <ns0:c r="P825" s="7" t="n">
        <ns0:v>308006.7542969966</ns0:v>
      </ns0:c>
      <ns0:c r="Q825" s="7" t="n">
        <ns0:v>991042.132143605</ns0:v>
      </ns0:c>
      <ns0:c r="R825" s="7" t="n">
        <ns0:v>3458665.954606737</ns0:v>
      </ns0:c>
    </ns0:row>
    <ns0:row r="826" ht="24" customHeight="1">
      <ns0:c r="A826" s="3" t="inlineStr">
        <ns0:is>
          <ns0:t>セット</ns0:t>
        </ns0:is>
      </ns0:c>
      <ns0:c r="B826" s="3" t="inlineStr">
        <ns0:is>
          <ns0:t>G3三段階</ns0:t>
        </ns0:is>
      </ns0:c>
      <ns0:c r="C826" s="3" t="inlineStr">
        <ns0:is>
          <ns0:t>A</ns0:t>
        </ns0:is>
      </ns0:c>
      <ns0:c r="D826" s="4" t="n">
        <ns0:v>1</ns0:v>
      </ns0:c>
      <ns0:c r="E826" s="4" t="n">
        <ns0:v>500</ns0:v>
      </ns0:c>
      <ns0:c r="F826" s="6" t="n">
        <ns0:v>0.3</ns0:v>
      </ns0:c>
      <ns0:c r="G826" s="4" t="n">
        <ns0:v>2</ns0:v>
      </ns0:c>
      <ns0:c r="H826" s="7" t="n">
        <ns0:v>7883.240223463686</ns0:v>
      </ns0:c>
      <ns0:c r="I826" s="7" t="n">
        <ns0:v>3837.988826815642</ns0:v>
      </ns0:c>
      <ns0:c r="J826" s="7" t="n">
        <ns0:v>1151.396648044692</ns0:v>
      </ns0:c>
      <ns0:c r="K826" s="18" t="inlineStr">
        <ns0:is>
          <ns0:t>範囲内なし</ns0:t>
        </ns0:is>
      </ns0:c>
      <ns0:c r="L826" s="18" t="inlineStr">
        <ns0:is>
          <ns0:t>範囲内なし</ns0:t>
        </ns0:is>
      </ns0:c>
      <ns0:c r="M826" s="7" t="n">
        <ns0:v>-48657.39483721543</ns0:v>
      </ns0:c>
      <ns0:c r="N826" s="7" t="n">
        <ns0:v>-55506.73984003628</ns0:v>
      </ns0:c>
      <ns0:c r="O826" s="7" t="n">
        <ns0:v>-56170.60998252187</ns0:v>
      </ns0:c>
      <ns0:c r="P826" s="7" t="n">
        <ns0:v>-57830.28533873596</ns0:v>
      </ns0:c>
      <ns0:c r="Q826" s="7" t="n">
        <ns0:v>-106468.9867635926</ns0:v>
      </ns0:c>
      <ns0:c r="R826" s="7" t="n">
        <ns0:v>-199704.4417505888</ns0:v>
      </ns0:c>
    </ns0:row>
    <ns0:row r="827" ht="24" customHeight="1">
      <ns0:c r="A827" s="3" t="inlineStr">
        <ns0:is>
          <ns0:t>セット</ns0:t>
        </ns0:is>
      </ns0:c>
      <ns0:c r="B827" s="3" t="inlineStr">
        <ns0:is>
          <ns0:t>G3三段階</ns0:t>
        </ns0:is>
      </ns0:c>
      <ns0:c r="C827" s="3" t="inlineStr">
        <ns0:is>
          <ns0:t>A</ns0:t>
        </ns0:is>
      </ns0:c>
      <ns0:c r="D827" s="4" t="n">
        <ns0:v>1</ns0:v>
      </ns0:c>
      <ns0:c r="E827" s="4" t="n">
        <ns0:v>500</ns0:v>
      </ns0:c>
      <ns0:c r="F827" s="6" t="n">
        <ns0:v>0.3</ns0:v>
      </ns0:c>
      <ns0:c r="G827" s="4" t="n">
        <ns0:v>3</ns0:v>
      </ns0:c>
      <ns0:c r="H827" s="7" t="n">
        <ns0:v>7883.240223463686</ns0:v>
      </ns0:c>
      <ns0:c r="I827" s="7" t="n">
        <ns0:v>3837.988826815642</ns0:v>
      </ns0:c>
      <ns0:c r="J827" s="7" t="n">
        <ns0:v>1151.396648044692</ns0:v>
      </ns0:c>
      <ns0:c r="K827" s="7" t="n">
        <ns0:v>21</ns0:v>
      </ns0:c>
      <ns0:c r="L827" s="7" t="n">
        <ns0:v>125</ns0:v>
      </ns0:c>
      <ns0:c r="M827" s="7" t="n">
        <ns0:v>-21536.19767417491</ns0:v>
      </ns0:c>
      <ns0:c r="N827" s="7" t="n">
        <ns0:v>25856.85164908531</ns0:v>
      </ns0:c>
      <ns0:c r="O827" s="7" t="n">
        <ns0:v>79435.37583268073</ns0:v>
      </ns0:c>
      <ns0:c r="P827" s="7" t="n">
        <ns0:v>213381.6862916693</ns0:v>
      </ns0:c>
      <ns0:c r="Q827" s="7" t="n">
        <ns0:v>707166.9281276232</ns0:v>
      </ns0:c>
      <ns0:c r="R827" s="7" t="n">
        <ns0:v>2512415.274553463</ns0:v>
      </ns0:c>
    </ns0:row>
    <ns0:row r="828" ht="24" customHeight="1">
      <ns0:c r="A828" s="3" t="inlineStr">
        <ns0:is>
          <ns0:t>セット</ns0:t>
        </ns0:is>
      </ns0:c>
      <ns0:c r="B828" s="3" t="inlineStr">
        <ns0:is>
          <ns0:t>G3三段階</ns0:t>
        </ns0:is>
      </ns0:c>
      <ns0:c r="C828" s="3" t="inlineStr">
        <ns0:is>
          <ns0:t>A</ns0:t>
        </ns0:is>
      </ns0:c>
      <ns0:c r="D828" s="4" t="n">
        <ns0:v>1</ns0:v>
      </ns0:c>
      <ns0:c r="E828" s="4" t="n">
        <ns0:v>500</ns0:v>
      </ns0:c>
      <ns0:c r="F828" s="6" t="n">
        <ns0:v>0.4</ns0:v>
      </ns0:c>
      <ns0:c r="G828" s="4" t="n">
        <ns0:v>0</ns0:v>
      </ns0:c>
      <ns0:c r="H828" s="7" t="n">
        <ns0:v>7883.240223463686</ns0:v>
      </ns0:c>
      <ns0:c r="I828" s="7" t="n">
        <ns0:v>3837.988826815642</ns0:v>
      </ns0:c>
      <ns0:c r="J828" s="7" t="n">
        <ns0:v>1535.195530726257</ns0:v>
      </ns0:c>
      <ns0:c r="K828" s="7" t="n">
        <ns0:v>16</ns0:v>
      </ns0:c>
      <ns0:c r="L828" s="7" t="n">
        <ns0:v>21</ns0:v>
      </ns0:c>
      <ns0:c r="M828" s="7" t="n">
        <ns0:v>-11588.17349545374</ns0:v>
      </ns0:c>
      <ns0:c r="N828" s="7" t="n">
        <ns0:v>55700.9241852488</ns0:v>
      </ns0:c>
      <ns0:c r="O828" s="7" t="n">
        <ns0:v>129175.4967262865</ns0:v>
      </ns0:c>
      <ns0:c r="P828" s="7" t="n">
        <ns0:v>312861.9280788809</ns0:v>
      </ns0:c>
      <ns0:c r="Q828" s="7" t="n">
        <ns0:v>1005607.653489258</ns0:v>
      </ns0:c>
      <ns0:c r="R828" s="7" t="n">
        <ns0:v>3507217.692425579</ns0:v>
      </ns0:c>
    </ns0:row>
    <ns0:row r="829" ht="24" customHeight="1">
      <ns0:c r="A829" s="3" t="inlineStr">
        <ns0:is>
          <ns0:t>セット</ns0:t>
        </ns0:is>
      </ns0:c>
      <ns0:c r="B829" s="3" t="inlineStr">
        <ns0:is>
          <ns0:t>G3三段階</ns0:t>
        </ns0:is>
      </ns0:c>
      <ns0:c r="C829" s="3" t="inlineStr">
        <ns0:is>
          <ns0:t>A</ns0:t>
        </ns0:is>
      </ns0:c>
      <ns0:c r="D829" s="4" t="n">
        <ns0:v>1</ns0:v>
      </ns0:c>
      <ns0:c r="E829" s="4" t="n">
        <ns0:v>500</ns0:v>
      </ns0:c>
      <ns0:c r="F829" s="6" t="n">
        <ns0:v>0.4</ns0:v>
      </ns0:c>
      <ns0:c r="G829" s="4" t="n">
        <ns0:v>1</ns0:v>
      </ns0:c>
      <ns0:c r="H829" s="7" t="n">
        <ns0:v>7883.240223463686</ns0:v>
      </ns0:c>
      <ns0:c r="I829" s="7" t="n">
        <ns0:v>3837.988826815642</ns0:v>
      </ns0:c>
      <ns0:c r="J829" s="7" t="n">
        <ns0:v>1535.195530726257</ns0:v>
      </ns0:c>
      <ns0:c r="K829" s="7" t="n">
        <ns0:v>17</ns0:v>
      </ns0:c>
      <ns0:c r="L829" s="7" t="n">
        <ns0:v>28</ns0:v>
      </ns0:c>
      <ns0:c r="M829" s="7" t="n">
        <ns0:v>-15911.67970045781</ns0:v>
      </ns0:c>
      <ns0:c r="N829" s="7" t="n">
        <ns0:v>42730.4055702366</ns0:v>
      </ns0:c>
      <ns0:c r="O829" s="7" t="n">
        <ns0:v>107557.9657012662</ns0:v>
      </ns0:c>
      <ns0:c r="P829" s="7" t="n">
        <ns0:v>269626.8660288401</ns0:v>
      </ns0:c>
      <ns0:c r="Q829" s="7" t="n">
        <ns0:v>875902.4673391357</ns0:v>
      </ns0:c>
      <ns0:c r="R829" s="7" t="n">
        <ns0:v>3074867.071925172</ns0:v>
      </ns0:c>
    </ns0:row>
    <ns0:row r="830" ht="24" customHeight="1">
      <ns0:c r="A830" s="3" t="inlineStr">
        <ns0:is>
          <ns0:t>セット</ns0:t>
        </ns0:is>
      </ns0:c>
      <ns0:c r="B830" s="3" t="inlineStr">
        <ns0:is>
          <ns0:t>G3三段階</ns0:t>
        </ns0:is>
      </ns0:c>
      <ns0:c r="C830" s="3" t="inlineStr">
        <ns0:is>
          <ns0:t>A</ns0:t>
        </ns0:is>
      </ns0:c>
      <ns0:c r="D830" s="4" t="n">
        <ns0:v>1</ns0:v>
      </ns0:c>
      <ns0:c r="E830" s="4" t="n">
        <ns0:v>500</ns0:v>
      </ns0:c>
      <ns0:c r="F830" s="6" t="n">
        <ns0:v>0.4</ns0:v>
      </ns0:c>
      <ns0:c r="G830" s="4" t="n">
        <ns0:v>2</ns0:v>
      </ns0:c>
      <ns0:c r="H830" s="7" t="n">
        <ns0:v>7883.240223463686</ns0:v>
      </ns0:c>
      <ns0:c r="I830" s="7" t="n">
        <ns0:v>3837.988826815642</ns0:v>
      </ns0:c>
      <ns0:c r="J830" s="7" t="n">
        <ns0:v>1535.195530726257</ns0:v>
      </ns0:c>
      <ns0:c r="K830" s="18" t="inlineStr">
        <ns0:is>
          <ns0:t>範囲内なし</ns0:t>
        </ns0:is>
      </ns0:c>
      <ns0:c r="L830" s="18" t="inlineStr">
        <ns0:is>
          <ns0:t>範囲内なし</ns0:t>
        </ns0:is>
      </ns0:c>
      <ns0:c r="M830" s="7" t="n">
        <ns0:v>-52495.38366403107</ns0:v>
      </ns0:c>
      <ns0:c r="N830" s="7" t="n">
        <ns0:v>-67020.70632048321</ns0:v>
      </ns0:c>
      <ns0:c r="O830" s="7" t="n">
        <ns0:v>-75360.55411660012</ns0:v>
      </ns0:c>
      <ns0:c r="P830" s="7" t="n">
        <ns0:v>-96210.17360689244</ns0:v>
      </ns0:c>
      <ns0:c r="Q830" s="7" t="n">
        <ns0:v>-221608.6515680619</ns0:v>
      </ns0:c>
      <ns0:c r="R830" s="7" t="n">
        <ns0:v>-583503.3244321533</ns0:v>
      </ns0:c>
    </ns0:row>
    <ns0:row r="831" ht="24" customHeight="1">
      <ns0:c r="A831" s="3" t="inlineStr">
        <ns0:is>
          <ns0:t>セット</ns0:t>
        </ns0:is>
      </ns0:c>
      <ns0:c r="B831" s="3" t="inlineStr">
        <ns0:is>
          <ns0:t>G3三段階</ns0:t>
        </ns0:is>
      </ns0:c>
      <ns0:c r="C831" s="3" t="inlineStr">
        <ns0:is>
          <ns0:t>A</ns0:t>
        </ns0:is>
      </ns0:c>
      <ns0:c r="D831" s="4" t="n">
        <ns0:v>1</ns0:v>
      </ns0:c>
      <ns0:c r="E831" s="4" t="n">
        <ns0:v>500</ns0:v>
      </ns0:c>
      <ns0:c r="F831" s="6" t="n">
        <ns0:v>0.4</ns0:v>
      </ns0:c>
      <ns0:c r="G831" s="4" t="n">
        <ns0:v>3</ns0:v>
      </ns0:c>
      <ns0:c r="H831" s="7" t="n">
        <ns0:v>7883.240223463686</ns0:v>
      </ns0:c>
      <ns0:c r="I831" s="7" t="n">
        <ns0:v>3837.988826815642</ns0:v>
      </ns0:c>
      <ns0:c r="J831" s="7" t="n">
        <ns0:v>1535.195530726257</ns0:v>
      </ns0:c>
      <ns0:c r="K831" s="7" t="n">
        <ns0:v>24</ns0:v>
      </ns0:c>
      <ns0:c r="L831" s="7" t="n">
        <ns0:v>185</ns0:v>
      </ns0:c>
      <ns0:c r="M831" s="7" t="n">
        <ns0:v>-25374.18650099055</ns0:v>
      </ns0:c>
      <ns0:c r="N831" s="7" t="n">
        <ns0:v>14342.8851686384</ns0:v>
      </ns0:c>
      <ns0:c r="O831" s="7" t="n">
        <ns0:v>60245.4316986025</ns0:v>
      </ns0:c>
      <ns0:c r="P831" s="7" t="n">
        <ns0:v>175001.7980235128</ns0:v>
      </ns0:c>
      <ns0:c r="Q831" s="7" t="n">
        <ns0:v>592027.2633231538</ns0:v>
      </ns0:c>
      <ns0:c r="R831" s="7" t="n">
        <ns0:v>2128616.391871899</ns0:v>
      </ns0:c>
    </ns0:row>
    <ns0:row r="832" ht="24" customHeight="1">
      <ns0:c r="A832" s="3" t="inlineStr">
        <ns0:is>
          <ns0:t>セット</ns0:t>
        </ns0:is>
      </ns0:c>
      <ns0:c r="B832" s="3" t="inlineStr">
        <ns0:is>
          <ns0:t>G3三段階</ns0:t>
        </ns0:is>
      </ns0:c>
      <ns0:c r="C832" s="3" t="inlineStr">
        <ns0:is>
          <ns0:t>A</ns0:t>
        </ns0:is>
      </ns0:c>
      <ns0:c r="D832" s="4" t="n">
        <ns0:v>1</ns0:v>
      </ns0:c>
      <ns0:c r="E832" s="4" t="n">
        <ns0:v>500</ns0:v>
      </ns0:c>
      <ns0:c r="F832" s="6" t="n">
        <ns0:v>0.5</ns0:v>
      </ns0:c>
      <ns0:c r="G832" s="4" t="n">
        <ns0:v>0</ns0:v>
      </ns0:c>
      <ns0:c r="H832" s="7" t="n">
        <ns0:v>7883.240223463686</ns0:v>
      </ns0:c>
      <ns0:c r="I832" s="7" t="n">
        <ns0:v>3837.988826815642</ns0:v>
      </ns0:c>
      <ns0:c r="J832" s="7" t="n">
        <ns0:v>1918.994413407821</ns0:v>
      </ns0:c>
      <ns0:c r="K832" s="7" t="n">
        <ns0:v>17</ns0:v>
      </ns0:c>
      <ns0:c r="L832" s="7" t="n">
        <ns0:v>23</ns0:v>
      </ns0:c>
      <ns0:c r="M832" s="7" t="n">
        <ns0:v>-15426.16232226939</ns0:v>
      </ns0:c>
      <ns0:c r="N832" s="7" t="n">
        <ns0:v>44186.95770480188</ns0:v>
      </ns0:c>
      <ns0:c r="O832" s="7" t="n">
        <ns0:v>109985.5525922083</ns0:v>
      </ns0:c>
      <ns0:c r="P832" s="7" t="n">
        <ns0:v>274482.0398107244</ns0:v>
      </ns0:c>
      <ns0:c r="Q832" s="7" t="n">
        <ns0:v>890467.9886847886</ns0:v>
      </ns0:c>
      <ns0:c r="R832" s="7" t="n">
        <ns0:v>3123418.809744015</ns0:v>
      </ns0:c>
    </ns0:row>
    <ns0:row r="833" ht="24" customHeight="1">
      <ns0:c r="A833" s="3" t="inlineStr">
        <ns0:is>
          <ns0:t>セット</ns0:t>
        </ns0:is>
      </ns0:c>
      <ns0:c r="B833" s="3" t="inlineStr">
        <ns0:is>
          <ns0:t>G3三段階</ns0:t>
        </ns0:is>
      </ns0:c>
      <ns0:c r="C833" s="3" t="inlineStr">
        <ns0:is>
          <ns0:t>A</ns0:t>
        </ns0:is>
      </ns0:c>
      <ns0:c r="D833" s="4" t="n">
        <ns0:v>1</ns0:v>
      </ns0:c>
      <ns0:c r="E833" s="4" t="n">
        <ns0:v>500</ns0:v>
      </ns0:c>
      <ns0:c r="F833" s="6" t="n">
        <ns0:v>0.5</ns0:v>
      </ns0:c>
      <ns0:c r="G833" s="4" t="n">
        <ns0:v>1</ns0:v>
      </ns0:c>
      <ns0:c r="H833" s="7" t="n">
        <ns0:v>7883.240223463686</ns0:v>
      </ns0:c>
      <ns0:c r="I833" s="7" t="n">
        <ns0:v>3837.988826815642</ns0:v>
      </ns0:c>
      <ns0:c r="J833" s="7" t="n">
        <ns0:v>1918.994413407821</ns0:v>
      </ns0:c>
      <ns0:c r="K833" s="7" t="n">
        <ns0:v>20</ns0:v>
      </ns0:c>
      <ns0:c r="L833" s="7" t="n">
        <ns0:v>32</ns0:v>
      </ns0:c>
      <ns0:c r="M833" s="7" t="n">
        <ns0:v>-19749.66852727345</ns0:v>
      </ns0:c>
      <ns0:c r="N833" s="7" t="n">
        <ns0:v>31216.43908978968</ns0:v>
      </ns0:c>
      <ns0:c r="O833" s="7" t="n">
        <ns0:v>88368.02156718797</ns0:v>
      </ns0:c>
      <ns0:c r="P833" s="7" t="n">
        <ns0:v>231246.9777606837</ns0:v>
      </ns0:c>
      <ns0:c r="Q833" s="7" t="n">
        <ns0:v>760762.8025346666</ns0:v>
      </ns0:c>
      <ns0:c r="R833" s="7" t="n">
        <ns0:v>2691068.189243608</ns0:v>
      </ns0:c>
    </ns0:row>
    <ns0:row r="834" ht="24" customHeight="1">
      <ns0:c r="A834" s="3" t="inlineStr">
        <ns0:is>
          <ns0:t>セット</ns0:t>
        </ns0:is>
      </ns0:c>
      <ns0:c r="B834" s="3" t="inlineStr">
        <ns0:is>
          <ns0:t>G3三段階</ns0:t>
        </ns0:is>
      </ns0:c>
      <ns0:c r="C834" s="3" t="inlineStr">
        <ns0:is>
          <ns0:t>A</ns0:t>
        </ns0:is>
      </ns0:c>
      <ns0:c r="D834" s="4" t="n">
        <ns0:v>1</ns0:v>
      </ns0:c>
      <ns0:c r="E834" s="4" t="n">
        <ns0:v>500</ns0:v>
      </ns0:c>
      <ns0:c r="F834" s="6" t="n">
        <ns0:v>0.5</ns0:v>
      </ns0:c>
      <ns0:c r="G834" s="4" t="n">
        <ns0:v>2</ns0:v>
      </ns0:c>
      <ns0:c r="H834" s="7" t="n">
        <ns0:v>7883.240223463686</ns0:v>
      </ns0:c>
      <ns0:c r="I834" s="7" t="n">
        <ns0:v>3837.988826815642</ns0:v>
      </ns0:c>
      <ns0:c r="J834" s="7" t="n">
        <ns0:v>1918.994413407821</ns0:v>
      </ns0:c>
      <ns0:c r="K834" s="18" t="inlineStr">
        <ns0:is>
          <ns0:t>範囲内なし</ns0:t>
        </ns0:is>
      </ns0:c>
      <ns0:c r="L834" s="18" t="inlineStr">
        <ns0:is>
          <ns0:t>範囲内なし</ns0:t>
        </ns0:is>
      </ns0:c>
      <ns0:c r="M834" s="7" t="n">
        <ns0:v>-56333.37249084671</ns0:v>
      </ns0:c>
      <ns0:c r="N834" s="7" t="n">
        <ns0:v>-78534.67280093013</ns0:v>
      </ns0:c>
      <ns0:c r="O834" s="7" t="n">
        <ns0:v>-94550.49825067831</ns0:v>
      </ns0:c>
      <ns0:c r="P834" s="7" t="n">
        <ns0:v>-134590.0618750488</ns0:v>
      </ns0:c>
      <ns0:c r="Q834" s="7" t="n">
        <ns0:v>-336748.3163725312</ns0:v>
      </ns0:c>
      <ns0:c r="R834" s="7" t="n">
        <ns0:v>-967302.2071137177</ns0:v>
      </ns0:c>
    </ns0:row>
    <ns0:row r="835" ht="24" customHeight="1">
      <ns0:c r="A835" s="3" t="inlineStr">
        <ns0:is>
          <ns0:t>セット</ns0:t>
        </ns0:is>
      </ns0:c>
      <ns0:c r="B835" s="3" t="inlineStr">
        <ns0:is>
          <ns0:t>G3三段階</ns0:t>
        </ns0:is>
      </ns0:c>
      <ns0:c r="C835" s="3" t="inlineStr">
        <ns0:is>
          <ns0:t>A</ns0:t>
        </ns0:is>
      </ns0:c>
      <ns0:c r="D835" s="4" t="n">
        <ns0:v>1</ns0:v>
      </ns0:c>
      <ns0:c r="E835" s="4" t="n">
        <ns0:v>500</ns0:v>
      </ns0:c>
      <ns0:c r="F835" s="6" t="n">
        <ns0:v>0.5</ns0:v>
      </ns0:c>
      <ns0:c r="G835" s="4" t="n">
        <ns0:v>3</ns0:v>
      </ns0:c>
      <ns0:c r="H835" s="7" t="n">
        <ns0:v>7883.240223463686</ns0:v>
      </ns0:c>
      <ns0:c r="I835" s="7" t="n">
        <ns0:v>3837.988826815642</ns0:v>
      </ns0:c>
      <ns0:c r="J835" s="7" t="n">
        <ns0:v>1918.994413407821</ns0:v>
      </ns0:c>
      <ns0:c r="K835" s="7" t="n">
        <ns0:v>29</ns0:v>
      </ns0:c>
      <ns0:c r="L835" s="7" t="n">
        <ns0:v>549</ns0:v>
      </ns0:c>
      <ns0:c r="M835" s="7" t="n">
        <ns0:v>-29212.17532780619</ns0:v>
      </ns0:c>
      <ns0:c r="N835" s="7" t="n">
        <ns0:v>2828.918688191479</ns0:v>
      </ns0:c>
      <ns0:c r="O835" s="7" t="n">
        <ns0:v>41055.48756452429</ns0:v>
      </ns0:c>
      <ns0:c r="P835" s="7" t="n">
        <ns0:v>136621.9097553564</ns0:v>
      </ns0:c>
      <ns0:c r="Q835" s="7" t="n">
        <ns0:v>476887.5985186846</ns0:v>
      </ns0:c>
      <ns0:c r="R835" s="7" t="n">
        <ns0:v>1744817.509190335</ns0:v>
      </ns0:c>
    </ns0:row>
    <ns0:row r="836" ht="24" customHeight="1">
      <ns0:c r="A836" s="3" t="inlineStr">
        <ns0:is>
          <ns0:t>セット</ns0:t>
        </ns0:is>
      </ns0:c>
      <ns0:c r="B836" s="3" t="inlineStr">
        <ns0:is>
          <ns0:t>G3三段階</ns0:t>
        </ns0:is>
      </ns0:c>
      <ns0:c r="C836" s="3" t="inlineStr">
        <ns0:is>
          <ns0:t>A</ns0:t>
        </ns0:is>
      </ns0:c>
      <ns0:c r="D836" s="4" t="n">
        <ns0:v>1</ns0:v>
      </ns0:c>
      <ns0:c r="E836" s="4" t="n">
        <ns0:v>1000</ns0:v>
      </ns0:c>
      <ns0:c r="F836" s="6" t="n">
        <ns0:v>0.3</ns0:v>
      </ns0:c>
      <ns0:c r="G836" s="4" t="n">
        <ns0:v>0</ns0:v>
      </ns0:c>
      <ns0:c r="H836" s="7" t="n">
        <ns0:v>7383.240223463686</ns0:v>
      </ns0:c>
      <ns0:c r="I836" s="7" t="n">
        <ns0:v>3337.988826815642</ns0:v>
      </ns0:c>
      <ns0:c r="J836" s="7" t="n">
        <ns0:v>1001.396648044693</ns0:v>
      </ns0:c>
      <ns0:c r="K836" s="7" t="n">
        <ns0:v>15</ns0:v>
      </ns0:c>
      <ns0:c r="L836" s="7" t="n">
        <ns0:v>21</ns0:v>
      </ns0:c>
      <ns0:c r="M836" s="7" t="n">
        <ns0:v>-11070.1846686381</ns0:v>
      </ns0:c>
      <ns0:c r="N836" s="7" t="n">
        <ns0:v>57254.89066569576</ns0:v>
      </ns0:c>
      <ns0:c r="O836" s="7" t="n">
        <ns0:v>131765.4408603648</ns0:v>
      </ns0:c>
      <ns0:c r="P836" s="7" t="n">
        <ns0:v>318041.8163470373</ns0:v>
      </ns0:c>
      <ns0:c r="Q836" s="7" t="n">
        <ns0:v>1021147.318293727</ns0:v>
      </ns0:c>
      <ns0:c r="R836" s="7" t="n">
        <ns0:v>3559016.575107144</ns0:v>
      </ns0:c>
    </ns0:row>
    <ns0:row r="837" ht="24" customHeight="1">
      <ns0:c r="A837" s="3" t="inlineStr">
        <ns0:is>
          <ns0:t>セット</ns0:t>
        </ns0:is>
      </ns0:c>
      <ns0:c r="B837" s="3" t="inlineStr">
        <ns0:is>
          <ns0:t>G3三段階</ns0:t>
        </ns0:is>
      </ns0:c>
      <ns0:c r="C837" s="3" t="inlineStr">
        <ns0:is>
          <ns0:t>A</ns0:t>
        </ns0:is>
      </ns0:c>
      <ns0:c r="D837" s="4" t="n">
        <ns0:v>1</ns0:v>
      </ns0:c>
      <ns0:c r="E837" s="4" t="n">
        <ns0:v>1000</ns0:v>
      </ns0:c>
      <ns0:c r="F837" s="6" t="n">
        <ns0:v>0.3</ns0:v>
      </ns0:c>
      <ns0:c r="G837" s="4" t="n">
        <ns0:v>1</ns0:v>
      </ns0:c>
      <ns0:c r="H837" s="7" t="n">
        <ns0:v>7383.240223463686</ns0:v>
      </ns0:c>
      <ns0:c r="I837" s="7" t="n">
        <ns0:v>3337.988826815642</ns0:v>
      </ns0:c>
      <ns0:c r="J837" s="7" t="n">
        <ns0:v>1001.396648044693</ns0:v>
      </ns0:c>
      <ns0:c r="K837" s="7" t="n">
        <ns0:v>17</ns0:v>
      </ns0:c>
      <ns0:c r="L837" s="7" t="n">
        <ns0:v>28</ns0:v>
      </ns0:c>
      <ns0:c r="M837" s="7" t="n">
        <ns0:v>-15393.69087364217</ns0:v>
      </ns0:c>
      <ns0:c r="N837" s="7" t="n">
        <ns0:v>44284.37205068354</ns0:v>
      </ns0:c>
      <ns0:c r="O837" s="7" t="n">
        <ns0:v>110147.9098353444</ns0:v>
      </ns0:c>
      <ns0:c r="P837" s="7" t="n">
        <ns0:v>274806.7542969966</ns0:v>
      </ns0:c>
      <ns0:c r="Q837" s="7" t="n">
        <ns0:v>891442.132143605</ns0:v>
      </ns0:c>
      <ns0:c r="R837" s="7" t="n">
        <ns0:v>3126665.954606737</ns0:v>
      </ns0:c>
    </ns0:row>
    <ns0:row r="838" ht="24" customHeight="1">
      <ns0:c r="A838" s="3" t="inlineStr">
        <ns0:is>
          <ns0:t>セット</ns0:t>
        </ns0:is>
      </ns0:c>
      <ns0:c r="B838" s="3" t="inlineStr">
        <ns0:is>
          <ns0:t>G3三段階</ns0:t>
        </ns0:is>
      </ns0:c>
      <ns0:c r="C838" s="3" t="inlineStr">
        <ns0:is>
          <ns0:t>A</ns0:t>
        </ns0:is>
      </ns0:c>
      <ns0:c r="D838" s="4" t="n">
        <ns0:v>1</ns0:v>
      </ns0:c>
      <ns0:c r="E838" s="4" t="n">
        <ns0:v>1000</ns0:v>
      </ns0:c>
      <ns0:c r="F838" s="6" t="n">
        <ns0:v>0.3</ns0:v>
      </ns0:c>
      <ns0:c r="G838" s="4" t="n">
        <ns0:v>2</ns0:v>
      </ns0:c>
      <ns0:c r="H838" s="7" t="n">
        <ns0:v>7383.240223463686</ns0:v>
      </ns0:c>
      <ns0:c r="I838" s="7" t="n">
        <ns0:v>3337.988826815642</ns0:v>
      </ns0:c>
      <ns0:c r="J838" s="7" t="n">
        <ns0:v>1001.396648044693</ns0:v>
      </ns0:c>
      <ns0:c r="K838" s="18" t="inlineStr">
        <ns0:is>
          <ns0:t>範囲内なし</ns0:t>
        </ns0:is>
      </ns0:c>
      <ns0:c r="L838" s="18" t="inlineStr">
        <ns0:is>
          <ns0:t>範囲内なし</ns0:t>
        </ns0:is>
      </ns0:c>
      <ns0:c r="M838" s="7" t="n">
        <ns0:v>-51977.39483721543</ns0:v>
      </ns0:c>
      <ns0:c r="N838" s="7" t="n">
        <ns0:v>-65466.73984003625</ns0:v>
      </ns0:c>
      <ns0:c r="O838" s="7" t="n">
        <ns0:v>-72770.60998252187</ns0:v>
      </ns0:c>
      <ns0:c r="P838" s="7" t="n">
        <ns0:v>-91030.28533873594</ns0:v>
      </ns0:c>
      <ns0:c r="Q838" s="7" t="n">
        <ns0:v>-206068.9867635928</ns0:v>
      </ns0:c>
      <ns0:c r="R838" s="7" t="n">
        <ns0:v>-531704.4417505888</ns0:v>
      </ns0:c>
    </ns0:row>
    <ns0:row r="839" ht="24" customHeight="1">
      <ns0:c r="A839" s="3" t="inlineStr">
        <ns0:is>
          <ns0:t>セット</ns0:t>
        </ns0:is>
      </ns0:c>
      <ns0:c r="B839" s="3" t="inlineStr">
        <ns0:is>
          <ns0:t>G3三段階</ns0:t>
        </ns0:is>
      </ns0:c>
      <ns0:c r="C839" s="3" t="inlineStr">
        <ns0:is>
          <ns0:t>A</ns0:t>
        </ns0:is>
      </ns0:c>
      <ns0:c r="D839" s="4" t="n">
        <ns0:v>1</ns0:v>
      </ns0:c>
      <ns0:c r="E839" s="4" t="n">
        <ns0:v>1000</ns0:v>
      </ns0:c>
      <ns0:c r="F839" s="6" t="n">
        <ns0:v>0.3</ns0:v>
      </ns0:c>
      <ns0:c r="G839" s="4" t="n">
        <ns0:v>3</ns0:v>
      </ns0:c>
      <ns0:c r="H839" s="7" t="n">
        <ns0:v>7383.240223463686</ns0:v>
      </ns0:c>
      <ns0:c r="I839" s="7" t="n">
        <ns0:v>3337.988826815642</ns0:v>
      </ns0:c>
      <ns0:c r="J839" s="7" t="n">
        <ns0:v>1001.396648044693</ns0:v>
      </ns0:c>
      <ns0:c r="K839" s="7" t="n">
        <ns0:v>24</ns0:v>
      </ns0:c>
      <ns0:c r="L839" s="7" t="n">
        <ns0:v>174</ns0:v>
      </ns0:c>
      <ns0:c r="M839" s="7" t="n">
        <ns0:v>-24856.1976741749</ns0:v>
      </ns0:c>
      <ns0:c r="N839" s="7" t="n">
        <ns0:v>15896.85164908534</ns0:v>
      </ns0:c>
      <ns0:c r="O839" s="7" t="n">
        <ns0:v>62835.37583268074</ns0:v>
      </ns0:c>
      <ns0:c r="P839" s="7" t="n">
        <ns0:v>180181.6862916693</ns0:v>
      </ns0:c>
      <ns0:c r="Q839" s="7" t="n">
        <ns0:v>607566.928127623</ns0:v>
      </ns0:c>
      <ns0:c r="R839" s="7" t="n">
        <ns0:v>2180415.274553464</ns0:v>
      </ns0:c>
    </ns0:row>
    <ns0:row r="840" ht="24" customHeight="1">
      <ns0:c r="A840" s="3" t="inlineStr">
        <ns0:is>
          <ns0:t>セット</ns0:t>
        </ns0:is>
      </ns0:c>
      <ns0:c r="B840" s="3" t="inlineStr">
        <ns0:is>
          <ns0:t>G3三段階</ns0:t>
        </ns0:is>
      </ns0:c>
      <ns0:c r="C840" s="3" t="inlineStr">
        <ns0:is>
          <ns0:t>A</ns0:t>
        </ns0:is>
      </ns0:c>
      <ns0:c r="D840" s="4" t="n">
        <ns0:v>1</ns0:v>
      </ns0:c>
      <ns0:c r="E840" s="4" t="n">
        <ns0:v>1000</ns0:v>
      </ns0:c>
      <ns0:c r="F840" s="6" t="n">
        <ns0:v>0.4</ns0:v>
      </ns0:c>
      <ns0:c r="G840" s="4" t="n">
        <ns0:v>0</ns0:v>
      </ns0:c>
      <ns0:c r="H840" s="7" t="n">
        <ns0:v>7383.240223463686</ns0:v>
      </ns0:c>
      <ns0:c r="I840" s="7" t="n">
        <ns0:v>3337.988826815642</ns0:v>
      </ns0:c>
      <ns0:c r="J840" s="7" t="n">
        <ns0:v>1335.195530726257</ns0:v>
      </ns0:c>
      <ns0:c r="K840" s="7" t="n">
        <ns0:v>17</ns0:v>
      </ns0:c>
      <ns0:c r="L840" s="7" t="n">
        <ns0:v>22</ns0:v>
      </ns0:c>
      <ns0:c r="M840" s="7" t="n">
        <ns0:v>-14408.17349545374</ns0:v>
      </ns0:c>
      <ns0:c r="N840" s="7" t="n">
        <ns0:v>47240.92418524882</ns0:v>
      </ns0:c>
      <ns0:c r="O840" s="7" t="n">
        <ns0:v>115075.4967262865</ns0:v>
      </ns0:c>
      <ns0:c r="P840" s="7" t="n">
        <ns0:v>284661.9280788809</ns0:v>
      </ns0:c>
      <ns0:c r="Q840" s="7" t="n">
        <ns0:v>921007.6534892579</ns0:v>
      </ns0:c>
      <ns0:c r="R840" s="7" t="n">
        <ns0:v>3225217.692425579</ns0:v>
      </ns0:c>
    </ns0:row>
    <ns0:row r="841" ht="24" customHeight="1">
      <ns0:c r="A841" s="3" t="inlineStr">
        <ns0:is>
          <ns0:t>セット</ns0:t>
        </ns0:is>
      </ns0:c>
      <ns0:c r="B841" s="3" t="inlineStr">
        <ns0:is>
          <ns0:t>G3三段階</ns0:t>
        </ns0:is>
      </ns0:c>
      <ns0:c r="C841" s="3" t="inlineStr">
        <ns0:is>
          <ns0:t>A</ns0:t>
        </ns0:is>
      </ns0:c>
      <ns0:c r="D841" s="4" t="n">
        <ns0:v>1</ns0:v>
      </ns0:c>
      <ns0:c r="E841" s="4" t="n">
        <ns0:v>1000</ns0:v>
      </ns0:c>
      <ns0:c r="F841" s="6" t="n">
        <ns0:v>0.4</ns0:v>
      </ns0:c>
      <ns0:c r="G841" s="4" t="n">
        <ns0:v>1</ns0:v>
      </ns0:c>
      <ns0:c r="H841" s="7" t="n">
        <ns0:v>7383.240223463686</ns0:v>
      </ns0:c>
      <ns0:c r="I841" s="7" t="n">
        <ns0:v>3337.988826815642</ns0:v>
      </ns0:c>
      <ns0:c r="J841" s="7" t="n">
        <ns0:v>1335.195530726257</ns0:v>
      </ns0:c>
      <ns0:c r="K841" s="7" t="n">
        <ns0:v>19</ns0:v>
      </ns0:c>
      <ns0:c r="L841" s="7" t="n">
        <ns0:v>31</ns0:v>
      </ns0:c>
      <ns0:c r="M841" s="7" t="n">
        <ns0:v>-18731.67970045781</ns0:v>
      </ns0:c>
      <ns0:c r="N841" s="7" t="n">
        <ns0:v>34270.40557023662</ns0:v>
      </ns0:c>
      <ns0:c r="O841" s="7" t="n">
        <ns0:v>93457.96570126616</ns0:v>
      </ns0:c>
      <ns0:c r="P841" s="7" t="n">
        <ns0:v>241426.8660288401</ns0:v>
      </ns0:c>
      <ns0:c r="Q841" s="7" t="n">
        <ns0:v>791302.4673391357</ns0:v>
      </ns0:c>
      <ns0:c r="R841" s="7" t="n">
        <ns0:v>2792867.071925172</ns0:v>
      </ns0:c>
    </ns0:row>
    <ns0:row r="842" ht="24" customHeight="1">
      <ns0:c r="A842" s="3" t="inlineStr">
        <ns0:is>
          <ns0:t>セット</ns0:t>
        </ns0:is>
      </ns0:c>
      <ns0:c r="B842" s="3" t="inlineStr">
        <ns0:is>
          <ns0:t>G3三段階</ns0:t>
        </ns0:is>
      </ns0:c>
      <ns0:c r="C842" s="3" t="inlineStr">
        <ns0:is>
          <ns0:t>A</ns0:t>
        </ns0:is>
      </ns0:c>
      <ns0:c r="D842" s="4" t="n">
        <ns0:v>1</ns0:v>
      </ns0:c>
      <ns0:c r="E842" s="4" t="n">
        <ns0:v>1000</ns0:v>
      </ns0:c>
      <ns0:c r="F842" s="6" t="n">
        <ns0:v>0.4</ns0:v>
      </ns0:c>
      <ns0:c r="G842" s="4" t="n">
        <ns0:v>2</ns0:v>
      </ns0:c>
      <ns0:c r="H842" s="7" t="n">
        <ns0:v>7383.240223463686</ns0:v>
      </ns0:c>
      <ns0:c r="I842" s="7" t="n">
        <ns0:v>3337.988826815642</ns0:v>
      </ns0:c>
      <ns0:c r="J842" s="7" t="n">
        <ns0:v>1335.195530726257</ns0:v>
      </ns0:c>
      <ns0:c r="K842" s="18" t="inlineStr">
        <ns0:is>
          <ns0:t>範囲内なし</ns0:t>
        </ns0:is>
      </ns0:c>
      <ns0:c r="L842" s="18" t="inlineStr">
        <ns0:is>
          <ns0:t>範囲内なし</ns0:t>
        </ns0:is>
      </ns0:c>
      <ns0:c r="M842" s="7" t="n">
        <ns0:v>-55315.38366403107</ns0:v>
      </ns0:c>
      <ns0:c r="N842" s="7" t="n">
        <ns0:v>-75480.70632048318</ns0:v>
      </ns0:c>
      <ns0:c r="O842" s="7" t="n">
        <ns0:v>-89460.55411660012</ns0:v>
      </ns0:c>
      <ns0:c r="P842" s="7" t="n">
        <ns0:v>-124410.1736068924</ns0:v>
      </ns0:c>
      <ns0:c r="Q842" s="7" t="n">
        <ns0:v>-306208.6515680619</ns0:v>
      </ns0:c>
      <ns0:c r="R842" s="7" t="n">
        <ns0:v>-865503.3244321542</ns0:v>
      </ns0:c>
    </ns0:row>
    <ns0:row r="843" ht="24" customHeight="1">
      <ns0:c r="A843" s="3" t="inlineStr">
        <ns0:is>
          <ns0:t>セット</ns0:t>
        </ns0:is>
      </ns0:c>
      <ns0:c r="B843" s="3" t="inlineStr">
        <ns0:is>
          <ns0:t>G3三段階</ns0:t>
        </ns0:is>
      </ns0:c>
      <ns0:c r="C843" s="3" t="inlineStr">
        <ns0:is>
          <ns0:t>A</ns0:t>
        </ns0:is>
      </ns0:c>
      <ns0:c r="D843" s="4" t="n">
        <ns0:v>1</ns0:v>
      </ns0:c>
      <ns0:c r="E843" s="4" t="n">
        <ns0:v>1000</ns0:v>
      </ns0:c>
      <ns0:c r="F843" s="6" t="n">
        <ns0:v>0.4</ns0:v>
      </ns0:c>
      <ns0:c r="G843" s="4" t="n">
        <ns0:v>3</ns0:v>
      </ns0:c>
      <ns0:c r="H843" s="7" t="n">
        <ns0:v>7383.240223463686</ns0:v>
      </ns0:c>
      <ns0:c r="I843" s="7" t="n">
        <ns0:v>3337.988826815642</ns0:v>
      </ns0:c>
      <ns0:c r="J843" s="7" t="n">
        <ns0:v>1335.195530726257</ns0:v>
      </ns0:c>
      <ns0:c r="K843" s="7" t="n">
        <ns0:v>28</ns0:v>
      </ns0:c>
      <ns0:c r="L843" s="7" t="n">
        <ns0:v>288</ns0:v>
      </ns0:c>
      <ns0:c r="M843" s="7" t="n">
        <ns0:v>-28194.18650099055</ns0:v>
      </ns0:c>
      <ns0:c r="N843" s="7" t="n">
        <ns0:v>5882.885168638415</ns0:v>
      </ns0:c>
      <ns0:c r="O843" s="7" t="n">
        <ns0:v>46145.4316986025</ns0:v>
      </ns0:c>
      <ns0:c r="P843" s="7" t="n">
        <ns0:v>146801.7980235128</ns0:v>
      </ns0:c>
      <ns0:c r="Q843" s="7" t="n">
        <ns0:v>507427.2633231538</ns0:v>
      </ns0:c>
      <ns0:c r="R843" s="7" t="n">
        <ns0:v>1846616.391871898</ns0:v>
      </ns0:c>
    </ns0:row>
    <ns0:row r="844" ht="24" customHeight="1">
      <ns0:c r="A844" s="3" t="inlineStr">
        <ns0:is>
          <ns0:t>セット</ns0:t>
        </ns0:is>
      </ns0:c>
      <ns0:c r="B844" s="3" t="inlineStr">
        <ns0:is>
          <ns0:t>G3三段階</ns0:t>
        </ns0:is>
      </ns0:c>
      <ns0:c r="C844" s="3" t="inlineStr">
        <ns0:is>
          <ns0:t>A</ns0:t>
        </ns0:is>
      </ns0:c>
      <ns0:c r="D844" s="4" t="n">
        <ns0:v>1</ns0:v>
      </ns0:c>
      <ns0:c r="E844" s="4" t="n">
        <ns0:v>1000</ns0:v>
      </ns0:c>
      <ns0:c r="F844" s="6" t="n">
        <ns0:v>0.5</ns0:v>
      </ns0:c>
      <ns0:c r="G844" s="4" t="n">
        <ns0:v>0</ns0:v>
      </ns0:c>
      <ns0:c r="H844" s="7" t="n">
        <ns0:v>7383.240223463686</ns0:v>
      </ns0:c>
      <ns0:c r="I844" s="7" t="n">
        <ns0:v>3337.988826815642</ns0:v>
      </ns0:c>
      <ns0:c r="J844" s="7" t="n">
        <ns0:v>1668.994413407821</ns0:v>
      </ns0:c>
      <ns0:c r="K844" s="7" t="n">
        <ns0:v>18</ns0:v>
      </ns0:c>
      <ns0:c r="L844" s="7" t="n">
        <ns0:v>24</ns0:v>
      </ns0:c>
      <ns0:c r="M844" s="7" t="n">
        <ns0:v>-17746.16232226938</ns0:v>
      </ns0:c>
      <ns0:c r="N844" s="7" t="n">
        <ns0:v>37226.9577048019</ns0:v>
      </ns0:c>
      <ns0:c r="O844" s="7" t="n">
        <ns0:v>98385.55259220835</ns0:v>
      </ns0:c>
      <ns0:c r="P844" s="7" t="n">
        <ns0:v>251282.0398107245</ns0:v>
      </ns0:c>
      <ns0:c r="Q844" s="7" t="n">
        <ns0:v>820867.9886847886</ns0:v>
      </ns0:c>
      <ns0:c r="R844" s="7" t="n">
        <ns0:v>2891418.809744015</ns0:v>
      </ns0:c>
    </ns0:row>
    <ns0:row r="845" ht="24" customHeight="1">
      <ns0:c r="A845" s="3" t="inlineStr">
        <ns0:is>
          <ns0:t>セット</ns0:t>
        </ns0:is>
      </ns0:c>
      <ns0:c r="B845" s="3" t="inlineStr">
        <ns0:is>
          <ns0:t>G3三段階</ns0:t>
        </ns0:is>
      </ns0:c>
      <ns0:c r="C845" s="3" t="inlineStr">
        <ns0:is>
          <ns0:t>A</ns0:t>
        </ns0:is>
      </ns0:c>
      <ns0:c r="D845" s="4" t="n">
        <ns0:v>1</ns0:v>
      </ns0:c>
      <ns0:c r="E845" s="4" t="n">
        <ns0:v>1000</ns0:v>
      </ns0:c>
      <ns0:c r="F845" s="6" t="n">
        <ns0:v>0.5</ns0:v>
      </ns0:c>
      <ns0:c r="G845" s="4" t="n">
        <ns0:v>1</ns0:v>
      </ns0:c>
      <ns0:c r="H845" s="7" t="n">
        <ns0:v>7383.240223463686</ns0:v>
      </ns0:c>
      <ns0:c r="I845" s="7" t="n">
        <ns0:v>3337.988826815642</ns0:v>
      </ns0:c>
      <ns0:c r="J845" s="7" t="n">
        <ns0:v>1668.994413407821</ns0:v>
      </ns0:c>
      <ns0:c r="K845" s="7" t="n">
        <ns0:v>21</ns0:v>
      </ns0:c>
      <ns0:c r="L845" s="7" t="n">
        <ns0:v>35</ns0:v>
      </ns0:c>
      <ns0:c r="M845" s="7" t="n">
        <ns0:v>-22069.66852727345</ns0:v>
      </ns0:c>
      <ns0:c r="N845" s="7" t="n">
        <ns0:v>24256.43908978969</ns0:v>
      </ns0:c>
      <ns0:c r="O845" s="7" t="n">
        <ns0:v>76768.02156718797</ns0:v>
      </ns0:c>
      <ns0:c r="P845" s="7" t="n">
        <ns0:v>208046.9777606837</ns0:v>
      </ns0:c>
      <ns0:c r="Q845" s="7" t="n">
        <ns0:v>691162.8025346664</ns0:v>
      </ns0:c>
      <ns0:c r="R845" s="7" t="n">
        <ns0:v>2459068.189243608</ns0:v>
      </ns0:c>
    </ns0:row>
    <ns0:row r="846" ht="24" customHeight="1">
      <ns0:c r="A846" s="3" t="inlineStr">
        <ns0:is>
          <ns0:t>セット</ns0:t>
        </ns0:is>
      </ns0:c>
      <ns0:c r="B846" s="3" t="inlineStr">
        <ns0:is>
          <ns0:t>G3三段階</ns0:t>
        </ns0:is>
      </ns0:c>
      <ns0:c r="C846" s="3" t="inlineStr">
        <ns0:is>
          <ns0:t>A</ns0:t>
        </ns0:is>
      </ns0:c>
      <ns0:c r="D846" s="4" t="n">
        <ns0:v>1</ns0:v>
      </ns0:c>
      <ns0:c r="E846" s="4" t="n">
        <ns0:v>1000</ns0:v>
      </ns0:c>
      <ns0:c r="F846" s="6" t="n">
        <ns0:v>0.5</ns0:v>
      </ns0:c>
      <ns0:c r="G846" s="4" t="n">
        <ns0:v>2</ns0:v>
      </ns0:c>
      <ns0:c r="H846" s="7" t="n">
        <ns0:v>7383.240223463686</ns0:v>
      </ns0:c>
      <ns0:c r="I846" s="7" t="n">
        <ns0:v>3337.988826815642</ns0:v>
      </ns0:c>
      <ns0:c r="J846" s="7" t="n">
        <ns0:v>1668.994413407821</ns0:v>
      </ns0:c>
      <ns0:c r="K846" s="18" t="inlineStr">
        <ns0:is>
          <ns0:t>範囲内なし</ns0:t>
        </ns0:is>
      </ns0:c>
      <ns0:c r="L846" s="18" t="inlineStr">
        <ns0:is>
          <ns0:t>範囲内なし</ns0:t>
        </ns0:is>
      </ns0:c>
      <ns0:c r="M846" s="7" t="n">
        <ns0:v>-58653.37249084671</ns0:v>
      </ns0:c>
      <ns0:c r="N846" s="7" t="n">
        <ns0:v>-85494.6728009301</ns0:v>
      </ns0:c>
      <ns0:c r="O846" s="7" t="n">
        <ns0:v>-106150.4982506783</ns0:v>
      </ns0:c>
      <ns0:c r="P846" s="7" t="n">
        <ns0:v>-157790.0618750488</ns0:v>
      </ns0:c>
      <ns0:c r="Q846" s="7" t="n">
        <ns0:v>-406348.3163725312</ns0:v>
      </ns0:c>
      <ns0:c r="R846" s="7" t="n">
        <ns0:v>-1199302.207113718</ns0:v>
      </ns0:c>
    </ns0:row>
    <ns0:row r="847" ht="24" customHeight="1">
      <ns0:c r="A847" s="3" t="inlineStr">
        <ns0:is>
          <ns0:t>セット</ns0:t>
        </ns0:is>
      </ns0:c>
      <ns0:c r="B847" s="3" t="inlineStr">
        <ns0:is>
          <ns0:t>G3三段階</ns0:t>
        </ns0:is>
      </ns0:c>
      <ns0:c r="C847" s="3" t="inlineStr">
        <ns0:is>
          <ns0:t>A</ns0:t>
        </ns0:is>
      </ns0:c>
      <ns0:c r="D847" s="4" t="n">
        <ns0:v>1</ns0:v>
      </ns0:c>
      <ns0:c r="E847" s="4" t="n">
        <ns0:v>1000</ns0:v>
      </ns0:c>
      <ns0:c r="F847" s="6" t="n">
        <ns0:v>0.5</ns0:v>
      </ns0:c>
      <ns0:c r="G847" s="4" t="n">
        <ns0:v>3</ns0:v>
      </ns0:c>
      <ns0:c r="H847" s="7" t="n">
        <ns0:v>7383.240223463686</ns0:v>
      </ns0:c>
      <ns0:c r="I847" s="7" t="n">
        <ns0:v>3337.988826815642</ns0:v>
      </ns0:c>
      <ns0:c r="J847" s="7" t="n">
        <ns0:v>1668.994413407821</ns0:v>
      </ns0:c>
      <ns0:c r="K847" s="7" t="n">
        <ns0:v>33</ns0:v>
      </ns0:c>
      <ns0:c r="L847" s="18" t="inlineStr">
        <ns0:is>
          <ns0:t>範囲内なし</ns0:t>
        </ns0:is>
      </ns0:c>
      <ns0:c r="M847" s="7" t="n">
        <ns0:v>-31532.17532780619</ns0:v>
      </ns0:c>
      <ns0:c r="N847" s="7" t="n">
        <ns0:v>-4131.081311808506</ns0:v>
      </ns0:c>
      <ns0:c r="O847" s="7" t="n">
        <ns0:v>29455.48756452431</ns0:v>
      </ns0:c>
      <ns0:c r="P847" s="7" t="n">
        <ns0:v>113421.9097553564</ns0:v>
      </ns0:c>
      <ns0:c r="Q847" s="7" t="n">
        <ns0:v>407287.5985186844</ns0:v>
      </ns0:c>
      <ns0:c r="R847" s="7" t="n">
        <ns0:v>1512817.509190335</ns0:v>
      </ns0:c>
    </ns0:row>
    <ns0:row r="848" ht="24" customHeight="1">
      <ns0:c r="A848" s="3" t="inlineStr">
        <ns0:is>
          <ns0:t>セット</ns0:t>
        </ns0:is>
      </ns0:c>
      <ns0:c r="B848" s="3" t="inlineStr">
        <ns0:is>
          <ns0:t>G3三段階</ns0:t>
        </ns0:is>
      </ns0:c>
      <ns0:c r="C848" s="3" t="inlineStr">
        <ns0:is>
          <ns0:t>A</ns0:t>
        </ns0:is>
      </ns0:c>
      <ns0:c r="D848" s="4" t="n">
        <ns0:v>1</ns0:v>
      </ns0:c>
      <ns0:c r="E848" s="4" t="n">
        <ns0:v>1500</ns0:v>
      </ns0:c>
      <ns0:c r="F848" s="6" t="n">
        <ns0:v>0.3</ns0:v>
      </ns0:c>
      <ns0:c r="G848" s="4" t="n">
        <ns0:v>0</ns0:v>
      </ns0:c>
      <ns0:c r="H848" s="7" t="n">
        <ns0:v>6883.240223463686</ns0:v>
      </ns0:c>
      <ns0:c r="I848" s="7" t="n">
        <ns0:v>2837.988826815642</ns0:v>
      </ns0:c>
      <ns0:c r="J848" s="7" t="n">
        <ns0:v>851.3966480446924</ns0:v>
      </ns0:c>
      <ns0:c r="K848" s="7" t="n">
        <ns0:v>17</ns0:v>
      </ns0:c>
      <ns0:c r="L848" s="7" t="n">
        <ns0:v>22</ns0:v>
      </ns0:c>
      <ns0:c r="M848" s="7" t="n">
        <ns0:v>-14390.18466863809</ns0:v>
      </ns0:c>
      <ns0:c r="N848" s="7" t="n">
        <ns0:v>47294.89066569571</ns0:v>
      </ns0:c>
      <ns0:c r="O848" s="7" t="n">
        <ns0:v>115165.4408603648</ns0:v>
      </ns0:c>
      <ns0:c r="P848" s="7" t="n">
        <ns0:v>284841.8163470373</ns0:v>
      </ns0:c>
      <ns0:c r="Q848" s="7" t="n">
        <ns0:v>921547.3182937272</ns0:v>
      </ns0:c>
      <ns0:c r="R848" s="7" t="n">
        <ns0:v>3227016.575107143</ns0:v>
      </ns0:c>
    </ns0:row>
    <ns0:row r="849" ht="24" customHeight="1">
      <ns0:c r="A849" s="3" t="inlineStr">
        <ns0:is>
          <ns0:t>セット</ns0:t>
        </ns0:is>
      </ns0:c>
      <ns0:c r="B849" s="3" t="inlineStr">
        <ns0:is>
          <ns0:t>G3三段階</ns0:t>
        </ns0:is>
      </ns0:c>
      <ns0:c r="C849" s="3" t="inlineStr">
        <ns0:is>
          <ns0:t>A</ns0:t>
        </ns0:is>
      </ns0:c>
      <ns0:c r="D849" s="4" t="n">
        <ns0:v>1</ns0:v>
      </ns0:c>
      <ns0:c r="E849" s="4" t="n">
        <ns0:v>1500</ns0:v>
      </ns0:c>
      <ns0:c r="F849" s="6" t="n">
        <ns0:v>0.3</ns0:v>
      </ns0:c>
      <ns0:c r="G849" s="4" t="n">
        <ns0:v>1</ns0:v>
      </ns0:c>
      <ns0:c r="H849" s="7" t="n">
        <ns0:v>6883.240223463686</ns0:v>
      </ns0:c>
      <ns0:c r="I849" s="7" t="n">
        <ns0:v>2837.988826815642</ns0:v>
      </ns0:c>
      <ns0:c r="J849" s="7" t="n">
        <ns0:v>851.3966480446924</ns0:v>
      </ns0:c>
      <ns0:c r="K849" s="7" t="n">
        <ns0:v>19</ns0:v>
      </ns0:c>
      <ns0:c r="L849" s="7" t="n">
        <ns0:v>31</ns0:v>
      </ns0:c>
      <ns0:c r="M849" s="7" t="n">
        <ns0:v>-18713.69087364216</ns0:v>
      </ns0:c>
      <ns0:c r="N849" s="7" t="n">
        <ns0:v>34324.37205068351</ns0:v>
      </ns0:c>
      <ns0:c r="O849" s="7" t="n">
        <ns0:v>93547.90983534438</ns0:v>
      </ns0:c>
      <ns0:c r="P849" s="7" t="n">
        <ns0:v>241606.7542969966</ns0:v>
      </ns0:c>
      <ns0:c r="Q849" s="7" t="n">
        <ns0:v>791842.132143605</ns0:v>
      </ns0:c>
      <ns0:c r="R849" s="7" t="n">
        <ns0:v>2794665.954606736</ns0:v>
      </ns0:c>
    </ns0:row>
    <ns0:row r="850" ht="24" customHeight="1">
      <ns0:c r="A850" s="3" t="inlineStr">
        <ns0:is>
          <ns0:t>セット</ns0:t>
        </ns0:is>
      </ns0:c>
      <ns0:c r="B850" s="3" t="inlineStr">
        <ns0:is>
          <ns0:t>G3三段階</ns0:t>
        </ns0:is>
      </ns0:c>
      <ns0:c r="C850" s="3" t="inlineStr">
        <ns0:is>
          <ns0:t>A</ns0:t>
        </ns0:is>
      </ns0:c>
      <ns0:c r="D850" s="4" t="n">
        <ns0:v>1</ns0:v>
      </ns0:c>
      <ns0:c r="E850" s="4" t="n">
        <ns0:v>1500</ns0:v>
      </ns0:c>
      <ns0:c r="F850" s="6" t="n">
        <ns0:v>0.3</ns0:v>
      </ns0:c>
      <ns0:c r="G850" s="4" t="n">
        <ns0:v>2</ns0:v>
      </ns0:c>
      <ns0:c r="H850" s="7" t="n">
        <ns0:v>6883.240223463686</ns0:v>
      </ns0:c>
      <ns0:c r="I850" s="7" t="n">
        <ns0:v>2837.988826815642</ns0:v>
      </ns0:c>
      <ns0:c r="J850" s="7" t="n">
        <ns0:v>851.3966480446924</ns0:v>
      </ns0:c>
      <ns0:c r="K850" s="18" t="inlineStr">
        <ns0:is>
          <ns0:t>範囲内なし</ns0:t>
        </ns0:is>
      </ns0:c>
      <ns0:c r="L850" s="18" t="inlineStr">
        <ns0:is>
          <ns0:t>範囲内なし</ns0:t>
        </ns0:is>
      </ns0:c>
      <ns0:c r="M850" s="7" t="n">
        <ns0:v>-55297.39483721542</ns0:v>
      </ns0:c>
      <ns0:c r="N850" s="7" t="n">
        <ns0:v>-75426.73984003629</ns0:v>
      </ns0:c>
      <ns0:c r="O850" s="7" t="n">
        <ns0:v>-89370.6099825219</ns0:v>
      </ns0:c>
      <ns0:c r="P850" s="7" t="n">
        <ns0:v>-124230.285338736</ns0:v>
      </ns0:c>
      <ns0:c r="Q850" s="7" t="n">
        <ns0:v>-305668.9867635926</ns0:v>
      </ns0:c>
      <ns0:c r="R850" s="7" t="n">
        <ns0:v>-863704.4417505898</ns0:v>
      </ns0:c>
    </ns0:row>
    <ns0:row r="851" ht="24" customHeight="1">
      <ns0:c r="A851" s="3" t="inlineStr">
        <ns0:is>
          <ns0:t>セット</ns0:t>
        </ns0:is>
      </ns0:c>
      <ns0:c r="B851" s="3" t="inlineStr">
        <ns0:is>
          <ns0:t>G3三段階</ns0:t>
        </ns0:is>
      </ns0:c>
      <ns0:c r="C851" s="3" t="inlineStr">
        <ns0:is>
          <ns0:t>A</ns0:t>
        </ns0:is>
      </ns0:c>
      <ns0:c r="D851" s="4" t="n">
        <ns0:v>1</ns0:v>
      </ns0:c>
      <ns0:c r="E851" s="4" t="n">
        <ns0:v>1500</ns0:v>
      </ns0:c>
      <ns0:c r="F851" s="6" t="n">
        <ns0:v>0.3</ns0:v>
      </ns0:c>
      <ns0:c r="G851" s="4" t="n">
        <ns0:v>3</ns0:v>
      </ns0:c>
      <ns0:c r="H851" s="7" t="n">
        <ns0:v>6883.240223463686</ns0:v>
      </ns0:c>
      <ns0:c r="I851" s="7" t="n">
        <ns0:v>2837.988826815642</ns0:v>
      </ns0:c>
      <ns0:c r="J851" s="7" t="n">
        <ns0:v>851.3966480446924</ns0:v>
      </ns0:c>
      <ns0:c r="K851" s="7" t="n">
        <ns0:v>28</ns0:v>
      </ns0:c>
      <ns0:c r="L851" s="7" t="n">
        <ns0:v>287</ns0:v>
      </ns0:c>
      <ns0:c r="M851" s="7" t="n">
        <ns0:v>-28176.19767417489</ns0:v>
      </ns0:c>
      <ns0:c r="N851" s="7" t="n">
        <ns0:v>5936.851649085307</ns0:v>
      </ns0:c>
      <ns0:c r="O851" s="7" t="n">
        <ns0:v>46235.37583268072</ns0:v>
      </ns0:c>
      <ns0:c r="P851" s="7" t="n">
        <ns0:v>146981.6862916692</ns0:v>
      </ns0:c>
      <ns0:c r="Q851" s="7" t="n">
        <ns0:v>507966.9281276231</ns0:v>
      </ns0:c>
      <ns0:c r="R851" s="7" t="n">
        <ns0:v>1848415.274553462</ns0:v>
      </ns0:c>
    </ns0:row>
    <ns0:row r="852" ht="24" customHeight="1">
      <ns0:c r="A852" s="3" t="inlineStr">
        <ns0:is>
          <ns0:t>セット</ns0:t>
        </ns0:is>
      </ns0:c>
      <ns0:c r="B852" s="3" t="inlineStr">
        <ns0:is>
          <ns0:t>G3三段階</ns0:t>
        </ns0:is>
      </ns0:c>
      <ns0:c r="C852" s="3" t="inlineStr">
        <ns0:is>
          <ns0:t>A</ns0:t>
        </ns0:is>
      </ns0:c>
      <ns0:c r="D852" s="4" t="n">
        <ns0:v>1</ns0:v>
      </ns0:c>
      <ns0:c r="E852" s="4" t="n">
        <ns0:v>1500</ns0:v>
      </ns0:c>
      <ns0:c r="F852" s="6" t="n">
        <ns0:v>0.4</ns0:v>
      </ns0:c>
      <ns0:c r="G852" s="4" t="n">
        <ns0:v>0</ns0:v>
      </ns0:c>
      <ns0:c r="H852" s="7" t="n">
        <ns0:v>6883.240223463686</ns0:v>
      </ns0:c>
      <ns0:c r="I852" s="7" t="n">
        <ns0:v>2837.988826815642</ns0:v>
      </ns0:c>
      <ns0:c r="J852" s="7" t="n">
        <ns0:v>1135.195530726257</ns0:v>
      </ns0:c>
      <ns0:c r="K852" s="7" t="n">
        <ns0:v>18</ns0:v>
      </ns0:c>
      <ns0:c r="L852" s="7" t="n">
        <ns0:v>24</ns0:v>
      </ns0:c>
      <ns0:c r="M852" s="7" t="n">
        <ns0:v>-17228.17349545374</ns0:v>
      </ns0:c>
      <ns0:c r="N852" s="7" t="n">
        <ns0:v>38780.9241852488</ns0:v>
      </ns0:c>
      <ns0:c r="O852" s="7" t="n">
        <ns0:v>100975.4967262865</ns0:v>
      </ns0:c>
      <ns0:c r="P852" s="7" t="n">
        <ns0:v>256461.9280788809</ns0:v>
      </ns0:c>
      <ns0:c r="Q852" s="7" t="n">
        <ns0:v>836407.6534892581</ns0:v>
      </ns0:c>
      <ns0:c r="R852" s="7" t="n">
        <ns0:v>2943217.692425578</ns0:v>
      </ns0:c>
    </ns0:row>
    <ns0:row r="853" ht="24" customHeight="1">
      <ns0:c r="A853" s="3" t="inlineStr">
        <ns0:is>
          <ns0:t>セット</ns0:t>
        </ns0:is>
      </ns0:c>
      <ns0:c r="B853" s="3" t="inlineStr">
        <ns0:is>
          <ns0:t>G3三段階</ns0:t>
        </ns0:is>
      </ns0:c>
      <ns0:c r="C853" s="3" t="inlineStr">
        <ns0:is>
          <ns0:t>A</ns0:t>
        </ns0:is>
      </ns0:c>
      <ns0:c r="D853" s="4" t="n">
        <ns0:v>1</ns0:v>
      </ns0:c>
      <ns0:c r="E853" s="4" t="n">
        <ns0:v>1500</ns0:v>
      </ns0:c>
      <ns0:c r="F853" s="6" t="n">
        <ns0:v>0.4</ns0:v>
      </ns0:c>
      <ns0:c r="G853" s="4" t="n">
        <ns0:v>1</ns0:v>
      </ns0:c>
      <ns0:c r="H853" s="7" t="n">
        <ns0:v>6883.240223463686</ns0:v>
      </ns0:c>
      <ns0:c r="I853" s="7" t="n">
        <ns0:v>2837.988826815642</ns0:v>
      </ns0:c>
      <ns0:c r="J853" s="7" t="n">
        <ns0:v>1135.195530726257</ns0:v>
      </ns0:c>
      <ns0:c r="K853" s="7" t="n">
        <ns0:v>21</ns0:v>
      </ns0:c>
      <ns0:c r="L853" s="7" t="n">
        <ns0:v>34</ns0:v>
      </ns0:c>
      <ns0:c r="M853" s="7" t="n">
        <ns0:v>-21551.6797004578</ns0:v>
      </ns0:c>
      <ns0:c r="N853" s="7" t="n">
        <ns0:v>25810.40557023659</ns0:v>
      </ns0:c>
      <ns0:c r="O853" s="7" t="n">
        <ns0:v>79357.96570126619</ns0:v>
      </ns0:c>
      <ns0:c r="P853" s="7" t="n">
        <ns0:v>213226.8660288402</ns0:v>
      </ns0:c>
      <ns0:c r="Q853" s="7" t="n">
        <ns0:v>706702.4673391359</ns0:v>
      </ns0:c>
      <ns0:c r="R853" s="7" t="n">
        <ns0:v>2510867.071925171</ns0:v>
      </ns0:c>
    </ns0:row>
    <ns0:row r="854" ht="24" customHeight="1">
      <ns0:c r="A854" s="3" t="inlineStr">
        <ns0:is>
          <ns0:t>セット</ns0:t>
        </ns0:is>
      </ns0:c>
      <ns0:c r="B854" s="3" t="inlineStr">
        <ns0:is>
          <ns0:t>G3三段階</ns0:t>
        </ns0:is>
      </ns0:c>
      <ns0:c r="C854" s="3" t="inlineStr">
        <ns0:is>
          <ns0:t>A</ns0:t>
        </ns0:is>
      </ns0:c>
      <ns0:c r="D854" s="4" t="n">
        <ns0:v>1</ns0:v>
      </ns0:c>
      <ns0:c r="E854" s="4" t="n">
        <ns0:v>1500</ns0:v>
      </ns0:c>
      <ns0:c r="F854" s="6" t="n">
        <ns0:v>0.4</ns0:v>
      </ns0:c>
      <ns0:c r="G854" s="4" t="n">
        <ns0:v>2</ns0:v>
      </ns0:c>
      <ns0:c r="H854" s="7" t="n">
        <ns0:v>6883.240223463686</ns0:v>
      </ns0:c>
      <ns0:c r="I854" s="7" t="n">
        <ns0:v>2837.988826815642</ns0:v>
      </ns0:c>
      <ns0:c r="J854" s="7" t="n">
        <ns0:v>1135.195530726257</ns0:v>
      </ns0:c>
      <ns0:c r="K854" s="18" t="inlineStr">
        <ns0:is>
          <ns0:t>範囲内なし</ns0:t>
        </ns0:is>
      </ns0:c>
      <ns0:c r="L854" s="18" t="inlineStr">
        <ns0:is>
          <ns0:t>範囲内なし</ns0:t>
        </ns0:is>
      </ns0:c>
      <ns0:c r="M854" s="7" t="n">
        <ns0:v>-58135.38366403106</ns0:v>
      </ns0:c>
      <ns0:c r="N854" s="7" t="n">
        <ns0:v>-83940.70632048321</ns0:v>
      </ns0:c>
      <ns0:c r="O854" s="7" t="n">
        <ns0:v>-103560.5541166001</ns0:v>
      </ns0:c>
      <ns0:c r="P854" s="7" t="n">
        <ns0:v>-152610.1736068924</ns0:v>
      </ns0:c>
      <ns0:c r="Q854" s="7" t="n">
        <ns0:v>-390808.6515680617</ns0:v>
      </ns0:c>
      <ns0:c r="R854" s="7" t="n">
        <ns0:v>-1147503.324432155</ns0:v>
      </ns0:c>
    </ns0:row>
    <ns0:row r="855" ht="24" customHeight="1">
      <ns0:c r="A855" s="3" t="inlineStr">
        <ns0:is>
          <ns0:t>セット</ns0:t>
        </ns0:is>
      </ns0:c>
      <ns0:c r="B855" s="3" t="inlineStr">
        <ns0:is>
          <ns0:t>G3三段階</ns0:t>
        </ns0:is>
      </ns0:c>
      <ns0:c r="C855" s="3" t="inlineStr">
        <ns0:is>
          <ns0:t>A</ns0:t>
        </ns0:is>
      </ns0:c>
      <ns0:c r="D855" s="4" t="n">
        <ns0:v>1</ns0:v>
      </ns0:c>
      <ns0:c r="E855" s="4" t="n">
        <ns0:v>1500</ns0:v>
      </ns0:c>
      <ns0:c r="F855" s="6" t="n">
        <ns0:v>0.4</ns0:v>
      </ns0:c>
      <ns0:c r="G855" s="4" t="n">
        <ns0:v>3</ns0:v>
      </ns0:c>
      <ns0:c r="H855" s="7" t="n">
        <ns0:v>6883.240223463686</ns0:v>
      </ns0:c>
      <ns0:c r="I855" s="7" t="n">
        <ns0:v>2837.988826815642</ns0:v>
      </ns0:c>
      <ns0:c r="J855" s="7" t="n">
        <ns0:v>1135.195530726257</ns0:v>
      </ns0:c>
      <ns0:c r="K855" s="7" t="n">
        <ns0:v>32</ns0:v>
      </ns0:c>
      <ns0:c r="L855" s="7" t="n">
        <ns0:v>988</ns0:v>
      </ns0:c>
      <ns0:c r="M855" s="7" t="n">
        <ns0:v>-31014.18650099054</ns0:v>
      </ns0:c>
      <ns0:c r="N855" s="7" t="n">
        <ns0:v>-2577.114831361614</ns0:v>
      </ns0:c>
      <ns0:c r="O855" s="7" t="n">
        <ns0:v>32045.43169860252</ns0:v>
      </ns0:c>
      <ns0:c r="P855" s="7" t="n">
        <ns0:v>118601.7980235128</ns0:v>
      </ns0:c>
      <ns0:c r="Q855" s="7" t="n">
        <ns0:v>422827.263323154</ns0:v>
      </ns0:c>
      <ns0:c r="R855" s="7" t="n">
        <ns0:v>1564616.391871898</ns0:v>
      </ns0:c>
    </ns0:row>
    <ns0:row r="856" ht="24" customHeight="1">
      <ns0:c r="A856" s="3" t="inlineStr">
        <ns0:is>
          <ns0:t>セット</ns0:t>
        </ns0:is>
      </ns0:c>
      <ns0:c r="B856" s="3" t="inlineStr">
        <ns0:is>
          <ns0:t>G3三段階</ns0:t>
        </ns0:is>
      </ns0:c>
      <ns0:c r="C856" s="3" t="inlineStr">
        <ns0:is>
          <ns0:t>A</ns0:t>
        </ns0:is>
      </ns0:c>
      <ns0:c r="D856" s="4" t="n">
        <ns0:v>1</ns0:v>
      </ns0:c>
      <ns0:c r="E856" s="4" t="n">
        <ns0:v>1500</ns0:v>
      </ns0:c>
      <ns0:c r="F856" s="6" t="n">
        <ns0:v>0.5</ns0:v>
      </ns0:c>
      <ns0:c r="G856" s="4" t="n">
        <ns0:v>0</ns0:v>
      </ns0:c>
      <ns0:c r="H856" s="7" t="n">
        <ns0:v>6883.240223463686</ns0:v>
      </ns0:c>
      <ns0:c r="I856" s="7" t="n">
        <ns0:v>2837.988826815642</ns0:v>
      </ns0:c>
      <ns0:c r="J856" s="7" t="n">
        <ns0:v>1418.994413407821</ns0:v>
      </ns0:c>
      <ns0:c r="K856" s="7" t="n">
        <ns0:v>20</ns0:v>
      </ns0:c>
      <ns0:c r="L856" s="7" t="n">
        <ns0:v>26</ns0:v>
      </ns0:c>
      <ns0:c r="M856" s="7" t="n">
        <ns0:v>-20066.16232226937</ns0:v>
      </ns0:c>
      <ns0:c r="N856" s="7" t="n">
        <ns0:v>30266.95770480188</ns0:v>
      </ns0:c>
      <ns0:c r="O856" s="7" t="n">
        <ns0:v>86785.55259220832</ns0:v>
      </ns0:c>
      <ns0:c r="P856" s="7" t="n">
        <ns0:v>228082.0398107244</ns0:v>
      </ns0:c>
      <ns0:c r="Q856" s="7" t="n">
        <ns0:v>751267.9886847888</ns0:v>
      </ns0:c>
      <ns0:c r="R856" s="7" t="n">
        <ns0:v>2659418.809744013</ns0:v>
      </ns0:c>
    </ns0:row>
    <ns0:row r="857" ht="24" customHeight="1">
      <ns0:c r="A857" s="3" t="inlineStr">
        <ns0:is>
          <ns0:t>セット</ns0:t>
        </ns0:is>
      </ns0:c>
      <ns0:c r="B857" s="3" t="inlineStr">
        <ns0:is>
          <ns0:t>G3三段階</ns0:t>
        </ns0:is>
      </ns0:c>
      <ns0:c r="C857" s="3" t="inlineStr">
        <ns0:is>
          <ns0:t>A</ns0:t>
        </ns0:is>
      </ns0:c>
      <ns0:c r="D857" s="4" t="n">
        <ns0:v>1</ns0:v>
      </ns0:c>
      <ns0:c r="E857" s="4" t="n">
        <ns0:v>1500</ns0:v>
      </ns0:c>
      <ns0:c r="F857" s="6" t="n">
        <ns0:v>0.5</ns0:v>
      </ns0:c>
      <ns0:c r="G857" s="4" t="n">
        <ns0:v>1</ns0:v>
      </ns0:c>
      <ns0:c r="H857" s="7" t="n">
        <ns0:v>6883.240223463686</ns0:v>
      </ns0:c>
      <ns0:c r="I857" s="7" t="n">
        <ns0:v>2837.988826815642</ns0:v>
      </ns0:c>
      <ns0:c r="J857" s="7" t="n">
        <ns0:v>1418.994413407821</ns0:v>
      </ns0:c>
      <ns0:c r="K857" s="7" t="n">
        <ns0:v>23</ns0:v>
      </ns0:c>
      <ns0:c r="L857" s="7" t="n">
        <ns0:v>38</ns0:v>
      </ns0:c>
      <ns0:c r="M857" s="7" t="n">
        <ns0:v>-24389.66852727344</ns0:v>
      </ns0:c>
      <ns0:c r="N857" s="7" t="n">
        <ns0:v>17296.43908978967</ns0:v>
      </ns0:c>
      <ns0:c r="O857" s="7" t="n">
        <ns0:v>65168.02156718795</ns0:v>
      </ns0:c>
      <ns0:c r="P857" s="7" t="n">
        <ns0:v>184846.9777606837</ns0:v>
      </ns0:c>
      <ns0:c r="Q857" s="7" t="n">
        <ns0:v>621562.8025346668</ns0:v>
      </ns0:c>
      <ns0:c r="R857" s="7" t="n">
        <ns0:v>2227068.189243607</ns0:v>
      </ns0:c>
    </ns0:row>
    <ns0:row r="858" ht="24" customHeight="1">
      <ns0:c r="A858" s="3" t="inlineStr">
        <ns0:is>
          <ns0:t>セット</ns0:t>
        </ns0:is>
      </ns0:c>
      <ns0:c r="B858" s="3" t="inlineStr">
        <ns0:is>
          <ns0:t>G3三段階</ns0:t>
        </ns0:is>
      </ns0:c>
      <ns0:c r="C858" s="3" t="inlineStr">
        <ns0:is>
          <ns0:t>A</ns0:t>
        </ns0:is>
      </ns0:c>
      <ns0:c r="D858" s="4" t="n">
        <ns0:v>1</ns0:v>
      </ns0:c>
      <ns0:c r="E858" s="4" t="n">
        <ns0:v>1500</ns0:v>
      </ns0:c>
      <ns0:c r="F858" s="6" t="n">
        <ns0:v>0.5</ns0:v>
      </ns0:c>
      <ns0:c r="G858" s="4" t="n">
        <ns0:v>2</ns0:v>
      </ns0:c>
      <ns0:c r="H858" s="7" t="n">
        <ns0:v>6883.240223463686</ns0:v>
      </ns0:c>
      <ns0:c r="I858" s="7" t="n">
        <ns0:v>2837.988826815642</ns0:v>
      </ns0:c>
      <ns0:c r="J858" s="7" t="n">
        <ns0:v>1418.994413407821</ns0:v>
      </ns0:c>
      <ns0:c r="K858" s="18" t="inlineStr">
        <ns0:is>
          <ns0:t>範囲内なし</ns0:t>
        </ns0:is>
      </ns0:c>
      <ns0:c r="L858" s="18" t="inlineStr">
        <ns0:is>
          <ns0:t>範囲内なし</ns0:t>
        </ns0:is>
      </ns0:c>
      <ns0:c r="M858" s="7" t="n">
        <ns0:v>-60973.3724908467</ns0:v>
      </ns0:c>
      <ns0:c r="N858" s="7" t="n">
        <ns0:v>-92454.67280093013</ns0:v>
      </ns0:c>
      <ns0:c r="O858" s="7" t="n">
        <ns0:v>-117750.4982506783</ns0:v>
      </ns0:c>
      <ns0:c r="P858" s="7" t="n">
        <ns0:v>-180990.0618750489</ns0:v>
      </ns0:c>
      <ns0:c r="Q858" s="7" t="n">
        <ns0:v>-475948.3163725309</ns0:v>
      </ns0:c>
      <ns0:c r="R858" s="7" t="n">
        <ns0:v>-1431302.207113719</ns0:v>
      </ns0:c>
    </ns0:row>
    <ns0:row r="859" ht="24" customHeight="1">
      <ns0:c r="A859" s="3" t="inlineStr">
        <ns0:is>
          <ns0:t>セット</ns0:t>
        </ns0:is>
      </ns0:c>
      <ns0:c r="B859" s="3" t="inlineStr">
        <ns0:is>
          <ns0:t>G3三段階</ns0:t>
        </ns0:is>
      </ns0:c>
      <ns0:c r="C859" s="3" t="inlineStr">
        <ns0:is>
          <ns0:t>A</ns0:t>
        </ns0:is>
      </ns0:c>
      <ns0:c r="D859" s="4" t="n">
        <ns0:v>1</ns0:v>
      </ns0:c>
      <ns0:c r="E859" s="4" t="n">
        <ns0:v>1500</ns0:v>
      </ns0:c>
      <ns0:c r="F859" s="6" t="n">
        <ns0:v>0.5</ns0:v>
      </ns0:c>
      <ns0:c r="G859" s="4" t="n">
        <ns0:v>3</ns0:v>
      </ns0:c>
      <ns0:c r="H859" s="7" t="n">
        <ns0:v>6883.240223463686</ns0:v>
      </ns0:c>
      <ns0:c r="I859" s="7" t="n">
        <ns0:v>2837.988826815642</ns0:v>
      </ns0:c>
      <ns0:c r="J859" s="7" t="n">
        <ns0:v>1418.994413407821</ns0:v>
      </ns0:c>
      <ns0:c r="K859" s="7" t="n">
        <ns0:v>38</ns0:v>
      </ns0:c>
      <ns0:c r="L859" s="18" t="inlineStr">
        <ns0:is>
          <ns0:t>範囲内なし</ns0:t>
        </ns0:is>
      </ns0:c>
      <ns0:c r="M859" s="7" t="n">
        <ns0:v>-33852.17532780617</ns0:v>
      </ns0:c>
      <ns0:c r="N859" s="7" t="n">
        <ns0:v>-11091.08131180854</ns0:v>
      </ns0:c>
      <ns0:c r="O859" s="7" t="n">
        <ns0:v>17855.48756452428</ns0:v>
      </ns0:c>
      <ns0:c r="P859" s="7" t="n">
        <ns0:v>90221.90975535635</ns0:v>
      </ns0:c>
      <ns0:c r="Q859" s="7" t="n">
        <ns0:v>337687.5985186848</ns0:v>
      </ns0:c>
      <ns0:c r="R859" s="7" t="n">
        <ns0:v>1280817.509190333</ns0:v>
      </ns0:c>
    </ns0:row>
    <ns0:row r="860" ht="24" customHeight="1">
      <ns0:c r="A860" s="3" t="inlineStr">
        <ns0:is>
          <ns0:t>セット</ns0:t>
        </ns0:is>
      </ns0:c>
      <ns0:c r="B860" s="3" t="inlineStr">
        <ns0:is>
          <ns0:t>G3三段階</ns0:t>
        </ns0:is>
      </ns0:c>
      <ns0:c r="C860" s="3" t="inlineStr">
        <ns0:is>
          <ns0:t>A</ns0:t>
        </ns0:is>
      </ns0:c>
      <ns0:c r="D860" s="4" t="n">
        <ns0:v>2</ns0:v>
      </ns0:c>
      <ns0:c r="E860" s="4" t="n">
        <ns0:v>500</ns0:v>
      </ns0:c>
      <ns0:c r="F860" s="6" t="n">
        <ns0:v>0.3</ns0:v>
      </ns0:c>
      <ns0:c r="G860" s="4" t="n">
        <ns0:v>0</ns0:v>
      </ns0:c>
      <ns0:c r="H860" s="7" t="n">
        <ns0:v>11098.69281045751</ns0:v>
      </ns0:c>
      <ns0:c r="I860" s="7" t="n">
        <ns0:v>4603.485838779955</ns0:v>
      </ns0:c>
      <ns0:c r="J860" s="7" t="n">
        <ns0:v>1381.045751633987</ns0:v>
      </ns0:c>
      <ns0:c r="K860" s="7" t="n">
        <ns0:v>8</ns0:v>
      </ns0:c>
      <ns0:c r="L860" s="7" t="n">
        <ns0:v>9</ns0:v>
      </ns0:c>
      <ns0:c r="M860" s="7" t="n">
        <ns0:v>19949.88456733583</ns0:v>
      </ns0:c>
      <ns0:c r="N860" s="7" t="n">
        <ns0:v>131042.1111899172</ns0:v>
      </ns0:c>
      <ns0:c r="O860" s="7" t="n">
        <ns0:v>254744.1417340672</ns0:v>
      </ns0:c>
      <ns0:c r="P860" s="7" t="n">
        <ns0:v>563999.2180944422</ns0:v>
      </ns0:c>
      <ns0:c r="Q860" s="7" t="n">
        <ns0:v>1759019.523535943</ns0:v>
      </ns0:c>
      <ns0:c r="R860" s="7" t="n">
        <ns0:v>6018590.592581192</ns0:v>
      </ns0:c>
    </ns0:row>
    <ns0:row r="861" ht="24" customHeight="1">
      <ns0:c r="A861" s="3" t="inlineStr">
        <ns0:is>
          <ns0:t>セット</ns0:t>
        </ns0:is>
      </ns0:c>
      <ns0:c r="B861" s="3" t="inlineStr">
        <ns0:is>
          <ns0:t>G3三段階</ns0:t>
        </ns0:is>
      </ns0:c>
      <ns0:c r="C861" s="3" t="inlineStr">
        <ns0:is>
          <ns0:t>A</ns0:t>
        </ns0:is>
      </ns0:c>
      <ns0:c r="D861" s="4" t="n">
        <ns0:v>2</ns0:v>
      </ns0:c>
      <ns0:c r="E861" s="4" t="n">
        <ns0:v>500</ns0:v>
      </ns0:c>
      <ns0:c r="F861" s="6" t="n">
        <ns0:v>0.3</ns0:v>
      </ns0:c>
      <ns0:c r="G861" s="4" t="n">
        <ns0:v>1</ns0:v>
      </ns0:c>
      <ns0:c r="H861" s="7" t="n">
        <ns0:v>11098.69281045751</ns0:v>
      </ns0:c>
      <ns0:c r="I861" s="7" t="n">
        <ns0:v>4603.485838779955</ns0:v>
      </ns0:c>
      <ns0:c r="J861" s="7" t="n">
        <ns0:v>1381.045751633987</ns0:v>
      </ns0:c>
      <ns0:c r="K861" s="7" t="n">
        <ns0:v>9</ns0:v>
      </ns0:c>
      <ns0:c r="L861" s="7" t="n">
        <ns0:v>13</ns0:v>
      </ns0:c>
      <ns0:c r="M861" s="7" t="n">
        <ns0:v>14561.41517503342</ns0:v>
      </ns0:c>
      <ns0:c r="N861" s="7" t="n">
        <ns0:v>114876.70301301</ns0:v>
      </ns0:c>
      <ns0:c r="O861" s="7" t="n">
        <ns0:v>227801.7947725551</ns0:v>
      </ns0:c>
      <ns0:c r="P861" s="7" t="n">
        <ns0:v>510114.5241714181</ns0:v>
      </ns0:c>
      <ns0:c r="Q861" s="7" t="n">
        <ns0:v>1597365.44176687</ns0:v>
      </ns0:c>
      <ns0:c r="R861" s="7" t="n">
        <ns0:v>5479743.653350951</ns0:v>
      </ns0:c>
    </ns0:row>
    <ns0:row r="862" ht="24" customHeight="1">
      <ns0:c r="A862" s="3" t="inlineStr">
        <ns0:is>
          <ns0:t>セット</ns0:t>
        </ns0:is>
      </ns0:c>
      <ns0:c r="B862" s="3" t="inlineStr">
        <ns0:is>
          <ns0:t>G3三段階</ns0:t>
        </ns0:is>
      </ns0:c>
      <ns0:c r="C862" s="3" t="inlineStr">
        <ns0:is>
          <ns0:t>A</ns0:t>
        </ns0:is>
      </ns0:c>
      <ns0:c r="D862" s="4" t="n">
        <ns0:v>2</ns0:v>
      </ns0:c>
      <ns0:c r="E862" s="4" t="n">
        <ns0:v>500</ns0:v>
      </ns0:c>
      <ns0:c r="F862" s="6" t="n">
        <ns0:v>0.3</ns0:v>
      </ns0:c>
      <ns0:c r="G862" s="4" t="n">
        <ns0:v>2</ns0:v>
      </ns0:c>
      <ns0:c r="H862" s="7" t="n">
        <ns0:v>11098.69281045751</ns0:v>
      </ns0:c>
      <ns0:c r="I862" s="7" t="n">
        <ns0:v>4603.485838779955</ns0:v>
      </ns0:c>
      <ns0:c r="J862" s="7" t="n">
        <ns0:v>1381.045751633987</ns0:v>
      </ns0:c>
      <ns0:c r="K862" s="18" t="inlineStr">
        <ns0:is>
          <ns0:t>範囲内なし</ns0:t>
        </ns0:is>
      </ns0:c>
      <ns0:c r="L862" s="18" t="inlineStr">
        <ns0:is>
          <ns0:t>範囲内なし</ns0:t>
        </ns0:is>
      </ns0:c>
      <ns0:c r="M862" s="7" t="n">
        <ns0:v>-52764.99377345444</ns0:v>
      </ns0:c>
      <ns0:c r="N862" s="7" t="n">
        <ns0:v>-87102.52383245365</ns0:v>
      </ns0:c>
      <ns0:c r="O862" s="7" t="n">
        <ns0:v>-108830.2499698842</ns0:v>
      </ns0:c>
      <ns0:c r="P862" s="7" t="n">
        <ns0:v>-163149.5653134607</ns0:v>
      </ns0:c>
      <ns0:c r="Q862" s="7" t="n">
        <ns0:v>-422426.8266877661</ns0:v>
      </ns0:c>
      <ns0:c r="R862" s="7" t="n">
        <ns0:v>-1252897.241497837</ns0:v>
      </ns0:c>
    </ns0:row>
    <ns0:row r="863" ht="24" customHeight="1">
      <ns0:c r="A863" s="3" t="inlineStr">
        <ns0:is>
          <ns0:t>セット</ns0:t>
        </ns0:is>
      </ns0:c>
      <ns0:c r="B863" s="3" t="inlineStr">
        <ns0:is>
          <ns0:t>G3三段階</ns0:t>
        </ns0:is>
      </ns0:c>
      <ns0:c r="C863" s="3" t="inlineStr">
        <ns0:is>
          <ns0:t>A</ns0:t>
        </ns0:is>
      </ns0:c>
      <ns0:c r="D863" s="4" t="n">
        <ns0:v>2</ns0:v>
      </ns0:c>
      <ns0:c r="E863" s="4" t="n">
        <ns0:v>500</ns0:v>
      </ns0:c>
      <ns0:c r="F863" s="6" t="n">
        <ns0:v>0.3</ns0:v>
      </ns0:c>
      <ns0:c r="G863" s="4" t="n">
        <ns0:v>3</ns0:v>
      </ns0:c>
      <ns0:c r="H863" s="7" t="n">
        <ns0:v>11098.69281045751</ns0:v>
      </ns0:c>
      <ns0:c r="I863" s="7" t="n">
        <ns0:v>4603.485838779955</ns0:v>
      </ns0:c>
      <ns0:c r="J863" s="7" t="n">
        <ns0:v>1381.045751633987</ns0:v>
      </ns0:c>
      <ns0:c r="K863" s="7" t="n">
        <ns0:v>12</ns0:v>
      </ns0:c>
      <ns0:c r="L863" s="7" t="n">
        <ns0:v>21</ns0:v>
      </ns0:c>
      <ns0:c r="M863" s="7" t="n">
        <ns0:v>3525.934656171255</ns0:v>
      </ns0:c>
      <ns0:c r="N863" s="7" t="n">
        <ns0:v>81770.2614564235</ns0:v>
      </ns0:c>
      <ns0:c r="O863" s="7" t="n">
        <ns0:v>172624.3921782443</ns0:v>
      </ns0:c>
      <ns0:c r="P863" s="7" t="n">
        <ns0:v>399759.7189827964</ns0:v>
      </ns0:c>
      <ns0:c r="Q863" s="7" t="n">
        <ns0:v>1266301.026201005</ns0:v>
      </ns0:c>
      <ns0:c r="R863" s="7" t="n">
        <ns0:v>4376195.601464735</ns0:v>
      </ns0:c>
    </ns0:row>
    <ns0:row r="864" ht="24" customHeight="1">
      <ns0:c r="A864" s="3" t="inlineStr">
        <ns0:is>
          <ns0:t>セット</ns0:t>
        </ns0:is>
      </ns0:c>
      <ns0:c r="B864" s="3" t="inlineStr">
        <ns0:is>
          <ns0:t>G3三段階</ns0:t>
        </ns0:is>
      </ns0:c>
      <ns0:c r="C864" s="3" t="inlineStr">
        <ns0:is>
          <ns0:t>A</ns0:t>
        </ns0:is>
      </ns0:c>
      <ns0:c r="D864" s="4" t="n">
        <ns0:v>2</ns0:v>
      </ns0:c>
      <ns0:c r="E864" s="4" t="n">
        <ns0:v>500</ns0:v>
      </ns0:c>
      <ns0:c r="F864" s="6" t="n">
        <ns0:v>0.4</ns0:v>
      </ns0:c>
      <ns0:c r="G864" s="4" t="n">
        <ns0:v>0</ns0:v>
      </ns0:c>
      <ns0:c r="H864" s="7" t="n">
        <ns0:v>11098.69281045751</ns0:v>
      </ns0:c>
      <ns0:c r="I864" s="7" t="n">
        <ns0:v>4603.485838779955</ns0:v>
      </ns0:c>
      <ns0:c r="J864" s="7" t="n">
        <ns0:v>1841.394335511982</ns0:v>
      </ns0:c>
      <ns0:c r="K864" s="7" t="n">
        <ns0:v>9</ns0:v>
      </ns0:c>
      <ns0:c r="L864" s="7" t="n">
        <ns0:v>10</ns0:v>
      </ns0:c>
      <ns0:c r="M864" s="7" t="n">
        <ns0:v>15346.39872855587</ns0:v>
      </ns0:c>
      <ns0:c r="N864" s="7" t="n">
        <ns0:v>117231.6536735774</ns0:v>
      </ns0:c>
      <ns0:c r="O864" s="7" t="n">
        <ns0:v>231726.7125401674</ns0:v>
      </ns0:c>
      <ns0:c r="P864" s="7" t="n">
        <ns0:v>517964.3597066426</ns0:v>
      </ns0:c>
      <ns0:c r="Q864" s="7" t="n">
        <ns0:v>1620914.948372544</ns0:v>
      </ns0:c>
      <ns0:c r="R864" s="7" t="n">
        <ns0:v>5558242.008703196</ns0:v>
      </ns0:c>
    </ns0:row>
    <ns0:row r="865" ht="24" customHeight="1">
      <ns0:c r="A865" s="3" t="inlineStr">
        <ns0:is>
          <ns0:t>セット</ns0:t>
        </ns0:is>
      </ns0:c>
      <ns0:c r="B865" s="3" t="inlineStr">
        <ns0:is>
          <ns0:t>G3三段階</ns0:t>
        </ns0:is>
      </ns0:c>
      <ns0:c r="C865" s="3" t="inlineStr">
        <ns0:is>
          <ns0:t>A</ns0:t>
        </ns0:is>
      </ns0:c>
      <ns0:c r="D865" s="4" t="n">
        <ns0:v>2</ns0:v>
      </ns0:c>
      <ns0:c r="E865" s="4" t="n">
        <ns0:v>500</ns0:v>
      </ns0:c>
      <ns0:c r="F865" s="6" t="n">
        <ns0:v>0.4</ns0:v>
      </ns0:c>
      <ns0:c r="G865" s="4" t="n">
        <ns0:v>1</ns0:v>
      </ns0:c>
      <ns0:c r="H865" s="7" t="n">
        <ns0:v>11098.69281045751</ns0:v>
      </ns0:c>
      <ns0:c r="I865" s="7" t="n">
        <ns0:v>4603.485838779955</ns0:v>
      </ns0:c>
      <ns0:c r="J865" s="7" t="n">
        <ns0:v>1841.394335511982</ns0:v>
      </ns0:c>
      <ns0:c r="K865" s="7" t="n">
        <ns0:v>9</ns0:v>
      </ns0:c>
      <ns0:c r="L865" s="7" t="n">
        <ns0:v>14</ns0:v>
      </ns0:c>
      <ns0:c r="M865" s="7" t="n">
        <ns0:v>9957.929336253459</ns0:v>
      </ns0:c>
      <ns0:c r="N865" s="7" t="n">
        <ns0:v>101066.2454966701</ns0:v>
      </ns0:c>
      <ns0:c r="O865" s="7" t="n">
        <ns0:v>204784.3655786553</ns0:v>
      </ns0:c>
      <ns0:c r="P865" s="7" t="n">
        <ns0:v>464079.6657836185</ns0:v>
      </ns0:c>
      <ns0:c r="Q865" s="7" t="n">
        <ns0:v>1459260.866603471</ns0:v>
      </ns0:c>
      <ns0:c r="R865" s="7" t="n">
        <ns0:v>5019395.069472956</ns0:v>
      </ns0:c>
    </ns0:row>
    <ns0:row r="866" ht="24" customHeight="1">
      <ns0:c r="A866" s="3" t="inlineStr">
        <ns0:is>
          <ns0:t>セット</ns0:t>
        </ns0:is>
      </ns0:c>
      <ns0:c r="B866" s="3" t="inlineStr">
        <ns0:is>
          <ns0:t>G3三段階</ns0:t>
        </ns0:is>
      </ns0:c>
      <ns0:c r="C866" s="3" t="inlineStr">
        <ns0:is>
          <ns0:t>A</ns0:t>
        </ns0:is>
      </ns0:c>
      <ns0:c r="D866" s="4" t="n">
        <ns0:v>2</ns0:v>
      </ns0:c>
      <ns0:c r="E866" s="4" t="n">
        <ns0:v>500</ns0:v>
      </ns0:c>
      <ns0:c r="F866" s="6" t="n">
        <ns0:v>0.4</ns0:v>
      </ns0:c>
      <ns0:c r="G866" s="4" t="n">
        <ns0:v>2</ns0:v>
      </ns0:c>
      <ns0:c r="H866" s="7" t="n">
        <ns0:v>11098.69281045751</ns0:v>
      </ns0:c>
      <ns0:c r="I866" s="7" t="n">
        <ns0:v>4603.485838779955</ns0:v>
      </ns0:c>
      <ns0:c r="J866" s="7" t="n">
        <ns0:v>1841.394335511982</ns0:v>
      </ns0:c>
      <ns0:c r="K866" s="18" t="inlineStr">
        <ns0:is>
          <ns0:t>範囲内なし</ns0:t>
        </ns0:is>
      </ns0:c>
      <ns0:c r="L866" s="18" t="inlineStr">
        <ns0:is>
          <ns0:t>範囲内なし</ns0:t>
        </ns0:is>
      </ns0:c>
      <ns0:c r="M866" s="7" t="n">
        <ns0:v>-57368.47961223441</ns0:v>
      </ns0:c>
      <ns0:c r="N866" s="7" t="n">
        <ns0:v>-100912.9813487935</ns0:v>
      </ns0:c>
      <ns0:c r="O866" s="7" t="n">
        <ns0:v>-131847.679163784</ns0:v>
      </ns0:c>
      <ns0:c r="P866" s="7" t="n">
        <ns0:v>-209184.4237012603</ns0:v>
      </ns0:c>
      <ns0:c r="Q866" s="7" t="n">
        <ns0:v>-560531.401851165</ns0:v>
      </ns0:c>
      <ns0:c r="R866" s="7" t="n">
        <ns0:v>-1713245.825375832</ns0:v>
      </ns0:c>
    </ns0:row>
    <ns0:row r="867" ht="24" customHeight="1">
      <ns0:c r="A867" s="3" t="inlineStr">
        <ns0:is>
          <ns0:t>セット</ns0:t>
        </ns0:is>
      </ns0:c>
      <ns0:c r="B867" s="3" t="inlineStr">
        <ns0:is>
          <ns0:t>G3三段階</ns0:t>
        </ns0:is>
      </ns0:c>
      <ns0:c r="C867" s="3" t="inlineStr">
        <ns0:is>
          <ns0:t>A</ns0:t>
        </ns0:is>
      </ns0:c>
      <ns0:c r="D867" s="4" t="n">
        <ns0:v>2</ns0:v>
      </ns0:c>
      <ns0:c r="E867" s="4" t="n">
        <ns0:v>500</ns0:v>
      </ns0:c>
      <ns0:c r="F867" s="6" t="n">
        <ns0:v>0.4</ns0:v>
      </ns0:c>
      <ns0:c r="G867" s="4" t="n">
        <ns0:v>3</ns0:v>
      </ns0:c>
      <ns0:c r="H867" s="7" t="n">
        <ns0:v>11098.69281045751</ns0:v>
      </ns0:c>
      <ns0:c r="I867" s="7" t="n">
        <ns0:v>4603.485838779955</ns0:v>
      </ns0:c>
      <ns0:c r="J867" s="7" t="n">
        <ns0:v>1841.394335511982</ns0:v>
      </ns0:c>
      <ns0:c r="K867" s="7" t="n">
        <ns0:v>14</ns0:v>
      </ns0:c>
      <ns0:c r="L867" s="7" t="n">
        <ns0:v>24</ns0:v>
      </ns0:c>
      <ns0:c r="M867" s="7" t="n">
        <ns0:v>-1077.551182608706</ns0:v>
      </ns0:c>
      <ns0:c r="N867" s="7" t="n">
        <ns0:v>67959.80394008363</ns0:v>
      </ns0:c>
      <ns0:c r="O867" s="7" t="n">
        <ns0:v>149606.9629843445</ns0:v>
      </ns0:c>
      <ns0:c r="P867" s="7" t="n">
        <ns0:v>353724.8605949968</ns0:v>
      </ns0:c>
      <ns0:c r="Q867" s="7" t="n">
        <ns0:v>1128196.451037606</ns0:v>
      </ns0:c>
      <ns0:c r="R867" s="7" t="n">
        <ns0:v>3915847.01758674</ns0:v>
      </ns0:c>
    </ns0:row>
    <ns0:row r="868" ht="24" customHeight="1">
      <ns0:c r="A868" s="3" t="inlineStr">
        <ns0:is>
          <ns0:t>セット</ns0:t>
        </ns0:is>
      </ns0:c>
      <ns0:c r="B868" s="3" t="inlineStr">
        <ns0:is>
          <ns0:t>G3三段階</ns0:t>
        </ns0:is>
      </ns0:c>
      <ns0:c r="C868" s="3" t="inlineStr">
        <ns0:is>
          <ns0:t>A</ns0:t>
        </ns0:is>
      </ns0:c>
      <ns0:c r="D868" s="4" t="n">
        <ns0:v>2</ns0:v>
      </ns0:c>
      <ns0:c r="E868" s="4" t="n">
        <ns0:v>500</ns0:v>
      </ns0:c>
      <ns0:c r="F868" s="6" t="n">
        <ns0:v>0.5</ns0:v>
      </ns0:c>
      <ns0:c r="G868" s="4" t="n">
        <ns0:v>0</ns0:v>
      </ns0:c>
      <ns0:c r="H868" s="7" t="n">
        <ns0:v>11098.69281045751</ns0:v>
      </ns0:c>
      <ns0:c r="I868" s="7" t="n">
        <ns0:v>4603.485838779955</ns0:v>
      </ns0:c>
      <ns0:c r="J868" s="7" t="n">
        <ns0:v>2301.742919389977</ns0:v>
      </ns0:c>
      <ns0:c r="K868" s="7" t="n">
        <ns0:v>9</ns0:v>
      </ns0:c>
      <ns0:c r="L868" s="7" t="n">
        <ns0:v>12</ns0:v>
      </ns0:c>
      <ns0:c r="M868" s="7" t="n">
        <ns0:v>10742.91288977591</ns0:v>
      </ns0:c>
      <ns0:c r="N868" s="7" t="n">
        <ns0:v>103421.1961572375</ns0:v>
      </ns0:c>
      <ns0:c r="O868" s="7" t="n">
        <ns0:v>208709.2833462676</ns0:v>
      </ns0:c>
      <ns0:c r="P868" s="7" t="n">
        <ns0:v>471929.5013188431</ns0:v>
      </ns0:c>
      <ns0:c r="Q868" s="7" t="n">
        <ns0:v>1482810.373209145</ns0:v>
      </ns0:c>
      <ns0:c r="R868" s="7" t="n">
        <ns0:v>5097893.424825202</ns0:v>
      </ns0:c>
    </ns0:row>
    <ns0:row r="869" ht="24" customHeight="1">
      <ns0:c r="A869" s="3" t="inlineStr">
        <ns0:is>
          <ns0:t>セット</ns0:t>
        </ns0:is>
      </ns0:c>
      <ns0:c r="B869" s="3" t="inlineStr">
        <ns0:is>
          <ns0:t>G3三段階</ns0:t>
        </ns0:is>
      </ns0:c>
      <ns0:c r="C869" s="3" t="inlineStr">
        <ns0:is>
          <ns0:t>A</ns0:t>
        </ns0:is>
      </ns0:c>
      <ns0:c r="D869" s="4" t="n">
        <ns0:v>2</ns0:v>
      </ns0:c>
      <ns0:c r="E869" s="4" t="n">
        <ns0:v>500</ns0:v>
      </ns0:c>
      <ns0:c r="F869" s="6" t="n">
        <ns0:v>0.5</ns0:v>
      </ns0:c>
      <ns0:c r="G869" s="4" t="n">
        <ns0:v>1</ns0:v>
      </ns0:c>
      <ns0:c r="H869" s="7" t="n">
        <ns0:v>11098.69281045751</ns0:v>
      </ns0:c>
      <ns0:c r="I869" s="7" t="n">
        <ns0:v>4603.485838779955</ns0:v>
      </ns0:c>
      <ns0:c r="J869" s="7" t="n">
        <ns0:v>2301.742919389977</ns0:v>
      </ns0:c>
      <ns0:c r="K869" s="7" t="n">
        <ns0:v>12</ns0:v>
      </ns0:c>
      <ns0:c r="L869" s="7" t="n">
        <ns0:v>15</ns0:v>
      </ns0:c>
      <ns0:c r="M869" s="7" t="n">
        <ns0:v>5354.443497473505</ns0:v>
      </ns0:c>
      <ns0:c r="N869" s="7" t="n">
        <ns0:v>87255.78798033023</ns0:v>
      </ns0:c>
      <ns0:c r="O869" s="7" t="n">
        <ns0:v>181766.9363847557</ns0:v>
      </ns0:c>
      <ns0:c r="P869" s="7" t="n">
        <ns0:v>418044.8073958191</ns0:v>
      </ns0:c>
      <ns0:c r="Q869" s="7" t="n">
        <ns0:v>1321156.291440073</ns0:v>
      </ns0:c>
      <ns0:c r="R869" s="7" t="n">
        <ns0:v>4559046.485594961</ns0:v>
      </ns0:c>
    </ns0:row>
    <ns0:row r="870" ht="24" customHeight="1">
      <ns0:c r="A870" s="3" t="inlineStr">
        <ns0:is>
          <ns0:t>セット</ns0:t>
        </ns0:is>
      </ns0:c>
      <ns0:c r="B870" s="3" t="inlineStr">
        <ns0:is>
          <ns0:t>G3三段階</ns0:t>
        </ns0:is>
      </ns0:c>
      <ns0:c r="C870" s="3" t="inlineStr">
        <ns0:is>
          <ns0:t>A</ns0:t>
        </ns0:is>
      </ns0:c>
      <ns0:c r="D870" s="4" t="n">
        <ns0:v>2</ns0:v>
      </ns0:c>
      <ns0:c r="E870" s="4" t="n">
        <ns0:v>500</ns0:v>
      </ns0:c>
      <ns0:c r="F870" s="6" t="n">
        <ns0:v>0.5</ns0:v>
      </ns0:c>
      <ns0:c r="G870" s="4" t="n">
        <ns0:v>2</ns0:v>
      </ns0:c>
      <ns0:c r="H870" s="7" t="n">
        <ns0:v>11098.69281045751</ns0:v>
      </ns0:c>
      <ns0:c r="I870" s="7" t="n">
        <ns0:v>4603.485838779955</ns0:v>
      </ns0:c>
      <ns0:c r="J870" s="7" t="n">
        <ns0:v>2301.742919389977</ns0:v>
      </ns0:c>
      <ns0:c r="K870" s="18" t="inlineStr">
        <ns0:is>
          <ns0:t>範囲内なし</ns0:t>
        </ns0:is>
      </ns0:c>
      <ns0:c r="L870" s="18" t="inlineStr">
        <ns0:is>
          <ns0:t>範囲内なし</ns0:t>
        </ns0:is>
      </ns0:c>
      <ns0:c r="M870" s="7" t="n">
        <ns0:v>-61971.96545101437</ns0:v>
      </ns0:c>
      <ns0:c r="N870" s="7" t="n">
        <ns0:v>-114723.4388651334</ns0:v>
      </ns0:c>
      <ns0:c r="O870" s="7" t="n">
        <ns0:v>-154865.1083576838</ns0:v>
      </ns0:c>
      <ns0:c r="P870" s="7" t="n">
        <ns0:v>-255219.2820890597</ns0:v>
      </ns0:c>
      <ns0:c r="Q870" s="7" t="n">
        <ns0:v>-698635.9770145634</ns0:v>
      </ns0:c>
      <ns0:c r="R870" s="7" t="n">
        <ns0:v>-2173594.409253826</ns0:v>
      </ns0:c>
    </ns0:row>
    <ns0:row r="871" ht="24" customHeight="1">
      <ns0:c r="A871" s="3" t="inlineStr">
        <ns0:is>
          <ns0:t>セット</ns0:t>
        </ns0:is>
      </ns0:c>
      <ns0:c r="B871" s="3" t="inlineStr">
        <ns0:is>
          <ns0:t>G3三段階</ns0:t>
        </ns0:is>
      </ns0:c>
      <ns0:c r="C871" s="3" t="inlineStr">
        <ns0:is>
          <ns0:t>A</ns0:t>
        </ns0:is>
      </ns0:c>
      <ns0:c r="D871" s="4" t="n">
        <ns0:v>2</ns0:v>
      </ns0:c>
      <ns0:c r="E871" s="4" t="n">
        <ns0:v>500</ns0:v>
      </ns0:c>
      <ns0:c r="F871" s="6" t="n">
        <ns0:v>0.5</ns0:v>
      </ns0:c>
      <ns0:c r="G871" s="4" t="n">
        <ns0:v>3</ns0:v>
      </ns0:c>
      <ns0:c r="H871" s="7" t="n">
        <ns0:v>11098.69281045751</ns0:v>
      </ns0:c>
      <ns0:c r="I871" s="7" t="n">
        <ns0:v>4603.485838779955</ns0:v>
      </ns0:c>
      <ns0:c r="J871" s="7" t="n">
        <ns0:v>2301.742919389977</ns0:v>
      </ns0:c>
      <ns0:c r="K871" s="7" t="n">
        <ns0:v>16</ns0:v>
      </ns0:c>
      <ns0:c r="L871" s="7" t="n">
        <ns0:v>27</ns0:v>
      </ns0:c>
      <ns0:c r="M871" s="7" t="n">
        <ns0:v>-5681.03702138866</ns0:v>
      </ns0:c>
      <ns0:c r="N871" s="7" t="n">
        <ns0:v>54149.34642374377</ns0:v>
      </ns0:c>
      <ns0:c r="O871" s="7" t="n">
        <ns0:v>126589.5337904448</ns0:v>
      </ns0:c>
      <ns0:c r="P871" s="7" t="n">
        <ns0:v>307690.0022071974</ns0:v>
      </ns0:c>
      <ns0:c r="Q871" s="7" t="n">
        <ns0:v>990091.8758742078</ns0:v>
      </ns0:c>
      <ns0:c r="R871" s="7" t="n">
        <ns0:v>3455498.433708745</ns0:v>
      </ns0:c>
    </ns0:row>
    <ns0:row r="872" ht="24" customHeight="1">
      <ns0:c r="A872" s="3" t="inlineStr">
        <ns0:is>
          <ns0:t>セット</ns0:t>
        </ns0:is>
      </ns0:c>
      <ns0:c r="B872" s="3" t="inlineStr">
        <ns0:is>
          <ns0:t>G3三段階</ns0:t>
        </ns0:is>
      </ns0:c>
      <ns0:c r="C872" s="3" t="inlineStr">
        <ns0:is>
          <ns0:t>A</ns0:t>
        </ns0:is>
      </ns0:c>
      <ns0:c r="D872" s="4" t="n">
        <ns0:v>2</ns0:v>
      </ns0:c>
      <ns0:c r="E872" s="4" t="n">
        <ns0:v>1000</ns0:v>
      </ns0:c>
      <ns0:c r="F872" s="6" t="n">
        <ns0:v>0.3</ns0:v>
      </ns0:c>
      <ns0:c r="G872" s="4" t="n">
        <ns0:v>0</ns0:v>
      </ns0:c>
      <ns0:c r="H872" s="7" t="n">
        <ns0:v>10598.69281045751</ns0:v>
      </ns0:c>
      <ns0:c r="I872" s="7" t="n">
        <ns0:v>4103.485838779956</ns0:v>
      </ns0:c>
      <ns0:c r="J872" s="7" t="n">
        <ns0:v>1231.045751633987</ns0:v>
      </ns0:c>
      <ns0:c r="K872" s="7" t="n">
        <ns0:v>8</ns0:v>
      </ns0:c>
      <ns0:c r="L872" s="7" t="n">
        <ns0:v>10</ns0:v>
      </ns0:c>
      <ns0:c r="M872" s="7" t="n">
        <ns0:v>16629.88456733582</ns0:v>
      </ns0:c>
      <ns0:c r="N872" s="7" t="n">
        <ns0:v>121082.1111899172</ns0:v>
      </ns0:c>
      <ns0:c r="O872" s="7" t="n">
        <ns0:v>238144.1417340672</ns0:v>
      </ns0:c>
      <ns0:c r="P872" s="7" t="n">
        <ns0:v>530799.2180944422</ns0:v>
      </ns0:c>
      <ns0:c r="Q872" s="7" t="n">
        <ns0:v>1659419.523535943</ns0:v>
      </ns0:c>
      <ns0:c r="R872" s="7" t="n">
        <ns0:v>5686590.592581194</ns0:v>
      </ns0:c>
    </ns0:row>
    <ns0:row r="873" ht="24" customHeight="1">
      <ns0:c r="A873" s="3" t="inlineStr">
        <ns0:is>
          <ns0:t>セット</ns0:t>
        </ns0:is>
      </ns0:c>
      <ns0:c r="B873" s="3" t="inlineStr">
        <ns0:is>
          <ns0:t>G3三段階</ns0:t>
        </ns0:is>
      </ns0:c>
      <ns0:c r="C873" s="3" t="inlineStr">
        <ns0:is>
          <ns0:t>A</ns0:t>
        </ns0:is>
      </ns0:c>
      <ns0:c r="D873" s="4" t="n">
        <ns0:v>2</ns0:v>
      </ns0:c>
      <ns0:c r="E873" s="4" t="n">
        <ns0:v>1000</ns0:v>
      </ns0:c>
      <ns0:c r="F873" s="6" t="n">
        <ns0:v>0.3</ns0:v>
      </ns0:c>
      <ns0:c r="G873" s="4" t="n">
        <ns0:v>1</ns0:v>
      </ns0:c>
      <ns0:c r="H873" s="7" t="n">
        <ns0:v>10598.69281045751</ns0:v>
      </ns0:c>
      <ns0:c r="I873" s="7" t="n">
        <ns0:v>4103.485838779956</ns0:v>
      </ns0:c>
      <ns0:c r="J873" s="7" t="n">
        <ns0:v>1231.045751633987</ns0:v>
      </ns0:c>
      <ns0:c r="K873" s="7" t="n">
        <ns0:v>9</ns0:v>
      </ns0:c>
      <ns0:c r="L873" s="7" t="n">
        <ns0:v>13</ns0:v>
      </ns0:c>
      <ns0:c r="M873" s="7" t="n">
        <ns0:v>11241.41517503341</ns0:v>
      </ns0:c>
      <ns0:c r="N873" s="7" t="n">
        <ns0:v>104916.70301301</ns0:v>
      </ns0:c>
      <ns0:c r="O873" s="7" t="n">
        <ns0:v>211201.7947725552</ns0:v>
      </ns0:c>
      <ns0:c r="P873" s="7" t="n">
        <ns0:v>476914.5241714182</ns0:v>
      </ns0:c>
      <ns0:c r="Q873" s="7" t="n">
        <ns0:v>1497765.441766871</ns0:v>
      </ns0:c>
      <ns0:c r="R873" s="7" t="n">
        <ns0:v>5147743.653350953</ns0:v>
      </ns0:c>
    </ns0:row>
    <ns0:row r="874" ht="24" customHeight="1">
      <ns0:c r="A874" s="3" t="inlineStr">
        <ns0:is>
          <ns0:t>セット</ns0:t>
        </ns0:is>
      </ns0:c>
      <ns0:c r="B874" s="3" t="inlineStr">
        <ns0:is>
          <ns0:t>G3三段階</ns0:t>
        </ns0:is>
      </ns0:c>
      <ns0:c r="C874" s="3" t="inlineStr">
        <ns0:is>
          <ns0:t>A</ns0:t>
        </ns0:is>
      </ns0:c>
      <ns0:c r="D874" s="4" t="n">
        <ns0:v>2</ns0:v>
      </ns0:c>
      <ns0:c r="E874" s="4" t="n">
        <ns0:v>1000</ns0:v>
      </ns0:c>
      <ns0:c r="F874" s="6" t="n">
        <ns0:v>0.3</ns0:v>
      </ns0:c>
      <ns0:c r="G874" s="4" t="n">
        <ns0:v>2</ns0:v>
      </ns0:c>
      <ns0:c r="H874" s="7" t="n">
        <ns0:v>10598.69281045751</ns0:v>
      </ns0:c>
      <ns0:c r="I874" s="7" t="n">
        <ns0:v>4103.485838779956</ns0:v>
      </ns0:c>
      <ns0:c r="J874" s="7" t="n">
        <ns0:v>1231.045751633987</ns0:v>
      </ns0:c>
      <ns0:c r="K874" s="18" t="inlineStr">
        <ns0:is>
          <ns0:t>範囲内なし</ns0:t>
        </ns0:is>
      </ns0:c>
      <ns0:c r="L874" s="18" t="inlineStr">
        <ns0:is>
          <ns0:t>範囲内なし</ns0:t>
        </ns0:is>
      </ns0:c>
      <ns0:c r="M874" s="7" t="n">
        <ns0:v>-56084.99377345447</ns0:v>
      </ns0:c>
      <ns0:c r="N874" s="7" t="n">
        <ns0:v>-97062.52383245365</ns0:v>
      </ns0:c>
      <ns0:c r="O874" s="7" t="n">
        <ns0:v>-125430.2499698842</ns0:v>
      </ns0:c>
      <ns0:c r="P874" s="7" t="n">
        <ns0:v>-196349.5653134607</ns0:v>
      </ns0:c>
      <ns0:c r="Q874" s="7" t="n">
        <ns0:v>-522026.8266877657</ns0:v>
      </ns0:c>
      <ns0:c r="R874" s="7" t="n">
        <ns0:v>-1584897.241497835</ns0:v>
      </ns0:c>
    </ns0:row>
    <ns0:row r="875" ht="24" customHeight="1">
      <ns0:c r="A875" s="3" t="inlineStr">
        <ns0:is>
          <ns0:t>セット</ns0:t>
        </ns0:is>
      </ns0:c>
      <ns0:c r="B875" s="3" t="inlineStr">
        <ns0:is>
          <ns0:t>G3三段階</ns0:t>
        </ns0:is>
      </ns0:c>
      <ns0:c r="C875" s="3" t="inlineStr">
        <ns0:is>
          <ns0:t>A</ns0:t>
        </ns0:is>
      </ns0:c>
      <ns0:c r="D875" s="4" t="n">
        <ns0:v>2</ns0:v>
      </ns0:c>
      <ns0:c r="E875" s="4" t="n">
        <ns0:v>1000</ns0:v>
      </ns0:c>
      <ns0:c r="F875" s="6" t="n">
        <ns0:v>0.3</ns0:v>
      </ns0:c>
      <ns0:c r="G875" s="4" t="n">
        <ns0:v>3</ns0:v>
      </ns0:c>
      <ns0:c r="H875" s="7" t="n">
        <ns0:v>10598.69281045751</ns0:v>
      </ns0:c>
      <ns0:c r="I875" s="7" t="n">
        <ns0:v>4103.485838779956</ns0:v>
      </ns0:c>
      <ns0:c r="J875" s="7" t="n">
        <ns0:v>1231.045751633987</ns0:v>
      </ns0:c>
      <ns0:c r="K875" s="7" t="n">
        <ns0:v>13</ns0:v>
      </ns0:c>
      <ns0:c r="L875" s="7" t="n">
        <ns0:v>23</ns0:v>
      </ns0:c>
      <ns0:c r="M875" s="7" t="n">
        <ns0:v>205.9346561712482</ns0:v>
      </ns0:c>
      <ns0:c r="N875" s="7" t="n">
        <ns0:v>71810.2614564235</ns0:v>
      </ns0:c>
      <ns0:c r="O875" s="7" t="n">
        <ns0:v>156024.3921782443</ns0:v>
      </ns0:c>
      <ns0:c r="P875" s="7" t="n">
        <ns0:v>366559.7189827965</ns0:v>
      </ns0:c>
      <ns0:c r="Q875" s="7" t="n">
        <ns0:v>1166701.026201006</ns0:v>
      </ns0:c>
      <ns0:c r="R875" s="7" t="n">
        <ns0:v>4044195.601464737</ns0:v>
      </ns0:c>
    </ns0:row>
    <ns0:row r="876" ht="24" customHeight="1">
      <ns0:c r="A876" s="3" t="inlineStr">
        <ns0:is>
          <ns0:t>セット</ns0:t>
        </ns0:is>
      </ns0:c>
      <ns0:c r="B876" s="3" t="inlineStr">
        <ns0:is>
          <ns0:t>G3三段階</ns0:t>
        </ns0:is>
      </ns0:c>
      <ns0:c r="C876" s="3" t="inlineStr">
        <ns0:is>
          <ns0:t>A</ns0:t>
        </ns0:is>
      </ns0:c>
      <ns0:c r="D876" s="4" t="n">
        <ns0:v>2</ns0:v>
      </ns0:c>
      <ns0:c r="E876" s="4" t="n">
        <ns0:v>1000</ns0:v>
      </ns0:c>
      <ns0:c r="F876" s="6" t="n">
        <ns0:v>0.4</ns0:v>
      </ns0:c>
      <ns0:c r="G876" s="4" t="n">
        <ns0:v>0</ns0:v>
      </ns0:c>
      <ns0:c r="H876" s="7" t="n">
        <ns0:v>10598.69281045751</ns0:v>
      </ns0:c>
      <ns0:c r="I876" s="7" t="n">
        <ns0:v>4103.485838779956</ns0:v>
      </ns0:c>
      <ns0:c r="J876" s="7" t="n">
        <ns0:v>1641.394335511982</ns0:v>
      </ns0:c>
      <ns0:c r="K876" s="7" t="n">
        <ns0:v>9</ns0:v>
      </ns0:c>
      <ns0:c r="L876" s="7" t="n">
        <ns0:v>12</ns0:v>
      </ns0:c>
      <ns0:c r="M876" s="7" t="n">
        <ns0:v>12526.39872855587</ns0:v>
      </ns0:c>
      <ns0:c r="N876" s="7" t="n">
        <ns0:v>108771.6536735773</ns0:v>
      </ns0:c>
      <ns0:c r="O876" s="7" t="n">
        <ns0:v>217626.7125401674</ns0:v>
      </ns0:c>
      <ns0:c r="P876" s="7" t="n">
        <ns0:v>489764.3597066427</ns0:v>
      </ns0:c>
      <ns0:c r="Q876" s="7" t="n">
        <ns0:v>1536314.948372544</ns0:v>
      </ns0:c>
      <ns0:c r="R876" s="7" t="n">
        <ns0:v>5276242.008703198</ns0:v>
      </ns0:c>
    </ns0:row>
    <ns0:row r="877" ht="24" customHeight="1">
      <ns0:c r="A877" s="3" t="inlineStr">
        <ns0:is>
          <ns0:t>セット</ns0:t>
        </ns0:is>
      </ns0:c>
      <ns0:c r="B877" s="3" t="inlineStr">
        <ns0:is>
          <ns0:t>G3三段階</ns0:t>
        </ns0:is>
      </ns0:c>
      <ns0:c r="C877" s="3" t="inlineStr">
        <ns0:is>
          <ns0:t>A</ns0:t>
        </ns0:is>
      </ns0:c>
      <ns0:c r="D877" s="4" t="n">
        <ns0:v>2</ns0:v>
      </ns0:c>
      <ns0:c r="E877" s="4" t="n">
        <ns0:v>1000</ns0:v>
      </ns0:c>
      <ns0:c r="F877" s="6" t="n">
        <ns0:v>0.4</ns0:v>
      </ns0:c>
      <ns0:c r="G877" s="4" t="n">
        <ns0:v>1</ns0:v>
      </ns0:c>
      <ns0:c r="H877" s="7" t="n">
        <ns0:v>10598.69281045751</ns0:v>
      </ns0:c>
      <ns0:c r="I877" s="7" t="n">
        <ns0:v>4103.485838779956</ns0:v>
      </ns0:c>
      <ns0:c r="J877" s="7" t="n">
        <ns0:v>1641.394335511982</ns0:v>
      </ns0:c>
      <ns0:c r="K877" s="7" t="n">
        <ns0:v>12</ns0:v>
      </ns0:c>
      <ns0:c r="L877" s="7" t="n">
        <ns0:v>14</ns0:v>
      </ns0:c>
      <ns0:c r="M877" s="7" t="n">
        <ns0:v>7137.929336253459</ns0:v>
      </ns0:c>
      <ns0:c r="N877" s="7" t="n">
        <ns0:v>92606.24549667008</ns0:v>
      </ns0:c>
      <ns0:c r="O877" s="7" t="n">
        <ns0:v>190684.3655786554</ns0:v>
      </ns0:c>
      <ns0:c r="P877" s="7" t="n">
        <ns0:v>435879.6657836187</ns0:v>
      </ns0:c>
      <ns0:c r="Q877" s="7" t="n">
        <ns0:v>1374660.866603471</ns0:v>
      </ns0:c>
      <ns0:c r="R877" s="7" t="n">
        <ns0:v>4737395.069472957</ns0:v>
      </ns0:c>
    </ns0:row>
    <ns0:row r="878" ht="24" customHeight="1">
      <ns0:c r="A878" s="3" t="inlineStr">
        <ns0:is>
          <ns0:t>セット</ns0:t>
        </ns0:is>
      </ns0:c>
      <ns0:c r="B878" s="3" t="inlineStr">
        <ns0:is>
          <ns0:t>G3三段階</ns0:t>
        </ns0:is>
      </ns0:c>
      <ns0:c r="C878" s="3" t="inlineStr">
        <ns0:is>
          <ns0:t>A</ns0:t>
        </ns0:is>
      </ns0:c>
      <ns0:c r="D878" s="4" t="n">
        <ns0:v>2</ns0:v>
      </ns0:c>
      <ns0:c r="E878" s="4" t="n">
        <ns0:v>1000</ns0:v>
      </ns0:c>
      <ns0:c r="F878" s="6" t="n">
        <ns0:v>0.4</ns0:v>
      </ns0:c>
      <ns0:c r="G878" s="4" t="n">
        <ns0:v>2</ns0:v>
      </ns0:c>
      <ns0:c r="H878" s="7" t="n">
        <ns0:v>10598.69281045751</ns0:v>
      </ns0:c>
      <ns0:c r="I878" s="7" t="n">
        <ns0:v>4103.485838779956</ns0:v>
      </ns0:c>
      <ns0:c r="J878" s="7" t="n">
        <ns0:v>1641.394335511982</ns0:v>
      </ns0:c>
      <ns0:c r="K878" s="18" t="inlineStr">
        <ns0:is>
          <ns0:t>範囲内なし</ns0:t>
        </ns0:is>
      </ns0:c>
      <ns0:c r="L878" s="18" t="inlineStr">
        <ns0:is>
          <ns0:t>範囲内なし</ns0:t>
        </ns0:is>
      </ns0:c>
      <ns0:c r="M878" s="7" t="n">
        <ns0:v>-60188.47961223443</ns0:v>
      </ns0:c>
      <ns0:c r="N878" s="7" t="n">
        <ns0:v>-109372.9813487935</ns0:v>
      </ns0:c>
      <ns0:c r="O878" s="7" t="n">
        <ns0:v>-145947.679163784</ns0:v>
      </ns0:c>
      <ns0:c r="P878" s="7" t="n">
        <ns0:v>-237384.4237012601</ns0:v>
      </ns0:c>
      <ns0:c r="Q878" s="7" t="n">
        <ns0:v>-645131.4018511648</ns0:v>
      </ns0:c>
      <ns0:c r="R878" s="7" t="n">
        <ns0:v>-1995245.825375831</ns0:v>
      </ns0:c>
    </ns0:row>
    <ns0:row r="879" ht="24" customHeight="1">
      <ns0:c r="A879" s="3" t="inlineStr">
        <ns0:is>
          <ns0:t>セット</ns0:t>
        </ns0:is>
      </ns0:c>
      <ns0:c r="B879" s="3" t="inlineStr">
        <ns0:is>
          <ns0:t>G3三段階</ns0:t>
        </ns0:is>
      </ns0:c>
      <ns0:c r="C879" s="3" t="inlineStr">
        <ns0:is>
          <ns0:t>A</ns0:t>
        </ns0:is>
      </ns0:c>
      <ns0:c r="D879" s="4" t="n">
        <ns0:v>2</ns0:v>
      </ns0:c>
      <ns0:c r="E879" s="4" t="n">
        <ns0:v>1000</ns0:v>
      </ns0:c>
      <ns0:c r="F879" s="6" t="n">
        <ns0:v>0.4</ns0:v>
      </ns0:c>
      <ns0:c r="G879" s="4" t="n">
        <ns0:v>3</ns0:v>
      </ns0:c>
      <ns0:c r="H879" s="7" t="n">
        <ns0:v>10598.69281045751</ns0:v>
      </ns0:c>
      <ns0:c r="I879" s="7" t="n">
        <ns0:v>4103.485838779956</ns0:v>
      </ns0:c>
      <ns0:c r="J879" s="7" t="n">
        <ns0:v>1641.394335511982</ns0:v>
      </ns0:c>
      <ns0:c r="K879" s="7" t="n">
        <ns0:v>15</ns0:v>
      </ns0:c>
      <ns0:c r="L879" s="7" t="n">
        <ns0:v>25</ns0:v>
      </ns0:c>
      <ns0:c r="M879" s="7" t="n">
        <ns0:v>-3897.551182608706</ns0:v>
      </ns0:c>
      <ns0:c r="N879" s="7" t="n">
        <ns0:v>59499.80394008361</ns0:v>
      </ns0:c>
      <ns0:c r="O879" s="7" t="n">
        <ns0:v>135506.9629843446</ns0:v>
      </ns0:c>
      <ns0:c r="P879" s="7" t="n">
        <ns0:v>325524.860594997</ns0:v>
      </ns0:c>
      <ns0:c r="Q879" s="7" t="n">
        <ns0:v>1043596.451037607</ns0:v>
      </ns0:c>
      <ns0:c r="R879" s="7" t="n">
        <ns0:v>3633847.017586742</ns0:v>
      </ns0:c>
    </ns0:row>
    <ns0:row r="880" ht="24" customHeight="1">
      <ns0:c r="A880" s="3" t="inlineStr">
        <ns0:is>
          <ns0:t>セット</ns0:t>
        </ns0:is>
      </ns0:c>
      <ns0:c r="B880" s="3" t="inlineStr">
        <ns0:is>
          <ns0:t>G3三段階</ns0:t>
        </ns0:is>
      </ns0:c>
      <ns0:c r="C880" s="3" t="inlineStr">
        <ns0:is>
          <ns0:t>A</ns0:t>
        </ns0:is>
      </ns0:c>
      <ns0:c r="D880" s="4" t="n">
        <ns0:v>2</ns0:v>
      </ns0:c>
      <ns0:c r="E880" s="4" t="n">
        <ns0:v>1000</ns0:v>
      </ns0:c>
      <ns0:c r="F880" s="6" t="n">
        <ns0:v>0.5</ns0:v>
      </ns0:c>
      <ns0:c r="G880" s="4" t="n">
        <ns0:v>0</ns0:v>
      </ns0:c>
      <ns0:c r="H880" s="7" t="n">
        <ns0:v>10598.69281045751</ns0:v>
      </ns0:c>
      <ns0:c r="I880" s="7" t="n">
        <ns0:v>4103.485838779956</ns0:v>
      </ns0:c>
      <ns0:c r="J880" s="7" t="n">
        <ns0:v>2051.742919389978</ns0:v>
      </ns0:c>
      <ns0:c r="K880" s="7" t="n">
        <ns0:v>9</ns0:v>
      </ns0:c>
      <ns0:c r="L880" s="7" t="n">
        <ns0:v>13</ns0:v>
      </ns0:c>
      <ns0:c r="M880" s="7" t="n">
        <ns0:v>8422.912889775911</ns0:v>
      </ns0:c>
      <ns0:c r="N880" s="7" t="n">
        <ns0:v>96461.19615723746</ns0:v>
      </ns0:c>
      <ns0:c r="O880" s="7" t="n">
        <ns0:v>197109.2833462676</ns0:v>
      </ns0:c>
      <ns0:c r="P880" s="7" t="n">
        <ns0:v>448729.5013188431</ns0:v>
      </ns0:c>
      <ns0:c r="Q880" s="7" t="n">
        <ns0:v>1413210.373209145</ns0:v>
      </ns0:c>
      <ns0:c r="R880" s="7" t="n">
        <ns0:v>4865893.424825203</ns0:v>
      </ns0:c>
    </ns0:row>
    <ns0:row r="881" ht="24" customHeight="1">
      <ns0:c r="A881" s="3" t="inlineStr">
        <ns0:is>
          <ns0:t>セット</ns0:t>
        </ns0:is>
      </ns0:c>
      <ns0:c r="B881" s="3" t="inlineStr">
        <ns0:is>
          <ns0:t>G3三段階</ns0:t>
        </ns0:is>
      </ns0:c>
      <ns0:c r="C881" s="3" t="inlineStr">
        <ns0:is>
          <ns0:t>A</ns0:t>
        </ns0:is>
      </ns0:c>
      <ns0:c r="D881" s="4" t="n">
        <ns0:v>2</ns0:v>
      </ns0:c>
      <ns0:c r="E881" s="4" t="n">
        <ns0:v>1000</ns0:v>
      </ns0:c>
      <ns0:c r="F881" s="6" t="n">
        <ns0:v>0.5</ns0:v>
      </ns0:c>
      <ns0:c r="G881" s="4" t="n">
        <ns0:v>1</ns0:v>
      </ns0:c>
      <ns0:c r="H881" s="7" t="n">
        <ns0:v>10598.69281045751</ns0:v>
      </ns0:c>
      <ns0:c r="I881" s="7" t="n">
        <ns0:v>4103.485838779956</ns0:v>
      </ns0:c>
      <ns0:c r="J881" s="7" t="n">
        <ns0:v>2051.742919389978</ns0:v>
      </ns0:c>
      <ns0:c r="K881" s="7" t="n">
        <ns0:v>13</ns0:v>
      </ns0:c>
      <ns0:c r="L881" s="7" t="n">
        <ns0:v>15</ns0:v>
      </ns0:c>
      <ns0:c r="M881" s="7" t="n">
        <ns0:v>3034.443497473501</ns0:v>
      </ns0:c>
      <ns0:c r="N881" s="7" t="n">
        <ns0:v>80295.78798033021</ns0:v>
      </ns0:c>
      <ns0:c r="O881" s="7" t="n">
        <ns0:v>170166.9363847557</ns0:v>
      </ns0:c>
      <ns0:c r="P881" s="7" t="n">
        <ns0:v>394844.8073958191</ns0:v>
      </ns0:c>
      <ns0:c r="Q881" s="7" t="n">
        <ns0:v>1251556.291440073</ns0:v>
      </ns0:c>
      <ns0:c r="R881" s="7" t="n">
        <ns0:v>4327046.485594962</ns0:v>
      </ns0:c>
    </ns0:row>
    <ns0:row r="882" ht="24" customHeight="1">
      <ns0:c r="A882" s="3" t="inlineStr">
        <ns0:is>
          <ns0:t>セット</ns0:t>
        </ns0:is>
      </ns0:c>
      <ns0:c r="B882" s="3" t="inlineStr">
        <ns0:is>
          <ns0:t>G3三段階</ns0:t>
        </ns0:is>
      </ns0:c>
      <ns0:c r="C882" s="3" t="inlineStr">
        <ns0:is>
          <ns0:t>A</ns0:t>
        </ns0:is>
      </ns0:c>
      <ns0:c r="D882" s="4" t="n">
        <ns0:v>2</ns0:v>
      </ns0:c>
      <ns0:c r="E882" s="4" t="n">
        <ns0:v>1000</ns0:v>
      </ns0:c>
      <ns0:c r="F882" s="6" t="n">
        <ns0:v>0.5</ns0:v>
      </ns0:c>
      <ns0:c r="G882" s="4" t="n">
        <ns0:v>2</ns0:v>
      </ns0:c>
      <ns0:c r="H882" s="7" t="n">
        <ns0:v>10598.69281045751</ns0:v>
      </ns0:c>
      <ns0:c r="I882" s="7" t="n">
        <ns0:v>4103.485838779956</ns0:v>
      </ns0:c>
      <ns0:c r="J882" s="7" t="n">
        <ns0:v>2051.742919389978</ns0:v>
      </ns0:c>
      <ns0:c r="K882" s="18" t="inlineStr">
        <ns0:is>
          <ns0:t>範囲内なし</ns0:t>
        </ns0:is>
      </ns0:c>
      <ns0:c r="L882" s="18" t="inlineStr">
        <ns0:is>
          <ns0:t>範囲内なし</ns0:t>
        </ns0:is>
      </ns0:c>
      <ns0:c r="M882" s="7" t="n">
        <ns0:v>-64291.96545101438</ns0:v>
      </ns0:c>
      <ns0:c r="N882" s="7" t="n">
        <ns0:v>-121683.4388651334</ns0:v>
      </ns0:c>
      <ns0:c r="O882" s="7" t="n">
        <ns0:v>-166465.1083576838</ns0:v>
      </ns0:c>
      <ns0:c r="P882" s="7" t="n">
        <ns0:v>-278419.2820890597</ns0:v>
      </ns0:c>
      <ns0:c r="Q882" s="7" t="n">
        <ns0:v>-768235.9770145634</ns0:v>
      </ns0:c>
      <ns0:c r="R882" s="7" t="n">
        <ns0:v>-2405594.409253826</ns0:v>
      </ns0:c>
    </ns0:row>
    <ns0:row r="883" ht="24" customHeight="1">
      <ns0:c r="A883" s="3" t="inlineStr">
        <ns0:is>
          <ns0:t>セット</ns0:t>
        </ns0:is>
      </ns0:c>
      <ns0:c r="B883" s="3" t="inlineStr">
        <ns0:is>
          <ns0:t>G3三段階</ns0:t>
        </ns0:is>
      </ns0:c>
      <ns0:c r="C883" s="3" t="inlineStr">
        <ns0:is>
          <ns0:t>A</ns0:t>
        </ns0:is>
      </ns0:c>
      <ns0:c r="D883" s="4" t="n">
        <ns0:v>2</ns0:v>
      </ns0:c>
      <ns0:c r="E883" s="4" t="n">
        <ns0:v>1000</ns0:v>
      </ns0:c>
      <ns0:c r="F883" s="6" t="n">
        <ns0:v>0.5</ns0:v>
      </ns0:c>
      <ns0:c r="G883" s="4" t="n">
        <ns0:v>3</ns0:v>
      </ns0:c>
      <ns0:c r="H883" s="7" t="n">
        <ns0:v>10598.69281045751</ns0:v>
      </ns0:c>
      <ns0:c r="I883" s="7" t="n">
        <ns0:v>4103.485838779956</ns0:v>
      </ns0:c>
      <ns0:c r="J883" s="7" t="n">
        <ns0:v>2051.742919389978</ns0:v>
      </ns0:c>
      <ns0:c r="K883" s="7" t="n">
        <ns0:v>17</ns0:v>
      </ns0:c>
      <ns0:c r="L883" s="7" t="n">
        <ns0:v>29</ns0:v>
      </ns0:c>
      <ns0:c r="M883" s="7" t="n">
        <ns0:v>-8001.03702138866</ns0:v>
      </ns0:c>
      <ns0:c r="N883" s="7" t="n">
        <ns0:v>47189.34642374374</ns0:v>
      </ns0:c>
      <ns0:c r="O883" s="7" t="n">
        <ns0:v>114989.5337904448</ns0:v>
      </ns0:c>
      <ns0:c r="P883" s="7" t="n">
        <ns0:v>284490.0022071974</ns0:v>
      </ns0:c>
      <ns0:c r="Q883" s="7" t="n">
        <ns0:v>920491.8758742081</ns0:v>
      </ns0:c>
      <ns0:c r="R883" s="7" t="n">
        <ns0:v>3223498.433708746</ns0:v>
      </ns0:c>
    </ns0:row>
    <ns0:row r="884" ht="24" customHeight="1">
      <ns0:c r="A884" s="3" t="inlineStr">
        <ns0:is>
          <ns0:t>セット</ns0:t>
        </ns0:is>
      </ns0:c>
      <ns0:c r="B884" s="3" t="inlineStr">
        <ns0:is>
          <ns0:t>G3三段階</ns0:t>
        </ns0:is>
      </ns0:c>
      <ns0:c r="C884" s="3" t="inlineStr">
        <ns0:is>
          <ns0:t>A</ns0:t>
        </ns0:is>
      </ns0:c>
      <ns0:c r="D884" s="4" t="n">
        <ns0:v>2</ns0:v>
      </ns0:c>
      <ns0:c r="E884" s="4" t="n">
        <ns0:v>1500</ns0:v>
      </ns0:c>
      <ns0:c r="F884" s="6" t="n">
        <ns0:v>0.3</ns0:v>
      </ns0:c>
      <ns0:c r="G884" s="4" t="n">
        <ns0:v>0</ns0:v>
      </ns0:c>
      <ns0:c r="H884" s="7" t="n">
        <ns0:v>10098.69281045751</ns0:v>
      </ns0:c>
      <ns0:c r="I884" s="7" t="n">
        <ns0:v>3603.485838779956</ns0:v>
      </ns0:c>
      <ns0:c r="J884" s="7" t="n">
        <ns0:v>1081.045751633987</ns0:v>
      </ns0:c>
      <ns0:c r="K884" s="7" t="n">
        <ns0:v>9</ns0:v>
      </ns0:c>
      <ns0:c r="L884" s="7" t="n">
        <ns0:v>12</ns0:v>
      </ns0:c>
      <ns0:c r="M884" s="7" t="n">
        <ns0:v>13309.88456733583</ns0:v>
      </ns0:c>
      <ns0:c r="N884" s="7" t="n">
        <ns0:v>111122.1111899173</ns0:v>
      </ns0:c>
      <ns0:c r="O884" s="7" t="n">
        <ns0:v>221544.1417340673</ns0:v>
      </ns0:c>
      <ns0:c r="P884" s="7" t="n">
        <ns0:v>497599.2180944424</ns0:v>
      </ns0:c>
      <ns0:c r="Q884" s="7" t="n">
        <ns0:v>1559819.523535943</ns0:v>
      </ns0:c>
      <ns0:c r="R884" s="7" t="n">
        <ns0:v>5354590.592581193</ns0:v>
      </ns0:c>
    </ns0:row>
    <ns0:row r="885" ht="24" customHeight="1">
      <ns0:c r="A885" s="3" t="inlineStr">
        <ns0:is>
          <ns0:t>セット</ns0:t>
        </ns0:is>
      </ns0:c>
      <ns0:c r="B885" s="3" t="inlineStr">
        <ns0:is>
          <ns0:t>G3三段階</ns0:t>
        </ns0:is>
      </ns0:c>
      <ns0:c r="C885" s="3" t="inlineStr">
        <ns0:is>
          <ns0:t>A</ns0:t>
        </ns0:is>
      </ns0:c>
      <ns0:c r="D885" s="4" t="n">
        <ns0:v>2</ns0:v>
      </ns0:c>
      <ns0:c r="E885" s="4" t="n">
        <ns0:v>1500</ns0:v>
      </ns0:c>
      <ns0:c r="F885" s="6" t="n">
        <ns0:v>0.3</ns0:v>
      </ns0:c>
      <ns0:c r="G885" s="4" t="n">
        <ns0:v>1</ns0:v>
      </ns0:c>
      <ns0:c r="H885" s="7" t="n">
        <ns0:v>10098.69281045751</ns0:v>
      </ns0:c>
      <ns0:c r="I885" s="7" t="n">
        <ns0:v>3603.485838779956</ns0:v>
      </ns0:c>
      <ns0:c r="J885" s="7" t="n">
        <ns0:v>1081.045751633987</ns0:v>
      </ns0:c>
      <ns0:c r="K885" s="7" t="n">
        <ns0:v>9</ns0:v>
      </ns0:c>
      <ns0:c r="L885" s="7" t="n">
        <ns0:v>14</ns0:v>
      </ns0:c>
      <ns0:c r="M885" s="7" t="n">
        <ns0:v>7921.41517503342</ns0:v>
      </ns0:c>
      <ns0:c r="N885" s="7" t="n">
        <ns0:v>94956.70301301</ns0:v>
      </ns0:c>
      <ns0:c r="O885" s="7" t="n">
        <ns0:v>194601.7947725552</ns0:v>
      </ns0:c>
      <ns0:c r="P885" s="7" t="n">
        <ns0:v>443714.5241714183</ns0:v>
      </ns0:c>
      <ns0:c r="Q885" s="7" t="n">
        <ns0:v>1398165.44176687</ns0:v>
      </ns0:c>
      <ns0:c r="R885" s="7" t="n">
        <ns0:v>4815743.653350952</ns0:v>
      </ns0:c>
    </ns0:row>
    <ns0:row r="886" ht="24" customHeight="1">
      <ns0:c r="A886" s="3" t="inlineStr">
        <ns0:is>
          <ns0:t>セット</ns0:t>
        </ns0:is>
      </ns0:c>
      <ns0:c r="B886" s="3" t="inlineStr">
        <ns0:is>
          <ns0:t>G3三段階</ns0:t>
        </ns0:is>
      </ns0:c>
      <ns0:c r="C886" s="3" t="inlineStr">
        <ns0:is>
          <ns0:t>A</ns0:t>
        </ns0:is>
      </ns0:c>
      <ns0:c r="D886" s="4" t="n">
        <ns0:v>2</ns0:v>
      </ns0:c>
      <ns0:c r="E886" s="4" t="n">
        <ns0:v>1500</ns0:v>
      </ns0:c>
      <ns0:c r="F886" s="6" t="n">
        <ns0:v>0.3</ns0:v>
      </ns0:c>
      <ns0:c r="G886" s="4" t="n">
        <ns0:v>2</ns0:v>
      </ns0:c>
      <ns0:c r="H886" s="7" t="n">
        <ns0:v>10098.69281045751</ns0:v>
      </ns0:c>
      <ns0:c r="I886" s="7" t="n">
        <ns0:v>3603.485838779956</ns0:v>
      </ns0:c>
      <ns0:c r="J886" s="7" t="n">
        <ns0:v>1081.045751633987</ns0:v>
      </ns0:c>
      <ns0:c r="K886" s="18" t="inlineStr">
        <ns0:is>
          <ns0:t>範囲内なし</ns0:t>
        </ns0:is>
      </ns0:c>
      <ns0:c r="L886" s="18" t="inlineStr">
        <ns0:is>
          <ns0:t>範囲内なし</ns0:t>
        </ns0:is>
      </ns0:c>
      <ns0:c r="M886" s="7" t="n">
        <ns0:v>-59404.99377345444</ns0:v>
      </ns0:c>
      <ns0:c r="N886" s="7" t="n">
        <ns0:v>-107022.5238324536</ns0:v>
      </ns0:c>
      <ns0:c r="O886" s="7" t="n">
        <ns0:v>-142030.2499698841</ns0:v>
      </ns0:c>
      <ns0:c r="P886" s="7" t="n">
        <ns0:v>-229549.5653134605</ns0:v>
      </ns0:c>
      <ns0:c r="Q886" s="7" t="n">
        <ns0:v>-621626.8266877659</ns0:v>
      </ns0:c>
      <ns0:c r="R886" s="7" t="n">
        <ns0:v>-1916897.241497835</ns0:v>
      </ns0:c>
    </ns0:row>
    <ns0:row r="887" ht="24" customHeight="1">
      <ns0:c r="A887" s="3" t="inlineStr">
        <ns0:is>
          <ns0:t>セット</ns0:t>
        </ns0:is>
      </ns0:c>
      <ns0:c r="B887" s="3" t="inlineStr">
        <ns0:is>
          <ns0:t>G3三段階</ns0:t>
        </ns0:is>
      </ns0:c>
      <ns0:c r="C887" s="3" t="inlineStr">
        <ns0:is>
          <ns0:t>A</ns0:t>
        </ns0:is>
      </ns0:c>
      <ns0:c r="D887" s="4" t="n">
        <ns0:v>2</ns0:v>
      </ns0:c>
      <ns0:c r="E887" s="4" t="n">
        <ns0:v>1500</ns0:v>
      </ns0:c>
      <ns0:c r="F887" s="6" t="n">
        <ns0:v>0.3</ns0:v>
      </ns0:c>
      <ns0:c r="G887" s="4" t="n">
        <ns0:v>3</ns0:v>
      </ns0:c>
      <ns0:c r="H887" s="7" t="n">
        <ns0:v>10098.69281045751</ns0:v>
      </ns0:c>
      <ns0:c r="I887" s="7" t="n">
        <ns0:v>3603.485838779956</ns0:v>
      </ns0:c>
      <ns0:c r="J887" s="7" t="n">
        <ns0:v>1081.045751633987</ns0:v>
      </ns0:c>
      <ns0:c r="K887" s="7" t="n">
        <ns0:v>15</ns0:v>
      </ns0:c>
      <ns0:c r="L887" s="7" t="n">
        <ns0:v>25</ns0:v>
      </ns0:c>
      <ns0:c r="M887" s="7" t="n">
        <ns0:v>-3114.065343828745</ns0:v>
      </ns0:c>
      <ns0:c r="N887" s="7" t="n">
        <ns0:v>61850.26145642353</ns0:v>
      </ns0:c>
      <ns0:c r="O887" s="7" t="n">
        <ns0:v>139424.3921782444</ns0:v>
      </ns0:c>
      <ns0:c r="P887" s="7" t="n">
        <ns0:v>333359.7189827967</ns0:v>
      </ns0:c>
      <ns0:c r="Q887" s="7" t="n">
        <ns0:v>1067101.026201006</ns0:v>
      </ns0:c>
      <ns0:c r="R887" s="7" t="n">
        <ns0:v>3712195.601464736</ns0:v>
      </ns0:c>
    </ns0:row>
    <ns0:row r="888" ht="24" customHeight="1">
      <ns0:c r="A888" s="3" t="inlineStr">
        <ns0:is>
          <ns0:t>セット</ns0:t>
        </ns0:is>
      </ns0:c>
      <ns0:c r="B888" s="3" t="inlineStr">
        <ns0:is>
          <ns0:t>G3三段階</ns0:t>
        </ns0:is>
      </ns0:c>
      <ns0:c r="C888" s="3" t="inlineStr">
        <ns0:is>
          <ns0:t>A</ns0:t>
        </ns0:is>
      </ns0:c>
      <ns0:c r="D888" s="4" t="n">
        <ns0:v>2</ns0:v>
      </ns0:c>
      <ns0:c r="E888" s="4" t="n">
        <ns0:v>1500</ns0:v>
      </ns0:c>
      <ns0:c r="F888" s="6" t="n">
        <ns0:v>0.4</ns0:v>
      </ns0:c>
      <ns0:c r="G888" s="4" t="n">
        <ns0:v>0</ns0:v>
      </ns0:c>
      <ns0:c r="H888" s="7" t="n">
        <ns0:v>10098.69281045751</ns0:v>
      </ns0:c>
      <ns0:c r="I888" s="7" t="n">
        <ns0:v>3603.485838779956</ns0:v>
      </ns0:c>
      <ns0:c r="J888" s="7" t="n">
        <ns0:v>1441.394335511982</ns0:v>
      </ns0:c>
      <ns0:c r="K888" s="7" t="n">
        <ns0:v>9</ns0:v>
      </ns0:c>
      <ns0:c r="L888" s="7" t="n">
        <ns0:v>12</ns0:v>
      </ns0:c>
      <ns0:c r="M888" s="7" t="n">
        <ns0:v>9706.398728555869</ns0:v>
      </ns0:c>
      <ns0:c r="N888" s="7" t="n">
        <ns0:v>100311.6536735774</ns0:v>
      </ns0:c>
      <ns0:c r="O888" s="7" t="n">
        <ns0:v>203526.7125401675</ns0:v>
      </ns0:c>
      <ns0:c r="P888" s="7" t="n">
        <ns0:v>461564.3597066428</ns0:v>
      </ns0:c>
      <ns0:c r="Q888" s="7" t="n">
        <ns0:v>1451714.948372544</ns0:v>
      </ns0:c>
      <ns0:c r="R888" s="7" t="n">
        <ns0:v>4994242.008703197</ns0:v>
      </ns0:c>
    </ns0:row>
    <ns0:row r="889" ht="24" customHeight="1">
      <ns0:c r="A889" s="3" t="inlineStr">
        <ns0:is>
          <ns0:t>セット</ns0:t>
        </ns0:is>
      </ns0:c>
      <ns0:c r="B889" s="3" t="inlineStr">
        <ns0:is>
          <ns0:t>G3三段階</ns0:t>
        </ns0:is>
      </ns0:c>
      <ns0:c r="C889" s="3" t="inlineStr">
        <ns0:is>
          <ns0:t>A</ns0:t>
        </ns0:is>
      </ns0:c>
      <ns0:c r="D889" s="4" t="n">
        <ns0:v>2</ns0:v>
      </ns0:c>
      <ns0:c r="E889" s="4" t="n">
        <ns0:v>1500</ns0:v>
      </ns0:c>
      <ns0:c r="F889" s="6" t="n">
        <ns0:v>0.4</ns0:v>
      </ns0:c>
      <ns0:c r="G889" s="4" t="n">
        <ns0:v>1</ns0:v>
      </ns0:c>
      <ns0:c r="H889" s="7" t="n">
        <ns0:v>10098.69281045751</ns0:v>
      </ns0:c>
      <ns0:c r="I889" s="7" t="n">
        <ns0:v>3603.485838779956</ns0:v>
      </ns0:c>
      <ns0:c r="J889" s="7" t="n">
        <ns0:v>1441.394335511982</ns0:v>
      </ns0:c>
      <ns0:c r="K889" s="7" t="n">
        <ns0:v>12</ns0:v>
      </ns0:c>
      <ns0:c r="L889" s="7" t="n">
        <ns0:v>15</ns0:v>
      </ns0:c>
      <ns0:c r="M889" s="7" t="n">
        <ns0:v>4317.929336253459</ns0:v>
      </ns0:c>
      <ns0:c r="N889" s="7" t="n">
        <ns0:v>84146.24549667013</ns0:v>
      </ns0:c>
      <ns0:c r="O889" s="7" t="n">
        <ns0:v>176584.3655786554</ns0:v>
      </ns0:c>
      <ns0:c r="P889" s="7" t="n">
        <ns0:v>407679.6657836187</ns0:v>
      </ns0:c>
      <ns0:c r="Q889" s="7" t="n">
        <ns0:v>1290060.866603471</ns0:v>
      </ns0:c>
      <ns0:c r="R889" s="7" t="n">
        <ns0:v>4455395.069472956</ns0:v>
      </ns0:c>
    </ns0:row>
    <ns0:row r="890" ht="24" customHeight="1">
      <ns0:c r="A890" s="3" t="inlineStr">
        <ns0:is>
          <ns0:t>セット</ns0:t>
        </ns0:is>
      </ns0:c>
      <ns0:c r="B890" s="3" t="inlineStr">
        <ns0:is>
          <ns0:t>G3三段階</ns0:t>
        </ns0:is>
      </ns0:c>
      <ns0:c r="C890" s="3" t="inlineStr">
        <ns0:is>
          <ns0:t>A</ns0:t>
        </ns0:is>
      </ns0:c>
      <ns0:c r="D890" s="4" t="n">
        <ns0:v>2</ns0:v>
      </ns0:c>
      <ns0:c r="E890" s="4" t="n">
        <ns0:v>1500</ns0:v>
      </ns0:c>
      <ns0:c r="F890" s="6" t="n">
        <ns0:v>0.4</ns0:v>
      </ns0:c>
      <ns0:c r="G890" s="4" t="n">
        <ns0:v>2</ns0:v>
      </ns0:c>
      <ns0:c r="H890" s="7" t="n">
        <ns0:v>10098.69281045751</ns0:v>
      </ns0:c>
      <ns0:c r="I890" s="7" t="n">
        <ns0:v>3603.485838779956</ns0:v>
      </ns0:c>
      <ns0:c r="J890" s="7" t="n">
        <ns0:v>1441.394335511982</ns0:v>
      </ns0:c>
      <ns0:c r="K890" s="18" t="inlineStr">
        <ns0:is>
          <ns0:t>範囲内なし</ns0:t>
        </ns0:is>
      </ns0:c>
      <ns0:c r="L890" s="18" t="inlineStr">
        <ns0:is>
          <ns0:t>範囲内なし</ns0:t>
        </ns0:is>
      </ns0:c>
      <ns0:c r="M890" s="7" t="n">
        <ns0:v>-63008.47961223442</ns0:v>
      </ns0:c>
      <ns0:c r="N890" s="7" t="n">
        <ns0:v>-117832.9813487935</ns0:v>
      </ns0:c>
      <ns0:c r="O890" s="7" t="n">
        <ns0:v>-160047.6791637839</ns0:v>
      </ns0:c>
      <ns0:c r="P890" s="7" t="n">
        <ns0:v>-265584.42370126</ns0:v>
      </ns0:c>
      <ns0:c r="Q890" s="7" t="n">
        <ns0:v>-729731.4018511648</ns0:v>
      </ns0:c>
      <ns0:c r="R890" s="7" t="n">
        <ns0:v>-2277245.825375832</ns0:v>
      </ns0:c>
    </ns0:row>
    <ns0:row r="891" ht="24" customHeight="1">
      <ns0:c r="A891" s="3" t="inlineStr">
        <ns0:is>
          <ns0:t>セット</ns0:t>
        </ns0:is>
      </ns0:c>
      <ns0:c r="B891" s="3" t="inlineStr">
        <ns0:is>
          <ns0:t>G3三段階</ns0:t>
        </ns0:is>
      </ns0:c>
      <ns0:c r="C891" s="3" t="inlineStr">
        <ns0:is>
          <ns0:t>A</ns0:t>
        </ns0:is>
      </ns0:c>
      <ns0:c r="D891" s="4" t="n">
        <ns0:v>2</ns0:v>
      </ns0:c>
      <ns0:c r="E891" s="4" t="n">
        <ns0:v>1500</ns0:v>
      </ns0:c>
      <ns0:c r="F891" s="6" t="n">
        <ns0:v>0.4</ns0:v>
      </ns0:c>
      <ns0:c r="G891" s="4" t="n">
        <ns0:v>3</ns0:v>
      </ns0:c>
      <ns0:c r="H891" s="7" t="n">
        <ns0:v>10098.69281045751</ns0:v>
      </ns0:c>
      <ns0:c r="I891" s="7" t="n">
        <ns0:v>3603.485838779956</ns0:v>
      </ns0:c>
      <ns0:c r="J891" s="7" t="n">
        <ns0:v>1441.394335511982</ns0:v>
      </ns0:c>
      <ns0:c r="K891" s="7" t="n">
        <ns0:v>16</ns0:v>
      </ns0:c>
      <ns0:c r="L891" s="7" t="n">
        <ns0:v>28</ns0:v>
      </ns0:c>
      <ns0:c r="M891" s="7" t="n">
        <ns0:v>-6717.551182608706</ns0:v>
      </ns0:c>
      <ns0:c r="N891" s="7" t="n">
        <ns0:v>51039.80394008364</ns0:v>
      </ns0:c>
      <ns0:c r="O891" s="7" t="n">
        <ns0:v>121406.9629843446</ns0:v>
      </ns0:c>
      <ns0:c r="P891" s="7" t="n">
        <ns0:v>297324.8605949971</ns0:v>
      </ns0:c>
      <ns0:c r="Q891" s="7" t="n">
        <ns0:v>958996.4510376067</ns0:v>
      </ns0:c>
      <ns0:c r="R891" s="7" t="n">
        <ns0:v>3351847.017586741</ns0:v>
      </ns0:c>
    </ns0:row>
    <ns0:row r="892" ht="24" customHeight="1">
      <ns0:c r="A892" s="3" t="inlineStr">
        <ns0:is>
          <ns0:t>セット</ns0:t>
        </ns0:is>
      </ns0:c>
      <ns0:c r="B892" s="3" t="inlineStr">
        <ns0:is>
          <ns0:t>G3三段階</ns0:t>
        </ns0:is>
      </ns0:c>
      <ns0:c r="C892" s="3" t="inlineStr">
        <ns0:is>
          <ns0:t>A</ns0:t>
        </ns0:is>
      </ns0:c>
      <ns0:c r="D892" s="4" t="n">
        <ns0:v>2</ns0:v>
      </ns0:c>
      <ns0:c r="E892" s="4" t="n">
        <ns0:v>1500</ns0:v>
      </ns0:c>
      <ns0:c r="F892" s="6" t="n">
        <ns0:v>0.5</ns0:v>
      </ns0:c>
      <ns0:c r="G892" s="4" t="n">
        <ns0:v>0</ns0:v>
      </ns0:c>
      <ns0:c r="H892" s="7" t="n">
        <ns0:v>10098.69281045751</ns0:v>
      </ns0:c>
      <ns0:c r="I892" s="7" t="n">
        <ns0:v>3603.485838779956</ns0:v>
      </ns0:c>
      <ns0:c r="J892" s="7" t="n">
        <ns0:v>1801.742919389978</ns0:v>
      </ns0:c>
      <ns0:c r="K892" s="7" t="n">
        <ns0:v>12</ns0:v>
      </ns0:c>
      <ns0:c r="L892" s="7" t="n">
        <ns0:v>13</ns0:v>
      </ns0:c>
      <ns0:c r="M892" s="7" t="n">
        <ns0:v>6102.912889775918</ns0:v>
      </ns0:c>
      <ns0:c r="N892" s="7" t="n">
        <ns0:v>89501.19615723749</ns0:v>
      </ns0:c>
      <ns0:c r="O892" s="7" t="n">
        <ns0:v>185509.2833462677</ns0:v>
      </ns0:c>
      <ns0:c r="P892" s="7" t="n">
        <ns0:v>425529.5013188432</ns0:v>
      </ns0:c>
      <ns0:c r="Q892" s="7" t="n">
        <ns0:v>1343610.373209145</ns0:v>
      </ns0:c>
      <ns0:c r="R892" s="7" t="n">
        <ns0:v>4633893.424825202</ns0:v>
      </ns0:c>
    </ns0:row>
    <ns0:row r="893" ht="24" customHeight="1">
      <ns0:c r="A893" s="3" t="inlineStr">
        <ns0:is>
          <ns0:t>セット</ns0:t>
        </ns0:is>
      </ns0:c>
      <ns0:c r="B893" s="3" t="inlineStr">
        <ns0:is>
          <ns0:t>G3三段階</ns0:t>
        </ns0:is>
      </ns0:c>
      <ns0:c r="C893" s="3" t="inlineStr">
        <ns0:is>
          <ns0:t>A</ns0:t>
        </ns0:is>
      </ns0:c>
      <ns0:c r="D893" s="4" t="n">
        <ns0:v>2</ns0:v>
      </ns0:c>
      <ns0:c r="E893" s="4" t="n">
        <ns0:v>1500</ns0:v>
      </ns0:c>
      <ns0:c r="F893" s="6" t="n">
        <ns0:v>0.5</ns0:v>
      </ns0:c>
      <ns0:c r="G893" s="4" t="n">
        <ns0:v>1</ns0:v>
      </ns0:c>
      <ns0:c r="H893" s="7" t="n">
        <ns0:v>10098.69281045751</ns0:v>
      </ns0:c>
      <ns0:c r="I893" s="7" t="n">
        <ns0:v>3603.485838779956</ns0:v>
      </ns0:c>
      <ns0:c r="J893" s="7" t="n">
        <ns0:v>1801.742919389978</ns0:v>
      </ns0:c>
      <ns0:c r="K893" s="7" t="n">
        <ns0:v>13</ns0:v>
      </ns0:c>
      <ns0:c r="L893" s="7" t="n">
        <ns0:v>16</ns0:v>
      </ns0:c>
      <ns0:c r="M893" s="7" t="n">
        <ns0:v>714.4434974735086</ns0:v>
      </ns0:c>
      <ns0:c r="N893" s="7" t="n">
        <ns0:v>73335.78798033023</ns0:v>
      </ns0:c>
      <ns0:c r="O893" s="7" t="n">
        <ns0:v>158566.9363847557</ns0:v>
      </ns0:c>
      <ns0:c r="P893" s="7" t="n">
        <ns0:v>371644.8073958191</ns0:v>
      </ns0:c>
      <ns0:c r="Q893" s="7" t="n">
        <ns0:v>1181956.291440073</ns0:v>
      </ns0:c>
      <ns0:c r="R893" s="7" t="n">
        <ns0:v>4095046.485594961</ns0:v>
      </ns0:c>
    </ns0:row>
    <ns0:row r="894" ht="24" customHeight="1">
      <ns0:c r="A894" s="3" t="inlineStr">
        <ns0:is>
          <ns0:t>セット</ns0:t>
        </ns0:is>
      </ns0:c>
      <ns0:c r="B894" s="3" t="inlineStr">
        <ns0:is>
          <ns0:t>G3三段階</ns0:t>
        </ns0:is>
      </ns0:c>
      <ns0:c r="C894" s="3" t="inlineStr">
        <ns0:is>
          <ns0:t>A</ns0:t>
        </ns0:is>
      </ns0:c>
      <ns0:c r="D894" s="4" t="n">
        <ns0:v>2</ns0:v>
      </ns0:c>
      <ns0:c r="E894" s="4" t="n">
        <ns0:v>1500</ns0:v>
      </ns0:c>
      <ns0:c r="F894" s="6" t="n">
        <ns0:v>0.5</ns0:v>
      </ns0:c>
      <ns0:c r="G894" s="4" t="n">
        <ns0:v>2</ns0:v>
      </ns0:c>
      <ns0:c r="H894" s="7" t="n">
        <ns0:v>10098.69281045751</ns0:v>
      </ns0:c>
      <ns0:c r="I894" s="7" t="n">
        <ns0:v>3603.485838779956</ns0:v>
      </ns0:c>
      <ns0:c r="J894" s="7" t="n">
        <ns0:v>1801.742919389978</ns0:v>
      </ns0:c>
      <ns0:c r="K894" s="18" t="inlineStr">
        <ns0:is>
          <ns0:t>範囲内なし</ns0:t>
        </ns0:is>
      </ns0:c>
      <ns0:c r="L894" s="18" t="inlineStr">
        <ns0:is>
          <ns0:t>範囲内なし</ns0:t>
        </ns0:is>
      </ns0:c>
      <ns0:c r="M894" s="7" t="n">
        <ns0:v>-66611.96545101436</ns0:v>
      </ns0:c>
      <ns0:c r="N894" s="7" t="n">
        <ns0:v>-128643.4388651334</ns0:v>
      </ns0:c>
      <ns0:c r="O894" s="7" t="n">
        <ns0:v>-178065.1083576837</ns0:v>
      </ns0:c>
      <ns0:c r="P894" s="7" t="n">
        <ns0:v>-301619.2820890596</ns0:v>
      </ns0:c>
      <ns0:c r="Q894" s="7" t="n">
        <ns0:v>-837835.9770145634</ns0:v>
      </ns0:c>
      <ns0:c r="R894" s="7" t="n">
        <ns0:v>-2637594.409253826</ns0:v>
      </ns0:c>
    </ns0:row>
    <ns0:row r="895" ht="24" customHeight="1">
      <ns0:c r="A895" s="3" t="inlineStr">
        <ns0:is>
          <ns0:t>セット</ns0:t>
        </ns0:is>
      </ns0:c>
      <ns0:c r="B895" s="3" t="inlineStr">
        <ns0:is>
          <ns0:t>G3三段階</ns0:t>
        </ns0:is>
      </ns0:c>
      <ns0:c r="C895" s="3" t="inlineStr">
        <ns0:is>
          <ns0:t>A</ns0:t>
        </ns0:is>
      </ns0:c>
      <ns0:c r="D895" s="4" t="n">
        <ns0:v>2</ns0:v>
      </ns0:c>
      <ns0:c r="E895" s="4" t="n">
        <ns0:v>1500</ns0:v>
      </ns0:c>
      <ns0:c r="F895" s="6" t="n">
        <ns0:v>0.5</ns0:v>
      </ns0:c>
      <ns0:c r="G895" s="4" t="n">
        <ns0:v>3</ns0:v>
      </ns0:c>
      <ns0:c r="H895" s="7" t="n">
        <ns0:v>10098.69281045751</ns0:v>
      </ns0:c>
      <ns0:c r="I895" s="7" t="n">
        <ns0:v>3603.485838779956</ns0:v>
      </ns0:c>
      <ns0:c r="J895" s="7" t="n">
        <ns0:v>1801.742919389978</ns0:v>
      </ns0:c>
      <ns0:c r="K895" s="7" t="n">
        <ns0:v>18</ns0:v>
      </ns0:c>
      <ns0:c r="L895" s="7" t="n">
        <ns0:v>32</ns0:v>
      </ns0:c>
      <ns0:c r="M895" s="7" t="n">
        <ns0:v>-10321.03702138865</ns0:v>
      </ns0:c>
      <ns0:c r="N895" s="7" t="n">
        <ns0:v>40229.34642374377</ns0:v>
      </ns0:c>
      <ns0:c r="O895" s="7" t="n">
        <ns0:v>103389.5337904448</ns0:v>
      </ns0:c>
      <ns0:c r="P895" s="7" t="n">
        <ns0:v>261290.0022071975</ns0:v>
      </ns0:c>
      <ns0:c r="Q895" s="7" t="n">
        <ns0:v>850891.8758742081</ns0:v>
      </ns0:c>
      <ns0:c r="R895" s="7" t="n">
        <ns0:v>2991498.433708745</ns0:v>
      </ns0:c>
    </ns0:row>
    <ns0:row r="896" ht="24" customHeight="1">
      <ns0:c r="A896" s="3" t="inlineStr">
        <ns0:is>
          <ns0:t>セット</ns0:t>
        </ns0:is>
      </ns0:c>
      <ns0:c r="B896" s="3" t="inlineStr">
        <ns0:is>
          <ns0:t>G3三段階</ns0:t>
        </ns0:is>
      </ns0:c>
      <ns0:c r="C896" s="3" t="inlineStr">
        <ns0:is>
          <ns0:t>C</ns0:t>
        </ns0:is>
      </ns0:c>
      <ns0:c r="D896" s="4" t="n">
        <ns0:v>0</ns0:v>
      </ns0:c>
      <ns0:c r="E896" s="4" t="n">
        <ns0:v>500</ns0:v>
      </ns0:c>
      <ns0:c r="F896" s="6" t="n">
        <ns0:v>0.3</ns0:v>
      </ns0:c>
      <ns0:c r="G896" s="4" t="n">
        <ns0:v>0</ns0:v>
      </ns0:c>
      <ns0:c r="H896" s="7" t="n">
        <ns0:v>5538.322903629537</ns0:v>
      </ns0:c>
      <ns0:c r="I896" s="7" t="n">
        <ns0:v>3011.88986232791</ns0:v>
      </ns0:c>
      <ns0:c r="J896" s="7" t="n">
        <ns0:v>903.5669586983729</ns0:v>
      </ns0:c>
      <ns0:c r="K896" s="7" t="n">
        <ns0:v>22</ns0:v>
      </ns0:c>
      <ns0:c r="L896" s="7" t="n">
        <ns0:v>45</ns0:v>
      </ns0:c>
      <ns0:c r="M896" s="7" t="n">
        <ns0:v>-27276.97387193599</ns0:v>
      </ns0:c>
      <ns0:c r="N896" s="7" t="n">
        <ns0:v>21293.82623505543</ns0:v>
      </ns0:c>
      <ns0:c r="O896" s="7" t="n">
        <ns0:v>71830.33347596426</ns0:v>
      </ns0:c>
      <ns0:c r="P896" s="7" t="n">
        <ns0:v>198171.6015782363</ns0:v>
      </ns0:c>
      <ns0:c r="Q896" s="7" t="n">
        <ns0:v>661536.6739873245</ns0:v>
      </ns0:c>
      <ns0:c r="R896" s="7" t="n">
        <ns0:v>2360314.427419133</ns0:v>
      </ns0:c>
    </ns0:row>
    <ns0:row r="897" ht="24" customHeight="1">
      <ns0:c r="A897" s="3" t="inlineStr">
        <ns0:is>
          <ns0:t>セット</ns0:t>
        </ns0:is>
      </ns0:c>
      <ns0:c r="B897" s="3" t="inlineStr">
        <ns0:is>
          <ns0:t>G3三段階</ns0:t>
        </ns0:is>
      </ns0:c>
      <ns0:c r="C897" s="3" t="inlineStr">
        <ns0:is>
          <ns0:t>C</ns0:t>
        </ns0:is>
      </ns0:c>
      <ns0:c r="D897" s="4" t="n">
        <ns0:v>0</ns0:v>
      </ns0:c>
      <ns0:c r="E897" s="4" t="n">
        <ns0:v>500</ns0:v>
      </ns0:c>
      <ns0:c r="F897" s="6" t="n">
        <ns0:v>0.3</ns0:v>
      </ns0:c>
      <ns0:c r="G897" s="4" t="n">
        <ns0:v>1</ns0:v>
      </ns0:c>
      <ns0:c r="H897" s="7" t="n">
        <ns0:v>5538.322903629537</ns0:v>
      </ns0:c>
      <ns0:c r="I897" s="7" t="n">
        <ns0:v>3011.88986232791</ns0:v>
      </ns0:c>
      <ns0:c r="J897" s="7" t="n">
        <ns0:v>903.5669586983729</ns0:v>
      </ns0:c>
      <ns0:c r="K897" s="7" t="n">
        <ns0:v>26</ns0:v>
      </ns0:c>
      <ns0:c r="L897" s="7" t="n">
        <ns0:v>143</ns0:v>
      </ns0:c>
      <ns0:c r="M897" s="7" t="n">
        <ns0:v>-30995.61427790683</ns0:v>
      </ns0:c>
      <ns0:c r="N897" s="7" t="n">
        <ns0:v>10137.9050171429</ns0:v>
      </ns0:c>
      <ns0:c r="O897" s="7" t="n">
        <ns0:v>53237.13144611004</ns0:v>
      </ns0:c>
      <ns0:c r="P897" s="7" t="n">
        <ns0:v>160985.1975185279</ns0:v>
      </ns0:c>
      <ns0:c r="Q897" s="7" t="n">
        <ns0:v>549977.4618081992</ns0:v>
      </ns0:c>
      <ns0:c r="R897" s="7" t="n">
        <ns0:v>1988450.386822049</ns0:v>
      </ns0:c>
    </ns0:row>
    <ns0:row r="898" ht="24" customHeight="1">
      <ns0:c r="A898" s="3" t="inlineStr">
        <ns0:is>
          <ns0:t>セット</ns0:t>
        </ns0:is>
      </ns0:c>
      <ns0:c r="B898" s="3" t="inlineStr">
        <ns0:is>
          <ns0:t>G3三段階</ns0:t>
        </ns0:is>
      </ns0:c>
      <ns0:c r="C898" s="3" t="inlineStr">
        <ns0:is>
          <ns0:t>C</ns0:t>
        </ns0:is>
      </ns0:c>
      <ns0:c r="D898" s="4" t="n">
        <ns0:v>0</ns0:v>
      </ns0:c>
      <ns0:c r="E898" s="4" t="n">
        <ns0:v>500</ns0:v>
      </ns0:c>
      <ns0:c r="F898" s="6" t="n">
        <ns0:v>0.3</ns0:v>
      </ns0:c>
      <ns0:c r="G898" s="4" t="n">
        <ns0:v>2</ns0:v>
      </ns0:c>
      <ns0:c r="H898" s="7" t="n">
        <ns0:v>5538.322903629537</ns0:v>
      </ns0:c>
      <ns0:c r="I898" s="7" t="n">
        <ns0:v>3011.88986232791</ns0:v>
      </ns0:c>
      <ns0:c r="J898" s="7" t="n">
        <ns0:v>903.5669586983729</ns0:v>
      </ns0:c>
      <ns0:c r="K898" s="7" t="n">
        <ns0:v>687</ns0:v>
      </ns0:c>
      <ns0:c r="L898" s="18" t="inlineStr">
        <ns0:is>
          <ns0:t>範囲内なし</ns0:t>
        </ns0:is>
      </ns0:c>
      <ns0:c r="M898" s="7" t="n">
        <ns0:v>-50118.42284441328</ns0:v>
      </ns0:c>
      <ns0:c r="N898" s="7" t="n">
        <ns0:v>-47230.52068237642</ns0:v>
      </ns0:c>
      <ns0:c r="O898" s="7" t="n">
        <ns0:v>-42376.91138642217</ns0:v>
      </ns0:c>
      <ns0:c r="P898" s="7" t="n">
        <ns0:v>-30242.88814653654</ns0:v>
      </ns0:c>
      <ns0:c r="Q898" s="7" t="n">
        <ns0:v>-23706.79518699407</ns0:v>
      </ns0:c>
      <ns0:c r="R898" s="7" t="n">
        <ns0:v>76169.53017140483</ns0:v>
      </ns0:c>
    </ns0:row>
    <ns0:row r="899" ht="24" customHeight="1">
      <ns0:c r="A899" s="3" t="inlineStr">
        <ns0:is>
          <ns0:t>セット</ns0:t>
        </ns0:is>
      </ns0:c>
      <ns0:c r="B899" s="3" t="inlineStr">
        <ns0:is>
          <ns0:t>G3三段階</ns0:t>
        </ns0:is>
      </ns0:c>
      <ns0:c r="C899" s="3" t="inlineStr">
        <ns0:is>
          <ns0:t>C</ns0:t>
        </ns0:is>
      </ns0:c>
      <ns0:c r="D899" s="4" t="n">
        <ns0:v>0</ns0:v>
      </ns0:c>
      <ns0:c r="E899" s="4" t="n">
        <ns0:v>500</ns0:v>
      </ns0:c>
      <ns0:c r="F899" s="6" t="n">
        <ns0:v>0.3</ns0:v>
      </ns0:c>
      <ns0:c r="G899" s="4" t="n">
        <ns0:v>3</ns0:v>
      </ns0:c>
      <ns0:c r="H899" s="7" t="n">
        <ns0:v>5538.322903629537</ns0:v>
      </ns0:c>
      <ns0:c r="I899" s="7" t="n">
        <ns0:v>3011.88986232791</ns0:v>
      </ns0:c>
      <ns0:c r="J899" s="7" t="n">
        <ns0:v>903.5669586983729</ns0:v>
      </ns0:c>
      <ns0:c r="K899" s="7" t="n">
        <ns0:v>42</ns0:v>
      </ns0:c>
      <ns0:c r="L899" s="18" t="inlineStr">
        <ns0:is>
          <ns0:t>範囲内なし</ns0:t>
        </ns0:is>
      </ns0:c>
      <ns0:c r="M899" s="7" t="n">
        <ns0:v>-39564.72117847753</ns0:v>
      </ns0:c>
      <ns0:c r="N899" s="7" t="n">
        <ns0:v>-15569.41568456918</ns0:v>
      </ns0:c>
      <ns0:c r="O899" s="7" t="n">
        <ns0:v>10391.59694325658</ns0:v>
      </ns0:c>
      <ns0:c r="P899" s="7" t="n">
        <ns0:v>75294.12851282096</ns0:v>
      </ns0:c>
      <ns0:c r="Q899" s="7" t="n">
        <ns0:v>292904.2547910784</ns0:v>
      </ns0:c>
      <ns0:c r="R899" s="7" t="n">
        <ns0:v>1131539.69676498</ns0:v>
      </ns0:c>
    </ns0:row>
    <ns0:row r="900" ht="24" customHeight="1">
      <ns0:c r="A900" s="3" t="inlineStr">
        <ns0:is>
          <ns0:t>セット</ns0:t>
        </ns0:is>
      </ns0:c>
      <ns0:c r="B900" s="3" t="inlineStr">
        <ns0:is>
          <ns0:t>G3三段階</ns0:t>
        </ns0:is>
      </ns0:c>
      <ns0:c r="C900" s="3" t="inlineStr">
        <ns0:is>
          <ns0:t>C</ns0:t>
        </ns0:is>
      </ns0:c>
      <ns0:c r="D900" s="4" t="n">
        <ns0:v>0</ns0:v>
      </ns0:c>
      <ns0:c r="E900" s="4" t="n">
        <ns0:v>500</ns0:v>
      </ns0:c>
      <ns0:c r="F900" s="6" t="n">
        <ns0:v>0.4</ns0:v>
      </ns0:c>
      <ns0:c r="G900" s="4" t="n">
        <ns0:v>0</ns0:v>
      </ns0:c>
      <ns0:c r="H900" s="7" t="n">
        <ns0:v>5538.322903629537</ns0:v>
      </ns0:c>
      <ns0:c r="I900" s="7" t="n">
        <ns0:v>3011.88986232791</ns0:v>
      </ns0:c>
      <ns0:c r="J900" s="7" t="n">
        <ns0:v>1204.755944931164</ns0:v>
      </ns0:c>
      <ns0:c r="K900" s="7" t="n">
        <ns0:v>25</ns0:v>
      </ns0:c>
      <ns0:c r="L900" s="7" t="n">
        <ns0:v>51</ns0:v>
      </ns0:c>
      <ns0:c r="M900" s="7" t="n">
        <ns0:v>-30288.8637342639</ns0:v>
      </ns0:c>
      <ns0:c r="N900" s="7" t="n">
        <ns0:v>12258.1566480717</ns0:v>
      </ns0:c>
      <ns0:c r="O900" s="7" t="n">
        <ns0:v>56770.88416432469</ns0:v>
      </ns0:c>
      <ns0:c r="P900" s="7" t="n">
        <ns0:v>168052.7029549572</ns0:v>
      </ns0:c>
      <ns0:c r="Q900" s="7" t="n">
        <ns0:v>571179.978117487</ns0:v>
      </ns0:c>
      <ns0:c r="R900" s="7" t="n">
        <ns0:v>2059125.441186343</ns0:v>
      </ns0:c>
    </ns0:row>
    <ns0:row r="901" ht="24" customHeight="1">
      <ns0:c r="A901" s="3" t="inlineStr">
        <ns0:is>
          <ns0:t>セット</ns0:t>
        </ns0:is>
      </ns0:c>
      <ns0:c r="B901" s="3" t="inlineStr">
        <ns0:is>
          <ns0:t>G3三段階</ns0:t>
        </ns0:is>
      </ns0:c>
      <ns0:c r="C901" s="3" t="inlineStr">
        <ns0:is>
          <ns0:t>C</ns0:t>
        </ns0:is>
      </ns0:c>
      <ns0:c r="D901" s="4" t="n">
        <ns0:v>0</ns0:v>
      </ns0:c>
      <ns0:c r="E901" s="4" t="n">
        <ns0:v>500</ns0:v>
      </ns0:c>
      <ns0:c r="F901" s="6" t="n">
        <ns0:v>0.4</ns0:v>
      </ns0:c>
      <ns0:c r="G901" s="4" t="n">
        <ns0:v>1</ns0:v>
      </ns0:c>
      <ns0:c r="H901" s="7" t="n">
        <ns0:v>5538.322903629537</ns0:v>
      </ns0:c>
      <ns0:c r="I901" s="7" t="n">
        <ns0:v>3011.88986232791</ns0:v>
      </ns0:c>
      <ns0:c r="J901" s="7" t="n">
        <ns0:v>1204.755944931164</ns0:v>
      </ns0:c>
      <ns0:c r="K901" s="7" t="n">
        <ns0:v>30</ns0:v>
      </ns0:c>
      <ns0:c r="L901" s="7" t="n">
        <ns0:v>185</ns0:v>
      </ns0:c>
      <ns0:c r="M901" s="7" t="n">
        <ns0:v>-34007.50414023474</ns0:v>
      </ns0:c>
      <ns0:c r="N901" s="7" t="n">
        <ns0:v>1102.235430159173</ns0:v>
      </ns0:c>
      <ns0:c r="O901" s="7" t="n">
        <ns0:v>38177.68213447049</ns0:v>
      </ns0:c>
      <ns0:c r="P901" s="7" t="n">
        <ns0:v>130866.2988952488</ns0:v>
      </ns0:c>
      <ns0:c r="Q901" s="7" t="n">
        <ns0:v>459620.7659383618</ns0:v>
      </ns0:c>
      <ns0:c r="R901" s="7" t="n">
        <ns0:v>1687261.400589258</ns0:v>
      </ns0:c>
    </ns0:row>
    <ns0:row r="902" ht="24" customHeight="1">
      <ns0:c r="A902" s="3" t="inlineStr">
        <ns0:is>
          <ns0:t>セット</ns0:t>
        </ns0:is>
      </ns0:c>
      <ns0:c r="B902" s="3" t="inlineStr">
        <ns0:is>
          <ns0:t>G3三段階</ns0:t>
        </ns0:is>
      </ns0:c>
      <ns0:c r="C902" s="3" t="inlineStr">
        <ns0:is>
          <ns0:t>C</ns0:t>
        </ns0:is>
      </ns0:c>
      <ns0:c r="D902" s="4" t="n">
        <ns0:v>0</ns0:v>
      </ns0:c>
      <ns0:c r="E902" s="4" t="n">
        <ns0:v>500</ns0:v>
      </ns0:c>
      <ns0:c r="F902" s="6" t="n">
        <ns0:v>0.4</ns0:v>
      </ns0:c>
      <ns0:c r="G902" s="4" t="n">
        <ns0:v>2</ns0:v>
      </ns0:c>
      <ns0:c r="H902" s="7" t="n">
        <ns0:v>5538.322903629537</ns0:v>
      </ns0:c>
      <ns0:c r="I902" s="7" t="n">
        <ns0:v>3011.88986232791</ns0:v>
      </ns0:c>
      <ns0:c r="J902" s="7" t="n">
        <ns0:v>1204.755944931164</ns0:v>
      </ns0:c>
      <ns0:c r="K902" s="18" t="inlineStr">
        <ns0:is>
          <ns0:t>範囲内なし</ns0:t>
        </ns0:is>
      </ns0:c>
      <ns0:c r="L902" s="18" t="inlineStr">
        <ns0:is>
          <ns0:t>範囲内なし</ns0:t>
        </ns0:is>
      </ns0:c>
      <ns0:c r="M902" s="7" t="n">
        <ns0:v>-53130.31270674119</ns0:v>
      </ns0:c>
      <ns0:c r="N902" s="7" t="n">
        <ns0:v>-56266.19026936016</ns0:v>
      </ns0:c>
      <ns0:c r="O902" s="7" t="n">
        <ns0:v>-57436.36069806172</ns0:v>
      </ns0:c>
      <ns0:c r="P902" s="7" t="n">
        <ns0:v>-60361.78676981563</ns0:v>
      </ns0:c>
      <ns0:c r="Q902" s="7" t="n">
        <ns0:v>-114063.4910568315</ns0:v>
      </ns0:c>
      <ns0:c r="R902" s="7" t="n">
        <ns0:v>-225019.456061386</ns0:v>
      </ns0:c>
    </ns0:row>
    <ns0:row r="903" ht="24" customHeight="1">
      <ns0:c r="A903" s="3" t="inlineStr">
        <ns0:is>
          <ns0:t>セット</ns0:t>
        </ns0:is>
      </ns0:c>
      <ns0:c r="B903" s="3" t="inlineStr">
        <ns0:is>
          <ns0:t>G3三段階</ns0:t>
        </ns0:is>
      </ns0:c>
      <ns0:c r="C903" s="3" t="inlineStr">
        <ns0:is>
          <ns0:t>C</ns0:t>
        </ns0:is>
      </ns0:c>
      <ns0:c r="D903" s="4" t="n">
        <ns0:v>0</ns0:v>
      </ns0:c>
      <ns0:c r="E903" s="4" t="n">
        <ns0:v>500</ns0:v>
      </ns0:c>
      <ns0:c r="F903" s="6" t="n">
        <ns0:v>0.4</ns0:v>
      </ns0:c>
      <ns0:c r="G903" s="4" t="n">
        <ns0:v>3</ns0:v>
      </ns0:c>
      <ns0:c r="H903" s="7" t="n">
        <ns0:v>5538.322903629537</ns0:v>
      </ns0:c>
      <ns0:c r="I903" s="7" t="n">
        <ns0:v>3011.88986232791</ns0:v>
      </ns0:c>
      <ns0:c r="J903" s="7" t="n">
        <ns0:v>1204.755944931164</ns0:v>
      </ns0:c>
      <ns0:c r="K903" s="7" t="n">
        <ns0:v>55</ns0:v>
      </ns0:c>
      <ns0:c r="L903" s="18" t="inlineStr">
        <ns0:is>
          <ns0:t>範囲内なし</ns0:t>
        </ns0:is>
      </ns0:c>
      <ns0:c r="M903" s="7" t="n">
        <ns0:v>-42576.61104080544</ns0:v>
      </ns0:c>
      <ns0:c r="N903" s="7" t="n">
        <ns0:v>-24605.0852715529</ns0:v>
      </ns0:c>
      <ns0:c r="O903" s="7" t="n">
        <ns0:v>-4667.85236838297</ns0:v>
      </ns0:c>
      <ns0:c r="P903" s="7" t="n">
        <ns0:v>45175.22988954186</ns0:v>
      </ns0:c>
      <ns0:c r="Q903" s="7" t="n">
        <ns0:v>202547.558921241</ns0:v>
      </ns0:c>
      <ns0:c r="R903" s="7" t="n">
        <ns0:v>830350.7105321889</ns0:v>
      </ns0:c>
    </ns0:row>
    <ns0:row r="904" ht="24" customHeight="1">
      <ns0:c r="A904" s="3" t="inlineStr">
        <ns0:is>
          <ns0:t>セット</ns0:t>
        </ns0:is>
      </ns0:c>
      <ns0:c r="B904" s="3" t="inlineStr">
        <ns0:is>
          <ns0:t>G3三段階</ns0:t>
        </ns0:is>
      </ns0:c>
      <ns0:c r="C904" s="3" t="inlineStr">
        <ns0:is>
          <ns0:t>C</ns0:t>
        </ns0:is>
      </ns0:c>
      <ns0:c r="D904" s="4" t="n">
        <ns0:v>0</ns0:v>
      </ns0:c>
      <ns0:c r="E904" s="4" t="n">
        <ns0:v>500</ns0:v>
      </ns0:c>
      <ns0:c r="F904" s="6" t="n">
        <ns0:v>0.5</ns0:v>
      </ns0:c>
      <ns0:c r="G904" s="4" t="n">
        <ns0:v>0</ns0:v>
      </ns0:c>
      <ns0:c r="H904" s="7" t="n">
        <ns0:v>5538.322903629537</ns0:v>
      </ns0:c>
      <ns0:c r="I904" s="7" t="n">
        <ns0:v>3011.88986232791</ns0:v>
      </ns0:c>
      <ns0:c r="J904" s="7" t="n">
        <ns0:v>1505.944931163955</ns0:v>
      </ns0:c>
      <ns0:c r="K904" s="7" t="n">
        <ns0:v>29</ns0:v>
      </ns0:c>
      <ns0:c r="L904" s="7" t="n">
        <ns0:v>59</ns0:v>
      </ns0:c>
      <ns0:c r="M904" s="7" t="n">
        <ns0:v>-33300.75359659181</ns0:v>
      </ns0:c>
      <ns0:c r="N904" s="7" t="n">
        <ns0:v>3222.48706108797</ns0:v>
      </ns0:c>
      <ns0:c r="O904" s="7" t="n">
        <ns0:v>41711.43485268517</ns0:v>
      </ns0:c>
      <ns0:c r="P904" s="7" t="n">
        <ns0:v>137933.8043316781</ns0:v>
      </ns0:c>
      <ns0:c r="Q904" s="7" t="n">
        <ns0:v>480823.2822476499</ns0:v>
      </ns0:c>
      <ns0:c r="R904" s="7" t="n">
        <ns0:v>1757936.454953551</ns0:v>
      </ns0:c>
    </ns0:row>
    <ns0:row r="905" ht="24" customHeight="1">
      <ns0:c r="A905" s="3" t="inlineStr">
        <ns0:is>
          <ns0:t>セット</ns0:t>
        </ns0:is>
      </ns0:c>
      <ns0:c r="B905" s="3" t="inlineStr">
        <ns0:is>
          <ns0:t>G3三段階</ns0:t>
        </ns0:is>
      </ns0:c>
      <ns0:c r="C905" s="3" t="inlineStr">
        <ns0:is>
          <ns0:t>C</ns0:t>
        </ns0:is>
      </ns0:c>
      <ns0:c r="D905" s="4" t="n">
        <ns0:v>0</ns0:v>
      </ns0:c>
      <ns0:c r="E905" s="4" t="n">
        <ns0:v>500</ns0:v>
      </ns0:c>
      <ns0:c r="F905" s="6" t="n">
        <ns0:v>0.5</ns0:v>
      </ns0:c>
      <ns0:c r="G905" s="4" t="n">
        <ns0:v>1</ns0:v>
      </ns0:c>
      <ns0:c r="H905" s="7" t="n">
        <ns0:v>5538.322903629537</ns0:v>
      </ns0:c>
      <ns0:c r="I905" s="7" t="n">
        <ns0:v>3011.88986232791</ns0:v>
      </ns0:c>
      <ns0:c r="J905" s="7" t="n">
        <ns0:v>1505.944931163955</ns0:v>
      </ns0:c>
      <ns0:c r="K905" s="7" t="n">
        <ns0:v>36</ns0:v>
      </ns0:c>
      <ns0:c r="L905" s="7" t="n">
        <ns0:v>260</ns0:v>
      </ns0:c>
      <ns0:c r="M905" s="7" t="n">
        <ns0:v>-37019.39400256265</ns0:v>
      </ns0:c>
      <ns0:c r="N905" s="7" t="n">
        <ns0:v>-7933.434156824558</ns0:v>
      </ns0:c>
      <ns0:c r="O905" s="7" t="n">
        <ns0:v>23118.23282283096</ns0:v>
      </ns0:c>
      <ns0:c r="P905" s="7" t="n">
        <ns0:v>100747.4002719697</ns0:v>
      </ns0:c>
      <ns0:c r="Q905" s="7" t="n">
        <ns0:v>369264.0700685246</ns0:v>
      </ns0:c>
      <ns0:c r="R905" s="7" t="n">
        <ns0:v>1386072.414356467</ns0:v>
      </ns0:c>
    </ns0:row>
    <ns0:row r="906" ht="24" customHeight="1">
      <ns0:c r="A906" s="3" t="inlineStr">
        <ns0:is>
          <ns0:t>セット</ns0:t>
        </ns0:is>
      </ns0:c>
      <ns0:c r="B906" s="3" t="inlineStr">
        <ns0:is>
          <ns0:t>G3三段階</ns0:t>
        </ns0:is>
      </ns0:c>
      <ns0:c r="C906" s="3" t="inlineStr">
        <ns0:is>
          <ns0:t>C</ns0:t>
        </ns0:is>
      </ns0:c>
      <ns0:c r="D906" s="4" t="n">
        <ns0:v>0</ns0:v>
      </ns0:c>
      <ns0:c r="E906" s="4" t="n">
        <ns0:v>500</ns0:v>
      </ns0:c>
      <ns0:c r="F906" s="6" t="n">
        <ns0:v>0.5</ns0:v>
      </ns0:c>
      <ns0:c r="G906" s="4" t="n">
        <ns0:v>2</ns0:v>
      </ns0:c>
      <ns0:c r="H906" s="7" t="n">
        <ns0:v>5538.322903629537</ns0:v>
      </ns0:c>
      <ns0:c r="I906" s="7" t="n">
        <ns0:v>3011.88986232791</ns0:v>
      </ns0:c>
      <ns0:c r="J906" s="7" t="n">
        <ns0:v>1505.944931163955</ns0:v>
      </ns0:c>
      <ns0:c r="K906" s="18" t="inlineStr">
        <ns0:is>
          <ns0:t>範囲内なし</ns0:t>
        </ns0:is>
      </ns0:c>
      <ns0:c r="L906" s="18" t="inlineStr">
        <ns0:is>
          <ns0:t>範囲内なし</ns0:t>
        </ns0:is>
      </ns0:c>
      <ns0:c r="M906" s="7" t="n">
        <ns0:v>-56142.20256906909</ns0:v>
      </ns0:c>
      <ns0:c r="N906" s="7" t="n">
        <ns0:v>-65301.85985634387</ns0:v>
      </ns0:c>
      <ns0:c r="O906" s="7" t="n">
        <ns0:v>-72495.81000970125</ns0:v>
      </ns0:c>
      <ns0:c r="P906" s="7" t="n">
        <ns0:v>-90480.6853930947</ns0:v>
      </ns0:c>
      <ns0:c r="Q906" s="7" t="n">
        <ns0:v>-204420.1869266687</ns0:v>
      </ns0:c>
      <ns0:c r="R906" s="7" t="n">
        <ns0:v>-526208.4422941774</ns0:v>
      </ns0:c>
    </ns0:row>
    <ns0:row r="907" ht="24" customHeight="1">
      <ns0:c r="A907" s="3" t="inlineStr">
        <ns0:is>
          <ns0:t>セット</ns0:t>
        </ns0:is>
      </ns0:c>
      <ns0:c r="B907" s="3" t="inlineStr">
        <ns0:is>
          <ns0:t>G3三段階</ns0:t>
        </ns0:is>
      </ns0:c>
      <ns0:c r="C907" s="3" t="inlineStr">
        <ns0:is>
          <ns0:t>C</ns0:t>
        </ns0:is>
      </ns0:c>
      <ns0:c r="D907" s="4" t="n">
        <ns0:v>0</ns0:v>
      </ns0:c>
      <ns0:c r="E907" s="4" t="n">
        <ns0:v>500</ns0:v>
      </ns0:c>
      <ns0:c r="F907" s="6" t="n">
        <ns0:v>0.5</ns0:v>
      </ns0:c>
      <ns0:c r="G907" s="4" t="n">
        <ns0:v>3</ns0:v>
      </ns0:c>
      <ns0:c r="H907" s="7" t="n">
        <ns0:v>5538.322903629537</ns0:v>
      </ns0:c>
      <ns0:c r="I907" s="7" t="n">
        <ns0:v>3011.88986232791</ns0:v>
      </ns0:c>
      <ns0:c r="J907" s="7" t="n">
        <ns0:v>1505.944931163955</ns0:v>
      </ns0:c>
      <ns0:c r="K907" s="7" t="n">
        <ns0:v>139</ns0:v>
      </ns0:c>
      <ns0:c r="L907" s="18" t="inlineStr">
        <ns0:is>
          <ns0:t>範囲内なし</ns0:t>
        </ns0:is>
      </ns0:c>
      <ns0:c r="M907" s="7" t="n">
        <ns0:v>-45588.50090313335</ns0:v>
      </ns0:c>
      <ns0:c r="N907" s="7" t="n">
        <ns0:v>-33640.75485853664</ns0:v>
      </ns0:c>
      <ns0:c r="O907" s="7" t="n">
        <ns0:v>-19727.3016800225</ns0:v>
      </ns0:c>
      <ns0:c r="P907" s="7" t="n">
        <ns0:v>15056.3312662628</ns0:v>
      </ns0:c>
      <ns0:c r="Q907" s="7" t="n">
        <ns0:v>112190.8630514038</ns0:v>
      </ns0:c>
      <ns0:c r="R907" s="7" t="n">
        <ns0:v>529161.7242993976</ns0:v>
      </ns0:c>
    </ns0:row>
    <ns0:row r="908" ht="24" customHeight="1">
      <ns0:c r="A908" s="3" t="inlineStr">
        <ns0:is>
          <ns0:t>セット</ns0:t>
        </ns0:is>
      </ns0:c>
      <ns0:c r="B908" s="3" t="inlineStr">
        <ns0:is>
          <ns0:t>G3三段階</ns0:t>
        </ns0:is>
      </ns0:c>
      <ns0:c r="C908" s="3" t="inlineStr">
        <ns0:is>
          <ns0:t>C</ns0:t>
        </ns0:is>
      </ns0:c>
      <ns0:c r="D908" s="4" t="n">
        <ns0:v>0</ns0:v>
      </ns0:c>
      <ns0:c r="E908" s="4" t="n">
        <ns0:v>1000</ns0:v>
      </ns0:c>
      <ns0:c r="F908" s="6" t="n">
        <ns0:v>0.3</ns0:v>
      </ns0:c>
      <ns0:c r="G908" s="4" t="n">
        <ns0:v>0</ns0:v>
      </ns0:c>
      <ns0:c r="H908" s="7" t="n">
        <ns0:v>5038.322903629537</ns0:v>
      </ns0:c>
      <ns0:c r="I908" s="7" t="n">
        <ns0:v>2511.88986232791</ns0:v>
      </ns0:c>
      <ns0:c r="J908" s="7" t="n">
        <ns0:v>753.5669586983729</ns0:v>
      </ns0:c>
      <ns0:c r="K908" s="7" t="n">
        <ns0:v>25</ns0:v>
      </ns0:c>
      <ns0:c r="L908" s="7" t="n">
        <ns0:v>52</ns0:v>
      </ns0:c>
      <ns0:c r="M908" s="7" t="n">
        <ns0:v>-30596.97387193599</ns0:v>
      </ns0:c>
      <ns0:c r="N908" s="7" t="n">
        <ns0:v>11333.82623505545</ns0:v>
      </ns0:c>
      <ns0:c r="O908" s="7" t="n">
        <ns0:v>55230.33347596428</ns0:v>
      </ns0:c>
      <ns0:c r="P908" s="7" t="n">
        <ns0:v>164971.6015782364</ns0:v>
      </ns0:c>
      <ns0:c r="Q908" s="7" t="n">
        <ns0:v>561936.6739873246</ns0:v>
      </ns0:c>
      <ns0:c r="R908" s="7" t="n">
        <ns0:v>2028314.427419134</ns0:v>
      </ns0:c>
    </ns0:row>
    <ns0:row r="909" ht="24" customHeight="1">
      <ns0:c r="A909" s="3" t="inlineStr">
        <ns0:is>
          <ns0:t>セット</ns0:t>
        </ns0:is>
      </ns0:c>
      <ns0:c r="B909" s="3" t="inlineStr">
        <ns0:is>
          <ns0:t>G3三段階</ns0:t>
        </ns0:is>
      </ns0:c>
      <ns0:c r="C909" s="3" t="inlineStr">
        <ns0:is>
          <ns0:t>C</ns0:t>
        </ns0:is>
      </ns0:c>
      <ns0:c r="D909" s="4" t="n">
        <ns0:v>0</ns0:v>
      </ns0:c>
      <ns0:c r="E909" s="4" t="n">
        <ns0:v>1000</ns0:v>
      </ns0:c>
      <ns0:c r="F909" s="6" t="n">
        <ns0:v>0.3</ns0:v>
      </ns0:c>
      <ns0:c r="G909" s="4" t="n">
        <ns0:v>1</ns0:v>
      </ns0:c>
      <ns0:c r="H909" s="7" t="n">
        <ns0:v>5038.322903629537</ns0:v>
      </ns0:c>
      <ns0:c r="I909" s="7" t="n">
        <ns0:v>2511.88986232791</ns0:v>
      </ns0:c>
      <ns0:c r="J909" s="7" t="n">
        <ns0:v>753.5669586983729</ns0:v>
      </ns0:c>
      <ns0:c r="K909" s="7" t="n">
        <ns0:v>30</ns0:v>
      </ns0:c>
      <ns0:c r="L909" s="7" t="n">
        <ns0:v>191</ns0:v>
      </ns0:c>
      <ns0:c r="M909" s="7" t="n">
        <ns0:v>-34315.61427790683</ns0:v>
      </ns0:c>
      <ns0:c r="N909" s="7" t="n">
        <ns0:v>177.905017142919</ns0:v>
      </ns0:c>
      <ns0:c r="O909" s="7" t="n">
        <ns0:v>36637.13144611008</ns0:v>
      </ns0:c>
      <ns0:c r="P909" s="7" t="n">
        <ns0:v>127785.1975185279</ns0:v>
      </ns0:c>
      <ns0:c r="Q909" s="7" t="n">
        <ns0:v>450377.4618081993</ns0:v>
      </ns0:c>
      <ns0:c r="R909" s="7" t="n">
        <ns0:v>1656450.38682205</ns0:v>
      </ns0:c>
    </ns0:row>
    <ns0:row r="910" ht="24" customHeight="1">
      <ns0:c r="A910" s="3" t="inlineStr">
        <ns0:is>
          <ns0:t>セット</ns0:t>
        </ns0:is>
      </ns0:c>
      <ns0:c r="B910" s="3" t="inlineStr">
        <ns0:is>
          <ns0:t>G3三段階</ns0:t>
        </ns0:is>
      </ns0:c>
      <ns0:c r="C910" s="3" t="inlineStr">
        <ns0:is>
          <ns0:t>C</ns0:t>
        </ns0:is>
      </ns0:c>
      <ns0:c r="D910" s="4" t="n">
        <ns0:v>0</ns0:v>
      </ns0:c>
      <ns0:c r="E910" s="4" t="n">
        <ns0:v>1000</ns0:v>
      </ns0:c>
      <ns0:c r="F910" s="6" t="n">
        <ns0:v>0.3</ns0:v>
      </ns0:c>
      <ns0:c r="G910" s="4" t="n">
        <ns0:v>2</ns0:v>
      </ns0:c>
      <ns0:c r="H910" s="7" t="n">
        <ns0:v>5038.322903629537</ns0:v>
      </ns0:c>
      <ns0:c r="I910" s="7" t="n">
        <ns0:v>2511.88986232791</ns0:v>
      </ns0:c>
      <ns0:c r="J910" s="7" t="n">
        <ns0:v>753.5669586983729</ns0:v>
      </ns0:c>
      <ns0:c r="K910" s="18" t="inlineStr">
        <ns0:is>
          <ns0:t>範囲内なし</ns0:t>
        </ns0:is>
      </ns0:c>
      <ns0:c r="L910" s="18" t="inlineStr">
        <ns0:is>
          <ns0:t>範囲内なし</ns0:t>
        </ns0:is>
      </ns0:c>
      <ns0:c r="M910" s="7" t="n">
        <ns0:v>-53438.42284441328</ns0:v>
      </ns0:c>
      <ns0:c r="N910" s="7" t="n">
        <ns0:v>-57190.5206823764</ns0:v>
      </ns0:c>
      <ns0:c r="O910" s="7" t="n">
        <ns0:v>-58976.91138642213</ns0:v>
      </ns0:c>
      <ns0:c r="P910" s="7" t="n">
        <ns0:v>-63442.88814653645</ns0:v>
      </ns0:c>
      <ns0:c r="Q910" s="7" t="n">
        <ns0:v>-123306.795186994</ns0:v>
      </ns0:c>
      <ns0:c r="R910" s="7" t="n">
        <ns0:v>-255830.4698285945</ns0:v>
      </ns0:c>
    </ns0:row>
    <ns0:row r="911" ht="24" customHeight="1">
      <ns0:c r="A911" s="3" t="inlineStr">
        <ns0:is>
          <ns0:t>セット</ns0:t>
        </ns0:is>
      </ns0:c>
      <ns0:c r="B911" s="3" t="inlineStr">
        <ns0:is>
          <ns0:t>G3三段階</ns0:t>
        </ns0:is>
      </ns0:c>
      <ns0:c r="C911" s="3" t="inlineStr">
        <ns0:is>
          <ns0:t>C</ns0:t>
        </ns0:is>
      </ns0:c>
      <ns0:c r="D911" s="4" t="n">
        <ns0:v>0</ns0:v>
      </ns0:c>
      <ns0:c r="E911" s="4" t="n">
        <ns0:v>1000</ns0:v>
      </ns0:c>
      <ns0:c r="F911" s="6" t="n">
        <ns0:v>0.3</ns0:v>
      </ns0:c>
      <ns0:c r="G911" s="4" t="n">
        <ns0:v>3</ns0:v>
      </ns0:c>
      <ns0:c r="H911" s="7" t="n">
        <ns0:v>5038.322903629537</ns0:v>
      </ns0:c>
      <ns0:c r="I911" s="7" t="n">
        <ns0:v>2511.88986232791</ns0:v>
      </ns0:c>
      <ns0:c r="J911" s="7" t="n">
        <ns0:v>753.5669586983729</ns0:v>
      </ns0:c>
      <ns0:c r="K911" s="7" t="n">
        <ns0:v>57</ns0:v>
      </ns0:c>
      <ns0:c r="L911" s="18" t="inlineStr">
        <ns0:is>
          <ns0:t>範囲内なし</ns0:t>
        </ns0:is>
      </ns0:c>
      <ns0:c r="M911" s="7" t="n">
        <ns0:v>-42884.72117847753</ns0:v>
      </ns0:c>
      <ns0:c r="N911" s="7" t="n">
        <ns0:v>-25529.41568456916</ns0:v>
      </ns0:c>
      <ns0:c r="O911" s="7" t="n">
        <ns0:v>-6208.40305674338</ns0:v>
      </ns0:c>
      <ns0:c r="P911" s="7" t="n">
        <ns0:v>42094.12851282104</ns0:v>
      </ns0:c>
      <ns0:c r="Q911" s="7" t="n">
        <ns0:v>193304.2547910784</ns0:v>
      </ns0:c>
      <ns0:c r="R911" s="7" t="n">
        <ns0:v>799539.6967649803</ns0:v>
      </ns0:c>
    </ns0:row>
    <ns0:row r="912" ht="24" customHeight="1">
      <ns0:c r="A912" s="3" t="inlineStr">
        <ns0:is>
          <ns0:t>セット</ns0:t>
        </ns0:is>
      </ns0:c>
      <ns0:c r="B912" s="3" t="inlineStr">
        <ns0:is>
          <ns0:t>G3三段階</ns0:t>
        </ns0:is>
      </ns0:c>
      <ns0:c r="C912" s="3" t="inlineStr">
        <ns0:is>
          <ns0:t>C</ns0:t>
        </ns0:is>
      </ns0:c>
      <ns0:c r="D912" s="4" t="n">
        <ns0:v>0</ns0:v>
      </ns0:c>
      <ns0:c r="E912" s="4" t="n">
        <ns0:v>1000</ns0:v>
      </ns0:c>
      <ns0:c r="F912" s="6" t="n">
        <ns0:v>0.4</ns0:v>
      </ns0:c>
      <ns0:c r="G912" s="4" t="n">
        <ns0:v>0</ns0:v>
      </ns0:c>
      <ns0:c r="H912" s="7" t="n">
        <ns0:v>5038.322903629537</ns0:v>
      </ns0:c>
      <ns0:c r="I912" s="7" t="n">
        <ns0:v>2511.88986232791</ns0:v>
      </ns0:c>
      <ns0:c r="J912" s="7" t="n">
        <ns0:v>1004.755944931164</ns0:v>
      </ns0:c>
      <ns0:c r="K912" s="7" t="n">
        <ns0:v>29</ns0:v>
      </ns0:c>
      <ns0:c r="L912" s="7" t="n">
        <ns0:v>59</ns0:v>
      </ns0:c>
      <ns0:c r="M912" s="7" t="n">
        <ns0:v>-33108.8637342639</ns0:v>
      </ns0:c>
      <ns0:c r="N912" s="7" t="n">
        <ns0:v>3798.156648071712</ns0:v>
      </ns0:c>
      <ns0:c r="O912" s="7" t="n">
        <ns0:v>42670.88416432474</ns0:v>
      </ns0:c>
      <ns0:c r="P912" s="7" t="n">
        <ns0:v>139852.7029549573</ns0:v>
      </ns0:c>
      <ns0:c r="Q912" s="7" t="n">
        <ns0:v>486579.9781174873</ns0:v>
      </ns0:c>
      <ns0:c r="R912" s="7" t="n">
        <ns0:v>1777125.441186343</ns0:v>
      </ns0:c>
    </ns0:row>
    <ns0:row r="913" ht="24" customHeight="1">
      <ns0:c r="A913" s="3" t="inlineStr">
        <ns0:is>
          <ns0:t>セット</ns0:t>
        </ns0:is>
      </ns0:c>
      <ns0:c r="B913" s="3" t="inlineStr">
        <ns0:is>
          <ns0:t>G3三段階</ns0:t>
        </ns0:is>
      </ns0:c>
      <ns0:c r="C913" s="3" t="inlineStr">
        <ns0:is>
          <ns0:t>C</ns0:t>
        </ns0:is>
      </ns0:c>
      <ns0:c r="D913" s="4" t="n">
        <ns0:v>0</ns0:v>
      </ns0:c>
      <ns0:c r="E913" s="4" t="n">
        <ns0:v>1000</ns0:v>
      </ns0:c>
      <ns0:c r="F913" s="6" t="n">
        <ns0:v>0.4</ns0:v>
      </ns0:c>
      <ns0:c r="G913" s="4" t="n">
        <ns0:v>1</ns0:v>
      </ns0:c>
      <ns0:c r="H913" s="7" t="n">
        <ns0:v>5038.322903629537</ns0:v>
      </ns0:c>
      <ns0:c r="I913" s="7" t="n">
        <ns0:v>2511.88986232791</ns0:v>
      </ns0:c>
      <ns0:c r="J913" s="7" t="n">
        <ns0:v>1004.755944931164</ns0:v>
      </ns0:c>
      <ns0:c r="K913" s="7" t="n">
        <ns0:v>35</ns0:v>
      </ns0:c>
      <ns0:c r="L913" s="7" t="n">
        <ns0:v>255</ns0:v>
      </ns0:c>
      <ns0:c r="M913" s="7" t="n">
        <ns0:v>-36827.50414023474</ns0:v>
      </ns0:c>
      <ns0:c r="N913" s="7" t="n">
        <ns0:v>-7357.764569840812</ns0:v>
      </ns0:c>
      <ns0:c r="O913" s="7" t="n">
        <ns0:v>24077.68213447053</ns0:v>
      </ns0:c>
      <ns0:c r="P913" s="7" t="n">
        <ns0:v>102666.2988952489</ns0:v>
      </ns0:c>
      <ns0:c r="Q913" s="7" t="n">
        <ns0:v>375020.765938362</ns0:v>
      </ns0:c>
      <ns0:c r="R913" s="7" t="n">
        <ns0:v>1405261.400589259</ns0:v>
      </ns0:c>
    </ns0:row>
    <ns0:row r="914" ht="24" customHeight="1">
      <ns0:c r="A914" s="3" t="inlineStr">
        <ns0:is>
          <ns0:t>セット</ns0:t>
        </ns0:is>
      </ns0:c>
      <ns0:c r="B914" s="3" t="inlineStr">
        <ns0:is>
          <ns0:t>G3三段階</ns0:t>
        </ns0:is>
      </ns0:c>
      <ns0:c r="C914" s="3" t="inlineStr">
        <ns0:is>
          <ns0:t>C</ns0:t>
        </ns0:is>
      </ns0:c>
      <ns0:c r="D914" s="4" t="n">
        <ns0:v>0</ns0:v>
      </ns0:c>
      <ns0:c r="E914" s="4" t="n">
        <ns0:v>1000</ns0:v>
      </ns0:c>
      <ns0:c r="F914" s="6" t="n">
        <ns0:v>0.4</ns0:v>
      </ns0:c>
      <ns0:c r="G914" s="4" t="n">
        <ns0:v>2</ns0:v>
      </ns0:c>
      <ns0:c r="H914" s="7" t="n">
        <ns0:v>5038.322903629537</ns0:v>
      </ns0:c>
      <ns0:c r="I914" s="7" t="n">
        <ns0:v>2511.88986232791</ns0:v>
      </ns0:c>
      <ns0:c r="J914" s="7" t="n">
        <ns0:v>1004.755944931164</ns0:v>
      </ns0:c>
      <ns0:c r="K914" s="18" t="inlineStr">
        <ns0:is>
          <ns0:t>範囲内なし</ns0:t>
        </ns0:is>
      </ns0:c>
      <ns0:c r="L914" s="18" t="inlineStr">
        <ns0:is>
          <ns0:t>範囲内なし</ns0:t>
        </ns0:is>
      </ns0:c>
      <ns0:c r="M914" s="7" t="n">
        <ns0:v>-55950.31270674118</ns0:v>
      </ns0:c>
      <ns0:c r="N914" s="7" t="n">
        <ns0:v>-64726.19026936013</ns0:v>
      </ns0:c>
      <ns0:c r="O914" s="7" t="n">
        <ns0:v>-71536.36069806169</ns0:v>
      </ns0:c>
      <ns0:c r="P914" s="7" t="n">
        <ns0:v>-88561.78676981558</ns0:v>
      </ns0:c>
      <ns0:c r="Q914" s="7" t="n">
        <ns0:v>-198663.4910568313</ns0:v>
      </ns0:c>
      <ns0:c r="R914" s="7" t="n">
        <ns0:v>-507019.4560613856</ns0:v>
      </ns0:c>
    </ns0:row>
    <ns0:row r="915" ht="24" customHeight="1">
      <ns0:c r="A915" s="3" t="inlineStr">
        <ns0:is>
          <ns0:t>セット</ns0:t>
        </ns0:is>
      </ns0:c>
      <ns0:c r="B915" s="3" t="inlineStr">
        <ns0:is>
          <ns0:t>G3三段階</ns0:t>
        </ns0:is>
      </ns0:c>
      <ns0:c r="C915" s="3" t="inlineStr">
        <ns0:is>
          <ns0:t>C</ns0:t>
        </ns0:is>
      </ns0:c>
      <ns0:c r="D915" s="4" t="n">
        <ns0:v>0</ns0:v>
      </ns0:c>
      <ns0:c r="E915" s="4" t="n">
        <ns0:v>1000</ns0:v>
      </ns0:c>
      <ns0:c r="F915" s="6" t="n">
        <ns0:v>0.4</ns0:v>
      </ns0:c>
      <ns0:c r="G915" s="4" t="n">
        <ns0:v>3</ns0:v>
      </ns0:c>
      <ns0:c r="H915" s="7" t="n">
        <ns0:v>5038.322903629537</ns0:v>
      </ns0:c>
      <ns0:c r="I915" s="7" t="n">
        <ns0:v>2511.88986232791</ns0:v>
      </ns0:c>
      <ns0:c r="J915" s="7" t="n">
        <ns0:v>1004.755944931164</ns0:v>
      </ns0:c>
      <ns0:c r="K915" s="7" t="n">
        <ns0:v>136</ns0:v>
      </ns0:c>
      <ns0:c r="L915" s="18" t="inlineStr">
        <ns0:is>
          <ns0:t>範囲内なし</ns0:t>
        </ns0:is>
      </ns0:c>
      <ns0:c r="M915" s="7" t="n">
        <ns0:v>-45396.61104080544</ns0:v>
      </ns0:c>
      <ns0:c r="N915" s="7" t="n">
        <ns0:v>-33065.08527155289</ns0:v>
      </ns0:c>
      <ns0:c r="O915" s="7" t="n">
        <ns0:v>-18767.85236838293</ns0:v>
      </ns0:c>
      <ns0:c r="P915" s="7" t="n">
        <ns0:v>16975.22988954195</ns0:v>
      </ns0:c>
      <ns0:c r="Q915" s="7" t="n">
        <ns0:v>117947.5589212412</ns0:v>
      </ns0:c>
      <ns0:c r="R915" s="7" t="n">
        <ns0:v>548350.7105321892</ns0:v>
      </ns0:c>
    </ns0:row>
    <ns0:row r="916" ht="24" customHeight="1">
      <ns0:c r="A916" s="3" t="inlineStr">
        <ns0:is>
          <ns0:t>セット</ns0:t>
        </ns0:is>
      </ns0:c>
      <ns0:c r="B916" s="3" t="inlineStr">
        <ns0:is>
          <ns0:t>G3三段階</ns0:t>
        </ns0:is>
      </ns0:c>
      <ns0:c r="C916" s="3" t="inlineStr">
        <ns0:is>
          <ns0:t>C</ns0:t>
        </ns0:is>
      </ns0:c>
      <ns0:c r="D916" s="4" t="n">
        <ns0:v>0</ns0:v>
      </ns0:c>
      <ns0:c r="E916" s="4" t="n">
        <ns0:v>1000</ns0:v>
      </ns0:c>
      <ns0:c r="F916" s="6" t="n">
        <ns0:v>0.5</ns0:v>
      </ns0:c>
      <ns0:c r="G916" s="4" t="n">
        <ns0:v>0</ns0:v>
      </ns0:c>
      <ns0:c r="H916" s="7" t="n">
        <ns0:v>5038.322903629537</ns0:v>
      </ns0:c>
      <ns0:c r="I916" s="7" t="n">
        <ns0:v>2511.88986232791</ns0:v>
      </ns0:c>
      <ns0:c r="J916" s="7" t="n">
        <ns0:v>1255.944931163955</ns0:v>
      </ns0:c>
      <ns0:c r="K916" s="7" t="n">
        <ns0:v>33</ns0:v>
      </ns0:c>
      <ns0:c r="L916" s="7" t="n">
        <ns0:v>109</ns0:v>
      </ns0:c>
      <ns0:c r="M916" s="7" t="n">
        <ns0:v>-35620.75359659181</ns0:v>
      </ns0:c>
      <ns0:c r="N916" s="7" t="n">
        <ns0:v>-3737.512938912001</ns0:v>
      </ns0:c>
      <ns0:c r="O916" s="7" t="n">
        <ns0:v>30111.43485268519</ns0:v>
      </ns0:c>
      <ns0:c r="P916" s="7" t="n">
        <ns0:v>114733.8043316782</ns0:v>
      </ns0:c>
      <ns0:c r="Q916" s="7" t="n">
        <ns0:v>411223.28224765</ns0:v>
      </ns0:c>
      <ns0:c r="R916" s="7" t="n">
        <ns0:v>1525936.454953552</ns0:v>
      </ns0:c>
    </ns0:row>
    <ns0:row r="917" ht="24" customHeight="1">
      <ns0:c r="A917" s="3" t="inlineStr">
        <ns0:is>
          <ns0:t>セット</ns0:t>
        </ns0:is>
      </ns0:c>
      <ns0:c r="B917" s="3" t="inlineStr">
        <ns0:is>
          <ns0:t>G3三段階</ns0:t>
        </ns0:is>
      </ns0:c>
      <ns0:c r="C917" s="3" t="inlineStr">
        <ns0:is>
          <ns0:t>C</ns0:t>
        </ns0:is>
      </ns0:c>
      <ns0:c r="D917" s="4" t="n">
        <ns0:v>0</ns0:v>
      </ns0:c>
      <ns0:c r="E917" s="4" t="n">
        <ns0:v>1000</ns0:v>
      </ns0:c>
      <ns0:c r="F917" s="6" t="n">
        <ns0:v>0.5</ns0:v>
      </ns0:c>
      <ns0:c r="G917" s="4" t="n">
        <ns0:v>1</ns0:v>
      </ns0:c>
      <ns0:c r="H917" s="7" t="n">
        <ns0:v>5038.322903629537</ns0:v>
      </ns0:c>
      <ns0:c r="I917" s="7" t="n">
        <ns0:v>2511.88986232791</ns0:v>
      </ns0:c>
      <ns0:c r="J917" s="7" t="n">
        <ns0:v>1255.944931163955</ns0:v>
      </ns0:c>
      <ns0:c r="K917" s="7" t="n">
        <ns0:v>42</ns0:v>
      </ns0:c>
      <ns0:c r="L917" s="7" t="n">
        <ns0:v>584</ns0:v>
      </ns0:c>
      <ns0:c r="M917" s="7" t="n">
        <ns0:v>-39339.39400256265</ns0:v>
      </ns0:c>
      <ns0:c r="N917" s="7" t="n">
        <ns0:v>-14893.43415682453</ns0:v>
      </ns0:c>
      <ns0:c r="O917" s="7" t="n">
        <ns0:v>11518.23282283098</ns0:v>
      </ns0:c>
      <ns0:c r="P917" s="7" t="n">
        <ns0:v>77547.40027196976</ns0:v>
      </ns0:c>
      <ns0:c r="Q917" s="7" t="n">
        <ns0:v>299664.0700685247</ns0:v>
      </ns0:c>
      <ns0:c r="R917" s="7" t="n">
        <ns0:v>1154072.414356468</ns0:v>
      </ns0:c>
    </ns0:row>
    <ns0:row r="918" ht="24" customHeight="1">
      <ns0:c r="A918" s="3" t="inlineStr">
        <ns0:is>
          <ns0:t>セット</ns0:t>
        </ns0:is>
      </ns0:c>
      <ns0:c r="B918" s="3" t="inlineStr">
        <ns0:is>
          <ns0:t>G3三段階</ns0:t>
        </ns0:is>
      </ns0:c>
      <ns0:c r="C918" s="3" t="inlineStr">
        <ns0:is>
          <ns0:t>C</ns0:t>
        </ns0:is>
      </ns0:c>
      <ns0:c r="D918" s="4" t="n">
        <ns0:v>0</ns0:v>
      </ns0:c>
      <ns0:c r="E918" s="4" t="n">
        <ns0:v>1000</ns0:v>
      </ns0:c>
      <ns0:c r="F918" s="6" t="n">
        <ns0:v>0.5</ns0:v>
      </ns0:c>
      <ns0:c r="G918" s="4" t="n">
        <ns0:v>2</ns0:v>
      </ns0:c>
      <ns0:c r="H918" s="7" t="n">
        <ns0:v>5038.322903629537</ns0:v>
      </ns0:c>
      <ns0:c r="I918" s="7" t="n">
        <ns0:v>2511.88986232791</ns0:v>
      </ns0:c>
      <ns0:c r="J918" s="7" t="n">
        <ns0:v>1255.944931163955</ns0:v>
      </ns0:c>
      <ns0:c r="K918" s="18" t="inlineStr">
        <ns0:is>
          <ns0:t>範囲内なし</ns0:t>
        </ns0:is>
      </ns0:c>
      <ns0:c r="L918" s="18" t="inlineStr">
        <ns0:is>
          <ns0:t>範囲内なし</ns0:t>
        </ns0:is>
      </ns0:c>
      <ns0:c r="M918" s="7" t="n">
        <ns0:v>-58462.20256906909</ns0:v>
      </ns0:c>
      <ns0:c r="N918" s="7" t="n">
        <ns0:v>-72261.85985634384</ns0:v>
      </ns0:c>
      <ns0:c r="O918" s="7" t="n">
        <ns0:v>-84095.81000970122</ns0:v>
      </ns0:c>
      <ns0:c r="P918" s="7" t="n">
        <ns0:v>-113680.6853930947</ns0:v>
      </ns0:c>
      <ns0:c r="Q918" s="7" t="n">
        <ns0:v>-274020.1869266686</ns0:v>
      </ns0:c>
      <ns0:c r="R918" s="7" t="n">
        <ns0:v>-758208.4422941762</ns0:v>
      </ns0:c>
    </ns0:row>
    <ns0:row r="919" ht="24" customHeight="1">
      <ns0:c r="A919" s="3" t="inlineStr">
        <ns0:is>
          <ns0:t>セット</ns0:t>
        </ns0:is>
      </ns0:c>
      <ns0:c r="B919" s="3" t="inlineStr">
        <ns0:is>
          <ns0:t>G3三段階</ns0:t>
        </ns0:is>
      </ns0:c>
      <ns0:c r="C919" s="3" t="inlineStr">
        <ns0:is>
          <ns0:t>C</ns0:t>
        </ns0:is>
      </ns0:c>
      <ns0:c r="D919" s="4" t="n">
        <ns0:v>0</ns0:v>
      </ns0:c>
      <ns0:c r="E919" s="4" t="n">
        <ns0:v>1000</ns0:v>
      </ns0:c>
      <ns0:c r="F919" s="6" t="n">
        <ns0:v>0.5</ns0:v>
      </ns0:c>
      <ns0:c r="G919" s="4" t="n">
        <ns0:v>3</ns0:v>
      </ns0:c>
      <ns0:c r="H919" s="7" t="n">
        <ns0:v>5038.322903629537</ns0:v>
      </ns0:c>
      <ns0:c r="I919" s="7" t="n">
        <ns0:v>2511.88986232791</ns0:v>
      </ns0:c>
      <ns0:c r="J919" s="7" t="n">
        <ns0:v>1255.944931163955</ns0:v>
      </ns0:c>
      <ns0:c r="K919" s="7" t="n">
        <ns0:v>209</ns0:v>
      </ns0:c>
      <ns0:c r="L919" s="18" t="inlineStr">
        <ns0:is>
          <ns0:t>範囲内なし</ns0:t>
        </ns0:is>
      </ns0:c>
      <ns0:c r="M919" s="7" t="n">
        <ns0:v>-47908.50090313335</ns0:v>
      </ns0:c>
      <ns0:c r="N919" s="7" t="n">
        <ns0:v>-40600.75485853661</ns0:v>
      </ns0:c>
      <ns0:c r="O919" s="7" t="n">
        <ns0:v>-31327.30168002249</ns0:v>
      </ns0:c>
      <ns0:c r="P919" s="7" t="n">
        <ns0:v>-8143.66873373717</ns0:v>
      </ns0:c>
      <ns0:c r="Q919" s="7" t="n">
        <ns0:v>42590.8630514039</ns0:v>
      </ns0:c>
      <ns0:c r="R919" s="7" t="n">
        <ns0:v>297161.7242993986</ns0:v>
      </ns0:c>
    </ns0:row>
    <ns0:row r="920" ht="24" customHeight="1">
      <ns0:c r="A920" s="3" t="inlineStr">
        <ns0:is>
          <ns0:t>セット</ns0:t>
        </ns0:is>
      </ns0:c>
      <ns0:c r="B920" s="3" t="inlineStr">
        <ns0:is>
          <ns0:t>G3三段階</ns0:t>
        </ns0:is>
      </ns0:c>
      <ns0:c r="C920" s="3" t="inlineStr">
        <ns0:is>
          <ns0:t>C</ns0:t>
        </ns0:is>
      </ns0:c>
      <ns0:c r="D920" s="4" t="n">
        <ns0:v>0</ns0:v>
      </ns0:c>
      <ns0:c r="E920" s="4" t="n">
        <ns0:v>1500</ns0:v>
      </ns0:c>
      <ns0:c r="F920" s="6" t="n">
        <ns0:v>0.3</ns0:v>
      </ns0:c>
      <ns0:c r="G920" s="4" t="n">
        <ns0:v>0</ns0:v>
      </ns0:c>
      <ns0:c r="H920" s="7" t="n">
        <ns0:v>4538.322903629537</ns0:v>
      </ns0:c>
      <ns0:c r="I920" s="7" t="n">
        <ns0:v>2011.88986232791</ns0:v>
      </ns0:c>
      <ns0:c r="J920" s="7" t="n">
        <ns0:v>603.5669586983731</ns0:v>
      </ns0:c>
      <ns0:c r="K920" s="7" t="n">
        <ns0:v>30</ns0:v>
      </ns0:c>
      <ns0:c r="L920" s="7" t="n">
        <ns0:v>61</ns0:v>
      </ns0:c>
      <ns0:c r="M920" s="7" t="n">
        <ns0:v>-33916.97387193599</ns0:v>
      </ns0:c>
      <ns0:c r="N920" s="7" t="n">
        <ns0:v>1373.826235055447</ns0:v>
      </ns0:c>
      <ns0:c r="O920" s="7" t="n">
        <ns0:v>38630.33347596429</ns0:v>
      </ns0:c>
      <ns0:c r="P920" s="7" t="n">
        <ns0:v>131771.6015782364</ns0:v>
      </ns0:c>
      <ns0:c r="Q920" s="7" t="n">
        <ns0:v>462336.6739873246</ns0:v>
      </ns0:c>
      <ns0:c r="R920" s="7" t="n">
        <ns0:v>1696314.427419134</ns0:v>
      </ns0:c>
    </ns0:row>
    <ns0:row r="921" ht="24" customHeight="1">
      <ns0:c r="A921" s="3" t="inlineStr">
        <ns0:is>
          <ns0:t>セット</ns0:t>
        </ns0:is>
      </ns0:c>
      <ns0:c r="B921" s="3" t="inlineStr">
        <ns0:is>
          <ns0:t>G3三段階</ns0:t>
        </ns0:is>
      </ns0:c>
      <ns0:c r="C921" s="3" t="inlineStr">
        <ns0:is>
          <ns0:t>C</ns0:t>
        </ns0:is>
      </ns0:c>
      <ns0:c r="D921" s="4" t="n">
        <ns0:v>0</ns0:v>
      </ns0:c>
      <ns0:c r="E921" s="4" t="n">
        <ns0:v>1500</ns0:v>
      </ns0:c>
      <ns0:c r="F921" s="6" t="n">
        <ns0:v>0.3</ns0:v>
      </ns0:c>
      <ns0:c r="G921" s="4" t="n">
        <ns0:v>1</ns0:v>
      </ns0:c>
      <ns0:c r="H921" s="7" t="n">
        <ns0:v>4538.322903629537</ns0:v>
      </ns0:c>
      <ns0:c r="I921" s="7" t="n">
        <ns0:v>2011.88986232791</ns0:v>
      </ns0:c>
      <ns0:c r="J921" s="7" t="n">
        <ns0:v>603.5669586983731</ns0:v>
      </ns0:c>
      <ns0:c r="K921" s="7" t="n">
        <ns0:v>37</ns0:v>
      </ns0:c>
      <ns0:c r="L921" s="7" t="n">
        <ns0:v>289</ns0:v>
      </ns0:c>
      <ns0:c r="M921" s="7" t="n">
        <ns0:v>-37635.61427790683</ns0:v>
      </ns0:c>
      <ns0:c r="N921" s="7" t="n">
        <ns0:v>-9782.094982857081</ns0:v>
      </ns0:c>
      <ns0:c r="O921" s="7" t="n">
        <ns0:v>20037.13144611008</ns0:v>
      </ns0:c>
      <ns0:c r="P921" s="7" t="n">
        <ns0:v>94585.19751852797</ns0:v>
      </ns0:c>
      <ns0:c r="Q921" s="7" t="n">
        <ns0:v>350777.4618081993</ns0:v>
      </ns0:c>
      <ns0:c r="R921" s="7" t="n">
        <ns0:v>1324450.38682205</ns0:v>
      </ns0:c>
    </ns0:row>
    <ns0:row r="922" ht="24" customHeight="1">
      <ns0:c r="A922" s="3" t="inlineStr">
        <ns0:is>
          <ns0:t>セット</ns0:t>
        </ns0:is>
      </ns0:c>
      <ns0:c r="B922" s="3" t="inlineStr">
        <ns0:is>
          <ns0:t>G3三段階</ns0:t>
        </ns0:is>
      </ns0:c>
      <ns0:c r="C922" s="3" t="inlineStr">
        <ns0:is>
          <ns0:t>C</ns0:t>
        </ns0:is>
      </ns0:c>
      <ns0:c r="D922" s="4" t="n">
        <ns0:v>0</ns0:v>
      </ns0:c>
      <ns0:c r="E922" s="4" t="n">
        <ns0:v>1500</ns0:v>
      </ns0:c>
      <ns0:c r="F922" s="6" t="n">
        <ns0:v>0.3</ns0:v>
      </ns0:c>
      <ns0:c r="G922" s="4" t="n">
        <ns0:v>2</ns0:v>
      </ns0:c>
      <ns0:c r="H922" s="7" t="n">
        <ns0:v>4538.322903629537</ns0:v>
      </ns0:c>
      <ns0:c r="I922" s="7" t="n">
        <ns0:v>2011.88986232791</ns0:v>
      </ns0:c>
      <ns0:c r="J922" s="7" t="n">
        <ns0:v>603.5669586983731</ns0:v>
      </ns0:c>
      <ns0:c r="K922" s="18" t="inlineStr">
        <ns0:is>
          <ns0:t>範囲内なし</ns0:t>
        </ns0:is>
      </ns0:c>
      <ns0:c r="L922" s="18" t="inlineStr">
        <ns0:is>
          <ns0:t>範囲内なし</ns0:t>
        </ns0:is>
      </ns0:c>
      <ns0:c r="M922" s="7" t="n">
        <ns0:v>-56758.42284441328</ns0:v>
      </ns0:c>
      <ns0:c r="N922" s="7" t="n">
        <ns0:v>-67150.5206823764</ns0:v>
      </ns0:c>
      <ns0:c r="O922" s="7" t="n">
        <ns0:v>-75576.91138642213</ns0:v>
      </ns0:c>
      <ns0:c r="P922" s="7" t="n">
        <ns0:v>-96642.88814653645</ns0:v>
      </ns0:c>
      <ns0:c r="Q922" s="7" t="n">
        <ns0:v>-222906.795186994</ns0:v>
      </ns0:c>
      <ns0:c r="R922" s="7" t="n">
        <ns0:v>-587830.4698285947</ns0:v>
      </ns0:c>
    </ns0:row>
    <ns0:row r="923" ht="24" customHeight="1">
      <ns0:c r="A923" s="3" t="inlineStr">
        <ns0:is>
          <ns0:t>セット</ns0:t>
        </ns0:is>
      </ns0:c>
      <ns0:c r="B923" s="3" t="inlineStr">
        <ns0:is>
          <ns0:t>G3三段階</ns0:t>
        </ns0:is>
      </ns0:c>
      <ns0:c r="C923" s="3" t="inlineStr">
        <ns0:is>
          <ns0:t>C</ns0:t>
        </ns0:is>
      </ns0:c>
      <ns0:c r="D923" s="4" t="n">
        <ns0:v>0</ns0:v>
      </ns0:c>
      <ns0:c r="E923" s="4" t="n">
        <ns0:v>1500</ns0:v>
      </ns0:c>
      <ns0:c r="F923" s="6" t="n">
        <ns0:v>0.3</ns0:v>
      </ns0:c>
      <ns0:c r="G923" s="4" t="n">
        <ns0:v>3</ns0:v>
      </ns0:c>
      <ns0:c r="H923" s="7" t="n">
        <ns0:v>4538.322903629537</ns0:v>
      </ns0:c>
      <ns0:c r="I923" s="7" t="n">
        <ns0:v>2011.88986232791</ns0:v>
      </ns0:c>
      <ns0:c r="J923" s="7" t="n">
        <ns0:v>603.5669586983731</ns0:v>
      </ns0:c>
      <ns0:c r="K923" s="7" t="n">
        <ns0:v>153</ns0:v>
      </ns0:c>
      <ns0:c r="L923" s="18" t="inlineStr">
        <ns0:is>
          <ns0:t>範囲内なし</ns0:t>
        </ns0:is>
      </ns0:c>
      <ns0:c r="M923" s="7" t="n">
        <ns0:v>-46204.72117847753</ns0:v>
      </ns0:c>
      <ns0:c r="N923" s="7" t="n">
        <ns0:v>-35489.41568456916</ns0:v>
      </ns0:c>
      <ns0:c r="O923" s="7" t="n">
        <ns0:v>-22808.40305674337</ns0:v>
      </ns0:c>
      <ns0:c r="P923" s="7" t="n">
        <ns0:v>8894.128512821044</ns0:v>
      </ns0:c>
      <ns0:c r="Q923" s="7" t="n">
        <ns0:v>93704.25479107848</ns0:v>
      </ns0:c>
      <ns0:c r="R923" s="7" t="n">
        <ns0:v>467539.6967649802</ns0:v>
      </ns0:c>
    </ns0:row>
    <ns0:row r="924" ht="24" customHeight="1">
      <ns0:c r="A924" s="3" t="inlineStr">
        <ns0:is>
          <ns0:t>セット</ns0:t>
        </ns0:is>
      </ns0:c>
      <ns0:c r="B924" s="3" t="inlineStr">
        <ns0:is>
          <ns0:t>G3三段階</ns0:t>
        </ns0:is>
      </ns0:c>
      <ns0:c r="C924" s="3" t="inlineStr">
        <ns0:is>
          <ns0:t>C</ns0:t>
        </ns0:is>
      </ns0:c>
      <ns0:c r="D924" s="4" t="n">
        <ns0:v>0</ns0:v>
      </ns0:c>
      <ns0:c r="E924" s="4" t="n">
        <ns0:v>1500</ns0:v>
      </ns0:c>
      <ns0:c r="F924" s="6" t="n">
        <ns0:v>0.4</ns0:v>
      </ns0:c>
      <ns0:c r="G924" s="4" t="n">
        <ns0:v>0</ns0:v>
      </ns0:c>
      <ns0:c r="H924" s="7" t="n">
        <ns0:v>4538.322903629537</ns0:v>
      </ns0:c>
      <ns0:c r="I924" s="7" t="n">
        <ns0:v>2011.88986232791</ns0:v>
      </ns0:c>
      <ns0:c r="J924" s="7" t="n">
        <ns0:v>804.7559449311643</ns0:v>
      </ns0:c>
      <ns0:c r="K924" s="7" t="n">
        <ns0:v>33</ns0:v>
      </ns0:c>
      <ns0:c r="L924" s="7" t="n">
        <ns0:v>111</ns0:v>
      </ns0:c>
      <ns0:c r="M924" s="7" t="n">
        <ns0:v>-35928.8637342639</ns0:v>
      </ns0:c>
      <ns0:c r="N924" s="7" t="n">
        <ns0:v>-4661.843351928288</ns0:v>
      </ns0:c>
      <ns0:c r="O924" s="7" t="n">
        <ns0:v>28570.88416432473</ns0:v>
      </ns0:c>
      <ns0:c r="P924" s="7" t="n">
        <ns0:v>111652.7029549573</ns0:v>
      </ns0:c>
      <ns0:c r="Q924" s="7" t="n">
        <ns0:v>401979.9781174872</ns0:v>
      </ns0:c>
      <ns0:c r="R924" s="7" t="n">
        <ns0:v>1495125.441186343</ns0:v>
      </ns0:c>
    </ns0:row>
    <ns0:row r="925" ht="24" customHeight="1">
      <ns0:c r="A925" s="3" t="inlineStr">
        <ns0:is>
          <ns0:t>セット</ns0:t>
        </ns0:is>
      </ns0:c>
      <ns0:c r="B925" s="3" t="inlineStr">
        <ns0:is>
          <ns0:t>G3三段階</ns0:t>
        </ns0:is>
      </ns0:c>
      <ns0:c r="C925" s="3" t="inlineStr">
        <ns0:is>
          <ns0:t>C</ns0:t>
        </ns0:is>
      </ns0:c>
      <ns0:c r="D925" s="4" t="n">
        <ns0:v>0</ns0:v>
      </ns0:c>
      <ns0:c r="E925" s="4" t="n">
        <ns0:v>1500</ns0:v>
      </ns0:c>
      <ns0:c r="F925" s="6" t="n">
        <ns0:v>0.4</ns0:v>
      </ns0:c>
      <ns0:c r="G925" s="4" t="n">
        <ns0:v>1</ns0:v>
      </ns0:c>
      <ns0:c r="H925" s="7" t="n">
        <ns0:v>4538.322903629537</ns0:v>
      </ns0:c>
      <ns0:c r="I925" s="7" t="n">
        <ns0:v>2011.88986232791</ns0:v>
      </ns0:c>
      <ns0:c r="J925" s="7" t="n">
        <ns0:v>804.7559449311643</ns0:v>
      </ns0:c>
      <ns0:c r="K925" s="7" t="n">
        <ns0:v>43</ns0:v>
      </ns0:c>
      <ns0:c r="L925" s="7" t="n">
        <ns0:v>631</ns0:v>
      </ns0:c>
      <ns0:c r="M925" s="7" t="n">
        <ns0:v>-39647.50414023474</ns0:v>
      </ns0:c>
      <ns0:c r="N925" s="7" t="n">
        <ns0:v>-15817.76456984081</ns0:v>
      </ns0:c>
      <ns0:c r="O925" s="7" t="n">
        <ns0:v>9977.682134470524</ns0:v>
      </ns0:c>
      <ns0:c r="P925" s="7" t="n">
        <ns0:v>74466.29889524885</ns0:v>
      </ns0:c>
      <ns0:c r="Q925" s="7" t="n">
        <ns0:v>290420.7659383619</ns0:v>
      </ns0:c>
      <ns0:c r="R925" s="7" t="n">
        <ns0:v>1123261.400589259</ns0:v>
      </ns0:c>
    </ns0:row>
    <ns0:row r="926" ht="24" customHeight="1">
      <ns0:c r="A926" s="3" t="inlineStr">
        <ns0:is>
          <ns0:t>セット</ns0:t>
        </ns0:is>
      </ns0:c>
      <ns0:c r="B926" s="3" t="inlineStr">
        <ns0:is>
          <ns0:t>G3三段階</ns0:t>
        </ns0:is>
      </ns0:c>
      <ns0:c r="C926" s="3" t="inlineStr">
        <ns0:is>
          <ns0:t>C</ns0:t>
        </ns0:is>
      </ns0:c>
      <ns0:c r="D926" s="4" t="n">
        <ns0:v>0</ns0:v>
      </ns0:c>
      <ns0:c r="E926" s="4" t="n">
        <ns0:v>1500</ns0:v>
      </ns0:c>
      <ns0:c r="F926" s="6" t="n">
        <ns0:v>0.4</ns0:v>
      </ns0:c>
      <ns0:c r="G926" s="4" t="n">
        <ns0:v>2</ns0:v>
      </ns0:c>
      <ns0:c r="H926" s="7" t="n">
        <ns0:v>4538.322903629537</ns0:v>
      </ns0:c>
      <ns0:c r="I926" s="7" t="n">
        <ns0:v>2011.88986232791</ns0:v>
      </ns0:c>
      <ns0:c r="J926" s="7" t="n">
        <ns0:v>804.7559449311643</ns0:v>
      </ns0:c>
      <ns0:c r="K926" s="18" t="inlineStr">
        <ns0:is>
          <ns0:t>範囲内なし</ns0:t>
        </ns0:is>
      </ns0:c>
      <ns0:c r="L926" s="18" t="inlineStr">
        <ns0:is>
          <ns0:t>範囲内なし</ns0:t>
        </ns0:is>
      </ns0:c>
      <ns0:c r="M926" s="7" t="n">
        <ns0:v>-58770.31270674118</ns0:v>
      </ns0:c>
      <ns0:c r="N926" s="7" t="n">
        <ns0:v>-73186.19026936014</ns0:v>
      </ns0:c>
      <ns0:c r="O926" s="7" t="n">
        <ns0:v>-85636.36069806169</ns0:v>
      </ns0:c>
      <ns0:c r="P926" s="7" t="n">
        <ns0:v>-116761.7867698156</ns0:v>
      </ns0:c>
      <ns0:c r="Q926" s="7" t="n">
        <ns0:v>-283263.4910568314</ns0:v>
      </ns0:c>
      <ns0:c r="R926" s="7" t="n">
        <ns0:v>-789019.4560613858</ns0:v>
      </ns0:c>
    </ns0:row>
    <ns0:row r="927" ht="24" customHeight="1">
      <ns0:c r="A927" s="3" t="inlineStr">
        <ns0:is>
          <ns0:t>セット</ns0:t>
        </ns0:is>
      </ns0:c>
      <ns0:c r="B927" s="3" t="inlineStr">
        <ns0:is>
          <ns0:t>G3三段階</ns0:t>
        </ns0:is>
      </ns0:c>
      <ns0:c r="C927" s="3" t="inlineStr">
        <ns0:is>
          <ns0:t>C</ns0:t>
        </ns0:is>
      </ns0:c>
      <ns0:c r="D927" s="4" t="n">
        <ns0:v>0</ns0:v>
      </ns0:c>
      <ns0:c r="E927" s="4" t="n">
        <ns0:v>1500</ns0:v>
      </ns0:c>
      <ns0:c r="F927" s="6" t="n">
        <ns0:v>0.4</ns0:v>
      </ns0:c>
      <ns0:c r="G927" s="4" t="n">
        <ns0:v>3</ns0:v>
      </ns0:c>
      <ns0:c r="H927" s="7" t="n">
        <ns0:v>4538.322903629537</ns0:v>
      </ns0:c>
      <ns0:c r="I927" s="7" t="n">
        <ns0:v>2011.88986232791</ns0:v>
      </ns0:c>
      <ns0:c r="J927" s="7" t="n">
        <ns0:v>804.7559449311643</ns0:v>
      </ns0:c>
      <ns0:c r="K927" s="7" t="n">
        <ns0:v>223</ns0:v>
      </ns0:c>
      <ns0:c r="L927" s="18" t="inlineStr">
        <ns0:is>
          <ns0:t>範囲内なし</ns0:t>
        </ns0:is>
      </ns0:c>
      <ns0:c r="M927" s="7" t="n">
        <ns0:v>-48216.61104080544</ns0:v>
      </ns0:c>
      <ns0:c r="N927" s="7" t="n">
        <ns0:v>-41525.08527155289</ns0:v>
      </ns0:c>
      <ns0:c r="O927" s="7" t="n">
        <ns0:v>-32867.85236838293</ns0:v>
      </ns0:c>
      <ns0:c r="P927" s="7" t="n">
        <ns0:v>-11224.77011045808</ns0:v>
      </ns0:c>
      <ns0:c r="Q927" s="7" t="n">
        <ns0:v>33347.55892124114</ns0:v>
      </ns0:c>
      <ns0:c r="R927" s="7" t="n">
        <ns0:v>266350.7105321891</ns0:v>
      </ns0:c>
    </ns0:row>
    <ns0:row r="928" ht="24" customHeight="1">
      <ns0:c r="A928" s="3" t="inlineStr">
        <ns0:is>
          <ns0:t>セット</ns0:t>
        </ns0:is>
      </ns0:c>
      <ns0:c r="B928" s="3" t="inlineStr">
        <ns0:is>
          <ns0:t>G3三段階</ns0:t>
        </ns0:is>
      </ns0:c>
      <ns0:c r="C928" s="3" t="inlineStr">
        <ns0:is>
          <ns0:t>C</ns0:t>
        </ns0:is>
      </ns0:c>
      <ns0:c r="D928" s="4" t="n">
        <ns0:v>0</ns0:v>
      </ns0:c>
      <ns0:c r="E928" s="4" t="n">
        <ns0:v>1500</ns0:v>
      </ns0:c>
      <ns0:c r="F928" s="6" t="n">
        <ns0:v>0.5</ns0:v>
      </ns0:c>
      <ns0:c r="G928" s="4" t="n">
        <ns0:v>0</ns0:v>
      </ns0:c>
      <ns0:c r="H928" s="7" t="n">
        <ns0:v>4538.322903629537</ns0:v>
      </ns0:c>
      <ns0:c r="I928" s="7" t="n">
        <ns0:v>2011.88986232791</ns0:v>
      </ns0:c>
      <ns0:c r="J928" s="7" t="n">
        <ns0:v>1005.944931163955</ns0:v>
      </ns0:c>
      <ns0:c r="K928" s="7" t="n">
        <ns0:v>38</ns0:v>
      </ns0:c>
      <ns0:c r="L928" s="7" t="n">
        <ns0:v>126</ns0:v>
      </ns0:c>
      <ns0:c r="M928" s="7" t="n">
        <ns0:v>-37940.75359659181</ns0:v>
      </ns0:c>
      <ns0:c r="N928" s="7" t="n">
        <ns0:v>-10697.51293891202</ns0:v>
      </ns0:c>
      <ns0:c r="O928" s="7" t="n">
        <ns0:v>18511.4348526852</ns0:v>
      </ns0:c>
      <ns0:c r="P928" s="7" t="n">
        <ns0:v>91533.8043316782</ns0:v>
      </ns0:c>
      <ns0:c r="Q928" s="7" t="n">
        <ns0:v>341623.2822476499</ns0:v>
      </ns0:c>
      <ns0:c r="R928" s="7" t="n">
        <ns0:v>1293936.454953552</ns0:v>
      </ns0:c>
    </ns0:row>
    <ns0:row r="929" ht="24" customHeight="1">
      <ns0:c r="A929" s="3" t="inlineStr">
        <ns0:is>
          <ns0:t>セット</ns0:t>
        </ns0:is>
      </ns0:c>
      <ns0:c r="B929" s="3" t="inlineStr">
        <ns0:is>
          <ns0:t>G3三段階</ns0:t>
        </ns0:is>
      </ns0:c>
      <ns0:c r="C929" s="3" t="inlineStr">
        <ns0:is>
          <ns0:t>C</ns0:t>
        </ns0:is>
      </ns0:c>
      <ns0:c r="D929" s="4" t="n">
        <ns0:v>0</ns0:v>
      </ns0:c>
      <ns0:c r="E929" s="4" t="n">
        <ns0:v>1500</ns0:v>
      </ns0:c>
      <ns0:c r="F929" s="6" t="n">
        <ns0:v>0.5</ns0:v>
      </ns0:c>
      <ns0:c r="G929" s="4" t="n">
        <ns0:v>1</ns0:v>
      </ns0:c>
      <ns0:c r="H929" s="7" t="n">
        <ns0:v>4538.322903629537</ns0:v>
      </ns0:c>
      <ns0:c r="I929" s="7" t="n">
        <ns0:v>2011.88986232791</ns0:v>
      </ns0:c>
      <ns0:c r="J929" s="7" t="n">
        <ns0:v>1005.944931163955</ns0:v>
      </ns0:c>
      <ns0:c r="K929" s="7" t="n">
        <ns0:v>51</ns0:v>
      </ns0:c>
      <ns0:c r="L929" s="18" t="inlineStr">
        <ns0:is>
          <ns0:t>範囲内なし</ns0:t>
        </ns0:is>
      </ns0:c>
      <ns0:c r="M929" s="7" t="n">
        <ns0:v>-41659.39400256266</ns0:v>
      </ns0:c>
      <ns0:c r="N929" s="7" t="n">
        <ns0:v>-21853.43415682454</ns0:v>
      </ns0:c>
      <ns0:c r="O929" s="7" t="n">
        <ns0:v>-81.76717716900748</ns0:v>
      </ns0:c>
      <ns0:c r="P929" s="7" t="n">
        <ns0:v>54347.40027196978</ns0:v>
      </ns0:c>
      <ns0:c r="Q929" s="7" t="n">
        <ns0:v>230064.0700685246</ns0:v>
      </ns0:c>
      <ns0:c r="R929" s="7" t="n">
        <ns0:v>922072.4143564678</ns0:v>
      </ns0:c>
    </ns0:row>
    <ns0:row r="930" ht="24" customHeight="1">
      <ns0:c r="A930" s="3" t="inlineStr">
        <ns0:is>
          <ns0:t>セット</ns0:t>
        </ns0:is>
      </ns0:c>
      <ns0:c r="B930" s="3" t="inlineStr">
        <ns0:is>
          <ns0:t>G3三段階</ns0:t>
        </ns0:is>
      </ns0:c>
      <ns0:c r="C930" s="3" t="inlineStr">
        <ns0:is>
          <ns0:t>C</ns0:t>
        </ns0:is>
      </ns0:c>
      <ns0:c r="D930" s="4" t="n">
        <ns0:v>0</ns0:v>
      </ns0:c>
      <ns0:c r="E930" s="4" t="n">
        <ns0:v>1500</ns0:v>
      </ns0:c>
      <ns0:c r="F930" s="6" t="n">
        <ns0:v>0.5</ns0:v>
      </ns0:c>
      <ns0:c r="G930" s="4" t="n">
        <ns0:v>2</ns0:v>
      </ns0:c>
      <ns0:c r="H930" s="7" t="n">
        <ns0:v>4538.322903629537</ns0:v>
      </ns0:c>
      <ns0:c r="I930" s="7" t="n">
        <ns0:v>2011.88986232791</ns0:v>
      </ns0:c>
      <ns0:c r="J930" s="7" t="n">
        <ns0:v>1005.944931163955</ns0:v>
      </ns0:c>
      <ns0:c r="K930" s="18" t="inlineStr">
        <ns0:is>
          <ns0:t>範囲内なし</ns0:t>
        </ns0:is>
      </ns0:c>
      <ns0:c r="L930" s="18" t="inlineStr">
        <ns0:is>
          <ns0:t>範囲内なし</ns0:t>
        </ns0:is>
      </ns0:c>
      <ns0:c r="M930" s="7" t="n">
        <ns0:v>-60782.2025690691</ns0:v>
      </ns0:c>
      <ns0:c r="N930" s="7" t="n">
        <ns0:v>-79221.85985634386</ns0:v>
      </ns0:c>
      <ns0:c r="O930" s="7" t="n">
        <ns0:v>-95695.81000970122</ns0:v>
      </ns0:c>
      <ns0:c r="P930" s="7" t="n">
        <ns0:v>-136880.6853930946</ns0:v>
      </ns0:c>
      <ns0:c r="Q930" s="7" t="n">
        <ns0:v>-343620.1869266687</ns0:v>
      </ns0:c>
      <ns0:c r="R930" s="7" t="n">
        <ns0:v>-990208.4422941767</ns0:v>
      </ns0:c>
    </ns0:row>
    <ns0:row r="931" ht="24" customHeight="1">
      <ns0:c r="A931" s="3" t="inlineStr">
        <ns0:is>
          <ns0:t>セット</ns0:t>
        </ns0:is>
      </ns0:c>
      <ns0:c r="B931" s="3" t="inlineStr">
        <ns0:is>
          <ns0:t>G3三段階</ns0:t>
        </ns0:is>
      </ns0:c>
      <ns0:c r="C931" s="3" t="inlineStr">
        <ns0:is>
          <ns0:t>C</ns0:t>
        </ns0:is>
      </ns0:c>
      <ns0:c r="D931" s="4" t="n">
        <ns0:v>0</ns0:v>
      </ns0:c>
      <ns0:c r="E931" s="4" t="n">
        <ns0:v>1500</ns0:v>
      </ns0:c>
      <ns0:c r="F931" s="6" t="n">
        <ns0:v>0.5</ns0:v>
      </ns0:c>
      <ns0:c r="G931" s="4" t="n">
        <ns0:v>3</ns0:v>
      </ns0:c>
      <ns0:c r="H931" s="7" t="n">
        <ns0:v>4538.322903629537</ns0:v>
      </ns0:c>
      <ns0:c r="I931" s="7" t="n">
        <ns0:v>2011.88986232791</ns0:v>
      </ns0:c>
      <ns0:c r="J931" s="7" t="n">
        <ns0:v>1005.944931163955</ns0:v>
      </ns0:c>
      <ns0:c r="K931" s="7" t="n">
        <ns0:v>719</ns0:v>
      </ns0:c>
      <ns0:c r="L931" s="18" t="inlineStr">
        <ns0:is>
          <ns0:t>範囲内なし</ns0:t>
        </ns0:is>
      </ns0:c>
      <ns0:c r="M931" s="7" t="n">
        <ns0:v>-50228.50090313335</ns0:v>
      </ns0:c>
      <ns0:c r="N931" s="7" t="n">
        <ns0:v>-47560.75485853662</ns0:v>
      </ns0:c>
      <ns0:c r="O931" s="7" t="n">
        <ns0:v>-42927.30168002246</ns0:v>
      </ns0:c>
      <ns0:c r="P931" s="7" t="n">
        <ns0:v>-31343.66873373714</ns0:v>
      </ns0:c>
      <ns0:c r="Q931" s="7" t="n">
        <ns0:v>-27009.13694859622</ns0:v>
      </ns0:c>
      <ns0:c r="R931" s="7" t="n">
        <ns0:v>65161.72429939825</ns0:v>
      </ns0:c>
    </ns0:row>
    <ns0:row r="932" ht="24" customHeight="1">
      <ns0:c r="A932" s="3" t="inlineStr">
        <ns0:is>
          <ns0:t>セット</ns0:t>
        </ns0:is>
      </ns0:c>
      <ns0:c r="B932" s="3" t="inlineStr">
        <ns0:is>
          <ns0:t>G3三段階</ns0:t>
        </ns0:is>
      </ns0:c>
      <ns0:c r="C932" s="3" t="inlineStr">
        <ns0:is>
          <ns0:t>C</ns0:t>
        </ns0:is>
      </ns0:c>
      <ns0:c r="D932" s="4" t="n">
        <ns0:v>1</ns0:v>
      </ns0:c>
      <ns0:c r="E932" s="4" t="n">
        <ns0:v>500</ns0:v>
      </ns0:c>
      <ns0:c r="F932" s="6" t="n">
        <ns0:v>0.3</ns0:v>
      </ns0:c>
      <ns0:c r="G932" s="4" t="n">
        <ns0:v>0</ns0:v>
      </ns0:c>
      <ns0:c r="H932" s="7" t="n">
        <ns0:v>7515.921787709496</ns0:v>
      </ns0:c>
      <ns0:c r="I932" s="7" t="n">
        <ns0:v>3470.670391061452</ns0:v>
      </ns0:c>
      <ns0:c r="J932" s="7" t="n">
        <ns0:v>1041.201117318436</ns0:v>
      </ns0:c>
      <ns0:c r="K932" s="7" t="n">
        <ns0:v>15</ns0:v>
      </ns0:c>
      <ns0:c r="L932" s="7" t="n">
        <ns0:v>22</ns0:v>
      </ns0:c>
      <ns0:c r="M932" s="7" t="n">
        <ns0:v>-10189.17908204592</ns0:v>
      </ns0:c>
      <ns0:c r="N932" s="7" t="n">
        <ns0:v>59897.90742547229</ns0:v>
      </ns0:c>
      <ns0:c r="O932" s="7" t="n">
        <ns0:v>136170.4687933257</ns0:v>
      </ns0:c>
      <ns0:c r="P932" s="7" t="n">
        <ns0:v>326851.8722129592</ns0:v>
      </ns0:c>
      <ns0:c r="Q932" s="7" t="n">
        <ns0:v>1047577.485891493</ns0:v>
      </ns0:c>
      <ns0:c r="R932" s="7" t="n">
        <ns0:v>3647117.133766362</ns0:v>
      </ns0:c>
    </ns0:row>
    <ns0:row r="933" ht="24" customHeight="1">
      <ns0:c r="A933" s="3" t="inlineStr">
        <ns0:is>
          <ns0:t>セット</ns0:t>
        </ns0:is>
      </ns0:c>
      <ns0:c r="B933" s="3" t="inlineStr">
        <ns0:is>
          <ns0:t>G3三段階</ns0:t>
        </ns0:is>
      </ns0:c>
      <ns0:c r="C933" s="3" t="inlineStr">
        <ns0:is>
          <ns0:t>C</ns0:t>
        </ns0:is>
      </ns0:c>
      <ns0:c r="D933" s="4" t="n">
        <ns0:v>1</ns0:v>
      </ns0:c>
      <ns0:c r="E933" s="4" t="n">
        <ns0:v>500</ns0:v>
      </ns0:c>
      <ns0:c r="F933" s="6" t="n">
        <ns0:v>0.3</ns0:v>
      </ns0:c>
      <ns0:c r="G933" s="4" t="n">
        <ns0:v>1</ns0:v>
      </ns0:c>
      <ns0:c r="H933" s="7" t="n">
        <ns0:v>7515.921787709496</ns0:v>
      </ns0:c>
      <ns0:c r="I933" s="7" t="n">
        <ns0:v>3470.670391061452</ns0:v>
      </ns0:c>
      <ns0:c r="J933" s="7" t="n">
        <ns0:v>1041.201117318436</ns0:v>
      </ns0:c>
      <ns0:c r="K933" s="7" t="n">
        <ns0:v>17</ns0:v>
      </ns0:c>
      <ns0:c r="L933" s="7" t="n">
        <ns0:v>30</ns0:v>
      </ns0:c>
      <ns0:c r="M933" s="7" t="n">
        <ns0:v>-14512.68528704999</ns0:v>
      </ns0:c>
      <ns0:c r="N933" s="7" t="n">
        <ns0:v>46927.38881046009</ns0:v>
      </ns0:c>
      <ns0:c r="O933" s="7" t="n">
        <ns0:v>114552.9377683053</ns0:v>
      </ns0:c>
      <ns0:c r="P933" s="7" t="n">
        <ns0:v>283616.8101629184</ns0:v>
      </ns0:c>
      <ns0:c r="Q933" s="7" t="n">
        <ns0:v>917872.2997413708</ns0:v>
      </ns0:c>
      <ns0:c r="R933" s="7" t="n">
        <ns0:v>3214766.513265954</ns0:v>
      </ns0:c>
    </ns0:row>
    <ns0:row r="934" ht="24" customHeight="1">
      <ns0:c r="A934" s="3" t="inlineStr">
        <ns0:is>
          <ns0:t>セット</ns0:t>
        </ns0:is>
      </ns0:c>
      <ns0:c r="B934" s="3" t="inlineStr">
        <ns0:is>
          <ns0:t>G3三段階</ns0:t>
        </ns0:is>
      </ns0:c>
      <ns0:c r="C934" s="3" t="inlineStr">
        <ns0:is>
          <ns0:t>C</ns0:t>
        </ns0:is>
      </ns0:c>
      <ns0:c r="D934" s="4" t="n">
        <ns0:v>1</ns0:v>
      </ns0:c>
      <ns0:c r="E934" s="4" t="n">
        <ns0:v>500</ns0:v>
      </ns0:c>
      <ns0:c r="F934" s="6" t="n">
        <ns0:v>0.3</ns0:v>
      </ns0:c>
      <ns0:c r="G934" s="4" t="n">
        <ns0:v>2</ns0:v>
      </ns0:c>
      <ns0:c r="H934" s="7" t="n">
        <ns0:v>7515.921787709496</ns0:v>
      </ns0:c>
      <ns0:c r="I934" s="7" t="n">
        <ns0:v>3470.670391061452</ns0:v>
      </ns0:c>
      <ns0:c r="J934" s="7" t="n">
        <ns0:v>1041.201117318436</ns0:v>
      </ns0:c>
      <ns0:c r="K934" s="18" t="inlineStr">
        <ns0:is>
          <ns0:t>範囲内なし</ns0:t>
        </ns0:is>
      </ns0:c>
      <ns0:c r="L934" s="18" t="inlineStr">
        <ns0:is>
          <ns0:t>範囲内なし</ns0:t>
        </ns0:is>
      </ns0:c>
      <ns0:c r="M934" s="7" t="n">
        <ns0:v>-51096.38925062324</ns0:v>
      </ns0:c>
      <ns0:c r="N934" s="7" t="n">
        <ns0:v>-62823.72308025971</ns0:v>
      </ns0:c>
      <ns0:c r="O934" s="7" t="n">
        <ns0:v>-68365.58204956095</ns0:v>
      </ns0:c>
      <ns0:c r="P934" s="7" t="n">
        <ns0:v>-82220.2294728141</ns0:v>
      </ns0:c>
      <ns0:c r="Q934" s="7" t="n">
        <ns0:v>-179638.8191658268</ns0:v>
      </ns0:c>
      <ns0:c r="R934" s="7" t="n">
        <ns0:v>-443603.8830913715</ns0:v>
      </ns0:c>
    </ns0:row>
    <ns0:row r="935" ht="24" customHeight="1">
      <ns0:c r="A935" s="3" t="inlineStr">
        <ns0:is>
          <ns0:t>セット</ns0:t>
        </ns0:is>
      </ns0:c>
      <ns0:c r="B935" s="3" t="inlineStr">
        <ns0:is>
          <ns0:t>G3三段階</ns0:t>
        </ns0:is>
      </ns0:c>
      <ns0:c r="C935" s="3" t="inlineStr">
        <ns0:is>
          <ns0:t>C</ns0:t>
        </ns0:is>
      </ns0:c>
      <ns0:c r="D935" s="4" t="n">
        <ns0:v>1</ns0:v>
      </ns0:c>
      <ns0:c r="E935" s="4" t="n">
        <ns0:v>500</ns0:v>
      </ns0:c>
      <ns0:c r="F935" s="6" t="n">
        <ns0:v>0.3</ns0:v>
      </ns0:c>
      <ns0:c r="G935" s="4" t="n">
        <ns0:v>3</ns0:v>
      </ns0:c>
      <ns0:c r="H935" s="7" t="n">
        <ns0:v>7515.921787709496</ns0:v>
      </ns0:c>
      <ns0:c r="I935" s="7" t="n">
        <ns0:v>3470.670391061452</ns0:v>
      </ns0:c>
      <ns0:c r="J935" s="7" t="n">
        <ns0:v>1041.201117318436</ns0:v>
      </ns0:c>
      <ns0:c r="K935" s="7" t="n">
        <ns0:v>23</ns0:v>
      </ns0:c>
      <ns0:c r="L935" s="7" t="n">
        <ns0:v>245</ns0:v>
      </ns0:c>
      <ns0:c r="M935" s="7" t="n">
        <ns0:v>-23975.19208758272</ns0:v>
      </ns0:c>
      <ns0:c r="N935" s="7" t="n">
        <ns0:v>18539.86840886189</ns0:v>
      </ns0:c>
      <ns0:c r="O935" s="7" t="n">
        <ns0:v>67240.40376564165</ns0:v>
      </ns0:c>
      <ns0:c r="P935" s="7" t="n">
        <ns0:v>188991.7421575911</ns0:v>
      </ns0:c>
      <ns0:c r="Q935" s="7" t="n">
        <ns0:v>633997.095725389</ns0:v>
      </ns0:c>
      <ns0:c r="R935" s="7" t="n">
        <ns0:v>2268515.833212681</ns0:v>
      </ns0:c>
    </ns0:row>
    <ns0:row r="936" ht="24" customHeight="1">
      <ns0:c r="A936" s="3" t="inlineStr">
        <ns0:is>
          <ns0:t>セット</ns0:t>
        </ns0:is>
      </ns0:c>
      <ns0:c r="B936" s="3" t="inlineStr">
        <ns0:is>
          <ns0:t>G3三段階</ns0:t>
        </ns0:is>
      </ns0:c>
      <ns0:c r="C936" s="3" t="inlineStr">
        <ns0:is>
          <ns0:t>C</ns0:t>
        </ns0:is>
      </ns0:c>
      <ns0:c r="D936" s="4" t="n">
        <ns0:v>1</ns0:v>
      </ns0:c>
      <ns0:c r="E936" s="4" t="n">
        <ns0:v>500</ns0:v>
      </ns0:c>
      <ns0:c r="F936" s="6" t="n">
        <ns0:v>0.4</ns0:v>
      </ns0:c>
      <ns0:c r="G936" s="4" t="n">
        <ns0:v>0</ns0:v>
      </ns0:c>
      <ns0:c r="H936" s="7" t="n">
        <ns0:v>7515.921787709496</ns0:v>
      </ns0:c>
      <ns0:c r="I936" s="7" t="n">
        <ns0:v>3470.670391061452</ns0:v>
      </ns0:c>
      <ns0:c r="J936" s="7" t="n">
        <ns0:v>1388.268156424581</ns0:v>
      </ns0:c>
      <ns0:c r="K936" s="7" t="n">
        <ns0:v>16</ns0:v>
      </ns0:c>
      <ns0:c r="L936" s="7" t="n">
        <ns0:v>24</ns0:v>
      </ns0:c>
      <ns0:c r="M936" s="7" t="n">
        <ns0:v>-13659.84947310737</ns0:v>
      </ns0:c>
      <ns0:c r="N936" s="7" t="n">
        <ns0:v>49485.89625228794</ns0:v>
      </ns0:c>
      <ns0:c r="O936" s="7" t="n">
        <ns0:v>118817.1168380184</ns0:v>
      </ns0:c>
      <ns0:c r="P936" s="7" t="n">
        <ns0:v>292145.1683023446</ns0:v>
      </ns0:c>
      <ns0:c r="Q936" s="7" t="n">
        <ns0:v>943457.3741596495</ns0:v>
      </ns0:c>
      <ns0:c r="R936" s="7" t="n">
        <ns0:v>3300050.094660216</ns0:v>
      </ns0:c>
    </ns0:row>
    <ns0:row r="937" ht="24" customHeight="1">
      <ns0:c r="A937" s="3" t="inlineStr">
        <ns0:is>
          <ns0:t>セット</ns0:t>
        </ns0:is>
      </ns0:c>
      <ns0:c r="B937" s="3" t="inlineStr">
        <ns0:is>
          <ns0:t>G3三段階</ns0:t>
        </ns0:is>
      </ns0:c>
      <ns0:c r="C937" s="3" t="inlineStr">
        <ns0:is>
          <ns0:t>C</ns0:t>
        </ns0:is>
      </ns0:c>
      <ns0:c r="D937" s="4" t="n">
        <ns0:v>1</ns0:v>
      </ns0:c>
      <ns0:c r="E937" s="4" t="n">
        <ns0:v>500</ns0:v>
      </ns0:c>
      <ns0:c r="F937" s="6" t="n">
        <ns0:v>0.4</ns0:v>
      </ns0:c>
      <ns0:c r="G937" s="4" t="n">
        <ns0:v>1</ns0:v>
      </ns0:c>
      <ns0:c r="H937" s="7" t="n">
        <ns0:v>7515.921787709496</ns0:v>
      </ns0:c>
      <ns0:c r="I937" s="7" t="n">
        <ns0:v>3470.670391061452</ns0:v>
      </ns0:c>
      <ns0:c r="J937" s="7" t="n">
        <ns0:v>1388.268156424581</ns0:v>
      </ns0:c>
      <ns0:c r="K937" s="7" t="n">
        <ns0:v>18</ns0:v>
      </ns0:c>
      <ns0:c r="L937" s="7" t="n">
        <ns0:v>33</ns0:v>
      </ns0:c>
      <ns0:c r="M937" s="7" t="n">
        <ns0:v>-17983.35567811145</ns0:v>
      </ns0:c>
      <ns0:c r="N937" s="7" t="n">
        <ns0:v>36515.37763727574</ns0:v>
      </ns0:c>
      <ns0:c r="O937" s="7" t="n">
        <ns0:v>97199.58581299806</ns0:v>
      </ns0:c>
      <ns0:c r="P937" s="7" t="n">
        <ns0:v>248910.1062523039</ns0:v>
      </ns0:c>
      <ns0:c r="Q937" s="7" t="n">
        <ns0:v>813752.1880095273</ns0:v>
      </ns0:c>
      <ns0:c r="R937" s="7" t="n">
        <ns0:v>2867699.474159809</ns0:v>
      </ns0:c>
    </ns0:row>
    <ns0:row r="938" ht="24" customHeight="1">
      <ns0:c r="A938" s="3" t="inlineStr">
        <ns0:is>
          <ns0:t>セット</ns0:t>
        </ns0:is>
      </ns0:c>
      <ns0:c r="B938" s="3" t="inlineStr">
        <ns0:is>
          <ns0:t>G3三段階</ns0:t>
        </ns0:is>
      </ns0:c>
      <ns0:c r="C938" s="3" t="inlineStr">
        <ns0:is>
          <ns0:t>C</ns0:t>
        </ns0:is>
      </ns0:c>
      <ns0:c r="D938" s="4" t="n">
        <ns0:v>1</ns0:v>
      </ns0:c>
      <ns0:c r="E938" s="4" t="n">
        <ns0:v>500</ns0:v>
      </ns0:c>
      <ns0:c r="F938" s="6" t="n">
        <ns0:v>0.4</ns0:v>
      </ns0:c>
      <ns0:c r="G938" s="4" t="n">
        <ns0:v>2</ns0:v>
      </ns0:c>
      <ns0:c r="H938" s="7" t="n">
        <ns0:v>7515.921787709496</ns0:v>
      </ns0:c>
      <ns0:c r="I938" s="7" t="n">
        <ns0:v>3470.670391061452</ns0:v>
      </ns0:c>
      <ns0:c r="J938" s="7" t="n">
        <ns0:v>1388.268156424581</ns0:v>
      </ns0:c>
      <ns0:c r="K938" s="18" t="inlineStr">
        <ns0:is>
          <ns0:t>範囲内なし</ns0:t>
        </ns0:is>
      </ns0:c>
      <ns0:c r="L938" s="18" t="inlineStr">
        <ns0:is>
          <ns0:t>範囲内なし</ns0:t>
        </ns0:is>
      </ns0:c>
      <ns0:c r="M938" s="7" t="n">
        <ns0:v>-54567.0596416847</ns0:v>
      </ns0:c>
      <ns0:c r="N938" s="7" t="n">
        <ns0:v>-73235.73425344407</ns0:v>
      </ns0:c>
      <ns0:c r="O938" s="7" t="n">
        <ns0:v>-85718.93400486822</ns0:v>
      </ns0:c>
      <ns0:c r="P938" s="7" t="n">
        <ns0:v>-116926.9333834286</ns0:v>
      </ns0:c>
      <ns0:c r="Q938" s="7" t="n">
        <ns0:v>-283758.9308976703</ns0:v>
      </ns0:c>
      <ns0:c r="R938" s="7" t="n">
        <ns0:v>-790670.922197517</ns0:v>
      </ns0:c>
    </ns0:row>
    <ns0:row r="939" ht="24" customHeight="1">
      <ns0:c r="A939" s="3" t="inlineStr">
        <ns0:is>
          <ns0:t>セット</ns0:t>
        </ns0:is>
      </ns0:c>
      <ns0:c r="B939" s="3" t="inlineStr">
        <ns0:is>
          <ns0:t>G3三段階</ns0:t>
        </ns0:is>
      </ns0:c>
      <ns0:c r="C939" s="3" t="inlineStr">
        <ns0:is>
          <ns0:t>C</ns0:t>
        </ns0:is>
      </ns0:c>
      <ns0:c r="D939" s="4" t="n">
        <ns0:v>1</ns0:v>
      </ns0:c>
      <ns0:c r="E939" s="4" t="n">
        <ns0:v>500</ns0:v>
      </ns0:c>
      <ns0:c r="F939" s="6" t="n">
        <ns0:v>0.4</ns0:v>
      </ns0:c>
      <ns0:c r="G939" s="4" t="n">
        <ns0:v>3</ns0:v>
      </ns0:c>
      <ns0:c r="H939" s="7" t="n">
        <ns0:v>7515.921787709496</ns0:v>
      </ns0:c>
      <ns0:c r="I939" s="7" t="n">
        <ns0:v>3470.670391061452</ns0:v>
      </ns0:c>
      <ns0:c r="J939" s="7" t="n">
        <ns0:v>1388.268156424581</ns0:v>
      </ns0:c>
      <ns0:c r="K939" s="7" t="n">
        <ns0:v>27</ns0:v>
      </ns0:c>
      <ns0:c r="L939" s="7" t="n">
        <ns0:v>744</ns0:v>
      </ns0:c>
      <ns0:c r="M939" s="7" t="n">
        <ns0:v>-27445.86247864418</ns0:v>
      </ns0:c>
      <ns0:c r="N939" s="7" t="n">
        <ns0:v>8127.85723567754</ns0:v>
      </ns0:c>
      <ns0:c r="O939" s="7" t="n">
        <ns0:v>49887.05181033439</ns0:v>
      </ns0:c>
      <ns0:c r="P939" s="7" t="n">
        <ns0:v>154285.0382469766</ns0:v>
      </ns0:c>
      <ns0:c r="Q939" s="7" t="n">
        <ns0:v>529876.9839935454</ns0:v>
      </ns0:c>
      <ns0:c r="R939" s="7" t="n">
        <ns0:v>1921448.794106535</ns0:v>
      </ns0:c>
    </ns0:row>
    <ns0:row r="940" ht="24" customHeight="1">
      <ns0:c r="A940" s="3" t="inlineStr">
        <ns0:is>
          <ns0:t>セット</ns0:t>
        </ns0:is>
      </ns0:c>
      <ns0:c r="B940" s="3" t="inlineStr">
        <ns0:is>
          <ns0:t>G3三段階</ns0:t>
        </ns0:is>
      </ns0:c>
      <ns0:c r="C940" s="3" t="inlineStr">
        <ns0:is>
          <ns0:t>C</ns0:t>
        </ns0:is>
      </ns0:c>
      <ns0:c r="D940" s="4" t="n">
        <ns0:v>1</ns0:v>
      </ns0:c>
      <ns0:c r="E940" s="4" t="n">
        <ns0:v>500</ns0:v>
      </ns0:c>
      <ns0:c r="F940" s="6" t="n">
        <ns0:v>0.5</ns0:v>
      </ns0:c>
      <ns0:c r="G940" s="4" t="n">
        <ns0:v>0</ns0:v>
      </ns0:c>
      <ns0:c r="H940" s="7" t="n">
        <ns0:v>7515.921787709496</ns0:v>
      </ns0:c>
      <ns0:c r="I940" s="7" t="n">
        <ns0:v>3470.670391061452</ns0:v>
      </ns0:c>
      <ns0:c r="J940" s="7" t="n">
        <ns0:v>1735.335195530726</ns0:v>
      </ns0:c>
      <ns0:c r="K940" s="7" t="n">
        <ns0:v>18</ns0:v>
      </ns0:c>
      <ns0:c r="L940" s="7" t="n">
        <ns0:v>26</ns0:v>
      </ns0:c>
      <ns0:c r="M940" s="7" t="n">
        <ns0:v>-17130.51986416882</ns0:v>
      </ns0:c>
      <ns0:c r="N940" s="7" t="n">
        <ns0:v>39073.88507910357</ns0:v>
      </ns0:c>
      <ns0:c r="O940" s="7" t="n">
        <ns0:v>101463.7648827112</ns0:v>
      </ns0:c>
      <ns0:c r="P940" s="7" t="n">
        <ns0:v>257438.4643917301</ns0:v>
      </ns0:c>
      <ns0:c r="Q940" s="7" t="n">
        <ns0:v>839337.2624278059</ns0:v>
      </ns0:c>
      <ns0:c r="R940" s="7" t="n">
        <ns0:v>2952983.055554071</ns0:v>
      </ns0:c>
    </ns0:row>
    <ns0:row r="941" ht="24" customHeight="1">
      <ns0:c r="A941" s="3" t="inlineStr">
        <ns0:is>
          <ns0:t>セット</ns0:t>
        </ns0:is>
      </ns0:c>
      <ns0:c r="B941" s="3" t="inlineStr">
        <ns0:is>
          <ns0:t>G3三段階</ns0:t>
        </ns0:is>
      </ns0:c>
      <ns0:c r="C941" s="3" t="inlineStr">
        <ns0:is>
          <ns0:t>C</ns0:t>
        </ns0:is>
      </ns0:c>
      <ns0:c r="D941" s="4" t="n">
        <ns0:v>1</ns0:v>
      </ns0:c>
      <ns0:c r="E941" s="4" t="n">
        <ns0:v>500</ns0:v>
      </ns0:c>
      <ns0:c r="F941" s="6" t="n">
        <ns0:v>0.5</ns0:v>
      </ns0:c>
      <ns0:c r="G941" s="4" t="n">
        <ns0:v>1</ns0:v>
      </ns0:c>
      <ns0:c r="H941" s="7" t="n">
        <ns0:v>7515.921787709496</ns0:v>
      </ns0:c>
      <ns0:c r="I941" s="7" t="n">
        <ns0:v>3470.670391061452</ns0:v>
      </ns0:c>
      <ns0:c r="J941" s="7" t="n">
        <ns0:v>1735.335195530726</ns0:v>
      </ns0:c>
      <ns0:c r="K941" s="7" t="n">
        <ns0:v>21</ns0:v>
      </ns0:c>
      <ns0:c r="L941" s="7" t="n">
        <ns0:v>37</ns0:v>
      </ns0:c>
      <ns0:c r="M941" s="7" t="n">
        <ns0:v>-21454.02606917289</ns0:v>
      </ns0:c>
      <ns0:c r="N941" s="7" t="n">
        <ns0:v>26103.36646409136</ns0:v>
      </ns0:c>
      <ns0:c r="O941" s="7" t="n">
        <ns0:v>79846.23385769079</ns0:v>
      </ns0:c>
      <ns0:c r="P941" s="7" t="n">
        <ns0:v>214203.4023416894</ns0:v>
      </ns0:c>
      <ns0:c r="Q941" s="7" t="n">
        <ns0:v>709632.0762776837</ns0:v>
      </ns0:c>
      <ns0:c r="R941" s="7" t="n">
        <ns0:v>2520632.435053664</ns0:v>
      </ns0:c>
    </ns0:row>
    <ns0:row r="942" ht="24" customHeight="1">
      <ns0:c r="A942" s="3" t="inlineStr">
        <ns0:is>
          <ns0:t>セット</ns0:t>
        </ns0:is>
      </ns0:c>
      <ns0:c r="B942" s="3" t="inlineStr">
        <ns0:is>
          <ns0:t>G3三段階</ns0:t>
        </ns0:is>
      </ns0:c>
      <ns0:c r="C942" s="3" t="inlineStr">
        <ns0:is>
          <ns0:t>C</ns0:t>
        </ns0:is>
      </ns0:c>
      <ns0:c r="D942" s="4" t="n">
        <ns0:v>1</ns0:v>
      </ns0:c>
      <ns0:c r="E942" s="4" t="n">
        <ns0:v>500</ns0:v>
      </ns0:c>
      <ns0:c r="F942" s="6" t="n">
        <ns0:v>0.5</ns0:v>
      </ns0:c>
      <ns0:c r="G942" s="4" t="n">
        <ns0:v>2</ns0:v>
      </ns0:c>
      <ns0:c r="H942" s="7" t="n">
        <ns0:v>7515.921787709496</ns0:v>
      </ns0:c>
      <ns0:c r="I942" s="7" t="n">
        <ns0:v>3470.670391061452</ns0:v>
      </ns0:c>
      <ns0:c r="J942" s="7" t="n">
        <ns0:v>1735.335195530726</ns0:v>
      </ns0:c>
      <ns0:c r="K942" s="18" t="inlineStr">
        <ns0:is>
          <ns0:t>範囲内なし</ns0:t>
        </ns0:is>
      </ns0:c>
      <ns0:c r="L942" s="18" t="inlineStr">
        <ns0:is>
          <ns0:t>範囲内なし</ns0:t>
        </ns0:is>
      </ns0:c>
      <ns0:c r="M942" s="7" t="n">
        <ns0:v>-58037.73003274615</ns0:v>
      </ns0:c>
      <ns0:c r="N942" s="7" t="n">
        <ns0:v>-83647.74542662845</ns0:v>
      </ns0:c>
      <ns0:c r="O942" s="7" t="n">
        <ns0:v>-103072.2859601755</ns0:v>
      </ns0:c>
      <ns0:c r="P942" s="7" t="n">
        <ns0:v>-151633.6372940432</ns0:v>
      </ns0:c>
      <ns0:c r="Q942" s="7" t="n">
        <ns0:v>-387879.0426295139</ns0:v>
      </ns0:c>
      <ns0:c r="R942" s="7" t="n">
        <ns0:v>-1137737.961303662</ns0:v>
      </ns0:c>
    </ns0:row>
    <ns0:row r="943" ht="24" customHeight="1">
      <ns0:c r="A943" s="3" t="inlineStr">
        <ns0:is>
          <ns0:t>セット</ns0:t>
        </ns0:is>
      </ns0:c>
      <ns0:c r="B943" s="3" t="inlineStr">
        <ns0:is>
          <ns0:t>G3三段階</ns0:t>
        </ns0:is>
      </ns0:c>
      <ns0:c r="C943" s="3" t="inlineStr">
        <ns0:is>
          <ns0:t>C</ns0:t>
        </ns0:is>
      </ns0:c>
      <ns0:c r="D943" s="4" t="n">
        <ns0:v>1</ns0:v>
      </ns0:c>
      <ns0:c r="E943" s="4" t="n">
        <ns0:v>500</ns0:v>
      </ns0:c>
      <ns0:c r="F943" s="6" t="n">
        <ns0:v>0.5</ns0:v>
      </ns0:c>
      <ns0:c r="G943" s="4" t="n">
        <ns0:v>3</ns0:v>
      </ns0:c>
      <ns0:c r="H943" s="7" t="n">
        <ns0:v>7515.921787709496</ns0:v>
      </ns0:c>
      <ns0:c r="I943" s="7" t="n">
        <ns0:v>3470.670391061452</ns0:v>
      </ns0:c>
      <ns0:c r="J943" s="7" t="n">
        <ns0:v>1735.335195530726</ns0:v>
      </ns0:c>
      <ns0:c r="K943" s="7" t="n">
        <ns0:v>32</ns0:v>
      </ns0:c>
      <ns0:c r="L943" s="18" t="inlineStr">
        <ns0:is>
          <ns0:t>範囲内なし</ns0:t>
        </ns0:is>
      </ns0:c>
      <ns0:c r="M943" s="7" t="n">
        <ns0:v>-30916.53286970562</ns0:v>
      </ns0:c>
      <ns0:c r="N943" s="7" t="n">
        <ns0:v>-2284.153937506839</ns0:v>
      </ns0:c>
      <ns0:c r="O943" s="7" t="n">
        <ns0:v>32533.69985502713</ns0:v>
      </ns0:c>
      <ns0:c r="P943" s="7" t="n">
        <ns0:v>119578.3343363621</ns0:v>
      </ns0:c>
      <ns0:c r="Q943" s="7" t="n">
        <ns0:v>425756.8722617018</ns0:v>
      </ns0:c>
      <ns0:c r="R943" s="7" t="n">
        <ns0:v>1574381.755000391</ns0:v>
      </ns0:c>
    </ns0:row>
    <ns0:row r="944" ht="24" customHeight="1">
      <ns0:c r="A944" s="3" t="inlineStr">
        <ns0:is>
          <ns0:t>セット</ns0:t>
        </ns0:is>
      </ns0:c>
      <ns0:c r="B944" s="3" t="inlineStr">
        <ns0:is>
          <ns0:t>G3三段階</ns0:t>
        </ns0:is>
      </ns0:c>
      <ns0:c r="C944" s="3" t="inlineStr">
        <ns0:is>
          <ns0:t>C</ns0:t>
        </ns0:is>
      </ns0:c>
      <ns0:c r="D944" s="4" t="n">
        <ns0:v>1</ns0:v>
      </ns0:c>
      <ns0:c r="E944" s="4" t="n">
        <ns0:v>1000</ns0:v>
      </ns0:c>
      <ns0:c r="F944" s="6" t="n">
        <ns0:v>0.3</ns0:v>
      </ns0:c>
      <ns0:c r="G944" s="4" t="n">
        <ns0:v>0</ns0:v>
      </ns0:c>
      <ns0:c r="H944" s="7" t="n">
        <ns0:v>7015.921787709496</ns0:v>
      </ns0:c>
      <ns0:c r="I944" s="7" t="n">
        <ns0:v>2970.670391061452</ns0:v>
      </ns0:c>
      <ns0:c r="J944" s="7" t="n">
        <ns0:v>891.2011173184355</ns0:v>
      </ns0:c>
      <ns0:c r="K944" s="7" t="n">
        <ns0:v>16</ns0:v>
      </ns0:c>
      <ns0:c r="L944" s="7" t="n">
        <ns0:v>23</ns0:v>
      </ns0:c>
      <ns0:c r="M944" s="7" t="n">
        <ns0:v>-13509.17908204592</ns0:v>
      </ns0:c>
      <ns0:c r="N944" s="7" t="n">
        <ns0:v>49937.90742547227</ns0:v>
      </ns0:c>
      <ns0:c r="O944" s="7" t="n">
        <ns0:v>119570.4687933257</ns0:v>
      </ns0:c>
      <ns0:c r="P944" s="7" t="n">
        <ns0:v>293651.8722129592</ns0:v>
      </ns0:c>
      <ns0:c r="Q944" s="7" t="n">
        <ns0:v>947977.4858914928</ns0:v>
      </ns0:c>
      <ns0:c r="R944" s="7" t="n">
        <ns0:v>3315117.133766361</ns0:v>
      </ns0:c>
    </ns0:row>
    <ns0:row r="945" ht="24" customHeight="1">
      <ns0:c r="A945" s="3" t="inlineStr">
        <ns0:is>
          <ns0:t>セット</ns0:t>
        </ns0:is>
      </ns0:c>
      <ns0:c r="B945" s="3" t="inlineStr">
        <ns0:is>
          <ns0:t>G3三段階</ns0:t>
        </ns0:is>
      </ns0:c>
      <ns0:c r="C945" s="3" t="inlineStr">
        <ns0:is>
          <ns0:t>C</ns0:t>
        </ns0:is>
      </ns0:c>
      <ns0:c r="D945" s="4" t="n">
        <ns0:v>1</ns0:v>
      </ns0:c>
      <ns0:c r="E945" s="4" t="n">
        <ns0:v>1000</ns0:v>
      </ns0:c>
      <ns0:c r="F945" s="6" t="n">
        <ns0:v>0.3</ns0:v>
      </ns0:c>
      <ns0:c r="G945" s="4" t="n">
        <ns0:v>1</ns0:v>
      </ns0:c>
      <ns0:c r="H945" s="7" t="n">
        <ns0:v>7015.921787709496</ns0:v>
      </ns0:c>
      <ns0:c r="I945" s="7" t="n">
        <ns0:v>2970.670391061452</ns0:v>
      </ns0:c>
      <ns0:c r="J945" s="7" t="n">
        <ns0:v>891.2011173184355</ns0:v>
      </ns0:c>
      <ns0:c r="K945" s="7" t="n">
        <ns0:v>18</ns0:v>
      </ns0:c>
      <ns0:c r="L945" s="7" t="n">
        <ns0:v>33</ns0:v>
      </ns0:c>
      <ns0:c r="M945" s="7" t="n">
        <ns0:v>-17832.68528704999</ns0:v>
      </ns0:c>
      <ns0:c r="N945" s="7" t="n">
        <ns0:v>36967.38881046005</ns0:v>
      </ns0:c>
      <ns0:c r="O945" s="7" t="n">
        <ns0:v>97952.93776830533</ns0:v>
      </ns0:c>
      <ns0:c r="P945" s="7" t="n">
        <ns0:v>250416.8101629184</ns0:v>
      </ns0:c>
      <ns0:c r="Q945" s="7" t="n">
        <ns0:v>818272.2997413706</ns0:v>
      </ns0:c>
      <ns0:c r="R945" s="7" t="n">
        <ns0:v>2882766.513265954</ns0:v>
      </ns0:c>
    </ns0:row>
    <ns0:row r="946" ht="24" customHeight="1">
      <ns0:c r="A946" s="3" t="inlineStr">
        <ns0:is>
          <ns0:t>セット</ns0:t>
        </ns0:is>
      </ns0:c>
      <ns0:c r="B946" s="3" t="inlineStr">
        <ns0:is>
          <ns0:t>G3三段階</ns0:t>
        </ns0:is>
      </ns0:c>
      <ns0:c r="C946" s="3" t="inlineStr">
        <ns0:is>
          <ns0:t>C</ns0:t>
        </ns0:is>
      </ns0:c>
      <ns0:c r="D946" s="4" t="n">
        <ns0:v>1</ns0:v>
      </ns0:c>
      <ns0:c r="E946" s="4" t="n">
        <ns0:v>1000</ns0:v>
      </ns0:c>
      <ns0:c r="F946" s="6" t="n">
        <ns0:v>0.3</ns0:v>
      </ns0:c>
      <ns0:c r="G946" s="4" t="n">
        <ns0:v>2</ns0:v>
      </ns0:c>
      <ns0:c r="H946" s="7" t="n">
        <ns0:v>7015.921787709496</ns0:v>
      </ns0:c>
      <ns0:c r="I946" s="7" t="n">
        <ns0:v>2970.670391061452</ns0:v>
      </ns0:c>
      <ns0:c r="J946" s="7" t="n">
        <ns0:v>891.2011173184355</ns0:v>
      </ns0:c>
      <ns0:c r="K946" s="18" t="inlineStr">
        <ns0:is>
          <ns0:t>範囲内なし</ns0:t>
        </ns0:is>
      </ns0:c>
      <ns0:c r="L946" s="18" t="inlineStr">
        <ns0:is>
          <ns0:t>範囲内なし</ns0:t>
        </ns0:is>
      </ns0:c>
      <ns0:c r="M946" s="7" t="n">
        <ns0:v>-54416.38925062325</ns0:v>
      </ns0:c>
      <ns0:c r="N946" s="7" t="n">
        <ns0:v>-72783.72308025975</ns0:v>
      </ns0:c>
      <ns0:c r="O946" s="7" t="n">
        <ns0:v>-84965.58204956095</ns0:v>
      </ns0:c>
      <ns0:c r="P946" s="7" t="n">
        <ns0:v>-115420.2294728141</ns0:v>
      </ns0:c>
      <ns0:c r="Q946" s="7" t="n">
        <ns0:v>-279238.819165827</ns0:v>
      </ns0:c>
      <ns0:c r="R946" s="7" t="n">
        <ns0:v>-775603.8830913715</ns0:v>
      </ns0:c>
    </ns0:row>
    <ns0:row r="947" ht="24" customHeight="1">
      <ns0:c r="A947" s="3" t="inlineStr">
        <ns0:is>
          <ns0:t>セット</ns0:t>
        </ns0:is>
      </ns0:c>
      <ns0:c r="B947" s="3" t="inlineStr">
        <ns0:is>
          <ns0:t>G3三段階</ns0:t>
        </ns0:is>
      </ns0:c>
      <ns0:c r="C947" s="3" t="inlineStr">
        <ns0:is>
          <ns0:t>C</ns0:t>
        </ns0:is>
      </ns0:c>
      <ns0:c r="D947" s="4" t="n">
        <ns0:v>1</ns0:v>
      </ns0:c>
      <ns0:c r="E947" s="4" t="n">
        <ns0:v>1000</ns0:v>
      </ns0:c>
      <ns0:c r="F947" s="6" t="n">
        <ns0:v>0.3</ns0:v>
      </ns0:c>
      <ns0:c r="G947" s="4" t="n">
        <ns0:v>3</ns0:v>
      </ns0:c>
      <ns0:c r="H947" s="7" t="n">
        <ns0:v>7015.921787709496</ns0:v>
      </ns0:c>
      <ns0:c r="I947" s="7" t="n">
        <ns0:v>2970.670391061452</ns0:v>
      </ns0:c>
      <ns0:c r="J947" s="7" t="n">
        <ns0:v>891.2011173184355</ns0:v>
      </ns0:c>
      <ns0:c r="K947" s="7" t="n">
        <ns0:v>26</ns0:v>
      </ns0:c>
      <ns0:c r="L947" s="7" t="n">
        <ns0:v>703</ns0:v>
      </ns0:c>
      <ns0:c r="M947" s="7" t="n">
        <ns0:v>-27295.19208758273</ns0:v>
      </ns0:c>
      <ns0:c r="N947" s="7" t="n">
        <ns0:v>8579.868408861847</ns0:v>
      </ns0:c>
      <ns0:c r="O947" s="7" t="n">
        <ns0:v>50640.40376564165</ns0:v>
      </ns0:c>
      <ns0:c r="P947" s="7" t="n">
        <ns0:v>155791.7421575911</ns0:v>
      </ns0:c>
      <ns0:c r="Q947" s="7" t="n">
        <ns0:v>534397.0957253887</ns0:v>
      </ns0:c>
      <ns0:c r="R947" s="7" t="n">
        <ns0:v>1936515.833212681</ns0:v>
      </ns0:c>
    </ns0:row>
    <ns0:row r="948" ht="24" customHeight="1">
      <ns0:c r="A948" s="3" t="inlineStr">
        <ns0:is>
          <ns0:t>セット</ns0:t>
        </ns0:is>
      </ns0:c>
      <ns0:c r="B948" s="3" t="inlineStr">
        <ns0:is>
          <ns0:t>G3三段階</ns0:t>
        </ns0:is>
      </ns0:c>
      <ns0:c r="C948" s="3" t="inlineStr">
        <ns0:is>
          <ns0:t>C</ns0:t>
        </ns0:is>
      </ns0:c>
      <ns0:c r="D948" s="4" t="n">
        <ns0:v>1</ns0:v>
      </ns0:c>
      <ns0:c r="E948" s="4" t="n">
        <ns0:v>1000</ns0:v>
      </ns0:c>
      <ns0:c r="F948" s="6" t="n">
        <ns0:v>0.4</ns0:v>
      </ns0:c>
      <ns0:c r="G948" s="4" t="n">
        <ns0:v>0</ns0:v>
      </ns0:c>
      <ns0:c r="H948" s="7" t="n">
        <ns0:v>7015.921787709496</ns0:v>
      </ns0:c>
      <ns0:c r="I948" s="7" t="n">
        <ns0:v>2970.670391061452</ns0:v>
      </ns0:c>
      <ns0:c r="J948" s="7" t="n">
        <ns0:v>1188.268156424581</ns0:v>
      </ns0:c>
      <ns0:c r="K948" s="7" t="n">
        <ns0:v>18</ns0:v>
      </ns0:c>
      <ns0:c r="L948" s="7" t="n">
        <ns0:v>25</ns0:v>
      </ns0:c>
      <ns0:c r="M948" s="7" t="n">
        <ns0:v>-16479.84947310737</ns0:v>
      </ns0:c>
      <ns0:c r="N948" s="7" t="n">
        <ns0:v>41025.89625228793</ns0:v>
      </ns0:c>
      <ns0:c r="O948" s="7" t="n">
        <ns0:v>104717.1168380184</ns0:v>
      </ns0:c>
      <ns0:c r="P948" s="7" t="n">
        <ns0:v>263945.1683023446</ns0:v>
      </ns0:c>
      <ns0:c r="Q948" s="7" t="n">
        <ns0:v>858857.3741596492</ns0:v>
      </ns0:c>
      <ns0:c r="R948" s="7" t="n">
        <ns0:v>3018050.094660215</ns0:v>
      </ns0:c>
    </ns0:row>
    <ns0:row r="949" ht="24" customHeight="1">
      <ns0:c r="A949" s="3" t="inlineStr">
        <ns0:is>
          <ns0:t>セット</ns0:t>
        </ns0:is>
      </ns0:c>
      <ns0:c r="B949" s="3" t="inlineStr">
        <ns0:is>
          <ns0:t>G3三段階</ns0:t>
        </ns0:is>
      </ns0:c>
      <ns0:c r="C949" s="3" t="inlineStr">
        <ns0:is>
          <ns0:t>C</ns0:t>
        </ns0:is>
      </ns0:c>
      <ns0:c r="D949" s="4" t="n">
        <ns0:v>1</ns0:v>
      </ns0:c>
      <ns0:c r="E949" s="4" t="n">
        <ns0:v>1000</ns0:v>
      </ns0:c>
      <ns0:c r="F949" s="6" t="n">
        <ns0:v>0.4</ns0:v>
      </ns0:c>
      <ns0:c r="G949" s="4" t="n">
        <ns0:v>1</ns0:v>
      </ns0:c>
      <ns0:c r="H949" s="7" t="n">
        <ns0:v>7015.921787709496</ns0:v>
      </ns0:c>
      <ns0:c r="I949" s="7" t="n">
        <ns0:v>2970.670391061452</ns0:v>
      </ns0:c>
      <ns0:c r="J949" s="7" t="n">
        <ns0:v>1188.268156424581</ns0:v>
      </ns0:c>
      <ns0:c r="K949" s="7" t="n">
        <ns0:v>20</ns0:v>
      </ns0:c>
      <ns0:c r="L949" s="7" t="n">
        <ns0:v>36</ns0:v>
      </ns0:c>
      <ns0:c r="M949" s="7" t="n">
        <ns0:v>-20803.35567811145</ns0:v>
      </ns0:c>
      <ns0:c r="N949" s="7" t="n">
        <ns0:v>28055.37763727572</ns0:v>
      </ns0:c>
      <ns0:c r="O949" s="7" t="n">
        <ns0:v>83099.58581299803</ns0:v>
      </ns0:c>
      <ns0:c r="P949" s="7" t="n">
        <ns0:v>220710.1062523038</ns0:v>
      </ns0:c>
      <ns0:c r="Q949" s="7" t="n">
        <ns0:v>729152.188009527</ns0:v>
      </ns0:c>
      <ns0:c r="R949" s="7" t="n">
        <ns0:v>2585699.474159808</ns0:v>
      </ns0:c>
    </ns0:row>
    <ns0:row r="950" ht="24" customHeight="1">
      <ns0:c r="A950" s="3" t="inlineStr">
        <ns0:is>
          <ns0:t>セット</ns0:t>
        </ns0:is>
      </ns0:c>
      <ns0:c r="B950" s="3" t="inlineStr">
        <ns0:is>
          <ns0:t>G3三段階</ns0:t>
        </ns0:is>
      </ns0:c>
      <ns0:c r="C950" s="3" t="inlineStr">
        <ns0:is>
          <ns0:t>C</ns0:t>
        </ns0:is>
      </ns0:c>
      <ns0:c r="D950" s="4" t="n">
        <ns0:v>1</ns0:v>
      </ns0:c>
      <ns0:c r="E950" s="4" t="n">
        <ns0:v>1000</ns0:v>
      </ns0:c>
      <ns0:c r="F950" s="6" t="n">
        <ns0:v>0.4</ns0:v>
      </ns0:c>
      <ns0:c r="G950" s="4" t="n">
        <ns0:v>2</ns0:v>
      </ns0:c>
      <ns0:c r="H950" s="7" t="n">
        <ns0:v>7015.921787709496</ns0:v>
      </ns0:c>
      <ns0:c r="I950" s="7" t="n">
        <ns0:v>2970.670391061452</ns0:v>
      </ns0:c>
      <ns0:c r="J950" s="7" t="n">
        <ns0:v>1188.268156424581</ns0:v>
      </ns0:c>
      <ns0:c r="K950" s="18" t="inlineStr">
        <ns0:is>
          <ns0:t>範囲内なし</ns0:t>
        </ns0:is>
      </ns0:c>
      <ns0:c r="L950" s="18" t="inlineStr">
        <ns0:is>
          <ns0:t>範囲内なし</ns0:t>
        </ns0:is>
      </ns0:c>
      <ns0:c r="M950" s="7" t="n">
        <ns0:v>-57387.0596416847</ns0:v>
      </ns0:c>
      <ns0:c r="N950" s="7" t="n">
        <ns0:v>-81695.73425344407</ns0:v>
      </ns0:c>
      <ns0:c r="O950" s="7" t="n">
        <ns0:v>-99818.93400486828</ns0:v>
      </ns0:c>
      <ns0:c r="P950" s="7" t="n">
        <ns0:v>-145126.9333834288</ns0:v>
      </ns0:c>
      <ns0:c r="Q950" s="7" t="n">
        <ns0:v>-368358.9308976706</ns0:v>
      </ns0:c>
      <ns0:c r="R950" s="7" t="n">
        <ns0:v>-1072670.922197517</ns0:v>
      </ns0:c>
    </ns0:row>
    <ns0:row r="951" ht="24" customHeight="1">
      <ns0:c r="A951" s="3" t="inlineStr">
        <ns0:is>
          <ns0:t>セット</ns0:t>
        </ns0:is>
      </ns0:c>
      <ns0:c r="B951" s="3" t="inlineStr">
        <ns0:is>
          <ns0:t>G3三段階</ns0:t>
        </ns0:is>
      </ns0:c>
      <ns0:c r="C951" s="3" t="inlineStr">
        <ns0:is>
          <ns0:t>C</ns0:t>
        </ns0:is>
      </ns0:c>
      <ns0:c r="D951" s="4" t="n">
        <ns0:v>1</ns0:v>
      </ns0:c>
      <ns0:c r="E951" s="4" t="n">
        <ns0:v>1000</ns0:v>
      </ns0:c>
      <ns0:c r="F951" s="6" t="n">
        <ns0:v>0.4</ns0:v>
      </ns0:c>
      <ns0:c r="G951" s="4" t="n">
        <ns0:v>3</ns0:v>
      </ns0:c>
      <ns0:c r="H951" s="7" t="n">
        <ns0:v>7015.921787709496</ns0:v>
      </ns0:c>
      <ns0:c r="I951" s="7" t="n">
        <ns0:v>2970.670391061452</ns0:v>
      </ns0:c>
      <ns0:c r="J951" s="7" t="n">
        <ns0:v>1188.268156424581</ns0:v>
      </ns0:c>
      <ns0:c r="K951" s="7" t="n">
        <ns0:v>31</ns0:v>
      </ns0:c>
      <ns0:c r="L951" s="18" t="inlineStr">
        <ns0:is>
          <ns0:t>範囲内なし</ns0:t>
        </ns0:is>
      </ns0:c>
      <ns0:c r="M951" s="7" t="n">
        <ns0:v>-30265.86247864418</ns0:v>
      </ns0:c>
      <ns0:c r="N951" s="7" t="n">
        <ns0:v>-332.1427643224888</ns0:v>
      </ns0:c>
      <ns0:c r="O951" s="7" t="n">
        <ns0:v>35787.05181033436</ns0:v>
      </ns0:c>
      <ns0:c r="P951" s="7" t="n">
        <ns0:v>126085.0382469765</ns0:v>
      </ns0:c>
      <ns0:c r="Q951" s="7" t="n">
        <ns0:v>445276.9839935451</ns0:v>
      </ns0:c>
      <ns0:c r="R951" s="7" t="n">
        <ns0:v>1639448.794106535</ns0:v>
      </ns0:c>
    </ns0:row>
    <ns0:row r="952" ht="24" customHeight="1">
      <ns0:c r="A952" s="3" t="inlineStr">
        <ns0:is>
          <ns0:t>セット</ns0:t>
        </ns0:is>
      </ns0:c>
      <ns0:c r="B952" s="3" t="inlineStr">
        <ns0:is>
          <ns0:t>G3三段階</ns0:t>
        </ns0:is>
      </ns0:c>
      <ns0:c r="C952" s="3" t="inlineStr">
        <ns0:is>
          <ns0:t>C</ns0:t>
        </ns0:is>
      </ns0:c>
      <ns0:c r="D952" s="4" t="n">
        <ns0:v>1</ns0:v>
      </ns0:c>
      <ns0:c r="E952" s="4" t="n">
        <ns0:v>1000</ns0:v>
      </ns0:c>
      <ns0:c r="F952" s="6" t="n">
        <ns0:v>0.5</ns0:v>
      </ns0:c>
      <ns0:c r="G952" s="4" t="n">
        <ns0:v>0</ns0:v>
      </ns0:c>
      <ns0:c r="H952" s="7" t="n">
        <ns0:v>7015.921787709496</ns0:v>
      </ns0:c>
      <ns0:c r="I952" s="7" t="n">
        <ns0:v>2970.670391061452</ns0:v>
      </ns0:c>
      <ns0:c r="J952" s="7" t="n">
        <ns0:v>1485.335195530726</ns0:v>
      </ns0:c>
      <ns0:c r="K952" s="7" t="n">
        <ns0:v>19</ns0:v>
      </ns0:c>
      <ns0:c r="L952" s="7" t="n">
        <ns0:v>27</ns0:v>
      </ns0:c>
      <ns0:c r="M952" s="7" t="n">
        <ns0:v>-19450.51986416882</ns0:v>
      </ns0:c>
      <ns0:c r="N952" s="7" t="n">
        <ns0:v>32113.88507910357</ns0:v>
      </ns0:c>
      <ns0:c r="O952" s="7" t="n">
        <ns0:v>89863.76488271114</ns0:v>
      </ns0:c>
      <ns0:c r="P952" s="7" t="n">
        <ns0:v>234238.4643917301</ns0:v>
      </ns0:c>
      <ns0:c r="Q952" s="7" t="n">
        <ns0:v>769737.2624278056</ns0:v>
      </ns0:c>
      <ns0:c r="R952" s="7" t="n">
        <ns0:v>2720983.055554071</ns0:v>
      </ns0:c>
    </ns0:row>
    <ns0:row r="953" ht="24" customHeight="1">
      <ns0:c r="A953" s="3" t="inlineStr">
        <ns0:is>
          <ns0:t>セット</ns0:t>
        </ns0:is>
      </ns0:c>
      <ns0:c r="B953" s="3" t="inlineStr">
        <ns0:is>
          <ns0:t>G3三段階</ns0:t>
        </ns0:is>
      </ns0:c>
      <ns0:c r="C953" s="3" t="inlineStr">
        <ns0:is>
          <ns0:t>C</ns0:t>
        </ns0:is>
      </ns0:c>
      <ns0:c r="D953" s="4" t="n">
        <ns0:v>1</ns0:v>
      </ns0:c>
      <ns0:c r="E953" s="4" t="n">
        <ns0:v>1000</ns0:v>
      </ns0:c>
      <ns0:c r="F953" s="6" t="n">
        <ns0:v>0.5</ns0:v>
      </ns0:c>
      <ns0:c r="G953" s="4" t="n">
        <ns0:v>1</ns0:v>
      </ns0:c>
      <ns0:c r="H953" s="7" t="n">
        <ns0:v>7015.921787709496</ns0:v>
      </ns0:c>
      <ns0:c r="I953" s="7" t="n">
        <ns0:v>2970.670391061452</ns0:v>
      </ns0:c>
      <ns0:c r="J953" s="7" t="n">
        <ns0:v>1485.335195530726</ns0:v>
      </ns0:c>
      <ns0:c r="K953" s="7" t="n">
        <ns0:v>23</ns0:v>
      </ns0:c>
      <ns0:c r="L953" s="7" t="n">
        <ns0:v>40</ns0:v>
      </ns0:c>
      <ns0:c r="M953" s="7" t="n">
        <ns0:v>-23774.02606917289</ns0:v>
      </ns0:c>
      <ns0:c r="N953" s="7" t="n">
        <ns0:v>19143.36646409135</ns0:v>
      </ns0:c>
      <ns0:c r="O953" s="7" t="n">
        <ns0:v>68246.23385769079</ns0:v>
      </ns0:c>
      <ns0:c r="P953" s="7" t="n">
        <ns0:v>191003.4023416894</ns0:v>
      </ns0:c>
      <ns0:c r="Q953" s="7" t="n">
        <ns0:v>640032.0762776835</ns0:v>
      </ns0:c>
      <ns0:c r="R953" s="7" t="n">
        <ns0:v>2288632.435053664</ns0:v>
      </ns0:c>
    </ns0:row>
    <ns0:row r="954" ht="24" customHeight="1">
      <ns0:c r="A954" s="3" t="inlineStr">
        <ns0:is>
          <ns0:t>セット</ns0:t>
        </ns0:is>
      </ns0:c>
      <ns0:c r="B954" s="3" t="inlineStr">
        <ns0:is>
          <ns0:t>G3三段階</ns0:t>
        </ns0:is>
      </ns0:c>
      <ns0:c r="C954" s="3" t="inlineStr">
        <ns0:is>
          <ns0:t>C</ns0:t>
        </ns0:is>
      </ns0:c>
      <ns0:c r="D954" s="4" t="n">
        <ns0:v>1</ns0:v>
      </ns0:c>
      <ns0:c r="E954" s="4" t="n">
        <ns0:v>1000</ns0:v>
      </ns0:c>
      <ns0:c r="F954" s="6" t="n">
        <ns0:v>0.5</ns0:v>
      </ns0:c>
      <ns0:c r="G954" s="4" t="n">
        <ns0:v>2</ns0:v>
      </ns0:c>
      <ns0:c r="H954" s="7" t="n">
        <ns0:v>7015.921787709496</ns0:v>
      </ns0:c>
      <ns0:c r="I954" s="7" t="n">
        <ns0:v>2970.670391061452</ns0:v>
      </ns0:c>
      <ns0:c r="J954" s="7" t="n">
        <ns0:v>1485.335195530726</ns0:v>
      </ns0:c>
      <ns0:c r="K954" s="18" t="inlineStr">
        <ns0:is>
          <ns0:t>範囲内なし</ns0:t>
        </ns0:is>
      </ns0:c>
      <ns0:c r="L954" s="18" t="inlineStr">
        <ns0:is>
          <ns0:t>範囲内なし</ns0:t>
        </ns0:is>
      </ns0:c>
      <ns0:c r="M954" s="7" t="n">
        <ns0:v>-60357.73003274615</ns0:v>
      </ns0:c>
      <ns0:c r="N954" s="7" t="n">
        <ns0:v>-90607.74542662845</ns0:v>
      </ns0:c>
      <ns0:c r="O954" s="7" t="n">
        <ns0:v>-114672.2859601755</ns0:v>
      </ns0:c>
      <ns0:c r="P954" s="7" t="n">
        <ns0:v>-174833.6372940432</ns0:v>
      </ns0:c>
      <ns0:c r="Q954" s="7" t="n">
        <ns0:v>-457479.0426295142</ns0:v>
      </ns0:c>
      <ns0:c r="R954" s="7" t="n">
        <ns0:v>-1369737.961303662</ns0:v>
      </ns0:c>
    </ns0:row>
    <ns0:row r="955" ht="24" customHeight="1">
      <ns0:c r="A955" s="3" t="inlineStr">
        <ns0:is>
          <ns0:t>セット</ns0:t>
        </ns0:is>
      </ns0:c>
      <ns0:c r="B955" s="3" t="inlineStr">
        <ns0:is>
          <ns0:t>G3三段階</ns0:t>
        </ns0:is>
      </ns0:c>
      <ns0:c r="C955" s="3" t="inlineStr">
        <ns0:is>
          <ns0:t>C</ns0:t>
        </ns0:is>
      </ns0:c>
      <ns0:c r="D955" s="4" t="n">
        <ns0:v>1</ns0:v>
      </ns0:c>
      <ns0:c r="E955" s="4" t="n">
        <ns0:v>1000</ns0:v>
      </ns0:c>
      <ns0:c r="F955" s="6" t="n">
        <ns0:v>0.5</ns0:v>
      </ns0:c>
      <ns0:c r="G955" s="4" t="n">
        <ns0:v>3</ns0:v>
      </ns0:c>
      <ns0:c r="H955" s="7" t="n">
        <ns0:v>7015.921787709496</ns0:v>
      </ns0:c>
      <ns0:c r="I955" s="7" t="n">
        <ns0:v>2970.670391061452</ns0:v>
      </ns0:c>
      <ns0:c r="J955" s="7" t="n">
        <ns0:v>1485.335195530726</ns0:v>
      </ns0:c>
      <ns0:c r="K955" s="7" t="n">
        <ns0:v>37</ns0:v>
      </ns0:c>
      <ns0:c r="L955" s="18" t="inlineStr">
        <ns0:is>
          <ns0:t>範囲内なし</ns0:t>
        </ns0:is>
      </ns0:c>
      <ns0:c r="M955" s="7" t="n">
        <ns0:v>-33236.53286970562</ns0:v>
      </ns0:c>
      <ns0:c r="N955" s="7" t="n">
        <ns0:v>-9244.153937506853</ns0:v>
      </ns0:c>
      <ns0:c r="O955" s="7" t="n">
        <ns0:v>20933.69985502712</ns0:v>
      </ns0:c>
      <ns0:c r="P955" s="7" t="n">
        <ns0:v>96378.33433636205</ns0:v>
      </ns0:c>
      <ns0:c r="Q955" s="7" t="n">
        <ns0:v>356156.8722617014</ns0:v>
      </ns0:c>
      <ns0:c r="R955" s="7" t="n">
        <ns0:v>1342381.75500039</ns0:v>
      </ns0:c>
    </ns0:row>
    <ns0:row r="956" ht="24" customHeight="1">
      <ns0:c r="A956" s="3" t="inlineStr">
        <ns0:is>
          <ns0:t>セット</ns0:t>
        </ns0:is>
      </ns0:c>
      <ns0:c r="B956" s="3" t="inlineStr">
        <ns0:is>
          <ns0:t>G3三段階</ns0:t>
        </ns0:is>
      </ns0:c>
      <ns0:c r="C956" s="3" t="inlineStr">
        <ns0:is>
          <ns0:t>C</ns0:t>
        </ns0:is>
      </ns0:c>
      <ns0:c r="D956" s="4" t="n">
        <ns0:v>1</ns0:v>
      </ns0:c>
      <ns0:c r="E956" s="4" t="n">
        <ns0:v>1500</ns0:v>
      </ns0:c>
      <ns0:c r="F956" s="6" t="n">
        <ns0:v>0.3</ns0:v>
      </ns0:c>
      <ns0:c r="G956" s="4" t="n">
        <ns0:v>0</ns0:v>
      </ns0:c>
      <ns0:c r="H956" s="7" t="n">
        <ns0:v>6515.921787709496</ns0:v>
      </ns0:c>
      <ns0:c r="I956" s="7" t="n">
        <ns0:v>2470.670391061452</ns0:v>
      </ns0:c>
      <ns0:c r="J956" s="7" t="n">
        <ns0:v>741.2011173184355</ns0:v>
      </ns0:c>
      <ns0:c r="K956" s="7" t="n">
        <ns0:v>18</ns0:v>
      </ns0:c>
      <ns0:c r="L956" s="7" t="n">
        <ns0:v>25</ns0:v>
      </ns0:c>
      <ns0:c r="M956" s="7" t="n">
        <ns0:v>-16829.17908204592</ns0:v>
      </ns0:c>
      <ns0:c r="N956" s="7" t="n">
        <ns0:v>39977.90742547225</ns0:v>
      </ns0:c>
      <ns0:c r="O956" s="7" t="n">
        <ns0:v>102970.4687933257</ns0:v>
      </ns0:c>
      <ns0:c r="P956" s="7" t="n">
        <ns0:v>260451.8722129591</ns0:v>
      </ns0:c>
      <ns0:c r="Q956" s="7" t="n">
        <ns0:v>848377.4858914929</ns0:v>
      </ns0:c>
      <ns0:c r="R956" s="7" t="n">
        <ns0:v>2983117.133766361</ns0:v>
      </ns0:c>
    </ns0:row>
    <ns0:row r="957" ht="24" customHeight="1">
      <ns0:c r="A957" s="3" t="inlineStr">
        <ns0:is>
          <ns0:t>セット</ns0:t>
        </ns0:is>
      </ns0:c>
      <ns0:c r="B957" s="3" t="inlineStr">
        <ns0:is>
          <ns0:t>G3三段階</ns0:t>
        </ns0:is>
      </ns0:c>
      <ns0:c r="C957" s="3" t="inlineStr">
        <ns0:is>
          <ns0:t>C</ns0:t>
        </ns0:is>
      </ns0:c>
      <ns0:c r="D957" s="4" t="n">
        <ns0:v>1</ns0:v>
      </ns0:c>
      <ns0:c r="E957" s="4" t="n">
        <ns0:v>1500</ns0:v>
      </ns0:c>
      <ns0:c r="F957" s="6" t="n">
        <ns0:v>0.3</ns0:v>
      </ns0:c>
      <ns0:c r="G957" s="4" t="n">
        <ns0:v>1</ns0:v>
      </ns0:c>
      <ns0:c r="H957" s="7" t="n">
        <ns0:v>6515.921787709496</ns0:v>
      </ns0:c>
      <ns0:c r="I957" s="7" t="n">
        <ns0:v>2470.670391061452</ns0:v>
      </ns0:c>
      <ns0:c r="J957" s="7" t="n">
        <ns0:v>741.2011173184355</ns0:v>
      </ns0:c>
      <ns0:c r="K957" s="7" t="n">
        <ns0:v>21</ns0:v>
      </ns0:c>
      <ns0:c r="L957" s="7" t="n">
        <ns0:v>36</ns0:v>
      </ns0:c>
      <ns0:c r="M957" s="7" t="n">
        <ns0:v>-21152.68528704999</ns0:v>
      </ns0:c>
      <ns0:c r="N957" s="7" t="n">
        <ns0:v>27007.38881046004</ns0:v>
      </ns0:c>
      <ns0:c r="O957" s="7" t="n">
        <ns0:v>81352.9377683053</ns0:v>
      </ns0:c>
      <ns0:c r="P957" s="7" t="n">
        <ns0:v>217216.8101629184</ns0:v>
      </ns0:c>
      <ns0:c r="Q957" s="7" t="n">
        <ns0:v>718672.2997413708</ns0:v>
      </ns0:c>
      <ns0:c r="R957" s="7" t="n">
        <ns0:v>2550766.513265954</ns0:v>
      </ns0:c>
    </ns0:row>
    <ns0:row r="958" ht="24" customHeight="1">
      <ns0:c r="A958" s="3" t="inlineStr">
        <ns0:is>
          <ns0:t>セット</ns0:t>
        </ns0:is>
      </ns0:c>
      <ns0:c r="B958" s="3" t="inlineStr">
        <ns0:is>
          <ns0:t>G3三段階</ns0:t>
        </ns0:is>
      </ns0:c>
      <ns0:c r="C958" s="3" t="inlineStr">
        <ns0:is>
          <ns0:t>C</ns0:t>
        </ns0:is>
      </ns0:c>
      <ns0:c r="D958" s="4" t="n">
        <ns0:v>1</ns0:v>
      </ns0:c>
      <ns0:c r="E958" s="4" t="n">
        <ns0:v>1500</ns0:v>
      </ns0:c>
      <ns0:c r="F958" s="6" t="n">
        <ns0:v>0.3</ns0:v>
      </ns0:c>
      <ns0:c r="G958" s="4" t="n">
        <ns0:v>2</ns0:v>
      </ns0:c>
      <ns0:c r="H958" s="7" t="n">
        <ns0:v>6515.921787709496</ns0:v>
      </ns0:c>
      <ns0:c r="I958" s="7" t="n">
        <ns0:v>2470.670391061452</ns0:v>
      </ns0:c>
      <ns0:c r="J958" s="7" t="n">
        <ns0:v>741.2011173184355</ns0:v>
      </ns0:c>
      <ns0:c r="K958" s="18" t="inlineStr">
        <ns0:is>
          <ns0:t>範囲内なし</ns0:t>
        </ns0:is>
      </ns0:c>
      <ns0:c r="L958" s="18" t="inlineStr">
        <ns0:is>
          <ns0:t>範囲内なし</ns0:t>
        </ns0:is>
      </ns0:c>
      <ns0:c r="M958" s="7" t="n">
        <ns0:v>-57736.38925062325</ns0:v>
      </ns0:c>
      <ns0:c r="N958" s="7" t="n">
        <ns0:v>-82743.72308025975</ns0:v>
      </ns0:c>
      <ns0:c r="O958" s="7" t="n">
        <ns0:v>-101565.582049561</ns0:v>
      </ns0:c>
      <ns0:c r="P958" s="7" t="n">
        <ns0:v>-148620.2294728142</ns0:v>
      </ns0:c>
      <ns0:c r="Q958" s="7" t="n">
        <ns0:v>-378838.8191658269</ns0:v>
      </ns0:c>
      <ns0:c r="R958" s="7" t="n">
        <ns0:v>-1107603.883091372</ns0:v>
      </ns0:c>
    </ns0:row>
    <ns0:row r="959" ht="24" customHeight="1">
      <ns0:c r="A959" s="3" t="inlineStr">
        <ns0:is>
          <ns0:t>セット</ns0:t>
        </ns0:is>
      </ns0:c>
      <ns0:c r="B959" s="3" t="inlineStr">
        <ns0:is>
          <ns0:t>G3三段階</ns0:t>
        </ns0:is>
      </ns0:c>
      <ns0:c r="C959" s="3" t="inlineStr">
        <ns0:is>
          <ns0:t>C</ns0:t>
        </ns0:is>
      </ns0:c>
      <ns0:c r="D959" s="4" t="n">
        <ns0:v>1</ns0:v>
      </ns0:c>
      <ns0:c r="E959" s="4" t="n">
        <ns0:v>1500</ns0:v>
      </ns0:c>
      <ns0:c r="F959" s="6" t="n">
        <ns0:v>0.3</ns0:v>
      </ns0:c>
      <ns0:c r="G959" s="4" t="n">
        <ns0:v>3</ns0:v>
      </ns0:c>
      <ns0:c r="H959" s="7" t="n">
        <ns0:v>6515.921787709496</ns0:v>
      </ns0:c>
      <ns0:c r="I959" s="7" t="n">
        <ns0:v>2470.670391061452</ns0:v>
      </ns0:c>
      <ns0:c r="J959" s="7" t="n">
        <ns0:v>741.2011173184355</ns0:v>
      </ns0:c>
      <ns0:c r="K959" s="7" t="n">
        <ns0:v>31</ns0:v>
      </ns0:c>
      <ns0:c r="L959" s="18" t="inlineStr">
        <ns0:is>
          <ns0:t>範囲内なし</ns0:t>
        </ns0:is>
      </ns0:c>
      <ns0:c r="M959" s="7" t="n">
        <ns0:v>-30615.19208758273</ns0:v>
      </ns0:c>
      <ns0:c r="N959" s="7" t="n">
        <ns0:v>-1380.131591138153</ns0:v>
      </ns0:c>
      <ns0:c r="O959" s="7" t="n">
        <ns0:v>34040.40376564163</ns0:v>
      </ns0:c>
      <ns0:c r="P959" s="7" t="n">
        <ns0:v>122591.742157591</ns0:v>
      </ns0:c>
      <ns0:c r="Q959" s="7" t="n">
        <ns0:v>434797.0957253888</ns0:v>
      </ns0:c>
      <ns0:c r="R959" s="7" t="n">
        <ns0:v>1604515.833212681</ns0:v>
      </ns0:c>
    </ns0:row>
    <ns0:row r="960" ht="24" customHeight="1">
      <ns0:c r="A960" s="3" t="inlineStr">
        <ns0:is>
          <ns0:t>セット</ns0:t>
        </ns0:is>
      </ns0:c>
      <ns0:c r="B960" s="3" t="inlineStr">
        <ns0:is>
          <ns0:t>G3三段階</ns0:t>
        </ns0:is>
      </ns0:c>
      <ns0:c r="C960" s="3" t="inlineStr">
        <ns0:is>
          <ns0:t>C</ns0:t>
        </ns0:is>
      </ns0:c>
      <ns0:c r="D960" s="4" t="n">
        <ns0:v>1</ns0:v>
      </ns0:c>
      <ns0:c r="E960" s="4" t="n">
        <ns0:v>1500</ns0:v>
      </ns0:c>
      <ns0:c r="F960" s="6" t="n">
        <ns0:v>0.4</ns0:v>
      </ns0:c>
      <ns0:c r="G960" s="4" t="n">
        <ns0:v>0</ns0:v>
      </ns0:c>
      <ns0:c r="H960" s="7" t="n">
        <ns0:v>6515.921787709496</ns0:v>
      </ns0:c>
      <ns0:c r="I960" s="7" t="n">
        <ns0:v>2470.670391061452</ns0:v>
      </ns0:c>
      <ns0:c r="J960" s="7" t="n">
        <ns0:v>988.268156424581</ns0:v>
      </ns0:c>
      <ns0:c r="K960" s="7" t="n">
        <ns0:v>19</ns0:v>
      </ns0:c>
      <ns0:c r="L960" s="7" t="n">
        <ns0:v>27</ns0:v>
      </ns0:c>
      <ns0:c r="M960" s="7" t="n">
        <ns0:v>-19299.84947310737</ns0:v>
      </ns0:c>
      <ns0:c r="N960" s="7" t="n">
        <ns0:v>32565.8962522879</ns0:v>
      </ns0:c>
      <ns0:c r="O960" s="7" t="n">
        <ns0:v>90617.11683801838</ns0:v>
      </ns0:c>
      <ns0:c r="P960" s="7" t="n">
        <ns0:v>235745.1683023446</ns0:v>
      </ns0:c>
      <ns0:c r="Q960" s="7" t="n">
        <ns0:v>774257.3741596492</ns0:v>
      </ns0:c>
      <ns0:c r="R960" s="7" t="n">
        <ns0:v>2736050.094660216</ns0:v>
      </ns0:c>
    </ns0:row>
    <ns0:row r="961" ht="24" customHeight="1">
      <ns0:c r="A961" s="3" t="inlineStr">
        <ns0:is>
          <ns0:t>セット</ns0:t>
        </ns0:is>
      </ns0:c>
      <ns0:c r="B961" s="3" t="inlineStr">
        <ns0:is>
          <ns0:t>G3三段階</ns0:t>
        </ns0:is>
      </ns0:c>
      <ns0:c r="C961" s="3" t="inlineStr">
        <ns0:is>
          <ns0:t>C</ns0:t>
        </ns0:is>
      </ns0:c>
      <ns0:c r="D961" s="4" t="n">
        <ns0:v>1</ns0:v>
      </ns0:c>
      <ns0:c r="E961" s="4" t="n">
        <ns0:v>1500</ns0:v>
      </ns0:c>
      <ns0:c r="F961" s="6" t="n">
        <ns0:v>0.4</ns0:v>
      </ns0:c>
      <ns0:c r="G961" s="4" t="n">
        <ns0:v>1</ns0:v>
      </ns0:c>
      <ns0:c r="H961" s="7" t="n">
        <ns0:v>6515.921787709496</ns0:v>
      </ns0:c>
      <ns0:c r="I961" s="7" t="n">
        <ns0:v>2470.670391061452</ns0:v>
      </ns0:c>
      <ns0:c r="J961" s="7" t="n">
        <ns0:v>988.268156424581</ns0:v>
      </ns0:c>
      <ns0:c r="K961" s="7" t="n">
        <ns0:v>23</ns0:v>
      </ns0:c>
      <ns0:c r="L961" s="7" t="n">
        <ns0:v>40</ns0:v>
      </ns0:c>
      <ns0:c r="M961" s="7" t="n">
        <ns0:v>-23623.35567811144</ns0:v>
      </ns0:c>
      <ns0:c r="N961" s="7" t="n">
        <ns0:v>19595.37763727569</ns0:v>
      </ns0:c>
      <ns0:c r="O961" s="7" t="n">
        <ns0:v>68999.58581299803</ns0:v>
      </ns0:c>
      <ns0:c r="P961" s="7" t="n">
        <ns0:v>192510.1062523038</ns0:v>
      </ns0:c>
      <ns0:c r="Q961" s="7" t="n">
        <ns0:v>644552.1880095273</ns0:v>
      </ns0:c>
      <ns0:c r="R961" s="7" t="n">
        <ns0:v>2303699.474159809</ns0:v>
      </ns0:c>
    </ns0:row>
    <ns0:row r="962" ht="24" customHeight="1">
      <ns0:c r="A962" s="3" t="inlineStr">
        <ns0:is>
          <ns0:t>セット</ns0:t>
        </ns0:is>
      </ns0:c>
      <ns0:c r="B962" s="3" t="inlineStr">
        <ns0:is>
          <ns0:t>G3三段階</ns0:t>
        </ns0:is>
      </ns0:c>
      <ns0:c r="C962" s="3" t="inlineStr">
        <ns0:is>
          <ns0:t>C</ns0:t>
        </ns0:is>
      </ns0:c>
      <ns0:c r="D962" s="4" t="n">
        <ns0:v>1</ns0:v>
      </ns0:c>
      <ns0:c r="E962" s="4" t="n">
        <ns0:v>1500</ns0:v>
      </ns0:c>
      <ns0:c r="F962" s="6" t="n">
        <ns0:v>0.4</ns0:v>
      </ns0:c>
      <ns0:c r="G962" s="4" t="n">
        <ns0:v>2</ns0:v>
      </ns0:c>
      <ns0:c r="H962" s="7" t="n">
        <ns0:v>6515.921787709496</ns0:v>
      </ns0:c>
      <ns0:c r="I962" s="7" t="n">
        <ns0:v>2470.670391061452</ns0:v>
      </ns0:c>
      <ns0:c r="J962" s="7" t="n">
        <ns0:v>988.268156424581</ns0:v>
      </ns0:c>
      <ns0:c r="K962" s="18" t="inlineStr">
        <ns0:is>
          <ns0:t>範囲内なし</ns0:t>
        </ns0:is>
      </ns0:c>
      <ns0:c r="L962" s="18" t="inlineStr">
        <ns0:is>
          <ns0:t>範囲内なし</ns0:t>
        </ns0:is>
      </ns0:c>
      <ns0:c r="M962" s="7" t="n">
        <ns0:v>-60207.0596416847</ns0:v>
      </ns0:c>
      <ns0:c r="N962" s="7" t="n">
        <ns0:v>-90155.7342534441</ns0:v>
      </ns0:c>
      <ns0:c r="O962" s="7" t="n">
        <ns0:v>-113918.9340048682</ns0:v>
      </ns0:c>
      <ns0:c r="P962" s="7" t="n">
        <ns0:v>-173326.9333834287</ns0:v>
      </ns0:c>
      <ns0:c r="Q962" s="7" t="n">
        <ns0:v>-452958.9308976706</ns0:v>
      </ns0:c>
      <ns0:c r="R962" s="7" t="n">
        <ns0:v>-1354670.922197517</ns0:v>
      </ns0:c>
    </ns0:row>
    <ns0:row r="963" ht="24" customHeight="1">
      <ns0:c r="A963" s="3" t="inlineStr">
        <ns0:is>
          <ns0:t>セット</ns0:t>
        </ns0:is>
      </ns0:c>
      <ns0:c r="B963" s="3" t="inlineStr">
        <ns0:is>
          <ns0:t>G3三段階</ns0:t>
        </ns0:is>
      </ns0:c>
      <ns0:c r="C963" s="3" t="inlineStr">
        <ns0:is>
          <ns0:t>C</ns0:t>
        </ns0:is>
      </ns0:c>
      <ns0:c r="D963" s="4" t="n">
        <ns0:v>1</ns0:v>
      </ns0:c>
      <ns0:c r="E963" s="4" t="n">
        <ns0:v>1500</ns0:v>
      </ns0:c>
      <ns0:c r="F963" s="6" t="n">
        <ns0:v>0.4</ns0:v>
      </ns0:c>
      <ns0:c r="G963" s="4" t="n">
        <ns0:v>3</ns0:v>
      </ns0:c>
      <ns0:c r="H963" s="7" t="n">
        <ns0:v>6515.921787709496</ns0:v>
      </ns0:c>
      <ns0:c r="I963" s="7" t="n">
        <ns0:v>2470.670391061452</ns0:v>
      </ns0:c>
      <ns0:c r="J963" s="7" t="n">
        <ns0:v>988.268156424581</ns0:v>
      </ns0:c>
      <ns0:c r="K963" s="7" t="n">
        <ns0:v>36</ns0:v>
      </ns0:c>
      <ns0:c r="L963" s="18" t="inlineStr">
        <ns0:is>
          <ns0:t>範囲内なし</ns0:t>
        </ns0:is>
      </ns0:c>
      <ns0:c r="M963" s="7" t="n">
        <ns0:v>-33085.86247864417</ns0:v>
      </ns0:c>
      <ns0:c r="N963" s="7" t="n">
        <ns0:v>-8792.142764322503</ns0:v>
      </ns0:c>
      <ns0:c r="O963" s="7" t="n">
        <ns0:v>21687.05181033436</ns0:v>
      </ns0:c>
      <ns0:c r="P963" s="7" t="n">
        <ns0:v>97885.03824697653</ns0:v>
      </ns0:c>
      <ns0:c r="Q963" s="7" t="n">
        <ns0:v>360676.9839935452</ns0:v>
      </ns0:c>
      <ns0:c r="R963" s="7" t="n">
        <ns0:v>1357448.794106535</ns0:v>
      </ns0:c>
    </ns0:row>
    <ns0:row r="964" ht="24" customHeight="1">
      <ns0:c r="A964" s="3" t="inlineStr">
        <ns0:is>
          <ns0:t>セット</ns0:t>
        </ns0:is>
      </ns0:c>
      <ns0:c r="B964" s="3" t="inlineStr">
        <ns0:is>
          <ns0:t>G3三段階</ns0:t>
        </ns0:is>
      </ns0:c>
      <ns0:c r="C964" s="3" t="inlineStr">
        <ns0:is>
          <ns0:t>C</ns0:t>
        </ns0:is>
      </ns0:c>
      <ns0:c r="D964" s="4" t="n">
        <ns0:v>1</ns0:v>
      </ns0:c>
      <ns0:c r="E964" s="4" t="n">
        <ns0:v>1500</ns0:v>
      </ns0:c>
      <ns0:c r="F964" s="6" t="n">
        <ns0:v>0.5</ns0:v>
      </ns0:c>
      <ns0:c r="G964" s="4" t="n">
        <ns0:v>0</ns0:v>
      </ns0:c>
      <ns0:c r="H964" s="7" t="n">
        <ns0:v>6515.921787709496</ns0:v>
      </ns0:c>
      <ns0:c r="I964" s="7" t="n">
        <ns0:v>2470.670391061452</ns0:v>
      </ns0:c>
      <ns0:c r="J964" s="7" t="n">
        <ns0:v>1235.335195530726</ns0:v>
      </ns0:c>
      <ns0:c r="K964" s="7" t="n">
        <ns0:v>21</ns0:v>
      </ns0:c>
      <ns0:c r="L964" s="7" t="n">
        <ns0:v>29</ns0:v>
      </ns0:c>
      <ns0:c r="M964" s="7" t="n">
        <ns0:v>-21770.51986416882</ns0:v>
      </ns0:c>
      <ns0:c r="N964" s="7" t="n">
        <ns0:v>25153.88507910355</ns0:v>
      </ns0:c>
      <ns0:c r="O964" s="7" t="n">
        <ns0:v>78263.76488271111</ns0:v>
      </ns0:c>
      <ns0:c r="P964" s="7" t="n">
        <ns0:v>211038.46439173</ns0:v>
      </ns0:c>
      <ns0:c r="Q964" s="7" t="n">
        <ns0:v>700137.2624278058</ns0:v>
      </ns0:c>
      <ns0:c r="R964" s="7" t="n">
        <ns0:v>2488983.055554071</ns0:v>
      </ns0:c>
    </ns0:row>
    <ns0:row r="965" ht="24" customHeight="1">
      <ns0:c r="A965" s="3" t="inlineStr">
        <ns0:is>
          <ns0:t>セット</ns0:t>
        </ns0:is>
      </ns0:c>
      <ns0:c r="B965" s="3" t="inlineStr">
        <ns0:is>
          <ns0:t>G3三段階</ns0:t>
        </ns0:is>
      </ns0:c>
      <ns0:c r="C965" s="3" t="inlineStr">
        <ns0:is>
          <ns0:t>C</ns0:t>
        </ns0:is>
      </ns0:c>
      <ns0:c r="D965" s="4" t="n">
        <ns0:v>1</ns0:v>
      </ns0:c>
      <ns0:c r="E965" s="4" t="n">
        <ns0:v>1500</ns0:v>
      </ns0:c>
      <ns0:c r="F965" s="6" t="n">
        <ns0:v>0.5</ns0:v>
      </ns0:c>
      <ns0:c r="G965" s="4" t="n">
        <ns0:v>1</ns0:v>
      </ns0:c>
      <ns0:c r="H965" s="7" t="n">
        <ns0:v>6515.921787709496</ns0:v>
      </ns0:c>
      <ns0:c r="I965" s="7" t="n">
        <ns0:v>2470.670391061452</ns0:v>
      </ns0:c>
      <ns0:c r="J965" s="7" t="n">
        <ns0:v>1235.335195530726</ns0:v>
      </ns0:c>
      <ns0:c r="K965" s="7" t="n">
        <ns0:v>25</ns0:v>
      </ns0:c>
      <ns0:c r="L965" s="7" t="n">
        <ns0:v>44</ns0:v>
      </ns0:c>
      <ns0:c r="M965" s="7" t="n">
        <ns0:v>-26094.02606917289</ns0:v>
      </ns0:c>
      <ns0:c r="N965" s="7" t="n">
        <ns0:v>12183.36646409134</ns0:v>
      </ns0:c>
      <ns0:c r="O965" s="7" t="n">
        <ns0:v>56646.23385769076</ns0:v>
      </ns0:c>
      <ns0:c r="P965" s="7" t="n">
        <ns0:v>167803.4023416893</ns0:v>
      </ns0:c>
      <ns0:c r="Q965" s="7" t="n">
        <ns0:v>570432.0762776837</ns0:v>
      </ns0:c>
      <ns0:c r="R965" s="7" t="n">
        <ns0:v>2056632.435053663</ns0:v>
      </ns0:c>
    </ns0:row>
    <ns0:row r="966" ht="24" customHeight="1">
      <ns0:c r="A966" s="3" t="inlineStr">
        <ns0:is>
          <ns0:t>セット</ns0:t>
        </ns0:is>
      </ns0:c>
      <ns0:c r="B966" s="3" t="inlineStr">
        <ns0:is>
          <ns0:t>G3三段階</ns0:t>
        </ns0:is>
      </ns0:c>
      <ns0:c r="C966" s="3" t="inlineStr">
        <ns0:is>
          <ns0:t>C</ns0:t>
        </ns0:is>
      </ns0:c>
      <ns0:c r="D966" s="4" t="n">
        <ns0:v>1</ns0:v>
      </ns0:c>
      <ns0:c r="E966" s="4" t="n">
        <ns0:v>1500</ns0:v>
      </ns0:c>
      <ns0:c r="F966" s="6" t="n">
        <ns0:v>0.5</ns0:v>
      </ns0:c>
      <ns0:c r="G966" s="4" t="n">
        <ns0:v>2</ns0:v>
      </ns0:c>
      <ns0:c r="H966" s="7" t="n">
        <ns0:v>6515.921787709496</ns0:v>
      </ns0:c>
      <ns0:c r="I966" s="7" t="n">
        <ns0:v>2470.670391061452</ns0:v>
      </ns0:c>
      <ns0:c r="J966" s="7" t="n">
        <ns0:v>1235.335195530726</ns0:v>
      </ns0:c>
      <ns0:c r="K966" s="18" t="inlineStr">
        <ns0:is>
          <ns0:t>範囲内なし</ns0:t>
        </ns0:is>
      </ns0:c>
      <ns0:c r="L966" s="18" t="inlineStr">
        <ns0:is>
          <ns0:t>範囲内なし</ns0:t>
        </ns0:is>
      </ns0:c>
      <ns0:c r="M966" s="7" t="n">
        <ns0:v>-62677.73003274615</ns0:v>
      </ns0:c>
      <ns0:c r="N966" s="7" t="n">
        <ns0:v>-97567.74542662845</ns0:v>
      </ns0:c>
      <ns0:c r="O966" s="7" t="n">
        <ns0:v>-126272.2859601755</ns0:v>
      </ns0:c>
      <ns0:c r="P966" s="7" t="n">
        <ns0:v>-198033.6372940433</ns0:v>
      </ns0:c>
      <ns0:c r="Q966" s="7" t="n">
        <ns0:v>-527079.042629514</ns0:v>
      </ns0:c>
      <ns0:c r="R966" s="7" t="n">
        <ns0:v>-1601737.961303663</ns0:v>
      </ns0:c>
    </ns0:row>
    <ns0:row r="967" ht="24" customHeight="1">
      <ns0:c r="A967" s="3" t="inlineStr">
        <ns0:is>
          <ns0:t>セット</ns0:t>
        </ns0:is>
      </ns0:c>
      <ns0:c r="B967" s="3" t="inlineStr">
        <ns0:is>
          <ns0:t>G3三段階</ns0:t>
        </ns0:is>
      </ns0:c>
      <ns0:c r="C967" s="3" t="inlineStr">
        <ns0:is>
          <ns0:t>C</ns0:t>
        </ns0:is>
      </ns0:c>
      <ns0:c r="D967" s="4" t="n">
        <ns0:v>1</ns0:v>
      </ns0:c>
      <ns0:c r="E967" s="4" t="n">
        <ns0:v>1500</ns0:v>
      </ns0:c>
      <ns0:c r="F967" s="6" t="n">
        <ns0:v>0.5</ns0:v>
      </ns0:c>
      <ns0:c r="G967" s="4" t="n">
        <ns0:v>3</ns0:v>
      </ns0:c>
      <ns0:c r="H967" s="7" t="n">
        <ns0:v>6515.921787709496</ns0:v>
      </ns0:c>
      <ns0:c r="I967" s="7" t="n">
        <ns0:v>2470.670391061452</ns0:v>
      </ns0:c>
      <ns0:c r="J967" s="7" t="n">
        <ns0:v>1235.335195530726</ns0:v>
      </ns0:c>
      <ns0:c r="K967" s="7" t="n">
        <ns0:v>43</ns0:v>
      </ns0:c>
      <ns0:c r="L967" s="18" t="inlineStr">
        <ns0:is>
          <ns0:t>範囲内なし</ns0:t>
        </ns0:is>
      </ns0:c>
      <ns0:c r="M967" s="7" t="n">
        <ns0:v>-35556.53286970562</ns0:v>
      </ns0:c>
      <ns0:c r="N967" s="7" t="n">
        <ns0:v>-16204.15393750685</ns0:v>
      </ns0:c>
      <ns0:c r="O967" s="7" t="n">
        <ns0:v>9333.699855027095</ns0:v>
      </ns0:c>
      <ns0:c r="P967" s="7" t="n">
        <ns0:v>73178.33433636199</ns0:v>
      </ns0:c>
      <ns0:c r="Q967" s="7" t="n">
        <ns0:v>286556.8722617017</ns0:v>
      </ns0:c>
      <ns0:c r="R967" s="7" t="n">
        <ns0:v>1110381.75500039</ns0:v>
      </ns0:c>
    </ns0:row>
    <ns0:row r="968" ht="24" customHeight="1">
      <ns0:c r="A968" s="3" t="inlineStr">
        <ns0:is>
          <ns0:t>セット</ns0:t>
        </ns0:is>
      </ns0:c>
      <ns0:c r="B968" s="3" t="inlineStr">
        <ns0:is>
          <ns0:t>G3三段階</ns0:t>
        </ns0:is>
      </ns0:c>
      <ns0:c r="C968" s="3" t="inlineStr">
        <ns0:is>
          <ns0:t>C</ns0:t>
        </ns0:is>
      </ns0:c>
      <ns0:c r="D968" s="4" t="n">
        <ns0:v>2</ns0:v>
      </ns0:c>
      <ns0:c r="E968" s="4" t="n">
        <ns0:v>500</ns0:v>
      </ns0:c>
      <ns0:c r="F968" s="6" t="n">
        <ns0:v>0.3</ns0:v>
      </ns0:c>
      <ns0:c r="G968" s="4" t="n">
        <ns0:v>0</ns0:v>
      </ns0:c>
      <ns0:c r="H968" s="7" t="n">
        <ns0:v>10824.72766884531</ns0:v>
      </ns0:c>
      <ns0:c r="I968" s="7" t="n">
        <ns0:v>4329.520697167755</ns0:v>
      </ns0:c>
      <ns0:c r="J968" s="7" t="n">
        <ns0:v>1298.856209150326</ns0:v>
      </ns0:c>
      <ns0:c r="K968" s="7" t="n">
        <ns0:v>8</ns0:v>
      </ns0:c>
      <ns0:c r="L968" s="7" t="n">
        <ns0:v>10</ns0:v>
      </ns0:c>
      <ns0:c r="M968" s="7" t="n">
        <ns0:v>18130.75602703082</ns0:v>
      </ns0:c>
      <ns0:c r="N968" s="7" t="n">
        <ns0:v>125584.7255690022</ns0:v>
      </ns0:c>
      <ns0:c r="O968" s="7" t="n">
        <ns0:v>245648.4990325422</ns0:v>
      </ns0:c>
      <ns0:c r="P968" s="7" t="n">
        <ns0:v>545807.9326913923</ns0:v>
      </ns0:c>
      <ns0:c r="Q968" s="7" t="n">
        <ns0:v>1704445.667326792</ns0:v>
      </ns0:c>
      <ns0:c r="R968" s="7" t="n">
        <ns0:v>5836677.738550691</ns0:v>
      </ns0:c>
    </ns0:row>
    <ns0:row r="969" ht="24" customHeight="1">
      <ns0:c r="A969" s="3" t="inlineStr">
        <ns0:is>
          <ns0:t>セット</ns0:t>
        </ns0:is>
      </ns0:c>
      <ns0:c r="B969" s="3" t="inlineStr">
        <ns0:is>
          <ns0:t>G3三段階</ns0:t>
        </ns0:is>
      </ns0:c>
      <ns0:c r="C969" s="3" t="inlineStr">
        <ns0:is>
          <ns0:t>C</ns0:t>
        </ns0:is>
      </ns0:c>
      <ns0:c r="D969" s="4" t="n">
        <ns0:v>2</ns0:v>
      </ns0:c>
      <ns0:c r="E969" s="4" t="n">
        <ns0:v>500</ns0:v>
      </ns0:c>
      <ns0:c r="F969" s="6" t="n">
        <ns0:v>0.3</ns0:v>
      </ns0:c>
      <ns0:c r="G969" s="4" t="n">
        <ns0:v>1</ns0:v>
      </ns0:c>
      <ns0:c r="H969" s="7" t="n">
        <ns0:v>10824.72766884531</ns0:v>
      </ns0:c>
      <ns0:c r="I969" s="7" t="n">
        <ns0:v>4329.520697167755</ns0:v>
      </ns0:c>
      <ns0:c r="J969" s="7" t="n">
        <ns0:v>1298.856209150326</ns0:v>
      </ns0:c>
      <ns0:c r="K969" s="7" t="n">
        <ns0:v>9</ns0:v>
      </ns0:c>
      <ns0:c r="L969" s="7" t="n">
        <ns0:v>14</ns0:v>
      </ns0:c>
      <ns0:c r="M969" s="7" t="n">
        <ns0:v>12742.28663472841</ns0:v>
      </ns0:c>
      <ns0:c r="N969" s="7" t="n">
        <ns0:v>109419.317392095</ns0:v>
      </ns0:c>
      <ns0:c r="O969" s="7" t="n">
        <ns0:v>218706.1520710302</ns0:v>
      </ns0:c>
      <ns0:c r="P969" s="7" t="n">
        <ns0:v>491923.2387683681</ns0:v>
      </ns0:c>
      <ns0:c r="Q969" s="7" t="n">
        <ns0:v>1542791.58555772</ns0:v>
      </ns0:c>
      <ns0:c r="R969" s="7" t="n">
        <ns0:v>5297830.79932045</ns0:v>
      </ns0:c>
    </ns0:row>
    <ns0:row r="970" ht="24" customHeight="1">
      <ns0:c r="A970" s="3" t="inlineStr">
        <ns0:is>
          <ns0:t>セット</ns0:t>
        </ns0:is>
      </ns0:c>
      <ns0:c r="B970" s="3" t="inlineStr">
        <ns0:is>
          <ns0:t>G3三段階</ns0:t>
        </ns0:is>
      </ns0:c>
      <ns0:c r="C970" s="3" t="inlineStr">
        <ns0:is>
          <ns0:t>C</ns0:t>
        </ns0:is>
      </ns0:c>
      <ns0:c r="D970" s="4" t="n">
        <ns0:v>2</ns0:v>
      </ns0:c>
      <ns0:c r="E970" s="4" t="n">
        <ns0:v>500</ns0:v>
      </ns0:c>
      <ns0:c r="F970" s="6" t="n">
        <ns0:v>0.3</ns0:v>
      </ns0:c>
      <ns0:c r="G970" s="4" t="n">
        <ns0:v>2</ns0:v>
      </ns0:c>
      <ns0:c r="H970" s="7" t="n">
        <ns0:v>10824.72766884531</ns0:v>
      </ns0:c>
      <ns0:c r="I970" s="7" t="n">
        <ns0:v>4329.520697167755</ns0:v>
      </ns0:c>
      <ns0:c r="J970" s="7" t="n">
        <ns0:v>1298.856209150326</ns0:v>
      </ns0:c>
      <ns0:c r="K970" s="18" t="inlineStr">
        <ns0:is>
          <ns0:t>範囲内なし</ns0:t>
        </ns0:is>
      </ns0:c>
      <ns0:c r="L970" s="18" t="inlineStr">
        <ns0:is>
          <ns0:t>範囲内なし</ns0:t>
        </ns0:is>
      </ns0:c>
      <ns0:c r="M970" s="7" t="n">
        <ns0:v>-54584.12231375945</ns0:v>
      </ns0:c>
      <ns0:c r="N970" s="7" t="n">
        <ns0:v>-92559.90945336863</ns0:v>
      </ns0:c>
      <ns0:c r="O970" s="7" t="n">
        <ns0:v>-117925.8926714093</ns0:v>
      </ns0:c>
      <ns0:c r="P970" s="7" t="n">
        <ns0:v>-181340.8507165107</ns0:v>
      </ns0:c>
      <ns0:c r="Q970" s="7" t="n">
        <ns0:v>-477000.6828969162</ns0:v>
      </ns0:c>
      <ns0:c r="R970" s="7" t="n">
        <ns0:v>-1434810.095528338</ns0:v>
      </ns0:c>
    </ns0:row>
    <ns0:row r="971" ht="24" customHeight="1">
      <ns0:c r="A971" s="3" t="inlineStr">
        <ns0:is>
          <ns0:t>セット</ns0:t>
        </ns0:is>
      </ns0:c>
      <ns0:c r="B971" s="3" t="inlineStr">
        <ns0:is>
          <ns0:t>G3三段階</ns0:t>
        </ns0:is>
      </ns0:c>
      <ns0:c r="C971" s="3" t="inlineStr">
        <ns0:is>
          <ns0:t>C</ns0:t>
        </ns0:is>
      </ns0:c>
      <ns0:c r="D971" s="4" t="n">
        <ns0:v>2</ns0:v>
      </ns0:c>
      <ns0:c r="E971" s="4" t="n">
        <ns0:v>500</ns0:v>
      </ns0:c>
      <ns0:c r="F971" s="6" t="n">
        <ns0:v>0.3</ns0:v>
      </ns0:c>
      <ns0:c r="G971" s="4" t="n">
        <ns0:v>3</ns0:v>
      </ns0:c>
      <ns0:c r="H971" s="7" t="n">
        <ns0:v>10824.72766884531</ns0:v>
      </ns0:c>
      <ns0:c r="I971" s="7" t="n">
        <ns0:v>4329.520697167755</ns0:v>
      </ns0:c>
      <ns0:c r="J971" s="7" t="n">
        <ns0:v>1298.856209150326</ns0:v>
      </ns0:c>
      <ns0:c r="K971" s="7" t="n">
        <ns0:v>13</ns0:v>
      </ns0:c>
      <ns0:c r="L971" s="7" t="n">
        <ns0:v>23</ns0:v>
      </ns0:c>
      <ns0:c r="M971" s="7" t="n">
        <ns0:v>1706.806115866249</ns0:v>
      </ns0:c>
      <ns0:c r="N971" s="7" t="n">
        <ns0:v>76312.87583550849</ns0:v>
      </ns0:c>
      <ns0:c r="O971" s="7" t="n">
        <ns0:v>163528.7494767193</ns0:v>
      </ns0:c>
      <ns0:c r="P971" s="7" t="n">
        <ns0:v>381568.4335797465</ns0:v>
      </ns0:c>
      <ns0:c r="Q971" s="7" t="n">
        <ns0:v>1211727.169991855</ns0:v>
      </ns0:c>
      <ns0:c r="R971" s="7" t="n">
        <ns0:v>4194282.747434234</ns0:v>
      </ns0:c>
    </ns0:row>
    <ns0:row r="972" ht="24" customHeight="1">
      <ns0:c r="A972" s="3" t="inlineStr">
        <ns0:is>
          <ns0:t>セット</ns0:t>
        </ns0:is>
      </ns0:c>
      <ns0:c r="B972" s="3" t="inlineStr">
        <ns0:is>
          <ns0:t>G3三段階</ns0:t>
        </ns0:is>
      </ns0:c>
      <ns0:c r="C972" s="3" t="inlineStr">
        <ns0:is>
          <ns0:t>C</ns0:t>
        </ns0:is>
      </ns0:c>
      <ns0:c r="D972" s="4" t="n">
        <ns0:v>2</ns0:v>
      </ns0:c>
      <ns0:c r="E972" s="4" t="n">
        <ns0:v>500</ns0:v>
      </ns0:c>
      <ns0:c r="F972" s="6" t="n">
        <ns0:v>0.4</ns0:v>
      </ns0:c>
      <ns0:c r="G972" s="4" t="n">
        <ns0:v>0</ns0:v>
      </ns0:c>
      <ns0:c r="H972" s="7" t="n">
        <ns0:v>10824.72766884531</ns0:v>
      </ns0:c>
      <ns0:c r="I972" s="7" t="n">
        <ns0:v>4329.520697167755</ns0:v>
      </ns0:c>
      <ns0:c r="J972" s="7" t="n">
        <ns0:v>1731.808278867102</ns0:v>
      </ns0:c>
      <ns0:c r="K972" s="7" t="n">
        <ns0:v>9</ns0:v>
      </ns0:c>
      <ns0:c r="L972" s="7" t="n">
        <ns0:v>12</ns0:v>
      </ns0:c>
      <ns0:c r="M972" s="7" t="n">
        <ns0:v>13801.23532986306</ns0:v>
      </ns0:c>
      <ns0:c r="N972" s="7" t="n">
        <ns0:v>112596.1634774989</ns0:v>
      </ns0:c>
      <ns0:c r="O972" s="7" t="n">
        <ns0:v>224000.8955467034</ns0:v>
      </ns0:c>
      <ns0:c r="P972" s="7" t="n">
        <ns0:v>502512.7257197147</ns0:v>
      </ns0:c>
      <ns0:c r="Q972" s="7" t="n">
        <ns0:v>1574560.04641176</ns0:v>
      </ns0:c>
      <ns0:c r="R972" s="7" t="n">
        <ns0:v>5403725.668833915</ns0:v>
      </ns0:c>
    </ns0:row>
    <ns0:row r="973" ht="24" customHeight="1">
      <ns0:c r="A973" s="3" t="inlineStr">
        <ns0:is>
          <ns0:t>セット</ns0:t>
        </ns0:is>
      </ns0:c>
      <ns0:c r="B973" s="3" t="inlineStr">
        <ns0:is>
          <ns0:t>G3三段階</ns0:t>
        </ns0:is>
      </ns0:c>
      <ns0:c r="C973" s="3" t="inlineStr">
        <ns0:is>
          <ns0:t>C</ns0:t>
        </ns0:is>
      </ns0:c>
      <ns0:c r="D973" s="4" t="n">
        <ns0:v>2</ns0:v>
      </ns0:c>
      <ns0:c r="E973" s="4" t="n">
        <ns0:v>500</ns0:v>
      </ns0:c>
      <ns0:c r="F973" s="6" t="n">
        <ns0:v>0.4</ns0:v>
      </ns0:c>
      <ns0:c r="G973" s="4" t="n">
        <ns0:v>1</ns0:v>
      </ns0:c>
      <ns0:c r="H973" s="7" t="n">
        <ns0:v>10824.72766884531</ns0:v>
      </ns0:c>
      <ns0:c r="I973" s="7" t="n">
        <ns0:v>4329.520697167755</ns0:v>
      </ns0:c>
      <ns0:c r="J973" s="7" t="n">
        <ns0:v>1731.808278867102</ns0:v>
      </ns0:c>
      <ns0:c r="K973" s="7" t="n">
        <ns0:v>9</ns0:v>
      </ns0:c>
      <ns0:c r="L973" s="7" t="n">
        <ns0:v>15</ns0:v>
      </ns0:c>
      <ns0:c r="M973" s="7" t="n">
        <ns0:v>8412.765937560653</ns0:v>
      </ns0:c>
      <ns0:c r="N973" s="7" t="n">
        <ns0:v>96430.75530059167</ns0:v>
      </ns0:c>
      <ns0:c r="O973" s="7" t="n">
        <ns0:v>197058.5485851914</ns0:v>
      </ns0:c>
      <ns0:c r="P973" s="7" t="n">
        <ns0:v>448628.0317966905</ns0:v>
      </ns0:c>
      <ns0:c r="Q973" s="7" t="n">
        <ns0:v>1412905.964642687</ns0:v>
      </ns0:c>
      <ns0:c r="R973" s="7" t="n">
        <ns0:v>4864878.729603674</ns0:v>
      </ns0:c>
    </ns0:row>
    <ns0:row r="974" ht="24" customHeight="1">
      <ns0:c r="A974" s="3" t="inlineStr">
        <ns0:is>
          <ns0:t>セット</ns0:t>
        </ns0:is>
      </ns0:c>
      <ns0:c r="B974" s="3" t="inlineStr">
        <ns0:is>
          <ns0:t>G3三段階</ns0:t>
        </ns0:is>
      </ns0:c>
      <ns0:c r="C974" s="3" t="inlineStr">
        <ns0:is>
          <ns0:t>C</ns0:t>
        </ns0:is>
      </ns0:c>
      <ns0:c r="D974" s="4" t="n">
        <ns0:v>2</ns0:v>
      </ns0:c>
      <ns0:c r="E974" s="4" t="n">
        <ns0:v>500</ns0:v>
      </ns0:c>
      <ns0:c r="F974" s="6" t="n">
        <ns0:v>0.4</ns0:v>
      </ns0:c>
      <ns0:c r="G974" s="4" t="n">
        <ns0:v>2</ns0:v>
      </ns0:c>
      <ns0:c r="H974" s="7" t="n">
        <ns0:v>10824.72766884531</ns0:v>
      </ns0:c>
      <ns0:c r="I974" s="7" t="n">
        <ns0:v>4329.520697167755</ns0:v>
      </ns0:c>
      <ns0:c r="J974" s="7" t="n">
        <ns0:v>1731.808278867102</ns0:v>
      </ns0:c>
      <ns0:c r="K974" s="18" t="inlineStr">
        <ns0:is>
          <ns0:t>範囲内なし</ns0:t>
        </ns0:is>
      </ns0:c>
      <ns0:c r="L974" s="18" t="inlineStr">
        <ns0:is>
          <ns0:t>範囲内なし</ns0:t>
        </ns0:is>
      </ns0:c>
      <ns0:c r="M974" s="7" t="n">
        <ns0:v>-58913.64301092723</ns0:v>
      </ns0:c>
      <ns0:c r="N974" s="7" t="n">
        <ns0:v>-105548.471544872</ns0:v>
      </ns0:c>
      <ns0:c r="O974" s="7" t="n">
        <ns0:v>-139573.496157248</ns0:v>
      </ns0:c>
      <ns0:c r="P974" s="7" t="n">
        <ns0:v>-224636.0576881882</ns0:v>
      </ns0:c>
      <ns0:c r="Q974" s="7" t="n">
        <ns0:v>-606886.3038119489</ns0:v>
      </ns0:c>
      <ns0:c r="R974" s="7" t="n">
        <ns0:v>-1867762.165245114</ns0:v>
      </ns0:c>
    </ns0:row>
    <ns0:row r="975" ht="24" customHeight="1">
      <ns0:c r="A975" s="3" t="inlineStr">
        <ns0:is>
          <ns0:t>セット</ns0:t>
        </ns0:is>
      </ns0:c>
      <ns0:c r="B975" s="3" t="inlineStr">
        <ns0:is>
          <ns0:t>G3三段階</ns0:t>
        </ns0:is>
      </ns0:c>
      <ns0:c r="C975" s="3" t="inlineStr">
        <ns0:is>
          <ns0:t>C</ns0:t>
        </ns0:is>
      </ns0:c>
      <ns0:c r="D975" s="4" t="n">
        <ns0:v>2</ns0:v>
      </ns0:c>
      <ns0:c r="E975" s="4" t="n">
        <ns0:v>500</ns0:v>
      </ns0:c>
      <ns0:c r="F975" s="6" t="n">
        <ns0:v>0.4</ns0:v>
      </ns0:c>
      <ns0:c r="G975" s="4" t="n">
        <ns0:v>3</ns0:v>
      </ns0:c>
      <ns0:c r="H975" s="7" t="n">
        <ns0:v>10824.72766884531</ns0:v>
      </ns0:c>
      <ns0:c r="I975" s="7" t="n">
        <ns0:v>4329.520697167755</ns0:v>
      </ns0:c>
      <ns0:c r="J975" s="7" t="n">
        <ns0:v>1731.808278867102</ns0:v>
      </ns0:c>
      <ns0:c r="K975" s="7" t="n">
        <ns0:v>14</ns0:v>
      </ns0:c>
      <ns0:c r="L975" s="7" t="n">
        <ns0:v>26</ns0:v>
      </ns0:c>
      <ns0:c r="M975" s="7" t="n">
        <ns0:v>-2622.714581301512</ns0:v>
      </ns0:c>
      <ns0:c r="N975" s="7" t="n">
        <ns0:v>63324.3137440052</ns0:v>
      </ns0:c>
      <ns0:c r="O975" s="7" t="n">
        <ns0:v>141881.1459908806</ns0:v>
      </ns0:c>
      <ns0:c r="P975" s="7" t="n">
        <ns0:v>338273.2266080689</ns0:v>
      </ns0:c>
      <ns0:c r="Q975" s="7" t="n">
        <ns0:v>1081841.549076823</ns0:v>
      </ns0:c>
      <ns0:c r="R975" s="7" t="n">
        <ns0:v>3761330.677717458</ns0:v>
      </ns0:c>
    </ns0:row>
    <ns0:row r="976" ht="24" customHeight="1">
      <ns0:c r="A976" s="3" t="inlineStr">
        <ns0:is>
          <ns0:t>セット</ns0:t>
        </ns0:is>
      </ns0:c>
      <ns0:c r="B976" s="3" t="inlineStr">
        <ns0:is>
          <ns0:t>G3三段階</ns0:t>
        </ns0:is>
      </ns0:c>
      <ns0:c r="C976" s="3" t="inlineStr">
        <ns0:is>
          <ns0:t>C</ns0:t>
        </ns0:is>
      </ns0:c>
      <ns0:c r="D976" s="4" t="n">
        <ns0:v>2</ns0:v>
      </ns0:c>
      <ns0:c r="E976" s="4" t="n">
        <ns0:v>500</ns0:v>
      </ns0:c>
      <ns0:c r="F976" s="6" t="n">
        <ns0:v>0.5</ns0:v>
      </ns0:c>
      <ns0:c r="G976" s="4" t="n">
        <ns0:v>0</ns0:v>
      </ns0:c>
      <ns0:c r="H976" s="7" t="n">
        <ns0:v>10824.72766884531</ns0:v>
      </ns0:c>
      <ns0:c r="I976" s="7" t="n">
        <ns0:v>4329.520697167755</ns0:v>
      </ns0:c>
      <ns0:c r="J976" s="7" t="n">
        <ns0:v>2164.760348583878</ns0:v>
      </ns0:c>
      <ns0:c r="K976" s="7" t="n">
        <ns0:v>9</ns0:v>
      </ns0:c>
      <ns0:c r="L976" s="7" t="n">
        <ns0:v>13</ns0:v>
      </ns0:c>
      <ns0:c r="M976" s="7" t="n">
        <ns0:v>9471.714632695315</ns0:v>
      </ns0:c>
      <ns0:c r="N976" s="7" t="n">
        <ns0:v>99607.60138599566</ns0:v>
      </ns0:c>
      <ns0:c r="O976" s="7" t="n">
        <ns0:v>202353.2920608647</ns0:v>
      </ns0:c>
      <ns0:c r="P976" s="7" t="n">
        <ns0:v>459217.5187480372</ns0:v>
      </ns0:c>
      <ns0:c r="Q976" s="7" t="n">
        <ns0:v>1444674.425496727</ns0:v>
      </ns0:c>
      <ns0:c r="R976" s="7" t="n">
        <ns0:v>4970773.59911714</ns0:v>
      </ns0:c>
    </ns0:row>
    <ns0:row r="977" ht="24" customHeight="1">
      <ns0:c r="A977" s="3" t="inlineStr">
        <ns0:is>
          <ns0:t>セット</ns0:t>
        </ns0:is>
      </ns0:c>
      <ns0:c r="B977" s="3" t="inlineStr">
        <ns0:is>
          <ns0:t>G3三段階</ns0:t>
        </ns0:is>
      </ns0:c>
      <ns0:c r="C977" s="3" t="inlineStr">
        <ns0:is>
          <ns0:t>C</ns0:t>
        </ns0:is>
      </ns0:c>
      <ns0:c r="D977" s="4" t="n">
        <ns0:v>2</ns0:v>
      </ns0:c>
      <ns0:c r="E977" s="4" t="n">
        <ns0:v>500</ns0:v>
      </ns0:c>
      <ns0:c r="F977" s="6" t="n">
        <ns0:v>0.5</ns0:v>
      </ns0:c>
      <ns0:c r="G977" s="4" t="n">
        <ns0:v>1</ns0:v>
      </ns0:c>
      <ns0:c r="H977" s="7" t="n">
        <ns0:v>10824.72766884531</ns0:v>
      </ns0:c>
      <ns0:c r="I977" s="7" t="n">
        <ns0:v>4329.520697167755</ns0:v>
      </ns0:c>
      <ns0:c r="J977" s="7" t="n">
        <ns0:v>2164.760348583878</ns0:v>
      </ns0:c>
      <ns0:c r="K977" s="7" t="n">
        <ns0:v>12</ns0:v>
      </ns0:c>
      <ns0:c r="L977" s="7" t="n">
        <ns0:v>16</ns0:v>
      </ns0:c>
      <ns0:c r="M977" s="7" t="n">
        <ns0:v>4083.245240392906</ns0:v>
      </ns0:c>
      <ns0:c r="N977" s="7" t="n">
        <ns0:v>83442.19320908844</ns0:v>
      </ns0:c>
      <ns0:c r="O977" s="7" t="n">
        <ns0:v>175410.9450993526</ns0:v>
      </ns0:c>
      <ns0:c r="P977" s="7" t="n">
        <ns0:v>405332.8248250131</ns0:v>
      </ns0:c>
      <ns0:c r="Q977" s="7" t="n">
        <ns0:v>1283020.343727655</ns0:v>
      </ns0:c>
      <ns0:c r="R977" s="7" t="n">
        <ns0:v>4431926.659886899</ns0:v>
      </ns0:c>
    </ns0:row>
    <ns0:row r="978" ht="24" customHeight="1">
      <ns0:c r="A978" s="3" t="inlineStr">
        <ns0:is>
          <ns0:t>セット</ns0:t>
        </ns0:is>
      </ns0:c>
      <ns0:c r="B978" s="3" t="inlineStr">
        <ns0:is>
          <ns0:t>G3三段階</ns0:t>
        </ns0:is>
      </ns0:c>
      <ns0:c r="C978" s="3" t="inlineStr">
        <ns0:is>
          <ns0:t>C</ns0:t>
        </ns0:is>
      </ns0:c>
      <ns0:c r="D978" s="4" t="n">
        <ns0:v>2</ns0:v>
      </ns0:c>
      <ns0:c r="E978" s="4" t="n">
        <ns0:v>500</ns0:v>
      </ns0:c>
      <ns0:c r="F978" s="6" t="n">
        <ns0:v>0.5</ns0:v>
      </ns0:c>
      <ns0:c r="G978" s="4" t="n">
        <ns0:v>2</ns0:v>
      </ns0:c>
      <ns0:c r="H978" s="7" t="n">
        <ns0:v>10824.72766884531</ns0:v>
      </ns0:c>
      <ns0:c r="I978" s="7" t="n">
        <ns0:v>4329.520697167755</ns0:v>
      </ns0:c>
      <ns0:c r="J978" s="7" t="n">
        <ns0:v>2164.760348583878</ns0:v>
      </ns0:c>
      <ns0:c r="K978" s="18" t="inlineStr">
        <ns0:is>
          <ns0:t>範囲内なし</ns0:t>
        </ns0:is>
      </ns0:c>
      <ns0:c r="L978" s="18" t="inlineStr">
        <ns0:is>
          <ns0:t>範囲内なし</ns0:t>
        </ns0:is>
      </ns0:c>
      <ns0:c r="M978" s="7" t="n">
        <ns0:v>-63243.16370809497</ns0:v>
      </ns0:c>
      <ns0:c r="N978" s="7" t="n">
        <ns0:v>-118537.0336363752</ns0:v>
      </ns0:c>
      <ns0:c r="O978" s="7" t="n">
        <ns0:v>-161221.0996430868</ns0:v>
      </ns0:c>
      <ns0:c r="P978" s="7" t="n">
        <ns0:v>-267931.2646598658</ns0:v>
      </ns0:c>
      <ns0:c r="Q978" s="7" t="n">
        <ns0:v>-736771.9247269816</ns0:v>
      </ns0:c>
      <ns0:c r="R978" s="7" t="n">
        <ns0:v>-2300714.234961888</ns0:v>
      </ns0:c>
    </ns0:row>
    <ns0:row r="979" ht="24" customHeight="1">
      <ns0:c r="A979" s="3" t="inlineStr">
        <ns0:is>
          <ns0:t>セット</ns0:t>
        </ns0:is>
      </ns0:c>
      <ns0:c r="B979" s="3" t="inlineStr">
        <ns0:is>
          <ns0:t>G3三段階</ns0:t>
        </ns0:is>
      </ns0:c>
      <ns0:c r="C979" s="3" t="inlineStr">
        <ns0:is>
          <ns0:t>C</ns0:t>
        </ns0:is>
      </ns0:c>
      <ns0:c r="D979" s="4" t="n">
        <ns0:v>2</ns0:v>
      </ns0:c>
      <ns0:c r="E979" s="4" t="n">
        <ns0:v>500</ns0:v>
      </ns0:c>
      <ns0:c r="F979" s="6" t="n">
        <ns0:v>0.5</ns0:v>
      </ns0:c>
      <ns0:c r="G979" s="4" t="n">
        <ns0:v>3</ns0:v>
      </ns0:c>
      <ns0:c r="H979" s="7" t="n">
        <ns0:v>10824.72766884531</ns0:v>
      </ns0:c>
      <ns0:c r="I979" s="7" t="n">
        <ns0:v>4329.520697167755</ns0:v>
      </ns0:c>
      <ns0:c r="J979" s="7" t="n">
        <ns0:v>2164.760348583878</ns0:v>
      </ns0:c>
      <ns0:c r="K979" s="7" t="n">
        <ns0:v>16</ns0:v>
      </ns0:c>
      <ns0:c r="L979" s="7" t="n">
        <ns0:v>30</ns0:v>
      </ns0:c>
      <ns0:c r="M979" s="7" t="n">
        <ns0:v>-6952.235278469259</ns0:v>
      </ns0:c>
      <ns0:c r="N979" s="7" t="n">
        <ns0:v>50335.75165250194</ns0:v>
      </ns0:c>
      <ns0:c r="O979" s="7" t="n">
        <ns0:v>120233.5425050418</ns0:v>
      </ns0:c>
      <ns0:c r="P979" s="7" t="n">
        <ns0:v>294978.0196363914</ns0:v>
      </ns0:c>
      <ns0:c r="Q979" s="7" t="n">
        <ns0:v>951955.9281617899</ns0:v>
      </ns0:c>
      <ns0:c r="R979" s="7" t="n">
        <ns0:v>3328378.608000684</ns0:v>
      </ns0:c>
    </ns0:row>
    <ns0:row r="980" ht="24" customHeight="1">
      <ns0:c r="A980" s="3" t="inlineStr">
        <ns0:is>
          <ns0:t>セット</ns0:t>
        </ns0:is>
      </ns0:c>
      <ns0:c r="B980" s="3" t="inlineStr">
        <ns0:is>
          <ns0:t>G3三段階</ns0:t>
        </ns0:is>
      </ns0:c>
      <ns0:c r="C980" s="3" t="inlineStr">
        <ns0:is>
          <ns0:t>C</ns0:t>
        </ns0:is>
      </ns0:c>
      <ns0:c r="D980" s="4" t="n">
        <ns0:v>2</ns0:v>
      </ns0:c>
      <ns0:c r="E980" s="4" t="n">
        <ns0:v>1000</ns0:v>
      </ns0:c>
      <ns0:c r="F980" s="6" t="n">
        <ns0:v>0.3</ns0:v>
      </ns0:c>
      <ns0:c r="G980" s="4" t="n">
        <ns0:v>0</ns0:v>
      </ns0:c>
      <ns0:c r="H980" s="7" t="n">
        <ns0:v>10324.72766884532</ns0:v>
      </ns0:c>
      <ns0:c r="I980" s="7" t="n">
        <ns0:v>3829.520697167756</ns0:v>
      </ns0:c>
      <ns0:c r="J980" s="7" t="n">
        <ns0:v>1148.856209150327</ns0:v>
      </ns0:c>
      <ns0:c r="K980" s="7" t="n">
        <ns0:v>9</ns0:v>
      </ns0:c>
      <ns0:c r="L980" s="7" t="n">
        <ns0:v>12</ns0:v>
      </ns0:c>
      <ns0:c r="M980" s="7" t="n">
        <ns0:v>14810.75602703082</ns0:v>
      </ns0:c>
      <ns0:c r="N980" s="7" t="n">
        <ns0:v>115624.7255690022</ns0:v>
      </ns0:c>
      <ns0:c r="O980" s="7" t="n">
        <ns0:v>229048.4990325422</ns0:v>
      </ns0:c>
      <ns0:c r="P980" s="7" t="n">
        <ns0:v>512607.9326913923</ns0:v>
      </ns0:c>
      <ns0:c r="Q980" s="7" t="n">
        <ns0:v>1604845.667326792</ns0:v>
      </ns0:c>
      <ns0:c r="R980" s="7" t="n">
        <ns0:v>5504677.738550693</ns0:v>
      </ns0:c>
    </ns0:row>
    <ns0:row r="981" ht="24" customHeight="1">
      <ns0:c r="A981" s="3" t="inlineStr">
        <ns0:is>
          <ns0:t>セット</ns0:t>
        </ns0:is>
      </ns0:c>
      <ns0:c r="B981" s="3" t="inlineStr">
        <ns0:is>
          <ns0:t>G3三段階</ns0:t>
        </ns0:is>
      </ns0:c>
      <ns0:c r="C981" s="3" t="inlineStr">
        <ns0:is>
          <ns0:t>C</ns0:t>
        </ns0:is>
      </ns0:c>
      <ns0:c r="D981" s="4" t="n">
        <ns0:v>2</ns0:v>
      </ns0:c>
      <ns0:c r="E981" s="4" t="n">
        <ns0:v>1000</ns0:v>
      </ns0:c>
      <ns0:c r="F981" s="6" t="n">
        <ns0:v>0.3</ns0:v>
      </ns0:c>
      <ns0:c r="G981" s="4" t="n">
        <ns0:v>1</ns0:v>
      </ns0:c>
      <ns0:c r="H981" s="7" t="n">
        <ns0:v>10324.72766884532</ns0:v>
      </ns0:c>
      <ns0:c r="I981" s="7" t="n">
        <ns0:v>3829.520697167756</ns0:v>
      </ns0:c>
      <ns0:c r="J981" s="7" t="n">
        <ns0:v>1148.856209150327</ns0:v>
      </ns0:c>
      <ns0:c r="K981" s="7" t="n">
        <ns0:v>9</ns0:v>
      </ns0:c>
      <ns0:c r="L981" s="7" t="n">
        <ns0:v>14</ns0:v>
      </ns0:c>
      <ns0:c r="M981" s="7" t="n">
        <ns0:v>9422.286634728414</ns0:v>
      </ns0:c>
      <ns0:c r="N981" s="7" t="n">
        <ns0:v>99459.31739209499</ns0:v>
      </ns0:c>
      <ns0:c r="O981" s="7" t="n">
        <ns0:v>202106.1520710302</ns0:v>
      </ns0:c>
      <ns0:c r="P981" s="7" t="n">
        <ns0:v>458723.2387683683</ns0:v>
      </ns0:c>
      <ns0:c r="Q981" s="7" t="n">
        <ns0:v>1443191.58555772</ns0:v>
      </ns0:c>
      <ns0:c r="R981" s="7" t="n">
        <ns0:v>4965830.799320452</ns0:v>
      </ns0:c>
    </ns0:row>
    <ns0:row r="982" ht="24" customHeight="1">
      <ns0:c r="A982" s="3" t="inlineStr">
        <ns0:is>
          <ns0:t>セット</ns0:t>
        </ns0:is>
      </ns0:c>
      <ns0:c r="B982" s="3" t="inlineStr">
        <ns0:is>
          <ns0:t>G3三段階</ns0:t>
        </ns0:is>
      </ns0:c>
      <ns0:c r="C982" s="3" t="inlineStr">
        <ns0:is>
          <ns0:t>C</ns0:t>
        </ns0:is>
      </ns0:c>
      <ns0:c r="D982" s="4" t="n">
        <ns0:v>2</ns0:v>
      </ns0:c>
      <ns0:c r="E982" s="4" t="n">
        <ns0:v>1000</ns0:v>
      </ns0:c>
      <ns0:c r="F982" s="6" t="n">
        <ns0:v>0.3</ns0:v>
      </ns0:c>
      <ns0:c r="G982" s="4" t="n">
        <ns0:v>2</ns0:v>
      </ns0:c>
      <ns0:c r="H982" s="7" t="n">
        <ns0:v>10324.72766884532</ns0:v>
      </ns0:c>
      <ns0:c r="I982" s="7" t="n">
        <ns0:v>3829.520697167756</ns0:v>
      </ns0:c>
      <ns0:c r="J982" s="7" t="n">
        <ns0:v>1148.856209150327</ns0:v>
      </ns0:c>
      <ns0:c r="K982" s="18" t="inlineStr">
        <ns0:is>
          <ns0:t>範囲内なし</ns0:t>
        </ns0:is>
      </ns0:c>
      <ns0:c r="L982" s="18" t="inlineStr">
        <ns0:is>
          <ns0:t>範囲内なし</ns0:t>
        </ns0:is>
      </ns0:c>
      <ns0:c r="M982" s="7" t="n">
        <ns0:v>-57904.12231375947</ns0:v>
      </ns0:c>
      <ns0:c r="N982" s="7" t="n">
        <ns0:v>-102519.9094533686</ns0:v>
      </ns0:c>
      <ns0:c r="O982" s="7" t="n">
        <ns0:v>-134525.8926714092</ns0:v>
      </ns0:c>
      <ns0:c r="P982" s="7" t="n">
        <ns0:v>-214540.8507165106</ns0:v>
      </ns0:c>
      <ns0:c r="Q982" s="7" t="n">
        <ns0:v>-576600.6828969162</ns0:v>
      </ns0:c>
      <ns0:c r="R982" s="7" t="n">
        <ns0:v>-1766810.095528336</ns0:v>
      </ns0:c>
    </ns0:row>
    <ns0:row r="983" ht="24" customHeight="1">
      <ns0:c r="A983" s="3" t="inlineStr">
        <ns0:is>
          <ns0:t>セット</ns0:t>
        </ns0:is>
      </ns0:c>
      <ns0:c r="B983" s="3" t="inlineStr">
        <ns0:is>
          <ns0:t>G3三段階</ns0:t>
        </ns0:is>
      </ns0:c>
      <ns0:c r="C983" s="3" t="inlineStr">
        <ns0:is>
          <ns0:t>C</ns0:t>
        </ns0:is>
      </ns0:c>
      <ns0:c r="D983" s="4" t="n">
        <ns0:v>2</ns0:v>
      </ns0:c>
      <ns0:c r="E983" s="4" t="n">
        <ns0:v>1000</ns0:v>
      </ns0:c>
      <ns0:c r="F983" s="6" t="n">
        <ns0:v>0.3</ns0:v>
      </ns0:c>
      <ns0:c r="G983" s="4" t="n">
        <ns0:v>3</ns0:v>
      </ns0:c>
      <ns0:c r="H983" s="7" t="n">
        <ns0:v>10324.72766884532</ns0:v>
      </ns0:c>
      <ns0:c r="I983" s="7" t="n">
        <ns0:v>3829.520697167756</ns0:v>
      </ns0:c>
      <ns0:c r="J983" s="7" t="n">
        <ns0:v>1148.856209150327</ns0:v>
      </ns0:c>
      <ns0:c r="K983" s="7" t="n">
        <ns0:v>14</ns0:v>
      </ns0:c>
      <ns0:c r="L983" s="7" t="n">
        <ns0:v>25</ns0:v>
      </ns0:c>
      <ns0:c r="M983" s="7" t="n">
        <ns0:v>-1613.193884133751</ns0:v>
      </ns0:c>
      <ns0:c r="N983" s="7" t="n">
        <ns0:v>66352.87583550852</ns0:v>
      </ns0:c>
      <ns0:c r="O983" s="7" t="n">
        <ns0:v>146928.7494767194</ns0:v>
      </ns0:c>
      <ns0:c r="P983" s="7" t="n">
        <ns0:v>348368.4335797466</ns0:v>
      </ns0:c>
      <ns0:c r="Q983" s="7" t="n">
        <ns0:v>1112127.169991855</ns0:v>
      </ns0:c>
      <ns0:c r="R983" s="7" t="n">
        <ns0:v>3862282.747434236</ns0:v>
      </ns0:c>
    </ns0:row>
    <ns0:row r="984" ht="24" customHeight="1">
      <ns0:c r="A984" s="3" t="inlineStr">
        <ns0:is>
          <ns0:t>セット</ns0:t>
        </ns0:is>
      </ns0:c>
      <ns0:c r="B984" s="3" t="inlineStr">
        <ns0:is>
          <ns0:t>G3三段階</ns0:t>
        </ns0:is>
      </ns0:c>
      <ns0:c r="C984" s="3" t="inlineStr">
        <ns0:is>
          <ns0:t>C</ns0:t>
        </ns0:is>
      </ns0:c>
      <ns0:c r="D984" s="4" t="n">
        <ns0:v>2</ns0:v>
      </ns0:c>
      <ns0:c r="E984" s="4" t="n">
        <ns0:v>1000</ns0:v>
      </ns0:c>
      <ns0:c r="F984" s="6" t="n">
        <ns0:v>0.4</ns0:v>
      </ns0:c>
      <ns0:c r="G984" s="4" t="n">
        <ns0:v>0</ns0:v>
      </ns0:c>
      <ns0:c r="H984" s="7" t="n">
        <ns0:v>10324.72766884532</ns0:v>
      </ns0:c>
      <ns0:c r="I984" s="7" t="n">
        <ns0:v>3829.520697167756</ns0:v>
      </ns0:c>
      <ns0:c r="J984" s="7" t="n">
        <ns0:v>1531.808278867103</ns0:v>
      </ns0:c>
      <ns0:c r="K984" s="7" t="n">
        <ns0:v>9</ns0:v>
      </ns0:c>
      <ns0:c r="L984" s="7" t="n">
        <ns0:v>12</ns0:v>
      </ns0:c>
      <ns0:c r="M984" s="7" t="n">
        <ns0:v>10981.23532986307</ns0:v>
      </ns0:c>
      <ns0:c r="N984" s="7" t="n">
        <ns0:v>104136.163477499</ns0:v>
      </ns0:c>
      <ns0:c r="O984" s="7" t="n">
        <ns0:v>209900.8955467034</ns0:v>
      </ns0:c>
      <ns0:c r="P984" s="7" t="n">
        <ns0:v>474312.7257197145</ns0:v>
      </ns0:c>
      <ns0:c r="Q984" s="7" t="n">
        <ns0:v>1489960.04641176</ns0:v>
      </ns0:c>
      <ns0:c r="R984" s="7" t="n">
        <ns0:v>5121725.668833917</ns0:v>
      </ns0:c>
    </ns0:row>
    <ns0:row r="985" ht="24" customHeight="1">
      <ns0:c r="A985" s="3" t="inlineStr">
        <ns0:is>
          <ns0:t>セット</ns0:t>
        </ns0:is>
      </ns0:c>
      <ns0:c r="B985" s="3" t="inlineStr">
        <ns0:is>
          <ns0:t>G3三段階</ns0:t>
        </ns0:is>
      </ns0:c>
      <ns0:c r="C985" s="3" t="inlineStr">
        <ns0:is>
          <ns0:t>C</ns0:t>
        </ns0:is>
      </ns0:c>
      <ns0:c r="D985" s="4" t="n">
        <ns0:v>2</ns0:v>
      </ns0:c>
      <ns0:c r="E985" s="4" t="n">
        <ns0:v>1000</ns0:v>
      </ns0:c>
      <ns0:c r="F985" s="6" t="n">
        <ns0:v>0.4</ns0:v>
      </ns0:c>
      <ns0:c r="G985" s="4" t="n">
        <ns0:v>1</ns0:v>
      </ns0:c>
      <ns0:c r="H985" s="7" t="n">
        <ns0:v>10324.72766884532</ns0:v>
      </ns0:c>
      <ns0:c r="I985" s="7" t="n">
        <ns0:v>3829.520697167756</ns0:v>
      </ns0:c>
      <ns0:c r="J985" s="7" t="n">
        <ns0:v>1531.808278867103</ns0:v>
      </ns0:c>
      <ns0:c r="K985" s="7" t="n">
        <ns0:v>12</ns0:v>
      </ns0:c>
      <ns0:c r="L985" s="7" t="n">
        <ns0:v>15</ns0:v>
      </ns0:c>
      <ns0:c r="M985" s="7" t="n">
        <ns0:v>5592.765937560656</ns0:v>
      </ns0:c>
      <ns0:c r="N985" s="7" t="n">
        <ns0:v>87970.75530059173</ns0:v>
      </ns0:c>
      <ns0:c r="O985" s="7" t="n">
        <ns0:v>182958.5485851914</ns0:v>
      </ns0:c>
      <ns0:c r="P985" s="7" t="n">
        <ns0:v>420428.0317966905</ns0:v>
      </ns0:c>
      <ns0:c r="Q985" s="7" t="n">
        <ns0:v>1328305.964642687</ns0:v>
      </ns0:c>
      <ns0:c r="R985" s="7" t="n">
        <ns0:v>4582878.729603676</ns0:v>
      </ns0:c>
    </ns0:row>
    <ns0:row r="986" ht="24" customHeight="1">
      <ns0:c r="A986" s="3" t="inlineStr">
        <ns0:is>
          <ns0:t>セット</ns0:t>
        </ns0:is>
      </ns0:c>
      <ns0:c r="B986" s="3" t="inlineStr">
        <ns0:is>
          <ns0:t>G3三段階</ns0:t>
        </ns0:is>
      </ns0:c>
      <ns0:c r="C986" s="3" t="inlineStr">
        <ns0:is>
          <ns0:t>C</ns0:t>
        </ns0:is>
      </ns0:c>
      <ns0:c r="D986" s="4" t="n">
        <ns0:v>2</ns0:v>
      </ns0:c>
      <ns0:c r="E986" s="4" t="n">
        <ns0:v>1000</ns0:v>
      </ns0:c>
      <ns0:c r="F986" s="6" t="n">
        <ns0:v>0.4</ns0:v>
      </ns0:c>
      <ns0:c r="G986" s="4" t="n">
        <ns0:v>2</ns0:v>
      </ns0:c>
      <ns0:c r="H986" s="7" t="n">
        <ns0:v>10324.72766884532</ns0:v>
      </ns0:c>
      <ns0:c r="I986" s="7" t="n">
        <ns0:v>3829.520697167756</ns0:v>
      </ns0:c>
      <ns0:c r="J986" s="7" t="n">
        <ns0:v>1531.808278867103</ns0:v>
      </ns0:c>
      <ns0:c r="K986" s="18" t="inlineStr">
        <ns0:is>
          <ns0:t>範囲内なし</ns0:t>
        </ns0:is>
      </ns0:c>
      <ns0:c r="L986" s="18" t="inlineStr">
        <ns0:is>
          <ns0:t>範囲内なし</ns0:t>
        </ns0:is>
      </ns0:c>
      <ns0:c r="M986" s="7" t="n">
        <ns0:v>-61733.64301092721</ns0:v>
      </ns0:c>
      <ns0:c r="N986" s="7" t="n">
        <ns0:v>-114008.4715448719</ns0:v>
      </ns0:c>
      <ns0:c r="O986" s="7" t="n">
        <ns0:v>-153673.496157248</ns0:v>
      </ns0:c>
      <ns0:c r="P986" s="7" t="n">
        <ns0:v>-252836.0576881883</ns0:v>
      </ns0:c>
      <ns0:c r="Q986" s="7" t="n">
        <ns0:v>-691486.3038119489</ns0:v>
      </ns0:c>
      <ns0:c r="R986" s="7" t="n">
        <ns0:v>-2149762.165245112</ns0:v>
      </ns0:c>
    </ns0:row>
    <ns0:row r="987" ht="24" customHeight="1">
      <ns0:c r="A987" s="3" t="inlineStr">
        <ns0:is>
          <ns0:t>セット</ns0:t>
        </ns0:is>
      </ns0:c>
      <ns0:c r="B987" s="3" t="inlineStr">
        <ns0:is>
          <ns0:t>G3三段階</ns0:t>
        </ns0:is>
      </ns0:c>
      <ns0:c r="C987" s="3" t="inlineStr">
        <ns0:is>
          <ns0:t>C</ns0:t>
        </ns0:is>
      </ns0:c>
      <ns0:c r="D987" s="4" t="n">
        <ns0:v>2</ns0:v>
      </ns0:c>
      <ns0:c r="E987" s="4" t="n">
        <ns0:v>1000</ns0:v>
      </ns0:c>
      <ns0:c r="F987" s="6" t="n">
        <ns0:v>0.4</ns0:v>
      </ns0:c>
      <ns0:c r="G987" s="4" t="n">
        <ns0:v>3</ns0:v>
      </ns0:c>
      <ns0:c r="H987" s="7" t="n">
        <ns0:v>10324.72766884532</ns0:v>
      </ns0:c>
      <ns0:c r="I987" s="7" t="n">
        <ns0:v>3829.520697167756</ns0:v>
      </ns0:c>
      <ns0:c r="J987" s="7" t="n">
        <ns0:v>1531.808278867103</ns0:v>
      </ns0:c>
      <ns0:c r="K987" s="7" t="n">
        <ns0:v>15</ns0:v>
      </ns0:c>
      <ns0:c r="L987" s="7" t="n">
        <ns0:v>28</ns0:v>
      </ns0:c>
      <ns0:c r="M987" s="7" t="n">
        <ns0:v>-5442.714581301505</ns0:v>
      </ns0:c>
      <ns0:c r="N987" s="7" t="n">
        <ns0:v>54864.31374400526</ns0:v>
      </ns0:c>
      <ns0:c r="O987" s="7" t="n">
        <ns0:v>127781.1459908805</ns0:v>
      </ns0:c>
      <ns0:c r="P987" s="7" t="n">
        <ns0:v>310073.2266080689</ns0:v>
      </ns0:c>
      <ns0:c r="Q987" s="7" t="n">
        <ns0:v>997241.5490768224</ns0:v>
      </ns0:c>
      <ns0:c r="R987" s="7" t="n">
        <ns0:v>3479330.67771746</ns0:v>
      </ns0:c>
    </ns0:row>
    <ns0:row r="988" ht="24" customHeight="1">
      <ns0:c r="A988" s="3" t="inlineStr">
        <ns0:is>
          <ns0:t>セット</ns0:t>
        </ns0:is>
      </ns0:c>
      <ns0:c r="B988" s="3" t="inlineStr">
        <ns0:is>
          <ns0:t>G3三段階</ns0:t>
        </ns0:is>
      </ns0:c>
      <ns0:c r="C988" s="3" t="inlineStr">
        <ns0:is>
          <ns0:t>C</ns0:t>
        </ns0:is>
      </ns0:c>
      <ns0:c r="D988" s="4" t="n">
        <ns0:v>2</ns0:v>
      </ns0:c>
      <ns0:c r="E988" s="4" t="n">
        <ns0:v>1000</ns0:v>
      </ns0:c>
      <ns0:c r="F988" s="6" t="n">
        <ns0:v>0.5</ns0:v>
      </ns0:c>
      <ns0:c r="G988" s="4" t="n">
        <ns0:v>0</ns0:v>
      </ns0:c>
      <ns0:c r="H988" s="7" t="n">
        <ns0:v>10324.72766884532</ns0:v>
      </ns0:c>
      <ns0:c r="I988" s="7" t="n">
        <ns0:v>3829.520697167756</ns0:v>
      </ns0:c>
      <ns0:c r="J988" s="7" t="n">
        <ns0:v>1914.760348583878</ns0:v>
      </ns0:c>
      <ns0:c r="K988" s="7" t="n">
        <ns0:v>12</ns0:v>
      </ns0:c>
      <ns0:c r="L988" s="7" t="n">
        <ns0:v>13</ns0:v>
      </ns0:c>
      <ns0:c r="M988" s="7" t="n">
        <ns0:v>7151.714632695315</ns0:v>
      </ns0:c>
      <ns0:c r="N988" s="7" t="n">
        <ns0:v>92647.60138599572</ns0:v>
      </ns0:c>
      <ns0:c r="O988" s="7" t="n">
        <ns0:v>190753.2920608647</ns0:v>
      </ns0:c>
      <ns0:c r="P988" s="7" t="n">
        <ns0:v>436017.5187480372</ns0:v>
      </ns0:c>
      <ns0:c r="Q988" s="7" t="n">
        <ns0:v>1375074.425496727</ns0:v>
      </ns0:c>
      <ns0:c r="R988" s="7" t="n">
        <ns0:v>4738773.599117141</ns0:v>
      </ns0:c>
    </ns0:row>
    <ns0:row r="989" ht="24" customHeight="1">
      <ns0:c r="A989" s="3" t="inlineStr">
        <ns0:is>
          <ns0:t>セット</ns0:t>
        </ns0:is>
      </ns0:c>
      <ns0:c r="B989" s="3" t="inlineStr">
        <ns0:is>
          <ns0:t>G3三段階</ns0:t>
        </ns0:is>
      </ns0:c>
      <ns0:c r="C989" s="3" t="inlineStr">
        <ns0:is>
          <ns0:t>C</ns0:t>
        </ns0:is>
      </ns0:c>
      <ns0:c r="D989" s="4" t="n">
        <ns0:v>2</ns0:v>
      </ns0:c>
      <ns0:c r="E989" s="4" t="n">
        <ns0:v>1000</ns0:v>
      </ns0:c>
      <ns0:c r="F989" s="6" t="n">
        <ns0:v>0.5</ns0:v>
      </ns0:c>
      <ns0:c r="G989" s="4" t="n">
        <ns0:v>1</ns0:v>
      </ns0:c>
      <ns0:c r="H989" s="7" t="n">
        <ns0:v>10324.72766884532</ns0:v>
      </ns0:c>
      <ns0:c r="I989" s="7" t="n">
        <ns0:v>3829.520697167756</ns0:v>
      </ns0:c>
      <ns0:c r="J989" s="7" t="n">
        <ns0:v>1914.760348583878</ns0:v>
      </ns0:c>
      <ns0:c r="K989" s="7" t="n">
        <ns0:v>13</ns0:v>
      </ns0:c>
      <ns0:c r="L989" s="7" t="n">
        <ns0:v>16</ns0:v>
      </ns0:c>
      <ns0:c r="M989" s="7" t="n">
        <ns0:v>1763.245240392906</ns0:v>
      </ns0:c>
      <ns0:c r="N989" s="7" t="n">
        <ns0:v>76482.19320908847</ns0:v>
      </ns0:c>
      <ns0:c r="O989" s="7" t="n">
        <ns0:v>163810.9450993526</ns0:v>
      </ns0:c>
      <ns0:c r="P989" s="7" t="n">
        <ns0:v>382132.8248250131</ns0:v>
      </ns0:c>
      <ns0:c r="Q989" s="7" t="n">
        <ns0:v>1213420.343727655</ns0:v>
      </ns0:c>
      <ns0:c r="R989" s="7" t="n">
        <ns0:v>4199926.6598869</ns0:v>
      </ns0:c>
    </ns0:row>
    <ns0:row r="990" ht="24" customHeight="1">
      <ns0:c r="A990" s="3" t="inlineStr">
        <ns0:is>
          <ns0:t>セット</ns0:t>
        </ns0:is>
      </ns0:c>
      <ns0:c r="B990" s="3" t="inlineStr">
        <ns0:is>
          <ns0:t>G3三段階</ns0:t>
        </ns0:is>
      </ns0:c>
      <ns0:c r="C990" s="3" t="inlineStr">
        <ns0:is>
          <ns0:t>C</ns0:t>
        </ns0:is>
      </ns0:c>
      <ns0:c r="D990" s="4" t="n">
        <ns0:v>2</ns0:v>
      </ns0:c>
      <ns0:c r="E990" s="4" t="n">
        <ns0:v>1000</ns0:v>
      </ns0:c>
      <ns0:c r="F990" s="6" t="n">
        <ns0:v>0.5</ns0:v>
      </ns0:c>
      <ns0:c r="G990" s="4" t="n">
        <ns0:v>2</ns0:v>
      </ns0:c>
      <ns0:c r="H990" s="7" t="n">
        <ns0:v>10324.72766884532</ns0:v>
      </ns0:c>
      <ns0:c r="I990" s="7" t="n">
        <ns0:v>3829.520697167756</ns0:v>
      </ns0:c>
      <ns0:c r="J990" s="7" t="n">
        <ns0:v>1914.760348583878</ns0:v>
      </ns0:c>
      <ns0:c r="K990" s="18" t="inlineStr">
        <ns0:is>
          <ns0:t>範囲内なし</ns0:t>
        </ns0:is>
      </ns0:c>
      <ns0:c r="L990" s="18" t="inlineStr">
        <ns0:is>
          <ns0:t>範囲内なし</ns0:t>
        </ns0:is>
      </ns0:c>
      <ns0:c r="M990" s="7" t="n">
        <ns0:v>-65563.16370809497</ns0:v>
      </ns0:c>
      <ns0:c r="N990" s="7" t="n">
        <ns0:v>-125497.0336363752</ns0:v>
      </ns0:c>
      <ns0:c r="O990" s="7" t="n">
        <ns0:v>-172821.0996430867</ns0:v>
      </ns0:c>
      <ns0:c r="P990" s="7" t="n">
        <ns0:v>-291131.2646598656</ns0:v>
      </ns0:c>
      <ns0:c r="Q990" s="7" t="n">
        <ns0:v>-806371.9247269816</ns0:v>
      </ns0:c>
      <ns0:c r="R990" s="7" t="n">
        <ns0:v>-2532714.234961888</ns0:v>
      </ns0:c>
    </ns0:row>
    <ns0:row r="991" ht="24" customHeight="1">
      <ns0:c r="A991" s="3" t="inlineStr">
        <ns0:is>
          <ns0:t>セット</ns0:t>
        </ns0:is>
      </ns0:c>
      <ns0:c r="B991" s="3" t="inlineStr">
        <ns0:is>
          <ns0:t>G3三段階</ns0:t>
        </ns0:is>
      </ns0:c>
      <ns0:c r="C991" s="3" t="inlineStr">
        <ns0:is>
          <ns0:t>C</ns0:t>
        </ns0:is>
      </ns0:c>
      <ns0:c r="D991" s="4" t="n">
        <ns0:v>2</ns0:v>
      </ns0:c>
      <ns0:c r="E991" s="4" t="n">
        <ns0:v>1000</ns0:v>
      </ns0:c>
      <ns0:c r="F991" s="6" t="n">
        <ns0:v>0.5</ns0:v>
      </ns0:c>
      <ns0:c r="G991" s="4" t="n">
        <ns0:v>3</ns0:v>
      </ns0:c>
      <ns0:c r="H991" s="7" t="n">
        <ns0:v>10324.72766884532</ns0:v>
      </ns0:c>
      <ns0:c r="I991" s="7" t="n">
        <ns0:v>3829.520697167756</ns0:v>
      </ns0:c>
      <ns0:c r="J991" s="7" t="n">
        <ns0:v>1914.760348583878</ns0:v>
      </ns0:c>
      <ns0:c r="K991" s="7" t="n">
        <ns0:v>17</ns0:v>
      </ns0:c>
      <ns0:c r="L991" s="7" t="n">
        <ns0:v>32</ns0:v>
      </ns0:c>
      <ns0:c r="M991" s="7" t="n">
        <ns0:v>-9272.235278469259</ns0:v>
      </ns0:c>
      <ns0:c r="N991" s="7" t="n">
        <ns0:v>43375.751652502</ns0:v>
      </ns0:c>
      <ns0:c r="O991" s="7" t="n">
        <ns0:v>108633.5425050418</ns0:v>
      </ns0:c>
      <ns0:c r="P991" s="7" t="n">
        <ns0:v>271778.0196363914</ns0:v>
      </ns0:c>
      <ns0:c r="Q991" s="7" t="n">
        <ns0:v>882355.9281617899</ns0:v>
      </ns0:c>
      <ns0:c r="R991" s="7" t="n">
        <ns0:v>3096378.608000685</ns0:v>
      </ns0:c>
    </ns0:row>
    <ns0:row r="992" ht="24" customHeight="1">
      <ns0:c r="A992" s="3" t="inlineStr">
        <ns0:is>
          <ns0:t>セット</ns0:t>
        </ns0:is>
      </ns0:c>
      <ns0:c r="B992" s="3" t="inlineStr">
        <ns0:is>
          <ns0:t>G3三段階</ns0:t>
        </ns0:is>
      </ns0:c>
      <ns0:c r="C992" s="3" t="inlineStr">
        <ns0:is>
          <ns0:t>C</ns0:t>
        </ns0:is>
      </ns0:c>
      <ns0:c r="D992" s="4" t="n">
        <ns0:v>2</ns0:v>
      </ns0:c>
      <ns0:c r="E992" s="4" t="n">
        <ns0:v>1500</ns0:v>
      </ns0:c>
      <ns0:c r="F992" s="6" t="n">
        <ns0:v>0.3</ns0:v>
      </ns0:c>
      <ns0:c r="G992" s="4" t="n">
        <ns0:v>0</ns0:v>
      </ns0:c>
      <ns0:c r="H992" s="7" t="n">
        <ns0:v>9824.727668845315</ns0:v>
      </ns0:c>
      <ns0:c r="I992" s="7" t="n">
        <ns0:v>3329.520697167756</ns0:v>
      </ns0:c>
      <ns0:c r="J992" s="7" t="n">
        <ns0:v>998.8562091503267</ns0:v>
      </ns0:c>
      <ns0:c r="K992" s="7" t="n">
        <ns0:v>9</ns0:v>
      </ns0:c>
      <ns0:c r="L992" s="7" t="n">
        <ns0:v>12</ns0:v>
      </ns0:c>
      <ns0:c r="M992" s="7" t="n">
        <ns0:v>11490.75602703083</ns0:v>
      </ns0:c>
      <ns0:c r="N992" s="7" t="n">
        <ns0:v>105664.7255690022</ns0:v>
      </ns0:c>
      <ns0:c r="O992" s="7" t="n">
        <ns0:v>212448.4990325422</ns0:v>
      </ns0:c>
      <ns0:c r="P992" s="7" t="n">
        <ns0:v>479407.9326913921</ns0:v>
      </ns0:c>
      <ns0:c r="Q992" s="7" t="n">
        <ns0:v>1505245.667326792</ns0:v>
      </ns0:c>
      <ns0:c r="R992" s="7" t="n">
        <ns0:v>5172677.738550692</ns0:v>
      </ns0:c>
    </ns0:row>
    <ns0:row r="993" ht="24" customHeight="1">
      <ns0:c r="A993" s="3" t="inlineStr">
        <ns0:is>
          <ns0:t>セット</ns0:t>
        </ns0:is>
      </ns0:c>
      <ns0:c r="B993" s="3" t="inlineStr">
        <ns0:is>
          <ns0:t>G3三段階</ns0:t>
        </ns0:is>
      </ns0:c>
      <ns0:c r="C993" s="3" t="inlineStr">
        <ns0:is>
          <ns0:t>C</ns0:t>
        </ns0:is>
      </ns0:c>
      <ns0:c r="D993" s="4" t="n">
        <ns0:v>2</ns0:v>
      </ns0:c>
      <ns0:c r="E993" s="4" t="n">
        <ns0:v>1500</ns0:v>
      </ns0:c>
      <ns0:c r="F993" s="6" t="n">
        <ns0:v>0.3</ns0:v>
      </ns0:c>
      <ns0:c r="G993" s="4" t="n">
        <ns0:v>1</ns0:v>
      </ns0:c>
      <ns0:c r="H993" s="7" t="n">
        <ns0:v>9824.727668845315</ns0:v>
      </ns0:c>
      <ns0:c r="I993" s="7" t="n">
        <ns0:v>3329.520697167756</ns0:v>
      </ns0:c>
      <ns0:c r="J993" s="7" t="n">
        <ns0:v>998.8562091503267</ns0:v>
      </ns0:c>
      <ns0:c r="K993" s="7" t="n">
        <ns0:v>12</ns0:v>
      </ns0:c>
      <ns0:c r="L993" s="7" t="n">
        <ns0:v>15</ns0:v>
      </ns0:c>
      <ns0:c r="M993" s="7" t="n">
        <ns0:v>6102.286634728422</ns0:v>
      </ns0:c>
      <ns0:c r="N993" s="7" t="n">
        <ns0:v>89499.31739209496</ns0:v>
      </ns0:c>
      <ns0:c r="O993" s="7" t="n">
        <ns0:v>185506.1520710302</ns0:v>
      </ns0:c>
      <ns0:c r="P993" s="7" t="n">
        <ns0:v>425523.2387683681</ns0:v>
      </ns0:c>
      <ns0:c r="Q993" s="7" t="n">
        <ns0:v>1343591.58555772</ns0:v>
      </ns0:c>
      <ns0:c r="R993" s="7" t="n">
        <ns0:v>4633830.799320451</ns0:v>
      </ns0:c>
    </ns0:row>
    <ns0:row r="994" ht="24" customHeight="1">
      <ns0:c r="A994" s="3" t="inlineStr">
        <ns0:is>
          <ns0:t>セット</ns0:t>
        </ns0:is>
      </ns0:c>
      <ns0:c r="B994" s="3" t="inlineStr">
        <ns0:is>
          <ns0:t>G3三段階</ns0:t>
        </ns0:is>
      </ns0:c>
      <ns0:c r="C994" s="3" t="inlineStr">
        <ns0:is>
          <ns0:t>C</ns0:t>
        </ns0:is>
      </ns0:c>
      <ns0:c r="D994" s="4" t="n">
        <ns0:v>2</ns0:v>
      </ns0:c>
      <ns0:c r="E994" s="4" t="n">
        <ns0:v>1500</ns0:v>
      </ns0:c>
      <ns0:c r="F994" s="6" t="n">
        <ns0:v>0.3</ns0:v>
      </ns0:c>
      <ns0:c r="G994" s="4" t="n">
        <ns0:v>2</ns0:v>
      </ns0:c>
      <ns0:c r="H994" s="7" t="n">
        <ns0:v>9824.727668845315</ns0:v>
      </ns0:c>
      <ns0:c r="I994" s="7" t="n">
        <ns0:v>3329.520697167756</ns0:v>
      </ns0:c>
      <ns0:c r="J994" s="7" t="n">
        <ns0:v>998.8562091503267</ns0:v>
      </ns0:c>
      <ns0:c r="K994" s="18" t="inlineStr">
        <ns0:is>
          <ns0:t>範囲内なし</ns0:t>
        </ns0:is>
      </ns0:c>
      <ns0:c r="L994" s="18" t="inlineStr">
        <ns0:is>
          <ns0:t>範囲内なし</ns0:t>
        </ns0:is>
      </ns0:c>
      <ns0:c r="M994" s="7" t="n">
        <ns0:v>-61224.12231375945</ns0:v>
      </ns0:c>
      <ns0:c r="N994" s="7" t="n">
        <ns0:v>-112479.9094533687</ns0:v>
      </ns0:c>
      <ns0:c r="O994" s="7" t="n">
        <ns0:v>-151125.8926714092</ns0:v>
      </ns0:c>
      <ns0:c r="P994" s="7" t="n">
        <ns0:v>-247740.8507165106</ns0:v>
      </ns0:c>
      <ns0:c r="Q994" s="7" t="n">
        <ns0:v>-676200.6828969164</ns0:v>
      </ns0:c>
      <ns0:c r="R994" s="7" t="n">
        <ns0:v>-2098810.095528336</ns0:v>
      </ns0:c>
    </ns0:row>
    <ns0:row r="995" ht="24" customHeight="1">
      <ns0:c r="A995" s="3" t="inlineStr">
        <ns0:is>
          <ns0:t>セット</ns0:t>
        </ns0:is>
      </ns0:c>
      <ns0:c r="B995" s="3" t="inlineStr">
        <ns0:is>
          <ns0:t>G3三段階</ns0:t>
        </ns0:is>
      </ns0:c>
      <ns0:c r="C995" s="3" t="inlineStr">
        <ns0:is>
          <ns0:t>C</ns0:t>
        </ns0:is>
      </ns0:c>
      <ns0:c r="D995" s="4" t="n">
        <ns0:v>2</ns0:v>
      </ns0:c>
      <ns0:c r="E995" s="4" t="n">
        <ns0:v>1500</ns0:v>
      </ns0:c>
      <ns0:c r="F995" s="6" t="n">
        <ns0:v>0.3</ns0:v>
      </ns0:c>
      <ns0:c r="G995" s="4" t="n">
        <ns0:v>3</ns0:v>
      </ns0:c>
      <ns0:c r="H995" s="7" t="n">
        <ns0:v>9824.727668845315</ns0:v>
      </ns0:c>
      <ns0:c r="I995" s="7" t="n">
        <ns0:v>3329.520697167756</ns0:v>
      </ns0:c>
      <ns0:c r="J995" s="7" t="n">
        <ns0:v>998.8562091503267</ns0:v>
      </ns0:c>
      <ns0:c r="K995" s="7" t="n">
        <ns0:v>15</ns0:v>
      </ns0:c>
      <ns0:c r="L995" s="7" t="n">
        <ns0:v>28</ns0:v>
      </ns0:c>
      <ns0:c r="M995" s="7" t="n">
        <ns0:v>-4933.193884133743</ns0:v>
      </ns0:c>
      <ns0:c r="N995" s="7" t="n">
        <ns0:v>56392.87583550849</ns0:v>
      </ns0:c>
      <ns0:c r="O995" s="7" t="n">
        <ns0:v>130328.7494767193</ns0:v>
      </ns0:c>
      <ns0:c r="P995" s="7" t="n">
        <ns0:v>315168.4335797465</ns0:v>
      </ns0:c>
      <ns0:c r="Q995" s="7" t="n">
        <ns0:v>1012527.169991855</ns0:v>
      </ns0:c>
      <ns0:c r="R995" s="7" t="n">
        <ns0:v>3530282.747434235</ns0:v>
      </ns0:c>
    </ns0:row>
    <ns0:row r="996" ht="24" customHeight="1">
      <ns0:c r="A996" s="3" t="inlineStr">
        <ns0:is>
          <ns0:t>セット</ns0:t>
        </ns0:is>
      </ns0:c>
      <ns0:c r="B996" s="3" t="inlineStr">
        <ns0:is>
          <ns0:t>G3三段階</ns0:t>
        </ns0:is>
      </ns0:c>
      <ns0:c r="C996" s="3" t="inlineStr">
        <ns0:is>
          <ns0:t>C</ns0:t>
        </ns0:is>
      </ns0:c>
      <ns0:c r="D996" s="4" t="n">
        <ns0:v>2</ns0:v>
      </ns0:c>
      <ns0:c r="E996" s="4" t="n">
        <ns0:v>1500</ns0:v>
      </ns0:c>
      <ns0:c r="F996" s="6" t="n">
        <ns0:v>0.4</ns0:v>
      </ns0:c>
      <ns0:c r="G996" s="4" t="n">
        <ns0:v>0</ns0:v>
      </ns0:c>
      <ns0:c r="H996" s="7" t="n">
        <ns0:v>9824.727668845315</ns0:v>
      </ns0:c>
      <ns0:c r="I996" s="7" t="n">
        <ns0:v>3329.520697167756</ns0:v>
      </ns0:c>
      <ns0:c r="J996" s="7" t="n">
        <ns0:v>1331.808278867102</ns0:v>
      </ns0:c>
      <ns0:c r="K996" s="7" t="n">
        <ns0:v>9</ns0:v>
      </ns0:c>
      <ns0:c r="L996" s="7" t="n">
        <ns0:v>13</ns0:v>
      </ns0:c>
      <ns0:c r="M996" s="7" t="n">
        <ns0:v>8161.23532986307</ns0:v>
      </ns0:c>
      <ns0:c r="N996" s="7" t="n">
        <ns0:v>95676.16347749895</ns0:v>
      </ns0:c>
      <ns0:c r="O996" s="7" t="n">
        <ns0:v>195800.8955467034</ns0:v>
      </ns0:c>
      <ns0:c r="P996" s="7" t="n">
        <ns0:v>446112.7257197147</ns0:v>
      </ns0:c>
      <ns0:c r="Q996" s="7" t="n">
        <ns0:v>1405360.046411759</ns0:v>
      </ns0:c>
      <ns0:c r="R996" s="7" t="n">
        <ns0:v>4839725.668833916</ns0:v>
      </ns0:c>
    </ns0:row>
    <ns0:row r="997" ht="24" customHeight="1">
      <ns0:c r="A997" s="3" t="inlineStr">
        <ns0:is>
          <ns0:t>セット</ns0:t>
        </ns0:is>
      </ns0:c>
      <ns0:c r="B997" s="3" t="inlineStr">
        <ns0:is>
          <ns0:t>G3三段階</ns0:t>
        </ns0:is>
      </ns0:c>
      <ns0:c r="C997" s="3" t="inlineStr">
        <ns0:is>
          <ns0:t>C</ns0:t>
        </ns0:is>
      </ns0:c>
      <ns0:c r="D997" s="4" t="n">
        <ns0:v>2</ns0:v>
      </ns0:c>
      <ns0:c r="E997" s="4" t="n">
        <ns0:v>1500</ns0:v>
      </ns0:c>
      <ns0:c r="F997" s="6" t="n">
        <ns0:v>0.4</ns0:v>
      </ns0:c>
      <ns0:c r="G997" s="4" t="n">
        <ns0:v>1</ns0:v>
      </ns0:c>
      <ns0:c r="H997" s="7" t="n">
        <ns0:v>9824.727668845315</ns0:v>
      </ns0:c>
      <ns0:c r="I997" s="7" t="n">
        <ns0:v>3329.520697167756</ns0:v>
      </ns0:c>
      <ns0:c r="J997" s="7" t="n">
        <ns0:v>1331.808278867102</ns0:v>
      </ns0:c>
      <ns0:c r="K997" s="7" t="n">
        <ns0:v>13</ns0:v>
      </ns0:c>
      <ns0:c r="L997" s="7" t="n">
        <ns0:v>16</ns0:v>
      </ns0:c>
      <ns0:c r="M997" s="7" t="n">
        <ns0:v>2772.76593756066</ns0:v>
      </ns0:c>
      <ns0:c r="N997" s="7" t="n">
        <ns0:v>79510.7553005917</ns0:v>
      </ns0:c>
      <ns0:c r="O997" s="7" t="n">
        <ns0:v>168858.5485851914</ns0:v>
      </ns0:c>
      <ns0:c r="P997" s="7" t="n">
        <ns0:v>392228.0317966905</ns0:v>
      </ns0:c>
      <ns0:c r="Q997" s="7" t="n">
        <ns0:v>1243705.964642687</ns0:v>
      </ns0:c>
      <ns0:c r="R997" s="7" t="n">
        <ns0:v>4300878.729603675</ns0:v>
      </ns0:c>
    </ns0:row>
    <ns0:row r="998" ht="24" customHeight="1">
      <ns0:c r="A998" s="3" t="inlineStr">
        <ns0:is>
          <ns0:t>セット</ns0:t>
        </ns0:is>
      </ns0:c>
      <ns0:c r="B998" s="3" t="inlineStr">
        <ns0:is>
          <ns0:t>G3三段階</ns0:t>
        </ns0:is>
      </ns0:c>
      <ns0:c r="C998" s="3" t="inlineStr">
        <ns0:is>
          <ns0:t>C</ns0:t>
        </ns0:is>
      </ns0:c>
      <ns0:c r="D998" s="4" t="n">
        <ns0:v>2</ns0:v>
      </ns0:c>
      <ns0:c r="E998" s="4" t="n">
        <ns0:v>1500</ns0:v>
      </ns0:c>
      <ns0:c r="F998" s="6" t="n">
        <ns0:v>0.4</ns0:v>
      </ns0:c>
      <ns0:c r="G998" s="4" t="n">
        <ns0:v>2</ns0:v>
      </ns0:c>
      <ns0:c r="H998" s="7" t="n">
        <ns0:v>9824.727668845315</ns0:v>
      </ns0:c>
      <ns0:c r="I998" s="7" t="n">
        <ns0:v>3329.520697167756</ns0:v>
      </ns0:c>
      <ns0:c r="J998" s="7" t="n">
        <ns0:v>1331.808278867102</ns0:v>
      </ns0:c>
      <ns0:c r="K998" s="18" t="inlineStr">
        <ns0:is>
          <ns0:t>範囲内なし</ns0:t>
        </ns0:is>
      </ns0:c>
      <ns0:c r="L998" s="18" t="inlineStr">
        <ns0:is>
          <ns0:t>範囲内なし</ns0:t>
        </ns0:is>
      </ns0:c>
      <ns0:c r="M998" s="7" t="n">
        <ns0:v>-64553.6430109272</ns0:v>
      </ns0:c>
      <ns0:c r="N998" s="7" t="n">
        <ns0:v>-122468.4715448719</ns0:v>
      </ns0:c>
      <ns0:c r="O998" s="7" t="n">
        <ns0:v>-167773.496157248</ns0:v>
      </ns0:c>
      <ns0:c r="P998" s="7" t="n">
        <ns0:v>-281036.0576881883</ns0:v>
      </ns0:c>
      <ns0:c r="Q998" s="7" t="n">
        <ns0:v>-776086.3038119493</ns0:v>
      </ns0:c>
      <ns0:c r="R998" s="7" t="n">
        <ns0:v>-2431762.165245112</ns0:v>
      </ns0:c>
    </ns0:row>
    <ns0:row r="999" ht="24" customHeight="1">
      <ns0:c r="A999" s="3" t="inlineStr">
        <ns0:is>
          <ns0:t>セット</ns0:t>
        </ns0:is>
      </ns0:c>
      <ns0:c r="B999" s="3" t="inlineStr">
        <ns0:is>
          <ns0:t>G3三段階</ns0:t>
        </ns0:is>
      </ns0:c>
      <ns0:c r="C999" s="3" t="inlineStr">
        <ns0:is>
          <ns0:t>C</ns0:t>
        </ns0:is>
      </ns0:c>
      <ns0:c r="D999" s="4" t="n">
        <ns0:v>2</ns0:v>
      </ns0:c>
      <ns0:c r="E999" s="4" t="n">
        <ns0:v>1500</ns0:v>
      </ns0:c>
      <ns0:c r="F999" s="6" t="n">
        <ns0:v>0.4</ns0:v>
      </ns0:c>
      <ns0:c r="G999" s="4" t="n">
        <ns0:v>3</ns0:v>
      </ns0:c>
      <ns0:c r="H999" s="7" t="n">
        <ns0:v>9824.727668845315</ns0:v>
      </ns0:c>
      <ns0:c r="I999" s="7" t="n">
        <ns0:v>3329.520697167756</ns0:v>
      </ns0:c>
      <ns0:c r="J999" s="7" t="n">
        <ns0:v>1331.808278867102</ns0:v>
      </ns0:c>
      <ns0:c r="K999" s="7" t="n">
        <ns0:v>17</ns0:v>
      </ns0:c>
      <ns0:c r="L999" s="7" t="n">
        <ns0:v>31</ns0:v>
      </ns0:c>
      <ns0:c r="M999" s="7" t="n">
        <ns0:v>-8262.714581301505</ns0:v>
      </ns0:c>
      <ns0:c r="N999" s="7" t="n">
        <ns0:v>46404.31374400523</ns0:v>
      </ns0:c>
      <ns0:c r="O999" s="7" t="n">
        <ns0:v>113681.1459908806</ns0:v>
      </ns0:c>
      <ns0:c r="P999" s="7" t="n">
        <ns0:v>281873.2266080689</ns0:v>
      </ns0:c>
      <ns0:c r="Q999" s="7" t="n">
        <ns0:v>912641.5490768221</ns0:v>
      </ns0:c>
      <ns0:c r="R999" s="7" t="n">
        <ns0:v>3197330.677717459</ns0:v>
      </ns0:c>
    </ns0:row>
    <ns0:row r="1000" ht="24" customHeight="1">
      <ns0:c r="A1000" s="3" t="inlineStr">
        <ns0:is>
          <ns0:t>セット</ns0:t>
        </ns0:is>
      </ns0:c>
      <ns0:c r="B1000" s="3" t="inlineStr">
        <ns0:is>
          <ns0:t>G3三段階</ns0:t>
        </ns0:is>
      </ns0:c>
      <ns0:c r="C1000" s="3" t="inlineStr">
        <ns0:is>
          <ns0:t>C</ns0:t>
        </ns0:is>
      </ns0:c>
      <ns0:c r="D1000" s="4" t="n">
        <ns0:v>2</ns0:v>
      </ns0:c>
      <ns0:c r="E1000" s="4" t="n">
        <ns0:v>1500</ns0:v>
      </ns0:c>
      <ns0:c r="F1000" s="6" t="n">
        <ns0:v>0.5</ns0:v>
      </ns0:c>
      <ns0:c r="G1000" s="4" t="n">
        <ns0:v>0</ns0:v>
      </ns0:c>
      <ns0:c r="H1000" s="7" t="n">
        <ns0:v>9824.727668845315</ns0:v>
      </ns0:c>
      <ns0:c r="I1000" s="7" t="n">
        <ns0:v>3329.520697167756</ns0:v>
      </ns0:c>
      <ns0:c r="J1000" s="7" t="n">
        <ns0:v>1664.760348583878</ns0:v>
      </ns0:c>
      <ns0:c r="K1000" s="7" t="n">
        <ns0:v>12</ns0:v>
      </ns0:c>
      <ns0:c r="L1000" s="7" t="n">
        <ns0:v>14</ns0:v>
      </ns0:c>
      <ns0:c r="M1000" s="7" t="n">
        <ns0:v>4831.714632695319</ns0:v>
      </ns0:c>
      <ns0:c r="N1000" s="7" t="n">
        <ns0:v>85687.60138599569</ns0:v>
      </ns0:c>
      <ns0:c r="O1000" s="7" t="n">
        <ns0:v>179153.2920608646</ns0:v>
      </ns0:c>
      <ns0:c r="P1000" s="7" t="n">
        <ns0:v>412817.5187480371</ns0:v>
      </ns0:c>
      <ns0:c r="Q1000" s="7" t="n">
        <ns0:v>1305474.425496727</ns0:v>
      </ns0:c>
      <ns0:c r="R1000" s="7" t="n">
        <ns0:v>4506773.599117141</ns0:v>
      </ns0:c>
    </ns0:row>
    <ns0:row r="1001" ht="24" customHeight="1">
      <ns0:c r="A1001" s="3" t="inlineStr">
        <ns0:is>
          <ns0:t>セット</ns0:t>
        </ns0:is>
      </ns0:c>
      <ns0:c r="B1001" s="3" t="inlineStr">
        <ns0:is>
          <ns0:t>G3三段階</ns0:t>
        </ns0:is>
      </ns0:c>
      <ns0:c r="C1001" s="3" t="inlineStr">
        <ns0:is>
          <ns0:t>C</ns0:t>
        </ns0:is>
      </ns0:c>
      <ns0:c r="D1001" s="4" t="n">
        <ns0:v>2</ns0:v>
      </ns0:c>
      <ns0:c r="E1001" s="4" t="n">
        <ns0:v>1500</ns0:v>
      </ns0:c>
      <ns0:c r="F1001" s="6" t="n">
        <ns0:v>0.5</ns0:v>
      </ns0:c>
      <ns0:c r="G1001" s="4" t="n">
        <ns0:v>1</ns0:v>
      </ns0:c>
      <ns0:c r="H1001" s="7" t="n">
        <ns0:v>9824.727668845315</ns0:v>
      </ns0:c>
      <ns0:c r="I1001" s="7" t="n">
        <ns0:v>3329.520697167756</ns0:v>
      </ns0:c>
      <ns0:c r="J1001" s="7" t="n">
        <ns0:v>1664.760348583878</ns0:v>
      </ns0:c>
      <ns0:c r="K1001" s="7" t="n">
        <ns0:v>14</ns0:v>
      </ns0:c>
      <ns0:c r="L1001" s="7" t="n">
        <ns0:v>17</ns0:v>
      </ns0:c>
      <ns0:c r="M1001" s="7" t="n">
        <ns0:v>-556.7547596070908</ns0:v>
      </ns0:c>
      <ns0:c r="N1001" s="7" t="n">
        <ns0:v>69522.19320908844</ns0:v>
      </ns0:c>
      <ns0:c r="O1001" s="7" t="n">
        <ns0:v>152210.9450993526</ns0:v>
      </ns0:c>
      <ns0:c r="P1001" s="7" t="n">
        <ns0:v>358932.8248250129</ns0:v>
      </ns0:c>
      <ns0:c r="Q1001" s="7" t="n">
        <ns0:v>1143820.343727654</ns0:v>
      </ns0:c>
      <ns0:c r="R1001" s="7" t="n">
        <ns0:v>3967926.6598869</ns0:v>
      </ns0:c>
    </ns0:row>
    <ns0:row r="1002" ht="24" customHeight="1">
      <ns0:c r="A1002" s="3" t="inlineStr">
        <ns0:is>
          <ns0:t>セット</ns0:t>
        </ns0:is>
      </ns0:c>
      <ns0:c r="B1002" s="3" t="inlineStr">
        <ns0:is>
          <ns0:t>G3三段階</ns0:t>
        </ns0:is>
      </ns0:c>
      <ns0:c r="C1002" s="3" t="inlineStr">
        <ns0:is>
          <ns0:t>C</ns0:t>
        </ns0:is>
      </ns0:c>
      <ns0:c r="D1002" s="4" t="n">
        <ns0:v>2</ns0:v>
      </ns0:c>
      <ns0:c r="E1002" s="4" t="n">
        <ns0:v>1500</ns0:v>
      </ns0:c>
      <ns0:c r="F1002" s="6" t="n">
        <ns0:v>0.5</ns0:v>
      </ns0:c>
      <ns0:c r="G1002" s="4" t="n">
        <ns0:v>2</ns0:v>
      </ns0:c>
      <ns0:c r="H1002" s="7" t="n">
        <ns0:v>9824.727668845315</ns0:v>
      </ns0:c>
      <ns0:c r="I1002" s="7" t="n">
        <ns0:v>3329.520697167756</ns0:v>
      </ns0:c>
      <ns0:c r="J1002" s="7" t="n">
        <ns0:v>1664.760348583878</ns0:v>
      </ns0:c>
      <ns0:c r="K1002" s="18" t="inlineStr">
        <ns0:is>
          <ns0:t>範囲内なし</ns0:t>
        </ns0:is>
      </ns0:c>
      <ns0:c r="L1002" s="18" t="inlineStr">
        <ns0:is>
          <ns0:t>範囲内なし</ns0:t>
        </ns0:is>
      </ns0:c>
      <ns0:c r="M1002" s="7" t="n">
        <ns0:v>-67883.16370809496</ns0:v>
      </ns0:c>
      <ns0:c r="N1002" s="7" t="n">
        <ns0:v>-132457.0336363752</ns0:v>
      </ns0:c>
      <ns0:c r="O1002" s="7" t="n">
        <ns0:v>-184421.0996430868</ns0:v>
      </ns0:c>
      <ns0:c r="P1002" s="7" t="n">
        <ns0:v>-314331.2646598659</ns0:v>
      </ns0:c>
      <ns0:c r="Q1002" s="7" t="n">
        <ns0:v>-875971.9247269818</ns0:v>
      </ns0:c>
      <ns0:c r="R1002" s="7" t="n">
        <ns0:v>-2764714.234961888</ns0:v>
      </ns0:c>
    </ns0:row>
    <ns0:row r="1003" ht="24" customHeight="1">
      <ns0:c r="A1003" s="3" t="inlineStr">
        <ns0:is>
          <ns0:t>セット</ns0:t>
        </ns0:is>
      </ns0:c>
      <ns0:c r="B1003" s="3" t="inlineStr">
        <ns0:is>
          <ns0:t>G3三段階</ns0:t>
        </ns0:is>
      </ns0:c>
      <ns0:c r="C1003" s="3" t="inlineStr">
        <ns0:is>
          <ns0:t>C</ns0:t>
        </ns0:is>
      </ns0:c>
      <ns0:c r="D1003" s="4" t="n">
        <ns0:v>2</ns0:v>
      </ns0:c>
      <ns0:c r="E1003" s="4" t="n">
        <ns0:v>1500</ns0:v>
      </ns0:c>
      <ns0:c r="F1003" s="6" t="n">
        <ns0:v>0.5</ns0:v>
      </ns0:c>
      <ns0:c r="G1003" s="4" t="n">
        <ns0:v>3</ns0:v>
      </ns0:c>
      <ns0:c r="H1003" s="7" t="n">
        <ns0:v>9824.727668845315</ns0:v>
      </ns0:c>
      <ns0:c r="I1003" s="7" t="n">
        <ns0:v>3329.520697167756</ns0:v>
      </ns0:c>
      <ns0:c r="J1003" s="7" t="n">
        <ns0:v>1664.760348583878</ns0:v>
      </ns0:c>
      <ns0:c r="K1003" s="7" t="n">
        <ns0:v>18</ns0:v>
      </ns0:c>
      <ns0:c r="L1003" s="7" t="n">
        <ns0:v>35</ns0:v>
      </ns0:c>
      <ns0:c r="M1003" s="7" t="n">
        <ns0:v>-11592.23527846925</ns0:v>
      </ns0:c>
      <ns0:c r="N1003" s="7" t="n">
        <ns0:v>36415.75165250197</ns0:v>
      </ns0:c>
      <ns0:c r="O1003" s="7" t="n">
        <ns0:v>97033.54250504175</ns0:v>
      </ns0:c>
      <ns0:c r="P1003" s="7" t="n">
        <ns0:v>248578.0196363913</ns0:v>
      </ns0:c>
      <ns0:c r="Q1003" s="7" t="n">
        <ns0:v>812755.9281617894</ns0:v>
      </ns0:c>
      <ns0:c r="R1003" s="7" t="n">
        <ns0:v>2864378.608000684</ns0:v>
      </ns0:c>
    </ns0:row>
    <ns0:row r="1004" ht="24" customHeight="1">
      <ns0:c r="A1004" s="3" t="inlineStr">
        <ns0:is>
          <ns0:t>セット</ns0:t>
        </ns0:is>
      </ns0:c>
      <ns0:c r="B1004" s="3" t="inlineStr">
        <ns0:is>
          <ns0:t>G3三段階</ns0:t>
        </ns0:is>
      </ns0:c>
      <ns0:c r="C1004" s="3" t="inlineStr">
        <ns0:is>
          <ns0:t>D</ns0:t>
        </ns0:is>
      </ns0:c>
      <ns0:c r="D1004" s="4" t="n">
        <ns0:v>0</ns0:v>
      </ns0:c>
      <ns0:c r="E1004" s="4" t="n">
        <ns0:v>500</ns0:v>
      </ns0:c>
      <ns0:c r="F1004" s="6" t="n">
        <ns0:v>0.3</ns0:v>
      </ns0:c>
      <ns0:c r="G1004" s="4" t="n">
        <ns0:v>0</ns0:v>
      </ns0:c>
      <ns0:c r="H1004" s="7" t="n">
        <ns0:v>5712.728410513141</ns0:v>
      </ns0:c>
      <ns0:c r="I1004" s="7" t="n">
        <ns0:v>3186.295369211514</ns0:v>
      </ns0:c>
      <ns0:c r="J1004" s="7" t="n">
        <ns0:v>955.8886107634542</ns0:v>
      </ns0:c>
      <ns0:c r="K1004" s="7" t="n">
        <ns0:v>22</ns0:v>
      </ns0:c>
      <ns0:c r="L1004" s="7" t="n">
        <ns0:v>40</ns0:v>
      </ns0:c>
      <ns0:c r="M1004" s="7" t="n">
        <ns0:v>-26118.92130622885</ns0:v>
      </ns0:c>
      <ns0:c r="N1004" s="7" t="n">
        <ns0:v>24767.98393217683</ns0:v>
      </ns0:c>
      <ns0:c r="O1004" s="7" t="n">
        <ns0:v>77620.59630449995</ns0:v>
      </ns0:c>
      <ns0:c r="P1004" s="7" t="n">
        <ns0:v>209752.1272353077</ns0:v>
      </ns0:c>
      <ns0:c r="Q1004" s="7" t="n">
        <ns0:v>696278.2509585385</ns0:v>
      </ns0:c>
      <ns0:c r="R1004" s="7" t="n">
        <ns0:v>2476119.683989847</ns0:v>
      </ns0:c>
    </ns0:row>
    <ns0:row r="1005" ht="24" customHeight="1">
      <ns0:c r="A1005" s="3" t="inlineStr">
        <ns0:is>
          <ns0:t>セット</ns0:t>
        </ns0:is>
      </ns0:c>
      <ns0:c r="B1005" s="3" t="inlineStr">
        <ns0:is>
          <ns0:t>G3三段階</ns0:t>
        </ns0:is>
      </ns0:c>
      <ns0:c r="C1005" s="3" t="inlineStr">
        <ns0:is>
          <ns0:t>D</ns0:t>
        </ns0:is>
      </ns0:c>
      <ns0:c r="D1005" s="4" t="n">
        <ns0:v>0</ns0:v>
      </ns0:c>
      <ns0:c r="E1005" s="4" t="n">
        <ns0:v>500</ns0:v>
      </ns0:c>
      <ns0:c r="F1005" s="6" t="n">
        <ns0:v>0.3</ns0:v>
      </ns0:c>
      <ns0:c r="G1005" s="4" t="n">
        <ns0:v>1</ns0:v>
      </ns0:c>
      <ns0:c r="H1005" s="7" t="n">
        <ns0:v>5712.728410513141</ns0:v>
      </ns0:c>
      <ns0:c r="I1005" s="7" t="n">
        <ns0:v>3186.295369211514</ns0:v>
      </ns0:c>
      <ns0:c r="J1005" s="7" t="n">
        <ns0:v>955.8886107634542</ns0:v>
      </ns0:c>
      <ns0:c r="K1005" s="7" t="n">
        <ns0:v>25</ns0:v>
      </ns0:c>
      <ns0:c r="L1005" s="7" t="n">
        <ns0:v>113</ns0:v>
      </ns0:c>
      <ns0:c r="M1005" s="7" t="n">
        <ns0:v>-29837.56171219969</ns0:v>
      </ns0:c>
      <ns0:c r="N1005" s="7" t="n">
        <ns0:v>13612.06271426431</ns0:v>
      </ns0:c>
      <ns0:c r="O1005" s="7" t="n">
        <ns0:v>59027.39427464574</ns0:v>
      </ns0:c>
      <ns0:c r="P1005" s="7" t="n">
        <ns0:v>172565.7231755993</ns0:v>
      </ns0:c>
      <ns0:c r="Q1005" s="7" t="n">
        <ns0:v>584719.0387794132</ns0:v>
      </ns0:c>
      <ns0:c r="R1005" s="7" t="n">
        <ns0:v>2104255.643392763</ns0:v>
      </ns0:c>
    </ns0:row>
    <ns0:row r="1006" ht="24" customHeight="1">
      <ns0:c r="A1006" s="3" t="inlineStr">
        <ns0:is>
          <ns0:t>セット</ns0:t>
        </ns0:is>
      </ns0:c>
      <ns0:c r="B1006" s="3" t="inlineStr">
        <ns0:is>
          <ns0:t>G3三段階</ns0:t>
        </ns0:is>
      </ns0:c>
      <ns0:c r="C1006" s="3" t="inlineStr">
        <ns0:is>
          <ns0:t>D</ns0:t>
        </ns0:is>
      </ns0:c>
      <ns0:c r="D1006" s="4" t="n">
        <ns0:v>0</ns0:v>
      </ns0:c>
      <ns0:c r="E1006" s="4" t="n">
        <ns0:v>500</ns0:v>
      </ns0:c>
      <ns0:c r="F1006" s="6" t="n">
        <ns0:v>0.3</ns0:v>
      </ns0:c>
      <ns0:c r="G1006" s="4" t="n">
        <ns0:v>2</ns0:v>
      </ns0:c>
      <ns0:c r="H1006" s="7" t="n">
        <ns0:v>5712.728410513141</ns0:v>
      </ns0:c>
      <ns0:c r="I1006" s="7" t="n">
        <ns0:v>3186.295369211514</ns0:v>
      </ns0:c>
      <ns0:c r="J1006" s="7" t="n">
        <ns0:v>955.8886107634542</ns0:v>
      </ns0:c>
      <ns0:c r="K1006" s="7" t="n">
        <ns0:v>270</ns0:v>
      </ns0:c>
      <ns0:c r="L1006" s="18" t="inlineStr">
        <ns0:is>
          <ns0:t>範囲内なし</ns0:t>
        </ns0:is>
      </ns0:c>
      <ns0:c r="M1006" s="7" t="n">
        <ns0:v>-48960.37027870613</ns0:v>
      </ns0:c>
      <ns0:c r="N1006" s="7" t="n">
        <ns0:v>-43756.36298525501</ns0:v>
      </ns0:c>
      <ns0:c r="O1006" s="7" t="n">
        <ns0:v>-36586.64855788648</ns0:v>
      </ns0:c>
      <ns0:c r="P1006" s="7" t="n">
        <ns0:v>-18662.36248946516</ns0:v>
      </ns0:c>
      <ns0:c r="Q1006" s="7" t="n">
        <ns0:v>11034.78178421996</ns0:v>
      </ns0:c>
      <ns0:c r="R1006" s="7" t="n">
        <ns0:v>191974.7867421184</ns0:v>
      </ns0:c>
    </ns0:row>
    <ns0:row r="1007" ht="24" customHeight="1">
      <ns0:c r="A1007" s="3" t="inlineStr">
        <ns0:is>
          <ns0:t>セット</ns0:t>
        </ns0:is>
      </ns0:c>
      <ns0:c r="B1007" s="3" t="inlineStr">
        <ns0:is>
          <ns0:t>G3三段階</ns0:t>
        </ns0:is>
      </ns0:c>
      <ns0:c r="C1007" s="3" t="inlineStr">
        <ns0:is>
          <ns0:t>D</ns0:t>
        </ns0:is>
      </ns0:c>
      <ns0:c r="D1007" s="4" t="n">
        <ns0:v>0</ns0:v>
      </ns0:c>
      <ns0:c r="E1007" s="4" t="n">
        <ns0:v>500</ns0:v>
      </ns0:c>
      <ns0:c r="F1007" s="6" t="n">
        <ns0:v>0.3</ns0:v>
      </ns0:c>
      <ns0:c r="G1007" s="4" t="n">
        <ns0:v>3</ns0:v>
      </ns0:c>
      <ns0:c r="H1007" s="7" t="n">
        <ns0:v>5712.728410513141</ns0:v>
      </ns0:c>
      <ns0:c r="I1007" s="7" t="n">
        <ns0:v>3186.295369211514</ns0:v>
      </ns0:c>
      <ns0:c r="J1007" s="7" t="n">
        <ns0:v>955.8886107634542</ns0:v>
      </ns0:c>
      <ns0:c r="K1007" s="7" t="n">
        <ns0:v>39</ns0:v>
      </ns0:c>
      <ns0:c r="L1007" s="18" t="inlineStr">
        <ns0:is>
          <ns0:t>範囲内なし</ns0:t>
        </ns0:is>
      </ns0:c>
      <ns0:c r="M1007" s="7" t="n">
        <ns0:v>-38406.66861277039</ns0:v>
      </ns0:c>
      <ns0:c r="N1007" s="7" t="n">
        <ns0:v>-12095.25798744777</ns0:v>
      </ns0:c>
      <ns0:c r="O1007" s="7" t="n">
        <ns0:v>16181.85977179228</ns0:v>
      </ns0:c>
      <ns0:c r="P1007" s="7" t="n">
        <ns0:v>86874.65416989237</ns0:v>
      </ns0:c>
      <ns0:c r="Q1007" s="7" t="n">
        <ns0:v>327645.8317622924</ns0:v>
      </ns0:c>
      <ns0:c r="R1007" s="7" t="n">
        <ns0:v>1247344.953335693</ns0:v>
      </ns0:c>
    </ns0:row>
    <ns0:row r="1008" ht="24" customHeight="1">
      <ns0:c r="A1008" s="3" t="inlineStr">
        <ns0:is>
          <ns0:t>セット</ns0:t>
        </ns0:is>
      </ns0:c>
      <ns0:c r="B1008" s="3" t="inlineStr">
        <ns0:is>
          <ns0:t>G3三段階</ns0:t>
        </ns0:is>
      </ns0:c>
      <ns0:c r="C1008" s="3" t="inlineStr">
        <ns0:is>
          <ns0:t>D</ns0:t>
        </ns0:is>
      </ns0:c>
      <ns0:c r="D1008" s="4" t="n">
        <ns0:v>0</ns0:v>
      </ns0:c>
      <ns0:c r="E1008" s="4" t="n">
        <ns0:v>500</ns0:v>
      </ns0:c>
      <ns0:c r="F1008" s="6" t="n">
        <ns0:v>0.4</ns0:v>
      </ns0:c>
      <ns0:c r="G1008" s="4" t="n">
        <ns0:v>0</ns0:v>
      </ns0:c>
      <ns0:c r="H1008" s="7" t="n">
        <ns0:v>5712.728410513141</ns0:v>
      </ns0:c>
      <ns0:c r="I1008" s="7" t="n">
        <ns0:v>3186.295369211514</ns0:v>
      </ns0:c>
      <ns0:c r="J1008" s="7" t="n">
        <ns0:v>1274.518147684606</ns0:v>
      </ns0:c>
      <ns0:c r="K1008" s="7" t="n">
        <ns0:v>24</ns0:v>
      </ns0:c>
      <ns0:c r="L1008" s="7" t="n">
        <ns0:v>45</ns0:v>
      </ns0:c>
      <ns0:c r="M1008" s="7" t="n">
        <ns0:v>-29305.21667544037</ns0:v>
      </ns0:c>
      <ns0:c r="N1008" s="7" t="n">
        <ns0:v>15209.09782454229</ns0:v>
      </ns0:c>
      <ns0:c r="O1008" s="7" t="n">
        <ns0:v>61689.11945844237</ns0:v>
      </ns0:c>
      <ns0:c r="P1008" s="7" t="n">
        <ns0:v>177889.1735431925</ns0:v>
      </ns0:c>
      <ns0:c r="Q1008" s="7" t="n">
        <ns0:v>600689.3898821929</ns0:v>
      </ns0:c>
      <ns0:c r="R1008" s="7" t="n">
        <ns0:v>2157490.147068696</ns0:v>
      </ns0:c>
    </ns0:row>
    <ns0:row r="1009" ht="24" customHeight="1">
      <ns0:c r="A1009" s="3" t="inlineStr">
        <ns0:is>
          <ns0:t>セット</ns0:t>
        </ns0:is>
      </ns0:c>
      <ns0:c r="B1009" s="3" t="inlineStr">
        <ns0:is>
          <ns0:t>G3三段階</ns0:t>
        </ns0:is>
      </ns0:c>
      <ns0:c r="C1009" s="3" t="inlineStr">
        <ns0:is>
          <ns0:t>D</ns0:t>
        </ns0:is>
      </ns0:c>
      <ns0:c r="D1009" s="4" t="n">
        <ns0:v>0</ns0:v>
      </ns0:c>
      <ns0:c r="E1009" s="4" t="n">
        <ns0:v>500</ns0:v>
      </ns0:c>
      <ns0:c r="F1009" s="6" t="n">
        <ns0:v>0.4</ns0:v>
      </ns0:c>
      <ns0:c r="G1009" s="4" t="n">
        <ns0:v>1</ns0:v>
      </ns0:c>
      <ns0:c r="H1009" s="7" t="n">
        <ns0:v>5712.728410513141</ns0:v>
      </ns0:c>
      <ns0:c r="I1009" s="7" t="n">
        <ns0:v>3186.295369211514</ns0:v>
      </ns0:c>
      <ns0:c r="J1009" s="7" t="n">
        <ns0:v>1274.518147684606</ns0:v>
      </ns0:c>
      <ns0:c r="K1009" s="7" t="n">
        <ns0:v>28</ns0:v>
      </ns0:c>
      <ns0:c r="L1009" s="7" t="n">
        <ns0:v>143</ns0:v>
      </ns0:c>
      <ns0:c r="M1009" s="7" t="n">
        <ns0:v>-33023.85708141122</ns0:v>
      </ns0:c>
      <ns0:c r="N1009" s="7" t="n">
        <ns0:v>4053.176606629768</ns0:v>
      </ns0:c>
      <ns0:c r="O1009" s="7" t="n">
        <ns0:v>43095.91742858817</ns0:v>
      </ns0:c>
      <ns0:c r="P1009" s="7" t="n">
        <ns0:v>140702.7694834841</ns0:v>
      </ns0:c>
      <ns0:c r="Q1009" s="7" t="n">
        <ns0:v>489130.1777030677</ns0:v>
      </ns0:c>
      <ns0:c r="R1009" s="7" t="n">
        <ns0:v>1785626.106471611</ns0:v>
      </ns0:c>
    </ns0:row>
    <ns0:row r="1010" ht="24" customHeight="1">
      <ns0:c r="A1010" s="3" t="inlineStr">
        <ns0:is>
          <ns0:t>セット</ns0:t>
        </ns0:is>
      </ns0:c>
      <ns0:c r="B1010" s="3" t="inlineStr">
        <ns0:is>
          <ns0:t>G3三段階</ns0:t>
        </ns0:is>
      </ns0:c>
      <ns0:c r="C1010" s="3" t="inlineStr">
        <ns0:is>
          <ns0:t>D</ns0:t>
        </ns0:is>
      </ns0:c>
      <ns0:c r="D1010" s="4" t="n">
        <ns0:v>0</ns0:v>
      </ns0:c>
      <ns0:c r="E1010" s="4" t="n">
        <ns0:v>500</ns0:v>
      </ns0:c>
      <ns0:c r="F1010" s="6" t="n">
        <ns0:v>0.4</ns0:v>
      </ns0:c>
      <ns0:c r="G1010" s="4" t="n">
        <ns0:v>2</ns0:v>
      </ns0:c>
      <ns0:c r="H1010" s="7" t="n">
        <ns0:v>5712.728410513141</ns0:v>
      </ns0:c>
      <ns0:c r="I1010" s="7" t="n">
        <ns0:v>3186.295369211514</ns0:v>
      </ns0:c>
      <ns0:c r="J1010" s="7" t="n">
        <ns0:v>1274.518147684606</ns0:v>
      </ns0:c>
      <ns0:c r="K1010" s="18" t="inlineStr">
        <ns0:is>
          <ns0:t>範囲内なし</ns0:t>
        </ns0:is>
      </ns0:c>
      <ns0:c r="L1010" s="18" t="inlineStr">
        <ns0:is>
          <ns0:t>範囲内なし</ns0:t>
        </ns0:is>
      </ns0:c>
      <ns0:c r="M1010" s="7" t="n">
        <ns0:v>-52146.66564791765</ns0:v>
      </ns0:c>
      <ns0:c r="N1010" s="7" t="n">
        <ns0:v>-53315.24909288956</ns0:v>
      </ns0:c>
      <ns0:c r="O1010" s="7" t="n">
        <ns0:v>-52518.12540394404</ns0:v>
      </ns0:c>
      <ns0:c r="P1010" s="7" t="n">
        <ns0:v>-50525.31618158027</ns0:v>
      </ns0:c>
      <ns0:c r="Q1010" s="7" t="n">
        <ns0:v>-84554.07929212559</ns0:v>
      </ns0:c>
      <ns0:c r="R1010" s="7" t="n">
        <ns0:v>-126654.750179033</ns0:v>
      </ns0:c>
    </ns0:row>
    <ns0:row r="1011" ht="24" customHeight="1">
      <ns0:c r="A1011" s="3" t="inlineStr">
        <ns0:is>
          <ns0:t>セット</ns0:t>
        </ns0:is>
      </ns0:c>
      <ns0:c r="B1011" s="3" t="inlineStr">
        <ns0:is>
          <ns0:t>G3三段階</ns0:t>
        </ns0:is>
      </ns0:c>
      <ns0:c r="C1011" s="3" t="inlineStr">
        <ns0:is>
          <ns0:t>D</ns0:t>
        </ns0:is>
      </ns0:c>
      <ns0:c r="D1011" s="4" t="n">
        <ns0:v>0</ns0:v>
      </ns0:c>
      <ns0:c r="E1011" s="4" t="n">
        <ns0:v>500</ns0:v>
      </ns0:c>
      <ns0:c r="F1011" s="6" t="n">
        <ns0:v>0.4</ns0:v>
      </ns0:c>
      <ns0:c r="G1011" s="4" t="n">
        <ns0:v>3</ns0:v>
      </ns0:c>
      <ns0:c r="H1011" s="7" t="n">
        <ns0:v>5712.728410513141</ns0:v>
      </ns0:c>
      <ns0:c r="I1011" s="7" t="n">
        <ns0:v>3186.295369211514</ns0:v>
      </ns0:c>
      <ns0:c r="J1011" s="7" t="n">
        <ns0:v>1274.518147684606</ns0:v>
      </ns0:c>
      <ns0:c r="K1011" s="7" t="n">
        <ns0:v>50</ns0:v>
      </ns0:c>
      <ns0:c r="L1011" s="18" t="inlineStr">
        <ns0:is>
          <ns0:t>範囲内なし</ns0:t>
        </ns0:is>
      </ns0:c>
      <ns0:c r="M1011" s="7" t="n">
        <ns0:v>-41592.96398198191</ns0:v>
      </ns0:c>
      <ns0:c r="N1011" s="7" t="n">
        <ns0:v>-21654.14409508232</ns0:v>
      </ns0:c>
      <ns0:c r="O1011" s="7" t="n">
        <ns0:v>250.3829257347097</ns0:v>
      </ns0:c>
      <ns0:c r="P1011" s="7" t="n">
        <ns0:v>55011.70047777722</ns0:v>
      </ns0:c>
      <ns0:c r="Q1011" s="7" t="n">
        <ns0:v>232056.9706859469</ns0:v>
      </ns0:c>
      <ns0:c r="R1011" s="7" t="n">
        <ns0:v>928715.4164145419</ns0:v>
      </ns0:c>
    </ns0:row>
    <ns0:row r="1012" ht="24" customHeight="1">
      <ns0:c r="A1012" s="3" t="inlineStr">
        <ns0:is>
          <ns0:t>セット</ns0:t>
        </ns0:is>
      </ns0:c>
      <ns0:c r="B1012" s="3" t="inlineStr">
        <ns0:is>
          <ns0:t>G3三段階</ns0:t>
        </ns0:is>
      </ns0:c>
      <ns0:c r="C1012" s="3" t="inlineStr">
        <ns0:is>
          <ns0:t>D</ns0:t>
        </ns0:is>
      </ns0:c>
      <ns0:c r="D1012" s="4" t="n">
        <ns0:v>0</ns0:v>
      </ns0:c>
      <ns0:c r="E1012" s="4" t="n">
        <ns0:v>500</ns0:v>
      </ns0:c>
      <ns0:c r="F1012" s="6" t="n">
        <ns0:v>0.5</ns0:v>
      </ns0:c>
      <ns0:c r="G1012" s="4" t="n">
        <ns0:v>0</ns0:v>
      </ns0:c>
      <ns0:c r="H1012" s="7" t="n">
        <ns0:v>5712.728410513141</ns0:v>
      </ns0:c>
      <ns0:c r="I1012" s="7" t="n">
        <ns0:v>3186.295369211514</ns0:v>
      </ns0:c>
      <ns0:c r="J1012" s="7" t="n">
        <ns0:v>1593.147684605757</ns0:v>
      </ns0:c>
      <ns0:c r="K1012" s="7" t="n">
        <ns0:v>28</ns0:v>
      </ns0:c>
      <ns0:c r="L1012" s="7" t="n">
        <ns0:v>53</ns0:v>
      </ns0:c>
      <ns0:c r="M1012" s="7" t="n">
        <ns0:v>-32491.51204465188</ns0:v>
      </ns0:c>
      <ns0:c r="N1012" s="7" t="n">
        <ns0:v>5650.211716907743</ns0:v>
      </ns0:c>
      <ns0:c r="O1012" s="7" t="n">
        <ns0:v>45757.6426123848</ns0:v>
      </ns0:c>
      <ns0:c r="P1012" s="7" t="n">
        <ns0:v>146026.2198510774</ns0:v>
      </ns0:c>
      <ns0:c r="Q1012" s="7" t="n">
        <ns0:v>505100.5288058476</ns0:v>
      </ns0:c>
      <ns0:c r="R1012" s="7" t="n">
        <ns0:v>1838860.610147544</ns0:v>
      </ns0:c>
    </ns0:row>
    <ns0:row r="1013" ht="24" customHeight="1">
      <ns0:c r="A1013" s="3" t="inlineStr">
        <ns0:is>
          <ns0:t>セット</ns0:t>
        </ns0:is>
      </ns0:c>
      <ns0:c r="B1013" s="3" t="inlineStr">
        <ns0:is>
          <ns0:t>G3三段階</ns0:t>
        </ns0:is>
      </ns0:c>
      <ns0:c r="C1013" s="3" t="inlineStr">
        <ns0:is>
          <ns0:t>D</ns0:t>
        </ns0:is>
      </ns0:c>
      <ns0:c r="D1013" s="4" t="n">
        <ns0:v>0</ns0:v>
      </ns0:c>
      <ns0:c r="E1013" s="4" t="n">
        <ns0:v>500</ns0:v>
      </ns0:c>
      <ns0:c r="F1013" s="6" t="n">
        <ns0:v>0.5</ns0:v>
      </ns0:c>
      <ns0:c r="G1013" s="4" t="n">
        <ns0:v>1</ns0:v>
      </ns0:c>
      <ns0:c r="H1013" s="7" t="n">
        <ns0:v>5712.728410513141</ns0:v>
      </ns0:c>
      <ns0:c r="I1013" s="7" t="n">
        <ns0:v>3186.295369211514</ns0:v>
      </ns0:c>
      <ns0:c r="J1013" s="7" t="n">
        <ns0:v>1593.147684605757</ns0:v>
      </ns0:c>
      <ns0:c r="K1013" s="7" t="n">
        <ns0:v>34</ns0:v>
      </ns0:c>
      <ns0:c r="L1013" s="7" t="n">
        <ns0:v>195</ns0:v>
      </ns0:c>
      <ns0:c r="M1013" s="7" t="n">
        <ns0:v>-36210.15245062273</ns0:v>
      </ns0:c>
      <ns0:c r="N1013" s="7" t="n">
        <ns0:v>-5505.709501004781</ns0:v>
      </ns0:c>
      <ns0:c r="O1013" s="7" t="n">
        <ns0:v>27164.44058253059</ns0:v>
      </ns0:c>
      <ns0:c r="P1013" s="7" t="n">
        <ns0:v>108839.815791369</ns0:v>
      </ns0:c>
      <ns0:c r="Q1013" s="7" t="n">
        <ns0:v>393541.3166267224</ns0:v>
      </ns0:c>
      <ns0:c r="R1013" s="7" t="n">
        <ns0:v>1466996.56955046</ns0:v>
      </ns0:c>
    </ns0:row>
    <ns0:row r="1014" ht="24" customHeight="1">
      <ns0:c r="A1014" s="3" t="inlineStr">
        <ns0:is>
          <ns0:t>セット</ns0:t>
        </ns0:is>
      </ns0:c>
      <ns0:c r="B1014" s="3" t="inlineStr">
        <ns0:is>
          <ns0:t>G3三段階</ns0:t>
        </ns0:is>
      </ns0:c>
      <ns0:c r="C1014" s="3" t="inlineStr">
        <ns0:is>
          <ns0:t>D</ns0:t>
        </ns0:is>
      </ns0:c>
      <ns0:c r="D1014" s="4" t="n">
        <ns0:v>0</ns0:v>
      </ns0:c>
      <ns0:c r="E1014" s="4" t="n">
        <ns0:v>500</ns0:v>
      </ns0:c>
      <ns0:c r="F1014" s="6" t="n">
        <ns0:v>0.5</ns0:v>
      </ns0:c>
      <ns0:c r="G1014" s="4" t="n">
        <ns0:v>2</ns0:v>
      </ns0:c>
      <ns0:c r="H1014" s="7" t="n">
        <ns0:v>5712.728410513141</ns0:v>
      </ns0:c>
      <ns0:c r="I1014" s="7" t="n">
        <ns0:v>3186.295369211514</ns0:v>
      </ns0:c>
      <ns0:c r="J1014" s="7" t="n">
        <ns0:v>1593.147684605757</ns0:v>
      </ns0:c>
      <ns0:c r="K1014" s="18" t="inlineStr">
        <ns0:is>
          <ns0:t>範囲内なし</ns0:t>
        </ns0:is>
      </ns0:c>
      <ns0:c r="L1014" s="18" t="inlineStr">
        <ns0:is>
          <ns0:t>範囲内なし</ns0:t>
        </ns0:is>
      </ns0:c>
      <ns0:c r="M1014" s="7" t="n">
        <ns0:v>-55332.96101712917</ns0:v>
      </ns0:c>
      <ns0:c r="N1014" s="7" t="n">
        <ns0:v>-62874.13520052411</ns0:v>
      </ns0:c>
      <ns0:c r="O1014" s="7" t="n">
        <ns0:v>-68449.60225000161</ns0:v>
      </ns0:c>
      <ns0:c r="P1014" s="7" t="n">
        <ns0:v>-82388.26987369542</ns0:v>
      </ns0:c>
      <ns0:c r="Q1014" s="7" t="n">
        <ns0:v>-180142.9403684709</ns0:v>
      </ns0:c>
      <ns0:c r="R1014" s="7" t="n">
        <ns0:v>-445284.2871001842</ns0:v>
      </ns0:c>
    </ns0:row>
    <ns0:row r="1015" ht="24" customHeight="1">
      <ns0:c r="A1015" s="3" t="inlineStr">
        <ns0:is>
          <ns0:t>セット</ns0:t>
        </ns0:is>
      </ns0:c>
      <ns0:c r="B1015" s="3" t="inlineStr">
        <ns0:is>
          <ns0:t>G3三段階</ns0:t>
        </ns0:is>
      </ns0:c>
      <ns0:c r="C1015" s="3" t="inlineStr">
        <ns0:is>
          <ns0:t>D</ns0:t>
        </ns0:is>
      </ns0:c>
      <ns0:c r="D1015" s="4" t="n">
        <ns0:v>0</ns0:v>
      </ns0:c>
      <ns0:c r="E1015" s="4" t="n">
        <ns0:v>500</ns0:v>
      </ns0:c>
      <ns0:c r="F1015" s="6" t="n">
        <ns0:v>0.5</ns0:v>
      </ns0:c>
      <ns0:c r="G1015" s="4" t="n">
        <ns0:v>3</ns0:v>
      </ns0:c>
      <ns0:c r="H1015" s="7" t="n">
        <ns0:v>5712.728410513141</ns0:v>
      </ns0:c>
      <ns0:c r="I1015" s="7" t="n">
        <ns0:v>3186.295369211514</ns0:v>
      </ns0:c>
      <ns0:c r="J1015" s="7" t="n">
        <ns0:v>1593.147684605757</ns0:v>
      </ns0:c>
      <ns0:c r="K1015" s="7" t="n">
        <ns0:v>125</ns0:v>
      </ns0:c>
      <ns0:c r="L1015" s="18" t="inlineStr">
        <ns0:is>
          <ns0:t>範囲内なし</ns0:t>
        </ns0:is>
      </ns0:c>
      <ns0:c r="M1015" s="7" t="n">
        <ns0:v>-44779.25935119342</ns0:v>
      </ns0:c>
      <ns0:c r="N1015" s="7" t="n">
        <ns0:v>-31213.03020271687</ns0:v>
      </ns0:c>
      <ns0:c r="O1015" s="7" t="n">
        <ns0:v>-15681.09392032286</ns0:v>
      </ns0:c>
      <ns0:c r="P1015" s="7" t="n">
        <ns0:v>23148.74678566208</ns0:v>
      </ns0:c>
      <ns0:c r="Q1015" s="7" t="n">
        <ns0:v>136468.1096096016</ns0:v>
      </ns0:c>
      <ns0:c r="R1015" s="7" t="n">
        <ns0:v>610085.8794933907</ns0:v>
      </ns0:c>
    </ns0:row>
    <ns0:row r="1016" ht="24" customHeight="1">
      <ns0:c r="A1016" s="3" t="inlineStr">
        <ns0:is>
          <ns0:t>セット</ns0:t>
        </ns0:is>
      </ns0:c>
      <ns0:c r="B1016" s="3" t="inlineStr">
        <ns0:is>
          <ns0:t>G3三段階</ns0:t>
        </ns0:is>
      </ns0:c>
      <ns0:c r="C1016" s="3" t="inlineStr">
        <ns0:is>
          <ns0:t>D</ns0:t>
        </ns0:is>
      </ns0:c>
      <ns0:c r="D1016" s="4" t="n">
        <ns0:v>0</ns0:v>
      </ns0:c>
      <ns0:c r="E1016" s="4" t="n">
        <ns0:v>1000</ns0:v>
      </ns0:c>
      <ns0:c r="F1016" s="6" t="n">
        <ns0:v>0.3</ns0:v>
      </ns0:c>
      <ns0:c r="G1016" s="4" t="n">
        <ns0:v>0</ns0:v>
      </ns0:c>
      <ns0:c r="H1016" s="7" t="n">
        <ns0:v>5212.728410513141</ns0:v>
      </ns0:c>
      <ns0:c r="I1016" s="7" t="n">
        <ns0:v>2686.295369211514</ns0:v>
      </ns0:c>
      <ns0:c r="J1016" s="7" t="n">
        <ns0:v>805.8886107634544</ns0:v>
      </ns0:c>
      <ns0:c r="K1016" s="7" t="n">
        <ns0:v>24</ns0:v>
      </ns0:c>
      <ns0:c r="L1016" s="7" t="n">
        <ns0:v>46</ns0:v>
      </ns0:c>
      <ns0:c r="M1016" s="7" t="n">
        <ns0:v>-29438.92130622886</ns0:v>
      </ns0:c>
      <ns0:c r="N1016" s="7" t="n">
        <ns0:v>14807.98393217685</ns0:v>
      </ns0:c>
      <ns0:c r="O1016" s="7" t="n">
        <ns0:v>61020.59630449996</ns0:v>
      </ns0:c>
      <ns0:c r="P1016" s="7" t="n">
        <ns0:v>176552.1272353077</ns0:v>
      </ns0:c>
      <ns0:c r="Q1016" s="7" t="n">
        <ns0:v>596678.2509585386</ns0:v>
      </ns0:c>
      <ns0:c r="R1016" s="7" t="n">
        <ns0:v>2144119.683989848</ns0:v>
      </ns0:c>
    </ns0:row>
    <ns0:row r="1017" ht="24" customHeight="1">
      <ns0:c r="A1017" s="3" t="inlineStr">
        <ns0:is>
          <ns0:t>セット</ns0:t>
        </ns0:is>
      </ns0:c>
      <ns0:c r="B1017" s="3" t="inlineStr">
        <ns0:is>
          <ns0:t>G3三段階</ns0:t>
        </ns0:is>
      </ns0:c>
      <ns0:c r="C1017" s="3" t="inlineStr">
        <ns0:is>
          <ns0:t>D</ns0:t>
        </ns0:is>
      </ns0:c>
      <ns0:c r="D1017" s="4" t="n">
        <ns0:v>0</ns0:v>
      </ns0:c>
      <ns0:c r="E1017" s="4" t="n">
        <ns0:v>1000</ns0:v>
      </ns0:c>
      <ns0:c r="F1017" s="6" t="n">
        <ns0:v>0.3</ns0:v>
      </ns0:c>
      <ns0:c r="G1017" s="4" t="n">
        <ns0:v>1</ns0:v>
      </ns0:c>
      <ns0:c r="H1017" s="7" t="n">
        <ns0:v>5212.728410513141</ns0:v>
      </ns0:c>
      <ns0:c r="I1017" s="7" t="n">
        <ns0:v>2686.295369211514</ns0:v>
      </ns0:c>
      <ns0:c r="J1017" s="7" t="n">
        <ns0:v>805.8886107634544</ns0:v>
      </ns0:c>
      <ns0:c r="K1017" s="7" t="n">
        <ns0:v>29</ns0:v>
      </ns0:c>
      <ns0:c r="L1017" s="7" t="n">
        <ns0:v>146</ns0:v>
      </ns0:c>
      <ns0:c r="M1017" s="7" t="n">
        <ns0:v>-33157.56171219971</ns0:v>
      </ns0:c>
      <ns0:c r="N1017" s="7" t="n">
        <ns0:v>3652.062714264321</ns0:v>
      </ns0:c>
      <ns0:c r="O1017" s="7" t="n">
        <ns0:v>42427.39427464575</ns0:v>
      </ns0:c>
      <ns0:c r="P1017" s="7" t="n">
        <ns0:v>139365.7231755993</ns0:v>
      </ns0:c>
      <ns0:c r="Q1017" s="7" t="n">
        <ns0:v>485119.0387794134</ns0:v>
      </ns0:c>
      <ns0:c r="R1017" s="7" t="n">
        <ns0:v>1772255.643392763</ns0:v>
      </ns0:c>
    </ns0:row>
    <ns0:row r="1018" ht="24" customHeight="1">
      <ns0:c r="A1018" s="3" t="inlineStr">
        <ns0:is>
          <ns0:t>セット</ns0:t>
        </ns0:is>
      </ns0:c>
      <ns0:c r="B1018" s="3" t="inlineStr">
        <ns0:is>
          <ns0:t>G3三段階</ns0:t>
        </ns0:is>
      </ns0:c>
      <ns0:c r="C1018" s="3" t="inlineStr">
        <ns0:is>
          <ns0:t>D</ns0:t>
        </ns0:is>
      </ns0:c>
      <ns0:c r="D1018" s="4" t="n">
        <ns0:v>0</ns0:v>
      </ns0:c>
      <ns0:c r="E1018" s="4" t="n">
        <ns0:v>1000</ns0:v>
      </ns0:c>
      <ns0:c r="F1018" s="6" t="n">
        <ns0:v>0.3</ns0:v>
      </ns0:c>
      <ns0:c r="G1018" s="4" t="n">
        <ns0:v>2</ns0:v>
      </ns0:c>
      <ns0:c r="H1018" s="7" t="n">
        <ns0:v>5212.728410513141</ns0:v>
      </ns0:c>
      <ns0:c r="I1018" s="7" t="n">
        <ns0:v>2686.295369211514</ns0:v>
      </ns0:c>
      <ns0:c r="J1018" s="7" t="n">
        <ns0:v>805.8886107634544</ns0:v>
      </ns0:c>
      <ns0:c r="K1018" s="18" t="inlineStr">
        <ns0:is>
          <ns0:t>範囲内なし</ns0:t>
        </ns0:is>
      </ns0:c>
      <ns0:c r="L1018" s="18" t="inlineStr">
        <ns0:is>
          <ns0:t>範囲内なし</ns0:t>
        </ns0:is>
      </ns0:c>
      <ns0:c r="M1018" s="7" t="n">
        <ns0:v>-52280.37027870615</ns0:v>
      </ns0:c>
      <ns0:c r="N1018" s="7" t="n">
        <ns0:v>-53716.36298525501</ns0:v>
      </ns0:c>
      <ns0:c r="O1018" s="7" t="n">
        <ns0:v>-53186.64855788647</ns0:v>
      </ns0:c>
      <ns0:c r="P1018" s="7" t="n">
        <ns0:v>-51862.36248946513</ns0:v>
      </ns0:c>
      <ns0:c r="Q1018" s="7" t="n">
        <ns0:v>-88565.21821577987</ns0:v>
      </ns0:c>
      <ns0:c r="R1018" s="7" t="n">
        <ns0:v>-140025.2132578811</ns0:v>
      </ns0:c>
    </ns0:row>
    <ns0:row r="1019" ht="24" customHeight="1">
      <ns0:c r="A1019" s="3" t="inlineStr">
        <ns0:is>
          <ns0:t>セット</ns0:t>
        </ns0:is>
      </ns0:c>
      <ns0:c r="B1019" s="3" t="inlineStr">
        <ns0:is>
          <ns0:t>G3三段階</ns0:t>
        </ns0:is>
      </ns0:c>
      <ns0:c r="C1019" s="3" t="inlineStr">
        <ns0:is>
          <ns0:t>D</ns0:t>
        </ns0:is>
      </ns0:c>
      <ns0:c r="D1019" s="4" t="n">
        <ns0:v>0</ns0:v>
      </ns0:c>
      <ns0:c r="E1019" s="4" t="n">
        <ns0:v>1000</ns0:v>
      </ns0:c>
      <ns0:c r="F1019" s="6" t="n">
        <ns0:v>0.3</ns0:v>
      </ns0:c>
      <ns0:c r="G1019" s="4" t="n">
        <ns0:v>3</ns0:v>
      </ns0:c>
      <ns0:c r="H1019" s="7" t="n">
        <ns0:v>5212.728410513141</ns0:v>
      </ns0:c>
      <ns0:c r="I1019" s="7" t="n">
        <ns0:v>2686.295369211514</ns0:v>
      </ns0:c>
      <ns0:c r="J1019" s="7" t="n">
        <ns0:v>805.8886107634544</ns0:v>
      </ns0:c>
      <ns0:c r="K1019" s="7" t="n">
        <ns0:v>51</ns0:v>
      </ns0:c>
      <ns0:c r="L1019" s="18" t="inlineStr">
        <ns0:is>
          <ns0:t>範囲内なし</ns0:t>
        </ns0:is>
      </ns0:c>
      <ns0:c r="M1019" s="7" t="n">
        <ns0:v>-41726.6686127704</ns0:v>
      </ns0:c>
      <ns0:c r="N1019" s="7" t="n">
        <ns0:v>-22055.25798744776</ns0:v>
      </ns0:c>
      <ns0:c r="O1019" s="7" t="n">
        <ns0:v>-418.1402282077033</ns0:v>
      </ns0:c>
      <ns0:c r="P1019" s="7" t="n">
        <ns0:v>53674.6541698924</ns0:v>
      </ns0:c>
      <ns0:c r="Q1019" s="7" t="n">
        <ns0:v>228045.8317622926</ns0:v>
      </ns0:c>
      <ns0:c r="R1019" s="7" t="n">
        <ns0:v>915344.9533356938</ns0:v>
      </ns0:c>
    </ns0:row>
    <ns0:row r="1020" ht="24" customHeight="1">
      <ns0:c r="A1020" s="3" t="inlineStr">
        <ns0:is>
          <ns0:t>セット</ns0:t>
        </ns0:is>
      </ns0:c>
      <ns0:c r="B1020" s="3" t="inlineStr">
        <ns0:is>
          <ns0:t>G3三段階</ns0:t>
        </ns0:is>
      </ns0:c>
      <ns0:c r="C1020" s="3" t="inlineStr">
        <ns0:is>
          <ns0:t>D</ns0:t>
        </ns0:is>
      </ns0:c>
      <ns0:c r="D1020" s="4" t="n">
        <ns0:v>0</ns0:v>
      </ns0:c>
      <ns0:c r="E1020" s="4" t="n">
        <ns0:v>1000</ns0:v>
      </ns0:c>
      <ns0:c r="F1020" s="6" t="n">
        <ns0:v>0.4</ns0:v>
      </ns0:c>
      <ns0:c r="G1020" s="4" t="n">
        <ns0:v>0</ns0:v>
      </ns0:c>
      <ns0:c r="H1020" s="7" t="n">
        <ns0:v>5212.728410513141</ns0:v>
      </ns0:c>
      <ns0:c r="I1020" s="7" t="n">
        <ns0:v>2686.295369211514</ns0:v>
      </ns0:c>
      <ns0:c r="J1020" s="7" t="n">
        <ns0:v>1074.518147684606</ns0:v>
      </ns0:c>
      <ns0:c r="K1020" s="7" t="n">
        <ns0:v>27</ns0:v>
      </ns0:c>
      <ns0:c r="L1020" s="7" t="n">
        <ns0:v>52</ns0:v>
      </ns0:c>
      <ns0:c r="M1020" s="7" t="n">
        <ns0:v>-32125.21667544037</ns0:v>
      </ns0:c>
      <ns0:c r="N1020" s="7" t="n">
        <ns0:v>6749.097824542299</ns0:v>
      </ns0:c>
      <ns0:c r="O1020" s="7" t="n">
        <ns0:v>47589.11945844237</ns0:v>
      </ns0:c>
      <ns0:c r="P1020" s="7" t="n">
        <ns0:v>149689.1735431925</ns0:v>
      </ns0:c>
      <ns0:c r="Q1020" s="7" t="n">
        <ns0:v>516089.3898821932</ns0:v>
      </ns0:c>
      <ns0:c r="R1020" s="7" t="n">
        <ns0:v>1875490.147068696</ns0:v>
      </ns0:c>
    </ns0:row>
    <ns0:row r="1021" ht="24" customHeight="1">
      <ns0:c r="A1021" s="3" t="inlineStr">
        <ns0:is>
          <ns0:t>セット</ns0:t>
        </ns0:is>
      </ns0:c>
      <ns0:c r="B1021" s="3" t="inlineStr">
        <ns0:is>
          <ns0:t>G3三段階</ns0:t>
        </ns0:is>
      </ns0:c>
      <ns0:c r="C1021" s="3" t="inlineStr">
        <ns0:is>
          <ns0:t>D</ns0:t>
        </ns0:is>
      </ns0:c>
      <ns0:c r="D1021" s="4" t="n">
        <ns0:v>0</ns0:v>
      </ns0:c>
      <ns0:c r="E1021" s="4" t="n">
        <ns0:v>1000</ns0:v>
      </ns0:c>
      <ns0:c r="F1021" s="6" t="n">
        <ns0:v>0.4</ns0:v>
      </ns0:c>
      <ns0:c r="G1021" s="4" t="n">
        <ns0:v>1</ns0:v>
      </ns0:c>
      <ns0:c r="H1021" s="7" t="n">
        <ns0:v>5212.728410513141</ns0:v>
      </ns0:c>
      <ns0:c r="I1021" s="7" t="n">
        <ns0:v>2686.295369211514</ns0:v>
      </ns0:c>
      <ns0:c r="J1021" s="7" t="n">
        <ns0:v>1074.518147684606</ns0:v>
      </ns0:c>
      <ns0:c r="K1021" s="7" t="n">
        <ns0:v>33</ns0:v>
      </ns0:c>
      <ns0:c r="L1021" s="7" t="n">
        <ns0:v>188</ns0:v>
      </ns0:c>
      <ns0:c r="M1021" s="7" t="n">
        <ns0:v>-35843.85708141122</ns0:v>
      </ns0:c>
      <ns0:c r="N1021" s="7" t="n">
        <ns0:v>-4406.823393370229</ns0:v>
      </ns0:c>
      <ns0:c r="O1021" s="7" t="n">
        <ns0:v>28995.91742858817</ns0:v>
      </ns0:c>
      <ns0:c r="P1021" s="7" t="n">
        <ns0:v>112502.7694834841</ns0:v>
      </ns0:c>
      <ns0:c r="Q1021" s="7" t="n">
        <ns0:v>404530.177703068</ns0:v>
      </ns0:c>
      <ns0:c r="R1021" s="7" t="n">
        <ns0:v>1503626.106471612</ns0:v>
      </ns0:c>
    </ns0:row>
    <ns0:row r="1022" ht="24" customHeight="1">
      <ns0:c r="A1022" s="3" t="inlineStr">
        <ns0:is>
          <ns0:t>セット</ns0:t>
        </ns0:is>
      </ns0:c>
      <ns0:c r="B1022" s="3" t="inlineStr">
        <ns0:is>
          <ns0:t>G3三段階</ns0:t>
        </ns0:is>
      </ns0:c>
      <ns0:c r="C1022" s="3" t="inlineStr">
        <ns0:is>
          <ns0:t>D</ns0:t>
        </ns0:is>
      </ns0:c>
      <ns0:c r="D1022" s="4" t="n">
        <ns0:v>0</ns0:v>
      </ns0:c>
      <ns0:c r="E1022" s="4" t="n">
        <ns0:v>1000</ns0:v>
      </ns0:c>
      <ns0:c r="F1022" s="6" t="n">
        <ns0:v>0.4</ns0:v>
      </ns0:c>
      <ns0:c r="G1022" s="4" t="n">
        <ns0:v>2</ns0:v>
      </ns0:c>
      <ns0:c r="H1022" s="7" t="n">
        <ns0:v>5212.728410513141</ns0:v>
      </ns0:c>
      <ns0:c r="I1022" s="7" t="n">
        <ns0:v>2686.295369211514</ns0:v>
      </ns0:c>
      <ns0:c r="J1022" s="7" t="n">
        <ns0:v>1074.518147684606</ns0:v>
      </ns0:c>
      <ns0:c r="K1022" s="18" t="inlineStr">
        <ns0:is>
          <ns0:t>範囲内なし</ns0:t>
        </ns0:is>
      </ns0:c>
      <ns0:c r="L1022" s="18" t="inlineStr">
        <ns0:is>
          <ns0:t>範囲内なし</ns0:t>
        </ns0:is>
      </ns0:c>
      <ns0:c r="M1022" s="7" t="n">
        <ns0:v>-54966.66564791766</ns0:v>
      </ns0:c>
      <ns0:c r="N1022" s="7" t="n">
        <ns0:v>-61775.24909288954</ns0:v>
      </ns0:c>
      <ns0:c r="O1022" s="7" t="n">
        <ns0:v>-66618.12540394404</ns0:v>
      </ns0:c>
      <ns0:c r="P1022" s="7" t="n">
        <ns0:v>-78725.31618158027</ns0:v>
      </ns0:c>
      <ns0:c r="Q1022" s="7" t="n">
        <ns0:v>-169154.0792921254</ns0:v>
      </ns0:c>
      <ns0:c r="R1022" s="7" t="n">
        <ns0:v>-408654.7501790328</ns0:v>
      </ns0:c>
    </ns0:row>
    <ns0:row r="1023" ht="24" customHeight="1">
      <ns0:c r="A1023" s="3" t="inlineStr">
        <ns0:is>
          <ns0:t>セット</ns0:t>
        </ns0:is>
      </ns0:c>
      <ns0:c r="B1023" s="3" t="inlineStr">
        <ns0:is>
          <ns0:t>G3三段階</ns0:t>
        </ns0:is>
      </ns0:c>
      <ns0:c r="C1023" s="3" t="inlineStr">
        <ns0:is>
          <ns0:t>D</ns0:t>
        </ns0:is>
      </ns0:c>
      <ns0:c r="D1023" s="4" t="n">
        <ns0:v>0</ns0:v>
      </ns0:c>
      <ns0:c r="E1023" s="4" t="n">
        <ns0:v>1000</ns0:v>
      </ns0:c>
      <ns0:c r="F1023" s="6" t="n">
        <ns0:v>0.4</ns0:v>
      </ns0:c>
      <ns0:c r="G1023" s="4" t="n">
        <ns0:v>3</ns0:v>
      </ns0:c>
      <ns0:c r="H1023" s="7" t="n">
        <ns0:v>5212.728410513141</ns0:v>
      </ns0:c>
      <ns0:c r="I1023" s="7" t="n">
        <ns0:v>2686.295369211514</ns0:v>
      </ns0:c>
      <ns0:c r="J1023" s="7" t="n">
        <ns0:v>1074.518147684606</ns0:v>
      </ns0:c>
      <ns0:c r="K1023" s="7" t="n">
        <ns0:v>119</ns0:v>
      </ns0:c>
      <ns0:c r="L1023" s="18" t="inlineStr">
        <ns0:is>
          <ns0:t>範囲内なし</ns0:t>
        </ns0:is>
      </ns0:c>
      <ns0:c r="M1023" s="7" t="n">
        <ns0:v>-44412.96398198191</ns0:v>
      </ns0:c>
      <ns0:c r="N1023" s="7" t="n">
        <ns0:v>-30114.14409508231</ns0:v>
      </ns0:c>
      <ns0:c r="O1023" s="7" t="n">
        <ns0:v>-13849.61707426529</ns0:v>
      </ns0:c>
      <ns0:c r="P1023" s="7" t="n">
        <ns0:v>26811.70047777722</ns0:v>
      </ns0:c>
      <ns0:c r="Q1023" s="7" t="n">
        <ns0:v>147456.9706859471</ns0:v>
      </ns0:c>
      <ns0:c r="R1023" s="7" t="n">
        <ns0:v>646715.4164145421</ns0:v>
      </ns0:c>
    </ns0:row>
    <ns0:row r="1024" ht="24" customHeight="1">
      <ns0:c r="A1024" s="3" t="inlineStr">
        <ns0:is>
          <ns0:t>セット</ns0:t>
        </ns0:is>
      </ns0:c>
      <ns0:c r="B1024" s="3" t="inlineStr">
        <ns0:is>
          <ns0:t>G3三段階</ns0:t>
        </ns0:is>
      </ns0:c>
      <ns0:c r="C1024" s="3" t="inlineStr">
        <ns0:is>
          <ns0:t>D</ns0:t>
        </ns0:is>
      </ns0:c>
      <ns0:c r="D1024" s="4" t="n">
        <ns0:v>0</ns0:v>
      </ns0:c>
      <ns0:c r="E1024" s="4" t="n">
        <ns0:v>1000</ns0:v>
      </ns0:c>
      <ns0:c r="F1024" s="6" t="n">
        <ns0:v>0.5</ns0:v>
      </ns0:c>
      <ns0:c r="G1024" s="4" t="n">
        <ns0:v>0</ns0:v>
      </ns0:c>
      <ns0:c r="H1024" s="7" t="n">
        <ns0:v>5212.728410513141</ns0:v>
      </ns0:c>
      <ns0:c r="I1024" s="7" t="n">
        <ns0:v>2686.295369211514</ns0:v>
      </ns0:c>
      <ns0:c r="J1024" s="7" t="n">
        <ns0:v>1343.147684605757</ns0:v>
      </ns0:c>
      <ns0:c r="K1024" s="7" t="n">
        <ns0:v>31</ns0:v>
      </ns0:c>
      <ns0:c r="L1024" s="7" t="n">
        <ns0:v>60</ns0:v>
      </ns0:c>
      <ns0:c r="M1024" s="7" t="n">
        <ns0:v>-34811.51204465189</ns0:v>
      </ns0:c>
      <ns0:c r="N1024" s="7" t="n">
        <ns0:v>-1309.788283092243</ns0:v>
      </ns0:c>
      <ns0:c r="O1024" s="7" t="n">
        <ns0:v>34157.64261238482</ns0:v>
      </ns0:c>
      <ns0:c r="P1024" s="7" t="n">
        <ns0:v>122826.2198510774</ns0:v>
      </ns0:c>
      <ns0:c r="Q1024" s="7" t="n">
        <ns0:v>435500.5288058477</ns0:v>
      </ns0:c>
      <ns0:c r="R1024" s="7" t="n">
        <ns0:v>1606860.610147545</ns0:v>
      </ns0:c>
    </ns0:row>
    <ns0:row r="1025" ht="24" customHeight="1">
      <ns0:c r="A1025" s="3" t="inlineStr">
        <ns0:is>
          <ns0:t>セット</ns0:t>
        </ns0:is>
      </ns0:c>
      <ns0:c r="B1025" s="3" t="inlineStr">
        <ns0:is>
          <ns0:t>G3三段階</ns0:t>
        </ns0:is>
      </ns0:c>
      <ns0:c r="C1025" s="3" t="inlineStr">
        <ns0:is>
          <ns0:t>D</ns0:t>
        </ns0:is>
      </ns0:c>
      <ns0:c r="D1025" s="4" t="n">
        <ns0:v>0</ns0:v>
      </ns0:c>
      <ns0:c r="E1025" s="4" t="n">
        <ns0:v>1000</ns0:v>
      </ns0:c>
      <ns0:c r="F1025" s="6" t="n">
        <ns0:v>0.5</ns0:v>
      </ns0:c>
      <ns0:c r="G1025" s="4" t="n">
        <ns0:v>1</ns0:v>
      </ns0:c>
      <ns0:c r="H1025" s="7" t="n">
        <ns0:v>5212.728410513141</ns0:v>
      </ns0:c>
      <ns0:c r="I1025" s="7" t="n">
        <ns0:v>2686.295369211514</ns0:v>
      </ns0:c>
      <ns0:c r="J1025" s="7" t="n">
        <ns0:v>1343.147684605757</ns0:v>
      </ns0:c>
      <ns0:c r="K1025" s="7" t="n">
        <ns0:v>39</ns0:v>
      </ns0:c>
      <ns0:c r="L1025" s="7" t="n">
        <ns0:v>266</ns0:v>
      </ns0:c>
      <ns0:c r="M1025" s="7" t="n">
        <ns0:v>-38530.15245062273</ns0:v>
      </ns0:c>
      <ns0:c r="N1025" s="7" t="n">
        <ns0:v>-12465.70950100477</ns0:v>
      </ns0:c>
      <ns0:c r="O1025" s="7" t="n">
        <ns0:v>15564.44058253061</ns0:v>
      </ns0:c>
      <ns0:c r="P1025" s="7" t="n">
        <ns0:v>85639.81579136901</ns0:v>
      </ns0:c>
      <ns0:c r="Q1025" s="7" t="n">
        <ns0:v>323941.3166267225</ns0:v>
      </ns0:c>
      <ns0:c r="R1025" s="7" t="n">
        <ns0:v>1234996.569550461</ns0:v>
      </ns0:c>
    </ns0:row>
    <ns0:row r="1026" ht="24" customHeight="1">
      <ns0:c r="A1026" s="3" t="inlineStr">
        <ns0:is>
          <ns0:t>セット</ns0:t>
        </ns0:is>
      </ns0:c>
      <ns0:c r="B1026" s="3" t="inlineStr">
        <ns0:is>
          <ns0:t>G3三段階</ns0:t>
        </ns0:is>
      </ns0:c>
      <ns0:c r="C1026" s="3" t="inlineStr">
        <ns0:is>
          <ns0:t>D</ns0:t>
        </ns0:is>
      </ns0:c>
      <ns0:c r="D1026" s="4" t="n">
        <ns0:v>0</ns0:v>
      </ns0:c>
      <ns0:c r="E1026" s="4" t="n">
        <ns0:v>1000</ns0:v>
      </ns0:c>
      <ns0:c r="F1026" s="6" t="n">
        <ns0:v>0.5</ns0:v>
      </ns0:c>
      <ns0:c r="G1026" s="4" t="n">
        <ns0:v>2</ns0:v>
      </ns0:c>
      <ns0:c r="H1026" s="7" t="n">
        <ns0:v>5212.728410513141</ns0:v>
      </ns0:c>
      <ns0:c r="I1026" s="7" t="n">
        <ns0:v>2686.295369211514</ns0:v>
      </ns0:c>
      <ns0:c r="J1026" s="7" t="n">
        <ns0:v>1343.147684605757</ns0:v>
      </ns0:c>
      <ns0:c r="K1026" s="18" t="inlineStr">
        <ns0:is>
          <ns0:t>範囲内なし</ns0:t>
        </ns0:is>
      </ns0:c>
      <ns0:c r="L1026" s="18" t="inlineStr">
        <ns0:is>
          <ns0:t>範囲内なし</ns0:t>
        </ns0:is>
      </ns0:c>
      <ns0:c r="M1026" s="7" t="n">
        <ns0:v>-57652.96101712917</ns0:v>
      </ns0:c>
      <ns0:c r="N1026" s="7" t="n">
        <ns0:v>-69834.13520052411</ns0:v>
      </ns0:c>
      <ns0:c r="O1026" s="7" t="n">
        <ns0:v>-80049.60225000161</ns0:v>
      </ns0:c>
      <ns0:c r="P1026" s="7" t="n">
        <ns0:v>-105588.2698736954</ns0:v>
      </ns0:c>
      <ns0:c r="Q1026" s="7" t="n">
        <ns0:v>-249742.9403684708</ns0:v>
      </ns0:c>
      <ns0:c r="R1026" s="7" t="n">
        <ns0:v>-677284.2871001838</ns0:v>
      </ns0:c>
    </ns0:row>
    <ns0:row r="1027" ht="24" customHeight="1">
      <ns0:c r="A1027" s="3" t="inlineStr">
        <ns0:is>
          <ns0:t>セット</ns0:t>
        </ns0:is>
      </ns0:c>
      <ns0:c r="B1027" s="3" t="inlineStr">
        <ns0:is>
          <ns0:t>G3三段階</ns0:t>
        </ns0:is>
      </ns0:c>
      <ns0:c r="C1027" s="3" t="inlineStr">
        <ns0:is>
          <ns0:t>D</ns0:t>
        </ns0:is>
      </ns0:c>
      <ns0:c r="D1027" s="4" t="n">
        <ns0:v>0</ns0:v>
      </ns0:c>
      <ns0:c r="E1027" s="4" t="n">
        <ns0:v>1000</ns0:v>
      </ns0:c>
      <ns0:c r="F1027" s="6" t="n">
        <ns0:v>0.5</ns0:v>
      </ns0:c>
      <ns0:c r="G1027" s="4" t="n">
        <ns0:v>3</ns0:v>
      </ns0:c>
      <ns0:c r="H1027" s="7" t="n">
        <ns0:v>5212.728410513141</ns0:v>
      </ns0:c>
      <ns0:c r="I1027" s="7" t="n">
        <ns0:v>2686.295369211514</ns0:v>
      </ns0:c>
      <ns0:c r="J1027" s="7" t="n">
        <ns0:v>1343.147684605757</ns0:v>
      </ns0:c>
      <ns0:c r="K1027" s="7" t="n">
        <ns0:v>178</ns0:v>
      </ns0:c>
      <ns0:c r="L1027" s="18" t="inlineStr">
        <ns0:is>
          <ns0:t>範囲内なし</ns0:t>
        </ns0:is>
      </ns0:c>
      <ns0:c r="M1027" s="7" t="n">
        <ns0:v>-47099.25935119342</ns0:v>
      </ns0:c>
      <ns0:c r="N1027" s="7" t="n">
        <ns0:v>-38173.03020271685</ns0:v>
      </ns0:c>
      <ns0:c r="O1027" s="7" t="n">
        <ns0:v>-27281.09392032285</ns0:v>
      </ns0:c>
      <ns0:c r="P1027" s="7" t="n">
        <ns0:v>-51.25321433789213</ns0:v>
      </ns0:c>
      <ns0:c r="Q1027" s="7" t="n">
        <ns0:v>66868.10960960167</ns0:v>
      </ns0:c>
      <ns0:c r="R1027" s="7" t="n">
        <ns0:v>378085.8794933911</ns0:v>
      </ns0:c>
    </ns0:row>
    <ns0:row r="1028" ht="24" customHeight="1">
      <ns0:c r="A1028" s="3" t="inlineStr">
        <ns0:is>
          <ns0:t>セット</ns0:t>
        </ns0:is>
      </ns0:c>
      <ns0:c r="B1028" s="3" t="inlineStr">
        <ns0:is>
          <ns0:t>G3三段階</ns0:t>
        </ns0:is>
      </ns0:c>
      <ns0:c r="C1028" s="3" t="inlineStr">
        <ns0:is>
          <ns0:t>D</ns0:t>
        </ns0:is>
      </ns0:c>
      <ns0:c r="D1028" s="4" t="n">
        <ns0:v>0</ns0:v>
      </ns0:c>
      <ns0:c r="E1028" s="4" t="n">
        <ns0:v>1500</ns0:v>
      </ns0:c>
      <ns0:c r="F1028" s="6" t="n">
        <ns0:v>0.3</ns0:v>
      </ns0:c>
      <ns0:c r="G1028" s="4" t="n">
        <ns0:v>0</ns0:v>
      </ns0:c>
      <ns0:c r="H1028" s="7" t="n">
        <ns0:v>4712.728410513141</ns0:v>
      </ns0:c>
      <ns0:c r="I1028" s="7" t="n">
        <ns0:v>2186.295369211514</ns0:v>
      </ns0:c>
      <ns0:c r="J1028" s="7" t="n">
        <ns0:v>655.8886107634542</ns0:v>
      </ns0:c>
      <ns0:c r="K1028" s="7" t="n">
        <ns0:v>28</ns0:v>
      </ns0:c>
      <ns0:c r="L1028" s="7" t="n">
        <ns0:v>54</ns0:v>
      </ns0:c>
      <ns0:c r="M1028" s="7" t="n">
        <ns0:v>-32758.92130622886</ns0:v>
      </ns0:c>
      <ns0:c r="N1028" s="7" t="n">
        <ns0:v>4847.983932176834</ns0:v>
      </ns0:c>
      <ns0:c r="O1028" s="7" t="n">
        <ns0:v>44420.59630449992</ns0:v>
      </ns0:c>
      <ns0:c r="P1028" s="7" t="n">
        <ns0:v>143352.1272353076</ns0:v>
      </ns0:c>
      <ns0:c r="Q1028" s="7" t="n">
        <ns0:v>497078.2509585386</ns0:v>
      </ns0:c>
      <ns0:c r="R1028" s="7" t="n">
        <ns0:v>1812119.683989847</ns0:v>
      </ns0:c>
    </ns0:row>
    <ns0:row r="1029" ht="24" customHeight="1">
      <ns0:c r="A1029" s="3" t="inlineStr">
        <ns0:is>
          <ns0:t>セット</ns0:t>
        </ns0:is>
      </ns0:c>
      <ns0:c r="B1029" s="3" t="inlineStr">
        <ns0:is>
          <ns0:t>G3三段階</ns0:t>
        </ns0:is>
      </ns0:c>
      <ns0:c r="C1029" s="3" t="inlineStr">
        <ns0:is>
          <ns0:t>D</ns0:t>
        </ns0:is>
      </ns0:c>
      <ns0:c r="D1029" s="4" t="n">
        <ns0:v>0</ns0:v>
      </ns0:c>
      <ns0:c r="E1029" s="4" t="n">
        <ns0:v>1500</ns0:v>
      </ns0:c>
      <ns0:c r="F1029" s="6" t="n">
        <ns0:v>0.3</ns0:v>
      </ns0:c>
      <ns0:c r="G1029" s="4" t="n">
        <ns0:v>1</ns0:v>
      </ns0:c>
      <ns0:c r="H1029" s="7" t="n">
        <ns0:v>4712.728410513141</ns0:v>
      </ns0:c>
      <ns0:c r="I1029" s="7" t="n">
        <ns0:v>2186.295369211514</ns0:v>
      </ns0:c>
      <ns0:c r="J1029" s="7" t="n">
        <ns0:v>655.8886107634542</ns0:v>
      </ns0:c>
      <ns0:c r="K1029" s="7" t="n">
        <ns0:v>34</ns0:v>
      </ns0:c>
      <ns0:c r="L1029" s="7" t="n">
        <ns0:v>204</ns0:v>
      </ns0:c>
      <ns0:c r="M1029" s="7" t="n">
        <ns0:v>-36477.56171219971</ns0:v>
      </ns0:c>
      <ns0:c r="N1029" s="7" t="n">
        <ns0:v>-6307.93728573569</ns0:v>
      </ns0:c>
      <ns0:c r="O1029" s="7" t="n">
        <ns0:v>25827.39427464571</ns0:v>
      </ns0:c>
      <ns0:c r="P1029" s="7" t="n">
        <ns0:v>106165.7231755992</ns0:v>
      </ns0:c>
      <ns0:c r="Q1029" s="7" t="n">
        <ns0:v>385519.0387794134</ns0:v>
      </ns0:c>
      <ns0:c r="R1029" s="7" t="n">
        <ns0:v>1440255.643392763</ns0:v>
      </ns0:c>
    </ns0:row>
    <ns0:row r="1030" ht="24" customHeight="1">
      <ns0:c r="A1030" s="3" t="inlineStr">
        <ns0:is>
          <ns0:t>セット</ns0:t>
        </ns0:is>
      </ns0:c>
      <ns0:c r="B1030" s="3" t="inlineStr">
        <ns0:is>
          <ns0:t>G3三段階</ns0:t>
        </ns0:is>
      </ns0:c>
      <ns0:c r="C1030" s="3" t="inlineStr">
        <ns0:is>
          <ns0:t>D</ns0:t>
        </ns0:is>
      </ns0:c>
      <ns0:c r="D1030" s="4" t="n">
        <ns0:v>0</ns0:v>
      </ns0:c>
      <ns0:c r="E1030" s="4" t="n">
        <ns0:v>1500</ns0:v>
      </ns0:c>
      <ns0:c r="F1030" s="6" t="n">
        <ns0:v>0.3</ns0:v>
      </ns0:c>
      <ns0:c r="G1030" s="4" t="n">
        <ns0:v>2</ns0:v>
      </ns0:c>
      <ns0:c r="H1030" s="7" t="n">
        <ns0:v>4712.728410513141</ns0:v>
      </ns0:c>
      <ns0:c r="I1030" s="7" t="n">
        <ns0:v>2186.295369211514</ns0:v>
      </ns0:c>
      <ns0:c r="J1030" s="7" t="n">
        <ns0:v>655.8886107634542</ns0:v>
      </ns0:c>
      <ns0:c r="K1030" s="18" t="inlineStr">
        <ns0:is>
          <ns0:t>範囲内なし</ns0:t>
        </ns0:is>
      </ns0:c>
      <ns0:c r="L1030" s="18" t="inlineStr">
        <ns0:is>
          <ns0:t>範囲内なし</ns0:t>
        </ns0:is>
      </ns0:c>
      <ns0:c r="M1030" s="7" t="n">
        <ns0:v>-55600.37027870615</ns0:v>
      </ns0:c>
      <ns0:c r="N1030" s="7" t="n">
        <ns0:v>-63676.36298525501</ns0:v>
      </ns0:c>
      <ns0:c r="O1030" s="7" t="n">
        <ns0:v>-69786.6485578865</ns0:v>
      </ns0:c>
      <ns0:c r="P1030" s="7" t="n">
        <ns0:v>-85062.36248946519</ns0:v>
      </ns0:c>
      <ns0:c r="Q1030" s="7" t="n">
        <ns0:v>-188165.2182157799</ns0:v>
      </ns0:c>
      <ns0:c r="R1030" s="7" t="n">
        <ns0:v>-472025.2132578813</ns0:v>
      </ns0:c>
    </ns0:row>
    <ns0:row r="1031" ht="24" customHeight="1">
      <ns0:c r="A1031" s="3" t="inlineStr">
        <ns0:is>
          <ns0:t>セット</ns0:t>
        </ns0:is>
      </ns0:c>
      <ns0:c r="B1031" s="3" t="inlineStr">
        <ns0:is>
          <ns0:t>G3三段階</ns0:t>
        </ns0:is>
      </ns0:c>
      <ns0:c r="C1031" s="3" t="inlineStr">
        <ns0:is>
          <ns0:t>D</ns0:t>
        </ns0:is>
      </ns0:c>
      <ns0:c r="D1031" s="4" t="n">
        <ns0:v>0</ns0:v>
      </ns0:c>
      <ns0:c r="E1031" s="4" t="n">
        <ns0:v>1500</ns0:v>
      </ns0:c>
      <ns0:c r="F1031" s="6" t="n">
        <ns0:v>0.3</ns0:v>
      </ns0:c>
      <ns0:c r="G1031" s="4" t="n">
        <ns0:v>3</ns0:v>
      </ns0:c>
      <ns0:c r="H1031" s="7" t="n">
        <ns0:v>4712.728410513141</ns0:v>
      </ns0:c>
      <ns0:c r="I1031" s="7" t="n">
        <ns0:v>2186.295369211514</ns0:v>
      </ns0:c>
      <ns0:c r="J1031" s="7" t="n">
        <ns0:v>655.8886107634542</ns0:v>
      </ns0:c>
      <ns0:c r="K1031" s="7" t="n">
        <ns0:v>129</ns0:v>
      </ns0:c>
      <ns0:c r="L1031" s="18" t="inlineStr">
        <ns0:is>
          <ns0:t>範囲内なし</ns0:t>
        </ns0:is>
      </ns0:c>
      <ns0:c r="M1031" s="7" t="n">
        <ns0:v>-45046.6686127704</ns0:v>
      </ns0:c>
      <ns0:c r="N1031" s="7" t="n">
        <ns0:v>-32015.25798744777</ns0:v>
      </ns0:c>
      <ns0:c r="O1031" s="7" t="n">
        <ns0:v>-17018.14022820775</ns0:v>
      </ns0:c>
      <ns0:c r="P1031" s="7" t="n">
        <ns0:v>20474.65416989231</ns0:v>
      </ns0:c>
      <ns0:c r="Q1031" s="7" t="n">
        <ns0:v>128445.8317622925</ns0:v>
      </ns0:c>
      <ns0:c r="R1031" s="7" t="n">
        <ns0:v>583344.9533356935</ns0:v>
      </ns0:c>
    </ns0:row>
    <ns0:row r="1032" ht="24" customHeight="1">
      <ns0:c r="A1032" s="3" t="inlineStr">
        <ns0:is>
          <ns0:t>セット</ns0:t>
        </ns0:is>
      </ns0:c>
      <ns0:c r="B1032" s="3" t="inlineStr">
        <ns0:is>
          <ns0:t>G3三段階</ns0:t>
        </ns0:is>
      </ns0:c>
      <ns0:c r="C1032" s="3" t="inlineStr">
        <ns0:is>
          <ns0:t>D</ns0:t>
        </ns0:is>
      </ns0:c>
      <ns0:c r="D1032" s="4" t="n">
        <ns0:v>0</ns0:v>
      </ns0:c>
      <ns0:c r="E1032" s="4" t="n">
        <ns0:v>1500</ns0:v>
      </ns0:c>
      <ns0:c r="F1032" s="6" t="n">
        <ns0:v>0.4</ns0:v>
      </ns0:c>
      <ns0:c r="G1032" s="4" t="n">
        <ns0:v>0</ns0:v>
      </ns0:c>
      <ns0:c r="H1032" s="7" t="n">
        <ns0:v>4712.728410513141</ns0:v>
      </ns0:c>
      <ns0:c r="I1032" s="7" t="n">
        <ns0:v>2186.295369211514</ns0:v>
      </ns0:c>
      <ns0:c r="J1032" s="7" t="n">
        <ns0:v>874.5181476846057</ns0:v>
      </ns0:c>
      <ns0:c r="K1032" s="7" t="n">
        <ns0:v>31</ns0:v>
      </ns0:c>
      <ns0:c r="L1032" s="7" t="n">
        <ns0:v>60</ns0:v>
      </ns0:c>
      <ns0:c r="M1032" s="7" t="n">
        <ns0:v>-34945.21667544037</ns0:v>
      </ns0:c>
      <ns0:c r="N1032" s="7" t="n">
        <ns0:v>-1710.902175457715</ns0:v>
      </ns0:c>
      <ns0:c r="O1032" s="7" t="n">
        <ns0:v>33489.11945844235</ns0:v>
      </ns0:c>
      <ns0:c r="P1032" s="7" t="n">
        <ns0:v>121489.1735431925</ns0:v>
      </ns0:c>
      <ns0:c r="Q1032" s="7" t="n">
        <ns0:v>431489.3898821932</ns0:v>
      </ns0:c>
      <ns0:c r="R1032" s="7" t="n">
        <ns0:v>1593490.147068696</ns0:v>
      </ns0:c>
    </ns0:row>
    <ns0:row r="1033" ht="24" customHeight="1">
      <ns0:c r="A1033" s="3" t="inlineStr">
        <ns0:is>
          <ns0:t>セット</ns0:t>
        </ns0:is>
      </ns0:c>
      <ns0:c r="B1033" s="3" t="inlineStr">
        <ns0:is>
          <ns0:t>G3三段階</ns0:t>
        </ns0:is>
      </ns0:c>
      <ns0:c r="C1033" s="3" t="inlineStr">
        <ns0:is>
          <ns0:t>D</ns0:t>
        </ns0:is>
      </ns0:c>
      <ns0:c r="D1033" s="4" t="n">
        <ns0:v>0</ns0:v>
      </ns0:c>
      <ns0:c r="E1033" s="4" t="n">
        <ns0:v>1500</ns0:v>
      </ns0:c>
      <ns0:c r="F1033" s="6" t="n">
        <ns0:v>0.4</ns0:v>
      </ns0:c>
      <ns0:c r="G1033" s="4" t="n">
        <ns0:v>1</ns0:v>
      </ns0:c>
      <ns0:c r="H1033" s="7" t="n">
        <ns0:v>4712.728410513141</ns0:v>
      </ns0:c>
      <ns0:c r="I1033" s="7" t="n">
        <ns0:v>2186.295369211514</ns0:v>
      </ns0:c>
      <ns0:c r="J1033" s="7" t="n">
        <ns0:v>874.5181476846057</ns0:v>
      </ns0:c>
      <ns0:c r="K1033" s="7" t="n">
        <ns0:v>40</ns0:v>
      </ns0:c>
      <ns0:c r="L1033" s="7" t="n">
        <ns0:v>275</ns0:v>
      </ns0:c>
      <ns0:c r="M1033" s="7" t="n">
        <ns0:v>-38663.85708141122</ns0:v>
      </ns0:c>
      <ns0:c r="N1033" s="7" t="n">
        <ns0:v>-12866.82339337024</ns0:v>
      </ns0:c>
      <ns0:c r="O1033" s="7" t="n">
        <ns0:v>14895.91742858814</ns0:v>
      </ns0:c>
      <ns0:c r="P1033" s="7" t="n">
        <ns0:v>84302.76948348407</ns0:v>
      </ns0:c>
      <ns0:c r="Q1033" s="7" t="n">
        <ns0:v>319930.177703068</ns0:v>
      </ns0:c>
      <ns0:c r="R1033" s="7" t="n">
        <ns0:v>1221626.106471611</ns0:v>
      </ns0:c>
    </ns0:row>
    <ns0:row r="1034" ht="24" customHeight="1">
      <ns0:c r="A1034" s="3" t="inlineStr">
        <ns0:is>
          <ns0:t>セット</ns0:t>
        </ns0:is>
      </ns0:c>
      <ns0:c r="B1034" s="3" t="inlineStr">
        <ns0:is>
          <ns0:t>G3三段階</ns0:t>
        </ns0:is>
      </ns0:c>
      <ns0:c r="C1034" s="3" t="inlineStr">
        <ns0:is>
          <ns0:t>D</ns0:t>
        </ns0:is>
      </ns0:c>
      <ns0:c r="D1034" s="4" t="n">
        <ns0:v>0</ns0:v>
      </ns0:c>
      <ns0:c r="E1034" s="4" t="n">
        <ns0:v>1500</ns0:v>
      </ns0:c>
      <ns0:c r="F1034" s="6" t="n">
        <ns0:v>0.4</ns0:v>
      </ns0:c>
      <ns0:c r="G1034" s="4" t="n">
        <ns0:v>2</ns0:v>
      </ns0:c>
      <ns0:c r="H1034" s="7" t="n">
        <ns0:v>4712.728410513141</ns0:v>
      </ns0:c>
      <ns0:c r="I1034" s="7" t="n">
        <ns0:v>2186.295369211514</ns0:v>
      </ns0:c>
      <ns0:c r="J1034" s="7" t="n">
        <ns0:v>874.5181476846057</ns0:v>
      </ns0:c>
      <ns0:c r="K1034" s="18" t="inlineStr">
        <ns0:is>
          <ns0:t>範囲内なし</ns0:t>
        </ns0:is>
      </ns0:c>
      <ns0:c r="L1034" s="18" t="inlineStr">
        <ns0:is>
          <ns0:t>範囲内なし</ns0:t>
        </ns0:is>
      </ns0:c>
      <ns0:c r="M1034" s="7" t="n">
        <ns0:v>-57786.66564791766</ns0:v>
      </ns0:c>
      <ns0:c r="N1034" s="7" t="n">
        <ns0:v>-70235.24909288957</ns0:v>
      </ns0:c>
      <ns0:c r="O1034" s="7" t="n">
        <ns0:v>-80718.12540394407</ns0:v>
      </ns0:c>
      <ns0:c r="P1034" s="7" t="n">
        <ns0:v>-106925.3161815803</ns0:v>
      </ns0:c>
      <ns0:c r="Q1034" s="7" t="n">
        <ns0:v>-253754.0792921254</ns0:v>
      </ns0:c>
      <ns0:c r="R1034" s="7" t="n">
        <ns0:v>-690654.750179033</ns0:v>
      </ns0:c>
    </ns0:row>
    <ns0:row r="1035" ht="24" customHeight="1">
      <ns0:c r="A1035" s="3" t="inlineStr">
        <ns0:is>
          <ns0:t>セット</ns0:t>
        </ns0:is>
      </ns0:c>
      <ns0:c r="B1035" s="3" t="inlineStr">
        <ns0:is>
          <ns0:t>G3三段階</ns0:t>
        </ns0:is>
      </ns0:c>
      <ns0:c r="C1035" s="3" t="inlineStr">
        <ns0:is>
          <ns0:t>D</ns0:t>
        </ns0:is>
      </ns0:c>
      <ns0:c r="D1035" s="4" t="n">
        <ns0:v>0</ns0:v>
      </ns0:c>
      <ns0:c r="E1035" s="4" t="n">
        <ns0:v>1500</ns0:v>
      </ns0:c>
      <ns0:c r="F1035" s="6" t="n">
        <ns0:v>0.4</ns0:v>
      </ns0:c>
      <ns0:c r="G1035" s="4" t="n">
        <ns0:v>3</ns0:v>
      </ns0:c>
      <ns0:c r="H1035" s="7" t="n">
        <ns0:v>4712.728410513141</ns0:v>
      </ns0:c>
      <ns0:c r="I1035" s="7" t="n">
        <ns0:v>2186.295369211514</ns0:v>
      </ns0:c>
      <ns0:c r="J1035" s="7" t="n">
        <ns0:v>874.5181476846057</ns0:v>
      </ns0:c>
      <ns0:c r="K1035" s="7" t="n">
        <ns0:v>182</ns0:v>
      </ns0:c>
      <ns0:c r="L1035" s="18" t="inlineStr">
        <ns0:is>
          <ns0:t>範囲内なし</ns0:t>
        </ns0:is>
      </ns0:c>
      <ns0:c r="M1035" s="7" t="n">
        <ns0:v>-47232.96398198191</ns0:v>
      </ns0:c>
      <ns0:c r="N1035" s="7" t="n">
        <ns0:v>-38574.14409508232</ns0:v>
      </ns0:c>
      <ns0:c r="O1035" s="7" t="n">
        <ns0:v>-27949.61707426532</ns0:v>
      </ns0:c>
      <ns0:c r="P1035" s="7" t="n">
        <ns0:v>-1388.299522222835</ns0:v>
      </ns0:c>
      <ns0:c r="Q1035" s="7" t="n">
        <ns0:v>62856.9706859471</ns0:v>
      </ns0:c>
      <ns0:c r="R1035" s="7" t="n">
        <ns0:v>364715.4164145419</ns0:v>
      </ns0:c>
    </ns0:row>
    <ns0:row r="1036" ht="24" customHeight="1">
      <ns0:c r="A1036" s="3" t="inlineStr">
        <ns0:is>
          <ns0:t>セット</ns0:t>
        </ns0:is>
      </ns0:c>
      <ns0:c r="B1036" s="3" t="inlineStr">
        <ns0:is>
          <ns0:t>G3三段階</ns0:t>
        </ns0:is>
      </ns0:c>
      <ns0:c r="C1036" s="3" t="inlineStr">
        <ns0:is>
          <ns0:t>D</ns0:t>
        </ns0:is>
      </ns0:c>
      <ns0:c r="D1036" s="4" t="n">
        <ns0:v>0</ns0:v>
      </ns0:c>
      <ns0:c r="E1036" s="4" t="n">
        <ns0:v>1500</ns0:v>
      </ns0:c>
      <ns0:c r="F1036" s="6" t="n">
        <ns0:v>0.5</ns0:v>
      </ns0:c>
      <ns0:c r="G1036" s="4" t="n">
        <ns0:v>0</ns0:v>
      </ns0:c>
      <ns0:c r="H1036" s="7" t="n">
        <ns0:v>4712.728410513141</ns0:v>
      </ns0:c>
      <ns0:c r="I1036" s="7" t="n">
        <ns0:v>2186.295369211514</ns0:v>
      </ns0:c>
      <ns0:c r="J1036" s="7" t="n">
        <ns0:v>1093.147684605757</ns0:v>
      </ns0:c>
      <ns0:c r="K1036" s="7" t="n">
        <ns0:v>36</ns0:v>
      </ns0:c>
      <ns0:c r="L1036" s="7" t="n">
        <ns0:v>112</ns0:v>
      </ns0:c>
      <ns0:c r="M1036" s="7" t="n">
        <ns0:v>-37131.51204465189</ns0:v>
      </ns0:c>
      <ns0:c r="N1036" s="7" t="n">
        <ns0:v>-8269.788283092257</ns0:v>
      </ns0:c>
      <ns0:c r="O1036" s="7" t="n">
        <ns0:v>22557.64261238478</ns0:v>
      </ns0:c>
      <ns0:c r="P1036" s="7" t="n">
        <ns0:v>99626.21985107736</ns0:v>
      </ns0:c>
      <ns0:c r="Q1036" s="7" t="n">
        <ns0:v>365900.5288058477</ns0:v>
      </ns0:c>
      <ns0:c r="R1036" s="7" t="n">
        <ns0:v>1374860.610147544</ns0:v>
      </ns0:c>
    </ns0:row>
    <ns0:row r="1037" ht="24" customHeight="1">
      <ns0:c r="A1037" s="3" t="inlineStr">
        <ns0:is>
          <ns0:t>セット</ns0:t>
        </ns0:is>
      </ns0:c>
      <ns0:c r="B1037" s="3" t="inlineStr">
        <ns0:is>
          <ns0:t>G3三段階</ns0:t>
        </ns0:is>
      </ns0:c>
      <ns0:c r="C1037" s="3" t="inlineStr">
        <ns0:is>
          <ns0:t>D</ns0:t>
        </ns0:is>
      </ns0:c>
      <ns0:c r="D1037" s="4" t="n">
        <ns0:v>0</ns0:v>
      </ns0:c>
      <ns0:c r="E1037" s="4" t="n">
        <ns0:v>1500</ns0:v>
      </ns0:c>
      <ns0:c r="F1037" s="6" t="n">
        <ns0:v>0.5</ns0:v>
      </ns0:c>
      <ns0:c r="G1037" s="4" t="n">
        <ns0:v>1</ns0:v>
      </ns0:c>
      <ns0:c r="H1037" s="7" t="n">
        <ns0:v>4712.728410513141</ns0:v>
      </ns0:c>
      <ns0:c r="I1037" s="7" t="n">
        <ns0:v>2186.295369211514</ns0:v>
      </ns0:c>
      <ns0:c r="J1037" s="7" t="n">
        <ns0:v>1093.147684605757</ns0:v>
      </ns0:c>
      <ns0:c r="K1037" s="7" t="n">
        <ns0:v>47</ns0:v>
      </ns0:c>
      <ns0:c r="L1037" s="7" t="n">
        <ns0:v>641</ns0:v>
      </ns0:c>
      <ns0:c r="M1037" s="7" t="n">
        <ns0:v>-40850.15245062273</ns0:v>
      </ns0:c>
      <ns0:c r="N1037" s="7" t="n">
        <ns0:v>-19425.70950100478</ns0:v>
      </ns0:c>
      <ns0:c r="O1037" s="7" t="n">
        <ns0:v>3964.440582530573</ns0:v>
      </ns0:c>
      <ns0:c r="P1037" s="7" t="n">
        <ns0:v>62439.81579136894</ns0:v>
      </ns0:c>
      <ns0:c r="Q1037" s="7" t="n">
        <ns0:v>254341.3166267225</ns0:v>
      </ns0:c>
      <ns0:c r="R1037" s="7" t="n">
        <ns0:v>1002996.56955046</ns0:v>
      </ns0:c>
    </ns0:row>
    <ns0:row r="1038" ht="24" customHeight="1">
      <ns0:c r="A1038" s="3" t="inlineStr">
        <ns0:is>
          <ns0:t>セット</ns0:t>
        </ns0:is>
      </ns0:c>
      <ns0:c r="B1038" s="3" t="inlineStr">
        <ns0:is>
          <ns0:t>G3三段階</ns0:t>
        </ns0:is>
      </ns0:c>
      <ns0:c r="C1038" s="3" t="inlineStr">
        <ns0:is>
          <ns0:t>D</ns0:t>
        </ns0:is>
      </ns0:c>
      <ns0:c r="D1038" s="4" t="n">
        <ns0:v>0</ns0:v>
      </ns0:c>
      <ns0:c r="E1038" s="4" t="n">
        <ns0:v>1500</ns0:v>
      </ns0:c>
      <ns0:c r="F1038" s="6" t="n">
        <ns0:v>0.5</ns0:v>
      </ns0:c>
      <ns0:c r="G1038" s="4" t="n">
        <ns0:v>2</ns0:v>
      </ns0:c>
      <ns0:c r="H1038" s="7" t="n">
        <ns0:v>4712.728410513141</ns0:v>
      </ns0:c>
      <ns0:c r="I1038" s="7" t="n">
        <ns0:v>2186.295369211514</ns0:v>
      </ns0:c>
      <ns0:c r="J1038" s="7" t="n">
        <ns0:v>1093.147684605757</ns0:v>
      </ns0:c>
      <ns0:c r="K1038" s="18" t="inlineStr">
        <ns0:is>
          <ns0:t>範囲内なし</ns0:t>
        </ns0:is>
      </ns0:c>
      <ns0:c r="L1038" s="18" t="inlineStr">
        <ns0:is>
          <ns0:t>範囲内なし</ns0:t>
        </ns0:is>
      </ns0:c>
      <ns0:c r="M1038" s="7" t="n">
        <ns0:v>-59972.96101712918</ns0:v>
      </ns0:c>
      <ns0:c r="N1038" s="7" t="n">
        <ns0:v>-76794.13520052411</ns0:v>
      </ns0:c>
      <ns0:c r="O1038" s="7" t="n">
        <ns0:v>-91649.60225000164</ns0:v>
      </ns0:c>
      <ns0:c r="P1038" s="7" t="n">
        <ns0:v>-128788.2698736955</ns0:v>
      </ns0:c>
      <ns0:c r="Q1038" s="7" t="n">
        <ns0:v>-319342.9403684708</ns0:v>
      </ns0:c>
      <ns0:c r="R1038" s="7" t="n">
        <ns0:v>-909284.2871001847</ns0:v>
      </ns0:c>
    </ns0:row>
    <ns0:row r="1039" ht="24" customHeight="1">
      <ns0:c r="A1039" s="3" t="inlineStr">
        <ns0:is>
          <ns0:t>セット</ns0:t>
        </ns0:is>
      </ns0:c>
      <ns0:c r="B1039" s="3" t="inlineStr">
        <ns0:is>
          <ns0:t>G3三段階</ns0:t>
        </ns0:is>
      </ns0:c>
      <ns0:c r="C1039" s="3" t="inlineStr">
        <ns0:is>
          <ns0:t>D</ns0:t>
        </ns0:is>
      </ns0:c>
      <ns0:c r="D1039" s="4" t="n">
        <ns0:v>0</ns0:v>
      </ns0:c>
      <ns0:c r="E1039" s="4" t="n">
        <ns0:v>1500</ns0:v>
      </ns0:c>
      <ns0:c r="F1039" s="6" t="n">
        <ns0:v>0.5</ns0:v>
      </ns0:c>
      <ns0:c r="G1039" s="4" t="n">
        <ns0:v>3</ns0:v>
      </ns0:c>
      <ns0:c r="H1039" s="7" t="n">
        <ns0:v>4712.728410513141</ns0:v>
      </ns0:c>
      <ns0:c r="I1039" s="7" t="n">
        <ns0:v>2186.295369211514</ns0:v>
      </ns0:c>
      <ns0:c r="J1039" s="7" t="n">
        <ns0:v>1093.147684605757</ns0:v>
      </ns0:c>
      <ns0:c r="K1039" s="7" t="n">
        <ns0:v>533</ns0:v>
      </ns0:c>
      <ns0:c r="L1039" s="18" t="inlineStr">
        <ns0:is>
          <ns0:t>範囲内なし</ns0:t>
        </ns0:is>
      </ns0:c>
      <ns0:c r="M1039" s="7" t="n">
        <ns0:v>-49419.25935119342</ns0:v>
      </ns0:c>
      <ns0:c r="N1039" s="7" t="n">
        <ns0:v>-45133.03020271687</ns0:v>
      </ns0:c>
      <ns0:c r="O1039" s="7" t="n">
        <ns0:v>-38881.09392032288</ns0:v>
      </ns0:c>
      <ns0:c r="P1039" s="7" t="n">
        <ns0:v>-23251.25321433798</ns0:v>
      </ns0:c>
      <ns0:c r="Q1039" s="7" t="n">
        <ns0:v>-2731.89039039833</ns0:v>
      </ns0:c>
      <ns0:c r="R1039" s="7" t="n">
        <ns0:v>146085.8794933902</ns0:v>
      </ns0:c>
    </ns0:row>
    <ns0:row r="1040" ht="24" customHeight="1">
      <ns0:c r="A1040" s="3" t="inlineStr">
        <ns0:is>
          <ns0:t>セット</ns0:t>
        </ns0:is>
      </ns0:c>
      <ns0:c r="B1040" s="3" t="inlineStr">
        <ns0:is>
          <ns0:t>G3三段階</ns0:t>
        </ns0:is>
      </ns0:c>
      <ns0:c r="C1040" s="3" t="inlineStr">
        <ns0:is>
          <ns0:t>D</ns0:t>
        </ns0:is>
      </ns0:c>
      <ns0:c r="D1040" s="4" t="n">
        <ns0:v>1</ns0:v>
      </ns0:c>
      <ns0:c r="E1040" s="4" t="n">
        <ns0:v>500</ns0:v>
      </ns0:c>
      <ns0:c r="F1040" s="6" t="n">
        <ns0:v>0.3</ns0:v>
      </ns0:c>
      <ns0:c r="G1040" s="4" t="n">
        <ns0:v>0</ns0:v>
      </ns0:c>
      <ns0:c r="H1040" s="7" t="n">
        <ns0:v>7559.776536312848</ns0:v>
      </ns0:c>
      <ns0:c r="I1040" s="7" t="n">
        <ns0:v>3514.525139664805</ns0:v>
      </ns0:c>
      <ns0:c r="J1040" s="7" t="n">
        <ns0:v>1054.357541899441</ns0:v>
      </ns0:c>
      <ns0:c r="K1040" s="7" t="n">
        <ns0:v>15</ns0:v>
      </ns0:c>
      <ns0:c r="L1040" s="7" t="n">
        <ns0:v>22</ns0:v>
      </ns0:c>
      <ns0:c r="M1040" s="7" t="n">
        <ns0:v>-9897.983551319663</ns0:v>
      </ns0:c>
      <ns0:c r="N1040" s="7" t="n">
        <ns0:v>60771.49401765104</ns0:v>
      </ns0:c>
      <ns0:c r="O1040" s="7" t="n">
        <ns0:v>137626.446446957</ns0:v>
      </ns0:c>
      <ns0:c r="P1040" s="7" t="n">
        <ns0:v>329763.8275202217</ns0:v>
      </ns0:c>
      <ns0:c r="Q1040" s="7" t="n">
        <ns0:v>1056313.35181328</ns0:v>
      </ns0:c>
      <ns0:c r="R1040" s="7" t="n">
        <ns0:v>3676236.686838986</ns0:v>
      </ns0:c>
    </ns0:row>
    <ns0:row r="1041" ht="24" customHeight="1">
      <ns0:c r="A1041" s="3" t="inlineStr">
        <ns0:is>
          <ns0:t>セット</ns0:t>
        </ns0:is>
      </ns0:c>
      <ns0:c r="B1041" s="3" t="inlineStr">
        <ns0:is>
          <ns0:t>G3三段階</ns0:t>
        </ns0:is>
      </ns0:c>
      <ns0:c r="C1041" s="3" t="inlineStr">
        <ns0:is>
          <ns0:t>D</ns0:t>
        </ns0:is>
      </ns0:c>
      <ns0:c r="D1041" s="4" t="n">
        <ns0:v>1</ns0:v>
      </ns0:c>
      <ns0:c r="E1041" s="4" t="n">
        <ns0:v>500</ns0:v>
      </ns0:c>
      <ns0:c r="F1041" s="6" t="n">
        <ns0:v>0.3</ns0:v>
      </ns0:c>
      <ns0:c r="G1041" s="4" t="n">
        <ns0:v>1</ns0:v>
      </ns0:c>
      <ns0:c r="H1041" s="7" t="n">
        <ns0:v>7559.776536312848</ns0:v>
      </ns0:c>
      <ns0:c r="I1041" s="7" t="n">
        <ns0:v>3514.525139664805</ns0:v>
      </ns0:c>
      <ns0:c r="J1041" s="7" t="n">
        <ns0:v>1054.357541899441</ns0:v>
      </ns0:c>
      <ns0:c r="K1041" s="7" t="n">
        <ns0:v>16</ns0:v>
      </ns0:c>
      <ns0:c r="L1041" s="7" t="n">
        <ns0:v>29</ns0:v>
      </ns0:c>
      <ns0:c r="M1041" s="7" t="n">
        <ns0:v>-14221.48975632373</ns0:v>
      </ns0:c>
      <ns0:c r="N1041" s="7" t="n">
        <ns0:v>47800.97540263883</ns0:v>
      </ns0:c>
      <ns0:c r="O1041" s="7" t="n">
        <ns0:v>116008.9154219366</ns0:v>
      </ns0:c>
      <ns0:c r="P1041" s="7" t="n">
        <ns0:v>286528.765470181</ns0:v>
      </ns0:c>
      <ns0:c r="Q1041" s="7" t="n">
        <ns0:v>926608.1656631583</ns0:v>
      </ns0:c>
      <ns0:c r="R1041" s="7" t="n">
        <ns0:v>3243886.06633858</ns0:v>
      </ns0:c>
    </ns0:row>
    <ns0:row r="1042" ht="24" customHeight="1">
      <ns0:c r="A1042" s="3" t="inlineStr">
        <ns0:is>
          <ns0:t>セット</ns0:t>
        </ns0:is>
      </ns0:c>
      <ns0:c r="B1042" s="3" t="inlineStr">
        <ns0:is>
          <ns0:t>G3三段階</ns0:t>
        </ns0:is>
      </ns0:c>
      <ns0:c r="C1042" s="3" t="inlineStr">
        <ns0:is>
          <ns0:t>D</ns0:t>
        </ns0:is>
      </ns0:c>
      <ns0:c r="D1042" s="4" t="n">
        <ns0:v>1</ns0:v>
      </ns0:c>
      <ns0:c r="E1042" s="4" t="n">
        <ns0:v>500</ns0:v>
      </ns0:c>
      <ns0:c r="F1042" s="6" t="n">
        <ns0:v>0.3</ns0:v>
      </ns0:c>
      <ns0:c r="G1042" s="4" t="n">
        <ns0:v>2</ns0:v>
      </ns0:c>
      <ns0:c r="H1042" s="7" t="n">
        <ns0:v>7559.776536312848</ns0:v>
      </ns0:c>
      <ns0:c r="I1042" s="7" t="n">
        <ns0:v>3514.525139664805</ns0:v>
      </ns0:c>
      <ns0:c r="J1042" s="7" t="n">
        <ns0:v>1054.357541899441</ns0:v>
      </ns0:c>
      <ns0:c r="K1042" s="18" t="inlineStr">
        <ns0:is>
          <ns0:t>範囲内なし</ns0:t>
        </ns0:is>
      </ns0:c>
      <ns0:c r="L1042" s="18" t="inlineStr">
        <ns0:is>
          <ns0:t>範囲内なし</ns0:t>
        </ns0:is>
      </ns0:c>
      <ns0:c r="M1042" s="7" t="n">
        <ns0:v>-50805.19371989699</ns0:v>
      </ns0:c>
      <ns0:c r="N1042" s="7" t="n">
        <ns0:v>-61950.13648808095</ns0:v>
      </ns0:c>
      <ns0:c r="O1042" s="7" t="n">
        <ns0:v>-66909.60439592968</ns0:v>
      </ns0:c>
      <ns0:c r="P1042" s="7" t="n">
        <ns0:v>-79308.27416555156</ns0:v>
      </ns0:c>
      <ns0:c r="Q1042" s="7" t="n">
        <ns0:v>-170902.9532440396</ns0:v>
      </ns0:c>
      <ns0:c r="R1042" s="7" t="n">
        <ns0:v>-414484.3300187462</ns0:v>
      </ns0:c>
    </ns0:row>
    <ns0:row r="1043" ht="24" customHeight="1">
      <ns0:c r="A1043" s="3" t="inlineStr">
        <ns0:is>
          <ns0:t>セット</ns0:t>
        </ns0:is>
      </ns0:c>
      <ns0:c r="B1043" s="3" t="inlineStr">
        <ns0:is>
          <ns0:t>G3三段階</ns0:t>
        </ns0:is>
      </ns0:c>
      <ns0:c r="C1043" s="3" t="inlineStr">
        <ns0:is>
          <ns0:t>D</ns0:t>
        </ns0:is>
      </ns0:c>
      <ns0:c r="D1043" s="4" t="n">
        <ns0:v>1</ns0:v>
      </ns0:c>
      <ns0:c r="E1043" s="4" t="n">
        <ns0:v>500</ns0:v>
      </ns0:c>
      <ns0:c r="F1043" s="6" t="n">
        <ns0:v>0.3</ns0:v>
      </ns0:c>
      <ns0:c r="G1043" s="4" t="n">
        <ns0:v>3</ns0:v>
      </ns0:c>
      <ns0:c r="H1043" s="7" t="n">
        <ns0:v>7559.776536312848</ns0:v>
      </ns0:c>
      <ns0:c r="I1043" s="7" t="n">
        <ns0:v>3514.525139664805</ns0:v>
      </ns0:c>
      <ns0:c r="J1043" s="7" t="n">
        <ns0:v>1054.357541899441</ns0:v>
      </ns0:c>
      <ns0:c r="K1043" s="7" t="n">
        <ns0:v>23</ns0:v>
      </ns0:c>
      <ns0:c r="L1043" s="7" t="n">
        <ns0:v>221</ns0:v>
      </ns0:c>
      <ns0:c r="M1043" s="7" t="n">
        <ns0:v>-23683.99655685647</ns0:v>
      </ns0:c>
      <ns0:c r="N1043" s="7" t="n">
        <ns0:v>19413.45500104062</ns0:v>
      </ns0:c>
      <ns0:c r="O1043" s="7" t="n">
        <ns0:v>68696.38141927295</ns0:v>
      </ns0:c>
      <ns0:c r="P1043" s="7" t="n">
        <ns0:v>191903.6974648537</ns0:v>
      </ns0:c>
      <ns0:c r="Q1043" s="7" t="n">
        <ns0:v>642732.9616471763</ns0:v>
      </ns0:c>
      <ns0:c r="R1043" s="7" t="n">
        <ns0:v>2297635.386285306</ns0:v>
      </ns0:c>
    </ns0:row>
    <ns0:row r="1044" ht="24" customHeight="1">
      <ns0:c r="A1044" s="3" t="inlineStr">
        <ns0:is>
          <ns0:t>セット</ns0:t>
        </ns0:is>
      </ns0:c>
      <ns0:c r="B1044" s="3" t="inlineStr">
        <ns0:is>
          <ns0:t>G3三段階</ns0:t>
        </ns0:is>
      </ns0:c>
      <ns0:c r="C1044" s="3" t="inlineStr">
        <ns0:is>
          <ns0:t>D</ns0:t>
        </ns0:is>
      </ns0:c>
      <ns0:c r="D1044" s="4" t="n">
        <ns0:v>1</ns0:v>
      </ns0:c>
      <ns0:c r="E1044" s="4" t="n">
        <ns0:v>500</ns0:v>
      </ns0:c>
      <ns0:c r="F1044" s="6" t="n">
        <ns0:v>0.4</ns0:v>
      </ns0:c>
      <ns0:c r="G1044" s="4" t="n">
        <ns0:v>0</ns0:v>
      </ns0:c>
      <ns0:c r="H1044" s="7" t="n">
        <ns0:v>7559.776536312848</ns0:v>
      </ns0:c>
      <ns0:c r="I1044" s="7" t="n">
        <ns0:v>3514.525139664805</ns0:v>
      </ns0:c>
      <ns0:c r="J1044" s="7" t="n">
        <ns0:v>1405.810055865922</ns0:v>
      </ns0:c>
      <ns0:c r="K1044" s="7" t="n">
        <ns0:v>16</ns0:v>
      </ns0:c>
      <ns0:c r="L1044" s="7" t="n">
        <ns0:v>23</ns0:v>
      </ns0:c>
      <ns0:c r="M1044" s="7" t="n">
        <ns0:v>-13412.50869098447</ns0:v>
      </ns0:c>
      <ns0:c r="N1044" s="7" t="n">
        <ns0:v>50227.91859865664</ns0:v>
      </ns0:c>
      <ns0:c r="O1044" s="7" t="n">
        <ns0:v>120053.8207486329</ns0:v>
      </ns0:c>
      <ns0:c r="P1044" s="7" t="n">
        <ns0:v>294618.5761235736</ns0:v>
      </ns0:c>
      <ns0:c r="Q1044" s="7" t="n">
        <ns0:v>950877.5976233364</ns0:v>
      </ns0:c>
      <ns0:c r="R1044" s="7" t="n">
        <ns0:v>3324784.172872506</ns0:v>
      </ns0:c>
    </ns0:row>
    <ns0:row r="1045" ht="24" customHeight="1">
      <ns0:c r="A1045" s="3" t="inlineStr">
        <ns0:is>
          <ns0:t>セット</ns0:t>
        </ns0:is>
      </ns0:c>
      <ns0:c r="B1045" s="3" t="inlineStr">
        <ns0:is>
          <ns0:t>G3三段階</ns0:t>
        </ns0:is>
      </ns0:c>
      <ns0:c r="C1045" s="3" t="inlineStr">
        <ns0:is>
          <ns0:t>D</ns0:t>
        </ns0:is>
      </ns0:c>
      <ns0:c r="D1045" s="4" t="n">
        <ns0:v>1</ns0:v>
      </ns0:c>
      <ns0:c r="E1045" s="4" t="n">
        <ns0:v>500</ns0:v>
      </ns0:c>
      <ns0:c r="F1045" s="6" t="n">
        <ns0:v>0.4</ns0:v>
      </ns0:c>
      <ns0:c r="G1045" s="4" t="n">
        <ns0:v>1</ns0:v>
      </ns0:c>
      <ns0:c r="H1045" s="7" t="n">
        <ns0:v>7559.776536312848</ns0:v>
      </ns0:c>
      <ns0:c r="I1045" s="7" t="n">
        <ns0:v>3514.525139664805</ns0:v>
      </ns0:c>
      <ns0:c r="J1045" s="7" t="n">
        <ns0:v>1405.810055865922</ns0:v>
      </ns0:c>
      <ns0:c r="K1045" s="7" t="n">
        <ns0:v>18</ns0:v>
      </ns0:c>
      <ns0:c r="L1045" s="7" t="n">
        <ns0:v>32</ns0:v>
      </ns0:c>
      <ns0:c r="M1045" s="7" t="n">
        <ns0:v>-17736.01489598854</ns0:v>
      </ns0:c>
      <ns0:c r="N1045" s="7" t="n">
        <ns0:v>37257.39998364443</ns0:v>
      </ns0:c>
      <ns0:c r="O1045" s="7" t="n">
        <ns0:v>98436.28972361257</ns0:v>
      </ns0:c>
      <ns0:c r="P1045" s="7" t="n">
        <ns0:v>251383.5140735329</ns0:v>
      </ns0:c>
      <ns0:c r="Q1045" s="7" t="n">
        <ns0:v>821172.4114732142</ns0:v>
      </ns0:c>
      <ns0:c r="R1045" s="7" t="n">
        <ns0:v>2892433.552372099</ns0:v>
      </ns0:c>
    </ns0:row>
    <ns0:row r="1046" ht="24" customHeight="1">
      <ns0:c r="A1046" s="3" t="inlineStr">
        <ns0:is>
          <ns0:t>セット</ns0:t>
        </ns0:is>
      </ns0:c>
      <ns0:c r="B1046" s="3" t="inlineStr">
        <ns0:is>
          <ns0:t>G3三段階</ns0:t>
        </ns0:is>
      </ns0:c>
      <ns0:c r="C1046" s="3" t="inlineStr">
        <ns0:is>
          <ns0:t>D</ns0:t>
        </ns0:is>
      </ns0:c>
      <ns0:c r="D1046" s="4" t="n">
        <ns0:v>1</ns0:v>
      </ns0:c>
      <ns0:c r="E1046" s="4" t="n">
        <ns0:v>500</ns0:v>
      </ns0:c>
      <ns0:c r="F1046" s="6" t="n">
        <ns0:v>0.4</ns0:v>
      </ns0:c>
      <ns0:c r="G1046" s="4" t="n">
        <ns0:v>2</ns0:v>
      </ns0:c>
      <ns0:c r="H1046" s="7" t="n">
        <ns0:v>7559.776536312848</ns0:v>
      </ns0:c>
      <ns0:c r="I1046" s="7" t="n">
        <ns0:v>3514.525139664805</ns0:v>
      </ns0:c>
      <ns0:c r="J1046" s="7" t="n">
        <ns0:v>1405.810055865922</ns0:v>
      </ns0:c>
      <ns0:c r="K1046" s="18" t="inlineStr">
        <ns0:is>
          <ns0:t>範囲内なし</ns0:t>
        </ns0:is>
      </ns0:c>
      <ns0:c r="L1046" s="18" t="inlineStr">
        <ns0:is>
          <ns0:t>範囲内なし</ns0:t>
        </ns0:is>
      </ns0:c>
      <ns0:c r="M1046" s="7" t="n">
        <ns0:v>-54319.7188595618</ns0:v>
      </ns0:c>
      <ns0:c r="N1046" s="7" t="n">
        <ns0:v>-72493.71190707537</ns0:v>
      </ns0:c>
      <ns0:c r="O1046" s="7" t="n">
        <ns0:v>-84482.23009425371</ns0:v>
      </ns0:c>
      <ns0:c r="P1046" s="7" t="n">
        <ns0:v>-114453.5255621996</ns0:v>
      </ns0:c>
      <ns0:c r="Q1046" s="7" t="n">
        <ns0:v>-276338.7074339835</ns0:v>
      </ns0:c>
      <ns0:c r="R1046" s="7" t="n">
        <ns0:v>-765936.8439852269</ns0:v>
      </ns0:c>
    </ns0:row>
    <ns0:row r="1047" ht="24" customHeight="1">
      <ns0:c r="A1047" s="3" t="inlineStr">
        <ns0:is>
          <ns0:t>セット</ns0:t>
        </ns0:is>
      </ns0:c>
      <ns0:c r="B1047" s="3" t="inlineStr">
        <ns0:is>
          <ns0:t>G3三段階</ns0:t>
        </ns0:is>
      </ns0:c>
      <ns0:c r="C1047" s="3" t="inlineStr">
        <ns0:is>
          <ns0:t>D</ns0:t>
        </ns0:is>
      </ns0:c>
      <ns0:c r="D1047" s="4" t="n">
        <ns0:v>1</ns0:v>
      </ns0:c>
      <ns0:c r="E1047" s="4" t="n">
        <ns0:v>500</ns0:v>
      </ns0:c>
      <ns0:c r="F1047" s="6" t="n">
        <ns0:v>0.4</ns0:v>
      </ns0:c>
      <ns0:c r="G1047" s="4" t="n">
        <ns0:v>3</ns0:v>
      </ns0:c>
      <ns0:c r="H1047" s="7" t="n">
        <ns0:v>7559.776536312848</ns0:v>
      </ns0:c>
      <ns0:c r="I1047" s="7" t="n">
        <ns0:v>3514.525139664805</ns0:v>
      </ns0:c>
      <ns0:c r="J1047" s="7" t="n">
        <ns0:v>1405.810055865922</ns0:v>
      </ns0:c>
      <ns0:c r="K1047" s="7" t="n">
        <ns0:v>26</ns0:v>
      </ns0:c>
      <ns0:c r="L1047" s="7" t="n">
        <ns0:v>629</ns0:v>
      </ns0:c>
      <ns0:c r="M1047" s="7" t="n">
        <ns0:v>-27198.52169652127</ns0:v>
      </ns0:c>
      <ns0:c r="N1047" s="7" t="n">
        <ns0:v>8869.879582046226</ns0:v>
      </ns0:c>
      <ns0:c r="O1047" s="7" t="n">
        <ns0:v>51123.7557209489</ns0:v>
      </ns0:c>
      <ns0:c r="P1047" s="7" t="n">
        <ns0:v>156758.4460682056</ns0:v>
      </ns0:c>
      <ns0:c r="Q1047" s="7" t="n">
        <ns0:v>537297.2074572323</ns0:v>
      </ns0:c>
      <ns0:c r="R1047" s="7" t="n">
        <ns0:v>1946182.872318825</ns0:v>
      </ns0:c>
    </ns0:row>
    <ns0:row r="1048" ht="24" customHeight="1">
      <ns0:c r="A1048" s="3" t="inlineStr">
        <ns0:is>
          <ns0:t>セット</ns0:t>
        </ns0:is>
      </ns0:c>
      <ns0:c r="B1048" s="3" t="inlineStr">
        <ns0:is>
          <ns0:t>G3三段階</ns0:t>
        </ns0:is>
      </ns0:c>
      <ns0:c r="C1048" s="3" t="inlineStr">
        <ns0:is>
          <ns0:t>D</ns0:t>
        </ns0:is>
      </ns0:c>
      <ns0:c r="D1048" s="4" t="n">
        <ns0:v>1</ns0:v>
      </ns0:c>
      <ns0:c r="E1048" s="4" t="n">
        <ns0:v>500</ns0:v>
      </ns0:c>
      <ns0:c r="F1048" s="6" t="n">
        <ns0:v>0.5</ns0:v>
      </ns0:c>
      <ns0:c r="G1048" s="4" t="n">
        <ns0:v>0</ns0:v>
      </ns0:c>
      <ns0:c r="H1048" s="7" t="n">
        <ns0:v>7559.776536312848</ns0:v>
      </ns0:c>
      <ns0:c r="I1048" s="7" t="n">
        <ns0:v>3514.525139664805</ns0:v>
      </ns0:c>
      <ns0:c r="J1048" s="7" t="n">
        <ns0:v>1757.262569832402</ns0:v>
      </ns0:c>
      <ns0:c r="K1048" s="7" t="n">
        <ns0:v>18</ns0:v>
      </ns0:c>
      <ns0:c r="L1048" s="7" t="n">
        <ns0:v>25</ns0:v>
      </ns0:c>
      <ns0:c r="M1048" s="7" t="n">
        <ns0:v>-16927.03383064927</ns0:v>
      </ns0:c>
      <ns0:c r="N1048" s="7" t="n">
        <ns0:v>39684.34317966225</ns0:v>
      </ns0:c>
      <ns0:c r="O1048" s="7" t="n">
        <ns0:v>102481.1950503089</ns0:v>
      </ns0:c>
      <ns0:c r="P1048" s="7" t="n">
        <ns0:v>259473.3247269256</ns0:v>
      </ns0:c>
      <ns0:c r="Q1048" s="7" t="n">
        <ns0:v>845441.843433392</ns0:v>
      </ns0:c>
      <ns0:c r="R1048" s="7" t="n">
        <ns0:v>2973331.658906026</ns0:v>
      </ns0:c>
    </ns0:row>
    <ns0:row r="1049" ht="24" customHeight="1">
      <ns0:c r="A1049" s="3" t="inlineStr">
        <ns0:is>
          <ns0:t>セット</ns0:t>
        </ns0:is>
      </ns0:c>
      <ns0:c r="B1049" s="3" t="inlineStr">
        <ns0:is>
          <ns0:t>G3三段階</ns0:t>
        </ns0:is>
      </ns0:c>
      <ns0:c r="C1049" s="3" t="inlineStr">
        <ns0:is>
          <ns0:t>D</ns0:t>
        </ns0:is>
      </ns0:c>
      <ns0:c r="D1049" s="4" t="n">
        <ns0:v>1</ns0:v>
      </ns0:c>
      <ns0:c r="E1049" s="4" t="n">
        <ns0:v>500</ns0:v>
      </ns0:c>
      <ns0:c r="F1049" s="6" t="n">
        <ns0:v>0.5</ns0:v>
      </ns0:c>
      <ns0:c r="G1049" s="4" t="n">
        <ns0:v>1</ns0:v>
      </ns0:c>
      <ns0:c r="H1049" s="7" t="n">
        <ns0:v>7559.776536312848</ns0:v>
      </ns0:c>
      <ns0:c r="I1049" s="7" t="n">
        <ns0:v>3514.525139664805</ns0:v>
      </ns0:c>
      <ns0:c r="J1049" s="7" t="n">
        <ns0:v>1757.262569832402</ns0:v>
      </ns0:c>
      <ns0:c r="K1049" s="7" t="n">
        <ns0:v>21</ns0:v>
      </ns0:c>
      <ns0:c r="L1049" s="7" t="n">
        <ns0:v>36</ns0:v>
      </ns0:c>
      <ns0:c r="M1049" s="7" t="n">
        <ns0:v>-21250.54003565334</ns0:v>
      </ns0:c>
      <ns0:c r="N1049" s="7" t="n">
        <ns0:v>26713.82456465003</ns0:v>
      </ns0:c>
      <ns0:c r="O1049" s="7" t="n">
        <ns0:v>80863.66402528854</ns0:v>
      </ns0:c>
      <ns0:c r="P1049" s="7" t="n">
        <ns0:v>216238.2626768849</ns0:v>
      </ns0:c>
      <ns0:c r="Q1049" s="7" t="n">
        <ns0:v>715736.65728327</ns0:v>
      </ns0:c>
      <ns0:c r="R1049" s="7" t="n">
        <ns0:v>2540981.038405619</ns0:v>
      </ns0:c>
    </ns0:row>
    <ns0:row r="1050" ht="24" customHeight="1">
      <ns0:c r="A1050" s="3" t="inlineStr">
        <ns0:is>
          <ns0:t>セット</ns0:t>
        </ns0:is>
      </ns0:c>
      <ns0:c r="B1050" s="3" t="inlineStr">
        <ns0:is>
          <ns0:t>G3三段階</ns0:t>
        </ns0:is>
      </ns0:c>
      <ns0:c r="C1050" s="3" t="inlineStr">
        <ns0:is>
          <ns0:t>D</ns0:t>
        </ns0:is>
      </ns0:c>
      <ns0:c r="D1050" s="4" t="n">
        <ns0:v>1</ns0:v>
      </ns0:c>
      <ns0:c r="E1050" s="4" t="n">
        <ns0:v>500</ns0:v>
      </ns0:c>
      <ns0:c r="F1050" s="6" t="n">
        <ns0:v>0.5</ns0:v>
      </ns0:c>
      <ns0:c r="G1050" s="4" t="n">
        <ns0:v>2</ns0:v>
      </ns0:c>
      <ns0:c r="H1050" s="7" t="n">
        <ns0:v>7559.776536312848</ns0:v>
      </ns0:c>
      <ns0:c r="I1050" s="7" t="n">
        <ns0:v>3514.525139664805</ns0:v>
      </ns0:c>
      <ns0:c r="J1050" s="7" t="n">
        <ns0:v>1757.262569832402</ns0:v>
      </ns0:c>
      <ns0:c r="K1050" s="18" t="inlineStr">
        <ns0:is>
          <ns0:t>範囲内なし</ns0:t>
        </ns0:is>
      </ns0:c>
      <ns0:c r="L1050" s="18" t="inlineStr">
        <ns0:is>
          <ns0:t>範囲内なし</ns0:t>
        </ns0:is>
      </ns0:c>
      <ns0:c r="M1050" s="7" t="n">
        <ns0:v>-57834.2439992266</ns0:v>
      </ns0:c>
      <ns0:c r="N1050" s="7" t="n">
        <ns0:v>-83037.28732606975</ns0:v>
      </ns0:c>
      <ns0:c r="O1050" s="7" t="n">
        <ns0:v>-102054.8557925777</ns0:v>
      </ns0:c>
      <ns0:c r="P1050" s="7" t="n">
        <ns0:v>-149598.7769588477</ns0:v>
      </ns0:c>
      <ns0:c r="Q1050" s="7" t="n">
        <ns0:v>-381774.4616239278</ns0:v>
      </ns0:c>
      <ns0:c r="R1050" s="7" t="n">
        <ns0:v>-1117389.357951707</ns0:v>
      </ns0:c>
    </ns0:row>
    <ns0:row r="1051" ht="24" customHeight="1">
      <ns0:c r="A1051" s="3" t="inlineStr">
        <ns0:is>
          <ns0:t>セット</ns0:t>
        </ns0:is>
      </ns0:c>
      <ns0:c r="B1051" s="3" t="inlineStr">
        <ns0:is>
          <ns0:t>G3三段階</ns0:t>
        </ns0:is>
      </ns0:c>
      <ns0:c r="C1051" s="3" t="inlineStr">
        <ns0:is>
          <ns0:t>D</ns0:t>
        </ns0:is>
      </ns0:c>
      <ns0:c r="D1051" s="4" t="n">
        <ns0:v>1</ns0:v>
      </ns0:c>
      <ns0:c r="E1051" s="4" t="n">
        <ns0:v>500</ns0:v>
      </ns0:c>
      <ns0:c r="F1051" s="6" t="n">
        <ns0:v>0.5</ns0:v>
      </ns0:c>
      <ns0:c r="G1051" s="4" t="n">
        <ns0:v>3</ns0:v>
      </ns0:c>
      <ns0:c r="H1051" s="7" t="n">
        <ns0:v>7559.776536312848</ns0:v>
      </ns0:c>
      <ns0:c r="I1051" s="7" t="n">
        <ns0:v>3514.525139664805</ns0:v>
      </ns0:c>
      <ns0:c r="J1051" s="7" t="n">
        <ns0:v>1757.262569832402</ns0:v>
      </ns0:c>
      <ns0:c r="K1051" s="7" t="n">
        <ns0:v>31</ns0:v>
      </ns0:c>
      <ns0:c r="L1051" s="18" t="inlineStr">
        <ns0:is>
          <ns0:t>範囲内なし</ns0:t>
        </ns0:is>
      </ns0:c>
      <ns0:c r="M1051" s="7" t="n">
        <ns0:v>-30713.04683618608</ns0:v>
      </ns0:c>
      <ns0:c r="N1051" s="7" t="n">
        <ns0:v>-1673.695836948173</ns0:v>
      </ns0:c>
      <ns0:c r="O1051" s="7" t="n">
        <ns0:v>33551.13002262486</ns0:v>
      </ns0:c>
      <ns0:c r="P1051" s="7" t="n">
        <ns0:v>121613.1946715575</ns0:v>
      </ns0:c>
      <ns0:c r="Q1051" s="7" t="n">
        <ns0:v>431861.453267288</ns0:v>
      </ns0:c>
      <ns0:c r="R1051" s="7" t="n">
        <ns0:v>1594730.358352346</ns0:v>
      </ns0:c>
    </ns0:row>
    <ns0:row r="1052" ht="24" customHeight="1">
      <ns0:c r="A1052" s="3" t="inlineStr">
        <ns0:is>
          <ns0:t>セット</ns0:t>
        </ns0:is>
      </ns0:c>
      <ns0:c r="B1052" s="3" t="inlineStr">
        <ns0:is>
          <ns0:t>G3三段階</ns0:t>
        </ns0:is>
      </ns0:c>
      <ns0:c r="C1052" s="3" t="inlineStr">
        <ns0:is>
          <ns0:t>D</ns0:t>
        </ns0:is>
      </ns0:c>
      <ns0:c r="D1052" s="4" t="n">
        <ns0:v>1</ns0:v>
      </ns0:c>
      <ns0:c r="E1052" s="4" t="n">
        <ns0:v>1000</ns0:v>
      </ns0:c>
      <ns0:c r="F1052" s="6" t="n">
        <ns0:v>0.3</ns0:v>
      </ns0:c>
      <ns0:c r="G1052" s="4" t="n">
        <ns0:v>0</ns0:v>
      </ns0:c>
      <ns0:c r="H1052" s="7" t="n">
        <ns0:v>7059.776536312848</ns0:v>
      </ns0:c>
      <ns0:c r="I1052" s="7" t="n">
        <ns0:v>3014.525139664804</ns0:v>
      </ns0:c>
      <ns0:c r="J1052" s="7" t="n">
        <ns0:v>904.3575418994411</ns0:v>
      </ns0:c>
      <ns0:c r="K1052" s="7" t="n">
        <ns0:v>16</ns0:v>
      </ns0:c>
      <ns0:c r="L1052" s="7" t="n">
        <ns0:v>23</ns0:v>
      </ns0:c>
      <ns0:c r="M1052" s="7" t="n">
        <ns0:v>-13217.98355131966</ns0:v>
      </ns0:c>
      <ns0:c r="N1052" s="7" t="n">
        <ns0:v>50811.49401765106</ns0:v>
      </ns0:c>
      <ns0:c r="O1052" s="7" t="n">
        <ns0:v>121026.446446957</ns0:v>
      </ns0:c>
      <ns0:c r="P1052" s="7" t="n">
        <ns0:v>296563.8275202217</ns0:v>
      </ns0:c>
      <ns0:c r="Q1052" s="7" t="n">
        <ns0:v>956713.3518132805</ns0:v>
      </ns0:c>
      <ns0:c r="R1052" s="7" t="n">
        <ns0:v>3344236.686838987</ns0:v>
      </ns0:c>
    </ns0:row>
    <ns0:row r="1053" ht="24" customHeight="1">
      <ns0:c r="A1053" s="3" t="inlineStr">
        <ns0:is>
          <ns0:t>セット</ns0:t>
        </ns0:is>
      </ns0:c>
      <ns0:c r="B1053" s="3" t="inlineStr">
        <ns0:is>
          <ns0:t>G3三段階</ns0:t>
        </ns0:is>
      </ns0:c>
      <ns0:c r="C1053" s="3" t="inlineStr">
        <ns0:is>
          <ns0:t>D</ns0:t>
        </ns0:is>
      </ns0:c>
      <ns0:c r="D1053" s="4" t="n">
        <ns0:v>1</ns0:v>
      </ns0:c>
      <ns0:c r="E1053" s="4" t="n">
        <ns0:v>1000</ns0:v>
      </ns0:c>
      <ns0:c r="F1053" s="6" t="n">
        <ns0:v>0.3</ns0:v>
      </ns0:c>
      <ns0:c r="G1053" s="4" t="n">
        <ns0:v>1</ns0:v>
      </ns0:c>
      <ns0:c r="H1053" s="7" t="n">
        <ns0:v>7059.776536312848</ns0:v>
      </ns0:c>
      <ns0:c r="I1053" s="7" t="n">
        <ns0:v>3014.525139664804</ns0:v>
      </ns0:c>
      <ns0:c r="J1053" s="7" t="n">
        <ns0:v>904.3575418994411</ns0:v>
      </ns0:c>
      <ns0:c r="K1053" s="7" t="n">
        <ns0:v>18</ns0:v>
      </ns0:c>
      <ns0:c r="L1053" s="7" t="n">
        <ns0:v>32</ns0:v>
      </ns0:c>
      <ns0:c r="M1053" s="7" t="n">
        <ns0:v>-17541.48975632373</ns0:v>
      </ns0:c>
      <ns0:c r="N1053" s="7" t="n">
        <ns0:v>37840.97540263885</ns0:v>
      </ns0:c>
      <ns0:c r="O1053" s="7" t="n">
        <ns0:v>99408.9154219366</ns0:v>
      </ns0:c>
      <ns0:c r="P1053" s="7" t="n">
        <ns0:v>253328.765470181</ns0:v>
      </ns0:c>
      <ns0:c r="Q1053" s="7" t="n">
        <ns0:v>827008.1656631585</ns0:v>
      </ns0:c>
      <ns0:c r="R1053" s="7" t="n">
        <ns0:v>2911886.06633858</ns0:v>
      </ns0:c>
    </ns0:row>
    <ns0:row r="1054" ht="24" customHeight="1">
      <ns0:c r="A1054" s="3" t="inlineStr">
        <ns0:is>
          <ns0:t>セット</ns0:t>
        </ns0:is>
      </ns0:c>
      <ns0:c r="B1054" s="3" t="inlineStr">
        <ns0:is>
          <ns0:t>G3三段階</ns0:t>
        </ns0:is>
      </ns0:c>
      <ns0:c r="C1054" s="3" t="inlineStr">
        <ns0:is>
          <ns0:t>D</ns0:t>
        </ns0:is>
      </ns0:c>
      <ns0:c r="D1054" s="4" t="n">
        <ns0:v>1</ns0:v>
      </ns0:c>
      <ns0:c r="E1054" s="4" t="n">
        <ns0:v>1000</ns0:v>
      </ns0:c>
      <ns0:c r="F1054" s="6" t="n">
        <ns0:v>0.3</ns0:v>
      </ns0:c>
      <ns0:c r="G1054" s="4" t="n">
        <ns0:v>2</ns0:v>
      </ns0:c>
      <ns0:c r="H1054" s="7" t="n">
        <ns0:v>7059.776536312848</ns0:v>
      </ns0:c>
      <ns0:c r="I1054" s="7" t="n">
        <ns0:v>3014.525139664804</ns0:v>
      </ns0:c>
      <ns0:c r="J1054" s="7" t="n">
        <ns0:v>904.3575418994411</ns0:v>
      </ns0:c>
      <ns0:c r="K1054" s="18" t="inlineStr">
        <ns0:is>
          <ns0:t>範囲内なし</ns0:t>
        </ns0:is>
      </ns0:c>
      <ns0:c r="L1054" s="18" t="inlineStr">
        <ns0:is>
          <ns0:t>範囲内なし</ns0:t>
        </ns0:is>
      </ns0:c>
      <ns0:c r="M1054" s="7" t="n">
        <ns0:v>-54125.19371989699</ns0:v>
      </ns0:c>
      <ns0:c r="N1054" s="7" t="n">
        <ns0:v>-71910.13648808096</ns0:v>
      </ns0:c>
      <ns0:c r="O1054" s="7" t="n">
        <ns0:v>-83509.60439592968</ns0:v>
      </ns0:c>
      <ns0:c r="P1054" s="7" t="n">
        <ns0:v>-112508.2741655516</ns0:v>
      </ns0:c>
      <ns0:c r="Q1054" s="7" t="n">
        <ns0:v>-270502.9532440393</ns0:v>
      </ns0:c>
      <ns0:c r="R1054" s="7" t="n">
        <ns0:v>-746484.3300187457</ns0:v>
      </ns0:c>
    </ns0:row>
    <ns0:row r="1055" ht="24" customHeight="1">
      <ns0:c r="A1055" s="3" t="inlineStr">
        <ns0:is>
          <ns0:t>セット</ns0:t>
        </ns0:is>
      </ns0:c>
      <ns0:c r="B1055" s="3" t="inlineStr">
        <ns0:is>
          <ns0:t>G3三段階</ns0:t>
        </ns0:is>
      </ns0:c>
      <ns0:c r="C1055" s="3" t="inlineStr">
        <ns0:is>
          <ns0:t>D</ns0:t>
        </ns0:is>
      </ns0:c>
      <ns0:c r="D1055" s="4" t="n">
        <ns0:v>1</ns0:v>
      </ns0:c>
      <ns0:c r="E1055" s="4" t="n">
        <ns0:v>1000</ns0:v>
      </ns0:c>
      <ns0:c r="F1055" s="6" t="n">
        <ns0:v>0.3</ns0:v>
      </ns0:c>
      <ns0:c r="G1055" s="4" t="n">
        <ns0:v>3</ns0:v>
      </ns0:c>
      <ns0:c r="H1055" s="7" t="n">
        <ns0:v>7059.776536312848</ns0:v>
      </ns0:c>
      <ns0:c r="I1055" s="7" t="n">
        <ns0:v>3014.525139664804</ns0:v>
      </ns0:c>
      <ns0:c r="J1055" s="7" t="n">
        <ns0:v>904.3575418994411</ns0:v>
      </ns0:c>
      <ns0:c r="K1055" s="7" t="n">
        <ns0:v>26</ns0:v>
      </ns0:c>
      <ns0:c r="L1055" s="7" t="n">
        <ns0:v>602</ns0:v>
      </ns0:c>
      <ns0:c r="M1055" s="7" t="n">
        <ns0:v>-27003.99655685647</ns0:v>
      </ns0:c>
      <ns0:c r="N1055" s="7" t="n">
        <ns0:v>9453.455001040653</ns0:v>
      </ns0:c>
      <ns0:c r="O1055" s="7" t="n">
        <ns0:v>52096.38141927293</ns0:v>
      </ns0:c>
      <ns0:c r="P1055" s="7" t="n">
        <ns0:v>158703.6974648536</ns0:v>
      </ns0:c>
      <ns0:c r="Q1055" s="7" t="n">
        <ns0:v>543132.9616471765</ns0:v>
      </ns0:c>
      <ns0:c r="R1055" s="7" t="n">
        <ns0:v>1965635.386285307</ns0:v>
      </ns0:c>
    </ns0:row>
    <ns0:row r="1056" ht="24" customHeight="1">
      <ns0:c r="A1056" s="3" t="inlineStr">
        <ns0:is>
          <ns0:t>セット</ns0:t>
        </ns0:is>
      </ns0:c>
      <ns0:c r="B1056" s="3" t="inlineStr">
        <ns0:is>
          <ns0:t>G3三段階</ns0:t>
        </ns0:is>
      </ns0:c>
      <ns0:c r="C1056" s="3" t="inlineStr">
        <ns0:is>
          <ns0:t>D</ns0:t>
        </ns0:is>
      </ns0:c>
      <ns0:c r="D1056" s="4" t="n">
        <ns0:v>1</ns0:v>
      </ns0:c>
      <ns0:c r="E1056" s="4" t="n">
        <ns0:v>1000</ns0:v>
      </ns0:c>
      <ns0:c r="F1056" s="6" t="n">
        <ns0:v>0.4</ns0:v>
      </ns0:c>
      <ns0:c r="G1056" s="4" t="n">
        <ns0:v>0</ns0:v>
      </ns0:c>
      <ns0:c r="H1056" s="7" t="n">
        <ns0:v>7059.776536312848</ns0:v>
      </ns0:c>
      <ns0:c r="I1056" s="7" t="n">
        <ns0:v>3014.525139664804</ns0:v>
      </ns0:c>
      <ns0:c r="J1056" s="7" t="n">
        <ns0:v>1205.810055865922</ns0:v>
      </ns0:c>
      <ns0:c r="K1056" s="7" t="n">
        <ns0:v>17</ns0:v>
      </ns0:c>
      <ns0:c r="L1056" s="7" t="n">
        <ns0:v>25</ns0:v>
      </ns0:c>
      <ns0:c r="M1056" s="7" t="n">
        <ns0:v>-16232.50869098447</ns0:v>
      </ns0:c>
      <ns0:c r="N1056" s="7" t="n">
        <ns0:v>41767.91859865666</ns0:v>
      </ns0:c>
      <ns0:c r="O1056" s="7" t="n">
        <ns0:v>105953.8207486329</ns0:v>
      </ns0:c>
      <ns0:c r="P1056" s="7" t="n">
        <ns0:v>266418.5761235736</ns0:v>
      </ns0:c>
      <ns0:c r="Q1056" s="7" t="n">
        <ns0:v>866277.5976233364</ns0:v>
      </ns0:c>
      <ns0:c r="R1056" s="7" t="n">
        <ns0:v>3042784.172872507</ns0:v>
      </ns0:c>
    </ns0:row>
    <ns0:row r="1057" ht="24" customHeight="1">
      <ns0:c r="A1057" s="3" t="inlineStr">
        <ns0:is>
          <ns0:t>セット</ns0:t>
        </ns0:is>
      </ns0:c>
      <ns0:c r="B1057" s="3" t="inlineStr">
        <ns0:is>
          <ns0:t>G3三段階</ns0:t>
        </ns0:is>
      </ns0:c>
      <ns0:c r="C1057" s="3" t="inlineStr">
        <ns0:is>
          <ns0:t>D</ns0:t>
        </ns0:is>
      </ns0:c>
      <ns0:c r="D1057" s="4" t="n">
        <ns0:v>1</ns0:v>
      </ns0:c>
      <ns0:c r="E1057" s="4" t="n">
        <ns0:v>1000</ns0:v>
      </ns0:c>
      <ns0:c r="F1057" s="6" t="n">
        <ns0:v>0.4</ns0:v>
      </ns0:c>
      <ns0:c r="G1057" s="4" t="n">
        <ns0:v>1</ns0:v>
      </ns0:c>
      <ns0:c r="H1057" s="7" t="n">
        <ns0:v>7059.776536312848</ns0:v>
      </ns0:c>
      <ns0:c r="I1057" s="7" t="n">
        <ns0:v>3014.525139664804</ns0:v>
      </ns0:c>
      <ns0:c r="J1057" s="7" t="n">
        <ns0:v>1205.810055865922</ns0:v>
      </ns0:c>
      <ns0:c r="K1057" s="7" t="n">
        <ns0:v>20</ns0:v>
      </ns0:c>
      <ns0:c r="L1057" s="7" t="n">
        <ns0:v>35</ns0:v>
      </ns0:c>
      <ns0:c r="M1057" s="7" t="n">
        <ns0:v>-20556.01489598854</ns0:v>
      </ns0:c>
      <ns0:c r="N1057" s="7" t="n">
        <ns0:v>28797.39998364445</ns0:v>
      </ns0:c>
      <ns0:c r="O1057" s="7" t="n">
        <ns0:v>84336.28972361257</ns0:v>
      </ns0:c>
      <ns0:c r="P1057" s="7" t="n">
        <ns0:v>223183.5140735329</ns0:v>
      </ns0:c>
      <ns0:c r="Q1057" s="7" t="n">
        <ns0:v>736572.4114732144</ns0:v>
      </ns0:c>
      <ns0:c r="R1057" s="7" t="n">
        <ns0:v>2610433.5523721</ns0:v>
      </ns0:c>
    </ns0:row>
    <ns0:row r="1058" ht="24" customHeight="1">
      <ns0:c r="A1058" s="3" t="inlineStr">
        <ns0:is>
          <ns0:t>セット</ns0:t>
        </ns0:is>
      </ns0:c>
      <ns0:c r="B1058" s="3" t="inlineStr">
        <ns0:is>
          <ns0:t>G3三段階</ns0:t>
        </ns0:is>
      </ns0:c>
      <ns0:c r="C1058" s="3" t="inlineStr">
        <ns0:is>
          <ns0:t>D</ns0:t>
        </ns0:is>
      </ns0:c>
      <ns0:c r="D1058" s="4" t="n">
        <ns0:v>1</ns0:v>
      </ns0:c>
      <ns0:c r="E1058" s="4" t="n">
        <ns0:v>1000</ns0:v>
      </ns0:c>
      <ns0:c r="F1058" s="6" t="n">
        <ns0:v>0.4</ns0:v>
      </ns0:c>
      <ns0:c r="G1058" s="4" t="n">
        <ns0:v>2</ns0:v>
      </ns0:c>
      <ns0:c r="H1058" s="7" t="n">
        <ns0:v>7059.776536312848</ns0:v>
      </ns0:c>
      <ns0:c r="I1058" s="7" t="n">
        <ns0:v>3014.525139664804</ns0:v>
      </ns0:c>
      <ns0:c r="J1058" s="7" t="n">
        <ns0:v>1205.810055865922</ns0:v>
      </ns0:c>
      <ns0:c r="K1058" s="18" t="inlineStr">
        <ns0:is>
          <ns0:t>範囲内なし</ns0:t>
        </ns0:is>
      </ns0:c>
      <ns0:c r="L1058" s="18" t="inlineStr">
        <ns0:is>
          <ns0:t>範囲内なし</ns0:t>
        </ns0:is>
      </ns0:c>
      <ns0:c r="M1058" s="7" t="n">
        <ns0:v>-57139.7188595618</ns0:v>
      </ns0:c>
      <ns0:c r="N1058" s="7" t="n">
        <ns0:v>-80953.71190707534</ns0:v>
      </ns0:c>
      <ns0:c r="O1058" s="7" t="n">
        <ns0:v>-98582.23009425371</ns0:v>
      </ns0:c>
      <ns0:c r="P1058" s="7" t="n">
        <ns0:v>-142653.5255621996</ns0:v>
      </ns0:c>
      <ns0:c r="Q1058" s="7" t="n">
        <ns0:v>-360938.7074339835</ns0:v>
      </ns0:c>
      <ns0:c r="R1058" s="7" t="n">
        <ns0:v>-1047936.843985226</ns0:v>
      </ns0:c>
    </ns0:row>
    <ns0:row r="1059" ht="24" customHeight="1">
      <ns0:c r="A1059" s="3" t="inlineStr">
        <ns0:is>
          <ns0:t>セット</ns0:t>
        </ns0:is>
      </ns0:c>
      <ns0:c r="B1059" s="3" t="inlineStr">
        <ns0:is>
          <ns0:t>G3三段階</ns0:t>
        </ns0:is>
      </ns0:c>
      <ns0:c r="C1059" s="3" t="inlineStr">
        <ns0:is>
          <ns0:t>D</ns0:t>
        </ns0:is>
      </ns0:c>
      <ns0:c r="D1059" s="4" t="n">
        <ns0:v>1</ns0:v>
      </ns0:c>
      <ns0:c r="E1059" s="4" t="n">
        <ns0:v>1000</ns0:v>
      </ns0:c>
      <ns0:c r="F1059" s="6" t="n">
        <ns0:v>0.4</ns0:v>
      </ns0:c>
      <ns0:c r="G1059" s="4" t="n">
        <ns0:v>3</ns0:v>
      </ns0:c>
      <ns0:c r="H1059" s="7" t="n">
        <ns0:v>7059.776536312848</ns0:v>
      </ns0:c>
      <ns0:c r="I1059" s="7" t="n">
        <ns0:v>3014.525139664804</ns0:v>
      </ns0:c>
      <ns0:c r="J1059" s="7" t="n">
        <ns0:v>1205.810055865922</ns0:v>
      </ns0:c>
      <ns0:c r="K1059" s="7" t="n">
        <ns0:v>30</ns0:v>
      </ns0:c>
      <ns0:c r="L1059" s="18" t="inlineStr">
        <ns0:is>
          <ns0:t>範囲内なし</ns0:t>
        </ns0:is>
      </ns0:c>
      <ns0:c r="M1059" s="7" t="n">
        <ns0:v>-30018.52169652127</ns0:v>
      </ns0:c>
      <ns0:c r="N1059" s="7" t="n">
        <ns0:v>409.8795820462401</ns0:v>
      </ns0:c>
      <ns0:c r="O1059" s="7" t="n">
        <ns0:v>37023.7557209489</ns0:v>
      </ns0:c>
      <ns0:c r="P1059" s="7" t="n">
        <ns0:v>128558.4460682056</ns0:v>
      </ns0:c>
      <ns0:c r="Q1059" s="7" t="n">
        <ns0:v>452697.2074572323</ns0:v>
      </ns0:c>
      <ns0:c r="R1059" s="7" t="n">
        <ns0:v>1664182.872318826</ns0:v>
      </ns0:c>
    </ns0:row>
    <ns0:row r="1060" ht="24" customHeight="1">
      <ns0:c r="A1060" s="3" t="inlineStr">
        <ns0:is>
          <ns0:t>セット</ns0:t>
        </ns0:is>
      </ns0:c>
      <ns0:c r="B1060" s="3" t="inlineStr">
        <ns0:is>
          <ns0:t>G3三段階</ns0:t>
        </ns0:is>
      </ns0:c>
      <ns0:c r="C1060" s="3" t="inlineStr">
        <ns0:is>
          <ns0:t>D</ns0:t>
        </ns0:is>
      </ns0:c>
      <ns0:c r="D1060" s="4" t="n">
        <ns0:v>1</ns0:v>
      </ns0:c>
      <ns0:c r="E1060" s="4" t="n">
        <ns0:v>1000</ns0:v>
      </ns0:c>
      <ns0:c r="F1060" s="6" t="n">
        <ns0:v>0.5</ns0:v>
      </ns0:c>
      <ns0:c r="G1060" s="4" t="n">
        <ns0:v>0</ns0:v>
      </ns0:c>
      <ns0:c r="H1060" s="7" t="n">
        <ns0:v>7059.776536312848</ns0:v>
      </ns0:c>
      <ns0:c r="I1060" s="7" t="n">
        <ns0:v>3014.525139664804</ns0:v>
      </ns0:c>
      <ns0:c r="J1060" s="7" t="n">
        <ns0:v>1507.262569832402</ns0:v>
      </ns0:c>
      <ns0:c r="K1060" s="7" t="n">
        <ns0:v>19</ns0:v>
      </ns0:c>
      <ns0:c r="L1060" s="7" t="n">
        <ns0:v>27</ns0:v>
      </ns0:c>
      <ns0:c r="M1060" s="7" t="n">
        <ns0:v>-19247.03383064927</ns0:v>
      </ns0:c>
      <ns0:c r="N1060" s="7" t="n">
        <ns0:v>32724.34317966225</ns0:v>
      </ns0:c>
      <ns0:c r="O1060" s="7" t="n">
        <ns0:v>90881.19505030889</ns0:v>
      </ns0:c>
      <ns0:c r="P1060" s="7" t="n">
        <ns0:v>236273.3247269256</ns0:v>
      </ns0:c>
      <ns0:c r="Q1060" s="7" t="n">
        <ns0:v>775841.8434333924</ns0:v>
      </ns0:c>
      <ns0:c r="R1060" s="7" t="n">
        <ns0:v>2741331.658906027</ns0:v>
      </ns0:c>
    </ns0:row>
    <ns0:row r="1061" ht="24" customHeight="1">
      <ns0:c r="A1061" s="3" t="inlineStr">
        <ns0:is>
          <ns0:t>セット</ns0:t>
        </ns0:is>
      </ns0:c>
      <ns0:c r="B1061" s="3" t="inlineStr">
        <ns0:is>
          <ns0:t>G3三段階</ns0:t>
        </ns0:is>
      </ns0:c>
      <ns0:c r="C1061" s="3" t="inlineStr">
        <ns0:is>
          <ns0:t>D</ns0:t>
        </ns0:is>
      </ns0:c>
      <ns0:c r="D1061" s="4" t="n">
        <ns0:v>1</ns0:v>
      </ns0:c>
      <ns0:c r="E1061" s="4" t="n">
        <ns0:v>1000</ns0:v>
      </ns0:c>
      <ns0:c r="F1061" s="6" t="n">
        <ns0:v>0.5</ns0:v>
      </ns0:c>
      <ns0:c r="G1061" s="4" t="n">
        <ns0:v>1</ns0:v>
      </ns0:c>
      <ns0:c r="H1061" s="7" t="n">
        <ns0:v>7059.776536312848</ns0:v>
      </ns0:c>
      <ns0:c r="I1061" s="7" t="n">
        <ns0:v>3014.525139664804</ns0:v>
      </ns0:c>
      <ns0:c r="J1061" s="7" t="n">
        <ns0:v>1507.262569832402</ns0:v>
      </ns0:c>
      <ns0:c r="K1061" s="7" t="n">
        <ns0:v>23</ns0:v>
      </ns0:c>
      <ns0:c r="L1061" s="7" t="n">
        <ns0:v>39</ns0:v>
      </ns0:c>
      <ns0:c r="M1061" s="7" t="n">
        <ns0:v>-23570.54003565334</ns0:v>
      </ns0:c>
      <ns0:c r="N1061" s="7" t="n">
        <ns0:v>19753.82456465003</ns0:v>
      </ns0:c>
      <ns0:c r="O1061" s="7" t="n">
        <ns0:v>69263.66402528854</ns0:v>
      </ns0:c>
      <ns0:c r="P1061" s="7" t="n">
        <ns0:v>193038.2626768849</ns0:v>
      </ns0:c>
      <ns0:c r="Q1061" s="7" t="n">
        <ns0:v>646136.6572832703</ns0:v>
      </ns0:c>
      <ns0:c r="R1061" s="7" t="n">
        <ns0:v>2308981.03840562</ns0:v>
      </ns0:c>
    </ns0:row>
    <ns0:row r="1062" ht="24" customHeight="1">
      <ns0:c r="A1062" s="3" t="inlineStr">
        <ns0:is>
          <ns0:t>セット</ns0:t>
        </ns0:is>
      </ns0:c>
      <ns0:c r="B1062" s="3" t="inlineStr">
        <ns0:is>
          <ns0:t>G3三段階</ns0:t>
        </ns0:is>
      </ns0:c>
      <ns0:c r="C1062" s="3" t="inlineStr">
        <ns0:is>
          <ns0:t>D</ns0:t>
        </ns0:is>
      </ns0:c>
      <ns0:c r="D1062" s="4" t="n">
        <ns0:v>1</ns0:v>
      </ns0:c>
      <ns0:c r="E1062" s="4" t="n">
        <ns0:v>1000</ns0:v>
      </ns0:c>
      <ns0:c r="F1062" s="6" t="n">
        <ns0:v>0.5</ns0:v>
      </ns0:c>
      <ns0:c r="G1062" s="4" t="n">
        <ns0:v>2</ns0:v>
      </ns0:c>
      <ns0:c r="H1062" s="7" t="n">
        <ns0:v>7059.776536312848</ns0:v>
      </ns0:c>
      <ns0:c r="I1062" s="7" t="n">
        <ns0:v>3014.525139664804</ns0:v>
      </ns0:c>
      <ns0:c r="J1062" s="7" t="n">
        <ns0:v>1507.262569832402</ns0:v>
      </ns0:c>
      <ns0:c r="K1062" s="18" t="inlineStr">
        <ns0:is>
          <ns0:t>範囲内なし</ns0:t>
        </ns0:is>
      </ns0:c>
      <ns0:c r="L1062" s="18" t="inlineStr">
        <ns0:is>
          <ns0:t>範囲内なし</ns0:t>
        </ns0:is>
      </ns0:c>
      <ns0:c r="M1062" s="7" t="n">
        <ns0:v>-60154.2439992266</ns0:v>
      </ns0:c>
      <ns0:c r="N1062" s="7" t="n">
        <ns0:v>-89997.28732606975</ns0:v>
      </ns0:c>
      <ns0:c r="O1062" s="7" t="n">
        <ns0:v>-113654.8557925777</ns0:v>
      </ns0:c>
      <ns0:c r="P1062" s="7" t="n">
        <ns0:v>-172798.7769588477</ns0:v>
      </ns0:c>
      <ns0:c r="Q1062" s="7" t="n">
        <ns0:v>-451374.4616239275</ns0:v>
      </ns0:c>
      <ns0:c r="R1062" s="7" t="n">
        <ns0:v>-1349389.357951706</ns0:v>
      </ns0:c>
    </ns0:row>
    <ns0:row r="1063" ht="24" customHeight="1">
      <ns0:c r="A1063" s="3" t="inlineStr">
        <ns0:is>
          <ns0:t>セット</ns0:t>
        </ns0:is>
      </ns0:c>
      <ns0:c r="B1063" s="3" t="inlineStr">
        <ns0:is>
          <ns0:t>G3三段階</ns0:t>
        </ns0:is>
      </ns0:c>
      <ns0:c r="C1063" s="3" t="inlineStr">
        <ns0:is>
          <ns0:t>D</ns0:t>
        </ns0:is>
      </ns0:c>
      <ns0:c r="D1063" s="4" t="n">
        <ns0:v>1</ns0:v>
      </ns0:c>
      <ns0:c r="E1063" s="4" t="n">
        <ns0:v>1000</ns0:v>
      </ns0:c>
      <ns0:c r="F1063" s="6" t="n">
        <ns0:v>0.5</ns0:v>
      </ns0:c>
      <ns0:c r="G1063" s="4" t="n">
        <ns0:v>3</ns0:v>
      </ns0:c>
      <ns0:c r="H1063" s="7" t="n">
        <ns0:v>7059.776536312848</ns0:v>
      </ns0:c>
      <ns0:c r="I1063" s="7" t="n">
        <ns0:v>3014.525139664804</ns0:v>
      </ns0:c>
      <ns0:c r="J1063" s="7" t="n">
        <ns0:v>1507.262569832402</ns0:v>
      </ns0:c>
      <ns0:c r="K1063" s="7" t="n">
        <ns0:v>36</ns0:v>
      </ns0:c>
      <ns0:c r="L1063" s="18" t="inlineStr">
        <ns0:is>
          <ns0:t>範囲内なし</ns0:t>
        </ns0:is>
      </ns0:c>
      <ns0:c r="M1063" s="7" t="n">
        <ns0:v>-33033.04683618608</ns0:v>
      </ns0:c>
      <ns0:c r="N1063" s="7" t="n">
        <ns0:v>-8633.695836948173</ns0:v>
      </ns0:c>
      <ns0:c r="O1063" s="7" t="n">
        <ns0:v>21951.13002262486</ns0:v>
      </ns0:c>
      <ns0:c r="P1063" s="7" t="n">
        <ns0:v>98413.19467155752</ns0:v>
      </ns0:c>
      <ns0:c r="Q1063" s="7" t="n">
        <ns0:v>362261.4532672882</ns0:v>
      </ns0:c>
      <ns0:c r="R1063" s="7" t="n">
        <ns0:v>1362730.358352346</ns0:v>
      </ns0:c>
    </ns0:row>
    <ns0:row r="1064" ht="24" customHeight="1">
      <ns0:c r="A1064" s="3" t="inlineStr">
        <ns0:is>
          <ns0:t>セット</ns0:t>
        </ns0:is>
      </ns0:c>
      <ns0:c r="B1064" s="3" t="inlineStr">
        <ns0:is>
          <ns0:t>G3三段階</ns0:t>
        </ns0:is>
      </ns0:c>
      <ns0:c r="C1064" s="3" t="inlineStr">
        <ns0:is>
          <ns0:t>D</ns0:t>
        </ns0:is>
      </ns0:c>
      <ns0:c r="D1064" s="4" t="n">
        <ns0:v>1</ns0:v>
      </ns0:c>
      <ns0:c r="E1064" s="4" t="n">
        <ns0:v>1500</ns0:v>
      </ns0:c>
      <ns0:c r="F1064" s="6" t="n">
        <ns0:v>0.3</ns0:v>
      </ns0:c>
      <ns0:c r="G1064" s="4" t="n">
        <ns0:v>0</ns0:v>
      </ns0:c>
      <ns0:c r="H1064" s="7" t="n">
        <ns0:v>6559.776536312848</ns0:v>
      </ns0:c>
      <ns0:c r="I1064" s="7" t="n">
        <ns0:v>2514.525139664804</ns0:v>
      </ns0:c>
      <ns0:c r="J1064" s="7" t="n">
        <ns0:v>754.3575418994412</ns0:v>
      </ns0:c>
      <ns0:c r="K1064" s="7" t="n">
        <ns0:v>18</ns0:v>
      </ns0:c>
      <ns0:c r="L1064" s="7" t="n">
        <ns0:v>25</ns0:v>
      </ns0:c>
      <ns0:c r="M1064" s="7" t="n">
        <ns0:v>-16537.98355131966</ns0:v>
      </ns0:c>
      <ns0:c r="N1064" s="7" t="n">
        <ns0:v>40851.49401765104</ns0:v>
      </ns0:c>
      <ns0:c r="O1064" s="7" t="n">
        <ns0:v>104426.446446957</ns0:v>
      </ns0:c>
      <ns0:c r="P1064" s="7" t="n">
        <ns0:v>263363.8275202217</ns0:v>
      </ns0:c>
      <ns0:c r="Q1064" s="7" t="n">
        <ns0:v>857113.3518132805</ns0:v>
      </ns0:c>
      <ns0:c r="R1064" s="7" t="n">
        <ns0:v>3012236.686838986</ns0:v>
      </ns0:c>
    </ns0:row>
    <ns0:row r="1065" ht="24" customHeight="1">
      <ns0:c r="A1065" s="3" t="inlineStr">
        <ns0:is>
          <ns0:t>セット</ns0:t>
        </ns0:is>
      </ns0:c>
      <ns0:c r="B1065" s="3" t="inlineStr">
        <ns0:is>
          <ns0:t>G3三段階</ns0:t>
        </ns0:is>
      </ns0:c>
      <ns0:c r="C1065" s="3" t="inlineStr">
        <ns0:is>
          <ns0:t>D</ns0:t>
        </ns0:is>
      </ns0:c>
      <ns0:c r="D1065" s="4" t="n">
        <ns0:v>1</ns0:v>
      </ns0:c>
      <ns0:c r="E1065" s="4" t="n">
        <ns0:v>1500</ns0:v>
      </ns0:c>
      <ns0:c r="F1065" s="6" t="n">
        <ns0:v>0.3</ns0:v>
      </ns0:c>
      <ns0:c r="G1065" s="4" t="n">
        <ns0:v>1</ns0:v>
      </ns0:c>
      <ns0:c r="H1065" s="7" t="n">
        <ns0:v>6559.776536312848</ns0:v>
      </ns0:c>
      <ns0:c r="I1065" s="7" t="n">
        <ns0:v>2514.525139664804</ns0:v>
      </ns0:c>
      <ns0:c r="J1065" s="7" t="n">
        <ns0:v>754.3575418994412</ns0:v>
      </ns0:c>
      <ns0:c r="K1065" s="7" t="n">
        <ns0:v>20</ns0:v>
      </ns0:c>
      <ns0:c r="L1065" s="7" t="n">
        <ns0:v>36</ns0:v>
      </ns0:c>
      <ns0:c r="M1065" s="7" t="n">
        <ns0:v>-20861.48975632373</ns0:v>
      </ns0:c>
      <ns0:c r="N1065" s="7" t="n">
        <ns0:v>27880.97540263883</ns0:v>
      </ns0:c>
      <ns0:c r="O1065" s="7" t="n">
        <ns0:v>82808.9154219366</ns0:v>
      </ns0:c>
      <ns0:c r="P1065" s="7" t="n">
        <ns0:v>220128.765470181</ns0:v>
      </ns0:c>
      <ns0:c r="Q1065" s="7" t="n">
        <ns0:v>727408.1656631583</ns0:v>
      </ns0:c>
      <ns0:c r="R1065" s="7" t="n">
        <ns0:v>2579886.06633858</ns0:v>
      </ns0:c>
    </ns0:row>
    <ns0:row r="1066" ht="24" customHeight="1">
      <ns0:c r="A1066" s="3" t="inlineStr">
        <ns0:is>
          <ns0:t>セット</ns0:t>
        </ns0:is>
      </ns0:c>
      <ns0:c r="B1066" s="3" t="inlineStr">
        <ns0:is>
          <ns0:t>G3三段階</ns0:t>
        </ns0:is>
      </ns0:c>
      <ns0:c r="C1066" s="3" t="inlineStr">
        <ns0:is>
          <ns0:t>D</ns0:t>
        </ns0:is>
      </ns0:c>
      <ns0:c r="D1066" s="4" t="n">
        <ns0:v>1</ns0:v>
      </ns0:c>
      <ns0:c r="E1066" s="4" t="n">
        <ns0:v>1500</ns0:v>
      </ns0:c>
      <ns0:c r="F1066" s="6" t="n">
        <ns0:v>0.3</ns0:v>
      </ns0:c>
      <ns0:c r="G1066" s="4" t="n">
        <ns0:v>2</ns0:v>
      </ns0:c>
      <ns0:c r="H1066" s="7" t="n">
        <ns0:v>6559.776536312848</ns0:v>
      </ns0:c>
      <ns0:c r="I1066" s="7" t="n">
        <ns0:v>2514.525139664804</ns0:v>
      </ns0:c>
      <ns0:c r="J1066" s="7" t="n">
        <ns0:v>754.3575418994412</ns0:v>
      </ns0:c>
      <ns0:c r="K1066" s="18" t="inlineStr">
        <ns0:is>
          <ns0:t>範囲内なし</ns0:t>
        </ns0:is>
      </ns0:c>
      <ns0:c r="L1066" s="18" t="inlineStr">
        <ns0:is>
          <ns0:t>範囲内なし</ns0:t>
        </ns0:is>
      </ns0:c>
      <ns0:c r="M1066" s="7" t="n">
        <ns0:v>-57445.19371989699</ns0:v>
      </ns0:c>
      <ns0:c r="N1066" s="7" t="n">
        <ns0:v>-81870.13648808096</ns0:v>
      </ns0:c>
      <ns0:c r="O1066" s="7" t="n">
        <ns0:v>-100109.6043959297</ns0:v>
      </ns0:c>
      <ns0:c r="P1066" s="7" t="n">
        <ns0:v>-145708.2741655516</ns0:v>
      </ns0:c>
      <ns0:c r="Q1066" s="7" t="n">
        <ns0:v>-370102.9532440393</ns0:v>
      </ns0:c>
      <ns0:c r="R1066" s="7" t="n">
        <ns0:v>-1078484.330018746</ns0:v>
      </ns0:c>
    </ns0:row>
    <ns0:row r="1067" ht="24" customHeight="1">
      <ns0:c r="A1067" s="3" t="inlineStr">
        <ns0:is>
          <ns0:t>セット</ns0:t>
        </ns0:is>
      </ns0:c>
      <ns0:c r="B1067" s="3" t="inlineStr">
        <ns0:is>
          <ns0:t>G3三段階</ns0:t>
        </ns0:is>
      </ns0:c>
      <ns0:c r="C1067" s="3" t="inlineStr">
        <ns0:is>
          <ns0:t>D</ns0:t>
        </ns0:is>
      </ns0:c>
      <ns0:c r="D1067" s="4" t="n">
        <ns0:v>1</ns0:v>
      </ns0:c>
      <ns0:c r="E1067" s="4" t="n">
        <ns0:v>1500</ns0:v>
      </ns0:c>
      <ns0:c r="F1067" s="6" t="n">
        <ns0:v>0.3</ns0:v>
      </ns0:c>
      <ns0:c r="G1067" s="4" t="n">
        <ns0:v>3</ns0:v>
      </ns0:c>
      <ns0:c r="H1067" s="7" t="n">
        <ns0:v>6559.776536312848</ns0:v>
      </ns0:c>
      <ns0:c r="I1067" s="7" t="n">
        <ns0:v>2514.525139664804</ns0:v>
      </ns0:c>
      <ns0:c r="J1067" s="7" t="n">
        <ns0:v>754.3575418994412</ns0:v>
      </ns0:c>
      <ns0:c r="K1067" s="7" t="n">
        <ns0:v>31</ns0:v>
      </ns0:c>
      <ns0:c r="L1067" s="18" t="inlineStr">
        <ns0:is>
          <ns0:t>範囲内なし</ns0:t>
        </ns0:is>
      </ns0:c>
      <ns0:c r="M1067" s="7" t="n">
        <ns0:v>-30323.99655685647</ns0:v>
      </ns0:c>
      <ns0:c r="N1067" s="7" t="n">
        <ns0:v>-506.5449989593762</ns0:v>
      </ns0:c>
      <ns0:c r="O1067" s="7" t="n">
        <ns0:v>35496.38141927293</ns0:v>
      </ns0:c>
      <ns0:c r="P1067" s="7" t="n">
        <ns0:v>125503.6974648536</ns0:v>
      </ns0:c>
      <ns0:c r="Q1067" s="7" t="n">
        <ns0:v>443532.9616471764</ns0:v>
      </ns0:c>
      <ns0:c r="R1067" s="7" t="n">
        <ns0:v>1633635.386285306</ns0:v>
      </ns0:c>
    </ns0:row>
    <ns0:row r="1068" ht="24" customHeight="1">
      <ns0:c r="A1068" s="3" t="inlineStr">
        <ns0:is>
          <ns0:t>セット</ns0:t>
        </ns0:is>
      </ns0:c>
      <ns0:c r="B1068" s="3" t="inlineStr">
        <ns0:is>
          <ns0:t>G3三段階</ns0:t>
        </ns0:is>
      </ns0:c>
      <ns0:c r="C1068" s="3" t="inlineStr">
        <ns0:is>
          <ns0:t>D</ns0:t>
        </ns0:is>
      </ns0:c>
      <ns0:c r="D1068" s="4" t="n">
        <ns0:v>1</ns0:v>
      </ns0:c>
      <ns0:c r="E1068" s="4" t="n">
        <ns0:v>1500</ns0:v>
      </ns0:c>
      <ns0:c r="F1068" s="6" t="n">
        <ns0:v>0.4</ns0:v>
      </ns0:c>
      <ns0:c r="G1068" s="4" t="n">
        <ns0:v>0</ns0:v>
      </ns0:c>
      <ns0:c r="H1068" s="7" t="n">
        <ns0:v>6559.776536312848</ns0:v>
      </ns0:c>
      <ns0:c r="I1068" s="7" t="n">
        <ns0:v>2514.525139664804</ns0:v>
      </ns0:c>
      <ns0:c r="J1068" s="7" t="n">
        <ns0:v>1005.810055865922</ns0:v>
      </ns0:c>
      <ns0:c r="K1068" s="7" t="n">
        <ns0:v>19</ns0:v>
      </ns0:c>
      <ns0:c r="L1068" s="7" t="n">
        <ns0:v>27</ns0:v>
      </ns0:c>
      <ns0:c r="M1068" s="7" t="n">
        <ns0:v>-19052.50869098446</ns0:v>
      </ns0:c>
      <ns0:c r="N1068" s="7" t="n">
        <ns0:v>33307.91859865662</ns0:v>
      </ns0:c>
      <ns0:c r="O1068" s="7" t="n">
        <ns0:v>91853.82074863292</ns0:v>
      </ns0:c>
      <ns0:c r="P1068" s="7" t="n">
        <ns0:v>238218.5761235736</ns0:v>
      </ns0:c>
      <ns0:c r="Q1068" s="7" t="n">
        <ns0:v>781677.5976233361</ns0:v>
      </ns0:c>
      <ns0:c r="R1068" s="7" t="n">
        <ns0:v>2760784.172872506</ns0:v>
      </ns0:c>
    </ns0:row>
    <ns0:row r="1069" ht="24" customHeight="1">
      <ns0:c r="A1069" s="3" t="inlineStr">
        <ns0:is>
          <ns0:t>セット</ns0:t>
        </ns0:is>
      </ns0:c>
      <ns0:c r="B1069" s="3" t="inlineStr">
        <ns0:is>
          <ns0:t>G3三段階</ns0:t>
        </ns0:is>
      </ns0:c>
      <ns0:c r="C1069" s="3" t="inlineStr">
        <ns0:is>
          <ns0:t>D</ns0:t>
        </ns0:is>
      </ns0:c>
      <ns0:c r="D1069" s="4" t="n">
        <ns0:v>1</ns0:v>
      </ns0:c>
      <ns0:c r="E1069" s="4" t="n">
        <ns0:v>1500</ns0:v>
      </ns0:c>
      <ns0:c r="F1069" s="6" t="n">
        <ns0:v>0.4</ns0:v>
      </ns0:c>
      <ns0:c r="G1069" s="4" t="n">
        <ns0:v>1</ns0:v>
      </ns0:c>
      <ns0:c r="H1069" s="7" t="n">
        <ns0:v>6559.776536312848</ns0:v>
      </ns0:c>
      <ns0:c r="I1069" s="7" t="n">
        <ns0:v>2514.525139664804</ns0:v>
      </ns0:c>
      <ns0:c r="J1069" s="7" t="n">
        <ns0:v>1005.810055865922</ns0:v>
      </ns0:c>
      <ns0:c r="K1069" s="7" t="n">
        <ns0:v>22</ns0:v>
      </ns0:c>
      <ns0:c r="L1069" s="7" t="n">
        <ns0:v>39</ns0:v>
      </ns0:c>
      <ns0:c r="M1069" s="7" t="n">
        <ns0:v>-23376.01489598853</ns0:v>
      </ns0:c>
      <ns0:c r="N1069" s="7" t="n">
        <ns0:v>20337.39998364441</ns0:v>
      </ns0:c>
      <ns0:c r="O1069" s="7" t="n">
        <ns0:v>70236.28972361257</ns0:v>
      </ns0:c>
      <ns0:c r="P1069" s="7" t="n">
        <ns0:v>194983.5140735329</ns0:v>
      </ns0:c>
      <ns0:c r="Q1069" s="7" t="n">
        <ns0:v>651972.4114732139</ns0:v>
      </ns0:c>
      <ns0:c r="R1069" s="7" t="n">
        <ns0:v>2328433.552372099</ns0:v>
      </ns0:c>
    </ns0:row>
    <ns0:row r="1070" ht="24" customHeight="1">
      <ns0:c r="A1070" s="3" t="inlineStr">
        <ns0:is>
          <ns0:t>セット</ns0:t>
        </ns0:is>
      </ns0:c>
      <ns0:c r="B1070" s="3" t="inlineStr">
        <ns0:is>
          <ns0:t>G3三段階</ns0:t>
        </ns0:is>
      </ns0:c>
      <ns0:c r="C1070" s="3" t="inlineStr">
        <ns0:is>
          <ns0:t>D</ns0:t>
        </ns0:is>
      </ns0:c>
      <ns0:c r="D1070" s="4" t="n">
        <ns0:v>1</ns0:v>
      </ns0:c>
      <ns0:c r="E1070" s="4" t="n">
        <ns0:v>1500</ns0:v>
      </ns0:c>
      <ns0:c r="F1070" s="6" t="n">
        <ns0:v>0.4</ns0:v>
      </ns0:c>
      <ns0:c r="G1070" s="4" t="n">
        <ns0:v>2</ns0:v>
      </ns0:c>
      <ns0:c r="H1070" s="7" t="n">
        <ns0:v>6559.776536312848</ns0:v>
      </ns0:c>
      <ns0:c r="I1070" s="7" t="n">
        <ns0:v>2514.525139664804</ns0:v>
      </ns0:c>
      <ns0:c r="J1070" s="7" t="n">
        <ns0:v>1005.810055865922</ns0:v>
      </ns0:c>
      <ns0:c r="K1070" s="18" t="inlineStr">
        <ns0:is>
          <ns0:t>範囲内なし</ns0:t>
        </ns0:is>
      </ns0:c>
      <ns0:c r="L1070" s="18" t="inlineStr">
        <ns0:is>
          <ns0:t>範囲内なし</ns0:t>
        </ns0:is>
      </ns0:c>
      <ns0:c r="M1070" s="7" t="n">
        <ns0:v>-59959.71885956179</ns0:v>
      </ns0:c>
      <ns0:c r="N1070" s="7" t="n">
        <ns0:v>-89413.7119070754</ns0:v>
      </ns0:c>
      <ns0:c r="O1070" s="7" t="n">
        <ns0:v>-112682.2300942537</ns0:v>
      </ns0:c>
      <ns0:c r="P1070" s="7" t="n">
        <ns0:v>-170853.5255621997</ns0:v>
      </ns0:c>
      <ns0:c r="Q1070" s="7" t="n">
        <ns0:v>-445538.7074339837</ns0:v>
      </ns0:c>
      <ns0:c r="R1070" s="7" t="n">
        <ns0:v>-1329936.843985227</ns0:v>
      </ns0:c>
    </ns0:row>
    <ns0:row r="1071" ht="24" customHeight="1">
      <ns0:c r="A1071" s="3" t="inlineStr">
        <ns0:is>
          <ns0:t>セット</ns0:t>
        </ns0:is>
      </ns0:c>
      <ns0:c r="B1071" s="3" t="inlineStr">
        <ns0:is>
          <ns0:t>G3三段階</ns0:t>
        </ns0:is>
      </ns0:c>
      <ns0:c r="C1071" s="3" t="inlineStr">
        <ns0:is>
          <ns0:t>D</ns0:t>
        </ns0:is>
      </ns0:c>
      <ns0:c r="D1071" s="4" t="n">
        <ns0:v>1</ns0:v>
      </ns0:c>
      <ns0:c r="E1071" s="4" t="n">
        <ns0:v>1500</ns0:v>
      </ns0:c>
      <ns0:c r="F1071" s="6" t="n">
        <ns0:v>0.4</ns0:v>
      </ns0:c>
      <ns0:c r="G1071" s="4" t="n">
        <ns0:v>3</ns0:v>
      </ns0:c>
      <ns0:c r="H1071" s="7" t="n">
        <ns0:v>6559.776536312848</ns0:v>
      </ns0:c>
      <ns0:c r="I1071" s="7" t="n">
        <ns0:v>2514.525139664804</ns0:v>
      </ns0:c>
      <ns0:c r="J1071" s="7" t="n">
        <ns0:v>1005.810055865922</ns0:v>
      </ns0:c>
      <ns0:c r="K1071" s="7" t="n">
        <ns0:v>36</ns0:v>
      </ns0:c>
      <ns0:c r="L1071" s="18" t="inlineStr">
        <ns0:is>
          <ns0:t>範囲内なし</ns0:t>
        </ns0:is>
      </ns0:c>
      <ns0:c r="M1071" s="7" t="n">
        <ns0:v>-32838.52169652127</ns0:v>
      </ns0:c>
      <ns0:c r="N1071" s="7" t="n">
        <ns0:v>-8050.120417953789</ns0:v>
      </ns0:c>
      <ns0:c r="O1071" s="7" t="n">
        <ns0:v>22923.7557209489</ns0:v>
      </ns0:c>
      <ns0:c r="P1071" s="7" t="n">
        <ns0:v>100358.4460682056</ns0:v>
      </ns0:c>
      <ns0:c r="Q1071" s="7" t="n">
        <ns0:v>368097.207457232</ns0:v>
      </ns0:c>
      <ns0:c r="R1071" s="7" t="n">
        <ns0:v>1382182.872318825</ns0:v>
      </ns0:c>
    </ns0:row>
    <ns0:row r="1072" ht="24" customHeight="1">
      <ns0:c r="A1072" s="3" t="inlineStr">
        <ns0:is>
          <ns0:t>セット</ns0:t>
        </ns0:is>
      </ns0:c>
      <ns0:c r="B1072" s="3" t="inlineStr">
        <ns0:is>
          <ns0:t>G3三段階</ns0:t>
        </ns0:is>
      </ns0:c>
      <ns0:c r="C1072" s="3" t="inlineStr">
        <ns0:is>
          <ns0:t>D</ns0:t>
        </ns0:is>
      </ns0:c>
      <ns0:c r="D1072" s="4" t="n">
        <ns0:v>1</ns0:v>
      </ns0:c>
      <ns0:c r="E1072" s="4" t="n">
        <ns0:v>1500</ns0:v>
      </ns0:c>
      <ns0:c r="F1072" s="6" t="n">
        <ns0:v>0.5</ns0:v>
      </ns0:c>
      <ns0:c r="G1072" s="4" t="n">
        <ns0:v>0</ns0:v>
      </ns0:c>
      <ns0:c r="H1072" s="7" t="n">
        <ns0:v>6559.776536312848</ns0:v>
      </ns0:c>
      <ns0:c r="I1072" s="7" t="n">
        <ns0:v>2514.525139664804</ns0:v>
      </ns0:c>
      <ns0:c r="J1072" s="7" t="n">
        <ns0:v>1257.262569832402</ns0:v>
      </ns0:c>
      <ns0:c r="K1072" s="7" t="n">
        <ns0:v>21</ns0:v>
      </ns0:c>
      <ns0:c r="L1072" s="7" t="n">
        <ns0:v>28</ns0:v>
      </ns0:c>
      <ns0:c r="M1072" s="7" t="n">
        <ns0:v>-21567.03383064927</ns0:v>
      </ns0:c>
      <ns0:c r="N1072" s="7" t="n">
        <ns0:v>25764.34317966223</ns0:v>
      </ns0:c>
      <ns0:c r="O1072" s="7" t="n">
        <ns0:v>79281.19505030889</ns0:v>
      </ns0:c>
      <ns0:c r="P1072" s="7" t="n">
        <ns0:v>213073.3247269256</ns0:v>
      </ns0:c>
      <ns0:c r="Q1072" s="7" t="n">
        <ns0:v>706241.8434333922</ns0:v>
      </ns0:c>
      <ns0:c r="R1072" s="7" t="n">
        <ns0:v>2509331.658906026</ns0:v>
      </ns0:c>
    </ns0:row>
    <ns0:row r="1073" ht="24" customHeight="1">
      <ns0:c r="A1073" s="3" t="inlineStr">
        <ns0:is>
          <ns0:t>セット</ns0:t>
        </ns0:is>
      </ns0:c>
      <ns0:c r="B1073" s="3" t="inlineStr">
        <ns0:is>
          <ns0:t>G3三段階</ns0:t>
        </ns0:is>
      </ns0:c>
      <ns0:c r="C1073" s="3" t="inlineStr">
        <ns0:is>
          <ns0:t>D</ns0:t>
        </ns0:is>
      </ns0:c>
      <ns0:c r="D1073" s="4" t="n">
        <ns0:v>1</ns0:v>
      </ns0:c>
      <ns0:c r="E1073" s="4" t="n">
        <ns0:v>1500</ns0:v>
      </ns0:c>
      <ns0:c r="F1073" s="6" t="n">
        <ns0:v>0.5</ns0:v>
      </ns0:c>
      <ns0:c r="G1073" s="4" t="n">
        <ns0:v>1</ns0:v>
      </ns0:c>
      <ns0:c r="H1073" s="7" t="n">
        <ns0:v>6559.776536312848</ns0:v>
      </ns0:c>
      <ns0:c r="I1073" s="7" t="n">
        <ns0:v>2514.525139664804</ns0:v>
      </ns0:c>
      <ns0:c r="J1073" s="7" t="n">
        <ns0:v>1257.262569832402</ns0:v>
      </ns0:c>
      <ns0:c r="K1073" s="7" t="n">
        <ns0:v>25</ns0:v>
      </ns0:c>
      <ns0:c r="L1073" s="7" t="n">
        <ns0:v>43</ns0:v>
      </ns0:c>
      <ns0:c r="M1073" s="7" t="n">
        <ns0:v>-25890.54003565334</ns0:v>
      </ns0:c>
      <ns0:c r="N1073" s="7" t="n">
        <ns0:v>12793.82456465003</ns0:v>
      </ns0:c>
      <ns0:c r="O1073" s="7" t="n">
        <ns0:v>57663.66402528853</ns0:v>
      </ns0:c>
      <ns0:c r="P1073" s="7" t="n">
        <ns0:v>169838.2626768849</ns0:v>
      </ns0:c>
      <ns0:c r="Q1073" s="7" t="n">
        <ns0:v>576536.65728327</ns0:v>
      </ns0:c>
      <ns0:c r="R1073" s="7" t="n">
        <ns0:v>2076981.038405619</ns0:v>
      </ns0:c>
    </ns0:row>
    <ns0:row r="1074" ht="24" customHeight="1">
      <ns0:c r="A1074" s="3" t="inlineStr">
        <ns0:is>
          <ns0:t>セット</ns0:t>
        </ns0:is>
      </ns0:c>
      <ns0:c r="B1074" s="3" t="inlineStr">
        <ns0:is>
          <ns0:t>G3三段階</ns0:t>
        </ns0:is>
      </ns0:c>
      <ns0:c r="C1074" s="3" t="inlineStr">
        <ns0:is>
          <ns0:t>D</ns0:t>
        </ns0:is>
      </ns0:c>
      <ns0:c r="D1074" s="4" t="n">
        <ns0:v>1</ns0:v>
      </ns0:c>
      <ns0:c r="E1074" s="4" t="n">
        <ns0:v>1500</ns0:v>
      </ns0:c>
      <ns0:c r="F1074" s="6" t="n">
        <ns0:v>0.5</ns0:v>
      </ns0:c>
      <ns0:c r="G1074" s="4" t="n">
        <ns0:v>2</ns0:v>
      </ns0:c>
      <ns0:c r="H1074" s="7" t="n">
        <ns0:v>6559.776536312848</ns0:v>
      </ns0:c>
      <ns0:c r="I1074" s="7" t="n">
        <ns0:v>2514.525139664804</ns0:v>
      </ns0:c>
      <ns0:c r="J1074" s="7" t="n">
        <ns0:v>1257.262569832402</ns0:v>
      </ns0:c>
      <ns0:c r="K1074" s="18" t="inlineStr">
        <ns0:is>
          <ns0:t>範囲内なし</ns0:t>
        </ns0:is>
      </ns0:c>
      <ns0:c r="L1074" s="18" t="inlineStr">
        <ns0:is>
          <ns0:t>範囲内なし</ns0:t>
        </ns0:is>
      </ns0:c>
      <ns0:c r="M1074" s="7" t="n">
        <ns0:v>-62474.2439992266</ns0:v>
      </ns0:c>
      <ns0:c r="N1074" s="7" t="n">
        <ns0:v>-96957.28732606978</ns0:v>
      </ns0:c>
      <ns0:c r="O1074" s="7" t="n">
        <ns0:v>-125254.8557925777</ns0:v>
      </ns0:c>
      <ns0:c r="P1074" s="7" t="n">
        <ns0:v>-195998.7769588477</ns0:v>
      </ns0:c>
      <ns0:c r="Q1074" s="7" t="n">
        <ns0:v>-520974.4616239276</ns0:v>
      </ns0:c>
      <ns0:c r="R1074" s="7" t="n">
        <ns0:v>-1581389.357951706</ns0:v>
      </ns0:c>
    </ns0:row>
    <ns0:row r="1075" ht="24" customHeight="1">
      <ns0:c r="A1075" s="3" t="inlineStr">
        <ns0:is>
          <ns0:t>セット</ns0:t>
        </ns0:is>
      </ns0:c>
      <ns0:c r="B1075" s="3" t="inlineStr">
        <ns0:is>
          <ns0:t>G3三段階</ns0:t>
        </ns0:is>
      </ns0:c>
      <ns0:c r="C1075" s="3" t="inlineStr">
        <ns0:is>
          <ns0:t>D</ns0:t>
        </ns0:is>
      </ns0:c>
      <ns0:c r="D1075" s="4" t="n">
        <ns0:v>1</ns0:v>
      </ns0:c>
      <ns0:c r="E1075" s="4" t="n">
        <ns0:v>1500</ns0:v>
      </ns0:c>
      <ns0:c r="F1075" s="6" t="n">
        <ns0:v>0.5</ns0:v>
      </ns0:c>
      <ns0:c r="G1075" s="4" t="n">
        <ns0:v>3</ns0:v>
      </ns0:c>
      <ns0:c r="H1075" s="7" t="n">
        <ns0:v>6559.776536312848</ns0:v>
      </ns0:c>
      <ns0:c r="I1075" s="7" t="n">
        <ns0:v>2514.525139664804</ns0:v>
      </ns0:c>
      <ns0:c r="J1075" s="7" t="n">
        <ns0:v>1257.262569832402</ns0:v>
      </ns0:c>
      <ns0:c r="K1075" s="7" t="n">
        <ns0:v>43</ns0:v>
      </ns0:c>
      <ns0:c r="L1075" s="18" t="inlineStr">
        <ns0:is>
          <ns0:t>範囲内なし</ns0:t>
        </ns0:is>
      </ns0:c>
      <ns0:c r="M1075" s="7" t="n">
        <ns0:v>-35353.04683618608</ns0:v>
      </ns0:c>
      <ns0:c r="N1075" s="7" t="n">
        <ns0:v>-15593.69583694817</ns0:v>
      </ns0:c>
      <ns0:c r="O1075" s="7" t="n">
        <ns0:v>10351.13002262487</ns0:v>
      </ns0:c>
      <ns0:c r="P1075" s="7" t="n">
        <ns0:v>75213.19467155755</ns0:v>
      </ns0:c>
      <ns0:c r="Q1075" s="7" t="n">
        <ns0:v>292661.4532672881</ns0:v>
      </ns0:c>
      <ns0:c r="R1075" s="7" t="n">
        <ns0:v>1130730.358352346</ns0:v>
      </ns0:c>
    </ns0:row>
    <ns0:row r="1076" ht="24" customHeight="1">
      <ns0:c r="A1076" s="3" t="inlineStr">
        <ns0:is>
          <ns0:t>セット</ns0:t>
        </ns0:is>
      </ns0:c>
      <ns0:c r="B1076" s="3" t="inlineStr">
        <ns0:is>
          <ns0:t>G3三段階</ns0:t>
        </ns0:is>
      </ns0:c>
      <ns0:c r="C1076" s="3" t="inlineStr">
        <ns0:is>
          <ns0:t>D</ns0:t>
        </ns0:is>
      </ns0:c>
      <ns0:c r="D1076" s="4" t="n">
        <ns0:v>2</ns0:v>
      </ns0:c>
      <ns0:c r="E1076" s="4" t="n">
        <ns0:v>500</ns0:v>
      </ns0:c>
      <ns0:c r="F1076" s="6" t="n">
        <ns0:v>0.3</ns0:v>
      </ns0:c>
      <ns0:c r="G1076" s="4" t="n">
        <ns0:v>0</ns0:v>
      </ns0:c>
      <ns0:c r="H1076" s="7" t="n">
        <ns0:v>10707.62527233115</ns0:v>
      </ns0:c>
      <ns0:c r="I1076" s="7" t="n">
        <ns0:v>4212.418300653594</ns0:v>
      </ns0:c>
      <ns0:c r="J1076" s="7" t="n">
        <ns0:v>1263.725490196078</ns0:v>
      </ns0:c>
      <ns0:c r="K1076" s="7" t="n">
        <ns0:v>8</ns0:v>
      </ns0:c>
      <ns0:c r="L1076" s="7" t="n">
        <ns0:v>12</ns0:v>
      </ns0:c>
      <ns0:c r="M1076" s="7" t="n">
        <ns0:v>17353.19611417679</ns0:v>
      </ns0:c>
      <ns0:c r="N1076" s="7" t="n">
        <ns0:v>123252.0458304401</ns0:v>
      </ns0:c>
      <ns0:c r="O1076" s="7" t="n">
        <ns0:v>241760.699468272</ns0:v>
      </ns0:c>
      <ns0:c r="P1076" s="7" t="n">
        <ns0:v>538032.3335628519</ns0:v>
      </ns0:c>
      <ns0:c r="Q1076" s="7" t="n">
        <ns0:v>1681118.869941171</ns0:v>
      </ns0:c>
      <ns0:c r="R1076" s="7" t="n">
        <ns0:v>5758921.747265289</ns0:v>
      </ns0:c>
    </ns0:row>
    <ns0:row r="1077" ht="24" customHeight="1">
      <ns0:c r="A1077" s="3" t="inlineStr">
        <ns0:is>
          <ns0:t>セット</ns0:t>
        </ns0:is>
      </ns0:c>
      <ns0:c r="B1077" s="3" t="inlineStr">
        <ns0:is>
          <ns0:t>G3三段階</ns0:t>
        </ns0:is>
      </ns0:c>
      <ns0:c r="C1077" s="3" t="inlineStr">
        <ns0:is>
          <ns0:t>D</ns0:t>
        </ns0:is>
      </ns0:c>
      <ns0:c r="D1077" s="4" t="n">
        <ns0:v>2</ns0:v>
      </ns0:c>
      <ns0:c r="E1077" s="4" t="n">
        <ns0:v>500</ns0:v>
      </ns0:c>
      <ns0:c r="F1077" s="6" t="n">
        <ns0:v>0.3</ns0:v>
      </ns0:c>
      <ns0:c r="G1077" s="4" t="n">
        <ns0:v>1</ns0:v>
      </ns0:c>
      <ns0:c r="H1077" s="7" t="n">
        <ns0:v>10707.62527233115</ns0:v>
      </ns0:c>
      <ns0:c r="I1077" s="7" t="n">
        <ns0:v>4212.418300653594</ns0:v>
      </ns0:c>
      <ns0:c r="J1077" s="7" t="n">
        <ns0:v>1263.725490196078</ns0:v>
      </ns0:c>
      <ns0:c r="K1077" s="7" t="n">
        <ns0:v>9</ns0:v>
      </ns0:c>
      <ns0:c r="L1077" s="7" t="n">
        <ns0:v>14</ns0:v>
      </ns0:c>
      <ns0:c r="M1077" s="7" t="n">
        <ns0:v>11964.72672187438</ns0:v>
      </ns0:c>
      <ns0:c r="N1077" s="7" t="n">
        <ns0:v>107086.6376535329</ns0:v>
      </ns0:c>
      <ns0:c r="O1077" s="7" t="n">
        <ns0:v>214818.35250676</ns0:v>
      </ns0:c>
      <ns0:c r="P1077" s="7" t="n">
        <ns0:v>484147.6396398278</ns0:v>
      </ns0:c>
      <ns0:c r="Q1077" s="7" t="n">
        <ns0:v>1519464.788172099</ns0:v>
      </ns0:c>
      <ns0:c r="R1077" s="7" t="n">
        <ns0:v>5220074.808035048</ns0:v>
      </ns0:c>
    </ns0:row>
    <ns0:row r="1078" ht="24" customHeight="1">
      <ns0:c r="A1078" s="3" t="inlineStr">
        <ns0:is>
          <ns0:t>セット</ns0:t>
        </ns0:is>
      </ns0:c>
      <ns0:c r="B1078" s="3" t="inlineStr">
        <ns0:is>
          <ns0:t>G3三段階</ns0:t>
        </ns0:is>
      </ns0:c>
      <ns0:c r="C1078" s="3" t="inlineStr">
        <ns0:is>
          <ns0:t>D</ns0:t>
        </ns0:is>
      </ns0:c>
      <ns0:c r="D1078" s="4" t="n">
        <ns0:v>2</ns0:v>
      </ns0:c>
      <ns0:c r="E1078" s="4" t="n">
        <ns0:v>500</ns0:v>
      </ns0:c>
      <ns0:c r="F1078" s="6" t="n">
        <ns0:v>0.3</ns0:v>
      </ns0:c>
      <ns0:c r="G1078" s="4" t="n">
        <ns0:v>2</ns0:v>
      </ns0:c>
      <ns0:c r="H1078" s="7" t="n">
        <ns0:v>10707.62527233115</ns0:v>
      </ns0:c>
      <ns0:c r="I1078" s="7" t="n">
        <ns0:v>4212.418300653594</ns0:v>
      </ns0:c>
      <ns0:c r="J1078" s="7" t="n">
        <ns0:v>1263.725490196078</ns0:v>
      </ns0:c>
      <ns0:c r="K1078" s="18" t="inlineStr">
        <ns0:is>
          <ns0:t>範囲内なし</ns0:t>
        </ns0:is>
      </ns0:c>
      <ns0:c r="L1078" s="18" t="inlineStr">
        <ns0:is>
          <ns0:t>範囲内なし</ns0:t>
        </ns0:is>
      </ns0:c>
      <ns0:c r="M1078" s="7" t="n">
        <ns0:v>-55361.68222661349</ns0:v>
      </ns0:c>
      <ns0:c r="N1078" s="7" t="n">
        <ns0:v>-94892.58919193075</ns0:v>
      </ns0:c>
      <ns0:c r="O1078" s="7" t="n">
        <ns0:v>-121813.6922356794</ns0:v>
      </ns0:c>
      <ns0:c r="P1078" s="7" t="n">
        <ns0:v>-189116.449845051</ns0:v>
      </ns0:c>
      <ns0:c r="Q1078" s="7" t="n">
        <ns0:v>-500327.4802825375</ns0:v>
      </ns0:c>
      <ns0:c r="R1078" s="7" t="n">
        <ns0:v>-1512566.08681374</ns0:v>
      </ns0:c>
    </ns0:row>
    <ns0:row r="1079" ht="24" customHeight="1">
      <ns0:c r="A1079" s="3" t="inlineStr">
        <ns0:is>
          <ns0:t>セット</ns0:t>
        </ns0:is>
      </ns0:c>
      <ns0:c r="B1079" s="3" t="inlineStr">
        <ns0:is>
          <ns0:t>G3三段階</ns0:t>
        </ns0:is>
      </ns0:c>
      <ns0:c r="C1079" s="3" t="inlineStr">
        <ns0:is>
          <ns0:t>D</ns0:t>
        </ns0:is>
      </ns0:c>
      <ns0:c r="D1079" s="4" t="n">
        <ns0:v>2</ns0:v>
      </ns0:c>
      <ns0:c r="E1079" s="4" t="n">
        <ns0:v>500</ns0:v>
      </ns0:c>
      <ns0:c r="F1079" s="6" t="n">
        <ns0:v>0.3</ns0:v>
      </ns0:c>
      <ns0:c r="G1079" s="4" t="n">
        <ns0:v>3</ns0:v>
      </ns0:c>
      <ns0:c r="H1079" s="7" t="n">
        <ns0:v>10707.62527233115</ns0:v>
      </ns0:c>
      <ns0:c r="I1079" s="7" t="n">
        <ns0:v>4212.418300653594</ns0:v>
      </ns0:c>
      <ns0:c r="J1079" s="7" t="n">
        <ns0:v>1263.725490196078</ns0:v>
      </ns0:c>
      <ns0:c r="K1079" s="7" t="n">
        <ns0:v>13</ns0:v>
      </ns0:c>
      <ns0:c r="L1079" s="7" t="n">
        <ns0:v>24</ns0:v>
      </ns0:c>
      <ns0:c r="M1079" s="7" t="n">
        <ns0:v>929.2462030122151</ns0:v>
      </ns0:c>
      <ns0:c r="N1079" s="7" t="n">
        <ns0:v>73980.1960969464</ns0:v>
      </ns0:c>
      <ns0:c r="O1079" s="7" t="n">
        <ns0:v>159640.9499124491</ns0:v>
      </ns0:c>
      <ns0:c r="P1079" s="7" t="n">
        <ns0:v>373792.8344512061</ns0:v>
      </ns0:c>
      <ns0:c r="Q1079" s="7" t="n">
        <ns0:v>1188400.372606234</ns0:v>
      </ns0:c>
      <ns0:c r="R1079" s="7" t="n">
        <ns0:v>4116526.756148832</ns0:v>
      </ns0:c>
    </ns0:row>
    <ns0:row r="1080" ht="24" customHeight="1">
      <ns0:c r="A1080" s="3" t="inlineStr">
        <ns0:is>
          <ns0:t>セット</ns0:t>
        </ns0:is>
      </ns0:c>
      <ns0:c r="B1080" s="3" t="inlineStr">
        <ns0:is>
          <ns0:t>G3三段階</ns0:t>
        </ns0:is>
      </ns0:c>
      <ns0:c r="C1080" s="3" t="inlineStr">
        <ns0:is>
          <ns0:t>D</ns0:t>
        </ns0:is>
      </ns0:c>
      <ns0:c r="D1080" s="4" t="n">
        <ns0:v>2</ns0:v>
      </ns0:c>
      <ns0:c r="E1080" s="4" t="n">
        <ns0:v>500</ns0:v>
      </ns0:c>
      <ns0:c r="F1080" s="6" t="n">
        <ns0:v>0.4</ns0:v>
      </ns0:c>
      <ns0:c r="G1080" s="4" t="n">
        <ns0:v>0</ns0:v>
      </ns0:c>
      <ns0:c r="H1080" s="7" t="n">
        <ns0:v>10707.62527233115</ns0:v>
      </ns0:c>
      <ns0:c r="I1080" s="7" t="n">
        <ns0:v>4212.418300653594</ns0:v>
      </ns0:c>
      <ns0:c r="J1080" s="7" t="n">
        <ns0:v>1684.967320261438</ns0:v>
      </ns0:c>
      <ns0:c r="K1080" s="7" t="n">
        <ns0:v>9</ns0:v>
      </ns0:c>
      <ns0:c r="L1080" s="7" t="n">
        <ns0:v>12</ns0:v>
      </ns0:c>
      <ns0:c r="M1080" s="7" t="n">
        <ns0:v>13140.77781352319</ns0:v>
      </ns0:c>
      <ns0:c r="N1080" s="7" t="n">
        <ns0:v>110614.7909284793</ns0:v>
      </ns0:c>
      <ns0:c r="O1080" s="7" t="n">
        <ns0:v>220698.607965004</ns0:v>
      </ns0:c>
      <ns0:c r="P1080" s="7" t="n">
        <ns0:v>495908.1505563158</ns0:v>
      </ns0:c>
      <ns0:c r="Q1080" s="7" t="n">
        <ns0:v>1554746.320921563</ns0:v>
      </ns0:c>
      <ns0:c r="R1080" s="7" t="n">
        <ns0:v>5337679.91719993</ns0:v>
      </ns0:c>
    </ns0:row>
    <ns0:row r="1081" ht="24" customHeight="1">
      <ns0:c r="A1081" s="3" t="inlineStr">
        <ns0:is>
          <ns0:t>セット</ns0:t>
        </ns0:is>
      </ns0:c>
      <ns0:c r="B1081" s="3" t="inlineStr">
        <ns0:is>
          <ns0:t>G3三段階</ns0:t>
        </ns0:is>
      </ns0:c>
      <ns0:c r="C1081" s="3" t="inlineStr">
        <ns0:is>
          <ns0:t>D</ns0:t>
        </ns0:is>
      </ns0:c>
      <ns0:c r="D1081" s="4" t="n">
        <ns0:v>2</ns0:v>
      </ns0:c>
      <ns0:c r="E1081" s="4" t="n">
        <ns0:v>500</ns0:v>
      </ns0:c>
      <ns0:c r="F1081" s="6" t="n">
        <ns0:v>0.4</ns0:v>
      </ns0:c>
      <ns0:c r="G1081" s="4" t="n">
        <ns0:v>1</ns0:v>
      </ns0:c>
      <ns0:c r="H1081" s="7" t="n">
        <ns0:v>10707.62527233115</ns0:v>
      </ns0:c>
      <ns0:c r="I1081" s="7" t="n">
        <ns0:v>4212.418300653594</ns0:v>
      </ns0:c>
      <ns0:c r="J1081" s="7" t="n">
        <ns0:v>1684.967320261438</ns0:v>
      </ns0:c>
      <ns0:c r="K1081" s="7" t="n">
        <ns0:v>9</ns0:v>
      </ns0:c>
      <ns0:c r="L1081" s="7" t="n">
        <ns0:v>15</ns0:v>
      </ns0:c>
      <ns0:c r="M1081" s="7" t="n">
        <ns0:v>7752.308421220783</ns0:v>
      </ns0:c>
      <ns0:c r="N1081" s="7" t="n">
        <ns0:v>94449.38275157209</ns0:v>
      </ns0:c>
      <ns0:c r="O1081" s="7" t="n">
        <ns0:v>193756.2610034919</ns0:v>
      </ns0:c>
      <ns0:c r="P1081" s="7" t="n">
        <ns0:v>442023.4566332917</ns0:v>
      </ns0:c>
      <ns0:c r="Q1081" s="7" t="n">
        <ns0:v>1393092.239152491</ns0:v>
      </ns0:c>
      <ns0:c r="R1081" s="7" t="n">
        <ns0:v>4798832.977969689</ns0:v>
      </ns0:c>
    </ns0:row>
    <ns0:row r="1082" ht="24" customHeight="1">
      <ns0:c r="A1082" s="3" t="inlineStr">
        <ns0:is>
          <ns0:t>セット</ns0:t>
        </ns0:is>
      </ns0:c>
      <ns0:c r="B1082" s="3" t="inlineStr">
        <ns0:is>
          <ns0:t>G3三段階</ns0:t>
        </ns0:is>
      </ns0:c>
      <ns0:c r="C1082" s="3" t="inlineStr">
        <ns0:is>
          <ns0:t>D</ns0:t>
        </ns0:is>
      </ns0:c>
      <ns0:c r="D1082" s="4" t="n">
        <ns0:v>2</ns0:v>
      </ns0:c>
      <ns0:c r="E1082" s="4" t="n">
        <ns0:v>500</ns0:v>
      </ns0:c>
      <ns0:c r="F1082" s="6" t="n">
        <ns0:v>0.4</ns0:v>
      </ns0:c>
      <ns0:c r="G1082" s="4" t="n">
        <ns0:v>2</ns0:v>
      </ns0:c>
      <ns0:c r="H1082" s="7" t="n">
        <ns0:v>10707.62527233115</ns0:v>
      </ns0:c>
      <ns0:c r="I1082" s="7" t="n">
        <ns0:v>4212.418300653594</ns0:v>
      </ns0:c>
      <ns0:c r="J1082" s="7" t="n">
        <ns0:v>1684.967320261438</ns0:v>
      </ns0:c>
      <ns0:c r="K1082" s="18" t="inlineStr">
        <ns0:is>
          <ns0:t>範囲内なし</ns0:t>
        </ns0:is>
      </ns0:c>
      <ns0:c r="L1082" s="18" t="inlineStr">
        <ns0:is>
          <ns0:t>範囲内なし</ns0:t>
        </ns0:is>
      </ns0:c>
      <ns0:c r="M1082" s="7" t="n">
        <ns0:v>-59574.10052726709</ns0:v>
      </ns0:c>
      <ns0:c r="N1082" s="7" t="n">
        <ns0:v>-107529.8440938915</ns0:v>
      </ns0:c>
      <ns0:c r="O1082" s="7" t="n">
        <ns0:v>-142875.7837389474</ns0:v>
      </ns0:c>
      <ns0:c r="P1082" s="7" t="n">
        <ns0:v>-231240.6328515871</ns0:v>
      </ns0:c>
      <ns0:c r="Q1082" s="7" t="n">
        <ns0:v>-626700.0293021455</ns0:v>
      </ns0:c>
      <ns0:c r="R1082" s="7" t="n">
        <ns0:v>-1933807.916879099</ns0:v>
      </ns0:c>
    </ns0:row>
    <ns0:row r="1083" ht="24" customHeight="1">
      <ns0:c r="A1083" s="3" t="inlineStr">
        <ns0:is>
          <ns0:t>セット</ns0:t>
        </ns0:is>
      </ns0:c>
      <ns0:c r="B1083" s="3" t="inlineStr">
        <ns0:is>
          <ns0:t>G3三段階</ns0:t>
        </ns0:is>
      </ns0:c>
      <ns0:c r="C1083" s="3" t="inlineStr">
        <ns0:is>
          <ns0:t>D</ns0:t>
        </ns0:is>
      </ns0:c>
      <ns0:c r="D1083" s="4" t="n">
        <ns0:v>2</ns0:v>
      </ns0:c>
      <ns0:c r="E1083" s="4" t="n">
        <ns0:v>500</ns0:v>
      </ns0:c>
      <ns0:c r="F1083" s="6" t="n">
        <ns0:v>0.4</ns0:v>
      </ns0:c>
      <ns0:c r="G1083" s="4" t="n">
        <ns0:v>3</ns0:v>
      </ns0:c>
      <ns0:c r="H1083" s="7" t="n">
        <ns0:v>10707.62527233115</ns0:v>
      </ns0:c>
      <ns0:c r="I1083" s="7" t="n">
        <ns0:v>4212.418300653594</ns0:v>
      </ns0:c>
      <ns0:c r="J1083" s="7" t="n">
        <ns0:v>1684.967320261438</ns0:v>
      </ns0:c>
      <ns0:c r="K1083" s="7" t="n">
        <ns0:v>15</ns0:v>
      </ns0:c>
      <ns0:c r="L1083" s="7" t="n">
        <ns0:v>27</ns0:v>
      </ns0:c>
      <ns0:c r="M1083" s="7" t="n">
        <ns0:v>-3283.172097641382</ns0:v>
      </ns0:c>
      <ns0:c r="N1083" s="7" t="n">
        <ns0:v>61342.94119498562</ns0:v>
      </ns0:c>
      <ns0:c r="O1083" s="7" t="n">
        <ns0:v>138578.8584091811</ns0:v>
      </ns0:c>
      <ns0:c r="P1083" s="7" t="n">
        <ns0:v>331668.65144467</ns0:v>
      </ns0:c>
      <ns0:c r="Q1083" s="7" t="n">
        <ns0:v>1062027.823586626</ns0:v>
      </ns0:c>
      <ns0:c r="R1083" s="7" t="n">
        <ns0:v>3695284.926083473</ns0:v>
      </ns0:c>
    </ns0:row>
    <ns0:row r="1084" ht="24" customHeight="1">
      <ns0:c r="A1084" s="3" t="inlineStr">
        <ns0:is>
          <ns0:t>セット</ns0:t>
        </ns0:is>
      </ns0:c>
      <ns0:c r="B1084" s="3" t="inlineStr">
        <ns0:is>
          <ns0:t>G3三段階</ns0:t>
        </ns0:is>
      </ns0:c>
      <ns0:c r="C1084" s="3" t="inlineStr">
        <ns0:is>
          <ns0:t>D</ns0:t>
        </ns0:is>
      </ns0:c>
      <ns0:c r="D1084" s="4" t="n">
        <ns0:v>2</ns0:v>
      </ns0:c>
      <ns0:c r="E1084" s="4" t="n">
        <ns0:v>500</ns0:v>
      </ns0:c>
      <ns0:c r="F1084" s="6" t="n">
        <ns0:v>0.5</ns0:v>
      </ns0:c>
      <ns0:c r="G1084" s="4" t="n">
        <ns0:v>0</ns0:v>
      </ns0:c>
      <ns0:c r="H1084" s="7" t="n">
        <ns0:v>10707.62527233115</ns0:v>
      </ns0:c>
      <ns0:c r="I1084" s="7" t="n">
        <ns0:v>4212.418300653594</ns0:v>
      </ns0:c>
      <ns0:c r="J1084" s="7" t="n">
        <ns0:v>2106.209150326797</ns0:v>
      </ns0:c>
      <ns0:c r="K1084" s="7" t="n">
        <ns0:v>9</ns0:v>
      </ns0:c>
      <ns0:c r="L1084" s="7" t="n">
        <ns0:v>13</ns0:v>
      </ns0:c>
      <ns0:c r="M1084" s="7" t="n">
        <ns0:v>8928.359512869596</ns0:v>
      </ns0:c>
      <ns0:c r="N1084" s="7" t="n">
        <ns0:v>97977.53602651856</ns0:v>
      </ns0:c>
      <ns0:c r="O1084" s="7" t="n">
        <ns0:v>199636.5164617361</ns0:v>
      </ns0:c>
      <ns0:c r="P1084" s="7" t="n">
        <ns0:v>453783.9675497799</ns0:v>
      </ns0:c>
      <ns0:c r="Q1084" s="7" t="n">
        <ns0:v>1428373.771901955</ns0:v>
      </ns0:c>
      <ns0:c r="R1084" s="7" t="n">
        <ns0:v>4916438.08713457</ns0:v>
      </ns0:c>
    </ns0:row>
    <ns0:row r="1085" ht="24" customHeight="1">
      <ns0:c r="A1085" s="3" t="inlineStr">
        <ns0:is>
          <ns0:t>セット</ns0:t>
        </ns0:is>
      </ns0:c>
      <ns0:c r="B1085" s="3" t="inlineStr">
        <ns0:is>
          <ns0:t>G3三段階</ns0:t>
        </ns0:is>
      </ns0:c>
      <ns0:c r="C1085" s="3" t="inlineStr">
        <ns0:is>
          <ns0:t>D</ns0:t>
        </ns0:is>
      </ns0:c>
      <ns0:c r="D1085" s="4" t="n">
        <ns0:v>2</ns0:v>
      </ns0:c>
      <ns0:c r="E1085" s="4" t="n">
        <ns0:v>500</ns0:v>
      </ns0:c>
      <ns0:c r="F1085" s="6" t="n">
        <ns0:v>0.5</ns0:v>
      </ns0:c>
      <ns0:c r="G1085" s="4" t="n">
        <ns0:v>1</ns0:v>
      </ns0:c>
      <ns0:c r="H1085" s="7" t="n">
        <ns0:v>10707.62527233115</ns0:v>
      </ns0:c>
      <ns0:c r="I1085" s="7" t="n">
        <ns0:v>4212.418300653594</ns0:v>
      </ns0:c>
      <ns0:c r="J1085" s="7" t="n">
        <ns0:v>2106.209150326797</ns0:v>
      </ns0:c>
      <ns0:c r="K1085" s="7" t="n">
        <ns0:v>12</ns0:v>
      </ns0:c>
      <ns0:c r="L1085" s="7" t="n">
        <ns0:v>16</ns0:v>
      </ns0:c>
      <ns0:c r="M1085" s="7" t="n">
        <ns0:v>3539.890120567186</ns0:v>
      </ns0:c>
      <ns0:c r="N1085" s="7" t="n">
        <ns0:v>81812.12784961131</ns0:v>
      </ns0:c>
      <ns0:c r="O1085" s="7" t="n">
        <ns0:v>172694.169500224</ns0:v>
      </ns0:c>
      <ns0:c r="P1085" s="7" t="n">
        <ns0:v>399899.2736267558</ns0:v>
      </ns0:c>
      <ns0:c r="Q1085" s="7" t="n">
        <ns0:v>1266719.690132883</ns0:v>
      </ns0:c>
      <ns0:c r="R1085" s="7" t="n">
        <ns0:v>4377591.147904329</ns0:v>
      </ns0:c>
    </ns0:row>
    <ns0:row r="1086" ht="24" customHeight="1">
      <ns0:c r="A1086" s="3" t="inlineStr">
        <ns0:is>
          <ns0:t>セット</ns0:t>
        </ns0:is>
      </ns0:c>
      <ns0:c r="B1086" s="3" t="inlineStr">
        <ns0:is>
          <ns0:t>G3三段階</ns0:t>
        </ns0:is>
      </ns0:c>
      <ns0:c r="C1086" s="3" t="inlineStr">
        <ns0:is>
          <ns0:t>D</ns0:t>
        </ns0:is>
      </ns0:c>
      <ns0:c r="D1086" s="4" t="n">
        <ns0:v>2</ns0:v>
      </ns0:c>
      <ns0:c r="E1086" s="4" t="n">
        <ns0:v>500</ns0:v>
      </ns0:c>
      <ns0:c r="F1086" s="6" t="n">
        <ns0:v>0.5</ns0:v>
      </ns0:c>
      <ns0:c r="G1086" s="4" t="n">
        <ns0:v>2</ns0:v>
      </ns0:c>
      <ns0:c r="H1086" s="7" t="n">
        <ns0:v>10707.62527233115</ns0:v>
      </ns0:c>
      <ns0:c r="I1086" s="7" t="n">
        <ns0:v>4212.418300653594</ns0:v>
      </ns0:c>
      <ns0:c r="J1086" s="7" t="n">
        <ns0:v>2106.209150326797</ns0:v>
      </ns0:c>
      <ns0:c r="K1086" s="18" t="inlineStr">
        <ns0:is>
          <ns0:t>範囲内なし</ns0:t>
        </ns0:is>
      </ns0:c>
      <ns0:c r="L1086" s="18" t="inlineStr">
        <ns0:is>
          <ns0:t>範囲内なし</ns0:t>
        </ns0:is>
      </ns0:c>
      <ns0:c r="M1086" s="7" t="n">
        <ns0:v>-63786.51882792068</ns0:v>
      </ns0:c>
      <ns0:c r="N1086" s="7" t="n">
        <ns0:v>-120167.0989958523</ns0:v>
      </ns0:c>
      <ns0:c r="O1086" s="7" t="n">
        <ns0:v>-163937.8752422154</ns0:v>
      </ns0:c>
      <ns0:c r="P1086" s="7" t="n">
        <ns0:v>-273364.815858123</ns0:v>
      </ns0:c>
      <ns0:c r="Q1086" s="7" t="n">
        <ns0:v>-753072.5783217532</ns0:v>
      </ns0:c>
      <ns0:c r="R1086" s="7" t="n">
        <ns0:v>-2355049.746944459</ns0:v>
      </ns0:c>
    </ns0:row>
    <ns0:row r="1087" ht="24" customHeight="1">
      <ns0:c r="A1087" s="3" t="inlineStr">
        <ns0:is>
          <ns0:t>セット</ns0:t>
        </ns0:is>
      </ns0:c>
      <ns0:c r="B1087" s="3" t="inlineStr">
        <ns0:is>
          <ns0:t>G3三段階</ns0:t>
        </ns0:is>
      </ns0:c>
      <ns0:c r="C1087" s="3" t="inlineStr">
        <ns0:is>
          <ns0:t>D</ns0:t>
        </ns0:is>
      </ns0:c>
      <ns0:c r="D1087" s="4" t="n">
        <ns0:v>2</ns0:v>
      </ns0:c>
      <ns0:c r="E1087" s="4" t="n">
        <ns0:v>500</ns0:v>
      </ns0:c>
      <ns0:c r="F1087" s="6" t="n">
        <ns0:v>0.5</ns0:v>
      </ns0:c>
      <ns0:c r="G1087" s="4" t="n">
        <ns0:v>3</ns0:v>
      </ns0:c>
      <ns0:c r="H1087" s="7" t="n">
        <ns0:v>10707.62527233115</ns0:v>
      </ns0:c>
      <ns0:c r="I1087" s="7" t="n">
        <ns0:v>4212.418300653594</ns0:v>
      </ns0:c>
      <ns0:c r="J1087" s="7" t="n">
        <ns0:v>2106.209150326797</ns0:v>
      </ns0:c>
      <ns0:c r="K1087" s="7" t="n">
        <ns0:v>16</ns0:v>
      </ns0:c>
      <ns0:c r="L1087" s="7" t="n">
        <ns0:v>31</ns0:v>
      </ns0:c>
      <ns0:c r="M1087" s="7" t="n">
        <ns0:v>-7495.590398294979</ns0:v>
      </ns0:c>
      <ns0:c r="N1087" s="7" t="n">
        <ns0:v>48705.68629302484</ns0:v>
      </ns0:c>
      <ns0:c r="O1087" s="7" t="n">
        <ns0:v>117516.7669059132</ns0:v>
      </ns0:c>
      <ns0:c r="P1087" s="7" t="n">
        <ns0:v>289544.4684381342</ns0:v>
      </ns0:c>
      <ns0:c r="Q1087" s="7" t="n">
        <ns0:v>935655.274567018</ns0:v>
      </ns0:c>
      <ns0:c r="R1087" s="7" t="n">
        <ns0:v>3274043.096018113</ns0:v>
      </ns0:c>
    </ns0:row>
    <ns0:row r="1088" ht="24" customHeight="1">
      <ns0:c r="A1088" s="3" t="inlineStr">
        <ns0:is>
          <ns0:t>セット</ns0:t>
        </ns0:is>
      </ns0:c>
      <ns0:c r="B1088" s="3" t="inlineStr">
        <ns0:is>
          <ns0:t>G3三段階</ns0:t>
        </ns0:is>
      </ns0:c>
      <ns0:c r="C1088" s="3" t="inlineStr">
        <ns0:is>
          <ns0:t>D</ns0:t>
        </ns0:is>
      </ns0:c>
      <ns0:c r="D1088" s="4" t="n">
        <ns0:v>2</ns0:v>
      </ns0:c>
      <ns0:c r="E1088" s="4" t="n">
        <ns0:v>1000</ns0:v>
      </ns0:c>
      <ns0:c r="F1088" s="6" t="n">
        <ns0:v>0.3</ns0:v>
      </ns0:c>
      <ns0:c r="G1088" s="4" t="n">
        <ns0:v>0</ns0:v>
      </ns0:c>
      <ns0:c r="H1088" s="7" t="n">
        <ns0:v>10207.62527233115</ns0:v>
      </ns0:c>
      <ns0:c r="I1088" s="7" t="n">
        <ns0:v>3712.418300653595</ns0:v>
      </ns0:c>
      <ns0:c r="J1088" s="7" t="n">
        <ns0:v>1113.725490196079</ns0:v>
      </ns0:c>
      <ns0:c r="K1088" s="7" t="n">
        <ns0:v>9</ns0:v>
      </ns0:c>
      <ns0:c r="L1088" s="7" t="n">
        <ns0:v>12</ns0:v>
      </ns0:c>
      <ns0:c r="M1088" s="7" t="n">
        <ns0:v>14033.1961141768</ns0:v>
      </ns0:c>
      <ns0:c r="N1088" s="7" t="n">
        <ns0:v>113292.0458304401</ns0:v>
      </ns0:c>
      <ns0:c r="O1088" s="7" t="n">
        <ns0:v>225160.699468272</ns0:v>
      </ns0:c>
      <ns0:c r="P1088" s="7" t="n">
        <ns0:v>504832.3335628518</ns0:v>
      </ns0:c>
      <ns0:c r="Q1088" s="7" t="n">
        <ns0:v>1581518.869941172</ns0:v>
      </ns0:c>
      <ns0:c r="R1088" s="7" t="n">
        <ns0:v>5426921.747265289</ns0:v>
      </ns0:c>
    </ns0:row>
    <ns0:row r="1089" ht="24" customHeight="1">
      <ns0:c r="A1089" s="3" t="inlineStr">
        <ns0:is>
          <ns0:t>セット</ns0:t>
        </ns0:is>
      </ns0:c>
      <ns0:c r="B1089" s="3" t="inlineStr">
        <ns0:is>
          <ns0:t>G3三段階</ns0:t>
        </ns0:is>
      </ns0:c>
      <ns0:c r="C1089" s="3" t="inlineStr">
        <ns0:is>
          <ns0:t>D</ns0:t>
        </ns0:is>
      </ns0:c>
      <ns0:c r="D1089" s="4" t="n">
        <ns0:v>2</ns0:v>
      </ns0:c>
      <ns0:c r="E1089" s="4" t="n">
        <ns0:v>1000</ns0:v>
      </ns0:c>
      <ns0:c r="F1089" s="6" t="n">
        <ns0:v>0.3</ns0:v>
      </ns0:c>
      <ns0:c r="G1089" s="4" t="n">
        <ns0:v>1</ns0:v>
      </ns0:c>
      <ns0:c r="H1089" s="7" t="n">
        <ns0:v>10207.62527233115</ns0:v>
      </ns0:c>
      <ns0:c r="I1089" s="7" t="n">
        <ns0:v>3712.418300653595</ns0:v>
      </ns0:c>
      <ns0:c r="J1089" s="7" t="n">
        <ns0:v>1113.725490196079</ns0:v>
      </ns0:c>
      <ns0:c r="K1089" s="7" t="n">
        <ns0:v>9</ns0:v>
      </ns0:c>
      <ns0:c r="L1089" s="7" t="n">
        <ns0:v>15</ns0:v>
      </ns0:c>
      <ns0:c r="M1089" s="7" t="n">
        <ns0:v>8644.726721874395</ns0:v>
      </ns0:c>
      <ns0:c r="N1089" s="7" t="n">
        <ns0:v>97126.63765353285</ns0:v>
      </ns0:c>
      <ns0:c r="O1089" s="7" t="n">
        <ns0:v>198218.35250676</ns0:v>
      </ns0:c>
      <ns0:c r="P1089" s="7" t="n">
        <ns0:v>450947.6396398278</ns0:v>
      </ns0:c>
      <ns0:c r="Q1089" s="7" t="n">
        <ns0:v>1419864.788172099</ns0:v>
      </ns0:c>
      <ns0:c r="R1089" s="7" t="n">
        <ns0:v>4888074.808035048</ns0:v>
      </ns0:c>
    </ns0:row>
    <ns0:row r="1090" ht="24" customHeight="1">
      <ns0:c r="A1090" s="3" t="inlineStr">
        <ns0:is>
          <ns0:t>セット</ns0:t>
        </ns0:is>
      </ns0:c>
      <ns0:c r="B1090" s="3" t="inlineStr">
        <ns0:is>
          <ns0:t>G3三段階</ns0:t>
        </ns0:is>
      </ns0:c>
      <ns0:c r="C1090" s="3" t="inlineStr">
        <ns0:is>
          <ns0:t>D</ns0:t>
        </ns0:is>
      </ns0:c>
      <ns0:c r="D1090" s="4" t="n">
        <ns0:v>2</ns0:v>
      </ns0:c>
      <ns0:c r="E1090" s="4" t="n">
        <ns0:v>1000</ns0:v>
      </ns0:c>
      <ns0:c r="F1090" s="6" t="n">
        <ns0:v>0.3</ns0:v>
      </ns0:c>
      <ns0:c r="G1090" s="4" t="n">
        <ns0:v>2</ns0:v>
      </ns0:c>
      <ns0:c r="H1090" s="7" t="n">
        <ns0:v>10207.62527233115</ns0:v>
      </ns0:c>
      <ns0:c r="I1090" s="7" t="n">
        <ns0:v>3712.418300653595</ns0:v>
      </ns0:c>
      <ns0:c r="J1090" s="7" t="n">
        <ns0:v>1113.725490196079</ns0:v>
      </ns0:c>
      <ns0:c r="K1090" s="18" t="inlineStr">
        <ns0:is>
          <ns0:t>範囲内なし</ns0:t>
        </ns0:is>
      </ns0:c>
      <ns0:c r="L1090" s="18" t="inlineStr">
        <ns0:is>
          <ns0:t>範囲内なし</ns0:t>
        </ns0:is>
      </ns0:c>
      <ns0:c r="M1090" s="7" t="n">
        <ns0:v>-58681.68222661348</ns0:v>
      </ns0:c>
      <ns0:c r="N1090" s="7" t="n">
        <ns0:v>-104852.5891919308</ns0:v>
      </ns0:c>
      <ns0:c r="O1090" s="7" t="n">
        <ns0:v>-138413.6922356794</ns0:v>
      </ns0:c>
      <ns0:c r="P1090" s="7" t="n">
        <ns0:v>-222316.4498450511</ns0:v>
      </ns0:c>
      <ns0:c r="Q1090" s="7" t="n">
        <ns0:v>-599927.4802825371</ns0:v>
      </ns0:c>
      <ns0:c r="R1090" s="7" t="n">
        <ns0:v>-1844566.08681374</ns0:v>
      </ns0:c>
    </ns0:row>
    <ns0:row r="1091" ht="24" customHeight="1">
      <ns0:c r="A1091" s="3" t="inlineStr">
        <ns0:is>
          <ns0:t>セット</ns0:t>
        </ns0:is>
      </ns0:c>
      <ns0:c r="B1091" s="3" t="inlineStr">
        <ns0:is>
          <ns0:t>G3三段階</ns0:t>
        </ns0:is>
      </ns0:c>
      <ns0:c r="C1091" s="3" t="inlineStr">
        <ns0:is>
          <ns0:t>D</ns0:t>
        </ns0:is>
      </ns0:c>
      <ns0:c r="D1091" s="4" t="n">
        <ns0:v>2</ns0:v>
      </ns0:c>
      <ns0:c r="E1091" s="4" t="n">
        <ns0:v>1000</ns0:v>
      </ns0:c>
      <ns0:c r="F1091" s="6" t="n">
        <ns0:v>0.3</ns0:v>
      </ns0:c>
      <ns0:c r="G1091" s="4" t="n">
        <ns0:v>3</ns0:v>
      </ns0:c>
      <ns0:c r="H1091" s="7" t="n">
        <ns0:v>10207.62527233115</ns0:v>
      </ns0:c>
      <ns0:c r="I1091" s="7" t="n">
        <ns0:v>3712.418300653595</ns0:v>
      </ns0:c>
      <ns0:c r="J1091" s="7" t="n">
        <ns0:v>1113.725490196079</ns0:v>
      </ns0:c>
      <ns0:c r="K1091" s="7" t="n">
        <ns0:v>14</ns0:v>
      </ns0:c>
      <ns0:c r="L1091" s="7" t="n">
        <ns0:v>26</ns0:v>
      </ns0:c>
      <ns0:c r="M1091" s="7" t="n">
        <ns0:v>-2390.75379698777</ns0:v>
      </ns0:c>
      <ns0:c r="N1091" s="7" t="n">
        <ns0:v>64020.19609694638</ns0:v>
      </ns0:c>
      <ns0:c r="O1091" s="7" t="n">
        <ns0:v>143040.9499124491</ns0:v>
      </ns0:c>
      <ns0:c r="P1091" s="7" t="n">
        <ns0:v>340592.8344512061</ns0:v>
      </ns0:c>
      <ns0:c r="Q1091" s="7" t="n">
        <ns0:v>1088800.372606234</ns0:v>
      </ns0:c>
      <ns0:c r="R1091" s="7" t="n">
        <ns0:v>3784526.756148832</ns0:v>
      </ns0:c>
    </ns0:row>
    <ns0:row r="1092" ht="24" customHeight="1">
      <ns0:c r="A1092" s="3" t="inlineStr">
        <ns0:is>
          <ns0:t>セット</ns0:t>
        </ns0:is>
      </ns0:c>
      <ns0:c r="B1092" s="3" t="inlineStr">
        <ns0:is>
          <ns0:t>G3三段階</ns0:t>
        </ns0:is>
      </ns0:c>
      <ns0:c r="C1092" s="3" t="inlineStr">
        <ns0:is>
          <ns0:t>D</ns0:t>
        </ns0:is>
      </ns0:c>
      <ns0:c r="D1092" s="4" t="n">
        <ns0:v>2</ns0:v>
      </ns0:c>
      <ns0:c r="E1092" s="4" t="n">
        <ns0:v>1000</ns0:v>
      </ns0:c>
      <ns0:c r="F1092" s="6" t="n">
        <ns0:v>0.4</ns0:v>
      </ns0:c>
      <ns0:c r="G1092" s="4" t="n">
        <ns0:v>0</ns0:v>
      </ns0:c>
      <ns0:c r="H1092" s="7" t="n">
        <ns0:v>10207.62527233115</ns0:v>
      </ns0:c>
      <ns0:c r="I1092" s="7" t="n">
        <ns0:v>3712.418300653595</ns0:v>
      </ns0:c>
      <ns0:c r="J1092" s="7" t="n">
        <ns0:v>1484.967320261438</ns0:v>
      </ns0:c>
      <ns0:c r="K1092" s="7" t="n">
        <ns0:v>9</ns0:v>
      </ns0:c>
      <ns0:c r="L1092" s="7" t="n">
        <ns0:v>13</ns0:v>
      </ns0:c>
      <ns0:c r="M1092" s="7" t="n">
        <ns0:v>10320.7778135232</ns0:v>
      </ns0:c>
      <ns0:c r="N1092" s="7" t="n">
        <ns0:v>102154.7909284793</ns0:v>
      </ns0:c>
      <ns0:c r="O1092" s="7" t="n">
        <ns0:v>206598.6079650041</ns0:v>
      </ns0:c>
      <ns0:c r="P1092" s="7" t="n">
        <ns0:v>467708.150556316</ns0:v>
      </ns0:c>
      <ns0:c r="Q1092" s="7" t="n">
        <ns0:v>1470146.320921564</ns0:v>
      </ns0:c>
      <ns0:c r="R1092" s="7" t="n">
        <ns0:v>5055679.917199928</ns0:v>
      </ns0:c>
    </ns0:row>
    <ns0:row r="1093" ht="24" customHeight="1">
      <ns0:c r="A1093" s="3" t="inlineStr">
        <ns0:is>
          <ns0:t>セット</ns0:t>
        </ns0:is>
      </ns0:c>
      <ns0:c r="B1093" s="3" t="inlineStr">
        <ns0:is>
          <ns0:t>G3三段階</ns0:t>
        </ns0:is>
      </ns0:c>
      <ns0:c r="C1093" s="3" t="inlineStr">
        <ns0:is>
          <ns0:t>D</ns0:t>
        </ns0:is>
      </ns0:c>
      <ns0:c r="D1093" s="4" t="n">
        <ns0:v>2</ns0:v>
      </ns0:c>
      <ns0:c r="E1093" s="4" t="n">
        <ns0:v>1000</ns0:v>
      </ns0:c>
      <ns0:c r="F1093" s="6" t="n">
        <ns0:v>0.4</ns0:v>
      </ns0:c>
      <ns0:c r="G1093" s="4" t="n">
        <ns0:v>1</ns0:v>
      </ns0:c>
      <ns0:c r="H1093" s="7" t="n">
        <ns0:v>10207.62527233115</ns0:v>
      </ns0:c>
      <ns0:c r="I1093" s="7" t="n">
        <ns0:v>3712.418300653595</ns0:v>
      </ns0:c>
      <ns0:c r="J1093" s="7" t="n">
        <ns0:v>1484.967320261438</ns0:v>
      </ns0:c>
      <ns0:c r="K1093" s="7" t="n">
        <ns0:v>12</ns0:v>
      </ns0:c>
      <ns0:c r="L1093" s="7" t="n">
        <ns0:v>16</ns0:v>
      </ns0:c>
      <ns0:c r="M1093" s="7" t="n">
        <ns0:v>4932.308421220794</ns0:v>
      </ns0:c>
      <ns0:c r="N1093" s="7" t="n">
        <ns0:v>85989.38275157212</ns0:v>
      </ns0:c>
      <ns0:c r="O1093" s="7" t="n">
        <ns0:v>179656.2610034921</ns0:v>
      </ns0:c>
      <ns0:c r="P1093" s="7" t="n">
        <ns0:v>413823.4566332919</ns0:v>
      </ns0:c>
      <ns0:c r="Q1093" s="7" t="n">
        <ns0:v>1308492.239152491</ns0:v>
      </ns0:c>
      <ns0:c r="R1093" s="7" t="n">
        <ns0:v>4516832.977969687</ns0:v>
      </ns0:c>
    </ns0:row>
    <ns0:row r="1094" ht="24" customHeight="1">
      <ns0:c r="A1094" s="3" t="inlineStr">
        <ns0:is>
          <ns0:t>セット</ns0:t>
        </ns0:is>
      </ns0:c>
      <ns0:c r="B1094" s="3" t="inlineStr">
        <ns0:is>
          <ns0:t>G3三段階</ns0:t>
        </ns0:is>
      </ns0:c>
      <ns0:c r="C1094" s="3" t="inlineStr">
        <ns0:is>
          <ns0:t>D</ns0:t>
        </ns0:is>
      </ns0:c>
      <ns0:c r="D1094" s="4" t="n">
        <ns0:v>2</ns0:v>
      </ns0:c>
      <ns0:c r="E1094" s="4" t="n">
        <ns0:v>1000</ns0:v>
      </ns0:c>
      <ns0:c r="F1094" s="6" t="n">
        <ns0:v>0.4</ns0:v>
      </ns0:c>
      <ns0:c r="G1094" s="4" t="n">
        <ns0:v>2</ns0:v>
      </ns0:c>
      <ns0:c r="H1094" s="7" t="n">
        <ns0:v>10207.62527233115</ns0:v>
      </ns0:c>
      <ns0:c r="I1094" s="7" t="n">
        <ns0:v>3712.418300653595</ns0:v>
      </ns0:c>
      <ns0:c r="J1094" s="7" t="n">
        <ns0:v>1484.967320261438</ns0:v>
      </ns0:c>
      <ns0:c r="K1094" s="18" t="inlineStr">
        <ns0:is>
          <ns0:t>範囲内なし</ns0:t>
        </ns0:is>
      </ns0:c>
      <ns0:c r="L1094" s="18" t="inlineStr">
        <ns0:is>
          <ns0:t>範囲内なし</ns0:t>
        </ns0:is>
      </ns0:c>
      <ns0:c r="M1094" s="7" t="n">
        <ns0:v>-62394.10052726708</ns0:v>
      </ns0:c>
      <ns0:c r="N1094" s="7" t="n">
        <ns0:v>-115989.8440938915</ns0:v>
      </ns0:c>
      <ns0:c r="O1094" s="7" t="n">
        <ns0:v>-156975.7837389473</ns0:v>
      </ns0:c>
      <ns0:c r="P1094" s="7" t="n">
        <ns0:v>-259440.6328515868</ns0:v>
      </ns0:c>
      <ns0:c r="Q1094" s="7" t="n">
        <ns0:v>-711300.029302145</ns0:v>
      </ns0:c>
      <ns0:c r="R1094" s="7" t="n">
        <ns0:v>-2215807.916879101</ns0:v>
      </ns0:c>
    </ns0:row>
    <ns0:row r="1095" ht="24" customHeight="1">
      <ns0:c r="A1095" s="3" t="inlineStr">
        <ns0:is>
          <ns0:t>セット</ns0:t>
        </ns0:is>
      </ns0:c>
      <ns0:c r="B1095" s="3" t="inlineStr">
        <ns0:is>
          <ns0:t>G3三段階</ns0:t>
        </ns0:is>
      </ns0:c>
      <ns0:c r="C1095" s="3" t="inlineStr">
        <ns0:is>
          <ns0:t>D</ns0:t>
        </ns0:is>
      </ns0:c>
      <ns0:c r="D1095" s="4" t="n">
        <ns0:v>2</ns0:v>
      </ns0:c>
      <ns0:c r="E1095" s="4" t="n">
        <ns0:v>1000</ns0:v>
      </ns0:c>
      <ns0:c r="F1095" s="6" t="n">
        <ns0:v>0.4</ns0:v>
      </ns0:c>
      <ns0:c r="G1095" s="4" t="n">
        <ns0:v>3</ns0:v>
      </ns0:c>
      <ns0:c r="H1095" s="7" t="n">
        <ns0:v>10207.62527233115</ns0:v>
      </ns0:c>
      <ns0:c r="I1095" s="7" t="n">
        <ns0:v>3712.418300653595</ns0:v>
      </ns0:c>
      <ns0:c r="J1095" s="7" t="n">
        <ns0:v>1484.967320261438</ns0:v>
      </ns0:c>
      <ns0:c r="K1095" s="7" t="n">
        <ns0:v>16</ns0:v>
      </ns0:c>
      <ns0:c r="L1095" s="7" t="n">
        <ns0:v>30</ns0:v>
      </ns0:c>
      <ns0:c r="M1095" s="7" t="n">
        <ns0:v>-6103.172097641367</ns0:v>
      </ns0:c>
      <ns0:c r="N1095" s="7" t="n">
        <ns0:v>52882.94119498562</ns0:v>
      </ns0:c>
      <ns0:c r="O1095" s="7" t="n">
        <ns0:v>124478.8584091812</ns0:v>
      </ns0:c>
      <ns0:c r="P1095" s="7" t="n">
        <ns0:v>303468.6514446703</ns0:v>
      </ns0:c>
      <ns0:c r="Q1095" s="7" t="n">
        <ns0:v>977427.8235866264</ns0:v>
      </ns0:c>
      <ns0:c r="R1095" s="7" t="n">
        <ns0:v>3413284.926083472</ns0:v>
      </ns0:c>
    </ns0:row>
    <ns0:row r="1096" ht="24" customHeight="1">
      <ns0:c r="A1096" s="3" t="inlineStr">
        <ns0:is>
          <ns0:t>セット</ns0:t>
        </ns0:is>
      </ns0:c>
      <ns0:c r="B1096" s="3" t="inlineStr">
        <ns0:is>
          <ns0:t>G3三段階</ns0:t>
        </ns0:is>
      </ns0:c>
      <ns0:c r="C1096" s="3" t="inlineStr">
        <ns0:is>
          <ns0:t>D</ns0:t>
        </ns0:is>
      </ns0:c>
      <ns0:c r="D1096" s="4" t="n">
        <ns0:v>2</ns0:v>
      </ns0:c>
      <ns0:c r="E1096" s="4" t="n">
        <ns0:v>1000</ns0:v>
      </ns0:c>
      <ns0:c r="F1096" s="6" t="n">
        <ns0:v>0.5</ns0:v>
      </ns0:c>
      <ns0:c r="G1096" s="4" t="n">
        <ns0:v>0</ns0:v>
      </ns0:c>
      <ns0:c r="H1096" s="7" t="n">
        <ns0:v>10207.62527233115</ns0:v>
      </ns0:c>
      <ns0:c r="I1096" s="7" t="n">
        <ns0:v>3712.418300653595</ns0:v>
      </ns0:c>
      <ns0:c r="J1096" s="7" t="n">
        <ns0:v>1856.209150326798</ns0:v>
      </ns0:c>
      <ns0:c r="K1096" s="7" t="n">
        <ns0:v>12</ns0:v>
      </ns0:c>
      <ns0:c r="L1096" s="7" t="n">
        <ns0:v>13</ns0:v>
      </ns0:c>
      <ns0:c r="M1096" s="7" t="n">
        <ns0:v>6608.359512869607</ns0:v>
      </ns0:c>
      <ns0:c r="N1096" s="7" t="n">
        <ns0:v>91017.53602651853</ns0:v>
      </ns0:c>
      <ns0:c r="O1096" s="7" t="n">
        <ns0:v>188036.5164617361</ns0:v>
      </ns0:c>
      <ns0:c r="P1096" s="7" t="n">
        <ns0:v>430583.96754978</ns0:v>
      </ns0:c>
      <ns0:c r="Q1096" s="7" t="n">
        <ns0:v>1358773.771901956</ns0:v>
      </ns0:c>
      <ns0:c r="R1096" s="7" t="n">
        <ns0:v>4684438.087134571</ns0:v>
      </ns0:c>
    </ns0:row>
    <ns0:row r="1097" ht="24" customHeight="1">
      <ns0:c r="A1097" s="3" t="inlineStr">
        <ns0:is>
          <ns0:t>セット</ns0:t>
        </ns0:is>
      </ns0:c>
      <ns0:c r="B1097" s="3" t="inlineStr">
        <ns0:is>
          <ns0:t>G3三段階</ns0:t>
        </ns0:is>
      </ns0:c>
      <ns0:c r="C1097" s="3" t="inlineStr">
        <ns0:is>
          <ns0:t>D</ns0:t>
        </ns0:is>
      </ns0:c>
      <ns0:c r="D1097" s="4" t="n">
        <ns0:v>2</ns0:v>
      </ns0:c>
      <ns0:c r="E1097" s="4" t="n">
        <ns0:v>1000</ns0:v>
      </ns0:c>
      <ns0:c r="F1097" s="6" t="n">
        <ns0:v>0.5</ns0:v>
      </ns0:c>
      <ns0:c r="G1097" s="4" t="n">
        <ns0:v>1</ns0:v>
      </ns0:c>
      <ns0:c r="H1097" s="7" t="n">
        <ns0:v>10207.62527233115</ns0:v>
      </ns0:c>
      <ns0:c r="I1097" s="7" t="n">
        <ns0:v>3712.418300653595</ns0:v>
      </ns0:c>
      <ns0:c r="J1097" s="7" t="n">
        <ns0:v>1856.209150326798</ns0:v>
      </ns0:c>
      <ns0:c r="K1097" s="7" t="n">
        <ns0:v>13</ns0:v>
      </ns0:c>
      <ns0:c r="L1097" s="7" t="n">
        <ns0:v>17</ns0:v>
      </ns0:c>
      <ns0:c r="M1097" s="7" t="n">
        <ns0:v>1219.890120567197</ns0:v>
      </ns0:c>
      <ns0:c r="N1097" s="7" t="n">
        <ns0:v>74852.12784961131</ns0:v>
      </ns0:c>
      <ns0:c r="O1097" s="7" t="n">
        <ns0:v>161094.1695002241</ns0:v>
      </ns0:c>
      <ns0:c r="P1097" s="7" t="n">
        <ns0:v>376699.2736267559</ns0:v>
      </ns0:c>
      <ns0:c r="Q1097" s="7" t="n">
        <ns0:v>1197119.690132883</ns0:v>
      </ns0:c>
      <ns0:c r="R1097" s="7" t="n">
        <ns0:v>4145591.14790433</ns0:v>
      </ns0:c>
    </ns0:row>
    <ns0:row r="1098" ht="24" customHeight="1">
      <ns0:c r="A1098" s="3" t="inlineStr">
        <ns0:is>
          <ns0:t>セット</ns0:t>
        </ns0:is>
      </ns0:c>
      <ns0:c r="B1098" s="3" t="inlineStr">
        <ns0:is>
          <ns0:t>G3三段階</ns0:t>
        </ns0:is>
      </ns0:c>
      <ns0:c r="C1098" s="3" t="inlineStr">
        <ns0:is>
          <ns0:t>D</ns0:t>
        </ns0:is>
      </ns0:c>
      <ns0:c r="D1098" s="4" t="n">
        <ns0:v>2</ns0:v>
      </ns0:c>
      <ns0:c r="E1098" s="4" t="n">
        <ns0:v>1000</ns0:v>
      </ns0:c>
      <ns0:c r="F1098" s="6" t="n">
        <ns0:v>0.5</ns0:v>
      </ns0:c>
      <ns0:c r="G1098" s="4" t="n">
        <ns0:v>2</ns0:v>
      </ns0:c>
      <ns0:c r="H1098" s="7" t="n">
        <ns0:v>10207.62527233115</ns0:v>
      </ns0:c>
      <ns0:c r="I1098" s="7" t="n">
        <ns0:v>3712.418300653595</ns0:v>
      </ns0:c>
      <ns0:c r="J1098" s="7" t="n">
        <ns0:v>1856.209150326798</ns0:v>
      </ns0:c>
      <ns0:c r="K1098" s="18" t="inlineStr">
        <ns0:is>
          <ns0:t>範囲内なし</ns0:t>
        </ns0:is>
      </ns0:c>
      <ns0:c r="L1098" s="18" t="inlineStr">
        <ns0:is>
          <ns0:t>範囲内なし</ns0:t>
        </ns0:is>
      </ns0:c>
      <ns0:c r="M1098" s="7" t="n">
        <ns0:v>-66106.51882792069</ns0:v>
      </ns0:c>
      <ns0:c r="N1098" s="7" t="n">
        <ns0:v>-127127.0989958523</ns0:v>
      </ns0:c>
      <ns0:c r="O1098" s="7" t="n">
        <ns0:v>-175537.8752422153</ns0:v>
      </ns0:c>
      <ns0:c r="P1098" s="7" t="n">
        <ns0:v>-296564.8158581229</ns0:v>
      </ns0:c>
      <ns0:c r="Q1098" s="7" t="n">
        <ns0:v>-822672.5783217527</ns0:v>
      </ns0:c>
      <ns0:c r="R1098" s="7" t="n">
        <ns0:v>-2587049.746944458</ns0:v>
      </ns0:c>
    </ns0:row>
    <ns0:row r="1099" ht="24" customHeight="1">
      <ns0:c r="A1099" s="3" t="inlineStr">
        <ns0:is>
          <ns0:t>セット</ns0:t>
        </ns0:is>
      </ns0:c>
      <ns0:c r="B1099" s="3" t="inlineStr">
        <ns0:is>
          <ns0:t>G3三段階</ns0:t>
        </ns0:is>
      </ns0:c>
      <ns0:c r="C1099" s="3" t="inlineStr">
        <ns0:is>
          <ns0:t>D</ns0:t>
        </ns0:is>
      </ns0:c>
      <ns0:c r="D1099" s="4" t="n">
        <ns0:v>2</ns0:v>
      </ns0:c>
      <ns0:c r="E1099" s="4" t="n">
        <ns0:v>1000</ns0:v>
      </ns0:c>
      <ns0:c r="F1099" s="6" t="n">
        <ns0:v>0.5</ns0:v>
      </ns0:c>
      <ns0:c r="G1099" s="4" t="n">
        <ns0:v>3</ns0:v>
      </ns0:c>
      <ns0:c r="H1099" s="7" t="n">
        <ns0:v>10207.62527233115</ns0:v>
      </ns0:c>
      <ns0:c r="I1099" s="7" t="n">
        <ns0:v>3712.418300653595</ns0:v>
      </ns0:c>
      <ns0:c r="J1099" s="7" t="n">
        <ns0:v>1856.209150326798</ns0:v>
      </ns0:c>
      <ns0:c r="K1099" s="7" t="n">
        <ns0:v>17</ns0:v>
      </ns0:c>
      <ns0:c r="L1099" s="7" t="n">
        <ns0:v>34</ns0:v>
      </ns0:c>
      <ns0:c r="M1099" s="7" t="n">
        <ns0:v>-9815.590398294964</ns0:v>
      </ns0:c>
      <ns0:c r="N1099" s="7" t="n">
        <ns0:v>41745.68629302481</ns0:v>
      </ns0:c>
      <ns0:c r="O1099" s="7" t="n">
        <ns0:v>105916.7669059132</ns0:v>
      </ns0:c>
      <ns0:c r="P1099" s="7" t="n">
        <ns0:v>266344.4684381343</ns0:v>
      </ns0:c>
      <ns0:c r="Q1099" s="7" t="n">
        <ns0:v>866055.2745670187</ns0:v>
      </ns0:c>
      <ns0:c r="R1099" s="7" t="n">
        <ns0:v>3042043.096018113</ns0:v>
      </ns0:c>
    </ns0:row>
    <ns0:row r="1100" ht="24" customHeight="1">
      <ns0:c r="A1100" s="3" t="inlineStr">
        <ns0:is>
          <ns0:t>セット</ns0:t>
        </ns0:is>
      </ns0:c>
      <ns0:c r="B1100" s="3" t="inlineStr">
        <ns0:is>
          <ns0:t>G3三段階</ns0:t>
        </ns0:is>
      </ns0:c>
      <ns0:c r="C1100" s="3" t="inlineStr">
        <ns0:is>
          <ns0:t>D</ns0:t>
        </ns0:is>
      </ns0:c>
      <ns0:c r="D1100" s="4" t="n">
        <ns0:v>2</ns0:v>
      </ns0:c>
      <ns0:c r="E1100" s="4" t="n">
        <ns0:v>1500</ns0:v>
      </ns0:c>
      <ns0:c r="F1100" s="6" t="n">
        <ns0:v>0.3</ns0:v>
      </ns0:c>
      <ns0:c r="G1100" s="4" t="n">
        <ns0:v>0</ns0:v>
      </ns0:c>
      <ns0:c r="H1100" s="7" t="n">
        <ns0:v>9707.625272331154</ns0:v>
      </ns0:c>
      <ns0:c r="I1100" s="7" t="n">
        <ns0:v>3212.418300653595</ns0:v>
      </ns0:c>
      <ns0:c r="J1100" s="7" t="n">
        <ns0:v>963.7254901960783</ns0:v>
      </ns0:c>
      <ns0:c r="K1100" s="7" t="n">
        <ns0:v>9</ns0:v>
      </ns0:c>
      <ns0:c r="L1100" s="7" t="n">
        <ns0:v>13</ns0:v>
      </ns0:c>
      <ns0:c r="M1100" s="7" t="n">
        <ns0:v>10713.1961141768</ns0:v>
      </ns0:c>
      <ns0:c r="N1100" s="7" t="n">
        <ns0:v>103332.0458304401</ns0:v>
      </ns0:c>
      <ns0:c r="O1100" s="7" t="n">
        <ns0:v>208560.699468272</ns0:v>
      </ns0:c>
      <ns0:c r="P1100" s="7" t="n">
        <ns0:v>471632.3335628519</ns0:v>
      </ns0:c>
      <ns0:c r="Q1100" s="7" t="n">
        <ns0:v>1481918.869941171</ns0:v>
      </ns0:c>
      <ns0:c r="R1100" s="7" t="n">
        <ns0:v>5094921.747265289</ns0:v>
      </ns0:c>
    </ns0:row>
    <ns0:row r="1101" ht="24" customHeight="1">
      <ns0:c r="A1101" s="3" t="inlineStr">
        <ns0:is>
          <ns0:t>セット</ns0:t>
        </ns0:is>
      </ns0:c>
      <ns0:c r="B1101" s="3" t="inlineStr">
        <ns0:is>
          <ns0:t>G3三段階</ns0:t>
        </ns0:is>
      </ns0:c>
      <ns0:c r="C1101" s="3" t="inlineStr">
        <ns0:is>
          <ns0:t>D</ns0:t>
        </ns0:is>
      </ns0:c>
      <ns0:c r="D1101" s="4" t="n">
        <ns0:v>2</ns0:v>
      </ns0:c>
      <ns0:c r="E1101" s="4" t="n">
        <ns0:v>1500</ns0:v>
      </ns0:c>
      <ns0:c r="F1101" s="6" t="n">
        <ns0:v>0.3</ns0:v>
      </ns0:c>
      <ns0:c r="G1101" s="4" t="n">
        <ns0:v>1</ns0:v>
      </ns0:c>
      <ns0:c r="H1101" s="7" t="n">
        <ns0:v>9707.625272331154</ns0:v>
      </ns0:c>
      <ns0:c r="I1101" s="7" t="n">
        <ns0:v>3212.418300653595</ns0:v>
      </ns0:c>
      <ns0:c r="J1101" s="7" t="n">
        <ns0:v>963.7254901960783</ns0:v>
      </ns0:c>
      <ns0:c r="K1101" s="7" t="n">
        <ns0:v>12</ns0:v>
      </ns0:c>
      <ns0:c r="L1101" s="7" t="n">
        <ns0:v>15</ns0:v>
      </ns0:c>
      <ns0:c r="M1101" s="7" t="n">
        <ns0:v>5324.726721874387</ns0:v>
      </ns0:c>
      <ns0:c r="N1101" s="7" t="n">
        <ns0:v>87166.63765353287</ns0:v>
      </ns0:c>
      <ns0:c r="O1101" s="7" t="n">
        <ns0:v>181618.35250676</ns0:v>
      </ns0:c>
      <ns0:c r="P1101" s="7" t="n">
        <ns0:v>417747.6396398279</ns0:v>
      </ns0:c>
      <ns0:c r="Q1101" s="7" t="n">
        <ns0:v>1320264.788172099</ns0:v>
      </ns0:c>
      <ns0:c r="R1101" s="7" t="n">
        <ns0:v>4556074.808035048</ns0:v>
      </ns0:c>
    </ns0:row>
    <ns0:row r="1102" ht="24" customHeight="1">
      <ns0:c r="A1102" s="3" t="inlineStr">
        <ns0:is>
          <ns0:t>セット</ns0:t>
        </ns0:is>
      </ns0:c>
      <ns0:c r="B1102" s="3" t="inlineStr">
        <ns0:is>
          <ns0:t>G3三段階</ns0:t>
        </ns0:is>
      </ns0:c>
      <ns0:c r="C1102" s="3" t="inlineStr">
        <ns0:is>
          <ns0:t>D</ns0:t>
        </ns0:is>
      </ns0:c>
      <ns0:c r="D1102" s="4" t="n">
        <ns0:v>2</ns0:v>
      </ns0:c>
      <ns0:c r="E1102" s="4" t="n">
        <ns0:v>1500</ns0:v>
      </ns0:c>
      <ns0:c r="F1102" s="6" t="n">
        <ns0:v>0.3</ns0:v>
      </ns0:c>
      <ns0:c r="G1102" s="4" t="n">
        <ns0:v>2</ns0:v>
      </ns0:c>
      <ns0:c r="H1102" s="7" t="n">
        <ns0:v>9707.625272331154</ns0:v>
      </ns0:c>
      <ns0:c r="I1102" s="7" t="n">
        <ns0:v>3212.418300653595</ns0:v>
      </ns0:c>
      <ns0:c r="J1102" s="7" t="n">
        <ns0:v>963.7254901960783</ns0:v>
      </ns0:c>
      <ns0:c r="K1102" s="18" t="inlineStr">
        <ns0:is>
          <ns0:t>範囲内なし</ns0:t>
        </ns0:is>
      </ns0:c>
      <ns0:c r="L1102" s="18" t="inlineStr">
        <ns0:is>
          <ns0:t>範囲内なし</ns0:t>
        </ns0:is>
      </ns0:c>
      <ns0:c r="M1102" s="7" t="n">
        <ns0:v>-62001.6822266135</ns0:v>
      </ns0:c>
      <ns0:c r="N1102" s="7" t="n">
        <ns0:v>-114812.5891919307</ns0:v>
      </ns0:c>
      <ns0:c r="O1102" s="7" t="n">
        <ns0:v>-155013.6922356794</ns0:v>
      </ns0:c>
      <ns0:c r="P1102" s="7" t="n">
        <ns0:v>-255516.449845051</ns0:v>
      </ns0:c>
      <ns0:c r="Q1102" s="7" t="n">
        <ns0:v>-699527.4802825373</ns0:v>
      </ns0:c>
      <ns0:c r="R1102" s="7" t="n">
        <ns0:v>-2176566.08681374</ns0:v>
      </ns0:c>
    </ns0:row>
    <ns0:row r="1103" ht="24" customHeight="1">
      <ns0:c r="A1103" s="3" t="inlineStr">
        <ns0:is>
          <ns0:t>セット</ns0:t>
        </ns0:is>
      </ns0:c>
      <ns0:c r="B1103" s="3" t="inlineStr">
        <ns0:is>
          <ns0:t>G3三段階</ns0:t>
        </ns0:is>
      </ns0:c>
      <ns0:c r="C1103" s="3" t="inlineStr">
        <ns0:is>
          <ns0:t>D</ns0:t>
        </ns0:is>
      </ns0:c>
      <ns0:c r="D1103" s="4" t="n">
        <ns0:v>2</ns0:v>
      </ns0:c>
      <ns0:c r="E1103" s="4" t="n">
        <ns0:v>1500</ns0:v>
      </ns0:c>
      <ns0:c r="F1103" s="6" t="n">
        <ns0:v>0.3</ns0:v>
      </ns0:c>
      <ns0:c r="G1103" s="4" t="n">
        <ns0:v>3</ns0:v>
      </ns0:c>
      <ns0:c r="H1103" s="7" t="n">
        <ns0:v>9707.625272331154</ns0:v>
      </ns0:c>
      <ns0:c r="I1103" s="7" t="n">
        <ns0:v>3212.418300653595</ns0:v>
      </ns0:c>
      <ns0:c r="J1103" s="7" t="n">
        <ns0:v>963.7254901960783</ns0:v>
      </ns0:c>
      <ns0:c r="K1103" s="7" t="n">
        <ns0:v>16</ns0:v>
      </ns0:c>
      <ns0:c r="L1103" s="7" t="n">
        <ns0:v>29</ns0:v>
      </ns0:c>
      <ns0:c r="M1103" s="7" t="n">
        <ns0:v>-5710.753796987778</ns0:v>
      </ns0:c>
      <ns0:c r="N1103" s="7" t="n">
        <ns0:v>54060.19609694641</ns0:v>
      </ns0:c>
      <ns0:c r="O1103" s="7" t="n">
        <ns0:v>126440.9499124492</ns0:v>
      </ns0:c>
      <ns0:c r="P1103" s="7" t="n">
        <ns0:v>307392.8344512062</ns0:v>
      </ns0:c>
      <ns0:c r="Q1103" s="7" t="n">
        <ns0:v>989200.3726062339</ns0:v>
      </ns0:c>
      <ns0:c r="R1103" s="7" t="n">
        <ns0:v>3452526.756148832</ns0:v>
      </ns0:c>
    </ns0:row>
    <ns0:row r="1104" ht="24" customHeight="1">
      <ns0:c r="A1104" s="3" t="inlineStr">
        <ns0:is>
          <ns0:t>セット</ns0:t>
        </ns0:is>
      </ns0:c>
      <ns0:c r="B1104" s="3" t="inlineStr">
        <ns0:is>
          <ns0:t>G3三段階</ns0:t>
        </ns0:is>
      </ns0:c>
      <ns0:c r="C1104" s="3" t="inlineStr">
        <ns0:is>
          <ns0:t>D</ns0:t>
        </ns0:is>
      </ns0:c>
      <ns0:c r="D1104" s="4" t="n">
        <ns0:v>2</ns0:v>
      </ns0:c>
      <ns0:c r="E1104" s="4" t="n">
        <ns0:v>1500</ns0:v>
      </ns0:c>
      <ns0:c r="F1104" s="6" t="n">
        <ns0:v>0.4</ns0:v>
      </ns0:c>
      <ns0:c r="G1104" s="4" t="n">
        <ns0:v>0</ns0:v>
      </ns0:c>
      <ns0:c r="H1104" s="7" t="n">
        <ns0:v>9707.625272331154</ns0:v>
      </ns0:c>
      <ns0:c r="I1104" s="7" t="n">
        <ns0:v>3212.418300653595</ns0:v>
      </ns0:c>
      <ns0:c r="J1104" s="7" t="n">
        <ns0:v>1284.967320261438</ns0:v>
      </ns0:c>
      <ns0:c r="K1104" s="7" t="n">
        <ns0:v>12</ns0:v>
      </ns0:c>
      <ns0:c r="L1104" s="7" t="n">
        <ns0:v>13</ns0:v>
      </ns0:c>
      <ns0:c r="M1104" s="7" t="n">
        <ns0:v>7500.7778135232</ns0:v>
      </ns0:c>
      <ns0:c r="N1104" s="7" t="n">
        <ns0:v>93694.79092847934</ns0:v>
      </ns0:c>
      <ns0:c r="O1104" s="7" t="n">
        <ns0:v>192498.607965004</ns0:v>
      </ns0:c>
      <ns0:c r="P1104" s="7" t="n">
        <ns0:v>439508.1505563159</ns0:v>
      </ns0:c>
      <ns0:c r="Q1104" s="7" t="n">
        <ns0:v>1385546.320921563</ns0:v>
      </ns0:c>
      <ns0:c r="R1104" s="7" t="n">
        <ns0:v>4773679.917199929</ns0:v>
      </ns0:c>
    </ns0:row>
    <ns0:row r="1105" ht="24" customHeight="1">
      <ns0:c r="A1105" s="3" t="inlineStr">
        <ns0:is>
          <ns0:t>セット</ns0:t>
        </ns0:is>
      </ns0:c>
      <ns0:c r="B1105" s="3" t="inlineStr">
        <ns0:is>
          <ns0:t>G3三段階</ns0:t>
        </ns0:is>
      </ns0:c>
      <ns0:c r="C1105" s="3" t="inlineStr">
        <ns0:is>
          <ns0:t>D</ns0:t>
        </ns0:is>
      </ns0:c>
      <ns0:c r="D1105" s="4" t="n">
        <ns0:v>2</ns0:v>
      </ns0:c>
      <ns0:c r="E1105" s="4" t="n">
        <ns0:v>1500</ns0:v>
      </ns0:c>
      <ns0:c r="F1105" s="6" t="n">
        <ns0:v>0.4</ns0:v>
      </ns0:c>
      <ns0:c r="G1105" s="4" t="n">
        <ns0:v>1</ns0:v>
      </ns0:c>
      <ns0:c r="H1105" s="7" t="n">
        <ns0:v>9707.625272331154</ns0:v>
      </ns0:c>
      <ns0:c r="I1105" s="7" t="n">
        <ns0:v>3212.418300653595</ns0:v>
      </ns0:c>
      <ns0:c r="J1105" s="7" t="n">
        <ns0:v>1284.967320261438</ns0:v>
      </ns0:c>
      <ns0:c r="K1105" s="7" t="n">
        <ns0:v>13</ns0:v>
      </ns0:c>
      <ns0:c r="L1105" s="7" t="n">
        <ns0:v>16</ns0:v>
      </ns0:c>
      <ns0:c r="M1105" s="7" t="n">
        <ns0:v>2112.30842122079</ns0:v>
      </ns0:c>
      <ns0:c r="N1105" s="7" t="n">
        <ns0:v>77529.38275157212</ns0:v>
      </ns0:c>
      <ns0:c r="O1105" s="7" t="n">
        <ns0:v>165556.2610034921</ns0:v>
      </ns0:c>
      <ns0:c r="P1105" s="7" t="n">
        <ns0:v>385623.4566332919</ns0:v>
      </ns0:c>
      <ns0:c r="Q1105" s="7" t="n">
        <ns0:v>1223892.239152491</ns0:v>
      </ns0:c>
      <ns0:c r="R1105" s="7" t="n">
        <ns0:v>4234832.977969688</ns0:v>
      </ns0:c>
    </ns0:row>
    <ns0:row r="1106" ht="24" customHeight="1">
      <ns0:c r="A1106" s="3" t="inlineStr">
        <ns0:is>
          <ns0:t>セット</ns0:t>
        </ns0:is>
      </ns0:c>
      <ns0:c r="B1106" s="3" t="inlineStr">
        <ns0:is>
          <ns0:t>G3三段階</ns0:t>
        </ns0:is>
      </ns0:c>
      <ns0:c r="C1106" s="3" t="inlineStr">
        <ns0:is>
          <ns0:t>D</ns0:t>
        </ns0:is>
      </ns0:c>
      <ns0:c r="D1106" s="4" t="n">
        <ns0:v>2</ns0:v>
      </ns0:c>
      <ns0:c r="E1106" s="4" t="n">
        <ns0:v>1500</ns0:v>
      </ns0:c>
      <ns0:c r="F1106" s="6" t="n">
        <ns0:v>0.4</ns0:v>
      </ns0:c>
      <ns0:c r="G1106" s="4" t="n">
        <ns0:v>2</ns0:v>
      </ns0:c>
      <ns0:c r="H1106" s="7" t="n">
        <ns0:v>9707.625272331154</ns0:v>
      </ns0:c>
      <ns0:c r="I1106" s="7" t="n">
        <ns0:v>3212.418300653595</ns0:v>
      </ns0:c>
      <ns0:c r="J1106" s="7" t="n">
        <ns0:v>1284.967320261438</ns0:v>
      </ns0:c>
      <ns0:c r="K1106" s="18" t="inlineStr">
        <ns0:is>
          <ns0:t>範囲内なし</ns0:t>
        </ns0:is>
      </ns0:c>
      <ns0:c r="L1106" s="18" t="inlineStr">
        <ns0:is>
          <ns0:t>範囲内なし</ns0:t>
        </ns0:is>
      </ns0:c>
      <ns0:c r="M1106" s="7" t="n">
        <ns0:v>-65214.10052726708</ns0:v>
      </ns0:c>
      <ns0:c r="N1106" s="7" t="n">
        <ns0:v>-124449.8440938915</ns0:v>
      </ns0:c>
      <ns0:c r="O1106" s="7" t="n">
        <ns0:v>-171075.7837389474</ns0:v>
      </ns0:c>
      <ns0:c r="P1106" s="7" t="n">
        <ns0:v>-287640.6328515869</ns0:v>
      </ns0:c>
      <ns0:c r="Q1106" s="7" t="n">
        <ns0:v>-795900.0293021452</ns0:v>
      </ns0:c>
      <ns0:c r="R1106" s="7" t="n">
        <ns0:v>-2497807.9168791</ns0:v>
      </ns0:c>
    </ns0:row>
    <ns0:row r="1107" ht="24" customHeight="1">
      <ns0:c r="A1107" s="3" t="inlineStr">
        <ns0:is>
          <ns0:t>セット</ns0:t>
        </ns0:is>
      </ns0:c>
      <ns0:c r="B1107" s="3" t="inlineStr">
        <ns0:is>
          <ns0:t>G3三段階</ns0:t>
        </ns0:is>
      </ns0:c>
      <ns0:c r="C1107" s="3" t="inlineStr">
        <ns0:is>
          <ns0:t>D</ns0:t>
        </ns0:is>
      </ns0:c>
      <ns0:c r="D1107" s="4" t="n">
        <ns0:v>2</ns0:v>
      </ns0:c>
      <ns0:c r="E1107" s="4" t="n">
        <ns0:v>1500</ns0:v>
      </ns0:c>
      <ns0:c r="F1107" s="6" t="n">
        <ns0:v>0.4</ns0:v>
      </ns0:c>
      <ns0:c r="G1107" s="4" t="n">
        <ns0:v>3</ns0:v>
      </ns0:c>
      <ns0:c r="H1107" s="7" t="n">
        <ns0:v>9707.625272331154</ns0:v>
      </ns0:c>
      <ns0:c r="I1107" s="7" t="n">
        <ns0:v>3212.418300653595</ns0:v>
      </ns0:c>
      <ns0:c r="J1107" s="7" t="n">
        <ns0:v>1284.967320261438</ns0:v>
      </ns0:c>
      <ns0:c r="K1107" s="7" t="n">
        <ns0:v>17</ns0:v>
      </ns0:c>
      <ns0:c r="L1107" s="7" t="n">
        <ns0:v>32</ns0:v>
      </ns0:c>
      <ns0:c r="M1107" s="7" t="n">
        <ns0:v>-8923.172097641374</ns0:v>
      </ns0:c>
      <ns0:c r="N1107" s="7" t="n">
        <ns0:v>44422.94119498562</ns0:v>
      </ns0:c>
      <ns0:c r="O1107" s="7" t="n">
        <ns0:v>110378.8584091812</ns0:v>
      </ns0:c>
      <ns0:c r="P1107" s="7" t="n">
        <ns0:v>275268.6514446702</ns0:v>
      </ns0:c>
      <ns0:c r="Q1107" s="7" t="n">
        <ns0:v>892827.823586626</ns0:v>
      </ns0:c>
      <ns0:c r="R1107" s="7" t="n">
        <ns0:v>3131284.926083473</ns0:v>
      </ns0:c>
    </ns0:row>
    <ns0:row r="1108" ht="24" customHeight="1">
      <ns0:c r="A1108" s="3" t="inlineStr">
        <ns0:is>
          <ns0:t>セット</ns0:t>
        </ns0:is>
      </ns0:c>
      <ns0:c r="B1108" s="3" t="inlineStr">
        <ns0:is>
          <ns0:t>G3三段階</ns0:t>
        </ns0:is>
      </ns0:c>
      <ns0:c r="C1108" s="3" t="inlineStr">
        <ns0:is>
          <ns0:t>D</ns0:t>
        </ns0:is>
      </ns0:c>
      <ns0:c r="D1108" s="4" t="n">
        <ns0:v>2</ns0:v>
      </ns0:c>
      <ns0:c r="E1108" s="4" t="n">
        <ns0:v>1500</ns0:v>
      </ns0:c>
      <ns0:c r="F1108" s="6" t="n">
        <ns0:v>0.5</ns0:v>
      </ns0:c>
      <ns0:c r="G1108" s="4" t="n">
        <ns0:v>0</ns0:v>
      </ns0:c>
      <ns0:c r="H1108" s="7" t="n">
        <ns0:v>9707.625272331154</ns0:v>
      </ns0:c>
      <ns0:c r="I1108" s="7" t="n">
        <ns0:v>3212.418300653595</ns0:v>
      </ns0:c>
      <ns0:c r="J1108" s="7" t="n">
        <ns0:v>1606.209150326797</ns0:v>
      </ns0:c>
      <ns0:c r="K1108" s="7" t="n">
        <ns0:v>12</ns0:v>
      </ns0:c>
      <ns0:c r="L1108" s="7" t="n">
        <ns0:v>14</ns0:v>
      </ns0:c>
      <ns0:c r="M1108" s="7" t="n">
        <ns0:v>4288.359512869603</ns0:v>
      </ns0:c>
      <ns0:c r="N1108" s="7" t="n">
        <ns0:v>84057.53602651856</ns0:v>
      </ns0:c>
      <ns0:c r="O1108" s="7" t="n">
        <ns0:v>176436.5164617361</ns0:v>
      </ns0:c>
      <ns0:c r="P1108" s="7" t="n">
        <ns0:v>407383.96754978</ns0:v>
      </ns0:c>
      <ns0:c r="Q1108" s="7" t="n">
        <ns0:v>1289173.771901956</ns0:v>
      </ns0:c>
      <ns0:c r="R1108" s="7" t="n">
        <ns0:v>4452438.087134571</ns0:v>
      </ns0:c>
    </ns0:row>
    <ns0:row r="1109" ht="24" customHeight="1">
      <ns0:c r="A1109" s="3" t="inlineStr">
        <ns0:is>
          <ns0:t>セット</ns0:t>
        </ns0:is>
      </ns0:c>
      <ns0:c r="B1109" s="3" t="inlineStr">
        <ns0:is>
          <ns0:t>G3三段階</ns0:t>
        </ns0:is>
      </ns0:c>
      <ns0:c r="C1109" s="3" t="inlineStr">
        <ns0:is>
          <ns0:t>D</ns0:t>
        </ns0:is>
      </ns0:c>
      <ns0:c r="D1109" s="4" t="n">
        <ns0:v>2</ns0:v>
      </ns0:c>
      <ns0:c r="E1109" s="4" t="n">
        <ns0:v>1500</ns0:v>
      </ns0:c>
      <ns0:c r="F1109" s="6" t="n">
        <ns0:v>0.5</ns0:v>
      </ns0:c>
      <ns0:c r="G1109" s="4" t="n">
        <ns0:v>1</ns0:v>
      </ns0:c>
      <ns0:c r="H1109" s="7" t="n">
        <ns0:v>9707.625272331154</ns0:v>
      </ns0:c>
      <ns0:c r="I1109" s="7" t="n">
        <ns0:v>3212.418300653595</ns0:v>
      </ns0:c>
      <ns0:c r="J1109" s="7" t="n">
        <ns0:v>1606.209150326797</ns0:v>
      </ns0:c>
      <ns0:c r="K1109" s="7" t="n">
        <ns0:v>14</ns0:v>
      </ns0:c>
      <ns0:c r="L1109" s="7" t="n">
        <ns0:v>17</ns0:v>
      </ns0:c>
      <ns0:c r="M1109" s="7" t="n">
        <ns0:v>-1100.109879432806</ns0:v>
      </ns0:c>
      <ns0:c r="N1109" s="7" t="n">
        <ns0:v>67892.12784961131</ns0:v>
      </ns0:c>
      <ns0:c r="O1109" s="7" t="n">
        <ns0:v>149494.1695002241</ns0:v>
      </ns0:c>
      <ns0:c r="P1109" s="7" t="n">
        <ns0:v>353499.2736267559</ns0:v>
      </ns0:c>
      <ns0:c r="Q1109" s="7" t="n">
        <ns0:v>1127519.690132883</ns0:v>
      </ns0:c>
      <ns0:c r="R1109" s="7" t="n">
        <ns0:v>3913591.14790433</ns0:v>
      </ns0:c>
    </ns0:row>
    <ns0:row r="1110" ht="24" customHeight="1">
      <ns0:c r="A1110" s="3" t="inlineStr">
        <ns0:is>
          <ns0:t>セット</ns0:t>
        </ns0:is>
      </ns0:c>
      <ns0:c r="B1110" s="3" t="inlineStr">
        <ns0:is>
          <ns0:t>G3三段階</ns0:t>
        </ns0:is>
      </ns0:c>
      <ns0:c r="C1110" s="3" t="inlineStr">
        <ns0:is>
          <ns0:t>D</ns0:t>
        </ns0:is>
      </ns0:c>
      <ns0:c r="D1110" s="4" t="n">
        <ns0:v>2</ns0:v>
      </ns0:c>
      <ns0:c r="E1110" s="4" t="n">
        <ns0:v>1500</ns0:v>
      </ns0:c>
      <ns0:c r="F1110" s="6" t="n">
        <ns0:v>0.5</ns0:v>
      </ns0:c>
      <ns0:c r="G1110" s="4" t="n">
        <ns0:v>2</ns0:v>
      </ns0:c>
      <ns0:c r="H1110" s="7" t="n">
        <ns0:v>9707.625272331154</ns0:v>
      </ns0:c>
      <ns0:c r="I1110" s="7" t="n">
        <ns0:v>3212.418300653595</ns0:v>
      </ns0:c>
      <ns0:c r="J1110" s="7" t="n">
        <ns0:v>1606.209150326797</ns0:v>
      </ns0:c>
      <ns0:c r="K1110" s="18" t="inlineStr">
        <ns0:is>
          <ns0:t>範囲内なし</ns0:t>
        </ns0:is>
      </ns0:c>
      <ns0:c r="L1110" s="18" t="inlineStr">
        <ns0:is>
          <ns0:t>範囲内なし</ns0:t>
        </ns0:is>
      </ns0:c>
      <ns0:c r="M1110" s="7" t="n">
        <ns0:v>-68426.51882792069</ns0:v>
      </ns0:c>
      <ns0:c r="N1110" s="7" t="n">
        <ns0:v>-134087.0989958523</ns0:v>
      </ns0:c>
      <ns0:c r="O1110" s="7" t="n">
        <ns0:v>-187137.8752422153</ns0:v>
      </ns0:c>
      <ns0:c r="P1110" s="7" t="n">
        <ns0:v>-319764.8158581229</ns0:v>
      </ns0:c>
      <ns0:c r="Q1110" s="7" t="n">
        <ns0:v>-892272.578321753</ns0:v>
      </ns0:c>
      <ns0:c r="R1110" s="7" t="n">
        <ns0:v>-2819049.746944457</ns0:v>
      </ns0:c>
    </ns0:row>
    <ns0:row r="1111" ht="24" customHeight="1">
      <ns0:c r="A1111" s="3" t="inlineStr">
        <ns0:is>
          <ns0:t>セット</ns0:t>
        </ns0:is>
      </ns0:c>
      <ns0:c r="B1111" s="3" t="inlineStr">
        <ns0:is>
          <ns0:t>G3三段階</ns0:t>
        </ns0:is>
      </ns0:c>
      <ns0:c r="C1111" s="3" t="inlineStr">
        <ns0:is>
          <ns0:t>D</ns0:t>
        </ns0:is>
      </ns0:c>
      <ns0:c r="D1111" s="4" t="n">
        <ns0:v>2</ns0:v>
      </ns0:c>
      <ns0:c r="E1111" s="4" t="n">
        <ns0:v>1500</ns0:v>
      </ns0:c>
      <ns0:c r="F1111" s="6" t="n">
        <ns0:v>0.5</ns0:v>
      </ns0:c>
      <ns0:c r="G1111" s="4" t="n">
        <ns0:v>3</ns0:v>
      </ns0:c>
      <ns0:c r="H1111" s="7" t="n">
        <ns0:v>9707.625272331154</ns0:v>
      </ns0:c>
      <ns0:c r="I1111" s="7" t="n">
        <ns0:v>3212.418300653595</ns0:v>
      </ns0:c>
      <ns0:c r="J1111" s="7" t="n">
        <ns0:v>1606.209150326797</ns0:v>
      </ns0:c>
      <ns0:c r="K1111" s="7" t="n">
        <ns0:v>19</ns0:v>
      </ns0:c>
      <ns0:c r="L1111" s="7" t="n">
        <ns0:v>36</ns0:v>
      </ns0:c>
      <ns0:c r="M1111" s="7" t="n">
        <ns0:v>-12135.59039829497</ns0:v>
      </ns0:c>
      <ns0:c r="N1111" s="7" t="n">
        <ns0:v>34785.68629302484</ns0:v>
      </ns0:c>
      <ns0:c r="O1111" s="7" t="n">
        <ns0:v>94316.76690591325</ns0:v>
      </ns0:c>
      <ns0:c r="P1111" s="7" t="n">
        <ns0:v>243144.4684381343</ns0:v>
      </ns0:c>
      <ns0:c r="Q1111" s="7" t="n">
        <ns0:v>796455.2745670183</ns0:v>
      </ns0:c>
      <ns0:c r="R1111" s="7" t="n">
        <ns0:v>2810043.096018114</ns0:v>
      </ns0:c>
    </ns0:row>
    <ns0:row r="1112" ht="24" customHeight="1">
      <ns0:c r="A1112" s="3" t="inlineStr">
        <ns0:is>
          <ns0:t>混在40/30/30</ns0:t>
        </ns0:is>
      </ns0:c>
      <ns0:c r="B1112" s="3" t="inlineStr">
        <ns0:is>
          <ns0:t>G0基本5000比較</ns0:t>
        </ns0:is>
      </ns0:c>
      <ns0:c r="C1112" s="3" t="inlineStr">
        <ns0:is>
          <ns0:t>A</ns0:t>
        </ns0:is>
      </ns0:c>
      <ns0:c r="D1112" s="4" t="n">
        <ns0:v>0</ns0:v>
      </ns0:c>
      <ns0:c r="E1112" s="4" t="n">
        <ns0:v>500</ns0:v>
      </ns0:c>
      <ns0:c r="F1112" s="6" t="n">
        <ns0:v>0.3</ns0:v>
      </ns0:c>
      <ns0:c r="G1112" s="4" t="n">
        <ns0:v>0</ns0:v>
      </ns0:c>
      <ns0:c r="H1112" s="7" t="n">
        <ns0:v>5966.677558197747</ns0:v>
      </ns0:c>
      <ns0:c r="I1112" s="7" t="n">
        <ns0:v>4259.062234042553</ns0:v>
      </ns0:c>
      <ns0:c r="J1112" s="7" t="n">
        <ns0:v>1277.718670212766</ns0:v>
      </ns0:c>
      <ns0:c r="K1112" s="7" t="n">
        <ns0:v>20</ns0:v>
      </ns0:c>
      <ns0:c r="L1112" s="7" t="n">
        <ns0:v>52</ns0:v>
      </ns0:c>
      <ns0:c r="M1112" s="7" t="n">
        <ns0:v>-23872.89587229925</ns0:v>
      </ns0:c>
      <ns0:c r="N1112" s="7" t="n">
        <ns0:v>38903.18163571785</ns0:v>
      </ns0:c>
      <ns0:c r="O1112" s="7" t="n">
        <ns0:v>103799.284175024</ns0:v>
      </ns0:c>
      <ns0:c r="P1112" s="7" t="n">
        <ns0:v>262109.5029763559</ns0:v>
      </ns0:c>
      <ns0:c r="Q1112" s="7" t="n">
        <ns0:v>853350.3781816831</ns0:v>
      </ns0:c>
      <ns0:c r="R1112" s="7" t="n">
        <ns0:v>2999693.44140033</ns0:v>
      </ns0:c>
    </ns0:row>
    <ns0:row r="1113" ht="24" customHeight="1">
      <ns0:c r="A1113" s="3" t="inlineStr">
        <ns0:is>
          <ns0:t>混在40/30/30</ns0:t>
        </ns0:is>
      </ns0:c>
      <ns0:c r="B1113" s="3" t="inlineStr">
        <ns0:is>
          <ns0:t>G0基本5000比較</ns0:t>
        </ns0:is>
      </ns0:c>
      <ns0:c r="C1113" s="3" t="inlineStr">
        <ns0:is>
          <ns0:t>A</ns0:t>
        </ns0:is>
      </ns0:c>
      <ns0:c r="D1113" s="4" t="n">
        <ns0:v>0</ns0:v>
      </ns0:c>
      <ns0:c r="E1113" s="4" t="n">
        <ns0:v>500</ns0:v>
      </ns0:c>
      <ns0:c r="F1113" s="6" t="n">
        <ns0:v>0.3</ns0:v>
      </ns0:c>
      <ns0:c r="G1113" s="4" t="n">
        <ns0:v>1</ns0:v>
      </ns0:c>
      <ns0:c r="H1113" s="7" t="n">
        <ns0:v>5966.677558197747</ns0:v>
      </ns0:c>
      <ns0:c r="I1113" s="7" t="n">
        <ns0:v>4259.062234042553</ns0:v>
      </ns0:c>
      <ns0:c r="J1113" s="7" t="n">
        <ns0:v>1277.718670212766</ns0:v>
      </ns0:c>
      <ns0:c r="K1113" s="7" t="n">
        <ns0:v>22</ns0:v>
      </ns0:c>
      <ns0:c r="L1113" s="7" t="n">
        <ns0:v>77</ns0:v>
      </ns0:c>
      <ns0:c r="M1113" s="7" t="n">
        <ns0:v>-26092.43968416457</ns0:v>
      </ns0:c>
      <ns0:c r="N1113" s="7" t="n">
        <ns0:v>32244.55020012191</ns0:v>
      </ns0:c>
      <ns0:c r="O1113" s="7" t="n">
        <ns0:v>92701.56511569749</ns0:v>
      </ns0:c>
      <ns0:c r="P1113" s="7" t="n">
        <ns0:v>239914.0648577028</ns0:v>
      </ns0:c>
      <ns0:c r="Q1113" s="7" t="n">
        <ns0:v>786764.0638257238</ns0:v>
      </ns0:c>
      <ns0:c r="R1113" s="7" t="n">
        <ns0:v>2777739.060213798</ns0:v>
      </ns0:c>
    </ns0:row>
    <ns0:row r="1114" ht="24" customHeight="1">
      <ns0:c r="A1114" s="3" t="inlineStr">
        <ns0:is>
          <ns0:t>混在40/30/30</ns0:t>
        </ns0:is>
      </ns0:c>
      <ns0:c r="B1114" s="3" t="inlineStr">
        <ns0:is>
          <ns0:t>G0基本5000比較</ns0:t>
        </ns0:is>
      </ns0:c>
      <ns0:c r="C1114" s="3" t="inlineStr">
        <ns0:is>
          <ns0:t>A</ns0:t>
        </ns0:is>
      </ns0:c>
      <ns0:c r="D1114" s="4" t="n">
        <ns0:v>0</ns0:v>
      </ns0:c>
      <ns0:c r="E1114" s="4" t="n">
        <ns0:v>500</ns0:v>
      </ns0:c>
      <ns0:c r="F1114" s="6" t="n">
        <ns0:v>0.3</ns0:v>
      </ns0:c>
      <ns0:c r="G1114" s="4" t="n">
        <ns0:v>2</ns0:v>
      </ns0:c>
      <ns0:c r="H1114" s="7" t="n">
        <ns0:v>5966.677558197747</ns0:v>
      </ns0:c>
      <ns0:c r="I1114" s="7" t="n">
        <ns0:v>4259.062234042553</ns0:v>
      </ns0:c>
      <ns0:c r="J1114" s="7" t="n">
        <ns0:v>1277.718670212766</ns0:v>
      </ns0:c>
      <ns0:c r="K1114" s="7" t="n">
        <ns0:v>31</ns0:v>
      </ns0:c>
      <ns0:c r="L1114" s="18" t="inlineStr">
        <ns0:is>
          <ns0:t>範囲内なし</ns0:t>
        </ns0:is>
      </ns0:c>
      <ns0:c r="M1114" s="7" t="n">
        <ns0:v>-37230.09597119651</ns0:v>
      </ns0:c>
      <ns0:c r="N1114" s="7" t="n">
        <ns0:v>-1168.418660973926</ns0:v>
      </ns0:c>
      <ns0:c r="O1114" s="7" t="n">
        <ns0:v>37013.28368053777</ns0:v>
      </ns0:c>
      <ns0:c r="P1114" s="7" t="n">
        <ns0:v>128537.5019873834</ns0:v>
      </ns0:c>
      <ns0:c r="Q1114" s="7" t="n">
        <ns0:v>452634.3752147655</ns0:v>
      </ns0:c>
      <ns0:c r="R1114" s="7" t="n">
        <ns0:v>1663973.431510604</ns0:v>
      </ns0:c>
    </ns0:row>
    <ns0:row r="1115" ht="24" customHeight="1">
      <ns0:c r="A1115" s="3" t="inlineStr">
        <ns0:is>
          <ns0:t>混在40/30/30</ns0:t>
        </ns0:is>
      </ns0:c>
      <ns0:c r="B1115" s="3" t="inlineStr">
        <ns0:is>
          <ns0:t>G0基本5000比較</ns0:t>
        </ns0:is>
      </ns0:c>
      <ns0:c r="C1115" s="3" t="inlineStr">
        <ns0:is>
          <ns0:t>A</ns0:t>
        </ns0:is>
      </ns0:c>
      <ns0:c r="D1115" s="4" t="n">
        <ns0:v>0</ns0:v>
      </ns0:c>
      <ns0:c r="E1115" s="4" t="n">
        <ns0:v>500</ns0:v>
      </ns0:c>
      <ns0:c r="F1115" s="6" t="n">
        <ns0:v>0.3</ns0:v>
      </ns0:c>
      <ns0:c r="G1115" s="4" t="n">
        <ns0:v>3</ns0:v>
      </ns0:c>
      <ns0:c r="H1115" s="7" t="n">
        <ns0:v>5966.677558197747</ns0:v>
      </ns0:c>
      <ns0:c r="I1115" s="7" t="n">
        <ns0:v>4259.062234042553</ns0:v>
      </ns0:c>
      <ns0:c r="J1115" s="7" t="n">
        <ns0:v>1277.718670212766</ns0:v>
      </ns0:c>
      <ns0:c r="K1115" s="7" t="n">
        <ns0:v>25</ns0:v>
      </ns0:c>
      <ns0:c r="L1115" s="18" t="inlineStr">
        <ns0:is>
          <ns0:t>範囲内なし</ns0:t>
        </ns0:is>
      </ns0:c>
      <ns0:c r="M1115" s="7" t="n">
        <ns0:v>-31216.71065447112</ns0:v>
      </ns0:c>
      <ns0:c r="N1115" s="7" t="n">
        <ns0:v>16871.73728920224</ns0:v>
      </ns0:c>
      <ns0:c r="O1115" s="7" t="n">
        <ns0:v>67080.21026416471</ns0:v>
      </ns0:c>
      <ns0:c r="P1115" s="7" t="n">
        <ns0:v>188671.3551546372</ns0:v>
      </ns0:c>
      <ns0:c r="Q1115" s="7" t="n">
        <ns0:v>633035.9347165271</ns0:v>
      </ns0:c>
      <ns0:c r="R1115" s="7" t="n">
        <ns0:v>2265311.963183142</ns0:v>
      </ns0:c>
    </ns0:row>
    <ns0:row r="1116" ht="24" customHeight="1">
      <ns0:c r="A1116" s="3" t="inlineStr">
        <ns0:is>
          <ns0:t>混在40/30/30</ns0:t>
        </ns0:is>
      </ns0:c>
      <ns0:c r="B1116" s="3" t="inlineStr">
        <ns0:is>
          <ns0:t>G0基本5000比較</ns0:t>
        </ns0:is>
      </ns0:c>
      <ns0:c r="C1116" s="3" t="inlineStr">
        <ns0:is>
          <ns0:t>A</ns0:t>
        </ns0:is>
      </ns0:c>
      <ns0:c r="D1116" s="4" t="n">
        <ns0:v>0</ns0:v>
      </ns0:c>
      <ns0:c r="E1116" s="4" t="n">
        <ns0:v>500</ns0:v>
      </ns0:c>
      <ns0:c r="F1116" s="6" t="n">
        <ns0:v>0.4</ns0:v>
      </ns0:c>
      <ns0:c r="G1116" s="4" t="n">
        <ns0:v>0</ns0:v>
      </ns0:c>
      <ns0:c r="H1116" s="7" t="n">
        <ns0:v>5966.677558197747</ns0:v>
      </ns0:c>
      <ns0:c r="I1116" s="7" t="n">
        <ns0:v>4259.062234042553</ns0:v>
      </ns0:c>
      <ns0:c r="J1116" s="7" t="n">
        <ns0:v>1703.624893617021</ns0:v>
      </ns0:c>
      <ns0:c r="K1116" s="7" t="n">
        <ns0:v>23</ns0:v>
      </ns0:c>
      <ns0:c r="L1116" s="7" t="n">
        <ns0:v>59</ns0:v>
      </ns0:c>
      <ns0:c r="M1116" s="7" t="n">
        <ns0:v>-28131.95810634181</ns0:v>
      </ns0:c>
      <ns0:c r="N1116" s="7" t="n">
        <ns0:v>26125.9949335902</ns0:v>
      </ns0:c>
      <ns0:c r="O1116" s="7" t="n">
        <ns0:v>82503.97300481128</ns0:v>
      </ns0:c>
      <ns0:c r="P1116" s="7" t="n">
        <ns0:v>219518.8806359304</ns0:v>
      </ns0:c>
      <ns0:c r="Q1116" s="7" t="n">
        <ns0:v>725578.5111604067</ns0:v>
      </ns0:c>
      <ns0:c r="R1116" s="7" t="n">
        <ns0:v>2573787.217996075</ns0:v>
      </ns0:c>
    </ns0:row>
    <ns0:row r="1117" ht="24" customHeight="1">
      <ns0:c r="A1117" s="3" t="inlineStr">
        <ns0:is>
          <ns0:t>混在40/30/30</ns0:t>
        </ns0:is>
      </ns0:c>
      <ns0:c r="B1117" s="3" t="inlineStr">
        <ns0:is>
          <ns0:t>G0基本5000比較</ns0:t>
        </ns0:is>
      </ns0:c>
      <ns0:c r="C1117" s="3" t="inlineStr">
        <ns0:is>
          <ns0:t>A</ns0:t>
        </ns0:is>
      </ns0:c>
      <ns0:c r="D1117" s="4" t="n">
        <ns0:v>0</ns0:v>
      </ns0:c>
      <ns0:c r="E1117" s="4" t="n">
        <ns0:v>500</ns0:v>
      </ns0:c>
      <ns0:c r="F1117" s="6" t="n">
        <ns0:v>0.4</ns0:v>
      </ns0:c>
      <ns0:c r="G1117" s="4" t="n">
        <ns0:v>1</ns0:v>
      </ns0:c>
      <ns0:c r="H1117" s="7" t="n">
        <ns0:v>5966.677558197747</ns0:v>
      </ns0:c>
      <ns0:c r="I1117" s="7" t="n">
        <ns0:v>4259.062234042553</ns0:v>
      </ns0:c>
      <ns0:c r="J1117" s="7" t="n">
        <ns0:v>1703.624893617021</ns0:v>
      </ns0:c>
      <ns0:c r="K1117" s="7" t="n">
        <ns0:v>24</ns0:v>
      </ns0:c>
      <ns0:c r="L1117" s="7" t="n">
        <ns0:v>95</ns0:v>
      </ns0:c>
      <ns0:c r="M1117" s="7" t="n">
        <ns0:v>-30351.50191820712</ns0:v>
      </ns0:c>
      <ns0:c r="N1117" s="7" t="n">
        <ns0:v>19467.36349799426</ns0:v>
      </ns0:c>
      <ns0:c r="O1117" s="7" t="n">
        <ns0:v>71406.25394548471</ns0:v>
      </ns0:c>
      <ns0:c r="P1117" s="7" t="n">
        <ns0:v>197323.4425172772</ns0:v>
      </ns0:c>
      <ns0:c r="Q1117" s="7" t="n">
        <ns0:v>658992.1968044473</ns0:v>
      </ns0:c>
      <ns0:c r="R1117" s="7" t="n">
        <ns0:v>2351832.836809543</ns0:v>
      </ns0:c>
    </ns0:row>
    <ns0:row r="1118" ht="24" customHeight="1">
      <ns0:c r="A1118" s="3" t="inlineStr">
        <ns0:is>
          <ns0:t>混在40/30/30</ns0:t>
        </ns0:is>
      </ns0:c>
      <ns0:c r="B1118" s="3" t="inlineStr">
        <ns0:is>
          <ns0:t>G0基本5000比較</ns0:t>
        </ns0:is>
      </ns0:c>
      <ns0:c r="C1118" s="3" t="inlineStr">
        <ns0:is>
          <ns0:t>A</ns0:t>
        </ns0:is>
      </ns0:c>
      <ns0:c r="D1118" s="4" t="n">
        <ns0:v>0</ns0:v>
      </ns0:c>
      <ns0:c r="E1118" s="4" t="n">
        <ns0:v>500</ns0:v>
      </ns0:c>
      <ns0:c r="F1118" s="6" t="n">
        <ns0:v>0.4</ns0:v>
      </ns0:c>
      <ns0:c r="G1118" s="4" t="n">
        <ns0:v>2</ns0:v>
      </ns0:c>
      <ns0:c r="H1118" s="7" t="n">
        <ns0:v>5966.677558197747</ns0:v>
      </ns0:c>
      <ns0:c r="I1118" s="7" t="n">
        <ns0:v>4259.062234042553</ns0:v>
      </ns0:c>
      <ns0:c r="J1118" s="7" t="n">
        <ns0:v>1703.624893617021</ns0:v>
      </ns0:c>
      <ns0:c r="K1118" s="7" t="n">
        <ns0:v>39</ns0:v>
      </ns0:c>
      <ns0:c r="L1118" s="18" t="inlineStr">
        <ns0:is>
          <ns0:t>範囲内なし</ns0:t>
        </ns0:is>
      </ns0:c>
      <ns0:c r="M1118" s="7" t="n">
        <ns0:v>-41489.15820523907</ns0:v>
      </ns0:c>
      <ns0:c r="N1118" s="7" t="n">
        <ns0:v>-13945.60536310157</ns0:v>
      </ns0:c>
      <ns0:c r="O1118" s="7" t="n">
        <ns0:v>15717.97251032499</ns0:v>
      </ns0:c>
      <ns0:c r="P1118" s="7" t="n">
        <ns0:v>85946.87964695779</ns0:v>
      </ns0:c>
      <ns0:c r="Q1118" s="7" t="n">
        <ns0:v>324862.5081934891</ns0:v>
      </ns0:c>
      <ns0:c r="R1118" s="7" t="n">
        <ns0:v>1238067.208106349</ns0:v>
      </ns0:c>
    </ns0:row>
    <ns0:row r="1119" ht="24" customHeight="1">
      <ns0:c r="A1119" s="3" t="inlineStr">
        <ns0:is>
          <ns0:t>混在40/30/30</ns0:t>
        </ns0:is>
      </ns0:c>
      <ns0:c r="B1119" s="3" t="inlineStr">
        <ns0:is>
          <ns0:t>G0基本5000比較</ns0:t>
        </ns0:is>
      </ns0:c>
      <ns0:c r="C1119" s="3" t="inlineStr">
        <ns0:is>
          <ns0:t>A</ns0:t>
        </ns0:is>
      </ns0:c>
      <ns0:c r="D1119" s="4" t="n">
        <ns0:v>0</ns0:v>
      </ns0:c>
      <ns0:c r="E1119" s="4" t="n">
        <ns0:v>500</ns0:v>
      </ns0:c>
      <ns0:c r="F1119" s="6" t="n">
        <ns0:v>0.4</ns0:v>
      </ns0:c>
      <ns0:c r="G1119" s="4" t="n">
        <ns0:v>3</ns0:v>
      </ns0:c>
      <ns0:c r="H1119" s="7" t="n">
        <ns0:v>5966.677558197747</ns0:v>
      </ns0:c>
      <ns0:c r="I1119" s="7" t="n">
        <ns0:v>4259.062234042553</ns0:v>
      </ns0:c>
      <ns0:c r="J1119" s="7" t="n">
        <ns0:v>1703.624893617021</ns0:v>
      </ns0:c>
      <ns0:c r="K1119" s="7" t="n">
        <ns0:v>29</ns0:v>
      </ns0:c>
      <ns0:c r="L1119" s="18" t="inlineStr">
        <ns0:is>
          <ns0:t>範囲内なし</ns0:t>
        </ns0:is>
      </ns0:c>
      <ns0:c r="M1119" s="7" t="n">
        <ns0:v>-35475.77288851367</ns0:v>
      </ns0:c>
      <ns0:c r="N1119" s="7" t="n">
        <ns0:v>4094.550587074591</ns0:v>
      </ns0:c>
      <ns0:c r="O1119" s="7" t="n">
        <ns0:v>45784.89909395194</ns0:v>
      </ns0:c>
      <ns0:c r="P1119" s="7" t="n">
        <ns0:v>146080.7328142117</ns0:v>
      </ns0:c>
      <ns0:c r="Q1119" s="7" t="n">
        <ns0:v>505264.0676952507</ns0:v>
      </ns0:c>
      <ns0:c r="R1119" s="7" t="n">
        <ns0:v>1839405.739778888</ns0:v>
      </ns0:c>
    </ns0:row>
    <ns0:row r="1120" ht="24" customHeight="1">
      <ns0:c r="A1120" s="3" t="inlineStr">
        <ns0:is>
          <ns0:t>混在40/30/30</ns0:t>
        </ns0:is>
      </ns0:c>
      <ns0:c r="B1120" s="3" t="inlineStr">
        <ns0:is>
          <ns0:t>G0基本5000比較</ns0:t>
        </ns0:is>
      </ns0:c>
      <ns0:c r="C1120" s="3" t="inlineStr">
        <ns0:is>
          <ns0:t>A</ns0:t>
        </ns0:is>
      </ns0:c>
      <ns0:c r="D1120" s="4" t="n">
        <ns0:v>0</ns0:v>
      </ns0:c>
      <ns0:c r="E1120" s="4" t="n">
        <ns0:v>500</ns0:v>
      </ns0:c>
      <ns0:c r="F1120" s="6" t="n">
        <ns0:v>0.5</ns0:v>
      </ns0:c>
      <ns0:c r="G1120" s="4" t="n">
        <ns0:v>0</ns0:v>
      </ns0:c>
      <ns0:c r="H1120" s="7" t="n">
        <ns0:v>5966.677558197747</ns0:v>
      </ns0:c>
      <ns0:c r="I1120" s="7" t="n">
        <ns0:v>4259.062234042553</ns0:v>
      </ns0:c>
      <ns0:c r="J1120" s="7" t="n">
        <ns0:v>2129.531117021276</ns0:v>
      </ns0:c>
      <ns0:c r="K1120" s="7" t="n">
        <ns0:v>26</ns0:v>
      </ns0:c>
      <ns0:c r="L1120" s="7" t="n">
        <ns0:v>70</ns0:v>
      </ns0:c>
      <ns0:c r="M1120" s="7" t="n">
        <ns0:v>-32391.02034038436</ns0:v>
      </ns0:c>
      <ns0:c r="N1120" s="7" t="n">
        <ns0:v>13348.80823146252</ns0:v>
      </ns0:c>
      <ns0:c r="O1120" s="7" t="n">
        <ns0:v>61208.66183459856</ns0:v>
      </ns0:c>
      <ns0:c r="P1120" s="7" t="n">
        <ns0:v>176928.2582955049</ns0:v>
      </ns0:c>
      <ns0:c r="Q1120" s="7" t="n">
        <ns0:v>597806.6441391301</ns0:v>
      </ns0:c>
      <ns0:c r="R1120" s="7" t="n">
        <ns0:v>2147880.994591819</ns0:v>
      </ns0:c>
    </ns0:row>
    <ns0:row r="1121" ht="24" customHeight="1">
      <ns0:c r="A1121" s="3" t="inlineStr">
        <ns0:is>
          <ns0:t>混在40/30/30</ns0:t>
        </ns0:is>
      </ns0:c>
      <ns0:c r="B1121" s="3" t="inlineStr">
        <ns0:is>
          <ns0:t>G0基本5000比較</ns0:t>
        </ns0:is>
      </ns0:c>
      <ns0:c r="C1121" s="3" t="inlineStr">
        <ns0:is>
          <ns0:t>A</ns0:t>
        </ns0:is>
      </ns0:c>
      <ns0:c r="D1121" s="4" t="n">
        <ns0:v>0</ns0:v>
      </ns0:c>
      <ns0:c r="E1121" s="4" t="n">
        <ns0:v>500</ns0:v>
      </ns0:c>
      <ns0:c r="F1121" s="6" t="n">
        <ns0:v>0.5</ns0:v>
      </ns0:c>
      <ns0:c r="G1121" s="4" t="n">
        <ns0:v>1</ns0:v>
      </ns0:c>
      <ns0:c r="H1121" s="7" t="n">
        <ns0:v>5966.677558197747</ns0:v>
      </ns0:c>
      <ns0:c r="I1121" s="7" t="n">
        <ns0:v>4259.062234042553</ns0:v>
      </ns0:c>
      <ns0:c r="J1121" s="7" t="n">
        <ns0:v>2129.531117021276</ns0:v>
      </ns0:c>
      <ns0:c r="K1121" s="7" t="n">
        <ns0:v>28</ns0:v>
      </ns0:c>
      <ns0:c r="L1121" s="7" t="n">
        <ns0:v>204</ns0:v>
      </ns0:c>
      <ns0:c r="M1121" s="7" t="n">
        <ns0:v>-34610.56415224967</ns0:v>
      </ns0:c>
      <ns0:c r="N1121" s="7" t="n">
        <ns0:v>6690.176795866581</ns0:v>
      </ns0:c>
      <ns0:c r="O1121" s="7" t="n">
        <ns0:v>50110.94277527199</ns0:v>
      </ns0:c>
      <ns0:c r="P1121" s="7" t="n">
        <ns0:v>154732.8201768518</ns0:v>
      </ns0:c>
      <ns0:c r="Q1121" s="7" t="n">
        <ns0:v>531220.3297831708</ns0:v>
      </ns0:c>
      <ns0:c r="R1121" s="7" t="n">
        <ns0:v>1925926.613405288</ns0:v>
      </ns0:c>
    </ns0:row>
    <ns0:row r="1122" ht="24" customHeight="1">
      <ns0:c r="A1122" s="3" t="inlineStr">
        <ns0:is>
          <ns0:t>混在40/30/30</ns0:t>
        </ns0:is>
      </ns0:c>
      <ns0:c r="B1122" s="3" t="inlineStr">
        <ns0:is>
          <ns0:t>G0基本5000比較</ns0:t>
        </ns0:is>
      </ns0:c>
      <ns0:c r="C1122" s="3" t="inlineStr">
        <ns0:is>
          <ns0:t>A</ns0:t>
        </ns0:is>
      </ns0:c>
      <ns0:c r="D1122" s="4" t="n">
        <ns0:v>0</ns0:v>
      </ns0:c>
      <ns0:c r="E1122" s="4" t="n">
        <ns0:v>500</ns0:v>
      </ns0:c>
      <ns0:c r="F1122" s="6" t="n">
        <ns0:v>0.5</ns0:v>
      </ns0:c>
      <ns0:c r="G1122" s="4" t="n">
        <ns0:v>2</ns0:v>
      </ns0:c>
      <ns0:c r="H1122" s="7" t="n">
        <ns0:v>5966.677558197747</ns0:v>
      </ns0:c>
      <ns0:c r="I1122" s="7" t="n">
        <ns0:v>4259.062234042553</ns0:v>
      </ns0:c>
      <ns0:c r="J1122" s="7" t="n">
        <ns0:v>2129.531117021276</ns0:v>
      </ns0:c>
      <ns0:c r="K1122" s="7" t="n">
        <ns0:v>56</ns0:v>
      </ns0:c>
      <ns0:c r="L1122" s="18" t="inlineStr">
        <ns0:is>
          <ns0:t>範囲内なし</ns0:t>
        </ns0:is>
      </ns0:c>
      <ns0:c r="M1122" s="7" t="n">
        <ns0:v>-45748.22043928161</ns0:v>
      </ns0:c>
      <ns0:c r="N1122" s="7" t="n">
        <ns0:v>-26722.79206522925</ns0:v>
      </ns0:c>
      <ns0:c r="O1122" s="7" t="n">
        <ns0:v>-5577.338659887711</ns0:v>
      </ns0:c>
      <ns0:c r="P1122" s="7" t="n">
        <ns0:v>43356.25730653235</ns0:v>
      </ns0:c>
      <ns0:c r="Q1122" s="7" t="n">
        <ns0:v>197090.6411722125</ns0:v>
      </ns0:c>
      <ns0:c r="R1122" s="7" t="n">
        <ns0:v>812160.9847020933</ns0:v>
      </ns0:c>
    </ns0:row>
    <ns0:row r="1123" ht="24" customHeight="1">
      <ns0:c r="A1123" s="3" t="inlineStr">
        <ns0:is>
          <ns0:t>混在40/30/30</ns0:t>
        </ns0:is>
      </ns0:c>
      <ns0:c r="B1123" s="3" t="inlineStr">
        <ns0:is>
          <ns0:t>G0基本5000比較</ns0:t>
        </ns0:is>
      </ns0:c>
      <ns0:c r="C1123" s="3" t="inlineStr">
        <ns0:is>
          <ns0:t>A</ns0:t>
        </ns0:is>
      </ns0:c>
      <ns0:c r="D1123" s="4" t="n">
        <ns0:v>0</ns0:v>
      </ns0:c>
      <ns0:c r="E1123" s="4" t="n">
        <ns0:v>500</ns0:v>
      </ns0:c>
      <ns0:c r="F1123" s="6" t="n">
        <ns0:v>0.5</ns0:v>
      </ns0:c>
      <ns0:c r="G1123" s="4" t="n">
        <ns0:v>3</ns0:v>
      </ns0:c>
      <ns0:c r="H1123" s="7" t="n">
        <ns0:v>5966.677558197747</ns0:v>
      </ns0:c>
      <ns0:c r="I1123" s="7" t="n">
        <ns0:v>4259.062234042553</ns0:v>
      </ns0:c>
      <ns0:c r="J1123" s="7" t="n">
        <ns0:v>2129.531117021276</ns0:v>
      </ns0:c>
      <ns0:c r="K1123" s="7" t="n">
        <ns0:v>35</ns0:v>
      </ns0:c>
      <ns0:c r="L1123" s="18" t="inlineStr">
        <ns0:is>
          <ns0:t>範囲内なし</ns0:t>
        </ns0:is>
      </ns0:c>
      <ns0:c r="M1123" s="7" t="n">
        <ns0:v>-39734.83512255622</ns0:v>
      </ns0:c>
      <ns0:c r="N1123" s="7" t="n">
        <ns0:v>-8682.636115053087</ns0:v>
      </ns0:c>
      <ns0:c r="O1123" s="7" t="n">
        <ns0:v>24489.58792373921</ns0:v>
      </ns0:c>
      <ns0:c r="P1123" s="7" t="n">
        <ns0:v>103490.1104737862</ns0:v>
      </ns0:c>
      <ns0:c r="Q1123" s="7" t="n">
        <ns0:v>377492.2006739741</ns0:v>
      </ns0:c>
      <ns0:c r="R1123" s="7" t="n">
        <ns0:v>1413499.516374632</ns0:v>
      </ns0:c>
    </ns0:row>
    <ns0:row r="1124" ht="24" customHeight="1">
      <ns0:c r="A1124" s="3" t="inlineStr">
        <ns0:is>
          <ns0:t>混在40/30/30</ns0:t>
        </ns0:is>
      </ns0:c>
      <ns0:c r="B1124" s="3" t="inlineStr">
        <ns0:is>
          <ns0:t>G0基本5000比較</ns0:t>
        </ns0:is>
      </ns0:c>
      <ns0:c r="C1124" s="3" t="inlineStr">
        <ns0:is>
          <ns0:t>A</ns0:t>
        </ns0:is>
      </ns0:c>
      <ns0:c r="D1124" s="4" t="n">
        <ns0:v>0</ns0:v>
      </ns0:c>
      <ns0:c r="E1124" s="4" t="n">
        <ns0:v>1000</ns0:v>
      </ns0:c>
      <ns0:c r="F1124" s="6" t="n">
        <ns0:v>0.3</ns0:v>
      </ns0:c>
      <ns0:c r="G1124" s="4" t="n">
        <ns0:v>0</ns0:v>
      </ns0:c>
      <ns0:c r="H1124" s="7" t="n">
        <ns0:v>5816.677558197747</ns0:v>
      </ns0:c>
      <ns0:c r="I1124" s="7" t="n">
        <ns0:v>4109.062234042553</ns0:v>
      </ns0:c>
      <ns0:c r="J1124" s="7" t="n">
        <ns0:v>1232.718670212766</ns0:v>
      </ns0:c>
      <ns0:c r="K1124" s="7" t="n">
        <ns0:v>21</ns0:v>
      </ns0:c>
      <ns0:c r="L1124" s="7" t="n">
        <ns0:v>54</ns0:v>
      </ns0:c>
      <ns0:c r="M1124" s="7" t="n">
        <ns0:v>-24868.89587229925</ns0:v>
      </ns0:c>
      <ns0:c r="N1124" s="7" t="n">
        <ns0:v>35915.18163571785</ns0:v>
      </ns0:c>
      <ns0:c r="O1124" s="7" t="n">
        <ns0:v>98819.28417502405</ns0:v>
      </ns0:c>
      <ns0:c r="P1124" s="7" t="n">
        <ns0:v>252149.5029763559</ns0:v>
      </ns0:c>
      <ns0:c r="Q1124" s="7" t="n">
        <ns0:v>823470.3781816836</ns0:v>
      </ns0:c>
      <ns0:c r="R1124" s="7" t="n">
        <ns0:v>2900093.44140033</ns0:v>
      </ns0:c>
    </ns0:row>
    <ns0:row r="1125" ht="24" customHeight="1">
      <ns0:c r="A1125" s="3" t="inlineStr">
        <ns0:is>
          <ns0:t>混在40/30/30</ns0:t>
        </ns0:is>
      </ns0:c>
      <ns0:c r="B1125" s="3" t="inlineStr">
        <ns0:is>
          <ns0:t>G0基本5000比較</ns0:t>
        </ns0:is>
      </ns0:c>
      <ns0:c r="C1125" s="3" t="inlineStr">
        <ns0:is>
          <ns0:t>A</ns0:t>
        </ns0:is>
      </ns0:c>
      <ns0:c r="D1125" s="4" t="n">
        <ns0:v>0</ns0:v>
      </ns0:c>
      <ns0:c r="E1125" s="4" t="n">
        <ns0:v>1000</ns0:v>
      </ns0:c>
      <ns0:c r="F1125" s="6" t="n">
        <ns0:v>0.3</ns0:v>
      </ns0:c>
      <ns0:c r="G1125" s="4" t="n">
        <ns0:v>1</ns0:v>
      </ns0:c>
      <ns0:c r="H1125" s="7" t="n">
        <ns0:v>5816.677558197747</ns0:v>
      </ns0:c>
      <ns0:c r="I1125" s="7" t="n">
        <ns0:v>4109.062234042553</ns0:v>
      </ns0:c>
      <ns0:c r="J1125" s="7" t="n">
        <ns0:v>1232.718670212766</ns0:v>
      </ns0:c>
      <ns0:c r="K1125" s="7" t="n">
        <ns0:v>22</ns0:v>
      </ns0:c>
      <ns0:c r="L1125" s="7" t="n">
        <ns0:v>81</ns0:v>
      </ns0:c>
      <ns0:c r="M1125" s="7" t="n">
        <ns0:v>-27088.43968416456</ns0:v>
      </ns0:c>
      <ns0:c r="N1125" s="7" t="n">
        <ns0:v>29256.55020012191</ns0:v>
      </ns0:c>
      <ns0:c r="O1125" s="7" t="n">
        <ns0:v>87721.56511569748</ns0:v>
      </ns0:c>
      <ns0:c r="P1125" s="7" t="n">
        <ns0:v>229954.0648577028</ns0:v>
      </ns0:c>
      <ns0:c r="Q1125" s="7" t="n">
        <ns0:v>756884.0638257243</ns0:v>
      </ns0:c>
      <ns0:c r="R1125" s="7" t="n">
        <ns0:v>2678139.060213798</ns0:v>
      </ns0:c>
    </ns0:row>
    <ns0:row r="1126" ht="24" customHeight="1">
      <ns0:c r="A1126" s="3" t="inlineStr">
        <ns0:is>
          <ns0:t>混在40/30/30</ns0:t>
        </ns0:is>
      </ns0:c>
      <ns0:c r="B1126" s="3" t="inlineStr">
        <ns0:is>
          <ns0:t>G0基本5000比較</ns0:t>
        </ns0:is>
      </ns0:c>
      <ns0:c r="C1126" s="3" t="inlineStr">
        <ns0:is>
          <ns0:t>A</ns0:t>
        </ns0:is>
      </ns0:c>
      <ns0:c r="D1126" s="4" t="n">
        <ns0:v>0</ns0:v>
      </ns0:c>
      <ns0:c r="E1126" s="4" t="n">
        <ns0:v>1000</ns0:v>
      </ns0:c>
      <ns0:c r="F1126" s="6" t="n">
        <ns0:v>0.3</ns0:v>
      </ns0:c>
      <ns0:c r="G1126" s="4" t="n">
        <ns0:v>2</ns0:v>
      </ns0:c>
      <ns0:c r="H1126" s="7" t="n">
        <ns0:v>5816.677558197747</ns0:v>
      </ns0:c>
      <ns0:c r="I1126" s="7" t="n">
        <ns0:v>4109.062234042553</ns0:v>
      </ns0:c>
      <ns0:c r="J1126" s="7" t="n">
        <ns0:v>1232.718670212766</ns0:v>
      </ns0:c>
      <ns0:c r="K1126" s="7" t="n">
        <ns0:v>32</ns0:v>
      </ns0:c>
      <ns0:c r="L1126" s="18" t="inlineStr">
        <ns0:is>
          <ns0:t>範囲内なし</ns0:t>
        </ns0:is>
      </ns0:c>
      <ns0:c r="M1126" s="7" t="n">
        <ns0:v>-38226.09597119651</ns0:v>
      </ns0:c>
      <ns0:c r="N1126" s="7" t="n">
        <ns0:v>-4156.418660973912</ns0:v>
      </ns0:c>
      <ns0:c r="O1126" s="7" t="n">
        <ns0:v>32033.28368053777</ns0:v>
      </ns0:c>
      <ns0:c r="P1126" s="7" t="n">
        <ns0:v>118577.5019873833</ns0:v>
      </ns0:c>
      <ns0:c r="Q1126" s="7" t="n">
        <ns0:v>422754.375214766</ns0:v>
      </ns0:c>
      <ns0:c r="R1126" s="7" t="n">
        <ns0:v>1564373.431510604</ns0:v>
      </ns0:c>
    </ns0:row>
    <ns0:row r="1127" ht="24" customHeight="1">
      <ns0:c r="A1127" s="3" t="inlineStr">
        <ns0:is>
          <ns0:t>混在40/30/30</ns0:t>
        </ns0:is>
      </ns0:c>
      <ns0:c r="B1127" s="3" t="inlineStr">
        <ns0:is>
          <ns0:t>G0基本5000比較</ns0:t>
        </ns0:is>
      </ns0:c>
      <ns0:c r="C1127" s="3" t="inlineStr">
        <ns0:is>
          <ns0:t>A</ns0:t>
        </ns0:is>
      </ns0:c>
      <ns0:c r="D1127" s="4" t="n">
        <ns0:v>0</ns0:v>
      </ns0:c>
      <ns0:c r="E1127" s="4" t="n">
        <ns0:v>1000</ns0:v>
      </ns0:c>
      <ns0:c r="F1127" s="6" t="n">
        <ns0:v>0.3</ns0:v>
      </ns0:c>
      <ns0:c r="G1127" s="4" t="n">
        <ns0:v>3</ns0:v>
      </ns0:c>
      <ns0:c r="H1127" s="7" t="n">
        <ns0:v>5816.677558197747</ns0:v>
      </ns0:c>
      <ns0:c r="I1127" s="7" t="n">
        <ns0:v>4109.062234042553</ns0:v>
      </ns0:c>
      <ns0:c r="J1127" s="7" t="n">
        <ns0:v>1232.718670212766</ns0:v>
      </ns0:c>
      <ns0:c r="K1127" s="7" t="n">
        <ns0:v>26</ns0:v>
      </ns0:c>
      <ns0:c r="L1127" s="18" t="inlineStr">
        <ns0:is>
          <ns0:t>範囲内なし</ns0:t>
        </ns0:is>
      </ns0:c>
      <ns0:c r="M1127" s="7" t="n">
        <ns0:v>-32212.71065447112</ns0:v>
      </ns0:c>
      <ns0:c r="N1127" s="7" t="n">
        <ns0:v>13883.73728920225</ns0:v>
      </ns0:c>
      <ns0:c r="O1127" s="7" t="n">
        <ns0:v>62100.2102641647</ns0:v>
      </ns0:c>
      <ns0:c r="P1127" s="7" t="n">
        <ns0:v>178711.3551546372</ns0:v>
      </ns0:c>
      <ns0:c r="Q1127" s="7" t="n">
        <ns0:v>603155.9347165276</ns0:v>
      </ns0:c>
      <ns0:c r="R1127" s="7" t="n">
        <ns0:v>2165711.963183142</ns0:v>
      </ns0:c>
    </ns0:row>
    <ns0:row r="1128" ht="24" customHeight="1">
      <ns0:c r="A1128" s="3" t="inlineStr">
        <ns0:is>
          <ns0:t>混在40/30/30</ns0:t>
        </ns0:is>
      </ns0:c>
      <ns0:c r="B1128" s="3" t="inlineStr">
        <ns0:is>
          <ns0:t>G0基本5000比較</ns0:t>
        </ns0:is>
      </ns0:c>
      <ns0:c r="C1128" s="3" t="inlineStr">
        <ns0:is>
          <ns0:t>A</ns0:t>
        </ns0:is>
      </ns0:c>
      <ns0:c r="D1128" s="4" t="n">
        <ns0:v>0</ns0:v>
      </ns0:c>
      <ns0:c r="E1128" s="4" t="n">
        <ns0:v>1000</ns0:v>
      </ns0:c>
      <ns0:c r="F1128" s="6" t="n">
        <ns0:v>0.4</ns0:v>
      </ns0:c>
      <ns0:c r="G1128" s="4" t="n">
        <ns0:v>0</ns0:v>
      </ns0:c>
      <ns0:c r="H1128" s="7" t="n">
        <ns0:v>5816.677558197747</ns0:v>
      </ns0:c>
      <ns0:c r="I1128" s="7" t="n">
        <ns0:v>4109.062234042553</ns0:v>
      </ns0:c>
      <ns0:c r="J1128" s="7" t="n">
        <ns0:v>1643.624893617021</ns0:v>
      </ns0:c>
      <ns0:c r="K1128" s="7" t="n">
        <ns0:v>23</ns0:v>
      </ns0:c>
      <ns0:c r="L1128" s="7" t="n">
        <ns0:v>61</ns0:v>
      </ns0:c>
      <ns0:c r="M1128" s="7" t="n">
        <ns0:v>-28977.9581063418</ns0:v>
      </ns0:c>
      <ns0:c r="N1128" s="7" t="n">
        <ns0:v>23587.99493359019</ns0:v>
      </ns0:c>
      <ns0:c r="O1128" s="7" t="n">
        <ns0:v>78273.97300481128</ns0:v>
      </ns0:c>
      <ns0:c r="P1128" s="7" t="n">
        <ns0:v>211058.8806359304</ns0:v>
      </ns0:c>
      <ns0:c r="Q1128" s="7" t="n">
        <ns0:v>700198.511160407</ns0:v>
      </ns0:c>
      <ns0:c r="R1128" s="7" t="n">
        <ns0:v>2489187.217996074</ns0:v>
      </ns0:c>
    </ns0:row>
    <ns0:row r="1129" ht="24" customHeight="1">
      <ns0:c r="A1129" s="3" t="inlineStr">
        <ns0:is>
          <ns0:t>混在40/30/30</ns0:t>
        </ns0:is>
      </ns0:c>
      <ns0:c r="B1129" s="3" t="inlineStr">
        <ns0:is>
          <ns0:t>G0基本5000比較</ns0:t>
        </ns0:is>
      </ns0:c>
      <ns0:c r="C1129" s="3" t="inlineStr">
        <ns0:is>
          <ns0:t>A</ns0:t>
        </ns0:is>
      </ns0:c>
      <ns0:c r="D1129" s="4" t="n">
        <ns0:v>0</ns0:v>
      </ns0:c>
      <ns0:c r="E1129" s="4" t="n">
        <ns0:v>1000</ns0:v>
      </ns0:c>
      <ns0:c r="F1129" s="6" t="n">
        <ns0:v>0.4</ns0:v>
      </ns0:c>
      <ns0:c r="G1129" s="4" t="n">
        <ns0:v>1</ns0:v>
      </ns0:c>
      <ns0:c r="H1129" s="7" t="n">
        <ns0:v>5816.677558197747</ns0:v>
      </ns0:c>
      <ns0:c r="I1129" s="7" t="n">
        <ns0:v>4109.062234042553</ns0:v>
      </ns0:c>
      <ns0:c r="J1129" s="7" t="n">
        <ns0:v>1643.624893617021</ns0:v>
      </ns0:c>
      <ns0:c r="K1129" s="7" t="n">
        <ns0:v>25</ns0:v>
      </ns0:c>
      <ns0:c r="L1129" s="7" t="n">
        <ns0:v>101</ns0:v>
      </ns0:c>
      <ns0:c r="M1129" s="7" t="n">
        <ns0:v>-31197.50191820712</ns0:v>
      </ns0:c>
      <ns0:c r="N1129" s="7" t="n">
        <ns0:v>16929.36349799425</ns0:v>
      </ns0:c>
      <ns0:c r="O1129" s="7" t="n">
        <ns0:v>67176.25394548471</ns0:v>
      </ns0:c>
      <ns0:c r="P1129" s="7" t="n">
        <ns0:v>188863.4425172772</ns0:v>
      </ns0:c>
      <ns0:c r="Q1129" s="7" t="n">
        <ns0:v>633612.1968044476</ns0:v>
      </ns0:c>
      <ns0:c r="R1129" s="7" t="n">
        <ns0:v>2267232.836809543</ns0:v>
      </ns0:c>
    </ns0:row>
    <ns0:row r="1130" ht="24" customHeight="1">
      <ns0:c r="A1130" s="3" t="inlineStr">
        <ns0:is>
          <ns0:t>混在40/30/30</ns0:t>
        </ns0:is>
      </ns0:c>
      <ns0:c r="B1130" s="3" t="inlineStr">
        <ns0:is>
          <ns0:t>G0基本5000比較</ns0:t>
        </ns0:is>
      </ns0:c>
      <ns0:c r="C1130" s="3" t="inlineStr">
        <ns0:is>
          <ns0:t>A</ns0:t>
        </ns0:is>
      </ns0:c>
      <ns0:c r="D1130" s="4" t="n">
        <ns0:v>0</ns0:v>
      </ns0:c>
      <ns0:c r="E1130" s="4" t="n">
        <ns0:v>1000</ns0:v>
      </ns0:c>
      <ns0:c r="F1130" s="6" t="n">
        <ns0:v>0.4</ns0:v>
      </ns0:c>
      <ns0:c r="G1130" s="4" t="n">
        <ns0:v>2</ns0:v>
      </ns0:c>
      <ns0:c r="H1130" s="7" t="n">
        <ns0:v>5816.677558197747</ns0:v>
      </ns0:c>
      <ns0:c r="I1130" s="7" t="n">
        <ns0:v>4109.062234042553</ns0:v>
      </ns0:c>
      <ns0:c r="J1130" s="7" t="n">
        <ns0:v>1643.624893617021</ns0:v>
      </ns0:c>
      <ns0:c r="K1130" s="7" t="n">
        <ns0:v>42</ns0:v>
      </ns0:c>
      <ns0:c r="L1130" s="18" t="inlineStr">
        <ns0:is>
          <ns0:t>範囲内なし</ns0:t>
        </ns0:is>
      </ns0:c>
      <ns0:c r="M1130" s="7" t="n">
        <ns0:v>-42335.15820523906</ns0:v>
      </ns0:c>
      <ns0:c r="N1130" s="7" t="n">
        <ns0:v>-16483.60536310158</ns0:v>
      </ns0:c>
      <ns0:c r="O1130" s="7" t="n">
        <ns0:v>11487.97251032499</ns0:v>
      </ns0:c>
      <ns0:c r="P1130" s="7" t="n">
        <ns0:v>77486.87964695779</ns0:v>
      </ns0:c>
      <ns0:c r="Q1130" s="7" t="n">
        <ns0:v>299482.5081934892</ns0:v>
      </ns0:c>
      <ns0:c r="R1130" s="7" t="n">
        <ns0:v>1153467.208106349</ns0:v>
      </ns0:c>
    </ns0:row>
    <ns0:row r="1131" ht="24" customHeight="1">
      <ns0:c r="A1131" s="3" t="inlineStr">
        <ns0:is>
          <ns0:t>混在40/30/30</ns0:t>
        </ns0:is>
      </ns0:c>
      <ns0:c r="B1131" s="3" t="inlineStr">
        <ns0:is>
          <ns0:t>G0基本5000比較</ns0:t>
        </ns0:is>
      </ns0:c>
      <ns0:c r="C1131" s="3" t="inlineStr">
        <ns0:is>
          <ns0:t>A</ns0:t>
        </ns0:is>
      </ns0:c>
      <ns0:c r="D1131" s="4" t="n">
        <ns0:v>0</ns0:v>
      </ns0:c>
      <ns0:c r="E1131" s="4" t="n">
        <ns0:v>1000</ns0:v>
      </ns0:c>
      <ns0:c r="F1131" s="6" t="n">
        <ns0:v>0.4</ns0:v>
      </ns0:c>
      <ns0:c r="G1131" s="4" t="n">
        <ns0:v>3</ns0:v>
      </ns0:c>
      <ns0:c r="H1131" s="7" t="n">
        <ns0:v>5816.677558197747</ns0:v>
      </ns0:c>
      <ns0:c r="I1131" s="7" t="n">
        <ns0:v>4109.062234042553</ns0:v>
      </ns0:c>
      <ns0:c r="J1131" s="7" t="n">
        <ns0:v>1643.624893617021</ns0:v>
      </ns0:c>
      <ns0:c r="K1131" s="7" t="n">
        <ns0:v>30</ns0:v>
      </ns0:c>
      <ns0:c r="L1131" s="18" t="inlineStr">
        <ns0:is>
          <ns0:t>範囲内なし</ns0:t>
        </ns0:is>
      </ns0:c>
      <ns0:c r="M1131" s="7" t="n">
        <ns0:v>-36321.77288851367</ns0:v>
      </ns0:c>
      <ns0:c r="N1131" s="7" t="n">
        <ns0:v>1556.550587074584</ns0:v>
      </ns0:c>
      <ns0:c r="O1131" s="7" t="n">
        <ns0:v>41554.89909395193</ns0:v>
      </ns0:c>
      <ns0:c r="P1131" s="7" t="n">
        <ns0:v>137620.7328142117</ns0:v>
      </ns0:c>
      <ns0:c r="Q1131" s="7" t="n">
        <ns0:v>479884.0676952509</ns0:v>
      </ns0:c>
      <ns0:c r="R1131" s="7" t="n">
        <ns0:v>1754805.739778887</ns0:v>
      </ns0:c>
    </ns0:row>
    <ns0:row r="1132" ht="24" customHeight="1">
      <ns0:c r="A1132" s="3" t="inlineStr">
        <ns0:is>
          <ns0:t>混在40/30/30</ns0:t>
        </ns0:is>
      </ns0:c>
      <ns0:c r="B1132" s="3" t="inlineStr">
        <ns0:is>
          <ns0:t>G0基本5000比較</ns0:t>
        </ns0:is>
      </ns0:c>
      <ns0:c r="C1132" s="3" t="inlineStr">
        <ns0:is>
          <ns0:t>A</ns0:t>
        </ns0:is>
      </ns0:c>
      <ns0:c r="D1132" s="4" t="n">
        <ns0:v>0</ns0:v>
      </ns0:c>
      <ns0:c r="E1132" s="4" t="n">
        <ns0:v>1000</ns0:v>
      </ns0:c>
      <ns0:c r="F1132" s="6" t="n">
        <ns0:v>0.5</ns0:v>
      </ns0:c>
      <ns0:c r="G1132" s="4" t="n">
        <ns0:v>0</ns0:v>
      </ns0:c>
      <ns0:c r="H1132" s="7" t="n">
        <ns0:v>5816.677558197747</ns0:v>
      </ns0:c>
      <ns0:c r="I1132" s="7" t="n">
        <ns0:v>4109.062234042553</ns0:v>
      </ns0:c>
      <ns0:c r="J1132" s="7" t="n">
        <ns0:v>2054.531117021277</ns0:v>
      </ns0:c>
      <ns0:c r="K1132" s="7" t="n">
        <ns0:v>27</ns0:v>
      </ns0:c>
      <ns0:c r="L1132" s="7" t="n">
        <ns0:v>72</ns0:v>
      </ns0:c>
      <ns0:c r="M1132" s="7" t="n">
        <ns0:v>-33087.02034038436</ns0:v>
      </ns0:c>
      <ns0:c r="N1132" s="7" t="n">
        <ns0:v>11260.80823146252</ns0:v>
      </ns0:c>
      <ns0:c r="O1132" s="7" t="n">
        <ns0:v>57728.66183459853</ns0:v>
      </ns0:c>
      <ns0:c r="P1132" s="7" t="n">
        <ns0:v>169968.2582955048</ns0:v>
      </ns0:c>
      <ns0:c r="Q1132" s="7" t="n">
        <ns0:v>576926.6441391304</ns0:v>
      </ns0:c>
      <ns0:c r="R1132" s="7" t="n">
        <ns0:v>2078280.994591819</ns0:v>
      </ns0:c>
    </ns0:row>
    <ns0:row r="1133" ht="24" customHeight="1">
      <ns0:c r="A1133" s="3" t="inlineStr">
        <ns0:is>
          <ns0:t>混在40/30/30</ns0:t>
        </ns0:is>
      </ns0:c>
      <ns0:c r="B1133" s="3" t="inlineStr">
        <ns0:is>
          <ns0:t>G0基本5000比較</ns0:t>
        </ns0:is>
      </ns0:c>
      <ns0:c r="C1133" s="3" t="inlineStr">
        <ns0:is>
          <ns0:t>A</ns0:t>
        </ns0:is>
      </ns0:c>
      <ns0:c r="D1133" s="4" t="n">
        <ns0:v>0</ns0:v>
      </ns0:c>
      <ns0:c r="E1133" s="4" t="n">
        <ns0:v>1000</ns0:v>
      </ns0:c>
      <ns0:c r="F1133" s="6" t="n">
        <ns0:v>0.5</ns0:v>
      </ns0:c>
      <ns0:c r="G1133" s="4" t="n">
        <ns0:v>1</ns0:v>
      </ns0:c>
      <ns0:c r="H1133" s="7" t="n">
        <ns0:v>5816.677558197747</ns0:v>
      </ns0:c>
      <ns0:c r="I1133" s="7" t="n">
        <ns0:v>4109.062234042553</ns0:v>
      </ns0:c>
      <ns0:c r="J1133" s="7" t="n">
        <ns0:v>2054.531117021277</ns0:v>
      </ns0:c>
      <ns0:c r="K1133" s="7" t="n">
        <ns0:v>29</ns0:v>
      </ns0:c>
      <ns0:c r="L1133" s="7" t="n">
        <ns0:v>217</ns0:v>
      </ns0:c>
      <ns0:c r="M1133" s="7" t="n">
        <ns0:v>-35306.56415224967</ns0:v>
      </ns0:c>
      <ns0:c r="N1133" s="7" t="n">
        <ns0:v>4602.176795866581</ns0:v>
      </ns0:c>
      <ns0:c r="O1133" s="7" t="n">
        <ns0:v>46630.94277527196</ns0:v>
      </ns0:c>
      <ns0:c r="P1133" s="7" t="n">
        <ns0:v>147772.8201768517</ns0:v>
      </ns0:c>
      <ns0:c r="Q1133" s="7" t="n">
        <ns0:v>510340.3297831709</ns0:v>
      </ns0:c>
      <ns0:c r="R1133" s="7" t="n">
        <ns0:v>1856326.613405288</ns0:v>
      </ns0:c>
    </ns0:row>
    <ns0:row r="1134" ht="24" customHeight="1">
      <ns0:c r="A1134" s="3" t="inlineStr">
        <ns0:is>
          <ns0:t>混在40/30/30</ns0:t>
        </ns0:is>
      </ns0:c>
      <ns0:c r="B1134" s="3" t="inlineStr">
        <ns0:is>
          <ns0:t>G0基本5000比較</ns0:t>
        </ns0:is>
      </ns0:c>
      <ns0:c r="C1134" s="3" t="inlineStr">
        <ns0:is>
          <ns0:t>A</ns0:t>
        </ns0:is>
      </ns0:c>
      <ns0:c r="D1134" s="4" t="n">
        <ns0:v>0</ns0:v>
      </ns0:c>
      <ns0:c r="E1134" s="4" t="n">
        <ns0:v>1000</ns0:v>
      </ns0:c>
      <ns0:c r="F1134" s="6" t="n">
        <ns0:v>0.5</ns0:v>
      </ns0:c>
      <ns0:c r="G1134" s="4" t="n">
        <ns0:v>2</ns0:v>
      </ns0:c>
      <ns0:c r="H1134" s="7" t="n">
        <ns0:v>5816.677558197747</ns0:v>
      </ns0:c>
      <ns0:c r="I1134" s="7" t="n">
        <ns0:v>4109.062234042553</ns0:v>
      </ns0:c>
      <ns0:c r="J1134" s="7" t="n">
        <ns0:v>2054.531117021277</ns0:v>
      </ns0:c>
      <ns0:c r="K1134" s="7" t="n">
        <ns0:v>60</ns0:v>
      </ns0:c>
      <ns0:c r="L1134" s="18" t="inlineStr">
        <ns0:is>
          <ns0:t>範囲内なし</ns0:t>
        </ns0:is>
      </ns0:c>
      <ns0:c r="M1134" s="7" t="n">
        <ns0:v>-46444.22043928161</ns0:v>
      </ns0:c>
      <ns0:c r="N1134" s="7" t="n">
        <ns0:v>-28810.79206522925</ns0:v>
      </ns0:c>
      <ns0:c r="O1134" s="7" t="n">
        <ns0:v>-9057.338659887741</ns0:v>
      </ns0:c>
      <ns0:c r="P1134" s="7" t="n">
        <ns0:v>36396.25730653229</ns0:v>
      </ns0:c>
      <ns0:c r="Q1134" s="7" t="n">
        <ns0:v>176210.6411722127</ns0:v>
      </ns0:c>
      <ns0:c r="R1134" s="7" t="n">
        <ns0:v>742560.9847020933</ns0:v>
      </ns0:c>
    </ns0:row>
    <ns0:row r="1135" ht="24" customHeight="1">
      <ns0:c r="A1135" s="3" t="inlineStr">
        <ns0:is>
          <ns0:t>混在40/30/30</ns0:t>
        </ns0:is>
      </ns0:c>
      <ns0:c r="B1135" s="3" t="inlineStr">
        <ns0:is>
          <ns0:t>G0基本5000比較</ns0:t>
        </ns0:is>
      </ns0:c>
      <ns0:c r="C1135" s="3" t="inlineStr">
        <ns0:is>
          <ns0:t>A</ns0:t>
        </ns0:is>
      </ns0:c>
      <ns0:c r="D1135" s="4" t="n">
        <ns0:v>0</ns0:v>
      </ns0:c>
      <ns0:c r="E1135" s="4" t="n">
        <ns0:v>1000</ns0:v>
      </ns0:c>
      <ns0:c r="F1135" s="6" t="n">
        <ns0:v>0.5</ns0:v>
      </ns0:c>
      <ns0:c r="G1135" s="4" t="n">
        <ns0:v>3</ns0:v>
      </ns0:c>
      <ns0:c r="H1135" s="7" t="n">
        <ns0:v>5816.677558197747</ns0:v>
      </ns0:c>
      <ns0:c r="I1135" s="7" t="n">
        <ns0:v>4109.062234042553</ns0:v>
      </ns0:c>
      <ns0:c r="J1135" s="7" t="n">
        <ns0:v>2054.531117021277</ns0:v>
      </ns0:c>
      <ns0:c r="K1135" s="7" t="n">
        <ns0:v>37</ns0:v>
      </ns0:c>
      <ns0:c r="L1135" s="18" t="inlineStr">
        <ns0:is>
          <ns0:t>範囲内なし</ns0:t>
        </ns0:is>
      </ns0:c>
      <ns0:c r="M1135" s="7" t="n">
        <ns0:v>-40430.83512255622</ns0:v>
      </ns0:c>
      <ns0:c r="N1135" s="7" t="n">
        <ns0:v>-10770.63611505309</ns0:v>
      </ns0:c>
      <ns0:c r="O1135" s="7" t="n">
        <ns0:v>21009.58792373918</ns0:v>
      </ns0:c>
      <ns0:c r="P1135" s="7" t="n">
        <ns0:v>96530.11047378616</ns0:v>
      </ns0:c>
      <ns0:c r="Q1135" s="7" t="n">
        <ns0:v>356612.2006739742</ns0:v>
      </ns0:c>
      <ns0:c r="R1135" s="7" t="n">
        <ns0:v>1343899.516374632</ns0:v>
      </ns0:c>
    </ns0:row>
    <ns0:row r="1136" ht="24" customHeight="1">
      <ns0:c r="A1136" s="3" t="inlineStr">
        <ns0:is>
          <ns0:t>混在40/30/30</ns0:t>
        </ns0:is>
      </ns0:c>
      <ns0:c r="B1136" s="3" t="inlineStr">
        <ns0:is>
          <ns0:t>G0基本5000比較</ns0:t>
        </ns0:is>
      </ns0:c>
      <ns0:c r="C1136" s="3" t="inlineStr">
        <ns0:is>
          <ns0:t>A</ns0:t>
        </ns0:is>
      </ns0:c>
      <ns0:c r="D1136" s="4" t="n">
        <ns0:v>0</ns0:v>
      </ns0:c>
      <ns0:c r="E1136" s="4" t="n">
        <ns0:v>1500</ns0:v>
      </ns0:c>
      <ns0:c r="F1136" s="6" t="n">
        <ns0:v>0.3</ns0:v>
      </ns0:c>
      <ns0:c r="G1136" s="4" t="n">
        <ns0:v>0</ns0:v>
      </ns0:c>
      <ns0:c r="H1136" s="7" t="n">
        <ns0:v>5666.677558197747</ns0:v>
      </ns0:c>
      <ns0:c r="I1136" s="7" t="n">
        <ns0:v>3959.062234042553</ns0:v>
      </ns0:c>
      <ns0:c r="J1136" s="7" t="n">
        <ns0:v>1187.718670212766</ns0:v>
      </ns0:c>
      <ns0:c r="K1136" s="7" t="n">
        <ns0:v>22</ns0:v>
      </ns0:c>
      <ns0:c r="L1136" s="7" t="n">
        <ns0:v>55</ns0:v>
      </ns0:c>
      <ns0:c r="M1136" s="7" t="n">
        <ns0:v>-25864.89587229926</ns0:v>
      </ns0:c>
      <ns0:c r="N1136" s="7" t="n">
        <ns0:v>32927.18163571783</ns0:v>
      </ns0:c>
      <ns0:c r="O1136" s="7" t="n">
        <ns0:v>93839.28417502406</ns0:v>
      </ns0:c>
      <ns0:c r="P1136" s="7" t="n">
        <ns0:v>242189.5029763559</ns0:v>
      </ns0:c>
      <ns0:c r="Q1136" s="7" t="n">
        <ns0:v>793590.3781816834</ns0:v>
      </ns0:c>
      <ns0:c r="R1136" s="7" t="n">
        <ns0:v>2800493.441400329</ns0:v>
      </ns0:c>
    </ns0:row>
    <ns0:row r="1137" ht="24" customHeight="1">
      <ns0:c r="A1137" s="3" t="inlineStr">
        <ns0:is>
          <ns0:t>混在40/30/30</ns0:t>
        </ns0:is>
      </ns0:c>
      <ns0:c r="B1137" s="3" t="inlineStr">
        <ns0:is>
          <ns0:t>G0基本5000比較</ns0:t>
        </ns0:is>
      </ns0:c>
      <ns0:c r="C1137" s="3" t="inlineStr">
        <ns0:is>
          <ns0:t>A</ns0:t>
        </ns0:is>
      </ns0:c>
      <ns0:c r="D1137" s="4" t="n">
        <ns0:v>0</ns0:v>
      </ns0:c>
      <ns0:c r="E1137" s="4" t="n">
        <ns0:v>1500</ns0:v>
      </ns0:c>
      <ns0:c r="F1137" s="6" t="n">
        <ns0:v>0.3</ns0:v>
      </ns0:c>
      <ns0:c r="G1137" s="4" t="n">
        <ns0:v>1</ns0:v>
      </ns0:c>
      <ns0:c r="H1137" s="7" t="n">
        <ns0:v>5666.677558197747</ns0:v>
      </ns0:c>
      <ns0:c r="I1137" s="7" t="n">
        <ns0:v>3959.062234042553</ns0:v>
      </ns0:c>
      <ns0:c r="J1137" s="7" t="n">
        <ns0:v>1187.718670212766</ns0:v>
      </ns0:c>
      <ns0:c r="K1137" s="7" t="n">
        <ns0:v>23</ns0:v>
      </ns0:c>
      <ns0:c r="L1137" s="7" t="n">
        <ns0:v>86</ns0:v>
      </ns0:c>
      <ns0:c r="M1137" s="7" t="n">
        <ns0:v>-28084.43968416458</ns0:v>
      </ns0:c>
      <ns0:c r="N1137" s="7" t="n">
        <ns0:v>26268.5502001219</ns0:v>
      </ns0:c>
      <ns0:c r="O1137" s="7" t="n">
        <ns0:v>82741.56511569749</ns0:v>
      </ns0:c>
      <ns0:c r="P1137" s="7" t="n">
        <ns0:v>219994.0648577028</ns0:v>
      </ns0:c>
      <ns0:c r="Q1137" s="7" t="n">
        <ns0:v>727004.0638257241</ns0:v>
      </ns0:c>
      <ns0:c r="R1137" s="7" t="n">
        <ns0:v>2578539.060213798</ns0:v>
      </ns0:c>
    </ns0:row>
    <ns0:row r="1138" ht="24" customHeight="1">
      <ns0:c r="A1138" s="3" t="inlineStr">
        <ns0:is>
          <ns0:t>混在40/30/30</ns0:t>
        </ns0:is>
      </ns0:c>
      <ns0:c r="B1138" s="3" t="inlineStr">
        <ns0:is>
          <ns0:t>G0基本5000比較</ns0:t>
        </ns0:is>
      </ns0:c>
      <ns0:c r="C1138" s="3" t="inlineStr">
        <ns0:is>
          <ns0:t>A</ns0:t>
        </ns0:is>
      </ns0:c>
      <ns0:c r="D1138" s="4" t="n">
        <ns0:v>0</ns0:v>
      </ns0:c>
      <ns0:c r="E1138" s="4" t="n">
        <ns0:v>1500</ns0:v>
      </ns0:c>
      <ns0:c r="F1138" s="6" t="n">
        <ns0:v>0.3</ns0:v>
      </ns0:c>
      <ns0:c r="G1138" s="4" t="n">
        <ns0:v>2</ns0:v>
      </ns0:c>
      <ns0:c r="H1138" s="7" t="n">
        <ns0:v>5666.677558197747</ns0:v>
      </ns0:c>
      <ns0:c r="I1138" s="7" t="n">
        <ns0:v>3959.062234042553</ns0:v>
      </ns0:c>
      <ns0:c r="J1138" s="7" t="n">
        <ns0:v>1187.718670212766</ns0:v>
      </ns0:c>
      <ns0:c r="K1138" s="7" t="n">
        <ns0:v>34</ns0:v>
      </ns0:c>
      <ns0:c r="L1138" s="18" t="inlineStr">
        <ns0:is>
          <ns0:t>範囲内なし</ns0:t>
        </ns0:is>
      </ns0:c>
      <ns0:c r="M1138" s="7" t="n">
        <ns0:v>-39222.09597119651</ns0:v>
      </ns0:c>
      <ns0:c r="N1138" s="7" t="n">
        <ns0:v>-7144.418660973934</ns0:v>
      </ns0:c>
      <ns0:c r="O1138" s="7" t="n">
        <ns0:v>27053.28368053777</ns0:v>
      </ns0:c>
      <ns0:c r="P1138" s="7" t="n">
        <ns0:v>108617.5019873834</ns0:v>
      </ns0:c>
      <ns0:c r="Q1138" s="7" t="n">
        <ns0:v>392874.3752147657</ns0:v>
      </ns0:c>
      <ns0:c r="R1138" s="7" t="n">
        <ns0:v>1464773.431510603</ns0:v>
      </ns0:c>
    </ns0:row>
    <ns0:row r="1139" ht="24" customHeight="1">
      <ns0:c r="A1139" s="3" t="inlineStr">
        <ns0:is>
          <ns0:t>混在40/30/30</ns0:t>
        </ns0:is>
      </ns0:c>
      <ns0:c r="B1139" s="3" t="inlineStr">
        <ns0:is>
          <ns0:t>G0基本5000比較</ns0:t>
        </ns0:is>
      </ns0:c>
      <ns0:c r="C1139" s="3" t="inlineStr">
        <ns0:is>
          <ns0:t>A</ns0:t>
        </ns0:is>
      </ns0:c>
      <ns0:c r="D1139" s="4" t="n">
        <ns0:v>0</ns0:v>
      </ns0:c>
      <ns0:c r="E1139" s="4" t="n">
        <ns0:v>1500</ns0:v>
      </ns0:c>
      <ns0:c r="F1139" s="6" t="n">
        <ns0:v>0.3</ns0:v>
      </ns0:c>
      <ns0:c r="G1139" s="4" t="n">
        <ns0:v>3</ns0:v>
      </ns0:c>
      <ns0:c r="H1139" s="7" t="n">
        <ns0:v>5666.677558197747</ns0:v>
      </ns0:c>
      <ns0:c r="I1139" s="7" t="n">
        <ns0:v>3959.062234042553</ns0:v>
      </ns0:c>
      <ns0:c r="J1139" s="7" t="n">
        <ns0:v>1187.718670212766</ns0:v>
      </ns0:c>
      <ns0:c r="K1139" s="7" t="n">
        <ns0:v>27</ns0:v>
      </ns0:c>
      <ns0:c r="L1139" s="18" t="inlineStr">
        <ns0:is>
          <ns0:t>範囲内なし</ns0:t>
        </ns0:is>
      </ns0:c>
      <ns0:c r="M1139" s="7" t="n">
        <ns0:v>-33208.71065447113</ns0:v>
      </ns0:c>
      <ns0:c r="N1139" s="7" t="n">
        <ns0:v>10895.73728920222</ns0:v>
      </ns0:c>
      <ns0:c r="O1139" s="7" t="n">
        <ns0:v>57120.21026416471</ns0:v>
      </ns0:c>
      <ns0:c r="P1139" s="7" t="n">
        <ns0:v>168751.3551546372</ns0:v>
      </ns0:c>
      <ns0:c r="Q1139" s="7" t="n">
        <ns0:v>573275.9347165274</ns0:v>
      </ns0:c>
      <ns0:c r="R1139" s="7" t="n">
        <ns0:v>2066111.963183142</ns0:v>
      </ns0:c>
    </ns0:row>
    <ns0:row r="1140" ht="24" customHeight="1">
      <ns0:c r="A1140" s="3" t="inlineStr">
        <ns0:is>
          <ns0:t>混在40/30/30</ns0:t>
        </ns0:is>
      </ns0:c>
      <ns0:c r="B1140" s="3" t="inlineStr">
        <ns0:is>
          <ns0:t>G0基本5000比較</ns0:t>
        </ns0:is>
      </ns0:c>
      <ns0:c r="C1140" s="3" t="inlineStr">
        <ns0:is>
          <ns0:t>A</ns0:t>
        </ns0:is>
      </ns0:c>
      <ns0:c r="D1140" s="4" t="n">
        <ns0:v>0</ns0:v>
      </ns0:c>
      <ns0:c r="E1140" s="4" t="n">
        <ns0:v>1500</ns0:v>
      </ns0:c>
      <ns0:c r="F1140" s="6" t="n">
        <ns0:v>0.4</ns0:v>
      </ns0:c>
      <ns0:c r="G1140" s="4" t="n">
        <ns0:v>0</ns0:v>
      </ns0:c>
      <ns0:c r="H1140" s="7" t="n">
        <ns0:v>5666.677558197747</ns0:v>
      </ns0:c>
      <ns0:c r="I1140" s="7" t="n">
        <ns0:v>3959.062234042553</ns0:v>
      </ns0:c>
      <ns0:c r="J1140" s="7" t="n">
        <ns0:v>1583.624893617021</ns0:v>
      </ns0:c>
      <ns0:c r="K1140" s="7" t="n">
        <ns0:v>24</ns0:v>
      </ns0:c>
      <ns0:c r="L1140" s="7" t="n">
        <ns0:v>64</ns0:v>
      </ns0:c>
      <ns0:c r="M1140" s="7" t="n">
        <ns0:v>-29823.9581063418</ns0:v>
      </ns0:c>
      <ns0:c r="N1140" s="7" t="n">
        <ns0:v>21049.99493359018</ns0:v>
      </ns0:c>
      <ns0:c r="O1140" s="7" t="n">
        <ns0:v>74043.9730048113</ns0:v>
      </ns0:c>
      <ns0:c r="P1140" s="7" t="n">
        <ns0:v>202598.8806359304</ns0:v>
      </ns0:c>
      <ns0:c r="Q1140" s="7" t="n">
        <ns0:v>674818.5111604066</ns0:v>
      </ns0:c>
      <ns0:c r="R1140" s="7" t="n">
        <ns0:v>2404587.217996074</ns0:v>
      </ns0:c>
    </ns0:row>
    <ns0:row r="1141" ht="24" customHeight="1">
      <ns0:c r="A1141" s="3" t="inlineStr">
        <ns0:is>
          <ns0:t>混在40/30/30</ns0:t>
        </ns0:is>
      </ns0:c>
      <ns0:c r="B1141" s="3" t="inlineStr">
        <ns0:is>
          <ns0:t>G0基本5000比較</ns0:t>
        </ns0:is>
      </ns0:c>
      <ns0:c r="C1141" s="3" t="inlineStr">
        <ns0:is>
          <ns0:t>A</ns0:t>
        </ns0:is>
      </ns0:c>
      <ns0:c r="D1141" s="4" t="n">
        <ns0:v>0</ns0:v>
      </ns0:c>
      <ns0:c r="E1141" s="4" t="n">
        <ns0:v>1500</ns0:v>
      </ns0:c>
      <ns0:c r="F1141" s="6" t="n">
        <ns0:v>0.4</ns0:v>
      </ns0:c>
      <ns0:c r="G1141" s="4" t="n">
        <ns0:v>1</ns0:v>
      </ns0:c>
      <ns0:c r="H1141" s="7" t="n">
        <ns0:v>5666.677558197747</ns0:v>
      </ns0:c>
      <ns0:c r="I1141" s="7" t="n">
        <ns0:v>3959.062234042553</ns0:v>
      </ns0:c>
      <ns0:c r="J1141" s="7" t="n">
        <ns0:v>1583.624893617021</ns0:v>
      </ns0:c>
      <ns0:c r="K1141" s="7" t="n">
        <ns0:v>26</ns0:v>
      </ns0:c>
      <ns0:c r="L1141" s="7" t="n">
        <ns0:v>174</ns0:v>
      </ns0:c>
      <ns0:c r="M1141" s="7" t="n">
        <ns0:v>-32043.50191820712</ns0:v>
      </ns0:c>
      <ns0:c r="N1141" s="7" t="n">
        <ns0:v>14391.36349799424</ns0:v>
      </ns0:c>
      <ns0:c r="O1141" s="7" t="n">
        <ns0:v>62946.25394548473</ns0:v>
      </ns0:c>
      <ns0:c r="P1141" s="7" t="n">
        <ns0:v>180403.4425172773</ns0:v>
      </ns0:c>
      <ns0:c r="Q1141" s="7" t="n">
        <ns0:v>608232.1968044472</ns0:v>
      </ns0:c>
      <ns0:c r="R1141" s="7" t="n">
        <ns0:v>2182632.836809543</ns0:v>
      </ns0:c>
    </ns0:row>
    <ns0:row r="1142" ht="24" customHeight="1">
      <ns0:c r="A1142" s="3" t="inlineStr">
        <ns0:is>
          <ns0:t>混在40/30/30</ns0:t>
        </ns0:is>
      </ns0:c>
      <ns0:c r="B1142" s="3" t="inlineStr">
        <ns0:is>
          <ns0:t>G0基本5000比較</ns0:t>
        </ns0:is>
      </ns0:c>
      <ns0:c r="C1142" s="3" t="inlineStr">
        <ns0:is>
          <ns0:t>A</ns0:t>
        </ns0:is>
      </ns0:c>
      <ns0:c r="D1142" s="4" t="n">
        <ns0:v>0</ns0:v>
      </ns0:c>
      <ns0:c r="E1142" s="4" t="n">
        <ns0:v>1500</ns0:v>
      </ns0:c>
      <ns0:c r="F1142" s="6" t="n">
        <ns0:v>0.4</ns0:v>
      </ns0:c>
      <ns0:c r="G1142" s="4" t="n">
        <ns0:v>2</ns0:v>
      </ns0:c>
      <ns0:c r="H1142" s="7" t="n">
        <ns0:v>5666.677558197747</ns0:v>
      </ns0:c>
      <ns0:c r="I1142" s="7" t="n">
        <ns0:v>3959.062234042553</ns0:v>
      </ns0:c>
      <ns0:c r="J1142" s="7" t="n">
        <ns0:v>1583.624893617021</ns0:v>
      </ns0:c>
      <ns0:c r="K1142" s="7" t="n">
        <ns0:v>45</ns0:v>
      </ns0:c>
      <ns0:c r="L1142" s="18" t="inlineStr">
        <ns0:is>
          <ns0:t>範囲内なし</ns0:t>
        </ns0:is>
      </ns0:c>
      <ns0:c r="M1142" s="7" t="n">
        <ns0:v>-43181.15820523906</ns0:v>
      </ns0:c>
      <ns0:c r="N1142" s="7" t="n">
        <ns0:v>-19021.60536310159</ns0:v>
      </ns0:c>
      <ns0:c r="O1142" s="7" t="n">
        <ns0:v>7257.972510325024</ns0:v>
      </ns0:c>
      <ns0:c r="P1142" s="7" t="n">
        <ns0:v>69026.87964695782</ns0:v>
      </ns0:c>
      <ns0:c r="Q1142" s="7" t="n">
        <ns0:v>274102.5081934889</ns0:v>
      </ns0:c>
      <ns0:c r="R1142" s="7" t="n">
        <ns0:v>1068867.208106349</ns0:v>
      </ns0:c>
    </ns0:row>
    <ns0:row r="1143" ht="24" customHeight="1">
      <ns0:c r="A1143" s="3" t="inlineStr">
        <ns0:is>
          <ns0:t>混在40/30/30</ns0:t>
        </ns0:is>
      </ns0:c>
      <ns0:c r="B1143" s="3" t="inlineStr">
        <ns0:is>
          <ns0:t>G0基本5000比較</ns0:t>
        </ns0:is>
      </ns0:c>
      <ns0:c r="C1143" s="3" t="inlineStr">
        <ns0:is>
          <ns0:t>A</ns0:t>
        </ns0:is>
      </ns0:c>
      <ns0:c r="D1143" s="4" t="n">
        <ns0:v>0</ns0:v>
      </ns0:c>
      <ns0:c r="E1143" s="4" t="n">
        <ns0:v>1500</ns0:v>
      </ns0:c>
      <ns0:c r="F1143" s="6" t="n">
        <ns0:v>0.4</ns0:v>
      </ns0:c>
      <ns0:c r="G1143" s="4" t="n">
        <ns0:v>3</ns0:v>
      </ns0:c>
      <ns0:c r="H1143" s="7" t="n">
        <ns0:v>5666.677558197747</ns0:v>
      </ns0:c>
      <ns0:c r="I1143" s="7" t="n">
        <ns0:v>3959.062234042553</ns0:v>
      </ns0:c>
      <ns0:c r="J1143" s="7" t="n">
        <ns0:v>1583.624893617021</ns0:v>
      </ns0:c>
      <ns0:c r="K1143" s="7" t="n">
        <ns0:v>31</ns0:v>
      </ns0:c>
      <ns0:c r="L1143" s="18" t="inlineStr">
        <ns0:is>
          <ns0:t>範囲内なし</ns0:t>
        </ns0:is>
      </ns0:c>
      <ns0:c r="M1143" s="7" t="n">
        <ns0:v>-37167.77288851367</ns0:v>
      </ns0:c>
      <ns0:c r="N1143" s="7" t="n">
        <ns0:v>-981.4494129254308</ns0:v>
      </ns0:c>
      <ns0:c r="O1143" s="7" t="n">
        <ns0:v>37324.89909395194</ns0:v>
      </ns0:c>
      <ns0:c r="P1143" s="7" t="n">
        <ns0:v>129160.7328142117</ns0:v>
      </ns0:c>
      <ns0:c r="Q1143" s="7" t="n">
        <ns0:v>454504.0676952505</ns0:v>
      </ns0:c>
      <ns0:c r="R1143" s="7" t="n">
        <ns0:v>1670205.739778887</ns0:v>
      </ns0:c>
    </ns0:row>
    <ns0:row r="1144" ht="24" customHeight="1">
      <ns0:c r="A1144" s="3" t="inlineStr">
        <ns0:is>
          <ns0:t>混在40/30/30</ns0:t>
        </ns0:is>
      </ns0:c>
      <ns0:c r="B1144" s="3" t="inlineStr">
        <ns0:is>
          <ns0:t>G0基本5000比較</ns0:t>
        </ns0:is>
      </ns0:c>
      <ns0:c r="C1144" s="3" t="inlineStr">
        <ns0:is>
          <ns0:t>A</ns0:t>
        </ns0:is>
      </ns0:c>
      <ns0:c r="D1144" s="4" t="n">
        <ns0:v>0</ns0:v>
      </ns0:c>
      <ns0:c r="E1144" s="4" t="n">
        <ns0:v>1500</ns0:v>
      </ns0:c>
      <ns0:c r="F1144" s="6" t="n">
        <ns0:v>0.5</ns0:v>
      </ns0:c>
      <ns0:c r="G1144" s="4" t="n">
        <ns0:v>0</ns0:v>
      </ns0:c>
      <ns0:c r="H1144" s="7" t="n">
        <ns0:v>5666.677558197747</ns0:v>
      </ns0:c>
      <ns0:c r="I1144" s="7" t="n">
        <ns0:v>3959.062234042553</ns0:v>
      </ns0:c>
      <ns0:c r="J1144" s="7" t="n">
        <ns0:v>1979.531117021277</ns0:v>
      </ns0:c>
      <ns0:c r="K1144" s="7" t="n">
        <ns0:v>27</ns0:v>
      </ns0:c>
      <ns0:c r="L1144" s="7" t="n">
        <ns0:v>74</ns0:v>
      </ns0:c>
      <ns0:c r="M1144" s="7" t="n">
        <ns0:v>-33783.02034038436</ns0:v>
      </ns0:c>
      <ns0:c r="N1144" s="7" t="n">
        <ns0:v>9172.808231462521</ns0:v>
      </ns0:c>
      <ns0:c r="O1144" s="7" t="n">
        <ns0:v>54248.66183459856</ns0:v>
      </ns0:c>
      <ns0:c r="P1144" s="7" t="n">
        <ns0:v>163008.2582955049</ns0:v>
      </ns0:c>
      <ns0:c r="Q1144" s="7" t="n">
        <ns0:v>556046.6441391301</ns0:v>
      </ns0:c>
      <ns0:c r="R1144" s="7" t="n">
        <ns0:v>2008680.994591819</ns0:v>
      </ns0:c>
    </ns0:row>
    <ns0:row r="1145" ht="24" customHeight="1">
      <ns0:c r="A1145" s="3" t="inlineStr">
        <ns0:is>
          <ns0:t>混在40/30/30</ns0:t>
        </ns0:is>
      </ns0:c>
      <ns0:c r="B1145" s="3" t="inlineStr">
        <ns0:is>
          <ns0:t>G0基本5000比較</ns0:t>
        </ns0:is>
      </ns0:c>
      <ns0:c r="C1145" s="3" t="inlineStr">
        <ns0:is>
          <ns0:t>A</ns0:t>
        </ns0:is>
      </ns0:c>
      <ns0:c r="D1145" s="4" t="n">
        <ns0:v>0</ns0:v>
      </ns0:c>
      <ns0:c r="E1145" s="4" t="n">
        <ns0:v>1500</ns0:v>
      </ns0:c>
      <ns0:c r="F1145" s="6" t="n">
        <ns0:v>0.5</ns0:v>
      </ns0:c>
      <ns0:c r="G1145" s="4" t="n">
        <ns0:v>1</ns0:v>
      </ns0:c>
      <ns0:c r="H1145" s="7" t="n">
        <ns0:v>5666.677558197747</ns0:v>
      </ns0:c>
      <ns0:c r="I1145" s="7" t="n">
        <ns0:v>3959.062234042553</ns0:v>
      </ns0:c>
      <ns0:c r="J1145" s="7" t="n">
        <ns0:v>1979.531117021277</ns0:v>
      </ns0:c>
      <ns0:c r="K1145" s="7" t="n">
        <ns0:v>30</ns0:v>
      </ns0:c>
      <ns0:c r="L1145" s="7" t="n">
        <ns0:v>231</ns0:v>
      </ns0:c>
      <ns0:c r="M1145" s="7" t="n">
        <ns0:v>-36002.56415224967</ns0:v>
      </ns0:c>
      <ns0:c r="N1145" s="7" t="n">
        <ns0:v>2514.176795866588</ns0:v>
      </ns0:c>
      <ns0:c r="O1145" s="7" t="n">
        <ns0:v>43150.942775272</ns0:v>
      </ns0:c>
      <ns0:c r="P1145" s="7" t="n">
        <ns0:v>140812.8201768518</ns0:v>
      </ns0:c>
      <ns0:c r="Q1145" s="7" t="n">
        <ns0:v>489460.3297831707</ns0:v>
      </ns0:c>
      <ns0:c r="R1145" s="7" t="n">
        <ns0:v>1786726.613405288</ns0:v>
      </ns0:c>
    </ns0:row>
    <ns0:row r="1146" ht="24" customHeight="1">
      <ns0:c r="A1146" s="3" t="inlineStr">
        <ns0:is>
          <ns0:t>混在40/30/30</ns0:t>
        </ns0:is>
      </ns0:c>
      <ns0:c r="B1146" s="3" t="inlineStr">
        <ns0:is>
          <ns0:t>G0基本5000比較</ns0:t>
        </ns0:is>
      </ns0:c>
      <ns0:c r="C1146" s="3" t="inlineStr">
        <ns0:is>
          <ns0:t>A</ns0:t>
        </ns0:is>
      </ns0:c>
      <ns0:c r="D1146" s="4" t="n">
        <ns0:v>0</ns0:v>
      </ns0:c>
      <ns0:c r="E1146" s="4" t="n">
        <ns0:v>1500</ns0:v>
      </ns0:c>
      <ns0:c r="F1146" s="6" t="n">
        <ns0:v>0.5</ns0:v>
      </ns0:c>
      <ns0:c r="G1146" s="4" t="n">
        <ns0:v>2</ns0:v>
      </ns0:c>
      <ns0:c r="H1146" s="7" t="n">
        <ns0:v>5666.677558197747</ns0:v>
      </ns0:c>
      <ns0:c r="I1146" s="7" t="n">
        <ns0:v>3959.062234042553</ns0:v>
      </ns0:c>
      <ns0:c r="J1146" s="7" t="n">
        <ns0:v>1979.531117021277</ns0:v>
      </ns0:c>
      <ns0:c r="K1146" s="7" t="n">
        <ns0:v>65</ns0:v>
      </ns0:c>
      <ns0:c r="L1146" s="18" t="inlineStr">
        <ns0:is>
          <ns0:t>範囲内なし</ns0:t>
        </ns0:is>
      </ns0:c>
      <ns0:c r="M1146" s="7" t="n">
        <ns0:v>-47140.22043928161</ns0:v>
      </ns0:c>
      <ns0:c r="N1146" s="7" t="n">
        <ns0:v>-30898.79206522925</ns0:v>
      </ns0:c>
      <ns0:c r="O1146" s="7" t="n">
        <ns0:v>-12537.33865988771</ns0:v>
      </ns0:c>
      <ns0:c r="P1146" s="7" t="n">
        <ns0:v>29436.25730653238</ns0:v>
      </ns0:c>
      <ns0:c r="Q1146" s="7" t="n">
        <ns0:v>155330.6411722124</ns0:v>
      </ns0:c>
      <ns0:c r="R1146" s="7" t="n">
        <ns0:v>672960.9847020932</ns0:v>
      </ns0:c>
    </ns0:row>
    <ns0:row r="1147" ht="24" customHeight="1">
      <ns0:c r="A1147" s="3" t="inlineStr">
        <ns0:is>
          <ns0:t>混在40/30/30</ns0:t>
        </ns0:is>
      </ns0:c>
      <ns0:c r="B1147" s="3" t="inlineStr">
        <ns0:is>
          <ns0:t>G0基本5000比較</ns0:t>
        </ns0:is>
      </ns0:c>
      <ns0:c r="C1147" s="3" t="inlineStr">
        <ns0:is>
          <ns0:t>A</ns0:t>
        </ns0:is>
      </ns0:c>
      <ns0:c r="D1147" s="4" t="n">
        <ns0:v>0</ns0:v>
      </ns0:c>
      <ns0:c r="E1147" s="4" t="n">
        <ns0:v>1500</ns0:v>
      </ns0:c>
      <ns0:c r="F1147" s="6" t="n">
        <ns0:v>0.5</ns0:v>
      </ns0:c>
      <ns0:c r="G1147" s="4" t="n">
        <ns0:v>3</ns0:v>
      </ns0:c>
      <ns0:c r="H1147" s="7" t="n">
        <ns0:v>5666.677558197747</ns0:v>
      </ns0:c>
      <ns0:c r="I1147" s="7" t="n">
        <ns0:v>3959.062234042553</ns0:v>
      </ns0:c>
      <ns0:c r="J1147" s="7" t="n">
        <ns0:v>1979.531117021277</ns0:v>
      </ns0:c>
      <ns0:c r="K1147" s="7" t="n">
        <ns0:v>38</ns0:v>
      </ns0:c>
      <ns0:c r="L1147" s="18" t="inlineStr">
        <ns0:is>
          <ns0:t>範囲内なし</ns0:t>
        </ns0:is>
      </ns0:c>
      <ns0:c r="M1147" s="7" t="n">
        <ns0:v>-41126.83512255622</ns0:v>
      </ns0:c>
      <ns0:c r="N1147" s="7" t="n">
        <ns0:v>-12858.63611505309</ns0:v>
      </ns0:c>
      <ns0:c r="O1147" s="7" t="n">
        <ns0:v>17529.58792373922</ns0:v>
      </ns0:c>
      <ns0:c r="P1147" s="7" t="n">
        <ns0:v>89570.11047378623</ns0:v>
      </ns0:c>
      <ns0:c r="Q1147" s="7" t="n">
        <ns0:v>335732.200673974</ns0:v>
      </ns0:c>
      <ns0:c r="R1147" s="7" t="n">
        <ns0:v>1274299.516374632</ns0:v>
      </ns0:c>
    </ns0:row>
    <ns0:row r="1148" ht="24" customHeight="1">
      <ns0:c r="A1148" s="3" t="inlineStr">
        <ns0:is>
          <ns0:t>混在40/30/30</ns0:t>
        </ns0:is>
      </ns0:c>
      <ns0:c r="B1148" s="3" t="inlineStr">
        <ns0:is>
          <ns0:t>G0基本5000比較</ns0:t>
        </ns0:is>
      </ns0:c>
      <ns0:c r="C1148" s="3" t="inlineStr">
        <ns0:is>
          <ns0:t>A</ns0:t>
        </ns0:is>
      </ns0:c>
      <ns0:c r="D1148" s="4" t="n">
        <ns0:v>1</ns0:v>
      </ns0:c>
      <ns0:c r="E1148" s="4" t="n">
        <ns0:v>500</ns0:v>
      </ns0:c>
      <ns0:c r="F1148" s="6" t="n">
        <ns0:v>0.3</ns0:v>
      </ns0:c>
      <ns0:c r="G1148" s="4" t="n">
        <ns0:v>0</ns0:v>
      </ns0:c>
      <ns0:c r="H1148" s="7" t="n">
        <ns0:v>7031.587827405182</ns0:v>
      </ns0:c>
      <ns0:c r="I1148" s="7" t="n">
        <ns0:v>4350.280733275315</ns0:v>
      </ns0:c>
      <ns0:c r="J1148" s="7" t="n">
        <ns0:v>1305.084219982594</ns0:v>
      </ns0:c>
      <ns0:c r="K1148" s="7" t="n">
        <ns0:v>16</ns0:v>
      </ns0:c>
      <ns0:c r="L1148" s="7" t="n">
        <ns0:v>31</ns0:v>
      </ns0:c>
      <ns0:c r="M1148" s="7" t="n">
        <ns0:v>-14256.20632837751</ns0:v>
      </ns0:c>
      <ns0:c r="N1148" s="7" t="n">
        <ns0:v>60463.75306077916</ns0:v>
      </ns0:c>
      <ns0:c r="O1148" s="7" t="n">
        <ns0:v>137113.5448521705</ns0:v>
      </ns0:c>
      <ns0:c r="P1148" s="7" t="n">
        <ns0:v>328738.0243306488</ns0:v>
      </ns0:c>
      <ns0:c r="Q1148" s="7" t="n">
        <ns0:v>1053235.942244562</ns0:v>
      </ns0:c>
      <ns0:c r="R1148" s="7" t="n">
        <ns0:v>3665978.654943258</ns0:v>
      </ns0:c>
    </ns0:row>
    <ns0:row r="1149" ht="24" customHeight="1">
      <ns0:c r="A1149" s="3" t="inlineStr">
        <ns0:is>
          <ns0:t>混在40/30/30</ns0:t>
        </ns0:is>
      </ns0:c>
      <ns0:c r="B1149" s="3" t="inlineStr">
        <ns0:is>
          <ns0:t>G0基本5000比較</ns0:t>
        </ns0:is>
      </ns0:c>
      <ns0:c r="C1149" s="3" t="inlineStr">
        <ns0:is>
          <ns0:t>A</ns0:t>
        </ns0:is>
      </ns0:c>
      <ns0:c r="D1149" s="4" t="n">
        <ns0:v>1</ns0:v>
      </ns0:c>
      <ns0:c r="E1149" s="4" t="n">
        <ns0:v>500</ns0:v>
      </ns0:c>
      <ns0:c r="F1149" s="6" t="n">
        <ns0:v>0.3</ns0:v>
      </ns0:c>
      <ns0:c r="G1149" s="4" t="n">
        <ns0:v>1</ns0:v>
      </ns0:c>
      <ns0:c r="H1149" s="7" t="n">
        <ns0:v>7031.587827405182</ns0:v>
      </ns0:c>
      <ns0:c r="I1149" s="7" t="n">
        <ns0:v>4350.280733275315</ns0:v>
      </ns0:c>
      <ns0:c r="J1149" s="7" t="n">
        <ns0:v>1305.084219982594</ns0:v>
      </ns0:c>
      <ns0:c r="K1149" s="7" t="n">
        <ns0:v>16</ns0:v>
      </ns0:c>
      <ns0:c r="L1149" s="7" t="n">
        <ns0:v>40</ns0:v>
      </ns0:c>
      <ns0:c r="M1149" s="7" t="n">
        <ns0:v>-16825.42439634178</ns0:v>
      </ns0:c>
      <ns0:c r="N1149" s="7" t="n">
        <ns0:v>52756.09885688634</ns0:v>
      </ns0:c>
      <ns0:c r="O1149" s="7" t="n">
        <ns0:v>124267.4545123491</ns0:v>
      </ns0:c>
      <ns0:c r="P1149" s="7" t="n">
        <ns0:v>303045.8436510061</ns0:v>
      </ns0:c>
      <ns0:c r="Q1149" s="7" t="n">
        <ns0:v>976159.4002056336</ns0:v>
      </ns0:c>
      <ns0:c r="R1149" s="7" t="n">
        <ns0:v>3409056.848146831</ns0:v>
      </ns0:c>
    </ns0:row>
    <ns0:row r="1150" ht="24" customHeight="1">
      <ns0:c r="A1150" s="3" t="inlineStr">
        <ns0:is>
          <ns0:t>混在40/30/30</ns0:t>
        </ns0:is>
      </ns0:c>
      <ns0:c r="B1150" s="3" t="inlineStr">
        <ns0:is>
          <ns0:t>G0基本5000比較</ns0:t>
        </ns0:is>
      </ns0:c>
      <ns0:c r="C1150" s="3" t="inlineStr">
        <ns0:is>
          <ns0:t>A</ns0:t>
        </ns0:is>
      </ns0:c>
      <ns0:c r="D1150" s="4" t="n">
        <ns0:v>1</ns0:v>
      </ns0:c>
      <ns0:c r="E1150" s="4" t="n">
        <ns0:v>500</ns0:v>
      </ns0:c>
      <ns0:c r="F1150" s="6" t="n">
        <ns0:v>0.3</ns0:v>
      </ns0:c>
      <ns0:c r="G1150" s="4" t="n">
        <ns0:v>2</ns0:v>
      </ns0:c>
      <ns0:c r="H1150" s="7" t="n">
        <ns0:v>7031.587827405182</ns0:v>
      </ns0:c>
      <ns0:c r="I1150" s="7" t="n">
        <ns0:v>4350.280733275315</ns0:v>
      </ns0:c>
      <ns0:c r="J1150" s="7" t="n">
        <ns0:v>1305.084219982594</ns0:v>
      </ns0:c>
      <ns0:c r="K1150" s="7" t="n">
        <ns0:v>38</ns0:v>
      </ns0:c>
      <ns0:c r="L1150" s="18" t="inlineStr">
        <ns0:is>
          <ns0:t>範囲内なし</ns0:t>
        </ns0:is>
      </ns0:c>
      <ns0:c r="M1150" s="7" t="n">
        <ns0:v>-38057.26292768287</ns0:v>
      </ns0:c>
      <ns0:c r="N1150" s="7" t="n">
        <ns0:v>-10939.41673713693</ns0:v>
      </ns0:c>
      <ns0:c r="O1150" s="7" t="n">
        <ns0:v>18108.26185564369</ns0:v>
      </ns0:c>
      <ns0:c r="P1150" s="7" t="n">
        <ns0:v>90727.45833759519</ns0:v>
      </ns0:c>
      <ns0:c r="Q1150" s="7" t="n">
        <ns0:v>339204.2442654009</ns0:v>
      </ns0:c>
      <ns0:c r="R1150" s="7" t="n">
        <ns0:v>1285872.995012722</ns0:v>
      </ns0:c>
    </ns0:row>
    <ns0:row r="1151" ht="24" customHeight="1">
      <ns0:c r="A1151" s="3" t="inlineStr">
        <ns0:is>
          <ns0:t>混在40/30/30</ns0:t>
        </ns0:is>
      </ns0:c>
      <ns0:c r="B1151" s="3" t="inlineStr">
        <ns0:is>
          <ns0:t>G0基本5000比較</ns0:t>
        </ns0:is>
      </ns0:c>
      <ns0:c r="C1151" s="3" t="inlineStr">
        <ns0:is>
          <ns0:t>A</ns0:t>
        </ns0:is>
      </ns0:c>
      <ns0:c r="D1151" s="4" t="n">
        <ns0:v>1</ns0:v>
      </ns0:c>
      <ns0:c r="E1151" s="4" t="n">
        <ns0:v>500</ns0:v>
      </ns0:c>
      <ns0:c r="F1151" s="6" t="n">
        <ns0:v>0.3</ns0:v>
      </ns0:c>
      <ns0:c r="G1151" s="4" t="n">
        <ns0:v>3</ns0:v>
      </ns0:c>
      <ns0:c r="H1151" s="7" t="n">
        <ns0:v>7031.587827405182</ns0:v>
      </ns0:c>
      <ns0:c r="I1151" s="7" t="n">
        <ns0:v>4350.280733275315</ns0:v>
      </ns0:c>
      <ns0:c r="J1151" s="7" t="n">
        <ns0:v>1305.084219982594</ns0:v>
      </ns0:c>
      <ns0:c r="K1151" s="7" t="n">
        <ns0:v>20</ns0:v>
      </ns0:c>
      <ns0:c r="L1151" s="7" t="n">
        <ns0:v>189</ns0:v>
      </ns0:c>
      <ns0:c r="M1151" s="7" t="n">
        <ns0:v>-22466.17182459558</ns0:v>
      </ns0:c>
      <ns0:c r="N1151" s="7" t="n">
        <ns0:v>35833.85657212495</ns0:v>
      </ns0:c>
      <ns0:c r="O1151" s="7" t="n">
        <ns0:v>96063.71737108014</ns0:v>
      </ns0:c>
      <ns0:c r="P1151" s="7" t="n">
        <ns0:v>246638.3693684681</ns0:v>
      </ns0:c>
      <ns0:c r="Q1151" s="7" t="n">
        <ns0:v>806936.9773580196</ns0:v>
      </ns0:c>
      <ns0:c r="R1151" s="7" t="n">
        <ns0:v>2844982.105321451</ns0:v>
      </ns0:c>
    </ns0:row>
    <ns0:row r="1152" ht="24" customHeight="1">
      <ns0:c r="A1152" s="3" t="inlineStr">
        <ns0:is>
          <ns0:t>混在40/30/30</ns0:t>
        </ns0:is>
      </ns0:c>
      <ns0:c r="B1152" s="3" t="inlineStr">
        <ns0:is>
          <ns0:t>G0基本5000比較</ns0:t>
        </ns0:is>
      </ns0:c>
      <ns0:c r="C1152" s="3" t="inlineStr">
        <ns0:is>
          <ns0:t>A</ns0:t>
        </ns0:is>
      </ns0:c>
      <ns0:c r="D1152" s="4" t="n">
        <ns0:v>1</ns0:v>
      </ns0:c>
      <ns0:c r="E1152" s="4" t="n">
        <ns0:v>500</ns0:v>
      </ns0:c>
      <ns0:c r="F1152" s="6" t="n">
        <ns0:v>0.4</ns0:v>
      </ns0:c>
      <ns0:c r="G1152" s="4" t="n">
        <ns0:v>0</ns0:v>
      </ns0:c>
      <ns0:c r="H1152" s="7" t="n">
        <ns0:v>7031.587827405182</ns0:v>
      </ns0:c>
      <ns0:c r="I1152" s="7" t="n">
        <ns0:v>4350.280733275315</ns0:v>
      </ns0:c>
      <ns0:c r="J1152" s="7" t="n">
        <ns0:v>1740.112293310126</ns0:v>
      </ns0:c>
      <ns0:c r="K1152" s="7" t="n">
        <ns0:v>18</ns0:v>
      </ns0:c>
      <ns0:c r="L1152" s="7" t="n">
        <ns0:v>34</ns0:v>
      </ns0:c>
      <ns0:c r="M1152" s="7" t="n">
        <ns0:v>-18606.48706165282</ns0:v>
      </ns0:c>
      <ns0:c r="N1152" s="7" t="n">
        <ns0:v>47412.9108609532</ns0:v>
      </ns0:c>
      <ns0:c r="O1152" s="7" t="n">
        <ns0:v>115362.1411857939</ns0:v>
      </ns0:c>
      <ns0:c r="P1152" s="7" t="n">
        <ns0:v>285235.2169978956</ns0:v>
      </ns0:c>
      <ns0:c r="Q1152" s="7" t="n">
        <ns0:v>922727.5202463025</ns0:v>
      </ns0:c>
      <ns0:c r="R1152" s="7" t="n">
        <ns0:v>3230950.581615726</ns0:v>
      </ns0:c>
    </ns0:row>
    <ns0:row r="1153" ht="24" customHeight="1">
      <ns0:c r="A1153" s="3" t="inlineStr">
        <ns0:is>
          <ns0:t>混在40/30/30</ns0:t>
        </ns0:is>
      </ns0:c>
      <ns0:c r="B1153" s="3" t="inlineStr">
        <ns0:is>
          <ns0:t>G0基本5000比較</ns0:t>
        </ns0:is>
      </ns0:c>
      <ns0:c r="C1153" s="3" t="inlineStr">
        <ns0:is>
          <ns0:t>A</ns0:t>
        </ns0:is>
      </ns0:c>
      <ns0:c r="D1153" s="4" t="n">
        <ns0:v>1</ns0:v>
      </ns0:c>
      <ns0:c r="E1153" s="4" t="n">
        <ns0:v>500</ns0:v>
      </ns0:c>
      <ns0:c r="F1153" s="6" t="n">
        <ns0:v>0.4</ns0:v>
      </ns0:c>
      <ns0:c r="G1153" s="4" t="n">
        <ns0:v>1</ns0:v>
      </ns0:c>
      <ns0:c r="H1153" s="7" t="n">
        <ns0:v>7031.587827405182</ns0:v>
      </ns0:c>
      <ns0:c r="I1153" s="7" t="n">
        <ns0:v>4350.280733275315</ns0:v>
      </ns0:c>
      <ns0:c r="J1153" s="7" t="n">
        <ns0:v>1740.112293310126</ns0:v>
      </ns0:c>
      <ns0:c r="K1153" s="7" t="n">
        <ns0:v>19</ns0:v>
      </ns0:c>
      <ns0:c r="L1153" s="7" t="n">
        <ns0:v>45</ns0:v>
      </ns0:c>
      <ns0:c r="M1153" s="7" t="n">
        <ns0:v>-21175.70512961709</ns0:v>
      </ns0:c>
      <ns0:c r="N1153" s="7" t="n">
        <ns0:v>39705.25665706039</ns0:v>
      </ns0:c>
      <ns0:c r="O1153" s="7" t="n">
        <ns0:v>102516.0508459726</ns0:v>
      </ns0:c>
      <ns0:c r="P1153" s="7" t="n">
        <ns0:v>259543.0363182529</ns0:v>
      </ns0:c>
      <ns0:c r="Q1153" s="7" t="n">
        <ns0:v>845650.9782073742</ns0:v>
      </ns0:c>
      <ns0:c r="R1153" s="7" t="n">
        <ns0:v>2974028.7748193</ns0:v>
      </ns0:c>
    </ns0:row>
    <ns0:row r="1154" ht="24" customHeight="1">
      <ns0:c r="A1154" s="3" t="inlineStr">
        <ns0:is>
          <ns0:t>混在40/30/30</ns0:t>
        </ns0:is>
      </ns0:c>
      <ns0:c r="B1154" s="3" t="inlineStr">
        <ns0:is>
          <ns0:t>G0基本5000比較</ns0:t>
        </ns0:is>
      </ns0:c>
      <ns0:c r="C1154" s="3" t="inlineStr">
        <ns0:is>
          <ns0:t>A</ns0:t>
        </ns0:is>
      </ns0:c>
      <ns0:c r="D1154" s="4" t="n">
        <ns0:v>1</ns0:v>
      </ns0:c>
      <ns0:c r="E1154" s="4" t="n">
        <ns0:v>500</ns0:v>
      </ns0:c>
      <ns0:c r="F1154" s="6" t="n">
        <ns0:v>0.4</ns0:v>
      </ns0:c>
      <ns0:c r="G1154" s="4" t="n">
        <ns0:v>2</ns0:v>
      </ns0:c>
      <ns0:c r="H1154" s="7" t="n">
        <ns0:v>7031.587827405182</ns0:v>
      </ns0:c>
      <ns0:c r="I1154" s="7" t="n">
        <ns0:v>4350.280733275315</ns0:v>
      </ns0:c>
      <ns0:c r="J1154" s="7" t="n">
        <ns0:v>1740.112293310126</ns0:v>
      </ns0:c>
      <ns0:c r="K1154" s="7" t="n">
        <ns0:v>54</ns0:v>
      </ns0:c>
      <ns0:c r="L1154" s="18" t="inlineStr">
        <ns0:is>
          <ns0:t>範囲内なし</ns0:t>
        </ns0:is>
      </ns0:c>
      <ns0:c r="M1154" s="7" t="n">
        <ns0:v>-42407.54366095818</ns0:v>
      </ns0:c>
      <ns0:c r="N1154" s="7" t="n">
        <ns0:v>-23990.25893696286</ns0:v>
      </ns0:c>
      <ns0:c r="O1154" s="7" t="n">
        <ns0:v>-3643.141810732894</ns0:v>
      </ns0:c>
      <ns0:c r="P1154" s="7" t="n">
        <ns0:v>47224.65100484202</ns0:v>
      </ns0:c>
      <ns0:c r="Q1154" s="7" t="n">
        <ns0:v>208695.8222671416</ns0:v>
      </ns0:c>
      <ns0:c r="R1154" s="7" t="n">
        <ns0:v>850844.9216851906</ns0:v>
      </ns0:c>
    </ns0:row>
    <ns0:row r="1155" ht="24" customHeight="1">
      <ns0:c r="A1155" s="3" t="inlineStr">
        <ns0:is>
          <ns0:t>混在40/30/30</ns0:t>
        </ns0:is>
      </ns0:c>
      <ns0:c r="B1155" s="3" t="inlineStr">
        <ns0:is>
          <ns0:t>G0基本5000比較</ns0:t>
        </ns0:is>
      </ns0:c>
      <ns0:c r="C1155" s="3" t="inlineStr">
        <ns0:is>
          <ns0:t>A</ns0:t>
        </ns0:is>
      </ns0:c>
      <ns0:c r="D1155" s="4" t="n">
        <ns0:v>1</ns0:v>
      </ns0:c>
      <ns0:c r="E1155" s="4" t="n">
        <ns0:v>500</ns0:v>
      </ns0:c>
      <ns0:c r="F1155" s="6" t="n">
        <ns0:v>0.4</ns0:v>
      </ns0:c>
      <ns0:c r="G1155" s="4" t="n">
        <ns0:v>3</ns0:v>
      </ns0:c>
      <ns0:c r="H1155" s="7" t="n">
        <ns0:v>7031.587827405182</ns0:v>
      </ns0:c>
      <ns0:c r="I1155" s="7" t="n">
        <ns0:v>4350.280733275315</ns0:v>
      </ns0:c>
      <ns0:c r="J1155" s="7" t="n">
        <ns0:v>1740.112293310126</ns0:v>
      </ns0:c>
      <ns0:c r="K1155" s="7" t="n">
        <ns0:v>22</ns0:v>
      </ns0:c>
      <ns0:c r="L1155" s="7" t="n">
        <ns0:v>278</ns0:v>
      </ns0:c>
      <ns0:c r="M1155" s="7" t="n">
        <ns0:v>-26816.45255787089</ns0:v>
      </ns0:c>
      <ns0:c r="N1155" s="7" t="n">
        <ns0:v>22783.01437229899</ns0:v>
      </ns0:c>
      <ns0:c r="O1155" s="7" t="n">
        <ns0:v>74312.31370470356</ns0:v>
      </ns0:c>
      <ns0:c r="P1155" s="7" t="n">
        <ns0:v>203135.5620357149</ns0:v>
      </ns0:c>
      <ns0:c r="Q1155" s="7" t="n">
        <ns0:v>676428.5553597603</ns0:v>
      </ns0:c>
      <ns0:c r="R1155" s="7" t="n">
        <ns0:v>2409954.03199392</ns0:v>
      </ns0:c>
    </ns0:row>
    <ns0:row r="1156" ht="24" customHeight="1">
      <ns0:c r="A1156" s="3" t="inlineStr">
        <ns0:is>
          <ns0:t>混在40/30/30</ns0:t>
        </ns0:is>
      </ns0:c>
      <ns0:c r="B1156" s="3" t="inlineStr">
        <ns0:is>
          <ns0:t>G0基本5000比較</ns0:t>
        </ns0:is>
      </ns0:c>
      <ns0:c r="C1156" s="3" t="inlineStr">
        <ns0:is>
          <ns0:t>A</ns0:t>
        </ns0:is>
      </ns0:c>
      <ns0:c r="D1156" s="4" t="n">
        <ns0:v>1</ns0:v>
      </ns0:c>
      <ns0:c r="E1156" s="4" t="n">
        <ns0:v>500</ns0:v>
      </ns0:c>
      <ns0:c r="F1156" s="6" t="n">
        <ns0:v>0.5</ns0:v>
      </ns0:c>
      <ns0:c r="G1156" s="4" t="n">
        <ns0:v>0</ns0:v>
      </ns0:c>
      <ns0:c r="H1156" s="7" t="n">
        <ns0:v>7031.587827405182</ns0:v>
      </ns0:c>
      <ns0:c r="I1156" s="7" t="n">
        <ns0:v>4350.280733275315</ns0:v>
      </ns0:c>
      <ns0:c r="J1156" s="7" t="n">
        <ns0:v>2175.140366637657</ns0:v>
      </ns0:c>
      <ns0:c r="K1156" s="7" t="n">
        <ns0:v>20</ns0:v>
      </ns0:c>
      <ns0:c r="L1156" s="7" t="n">
        <ns0:v>38</ns0:v>
      </ns0:c>
      <ns0:c r="M1156" s="7" t="n">
        <ns0:v>-22956.76779492814</ns0:v>
      </ns0:c>
      <ns0:c r="N1156" s="7" t="n">
        <ns0:v>34362.06866112727</ns0:v>
      </ns0:c>
      <ns0:c r="O1156" s="7" t="n">
        <ns0:v>93610.73751941737</ns0:v>
      </ns0:c>
      <ns0:c r="P1156" s="7" t="n">
        <ns0:v>241732.4096651425</ns0:v>
      </ns0:c>
      <ns0:c r="Q1156" s="7" t="n">
        <ns0:v>792219.0982480431</ns0:v>
      </ns0:c>
      <ns0:c r="R1156" s="7" t="n">
        <ns0:v>2795922.508288195</ns0:v>
      </ns0:c>
    </ns0:row>
    <ns0:row r="1157" ht="24" customHeight="1">
      <ns0:c r="A1157" s="3" t="inlineStr">
        <ns0:is>
          <ns0:t>混在40/30/30</ns0:t>
        </ns0:is>
      </ns0:c>
      <ns0:c r="B1157" s="3" t="inlineStr">
        <ns0:is>
          <ns0:t>G0基本5000比較</ns0:t>
        </ns0:is>
      </ns0:c>
      <ns0:c r="C1157" s="3" t="inlineStr">
        <ns0:is>
          <ns0:t>A</ns0:t>
        </ns0:is>
      </ns0:c>
      <ns0:c r="D1157" s="4" t="n">
        <ns0:v>1</ns0:v>
      </ns0:c>
      <ns0:c r="E1157" s="4" t="n">
        <ns0:v>500</ns0:v>
      </ns0:c>
      <ns0:c r="F1157" s="6" t="n">
        <ns0:v>0.5</ns0:v>
      </ns0:c>
      <ns0:c r="G1157" s="4" t="n">
        <ns0:v>1</ns0:v>
      </ns0:c>
      <ns0:c r="H1157" s="7" t="n">
        <ns0:v>7031.587827405182</ns0:v>
      </ns0:c>
      <ns0:c r="I1157" s="7" t="n">
        <ns0:v>4350.280733275315</ns0:v>
      </ns0:c>
      <ns0:c r="J1157" s="7" t="n">
        <ns0:v>2175.140366637657</ns0:v>
      </ns0:c>
      <ns0:c r="K1157" s="7" t="n">
        <ns0:v>21</ns0:v>
      </ns0:c>
      <ns0:c r="L1157" s="7" t="n">
        <ns0:v>52</ns0:v>
      </ns0:c>
      <ns0:c r="M1157" s="7" t="n">
        <ns0:v>-25525.9858628924</ns0:v>
      </ns0:c>
      <ns0:c r="N1157" s="7" t="n">
        <ns0:v>26654.41445723446</ns0:v>
      </ns0:c>
      <ns0:c r="O1157" s="7" t="n">
        <ns0:v>80764.64717959601</ns0:v>
      </ns0:c>
      <ns0:c r="P1157" s="7" t="n">
        <ns0:v>216040.2289854998</ns0:v>
      </ns0:c>
      <ns0:c r="Q1157" s="7" t="n">
        <ns0:v>715142.5562091151</ns0:v>
      </ns0:c>
      <ns0:c r="R1157" s="7" t="n">
        <ns0:v>2539000.701491768</ns0:v>
      </ns0:c>
    </ns0:row>
    <ns0:row r="1158" ht="24" customHeight="1">
      <ns0:c r="A1158" s="3" t="inlineStr">
        <ns0:is>
          <ns0:t>混在40/30/30</ns0:t>
        </ns0:is>
      </ns0:c>
      <ns0:c r="B1158" s="3" t="inlineStr">
        <ns0:is>
          <ns0:t>G0基本5000比較</ns0:t>
        </ns0:is>
      </ns0:c>
      <ns0:c r="C1158" s="3" t="inlineStr">
        <ns0:is>
          <ns0:t>A</ns0:t>
        </ns0:is>
      </ns0:c>
      <ns0:c r="D1158" s="4" t="n">
        <ns0:v>1</ns0:v>
      </ns0:c>
      <ns0:c r="E1158" s="4" t="n">
        <ns0:v>500</ns0:v>
      </ns0:c>
      <ns0:c r="F1158" s="6" t="n">
        <ns0:v>0.5</ns0:v>
      </ns0:c>
      <ns0:c r="G1158" s="4" t="n">
        <ns0:v>2</ns0:v>
      </ns0:c>
      <ns0:c r="H1158" s="7" t="n">
        <ns0:v>7031.587827405182</ns0:v>
      </ns0:c>
      <ns0:c r="I1158" s="7" t="n">
        <ns0:v>4350.280733275315</ns0:v>
      </ns0:c>
      <ns0:c r="J1158" s="7" t="n">
        <ns0:v>2175.140366637657</ns0:v>
      </ns0:c>
      <ns0:c r="K1158" s="7" t="n">
        <ns0:v>94</ns0:v>
      </ns0:c>
      <ns0:c r="L1158" s="18" t="inlineStr">
        <ns0:is>
          <ns0:t>範囲内なし</ns0:t>
        </ns0:is>
      </ns0:c>
      <ns0:c r="M1158" s="7" t="n">
        <ns0:v>-46757.8243942335</ns0:v>
      </ns0:c>
      <ns0:c r="N1158" s="7" t="n">
        <ns0:v>-37041.10113678881</ns0:v>
      </ns0:c>
      <ns0:c r="O1158" s="7" t="n">
        <ns0:v>-25394.54547710944</ns0:v>
      </ns0:c>
      <ns0:c r="P1158" s="7" t="n">
        <ns0:v>3721.8436720889</ns0:v>
      </ns0:c>
      <ns0:c r="Q1158" s="7" t="n">
        <ns0:v>78187.40026888234</ns0:v>
      </ns0:c>
      <ns0:c r="R1158" s="7" t="n">
        <ns0:v>415816.8483576593</ns0:v>
      </ns0:c>
    </ns0:row>
    <ns0:row r="1159" ht="24" customHeight="1">
      <ns0:c r="A1159" s="3" t="inlineStr">
        <ns0:is>
          <ns0:t>混在40/30/30</ns0:t>
        </ns0:is>
      </ns0:c>
      <ns0:c r="B1159" s="3" t="inlineStr">
        <ns0:is>
          <ns0:t>G0基本5000比較</ns0:t>
        </ns0:is>
      </ns0:c>
      <ns0:c r="C1159" s="3" t="inlineStr">
        <ns0:is>
          <ns0:t>A</ns0:t>
        </ns0:is>
      </ns0:c>
      <ns0:c r="D1159" s="4" t="n">
        <ns0:v>1</ns0:v>
      </ns0:c>
      <ns0:c r="E1159" s="4" t="n">
        <ns0:v>500</ns0:v>
      </ns0:c>
      <ns0:c r="F1159" s="6" t="n">
        <ns0:v>0.5</ns0:v>
      </ns0:c>
      <ns0:c r="G1159" s="4" t="n">
        <ns0:v>3</ns0:v>
      </ns0:c>
      <ns0:c r="H1159" s="7" t="n">
        <ns0:v>7031.587827405182</ns0:v>
      </ns0:c>
      <ns0:c r="I1159" s="7" t="n">
        <ns0:v>4350.280733275315</ns0:v>
      </ns0:c>
      <ns0:c r="J1159" s="7" t="n">
        <ns0:v>2175.140366637657</ns0:v>
      </ns0:c>
      <ns0:c r="K1159" s="7" t="n">
        <ns0:v>26</ns0:v>
      </ns0:c>
      <ns0:c r="L1159" s="7" t="n">
        <ns0:v>526</ns0:v>
      </ns0:c>
      <ns0:c r="M1159" s="7" t="n">
        <ns0:v>-31166.73329114621</ns0:v>
      </ns0:c>
      <ns0:c r="N1159" s="7" t="n">
        <ns0:v>9732.172172473056</ns0:v>
      </ns0:c>
      <ns0:c r="O1159" s="7" t="n">
        <ns0:v>52560.910038327</ns0:v>
      </ns0:c>
      <ns0:c r="P1159" s="7" t="n">
        <ns0:v>159632.7547029618</ns0:v>
      </ns0:c>
      <ns0:c r="Q1159" s="7" t="n">
        <ns0:v>545920.133361501</ns0:v>
      </ns0:c>
      <ns0:c r="R1159" s="7" t="n">
        <ns0:v>1974925.958666388</ns0:v>
      </ns0:c>
    </ns0:row>
    <ns0:row r="1160" ht="24" customHeight="1">
      <ns0:c r="A1160" s="3" t="inlineStr">
        <ns0:is>
          <ns0:t>混在40/30/30</ns0:t>
        </ns0:is>
      </ns0:c>
      <ns0:c r="B1160" s="3" t="inlineStr">
        <ns0:is>
          <ns0:t>G0基本5000比較</ns0:t>
        </ns0:is>
      </ns0:c>
      <ns0:c r="C1160" s="3" t="inlineStr">
        <ns0:is>
          <ns0:t>A</ns0:t>
        </ns0:is>
      </ns0:c>
      <ns0:c r="D1160" s="4" t="n">
        <ns0:v>1</ns0:v>
      </ns0:c>
      <ns0:c r="E1160" s="4" t="n">
        <ns0:v>1000</ns0:v>
      </ns0:c>
      <ns0:c r="F1160" s="6" t="n">
        <ns0:v>0.3</ns0:v>
      </ns0:c>
      <ns0:c r="G1160" s="4" t="n">
        <ns0:v>0</ns0:v>
      </ns0:c>
      <ns0:c r="H1160" s="7" t="n">
        <ns0:v>6881.587827405182</ns0:v>
      </ns0:c>
      <ns0:c r="I1160" s="7" t="n">
        <ns0:v>4200.280733275315</ns0:v>
      </ns0:c>
      <ns0:c r="J1160" s="7" t="n">
        <ns0:v>1260.084219982595</ns0:v>
      </ns0:c>
      <ns0:c r="K1160" s="7" t="n">
        <ns0:v>16</ns0:v>
      </ns0:c>
      <ns0:c r="L1160" s="7" t="n">
        <ns0:v>32</ns0:v>
      </ns0:c>
      <ns0:c r="M1160" s="7" t="n">
        <ns0:v>-15252.20632837751</ns0:v>
      </ns0:c>
      <ns0:c r="N1160" s="7" t="n">
        <ns0:v>57475.75306077919</ns0:v>
      </ns0:c>
      <ns0:c r="O1160" s="7" t="n">
        <ns0:v>132133.5448521705</ns0:v>
      </ns0:c>
      <ns0:c r="P1160" s="7" t="n">
        <ns0:v>318778.0243306488</ns0:v>
      </ns0:c>
      <ns0:c r="Q1160" s="7" t="n">
        <ns0:v>1023355.942244562</ns0:v>
      </ns0:c>
      <ns0:c r="R1160" s="7" t="n">
        <ns0:v>3566378.654943259</ns0:v>
      </ns0:c>
    </ns0:row>
    <ns0:row r="1161" ht="24" customHeight="1">
      <ns0:c r="A1161" s="3" t="inlineStr">
        <ns0:is>
          <ns0:t>混在40/30/30</ns0:t>
        </ns0:is>
      </ns0:c>
      <ns0:c r="B1161" s="3" t="inlineStr">
        <ns0:is>
          <ns0:t>G0基本5000比較</ns0:t>
        </ns0:is>
      </ns0:c>
      <ns0:c r="C1161" s="3" t="inlineStr">
        <ns0:is>
          <ns0:t>A</ns0:t>
        </ns0:is>
      </ns0:c>
      <ns0:c r="D1161" s="4" t="n">
        <ns0:v>1</ns0:v>
      </ns0:c>
      <ns0:c r="E1161" s="4" t="n">
        <ns0:v>1000</ns0:v>
      </ns0:c>
      <ns0:c r="F1161" s="6" t="n">
        <ns0:v>0.3</ns0:v>
      </ns0:c>
      <ns0:c r="G1161" s="4" t="n">
        <ns0:v>1</ns0:v>
      </ns0:c>
      <ns0:c r="H1161" s="7" t="n">
        <ns0:v>6881.587827405182</ns0:v>
      </ns0:c>
      <ns0:c r="I1161" s="7" t="n">
        <ns0:v>4200.280733275315</ns0:v>
      </ns0:c>
      <ns0:c r="J1161" s="7" t="n">
        <ns0:v>1260.084219982595</ns0:v>
      </ns0:c>
      <ns0:c r="K1161" s="7" t="n">
        <ns0:v>18</ns0:v>
      </ns0:c>
      <ns0:c r="L1161" s="7" t="n">
        <ns0:v>42</ns0:v>
      </ns0:c>
      <ns0:c r="M1161" s="7" t="n">
        <ns0:v>-17821.42439634178</ns0:v>
      </ns0:c>
      <ns0:c r="N1161" s="7" t="n">
        <ns0:v>49768.09885688638</ns0:v>
      </ns0:c>
      <ns0:c r="O1161" s="7" t="n">
        <ns0:v>119287.4545123492</ns0:v>
      </ns0:c>
      <ns0:c r="P1161" s="7" t="n">
        <ns0:v>293085.8436510061</ns0:v>
      </ns0:c>
      <ns0:c r="Q1161" s="7" t="n">
        <ns0:v>946279.4002056338</ns0:v>
      </ns0:c>
      <ns0:c r="R1161" s="7" t="n">
        <ns0:v>3309456.848146832</ns0:v>
      </ns0:c>
    </ns0:row>
    <ns0:row r="1162" ht="24" customHeight="1">
      <ns0:c r="A1162" s="3" t="inlineStr">
        <ns0:is>
          <ns0:t>混在40/30/30</ns0:t>
        </ns0:is>
      </ns0:c>
      <ns0:c r="B1162" s="3" t="inlineStr">
        <ns0:is>
          <ns0:t>G0基本5000比較</ns0:t>
        </ns0:is>
      </ns0:c>
      <ns0:c r="C1162" s="3" t="inlineStr">
        <ns0:is>
          <ns0:t>A</ns0:t>
        </ns0:is>
      </ns0:c>
      <ns0:c r="D1162" s="4" t="n">
        <ns0:v>1</ns0:v>
      </ns0:c>
      <ns0:c r="E1162" s="4" t="n">
        <ns0:v>1000</ns0:v>
      </ns0:c>
      <ns0:c r="F1162" s="6" t="n">
        <ns0:v>0.3</ns0:v>
      </ns0:c>
      <ns0:c r="G1162" s="4" t="n">
        <ns0:v>2</ns0:v>
      </ns0:c>
      <ns0:c r="H1162" s="7" t="n">
        <ns0:v>6881.587827405182</ns0:v>
      </ns0:c>
      <ns0:c r="I1162" s="7" t="n">
        <ns0:v>4200.280733275315</ns0:v>
      </ns0:c>
      <ns0:c r="J1162" s="7" t="n">
        <ns0:v>1260.084219982595</ns0:v>
      </ns0:c>
      <ns0:c r="K1162" s="7" t="n">
        <ns0:v>41</ns0:v>
      </ns0:c>
      <ns0:c r="L1162" s="18" t="inlineStr">
        <ns0:is>
          <ns0:t>範囲内なし</ns0:t>
        </ns0:is>
      </ns0:c>
      <ns0:c r="M1162" s="7" t="n">
        <ns0:v>-39053.26292768287</ns0:v>
      </ns0:c>
      <ns0:c r="N1162" s="7" t="n">
        <ns0:v>-13927.41673713687</ns0:v>
      </ns0:c>
      <ns0:c r="O1162" s="7" t="n">
        <ns0:v>13128.26185564372</ns0:v>
      </ns0:c>
      <ns0:c r="P1162" s="7" t="n">
        <ns0:v>80767.45833759525</ns0:v>
      </ns0:c>
      <ns0:c r="Q1162" s="7" t="n">
        <ns0:v>309324.2442654012</ns0:v>
      </ns0:c>
      <ns0:c r="R1162" s="7" t="n">
        <ns0:v>1186272.995012723</ns0:v>
      </ns0:c>
    </ns0:row>
    <ns0:row r="1163" ht="24" customHeight="1">
      <ns0:c r="A1163" s="3" t="inlineStr">
        <ns0:is>
          <ns0:t>混在40/30/30</ns0:t>
        </ns0:is>
      </ns0:c>
      <ns0:c r="B1163" s="3" t="inlineStr">
        <ns0:is>
          <ns0:t>G0基本5000比較</ns0:t>
        </ns0:is>
      </ns0:c>
      <ns0:c r="C1163" s="3" t="inlineStr">
        <ns0:is>
          <ns0:t>A</ns0:t>
        </ns0:is>
      </ns0:c>
      <ns0:c r="D1163" s="4" t="n">
        <ns0:v>1</ns0:v>
      </ns0:c>
      <ns0:c r="E1163" s="4" t="n">
        <ns0:v>1000</ns0:v>
      </ns0:c>
      <ns0:c r="F1163" s="6" t="n">
        <ns0:v>0.3</ns0:v>
      </ns0:c>
      <ns0:c r="G1163" s="4" t="n">
        <ns0:v>3</ns0:v>
      </ns0:c>
      <ns0:c r="H1163" s="7" t="n">
        <ns0:v>6881.587827405182</ns0:v>
      </ns0:c>
      <ns0:c r="I1163" s="7" t="n">
        <ns0:v>4200.280733275315</ns0:v>
      </ns0:c>
      <ns0:c r="J1163" s="7" t="n">
        <ns0:v>1260.084219982595</ns0:v>
      </ns0:c>
      <ns0:c r="K1163" s="7" t="n">
        <ns0:v>20</ns0:v>
      </ns0:c>
      <ns0:c r="L1163" s="7" t="n">
        <ns0:v>206</ns0:v>
      </ns0:c>
      <ns0:c r="M1163" s="7" t="n">
        <ns0:v>-23462.17182459558</ns0:v>
      </ns0:c>
      <ns0:c r="N1163" s="7" t="n">
        <ns0:v>32845.85657212498</ns0:v>
      </ns0:c>
      <ns0:c r="O1163" s="7" t="n">
        <ns0:v>91083.71737108017</ns0:v>
      </ns0:c>
      <ns0:c r="P1163" s="7" t="n">
        <ns0:v>236678.3693684681</ns0:v>
      </ns0:c>
      <ns0:c r="Q1163" s="7" t="n">
        <ns0:v>777056.9773580198</ns0:v>
      </ns0:c>
      <ns0:c r="R1163" s="7" t="n">
        <ns0:v>2745382.105321452</ns0:v>
      </ns0:c>
    </ns0:row>
    <ns0:row r="1164" ht="24" customHeight="1">
      <ns0:c r="A1164" s="3" t="inlineStr">
        <ns0:is>
          <ns0:t>混在40/30/30</ns0:t>
        </ns0:is>
      </ns0:c>
      <ns0:c r="B1164" s="3" t="inlineStr">
        <ns0:is>
          <ns0:t>G0基本5000比較</ns0:t>
        </ns0:is>
      </ns0:c>
      <ns0:c r="C1164" s="3" t="inlineStr">
        <ns0:is>
          <ns0:t>A</ns0:t>
        </ns0:is>
      </ns0:c>
      <ns0:c r="D1164" s="4" t="n">
        <ns0:v>1</ns0:v>
      </ns0:c>
      <ns0:c r="E1164" s="4" t="n">
        <ns0:v>1000</ns0:v>
      </ns0:c>
      <ns0:c r="F1164" s="6" t="n">
        <ns0:v>0.4</ns0:v>
      </ns0:c>
      <ns0:c r="G1164" s="4" t="n">
        <ns0:v>0</ns0:v>
      </ns0:c>
      <ns0:c r="H1164" s="7" t="n">
        <ns0:v>6881.587827405182</ns0:v>
      </ns0:c>
      <ns0:c r="I1164" s="7" t="n">
        <ns0:v>4200.280733275315</ns0:v>
      </ns0:c>
      <ns0:c r="J1164" s="7" t="n">
        <ns0:v>1680.112293310126</ns0:v>
      </ns0:c>
      <ns0:c r="K1164" s="7" t="n">
        <ns0:v>18</ns0:v>
      </ns0:c>
      <ns0:c r="L1164" s="7" t="n">
        <ns0:v>35</ns0:v>
      </ns0:c>
      <ns0:c r="M1164" s="7" t="n">
        <ns0:v>-19452.48706165283</ns0:v>
      </ns0:c>
      <ns0:c r="N1164" s="7" t="n">
        <ns0:v>44874.91086095324</ns0:v>
      </ns0:c>
      <ns0:c r="O1164" s="7" t="n">
        <ns0:v>111132.1411857939</ns0:v>
      </ns0:c>
      <ns0:c r="P1164" s="7" t="n">
        <ns0:v>276775.2169978956</ns0:v>
      </ns0:c>
      <ns0:c r="Q1164" s="7" t="n">
        <ns0:v>897347.5202463027</ns0:v>
      </ns0:c>
      <ns0:c r="R1164" s="7" t="n">
        <ns0:v>3146350.581615726</ns0:v>
      </ns0:c>
    </ns0:row>
    <ns0:row r="1165" ht="24" customHeight="1">
      <ns0:c r="A1165" s="3" t="inlineStr">
        <ns0:is>
          <ns0:t>混在40/30/30</ns0:t>
        </ns0:is>
      </ns0:c>
      <ns0:c r="B1165" s="3" t="inlineStr">
        <ns0:is>
          <ns0:t>G0基本5000比較</ns0:t>
        </ns0:is>
      </ns0:c>
      <ns0:c r="C1165" s="3" t="inlineStr">
        <ns0:is>
          <ns0:t>A</ns0:t>
        </ns0:is>
      </ns0:c>
      <ns0:c r="D1165" s="4" t="n">
        <ns0:v>1</ns0:v>
      </ns0:c>
      <ns0:c r="E1165" s="4" t="n">
        <ns0:v>1000</ns0:v>
      </ns0:c>
      <ns0:c r="F1165" s="6" t="n">
        <ns0:v>0.4</ns0:v>
      </ns0:c>
      <ns0:c r="G1165" s="4" t="n">
        <ns0:v>1</ns0:v>
      </ns0:c>
      <ns0:c r="H1165" s="7" t="n">
        <ns0:v>6881.587827405182</ns0:v>
      </ns0:c>
      <ns0:c r="I1165" s="7" t="n">
        <ns0:v>4200.280733275315</ns0:v>
      </ns0:c>
      <ns0:c r="J1165" s="7" t="n">
        <ns0:v>1680.112293310126</ns0:v>
      </ns0:c>
      <ns0:c r="K1165" s="7" t="n">
        <ns0:v>20</ns0:v>
      </ns0:c>
      <ns0:c r="L1165" s="7" t="n">
        <ns0:v>47</ns0:v>
      </ns0:c>
      <ns0:c r="M1165" s="7" t="n">
        <ns0:v>-22021.7051296171</ns0:v>
      </ns0:c>
      <ns0:c r="N1165" s="7" t="n">
        <ns0:v>37167.25665706042</ns0:v>
      </ns0:c>
      <ns0:c r="O1165" s="7" t="n">
        <ns0:v>98286.05084597255</ns0:v>
      </ns0:c>
      <ns0:c r="P1165" s="7" t="n">
        <ns0:v>251083.0363182529</ns0:v>
      </ns0:c>
      <ns0:c r="Q1165" s="7" t="n">
        <ns0:v>820270.9782073747</ns0:v>
      </ns0:c>
      <ns0:c r="R1165" s="7" t="n">
        <ns0:v>2889428.7748193</ns0:v>
      </ns0:c>
    </ns0:row>
    <ns0:row r="1166" ht="24" customHeight="1">
      <ns0:c r="A1166" s="3" t="inlineStr">
        <ns0:is>
          <ns0:t>混在40/30/30</ns0:t>
        </ns0:is>
      </ns0:c>
      <ns0:c r="B1166" s="3" t="inlineStr">
        <ns0:is>
          <ns0:t>G0基本5000比較</ns0:t>
        </ns0:is>
      </ns0:c>
      <ns0:c r="C1166" s="3" t="inlineStr">
        <ns0:is>
          <ns0:t>A</ns0:t>
        </ns0:is>
      </ns0:c>
      <ns0:c r="D1166" s="4" t="n">
        <ns0:v>1</ns0:v>
      </ns0:c>
      <ns0:c r="E1166" s="4" t="n">
        <ns0:v>1000</ns0:v>
      </ns0:c>
      <ns0:c r="F1166" s="6" t="n">
        <ns0:v>0.4</ns0:v>
      </ns0:c>
      <ns0:c r="G1166" s="4" t="n">
        <ns0:v>2</ns0:v>
      </ns0:c>
      <ns0:c r="H1166" s="7" t="n">
        <ns0:v>6881.587827405182</ns0:v>
      </ns0:c>
      <ns0:c r="I1166" s="7" t="n">
        <ns0:v>4200.280733275315</ns0:v>
      </ns0:c>
      <ns0:c r="J1166" s="7" t="n">
        <ns0:v>1680.112293310126</ns0:v>
      </ns0:c>
      <ns0:c r="K1166" s="7" t="n">
        <ns0:v>59</ns0:v>
      </ns0:c>
      <ns0:c r="L1166" s="18" t="inlineStr">
        <ns0:is>
          <ns0:t>範囲内なし</ns0:t>
        </ns0:is>
      </ns0:c>
      <ns0:c r="M1166" s="7" t="n">
        <ns0:v>-43253.54366095819</ns0:v>
      </ns0:c>
      <ns0:c r="N1166" s="7" t="n">
        <ns0:v>-26528.25893696283</ns0:v>
      </ns0:c>
      <ns0:c r="O1166" s="7" t="n">
        <ns0:v>-7873.141810732894</ns0:v>
      </ns0:c>
      <ns0:c r="P1166" s="7" t="n">
        <ns0:v>38764.65100484202</ns0:v>
      </ns0:c>
      <ns0:c r="Q1166" s="7" t="n">
        <ns0:v>183315.8222671419</ns0:v>
      </ns0:c>
      <ns0:c r="R1166" s="7" t="n">
        <ns0:v>766244.9216851906</ns0:v>
      </ns0:c>
    </ns0:row>
    <ns0:row r="1167" ht="24" customHeight="1">
      <ns0:c r="A1167" s="3" t="inlineStr">
        <ns0:is>
          <ns0:t>混在40/30/30</ns0:t>
        </ns0:is>
      </ns0:c>
      <ns0:c r="B1167" s="3" t="inlineStr">
        <ns0:is>
          <ns0:t>G0基本5000比較</ns0:t>
        </ns0:is>
      </ns0:c>
      <ns0:c r="C1167" s="3" t="inlineStr">
        <ns0:is>
          <ns0:t>A</ns0:t>
        </ns0:is>
      </ns0:c>
      <ns0:c r="D1167" s="4" t="n">
        <ns0:v>1</ns0:v>
      </ns0:c>
      <ns0:c r="E1167" s="4" t="n">
        <ns0:v>1000</ns0:v>
      </ns0:c>
      <ns0:c r="F1167" s="6" t="n">
        <ns0:v>0.4</ns0:v>
      </ns0:c>
      <ns0:c r="G1167" s="4" t="n">
        <ns0:v>3</ns0:v>
      </ns0:c>
      <ns0:c r="H1167" s="7" t="n">
        <ns0:v>6881.587827405182</ns0:v>
      </ns0:c>
      <ns0:c r="I1167" s="7" t="n">
        <ns0:v>4200.280733275315</ns0:v>
      </ns0:c>
      <ns0:c r="J1167" s="7" t="n">
        <ns0:v>1680.112293310126</ns0:v>
      </ns0:c>
      <ns0:c r="K1167" s="7" t="n">
        <ns0:v>23</ns0:v>
      </ns0:c>
      <ns0:c r="L1167" s="7" t="n">
        <ns0:v>310</ns0:v>
      </ns0:c>
      <ns0:c r="M1167" s="7" t="n">
        <ns0:v>-27662.4525578709</ns0:v>
      </ns0:c>
      <ns0:c r="N1167" s="7" t="n">
        <ns0:v>20245.01437229903</ns0:v>
      </ns0:c>
      <ns0:c r="O1167" s="7" t="n">
        <ns0:v>70082.31370470357</ns0:v>
      </ns0:c>
      <ns0:c r="P1167" s="7" t="n">
        <ns0:v>194675.5620357149</ns0:v>
      </ns0:c>
      <ns0:c r="Q1167" s="7" t="n">
        <ns0:v>651048.5553597606</ns0:v>
      </ns0:c>
      <ns0:c r="R1167" s="7" t="n">
        <ns0:v>2325354.03199392</ns0:v>
      </ns0:c>
    </ns0:row>
    <ns0:row r="1168" ht="24" customHeight="1">
      <ns0:c r="A1168" s="3" t="inlineStr">
        <ns0:is>
          <ns0:t>混在40/30/30</ns0:t>
        </ns0:is>
      </ns0:c>
      <ns0:c r="B1168" s="3" t="inlineStr">
        <ns0:is>
          <ns0:t>G0基本5000比較</ns0:t>
        </ns0:is>
      </ns0:c>
      <ns0:c r="C1168" s="3" t="inlineStr">
        <ns0:is>
          <ns0:t>A</ns0:t>
        </ns0:is>
      </ns0:c>
      <ns0:c r="D1168" s="4" t="n">
        <ns0:v>1</ns0:v>
      </ns0:c>
      <ns0:c r="E1168" s="4" t="n">
        <ns0:v>1000</ns0:v>
      </ns0:c>
      <ns0:c r="F1168" s="6" t="n">
        <ns0:v>0.5</ns0:v>
      </ns0:c>
      <ns0:c r="G1168" s="4" t="n">
        <ns0:v>0</ns0:v>
      </ns0:c>
      <ns0:c r="H1168" s="7" t="n">
        <ns0:v>6881.587827405182</ns0:v>
      </ns0:c>
      <ns0:c r="I1168" s="7" t="n">
        <ns0:v>4200.280733275315</ns0:v>
      </ns0:c>
      <ns0:c r="J1168" s="7" t="n">
        <ns0:v>2100.140366637658</ns0:v>
      </ns0:c>
      <ns0:c r="K1168" s="7" t="n">
        <ns0:v>20</ns0:v>
      </ns0:c>
      <ns0:c r="L1168" s="7" t="n">
        <ns0:v>38</ns0:v>
      </ns0:c>
      <ns0:c r="M1168" s="7" t="n">
        <ns0:v>-23652.76779492814</ns0:v>
      </ns0:c>
      <ns0:c r="N1168" s="7" t="n">
        <ns0:v>32274.0686611273</ns0:v>
      </ns0:c>
      <ns0:c r="O1168" s="7" t="n">
        <ns0:v>90130.73751941734</ns0:v>
      </ns0:c>
      <ns0:c r="P1168" s="7" t="n">
        <ns0:v>234772.4096651425</ns0:v>
      </ns0:c>
      <ns0:c r="Q1168" s="7" t="n">
        <ns0:v>771339.0982480432</ns0:v>
      </ns0:c>
      <ns0:c r="R1168" s="7" t="n">
        <ns0:v>2726322.508288195</ns0:v>
      </ns0:c>
    </ns0:row>
    <ns0:row r="1169" ht="24" customHeight="1">
      <ns0:c r="A1169" s="3" t="inlineStr">
        <ns0:is>
          <ns0:t>混在40/30/30</ns0:t>
        </ns0:is>
      </ns0:c>
      <ns0:c r="B1169" s="3" t="inlineStr">
        <ns0:is>
          <ns0:t>G0基本5000比較</ns0:t>
        </ns0:is>
      </ns0:c>
      <ns0:c r="C1169" s="3" t="inlineStr">
        <ns0:is>
          <ns0:t>A</ns0:t>
        </ns0:is>
      </ns0:c>
      <ns0:c r="D1169" s="4" t="n">
        <ns0:v>1</ns0:v>
      </ns0:c>
      <ns0:c r="E1169" s="4" t="n">
        <ns0:v>1000</ns0:v>
      </ns0:c>
      <ns0:c r="F1169" s="6" t="n">
        <ns0:v>0.5</ns0:v>
      </ns0:c>
      <ns0:c r="G1169" s="4" t="n">
        <ns0:v>1</ns0:v>
      </ns0:c>
      <ns0:c r="H1169" s="7" t="n">
        <ns0:v>6881.587827405182</ns0:v>
      </ns0:c>
      <ns0:c r="I1169" s="7" t="n">
        <ns0:v>4200.280733275315</ns0:v>
      </ns0:c>
      <ns0:c r="J1169" s="7" t="n">
        <ns0:v>2100.140366637658</ns0:v>
      </ns0:c>
      <ns0:c r="K1169" s="7" t="n">
        <ns0:v>22</ns0:v>
      </ns0:c>
      <ns0:c r="L1169" s="7" t="n">
        <ns0:v>53</ns0:v>
      </ns0:c>
      <ns0:c r="M1169" s="7" t="n">
        <ns0:v>-26221.98586289241</ns0:v>
      </ns0:c>
      <ns0:c r="N1169" s="7" t="n">
        <ns0:v>24566.41445723448</ns0:v>
      </ns0:c>
      <ns0:c r="O1169" s="7" t="n">
        <ns0:v>77284.64717959598</ns0:v>
      </ns0:c>
      <ns0:c r="P1169" s="7" t="n">
        <ns0:v>209080.2289854998</ns0:v>
      </ns0:c>
      <ns0:c r="Q1169" s="7" t="n">
        <ns0:v>694262.5562091151</ns0:v>
      </ns0:c>
      <ns0:c r="R1169" s="7" t="n">
        <ns0:v>2469400.701491768</ns0:v>
      </ns0:c>
    </ns0:row>
    <ns0:row r="1170" ht="24" customHeight="1">
      <ns0:c r="A1170" s="3" t="inlineStr">
        <ns0:is>
          <ns0:t>混在40/30/30</ns0:t>
        </ns0:is>
      </ns0:c>
      <ns0:c r="B1170" s="3" t="inlineStr">
        <ns0:is>
          <ns0:t>G0基本5000比較</ns0:t>
        </ns0:is>
      </ns0:c>
      <ns0:c r="C1170" s="3" t="inlineStr">
        <ns0:is>
          <ns0:t>A</ns0:t>
        </ns0:is>
      </ns0:c>
      <ns0:c r="D1170" s="4" t="n">
        <ns0:v>1</ns0:v>
      </ns0:c>
      <ns0:c r="E1170" s="4" t="n">
        <ns0:v>1000</ns0:v>
      </ns0:c>
      <ns0:c r="F1170" s="6" t="n">
        <ns0:v>0.5</ns0:v>
      </ns0:c>
      <ns0:c r="G1170" s="4" t="n">
        <ns0:v>2</ns0:v>
      </ns0:c>
      <ns0:c r="H1170" s="7" t="n">
        <ns0:v>6881.587827405182</ns0:v>
      </ns0:c>
      <ns0:c r="I1170" s="7" t="n">
        <ns0:v>4200.280733275315</ns0:v>
      </ns0:c>
      <ns0:c r="J1170" s="7" t="n">
        <ns0:v>2100.140366637658</ns0:v>
      </ns0:c>
      <ns0:c r="K1170" s="7" t="n">
        <ns0:v>189</ns0:v>
      </ns0:c>
      <ns0:c r="L1170" s="18" t="inlineStr">
        <ns0:is>
          <ns0:t>範囲内なし</ns0:t>
        </ns0:is>
      </ns0:c>
      <ns0:c r="M1170" s="7" t="n">
        <ns0:v>-47453.8243942335</ns0:v>
      </ns0:c>
      <ns0:c r="N1170" s="7" t="n">
        <ns0:v>-39129.10113678879</ns0:v>
      </ns0:c>
      <ns0:c r="O1170" s="7" t="n">
        <ns0:v>-28874.54547710947</ns0:v>
      </ns0:c>
      <ns0:c r="P1170" s="7" t="n">
        <ns0:v>-3238.156327911129</ns0:v>
      </ns0:c>
      <ns0:c r="Q1170" s="7" t="n">
        <ns0:v>57307.4002688824</ns0:v>
      </ns0:c>
      <ns0:c r="R1170" s="7" t="n">
        <ns0:v>346216.8483576593</ns0:v>
      </ns0:c>
    </ns0:row>
    <ns0:row r="1171" ht="24" customHeight="1">
      <ns0:c r="A1171" s="3" t="inlineStr">
        <ns0:is>
          <ns0:t>混在40/30/30</ns0:t>
        </ns0:is>
      </ns0:c>
      <ns0:c r="B1171" s="3" t="inlineStr">
        <ns0:is>
          <ns0:t>G0基本5000比較</ns0:t>
        </ns0:is>
      </ns0:c>
      <ns0:c r="C1171" s="3" t="inlineStr">
        <ns0:is>
          <ns0:t>A</ns0:t>
        </ns0:is>
      </ns0:c>
      <ns0:c r="D1171" s="4" t="n">
        <ns0:v>1</ns0:v>
      </ns0:c>
      <ns0:c r="E1171" s="4" t="n">
        <ns0:v>1000</ns0:v>
      </ns0:c>
      <ns0:c r="F1171" s="6" t="n">
        <ns0:v>0.5</ns0:v>
      </ns0:c>
      <ns0:c r="G1171" s="4" t="n">
        <ns0:v>3</ns0:v>
      </ns0:c>
      <ns0:c r="H1171" s="7" t="n">
        <ns0:v>6881.587827405182</ns0:v>
      </ns0:c>
      <ns0:c r="I1171" s="7" t="n">
        <ns0:v>4200.280733275315</ns0:v>
      </ns0:c>
      <ns0:c r="J1171" s="7" t="n">
        <ns0:v>2100.140366637658</ns0:v>
      </ns0:c>
      <ns0:c r="K1171" s="7" t="n">
        <ns0:v>27</ns0:v>
      </ns0:c>
      <ns0:c r="L1171" s="7" t="n">
        <ns0:v>960</ns0:v>
      </ns0:c>
      <ns0:c r="M1171" s="7" t="n">
        <ns0:v>-31862.73329114621</ns0:v>
      </ns0:c>
      <ns0:c r="N1171" s="7" t="n">
        <ns0:v>7644.172172473085</ns0:v>
      </ns0:c>
      <ns0:c r="O1171" s="7" t="n">
        <ns0:v>49080.91003832698</ns0:v>
      </ns0:c>
      <ns0:c r="P1171" s="7" t="n">
        <ns0:v>152672.7547029618</ns0:v>
      </ns0:c>
      <ns0:c r="Q1171" s="7" t="n">
        <ns0:v>525040.133361501</ns0:v>
      </ns0:c>
      <ns0:c r="R1171" s="7" t="n">
        <ns0:v>1905325.958666388</ns0:v>
      </ns0:c>
    </ns0:row>
    <ns0:row r="1172" ht="24" customHeight="1">
      <ns0:c r="A1172" s="3" t="inlineStr">
        <ns0:is>
          <ns0:t>混在40/30/30</ns0:t>
        </ns0:is>
      </ns0:c>
      <ns0:c r="B1172" s="3" t="inlineStr">
        <ns0:is>
          <ns0:t>G0基本5000比較</ns0:t>
        </ns0:is>
      </ns0:c>
      <ns0:c r="C1172" s="3" t="inlineStr">
        <ns0:is>
          <ns0:t>A</ns0:t>
        </ns0:is>
      </ns0:c>
      <ns0:c r="D1172" s="4" t="n">
        <ns0:v>1</ns0:v>
      </ns0:c>
      <ns0:c r="E1172" s="4" t="n">
        <ns0:v>1500</ns0:v>
      </ns0:c>
      <ns0:c r="F1172" s="6" t="n">
        <ns0:v>0.3</ns0:v>
      </ns0:c>
      <ns0:c r="G1172" s="4" t="n">
        <ns0:v>0</ns0:v>
      </ns0:c>
      <ns0:c r="H1172" s="7" t="n">
        <ns0:v>6731.587827405181</ns0:v>
      </ns0:c>
      <ns0:c r="I1172" s="7" t="n">
        <ns0:v>4050.280733275315</ns0:v>
      </ns0:c>
      <ns0:c r="J1172" s="7" t="n">
        <ns0:v>1215.084219982594</ns0:v>
      </ns0:c>
      <ns0:c r="K1172" s="7" t="n">
        <ns0:v>16</ns0:v>
      </ns0:c>
      <ns0:c r="L1172" s="7" t="n">
        <ns0:v>33</ns0:v>
      </ns0:c>
      <ns0:c r="M1172" s="7" t="n">
        <ns0:v>-16248.20632837751</ns0:v>
      </ns0:c>
      <ns0:c r="N1172" s="7" t="n">
        <ns0:v>54487.75306077917</ns0:v>
      </ns0:c>
      <ns0:c r="O1172" s="7" t="n">
        <ns0:v>127153.5448521705</ns0:v>
      </ns0:c>
      <ns0:c r="P1172" s="7" t="n">
        <ns0:v>308818.0243306487</ns0:v>
      </ns0:c>
      <ns0:c r="Q1172" s="7" t="n">
        <ns0:v>993475.9422445619</ns0:v>
      </ns0:c>
      <ns0:c r="R1172" s="7" t="n">
        <ns0:v>3466778.654943259</ns0:v>
      </ns0:c>
    </ns0:row>
    <ns0:row r="1173" ht="24" customHeight="1">
      <ns0:c r="A1173" s="3" t="inlineStr">
        <ns0:is>
          <ns0:t>混在40/30/30</ns0:t>
        </ns0:is>
      </ns0:c>
      <ns0:c r="B1173" s="3" t="inlineStr">
        <ns0:is>
          <ns0:t>G0基本5000比較</ns0:t>
        </ns0:is>
      </ns0:c>
      <ns0:c r="C1173" s="3" t="inlineStr">
        <ns0:is>
          <ns0:t>A</ns0:t>
        </ns0:is>
      </ns0:c>
      <ns0:c r="D1173" s="4" t="n">
        <ns0:v>1</ns0:v>
      </ns0:c>
      <ns0:c r="E1173" s="4" t="n">
        <ns0:v>1500</ns0:v>
      </ns0:c>
      <ns0:c r="F1173" s="6" t="n">
        <ns0:v>0.3</ns0:v>
      </ns0:c>
      <ns0:c r="G1173" s="4" t="n">
        <ns0:v>1</ns0:v>
      </ns0:c>
      <ns0:c r="H1173" s="7" t="n">
        <ns0:v>6731.587827405181</ns0:v>
      </ns0:c>
      <ns0:c r="I1173" s="7" t="n">
        <ns0:v>4050.280733275315</ns0:v>
      </ns0:c>
      <ns0:c r="J1173" s="7" t="n">
        <ns0:v>1215.084219982594</ns0:v>
      </ns0:c>
      <ns0:c r="K1173" s="7" t="n">
        <ns0:v>18</ns0:v>
      </ns0:c>
      <ns0:c r="L1173" s="7" t="n">
        <ns0:v>43</ns0:v>
      </ns0:c>
      <ns0:c r="M1173" s="7" t="n">
        <ns0:v>-18817.42439634178</ns0:v>
      </ns0:c>
      <ns0:c r="N1173" s="7" t="n">
        <ns0:v>46780.09885688635</ns0:v>
      </ns0:c>
      <ns0:c r="O1173" s="7" t="n">
        <ns0:v>114307.4545123491</ns0:v>
      </ns0:c>
      <ns0:c r="P1173" s="7" t="n">
        <ns0:v>283125.843651006</ns0:v>
      </ns0:c>
      <ns0:c r="Q1173" s="7" t="n">
        <ns0:v>916399.4002056337</ns0:v>
      </ns0:c>
      <ns0:c r="R1173" s="7" t="n">
        <ns0:v>3209856.848146831</ns0:v>
      </ns0:c>
    </ns0:row>
    <ns0:row r="1174" ht="24" customHeight="1">
      <ns0:c r="A1174" s="3" t="inlineStr">
        <ns0:is>
          <ns0:t>混在40/30/30</ns0:t>
        </ns0:is>
      </ns0:c>
      <ns0:c r="B1174" s="3" t="inlineStr">
        <ns0:is>
          <ns0:t>G0基本5000比較</ns0:t>
        </ns0:is>
      </ns0:c>
      <ns0:c r="C1174" s="3" t="inlineStr">
        <ns0:is>
          <ns0:t>A</ns0:t>
        </ns0:is>
      </ns0:c>
      <ns0:c r="D1174" s="4" t="n">
        <ns0:v>1</ns0:v>
      </ns0:c>
      <ns0:c r="E1174" s="4" t="n">
        <ns0:v>1500</ns0:v>
      </ns0:c>
      <ns0:c r="F1174" s="6" t="n">
        <ns0:v>0.3</ns0:v>
      </ns0:c>
      <ns0:c r="G1174" s="4" t="n">
        <ns0:v>2</ns0:v>
      </ns0:c>
      <ns0:c r="H1174" s="7" t="n">
        <ns0:v>6731.587827405181</ns0:v>
      </ns0:c>
      <ns0:c r="I1174" s="7" t="n">
        <ns0:v>4050.280733275315</ns0:v>
      </ns0:c>
      <ns0:c r="J1174" s="7" t="n">
        <ns0:v>1215.084219982594</ns0:v>
      </ns0:c>
      <ns0:c r="K1174" s="7" t="n">
        <ns0:v>44</ns0:v>
      </ns0:c>
      <ns0:c r="L1174" s="18" t="inlineStr">
        <ns0:is>
          <ns0:t>範囲内なし</ns0:t>
        </ns0:is>
      </ns0:c>
      <ns0:c r="M1174" s="7" t="n">
        <ns0:v>-40049.26292768287</ns0:v>
      </ns0:c>
      <ns0:c r="N1174" s="7" t="n">
        <ns0:v>-16915.41673713692</ns0:v>
      </ns0:c>
      <ns0:c r="O1174" s="7" t="n">
        <ns0:v>8148.26185564365</ns0:v>
      </ns0:c>
      <ns0:c r="P1174" s="7" t="n">
        <ns0:v>70807.4583375951</ns0:v>
      </ns0:c>
      <ns0:c r="Q1174" s="7" t="n">
        <ns0:v>279444.244265401</ns0:v>
      </ns0:c>
      <ns0:c r="R1174" s="7" t="n">
        <ns0:v>1086672.995012722</ns0:v>
      </ns0:c>
    </ns0:row>
    <ns0:row r="1175" ht="24" customHeight="1">
      <ns0:c r="A1175" s="3" t="inlineStr">
        <ns0:is>
          <ns0:t>混在40/30/30</ns0:t>
        </ns0:is>
      </ns0:c>
      <ns0:c r="B1175" s="3" t="inlineStr">
        <ns0:is>
          <ns0:t>G0基本5000比較</ns0:t>
        </ns0:is>
      </ns0:c>
      <ns0:c r="C1175" s="3" t="inlineStr">
        <ns0:is>
          <ns0:t>A</ns0:t>
        </ns0:is>
      </ns0:c>
      <ns0:c r="D1175" s="4" t="n">
        <ns0:v>1</ns0:v>
      </ns0:c>
      <ns0:c r="E1175" s="4" t="n">
        <ns0:v>1500</ns0:v>
      </ns0:c>
      <ns0:c r="F1175" s="6" t="n">
        <ns0:v>0.3</ns0:v>
      </ns0:c>
      <ns0:c r="G1175" s="4" t="n">
        <ns0:v>3</ns0:v>
      </ns0:c>
      <ns0:c r="H1175" s="7" t="n">
        <ns0:v>6731.587827405181</ns0:v>
      </ns0:c>
      <ns0:c r="I1175" s="7" t="n">
        <ns0:v>4050.280733275315</ns0:v>
      </ns0:c>
      <ns0:c r="J1175" s="7" t="n">
        <ns0:v>1215.084219982594</ns0:v>
      </ns0:c>
      <ns0:c r="K1175" s="7" t="n">
        <ns0:v>21</ns0:v>
      </ns0:c>
      <ns0:c r="L1175" s="7" t="n">
        <ns0:v>226</ns0:v>
      </ns0:c>
      <ns0:c r="M1175" s="7" t="n">
        <ns0:v>-24458.17182459558</ns0:v>
      </ns0:c>
      <ns0:c r="N1175" s="7" t="n">
        <ns0:v>29857.85657212496</ns0:v>
      </ns0:c>
      <ns0:c r="O1175" s="7" t="n">
        <ns0:v>86103.7173710801</ns0:v>
      </ns0:c>
      <ns0:c r="P1175" s="7" t="n">
        <ns0:v>226718.369368468</ns0:v>
      </ns0:c>
      <ns0:c r="Q1175" s="7" t="n">
        <ns0:v>747176.9773580197</ns0:v>
      </ns0:c>
      <ns0:c r="R1175" s="7" t="n">
        <ns0:v>2645782.105321451</ns0:v>
      </ns0:c>
    </ns0:row>
    <ns0:row r="1176" ht="24" customHeight="1">
      <ns0:c r="A1176" s="3" t="inlineStr">
        <ns0:is>
          <ns0:t>混在40/30/30</ns0:t>
        </ns0:is>
      </ns0:c>
      <ns0:c r="B1176" s="3" t="inlineStr">
        <ns0:is>
          <ns0:t>G0基本5000比較</ns0:t>
        </ns0:is>
      </ns0:c>
      <ns0:c r="C1176" s="3" t="inlineStr">
        <ns0:is>
          <ns0:t>A</ns0:t>
        </ns0:is>
      </ns0:c>
      <ns0:c r="D1176" s="4" t="n">
        <ns0:v>1</ns0:v>
      </ns0:c>
      <ns0:c r="E1176" s="4" t="n">
        <ns0:v>1500</ns0:v>
      </ns0:c>
      <ns0:c r="F1176" s="6" t="n">
        <ns0:v>0.4</ns0:v>
      </ns0:c>
      <ns0:c r="G1176" s="4" t="n">
        <ns0:v>0</ns0:v>
      </ns0:c>
      <ns0:c r="H1176" s="7" t="n">
        <ns0:v>6731.587827405181</ns0:v>
      </ns0:c>
      <ns0:c r="I1176" s="7" t="n">
        <ns0:v>4050.280733275315</ns0:v>
      </ns0:c>
      <ns0:c r="J1176" s="7" t="n">
        <ns0:v>1620.112293310126</ns0:v>
      </ns0:c>
      <ns0:c r="K1176" s="7" t="n">
        <ns0:v>19</ns0:v>
      </ns0:c>
      <ns0:c r="L1176" s="7" t="n">
        <ns0:v>36</ns0:v>
      </ns0:c>
      <ns0:c r="M1176" s="7" t="n">
        <ns0:v>-20298.48706165283</ns0:v>
      </ns0:c>
      <ns0:c r="N1176" s="7" t="n">
        <ns0:v>42336.91086095322</ns0:v>
      </ns0:c>
      <ns0:c r="O1176" s="7" t="n">
        <ns0:v>106902.1411857939</ns0:v>
      </ns0:c>
      <ns0:c r="P1176" s="7" t="n">
        <ns0:v>268315.2169978956</ns0:v>
      </ns0:c>
      <ns0:c r="Q1176" s="7" t="n">
        <ns0:v>871967.5202463025</ns0:v>
      </ns0:c>
      <ns0:c r="R1176" s="7" t="n">
        <ns0:v>3061750.581615727</ns0:v>
      </ns0:c>
    </ns0:row>
    <ns0:row r="1177" ht="24" customHeight="1">
      <ns0:c r="A1177" s="3" t="inlineStr">
        <ns0:is>
          <ns0:t>混在40/30/30</ns0:t>
        </ns0:is>
      </ns0:c>
      <ns0:c r="B1177" s="3" t="inlineStr">
        <ns0:is>
          <ns0:t>G0基本5000比較</ns0:t>
        </ns0:is>
      </ns0:c>
      <ns0:c r="C1177" s="3" t="inlineStr">
        <ns0:is>
          <ns0:t>A</ns0:t>
        </ns0:is>
      </ns0:c>
      <ns0:c r="D1177" s="4" t="n">
        <ns0:v>1</ns0:v>
      </ns0:c>
      <ns0:c r="E1177" s="4" t="n">
        <ns0:v>1500</ns0:v>
      </ns0:c>
      <ns0:c r="F1177" s="6" t="n">
        <ns0:v>0.4</ns0:v>
      </ns0:c>
      <ns0:c r="G1177" s="4" t="n">
        <ns0:v>1</ns0:v>
      </ns0:c>
      <ns0:c r="H1177" s="7" t="n">
        <ns0:v>6731.587827405181</ns0:v>
      </ns0:c>
      <ns0:c r="I1177" s="7" t="n">
        <ns0:v>4050.280733275315</ns0:v>
      </ns0:c>
      <ns0:c r="J1177" s="7" t="n">
        <ns0:v>1620.112293310126</ns0:v>
      </ns0:c>
      <ns0:c r="K1177" s="7" t="n">
        <ns0:v>20</ns0:v>
      </ns0:c>
      <ns0:c r="L1177" s="7" t="n">
        <ns0:v>48</ns0:v>
      </ns0:c>
      <ns0:c r="M1177" s="7" t="n">
        <ns0:v>-22867.7051296171</ns0:v>
      </ns0:c>
      <ns0:c r="N1177" s="7" t="n">
        <ns0:v>34629.25665706041</ns0:v>
      </ns0:c>
      <ns0:c r="O1177" s="7" t="n">
        <ns0:v>94056.05084597252</ns0:v>
      </ns0:c>
      <ns0:c r="P1177" s="7" t="n">
        <ns0:v>242623.0363182529</ns0:v>
      </ns0:c>
      <ns0:c r="Q1177" s="7" t="n">
        <ns0:v>794890.9782073743</ns0:v>
      </ns0:c>
      <ns0:c r="R1177" s="7" t="n">
        <ns0:v>2804828.7748193</ns0:v>
      </ns0:c>
    </ns0:row>
    <ns0:row r="1178" ht="24" customHeight="1">
      <ns0:c r="A1178" s="3" t="inlineStr">
        <ns0:is>
          <ns0:t>混在40/30/30</ns0:t>
        </ns0:is>
      </ns0:c>
      <ns0:c r="B1178" s="3" t="inlineStr">
        <ns0:is>
          <ns0:t>G0基本5000比較</ns0:t>
        </ns0:is>
      </ns0:c>
      <ns0:c r="C1178" s="3" t="inlineStr">
        <ns0:is>
          <ns0:t>A</ns0:t>
        </ns0:is>
      </ns0:c>
      <ns0:c r="D1178" s="4" t="n">
        <ns0:v>1</ns0:v>
      </ns0:c>
      <ns0:c r="E1178" s="4" t="n">
        <ns0:v>1500</ns0:v>
      </ns0:c>
      <ns0:c r="F1178" s="6" t="n">
        <ns0:v>0.4</ns0:v>
      </ns0:c>
      <ns0:c r="G1178" s="4" t="n">
        <ns0:v>2</ns0:v>
      </ns0:c>
      <ns0:c r="H1178" s="7" t="n">
        <ns0:v>6731.587827405181</ns0:v>
      </ns0:c>
      <ns0:c r="I1178" s="7" t="n">
        <ns0:v>4050.280733275315</ns0:v>
      </ns0:c>
      <ns0:c r="J1178" s="7" t="n">
        <ns0:v>1620.112293310126</ns0:v>
      </ns0:c>
      <ns0:c r="K1178" s="7" t="n">
        <ns0:v>65</ns0:v>
      </ns0:c>
      <ns0:c r="L1178" s="18" t="inlineStr">
        <ns0:is>
          <ns0:t>範囲内なし</ns0:t>
        </ns0:is>
      </ns0:c>
      <ns0:c r="M1178" s="7" t="n">
        <ns0:v>-44099.54366095819</ns0:v>
      </ns0:c>
      <ns0:c r="N1178" s="7" t="n">
        <ns0:v>-29066.25893696286</ns0:v>
      </ns0:c>
      <ns0:c r="O1178" s="7" t="n">
        <ns0:v>-12103.14181073292</ns0:v>
      </ns0:c>
      <ns0:c r="P1178" s="7" t="n">
        <ns0:v>30304.65100484196</ns0:v>
      </ns0:c>
      <ns0:c r="Q1178" s="7" t="n">
        <ns0:v>157935.8222671417</ns0:v>
      </ns0:c>
      <ns0:c r="R1178" s="7" t="n">
        <ns0:v>681644.9216851913</ns0:v>
      </ns0:c>
    </ns0:row>
    <ns0:row r="1179" ht="24" customHeight="1">
      <ns0:c r="A1179" s="3" t="inlineStr">
        <ns0:is>
          <ns0:t>混在40/30/30</ns0:t>
        </ns0:is>
      </ns0:c>
      <ns0:c r="B1179" s="3" t="inlineStr">
        <ns0:is>
          <ns0:t>G0基本5000比較</ns0:t>
        </ns0:is>
      </ns0:c>
      <ns0:c r="C1179" s="3" t="inlineStr">
        <ns0:is>
          <ns0:t>A</ns0:t>
        </ns0:is>
      </ns0:c>
      <ns0:c r="D1179" s="4" t="n">
        <ns0:v>1</ns0:v>
      </ns0:c>
      <ns0:c r="E1179" s="4" t="n">
        <ns0:v>1500</ns0:v>
      </ns0:c>
      <ns0:c r="F1179" s="6" t="n">
        <ns0:v>0.4</ns0:v>
      </ns0:c>
      <ns0:c r="G1179" s="4" t="n">
        <ns0:v>3</ns0:v>
      </ns0:c>
      <ns0:c r="H1179" s="7" t="n">
        <ns0:v>6731.587827405181</ns0:v>
      </ns0:c>
      <ns0:c r="I1179" s="7" t="n">
        <ns0:v>4050.280733275315</ns0:v>
      </ns0:c>
      <ns0:c r="J1179" s="7" t="n">
        <ns0:v>1620.112293310126</ns0:v>
      </ns0:c>
      <ns0:c r="K1179" s="7" t="n">
        <ns0:v>23</ns0:v>
      </ns0:c>
      <ns0:c r="L1179" s="7" t="n">
        <ns0:v>350</ns0:v>
      </ns0:c>
      <ns0:c r="M1179" s="7" t="n">
        <ns0:v>-28508.4525578709</ns0:v>
      </ns0:c>
      <ns0:c r="N1179" s="7" t="n">
        <ns0:v>17707.01437229901</ns0:v>
      </ns0:c>
      <ns0:c r="O1179" s="7" t="n">
        <ns0:v>65852.31370470353</ns0:v>
      </ns0:c>
      <ns0:c r="P1179" s="7" t="n">
        <ns0:v>186215.5620357149</ns0:v>
      </ns0:c>
      <ns0:c r="Q1179" s="7" t="n">
        <ns0:v>625668.5553597603</ns0:v>
      </ns0:c>
      <ns0:c r="R1179" s="7" t="n">
        <ns0:v>2240754.03199392</ns0:v>
      </ns0:c>
    </ns0:row>
    <ns0:row r="1180" ht="24" customHeight="1">
      <ns0:c r="A1180" s="3" t="inlineStr">
        <ns0:is>
          <ns0:t>混在40/30/30</ns0:t>
        </ns0:is>
      </ns0:c>
      <ns0:c r="B1180" s="3" t="inlineStr">
        <ns0:is>
          <ns0:t>G0基本5000比較</ns0:t>
        </ns0:is>
      </ns0:c>
      <ns0:c r="C1180" s="3" t="inlineStr">
        <ns0:is>
          <ns0:t>A</ns0:t>
        </ns0:is>
      </ns0:c>
      <ns0:c r="D1180" s="4" t="n">
        <ns0:v>1</ns0:v>
      </ns0:c>
      <ns0:c r="E1180" s="4" t="n">
        <ns0:v>1500</ns0:v>
      </ns0:c>
      <ns0:c r="F1180" s="6" t="n">
        <ns0:v>0.5</ns0:v>
      </ns0:c>
      <ns0:c r="G1180" s="4" t="n">
        <ns0:v>0</ns0:v>
      </ns0:c>
      <ns0:c r="H1180" s="7" t="n">
        <ns0:v>6731.587827405181</ns0:v>
      </ns0:c>
      <ns0:c r="I1180" s="7" t="n">
        <ns0:v>4050.280733275315</ns0:v>
      </ns0:c>
      <ns0:c r="J1180" s="7" t="n">
        <ns0:v>2025.140366637657</ns0:v>
      </ns0:c>
      <ns0:c r="K1180" s="7" t="n">
        <ns0:v>21</ns0:v>
      </ns0:c>
      <ns0:c r="L1180" s="7" t="n">
        <ns0:v>39</ns0:v>
      </ns0:c>
      <ns0:c r="M1180" s="7" t="n">
        <ns0:v>-24348.76779492814</ns0:v>
      </ns0:c>
      <ns0:c r="N1180" s="7" t="n">
        <ns0:v>30186.06866112728</ns0:v>
      </ns0:c>
      <ns0:c r="O1180" s="7" t="n">
        <ns0:v>86650.73751941734</ns0:v>
      </ns0:c>
      <ns0:c r="P1180" s="7" t="n">
        <ns0:v>227812.4096651424</ns0:v>
      </ns0:c>
      <ns0:c r="Q1180" s="7" t="n">
        <ns0:v>750459.0982480431</ns0:v>
      </ns0:c>
      <ns0:c r="R1180" s="7" t="n">
        <ns0:v>2656722.508288195</ns0:v>
      </ns0:c>
    </ns0:row>
    <ns0:row r="1181" ht="24" customHeight="1">
      <ns0:c r="A1181" s="3" t="inlineStr">
        <ns0:is>
          <ns0:t>混在40/30/30</ns0:t>
        </ns0:is>
      </ns0:c>
      <ns0:c r="B1181" s="3" t="inlineStr">
        <ns0:is>
          <ns0:t>G0基本5000比較</ns0:t>
        </ns0:is>
      </ns0:c>
      <ns0:c r="C1181" s="3" t="inlineStr">
        <ns0:is>
          <ns0:t>A</ns0:t>
        </ns0:is>
      </ns0:c>
      <ns0:c r="D1181" s="4" t="n">
        <ns0:v>1</ns0:v>
      </ns0:c>
      <ns0:c r="E1181" s="4" t="n">
        <ns0:v>1500</ns0:v>
      </ns0:c>
      <ns0:c r="F1181" s="6" t="n">
        <ns0:v>0.5</ns0:v>
      </ns0:c>
      <ns0:c r="G1181" s="4" t="n">
        <ns0:v>1</ns0:v>
      </ns0:c>
      <ns0:c r="H1181" s="7" t="n">
        <ns0:v>6731.587827405181</ns0:v>
      </ns0:c>
      <ns0:c r="I1181" s="7" t="n">
        <ns0:v>4050.280733275315</ns0:v>
      </ns0:c>
      <ns0:c r="J1181" s="7" t="n">
        <ns0:v>2025.140366637657</ns0:v>
      </ns0:c>
      <ns0:c r="K1181" s="7" t="n">
        <ns0:v>22</ns0:v>
      </ns0:c>
      <ns0:c r="L1181" s="7" t="n">
        <ns0:v>55</ns0:v>
      </ns0:c>
      <ns0:c r="M1181" s="7" t="n">
        <ns0:v>-26917.98586289241</ns0:v>
      </ns0:c>
      <ns0:c r="N1181" s="7" t="n">
        <ns0:v>22478.41445723446</ns0:v>
      </ns0:c>
      <ns0:c r="O1181" s="7" t="n">
        <ns0:v>73804.64717959597</ns0:v>
      </ns0:c>
      <ns0:c r="P1181" s="7" t="n">
        <ns0:v>202120.2289854997</ns0:v>
      </ns0:c>
      <ns0:c r="Q1181" s="7" t="n">
        <ns0:v>673382.556209115</ns0:v>
      </ns0:c>
      <ns0:c r="R1181" s="7" t="n">
        <ns0:v>2399800.701491768</ns0:v>
      </ns0:c>
    </ns0:row>
    <ns0:row r="1182" ht="24" customHeight="1">
      <ns0:c r="A1182" s="3" t="inlineStr">
        <ns0:is>
          <ns0:t>混在40/30/30</ns0:t>
        </ns0:is>
      </ns0:c>
      <ns0:c r="B1182" s="3" t="inlineStr">
        <ns0:is>
          <ns0:t>G0基本5000比較</ns0:t>
        </ns0:is>
      </ns0:c>
      <ns0:c r="C1182" s="3" t="inlineStr">
        <ns0:is>
          <ns0:t>A</ns0:t>
        </ns0:is>
      </ns0:c>
      <ns0:c r="D1182" s="4" t="n">
        <ns0:v>1</ns0:v>
      </ns0:c>
      <ns0:c r="E1182" s="4" t="n">
        <ns0:v>1500</ns0:v>
      </ns0:c>
      <ns0:c r="F1182" s="6" t="n">
        <ns0:v>0.5</ns0:v>
      </ns0:c>
      <ns0:c r="G1182" s="4" t="n">
        <ns0:v>2</ns0:v>
      </ns0:c>
      <ns0:c r="H1182" s="7" t="n">
        <ns0:v>6731.587827405181</ns0:v>
      </ns0:c>
      <ns0:c r="I1182" s="7" t="n">
        <ns0:v>4050.280733275315</ns0:v>
      </ns0:c>
      <ns0:c r="J1182" s="7" t="n">
        <ns0:v>2025.140366637657</ns0:v>
      </ns0:c>
      <ns0:c r="K1182" s="7" t="n">
        <ns0:v>218</ns0:v>
      </ns0:c>
      <ns0:c r="L1182" s="18" t="inlineStr">
        <ns0:is>
          <ns0:t>範囲内なし</ns0:t>
        </ns0:is>
      </ns0:c>
      <ns0:c r="M1182" s="7" t="n">
        <ns0:v>-48149.8243942335</ns0:v>
      </ns0:c>
      <ns0:c r="N1182" s="7" t="n">
        <ns0:v>-41217.10113678881</ns0:v>
      </ns0:c>
      <ns0:c r="O1182" s="7" t="n">
        <ns0:v>-32354.54547710947</ns0:v>
      </ns0:c>
      <ns0:c r="P1182" s="7" t="n">
        <ns0:v>-10198.15632791116</ns0:v>
      </ns0:c>
      <ns0:c r="Q1182" s="7" t="n">
        <ns0:v>36427.40026888228</ns0:v>
      </ns0:c>
      <ns0:c r="R1182" s="7" t="n">
        <ns0:v>276616.8483576595</ns0:v>
      </ns0:c>
    </ns0:row>
    <ns0:row r="1183" ht="24" customHeight="1">
      <ns0:c r="A1183" s="3" t="inlineStr">
        <ns0:is>
          <ns0:t>混在40/30/30</ns0:t>
        </ns0:is>
      </ns0:c>
      <ns0:c r="B1183" s="3" t="inlineStr">
        <ns0:is>
          <ns0:t>G0基本5000比較</ns0:t>
        </ns0:is>
      </ns0:c>
      <ns0:c r="C1183" s="3" t="inlineStr">
        <ns0:is>
          <ns0:t>A</ns0:t>
        </ns0:is>
      </ns0:c>
      <ns0:c r="D1183" s="4" t="n">
        <ns0:v>1</ns0:v>
      </ns0:c>
      <ns0:c r="E1183" s="4" t="n">
        <ns0:v>1500</ns0:v>
      </ns0:c>
      <ns0:c r="F1183" s="6" t="n">
        <ns0:v>0.5</ns0:v>
      </ns0:c>
      <ns0:c r="G1183" s="4" t="n">
        <ns0:v>3</ns0:v>
      </ns0:c>
      <ns0:c r="H1183" s="7" t="n">
        <ns0:v>6731.587827405181</ns0:v>
      </ns0:c>
      <ns0:c r="I1183" s="7" t="n">
        <ns0:v>4050.280733275315</ns0:v>
      </ns0:c>
      <ns0:c r="J1183" s="7" t="n">
        <ns0:v>2025.140366637657</ns0:v>
      </ns0:c>
      <ns0:c r="K1183" s="7" t="n">
        <ns0:v>28</ns0:v>
      </ns0:c>
      <ns0:c r="L1183" s="18" t="inlineStr">
        <ns0:is>
          <ns0:t>範囲内なし</ns0:t>
        </ns0:is>
      </ns0:c>
      <ns0:c r="M1183" s="7" t="n">
        <ns0:v>-32558.73329114621</ns0:v>
      </ns0:c>
      <ns0:c r="N1183" s="7" t="n">
        <ns0:v>5556.17217247306</ns0:v>
      </ns0:c>
      <ns0:c r="O1183" s="7" t="n">
        <ns0:v>45600.91003832697</ns0:v>
      </ns0:c>
      <ns0:c r="P1183" s="7" t="n">
        <ns0:v>145712.7547029617</ns0:v>
      </ns0:c>
      <ns0:c r="Q1183" s="7" t="n">
        <ns0:v>504160.1333615009</ns0:v>
      </ns0:c>
      <ns0:c r="R1183" s="7" t="n">
        <ns0:v>1835725.958666388</ns0:v>
      </ns0:c>
    </ns0:row>
    <ns0:row r="1184" ht="24" customHeight="1">
      <ns0:c r="A1184" s="3" t="inlineStr">
        <ns0:is>
          <ns0:t>混在40/30/30</ns0:t>
        </ns0:is>
      </ns0:c>
      <ns0:c r="B1184" s="3" t="inlineStr">
        <ns0:is>
          <ns0:t>G0基本5000比較</ns0:t>
        </ns0:is>
      </ns0:c>
      <ns0:c r="C1184" s="3" t="inlineStr">
        <ns0:is>
          <ns0:t>A</ns0:t>
        </ns0:is>
      </ns0:c>
      <ns0:c r="D1184" s="4" t="n">
        <ns0:v>2</ns0:v>
      </ns0:c>
      <ns0:c r="E1184" s="4" t="n">
        <ns0:v>500</ns0:v>
      </ns0:c>
      <ns0:c r="F1184" s="6" t="n">
        <ns0:v>0.3</ns0:v>
      </ns0:c>
      <ns0:c r="G1184" s="4" t="n">
        <ns0:v>0</ns0:v>
      </ns0:c>
      <ns0:c r="H1184" s="7" t="n">
        <ns0:v>8973.76352798295</ns0:v>
      </ns0:c>
      <ns0:c r="I1184" s="7" t="n">
        <ns0:v>4649.220142602496</ns0:v>
      </ns0:c>
      <ns0:c r="J1184" s="7" t="n">
        <ns0:v>1394.766042780749</ns0:v>
      </ns0:c>
      <ns0:c r="K1184" s="7" t="n">
        <ns0:v>10</ns0:v>
      </ns0:c>
      <ns0:c r="L1184" s="7" t="n">
        <ns0:v>18</ns0:v>
      </ns0:c>
      <ns0:c r="M1184" s="7" t="n">
        <ns0:v>2914.027412790248</ns0:v>
      </ns0:c>
      <ns0:c r="N1184" s="7" t="n">
        <ns0:v>97306.74086480035</ns0:v>
      </ns0:c>
      <ns0:c r="O1184" s="7" t="n">
        <ns0:v>198518.5245255391</ns0:v>
      </ns0:c>
      <ns0:c r="P1184" s="7" t="n">
        <ns0:v>451547.9836773861</ns0:v>
      </ns0:c>
      <ns0:c r="Q1184" s="7" t="n">
        <ns0:v>1421665.820284774</ns0:v>
      </ns0:c>
      <ns0:c r="R1184" s="7" t="n">
        <ns0:v>4894078.24841063</ns0:v>
      </ns0:c>
    </ns0:row>
    <ns0:row r="1185" ht="24" customHeight="1">
      <ns0:c r="A1185" s="3" t="inlineStr">
        <ns0:is>
          <ns0:t>混在40/30/30</ns0:t>
        </ns0:is>
      </ns0:c>
      <ns0:c r="B1185" s="3" t="inlineStr">
        <ns0:is>
          <ns0:t>G0基本5000比較</ns0:t>
        </ns0:is>
      </ns0:c>
      <ns0:c r="C1185" s="3" t="inlineStr">
        <ns0:is>
          <ns0:t>A</ns0:t>
        </ns0:is>
      </ns0:c>
      <ns0:c r="D1185" s="4" t="n">
        <ns0:v>2</ns0:v>
      </ns0:c>
      <ns0:c r="E1185" s="4" t="n">
        <ns0:v>500</ns0:v>
      </ns0:c>
      <ns0:c r="F1185" s="6" t="n">
        <ns0:v>0.3</ns0:v>
      </ns0:c>
      <ns0:c r="G1185" s="4" t="n">
        <ns0:v>1</ns0:v>
      </ns0:c>
      <ns0:c r="H1185" s="7" t="n">
        <ns0:v>8973.76352798295</ns0:v>
      </ns0:c>
      <ns0:c r="I1185" s="7" t="n">
        <ns0:v>4649.220142602496</ns0:v>
      </ns0:c>
      <ns0:c r="J1185" s="7" t="n">
        <ns0:v>1394.766042780749</ns0:v>
      </ns0:c>
      <ns0:c r="K1185" s="7" t="n">
        <ns0:v>11</ns0:v>
      </ns0:c>
      <ns0:c r="L1185" s="7" t="n">
        <ns0:v>21</ns0:v>
      </ns0:c>
      <ns0:c r="M1185" s="7" t="n">
        <ns0:v>-290.5279134146549</ns0:v>
      </ns0:c>
      <ns0:c r="N1185" s="7" t="n">
        <ns0:v>87693.07488618564</ns0:v>
      </ns0:c>
      <ns0:c r="O1185" s="7" t="n">
        <ns0:v>182495.7478945146</ns0:v>
      </ns0:c>
      <ns0:c r="P1185" s="7" t="n">
        <ns0:v>419502.430415337</ns0:v>
      </ns0:c>
      <ns0:c r="Q1185" s="7" t="n">
        <ns0:v>1325529.160498627</ns0:v>
      </ns0:c>
      <ns0:c r="R1185" s="7" t="n">
        <ns0:v>4573622.71579014</ns0:v>
      </ns0:c>
    </ns0:row>
    <ns0:row r="1186" ht="24" customHeight="1">
      <ns0:c r="A1186" s="3" t="inlineStr">
        <ns0:is>
          <ns0:t>混在40/30/30</ns0:t>
        </ns0:is>
      </ns0:c>
      <ns0:c r="B1186" s="3" t="inlineStr">
        <ns0:is>
          <ns0:t>G0基本5000比較</ns0:t>
        </ns0:is>
      </ns0:c>
      <ns0:c r="C1186" s="3" t="inlineStr">
        <ns0:is>
          <ns0:t>A</ns0:t>
        </ns0:is>
      </ns0:c>
      <ns0:c r="D1186" s="4" t="n">
        <ns0:v>2</ns0:v>
      </ns0:c>
      <ns0:c r="E1186" s="4" t="n">
        <ns0:v>500</ns0:v>
      </ns0:c>
      <ns0:c r="F1186" s="6" t="n">
        <ns0:v>0.3</ns0:v>
      </ns0:c>
      <ns0:c r="G1186" s="4" t="n">
        <ns0:v>2</ns0:v>
      </ns0:c>
      <ns0:c r="H1186" s="7" t="n">
        <ns0:v>8973.76352798295</ns0:v>
      </ns0:c>
      <ns0:c r="I1186" s="7" t="n">
        <ns0:v>4649.220142602496</ns0:v>
      </ns0:c>
      <ns0:c r="J1186" s="7" t="n">
        <ns0:v>1394.766042780749</ns0:v>
      </ns0:c>
      <ns0:c r="K1186" s="7" t="n">
        <ns0:v>70</ns0:v>
      </ns0:c>
      <ns0:c r="L1186" s="18" t="inlineStr">
        <ns0:is>
          <ns0:t>範囲内なし</ns0:t>
        </ns0:is>
      </ns0:c>
      <ns0:c r="M1186" s="7" t="n">
        <ns0:v>-39862.89326199354</ns0:v>
      </ns0:c>
      <ns0:c r="N1186" s="7" t="n">
        <ns0:v>-31024.02115955102</ns0:v>
      </ns0:c>
      <ns0:c r="O1186" s="7" t="n">
        <ns0:v>-15366.07884837981</ns0:v>
      </ns0:c>
      <ns0:c r="P1186" s="7" t="n">
        <ns0:v>23778.77692954816</ns0:v>
      </ns0:c>
      <ns0:c r="Q1186" s="7" t="n">
        <ns0:v>138358.2000412601</ns0:v>
      </ns0:c>
      <ns0:c r="R1186" s="7" t="n">
        <ns0:v>616386.1809322513</ns0:v>
      </ns0:c>
    </ns0:row>
    <ns0:row r="1187" ht="24" customHeight="1">
      <ns0:c r="A1187" s="3" t="inlineStr">
        <ns0:is>
          <ns0:t>混在40/30/30</ns0:t>
        </ns0:is>
      </ns0:c>
      <ns0:c r="B1187" s="3" t="inlineStr">
        <ns0:is>
          <ns0:t>G0基本5000比較</ns0:t>
        </ns0:is>
      </ns0:c>
      <ns0:c r="C1187" s="3" t="inlineStr">
        <ns0:is>
          <ns0:t>A</ns0:t>
        </ns0:is>
      </ns0:c>
      <ns0:c r="D1187" s="4" t="n">
        <ns0:v>2</ns0:v>
      </ns0:c>
      <ns0:c r="E1187" s="4" t="n">
        <ns0:v>500</ns0:v>
      </ns0:c>
      <ns0:c r="F1187" s="6" t="n">
        <ns0:v>0.3</ns0:v>
      </ns0:c>
      <ns0:c r="G1187" s="4" t="n">
        <ns0:v>3</ns0:v>
      </ns0:c>
      <ns0:c r="H1187" s="7" t="n">
        <ns0:v>8973.76352798295</ns0:v>
      </ns0:c>
      <ns0:c r="I1187" s="7" t="n">
        <ns0:v>4649.220142602496</ns0:v>
      </ns0:c>
      <ns0:c r="J1187" s="7" t="n">
        <ns0:v>1394.766042780749</ns0:v>
      </ns0:c>
      <ns0:c r="K1187" s="7" t="n">
        <ns0:v>12</ns0:v>
      </ns0:c>
      <ns0:c r="L1187" s="7" t="n">
        <ns0:v>34</ns0:v>
      </ns0:c>
      <ns0:c r="M1187" s="7" t="n">
        <ns0:v>-6869.682247566532</ns0:v>
      </ns0:c>
      <ns0:c r="N1187" s="7" t="n">
        <ns0:v>67955.61188373002</ns0:v>
      </ns0:c>
      <ns0:c r="O1187" s="7" t="n">
        <ns0:v>149599.9762237552</ns0:v>
      </ns0:c>
      <ns0:c r="P1187" s="7" t="n">
        <ns0:v>353710.8870738182</ns0:v>
      </ns0:c>
      <ns0:c r="Q1187" s="7" t="n">
        <ns0:v>1128154.53047407</ns0:v>
      </ns0:c>
      <ns0:c r="R1187" s="7" t="n">
        <ns0:v>3915707.282374952</ns0:v>
      </ns0:c>
    </ns0:row>
    <ns0:row r="1188" ht="24" customHeight="1">
      <ns0:c r="A1188" s="3" t="inlineStr">
        <ns0:is>
          <ns0:t>混在40/30/30</ns0:t>
        </ns0:is>
      </ns0:c>
      <ns0:c r="B1188" s="3" t="inlineStr">
        <ns0:is>
          <ns0:t>G0基本5000比較</ns0:t>
        </ns0:is>
      </ns0:c>
      <ns0:c r="C1188" s="3" t="inlineStr">
        <ns0:is>
          <ns0:t>A</ns0:t>
        </ns0:is>
      </ns0:c>
      <ns0:c r="D1188" s="4" t="n">
        <ns0:v>2</ns0:v>
      </ns0:c>
      <ns0:c r="E1188" s="4" t="n">
        <ns0:v>500</ns0:v>
      </ns0:c>
      <ns0:c r="F1188" s="6" t="n">
        <ns0:v>0.4</ns0:v>
      </ns0:c>
      <ns0:c r="G1188" s="4" t="n">
        <ns0:v>0</ns0:v>
      </ns0:c>
      <ns0:c r="H1188" s="7" t="n">
        <ns0:v>8973.76352798295</ns0:v>
      </ns0:c>
      <ns0:c r="I1188" s="7" t="n">
        <ns0:v>4649.220142602496</ns0:v>
      </ns0:c>
      <ns0:c r="J1188" s="7" t="n">
        <ns0:v>1859.688057040998</ns0:v>
      </ns0:c>
      <ns0:c r="K1188" s="7" t="n">
        <ns0:v>11</ns0:v>
      </ns0:c>
      <ns0:c r="L1188" s="7" t="n">
        <ns0:v>19</ns0:v>
      </ns0:c>
      <ns0:c r="M1188" s="7" t="n">
        <ns0:v>-1735.192729812246</ns0:v>
      </ns0:c>
      <ns0:c r="N1188" s="7" t="n">
        <ns0:v>83359.08043699284</ns0:v>
      </ns0:c>
      <ns0:c r="O1188" s="7" t="n">
        <ns0:v>175272.4238125266</ns0:v>
      </ns0:c>
      <ns0:c r="P1188" s="7" t="n">
        <ns0:v>405055.782251361</ns0:v>
      </ns0:c>
      <ns0:c r="Q1188" s="7" t="n">
        <ns0:v>1282189.216006699</ns0:v>
      </ns0:c>
      <ns0:c r="R1188" s="7" t="n">
        <ns0:v>4429156.234150382</ns0:v>
      </ns0:c>
    </ns0:row>
    <ns0:row r="1189" ht="24" customHeight="1">
      <ns0:c r="A1189" s="3" t="inlineStr">
        <ns0:is>
          <ns0:t>混在40/30/30</ns0:t>
        </ns0:is>
      </ns0:c>
      <ns0:c r="B1189" s="3" t="inlineStr">
        <ns0:is>
          <ns0:t>G0基本5000比較</ns0:t>
        </ns0:is>
      </ns0:c>
      <ns0:c r="C1189" s="3" t="inlineStr">
        <ns0:is>
          <ns0:t>A</ns0:t>
        </ns0:is>
      </ns0:c>
      <ns0:c r="D1189" s="4" t="n">
        <ns0:v>2</ns0:v>
      </ns0:c>
      <ns0:c r="E1189" s="4" t="n">
        <ns0:v>500</ns0:v>
      </ns0:c>
      <ns0:c r="F1189" s="6" t="n">
        <ns0:v>0.4</ns0:v>
      </ns0:c>
      <ns0:c r="G1189" s="4" t="n">
        <ns0:v>1</ns0:v>
      </ns0:c>
      <ns0:c r="H1189" s="7" t="n">
        <ns0:v>8973.76352798295</ns0:v>
      </ns0:c>
      <ns0:c r="I1189" s="7" t="n">
        <ns0:v>4649.220142602496</ns0:v>
      </ns0:c>
      <ns0:c r="J1189" s="7" t="n">
        <ns0:v>1859.688057040998</ns0:v>
      </ns0:c>
      <ns0:c r="K1189" s="7" t="n">
        <ns0:v>11</ns0:v>
      </ns0:c>
      <ns0:c r="L1189" s="7" t="n">
        <ns0:v>22</ns0:v>
      </ns0:c>
      <ns0:c r="M1189" s="7" t="n">
        <ns0:v>-4939.748056017148</ns0:v>
      </ns0:c>
      <ns0:c r="N1189" s="7" t="n">
        <ns0:v>73745.41445837813</ns0:v>
      </ns0:c>
      <ns0:c r="O1189" s="7" t="n">
        <ns0:v>159249.6471815021</ns0:v>
      </ns0:c>
      <ns0:c r="P1189" s="7" t="n">
        <ns0:v>373010.228989312</ns0:v>
      </ns0:c>
      <ns0:c r="Q1189" s="7" t="n">
        <ns0:v>1186052.556220552</ns0:v>
      </ns0:c>
      <ns0:c r="R1189" s="7" t="n">
        <ns0:v>4108700.701529891</ns0:v>
      </ns0:c>
    </ns0:row>
    <ns0:row r="1190" ht="24" customHeight="1">
      <ns0:c r="A1190" s="3" t="inlineStr">
        <ns0:is>
          <ns0:t>混在40/30/30</ns0:t>
        </ns0:is>
      </ns0:c>
      <ns0:c r="B1190" s="3" t="inlineStr">
        <ns0:is>
          <ns0:t>G0基本5000比較</ns0:t>
        </ns0:is>
      </ns0:c>
      <ns0:c r="C1190" s="3" t="inlineStr">
        <ns0:is>
          <ns0:t>A</ns0:t>
        </ns0:is>
      </ns0:c>
      <ns0:c r="D1190" s="4" t="n">
        <ns0:v>2</ns0:v>
      </ns0:c>
      <ns0:c r="E1190" s="4" t="n">
        <ns0:v>500</ns0:v>
      </ns0:c>
      <ns0:c r="F1190" s="6" t="n">
        <ns0:v>0.4</ns0:v>
      </ns0:c>
      <ns0:c r="G1190" s="4" t="n">
        <ns0:v>2</ns0:v>
      </ns0:c>
      <ns0:c r="H1190" s="7" t="n">
        <ns0:v>8973.76352798295</ns0:v>
      </ns0:c>
      <ns0:c r="I1190" s="7" t="n">
        <ns0:v>4649.220142602496</ns0:v>
      </ns0:c>
      <ns0:c r="J1190" s="7" t="n">
        <ns0:v>1859.688057040998</ns0:v>
      </ns0:c>
      <ns0:c r="K1190" s="7" t="n">
        <ns0:v>304</ns0:v>
      </ns0:c>
      <ns0:c r="L1190" s="18" t="inlineStr">
        <ns0:is>
          <ns0:t>範囲内なし</ns0:t>
        </ns0:is>
      </ns0:c>
      <ns0:c r="M1190" s="7" t="n">
        <ns0:v>-44512.11340459604</ns0:v>
      </ns0:c>
      <ns0:c r="N1190" s="7" t="n">
        <ns0:v>-44971.68158735851</ns0:v>
      </ns0:c>
      <ns0:c r="O1190" s="7" t="n">
        <ns0:v>-38612.17956139235</ns0:v>
      </ns0:c>
      <ns0:c r="P1190" s="7" t="n">
        <ns0:v>-22713.42449647689</ns0:v>
      </ns0:c>
      <ns0:c r="Q1190" s="7" t="n">
        <ns0:v>-1118.404236814706</ns0:v>
      </ns0:c>
      <ns0:c r="R1190" s="7" t="n">
        <ns0:v>151464.1666720021</ns0:v>
      </ns0:c>
    </ns0:row>
    <ns0:row r="1191" ht="24" customHeight="1">
      <ns0:c r="A1191" s="3" t="inlineStr">
        <ns0:is>
          <ns0:t>混在40/30/30</ns0:t>
        </ns0:is>
      </ns0:c>
      <ns0:c r="B1191" s="3" t="inlineStr">
        <ns0:is>
          <ns0:t>G0基本5000比較</ns0:t>
        </ns0:is>
      </ns0:c>
      <ns0:c r="C1191" s="3" t="inlineStr">
        <ns0:is>
          <ns0:t>A</ns0:t>
        </ns0:is>
      </ns0:c>
      <ns0:c r="D1191" s="4" t="n">
        <ns0:v>2</ns0:v>
      </ns0:c>
      <ns0:c r="E1191" s="4" t="n">
        <ns0:v>500</ns0:v>
      </ns0:c>
      <ns0:c r="F1191" s="6" t="n">
        <ns0:v>0.4</ns0:v>
      </ns0:c>
      <ns0:c r="G1191" s="4" t="n">
        <ns0:v>3</ns0:v>
      </ns0:c>
      <ns0:c r="H1191" s="7" t="n">
        <ns0:v>8973.76352798295</ns0:v>
      </ns0:c>
      <ns0:c r="I1191" s="7" t="n">
        <ns0:v>4649.220142602496</ns0:v>
      </ns0:c>
      <ns0:c r="J1191" s="7" t="n">
        <ns0:v>1859.688057040998</ns0:v>
      </ns0:c>
      <ns0:c r="K1191" s="7" t="n">
        <ns0:v>13</ns0:v>
      </ns0:c>
      <ns0:c r="L1191" s="7" t="n">
        <ns0:v>38</ns0:v>
      </ns0:c>
      <ns0:c r="M1191" s="7" t="n">
        <ns0:v>-11518.90239016902</ns0:v>
      </ns0:c>
      <ns0:c r="N1191" s="7" t="n">
        <ns0:v>54007.95145592251</ns0:v>
      </ns0:c>
      <ns0:c r="O1191" s="7" t="n">
        <ns0:v>126353.8755107427</ns0:v>
      </ns0:c>
      <ns0:c r="P1191" s="7" t="n">
        <ns0:v>307218.6856477932</ns0:v>
      </ns0:c>
      <ns0:c r="Q1191" s="7" t="n">
        <ns0:v>988677.9261959955</ns0:v>
      </ns0:c>
      <ns0:c r="R1191" s="7" t="n">
        <ns0:v>3450785.268114703</ns0:v>
      </ns0:c>
    </ns0:row>
    <ns0:row r="1192" ht="24" customHeight="1">
      <ns0:c r="A1192" s="3" t="inlineStr">
        <ns0:is>
          <ns0:t>混在40/30/30</ns0:t>
        </ns0:is>
      </ns0:c>
      <ns0:c r="B1192" s="3" t="inlineStr">
        <ns0:is>
          <ns0:t>G0基本5000比較</ns0:t>
        </ns0:is>
      </ns0:c>
      <ns0:c r="C1192" s="3" t="inlineStr">
        <ns0:is>
          <ns0:t>A</ns0:t>
        </ns0:is>
      </ns0:c>
      <ns0:c r="D1192" s="4" t="n">
        <ns0:v>2</ns0:v>
      </ns0:c>
      <ns0:c r="E1192" s="4" t="n">
        <ns0:v>500</ns0:v>
      </ns0:c>
      <ns0:c r="F1192" s="6" t="n">
        <ns0:v>0.5</ns0:v>
      </ns0:c>
      <ns0:c r="G1192" s="4" t="n">
        <ns0:v>0</ns0:v>
      </ns0:c>
      <ns0:c r="H1192" s="7" t="n">
        <ns0:v>8973.76352798295</ns0:v>
      </ns0:c>
      <ns0:c r="I1192" s="7" t="n">
        <ns0:v>4649.220142602496</ns0:v>
      </ns0:c>
      <ns0:c r="J1192" s="7" t="n">
        <ns0:v>2324.610071301248</ns0:v>
      </ns0:c>
      <ns0:c r="K1192" s="7" t="n">
        <ns0:v>12</ns0:v>
      </ns0:c>
      <ns0:c r="L1192" s="7" t="n">
        <ns0:v>20</ns0:v>
      </ns0:c>
      <ns0:c r="M1192" s="7" t="n">
        <ns0:v>-6384.412872414749</ns0:v>
      </ns0:c>
      <ns0:c r="N1192" s="7" t="n">
        <ns0:v>69411.42000918539</ns0:v>
      </ns0:c>
      <ns0:c r="O1192" s="7" t="n">
        <ns0:v>152026.3230995141</ns0:v>
      </ns0:c>
      <ns0:c r="P1192" s="7" t="n">
        <ns0:v>358563.580825336</ns0:v>
      </ns0:c>
      <ns0:c r="Q1192" s="7" t="n">
        <ns0:v>1142712.611728624</ns0:v>
      </ns0:c>
      <ns0:c r="R1192" s="7" t="n">
        <ns0:v>3964234.219890132</ns0:v>
      </ns0:c>
    </ns0:row>
    <ns0:row r="1193" ht="24" customHeight="1">
      <ns0:c r="A1193" s="3" t="inlineStr">
        <ns0:is>
          <ns0:t>混在40/30/30</ns0:t>
        </ns0:is>
      </ns0:c>
      <ns0:c r="B1193" s="3" t="inlineStr">
        <ns0:is>
          <ns0:t>G0基本5000比較</ns0:t>
        </ns0:is>
      </ns0:c>
      <ns0:c r="C1193" s="3" t="inlineStr">
        <ns0:is>
          <ns0:t>A</ns0:t>
        </ns0:is>
      </ns0:c>
      <ns0:c r="D1193" s="4" t="n">
        <ns0:v>2</ns0:v>
      </ns0:c>
      <ns0:c r="E1193" s="4" t="n">
        <ns0:v>500</ns0:v>
      </ns0:c>
      <ns0:c r="F1193" s="6" t="n">
        <ns0:v>0.5</ns0:v>
      </ns0:c>
      <ns0:c r="G1193" s="4" t="n">
        <ns0:v>1</ns0:v>
      </ns0:c>
      <ns0:c r="H1193" s="7" t="n">
        <ns0:v>8973.76352798295</ns0:v>
      </ns0:c>
      <ns0:c r="I1193" s="7" t="n">
        <ns0:v>4649.220142602496</ns0:v>
      </ns0:c>
      <ns0:c r="J1193" s="7" t="n">
        <ns0:v>2324.610071301248</ns0:v>
      </ns0:c>
      <ns0:c r="K1193" s="7" t="n">
        <ns0:v>12</ns0:v>
      </ns0:c>
      <ns0:c r="L1193" s="7" t="n">
        <ns0:v>24</ns0:v>
      </ns0:c>
      <ns0:c r="M1193" s="7" t="n">
        <ns0:v>-9588.96819861965</ns0:v>
      </ns0:c>
      <ns0:c r="N1193" s="7" t="n">
        <ns0:v>59797.75403057066</ns0:v>
      </ns0:c>
      <ns0:c r="O1193" s="7" t="n">
        <ns0:v>136003.5464684896</ns0:v>
      </ns0:c>
      <ns0:c r="P1193" s="7" t="n">
        <ns0:v>326518.0275632871</ns0:v>
      </ns0:c>
      <ns0:c r="Q1193" s="7" t="n">
        <ns0:v>1046575.951942477</ns0:v>
      </ns0:c>
      <ns0:c r="R1193" s="7" t="n">
        <ns0:v>3643778.687269641</ns0:v>
      </ns0:c>
    </ns0:row>
    <ns0:row r="1194" ht="24" customHeight="1">
      <ns0:c r="A1194" s="3" t="inlineStr">
        <ns0:is>
          <ns0:t>混在40/30/30</ns0:t>
        </ns0:is>
      </ns0:c>
      <ns0:c r="B1194" s="3" t="inlineStr">
        <ns0:is>
          <ns0:t>G0基本5000比較</ns0:t>
        </ns0:is>
      </ns0:c>
      <ns0:c r="C1194" s="3" t="inlineStr">
        <ns0:is>
          <ns0:t>A</ns0:t>
        </ns0:is>
      </ns0:c>
      <ns0:c r="D1194" s="4" t="n">
        <ns0:v>2</ns0:v>
      </ns0:c>
      <ns0:c r="E1194" s="4" t="n">
        <ns0:v>500</ns0:v>
      </ns0:c>
      <ns0:c r="F1194" s="6" t="n">
        <ns0:v>0.5</ns0:v>
      </ns0:c>
      <ns0:c r="G1194" s="4" t="n">
        <ns0:v>2</ns0:v>
      </ns0:c>
      <ns0:c r="H1194" s="7" t="n">
        <ns0:v>8973.76352798295</ns0:v>
      </ns0:c>
      <ns0:c r="I1194" s="7" t="n">
        <ns0:v>4649.220142602496</ns0:v>
      </ns0:c>
      <ns0:c r="J1194" s="7" t="n">
        <ns0:v>2324.610071301248</ns0:v>
      </ns0:c>
      <ns0:c r="K1194" s="18" t="inlineStr">
        <ns0:is>
          <ns0:t>範囲内なし</ns0:t>
        </ns0:is>
      </ns0:c>
      <ns0:c r="L1194" s="18" t="inlineStr">
        <ns0:is>
          <ns0:t>範囲内なし</ns0:t>
        </ns0:is>
      </ns0:c>
      <ns0:c r="M1194" s="7" t="n">
        <ns0:v>-49161.33354719853</ns0:v>
      </ns0:c>
      <ns0:c r="N1194" s="7" t="n">
        <ns0:v>-58919.342015166</ns0:v>
      </ns0:c>
      <ns0:c r="O1194" s="7" t="n">
        <ns0:v>-61858.28027440479</ns0:v>
      </ns0:c>
      <ns0:c r="P1194" s="7" t="n">
        <ns0:v>-69205.62592250179</ns0:v>
      </ns0:c>
      <ns0:c r="Q1194" s="7" t="n">
        <ns0:v>-140595.0085148897</ns0:v>
      </ns0:c>
      <ns0:c r="R1194" s="7" t="n">
        <ns0:v>-313457.8475882472</ns0:v>
      </ns0:c>
    </ns0:row>
    <ns0:row r="1195" ht="24" customHeight="1">
      <ns0:c r="A1195" s="3" t="inlineStr">
        <ns0:is>
          <ns0:t>混在40/30/30</ns0:t>
        </ns0:is>
      </ns0:c>
      <ns0:c r="B1195" s="3" t="inlineStr">
        <ns0:is>
          <ns0:t>G0基本5000比較</ns0:t>
        </ns0:is>
      </ns0:c>
      <ns0:c r="C1195" s="3" t="inlineStr">
        <ns0:is>
          <ns0:t>A</ns0:t>
        </ns0:is>
      </ns0:c>
      <ns0:c r="D1195" s="4" t="n">
        <ns0:v>2</ns0:v>
      </ns0:c>
      <ns0:c r="E1195" s="4" t="n">
        <ns0:v>500</ns0:v>
      </ns0:c>
      <ns0:c r="F1195" s="6" t="n">
        <ns0:v>0.5</ns0:v>
      </ns0:c>
      <ns0:c r="G1195" s="4" t="n">
        <ns0:v>3</ns0:v>
      </ns0:c>
      <ns0:c r="H1195" s="7" t="n">
        <ns0:v>8973.76352798295</ns0:v>
      </ns0:c>
      <ns0:c r="I1195" s="7" t="n">
        <ns0:v>4649.220142602496</ns0:v>
      </ns0:c>
      <ns0:c r="J1195" s="7" t="n">
        <ns0:v>2324.610071301248</ns0:v>
      </ns0:c>
      <ns0:c r="K1195" s="7" t="n">
        <ns0:v>18</ns0:v>
      </ns0:c>
      <ns0:c r="L1195" s="7" t="n">
        <ns0:v>44</ns0:v>
      </ns0:c>
      <ns0:c r="M1195" s="7" t="n">
        <ns0:v>-16168.12253277153</ns0:v>
      </ns0:c>
      <ns0:c r="N1195" s="7" t="n">
        <ns0:v>40060.29102811504</ns0:v>
      </ns0:c>
      <ns0:c r="O1195" s="7" t="n">
        <ns0:v>103107.7747977302</ns0:v>
      </ns0:c>
      <ns0:c r="P1195" s="7" t="n">
        <ns0:v>260726.4842217683</ns0:v>
      </ns0:c>
      <ns0:c r="Q1195" s="7" t="n">
        <ns0:v>849201.3219179204</ns0:v>
      </ns0:c>
      <ns0:c r="R1195" s="7" t="n">
        <ns0:v>2985863.253854454</ns0:v>
      </ns0:c>
    </ns0:row>
    <ns0:row r="1196" ht="24" customHeight="1">
      <ns0:c r="A1196" s="3" t="inlineStr">
        <ns0:is>
          <ns0:t>混在40/30/30</ns0:t>
        </ns0:is>
      </ns0:c>
      <ns0:c r="B1196" s="3" t="inlineStr">
        <ns0:is>
          <ns0:t>G0基本5000比較</ns0:t>
        </ns0:is>
      </ns0:c>
      <ns0:c r="C1196" s="3" t="inlineStr">
        <ns0:is>
          <ns0:t>A</ns0:t>
        </ns0:is>
      </ns0:c>
      <ns0:c r="D1196" s="4" t="n">
        <ns0:v>2</ns0:v>
      </ns0:c>
      <ns0:c r="E1196" s="4" t="n">
        <ns0:v>1000</ns0:v>
      </ns0:c>
      <ns0:c r="F1196" s="6" t="n">
        <ns0:v>0.3</ns0:v>
      </ns0:c>
      <ns0:c r="G1196" s="4" t="n">
        <ns0:v>0</ns0:v>
      </ns0:c>
      <ns0:c r="H1196" s="7" t="n">
        <ns0:v>8823.763527982952</ns0:v>
      </ns0:c>
      <ns0:c r="I1196" s="7" t="n">
        <ns0:v>4499.220142602496</ns0:v>
      </ns0:c>
      <ns0:c r="J1196" s="7" t="n">
        <ns0:v>1349.766042780749</ns0:v>
      </ns0:c>
      <ns0:c r="K1196" s="7" t="n">
        <ns0:v>10</ns0:v>
      </ns0:c>
      <ns0:c r="L1196" s="7" t="n">
        <ns0:v>18</ns0:v>
      </ns0:c>
      <ns0:c r="M1196" s="7" t="n">
        <ns0:v>1918.027412790241</ns0:v>
      </ns0:c>
      <ns0:c r="N1196" s="7" t="n">
        <ns0:v>94318.74086480038</ns0:v>
      </ns0:c>
      <ns0:c r="O1196" s="7" t="n">
        <ns0:v>193538.5245255392</ns0:v>
      </ns0:c>
      <ns0:c r="P1196" s="7" t="n">
        <ns0:v>441587.9836773861</ns0:v>
      </ns0:c>
      <ns0:c r="Q1196" s="7" t="n">
        <ns0:v>1391785.820284774</ns0:v>
      </ns0:c>
      <ns0:c r="R1196" s="7" t="n">
        <ns0:v>4794478.248410631</ns0:v>
      </ns0:c>
    </ns0:row>
    <ns0:row r="1197" ht="24" customHeight="1">
      <ns0:c r="A1197" s="3" t="inlineStr">
        <ns0:is>
          <ns0:t>混在40/30/30</ns0:t>
        </ns0:is>
      </ns0:c>
      <ns0:c r="B1197" s="3" t="inlineStr">
        <ns0:is>
          <ns0:t>G0基本5000比較</ns0:t>
        </ns0:is>
      </ns0:c>
      <ns0:c r="C1197" s="3" t="inlineStr">
        <ns0:is>
          <ns0:t>A</ns0:t>
        </ns0:is>
      </ns0:c>
      <ns0:c r="D1197" s="4" t="n">
        <ns0:v>2</ns0:v>
      </ns0:c>
      <ns0:c r="E1197" s="4" t="n">
        <ns0:v>1000</ns0:v>
      </ns0:c>
      <ns0:c r="F1197" s="6" t="n">
        <ns0:v>0.3</ns0:v>
      </ns0:c>
      <ns0:c r="G1197" s="4" t="n">
        <ns0:v>1</ns0:v>
      </ns0:c>
      <ns0:c r="H1197" s="7" t="n">
        <ns0:v>8823.763527982952</ns0:v>
      </ns0:c>
      <ns0:c r="I1197" s="7" t="n">
        <ns0:v>4499.220142602496</ns0:v>
      </ns0:c>
      <ns0:c r="J1197" s="7" t="n">
        <ns0:v>1349.766042780749</ns0:v>
      </ns0:c>
      <ns0:c r="K1197" s="7" t="n">
        <ns0:v>11</ns0:v>
      </ns0:c>
      <ns0:c r="L1197" s="7" t="n">
        <ns0:v>21</ns0:v>
      </ns0:c>
      <ns0:c r="M1197" s="7" t="n">
        <ns0:v>-1286.527913414662</ns0:v>
      </ns0:c>
      <ns0:c r="N1197" s="7" t="n">
        <ns0:v>84705.07488618567</ns0:v>
      </ns0:c>
      <ns0:c r="O1197" s="7" t="n">
        <ns0:v>177515.7478945146</ns0:v>
      </ns0:c>
      <ns0:c r="P1197" s="7" t="n">
        <ns0:v>409542.4304153371</ns0:v>
      </ns0:c>
      <ns0:c r="Q1197" s="7" t="n">
        <ns0:v>1295649.160498627</ns0:v>
      </ns0:c>
      <ns0:c r="R1197" s="7" t="n">
        <ns0:v>4474022.715790141</ns0:v>
      </ns0:c>
    </ns0:row>
    <ns0:row r="1198" ht="24" customHeight="1">
      <ns0:c r="A1198" s="3" t="inlineStr">
        <ns0:is>
          <ns0:t>混在40/30/30</ns0:t>
        </ns0:is>
      </ns0:c>
      <ns0:c r="B1198" s="3" t="inlineStr">
        <ns0:is>
          <ns0:t>G0基本5000比較</ns0:t>
        </ns0:is>
      </ns0:c>
      <ns0:c r="C1198" s="3" t="inlineStr">
        <ns0:is>
          <ns0:t>A</ns0:t>
        </ns0:is>
      </ns0:c>
      <ns0:c r="D1198" s="4" t="n">
        <ns0:v>2</ns0:v>
      </ns0:c>
      <ns0:c r="E1198" s="4" t="n">
        <ns0:v>1000</ns0:v>
      </ns0:c>
      <ns0:c r="F1198" s="6" t="n">
        <ns0:v>0.3</ns0:v>
      </ns0:c>
      <ns0:c r="G1198" s="4" t="n">
        <ns0:v>2</ns0:v>
      </ns0:c>
      <ns0:c r="H1198" s="7" t="n">
        <ns0:v>8823.763527982952</ns0:v>
      </ns0:c>
      <ns0:c r="I1198" s="7" t="n">
        <ns0:v>4499.220142602496</ns0:v>
      </ns0:c>
      <ns0:c r="J1198" s="7" t="n">
        <ns0:v>1349.766042780749</ns0:v>
      </ns0:c>
      <ns0:c r="K1198" s="7" t="n">
        <ns0:v>80</ns0:v>
      </ns0:c>
      <ns0:c r="L1198" s="18" t="inlineStr">
        <ns0:is>
          <ns0:t>範囲内なし</ns0:t>
        </ns0:is>
      </ns0:c>
      <ns0:c r="M1198" s="7" t="n">
        <ns0:v>-40858.89326199354</ns0:v>
      </ns0:c>
      <ns0:c r="N1198" s="7" t="n">
        <ns0:v>-34012.02115955099</ns0:v>
      </ns0:c>
      <ns0:c r="O1198" s="7" t="n">
        <ns0:v>-20346.07884837978</ns0:v>
      </ns0:c>
      <ns0:c r="P1198" s="7" t="n">
        <ns0:v>13818.77692954824</ns0:v>
      </ns0:c>
      <ns0:c r="Q1198" s="7" t="n">
        <ns0:v>108478.2000412602</ns0:v>
      </ns0:c>
      <ns0:c r="R1198" s="7" t="n">
        <ns0:v>516786.1809322522</ns0:v>
      </ns0:c>
    </ns0:row>
    <ns0:row r="1199" ht="24" customHeight="1">
      <ns0:c r="A1199" s="3" t="inlineStr">
        <ns0:is>
          <ns0:t>混在40/30/30</ns0:t>
        </ns0:is>
      </ns0:c>
      <ns0:c r="B1199" s="3" t="inlineStr">
        <ns0:is>
          <ns0:t>G0基本5000比較</ns0:t>
        </ns0:is>
      </ns0:c>
      <ns0:c r="C1199" s="3" t="inlineStr">
        <ns0:is>
          <ns0:t>A</ns0:t>
        </ns0:is>
      </ns0:c>
      <ns0:c r="D1199" s="4" t="n">
        <ns0:v>2</ns0:v>
      </ns0:c>
      <ns0:c r="E1199" s="4" t="n">
        <ns0:v>1000</ns0:v>
      </ns0:c>
      <ns0:c r="F1199" s="6" t="n">
        <ns0:v>0.3</ns0:v>
      </ns0:c>
      <ns0:c r="G1199" s="4" t="n">
        <ns0:v>3</ns0:v>
      </ns0:c>
      <ns0:c r="H1199" s="7" t="n">
        <ns0:v>8823.763527982952</ns0:v>
      </ns0:c>
      <ns0:c r="I1199" s="7" t="n">
        <ns0:v>4499.220142602496</ns0:v>
      </ns0:c>
      <ns0:c r="J1199" s="7" t="n">
        <ns0:v>1349.766042780749</ns0:v>
      </ns0:c>
      <ns0:c r="K1199" s="7" t="n">
        <ns0:v>12</ns0:v>
      </ns0:c>
      <ns0:c r="L1199" s="7" t="n">
        <ns0:v>35</ns0:v>
      </ns0:c>
      <ns0:c r="M1199" s="7" t="n">
        <ns0:v>-7865.682247566539</ns0:v>
      </ns0:c>
      <ns0:c r="N1199" s="7" t="n">
        <ns0:v>64967.61188373005</ns0:v>
      </ns0:c>
      <ns0:c r="O1199" s="7" t="n">
        <ns0:v>144619.9762237552</ns0:v>
      </ns0:c>
      <ns0:c r="P1199" s="7" t="n">
        <ns0:v>343750.8870738183</ns0:v>
      </ns0:c>
      <ns0:c r="Q1199" s="7" t="n">
        <ns0:v>1098274.53047407</ns0:v>
      </ns0:c>
      <ns0:c r="R1199" s="7" t="n">
        <ns0:v>3816107.282374953</ns0:v>
      </ns0:c>
    </ns0:row>
    <ns0:row r="1200" ht="24" customHeight="1">
      <ns0:c r="A1200" s="3" t="inlineStr">
        <ns0:is>
          <ns0:t>混在40/30/30</ns0:t>
        </ns0:is>
      </ns0:c>
      <ns0:c r="B1200" s="3" t="inlineStr">
        <ns0:is>
          <ns0:t>G0基本5000比較</ns0:t>
        </ns0:is>
      </ns0:c>
      <ns0:c r="C1200" s="3" t="inlineStr">
        <ns0:is>
          <ns0:t>A</ns0:t>
        </ns0:is>
      </ns0:c>
      <ns0:c r="D1200" s="4" t="n">
        <ns0:v>2</ns0:v>
      </ns0:c>
      <ns0:c r="E1200" s="4" t="n">
        <ns0:v>1000</ns0:v>
      </ns0:c>
      <ns0:c r="F1200" s="6" t="n">
        <ns0:v>0.4</ns0:v>
      </ns0:c>
      <ns0:c r="G1200" s="4" t="n">
        <ns0:v>0</ns0:v>
      </ns0:c>
      <ns0:c r="H1200" s="7" t="n">
        <ns0:v>8823.763527982952</ns0:v>
      </ns0:c>
      <ns0:c r="I1200" s="7" t="n">
        <ns0:v>4499.220142602496</ns0:v>
      </ns0:c>
      <ns0:c r="J1200" s="7" t="n">
        <ns0:v>1799.688057040999</ns0:v>
      </ns0:c>
      <ns0:c r="K1200" s="7" t="n">
        <ns0:v>11</ns0:v>
      </ns0:c>
      <ns0:c r="L1200" s="7" t="n">
        <ns0:v>19</ns0:v>
      </ns0:c>
      <ns0:c r="M1200" s="7" t="n">
        <ns0:v>-2581.192729812254</ns0:v>
      </ns0:c>
      <ns0:c r="N1200" s="7" t="n">
        <ns0:v>80821.08043699287</ns0:v>
      </ns0:c>
      <ns0:c r="O1200" s="7" t="n">
        <ns0:v>171042.4238125267</ns0:v>
      </ns0:c>
      <ns0:c r="P1200" s="7" t="n">
        <ns0:v>396595.7822513611</ns0:v>
      </ns0:c>
      <ns0:c r="Q1200" s="7" t="n">
        <ns0:v>1256809.216006699</ns0:v>
      </ns0:c>
      <ns0:c r="R1200" s="7" t="n">
        <ns0:v>4344556.234150383</ns0:v>
      </ns0:c>
    </ns0:row>
    <ns0:row r="1201" ht="24" customHeight="1">
      <ns0:c r="A1201" s="3" t="inlineStr">
        <ns0:is>
          <ns0:t>混在40/30/30</ns0:t>
        </ns0:is>
      </ns0:c>
      <ns0:c r="B1201" s="3" t="inlineStr">
        <ns0:is>
          <ns0:t>G0基本5000比較</ns0:t>
        </ns0:is>
      </ns0:c>
      <ns0:c r="C1201" s="3" t="inlineStr">
        <ns0:is>
          <ns0:t>A</ns0:t>
        </ns0:is>
      </ns0:c>
      <ns0:c r="D1201" s="4" t="n">
        <ns0:v>2</ns0:v>
      </ns0:c>
      <ns0:c r="E1201" s="4" t="n">
        <ns0:v>1000</ns0:v>
      </ns0:c>
      <ns0:c r="F1201" s="6" t="n">
        <ns0:v>0.4</ns0:v>
      </ns0:c>
      <ns0:c r="G1201" s="4" t="n">
        <ns0:v>1</ns0:v>
      </ns0:c>
      <ns0:c r="H1201" s="7" t="n">
        <ns0:v>8823.763527982952</ns0:v>
      </ns0:c>
      <ns0:c r="I1201" s="7" t="n">
        <ns0:v>4499.220142602496</ns0:v>
      </ns0:c>
      <ns0:c r="J1201" s="7" t="n">
        <ns0:v>1799.688057040999</ns0:v>
      </ns0:c>
      <ns0:c r="K1201" s="7" t="n">
        <ns0:v>12</ns0:v>
      </ns0:c>
      <ns0:c r="L1201" s="7" t="n">
        <ns0:v>23</ns0:v>
      </ns0:c>
      <ns0:c r="M1201" s="7" t="n">
        <ns0:v>-5785.748056017155</ns0:v>
      </ns0:c>
      <ns0:c r="N1201" s="7" t="n">
        <ns0:v>71207.41445837815</ns0:v>
      </ns0:c>
      <ns0:c r="O1201" s="7" t="n">
        <ns0:v>155019.6471815021</ns0:v>
      </ns0:c>
      <ns0:c r="P1201" s="7" t="n">
        <ns0:v>364550.2289893121</ns0:v>
      </ns0:c>
      <ns0:c r="Q1201" s="7" t="n">
        <ns0:v>1160672.556220552</ns0:v>
      </ns0:c>
      <ns0:c r="R1201" s="7" t="n">
        <ns0:v>4024100.701529892</ns0:v>
      </ns0:c>
    </ns0:row>
    <ns0:row r="1202" ht="24" customHeight="1">
      <ns0:c r="A1202" s="3" t="inlineStr">
        <ns0:is>
          <ns0:t>混在40/30/30</ns0:t>
        </ns0:is>
      </ns0:c>
      <ns0:c r="B1202" s="3" t="inlineStr">
        <ns0:is>
          <ns0:t>G0基本5000比較</ns0:t>
        </ns0:is>
      </ns0:c>
      <ns0:c r="C1202" s="3" t="inlineStr">
        <ns0:is>
          <ns0:t>A</ns0:t>
        </ns0:is>
      </ns0:c>
      <ns0:c r="D1202" s="4" t="n">
        <ns0:v>2</ns0:v>
      </ns0:c>
      <ns0:c r="E1202" s="4" t="n">
        <ns0:v>1000</ns0:v>
      </ns0:c>
      <ns0:c r="F1202" s="6" t="n">
        <ns0:v>0.4</ns0:v>
      </ns0:c>
      <ns0:c r="G1202" s="4" t="n">
        <ns0:v>2</ns0:v>
      </ns0:c>
      <ns0:c r="H1202" s="7" t="n">
        <ns0:v>8823.763527982952</ns0:v>
      </ns0:c>
      <ns0:c r="I1202" s="7" t="n">
        <ns0:v>4499.220142602496</ns0:v>
      </ns0:c>
      <ns0:c r="J1202" s="7" t="n">
        <ns0:v>1799.688057040999</ns0:v>
      </ns0:c>
      <ns0:c r="K1202" s="7" t="n">
        <ns0:v>414</ns0:v>
      </ns0:c>
      <ns0:c r="L1202" s="18" t="inlineStr">
        <ns0:is>
          <ns0:t>範囲内なし</ns0:t>
        </ns0:is>
      </ns0:c>
      <ns0:c r="M1202" s="7" t="n">
        <ns0:v>-45358.11340459604</ns0:v>
      </ns0:c>
      <ns0:c r="N1202" s="7" t="n">
        <ns0:v>-47509.68158735851</ns0:v>
      </ns0:c>
      <ns0:c r="O1202" s="7" t="n">
        <ns0:v>-42842.17956139229</ns0:v>
      </ns0:c>
      <ns0:c r="P1202" s="7" t="n">
        <ns0:v>-31173.42449647677</ns0:v>
      </ns0:c>
      <ns0:c r="Q1202" s="7" t="n">
        <ns0:v>-26498.40423681459</ns0:v>
      </ns0:c>
      <ns0:c r="R1202" s="7" t="n">
        <ns0:v>66864.16667200346</ns0:v>
      </ns0:c>
    </ns0:row>
    <ns0:row r="1203" ht="24" customHeight="1">
      <ns0:c r="A1203" s="3" t="inlineStr">
        <ns0:is>
          <ns0:t>混在40/30/30</ns0:t>
        </ns0:is>
      </ns0:c>
      <ns0:c r="B1203" s="3" t="inlineStr">
        <ns0:is>
          <ns0:t>G0基本5000比較</ns0:t>
        </ns0:is>
      </ns0:c>
      <ns0:c r="C1203" s="3" t="inlineStr">
        <ns0:is>
          <ns0:t>A</ns0:t>
        </ns0:is>
      </ns0:c>
      <ns0:c r="D1203" s="4" t="n">
        <ns0:v>2</ns0:v>
      </ns0:c>
      <ns0:c r="E1203" s="4" t="n">
        <ns0:v>1000</ns0:v>
      </ns0:c>
      <ns0:c r="F1203" s="6" t="n">
        <ns0:v>0.4</ns0:v>
      </ns0:c>
      <ns0:c r="G1203" s="4" t="n">
        <ns0:v>3</ns0:v>
      </ns0:c>
      <ns0:c r="H1203" s="7" t="n">
        <ns0:v>8823.763527982952</ns0:v>
      </ns0:c>
      <ns0:c r="I1203" s="7" t="n">
        <ns0:v>4499.220142602496</ns0:v>
      </ns0:c>
      <ns0:c r="J1203" s="7" t="n">
        <ns0:v>1799.688057040999</ns0:v>
      </ns0:c>
      <ns0:c r="K1203" s="7" t="n">
        <ns0:v>13</ns0:v>
      </ns0:c>
      <ns0:c r="L1203" s="7" t="n">
        <ns0:v>39</ns0:v>
      </ns0:c>
      <ns0:c r="M1203" s="7" t="n">
        <ns0:v>-12364.90239016903</ns0:v>
      </ns0:c>
      <ns0:c r="N1203" s="7" t="n">
        <ns0:v>51469.95145592252</ns0:v>
      </ns0:c>
      <ns0:c r="O1203" s="7" t="n">
        <ns0:v>122123.8755107427</ns0:v>
      </ns0:c>
      <ns0:c r="P1203" s="7" t="n">
        <ns0:v>298758.6856477933</ns0:v>
      </ns0:c>
      <ns0:c r="Q1203" s="7" t="n">
        <ns0:v>963297.9261959955</ns0:v>
      </ns0:c>
      <ns0:c r="R1203" s="7" t="n">
        <ns0:v>3366185.268114704</ns0:v>
      </ns0:c>
    </ns0:row>
    <ns0:row r="1204" ht="24" customHeight="1">
      <ns0:c r="A1204" s="3" t="inlineStr">
        <ns0:is>
          <ns0:t>混在40/30/30</ns0:t>
        </ns0:is>
      </ns0:c>
      <ns0:c r="B1204" s="3" t="inlineStr">
        <ns0:is>
          <ns0:t>G0基本5000比較</ns0:t>
        </ns0:is>
      </ns0:c>
      <ns0:c r="C1204" s="3" t="inlineStr">
        <ns0:is>
          <ns0:t>A</ns0:t>
        </ns0:is>
      </ns0:c>
      <ns0:c r="D1204" s="4" t="n">
        <ns0:v>2</ns0:v>
      </ns0:c>
      <ns0:c r="E1204" s="4" t="n">
        <ns0:v>1000</ns0:v>
      </ns0:c>
      <ns0:c r="F1204" s="6" t="n">
        <ns0:v>0.5</ns0:v>
      </ns0:c>
      <ns0:c r="G1204" s="4" t="n">
        <ns0:v>0</ns0:v>
      </ns0:c>
      <ns0:c r="H1204" s="7" t="n">
        <ns0:v>8823.763527982952</ns0:v>
      </ns0:c>
      <ns0:c r="I1204" s="7" t="n">
        <ns0:v>4499.220142602496</ns0:v>
      </ns0:c>
      <ns0:c r="J1204" s="7" t="n">
        <ns0:v>2249.610071301248</ns0:v>
      </ns0:c>
      <ns0:c r="K1204" s="7" t="n">
        <ns0:v>12</ns0:v>
      </ns0:c>
      <ns0:c r="L1204" s="7" t="n">
        <ns0:v>20</ns0:v>
      </ns0:c>
      <ns0:c r="M1204" s="7" t="n">
        <ns0:v>-7080.412872414745</ns0:v>
      </ns0:c>
      <ns0:c r="N1204" s="7" t="n">
        <ns0:v>67323.42000918539</ns0:v>
      </ns0:c>
      <ns0:c r="O1204" s="7" t="n">
        <ns0:v>148546.3230995142</ns0:v>
      </ns0:c>
      <ns0:c r="P1204" s="7" t="n">
        <ns0:v>351603.5808253362</ns0:v>
      </ns0:c>
      <ns0:c r="Q1204" s="7" t="n">
        <ns0:v>1121832.611728624</ns0:v>
      </ns0:c>
      <ns0:c r="R1204" s="7" t="n">
        <ns0:v>3894634.219890133</ns0:v>
      </ns0:c>
    </ns0:row>
    <ns0:row r="1205" ht="24" customHeight="1">
      <ns0:c r="A1205" s="3" t="inlineStr">
        <ns0:is>
          <ns0:t>混在40/30/30</ns0:t>
        </ns0:is>
      </ns0:c>
      <ns0:c r="B1205" s="3" t="inlineStr">
        <ns0:is>
          <ns0:t>G0基本5000比較</ns0:t>
        </ns0:is>
      </ns0:c>
      <ns0:c r="C1205" s="3" t="inlineStr">
        <ns0:is>
          <ns0:t>A</ns0:t>
        </ns0:is>
      </ns0:c>
      <ns0:c r="D1205" s="4" t="n">
        <ns0:v>2</ns0:v>
      </ns0:c>
      <ns0:c r="E1205" s="4" t="n">
        <ns0:v>1000</ns0:v>
      </ns0:c>
      <ns0:c r="F1205" s="6" t="n">
        <ns0:v>0.5</ns0:v>
      </ns0:c>
      <ns0:c r="G1205" s="4" t="n">
        <ns0:v>1</ns0:v>
      </ns0:c>
      <ns0:c r="H1205" s="7" t="n">
        <ns0:v>8823.763527982952</ns0:v>
      </ns0:c>
      <ns0:c r="I1205" s="7" t="n">
        <ns0:v>4499.220142602496</ns0:v>
      </ns0:c>
      <ns0:c r="J1205" s="7" t="n">
        <ns0:v>2249.610071301248</ns0:v>
      </ns0:c>
      <ns0:c r="K1205" s="7" t="n">
        <ns0:v>12</ns0:v>
      </ns0:c>
      <ns0:c r="L1205" s="7" t="n">
        <ns0:v>25</ns0:v>
      </ns0:c>
      <ns0:c r="M1205" s="7" t="n">
        <ns0:v>-10284.96819861965</ns0:v>
      </ns0:c>
      <ns0:c r="N1205" s="7" t="n">
        <ns0:v>57709.75403057066</ns0:v>
      </ns0:c>
      <ns0:c r="O1205" s="7" t="n">
        <ns0:v>132523.5464684897</ns0:v>
      </ns0:c>
      <ns0:c r="P1205" s="7" t="n">
        <ns0:v>319558.0275632871</ns0:v>
      </ns0:c>
      <ns0:c r="Q1205" s="7" t="n">
        <ns0:v>1025695.951942477</ns0:v>
      </ns0:c>
      <ns0:c r="R1205" s="7" t="n">
        <ns0:v>3574178.687269643</ns0:v>
      </ns0:c>
    </ns0:row>
    <ns0:row r="1206" ht="24" customHeight="1">
      <ns0:c r="A1206" s="3" t="inlineStr">
        <ns0:is>
          <ns0:t>混在40/30/30</ns0:t>
        </ns0:is>
      </ns0:c>
      <ns0:c r="B1206" s="3" t="inlineStr">
        <ns0:is>
          <ns0:t>G0基本5000比較</ns0:t>
        </ns0:is>
      </ns0:c>
      <ns0:c r="C1206" s="3" t="inlineStr">
        <ns0:is>
          <ns0:t>A</ns0:t>
        </ns0:is>
      </ns0:c>
      <ns0:c r="D1206" s="4" t="n">
        <ns0:v>2</ns0:v>
      </ns0:c>
      <ns0:c r="E1206" s="4" t="n">
        <ns0:v>1000</ns0:v>
      </ns0:c>
      <ns0:c r="F1206" s="6" t="n">
        <ns0:v>0.5</ns0:v>
      </ns0:c>
      <ns0:c r="G1206" s="4" t="n">
        <ns0:v>2</ns0:v>
      </ns0:c>
      <ns0:c r="H1206" s="7" t="n">
        <ns0:v>8823.763527982952</ns0:v>
      </ns0:c>
      <ns0:c r="I1206" s="7" t="n">
        <ns0:v>4499.220142602496</ns0:v>
      </ns0:c>
      <ns0:c r="J1206" s="7" t="n">
        <ns0:v>2249.610071301248</ns0:v>
      </ns0:c>
      <ns0:c r="K1206" s="18" t="inlineStr">
        <ns0:is>
          <ns0:t>範囲内なし</ns0:t>
        </ns0:is>
      </ns0:c>
      <ns0:c r="L1206" s="18" t="inlineStr">
        <ns0:is>
          <ns0:t>範囲内なし</ns0:t>
        </ns0:is>
      </ns0:c>
      <ns0:c r="M1206" s="7" t="n">
        <ns0:v>-49857.33354719853</ns0:v>
      </ns0:c>
      <ns0:c r="N1206" s="7" t="n">
        <ns0:v>-61007.34201516598</ns0:v>
      </ns0:c>
      <ns0:c r="O1206" s="7" t="n">
        <ns0:v>-65338.28027440477</ns0:v>
      </ns0:c>
      <ns0:c r="P1206" s="7" t="n">
        <ns0:v>-76165.62592250173</ns0:v>
      </ns0:c>
      <ns0:c r="Q1206" s="7" t="n">
        <ns0:v>-161475.0085148895</ns0:v>
      </ns0:c>
      <ns0:c r="R1206" s="7" t="n">
        <ns0:v>-383057.8475882458</ns0:v>
      </ns0:c>
    </ns0:row>
    <ns0:row r="1207" ht="24" customHeight="1">
      <ns0:c r="A1207" s="3" t="inlineStr">
        <ns0:is>
          <ns0:t>混在40/30/30</ns0:t>
        </ns0:is>
      </ns0:c>
      <ns0:c r="B1207" s="3" t="inlineStr">
        <ns0:is>
          <ns0:t>G0基本5000比較</ns0:t>
        </ns0:is>
      </ns0:c>
      <ns0:c r="C1207" s="3" t="inlineStr">
        <ns0:is>
          <ns0:t>A</ns0:t>
        </ns0:is>
      </ns0:c>
      <ns0:c r="D1207" s="4" t="n">
        <ns0:v>2</ns0:v>
      </ns0:c>
      <ns0:c r="E1207" s="4" t="n">
        <ns0:v>1000</ns0:v>
      </ns0:c>
      <ns0:c r="F1207" s="6" t="n">
        <ns0:v>0.5</ns0:v>
      </ns0:c>
      <ns0:c r="G1207" s="4" t="n">
        <ns0:v>3</ns0:v>
      </ns0:c>
      <ns0:c r="H1207" s="7" t="n">
        <ns0:v>8823.763527982952</ns0:v>
      </ns0:c>
      <ns0:c r="I1207" s="7" t="n">
        <ns0:v>4499.220142602496</ns0:v>
      </ns0:c>
      <ns0:c r="J1207" s="7" t="n">
        <ns0:v>2249.610071301248</ns0:v>
      </ns0:c>
      <ns0:c r="K1207" s="7" t="n">
        <ns0:v>18</ns0:v>
      </ns0:c>
      <ns0:c r="L1207" s="7" t="n">
        <ns0:v>45</ns0:v>
      </ns0:c>
      <ns0:c r="M1207" s="7" t="n">
        <ns0:v>-16864.12253277152</ns0:v>
      </ns0:c>
      <ns0:c r="N1207" s="7" t="n">
        <ns0:v>37972.29102811504</ns0:v>
      </ns0:c>
      <ns0:c r="O1207" s="7" t="n">
        <ns0:v>99627.77479773029</ns0:v>
      </ns0:c>
      <ns0:c r="P1207" s="7" t="n">
        <ns0:v>253766.4842217684</ns0:v>
      </ns0:c>
      <ns0:c r="Q1207" s="7" t="n">
        <ns0:v>828321.3219179206</ns0:v>
      </ns0:c>
      <ns0:c r="R1207" s="7" t="n">
        <ns0:v>2916263.253854455</ns0:v>
      </ns0:c>
    </ns0:row>
    <ns0:row r="1208" ht="24" customHeight="1">
      <ns0:c r="A1208" s="3" t="inlineStr">
        <ns0:is>
          <ns0:t>混在40/30/30</ns0:t>
        </ns0:is>
      </ns0:c>
      <ns0:c r="B1208" s="3" t="inlineStr">
        <ns0:is>
          <ns0:t>G0基本5000比較</ns0:t>
        </ns0:is>
      </ns0:c>
      <ns0:c r="C1208" s="3" t="inlineStr">
        <ns0:is>
          <ns0:t>A</ns0:t>
        </ns0:is>
      </ns0:c>
      <ns0:c r="D1208" s="4" t="n">
        <ns0:v>2</ns0:v>
      </ns0:c>
      <ns0:c r="E1208" s="4" t="n">
        <ns0:v>1500</ns0:v>
      </ns0:c>
      <ns0:c r="F1208" s="6" t="n">
        <ns0:v>0.3</ns0:v>
      </ns0:c>
      <ns0:c r="G1208" s="4" t="n">
        <ns0:v>0</ns0:v>
      </ns0:c>
      <ns0:c r="H1208" s="7" t="n">
        <ns0:v>8673.763527982952</ns0:v>
      </ns0:c>
      <ns0:c r="I1208" s="7" t="n">
        <ns0:v>4349.220142602496</ns0:v>
      </ns0:c>
      <ns0:c r="J1208" s="7" t="n">
        <ns0:v>1304.766042780749</ns0:v>
      </ns0:c>
      <ns0:c r="K1208" s="7" t="n">
        <ns0:v>10</ns0:v>
      </ns0:c>
      <ns0:c r="L1208" s="7" t="n">
        <ns0:v>18</ns0:v>
      </ns0:c>
      <ns0:c r="M1208" s="7" t="n">
        <ns0:v>922.0274127902449</ns0:v>
      </ns0:c>
      <ns0:c r="N1208" s="7" t="n">
        <ns0:v>91330.74086480039</ns0:v>
      </ns0:c>
      <ns0:c r="O1208" s="7" t="n">
        <ns0:v>188558.5245255392</ns0:v>
      </ns0:c>
      <ns0:c r="P1208" s="7" t="n">
        <ns0:v>431627.9836773861</ns0:v>
      </ns0:c>
      <ns0:c r="Q1208" s="7" t="n">
        <ns0:v>1361905.820284774</ns0:v>
      </ns0:c>
      <ns0:c r="R1208" s="7" t="n">
        <ns0:v>4694878.248410631</ns0:v>
      </ns0:c>
    </ns0:row>
    <ns0:row r="1209" ht="24" customHeight="1">
      <ns0:c r="A1209" s="3" t="inlineStr">
        <ns0:is>
          <ns0:t>混在40/30/30</ns0:t>
        </ns0:is>
      </ns0:c>
      <ns0:c r="B1209" s="3" t="inlineStr">
        <ns0:is>
          <ns0:t>G0基本5000比較</ns0:t>
        </ns0:is>
      </ns0:c>
      <ns0:c r="C1209" s="3" t="inlineStr">
        <ns0:is>
          <ns0:t>A</ns0:t>
        </ns0:is>
      </ns0:c>
      <ns0:c r="D1209" s="4" t="n">
        <ns0:v>2</ns0:v>
      </ns0:c>
      <ns0:c r="E1209" s="4" t="n">
        <ns0:v>1500</ns0:v>
      </ns0:c>
      <ns0:c r="F1209" s="6" t="n">
        <ns0:v>0.3</ns0:v>
      </ns0:c>
      <ns0:c r="G1209" s="4" t="n">
        <ns0:v>1</ns0:v>
      </ns0:c>
      <ns0:c r="H1209" s="7" t="n">
        <ns0:v>8673.763527982952</ns0:v>
      </ns0:c>
      <ns0:c r="I1209" s="7" t="n">
        <ns0:v>4349.220142602496</ns0:v>
      </ns0:c>
      <ns0:c r="J1209" s="7" t="n">
        <ns0:v>1304.766042780749</ns0:v>
      </ns0:c>
      <ns0:c r="K1209" s="7" t="n">
        <ns0:v>11</ns0:v>
      </ns0:c>
      <ns0:c r="L1209" s="7" t="n">
        <ns0:v>22</ns0:v>
      </ns0:c>
      <ns0:c r="M1209" s="7" t="n">
        <ns0:v>-2282.527913414655</ns0:v>
      </ns0:c>
      <ns0:c r="N1209" s="7" t="n">
        <ns0:v>81717.07488618567</ns0:v>
      </ns0:c>
      <ns0:c r="O1209" s="7" t="n">
        <ns0:v>172535.7478945146</ns0:v>
      </ns0:c>
      <ns0:c r="P1209" s="7" t="n">
        <ns0:v>399582.4304153371</ns0:v>
      </ns0:c>
      <ns0:c r="Q1209" s="7" t="n">
        <ns0:v>1265769.160498627</ns0:v>
      </ns0:c>
      <ns0:c r="R1209" s="7" t="n">
        <ns0:v>4374422.715790141</ns0:v>
      </ns0:c>
    </ns0:row>
    <ns0:row r="1210" ht="24" customHeight="1">
      <ns0:c r="A1210" s="3" t="inlineStr">
        <ns0:is>
          <ns0:t>混在40/30/30</ns0:t>
        </ns0:is>
      </ns0:c>
      <ns0:c r="B1210" s="3" t="inlineStr">
        <ns0:is>
          <ns0:t>G0基本5000比較</ns0:t>
        </ns0:is>
      </ns0:c>
      <ns0:c r="C1210" s="3" t="inlineStr">
        <ns0:is>
          <ns0:t>A</ns0:t>
        </ns0:is>
      </ns0:c>
      <ns0:c r="D1210" s="4" t="n">
        <ns0:v>2</ns0:v>
      </ns0:c>
      <ns0:c r="E1210" s="4" t="n">
        <ns0:v>1500</ns0:v>
      </ns0:c>
      <ns0:c r="F1210" s="6" t="n">
        <ns0:v>0.3</ns0:v>
      </ns0:c>
      <ns0:c r="G1210" s="4" t="n">
        <ns0:v>2</ns0:v>
      </ns0:c>
      <ns0:c r="H1210" s="7" t="n">
        <ns0:v>8673.763527982952</ns0:v>
      </ns0:c>
      <ns0:c r="I1210" s="7" t="n">
        <ns0:v>4349.220142602496</ns0:v>
      </ns0:c>
      <ns0:c r="J1210" s="7" t="n">
        <ns0:v>1304.766042780749</ns0:v>
      </ns0:c>
      <ns0:c r="K1210" s="7" t="n">
        <ns0:v>94</ns0:v>
      </ns0:c>
      <ns0:c r="L1210" s="18" t="inlineStr">
        <ns0:is>
          <ns0:t>範囲内なし</ns0:t>
        </ns0:is>
      </ns0:c>
      <ns0:c r="M1210" s="7" t="n">
        <ns0:v>-41854.89326199354</ns0:v>
      </ns0:c>
      <ns0:c r="N1210" s="7" t="n">
        <ns0:v>-37000.02115955099</ns0:v>
      </ns0:c>
      <ns0:c r="O1210" s="7" t="n">
        <ns0:v>-25326.07884837978</ns0:v>
      </ns0:c>
      <ns0:c r="P1210" s="7" t="n">
        <ns0:v>3858.776929548243</ns0:v>
      </ns0:c>
      <ns0:c r="Q1210" s="7" t="n">
        <ns0:v>78598.2000412601</ns0:v>
      </ns0:c>
      <ns0:c r="R1210" s="7" t="n">
        <ns0:v>417186.1809322522</ns0:v>
      </ns0:c>
    </ns0:row>
    <ns0:row r="1211" ht="24" customHeight="1">
      <ns0:c r="A1211" s="3" t="inlineStr">
        <ns0:is>
          <ns0:t>混在40/30/30</ns0:t>
        </ns0:is>
      </ns0:c>
      <ns0:c r="B1211" s="3" t="inlineStr">
        <ns0:is>
          <ns0:t>G0基本5000比較</ns0:t>
        </ns0:is>
      </ns0:c>
      <ns0:c r="C1211" s="3" t="inlineStr">
        <ns0:is>
          <ns0:t>A</ns0:t>
        </ns0:is>
      </ns0:c>
      <ns0:c r="D1211" s="4" t="n">
        <ns0:v>2</ns0:v>
      </ns0:c>
      <ns0:c r="E1211" s="4" t="n">
        <ns0:v>1500</ns0:v>
      </ns0:c>
      <ns0:c r="F1211" s="6" t="n">
        <ns0:v>0.3</ns0:v>
      </ns0:c>
      <ns0:c r="G1211" s="4" t="n">
        <ns0:v>3</ns0:v>
      </ns0:c>
      <ns0:c r="H1211" s="7" t="n">
        <ns0:v>8673.763527982952</ns0:v>
      </ns0:c>
      <ns0:c r="I1211" s="7" t="n">
        <ns0:v>4349.220142602496</ns0:v>
      </ns0:c>
      <ns0:c r="J1211" s="7" t="n">
        <ns0:v>1304.766042780749</ns0:v>
      </ns0:c>
      <ns0:c r="K1211" s="7" t="n">
        <ns0:v>12</ns0:v>
      </ns0:c>
      <ns0:c r="L1211" s="7" t="n">
        <ns0:v>36</ns0:v>
      </ns0:c>
      <ns0:c r="M1211" s="7" t="n">
        <ns0:v>-8861.682247566532</ns0:v>
      </ns0:c>
      <ns0:c r="N1211" s="7" t="n">
        <ns0:v>61979.61188373005</ns0:v>
      </ns0:c>
      <ns0:c r="O1211" s="7" t="n">
        <ns0:v>139639.9762237552</ns0:v>
      </ns0:c>
      <ns0:c r="P1211" s="7" t="n">
        <ns0:v>333790.8870738183</ns0:v>
      </ns0:c>
      <ns0:c r="Q1211" s="7" t="n">
        <ns0:v>1068394.53047407</ns0:v>
      </ns0:c>
      <ns0:c r="R1211" s="7" t="n">
        <ns0:v>3716507.282374953</ns0:v>
      </ns0:c>
    </ns0:row>
    <ns0:row r="1212" ht="24" customHeight="1">
      <ns0:c r="A1212" s="3" t="inlineStr">
        <ns0:is>
          <ns0:t>混在40/30/30</ns0:t>
        </ns0:is>
      </ns0:c>
      <ns0:c r="B1212" s="3" t="inlineStr">
        <ns0:is>
          <ns0:t>G0基本5000比較</ns0:t>
        </ns0:is>
      </ns0:c>
      <ns0:c r="C1212" s="3" t="inlineStr">
        <ns0:is>
          <ns0:t>A</ns0:t>
        </ns0:is>
      </ns0:c>
      <ns0:c r="D1212" s="4" t="n">
        <ns0:v>2</ns0:v>
      </ns0:c>
      <ns0:c r="E1212" s="4" t="n">
        <ns0:v>1500</ns0:v>
      </ns0:c>
      <ns0:c r="F1212" s="6" t="n">
        <ns0:v>0.4</ns0:v>
      </ns0:c>
      <ns0:c r="G1212" s="4" t="n">
        <ns0:v>0</ns0:v>
      </ns0:c>
      <ns0:c r="H1212" s="7" t="n">
        <ns0:v>8673.763527982952</ns0:v>
      </ns0:c>
      <ns0:c r="I1212" s="7" t="n">
        <ns0:v>4349.220142602496</ns0:v>
      </ns0:c>
      <ns0:c r="J1212" s="7" t="n">
        <ns0:v>1739.688057040998</ns0:v>
      </ns0:c>
      <ns0:c r="K1212" s="7" t="n">
        <ns0:v>11</ns0:v>
      </ns0:c>
      <ns0:c r="L1212" s="7" t="n">
        <ns0:v>19</ns0:v>
      </ns0:c>
      <ns0:c r="M1212" s="7" t="n">
        <ns0:v>-3427.19272981225</ns0:v>
      </ns0:c>
      <ns0:c r="N1212" s="7" t="n">
        <ns0:v>78283.08043699287</ns0:v>
      </ns0:c>
      <ns0:c r="O1212" s="7" t="n">
        <ns0:v>166812.4238125267</ns0:v>
      </ns0:c>
      <ns0:c r="P1212" s="7" t="n">
        <ns0:v>388135.7822513611</ns0:v>
      </ns0:c>
      <ns0:c r="Q1212" s="7" t="n">
        <ns0:v>1231429.216006699</ns0:v>
      </ns0:c>
      <ns0:c r="R1212" s="7" t="n">
        <ns0:v>4259956.234150382</ns0:v>
      </ns0:c>
    </ns0:row>
    <ns0:row r="1213" ht="24" customHeight="1">
      <ns0:c r="A1213" s="3" t="inlineStr">
        <ns0:is>
          <ns0:t>混在40/30/30</ns0:t>
        </ns0:is>
      </ns0:c>
      <ns0:c r="B1213" s="3" t="inlineStr">
        <ns0:is>
          <ns0:t>G0基本5000比較</ns0:t>
        </ns0:is>
      </ns0:c>
      <ns0:c r="C1213" s="3" t="inlineStr">
        <ns0:is>
          <ns0:t>A</ns0:t>
        </ns0:is>
      </ns0:c>
      <ns0:c r="D1213" s="4" t="n">
        <ns0:v>2</ns0:v>
      </ns0:c>
      <ns0:c r="E1213" s="4" t="n">
        <ns0:v>1500</ns0:v>
      </ns0:c>
      <ns0:c r="F1213" s="6" t="n">
        <ns0:v>0.4</ns0:v>
      </ns0:c>
      <ns0:c r="G1213" s="4" t="n">
        <ns0:v>1</ns0:v>
      </ns0:c>
      <ns0:c r="H1213" s="7" t="n">
        <ns0:v>8673.763527982952</ns0:v>
      </ns0:c>
      <ns0:c r="I1213" s="7" t="n">
        <ns0:v>4349.220142602496</ns0:v>
      </ns0:c>
      <ns0:c r="J1213" s="7" t="n">
        <ns0:v>1739.688057040998</ns0:v>
      </ns0:c>
      <ns0:c r="K1213" s="7" t="n">
        <ns0:v>12</ns0:v>
      </ns0:c>
      <ns0:c r="L1213" s="7" t="n">
        <ns0:v>23</ns0:v>
      </ns0:c>
      <ns0:c r="M1213" s="7" t="n">
        <ns0:v>-6631.748056017152</ns0:v>
      </ns0:c>
      <ns0:c r="N1213" s="7" t="n">
        <ns0:v>68669.41445837816</ns0:v>
      </ns0:c>
      <ns0:c r="O1213" s="7" t="n">
        <ns0:v>150789.6471815021</ns0:v>
      </ns0:c>
      <ns0:c r="P1213" s="7" t="n">
        <ns0:v>356090.2289893121</ns0:v>
      </ns0:c>
      <ns0:c r="Q1213" s="7" t="n">
        <ns0:v>1135292.556220552</ns0:v>
      </ns0:c>
      <ns0:c r="R1213" s="7" t="n">
        <ns0:v>3939500.701529891</ns0:v>
      </ns0:c>
    </ns0:row>
    <ns0:row r="1214" ht="24" customHeight="1">
      <ns0:c r="A1214" s="3" t="inlineStr">
        <ns0:is>
          <ns0:t>混在40/30/30</ns0:t>
        </ns0:is>
      </ns0:c>
      <ns0:c r="B1214" s="3" t="inlineStr">
        <ns0:is>
          <ns0:t>G0基本5000比較</ns0:t>
        </ns0:is>
      </ns0:c>
      <ns0:c r="C1214" s="3" t="inlineStr">
        <ns0:is>
          <ns0:t>A</ns0:t>
        </ns0:is>
      </ns0:c>
      <ns0:c r="D1214" s="4" t="n">
        <ns0:v>2</ns0:v>
      </ns0:c>
      <ns0:c r="E1214" s="4" t="n">
        <ns0:v>1500</ns0:v>
      </ns0:c>
      <ns0:c r="F1214" s="6" t="n">
        <ns0:v>0.4</ns0:v>
      </ns0:c>
      <ns0:c r="G1214" s="4" t="n">
        <ns0:v>2</ns0:v>
      </ns0:c>
      <ns0:c r="H1214" s="7" t="n">
        <ns0:v>8673.763527982952</ns0:v>
      </ns0:c>
      <ns0:c r="I1214" s="7" t="n">
        <ns0:v>4349.220142602496</ns0:v>
      </ns0:c>
      <ns0:c r="J1214" s="7" t="n">
        <ns0:v>1739.688057040998</ns0:v>
      </ns0:c>
      <ns0:c r="K1214" s="18" t="inlineStr">
        <ns0:is>
          <ns0:t>範囲内なし</ns0:t>
        </ns0:is>
      </ns0:c>
      <ns0:c r="L1214" s="18" t="inlineStr">
        <ns0:is>
          <ns0:t>範囲内なし</ns0:t>
        </ns0:is>
      </ns0:c>
      <ns0:c r="M1214" s="7" t="n">
        <ns0:v>-46204.11340459604</ns0:v>
      </ns0:c>
      <ns0:c r="N1214" s="7" t="n">
        <ns0:v>-50047.68158735851</ns0:v>
      </ns0:c>
      <ns0:c r="O1214" s="7" t="n">
        <ns0:v>-47072.17956139229</ns0:v>
      </ns0:c>
      <ns0:c r="P1214" s="7" t="n">
        <ns0:v>-39633.42449647677</ns0:v>
      </ns0:c>
      <ns0:c r="Q1214" s="7" t="n">
        <ns0:v>-51878.40423681459</ns0:v>
      </ns0:c>
      <ns0:c r="R1214" s="7" t="n">
        <ns0:v>-17735.83332799794</ns0:v>
      </ns0:c>
    </ns0:row>
    <ns0:row r="1215" ht="24" customHeight="1">
      <ns0:c r="A1215" s="3" t="inlineStr">
        <ns0:is>
          <ns0:t>混在40/30/30</ns0:t>
        </ns0:is>
      </ns0:c>
      <ns0:c r="B1215" s="3" t="inlineStr">
        <ns0:is>
          <ns0:t>G0基本5000比較</ns0:t>
        </ns0:is>
      </ns0:c>
      <ns0:c r="C1215" s="3" t="inlineStr">
        <ns0:is>
          <ns0:t>A</ns0:t>
        </ns0:is>
      </ns0:c>
      <ns0:c r="D1215" s="4" t="n">
        <ns0:v>2</ns0:v>
      </ns0:c>
      <ns0:c r="E1215" s="4" t="n">
        <ns0:v>1500</ns0:v>
      </ns0:c>
      <ns0:c r="F1215" s="6" t="n">
        <ns0:v>0.4</ns0:v>
      </ns0:c>
      <ns0:c r="G1215" s="4" t="n">
        <ns0:v>3</ns0:v>
      </ns0:c>
      <ns0:c r="H1215" s="7" t="n">
        <ns0:v>8673.763527982952</ns0:v>
      </ns0:c>
      <ns0:c r="I1215" s="7" t="n">
        <ns0:v>4349.220142602496</ns0:v>
      </ns0:c>
      <ns0:c r="J1215" s="7" t="n">
        <ns0:v>1739.688057040998</ns0:v>
      </ns0:c>
      <ns0:c r="K1215" s="7" t="n">
        <ns0:v>13</ns0:v>
      </ns0:c>
      <ns0:c r="L1215" s="7" t="n">
        <ns0:v>40</ns0:v>
      </ns0:c>
      <ns0:c r="M1215" s="7" t="n">
        <ns0:v>-13210.90239016903</ns0:v>
      </ns0:c>
      <ns0:c r="N1215" s="7" t="n">
        <ns0:v>48931.95145592253</ns0:v>
      </ns0:c>
      <ns0:c r="O1215" s="7" t="n">
        <ns0:v>117893.8755107427</ns0:v>
      </ns0:c>
      <ns0:c r="P1215" s="7" t="n">
        <ns0:v>290298.6856477933</ns0:v>
      </ns0:c>
      <ns0:c r="Q1215" s="7" t="n">
        <ns0:v>937917.9261959955</ns0:v>
      </ns0:c>
      <ns0:c r="R1215" s="7" t="n">
        <ns0:v>3281585.268114703</ns0:v>
      </ns0:c>
    </ns0:row>
    <ns0:row r="1216" ht="24" customHeight="1">
      <ns0:c r="A1216" s="3" t="inlineStr">
        <ns0:is>
          <ns0:t>混在40/30/30</ns0:t>
        </ns0:is>
      </ns0:c>
      <ns0:c r="B1216" s="3" t="inlineStr">
        <ns0:is>
          <ns0:t>G0基本5000比較</ns0:t>
        </ns0:is>
      </ns0:c>
      <ns0:c r="C1216" s="3" t="inlineStr">
        <ns0:is>
          <ns0:t>A</ns0:t>
        </ns0:is>
      </ns0:c>
      <ns0:c r="D1216" s="4" t="n">
        <ns0:v>2</ns0:v>
      </ns0:c>
      <ns0:c r="E1216" s="4" t="n">
        <ns0:v>1500</ns0:v>
      </ns0:c>
      <ns0:c r="F1216" s="6" t="n">
        <ns0:v>0.5</ns0:v>
      </ns0:c>
      <ns0:c r="G1216" s="4" t="n">
        <ns0:v>0</ns0:v>
      </ns0:c>
      <ns0:c r="H1216" s="7" t="n">
        <ns0:v>8673.763527982952</ns0:v>
      </ns0:c>
      <ns0:c r="I1216" s="7" t="n">
        <ns0:v>4349.220142602496</ns0:v>
      </ns0:c>
      <ns0:c r="J1216" s="7" t="n">
        <ns0:v>2174.610071301248</ns0:v>
      </ns0:c>
      <ns0:c r="K1216" s="7" t="n">
        <ns0:v>12</ns0:v>
      </ns0:c>
      <ns0:c r="L1216" s="7" t="n">
        <ns0:v>20</ns0:v>
      </ns0:c>
      <ns0:c r="M1216" s="7" t="n">
        <ns0:v>-7776.412872414745</ns0:v>
      </ns0:c>
      <ns0:c r="N1216" s="7" t="n">
        <ns0:v>65235.42000918536</ns0:v>
      </ns0:c>
      <ns0:c r="O1216" s="7" t="n">
        <ns0:v>145066.3230995141</ns0:v>
      </ns0:c>
      <ns0:c r="P1216" s="7" t="n">
        <ns0:v>344643.5808253361</ns0:v>
      </ns0:c>
      <ns0:c r="Q1216" s="7" t="n">
        <ns0:v>1100952.611728624</ns0:v>
      </ns0:c>
      <ns0:c r="R1216" s="7" t="n">
        <ns0:v>3825034.219890133</ns0:v>
      </ns0:c>
    </ns0:row>
    <ns0:row r="1217" ht="24" customHeight="1">
      <ns0:c r="A1217" s="3" t="inlineStr">
        <ns0:is>
          <ns0:t>混在40/30/30</ns0:t>
        </ns0:is>
      </ns0:c>
      <ns0:c r="B1217" s="3" t="inlineStr">
        <ns0:is>
          <ns0:t>G0基本5000比較</ns0:t>
        </ns0:is>
      </ns0:c>
      <ns0:c r="C1217" s="3" t="inlineStr">
        <ns0:is>
          <ns0:t>A</ns0:t>
        </ns0:is>
      </ns0:c>
      <ns0:c r="D1217" s="4" t="n">
        <ns0:v>2</ns0:v>
      </ns0:c>
      <ns0:c r="E1217" s="4" t="n">
        <ns0:v>1500</ns0:v>
      </ns0:c>
      <ns0:c r="F1217" s="6" t="n">
        <ns0:v>0.5</ns0:v>
      </ns0:c>
      <ns0:c r="G1217" s="4" t="n">
        <ns0:v>1</ns0:v>
      </ns0:c>
      <ns0:c r="H1217" s="7" t="n">
        <ns0:v>8673.763527982952</ns0:v>
      </ns0:c>
      <ns0:c r="I1217" s="7" t="n">
        <ns0:v>4349.220142602496</ns0:v>
      </ns0:c>
      <ns0:c r="J1217" s="7" t="n">
        <ns0:v>2174.610071301248</ns0:v>
      </ns0:c>
      <ns0:c r="K1217" s="7" t="n">
        <ns0:v>13</ns0:v>
      </ns0:c>
      <ns0:c r="L1217" s="7" t="n">
        <ns0:v>25</ns0:v>
      </ns0:c>
      <ns0:c r="M1217" s="7" t="n">
        <ns0:v>-10980.96819861965</ns0:v>
      </ns0:c>
      <ns0:c r="N1217" s="7" t="n">
        <ns0:v>55621.75403057065</ns0:v>
      </ns0:c>
      <ns0:c r="O1217" s="7" t="n">
        <ns0:v>129043.5464684896</ns0:v>
      </ns0:c>
      <ns0:c r="P1217" s="7" t="n">
        <ns0:v>312598.0275632871</ns0:v>
      </ns0:c>
      <ns0:c r="Q1217" s="7" t="n">
        <ns0:v>1004815.951942477</ns0:v>
      </ns0:c>
      <ns0:c r="R1217" s="7" t="n">
        <ns0:v>3504578.687269642</ns0:v>
      </ns0:c>
    </ns0:row>
    <ns0:row r="1218" ht="24" customHeight="1">
      <ns0:c r="A1218" s="3" t="inlineStr">
        <ns0:is>
          <ns0:t>混在40/30/30</ns0:t>
        </ns0:is>
      </ns0:c>
      <ns0:c r="B1218" s="3" t="inlineStr">
        <ns0:is>
          <ns0:t>G0基本5000比較</ns0:t>
        </ns0:is>
      </ns0:c>
      <ns0:c r="C1218" s="3" t="inlineStr">
        <ns0:is>
          <ns0:t>A</ns0:t>
        </ns0:is>
      </ns0:c>
      <ns0:c r="D1218" s="4" t="n">
        <ns0:v>2</ns0:v>
      </ns0:c>
      <ns0:c r="E1218" s="4" t="n">
        <ns0:v>1500</ns0:v>
      </ns0:c>
      <ns0:c r="F1218" s="6" t="n">
        <ns0:v>0.5</ns0:v>
      </ns0:c>
      <ns0:c r="G1218" s="4" t="n">
        <ns0:v>2</ns0:v>
      </ns0:c>
      <ns0:c r="H1218" s="7" t="n">
        <ns0:v>8673.763527982952</ns0:v>
      </ns0:c>
      <ns0:c r="I1218" s="7" t="n">
        <ns0:v>4349.220142602496</ns0:v>
      </ns0:c>
      <ns0:c r="J1218" s="7" t="n">
        <ns0:v>2174.610071301248</ns0:v>
      </ns0:c>
      <ns0:c r="K1218" s="18" t="inlineStr">
        <ns0:is>
          <ns0:t>範囲内なし</ns0:t>
        </ns0:is>
      </ns0:c>
      <ns0:c r="L1218" s="18" t="inlineStr">
        <ns0:is>
          <ns0:t>範囲内なし</ns0:t>
        </ns0:is>
      </ns0:c>
      <ns0:c r="M1218" s="7" t="n">
        <ns0:v>-50553.33354719853</ns0:v>
      </ns0:c>
      <ns0:c r="N1218" s="7" t="n">
        <ns0:v>-63095.342015166</ns0:v>
      </ns0:c>
      <ns0:c r="O1218" s="7" t="n">
        <ns0:v>-68818.28027440479</ns0:v>
      </ns0:c>
      <ns0:c r="P1218" s="7" t="n">
        <ns0:v>-83125.62592250179</ns0:v>
      </ns0:c>
      <ns0:c r="Q1218" s="7" t="n">
        <ns0:v>-182355.0085148894</ns0:v>
      </ns0:c>
      <ns0:c r="R1218" s="7" t="n">
        <ns0:v>-452657.8475882467</ns0:v>
      </ns0:c>
    </ns0:row>
    <ns0:row r="1219" ht="24" customHeight="1">
      <ns0:c r="A1219" s="3" t="inlineStr">
        <ns0:is>
          <ns0:t>混在40/30/30</ns0:t>
        </ns0:is>
      </ns0:c>
      <ns0:c r="B1219" s="3" t="inlineStr">
        <ns0:is>
          <ns0:t>G0基本5000比較</ns0:t>
        </ns0:is>
      </ns0:c>
      <ns0:c r="C1219" s="3" t="inlineStr">
        <ns0:is>
          <ns0:t>A</ns0:t>
        </ns0:is>
      </ns0:c>
      <ns0:c r="D1219" s="4" t="n">
        <ns0:v>2</ns0:v>
      </ns0:c>
      <ns0:c r="E1219" s="4" t="n">
        <ns0:v>1500</ns0:v>
      </ns0:c>
      <ns0:c r="F1219" s="6" t="n">
        <ns0:v>0.5</ns0:v>
      </ns0:c>
      <ns0:c r="G1219" s="4" t="n">
        <ns0:v>3</ns0:v>
      </ns0:c>
      <ns0:c r="H1219" s="7" t="n">
        <ns0:v>8673.763527982952</ns0:v>
      </ns0:c>
      <ns0:c r="I1219" s="7" t="n">
        <ns0:v>4349.220142602496</ns0:v>
      </ns0:c>
      <ns0:c r="J1219" s="7" t="n">
        <ns0:v>2174.610071301248</ns0:v>
      </ns0:c>
      <ns0:c r="K1219" s="7" t="n">
        <ns0:v>19</ns0:v>
      </ns0:c>
      <ns0:c r="L1219" s="7" t="n">
        <ns0:v>47</ns0:v>
      </ns0:c>
      <ns0:c r="M1219" s="7" t="n">
        <ns0:v>-17560.12253277152</ns0:v>
      </ns0:c>
      <ns0:c r="N1219" s="7" t="n">
        <ns0:v>35884.29102811503</ns0:v>
      </ns0:c>
      <ns0:c r="O1219" s="7" t="n">
        <ns0:v>96147.77479773026</ns0:v>
      </ns0:c>
      <ns0:c r="P1219" s="7" t="n">
        <ns0:v>246806.4842217683</ns0:v>
      </ns0:c>
      <ns0:c r="Q1219" s="7" t="n">
        <ns0:v>807441.3219179207</ns0:v>
      </ns0:c>
      <ns0:c r="R1219" s="7" t="n">
        <ns0:v>2846663.253854454</ns0:v>
      </ns0:c>
    </ns0:row>
    <ns0:row r="1220" ht="24" customHeight="1">
      <ns0:c r="A1220" s="3" t="inlineStr">
        <ns0:is>
          <ns0:t>混在40/30/30</ns0:t>
        </ns0:is>
      </ns0:c>
      <ns0:c r="B1220" s="3" t="inlineStr">
        <ns0:is>
          <ns0:t>G0基本5000比較</ns0:t>
        </ns0:is>
      </ns0:c>
      <ns0:c r="C1220" s="3" t="inlineStr">
        <ns0:is>
          <ns0:t>C</ns0:t>
        </ns0:is>
      </ns0:c>
      <ns0:c r="D1220" s="4" t="n">
        <ns0:v>0</ns0:v>
      </ns0:c>
      <ns0:c r="E1220" s="4" t="n">
        <ns0:v>500</ns0:v>
      </ns0:c>
      <ns0:c r="F1220" s="6" t="n">
        <ns0:v>0.3</ns0:v>
      </ns0:c>
      <ns0:c r="G1220" s="4" t="n">
        <ns0:v>0</ns0:v>
      </ns0:c>
      <ns0:c r="H1220" s="7" t="n">
        <ns0:v>5679.477608260326</ns0:v>
      </ns0:c>
      <ns0:c r="I1220" s="7" t="n">
        <ns0:v>3971.862284105131</ns0:v>
      </ns0:c>
      <ns0:c r="J1220" s="7" t="n">
        <ns0:v>1191.558685231539</ns0:v>
      </ns0:c>
      <ns0:c r="K1220" s="7" t="n">
        <ns0:v>21</ns0:v>
      </ns0:c>
      <ns0:c r="L1220" s="7" t="n">
        <ns0:v>71</ns0:v>
      </ns0:c>
      <ns0:c r="M1220" s="7" t="n">
        <ns0:v>-25779.90353988373</ns0:v>
      </ns0:c>
      <ns0:c r="N1220" s="7" t="n">
        <ns0:v>33182.15863296441</ns0:v>
      </ns0:c>
      <ns0:c r="O1220" s="7" t="n">
        <ns0:v>94264.24583710165</ns0:v>
      </ns0:c>
      <ns0:c r="P1220" s="7" t="n">
        <ns0:v>243039.4263005111</ns0:v>
      </ns0:c>
      <ns0:c r="Q1220" s="7" t="n">
        <ns0:v>796140.1481541488</ns0:v>
      </ns0:c>
      <ns0:c r="R1220" s="7" t="n">
        <ns0:v>2808992.674641882</ns0:v>
      </ns0:c>
    </ns0:row>
    <ns0:row r="1221" ht="24" customHeight="1">
      <ns0:c r="A1221" s="3" t="inlineStr">
        <ns0:is>
          <ns0:t>混在40/30/30</ns0:t>
        </ns0:is>
      </ns0:c>
      <ns0:c r="B1221" s="3" t="inlineStr">
        <ns0:is>
          <ns0:t>G0基本5000比較</ns0:t>
        </ns0:is>
      </ns0:c>
      <ns0:c r="C1221" s="3" t="inlineStr">
        <ns0:is>
          <ns0:t>C</ns0:t>
        </ns0:is>
      </ns0:c>
      <ns0:c r="D1221" s="4" t="n">
        <ns0:v>0</ns0:v>
      </ns0:c>
      <ns0:c r="E1221" s="4" t="n">
        <ns0:v>500</ns0:v>
      </ns0:c>
      <ns0:c r="F1221" s="6" t="n">
        <ns0:v>0.3</ns0:v>
      </ns0:c>
      <ns0:c r="G1221" s="4" t="n">
        <ns0:v>1</ns0:v>
      </ns0:c>
      <ns0:c r="H1221" s="7" t="n">
        <ns0:v>5679.477608260326</ns0:v>
      </ns0:c>
      <ns0:c r="I1221" s="7" t="n">
        <ns0:v>3971.862284105131</ns0:v>
      </ns0:c>
      <ns0:c r="J1221" s="7" t="n">
        <ns0:v>1191.558685231539</ns0:v>
      </ns0:c>
      <ns0:c r="K1221" s="7" t="n">
        <ns0:v>23</ns0:v>
      </ns0:c>
      <ns0:c r="L1221" s="7" t="n">
        <ns0:v>212</ns0:v>
      </ns0:c>
      <ns0:c r="M1221" s="7" t="n">
        <ns0:v>-27999.44735174904</ns0:v>
      </ns0:c>
      <ns0:c r="N1221" s="7" t="n">
        <ns0:v>26523.52719736847</ns0:v>
      </ns0:c>
      <ns0:c r="O1221" s="7" t="n">
        <ns0:v>83166.52677777509</ns0:v>
      </ns0:c>
      <ns0:c r="P1221" s="7" t="n">
        <ns0:v>220843.988181858</ns0:v>
      </ns0:c>
      <ns0:c r="Q1221" s="7" t="n">
        <ns0:v>729553.8337981894</ns0:v>
      </ns0:c>
      <ns0:c r="R1221" s="7" t="n">
        <ns0:v>2587038.29345535</ns0:v>
      </ns0:c>
    </ns0:row>
    <ns0:row r="1222" ht="24" customHeight="1">
      <ns0:c r="A1222" s="3" t="inlineStr">
        <ns0:is>
          <ns0:t>混在40/30/30</ns0:t>
        </ns0:is>
      </ns0:c>
      <ns0:c r="B1222" s="3" t="inlineStr">
        <ns0:is>
          <ns0:t>G0基本5000比較</ns0:t>
        </ns0:is>
      </ns0:c>
      <ns0:c r="C1222" s="3" t="inlineStr">
        <ns0:is>
          <ns0:t>C</ns0:t>
        </ns0:is>
      </ns0:c>
      <ns0:c r="D1222" s="4" t="n">
        <ns0:v>0</ns0:v>
      </ns0:c>
      <ns0:c r="E1222" s="4" t="n">
        <ns0:v>500</ns0:v>
      </ns0:c>
      <ns0:c r="F1222" s="6" t="n">
        <ns0:v>0.3</ns0:v>
      </ns0:c>
      <ns0:c r="G1222" s="4" t="n">
        <ns0:v>2</ns0:v>
      </ns0:c>
      <ns0:c r="H1222" s="7" t="n">
        <ns0:v>5679.477608260326</ns0:v>
      </ns0:c>
      <ns0:c r="I1222" s="7" t="n">
        <ns0:v>3971.862284105131</ns0:v>
      </ns0:c>
      <ns0:c r="J1222" s="7" t="n">
        <ns0:v>1191.558685231539</ns0:v>
      </ns0:c>
      <ns0:c r="K1222" s="7" t="n">
        <ns0:v>34</ns0:v>
      </ns0:c>
      <ns0:c r="L1222" s="18" t="inlineStr">
        <ns0:is>
          <ns0:t>範囲内なし</ns0:t>
        </ns0:is>
      </ns0:c>
      <ns0:c r="M1222" s="7" t="n">
        <ns0:v>-39137.10363878099</ns0:v>
      </ns0:c>
      <ns0:c r="N1222" s="7" t="n">
        <ns0:v>-6889.441663727361</ns0:v>
      </ns0:c>
      <ns0:c r="O1222" s="7" t="n">
        <ns0:v>27478.24534261538</ns0:v>
      </ns0:c>
      <ns0:c r="P1222" s="7" t="n">
        <ns0:v>109467.4253115385</ns0:v>
      </ns0:c>
      <ns0:c r="Q1222" s="7" t="n">
        <ns0:v>395424.1451872312</ns0:v>
      </ns0:c>
      <ns0:c r="R1222" s="7" t="n">
        <ns0:v>1473272.664752156</ns0:v>
      </ns0:c>
    </ns0:row>
    <ns0:row r="1223" ht="24" customHeight="1">
      <ns0:c r="A1223" s="3" t="inlineStr">
        <ns0:is>
          <ns0:t>混在40/30/30</ns0:t>
        </ns0:is>
      </ns0:c>
      <ns0:c r="B1223" s="3" t="inlineStr">
        <ns0:is>
          <ns0:t>G0基本5000比較</ns0:t>
        </ns0:is>
      </ns0:c>
      <ns0:c r="C1223" s="3" t="inlineStr">
        <ns0:is>
          <ns0:t>C</ns0:t>
        </ns0:is>
      </ns0:c>
      <ns0:c r="D1223" s="4" t="n">
        <ns0:v>0</ns0:v>
      </ns0:c>
      <ns0:c r="E1223" s="4" t="n">
        <ns0:v>500</ns0:v>
      </ns0:c>
      <ns0:c r="F1223" s="6" t="n">
        <ns0:v>0.3</ns0:v>
      </ns0:c>
      <ns0:c r="G1223" s="4" t="n">
        <ns0:v>3</ns0:v>
      </ns0:c>
      <ns0:c r="H1223" s="7" t="n">
        <ns0:v>5679.477608260326</ns0:v>
      </ns0:c>
      <ns0:c r="I1223" s="7" t="n">
        <ns0:v>3971.862284105131</ns0:v>
      </ns0:c>
      <ns0:c r="J1223" s="7" t="n">
        <ns0:v>1191.558685231539</ns0:v>
      </ns0:c>
      <ns0:c r="K1223" s="7" t="n">
        <ns0:v>27</ns0:v>
      </ns0:c>
      <ns0:c r="L1223" s="18" t="inlineStr">
        <ns0:is>
          <ns0:t>範囲内なし</ns0:t>
        </ns0:is>
      </ns0:c>
      <ns0:c r="M1223" s="7" t="n">
        <ns0:v>-33123.7183220556</ns0:v>
      </ns0:c>
      <ns0:c r="N1223" s="7" t="n">
        <ns0:v>11150.7142864488</ns0:v>
      </ns0:c>
      <ns0:c r="O1223" s="7" t="n">
        <ns0:v>57545.17192624231</ns0:v>
      </ns0:c>
      <ns0:c r="P1223" s="7" t="n">
        <ns0:v>169601.2784787924</ns0:v>
      </ns0:c>
      <ns0:c r="Q1223" s="7" t="n">
        <ns0:v>575825.7046889928</ns0:v>
      </ns0:c>
      <ns0:c r="R1223" s="7" t="n">
        <ns0:v>2074611.196424695</ns0:v>
      </ns0:c>
    </ns0:row>
    <ns0:row r="1224" ht="24" customHeight="1">
      <ns0:c r="A1224" s="3" t="inlineStr">
        <ns0:is>
          <ns0:t>混在40/30/30</ns0:t>
        </ns0:is>
      </ns0:c>
      <ns0:c r="B1224" s="3" t="inlineStr">
        <ns0:is>
          <ns0:t>G0基本5000比較</ns0:t>
        </ns0:is>
      </ns0:c>
      <ns0:c r="C1224" s="3" t="inlineStr">
        <ns0:is>
          <ns0:t>C</ns0:t>
        </ns0:is>
      </ns0:c>
      <ns0:c r="D1224" s="4" t="n">
        <ns0:v>0</ns0:v>
      </ns0:c>
      <ns0:c r="E1224" s="4" t="n">
        <ns0:v>500</ns0:v>
      </ns0:c>
      <ns0:c r="F1224" s="6" t="n">
        <ns0:v>0.4</ns0:v>
      </ns0:c>
      <ns0:c r="G1224" s="4" t="n">
        <ns0:v>0</ns0:v>
      </ns0:c>
      <ns0:c r="H1224" s="7" t="n">
        <ns0:v>5679.477608260326</ns0:v>
      </ns0:c>
      <ns0:c r="I1224" s="7" t="n">
        <ns0:v>3971.862284105131</ns0:v>
      </ns0:c>
      <ns0:c r="J1224" s="7" t="n">
        <ns0:v>1588.744913642053</ns0:v>
      </ns0:c>
      <ns0:c r="K1224" s="7" t="n">
        <ns0:v>24</ns0:v>
      </ns0:c>
      <ns0:c r="L1224" s="7" t="n">
        <ns0:v>81</ns0:v>
      </ns0:c>
      <ns0:c r="M1224" s="7" t="n">
        <ns0:v>-29751.76582398886</ns0:v>
      </ns0:c>
      <ns0:c r="N1224" s="7" t="n">
        <ns0:v>21266.57178064902</ns0:v>
      </ns0:c>
      <ns0:c r="O1224" s="7" t="n">
        <ns0:v>74404.934416576</ns0:v>
      </ns0:c>
      <ns0:c r="P1224" s="7" t="n">
        <ns0:v>203320.8034594598</ns0:v>
      </ns0:c>
      <ns0:c r="Q1224" s="7" t="n">
        <ns0:v>676984.2796309949</ns0:v>
      </ns0:c>
      <ns0:c r="R1224" s="7" t="n">
        <ns0:v>2411806.446231368</ns0:v>
      </ns0:c>
    </ns0:row>
    <ns0:row r="1225" ht="24" customHeight="1">
      <ns0:c r="A1225" s="3" t="inlineStr">
        <ns0:is>
          <ns0:t>混在40/30/30</ns0:t>
        </ns0:is>
      </ns0:c>
      <ns0:c r="B1225" s="3" t="inlineStr">
        <ns0:is>
          <ns0:t>G0基本5000比較</ns0:t>
        </ns0:is>
      </ns0:c>
      <ns0:c r="C1225" s="3" t="inlineStr">
        <ns0:is>
          <ns0:t>C</ns0:t>
        </ns0:is>
      </ns0:c>
      <ns0:c r="D1225" s="4" t="n">
        <ns0:v>0</ns0:v>
      </ns0:c>
      <ns0:c r="E1225" s="4" t="n">
        <ns0:v>500</ns0:v>
      </ns0:c>
      <ns0:c r="F1225" s="6" t="n">
        <ns0:v>0.4</ns0:v>
      </ns0:c>
      <ns0:c r="G1225" s="4" t="n">
        <ns0:v>1</ns0:v>
      </ns0:c>
      <ns0:c r="H1225" s="7" t="n">
        <ns0:v>5679.477608260326</ns0:v>
      </ns0:c>
      <ns0:c r="I1225" s="7" t="n">
        <ns0:v>3971.862284105131</ns0:v>
      </ns0:c>
      <ns0:c r="J1225" s="7" t="n">
        <ns0:v>1588.744913642053</ns0:v>
      </ns0:c>
      <ns0:c r="K1225" s="7" t="n">
        <ns0:v>26</ns0:v>
      </ns0:c>
      <ns0:c r="L1225" s="7" t="n">
        <ns0:v>272</ns0:v>
      </ns0:c>
      <ns0:c r="M1225" s="7" t="n">
        <ns0:v>-31971.30963585418</ns0:v>
      </ns0:c>
      <ns0:c r="N1225" s="7" t="n">
        <ns0:v>14607.94034505308</ns0:v>
      </ns0:c>
      <ns0:c r="O1225" s="7" t="n">
        <ns0:v>63307.21535724943</ns0:v>
      </ns0:c>
      <ns0:c r="P1225" s="7" t="n">
        <ns0:v>181125.3653408067</ns0:v>
      </ns0:c>
      <ns0:c r="Q1225" s="7" t="n">
        <ns0:v>610397.9652750355</ns0:v>
      </ns0:c>
      <ns0:c r="R1225" s="7" t="n">
        <ns0:v>2189852.065044837</ns0:v>
      </ns0:c>
    </ns0:row>
    <ns0:row r="1226" ht="24" customHeight="1">
      <ns0:c r="A1226" s="3" t="inlineStr">
        <ns0:is>
          <ns0:t>混在40/30/30</ns0:t>
        </ns0:is>
      </ns0:c>
      <ns0:c r="B1226" s="3" t="inlineStr">
        <ns0:is>
          <ns0:t>G0基本5000比較</ns0:t>
        </ns0:is>
      </ns0:c>
      <ns0:c r="C1226" s="3" t="inlineStr">
        <ns0:is>
          <ns0:t>C</ns0:t>
        </ns0:is>
      </ns0:c>
      <ns0:c r="D1226" s="4" t="n">
        <ns0:v>0</ns0:v>
      </ns0:c>
      <ns0:c r="E1226" s="4" t="n">
        <ns0:v>500</ns0:v>
      </ns0:c>
      <ns0:c r="F1226" s="6" t="n">
        <ns0:v>0.4</ns0:v>
      </ns0:c>
      <ns0:c r="G1226" s="4" t="n">
        <ns0:v>2</ns0:v>
      </ns0:c>
      <ns0:c r="H1226" s="7" t="n">
        <ns0:v>5679.477608260326</ns0:v>
      </ns0:c>
      <ns0:c r="I1226" s="7" t="n">
        <ns0:v>3971.862284105131</ns0:v>
      </ns0:c>
      <ns0:c r="J1226" s="7" t="n">
        <ns0:v>1588.744913642053</ns0:v>
      </ns0:c>
      <ns0:c r="K1226" s="7" t="n">
        <ns0:v>44</ns0:v>
      </ns0:c>
      <ns0:c r="L1226" s="18" t="inlineStr">
        <ns0:is>
          <ns0:t>範囲内なし</ns0:t>
        </ns0:is>
      </ns0:c>
      <ns0:c r="M1226" s="7" t="n">
        <ns0:v>-43108.96592288612</ns0:v>
      </ns0:c>
      <ns0:c r="N1226" s="7" t="n">
        <ns0:v>-18805.02851604274</ns0:v>
      </ns0:c>
      <ns0:c r="O1226" s="7" t="n">
        <ns0:v>7618.933922089724</ns0:v>
      </ns0:c>
      <ns0:c r="P1226" s="7" t="n">
        <ns0:v>69748.80247048722</ns0:v>
      </ns0:c>
      <ns0:c r="Q1226" s="7" t="n">
        <ns0:v>276268.2766640772</ns0:v>
      </ns0:c>
      <ns0:c r="R1226" s="7" t="n">
        <ns0:v>1076086.436341642</ns0:v>
      </ns0:c>
    </ns0:row>
    <ns0:row r="1227" ht="24" customHeight="1">
      <ns0:c r="A1227" s="3" t="inlineStr">
        <ns0:is>
          <ns0:t>混在40/30/30</ns0:t>
        </ns0:is>
      </ns0:c>
      <ns0:c r="B1227" s="3" t="inlineStr">
        <ns0:is>
          <ns0:t>G0基本5000比較</ns0:t>
        </ns0:is>
      </ns0:c>
      <ns0:c r="C1227" s="3" t="inlineStr">
        <ns0:is>
          <ns0:t>C</ns0:t>
        </ns0:is>
      </ns0:c>
      <ns0:c r="D1227" s="4" t="n">
        <ns0:v>0</ns0:v>
      </ns0:c>
      <ns0:c r="E1227" s="4" t="n">
        <ns0:v>500</ns0:v>
      </ns0:c>
      <ns0:c r="F1227" s="6" t="n">
        <ns0:v>0.4</ns0:v>
      </ns0:c>
      <ns0:c r="G1227" s="4" t="n">
        <ns0:v>3</ns0:v>
      </ns0:c>
      <ns0:c r="H1227" s="7" t="n">
        <ns0:v>5679.477608260326</ns0:v>
      </ns0:c>
      <ns0:c r="I1227" s="7" t="n">
        <ns0:v>3971.862284105131</ns0:v>
      </ns0:c>
      <ns0:c r="J1227" s="7" t="n">
        <ns0:v>1588.744913642053</ns0:v>
      </ns0:c>
      <ns0:c r="K1227" s="7" t="n">
        <ns0:v>31</ns0:v>
      </ns0:c>
      <ns0:c r="L1227" s="18" t="inlineStr">
        <ns0:is>
          <ns0:t>範囲内なし</ns0:t>
        </ns0:is>
      </ns0:c>
      <ns0:c r="M1227" s="7" t="n">
        <ns0:v>-37095.58060616074</ns0:v>
      </ns0:c>
      <ns0:c r="N1227" s="7" t="n">
        <ns0:v>-764.8725658665862</ns0:v>
      </ns0:c>
      <ns0:c r="O1227" s="7" t="n">
        <ns0:v>37685.86050571665</ns0:v>
      </ns0:c>
      <ns0:c r="P1227" s="7" t="n">
        <ns0:v>129882.6556377411</ns0:v>
      </ns0:c>
      <ns0:c r="Q1227" s="7" t="n">
        <ns0:v>456669.8361658388</ns0:v>
      </ns0:c>
      <ns0:c r="R1227" s="7" t="n">
        <ns0:v>1677424.968014181</ns0:v>
      </ns0:c>
    </ns0:row>
    <ns0:row r="1228" ht="24" customHeight="1">
      <ns0:c r="A1228" s="3" t="inlineStr">
        <ns0:is>
          <ns0:t>混在40/30/30</ns0:t>
        </ns0:is>
      </ns0:c>
      <ns0:c r="B1228" s="3" t="inlineStr">
        <ns0:is>
          <ns0:t>G0基本5000比較</ns0:t>
        </ns0:is>
      </ns0:c>
      <ns0:c r="C1228" s="3" t="inlineStr">
        <ns0:is>
          <ns0:t>C</ns0:t>
        </ns0:is>
      </ns0:c>
      <ns0:c r="D1228" s="4" t="n">
        <ns0:v>0</ns0:v>
      </ns0:c>
      <ns0:c r="E1228" s="4" t="n">
        <ns0:v>500</ns0:v>
      </ns0:c>
      <ns0:c r="F1228" s="6" t="n">
        <ns0:v>0.5</ns0:v>
      </ns0:c>
      <ns0:c r="G1228" s="4" t="n">
        <ns0:v>0</ns0:v>
      </ns0:c>
      <ns0:c r="H1228" s="7" t="n">
        <ns0:v>5679.477608260326</ns0:v>
      </ns0:c>
      <ns0:c r="I1228" s="7" t="n">
        <ns0:v>3971.862284105131</ns0:v>
      </ns0:c>
      <ns0:c r="J1228" s="7" t="n">
        <ns0:v>1985.931142052566</ns0:v>
      </ns0:c>
      <ns0:c r="K1228" s="7" t="n">
        <ns0:v>27</ns0:v>
      </ns0:c>
      <ns0:c r="L1228" s="7" t="n">
        <ns0:v>94</ns0:v>
      </ns0:c>
      <ns0:c r="M1228" s="7" t="n">
        <ns0:v>-33723.628108094</ns0:v>
      </ns0:c>
      <ns0:c r="N1228" s="7" t="n">
        <ns0:v>9350.984928333608</ns0:v>
      </ns0:c>
      <ns0:c r="O1228" s="7" t="n">
        <ns0:v>54545.62299605035</ns0:v>
      </ns0:c>
      <ns0:c r="P1228" s="7" t="n">
        <ns0:v>163602.1806184085</ns0:v>
      </ns0:c>
      <ns0:c r="Q1228" s="7" t="n">
        <ns0:v>557828.4111078411</ns0:v>
      </ns0:c>
      <ns0:c r="R1228" s="7" t="n">
        <ns0:v>2014620.217820855</ns0:v>
      </ns0:c>
    </ns0:row>
    <ns0:row r="1229" ht="24" customHeight="1">
      <ns0:c r="A1229" s="3" t="inlineStr">
        <ns0:is>
          <ns0:t>混在40/30/30</ns0:t>
        </ns0:is>
      </ns0:c>
      <ns0:c r="B1229" s="3" t="inlineStr">
        <ns0:is>
          <ns0:t>G0基本5000比較</ns0:t>
        </ns0:is>
      </ns0:c>
      <ns0:c r="C1229" s="3" t="inlineStr">
        <ns0:is>
          <ns0:t>C</ns0:t>
        </ns0:is>
      </ns0:c>
      <ns0:c r="D1229" s="4" t="n">
        <ns0:v>0</ns0:v>
      </ns0:c>
      <ns0:c r="E1229" s="4" t="n">
        <ns0:v>500</ns0:v>
      </ns0:c>
      <ns0:c r="F1229" s="6" t="n">
        <ns0:v>0.5</ns0:v>
      </ns0:c>
      <ns0:c r="G1229" s="4" t="n">
        <ns0:v>1</ns0:v>
      </ns0:c>
      <ns0:c r="H1229" s="7" t="n">
        <ns0:v>5679.477608260326</ns0:v>
      </ns0:c>
      <ns0:c r="I1229" s="7" t="n">
        <ns0:v>3971.862284105131</ns0:v>
      </ns0:c>
      <ns0:c r="J1229" s="7" t="n">
        <ns0:v>1985.931142052566</ns0:v>
      </ns0:c>
      <ns0:c r="K1229" s="7" t="n">
        <ns0:v>29</ns0:v>
      </ns0:c>
      <ns0:c r="L1229" s="7" t="n">
        <ns0:v>382</ns0:v>
      </ns0:c>
      <ns0:c r="M1229" s="7" t="n">
        <ns0:v>-35943.17191995931</ns0:v>
      </ns0:c>
      <ns0:c r="N1229" s="7" t="n">
        <ns0:v>2692.353492737668</ns0:v>
      </ns0:c>
      <ns0:c r="O1229" s="7" t="n">
        <ns0:v>43447.90393672379</ns0:v>
      </ns0:c>
      <ns0:c r="P1229" s="7" t="n">
        <ns0:v>141406.7424997554</ns0:v>
      </ns0:c>
      <ns0:c r="Q1229" s="7" t="n">
        <ns0:v>491242.0967518816</ns0:v>
      </ns0:c>
      <ns0:c r="R1229" s="7" t="n">
        <ns0:v>1792665.836634323</ns0:v>
      </ns0:c>
    </ns0:row>
    <ns0:row r="1230" ht="24" customHeight="1">
      <ns0:c r="A1230" s="3" t="inlineStr">
        <ns0:is>
          <ns0:t>混在40/30/30</ns0:t>
        </ns0:is>
      </ns0:c>
      <ns0:c r="B1230" s="3" t="inlineStr">
        <ns0:is>
          <ns0:t>G0基本5000比較</ns0:t>
        </ns0:is>
      </ns0:c>
      <ns0:c r="C1230" s="3" t="inlineStr">
        <ns0:is>
          <ns0:t>C</ns0:t>
        </ns0:is>
      </ns0:c>
      <ns0:c r="D1230" s="4" t="n">
        <ns0:v>0</ns0:v>
      </ns0:c>
      <ns0:c r="E1230" s="4" t="n">
        <ns0:v>500</ns0:v>
      </ns0:c>
      <ns0:c r="F1230" s="6" t="n">
        <ns0:v>0.5</ns0:v>
      </ns0:c>
      <ns0:c r="G1230" s="4" t="n">
        <ns0:v>2</ns0:v>
      </ns0:c>
      <ns0:c r="H1230" s="7" t="n">
        <ns0:v>5679.477608260326</ns0:v>
      </ns0:c>
      <ns0:c r="I1230" s="7" t="n">
        <ns0:v>3971.862284105131</ns0:v>
      </ns0:c>
      <ns0:c r="J1230" s="7" t="n">
        <ns0:v>1985.931142052566</ns0:v>
      </ns0:c>
      <ns0:c r="K1230" s="7" t="n">
        <ns0:v>65</ns0:v>
      </ns0:c>
      <ns0:c r="L1230" s="18" t="inlineStr">
        <ns0:is>
          <ns0:t>範囲内なし</ns0:t>
        </ns0:is>
      </ns0:c>
      <ns0:c r="M1230" s="7" t="n">
        <ns0:v>-47080.82820699125</ns0:v>
      </ns0:c>
      <ns0:c r="N1230" s="7" t="n">
        <ns0:v>-30720.61536835816</ns0:v>
      </ns0:c>
      <ns0:c r="O1230" s="7" t="n">
        <ns0:v>-12240.37749843592</ns0:v>
      </ns0:c>
      <ns0:c r="P1230" s="7" t="n">
        <ns0:v>30030.17962943594</ns0:v>
      </ns0:c>
      <ns0:c r="Q1230" s="7" t="n">
        <ns0:v>157112.4081409234</ns0:v>
      </ns0:c>
      <ns0:c r="R1230" s="7" t="n">
        <ns0:v>678900.2079311293</ns0:v>
      </ns0:c>
    </ns0:row>
    <ns0:row r="1231" ht="24" customHeight="1">
      <ns0:c r="A1231" s="3" t="inlineStr">
        <ns0:is>
          <ns0:t>混在40/30/30</ns0:t>
        </ns0:is>
      </ns0:c>
      <ns0:c r="B1231" s="3" t="inlineStr">
        <ns0:is>
          <ns0:t>G0基本5000比較</ns0:t>
        </ns0:is>
      </ns0:c>
      <ns0:c r="C1231" s="3" t="inlineStr">
        <ns0:is>
          <ns0:t>C</ns0:t>
        </ns0:is>
      </ns0:c>
      <ns0:c r="D1231" s="4" t="n">
        <ns0:v>0</ns0:v>
      </ns0:c>
      <ns0:c r="E1231" s="4" t="n">
        <ns0:v>500</ns0:v>
      </ns0:c>
      <ns0:c r="F1231" s="6" t="n">
        <ns0:v>0.5</ns0:v>
      </ns0:c>
      <ns0:c r="G1231" s="4" t="n">
        <ns0:v>3</ns0:v>
      </ns0:c>
      <ns0:c r="H1231" s="7" t="n">
        <ns0:v>5679.477608260326</ns0:v>
      </ns0:c>
      <ns0:c r="I1231" s="7" t="n">
        <ns0:v>3971.862284105131</ns0:v>
      </ns0:c>
      <ns0:c r="J1231" s="7" t="n">
        <ns0:v>1985.931142052566</ns0:v>
      </ns0:c>
      <ns0:c r="K1231" s="7" t="n">
        <ns0:v>38</ns0:v>
      </ns0:c>
      <ns0:c r="L1231" s="18" t="inlineStr">
        <ns0:is>
          <ns0:t>範囲内なし</ns0:t>
        </ns0:is>
      </ns0:c>
      <ns0:c r="M1231" s="7" t="n">
        <ns0:v>-41067.44289026586</ns0:v>
      </ns0:c>
      <ns0:c r="N1231" s="7" t="n">
        <ns0:v>-12680.459418182</ns0:v>
      </ns0:c>
      <ns0:c r="O1231" s="7" t="n">
        <ns0:v>17826.549085191</ns0:v>
      </ns0:c>
      <ns0:c r="P1231" s="7" t="n">
        <ns0:v>90164.0327966898</ns0:v>
      </ns0:c>
      <ns0:c r="Q1231" s="7" t="n">
        <ns0:v>337513.9676426849</ns0:v>
      </ns0:c>
      <ns0:c r="R1231" s="7" t="n">
        <ns0:v>1280238.739603668</ns0:v>
      </ns0:c>
    </ns0:row>
    <ns0:row r="1232" ht="24" customHeight="1">
      <ns0:c r="A1232" s="3" t="inlineStr">
        <ns0:is>
          <ns0:t>混在40/30/30</ns0:t>
        </ns0:is>
      </ns0:c>
      <ns0:c r="B1232" s="3" t="inlineStr">
        <ns0:is>
          <ns0:t>G0基本5000比較</ns0:t>
        </ns0:is>
      </ns0:c>
      <ns0:c r="C1232" s="3" t="inlineStr">
        <ns0:is>
          <ns0:t>C</ns0:t>
        </ns0:is>
      </ns0:c>
      <ns0:c r="D1232" s="4" t="n">
        <ns0:v>0</ns0:v>
      </ns0:c>
      <ns0:c r="E1232" s="4" t="n">
        <ns0:v>1000</ns0:v>
      </ns0:c>
      <ns0:c r="F1232" s="6" t="n">
        <ns0:v>0.3</ns0:v>
      </ns0:c>
      <ns0:c r="G1232" s="4" t="n">
        <ns0:v>0</ns0:v>
      </ns0:c>
      <ns0:c r="H1232" s="7" t="n">
        <ns0:v>5529.477608260325</ns0:v>
      </ns0:c>
      <ns0:c r="I1232" s="7" t="n">
        <ns0:v>3821.862284105131</ns0:v>
      </ns0:c>
      <ns0:c r="J1232" s="7" t="n">
        <ns0:v>1146.558685231539</ns0:v>
      </ns0:c>
      <ns0:c r="K1232" s="7" t="n">
        <ns0:v>22</ns0:v>
      </ns0:c>
      <ns0:c r="L1232" s="7" t="n">
        <ns0:v>74</ns0:v>
      </ns0:c>
      <ns0:c r="M1232" s="7" t="n">
        <ns0:v>-26775.90353988374</ns0:v>
      </ns0:c>
      <ns0:c r="N1232" s="7" t="n">
        <ns0:v>30194.1586329644</ns0:v>
      </ns0:c>
      <ns0:c r="O1232" s="7" t="n">
        <ns0:v>89284.24583710164</ns0:v>
      </ns0:c>
      <ns0:c r="P1232" s="7" t="n">
        <ns0:v>233079.4263005111</ns0:v>
      </ns0:c>
      <ns0:c r="Q1232" s="7" t="n">
        <ns0:v>766260.1481541486</ns0:v>
      </ns0:c>
      <ns0:c r="R1232" s="7" t="n">
        <ns0:v>2709392.674641881</ns0:v>
      </ns0:c>
    </ns0:row>
    <ns0:row r="1233" ht="24" customHeight="1">
      <ns0:c r="A1233" s="3" t="inlineStr">
        <ns0:is>
          <ns0:t>混在40/30/30</ns0:t>
        </ns0:is>
      </ns0:c>
      <ns0:c r="B1233" s="3" t="inlineStr">
        <ns0:is>
          <ns0:t>G0基本5000比較</ns0:t>
        </ns0:is>
      </ns0:c>
      <ns0:c r="C1233" s="3" t="inlineStr">
        <ns0:is>
          <ns0:t>C</ns0:t>
        </ns0:is>
      </ns0:c>
      <ns0:c r="D1233" s="4" t="n">
        <ns0:v>0</ns0:v>
      </ns0:c>
      <ns0:c r="E1233" s="4" t="n">
        <ns0:v>1000</ns0:v>
      </ns0:c>
      <ns0:c r="F1233" s="6" t="n">
        <ns0:v>0.3</ns0:v>
      </ns0:c>
      <ns0:c r="G1233" s="4" t="n">
        <ns0:v>1</ns0:v>
      </ns0:c>
      <ns0:c r="H1233" s="7" t="n">
        <ns0:v>5529.477608260325</ns0:v>
      </ns0:c>
      <ns0:c r="I1233" s="7" t="n">
        <ns0:v>3821.862284105131</ns0:v>
      </ns0:c>
      <ns0:c r="J1233" s="7" t="n">
        <ns0:v>1146.558685231539</ns0:v>
      </ns0:c>
      <ns0:c r="K1233" s="7" t="n">
        <ns0:v>23</ns0:v>
      </ns0:c>
      <ns0:c r="L1233" s="7" t="n">
        <ns0:v>226</ns0:v>
      </ns0:c>
      <ns0:c r="M1233" s="7" t="n">
        <ns0:v>-28995.44735174905</ns0:v>
      </ns0:c>
      <ns0:c r="N1233" s="7" t="n">
        <ns0:v>23535.52719736846</ns0:v>
      </ns0:c>
      <ns0:c r="O1233" s="7" t="n">
        <ns0:v>78186.52677777507</ns0:v>
      </ns0:c>
      <ns0:c r="P1233" s="7" t="n">
        <ns0:v>210883.9881818579</ns0:v>
      </ns0:c>
      <ns0:c r="Q1233" s="7" t="n">
        <ns0:v>699673.8337981892</ns0:v>
      </ns0:c>
      <ns0:c r="R1233" s="7" t="n">
        <ns0:v>2487438.29345535</ns0:v>
      </ns0:c>
    </ns0:row>
    <ns0:row r="1234" ht="24" customHeight="1">
      <ns0:c r="A1234" s="3" t="inlineStr">
        <ns0:is>
          <ns0:t>混在40/30/30</ns0:t>
        </ns0:is>
      </ns0:c>
      <ns0:c r="B1234" s="3" t="inlineStr">
        <ns0:is>
          <ns0:t>G0基本5000比較</ns0:t>
        </ns0:is>
      </ns0:c>
      <ns0:c r="C1234" s="3" t="inlineStr">
        <ns0:is>
          <ns0:t>C</ns0:t>
        </ns0:is>
      </ns0:c>
      <ns0:c r="D1234" s="4" t="n">
        <ns0:v>0</ns0:v>
      </ns0:c>
      <ns0:c r="E1234" s="4" t="n">
        <ns0:v>1000</ns0:v>
      </ns0:c>
      <ns0:c r="F1234" s="6" t="n">
        <ns0:v>0.3</ns0:v>
      </ns0:c>
      <ns0:c r="G1234" s="4" t="n">
        <ns0:v>2</ns0:v>
      </ns0:c>
      <ns0:c r="H1234" s="7" t="n">
        <ns0:v>5529.477608260325</ns0:v>
      </ns0:c>
      <ns0:c r="I1234" s="7" t="n">
        <ns0:v>3821.862284105131</ns0:v>
      </ns0:c>
      <ns0:c r="J1234" s="7" t="n">
        <ns0:v>1146.558685231539</ns0:v>
      </ns0:c>
      <ns0:c r="K1234" s="7" t="n">
        <ns0:v>36</ns0:v>
      </ns0:c>
      <ns0:c r="L1234" s="18" t="inlineStr">
        <ns0:is>
          <ns0:t>範囲内なし</ns0:t>
        </ns0:is>
      </ns0:c>
      <ns0:c r="M1234" s="7" t="n">
        <ns0:v>-40133.10363878099</ns0:v>
      </ns0:c>
      <ns0:c r="N1234" s="7" t="n">
        <ns0:v>-9877.441663727368</ns0:v>
      </ns0:c>
      <ns0:c r="O1234" s="7" t="n">
        <ns0:v>22498.24534261535</ns0:v>
      </ns0:c>
      <ns0:c r="P1234" s="7" t="n">
        <ns0:v>99507.42531153851</ns0:v>
      </ns0:c>
      <ns0:c r="Q1234" s="7" t="n">
        <ns0:v>365544.145187231</ns0:v>
      </ns0:c>
      <ns0:c r="R1234" s="7" t="n">
        <ns0:v>1373672.664752155</ns0:v>
      </ns0:c>
    </ns0:row>
    <ns0:row r="1235" ht="24" customHeight="1">
      <ns0:c r="A1235" s="3" t="inlineStr">
        <ns0:is>
          <ns0:t>混在40/30/30</ns0:t>
        </ns0:is>
      </ns0:c>
      <ns0:c r="B1235" s="3" t="inlineStr">
        <ns0:is>
          <ns0:t>G0基本5000比較</ns0:t>
        </ns0:is>
      </ns0:c>
      <ns0:c r="C1235" s="3" t="inlineStr">
        <ns0:is>
          <ns0:t>C</ns0:t>
        </ns0:is>
      </ns0:c>
      <ns0:c r="D1235" s="4" t="n">
        <ns0:v>0</ns0:v>
      </ns0:c>
      <ns0:c r="E1235" s="4" t="n">
        <ns0:v>1000</ns0:v>
      </ns0:c>
      <ns0:c r="F1235" s="6" t="n">
        <ns0:v>0.3</ns0:v>
      </ns0:c>
      <ns0:c r="G1235" s="4" t="n">
        <ns0:v>3</ns0:v>
      </ns0:c>
      <ns0:c r="H1235" s="7" t="n">
        <ns0:v>5529.477608260325</ns0:v>
      </ns0:c>
      <ns0:c r="I1235" s="7" t="n">
        <ns0:v>3821.862284105131</ns0:v>
      </ns0:c>
      <ns0:c r="J1235" s="7" t="n">
        <ns0:v>1146.558685231539</ns0:v>
      </ns0:c>
      <ns0:c r="K1235" s="7" t="n">
        <ns0:v>28</ns0:v>
      </ns0:c>
      <ns0:c r="L1235" s="18" t="inlineStr">
        <ns0:is>
          <ns0:t>範囲内なし</ns0:t>
        </ns0:is>
      </ns0:c>
      <ns0:c r="M1235" s="7" t="n">
        <ns0:v>-34119.7183220556</ns0:v>
      </ns0:c>
      <ns0:c r="N1235" s="7" t="n">
        <ns0:v>8162.714286448798</ns0:v>
      </ns0:c>
      <ns0:c r="O1235" s="7" t="n">
        <ns0:v>52565.17192624229</ns0:v>
      </ns0:c>
      <ns0:c r="P1235" s="7" t="n">
        <ns0:v>159641.2784787924</ns0:v>
      </ns0:c>
      <ns0:c r="Q1235" s="7" t="n">
        <ns0:v>545945.7046889926</ns0:v>
      </ns0:c>
      <ns0:c r="R1235" s="7" t="n">
        <ns0:v>1975011.196424694</ns0:v>
      </ns0:c>
    </ns0:row>
    <ns0:row r="1236" ht="24" customHeight="1">
      <ns0:c r="A1236" s="3" t="inlineStr">
        <ns0:is>
          <ns0:t>混在40/30/30</ns0:t>
        </ns0:is>
      </ns0:c>
      <ns0:c r="B1236" s="3" t="inlineStr">
        <ns0:is>
          <ns0:t>G0基本5000比較</ns0:t>
        </ns0:is>
      </ns0:c>
      <ns0:c r="C1236" s="3" t="inlineStr">
        <ns0:is>
          <ns0:t>C</ns0:t>
        </ns0:is>
      </ns0:c>
      <ns0:c r="D1236" s="4" t="n">
        <ns0:v>0</ns0:v>
      </ns0:c>
      <ns0:c r="E1236" s="4" t="n">
        <ns0:v>1000</ns0:v>
      </ns0:c>
      <ns0:c r="F1236" s="6" t="n">
        <ns0:v>0.4</ns0:v>
      </ns0:c>
      <ns0:c r="G1236" s="4" t="n">
        <ns0:v>0</ns0:v>
      </ns0:c>
      <ns0:c r="H1236" s="7" t="n">
        <ns0:v>5529.477608260325</ns0:v>
      </ns0:c>
      <ns0:c r="I1236" s="7" t="n">
        <ns0:v>3821.862284105131</ns0:v>
      </ns0:c>
      <ns0:c r="J1236" s="7" t="n">
        <ns0:v>1528.744913642053</ns0:v>
      </ns0:c>
      <ns0:c r="K1236" s="7" t="n">
        <ns0:v>25</ns0:v>
      </ns0:c>
      <ns0:c r="L1236" s="7" t="n">
        <ns0:v>84</ns0:v>
      </ns0:c>
      <ns0:c r="M1236" s="7" t="n">
        <ns0:v>-30597.76582398886</ns0:v>
      </ns0:c>
      <ns0:c r="N1236" s="7" t="n">
        <ns0:v>18728.571780649</ns0:v>
      </ns0:c>
      <ns0:c r="O1236" s="7" t="n">
        <ns0:v>70174.93441657597</ns0:v>
      </ns0:c>
      <ns0:c r="P1236" s="7" t="n">
        <ns0:v>194860.8034594597</ns0:v>
      </ns0:c>
      <ns0:c r="Q1236" s="7" t="n">
        <ns0:v>651604.2796309949</ns0:v>
      </ns0:c>
      <ns0:c r="R1236" s="7" t="n">
        <ns0:v>2327206.446231367</ns0:v>
      </ns0:c>
    </ns0:row>
    <ns0:row r="1237" ht="24" customHeight="1">
      <ns0:c r="A1237" s="3" t="inlineStr">
        <ns0:is>
          <ns0:t>混在40/30/30</ns0:t>
        </ns0:is>
      </ns0:c>
      <ns0:c r="B1237" s="3" t="inlineStr">
        <ns0:is>
          <ns0:t>G0基本5000比較</ns0:t>
        </ns0:is>
      </ns0:c>
      <ns0:c r="C1237" s="3" t="inlineStr">
        <ns0:is>
          <ns0:t>C</ns0:t>
        </ns0:is>
      </ns0:c>
      <ns0:c r="D1237" s="4" t="n">
        <ns0:v>0</ns0:v>
      </ns0:c>
      <ns0:c r="E1237" s="4" t="n">
        <ns0:v>1000</ns0:v>
      </ns0:c>
      <ns0:c r="F1237" s="6" t="n">
        <ns0:v>0.4</ns0:v>
      </ns0:c>
      <ns0:c r="G1237" s="4" t="n">
        <ns0:v>1</ns0:v>
      </ns0:c>
      <ns0:c r="H1237" s="7" t="n">
        <ns0:v>5529.477608260325</ns0:v>
      </ns0:c>
      <ns0:c r="I1237" s="7" t="n">
        <ns0:v>3821.862284105131</ns0:v>
      </ns0:c>
      <ns0:c r="J1237" s="7" t="n">
        <ns0:v>1528.744913642053</ns0:v>
      </ns0:c>
      <ns0:c r="K1237" s="7" t="n">
        <ns0:v>26</ns0:v>
      </ns0:c>
      <ns0:c r="L1237" s="7" t="n">
        <ns0:v>293</ns0:v>
      </ns0:c>
      <ns0:c r="M1237" s="7" t="n">
        <ns0:v>-32817.30963585417</ns0:v>
      </ns0:c>
      <ns0:c r="N1237" s="7" t="n">
        <ns0:v>12069.94034505306</ns0:v>
      </ns0:c>
      <ns0:c r="O1237" s="7" t="n">
        <ns0:v>59077.21535724941</ns0:v>
      </ns0:c>
      <ns0:c r="P1237" s="7" t="n">
        <ns0:v>172665.3653408066</ns0:v>
      </ns0:c>
      <ns0:c r="Q1237" s="7" t="n">
        <ns0:v>585017.9652750355</ns0:v>
      </ns0:c>
      <ns0:c r="R1237" s="7" t="n">
        <ns0:v>2105252.065044836</ns0:v>
      </ns0:c>
    </ns0:row>
    <ns0:row r="1238" ht="24" customHeight="1">
      <ns0:c r="A1238" s="3" t="inlineStr">
        <ns0:is>
          <ns0:t>混在40/30/30</ns0:t>
        </ns0:is>
      </ns0:c>
      <ns0:c r="B1238" s="3" t="inlineStr">
        <ns0:is>
          <ns0:t>G0基本5000比較</ns0:t>
        </ns0:is>
      </ns0:c>
      <ns0:c r="C1238" s="3" t="inlineStr">
        <ns0:is>
          <ns0:t>C</ns0:t>
        </ns0:is>
      </ns0:c>
      <ns0:c r="D1238" s="4" t="n">
        <ns0:v>0</ns0:v>
      </ns0:c>
      <ns0:c r="E1238" s="4" t="n">
        <ns0:v>1000</ns0:v>
      </ns0:c>
      <ns0:c r="F1238" s="6" t="n">
        <ns0:v>0.4</ns0:v>
      </ns0:c>
      <ns0:c r="G1238" s="4" t="n">
        <ns0:v>2</ns0:v>
      </ns0:c>
      <ns0:c r="H1238" s="7" t="n">
        <ns0:v>5529.477608260325</ns0:v>
      </ns0:c>
      <ns0:c r="I1238" s="7" t="n">
        <ns0:v>3821.862284105131</ns0:v>
      </ns0:c>
      <ns0:c r="J1238" s="7" t="n">
        <ns0:v>1528.744913642053</ns0:v>
      </ns0:c>
      <ns0:c r="K1238" s="7" t="n">
        <ns0:v>48</ns0:v>
      </ns0:c>
      <ns0:c r="L1238" s="18" t="inlineStr">
        <ns0:is>
          <ns0:t>範囲内なし</ns0:t>
        </ns0:is>
      </ns0:c>
      <ns0:c r="M1238" s="7" t="n">
        <ns0:v>-43954.96592288611</ns0:v>
      </ns0:c>
      <ns0:c r="N1238" s="7" t="n">
        <ns0:v>-21343.02851604277</ns0:v>
      </ns0:c>
      <ns0:c r="O1238" s="7" t="n">
        <ns0:v>3388.933922089695</ns0:v>
      </ns0:c>
      <ns0:c r="P1238" s="7" t="n">
        <ns0:v>61288.80247048719</ns0:v>
      </ns0:c>
      <ns0:c r="Q1238" s="7" t="n">
        <ns0:v>250888.2766640772</ns0:v>
      </ns0:c>
      <ns0:c r="R1238" s="7" t="n">
        <ns0:v>991486.4363416416</ns0:v>
      </ns0:c>
    </ns0:row>
    <ns0:row r="1239" ht="24" customHeight="1">
      <ns0:c r="A1239" s="3" t="inlineStr">
        <ns0:is>
          <ns0:t>混在40/30/30</ns0:t>
        </ns0:is>
      </ns0:c>
      <ns0:c r="B1239" s="3" t="inlineStr">
        <ns0:is>
          <ns0:t>G0基本5000比較</ns0:t>
        </ns0:is>
      </ns0:c>
      <ns0:c r="C1239" s="3" t="inlineStr">
        <ns0:is>
          <ns0:t>C</ns0:t>
        </ns0:is>
      </ns0:c>
      <ns0:c r="D1239" s="4" t="n">
        <ns0:v>0</ns0:v>
      </ns0:c>
      <ns0:c r="E1239" s="4" t="n">
        <ns0:v>1000</ns0:v>
      </ns0:c>
      <ns0:c r="F1239" s="6" t="n">
        <ns0:v>0.4</ns0:v>
      </ns0:c>
      <ns0:c r="G1239" s="4" t="n">
        <ns0:v>3</ns0:v>
      </ns0:c>
      <ns0:c r="H1239" s="7" t="n">
        <ns0:v>5529.477608260325</ns0:v>
      </ns0:c>
      <ns0:c r="I1239" s="7" t="n">
        <ns0:v>3821.862284105131</ns0:v>
      </ns0:c>
      <ns0:c r="J1239" s="7" t="n">
        <ns0:v>1528.744913642053</ns0:v>
      </ns0:c>
      <ns0:c r="K1239" s="7" t="n">
        <ns0:v>32</ns0:v>
      </ns0:c>
      <ns0:c r="L1239" s="18" t="inlineStr">
        <ns0:is>
          <ns0:t>範囲内なし</ns0:t>
        </ns0:is>
      </ns0:c>
      <ns0:c r="M1239" s="7" t="n">
        <ns0:v>-37941.58060616073</ns0:v>
      </ns0:c>
      <ns0:c r="N1239" s="7" t="n">
        <ns0:v>-3302.872565866608</ns0:v>
      </ns0:c>
      <ns0:c r="O1239" s="7" t="n">
        <ns0:v>33455.86050571663</ns0:v>
      </ns0:c>
      <ns0:c r="P1239" s="7" t="n">
        <ns0:v>121422.6556377411</ns0:v>
      </ns0:c>
      <ns0:c r="Q1239" s="7" t="n">
        <ns0:v>431289.8361658388</ns0:v>
      </ns0:c>
      <ns0:c r="R1239" s="7" t="n">
        <ns0:v>1592824.96801418</ns0:v>
      </ns0:c>
    </ns0:row>
    <ns0:row r="1240" ht="24" customHeight="1">
      <ns0:c r="A1240" s="3" t="inlineStr">
        <ns0:is>
          <ns0:t>混在40/30/30</ns0:t>
        </ns0:is>
      </ns0:c>
      <ns0:c r="B1240" s="3" t="inlineStr">
        <ns0:is>
          <ns0:t>G0基本5000比較</ns0:t>
        </ns0:is>
      </ns0:c>
      <ns0:c r="C1240" s="3" t="inlineStr">
        <ns0:is>
          <ns0:t>C</ns0:t>
        </ns0:is>
      </ns0:c>
      <ns0:c r="D1240" s="4" t="n">
        <ns0:v>0</ns0:v>
      </ns0:c>
      <ns0:c r="E1240" s="4" t="n">
        <ns0:v>1000</ns0:v>
      </ns0:c>
      <ns0:c r="F1240" s="6" t="n">
        <ns0:v>0.5</ns0:v>
      </ns0:c>
      <ns0:c r="G1240" s="4" t="n">
        <ns0:v>0</ns0:v>
      </ns0:c>
      <ns0:c r="H1240" s="7" t="n">
        <ns0:v>5529.477608260325</ns0:v>
      </ns0:c>
      <ns0:c r="I1240" s="7" t="n">
        <ns0:v>3821.862284105131</ns0:v>
      </ns0:c>
      <ns0:c r="J1240" s="7" t="n">
        <ns0:v>1910.931142052566</ns0:v>
      </ns0:c>
      <ns0:c r="K1240" s="7" t="n">
        <ns0:v>28</ns0:v>
      </ns0:c>
      <ns0:c r="L1240" s="7" t="n">
        <ns0:v>97</ns0:v>
      </ns0:c>
      <ns0:c r="M1240" s="7" t="n">
        <ns0:v>-34419.62810809399</ns0:v>
      </ns0:c>
      <ns0:c r="N1240" s="7" t="n">
        <ns0:v>7262.984928333619</ns0:v>
      </ns0:c>
      <ns0:c r="O1240" s="7" t="n">
        <ns0:v>51065.62299605033</ns0:v>
      </ns0:c>
      <ns0:c r="P1240" s="7" t="n">
        <ns0:v>156642.1806184085</ns0:v>
      </ns0:c>
      <ns0:c r="Q1240" s="7" t="n">
        <ns0:v>536948.4111078411</ns0:v>
      </ns0:c>
      <ns0:c r="R1240" s="7" t="n">
        <ns0:v>1945020.217820854</ns0:v>
      </ns0:c>
    </ns0:row>
    <ns0:row r="1241" ht="24" customHeight="1">
      <ns0:c r="A1241" s="3" t="inlineStr">
        <ns0:is>
          <ns0:t>混在40/30/30</ns0:t>
        </ns0:is>
      </ns0:c>
      <ns0:c r="B1241" s="3" t="inlineStr">
        <ns0:is>
          <ns0:t>G0基本5000比較</ns0:t>
        </ns0:is>
      </ns0:c>
      <ns0:c r="C1241" s="3" t="inlineStr">
        <ns0:is>
          <ns0:t>C</ns0:t>
        </ns0:is>
      </ns0:c>
      <ns0:c r="D1241" s="4" t="n">
        <ns0:v>0</ns0:v>
      </ns0:c>
      <ns0:c r="E1241" s="4" t="n">
        <ns0:v>1000</ns0:v>
      </ns0:c>
      <ns0:c r="F1241" s="6" t="n">
        <ns0:v>0.5</ns0:v>
      </ns0:c>
      <ns0:c r="G1241" s="4" t="n">
        <ns0:v>1</ns0:v>
      </ns0:c>
      <ns0:c r="H1241" s="7" t="n">
        <ns0:v>5529.477608260325</ns0:v>
      </ns0:c>
      <ns0:c r="I1241" s="7" t="n">
        <ns0:v>3821.862284105131</ns0:v>
      </ns0:c>
      <ns0:c r="J1241" s="7" t="n">
        <ns0:v>1910.931142052566</ns0:v>
      </ns0:c>
      <ns0:c r="K1241" s="7" t="n">
        <ns0:v>30</ns0:v>
      </ns0:c>
      <ns0:c r="L1241" s="7" t="n">
        <ns0:v>415</ns0:v>
      </ns0:c>
      <ns0:c r="M1241" s="7" t="n">
        <ns0:v>-36639.1719199593</ns0:v>
      </ns0:c>
      <ns0:c r="N1241" s="7" t="n">
        <ns0:v>604.3534927376822</ns0:v>
      </ns0:c>
      <ns0:c r="O1241" s="7" t="n">
        <ns0:v>39967.90393672377</ns0:v>
      </ns0:c>
      <ns0:c r="P1241" s="7" t="n">
        <ns0:v>134446.7424997553</ns0:v>
      </ns0:c>
      <ns0:c r="Q1241" s="7" t="n">
        <ns0:v>470362.0967518816</ns0:v>
      </ns0:c>
      <ns0:c r="R1241" s="7" t="n">
        <ns0:v>1723065.836634323</ns0:v>
      </ns0:c>
    </ns0:row>
    <ns0:row r="1242" ht="24" customHeight="1">
      <ns0:c r="A1242" s="3" t="inlineStr">
        <ns0:is>
          <ns0:t>混在40/30/30</ns0:t>
        </ns0:is>
      </ns0:c>
      <ns0:c r="B1242" s="3" t="inlineStr">
        <ns0:is>
          <ns0:t>G0基本5000比較</ns0:t>
        </ns0:is>
      </ns0:c>
      <ns0:c r="C1242" s="3" t="inlineStr">
        <ns0:is>
          <ns0:t>C</ns0:t>
        </ns0:is>
      </ns0:c>
      <ns0:c r="D1242" s="4" t="n">
        <ns0:v>0</ns0:v>
      </ns0:c>
      <ns0:c r="E1242" s="4" t="n">
        <ns0:v>1000</ns0:v>
      </ns0:c>
      <ns0:c r="F1242" s="6" t="n">
        <ns0:v>0.5</ns0:v>
      </ns0:c>
      <ns0:c r="G1242" s="4" t="n">
        <ns0:v>2</ns0:v>
      </ns0:c>
      <ns0:c r="H1242" s="7" t="n">
        <ns0:v>5529.477608260325</ns0:v>
      </ns0:c>
      <ns0:c r="I1242" s="7" t="n">
        <ns0:v>3821.862284105131</ns0:v>
      </ns0:c>
      <ns0:c r="J1242" s="7" t="n">
        <ns0:v>1910.931142052566</ns0:v>
      </ns0:c>
      <ns0:c r="K1242" s="7" t="n">
        <ns0:v>71</ns0:v>
      </ns0:c>
      <ns0:c r="L1242" s="18" t="inlineStr">
        <ns0:is>
          <ns0:t>範囲内なし</ns0:t>
        </ns0:is>
      </ns0:c>
      <ns0:c r="M1242" s="7" t="n">
        <ns0:v>-47776.82820699124</ns0:v>
      </ns0:c>
      <ns0:c r="N1242" s="7" t="n">
        <ns0:v>-32808.61536835815</ns0:v>
      </ns0:c>
      <ns0:c r="O1242" s="7" t="n">
        <ns0:v>-15720.37749843595</ns0:v>
      </ns0:c>
      <ns0:c r="P1242" s="7" t="n">
        <ns0:v>23070.17962943591</ns0:v>
      </ns0:c>
      <ns0:c r="Q1242" s="7" t="n">
        <ns0:v>136232.4081409234</ns0:v>
      </ns0:c>
      <ns0:c r="R1242" s="7" t="n">
        <ns0:v>609300.2079311288</ns0:v>
      </ns0:c>
    </ns0:row>
    <ns0:row r="1243" ht="24" customHeight="1">
      <ns0:c r="A1243" s="3" t="inlineStr">
        <ns0:is>
          <ns0:t>混在40/30/30</ns0:t>
        </ns0:is>
      </ns0:c>
      <ns0:c r="B1243" s="3" t="inlineStr">
        <ns0:is>
          <ns0:t>G0基本5000比較</ns0:t>
        </ns0:is>
      </ns0:c>
      <ns0:c r="C1243" s="3" t="inlineStr">
        <ns0:is>
          <ns0:t>C</ns0:t>
        </ns0:is>
      </ns0:c>
      <ns0:c r="D1243" s="4" t="n">
        <ns0:v>0</ns0:v>
      </ns0:c>
      <ns0:c r="E1243" s="4" t="n">
        <ns0:v>1000</ns0:v>
      </ns0:c>
      <ns0:c r="F1243" s="6" t="n">
        <ns0:v>0.5</ns0:v>
      </ns0:c>
      <ns0:c r="G1243" s="4" t="n">
        <ns0:v>3</ns0:v>
      </ns0:c>
      <ns0:c r="H1243" s="7" t="n">
        <ns0:v>5529.477608260325</ns0:v>
      </ns0:c>
      <ns0:c r="I1243" s="7" t="n">
        <ns0:v>3821.862284105131</ns0:v>
      </ns0:c>
      <ns0:c r="J1243" s="7" t="n">
        <ns0:v>1910.931142052566</ns0:v>
      </ns0:c>
      <ns0:c r="K1243" s="7" t="n">
        <ns0:v>40</ns0:v>
      </ns0:c>
      <ns0:c r="L1243" s="18" t="inlineStr">
        <ns0:is>
          <ns0:t>範囲内なし</ns0:t>
        </ns0:is>
      </ns0:c>
      <ns0:c r="M1243" s="7" t="n">
        <ns0:v>-41763.44289026585</ns0:v>
      </ns0:c>
      <ns0:c r="N1243" s="7" t="n">
        <ns0:v>-14768.45941818198</ns0:v>
      </ns0:c>
      <ns0:c r="O1243" s="7" t="n">
        <ns0:v>14346.54908519099</ns0:v>
      </ns0:c>
      <ns0:c r="P1243" s="7" t="n">
        <ns0:v>83204.03279668977</ns0:v>
      </ns0:c>
      <ns0:c r="Q1243" s="7" t="n">
        <ns0:v>316633.9676426849</ns0:v>
      </ns0:c>
      <ns0:c r="R1243" s="7" t="n">
        <ns0:v>1210638.739603668</ns0:v>
      </ns0:c>
    </ns0:row>
    <ns0:row r="1244" ht="24" customHeight="1">
      <ns0:c r="A1244" s="3" t="inlineStr">
        <ns0:is>
          <ns0:t>混在40/30/30</ns0:t>
        </ns0:is>
      </ns0:c>
      <ns0:c r="B1244" s="3" t="inlineStr">
        <ns0:is>
          <ns0:t>G0基本5000比較</ns0:t>
        </ns0:is>
      </ns0:c>
      <ns0:c r="C1244" s="3" t="inlineStr">
        <ns0:is>
          <ns0:t>C</ns0:t>
        </ns0:is>
      </ns0:c>
      <ns0:c r="D1244" s="4" t="n">
        <ns0:v>0</ns0:v>
      </ns0:c>
      <ns0:c r="E1244" s="4" t="n">
        <ns0:v>1500</ns0:v>
      </ns0:c>
      <ns0:c r="F1244" s="6" t="n">
        <ns0:v>0.3</ns0:v>
      </ns0:c>
      <ns0:c r="G1244" s="4" t="n">
        <ns0:v>0</ns0:v>
      </ns0:c>
      <ns0:c r="H1244" s="7" t="n">
        <ns0:v>5379.477608260325</ns0:v>
      </ns0:c>
      <ns0:c r="I1244" s="7" t="n">
        <ns0:v>3671.862284105131</ns0:v>
      </ns0:c>
      <ns0:c r="J1244" s="7" t="n">
        <ns0:v>1101.558685231539</ns0:v>
      </ns0:c>
      <ns0:c r="K1244" s="7" t="n">
        <ns0:v>23</ns0:v>
      </ns0:c>
      <ns0:c r="L1244" s="7" t="n">
        <ns0:v>76</ns0:v>
      </ns0:c>
      <ns0:c r="M1244" s="7" t="n">
        <ns0:v>-27771.90353988373</ns0:v>
      </ns0:c>
      <ns0:c r="N1244" s="7" t="n">
        <ns0:v>27206.15863296442</ns0:v>
      </ns0:c>
      <ns0:c r="O1244" s="7" t="n">
        <ns0:v>84304.24583710164</ns0:v>
      </ns0:c>
      <ns0:c r="P1244" s="7" t="n">
        <ns0:v>223119.4263005111</ns0:v>
      </ns0:c>
      <ns0:c r="Q1244" s="7" t="n">
        <ns0:v>736380.1481541489</ns0:v>
      </ns0:c>
      <ns0:c r="R1244" s="7" t="n">
        <ns0:v>2609792.674641881</ns0:v>
      </ns0:c>
    </ns0:row>
    <ns0:row r="1245" ht="24" customHeight="1">
      <ns0:c r="A1245" s="3" t="inlineStr">
        <ns0:is>
          <ns0:t>混在40/30/30</ns0:t>
        </ns0:is>
      </ns0:c>
      <ns0:c r="B1245" s="3" t="inlineStr">
        <ns0:is>
          <ns0:t>G0基本5000比較</ns0:t>
        </ns0:is>
      </ns0:c>
      <ns0:c r="C1245" s="3" t="inlineStr">
        <ns0:is>
          <ns0:t>C</ns0:t>
        </ns0:is>
      </ns0:c>
      <ns0:c r="D1245" s="4" t="n">
        <ns0:v>0</ns0:v>
      </ns0:c>
      <ns0:c r="E1245" s="4" t="n">
        <ns0:v>1500</ns0:v>
      </ns0:c>
      <ns0:c r="F1245" s="6" t="n">
        <ns0:v>0.3</ns0:v>
      </ns0:c>
      <ns0:c r="G1245" s="4" t="n">
        <ns0:v>1</ns0:v>
      </ns0:c>
      <ns0:c r="H1245" s="7" t="n">
        <ns0:v>5379.477608260325</ns0:v>
      </ns0:c>
      <ns0:c r="I1245" s="7" t="n">
        <ns0:v>3671.862284105131</ns0:v>
      </ns0:c>
      <ns0:c r="J1245" s="7" t="n">
        <ns0:v>1101.558685231539</ns0:v>
      </ns0:c>
      <ns0:c r="K1245" s="7" t="n">
        <ns0:v>24</ns0:v>
      </ns0:c>
      <ns0:c r="L1245" s="7" t="n">
        <ns0:v>243</ns0:v>
      </ns0:c>
      <ns0:c r="M1245" s="7" t="n">
        <ns0:v>-29991.44735174904</ns0:v>
      </ns0:c>
      <ns0:c r="N1245" s="7" t="n">
        <ns0:v>20547.52719736848</ns0:v>
      </ns0:c>
      <ns0:c r="O1245" s="7" t="n">
        <ns0:v>73206.52677777509</ns0:v>
      </ns0:c>
      <ns0:c r="P1245" s="7" t="n">
        <ns0:v>200923.9881818579</ns0:v>
      </ns0:c>
      <ns0:c r="Q1245" s="7" t="n">
        <ns0:v>669793.8337981895</ns0:v>
      </ns0:c>
      <ns0:c r="R1245" s="7" t="n">
        <ns0:v>2387838.29345535</ns0:v>
      </ns0:c>
    </ns0:row>
    <ns0:row r="1246" ht="24" customHeight="1">
      <ns0:c r="A1246" s="3" t="inlineStr">
        <ns0:is>
          <ns0:t>混在40/30/30</ns0:t>
        </ns0:is>
      </ns0:c>
      <ns0:c r="B1246" s="3" t="inlineStr">
        <ns0:is>
          <ns0:t>G0基本5000比較</ns0:t>
        </ns0:is>
      </ns0:c>
      <ns0:c r="C1246" s="3" t="inlineStr">
        <ns0:is>
          <ns0:t>C</ns0:t>
        </ns0:is>
      </ns0:c>
      <ns0:c r="D1246" s="4" t="n">
        <ns0:v>0</ns0:v>
      </ns0:c>
      <ns0:c r="E1246" s="4" t="n">
        <ns0:v>1500</ns0:v>
      </ns0:c>
      <ns0:c r="F1246" s="6" t="n">
        <ns0:v>0.3</ns0:v>
      </ns0:c>
      <ns0:c r="G1246" s="4" t="n">
        <ns0:v>2</ns0:v>
      </ns0:c>
      <ns0:c r="H1246" s="7" t="n">
        <ns0:v>5379.477608260325</ns0:v>
      </ns0:c>
      <ns0:c r="I1246" s="7" t="n">
        <ns0:v>3671.862284105131</ns0:v>
      </ns0:c>
      <ns0:c r="J1246" s="7" t="n">
        <ns0:v>1101.558685231539</ns0:v>
      </ns0:c>
      <ns0:c r="K1246" s="7" t="n">
        <ns0:v>38</ns0:v>
      </ns0:c>
      <ns0:c r="L1246" s="18" t="inlineStr">
        <ns0:is>
          <ns0:t>範囲内なし</ns0:t>
        </ns0:is>
      </ns0:c>
      <ns0:c r="M1246" s="7" t="n">
        <ns0:v>-41129.10363878099</ns0:v>
      </ns0:c>
      <ns0:c r="N1246" s="7" t="n">
        <ns0:v>-12865.44166372735</ns0:v>
      </ns0:c>
      <ns0:c r="O1246" s="7" t="n">
        <ns0:v>17518.24534261537</ns0:v>
      </ns0:c>
      <ns0:c r="P1246" s="7" t="n">
        <ns0:v>89547.42531153854</ns0:v>
      </ns0:c>
      <ns0:c r="Q1246" s="7" t="n">
        <ns0:v>335664.1451872312</ns0:v>
      </ns0:c>
      <ns0:c r="R1246" s="7" t="n">
        <ns0:v>1274072.664752156</ns0:v>
      </ns0:c>
    </ns0:row>
    <ns0:row r="1247" ht="24" customHeight="1">
      <ns0:c r="A1247" s="3" t="inlineStr">
        <ns0:is>
          <ns0:t>混在40/30/30</ns0:t>
        </ns0:is>
      </ns0:c>
      <ns0:c r="B1247" s="3" t="inlineStr">
        <ns0:is>
          <ns0:t>G0基本5000比較</ns0:t>
        </ns0:is>
      </ns0:c>
      <ns0:c r="C1247" s="3" t="inlineStr">
        <ns0:is>
          <ns0:t>C</ns0:t>
        </ns0:is>
      </ns0:c>
      <ns0:c r="D1247" s="4" t="n">
        <ns0:v>0</ns0:v>
      </ns0:c>
      <ns0:c r="E1247" s="4" t="n">
        <ns0:v>1500</ns0:v>
      </ns0:c>
      <ns0:c r="F1247" s="6" t="n">
        <ns0:v>0.3</ns0:v>
      </ns0:c>
      <ns0:c r="G1247" s="4" t="n">
        <ns0:v>3</ns0:v>
      </ns0:c>
      <ns0:c r="H1247" s="7" t="n">
        <ns0:v>5379.477608260325</ns0:v>
      </ns0:c>
      <ns0:c r="I1247" s="7" t="n">
        <ns0:v>3671.862284105131</ns0:v>
      </ns0:c>
      <ns0:c r="J1247" s="7" t="n">
        <ns0:v>1101.558685231539</ns0:v>
      </ns0:c>
      <ns0:c r="K1247" s="7" t="n">
        <ns0:v>29</ns0:v>
      </ns0:c>
      <ns0:c r="L1247" s="18" t="inlineStr">
        <ns0:is>
          <ns0:t>範囲内なし</ns0:t>
        </ns0:is>
      </ns0:c>
      <ns0:c r="M1247" s="7" t="n">
        <ns0:v>-35115.7183220556</ns0:v>
      </ns0:c>
      <ns0:c r="N1247" s="7" t="n">
        <ns0:v>5174.714286448812</ns0:v>
      </ns0:c>
      <ns0:c r="O1247" s="7" t="n">
        <ns0:v>47585.1719262423</ns0:v>
      </ns0:c>
      <ns0:c r="P1247" s="7" t="n">
        <ns0:v>149681.2784787924</ns0:v>
      </ns0:c>
      <ns0:c r="Q1247" s="7" t="n">
        <ns0:v>516065.7046889929</ns0:v>
      </ns0:c>
      <ns0:c r="R1247" s="7" t="n">
        <ns0:v>1875411.196424694</ns0:v>
      </ns0:c>
    </ns0:row>
    <ns0:row r="1248" ht="24" customHeight="1">
      <ns0:c r="A1248" s="3" t="inlineStr">
        <ns0:is>
          <ns0:t>混在40/30/30</ns0:t>
        </ns0:is>
      </ns0:c>
      <ns0:c r="B1248" s="3" t="inlineStr">
        <ns0:is>
          <ns0:t>G0基本5000比較</ns0:t>
        </ns0:is>
      </ns0:c>
      <ns0:c r="C1248" s="3" t="inlineStr">
        <ns0:is>
          <ns0:t>C</ns0:t>
        </ns0:is>
      </ns0:c>
      <ns0:c r="D1248" s="4" t="n">
        <ns0:v>0</ns0:v>
      </ns0:c>
      <ns0:c r="E1248" s="4" t="n">
        <ns0:v>1500</ns0:v>
      </ns0:c>
      <ns0:c r="F1248" s="6" t="n">
        <ns0:v>0.4</ns0:v>
      </ns0:c>
      <ns0:c r="G1248" s="4" t="n">
        <ns0:v>0</ns0:v>
      </ns0:c>
      <ns0:c r="H1248" s="7" t="n">
        <ns0:v>5379.477608260325</ns0:v>
      </ns0:c>
      <ns0:c r="I1248" s="7" t="n">
        <ns0:v>3671.862284105131</ns0:v>
      </ns0:c>
      <ns0:c r="J1248" s="7" t="n">
        <ns0:v>1468.744913642053</ns0:v>
      </ns0:c>
      <ns0:c r="K1248" s="7" t="n">
        <ns0:v>25</ns0:v>
      </ns0:c>
      <ns0:c r="L1248" s="7" t="n">
        <ns0:v>87</ns0:v>
      </ns0:c>
      <ns0:c r="M1248" s="7" t="n">
        <ns0:v>-31443.76582398886</ns0:v>
      </ns0:c>
      <ns0:c r="N1248" s="7" t="n">
        <ns0:v>16190.57178064903</ns0:v>
      </ns0:c>
      <ns0:c r="O1248" s="7" t="n">
        <ns0:v>65944.93441657597</ns0:v>
      </ns0:c>
      <ns0:c r="P1248" s="7" t="n">
        <ns0:v>186400.8034594597</ns0:v>
      </ns0:c>
      <ns0:c r="Q1248" s="7" t="n">
        <ns0:v>626224.279630995</ns0:v>
      </ns0:c>
      <ns0:c r="R1248" s="7" t="n">
        <ns0:v>2242606.446231368</ns0:v>
      </ns0:c>
    </ns0:row>
    <ns0:row r="1249" ht="24" customHeight="1">
      <ns0:c r="A1249" s="3" t="inlineStr">
        <ns0:is>
          <ns0:t>混在40/30/30</ns0:t>
        </ns0:is>
      </ns0:c>
      <ns0:c r="B1249" s="3" t="inlineStr">
        <ns0:is>
          <ns0:t>G0基本5000比較</ns0:t>
        </ns0:is>
      </ns0:c>
      <ns0:c r="C1249" s="3" t="inlineStr">
        <ns0:is>
          <ns0:t>C</ns0:t>
        </ns0:is>
      </ns0:c>
      <ns0:c r="D1249" s="4" t="n">
        <ns0:v>0</ns0:v>
      </ns0:c>
      <ns0:c r="E1249" s="4" t="n">
        <ns0:v>1500</ns0:v>
      </ns0:c>
      <ns0:c r="F1249" s="6" t="n">
        <ns0:v>0.4</ns0:v>
      </ns0:c>
      <ns0:c r="G1249" s="4" t="n">
        <ns0:v>1</ns0:v>
      </ns0:c>
      <ns0:c r="H1249" s="7" t="n">
        <ns0:v>5379.477608260325</ns0:v>
      </ns0:c>
      <ns0:c r="I1249" s="7" t="n">
        <ns0:v>3671.862284105131</ns0:v>
      </ns0:c>
      <ns0:c r="J1249" s="7" t="n">
        <ns0:v>1468.744913642053</ns0:v>
      </ns0:c>
      <ns0:c r="K1249" s="7" t="n">
        <ns0:v>27</ns0:v>
      </ns0:c>
      <ns0:c r="L1249" s="7" t="n">
        <ns0:v>316</ns0:v>
      </ns0:c>
      <ns0:c r="M1249" s="7" t="n">
        <ns0:v>-33663.30963585417</ns0:v>
      </ns0:c>
      <ns0:c r="N1249" s="7" t="n">
        <ns0:v>9531.940345053088</ns0:v>
      </ns0:c>
      <ns0:c r="O1249" s="7" t="n">
        <ns0:v>54847.21535724941</ns0:v>
      </ns0:c>
      <ns0:c r="P1249" s="7" t="n">
        <ns0:v>164205.3653408066</ns0:v>
      </ns0:c>
      <ns0:c r="Q1249" s="7" t="n">
        <ns0:v>559637.9652750356</ns0:v>
      </ns0:c>
      <ns0:c r="R1249" s="7" t="n">
        <ns0:v>2020652.065044836</ns0:v>
      </ns0:c>
    </ns0:row>
    <ns0:row r="1250" ht="24" customHeight="1">
      <ns0:c r="A1250" s="3" t="inlineStr">
        <ns0:is>
          <ns0:t>混在40/30/30</ns0:t>
        </ns0:is>
      </ns0:c>
      <ns0:c r="B1250" s="3" t="inlineStr">
        <ns0:is>
          <ns0:t>G0基本5000比較</ns0:t>
        </ns0:is>
      </ns0:c>
      <ns0:c r="C1250" s="3" t="inlineStr">
        <ns0:is>
          <ns0:t>C</ns0:t>
        </ns0:is>
      </ns0:c>
      <ns0:c r="D1250" s="4" t="n">
        <ns0:v>0</ns0:v>
      </ns0:c>
      <ns0:c r="E1250" s="4" t="n">
        <ns0:v>1500</ns0:v>
      </ns0:c>
      <ns0:c r="F1250" s="6" t="n">
        <ns0:v>0.4</ns0:v>
      </ns0:c>
      <ns0:c r="G1250" s="4" t="n">
        <ns0:v>2</ns0:v>
      </ns0:c>
      <ns0:c r="H1250" s="7" t="n">
        <ns0:v>5379.477608260325</ns0:v>
      </ns0:c>
      <ns0:c r="I1250" s="7" t="n">
        <ns0:v>3671.862284105131</ns0:v>
      </ns0:c>
      <ns0:c r="J1250" s="7" t="n">
        <ns0:v>1468.744913642053</ns0:v>
      </ns0:c>
      <ns0:c r="K1250" s="7" t="n">
        <ns0:v>51</ns0:v>
      </ns0:c>
      <ns0:c r="L1250" s="18" t="inlineStr">
        <ns0:is>
          <ns0:t>範囲内なし</ns0:t>
        </ns0:is>
      </ns0:c>
      <ns0:c r="M1250" s="7" t="n">
        <ns0:v>-44800.96592288611</ns0:v>
      </ns0:c>
      <ns0:c r="N1250" s="7" t="n">
        <ns0:v>-23881.02851604274</ns0:v>
      </ns0:c>
      <ns0:c r="O1250" s="7" t="n">
        <ns0:v>-841.0660779103055</ns0:v>
      </ns0:c>
      <ns0:c r="P1250" s="7" t="n">
        <ns0:v>52828.80247048719</ns0:v>
      </ns0:c>
      <ns0:c r="Q1250" s="7" t="n">
        <ns0:v>225508.2766640773</ns0:v>
      </ns0:c>
      <ns0:c r="R1250" s="7" t="n">
        <ns0:v>906886.4363416421</ns0:v>
      </ns0:c>
    </ns0:row>
    <ns0:row r="1251" ht="24" customHeight="1">
      <ns0:c r="A1251" s="3" t="inlineStr">
        <ns0:is>
          <ns0:t>混在40/30/30</ns0:t>
        </ns0:is>
      </ns0:c>
      <ns0:c r="B1251" s="3" t="inlineStr">
        <ns0:is>
          <ns0:t>G0基本5000比較</ns0:t>
        </ns0:is>
      </ns0:c>
      <ns0:c r="C1251" s="3" t="inlineStr">
        <ns0:is>
          <ns0:t>C</ns0:t>
        </ns0:is>
      </ns0:c>
      <ns0:c r="D1251" s="4" t="n">
        <ns0:v>0</ns0:v>
      </ns0:c>
      <ns0:c r="E1251" s="4" t="n">
        <ns0:v>1500</ns0:v>
      </ns0:c>
      <ns0:c r="F1251" s="6" t="n">
        <ns0:v>0.4</ns0:v>
      </ns0:c>
      <ns0:c r="G1251" s="4" t="n">
        <ns0:v>3</ns0:v>
      </ns0:c>
      <ns0:c r="H1251" s="7" t="n">
        <ns0:v>5379.477608260325</ns0:v>
      </ns0:c>
      <ns0:c r="I1251" s="7" t="n">
        <ns0:v>3671.862284105131</ns0:v>
      </ns0:c>
      <ns0:c r="J1251" s="7" t="n">
        <ns0:v>1468.744913642053</ns0:v>
      </ns0:c>
      <ns0:c r="K1251" s="7" t="n">
        <ns0:v>33</ns0:v>
      </ns0:c>
      <ns0:c r="L1251" s="18" t="inlineStr">
        <ns0:is>
          <ns0:t>範囲内なし</ns0:t>
        </ns0:is>
      </ns0:c>
      <ns0:c r="M1251" s="7" t="n">
        <ns0:v>-38787.58060616073</ns0:v>
      </ns0:c>
      <ns0:c r="N1251" s="7" t="n">
        <ns0:v>-5840.872565866579</ns0:v>
      </ns0:c>
      <ns0:c r="O1251" s="7" t="n">
        <ns0:v>29225.86050571663</ns0:v>
      </ns0:c>
      <ns0:c r="P1251" s="7" t="n">
        <ns0:v>112962.655637741</ns0:v>
      </ns0:c>
      <ns0:c r="Q1251" s="7" t="n">
        <ns0:v>405909.8361658389</ns0:v>
      </ns0:c>
      <ns0:c r="R1251" s="7" t="n">
        <ns0:v>1508224.968014181</ns0:v>
      </ns0:c>
    </ns0:row>
    <ns0:row r="1252" ht="24" customHeight="1">
      <ns0:c r="A1252" s="3" t="inlineStr">
        <ns0:is>
          <ns0:t>混在40/30/30</ns0:t>
        </ns0:is>
      </ns0:c>
      <ns0:c r="B1252" s="3" t="inlineStr">
        <ns0:is>
          <ns0:t>G0基本5000比較</ns0:t>
        </ns0:is>
      </ns0:c>
      <ns0:c r="C1252" s="3" t="inlineStr">
        <ns0:is>
          <ns0:t>C</ns0:t>
        </ns0:is>
      </ns0:c>
      <ns0:c r="D1252" s="4" t="n">
        <ns0:v>0</ns0:v>
      </ns0:c>
      <ns0:c r="E1252" s="4" t="n">
        <ns0:v>1500</ns0:v>
      </ns0:c>
      <ns0:c r="F1252" s="6" t="n">
        <ns0:v>0.5</ns0:v>
      </ns0:c>
      <ns0:c r="G1252" s="4" t="n">
        <ns0:v>0</ns0:v>
      </ns0:c>
      <ns0:c r="H1252" s="7" t="n">
        <ns0:v>5379.477608260325</ns0:v>
      </ns0:c>
      <ns0:c r="I1252" s="7" t="n">
        <ns0:v>3671.862284105131</ns0:v>
      </ns0:c>
      <ns0:c r="J1252" s="7" t="n">
        <ns0:v>1835.931142052566</ns0:v>
      </ns0:c>
      <ns0:c r="K1252" s="7" t="n">
        <ns0:v>29</ns0:v>
      </ns0:c>
      <ns0:c r="L1252" s="7" t="n">
        <ns0:v>100</ns0:v>
      </ns0:c>
      <ns0:c r="M1252" s="7" t="n">
        <ns0:v>-35115.62810809399</ns0:v>
      </ns0:c>
      <ns0:c r="N1252" s="7" t="n">
        <ns0:v>5174.984928333633</ns0:v>
      </ns0:c>
      <ns0:c r="O1252" s="7" t="n">
        <ns0:v>47585.62299605033</ns0:v>
      </ns0:c>
      <ns0:c r="P1252" s="7" t="n">
        <ns0:v>149682.1806184085</ns0:v>
      </ns0:c>
      <ns0:c r="Q1252" s="7" t="n">
        <ns0:v>516068.411107841</ns0:v>
      </ns0:c>
      <ns0:c r="R1252" s="7" t="n">
        <ns0:v>1875420.217820855</ns0:v>
      </ns0:c>
    </ns0:row>
    <ns0:row r="1253" ht="24" customHeight="1">
      <ns0:c r="A1253" s="3" t="inlineStr">
        <ns0:is>
          <ns0:t>混在40/30/30</ns0:t>
        </ns0:is>
      </ns0:c>
      <ns0:c r="B1253" s="3" t="inlineStr">
        <ns0:is>
          <ns0:t>G0基本5000比較</ns0:t>
        </ns0:is>
      </ns0:c>
      <ns0:c r="C1253" s="3" t="inlineStr">
        <ns0:is>
          <ns0:t>C</ns0:t>
        </ns0:is>
      </ns0:c>
      <ns0:c r="D1253" s="4" t="n">
        <ns0:v>0</ns0:v>
      </ns0:c>
      <ns0:c r="E1253" s="4" t="n">
        <ns0:v>1500</ns0:v>
      </ns0:c>
      <ns0:c r="F1253" s="6" t="n">
        <ns0:v>0.5</ns0:v>
      </ns0:c>
      <ns0:c r="G1253" s="4" t="n">
        <ns0:v>1</ns0:v>
      </ns0:c>
      <ns0:c r="H1253" s="7" t="n">
        <ns0:v>5379.477608260325</ns0:v>
      </ns0:c>
      <ns0:c r="I1253" s="7" t="n">
        <ns0:v>3671.862284105131</ns0:v>
      </ns0:c>
      <ns0:c r="J1253" s="7" t="n">
        <ns0:v>1835.931142052566</ns0:v>
      </ns0:c>
      <ns0:c r="K1253" s="7" t="n">
        <ns0:v>31</ns0:v>
      </ns0:c>
      <ns0:c r="L1253" s="7" t="n">
        <ns0:v>455</ns0:v>
      </ns0:c>
      <ns0:c r="M1253" s="7" t="n">
        <ns0:v>-37335.1719199593</ns0:v>
      </ns0:c>
      <ns0:c r="N1253" s="7" t="n">
        <ns0:v>-1483.646507262303</ns0:v>
      </ns0:c>
      <ns0:c r="O1253" s="7" t="n">
        <ns0:v>36487.90393672376</ns0:v>
      </ns0:c>
      <ns0:c r="P1253" s="7" t="n">
        <ns0:v>127486.7424997553</ns0:v>
      </ns0:c>
      <ns0:c r="Q1253" s="7" t="n">
        <ns0:v>449482.0967518816</ns0:v>
      </ns0:c>
      <ns0:c r="R1253" s="7" t="n">
        <ns0:v>1653465.836634324</ns0:v>
      </ns0:c>
    </ns0:row>
    <ns0:row r="1254" ht="24" customHeight="1">
      <ns0:c r="A1254" s="3" t="inlineStr">
        <ns0:is>
          <ns0:t>混在40/30/30</ns0:t>
        </ns0:is>
      </ns0:c>
      <ns0:c r="B1254" s="3" t="inlineStr">
        <ns0:is>
          <ns0:t>G0基本5000比較</ns0:t>
        </ns0:is>
      </ns0:c>
      <ns0:c r="C1254" s="3" t="inlineStr">
        <ns0:is>
          <ns0:t>C</ns0:t>
        </ns0:is>
      </ns0:c>
      <ns0:c r="D1254" s="4" t="n">
        <ns0:v>0</ns0:v>
      </ns0:c>
      <ns0:c r="E1254" s="4" t="n">
        <ns0:v>1500</ns0:v>
      </ns0:c>
      <ns0:c r="F1254" s="6" t="n">
        <ns0:v>0.5</ns0:v>
      </ns0:c>
      <ns0:c r="G1254" s="4" t="n">
        <ns0:v>2</ns0:v>
      </ns0:c>
      <ns0:c r="H1254" s="7" t="n">
        <ns0:v>5379.477608260325</ns0:v>
      </ns0:c>
      <ns0:c r="I1254" s="7" t="n">
        <ns0:v>3671.862284105131</ns0:v>
      </ns0:c>
      <ns0:c r="J1254" s="7" t="n">
        <ns0:v>1835.931142052566</ns0:v>
      </ns0:c>
      <ns0:c r="K1254" s="7" t="n">
        <ns0:v>78</ns0:v>
      </ns0:c>
      <ns0:c r="L1254" s="18" t="inlineStr">
        <ns0:is>
          <ns0:t>範囲内なし</ns0:t>
        </ns0:is>
      </ns0:c>
      <ns0:c r="M1254" s="7" t="n">
        <ns0:v>-48472.82820699124</ns0:v>
      </ns0:c>
      <ns0:c r="N1254" s="7" t="n">
        <ns0:v>-34896.61536835814</ns0:v>
      </ns0:c>
      <ns0:c r="O1254" s="7" t="n">
        <ns0:v>-19200.37749843595</ns0:v>
      </ns0:c>
      <ns0:c r="P1254" s="7" t="n">
        <ns0:v>16110.17962943591</ns0:v>
      </ns0:c>
      <ns0:c r="Q1254" s="7" t="n">
        <ns0:v>115352.4081409234</ns0:v>
      </ns0:c>
      <ns0:c r="R1254" s="7" t="n">
        <ns0:v>539700.2079311295</ns0:v>
      </ns0:c>
    </ns0:row>
    <ns0:row r="1255" ht="24" customHeight="1">
      <ns0:c r="A1255" s="3" t="inlineStr">
        <ns0:is>
          <ns0:t>混在40/30/30</ns0:t>
        </ns0:is>
      </ns0:c>
      <ns0:c r="B1255" s="3" t="inlineStr">
        <ns0:is>
          <ns0:t>G0基本5000比較</ns0:t>
        </ns0:is>
      </ns0:c>
      <ns0:c r="C1255" s="3" t="inlineStr">
        <ns0:is>
          <ns0:t>C</ns0:t>
        </ns0:is>
      </ns0:c>
      <ns0:c r="D1255" s="4" t="n">
        <ns0:v>0</ns0:v>
      </ns0:c>
      <ns0:c r="E1255" s="4" t="n">
        <ns0:v>1500</ns0:v>
      </ns0:c>
      <ns0:c r="F1255" s="6" t="n">
        <ns0:v>0.5</ns0:v>
      </ns0:c>
      <ns0:c r="G1255" s="4" t="n">
        <ns0:v>3</ns0:v>
      </ns0:c>
      <ns0:c r="H1255" s="7" t="n">
        <ns0:v>5379.477608260325</ns0:v>
      </ns0:c>
      <ns0:c r="I1255" s="7" t="n">
        <ns0:v>3671.862284105131</ns0:v>
      </ns0:c>
      <ns0:c r="J1255" s="7" t="n">
        <ns0:v>1835.931142052566</ns0:v>
      </ns0:c>
      <ns0:c r="K1255" s="7" t="n">
        <ns0:v>42</ns0:v>
      </ns0:c>
      <ns0:c r="L1255" s="18" t="inlineStr">
        <ns0:is>
          <ns0:t>範囲内なし</ns0:t>
        </ns0:is>
      </ns0:c>
      <ns0:c r="M1255" s="7" t="n">
        <ns0:v>-42459.44289026585</ns0:v>
      </ns0:c>
      <ns0:c r="N1255" s="7" t="n">
        <ns0:v>-16856.45941818197</ns0:v>
      </ns0:c>
      <ns0:c r="O1255" s="7" t="n">
        <ns0:v>10866.54908519099</ns0:v>
      </ns0:c>
      <ns0:c r="P1255" s="7" t="n">
        <ns0:v>76244.03279668976</ns0:v>
      </ns0:c>
      <ns0:c r="Q1255" s="7" t="n">
        <ns0:v>295753.9676426849</ns0:v>
      </ns0:c>
      <ns0:c r="R1255" s="7" t="n">
        <ns0:v>1141038.739603668</ns0:v>
      </ns0:c>
    </ns0:row>
    <ns0:row r="1256" ht="24" customHeight="1">
      <ns0:c r="A1256" s="3" t="inlineStr">
        <ns0:is>
          <ns0:t>混在40/30/30</ns0:t>
        </ns0:is>
      </ns0:c>
      <ns0:c r="B1256" s="3" t="inlineStr">
        <ns0:is>
          <ns0:t>G0基本5000比較</ns0:t>
        </ns0:is>
      </ns0:c>
      <ns0:c r="C1256" s="3" t="inlineStr">
        <ns0:is>
          <ns0:t>C</ns0:t>
        </ns0:is>
      </ns0:c>
      <ns0:c r="D1256" s="4" t="n">
        <ns0:v>1</ns0:v>
      </ns0:c>
      <ns0:c r="E1256" s="4" t="n">
        <ns0:v>500</ns0:v>
      </ns0:c>
      <ns0:c r="F1256" s="6" t="n">
        <ns0:v>0.3</ns0:v>
      </ns0:c>
      <ns0:c r="G1256" s="4" t="n">
        <ns0:v>0</ns0:v>
      </ns0:c>
      <ns0:c r="H1256" s="7" t="n">
        <ns0:v>6807.196316779428</ns0:v>
      </ns0:c>
      <ns0:c r="I1256" s="7" t="n">
        <ns0:v>4125.889222649561</ns0:v>
      </ns0:c>
      <ns0:c r="J1256" s="7" t="n">
        <ns0:v>1237.766766794868</ns0:v>
      </ns0:c>
      <ns0:c r="K1256" s="7" t="n">
        <ns0:v>16</ns0:v>
      </ns0:c>
      <ns0:c r="L1256" s="7" t="n">
        <ns0:v>36</ns0:v>
      </ns0:c>
      <ns0:c r="M1256" s="7" t="n">
        <ns0:v>-15746.16595893251</ns0:v>
      </ns0:c>
      <ns0:c r="N1256" s="7" t="n">
        <ns0:v>55993.87416911413</ns0:v>
      </ns0:c>
      <ns0:c r="O1256" s="7" t="n">
        <ns0:v>129663.7466993955</ns0:v>
      </ns0:c>
      <ns0:c r="P1256" s="7" t="n">
        <ns0:v>313838.4280250987</ns0:v>
      </ns0:c>
      <ns0:c r="Q1256" s="7" t="n">
        <ns0:v>1008537.153327912</ns0:v>
      </ns0:c>
      <ns0:c r="R1256" s="7" t="n">
        <ns0:v>3516982.691887758</ns0:v>
      </ns0:c>
    </ns0:row>
    <ns0:row r="1257" ht="24" customHeight="1">
      <ns0:c r="A1257" s="3" t="inlineStr">
        <ns0:is>
          <ns0:t>混在40/30/30</ns0:t>
        </ns0:is>
      </ns0:c>
      <ns0:c r="B1257" s="3" t="inlineStr">
        <ns0:is>
          <ns0:t>G0基本5000比較</ns0:t>
        </ns0:is>
      </ns0:c>
      <ns0:c r="C1257" s="3" t="inlineStr">
        <ns0:is>
          <ns0:t>C</ns0:t>
        </ns0:is>
      </ns0:c>
      <ns0:c r="D1257" s="4" t="n">
        <ns0:v>1</ns0:v>
      </ns0:c>
      <ns0:c r="E1257" s="4" t="n">
        <ns0:v>500</ns0:v>
      </ns0:c>
      <ns0:c r="F1257" s="6" t="n">
        <ns0:v>0.3</ns0:v>
      </ns0:c>
      <ns0:c r="G1257" s="4" t="n">
        <ns0:v>1</ns0:v>
      </ns0:c>
      <ns0:c r="H1257" s="7" t="n">
        <ns0:v>6807.196316779428</ns0:v>
      </ns0:c>
      <ns0:c r="I1257" s="7" t="n">
        <ns0:v>4125.889222649561</ns0:v>
      </ns0:c>
      <ns0:c r="J1257" s="7" t="n">
        <ns0:v>1237.766766794868</ns0:v>
      </ns0:c>
      <ns0:c r="K1257" s="7" t="n">
        <ns0:v>18</ns0:v>
      </ns0:c>
      <ns0:c r="L1257" s="7" t="n">
        <ns0:v>48</ns0:v>
      </ns0:c>
      <ns0:c r="M1257" s="7" t="n">
        <ns0:v>-18315.38402689678</ns0:v>
      </ns0:c>
      <ns0:c r="N1257" s="7" t="n">
        <ns0:v>48286.21996522132</ns0:v>
      </ns0:c>
      <ns0:c r="O1257" s="7" t="n">
        <ns0:v>116817.6563595741</ns0:v>
      </ns0:c>
      <ns0:c r="P1257" s="7" t="n">
        <ns0:v>288146.247345456</ns0:v>
      </ns0:c>
      <ns0:c r="Q1257" s="7" t="n">
        <ns0:v>931460.6112889836</ns0:v>
      </ns0:c>
      <ns0:c r="R1257" s="7" t="n">
        <ns0:v>3260060.885091331</ns0:v>
      </ns0:c>
    </ns0:row>
    <ns0:row r="1258" ht="24" customHeight="1">
      <ns0:c r="A1258" s="3" t="inlineStr">
        <ns0:is>
          <ns0:t>混在40/30/30</ns0:t>
        </ns0:is>
      </ns0:c>
      <ns0:c r="B1258" s="3" t="inlineStr">
        <ns0:is>
          <ns0:t>G0基本5000比較</ns0:t>
        </ns0:is>
      </ns0:c>
      <ns0:c r="C1258" s="3" t="inlineStr">
        <ns0:is>
          <ns0:t>C</ns0:t>
        </ns0:is>
      </ns0:c>
      <ns0:c r="D1258" s="4" t="n">
        <ns0:v>1</ns0:v>
      </ns0:c>
      <ns0:c r="E1258" s="4" t="n">
        <ns0:v>500</ns0:v>
      </ns0:c>
      <ns0:c r="F1258" s="6" t="n">
        <ns0:v>0.3</ns0:v>
      </ns0:c>
      <ns0:c r="G1258" s="4" t="n">
        <ns0:v>2</ns0:v>
      </ns0:c>
      <ns0:c r="H1258" s="7" t="n">
        <ns0:v>6807.196316779428</ns0:v>
      </ns0:c>
      <ns0:c r="I1258" s="7" t="n">
        <ns0:v>4125.889222649561</ns0:v>
      </ns0:c>
      <ns0:c r="J1258" s="7" t="n">
        <ns0:v>1237.766766794868</ns0:v>
      </ns0:c>
      <ns0:c r="K1258" s="7" t="n">
        <ns0:v>42</ns0:v>
      </ns0:c>
      <ns0:c r="L1258" s="18" t="inlineStr">
        <ns0:is>
          <ns0:t>範囲内なし</ns0:t>
        </ns0:is>
      </ns0:c>
      <ns0:c r="M1258" s="7" t="n">
        <ns0:v>-39547.22255823787</ns0:v>
      </ns0:c>
      <ns0:c r="N1258" s="7" t="n">
        <ns0:v>-15409.29562880196</ns0:v>
      </ns0:c>
      <ns0:c r="O1258" s="7" t="n">
        <ns0:v>10658.46370286864</ns0:v>
      </ns0:c>
      <ns0:c r="P1258" s="7" t="n">
        <ns0:v>75827.86203204509</ns0:v>
      </ns0:c>
      <ns0:c r="Q1258" s="7" t="n">
        <ns0:v>294505.4553487509</ns0:v>
      </ns0:c>
      <ns0:c r="R1258" s="7" t="n">
        <ns0:v>1136877.031957222</ns0:v>
      </ns0:c>
    </ns0:row>
    <ns0:row r="1259" ht="24" customHeight="1">
      <ns0:c r="A1259" s="3" t="inlineStr">
        <ns0:is>
          <ns0:t>混在40/30/30</ns0:t>
        </ns0:is>
      </ns0:c>
      <ns0:c r="B1259" s="3" t="inlineStr">
        <ns0:is>
          <ns0:t>G0基本5000比較</ns0:t>
        </ns0:is>
      </ns0:c>
      <ns0:c r="C1259" s="3" t="inlineStr">
        <ns0:is>
          <ns0:t>C</ns0:t>
        </ns0:is>
      </ns0:c>
      <ns0:c r="D1259" s="4" t="n">
        <ns0:v>1</ns0:v>
      </ns0:c>
      <ns0:c r="E1259" s="4" t="n">
        <ns0:v>500</ns0:v>
      </ns0:c>
      <ns0:c r="F1259" s="6" t="n">
        <ns0:v>0.3</ns0:v>
      </ns0:c>
      <ns0:c r="G1259" s="4" t="n">
        <ns0:v>3</ns0:v>
      </ns0:c>
      <ns0:c r="H1259" s="7" t="n">
        <ns0:v>6807.196316779428</ns0:v>
      </ns0:c>
      <ns0:c r="I1259" s="7" t="n">
        <ns0:v>4125.889222649561</ns0:v>
      </ns0:c>
      <ns0:c r="J1259" s="7" t="n">
        <ns0:v>1237.766766794868</ns0:v>
      </ns0:c>
      <ns0:c r="K1259" s="7" t="n">
        <ns0:v>20</ns0:v>
      </ns0:c>
      <ns0:c r="L1259" s="7" t="n">
        <ns0:v>364</ns0:v>
      </ns0:c>
      <ns0:c r="M1259" s="7" t="n">
        <ns0:v>-23956.13145515059</ns0:v>
      </ns0:c>
      <ns0:c r="N1259" s="7" t="n">
        <ns0:v>31363.97768045991</ns0:v>
      </ns0:c>
      <ns0:c r="O1259" s="7" t="n">
        <ns0:v>88613.91921830511</ns0:v>
      </ns0:c>
      <ns0:c r="P1259" s="7" t="n">
        <ns0:v>231738.773062918</ns0:v>
      </ns0:c>
      <ns0:c r="Q1259" s="7" t="n">
        <ns0:v>762238.1884413696</ns0:v>
      </ns0:c>
      <ns0:c r="R1259" s="7" t="n">
        <ns0:v>2695986.142265951</ns0:v>
      </ns0:c>
    </ns0:row>
    <ns0:row r="1260" ht="24" customHeight="1">
      <ns0:c r="A1260" s="3" t="inlineStr">
        <ns0:is>
          <ns0:t>混在40/30/30</ns0:t>
        </ns0:is>
      </ns0:c>
      <ns0:c r="B1260" s="3" t="inlineStr">
        <ns0:is>
          <ns0:t>G0基本5000比較</ns0:t>
        </ns0:is>
      </ns0:c>
      <ns0:c r="C1260" s="3" t="inlineStr">
        <ns0:is>
          <ns0:t>C</ns0:t>
        </ns0:is>
      </ns0:c>
      <ns0:c r="D1260" s="4" t="n">
        <ns0:v>1</ns0:v>
      </ns0:c>
      <ns0:c r="E1260" s="4" t="n">
        <ns0:v>500</ns0:v>
      </ns0:c>
      <ns0:c r="F1260" s="6" t="n">
        <ns0:v>0.4</ns0:v>
      </ns0:c>
      <ns0:c r="G1260" s="4" t="n">
        <ns0:v>0</ns0:v>
      </ns0:c>
      <ns0:c r="H1260" s="7" t="n">
        <ns0:v>6807.196316779428</ns0:v>
      </ns0:c>
      <ns0:c r="I1260" s="7" t="n">
        <ns0:v>4125.889222649561</ns0:v>
      </ns0:c>
      <ns0:c r="J1260" s="7" t="n">
        <ns0:v>1650.355689059824</ns0:v>
      </ns0:c>
      <ns0:c r="K1260" s="7" t="n">
        <ns0:v>19</ns0:v>
      </ns0:c>
      <ns0:c r="L1260" s="7" t="n">
        <ns0:v>39</ns0:v>
      </ns0:c>
      <ns0:c r="M1260" s="7" t="n">
        <ns0:v>-19872.05518158207</ns0:v>
      </ns0:c>
      <ns0:c r="N1260" s="7" t="n">
        <ns0:v>43616.20650116545</ns0:v>
      </ns0:c>
      <ns0:c r="O1260" s="7" t="n">
        <ns0:v>109034.3005861476</ns0:v>
      </ns0:c>
      <ns0:c r="P1260" s="7" t="n">
        <ns0:v>272579.5357986031</ns0:v>
      </ns0:c>
      <ns0:c r="Q1260" s="7" t="n">
        <ns0:v>884760.476648425</ns0:v>
      </ns0:c>
      <ns0:c r="R1260" s="7" t="n">
        <ns0:v>3104393.769622802</ns0:v>
      </ns0:c>
    </ns0:row>
    <ns0:row r="1261" ht="24" customHeight="1">
      <ns0:c r="A1261" s="3" t="inlineStr">
        <ns0:is>
          <ns0:t>混在40/30/30</ns0:t>
        </ns0:is>
      </ns0:c>
      <ns0:c r="B1261" s="3" t="inlineStr">
        <ns0:is>
          <ns0:t>G0基本5000比較</ns0:t>
        </ns0:is>
      </ns0:c>
      <ns0:c r="C1261" s="3" t="inlineStr">
        <ns0:is>
          <ns0:t>C</ns0:t>
        </ns0:is>
      </ns0:c>
      <ns0:c r="D1261" s="4" t="n">
        <ns0:v>1</ns0:v>
      </ns0:c>
      <ns0:c r="E1261" s="4" t="n">
        <ns0:v>500</ns0:v>
      </ns0:c>
      <ns0:c r="F1261" s="6" t="n">
        <ns0:v>0.4</ns0:v>
      </ns0:c>
      <ns0:c r="G1261" s="4" t="n">
        <ns0:v>1</ns0:v>
      </ns0:c>
      <ns0:c r="H1261" s="7" t="n">
        <ns0:v>6807.196316779428</ns0:v>
      </ns0:c>
      <ns0:c r="I1261" s="7" t="n">
        <ns0:v>4125.889222649561</ns0:v>
      </ns0:c>
      <ns0:c r="J1261" s="7" t="n">
        <ns0:v>1650.355689059824</ns0:v>
      </ns0:c>
      <ns0:c r="K1261" s="7" t="n">
        <ns0:v>20</ns0:v>
      </ns0:c>
      <ns0:c r="L1261" s="7" t="n">
        <ns0:v>54</ns0:v>
      </ns0:c>
      <ns0:c r="M1261" s="7" t="n">
        <ns0:v>-22441.27324954635</ns0:v>
      </ns0:c>
      <ns0:c r="N1261" s="7" t="n">
        <ns0:v>35908.55229727263</ns0:v>
      </ns0:c>
      <ns0:c r="O1261" s="7" t="n">
        <ns0:v>96188.21024632629</ns0:v>
      </ns0:c>
      <ns0:c r="P1261" s="7" t="n">
        <ns0:v>246887.3551189604</ns0:v>
      </ns0:c>
      <ns0:c r="Q1261" s="7" t="n">
        <ns0:v>807683.9346094968</ns0:v>
      </ns0:c>
      <ns0:c r="R1261" s="7" t="n">
        <ns0:v>2847471.962826375</ns0:v>
      </ns0:c>
    </ns0:row>
    <ns0:row r="1262" ht="24" customHeight="1">
      <ns0:c r="A1262" s="3" t="inlineStr">
        <ns0:is>
          <ns0:t>混在40/30/30</ns0:t>
        </ns0:is>
      </ns0:c>
      <ns0:c r="B1262" s="3" t="inlineStr">
        <ns0:is>
          <ns0:t>G0基本5000比較</ns0:t>
        </ns0:is>
      </ns0:c>
      <ns0:c r="C1262" s="3" t="inlineStr">
        <ns0:is>
          <ns0:t>C</ns0:t>
        </ns0:is>
      </ns0:c>
      <ns0:c r="D1262" s="4" t="n">
        <ns0:v>1</ns0:v>
      </ns0:c>
      <ns0:c r="E1262" s="4" t="n">
        <ns0:v>500</ns0:v>
      </ns0:c>
      <ns0:c r="F1262" s="6" t="n">
        <ns0:v>0.4</ns0:v>
      </ns0:c>
      <ns0:c r="G1262" s="4" t="n">
        <ns0:v>2</ns0:v>
      </ns0:c>
      <ns0:c r="H1262" s="7" t="n">
        <ns0:v>6807.196316779428</ns0:v>
      </ns0:c>
      <ns0:c r="I1262" s="7" t="n">
        <ns0:v>4125.889222649561</ns0:v>
      </ns0:c>
      <ns0:c r="J1262" s="7" t="n">
        <ns0:v>1650.355689059824</ns0:v>
      </ns0:c>
      <ns0:c r="K1262" s="7" t="n">
        <ns0:v>62</ns0:v>
      </ns0:c>
      <ns0:c r="L1262" s="18" t="inlineStr">
        <ns0:is>
          <ns0:t>範囲内なし</ns0:t>
        </ns0:is>
      </ns0:c>
      <ns0:c r="M1262" s="7" t="n">
        <ns0:v>-43673.11178088744</ns0:v>
      </ns0:c>
      <ns0:c r="N1262" s="7" t="n">
        <ns0:v>-27786.96329675063</ns0:v>
      </ns0:c>
      <ns0:c r="O1262" s="7" t="n">
        <ns0:v>-9970.982410379162</ns0:v>
      </ns0:c>
      <ns0:c r="P1262" s="7" t="n">
        <ns0:v>34568.96980554948</ns0:v>
      </ns0:c>
      <ns0:c r="Q1262" s="7" t="n">
        <ns0:v>170728.7786692642</ns0:v>
      </ns0:c>
      <ns0:c r="R1262" s="7" t="n">
        <ns0:v>724288.1096922662</ns0:v>
      </ns0:c>
    </ns0:row>
    <ns0:row r="1263" ht="24" customHeight="1">
      <ns0:c r="A1263" s="3" t="inlineStr">
        <ns0:is>
          <ns0:t>混在40/30/30</ns0:t>
        </ns0:is>
      </ns0:c>
      <ns0:c r="B1263" s="3" t="inlineStr">
        <ns0:is>
          <ns0:t>G0基本5000比較</ns0:t>
        </ns0:is>
      </ns0:c>
      <ns0:c r="C1263" s="3" t="inlineStr">
        <ns0:is>
          <ns0:t>C</ns0:t>
        </ns0:is>
      </ns0:c>
      <ns0:c r="D1263" s="4" t="n">
        <ns0:v>1</ns0:v>
      </ns0:c>
      <ns0:c r="E1263" s="4" t="n">
        <ns0:v>500</ns0:v>
      </ns0:c>
      <ns0:c r="F1263" s="6" t="n">
        <ns0:v>0.4</ns0:v>
      </ns0:c>
      <ns0:c r="G1263" s="4" t="n">
        <ns0:v>3</ns0:v>
      </ns0:c>
      <ns0:c r="H1263" s="7" t="n">
        <ns0:v>6807.196316779428</ns0:v>
      </ns0:c>
      <ns0:c r="I1263" s="7" t="n">
        <ns0:v>4125.889222649561</ns0:v>
      </ns0:c>
      <ns0:c r="J1263" s="7" t="n">
        <ns0:v>1650.355689059824</ns0:v>
      </ns0:c>
      <ns0:c r="K1263" s="7" t="n">
        <ns0:v>23</ns0:v>
      </ns0:c>
      <ns0:c r="L1263" s="18" t="inlineStr">
        <ns0:is>
          <ns0:t>範囲内なし</ns0:t>
        </ns0:is>
      </ns0:c>
      <ns0:c r="M1263" s="7" t="n">
        <ns0:v>-28082.02067780014</ns0:v>
      </ns0:c>
      <ns0:c r="N1263" s="7" t="n">
        <ns0:v>18986.31001251124</ns0:v>
      </ns0:c>
      <ns0:c r="O1263" s="7" t="n">
        <ns0:v>67984.47310505729</ns0:v>
      </ns0:c>
      <ns0:c r="P1263" s="7" t="n">
        <ns0:v>190479.8808364224</ns0:v>
      </ns0:c>
      <ns0:c r="Q1263" s="7" t="n">
        <ns0:v>638461.5117618828</ns0:v>
      </ns0:c>
      <ns0:c r="R1263" s="7" t="n">
        <ns0:v>2283397.220000995</ns0:v>
      </ns0:c>
    </ns0:row>
    <ns0:row r="1264" ht="24" customHeight="1">
      <ns0:c r="A1264" s="3" t="inlineStr">
        <ns0:is>
          <ns0:t>混在40/30/30</ns0:t>
        </ns0:is>
      </ns0:c>
      <ns0:c r="B1264" s="3" t="inlineStr">
        <ns0:is>
          <ns0:t>G0基本5000比較</ns0:t>
        </ns0:is>
      </ns0:c>
      <ns0:c r="C1264" s="3" t="inlineStr">
        <ns0:is>
          <ns0:t>C</ns0:t>
        </ns0:is>
      </ns0:c>
      <ns0:c r="D1264" s="4" t="n">
        <ns0:v>1</ns0:v>
      </ns0:c>
      <ns0:c r="E1264" s="4" t="n">
        <ns0:v>500</ns0:v>
      </ns0:c>
      <ns0:c r="F1264" s="6" t="n">
        <ns0:v>0.5</ns0:v>
      </ns0:c>
      <ns0:c r="G1264" s="4" t="n">
        <ns0:v>0</ns0:v>
      </ns0:c>
      <ns0:c r="H1264" s="7" t="n">
        <ns0:v>6807.196316779428</ns0:v>
      </ns0:c>
      <ns0:c r="I1264" s="7" t="n">
        <ns0:v>4125.889222649561</ns0:v>
      </ns0:c>
      <ns0:c r="J1264" s="7" t="n">
        <ns0:v>2062.94461132478</ns0:v>
      </ns0:c>
      <ns0:c r="K1264" s="7" t="n">
        <ns0:v>20</ns0:v>
      </ns0:c>
      <ns0:c r="L1264" s="7" t="n">
        <ns0:v>42</ns0:v>
      </ns0:c>
      <ns0:c r="M1264" s="7" t="n">
        <ns0:v>-23997.94440423164</ns0:v>
      </ns0:c>
      <ns0:c r="N1264" s="7" t="n">
        <ns0:v>31238.53883321677</ns0:v>
      </ns0:c>
      <ns0:c r="O1264" s="7" t="n">
        <ns0:v>88404.85447289984</ns0:v>
      </ns0:c>
      <ns0:c r="P1264" s="7" t="n">
        <ns0:v>231320.6435721075</ns0:v>
      </ns0:c>
      <ns0:c r="Q1264" s="7" t="n">
        <ns0:v>760983.7999689381</ns0:v>
      </ns0:c>
      <ns0:c r="R1264" s="7" t="n">
        <ns0:v>2691804.847357846</ns0:v>
      </ns0:c>
    </ns0:row>
    <ns0:row r="1265" ht="24" customHeight="1">
      <ns0:c r="A1265" s="3" t="inlineStr">
        <ns0:is>
          <ns0:t>混在40/30/30</ns0:t>
        </ns0:is>
      </ns0:c>
      <ns0:c r="B1265" s="3" t="inlineStr">
        <ns0:is>
          <ns0:t>G0基本5000比較</ns0:t>
        </ns0:is>
      </ns0:c>
      <ns0:c r="C1265" s="3" t="inlineStr">
        <ns0:is>
          <ns0:t>C</ns0:t>
        </ns0:is>
      </ns0:c>
      <ns0:c r="D1265" s="4" t="n">
        <ns0:v>1</ns0:v>
      </ns0:c>
      <ns0:c r="E1265" s="4" t="n">
        <ns0:v>500</ns0:v>
      </ns0:c>
      <ns0:c r="F1265" s="6" t="n">
        <ns0:v>0.5</ns0:v>
      </ns0:c>
      <ns0:c r="G1265" s="4" t="n">
        <ns0:v>1</ns0:v>
      </ns0:c>
      <ns0:c r="H1265" s="7" t="n">
        <ns0:v>6807.196316779428</ns0:v>
      </ns0:c>
      <ns0:c r="I1265" s="7" t="n">
        <ns0:v>4125.889222649561</ns0:v>
      </ns0:c>
      <ns0:c r="J1265" s="7" t="n">
        <ns0:v>2062.94461132478</ns0:v>
      </ns0:c>
      <ns0:c r="K1265" s="7" t="n">
        <ns0:v>22</ns0:v>
      </ns0:c>
      <ns0:c r="L1265" s="7" t="n">
        <ns0:v>61</ns0:v>
      </ns0:c>
      <ns0:c r="M1265" s="7" t="n">
        <ns0:v>-26567.16247219591</ns0:v>
      </ns0:c>
      <ns0:c r="N1265" s="7" t="n">
        <ns0:v>23530.88462932395</ns0:v>
      </ns0:c>
      <ns0:c r="O1265" s="7" t="n">
        <ns0:v>75558.76413307848</ns0:v>
      </ns0:c>
      <ns0:c r="P1265" s="7" t="n">
        <ns0:v>205628.4628924648</ns0:v>
      </ns0:c>
      <ns0:c r="Q1265" s="7" t="n">
        <ns0:v>683907.2579300101</ns0:v>
      </ns0:c>
      <ns0:c r="R1265" s="7" t="n">
        <ns0:v>2434883.040561419</ns0:v>
      </ns0:c>
    </ns0:row>
    <ns0:row r="1266" ht="24" customHeight="1">
      <ns0:c r="A1266" s="3" t="inlineStr">
        <ns0:is>
          <ns0:t>混在40/30/30</ns0:t>
        </ns0:is>
      </ns0:c>
      <ns0:c r="B1266" s="3" t="inlineStr">
        <ns0:is>
          <ns0:t>G0基本5000比較</ns0:t>
        </ns0:is>
      </ns0:c>
      <ns0:c r="C1266" s="3" t="inlineStr">
        <ns0:is>
          <ns0:t>C</ns0:t>
        </ns0:is>
      </ns0:c>
      <ns0:c r="D1266" s="4" t="n">
        <ns0:v>1</ns0:v>
      </ns0:c>
      <ns0:c r="E1266" s="4" t="n">
        <ns0:v>500</ns0:v>
      </ns0:c>
      <ns0:c r="F1266" s="6" t="n">
        <ns0:v>0.5</ns0:v>
      </ns0:c>
      <ns0:c r="G1266" s="4" t="n">
        <ns0:v>2</ns0:v>
      </ns0:c>
      <ns0:c r="H1266" s="7" t="n">
        <ns0:v>6807.196316779428</ns0:v>
      </ns0:c>
      <ns0:c r="I1266" s="7" t="n">
        <ns0:v>4125.889222649561</ns0:v>
      </ns0:c>
      <ns0:c r="J1266" s="7" t="n">
        <ns0:v>2062.94461132478</ns0:v>
      </ns0:c>
      <ns0:c r="K1266" s="7" t="n">
        <ns0:v>202</ns0:v>
      </ns0:c>
      <ns0:c r="L1266" s="18" t="inlineStr">
        <ns0:is>
          <ns0:t>範囲内なし</ns0:t>
        </ns0:is>
      </ns0:c>
      <ns0:c r="M1266" s="7" t="n">
        <ns0:v>-47799.001003537</ns0:v>
      </ns0:c>
      <ns0:c r="N1266" s="7" t="n">
        <ns0:v>-40164.63096469932</ns0:v>
      </ns0:c>
      <ns0:c r="O1266" s="7" t="n">
        <ns0:v>-30600.42852362696</ns0:v>
      </ns0:c>
      <ns0:c r="P1266" s="7" t="n">
        <ns0:v>-6689.922420946124</ns0:v>
      </ns0:c>
      <ns0:c r="Q1266" s="7" t="n">
        <ns0:v>46952.10198977735</ns0:v>
      </ns0:c>
      <ns0:c r="R1266" s="7" t="n">
        <ns0:v>311699.1874273098</ns0:v>
      </ns0:c>
    </ns0:row>
    <ns0:row r="1267" ht="24" customHeight="1">
      <ns0:c r="A1267" s="3" t="inlineStr">
        <ns0:is>
          <ns0:t>混在40/30/30</ns0:t>
        </ns0:is>
      </ns0:c>
      <ns0:c r="B1267" s="3" t="inlineStr">
        <ns0:is>
          <ns0:t>G0基本5000比較</ns0:t>
        </ns0:is>
      </ns0:c>
      <ns0:c r="C1267" s="3" t="inlineStr">
        <ns0:is>
          <ns0:t>C</ns0:t>
        </ns0:is>
      </ns0:c>
      <ns0:c r="D1267" s="4" t="n">
        <ns0:v>1</ns0:v>
      </ns0:c>
      <ns0:c r="E1267" s="4" t="n">
        <ns0:v>500</ns0:v>
      </ns0:c>
      <ns0:c r="F1267" s="6" t="n">
        <ns0:v>0.5</ns0:v>
      </ns0:c>
      <ns0:c r="G1267" s="4" t="n">
        <ns0:v>3</ns0:v>
      </ns0:c>
      <ns0:c r="H1267" s="7" t="n">
        <ns0:v>6807.196316779428</ns0:v>
      </ns0:c>
      <ns0:c r="I1267" s="7" t="n">
        <ns0:v>4125.889222649561</ns0:v>
      </ns0:c>
      <ns0:c r="J1267" s="7" t="n">
        <ns0:v>2062.94461132478</ns0:v>
      </ns0:c>
      <ns0:c r="K1267" s="7" t="n">
        <ns0:v>27</ns0:v>
      </ns0:c>
      <ns0:c r="L1267" s="18" t="inlineStr">
        <ns0:is>
          <ns0:t>範囲内なし</ns0:t>
        </ns0:is>
      </ns0:c>
      <ns0:c r="M1267" s="7" t="n">
        <ns0:v>-32207.90990044971</ns0:v>
      </ns0:c>
      <ns0:c r="N1267" s="7" t="n">
        <ns0:v>6608.642344562548</ns0:v>
      </ns0:c>
      <ns0:c r="O1267" s="7" t="n">
        <ns0:v>47355.02699180949</ns0:v>
      </ns0:c>
      <ns0:c r="P1267" s="7" t="n">
        <ns0:v>149220.9886099268</ns0:v>
      </ns0:c>
      <ns0:c r="Q1267" s="7" t="n">
        <ns0:v>514684.835082396</ns0:v>
      </ns0:c>
      <ns0:c r="R1267" s="7" t="n">
        <ns0:v>1870808.297736038</ns0:v>
      </ns0:c>
    </ns0:row>
    <ns0:row r="1268" ht="24" customHeight="1">
      <ns0:c r="A1268" s="3" t="inlineStr">
        <ns0:is>
          <ns0:t>混在40/30/30</ns0:t>
        </ns0:is>
      </ns0:c>
      <ns0:c r="B1268" s="3" t="inlineStr">
        <ns0:is>
          <ns0:t>G0基本5000比較</ns0:t>
        </ns0:is>
      </ns0:c>
      <ns0:c r="C1268" s="3" t="inlineStr">
        <ns0:is>
          <ns0:t>C</ns0:t>
        </ns0:is>
      </ns0:c>
      <ns0:c r="D1268" s="4" t="n">
        <ns0:v>1</ns0:v>
      </ns0:c>
      <ns0:c r="E1268" s="4" t="n">
        <ns0:v>1000</ns0:v>
      </ns0:c>
      <ns0:c r="F1268" s="6" t="n">
        <ns0:v>0.3</ns0:v>
      </ns0:c>
      <ns0:c r="G1268" s="4" t="n">
        <ns0:v>0</ns0:v>
      </ns0:c>
      <ns0:c r="H1268" s="7" t="n">
        <ns0:v>6657.196316779428</ns0:v>
      </ns0:c>
      <ns0:c r="I1268" s="7" t="n">
        <ns0:v>3975.88922264956</ns0:v>
      </ns0:c>
      <ns0:c r="J1268" s="7" t="n">
        <ns0:v>1192.766766794868</ns0:v>
      </ns0:c>
      <ns0:c r="K1268" s="7" t="n">
        <ns0:v>16</ns0:v>
      </ns0:c>
      <ns0:c r="L1268" s="7" t="n">
        <ns0:v>37</ns0:v>
      </ns0:c>
      <ns0:c r="M1268" s="7" t="n">
        <ns0:v>-16742.16595893252</ns0:v>
      </ns0:c>
      <ns0:c r="N1268" s="7" t="n">
        <ns0:v>53005.87416911415</ns0:v>
      </ns0:c>
      <ns0:c r="O1268" s="7" t="n">
        <ns0:v>124683.7466993955</ns0:v>
      </ns0:c>
      <ns0:c r="P1268" s="7" t="n">
        <ns0:v>303878.4280250988</ns0:v>
      </ns0:c>
      <ns0:c r="Q1268" s="7" t="n">
        <ns0:v>978657.1533279116</ns0:v>
      </ns0:c>
      <ns0:c r="R1268" s="7" t="n">
        <ns0:v>3417382.691887757</ns0:v>
      </ns0:c>
    </ns0:row>
    <ns0:row r="1269" ht="24" customHeight="1">
      <ns0:c r="A1269" s="3" t="inlineStr">
        <ns0:is>
          <ns0:t>混在40/30/30</ns0:t>
        </ns0:is>
      </ns0:c>
      <ns0:c r="B1269" s="3" t="inlineStr">
        <ns0:is>
          <ns0:t>G0基本5000比較</ns0:t>
        </ns0:is>
      </ns0:c>
      <ns0:c r="C1269" s="3" t="inlineStr">
        <ns0:is>
          <ns0:t>C</ns0:t>
        </ns0:is>
      </ns0:c>
      <ns0:c r="D1269" s="4" t="n">
        <ns0:v>1</ns0:v>
      </ns0:c>
      <ns0:c r="E1269" s="4" t="n">
        <ns0:v>1000</ns0:v>
      </ns0:c>
      <ns0:c r="F1269" s="6" t="n">
        <ns0:v>0.3</ns0:v>
      </ns0:c>
      <ns0:c r="G1269" s="4" t="n">
        <ns0:v>1</ns0:v>
      </ns0:c>
      <ns0:c r="H1269" s="7" t="n">
        <ns0:v>6657.196316779428</ns0:v>
      </ns0:c>
      <ns0:c r="I1269" s="7" t="n">
        <ns0:v>3975.88922264956</ns0:v>
      </ns0:c>
      <ns0:c r="J1269" s="7" t="n">
        <ns0:v>1192.766766794868</ns0:v>
      </ns0:c>
      <ns0:c r="K1269" s="7" t="n">
        <ns0:v>18</ns0:v>
      </ns0:c>
      <ns0:c r="L1269" s="7" t="n">
        <ns0:v>50</ns0:v>
      </ns0:c>
      <ns0:c r="M1269" s="7" t="n">
        <ns0:v>-19311.38402689679</ns0:v>
      </ns0:c>
      <ns0:c r="N1269" s="7" t="n">
        <ns0:v>45298.21996522133</ns0:v>
      </ns0:c>
      <ns0:c r="O1269" s="7" t="n">
        <ns0:v>111837.6563595741</ns0:v>
      </ns0:c>
      <ns0:c r="P1269" s="7" t="n">
        <ns0:v>278186.247345456</ns0:v>
      </ns0:c>
      <ns0:c r="Q1269" s="7" t="n">
        <ns0:v>901580.6112889835</ns0:v>
      </ns0:c>
      <ns0:c r="R1269" s="7" t="n">
        <ns0:v>3160460.88509133</ns0:v>
      </ns0:c>
    </ns0:row>
    <ns0:row r="1270" ht="24" customHeight="1">
      <ns0:c r="A1270" s="3" t="inlineStr">
        <ns0:is>
          <ns0:t>混在40/30/30</ns0:t>
        </ns0:is>
      </ns0:c>
      <ns0:c r="B1270" s="3" t="inlineStr">
        <ns0:is>
          <ns0:t>G0基本5000比較</ns0:t>
        </ns0:is>
      </ns0:c>
      <ns0:c r="C1270" s="3" t="inlineStr">
        <ns0:is>
          <ns0:t>C</ns0:t>
        </ns0:is>
      </ns0:c>
      <ns0:c r="D1270" s="4" t="n">
        <ns0:v>1</ns0:v>
      </ns0:c>
      <ns0:c r="E1270" s="4" t="n">
        <ns0:v>1000</ns0:v>
      </ns0:c>
      <ns0:c r="F1270" s="6" t="n">
        <ns0:v>0.3</ns0:v>
      </ns0:c>
      <ns0:c r="G1270" s="4" t="n">
        <ns0:v>2</ns0:v>
      </ns0:c>
      <ns0:c r="H1270" s="7" t="n">
        <ns0:v>6657.196316779428</ns0:v>
      </ns0:c>
      <ns0:c r="I1270" s="7" t="n">
        <ns0:v>3975.88922264956</ns0:v>
      </ns0:c>
      <ns0:c r="J1270" s="7" t="n">
        <ns0:v>1192.766766794868</ns0:v>
      </ns0:c>
      <ns0:c r="K1270" s="7" t="n">
        <ns0:v>46</ns0:v>
      </ns0:c>
      <ns0:c r="L1270" s="18" t="inlineStr">
        <ns0:is>
          <ns0:t>範囲内なし</ns0:t>
        </ns0:is>
      </ns0:c>
      <ns0:c r="M1270" s="7" t="n">
        <ns0:v>-40543.22255823788</ns0:v>
      </ns0:c>
      <ns0:c r="N1270" s="7" t="n">
        <ns0:v>-18397.29562880193</ns0:v>
      </ns0:c>
      <ns0:c r="O1270" s="7" t="n">
        <ns0:v>5678.46370286867</ns0:v>
      </ns0:c>
      <ns0:c r="P1270" s="7" t="n">
        <ns0:v>65867.86203204512</ns0:v>
      </ns0:c>
      <ns0:c r="Q1270" s="7" t="n">
        <ns0:v>264625.4553487508</ns0:v>
      </ns0:c>
      <ns0:c r="R1270" s="7" t="n">
        <ns0:v>1037277.031957221</ns0:v>
      </ns0:c>
    </ns0:row>
    <ns0:row r="1271" ht="24" customHeight="1">
      <ns0:c r="A1271" s="3" t="inlineStr">
        <ns0:is>
          <ns0:t>混在40/30/30</ns0:t>
        </ns0:is>
      </ns0:c>
      <ns0:c r="B1271" s="3" t="inlineStr">
        <ns0:is>
          <ns0:t>G0基本5000比較</ns0:t>
        </ns0:is>
      </ns0:c>
      <ns0:c r="C1271" s="3" t="inlineStr">
        <ns0:is>
          <ns0:t>C</ns0:t>
        </ns0:is>
      </ns0:c>
      <ns0:c r="D1271" s="4" t="n">
        <ns0:v>1</ns0:v>
      </ns0:c>
      <ns0:c r="E1271" s="4" t="n">
        <ns0:v>1000</ns0:v>
      </ns0:c>
      <ns0:c r="F1271" s="6" t="n">
        <ns0:v>0.3</ns0:v>
      </ns0:c>
      <ns0:c r="G1271" s="4" t="n">
        <ns0:v>3</ns0:v>
      </ns0:c>
      <ns0:c r="H1271" s="7" t="n">
        <ns0:v>6657.196316779428</ns0:v>
      </ns0:c>
      <ns0:c r="I1271" s="7" t="n">
        <ns0:v>3975.88922264956</ns0:v>
      </ns0:c>
      <ns0:c r="J1271" s="7" t="n">
        <ns0:v>1192.766766794868</ns0:v>
      </ns0:c>
      <ns0:c r="K1271" s="7" t="n">
        <ns0:v>21</ns0:v>
      </ns0:c>
      <ns0:c r="L1271" s="7" t="n">
        <ns0:v>418</ns0:v>
      </ns0:c>
      <ns0:c r="M1271" s="7" t="n">
        <ns0:v>-24952.13145515059</ns0:v>
      </ns0:c>
      <ns0:c r="N1271" s="7" t="n">
        <ns0:v>28375.97768045994</ns0:v>
      </ns0:c>
      <ns0:c r="O1271" s="7" t="n">
        <ns0:v>83633.91921830511</ns0:v>
      </ns0:c>
      <ns0:c r="P1271" s="7" t="n">
        <ns0:v>221778.773062918</ns0:v>
      </ns0:c>
      <ns0:c r="Q1271" s="7" t="n">
        <ns0:v>732358.1884413694</ns0:v>
      </ns0:c>
      <ns0:c r="R1271" s="7" t="n">
        <ns0:v>2596386.14226595</ns0:v>
      </ns0:c>
    </ns0:row>
    <ns0:row r="1272" ht="24" customHeight="1">
      <ns0:c r="A1272" s="3" t="inlineStr">
        <ns0:is>
          <ns0:t>混在40/30/30</ns0:t>
        </ns0:is>
      </ns0:c>
      <ns0:c r="B1272" s="3" t="inlineStr">
        <ns0:is>
          <ns0:t>G0基本5000比較</ns0:t>
        </ns0:is>
      </ns0:c>
      <ns0:c r="C1272" s="3" t="inlineStr">
        <ns0:is>
          <ns0:t>C</ns0:t>
        </ns0:is>
      </ns0:c>
      <ns0:c r="D1272" s="4" t="n">
        <ns0:v>1</ns0:v>
      </ns0:c>
      <ns0:c r="E1272" s="4" t="n">
        <ns0:v>1000</ns0:v>
      </ns0:c>
      <ns0:c r="F1272" s="6" t="n">
        <ns0:v>0.4</ns0:v>
      </ns0:c>
      <ns0:c r="G1272" s="4" t="n">
        <ns0:v>0</ns0:v>
      </ns0:c>
      <ns0:c r="H1272" s="7" t="n">
        <ns0:v>6657.196316779428</ns0:v>
      </ns0:c>
      <ns0:c r="I1272" s="7" t="n">
        <ns0:v>3975.88922264956</ns0:v>
      </ns0:c>
      <ns0:c r="J1272" s="7" t="n">
        <ns0:v>1590.355689059824</ns0:v>
      </ns0:c>
      <ns0:c r="K1272" s="7" t="n">
        <ns0:v>19</ns0:v>
      </ns0:c>
      <ns0:c r="L1272" s="7" t="n">
        <ns0:v>40</ns0:v>
      </ns0:c>
      <ns0:c r="M1272" s="7" t="n">
        <ns0:v>-20718.05518158209</ns0:v>
      </ns0:c>
      <ns0:c r="N1272" s="7" t="n">
        <ns0:v>41078.20650116546</ns0:v>
      </ns0:c>
      <ns0:c r="O1272" s="7" t="n">
        <ns0:v>104804.3005861477</ns0:v>
      </ns0:c>
      <ns0:c r="P1272" s="7" t="n">
        <ns0:v>264119.5357986031</ns0:v>
      </ns0:c>
      <ns0:c r="Q1272" s="7" t="n">
        <ns0:v>859380.476648425</ns0:v>
      </ns0:c>
      <ns0:c r="R1272" s="7" t="n">
        <ns0:v>3019793.769622801</ns0:v>
      </ns0:c>
    </ns0:row>
    <ns0:row r="1273" ht="24" customHeight="1">
      <ns0:c r="A1273" s="3" t="inlineStr">
        <ns0:is>
          <ns0:t>混在40/30/30</ns0:t>
        </ns0:is>
      </ns0:c>
      <ns0:c r="B1273" s="3" t="inlineStr">
        <ns0:is>
          <ns0:t>G0基本5000比較</ns0:t>
        </ns0:is>
      </ns0:c>
      <ns0:c r="C1273" s="3" t="inlineStr">
        <ns0:is>
          <ns0:t>C</ns0:t>
        </ns0:is>
      </ns0:c>
      <ns0:c r="D1273" s="4" t="n">
        <ns0:v>1</ns0:v>
      </ns0:c>
      <ns0:c r="E1273" s="4" t="n">
        <ns0:v>1000</ns0:v>
      </ns0:c>
      <ns0:c r="F1273" s="6" t="n">
        <ns0:v>0.4</ns0:v>
      </ns0:c>
      <ns0:c r="G1273" s="4" t="n">
        <ns0:v>1</ns0:v>
      </ns0:c>
      <ns0:c r="H1273" s="7" t="n">
        <ns0:v>6657.196316779428</ns0:v>
      </ns0:c>
      <ns0:c r="I1273" s="7" t="n">
        <ns0:v>3975.88922264956</ns0:v>
      </ns0:c>
      <ns0:c r="J1273" s="7" t="n">
        <ns0:v>1590.355689059824</ns0:v>
      </ns0:c>
      <ns0:c r="K1273" s="7" t="n">
        <ns0:v>20</ns0:v>
      </ns0:c>
      <ns0:c r="L1273" s="7" t="n">
        <ns0:v>55</ns0:v>
      </ns0:c>
      <ns0:c r="M1273" s="7" t="n">
        <ns0:v>-23287.27324954636</ns0:v>
      </ns0:c>
      <ns0:c r="N1273" s="7" t="n">
        <ns0:v>33370.55229727265</ns0:v>
      </ns0:c>
      <ns0:c r="O1273" s="7" t="n">
        <ns0:v>91958.2102463263</ns0:v>
      </ns0:c>
      <ns0:c r="P1273" s="7" t="n">
        <ns0:v>238427.3551189604</ns0:v>
      </ns0:c>
      <ns0:c r="Q1273" s="7" t="n">
        <ns0:v>782303.9346094967</ns0:v>
      </ns0:c>
      <ns0:c r="R1273" s="7" t="n">
        <ns0:v>2762871.962826374</ns0:v>
      </ns0:c>
    </ns0:row>
    <ns0:row r="1274" ht="24" customHeight="1">
      <ns0:c r="A1274" s="3" t="inlineStr">
        <ns0:is>
          <ns0:t>混在40/30/30</ns0:t>
        </ns0:is>
      </ns0:c>
      <ns0:c r="B1274" s="3" t="inlineStr">
        <ns0:is>
          <ns0:t>G0基本5000比較</ns0:t>
        </ns0:is>
      </ns0:c>
      <ns0:c r="C1274" s="3" t="inlineStr">
        <ns0:is>
          <ns0:t>C</ns0:t>
        </ns0:is>
      </ns0:c>
      <ns0:c r="D1274" s="4" t="n">
        <ns0:v>1</ns0:v>
      </ns0:c>
      <ns0:c r="E1274" s="4" t="n">
        <ns0:v>1000</ns0:v>
      </ns0:c>
      <ns0:c r="F1274" s="6" t="n">
        <ns0:v>0.4</ns0:v>
      </ns0:c>
      <ns0:c r="G1274" s="4" t="n">
        <ns0:v>2</ns0:v>
      </ns0:c>
      <ns0:c r="H1274" s="7" t="n">
        <ns0:v>6657.196316779428</ns0:v>
      </ns0:c>
      <ns0:c r="I1274" s="7" t="n">
        <ns0:v>3975.88922264956</ns0:v>
      </ns0:c>
      <ns0:c r="J1274" s="7" t="n">
        <ns0:v>1590.355689059824</ns0:v>
      </ns0:c>
      <ns0:c r="K1274" s="7" t="n">
        <ns0:v>68</ns0:v>
      </ns0:c>
      <ns0:c r="L1274" s="18" t="inlineStr">
        <ns0:is>
          <ns0:t>範囲内なし</ns0:t>
        </ns0:is>
      </ns0:c>
      <ns0:c r="M1274" s="7" t="n">
        <ns0:v>-44519.11178088745</ns0:v>
      </ns0:c>
      <ns0:c r="N1274" s="7" t="n">
        <ns0:v>-30324.96329675063</ns0:v>
      </ns0:c>
      <ns0:c r="O1274" s="7" t="n">
        <ns0:v>-14200.98241037916</ns0:v>
      </ns0:c>
      <ns0:c r="P1274" s="7" t="n">
        <ns0:v>26108.96980554948</ns0:v>
      </ns0:c>
      <ns0:c r="Q1274" s="7" t="n">
        <ns0:v>145348.7786692641</ns0:v>
      </ns0:c>
      <ns0:c r="R1274" s="7" t="n">
        <ns0:v>639688.1096922653</ns0:v>
      </ns0:c>
    </ns0:row>
    <ns0:row r="1275" ht="24" customHeight="1">
      <ns0:c r="A1275" s="3" t="inlineStr">
        <ns0:is>
          <ns0:t>混在40/30/30</ns0:t>
        </ns0:is>
      </ns0:c>
      <ns0:c r="B1275" s="3" t="inlineStr">
        <ns0:is>
          <ns0:t>G0基本5000比較</ns0:t>
        </ns0:is>
      </ns0:c>
      <ns0:c r="C1275" s="3" t="inlineStr">
        <ns0:is>
          <ns0:t>C</ns0:t>
        </ns0:is>
      </ns0:c>
      <ns0:c r="D1275" s="4" t="n">
        <ns0:v>1</ns0:v>
      </ns0:c>
      <ns0:c r="E1275" s="4" t="n">
        <ns0:v>1000</ns0:v>
      </ns0:c>
      <ns0:c r="F1275" s="6" t="n">
        <ns0:v>0.4</ns0:v>
      </ns0:c>
      <ns0:c r="G1275" s="4" t="n">
        <ns0:v>3</ns0:v>
      </ns0:c>
      <ns0:c r="H1275" s="7" t="n">
        <ns0:v>6657.196316779428</ns0:v>
      </ns0:c>
      <ns0:c r="I1275" s="7" t="n">
        <ns0:v>3975.88922264956</ns0:v>
      </ns0:c>
      <ns0:c r="J1275" s="7" t="n">
        <ns0:v>1590.355689059824</ns0:v>
      </ns0:c>
      <ns0:c r="K1275" s="7" t="n">
        <ns0:v>24</ns0:v>
      </ns0:c>
      <ns0:c r="L1275" s="18" t="inlineStr">
        <ns0:is>
          <ns0:t>範囲内なし</ns0:t>
        </ns0:is>
      </ns0:c>
      <ns0:c r="M1275" s="7" t="n">
        <ns0:v>-28928.02067780016</ns0:v>
      </ns0:c>
      <ns0:c r="N1275" s="7" t="n">
        <ns0:v>16448.31001251125</ns0:v>
      </ns0:c>
      <ns0:c r="O1275" s="7" t="n">
        <ns0:v>63754.4731050573</ns0:v>
      </ns0:c>
      <ns0:c r="P1275" s="7" t="n">
        <ns0:v>182019.8808364224</ns0:v>
      </ns0:c>
      <ns0:c r="Q1275" s="7" t="n">
        <ns0:v>613081.5117618828</ns0:v>
      </ns0:c>
      <ns0:c r="R1275" s="7" t="n">
        <ns0:v>2198797.220000994</ns0:v>
      </ns0:c>
    </ns0:row>
    <ns0:row r="1276" ht="24" customHeight="1">
      <ns0:c r="A1276" s="3" t="inlineStr">
        <ns0:is>
          <ns0:t>混在40/30/30</ns0:t>
        </ns0:is>
      </ns0:c>
      <ns0:c r="B1276" s="3" t="inlineStr">
        <ns0:is>
          <ns0:t>G0基本5000比較</ns0:t>
        </ns0:is>
      </ns0:c>
      <ns0:c r="C1276" s="3" t="inlineStr">
        <ns0:is>
          <ns0:t>C</ns0:t>
        </ns0:is>
      </ns0:c>
      <ns0:c r="D1276" s="4" t="n">
        <ns0:v>1</ns0:v>
      </ns0:c>
      <ns0:c r="E1276" s="4" t="n">
        <ns0:v>1000</ns0:v>
      </ns0:c>
      <ns0:c r="F1276" s="6" t="n">
        <ns0:v>0.5</ns0:v>
      </ns0:c>
      <ns0:c r="G1276" s="4" t="n">
        <ns0:v>0</ns0:v>
      </ns0:c>
      <ns0:c r="H1276" s="7" t="n">
        <ns0:v>6657.196316779428</ns0:v>
      </ns0:c>
      <ns0:c r="I1276" s="7" t="n">
        <ns0:v>3975.88922264956</ns0:v>
      </ns0:c>
      <ns0:c r="J1276" s="7" t="n">
        <ns0:v>1987.94461132478</ns0:v>
      </ns0:c>
      <ns0:c r="K1276" s="7" t="n">
        <ns0:v>21</ns0:v>
      </ns0:c>
      <ns0:c r="L1276" s="7" t="n">
        <ns0:v>43</ns0:v>
      </ns0:c>
      <ns0:c r="M1276" s="7" t="n">
        <ns0:v>-24693.94440423164</ns0:v>
      </ns0:c>
      <ns0:c r="N1276" s="7" t="n">
        <ns0:v>29150.53883321679</ns0:v>
      </ns0:c>
      <ns0:c r="O1276" s="7" t="n">
        <ns0:v>84924.85447289984</ns0:v>
      </ns0:c>
      <ns0:c r="P1276" s="7" t="n">
        <ns0:v>224360.6435721075</ns0:v>
      </ns0:c>
      <ns0:c r="Q1276" s="7" t="n">
        <ns0:v>740103.7999689381</ns0:v>
      </ns0:c>
      <ns0:c r="R1276" s="7" t="n">
        <ns0:v>2622204.847357845</ns0:v>
      </ns0:c>
    </ns0:row>
    <ns0:row r="1277" ht="24" customHeight="1">
      <ns0:c r="A1277" s="3" t="inlineStr">
        <ns0:is>
          <ns0:t>混在40/30/30</ns0:t>
        </ns0:is>
      </ns0:c>
      <ns0:c r="B1277" s="3" t="inlineStr">
        <ns0:is>
          <ns0:t>G0基本5000比較</ns0:t>
        </ns0:is>
      </ns0:c>
      <ns0:c r="C1277" s="3" t="inlineStr">
        <ns0:is>
          <ns0:t>C</ns0:t>
        </ns0:is>
      </ns0:c>
      <ns0:c r="D1277" s="4" t="n">
        <ns0:v>1</ns0:v>
      </ns0:c>
      <ns0:c r="E1277" s="4" t="n">
        <ns0:v>1000</ns0:v>
      </ns0:c>
      <ns0:c r="F1277" s="6" t="n">
        <ns0:v>0.5</ns0:v>
      </ns0:c>
      <ns0:c r="G1277" s="4" t="n">
        <ns0:v>1</ns0:v>
      </ns0:c>
      <ns0:c r="H1277" s="7" t="n">
        <ns0:v>6657.196316779428</ns0:v>
      </ns0:c>
      <ns0:c r="I1277" s="7" t="n">
        <ns0:v>3975.88922264956</ns0:v>
      </ns0:c>
      <ns0:c r="J1277" s="7" t="n">
        <ns0:v>1987.94461132478</ns0:v>
      </ns0:c>
      <ns0:c r="K1277" s="7" t="n">
        <ns0:v>22</ns0:v>
      </ns0:c>
      <ns0:c r="L1277" s="7" t="n">
        <ns0:v>63</ns0:v>
      </ns0:c>
      <ns0:c r="M1277" s="7" t="n">
        <ns0:v>-27263.16247219592</ns0:v>
      </ns0:c>
      <ns0:c r="N1277" s="7" t="n">
        <ns0:v>21442.88462932397</ns0:v>
      </ns0:c>
      <ns0:c r="O1277" s="7" t="n">
        <ns0:v>72078.76413307848</ns0:v>
      </ns0:c>
      <ns0:c r="P1277" s="7" t="n">
        <ns0:v>198668.4628924648</ns0:v>
      </ns0:c>
      <ns0:c r="Q1277" s="7" t="n">
        <ns0:v>663027.25793001</ns0:v>
      </ns0:c>
      <ns0:c r="R1277" s="7" t="n">
        <ns0:v>2365283.040561418</ns0:v>
      </ns0:c>
    </ns0:row>
    <ns0:row r="1278" ht="24" customHeight="1">
      <ns0:c r="A1278" s="3" t="inlineStr">
        <ns0:is>
          <ns0:t>混在40/30/30</ns0:t>
        </ns0:is>
      </ns0:c>
      <ns0:c r="B1278" s="3" t="inlineStr">
        <ns0:is>
          <ns0:t>G0基本5000比較</ns0:t>
        </ns0:is>
      </ns0:c>
      <ns0:c r="C1278" s="3" t="inlineStr">
        <ns0:is>
          <ns0:t>C</ns0:t>
        </ns0:is>
      </ns0:c>
      <ns0:c r="D1278" s="4" t="n">
        <ns0:v>1</ns0:v>
      </ns0:c>
      <ns0:c r="E1278" s="4" t="n">
        <ns0:v>1000</ns0:v>
      </ns0:c>
      <ns0:c r="F1278" s="6" t="n">
        <ns0:v>0.5</ns0:v>
      </ns0:c>
      <ns0:c r="G1278" s="4" t="n">
        <ns0:v>2</ns0:v>
      </ns0:c>
      <ns0:c r="H1278" s="7" t="n">
        <ns0:v>6657.196316779428</ns0:v>
      </ns0:c>
      <ns0:c r="I1278" s="7" t="n">
        <ns0:v>3975.88922264956</ns0:v>
      </ns0:c>
      <ns0:c r="J1278" s="7" t="n">
        <ns0:v>1987.94461132478</ns0:v>
      </ns0:c>
      <ns0:c r="K1278" s="7" t="n">
        <ns0:v>237</ns0:v>
      </ns0:c>
      <ns0:c r="L1278" s="18" t="inlineStr">
        <ns0:is>
          <ns0:t>範囲内なし</ns0:t>
        </ns0:is>
      </ns0:c>
      <ns0:c r="M1278" s="7" t="n">
        <ns0:v>-48495.00100353701</ns0:v>
      </ns0:c>
      <ns0:c r="N1278" s="7" t="n">
        <ns0:v>-42252.6309646993</ns0:v>
      </ns0:c>
      <ns0:c r="O1278" s="7" t="n">
        <ns0:v>-34080.42852362696</ns0:v>
      </ns0:c>
      <ns0:c r="P1278" s="7" t="n">
        <ns0:v>-13649.92242094612</ns0:v>
      </ns0:c>
      <ns0:c r="Q1278" s="7" t="n">
        <ns0:v>26072.10198977729</ns0:v>
      </ns0:c>
      <ns0:c r="R1278" s="7" t="n">
        <ns0:v>242099.1874273093</ns0:v>
      </ns0:c>
    </ns0:row>
    <ns0:row r="1279" ht="24" customHeight="1">
      <ns0:c r="A1279" s="3" t="inlineStr">
        <ns0:is>
          <ns0:t>混在40/30/30</ns0:t>
        </ns0:is>
      </ns0:c>
      <ns0:c r="B1279" s="3" t="inlineStr">
        <ns0:is>
          <ns0:t>G0基本5000比較</ns0:t>
        </ns0:is>
      </ns0:c>
      <ns0:c r="C1279" s="3" t="inlineStr">
        <ns0:is>
          <ns0:t>C</ns0:t>
        </ns0:is>
      </ns0:c>
      <ns0:c r="D1279" s="4" t="n">
        <ns0:v>1</ns0:v>
      </ns0:c>
      <ns0:c r="E1279" s="4" t="n">
        <ns0:v>1000</ns0:v>
      </ns0:c>
      <ns0:c r="F1279" s="6" t="n">
        <ns0:v>0.5</ns0:v>
      </ns0:c>
      <ns0:c r="G1279" s="4" t="n">
        <ns0:v>3</ns0:v>
      </ns0:c>
      <ns0:c r="H1279" s="7" t="n">
        <ns0:v>6657.196316779428</ns0:v>
      </ns0:c>
      <ns0:c r="I1279" s="7" t="n">
        <ns0:v>3975.88922264956</ns0:v>
      </ns0:c>
      <ns0:c r="J1279" s="7" t="n">
        <ns0:v>1987.94461132478</ns0:v>
      </ns0:c>
      <ns0:c r="K1279" s="7" t="n">
        <ns0:v>28</ns0:v>
      </ns0:c>
      <ns0:c r="L1279" s="18" t="inlineStr">
        <ns0:is>
          <ns0:t>範囲内なし</ns0:t>
        </ns0:is>
      </ns0:c>
      <ns0:c r="M1279" s="7" t="n">
        <ns0:v>-32903.90990044971</ns0:v>
      </ns0:c>
      <ns0:c r="N1279" s="7" t="n">
        <ns0:v>4520.642344562577</ns0:v>
      </ns0:c>
      <ns0:c r="O1279" s="7" t="n">
        <ns0:v>43875.02699180949</ns0:v>
      </ns0:c>
      <ns0:c r="P1279" s="7" t="n">
        <ns0:v>142260.9886099268</ns0:v>
      </ns0:c>
      <ns0:c r="Q1279" s="7" t="n">
        <ns0:v>493804.835082396</ns0:v>
      </ns0:c>
      <ns0:c r="R1279" s="7" t="n">
        <ns0:v>1801208.297736038</ns0:v>
      </ns0:c>
    </ns0:row>
    <ns0:row r="1280" ht="24" customHeight="1">
      <ns0:c r="A1280" s="3" t="inlineStr">
        <ns0:is>
          <ns0:t>混在40/30/30</ns0:t>
        </ns0:is>
      </ns0:c>
      <ns0:c r="B1280" s="3" t="inlineStr">
        <ns0:is>
          <ns0:t>G0基本5000比較</ns0:t>
        </ns0:is>
      </ns0:c>
      <ns0:c r="C1280" s="3" t="inlineStr">
        <ns0:is>
          <ns0:t>C</ns0:t>
        </ns0:is>
      </ns0:c>
      <ns0:c r="D1280" s="4" t="n">
        <ns0:v>1</ns0:v>
      </ns0:c>
      <ns0:c r="E1280" s="4" t="n">
        <ns0:v>1500</ns0:v>
      </ns0:c>
      <ns0:c r="F1280" s="6" t="n">
        <ns0:v>0.3</ns0:v>
      </ns0:c>
      <ns0:c r="G1280" s="4" t="n">
        <ns0:v>0</ns0:v>
      </ns0:c>
      <ns0:c r="H1280" s="7" t="n">
        <ns0:v>6507.196316779428</ns0:v>
      </ns0:c>
      <ns0:c r="I1280" s="7" t="n">
        <ns0:v>3825.88922264956</ns0:v>
      </ns0:c>
      <ns0:c r="J1280" s="7" t="n">
        <ns0:v>1147.766766794868</ns0:v>
      </ns0:c>
      <ns0:c r="K1280" s="7" t="n">
        <ns0:v>18</ns0:v>
      </ns0:c>
      <ns0:c r="L1280" s="7" t="n">
        <ns0:v>37</ns0:v>
      </ns0:c>
      <ns0:c r="M1280" s="7" t="n">
        <ns0:v>-17738.16595893252</ns0:v>
      </ns0:c>
      <ns0:c r="N1280" s="7" t="n">
        <ns0:v>50017.87416911415</ns0:v>
      </ns0:c>
      <ns0:c r="O1280" s="7" t="n">
        <ns0:v>119703.7466993955</ns0:v>
      </ns0:c>
      <ns0:c r="P1280" s="7" t="n">
        <ns0:v>293918.4280250988</ns0:v>
      </ns0:c>
      <ns0:c r="Q1280" s="7" t="n">
        <ns0:v>948777.1533279116</ns0:v>
      </ns0:c>
      <ns0:c r="R1280" s="7" t="n">
        <ns0:v>3317782.691887757</ns0:v>
      </ns0:c>
    </ns0:row>
    <ns0:row r="1281" ht="24" customHeight="1">
      <ns0:c r="A1281" s="3" t="inlineStr">
        <ns0:is>
          <ns0:t>混在40/30/30</ns0:t>
        </ns0:is>
      </ns0:c>
      <ns0:c r="B1281" s="3" t="inlineStr">
        <ns0:is>
          <ns0:t>G0基本5000比較</ns0:t>
        </ns0:is>
      </ns0:c>
      <ns0:c r="C1281" s="3" t="inlineStr">
        <ns0:is>
          <ns0:t>C</ns0:t>
        </ns0:is>
      </ns0:c>
      <ns0:c r="D1281" s="4" t="n">
        <ns0:v>1</ns0:v>
      </ns0:c>
      <ns0:c r="E1281" s="4" t="n">
        <ns0:v>1500</ns0:v>
      </ns0:c>
      <ns0:c r="F1281" s="6" t="n">
        <ns0:v>0.3</ns0:v>
      </ns0:c>
      <ns0:c r="G1281" s="4" t="n">
        <ns0:v>1</ns0:v>
      </ns0:c>
      <ns0:c r="H1281" s="7" t="n">
        <ns0:v>6507.196316779428</ns0:v>
      </ns0:c>
      <ns0:c r="I1281" s="7" t="n">
        <ns0:v>3825.88922264956</ns0:v>
      </ns0:c>
      <ns0:c r="J1281" s="7" t="n">
        <ns0:v>1147.766766794868</ns0:v>
      </ns0:c>
      <ns0:c r="K1281" s="7" t="n">
        <ns0:v>19</ns0:v>
      </ns0:c>
      <ns0:c r="L1281" s="7" t="n">
        <ns0:v>51</ns0:v>
      </ns0:c>
      <ns0:c r="M1281" s="7" t="n">
        <ns0:v>-20307.38402689679</ns0:v>
      </ns0:c>
      <ns0:c r="N1281" s="7" t="n">
        <ns0:v>42310.21996522133</ns0:v>
      </ns0:c>
      <ns0:c r="O1281" s="7" t="n">
        <ns0:v>106857.6563595741</ns0:v>
      </ns0:c>
      <ns0:c r="P1281" s="7" t="n">
        <ns0:v>268226.247345456</ns0:v>
      </ns0:c>
      <ns0:c r="Q1281" s="7" t="n">
        <ns0:v>871700.6112889834</ns0:v>
      </ns0:c>
      <ns0:c r="R1281" s="7" t="n">
        <ns0:v>3060860.88509133</ns0:v>
      </ns0:c>
    </ns0:row>
    <ns0:row r="1282" ht="24" customHeight="1">
      <ns0:c r="A1282" s="3" t="inlineStr">
        <ns0:is>
          <ns0:t>混在40/30/30</ns0:t>
        </ns0:is>
      </ns0:c>
      <ns0:c r="B1282" s="3" t="inlineStr">
        <ns0:is>
          <ns0:t>G0基本5000比較</ns0:t>
        </ns0:is>
      </ns0:c>
      <ns0:c r="C1282" s="3" t="inlineStr">
        <ns0:is>
          <ns0:t>C</ns0:t>
        </ns0:is>
      </ns0:c>
      <ns0:c r="D1282" s="4" t="n">
        <ns0:v>1</ns0:v>
      </ns0:c>
      <ns0:c r="E1282" s="4" t="n">
        <ns0:v>1500</ns0:v>
      </ns0:c>
      <ns0:c r="F1282" s="6" t="n">
        <ns0:v>0.3</ns0:v>
      </ns0:c>
      <ns0:c r="G1282" s="4" t="n">
        <ns0:v>2</ns0:v>
      </ns0:c>
      <ns0:c r="H1282" s="7" t="n">
        <ns0:v>6507.196316779428</ns0:v>
      </ns0:c>
      <ns0:c r="I1282" s="7" t="n">
        <ns0:v>3825.88922264956</ns0:v>
      </ns0:c>
      <ns0:c r="J1282" s="7" t="n">
        <ns0:v>1147.766766794868</ns0:v>
      </ns0:c>
      <ns0:c r="K1282" s="7" t="n">
        <ns0:v>50</ns0:v>
      </ns0:c>
      <ns0:c r="L1282" s="18" t="inlineStr">
        <ns0:is>
          <ns0:t>範囲内なし</ns0:t>
        </ns0:is>
      </ns0:c>
      <ns0:c r="M1282" s="7" t="n">
        <ns0:v>-41539.22255823788</ns0:v>
      </ns0:c>
      <ns0:c r="N1282" s="7" t="n">
        <ns0:v>-21385.29562880193</ns0:v>
      </ns0:c>
      <ns0:c r="O1282" s="7" t="n">
        <ns0:v>698.4637028686702</ns0:v>
      </ns0:c>
      <ns0:c r="P1282" s="7" t="n">
        <ns0:v>55907.86203204514</ns0:v>
      </ns0:c>
      <ns0:c r="Q1282" s="7" t="n">
        <ns0:v>234745.4553487508</ns0:v>
      </ns0:c>
      <ns0:c r="R1282" s="7" t="n">
        <ns0:v>937677.0319572212</ns0:v>
      </ns0:c>
    </ns0:row>
    <ns0:row r="1283" ht="24" customHeight="1">
      <ns0:c r="A1283" s="3" t="inlineStr">
        <ns0:is>
          <ns0:t>混在40/30/30</ns0:t>
        </ns0:is>
      </ns0:c>
      <ns0:c r="B1283" s="3" t="inlineStr">
        <ns0:is>
          <ns0:t>G0基本5000比較</ns0:t>
        </ns0:is>
      </ns0:c>
      <ns0:c r="C1283" s="3" t="inlineStr">
        <ns0:is>
          <ns0:t>C</ns0:t>
        </ns0:is>
      </ns0:c>
      <ns0:c r="D1283" s="4" t="n">
        <ns0:v>1</ns0:v>
      </ns0:c>
      <ns0:c r="E1283" s="4" t="n">
        <ns0:v>1500</ns0:v>
      </ns0:c>
      <ns0:c r="F1283" s="6" t="n">
        <ns0:v>0.3</ns0:v>
      </ns0:c>
      <ns0:c r="G1283" s="4" t="n">
        <ns0:v>3</ns0:v>
      </ns0:c>
      <ns0:c r="H1283" s="7" t="n">
        <ns0:v>6507.196316779428</ns0:v>
      </ns0:c>
      <ns0:c r="I1283" s="7" t="n">
        <ns0:v>3825.88922264956</ns0:v>
      </ns0:c>
      <ns0:c r="J1283" s="7" t="n">
        <ns0:v>1147.766766794868</ns0:v>
      </ns0:c>
      <ns0:c r="K1283" s="7" t="n">
        <ns0:v>22</ns0:v>
      </ns0:c>
      <ns0:c r="L1283" s="7" t="n">
        <ns0:v>491</ns0:v>
      </ns0:c>
      <ns0:c r="M1283" s="7" t="n">
        <ns0:v>-25948.13145515059</ns0:v>
      </ns0:c>
      <ns0:c r="N1283" s="7" t="n">
        <ns0:v>25387.97768045993</ns0:v>
      </ns0:c>
      <ns0:c r="O1283" s="7" t="n">
        <ns0:v>78653.91921830512</ns0:v>
      </ns0:c>
      <ns0:c r="P1283" s="7" t="n">
        <ns0:v>211818.773062918</ns0:v>
      </ns0:c>
      <ns0:c r="Q1283" s="7" t="n">
        <ns0:v>702478.1884413694</ns0:v>
      </ns0:c>
      <ns0:c r="R1283" s="7" t="n">
        <ns0:v>2496786.14226595</ns0:v>
      </ns0:c>
    </ns0:row>
    <ns0:row r="1284" ht="24" customHeight="1">
      <ns0:c r="A1284" s="3" t="inlineStr">
        <ns0:is>
          <ns0:t>混在40/30/30</ns0:t>
        </ns0:is>
      </ns0:c>
      <ns0:c r="B1284" s="3" t="inlineStr">
        <ns0:is>
          <ns0:t>G0基本5000比較</ns0:t>
        </ns0:is>
      </ns0:c>
      <ns0:c r="C1284" s="3" t="inlineStr">
        <ns0:is>
          <ns0:t>C</ns0:t>
        </ns0:is>
      </ns0:c>
      <ns0:c r="D1284" s="4" t="n">
        <ns0:v>1</ns0:v>
      </ns0:c>
      <ns0:c r="E1284" s="4" t="n">
        <ns0:v>1500</ns0:v>
      </ns0:c>
      <ns0:c r="F1284" s="6" t="n">
        <ns0:v>0.4</ns0:v>
      </ns0:c>
      <ns0:c r="G1284" s="4" t="n">
        <ns0:v>0</ns0:v>
      </ns0:c>
      <ns0:c r="H1284" s="7" t="n">
        <ns0:v>6507.196316779428</ns0:v>
      </ns0:c>
      <ns0:c r="I1284" s="7" t="n">
        <ns0:v>3825.88922264956</ns0:v>
      </ns0:c>
      <ns0:c r="J1284" s="7" t="n">
        <ns0:v>1530.355689059824</ns0:v>
      </ns0:c>
      <ns0:c r="K1284" s="7" t="n">
        <ns0:v>19</ns0:v>
      </ns0:c>
      <ns0:c r="L1284" s="7" t="n">
        <ns0:v>40</ns0:v>
      </ns0:c>
      <ns0:c r="M1284" s="7" t="n">
        <ns0:v>-21564.05518158208</ns0:v>
      </ns0:c>
      <ns0:c r="N1284" s="7" t="n">
        <ns0:v>38540.20650116546</ns0:v>
      </ns0:c>
      <ns0:c r="O1284" s="7" t="n">
        <ns0:v>100574.3005861477</ns0:v>
      </ns0:c>
      <ns0:c r="P1284" s="7" t="n">
        <ns0:v>255659.5357986031</ns0:v>
      </ns0:c>
      <ns0:c r="Q1284" s="7" t="n">
        <ns0:v>834000.4766484249</ns0:v>
      </ns0:c>
      <ns0:c r="R1284" s="7" t="n">
        <ns0:v>2935193.769622801</ns0:v>
      </ns0:c>
    </ns0:row>
    <ns0:row r="1285" ht="24" customHeight="1">
      <ns0:c r="A1285" s="3" t="inlineStr">
        <ns0:is>
          <ns0:t>混在40/30/30</ns0:t>
        </ns0:is>
      </ns0:c>
      <ns0:c r="B1285" s="3" t="inlineStr">
        <ns0:is>
          <ns0:t>G0基本5000比較</ns0:t>
        </ns0:is>
      </ns0:c>
      <ns0:c r="C1285" s="3" t="inlineStr">
        <ns0:is>
          <ns0:t>C</ns0:t>
        </ns0:is>
      </ns0:c>
      <ns0:c r="D1285" s="4" t="n">
        <ns0:v>1</ns0:v>
      </ns0:c>
      <ns0:c r="E1285" s="4" t="n">
        <ns0:v>1500</ns0:v>
      </ns0:c>
      <ns0:c r="F1285" s="6" t="n">
        <ns0:v>0.4</ns0:v>
      </ns0:c>
      <ns0:c r="G1285" s="4" t="n">
        <ns0:v>1</ns0:v>
      </ns0:c>
      <ns0:c r="H1285" s="7" t="n">
        <ns0:v>6507.196316779428</ns0:v>
      </ns0:c>
      <ns0:c r="I1285" s="7" t="n">
        <ns0:v>3825.88922264956</ns0:v>
      </ns0:c>
      <ns0:c r="J1285" s="7" t="n">
        <ns0:v>1530.355689059824</ns0:v>
      </ns0:c>
      <ns0:c r="K1285" s="7" t="n">
        <ns0:v>21</ns0:v>
      </ns0:c>
      <ns0:c r="L1285" s="7" t="n">
        <ns0:v>57</ns0:v>
      </ns0:c>
      <ns0:c r="M1285" s="7" t="n">
        <ns0:v>-24133.27324954635</ns0:v>
      </ns0:c>
      <ns0:c r="N1285" s="7" t="n">
        <ns0:v>30832.55229727265</ns0:v>
      </ns0:c>
      <ns0:c r="O1285" s="7" t="n">
        <ns0:v>87728.21024632631</ns0:v>
      </ns0:c>
      <ns0:c r="P1285" s="7" t="n">
        <ns0:v>229967.3551189604</ns0:v>
      </ns0:c>
      <ns0:c r="Q1285" s="7" t="n">
        <ns0:v>756923.9346094967</ns0:v>
      </ns0:c>
      <ns0:c r="R1285" s="7" t="n">
        <ns0:v>2678271.962826374</ns0:v>
      </ns0:c>
    </ns0:row>
    <ns0:row r="1286" ht="24" customHeight="1">
      <ns0:c r="A1286" s="3" t="inlineStr">
        <ns0:is>
          <ns0:t>混在40/30/30</ns0:t>
        </ns0:is>
      </ns0:c>
      <ns0:c r="B1286" s="3" t="inlineStr">
        <ns0:is>
          <ns0:t>G0基本5000比較</ns0:t>
        </ns0:is>
      </ns0:c>
      <ns0:c r="C1286" s="3" t="inlineStr">
        <ns0:is>
          <ns0:t>C</ns0:t>
        </ns0:is>
      </ns0:c>
      <ns0:c r="D1286" s="4" t="n">
        <ns0:v>1</ns0:v>
      </ns0:c>
      <ns0:c r="E1286" s="4" t="n">
        <ns0:v>1500</ns0:v>
      </ns0:c>
      <ns0:c r="F1286" s="6" t="n">
        <ns0:v>0.4</ns0:v>
      </ns0:c>
      <ns0:c r="G1286" s="4" t="n">
        <ns0:v>2</ns0:v>
      </ns0:c>
      <ns0:c r="H1286" s="7" t="n">
        <ns0:v>6507.196316779428</ns0:v>
      </ns0:c>
      <ns0:c r="I1286" s="7" t="n">
        <ns0:v>3825.88922264956</ns0:v>
      </ns0:c>
      <ns0:c r="J1286" s="7" t="n">
        <ns0:v>1530.355689059824</ns0:v>
      </ns0:c>
      <ns0:c r="K1286" s="7" t="n">
        <ns0:v>76</ns0:v>
      </ns0:c>
      <ns0:c r="L1286" s="18" t="inlineStr">
        <ns0:is>
          <ns0:t>範囲内なし</ns0:t>
        </ns0:is>
      </ns0:c>
      <ns0:c r="M1286" s="7" t="n">
        <ns0:v>-45365.11178088744</ns0:v>
      </ns0:c>
      <ns0:c r="N1286" s="7" t="n">
        <ns0:v>-32862.96329675063</ns0:v>
      </ns0:c>
      <ns0:c r="O1286" s="7" t="n">
        <ns0:v>-18430.98241037913</ns0:v>
      </ns0:c>
      <ns0:c r="P1286" s="7" t="n">
        <ns0:v>17648.96980554954</ns0:v>
      </ns0:c>
      <ns0:c r="Q1286" s="7" t="n">
        <ns0:v>119968.7786692641</ns0:v>
      </ns0:c>
      <ns0:c r="R1286" s="7" t="n">
        <ns0:v>555088.109692265</ns0:v>
      </ns0:c>
    </ns0:row>
    <ns0:row r="1287" ht="24" customHeight="1">
      <ns0:c r="A1287" s="3" t="inlineStr">
        <ns0:is>
          <ns0:t>混在40/30/30</ns0:t>
        </ns0:is>
      </ns0:c>
      <ns0:c r="B1287" s="3" t="inlineStr">
        <ns0:is>
          <ns0:t>G0基本5000比較</ns0:t>
        </ns0:is>
      </ns0:c>
      <ns0:c r="C1287" s="3" t="inlineStr">
        <ns0:is>
          <ns0:t>C</ns0:t>
        </ns0:is>
      </ns0:c>
      <ns0:c r="D1287" s="4" t="n">
        <ns0:v>1</ns0:v>
      </ns0:c>
      <ns0:c r="E1287" s="4" t="n">
        <ns0:v>1500</ns0:v>
      </ns0:c>
      <ns0:c r="F1287" s="6" t="n">
        <ns0:v>0.4</ns0:v>
      </ns0:c>
      <ns0:c r="G1287" s="4" t="n">
        <ns0:v>3</ns0:v>
      </ns0:c>
      <ns0:c r="H1287" s="7" t="n">
        <ns0:v>6507.196316779428</ns0:v>
      </ns0:c>
      <ns0:c r="I1287" s="7" t="n">
        <ns0:v>3825.88922264956</ns0:v>
      </ns0:c>
      <ns0:c r="J1287" s="7" t="n">
        <ns0:v>1530.355689059824</ns0:v>
      </ns0:c>
      <ns0:c r="K1287" s="7" t="n">
        <ns0:v>24</ns0:v>
      </ns0:c>
      <ns0:c r="L1287" s="18" t="inlineStr">
        <ns0:is>
          <ns0:t>範囲内なし</ns0:t>
        </ns0:is>
      </ns0:c>
      <ns0:c r="M1287" s="7" t="n">
        <ns0:v>-29774.02067780015</ns0:v>
      </ns0:c>
      <ns0:c r="N1287" s="7" t="n">
        <ns0:v>13910.31001251125</ns0:v>
      </ns0:c>
      <ns0:c r="O1287" s="7" t="n">
        <ns0:v>59524.47310505732</ns0:v>
      </ns0:c>
      <ns0:c r="P1287" s="7" t="n">
        <ns0:v>173559.8808364224</ns0:v>
      </ns0:c>
      <ns0:c r="Q1287" s="7" t="n">
        <ns0:v>587701.5117618827</ns0:v>
      </ns0:c>
      <ns0:c r="R1287" s="7" t="n">
        <ns0:v>2114197.220000994</ns0:v>
      </ns0:c>
    </ns0:row>
    <ns0:row r="1288" ht="24" customHeight="1">
      <ns0:c r="A1288" s="3" t="inlineStr">
        <ns0:is>
          <ns0:t>混在40/30/30</ns0:t>
        </ns0:is>
      </ns0:c>
      <ns0:c r="B1288" s="3" t="inlineStr">
        <ns0:is>
          <ns0:t>G0基本5000比較</ns0:t>
        </ns0:is>
      </ns0:c>
      <ns0:c r="C1288" s="3" t="inlineStr">
        <ns0:is>
          <ns0:t>C</ns0:t>
        </ns0:is>
      </ns0:c>
      <ns0:c r="D1288" s="4" t="n">
        <ns0:v>1</ns0:v>
      </ns0:c>
      <ns0:c r="E1288" s="4" t="n">
        <ns0:v>1500</ns0:v>
      </ns0:c>
      <ns0:c r="F1288" s="6" t="n">
        <ns0:v>0.5</ns0:v>
      </ns0:c>
      <ns0:c r="G1288" s="4" t="n">
        <ns0:v>0</ns0:v>
      </ns0:c>
      <ns0:c r="H1288" s="7" t="n">
        <ns0:v>6507.196316779428</ns0:v>
      </ns0:c>
      <ns0:c r="I1288" s="7" t="n">
        <ns0:v>3825.88922264956</ns0:v>
      </ns0:c>
      <ns0:c r="J1288" s="7" t="n">
        <ns0:v>1912.94461132478</ns0:v>
      </ns0:c>
      <ns0:c r="K1288" s="7" t="n">
        <ns0:v>21</ns0:v>
      </ns0:c>
      <ns0:c r="L1288" s="7" t="n">
        <ns0:v>44</ns0:v>
      </ns0:c>
      <ns0:c r="M1288" s="7" t="n">
        <ns0:v>-25389.94440423164</ns0:v>
      </ns0:c>
      <ns0:c r="N1288" s="7" t="n">
        <ns0:v>27062.53883321679</ns0:v>
      </ns0:c>
      <ns0:c r="O1288" s="7" t="n">
        <ns0:v>81444.85447289987</ns0:v>
      </ns0:c>
      <ns0:c r="P1288" s="7" t="n">
        <ns0:v>217400.6435721075</ns0:v>
      </ns0:c>
      <ns0:c r="Q1288" s="7" t="n">
        <ns0:v>719223.7999689381</ns0:v>
      </ns0:c>
      <ns0:c r="R1288" s="7" t="n">
        <ns0:v>2552604.847357845</ns0:v>
      </ns0:c>
    </ns0:row>
    <ns0:row r="1289" ht="24" customHeight="1">
      <ns0:c r="A1289" s="3" t="inlineStr">
        <ns0:is>
          <ns0:t>混在40/30/30</ns0:t>
        </ns0:is>
      </ns0:c>
      <ns0:c r="B1289" s="3" t="inlineStr">
        <ns0:is>
          <ns0:t>G0基本5000比較</ns0:t>
        </ns0:is>
      </ns0:c>
      <ns0:c r="C1289" s="3" t="inlineStr">
        <ns0:is>
          <ns0:t>C</ns0:t>
        </ns0:is>
      </ns0:c>
      <ns0:c r="D1289" s="4" t="n">
        <ns0:v>1</ns0:v>
      </ns0:c>
      <ns0:c r="E1289" s="4" t="n">
        <ns0:v>1500</ns0:v>
      </ns0:c>
      <ns0:c r="F1289" s="6" t="n">
        <ns0:v>0.5</ns0:v>
      </ns0:c>
      <ns0:c r="G1289" s="4" t="n">
        <ns0:v>1</ns0:v>
      </ns0:c>
      <ns0:c r="H1289" s="7" t="n">
        <ns0:v>6507.196316779428</ns0:v>
      </ns0:c>
      <ns0:c r="I1289" s="7" t="n">
        <ns0:v>3825.88922264956</ns0:v>
      </ns0:c>
      <ns0:c r="J1289" s="7" t="n">
        <ns0:v>1912.94461132478</ns0:v>
      </ns0:c>
      <ns0:c r="K1289" s="7" t="n">
        <ns0:v>23</ns0:v>
      </ns0:c>
      <ns0:c r="L1289" s="7" t="n">
        <ns0:v>64</ns0:v>
      </ns0:c>
      <ns0:c r="M1289" s="7" t="n">
        <ns0:v>-27959.16247219591</ns0:v>
      </ns0:c>
      <ns0:c r="N1289" s="7" t="n">
        <ns0:v>19354.88462932397</ns0:v>
      </ns0:c>
      <ns0:c r="O1289" s="7" t="n">
        <ns0:v>68598.76413307851</ns0:v>
      </ns0:c>
      <ns0:c r="P1289" s="7" t="n">
        <ns0:v>191708.4628924648</ns0:v>
      </ns0:c>
      <ns0:c r="Q1289" s="7" t="n">
        <ns0:v>642147.25793001</ns0:v>
      </ns0:c>
      <ns0:c r="R1289" s="7" t="n">
        <ns0:v>2295683.040561418</ns0:v>
      </ns0:c>
    </ns0:row>
    <ns0:row r="1290" ht="24" customHeight="1">
      <ns0:c r="A1290" s="3" t="inlineStr">
        <ns0:is>
          <ns0:t>混在40/30/30</ns0:t>
        </ns0:is>
      </ns0:c>
      <ns0:c r="B1290" s="3" t="inlineStr">
        <ns0:is>
          <ns0:t>G0基本5000比較</ns0:t>
        </ns0:is>
      </ns0:c>
      <ns0:c r="C1290" s="3" t="inlineStr">
        <ns0:is>
          <ns0:t>C</ns0:t>
        </ns0:is>
      </ns0:c>
      <ns0:c r="D1290" s="4" t="n">
        <ns0:v>1</ns0:v>
      </ns0:c>
      <ns0:c r="E1290" s="4" t="n">
        <ns0:v>1500</ns0:v>
      </ns0:c>
      <ns0:c r="F1290" s="6" t="n">
        <ns0:v>0.5</ns0:v>
      </ns0:c>
      <ns0:c r="G1290" s="4" t="n">
        <ns0:v>2</ns0:v>
      </ns0:c>
      <ns0:c r="H1290" s="7" t="n">
        <ns0:v>6507.196316779428</ns0:v>
      </ns0:c>
      <ns0:c r="I1290" s="7" t="n">
        <ns0:v>3825.88922264956</ns0:v>
      </ns0:c>
      <ns0:c r="J1290" s="7" t="n">
        <ns0:v>1912.94461132478</ns0:v>
      </ns0:c>
      <ns0:c r="K1290" s="7" t="n">
        <ns0:v>285</ns0:v>
      </ns0:c>
      <ns0:c r="L1290" s="18" t="inlineStr">
        <ns0:is>
          <ns0:t>範囲内なし</ns0:t>
        </ns0:is>
      </ns0:c>
      <ns0:c r="M1290" s="7" t="n">
        <ns0:v>-49191.001003537</ns0:v>
      </ns0:c>
      <ns0:c r="N1290" s="7" t="n">
        <ns0:v>-44340.6309646993</ns0:v>
      </ns0:c>
      <ns0:c r="O1290" s="7" t="n">
        <ns0:v>-37560.42852362694</ns0:v>
      </ns0:c>
      <ns0:c r="P1290" s="7" t="n">
        <ns0:v>-20609.92242094607</ns0:v>
      </ns0:c>
      <ns0:c r="Q1290" s="7" t="n">
        <ns0:v>5192.101989777293</ns0:v>
      </ns0:c>
      <ns0:c r="R1290" s="7" t="n">
        <ns0:v>172499.1874273091</ns0:v>
      </ns0:c>
    </ns0:row>
    <ns0:row r="1291" ht="24" customHeight="1">
      <ns0:c r="A1291" s="3" t="inlineStr">
        <ns0:is>
          <ns0:t>混在40/30/30</ns0:t>
        </ns0:is>
      </ns0:c>
      <ns0:c r="B1291" s="3" t="inlineStr">
        <ns0:is>
          <ns0:t>G0基本5000比較</ns0:t>
        </ns0:is>
      </ns0:c>
      <ns0:c r="C1291" s="3" t="inlineStr">
        <ns0:is>
          <ns0:t>C</ns0:t>
        </ns0:is>
      </ns0:c>
      <ns0:c r="D1291" s="4" t="n">
        <ns0:v>1</ns0:v>
      </ns0:c>
      <ns0:c r="E1291" s="4" t="n">
        <ns0:v>1500</ns0:v>
      </ns0:c>
      <ns0:c r="F1291" s="6" t="n">
        <ns0:v>0.5</ns0:v>
      </ns0:c>
      <ns0:c r="G1291" s="4" t="n">
        <ns0:v>3</ns0:v>
      </ns0:c>
      <ns0:c r="H1291" s="7" t="n">
        <ns0:v>6507.196316779428</ns0:v>
      </ns0:c>
      <ns0:c r="I1291" s="7" t="n">
        <ns0:v>3825.88922264956</ns0:v>
      </ns0:c>
      <ns0:c r="J1291" s="7" t="n">
        <ns0:v>1912.94461132478</ns0:v>
      </ns0:c>
      <ns0:c r="K1291" s="7" t="n">
        <ns0:v>29</ns0:v>
      </ns0:c>
      <ns0:c r="L1291" s="18" t="inlineStr">
        <ns0:is>
          <ns0:t>範囲内なし</ns0:t>
        </ns0:is>
      </ns0:c>
      <ns0:c r="M1291" s="7" t="n">
        <ns0:v>-33599.90990044971</ns0:v>
      </ns0:c>
      <ns0:c r="N1291" s="7" t="n">
        <ns0:v>2432.64234456257</ns0:v>
      </ns0:c>
      <ns0:c r="O1291" s="7" t="n">
        <ns0:v>40395.02699180951</ns0:v>
      </ns0:c>
      <ns0:c r="P1291" s="7" t="n">
        <ns0:v>135300.9886099268</ns0:v>
      </ns0:c>
      <ns0:c r="Q1291" s="7" t="n">
        <ns0:v>472924.835082396</ns0:v>
      </ns0:c>
      <ns0:c r="R1291" s="7" t="n">
        <ns0:v>1731608.297736038</ns0:v>
      </ns0:c>
    </ns0:row>
    <ns0:row r="1292" ht="24" customHeight="1">
      <ns0:c r="A1292" s="3" t="inlineStr">
        <ns0:is>
          <ns0:t>混在40/30/30</ns0:t>
        </ns0:is>
      </ns0:c>
      <ns0:c r="B1292" s="3" t="inlineStr">
        <ns0:is>
          <ns0:t>G0基本5000比較</ns0:t>
        </ns0:is>
      </ns0:c>
      <ns0:c r="C1292" s="3" t="inlineStr">
        <ns0:is>
          <ns0:t>C</ns0:t>
        </ns0:is>
      </ns0:c>
      <ns0:c r="D1292" s="4" t="n">
        <ns0:v>2</ns0:v>
      </ns0:c>
      <ns0:c r="E1292" s="4" t="n">
        <ns0:v>500</ns0:v>
      </ns0:c>
      <ns0:c r="F1292" s="6" t="n">
        <ns0:v>0.3</ns0:v>
      </ns0:c>
      <ns0:c r="G1292" s="4" t="n">
        <ns0:v>0</ns0:v>
      </ns0:c>
      <ns0:c r="H1292" s="7" t="n">
        <ns0:v>8805.881836738961</ns0:v>
      </ns0:c>
      <ns0:c r="I1292" s="7" t="n">
        <ns0:v>4481.338451358505</ns0:v>
      </ns0:c>
      <ns0:c r="J1292" s="7" t="n">
        <ns0:v>1344.401535407552</ns0:v>
      </ns0:c>
      <ns0:c r="K1292" s="7" t="n">
        <ns0:v>10</ns0:v>
      </ns0:c>
      <ns0:c r="L1292" s="7" t="n">
        <ns0:v>19</ns0:v>
      </ns0:c>
      <ns0:c r="M1292" s="7" t="n">
        <ns0:v>1799.29298293015</ns0:v>
      </ns0:c>
      <ns0:c r="N1292" s="7" t="n">
        <ns0:v>93962.53757522011</ns0:v>
      </ns0:c>
      <ns0:c r="O1292" s="7" t="n">
        <ns0:v>192944.8523762386</ns0:v>
      </ns0:c>
      <ns0:c r="P1292" s="7" t="n">
        <ns0:v>440400.6393787851</ns0:v>
      </ns0:c>
      <ns0:c r="Q1292" s="7" t="n">
        <ns0:v>1388223.787388971</ns0:v>
      </ns0:c>
      <ns0:c r="R1292" s="7" t="n">
        <ns0:v>4782604.805424621</ns0:v>
      </ns0:c>
    </ns0:row>
    <ns0:row r="1293" ht="24" customHeight="1">
      <ns0:c r="A1293" s="3" t="inlineStr">
        <ns0:is>
          <ns0:t>混在40/30/30</ns0:t>
        </ns0:is>
      </ns0:c>
      <ns0:c r="B1293" s="3" t="inlineStr">
        <ns0:is>
          <ns0:t>G0基本5000比較</ns0:t>
        </ns0:is>
      </ns0:c>
      <ns0:c r="C1293" s="3" t="inlineStr">
        <ns0:is>
          <ns0:t>C</ns0:t>
        </ns0:is>
      </ns0:c>
      <ns0:c r="D1293" s="4" t="n">
        <ns0:v>2</ns0:v>
      </ns0:c>
      <ns0:c r="E1293" s="4" t="n">
        <ns0:v>500</ns0:v>
      </ns0:c>
      <ns0:c r="F1293" s="6" t="n">
        <ns0:v>0.3</ns0:v>
      </ns0:c>
      <ns0:c r="G1293" s="4" t="n">
        <ns0:v>1</ns0:v>
      </ns0:c>
      <ns0:c r="H1293" s="7" t="n">
        <ns0:v>8805.881836738961</ns0:v>
      </ns0:c>
      <ns0:c r="I1293" s="7" t="n">
        <ns0:v>4481.338451358505</ns0:v>
      </ns0:c>
      <ns0:c r="J1293" s="7" t="n">
        <ns0:v>1344.401535407552</ns0:v>
      </ns0:c>
      <ns0:c r="K1293" s="7" t="n">
        <ns0:v>11</ns0:v>
      </ns0:c>
      <ns0:c r="L1293" s="7" t="n">
        <ns0:v>22</ns0:v>
      </ns0:c>
      <ns0:c r="M1293" s="7" t="n">
        <ns0:v>-1405.262343274751</ns0:v>
      </ns0:c>
      <ns0:c r="N1293" s="7" t="n">
        <ns0:v>84348.87159660539</ns0:v>
      </ns0:c>
      <ns0:c r="O1293" s="7" t="n">
        <ns0:v>176922.0757452141</ns0:v>
      </ns0:c>
      <ns0:c r="P1293" s="7" t="n">
        <ns0:v>408355.0861167361</ns0:v>
      </ns0:c>
      <ns0:c r="Q1293" s="7" t="n">
        <ns0:v>1292087.127602824</ns0:v>
      </ns0:c>
      <ns0:c r="R1293" s="7" t="n">
        <ns0:v>4462149.272804132</ns0:v>
      </ns0:c>
    </ns0:row>
    <ns0:row r="1294" ht="24" customHeight="1">
      <ns0:c r="A1294" s="3" t="inlineStr">
        <ns0:is>
          <ns0:t>混在40/30/30</ns0:t>
        </ns0:is>
      </ns0:c>
      <ns0:c r="B1294" s="3" t="inlineStr">
        <ns0:is>
          <ns0:t>G0基本5000比較</ns0:t>
        </ns0:is>
      </ns0:c>
      <ns0:c r="C1294" s="3" t="inlineStr">
        <ns0:is>
          <ns0:t>C</ns0:t>
        </ns0:is>
      </ns0:c>
      <ns0:c r="D1294" s="4" t="n">
        <ns0:v>2</ns0:v>
      </ns0:c>
      <ns0:c r="E1294" s="4" t="n">
        <ns0:v>500</ns0:v>
      </ns0:c>
      <ns0:c r="F1294" s="6" t="n">
        <ns0:v>0.3</ns0:v>
      </ns0:c>
      <ns0:c r="G1294" s="4" t="n">
        <ns0:v>2</ns0:v>
      </ns0:c>
      <ns0:c r="H1294" s="7" t="n">
        <ns0:v>8805.881836738961</ns0:v>
      </ns0:c>
      <ns0:c r="I1294" s="7" t="n">
        <ns0:v>4481.338451358505</ns0:v>
      </ns0:c>
      <ns0:c r="J1294" s="7" t="n">
        <ns0:v>1344.401535407552</ns0:v>
      </ns0:c>
      <ns0:c r="K1294" s="7" t="n">
        <ns0:v>82</ns0:v>
      </ns0:c>
      <ns0:c r="L1294" s="18" t="inlineStr">
        <ns0:is>
          <ns0:t>範囲内なし</ns0:t>
        </ns0:is>
      </ns0:c>
      <ns0:c r="M1294" s="7" t="n">
        <ns0:v>-40977.62769185364</ns0:v>
      </ns0:c>
      <ns0:c r="N1294" s="7" t="n">
        <ns0:v>-34368.22444913126</ns0:v>
      </ns0:c>
      <ns0:c r="O1294" s="7" t="n">
        <ns0:v>-20939.7509976803</ns0:v>
      </ns0:c>
      <ns0:c r="P1294" s="7" t="n">
        <ns0:v>12631.43263094721</ns0:v>
      </ns0:c>
      <ns0:c r="Q1294" s="7" t="n">
        <ns0:v>104916.1671454574</ns0:v>
      </ns0:c>
      <ns0:c r="R1294" s="7" t="n">
        <ns0:v>504912.7379462426</ns0:v>
      </ns0:c>
    </ns0:row>
    <ns0:row r="1295" ht="24" customHeight="1">
      <ns0:c r="A1295" s="3" t="inlineStr">
        <ns0:is>
          <ns0:t>混在40/30/30</ns0:t>
        </ns0:is>
      </ns0:c>
      <ns0:c r="B1295" s="3" t="inlineStr">
        <ns0:is>
          <ns0:t>G0基本5000比較</ns0:t>
        </ns0:is>
      </ns0:c>
      <ns0:c r="C1295" s="3" t="inlineStr">
        <ns0:is>
          <ns0:t>C</ns0:t>
        </ns0:is>
      </ns0:c>
      <ns0:c r="D1295" s="4" t="n">
        <ns0:v>2</ns0:v>
      </ns0:c>
      <ns0:c r="E1295" s="4" t="n">
        <ns0:v>500</ns0:v>
      </ns0:c>
      <ns0:c r="F1295" s="6" t="n">
        <ns0:v>0.3</ns0:v>
      </ns0:c>
      <ns0:c r="G1295" s="4" t="n">
        <ns0:v>3</ns0:v>
      </ns0:c>
      <ns0:c r="H1295" s="7" t="n">
        <ns0:v>8805.881836738961</ns0:v>
      </ns0:c>
      <ns0:c r="I1295" s="7" t="n">
        <ns0:v>4481.338451358505</ns0:v>
      </ns0:c>
      <ns0:c r="J1295" s="7" t="n">
        <ns0:v>1344.401535407552</ns0:v>
      </ns0:c>
      <ns0:c r="K1295" s="7" t="n">
        <ns0:v>12</ns0:v>
      </ns0:c>
      <ns0:c r="L1295" s="7" t="n">
        <ns0:v>38</ns0:v>
      </ns0:c>
      <ns0:c r="M1295" s="7" t="n">
        <ns0:v>-7984.416677426627</ns0:v>
      </ns0:c>
      <ns0:c r="N1295" s="7" t="n">
        <ns0:v>64611.40859414976</ns0:v>
      </ns0:c>
      <ns0:c r="O1295" s="7" t="n">
        <ns0:v>144026.3040744548</ns0:v>
      </ns0:c>
      <ns0:c r="P1295" s="7" t="n">
        <ns0:v>342563.5427752173</ns0:v>
      </ns0:c>
      <ns0:c r="Q1295" s="7" t="n">
        <ns0:v>1094712.497578267</ns0:v>
      </ns0:c>
      <ns0:c r="R1295" s="7" t="n">
        <ns0:v>3804233.839388944</ns0:v>
      </ns0:c>
    </ns0:row>
    <ns0:row r="1296" ht="24" customHeight="1">
      <ns0:c r="A1296" s="3" t="inlineStr">
        <ns0:is>
          <ns0:t>混在40/30/30</ns0:t>
        </ns0:is>
      </ns0:c>
      <ns0:c r="B1296" s="3" t="inlineStr">
        <ns0:is>
          <ns0:t>G0基本5000比較</ns0:t>
        </ns0:is>
      </ns0:c>
      <ns0:c r="C1296" s="3" t="inlineStr">
        <ns0:is>
          <ns0:t>C</ns0:t>
        </ns0:is>
      </ns0:c>
      <ns0:c r="D1296" s="4" t="n">
        <ns0:v>2</ns0:v>
      </ns0:c>
      <ns0:c r="E1296" s="4" t="n">
        <ns0:v>500</ns0:v>
      </ns0:c>
      <ns0:c r="F1296" s="6" t="n">
        <ns0:v>0.4</ns0:v>
      </ns0:c>
      <ns0:c r="G1296" s="4" t="n">
        <ns0:v>0</ns0:v>
      </ns0:c>
      <ns0:c r="H1296" s="7" t="n">
        <ns0:v>8805.881836738961</ns0:v>
      </ns0:c>
      <ns0:c r="I1296" s="7" t="n">
        <ns0:v>4481.338451358505</ns0:v>
      </ns0:c>
      <ns0:c r="J1296" s="7" t="n">
        <ns0:v>1792.535380543402</ns0:v>
      </ns0:c>
      <ns0:c r="K1296" s="7" t="n">
        <ns0:v>11</ns0:v>
      </ns0:c>
      <ns0:c r="L1296" s="7" t="n">
        <ns0:v>20</ns0:v>
      </ns0:c>
      <ns0:c r="M1296" s="7" t="n">
        <ns0:v>-2682.045468428354</ns0:v>
      </ns0:c>
      <ns0:c r="N1296" s="7" t="n">
        <ns0:v>80518.52222114454</ns0:v>
      </ns0:c>
      <ns0:c r="O1296" s="7" t="n">
        <ns0:v>170538.1601194461</ns0:v>
      </ns0:c>
      <ns0:c r="P1296" s="7" t="n">
        <ns0:v>395587.2548652</ns0:v>
      </ns0:c>
      <ns0:c r="Q1296" s="7" t="n">
        <ns0:v>1253783.633848216</ns0:v>
      </ns0:c>
      <ns0:c r="R1296" s="7" t="n">
        <ns0:v>4334470.960288771</ns0:v>
      </ns0:c>
    </ns0:row>
    <ns0:row r="1297" ht="24" customHeight="1">
      <ns0:c r="A1297" s="3" t="inlineStr">
        <ns0:is>
          <ns0:t>混在40/30/30</ns0:t>
        </ns0:is>
      </ns0:c>
      <ns0:c r="B1297" s="3" t="inlineStr">
        <ns0:is>
          <ns0:t>G0基本5000比較</ns0:t>
        </ns0:is>
      </ns0:c>
      <ns0:c r="C1297" s="3" t="inlineStr">
        <ns0:is>
          <ns0:t>C</ns0:t>
        </ns0:is>
      </ns0:c>
      <ns0:c r="D1297" s="4" t="n">
        <ns0:v>2</ns0:v>
      </ns0:c>
      <ns0:c r="E1297" s="4" t="n">
        <ns0:v>500</ns0:v>
      </ns0:c>
      <ns0:c r="F1297" s="6" t="n">
        <ns0:v>0.4</ns0:v>
      </ns0:c>
      <ns0:c r="G1297" s="4" t="n">
        <ns0:v>1</ns0:v>
      </ns0:c>
      <ns0:c r="H1297" s="7" t="n">
        <ns0:v>8805.881836738961</ns0:v>
      </ns0:c>
      <ns0:c r="I1297" s="7" t="n">
        <ns0:v>4481.338451358505</ns0:v>
      </ns0:c>
      <ns0:c r="J1297" s="7" t="n">
        <ns0:v>1792.535380543402</ns0:v>
      </ns0:c>
      <ns0:c r="K1297" s="7" t="n">
        <ns0:v>12</ns0:v>
      </ns0:c>
      <ns0:c r="L1297" s="7" t="n">
        <ns0:v>24</ns0:v>
      </ns0:c>
      <ns0:c r="M1297" s="7" t="n">
        <ns0:v>-5886.600794633256</ns0:v>
      </ns0:c>
      <ns0:c r="N1297" s="7" t="n">
        <ns0:v>70904.85624252982</ns0:v>
      </ns0:c>
      <ns0:c r="O1297" s="7" t="n">
        <ns0:v>154515.3834884216</ns0:v>
      </ns0:c>
      <ns0:c r="P1297" s="7" t="n">
        <ns0:v>363541.7016031509</ns0:v>
      </ns0:c>
      <ns0:c r="Q1297" s="7" t="n">
        <ns0:v>1157646.974062069</ns0:v>
      </ns0:c>
      <ns0:c r="R1297" s="7" t="n">
        <ns0:v>4014015.427668281</ns0:v>
      </ns0:c>
    </ns0:row>
    <ns0:row r="1298" ht="24" customHeight="1">
      <ns0:c r="A1298" s="3" t="inlineStr">
        <ns0:is>
          <ns0:t>混在40/30/30</ns0:t>
        </ns0:is>
      </ns0:c>
      <ns0:c r="B1298" s="3" t="inlineStr">
        <ns0:is>
          <ns0:t>G0基本5000比較</ns0:t>
        </ns0:is>
      </ns0:c>
      <ns0:c r="C1298" s="3" t="inlineStr">
        <ns0:is>
          <ns0:t>C</ns0:t>
        </ns0:is>
      </ns0:c>
      <ns0:c r="D1298" s="4" t="n">
        <ns0:v>2</ns0:v>
      </ns0:c>
      <ns0:c r="E1298" s="4" t="n">
        <ns0:v>500</ns0:v>
      </ns0:c>
      <ns0:c r="F1298" s="6" t="n">
        <ns0:v>0.4</ns0:v>
      </ns0:c>
      <ns0:c r="G1298" s="4" t="n">
        <ns0:v>2</ns0:v>
      </ns0:c>
      <ns0:c r="H1298" s="7" t="n">
        <ns0:v>8805.881836738961</ns0:v>
      </ns0:c>
      <ns0:c r="I1298" s="7" t="n">
        <ns0:v>4481.338451358505</ns0:v>
      </ns0:c>
      <ns0:c r="J1298" s="7" t="n">
        <ns0:v>1792.535380543402</ns0:v>
      </ns0:c>
      <ns0:c r="K1298" s="7" t="n">
        <ns0:v>433</ns0:v>
      </ns0:c>
      <ns0:c r="L1298" s="18" t="inlineStr">
        <ns0:is>
          <ns0:t>範囲内なし</ns0:t>
        </ns0:is>
      </ns0:c>
      <ns0:c r="M1298" s="7" t="n">
        <ns0:v>-45458.96614321214</ns0:v>
      </ns0:c>
      <ns0:c r="N1298" s="7" t="n">
        <ns0:v>-47812.23980320683</ns0:v>
      </ns0:c>
      <ns0:c r="O1298" s="7" t="n">
        <ns0:v>-43346.44325447283</ns0:v>
      </ns0:c>
      <ns0:c r="P1298" s="7" t="n">
        <ns0:v>-32181.95188263786</ns0:v>
      </ns0:c>
      <ns0:c r="Q1298" s="7" t="n">
        <ns0:v>-29523.9863952978</ns0:v>
      </ns0:c>
      <ns0:c r="R1298" s="7" t="n">
        <ns0:v>56778.89281039219</ns0:v>
      </ns0:c>
    </ns0:row>
    <ns0:row r="1299" ht="24" customHeight="1">
      <ns0:c r="A1299" s="3" t="inlineStr">
        <ns0:is>
          <ns0:t>混在40/30/30</ns0:t>
        </ns0:is>
      </ns0:c>
      <ns0:c r="B1299" s="3" t="inlineStr">
        <ns0:is>
          <ns0:t>G0基本5000比較</ns0:t>
        </ns0:is>
      </ns0:c>
      <ns0:c r="C1299" s="3" t="inlineStr">
        <ns0:is>
          <ns0:t>C</ns0:t>
        </ns0:is>
      </ns0:c>
      <ns0:c r="D1299" s="4" t="n">
        <ns0:v>2</ns0:v>
      </ns0:c>
      <ns0:c r="E1299" s="4" t="n">
        <ns0:v>500</ns0:v>
      </ns0:c>
      <ns0:c r="F1299" s="6" t="n">
        <ns0:v>0.4</ns0:v>
      </ns0:c>
      <ns0:c r="G1299" s="4" t="n">
        <ns0:v>3</ns0:v>
      </ns0:c>
      <ns0:c r="H1299" s="7" t="n">
        <ns0:v>8805.881836738961</ns0:v>
      </ns0:c>
      <ns0:c r="I1299" s="7" t="n">
        <ns0:v>4481.338451358505</ns0:v>
      </ns0:c>
      <ns0:c r="J1299" s="7" t="n">
        <ns0:v>1792.535380543402</ns0:v>
      </ns0:c>
      <ns0:c r="K1299" s="7" t="n">
        <ns0:v>13</ns0:v>
      </ns0:c>
      <ns0:c r="L1299" s="7" t="n">
        <ns0:v>42</ns0:v>
      </ns0:c>
      <ns0:c r="M1299" s="7" t="n">
        <ns0:v>-12465.75512878513</ns0:v>
      </ns0:c>
      <ns0:c r="N1299" s="7" t="n">
        <ns0:v>51167.3932400742</ns0:v>
      </ns0:c>
      <ns0:c r="O1299" s="7" t="n">
        <ns0:v>121619.6118176622</ns0:v>
      </ns0:c>
      <ns0:c r="P1299" s="7" t="n">
        <ns0:v>297750.1582616322</ns0:v>
      </ns0:c>
      <ns0:c r="Q1299" s="7" t="n">
        <ns0:v>960272.3440375123</ns0:v>
      </ns0:c>
      <ns0:c r="R1299" s="7" t="n">
        <ns0:v>3356099.994253093</ns0:v>
      </ns0:c>
    </ns0:row>
    <ns0:row r="1300" ht="24" customHeight="1">
      <ns0:c r="A1300" s="3" t="inlineStr">
        <ns0:is>
          <ns0:t>混在40/30/30</ns0:t>
        </ns0:is>
      </ns0:c>
      <ns0:c r="B1300" s="3" t="inlineStr">
        <ns0:is>
          <ns0:t>G0基本5000比較</ns0:t>
        </ns0:is>
      </ns0:c>
      <ns0:c r="C1300" s="3" t="inlineStr">
        <ns0:is>
          <ns0:t>C</ns0:t>
        </ns0:is>
      </ns0:c>
      <ns0:c r="D1300" s="4" t="n">
        <ns0:v>2</ns0:v>
      </ns0:c>
      <ns0:c r="E1300" s="4" t="n">
        <ns0:v>500</ns0:v>
      </ns0:c>
      <ns0:c r="F1300" s="6" t="n">
        <ns0:v>0.5</ns0:v>
      </ns0:c>
      <ns0:c r="G1300" s="4" t="n">
        <ns0:v>0</ns0:v>
      </ns0:c>
      <ns0:c r="H1300" s="7" t="n">
        <ns0:v>8805.881836738961</ns0:v>
      </ns0:c>
      <ns0:c r="I1300" s="7" t="n">
        <ns0:v>4481.338451358505</ns0:v>
      </ns0:c>
      <ns0:c r="J1300" s="7" t="n">
        <ns0:v>2240.669225679253</ns0:v>
      </ns0:c>
      <ns0:c r="K1300" s="7" t="n">
        <ns0:v>12</ns0:v>
      </ns0:c>
      <ns0:c r="L1300" s="7" t="n">
        <ns0:v>21</ns0:v>
      </ns0:c>
      <ns0:c r="M1300" s="7" t="n">
        <ns0:v>-7163.383919786866</ns0:v>
      </ns0:c>
      <ns0:c r="N1300" s="7" t="n">
        <ns0:v>67074.50686706905</ns0:v>
      </ns0:c>
      <ns0:c r="O1300" s="7" t="n">
        <ns0:v>148131.4678626536</ns0:v>
      </ns0:c>
      <ns0:c r="P1300" s="7" t="n">
        <ns0:v>350773.8703516149</ns0:v>
      </ns0:c>
      <ns0:c r="Q1300" s="7" t="n">
        <ns0:v>1119343.480307461</ns0:v>
      </ns0:c>
      <ns0:c r="R1300" s="7" t="n">
        <ns0:v>3886337.115152921</ns0:v>
      </ns0:c>
    </ns0:row>
    <ns0:row r="1301" ht="24" customHeight="1">
      <ns0:c r="A1301" s="3" t="inlineStr">
        <ns0:is>
          <ns0:t>混在40/30/30</ns0:t>
        </ns0:is>
      </ns0:c>
      <ns0:c r="B1301" s="3" t="inlineStr">
        <ns0:is>
          <ns0:t>G0基本5000比較</ns0:t>
        </ns0:is>
      </ns0:c>
      <ns0:c r="C1301" s="3" t="inlineStr">
        <ns0:is>
          <ns0:t>C</ns0:t>
        </ns0:is>
      </ns0:c>
      <ns0:c r="D1301" s="4" t="n">
        <ns0:v>2</ns0:v>
      </ns0:c>
      <ns0:c r="E1301" s="4" t="n">
        <ns0:v>500</ns0:v>
      </ns0:c>
      <ns0:c r="F1301" s="6" t="n">
        <ns0:v>0.5</ns0:v>
      </ns0:c>
      <ns0:c r="G1301" s="4" t="n">
        <ns0:v>1</ns0:v>
      </ns0:c>
      <ns0:c r="H1301" s="7" t="n">
        <ns0:v>8805.881836738961</ns0:v>
      </ns0:c>
      <ns0:c r="I1301" s="7" t="n">
        <ns0:v>4481.338451358505</ns0:v>
      </ns0:c>
      <ns0:c r="J1301" s="7" t="n">
        <ns0:v>2240.669225679253</ns0:v>
      </ns0:c>
      <ns0:c r="K1301" s="7" t="n">
        <ns0:v>12</ns0:v>
      </ns0:c>
      <ns0:c r="L1301" s="7" t="n">
        <ns0:v>26</ns0:v>
      </ns0:c>
      <ns0:c r="M1301" s="7" t="n">
        <ns0:v>-10367.93924599177</ns0:v>
      </ns0:c>
      <ns0:c r="N1301" s="7" t="n">
        <ns0:v>57460.84088845433</ns0:v>
      </ns0:c>
      <ns0:c r="O1301" s="7" t="n">
        <ns0:v>132108.6912316291</ns0:v>
      </ns0:c>
      <ns0:c r="P1301" s="7" t="n">
        <ns0:v>318728.3170895659</ns0:v>
      </ns0:c>
      <ns0:c r="Q1301" s="7" t="n">
        <ns0:v>1023206.820521313</ns0:v>
      </ns0:c>
      <ns0:c r="R1301" s="7" t="n">
        <ns0:v>3565881.58253243</ns0:v>
      </ns0:c>
    </ns0:row>
    <ns0:row r="1302" ht="24" customHeight="1">
      <ns0:c r="A1302" s="3" t="inlineStr">
        <ns0:is>
          <ns0:t>混在40/30/30</ns0:t>
        </ns0:is>
      </ns0:c>
      <ns0:c r="B1302" s="3" t="inlineStr">
        <ns0:is>
          <ns0:t>G0基本5000比較</ns0:t>
        </ns0:is>
      </ns0:c>
      <ns0:c r="C1302" s="3" t="inlineStr">
        <ns0:is>
          <ns0:t>C</ns0:t>
        </ns0:is>
      </ns0:c>
      <ns0:c r="D1302" s="4" t="n">
        <ns0:v>2</ns0:v>
      </ns0:c>
      <ns0:c r="E1302" s="4" t="n">
        <ns0:v>500</ns0:v>
      </ns0:c>
      <ns0:c r="F1302" s="6" t="n">
        <ns0:v>0.5</ns0:v>
      </ns0:c>
      <ns0:c r="G1302" s="4" t="n">
        <ns0:v>2</ns0:v>
      </ns0:c>
      <ns0:c r="H1302" s="7" t="n">
        <ns0:v>8805.881836738961</ns0:v>
      </ns0:c>
      <ns0:c r="I1302" s="7" t="n">
        <ns0:v>4481.338451358505</ns0:v>
      </ns0:c>
      <ns0:c r="J1302" s="7" t="n">
        <ns0:v>2240.669225679253</ns0:v>
      </ns0:c>
      <ns0:c r="K1302" s="18" t="inlineStr">
        <ns0:is>
          <ns0:t>範囲内なし</ns0:t>
        </ns0:is>
      </ns0:c>
      <ns0:c r="L1302" s="18" t="inlineStr">
        <ns0:is>
          <ns0:t>範囲内なし</ns0:t>
        </ns0:is>
      </ns0:c>
      <ns0:c r="M1302" s="7" t="n">
        <ns0:v>-49940.30459457065</ns0:v>
      </ns0:c>
      <ns0:c r="N1302" s="7" t="n">
        <ns0:v>-61256.25515728233</ns0:v>
      </ns0:c>
      <ns0:c r="O1302" s="7" t="n">
        <ns0:v>-65753.13551126537</ns0:v>
      </ns0:c>
      <ns0:c r="P1302" s="7" t="n">
        <ns0:v>-76995.33639622293</ns0:v>
      </ns0:c>
      <ns0:c r="Q1302" s="7" t="n">
        <ns0:v>-163964.139936053</ns0:v>
      </ns0:c>
      <ns0:c r="R1302" s="7" t="n">
        <ns0:v>-391354.9523254582</ns0:v>
      </ns0:c>
    </ns0:row>
    <ns0:row r="1303" ht="24" customHeight="1">
      <ns0:c r="A1303" s="3" t="inlineStr">
        <ns0:is>
          <ns0:t>混在40/30/30</ns0:t>
        </ns0:is>
      </ns0:c>
      <ns0:c r="B1303" s="3" t="inlineStr">
        <ns0:is>
          <ns0:t>G0基本5000比較</ns0:t>
        </ns0:is>
      </ns0:c>
      <ns0:c r="C1303" s="3" t="inlineStr">
        <ns0:is>
          <ns0:t>C</ns0:t>
        </ns0:is>
      </ns0:c>
      <ns0:c r="D1303" s="4" t="n">
        <ns0:v>2</ns0:v>
      </ns0:c>
      <ns0:c r="E1303" s="4" t="n">
        <ns0:v>500</ns0:v>
      </ns0:c>
      <ns0:c r="F1303" s="6" t="n">
        <ns0:v>0.5</ns0:v>
      </ns0:c>
      <ns0:c r="G1303" s="4" t="n">
        <ns0:v>3</ns0:v>
      </ns0:c>
      <ns0:c r="H1303" s="7" t="n">
        <ns0:v>8805.881836738961</ns0:v>
      </ns0:c>
      <ns0:c r="I1303" s="7" t="n">
        <ns0:v>4481.338451358505</ns0:v>
      </ns0:c>
      <ns0:c r="J1303" s="7" t="n">
        <ns0:v>2240.669225679253</ns0:v>
      </ns0:c>
      <ns0:c r="K1303" s="7" t="n">
        <ns0:v>18</ns0:v>
      </ns0:c>
      <ns0:c r="L1303" s="7" t="n">
        <ns0:v>49</ns0:v>
      </ns0:c>
      <ns0:c r="M1303" s="7" t="n">
        <ns0:v>-16947.09358014364</ns0:v>
      </ns0:c>
      <ns0:c r="N1303" s="7" t="n">
        <ns0:v>37723.37788599871</ns0:v>
      </ns0:c>
      <ns0:c r="O1303" s="7" t="n">
        <ns0:v>99212.91956086966</ns0:v>
      </ns0:c>
      <ns0:c r="P1303" s="7" t="n">
        <ns0:v>252936.7737480471</ns0:v>
      </ns0:c>
      <ns0:c r="Q1303" s="7" t="n">
        <ns0:v>825832.1904967572</ns0:v>
      </ns0:c>
      <ns0:c r="R1303" s="7" t="n">
        <ns0:v>2907966.149117243</ns0:v>
      </ns0:c>
    </ns0:row>
    <ns0:row r="1304" ht="24" customHeight="1">
      <ns0:c r="A1304" s="3" t="inlineStr">
        <ns0:is>
          <ns0:t>混在40/30/30</ns0:t>
        </ns0:is>
      </ns0:c>
      <ns0:c r="B1304" s="3" t="inlineStr">
        <ns0:is>
          <ns0:t>G0基本5000比較</ns0:t>
        </ns0:is>
      </ns0:c>
      <ns0:c r="C1304" s="3" t="inlineStr">
        <ns0:is>
          <ns0:t>C</ns0:t>
        </ns0:is>
      </ns0:c>
      <ns0:c r="D1304" s="4" t="n">
        <ns0:v>2</ns0:v>
      </ns0:c>
      <ns0:c r="E1304" s="4" t="n">
        <ns0:v>1000</ns0:v>
      </ns0:c>
      <ns0:c r="F1304" s="6" t="n">
        <ns0:v>0.3</ns0:v>
      </ns0:c>
      <ns0:c r="G1304" s="4" t="n">
        <ns0:v>0</ns0:v>
      </ns0:c>
      <ns0:c r="H1304" s="7" t="n">
        <ns0:v>8655.881836738961</ns0:v>
      </ns0:c>
      <ns0:c r="I1304" s="7" t="n">
        <ns0:v>4331.338451358506</ns0:v>
      </ns0:c>
      <ns0:c r="J1304" s="7" t="n">
        <ns0:v>1299.401535407552</ns0:v>
      </ns0:c>
      <ns0:c r="K1304" s="7" t="n">
        <ns0:v>10</ns0:v>
      </ns0:c>
      <ns0:c r="L1304" s="7" t="n">
        <ns0:v>19</ns0:v>
      </ns0:c>
      <ns0:c r="M1304" s="7" t="n">
        <ns0:v>803.2929829301538</ns0:v>
      </ns0:c>
      <ns0:c r="N1304" s="7" t="n">
        <ns0:v>90974.53757522008</ns0:v>
      </ns0:c>
      <ns0:c r="O1304" s="7" t="n">
        <ns0:v>187964.8523762387</ns0:v>
      </ns0:c>
      <ns0:c r="P1304" s="7" t="n">
        <ns0:v>430440.6393787852</ns0:v>
      </ns0:c>
      <ns0:c r="Q1304" s="7" t="n">
        <ns0:v>1358343.787388971</ns0:v>
      </ns0:c>
      <ns0:c r="R1304" s="7" t="n">
        <ns0:v>4683004.805424621</ns0:v>
      </ns0:c>
    </ns0:row>
    <ns0:row r="1305" ht="24" customHeight="1">
      <ns0:c r="A1305" s="3" t="inlineStr">
        <ns0:is>
          <ns0:t>混在40/30/30</ns0:t>
        </ns0:is>
      </ns0:c>
      <ns0:c r="B1305" s="3" t="inlineStr">
        <ns0:is>
          <ns0:t>G0基本5000比較</ns0:t>
        </ns0:is>
      </ns0:c>
      <ns0:c r="C1305" s="3" t="inlineStr">
        <ns0:is>
          <ns0:t>C</ns0:t>
        </ns0:is>
      </ns0:c>
      <ns0:c r="D1305" s="4" t="n">
        <ns0:v>2</ns0:v>
      </ns0:c>
      <ns0:c r="E1305" s="4" t="n">
        <ns0:v>1000</ns0:v>
      </ns0:c>
      <ns0:c r="F1305" s="6" t="n">
        <ns0:v>0.3</ns0:v>
      </ns0:c>
      <ns0:c r="G1305" s="4" t="n">
        <ns0:v>1</ns0:v>
      </ns0:c>
      <ns0:c r="H1305" s="7" t="n">
        <ns0:v>8655.881836738961</ns0:v>
      </ns0:c>
      <ns0:c r="I1305" s="7" t="n">
        <ns0:v>4331.338451358506</ns0:v>
      </ns0:c>
      <ns0:c r="J1305" s="7" t="n">
        <ns0:v>1299.401535407552</ns0:v>
      </ns0:c>
      <ns0:c r="K1305" s="7" t="n">
        <ns0:v>11</ns0:v>
      </ns0:c>
      <ns0:c r="L1305" s="7" t="n">
        <ns0:v>23</ns0:v>
      </ns0:c>
      <ns0:c r="M1305" s="7" t="n">
        <ns0:v>-2401.262343274748</ns0:v>
      </ns0:c>
      <ns0:c r="N1305" s="7" t="n">
        <ns0:v>81360.87159660536</ns0:v>
      </ns0:c>
      <ns0:c r="O1305" s="7" t="n">
        <ns0:v>171942.0757452142</ns0:v>
      </ns0:c>
      <ns0:c r="P1305" s="7" t="n">
        <ns0:v>398395.0861167362</ns0:v>
      </ns0:c>
      <ns0:c r="Q1305" s="7" t="n">
        <ns0:v>1262207.127602824</ns0:v>
      </ns0:c>
      <ns0:c r="R1305" s="7" t="n">
        <ns0:v>4362549.272804131</ns0:v>
      </ns0:c>
    </ns0:row>
    <ns0:row r="1306" ht="24" customHeight="1">
      <ns0:c r="A1306" s="3" t="inlineStr">
        <ns0:is>
          <ns0:t>混在40/30/30</ns0:t>
        </ns0:is>
      </ns0:c>
      <ns0:c r="B1306" s="3" t="inlineStr">
        <ns0:is>
          <ns0:t>G0基本5000比較</ns0:t>
        </ns0:is>
      </ns0:c>
      <ns0:c r="C1306" s="3" t="inlineStr">
        <ns0:is>
          <ns0:t>C</ns0:t>
        </ns0:is>
      </ns0:c>
      <ns0:c r="D1306" s="4" t="n">
        <ns0:v>2</ns0:v>
      </ns0:c>
      <ns0:c r="E1306" s="4" t="n">
        <ns0:v>1000</ns0:v>
      </ns0:c>
      <ns0:c r="F1306" s="6" t="n">
        <ns0:v>0.3</ns0:v>
      </ns0:c>
      <ns0:c r="G1306" s="4" t="n">
        <ns0:v>2</ns0:v>
      </ns0:c>
      <ns0:c r="H1306" s="7" t="n">
        <ns0:v>8655.881836738961</ns0:v>
      </ns0:c>
      <ns0:c r="I1306" s="7" t="n">
        <ns0:v>4331.338451358506</ns0:v>
      </ns0:c>
      <ns0:c r="J1306" s="7" t="n">
        <ns0:v>1299.401535407552</ns0:v>
      </ns0:c>
      <ns0:c r="K1306" s="7" t="n">
        <ns0:v>169</ns0:v>
      </ns0:c>
      <ns0:c r="L1306" s="18" t="inlineStr">
        <ns0:is>
          <ns0:t>範囲内なし</ns0:t>
        </ns0:is>
      </ns0:c>
      <ns0:c r="M1306" s="7" t="n">
        <ns0:v>-41973.62769185363</ns0:v>
      </ns0:c>
      <ns0:c r="N1306" s="7" t="n">
        <ns0:v>-37356.22444913129</ns0:v>
      </ns0:c>
      <ns0:c r="O1306" s="7" t="n">
        <ns0:v>-25919.75099768024</ns0:v>
      </ns0:c>
      <ns0:c r="P1306" s="7" t="n">
        <ns0:v>2671.432630947325</ns0:v>
      </ns0:c>
      <ns0:c r="Q1306" s="7" t="n">
        <ns0:v>75036.16714545724</ns0:v>
      </ns0:c>
      <ns0:c r="R1306" s="7" t="n">
        <ns0:v>405312.7379462421</ns0:v>
      </ns0:c>
    </ns0:row>
    <ns0:row r="1307" ht="24" customHeight="1">
      <ns0:c r="A1307" s="3" t="inlineStr">
        <ns0:is>
          <ns0:t>混在40/30/30</ns0:t>
        </ns0:is>
      </ns0:c>
      <ns0:c r="B1307" s="3" t="inlineStr">
        <ns0:is>
          <ns0:t>G0基本5000比較</ns0:t>
        </ns0:is>
      </ns0:c>
      <ns0:c r="C1307" s="3" t="inlineStr">
        <ns0:is>
          <ns0:t>C</ns0:t>
        </ns0:is>
      </ns0:c>
      <ns0:c r="D1307" s="4" t="n">
        <ns0:v>2</ns0:v>
      </ns0:c>
      <ns0:c r="E1307" s="4" t="n">
        <ns0:v>1000</ns0:v>
      </ns0:c>
      <ns0:c r="F1307" s="6" t="n">
        <ns0:v>0.3</ns0:v>
      </ns0:c>
      <ns0:c r="G1307" s="4" t="n">
        <ns0:v>3</ns0:v>
      </ns0:c>
      <ns0:c r="H1307" s="7" t="n">
        <ns0:v>8655.881836738961</ns0:v>
      </ns0:c>
      <ns0:c r="I1307" s="7" t="n">
        <ns0:v>4331.338451358506</ns0:v>
      </ns0:c>
      <ns0:c r="J1307" s="7" t="n">
        <ns0:v>1299.401535407552</ns0:v>
      </ns0:c>
      <ns0:c r="K1307" s="7" t="n">
        <ns0:v>12</ns0:v>
      </ns0:c>
      <ns0:c r="L1307" s="7" t="n">
        <ns0:v>39</ns0:v>
      </ns0:c>
      <ns0:c r="M1307" s="7" t="n">
        <ns0:v>-8980.416677426627</ns0:v>
      </ns0:c>
      <ns0:c r="N1307" s="7" t="n">
        <ns0:v>61623.40859414973</ns0:v>
      </ns0:c>
      <ns0:c r="O1307" s="7" t="n">
        <ns0:v>139046.3040744548</ns0:v>
      </ns0:c>
      <ns0:c r="P1307" s="7" t="n">
        <ns0:v>332603.5427752174</ns0:v>
      </ns0:c>
      <ns0:c r="Q1307" s="7" t="n">
        <ns0:v>1064832.497578267</ns0:v>
      </ns0:c>
      <ns0:c r="R1307" s="7" t="n">
        <ns0:v>3704633.839388943</ns0:v>
      </ns0:c>
    </ns0:row>
    <ns0:row r="1308" ht="24" customHeight="1">
      <ns0:c r="A1308" s="3" t="inlineStr">
        <ns0:is>
          <ns0:t>混在40/30/30</ns0:t>
        </ns0:is>
      </ns0:c>
      <ns0:c r="B1308" s="3" t="inlineStr">
        <ns0:is>
          <ns0:t>G0基本5000比較</ns0:t>
        </ns0:is>
      </ns0:c>
      <ns0:c r="C1308" s="3" t="inlineStr">
        <ns0:is>
          <ns0:t>C</ns0:t>
        </ns0:is>
      </ns0:c>
      <ns0:c r="D1308" s="4" t="n">
        <ns0:v>2</ns0:v>
      </ns0:c>
      <ns0:c r="E1308" s="4" t="n">
        <ns0:v>1000</ns0:v>
      </ns0:c>
      <ns0:c r="F1308" s="6" t="n">
        <ns0:v>0.4</ns0:v>
      </ns0:c>
      <ns0:c r="G1308" s="4" t="n">
        <ns0:v>0</ns0:v>
      </ns0:c>
      <ns0:c r="H1308" s="7" t="n">
        <ns0:v>8655.881836738961</ns0:v>
      </ns0:c>
      <ns0:c r="I1308" s="7" t="n">
        <ns0:v>4331.338451358506</ns0:v>
      </ns0:c>
      <ns0:c r="J1308" s="7" t="n">
        <ns0:v>1732.535380543403</ns0:v>
      </ns0:c>
      <ns0:c r="K1308" s="7" t="n">
        <ns0:v>11</ns0:v>
      </ns0:c>
      <ns0:c r="L1308" s="7" t="n">
        <ns0:v>20</ns0:v>
      </ns0:c>
      <ns0:c r="M1308" s="7" t="n">
        <ns0:v>-3528.04546842835</ns0:v>
      </ns0:c>
      <ns0:c r="N1308" s="7" t="n">
        <ns0:v>77980.52222114452</ns0:v>
      </ns0:c>
      <ns0:c r="O1308" s="7" t="n">
        <ns0:v>166308.1601194461</ns0:v>
      </ns0:c>
      <ns0:c r="P1308" s="7" t="n">
        <ns0:v>387127.2548652</ns0:v>
      </ns0:c>
      <ns0:c r="Q1308" s="7" t="n">
        <ns0:v>1228403.633848216</ns0:v>
      </ns0:c>
      <ns0:c r="R1308" s="7" t="n">
        <ns0:v>4249870.96028877</ns0:v>
      </ns0:c>
    </ns0:row>
    <ns0:row r="1309" ht="24" customHeight="1">
      <ns0:c r="A1309" s="3" t="inlineStr">
        <ns0:is>
          <ns0:t>混在40/30/30</ns0:t>
        </ns0:is>
      </ns0:c>
      <ns0:c r="B1309" s="3" t="inlineStr">
        <ns0:is>
          <ns0:t>G0基本5000比較</ns0:t>
        </ns0:is>
      </ns0:c>
      <ns0:c r="C1309" s="3" t="inlineStr">
        <ns0:is>
          <ns0:t>C</ns0:t>
        </ns0:is>
      </ns0:c>
      <ns0:c r="D1309" s="4" t="n">
        <ns0:v>2</ns0:v>
      </ns0:c>
      <ns0:c r="E1309" s="4" t="n">
        <ns0:v>1000</ns0:v>
      </ns0:c>
      <ns0:c r="F1309" s="6" t="n">
        <ns0:v>0.4</ns0:v>
      </ns0:c>
      <ns0:c r="G1309" s="4" t="n">
        <ns0:v>1</ns0:v>
      </ns0:c>
      <ns0:c r="H1309" s="7" t="n">
        <ns0:v>8655.881836738961</ns0:v>
      </ns0:c>
      <ns0:c r="I1309" s="7" t="n">
        <ns0:v>4331.338451358506</ns0:v>
      </ns0:c>
      <ns0:c r="J1309" s="7" t="n">
        <ns0:v>1732.535380543403</ns0:v>
      </ns0:c>
      <ns0:c r="K1309" s="7" t="n">
        <ns0:v>12</ns0:v>
      </ns0:c>
      <ns0:c r="L1309" s="7" t="n">
        <ns0:v>24</ns0:v>
      </ns0:c>
      <ns0:c r="M1309" s="7" t="n">
        <ns0:v>-6732.600794633252</ns0:v>
      </ns0:c>
      <ns0:c r="N1309" s="7" t="n">
        <ns0:v>68366.85624252982</ns0:v>
      </ns0:c>
      <ns0:c r="O1309" s="7" t="n">
        <ns0:v>150285.3834884216</ns0:v>
      </ns0:c>
      <ns0:c r="P1309" s="7" t="n">
        <ns0:v>355081.701603151</ns0:v>
      </ns0:c>
      <ns0:c r="Q1309" s="7" t="n">
        <ns0:v>1132266.974062068</ns0:v>
      </ns0:c>
      <ns0:c r="R1309" s="7" t="n">
        <ns0:v>3929415.42766828</ns0:v>
      </ns0:c>
    </ns0:row>
    <ns0:row r="1310" ht="24" customHeight="1">
      <ns0:c r="A1310" s="3" t="inlineStr">
        <ns0:is>
          <ns0:t>混在40/30/30</ns0:t>
        </ns0:is>
      </ns0:c>
      <ns0:c r="B1310" s="3" t="inlineStr">
        <ns0:is>
          <ns0:t>G0基本5000比較</ns0:t>
        </ns0:is>
      </ns0:c>
      <ns0:c r="C1310" s="3" t="inlineStr">
        <ns0:is>
          <ns0:t>C</ns0:t>
        </ns0:is>
      </ns0:c>
      <ns0:c r="D1310" s="4" t="n">
        <ns0:v>2</ns0:v>
      </ns0:c>
      <ns0:c r="E1310" s="4" t="n">
        <ns0:v>1000</ns0:v>
      </ns0:c>
      <ns0:c r="F1310" s="6" t="n">
        <ns0:v>0.4</ns0:v>
      </ns0:c>
      <ns0:c r="G1310" s="4" t="n">
        <ns0:v>2</ns0:v>
      </ns0:c>
      <ns0:c r="H1310" s="7" t="n">
        <ns0:v>8655.881836738961</ns0:v>
      </ns0:c>
      <ns0:c r="I1310" s="7" t="n">
        <ns0:v>4331.338451358506</ns0:v>
      </ns0:c>
      <ns0:c r="J1310" s="7" t="n">
        <ns0:v>1732.535380543403</ns0:v>
      </ns0:c>
      <ns0:c r="K1310" s="18" t="inlineStr">
        <ns0:is>
          <ns0:t>範囲内なし</ns0:t>
        </ns0:is>
      </ns0:c>
      <ns0:c r="L1310" s="18" t="inlineStr">
        <ns0:is>
          <ns0:t>範囲内なし</ns0:t>
        </ns0:is>
      </ns0:c>
      <ns0:c r="M1310" s="7" t="n">
        <ns0:v>-46304.96614321214</ns0:v>
      </ns0:c>
      <ns0:c r="N1310" s="7" t="n">
        <ns0:v>-50350.23980320686</ns0:v>
      </ns0:c>
      <ns0:c r="O1310" s="7" t="n">
        <ns0:v>-47576.4432544728</ns0:v>
      </ns0:c>
      <ns0:c r="P1310" s="7" t="n">
        <ns0:v>-40641.9518826378</ns0:v>
      </ns0:c>
      <ns0:c r="Q1310" s="7" t="n">
        <ns0:v>-54903.98639529792</ns0:v>
      </ns0:c>
      <ns0:c r="R1310" s="7" t="n">
        <ns0:v>-27821.10718960874</ns0:v>
      </ns0:c>
    </ns0:row>
    <ns0:row r="1311" ht="24" customHeight="1">
      <ns0:c r="A1311" s="3" t="inlineStr">
        <ns0:is>
          <ns0:t>混在40/30/30</ns0:t>
        </ns0:is>
      </ns0:c>
      <ns0:c r="B1311" s="3" t="inlineStr">
        <ns0:is>
          <ns0:t>G0基本5000比較</ns0:t>
        </ns0:is>
      </ns0:c>
      <ns0:c r="C1311" s="3" t="inlineStr">
        <ns0:is>
          <ns0:t>C</ns0:t>
        </ns0:is>
      </ns0:c>
      <ns0:c r="D1311" s="4" t="n">
        <ns0:v>2</ns0:v>
      </ns0:c>
      <ns0:c r="E1311" s="4" t="n">
        <ns0:v>1000</ns0:v>
      </ns0:c>
      <ns0:c r="F1311" s="6" t="n">
        <ns0:v>0.4</ns0:v>
      </ns0:c>
      <ns0:c r="G1311" s="4" t="n">
        <ns0:v>3</ns0:v>
      </ns0:c>
      <ns0:c r="H1311" s="7" t="n">
        <ns0:v>8655.881836738961</ns0:v>
      </ns0:c>
      <ns0:c r="I1311" s="7" t="n">
        <ns0:v>4331.338451358506</ns0:v>
      </ns0:c>
      <ns0:c r="J1311" s="7" t="n">
        <ns0:v>1732.535380543403</ns0:v>
      </ns0:c>
      <ns0:c r="K1311" s="7" t="n">
        <ns0:v>13</ns0:v>
      </ns0:c>
      <ns0:c r="L1311" s="7" t="n">
        <ns0:v>44</ns0:v>
      </ns0:c>
      <ns0:c r="M1311" s="7" t="n">
        <ns0:v>-13311.75512878513</ns0:v>
      </ns0:c>
      <ns0:c r="N1311" s="7" t="n">
        <ns0:v>48629.39324007418</ns0:v>
      </ns0:c>
      <ns0:c r="O1311" s="7" t="n">
        <ns0:v>117389.6118176622</ns0:v>
      </ns0:c>
      <ns0:c r="P1311" s="7" t="n">
        <ns0:v>289290.1582616323</ns0:v>
      </ns0:c>
      <ns0:c r="Q1311" s="7" t="n">
        <ns0:v>934892.3440375122</ns0:v>
      </ns0:c>
      <ns0:c r="R1311" s="7" t="n">
        <ns0:v>3271499.994253092</ns0:v>
      </ns0:c>
    </ns0:row>
    <ns0:row r="1312" ht="24" customHeight="1">
      <ns0:c r="A1312" s="3" t="inlineStr">
        <ns0:is>
          <ns0:t>混在40/30/30</ns0:t>
        </ns0:is>
      </ns0:c>
      <ns0:c r="B1312" s="3" t="inlineStr">
        <ns0:is>
          <ns0:t>G0基本5000比較</ns0:t>
        </ns0:is>
      </ns0:c>
      <ns0:c r="C1312" s="3" t="inlineStr">
        <ns0:is>
          <ns0:t>C</ns0:t>
        </ns0:is>
      </ns0:c>
      <ns0:c r="D1312" s="4" t="n">
        <ns0:v>2</ns0:v>
      </ns0:c>
      <ns0:c r="E1312" s="4" t="n">
        <ns0:v>1000</ns0:v>
      </ns0:c>
      <ns0:c r="F1312" s="6" t="n">
        <ns0:v>0.5</ns0:v>
      </ns0:c>
      <ns0:c r="G1312" s="4" t="n">
        <ns0:v>0</ns0:v>
      </ns0:c>
      <ns0:c r="H1312" s="7" t="n">
        <ns0:v>8655.881836738961</ns0:v>
      </ns0:c>
      <ns0:c r="I1312" s="7" t="n">
        <ns0:v>4331.338451358506</ns0:v>
      </ns0:c>
      <ns0:c r="J1312" s="7" t="n">
        <ns0:v>2165.669225679253</ns0:v>
      </ns0:c>
      <ns0:c r="K1312" s="7" t="n">
        <ns0:v>12</ns0:v>
      </ns0:c>
      <ns0:c r="L1312" s="7" t="n">
        <ns0:v>21</ns0:v>
      </ns0:c>
      <ns0:c r="M1312" s="7" t="n">
        <ns0:v>-7859.383919786855</ns0:v>
      </ns0:c>
      <ns0:c r="N1312" s="7" t="n">
        <ns0:v>64986.50686706902</ns0:v>
      </ns0:c>
      <ns0:c r="O1312" s="7" t="n">
        <ns0:v>144651.4678626536</ns0:v>
      </ns0:c>
      <ns0:c r="P1312" s="7" t="n">
        <ns0:v>343813.870351615</ns0:v>
      </ns0:c>
      <ns0:c r="Q1312" s="7" t="n">
        <ns0:v>1098463.480307461</ns0:v>
      </ns0:c>
      <ns0:c r="R1312" s="7" t="n">
        <ns0:v>3816737.115152921</ns0:v>
      </ns0:c>
    </ns0:row>
    <ns0:row r="1313" ht="24" customHeight="1">
      <ns0:c r="A1313" s="3" t="inlineStr">
        <ns0:is>
          <ns0:t>混在40/30/30</ns0:t>
        </ns0:is>
      </ns0:c>
      <ns0:c r="B1313" s="3" t="inlineStr">
        <ns0:is>
          <ns0:t>G0基本5000比較</ns0:t>
        </ns0:is>
      </ns0:c>
      <ns0:c r="C1313" s="3" t="inlineStr">
        <ns0:is>
          <ns0:t>C</ns0:t>
        </ns0:is>
      </ns0:c>
      <ns0:c r="D1313" s="4" t="n">
        <ns0:v>2</ns0:v>
      </ns0:c>
      <ns0:c r="E1313" s="4" t="n">
        <ns0:v>1000</ns0:v>
      </ns0:c>
      <ns0:c r="F1313" s="6" t="n">
        <ns0:v>0.5</ns0:v>
      </ns0:c>
      <ns0:c r="G1313" s="4" t="n">
        <ns0:v>1</ns0:v>
      </ns0:c>
      <ns0:c r="H1313" s="7" t="n">
        <ns0:v>8655.881836738961</ns0:v>
      </ns0:c>
      <ns0:c r="I1313" s="7" t="n">
        <ns0:v>4331.338451358506</ns0:v>
      </ns0:c>
      <ns0:c r="J1313" s="7" t="n">
        <ns0:v>2165.669225679253</ns0:v>
      </ns0:c>
      <ns0:c r="K1313" s="7" t="n">
        <ns0:v>13</ns0:v>
      </ns0:c>
      <ns0:c r="L1313" s="7" t="n">
        <ns0:v>26</ns0:v>
      </ns0:c>
      <ns0:c r="M1313" s="7" t="n">
        <ns0:v>-11063.93924599176</ns0:v>
      </ns0:c>
      <ns0:c r="N1313" s="7" t="n">
        <ns0:v>55372.84088845431</ns0:v>
      </ns0:c>
      <ns0:c r="O1313" s="7" t="n">
        <ns0:v>128628.6912316291</ns0:v>
      </ns0:c>
      <ns0:c r="P1313" s="7" t="n">
        <ns0:v>311768.317089566</ns0:v>
      </ns0:c>
      <ns0:c r="Q1313" s="7" t="n">
        <ns0:v>1002326.820521313</ns0:v>
      </ns0:c>
      <ns0:c r="R1313" s="7" t="n">
        <ns0:v>3496281.58253243</ns0:v>
      </ns0:c>
    </ns0:row>
    <ns0:row r="1314" ht="24" customHeight="1">
      <ns0:c r="A1314" s="3" t="inlineStr">
        <ns0:is>
          <ns0:t>混在40/30/30</ns0:t>
        </ns0:is>
      </ns0:c>
      <ns0:c r="B1314" s="3" t="inlineStr">
        <ns0:is>
          <ns0:t>G0基本5000比較</ns0:t>
        </ns0:is>
      </ns0:c>
      <ns0:c r="C1314" s="3" t="inlineStr">
        <ns0:is>
          <ns0:t>C</ns0:t>
        </ns0:is>
      </ns0:c>
      <ns0:c r="D1314" s="4" t="n">
        <ns0:v>2</ns0:v>
      </ns0:c>
      <ns0:c r="E1314" s="4" t="n">
        <ns0:v>1000</ns0:v>
      </ns0:c>
      <ns0:c r="F1314" s="6" t="n">
        <ns0:v>0.5</ns0:v>
      </ns0:c>
      <ns0:c r="G1314" s="4" t="n">
        <ns0:v>2</ns0:v>
      </ns0:c>
      <ns0:c r="H1314" s="7" t="n">
        <ns0:v>8655.881836738961</ns0:v>
      </ns0:c>
      <ns0:c r="I1314" s="7" t="n">
        <ns0:v>4331.338451358506</ns0:v>
      </ns0:c>
      <ns0:c r="J1314" s="7" t="n">
        <ns0:v>2165.669225679253</ns0:v>
      </ns0:c>
      <ns0:c r="K1314" s="18" t="inlineStr">
        <ns0:is>
          <ns0:t>範囲内なし</ns0:t>
        </ns0:is>
      </ns0:c>
      <ns0:c r="L1314" s="18" t="inlineStr">
        <ns0:is>
          <ns0:t>範囲内なし</ns0:t>
        </ns0:is>
      </ns0:c>
      <ns0:c r="M1314" s="7" t="n">
        <ns0:v>-50636.30459457064</ns0:v>
      </ns0:c>
      <ns0:c r="N1314" s="7" t="n">
        <ns0:v>-63344.25515728236</ns0:v>
      </ns0:c>
      <ns0:c r="O1314" s="7" t="n">
        <ns0:v>-69233.13551126531</ns0:v>
      </ns0:c>
      <ns0:c r="P1314" s="7" t="n">
        <ns0:v>-83955.33639622282</ns0:v>
      </ns0:c>
      <ns0:c r="Q1314" s="7" t="n">
        <ns0:v>-184844.1399360531</ns0:v>
      </ns0:c>
      <ns0:c r="R1314" s="7" t="n">
        <ns0:v>-460954.9523254586</ns0:v>
      </ns0:c>
    </ns0:row>
    <ns0:row r="1315" ht="24" customHeight="1">
      <ns0:c r="A1315" s="3" t="inlineStr">
        <ns0:is>
          <ns0:t>混在40/30/30</ns0:t>
        </ns0:is>
      </ns0:c>
      <ns0:c r="B1315" s="3" t="inlineStr">
        <ns0:is>
          <ns0:t>G0基本5000比較</ns0:t>
        </ns0:is>
      </ns0:c>
      <ns0:c r="C1315" s="3" t="inlineStr">
        <ns0:is>
          <ns0:t>C</ns0:t>
        </ns0:is>
      </ns0:c>
      <ns0:c r="D1315" s="4" t="n">
        <ns0:v>2</ns0:v>
      </ns0:c>
      <ns0:c r="E1315" s="4" t="n">
        <ns0:v>1000</ns0:v>
      </ns0:c>
      <ns0:c r="F1315" s="6" t="n">
        <ns0:v>0.5</ns0:v>
      </ns0:c>
      <ns0:c r="G1315" s="4" t="n">
        <ns0:v>3</ns0:v>
      </ns0:c>
      <ns0:c r="H1315" s="7" t="n">
        <ns0:v>8655.881836738961</ns0:v>
      </ns0:c>
      <ns0:c r="I1315" s="7" t="n">
        <ns0:v>4331.338451358506</ns0:v>
      </ns0:c>
      <ns0:c r="J1315" s="7" t="n">
        <ns0:v>2165.669225679253</ns0:v>
      </ns0:c>
      <ns0:c r="K1315" s="7" t="n">
        <ns0:v>19</ns0:v>
      </ns0:c>
      <ns0:c r="L1315" s="7" t="n">
        <ns0:v>50</ns0:v>
      </ns0:c>
      <ns0:c r="M1315" s="7" t="n">
        <ns0:v>-17643.09358014364</ns0:v>
      </ns0:c>
      <ns0:c r="N1315" s="7" t="n">
        <ns0:v>35635.37788599869</ns0:v>
      </ns0:c>
      <ns0:c r="O1315" s="7" t="n">
        <ns0:v>95732.91956086972</ns0:v>
      </ns0:c>
      <ns0:c r="P1315" s="7" t="n">
        <ns0:v>245976.7737480472</ns0:v>
      </ns0:c>
      <ns0:c r="Q1315" s="7" t="n">
        <ns0:v>804952.190496757</ns0:v>
      </ns0:c>
      <ns0:c r="R1315" s="7" t="n">
        <ns0:v>2838366.149117242</ns0:v>
      </ns0:c>
    </ns0:row>
    <ns0:row r="1316" ht="24" customHeight="1">
      <ns0:c r="A1316" s="3" t="inlineStr">
        <ns0:is>
          <ns0:t>混在40/30/30</ns0:t>
        </ns0:is>
      </ns0:c>
      <ns0:c r="B1316" s="3" t="inlineStr">
        <ns0:is>
          <ns0:t>G0基本5000比較</ns0:t>
        </ns0:is>
      </ns0:c>
      <ns0:c r="C1316" s="3" t="inlineStr">
        <ns0:is>
          <ns0:t>C</ns0:t>
        </ns0:is>
      </ns0:c>
      <ns0:c r="D1316" s="4" t="n">
        <ns0:v>2</ns0:v>
      </ns0:c>
      <ns0:c r="E1316" s="4" t="n">
        <ns0:v>1500</ns0:v>
      </ns0:c>
      <ns0:c r="F1316" s="6" t="n">
        <ns0:v>0.3</ns0:v>
      </ns0:c>
      <ns0:c r="G1316" s="4" t="n">
        <ns0:v>0</ns0:v>
      </ns0:c>
      <ns0:c r="H1316" s="7" t="n">
        <ns0:v>8505.881836738961</ns0:v>
      </ns0:c>
      <ns0:c r="I1316" s="7" t="n">
        <ns0:v>4181.338451358505</ns0:v>
      </ns0:c>
      <ns0:c r="J1316" s="7" t="n">
        <ns0:v>1254.401535407552</ns0:v>
      </ns0:c>
      <ns0:c r="K1316" s="7" t="n">
        <ns0:v>11</ns0:v>
      </ns0:c>
      <ns0:c r="L1316" s="7" t="n">
        <ns0:v>19</ns0:v>
      </ns0:c>
      <ns0:c r="M1316" s="7" t="n">
        <ns0:v>-192.7070170698498</ns0:v>
      </ns0:c>
      <ns0:c r="N1316" s="7" t="n">
        <ns0:v>87986.53757522005</ns0:v>
      </ns0:c>
      <ns0:c r="O1316" s="7" t="n">
        <ns0:v>182984.8523762387</ns0:v>
      </ns0:c>
      <ns0:c r="P1316" s="7" t="n">
        <ns0:v>420480.6393787852</ns0:v>
      </ns0:c>
      <ns0:c r="Q1316" s="7" t="n">
        <ns0:v>1328463.787388971</ns0:v>
      </ns0:c>
      <ns0:c r="R1316" s="7" t="n">
        <ns0:v>4583404.805424621</ns0:v>
      </ns0:c>
    </ns0:row>
    <ns0:row r="1317" ht="24" customHeight="1">
      <ns0:c r="A1317" s="3" t="inlineStr">
        <ns0:is>
          <ns0:t>混在40/30/30</ns0:t>
        </ns0:is>
      </ns0:c>
      <ns0:c r="B1317" s="3" t="inlineStr">
        <ns0:is>
          <ns0:t>G0基本5000比較</ns0:t>
        </ns0:is>
      </ns0:c>
      <ns0:c r="C1317" s="3" t="inlineStr">
        <ns0:is>
          <ns0:t>C</ns0:t>
        </ns0:is>
      </ns0:c>
      <ns0:c r="D1317" s="4" t="n">
        <ns0:v>2</ns0:v>
      </ns0:c>
      <ns0:c r="E1317" s="4" t="n">
        <ns0:v>1500</ns0:v>
      </ns0:c>
      <ns0:c r="F1317" s="6" t="n">
        <ns0:v>0.3</ns0:v>
      </ns0:c>
      <ns0:c r="G1317" s="4" t="n">
        <ns0:v>1</ns0:v>
      </ns0:c>
      <ns0:c r="H1317" s="7" t="n">
        <ns0:v>8505.881836738961</ns0:v>
      </ns0:c>
      <ns0:c r="I1317" s="7" t="n">
        <ns0:v>4181.338451358505</ns0:v>
      </ns0:c>
      <ns0:c r="J1317" s="7" t="n">
        <ns0:v>1254.401535407552</ns0:v>
      </ns0:c>
      <ns0:c r="K1317" s="7" t="n">
        <ns0:v>11</ns0:v>
      </ns0:c>
      <ns0:c r="L1317" s="7" t="n">
        <ns0:v>23</ns0:v>
      </ns0:c>
      <ns0:c r="M1317" s="7" t="n">
        <ns0:v>-3397.262343274751</ns0:v>
      </ns0:c>
      <ns0:c r="N1317" s="7" t="n">
        <ns0:v>78372.87159660533</ns0:v>
      </ns0:c>
      <ns0:c r="O1317" s="7" t="n">
        <ns0:v>166962.0757452142</ns0:v>
      </ns0:c>
      <ns0:c r="P1317" s="7" t="n">
        <ns0:v>388435.0861167361</ns0:v>
      </ns0:c>
      <ns0:c r="Q1317" s="7" t="n">
        <ns0:v>1232327.127602824</ns0:v>
      </ns0:c>
      <ns0:c r="R1317" s="7" t="n">
        <ns0:v>4262949.272804131</ns0:v>
      </ns0:c>
    </ns0:row>
    <ns0:row r="1318" ht="24" customHeight="1">
      <ns0:c r="A1318" s="3" t="inlineStr">
        <ns0:is>
          <ns0:t>混在40/30/30</ns0:t>
        </ns0:is>
      </ns0:c>
      <ns0:c r="B1318" s="3" t="inlineStr">
        <ns0:is>
          <ns0:t>G0基本5000比較</ns0:t>
        </ns0:is>
      </ns0:c>
      <ns0:c r="C1318" s="3" t="inlineStr">
        <ns0:is>
          <ns0:t>C</ns0:t>
        </ns0:is>
      </ns0:c>
      <ns0:c r="D1318" s="4" t="n">
        <ns0:v>2</ns0:v>
      </ns0:c>
      <ns0:c r="E1318" s="4" t="n">
        <ns0:v>1500</ns0:v>
      </ns0:c>
      <ns0:c r="F1318" s="6" t="n">
        <ns0:v>0.3</ns0:v>
      </ns0:c>
      <ns0:c r="G1318" s="4" t="n">
        <ns0:v>2</ns0:v>
      </ns0:c>
      <ns0:c r="H1318" s="7" t="n">
        <ns0:v>8505.881836738961</ns0:v>
      </ns0:c>
      <ns0:c r="I1318" s="7" t="n">
        <ns0:v>4181.338451358505</ns0:v>
      </ns0:c>
      <ns0:c r="J1318" s="7" t="n">
        <ns0:v>1254.401535407552</ns0:v>
      </ns0:c>
      <ns0:c r="K1318" s="7" t="n">
        <ns0:v>205</ns0:v>
      </ns0:c>
      <ns0:c r="L1318" s="18" t="inlineStr">
        <ns0:is>
          <ns0:t>範囲内なし</ns0:t>
        </ns0:is>
      </ns0:c>
      <ns0:c r="M1318" s="7" t="n">
        <ns0:v>-42969.62769185364</ns0:v>
      </ns0:c>
      <ns0:c r="N1318" s="7" t="n">
        <ns0:v>-40344.22444913132</ns0:v>
      </ns0:c>
      <ns0:c r="O1318" s="7" t="n">
        <ns0:v>-30899.75099768027</ns0:v>
      </ns0:c>
      <ns0:c r="P1318" s="7" t="n">
        <ns0:v>-7288.567369052733</ns0:v>
      </ns0:c>
      <ns0:c r="Q1318" s="7" t="n">
        <ns0:v>45156.16714545735</ns0:v>
      </ns0:c>
      <ns0:c r="R1318" s="7" t="n">
        <ns0:v>305712.7379462426</ns0:v>
      </ns0:c>
    </ns0:row>
    <ns0:row r="1319" ht="24" customHeight="1">
      <ns0:c r="A1319" s="3" t="inlineStr">
        <ns0:is>
          <ns0:t>混在40/30/30</ns0:t>
        </ns0:is>
      </ns0:c>
      <ns0:c r="B1319" s="3" t="inlineStr">
        <ns0:is>
          <ns0:t>G0基本5000比較</ns0:t>
        </ns0:is>
      </ns0:c>
      <ns0:c r="C1319" s="3" t="inlineStr">
        <ns0:is>
          <ns0:t>C</ns0:t>
        </ns0:is>
      </ns0:c>
      <ns0:c r="D1319" s="4" t="n">
        <ns0:v>2</ns0:v>
      </ns0:c>
      <ns0:c r="E1319" s="4" t="n">
        <ns0:v>1500</ns0:v>
      </ns0:c>
      <ns0:c r="F1319" s="6" t="n">
        <ns0:v>0.3</ns0:v>
      </ns0:c>
      <ns0:c r="G1319" s="4" t="n">
        <ns0:v>3</ns0:v>
      </ns0:c>
      <ns0:c r="H1319" s="7" t="n">
        <ns0:v>8505.881836738961</ns0:v>
      </ns0:c>
      <ns0:c r="I1319" s="7" t="n">
        <ns0:v>4181.338451358505</ns0:v>
      </ns0:c>
      <ns0:c r="J1319" s="7" t="n">
        <ns0:v>1254.401535407552</ns0:v>
      </ns0:c>
      <ns0:c r="K1319" s="7" t="n">
        <ns0:v>12</ns0:v>
      </ns0:c>
      <ns0:c r="L1319" s="7" t="n">
        <ns0:v>40</ns0:v>
      </ns0:c>
      <ns0:c r="M1319" s="7" t="n">
        <ns0:v>-9976.416677426627</ns0:v>
      </ns0:c>
      <ns0:c r="N1319" s="7" t="n">
        <ns0:v>58635.4085941497</ns0:v>
      </ns0:c>
      <ns0:c r="O1319" s="7" t="n">
        <ns0:v>134066.3040744548</ns0:v>
      </ns0:c>
      <ns0:c r="P1319" s="7" t="n">
        <ns0:v>322643.5427752173</ns0:v>
      </ns0:c>
      <ns0:c r="Q1319" s="7" t="n">
        <ns0:v>1034952.497578267</ns0:v>
      </ns0:c>
      <ns0:c r="R1319" s="7" t="n">
        <ns0:v>3605033.839388943</ns0:v>
      </ns0:c>
    </ns0:row>
    <ns0:row r="1320" ht="24" customHeight="1">
      <ns0:c r="A1320" s="3" t="inlineStr">
        <ns0:is>
          <ns0:t>混在40/30/30</ns0:t>
        </ns0:is>
      </ns0:c>
      <ns0:c r="B1320" s="3" t="inlineStr">
        <ns0:is>
          <ns0:t>G0基本5000比較</ns0:t>
        </ns0:is>
      </ns0:c>
      <ns0:c r="C1320" s="3" t="inlineStr">
        <ns0:is>
          <ns0:t>C</ns0:t>
        </ns0:is>
      </ns0:c>
      <ns0:c r="D1320" s="4" t="n">
        <ns0:v>2</ns0:v>
      </ns0:c>
      <ns0:c r="E1320" s="4" t="n">
        <ns0:v>1500</ns0:v>
      </ns0:c>
      <ns0:c r="F1320" s="6" t="n">
        <ns0:v>0.4</ns0:v>
      </ns0:c>
      <ns0:c r="G1320" s="4" t="n">
        <ns0:v>0</ns0:v>
      </ns0:c>
      <ns0:c r="H1320" s="7" t="n">
        <ns0:v>8505.881836738961</ns0:v>
      </ns0:c>
      <ns0:c r="I1320" s="7" t="n">
        <ns0:v>4181.338451358505</ns0:v>
      </ns0:c>
      <ns0:c r="J1320" s="7" t="n">
        <ns0:v>1672.535380543402</ns0:v>
      </ns0:c>
      <ns0:c r="K1320" s="7" t="n">
        <ns0:v>11</ns0:v>
      </ns0:c>
      <ns0:c r="L1320" s="7" t="n">
        <ns0:v>20</ns0:v>
      </ns0:c>
      <ns0:c r="M1320" s="7" t="n">
        <ns0:v>-4374.045468428354</ns0:v>
      </ns0:c>
      <ns0:c r="N1320" s="7" t="n">
        <ns0:v>75442.52222114449</ns0:v>
      </ns0:c>
      <ns0:c r="O1320" s="7" t="n">
        <ns0:v>162078.1601194461</ns0:v>
      </ns0:c>
      <ns0:c r="P1320" s="7" t="n">
        <ns0:v>378667.2548652001</ns0:v>
      </ns0:c>
      <ns0:c r="Q1320" s="7" t="n">
        <ns0:v>1203023.633848216</ns0:v>
      </ns0:c>
      <ns0:c r="R1320" s="7" t="n">
        <ns0:v>4165270.96028877</ns0:v>
      </ns0:c>
    </ns0:row>
    <ns0:row r="1321" ht="24" customHeight="1">
      <ns0:c r="A1321" s="3" t="inlineStr">
        <ns0:is>
          <ns0:t>混在40/30/30</ns0:t>
        </ns0:is>
      </ns0:c>
      <ns0:c r="B1321" s="3" t="inlineStr">
        <ns0:is>
          <ns0:t>G0基本5000比較</ns0:t>
        </ns0:is>
      </ns0:c>
      <ns0:c r="C1321" s="3" t="inlineStr">
        <ns0:is>
          <ns0:t>C</ns0:t>
        </ns0:is>
      </ns0:c>
      <ns0:c r="D1321" s="4" t="n">
        <ns0:v>2</ns0:v>
      </ns0:c>
      <ns0:c r="E1321" s="4" t="n">
        <ns0:v>1500</ns0:v>
      </ns0:c>
      <ns0:c r="F1321" s="6" t="n">
        <ns0:v>0.4</ns0:v>
      </ns0:c>
      <ns0:c r="G1321" s="4" t="n">
        <ns0:v>1</ns0:v>
      </ns0:c>
      <ns0:c r="H1321" s="7" t="n">
        <ns0:v>8505.881836738961</ns0:v>
      </ns0:c>
      <ns0:c r="I1321" s="7" t="n">
        <ns0:v>4181.338451358505</ns0:v>
      </ns0:c>
      <ns0:c r="J1321" s="7" t="n">
        <ns0:v>1672.535380543402</ns0:v>
      </ns0:c>
      <ns0:c r="K1321" s="7" t="n">
        <ns0:v>12</ns0:v>
      </ns0:c>
      <ns0:c r="L1321" s="7" t="n">
        <ns0:v>25</ns0:v>
      </ns0:c>
      <ns0:c r="M1321" s="7" t="n">
        <ns0:v>-7578.600794633256</ns0:v>
      </ns0:c>
      <ns0:c r="N1321" s="7" t="n">
        <ns0:v>65828.85624252979</ns0:v>
      </ns0:c>
      <ns0:c r="O1321" s="7" t="n">
        <ns0:v>146055.3834884216</ns0:v>
      </ns0:c>
      <ns0:c r="P1321" s="7" t="n">
        <ns0:v>346621.701603151</ns0:v>
      </ns0:c>
      <ns0:c r="Q1321" s="7" t="n">
        <ns0:v>1106886.974062068</ns0:v>
      </ns0:c>
      <ns0:c r="R1321" s="7" t="n">
        <ns0:v>3844815.42766828</ns0:v>
      </ns0:c>
    </ns0:row>
    <ns0:row r="1322" ht="24" customHeight="1">
      <ns0:c r="A1322" s="3" t="inlineStr">
        <ns0:is>
          <ns0:t>混在40/30/30</ns0:t>
        </ns0:is>
      </ns0:c>
      <ns0:c r="B1322" s="3" t="inlineStr">
        <ns0:is>
          <ns0:t>G0基本5000比較</ns0:t>
        </ns0:is>
      </ns0:c>
      <ns0:c r="C1322" s="3" t="inlineStr">
        <ns0:is>
          <ns0:t>C</ns0:t>
        </ns0:is>
      </ns0:c>
      <ns0:c r="D1322" s="4" t="n">
        <ns0:v>2</ns0:v>
      </ns0:c>
      <ns0:c r="E1322" s="4" t="n">
        <ns0:v>1500</ns0:v>
      </ns0:c>
      <ns0:c r="F1322" s="6" t="n">
        <ns0:v>0.4</ns0:v>
      </ns0:c>
      <ns0:c r="G1322" s="4" t="n">
        <ns0:v>2</ns0:v>
      </ns0:c>
      <ns0:c r="H1322" s="7" t="n">
        <ns0:v>8505.881836738961</ns0:v>
      </ns0:c>
      <ns0:c r="I1322" s="7" t="n">
        <ns0:v>4181.338451358505</ns0:v>
      </ns0:c>
      <ns0:c r="J1322" s="7" t="n">
        <ns0:v>1672.535380543402</ns0:v>
      </ns0:c>
      <ns0:c r="K1322" s="18" t="inlineStr">
        <ns0:is>
          <ns0:t>範囲内なし</ns0:t>
        </ns0:is>
      </ns0:c>
      <ns0:c r="L1322" s="18" t="inlineStr">
        <ns0:is>
          <ns0:t>範囲内なし</ns0:t>
        </ns0:is>
      </ns0:c>
      <ns0:c r="M1322" s="7" t="n">
        <ns0:v>-47150.96614321214</ns0:v>
      </ns0:c>
      <ns0:c r="N1322" s="7" t="n">
        <ns0:v>-52888.23980320689</ns0:v>
      </ns0:c>
      <ns0:c r="O1322" s="7" t="n">
        <ns0:v>-51806.4432544728</ns0:v>
      </ns0:c>
      <ns0:c r="P1322" s="7" t="n">
        <ns0:v>-49101.9518826378</ns0:v>
      </ns0:c>
      <ns0:c r="Q1322" s="7" t="n">
        <ns0:v>-80283.98639529792</ns0:v>
      </ns0:c>
      <ns0:c r="R1322" s="7" t="n">
        <ns0:v>-112421.1071896087</ns0:v>
      </ns0:c>
    </ns0:row>
    <ns0:row r="1323" ht="24" customHeight="1">
      <ns0:c r="A1323" s="3" t="inlineStr">
        <ns0:is>
          <ns0:t>混在40/30/30</ns0:t>
        </ns0:is>
      </ns0:c>
      <ns0:c r="B1323" s="3" t="inlineStr">
        <ns0:is>
          <ns0:t>G0基本5000比較</ns0:t>
        </ns0:is>
      </ns0:c>
      <ns0:c r="C1323" s="3" t="inlineStr">
        <ns0:is>
          <ns0:t>C</ns0:t>
        </ns0:is>
      </ns0:c>
      <ns0:c r="D1323" s="4" t="n">
        <ns0:v>2</ns0:v>
      </ns0:c>
      <ns0:c r="E1323" s="4" t="n">
        <ns0:v>1500</ns0:v>
      </ns0:c>
      <ns0:c r="F1323" s="6" t="n">
        <ns0:v>0.4</ns0:v>
      </ns0:c>
      <ns0:c r="G1323" s="4" t="n">
        <ns0:v>3</ns0:v>
      </ns0:c>
      <ns0:c r="H1323" s="7" t="n">
        <ns0:v>8505.881836738961</ns0:v>
      </ns0:c>
      <ns0:c r="I1323" s="7" t="n">
        <ns0:v>4181.338451358505</ns0:v>
      </ns0:c>
      <ns0:c r="J1323" s="7" t="n">
        <ns0:v>1672.535380543402</ns0:v>
      </ns0:c>
      <ns0:c r="K1323" s="7" t="n">
        <ns0:v>13</ns0:v>
      </ns0:c>
      <ns0:c r="L1323" s="7" t="n">
        <ns0:v>45</ns0:v>
      </ns0:c>
      <ns0:c r="M1323" s="7" t="n">
        <ns0:v>-14157.75512878513</ns0:v>
      </ns0:c>
      <ns0:c r="N1323" s="7" t="n">
        <ns0:v>46091.39324007415</ns0:v>
      </ns0:c>
      <ns0:c r="O1323" s="7" t="n">
        <ns0:v>113159.6118176623</ns0:v>
      </ns0:c>
      <ns0:c r="P1323" s="7" t="n">
        <ns0:v>280830.1582616323</ns0:v>
      </ns0:c>
      <ns0:c r="Q1323" s="7" t="n">
        <ns0:v>909512.3440375122</ns0:v>
      </ns0:c>
      <ns0:c r="R1323" s="7" t="n">
        <ns0:v>3186899.994253092</ns0:v>
      </ns0:c>
    </ns0:row>
    <ns0:row r="1324" ht="24" customHeight="1">
      <ns0:c r="A1324" s="3" t="inlineStr">
        <ns0:is>
          <ns0:t>混在40/30/30</ns0:t>
        </ns0:is>
      </ns0:c>
      <ns0:c r="B1324" s="3" t="inlineStr">
        <ns0:is>
          <ns0:t>G0基本5000比較</ns0:t>
        </ns0:is>
      </ns0:c>
      <ns0:c r="C1324" s="3" t="inlineStr">
        <ns0:is>
          <ns0:t>C</ns0:t>
        </ns0:is>
      </ns0:c>
      <ns0:c r="D1324" s="4" t="n">
        <ns0:v>2</ns0:v>
      </ns0:c>
      <ns0:c r="E1324" s="4" t="n">
        <ns0:v>1500</ns0:v>
      </ns0:c>
      <ns0:c r="F1324" s="6" t="n">
        <ns0:v>0.5</ns0:v>
      </ns0:c>
      <ns0:c r="G1324" s="4" t="n">
        <ns0:v>0</ns0:v>
      </ns0:c>
      <ns0:c r="H1324" s="7" t="n">
        <ns0:v>8505.881836738961</ns0:v>
      </ns0:c>
      <ns0:c r="I1324" s="7" t="n">
        <ns0:v>4181.338451358505</ns0:v>
      </ns0:c>
      <ns0:c r="J1324" s="7" t="n">
        <ns0:v>2090.669225679253</ns0:v>
      </ns0:c>
      <ns0:c r="K1324" s="7" t="n">
        <ns0:v>12</ns0:v>
      </ns0:c>
      <ns0:c r="L1324" s="7" t="n">
        <ns0:v>21</ns0:v>
      </ns0:c>
      <ns0:c r="M1324" s="7" t="n">
        <ns0:v>-8555.383919786866</ns0:v>
      </ns0:c>
      <ns0:c r="N1324" s="7" t="n">
        <ns0:v>62898.506867069</ns0:v>
      </ns0:c>
      <ns0:c r="O1324" s="7" t="n">
        <ns0:v>141171.4678626536</ns0:v>
      </ns0:c>
      <ns0:c r="P1324" s="7" t="n">
        <ns0:v>336853.870351615</ns0:v>
      </ns0:c>
      <ns0:c r="Q1324" s="7" t="n">
        <ns0:v>1077583.480307461</ns0:v>
      </ns0:c>
      <ns0:c r="R1324" s="7" t="n">
        <ns0:v>3747137.115152921</ns0:v>
      </ns0:c>
    </ns0:row>
    <ns0:row r="1325" ht="24" customHeight="1">
      <ns0:c r="A1325" s="3" t="inlineStr">
        <ns0:is>
          <ns0:t>混在40/30/30</ns0:t>
        </ns0:is>
      </ns0:c>
      <ns0:c r="B1325" s="3" t="inlineStr">
        <ns0:is>
          <ns0:t>G0基本5000比較</ns0:t>
        </ns0:is>
      </ns0:c>
      <ns0:c r="C1325" s="3" t="inlineStr">
        <ns0:is>
          <ns0:t>C</ns0:t>
        </ns0:is>
      </ns0:c>
      <ns0:c r="D1325" s="4" t="n">
        <ns0:v>2</ns0:v>
      </ns0:c>
      <ns0:c r="E1325" s="4" t="n">
        <ns0:v>1500</ns0:v>
      </ns0:c>
      <ns0:c r="F1325" s="6" t="n">
        <ns0:v>0.5</ns0:v>
      </ns0:c>
      <ns0:c r="G1325" s="4" t="n">
        <ns0:v>1</ns0:v>
      </ns0:c>
      <ns0:c r="H1325" s="7" t="n">
        <ns0:v>8505.881836738961</ns0:v>
      </ns0:c>
      <ns0:c r="I1325" s="7" t="n">
        <ns0:v>4181.338451358505</ns0:v>
      </ns0:c>
      <ns0:c r="J1325" s="7" t="n">
        <ns0:v>2090.669225679253</ns0:v>
      </ns0:c>
      <ns0:c r="K1325" s="7" t="n">
        <ns0:v>13</ns0:v>
      </ns0:c>
      <ns0:c r="L1325" s="7" t="n">
        <ns0:v>26</ns0:v>
      </ns0:c>
      <ns0:c r="M1325" s="7" t="n">
        <ns0:v>-11759.93924599177</ns0:v>
      </ns0:c>
      <ns0:c r="N1325" s="7" t="n">
        <ns0:v>53284.84088845429</ns0:v>
      </ns0:c>
      <ns0:c r="O1325" s="7" t="n">
        <ns0:v>125148.6912316291</ns0:v>
      </ns0:c>
      <ns0:c r="P1325" s="7" t="n">
        <ns0:v>304808.317089566</ns0:v>
      </ns0:c>
      <ns0:c r="Q1325" s="7" t="n">
        <ns0:v>981446.8205213135</ns0:v>
      </ns0:c>
      <ns0:c r="R1325" s="7" t="n">
        <ns0:v>3426681.58253243</ns0:v>
      </ns0:c>
    </ns0:row>
    <ns0:row r="1326" ht="24" customHeight="1">
      <ns0:c r="A1326" s="3" t="inlineStr">
        <ns0:is>
          <ns0:t>混在40/30/30</ns0:t>
        </ns0:is>
      </ns0:c>
      <ns0:c r="B1326" s="3" t="inlineStr">
        <ns0:is>
          <ns0:t>G0基本5000比較</ns0:t>
        </ns0:is>
      </ns0:c>
      <ns0:c r="C1326" s="3" t="inlineStr">
        <ns0:is>
          <ns0:t>C</ns0:t>
        </ns0:is>
      </ns0:c>
      <ns0:c r="D1326" s="4" t="n">
        <ns0:v>2</ns0:v>
      </ns0:c>
      <ns0:c r="E1326" s="4" t="n">
        <ns0:v>1500</ns0:v>
      </ns0:c>
      <ns0:c r="F1326" s="6" t="n">
        <ns0:v>0.5</ns0:v>
      </ns0:c>
      <ns0:c r="G1326" s="4" t="n">
        <ns0:v>2</ns0:v>
      </ns0:c>
      <ns0:c r="H1326" s="7" t="n">
        <ns0:v>8505.881836738961</ns0:v>
      </ns0:c>
      <ns0:c r="I1326" s="7" t="n">
        <ns0:v>4181.338451358505</ns0:v>
      </ns0:c>
      <ns0:c r="J1326" s="7" t="n">
        <ns0:v>2090.669225679253</ns0:v>
      </ns0:c>
      <ns0:c r="K1326" s="18" t="inlineStr">
        <ns0:is>
          <ns0:t>範囲内なし</ns0:t>
        </ns0:is>
      </ns0:c>
      <ns0:c r="L1326" s="18" t="inlineStr">
        <ns0:is>
          <ns0:t>範囲内なし</ns0:t>
        </ns0:is>
      </ns0:c>
      <ns0:c r="M1326" s="7" t="n">
        <ns0:v>-51332.30459457065</ns0:v>
      </ns0:c>
      <ns0:c r="N1326" s="7" t="n">
        <ns0:v>-65432.25515728237</ns0:v>
      </ns0:c>
      <ns0:c r="O1326" s="7" t="n">
        <ns0:v>-72713.13551126534</ns0:v>
      </ns0:c>
      <ns0:c r="P1326" s="7" t="n">
        <ns0:v>-90915.33639622288</ns0:v>
      </ns0:c>
      <ns0:c r="Q1326" s="7" t="n">
        <ns0:v>-205724.1399360531</ns0:v>
      </ns0:c>
      <ns0:c r="R1326" s="7" t="n">
        <ns0:v>-530554.9523254586</ns0:v>
      </ns0:c>
    </ns0:row>
    <ns0:row r="1327" ht="24" customHeight="1">
      <ns0:c r="A1327" s="3" t="inlineStr">
        <ns0:is>
          <ns0:t>混在40/30/30</ns0:t>
        </ns0:is>
      </ns0:c>
      <ns0:c r="B1327" s="3" t="inlineStr">
        <ns0:is>
          <ns0:t>G0基本5000比較</ns0:t>
        </ns0:is>
      </ns0:c>
      <ns0:c r="C1327" s="3" t="inlineStr">
        <ns0:is>
          <ns0:t>C</ns0:t>
        </ns0:is>
      </ns0:c>
      <ns0:c r="D1327" s="4" t="n">
        <ns0:v>2</ns0:v>
      </ns0:c>
      <ns0:c r="E1327" s="4" t="n">
        <ns0:v>1500</ns0:v>
      </ns0:c>
      <ns0:c r="F1327" s="6" t="n">
        <ns0:v>0.5</ns0:v>
      </ns0:c>
      <ns0:c r="G1327" s="4" t="n">
        <ns0:v>3</ns0:v>
      </ns0:c>
      <ns0:c r="H1327" s="7" t="n">
        <ns0:v>8505.881836738961</ns0:v>
      </ns0:c>
      <ns0:c r="I1327" s="7" t="n">
        <ns0:v>4181.338451358505</ns0:v>
      </ns0:c>
      <ns0:c r="J1327" s="7" t="n">
        <ns0:v>2090.669225679253</ns0:v>
      </ns0:c>
      <ns0:c r="K1327" s="7" t="n">
        <ns0:v>19</ns0:v>
      </ns0:c>
      <ns0:c r="L1327" s="7" t="n">
        <ns0:v>51</ns0:v>
      </ns0:c>
      <ns0:c r="M1327" s="7" t="n">
        <ns0:v>-18339.09358014364</ns0:v>
      </ns0:c>
      <ns0:c r="N1327" s="7" t="n">
        <ns0:v>33547.37788599866</ns0:v>
      </ns0:c>
      <ns0:c r="O1327" s="7" t="n">
        <ns0:v>92252.91956086972</ns0:v>
      </ns0:c>
      <ns0:c r="P1327" s="7" t="n">
        <ns0:v>239016.7737480472</ns0:v>
      </ns0:c>
      <ns0:c r="Q1327" s="7" t="n">
        <ns0:v>784072.190496757</ns0:v>
      </ns0:c>
      <ns0:c r="R1327" s="7" t="n">
        <ns0:v>2768766.149117242</ns0:v>
      </ns0:c>
    </ns0:row>
    <ns0:row r="1328" ht="24" customHeight="1">
      <ns0:c r="A1328" s="3" t="inlineStr">
        <ns0:is>
          <ns0:t>混在40/30/30</ns0:t>
        </ns0:is>
      </ns0:c>
      <ns0:c r="B1328" s="3" t="inlineStr">
        <ns0:is>
          <ns0:t>G0基本5000比較</ns0:t>
        </ns0:is>
      </ns0:c>
      <ns0:c r="C1328" s="3" t="inlineStr">
        <ns0:is>
          <ns0:t>D</ns0:t>
        </ns0:is>
      </ns0:c>
      <ns0:c r="D1328" s="4" t="n">
        <ns0:v>0</ns0:v>
      </ns0:c>
      <ns0:c r="E1328" s="4" t="n">
        <ns0:v>500</ns0:v>
      </ns0:c>
      <ns0:c r="F1328" s="6" t="n">
        <ns0:v>0.3</ns0:v>
      </ns0:c>
      <ns0:c r="G1328" s="4" t="n">
        <ns0:v>0</ns0:v>
      </ns0:c>
      <ns0:c r="H1328" s="7" t="n">
        <ns0:v>5785.469260325406</ns0:v>
      </ns0:c>
      <ns0:c r="I1328" s="7" t="n">
        <ns0:v>4077.853936170213</ns0:v>
      </ns0:c>
      <ns0:c r="J1328" s="7" t="n">
        <ns0:v>1223.356180851064</ns0:v>
      </ns0:c>
      <ns0:c r="K1328" s="7" t="n">
        <ns0:v>21</ns0:v>
      </ns0:c>
      <ns0:c r="L1328" s="7" t="n">
        <ns0:v>62</ns0:v>
      </ns0:c>
      <ns0:c r="M1328" s="7" t="n">
        <ns0:v>-25076.11897017159</ns0:v>
      </ns0:c>
      <ns0:c r="N1328" s="7" t="n">
        <ns0:v>35293.51234210083</ns0:v>
      </ns0:c>
      <ns0:c r="O1328" s="7" t="n">
        <ns0:v>97783.16868566233</ns0:v>
      </ns0:c>
      <ns0:c r="P1328" s="7" t="n">
        <ns0:v>250077.2719976325</ns0:v>
      </ns0:c>
      <ns0:c r="Q1328" s="7" t="n">
        <ns0:v>817253.6852455131</ns0:v>
      </ns0:c>
      <ns0:c r="R1328" s="7" t="n">
        <ns0:v>2879371.131613094</ns0:v>
      </ns0:c>
    </ns0:row>
    <ns0:row r="1329" ht="24" customHeight="1">
      <ns0:c r="A1329" s="3" t="inlineStr">
        <ns0:is>
          <ns0:t>混在40/30/30</ns0:t>
        </ns0:is>
      </ns0:c>
      <ns0:c r="B1329" s="3" t="inlineStr">
        <ns0:is>
          <ns0:t>G0基本5000比較</ns0:t>
        </ns0:is>
      </ns0:c>
      <ns0:c r="C1329" s="3" t="inlineStr">
        <ns0:is>
          <ns0:t>D</ns0:t>
        </ns0:is>
      </ns0:c>
      <ns0:c r="D1329" s="4" t="n">
        <ns0:v>0</ns0:v>
      </ns0:c>
      <ns0:c r="E1329" s="4" t="n">
        <ns0:v>500</ns0:v>
      </ns0:c>
      <ns0:c r="F1329" s="6" t="n">
        <ns0:v>0.3</ns0:v>
      </ns0:c>
      <ns0:c r="G1329" s="4" t="n">
        <ns0:v>1</ns0:v>
      </ns0:c>
      <ns0:c r="H1329" s="7" t="n">
        <ns0:v>5785.469260325406</ns0:v>
      </ns0:c>
      <ns0:c r="I1329" s="7" t="n">
        <ns0:v>4077.853936170213</ns0:v>
      </ns0:c>
      <ns0:c r="J1329" s="7" t="n">
        <ns0:v>1223.356180851064</ns0:v>
      </ns0:c>
      <ns0:c r="K1329" s="7" t="n">
        <ns0:v>22</ns0:v>
      </ns0:c>
      <ns0:c r="L1329" s="7" t="n">
        <ns0:v>169</ns0:v>
      </ns0:c>
      <ns0:c r="M1329" s="7" t="n">
        <ns0:v>-27295.66278203691</ns0:v>
      </ns0:c>
      <ns0:c r="N1329" s="7" t="n">
        <ns0:v>28634.88090650489</ns0:v>
      </ns0:c>
      <ns0:c r="O1329" s="7" t="n">
        <ns0:v>86685.44962633577</ns0:v>
      </ns0:c>
      <ns0:c r="P1329" s="7" t="n">
        <ns0:v>227881.8338789793</ns0:v>
      </ns0:c>
      <ns0:c r="Q1329" s="7" t="n">
        <ns0:v>750667.3708895537</ns0:v>
      </ns0:c>
      <ns0:c r="R1329" s="7" t="n">
        <ns0:v>2657416.750426563</ns0:v>
      </ns0:c>
    </ns0:row>
    <ns0:row r="1330" ht="24" customHeight="1">
      <ns0:c r="A1330" s="3" t="inlineStr">
        <ns0:is>
          <ns0:t>混在40/30/30</ns0:t>
        </ns0:is>
      </ns0:c>
      <ns0:c r="B1330" s="3" t="inlineStr">
        <ns0:is>
          <ns0:t>G0基本5000比較</ns0:t>
        </ns0:is>
      </ns0:c>
      <ns0:c r="C1330" s="3" t="inlineStr">
        <ns0:is>
          <ns0:t>D</ns0:t>
        </ns0:is>
      </ns0:c>
      <ns0:c r="D1330" s="4" t="n">
        <ns0:v>0</ns0:v>
      </ns0:c>
      <ns0:c r="E1330" s="4" t="n">
        <ns0:v>500</ns0:v>
      </ns0:c>
      <ns0:c r="F1330" s="6" t="n">
        <ns0:v>0.3</ns0:v>
      </ns0:c>
      <ns0:c r="G1330" s="4" t="n">
        <ns0:v>2</ns0:v>
      </ns0:c>
      <ns0:c r="H1330" s="7" t="n">
        <ns0:v>5785.469260325406</ns0:v>
      </ns0:c>
      <ns0:c r="I1330" s="7" t="n">
        <ns0:v>4077.853936170213</ns0:v>
      </ns0:c>
      <ns0:c r="J1330" s="7" t="n">
        <ns0:v>1223.356180851064</ns0:v>
      </ns0:c>
      <ns0:c r="K1330" s="7" t="n">
        <ns0:v>32</ns0:v>
      </ns0:c>
      <ns0:c r="L1330" s="18" t="inlineStr">
        <ns0:is>
          <ns0:t>範囲内なし</ns0:t>
        </ns0:is>
      </ns0:c>
      <ns0:c r="M1330" s="7" t="n">
        <ns0:v>-38433.31906906885</ns0:v>
      </ns0:c>
      <ns0:c r="N1330" s="7" t="n">
        <ns0:v>-4778.087954590941</ns0:v>
      </ns0:c>
      <ns0:c r="O1330" s="7" t="n">
        <ns0:v>30997.16819117605</ns0:v>
      </ns0:c>
      <ns0:c r="P1330" s="7" t="n">
        <ns0:v>116505.2710086599</ns0:v>
      </ns0:c>
      <ns0:c r="Q1330" s="7" t="n">
        <ns0:v>416537.6822785954</ns0:v>
      </ns0:c>
      <ns0:c r="R1330" s="7" t="n">
        <ns0:v>1543651.121723369</ns0:v>
      </ns0:c>
    </ns0:row>
    <ns0:row r="1331" ht="24" customHeight="1">
      <ns0:c r="A1331" s="3" t="inlineStr">
        <ns0:is>
          <ns0:t>混在40/30/30</ns0:t>
        </ns0:is>
      </ns0:c>
      <ns0:c r="B1331" s="3" t="inlineStr">
        <ns0:is>
          <ns0:t>G0基本5000比較</ns0:t>
        </ns0:is>
      </ns0:c>
      <ns0:c r="C1331" s="3" t="inlineStr">
        <ns0:is>
          <ns0:t>D</ns0:t>
        </ns0:is>
      </ns0:c>
      <ns0:c r="D1331" s="4" t="n">
        <ns0:v>0</ns0:v>
      </ns0:c>
      <ns0:c r="E1331" s="4" t="n">
        <ns0:v>500</ns0:v>
      </ns0:c>
      <ns0:c r="F1331" s="6" t="n">
        <ns0:v>0.3</ns0:v>
      </ns0:c>
      <ns0:c r="G1331" s="4" t="n">
        <ns0:v>3</ns0:v>
      </ns0:c>
      <ns0:c r="H1331" s="7" t="n">
        <ns0:v>5785.469260325406</ns0:v>
      </ns0:c>
      <ns0:c r="I1331" s="7" t="n">
        <ns0:v>4077.853936170213</ns0:v>
      </ns0:c>
      <ns0:c r="J1331" s="7" t="n">
        <ns0:v>1223.356180851064</ns0:v>
      </ns0:c>
      <ns0:c r="K1331" s="7" t="n">
        <ns0:v>26</ns0:v>
      </ns0:c>
      <ns0:c r="L1331" s="18" t="inlineStr">
        <ns0:is>
          <ns0:t>範囲内なし</ns0:t>
        </ns0:is>
      </ns0:c>
      <ns0:c r="M1331" s="7" t="n">
        <ns0:v>-32419.93375234346</ns0:v>
      </ns0:c>
      <ns0:c r="N1331" s="7" t="n">
        <ns0:v>13262.06799558522</ns0:v>
      </ns0:c>
      <ns0:c r="O1331" s="7" t="n">
        <ns0:v>61064.09477480299</ns0:v>
      </ns0:c>
      <ns0:c r="P1331" s="7" t="n">
        <ns0:v>176639.1241759137</ns0:v>
      </ns0:c>
      <ns0:c r="Q1331" s="7" t="n">
        <ns0:v>596939.241780357</ns0:v>
      </ns0:c>
      <ns0:c r="R1331" s="7" t="n">
        <ns0:v>2144989.653395907</ns0:v>
      </ns0:c>
    </ns0:row>
    <ns0:row r="1332" ht="24" customHeight="1">
      <ns0:c r="A1332" s="3" t="inlineStr">
        <ns0:is>
          <ns0:t>混在40/30/30</ns0:t>
        </ns0:is>
      </ns0:c>
      <ns0:c r="B1332" s="3" t="inlineStr">
        <ns0:is>
          <ns0:t>G0基本5000比較</ns0:t>
        </ns0:is>
      </ns0:c>
      <ns0:c r="C1332" s="3" t="inlineStr">
        <ns0:is>
          <ns0:t>D</ns0:t>
        </ns0:is>
      </ns0:c>
      <ns0:c r="D1332" s="4" t="n">
        <ns0:v>0</ns0:v>
      </ns0:c>
      <ns0:c r="E1332" s="4" t="n">
        <ns0:v>500</ns0:v>
      </ns0:c>
      <ns0:c r="F1332" s="6" t="n">
        <ns0:v>0.4</ns0:v>
      </ns0:c>
      <ns0:c r="G1332" s="4" t="n">
        <ns0:v>0</ns0:v>
      </ns0:c>
      <ns0:c r="H1332" s="7" t="n">
        <ns0:v>5785.469260325406</ns0:v>
      </ns0:c>
      <ns0:c r="I1332" s="7" t="n">
        <ns0:v>4077.853936170213</ns0:v>
      </ns0:c>
      <ns0:c r="J1332" s="7" t="n">
        <ns0:v>1631.141574468085</ns0:v>
      </ns0:c>
      <ns0:c r="K1332" s="7" t="n">
        <ns0:v>24</ns0:v>
      </ns0:c>
      <ns0:c r="L1332" s="7" t="n">
        <ns0:v>71</ns0:v>
      </ns0:c>
      <ns0:c r="M1332" s="7" t="n">
        <ns0:v>-29153.97290634181</ns0:v>
      </ns0:c>
      <ns0:c r="N1332" s="7" t="n">
        <ns0:v>23059.9505335902</ns0:v>
      </ns0:c>
      <ns0:c r="O1332" s="7" t="n">
        <ns0:v>77393.89900481126</ns0:v>
      </ns0:c>
      <ns0:c r="P1332" s="7" t="n">
        <ns0:v>209298.7326359303</ns0:v>
      </ns0:c>
      <ns0:c r="Q1332" s="7" t="n">
        <ns0:v>694918.0671604067</ns0:v>
      </ns0:c>
      <ns0:c r="R1332" s="7" t="n">
        <ns0:v>2471585.737996073</ns0:v>
      </ns0:c>
    </ns0:row>
    <ns0:row r="1333" ht="24" customHeight="1">
      <ns0:c r="A1333" s="3" t="inlineStr">
        <ns0:is>
          <ns0:t>混在40/30/30</ns0:t>
        </ns0:is>
      </ns0:c>
      <ns0:c r="B1333" s="3" t="inlineStr">
        <ns0:is>
          <ns0:t>G0基本5000比較</ns0:t>
        </ns0:is>
      </ns0:c>
      <ns0:c r="C1333" s="3" t="inlineStr">
        <ns0:is>
          <ns0:t>D</ns0:t>
        </ns0:is>
      </ns0:c>
      <ns0:c r="D1333" s="4" t="n">
        <ns0:v>0</ns0:v>
      </ns0:c>
      <ns0:c r="E1333" s="4" t="n">
        <ns0:v>500</ns0:v>
      </ns0:c>
      <ns0:c r="F1333" s="6" t="n">
        <ns0:v>0.4</ns0:v>
      </ns0:c>
      <ns0:c r="G1333" s="4" t="n">
        <ns0:v>1</ns0:v>
      </ns0:c>
      <ns0:c r="H1333" s="7" t="n">
        <ns0:v>5785.469260325406</ns0:v>
      </ns0:c>
      <ns0:c r="I1333" s="7" t="n">
        <ns0:v>4077.853936170213</ns0:v>
      </ns0:c>
      <ns0:c r="J1333" s="7" t="n">
        <ns0:v>1631.141574468085</ns0:v>
      </ns0:c>
      <ns0:c r="K1333" s="7" t="n">
        <ns0:v>25</ns0:v>
      </ns0:c>
      <ns0:c r="L1333" s="7" t="n">
        <ns0:v>213</ns0:v>
      </ns0:c>
      <ns0:c r="M1333" s="7" t="n">
        <ns0:v>-31373.51671820712</ns0:v>
      </ns0:c>
      <ns0:c r="N1333" s="7" t="n">
        <ns0:v>16401.31909799426</ns0:v>
      </ns0:c>
      <ns0:c r="O1333" s="7" t="n">
        <ns0:v>66296.17994548469</ns0:v>
      </ns0:c>
      <ns0:c r="P1333" s="7" t="n">
        <ns0:v>187103.2945172772</ns0:v>
      </ns0:c>
      <ns0:c r="Q1333" s="7" t="n">
        <ns0:v>628331.7528044473</ns0:v>
      </ns0:c>
      <ns0:c r="R1333" s="7" t="n">
        <ns0:v>2249631.356809542</ns0:v>
      </ns0:c>
    </ns0:row>
    <ns0:row r="1334" ht="24" customHeight="1">
      <ns0:c r="A1334" s="3" t="inlineStr">
        <ns0:is>
          <ns0:t>混在40/30/30</ns0:t>
        </ns0:is>
      </ns0:c>
      <ns0:c r="B1334" s="3" t="inlineStr">
        <ns0:is>
          <ns0:t>G0基本5000比較</ns0:t>
        </ns0:is>
      </ns0:c>
      <ns0:c r="C1334" s="3" t="inlineStr">
        <ns0:is>
          <ns0:t>D</ns0:t>
        </ns0:is>
      </ns0:c>
      <ns0:c r="D1334" s="4" t="n">
        <ns0:v>0</ns0:v>
      </ns0:c>
      <ns0:c r="E1334" s="4" t="n">
        <ns0:v>500</ns0:v>
      </ns0:c>
      <ns0:c r="F1334" s="6" t="n">
        <ns0:v>0.4</ns0:v>
      </ns0:c>
      <ns0:c r="G1334" s="4" t="n">
        <ns0:v>2</ns0:v>
      </ns0:c>
      <ns0:c r="H1334" s="7" t="n">
        <ns0:v>5785.469260325406</ns0:v>
      </ns0:c>
      <ns0:c r="I1334" s="7" t="n">
        <ns0:v>4077.853936170213</ns0:v>
      </ns0:c>
      <ns0:c r="J1334" s="7" t="n">
        <ns0:v>1631.141574468085</ns0:v>
      </ns0:c>
      <ns0:c r="K1334" s="7" t="n">
        <ns0:v>42</ns0:v>
      </ns0:c>
      <ns0:c r="L1334" s="18" t="inlineStr">
        <ns0:is>
          <ns0:t>範囲内なし</ns0:t>
        </ns0:is>
      </ns0:c>
      <ns0:c r="M1334" s="7" t="n">
        <ns0:v>-42511.17300523906</ns0:v>
      </ns0:c>
      <ns0:c r="N1334" s="7" t="n">
        <ns0:v>-17011.64976310157</ns0:v>
      </ns0:c>
      <ns0:c r="O1334" s="7" t="n">
        <ns0:v>10607.89851032497</ns0:v>
      </ns0:c>
      <ns0:c r="P1334" s="7" t="n">
        <ns0:v>75726.73164695775</ns0:v>
      </ns0:c>
      <ns0:c r="Q1334" s="7" t="n">
        <ns0:v>294202.0641934891</ns0:v>
      </ns0:c>
      <ns0:c r="R1334" s="7" t="n">
        <ns0:v>1135865.728106348</ns0:v>
      </ns0:c>
    </ns0:row>
    <ns0:row r="1335" ht="24" customHeight="1">
      <ns0:c r="A1335" s="3" t="inlineStr">
        <ns0:is>
          <ns0:t>混在40/30/30</ns0:t>
        </ns0:is>
      </ns0:c>
      <ns0:c r="B1335" s="3" t="inlineStr">
        <ns0:is>
          <ns0:t>G0基本5000比較</ns0:t>
        </ns0:is>
      </ns0:c>
      <ns0:c r="C1335" s="3" t="inlineStr">
        <ns0:is>
          <ns0:t>D</ns0:t>
        </ns0:is>
      </ns0:c>
      <ns0:c r="D1335" s="4" t="n">
        <ns0:v>0</ns0:v>
      </ns0:c>
      <ns0:c r="E1335" s="4" t="n">
        <ns0:v>500</ns0:v>
      </ns0:c>
      <ns0:c r="F1335" s="6" t="n">
        <ns0:v>0.4</ns0:v>
      </ns0:c>
      <ns0:c r="G1335" s="4" t="n">
        <ns0:v>3</ns0:v>
      </ns0:c>
      <ns0:c r="H1335" s="7" t="n">
        <ns0:v>5785.469260325406</ns0:v>
      </ns0:c>
      <ns0:c r="I1335" s="7" t="n">
        <ns0:v>4077.853936170213</ns0:v>
      </ns0:c>
      <ns0:c r="J1335" s="7" t="n">
        <ns0:v>1631.141574468085</ns0:v>
      </ns0:c>
      <ns0:c r="K1335" s="7" t="n">
        <ns0:v>30</ns0:v>
      </ns0:c>
      <ns0:c r="L1335" s="18" t="inlineStr">
        <ns0:is>
          <ns0:t>範囲内なし</ns0:t>
        </ns0:is>
      </ns0:c>
      <ns0:c r="M1335" s="7" t="n">
        <ns0:v>-36497.78768851368</ns0:v>
      </ns0:c>
      <ns0:c r="N1335" s="7" t="n">
        <ns0:v>1028.506187074592</ns0:v>
      </ns0:c>
      <ns0:c r="O1335" s="7" t="n">
        <ns0:v>40674.82509395191</ns0:v>
      </ns0:c>
      <ns0:c r="P1335" s="7" t="n">
        <ns0:v>135860.5848142116</ns0:v>
      </ns0:c>
      <ns0:c r="Q1335" s="7" t="n">
        <ns0:v>474603.6236952507</ns0:v>
      </ns0:c>
      <ns0:c r="R1335" s="7" t="n">
        <ns0:v>1737204.259778886</ns0:v>
      </ns0:c>
    </ns0:row>
    <ns0:row r="1336" ht="24" customHeight="1">
      <ns0:c r="A1336" s="3" t="inlineStr">
        <ns0:is>
          <ns0:t>混在40/30/30</ns0:t>
        </ns0:is>
      </ns0:c>
      <ns0:c r="B1336" s="3" t="inlineStr">
        <ns0:is>
          <ns0:t>G0基本5000比較</ns0:t>
        </ns0:is>
      </ns0:c>
      <ns0:c r="C1336" s="3" t="inlineStr">
        <ns0:is>
          <ns0:t>D</ns0:t>
        </ns0:is>
      </ns0:c>
      <ns0:c r="D1336" s="4" t="n">
        <ns0:v>0</ns0:v>
      </ns0:c>
      <ns0:c r="E1336" s="4" t="n">
        <ns0:v>500</ns0:v>
      </ns0:c>
      <ns0:c r="F1336" s="6" t="n">
        <ns0:v>0.5</ns0:v>
      </ns0:c>
      <ns0:c r="G1336" s="4" t="n">
        <ns0:v>0</ns0:v>
      </ns0:c>
      <ns0:c r="H1336" s="7" t="n">
        <ns0:v>5785.469260325406</ns0:v>
      </ns0:c>
      <ns0:c r="I1336" s="7" t="n">
        <ns0:v>4077.853936170213</ns0:v>
      </ns0:c>
      <ns0:c r="J1336" s="7" t="n">
        <ns0:v>2038.926968085106</ns0:v>
      </ns0:c>
      <ns0:c r="K1336" s="7" t="n">
        <ns0:v>27</ns0:v>
      </ns0:c>
      <ns0:c r="L1336" s="7" t="n">
        <ns0:v>83</ns0:v>
      </ns0:c>
      <ns0:c r="M1336" s="7" t="n">
        <ns0:v>-33231.82684251202</ns0:v>
      </ns0:c>
      <ns0:c r="N1336" s="7" t="n">
        <ns0:v>10826.38872507955</ns0:v>
      </ns0:c>
      <ns0:c r="O1336" s="7" t="n">
        <ns0:v>57004.62932396024</ns0:v>
      </ns0:c>
      <ns0:c r="P1336" s="7" t="n">
        <ns0:v>168520.1932742283</ns0:v>
      </ns0:c>
      <ns0:c r="Q1336" s="7" t="n">
        <ns0:v>572582.4490753005</ns0:v>
      </ns0:c>
      <ns0:c r="R1336" s="7" t="n">
        <ns0:v>2063800.344379052</ns0:v>
      </ns0:c>
    </ns0:row>
    <ns0:row r="1337" ht="24" customHeight="1">
      <ns0:c r="A1337" s="3" t="inlineStr">
        <ns0:is>
          <ns0:t>混在40/30/30</ns0:t>
        </ns0:is>
      </ns0:c>
      <ns0:c r="B1337" s="3" t="inlineStr">
        <ns0:is>
          <ns0:t>G0基本5000比較</ns0:t>
        </ns0:is>
      </ns0:c>
      <ns0:c r="C1337" s="3" t="inlineStr">
        <ns0:is>
          <ns0:t>D</ns0:t>
        </ns0:is>
      </ns0:c>
      <ns0:c r="D1337" s="4" t="n">
        <ns0:v>0</ns0:v>
      </ns0:c>
      <ns0:c r="E1337" s="4" t="n">
        <ns0:v>500</ns0:v>
      </ns0:c>
      <ns0:c r="F1337" s="6" t="n">
        <ns0:v>0.5</ns0:v>
      </ns0:c>
      <ns0:c r="G1337" s="4" t="n">
        <ns0:v>1</ns0:v>
      </ns0:c>
      <ns0:c r="H1337" s="7" t="n">
        <ns0:v>5785.469260325406</ns0:v>
      </ns0:c>
      <ns0:c r="I1337" s="7" t="n">
        <ns0:v>4077.853936170213</ns0:v>
      </ns0:c>
      <ns0:c r="J1337" s="7" t="n">
        <ns0:v>2038.926968085106</ns0:v>
      </ns0:c>
      <ns0:c r="K1337" s="7" t="n">
        <ns0:v>29</ns0:v>
      </ns0:c>
      <ns0:c r="L1337" s="7" t="n">
        <ns0:v>289</ns0:v>
      </ns0:c>
      <ns0:c r="M1337" s="7" t="n">
        <ns0:v>-35451.37065437733</ns0:v>
      </ns0:c>
      <ns0:c r="N1337" s="7" t="n">
        <ns0:v>4167.757289483605</ns0:v>
      </ns0:c>
      <ns0:c r="O1337" s="7" t="n">
        <ns0:v>45906.91026463367</ns0:v>
      </ns0:c>
      <ns0:c r="P1337" s="7" t="n">
        <ns0:v>146324.7551555751</ns0:v>
      </ns0:c>
      <ns0:c r="Q1337" s="7" t="n">
        <ns0:v>505996.134719341</ns0:v>
      </ns0:c>
      <ns0:c r="R1337" s="7" t="n">
        <ns0:v>1841845.963192521</ns0:v>
      </ns0:c>
    </ns0:row>
    <ns0:row r="1338" ht="24" customHeight="1">
      <ns0:c r="A1338" s="3" t="inlineStr">
        <ns0:is>
          <ns0:t>混在40/30/30</ns0:t>
        </ns0:is>
      </ns0:c>
      <ns0:c r="B1338" s="3" t="inlineStr">
        <ns0:is>
          <ns0:t>G0基本5000比較</ns0:t>
        </ns0:is>
      </ns0:c>
      <ns0:c r="C1338" s="3" t="inlineStr">
        <ns0:is>
          <ns0:t>D</ns0:t>
        </ns0:is>
      </ns0:c>
      <ns0:c r="D1338" s="4" t="n">
        <ns0:v>0</ns0:v>
      </ns0:c>
      <ns0:c r="E1338" s="4" t="n">
        <ns0:v>500</ns0:v>
      </ns0:c>
      <ns0:c r="F1338" s="6" t="n">
        <ns0:v>0.5</ns0:v>
      </ns0:c>
      <ns0:c r="G1338" s="4" t="n">
        <ns0:v>2</ns0:v>
      </ns0:c>
      <ns0:c r="H1338" s="7" t="n">
        <ns0:v>5785.469260325406</ns0:v>
      </ns0:c>
      <ns0:c r="I1338" s="7" t="n">
        <ns0:v>4077.853936170213</ns0:v>
      </ns0:c>
      <ns0:c r="J1338" s="7" t="n">
        <ns0:v>2038.926968085106</ns0:v>
      </ns0:c>
      <ns0:c r="K1338" s="7" t="n">
        <ns0:v>61</ns0:v>
      </ns0:c>
      <ns0:c r="L1338" s="18" t="inlineStr">
        <ns0:is>
          <ns0:t>範囲内なし</ns0:t>
        </ns0:is>
      </ns0:c>
      <ns0:c r="M1338" s="7" t="n">
        <ns0:v>-46589.02694140928</ns0:v>
      </ns0:c>
      <ns0:c r="N1338" s="7" t="n">
        <ns0:v>-29245.21157161222</ns0:v>
      </ns0:c>
      <ns0:c r="O1338" s="7" t="n">
        <ns0:v>-9781.371170526036</ns0:v>
      </ns0:c>
      <ns0:c r="P1338" s="7" t="n">
        <ns0:v>34948.1922852557</ns0:v>
      </ns0:c>
      <ns0:c r="Q1338" s="7" t="n">
        <ns0:v>171866.4461083827</ns0:v>
      </ns0:c>
      <ns0:c r="R1338" s="7" t="n">
        <ns0:v>728080.3344893265</ns0:v>
      </ns0:c>
    </ns0:row>
    <ns0:row r="1339" ht="24" customHeight="1">
      <ns0:c r="A1339" s="3" t="inlineStr">
        <ns0:is>
          <ns0:t>混在40/30/30</ns0:t>
        </ns0:is>
      </ns0:c>
      <ns0:c r="B1339" s="3" t="inlineStr">
        <ns0:is>
          <ns0:t>G0基本5000比較</ns0:t>
        </ns0:is>
      </ns0:c>
      <ns0:c r="C1339" s="3" t="inlineStr">
        <ns0:is>
          <ns0:t>D</ns0:t>
        </ns0:is>
      </ns0:c>
      <ns0:c r="D1339" s="4" t="n">
        <ns0:v>0</ns0:v>
      </ns0:c>
      <ns0:c r="E1339" s="4" t="n">
        <ns0:v>500</ns0:v>
      </ns0:c>
      <ns0:c r="F1339" s="6" t="n">
        <ns0:v>0.5</ns0:v>
      </ns0:c>
      <ns0:c r="G1339" s="4" t="n">
        <ns0:v>3</ns0:v>
      </ns0:c>
      <ns0:c r="H1339" s="7" t="n">
        <ns0:v>5785.469260325406</ns0:v>
      </ns0:c>
      <ns0:c r="I1339" s="7" t="n">
        <ns0:v>4077.853936170213</ns0:v>
      </ns0:c>
      <ns0:c r="J1339" s="7" t="n">
        <ns0:v>2038.926968085106</ns0:v>
      </ns0:c>
      <ns0:c r="K1339" s="7" t="n">
        <ns0:v>37</ns0:v>
      </ns0:c>
      <ns0:c r="L1339" s="18" t="inlineStr">
        <ns0:is>
          <ns0:t>範囲内なし</ns0:t>
        </ns0:is>
      </ns0:c>
      <ns0:c r="M1339" s="7" t="n">
        <ns0:v>-40575.64162468388</ns0:v>
      </ns0:c>
      <ns0:c r="N1339" s="7" t="n">
        <ns0:v>-11205.05562143606</ns0:v>
      </ns0:c>
      <ns0:c r="O1339" s="7" t="n">
        <ns0:v>20285.55541310089</ns0:v>
      </ns0:c>
      <ns0:c r="P1339" s="7" t="n">
        <ns0:v>95082.04545250957</ns0:v>
      </ns0:c>
      <ns0:c r="Q1339" s="7" t="n">
        <ns0:v>352268.0056101443</ns0:v>
      </ns0:c>
      <ns0:c r="R1339" s="7" t="n">
        <ns0:v>1329418.866161865</ns0:v>
      </ns0:c>
    </ns0:row>
    <ns0:row r="1340" ht="24" customHeight="1">
      <ns0:c r="A1340" s="3" t="inlineStr">
        <ns0:is>
          <ns0:t>混在40/30/30</ns0:t>
        </ns0:is>
      </ns0:c>
      <ns0:c r="B1340" s="3" t="inlineStr">
        <ns0:is>
          <ns0:t>G0基本5000比較</ns0:t>
        </ns0:is>
      </ns0:c>
      <ns0:c r="C1340" s="3" t="inlineStr">
        <ns0:is>
          <ns0:t>D</ns0:t>
        </ns0:is>
      </ns0:c>
      <ns0:c r="D1340" s="4" t="n">
        <ns0:v>0</ns0:v>
      </ns0:c>
      <ns0:c r="E1340" s="4" t="n">
        <ns0:v>1000</ns0:v>
      </ns0:c>
      <ns0:c r="F1340" s="6" t="n">
        <ns0:v>0.3</ns0:v>
      </ns0:c>
      <ns0:c r="G1340" s="4" t="n">
        <ns0:v>0</ns0:v>
      </ns0:c>
      <ns0:c r="H1340" s="7" t="n">
        <ns0:v>5635.469260325407</ns0:v>
      </ns0:c>
      <ns0:c r="I1340" s="7" t="n">
        <ns0:v>3927.853936170213</ns0:v>
      </ns0:c>
      <ns0:c r="J1340" s="7" t="n">
        <ns0:v>1178.356180851064</ns0:v>
      </ns0:c>
      <ns0:c r="K1340" s="7" t="n">
        <ns0:v>22</ns0:v>
      </ns0:c>
      <ns0:c r="L1340" s="7" t="n">
        <ns0:v>65</ns0:v>
      </ns0:c>
      <ns0:c r="M1340" s="7" t="n">
        <ns0:v>-26072.11897017159</ns0:v>
      </ns0:c>
      <ns0:c r="N1340" s="7" t="n">
        <ns0:v>32305.51234210085</ns0:v>
      </ns0:c>
      <ns0:c r="O1340" s="7" t="n">
        <ns0:v>92803.16868566237</ns0:v>
      </ns0:c>
      <ns0:c r="P1340" s="7" t="n">
        <ns0:v>240117.2719976325</ns0:v>
      </ns0:c>
      <ns0:c r="Q1340" s="7" t="n">
        <ns0:v>787373.6852455132</ns0:v>
      </ns0:c>
      <ns0:c r="R1340" s="7" t="n">
        <ns0:v>2779771.131613095</ns0:v>
      </ns0:c>
    </ns0:row>
    <ns0:row r="1341" ht="24" customHeight="1">
      <ns0:c r="A1341" s="3" t="inlineStr">
        <ns0:is>
          <ns0:t>混在40/30/30</ns0:t>
        </ns0:is>
      </ns0:c>
      <ns0:c r="B1341" s="3" t="inlineStr">
        <ns0:is>
          <ns0:t>G0基本5000比較</ns0:t>
        </ns0:is>
      </ns0:c>
      <ns0:c r="C1341" s="3" t="inlineStr">
        <ns0:is>
          <ns0:t>D</ns0:t>
        </ns0:is>
      </ns0:c>
      <ns0:c r="D1341" s="4" t="n">
        <ns0:v>0</ns0:v>
      </ns0:c>
      <ns0:c r="E1341" s="4" t="n">
        <ns0:v>1000</ns0:v>
      </ns0:c>
      <ns0:c r="F1341" s="6" t="n">
        <ns0:v>0.3</ns0:v>
      </ns0:c>
      <ns0:c r="G1341" s="4" t="n">
        <ns0:v>1</ns0:v>
      </ns0:c>
      <ns0:c r="H1341" s="7" t="n">
        <ns0:v>5635.469260325407</ns0:v>
      </ns0:c>
      <ns0:c r="I1341" s="7" t="n">
        <ns0:v>3927.853936170213</ns0:v>
      </ns0:c>
      <ns0:c r="J1341" s="7" t="n">
        <ns0:v>1178.356180851064</ns0:v>
      </ns0:c>
      <ns0:c r="K1341" s="7" t="n">
        <ns0:v>23</ns0:v>
      </ns0:c>
      <ns0:c r="L1341" s="7" t="n">
        <ns0:v>179</ns0:v>
      </ns0:c>
      <ns0:c r="M1341" s="7" t="n">
        <ns0:v>-28291.66278203691</ns0:v>
      </ns0:c>
      <ns0:c r="N1341" s="7" t="n">
        <ns0:v>25646.88090650491</ns0:v>
      </ns0:c>
      <ns0:c r="O1341" s="7" t="n">
        <ns0:v>81705.4496263358</ns0:v>
      </ns0:c>
      <ns0:c r="P1341" s="7" t="n">
        <ns0:v>217921.8338789794</ns0:v>
      </ns0:c>
      <ns0:c r="Q1341" s="7" t="n">
        <ns0:v>720787.3708895538</ns0:v>
      </ns0:c>
      <ns0:c r="R1341" s="7" t="n">
        <ns0:v>2557816.750426564</ns0:v>
      </ns0:c>
    </ns0:row>
    <ns0:row r="1342" ht="24" customHeight="1">
      <ns0:c r="A1342" s="3" t="inlineStr">
        <ns0:is>
          <ns0:t>混在40/30/30</ns0:t>
        </ns0:is>
      </ns0:c>
      <ns0:c r="B1342" s="3" t="inlineStr">
        <ns0:is>
          <ns0:t>G0基本5000比較</ns0:t>
        </ns0:is>
      </ns0:c>
      <ns0:c r="C1342" s="3" t="inlineStr">
        <ns0:is>
          <ns0:t>D</ns0:t>
        </ns0:is>
      </ns0:c>
      <ns0:c r="D1342" s="4" t="n">
        <ns0:v>0</ns0:v>
      </ns0:c>
      <ns0:c r="E1342" s="4" t="n">
        <ns0:v>1000</ns0:v>
      </ns0:c>
      <ns0:c r="F1342" s="6" t="n">
        <ns0:v>0.3</ns0:v>
      </ns0:c>
      <ns0:c r="G1342" s="4" t="n">
        <ns0:v>2</ns0:v>
      </ns0:c>
      <ns0:c r="H1342" s="7" t="n">
        <ns0:v>5635.469260325407</ns0:v>
      </ns0:c>
      <ns0:c r="I1342" s="7" t="n">
        <ns0:v>3927.853936170213</ns0:v>
      </ns0:c>
      <ns0:c r="J1342" s="7" t="n">
        <ns0:v>1178.356180851064</ns0:v>
      </ns0:c>
      <ns0:c r="K1342" s="7" t="n">
        <ns0:v>34</ns0:v>
      </ns0:c>
      <ns0:c r="L1342" s="18" t="inlineStr">
        <ns0:is>
          <ns0:t>範囲内なし</ns0:t>
        </ns0:is>
      </ns0:c>
      <ns0:c r="M1342" s="7" t="n">
        <ns0:v>-39429.31906906885</ns0:v>
      </ns0:c>
      <ns0:c r="N1342" s="7" t="n">
        <ns0:v>-7766.087954590919</ns0:v>
      </ns0:c>
      <ns0:c r="O1342" s="7" t="n">
        <ns0:v>26017.16819117608</ns0:v>
      </ns0:c>
      <ns0:c r="P1342" s="7" t="n">
        <ns0:v>106545.27100866</ns0:v>
      </ns0:c>
      <ns0:c r="Q1342" s="7" t="n">
        <ns0:v>386657.6822785955</ns0:v>
      </ns0:c>
      <ns0:c r="R1342" s="7" t="n">
        <ns0:v>1444051.12172337</ns0:v>
      </ns0:c>
    </ns0:row>
    <ns0:row r="1343" ht="24" customHeight="1">
      <ns0:c r="A1343" s="3" t="inlineStr">
        <ns0:is>
          <ns0:t>混在40/30/30</ns0:t>
        </ns0:is>
      </ns0:c>
      <ns0:c r="B1343" s="3" t="inlineStr">
        <ns0:is>
          <ns0:t>G0基本5000比較</ns0:t>
        </ns0:is>
      </ns0:c>
      <ns0:c r="C1343" s="3" t="inlineStr">
        <ns0:is>
          <ns0:t>D</ns0:t>
        </ns0:is>
      </ns0:c>
      <ns0:c r="D1343" s="4" t="n">
        <ns0:v>0</ns0:v>
      </ns0:c>
      <ns0:c r="E1343" s="4" t="n">
        <ns0:v>1000</ns0:v>
      </ns0:c>
      <ns0:c r="F1343" s="6" t="n">
        <ns0:v>0.3</ns0:v>
      </ns0:c>
      <ns0:c r="G1343" s="4" t="n">
        <ns0:v>3</ns0:v>
      </ns0:c>
      <ns0:c r="H1343" s="7" t="n">
        <ns0:v>5635.469260325407</ns0:v>
      </ns0:c>
      <ns0:c r="I1343" s="7" t="n">
        <ns0:v>3927.853936170213</ns0:v>
      </ns0:c>
      <ns0:c r="J1343" s="7" t="n">
        <ns0:v>1178.356180851064</ns0:v>
      </ns0:c>
      <ns0:c r="K1343" s="7" t="n">
        <ns0:v>27</ns0:v>
      </ns0:c>
      <ns0:c r="L1343" s="18" t="inlineStr">
        <ns0:is>
          <ns0:t>範囲内なし</ns0:t>
        </ns0:is>
      </ns0:c>
      <ns0:c r="M1343" s="7" t="n">
        <ns0:v>-33415.93375234347</ns0:v>
      </ns0:c>
      <ns0:c r="N1343" s="7" t="n">
        <ns0:v>10274.06799558524</ns0:v>
      </ns0:c>
      <ns0:c r="O1343" s="7" t="n">
        <ns0:v>56084.09477480302</ns0:v>
      </ns0:c>
      <ns0:c r="P1343" s="7" t="n">
        <ns0:v>166679.1241759138</ns0:v>
      </ns0:c>
      <ns0:c r="Q1343" s="7" t="n">
        <ns0:v>567059.2417803571</ns0:v>
      </ns0:c>
      <ns0:c r="R1343" s="7" t="n">
        <ns0:v>2045389.653395908</ns0:v>
      </ns0:c>
    </ns0:row>
    <ns0:row r="1344" ht="24" customHeight="1">
      <ns0:c r="A1344" s="3" t="inlineStr">
        <ns0:is>
          <ns0:t>混在40/30/30</ns0:t>
        </ns0:is>
      </ns0:c>
      <ns0:c r="B1344" s="3" t="inlineStr">
        <ns0:is>
          <ns0:t>G0基本5000比較</ns0:t>
        </ns0:is>
      </ns0:c>
      <ns0:c r="C1344" s="3" t="inlineStr">
        <ns0:is>
          <ns0:t>D</ns0:t>
        </ns0:is>
      </ns0:c>
      <ns0:c r="D1344" s="4" t="n">
        <ns0:v>0</ns0:v>
      </ns0:c>
      <ns0:c r="E1344" s="4" t="n">
        <ns0:v>1000</ns0:v>
      </ns0:c>
      <ns0:c r="F1344" s="6" t="n">
        <ns0:v>0.4</ns0:v>
      </ns0:c>
      <ns0:c r="G1344" s="4" t="n">
        <ns0:v>0</ns0:v>
      </ns0:c>
      <ns0:c r="H1344" s="7" t="n">
        <ns0:v>5635.469260325407</ns0:v>
      </ns0:c>
      <ns0:c r="I1344" s="7" t="n">
        <ns0:v>3927.853936170213</ns0:v>
      </ns0:c>
      <ns0:c r="J1344" s="7" t="n">
        <ns0:v>1571.141574468085</ns0:v>
      </ns0:c>
      <ns0:c r="K1344" s="7" t="n">
        <ns0:v>24</ns0:v>
      </ns0:c>
      <ns0:c r="L1344" s="7" t="n">
        <ns0:v>74</ns0:v>
      </ns0:c>
      <ns0:c r="M1344" s="7" t="n">
        <ns0:v>-29999.9729063418</ns0:v>
      </ns0:c>
      <ns0:c r="N1344" s="7" t="n">
        <ns0:v>20521.9505335902</ns0:v>
      </ns0:c>
      <ns0:c r="O1344" s="7" t="n">
        <ns0:v>73163.8990048113</ns0:v>
      </ns0:c>
      <ns0:c r="P1344" s="7" t="n">
        <ns0:v>200838.7326359304</ns0:v>
      </ns0:c>
      <ns0:c r="Q1344" s="7" t="n">
        <ns0:v>669538.0671604067</ns0:v>
      </ns0:c>
      <ns0:c r="R1344" s="7" t="n">
        <ns0:v>2386985.737996074</ns0:v>
      </ns0:c>
    </ns0:row>
    <ns0:row r="1345" ht="24" customHeight="1">
      <ns0:c r="A1345" s="3" t="inlineStr">
        <ns0:is>
          <ns0:t>混在40/30/30</ns0:t>
        </ns0:is>
      </ns0:c>
      <ns0:c r="B1345" s="3" t="inlineStr">
        <ns0:is>
          <ns0:t>G0基本5000比較</ns0:t>
        </ns0:is>
      </ns0:c>
      <ns0:c r="C1345" s="3" t="inlineStr">
        <ns0:is>
          <ns0:t>D</ns0:t>
        </ns0:is>
      </ns0:c>
      <ns0:c r="D1345" s="4" t="n">
        <ns0:v>0</ns0:v>
      </ns0:c>
      <ns0:c r="E1345" s="4" t="n">
        <ns0:v>1000</ns0:v>
      </ns0:c>
      <ns0:c r="F1345" s="6" t="n">
        <ns0:v>0.4</ns0:v>
      </ns0:c>
      <ns0:c r="G1345" s="4" t="n">
        <ns0:v>1</ns0:v>
      </ns0:c>
      <ns0:c r="H1345" s="7" t="n">
        <ns0:v>5635.469260325407</ns0:v>
      </ns0:c>
      <ns0:c r="I1345" s="7" t="n">
        <ns0:v>3927.853936170213</ns0:v>
      </ns0:c>
      <ns0:c r="J1345" s="7" t="n">
        <ns0:v>1571.141574468085</ns0:v>
      </ns0:c>
      <ns0:c r="K1345" s="7" t="n">
        <ns0:v>26</ns0:v>
      </ns0:c>
      <ns0:c r="L1345" s="7" t="n">
        <ns0:v>227</ns0:v>
      </ns0:c>
      <ns0:c r="M1345" s="7" t="n">
        <ns0:v>-32219.51671820711</ns0:v>
      </ns0:c>
      <ns0:c r="N1345" s="7" t="n">
        <ns0:v>13863.31909799427</ns0:v>
      </ns0:c>
      <ns0:c r="O1345" s="7" t="n">
        <ns0:v>62066.17994548474</ns0:v>
      </ns0:c>
      <ns0:c r="P1345" s="7" t="n">
        <ns0:v>178643.2945172773</ns0:v>
      </ns0:c>
      <ns0:c r="Q1345" s="7" t="n">
        <ns0:v>602951.7528044473</ns0:v>
      </ns0:c>
      <ns0:c r="R1345" s="7" t="n">
        <ns0:v>2165031.356809543</ns0:v>
      </ns0:c>
    </ns0:row>
    <ns0:row r="1346" ht="24" customHeight="1">
      <ns0:c r="A1346" s="3" t="inlineStr">
        <ns0:is>
          <ns0:t>混在40/30/30</ns0:t>
        </ns0:is>
      </ns0:c>
      <ns0:c r="B1346" s="3" t="inlineStr">
        <ns0:is>
          <ns0:t>G0基本5000比較</ns0:t>
        </ns0:is>
      </ns0:c>
      <ns0:c r="C1346" s="3" t="inlineStr">
        <ns0:is>
          <ns0:t>D</ns0:t>
        </ns0:is>
      </ns0:c>
      <ns0:c r="D1346" s="4" t="n">
        <ns0:v>0</ns0:v>
      </ns0:c>
      <ns0:c r="E1346" s="4" t="n">
        <ns0:v>1000</ns0:v>
      </ns0:c>
      <ns0:c r="F1346" s="6" t="n">
        <ns0:v>0.4</ns0:v>
      </ns0:c>
      <ns0:c r="G1346" s="4" t="n">
        <ns0:v>2</ns0:v>
      </ns0:c>
      <ns0:c r="H1346" s="7" t="n">
        <ns0:v>5635.469260325407</ns0:v>
      </ns0:c>
      <ns0:c r="I1346" s="7" t="n">
        <ns0:v>3927.853936170213</ns0:v>
      </ns0:c>
      <ns0:c r="J1346" s="7" t="n">
        <ns0:v>1571.141574468085</ns0:v>
      </ns0:c>
      <ns0:c r="K1346" s="7" t="n">
        <ns0:v>45</ns0:v>
      </ns0:c>
      <ns0:c r="L1346" s="18" t="inlineStr">
        <ns0:is>
          <ns0:t>範囲内なし</ns0:t>
        </ns0:is>
      </ns0:c>
      <ns0:c r="M1346" s="7" t="n">
        <ns0:v>-43357.17300523906</ns0:v>
      </ns0:c>
      <ns0:c r="N1346" s="7" t="n">
        <ns0:v>-19549.64976310157</ns0:v>
      </ns0:c>
      <ns0:c r="O1346" s="7" t="n">
        <ns0:v>6377.898510325031</ns0:v>
      </ns0:c>
      <ns0:c r="P1346" s="7" t="n">
        <ns0:v>67266.73164695784</ns0:v>
      </ns0:c>
      <ns0:c r="Q1346" s="7" t="n">
        <ns0:v>268822.0641934891</ns0:v>
      </ns0:c>
      <ns0:c r="R1346" s="7" t="n">
        <ns0:v>1051265.728106349</ns0:v>
      </ns0:c>
    </ns0:row>
    <ns0:row r="1347" ht="24" customHeight="1">
      <ns0:c r="A1347" s="3" t="inlineStr">
        <ns0:is>
          <ns0:t>混在40/30/30</ns0:t>
        </ns0:is>
      </ns0:c>
      <ns0:c r="B1347" s="3" t="inlineStr">
        <ns0:is>
          <ns0:t>G0基本5000比較</ns0:t>
        </ns0:is>
      </ns0:c>
      <ns0:c r="C1347" s="3" t="inlineStr">
        <ns0:is>
          <ns0:t>D</ns0:t>
        </ns0:is>
      </ns0:c>
      <ns0:c r="D1347" s="4" t="n">
        <ns0:v>0</ns0:v>
      </ns0:c>
      <ns0:c r="E1347" s="4" t="n">
        <ns0:v>1000</ns0:v>
      </ns0:c>
      <ns0:c r="F1347" s="6" t="n">
        <ns0:v>0.4</ns0:v>
      </ns0:c>
      <ns0:c r="G1347" s="4" t="n">
        <ns0:v>3</ns0:v>
      </ns0:c>
      <ns0:c r="H1347" s="7" t="n">
        <ns0:v>5635.469260325407</ns0:v>
      </ns0:c>
      <ns0:c r="I1347" s="7" t="n">
        <ns0:v>3927.853936170213</ns0:v>
      </ns0:c>
      <ns0:c r="J1347" s="7" t="n">
        <ns0:v>1571.141574468085</ns0:v>
      </ns0:c>
      <ns0:c r="K1347" s="7" t="n">
        <ns0:v>31</ns0:v>
      </ns0:c>
      <ns0:c r="L1347" s="18" t="inlineStr">
        <ns0:is>
          <ns0:t>範囲内なし</ns0:t>
        </ns0:is>
      </ns0:c>
      <ns0:c r="M1347" s="7" t="n">
        <ns0:v>-37343.78768851366</ns0:v>
      </ns0:c>
      <ns0:c r="N1347" s="7" t="n">
        <ns0:v>-1509.493812925408</ns0:v>
      </ns0:c>
      <ns0:c r="O1347" s="7" t="n">
        <ns0:v>36444.82509395195</ns0:v>
      </ns0:c>
      <ns0:c r="P1347" s="7" t="n">
        <ns0:v>127400.5848142117</ns0:v>
      </ns0:c>
      <ns0:c r="Q1347" s="7" t="n">
        <ns0:v>449223.6236952507</ns0:v>
      </ns0:c>
      <ns0:c r="R1347" s="7" t="n">
        <ns0:v>1652604.259778887</ns0:v>
      </ns0:c>
    </ns0:row>
    <ns0:row r="1348" ht="24" customHeight="1">
      <ns0:c r="A1348" s="3" t="inlineStr">
        <ns0:is>
          <ns0:t>混在40/30/30</ns0:t>
        </ns0:is>
      </ns0:c>
      <ns0:c r="B1348" s="3" t="inlineStr">
        <ns0:is>
          <ns0:t>G0基本5000比較</ns0:t>
        </ns0:is>
      </ns0:c>
      <ns0:c r="C1348" s="3" t="inlineStr">
        <ns0:is>
          <ns0:t>D</ns0:t>
        </ns0:is>
      </ns0:c>
      <ns0:c r="D1348" s="4" t="n">
        <ns0:v>0</ns0:v>
      </ns0:c>
      <ns0:c r="E1348" s="4" t="n">
        <ns0:v>1000</ns0:v>
      </ns0:c>
      <ns0:c r="F1348" s="6" t="n">
        <ns0:v>0.5</ns0:v>
      </ns0:c>
      <ns0:c r="G1348" s="4" t="n">
        <ns0:v>0</ns0:v>
      </ns0:c>
      <ns0:c r="H1348" s="7" t="n">
        <ns0:v>5635.469260325407</ns0:v>
      </ns0:c>
      <ns0:c r="I1348" s="7" t="n">
        <ns0:v>3927.853936170213</ns0:v>
      </ns0:c>
      <ns0:c r="J1348" s="7" t="n">
        <ns0:v>1963.926968085106</ns0:v>
      </ns0:c>
      <ns0:c r="K1348" s="7" t="n">
        <ns0:v>27</ns0:v>
      </ns0:c>
      <ns0:c r="L1348" s="7" t="n">
        <ns0:v>86</ns0:v>
      </ns0:c>
      <ns0:c r="M1348" s="7" t="n">
        <ns0:v>-33927.82684251202</ns0:v>
      </ns0:c>
      <ns0:c r="N1348" s="7" t="n">
        <ns0:v>8738.388725079552</ns0:v>
      </ns0:c>
      <ns0:c r="O1348" s="7" t="n">
        <ns0:v>53524.62932396025</ns0:v>
      </ns0:c>
      <ns0:c r="P1348" s="7" t="n">
        <ns0:v>161560.1932742283</ns0:v>
      </ns0:c>
      <ns0:c r="Q1348" s="7" t="n">
        <ns0:v>551702.4490753005</ns0:v>
      </ns0:c>
      <ns0:c r="R1348" s="7" t="n">
        <ns0:v>1994200.344379053</ns0:v>
      </ns0:c>
    </ns0:row>
    <ns0:row r="1349" ht="24" customHeight="1">
      <ns0:c r="A1349" s="3" t="inlineStr">
        <ns0:is>
          <ns0:t>混在40/30/30</ns0:t>
        </ns0:is>
      </ns0:c>
      <ns0:c r="B1349" s="3" t="inlineStr">
        <ns0:is>
          <ns0:t>G0基本5000比較</ns0:t>
        </ns0:is>
      </ns0:c>
      <ns0:c r="C1349" s="3" t="inlineStr">
        <ns0:is>
          <ns0:t>D</ns0:t>
        </ns0:is>
      </ns0:c>
      <ns0:c r="D1349" s="4" t="n">
        <ns0:v>0</ns0:v>
      </ns0:c>
      <ns0:c r="E1349" s="4" t="n">
        <ns0:v>1000</ns0:v>
      </ns0:c>
      <ns0:c r="F1349" s="6" t="n">
        <ns0:v>0.5</ns0:v>
      </ns0:c>
      <ns0:c r="G1349" s="4" t="n">
        <ns0:v>1</ns0:v>
      </ns0:c>
      <ns0:c r="H1349" s="7" t="n">
        <ns0:v>5635.469260325407</ns0:v>
      </ns0:c>
      <ns0:c r="I1349" s="7" t="n">
        <ns0:v>3927.853936170213</ns0:v>
      </ns0:c>
      <ns0:c r="J1349" s="7" t="n">
        <ns0:v>1963.926968085106</ns0:v>
      </ns0:c>
      <ns0:c r="K1349" s="7" t="n">
        <ns0:v>30</ns0:v>
      </ns0:c>
      <ns0:c r="L1349" s="7" t="n">
        <ns0:v>311</ns0:v>
      </ns0:c>
      <ns0:c r="M1349" s="7" t="n">
        <ns0:v>-36147.37065437733</ns0:v>
      </ns0:c>
      <ns0:c r="N1349" s="7" t="n">
        <ns0:v>2079.757289483616</ns0:v>
      </ns0:c>
      <ns0:c r="O1349" s="7" t="n">
        <ns0:v>42426.91026463368</ns0:v>
      </ns0:c>
      <ns0:c r="P1349" s="7" t="n">
        <ns0:v>139364.7551555752</ns0:v>
      </ns0:c>
      <ns0:c r="Q1349" s="7" t="n">
        <ns0:v>485116.1347193411</ns0:v>
      </ns0:c>
      <ns0:c r="R1349" s="7" t="n">
        <ns0:v>1772245.963192522</ns0:v>
      </ns0:c>
    </ns0:row>
    <ns0:row r="1350" ht="24" customHeight="1">
      <ns0:c r="A1350" s="3" t="inlineStr">
        <ns0:is>
          <ns0:t>混在40/30/30</ns0:t>
        </ns0:is>
      </ns0:c>
      <ns0:c r="B1350" s="3" t="inlineStr">
        <ns0:is>
          <ns0:t>G0基本5000比較</ns0:t>
        </ns0:is>
      </ns0:c>
      <ns0:c r="C1350" s="3" t="inlineStr">
        <ns0:is>
          <ns0:t>D</ns0:t>
        </ns0:is>
      </ns0:c>
      <ns0:c r="D1350" s="4" t="n">
        <ns0:v>0</ns0:v>
      </ns0:c>
      <ns0:c r="E1350" s="4" t="n">
        <ns0:v>1000</ns0:v>
      </ns0:c>
      <ns0:c r="F1350" s="6" t="n">
        <ns0:v>0.5</ns0:v>
      </ns0:c>
      <ns0:c r="G1350" s="4" t="n">
        <ns0:v>2</ns0:v>
      </ns0:c>
      <ns0:c r="H1350" s="7" t="n">
        <ns0:v>5635.469260325407</ns0:v>
      </ns0:c>
      <ns0:c r="I1350" s="7" t="n">
        <ns0:v>3927.853936170213</ns0:v>
      </ns0:c>
      <ns0:c r="J1350" s="7" t="n">
        <ns0:v>1963.926968085106</ns0:v>
      </ns0:c>
      <ns0:c r="K1350" s="7" t="n">
        <ns0:v>67</ns0:v>
      </ns0:c>
      <ns0:c r="L1350" s="18" t="inlineStr">
        <ns0:is>
          <ns0:t>範囲内なし</ns0:t>
        </ns0:is>
      </ns0:c>
      <ns0:c r="M1350" s="7" t="n">
        <ns0:v>-47285.02694140928</ns0:v>
      </ns0:c>
      <ns0:c r="N1350" s="7" t="n">
        <ns0:v>-31333.21157161221</ns0:v>
      </ns0:c>
      <ns0:c r="O1350" s="7" t="n">
        <ns0:v>-13261.37117052604</ns0:v>
      </ns0:c>
      <ns0:c r="P1350" s="7" t="n">
        <ns0:v>27988.19228525573</ns0:v>
      </ns0:c>
      <ns0:c r="Q1350" s="7" t="n">
        <ns0:v>150986.4461083828</ns0:v>
      </ns0:c>
      <ns0:c r="R1350" s="7" t="n">
        <ns0:v>658480.3344893276</ns0:v>
      </ns0:c>
    </ns0:row>
    <ns0:row r="1351" ht="24" customHeight="1">
      <ns0:c r="A1351" s="3" t="inlineStr">
        <ns0:is>
          <ns0:t>混在40/30/30</ns0:t>
        </ns0:is>
      </ns0:c>
      <ns0:c r="B1351" s="3" t="inlineStr">
        <ns0:is>
          <ns0:t>G0基本5000比較</ns0:t>
        </ns0:is>
      </ns0:c>
      <ns0:c r="C1351" s="3" t="inlineStr">
        <ns0:is>
          <ns0:t>D</ns0:t>
        </ns0:is>
      </ns0:c>
      <ns0:c r="D1351" s="4" t="n">
        <ns0:v>0</ns0:v>
      </ns0:c>
      <ns0:c r="E1351" s="4" t="n">
        <ns0:v>1000</ns0:v>
      </ns0:c>
      <ns0:c r="F1351" s="6" t="n">
        <ns0:v>0.5</ns0:v>
      </ns0:c>
      <ns0:c r="G1351" s="4" t="n">
        <ns0:v>3</ns0:v>
      </ns0:c>
      <ns0:c r="H1351" s="7" t="n">
        <ns0:v>5635.469260325407</ns0:v>
      </ns0:c>
      <ns0:c r="I1351" s="7" t="n">
        <ns0:v>3927.853936170213</ns0:v>
      </ns0:c>
      <ns0:c r="J1351" s="7" t="n">
        <ns0:v>1963.926968085106</ns0:v>
      </ns0:c>
      <ns0:c r="K1351" s="7" t="n">
        <ns0:v>39</ns0:v>
      </ns0:c>
      <ns0:c r="L1351" s="18" t="inlineStr">
        <ns0:is>
          <ns0:t>範囲内なし</ns0:t>
        </ns0:is>
      </ns0:c>
      <ns0:c r="M1351" s="7" t="n">
        <ns0:v>-41271.64162468388</ns0:v>
      </ns0:c>
      <ns0:c r="N1351" s="7" t="n">
        <ns0:v>-13293.05562143605</ns0:v>
      </ns0:c>
      <ns0:c r="O1351" s="7" t="n">
        <ns0:v>16805.5554131009</ns0:v>
      </ns0:c>
      <ns0:c r="P1351" s="7" t="n">
        <ns0:v>88122.0454525096</ns0:v>
      </ns0:c>
      <ns0:c r="Q1351" s="7" t="n">
        <ns0:v>331388.0056101443</ns0:v>
      </ns0:c>
      <ns0:c r="R1351" s="7" t="n">
        <ns0:v>1259818.866161866</ns0:v>
      </ns0:c>
    </ns0:row>
    <ns0:row r="1352" ht="24" customHeight="1">
      <ns0:c r="A1352" s="3" t="inlineStr">
        <ns0:is>
          <ns0:t>混在40/30/30</ns0:t>
        </ns0:is>
      </ns0:c>
      <ns0:c r="B1352" s="3" t="inlineStr">
        <ns0:is>
          <ns0:t>G0基本5000比較</ns0:t>
        </ns0:is>
      </ns0:c>
      <ns0:c r="C1352" s="3" t="inlineStr">
        <ns0:is>
          <ns0:t>D</ns0:t>
        </ns0:is>
      </ns0:c>
      <ns0:c r="D1352" s="4" t="n">
        <ns0:v>0</ns0:v>
      </ns0:c>
      <ns0:c r="E1352" s="4" t="n">
        <ns0:v>1500</ns0:v>
      </ns0:c>
      <ns0:c r="F1352" s="6" t="n">
        <ns0:v>0.3</ns0:v>
      </ns0:c>
      <ns0:c r="G1352" s="4" t="n">
        <ns0:v>0</ns0:v>
      </ns0:c>
      <ns0:c r="H1352" s="7" t="n">
        <ns0:v>5485.469260325406</ns0:v>
      </ns0:c>
      <ns0:c r="I1352" s="7" t="n">
        <ns0:v>3777.853936170213</ns0:v>
      </ns0:c>
      <ns0:c r="J1352" s="7" t="n">
        <ns0:v>1133.356180851064</ns0:v>
      </ns0:c>
      <ns0:c r="K1352" s="7" t="n">
        <ns0:v>22</ns0:v>
      </ns0:c>
      <ns0:c r="L1352" s="7" t="n">
        <ns0:v>67</ns0:v>
      </ns0:c>
      <ns0:c r="M1352" s="7" t="n">
        <ns0:v>-27068.11897017158</ns0:v>
      </ns0:c>
      <ns0:c r="N1352" s="7" t="n">
        <ns0:v>29317.51234210084</ns0:v>
      </ns0:c>
      <ns0:c r="O1352" s="7" t="n">
        <ns0:v>87823.16868566233</ns0:v>
      </ns0:c>
      <ns0:c r="P1352" s="7" t="n">
        <ns0:v>230157.2719976325</ns0:v>
      </ns0:c>
      <ns0:c r="Q1352" s="7" t="n">
        <ns0:v>757493.6852455132</ns0:v>
      </ns0:c>
      <ns0:c r="R1352" s="7" t="n">
        <ns0:v>2680171.131613094</ns0:v>
      </ns0:c>
    </ns0:row>
    <ns0:row r="1353" ht="24" customHeight="1">
      <ns0:c r="A1353" s="3" t="inlineStr">
        <ns0:is>
          <ns0:t>混在40/30/30</ns0:t>
        </ns0:is>
      </ns0:c>
      <ns0:c r="B1353" s="3" t="inlineStr">
        <ns0:is>
          <ns0:t>G0基本5000比較</ns0:t>
        </ns0:is>
      </ns0:c>
      <ns0:c r="C1353" s="3" t="inlineStr">
        <ns0:is>
          <ns0:t>D</ns0:t>
        </ns0:is>
      </ns0:c>
      <ns0:c r="D1353" s="4" t="n">
        <ns0:v>0</ns0:v>
      </ns0:c>
      <ns0:c r="E1353" s="4" t="n">
        <ns0:v>1500</ns0:v>
      </ns0:c>
      <ns0:c r="F1353" s="6" t="n">
        <ns0:v>0.3</ns0:v>
      </ns0:c>
      <ns0:c r="G1353" s="4" t="n">
        <ns0:v>1</ns0:v>
      </ns0:c>
      <ns0:c r="H1353" s="7" t="n">
        <ns0:v>5485.469260325406</ns0:v>
      </ns0:c>
      <ns0:c r="I1353" s="7" t="n">
        <ns0:v>3777.853936170213</ns0:v>
      </ns0:c>
      <ns0:c r="J1353" s="7" t="n">
        <ns0:v>1133.356180851064</ns0:v>
      </ns0:c>
      <ns0:c r="K1353" s="7" t="n">
        <ns0:v>24</ns0:v>
      </ns0:c>
      <ns0:c r="L1353" s="7" t="n">
        <ns0:v>191</ns0:v>
      </ns0:c>
      <ns0:c r="M1353" s="7" t="n">
        <ns0:v>-29287.6627820369</ns0:v>
      </ns0:c>
      <ns0:c r="N1353" s="7" t="n">
        <ns0:v>22658.8809065049</ns0:v>
      </ns0:c>
      <ns0:c r="O1353" s="7" t="n">
        <ns0:v>76725.44962633577</ns0:v>
      </ns0:c>
      <ns0:c r="P1353" s="7" t="n">
        <ns0:v>207961.8338789793</ns0:v>
      </ns0:c>
      <ns0:c r="Q1353" s="7" t="n">
        <ns0:v>690907.3708895538</ns0:v>
      </ns0:c>
      <ns0:c r="R1353" s="7" t="n">
        <ns0:v>2458216.750426563</ns0:v>
      </ns0:c>
    </ns0:row>
    <ns0:row r="1354" ht="24" customHeight="1">
      <ns0:c r="A1354" s="3" t="inlineStr">
        <ns0:is>
          <ns0:t>混在40/30/30</ns0:t>
        </ns0:is>
      </ns0:c>
      <ns0:c r="B1354" s="3" t="inlineStr">
        <ns0:is>
          <ns0:t>G0基本5000比較</ns0:t>
        </ns0:is>
      </ns0:c>
      <ns0:c r="C1354" s="3" t="inlineStr">
        <ns0:is>
          <ns0:t>D</ns0:t>
        </ns0:is>
      </ns0:c>
      <ns0:c r="D1354" s="4" t="n">
        <ns0:v>0</ns0:v>
      </ns0:c>
      <ns0:c r="E1354" s="4" t="n">
        <ns0:v>1500</ns0:v>
      </ns0:c>
      <ns0:c r="F1354" s="6" t="n">
        <ns0:v>0.3</ns0:v>
      </ns0:c>
      <ns0:c r="G1354" s="4" t="n">
        <ns0:v>2</ns0:v>
      </ns0:c>
      <ns0:c r="H1354" s="7" t="n">
        <ns0:v>5485.469260325406</ns0:v>
      </ns0:c>
      <ns0:c r="I1354" s="7" t="n">
        <ns0:v>3777.853936170213</ns0:v>
      </ns0:c>
      <ns0:c r="J1354" s="7" t="n">
        <ns0:v>1133.356180851064</ns0:v>
      </ns0:c>
      <ns0:c r="K1354" s="7" t="n">
        <ns0:v>37</ns0:v>
      </ns0:c>
      <ns0:c r="L1354" s="18" t="inlineStr">
        <ns0:is>
          <ns0:t>範囲内なし</ns0:t>
        </ns0:is>
      </ns0:c>
      <ns0:c r="M1354" s="7" t="n">
        <ns0:v>-40425.31906906884</ns0:v>
      </ns0:c>
      <ns0:c r="N1354" s="7" t="n">
        <ns0:v>-10754.08795459093</ns0:v>
      </ns0:c>
      <ns0:c r="O1354" s="7" t="n">
        <ns0:v>21037.16819117605</ns0:v>
      </ns0:c>
      <ns0:c r="P1354" s="7" t="n">
        <ns0:v>96585.27100865991</ns0:v>
      </ns0:c>
      <ns0:c r="Q1354" s="7" t="n">
        <ns0:v>356777.6822785955</ns0:v>
      </ns0:c>
      <ns0:c r="R1354" s="7" t="n">
        <ns0:v>1344451.121723369</ns0:v>
      </ns0:c>
    </ns0:row>
    <ns0:row r="1355" ht="24" customHeight="1">
      <ns0:c r="A1355" s="3" t="inlineStr">
        <ns0:is>
          <ns0:t>混在40/30/30</ns0:t>
        </ns0:is>
      </ns0:c>
      <ns0:c r="B1355" s="3" t="inlineStr">
        <ns0:is>
          <ns0:t>G0基本5000比較</ns0:t>
        </ns0:is>
      </ns0:c>
      <ns0:c r="C1355" s="3" t="inlineStr">
        <ns0:is>
          <ns0:t>D</ns0:t>
        </ns0:is>
      </ns0:c>
      <ns0:c r="D1355" s="4" t="n">
        <ns0:v>0</ns0:v>
      </ns0:c>
      <ns0:c r="E1355" s="4" t="n">
        <ns0:v>1500</ns0:v>
      </ns0:c>
      <ns0:c r="F1355" s="6" t="n">
        <ns0:v>0.3</ns0:v>
      </ns0:c>
      <ns0:c r="G1355" s="4" t="n">
        <ns0:v>3</ns0:v>
      </ns0:c>
      <ns0:c r="H1355" s="7" t="n">
        <ns0:v>5485.469260325406</ns0:v>
      </ns0:c>
      <ns0:c r="I1355" s="7" t="n">
        <ns0:v>3777.853936170213</ns0:v>
      </ns0:c>
      <ns0:c r="J1355" s="7" t="n">
        <ns0:v>1133.356180851064</ns0:v>
      </ns0:c>
      <ns0:c r="K1355" s="7" t="n">
        <ns0:v>28</ns0:v>
      </ns0:c>
      <ns0:c r="L1355" s="18" t="inlineStr">
        <ns0:is>
          <ns0:t>範囲内なし</ns0:t>
        </ns0:is>
      </ns0:c>
      <ns0:c r="M1355" s="7" t="n">
        <ns0:v>-34411.93375234345</ns0:v>
      </ns0:c>
      <ns0:c r="N1355" s="7" t="n">
        <ns0:v>7286.067995585232</ns0:v>
      </ns0:c>
      <ns0:c r="O1355" s="7" t="n">
        <ns0:v>51104.09477480299</ns0:v>
      </ns0:c>
      <ns0:c r="P1355" s="7" t="n">
        <ns0:v>156719.1241759138</ns0:v>
      </ns0:c>
      <ns0:c r="Q1355" s="7" t="n">
        <ns0:v>537179.2417803571</ns0:v>
      </ns0:c>
      <ns0:c r="R1355" s="7" t="n">
        <ns0:v>1945789.653395907</ns0:v>
      </ns0:c>
    </ns0:row>
    <ns0:row r="1356" ht="24" customHeight="1">
      <ns0:c r="A1356" s="3" t="inlineStr">
        <ns0:is>
          <ns0:t>混在40/30/30</ns0:t>
        </ns0:is>
      </ns0:c>
      <ns0:c r="B1356" s="3" t="inlineStr">
        <ns0:is>
          <ns0:t>G0基本5000比較</ns0:t>
        </ns0:is>
      </ns0:c>
      <ns0:c r="C1356" s="3" t="inlineStr">
        <ns0:is>
          <ns0:t>D</ns0:t>
        </ns0:is>
      </ns0:c>
      <ns0:c r="D1356" s="4" t="n">
        <ns0:v>0</ns0:v>
      </ns0:c>
      <ns0:c r="E1356" s="4" t="n">
        <ns0:v>1500</ns0:v>
      </ns0:c>
      <ns0:c r="F1356" s="6" t="n">
        <ns0:v>0.4</ns0:v>
      </ns0:c>
      <ns0:c r="G1356" s="4" t="n">
        <ns0:v>0</ns0:v>
      </ns0:c>
      <ns0:c r="H1356" s="7" t="n">
        <ns0:v>5485.469260325406</ns0:v>
      </ns0:c>
      <ns0:c r="I1356" s="7" t="n">
        <ns0:v>3777.853936170213</ns0:v>
      </ns0:c>
      <ns0:c r="J1356" s="7" t="n">
        <ns0:v>1511.141574468085</ns0:v>
      </ns0:c>
      <ns0:c r="K1356" s="7" t="n">
        <ns0:v>25</ns0:v>
      </ns0:c>
      <ns0:c r="L1356" s="7" t="n">
        <ns0:v>76</ns0:v>
      </ns0:c>
      <ns0:c r="M1356" s="7" t="n">
        <ns0:v>-30845.9729063418</ns0:v>
      </ns0:c>
      <ns0:c r="N1356" s="7" t="n">
        <ns0:v>17983.95053359017</ns0:v>
      </ns0:c>
      <ns0:c r="O1356" s="7" t="n">
        <ns0:v>68933.89900481126</ns0:v>
      </ns0:c>
      <ns0:c r="P1356" s="7" t="n">
        <ns0:v>192378.7326359303</ns0:v>
      </ns0:c>
      <ns0:c r="Q1356" s="7" t="n">
        <ns0:v>644158.0671604067</ns0:v>
      </ns0:c>
      <ns0:c r="R1356" s="7" t="n">
        <ns0:v>2302385.737996073</ns0:v>
      </ns0:c>
    </ns0:row>
    <ns0:row r="1357" ht="24" customHeight="1">
      <ns0:c r="A1357" s="3" t="inlineStr">
        <ns0:is>
          <ns0:t>混在40/30/30</ns0:t>
        </ns0:is>
      </ns0:c>
      <ns0:c r="B1357" s="3" t="inlineStr">
        <ns0:is>
          <ns0:t>G0基本5000比較</ns0:t>
        </ns0:is>
      </ns0:c>
      <ns0:c r="C1357" s="3" t="inlineStr">
        <ns0:is>
          <ns0:t>D</ns0:t>
        </ns0:is>
      </ns0:c>
      <ns0:c r="D1357" s="4" t="n">
        <ns0:v>0</ns0:v>
      </ns0:c>
      <ns0:c r="E1357" s="4" t="n">
        <ns0:v>1500</ns0:v>
      </ns0:c>
      <ns0:c r="F1357" s="6" t="n">
        <ns0:v>0.4</ns0:v>
      </ns0:c>
      <ns0:c r="G1357" s="4" t="n">
        <ns0:v>1</ns0:v>
      </ns0:c>
      <ns0:c r="H1357" s="7" t="n">
        <ns0:v>5485.469260325406</ns0:v>
      </ns0:c>
      <ns0:c r="I1357" s="7" t="n">
        <ns0:v>3777.853936170213</ns0:v>
      </ns0:c>
      <ns0:c r="J1357" s="7" t="n">
        <ns0:v>1511.141574468085</ns0:v>
      </ns0:c>
      <ns0:c r="K1357" s="7" t="n">
        <ns0:v>27</ns0:v>
      </ns0:c>
      <ns0:c r="L1357" s="7" t="n">
        <ns0:v>243</ns0:v>
      </ns0:c>
      <ns0:c r="M1357" s="7" t="n">
        <ns0:v>-33065.51671820712</ns0:v>
      </ns0:c>
      <ns0:c r="N1357" s="7" t="n">
        <ns0:v>11325.31909799424</ns0:v>
      </ns0:c>
      <ns0:c r="O1357" s="7" t="n">
        <ns0:v>57836.17994548469</ns0:v>
      </ns0:c>
      <ns0:c r="P1357" s="7" t="n">
        <ns0:v>170183.2945172772</ns0:v>
      </ns0:c>
      <ns0:c r="Q1357" s="7" t="n">
        <ns0:v>577571.7528044473</ns0:v>
      </ns0:c>
      <ns0:c r="R1357" s="7" t="n">
        <ns0:v>2080431.356809542</ns0:v>
      </ns0:c>
    </ns0:row>
    <ns0:row r="1358" ht="24" customHeight="1">
      <ns0:c r="A1358" s="3" t="inlineStr">
        <ns0:is>
          <ns0:t>混在40/30/30</ns0:t>
        </ns0:is>
      </ns0:c>
      <ns0:c r="B1358" s="3" t="inlineStr">
        <ns0:is>
          <ns0:t>G0基本5000比較</ns0:t>
        </ns0:is>
      </ns0:c>
      <ns0:c r="C1358" s="3" t="inlineStr">
        <ns0:is>
          <ns0:t>D</ns0:t>
        </ns0:is>
      </ns0:c>
      <ns0:c r="D1358" s="4" t="n">
        <ns0:v>0</ns0:v>
      </ns0:c>
      <ns0:c r="E1358" s="4" t="n">
        <ns0:v>1500</ns0:v>
      </ns0:c>
      <ns0:c r="F1358" s="6" t="n">
        <ns0:v>0.4</ns0:v>
      </ns0:c>
      <ns0:c r="G1358" s="4" t="n">
        <ns0:v>2</ns0:v>
      </ns0:c>
      <ns0:c r="H1358" s="7" t="n">
        <ns0:v>5485.469260325406</ns0:v>
      </ns0:c>
      <ns0:c r="I1358" s="7" t="n">
        <ns0:v>3777.853936170213</ns0:v>
      </ns0:c>
      <ns0:c r="J1358" s="7" t="n">
        <ns0:v>1511.141574468085</ns0:v>
      </ns0:c>
      <ns0:c r="K1358" s="7" t="n">
        <ns0:v>49</ns0:v>
      </ns0:c>
      <ns0:c r="L1358" s="18" t="inlineStr">
        <ns0:is>
          <ns0:t>範囲内なし</ns0:t>
        </ns0:is>
      </ns0:c>
      <ns0:c r="M1358" s="7" t="n">
        <ns0:v>-44203.17300523906</ns0:v>
      </ns0:c>
      <ns0:c r="N1358" s="7" t="n">
        <ns0:v>-22087.6497631016</ns0:v>
      </ns0:c>
      <ns0:c r="O1358" s="7" t="n">
        <ns0:v>2147.898510324972</ns0:v>
      </ns0:c>
      <ns0:c r="P1358" s="7" t="n">
        <ns0:v>58806.73164695775</ns0:v>
      </ns0:c>
      <ns0:c r="Q1358" s="7" t="n">
        <ns0:v>243442.064193489</ns0:v>
      </ns0:c>
      <ns0:c r="R1358" s="7" t="n">
        <ns0:v>966665.7281063476</ns0:v>
      </ns0:c>
    </ns0:row>
    <ns0:row r="1359" ht="24" customHeight="1">
      <ns0:c r="A1359" s="3" t="inlineStr">
        <ns0:is>
          <ns0:t>混在40/30/30</ns0:t>
        </ns0:is>
      </ns0:c>
      <ns0:c r="B1359" s="3" t="inlineStr">
        <ns0:is>
          <ns0:t>G0基本5000比較</ns0:t>
        </ns0:is>
      </ns0:c>
      <ns0:c r="C1359" s="3" t="inlineStr">
        <ns0:is>
          <ns0:t>D</ns0:t>
        </ns0:is>
      </ns0:c>
      <ns0:c r="D1359" s="4" t="n">
        <ns0:v>0</ns0:v>
      </ns0:c>
      <ns0:c r="E1359" s="4" t="n">
        <ns0:v>1500</ns0:v>
      </ns0:c>
      <ns0:c r="F1359" s="6" t="n">
        <ns0:v>0.4</ns0:v>
      </ns0:c>
      <ns0:c r="G1359" s="4" t="n">
        <ns0:v>3</ns0:v>
      </ns0:c>
      <ns0:c r="H1359" s="7" t="n">
        <ns0:v>5485.469260325406</ns0:v>
      </ns0:c>
      <ns0:c r="I1359" s="7" t="n">
        <ns0:v>3777.853936170213</ns0:v>
      </ns0:c>
      <ns0:c r="J1359" s="7" t="n">
        <ns0:v>1511.141574468085</ns0:v>
      </ns0:c>
      <ns0:c r="K1359" s="7" t="n">
        <ns0:v>32</ns0:v>
      </ns0:c>
      <ns0:c r="L1359" s="18" t="inlineStr">
        <ns0:is>
          <ns0:t>範囲内なし</ns0:t>
        </ns0:is>
      </ns0:c>
      <ns0:c r="M1359" s="7" t="n">
        <ns0:v>-38189.78768851367</ns0:v>
      </ns0:c>
      <ns0:c r="N1359" s="7" t="n">
        <ns0:v>-4047.493812925437</ns0:v>
      </ns0:c>
      <ns0:c r="O1359" s="7" t="n">
        <ns0:v>32214.82509395191</ns0:v>
      </ns0:c>
      <ns0:c r="P1359" s="7" t="n">
        <ns0:v>118940.5848142116</ns0:v>
      </ns0:c>
      <ns0:c r="Q1359" s="7" t="n">
        <ns0:v>423843.6236952507</ns0:v>
      </ns0:c>
      <ns0:c r="R1359" s="7" t="n">
        <ns0:v>1568004.259778886</ns0:v>
      </ns0:c>
    </ns0:row>
    <ns0:row r="1360" ht="24" customHeight="1">
      <ns0:c r="A1360" s="3" t="inlineStr">
        <ns0:is>
          <ns0:t>混在40/30/30</ns0:t>
        </ns0:is>
      </ns0:c>
      <ns0:c r="B1360" s="3" t="inlineStr">
        <ns0:is>
          <ns0:t>G0基本5000比較</ns0:t>
        </ns0:is>
      </ns0:c>
      <ns0:c r="C1360" s="3" t="inlineStr">
        <ns0:is>
          <ns0:t>D</ns0:t>
        </ns0:is>
      </ns0:c>
      <ns0:c r="D1360" s="4" t="n">
        <ns0:v>0</ns0:v>
      </ns0:c>
      <ns0:c r="E1360" s="4" t="n">
        <ns0:v>1500</ns0:v>
      </ns0:c>
      <ns0:c r="F1360" s="6" t="n">
        <ns0:v>0.5</ns0:v>
      </ns0:c>
      <ns0:c r="G1360" s="4" t="n">
        <ns0:v>0</ns0:v>
      </ns0:c>
      <ns0:c r="H1360" s="7" t="n">
        <ns0:v>5485.469260325406</ns0:v>
      </ns0:c>
      <ns0:c r="I1360" s="7" t="n">
        <ns0:v>3777.853936170213</ns0:v>
      </ns0:c>
      <ns0:c r="J1360" s="7" t="n">
        <ns0:v>1888.926968085106</ns0:v>
      </ns0:c>
      <ns0:c r="K1360" s="7" t="n">
        <ns0:v>28</ns0:v>
      </ns0:c>
      <ns0:c r="L1360" s="7" t="n">
        <ns0:v>89</ns0:v>
      </ns0:c>
      <ns0:c r="M1360" s="7" t="n">
        <ns0:v>-34623.826842512</ns0:v>
      </ns0:c>
      <ns0:c r="N1360" s="7" t="n">
        <ns0:v>6650.388725079538</ns0:v>
      </ns0:c>
      <ns0:c r="O1360" s="7" t="n">
        <ns0:v>50044.62932396021</ns0:v>
      </ns0:c>
      <ns0:c r="P1360" s="7" t="n">
        <ns0:v>154600.1932742282</ns0:v>
      </ns0:c>
      <ns0:c r="Q1360" s="7" t="n">
        <ns0:v>530822.4490753004</ns0:v>
      </ns0:c>
      <ns0:c r="R1360" s="7" t="n">
        <ns0:v>1924600.344379052</ns0:v>
      </ns0:c>
    </ns0:row>
    <ns0:row r="1361" ht="24" customHeight="1">
      <ns0:c r="A1361" s="3" t="inlineStr">
        <ns0:is>
          <ns0:t>混在40/30/30</ns0:t>
        </ns0:is>
      </ns0:c>
      <ns0:c r="B1361" s="3" t="inlineStr">
        <ns0:is>
          <ns0:t>G0基本5000比較</ns0:t>
        </ns0:is>
      </ns0:c>
      <ns0:c r="C1361" s="3" t="inlineStr">
        <ns0:is>
          <ns0:t>D</ns0:t>
        </ns0:is>
      </ns0:c>
      <ns0:c r="D1361" s="4" t="n">
        <ns0:v>0</ns0:v>
      </ns0:c>
      <ns0:c r="E1361" s="4" t="n">
        <ns0:v>1500</ns0:v>
      </ns0:c>
      <ns0:c r="F1361" s="6" t="n">
        <ns0:v>0.5</ns0:v>
      </ns0:c>
      <ns0:c r="G1361" s="4" t="n">
        <ns0:v>1</ns0:v>
      </ns0:c>
      <ns0:c r="H1361" s="7" t="n">
        <ns0:v>5485.469260325406</ns0:v>
      </ns0:c>
      <ns0:c r="I1361" s="7" t="n">
        <ns0:v>3777.853936170213</ns0:v>
      </ns0:c>
      <ns0:c r="J1361" s="7" t="n">
        <ns0:v>1888.926968085106</ns0:v>
      </ns0:c>
      <ns0:c r="K1361" s="7" t="n">
        <ns0:v>31</ns0:v>
      </ns0:c>
      <ns0:c r="L1361" s="7" t="n">
        <ns0:v>336</ns0:v>
      </ns0:c>
      <ns0:c r="M1361" s="7" t="n">
        <ns0:v>-36843.37065437732</ns0:v>
      </ns0:c>
      <ns0:c r="N1361" s="7" t="n">
        <ns0:v>-8.242710516398802</ns0:v>
      </ns0:c>
      <ns0:c r="O1361" s="7" t="n">
        <ns0:v>38946.91026463364</ns0:v>
      </ns0:c>
      <ns0:c r="P1361" s="7" t="n">
        <ns0:v>132404.7551555751</ns0:v>
      </ns0:c>
      <ns0:c r="Q1361" s="7" t="n">
        <ns0:v>464236.134719341</ns0:v>
      </ns0:c>
      <ns0:c r="R1361" s="7" t="n">
        <ns0:v>1702645.963192521</ns0:v>
      </ns0:c>
    </ns0:row>
    <ns0:row r="1362" ht="24" customHeight="1">
      <ns0:c r="A1362" s="3" t="inlineStr">
        <ns0:is>
          <ns0:t>混在40/30/30</ns0:t>
        </ns0:is>
      </ns0:c>
      <ns0:c r="B1362" s="3" t="inlineStr">
        <ns0:is>
          <ns0:t>G0基本5000比較</ns0:t>
        </ns0:is>
      </ns0:c>
      <ns0:c r="C1362" s="3" t="inlineStr">
        <ns0:is>
          <ns0:t>D</ns0:t>
        </ns0:is>
      </ns0:c>
      <ns0:c r="D1362" s="4" t="n">
        <ns0:v>0</ns0:v>
      </ns0:c>
      <ns0:c r="E1362" s="4" t="n">
        <ns0:v>1500</ns0:v>
      </ns0:c>
      <ns0:c r="F1362" s="6" t="n">
        <ns0:v>0.5</ns0:v>
      </ns0:c>
      <ns0:c r="G1362" s="4" t="n">
        <ns0:v>2</ns0:v>
      </ns0:c>
      <ns0:c r="H1362" s="7" t="n">
        <ns0:v>5485.469260325406</ns0:v>
      </ns0:c>
      <ns0:c r="I1362" s="7" t="n">
        <ns0:v>3777.853936170213</ns0:v>
      </ns0:c>
      <ns0:c r="J1362" s="7" t="n">
        <ns0:v>1888.926968085106</ns0:v>
      </ns0:c>
      <ns0:c r="K1362" s="7" t="n">
        <ns0:v>73</ns0:v>
      </ns0:c>
      <ns0:c r="L1362" s="18" t="inlineStr">
        <ns0:is>
          <ns0:t>範囲内なし</ns0:t>
        </ns0:is>
      </ns0:c>
      <ns0:c r="M1362" s="7" t="n">
        <ns0:v>-47981.02694140926</ns0:v>
      </ns0:c>
      <ns0:c r="N1362" s="7" t="n">
        <ns0:v>-33421.21157161223</ns0:v>
      </ns0:c>
      <ns0:c r="O1362" s="7" t="n">
        <ns0:v>-16741.37117052606</ns0:v>
      </ns0:c>
      <ns0:c r="P1362" s="7" t="n">
        <ns0:v>21028.19228525565</ns0:v>
      </ns0:c>
      <ns0:c r="Q1362" s="7" t="n">
        <ns0:v>130106.4461083827</ns0:v>
      </ns0:c>
      <ns0:c r="R1362" s="7" t="n">
        <ns0:v>588880.3344893266</ns0:v>
      </ns0:c>
    </ns0:row>
    <ns0:row r="1363" ht="24" customHeight="1">
      <ns0:c r="A1363" s="3" t="inlineStr">
        <ns0:is>
          <ns0:t>混在40/30/30</ns0:t>
        </ns0:is>
      </ns0:c>
      <ns0:c r="B1363" s="3" t="inlineStr">
        <ns0:is>
          <ns0:t>G0基本5000比較</ns0:t>
        </ns0:is>
      </ns0:c>
      <ns0:c r="C1363" s="3" t="inlineStr">
        <ns0:is>
          <ns0:t>D</ns0:t>
        </ns0:is>
      </ns0:c>
      <ns0:c r="D1363" s="4" t="n">
        <ns0:v>0</ns0:v>
      </ns0:c>
      <ns0:c r="E1363" s="4" t="n">
        <ns0:v>1500</ns0:v>
      </ns0:c>
      <ns0:c r="F1363" s="6" t="n">
        <ns0:v>0.5</ns0:v>
      </ns0:c>
      <ns0:c r="G1363" s="4" t="n">
        <ns0:v>3</ns0:v>
      </ns0:c>
      <ns0:c r="H1363" s="7" t="n">
        <ns0:v>5485.469260325406</ns0:v>
      </ns0:c>
      <ns0:c r="I1363" s="7" t="n">
        <ns0:v>3777.853936170213</ns0:v>
      </ns0:c>
      <ns0:c r="J1363" s="7" t="n">
        <ns0:v>1888.926968085106</ns0:v>
      </ns0:c>
      <ns0:c r="K1363" s="7" t="n">
        <ns0:v>41</ns0:v>
      </ns0:c>
      <ns0:c r="L1363" s="18" t="inlineStr">
        <ns0:is>
          <ns0:t>範囲内なし</ns0:t>
        </ns0:is>
      </ns0:c>
      <ns0:c r="M1363" s="7" t="n">
        <ns0:v>-41967.64162468388</ns0:v>
      </ns0:c>
      <ns0:c r="N1363" s="7" t="n">
        <ns0:v>-15381.05562143607</ns0:v>
      </ns0:c>
      <ns0:c r="O1363" s="7" t="n">
        <ns0:v>13325.55541310086</ns0:v>
      </ns0:c>
      <ns0:c r="P1363" s="7" t="n">
        <ns0:v>81162.04545250951</ns0:v>
      </ns0:c>
      <ns0:c r="Q1363" s="7" t="n">
        <ns0:v>310508.0056101443</ns0:v>
      </ns0:c>
      <ns0:c r="R1363" s="7" t="n">
        <ns0:v>1190218.866161865</ns0:v>
      </ns0:c>
    </ns0:row>
    <ns0:row r="1364" ht="24" customHeight="1">
      <ns0:c r="A1364" s="3" t="inlineStr">
        <ns0:is>
          <ns0:t>混在40/30/30</ns0:t>
        </ns0:is>
      </ns0:c>
      <ns0:c r="B1364" s="3" t="inlineStr">
        <ns0:is>
          <ns0:t>G0基本5000比較</ns0:t>
        </ns0:is>
      </ns0:c>
      <ns0:c r="C1364" s="3" t="inlineStr">
        <ns0:is>
          <ns0:t>D</ns0:t>
        </ns0:is>
      </ns0:c>
      <ns0:c r="D1364" s="4" t="n">
        <ns0:v>1</ns0:v>
      </ns0:c>
      <ns0:c r="E1364" s="4" t="n">
        <ns0:v>500</ns0:v>
      </ns0:c>
      <ns0:c r="F1364" s="6" t="n">
        <ns0:v>0.3</ns0:v>
      </ns0:c>
      <ns0:c r="G1364" s="4" t="n">
        <ns0:v>0</ns0:v>
      </ns0:c>
      <ns0:c r="H1364" s="7" t="n">
        <ns0:v>6838.217062968473</ns0:v>
      </ns0:c>
      <ns0:c r="I1364" s="7" t="n">
        <ns0:v>4156.909968838607</ns0:v>
      </ns0:c>
      <ns0:c r="J1364" s="7" t="n">
        <ns0:v>1247.072990651582</ns0:v>
      </ns0:c>
      <ns0:c r="K1364" s="7" t="n">
        <ns0:v>16</ns0:v>
      </ns0:c>
      <ns0:c r="L1364" s="7" t="n">
        <ns0:v>35</ns0:v>
      </ns0:c>
      <ns0:c r="M1364" s="7" t="n">
        <ns0:v>-15540.18820423726</ns0:v>
      </ns0:c>
      <ns0:c r="N1364" s="7" t="n">
        <ns0:v>56611.80743319994</ns0:v>
      </ns0:c>
      <ns0:c r="O1364" s="7" t="n">
        <ns0:v>130693.6354728718</ns0:v>
      </ns0:c>
      <ns0:c r="P1364" s="7" t="n">
        <ns0:v>315898.2055720513</ns0:v>
      </ns0:c>
      <ns0:c r="Q1364" s="7" t="n">
        <ns0:v>1014716.48596877</ns0:v>
      </ns0:c>
      <ns0:c r="R1364" s="7" t="n">
        <ns0:v>3537580.467357284</ns0:v>
      </ns0:c>
    </ns0:row>
    <ns0:row r="1365" ht="24" customHeight="1">
      <ns0:c r="A1365" s="3" t="inlineStr">
        <ns0:is>
          <ns0:t>混在40/30/30</ns0:t>
        </ns0:is>
      </ns0:c>
      <ns0:c r="B1365" s="3" t="inlineStr">
        <ns0:is>
          <ns0:t>G0基本5000比較</ns0:t>
        </ns0:is>
      </ns0:c>
      <ns0:c r="C1365" s="3" t="inlineStr">
        <ns0:is>
          <ns0:t>D</ns0:t>
        </ns0:is>
      </ns0:c>
      <ns0:c r="D1365" s="4" t="n">
        <ns0:v>1</ns0:v>
      </ns0:c>
      <ns0:c r="E1365" s="4" t="n">
        <ns0:v>500</ns0:v>
      </ns0:c>
      <ns0:c r="F1365" s="6" t="n">
        <ns0:v>0.3</ns0:v>
      </ns0:c>
      <ns0:c r="G1365" s="4" t="n">
        <ns0:v>1</ns0:v>
      </ns0:c>
      <ns0:c r="H1365" s="7" t="n">
        <ns0:v>6838.217062968473</ns0:v>
      </ns0:c>
      <ns0:c r="I1365" s="7" t="n">
        <ns0:v>4156.909968838607</ns0:v>
      </ns0:c>
      <ns0:c r="J1365" s="7" t="n">
        <ns0:v>1247.072990651582</ns0:v>
      </ns0:c>
      <ns0:c r="K1365" s="7" t="n">
        <ns0:v>18</ns0:v>
      </ns0:c>
      <ns0:c r="L1365" s="7" t="n">
        <ns0:v>47</ns0:v>
      </ns0:c>
      <ns0:c r="M1365" s="7" t="n">
        <ns0:v>-18109.40627220153</ns0:v>
      </ns0:c>
      <ns0:c r="N1365" s="7" t="n">
        <ns0:v>48904.15322930712</ns0:v>
      </ns0:c>
      <ns0:c r="O1365" s="7" t="n">
        <ns0:v>117847.5451330504</ns0:v>
      </ns0:c>
      <ns0:c r="P1365" s="7" t="n">
        <ns0:v>290206.0248924086</ns0:v>
      </ns0:c>
      <ns0:c r="Q1365" s="7" t="n">
        <ns0:v>937639.9439298415</ns0:v>
      </ns0:c>
      <ns0:c r="R1365" s="7" t="n">
        <ns0:v>3280658.660560858</ns0:v>
      </ns0:c>
    </ns0:row>
    <ns0:row r="1366" ht="24" customHeight="1">
      <ns0:c r="A1366" s="3" t="inlineStr">
        <ns0:is>
          <ns0:t>混在40/30/30</ns0:t>
        </ns0:is>
      </ns0:c>
      <ns0:c r="B1366" s="3" t="inlineStr">
        <ns0:is>
          <ns0:t>G0基本5000比較</ns0:t>
        </ns0:is>
      </ns0:c>
      <ns0:c r="C1366" s="3" t="inlineStr">
        <ns0:is>
          <ns0:t>D</ns0:t>
        </ns0:is>
      </ns0:c>
      <ns0:c r="D1366" s="4" t="n">
        <ns0:v>1</ns0:v>
      </ns0:c>
      <ns0:c r="E1366" s="4" t="n">
        <ns0:v>500</ns0:v>
      </ns0:c>
      <ns0:c r="F1366" s="6" t="n">
        <ns0:v>0.3</ns0:v>
      </ns0:c>
      <ns0:c r="G1366" s="4" t="n">
        <ns0:v>2</ns0:v>
      </ns0:c>
      <ns0:c r="H1366" s="7" t="n">
        <ns0:v>6838.217062968473</ns0:v>
      </ns0:c>
      <ns0:c r="I1366" s="7" t="n">
        <ns0:v>4156.909968838607</ns0:v>
      </ns0:c>
      <ns0:c r="J1366" s="7" t="n">
        <ns0:v>1247.072990651582</ns0:v>
      </ns0:c>
      <ns0:c r="K1366" s="7" t="n">
        <ns0:v>42</ns0:v>
      </ns0:c>
      <ns0:c r="L1366" s="18" t="inlineStr">
        <ns0:is>
          <ns0:t>範囲内なし</ns0:t>
        </ns0:is>
      </ns0:c>
      <ns0:c r="M1366" s="7" t="n">
        <ns0:v>-39341.24480354262</ns0:v>
      </ns0:c>
      <ns0:c r="N1366" s="7" t="n">
        <ns0:v>-14791.36236471615</ns0:v>
      </ns0:c>
      <ns0:c r="O1366" s="7" t="n">
        <ns0:v>11688.35247634497</ns0:v>
      </ns0:c>
      <ns0:c r="P1366" s="7" t="n">
        <ns0:v>77887.63957899774</ns0:v>
      </ns0:c>
      <ns0:c r="Q1366" s="7" t="n">
        <ns0:v>300684.7879896088</ns0:v>
      </ns0:c>
      <ns0:c r="R1366" s="7" t="n">
        <ns0:v>1157474.807426749</ns0:v>
      </ns0:c>
    </ns0:row>
    <ns0:row r="1367" ht="24" customHeight="1">
      <ns0:c r="A1367" s="3" t="inlineStr">
        <ns0:is>
          <ns0:t>混在40/30/30</ns0:t>
        </ns0:is>
      </ns0:c>
      <ns0:c r="B1367" s="3" t="inlineStr">
        <ns0:is>
          <ns0:t>G0基本5000比較</ns0:t>
        </ns0:is>
      </ns0:c>
      <ns0:c r="C1367" s="3" t="inlineStr">
        <ns0:is>
          <ns0:t>D</ns0:t>
        </ns0:is>
      </ns0:c>
      <ns0:c r="D1367" s="4" t="n">
        <ns0:v>1</ns0:v>
      </ns0:c>
      <ns0:c r="E1367" s="4" t="n">
        <ns0:v>500</ns0:v>
      </ns0:c>
      <ns0:c r="F1367" s="6" t="n">
        <ns0:v>0.3</ns0:v>
      </ns0:c>
      <ns0:c r="G1367" s="4" t="n">
        <ns0:v>3</ns0:v>
      </ns0:c>
      <ns0:c r="H1367" s="7" t="n">
        <ns0:v>6838.217062968473</ns0:v>
      </ns0:c>
      <ns0:c r="I1367" s="7" t="n">
        <ns0:v>4156.909968838607</ns0:v>
      </ns0:c>
      <ns0:c r="J1367" s="7" t="n">
        <ns0:v>1247.072990651582</ns0:v>
      </ns0:c>
      <ns0:c r="K1367" s="7" t="n">
        <ns0:v>20</ns0:v>
      </ns0:c>
      <ns0:c r="L1367" s="7" t="n">
        <ns0:v>323</ns0:v>
      </ns0:c>
      <ns0:c r="M1367" s="7" t="n">
        <ns0:v>-23750.15370045533</ns0:v>
      </ns0:c>
      <ns0:c r="N1367" s="7" t="n">
        <ns0:v>31981.91094454573</ns0:v>
      </ns0:c>
      <ns0:c r="O1367" s="7" t="n">
        <ns0:v>89643.80799178142</ns0:v>
      </ns0:c>
      <ns0:c r="P1367" s="7" t="n">
        <ns0:v>233798.5506098706</ns0:v>
      </ns0:c>
      <ns0:c r="Q1367" s="7" t="n">
        <ns0:v>768417.5210822275</ns0:v>
      </ns0:c>
      <ns0:c r="R1367" s="7" t="n">
        <ns0:v>2716583.917735477</ns0:v>
      </ns0:c>
    </ns0:row>
    <ns0:row r="1368" ht="24" customHeight="1">
      <ns0:c r="A1368" s="3" t="inlineStr">
        <ns0:is>
          <ns0:t>混在40/30/30</ns0:t>
        </ns0:is>
      </ns0:c>
      <ns0:c r="B1368" s="3" t="inlineStr">
        <ns0:is>
          <ns0:t>G0基本5000比較</ns0:t>
        </ns0:is>
      </ns0:c>
      <ns0:c r="C1368" s="3" t="inlineStr">
        <ns0:is>
          <ns0:t>D</ns0:t>
        </ns0:is>
      </ns0:c>
      <ns0:c r="D1368" s="4" t="n">
        <ns0:v>1</ns0:v>
      </ns0:c>
      <ns0:c r="E1368" s="4" t="n">
        <ns0:v>500</ns0:v>
      </ns0:c>
      <ns0:c r="F1368" s="6" t="n">
        <ns0:v>0.4</ns0:v>
      </ns0:c>
      <ns0:c r="G1368" s="4" t="n">
        <ns0:v>0</ns0:v>
      </ns0:c>
      <ns0:c r="H1368" s="7" t="n">
        <ns0:v>6838.217062968473</ns0:v>
      </ns0:c>
      <ns0:c r="I1368" s="7" t="n">
        <ns0:v>4156.909968838607</ns0:v>
      </ns0:c>
      <ns0:c r="J1368" s="7" t="n">
        <ns0:v>1662.763987535443</ns0:v>
      </ns0:c>
      <ns0:c r="K1368" s="7" t="n">
        <ns0:v>18</ns0:v>
      </ns0:c>
      <ns0:c r="L1368" s="7" t="n">
        <ns0:v>38</ns0:v>
      </ns0:c>
      <ns0:c r="M1368" s="7" t="n">
        <ns0:v>-19697.09817307586</ns0:v>
      </ns0:c>
      <ns0:c r="N1368" s="7" t="n">
        <ns0:v>44141.07752668411</ns0:v>
      </ns0:c>
      <ns0:c r="O1368" s="7" t="n">
        <ns0:v>109909.0856286787</ns0:v>
      </ns0:c>
      <ns0:c r="P1368" s="7" t="n">
        <ns0:v>274329.1058836652</ns0:v>
      </ns0:c>
      <ns0:c r="Q1368" s="7" t="n">
        <ns0:v>890009.1869036115</ns0:v>
      </ns0:c>
      <ns0:c r="R1368" s="7" t="n">
        <ns0:v>3121889.470473424</ns0:v>
      </ns0:c>
    </ns0:row>
    <ns0:row r="1369" ht="24" customHeight="1">
      <ns0:c r="A1369" s="3" t="inlineStr">
        <ns0:is>
          <ns0:t>混在40/30/30</ns0:t>
        </ns0:is>
      </ns0:c>
      <ns0:c r="B1369" s="3" t="inlineStr">
        <ns0:is>
          <ns0:t>G0基本5000比較</ns0:t>
        </ns0:is>
      </ns0:c>
      <ns0:c r="C1369" s="3" t="inlineStr">
        <ns0:is>
          <ns0:t>D</ns0:t>
        </ns0:is>
      </ns0:c>
      <ns0:c r="D1369" s="4" t="n">
        <ns0:v>1</ns0:v>
      </ns0:c>
      <ns0:c r="E1369" s="4" t="n">
        <ns0:v>500</ns0:v>
      </ns0:c>
      <ns0:c r="F1369" s="6" t="n">
        <ns0:v>0.4</ns0:v>
      </ns0:c>
      <ns0:c r="G1369" s="4" t="n">
        <ns0:v>1</ns0:v>
      </ns0:c>
      <ns0:c r="H1369" s="7" t="n">
        <ns0:v>6838.217062968473</ns0:v>
      </ns0:c>
      <ns0:c r="I1369" s="7" t="n">
        <ns0:v>4156.909968838607</ns0:v>
      </ns0:c>
      <ns0:c r="J1369" s="7" t="n">
        <ns0:v>1662.763987535443</ns0:v>
      </ns0:c>
      <ns0:c r="K1369" s="7" t="n">
        <ns0:v>20</ns0:v>
      </ns0:c>
      <ns0:c r="L1369" s="7" t="n">
        <ns0:v>53</ns0:v>
      </ns0:c>
      <ns0:c r="M1369" s="7" t="n">
        <ns0:v>-22266.31624104013</ns0:v>
      </ns0:c>
      <ns0:c r="N1369" s="7" t="n">
        <ns0:v>36433.42332279129</ns0:v>
      </ns0:c>
      <ns0:c r="O1369" s="7" t="n">
        <ns0:v>97062.99528885735</ns0:v>
      </ns0:c>
      <ns0:c r="P1369" s="7" t="n">
        <ns0:v>248636.9252040225</ns0:v>
      </ns0:c>
      <ns0:c r="Q1369" s="7" t="n">
        <ns0:v>812932.6448646833</ns0:v>
      </ns0:c>
      <ns0:c r="R1369" s="7" t="n">
        <ns0:v>2864967.663676997</ns0:v>
      </ns0:c>
    </ns0:row>
    <ns0:row r="1370" ht="24" customHeight="1">
      <ns0:c r="A1370" s="3" t="inlineStr">
        <ns0:is>
          <ns0:t>混在40/30/30</ns0:t>
        </ns0:is>
      </ns0:c>
      <ns0:c r="B1370" s="3" t="inlineStr">
        <ns0:is>
          <ns0:t>G0基本5000比較</ns0:t>
        </ns0:is>
      </ns0:c>
      <ns0:c r="C1370" s="3" t="inlineStr">
        <ns0:is>
          <ns0:t>D</ns0:t>
        </ns0:is>
      </ns0:c>
      <ns0:c r="D1370" s="4" t="n">
        <ns0:v>1</ns0:v>
      </ns0:c>
      <ns0:c r="E1370" s="4" t="n">
        <ns0:v>500</ns0:v>
      </ns0:c>
      <ns0:c r="F1370" s="6" t="n">
        <ns0:v>0.4</ns0:v>
      </ns0:c>
      <ns0:c r="G1370" s="4" t="n">
        <ns0:v>2</ns0:v>
      </ns0:c>
      <ns0:c r="H1370" s="7" t="n">
        <ns0:v>6838.217062968473</ns0:v>
      </ns0:c>
      <ns0:c r="I1370" s="7" t="n">
        <ns0:v>4156.909968838607</ns0:v>
      </ns0:c>
      <ns0:c r="J1370" s="7" t="n">
        <ns0:v>1662.763987535443</ns0:v>
      </ns0:c>
      <ns0:c r="K1370" s="7" t="n">
        <ns0:v>61</ns0:v>
      </ns0:c>
      <ns0:c r="L1370" s="18" t="inlineStr">
        <ns0:is>
          <ns0:t>範囲内なし</ns0:t>
        </ns0:is>
      </ns0:c>
      <ns0:c r="M1370" s="7" t="n">
        <ns0:v>-43498.15477238123</ns0:v>
      </ns0:c>
      <ns0:c r="N1370" s="7" t="n">
        <ns0:v>-27262.09227123198</ns0:v>
      </ns0:c>
      <ns0:c r="O1370" s="7" t="n">
        <ns0:v>-9096.197367848101</ns0:v>
      </ns0:c>
      <ns0:c r="P1370" s="7" t="n">
        <ns0:v>36318.5398906116</ns0:v>
      </ns0:c>
      <ns0:c r="Q1370" s="7" t="n">
        <ns0:v>175977.4889244506</ns0:v>
      </ns0:c>
      <ns0:c r="R1370" s="7" t="n">
        <ns0:v>741783.8105428878</ns0:v>
      </ns0:c>
    </ns0:row>
    <ns0:row r="1371" ht="24" customHeight="1">
      <ns0:c r="A1371" s="3" t="inlineStr">
        <ns0:is>
          <ns0:t>混在40/30/30</ns0:t>
        </ns0:is>
      </ns0:c>
      <ns0:c r="B1371" s="3" t="inlineStr">
        <ns0:is>
          <ns0:t>G0基本5000比較</ns0:t>
        </ns0:is>
      </ns0:c>
      <ns0:c r="C1371" s="3" t="inlineStr">
        <ns0:is>
          <ns0:t>D</ns0:t>
        </ns0:is>
      </ns0:c>
      <ns0:c r="D1371" s="4" t="n">
        <ns0:v>1</ns0:v>
      </ns0:c>
      <ns0:c r="E1371" s="4" t="n">
        <ns0:v>500</ns0:v>
      </ns0:c>
      <ns0:c r="F1371" s="6" t="n">
        <ns0:v>0.4</ns0:v>
      </ns0:c>
      <ns0:c r="G1371" s="4" t="n">
        <ns0:v>3</ns0:v>
      </ns0:c>
      <ns0:c r="H1371" s="7" t="n">
        <ns0:v>6838.217062968473</ns0:v>
      </ns0:c>
      <ns0:c r="I1371" s="7" t="n">
        <ns0:v>4156.909968838607</ns0:v>
      </ns0:c>
      <ns0:c r="J1371" s="7" t="n">
        <ns0:v>1662.763987535443</ns0:v>
      </ns0:c>
      <ns0:c r="K1371" s="7" t="n">
        <ns0:v>23</ns0:v>
      </ns0:c>
      <ns0:c r="L1371" s="7" t="n">
        <ns0:v>884</ns0:v>
      </ns0:c>
      <ns0:c r="M1371" s="7" t="n">
        <ns0:v>-27907.06366929393</ns0:v>
      </ns0:c>
      <ns0:c r="N1371" s="7" t="n">
        <ns0:v>19511.18103802989</ns0:v>
      </ns0:c>
      <ns0:c r="O1371" s="7" t="n">
        <ns0:v>68859.25814758835</ns0:v>
      </ns0:c>
      <ns0:c r="P1371" s="7" t="n">
        <ns0:v>192229.4509214845</ns0:v>
      </ns0:c>
      <ns0:c r="Q1371" s="7" t="n">
        <ns0:v>643710.2220170693</ns0:v>
      </ns0:c>
      <ns0:c r="R1371" s="7" t="n">
        <ns0:v>2300892.920851617</ns0:v>
      </ns0:c>
    </ns0:row>
    <ns0:row r="1372" ht="24" customHeight="1">
      <ns0:c r="A1372" s="3" t="inlineStr">
        <ns0:is>
          <ns0:t>混在40/30/30</ns0:t>
        </ns0:is>
      </ns0:c>
      <ns0:c r="B1372" s="3" t="inlineStr">
        <ns0:is>
          <ns0:t>G0基本5000比較</ns0:t>
        </ns0:is>
      </ns0:c>
      <ns0:c r="C1372" s="3" t="inlineStr">
        <ns0:is>
          <ns0:t>D</ns0:t>
        </ns0:is>
      </ns0:c>
      <ns0:c r="D1372" s="4" t="n">
        <ns0:v>1</ns0:v>
      </ns0:c>
      <ns0:c r="E1372" s="4" t="n">
        <ns0:v>500</ns0:v>
      </ns0:c>
      <ns0:c r="F1372" s="6" t="n">
        <ns0:v>0.5</ns0:v>
      </ns0:c>
      <ns0:c r="G1372" s="4" t="n">
        <ns0:v>0</ns0:v>
      </ns0:c>
      <ns0:c r="H1372" s="7" t="n">
        <ns0:v>6838.217062968473</ns0:v>
      </ns0:c>
      <ns0:c r="I1372" s="7" t="n">
        <ns0:v>4156.909968838607</ns0:v>
      </ns0:c>
      <ns0:c r="J1372" s="7" t="n">
        <ns0:v>2078.454984419303</ns0:v>
      </ns0:c>
      <ns0:c r="K1372" s="7" t="n">
        <ns0:v>20</ns0:v>
      </ns0:c>
      <ns0:c r="L1372" s="7" t="n">
        <ns0:v>42</ns0:v>
      </ns0:c>
      <ns0:c r="M1372" s="7" t="n">
        <ns0:v>-23854.00814191447</ns0:v>
      </ns0:c>
      <ns0:c r="N1372" s="7" t="n">
        <ns0:v>31670.3476201683</ns0:v>
      </ns0:c>
      <ns0:c r="O1372" s="7" t="n">
        <ns0:v>89124.53578448569</ns0:v>
      </ns0:c>
      <ns0:c r="P1372" s="7" t="n">
        <ns0:v>232760.0061952792</ns0:v>
      </ns0:c>
      <ns0:c r="Q1372" s="7" t="n">
        <ns0:v>765301.8878384533</ns0:v>
      </ns0:c>
      <ns0:c r="R1372" s="7" t="n">
        <ns0:v>2706198.473589563</ns0:v>
      </ns0:c>
    </ns0:row>
    <ns0:row r="1373" ht="24" customHeight="1">
      <ns0:c r="A1373" s="3" t="inlineStr">
        <ns0:is>
          <ns0:t>混在40/30/30</ns0:t>
        </ns0:is>
      </ns0:c>
      <ns0:c r="B1373" s="3" t="inlineStr">
        <ns0:is>
          <ns0:t>G0基本5000比較</ns0:t>
        </ns0:is>
      </ns0:c>
      <ns0:c r="C1373" s="3" t="inlineStr">
        <ns0:is>
          <ns0:t>D</ns0:t>
        </ns0:is>
      </ns0:c>
      <ns0:c r="D1373" s="4" t="n">
        <ns0:v>1</ns0:v>
      </ns0:c>
      <ns0:c r="E1373" s="4" t="n">
        <ns0:v>500</ns0:v>
      </ns0:c>
      <ns0:c r="F1373" s="6" t="n">
        <ns0:v>0.5</ns0:v>
      </ns0:c>
      <ns0:c r="G1373" s="4" t="n">
        <ns0:v>1</ns0:v>
      </ns0:c>
      <ns0:c r="H1373" s="7" t="n">
        <ns0:v>6838.217062968473</ns0:v>
      </ns0:c>
      <ns0:c r="I1373" s="7" t="n">
        <ns0:v>4156.909968838607</ns0:v>
      </ns0:c>
      <ns0:c r="J1373" s="7" t="n">
        <ns0:v>2078.454984419303</ns0:v>
      </ns0:c>
      <ns0:c r="K1373" s="7" t="n">
        <ns0:v>22</ns0:v>
      </ns0:c>
      <ns0:c r="L1373" s="7" t="n">
        <ns0:v>60</ns0:v>
      </ns0:c>
      <ns0:c r="M1373" s="7" t="n">
        <ns0:v>-26423.22620987874</ns0:v>
      </ns0:c>
      <ns0:c r="N1373" s="7" t="n">
        <ns0:v>23962.69341627548</ns0:v>
      </ns0:c>
      <ns0:c r="O1373" s="7" t="n">
        <ns0:v>76278.44544466434</ns0:v>
      </ns0:c>
      <ns0:c r="P1373" s="7" t="n">
        <ns0:v>207067.8255156365</ns0:v>
      </ns0:c>
      <ns0:c r="Q1373" s="7" t="n">
        <ns0:v>688225.3457995253</ns0:v>
      </ns0:c>
      <ns0:c r="R1373" s="7" t="n">
        <ns0:v>2449276.666793136</ns0:v>
      </ns0:c>
    </ns0:row>
    <ns0:row r="1374" ht="24" customHeight="1">
      <ns0:c r="A1374" s="3" t="inlineStr">
        <ns0:is>
          <ns0:t>混在40/30/30</ns0:t>
        </ns0:is>
      </ns0:c>
      <ns0:c r="B1374" s="3" t="inlineStr">
        <ns0:is>
          <ns0:t>G0基本5000比較</ns0:t>
        </ns0:is>
      </ns0:c>
      <ns0:c r="C1374" s="3" t="inlineStr">
        <ns0:is>
          <ns0:t>D</ns0:t>
        </ns0:is>
      </ns0:c>
      <ns0:c r="D1374" s="4" t="n">
        <ns0:v>1</ns0:v>
      </ns0:c>
      <ns0:c r="E1374" s="4" t="n">
        <ns0:v>500</ns0:v>
      </ns0:c>
      <ns0:c r="F1374" s="6" t="n">
        <ns0:v>0.5</ns0:v>
      </ns0:c>
      <ns0:c r="G1374" s="4" t="n">
        <ns0:v>2</ns0:v>
      </ns0:c>
      <ns0:c r="H1374" s="7" t="n">
        <ns0:v>6838.217062968473</ns0:v>
      </ns0:c>
      <ns0:c r="I1374" s="7" t="n">
        <ns0:v>4156.909968838607</ns0:v>
      </ns0:c>
      <ns0:c r="J1374" s="7" t="n">
        <ns0:v>2078.454984419303</ns0:v>
      </ns0:c>
      <ns0:c r="K1374" s="7" t="n">
        <ns0:v>196</ns0:v>
      </ns0:c>
      <ns0:c r="L1374" s="18" t="inlineStr">
        <ns0:is>
          <ns0:t>範囲内なし</ns0:t>
        </ns0:is>
      </ns0:c>
      <ns0:c r="M1374" s="7" t="n">
        <ns0:v>-47655.06474121983</ns0:v>
      </ns0:c>
      <ns0:c r="N1374" s="7" t="n">
        <ns0:v>-39732.82217774778</ns0:v>
      </ns0:c>
      <ns0:c r="O1374" s="7" t="n">
        <ns0:v>-29880.74721204111</ns0:v>
      </ns0:c>
      <ns0:c r="P1374" s="7" t="n">
        <ns0:v>-5250.559797774418</ns0:v>
      </ns0:c>
      <ns0:c r="Q1374" s="7" t="n">
        <ns0:v>51270.18985929253</ns0:v>
      </ns0:c>
      <ns0:c r="R1374" s="7" t="n">
        <ns0:v>326092.813659027</ns0:v>
      </ns0:c>
    </ns0:row>
    <ns0:row r="1375" ht="24" customHeight="1">
      <ns0:c r="A1375" s="3" t="inlineStr">
        <ns0:is>
          <ns0:t>混在40/30/30</ns0:t>
        </ns0:is>
      </ns0:c>
      <ns0:c r="B1375" s="3" t="inlineStr">
        <ns0:is>
          <ns0:t>G0基本5000比較</ns0:t>
        </ns0:is>
      </ns0:c>
      <ns0:c r="C1375" s="3" t="inlineStr">
        <ns0:is>
          <ns0:t>D</ns0:t>
        </ns0:is>
      </ns0:c>
      <ns0:c r="D1375" s="4" t="n">
        <ns0:v>1</ns0:v>
      </ns0:c>
      <ns0:c r="E1375" s="4" t="n">
        <ns0:v>500</ns0:v>
      </ns0:c>
      <ns0:c r="F1375" s="6" t="n">
        <ns0:v>0.5</ns0:v>
      </ns0:c>
      <ns0:c r="G1375" s="4" t="n">
        <ns0:v>3</ns0:v>
      </ns0:c>
      <ns0:c r="H1375" s="7" t="n">
        <ns0:v>6838.217062968473</ns0:v>
      </ns0:c>
      <ns0:c r="I1375" s="7" t="n">
        <ns0:v>4156.909968838607</ns0:v>
      </ns0:c>
      <ns0:c r="J1375" s="7" t="n">
        <ns0:v>2078.454984419303</ns0:v>
      </ns0:c>
      <ns0:c r="K1375" s="7" t="n">
        <ns0:v>27</ns0:v>
      </ns0:c>
      <ns0:c r="L1375" s="18" t="inlineStr">
        <ns0:is>
          <ns0:t>範囲内なし</ns0:t>
        </ns0:is>
      </ns0:c>
      <ns0:c r="M1375" s="7" t="n">
        <ns0:v>-32063.97363813254</ns0:v>
      </ns0:c>
      <ns0:c r="N1375" s="7" t="n">
        <ns0:v>7040.451131514084</ns0:v>
      </ns0:c>
      <ns0:c r="O1375" s="7" t="n">
        <ns0:v>48074.70830339534</ns0:v>
      </ns0:c>
      <ns0:c r="P1375" s="7" t="n">
        <ns0:v>150660.3512330985</ns0:v>
      </ns0:c>
      <ns0:c r="Q1375" s="7" t="n">
        <ns0:v>519002.9229519112</ns0:v>
      </ns0:c>
      <ns0:c r="R1375" s="7" t="n">
        <ns0:v>1885201.923967756</ns0:v>
      </ns0:c>
    </ns0:row>
    <ns0:row r="1376" ht="24" customHeight="1">
      <ns0:c r="A1376" s="3" t="inlineStr">
        <ns0:is>
          <ns0:t>混在40/30/30</ns0:t>
        </ns0:is>
      </ns0:c>
      <ns0:c r="B1376" s="3" t="inlineStr">
        <ns0:is>
          <ns0:t>G0基本5000比較</ns0:t>
        </ns0:is>
      </ns0:c>
      <ns0:c r="C1376" s="3" t="inlineStr">
        <ns0:is>
          <ns0:t>D</ns0:t>
        </ns0:is>
      </ns0:c>
      <ns0:c r="D1376" s="4" t="n">
        <ns0:v>1</ns0:v>
      </ns0:c>
      <ns0:c r="E1376" s="4" t="n">
        <ns0:v>1000</ns0:v>
      </ns0:c>
      <ns0:c r="F1376" s="6" t="n">
        <ns0:v>0.3</ns0:v>
      </ns0:c>
      <ns0:c r="G1376" s="4" t="n">
        <ns0:v>0</ns0:v>
      </ns0:c>
      <ns0:c r="H1376" s="7" t="n">
        <ns0:v>6688.217062968473</ns0:v>
      </ns0:c>
      <ns0:c r="I1376" s="7" t="n">
        <ns0:v>4006.909968838606</ns0:v>
      </ns0:c>
      <ns0:c r="J1376" s="7" t="n">
        <ns0:v>1202.072990651582</ns0:v>
      </ns0:c>
      <ns0:c r="K1376" s="7" t="n">
        <ns0:v>16</ns0:v>
      </ns0:c>
      <ns0:c r="L1376" s="7" t="n">
        <ns0:v>36</ns0:v>
      </ns0:c>
      <ns0:c r="M1376" s="7" t="n">
        <ns0:v>-16536.18820423726</ns0:v>
      </ns0:c>
      <ns0:c r="N1376" s="7" t="n">
        <ns0:v>53623.80743319993</ns0:v>
      </ns0:c>
      <ns0:c r="O1376" s="7" t="n">
        <ns0:v>125713.6354728717</ns0:v>
      </ns0:c>
      <ns0:c r="P1376" s="7" t="n">
        <ns0:v>305938.2055720513</ns0:v>
      </ns0:c>
      <ns0:c r="Q1376" s="7" t="n">
        <ns0:v>984836.4859687693</ns0:v>
      </ns0:c>
      <ns0:c r="R1376" s="7" t="n">
        <ns0:v>3437980.467357283</ns0:v>
      </ns0:c>
    </ns0:row>
    <ns0:row r="1377" ht="24" customHeight="1">
      <ns0:c r="A1377" s="3" t="inlineStr">
        <ns0:is>
          <ns0:t>混在40/30/30</ns0:t>
        </ns0:is>
      </ns0:c>
      <ns0:c r="B1377" s="3" t="inlineStr">
        <ns0:is>
          <ns0:t>G0基本5000比較</ns0:t>
        </ns0:is>
      </ns0:c>
      <ns0:c r="C1377" s="3" t="inlineStr">
        <ns0:is>
          <ns0:t>D</ns0:t>
        </ns0:is>
      </ns0:c>
      <ns0:c r="D1377" s="4" t="n">
        <ns0:v>1</ns0:v>
      </ns0:c>
      <ns0:c r="E1377" s="4" t="n">
        <ns0:v>1000</ns0:v>
      </ns0:c>
      <ns0:c r="F1377" s="6" t="n">
        <ns0:v>0.3</ns0:v>
      </ns0:c>
      <ns0:c r="G1377" s="4" t="n">
        <ns0:v>1</ns0:v>
      </ns0:c>
      <ns0:c r="H1377" s="7" t="n">
        <ns0:v>6688.217062968473</ns0:v>
      </ns0:c>
      <ns0:c r="I1377" s="7" t="n">
        <ns0:v>4006.909968838606</ns0:v>
      </ns0:c>
      <ns0:c r="J1377" s="7" t="n">
        <ns0:v>1202.072990651582</ns0:v>
      </ns0:c>
      <ns0:c r="K1377" s="7" t="n">
        <ns0:v>18</ns0:v>
      </ns0:c>
      <ns0:c r="L1377" s="7" t="n">
        <ns0:v>49</ns0:v>
      </ns0:c>
      <ns0:c r="M1377" s="7" t="n">
        <ns0:v>-19105.40627220153</ns0:v>
      </ns0:c>
      <ns0:c r="N1377" s="7" t="n">
        <ns0:v>45916.15322930712</ns0:v>
      </ns0:c>
      <ns0:c r="O1377" s="7" t="n">
        <ns0:v>112867.5451330504</ns0:v>
      </ns0:c>
      <ns0:c r="P1377" s="7" t="n">
        <ns0:v>280246.0248924086</ns0:v>
      </ns0:c>
      <ns0:c r="Q1377" s="7" t="n">
        <ns0:v>907759.9439298412</ns0:v>
      </ns0:c>
      <ns0:c r="R1377" s="7" t="n">
        <ns0:v>3181058.660560857</ns0:v>
      </ns0:c>
    </ns0:row>
    <ns0:row r="1378" ht="24" customHeight="1">
      <ns0:c r="A1378" s="3" t="inlineStr">
        <ns0:is>
          <ns0:t>混在40/30/30</ns0:t>
        </ns0:is>
      </ns0:c>
      <ns0:c r="B1378" s="3" t="inlineStr">
        <ns0:is>
          <ns0:t>G0基本5000比較</ns0:t>
        </ns0:is>
      </ns0:c>
      <ns0:c r="C1378" s="3" t="inlineStr">
        <ns0:is>
          <ns0:t>D</ns0:t>
        </ns0:is>
      </ns0:c>
      <ns0:c r="D1378" s="4" t="n">
        <ns0:v>1</ns0:v>
      </ns0:c>
      <ns0:c r="E1378" s="4" t="n">
        <ns0:v>1000</ns0:v>
      </ns0:c>
      <ns0:c r="F1378" s="6" t="n">
        <ns0:v>0.3</ns0:v>
      </ns0:c>
      <ns0:c r="G1378" s="4" t="n">
        <ns0:v>2</ns0:v>
      </ns0:c>
      <ns0:c r="H1378" s="7" t="n">
        <ns0:v>6688.217062968473</ns0:v>
      </ns0:c>
      <ns0:c r="I1378" s="7" t="n">
        <ns0:v>4006.909968838606</ns0:v>
      </ns0:c>
      <ns0:c r="J1378" s="7" t="n">
        <ns0:v>1202.072990651582</ns0:v>
      </ns0:c>
      <ns0:c r="K1378" s="7" t="n">
        <ns0:v>45</ns0:v>
      </ns0:c>
      <ns0:c r="L1378" s="18" t="inlineStr">
        <ns0:is>
          <ns0:t>範囲内なし</ns0:t>
        </ns0:is>
      </ns0:c>
      <ns0:c r="M1378" s="7" t="n">
        <ns0:v>-40337.24480354262</ns0:v>
      </ns0:c>
      <ns0:c r="N1378" s="7" t="n">
        <ns0:v>-17779.36236471615</ns0:v>
      </ns0:c>
      <ns0:c r="O1378" s="7" t="n">
        <ns0:v>6708.352476344939</ns0:v>
      </ns0:c>
      <ns0:c r="P1378" s="7" t="n">
        <ns0:v>67927.63957899765</ns0:v>
      </ns0:c>
      <ns0:c r="Q1378" s="7" t="n">
        <ns0:v>270804.7879896085</ns0:v>
      </ns0:c>
      <ns0:c r="R1378" s="7" t="n">
        <ns0:v>1057874.807426748</ns0:v>
      </ns0:c>
    </ns0:row>
    <ns0:row r="1379" ht="24" customHeight="1">
      <ns0:c r="A1379" s="3" t="inlineStr">
        <ns0:is>
          <ns0:t>混在40/30/30</ns0:t>
        </ns0:is>
      </ns0:c>
      <ns0:c r="B1379" s="3" t="inlineStr">
        <ns0:is>
          <ns0:t>G0基本5000比較</ns0:t>
        </ns0:is>
      </ns0:c>
      <ns0:c r="C1379" s="3" t="inlineStr">
        <ns0:is>
          <ns0:t>D</ns0:t>
        </ns0:is>
      </ns0:c>
      <ns0:c r="D1379" s="4" t="n">
        <ns0:v>1</ns0:v>
      </ns0:c>
      <ns0:c r="E1379" s="4" t="n">
        <ns0:v>1000</ns0:v>
      </ns0:c>
      <ns0:c r="F1379" s="6" t="n">
        <ns0:v>0.3</ns0:v>
      </ns0:c>
      <ns0:c r="G1379" s="4" t="n">
        <ns0:v>3</ns0:v>
      </ns0:c>
      <ns0:c r="H1379" s="7" t="n">
        <ns0:v>6688.217062968473</ns0:v>
      </ns0:c>
      <ns0:c r="I1379" s="7" t="n">
        <ns0:v>4006.909968838606</ns0:v>
      </ns0:c>
      <ns0:c r="J1379" s="7" t="n">
        <ns0:v>1202.072990651582</ns0:v>
      </ns0:c>
      <ns0:c r="K1379" s="7" t="n">
        <ns0:v>21</ns0:v>
      </ns0:c>
      <ns0:c r="L1379" s="7" t="n">
        <ns0:v>366</ns0:v>
      </ns0:c>
      <ns0:c r="M1379" s="7" t="n">
        <ns0:v>-24746.15370045533</ns0:v>
      </ns0:c>
      <ns0:c r="N1379" s="7" t="n">
        <ns0:v>28993.91094454572</ns0:v>
      </ns0:c>
      <ns0:c r="O1379" s="7" t="n">
        <ns0:v>84663.80799178137</ns0:v>
      </ns0:c>
      <ns0:c r="P1379" s="7" t="n">
        <ns0:v>223838.5506098706</ns0:v>
      </ns0:c>
      <ns0:c r="Q1379" s="7" t="n">
        <ns0:v>738537.5210822271</ns0:v>
      </ns0:c>
      <ns0:c r="R1379" s="7" t="n">
        <ns0:v>2616983.917735477</ns0:v>
      </ns0:c>
    </ns0:row>
    <ns0:row r="1380" ht="24" customHeight="1">
      <ns0:c r="A1380" s="3" t="inlineStr">
        <ns0:is>
          <ns0:t>混在40/30/30</ns0:t>
        </ns0:is>
      </ns0:c>
      <ns0:c r="B1380" s="3" t="inlineStr">
        <ns0:is>
          <ns0:t>G0基本5000比較</ns0:t>
        </ns0:is>
      </ns0:c>
      <ns0:c r="C1380" s="3" t="inlineStr">
        <ns0:is>
          <ns0:t>D</ns0:t>
        </ns0:is>
      </ns0:c>
      <ns0:c r="D1380" s="4" t="n">
        <ns0:v>1</ns0:v>
      </ns0:c>
      <ns0:c r="E1380" s="4" t="n">
        <ns0:v>1000</ns0:v>
      </ns0:c>
      <ns0:c r="F1380" s="6" t="n">
        <ns0:v>0.4</ns0:v>
      </ns0:c>
      <ns0:c r="G1380" s="4" t="n">
        <ns0:v>0</ns0:v>
      </ns0:c>
      <ns0:c r="H1380" s="7" t="n">
        <ns0:v>6688.217062968473</ns0:v>
      </ns0:c>
      <ns0:c r="I1380" s="7" t="n">
        <ns0:v>4006.909968838606</ns0:v>
      </ns0:c>
      <ns0:c r="J1380" s="7" t="n">
        <ns0:v>1602.763987535443</ns0:v>
      </ns0:c>
      <ns0:c r="K1380" s="7" t="n">
        <ns0:v>19</ns0:v>
      </ns0:c>
      <ns0:c r="L1380" s="7" t="n">
        <ns0:v>39</ns0:v>
      </ns0:c>
      <ns0:c r="M1380" s="7" t="n">
        <ns0:v>-20543.09817307586</ns0:v>
      </ns0:c>
      <ns0:c r="N1380" s="7" t="n">
        <ns0:v>41603.07752668411</ns0:v>
      </ns0:c>
      <ns0:c r="O1380" s="7" t="n">
        <ns0:v>105679.0856286787</ns0:v>
      </ns0:c>
      <ns0:c r="P1380" s="7" t="n">
        <ns0:v>265869.1058836653</ns0:v>
      </ns0:c>
      <ns0:c r="Q1380" s="7" t="n">
        <ns0:v>864629.1869036113</ns0:v>
      </ns0:c>
      <ns0:c r="R1380" s="7" t="n">
        <ns0:v>3037289.470473423</ns0:v>
      </ns0:c>
    </ns0:row>
    <ns0:row r="1381" ht="24" customHeight="1">
      <ns0:c r="A1381" s="3" t="inlineStr">
        <ns0:is>
          <ns0:t>混在40/30/30</ns0:t>
        </ns0:is>
      </ns0:c>
      <ns0:c r="B1381" s="3" t="inlineStr">
        <ns0:is>
          <ns0:t>G0基本5000比較</ns0:t>
        </ns0:is>
      </ns0:c>
      <ns0:c r="C1381" s="3" t="inlineStr">
        <ns0:is>
          <ns0:t>D</ns0:t>
        </ns0:is>
      </ns0:c>
      <ns0:c r="D1381" s="4" t="n">
        <ns0:v>1</ns0:v>
      </ns0:c>
      <ns0:c r="E1381" s="4" t="n">
        <ns0:v>1000</ns0:v>
      </ns0:c>
      <ns0:c r="F1381" s="6" t="n">
        <ns0:v>0.4</ns0:v>
      </ns0:c>
      <ns0:c r="G1381" s="4" t="n">
        <ns0:v>1</ns0:v>
      </ns0:c>
      <ns0:c r="H1381" s="7" t="n">
        <ns0:v>6688.217062968473</ns0:v>
      </ns0:c>
      <ns0:c r="I1381" s="7" t="n">
        <ns0:v>4006.909968838606</ns0:v>
      </ns0:c>
      <ns0:c r="J1381" s="7" t="n">
        <ns0:v>1602.763987535443</ns0:v>
      </ns0:c>
      <ns0:c r="K1381" s="7" t="n">
        <ns0:v>20</ns0:v>
      </ns0:c>
      <ns0:c r="L1381" s="7" t="n">
        <ns0:v>54</ns0:v>
      </ns0:c>
      <ns0:c r="M1381" s="7" t="n">
        <ns0:v>-23112.31624104013</ns0:v>
      </ns0:c>
      <ns0:c r="N1381" s="7" t="n">
        <ns0:v>33895.42332279129</ns0:v>
      </ns0:c>
      <ns0:c r="O1381" s="7" t="n">
        <ns0:v>92832.99528885736</ns0:v>
      </ns0:c>
      <ns0:c r="P1381" s="7" t="n">
        <ns0:v>240176.9252040225</ns0:v>
      </ns0:c>
      <ns0:c r="Q1381" s="7" t="n">
        <ns0:v>787552.644864683</ns0:v>
      </ns0:c>
      <ns0:c r="R1381" s="7" t="n">
        <ns0:v>2780367.663676996</ns0:v>
      </ns0:c>
    </ns0:row>
    <ns0:row r="1382" ht="24" customHeight="1">
      <ns0:c r="A1382" s="3" t="inlineStr">
        <ns0:is>
          <ns0:t>混在40/30/30</ns0:t>
        </ns0:is>
      </ns0:c>
      <ns0:c r="B1382" s="3" t="inlineStr">
        <ns0:is>
          <ns0:t>G0基本5000比較</ns0:t>
        </ns0:is>
      </ns0:c>
      <ns0:c r="C1382" s="3" t="inlineStr">
        <ns0:is>
          <ns0:t>D</ns0:t>
        </ns0:is>
      </ns0:c>
      <ns0:c r="D1382" s="4" t="n">
        <ns0:v>1</ns0:v>
      </ns0:c>
      <ns0:c r="E1382" s="4" t="n">
        <ns0:v>1000</ns0:v>
      </ns0:c>
      <ns0:c r="F1382" s="6" t="n">
        <ns0:v>0.4</ns0:v>
      </ns0:c>
      <ns0:c r="G1382" s="4" t="n">
        <ns0:v>2</ns0:v>
      </ns0:c>
      <ns0:c r="H1382" s="7" t="n">
        <ns0:v>6688.217062968473</ns0:v>
      </ns0:c>
      <ns0:c r="I1382" s="7" t="n">
        <ns0:v>4006.909968838606</ns0:v>
      </ns0:c>
      <ns0:c r="J1382" s="7" t="n">
        <ns0:v>1602.763987535443</ns0:v>
      </ns0:c>
      <ns0:c r="K1382" s="7" t="n">
        <ns0:v>67</ns0:v>
      </ns0:c>
      <ns0:c r="L1382" s="18" t="inlineStr">
        <ns0:is>
          <ns0:t>範囲内なし</ns0:t>
        </ns0:is>
      </ns0:c>
      <ns0:c r="M1382" s="7" t="n">
        <ns0:v>-44344.15477238122</ns0:v>
      </ns0:c>
      <ns0:c r="N1382" s="7" t="n">
        <ns0:v>-29800.09227123198</ns0:v>
      </ns0:c>
      <ns0:c r="O1382" s="7" t="n">
        <ns0:v>-13326.19736784807</ns0:v>
      </ns0:c>
      <ns0:c r="P1382" s="7" t="n">
        <ns0:v>27858.53989061163</ns0:v>
      </ns0:c>
      <ns0:c r="Q1382" s="7" t="n">
        <ns0:v>150597.4889244504</ns0:v>
      </ns0:c>
      <ns0:c r="R1382" s="7" t="n">
        <ns0:v>657183.8105428873</ns0:v>
      </ns0:c>
    </ns0:row>
    <ns0:row r="1383" ht="24" customHeight="1">
      <ns0:c r="A1383" s="3" t="inlineStr">
        <ns0:is>
          <ns0:t>混在40/30/30</ns0:t>
        </ns0:is>
      </ns0:c>
      <ns0:c r="B1383" s="3" t="inlineStr">
        <ns0:is>
          <ns0:t>G0基本5000比較</ns0:t>
        </ns0:is>
      </ns0:c>
      <ns0:c r="C1383" s="3" t="inlineStr">
        <ns0:is>
          <ns0:t>D</ns0:t>
        </ns0:is>
      </ns0:c>
      <ns0:c r="D1383" s="4" t="n">
        <ns0:v>1</ns0:v>
      </ns0:c>
      <ns0:c r="E1383" s="4" t="n">
        <ns0:v>1000</ns0:v>
      </ns0:c>
      <ns0:c r="F1383" s="6" t="n">
        <ns0:v>0.4</ns0:v>
      </ns0:c>
      <ns0:c r="G1383" s="4" t="n">
        <ns0:v>3</ns0:v>
      </ns0:c>
      <ns0:c r="H1383" s="7" t="n">
        <ns0:v>6688.217062968473</ns0:v>
      </ns0:c>
      <ns0:c r="I1383" s="7" t="n">
        <ns0:v>4006.909968838606</ns0:v>
      </ns0:c>
      <ns0:c r="J1383" s="7" t="n">
        <ns0:v>1602.763987535443</ns0:v>
      </ns0:c>
      <ns0:c r="K1383" s="7" t="n">
        <ns0:v>23</ns0:v>
      </ns0:c>
      <ns0:c r="L1383" s="18" t="inlineStr">
        <ns0:is>
          <ns0:t>範囲内なし</ns0:t>
        </ns0:is>
      </ns0:c>
      <ns0:c r="M1383" s="7" t="n">
        <ns0:v>-28753.06366929393</ns0:v>
      </ns0:c>
      <ns0:c r="N1383" s="7" t="n">
        <ns0:v>16973.1810380299</ns0:v>
      </ns0:c>
      <ns0:c r="O1383" s="7" t="n">
        <ns0:v>64629.25814758836</ns0:v>
      </ns0:c>
      <ns0:c r="P1383" s="7" t="n">
        <ns0:v>183769.4509214845</ns0:v>
      </ns0:c>
      <ns0:c r="Q1383" s="7" t="n">
        <ns0:v>618330.2220170691</ns0:v>
      </ns0:c>
      <ns0:c r="R1383" s="7" t="n">
        <ns0:v>2216292.920851616</ns0:v>
      </ns0:c>
    </ns0:row>
    <ns0:row r="1384" ht="24" customHeight="1">
      <ns0:c r="A1384" s="3" t="inlineStr">
        <ns0:is>
          <ns0:t>混在40/30/30</ns0:t>
        </ns0:is>
      </ns0:c>
      <ns0:c r="B1384" s="3" t="inlineStr">
        <ns0:is>
          <ns0:t>G0基本5000比較</ns0:t>
        </ns0:is>
      </ns0:c>
      <ns0:c r="C1384" s="3" t="inlineStr">
        <ns0:is>
          <ns0:t>D</ns0:t>
        </ns0:is>
      </ns0:c>
      <ns0:c r="D1384" s="4" t="n">
        <ns0:v>1</ns0:v>
      </ns0:c>
      <ns0:c r="E1384" s="4" t="n">
        <ns0:v>1000</ns0:v>
      </ns0:c>
      <ns0:c r="F1384" s="6" t="n">
        <ns0:v>0.5</ns0:v>
      </ns0:c>
      <ns0:c r="G1384" s="4" t="n">
        <ns0:v>0</ns0:v>
      </ns0:c>
      <ns0:c r="H1384" s="7" t="n">
        <ns0:v>6688.217062968473</ns0:v>
      </ns0:c>
      <ns0:c r="I1384" s="7" t="n">
        <ns0:v>4006.909968838606</ns0:v>
      </ns0:c>
      <ns0:c r="J1384" s="7" t="n">
        <ns0:v>2003.454984419303</ns0:v>
      </ns0:c>
      <ns0:c r="K1384" s="7" t="n">
        <ns0:v>21</ns0:v>
      </ns0:c>
      <ns0:c r="L1384" s="7" t="n">
        <ns0:v>42</ns0:v>
      </ns0:c>
      <ns0:c r="M1384" s="7" t="n">
        <ns0:v>-24550.00814191446</ns0:v>
      </ns0:c>
      <ns0:c r="N1384" s="7" t="n">
        <ns0:v>29582.34762016829</ns0:v>
      </ns0:c>
      <ns0:c r="O1384" s="7" t="n">
        <ns0:v>85644.53578448569</ns0:v>
      </ns0:c>
      <ns0:c r="P1384" s="7" t="n">
        <ns0:v>225800.0061952792</ns0:v>
      </ns0:c>
      <ns0:c r="Q1384" s="7" t="n">
        <ns0:v>744421.8878384531</ns0:v>
      </ns0:c>
      <ns0:c r="R1384" s="7" t="n">
        <ns0:v>2636598.473589563</ns0:v>
      </ns0:c>
    </ns0:row>
    <ns0:row r="1385" ht="24" customHeight="1">
      <ns0:c r="A1385" s="3" t="inlineStr">
        <ns0:is>
          <ns0:t>混在40/30/30</ns0:t>
        </ns0:is>
      </ns0:c>
      <ns0:c r="B1385" s="3" t="inlineStr">
        <ns0:is>
          <ns0:t>G0基本5000比較</ns0:t>
        </ns0:is>
      </ns0:c>
      <ns0:c r="C1385" s="3" t="inlineStr">
        <ns0:is>
          <ns0:t>D</ns0:t>
        </ns0:is>
      </ns0:c>
      <ns0:c r="D1385" s="4" t="n">
        <ns0:v>1</ns0:v>
      </ns0:c>
      <ns0:c r="E1385" s="4" t="n">
        <ns0:v>1000</ns0:v>
      </ns0:c>
      <ns0:c r="F1385" s="6" t="n">
        <ns0:v>0.5</ns0:v>
      </ns0:c>
      <ns0:c r="G1385" s="4" t="n">
        <ns0:v>1</ns0:v>
      </ns0:c>
      <ns0:c r="H1385" s="7" t="n">
        <ns0:v>6688.217062968473</ns0:v>
      </ns0:c>
      <ns0:c r="I1385" s="7" t="n">
        <ns0:v>4006.909968838606</ns0:v>
      </ns0:c>
      <ns0:c r="J1385" s="7" t="n">
        <ns0:v>2003.454984419303</ns0:v>
      </ns0:c>
      <ns0:c r="K1385" s="7" t="n">
        <ns0:v>22</ns0:v>
      </ns0:c>
      <ns0:c r="L1385" s="7" t="n">
        <ns0:v>61</ns0:v>
      </ns0:c>
      <ns0:c r="M1385" s="7" t="n">
        <ns0:v>-27119.22620987874</ns0:v>
      </ns0:c>
      <ns0:c r="N1385" s="7" t="n">
        <ns0:v>21874.69341627548</ns0:v>
      </ns0:c>
      <ns0:c r="O1385" s="7" t="n">
        <ns0:v>72798.44544466432</ns0:v>
      </ns0:c>
      <ns0:c r="P1385" s="7" t="n">
        <ns0:v>200107.8255156364</ns0:v>
      </ns0:c>
      <ns0:c r="Q1385" s="7" t="n">
        <ns0:v>667345.345799525</ns0:v>
      </ns0:c>
      <ns0:c r="R1385" s="7" t="n">
        <ns0:v>2379676.666793135</ns0:v>
      </ns0:c>
    </ns0:row>
    <ns0:row r="1386" ht="24" customHeight="1">
      <ns0:c r="A1386" s="3" t="inlineStr">
        <ns0:is>
          <ns0:t>混在40/30/30</ns0:t>
        </ns0:is>
      </ns0:c>
      <ns0:c r="B1386" s="3" t="inlineStr">
        <ns0:is>
          <ns0:t>G0基本5000比較</ns0:t>
        </ns0:is>
      </ns0:c>
      <ns0:c r="C1386" s="3" t="inlineStr">
        <ns0:is>
          <ns0:t>D</ns0:t>
        </ns0:is>
      </ns0:c>
      <ns0:c r="D1386" s="4" t="n">
        <ns0:v>1</ns0:v>
      </ns0:c>
      <ns0:c r="E1386" s="4" t="n">
        <ns0:v>1000</ns0:v>
      </ns0:c>
      <ns0:c r="F1386" s="6" t="n">
        <ns0:v>0.5</ns0:v>
      </ns0:c>
      <ns0:c r="G1386" s="4" t="n">
        <ns0:v>2</ns0:v>
      </ns0:c>
      <ns0:c r="H1386" s="7" t="n">
        <ns0:v>6688.217062968473</ns0:v>
      </ns0:c>
      <ns0:c r="I1386" s="7" t="n">
        <ns0:v>4006.909968838606</ns0:v>
      </ns0:c>
      <ns0:c r="J1386" s="7" t="n">
        <ns0:v>2003.454984419303</ns0:v>
      </ns0:c>
      <ns0:c r="K1386" s="7" t="n">
        <ns0:v>229</ns0:v>
      </ns0:c>
      <ns0:c r="L1386" s="18" t="inlineStr">
        <ns0:is>
          <ns0:t>範囲内なし</ns0:t>
        </ns0:is>
      </ns0:c>
      <ns0:c r="M1386" s="7" t="n">
        <ns0:v>-48351.06474121983</ns0:v>
      </ns0:c>
      <ns0:c r="N1386" s="7" t="n">
        <ns0:v>-41820.82217774778</ns0:v>
      </ns0:c>
      <ns0:c r="O1386" s="7" t="n">
        <ns0:v>-33360.74721204111</ns0:v>
      </ns0:c>
      <ns0:c r="P1386" s="7" t="n">
        <ns0:v>-12210.55979777445</ns0:v>
      </ns0:c>
      <ns0:c r="Q1386" s="7" t="n">
        <ns0:v>30390.1898592923</ns0:v>
      </ns0:c>
      <ns0:c r="R1386" s="7" t="n">
        <ns0:v>256492.8136590268</ns0:v>
      </ns0:c>
    </ns0:row>
    <ns0:row r="1387" ht="24" customHeight="1">
      <ns0:c r="A1387" s="3" t="inlineStr">
        <ns0:is>
          <ns0:t>混在40/30/30</ns0:t>
        </ns0:is>
      </ns0:c>
      <ns0:c r="B1387" s="3" t="inlineStr">
        <ns0:is>
          <ns0:t>G0基本5000比較</ns0:t>
        </ns0:is>
      </ns0:c>
      <ns0:c r="C1387" s="3" t="inlineStr">
        <ns0:is>
          <ns0:t>D</ns0:t>
        </ns0:is>
      </ns0:c>
      <ns0:c r="D1387" s="4" t="n">
        <ns0:v>1</ns0:v>
      </ns0:c>
      <ns0:c r="E1387" s="4" t="n">
        <ns0:v>1000</ns0:v>
      </ns0:c>
      <ns0:c r="F1387" s="6" t="n">
        <ns0:v>0.5</ns0:v>
      </ns0:c>
      <ns0:c r="G1387" s="4" t="n">
        <ns0:v>3</ns0:v>
      </ns0:c>
      <ns0:c r="H1387" s="7" t="n">
        <ns0:v>6688.217062968473</ns0:v>
      </ns0:c>
      <ns0:c r="I1387" s="7" t="n">
        <ns0:v>4006.909968838606</ns0:v>
      </ns0:c>
      <ns0:c r="J1387" s="7" t="n">
        <ns0:v>2003.454984419303</ns0:v>
      </ns0:c>
      <ns0:c r="K1387" s="7" t="n">
        <ns0:v>28</ns0:v>
      </ns0:c>
      <ns0:c r="L1387" s="18" t="inlineStr">
        <ns0:is>
          <ns0:t>範囲内なし</ns0:t>
        </ns0:is>
      </ns0:c>
      <ns0:c r="M1387" s="7" t="n">
        <ns0:v>-32759.97363813253</ns0:v>
      </ns0:c>
      <ns0:c r="N1387" s="7" t="n">
        <ns0:v>4952.451131514077</ns0:v>
      </ns0:c>
      <ns0:c r="O1387" s="7" t="n">
        <ns0:v>44594.70830339532</ns0:v>
      </ns0:c>
      <ns0:c r="P1387" s="7" t="n">
        <ns0:v>143700.3512330985</ns0:v>
      </ns0:c>
      <ns0:c r="Q1387" s="7" t="n">
        <ns0:v>498122.922951911</ns0:v>
      </ns0:c>
      <ns0:c r="R1387" s="7" t="n">
        <ns0:v>1815601.923967755</ns0:v>
      </ns0:c>
    </ns0:row>
    <ns0:row r="1388" ht="24" customHeight="1">
      <ns0:c r="A1388" s="3" t="inlineStr">
        <ns0:is>
          <ns0:t>混在40/30/30</ns0:t>
        </ns0:is>
      </ns0:c>
      <ns0:c r="B1388" s="3" t="inlineStr">
        <ns0:is>
          <ns0:t>G0基本5000比較</ns0:t>
        </ns0:is>
      </ns0:c>
      <ns0:c r="C1388" s="3" t="inlineStr">
        <ns0:is>
          <ns0:t>D</ns0:t>
        </ns0:is>
      </ns0:c>
      <ns0:c r="D1388" s="4" t="n">
        <ns0:v>1</ns0:v>
      </ns0:c>
      <ns0:c r="E1388" s="4" t="n">
        <ns0:v>1500</ns0:v>
      </ns0:c>
      <ns0:c r="F1388" s="6" t="n">
        <ns0:v>0.3</ns0:v>
      </ns0:c>
      <ns0:c r="G1388" s="4" t="n">
        <ns0:v>0</ns0:v>
      </ns0:c>
      <ns0:c r="H1388" s="7" t="n">
        <ns0:v>6538.217062968472</ns0:v>
      </ns0:c>
      <ns0:c r="I1388" s="7" t="n">
        <ns0:v>3856.909968838605</ns0:v>
      </ns0:c>
      <ns0:c r="J1388" s="7" t="n">
        <ns0:v>1157.072990651581</ns0:v>
      </ns0:c>
      <ns0:c r="K1388" s="7" t="n">
        <ns0:v>18</ns0:v>
      </ns0:c>
      <ns0:c r="L1388" s="7" t="n">
        <ns0:v>37</ns0:v>
      </ns0:c>
      <ns0:c r="M1388" s="7" t="n">
        <ns0:v>-17532.18820423725</ns0:v>
      </ns0:c>
      <ns0:c r="N1388" s="7" t="n">
        <ns0:v>50635.80743319992</ns0:v>
      </ns0:c>
      <ns0:c r="O1388" s="7" t="n">
        <ns0:v>120733.6354728717</ns0:v>
      </ns0:c>
      <ns0:c r="P1388" s="7" t="n">
        <ns0:v>295978.2055720513</ns0:v>
      </ns0:c>
      <ns0:c r="Q1388" s="7" t="n">
        <ns0:v>954956.4859687693</ns0:v>
      </ns0:c>
      <ns0:c r="R1388" s="7" t="n">
        <ns0:v>3338380.467357283</ns0:v>
      </ns0:c>
    </ns0:row>
    <ns0:row r="1389" ht="24" customHeight="1">
      <ns0:c r="A1389" s="3" t="inlineStr">
        <ns0:is>
          <ns0:t>混在40/30/30</ns0:t>
        </ns0:is>
      </ns0:c>
      <ns0:c r="B1389" s="3" t="inlineStr">
        <ns0:is>
          <ns0:t>G0基本5000比較</ns0:t>
        </ns0:is>
      </ns0:c>
      <ns0:c r="C1389" s="3" t="inlineStr">
        <ns0:is>
          <ns0:t>D</ns0:t>
        </ns0:is>
      </ns0:c>
      <ns0:c r="D1389" s="4" t="n">
        <ns0:v>1</ns0:v>
      </ns0:c>
      <ns0:c r="E1389" s="4" t="n">
        <ns0:v>1500</ns0:v>
      </ns0:c>
      <ns0:c r="F1389" s="6" t="n">
        <ns0:v>0.3</ns0:v>
      </ns0:c>
      <ns0:c r="G1389" s="4" t="n">
        <ns0:v>1</ns0:v>
      </ns0:c>
      <ns0:c r="H1389" s="7" t="n">
        <ns0:v>6538.217062968472</ns0:v>
      </ns0:c>
      <ns0:c r="I1389" s="7" t="n">
        <ns0:v>3856.909968838605</ns0:v>
      </ns0:c>
      <ns0:c r="J1389" s="7" t="n">
        <ns0:v>1157.072990651581</ns0:v>
      </ns0:c>
      <ns0:c r="K1389" s="7" t="n">
        <ns0:v>19</ns0:v>
      </ns0:c>
      <ns0:c r="L1389" s="7" t="n">
        <ns0:v>50</ns0:v>
      </ns0:c>
      <ns0:c r="M1389" s="7" t="n">
        <ns0:v>-20101.40627220152</ns0:v>
      </ns0:c>
      <ns0:c r="N1389" s="7" t="n">
        <ns0:v>42928.15322930711</ns0:v>
      </ns0:c>
      <ns0:c r="O1389" s="7" t="n">
        <ns0:v>107887.5451330504</ns0:v>
      </ns0:c>
      <ns0:c r="P1389" s="7" t="n">
        <ns0:v>270286.0248924086</ns0:v>
      </ns0:c>
      <ns0:c r="Q1389" s="7" t="n">
        <ns0:v>877879.9439298412</ns0:v>
      </ns0:c>
      <ns0:c r="R1389" s="7" t="n">
        <ns0:v>3081458.660560857</ns0:v>
      </ns0:c>
    </ns0:row>
    <ns0:row r="1390" ht="24" customHeight="1">
      <ns0:c r="A1390" s="3" t="inlineStr">
        <ns0:is>
          <ns0:t>混在40/30/30</ns0:t>
        </ns0:is>
      </ns0:c>
      <ns0:c r="B1390" s="3" t="inlineStr">
        <ns0:is>
          <ns0:t>G0基本5000比較</ns0:t>
        </ns0:is>
      </ns0:c>
      <ns0:c r="C1390" s="3" t="inlineStr">
        <ns0:is>
          <ns0:t>D</ns0:t>
        </ns0:is>
      </ns0:c>
      <ns0:c r="D1390" s="4" t="n">
        <ns0:v>1</ns0:v>
      </ns0:c>
      <ns0:c r="E1390" s="4" t="n">
        <ns0:v>1500</ns0:v>
      </ns0:c>
      <ns0:c r="F1390" s="6" t="n">
        <ns0:v>0.3</ns0:v>
      </ns0:c>
      <ns0:c r="G1390" s="4" t="n">
        <ns0:v>2</ns0:v>
      </ns0:c>
      <ns0:c r="H1390" s="7" t="n">
        <ns0:v>6538.217062968472</ns0:v>
      </ns0:c>
      <ns0:c r="I1390" s="7" t="n">
        <ns0:v>3856.909968838605</ns0:v>
      </ns0:c>
      <ns0:c r="J1390" s="7" t="n">
        <ns0:v>1157.072990651581</ns0:v>
      </ns0:c>
      <ns0:c r="K1390" s="7" t="n">
        <ns0:v>49</ns0:v>
      </ns0:c>
      <ns0:c r="L1390" s="18" t="inlineStr">
        <ns0:is>
          <ns0:t>範囲内なし</ns0:t>
        </ns0:is>
      </ns0:c>
      <ns0:c r="M1390" s="7" t="n">
        <ns0:v>-41333.24480354261</ns0:v>
      </ns0:c>
      <ns0:c r="N1390" s="7" t="n">
        <ns0:v>-20767.36236471617</ns0:v>
      </ns0:c>
      <ns0:c r="O1390" s="7" t="n">
        <ns0:v>1728.352476344939</ns0:v>
      </ns0:c>
      <ns0:c r="P1390" s="7" t="n">
        <ns0:v>57967.63957899765</ns0:v>
      </ns0:c>
      <ns0:c r="Q1390" s="7" t="n">
        <ns0:v>240924.7879896085</ns0:v>
      </ns0:c>
      <ns0:c r="R1390" s="7" t="n">
        <ns0:v>958274.8074267476</ns0:v>
      </ns0:c>
    </ns0:row>
    <ns0:row r="1391" ht="24" customHeight="1">
      <ns0:c r="A1391" s="3" t="inlineStr">
        <ns0:is>
          <ns0:t>混在40/30/30</ns0:t>
        </ns0:is>
      </ns0:c>
      <ns0:c r="B1391" s="3" t="inlineStr">
        <ns0:is>
          <ns0:t>G0基本5000比較</ns0:t>
        </ns0:is>
      </ns0:c>
      <ns0:c r="C1391" s="3" t="inlineStr">
        <ns0:is>
          <ns0:t>D</ns0:t>
        </ns0:is>
      </ns0:c>
      <ns0:c r="D1391" s="4" t="n">
        <ns0:v>1</ns0:v>
      </ns0:c>
      <ns0:c r="E1391" s="4" t="n">
        <ns0:v>1500</ns0:v>
      </ns0:c>
      <ns0:c r="F1391" s="6" t="n">
        <ns0:v>0.3</ns0:v>
      </ns0:c>
      <ns0:c r="G1391" s="4" t="n">
        <ns0:v>3</ns0:v>
      </ns0:c>
      <ns0:c r="H1391" s="7" t="n">
        <ns0:v>6538.217062968472</ns0:v>
      </ns0:c>
      <ns0:c r="I1391" s="7" t="n">
        <ns0:v>3856.909968838605</ns0:v>
      </ns0:c>
      <ns0:c r="J1391" s="7" t="n">
        <ns0:v>1157.072990651581</ns0:v>
      </ns0:c>
      <ns0:c r="K1391" s="7" t="n">
        <ns0:v>21</ns0:v>
      </ns0:c>
      <ns0:c r="L1391" s="7" t="n">
        <ns0:v>423</ns0:v>
      </ns0:c>
      <ns0:c r="M1391" s="7" t="n">
        <ns0:v>-25742.15370045532</ns0:v>
      </ns0:c>
      <ns0:c r="N1391" s="7" t="n">
        <ns0:v>26005.9109445457</ns0:v>
      </ns0:c>
      <ns0:c r="O1391" s="7" t="n">
        <ns0:v>79683.80799178137</ns0:v>
      </ns0:c>
      <ns0:c r="P1391" s="7" t="n">
        <ns0:v>213878.5506098706</ns0:v>
      </ns0:c>
      <ns0:c r="Q1391" s="7" t="n">
        <ns0:v>708657.5210822271</ns0:v>
      </ns0:c>
      <ns0:c r="R1391" s="7" t="n">
        <ns0:v>2517383.917735477</ns0:v>
      </ns0:c>
    </ns0:row>
    <ns0:row r="1392" ht="24" customHeight="1">
      <ns0:c r="A1392" s="3" t="inlineStr">
        <ns0:is>
          <ns0:t>混在40/30/30</ns0:t>
        </ns0:is>
      </ns0:c>
      <ns0:c r="B1392" s="3" t="inlineStr">
        <ns0:is>
          <ns0:t>G0基本5000比較</ns0:t>
        </ns0:is>
      </ns0:c>
      <ns0:c r="C1392" s="3" t="inlineStr">
        <ns0:is>
          <ns0:t>D</ns0:t>
        </ns0:is>
      </ns0:c>
      <ns0:c r="D1392" s="4" t="n">
        <ns0:v>1</ns0:v>
      </ns0:c>
      <ns0:c r="E1392" s="4" t="n">
        <ns0:v>1500</ns0:v>
      </ns0:c>
      <ns0:c r="F1392" s="6" t="n">
        <ns0:v>0.4</ns0:v>
      </ns0:c>
      <ns0:c r="G1392" s="4" t="n">
        <ns0:v>0</ns0:v>
      </ns0:c>
      <ns0:c r="H1392" s="7" t="n">
        <ns0:v>6538.217062968472</ns0:v>
      </ns0:c>
      <ns0:c r="I1392" s="7" t="n">
        <ns0:v>3856.909968838605</ns0:v>
      </ns0:c>
      <ns0:c r="J1392" s="7" t="n">
        <ns0:v>1542.763987535442</ns0:v>
      </ns0:c>
      <ns0:c r="K1392" s="7" t="n">
        <ns0:v>19</ns0:v>
      </ns0:c>
      <ns0:c r="L1392" s="7" t="n">
        <ns0:v>40</ns0:v>
      </ns0:c>
      <ns0:c r="M1392" s="7" t="n">
        <ns0:v>-21389.09817307586</ns0:v>
      </ns0:c>
      <ns0:c r="N1392" s="7" t="n">
        <ns0:v>39065.07752668409</ns0:v>
      </ns0:c>
      <ns0:c r="O1392" s="7" t="n">
        <ns0:v>101449.0856286787</ns0:v>
      </ns0:c>
      <ns0:c r="P1392" s="7" t="n">
        <ns0:v>257409.1058836652</ns0:v>
      </ns0:c>
      <ns0:c r="Q1392" s="7" t="n">
        <ns0:v>839249.1869036113</ns0:v>
      </ns0:c>
      <ns0:c r="R1392" s="7" t="n">
        <ns0:v>2952689.470473423</ns0:v>
      </ns0:c>
    </ns0:row>
    <ns0:row r="1393" ht="24" customHeight="1">
      <ns0:c r="A1393" s="3" t="inlineStr">
        <ns0:is>
          <ns0:t>混在40/30/30</ns0:t>
        </ns0:is>
      </ns0:c>
      <ns0:c r="B1393" s="3" t="inlineStr">
        <ns0:is>
          <ns0:t>G0基本5000比較</ns0:t>
        </ns0:is>
      </ns0:c>
      <ns0:c r="C1393" s="3" t="inlineStr">
        <ns0:is>
          <ns0:t>D</ns0:t>
        </ns0:is>
      </ns0:c>
      <ns0:c r="D1393" s="4" t="n">
        <ns0:v>1</ns0:v>
      </ns0:c>
      <ns0:c r="E1393" s="4" t="n">
        <ns0:v>1500</ns0:v>
      </ns0:c>
      <ns0:c r="F1393" s="6" t="n">
        <ns0:v>0.4</ns0:v>
      </ns0:c>
      <ns0:c r="G1393" s="4" t="n">
        <ns0:v>1</ns0:v>
      </ns0:c>
      <ns0:c r="H1393" s="7" t="n">
        <ns0:v>6538.217062968472</ns0:v>
      </ns0:c>
      <ns0:c r="I1393" s="7" t="n">
        <ns0:v>3856.909968838605</ns0:v>
      </ns0:c>
      <ns0:c r="J1393" s="7" t="n">
        <ns0:v>1542.763987535442</ns0:v>
      </ns0:c>
      <ns0:c r="K1393" s="7" t="n">
        <ns0:v>20</ns0:v>
      </ns0:c>
      <ns0:c r="L1393" s="7" t="n">
        <ns0:v>56</ns0:v>
      </ns0:c>
      <ns0:c r="M1393" s="7" t="n">
        <ns0:v>-23958.31624104013</ns0:v>
      </ns0:c>
      <ns0:c r="N1393" s="7" t="n">
        <ns0:v>31357.42332279127</ns0:v>
      </ns0:c>
      <ns0:c r="O1393" s="7" t="n">
        <ns0:v>88602.99528885736</ns0:v>
      </ns0:c>
      <ns0:c r="P1393" s="7" t="n">
        <ns0:v>231716.9252040225</ns0:v>
      </ns0:c>
      <ns0:c r="Q1393" s="7" t="n">
        <ns0:v>762172.6448646832</ns0:v>
      </ns0:c>
      <ns0:c r="R1393" s="7" t="n">
        <ns0:v>2695767.663676996</ns0:v>
      </ns0:c>
    </ns0:row>
    <ns0:row r="1394" ht="24" customHeight="1">
      <ns0:c r="A1394" s="3" t="inlineStr">
        <ns0:is>
          <ns0:t>混在40/30/30</ns0:t>
        </ns0:is>
      </ns0:c>
      <ns0:c r="B1394" s="3" t="inlineStr">
        <ns0:is>
          <ns0:t>G0基本5000比較</ns0:t>
        </ns0:is>
      </ns0:c>
      <ns0:c r="C1394" s="3" t="inlineStr">
        <ns0:is>
          <ns0:t>D</ns0:t>
        </ns0:is>
      </ns0:c>
      <ns0:c r="D1394" s="4" t="n">
        <ns0:v>1</ns0:v>
      </ns0:c>
      <ns0:c r="E1394" s="4" t="n">
        <ns0:v>1500</ns0:v>
      </ns0:c>
      <ns0:c r="F1394" s="6" t="n">
        <ns0:v>0.4</ns0:v>
      </ns0:c>
      <ns0:c r="G1394" s="4" t="n">
        <ns0:v>2</ns0:v>
      </ns0:c>
      <ns0:c r="H1394" s="7" t="n">
        <ns0:v>6538.217062968472</ns0:v>
      </ns0:c>
      <ns0:c r="I1394" s="7" t="n">
        <ns0:v>3856.909968838605</ns0:v>
      </ns0:c>
      <ns0:c r="J1394" s="7" t="n">
        <ns0:v>1542.763987535442</ns0:v>
      </ns0:c>
      <ns0:c r="K1394" s="7" t="n">
        <ns0:v>74</ns0:v>
      </ns0:c>
      <ns0:c r="L1394" s="18" t="inlineStr">
        <ns0:is>
          <ns0:t>範囲内なし</ns0:t>
        </ns0:is>
      </ns0:c>
      <ns0:c r="M1394" s="7" t="n">
        <ns0:v>-45190.15477238122</ns0:v>
      </ns0:c>
      <ns0:c r="N1394" s="7" t="n">
        <ns0:v>-32338.092271232</ns0:v>
      </ns0:c>
      <ns0:c r="O1394" s="7" t="n">
        <ns0:v>-17556.1973678481</ns0:v>
      </ns0:c>
      <ns0:c r="P1394" s="7" t="n">
        <ns0:v>19398.5398906116</ns0:v>
      </ns0:c>
      <ns0:c r="Q1394" s="7" t="n">
        <ns0:v>125217.4889244505</ns0:v>
      </ns0:c>
      <ns0:c r="R1394" s="7" t="n">
        <ns0:v>572583.8105428868</ns0:v>
      </ns0:c>
    </ns0:row>
    <ns0:row r="1395" ht="24" customHeight="1">
      <ns0:c r="A1395" s="3" t="inlineStr">
        <ns0:is>
          <ns0:t>混在40/30/30</ns0:t>
        </ns0:is>
      </ns0:c>
      <ns0:c r="B1395" s="3" t="inlineStr">
        <ns0:is>
          <ns0:t>G0基本5000比較</ns0:t>
        </ns0:is>
      </ns0:c>
      <ns0:c r="C1395" s="3" t="inlineStr">
        <ns0:is>
          <ns0:t>D</ns0:t>
        </ns0:is>
      </ns0:c>
      <ns0:c r="D1395" s="4" t="n">
        <ns0:v>1</ns0:v>
      </ns0:c>
      <ns0:c r="E1395" s="4" t="n">
        <ns0:v>1500</ns0:v>
      </ns0:c>
      <ns0:c r="F1395" s="6" t="n">
        <ns0:v>0.4</ns0:v>
      </ns0:c>
      <ns0:c r="G1395" s="4" t="n">
        <ns0:v>3</ns0:v>
      </ns0:c>
      <ns0:c r="H1395" s="7" t="n">
        <ns0:v>6538.217062968472</ns0:v>
      </ns0:c>
      <ns0:c r="I1395" s="7" t="n">
        <ns0:v>3856.909968838605</ns0:v>
      </ns0:c>
      <ns0:c r="J1395" s="7" t="n">
        <ns0:v>1542.763987535442</ns0:v>
      </ns0:c>
      <ns0:c r="K1395" s="7" t="n">
        <ns0:v>24</ns0:v>
      </ns0:c>
      <ns0:c r="L1395" s="18" t="inlineStr">
        <ns0:is>
          <ns0:t>範囲内なし</ns0:t>
        </ns0:is>
      </ns0:c>
      <ns0:c r="M1395" s="7" t="n">
        <ns0:v>-29599.06366929393</ns0:v>
      </ns0:c>
      <ns0:c r="N1395" s="7" t="n">
        <ns0:v>14435.18103802987</ns0:v>
      </ns0:c>
      <ns0:c r="O1395" s="7" t="n">
        <ns0:v>60399.25814758836</ns0:v>
      </ns0:c>
      <ns0:c r="P1395" s="7" t="n">
        <ns0:v>175309.4509214845</ns0:v>
      </ns0:c>
      <ns0:c r="Q1395" s="7" t="n">
        <ns0:v>592950.2220170691</ns0:v>
      </ns0:c>
      <ns0:c r="R1395" s="7" t="n">
        <ns0:v>2131692.920851616</ns0:v>
      </ns0:c>
    </ns0:row>
    <ns0:row r="1396" ht="24" customHeight="1">
      <ns0:c r="A1396" s="3" t="inlineStr">
        <ns0:is>
          <ns0:t>混在40/30/30</ns0:t>
        </ns0:is>
      </ns0:c>
      <ns0:c r="B1396" s="3" t="inlineStr">
        <ns0:is>
          <ns0:t>G0基本5000比較</ns0:t>
        </ns0:is>
      </ns0:c>
      <ns0:c r="C1396" s="3" t="inlineStr">
        <ns0:is>
          <ns0:t>D</ns0:t>
        </ns0:is>
      </ns0:c>
      <ns0:c r="D1396" s="4" t="n">
        <ns0:v>1</ns0:v>
      </ns0:c>
      <ns0:c r="E1396" s="4" t="n">
        <ns0:v>1500</ns0:v>
      </ns0:c>
      <ns0:c r="F1396" s="6" t="n">
        <ns0:v>0.5</ns0:v>
      </ns0:c>
      <ns0:c r="G1396" s="4" t="n">
        <ns0:v>0</ns0:v>
      </ns0:c>
      <ns0:c r="H1396" s="7" t="n">
        <ns0:v>6538.217062968472</ns0:v>
      </ns0:c>
      <ns0:c r="I1396" s="7" t="n">
        <ns0:v>3856.909968838605</ns0:v>
      </ns0:c>
      <ns0:c r="J1396" s="7" t="n">
        <ns0:v>1928.454984419303</ns0:v>
      </ns0:c>
      <ns0:c r="K1396" s="7" t="n">
        <ns0:v>21</ns0:v>
      </ns0:c>
      <ns0:c r="L1396" s="7" t="n">
        <ns0:v>43</ns0:v>
      </ns0:c>
      <ns0:c r="M1396" s="7" t="n">
        <ns0:v>-25246.00814191446</ns0:v>
      </ns0:c>
      <ns0:c r="N1396" s="7" t="n">
        <ns0:v>27494.34762016828</ns0:v>
      </ns0:c>
      <ns0:c r="O1396" s="7" t="n">
        <ns0:v>82164.53578448566</ns0:v>
      </ns0:c>
      <ns0:c r="P1396" s="7" t="n">
        <ns0:v>218840.0061952791</ns0:v>
      </ns0:c>
      <ns0:c r="Q1396" s="7" t="n">
        <ns0:v>723541.8878384532</ns0:v>
      </ns0:c>
      <ns0:c r="R1396" s="7" t="n">
        <ns0:v>2566998.473589562</ns0:v>
      </ns0:c>
    </ns0:row>
    <ns0:row r="1397" ht="24" customHeight="1">
      <ns0:c r="A1397" s="3" t="inlineStr">
        <ns0:is>
          <ns0:t>混在40/30/30</ns0:t>
        </ns0:is>
      </ns0:c>
      <ns0:c r="B1397" s="3" t="inlineStr">
        <ns0:is>
          <ns0:t>G0基本5000比較</ns0:t>
        </ns0:is>
      </ns0:c>
      <ns0:c r="C1397" s="3" t="inlineStr">
        <ns0:is>
          <ns0:t>D</ns0:t>
        </ns0:is>
      </ns0:c>
      <ns0:c r="D1397" s="4" t="n">
        <ns0:v>1</ns0:v>
      </ns0:c>
      <ns0:c r="E1397" s="4" t="n">
        <ns0:v>1500</ns0:v>
      </ns0:c>
      <ns0:c r="F1397" s="6" t="n">
        <ns0:v>0.5</ns0:v>
      </ns0:c>
      <ns0:c r="G1397" s="4" t="n">
        <ns0:v>1</ns0:v>
      </ns0:c>
      <ns0:c r="H1397" s="7" t="n">
        <ns0:v>6538.217062968472</ns0:v>
      </ns0:c>
      <ns0:c r="I1397" s="7" t="n">
        <ns0:v>3856.909968838605</ns0:v>
      </ns0:c>
      <ns0:c r="J1397" s="7" t="n">
        <ns0:v>1928.454984419303</ns0:v>
      </ns0:c>
      <ns0:c r="K1397" s="7" t="n">
        <ns0:v>23</ns0:v>
      </ns0:c>
      <ns0:c r="L1397" s="7" t="n">
        <ns0:v>63</ns0:v>
      </ns0:c>
      <ns0:c r="M1397" s="7" t="n">
        <ns0:v>-27815.22620987874</ns0:v>
      </ns0:c>
      <ns0:c r="N1397" s="7" t="n">
        <ns0:v>19786.69341627546</ns0:v>
      </ns0:c>
      <ns0:c r="O1397" s="7" t="n">
        <ns0:v>69318.44544466431</ns0:v>
      </ns0:c>
      <ns0:c r="P1397" s="7" t="n">
        <ns0:v>193147.8255156364</ns0:v>
      </ns0:c>
      <ns0:c r="Q1397" s="7" t="n">
        <ns0:v>646465.345799525</ns0:v>
      </ns0:c>
      <ns0:c r="R1397" s="7" t="n">
        <ns0:v>2310076.666793135</ns0:v>
      </ns0:c>
    </ns0:row>
    <ns0:row r="1398" ht="24" customHeight="1">
      <ns0:c r="A1398" s="3" t="inlineStr">
        <ns0:is>
          <ns0:t>混在40/30/30</ns0:t>
        </ns0:is>
      </ns0:c>
      <ns0:c r="B1398" s="3" t="inlineStr">
        <ns0:is>
          <ns0:t>G0基本5000比較</ns0:t>
        </ns0:is>
      </ns0:c>
      <ns0:c r="C1398" s="3" t="inlineStr">
        <ns0:is>
          <ns0:t>D</ns0:t>
        </ns0:is>
      </ns0:c>
      <ns0:c r="D1398" s="4" t="n">
        <ns0:v>1</ns0:v>
      </ns0:c>
      <ns0:c r="E1398" s="4" t="n">
        <ns0:v>1500</ns0:v>
      </ns0:c>
      <ns0:c r="F1398" s="6" t="n">
        <ns0:v>0.5</ns0:v>
      </ns0:c>
      <ns0:c r="G1398" s="4" t="n">
        <ns0:v>2</ns0:v>
      </ns0:c>
      <ns0:c r="H1398" s="7" t="n">
        <ns0:v>6538.217062968472</ns0:v>
      </ns0:c>
      <ns0:c r="I1398" s="7" t="n">
        <ns0:v>3856.909968838605</ns0:v>
      </ns0:c>
      <ns0:c r="J1398" s="7" t="n">
        <ns0:v>1928.454984419303</ns0:v>
      </ns0:c>
      <ns0:c r="K1398" s="7" t="n">
        <ns0:v>274</ns0:v>
      </ns0:c>
      <ns0:c r="L1398" s="18" t="inlineStr">
        <ns0:is>
          <ns0:t>範囲内なし</ns0:t>
        </ns0:is>
      </ns0:c>
      <ns0:c r="M1398" s="7" t="n">
        <ns0:v>-49047.06474121983</ns0:v>
      </ns0:c>
      <ns0:c r="N1398" s="7" t="n">
        <ns0:v>-43908.8221777478</ns0:v>
      </ns0:c>
      <ns0:c r="O1398" s="7" t="n">
        <ns0:v>-36840.74721204114</ns0:v>
      </ns0:c>
      <ns0:c r="P1398" s="7" t="n">
        <ns0:v>-19170.55979777448</ns0:v>
      </ns0:c>
      <ns0:c r="Q1398" s="7" t="n">
        <ns0:v>9510.189859292354</ns0:v>
      </ns0:c>
      <ns0:c r="R1398" s="7" t="n">
        <ns0:v>186892.8136590265</ns0:v>
      </ns0:c>
    </ns0:row>
    <ns0:row r="1399" ht="24" customHeight="1">
      <ns0:c r="A1399" s="3" t="inlineStr">
        <ns0:is>
          <ns0:t>混在40/30/30</ns0:t>
        </ns0:is>
      </ns0:c>
      <ns0:c r="B1399" s="3" t="inlineStr">
        <ns0:is>
          <ns0:t>G0基本5000比較</ns0:t>
        </ns0:is>
      </ns0:c>
      <ns0:c r="C1399" s="3" t="inlineStr">
        <ns0:is>
          <ns0:t>D</ns0:t>
        </ns0:is>
      </ns0:c>
      <ns0:c r="D1399" s="4" t="n">
        <ns0:v>1</ns0:v>
      </ns0:c>
      <ns0:c r="E1399" s="4" t="n">
        <ns0:v>1500</ns0:v>
      </ns0:c>
      <ns0:c r="F1399" s="6" t="n">
        <ns0:v>0.5</ns0:v>
      </ns0:c>
      <ns0:c r="G1399" s="4" t="n">
        <ns0:v>3</ns0:v>
      </ns0:c>
      <ns0:c r="H1399" s="7" t="n">
        <ns0:v>6538.217062968472</ns0:v>
      </ns0:c>
      <ns0:c r="I1399" s="7" t="n">
        <ns0:v>3856.909968838605</ns0:v>
      </ns0:c>
      <ns0:c r="J1399" s="7" t="n">
        <ns0:v>1928.454984419303</ns0:v>
      </ns0:c>
      <ns0:c r="K1399" s="7" t="n">
        <ns0:v>29</ns0:v>
      </ns0:c>
      <ns0:c r="L1399" s="18" t="inlineStr">
        <ns0:is>
          <ns0:t>範囲内なし</ns0:t>
        </ns0:is>
      </ns0:c>
      <ns0:c r="M1399" s="7" t="n">
        <ns0:v>-33455.97363813253</ns0:v>
      </ns0:c>
      <ns0:c r="N1399" s="7" t="n">
        <ns0:v>2864.451131514063</ns0:v>
      </ns0:c>
      <ns0:c r="O1399" s="7" t="n">
        <ns0:v>41114.70830339531</ns0:v>
      </ns0:c>
      <ns0:c r="P1399" s="7" t="n">
        <ns0:v>136740.3512330984</ns0:v>
      </ns0:c>
      <ns0:c r="Q1399" s="7" t="n">
        <ns0:v>477242.9229519111</ns0:v>
      </ns0:c>
      <ns0:c r="R1399" s="7" t="n">
        <ns0:v>1746001.923967755</ns0:v>
      </ns0:c>
    </ns0:row>
    <ns0:row r="1400" ht="24" customHeight="1">
      <ns0:c r="A1400" s="3" t="inlineStr">
        <ns0:is>
          <ns0:t>混在40/30/30</ns0:t>
        </ns0:is>
      </ns0:c>
      <ns0:c r="B1400" s="3" t="inlineStr">
        <ns0:is>
          <ns0:t>G0基本5000比較</ns0:t>
        </ns0:is>
      </ns0:c>
      <ns0:c r="C1400" s="3" t="inlineStr">
        <ns0:is>
          <ns0:t>D</ns0:t>
        </ns0:is>
      </ns0:c>
      <ns0:c r="D1400" s="4" t="n">
        <ns0:v>2</ns0:v>
      </ns0:c>
      <ns0:c r="E1400" s="4" t="n">
        <ns0:v>500</ns0:v>
      </ns0:c>
      <ns0:c r="F1400" s="6" t="n">
        <ns0:v>0.3</ns0:v>
      </ns0:c>
      <ns0:c r="G1400" s="4" t="n">
        <ns0:v>0</ns0:v>
      </ns0:c>
      <ns0:c r="H1400" s="7" t="n">
        <ns0:v>8740.53417563595</ns0:v>
      </ns0:c>
      <ns0:c r="I1400" s="7" t="n">
        <ns0:v>4415.990790255497</ns0:v>
      </ns0:c>
      <ns0:c r="J1400" s="7" t="n">
        <ns0:v>1324.797237076649</ns0:v>
      </ns0:c>
      <ns0:c r="K1400" s="7" t="n">
        <ns0:v>10</ns0:v>
      </ns0:c>
      <ns0:c r="L1400" s="7" t="n">
        <ns0:v>19</ns0:v>
      </ns0:c>
      <ns0:c r="M1400" s="7" t="n">
        <ns0:v>1365.384513206165</ns0:v>
      </ns0:c>
      <ns0:c r="N1400" s="7" t="n">
        <ns0:v>92660.8121660481</ns0:v>
      </ns0:c>
      <ns0:c r="O1400" s="7" t="n">
        <ns0:v>190775.3100276187</ns0:v>
      </ns0:c>
      <ns0:c r="P1400" s="7" t="n">
        <ns0:v>436061.5546815452</ns0:v>
      </ns0:c>
      <ns0:c r="Q1400" s="7" t="n">
        <ns0:v>1375206.533297251</ns0:v>
      </ns0:c>
      <ns0:c r="R1400" s="7" t="n">
        <ns0:v>4739213.958452224</ns0:v>
      </ns0:c>
    </ns0:row>
    <ns0:row r="1401" ht="24" customHeight="1">
      <ns0:c r="A1401" s="3" t="inlineStr">
        <ns0:is>
          <ns0:t>混在40/30/30</ns0:t>
        </ns0:is>
      </ns0:c>
      <ns0:c r="B1401" s="3" t="inlineStr">
        <ns0:is>
          <ns0:t>G0基本5000比較</ns0:t>
        </ns0:is>
      </ns0:c>
      <ns0:c r="C1401" s="3" t="inlineStr">
        <ns0:is>
          <ns0:t>D</ns0:t>
        </ns0:is>
      </ns0:c>
      <ns0:c r="D1401" s="4" t="n">
        <ns0:v>2</ns0:v>
      </ns0:c>
      <ns0:c r="E1401" s="4" t="n">
        <ns0:v>500</ns0:v>
      </ns0:c>
      <ns0:c r="F1401" s="6" t="n">
        <ns0:v>0.3</ns0:v>
      </ns0:c>
      <ns0:c r="G1401" s="4" t="n">
        <ns0:v>1</ns0:v>
      </ns0:c>
      <ns0:c r="H1401" s="7" t="n">
        <ns0:v>8740.53417563595</ns0:v>
      </ns0:c>
      <ns0:c r="I1401" s="7" t="n">
        <ns0:v>4415.990790255497</ns0:v>
      </ns0:c>
      <ns0:c r="J1401" s="7" t="n">
        <ns0:v>1324.797237076649</ns0:v>
      </ns0:c>
      <ns0:c r="K1401" s="7" t="n">
        <ns0:v>11</ns0:v>
      </ns0:c>
      <ns0:c r="L1401" s="7" t="n">
        <ns0:v>23</ns0:v>
      </ns0:c>
      <ns0:c r="M1401" s="7" t="n">
        <ns0:v>-1839.170812998736</ns0:v>
      </ns0:c>
      <ns0:c r="N1401" s="7" t="n">
        <ns0:v>83047.14618743339</ns0:v>
      </ns0:c>
      <ns0:c r="O1401" s="7" t="n">
        <ns0:v>174752.5333965942</ns0:v>
      </ns0:c>
      <ns0:c r="P1401" s="7" t="n">
        <ns0:v>404016.0014194963</ns0:v>
      </ns0:c>
      <ns0:c r="Q1401" s="7" t="n">
        <ns0:v>1279069.873511104</ns0:v>
      </ns0:c>
      <ns0:c r="R1401" s="7" t="n">
        <ns0:v>4418758.425831733</ns0:v>
      </ns0:c>
    </ns0:row>
    <ns0:row r="1402" ht="24" customHeight="1">
      <ns0:c r="A1402" s="3" t="inlineStr">
        <ns0:is>
          <ns0:t>混在40/30/30</ns0:t>
        </ns0:is>
      </ns0:c>
      <ns0:c r="B1402" s="3" t="inlineStr">
        <ns0:is>
          <ns0:t>G0基本5000比較</ns0:t>
        </ns0:is>
      </ns0:c>
      <ns0:c r="C1402" s="3" t="inlineStr">
        <ns0:is>
          <ns0:t>D</ns0:t>
        </ns0:is>
      </ns0:c>
      <ns0:c r="D1402" s="4" t="n">
        <ns0:v>2</ns0:v>
      </ns0:c>
      <ns0:c r="E1402" s="4" t="n">
        <ns0:v>500</ns0:v>
      </ns0:c>
      <ns0:c r="F1402" s="6" t="n">
        <ns0:v>0.3</ns0:v>
      </ns0:c>
      <ns0:c r="G1402" s="4" t="n">
        <ns0:v>2</ns0:v>
      </ns0:c>
      <ns0:c r="H1402" s="7" t="n">
        <ns0:v>8740.53417563595</ns0:v>
      </ns0:c>
      <ns0:c r="I1402" s="7" t="n">
        <ns0:v>4415.990790255497</ns0:v>
      </ns0:c>
      <ns0:c r="J1402" s="7" t="n">
        <ns0:v>1324.797237076649</ns0:v>
      </ns0:c>
      <ns0:c r="K1402" s="7" t="n">
        <ns0:v>87</ns0:v>
      </ns0:c>
      <ns0:c r="L1402" s="18" t="inlineStr">
        <ns0:is>
          <ns0:t>範囲内なし</ns0:t>
        </ns0:is>
      </ns0:c>
      <ns0:c r="M1402" s="7" t="n">
        <ns0:v>-41411.53616157762</ns0:v>
      </ns0:c>
      <ns0:c r="N1402" s="7" t="n">
        <ns0:v>-35669.94985830327</ns0:v>
      </ns0:c>
      <ns0:c r="O1402" s="7" t="n">
        <ns0:v>-23109.2933463002</ns0:v>
      </ns0:c>
      <ns0:c r="P1402" s="7" t="n">
        <ns0:v>8292.34793370741</ns0:v>
      </ns0:c>
      <ns0:c r="Q1402" s="7" t="n">
        <ns0:v>91898.91305373772</ns0:v>
      </ns0:c>
      <ns0:c r="R1402" s="7" t="n">
        <ns0:v>461521.8909738446</ns0:v>
      </ns0:c>
    </ns0:row>
    <ns0:row r="1403" ht="24" customHeight="1">
      <ns0:c r="A1403" s="3" t="inlineStr">
        <ns0:is>
          <ns0:t>混在40/30/30</ns0:t>
        </ns0:is>
      </ns0:c>
      <ns0:c r="B1403" s="3" t="inlineStr">
        <ns0:is>
          <ns0:t>G0基本5000比較</ns0:t>
        </ns0:is>
      </ns0:c>
      <ns0:c r="C1403" s="3" t="inlineStr">
        <ns0:is>
          <ns0:t>D</ns0:t>
        </ns0:is>
      </ns0:c>
      <ns0:c r="D1403" s="4" t="n">
        <ns0:v>2</ns0:v>
      </ns0:c>
      <ns0:c r="E1403" s="4" t="n">
        <ns0:v>500</ns0:v>
      </ns0:c>
      <ns0:c r="F1403" s="6" t="n">
        <ns0:v>0.3</ns0:v>
      </ns0:c>
      <ns0:c r="G1403" s="4" t="n">
        <ns0:v>3</ns0:v>
      </ns0:c>
      <ns0:c r="H1403" s="7" t="n">
        <ns0:v>8740.53417563595</ns0:v>
      </ns0:c>
      <ns0:c r="I1403" s="7" t="n">
        <ns0:v>4415.990790255497</ns0:v>
      </ns0:c>
      <ns0:c r="J1403" s="7" t="n">
        <ns0:v>1324.797237076649</ns0:v>
      </ns0:c>
      <ns0:c r="K1403" s="7" t="n">
        <ns0:v>12</ns0:v>
      </ns0:c>
      <ns0:c r="L1403" s="7" t="n">
        <ns0:v>39</ns0:v>
      </ns0:c>
      <ns0:c r="M1403" s="7" t="n">
        <ns0:v>-8418.325147150616</ns0:v>
      </ns0:c>
      <ns0:c r="N1403" s="7" t="n">
        <ns0:v>63309.68318497777</ns0:v>
      </ns0:c>
      <ns0:c r="O1403" s="7" t="n">
        <ns0:v>141856.7617258348</ns0:v>
      </ns0:c>
      <ns0:c r="P1403" s="7" t="n">
        <ns0:v>338224.4580779775</ns0:v>
      </ns0:c>
      <ns0:c r="Q1403" s="7" t="n">
        <ns0:v>1081695.243486548</ns0:v>
      </ns0:c>
      <ns0:c r="R1403" s="7" t="n">
        <ns0:v>3760842.992416546</ns0:v>
      </ns0:c>
    </ns0:row>
    <ns0:row r="1404" ht="24" customHeight="1">
      <ns0:c r="A1404" s="3" t="inlineStr">
        <ns0:is>
          <ns0:t>混在40/30/30</ns0:t>
        </ns0:is>
      </ns0:c>
      <ns0:c r="B1404" s="3" t="inlineStr">
        <ns0:is>
          <ns0:t>G0基本5000比較</ns0:t>
        </ns0:is>
      </ns0:c>
      <ns0:c r="C1404" s="3" t="inlineStr">
        <ns0:is>
          <ns0:t>D</ns0:t>
        </ns0:is>
      </ns0:c>
      <ns0:c r="D1404" s="4" t="n">
        <ns0:v>2</ns0:v>
      </ns0:c>
      <ns0:c r="E1404" s="4" t="n">
        <ns0:v>500</ns0:v>
      </ns0:c>
      <ns0:c r="F1404" s="6" t="n">
        <ns0:v>0.4</ns0:v>
      </ns0:c>
      <ns0:c r="G1404" s="4" t="n">
        <ns0:v>0</ns0:v>
      </ns0:c>
      <ns0:c r="H1404" s="7" t="n">
        <ns0:v>8740.53417563595</ns0:v>
      </ns0:c>
      <ns0:c r="I1404" s="7" t="n">
        <ns0:v>4415.990790255497</ns0:v>
      </ns0:c>
      <ns0:c r="J1404" s="7" t="n">
        <ns0:v>1766.396316102199</ns0:v>
      </ns0:c>
      <ns0:c r="K1404" s="7" t="n">
        <ns0:v>11</ns0:v>
      </ns0:c>
      <ns0:c r="L1404" s="7" t="n">
        <ns0:v>20</ns0:v>
      </ns0:c>
      <ns0:c r="M1404" s="7" t="n">
        <ns0:v>-3050.606277049334</ns0:v>
      </ns0:c>
      <ns0:c r="N1404" s="7" t="n">
        <ns0:v>79412.83979528162</ns0:v>
      </ns0:c>
      <ns0:c r="O1404" s="7" t="n">
        <ns0:v>168695.3560763412</ns0:v>
      </ns0:c>
      <ns0:c r="P1404" s="7" t="n">
        <ns0:v>391901.6467789902</ns0:v>
      </ns0:c>
      <ns0:c r="Q1404" s="7" t="n">
        <ns0:v>1242726.809589586</ns0:v>
      </ns0:c>
      <ns0:c r="R1404" s="7" t="n">
        <ns0:v>4297614.879426675</ns0:v>
      </ns0:c>
    </ns0:row>
    <ns0:row r="1405" ht="24" customHeight="1">
      <ns0:c r="A1405" s="3" t="inlineStr">
        <ns0:is>
          <ns0:t>混在40/30/30</ns0:t>
        </ns0:is>
      </ns0:c>
      <ns0:c r="B1405" s="3" t="inlineStr">
        <ns0:is>
          <ns0:t>G0基本5000比較</ns0:t>
        </ns0:is>
      </ns0:c>
      <ns0:c r="C1405" s="3" t="inlineStr">
        <ns0:is>
          <ns0:t>D</ns0:t>
        </ns0:is>
      </ns0:c>
      <ns0:c r="D1405" s="4" t="n">
        <ns0:v>2</ns0:v>
      </ns0:c>
      <ns0:c r="E1405" s="4" t="n">
        <ns0:v>500</ns0:v>
      </ns0:c>
      <ns0:c r="F1405" s="6" t="n">
        <ns0:v>0.4</ns0:v>
      </ns0:c>
      <ns0:c r="G1405" s="4" t="n">
        <ns0:v>1</ns0:v>
      </ns0:c>
      <ns0:c r="H1405" s="7" t="n">
        <ns0:v>8740.53417563595</ns0:v>
      </ns0:c>
      <ns0:c r="I1405" s="7" t="n">
        <ns0:v>4415.990790255497</ns0:v>
      </ns0:c>
      <ns0:c r="J1405" s="7" t="n">
        <ns0:v>1766.396316102199</ns0:v>
      </ns0:c>
      <ns0:c r="K1405" s="7" t="n">
        <ns0:v>12</ns0:v>
      </ns0:c>
      <ns0:c r="L1405" s="7" t="n">
        <ns0:v>24</ns0:v>
      </ns0:c>
      <ns0:c r="M1405" s="7" t="n">
        <ns0:v>-6255.161603254235</ns0:v>
      </ns0:c>
      <ns0:c r="N1405" s="7" t="n">
        <ns0:v>69799.17381666691</ns0:v>
      </ns0:c>
      <ns0:c r="O1405" s="7" t="n">
        <ns0:v>152672.5794453167</ns0:v>
      </ns0:c>
      <ns0:c r="P1405" s="7" t="n">
        <ns0:v>359856.0935169412</ns0:v>
      </ns0:c>
      <ns0:c r="Q1405" s="7" t="n">
        <ns0:v>1146590.149803439</ns0:v>
      </ns0:c>
      <ns0:c r="R1405" s="7" t="n">
        <ns0:v>3977159.346806184</ns0:v>
      </ns0:c>
    </ns0:row>
    <ns0:row r="1406" ht="24" customHeight="1">
      <ns0:c r="A1406" s="3" t="inlineStr">
        <ns0:is>
          <ns0:t>混在40/30/30</ns0:t>
        </ns0:is>
      </ns0:c>
      <ns0:c r="B1406" s="3" t="inlineStr">
        <ns0:is>
          <ns0:t>G0基本5000比較</ns0:t>
        </ns0:is>
      </ns0:c>
      <ns0:c r="C1406" s="3" t="inlineStr">
        <ns0:is>
          <ns0:t>D</ns0:t>
        </ns0:is>
      </ns0:c>
      <ns0:c r="D1406" s="4" t="n">
        <ns0:v>2</ns0:v>
      </ns0:c>
      <ns0:c r="E1406" s="4" t="n">
        <ns0:v>500</ns0:v>
      </ns0:c>
      <ns0:c r="F1406" s="6" t="n">
        <ns0:v>0.4</ns0:v>
      </ns0:c>
      <ns0:c r="G1406" s="4" t="n">
        <ns0:v>2</ns0:v>
      </ns0:c>
      <ns0:c r="H1406" s="7" t="n">
        <ns0:v>8740.53417563595</ns0:v>
      </ns0:c>
      <ns0:c r="I1406" s="7" t="n">
        <ns0:v>4415.990790255497</ns0:v>
      </ns0:c>
      <ns0:c r="J1406" s="7" t="n">
        <ns0:v>1766.396316102199</ns0:v>
      </ns0:c>
      <ns0:c r="K1406" s="7" t="n">
        <ns0:v>894</ns0:v>
      </ns0:c>
      <ns0:c r="L1406" s="18" t="inlineStr">
        <ns0:is>
          <ns0:t>範囲内なし</ns0:t>
        </ns0:is>
      </ns0:c>
      <ns0:c r="M1406" s="7" t="n">
        <ns0:v>-45827.52695183312</ns0:v>
      </ns0:c>
      <ns0:c r="N1406" s="7" t="n">
        <ns0:v>-48917.92222906977</ns0:v>
      </ns0:c>
      <ns0:c r="O1406" s="7" t="n">
        <ns0:v>-45189.24729757773</ns0:v>
      </ns0:c>
      <ns0:c r="P1406" s="7" t="n">
        <ns0:v>-35867.55996884767</ns0:v>
      </ns0:c>
      <ns0:c r="Q1406" s="7" t="n">
        <ns0:v>-40580.81065392715</ns0:v>
      </ns0:c>
      <ns0:c r="R1406" s="7" t="n">
        <ns0:v>19922.81194829522</ns0:v>
      </ns0:c>
    </ns0:row>
    <ns0:row r="1407" ht="24" customHeight="1">
      <ns0:c r="A1407" s="3" t="inlineStr">
        <ns0:is>
          <ns0:t>混在40/30/30</ns0:t>
        </ns0:is>
      </ns0:c>
      <ns0:c r="B1407" s="3" t="inlineStr">
        <ns0:is>
          <ns0:t>G0基本5000比較</ns0:t>
        </ns0:is>
      </ns0:c>
      <ns0:c r="C1407" s="3" t="inlineStr">
        <ns0:is>
          <ns0:t>D</ns0:t>
        </ns0:is>
      </ns0:c>
      <ns0:c r="D1407" s="4" t="n">
        <ns0:v>2</ns0:v>
      </ns0:c>
      <ns0:c r="E1407" s="4" t="n">
        <ns0:v>500</ns0:v>
      </ns0:c>
      <ns0:c r="F1407" s="6" t="n">
        <ns0:v>0.4</ns0:v>
      </ns0:c>
      <ns0:c r="G1407" s="4" t="n">
        <ns0:v>3</ns0:v>
      </ns0:c>
      <ns0:c r="H1407" s="7" t="n">
        <ns0:v>8740.53417563595</ns0:v>
      </ns0:c>
      <ns0:c r="I1407" s="7" t="n">
        <ns0:v>4415.990790255497</ns0:v>
      </ns0:c>
      <ns0:c r="J1407" s="7" t="n">
        <ns0:v>1766.396316102199</ns0:v>
      </ns0:c>
      <ns0:c r="K1407" s="7" t="n">
        <ns0:v>13</ns0:v>
      </ns0:c>
      <ns0:c r="L1407" s="7" t="n">
        <ns0:v>44</ns0:v>
      </ns0:c>
      <ns0:c r="M1407" s="7" t="n">
        <ns0:v>-12834.31593740611</ns0:v>
      </ns0:c>
      <ns0:c r="N1407" s="7" t="n">
        <ns0:v>50061.71081421128</ns0:v>
      </ns0:c>
      <ns0:c r="O1407" s="7" t="n">
        <ns0:v>119776.8077745573</ns0:v>
      </ns0:c>
      <ns0:c r="P1407" s="7" t="n">
        <ns0:v>294064.5501754225</ns0:v>
      </ns0:c>
      <ns0:c r="Q1407" s="7" t="n">
        <ns0:v>949215.519778883</ns0:v>
      </ns0:c>
      <ns0:c r="R1407" s="7" t="n">
        <ns0:v>3319243.913390996</ns0:v>
      </ns0:c>
    </ns0:row>
    <ns0:row r="1408" ht="24" customHeight="1">
      <ns0:c r="A1408" s="3" t="inlineStr">
        <ns0:is>
          <ns0:t>混在40/30/30</ns0:t>
        </ns0:is>
      </ns0:c>
      <ns0:c r="B1408" s="3" t="inlineStr">
        <ns0:is>
          <ns0:t>G0基本5000比較</ns0:t>
        </ns0:is>
      </ns0:c>
      <ns0:c r="C1408" s="3" t="inlineStr">
        <ns0:is>
          <ns0:t>D</ns0:t>
        </ns0:is>
      </ns0:c>
      <ns0:c r="D1408" s="4" t="n">
        <ns0:v>2</ns0:v>
      </ns0:c>
      <ns0:c r="E1408" s="4" t="n">
        <ns0:v>500</ns0:v>
      </ns0:c>
      <ns0:c r="F1408" s="6" t="n">
        <ns0:v>0.5</ns0:v>
      </ns0:c>
      <ns0:c r="G1408" s="4" t="n">
        <ns0:v>0</ns0:v>
      </ns0:c>
      <ns0:c r="H1408" s="7" t="n">
        <ns0:v>8740.53417563595</ns0:v>
      </ns0:c>
      <ns0:c r="I1408" s="7" t="n">
        <ns0:v>4415.990790255497</ns0:v>
      </ns0:c>
      <ns0:c r="J1408" s="7" t="n">
        <ns0:v>2207.995395127748</ns0:v>
      </ns0:c>
      <ns0:c r="K1408" s="7" t="n">
        <ns0:v>12</ns0:v>
      </ns0:c>
      <ns0:c r="L1408" s="7" t="n">
        <ns0:v>21</ns0:v>
      </ns0:c>
      <ns0:c r="M1408" s="7" t="n">
        <ns0:v>-7466.597067304832</ns0:v>
      </ns0:c>
      <ns0:c r="N1408" s="7" t="n">
        <ns0:v>66164.86742451516</ns0:v>
      </ns0:c>
      <ns0:c r="O1408" s="7" t="n">
        <ns0:v>146615.4021250638</ns0:v>
      </ns0:c>
      <ns0:c r="P1408" s="7" t="n">
        <ns0:v>347741.7388764353</ns0:v>
      </ns0:c>
      <ns0:c r="Q1408" s="7" t="n">
        <ns0:v>1110247.085881922</ns0:v>
      </ns0:c>
      <ns0:c r="R1408" s="7" t="n">
        <ns0:v>3856015.800401124</ns0:v>
      </ns0:c>
    </ns0:row>
    <ns0:row r="1409" ht="24" customHeight="1">
      <ns0:c r="A1409" s="3" t="inlineStr">
        <ns0:is>
          <ns0:t>混在40/30/30</ns0:t>
        </ns0:is>
      </ns0:c>
      <ns0:c r="B1409" s="3" t="inlineStr">
        <ns0:is>
          <ns0:t>G0基本5000比較</ns0:t>
        </ns0:is>
      </ns0:c>
      <ns0:c r="C1409" s="3" t="inlineStr">
        <ns0:is>
          <ns0:t>D</ns0:t>
        </ns0:is>
      </ns0:c>
      <ns0:c r="D1409" s="4" t="n">
        <ns0:v>2</ns0:v>
      </ns0:c>
      <ns0:c r="E1409" s="4" t="n">
        <ns0:v>500</ns0:v>
      </ns0:c>
      <ns0:c r="F1409" s="6" t="n">
        <ns0:v>0.5</ns0:v>
      </ns0:c>
      <ns0:c r="G1409" s="4" t="n">
        <ns0:v>1</ns0:v>
      </ns0:c>
      <ns0:c r="H1409" s="7" t="n">
        <ns0:v>8740.53417563595</ns0:v>
      </ns0:c>
      <ns0:c r="I1409" s="7" t="n">
        <ns0:v>4415.990790255497</ns0:v>
      </ns0:c>
      <ns0:c r="J1409" s="7" t="n">
        <ns0:v>2207.995395127748</ns0:v>
      </ns0:c>
      <ns0:c r="K1409" s="7" t="n">
        <ns0:v>13</ns0:v>
      </ns0:c>
      <ns0:c r="L1409" s="7" t="n">
        <ns0:v>26</ns0:v>
      </ns0:c>
      <ns0:c r="M1409" s="7" t="n">
        <ns0:v>-10671.15239350974</ns0:v>
      </ns0:c>
      <ns0:c r="N1409" s="7" t="n">
        <ns0:v>56551.20144590044</ns0:v>
      </ns0:c>
      <ns0:c r="O1409" s="7" t="n">
        <ns0:v>130592.6254940392</ns0:v>
      </ns0:c>
      <ns0:c r="P1409" s="7" t="n">
        <ns0:v>315696.1856143862</ns0:v>
      </ns0:c>
      <ns0:c r="Q1409" s="7" t="n">
        <ns0:v>1014110.426095775</ns0:v>
      </ns0:c>
      <ns0:c r="R1409" s="7" t="n">
        <ns0:v>3535560.267780634</ns0:v>
      </ns0:c>
    </ns0:row>
    <ns0:row r="1410" ht="24" customHeight="1">
      <ns0:c r="A1410" s="3" t="inlineStr">
        <ns0:is>
          <ns0:t>混在40/30/30</ns0:t>
        </ns0:is>
      </ns0:c>
      <ns0:c r="B1410" s="3" t="inlineStr">
        <ns0:is>
          <ns0:t>G0基本5000比較</ns0:t>
        </ns0:is>
      </ns0:c>
      <ns0:c r="C1410" s="3" t="inlineStr">
        <ns0:is>
          <ns0:t>D</ns0:t>
        </ns0:is>
      </ns0:c>
      <ns0:c r="D1410" s="4" t="n">
        <ns0:v>2</ns0:v>
      </ns0:c>
      <ns0:c r="E1410" s="4" t="n">
        <ns0:v>500</ns0:v>
      </ns0:c>
      <ns0:c r="F1410" s="6" t="n">
        <ns0:v>0.5</ns0:v>
      </ns0:c>
      <ns0:c r="G1410" s="4" t="n">
        <ns0:v>2</ns0:v>
      </ns0:c>
      <ns0:c r="H1410" s="7" t="n">
        <ns0:v>8740.53417563595</ns0:v>
      </ns0:c>
      <ns0:c r="I1410" s="7" t="n">
        <ns0:v>4415.990790255497</ns0:v>
      </ns0:c>
      <ns0:c r="J1410" s="7" t="n">
        <ns0:v>2207.995395127748</ns0:v>
      </ns0:c>
      <ns0:c r="K1410" s="18" t="inlineStr">
        <ns0:is>
          <ns0:t>範囲内なし</ns0:t>
        </ns0:is>
      </ns0:c>
      <ns0:c r="L1410" s="18" t="inlineStr">
        <ns0:is>
          <ns0:t>範囲内なし</ns0:t>
        </ns0:is>
      </ns0:c>
      <ns0:c r="M1410" s="7" t="n">
        <ns0:v>-50243.51774208862</ns0:v>
      </ns0:c>
      <ns0:c r="N1410" s="7" t="n">
        <ns0:v>-62165.8945998362</ns0:v>
      </ns0:c>
      <ns0:c r="O1410" s="7" t="n">
        <ns0:v>-67269.20124885518</ns0:v>
      </ns0:c>
      <ns0:c r="P1410" s="7" t="n">
        <ns0:v>-80027.46787140256</ns0:v>
      </ns0:c>
      <ns0:c r="Q1410" s="7" t="n">
        <ns0:v>-173060.5343615919</ns0:v>
      </ns0:c>
      <ns0:c r="R1410" s="7" t="n">
        <ns0:v>-421676.2670772551</ns0:v>
      </ns0:c>
    </ns0:row>
    <ns0:row r="1411" ht="24" customHeight="1">
      <ns0:c r="A1411" s="3" t="inlineStr">
        <ns0:is>
          <ns0:t>混在40/30/30</ns0:t>
        </ns0:is>
      </ns0:c>
      <ns0:c r="B1411" s="3" t="inlineStr">
        <ns0:is>
          <ns0:t>G0基本5000比較</ns0:t>
        </ns0:is>
      </ns0:c>
      <ns0:c r="C1411" s="3" t="inlineStr">
        <ns0:is>
          <ns0:t>D</ns0:t>
        </ns0:is>
      </ns0:c>
      <ns0:c r="D1411" s="4" t="n">
        <ns0:v>2</ns0:v>
      </ns0:c>
      <ns0:c r="E1411" s="4" t="n">
        <ns0:v>500</ns0:v>
      </ns0:c>
      <ns0:c r="F1411" s="6" t="n">
        <ns0:v>0.5</ns0:v>
      </ns0:c>
      <ns0:c r="G1411" s="4" t="n">
        <ns0:v>3</ns0:v>
      </ns0:c>
      <ns0:c r="H1411" s="7" t="n">
        <ns0:v>8740.53417563595</ns0:v>
      </ns0:c>
      <ns0:c r="I1411" s="7" t="n">
        <ns0:v>4415.990790255497</ns0:v>
      </ns0:c>
      <ns0:c r="J1411" s="7" t="n">
        <ns0:v>2207.995395127748</ns0:v>
      </ns0:c>
      <ns0:c r="K1411" s="7" t="n">
        <ns0:v>18</ns0:v>
      </ns0:c>
      <ns0:c r="L1411" s="7" t="n">
        <ns0:v>51</ns0:v>
      </ns0:c>
      <ns0:c r="M1411" s="7" t="n">
        <ns0:v>-17250.30672766161</ns0:v>
      </ns0:c>
      <ns0:c r="N1411" s="7" t="n">
        <ns0:v>36813.73844344482</ns0:v>
      </ns0:c>
      <ns0:c r="O1411" s="7" t="n">
        <ns0:v>97696.85382327985</ns0:v>
      </ns0:c>
      <ns0:c r="P1411" s="7" t="n">
        <ns0:v>249904.6422728675</ns0:v>
      </ns0:c>
      <ns0:c r="Q1411" s="7" t="n">
        <ns0:v>816735.7960712182</ns0:v>
      </ns0:c>
      <ns0:c r="R1411" s="7" t="n">
        <ns0:v>2877644.834365446</ns0:v>
      </ns0:c>
    </ns0:row>
    <ns0:row r="1412" ht="24" customHeight="1">
      <ns0:c r="A1412" s="3" t="inlineStr">
        <ns0:is>
          <ns0:t>混在40/30/30</ns0:t>
        </ns0:is>
      </ns0:c>
      <ns0:c r="B1412" s="3" t="inlineStr">
        <ns0:is>
          <ns0:t>G0基本5000比較</ns0:t>
        </ns0:is>
      </ns0:c>
      <ns0:c r="C1412" s="3" t="inlineStr">
        <ns0:is>
          <ns0:t>D</ns0:t>
        </ns0:is>
      </ns0:c>
      <ns0:c r="D1412" s="4" t="n">
        <ns0:v>2</ns0:v>
      </ns0:c>
      <ns0:c r="E1412" s="4" t="n">
        <ns0:v>1000</ns0:v>
      </ns0:c>
      <ns0:c r="F1412" s="6" t="n">
        <ns0:v>0.3</ns0:v>
      </ns0:c>
      <ns0:c r="G1412" s="4" t="n">
        <ns0:v>0</ns0:v>
      </ns0:c>
      <ns0:c r="H1412" s="7" t="n">
        <ns0:v>8590.53417563595</ns0:v>
      </ns0:c>
      <ns0:c r="I1412" s="7" t="n">
        <ns0:v>4265.990790255496</ns0:v>
      </ns0:c>
      <ns0:c r="J1412" s="7" t="n">
        <ns0:v>1279.797237076649</ns0:v>
      </ns0:c>
      <ns0:c r="K1412" s="7" t="n">
        <ns0:v>10</ns0:v>
      </ns0:c>
      <ns0:c r="L1412" s="7" t="n">
        <ns0:v>19</ns0:v>
      </ns0:c>
      <ns0:c r="M1412" s="7" t="n">
        <ns0:v>369.3845132061615</ns0:v>
      </ns0:c>
      <ns0:c r="N1412" s="7" t="n">
        <ns0:v>89672.8121660481</ns0:v>
      </ns0:c>
      <ns0:c r="O1412" s="7" t="n">
        <ns0:v>185795.3100276187</ns0:v>
      </ns0:c>
      <ns0:c r="P1412" s="7" t="n">
        <ns0:v>426101.5546815452</ns0:v>
      </ns0:c>
      <ns0:c r="Q1412" s="7" t="n">
        <ns0:v>1345326.533297251</ns0:v>
      </ns0:c>
      <ns0:c r="R1412" s="7" t="n">
        <ns0:v>4639613.958452223</ns0:v>
      </ns0:c>
    </ns0:row>
    <ns0:row r="1413" ht="24" customHeight="1">
      <ns0:c r="A1413" s="3" t="inlineStr">
        <ns0:is>
          <ns0:t>混在40/30/30</ns0:t>
        </ns0:is>
      </ns0:c>
      <ns0:c r="B1413" s="3" t="inlineStr">
        <ns0:is>
          <ns0:t>G0基本5000比較</ns0:t>
        </ns0:is>
      </ns0:c>
      <ns0:c r="C1413" s="3" t="inlineStr">
        <ns0:is>
          <ns0:t>D</ns0:t>
        </ns0:is>
      </ns0:c>
      <ns0:c r="D1413" s="4" t="n">
        <ns0:v>2</ns0:v>
      </ns0:c>
      <ns0:c r="E1413" s="4" t="n">
        <ns0:v>1000</ns0:v>
      </ns0:c>
      <ns0:c r="F1413" s="6" t="n">
        <ns0:v>0.3</ns0:v>
      </ns0:c>
      <ns0:c r="G1413" s="4" t="n">
        <ns0:v>1</ns0:v>
      </ns0:c>
      <ns0:c r="H1413" s="7" t="n">
        <ns0:v>8590.53417563595</ns0:v>
      </ns0:c>
      <ns0:c r="I1413" s="7" t="n">
        <ns0:v>4265.990790255496</ns0:v>
      </ns0:c>
      <ns0:c r="J1413" s="7" t="n">
        <ns0:v>1279.797237076649</ns0:v>
      </ns0:c>
      <ns0:c r="K1413" s="7" t="n">
        <ns0:v>11</ns0:v>
      </ns0:c>
      <ns0:c r="L1413" s="7" t="n">
        <ns0:v>23</ns0:v>
      </ns0:c>
      <ns0:c r="M1413" s="7" t="n">
        <ns0:v>-2835.17081299874</ns0:v>
      </ns0:c>
      <ns0:c r="N1413" s="7" t="n">
        <ns0:v>80059.14618743339</ns0:v>
      </ns0:c>
      <ns0:c r="O1413" s="7" t="n">
        <ns0:v>169772.5333965942</ns0:v>
      </ns0:c>
      <ns0:c r="P1413" s="7" t="n">
        <ns0:v>394056.0014194963</ns0:v>
      </ns0:c>
      <ns0:c r="Q1413" s="7" t="n">
        <ns0:v>1249189.873511104</ns0:v>
      </ns0:c>
      <ns0:c r="R1413" s="7" t="n">
        <ns0:v>4319158.425831732</ns0:v>
      </ns0:c>
    </ns0:row>
    <ns0:row r="1414" ht="24" customHeight="1">
      <ns0:c r="A1414" s="3" t="inlineStr">
        <ns0:is>
          <ns0:t>混在40/30/30</ns0:t>
        </ns0:is>
      </ns0:c>
      <ns0:c r="B1414" s="3" t="inlineStr">
        <ns0:is>
          <ns0:t>G0基本5000比較</ns0:t>
        </ns0:is>
      </ns0:c>
      <ns0:c r="C1414" s="3" t="inlineStr">
        <ns0:is>
          <ns0:t>D</ns0:t>
        </ns0:is>
      </ns0:c>
      <ns0:c r="D1414" s="4" t="n">
        <ns0:v>2</ns0:v>
      </ns0:c>
      <ns0:c r="E1414" s="4" t="n">
        <ns0:v>1000</ns0:v>
      </ns0:c>
      <ns0:c r="F1414" s="6" t="n">
        <ns0:v>0.3</ns0:v>
      </ns0:c>
      <ns0:c r="G1414" s="4" t="n">
        <ns0:v>2</ns0:v>
      </ns0:c>
      <ns0:c r="H1414" s="7" t="n">
        <ns0:v>8590.53417563595</ns0:v>
      </ns0:c>
      <ns0:c r="I1414" s="7" t="n">
        <ns0:v>4265.990790255496</ns0:v>
      </ns0:c>
      <ns0:c r="J1414" s="7" t="n">
        <ns0:v>1279.797237076649</ns0:v>
      </ns0:c>
      <ns0:c r="K1414" s="7" t="n">
        <ns0:v>183</ns0:v>
      </ns0:c>
      <ns0:c r="L1414" s="18" t="inlineStr">
        <ns0:is>
          <ns0:t>範囲内なし</ns0:t>
        </ns0:is>
      </ns0:c>
      <ns0:c r="M1414" s="7" t="n">
        <ns0:v>-42407.53616157763</ns0:v>
      </ns0:c>
      <ns0:c r="N1414" s="7" t="n">
        <ns0:v>-38657.94985830327</ns0:v>
      </ns0:c>
      <ns0:c r="O1414" s="7" t="n">
        <ns0:v>-28089.2933463002</ns0:v>
      </ns0:c>
      <ns0:c r="P1414" s="7" t="n">
        <ns0:v>-1667.65206629259</ns0:v>
      </ns0:c>
      <ns0:c r="Q1414" s="7" t="n">
        <ns0:v>62018.91305373784</ns0:v>
      </ns0:c>
      <ns0:c r="R1414" s="7" t="n">
        <ns0:v>361921.8909738436</ns0:v>
      </ns0:c>
    </ns0:row>
    <ns0:row r="1415" ht="24" customHeight="1">
      <ns0:c r="A1415" s="3" t="inlineStr">
        <ns0:is>
          <ns0:t>混在40/30/30</ns0:t>
        </ns0:is>
      </ns0:c>
      <ns0:c r="B1415" s="3" t="inlineStr">
        <ns0:is>
          <ns0:t>G0基本5000比較</ns0:t>
        </ns0:is>
      </ns0:c>
      <ns0:c r="C1415" s="3" t="inlineStr">
        <ns0:is>
          <ns0:t>D</ns0:t>
        </ns0:is>
      </ns0:c>
      <ns0:c r="D1415" s="4" t="n">
        <ns0:v>2</ns0:v>
      </ns0:c>
      <ns0:c r="E1415" s="4" t="n">
        <ns0:v>1000</ns0:v>
      </ns0:c>
      <ns0:c r="F1415" s="6" t="n">
        <ns0:v>0.3</ns0:v>
      </ns0:c>
      <ns0:c r="G1415" s="4" t="n">
        <ns0:v>3</ns0:v>
      </ns0:c>
      <ns0:c r="H1415" s="7" t="n">
        <ns0:v>8590.53417563595</ns0:v>
      </ns0:c>
      <ns0:c r="I1415" s="7" t="n">
        <ns0:v>4265.990790255496</ns0:v>
      </ns0:c>
      <ns0:c r="J1415" s="7" t="n">
        <ns0:v>1279.797237076649</ns0:v>
      </ns0:c>
      <ns0:c r="K1415" s="7" t="n">
        <ns0:v>12</ns0:v>
      </ns0:c>
      <ns0:c r="L1415" s="7" t="n">
        <ns0:v>40</ns0:v>
      </ns0:c>
      <ns0:c r="M1415" s="7" t="n">
        <ns0:v>-9414.325147150616</ns0:v>
      </ns0:c>
      <ns0:c r="N1415" s="7" t="n">
        <ns0:v>60321.68318497777</ns0:v>
      </ns0:c>
      <ns0:c r="O1415" s="7" t="n">
        <ns0:v>136876.7617258348</ns0:v>
      </ns0:c>
      <ns0:c r="P1415" s="7" t="n">
        <ns0:v>328264.4580779775</ns0:v>
      </ns0:c>
      <ns0:c r="Q1415" s="7" t="n">
        <ns0:v>1051815.243486548</ns0:v>
      </ns0:c>
      <ns0:c r="R1415" s="7" t="n">
        <ns0:v>3661242.992416544</ns0:v>
      </ns0:c>
    </ns0:row>
    <ns0:row r="1416" ht="24" customHeight="1">
      <ns0:c r="A1416" s="3" t="inlineStr">
        <ns0:is>
          <ns0:t>混在40/30/30</ns0:t>
        </ns0:is>
      </ns0:c>
      <ns0:c r="B1416" s="3" t="inlineStr">
        <ns0:is>
          <ns0:t>G0基本5000比較</ns0:t>
        </ns0:is>
      </ns0:c>
      <ns0:c r="C1416" s="3" t="inlineStr">
        <ns0:is>
          <ns0:t>D</ns0:t>
        </ns0:is>
      </ns0:c>
      <ns0:c r="D1416" s="4" t="n">
        <ns0:v>2</ns0:v>
      </ns0:c>
      <ns0:c r="E1416" s="4" t="n">
        <ns0:v>1000</ns0:v>
      </ns0:c>
      <ns0:c r="F1416" s="6" t="n">
        <ns0:v>0.4</ns0:v>
      </ns0:c>
      <ns0:c r="G1416" s="4" t="n">
        <ns0:v>0</ns0:v>
      </ns0:c>
      <ns0:c r="H1416" s="7" t="n">
        <ns0:v>8590.53417563595</ns0:v>
      </ns0:c>
      <ns0:c r="I1416" s="7" t="n">
        <ns0:v>4265.990790255496</ns0:v>
      </ns0:c>
      <ns0:c r="J1416" s="7" t="n">
        <ns0:v>1706.396316102199</ns0:v>
      </ns0:c>
      <ns0:c r="K1416" s="7" t="n">
        <ns0:v>11</ns0:v>
      </ns0:c>
      <ns0:c r="L1416" s="7" t="n">
        <ns0:v>20</ns0:v>
      </ns0:c>
      <ns0:c r="M1416" s="7" t="n">
        <ns0:v>-3896.606277049341</ns0:v>
      </ns0:c>
      <ns0:c r="N1416" s="7" t="n">
        <ns0:v>76874.8397952816</ns0:v>
      </ns0:c>
      <ns0:c r="O1416" s="7" t="n">
        <ns0:v>164465.3560763412</ns0:v>
      </ns0:c>
      <ns0:c r="P1416" s="7" t="n">
        <ns0:v>383441.6467789903</ns0:v>
      </ns0:c>
      <ns0:c r="Q1416" s="7" t="n">
        <ns0:v>1217346.809589586</ns0:v>
      </ns0:c>
      <ns0:c r="R1416" s="7" t="n">
        <ns0:v>4213014.879426673</ns0:v>
      </ns0:c>
    </ns0:row>
    <ns0:row r="1417" ht="24" customHeight="1">
      <ns0:c r="A1417" s="3" t="inlineStr">
        <ns0:is>
          <ns0:t>混在40/30/30</ns0:t>
        </ns0:is>
      </ns0:c>
      <ns0:c r="B1417" s="3" t="inlineStr">
        <ns0:is>
          <ns0:t>G0基本5000比較</ns0:t>
        </ns0:is>
      </ns0:c>
      <ns0:c r="C1417" s="3" t="inlineStr">
        <ns0:is>
          <ns0:t>D</ns0:t>
        </ns0:is>
      </ns0:c>
      <ns0:c r="D1417" s="4" t="n">
        <ns0:v>2</ns0:v>
      </ns0:c>
      <ns0:c r="E1417" s="4" t="n">
        <ns0:v>1000</ns0:v>
      </ns0:c>
      <ns0:c r="F1417" s="6" t="n">
        <ns0:v>0.4</ns0:v>
      </ns0:c>
      <ns0:c r="G1417" s="4" t="n">
        <ns0:v>1</ns0:v>
      </ns0:c>
      <ns0:c r="H1417" s="7" t="n">
        <ns0:v>8590.53417563595</ns0:v>
      </ns0:c>
      <ns0:c r="I1417" s="7" t="n">
        <ns0:v>4265.990790255496</ns0:v>
      </ns0:c>
      <ns0:c r="J1417" s="7" t="n">
        <ns0:v>1706.396316102199</ns0:v>
      </ns0:c>
      <ns0:c r="K1417" s="7" t="n">
        <ns0:v>12</ns0:v>
      </ns0:c>
      <ns0:c r="L1417" s="7" t="n">
        <ns0:v>25</ns0:v>
      </ns0:c>
      <ns0:c r="M1417" s="7" t="n">
        <ns0:v>-7101.161603254242</ns0:v>
      </ns0:c>
      <ns0:c r="N1417" s="7" t="n">
        <ns0:v>67261.17381666688</ns0:v>
      </ns0:c>
      <ns0:c r="O1417" s="7" t="n">
        <ns0:v>148442.5794453167</ns0:v>
      </ns0:c>
      <ns0:c r="P1417" s="7" t="n">
        <ns0:v>351396.0935169412</ns0:v>
      </ns0:c>
      <ns0:c r="Q1417" s="7" t="n">
        <ns0:v>1121210.149803439</ns0:v>
      </ns0:c>
      <ns0:c r="R1417" s="7" t="n">
        <ns0:v>3892559.346806183</ns0:v>
      </ns0:c>
    </ns0:row>
    <ns0:row r="1418" ht="24" customHeight="1">
      <ns0:c r="A1418" s="3" t="inlineStr">
        <ns0:is>
          <ns0:t>混在40/30/30</ns0:t>
        </ns0:is>
      </ns0:c>
      <ns0:c r="B1418" s="3" t="inlineStr">
        <ns0:is>
          <ns0:t>G0基本5000比較</ns0:t>
        </ns0:is>
      </ns0:c>
      <ns0:c r="C1418" s="3" t="inlineStr">
        <ns0:is>
          <ns0:t>D</ns0:t>
        </ns0:is>
      </ns0:c>
      <ns0:c r="D1418" s="4" t="n">
        <ns0:v>2</ns0:v>
      </ns0:c>
      <ns0:c r="E1418" s="4" t="n">
        <ns0:v>1000</ns0:v>
      </ns0:c>
      <ns0:c r="F1418" s="6" t="n">
        <ns0:v>0.4</ns0:v>
      </ns0:c>
      <ns0:c r="G1418" s="4" t="n">
        <ns0:v>2</ns0:v>
      </ns0:c>
      <ns0:c r="H1418" s="7" t="n">
        <ns0:v>8590.53417563595</ns0:v>
      </ns0:c>
      <ns0:c r="I1418" s="7" t="n">
        <ns0:v>4265.990790255496</ns0:v>
      </ns0:c>
      <ns0:c r="J1418" s="7" t="n">
        <ns0:v>1706.396316102199</ns0:v>
      </ns0:c>
      <ns0:c r="K1418" s="18" t="inlineStr">
        <ns0:is>
          <ns0:t>範囲内なし</ns0:t>
        </ns0:is>
      </ns0:c>
      <ns0:c r="L1418" s="18" t="inlineStr">
        <ns0:is>
          <ns0:t>範囲内なし</ns0:t>
        </ns0:is>
      </ns0:c>
      <ns0:c r="M1418" s="7" t="n">
        <ns0:v>-46673.52695183313</ns0:v>
      </ns0:c>
      <ns0:c r="N1418" s="7" t="n">
        <ns0:v>-51455.92222906977</ns0:v>
      </ns0:c>
      <ns0:c r="O1418" s="7" t="n">
        <ns0:v>-49419.24729757771</ns0:v>
      </ns0:c>
      <ns0:c r="P1418" s="7" t="n">
        <ns0:v>-44327.55996884761</ns0:v>
      </ns0:c>
      <ns0:c r="Q1418" s="7" t="n">
        <ns0:v>-65960.81065392727</ns0:v>
      </ns0:c>
      <ns0:c r="R1418" s="7" t="n">
        <ns0:v>-64677.18805170571</ns0:v>
      </ns0:c>
    </ns0:row>
    <ns0:row r="1419" ht="24" customHeight="1">
      <ns0:c r="A1419" s="3" t="inlineStr">
        <ns0:is>
          <ns0:t>混在40/30/30</ns0:t>
        </ns0:is>
      </ns0:c>
      <ns0:c r="B1419" s="3" t="inlineStr">
        <ns0:is>
          <ns0:t>G0基本5000比較</ns0:t>
        </ns0:is>
      </ns0:c>
      <ns0:c r="C1419" s="3" t="inlineStr">
        <ns0:is>
          <ns0:t>D</ns0:t>
        </ns0:is>
      </ns0:c>
      <ns0:c r="D1419" s="4" t="n">
        <ns0:v>2</ns0:v>
      </ns0:c>
      <ns0:c r="E1419" s="4" t="n">
        <ns0:v>1000</ns0:v>
      </ns0:c>
      <ns0:c r="F1419" s="6" t="n">
        <ns0:v>0.4</ns0:v>
      </ns0:c>
      <ns0:c r="G1419" s="4" t="n">
        <ns0:v>3</ns0:v>
      </ns0:c>
      <ns0:c r="H1419" s="7" t="n">
        <ns0:v>8590.53417563595</ns0:v>
      </ns0:c>
      <ns0:c r="I1419" s="7" t="n">
        <ns0:v>4265.990790255496</ns0:v>
      </ns0:c>
      <ns0:c r="J1419" s="7" t="n">
        <ns0:v>1706.396316102199</ns0:v>
      </ns0:c>
      <ns0:c r="K1419" s="7" t="n">
        <ns0:v>13</ns0:v>
      </ns0:c>
      <ns0:c r="L1419" s="7" t="n">
        <ns0:v>46</ns0:v>
      </ns0:c>
      <ns0:c r="M1419" s="7" t="n">
        <ns0:v>-13680.31593740612</ns0:v>
      </ns0:c>
      <ns0:c r="N1419" s="7" t="n">
        <ns0:v>47523.71081421126</ns0:v>
      </ns0:c>
      <ns0:c r="O1419" s="7" t="n">
        <ns0:v>115546.8077745574</ns0:v>
      </ns0:c>
      <ns0:c r="P1419" s="7" t="n">
        <ns0:v>285604.5501754225</ns0:v>
      </ns0:c>
      <ns0:c r="Q1419" s="7" t="n">
        <ns0:v>923835.5197788829</ns0:v>
      </ns0:c>
      <ns0:c r="R1419" s="7" t="n">
        <ns0:v>3234643.913390995</ns0:v>
      </ns0:c>
    </ns0:row>
    <ns0:row r="1420" ht="24" customHeight="1">
      <ns0:c r="A1420" s="3" t="inlineStr">
        <ns0:is>
          <ns0:t>混在40/30/30</ns0:t>
        </ns0:is>
      </ns0:c>
      <ns0:c r="B1420" s="3" t="inlineStr">
        <ns0:is>
          <ns0:t>G0基本5000比較</ns0:t>
        </ns0:is>
      </ns0:c>
      <ns0:c r="C1420" s="3" t="inlineStr">
        <ns0:is>
          <ns0:t>D</ns0:t>
        </ns0:is>
      </ns0:c>
      <ns0:c r="D1420" s="4" t="n">
        <ns0:v>2</ns0:v>
      </ns0:c>
      <ns0:c r="E1420" s="4" t="n">
        <ns0:v>1000</ns0:v>
      </ns0:c>
      <ns0:c r="F1420" s="6" t="n">
        <ns0:v>0.5</ns0:v>
      </ns0:c>
      <ns0:c r="G1420" s="4" t="n">
        <ns0:v>0</ns0:v>
      </ns0:c>
      <ns0:c r="H1420" s="7" t="n">
        <ns0:v>8590.53417563595</ns0:v>
      </ns0:c>
      <ns0:c r="I1420" s="7" t="n">
        <ns0:v>4265.990790255496</ns0:v>
      </ns0:c>
      <ns0:c r="J1420" s="7" t="n">
        <ns0:v>2132.995395127748</ns0:v>
      </ns0:c>
      <ns0:c r="K1420" s="7" t="n">
        <ns0:v>12</ns0:v>
      </ns0:c>
      <ns0:c r="L1420" s="7" t="n">
        <ns0:v>21</ns0:v>
      </ns0:c>
      <ns0:c r="M1420" s="7" t="n">
        <ns0:v>-8162.597067304829</ns0:v>
      </ns0:c>
      <ns0:c r="N1420" s="7" t="n">
        <ns0:v>64076.86742451511</ns0:v>
      </ns0:c>
      <ns0:c r="O1420" s="7" t="n">
        <ns0:v>143135.4021250638</ns0:v>
      </ns0:c>
      <ns0:c r="P1420" s="7" t="n">
        <ns0:v>340781.7388764353</ns0:v>
      </ns0:c>
      <ns0:c r="Q1420" s="7" t="n">
        <ns0:v>1089367.085881921</ns0:v>
      </ns0:c>
      <ns0:c r="R1420" s="7" t="n">
        <ns0:v>3786415.800401124</ns0:v>
      </ns0:c>
    </ns0:row>
    <ns0:row r="1421" ht="24" customHeight="1">
      <ns0:c r="A1421" s="3" t="inlineStr">
        <ns0:is>
          <ns0:t>混在40/30/30</ns0:t>
        </ns0:is>
      </ns0:c>
      <ns0:c r="B1421" s="3" t="inlineStr">
        <ns0:is>
          <ns0:t>G0基本5000比較</ns0:t>
        </ns0:is>
      </ns0:c>
      <ns0:c r="C1421" s="3" t="inlineStr">
        <ns0:is>
          <ns0:t>D</ns0:t>
        </ns0:is>
      </ns0:c>
      <ns0:c r="D1421" s="4" t="n">
        <ns0:v>2</ns0:v>
      </ns0:c>
      <ns0:c r="E1421" s="4" t="n">
        <ns0:v>1000</ns0:v>
      </ns0:c>
      <ns0:c r="F1421" s="6" t="n">
        <ns0:v>0.5</ns0:v>
      </ns0:c>
      <ns0:c r="G1421" s="4" t="n">
        <ns0:v>1</ns0:v>
      </ns0:c>
      <ns0:c r="H1421" s="7" t="n">
        <ns0:v>8590.53417563595</ns0:v>
      </ns0:c>
      <ns0:c r="I1421" s="7" t="n">
        <ns0:v>4265.990790255496</ns0:v>
      </ns0:c>
      <ns0:c r="J1421" s="7" t="n">
        <ns0:v>2132.995395127748</ns0:v>
      </ns0:c>
      <ns0:c r="K1421" s="7" t="n">
        <ns0:v>13</ns0:v>
      </ns0:c>
      <ns0:c r="L1421" s="7" t="n">
        <ns0:v>27</ns0:v>
      </ns0:c>
      <ns0:c r="M1421" s="7" t="n">
        <ns0:v>-11367.15239350973</ns0:v>
      </ns0:c>
      <ns0:c r="N1421" s="7" t="n">
        <ns0:v>54463.20144590039</ns0:v>
      </ns0:c>
      <ns0:c r="O1421" s="7" t="n">
        <ns0:v>127112.6254940392</ns0:v>
      </ns0:c>
      <ns0:c r="P1421" s="7" t="n">
        <ns0:v>308736.1856143862</ns0:v>
      </ns0:c>
      <ns0:c r="Q1421" s="7" t="n">
        <ns0:v>993230.4260957744</ns0:v>
      </ns0:c>
      <ns0:c r="R1421" s="7" t="n">
        <ns0:v>3465960.267780634</ns0:v>
      </ns0:c>
    </ns0:row>
    <ns0:row r="1422" ht="24" customHeight="1">
      <ns0:c r="A1422" s="3" t="inlineStr">
        <ns0:is>
          <ns0:t>混在40/30/30</ns0:t>
        </ns0:is>
      </ns0:c>
      <ns0:c r="B1422" s="3" t="inlineStr">
        <ns0:is>
          <ns0:t>G0基本5000比較</ns0:t>
        </ns0:is>
      </ns0:c>
      <ns0:c r="C1422" s="3" t="inlineStr">
        <ns0:is>
          <ns0:t>D</ns0:t>
        </ns0:is>
      </ns0:c>
      <ns0:c r="D1422" s="4" t="n">
        <ns0:v>2</ns0:v>
      </ns0:c>
      <ns0:c r="E1422" s="4" t="n">
        <ns0:v>1000</ns0:v>
      </ns0:c>
      <ns0:c r="F1422" s="6" t="n">
        <ns0:v>0.5</ns0:v>
      </ns0:c>
      <ns0:c r="G1422" s="4" t="n">
        <ns0:v>2</ns0:v>
      </ns0:c>
      <ns0:c r="H1422" s="7" t="n">
        <ns0:v>8590.53417563595</ns0:v>
      </ns0:c>
      <ns0:c r="I1422" s="7" t="n">
        <ns0:v>4265.990790255496</ns0:v>
      </ns0:c>
      <ns0:c r="J1422" s="7" t="n">
        <ns0:v>2132.995395127748</ns0:v>
      </ns0:c>
      <ns0:c r="K1422" s="18" t="inlineStr">
        <ns0:is>
          <ns0:t>範囲内なし</ns0:t>
        </ns0:is>
      </ns0:c>
      <ns0:c r="L1422" s="18" t="inlineStr">
        <ns0:is>
          <ns0:t>範囲内なし</ns0:t>
        </ns0:is>
      </ns0:c>
      <ns0:c r="M1422" s="7" t="n">
        <ns0:v>-50939.51774208862</ns0:v>
      </ns0:c>
      <ns0:c r="N1422" s="7" t="n">
        <ns0:v>-64253.89459983628</ns0:v>
      </ns0:c>
      <ns0:c r="O1422" s="7" t="n">
        <ns0:v>-70749.20124885521</ns0:v>
      </ns0:c>
      <ns0:c r="P1422" s="7" t="n">
        <ns0:v>-86987.46787140262</ns0:v>
      </ns0:c>
      <ns0:c r="Q1422" s="7" t="n">
        <ns0:v>-193940.5343615921</ns0:v>
      </ns0:c>
      <ns0:c r="R1422" s="7" t="n">
        <ns0:v>-491276.2670772546</ns0:v>
      </ns0:c>
    </ns0:row>
    <ns0:row r="1423" ht="24" customHeight="1">
      <ns0:c r="A1423" s="3" t="inlineStr">
        <ns0:is>
          <ns0:t>混在40/30/30</ns0:t>
        </ns0:is>
      </ns0:c>
      <ns0:c r="B1423" s="3" t="inlineStr">
        <ns0:is>
          <ns0:t>G0基本5000比較</ns0:t>
        </ns0:is>
      </ns0:c>
      <ns0:c r="C1423" s="3" t="inlineStr">
        <ns0:is>
          <ns0:t>D</ns0:t>
        </ns0:is>
      </ns0:c>
      <ns0:c r="D1423" s="4" t="n">
        <ns0:v>2</ns0:v>
      </ns0:c>
      <ns0:c r="E1423" s="4" t="n">
        <ns0:v>1000</ns0:v>
      </ns0:c>
      <ns0:c r="F1423" s="6" t="n">
        <ns0:v>0.5</ns0:v>
      </ns0:c>
      <ns0:c r="G1423" s="4" t="n">
        <ns0:v>3</ns0:v>
      </ns0:c>
      <ns0:c r="H1423" s="7" t="n">
        <ns0:v>8590.53417563595</ns0:v>
      </ns0:c>
      <ns0:c r="I1423" s="7" t="n">
        <ns0:v>4265.990790255496</ns0:v>
      </ns0:c>
      <ns0:c r="J1423" s="7" t="n">
        <ns0:v>2132.995395127748</ns0:v>
      </ns0:c>
      <ns0:c r="K1423" s="7" t="n">
        <ns0:v>19</ns0:v>
      </ns0:c>
      <ns0:c r="L1423" s="7" t="n">
        <ns0:v>52</ns0:v>
      </ns0:c>
      <ns0:c r="M1423" s="7" t="n">
        <ns0:v>-17946.30672766161</ns0:v>
      </ns0:c>
      <ns0:c r="N1423" s="7" t="n">
        <ns0:v>34725.73844344477</ns0:v>
      </ns0:c>
      <ns0:c r="O1423" s="7" t="n">
        <ns0:v>94216.85382327985</ns0:v>
      </ns0:c>
      <ns0:c r="P1423" s="7" t="n">
        <ns0:v>242944.6422728675</ns0:v>
      </ns0:c>
      <ns0:c r="Q1423" s="7" t="n">
        <ns0:v>795855.796071218</ns0:v>
      </ns0:c>
      <ns0:c r="R1423" s="7" t="n">
        <ns0:v>2808044.834365446</ns0:v>
      </ns0:c>
    </ns0:row>
    <ns0:row r="1424" ht="24" customHeight="1">
      <ns0:c r="A1424" s="3" t="inlineStr">
        <ns0:is>
          <ns0:t>混在40/30/30</ns0:t>
        </ns0:is>
      </ns0:c>
      <ns0:c r="B1424" s="3" t="inlineStr">
        <ns0:is>
          <ns0:t>G0基本5000比較</ns0:t>
        </ns0:is>
      </ns0:c>
      <ns0:c r="C1424" s="3" t="inlineStr">
        <ns0:is>
          <ns0:t>D</ns0:t>
        </ns0:is>
      </ns0:c>
      <ns0:c r="D1424" s="4" t="n">
        <ns0:v>2</ns0:v>
      </ns0:c>
      <ns0:c r="E1424" s="4" t="n">
        <ns0:v>1500</ns0:v>
      </ns0:c>
      <ns0:c r="F1424" s="6" t="n">
        <ns0:v>0.3</ns0:v>
      </ns0:c>
      <ns0:c r="G1424" s="4" t="n">
        <ns0:v>0</ns0:v>
      </ns0:c>
      <ns0:c r="H1424" s="7" t="n">
        <ns0:v>8440.53417563595</ns0:v>
      </ns0:c>
      <ns0:c r="I1424" s="7" t="n">
        <ns0:v>4115.990790255496</ns0:v>
      </ns0:c>
      <ns0:c r="J1424" s="7" t="n">
        <ns0:v>1234.797237076649</ns0:v>
      </ns0:c>
      <ns0:c r="K1424" s="7" t="n">
        <ns0:v>11</ns0:v>
      </ns0:c>
      <ns0:c r="L1424" s="7" t="n">
        <ns0:v>19</ns0:v>
      </ns0:c>
      <ns0:c r="M1424" s="7" t="n">
        <ns0:v>-626.6154867938385</ns0:v>
      </ns0:c>
      <ns0:c r="N1424" s="7" t="n">
        <ns0:v>86684.81216604811</ns0:v>
      </ns0:c>
      <ns0:c r="O1424" s="7" t="n">
        <ns0:v>180815.3100276187</ns0:v>
      </ns0:c>
      <ns0:c r="P1424" s="7" t="n">
        <ns0:v>416141.5546815452</ns0:v>
      </ns0:c>
      <ns0:c r="Q1424" s="7" t="n">
        <ns0:v>1315446.533297251</ns0:v>
      </ns0:c>
      <ns0:c r="R1424" s="7" t="n">
        <ns0:v>4540013.958452224</ns0:v>
      </ns0:c>
    </ns0:row>
    <ns0:row r="1425" ht="24" customHeight="1">
      <ns0:c r="A1425" s="3" t="inlineStr">
        <ns0:is>
          <ns0:t>混在40/30/30</ns0:t>
        </ns0:is>
      </ns0:c>
      <ns0:c r="B1425" s="3" t="inlineStr">
        <ns0:is>
          <ns0:t>G0基本5000比較</ns0:t>
        </ns0:is>
      </ns0:c>
      <ns0:c r="C1425" s="3" t="inlineStr">
        <ns0:is>
          <ns0:t>D</ns0:t>
        </ns0:is>
      </ns0:c>
      <ns0:c r="D1425" s="4" t="n">
        <ns0:v>2</ns0:v>
      </ns0:c>
      <ns0:c r="E1425" s="4" t="n">
        <ns0:v>1500</ns0:v>
      </ns0:c>
      <ns0:c r="F1425" s="6" t="n">
        <ns0:v>0.3</ns0:v>
      </ns0:c>
      <ns0:c r="G1425" s="4" t="n">
        <ns0:v>1</ns0:v>
      </ns0:c>
      <ns0:c r="H1425" s="7" t="n">
        <ns0:v>8440.53417563595</ns0:v>
      </ns0:c>
      <ns0:c r="I1425" s="7" t="n">
        <ns0:v>4115.990790255496</ns0:v>
      </ns0:c>
      <ns0:c r="J1425" s="7" t="n">
        <ns0:v>1234.797237076649</ns0:v>
      </ns0:c>
      <ns0:c r="K1425" s="7" t="n">
        <ns0:v>11</ns0:v>
      </ns0:c>
      <ns0:c r="L1425" s="7" t="n">
        <ns0:v>24</ns0:v>
      </ns0:c>
      <ns0:c r="M1425" s="7" t="n">
        <ns0:v>-3831.17081299874</ns0:v>
      </ns0:c>
      <ns0:c r="N1425" s="7" t="n">
        <ns0:v>77071.14618743339</ns0:v>
      </ns0:c>
      <ns0:c r="O1425" s="7" t="n">
        <ns0:v>164792.5333965942</ns0:v>
      </ns0:c>
      <ns0:c r="P1425" s="7" t="n">
        <ns0:v>384096.0014194963</ns0:v>
      </ns0:c>
      <ns0:c r="Q1425" s="7" t="n">
        <ns0:v>1219309.873511104</ns0:v>
      </ns0:c>
      <ns0:c r="R1425" s="7" t="n">
        <ns0:v>4219558.425831733</ns0:v>
      </ns0:c>
    </ns0:row>
    <ns0:row r="1426" ht="24" customHeight="1">
      <ns0:c r="A1426" s="3" t="inlineStr">
        <ns0:is>
          <ns0:t>混在40/30/30</ns0:t>
        </ns0:is>
      </ns0:c>
      <ns0:c r="B1426" s="3" t="inlineStr">
        <ns0:is>
          <ns0:t>G0基本5000比較</ns0:t>
        </ns0:is>
      </ns0:c>
      <ns0:c r="C1426" s="3" t="inlineStr">
        <ns0:is>
          <ns0:t>D</ns0:t>
        </ns0:is>
      </ns0:c>
      <ns0:c r="D1426" s="4" t="n">
        <ns0:v>2</ns0:v>
      </ns0:c>
      <ns0:c r="E1426" s="4" t="n">
        <ns0:v>1500</ns0:v>
      </ns0:c>
      <ns0:c r="F1426" s="6" t="n">
        <ns0:v>0.3</ns0:v>
      </ns0:c>
      <ns0:c r="G1426" s="4" t="n">
        <ns0:v>2</ns0:v>
      </ns0:c>
      <ns0:c r="H1426" s="7" t="n">
        <ns0:v>8440.53417563595</ns0:v>
      </ns0:c>
      <ns0:c r="I1426" s="7" t="n">
        <ns0:v>4115.990790255496</ns0:v>
      </ns0:c>
      <ns0:c r="J1426" s="7" t="n">
        <ns0:v>1234.797237076649</ns0:v>
      </ns0:c>
      <ns0:c r="K1426" s="7" t="n">
        <ns0:v>226</ns0:v>
      </ns0:c>
      <ns0:c r="L1426" s="18" t="inlineStr">
        <ns0:is>
          <ns0:t>範囲内なし</ns0:t>
        </ns0:is>
      </ns0:c>
      <ns0:c r="M1426" s="7" t="n">
        <ns0:v>-43403.53616157763</ns0:v>
      </ns0:c>
      <ns0:c r="N1426" s="7" t="n">
        <ns0:v>-41645.94985830327</ns0:v>
      </ns0:c>
      <ns0:c r="O1426" s="7" t="n">
        <ns0:v>-33069.2933463002</ns0:v>
      </ns0:c>
      <ns0:c r="P1426" s="7" t="n">
        <ns0:v>-11627.65206629259</ns0:v>
      </ns0:c>
      <ns0:c r="Q1426" s="7" t="n">
        <ns0:v>32138.91305373772</ns0:v>
      </ns0:c>
      <ns0:c r="R1426" s="7" t="n">
        <ns0:v>262321.8909738446</ns0:v>
      </ns0:c>
    </ns0:row>
    <ns0:row r="1427" ht="24" customHeight="1">
      <ns0:c r="A1427" s="3" t="inlineStr">
        <ns0:is>
          <ns0:t>混在40/30/30</ns0:t>
        </ns0:is>
      </ns0:c>
      <ns0:c r="B1427" s="3" t="inlineStr">
        <ns0:is>
          <ns0:t>G0基本5000比較</ns0:t>
        </ns0:is>
      </ns0:c>
      <ns0:c r="C1427" s="3" t="inlineStr">
        <ns0:is>
          <ns0:t>D</ns0:t>
        </ns0:is>
      </ns0:c>
      <ns0:c r="D1427" s="4" t="n">
        <ns0:v>2</ns0:v>
      </ns0:c>
      <ns0:c r="E1427" s="4" t="n">
        <ns0:v>1500</ns0:v>
      </ns0:c>
      <ns0:c r="F1427" s="6" t="n">
        <ns0:v>0.3</ns0:v>
      </ns0:c>
      <ns0:c r="G1427" s="4" t="n">
        <ns0:v>3</ns0:v>
      </ns0:c>
      <ns0:c r="H1427" s="7" t="n">
        <ns0:v>8440.53417563595</ns0:v>
      </ns0:c>
      <ns0:c r="I1427" s="7" t="n">
        <ns0:v>4115.990790255496</ns0:v>
      </ns0:c>
      <ns0:c r="J1427" s="7" t="n">
        <ns0:v>1234.797237076649</ns0:v>
      </ns0:c>
      <ns0:c r="K1427" s="7" t="n">
        <ns0:v>12</ns0:v>
      </ns0:c>
      <ns0:c r="L1427" s="7" t="n">
        <ns0:v>42</ns0:v>
      </ns0:c>
      <ns0:c r="M1427" s="7" t="n">
        <ns0:v>-10410.32514715062</ns0:v>
      </ns0:c>
      <ns0:c r="N1427" s="7" t="n">
        <ns0:v>57333.68318497777</ns0:v>
      </ns0:c>
      <ns0:c r="O1427" s="7" t="n">
        <ns0:v>131896.7617258348</ns0:v>
      </ns0:c>
      <ns0:c r="P1427" s="7" t="n">
        <ns0:v>318304.4580779775</ns0:v>
      </ns0:c>
      <ns0:c r="Q1427" s="7" t="n">
        <ns0:v>1021935.243486548</ns0:v>
      </ns0:c>
      <ns0:c r="R1427" s="7" t="n">
        <ns0:v>3561642.992416545</ns0:v>
      </ns0:c>
    </ns0:row>
    <ns0:row r="1428" ht="24" customHeight="1">
      <ns0:c r="A1428" s="3" t="inlineStr">
        <ns0:is>
          <ns0:t>混在40/30/30</ns0:t>
        </ns0:is>
      </ns0:c>
      <ns0:c r="B1428" s="3" t="inlineStr">
        <ns0:is>
          <ns0:t>G0基本5000比較</ns0:t>
        </ns0:is>
      </ns0:c>
      <ns0:c r="C1428" s="3" t="inlineStr">
        <ns0:is>
          <ns0:t>D</ns0:t>
        </ns0:is>
      </ns0:c>
      <ns0:c r="D1428" s="4" t="n">
        <ns0:v>2</ns0:v>
      </ns0:c>
      <ns0:c r="E1428" s="4" t="n">
        <ns0:v>1500</ns0:v>
      </ns0:c>
      <ns0:c r="F1428" s="6" t="n">
        <ns0:v>0.4</ns0:v>
      </ns0:c>
      <ns0:c r="G1428" s="4" t="n">
        <ns0:v>0</ns0:v>
      </ns0:c>
      <ns0:c r="H1428" s="7" t="n">
        <ns0:v>8440.53417563595</ns0:v>
      </ns0:c>
      <ns0:c r="I1428" s="7" t="n">
        <ns0:v>4115.990790255496</ns0:v>
      </ns0:c>
      <ns0:c r="J1428" s="7" t="n">
        <ns0:v>1646.396316102198</ns0:v>
      </ns0:c>
      <ns0:c r="K1428" s="7" t="n">
        <ns0:v>11</ns0:v>
      </ns0:c>
      <ns0:c r="L1428" s="7" t="n">
        <ns0:v>21</ns0:v>
      </ns0:c>
      <ns0:c r="M1428" s="7" t="n">
        <ns0:v>-4742.606277049337</ns0:v>
      </ns0:c>
      <ns0:c r="N1428" s="7" t="n">
        <ns0:v>74336.83979528159</ns0:v>
      </ns0:c>
      <ns0:c r="O1428" s="7" t="n">
        <ns0:v>160235.3560763413</ns0:v>
      </ns0:c>
      <ns0:c r="P1428" s="7" t="n">
        <ns0:v>374981.6467789903</ns0:v>
      </ns0:c>
      <ns0:c r="Q1428" s="7" t="n">
        <ns0:v>1191966.809589587</ns0:v>
      </ns0:c>
      <ns0:c r="R1428" s="7" t="n">
        <ns0:v>4128414.879426674</ns0:v>
      </ns0:c>
    </ns0:row>
    <ns0:row r="1429" ht="24" customHeight="1">
      <ns0:c r="A1429" s="3" t="inlineStr">
        <ns0:is>
          <ns0:t>混在40/30/30</ns0:t>
        </ns0:is>
      </ns0:c>
      <ns0:c r="B1429" s="3" t="inlineStr">
        <ns0:is>
          <ns0:t>G0基本5000比較</ns0:t>
        </ns0:is>
      </ns0:c>
      <ns0:c r="C1429" s="3" t="inlineStr">
        <ns0:is>
          <ns0:t>D</ns0:t>
        </ns0:is>
      </ns0:c>
      <ns0:c r="D1429" s="4" t="n">
        <ns0:v>2</ns0:v>
      </ns0:c>
      <ns0:c r="E1429" s="4" t="n">
        <ns0:v>1500</ns0:v>
      </ns0:c>
      <ns0:c r="F1429" s="6" t="n">
        <ns0:v>0.4</ns0:v>
      </ns0:c>
      <ns0:c r="G1429" s="4" t="n">
        <ns0:v>1</ns0:v>
      </ns0:c>
      <ns0:c r="H1429" s="7" t="n">
        <ns0:v>8440.53417563595</ns0:v>
      </ns0:c>
      <ns0:c r="I1429" s="7" t="n">
        <ns0:v>4115.990790255496</ns0:v>
      </ns0:c>
      <ns0:c r="J1429" s="7" t="n">
        <ns0:v>1646.396316102198</ns0:v>
      </ns0:c>
      <ns0:c r="K1429" s="7" t="n">
        <ns0:v>12</ns0:v>
      </ns0:c>
      <ns0:c r="L1429" s="7" t="n">
        <ns0:v>25</ns0:v>
      </ns0:c>
      <ns0:c r="M1429" s="7" t="n">
        <ns0:v>-7947.161603254239</ns0:v>
      </ns0:c>
      <ns0:c r="N1429" s="7" t="n">
        <ns0:v>64723.17381666688</ns0:v>
      </ns0:c>
      <ns0:c r="O1429" s="7" t="n">
        <ns0:v>144212.5794453167</ns0:v>
      </ns0:c>
      <ns0:c r="P1429" s="7" t="n">
        <ns0:v>342936.0935169413</ns0:v>
      </ns0:c>
      <ns0:c r="Q1429" s="7" t="n">
        <ns0:v>1095830.149803439</ns0:v>
      </ns0:c>
      <ns0:c r="R1429" s="7" t="n">
        <ns0:v>3807959.346806183</ns0:v>
      </ns0:c>
    </ns0:row>
    <ns0:row r="1430" ht="24" customHeight="1">
      <ns0:c r="A1430" s="3" t="inlineStr">
        <ns0:is>
          <ns0:t>混在40/30/30</ns0:t>
        </ns0:is>
      </ns0:c>
      <ns0:c r="B1430" s="3" t="inlineStr">
        <ns0:is>
          <ns0:t>G0基本5000比較</ns0:t>
        </ns0:is>
      </ns0:c>
      <ns0:c r="C1430" s="3" t="inlineStr">
        <ns0:is>
          <ns0:t>D</ns0:t>
        </ns0:is>
      </ns0:c>
      <ns0:c r="D1430" s="4" t="n">
        <ns0:v>2</ns0:v>
      </ns0:c>
      <ns0:c r="E1430" s="4" t="n">
        <ns0:v>1500</ns0:v>
      </ns0:c>
      <ns0:c r="F1430" s="6" t="n">
        <ns0:v>0.4</ns0:v>
      </ns0:c>
      <ns0:c r="G1430" s="4" t="n">
        <ns0:v>2</ns0:v>
      </ns0:c>
      <ns0:c r="H1430" s="7" t="n">
        <ns0:v>8440.53417563595</ns0:v>
      </ns0:c>
      <ns0:c r="I1430" s="7" t="n">
        <ns0:v>4115.990790255496</ns0:v>
      </ns0:c>
      <ns0:c r="J1430" s="7" t="n">
        <ns0:v>1646.396316102198</ns0:v>
      </ns0:c>
      <ns0:c r="K1430" s="18" t="inlineStr">
        <ns0:is>
          <ns0:t>範囲内なし</ns0:t>
        </ns0:is>
      </ns0:c>
      <ns0:c r="L1430" s="18" t="inlineStr">
        <ns0:is>
          <ns0:t>範囲内なし</ns0:t>
        </ns0:is>
      </ns0:c>
      <ns0:c r="M1430" s="7" t="n">
        <ns0:v>-47519.52695183313</ns0:v>
      </ns0:c>
      <ns0:c r="N1430" s="7" t="n">
        <ns0:v>-53993.92222906977</ns0:v>
      </ns0:c>
      <ns0:c r="O1430" s="7" t="n">
        <ns0:v>-53649.24729757768</ns0:v>
      </ns0:c>
      <ns0:c r="P1430" s="7" t="n">
        <ns0:v>-52787.55996884755</ns0:v>
      </ns0:c>
      <ns0:c r="Q1430" s="7" t="n">
        <ns0:v>-91340.81065392704</ns0:v>
      </ns0:c>
      <ns0:c r="R1430" s="7" t="n">
        <ns0:v>-149277.1880517057</ns0:v>
      </ns0:c>
    </ns0:row>
    <ns0:row r="1431" ht="24" customHeight="1">
      <ns0:c r="A1431" s="3" t="inlineStr">
        <ns0:is>
          <ns0:t>混在40/30/30</ns0:t>
        </ns0:is>
      </ns0:c>
      <ns0:c r="B1431" s="3" t="inlineStr">
        <ns0:is>
          <ns0:t>G0基本5000比較</ns0:t>
        </ns0:is>
      </ns0:c>
      <ns0:c r="C1431" s="3" t="inlineStr">
        <ns0:is>
          <ns0:t>D</ns0:t>
        </ns0:is>
      </ns0:c>
      <ns0:c r="D1431" s="4" t="n">
        <ns0:v>2</ns0:v>
      </ns0:c>
      <ns0:c r="E1431" s="4" t="n">
        <ns0:v>1500</ns0:v>
      </ns0:c>
      <ns0:c r="F1431" s="6" t="n">
        <ns0:v>0.4</ns0:v>
      </ns0:c>
      <ns0:c r="G1431" s="4" t="n">
        <ns0:v>3</ns0:v>
      </ns0:c>
      <ns0:c r="H1431" s="7" t="n">
        <ns0:v>8440.53417563595</ns0:v>
      </ns0:c>
      <ns0:c r="I1431" s="7" t="n">
        <ns0:v>4115.990790255496</ns0:v>
      </ns0:c>
      <ns0:c r="J1431" s="7" t="n">
        <ns0:v>1646.396316102198</ns0:v>
      </ns0:c>
      <ns0:c r="K1431" s="7" t="n">
        <ns0:v>16</ns0:v>
      </ns0:c>
      <ns0:c r="L1431" s="7" t="n">
        <ns0:v>47</ns0:v>
      </ns0:c>
      <ns0:c r="M1431" s="7" t="n">
        <ns0:v>-14526.31593740611</ns0:v>
      </ns0:c>
      <ns0:c r="N1431" s="7" t="n">
        <ns0:v>44985.71081421126</ns0:v>
      </ns0:c>
      <ns0:c r="O1431" s="7" t="n">
        <ns0:v>111316.8077745574</ns0:v>
      </ns0:c>
      <ns0:c r="P1431" s="7" t="n">
        <ns0:v>277144.5501754225</ns0:v>
      </ns0:c>
      <ns0:c r="Q1431" s="7" t="n">
        <ns0:v>898455.5197788831</ns0:v>
      </ns0:c>
      <ns0:c r="R1431" s="7" t="n">
        <ns0:v>3150043.913390995</ns0:v>
      </ns0:c>
    </ns0:row>
    <ns0:row r="1432" ht="24" customHeight="1">
      <ns0:c r="A1432" s="3" t="inlineStr">
        <ns0:is>
          <ns0:t>混在40/30/30</ns0:t>
        </ns0:is>
      </ns0:c>
      <ns0:c r="B1432" s="3" t="inlineStr">
        <ns0:is>
          <ns0:t>G0基本5000比較</ns0:t>
        </ns0:is>
      </ns0:c>
      <ns0:c r="C1432" s="3" t="inlineStr">
        <ns0:is>
          <ns0:t>D</ns0:t>
        </ns0:is>
      </ns0:c>
      <ns0:c r="D1432" s="4" t="n">
        <ns0:v>2</ns0:v>
      </ns0:c>
      <ns0:c r="E1432" s="4" t="n">
        <ns0:v>1500</ns0:v>
      </ns0:c>
      <ns0:c r="F1432" s="6" t="n">
        <ns0:v>0.5</ns0:v>
      </ns0:c>
      <ns0:c r="G1432" s="4" t="n">
        <ns0:v>0</ns0:v>
      </ns0:c>
      <ns0:c r="H1432" s="7" t="n">
        <ns0:v>8440.53417563595</ns0:v>
      </ns0:c>
      <ns0:c r="I1432" s="7" t="n">
        <ns0:v>4115.990790255496</ns0:v>
      </ns0:c>
      <ns0:c r="J1432" s="7" t="n">
        <ns0:v>2057.995395127748</ns0:v>
      </ns0:c>
      <ns0:c r="K1432" s="7" t="n">
        <ns0:v>12</ns0:v>
      </ns0:c>
      <ns0:c r="L1432" s="7" t="n">
        <ns0:v>22</ns0:v>
      </ns0:c>
      <ns0:c r="M1432" s="7" t="n">
        <ns0:v>-8858.597067304834</ns0:v>
      </ns0:c>
      <ns0:c r="N1432" s="7" t="n">
        <ns0:v>61988.86742451513</ns0:v>
      </ns0:c>
      <ns0:c r="O1432" s="7" t="n">
        <ns0:v>139655.4021250638</ns0:v>
      </ns0:c>
      <ns0:c r="P1432" s="7" t="n">
        <ns0:v>333821.7388764354</ns0:v>
      </ns0:c>
      <ns0:c r="Q1432" s="7" t="n">
        <ns0:v>1068487.085881922</ns0:v>
      </ns0:c>
      <ns0:c r="R1432" s="7" t="n">
        <ns0:v>3716815.800401124</ns0:v>
      </ns0:c>
    </ns0:row>
    <ns0:row r="1433" ht="24" customHeight="1">
      <ns0:c r="A1433" s="3" t="inlineStr">
        <ns0:is>
          <ns0:t>混在40/30/30</ns0:t>
        </ns0:is>
      </ns0:c>
      <ns0:c r="B1433" s="3" t="inlineStr">
        <ns0:is>
          <ns0:t>G0基本5000比較</ns0:t>
        </ns0:is>
      </ns0:c>
      <ns0:c r="C1433" s="3" t="inlineStr">
        <ns0:is>
          <ns0:t>D</ns0:t>
        </ns0:is>
      </ns0:c>
      <ns0:c r="D1433" s="4" t="n">
        <ns0:v>2</ns0:v>
      </ns0:c>
      <ns0:c r="E1433" s="4" t="n">
        <ns0:v>1500</ns0:v>
      </ns0:c>
      <ns0:c r="F1433" s="6" t="n">
        <ns0:v>0.5</ns0:v>
      </ns0:c>
      <ns0:c r="G1433" s="4" t="n">
        <ns0:v>1</ns0:v>
      </ns0:c>
      <ns0:c r="H1433" s="7" t="n">
        <ns0:v>8440.53417563595</ns0:v>
      </ns0:c>
      <ns0:c r="I1433" s="7" t="n">
        <ns0:v>4115.990790255496</ns0:v>
      </ns0:c>
      <ns0:c r="J1433" s="7" t="n">
        <ns0:v>2057.995395127748</ns0:v>
      </ns0:c>
      <ns0:c r="K1433" s="7" t="n">
        <ns0:v>13</ns0:v>
      </ns0:c>
      <ns0:c r="L1433" s="7" t="n">
        <ns0:v>27</ns0:v>
      </ns0:c>
      <ns0:c r="M1433" s="7" t="n">
        <ns0:v>-12063.15239350974</ns0:v>
      </ns0:c>
      <ns0:c r="N1433" s="7" t="n">
        <ns0:v>52375.20144590042</ns0:v>
      </ns0:c>
      <ns0:c r="O1433" s="7" t="n">
        <ns0:v>123632.6254940393</ns0:v>
      </ns0:c>
      <ns0:c r="P1433" s="7" t="n">
        <ns0:v>301776.1856143863</ns0:v>
      </ns0:c>
      <ns0:c r="Q1433" s="7" t="n">
        <ns0:v>972350.4260957746</ns0:v>
      </ns0:c>
      <ns0:c r="R1433" s="7" t="n">
        <ns0:v>3396360.267780633</ns0:v>
      </ns0:c>
    </ns0:row>
    <ns0:row r="1434" ht="24" customHeight="1">
      <ns0:c r="A1434" s="3" t="inlineStr">
        <ns0:is>
          <ns0:t>混在40/30/30</ns0:t>
        </ns0:is>
      </ns0:c>
      <ns0:c r="B1434" s="3" t="inlineStr">
        <ns0:is>
          <ns0:t>G0基本5000比較</ns0:t>
        </ns0:is>
      </ns0:c>
      <ns0:c r="C1434" s="3" t="inlineStr">
        <ns0:is>
          <ns0:t>D</ns0:t>
        </ns0:is>
      </ns0:c>
      <ns0:c r="D1434" s="4" t="n">
        <ns0:v>2</ns0:v>
      </ns0:c>
      <ns0:c r="E1434" s="4" t="n">
        <ns0:v>1500</ns0:v>
      </ns0:c>
      <ns0:c r="F1434" s="6" t="n">
        <ns0:v>0.5</ns0:v>
      </ns0:c>
      <ns0:c r="G1434" s="4" t="n">
        <ns0:v>2</ns0:v>
      </ns0:c>
      <ns0:c r="H1434" s="7" t="n">
        <ns0:v>8440.53417563595</ns0:v>
      </ns0:c>
      <ns0:c r="I1434" s="7" t="n">
        <ns0:v>4115.990790255496</ns0:v>
      </ns0:c>
      <ns0:c r="J1434" s="7" t="n">
        <ns0:v>2057.995395127748</ns0:v>
      </ns0:c>
      <ns0:c r="K1434" s="18" t="inlineStr">
        <ns0:is>
          <ns0:t>範囲内なし</ns0:t>
        </ns0:is>
      </ns0:c>
      <ns0:c r="L1434" s="18" t="inlineStr">
        <ns0:is>
          <ns0:t>範囲内なし</ns0:t>
        </ns0:is>
      </ns0:c>
      <ns0:c r="M1434" s="7" t="n">
        <ns0:v>-51635.51774208862</ns0:v>
      </ns0:c>
      <ns0:c r="N1434" s="7" t="n">
        <ns0:v>-66341.89459983623</ns0:v>
      </ns0:c>
      <ns0:c r="O1434" s="7" t="n">
        <ns0:v>-74229.20124885516</ns0:v>
      </ns0:c>
      <ns0:c r="P1434" s="7" t="n">
        <ns0:v>-93947.46787140251</ns0:v>
      </ns0:c>
      <ns0:c r="Q1434" s="7" t="n">
        <ns0:v>-214820.5343615919</ns0:v>
      </ns0:c>
      <ns0:c r="R1434" s="7" t="n">
        <ns0:v>-560876.2670772555</ns0:v>
      </ns0:c>
    </ns0:row>
    <ns0:row r="1435" ht="24" customHeight="1">
      <ns0:c r="A1435" s="3" t="inlineStr">
        <ns0:is>
          <ns0:t>混在40/30/30</ns0:t>
        </ns0:is>
      </ns0:c>
      <ns0:c r="B1435" s="3" t="inlineStr">
        <ns0:is>
          <ns0:t>G0基本5000比較</ns0:t>
        </ns0:is>
      </ns0:c>
      <ns0:c r="C1435" s="3" t="inlineStr">
        <ns0:is>
          <ns0:t>D</ns0:t>
        </ns0:is>
      </ns0:c>
      <ns0:c r="D1435" s="4" t="n">
        <ns0:v>2</ns0:v>
      </ns0:c>
      <ns0:c r="E1435" s="4" t="n">
        <ns0:v>1500</ns0:v>
      </ns0:c>
      <ns0:c r="F1435" s="6" t="n">
        <ns0:v>0.5</ns0:v>
      </ns0:c>
      <ns0:c r="G1435" s="4" t="n">
        <ns0:v>3</ns0:v>
      </ns0:c>
      <ns0:c r="H1435" s="7" t="n">
        <ns0:v>8440.53417563595</ns0:v>
      </ns0:c>
      <ns0:c r="I1435" s="7" t="n">
        <ns0:v>4115.990790255496</ns0:v>
      </ns0:c>
      <ns0:c r="J1435" s="7" t="n">
        <ns0:v>2057.995395127748</ns0:v>
      </ns0:c>
      <ns0:c r="K1435" s="7" t="n">
        <ns0:v>19</ns0:v>
      </ns0:c>
      <ns0:c r="L1435" s="7" t="n">
        <ns0:v>54</ns0:v>
      </ns0:c>
      <ns0:c r="M1435" s="7" t="n">
        <ns0:v>-18642.30672766161</ns0:v>
      </ns0:c>
      <ns0:c r="N1435" s="7" t="n">
        <ns0:v>32637.7384434448</ns0:v>
      </ns0:c>
      <ns0:c r="O1435" s="7" t="n">
        <ns0:v>90736.8538232799</ns0:v>
      </ns0:c>
      <ns0:c r="P1435" s="7" t="n">
        <ns0:v>235984.6422728676</ns0:v>
      </ns0:c>
      <ns0:c r="Q1435" s="7" t="n">
        <ns0:v>774975.7960712182</ns0:v>
      </ns0:c>
      <ns0:c r="R1435" s="7" t="n">
        <ns0:v>2738444.834365446</ns0:v>
      </ns0:c>
    </ns0:row>
    <ns0:row r="1436" ht="24" customHeight="1">
      <ns0:c r="A1436" s="3" t="inlineStr">
        <ns0:is>
          <ns0:t>混在40/30/30</ns0:t>
        </ns0:is>
      </ns0:c>
      <ns0:c r="B1436" s="3" t="inlineStr">
        <ns0:is>
          <ns0:t>G2二段階</ns0:t>
        </ns0:is>
      </ns0:c>
      <ns0:c r="C1436" s="3" t="inlineStr">
        <ns0:is>
          <ns0:t>A</ns0:t>
        </ns0:is>
      </ns0:c>
      <ns0:c r="D1436" s="4" t="n">
        <ns0:v>0</ns0:v>
      </ns0:c>
      <ns0:c r="E1436" s="4" t="n">
        <ns0:v>500</ns0:v>
      </ns0:c>
      <ns0:c r="F1436" s="6" t="n">
        <ns0:v>0.3</ns0:v>
      </ns0:c>
      <ns0:c r="G1436" s="4" t="n">
        <ns0:v>0</ns0:v>
      </ns0:c>
      <ns0:c r="H1436" s="7" t="n">
        <ns0:v>4359.919110137672</ns0:v>
      </ns0:c>
      <ns0:c r="I1436" s="7" t="n">
        <ns0:v>2652.303785982478</ns0:v>
      </ns0:c>
      <ns0:c r="J1436" s="7" t="n">
        <ns0:v>795.6911357947434</ns0:v>
      </ns0:c>
      <ns0:c r="K1436" s="7" t="n">
        <ns0:v>28</ns0:v>
      </ns0:c>
      <ns0:c r="L1436" s="7" t="n">
        <ns0:v>53</ns0:v>
      </ns0:c>
      <ns0:c r="M1436" s="7" t="n">
        <ns0:v>-34541.77196741814</ns0:v>
      </ns0:c>
      <ns0:c r="N1436" s="7" t="n">
        <ns0:v>6896.55335036117</ns0:v>
      </ns0:c>
      <ns0:c r="O1436" s="7" t="n">
        <ns0:v>50454.90369942955</ns0:v>
      </ns0:c>
      <ns0:c r="P1436" s="7" t="n">
        <ns0:v>155420.7420251669</ns0:v>
      </ns0:c>
      <ns0:c r="Q1436" s="7" t="n">
        <ns0:v>533284.0953281164</ns0:v>
      </ns0:c>
      <ns0:c r="R1436" s="7" t="n">
        <ns0:v>1932805.83188844</ns0:v>
      </ns0:c>
    </ns0:row>
    <ns0:row r="1437" ht="24" customHeight="1">
      <ns0:c r="A1437" s="3" t="inlineStr">
        <ns0:is>
          <ns0:t>混在40/30/30</ns0:t>
        </ns0:is>
      </ns0:c>
      <ns0:c r="B1437" s="3" t="inlineStr">
        <ns0:is>
          <ns0:t>G2二段階</ns0:t>
        </ns0:is>
      </ns0:c>
      <ns0:c r="C1437" s="3" t="inlineStr">
        <ns0:is>
          <ns0:t>A</ns0:t>
        </ns0:is>
      </ns0:c>
      <ns0:c r="D1437" s="4" t="n">
        <ns0:v>0</ns0:v>
      </ns0:c>
      <ns0:c r="E1437" s="4" t="n">
        <ns0:v>500</ns0:v>
      </ns0:c>
      <ns0:c r="F1437" s="6" t="n">
        <ns0:v>0.3</ns0:v>
      </ns0:c>
      <ns0:c r="G1437" s="4" t="n">
        <ns0:v>1</ns0:v>
      </ns0:c>
      <ns0:c r="H1437" s="7" t="n">
        <ns0:v>4359.919110137672</ns0:v>
      </ns0:c>
      <ns0:c r="I1437" s="7" t="n">
        <ns0:v>2652.303785982478</ns0:v>
      </ns0:c>
      <ns0:c r="J1437" s="7" t="n">
        <ns0:v>795.6911357947434</ns0:v>
      </ns0:c>
      <ns0:c r="K1437" s="7" t="n">
        <ns0:v>30</ns0:v>
      </ns0:c>
      <ns0:c r="L1437" s="7" t="n">
        <ns0:v>79</ns0:v>
      </ns0:c>
      <ns0:c r="M1437" s="7" t="n">
        <ns0:v>-36761.31577928345</ns0:v>
      </ns0:c>
      <ns0:c r="N1437" s="7" t="n">
        <ns0:v>237.9219147652329</ns0:v>
      </ns0:c>
      <ns0:c r="O1437" s="7" t="n">
        <ns0:v>39357.18464010299</ns0:v>
      </ns0:c>
      <ns0:c r="P1437" s="7" t="n">
        <ns0:v>133225.3039065138</ns0:v>
      </ns0:c>
      <ns0:c r="Q1437" s="7" t="n">
        <ns0:v>466697.780972157</ns0:v>
      </ns0:c>
      <ns0:c r="R1437" s="7" t="n">
        <ns0:v>1710851.450701909</ns0:v>
      </ns0:c>
    </ns0:row>
    <ns0:row r="1438" ht="24" customHeight="1">
      <ns0:c r="A1438" s="3" t="inlineStr">
        <ns0:is>
          <ns0:t>混在40/30/30</ns0:t>
        </ns0:is>
      </ns0:c>
      <ns0:c r="B1438" s="3" t="inlineStr">
        <ns0:is>
          <ns0:t>G2二段階</ns0:t>
        </ns0:is>
      </ns0:c>
      <ns0:c r="C1438" s="3" t="inlineStr">
        <ns0:is>
          <ns0:t>A</ns0:t>
        </ns0:is>
      </ns0:c>
      <ns0:c r="D1438" s="4" t="n">
        <ns0:v>0</ns0:v>
      </ns0:c>
      <ns0:c r="E1438" s="4" t="n">
        <ns0:v>500</ns0:v>
      </ns0:c>
      <ns0:c r="F1438" s="6" t="n">
        <ns0:v>0.3</ns0:v>
      </ns0:c>
      <ns0:c r="G1438" s="4" t="n">
        <ns0:v>2</ns0:v>
      </ns0:c>
      <ns0:c r="H1438" s="7" t="n">
        <ns0:v>4359.919110137672</ns0:v>
      </ns0:c>
      <ns0:c r="I1438" s="7" t="n">
        <ns0:v>2652.303785982478</ns0:v>
      </ns0:c>
      <ns0:c r="J1438" s="7" t="n">
        <ns0:v>795.6911357947434</ns0:v>
      </ns0:c>
      <ns0:c r="K1438" s="7" t="n">
        <ns0:v>72</ns0:v>
      </ns0:c>
      <ns0:c r="L1438" s="18" t="inlineStr">
        <ns0:is>
          <ns0:t>範囲内なし</ns0:t>
        </ns0:is>
      </ns0:c>
      <ns0:c r="M1438" s="7" t="n">
        <ns0:v>-47898.9720663154</ns0:v>
      </ns0:c>
      <ns0:c r="N1438" s="7" t="n">
        <ns0:v>-33175.0469463306</ns0:v>
      </ns0:c>
      <ns0:c r="O1438" s="7" t="n">
        <ns0:v>-16331.09679505673</ns0:v>
      </ns0:c>
      <ns0:c r="P1438" s="7" t="n">
        <ns0:v>21848.74103619435</ns0:v>
      </ns0:c>
      <ns0:c r="Q1438" s="7" t="n">
        <ns0:v>132568.0923611987</ns0:v>
      </ns0:c>
      <ns0:c r="R1438" s="7" t="n">
        <ns0:v>597085.8219987145</ns0:v>
      </ns0:c>
    </ns0:row>
    <ns0:row r="1439" ht="24" customHeight="1">
      <ns0:c r="A1439" s="3" t="inlineStr">
        <ns0:is>
          <ns0:t>混在40/30/30</ns0:t>
        </ns0:is>
      </ns0:c>
      <ns0:c r="B1439" s="3" t="inlineStr">
        <ns0:is>
          <ns0:t>G2二段階</ns0:t>
        </ns0:is>
      </ns0:c>
      <ns0:c r="C1439" s="3" t="inlineStr">
        <ns0:is>
          <ns0:t>A</ns0:t>
        </ns0:is>
      </ns0:c>
      <ns0:c r="D1439" s="4" t="n">
        <ns0:v>0</ns0:v>
      </ns0:c>
      <ns0:c r="E1439" s="4" t="n">
        <ns0:v>500</ns0:v>
      </ns0:c>
      <ns0:c r="F1439" s="6" t="n">
        <ns0:v>0.3</ns0:v>
      </ns0:c>
      <ns0:c r="G1439" s="4" t="n">
        <ns0:v>3</ns0:v>
      </ns0:c>
      <ns0:c r="H1439" s="7" t="n">
        <ns0:v>4359.919110137672</ns0:v>
      </ns0:c>
      <ns0:c r="I1439" s="7" t="n">
        <ns0:v>2652.303785982478</ns0:v>
      </ns0:c>
      <ns0:c r="J1439" s="7" t="n">
        <ns0:v>795.6911357947434</ns0:v>
      </ns0:c>
      <ns0:c r="K1439" s="7" t="n">
        <ns0:v>40</ns0:v>
      </ns0:c>
      <ns0:c r="L1439" s="18" t="inlineStr">
        <ns0:is>
          <ns0:t>範囲内なし</ns0:t>
        </ns0:is>
      </ns0:c>
      <ns0:c r="M1439" s="7" t="n">
        <ns0:v>-41885.58674959002</ns0:v>
      </ns0:c>
      <ns0:c r="N1439" s="7" t="n">
        <ns0:v>-15134.89099615443</ns0:v>
      </ns0:c>
      <ns0:c r="O1439" s="7" t="n">
        <ns0:v>13735.8297885702</ns0:v>
      </ns0:c>
      <ns0:c r="P1439" s="7" t="n">
        <ns0:v>81982.59420344821</ns0:v>
      </ns0:c>
      <ns0:c r="Q1439" s="7" t="n">
        <ns0:v>312969.6518629603</ns0:v>
      </ns0:c>
      <ns0:c r="R1439" s="7" t="n">
        <ns0:v>1198424.353671253</ns0:v>
      </ns0:c>
    </ns0:row>
    <ns0:row r="1440" ht="24" customHeight="1">
      <ns0:c r="A1440" s="3" t="inlineStr">
        <ns0:is>
          <ns0:t>混在40/30/30</ns0:t>
        </ns0:is>
      </ns0:c>
      <ns0:c r="B1440" s="3" t="inlineStr">
        <ns0:is>
          <ns0:t>G2二段階</ns0:t>
        </ns0:is>
      </ns0:c>
      <ns0:c r="C1440" s="3" t="inlineStr">
        <ns0:is>
          <ns0:t>A</ns0:t>
        </ns0:is>
      </ns0:c>
      <ns0:c r="D1440" s="4" t="n">
        <ns0:v>0</ns0:v>
      </ns0:c>
      <ns0:c r="E1440" s="4" t="n">
        <ns0:v>500</ns0:v>
      </ns0:c>
      <ns0:c r="F1440" s="6" t="n">
        <ns0:v>0.4</ns0:v>
      </ns0:c>
      <ns0:c r="G1440" s="4" t="n">
        <ns0:v>0</ns0:v>
      </ns0:c>
      <ns0:c r="H1440" s="7" t="n">
        <ns0:v>4359.919110137672</ns0:v>
      </ns0:c>
      <ns0:c r="I1440" s="7" t="n">
        <ns0:v>2652.303785982478</ns0:v>
      </ns0:c>
      <ns0:c r="J1440" s="7" t="n">
        <ns0:v>1060.921514392991</ns0:v>
      </ns0:c>
      <ns0:c r="K1440" s="7" t="n">
        <ns0:v>31</ns0:v>
      </ns0:c>
      <ns0:c r="L1440" s="7" t="n">
        <ns0:v>60</ns0:v>
      </ns0:c>
      <ns0:c r="M1440" s="7" t="n">
        <ns0:v>-37194.07575340063</ns0:v>
      </ns0:c>
      <ns0:c r="N1440" s="7" t="n">
        <ns0:v>-1060.358007586263</ns0:v>
      </ns0:c>
      <ns0:c r="O1440" s="7" t="n">
        <ns0:v>37193.38476951716</ns0:v>
      </ns0:c>
      <ns0:c r="P1440" s="7" t="n">
        <ns0:v>128897.7041653421</ns0:v>
      </ns0:c>
      <ns0:c r="Q1440" s="7" t="n">
        <ns0:v>453714.9817486421</ns0:v>
      </ns0:c>
      <ns0:c r="R1440" s="7" t="n">
        <ns0:v>1667575.453290192</ns0:v>
      </ns0:c>
    </ns0:row>
    <ns0:row r="1441" ht="24" customHeight="1">
      <ns0:c r="A1441" s="3" t="inlineStr">
        <ns0:is>
          <ns0:t>混在40/30/30</ns0:t>
        </ns0:is>
      </ns0:c>
      <ns0:c r="B1441" s="3" t="inlineStr">
        <ns0:is>
          <ns0:t>G2二段階</ns0:t>
        </ns0:is>
      </ns0:c>
      <ns0:c r="C1441" s="3" t="inlineStr">
        <ns0:is>
          <ns0:t>A</ns0:t>
        </ns0:is>
      </ns0:c>
      <ns0:c r="D1441" s="4" t="n">
        <ns0:v>0</ns0:v>
      </ns0:c>
      <ns0:c r="E1441" s="4" t="n">
        <ns0:v>500</ns0:v>
      </ns0:c>
      <ns0:c r="F1441" s="6" t="n">
        <ns0:v>0.4</ns0:v>
      </ns0:c>
      <ns0:c r="G1441" s="4" t="n">
        <ns0:v>1</ns0:v>
      </ns0:c>
      <ns0:c r="H1441" s="7" t="n">
        <ns0:v>4359.919110137672</ns0:v>
      </ns0:c>
      <ns0:c r="I1441" s="7" t="n">
        <ns0:v>2652.303785982478</ns0:v>
      </ns0:c>
      <ns0:c r="J1441" s="7" t="n">
        <ns0:v>1060.921514392991</ns0:v>
      </ns0:c>
      <ns0:c r="K1441" s="7" t="n">
        <ns0:v>34</ns0:v>
      </ns0:c>
      <ns0:c r="L1441" s="7" t="n">
        <ns0:v>98</ns0:v>
      </ns0:c>
      <ns0:c r="M1441" s="7" t="n">
        <ns0:v>-39413.61956526594</ns0:v>
      </ns0:c>
      <ns0:c r="N1441" s="7" t="n">
        <ns0:v>-7718.989443182203</ns0:v>
      </ns0:c>
      <ns0:c r="O1441" s="7" t="n">
        <ns0:v>26095.6657101906</ns0:v>
      </ns0:c>
      <ns0:c r="P1441" s="7" t="n">
        <ns0:v>106702.266046689</ns0:v>
      </ns0:c>
      <ns0:c r="Q1441" s="7" t="n">
        <ns0:v>387128.6673926827</ns0:v>
      </ns0:c>
      <ns0:c r="R1441" s="7" t="n">
        <ns0:v>1445621.072103661</ns0:v>
      </ns0:c>
    </ns0:row>
    <ns0:row r="1442" ht="24" customHeight="1">
      <ns0:c r="A1442" s="3" t="inlineStr">
        <ns0:is>
          <ns0:t>混在40/30/30</ns0:t>
        </ns0:is>
      </ns0:c>
      <ns0:c r="B1442" s="3" t="inlineStr">
        <ns0:is>
          <ns0:t>G2二段階</ns0:t>
        </ns0:is>
      </ns0:c>
      <ns0:c r="C1442" s="3" t="inlineStr">
        <ns0:is>
          <ns0:t>A</ns0:t>
        </ns0:is>
      </ns0:c>
      <ns0:c r="D1442" s="4" t="n">
        <ns0:v>0</ns0:v>
      </ns0:c>
      <ns0:c r="E1442" s="4" t="n">
        <ns0:v>500</ns0:v>
      </ns0:c>
      <ns0:c r="F1442" s="6" t="n">
        <ns0:v>0.4</ns0:v>
      </ns0:c>
      <ns0:c r="G1442" s="4" t="n">
        <ns0:v>2</ns0:v>
      </ns0:c>
      <ns0:c r="H1442" s="7" t="n">
        <ns0:v>4359.919110137672</ns0:v>
      </ns0:c>
      <ns0:c r="I1442" s="7" t="n">
        <ns0:v>2652.303785982478</ns0:v>
      </ns0:c>
      <ns0:c r="J1442" s="7" t="n">
        <ns0:v>1060.921514392991</ns0:v>
      </ns0:c>
      <ns0:c r="K1442" s="7" t="n">
        <ns0:v>194</ns0:v>
      </ns0:c>
      <ns0:c r="L1442" s="18" t="inlineStr">
        <ns0:is>
          <ns0:t>範囲内なし</ns0:t>
        </ns0:is>
      </ns0:c>
      <ns0:c r="M1442" s="7" t="n">
        <ns0:v>-50551.27585229788</ns0:v>
      </ns0:c>
      <ns0:c r="N1442" s="7" t="n">
        <ns0:v>-41131.95830427804</ns0:v>
      </ns0:c>
      <ns0:c r="O1442" s="7" t="n">
        <ns0:v>-29592.61572496912</ns0:v>
      </ns0:c>
      <ns0:c r="P1442" s="7" t="n">
        <ns0:v>-4674.29682363043</ns0:v>
      </ns0:c>
      <ns0:c r="Q1442" s="7" t="n">
        <ns0:v>52998.97878172441</ns0:v>
      </ns0:c>
      <ns0:c r="R1442" s="7" t="n">
        <ns0:v>331855.4434004666</ns0:v>
      </ns0:c>
    </ns0:row>
    <ns0:row r="1443" ht="24" customHeight="1">
      <ns0:c r="A1443" s="3" t="inlineStr">
        <ns0:is>
          <ns0:t>混在40/30/30</ns0:t>
        </ns0:is>
      </ns0:c>
      <ns0:c r="B1443" s="3" t="inlineStr">
        <ns0:is>
          <ns0:t>G2二段階</ns0:t>
        </ns0:is>
      </ns0:c>
      <ns0:c r="C1443" s="3" t="inlineStr">
        <ns0:is>
          <ns0:t>A</ns0:t>
        </ns0:is>
      </ns0:c>
      <ns0:c r="D1443" s="4" t="n">
        <ns0:v>0</ns0:v>
      </ns0:c>
      <ns0:c r="E1443" s="4" t="n">
        <ns0:v>500</ns0:v>
      </ns0:c>
      <ns0:c r="F1443" s="6" t="n">
        <ns0:v>0.4</ns0:v>
      </ns0:c>
      <ns0:c r="G1443" s="4" t="n">
        <ns0:v>3</ns0:v>
      </ns0:c>
      <ns0:c r="H1443" s="7" t="n">
        <ns0:v>4359.919110137672</ns0:v>
      </ns0:c>
      <ns0:c r="I1443" s="7" t="n">
        <ns0:v>2652.303785982478</ns0:v>
      </ns0:c>
      <ns0:c r="J1443" s="7" t="n">
        <ns0:v>1060.921514392991</ns0:v>
      </ns0:c>
      <ns0:c r="K1443" s="7" t="n">
        <ns0:v>50</ns0:v>
      </ns0:c>
      <ns0:c r="L1443" s="18" t="inlineStr">
        <ns0:is>
          <ns0:t>範囲内なし</ns0:t>
        </ns0:is>
      </ns0:c>
      <ns0:c r="M1443" s="7" t="n">
        <ns0:v>-44537.89053557249</ns0:v>
      </ns0:c>
      <ns0:c r="N1443" s="7" t="n">
        <ns0:v>-23091.80235410187</ns0:v>
      </ns0:c>
      <ns0:c r="O1443" s="7" t="n">
        <ns0:v>474.3108586578164</ns0:v>
      </ns0:c>
      <ns0:c r="P1443" s="7" t="n">
        <ns0:v>55459.55634362342</ns0:v>
      </ns0:c>
      <ns0:c r="Q1443" s="7" t="n">
        <ns0:v>233400.538283486</ns0:v>
      </ns0:c>
      <ns0:c r="R1443" s="7" t="n">
        <ns0:v>933193.9750730053</ns0:v>
      </ns0:c>
    </ns0:row>
    <ns0:row r="1444" ht="24" customHeight="1">
      <ns0:c r="A1444" s="3" t="inlineStr">
        <ns0:is>
          <ns0:t>混在40/30/30</ns0:t>
        </ns0:is>
      </ns0:c>
      <ns0:c r="B1444" s="3" t="inlineStr">
        <ns0:is>
          <ns0:t>G2二段階</ns0:t>
        </ns0:is>
      </ns0:c>
      <ns0:c r="C1444" s="3" t="inlineStr">
        <ns0:is>
          <ns0:t>A</ns0:t>
        </ns0:is>
      </ns0:c>
      <ns0:c r="D1444" s="4" t="n">
        <ns0:v>0</ns0:v>
      </ns0:c>
      <ns0:c r="E1444" s="4" t="n">
        <ns0:v>500</ns0:v>
      </ns0:c>
      <ns0:c r="F1444" s="6" t="n">
        <ns0:v>0.5</ns0:v>
      </ns0:c>
      <ns0:c r="G1444" s="4" t="n">
        <ns0:v>0</ns0:v>
      </ns0:c>
      <ns0:c r="H1444" s="7" t="n">
        <ns0:v>4359.919110137672</ns0:v>
      </ns0:c>
      <ns0:c r="I1444" s="7" t="n">
        <ns0:v>2652.303785982478</ns0:v>
      </ns0:c>
      <ns0:c r="J1444" s="7" t="n">
        <ns0:v>1326.151892991239</ns0:v>
      </ns0:c>
      <ns0:c r="K1444" s="7" t="n">
        <ns0:v>35</ns0:v>
      </ns0:c>
      <ns0:c r="L1444" s="7" t="n">
        <ns0:v>71</ns0:v>
      </ns0:c>
      <ns0:c r="M1444" s="7" t="n">
        <ns0:v>-39846.3795393831</ns0:v>
      </ns0:c>
      <ns0:c r="N1444" s="7" t="n">
        <ns0:v>-9017.269365533713</ns0:v>
      </ns0:c>
      <ns0:c r="O1444" s="7" t="n">
        <ns0:v>23931.86583960477</ns0:v>
      </ns0:c>
      <ns0:c r="P1444" s="7" t="n">
        <ns0:v>102374.6663055173</ns0:v>
      </ns0:c>
      <ns0:c r="Q1444" s="7" t="n">
        <ns0:v>374145.8681691678</ns0:v>
      </ns0:c>
      <ns0:c r="R1444" s="7" t="n">
        <ns0:v>1402345.074691944</ns0:v>
      </ns0:c>
    </ns0:row>
    <ns0:row r="1445" ht="24" customHeight="1">
      <ns0:c r="A1445" s="3" t="inlineStr">
        <ns0:is>
          <ns0:t>混在40/30/30</ns0:t>
        </ns0:is>
      </ns0:c>
      <ns0:c r="B1445" s="3" t="inlineStr">
        <ns0:is>
          <ns0:t>G2二段階</ns0:t>
        </ns0:is>
      </ns0:c>
      <ns0:c r="C1445" s="3" t="inlineStr">
        <ns0:is>
          <ns0:t>A</ns0:t>
        </ns0:is>
      </ns0:c>
      <ns0:c r="D1445" s="4" t="n">
        <ns0:v>0</ns0:v>
      </ns0:c>
      <ns0:c r="E1445" s="4" t="n">
        <ns0:v>500</ns0:v>
      </ns0:c>
      <ns0:c r="F1445" s="6" t="n">
        <ns0:v>0.5</ns0:v>
      </ns0:c>
      <ns0:c r="G1445" s="4" t="n">
        <ns0:v>1</ns0:v>
      </ns0:c>
      <ns0:c r="H1445" s="7" t="n">
        <ns0:v>4359.919110137672</ns0:v>
      </ns0:c>
      <ns0:c r="I1445" s="7" t="n">
        <ns0:v>2652.303785982478</ns0:v>
      </ns0:c>
      <ns0:c r="J1445" s="7" t="n">
        <ns0:v>1326.151892991239</ns0:v>
      </ns0:c>
      <ns0:c r="K1445" s="7" t="n">
        <ns0:v>41</ns0:v>
      </ns0:c>
      <ns0:c r="L1445" s="7" t="n">
        <ns0:v>211</ns0:v>
      </ns0:c>
      <ns0:c r="M1445" s="7" t="n">
        <ns0:v>-42065.92335124842</ns0:v>
      </ns0:c>
      <ns0:c r="N1445" s="7" t="n">
        <ns0:v>-15675.90080112965</ns0:v>
      </ns0:c>
      <ns0:c r="O1445" s="7" t="n">
        <ns0:v>12834.14678027821</ns0:v>
      </ns0:c>
      <ns0:c r="P1445" s="7" t="n">
        <ns0:v>80179.2281868642</ns0:v>
      </ns0:c>
      <ns0:c r="Q1445" s="7" t="n">
        <ns0:v>307559.5538132084</ns0:v>
      </ns0:c>
      <ns0:c r="R1445" s="7" t="n">
        <ns0:v>1180390.693505413</ns0:v>
      </ns0:c>
    </ns0:row>
    <ns0:row r="1446" ht="24" customHeight="1">
      <ns0:c r="A1446" s="3" t="inlineStr">
        <ns0:is>
          <ns0:t>混在40/30/30</ns0:t>
        </ns0:is>
      </ns0:c>
      <ns0:c r="B1446" s="3" t="inlineStr">
        <ns0:is>
          <ns0:t>G2二段階</ns0:t>
        </ns0:is>
      </ns0:c>
      <ns0:c r="C1446" s="3" t="inlineStr">
        <ns0:is>
          <ns0:t>A</ns0:t>
        </ns0:is>
      </ns0:c>
      <ns0:c r="D1446" s="4" t="n">
        <ns0:v>0</ns0:v>
      </ns0:c>
      <ns0:c r="E1446" s="4" t="n">
        <ns0:v>500</ns0:v>
      </ns0:c>
      <ns0:c r="F1446" s="6" t="n">
        <ns0:v>0.5</ns0:v>
      </ns0:c>
      <ns0:c r="G1446" s="4" t="n">
        <ns0:v>2</ns0:v>
      </ns0:c>
      <ns0:c r="H1446" s="7" t="n">
        <ns0:v>4359.919110137672</ns0:v>
      </ns0:c>
      <ns0:c r="I1446" s="7" t="n">
        <ns0:v>2652.303785982478</ns0:v>
      </ns0:c>
      <ns0:c r="J1446" s="7" t="n">
        <ns0:v>1326.151892991239</ns0:v>
      </ns0:c>
      <ns0:c r="K1446" s="7" t="n">
        <ns0:v>414</ns0:v>
      </ns0:c>
      <ns0:c r="L1446" s="18" t="inlineStr">
        <ns0:is>
          <ns0:t>範囲内なし</ns0:t>
        </ns0:is>
      </ns0:c>
      <ns0:c r="M1446" s="7" t="n">
        <ns0:v>-53203.57963828035</ns0:v>
      </ns0:c>
      <ns0:c r="N1446" s="7" t="n">
        <ns0:v>-49088.86966222548</ns0:v>
      </ns0:c>
      <ns0:c r="O1446" s="7" t="n">
        <ns0:v>-42854.13465488151</ns0:v>
      </ns0:c>
      <ns0:c r="P1446" s="7" t="n">
        <ns0:v>-31197.33468345521</ns0:v>
      </ns0:c>
      <ns0:c r="Q1446" s="7" t="n">
        <ns0:v>-26570.13479774987</ns0:v>
      </ns0:c>
      <ns0:c r="R1446" s="7" t="n">
        <ns0:v>66625.06480221858</ns0:v>
      </ns0:c>
    </ns0:row>
    <ns0:row r="1447" ht="24" customHeight="1">
      <ns0:c r="A1447" s="3" t="inlineStr">
        <ns0:is>
          <ns0:t>混在40/30/30</ns0:t>
        </ns0:is>
      </ns0:c>
      <ns0:c r="B1447" s="3" t="inlineStr">
        <ns0:is>
          <ns0:t>G2二段階</ns0:t>
        </ns0:is>
      </ns0:c>
      <ns0:c r="C1447" s="3" t="inlineStr">
        <ns0:is>
          <ns0:t>A</ns0:t>
        </ns0:is>
      </ns0:c>
      <ns0:c r="D1447" s="4" t="n">
        <ns0:v>0</ns0:v>
      </ns0:c>
      <ns0:c r="E1447" s="4" t="n">
        <ns0:v>500</ns0:v>
      </ns0:c>
      <ns0:c r="F1447" s="6" t="n">
        <ns0:v>0.5</ns0:v>
      </ns0:c>
      <ns0:c r="G1447" s="4" t="n">
        <ns0:v>3</ns0:v>
      </ns0:c>
      <ns0:c r="H1447" s="7" t="n">
        <ns0:v>4359.919110137672</ns0:v>
      </ns0:c>
      <ns0:c r="I1447" s="7" t="n">
        <ns0:v>2652.303785982478</ns0:v>
      </ns0:c>
      <ns0:c r="J1447" s="7" t="n">
        <ns0:v>1326.151892991239</ns0:v>
      </ns0:c>
      <ns0:c r="K1447" s="7" t="n">
        <ns0:v>66</ns0:v>
      </ns0:c>
      <ns0:c r="L1447" s="18" t="inlineStr">
        <ns0:is>
          <ns0:t>範囲内なし</ns0:t>
        </ns0:is>
      </ns0:c>
      <ns0:c r="M1447" s="7" t="n">
        <ns0:v>-47190.19432155497</ns0:v>
      </ns0:c>
      <ns0:c r="N1447" s="7" t="n">
        <ns0:v>-31048.71371204932</ns0:v>
      </ns0:c>
      <ns0:c r="O1447" s="7" t="n">
        <ns0:v>-12787.20807125457</ns0:v>
      </ns0:c>
      <ns0:c r="P1447" s="7" t="n">
        <ns0:v>28936.51848379865</ns0:v>
      </ns0:c>
      <ns0:c r="Q1447" s="7" t="n">
        <ns0:v>153831.4247040117</ns0:v>
      </ns0:c>
      <ns0:c r="R1447" s="7" t="n">
        <ns0:v>667963.5964747573</ns0:v>
      </ns0:c>
    </ns0:row>
    <ns0:row r="1448" ht="24" customHeight="1">
      <ns0:c r="A1448" s="3" t="inlineStr">
        <ns0:is>
          <ns0:t>混在40/30/30</ns0:t>
        </ns0:is>
      </ns0:c>
      <ns0:c r="B1448" s="3" t="inlineStr">
        <ns0:is>
          <ns0:t>G2二段階</ns0:t>
        </ns0:is>
      </ns0:c>
      <ns0:c r="C1448" s="3" t="inlineStr">
        <ns0:is>
          <ns0:t>A</ns0:t>
        </ns0:is>
      </ns0:c>
      <ns0:c r="D1448" s="4" t="n">
        <ns0:v>0</ns0:v>
      </ns0:c>
      <ns0:c r="E1448" s="4" t="n">
        <ns0:v>1000</ns0:v>
      </ns0:c>
      <ns0:c r="F1448" s="6" t="n">
        <ns0:v>0.3</ns0:v>
      </ns0:c>
      <ns0:c r="G1448" s="4" t="n">
        <ns0:v>0</ns0:v>
      </ns0:c>
      <ns0:c r="H1448" s="7" t="n">
        <ns0:v>4209.919110137671</ns0:v>
      </ns0:c>
      <ns0:c r="I1448" s="7" t="n">
        <ns0:v>2502.303785982478</ns0:v>
      </ns0:c>
      <ns0:c r="J1448" s="7" t="n">
        <ns0:v>750.6911357947433</ns0:v>
      </ns0:c>
      <ns0:c r="K1448" s="7" t="n">
        <ns0:v>29</ns0:v>
      </ns0:c>
      <ns0:c r="L1448" s="7" t="n">
        <ns0:v>56</ns0:v>
      </ns0:c>
      <ns0:c r="M1448" s="7" t="n">
        <ns0:v>-35537.77196741814</ns0:v>
      </ns0:c>
      <ns0:c r="N1448" s="7" t="n">
        <ns0:v>3908.553350361155</ns0:v>
      </ns0:c>
      <ns0:c r="O1448" s="7" t="n">
        <ns0:v>45474.90369942955</ns0:v>
      </ns0:c>
      <ns0:c r="P1448" s="7" t="n">
        <ns0:v>145460.7420251669</ns0:v>
      </ns0:c>
      <ns0:c r="Q1448" s="7" t="n">
        <ns0:v>503404.0953281164</ns0:v>
      </ns0:c>
      <ns0:c r="R1448" s="7" t="n">
        <ns0:v>1833205.83188844</ns0:v>
      </ns0:c>
    </ns0:row>
    <ns0:row r="1449" ht="24" customHeight="1">
      <ns0:c r="A1449" s="3" t="inlineStr">
        <ns0:is>
          <ns0:t>混在40/30/30</ns0:t>
        </ns0:is>
      </ns0:c>
      <ns0:c r="B1449" s="3" t="inlineStr">
        <ns0:is>
          <ns0:t>G2二段階</ns0:t>
        </ns0:is>
      </ns0:c>
      <ns0:c r="C1449" s="3" t="inlineStr">
        <ns0:is>
          <ns0:t>A</ns0:t>
        </ns0:is>
      </ns0:c>
      <ns0:c r="D1449" s="4" t="n">
        <ns0:v>0</ns0:v>
      </ns0:c>
      <ns0:c r="E1449" s="4" t="n">
        <ns0:v>1000</ns0:v>
      </ns0:c>
      <ns0:c r="F1449" s="6" t="n">
        <ns0:v>0.3</ns0:v>
      </ns0:c>
      <ns0:c r="G1449" s="4" t="n">
        <ns0:v>1</ns0:v>
      </ns0:c>
      <ns0:c r="H1449" s="7" t="n">
        <ns0:v>4209.919110137671</ns0:v>
      </ns0:c>
      <ns0:c r="I1449" s="7" t="n">
        <ns0:v>2502.303785982478</ns0:v>
      </ns0:c>
      <ns0:c r="J1449" s="7" t="n">
        <ns0:v>750.6911357947433</ns0:v>
      </ns0:c>
      <ns0:c r="K1449" s="7" t="n">
        <ns0:v>32</ns0:v>
      </ns0:c>
      <ns0:c r="L1449" s="7" t="n">
        <ns0:v>86</ns0:v>
      </ns0:c>
      <ns0:c r="M1449" s="7" t="n">
        <ns0:v>-37757.31577928346</ns0:v>
      </ns0:c>
      <ns0:c r="N1449" s="7" t="n">
        <ns0:v>-2750.078085234782</ns0:v>
      </ns0:c>
      <ns0:c r="O1449" s="7" t="n">
        <ns0:v>34377.18464010298</ns0:v>
      </ns0:c>
      <ns0:c r="P1449" s="7" t="n">
        <ns0:v>123265.3039065138</ns0:v>
      </ns0:c>
      <ns0:c r="Q1449" s="7" t="n">
        <ns0:v>436817.780972157</ns0:v>
      </ns0:c>
      <ns0:c r="R1449" s="7" t="n">
        <ns0:v>1611251.450701908</ns0:v>
      </ns0:c>
    </ns0:row>
    <ns0:row r="1450" ht="24" customHeight="1">
      <ns0:c r="A1450" s="3" t="inlineStr">
        <ns0:is>
          <ns0:t>混在40/30/30</ns0:t>
        </ns0:is>
      </ns0:c>
      <ns0:c r="B1450" s="3" t="inlineStr">
        <ns0:is>
          <ns0:t>G2二段階</ns0:t>
        </ns0:is>
      </ns0:c>
      <ns0:c r="C1450" s="3" t="inlineStr">
        <ns0:is>
          <ns0:t>A</ns0:t>
        </ns0:is>
      </ns0:c>
      <ns0:c r="D1450" s="4" t="n">
        <ns0:v>0</ns0:v>
      </ns0:c>
      <ns0:c r="E1450" s="4" t="n">
        <ns0:v>1000</ns0:v>
      </ns0:c>
      <ns0:c r="F1450" s="6" t="n">
        <ns0:v>0.3</ns0:v>
      </ns0:c>
      <ns0:c r="G1450" s="4" t="n">
        <ns0:v>2</ns0:v>
      </ns0:c>
      <ns0:c r="H1450" s="7" t="n">
        <ns0:v>4209.919110137671</ns0:v>
      </ns0:c>
      <ns0:c r="I1450" s="7" t="n">
        <ns0:v>2502.303785982478</ns0:v>
      </ns0:c>
      <ns0:c r="J1450" s="7" t="n">
        <ns0:v>750.6911357947433</ns0:v>
      </ns0:c>
      <ns0:c r="K1450" s="7" t="n">
        <ns0:v>83</ns0:v>
      </ns0:c>
      <ns0:c r="L1450" s="18" t="inlineStr">
        <ns0:is>
          <ns0:t>範囲内なし</ns0:t>
        </ns0:is>
      </ns0:c>
      <ns0:c r="M1450" s="7" t="n">
        <ns0:v>-48894.9720663154</ns0:v>
      </ns0:c>
      <ns0:c r="N1450" s="7" t="n">
        <ns0:v>-36163.04694633061</ns0:v>
      </ns0:c>
      <ns0:c r="O1450" s="7" t="n">
        <ns0:v>-21311.09679505673</ns0:v>
      </ns0:c>
      <ns0:c r="P1450" s="7" t="n">
        <ns0:v>11888.74103619432</ns0:v>
      </ns0:c>
      <ns0:c r="Q1450" s="7" t="n">
        <ns0:v>102688.0923611987</ns0:v>
      </ns0:c>
      <ns0:c r="R1450" s="7" t="n">
        <ns0:v>497485.8219987138</ns0:v>
      </ns0:c>
    </ns0:row>
    <ns0:row r="1451" ht="24" customHeight="1">
      <ns0:c r="A1451" s="3" t="inlineStr">
        <ns0:is>
          <ns0:t>混在40/30/30</ns0:t>
        </ns0:is>
      </ns0:c>
      <ns0:c r="B1451" s="3" t="inlineStr">
        <ns0:is>
          <ns0:t>G2二段階</ns0:t>
        </ns0:is>
      </ns0:c>
      <ns0:c r="C1451" s="3" t="inlineStr">
        <ns0:is>
          <ns0:t>A</ns0:t>
        </ns0:is>
      </ns0:c>
      <ns0:c r="D1451" s="4" t="n">
        <ns0:v>0</ns0:v>
      </ns0:c>
      <ns0:c r="E1451" s="4" t="n">
        <ns0:v>1000</ns0:v>
      </ns0:c>
      <ns0:c r="F1451" s="6" t="n">
        <ns0:v>0.3</ns0:v>
      </ns0:c>
      <ns0:c r="G1451" s="4" t="n">
        <ns0:v>3</ns0:v>
      </ns0:c>
      <ns0:c r="H1451" s="7" t="n">
        <ns0:v>4209.919110137671</ns0:v>
      </ns0:c>
      <ns0:c r="I1451" s="7" t="n">
        <ns0:v>2502.303785982478</ns0:v>
      </ns0:c>
      <ns0:c r="J1451" s="7" t="n">
        <ns0:v>750.6911357947433</ns0:v>
      </ns0:c>
      <ns0:c r="K1451" s="7" t="n">
        <ns0:v>44</ns0:v>
      </ns0:c>
      <ns0:c r="L1451" s="18" t="inlineStr">
        <ns0:is>
          <ns0:t>範囲内なし</ns0:t>
        </ns0:is>
      </ns0:c>
      <ns0:c r="M1451" s="7" t="n">
        <ns0:v>-42881.58674959002</ns0:v>
      </ns0:c>
      <ns0:c r="N1451" s="7" t="n">
        <ns0:v>-18122.89099615445</ns0:v>
      </ns0:c>
      <ns0:c r="O1451" s="7" t="n">
        <ns0:v>8755.829788570198</ns0:v>
      </ns0:c>
      <ns0:c r="P1451" s="7" t="n">
        <ns0:v>72022.59420344818</ns0:v>
      </ns0:c>
      <ns0:c r="Q1451" s="7" t="n">
        <ns0:v>283089.6518629603</ns0:v>
      </ns0:c>
      <ns0:c r="R1451" s="7" t="n">
        <ns0:v>1098824.353671252</ns0:v>
      </ns0:c>
    </ns0:row>
    <ns0:row r="1452" ht="24" customHeight="1">
      <ns0:c r="A1452" s="3" t="inlineStr">
        <ns0:is>
          <ns0:t>混在40/30/30</ns0:t>
        </ns0:is>
      </ns0:c>
      <ns0:c r="B1452" s="3" t="inlineStr">
        <ns0:is>
          <ns0:t>G2二段階</ns0:t>
        </ns0:is>
      </ns0:c>
      <ns0:c r="C1452" s="3" t="inlineStr">
        <ns0:is>
          <ns0:t>A</ns0:t>
        </ns0:is>
      </ns0:c>
      <ns0:c r="D1452" s="4" t="n">
        <ns0:v>0</ns0:v>
      </ns0:c>
      <ns0:c r="E1452" s="4" t="n">
        <ns0:v>1000</ns0:v>
      </ns0:c>
      <ns0:c r="F1452" s="6" t="n">
        <ns0:v>0.4</ns0:v>
      </ns0:c>
      <ns0:c r="G1452" s="4" t="n">
        <ns0:v>0</ns0:v>
      </ns0:c>
      <ns0:c r="H1452" s="7" t="n">
        <ns0:v>4209.919110137671</ns0:v>
      </ns0:c>
      <ns0:c r="I1452" s="7" t="n">
        <ns0:v>2502.303785982478</ns0:v>
      </ns0:c>
      <ns0:c r="J1452" s="7" t="n">
        <ns0:v>1000.921514392991</ns0:v>
      </ns0:c>
      <ns0:c r="K1452" s="7" t="n">
        <ns0:v>32</ns0:v>
      </ns0:c>
      <ns0:c r="L1452" s="7" t="n">
        <ns0:v>64</ns0:v>
      </ns0:c>
      <ns0:c r="M1452" s="7" t="n">
        <ns0:v>-38040.07575340063</ns0:v>
      </ns0:c>
      <ns0:c r="N1452" s="7" t="n">
        <ns0:v>-3598.358007586285</ns0:v>
      </ns0:c>
      <ns0:c r="O1452" s="7" t="n">
        <ns0:v>32963.38476951716</ns0:v>
      </ns0:c>
      <ns0:c r="P1452" s="7" t="n">
        <ns0:v>120437.7041653421</ns0:v>
      </ns0:c>
      <ns0:c r="Q1452" s="7" t="n">
        <ns0:v>428334.981748642</ns0:v>
      </ns0:c>
      <ns0:c r="R1452" s="7" t="n">
        <ns0:v>1582975.453290191</ns0:v>
      </ns0:c>
    </ns0:row>
    <ns0:row r="1453" ht="24" customHeight="1">
      <ns0:c r="A1453" s="3" t="inlineStr">
        <ns0:is>
          <ns0:t>混在40/30/30</ns0:t>
        </ns0:is>
      </ns0:c>
      <ns0:c r="B1453" s="3" t="inlineStr">
        <ns0:is>
          <ns0:t>G2二段階</ns0:t>
        </ns0:is>
      </ns0:c>
      <ns0:c r="C1453" s="3" t="inlineStr">
        <ns0:is>
          <ns0:t>A</ns0:t>
        </ns0:is>
      </ns0:c>
      <ns0:c r="D1453" s="4" t="n">
        <ns0:v>0</ns0:v>
      </ns0:c>
      <ns0:c r="E1453" s="4" t="n">
        <ns0:v>1000</ns0:v>
      </ns0:c>
      <ns0:c r="F1453" s="6" t="n">
        <ns0:v>0.4</ns0:v>
      </ns0:c>
      <ns0:c r="G1453" s="4" t="n">
        <ns0:v>1</ns0:v>
      </ns0:c>
      <ns0:c r="H1453" s="7" t="n">
        <ns0:v>4209.919110137671</ns0:v>
      </ns0:c>
      <ns0:c r="I1453" s="7" t="n">
        <ns0:v>2502.303785982478</ns0:v>
      </ns0:c>
      <ns0:c r="J1453" s="7" t="n">
        <ns0:v>1000.921514392991</ns0:v>
      </ns0:c>
      <ns0:c r="K1453" s="7" t="n">
        <ns0:v>36</ns0:v>
      </ns0:c>
      <ns0:c r="L1453" s="7" t="n">
        <ns0:v>175</ns0:v>
      </ns0:c>
      <ns0:c r="M1453" s="7" t="n">
        <ns0:v>-40259.61956526594</ns0:v>
      </ns0:c>
      <ns0:c r="N1453" s="7" t="n">
        <ns0:v>-10256.98944318222</ns0:v>
      </ns0:c>
      <ns0:c r="O1453" s="7" t="n">
        <ns0:v>21865.66571019059</ns0:v>
      </ns0:c>
      <ns0:c r="P1453" s="7" t="n">
        <ns0:v>98242.26604668898</ns0:v>
      </ns0:c>
      <ns0:c r="Q1453" s="7" t="n">
        <ns0:v>361748.6673926826</ns0:v>
      </ns0:c>
      <ns0:c r="R1453" s="7" t="n">
        <ns0:v>1361021.07210366</ns0:v>
      </ns0:c>
    </ns0:row>
    <ns0:row r="1454" ht="24" customHeight="1">
      <ns0:c r="A1454" s="3" t="inlineStr">
        <ns0:is>
          <ns0:t>混在40/30/30</ns0:t>
        </ns0:is>
      </ns0:c>
      <ns0:c r="B1454" s="3" t="inlineStr">
        <ns0:is>
          <ns0:t>G2二段階</ns0:t>
        </ns0:is>
      </ns0:c>
      <ns0:c r="C1454" s="3" t="inlineStr">
        <ns0:is>
          <ns0:t>A</ns0:t>
        </ns0:is>
      </ns0:c>
      <ns0:c r="D1454" s="4" t="n">
        <ns0:v>0</ns0:v>
      </ns0:c>
      <ns0:c r="E1454" s="4" t="n">
        <ns0:v>1000</ns0:v>
      </ns0:c>
      <ns0:c r="F1454" s="6" t="n">
        <ns0:v>0.4</ns0:v>
      </ns0:c>
      <ns0:c r="G1454" s="4" t="n">
        <ns0:v>2</ns0:v>
      </ns0:c>
      <ns0:c r="H1454" s="7" t="n">
        <ns0:v>4209.919110137671</ns0:v>
      </ns0:c>
      <ns0:c r="I1454" s="7" t="n">
        <ns0:v>2502.303785982478</ns0:v>
      </ns0:c>
      <ns0:c r="J1454" s="7" t="n">
        <ns0:v>1000.921514392991</ns0:v>
      </ns0:c>
      <ns0:c r="K1454" s="7" t="n">
        <ns0:v>234</ns0:v>
      </ns0:c>
      <ns0:c r="L1454" s="18" t="inlineStr">
        <ns0:is>
          <ns0:t>範囲内なし</ns0:t>
        </ns0:is>
      </ns0:c>
      <ns0:c r="M1454" s="7" t="n">
        <ns0:v>-51397.27585229788</ns0:v>
      </ns0:c>
      <ns0:c r="N1454" s="7" t="n">
        <ns0:v>-43669.95830427805</ns0:v>
      </ns0:c>
      <ns0:c r="O1454" s="7" t="n">
        <ns0:v>-33822.61572496913</ns0:v>
      </ns0:c>
      <ns0:c r="P1454" s="7" t="n">
        <ns0:v>-13134.29682363046</ns0:v>
      </ns0:c>
      <ns0:c r="Q1454" s="7" t="n">
        <ns0:v>27618.97878172429</ns0:v>
      </ns0:c>
      <ns0:c r="R1454" s="7" t="n">
        <ns0:v>247255.4434004659</ns0:v>
      </ns0:c>
    </ns0:row>
    <ns0:row r="1455" ht="24" customHeight="1">
      <ns0:c r="A1455" s="3" t="inlineStr">
        <ns0:is>
          <ns0:t>混在40/30/30</ns0:t>
        </ns0:is>
      </ns0:c>
      <ns0:c r="B1455" s="3" t="inlineStr">
        <ns0:is>
          <ns0:t>G2二段階</ns0:t>
        </ns0:is>
      </ns0:c>
      <ns0:c r="C1455" s="3" t="inlineStr">
        <ns0:is>
          <ns0:t>A</ns0:t>
        </ns0:is>
      </ns0:c>
      <ns0:c r="D1455" s="4" t="n">
        <ns0:v>0</ns0:v>
      </ns0:c>
      <ns0:c r="E1455" s="4" t="n">
        <ns0:v>1000</ns0:v>
      </ns0:c>
      <ns0:c r="F1455" s="6" t="n">
        <ns0:v>0.4</ns0:v>
      </ns0:c>
      <ns0:c r="G1455" s="4" t="n">
        <ns0:v>3</ns0:v>
      </ns0:c>
      <ns0:c r="H1455" s="7" t="n">
        <ns0:v>4209.919110137671</ns0:v>
      </ns0:c>
      <ns0:c r="I1455" s="7" t="n">
        <ns0:v>2502.303785982478</ns0:v>
      </ns0:c>
      <ns0:c r="J1455" s="7" t="n">
        <ns0:v>1000.921514392991</ns0:v>
      </ns0:c>
      <ns0:c r="K1455" s="7" t="n">
        <ns0:v>54</ns0:v>
      </ns0:c>
      <ns0:c r="L1455" s="18" t="inlineStr">
        <ns0:is>
          <ns0:t>範囲内なし</ns0:t>
        </ns0:is>
      </ns0:c>
      <ns0:c r="M1455" s="7" t="n">
        <ns0:v>-45383.89053557249</ns0:v>
      </ns0:c>
      <ns0:c r="N1455" s="7" t="n">
        <ns0:v>-25629.80235410188</ns0:v>
      </ns0:c>
      <ns0:c r="O1455" s="7" t="n">
        <ns0:v>-3755.689141342198</ns0:v>
      </ns0:c>
      <ns0:c r="P1455" s="7" t="n">
        <ns0:v>46999.55634362341</ns0:v>
      </ns0:c>
      <ns0:c r="Q1455" s="7" t="n">
        <ns0:v>208020.5382834859</ns0:v>
      </ns0:c>
      <ns0:c r="R1455" s="7" t="n">
        <ns0:v>848593.9750730046</ns0:v>
      </ns0:c>
    </ns0:row>
    <ns0:row r="1456" ht="24" customHeight="1">
      <ns0:c r="A1456" s="3" t="inlineStr">
        <ns0:is>
          <ns0:t>混在40/30/30</ns0:t>
        </ns0:is>
      </ns0:c>
      <ns0:c r="B1456" s="3" t="inlineStr">
        <ns0:is>
          <ns0:t>G2二段階</ns0:t>
        </ns0:is>
      </ns0:c>
      <ns0:c r="C1456" s="3" t="inlineStr">
        <ns0:is>
          <ns0:t>A</ns0:t>
        </ns0:is>
      </ns0:c>
      <ns0:c r="D1456" s="4" t="n">
        <ns0:v>0</ns0:v>
      </ns0:c>
      <ns0:c r="E1456" s="4" t="n">
        <ns0:v>1000</ns0:v>
      </ns0:c>
      <ns0:c r="F1456" s="6" t="n">
        <ns0:v>0.5</ns0:v>
      </ns0:c>
      <ns0:c r="G1456" s="4" t="n">
        <ns0:v>0</ns0:v>
      </ns0:c>
      <ns0:c r="H1456" s="7" t="n">
        <ns0:v>4209.919110137671</ns0:v>
      </ns0:c>
      <ns0:c r="I1456" s="7" t="n">
        <ns0:v>2502.303785982478</ns0:v>
      </ns0:c>
      <ns0:c r="J1456" s="7" t="n">
        <ns0:v>1251.151892991239</ns0:v>
      </ns0:c>
      <ns0:c r="K1456" s="7" t="n">
        <ns0:v>37</ns0:v>
      </ns0:c>
      <ns0:c r="L1456" s="7" t="n">
        <ns0:v>75</ns0:v>
      </ns0:c>
      <ns0:c r="M1456" s="7" t="n">
        <ns0:v>-40542.3795393831</ns0:v>
      </ns0:c>
      <ns0:c r="N1456" s="7" t="n">
        <ns0:v>-11105.26936553372</ns0:v>
      </ns0:c>
      <ns0:c r="O1456" s="7" t="n">
        <ns0:v>20451.86583960477</ns0:v>
      </ns0:c>
      <ns0:c r="P1456" s="7" t="n">
        <ns0:v>95414.66630551734</ns0:v>
      </ns0:c>
      <ns0:c r="Q1456" s="7" t="n">
        <ns0:v>353265.8681691677</ns0:v>
      </ns0:c>
      <ns0:c r="R1456" s="7" t="n">
        <ns0:v>1332745.074691944</ns0:v>
      </ns0:c>
    </ns0:row>
    <ns0:row r="1457" ht="24" customHeight="1">
      <ns0:c r="A1457" s="3" t="inlineStr">
        <ns0:is>
          <ns0:t>混在40/30/30</ns0:t>
        </ns0:is>
      </ns0:c>
      <ns0:c r="B1457" s="3" t="inlineStr">
        <ns0:is>
          <ns0:t>G2二段階</ns0:t>
        </ns0:is>
      </ns0:c>
      <ns0:c r="C1457" s="3" t="inlineStr">
        <ns0:is>
          <ns0:t>A</ns0:t>
        </ns0:is>
      </ns0:c>
      <ns0:c r="D1457" s="4" t="n">
        <ns0:v>0</ns0:v>
      </ns0:c>
      <ns0:c r="E1457" s="4" t="n">
        <ns0:v>1000</ns0:v>
      </ns0:c>
      <ns0:c r="F1457" s="6" t="n">
        <ns0:v>0.5</ns0:v>
      </ns0:c>
      <ns0:c r="G1457" s="4" t="n">
        <ns0:v>1</ns0:v>
      </ns0:c>
      <ns0:c r="H1457" s="7" t="n">
        <ns0:v>4209.919110137671</ns0:v>
      </ns0:c>
      <ns0:c r="I1457" s="7" t="n">
        <ns0:v>2502.303785982478</ns0:v>
      </ns0:c>
      <ns0:c r="J1457" s="7" t="n">
        <ns0:v>1251.151892991239</ns0:v>
      </ns0:c>
      <ns0:c r="K1457" s="7" t="n">
        <ns0:v>43</ns0:v>
      </ns0:c>
      <ns0:c r="L1457" s="7" t="n">
        <ns0:v>233</ns0:v>
      </ns0:c>
      <ns0:c r="M1457" s="7" t="n">
        <ns0:v>-42761.92335124841</ns0:v>
      </ns0:c>
      <ns0:c r="N1457" s="7" t="n">
        <ns0:v>-17763.90080112965</ns0:v>
      </ns0:c>
      <ns0:c r="O1457" s="7" t="n">
        <ns0:v>9354.146780278203</ns0:v>
      </ns0:c>
      <ns0:c r="P1457" s="7" t="n">
        <ns0:v>73219.2281868642</ns0:v>
      </ns0:c>
      <ns0:c r="Q1457" s="7" t="n">
        <ns0:v>286679.5538132082</ns0:v>
      </ns0:c>
      <ns0:c r="R1457" s="7" t="n">
        <ns0:v>1110790.693505412</ns0:v>
      </ns0:c>
    </ns0:row>
    <ns0:row r="1458" ht="24" customHeight="1">
      <ns0:c r="A1458" s="3" t="inlineStr">
        <ns0:is>
          <ns0:t>混在40/30/30</ns0:t>
        </ns0:is>
      </ns0:c>
      <ns0:c r="B1458" s="3" t="inlineStr">
        <ns0:is>
          <ns0:t>G2二段階</ns0:t>
        </ns0:is>
      </ns0:c>
      <ns0:c r="C1458" s="3" t="inlineStr">
        <ns0:is>
          <ns0:t>A</ns0:t>
        </ns0:is>
      </ns0:c>
      <ns0:c r="D1458" s="4" t="n">
        <ns0:v>0</ns0:v>
      </ns0:c>
      <ns0:c r="E1458" s="4" t="n">
        <ns0:v>1000</ns0:v>
      </ns0:c>
      <ns0:c r="F1458" s="6" t="n">
        <ns0:v>0.5</ns0:v>
      </ns0:c>
      <ns0:c r="G1458" s="4" t="n">
        <ns0:v>2</ns0:v>
      </ns0:c>
      <ns0:c r="H1458" s="7" t="n">
        <ns0:v>4209.919110137671</ns0:v>
      </ns0:c>
      <ns0:c r="I1458" s="7" t="n">
        <ns0:v>2502.303785982478</ns0:v>
      </ns0:c>
      <ns0:c r="J1458" s="7" t="n">
        <ns0:v>1251.151892991239</ns0:v>
      </ns0:c>
      <ns0:c r="K1458" s="18" t="inlineStr">
        <ns0:is>
          <ns0:t>範囲内なし</ns0:t>
        </ns0:is>
      </ns0:c>
      <ns0:c r="L1458" s="18" t="inlineStr">
        <ns0:is>
          <ns0:t>範囲内なし</ns0:t>
        </ns0:is>
      </ns0:c>
      <ns0:c r="M1458" s="7" t="n">
        <ns0:v>-53899.57963828035</ns0:v>
      </ns0:c>
      <ns0:c r="N1458" s="7" t="n">
        <ns0:v>-51176.86966222549</ns0:v>
      </ns0:c>
      <ns0:c r="O1458" s="7" t="n">
        <ns0:v>-46334.13465488151</ns0:v>
      </ns0:c>
      <ns0:c r="P1458" s="7" t="n">
        <ns0:v>-38157.33468345524</ns0:v>
      </ns0:c>
      <ns0:c r="Q1458" s="7" t="n">
        <ns0:v>-47450.13479775004</ns0:v>
      </ns0:c>
      <ns0:c r="R1458" s="7" t="n">
        <ns0:v>-2974.935197781888</ns0:v>
      </ns0:c>
    </ns0:row>
    <ns0:row r="1459" ht="24" customHeight="1">
      <ns0:c r="A1459" s="3" t="inlineStr">
        <ns0:is>
          <ns0:t>混在40/30/30</ns0:t>
        </ns0:is>
      </ns0:c>
      <ns0:c r="B1459" s="3" t="inlineStr">
        <ns0:is>
          <ns0:t>G2二段階</ns0:t>
        </ns0:is>
      </ns0:c>
      <ns0:c r="C1459" s="3" t="inlineStr">
        <ns0:is>
          <ns0:t>A</ns0:t>
        </ns0:is>
      </ns0:c>
      <ns0:c r="D1459" s="4" t="n">
        <ns0:v>0</ns0:v>
      </ns0:c>
      <ns0:c r="E1459" s="4" t="n">
        <ns0:v>1000</ns0:v>
      </ns0:c>
      <ns0:c r="F1459" s="6" t="n">
        <ns0:v>0.5</ns0:v>
      </ns0:c>
      <ns0:c r="G1459" s="4" t="n">
        <ns0:v>3</ns0:v>
      </ns0:c>
      <ns0:c r="H1459" s="7" t="n">
        <ns0:v>4209.919110137671</ns0:v>
      </ns0:c>
      <ns0:c r="I1459" s="7" t="n">
        <ns0:v>2502.303785982478</ns0:v>
      </ns0:c>
      <ns0:c r="J1459" s="7" t="n">
        <ns0:v>1251.151892991239</ns0:v>
      </ns0:c>
      <ns0:c r="K1459" s="7" t="n">
        <ns0:v>72</ns0:v>
      </ns0:c>
      <ns0:c r="L1459" s="18" t="inlineStr">
        <ns0:is>
          <ns0:t>範囲内なし</ns0:t>
        </ns0:is>
      </ns0:c>
      <ns0:c r="M1459" s="7" t="n">
        <ns0:v>-47886.19432155497</ns0:v>
      </ns0:c>
      <ns0:c r="N1459" s="7" t="n">
        <ns0:v>-33136.71371204933</ns0:v>
      </ns0:c>
      <ns0:c r="O1459" s="7" t="n">
        <ns0:v>-16267.20807125458</ns0:v>
      </ns0:c>
      <ns0:c r="P1459" s="7" t="n">
        <ns0:v>21976.51848379864</ns0:v>
      </ns0:c>
      <ns0:c r="Q1459" s="7" t="n">
        <ns0:v>132951.4247040116</ns0:v>
      </ns0:c>
      <ns0:c r="R1459" s="7" t="n">
        <ns0:v>598363.5964747568</ns0:v>
      </ns0:c>
    </ns0:row>
    <ns0:row r="1460" ht="24" customHeight="1">
      <ns0:c r="A1460" s="3" t="inlineStr">
        <ns0:is>
          <ns0:t>混在40/30/30</ns0:t>
        </ns0:is>
      </ns0:c>
      <ns0:c r="B1460" s="3" t="inlineStr">
        <ns0:is>
          <ns0:t>G2二段階</ns0:t>
        </ns0:is>
      </ns0:c>
      <ns0:c r="C1460" s="3" t="inlineStr">
        <ns0:is>
          <ns0:t>A</ns0:t>
        </ns0:is>
      </ns0:c>
      <ns0:c r="D1460" s="4" t="n">
        <ns0:v>0</ns0:v>
      </ns0:c>
      <ns0:c r="E1460" s="4" t="n">
        <ns0:v>1500</ns0:v>
      </ns0:c>
      <ns0:c r="F1460" s="6" t="n">
        <ns0:v>0.3</ns0:v>
      </ns0:c>
      <ns0:c r="G1460" s="4" t="n">
        <ns0:v>0</ns0:v>
      </ns0:c>
      <ns0:c r="H1460" s="7" t="n">
        <ns0:v>4059.919110137671</ns0:v>
      </ns0:c>
      <ns0:c r="I1460" s="7" t="n">
        <ns0:v>2352.303785982478</ns0:v>
      </ns0:c>
      <ns0:c r="J1460" s="7" t="n">
        <ns0:v>705.6911357947433</ns0:v>
      </ns0:c>
      <ns0:c r="K1460" s="7" t="n">
        <ns0:v>30</ns0:v>
      </ns0:c>
      <ns0:c r="L1460" s="7" t="n">
        <ns0:v>59</ns0:v>
      </ns0:c>
      <ns0:c r="M1460" s="7" t="n">
        <ns0:v>-36533.77196741814</ns0:v>
      </ns0:c>
      <ns0:c r="N1460" s="7" t="n">
        <ns0:v>920.5533503611514</ns0:v>
      </ns0:c>
      <ns0:c r="O1460" s="7" t="n">
        <ns0:v>40494.90369942955</ns0:v>
      </ns0:c>
      <ns0:c r="P1460" s="7" t="n">
        <ns0:v>135500.7420251669</ns0:v>
      </ns0:c>
      <ns0:c r="Q1460" s="7" t="n">
        <ns0:v>473524.0953281164</ns0:v>
      </ns0:c>
      <ns0:c r="R1460" s="7" t="n">
        <ns0:v>1733605.83188844</ns0:v>
      </ns0:c>
    </ns0:row>
    <ns0:row r="1461" ht="24" customHeight="1">
      <ns0:c r="A1461" s="3" t="inlineStr">
        <ns0:is>
          <ns0:t>混在40/30/30</ns0:t>
        </ns0:is>
      </ns0:c>
      <ns0:c r="B1461" s="3" t="inlineStr">
        <ns0:is>
          <ns0:t>G2二段階</ns0:t>
        </ns0:is>
      </ns0:c>
      <ns0:c r="C1461" s="3" t="inlineStr">
        <ns0:is>
          <ns0:t>A</ns0:t>
        </ns0:is>
      </ns0:c>
      <ns0:c r="D1461" s="4" t="n">
        <ns0:v>0</ns0:v>
      </ns0:c>
      <ns0:c r="E1461" s="4" t="n">
        <ns0:v>1500</ns0:v>
      </ns0:c>
      <ns0:c r="F1461" s="6" t="n">
        <ns0:v>0.3</ns0:v>
      </ns0:c>
      <ns0:c r="G1461" s="4" t="n">
        <ns0:v>1</ns0:v>
      </ns0:c>
      <ns0:c r="H1461" s="7" t="n">
        <ns0:v>4059.919110137671</ns0:v>
      </ns0:c>
      <ns0:c r="I1461" s="7" t="n">
        <ns0:v>2352.303785982478</ns0:v>
      </ns0:c>
      <ns0:c r="J1461" s="7" t="n">
        <ns0:v>705.6911357947433</ns0:v>
      </ns0:c>
      <ns0:c r="K1461" s="7" t="n">
        <ns0:v>33</ns0:v>
      </ns0:c>
      <ns0:c r="L1461" s="7" t="n">
        <ns0:v>95</ns0:v>
      </ns0:c>
      <ns0:c r="M1461" s="7" t="n">
        <ns0:v>-38753.31577928346</ns0:v>
      </ns0:c>
      <ns0:c r="N1461" s="7" t="n">
        <ns0:v>-5738.078085234789</ns0:v>
      </ns0:c>
      <ns0:c r="O1461" s="7" t="n">
        <ns0:v>29397.18464010299</ns0:v>
      </ns0:c>
      <ns0:c r="P1461" s="7" t="n">
        <ns0:v>113305.3039065138</ns0:v>
      </ns0:c>
      <ns0:c r="Q1461" s="7" t="n">
        <ns0:v>406937.780972157</ns0:v>
      </ns0:c>
      <ns0:c r="R1461" s="7" t="n">
        <ns0:v>1511651.450701909</ns0:v>
      </ns0:c>
    </ns0:row>
    <ns0:row r="1462" ht="24" customHeight="1">
      <ns0:c r="A1462" s="3" t="inlineStr">
        <ns0:is>
          <ns0:t>混在40/30/30</ns0:t>
        </ns0:is>
      </ns0:c>
      <ns0:c r="B1462" s="3" t="inlineStr">
        <ns0:is>
          <ns0:t>G2二段階</ns0:t>
        </ns0:is>
      </ns0:c>
      <ns0:c r="C1462" s="3" t="inlineStr">
        <ns0:is>
          <ns0:t>A</ns0:t>
        </ns0:is>
      </ns0:c>
      <ns0:c r="D1462" s="4" t="n">
        <ns0:v>0</ns0:v>
      </ns0:c>
      <ns0:c r="E1462" s="4" t="n">
        <ns0:v>1500</ns0:v>
      </ns0:c>
      <ns0:c r="F1462" s="6" t="n">
        <ns0:v>0.3</ns0:v>
      </ns0:c>
      <ns0:c r="G1462" s="4" t="n">
        <ns0:v>2</ns0:v>
      </ns0:c>
      <ns0:c r="H1462" s="7" t="n">
        <ns0:v>4059.919110137671</ns0:v>
      </ns0:c>
      <ns0:c r="I1462" s="7" t="n">
        <ns0:v>2352.303785982478</ns0:v>
      </ns0:c>
      <ns0:c r="J1462" s="7" t="n">
        <ns0:v>705.6911357947433</ns0:v>
      </ns0:c>
      <ns0:c r="K1462" s="7" t="n">
        <ns0:v>171</ns0:v>
      </ns0:c>
      <ns0:c r="L1462" s="18" t="inlineStr">
        <ns0:is>
          <ns0:t>範囲内なし</ns0:t>
        </ns0:is>
      </ns0:c>
      <ns0:c r="M1462" s="7" t="n">
        <ns0:v>-49890.9720663154</ns0:v>
      </ns0:c>
      <ns0:c r="N1462" s="7" t="n">
        <ns0:v>-39151.04694633061</ns0:v>
      </ns0:c>
      <ns0:c r="O1462" s="7" t="n">
        <ns0:v>-26291.09679505673</ns0:v>
      </ns0:c>
      <ns0:c r="P1462" s="7" t="n">
        <ns0:v>1928.741036194348</ns0:v>
      </ns0:c>
      <ns0:c r="Q1462" s="7" t="n">
        <ns0:v>72808.09236119868</ns0:v>
      </ns0:c>
      <ns0:c r="R1462" s="7" t="n">
        <ns0:v>397885.8219987145</ns0:v>
      </ns0:c>
    </ns0:row>
    <ns0:row r="1463" ht="24" customHeight="1">
      <ns0:c r="A1463" s="3" t="inlineStr">
        <ns0:is>
          <ns0:t>混在40/30/30</ns0:t>
        </ns0:is>
      </ns0:c>
      <ns0:c r="B1463" s="3" t="inlineStr">
        <ns0:is>
          <ns0:t>G2二段階</ns0:t>
        </ns0:is>
      </ns0:c>
      <ns0:c r="C1463" s="3" t="inlineStr">
        <ns0:is>
          <ns0:t>A</ns0:t>
        </ns0:is>
      </ns0:c>
      <ns0:c r="D1463" s="4" t="n">
        <ns0:v>0</ns0:v>
      </ns0:c>
      <ns0:c r="E1463" s="4" t="n">
        <ns0:v>1500</ns0:v>
      </ns0:c>
      <ns0:c r="F1463" s="6" t="n">
        <ns0:v>0.3</ns0:v>
      </ns0:c>
      <ns0:c r="G1463" s="4" t="n">
        <ns0:v>3</ns0:v>
      </ns0:c>
      <ns0:c r="H1463" s="7" t="n">
        <ns0:v>4059.919110137671</ns0:v>
      </ns0:c>
      <ns0:c r="I1463" s="7" t="n">
        <ns0:v>2352.303785982478</ns0:v>
      </ns0:c>
      <ns0:c r="J1463" s="7" t="n">
        <ns0:v>705.6911357947433</ns0:v>
      </ns0:c>
      <ns0:c r="K1463" s="7" t="n">
        <ns0:v>47</ns0:v>
      </ns0:c>
      <ns0:c r="L1463" s="18" t="inlineStr">
        <ns0:is>
          <ns0:t>範囲内なし</ns0:t>
        </ns0:is>
      </ns0:c>
      <ns0:c r="M1463" s="7" t="n">
        <ns0:v>-43877.58674959002</ns0:v>
      </ns0:c>
      <ns0:c r="N1463" s="7" t="n">
        <ns0:v>-21110.89099615446</ns0:v>
      </ns0:c>
      <ns0:c r="O1463" s="7" t="n">
        <ns0:v>3775.829788570205</ns0:v>
      </ns0:c>
      <ns0:c r="P1463" s="7" t="n">
        <ns0:v>62062.59420344821</ns0:v>
      </ns0:c>
      <ns0:c r="Q1463" s="7" t="n">
        <ns0:v>253209.6518629603</ns0:v>
      </ns0:c>
      <ns0:c r="R1463" s="7" t="n">
        <ns0:v>999224.3536712532</ns0:v>
      </ns0:c>
    </ns0:row>
    <ns0:row r="1464" ht="24" customHeight="1">
      <ns0:c r="A1464" s="3" t="inlineStr">
        <ns0:is>
          <ns0:t>混在40/30/30</ns0:t>
        </ns0:is>
      </ns0:c>
      <ns0:c r="B1464" s="3" t="inlineStr">
        <ns0:is>
          <ns0:t>G2二段階</ns0:t>
        </ns0:is>
      </ns0:c>
      <ns0:c r="C1464" s="3" t="inlineStr">
        <ns0:is>
          <ns0:t>A</ns0:t>
        </ns0:is>
      </ns0:c>
      <ns0:c r="D1464" s="4" t="n">
        <ns0:v>0</ns0:v>
      </ns0:c>
      <ns0:c r="E1464" s="4" t="n">
        <ns0:v>1500</ns0:v>
      </ns0:c>
      <ns0:c r="F1464" s="6" t="n">
        <ns0:v>0.4</ns0:v>
      </ns0:c>
      <ns0:c r="G1464" s="4" t="n">
        <ns0:v>0</ns0:v>
      </ns0:c>
      <ns0:c r="H1464" s="7" t="n">
        <ns0:v>4059.919110137671</ns0:v>
      </ns0:c>
      <ns0:c r="I1464" s="7" t="n">
        <ns0:v>2352.303785982478</ns0:v>
      </ns0:c>
      <ns0:c r="J1464" s="7" t="n">
        <ns0:v>940.9215143929912</ns0:v>
      </ns0:c>
      <ns0:c r="K1464" s="7" t="n">
        <ns0:v>33</ns0:v>
      </ns0:c>
      <ns0:c r="L1464" s="7" t="n">
        <ns0:v>68</ns0:v>
      </ns0:c>
      <ns0:c r="M1464" s="7" t="n">
        <ns0:v>-38886.07575340063</ns0:v>
      </ns0:c>
      <ns0:c r="N1464" s="7" t="n">
        <ns0:v>-6136.358007586277</ns0:v>
      </ns0:c>
      <ns0:c r="O1464" s="7" t="n">
        <ns0:v>28733.38476951716</ns0:v>
      </ns0:c>
      <ns0:c r="P1464" s="7" t="n">
        <ns0:v>111977.7041653421</ns0:v>
      </ns0:c>
      <ns0:c r="Q1464" s="7" t="n">
        <ns0:v>402954.981748642</ns0:v>
      </ns0:c>
      <ns0:c r="R1464" s="7" t="n">
        <ns0:v>1498375.453290192</ns0:v>
      </ns0:c>
    </ns0:row>
    <ns0:row r="1465" ht="24" customHeight="1">
      <ns0:c r="A1465" s="3" t="inlineStr">
        <ns0:is>
          <ns0:t>混在40/30/30</ns0:t>
        </ns0:is>
      </ns0:c>
      <ns0:c r="B1465" s="3" t="inlineStr">
        <ns0:is>
          <ns0:t>G2二段階</ns0:t>
        </ns0:is>
      </ns0:c>
      <ns0:c r="C1465" s="3" t="inlineStr">
        <ns0:is>
          <ns0:t>A</ns0:t>
        </ns0:is>
      </ns0:c>
      <ns0:c r="D1465" s="4" t="n">
        <ns0:v>0</ns0:v>
      </ns0:c>
      <ns0:c r="E1465" s="4" t="n">
        <ns0:v>1500</ns0:v>
      </ns0:c>
      <ns0:c r="F1465" s="6" t="n">
        <ns0:v>0.4</ns0:v>
      </ns0:c>
      <ns0:c r="G1465" s="4" t="n">
        <ns0:v>1</ns0:v>
      </ns0:c>
      <ns0:c r="H1465" s="7" t="n">
        <ns0:v>4059.919110137671</ns0:v>
      </ns0:c>
      <ns0:c r="I1465" s="7" t="n">
        <ns0:v>2352.303785982478</ns0:v>
      </ns0:c>
      <ns0:c r="J1465" s="7" t="n">
        <ns0:v>940.9215143929912</ns0:v>
      </ns0:c>
      <ns0:c r="K1465" s="7" t="n">
        <ns0:v>38</ns0:v>
      </ns0:c>
      <ns0:c r="L1465" s="7" t="n">
        <ns0:v>194</ns0:v>
      </ns0:c>
      <ns0:c r="M1465" s="7" t="n">
        <ns0:v>-41105.61956526594</ns0:v>
      </ns0:c>
      <ns0:c r="N1465" s="7" t="n">
        <ns0:v>-12794.98944318221</ns0:v>
      </ns0:c>
      <ns0:c r="O1465" s="7" t="n">
        <ns0:v>17635.66571019059</ns0:v>
      </ns0:c>
      <ns0:c r="P1465" s="7" t="n">
        <ns0:v>89782.26604668898</ns0:v>
      </ns0:c>
      <ns0:c r="Q1465" s="7" t="n">
        <ns0:v>336368.6673926826</ns0:v>
      </ns0:c>
      <ns0:c r="R1465" s="7" t="n">
        <ns0:v>1276421.072103661</ns0:v>
      </ns0:c>
    </ns0:row>
    <ns0:row r="1466" ht="24" customHeight="1">
      <ns0:c r="A1466" s="3" t="inlineStr">
        <ns0:is>
          <ns0:t>混在40/30/30</ns0:t>
        </ns0:is>
      </ns0:c>
      <ns0:c r="B1466" s="3" t="inlineStr">
        <ns0:is>
          <ns0:t>G2二段階</ns0:t>
        </ns0:is>
      </ns0:c>
      <ns0:c r="C1466" s="3" t="inlineStr">
        <ns0:is>
          <ns0:t>A</ns0:t>
        </ns0:is>
      </ns0:c>
      <ns0:c r="D1466" s="4" t="n">
        <ns0:v>0</ns0:v>
      </ns0:c>
      <ns0:c r="E1466" s="4" t="n">
        <ns0:v>1500</ns0:v>
      </ns0:c>
      <ns0:c r="F1466" s="6" t="n">
        <ns0:v>0.4</ns0:v>
      </ns0:c>
      <ns0:c r="G1466" s="4" t="n">
        <ns0:v>2</ns0:v>
      </ns0:c>
      <ns0:c r="H1466" s="7" t="n">
        <ns0:v>4059.919110137671</ns0:v>
      </ns0:c>
      <ns0:c r="I1466" s="7" t="n">
        <ns0:v>2352.303785982478</ns0:v>
      </ns0:c>
      <ns0:c r="J1466" s="7" t="n">
        <ns0:v>940.9215143929912</ns0:v>
      </ns0:c>
      <ns0:c r="K1466" s="7" t="n">
        <ns0:v>294</ns0:v>
      </ns0:c>
      <ns0:c r="L1466" s="18" t="inlineStr">
        <ns0:is>
          <ns0:t>範囲内なし</ns0:t>
        </ns0:is>
      </ns0:c>
      <ns0:c r="M1466" s="7" t="n">
        <ns0:v>-52243.27585229788</ns0:v>
      </ns0:c>
      <ns0:c r="N1466" s="7" t="n">
        <ns0:v>-46207.95830427804</ns0:v>
      </ns0:c>
      <ns0:c r="O1466" s="7" t="n">
        <ns0:v>-38052.61572496912</ns0:v>
      </ns0:c>
      <ns0:c r="P1466" s="7" t="n">
        <ns0:v>-21594.29682363043</ns0:v>
      </ns0:c>
      <ns0:c r="Q1466" s="7" t="n">
        <ns0:v>2238.978781724349</ns0:v>
      </ns0:c>
      <ns0:c r="R1466" s="7" t="n">
        <ns0:v>162655.4434004665</ns0:v>
      </ns0:c>
    </ns0:row>
    <ns0:row r="1467" ht="24" customHeight="1">
      <ns0:c r="A1467" s="3" t="inlineStr">
        <ns0:is>
          <ns0:t>混在40/30/30</ns0:t>
        </ns0:is>
      </ns0:c>
      <ns0:c r="B1467" s="3" t="inlineStr">
        <ns0:is>
          <ns0:t>G2二段階</ns0:t>
        </ns0:is>
      </ns0:c>
      <ns0:c r="C1467" s="3" t="inlineStr">
        <ns0:is>
          <ns0:t>A</ns0:t>
        </ns0:is>
      </ns0:c>
      <ns0:c r="D1467" s="4" t="n">
        <ns0:v>0</ns0:v>
      </ns0:c>
      <ns0:c r="E1467" s="4" t="n">
        <ns0:v>1500</ns0:v>
      </ns0:c>
      <ns0:c r="F1467" s="6" t="n">
        <ns0:v>0.4</ns0:v>
      </ns0:c>
      <ns0:c r="G1467" s="4" t="n">
        <ns0:v>3</ns0:v>
      </ns0:c>
      <ns0:c r="H1467" s="7" t="n">
        <ns0:v>4059.919110137671</ns0:v>
      </ns0:c>
      <ns0:c r="I1467" s="7" t="n">
        <ns0:v>2352.303785982478</ns0:v>
      </ns0:c>
      <ns0:c r="J1467" s="7" t="n">
        <ns0:v>940.9215143929912</ns0:v>
      </ns0:c>
      <ns0:c r="K1467" s="7" t="n">
        <ns0:v>59</ns0:v>
      </ns0:c>
      <ns0:c r="L1467" s="18" t="inlineStr">
        <ns0:is>
          <ns0:t>範囲内なし</ns0:t>
        </ns0:is>
      </ns0:c>
      <ns0:c r="M1467" s="7" t="n">
        <ns0:v>-46229.8905355725</ns0:v>
      </ns0:c>
      <ns0:c r="N1467" s="7" t="n">
        <ns0:v>-28167.80235410188</ns0:v>
      </ns0:c>
      <ns0:c r="O1467" s="7" t="n">
        <ns0:v>-7985.689141342184</ns0:v>
      </ns0:c>
      <ns0:c r="P1467" s="7" t="n">
        <ns0:v>38539.55634362342</ns0:v>
      </ns0:c>
      <ns0:c r="Q1467" s="7" t="n">
        <ns0:v>182640.5382834859</ns0:v>
      </ns0:c>
      <ns0:c r="R1467" s="7" t="n">
        <ns0:v>763993.9750730052</ns0:v>
      </ns0:c>
    </ns0:row>
    <ns0:row r="1468" ht="24" customHeight="1">
      <ns0:c r="A1468" s="3" t="inlineStr">
        <ns0:is>
          <ns0:t>混在40/30/30</ns0:t>
        </ns0:is>
      </ns0:c>
      <ns0:c r="B1468" s="3" t="inlineStr">
        <ns0:is>
          <ns0:t>G2二段階</ns0:t>
        </ns0:is>
      </ns0:c>
      <ns0:c r="C1468" s="3" t="inlineStr">
        <ns0:is>
          <ns0:t>A</ns0:t>
        </ns0:is>
      </ns0:c>
      <ns0:c r="D1468" s="4" t="n">
        <ns0:v>0</ns0:v>
      </ns0:c>
      <ns0:c r="E1468" s="4" t="n">
        <ns0:v>1500</ns0:v>
      </ns0:c>
      <ns0:c r="F1468" s="6" t="n">
        <ns0:v>0.5</ns0:v>
      </ns0:c>
      <ns0:c r="G1468" s="4" t="n">
        <ns0:v>0</ns0:v>
      </ns0:c>
      <ns0:c r="H1468" s="7" t="n">
        <ns0:v>4059.919110137671</ns0:v>
      </ns0:c>
      <ns0:c r="I1468" s="7" t="n">
        <ns0:v>2352.303785982478</ns0:v>
      </ns0:c>
      <ns0:c r="J1468" s="7" t="n">
        <ns0:v>1176.151892991239</ns0:v>
      </ns0:c>
      <ns0:c r="K1468" s="7" t="n">
        <ns0:v>39</ns0:v>
      </ns0:c>
      <ns0:c r="L1468" s="7" t="n">
        <ns0:v>79</ns0:v>
      </ns0:c>
      <ns0:c r="M1468" s="7" t="n">
        <ns0:v>-41238.3795393831</ns0:v>
      </ns0:c>
      <ns0:c r="N1468" s="7" t="n">
        <ns0:v>-13193.26936553372</ns0:v>
      </ns0:c>
      <ns0:c r="O1468" s="7" t="n">
        <ns0:v>16971.86583960477</ns0:v>
      </ns0:c>
      <ns0:c r="P1468" s="7" t="n">
        <ns0:v>88454.66630551734</ns0:v>
      </ns0:c>
      <ns0:c r="Q1468" s="7" t="n">
        <ns0:v>332385.8681691678</ns0:v>
      </ns0:c>
      <ns0:c r="R1468" s="7" t="n">
        <ns0:v>1263145.074691944</ns0:v>
      </ns0:c>
    </ns0:row>
    <ns0:row r="1469" ht="24" customHeight="1">
      <ns0:c r="A1469" s="3" t="inlineStr">
        <ns0:is>
          <ns0:t>混在40/30/30</ns0:t>
        </ns0:is>
      </ns0:c>
      <ns0:c r="B1469" s="3" t="inlineStr">
        <ns0:is>
          <ns0:t>G2二段階</ns0:t>
        </ns0:is>
      </ns0:c>
      <ns0:c r="C1469" s="3" t="inlineStr">
        <ns0:is>
          <ns0:t>A</ns0:t>
        </ns0:is>
      </ns0:c>
      <ns0:c r="D1469" s="4" t="n">
        <ns0:v>0</ns0:v>
      </ns0:c>
      <ns0:c r="E1469" s="4" t="n">
        <ns0:v>1500</ns0:v>
      </ns0:c>
      <ns0:c r="F1469" s="6" t="n">
        <ns0:v>0.5</ns0:v>
      </ns0:c>
      <ns0:c r="G1469" s="4" t="n">
        <ns0:v>1</ns0:v>
      </ns0:c>
      <ns0:c r="H1469" s="7" t="n">
        <ns0:v>4059.919110137671</ns0:v>
      </ns0:c>
      <ns0:c r="I1469" s="7" t="n">
        <ns0:v>2352.303785982478</ns0:v>
      </ns0:c>
      <ns0:c r="J1469" s="7" t="n">
        <ns0:v>1176.151892991239</ns0:v>
      </ns0:c>
      <ns0:c r="K1469" s="7" t="n">
        <ns0:v>46</ns0:v>
      </ns0:c>
      <ns0:c r="L1469" s="7" t="n">
        <ns0:v>260</ns0:v>
      </ns0:c>
      <ns0:c r="M1469" s="7" t="n">
        <ns0:v>-43457.92335124842</ns0:v>
      </ns0:c>
      <ns0:c r="N1469" s="7" t="n">
        <ns0:v>-19851.90080112965</ns0:v>
      </ns0:c>
      <ns0:c r="O1469" s="7" t="n">
        <ns0:v>5874.146780278206</ns0:v>
      </ns0:c>
      <ns0:c r="P1469" s="7" t="n">
        <ns0:v>66259.2281868642</ns0:v>
      </ns0:c>
      <ns0:c r="Q1469" s="7" t="n">
        <ns0:v>265799.5538132084</ns0:v>
      </ns0:c>
      <ns0:c r="R1469" s="7" t="n">
        <ns0:v>1041190.693505413</ns0:v>
      </ns0:c>
    </ns0:row>
    <ns0:row r="1470" ht="24" customHeight="1">
      <ns0:c r="A1470" s="3" t="inlineStr">
        <ns0:is>
          <ns0:t>混在40/30/30</ns0:t>
        </ns0:is>
      </ns0:c>
      <ns0:c r="B1470" s="3" t="inlineStr">
        <ns0:is>
          <ns0:t>G2二段階</ns0:t>
        </ns0:is>
      </ns0:c>
      <ns0:c r="C1470" s="3" t="inlineStr">
        <ns0:is>
          <ns0:t>A</ns0:t>
        </ns0:is>
      </ns0:c>
      <ns0:c r="D1470" s="4" t="n">
        <ns0:v>0</ns0:v>
      </ns0:c>
      <ns0:c r="E1470" s="4" t="n">
        <ns0:v>1500</ns0:v>
      </ns0:c>
      <ns0:c r="F1470" s="6" t="n">
        <ns0:v>0.5</ns0:v>
      </ns0:c>
      <ns0:c r="G1470" s="4" t="n">
        <ns0:v>2</ns0:v>
      </ns0:c>
      <ns0:c r="H1470" s="7" t="n">
        <ns0:v>4059.919110137671</ns0:v>
      </ns0:c>
      <ns0:c r="I1470" s="7" t="n">
        <ns0:v>2352.303785982478</ns0:v>
      </ns0:c>
      <ns0:c r="J1470" s="7" t="n">
        <ns0:v>1176.151892991239</ns0:v>
      </ns0:c>
      <ns0:c r="K1470" s="18" t="inlineStr">
        <ns0:is>
          <ns0:t>範囲内なし</ns0:t>
        </ns0:is>
      </ns0:c>
      <ns0:c r="L1470" s="18" t="inlineStr">
        <ns0:is>
          <ns0:t>範囲内なし</ns0:t>
        </ns0:is>
      </ns0:c>
      <ns0:c r="M1470" s="7" t="n">
        <ns0:v>-54595.57963828036</ns0:v>
      </ns0:c>
      <ns0:c r="N1470" s="7" t="n">
        <ns0:v>-53264.86966222549</ns0:v>
      </ns0:c>
      <ns0:c r="O1470" s="7" t="n">
        <ns0:v>-49814.13465488151</ns0:v>
      </ns0:c>
      <ns0:c r="P1470" s="7" t="n">
        <ns0:v>-45117.33468345521</ns0:v>
      </ns0:c>
      <ns0:c r="Q1470" s="7" t="n">
        <ns0:v>-68330.13479774995</ns0:v>
      </ns0:c>
      <ns0:c r="R1470" s="7" t="n">
        <ns0:v>-72574.93519778154</ns0:v>
      </ns0:c>
    </ns0:row>
    <ns0:row r="1471" ht="24" customHeight="1">
      <ns0:c r="A1471" s="3" t="inlineStr">
        <ns0:is>
          <ns0:t>混在40/30/30</ns0:t>
        </ns0:is>
      </ns0:c>
      <ns0:c r="B1471" s="3" t="inlineStr">
        <ns0:is>
          <ns0:t>G2二段階</ns0:t>
        </ns0:is>
      </ns0:c>
      <ns0:c r="C1471" s="3" t="inlineStr">
        <ns0:is>
          <ns0:t>A</ns0:t>
        </ns0:is>
      </ns0:c>
      <ns0:c r="D1471" s="4" t="n">
        <ns0:v>0</ns0:v>
      </ns0:c>
      <ns0:c r="E1471" s="4" t="n">
        <ns0:v>1500</ns0:v>
      </ns0:c>
      <ns0:c r="F1471" s="6" t="n">
        <ns0:v>0.5</ns0:v>
      </ns0:c>
      <ns0:c r="G1471" s="4" t="n">
        <ns0:v>3</ns0:v>
      </ns0:c>
      <ns0:c r="H1471" s="7" t="n">
        <ns0:v>4059.919110137671</ns0:v>
      </ns0:c>
      <ns0:c r="I1471" s="7" t="n">
        <ns0:v>2352.303785982478</ns0:v>
      </ns0:c>
      <ns0:c r="J1471" s="7" t="n">
        <ns0:v>1176.151892991239</ns0:v>
      </ns0:c>
      <ns0:c r="K1471" s="7" t="n">
        <ns0:v>79</ns0:v>
      </ns0:c>
      <ns0:c r="L1471" s="18" t="inlineStr">
        <ns0:is>
          <ns0:t>範囲内なし</ns0:t>
        </ns0:is>
      </ns0:c>
      <ns0:c r="M1471" s="7" t="n">
        <ns0:v>-48582.19432155498</ns0:v>
      </ns0:c>
      <ns0:c r="N1471" s="7" t="n">
        <ns0:v>-35224.71371204933</ns0:v>
      </ns0:c>
      <ns0:c r="O1471" s="7" t="n">
        <ns0:v>-19747.20807125457</ns0:v>
      </ns0:c>
      <ns0:c r="P1471" s="7" t="n">
        <ns0:v>15016.51848379865</ns0:v>
      </ns0:c>
      <ns0:c r="Q1471" s="7" t="n">
        <ns0:v>112071.4247040116</ns0:v>
      </ns0:c>
      <ns0:c r="R1471" s="7" t="n">
        <ns0:v>528763.5964747572</ns0:v>
      </ns0:c>
    </ns0:row>
    <ns0:row r="1472" ht="24" customHeight="1">
      <ns0:c r="A1472" s="3" t="inlineStr">
        <ns0:is>
          <ns0:t>混在40/30/30</ns0:t>
        </ns0:is>
      </ns0:c>
      <ns0:c r="B1472" s="3" t="inlineStr">
        <ns0:is>
          <ns0:t>G2二段階</ns0:t>
        </ns0:is>
      </ns0:c>
      <ns0:c r="C1472" s="3" t="inlineStr">
        <ns0:is>
          <ns0:t>A</ns0:t>
        </ns0:is>
      </ns0:c>
      <ns0:c r="D1472" s="4" t="n">
        <ns0:v>1</ns0:v>
      </ns0:c>
      <ns0:c r="E1472" s="4" t="n">
        <ns0:v>500</ns0:v>
      </ns0:c>
      <ns0:c r="F1472" s="6" t="n">
        <ns0:v>0.3</ns0:v>
      </ns0:c>
      <ns0:c r="G1472" s="4" t="n">
        <ns0:v>0</ns0:v>
      </ns0:c>
      <ns0:c r="H1472" s="7" t="n">
        <ns0:v>5569.017995002947</ns0:v>
      </ns0:c>
      <ns0:c r="I1472" s="7" t="n">
        <ns0:v>2887.71090087308</ns0:v>
      </ns0:c>
      <ns0:c r="J1472" s="7" t="n">
        <ns0:v>866.313270261924</ns0:v>
      </ns0:c>
      <ns0:c r="K1472" s="7" t="n">
        <ns0:v>20</ns0:v>
      </ns0:c>
      <ns0:c r="L1472" s="7" t="n">
        <ns0:v>32</ns0:v>
      </ns0:c>
      <ns0:c r="M1472" s="7" t="n">
        <ns0:v>-23967.67001552834</ns0:v>
      </ns0:c>
      <ns0:c r="N1472" s="7" t="n">
        <ns0:v>31329.36199932665</ns0:v>
      </ns0:c>
      <ns0:c r="O1472" s="7" t="n">
        <ns0:v>88556.22641641626</ns0:v>
      </ns0:c>
      <ns0:c r="P1472" s="7" t="n">
        <ns0:v>231623.3874591403</ns0:v>
      </ns0:c>
      <ns0:c r="Q1472" s="7" t="n">
        <ns0:v>761892.0316300369</ns0:v>
      </ns0:c>
      <ns0:c r="R1472" s="7" t="n">
        <ns0:v>2694832.286228174</ns0:v>
      </ns0:c>
    </ns0:row>
    <ns0:row r="1473" ht="24" customHeight="1">
      <ns0:c r="A1473" s="3" t="inlineStr">
        <ns0:is>
          <ns0:t>混在40/30/30</ns0:t>
        </ns0:is>
      </ns0:c>
      <ns0:c r="B1473" s="3" t="inlineStr">
        <ns0:is>
          <ns0:t>G2二段階</ns0:t>
        </ns0:is>
      </ns0:c>
      <ns0:c r="C1473" s="3" t="inlineStr">
        <ns0:is>
          <ns0:t>A</ns0:t>
        </ns0:is>
      </ns0:c>
      <ns0:c r="D1473" s="4" t="n">
        <ns0:v>1</ns0:v>
      </ns0:c>
      <ns0:c r="E1473" s="4" t="n">
        <ns0:v>500</ns0:v>
      </ns0:c>
      <ns0:c r="F1473" s="6" t="n">
        <ns0:v>0.3</ns0:v>
      </ns0:c>
      <ns0:c r="G1473" s="4" t="n">
        <ns0:v>1</ns0:v>
      </ns0:c>
      <ns0:c r="H1473" s="7" t="n">
        <ns0:v>5569.017995002947</ns0:v>
      </ns0:c>
      <ns0:c r="I1473" s="7" t="n">
        <ns0:v>2887.71090087308</ns0:v>
      </ns0:c>
      <ns0:c r="J1473" s="7" t="n">
        <ns0:v>866.313270261924</ns0:v>
      </ns0:c>
      <ns0:c r="K1473" s="7" t="n">
        <ns0:v>22</ns0:v>
      </ns0:c>
      <ns0:c r="L1473" s="7" t="n">
        <ns0:v>41</ns0:v>
      </ns0:c>
      <ns0:c r="M1473" s="7" t="n">
        <ns0:v>-26536.88808349261</ns0:v>
      </ns0:c>
      <ns0:c r="N1473" s="7" t="n">
        <ns0:v>23621.70779543384</ns0:v>
      </ns0:c>
      <ns0:c r="O1473" s="7" t="n">
        <ns0:v>75710.13607659491</ns0:v>
      </ns0:c>
      <ns0:c r="P1473" s="7" t="n">
        <ns0:v>205931.2067794976</ns0:v>
      </ns0:c>
      <ns0:c r="Q1473" s="7" t="n">
        <ns0:v>684815.4895911086</ns0:v>
      </ns0:c>
      <ns0:c r="R1473" s="7" t="n">
        <ns0:v>2437910.479431747</ns0:v>
      </ns0:c>
    </ns0:row>
    <ns0:row r="1474" ht="24" customHeight="1">
      <ns0:c r="A1474" s="3" t="inlineStr">
        <ns0:is>
          <ns0:t>混在40/30/30</ns0:t>
        </ns0:is>
      </ns0:c>
      <ns0:c r="B1474" s="3" t="inlineStr">
        <ns0:is>
          <ns0:t>G2二段階</ns0:t>
        </ns0:is>
      </ns0:c>
      <ns0:c r="C1474" s="3" t="inlineStr">
        <ns0:is>
          <ns0:t>A</ns0:t>
        </ns0:is>
      </ns0:c>
      <ns0:c r="D1474" s="4" t="n">
        <ns0:v>1</ns0:v>
      </ns0:c>
      <ns0:c r="E1474" s="4" t="n">
        <ns0:v>500</ns0:v>
      </ns0:c>
      <ns0:c r="F1474" s="6" t="n">
        <ns0:v>0.3</ns0:v>
      </ns0:c>
      <ns0:c r="G1474" s="4" t="n">
        <ns0:v>2</ns0:v>
      </ns0:c>
      <ns0:c r="H1474" s="7" t="n">
        <ns0:v>5569.017995002947</ns0:v>
      </ns0:c>
      <ns0:c r="I1474" s="7" t="n">
        <ns0:v>2887.71090087308</ns0:v>
      </ns0:c>
      <ns0:c r="J1474" s="7" t="n">
        <ns0:v>866.313270261924</ns0:v>
      </ns0:c>
      <ns0:c r="K1474" s="7" t="n">
        <ns0:v>201</ns0:v>
      </ns0:c>
      <ns0:c r="L1474" s="18" t="inlineStr">
        <ns0:is>
          <ns0:t>範囲内なし</ns0:t>
        </ns0:is>
      </ns0:c>
      <ns0:c r="M1474" s="7" t="n">
        <ns0:v>-47768.7266148337</ns0:v>
      </ns0:c>
      <ns0:c r="N1474" s="7" t="n">
        <ns0:v>-40073.80779858943</ns0:v>
      </ns0:c>
      <ns0:c r="O1474" s="7" t="n">
        <ns0:v>-30449.05658011054</ns0:v>
      </ns0:c>
      <ns0:c r="P1474" s="7" t="n">
        <ns0:v>-6387.178533913277</ns0:v>
      </ns0:c>
      <ns0:c r="Q1474" s="7" t="n">
        <ns0:v>47860.33365087601</ns0:v>
      </ns0:c>
      <ns0:c r="R1474" s="7" t="n">
        <ns0:v>314726.6262976381</ns0:v>
      </ns0:c>
    </ns0:row>
    <ns0:row r="1475" ht="24" customHeight="1">
      <ns0:c r="A1475" s="3" t="inlineStr">
        <ns0:is>
          <ns0:t>混在40/30/30</ns0:t>
        </ns0:is>
      </ns0:c>
      <ns0:c r="B1475" s="3" t="inlineStr">
        <ns0:is>
          <ns0:t>G2二段階</ns0:t>
        </ns0:is>
      </ns0:c>
      <ns0:c r="C1475" s="3" t="inlineStr">
        <ns0:is>
          <ns0:t>A</ns0:t>
        </ns0:is>
      </ns0:c>
      <ns0:c r="D1475" s="4" t="n">
        <ns0:v>1</ns0:v>
      </ns0:c>
      <ns0:c r="E1475" s="4" t="n">
        <ns0:v>500</ns0:v>
      </ns0:c>
      <ns0:c r="F1475" s="6" t="n">
        <ns0:v>0.3</ns0:v>
      </ns0:c>
      <ns0:c r="G1475" s="4" t="n">
        <ns0:v>3</ns0:v>
      </ns0:c>
      <ns0:c r="H1475" s="7" t="n">
        <ns0:v>5569.017995002947</ns0:v>
      </ns0:c>
      <ns0:c r="I1475" s="7" t="n">
        <ns0:v>2887.71090087308</ns0:v>
      </ns0:c>
      <ns0:c r="J1475" s="7" t="n">
        <ns0:v>866.313270261924</ns0:v>
      </ns0:c>
      <ns0:c r="K1475" s="7" t="n">
        <ns0:v>27</ns0:v>
      </ns0:c>
      <ns0:c r="L1475" s="7" t="n">
        <ns0:v>196</ns0:v>
      </ns0:c>
      <ns0:c r="M1475" s="7" t="n">
        <ns0:v>-32177.63551174641</ns0:v>
      </ns0:c>
      <ns0:c r="N1475" s="7" t="n">
        <ns0:v>6699.465510672442</ns0:v>
      </ns0:c>
      <ns0:c r="O1475" s="7" t="n">
        <ns0:v>47506.39893532591</ns0:v>
      </ns0:c>
      <ns0:c r="P1475" s="7" t="n">
        <ns0:v>149523.7324969596</ns0:v>
      </ns0:c>
      <ns0:c r="Q1475" s="7" t="n">
        <ns0:v>515593.0667434947</ns0:v>
      </ns0:c>
      <ns0:c r="R1475" s="7" t="n">
        <ns0:v>1873835.736606367</ns0:v>
      </ns0:c>
    </ns0:row>
    <ns0:row r="1476" ht="24" customHeight="1">
      <ns0:c r="A1476" s="3" t="inlineStr">
        <ns0:is>
          <ns0:t>混在40/30/30</ns0:t>
        </ns0:is>
      </ns0:c>
      <ns0:c r="B1476" s="3" t="inlineStr">
        <ns0:is>
          <ns0:t>G2二段階</ns0:t>
        </ns0:is>
      </ns0:c>
      <ns0:c r="C1476" s="3" t="inlineStr">
        <ns0:is>
          <ns0:t>A</ns0:t>
        </ns0:is>
      </ns0:c>
      <ns0:c r="D1476" s="4" t="n">
        <ns0:v>1</ns0:v>
      </ns0:c>
      <ns0:c r="E1476" s="4" t="n">
        <ns0:v>500</ns0:v>
      </ns0:c>
      <ns0:c r="F1476" s="6" t="n">
        <ns0:v>0.4</ns0:v>
      </ns0:c>
      <ns0:c r="G1476" s="4" t="n">
        <ns0:v>0</ns0:v>
      </ns0:c>
      <ns0:c r="H1476" s="7" t="n">
        <ns0:v>5569.017995002947</ns0:v>
      </ns0:c>
      <ns0:c r="I1476" s="7" t="n">
        <ns0:v>2887.71090087308</ns0:v>
      </ns0:c>
      <ns0:c r="J1476" s="7" t="n">
        <ns0:v>1155.084360349232</ns0:v>
      </ns0:c>
      <ns0:c r="K1476" s="7" t="n">
        <ns0:v>22</ns0:v>
      </ns0:c>
      <ns0:c r="L1476" s="7" t="n">
        <ns0:v>35</ns0:v>
      </ns0:c>
      <ns0:c r="M1476" s="7" t="n">
        <ns0:v>-26855.38091640142</ns0:v>
      </ns0:c>
      <ns0:c r="N1476" s="7" t="n">
        <ns0:v>22666.2292967074</ns0:v>
      </ns0:c>
      <ns0:c r="O1476" s="7" t="n">
        <ns0:v>74117.67191205086</ns0:v>
      </ns0:c>
      <ns0:c r="P1476" s="7" t="n">
        <ns0:v>202746.2784504095</ns0:v>
      </ns0:c>
      <ns0:c r="Q1476" s="7" t="n">
        <ns0:v>675260.7046038443</ns0:v>
      </ns0:c>
      <ns0:c r="R1476" s="7" t="n">
        <ns0:v>2406061.196140866</ns0:v>
      </ns0:c>
    </ns0:row>
    <ns0:row r="1477" ht="24" customHeight="1">
      <ns0:c r="A1477" s="3" t="inlineStr">
        <ns0:is>
          <ns0:t>混在40/30/30</ns0:t>
        </ns0:is>
      </ns0:c>
      <ns0:c r="B1477" s="3" t="inlineStr">
        <ns0:is>
          <ns0:t>G2二段階</ns0:t>
        </ns0:is>
      </ns0:c>
      <ns0:c r="C1477" s="3" t="inlineStr">
        <ns0:is>
          <ns0:t>A</ns0:t>
        </ns0:is>
      </ns0:c>
      <ns0:c r="D1477" s="4" t="n">
        <ns0:v>1</ns0:v>
      </ns0:c>
      <ns0:c r="E1477" s="4" t="n">
        <ns0:v>500</ns0:v>
      </ns0:c>
      <ns0:c r="F1477" s="6" t="n">
        <ns0:v>0.4</ns0:v>
      </ns0:c>
      <ns0:c r="G1477" s="4" t="n">
        <ns0:v>1</ns0:v>
      </ns0:c>
      <ns0:c r="H1477" s="7" t="n">
        <ns0:v>5569.017995002947</ns0:v>
      </ns0:c>
      <ns0:c r="I1477" s="7" t="n">
        <ns0:v>2887.71090087308</ns0:v>
      </ns0:c>
      <ns0:c r="J1477" s="7" t="n">
        <ns0:v>1155.084360349232</ns0:v>
      </ns0:c>
      <ns0:c r="K1477" s="7" t="n">
        <ns0:v>24</ns0:v>
      </ns0:c>
      <ns0:c r="L1477" s="7" t="n">
        <ns0:v>46</ns0:v>
      </ns0:c>
      <ns0:c r="M1477" s="7" t="n">
        <ns0:v>-29424.59898436569</ns0:v>
      </ns0:c>
      <ns0:c r="N1477" s="7" t="n">
        <ns0:v>14958.57509281459</ns0:v>
      </ns0:c>
      <ns0:c r="O1477" s="7" t="n">
        <ns0:v>61271.58157222949</ns0:v>
      </ns0:c>
      <ns0:c r="P1477" s="7" t="n">
        <ns0:v>177054.0977707668</ns0:v>
      </ns0:c>
      <ns0:c r="Q1477" s="7" t="n">
        <ns0:v>598184.1625649163</ns0:v>
      </ns0:c>
      <ns0:c r="R1477" s="7" t="n">
        <ns0:v>2149139.389344439</ns0:v>
      </ns0:c>
    </ns0:row>
    <ns0:row r="1478" ht="24" customHeight="1">
      <ns0:c r="A1478" s="3" t="inlineStr">
        <ns0:is>
          <ns0:t>混在40/30/30</ns0:t>
        </ns0:is>
      </ns0:c>
      <ns0:c r="B1478" s="3" t="inlineStr">
        <ns0:is>
          <ns0:t>G2二段階</ns0:t>
        </ns0:is>
      </ns0:c>
      <ns0:c r="C1478" s="3" t="inlineStr">
        <ns0:is>
          <ns0:t>A</ns0:t>
        </ns0:is>
      </ns0:c>
      <ns0:c r="D1478" s="4" t="n">
        <ns0:v>1</ns0:v>
      </ns0:c>
      <ns0:c r="E1478" s="4" t="n">
        <ns0:v>500</ns0:v>
      </ns0:c>
      <ns0:c r="F1478" s="6" t="n">
        <ns0:v>0.4</ns0:v>
      </ns0:c>
      <ns0:c r="G1478" s="4" t="n">
        <ns0:v>2</ns0:v>
      </ns0:c>
      <ns0:c r="H1478" s="7" t="n">
        <ns0:v>5569.017995002947</ns0:v>
      </ns0:c>
      <ns0:c r="I1478" s="7" t="n">
        <ns0:v>2887.71090087308</ns0:v>
      </ns0:c>
      <ns0:c r="J1478" s="7" t="n">
        <ns0:v>1155.084360349232</ns0:v>
      </ns0:c>
      <ns0:c r="K1478" s="7" t="n">
        <ns0:v>866</ns0:v>
      </ns0:c>
      <ns0:c r="L1478" s="18" t="inlineStr">
        <ns0:is>
          <ns0:t>範囲内なし</ns0:t>
        </ns0:is>
      </ns0:c>
      <ns0:c r="M1478" s="7" t="n">
        <ns0:v>-50656.43751570678</ns0:v>
      </ns0:c>
      <ns0:c r="N1478" s="7" t="n">
        <ns0:v>-48736.94050120869</ns0:v>
      </ns0:c>
      <ns0:c r="O1478" s="7" t="n">
        <ns0:v>-44887.61108447595</ns0:v>
      </ns0:c>
      <ns0:c r="P1478" s="7" t="n">
        <ns0:v>-35264.28754264407</ns0:v>
      </ns0:c>
      <ns0:c r="Q1478" s="7" t="n">
        <ns0:v>-38770.99337531644</ns0:v>
      </ns0:c>
      <ns0:c r="R1478" s="7" t="n">
        <ns0:v>25955.5362103302</ns0:v>
      </ns0:c>
    </ns0:row>
    <ns0:row r="1479" ht="24" customHeight="1">
      <ns0:c r="A1479" s="3" t="inlineStr">
        <ns0:is>
          <ns0:t>混在40/30/30</ns0:t>
        </ns0:is>
      </ns0:c>
      <ns0:c r="B1479" s="3" t="inlineStr">
        <ns0:is>
          <ns0:t>G2二段階</ns0:t>
        </ns0:is>
      </ns0:c>
      <ns0:c r="C1479" s="3" t="inlineStr">
        <ns0:is>
          <ns0:t>A</ns0:t>
        </ns0:is>
      </ns0:c>
      <ns0:c r="D1479" s="4" t="n">
        <ns0:v>1</ns0:v>
      </ns0:c>
      <ns0:c r="E1479" s="4" t="n">
        <ns0:v>500</ns0:v>
      </ns0:c>
      <ns0:c r="F1479" s="6" t="n">
        <ns0:v>0.4</ns0:v>
      </ns0:c>
      <ns0:c r="G1479" s="4" t="n">
        <ns0:v>3</ns0:v>
      </ns0:c>
      <ns0:c r="H1479" s="7" t="n">
        <ns0:v>5569.017995002947</ns0:v>
      </ns0:c>
      <ns0:c r="I1479" s="7" t="n">
        <ns0:v>2887.71090087308</ns0:v>
      </ns0:c>
      <ns0:c r="J1479" s="7" t="n">
        <ns0:v>1155.084360349232</ns0:v>
      </ns0:c>
      <ns0:c r="K1479" s="7" t="n">
        <ns0:v>32</ns0:v>
      </ns0:c>
      <ns0:c r="L1479" s="7" t="n">
        <ns0:v>292</ns0:v>
      </ns0:c>
      <ns0:c r="M1479" s="7" t="n">
        <ns0:v>-35065.3464126195</ns0:v>
      </ns0:c>
      <ns0:c r="N1479" s="7" t="n">
        <ns0:v>-1963.66719194681</ns0:v>
      </ns0:c>
      <ns0:c r="O1479" s="7" t="n">
        <ns0:v>33067.8444309605</ns0:v>
      </ns0:c>
      <ns0:c r="P1479" s="7" t="n">
        <ns0:v>120646.6234882288</ns0:v>
      </ns0:c>
      <ns0:c r="Q1479" s="7" t="n">
        <ns0:v>428961.7397173023</ns0:v>
      </ns0:c>
      <ns0:c r="R1479" s="7" t="n">
        <ns0:v>1585064.646519059</ns0:v>
      </ns0:c>
    </ns0:row>
    <ns0:row r="1480" ht="24" customHeight="1">
      <ns0:c r="A1480" s="3" t="inlineStr">
        <ns0:is>
          <ns0:t>混在40/30/30</ns0:t>
        </ns0:is>
      </ns0:c>
      <ns0:c r="B1480" s="3" t="inlineStr">
        <ns0:is>
          <ns0:t>G2二段階</ns0:t>
        </ns0:is>
      </ns0:c>
      <ns0:c r="C1480" s="3" t="inlineStr">
        <ns0:is>
          <ns0:t>A</ns0:t>
        </ns0:is>
      </ns0:c>
      <ns0:c r="D1480" s="4" t="n">
        <ns0:v>1</ns0:v>
      </ns0:c>
      <ns0:c r="E1480" s="4" t="n">
        <ns0:v>500</ns0:v>
      </ns0:c>
      <ns0:c r="F1480" s="6" t="n">
        <ns0:v>0.5</ns0:v>
      </ns0:c>
      <ns0:c r="G1480" s="4" t="n">
        <ns0:v>0</ns0:v>
      </ns0:c>
      <ns0:c r="H1480" s="7" t="n">
        <ns0:v>5569.017995002947</ns0:v>
      </ns0:c>
      <ns0:c r="I1480" s="7" t="n">
        <ns0:v>2887.71090087308</ns0:v>
      </ns0:c>
      <ns0:c r="J1480" s="7" t="n">
        <ns0:v>1443.85545043654</ns0:v>
      </ns0:c>
      <ns0:c r="K1480" s="7" t="n">
        <ns0:v>24</ns0:v>
      </ns0:c>
      <ns0:c r="L1480" s="7" t="n">
        <ns0:v>38</ns0:v>
      </ns0:c>
      <ns0:c r="M1480" s="7" t="n">
        <ns0:v>-29743.0918172745</ns0:v>
      </ns0:c>
      <ns0:c r="N1480" s="7" t="n">
        <ns0:v>14003.09659408818</ns0:v>
      </ns0:c>
      <ns0:c r="O1480" s="7" t="n">
        <ns0:v>59679.11740768546</ns0:v>
      </ns0:c>
      <ns0:c r="P1480" s="7" t="n">
        <ns0:v>173869.1694416787</ns0:v>
      </ns0:c>
      <ns0:c r="Q1480" s="7" t="n">
        <ns0:v>588629.377577652</ns0:v>
      </ns0:c>
      <ns0:c r="R1480" s="7" t="n">
        <ns0:v>2117290.106053558</ns0:v>
      </ns0:c>
    </ns0:row>
    <ns0:row r="1481" ht="24" customHeight="1">
      <ns0:c r="A1481" s="3" t="inlineStr">
        <ns0:is>
          <ns0:t>混在40/30/30</ns0:t>
        </ns0:is>
      </ns0:c>
      <ns0:c r="B1481" s="3" t="inlineStr">
        <ns0:is>
          <ns0:t>G2二段階</ns0:t>
        </ns0:is>
      </ns0:c>
      <ns0:c r="C1481" s="3" t="inlineStr">
        <ns0:is>
          <ns0:t>A</ns0:t>
        </ns0:is>
      </ns0:c>
      <ns0:c r="D1481" s="4" t="n">
        <ns0:v>1</ns0:v>
      </ns0:c>
      <ns0:c r="E1481" s="4" t="n">
        <ns0:v>500</ns0:v>
      </ns0:c>
      <ns0:c r="F1481" s="6" t="n">
        <ns0:v>0.5</ns0:v>
      </ns0:c>
      <ns0:c r="G1481" s="4" t="n">
        <ns0:v>1</ns0:v>
      </ns0:c>
      <ns0:c r="H1481" s="7" t="n">
        <ns0:v>5569.017995002947</ns0:v>
      </ns0:c>
      <ns0:c r="I1481" s="7" t="n">
        <ns0:v>2887.71090087308</ns0:v>
      </ns0:c>
      <ns0:c r="J1481" s="7" t="n">
        <ns0:v>1443.85545043654</ns0:v>
      </ns0:c>
      <ns0:c r="K1481" s="7" t="n">
        <ns0:v>27</ns0:v>
      </ns0:c>
      <ns0:c r="L1481" s="7" t="n">
        <ns0:v>53</ns0:v>
      </ns0:c>
      <ns0:c r="M1481" s="7" t="n">
        <ns0:v>-32312.30988523878</ns0:v>
      </ns0:c>
      <ns0:c r="N1481" s="7" t="n">
        <ns0:v>6295.44239019536</ns0:v>
      </ns0:c>
      <ns0:c r="O1481" s="7" t="n">
        <ns0:v>46833.0270678641</ns0:v>
      </ns0:c>
      <ns0:c r="P1481" s="7" t="n">
        <ns0:v>148176.988762036</ns0:v>
      </ns0:c>
      <ns0:c r="Q1481" s="7" t="n">
        <ns0:v>511552.8355387238</ns0:v>
      </ns0:c>
      <ns0:c r="R1481" s="7" t="n">
        <ns0:v>1860368.299257131</ns0:v>
      </ns0:c>
    </ns0:row>
    <ns0:row r="1482" ht="24" customHeight="1">
      <ns0:c r="A1482" s="3" t="inlineStr">
        <ns0:is>
          <ns0:t>混在40/30/30</ns0:t>
        </ns0:is>
      </ns0:c>
      <ns0:c r="B1482" s="3" t="inlineStr">
        <ns0:is>
          <ns0:t>G2二段階</ns0:t>
        </ns0:is>
      </ns0:c>
      <ns0:c r="C1482" s="3" t="inlineStr">
        <ns0:is>
          <ns0:t>A</ns0:t>
        </ns0:is>
      </ns0:c>
      <ns0:c r="D1482" s="4" t="n">
        <ns0:v>1</ns0:v>
      </ns0:c>
      <ns0:c r="E1482" s="4" t="n">
        <ns0:v>500</ns0:v>
      </ns0:c>
      <ns0:c r="F1482" s="6" t="n">
        <ns0:v>0.5</ns0:v>
      </ns0:c>
      <ns0:c r="G1482" s="4" t="n">
        <ns0:v>2</ns0:v>
      </ns0:c>
      <ns0:c r="H1482" s="7" t="n">
        <ns0:v>5569.017995002947</ns0:v>
      </ns0:c>
      <ns0:c r="I1482" s="7" t="n">
        <ns0:v>2887.71090087308</ns0:v>
      </ns0:c>
      <ns0:c r="J1482" s="7" t="n">
        <ns0:v>1443.85545043654</ns0:v>
      </ns0:c>
      <ns0:c r="K1482" s="18" t="inlineStr">
        <ns0:is>
          <ns0:t>範囲内なし</ns0:t>
        </ns0:is>
      </ns0:c>
      <ns0:c r="L1482" s="18" t="inlineStr">
        <ns0:is>
          <ns0:t>範囲内なし</ns0:t>
        </ns0:is>
      </ns0:c>
      <ns0:c r="M1482" s="7" t="n">
        <ns0:v>-53544.14841657987</ns0:v>
      </ns0:c>
      <ns0:c r="N1482" s="7" t="n">
        <ns0:v>-57400.0732038279</ns0:v>
      </ns0:c>
      <ns0:c r="O1482" s="7" t="n">
        <ns0:v>-59326.16558884134</ns0:v>
      </ns0:c>
      <ns0:c r="P1482" s="7" t="n">
        <ns0:v>-64141.39655137488</ns0:v>
      </ns0:c>
      <ns0:c r="Q1482" s="7" t="n">
        <ns0:v>-125402.3204015089</ns0:v>
      </ns0:c>
      <ns0:c r="R1482" s="7" t="n">
        <ns0:v>-262815.5538769776</ns0:v>
      </ns0:c>
    </ns0:row>
    <ns0:row r="1483" ht="24" customHeight="1">
      <ns0:c r="A1483" s="3" t="inlineStr">
        <ns0:is>
          <ns0:t>混在40/30/30</ns0:t>
        </ns0:is>
      </ns0:c>
      <ns0:c r="B1483" s="3" t="inlineStr">
        <ns0:is>
          <ns0:t>G2二段階</ns0:t>
        </ns0:is>
      </ns0:c>
      <ns0:c r="C1483" s="3" t="inlineStr">
        <ns0:is>
          <ns0:t>A</ns0:t>
        </ns0:is>
      </ns0:c>
      <ns0:c r="D1483" s="4" t="n">
        <ns0:v>1</ns0:v>
      </ns0:c>
      <ns0:c r="E1483" s="4" t="n">
        <ns0:v>500</ns0:v>
      </ns0:c>
      <ns0:c r="F1483" s="6" t="n">
        <ns0:v>0.5</ns0:v>
      </ns0:c>
      <ns0:c r="G1483" s="4" t="n">
        <ns0:v>3</ns0:v>
      </ns0:c>
      <ns0:c r="H1483" s="7" t="n">
        <ns0:v>5569.017995002947</ns0:v>
      </ns0:c>
      <ns0:c r="I1483" s="7" t="n">
        <ns0:v>2887.71090087308</ns0:v>
      </ns0:c>
      <ns0:c r="J1483" s="7" t="n">
        <ns0:v>1443.85545043654</ns0:v>
      </ns0:c>
      <ns0:c r="K1483" s="7" t="n">
        <ns0:v>38</ns0:v>
      </ns0:c>
      <ns0:c r="L1483" s="7" t="n">
        <ns0:v>872</ns0:v>
      </ns0:c>
      <ns0:c r="M1483" s="7" t="n">
        <ns0:v>-37953.05731349258</ns0:v>
      </ns0:c>
      <ns0:c r="N1483" s="7" t="n">
        <ns0:v>-10626.79989456604</ns0:v>
      </ns0:c>
      <ns0:c r="O1483" s="7" t="n">
        <ns0:v>18629.28992659511</ns0:v>
      </ns0:c>
      <ns0:c r="P1483" s="7" t="n">
        <ns0:v>91769.514479498</ns0:v>
      </ns0:c>
      <ns0:c r="Q1483" s="7" t="n">
        <ns0:v>342330.4126911098</ns0:v>
      </ns0:c>
      <ns0:c r="R1483" s="7" t="n">
        <ns0:v>1296293.556431751</ns0:v>
      </ns0:c>
    </ns0:row>
    <ns0:row r="1484" ht="24" customHeight="1">
      <ns0:c r="A1484" s="3" t="inlineStr">
        <ns0:is>
          <ns0:t>混在40/30/30</ns0:t>
        </ns0:is>
      </ns0:c>
      <ns0:c r="B1484" s="3" t="inlineStr">
        <ns0:is>
          <ns0:t>G2二段階</ns0:t>
        </ns0:is>
      </ns0:c>
      <ns0:c r="C1484" s="3" t="inlineStr">
        <ns0:is>
          <ns0:t>A</ns0:t>
        </ns0:is>
      </ns0:c>
      <ns0:c r="D1484" s="4" t="n">
        <ns0:v>1</ns0:v>
      </ns0:c>
      <ns0:c r="E1484" s="4" t="n">
        <ns0:v>1000</ns0:v>
      </ns0:c>
      <ns0:c r="F1484" s="6" t="n">
        <ns0:v>0.3</ns0:v>
      </ns0:c>
      <ns0:c r="G1484" s="4" t="n">
        <ns0:v>0</ns0:v>
      </ns0:c>
      <ns0:c r="H1484" s="7" t="n">
        <ns0:v>5419.017995002947</ns0:v>
      </ns0:c>
      <ns0:c r="I1484" s="7" t="n">
        <ns0:v>2737.71090087308</ns0:v>
      </ns0:c>
      <ns0:c r="J1484" s="7" t="n">
        <ns0:v>821.3132702619239</ns0:v>
      </ns0:c>
      <ns0:c r="K1484" s="7" t="n">
        <ns0:v>21</ns0:v>
      </ns0:c>
      <ns0:c r="L1484" s="7" t="n">
        <ns0:v>33</ns0:v>
      </ns0:c>
      <ns0:c r="M1484" s="7" t="n">
        <ns0:v>-24963.67001552834</ns0:v>
      </ns0:c>
      <ns0:c r="N1484" s="7" t="n">
        <ns0:v>28341.36199932665</ns0:v>
      </ns0:c>
      <ns0:c r="O1484" s="7" t="n">
        <ns0:v>83576.22641641628</ns0:v>
      </ns0:c>
      <ns0:c r="P1484" s="7" t="n">
        <ns0:v>221663.3874591404</ns0:v>
      </ns0:c>
      <ns0:c r="Q1484" s="7" t="n">
        <ns0:v>732012.0316300367</ns0:v>
      </ns0:c>
      <ns0:c r="R1484" s="7" t="n">
        <ns0:v>2595232.286228174</ns0:v>
      </ns0:c>
    </ns0:row>
    <ns0:row r="1485" ht="24" customHeight="1">
      <ns0:c r="A1485" s="3" t="inlineStr">
        <ns0:is>
          <ns0:t>混在40/30/30</ns0:t>
        </ns0:is>
      </ns0:c>
      <ns0:c r="B1485" s="3" t="inlineStr">
        <ns0:is>
          <ns0:t>G2二段階</ns0:t>
        </ns0:is>
      </ns0:c>
      <ns0:c r="C1485" s="3" t="inlineStr">
        <ns0:is>
          <ns0:t>A</ns0:t>
        </ns0:is>
      </ns0:c>
      <ns0:c r="D1485" s="4" t="n">
        <ns0:v>1</ns0:v>
      </ns0:c>
      <ns0:c r="E1485" s="4" t="n">
        <ns0:v>1000</ns0:v>
      </ns0:c>
      <ns0:c r="F1485" s="6" t="n">
        <ns0:v>0.3</ns0:v>
      </ns0:c>
      <ns0:c r="G1485" s="4" t="n">
        <ns0:v>1</ns0:v>
      </ns0:c>
      <ns0:c r="H1485" s="7" t="n">
        <ns0:v>5419.017995002947</ns0:v>
      </ns0:c>
      <ns0:c r="I1485" s="7" t="n">
        <ns0:v>2737.71090087308</ns0:v>
      </ns0:c>
      <ns0:c r="J1485" s="7" t="n">
        <ns0:v>821.3132702619239</ns0:v>
      </ns0:c>
      <ns0:c r="K1485" s="7" t="n">
        <ns0:v>23</ns0:v>
      </ns0:c>
      <ns0:c r="L1485" s="7" t="n">
        <ns0:v>43</ns0:v>
      </ns0:c>
      <ns0:c r="M1485" s="7" t="n">
        <ns0:v>-27532.88808349261</ns0:v>
      </ns0:c>
      <ns0:c r="N1485" s="7" t="n">
        <ns0:v>20633.70779543384</ns0:v>
      </ns0:c>
      <ns0:c r="O1485" s="7" t="n">
        <ns0:v>70730.13607659492</ns0:v>
      </ns0:c>
      <ns0:c r="P1485" s="7" t="n">
        <ns0:v>195971.2067794976</ns0:v>
      </ns0:c>
      <ns0:c r="Q1485" s="7" t="n">
        <ns0:v>654935.4895911086</ns0:v>
      </ns0:c>
      <ns0:c r="R1485" s="7" t="n">
        <ns0:v>2338310.479431747</ns0:v>
      </ns0:c>
    </ns0:row>
    <ns0:row r="1486" ht="24" customHeight="1">
      <ns0:c r="A1486" s="3" t="inlineStr">
        <ns0:is>
          <ns0:t>混在40/30/30</ns0:t>
        </ns0:is>
      </ns0:c>
      <ns0:c r="B1486" s="3" t="inlineStr">
        <ns0:is>
          <ns0:t>G2二段階</ns0:t>
        </ns0:is>
      </ns0:c>
      <ns0:c r="C1486" s="3" t="inlineStr">
        <ns0:is>
          <ns0:t>A</ns0:t>
        </ns0:is>
      </ns0:c>
      <ns0:c r="D1486" s="4" t="n">
        <ns0:v>1</ns0:v>
      </ns0:c>
      <ns0:c r="E1486" s="4" t="n">
        <ns0:v>1000</ns0:v>
      </ns0:c>
      <ns0:c r="F1486" s="6" t="n">
        <ns0:v>0.3</ns0:v>
      </ns0:c>
      <ns0:c r="G1486" s="4" t="n">
        <ns0:v>2</ns0:v>
      </ns0:c>
      <ns0:c r="H1486" s="7" t="n">
        <ns0:v>5419.017995002947</ns0:v>
      </ns0:c>
      <ns0:c r="I1486" s="7" t="n">
        <ns0:v>2737.71090087308</ns0:v>
      </ns0:c>
      <ns0:c r="J1486" s="7" t="n">
        <ns0:v>821.3132702619239</ns0:v>
      </ns0:c>
      <ns0:c r="K1486" s="7" t="n">
        <ns0:v>253</ns0:v>
      </ns0:c>
      <ns0:c r="L1486" s="18" t="inlineStr">
        <ns0:is>
          <ns0:t>範囲内なし</ns0:t>
        </ns0:is>
      </ns0:c>
      <ns0:c r="M1486" s="7" t="n">
        <ns0:v>-48764.72661483371</ns0:v>
      </ns0:c>
      <ns0:c r="N1486" s="7" t="n">
        <ns0:v>-43061.80779858943</ns0:v>
      </ns0:c>
      <ns0:c r="O1486" s="7" t="n">
        <ns0:v>-35429.05658011052</ns0:v>
      </ns0:c>
      <ns0:c r="P1486" s="7" t="n">
        <ns0:v>-16347.17853391325</ns0:v>
      </ns0:c>
      <ns0:c r="Q1486" s="7" t="n">
        <ns0:v>17980.33365087589</ns0:v>
      </ns0:c>
      <ns0:c r="R1486" s="7" t="n">
        <ns0:v>215126.6262976388</ns0:v>
      </ns0:c>
    </ns0:row>
    <ns0:row r="1487" ht="24" customHeight="1">
      <ns0:c r="A1487" s="3" t="inlineStr">
        <ns0:is>
          <ns0:t>混在40/30/30</ns0:t>
        </ns0:is>
      </ns0:c>
      <ns0:c r="B1487" s="3" t="inlineStr">
        <ns0:is>
          <ns0:t>G2二段階</ns0:t>
        </ns0:is>
      </ns0:c>
      <ns0:c r="C1487" s="3" t="inlineStr">
        <ns0:is>
          <ns0:t>A</ns0:t>
        </ns0:is>
      </ns0:c>
      <ns0:c r="D1487" s="4" t="n">
        <ns0:v>1</ns0:v>
      </ns0:c>
      <ns0:c r="E1487" s="4" t="n">
        <ns0:v>1000</ns0:v>
      </ns0:c>
      <ns0:c r="F1487" s="6" t="n">
        <ns0:v>0.3</ns0:v>
      </ns0:c>
      <ns0:c r="G1487" s="4" t="n">
        <ns0:v>3</ns0:v>
      </ns0:c>
      <ns0:c r="H1487" s="7" t="n">
        <ns0:v>5419.017995002947</ns0:v>
      </ns0:c>
      <ns0:c r="I1487" s="7" t="n">
        <ns0:v>2737.71090087308</ns0:v>
      </ns0:c>
      <ns0:c r="J1487" s="7" t="n">
        <ns0:v>821.3132702619239</ns0:v>
      </ns0:c>
      <ns0:c r="K1487" s="7" t="n">
        <ns0:v>29</ns0:v>
      </ns0:c>
      <ns0:c r="L1487" s="7" t="n">
        <ns0:v>225</ns0:v>
      </ns0:c>
      <ns0:c r="M1487" s="7" t="n">
        <ns0:v>-33173.63551174641</ns0:v>
      </ns0:c>
      <ns0:c r="N1487" s="7" t="n">
        <ns0:v>3711.465510672442</ns0:v>
      </ns0:c>
      <ns0:c r="O1487" s="7" t="n">
        <ns0:v>42526.39893532592</ns0:v>
      </ns0:c>
      <ns0:c r="P1487" s="7" t="n">
        <ns0:v>139563.7324969597</ns0:v>
      </ns0:c>
      <ns0:c r="Q1487" s="7" t="n">
        <ns0:v>485713.0667434946</ns0:v>
      </ns0:c>
      <ns0:c r="R1487" s="7" t="n">
        <ns0:v>1774235.736606368</ns0:v>
      </ns0:c>
    </ns0:row>
    <ns0:row r="1488" ht="24" customHeight="1">
      <ns0:c r="A1488" s="3" t="inlineStr">
        <ns0:is>
          <ns0:t>混在40/30/30</ns0:t>
        </ns0:is>
      </ns0:c>
      <ns0:c r="B1488" s="3" t="inlineStr">
        <ns0:is>
          <ns0:t>G2二段階</ns0:t>
        </ns0:is>
      </ns0:c>
      <ns0:c r="C1488" s="3" t="inlineStr">
        <ns0:is>
          <ns0:t>A</ns0:t>
        </ns0:is>
      </ns0:c>
      <ns0:c r="D1488" s="4" t="n">
        <ns0:v>1</ns0:v>
      </ns0:c>
      <ns0:c r="E1488" s="4" t="n">
        <ns0:v>1000</ns0:v>
      </ns0:c>
      <ns0:c r="F1488" s="6" t="n">
        <ns0:v>0.4</ns0:v>
      </ns0:c>
      <ns0:c r="G1488" s="4" t="n">
        <ns0:v>0</ns0:v>
      </ns0:c>
      <ns0:c r="H1488" s="7" t="n">
        <ns0:v>5419.017995002947</ns0:v>
      </ns0:c>
      <ns0:c r="I1488" s="7" t="n">
        <ns0:v>2737.71090087308</ns0:v>
      </ns0:c>
      <ns0:c r="J1488" s="7" t="n">
        <ns0:v>1095.084360349232</ns0:v>
      </ns0:c>
      <ns0:c r="K1488" s="7" t="n">
        <ns0:v>23</ns0:v>
      </ns0:c>
      <ns0:c r="L1488" s="7" t="n">
        <ns0:v>36</ns0:v>
      </ns0:c>
      <ns0:c r="M1488" s="7" t="n">
        <ns0:v>-27701.38091640142</ns0:v>
      </ns0:c>
      <ns0:c r="N1488" s="7" t="n">
        <ns0:v>20128.22929670741</ns0:v>
      </ns0:c>
      <ns0:c r="O1488" s="7" t="n">
        <ns0:v>69887.67191205086</ns0:v>
      </ns0:c>
      <ns0:c r="P1488" s="7" t="n">
        <ns0:v>194286.2784504095</ns0:v>
      </ns0:c>
      <ns0:c r="Q1488" s="7" t="n">
        <ns0:v>649880.7046038443</ns0:v>
      </ns0:c>
      <ns0:c r="R1488" s="7" t="n">
        <ns0:v>2321461.196140866</ns0:v>
      </ns0:c>
    </ns0:row>
    <ns0:row r="1489" ht="24" customHeight="1">
      <ns0:c r="A1489" s="3" t="inlineStr">
        <ns0:is>
          <ns0:t>混在40/30/30</ns0:t>
        </ns0:is>
      </ns0:c>
      <ns0:c r="B1489" s="3" t="inlineStr">
        <ns0:is>
          <ns0:t>G2二段階</ns0:t>
        </ns0:is>
      </ns0:c>
      <ns0:c r="C1489" s="3" t="inlineStr">
        <ns0:is>
          <ns0:t>A</ns0:t>
        </ns0:is>
      </ns0:c>
      <ns0:c r="D1489" s="4" t="n">
        <ns0:v>1</ns0:v>
      </ns0:c>
      <ns0:c r="E1489" s="4" t="n">
        <ns0:v>1000</ns0:v>
      </ns0:c>
      <ns0:c r="F1489" s="6" t="n">
        <ns0:v>0.4</ns0:v>
      </ns0:c>
      <ns0:c r="G1489" s="4" t="n">
        <ns0:v>1</ns0:v>
      </ns0:c>
      <ns0:c r="H1489" s="7" t="n">
        <ns0:v>5419.017995002947</ns0:v>
      </ns0:c>
      <ns0:c r="I1489" s="7" t="n">
        <ns0:v>2737.71090087308</ns0:v>
      </ns0:c>
      <ns0:c r="J1489" s="7" t="n">
        <ns0:v>1095.084360349232</ns0:v>
      </ns0:c>
      <ns0:c r="K1489" s="7" t="n">
        <ns0:v>25</ns0:v>
      </ns0:c>
      <ns0:c r="L1489" s="7" t="n">
        <ns0:v>48</ns0:v>
      </ns0:c>
      <ns0:c r="M1489" s="7" t="n">
        <ns0:v>-30270.59898436569</ns0:v>
      </ns0:c>
      <ns0:c r="N1489" s="7" t="n">
        <ns0:v>12420.5750928146</ns0:v>
      </ns0:c>
      <ns0:c r="O1489" s="7" t="n">
        <ns0:v>57041.58157222949</ns0:v>
      </ns0:c>
      <ns0:c r="P1489" s="7" t="n">
        <ns0:v>168594.0977707668</ns0:v>
      </ns0:c>
      <ns0:c r="Q1489" s="7" t="n">
        <ns0:v>572804.1625649163</ns0:v>
      </ns0:c>
      <ns0:c r="R1489" s="7" t="n">
        <ns0:v>2064539.389344439</ns0:v>
      </ns0:c>
    </ns0:row>
    <ns0:row r="1490" ht="24" customHeight="1">
      <ns0:c r="A1490" s="3" t="inlineStr">
        <ns0:is>
          <ns0:t>混在40/30/30</ns0:t>
        </ns0:is>
      </ns0:c>
      <ns0:c r="B1490" s="3" t="inlineStr">
        <ns0:is>
          <ns0:t>G2二段階</ns0:t>
        </ns0:is>
      </ns0:c>
      <ns0:c r="C1490" s="3" t="inlineStr">
        <ns0:is>
          <ns0:t>A</ns0:t>
        </ns0:is>
      </ns0:c>
      <ns0:c r="D1490" s="4" t="n">
        <ns0:v>1</ns0:v>
      </ns0:c>
      <ns0:c r="E1490" s="4" t="n">
        <ns0:v>1000</ns0:v>
      </ns0:c>
      <ns0:c r="F1490" s="6" t="n">
        <ns0:v>0.4</ns0:v>
      </ns0:c>
      <ns0:c r="G1490" s="4" t="n">
        <ns0:v>2</ns0:v>
      </ns0:c>
      <ns0:c r="H1490" s="7" t="n">
        <ns0:v>5419.017995002947</ns0:v>
      </ns0:c>
      <ns0:c r="I1490" s="7" t="n">
        <ns0:v>2737.71090087308</ns0:v>
      </ns0:c>
      <ns0:c r="J1490" s="7" t="n">
        <ns0:v>1095.084360349232</ns0:v>
      </ns0:c>
      <ns0:c r="K1490" s="18" t="inlineStr">
        <ns0:is>
          <ns0:t>範囲内なし</ns0:t>
        </ns0:is>
      </ns0:c>
      <ns0:c r="L1490" s="18" t="inlineStr">
        <ns0:is>
          <ns0:t>範囲内なし</ns0:t>
        </ns0:is>
      </ns0:c>
      <ns0:c r="M1490" s="7" t="n">
        <ns0:v>-51502.43751570678</ns0:v>
      </ns0:c>
      <ns0:c r="N1490" s="7" t="n">
        <ns0:v>-51274.94050120867</ns0:v>
      </ns0:c>
      <ns0:c r="O1490" s="7" t="n">
        <ns0:v>-49117.61108447595</ns0:v>
      </ns0:c>
      <ns0:c r="P1490" s="7" t="n">
        <ns0:v>-43724.28754264409</ns0:v>
      </ns0:c>
      <ns0:c r="Q1490" s="7" t="n">
        <ns0:v>-64150.99337531644</ns0:v>
      </ns0:c>
      <ns0:c r="R1490" s="7" t="n">
        <ns0:v>-58644.46378966956</ns0:v>
      </ns0:c>
    </ns0:row>
    <ns0:row r="1491" ht="24" customHeight="1">
      <ns0:c r="A1491" s="3" t="inlineStr">
        <ns0:is>
          <ns0:t>混在40/30/30</ns0:t>
        </ns0:is>
      </ns0:c>
      <ns0:c r="B1491" s="3" t="inlineStr">
        <ns0:is>
          <ns0:t>G2二段階</ns0:t>
        </ns0:is>
      </ns0:c>
      <ns0:c r="C1491" s="3" t="inlineStr">
        <ns0:is>
          <ns0:t>A</ns0:t>
        </ns0:is>
      </ns0:c>
      <ns0:c r="D1491" s="4" t="n">
        <ns0:v>1</ns0:v>
      </ns0:c>
      <ns0:c r="E1491" s="4" t="n">
        <ns0:v>1000</ns0:v>
      </ns0:c>
      <ns0:c r="F1491" s="6" t="n">
        <ns0:v>0.4</ns0:v>
      </ns0:c>
      <ns0:c r="G1491" s="4" t="n">
        <ns0:v>3</ns0:v>
      </ns0:c>
      <ns0:c r="H1491" s="7" t="n">
        <ns0:v>5419.017995002947</ns0:v>
      </ns0:c>
      <ns0:c r="I1491" s="7" t="n">
        <ns0:v>2737.71090087308</ns0:v>
      </ns0:c>
      <ns0:c r="J1491" s="7" t="n">
        <ns0:v>1095.084360349232</ns0:v>
      </ns0:c>
      <ns0:c r="K1491" s="7" t="n">
        <ns0:v>33</ns0:v>
      </ns0:c>
      <ns0:c r="L1491" s="7" t="n">
        <ns0:v>347</ns0:v>
      </ns0:c>
      <ns0:c r="M1491" s="7" t="n">
        <ns0:v>-35911.3464126195</ns0:v>
      </ns0:c>
      <ns0:c r="N1491" s="7" t="n">
        <ns0:v>-4501.667191946803</ns0:v>
      </ns0:c>
      <ns0:c r="O1491" s="7" t="n">
        <ns0:v>28837.8444309605</ns0:v>
      </ns0:c>
      <ns0:c r="P1491" s="7" t="n">
        <ns0:v>112186.6234882288</ns0:v>
      </ns0:c>
      <ns0:c r="Q1491" s="7" t="n">
        <ns0:v>403581.7397173023</ns0:v>
      </ns0:c>
      <ns0:c r="R1491" s="7" t="n">
        <ns0:v>1500464.646519059</ns0:v>
      </ns0:c>
    </ns0:row>
    <ns0:row r="1492" ht="24" customHeight="1">
      <ns0:c r="A1492" s="3" t="inlineStr">
        <ns0:is>
          <ns0:t>混在40/30/30</ns0:t>
        </ns0:is>
      </ns0:c>
      <ns0:c r="B1492" s="3" t="inlineStr">
        <ns0:is>
          <ns0:t>G2二段階</ns0:t>
        </ns0:is>
      </ns0:c>
      <ns0:c r="C1492" s="3" t="inlineStr">
        <ns0:is>
          <ns0:t>A</ns0:t>
        </ns0:is>
      </ns0:c>
      <ns0:c r="D1492" s="4" t="n">
        <ns0:v>1</ns0:v>
      </ns0:c>
      <ns0:c r="E1492" s="4" t="n">
        <ns0:v>1000</ns0:v>
      </ns0:c>
      <ns0:c r="F1492" s="6" t="n">
        <ns0:v>0.5</ns0:v>
      </ns0:c>
      <ns0:c r="G1492" s="4" t="n">
        <ns0:v>0</ns0:v>
      </ns0:c>
      <ns0:c r="H1492" s="7" t="n">
        <ns0:v>5419.017995002947</ns0:v>
      </ns0:c>
      <ns0:c r="I1492" s="7" t="n">
        <ns0:v>2737.71090087308</ns0:v>
      </ns0:c>
      <ns0:c r="J1492" s="7" t="n">
        <ns0:v>1368.85545043654</ns0:v>
      </ns0:c>
      <ns0:c r="K1492" s="7" t="n">
        <ns0:v>25</ns0:v>
      </ns0:c>
      <ns0:c r="L1492" s="7" t="n">
        <ns0:v>39</ns0:v>
      </ns0:c>
      <ns0:c r="M1492" s="7" t="n">
        <ns0:v>-30439.0918172745</ns0:v>
      </ns0:c>
      <ns0:c r="N1492" s="7" t="n">
        <ns0:v>11915.09659408818</ns0:v>
      </ns0:c>
      <ns0:c r="O1492" s="7" t="n">
        <ns0:v>56199.11740768547</ns0:v>
      </ns0:c>
      <ns0:c r="P1492" s="7" t="n">
        <ns0:v>166909.1694416787</ns0:v>
      </ns0:c>
      <ns0:c r="Q1492" s="7" t="n">
        <ns0:v>567749.377577652</ns0:v>
      </ns0:c>
      <ns0:c r="R1492" s="7" t="n">
        <ns0:v>2047690.106053558</ns0:v>
      </ns0:c>
    </ns0:row>
    <ns0:row r="1493" ht="24" customHeight="1">
      <ns0:c r="A1493" s="3" t="inlineStr">
        <ns0:is>
          <ns0:t>混在40/30/30</ns0:t>
        </ns0:is>
      </ns0:c>
      <ns0:c r="B1493" s="3" t="inlineStr">
        <ns0:is>
          <ns0:t>G2二段階</ns0:t>
        </ns0:is>
      </ns0:c>
      <ns0:c r="C1493" s="3" t="inlineStr">
        <ns0:is>
          <ns0:t>A</ns0:t>
        </ns0:is>
      </ns0:c>
      <ns0:c r="D1493" s="4" t="n">
        <ns0:v>1</ns0:v>
      </ns0:c>
      <ns0:c r="E1493" s="4" t="n">
        <ns0:v>1000</ns0:v>
      </ns0:c>
      <ns0:c r="F1493" s="6" t="n">
        <ns0:v>0.5</ns0:v>
      </ns0:c>
      <ns0:c r="G1493" s="4" t="n">
        <ns0:v>1</ns0:v>
      </ns0:c>
      <ns0:c r="H1493" s="7" t="n">
        <ns0:v>5419.017995002947</ns0:v>
      </ns0:c>
      <ns0:c r="I1493" s="7" t="n">
        <ns0:v>2737.71090087308</ns0:v>
      </ns0:c>
      <ns0:c r="J1493" s="7" t="n">
        <ns0:v>1368.85545043654</ns0:v>
      </ns0:c>
      <ns0:c r="K1493" s="7" t="n">
        <ns0:v>28</ns0:v>
      </ns0:c>
      <ns0:c r="L1493" s="7" t="n">
        <ns0:v>55</ns0:v>
      </ns0:c>
      <ns0:c r="M1493" s="7" t="n">
        <ns0:v>-33008.30988523878</ns0:v>
      </ns0:c>
      <ns0:c r="N1493" s="7" t="n">
        <ns0:v>4207.442390195363</ns0:v>
      </ns0:c>
      <ns0:c r="O1493" s="7" t="n">
        <ns0:v>43353.02706786411</ns0:v>
      </ns0:c>
      <ns0:c r="P1493" s="7" t="n">
        <ns0:v>141216.988762036</ns0:v>
      </ns0:c>
      <ns0:c r="Q1493" s="7" t="n">
        <ns0:v>490672.8355387238</ns0:v>
      </ns0:c>
      <ns0:c r="R1493" s="7" t="n">
        <ns0:v>1790768.299257131</ns0:v>
      </ns0:c>
    </ns0:row>
    <ns0:row r="1494" ht="24" customHeight="1">
      <ns0:c r="A1494" s="3" t="inlineStr">
        <ns0:is>
          <ns0:t>混在40/30/30</ns0:t>
        </ns0:is>
      </ns0:c>
      <ns0:c r="B1494" s="3" t="inlineStr">
        <ns0:is>
          <ns0:t>G2二段階</ns0:t>
        </ns0:is>
      </ns0:c>
      <ns0:c r="C1494" s="3" t="inlineStr">
        <ns0:is>
          <ns0:t>A</ns0:t>
        </ns0:is>
      </ns0:c>
      <ns0:c r="D1494" s="4" t="n">
        <ns0:v>1</ns0:v>
      </ns0:c>
      <ns0:c r="E1494" s="4" t="n">
        <ns0:v>1000</ns0:v>
      </ns0:c>
      <ns0:c r="F1494" s="6" t="n">
        <ns0:v>0.5</ns0:v>
      </ns0:c>
      <ns0:c r="G1494" s="4" t="n">
        <ns0:v>2</ns0:v>
      </ns0:c>
      <ns0:c r="H1494" s="7" t="n">
        <ns0:v>5419.017995002947</ns0:v>
      </ns0:c>
      <ns0:c r="I1494" s="7" t="n">
        <ns0:v>2737.71090087308</ns0:v>
      </ns0:c>
      <ns0:c r="J1494" s="7" t="n">
        <ns0:v>1368.85545043654</ns0:v>
      </ns0:c>
      <ns0:c r="K1494" s="18" t="inlineStr">
        <ns0:is>
          <ns0:t>範囲内なし</ns0:t>
        </ns0:is>
      </ns0:c>
      <ns0:c r="L1494" s="18" t="inlineStr">
        <ns0:is>
          <ns0:t>範囲内なし</ns0:t>
        </ns0:is>
      </ns0:c>
      <ns0:c r="M1494" s="7" t="n">
        <ns0:v>-54240.14841657986</ns0:v>
      </ns0:c>
      <ns0:c r="N1494" s="7" t="n">
        <ns0:v>-59488.0732038279</ns0:v>
      </ns0:c>
      <ns0:c r="O1494" s="7" t="n">
        <ns0:v>-62806.16558884134</ns0:v>
      </ns0:c>
      <ns0:c r="P1494" s="7" t="n">
        <ns0:v>-71101.39655137488</ns0:v>
      </ns0:c>
      <ns0:c r="Q1494" s="7" t="n">
        <ns0:v>-146282.3204015089</ns0:v>
      </ns0:c>
      <ns0:c r="R1494" s="7" t="n">
        <ns0:v>-332415.5538769779</ns0:v>
      </ns0:c>
    </ns0:row>
    <ns0:row r="1495" ht="24" customHeight="1">
      <ns0:c r="A1495" s="3" t="inlineStr">
        <ns0:is>
          <ns0:t>混在40/30/30</ns0:t>
        </ns0:is>
      </ns0:c>
      <ns0:c r="B1495" s="3" t="inlineStr">
        <ns0:is>
          <ns0:t>G2二段階</ns0:t>
        </ns0:is>
      </ns0:c>
      <ns0:c r="C1495" s="3" t="inlineStr">
        <ns0:is>
          <ns0:t>A</ns0:t>
        </ns0:is>
      </ns0:c>
      <ns0:c r="D1495" s="4" t="n">
        <ns0:v>1</ns0:v>
      </ns0:c>
      <ns0:c r="E1495" s="4" t="n">
        <ns0:v>1000</ns0:v>
      </ns0:c>
      <ns0:c r="F1495" s="6" t="n">
        <ns0:v>0.5</ns0:v>
      </ns0:c>
      <ns0:c r="G1495" s="4" t="n">
        <ns0:v>3</ns0:v>
      </ns0:c>
      <ns0:c r="H1495" s="7" t="n">
        <ns0:v>5419.017995002947</ns0:v>
      </ns0:c>
      <ns0:c r="I1495" s="7" t="n">
        <ns0:v>2737.71090087308</ns0:v>
      </ns0:c>
      <ns0:c r="J1495" s="7" t="n">
        <ns0:v>1368.85545043654</ns0:v>
      </ns0:c>
      <ns0:c r="K1495" s="7" t="n">
        <ns0:v>40</ns0:v>
      </ns0:c>
      <ns0:c r="L1495" s="18" t="inlineStr">
        <ns0:is>
          <ns0:t>範囲内なし</ns0:t>
        </ns0:is>
      </ns0:c>
      <ns0:c r="M1495" s="7" t="n">
        <ns0:v>-38649.05731349257</ns0:v>
      </ns0:c>
      <ns0:c r="N1495" s="7" t="n">
        <ns0:v>-12714.79989456604</ns0:v>
      </ns0:c>
      <ns0:c r="O1495" s="7" t="n">
        <ns0:v>15149.28992659511</ns0:v>
      </ns0:c>
      <ns0:c r="P1495" s="7" t="n">
        <ns0:v>84809.514479498</ns0:v>
      </ns0:c>
      <ns0:c r="Q1495" s="7" t="n">
        <ns0:v>321450.4126911098</ns0:v>
      </ns0:c>
      <ns0:c r="R1495" s="7" t="n">
        <ns0:v>1226693.556431751</ns0:v>
      </ns0:c>
    </ns0:row>
    <ns0:row r="1496" ht="24" customHeight="1">
      <ns0:c r="A1496" s="3" t="inlineStr">
        <ns0:is>
          <ns0:t>混在40/30/30</ns0:t>
        </ns0:is>
      </ns0:c>
      <ns0:c r="B1496" s="3" t="inlineStr">
        <ns0:is>
          <ns0:t>G2二段階</ns0:t>
        </ns0:is>
      </ns0:c>
      <ns0:c r="C1496" s="3" t="inlineStr">
        <ns0:is>
          <ns0:t>A</ns0:t>
        </ns0:is>
      </ns0:c>
      <ns0:c r="D1496" s="4" t="n">
        <ns0:v>1</ns0:v>
      </ns0:c>
      <ns0:c r="E1496" s="4" t="n">
        <ns0:v>1500</ns0:v>
      </ns0:c>
      <ns0:c r="F1496" s="6" t="n">
        <ns0:v>0.3</ns0:v>
      </ns0:c>
      <ns0:c r="G1496" s="4" t="n">
        <ns0:v>0</ns0:v>
      </ns0:c>
      <ns0:c r="H1496" s="7" t="n">
        <ns0:v>5269.017995002947</ns0:v>
      </ns0:c>
      <ns0:c r="I1496" s="7" t="n">
        <ns0:v>2587.71090087308</ns0:v>
      </ns0:c>
      <ns0:c r="J1496" s="7" t="n">
        <ns0:v>776.313270261924</ns0:v>
      </ns0:c>
      <ns0:c r="K1496" s="7" t="n">
        <ns0:v>22</ns0:v>
      </ns0:c>
      <ns0:c r="L1496" s="7" t="n">
        <ns0:v>34</ns0:v>
      </ns0:c>
      <ns0:c r="M1496" s="7" t="n">
        <ns0:v>-25959.67001552834</ns0:v>
      </ns0:c>
      <ns0:c r="N1496" s="7" t="n">
        <ns0:v>25353.36199932665</ns0:v>
      </ns0:c>
      <ns0:c r="O1496" s="7" t="n">
        <ns0:v>78596.22641641628</ns0:v>
      </ns0:c>
      <ns0:c r="P1496" s="7" t="n">
        <ns0:v>211703.3874591404</ns0:v>
      </ns0:c>
      <ns0:c r="Q1496" s="7" t="n">
        <ns0:v>702132.0316300368</ns0:v>
      </ns0:c>
      <ns0:c r="R1496" s="7" t="n">
        <ns0:v>2495632.286228174</ns0:v>
      </ns0:c>
    </ns0:row>
    <ns0:row r="1497" ht="24" customHeight="1">
      <ns0:c r="A1497" s="3" t="inlineStr">
        <ns0:is>
          <ns0:t>混在40/30/30</ns0:t>
        </ns0:is>
      </ns0:c>
      <ns0:c r="B1497" s="3" t="inlineStr">
        <ns0:is>
          <ns0:t>G2二段階</ns0:t>
        </ns0:is>
      </ns0:c>
      <ns0:c r="C1497" s="3" t="inlineStr">
        <ns0:is>
          <ns0:t>A</ns0:t>
        </ns0:is>
      </ns0:c>
      <ns0:c r="D1497" s="4" t="n">
        <ns0:v>1</ns0:v>
      </ns0:c>
      <ns0:c r="E1497" s="4" t="n">
        <ns0:v>1500</ns0:v>
      </ns0:c>
      <ns0:c r="F1497" s="6" t="n">
        <ns0:v>0.3</ns0:v>
      </ns0:c>
      <ns0:c r="G1497" s="4" t="n">
        <ns0:v>1</ns0:v>
      </ns0:c>
      <ns0:c r="H1497" s="7" t="n">
        <ns0:v>5269.017995002947</ns0:v>
      </ns0:c>
      <ns0:c r="I1497" s="7" t="n">
        <ns0:v>2587.71090087308</ns0:v>
      </ns0:c>
      <ns0:c r="J1497" s="7" t="n">
        <ns0:v>776.313270261924</ns0:v>
      </ns0:c>
      <ns0:c r="K1497" s="7" t="n">
        <ns0:v>23</ns0:v>
      </ns0:c>
      <ns0:c r="L1497" s="7" t="n">
        <ns0:v>45</ns0:v>
      </ns0:c>
      <ns0:c r="M1497" s="7" t="n">
        <ns0:v>-28528.88808349261</ns0:v>
      </ns0:c>
      <ns0:c r="N1497" s="7" t="n">
        <ns0:v>17645.70779543384</ns0:v>
      </ns0:c>
      <ns0:c r="O1497" s="7" t="n">
        <ns0:v>65750.13607659492</ns0:v>
      </ns0:c>
      <ns0:c r="P1497" s="7" t="n">
        <ns0:v>186011.2067794976</ns0:v>
      </ns0:c>
      <ns0:c r="Q1497" s="7" t="n">
        <ns0:v>625055.4895911086</ns0:v>
      </ns0:c>
      <ns0:c r="R1497" s="7" t="n">
        <ns0:v>2238710.479431747</ns0:v>
      </ns0:c>
    </ns0:row>
    <ns0:row r="1498" ht="24" customHeight="1">
      <ns0:c r="A1498" s="3" t="inlineStr">
        <ns0:is>
          <ns0:t>混在40/30/30</ns0:t>
        </ns0:is>
      </ns0:c>
      <ns0:c r="B1498" s="3" t="inlineStr">
        <ns0:is>
          <ns0:t>G2二段階</ns0:t>
        </ns0:is>
      </ns0:c>
      <ns0:c r="C1498" s="3" t="inlineStr">
        <ns0:is>
          <ns0:t>A</ns0:t>
        </ns0:is>
      </ns0:c>
      <ns0:c r="D1498" s="4" t="n">
        <ns0:v>1</ns0:v>
      </ns0:c>
      <ns0:c r="E1498" s="4" t="n">
        <ns0:v>1500</ns0:v>
      </ns0:c>
      <ns0:c r="F1498" s="6" t="n">
        <ns0:v>0.3</ns0:v>
      </ns0:c>
      <ns0:c r="G1498" s="4" t="n">
        <ns0:v>2</ns0:v>
      </ns0:c>
      <ns0:c r="H1498" s="7" t="n">
        <ns0:v>5269.017995002947</ns0:v>
      </ns0:c>
      <ns0:c r="I1498" s="7" t="n">
        <ns0:v>2587.71090087308</ns0:v>
      </ns0:c>
      <ns0:c r="J1498" s="7" t="n">
        <ns0:v>776.313270261924</ns0:v>
      </ns0:c>
      <ns0:c r="K1498" s="7" t="n">
        <ns0:v>343</ns0:v>
      </ns0:c>
      <ns0:c r="L1498" s="18" t="inlineStr">
        <ns0:is>
          <ns0:t>範囲内なし</ns0:t>
        </ns0:is>
      </ns0:c>
      <ns0:c r="M1498" s="7" t="n">
        <ns0:v>-49760.72661483369</ns0:v>
      </ns0:c>
      <ns0:c r="N1498" s="7" t="n">
        <ns0:v>-46049.80779858941</ns0:v>
      </ns0:c>
      <ns0:c r="O1498" s="7" t="n">
        <ns0:v>-40409.05658011052</ns0:v>
      </ns0:c>
      <ns0:c r="P1498" s="7" t="n">
        <ns0:v>-26307.17853391325</ns0:v>
      </ns0:c>
      <ns0:c r="Q1498" s="7" t="n">
        <ns0:v>-11899.66634912405</ns0:v>
      </ns0:c>
      <ns0:c r="R1498" s="7" t="n">
        <ns0:v>115526.6262976388</ns0:v>
      </ns0:c>
    </ns0:row>
    <ns0:row r="1499" ht="24" customHeight="1">
      <ns0:c r="A1499" s="3" t="inlineStr">
        <ns0:is>
          <ns0:t>混在40/30/30</ns0:t>
        </ns0:is>
      </ns0:c>
      <ns0:c r="B1499" s="3" t="inlineStr">
        <ns0:is>
          <ns0:t>G2二段階</ns0:t>
        </ns0:is>
      </ns0:c>
      <ns0:c r="C1499" s="3" t="inlineStr">
        <ns0:is>
          <ns0:t>A</ns0:t>
        </ns0:is>
      </ns0:c>
      <ns0:c r="D1499" s="4" t="n">
        <ns0:v>1</ns0:v>
      </ns0:c>
      <ns0:c r="E1499" s="4" t="n">
        <ns0:v>1500</ns0:v>
      </ns0:c>
      <ns0:c r="F1499" s="6" t="n">
        <ns0:v>0.3</ns0:v>
      </ns0:c>
      <ns0:c r="G1499" s="4" t="n">
        <ns0:v>3</ns0:v>
      </ns0:c>
      <ns0:c r="H1499" s="7" t="n">
        <ns0:v>5269.017995002947</ns0:v>
      </ns0:c>
      <ns0:c r="I1499" s="7" t="n">
        <ns0:v>2587.71090087308</ns0:v>
      </ns0:c>
      <ns0:c r="J1499" s="7" t="n">
        <ns0:v>776.313270261924</ns0:v>
      </ns0:c>
      <ns0:c r="K1499" s="7" t="n">
        <ns0:v>30</ns0:v>
      </ns0:c>
      <ns0:c r="L1499" s="7" t="n">
        <ns0:v>263</ns0:v>
      </ns0:c>
      <ns0:c r="M1499" s="7" t="n">
        <ns0:v>-34169.63551174641</ns0:v>
      </ns0:c>
      <ns0:c r="N1499" s="7" t="n">
        <ns0:v>723.4655106724422</ns0:v>
      </ns0:c>
      <ns0:c r="O1499" s="7" t="n">
        <ns0:v>37546.39893532592</ns0:v>
      </ns0:c>
      <ns0:c r="P1499" s="7" t="n">
        <ns0:v>129603.7324969597</ns0:v>
      </ns0:c>
      <ns0:c r="Q1499" s="7" t="n">
        <ns0:v>455833.0667434946</ns0:v>
      </ns0:c>
      <ns0:c r="R1499" s="7" t="n">
        <ns0:v>1674635.736606367</ns0:v>
      </ns0:c>
    </ns0:row>
    <ns0:row r="1500" ht="24" customHeight="1">
      <ns0:c r="A1500" s="3" t="inlineStr">
        <ns0:is>
          <ns0:t>混在40/30/30</ns0:t>
        </ns0:is>
      </ns0:c>
      <ns0:c r="B1500" s="3" t="inlineStr">
        <ns0:is>
          <ns0:t>G2二段階</ns0:t>
        </ns0:is>
      </ns0:c>
      <ns0:c r="C1500" s="3" t="inlineStr">
        <ns0:is>
          <ns0:t>A</ns0:t>
        </ns0:is>
      </ns0:c>
      <ns0:c r="D1500" s="4" t="n">
        <ns0:v>1</ns0:v>
      </ns0:c>
      <ns0:c r="E1500" s="4" t="n">
        <ns0:v>1500</ns0:v>
      </ns0:c>
      <ns0:c r="F1500" s="6" t="n">
        <ns0:v>0.4</ns0:v>
      </ns0:c>
      <ns0:c r="G1500" s="4" t="n">
        <ns0:v>0</ns0:v>
      </ns0:c>
      <ns0:c r="H1500" s="7" t="n">
        <ns0:v>5269.017995002947</ns0:v>
      </ns0:c>
      <ns0:c r="I1500" s="7" t="n">
        <ns0:v>2587.71090087308</ns0:v>
      </ns0:c>
      <ns0:c r="J1500" s="7" t="n">
        <ns0:v>1035.084360349232</ns0:v>
      </ns0:c>
      <ns0:c r="K1500" s="7" t="n">
        <ns0:v>23</ns0:v>
      </ns0:c>
      <ns0:c r="L1500" s="7" t="n">
        <ns0:v>37</ns0:v>
      </ns0:c>
      <ns0:c r="M1500" s="7" t="n">
        <ns0:v>-28547.38091640142</ns0:v>
      </ns0:c>
      <ns0:c r="N1500" s="7" t="n">
        <ns0:v>17590.22929670741</ns0:v>
      </ns0:c>
      <ns0:c r="O1500" s="7" t="n">
        <ns0:v>65657.67191205089</ns0:v>
      </ns0:c>
      <ns0:c r="P1500" s="7" t="n">
        <ns0:v>185826.2784504096</ns0:v>
      </ns0:c>
      <ns0:c r="Q1500" s="7" t="n">
        <ns0:v>624500.7046038443</ns0:v>
      </ns0:c>
      <ns0:c r="R1500" s="7" t="n">
        <ns0:v>2236861.196140867</ns0:v>
      </ns0:c>
    </ns0:row>
    <ns0:row r="1501" ht="24" customHeight="1">
      <ns0:c r="A1501" s="3" t="inlineStr">
        <ns0:is>
          <ns0:t>混在40/30/30</ns0:t>
        </ns0:is>
      </ns0:c>
      <ns0:c r="B1501" s="3" t="inlineStr">
        <ns0:is>
          <ns0:t>G2二段階</ns0:t>
        </ns0:is>
      </ns0:c>
      <ns0:c r="C1501" s="3" t="inlineStr">
        <ns0:is>
          <ns0:t>A</ns0:t>
        </ns0:is>
      </ns0:c>
      <ns0:c r="D1501" s="4" t="n">
        <ns0:v>1</ns0:v>
      </ns0:c>
      <ns0:c r="E1501" s="4" t="n">
        <ns0:v>1500</ns0:v>
      </ns0:c>
      <ns0:c r="F1501" s="6" t="n">
        <ns0:v>0.4</ns0:v>
      </ns0:c>
      <ns0:c r="G1501" s="4" t="n">
        <ns0:v>1</ns0:v>
      </ns0:c>
      <ns0:c r="H1501" s="7" t="n">
        <ns0:v>5269.017995002947</ns0:v>
      </ns0:c>
      <ns0:c r="I1501" s="7" t="n">
        <ns0:v>2587.71090087308</ns0:v>
      </ns0:c>
      <ns0:c r="J1501" s="7" t="n">
        <ns0:v>1035.084360349232</ns0:v>
      </ns0:c>
      <ns0:c r="K1501" s="7" t="n">
        <ns0:v>26</ns0:v>
      </ns0:c>
      <ns0:c r="L1501" s="7" t="n">
        <ns0:v>50</ns0:v>
      </ns0:c>
      <ns0:c r="M1501" s="7" t="n">
        <ns0:v>-31116.59898436569</ns0:v>
      </ns0:c>
      <ns0:c r="N1501" s="7" t="n">
        <ns0:v>9882.575092814597</ns0:v>
      </ns0:c>
      <ns0:c r="O1501" s="7" t="n">
        <ns0:v>52811.58157222954</ns0:v>
      </ns0:c>
      <ns0:c r="P1501" s="7" t="n">
        <ns0:v>160134.0977707669</ns0:v>
      </ns0:c>
      <ns0:c r="Q1501" s="7" t="n">
        <ns0:v>547424.1625649162</ns0:v>
      </ns0:c>
      <ns0:c r="R1501" s="7" t="n">
        <ns0:v>1979939.389344439</ns0:v>
      </ns0:c>
    </ns0:row>
    <ns0:row r="1502" ht="24" customHeight="1">
      <ns0:c r="A1502" s="3" t="inlineStr">
        <ns0:is>
          <ns0:t>混在40/30/30</ns0:t>
        </ns0:is>
      </ns0:c>
      <ns0:c r="B1502" s="3" t="inlineStr">
        <ns0:is>
          <ns0:t>G2二段階</ns0:t>
        </ns0:is>
      </ns0:c>
      <ns0:c r="C1502" s="3" t="inlineStr">
        <ns0:is>
          <ns0:t>A</ns0:t>
        </ns0:is>
      </ns0:c>
      <ns0:c r="D1502" s="4" t="n">
        <ns0:v>1</ns0:v>
      </ns0:c>
      <ns0:c r="E1502" s="4" t="n">
        <ns0:v>1500</ns0:v>
      </ns0:c>
      <ns0:c r="F1502" s="6" t="n">
        <ns0:v>0.4</ns0:v>
      </ns0:c>
      <ns0:c r="G1502" s="4" t="n">
        <ns0:v>2</ns0:v>
      </ns0:c>
      <ns0:c r="H1502" s="7" t="n">
        <ns0:v>5269.017995002947</ns0:v>
      </ns0:c>
      <ns0:c r="I1502" s="7" t="n">
        <ns0:v>2587.71090087308</ns0:v>
      </ns0:c>
      <ns0:c r="J1502" s="7" t="n">
        <ns0:v>1035.084360349232</ns0:v>
      </ns0:c>
      <ns0:c r="K1502" s="18" t="inlineStr">
        <ns0:is>
          <ns0:t>範囲内なし</ns0:t>
        </ns0:is>
      </ns0:c>
      <ns0:c r="L1502" s="18" t="inlineStr">
        <ns0:is>
          <ns0:t>範囲内なし</ns0:t>
        </ns0:is>
      </ns0:c>
      <ns0:c r="M1502" s="7" t="n">
        <ns0:v>-52348.43751570678</ns0:v>
      </ns0:c>
      <ns0:c r="N1502" s="7" t="n">
        <ns0:v>-53812.94050120867</ns0:v>
      </ns0:c>
      <ns0:c r="O1502" s="7" t="n">
        <ns0:v>-53347.61108447592</ns0:v>
      </ns0:c>
      <ns0:c r="P1502" s="7" t="n">
        <ns0:v>-52184.28754264403</ns0:v>
      </ns0:c>
      <ns0:c r="Q1502" s="7" t="n">
        <ns0:v>-89530.9933753165</ns0:v>
      </ns0:c>
      <ns0:c r="R1502" s="7" t="n">
        <ns0:v>-143244.4637896693</ns0:v>
      </ns0:c>
    </ns0:row>
    <ns0:row r="1503" ht="24" customHeight="1">
      <ns0:c r="A1503" s="3" t="inlineStr">
        <ns0:is>
          <ns0:t>混在40/30/30</ns0:t>
        </ns0:is>
      </ns0:c>
      <ns0:c r="B1503" s="3" t="inlineStr">
        <ns0:is>
          <ns0:t>G2二段階</ns0:t>
        </ns0:is>
      </ns0:c>
      <ns0:c r="C1503" s="3" t="inlineStr">
        <ns0:is>
          <ns0:t>A</ns0:t>
        </ns0:is>
      </ns0:c>
      <ns0:c r="D1503" s="4" t="n">
        <ns0:v>1</ns0:v>
      </ns0:c>
      <ns0:c r="E1503" s="4" t="n">
        <ns0:v>1500</ns0:v>
      </ns0:c>
      <ns0:c r="F1503" s="6" t="n">
        <ns0:v>0.4</ns0:v>
      </ns0:c>
      <ns0:c r="G1503" s="4" t="n">
        <ns0:v>3</ns0:v>
      </ns0:c>
      <ns0:c r="H1503" s="7" t="n">
        <ns0:v>5269.017995002947</ns0:v>
      </ns0:c>
      <ns0:c r="I1503" s="7" t="n">
        <ns0:v>2587.71090087308</ns0:v>
      </ns0:c>
      <ns0:c r="J1503" s="7" t="n">
        <ns0:v>1035.084360349232</ns0:v>
      </ns0:c>
      <ns0:c r="K1503" s="7" t="n">
        <ns0:v>35</ns0:v>
      </ns0:c>
      <ns0:c r="L1503" s="7" t="n">
        <ns0:v>429</ns0:v>
      </ns0:c>
      <ns0:c r="M1503" s="7" t="n">
        <ns0:v>-36757.34641261949</ns0:v>
      </ns0:c>
      <ns0:c r="N1503" s="7" t="n">
        <ns0:v>-7039.667191946803</ns0:v>
      </ns0:c>
      <ns0:c r="O1503" s="7" t="n">
        <ns0:v>24607.84443096053</ns0:v>
      </ns0:c>
      <ns0:c r="P1503" s="7" t="n">
        <ns0:v>103726.6234882289</ns0:v>
      </ns0:c>
      <ns0:c r="Q1503" s="7" t="n">
        <ns0:v>378201.7397173021</ns0:v>
      </ns0:c>
      <ns0:c r="R1503" s="7" t="n">
        <ns0:v>1415864.646519059</ns0:v>
      </ns0:c>
    </ns0:row>
    <ns0:row r="1504" ht="24" customHeight="1">
      <ns0:c r="A1504" s="3" t="inlineStr">
        <ns0:is>
          <ns0:t>混在40/30/30</ns0:t>
        </ns0:is>
      </ns0:c>
      <ns0:c r="B1504" s="3" t="inlineStr">
        <ns0:is>
          <ns0:t>G2二段階</ns0:t>
        </ns0:is>
      </ns0:c>
      <ns0:c r="C1504" s="3" t="inlineStr">
        <ns0:is>
          <ns0:t>A</ns0:t>
        </ns0:is>
      </ns0:c>
      <ns0:c r="D1504" s="4" t="n">
        <ns0:v>1</ns0:v>
      </ns0:c>
      <ns0:c r="E1504" s="4" t="n">
        <ns0:v>1500</ns0:v>
      </ns0:c>
      <ns0:c r="F1504" s="6" t="n">
        <ns0:v>0.5</ns0:v>
      </ns0:c>
      <ns0:c r="G1504" s="4" t="n">
        <ns0:v>0</ns0:v>
      </ns0:c>
      <ns0:c r="H1504" s="7" t="n">
        <ns0:v>5269.017995002947</ns0:v>
      </ns0:c>
      <ns0:c r="I1504" s="7" t="n">
        <ns0:v>2587.71090087308</ns0:v>
      </ns0:c>
      <ns0:c r="J1504" s="7" t="n">
        <ns0:v>1293.85545043654</ns0:v>
      </ns0:c>
      <ns0:c r="K1504" s="7" t="n">
        <ns0:v>26</ns0:v>
      </ns0:c>
      <ns0:c r="L1504" s="7" t="n">
        <ns0:v>40</ns0:v>
      </ns0:c>
      <ns0:c r="M1504" s="7" t="n">
        <ns0:v>-31135.0918172745</ns0:v>
      </ns0:c>
      <ns0:c r="N1504" s="7" t="n">
        <ns0:v>9827.096594088165</ns0:v>
      </ns0:c>
      <ns0:c r="O1504" s="7" t="n">
        <ns0:v>52719.11740768548</ns0:v>
      </ns0:c>
      <ns0:c r="P1504" s="7" t="n">
        <ns0:v>159949.1694416788</ns0:v>
      </ns0:c>
      <ns0:c r="Q1504" s="7" t="n">
        <ns0:v>546869.377577652</ns0:v>
      </ns0:c>
      <ns0:c r="R1504" s="7" t="n">
        <ns0:v>1978090.106053559</ns0:v>
      </ns0:c>
    </ns0:row>
    <ns0:row r="1505" ht="24" customHeight="1">
      <ns0:c r="A1505" s="3" t="inlineStr">
        <ns0:is>
          <ns0:t>混在40/30/30</ns0:t>
        </ns0:is>
      </ns0:c>
      <ns0:c r="B1505" s="3" t="inlineStr">
        <ns0:is>
          <ns0:t>G2二段階</ns0:t>
        </ns0:is>
      </ns0:c>
      <ns0:c r="C1505" s="3" t="inlineStr">
        <ns0:is>
          <ns0:t>A</ns0:t>
        </ns0:is>
      </ns0:c>
      <ns0:c r="D1505" s="4" t="n">
        <ns0:v>1</ns0:v>
      </ns0:c>
      <ns0:c r="E1505" s="4" t="n">
        <ns0:v>1500</ns0:v>
      </ns0:c>
      <ns0:c r="F1505" s="6" t="n">
        <ns0:v>0.5</ns0:v>
      </ns0:c>
      <ns0:c r="G1505" s="4" t="n">
        <ns0:v>1</ns0:v>
      </ns0:c>
      <ns0:c r="H1505" s="7" t="n">
        <ns0:v>5269.017995002947</ns0:v>
      </ns0:c>
      <ns0:c r="I1505" s="7" t="n">
        <ns0:v>2587.71090087308</ns0:v>
      </ns0:c>
      <ns0:c r="J1505" s="7" t="n">
        <ns0:v>1293.85545043654</ns0:v>
      </ns0:c>
      <ns0:c r="K1505" s="7" t="n">
        <ns0:v>29</ns0:v>
      </ns0:c>
      <ns0:c r="L1505" s="7" t="n">
        <ns0:v>57</ns0:v>
      </ns0:c>
      <ns0:c r="M1505" s="7" t="n">
        <ns0:v>-33704.30988523877</ns0:v>
      </ns0:c>
      <ns0:c r="N1505" s="7" t="n">
        <ns0:v>2119.442390195349</ns0:v>
      </ns0:c>
      <ns0:c r="O1505" s="7" t="n">
        <ns0:v>39873.02706786412</ns0:v>
      </ns0:c>
      <ns0:c r="P1505" s="7" t="n">
        <ns0:v>134256.988762036</ns0:v>
      </ns0:c>
      <ns0:c r="Q1505" s="7" t="n">
        <ns0:v>469792.8355387239</ns0:v>
      </ns0:c>
      <ns0:c r="R1505" s="7" t="n">
        <ns0:v>1721168.299257131</ns0:v>
      </ns0:c>
    </ns0:row>
    <ns0:row r="1506" ht="24" customHeight="1">
      <ns0:c r="A1506" s="3" t="inlineStr">
        <ns0:is>
          <ns0:t>混在40/30/30</ns0:t>
        </ns0:is>
      </ns0:c>
      <ns0:c r="B1506" s="3" t="inlineStr">
        <ns0:is>
          <ns0:t>G2二段階</ns0:t>
        </ns0:is>
      </ns0:c>
      <ns0:c r="C1506" s="3" t="inlineStr">
        <ns0:is>
          <ns0:t>A</ns0:t>
        </ns0:is>
      </ns0:c>
      <ns0:c r="D1506" s="4" t="n">
        <ns0:v>1</ns0:v>
      </ns0:c>
      <ns0:c r="E1506" s="4" t="n">
        <ns0:v>1500</ns0:v>
      </ns0:c>
      <ns0:c r="F1506" s="6" t="n">
        <ns0:v>0.5</ns0:v>
      </ns0:c>
      <ns0:c r="G1506" s="4" t="n">
        <ns0:v>2</ns0:v>
      </ns0:c>
      <ns0:c r="H1506" s="7" t="n">
        <ns0:v>5269.017995002947</ns0:v>
      </ns0:c>
      <ns0:c r="I1506" s="7" t="n">
        <ns0:v>2587.71090087308</ns0:v>
      </ns0:c>
      <ns0:c r="J1506" s="7" t="n">
        <ns0:v>1293.85545043654</ns0:v>
      </ns0:c>
      <ns0:c r="K1506" s="18" t="inlineStr">
        <ns0:is>
          <ns0:t>範囲内なし</ns0:t>
        </ns0:is>
      </ns0:c>
      <ns0:c r="L1506" s="18" t="inlineStr">
        <ns0:is>
          <ns0:t>範囲内なし</ns0:t>
        </ns0:is>
      </ns0:c>
      <ns0:c r="M1506" s="7" t="n">
        <ns0:v>-54936.14841657986</ns0:v>
      </ns0:c>
      <ns0:c r="N1506" s="7" t="n">
        <ns0:v>-61576.07320382792</ns0:v>
      </ns0:c>
      <ns0:c r="O1506" s="7" t="n">
        <ns0:v>-66286.16558884131</ns0:v>
      </ns0:c>
      <ns0:c r="P1506" s="7" t="n">
        <ns0:v>-78061.39655137486</ns0:v>
      </ns0:c>
      <ns0:c r="Q1506" s="7" t="n">
        <ns0:v>-167162.3204015088</ns0:v>
      </ns0:c>
      <ns0:c r="R1506" s="7" t="n">
        <ns0:v>-402015.5538769774</ns0:v>
      </ns0:c>
    </ns0:row>
    <ns0:row r="1507" ht="24" customHeight="1">
      <ns0:c r="A1507" s="3" t="inlineStr">
        <ns0:is>
          <ns0:t>混在40/30/30</ns0:t>
        </ns0:is>
      </ns0:c>
      <ns0:c r="B1507" s="3" t="inlineStr">
        <ns0:is>
          <ns0:t>G2二段階</ns0:t>
        </ns0:is>
      </ns0:c>
      <ns0:c r="C1507" s="3" t="inlineStr">
        <ns0:is>
          <ns0:t>A</ns0:t>
        </ns0:is>
      </ns0:c>
      <ns0:c r="D1507" s="4" t="n">
        <ns0:v>1</ns0:v>
      </ns0:c>
      <ns0:c r="E1507" s="4" t="n">
        <ns0:v>1500</ns0:v>
      </ns0:c>
      <ns0:c r="F1507" s="6" t="n">
        <ns0:v>0.5</ns0:v>
      </ns0:c>
      <ns0:c r="G1507" s="4" t="n">
        <ns0:v>3</ns0:v>
      </ns0:c>
      <ns0:c r="H1507" s="7" t="n">
        <ns0:v>5269.017995002947</ns0:v>
      </ns0:c>
      <ns0:c r="I1507" s="7" t="n">
        <ns0:v>2587.71090087308</ns0:v>
      </ns0:c>
      <ns0:c r="J1507" s="7" t="n">
        <ns0:v>1293.85545043654</ns0:v>
      </ns0:c>
      <ns0:c r="K1507" s="7" t="n">
        <ns0:v>42</ns0:v>
      </ns0:c>
      <ns0:c r="L1507" s="18" t="inlineStr">
        <ns0:is>
          <ns0:t>範囲内なし</ns0:t>
        </ns0:is>
      </ns0:c>
      <ns0:c r="M1507" s="7" t="n">
        <ns0:v>-39345.05731349257</ns0:v>
      </ns0:c>
      <ns0:c r="N1507" s="7" t="n">
        <ns0:v>-14802.79989456605</ns0:v>
      </ns0:c>
      <ns0:c r="O1507" s="7" t="n">
        <ns0:v>11669.28992659512</ns0:v>
      </ns0:c>
      <ns0:c r="P1507" s="7" t="n">
        <ns0:v>77849.51447949803</ns0:v>
      </ns0:c>
      <ns0:c r="Q1507" s="7" t="n">
        <ns0:v>300570.4126911099</ns0:v>
      </ns0:c>
      <ns0:c r="R1507" s="7" t="n">
        <ns0:v>1157093.556431751</ns0:v>
      </ns0:c>
    </ns0:row>
    <ns0:row r="1508" ht="24" customHeight="1">
      <ns0:c r="A1508" s="3" t="inlineStr">
        <ns0:is>
          <ns0:t>混在40/30/30</ns0:t>
        </ns0:is>
      </ns0:c>
      <ns0:c r="B1508" s="3" t="inlineStr">
        <ns0:is>
          <ns0:t>G2二段階</ns0:t>
        </ns0:is>
      </ns0:c>
      <ns0:c r="C1508" s="3" t="inlineStr">
        <ns0:is>
          <ns0:t>A</ns0:t>
        </ns0:is>
      </ns0:c>
      <ns0:c r="D1508" s="4" t="n">
        <ns0:v>2</ns0:v>
      </ns0:c>
      <ns0:c r="E1508" s="4" t="n">
        <ns0:v>500</ns0:v>
      </ns0:c>
      <ns0:c r="F1508" s="6" t="n">
        <ns0:v>0.3</ns0:v>
      </ns0:c>
      <ns0:c r="G1508" s="4" t="n">
        <ns0:v>0</ns0:v>
      </ns0:c>
      <ns0:c r="H1508" s="7" t="n">
        <ns0:v>7706.084843605974</ns0:v>
      </ns0:c>
      <ns0:c r="I1508" s="7" t="n">
        <ns0:v>3381.541458225519</ns0:v>
      </ns0:c>
      <ns0:c r="J1508" s="7" t="n">
        <ns0:v>1014.462437467656</ns0:v>
      </ns0:c>
      <ns0:c r="K1508" s="7" t="n">
        <ns0:v>11</ns0:v>
      </ns0:c>
      <ns0:c r="L1508" s="7" t="n">
        <ns0:v>18</ns0:v>
      </ns0:c>
      <ns0:c r="M1508" s="7" t="n">
        <ns0:v>-5503.359051472878</ns0:v>
      </ns0:c>
      <ns0:c r="N1508" s="7" t="n">
        <ns0:v>72054.58147201099</ns0:v>
      </ns0:c>
      <ns0:c r="O1508" s="7" t="n">
        <ns0:v>156431.5922042235</ns0:v>
      </ns0:c>
      <ns0:c r="P1508" s="7" t="n">
        <ns0:v>367374.1190347548</ns0:v>
      </ns0:c>
      <ns0:c r="Q1508" s="7" t="n">
        <ns0:v>1169144.22635688</ns0:v>
      </ns0:c>
      <ns0:c r="R1508" s="7" t="n">
        <ns0:v>4052339.601984318</ns0:v>
      </ns0:c>
    </ns0:row>
    <ns0:row r="1509" ht="24" customHeight="1">
      <ns0:c r="A1509" s="3" t="inlineStr">
        <ns0:is>
          <ns0:t>混在40/30/30</ns0:t>
        </ns0:is>
      </ns0:c>
      <ns0:c r="B1509" s="3" t="inlineStr">
        <ns0:is>
          <ns0:t>G2二段階</ns0:t>
        </ns0:is>
      </ns0:c>
      <ns0:c r="C1509" s="3" t="inlineStr">
        <ns0:is>
          <ns0:t>A</ns0:t>
        </ns0:is>
      </ns0:c>
      <ns0:c r="D1509" s="4" t="n">
        <ns0:v>2</ns0:v>
      </ns0:c>
      <ns0:c r="E1509" s="4" t="n">
        <ns0:v>500</ns0:v>
      </ns0:c>
      <ns0:c r="F1509" s="6" t="n">
        <ns0:v>0.3</ns0:v>
      </ns0:c>
      <ns0:c r="G1509" s="4" t="n">
        <ns0:v>1</ns0:v>
      </ns0:c>
      <ns0:c r="H1509" s="7" t="n">
        <ns0:v>7706.084843605974</ns0:v>
      </ns0:c>
      <ns0:c r="I1509" s="7" t="n">
        <ns0:v>3381.541458225519</ns0:v>
      </ns0:c>
      <ns0:c r="J1509" s="7" t="n">
        <ns0:v>1014.462437467656</ns0:v>
      </ns0:c>
      <ns0:c r="K1509" s="7" t="n">
        <ns0:v>12</ns0:v>
      </ns0:c>
      <ns0:c r="L1509" s="7" t="n">
        <ns0:v>21</ns0:v>
      </ns0:c>
      <ns0:c r="M1509" s="7" t="n">
        <ns0:v>-8707.914377677778</ns0:v>
      </ns0:c>
      <ns0:c r="N1509" s="7" t="n">
        <ns0:v>62440.91549339627</ns0:v>
      </ns0:c>
      <ns0:c r="O1509" s="7" t="n">
        <ns0:v>140408.815573199</ns0:v>
      </ns0:c>
      <ns0:c r="P1509" s="7" t="n">
        <ns0:v>335328.5657727057</ns0:v>
      </ns0:c>
      <ns0:c r="Q1509" s="7" t="n">
        <ns0:v>1073007.566570733</ns0:v>
      </ns0:c>
      <ns0:c r="R1509" s="7" t="n">
        <ns0:v>3731884.069363828</ns0:v>
      </ns0:c>
    </ns0:row>
    <ns0:row r="1510" ht="24" customHeight="1">
      <ns0:c r="A1510" s="3" t="inlineStr">
        <ns0:is>
          <ns0:t>混在40/30/30</ns0:t>
        </ns0:is>
      </ns0:c>
      <ns0:c r="B1510" s="3" t="inlineStr">
        <ns0:is>
          <ns0:t>G2二段階</ns0:t>
        </ns0:is>
      </ns0:c>
      <ns0:c r="C1510" s="3" t="inlineStr">
        <ns0:is>
          <ns0:t>A</ns0:t>
        </ns0:is>
      </ns0:c>
      <ns0:c r="D1510" s="4" t="n">
        <ns0:v>2</ns0:v>
      </ns0:c>
      <ns0:c r="E1510" s="4" t="n">
        <ns0:v>500</ns0:v>
      </ns0:c>
      <ns0:c r="F1510" s="6" t="n">
        <ns0:v>0.3</ns0:v>
      </ns0:c>
      <ns0:c r="G1510" s="4" t="n">
        <ns0:v>2</ns0:v>
      </ns0:c>
      <ns0:c r="H1510" s="7" t="n">
        <ns0:v>7706.084843605974</ns0:v>
      </ns0:c>
      <ns0:c r="I1510" s="7" t="n">
        <ns0:v>3381.541458225519</ns0:v>
      </ns0:c>
      <ns0:c r="J1510" s="7" t="n">
        <ns0:v>1014.462437467656</ns0:v>
      </ns0:c>
      <ns0:c r="K1510" s="18" t="inlineStr">
        <ns0:is>
          <ns0:t>範囲内なし</ns0:t>
        </ns0:is>
      </ns0:c>
      <ns0:c r="L1510" s="18" t="inlineStr">
        <ns0:is>
          <ns0:t>範囲内なし</ns0:t>
        </ns0:is>
      </ns0:c>
      <ns0:c r="M1510" s="7" t="n">
        <ns0:v>-48280.27972625667</ns0:v>
      </ns0:c>
      <ns0:c r="N1510" s="7" t="n">
        <ns0:v>-56276.18055234039</ns0:v>
      </ns0:c>
      <ns0:c r="O1510" s="7" t="n">
        <ns0:v>-57453.01116969547</ns0:v>
      </ns0:c>
      <ns0:c r="P1510" s="7" t="n">
        <ns0:v>-60395.08771308314</ns0:v>
      </ns0:c>
      <ns0:c r="Q1510" s="7" t="n">
        <ns0:v>-114163.3938866336</ns0:v>
      </ns0:c>
      <ns0:c r="R1510" s="7" t="n">
        <ns0:v>-225352.4654940609</ns0:v>
      </ns0:c>
    </ns0:row>
    <ns0:row r="1511" ht="24" customHeight="1">
      <ns0:c r="A1511" s="3" t="inlineStr">
        <ns0:is>
          <ns0:t>混在40/30/30</ns0:t>
        </ns0:is>
      </ns0:c>
      <ns0:c r="B1511" s="3" t="inlineStr">
        <ns0:is>
          <ns0:t>G2二段階</ns0:t>
        </ns0:is>
      </ns0:c>
      <ns0:c r="C1511" s="3" t="inlineStr">
        <ns0:is>
          <ns0:t>A</ns0:t>
        </ns0:is>
      </ns0:c>
      <ns0:c r="D1511" s="4" t="n">
        <ns0:v>2</ns0:v>
      </ns0:c>
      <ns0:c r="E1511" s="4" t="n">
        <ns0:v>500</ns0:v>
      </ns0:c>
      <ns0:c r="F1511" s="6" t="n">
        <ns0:v>0.3</ns0:v>
      </ns0:c>
      <ns0:c r="G1511" s="4" t="n">
        <ns0:v>3</ns0:v>
      </ns0:c>
      <ns0:c r="H1511" s="7" t="n">
        <ns0:v>7706.084843605974</ns0:v>
      </ns0:c>
      <ns0:c r="I1511" s="7" t="n">
        <ns0:v>3381.541458225519</ns0:v>
      </ns0:c>
      <ns0:c r="J1511" s="7" t="n">
        <ns0:v>1014.462437467656</ns0:v>
      </ns0:c>
      <ns0:c r="K1511" s="7" t="n">
        <ns0:v>16</ns0:v>
      </ns0:c>
      <ns0:c r="L1511" s="7" t="n">
        <ns0:v>34</ns0:v>
      </ns0:c>
      <ns0:c r="M1511" s="7" t="n">
        <ns0:v>-15287.06871182966</ns0:v>
      </ns0:c>
      <ns0:c r="N1511" s="7" t="n">
        <ns0:v>42703.45249094065</ns0:v>
      </ns0:c>
      <ns0:c r="O1511" s="7" t="n">
        <ns0:v>107513.0439024396</ns0:v>
      </ns0:c>
      <ns0:c r="P1511" s="7" t="n">
        <ns0:v>269537.022431187</ns0:v>
      </ns0:c>
      <ns0:c r="Q1511" s="7" t="n">
        <ns0:v>875632.9365461767</ns0:v>
      </ns0:c>
      <ns0:c r="R1511" s="7" t="n">
        <ns0:v>3073968.63594864</ns0:v>
      </ns0:c>
    </ns0:row>
    <ns0:row r="1512" ht="24" customHeight="1">
      <ns0:c r="A1512" s="3" t="inlineStr">
        <ns0:is>
          <ns0:t>混在40/30/30</ns0:t>
        </ns0:is>
      </ns0:c>
      <ns0:c r="B1512" s="3" t="inlineStr">
        <ns0:is>
          <ns0:t>G2二段階</ns0:t>
        </ns0:is>
      </ns0:c>
      <ns0:c r="C1512" s="3" t="inlineStr">
        <ns0:is>
          <ns0:t>A</ns0:t>
        </ns0:is>
      </ns0:c>
      <ns0:c r="D1512" s="4" t="n">
        <ns0:v>2</ns0:v>
      </ns0:c>
      <ns0:c r="E1512" s="4" t="n">
        <ns0:v>500</ns0:v>
      </ns0:c>
      <ns0:c r="F1512" s="6" t="n">
        <ns0:v>0.4</ns0:v>
      </ns0:c>
      <ns0:c r="G1512" s="4" t="n">
        <ns0:v>0</ns0:v>
      </ns0:c>
      <ns0:c r="H1512" s="7" t="n">
        <ns0:v>7706.084843605974</ns0:v>
      </ns0:c>
      <ns0:c r="I1512" s="7" t="n">
        <ns0:v>3381.541458225519</ns0:v>
      </ns0:c>
      <ns0:c r="J1512" s="7" t="n">
        <ns0:v>1352.616583290208</ns0:v>
      </ns0:c>
      <ns0:c r="K1512" s="7" t="n">
        <ns0:v>12</ns0:v>
      </ns0:c>
      <ns0:c r="L1512" s="7" t="n">
        <ns0:v>19</ns0:v>
      </ns0:c>
      <ns0:c r="M1512" s="7" t="n">
        <ns0:v>-8884.9005096984</ns0:v>
      </ns0:c>
      <ns0:c r="N1512" s="7" t="n">
        <ns0:v>61909.95709733442</ns0:v>
      </ns0:c>
      <ns0:c r="O1512" s="7" t="n">
        <ns0:v>139523.8849130959</ns0:v>
      </ns0:c>
      <ns0:c r="P1512" s="7" t="n">
        <ns0:v>333558.7044524996</ns0:v>
      </ns0:c>
      <ns0:c r="Q1512" s="7" t="n">
        <ns0:v>1067697.982610115</ns0:v>
      </ns0:c>
      <ns0:c r="R1512" s="7" t="n">
        <ns0:v>3714185.456161767</ns0:v>
      </ns0:c>
    </ns0:row>
    <ns0:row r="1513" ht="24" customHeight="1">
      <ns0:c r="A1513" s="3" t="inlineStr">
        <ns0:is>
          <ns0:t>混在40/30/30</ns0:t>
        </ns0:is>
      </ns0:c>
      <ns0:c r="B1513" s="3" t="inlineStr">
        <ns0:is>
          <ns0:t>G2二段階</ns0:t>
        </ns0:is>
      </ns0:c>
      <ns0:c r="C1513" s="3" t="inlineStr">
        <ns0:is>
          <ns0:t>A</ns0:t>
        </ns0:is>
      </ns0:c>
      <ns0:c r="D1513" s="4" t="n">
        <ns0:v>2</ns0:v>
      </ns0:c>
      <ns0:c r="E1513" s="4" t="n">
        <ns0:v>500</ns0:v>
      </ns0:c>
      <ns0:c r="F1513" s="6" t="n">
        <ns0:v>0.4</ns0:v>
      </ns0:c>
      <ns0:c r="G1513" s="4" t="n">
        <ns0:v>1</ns0:v>
      </ns0:c>
      <ns0:c r="H1513" s="7" t="n">
        <ns0:v>7706.084843605974</ns0:v>
      </ns0:c>
      <ns0:c r="I1513" s="7" t="n">
        <ns0:v>3381.541458225519</ns0:v>
      </ns0:c>
      <ns0:c r="J1513" s="7" t="n">
        <ns0:v>1352.616583290208</ns0:v>
      </ns0:c>
      <ns0:c r="K1513" s="7" t="n">
        <ns0:v>13</ns0:v>
      </ns0:c>
      <ns0:c r="L1513" s="7" t="n">
        <ns0:v>23</ns0:v>
      </ns0:c>
      <ns0:c r="M1513" s="7" t="n">
        <ns0:v>-12089.4558359033</ns0:v>
      </ns0:c>
      <ns0:c r="N1513" s="7" t="n">
        <ns0:v>52296.29111871971</ns0:v>
      </ns0:c>
      <ns0:c r="O1513" s="7" t="n">
        <ns0:v>123501.1082820714</ns0:v>
      </ns0:c>
      <ns0:c r="P1513" s="7" t="n">
        <ns0:v>301513.1511904505</ns0:v>
      </ns0:c>
      <ns0:c r="Q1513" s="7" t="n">
        <ns0:v>971561.3228239674</ns0:v>
      </ns0:c>
      <ns0:c r="R1513" s="7" t="n">
        <ns0:v>3393729.923541276</ns0:v>
      </ns0:c>
    </ns0:row>
    <ns0:row r="1514" ht="24" customHeight="1">
      <ns0:c r="A1514" s="3" t="inlineStr">
        <ns0:is>
          <ns0:t>混在40/30/30</ns0:t>
        </ns0:is>
      </ns0:c>
      <ns0:c r="B1514" s="3" t="inlineStr">
        <ns0:is>
          <ns0:t>G2二段階</ns0:t>
        </ns0:is>
      </ns0:c>
      <ns0:c r="C1514" s="3" t="inlineStr">
        <ns0:is>
          <ns0:t>A</ns0:t>
        </ns0:is>
      </ns0:c>
      <ns0:c r="D1514" s="4" t="n">
        <ns0:v>2</ns0:v>
      </ns0:c>
      <ns0:c r="E1514" s="4" t="n">
        <ns0:v>500</ns0:v>
      </ns0:c>
      <ns0:c r="F1514" s="6" t="n">
        <ns0:v>0.4</ns0:v>
      </ns0:c>
      <ns0:c r="G1514" s="4" t="n">
        <ns0:v>2</ns0:v>
      </ns0:c>
      <ns0:c r="H1514" s="7" t="n">
        <ns0:v>7706.084843605974</ns0:v>
      </ns0:c>
      <ns0:c r="I1514" s="7" t="n">
        <ns0:v>3381.541458225519</ns0:v>
      </ns0:c>
      <ns0:c r="J1514" s="7" t="n">
        <ns0:v>1352.616583290208</ns0:v>
      </ns0:c>
      <ns0:c r="K1514" s="18" t="inlineStr">
        <ns0:is>
          <ns0:t>範囲内なし</ns0:t>
        </ns0:is>
      </ns0:c>
      <ns0:c r="L1514" s="18" t="inlineStr">
        <ns0:is>
          <ns0:t>範囲内なし</ns0:t>
        </ns0:is>
      </ns0:c>
      <ns0:c r="M1514" s="7" t="n">
        <ns0:v>-51661.82118448219</ns0:v>
      </ns0:c>
      <ns0:c r="N1514" s="7" t="n">
        <ns0:v>-66420.80492701696</ns0:v>
      </ns0:c>
      <ns0:c r="O1514" s="7" t="n">
        <ns0:v>-74360.71846082303</ns0:v>
      </ns0:c>
      <ns0:c r="P1514" s="7" t="n">
        <ns0:v>-94210.50229533826</ns0:v>
      </ns0:c>
      <ns0:c r="Q1514" s="7" t="n">
        <ns0:v>-215609.637633399</ns0:v>
      </ns0:c>
      <ns0:c r="R1514" s="7" t="n">
        <ns0:v>-563506.6113166125</ns0:v>
      </ns0:c>
    </ns0:row>
    <ns0:row r="1515" ht="24" customHeight="1">
      <ns0:c r="A1515" s="3" t="inlineStr">
        <ns0:is>
          <ns0:t>混在40/30/30</ns0:t>
        </ns0:is>
      </ns0:c>
      <ns0:c r="B1515" s="3" t="inlineStr">
        <ns0:is>
          <ns0:t>G2二段階</ns0:t>
        </ns0:is>
      </ns0:c>
      <ns0:c r="C1515" s="3" t="inlineStr">
        <ns0:is>
          <ns0:t>A</ns0:t>
        </ns0:is>
      </ns0:c>
      <ns0:c r="D1515" s="4" t="n">
        <ns0:v>2</ns0:v>
      </ns0:c>
      <ns0:c r="E1515" s="4" t="n">
        <ns0:v>500</ns0:v>
      </ns0:c>
      <ns0:c r="F1515" s="6" t="n">
        <ns0:v>0.4</ns0:v>
      </ns0:c>
      <ns0:c r="G1515" s="4" t="n">
        <ns0:v>3</ns0:v>
      </ns0:c>
      <ns0:c r="H1515" s="7" t="n">
        <ns0:v>7706.084843605974</ns0:v>
      </ns0:c>
      <ns0:c r="I1515" s="7" t="n">
        <ns0:v>3381.541458225519</ns0:v>
      </ns0:c>
      <ns0:c r="J1515" s="7" t="n">
        <ns0:v>1352.616583290208</ns0:v>
      </ns0:c>
      <ns0:c r="K1515" s="7" t="n">
        <ns0:v>19</ns0:v>
      </ns0:c>
      <ns0:c r="L1515" s="7" t="n">
        <ns0:v>39</ns0:v>
      </ns0:c>
      <ns0:c r="M1515" s="7" t="n">
        <ns0:v>-18668.61017005518</ns0:v>
      </ns0:c>
      <ns0:c r="N1515" s="7" t="n">
        <ns0:v>32558.82811626409</ns0:v>
      </ns0:c>
      <ns0:c r="O1515" s="7" t="n">
        <ns0:v>90605.336611312</ns0:v>
      </ns0:c>
      <ns0:c r="P1515" s="7" t="n">
        <ns0:v>235721.6078489318</ns0:v>
      </ns0:c>
      <ns0:c r="Q1515" s="7" t="n">
        <ns0:v>774186.6927994112</ns0:v>
      </ns0:c>
      <ns0:c r="R1515" s="7" t="n">
        <ns0:v>2735814.490126089</ns0:v>
      </ns0:c>
    </ns0:row>
    <ns0:row r="1516" ht="24" customHeight="1">
      <ns0:c r="A1516" s="3" t="inlineStr">
        <ns0:is>
          <ns0:t>混在40/30/30</ns0:t>
        </ns0:is>
      </ns0:c>
      <ns0:c r="B1516" s="3" t="inlineStr">
        <ns0:is>
          <ns0:t>G2二段階</ns0:t>
        </ns0:is>
      </ns0:c>
      <ns0:c r="C1516" s="3" t="inlineStr">
        <ns0:is>
          <ns0:t>A</ns0:t>
        </ns0:is>
      </ns0:c>
      <ns0:c r="D1516" s="4" t="n">
        <ns0:v>2</ns0:v>
      </ns0:c>
      <ns0:c r="E1516" s="4" t="n">
        <ns0:v>500</ns0:v>
      </ns0:c>
      <ns0:c r="F1516" s="6" t="n">
        <ns0:v>0.5</ns0:v>
      </ns0:c>
      <ns0:c r="G1516" s="4" t="n">
        <ns0:v>0</ns0:v>
      </ns0:c>
      <ns0:c r="H1516" s="7" t="n">
        <ns0:v>7706.084843605974</ns0:v>
      </ns0:c>
      <ns0:c r="I1516" s="7" t="n">
        <ns0:v>3381.541458225519</ns0:v>
      </ns0:c>
      <ns0:c r="J1516" s="7" t="n">
        <ns0:v>1690.77072911276</ns0:v>
      </ns0:c>
      <ns0:c r="K1516" s="7" t="n">
        <ns0:v>13</ns0:v>
      </ns0:c>
      <ns0:c r="L1516" s="7" t="n">
        <ns0:v>20</ns0:v>
      </ns0:c>
      <ns0:c r="M1516" s="7" t="n">
        <ns0:v>-12266.44196792393</ns0:v>
      </ns0:c>
      <ns0:c r="N1516" s="7" t="n">
        <ns0:v>51765.33272265787</ns0:v>
      </ns0:c>
      <ns0:c r="O1516" s="7" t="n">
        <ns0:v>122616.1776219683</ns0:v>
      </ns0:c>
      <ns0:c r="P1516" s="7" t="n">
        <ns0:v>299743.2898702443</ns0:v>
      </ns0:c>
      <ns0:c r="Q1516" s="7" t="n">
        <ns0:v>966251.738863349</ns0:v>
      </ns0:c>
      <ns0:c r="R1516" s="7" t="n">
        <ns0:v>3376031.310339215</ns0:v>
      </ns0:c>
    </ns0:row>
    <ns0:row r="1517" ht="24" customHeight="1">
      <ns0:c r="A1517" s="3" t="inlineStr">
        <ns0:is>
          <ns0:t>混在40/30/30</ns0:t>
        </ns0:is>
      </ns0:c>
      <ns0:c r="B1517" s="3" t="inlineStr">
        <ns0:is>
          <ns0:t>G2二段階</ns0:t>
        </ns0:is>
      </ns0:c>
      <ns0:c r="C1517" s="3" t="inlineStr">
        <ns0:is>
          <ns0:t>A</ns0:t>
        </ns0:is>
      </ns0:c>
      <ns0:c r="D1517" s="4" t="n">
        <ns0:v>2</ns0:v>
      </ns0:c>
      <ns0:c r="E1517" s="4" t="n">
        <ns0:v>500</ns0:v>
      </ns0:c>
      <ns0:c r="F1517" s="6" t="n">
        <ns0:v>0.5</ns0:v>
      </ns0:c>
      <ns0:c r="G1517" s="4" t="n">
        <ns0:v>1</ns0:v>
      </ns0:c>
      <ns0:c r="H1517" s="7" t="n">
        <ns0:v>7706.084843605974</ns0:v>
      </ns0:c>
      <ns0:c r="I1517" s="7" t="n">
        <ns0:v>3381.541458225519</ns0:v>
      </ns0:c>
      <ns0:c r="J1517" s="7" t="n">
        <ns0:v>1690.77072911276</ns0:v>
      </ns0:c>
      <ns0:c r="K1517" s="7" t="n">
        <ns0:v>16</ns0:v>
      </ns0:c>
      <ns0:c r="L1517" s="7" t="n">
        <ns0:v>24</ns0:v>
      </ns0:c>
      <ns0:c r="M1517" s="7" t="n">
        <ns0:v>-15470.99729412883</ns0:v>
      </ns0:c>
      <ns0:c r="N1517" s="7" t="n">
        <ns0:v>42151.66674404316</ns0:v>
      </ns0:c>
      <ns0:c r="O1517" s="7" t="n">
        <ns0:v>106593.4009909438</ns0:v>
      </ns0:c>
      <ns0:c r="P1517" s="7" t="n">
        <ns0:v>267697.7366081954</ns0:v>
      </ns0:c>
      <ns0:c r="Q1517" s="7" t="n">
        <ns0:v>870115.0790772019</ns0:v>
      </ns0:c>
      <ns0:c r="R1517" s="7" t="n">
        <ns0:v>3055575.777718725</ns0:v>
      </ns0:c>
    </ns0:row>
    <ns0:row r="1518" ht="24" customHeight="1">
      <ns0:c r="A1518" s="3" t="inlineStr">
        <ns0:is>
          <ns0:t>混在40/30/30</ns0:t>
        </ns0:is>
      </ns0:c>
      <ns0:c r="B1518" s="3" t="inlineStr">
        <ns0:is>
          <ns0:t>G2二段階</ns0:t>
        </ns0:is>
      </ns0:c>
      <ns0:c r="C1518" s="3" t="inlineStr">
        <ns0:is>
          <ns0:t>A</ns0:t>
        </ns0:is>
      </ns0:c>
      <ns0:c r="D1518" s="4" t="n">
        <ns0:v>2</ns0:v>
      </ns0:c>
      <ns0:c r="E1518" s="4" t="n">
        <ns0:v>500</ns0:v>
      </ns0:c>
      <ns0:c r="F1518" s="6" t="n">
        <ns0:v>0.5</ns0:v>
      </ns0:c>
      <ns0:c r="G1518" s="4" t="n">
        <ns0:v>2</ns0:v>
      </ns0:c>
      <ns0:c r="H1518" s="7" t="n">
        <ns0:v>7706.084843605974</ns0:v>
      </ns0:c>
      <ns0:c r="I1518" s="7" t="n">
        <ns0:v>3381.541458225519</ns0:v>
      </ns0:c>
      <ns0:c r="J1518" s="7" t="n">
        <ns0:v>1690.77072911276</ns0:v>
      </ns0:c>
      <ns0:c r="K1518" s="18" t="inlineStr">
        <ns0:is>
          <ns0:t>範囲内なし</ns0:t>
        </ns0:is>
      </ns0:c>
      <ns0:c r="L1518" s="18" t="inlineStr">
        <ns0:is>
          <ns0:t>範囲内なし</ns0:t>
        </ns0:is>
      </ns0:c>
      <ns0:c r="M1518" s="7" t="n">
        <ns0:v>-55043.36264270771</ns0:v>
      </ns0:c>
      <ns0:c r="N1518" s="7" t="n">
        <ns0:v>-76565.4293016935</ns0:v>
      </ns0:c>
      <ns0:c r="O1518" s="7" t="n">
        <ns0:v>-91268.42575195065</ns0:v>
      </ns0:c>
      <ns0:c r="P1518" s="7" t="n">
        <ns0:v>-128025.9168775935</ns0:v>
      </ns0:c>
      <ns0:c r="Q1518" s="7" t="n">
        <ns0:v>-317055.8813801646</ns0:v>
      </ns0:c>
      <ns0:c r="R1518" s="7" t="n">
        <ns0:v>-901660.757139164</ns0:v>
      </ns0:c>
    </ns0:row>
    <ns0:row r="1519" ht="24" customHeight="1">
      <ns0:c r="A1519" s="3" t="inlineStr">
        <ns0:is>
          <ns0:t>混在40/30/30</ns0:t>
        </ns0:is>
      </ns0:c>
      <ns0:c r="B1519" s="3" t="inlineStr">
        <ns0:is>
          <ns0:t>G2二段階</ns0:t>
        </ns0:is>
      </ns0:c>
      <ns0:c r="C1519" s="3" t="inlineStr">
        <ns0:is>
          <ns0:t>A</ns0:t>
        </ns0:is>
      </ns0:c>
      <ns0:c r="D1519" s="4" t="n">
        <ns0:v>2</ns0:v>
      </ns0:c>
      <ns0:c r="E1519" s="4" t="n">
        <ns0:v>500</ns0:v>
      </ns0:c>
      <ns0:c r="F1519" s="6" t="n">
        <ns0:v>0.5</ns0:v>
      </ns0:c>
      <ns0:c r="G1519" s="4" t="n">
        <ns0:v>3</ns0:v>
      </ns0:c>
      <ns0:c r="H1519" s="7" t="n">
        <ns0:v>7706.084843605974</ns0:v>
      </ns0:c>
      <ns0:c r="I1519" s="7" t="n">
        <ns0:v>3381.541458225519</ns0:v>
      </ns0:c>
      <ns0:c r="J1519" s="7" t="n">
        <ns0:v>1690.77072911276</ns0:v>
      </ns0:c>
      <ns0:c r="K1519" s="7" t="n">
        <ns0:v>22</ns0:v>
      </ns0:c>
      <ns0:c r="L1519" s="7" t="n">
        <ns0:v>45</ns0:v>
      </ns0:c>
      <ns0:c r="M1519" s="7" t="n">
        <ns0:v>-22050.1516282807</ns0:v>
      </ns0:c>
      <ns0:c r="N1519" s="7" t="n">
        <ns0:v>22414.20374158753</ns0:v>
      </ns0:c>
      <ns0:c r="O1519" s="7" t="n">
        <ns0:v>73697.62932018438</ns0:v>
      </ns0:c>
      <ns0:c r="P1519" s="7" t="n">
        <ns0:v>201906.1932666766</ns0:v>
      </ns0:c>
      <ns0:c r="Q1519" s="7" t="n">
        <ns0:v>672740.4490526456</ns0:v>
      </ns0:c>
      <ns0:c r="R1519" s="7" t="n">
        <ns0:v>2397660.344303537</ns0:v>
      </ns0:c>
    </ns0:row>
    <ns0:row r="1520" ht="24" customHeight="1">
      <ns0:c r="A1520" s="3" t="inlineStr">
        <ns0:is>
          <ns0:t>混在40/30/30</ns0:t>
        </ns0:is>
      </ns0:c>
      <ns0:c r="B1520" s="3" t="inlineStr">
        <ns0:is>
          <ns0:t>G2二段階</ns0:t>
        </ns0:is>
      </ns0:c>
      <ns0:c r="C1520" s="3" t="inlineStr">
        <ns0:is>
          <ns0:t>A</ns0:t>
        </ns0:is>
      </ns0:c>
      <ns0:c r="D1520" s="4" t="n">
        <ns0:v>2</ns0:v>
      </ns0:c>
      <ns0:c r="E1520" s="4" t="n">
        <ns0:v>1000</ns0:v>
      </ns0:c>
      <ns0:c r="F1520" s="6" t="n">
        <ns0:v>0.3</ns0:v>
      </ns0:c>
      <ns0:c r="G1520" s="4" t="n">
        <ns0:v>0</ns0:v>
      </ns0:c>
      <ns0:c r="H1520" s="7" t="n">
        <ns0:v>7556.084843605974</ns0:v>
      </ns0:c>
      <ns0:c r="I1520" s="7" t="n">
        <ns0:v>3231.541458225519</ns0:v>
      </ns0:c>
      <ns0:c r="J1520" s="7" t="n">
        <ns0:v>969.4624374676557</ns0:v>
      </ns0:c>
      <ns0:c r="K1520" s="7" t="n">
        <ns0:v>12</ns0:v>
      </ns0:c>
      <ns0:c r="L1520" s="7" t="n">
        <ns0:v>18</ns0:v>
      </ns0:c>
      <ns0:c r="M1520" s="7" t="n">
        <ns0:v>-6499.359051472882</ns0:v>
      </ns0:c>
      <ns0:c r="N1520" s="7" t="n">
        <ns0:v>69066.58147201099</ns0:v>
      </ns0:c>
      <ns0:c r="O1520" s="7" t="n">
        <ns0:v>151451.5922042235</ns0:v>
      </ns0:c>
      <ns0:c r="P1520" s="7" t="n">
        <ns0:v>357414.1190347548</ns0:v>
      </ns0:c>
      <ns0:c r="Q1520" s="7" t="n">
        <ns0:v>1139264.22635688</ns0:v>
      </ns0:c>
      <ns0:c r="R1520" s="7" t="n">
        <ns0:v>3952739.601984317</ns0:v>
      </ns0:c>
    </ns0:row>
    <ns0:row r="1521" ht="24" customHeight="1">
      <ns0:c r="A1521" s="3" t="inlineStr">
        <ns0:is>
          <ns0:t>混在40/30/30</ns0:t>
        </ns0:is>
      </ns0:c>
      <ns0:c r="B1521" s="3" t="inlineStr">
        <ns0:is>
          <ns0:t>G2二段階</ns0:t>
        </ns0:is>
      </ns0:c>
      <ns0:c r="C1521" s="3" t="inlineStr">
        <ns0:is>
          <ns0:t>A</ns0:t>
        </ns0:is>
      </ns0:c>
      <ns0:c r="D1521" s="4" t="n">
        <ns0:v>2</ns0:v>
      </ns0:c>
      <ns0:c r="E1521" s="4" t="n">
        <ns0:v>1000</ns0:v>
      </ns0:c>
      <ns0:c r="F1521" s="6" t="n">
        <ns0:v>0.3</ns0:v>
      </ns0:c>
      <ns0:c r="G1521" s="4" t="n">
        <ns0:v>1</ns0:v>
      </ns0:c>
      <ns0:c r="H1521" s="7" t="n">
        <ns0:v>7556.084843605974</ns0:v>
      </ns0:c>
      <ns0:c r="I1521" s="7" t="n">
        <ns0:v>3231.541458225519</ns0:v>
      </ns0:c>
      <ns0:c r="J1521" s="7" t="n">
        <ns0:v>969.4624374676557</ns0:v>
      </ns0:c>
      <ns0:c r="K1521" s="7" t="n">
        <ns0:v>12</ns0:v>
      </ns0:c>
      <ns0:c r="L1521" s="7" t="n">
        <ns0:v>21</ns0:v>
      </ns0:c>
      <ns0:c r="M1521" s="7" t="n">
        <ns0:v>-9703.914377677786</ns0:v>
      </ns0:c>
      <ns0:c r="N1521" s="7" t="n">
        <ns0:v>59452.91549339627</ns0:v>
      </ns0:c>
      <ns0:c r="O1521" s="7" t="n">
        <ns0:v>135428.815573199</ns0:v>
      </ns0:c>
      <ns0:c r="P1521" s="7" t="n">
        <ns0:v>325368.5657727057</ns0:v>
      </ns0:c>
      <ns0:c r="Q1521" s="7" t="n">
        <ns0:v>1043127.566570733</ns0:v>
      </ns0:c>
      <ns0:c r="R1521" s="7" t="n">
        <ns0:v>3632284.069363827</ns0:v>
      </ns0:c>
    </ns0:row>
    <ns0:row r="1522" ht="24" customHeight="1">
      <ns0:c r="A1522" s="3" t="inlineStr">
        <ns0:is>
          <ns0:t>混在40/30/30</ns0:t>
        </ns0:is>
      </ns0:c>
      <ns0:c r="B1522" s="3" t="inlineStr">
        <ns0:is>
          <ns0:t>G2二段階</ns0:t>
        </ns0:is>
      </ns0:c>
      <ns0:c r="C1522" s="3" t="inlineStr">
        <ns0:is>
          <ns0:t>A</ns0:t>
        </ns0:is>
      </ns0:c>
      <ns0:c r="D1522" s="4" t="n">
        <ns0:v>2</ns0:v>
      </ns0:c>
      <ns0:c r="E1522" s="4" t="n">
        <ns0:v>1000</ns0:v>
      </ns0:c>
      <ns0:c r="F1522" s="6" t="n">
        <ns0:v>0.3</ns0:v>
      </ns0:c>
      <ns0:c r="G1522" s="4" t="n">
        <ns0:v>2</ns0:v>
      </ns0:c>
      <ns0:c r="H1522" s="7" t="n">
        <ns0:v>7556.084843605974</ns0:v>
      </ns0:c>
      <ns0:c r="I1522" s="7" t="n">
        <ns0:v>3231.541458225519</ns0:v>
      </ns0:c>
      <ns0:c r="J1522" s="7" t="n">
        <ns0:v>969.4624374676557</ns0:v>
      </ns0:c>
      <ns0:c r="K1522" s="18" t="inlineStr">
        <ns0:is>
          <ns0:t>範囲内なし</ns0:t>
        </ns0:is>
      </ns0:c>
      <ns0:c r="L1522" s="18" t="inlineStr">
        <ns0:is>
          <ns0:t>範囲内なし</ns0:t>
        </ns0:is>
      </ns0:c>
      <ns0:c r="M1522" s="7" t="n">
        <ns0:v>-49276.27972625667</ns0:v>
      </ns0:c>
      <ns0:c r="N1522" s="7" t="n">
        <ns0:v>-59264.18055234039</ns0:v>
      </ns0:c>
      <ns0:c r="O1522" s="7" t="n">
        <ns0:v>-62433.01116969547</ns0:v>
      </ns0:c>
      <ns0:c r="P1522" s="7" t="n">
        <ns0:v>-70355.08771308314</ns0:v>
      </ns0:c>
      <ns0:c r="Q1522" s="7" t="n">
        <ns0:v>-144043.3938866336</ns0:v>
      </ns0:c>
      <ns0:c r="R1522" s="7" t="n">
        <ns0:v>-324952.4654940614</ns0:v>
      </ns0:c>
    </ns0:row>
    <ns0:row r="1523" ht="24" customHeight="1">
      <ns0:c r="A1523" s="3" t="inlineStr">
        <ns0:is>
          <ns0:t>混在40/30/30</ns0:t>
        </ns0:is>
      </ns0:c>
      <ns0:c r="B1523" s="3" t="inlineStr">
        <ns0:is>
          <ns0:t>G2二段階</ns0:t>
        </ns0:is>
      </ns0:c>
      <ns0:c r="C1523" s="3" t="inlineStr">
        <ns0:is>
          <ns0:t>A</ns0:t>
        </ns0:is>
      </ns0:c>
      <ns0:c r="D1523" s="4" t="n">
        <ns0:v>2</ns0:v>
      </ns0:c>
      <ns0:c r="E1523" s="4" t="n">
        <ns0:v>1000</ns0:v>
      </ns0:c>
      <ns0:c r="F1523" s="6" t="n">
        <ns0:v>0.3</ns0:v>
      </ns0:c>
      <ns0:c r="G1523" s="4" t="n">
        <ns0:v>3</ns0:v>
      </ns0:c>
      <ns0:c r="H1523" s="7" t="n">
        <ns0:v>7556.084843605974</ns0:v>
      </ns0:c>
      <ns0:c r="I1523" s="7" t="n">
        <ns0:v>3231.541458225519</ns0:v>
      </ns0:c>
      <ns0:c r="J1523" s="7" t="n">
        <ns0:v>969.4624374676557</ns0:v>
      </ns0:c>
      <ns0:c r="K1523" s="7" t="n">
        <ns0:v>18</ns0:v>
      </ns0:c>
      <ns0:c r="L1523" s="7" t="n">
        <ns0:v>35</ns0:v>
      </ns0:c>
      <ns0:c r="M1523" s="7" t="n">
        <ns0:v>-16283.06871182966</ns0:v>
      </ns0:c>
      <ns0:c r="N1523" s="7" t="n">
        <ns0:v>39715.45249094065</ns0:v>
      </ns0:c>
      <ns0:c r="O1523" s="7" t="n">
        <ns0:v>102533.0439024396</ns0:v>
      </ns0:c>
      <ns0:c r="P1523" s="7" t="n">
        <ns0:v>259577.022431187</ns0:v>
      </ns0:c>
      <ns0:c r="Q1523" s="7" t="n">
        <ns0:v>845752.9365461767</ns0:v>
      </ns0:c>
      <ns0:c r="R1523" s="7" t="n">
        <ns0:v>2974368.63594864</ns0:v>
      </ns0:c>
    </ns0:row>
    <ns0:row r="1524" ht="24" customHeight="1">
      <ns0:c r="A1524" s="3" t="inlineStr">
        <ns0:is>
          <ns0:t>混在40/30/30</ns0:t>
        </ns0:is>
      </ns0:c>
      <ns0:c r="B1524" s="3" t="inlineStr">
        <ns0:is>
          <ns0:t>G2二段階</ns0:t>
        </ns0:is>
      </ns0:c>
      <ns0:c r="C1524" s="3" t="inlineStr">
        <ns0:is>
          <ns0:t>A</ns0:t>
        </ns0:is>
      </ns0:c>
      <ns0:c r="D1524" s="4" t="n">
        <ns0:v>2</ns0:v>
      </ns0:c>
      <ns0:c r="E1524" s="4" t="n">
        <ns0:v>1000</ns0:v>
      </ns0:c>
      <ns0:c r="F1524" s="6" t="n">
        <ns0:v>0.4</ns0:v>
      </ns0:c>
      <ns0:c r="G1524" s="4" t="n">
        <ns0:v>0</ns0:v>
      </ns0:c>
      <ns0:c r="H1524" s="7" t="n">
        <ns0:v>7556.084843605974</ns0:v>
      </ns0:c>
      <ns0:c r="I1524" s="7" t="n">
        <ns0:v>3231.541458225519</ns0:v>
      </ns0:c>
      <ns0:c r="J1524" s="7" t="n">
        <ns0:v>1292.616583290207</ns0:v>
      </ns0:c>
      <ns0:c r="K1524" s="7" t="n">
        <ns0:v>12</ns0:v>
      </ns0:c>
      <ns0:c r="L1524" s="7" t="n">
        <ns0:v>19</ns0:v>
      </ns0:c>
      <ns0:c r="M1524" s="7" t="n">
        <ns0:v>-9730.9005096984</ns0:v>
      </ns0:c>
      <ns0:c r="N1524" s="7" t="n">
        <ns0:v>59371.95709733442</ns0:v>
      </ns0:c>
      <ns0:c r="O1524" s="7" t="n">
        <ns0:v>135293.8849130959</ns0:v>
      </ns0:c>
      <ns0:c r="P1524" s="7" t="n">
        <ns0:v>325098.7044524996</ns0:v>
      </ns0:c>
      <ns0:c r="Q1524" s="7" t="n">
        <ns0:v>1042317.982610115</ns0:v>
      </ns0:c>
      <ns0:c r="R1524" s="7" t="n">
        <ns0:v>3629585.456161766</ns0:v>
      </ns0:c>
    </ns0:row>
    <ns0:row r="1525" ht="24" customHeight="1">
      <ns0:c r="A1525" s="3" t="inlineStr">
        <ns0:is>
          <ns0:t>混在40/30/30</ns0:t>
        </ns0:is>
      </ns0:c>
      <ns0:c r="B1525" s="3" t="inlineStr">
        <ns0:is>
          <ns0:t>G2二段階</ns0:t>
        </ns0:is>
      </ns0:c>
      <ns0:c r="C1525" s="3" t="inlineStr">
        <ns0:is>
          <ns0:t>A</ns0:t>
        </ns0:is>
      </ns0:c>
      <ns0:c r="D1525" s="4" t="n">
        <ns0:v>2</ns0:v>
      </ns0:c>
      <ns0:c r="E1525" s="4" t="n">
        <ns0:v>1000</ns0:v>
      </ns0:c>
      <ns0:c r="F1525" s="6" t="n">
        <ns0:v>0.4</ns0:v>
      </ns0:c>
      <ns0:c r="G1525" s="4" t="n">
        <ns0:v>1</ns0:v>
      </ns0:c>
      <ns0:c r="H1525" s="7" t="n">
        <ns0:v>7556.084843605974</ns0:v>
      </ns0:c>
      <ns0:c r="I1525" s="7" t="n">
        <ns0:v>3231.541458225519</ns0:v>
      </ns0:c>
      <ns0:c r="J1525" s="7" t="n">
        <ns0:v>1292.616583290207</ns0:v>
      </ns0:c>
      <ns0:c r="K1525" s="7" t="n">
        <ns0:v>13</ns0:v>
      </ns0:c>
      <ns0:c r="L1525" s="7" t="n">
        <ns0:v>23</ns0:v>
      </ns0:c>
      <ns0:c r="M1525" s="7" t="n">
        <ns0:v>-12935.4558359033</ns0:v>
      </ns0:c>
      <ns0:c r="N1525" s="7" t="n">
        <ns0:v>49758.29111871971</ns0:v>
      </ns0:c>
      <ns0:c r="O1525" s="7" t="n">
        <ns0:v>119271.1082820714</ns0:v>
      </ns0:c>
      <ns0:c r="P1525" s="7" t="n">
        <ns0:v>293053.1511904505</ns0:v>
      </ns0:c>
      <ns0:c r="Q1525" s="7" t="n">
        <ns0:v>946181.3228239673</ns0:v>
      </ns0:c>
      <ns0:c r="R1525" s="7" t="n">
        <ns0:v>3309129.923541276</ns0:v>
      </ns0:c>
    </ns0:row>
    <ns0:row r="1526" ht="24" customHeight="1">
      <ns0:c r="A1526" s="3" t="inlineStr">
        <ns0:is>
          <ns0:t>混在40/30/30</ns0:t>
        </ns0:is>
      </ns0:c>
      <ns0:c r="B1526" s="3" t="inlineStr">
        <ns0:is>
          <ns0:t>G2二段階</ns0:t>
        </ns0:is>
      </ns0:c>
      <ns0:c r="C1526" s="3" t="inlineStr">
        <ns0:is>
          <ns0:t>A</ns0:t>
        </ns0:is>
      </ns0:c>
      <ns0:c r="D1526" s="4" t="n">
        <ns0:v>2</ns0:v>
      </ns0:c>
      <ns0:c r="E1526" s="4" t="n">
        <ns0:v>1000</ns0:v>
      </ns0:c>
      <ns0:c r="F1526" s="6" t="n">
        <ns0:v>0.4</ns0:v>
      </ns0:c>
      <ns0:c r="G1526" s="4" t="n">
        <ns0:v>2</ns0:v>
      </ns0:c>
      <ns0:c r="H1526" s="7" t="n">
        <ns0:v>7556.084843605974</ns0:v>
      </ns0:c>
      <ns0:c r="I1526" s="7" t="n">
        <ns0:v>3231.541458225519</ns0:v>
      </ns0:c>
      <ns0:c r="J1526" s="7" t="n">
        <ns0:v>1292.616583290207</ns0:v>
      </ns0:c>
      <ns0:c r="K1526" s="18" t="inlineStr">
        <ns0:is>
          <ns0:t>範囲内なし</ns0:t>
        </ns0:is>
      </ns0:c>
      <ns0:c r="L1526" s="18" t="inlineStr">
        <ns0:is>
          <ns0:t>範囲内なし</ns0:t>
        </ns0:is>
      </ns0:c>
      <ns0:c r="M1526" s="7" t="n">
        <ns0:v>-52507.82118448219</ns0:v>
      </ns0:c>
      <ns0:c r="N1526" s="7" t="n">
        <ns0:v>-68958.80492701694</ns0:v>
      </ns0:c>
      <ns0:c r="O1526" s="7" t="n">
        <ns0:v>-78590.71846082303</ns0:v>
      </ns0:c>
      <ns0:c r="P1526" s="7" t="n">
        <ns0:v>-102670.5022953383</ns0:v>
      </ns0:c>
      <ns0:c r="Q1526" s="7" t="n">
        <ns0:v>-240989.6376333991</ns0:v>
      </ns0:c>
      <ns0:c r="R1526" s="7" t="n">
        <ns0:v>-648106.6113166129</ns0:v>
      </ns0:c>
    </ns0:row>
    <ns0:row r="1527" ht="24" customHeight="1">
      <ns0:c r="A1527" s="3" t="inlineStr">
        <ns0:is>
          <ns0:t>混在40/30/30</ns0:t>
        </ns0:is>
      </ns0:c>
      <ns0:c r="B1527" s="3" t="inlineStr">
        <ns0:is>
          <ns0:t>G2二段階</ns0:t>
        </ns0:is>
      </ns0:c>
      <ns0:c r="C1527" s="3" t="inlineStr">
        <ns0:is>
          <ns0:t>A</ns0:t>
        </ns0:is>
      </ns0:c>
      <ns0:c r="D1527" s="4" t="n">
        <ns0:v>2</ns0:v>
      </ns0:c>
      <ns0:c r="E1527" s="4" t="n">
        <ns0:v>1000</ns0:v>
      </ns0:c>
      <ns0:c r="F1527" s="6" t="n">
        <ns0:v>0.4</ns0:v>
      </ns0:c>
      <ns0:c r="G1527" s="4" t="n">
        <ns0:v>3</ns0:v>
      </ns0:c>
      <ns0:c r="H1527" s="7" t="n">
        <ns0:v>7556.084843605974</ns0:v>
      </ns0:c>
      <ns0:c r="I1527" s="7" t="n">
        <ns0:v>3231.541458225519</ns0:v>
      </ns0:c>
      <ns0:c r="J1527" s="7" t="n">
        <ns0:v>1292.616583290207</ns0:v>
      </ns0:c>
      <ns0:c r="K1527" s="7" t="n">
        <ns0:v>20</ns0:v>
      </ns0:c>
      <ns0:c r="L1527" s="7" t="n">
        <ns0:v>40</ns0:v>
      </ns0:c>
      <ns0:c r="M1527" s="7" t="n">
        <ns0:v>-19514.61017005518</ns0:v>
      </ns0:c>
      <ns0:c r="N1527" s="7" t="n">
        <ns0:v>30020.82811626409</ns0:v>
      </ns0:c>
      <ns0:c r="O1527" s="7" t="n">
        <ns0:v>86375.336611312</ns0:v>
      </ns0:c>
      <ns0:c r="P1527" s="7" t="n">
        <ns0:v>227261.6078489318</ns0:v>
      </ns0:c>
      <ns0:c r="Q1527" s="7" t="n">
        <ns0:v>748806.692799411</ns0:v>
      </ns0:c>
      <ns0:c r="R1527" s="7" t="n">
        <ns0:v>2651214.490126088</ns0:v>
      </ns0:c>
    </ns0:row>
    <ns0:row r="1528" ht="24" customHeight="1">
      <ns0:c r="A1528" s="3" t="inlineStr">
        <ns0:is>
          <ns0:t>混在40/30/30</ns0:t>
        </ns0:is>
      </ns0:c>
      <ns0:c r="B1528" s="3" t="inlineStr">
        <ns0:is>
          <ns0:t>G2二段階</ns0:t>
        </ns0:is>
      </ns0:c>
      <ns0:c r="C1528" s="3" t="inlineStr">
        <ns0:is>
          <ns0:t>A</ns0:t>
        </ns0:is>
      </ns0:c>
      <ns0:c r="D1528" s="4" t="n">
        <ns0:v>2</ns0:v>
      </ns0:c>
      <ns0:c r="E1528" s="4" t="n">
        <ns0:v>1000</ns0:v>
      </ns0:c>
      <ns0:c r="F1528" s="6" t="n">
        <ns0:v>0.5</ns0:v>
      </ns0:c>
      <ns0:c r="G1528" s="4" t="n">
        <ns0:v>0</ns0:v>
      </ns0:c>
      <ns0:c r="H1528" s="7" t="n">
        <ns0:v>7556.084843605974</ns0:v>
      </ns0:c>
      <ns0:c r="I1528" s="7" t="n">
        <ns0:v>3231.541458225519</ns0:v>
      </ns0:c>
      <ns0:c r="J1528" s="7" t="n">
        <ns0:v>1615.77072911276</ns0:v>
      </ns0:c>
      <ns0:c r="K1528" s="7" t="n">
        <ns0:v>13</ns0:v>
      </ns0:c>
      <ns0:c r="L1528" s="7" t="n">
        <ns0:v>20</ns0:v>
      </ns0:c>
      <ns0:c r="M1528" s="7" t="n">
        <ns0:v>-12962.44196792392</ns0:v>
      </ns0:c>
      <ns0:c r="N1528" s="7" t="n">
        <ns0:v>49677.33272265788</ns0:v>
      </ns0:c>
      <ns0:c r="O1528" s="7" t="n">
        <ns0:v>119136.1776219683</ns0:v>
      </ns0:c>
      <ns0:c r="P1528" s="7" t="n">
        <ns0:v>292783.2898702443</ns0:v>
      </ns0:c>
      <ns0:c r="Q1528" s="7" t="n">
        <ns0:v>945371.7388633487</ns0:v>
      </ns0:c>
      <ns0:c r="R1528" s="7" t="n">
        <ns0:v>3306431.310339215</ns0:v>
      </ns0:c>
    </ns0:row>
    <ns0:row r="1529" ht="24" customHeight="1">
      <ns0:c r="A1529" s="3" t="inlineStr">
        <ns0:is>
          <ns0:t>混在40/30/30</ns0:t>
        </ns0:is>
      </ns0:c>
      <ns0:c r="B1529" s="3" t="inlineStr">
        <ns0:is>
          <ns0:t>G2二段階</ns0:t>
        </ns0:is>
      </ns0:c>
      <ns0:c r="C1529" s="3" t="inlineStr">
        <ns0:is>
          <ns0:t>A</ns0:t>
        </ns0:is>
      </ns0:c>
      <ns0:c r="D1529" s="4" t="n">
        <ns0:v>2</ns0:v>
      </ns0:c>
      <ns0:c r="E1529" s="4" t="n">
        <ns0:v>1000</ns0:v>
      </ns0:c>
      <ns0:c r="F1529" s="6" t="n">
        <ns0:v>0.5</ns0:v>
      </ns0:c>
      <ns0:c r="G1529" s="4" t="n">
        <ns0:v>1</ns0:v>
      </ns0:c>
      <ns0:c r="H1529" s="7" t="n">
        <ns0:v>7556.084843605974</ns0:v>
      </ns0:c>
      <ns0:c r="I1529" s="7" t="n">
        <ns0:v>3231.541458225519</ns0:v>
      </ns0:c>
      <ns0:c r="J1529" s="7" t="n">
        <ns0:v>1615.77072911276</ns0:v>
      </ns0:c>
      <ns0:c r="K1529" s="7" t="n">
        <ns0:v>18</ns0:v>
      </ns0:c>
      <ns0:c r="L1529" s="7" t="n">
        <ns0:v>25</ns0:v>
      </ns0:c>
      <ns0:c r="M1529" s="7" t="n">
        <ns0:v>-16166.99729412882</ns0:v>
      </ns0:c>
      <ns0:c r="N1529" s="7" t="n">
        <ns0:v>40063.66674404316</ns0:v>
      </ns0:c>
      <ns0:c r="O1529" s="7" t="n">
        <ns0:v>103113.4009909437</ns0:v>
      </ns0:c>
      <ns0:c r="P1529" s="7" t="n">
        <ns0:v>260737.7366081953</ns0:v>
      </ns0:c>
      <ns0:c r="Q1529" s="7" t="n">
        <ns0:v>849235.0790772017</ns0:v>
      </ns0:c>
      <ns0:c r="R1529" s="7" t="n">
        <ns0:v>2985975.777718724</ns0:v>
      </ns0:c>
    </ns0:row>
    <ns0:row r="1530" ht="24" customHeight="1">
      <ns0:c r="A1530" s="3" t="inlineStr">
        <ns0:is>
          <ns0:t>混在40/30/30</ns0:t>
        </ns0:is>
      </ns0:c>
      <ns0:c r="B1530" s="3" t="inlineStr">
        <ns0:is>
          <ns0:t>G2二段階</ns0:t>
        </ns0:is>
      </ns0:c>
      <ns0:c r="C1530" s="3" t="inlineStr">
        <ns0:is>
          <ns0:t>A</ns0:t>
        </ns0:is>
      </ns0:c>
      <ns0:c r="D1530" s="4" t="n">
        <ns0:v>2</ns0:v>
      </ns0:c>
      <ns0:c r="E1530" s="4" t="n">
        <ns0:v>1000</ns0:v>
      </ns0:c>
      <ns0:c r="F1530" s="6" t="n">
        <ns0:v>0.5</ns0:v>
      </ns0:c>
      <ns0:c r="G1530" s="4" t="n">
        <ns0:v>2</ns0:v>
      </ns0:c>
      <ns0:c r="H1530" s="7" t="n">
        <ns0:v>7556.084843605974</ns0:v>
      </ns0:c>
      <ns0:c r="I1530" s="7" t="n">
        <ns0:v>3231.541458225519</ns0:v>
      </ns0:c>
      <ns0:c r="J1530" s="7" t="n">
        <ns0:v>1615.77072911276</ns0:v>
      </ns0:c>
      <ns0:c r="K1530" s="18" t="inlineStr">
        <ns0:is>
          <ns0:t>範囲内なし</ns0:t>
        </ns0:is>
      </ns0:c>
      <ns0:c r="L1530" s="18" t="inlineStr">
        <ns0:is>
          <ns0:t>範囲内なし</ns0:t>
        </ns0:is>
      </ns0:c>
      <ns0:c r="M1530" s="7" t="n">
        <ns0:v>-55739.36264270771</ns0:v>
      </ns0:c>
      <ns0:c r="N1530" s="7" t="n">
        <ns0:v>-78653.4293016935</ns0:v>
      </ns0:c>
      <ns0:c r="O1530" s="7" t="n">
        <ns0:v>-94748.42575195068</ns0:v>
      </ns0:c>
      <ns0:c r="P1530" s="7" t="n">
        <ns0:v>-134985.9168775936</ns0:v>
      </ns0:c>
      <ns0:c r="Q1530" s="7" t="n">
        <ns0:v>-337935.8813801648</ns0:v>
      </ns0:c>
      <ns0:c r="R1530" s="7" t="n">
        <ns0:v>-971260.7571391645</ns0:v>
      </ns0:c>
    </ns0:row>
    <ns0:row r="1531" ht="24" customHeight="1">
      <ns0:c r="A1531" s="3" t="inlineStr">
        <ns0:is>
          <ns0:t>混在40/30/30</ns0:t>
        </ns0:is>
      </ns0:c>
      <ns0:c r="B1531" s="3" t="inlineStr">
        <ns0:is>
          <ns0:t>G2二段階</ns0:t>
        </ns0:is>
      </ns0:c>
      <ns0:c r="C1531" s="3" t="inlineStr">
        <ns0:is>
          <ns0:t>A</ns0:t>
        </ns0:is>
      </ns0:c>
      <ns0:c r="D1531" s="4" t="n">
        <ns0:v>2</ns0:v>
      </ns0:c>
      <ns0:c r="E1531" s="4" t="n">
        <ns0:v>1000</ns0:v>
      </ns0:c>
      <ns0:c r="F1531" s="6" t="n">
        <ns0:v>0.5</ns0:v>
      </ns0:c>
      <ns0:c r="G1531" s="4" t="n">
        <ns0:v>3</ns0:v>
      </ns0:c>
      <ns0:c r="H1531" s="7" t="n">
        <ns0:v>7556.084843605974</ns0:v>
      </ns0:c>
      <ns0:c r="I1531" s="7" t="n">
        <ns0:v>3231.541458225519</ns0:v>
      </ns0:c>
      <ns0:c r="J1531" s="7" t="n">
        <ns0:v>1615.77072911276</ns0:v>
      </ns0:c>
      <ns0:c r="K1531" s="7" t="n">
        <ns0:v>22</ns0:v>
      </ns0:c>
      <ns0:c r="L1531" s="7" t="n">
        <ns0:v>46</ns0:v>
      </ns0:c>
      <ns0:c r="M1531" s="7" t="n">
        <ns0:v>-22746.1516282807</ns0:v>
      </ns0:c>
      <ns0:c r="N1531" s="7" t="n">
        <ns0:v>20326.20374158754</ns0:v>
      </ns0:c>
      <ns0:c r="O1531" s="7" t="n">
        <ns0:v>70217.62932018438</ns0:v>
      </ns0:c>
      <ns0:c r="P1531" s="7" t="n">
        <ns0:v>194946.1932666765</ns0:v>
      </ns0:c>
      <ns0:c r="Q1531" s="7" t="n">
        <ns0:v>651860.4490526454</ns0:v>
      </ns0:c>
      <ns0:c r="R1531" s="7" t="n">
        <ns0:v>2328060.344303537</ns0:v>
      </ns0:c>
    </ns0:row>
    <ns0:row r="1532" ht="24" customHeight="1">
      <ns0:c r="A1532" s="3" t="inlineStr">
        <ns0:is>
          <ns0:t>混在40/30/30</ns0:t>
        </ns0:is>
      </ns0:c>
      <ns0:c r="B1532" s="3" t="inlineStr">
        <ns0:is>
          <ns0:t>G2二段階</ns0:t>
        </ns0:is>
      </ns0:c>
      <ns0:c r="C1532" s="3" t="inlineStr">
        <ns0:is>
          <ns0:t>A</ns0:t>
        </ns0:is>
      </ns0:c>
      <ns0:c r="D1532" s="4" t="n">
        <ns0:v>2</ns0:v>
      </ns0:c>
      <ns0:c r="E1532" s="4" t="n">
        <ns0:v>1500</ns0:v>
      </ns0:c>
      <ns0:c r="F1532" s="6" t="n">
        <ns0:v>0.3</ns0:v>
      </ns0:c>
      <ns0:c r="G1532" s="4" t="n">
        <ns0:v>0</ns0:v>
      </ns0:c>
      <ns0:c r="H1532" s="7" t="n">
        <ns0:v>7406.084843605974</ns0:v>
      </ns0:c>
      <ns0:c r="I1532" s="7" t="n">
        <ns0:v>3081.541458225519</ns0:v>
      </ns0:c>
      <ns0:c r="J1532" s="7" t="n">
        <ns0:v>924.4624374676557</ns0:v>
      </ns0:c>
      <ns0:c r="K1532" s="7" t="n">
        <ns0:v>12</ns0:v>
      </ns0:c>
      <ns0:c r="L1532" s="7" t="n">
        <ns0:v>18</ns0:v>
      </ns0:c>
      <ns0:c r="M1532" s="7" t="n">
        <ns0:v>-7495.359051472886</ns0:v>
      </ns0:c>
      <ns0:c r="N1532" s="7" t="n">
        <ns0:v>66078.58147201096</ns0:v>
      </ns0:c>
      <ns0:c r="O1532" s="7" t="n">
        <ns0:v>146471.5922042235</ns0:v>
      </ns0:c>
      <ns0:c r="P1532" s="7" t="n">
        <ns0:v>347454.1190347547</ns0:v>
      </ns0:c>
      <ns0:c r="Q1532" s="7" t="n">
        <ns0:v>1109384.22635688</ns0:v>
      </ns0:c>
      <ns0:c r="R1532" s="7" t="n">
        <ns0:v>3853139.601984317</ns0:v>
      </ns0:c>
    </ns0:row>
    <ns0:row r="1533" ht="24" customHeight="1">
      <ns0:c r="A1533" s="3" t="inlineStr">
        <ns0:is>
          <ns0:t>混在40/30/30</ns0:t>
        </ns0:is>
      </ns0:c>
      <ns0:c r="B1533" s="3" t="inlineStr">
        <ns0:is>
          <ns0:t>G2二段階</ns0:t>
        </ns0:is>
      </ns0:c>
      <ns0:c r="C1533" s="3" t="inlineStr">
        <ns0:is>
          <ns0:t>A</ns0:t>
        </ns0:is>
      </ns0:c>
      <ns0:c r="D1533" s="4" t="n">
        <ns0:v>2</ns0:v>
      </ns0:c>
      <ns0:c r="E1533" s="4" t="n">
        <ns0:v>1500</ns0:v>
      </ns0:c>
      <ns0:c r="F1533" s="6" t="n">
        <ns0:v>0.3</ns0:v>
      </ns0:c>
      <ns0:c r="G1533" s="4" t="n">
        <ns0:v>1</ns0:v>
      </ns0:c>
      <ns0:c r="H1533" s="7" t="n">
        <ns0:v>7406.084843605974</ns0:v>
      </ns0:c>
      <ns0:c r="I1533" s="7" t="n">
        <ns0:v>3081.541458225519</ns0:v>
      </ns0:c>
      <ns0:c r="J1533" s="7" t="n">
        <ns0:v>924.4624374676557</ns0:v>
      </ns0:c>
      <ns0:c r="K1533" s="7" t="n">
        <ns0:v>13</ns0:v>
      </ns0:c>
      <ns0:c r="L1533" s="7" t="n">
        <ns0:v>22</ns0:v>
      </ns0:c>
      <ns0:c r="M1533" s="7" t="n">
        <ns0:v>-10699.91437767779</ns0:v>
      </ns0:c>
      <ns0:c r="N1533" s="7" t="n">
        <ns0:v>56464.91549339624</ns0:v>
      </ns0:c>
      <ns0:c r="O1533" s="7" t="n">
        <ns0:v>130448.815573199</ns0:v>
      </ns0:c>
      <ns0:c r="P1533" s="7" t="n">
        <ns0:v>315408.5657727057</ns0:v>
      </ns0:c>
      <ns0:c r="Q1533" s="7" t="n">
        <ns0:v>1013247.566570733</ns0:v>
      </ns0:c>
      <ns0:c r="R1533" s="7" t="n">
        <ns0:v>3532684.069363827</ns0:v>
      </ns0:c>
    </ns0:row>
    <ns0:row r="1534" ht="24" customHeight="1">
      <ns0:c r="A1534" s="3" t="inlineStr">
        <ns0:is>
          <ns0:t>混在40/30/30</ns0:t>
        </ns0:is>
      </ns0:c>
      <ns0:c r="B1534" s="3" t="inlineStr">
        <ns0:is>
          <ns0:t>G2二段階</ns0:t>
        </ns0:is>
      </ns0:c>
      <ns0:c r="C1534" s="3" t="inlineStr">
        <ns0:is>
          <ns0:t>A</ns0:t>
        </ns0:is>
      </ns0:c>
      <ns0:c r="D1534" s="4" t="n">
        <ns0:v>2</ns0:v>
      </ns0:c>
      <ns0:c r="E1534" s="4" t="n">
        <ns0:v>1500</ns0:v>
      </ns0:c>
      <ns0:c r="F1534" s="6" t="n">
        <ns0:v>0.3</ns0:v>
      </ns0:c>
      <ns0:c r="G1534" s="4" t="n">
        <ns0:v>2</ns0:v>
      </ns0:c>
      <ns0:c r="H1534" s="7" t="n">
        <ns0:v>7406.084843605974</ns0:v>
      </ns0:c>
      <ns0:c r="I1534" s="7" t="n">
        <ns0:v>3081.541458225519</ns0:v>
      </ns0:c>
      <ns0:c r="J1534" s="7" t="n">
        <ns0:v>924.4624374676557</ns0:v>
      </ns0:c>
      <ns0:c r="K1534" s="18" t="inlineStr">
        <ns0:is>
          <ns0:t>範囲内なし</ns0:t>
        </ns0:is>
      </ns0:c>
      <ns0:c r="L1534" s="18" t="inlineStr">
        <ns0:is>
          <ns0:t>範囲内なし</ns0:t>
        </ns0:is>
      </ns0:c>
      <ns0:c r="M1534" s="7" t="n">
        <ns0:v>-50272.27972625667</ns0:v>
      </ns0:c>
      <ns0:c r="N1534" s="7" t="n">
        <ns0:v>-62252.18055234042</ns0:v>
      </ns0:c>
      <ns0:c r="O1534" s="7" t="n">
        <ns0:v>-67413.01116969547</ns0:v>
      </ns0:c>
      <ns0:c r="P1534" s="7" t="n">
        <ns0:v>-80315.08771308314</ns0:v>
      </ns0:c>
      <ns0:c r="Q1534" s="7" t="n">
        <ns0:v>-173923.3938866337</ns0:v>
      </ns0:c>
      <ns0:c r="R1534" s="7" t="n">
        <ns0:v>-424552.4654940618</ns0:v>
      </ns0:c>
    </ns0:row>
    <ns0:row r="1535" ht="24" customHeight="1">
      <ns0:c r="A1535" s="3" t="inlineStr">
        <ns0:is>
          <ns0:t>混在40/30/30</ns0:t>
        </ns0:is>
      </ns0:c>
      <ns0:c r="B1535" s="3" t="inlineStr">
        <ns0:is>
          <ns0:t>G2二段階</ns0:t>
        </ns0:is>
      </ns0:c>
      <ns0:c r="C1535" s="3" t="inlineStr">
        <ns0:is>
          <ns0:t>A</ns0:t>
        </ns0:is>
      </ns0:c>
      <ns0:c r="D1535" s="4" t="n">
        <ns0:v>2</ns0:v>
      </ns0:c>
      <ns0:c r="E1535" s="4" t="n">
        <ns0:v>1500</ns0:v>
      </ns0:c>
      <ns0:c r="F1535" s="6" t="n">
        <ns0:v>0.3</ns0:v>
      </ns0:c>
      <ns0:c r="G1535" s="4" t="n">
        <ns0:v>3</ns0:v>
      </ns0:c>
      <ns0:c r="H1535" s="7" t="n">
        <ns0:v>7406.084843605974</ns0:v>
      </ns0:c>
      <ns0:c r="I1535" s="7" t="n">
        <ns0:v>3081.541458225519</ns0:v>
      </ns0:c>
      <ns0:c r="J1535" s="7" t="n">
        <ns0:v>924.4624374676557</ns0:v>
      </ns0:c>
      <ns0:c r="K1535" s="7" t="n">
        <ns0:v>18</ns0:v>
      </ns0:c>
      <ns0:c r="L1535" s="7" t="n">
        <ns0:v>37</ns0:v>
      </ns0:c>
      <ns0:c r="M1535" s="7" t="n">
        <ns0:v>-17279.06871182966</ns0:v>
      </ns0:c>
      <ns0:c r="N1535" s="7" t="n">
        <ns0:v>36727.45249094062</ns0:v>
      </ns0:c>
      <ns0:c r="O1535" s="7" t="n">
        <ns0:v>97553.04390243956</ns0:v>
      </ns0:c>
      <ns0:c r="P1535" s="7" t="n">
        <ns0:v>249617.0224311869</ns0:v>
      </ns0:c>
      <ns0:c r="Q1535" s="7" t="n">
        <ns0:v>815872.9365461766</ns0:v>
      </ns0:c>
      <ns0:c r="R1535" s="7" t="n">
        <ns0:v>2874768.635948639</ns0:v>
      </ns0:c>
    </ns0:row>
    <ns0:row r="1536" ht="24" customHeight="1">
      <ns0:c r="A1536" s="3" t="inlineStr">
        <ns0:is>
          <ns0:t>混在40/30/30</ns0:t>
        </ns0:is>
      </ns0:c>
      <ns0:c r="B1536" s="3" t="inlineStr">
        <ns0:is>
          <ns0:t>G2二段階</ns0:t>
        </ns0:is>
      </ns0:c>
      <ns0:c r="C1536" s="3" t="inlineStr">
        <ns0:is>
          <ns0:t>A</ns0:t>
        </ns0:is>
      </ns0:c>
      <ns0:c r="D1536" s="4" t="n">
        <ns0:v>2</ns0:v>
      </ns0:c>
      <ns0:c r="E1536" s="4" t="n">
        <ns0:v>1500</ns0:v>
      </ns0:c>
      <ns0:c r="F1536" s="6" t="n">
        <ns0:v>0.4</ns0:v>
      </ns0:c>
      <ns0:c r="G1536" s="4" t="n">
        <ns0:v>0</ns0:v>
      </ns0:c>
      <ns0:c r="H1536" s="7" t="n">
        <ns0:v>7406.084843605974</ns0:v>
      </ns0:c>
      <ns0:c r="I1536" s="7" t="n">
        <ns0:v>3081.541458225519</ns0:v>
      </ns0:c>
      <ns0:c r="J1536" s="7" t="n">
        <ns0:v>1232.616583290208</ns0:v>
      </ns0:c>
      <ns0:c r="K1536" s="7" t="n">
        <ns0:v>13</ns0:v>
      </ns0:c>
      <ns0:c r="L1536" s="7" t="n">
        <ns0:v>19</ns0:v>
      </ns0:c>
      <ns0:c r="M1536" s="7" t="n">
        <ns0:v>-10576.9005096984</ns0:v>
      </ns0:c>
      <ns0:c r="N1536" s="7" t="n">
        <ns0:v>56833.9570973344</ns0:v>
      </ns0:c>
      <ns0:c r="O1536" s="7" t="n">
        <ns0:v>131063.8849130959</ns0:v>
      </ns0:c>
      <ns0:c r="P1536" s="7" t="n">
        <ns0:v>316638.7044524996</ns0:v>
      </ns0:c>
      <ns0:c r="Q1536" s="7" t="n">
        <ns0:v>1016937.982610114</ns0:v>
      </ns0:c>
      <ns0:c r="R1536" s="7" t="n">
        <ns0:v>3544985.456161766</ns0:v>
      </ns0:c>
    </ns0:row>
    <ns0:row r="1537" ht="24" customHeight="1">
      <ns0:c r="A1537" s="3" t="inlineStr">
        <ns0:is>
          <ns0:t>混在40/30/30</ns0:t>
        </ns0:is>
      </ns0:c>
      <ns0:c r="B1537" s="3" t="inlineStr">
        <ns0:is>
          <ns0:t>G2二段階</ns0:t>
        </ns0:is>
      </ns0:c>
      <ns0:c r="C1537" s="3" t="inlineStr">
        <ns0:is>
          <ns0:t>A</ns0:t>
        </ns0:is>
      </ns0:c>
      <ns0:c r="D1537" s="4" t="n">
        <ns0:v>2</ns0:v>
      </ns0:c>
      <ns0:c r="E1537" s="4" t="n">
        <ns0:v>1500</ns0:v>
      </ns0:c>
      <ns0:c r="F1537" s="6" t="n">
        <ns0:v>0.4</ns0:v>
      </ns0:c>
      <ns0:c r="G1537" s="4" t="n">
        <ns0:v>1</ns0:v>
      </ns0:c>
      <ns0:c r="H1537" s="7" t="n">
        <ns0:v>7406.084843605974</ns0:v>
      </ns0:c>
      <ns0:c r="I1537" s="7" t="n">
        <ns0:v>3081.541458225519</ns0:v>
      </ns0:c>
      <ns0:c r="J1537" s="7" t="n">
        <ns0:v>1232.616583290208</ns0:v>
      </ns0:c>
      <ns0:c r="K1537" s="7" t="n">
        <ns0:v>13</ns0:v>
      </ns0:c>
      <ns0:c r="L1537" s="7" t="n">
        <ns0:v>24</ns0:v>
      </ns0:c>
      <ns0:c r="M1537" s="7" t="n">
        <ns0:v>-13781.45583590331</ns0:v>
      </ns0:c>
      <ns0:c r="N1537" s="7" t="n">
        <ns0:v>47220.29111871969</ns0:v>
      </ns0:c>
      <ns0:c r="O1537" s="7" t="n">
        <ns0:v>115041.1082820714</ns0:v>
      </ns0:c>
      <ns0:c r="P1537" s="7" t="n">
        <ns0:v>284593.1511904505</ns0:v>
      </ns0:c>
      <ns0:c r="Q1537" s="7" t="n">
        <ns0:v>920801.3228239671</ns0:v>
      </ns0:c>
      <ns0:c r="R1537" s="7" t="n">
        <ns0:v>3224529.923541276</ns0:v>
      </ns0:c>
    </ns0:row>
    <ns0:row r="1538" ht="24" customHeight="1">
      <ns0:c r="A1538" s="3" t="inlineStr">
        <ns0:is>
          <ns0:t>混在40/30/30</ns0:t>
        </ns0:is>
      </ns0:c>
      <ns0:c r="B1538" s="3" t="inlineStr">
        <ns0:is>
          <ns0:t>G2二段階</ns0:t>
        </ns0:is>
      </ns0:c>
      <ns0:c r="C1538" s="3" t="inlineStr">
        <ns0:is>
          <ns0:t>A</ns0:t>
        </ns0:is>
      </ns0:c>
      <ns0:c r="D1538" s="4" t="n">
        <ns0:v>2</ns0:v>
      </ns0:c>
      <ns0:c r="E1538" s="4" t="n">
        <ns0:v>1500</ns0:v>
      </ns0:c>
      <ns0:c r="F1538" s="6" t="n">
        <ns0:v>0.4</ns0:v>
      </ns0:c>
      <ns0:c r="G1538" s="4" t="n">
        <ns0:v>2</ns0:v>
      </ns0:c>
      <ns0:c r="H1538" s="7" t="n">
        <ns0:v>7406.084843605974</ns0:v>
      </ns0:c>
      <ns0:c r="I1538" s="7" t="n">
        <ns0:v>3081.541458225519</ns0:v>
      </ns0:c>
      <ns0:c r="J1538" s="7" t="n">
        <ns0:v>1232.616583290208</ns0:v>
      </ns0:c>
      <ns0:c r="K1538" s="18" t="inlineStr">
        <ns0:is>
          <ns0:t>範囲内なし</ns0:t>
        </ns0:is>
      </ns0:c>
      <ns0:c r="L1538" s="18" t="inlineStr">
        <ns0:is>
          <ns0:t>範囲内なし</ns0:t>
        </ns0:is>
      </ns0:c>
      <ns0:c r="M1538" s="7" t="n">
        <ns0:v>-53353.82118448219</ns0:v>
      </ns0:c>
      <ns0:c r="N1538" s="7" t="n">
        <ns0:v>-71496.80492701697</ns0:v>
      </ns0:c>
      <ns0:c r="O1538" s="7" t="n">
        <ns0:v>-82820.71846082306</ns0:v>
      </ns0:c>
      <ns0:c r="P1538" s="7" t="n">
        <ns0:v>-111130.5022953383</ns0:v>
      </ns0:c>
      <ns0:c r="Q1538" s="7" t="n">
        <ns0:v>-266369.6376333993</ns0:v>
      </ns0:c>
      <ns0:c r="R1538" s="7" t="n">
        <ns0:v>-732706.6113166129</ns0:v>
      </ns0:c>
    </ns0:row>
    <ns0:row r="1539" ht="24" customHeight="1">
      <ns0:c r="A1539" s="3" t="inlineStr">
        <ns0:is>
          <ns0:t>混在40/30/30</ns0:t>
        </ns0:is>
      </ns0:c>
      <ns0:c r="B1539" s="3" t="inlineStr">
        <ns0:is>
          <ns0:t>G2二段階</ns0:t>
        </ns0:is>
      </ns0:c>
      <ns0:c r="C1539" s="3" t="inlineStr">
        <ns0:is>
          <ns0:t>A</ns0:t>
        </ns0:is>
      </ns0:c>
      <ns0:c r="D1539" s="4" t="n">
        <ns0:v>2</ns0:v>
      </ns0:c>
      <ns0:c r="E1539" s="4" t="n">
        <ns0:v>1500</ns0:v>
      </ns0:c>
      <ns0:c r="F1539" s="6" t="n">
        <ns0:v>0.4</ns0:v>
      </ns0:c>
      <ns0:c r="G1539" s="4" t="n">
        <ns0:v>3</ns0:v>
      </ns0:c>
      <ns0:c r="H1539" s="7" t="n">
        <ns0:v>7406.084843605974</ns0:v>
      </ns0:c>
      <ns0:c r="I1539" s="7" t="n">
        <ns0:v>3081.541458225519</ns0:v>
      </ns0:c>
      <ns0:c r="J1539" s="7" t="n">
        <ns0:v>1232.616583290208</ns0:v>
      </ns0:c>
      <ns0:c r="K1539" s="7" t="n">
        <ns0:v>20</ns0:v>
      </ns0:c>
      <ns0:c r="L1539" s="7" t="n">
        <ns0:v>42</ns0:v>
      </ns0:c>
      <ns0:c r="M1539" s="7" t="n">
        <ns0:v>-20360.61017005518</ns0:v>
      </ns0:c>
      <ns0:c r="N1539" s="7" t="n">
        <ns0:v>27482.82811626406</ns0:v>
      </ns0:c>
      <ns0:c r="O1539" s="7" t="n">
        <ns0:v>82145.336611312</ns0:v>
      </ns0:c>
      <ns0:c r="P1539" s="7" t="n">
        <ns0:v>218801.6078489318</ns0:v>
      </ns0:c>
      <ns0:c r="Q1539" s="7" t="n">
        <ns0:v>723426.6927994108</ns0:v>
      </ns0:c>
      <ns0:c r="R1539" s="7" t="n">
        <ns0:v>2566614.490126088</ns0:v>
      </ns0:c>
    </ns0:row>
    <ns0:row r="1540" ht="24" customHeight="1">
      <ns0:c r="A1540" s="3" t="inlineStr">
        <ns0:is>
          <ns0:t>混在40/30/30</ns0:t>
        </ns0:is>
      </ns0:c>
      <ns0:c r="B1540" s="3" t="inlineStr">
        <ns0:is>
          <ns0:t>G2二段階</ns0:t>
        </ns0:is>
      </ns0:c>
      <ns0:c r="C1540" s="3" t="inlineStr">
        <ns0:is>
          <ns0:t>A</ns0:t>
        </ns0:is>
      </ns0:c>
      <ns0:c r="D1540" s="4" t="n">
        <ns0:v>2</ns0:v>
      </ns0:c>
      <ns0:c r="E1540" s="4" t="n">
        <ns0:v>1500</ns0:v>
      </ns0:c>
      <ns0:c r="F1540" s="6" t="n">
        <ns0:v>0.5</ns0:v>
      </ns0:c>
      <ns0:c r="G1540" s="4" t="n">
        <ns0:v>0</ns0:v>
      </ns0:c>
      <ns0:c r="H1540" s="7" t="n">
        <ns0:v>7406.084843605974</ns0:v>
      </ns0:c>
      <ns0:c r="I1540" s="7" t="n">
        <ns0:v>3081.541458225519</ns0:v>
      </ns0:c>
      <ns0:c r="J1540" s="7" t="n">
        <ns0:v>1540.77072911276</ns0:v>
      </ns0:c>
      <ns0:c r="K1540" s="7" t="n">
        <ns0:v>13</ns0:v>
      </ns0:c>
      <ns0:c r="L1540" s="7" t="n">
        <ns0:v>21</ns0:v>
      </ns0:c>
      <ns0:c r="M1540" s="7" t="n">
        <ns0:v>-13658.44196792393</ns0:v>
      </ns0:c>
      <ns0:c r="N1540" s="7" t="n">
        <ns0:v>47589.33272265783</ns0:v>
      </ns0:c>
      <ns0:c r="O1540" s="7" t="n">
        <ns0:v>115656.1776219683</ns0:v>
      </ns0:c>
      <ns0:c r="P1540" s="7" t="n">
        <ns0:v>285823.2898702445</ns0:v>
      </ns0:c>
      <ns0:c r="Q1540" s="7" t="n">
        <ns0:v>924491.7388633487</ns0:v>
      </ns0:c>
      <ns0:c r="R1540" s="7" t="n">
        <ns0:v>3236831.310339214</ns0:v>
      </ns0:c>
    </ns0:row>
    <ns0:row r="1541" ht="24" customHeight="1">
      <ns0:c r="A1541" s="3" t="inlineStr">
        <ns0:is>
          <ns0:t>混在40/30/30</ns0:t>
        </ns0:is>
      </ns0:c>
      <ns0:c r="B1541" s="3" t="inlineStr">
        <ns0:is>
          <ns0:t>G2二段階</ns0:t>
        </ns0:is>
      </ns0:c>
      <ns0:c r="C1541" s="3" t="inlineStr">
        <ns0:is>
          <ns0:t>A</ns0:t>
        </ns0:is>
      </ns0:c>
      <ns0:c r="D1541" s="4" t="n">
        <ns0:v>2</ns0:v>
      </ns0:c>
      <ns0:c r="E1541" s="4" t="n">
        <ns0:v>1500</ns0:v>
      </ns0:c>
      <ns0:c r="F1541" s="6" t="n">
        <ns0:v>0.5</ns0:v>
      </ns0:c>
      <ns0:c r="G1541" s="4" t="n">
        <ns0:v>1</ns0:v>
      </ns0:c>
      <ns0:c r="H1541" s="7" t="n">
        <ns0:v>7406.084843605974</ns0:v>
      </ns0:c>
      <ns0:c r="I1541" s="7" t="n">
        <ns0:v>3081.541458225519</ns0:v>
      </ns0:c>
      <ns0:c r="J1541" s="7" t="n">
        <ns0:v>1540.77072911276</ns0:v>
      </ns0:c>
      <ns0:c r="K1541" s="7" t="n">
        <ns0:v>18</ns0:v>
      </ns0:c>
      <ns0:c r="L1541" s="7" t="n">
        <ns0:v>25</ns0:v>
      </ns0:c>
      <ns0:c r="M1541" s="7" t="n">
        <ns0:v>-16862.99729412883</ns0:v>
      </ns0:c>
      <ns0:c r="N1541" s="7" t="n">
        <ns0:v>37975.66674404312</ns0:v>
      </ns0:c>
      <ns0:c r="O1541" s="7" t="n">
        <ns0:v>99633.4009909438</ns0:v>
      </ns0:c>
      <ns0:c r="P1541" s="7" t="n">
        <ns0:v>253777.7366081954</ns0:v>
      </ns0:c>
      <ns0:c r="Q1541" s="7" t="n">
        <ns0:v>828355.0790772014</ns0:v>
      </ns0:c>
      <ns0:c r="R1541" s="7" t="n">
        <ns0:v>2916375.777718724</ns0:v>
      </ns0:c>
    </ns0:row>
    <ns0:row r="1542" ht="24" customHeight="1">
      <ns0:c r="A1542" s="3" t="inlineStr">
        <ns0:is>
          <ns0:t>混在40/30/30</ns0:t>
        </ns0:is>
      </ns0:c>
      <ns0:c r="B1542" s="3" t="inlineStr">
        <ns0:is>
          <ns0:t>G2二段階</ns0:t>
        </ns0:is>
      </ns0:c>
      <ns0:c r="C1542" s="3" t="inlineStr">
        <ns0:is>
          <ns0:t>A</ns0:t>
        </ns0:is>
      </ns0:c>
      <ns0:c r="D1542" s="4" t="n">
        <ns0:v>2</ns0:v>
      </ns0:c>
      <ns0:c r="E1542" s="4" t="n">
        <ns0:v>1500</ns0:v>
      </ns0:c>
      <ns0:c r="F1542" s="6" t="n">
        <ns0:v>0.5</ns0:v>
      </ns0:c>
      <ns0:c r="G1542" s="4" t="n">
        <ns0:v>2</ns0:v>
      </ns0:c>
      <ns0:c r="H1542" s="7" t="n">
        <ns0:v>7406.084843605974</ns0:v>
      </ns0:c>
      <ns0:c r="I1542" s="7" t="n">
        <ns0:v>3081.541458225519</ns0:v>
      </ns0:c>
      <ns0:c r="J1542" s="7" t="n">
        <ns0:v>1540.77072911276</ns0:v>
      </ns0:c>
      <ns0:c r="K1542" s="18" t="inlineStr">
        <ns0:is>
          <ns0:t>範囲内なし</ns0:t>
        </ns0:is>
      </ns0:c>
      <ns0:c r="L1542" s="18" t="inlineStr">
        <ns0:is>
          <ns0:t>範囲内なし</ns0:t>
        </ns0:is>
      </ns0:c>
      <ns0:c r="M1542" s="7" t="n">
        <ns0:v>-56435.36264270771</ns0:v>
      </ns0:c>
      <ns0:c r="N1542" s="7" t="n">
        <ns0:v>-80741.42930169353</ns0:v>
      </ns0:c>
      <ns0:c r="O1542" s="7" t="n">
        <ns0:v>-98228.42575195062</ns0:v>
      </ns0:c>
      <ns0:c r="P1542" s="7" t="n">
        <ns0:v>-141945.9168775934</ns0:v>
      </ns0:c>
      <ns0:c r="Q1542" s="7" t="n">
        <ns0:v>-358815.8813801649</ns0:v>
      </ns0:c>
      <ns0:c r="R1542" s="7" t="n">
        <ns0:v>-1040860.757139165</ns0:v>
      </ns0:c>
    </ns0:row>
    <ns0:row r="1543" ht="24" customHeight="1">
      <ns0:c r="A1543" s="3" t="inlineStr">
        <ns0:is>
          <ns0:t>混在40/30/30</ns0:t>
        </ns0:is>
      </ns0:c>
      <ns0:c r="B1543" s="3" t="inlineStr">
        <ns0:is>
          <ns0:t>G2二段階</ns0:t>
        </ns0:is>
      </ns0:c>
      <ns0:c r="C1543" s="3" t="inlineStr">
        <ns0:is>
          <ns0:t>A</ns0:t>
        </ns0:is>
      </ns0:c>
      <ns0:c r="D1543" s="4" t="n">
        <ns0:v>2</ns0:v>
      </ns0:c>
      <ns0:c r="E1543" s="4" t="n">
        <ns0:v>1500</ns0:v>
      </ns0:c>
      <ns0:c r="F1543" s="6" t="n">
        <ns0:v>0.5</ns0:v>
      </ns0:c>
      <ns0:c r="G1543" s="4" t="n">
        <ns0:v>3</ns0:v>
      </ns0:c>
      <ns0:c r="H1543" s="7" t="n">
        <ns0:v>7406.084843605974</ns0:v>
      </ns0:c>
      <ns0:c r="I1543" s="7" t="n">
        <ns0:v>3081.541458225519</ns0:v>
      </ns0:c>
      <ns0:c r="J1543" s="7" t="n">
        <ns0:v>1540.77072911276</ns0:v>
      </ns0:c>
      <ns0:c r="K1543" s="7" t="n">
        <ns0:v>23</ns0:v>
      </ns0:c>
      <ns0:c r="L1543" s="7" t="n">
        <ns0:v>48</ns0:v>
      </ns0:c>
      <ns0:c r="M1543" s="7" t="n">
        <ns0:v>-23442.1516282807</ns0:v>
      </ns0:c>
      <ns0:c r="N1543" s="7" t="n">
        <ns0:v>18238.20374158749</ns0:v>
      </ns0:c>
      <ns0:c r="O1543" s="7" t="n">
        <ns0:v>66737.62932018441</ns0:v>
      </ns0:c>
      <ns0:c r="P1543" s="7" t="n">
        <ns0:v>187986.1932666766</ns0:v>
      </ns0:c>
      <ns0:c r="Q1543" s="7" t="n">
        <ns0:v>630980.4490526452</ns0:v>
      </ns0:c>
      <ns0:c r="R1543" s="7" t="n">
        <ns0:v>2258460.344303536</ns0:v>
      </ns0:c>
    </ns0:row>
    <ns0:row r="1544" ht="24" customHeight="1">
      <ns0:c r="A1544" s="3" t="inlineStr">
        <ns0:is>
          <ns0:t>混在40/30/30</ns0:t>
        </ns0:is>
      </ns0:c>
      <ns0:c r="B1544" s="3" t="inlineStr">
        <ns0:is>
          <ns0:t>G2二段階</ns0:t>
        </ns0:is>
      </ns0:c>
      <ns0:c r="C1544" s="3" t="inlineStr">
        <ns0:is>
          <ns0:t>C</ns0:t>
        </ns0:is>
      </ns0:c>
      <ns0:c r="D1544" s="4" t="n">
        <ns0:v>0</ns0:v>
      </ns0:c>
      <ns0:c r="E1544" s="4" t="n">
        <ns0:v>500</ns0:v>
      </ns0:c>
      <ns0:c r="F1544" s="6" t="n">
        <ns0:v>0.3</ns0:v>
      </ns0:c>
      <ns0:c r="G1544" s="4" t="n">
        <ns0:v>0</ns0:v>
      </ns0:c>
      <ns0:c r="H1544" s="7" t="n">
        <ns0:v>4072.71916020025</ns0:v>
      </ns0:c>
      <ns0:c r="I1544" s="7" t="n">
        <ns0:v>2365.103836045056</ns0:v>
      </ns0:c>
      <ns0:c r="J1544" s="7" t="n">
        <ns0:v>709.5311508135169</ns0:v>
      </ns0:c>
      <ns0:c r="K1544" s="7" t="n">
        <ns0:v>30</ns0:v>
      </ns0:c>
      <ns0:c r="L1544" s="7" t="n">
        <ns0:v>73</ns0:v>
      </ns0:c>
      <ns0:c r="M1544" s="7" t="n">
        <ns0:v>-36448.77963500263</ns0:v>
      </ns0:c>
      <ns0:c r="N1544" s="7" t="n">
        <ns0:v>1175.530347607724</ns0:v>
      </ns0:c>
      <ns0:c r="O1544" s="7" t="n">
        <ns0:v>40919.86536150715</ns0:v>
      </ns0:c>
      <ns0:c r="P1544" s="7" t="n">
        <ns0:v>136350.6653493221</ns0:v>
      </ns0:c>
      <ns0:c r="Q1544" s="7" t="n">
        <ns0:v>476073.8653005819</ns0:v>
      </ns0:c>
      <ns0:c r="R1544" s="7" t="n">
        <ns0:v>1742105.065129991</ns0:v>
      </ns0:c>
    </ns0:row>
    <ns0:row r="1545" ht="24" customHeight="1">
      <ns0:c r="A1545" s="3" t="inlineStr">
        <ns0:is>
          <ns0:t>混在40/30/30</ns0:t>
        </ns0:is>
      </ns0:c>
      <ns0:c r="B1545" s="3" t="inlineStr">
        <ns0:is>
          <ns0:t>G2二段階</ns0:t>
        </ns0:is>
      </ns0:c>
      <ns0:c r="C1545" s="3" t="inlineStr">
        <ns0:is>
          <ns0:t>C</ns0:t>
        </ns0:is>
      </ns0:c>
      <ns0:c r="D1545" s="4" t="n">
        <ns0:v>0</ns0:v>
      </ns0:c>
      <ns0:c r="E1545" s="4" t="n">
        <ns0:v>500</ns0:v>
      </ns0:c>
      <ns0:c r="F1545" s="6" t="n">
        <ns0:v>0.3</ns0:v>
      </ns0:c>
      <ns0:c r="G1545" s="4" t="n">
        <ns0:v>1</ns0:v>
      </ns0:c>
      <ns0:c r="H1545" s="7" t="n">
        <ns0:v>4072.71916020025</ns0:v>
      </ns0:c>
      <ns0:c r="I1545" s="7" t="n">
        <ns0:v>2365.103836045056</ns0:v>
      </ns0:c>
      <ns0:c r="J1545" s="7" t="n">
        <ns0:v>709.5311508135169</ns0:v>
      </ns0:c>
      <ns0:c r="K1545" s="7" t="n">
        <ns0:v>33</ns0:v>
      </ns0:c>
      <ns0:c r="L1545" s="7" t="n">
        <ns0:v>221</ns0:v>
      </ns0:c>
      <ns0:c r="M1545" s="7" t="n">
        <ns0:v>-38668.32344686794</ns0:v>
      </ns0:c>
      <ns0:c r="N1545" s="7" t="n">
        <ns0:v>-5483.101087988209</ns0:v>
      </ns0:c>
      <ns0:c r="O1545" s="7" t="n">
        <ns0:v>29822.14630218058</ns0:v>
      </ns0:c>
      <ns0:c r="P1545" s="7" t="n">
        <ns0:v>114155.227230669</ns0:v>
      </ns0:c>
      <ns0:c r="Q1545" s="7" t="n">
        <ns0:v>409487.5509446225</ns0:v>
      </ns0:c>
      <ns0:c r="R1545" s="7" t="n">
        <ns0:v>1520150.683943459</ns0:v>
      </ns0:c>
    </ns0:row>
    <ns0:row r="1546" ht="24" customHeight="1">
      <ns0:c r="A1546" s="3" t="inlineStr">
        <ns0:is>
          <ns0:t>混在40/30/30</ns0:t>
        </ns0:is>
      </ns0:c>
      <ns0:c r="B1546" s="3" t="inlineStr">
        <ns0:is>
          <ns0:t>G2二段階</ns0:t>
        </ns0:is>
      </ns0:c>
      <ns0:c r="C1546" s="3" t="inlineStr">
        <ns0:is>
          <ns0:t>C</ns0:t>
        </ns0:is>
      </ns0:c>
      <ns0:c r="D1546" s="4" t="n">
        <ns0:v>0</ns0:v>
      </ns0:c>
      <ns0:c r="E1546" s="4" t="n">
        <ns0:v>500</ns0:v>
      </ns0:c>
      <ns0:c r="F1546" s="6" t="n">
        <ns0:v>0.3</ns0:v>
      </ns0:c>
      <ns0:c r="G1546" s="4" t="n">
        <ns0:v>2</ns0:v>
      </ns0:c>
      <ns0:c r="H1546" s="7" t="n">
        <ns0:v>4072.71916020025</ns0:v>
      </ns0:c>
      <ns0:c r="I1546" s="7" t="n">
        <ns0:v>2365.103836045056</ns0:v>
      </ns0:c>
      <ns0:c r="J1546" s="7" t="n">
        <ns0:v>709.5311508135169</ns0:v>
      </ns0:c>
      <ns0:c r="K1546" s="7" t="n">
        <ns0:v>169</ns0:v>
      </ns0:c>
      <ns0:c r="L1546" s="18" t="inlineStr">
        <ns0:is>
          <ns0:t>範囲内なし</ns0:t>
        </ns0:is>
      </ns0:c>
      <ns0:c r="M1546" s="7" t="n">
        <ns0:v>-49805.97973389988</ns0:v>
      </ns0:c>
      <ns0:c r="N1546" s="7" t="n">
        <ns0:v>-38896.06994908404</ns0:v>
      </ns0:c>
      <ns0:c r="O1546" s="7" t="n">
        <ns0:v>-25866.13513297912</ns0:v>
      </ns0:c>
      <ns0:c r="P1546" s="7" t="n">
        <ns0:v>2778.664360349532</ns0:v>
      </ns0:c>
      <ns0:c r="Q1546" s="7" t="n">
        <ns0:v>75357.86233366426</ns0:v>
      </ns0:c>
      <ns0:c r="R1546" s="7" t="n">
        <ns0:v>406385.0552402649</ns0:v>
      </ns0:c>
    </ns0:row>
    <ns0:row r="1547" ht="24" customHeight="1">
      <ns0:c r="A1547" s="3" t="inlineStr">
        <ns0:is>
          <ns0:t>混在40/30/30</ns0:t>
        </ns0:is>
      </ns0:c>
      <ns0:c r="B1547" s="3" t="inlineStr">
        <ns0:is>
          <ns0:t>G2二段階</ns0:t>
        </ns0:is>
      </ns0:c>
      <ns0:c r="C1547" s="3" t="inlineStr">
        <ns0:is>
          <ns0:t>C</ns0:t>
        </ns0:is>
      </ns0:c>
      <ns0:c r="D1547" s="4" t="n">
        <ns0:v>0</ns0:v>
      </ns0:c>
      <ns0:c r="E1547" s="4" t="n">
        <ns0:v>500</ns0:v>
      </ns0:c>
      <ns0:c r="F1547" s="6" t="n">
        <ns0:v>0.3</ns0:v>
      </ns0:c>
      <ns0:c r="G1547" s="4" t="n">
        <ns0:v>3</ns0:v>
      </ns0:c>
      <ns0:c r="H1547" s="7" t="n">
        <ns0:v>4072.71916020025</ns0:v>
      </ns0:c>
      <ns0:c r="I1547" s="7" t="n">
        <ns0:v>2365.103836045056</ns0:v>
      </ns0:c>
      <ns0:c r="J1547" s="7" t="n">
        <ns0:v>709.5311508135169</ns0:v>
      </ns0:c>
      <ns0:c r="K1547" s="7" t="n">
        <ns0:v>47</ns0:v>
      </ns0:c>
      <ns0:c r="L1547" s="18" t="inlineStr">
        <ns0:is>
          <ns0:t>範囲内なし</ns0:t>
        </ns0:is>
      </ns0:c>
      <ns0:c r="M1547" s="7" t="n">
        <ns0:v>-43792.59441717449</ns0:v>
      </ns0:c>
      <ns0:c r="N1547" s="7" t="n">
        <ns0:v>-20855.91399890788</ns0:v>
      </ns0:c>
      <ns0:c r="O1547" s="7" t="n">
        <ns0:v>4200.791450647797</ns0:v>
      </ns0:c>
      <ns0:c r="P1547" s="7" t="n">
        <ns0:v>62912.5175276034</ns0:v>
      </ns0:c>
      <ns0:c r="Q1547" s="7" t="n">
        <ns0:v>255759.4218354258</ns0:v>
      </ns0:c>
      <ns0:c r="R1547" s="7" t="n">
        <ns0:v>1007723.586912804</ns0:v>
      </ns0:c>
    </ns0:row>
    <ns0:row r="1548" ht="24" customHeight="1">
      <ns0:c r="A1548" s="3" t="inlineStr">
        <ns0:is>
          <ns0:t>混在40/30/30</ns0:t>
        </ns0:is>
      </ns0:c>
      <ns0:c r="B1548" s="3" t="inlineStr">
        <ns0:is>
          <ns0:t>G2二段階</ns0:t>
        </ns0:is>
      </ns0:c>
      <ns0:c r="C1548" s="3" t="inlineStr">
        <ns0:is>
          <ns0:t>C</ns0:t>
        </ns0:is>
      </ns0:c>
      <ns0:c r="D1548" s="4" t="n">
        <ns0:v>0</ns0:v>
      </ns0:c>
      <ns0:c r="E1548" s="4" t="n">
        <ns0:v>500</ns0:v>
      </ns0:c>
      <ns0:c r="F1548" s="6" t="n">
        <ns0:v>0.4</ns0:v>
      </ns0:c>
      <ns0:c r="G1548" s="4" t="n">
        <ns0:v>0</ns0:v>
      </ns0:c>
      <ns0:c r="H1548" s="7" t="n">
        <ns0:v>4072.71916020025</ns0:v>
      </ns0:c>
      <ns0:c r="I1548" s="7" t="n">
        <ns0:v>2365.103836045056</ns0:v>
      </ns0:c>
      <ns0:c r="J1548" s="7" t="n">
        <ns0:v>946.0415344180226</ns0:v>
      </ns0:c>
      <ns0:c r="K1548" s="7" t="n">
        <ns0:v>33</ns0:v>
      </ns0:c>
      <ns0:c r="L1548" s="7" t="n">
        <ns0:v>83</ns0:v>
      </ns0:c>
      <ns0:c r="M1548" s="7" t="n">
        <ns0:v>-38813.88347104768</ns0:v>
      </ns0:c>
      <ns0:c r="N1548" s="7" t="n">
        <ns0:v>-5919.78116052744</ns0:v>
      </ns0:c>
      <ns0:c r="O1548" s="7" t="n">
        <ns0:v>29094.34618128186</ns0:v>
      </ns0:c>
      <ns0:c r="P1548" s="7" t="n">
        <ns0:v>112699.6269888715</ns0:v>
      </ns0:c>
      <ns0:c r="Q1548" s="7" t="n">
        <ns0:v>405120.7502192302</ns0:v>
      </ns0:c>
      <ns0:c r="R1548" s="7" t="n">
        <ns0:v>1505594.681525486</ns0:v>
      </ns0:c>
    </ns0:row>
    <ns0:row r="1549" ht="24" customHeight="1">
      <ns0:c r="A1549" s="3" t="inlineStr">
        <ns0:is>
          <ns0:t>混在40/30/30</ns0:t>
        </ns0:is>
      </ns0:c>
      <ns0:c r="B1549" s="3" t="inlineStr">
        <ns0:is>
          <ns0:t>G2二段階</ns0:t>
        </ns0:is>
      </ns0:c>
      <ns0:c r="C1549" s="3" t="inlineStr">
        <ns0:is>
          <ns0:t>C</ns0:t>
        </ns0:is>
      </ns0:c>
      <ns0:c r="D1549" s="4" t="n">
        <ns0:v>0</ns0:v>
      </ns0:c>
      <ns0:c r="E1549" s="4" t="n">
        <ns0:v>500</ns0:v>
      </ns0:c>
      <ns0:c r="F1549" s="6" t="n">
        <ns0:v>0.4</ns0:v>
      </ns0:c>
      <ns0:c r="G1549" s="4" t="n">
        <ns0:v>1</ns0:v>
      </ns0:c>
      <ns0:c r="H1549" s="7" t="n">
        <ns0:v>4072.71916020025</ns0:v>
      </ns0:c>
      <ns0:c r="I1549" s="7" t="n">
        <ns0:v>2365.103836045056</ns0:v>
      </ns0:c>
      <ns0:c r="J1549" s="7" t="n">
        <ns0:v>946.0415344180226</ns0:v>
      </ns0:c>
      <ns0:c r="K1549" s="7" t="n">
        <ns0:v>38</ns0:v>
      </ns0:c>
      <ns0:c r="L1549" s="7" t="n">
        <ns0:v>285</ns0:v>
      </ns0:c>
      <ns0:c r="M1549" s="7" t="n">
        <ns0:v>-41033.42728291299</ns0:v>
      </ns0:c>
      <ns0:c r="N1549" s="7" t="n">
        <ns0:v>-12578.41259612338</ns0:v>
      </ns0:c>
      <ns0:c r="O1549" s="7" t="n">
        <ns0:v>17996.6271219553</ns0:v>
      </ns0:c>
      <ns0:c r="P1549" s="7" t="n">
        <ns0:v>90504.18887021841</ns0:v>
      </ns0:c>
      <ns0:c r="Q1549" s="7" t="n">
        <ns0:v>338534.4358632708</ns0:v>
      </ns0:c>
      <ns0:c r="R1549" s="7" t="n">
        <ns0:v>1283640.300338955</ns0:v>
      </ns0:c>
    </ns0:row>
    <ns0:row r="1550" ht="24" customHeight="1">
      <ns0:c r="A1550" s="3" t="inlineStr">
        <ns0:is>
          <ns0:t>混在40/30/30</ns0:t>
        </ns0:is>
      </ns0:c>
      <ns0:c r="B1550" s="3" t="inlineStr">
        <ns0:is>
          <ns0:t>G2二段階</ns0:t>
        </ns0:is>
      </ns0:c>
      <ns0:c r="C1550" s="3" t="inlineStr">
        <ns0:is>
          <ns0:t>C</ns0:t>
        </ns0:is>
      </ns0:c>
      <ns0:c r="D1550" s="4" t="n">
        <ns0:v>0</ns0:v>
      </ns0:c>
      <ns0:c r="E1550" s="4" t="n">
        <ns0:v>500</ns0:v>
      </ns0:c>
      <ns0:c r="F1550" s="6" t="n">
        <ns0:v>0.4</ns0:v>
      </ns0:c>
      <ns0:c r="G1550" s="4" t="n">
        <ns0:v>2</ns0:v>
      </ns0:c>
      <ns0:c r="H1550" s="7" t="n">
        <ns0:v>4072.71916020025</ns0:v>
      </ns0:c>
      <ns0:c r="I1550" s="7" t="n">
        <ns0:v>2365.103836045056</ns0:v>
      </ns0:c>
      <ns0:c r="J1550" s="7" t="n">
        <ns0:v>946.0415344180226</ns0:v>
      </ns0:c>
      <ns0:c r="K1550" s="7" t="n">
        <ns0:v>287</ns0:v>
      </ns0:c>
      <ns0:c r="L1550" s="18" t="inlineStr">
        <ns0:is>
          <ns0:t>範囲内なし</ns0:t>
        </ns0:is>
      </ns0:c>
      <ns0:c r="M1550" s="7" t="n">
        <ns0:v>-52171.08356994494</ns0:v>
      </ns0:c>
      <ns0:c r="N1550" s="7" t="n">
        <ns0:v>-45991.38145721921</ns0:v>
      </ns0:c>
      <ns0:c r="O1550" s="7" t="n">
        <ns0:v>-37691.6543132044</ns0:v>
      </ns0:c>
      <ns0:c r="P1550" s="7" t="n">
        <ns0:v>-20872.37400010103</ns0:v>
      </ns0:c>
      <ns0:c r="Q1550" s="7" t="n">
        <ns0:v>4404.747252312489</ns0:v>
      </ns0:c>
      <ns0:c r="R1550" s="7" t="n">
        <ns0:v>169874.6716357603</ns0:v>
      </ns0:c>
    </ns0:row>
    <ns0:row r="1551" ht="24" customHeight="1">
      <ns0:c r="A1551" s="3" t="inlineStr">
        <ns0:is>
          <ns0:t>混在40/30/30</ns0:t>
        </ns0:is>
      </ns0:c>
      <ns0:c r="B1551" s="3" t="inlineStr">
        <ns0:is>
          <ns0:t>G2二段階</ns0:t>
        </ns0:is>
      </ns0:c>
      <ns0:c r="C1551" s="3" t="inlineStr">
        <ns0:is>
          <ns0:t>C</ns0:t>
        </ns0:is>
      </ns0:c>
      <ns0:c r="D1551" s="4" t="n">
        <ns0:v>0</ns0:v>
      </ns0:c>
      <ns0:c r="E1551" s="4" t="n">
        <ns0:v>500</ns0:v>
      </ns0:c>
      <ns0:c r="F1551" s="6" t="n">
        <ns0:v>0.4</ns0:v>
      </ns0:c>
      <ns0:c r="G1551" s="4" t="n">
        <ns0:v>3</ns0:v>
      </ns0:c>
      <ns0:c r="H1551" s="7" t="n">
        <ns0:v>4072.71916020025</ns0:v>
      </ns0:c>
      <ns0:c r="I1551" s="7" t="n">
        <ns0:v>2365.103836045056</ns0:v>
      </ns0:c>
      <ns0:c r="J1551" s="7" t="n">
        <ns0:v>946.0415344180226</ns0:v>
      </ns0:c>
      <ns0:c r="K1551" s="7" t="n">
        <ns0:v>59</ns0:v>
      </ns0:c>
      <ns0:c r="L1551" s="18" t="inlineStr">
        <ns0:is>
          <ns0:t>範囲内なし</ns0:t>
        </ns0:is>
      </ns0:c>
      <ns0:c r="M1551" s="7" t="n">
        <ns0:v>-46157.69825321955</ns0:v>
      </ns0:c>
      <ns0:c r="N1551" s="7" t="n">
        <ns0:v>-27951.22550704305</ns0:v>
      </ns0:c>
      <ns0:c r="O1551" s="7" t="n">
        <ns0:v>-7624.727729577484</ns0:v>
      </ns0:c>
      <ns0:c r="P1551" s="7" t="n">
        <ns0:v>39261.47916715284</ns0:v>
      </ns0:c>
      <ns0:c r="Q1551" s="7" t="n">
        <ns0:v>184806.3067540741</ns0:v>
      </ns0:c>
      <ns0:c r="R1551" s="7" t="n">
        <ns0:v>771213.2033082991</ns0:v>
      </ns0:c>
    </ns0:row>
    <ns0:row r="1552" ht="24" customHeight="1">
      <ns0:c r="A1552" s="3" t="inlineStr">
        <ns0:is>
          <ns0:t>混在40/30/30</ns0:t>
        </ns0:is>
      </ns0:c>
      <ns0:c r="B1552" s="3" t="inlineStr">
        <ns0:is>
          <ns0:t>G2二段階</ns0:t>
        </ns0:is>
      </ns0:c>
      <ns0:c r="C1552" s="3" t="inlineStr">
        <ns0:is>
          <ns0:t>C</ns0:t>
        </ns0:is>
      </ns0:c>
      <ns0:c r="D1552" s="4" t="n">
        <ns0:v>0</ns0:v>
      </ns0:c>
      <ns0:c r="E1552" s="4" t="n">
        <ns0:v>500</ns0:v>
      </ns0:c>
      <ns0:c r="F1552" s="6" t="n">
        <ns0:v>0.5</ns0:v>
      </ns0:c>
      <ns0:c r="G1552" s="4" t="n">
        <ns0:v>0</ns0:v>
      </ns0:c>
      <ns0:c r="H1552" s="7" t="n">
        <ns0:v>4072.71916020025</ns0:v>
      </ns0:c>
      <ns0:c r="I1552" s="7" t="n">
        <ns0:v>2365.103836045056</ns0:v>
      </ns0:c>
      <ns0:c r="J1552" s="7" t="n">
        <ns0:v>1182.551918022528</ns0:v>
      </ns0:c>
      <ns0:c r="K1552" s="7" t="n">
        <ns0:v>38</ns0:v>
      </ns0:c>
      <ns0:c r="L1552" s="7" t="n">
        <ns0:v>96</ns0:v>
      </ns0:c>
      <ns0:c r="M1552" s="7" t="n">
        <ns0:v>-41178.98730709274</ns0:v>
      </ns0:c>
      <ns0:c r="N1552" s="7" t="n">
        <ns0:v>-13015.09266866263</ns0:v>
      </ns0:c>
      <ns0:c r="O1552" s="7" t="n">
        <ns0:v>17268.82700105659</ns0:v>
      </ns0:c>
      <ns0:c r="P1552" s="7" t="n">
        <ns0:v>89048.58862842098</ns0:v>
      </ns0:c>
      <ns0:c r="Q1552" s="7" t="n">
        <ns0:v>334167.6351378785</ns0:v>
      </ns0:c>
      <ns0:c r="R1552" s="7" t="n">
        <ns0:v>1269084.29792098</ns0:v>
      </ns0:c>
    </ns0:row>
    <ns0:row r="1553" ht="24" customHeight="1">
      <ns0:c r="A1553" s="3" t="inlineStr">
        <ns0:is>
          <ns0:t>混在40/30/30</ns0:t>
        </ns0:is>
      </ns0:c>
      <ns0:c r="B1553" s="3" t="inlineStr">
        <ns0:is>
          <ns0:t>G2二段階</ns0:t>
        </ns0:is>
      </ns0:c>
      <ns0:c r="C1553" s="3" t="inlineStr">
        <ns0:is>
          <ns0:t>C</ns0:t>
        </ns0:is>
      </ns0:c>
      <ns0:c r="D1553" s="4" t="n">
        <ns0:v>0</ns0:v>
      </ns0:c>
      <ns0:c r="E1553" s="4" t="n">
        <ns0:v>500</ns0:v>
      </ns0:c>
      <ns0:c r="F1553" s="6" t="n">
        <ns0:v>0.5</ns0:v>
      </ns0:c>
      <ns0:c r="G1553" s="4" t="n">
        <ns0:v>1</ns0:v>
      </ns0:c>
      <ns0:c r="H1553" s="7" t="n">
        <ns0:v>4072.71916020025</ns0:v>
      </ns0:c>
      <ns0:c r="I1553" s="7" t="n">
        <ns0:v>2365.103836045056</ns0:v>
      </ns0:c>
      <ns0:c r="J1553" s="7" t="n">
        <ns0:v>1182.551918022528</ns0:v>
      </ns0:c>
      <ns0:c r="K1553" s="7" t="n">
        <ns0:v>45</ns0:v>
      </ns0:c>
      <ns0:c r="L1553" s="7" t="n">
        <ns0:v>402</ns0:v>
      </ns0:c>
      <ns0:c r="M1553" s="7" t="n">
        <ns0:v>-43398.53111895805</ns0:v>
      </ns0:c>
      <ns0:c r="N1553" s="7" t="n">
        <ns0:v>-19673.72410425856</ns0:v>
      </ns0:c>
      <ns0:c r="O1553" s="7" t="n">
        <ns0:v>6171.107941730028</ns0:v>
      </ns0:c>
      <ns0:c r="P1553" s="7" t="n">
        <ns0:v>66853.15050976785</ns0:v>
      </ns0:c>
      <ns0:c r="Q1553" s="7" t="n">
        <ns0:v>267581.3207819191</ns0:v>
      </ns0:c>
      <ns0:c r="R1553" s="7" t="n">
        <ns0:v>1047129.916734449</ns0:v>
      </ns0:c>
    </ns0:row>
    <ns0:row r="1554" ht="24" customHeight="1">
      <ns0:c r="A1554" s="3" t="inlineStr">
        <ns0:is>
          <ns0:t>混在40/30/30</ns0:t>
        </ns0:is>
      </ns0:c>
      <ns0:c r="B1554" s="3" t="inlineStr">
        <ns0:is>
          <ns0:t>G2二段階</ns0:t>
        </ns0:is>
      </ns0:c>
      <ns0:c r="C1554" s="3" t="inlineStr">
        <ns0:is>
          <ns0:t>C</ns0:t>
        </ns0:is>
      </ns0:c>
      <ns0:c r="D1554" s="4" t="n">
        <ns0:v>0</ns0:v>
      </ns0:c>
      <ns0:c r="E1554" s="4" t="n">
        <ns0:v>500</ns0:v>
      </ns0:c>
      <ns0:c r="F1554" s="6" t="n">
        <ns0:v>0.5</ns0:v>
      </ns0:c>
      <ns0:c r="G1554" s="4" t="n">
        <ns0:v>2</ns0:v>
      </ns0:c>
      <ns0:c r="H1554" s="7" t="n">
        <ns0:v>4072.71916020025</ns0:v>
      </ns0:c>
      <ns0:c r="I1554" s="7" t="n">
        <ns0:v>2365.103836045056</ns0:v>
      </ns0:c>
      <ns0:c r="J1554" s="7" t="n">
        <ns0:v>1182.551918022528</ns0:v>
      </ns0:c>
      <ns0:c r="K1554" s="18" t="inlineStr">
        <ns0:is>
          <ns0:t>範囲内なし</ns0:t>
        </ns0:is>
      </ns0:c>
      <ns0:c r="L1554" s="18" t="inlineStr">
        <ns0:is>
          <ns0:t>範囲内なし</ns0:t>
        </ns0:is>
      </ns0:c>
      <ns0:c r="M1554" s="7" t="n">
        <ns0:v>-54536.18740599</ns0:v>
      </ns0:c>
      <ns0:c r="N1554" s="7" t="n">
        <ns0:v>-53086.69296535439</ns0:v>
      </ns0:c>
      <ns0:c r="O1554" s="7" t="n">
        <ns0:v>-49517.17349342968</ns0:v>
      </ns0:c>
      <ns0:c r="P1554" s="7" t="n">
        <ns0:v>-44523.41236055156</ns0:v>
      </ns0:c>
      <ns0:c r="Q1554" s="7" t="n">
        <ns0:v>-66548.36782903923</ns0:v>
      </ns0:c>
      <ns0:c r="R1554" s="7" t="n">
        <ns0:v>-66635.71196874569</ns0:v>
      </ns0:c>
    </ns0:row>
    <ns0:row r="1555" ht="24" customHeight="1">
      <ns0:c r="A1555" s="3" t="inlineStr">
        <ns0:is>
          <ns0:t>混在40/30/30</ns0:t>
        </ns0:is>
      </ns0:c>
      <ns0:c r="B1555" s="3" t="inlineStr">
        <ns0:is>
          <ns0:t>G2二段階</ns0:t>
        </ns0:is>
      </ns0:c>
      <ns0:c r="C1555" s="3" t="inlineStr">
        <ns0:is>
          <ns0:t>C</ns0:t>
        </ns0:is>
      </ns0:c>
      <ns0:c r="D1555" s="4" t="n">
        <ns0:v>0</ns0:v>
      </ns0:c>
      <ns0:c r="E1555" s="4" t="n">
        <ns0:v>500</ns0:v>
      </ns0:c>
      <ns0:c r="F1555" s="6" t="n">
        <ns0:v>0.5</ns0:v>
      </ns0:c>
      <ns0:c r="G1555" s="4" t="n">
        <ns0:v>3</ns0:v>
      </ns0:c>
      <ns0:c r="H1555" s="7" t="n">
        <ns0:v>4072.71916020025</ns0:v>
      </ns0:c>
      <ns0:c r="I1555" s="7" t="n">
        <ns0:v>2365.103836045056</ns0:v>
      </ns0:c>
      <ns0:c r="J1555" s="7" t="n">
        <ns0:v>1182.551918022528</ns0:v>
      </ns0:c>
      <ns0:c r="K1555" s="7" t="n">
        <ns0:v>78</ns0:v>
      </ns0:c>
      <ns0:c r="L1555" s="18" t="inlineStr">
        <ns0:is>
          <ns0:t>範囲内なし</ns0:t>
        </ns0:is>
      </ns0:c>
      <ns0:c r="M1555" s="7" t="n">
        <ns0:v>-48522.80208926461</ns0:v>
      </ns0:c>
      <ns0:c r="N1555" s="7" t="n">
        <ns0:v>-35046.53701517823</ns0:v>
      </ns0:c>
      <ns0:c r="O1555" s="7" t="n">
        <ns0:v>-19450.24690980275</ns0:v>
      </ns0:c>
      <ns0:c r="P1555" s="7" t="n">
        <ns0:v>15610.44080670229</ns0:v>
      </ns0:c>
      <ns0:c r="Q1555" s="7" t="n">
        <ns0:v>113853.1916727224</ns0:v>
      </ns0:c>
      <ns0:c r="R1555" s="7" t="n">
        <ns0:v>534702.8197037929</ns0:v>
      </ns0:c>
    </ns0:row>
    <ns0:row r="1556" ht="24" customHeight="1">
      <ns0:c r="A1556" s="3" t="inlineStr">
        <ns0:is>
          <ns0:t>混在40/30/30</ns0:t>
        </ns0:is>
      </ns0:c>
      <ns0:c r="B1556" s="3" t="inlineStr">
        <ns0:is>
          <ns0:t>G2二段階</ns0:t>
        </ns0:is>
      </ns0:c>
      <ns0:c r="C1556" s="3" t="inlineStr">
        <ns0:is>
          <ns0:t>C</ns0:t>
        </ns0:is>
      </ns0:c>
      <ns0:c r="D1556" s="4" t="n">
        <ns0:v>0</ns0:v>
      </ns0:c>
      <ns0:c r="E1556" s="4" t="n">
        <ns0:v>1000</ns0:v>
      </ns0:c>
      <ns0:c r="F1556" s="6" t="n">
        <ns0:v>0.3</ns0:v>
      </ns0:c>
      <ns0:c r="G1556" s="4" t="n">
        <ns0:v>0</ns0:v>
      </ns0:c>
      <ns0:c r="H1556" s="7" t="n">
        <ns0:v>3922.71916020025</ns0:v>
      </ns0:c>
      <ns0:c r="I1556" s="7" t="n">
        <ns0:v>2215.103836045056</ns0:v>
      </ns0:c>
      <ns0:c r="J1556" s="7" t="n">
        <ns0:v>664.5311508135169</ns0:v>
      </ns0:c>
      <ns0:c r="K1556" s="7" t="n">
        <ns0:v>31</ns0:v>
      </ns0:c>
      <ns0:c r="L1556" s="7" t="n">
        <ns0:v>77</ns0:v>
      </ns0:c>
      <ns0:c r="M1556" s="7" t="n">
        <ns0:v>-37444.77963500262</ns0:v>
      </ns0:c>
      <ns0:c r="N1556" s="7" t="n">
        <ns0:v>-1812.469652392283</ns0:v>
      </ns0:c>
      <ns0:c r="O1556" s="7" t="n">
        <ns0:v>35939.86536150718</ns0:v>
      </ns0:c>
      <ns0:c r="P1556" s="7" t="n">
        <ns0:v>126390.6653493222</ns0:v>
      </ns0:c>
      <ns0:c r="Q1556" s="7" t="n">
        <ns0:v>446193.865300582</ns0:v>
      </ns0:c>
      <ns0:c r="R1556" s="7" t="n">
        <ns0:v>1642505.065129992</ns0:v>
      </ns0:c>
    </ns0:row>
    <ns0:row r="1557" ht="24" customHeight="1">
      <ns0:c r="A1557" s="3" t="inlineStr">
        <ns0:is>
          <ns0:t>混在40/30/30</ns0:t>
        </ns0:is>
      </ns0:c>
      <ns0:c r="B1557" s="3" t="inlineStr">
        <ns0:is>
          <ns0:t>G2二段階</ns0:t>
        </ns0:is>
      </ns0:c>
      <ns0:c r="C1557" s="3" t="inlineStr">
        <ns0:is>
          <ns0:t>C</ns0:t>
        </ns0:is>
      </ns0:c>
      <ns0:c r="D1557" s="4" t="n">
        <ns0:v>0</ns0:v>
      </ns0:c>
      <ns0:c r="E1557" s="4" t="n">
        <ns0:v>1000</ns0:v>
      </ns0:c>
      <ns0:c r="F1557" s="6" t="n">
        <ns0:v>0.3</ns0:v>
      </ns0:c>
      <ns0:c r="G1557" s="4" t="n">
        <ns0:v>1</ns0:v>
      </ns0:c>
      <ns0:c r="H1557" s="7" t="n">
        <ns0:v>3922.71916020025</ns0:v>
      </ns0:c>
      <ns0:c r="I1557" s="7" t="n">
        <ns0:v>2215.103836045056</ns0:v>
      </ns0:c>
      <ns0:c r="J1557" s="7" t="n">
        <ns0:v>664.5311508135169</ns0:v>
      </ns0:c>
      <ns0:c r="K1557" s="7" t="n">
        <ns0:v>35</ns0:v>
      </ns0:c>
      <ns0:c r="L1557" s="7" t="n">
        <ns0:v>247</ns0:v>
      </ns0:c>
      <ns0:c r="M1557" s="7" t="n">
        <ns0:v>-39664.32344686794</ns0:v>
      </ns0:c>
      <ns0:c r="N1557" s="7" t="n">
        <ns0:v>-8471.101087988223</ns0:v>
      </ns0:c>
      <ns0:c r="O1557" s="7" t="n">
        <ns0:v>24842.14630218062</ns0:v>
      </ns0:c>
      <ns0:c r="P1557" s="7" t="n">
        <ns0:v>104195.227230669</ns0:v>
      </ns0:c>
      <ns0:c r="Q1557" s="7" t="n">
        <ns0:v>379607.5509446226</ns0:v>
      </ns0:c>
      <ns0:c r="R1557" s="7" t="n">
        <ns0:v>1420550.683943461</ns0:v>
      </ns0:c>
    </ns0:row>
    <ns0:row r="1558" ht="24" customHeight="1">
      <ns0:c r="A1558" s="3" t="inlineStr">
        <ns0:is>
          <ns0:t>混在40/30/30</ns0:t>
        </ns0:is>
      </ns0:c>
      <ns0:c r="B1558" s="3" t="inlineStr">
        <ns0:is>
          <ns0:t>G2二段階</ns0:t>
        </ns0:is>
      </ns0:c>
      <ns0:c r="C1558" s="3" t="inlineStr">
        <ns0:is>
          <ns0:t>C</ns0:t>
        </ns0:is>
      </ns0:c>
      <ns0:c r="D1558" s="4" t="n">
        <ns0:v>0</ns0:v>
      </ns0:c>
      <ns0:c r="E1558" s="4" t="n">
        <ns0:v>1000</ns0:v>
      </ns0:c>
      <ns0:c r="F1558" s="6" t="n">
        <ns0:v>0.3</ns0:v>
      </ns0:c>
      <ns0:c r="G1558" s="4" t="n">
        <ns0:v>2</ns0:v>
      </ns0:c>
      <ns0:c r="H1558" s="7" t="n">
        <ns0:v>3922.71916020025</ns0:v>
      </ns0:c>
      <ns0:c r="I1558" s="7" t="n">
        <ns0:v>2215.103836045056</ns0:v>
      </ns0:c>
      <ns0:c r="J1558" s="7" t="n">
        <ns0:v>664.5311508135169</ns0:v>
      </ns0:c>
      <ns0:c r="K1558" s="7" t="n">
        <ns0:v>204</ns0:v>
      </ns0:c>
      <ns0:c r="L1558" s="18" t="inlineStr">
        <ns0:is>
          <ns0:t>範囲内なし</ns0:t>
        </ns0:is>
      </ns0:c>
      <ns0:c r="M1558" s="7" t="n">
        <ns0:v>-50801.97973389988</ns0:v>
      </ns0:c>
      <ns0:c r="N1558" s="7" t="n">
        <ns0:v>-41884.06994908406</ns0:v>
      </ns0:c>
      <ns0:c r="O1558" s="7" t="n">
        <ns0:v>-30846.13513297909</ns0:v>
      </ns0:c>
      <ns0:c r="P1558" s="7" t="n">
        <ns0:v>-7181.33563965038</ns0:v>
      </ns0:c>
      <ns0:c r="Q1558" s="7" t="n">
        <ns0:v>45477.86233366432</ns0:v>
      </ns0:c>
      <ns0:c r="R1558" s="7" t="n">
        <ns0:v>306785.0552402663</ns0:v>
      </ns0:c>
    </ns0:row>
    <ns0:row r="1559" ht="24" customHeight="1">
      <ns0:c r="A1559" s="3" t="inlineStr">
        <ns0:is>
          <ns0:t>混在40/30/30</ns0:t>
        </ns0:is>
      </ns0:c>
      <ns0:c r="B1559" s="3" t="inlineStr">
        <ns0:is>
          <ns0:t>G2二段階</ns0:t>
        </ns0:is>
      </ns0:c>
      <ns0:c r="C1559" s="3" t="inlineStr">
        <ns0:is>
          <ns0:t>C</ns0:t>
        </ns0:is>
      </ns0:c>
      <ns0:c r="D1559" s="4" t="n">
        <ns0:v>0</ns0:v>
      </ns0:c>
      <ns0:c r="E1559" s="4" t="n">
        <ns0:v>1000</ns0:v>
      </ns0:c>
      <ns0:c r="F1559" s="6" t="n">
        <ns0:v>0.3</ns0:v>
      </ns0:c>
      <ns0:c r="G1559" s="4" t="n">
        <ns0:v>3</ns0:v>
      </ns0:c>
      <ns0:c r="H1559" s="7" t="n">
        <ns0:v>3922.71916020025</ns0:v>
      </ns0:c>
      <ns0:c r="I1559" s="7" t="n">
        <ns0:v>2215.103836045056</ns0:v>
      </ns0:c>
      <ns0:c r="J1559" s="7" t="n">
        <ns0:v>664.5311508135169</ns0:v>
      </ns0:c>
      <ns0:c r="K1559" s="7" t="n">
        <ns0:v>51</ns0:v>
      </ns0:c>
      <ns0:c r="L1559" s="18" t="inlineStr">
        <ns0:is>
          <ns0:t>範囲内なし</ns0:t>
        </ns0:is>
      </ns0:c>
      <ns0:c r="M1559" s="7" t="n">
        <ns0:v>-44788.59441717449</ns0:v>
      </ns0:c>
      <ns0:c r="N1559" s="7" t="n">
        <ns0:v>-23843.91399890789</ns0:v>
      </ns0:c>
      <ns0:c r="O1559" s="7" t="n">
        <ns0:v>-779.208549352159</ns0:v>
      </ns0:c>
      <ns0:c r="P1559" s="7" t="n">
        <ns0:v>52952.51752760347</ns0:v>
      </ns0:c>
      <ns0:c r="Q1559" s="7" t="n">
        <ns0:v>225879.4218354259</ns0:v>
      </ns0:c>
      <ns0:c r="R1559" s="7" t="n">
        <ns0:v>908123.586912805</ns0:v>
      </ns0:c>
    </ns0:row>
    <ns0:row r="1560" ht="24" customHeight="1">
      <ns0:c r="A1560" s="3" t="inlineStr">
        <ns0:is>
          <ns0:t>混在40/30/30</ns0:t>
        </ns0:is>
      </ns0:c>
      <ns0:c r="B1560" s="3" t="inlineStr">
        <ns0:is>
          <ns0:t>G2二段階</ns0:t>
        </ns0:is>
      </ns0:c>
      <ns0:c r="C1560" s="3" t="inlineStr">
        <ns0:is>
          <ns0:t>C</ns0:t>
        </ns0:is>
      </ns0:c>
      <ns0:c r="D1560" s="4" t="n">
        <ns0:v>0</ns0:v>
      </ns0:c>
      <ns0:c r="E1560" s="4" t="n">
        <ns0:v>1000</ns0:v>
      </ns0:c>
      <ns0:c r="F1560" s="6" t="n">
        <ns0:v>0.4</ns0:v>
      </ns0:c>
      <ns0:c r="G1560" s="4" t="n">
        <ns0:v>0</ns0:v>
      </ns0:c>
      <ns0:c r="H1560" s="7" t="n">
        <ns0:v>3922.71916020025</ns0:v>
      </ns0:c>
      <ns0:c r="I1560" s="7" t="n">
        <ns0:v>2215.103836045056</ns0:v>
      </ns0:c>
      <ns0:c r="J1560" s="7" t="n">
        <ns0:v>886.0415344180225</ns0:v>
      </ns0:c>
      <ns0:c r="K1560" s="7" t="n">
        <ns0:v>35</ns0:v>
      </ns0:c>
      <ns0:c r="L1560" s="7" t="n">
        <ns0:v>87</ns0:v>
      </ns0:c>
      <ns0:c r="M1560" s="7" t="n">
        <ns0:v>-39659.88347104768</ns0:v>
      </ns0:c>
      <ns0:c r="N1560" s="7" t="n">
        <ns0:v>-8457.781160527455</ns0:v>
      </ns0:c>
      <ns0:c r="O1560" s="7" t="n">
        <ns0:v>24864.34618128189</ns0:v>
      </ns0:c>
      <ns0:c r="P1560" s="7" t="n">
        <ns0:v>104239.6269888716</ns0:v>
      </ns0:c>
      <ns0:c r="Q1560" s="7" t="n">
        <ns0:v>379740.7502192303</ns0:v>
      </ns0:c>
      <ns0:c r="R1560" s="7" t="n">
        <ns0:v>1420994.681525486</ns0:v>
      </ns0:c>
    </ns0:row>
    <ns0:row r="1561" ht="24" customHeight="1">
      <ns0:c r="A1561" s="3" t="inlineStr">
        <ns0:is>
          <ns0:t>混在40/30/30</ns0:t>
        </ns0:is>
      </ns0:c>
      <ns0:c r="B1561" s="3" t="inlineStr">
        <ns0:is>
          <ns0:t>G2二段階</ns0:t>
        </ns0:is>
      </ns0:c>
      <ns0:c r="C1561" s="3" t="inlineStr">
        <ns0:is>
          <ns0:t>C</ns0:t>
        </ns0:is>
      </ns0:c>
      <ns0:c r="D1561" s="4" t="n">
        <ns0:v>0</ns0:v>
      </ns0:c>
      <ns0:c r="E1561" s="4" t="n">
        <ns0:v>1000</ns0:v>
      </ns0:c>
      <ns0:c r="F1561" s="6" t="n">
        <ns0:v>0.4</ns0:v>
      </ns0:c>
      <ns0:c r="G1561" s="4" t="n">
        <ns0:v>1</ns0:v>
      </ns0:c>
      <ns0:c r="H1561" s="7" t="n">
        <ns0:v>3922.71916020025</ns0:v>
      </ns0:c>
      <ns0:c r="I1561" s="7" t="n">
        <ns0:v>2215.103836045056</ns0:v>
      </ns0:c>
      <ns0:c r="J1561" s="7" t="n">
        <ns0:v>886.0415344180225</ns0:v>
      </ns0:c>
      <ns0:c r="K1561" s="7" t="n">
        <ns0:v>40</ns0:v>
      </ns0:c>
      <ns0:c r="L1561" s="7" t="n">
        <ns0:v>323</ns0:v>
      </ns0:c>
      <ns0:c r="M1561" s="7" t="n">
        <ns0:v>-41879.42728291299</ns0:v>
      </ns0:c>
      <ns0:c r="N1561" s="7" t="n">
        <ns0:v>-15116.41259612339</ns0:v>
      </ns0:c>
      <ns0:c r="O1561" s="7" t="n">
        <ns0:v>13766.62712195533</ns0:v>
      </ns0:c>
      <ns0:c r="P1561" s="7" t="n">
        <ns0:v>82044.18887021847</ns0:v>
      </ns0:c>
      <ns0:c r="Q1561" s="7" t="n">
        <ns0:v>313154.4358632709</ns0:v>
      </ns0:c>
      <ns0:c r="R1561" s="7" t="n">
        <ns0:v>1199040.300338955</ns0:v>
      </ns0:c>
    </ns0:row>
    <ns0:row r="1562" ht="24" customHeight="1">
      <ns0:c r="A1562" s="3" t="inlineStr">
        <ns0:is>
          <ns0:t>混在40/30/30</ns0:t>
        </ns0:is>
      </ns0:c>
      <ns0:c r="B1562" s="3" t="inlineStr">
        <ns0:is>
          <ns0:t>G2二段階</ns0:t>
        </ns0:is>
      </ns0:c>
      <ns0:c r="C1562" s="3" t="inlineStr">
        <ns0:is>
          <ns0:t>C</ns0:t>
        </ns0:is>
      </ns0:c>
      <ns0:c r="D1562" s="4" t="n">
        <ns0:v>0</ns0:v>
      </ns0:c>
      <ns0:c r="E1562" s="4" t="n">
        <ns0:v>1000</ns0:v>
      </ns0:c>
      <ns0:c r="F1562" s="6" t="n">
        <ns0:v>0.4</ns0:v>
      </ns0:c>
      <ns0:c r="G1562" s="4" t="n">
        <ns0:v>2</ns0:v>
      </ns0:c>
      <ns0:c r="H1562" s="7" t="n">
        <ns0:v>3922.71916020025</ns0:v>
      </ns0:c>
      <ns0:c r="I1562" s="7" t="n">
        <ns0:v>2215.103836045056</ns0:v>
      </ns0:c>
      <ns0:c r="J1562" s="7" t="n">
        <ns0:v>886.0415344180225</ns0:v>
      </ns0:c>
      <ns0:c r="K1562" s="7" t="n">
        <ns0:v>384</ns0:v>
      </ns0:c>
      <ns0:c r="L1562" s="18" t="inlineStr">
        <ns0:is>
          <ns0:t>範囲内なし</ns0:t>
        </ns0:is>
      </ns0:c>
      <ns0:c r="M1562" s="7" t="n">
        <ns0:v>-53017.08356994494</ns0:v>
      </ns0:c>
      <ns0:c r="N1562" s="7" t="n">
        <ns0:v>-48529.38145721922</ns0:v>
      </ns0:c>
      <ns0:c r="O1562" s="7" t="n">
        <ns0:v>-41921.65431320437</ns0:v>
      </ns0:c>
      <ns0:c r="P1562" s="7" t="n">
        <ns0:v>-29332.37400010097</ns0:v>
      </ns0:c>
      <ns0:c r="Q1562" s="7" t="n">
        <ns0:v>-20975.25274768739</ns0:v>
      </ns0:c>
      <ns0:c r="R1562" s="7" t="n">
        <ns0:v>85274.67163576034</ns0:v>
      </ns0:c>
    </ns0:row>
    <ns0:row r="1563" ht="24" customHeight="1">
      <ns0:c r="A1563" s="3" t="inlineStr">
        <ns0:is>
          <ns0:t>混在40/30/30</ns0:t>
        </ns0:is>
      </ns0:c>
      <ns0:c r="B1563" s="3" t="inlineStr">
        <ns0:is>
          <ns0:t>G2二段階</ns0:t>
        </ns0:is>
      </ns0:c>
      <ns0:c r="C1563" s="3" t="inlineStr">
        <ns0:is>
          <ns0:t>C</ns0:t>
        </ns0:is>
      </ns0:c>
      <ns0:c r="D1563" s="4" t="n">
        <ns0:v>0</ns0:v>
      </ns0:c>
      <ns0:c r="E1563" s="4" t="n">
        <ns0:v>1000</ns0:v>
      </ns0:c>
      <ns0:c r="F1563" s="6" t="n">
        <ns0:v>0.4</ns0:v>
      </ns0:c>
      <ns0:c r="G1563" s="4" t="n">
        <ns0:v>3</ns0:v>
      </ns0:c>
      <ns0:c r="H1563" s="7" t="n">
        <ns0:v>3922.71916020025</ns0:v>
      </ns0:c>
      <ns0:c r="I1563" s="7" t="n">
        <ns0:v>2215.103836045056</ns0:v>
      </ns0:c>
      <ns0:c r="J1563" s="7" t="n">
        <ns0:v>886.0415344180225</ns0:v>
      </ns0:c>
      <ns0:c r="K1563" s="7" t="n">
        <ns0:v>64</ns0:v>
      </ns0:c>
      <ns0:c r="L1563" s="18" t="inlineStr">
        <ns0:is>
          <ns0:t>範囲内なし</ns0:t>
        </ns0:is>
      </ns0:c>
      <ns0:c r="M1563" s="7" t="n">
        <ns0:v>-47003.69825321955</ns0:v>
      </ns0:c>
      <ns0:c r="N1563" s="7" t="n">
        <ns0:v>-30489.22550704306</ns0:v>
      </ns0:c>
      <ns0:c r="O1563" s="7" t="n">
        <ns0:v>-11854.72772957745</ns0:v>
      </ns0:c>
      <ns0:c r="P1563" s="7" t="n">
        <ns0:v>30801.47916715289</ns0:v>
      </ns0:c>
      <ns0:c r="Q1563" s="7" t="n">
        <ns0:v>159426.3067540742</ns0:v>
      </ns0:c>
      <ns0:c r="R1563" s="7" t="n">
        <ns0:v>686613.2033082991</ns0:v>
      </ns0:c>
    </ns0:row>
    <ns0:row r="1564" ht="24" customHeight="1">
      <ns0:c r="A1564" s="3" t="inlineStr">
        <ns0:is>
          <ns0:t>混在40/30/30</ns0:t>
        </ns0:is>
      </ns0:c>
      <ns0:c r="B1564" s="3" t="inlineStr">
        <ns0:is>
          <ns0:t>G2二段階</ns0:t>
        </ns0:is>
      </ns0:c>
      <ns0:c r="C1564" s="3" t="inlineStr">
        <ns0:is>
          <ns0:t>C</ns0:t>
        </ns0:is>
      </ns0:c>
      <ns0:c r="D1564" s="4" t="n">
        <ns0:v>0</ns0:v>
      </ns0:c>
      <ns0:c r="E1564" s="4" t="n">
        <ns0:v>1000</ns0:v>
      </ns0:c>
      <ns0:c r="F1564" s="6" t="n">
        <ns0:v>0.5</ns0:v>
      </ns0:c>
      <ns0:c r="G1564" s="4" t="n">
        <ns0:v>0</ns0:v>
      </ns0:c>
      <ns0:c r="H1564" s="7" t="n">
        <ns0:v>3922.71916020025</ns0:v>
      </ns0:c>
      <ns0:c r="I1564" s="7" t="n">
        <ns0:v>2215.103836045056</ns0:v>
      </ns0:c>
      <ns0:c r="J1564" s="7" t="n">
        <ns0:v>1107.551918022528</ns0:v>
      </ns0:c>
      <ns0:c r="K1564" s="7" t="n">
        <ns0:v>40</ns0:v>
      </ns0:c>
      <ns0:c r="L1564" s="7" t="n">
        <ns0:v>101</ns0:v>
      </ns0:c>
      <ns0:c r="M1564" s="7" t="n">
        <ns0:v>-41874.98730709274</ns0:v>
      </ns0:c>
      <ns0:c r="N1564" s="7" t="n">
        <ns0:v>-15103.09266866263</ns0:v>
      </ns0:c>
      <ns0:c r="O1564" s="7" t="n">
        <ns0:v>13788.82700105662</ns0:v>
      </ns0:c>
      <ns0:c r="P1564" s="7" t="n">
        <ns0:v>82088.58862842104</ns0:v>
      </ns0:c>
      <ns0:c r="Q1564" s="7" t="n">
        <ns0:v>313287.6351378786</ns0:v>
      </ns0:c>
      <ns0:c r="R1564" s="7" t="n">
        <ns0:v>1199484.29792098</ns0:v>
      </ns0:c>
    </ns0:row>
    <ns0:row r="1565" ht="24" customHeight="1">
      <ns0:c r="A1565" s="3" t="inlineStr">
        <ns0:is>
          <ns0:t>混在40/30/30</ns0:t>
        </ns0:is>
      </ns0:c>
      <ns0:c r="B1565" s="3" t="inlineStr">
        <ns0:is>
          <ns0:t>G2二段階</ns0:t>
        </ns0:is>
      </ns0:c>
      <ns0:c r="C1565" s="3" t="inlineStr">
        <ns0:is>
          <ns0:t>C</ns0:t>
        </ns0:is>
      </ns0:c>
      <ns0:c r="D1565" s="4" t="n">
        <ns0:v>0</ns0:v>
      </ns0:c>
      <ns0:c r="E1565" s="4" t="n">
        <ns0:v>1000</ns0:v>
      </ns0:c>
      <ns0:c r="F1565" s="6" t="n">
        <ns0:v>0.5</ns0:v>
      </ns0:c>
      <ns0:c r="G1565" s="4" t="n">
        <ns0:v>1</ns0:v>
      </ns0:c>
      <ns0:c r="H1565" s="7" t="n">
        <ns0:v>3922.71916020025</ns0:v>
      </ns0:c>
      <ns0:c r="I1565" s="7" t="n">
        <ns0:v>2215.103836045056</ns0:v>
      </ns0:c>
      <ns0:c r="J1565" s="7" t="n">
        <ns0:v>1107.551918022528</ns0:v>
      </ns0:c>
      <ns0:c r="K1565" s="7" t="n">
        <ns0:v>48</ns0:v>
      </ns0:c>
      <ns0:c r="L1565" s="7" t="n">
        <ns0:v>466</ns0:v>
      </ns0:c>
      <ns0:c r="M1565" s="7" t="n">
        <ns0:v>-44094.53111895805</ns0:v>
      </ns0:c>
      <ns0:c r="N1565" s="7" t="n">
        <ns0:v>-21761.72410425857</ns0:v>
      </ns0:c>
      <ns0:c r="O1565" s="7" t="n">
        <ns0:v>2691.107941730053</ns0:v>
      </ns0:c>
      <ns0:c r="P1565" s="7" t="n">
        <ns0:v>59893.1505097679</ns0:v>
      </ns0:c>
      <ns0:c r="Q1565" s="7" t="n">
        <ns0:v>246701.3207819193</ns0:v>
      </ns0:c>
      <ns0:c r="R1565" s="7" t="n">
        <ns0:v>977529.9167344491</ns0:v>
      </ns0:c>
    </ns0:row>
    <ns0:row r="1566" ht="24" customHeight="1">
      <ns0:c r="A1566" s="3" t="inlineStr">
        <ns0:is>
          <ns0:t>混在40/30/30</ns0:t>
        </ns0:is>
      </ns0:c>
      <ns0:c r="B1566" s="3" t="inlineStr">
        <ns0:is>
          <ns0:t>G2二段階</ns0:t>
        </ns0:is>
      </ns0:c>
      <ns0:c r="C1566" s="3" t="inlineStr">
        <ns0:is>
          <ns0:t>C</ns0:t>
        </ns0:is>
      </ns0:c>
      <ns0:c r="D1566" s="4" t="n">
        <ns0:v>0</ns0:v>
      </ns0:c>
      <ns0:c r="E1566" s="4" t="n">
        <ns0:v>1000</ns0:v>
      </ns0:c>
      <ns0:c r="F1566" s="6" t="n">
        <ns0:v>0.5</ns0:v>
      </ns0:c>
      <ns0:c r="G1566" s="4" t="n">
        <ns0:v>2</ns0:v>
      </ns0:c>
      <ns0:c r="H1566" s="7" t="n">
        <ns0:v>3922.71916020025</ns0:v>
      </ns0:c>
      <ns0:c r="I1566" s="7" t="n">
        <ns0:v>2215.103836045056</ns0:v>
      </ns0:c>
      <ns0:c r="J1566" s="7" t="n">
        <ns0:v>1107.551918022528</ns0:v>
      </ns0:c>
      <ns0:c r="K1566" s="18" t="inlineStr">
        <ns0:is>
          <ns0:t>範囲内なし</ns0:t>
        </ns0:is>
      </ns0:c>
      <ns0:c r="L1566" s="18" t="inlineStr">
        <ns0:is>
          <ns0:t>範囲内なし</ns0:t>
        </ns0:is>
      </ns0:c>
      <ns0:c r="M1566" s="7" t="n">
        <ns0:v>-55232.18740599</ns0:v>
      </ns0:c>
      <ns0:c r="N1566" s="7" t="n">
        <ns0:v>-55174.69296535439</ns0:v>
      </ns0:c>
      <ns0:c r="O1566" s="7" t="n">
        <ns0:v>-52997.17349342965</ns0:v>
      </ns0:c>
      <ns0:c r="P1566" s="7" t="n">
        <ns0:v>-51483.41236055153</ns0:v>
      </ns0:c>
      <ns0:c r="Q1566" s="7" t="n">
        <ns0:v>-87428.36782903899</ns0:v>
      </ns0:c>
      <ns0:c r="R1566" s="7" t="n">
        <ns0:v>-136235.7119687452</ns0:v>
      </ns0:c>
    </ns0:row>
    <ns0:row r="1567" ht="24" customHeight="1">
      <ns0:c r="A1567" s="3" t="inlineStr">
        <ns0:is>
          <ns0:t>混在40/30/30</ns0:t>
        </ns0:is>
      </ns0:c>
      <ns0:c r="B1567" s="3" t="inlineStr">
        <ns0:is>
          <ns0:t>G2二段階</ns0:t>
        </ns0:is>
      </ns0:c>
      <ns0:c r="C1567" s="3" t="inlineStr">
        <ns0:is>
          <ns0:t>C</ns0:t>
        </ns0:is>
      </ns0:c>
      <ns0:c r="D1567" s="4" t="n">
        <ns0:v>0</ns0:v>
      </ns0:c>
      <ns0:c r="E1567" s="4" t="n">
        <ns0:v>1000</ns0:v>
      </ns0:c>
      <ns0:c r="F1567" s="6" t="n">
        <ns0:v>0.5</ns0:v>
      </ns0:c>
      <ns0:c r="G1567" s="4" t="n">
        <ns0:v>3</ns0:v>
      </ns0:c>
      <ns0:c r="H1567" s="7" t="n">
        <ns0:v>3922.71916020025</ns0:v>
      </ns0:c>
      <ns0:c r="I1567" s="7" t="n">
        <ns0:v>2215.103836045056</ns0:v>
      </ns0:c>
      <ns0:c r="J1567" s="7" t="n">
        <ns0:v>1107.551918022528</ns0:v>
      </ns0:c>
      <ns0:c r="K1567" s="7" t="n">
        <ns0:v>87</ns0:v>
      </ns0:c>
      <ns0:c r="L1567" s="18" t="inlineStr">
        <ns0:is>
          <ns0:t>範囲内なし</ns0:t>
        </ns0:is>
      </ns0:c>
      <ns0:c r="M1567" s="7" t="n">
        <ns0:v>-49218.8020892646</ns0:v>
      </ns0:c>
      <ns0:c r="N1567" s="7" t="n">
        <ns0:v>-37134.53701517823</ns0:v>
      </ns0:c>
      <ns0:c r="O1567" s="7" t="n">
        <ns0:v>-22930.24690980273</ns0:v>
      </ns0:c>
      <ns0:c r="P1567" s="7" t="n">
        <ns0:v>8650.440806702332</ns0:v>
      </ns0:c>
      <ns0:c r="Q1567" s="7" t="n">
        <ns0:v>92973.19167272258</ns0:v>
      </ns0:c>
      <ns0:c r="R1567" s="7" t="n">
        <ns0:v>465102.8197037934</ns0:v>
      </ns0:c>
    </ns0:row>
    <ns0:row r="1568" ht="24" customHeight="1">
      <ns0:c r="A1568" s="3" t="inlineStr">
        <ns0:is>
          <ns0:t>混在40/30/30</ns0:t>
        </ns0:is>
      </ns0:c>
      <ns0:c r="B1568" s="3" t="inlineStr">
        <ns0:is>
          <ns0:t>G2二段階</ns0:t>
        </ns0:is>
      </ns0:c>
      <ns0:c r="C1568" s="3" t="inlineStr">
        <ns0:is>
          <ns0:t>C</ns0:t>
        </ns0:is>
      </ns0:c>
      <ns0:c r="D1568" s="4" t="n">
        <ns0:v>0</ns0:v>
      </ns0:c>
      <ns0:c r="E1568" s="4" t="n">
        <ns0:v>1500</ns0:v>
      </ns0:c>
      <ns0:c r="F1568" s="6" t="n">
        <ns0:v>0.3</ns0:v>
      </ns0:c>
      <ns0:c r="G1568" s="4" t="n">
        <ns0:v>0</ns0:v>
      </ns0:c>
      <ns0:c r="H1568" s="7" t="n">
        <ns0:v>3772.71916020025</ns0:v>
      </ns0:c>
      <ns0:c r="I1568" s="7" t="n">
        <ns0:v>2065.103836045056</ns0:v>
      </ns0:c>
      <ns0:c r="J1568" s="7" t="n">
        <ns0:v>619.5311508135169</ns0:v>
      </ns0:c>
      <ns0:c r="K1568" s="7" t="n">
        <ns0:v>32</ns0:v>
      </ns0:c>
      <ns0:c r="L1568" s="7" t="n">
        <ns0:v>82</ns0:v>
      </ns0:c>
      <ns0:c r="M1568" s="7" t="n">
        <ns0:v>-38440.77963500263</ns0:v>
      </ns0:c>
      <ns0:c r="N1568" s="7" t="n">
        <ns0:v>-4800.469652392283</ns0:v>
      </ns0:c>
      <ns0:c r="O1568" s="7" t="n">
        <ns0:v>30959.86536150717</ns0:v>
      </ns0:c>
      <ns0:c r="P1568" s="7" t="n">
        <ns0:v>116430.6653493221</ns0:v>
      </ns0:c>
      <ns0:c r="Q1568" s="7" t="n">
        <ns0:v>416313.8653005819</ns0:v>
      </ns0:c>
      <ns0:c r="R1568" s="7" t="n">
        <ns0:v>1542905.065129992</ns0:v>
      </ns0:c>
    </ns0:row>
    <ns0:row r="1569" ht="24" customHeight="1">
      <ns0:c r="A1569" s="3" t="inlineStr">
        <ns0:is>
          <ns0:t>混在40/30/30</ns0:t>
        </ns0:is>
      </ns0:c>
      <ns0:c r="B1569" s="3" t="inlineStr">
        <ns0:is>
          <ns0:t>G2二段階</ns0:t>
        </ns0:is>
      </ns0:c>
      <ns0:c r="C1569" s="3" t="inlineStr">
        <ns0:is>
          <ns0:t>C</ns0:t>
        </ns0:is>
      </ns0:c>
      <ns0:c r="D1569" s="4" t="n">
        <ns0:v>0</ns0:v>
      </ns0:c>
      <ns0:c r="E1569" s="4" t="n">
        <ns0:v>1500</ns0:v>
      </ns0:c>
      <ns0:c r="F1569" s="6" t="n">
        <ns0:v>0.3</ns0:v>
      </ns0:c>
      <ns0:c r="G1569" s="4" t="n">
        <ns0:v>1</ns0:v>
      </ns0:c>
      <ns0:c r="H1569" s="7" t="n">
        <ns0:v>3772.71916020025</ns0:v>
      </ns0:c>
      <ns0:c r="I1569" s="7" t="n">
        <ns0:v>2065.103836045056</ns0:v>
      </ns0:c>
      <ns0:c r="J1569" s="7" t="n">
        <ns0:v>619.5311508135169</ns0:v>
      </ns0:c>
      <ns0:c r="K1569" s="7" t="n">
        <ns0:v>37</ns0:v>
      </ns0:c>
      <ns0:c r="L1569" s="7" t="n">
        <ns0:v>282</ns0:v>
      </ns0:c>
      <ns0:c r="M1569" s="7" t="n">
        <ns0:v>-40660.32344686794</ns0:v>
      </ns0:c>
      <ns0:c r="N1569" s="7" t="n">
        <ns0:v>-11459.10108798822</ns0:v>
      </ns0:c>
      <ns0:c r="O1569" s="7" t="n">
        <ns0:v>19862.14630218061</ns0:v>
      </ns0:c>
      <ns0:c r="P1569" s="7" t="n">
        <ns0:v>94235.22723066901</ns0:v>
      </ns0:c>
      <ns0:c r="Q1569" s="7" t="n">
        <ns0:v>349727.5509446225</ns0:v>
      </ns0:c>
      <ns0:c r="R1569" s="7" t="n">
        <ns0:v>1320950.68394346</ns0:v>
      </ns0:c>
    </ns0:row>
    <ns0:row r="1570" ht="24" customHeight="1">
      <ns0:c r="A1570" s="3" t="inlineStr">
        <ns0:is>
          <ns0:t>混在40/30/30</ns0:t>
        </ns0:is>
      </ns0:c>
      <ns0:c r="B1570" s="3" t="inlineStr">
        <ns0:is>
          <ns0:t>G2二段階</ns0:t>
        </ns0:is>
      </ns0:c>
      <ns0:c r="C1570" s="3" t="inlineStr">
        <ns0:is>
          <ns0:t>C</ns0:t>
        </ns0:is>
      </ns0:c>
      <ns0:c r="D1570" s="4" t="n">
        <ns0:v>0</ns0:v>
      </ns0:c>
      <ns0:c r="E1570" s="4" t="n">
        <ns0:v>1500</ns0:v>
      </ns0:c>
      <ns0:c r="F1570" s="6" t="n">
        <ns0:v>0.3</ns0:v>
      </ns0:c>
      <ns0:c r="G1570" s="4" t="n">
        <ns0:v>2</ns0:v>
      </ns0:c>
      <ns0:c r="H1570" s="7" t="n">
        <ns0:v>3772.71916020025</ns0:v>
      </ns0:c>
      <ns0:c r="I1570" s="7" t="n">
        <ns0:v>2065.103836045056</ns0:v>
      </ns0:c>
      <ns0:c r="J1570" s="7" t="n">
        <ns0:v>619.5311508135169</ns0:v>
      </ns0:c>
      <ns0:c r="K1570" s="7" t="n">
        <ns0:v>259</ns0:v>
      </ns0:c>
      <ns0:c r="L1570" s="18" t="inlineStr">
        <ns0:is>
          <ns0:t>範囲内なし</ns0:t>
        </ns0:is>
      </ns0:c>
      <ns0:c r="M1570" s="7" t="n">
        <ns0:v>-51797.97973389988</ns0:v>
      </ns0:c>
      <ns0:c r="N1570" s="7" t="n">
        <ns0:v>-44872.06994908406</ns0:v>
      </ns0:c>
      <ns0:c r="O1570" s="7" t="n">
        <ns0:v>-35826.13513297911</ns0:v>
      </ns0:c>
      <ns0:c r="P1570" s="7" t="n">
        <ns0:v>-17141.33563965041</ns0:v>
      </ns0:c>
      <ns0:c r="Q1570" s="7" t="n">
        <ns0:v>15597.8623336642</ns0:v>
      </ns0:c>
      <ns0:c r="R1570" s="7" t="n">
        <ns0:v>207185.0552402658</ns0:v>
      </ns0:c>
    </ns0:row>
    <ns0:row r="1571" ht="24" customHeight="1">
      <ns0:c r="A1571" s="3" t="inlineStr">
        <ns0:is>
          <ns0:t>混在40/30/30</ns0:t>
        </ns0:is>
      </ns0:c>
      <ns0:c r="B1571" s="3" t="inlineStr">
        <ns0:is>
          <ns0:t>G2二段階</ns0:t>
        </ns0:is>
      </ns0:c>
      <ns0:c r="C1571" s="3" t="inlineStr">
        <ns0:is>
          <ns0:t>C</ns0:t>
        </ns0:is>
      </ns0:c>
      <ns0:c r="D1571" s="4" t="n">
        <ns0:v>0</ns0:v>
      </ns0:c>
      <ns0:c r="E1571" s="4" t="n">
        <ns0:v>1500</ns0:v>
      </ns0:c>
      <ns0:c r="F1571" s="6" t="n">
        <ns0:v>0.3</ns0:v>
      </ns0:c>
      <ns0:c r="G1571" s="4" t="n">
        <ns0:v>3</ns0:v>
      </ns0:c>
      <ns0:c r="H1571" s="7" t="n">
        <ns0:v>3772.71916020025</ns0:v>
      </ns0:c>
      <ns0:c r="I1571" s="7" t="n">
        <ns0:v>2065.103836045056</ns0:v>
      </ns0:c>
      <ns0:c r="J1571" s="7" t="n">
        <ns0:v>619.5311508135169</ns0:v>
      </ns0:c>
      <ns0:c r="K1571" s="7" t="n">
        <ns0:v>56</ns0:v>
      </ns0:c>
      <ns0:c r="L1571" s="18" t="inlineStr">
        <ns0:is>
          <ns0:t>範囲内なし</ns0:t>
        </ns0:is>
      </ns0:c>
      <ns0:c r="M1571" s="7" t="n">
        <ns0:v>-45784.5944171745</ns0:v>
      </ns0:c>
      <ns0:c r="N1571" s="7" t="n">
        <ns0:v>-26831.91399890789</ns0:v>
      </ns0:c>
      <ns0:c r="O1571" s="7" t="n">
        <ns0:v>-5759.208549352174</ns0:v>
      </ns0:c>
      <ns0:c r="P1571" s="7" t="n">
        <ns0:v>42992.51752760346</ns0:v>
      </ns0:c>
      <ns0:c r="Q1571" s="7" t="n">
        <ns0:v>195999.4218354258</ns0:v>
      </ns0:c>
      <ns0:c r="R1571" s="7" t="n">
        <ns0:v>808523.5869128045</ns0:v>
      </ns0:c>
    </ns0:row>
    <ns0:row r="1572" ht="24" customHeight="1">
      <ns0:c r="A1572" s="3" t="inlineStr">
        <ns0:is>
          <ns0:t>混在40/30/30</ns0:t>
        </ns0:is>
      </ns0:c>
      <ns0:c r="B1572" s="3" t="inlineStr">
        <ns0:is>
          <ns0:t>G2二段階</ns0:t>
        </ns0:is>
      </ns0:c>
      <ns0:c r="C1572" s="3" t="inlineStr">
        <ns0:is>
          <ns0:t>C</ns0:t>
        </ns0:is>
      </ns0:c>
      <ns0:c r="D1572" s="4" t="n">
        <ns0:v>0</ns0:v>
      </ns0:c>
      <ns0:c r="E1572" s="4" t="n">
        <ns0:v>1500</ns0:v>
      </ns0:c>
      <ns0:c r="F1572" s="6" t="n">
        <ns0:v>0.4</ns0:v>
      </ns0:c>
      <ns0:c r="G1572" s="4" t="n">
        <ns0:v>0</ns0:v>
      </ns0:c>
      <ns0:c r="H1572" s="7" t="n">
        <ns0:v>3772.71916020025</ns0:v>
      </ns0:c>
      <ns0:c r="I1572" s="7" t="n">
        <ns0:v>2065.103836045056</ns0:v>
      </ns0:c>
      <ns0:c r="J1572" s="7" t="n">
        <ns0:v>826.0415344180225</ns0:v>
      </ns0:c>
      <ns0:c r="K1572" s="7" t="n">
        <ns0:v>37</ns0:v>
      </ns0:c>
      <ns0:c r="L1572" s="7" t="n">
        <ns0:v>93</ns0:v>
      </ns0:c>
      <ns0:c r="M1572" s="7" t="n">
        <ns0:v>-40505.88347104768</ns0:v>
      </ns0:c>
      <ns0:c r="N1572" s="7" t="n">
        <ns0:v>-10995.78116052746</ns0:v>
      </ns0:c>
      <ns0:c r="O1572" s="7" t="n">
        <ns0:v>20634.34618128189</ns0:v>
      </ns0:c>
      <ns0:c r="P1572" s="7" t="n">
        <ns0:v>95779.62698887158</ns0:v>
      </ns0:c>
      <ns0:c r="Q1572" s="7" t="n">
        <ns0:v>354360.7502192302</ns0:v>
      </ns0:c>
      <ns0:c r="R1572" s="7" t="n">
        <ns0:v>1336394.681525486</ns0:v>
      </ns0:c>
    </ns0:row>
    <ns0:row r="1573" ht="24" customHeight="1">
      <ns0:c r="A1573" s="3" t="inlineStr">
        <ns0:is>
          <ns0:t>混在40/30/30</ns0:t>
        </ns0:is>
      </ns0:c>
      <ns0:c r="B1573" s="3" t="inlineStr">
        <ns0:is>
          <ns0:t>G2二段階</ns0:t>
        </ns0:is>
      </ns0:c>
      <ns0:c r="C1573" s="3" t="inlineStr">
        <ns0:is>
          <ns0:t>C</ns0:t>
        </ns0:is>
      </ns0:c>
      <ns0:c r="D1573" s="4" t="n">
        <ns0:v>0</ns0:v>
      </ns0:c>
      <ns0:c r="E1573" s="4" t="n">
        <ns0:v>1500</ns0:v>
      </ns0:c>
      <ns0:c r="F1573" s="6" t="n">
        <ns0:v>0.4</ns0:v>
      </ns0:c>
      <ns0:c r="G1573" s="4" t="n">
        <ns0:v>1</ns0:v>
      </ns0:c>
      <ns0:c r="H1573" s="7" t="n">
        <ns0:v>3772.71916020025</ns0:v>
      </ns0:c>
      <ns0:c r="I1573" s="7" t="n">
        <ns0:v>2065.103836045056</ns0:v>
      </ns0:c>
      <ns0:c r="J1573" s="7" t="n">
        <ns0:v>826.0415344180225</ns0:v>
      </ns0:c>
      <ns0:c r="K1573" s="7" t="n">
        <ns0:v>43</ns0:v>
      </ns0:c>
      <ns0:c r="L1573" s="7" t="n">
        <ns0:v>374</ns0:v>
      </ns0:c>
      <ns0:c r="M1573" s="7" t="n">
        <ns0:v>-42725.42728291299</ns0:v>
      </ns0:c>
      <ns0:c r="N1573" s="7" t="n">
        <ns0:v>-17654.4125961234</ns0:v>
      </ns0:c>
      <ns0:c r="O1573" s="7" t="n">
        <ns0:v>9536.62712195532</ns0:v>
      </ns0:c>
      <ns0:c r="P1573" s="7" t="n">
        <ns0:v>73584.18887021844</ns0:v>
      </ns0:c>
      <ns0:c r="Q1573" s="7" t="n">
        <ns0:v>287774.4358632708</ns0:v>
      </ns0:c>
      <ns0:c r="R1573" s="7" t="n">
        <ns0:v>1114440.300338954</ns0:v>
      </ns0:c>
    </ns0:row>
    <ns0:row r="1574" ht="24" customHeight="1">
      <ns0:c r="A1574" s="3" t="inlineStr">
        <ns0:is>
          <ns0:t>混在40/30/30</ns0:t>
        </ns0:is>
      </ns0:c>
      <ns0:c r="B1574" s="3" t="inlineStr">
        <ns0:is>
          <ns0:t>G2二段階</ns0:t>
        </ns0:is>
      </ns0:c>
      <ns0:c r="C1574" s="3" t="inlineStr">
        <ns0:is>
          <ns0:t>C</ns0:t>
        </ns0:is>
      </ns0:c>
      <ns0:c r="D1574" s="4" t="n">
        <ns0:v>0</ns0:v>
      </ns0:c>
      <ns0:c r="E1574" s="4" t="n">
        <ns0:v>1500</ns0:v>
      </ns0:c>
      <ns0:c r="F1574" s="6" t="n">
        <ns0:v>0.4</ns0:v>
      </ns0:c>
      <ns0:c r="G1574" s="4" t="n">
        <ns0:v>2</ns0:v>
      </ns0:c>
      <ns0:c r="H1574" s="7" t="n">
        <ns0:v>3772.71916020025</ns0:v>
      </ns0:c>
      <ns0:c r="I1574" s="7" t="n">
        <ns0:v>2065.103836045056</ns0:v>
      </ns0:c>
      <ns0:c r="J1574" s="7" t="n">
        <ns0:v>826.0415344180225</ns0:v>
      </ns0:c>
      <ns0:c r="K1574" s="7" t="n">
        <ns0:v>996</ns0:v>
      </ns0:c>
      <ns0:c r="L1574" s="18" t="inlineStr">
        <ns0:is>
          <ns0:t>範囲内なし</ns0:t>
        </ns0:is>
      </ns0:c>
      <ns0:c r="M1574" s="7" t="n">
        <ns0:v>-53863.08356994494</ns0:v>
      </ns0:c>
      <ns0:c r="N1574" s="7" t="n">
        <ns0:v>-51067.38145721923</ns0:v>
      </ns0:c>
      <ns0:c r="O1574" s="7" t="n">
        <ns0:v>-46151.6543132044</ns0:v>
      </ns0:c>
      <ns0:c r="P1574" s="7" t="n">
        <ns0:v>-37792.374000101</ns0:v>
      </ns0:c>
      <ns0:c r="Q1574" s="7" t="n">
        <ns0:v>-46355.25274768745</ns0:v>
      </ns0:c>
      <ns0:c r="R1574" s="7" t="n">
        <ns0:v>674.6716357599944</ns0:v>
      </ns0:c>
    </ns0:row>
    <ns0:row r="1575" ht="24" customHeight="1">
      <ns0:c r="A1575" s="3" t="inlineStr">
        <ns0:is>
          <ns0:t>混在40/30/30</ns0:t>
        </ns0:is>
      </ns0:c>
      <ns0:c r="B1575" s="3" t="inlineStr">
        <ns0:is>
          <ns0:t>G2二段階</ns0:t>
        </ns0:is>
      </ns0:c>
      <ns0:c r="C1575" s="3" t="inlineStr">
        <ns0:is>
          <ns0:t>C</ns0:t>
        </ns0:is>
      </ns0:c>
      <ns0:c r="D1575" s="4" t="n">
        <ns0:v>0</ns0:v>
      </ns0:c>
      <ns0:c r="E1575" s="4" t="n">
        <ns0:v>1500</ns0:v>
      </ns0:c>
      <ns0:c r="F1575" s="6" t="n">
        <ns0:v>0.4</ns0:v>
      </ns0:c>
      <ns0:c r="G1575" s="4" t="n">
        <ns0:v>3</ns0:v>
      </ns0:c>
      <ns0:c r="H1575" s="7" t="n">
        <ns0:v>3772.71916020025</ns0:v>
      </ns0:c>
      <ns0:c r="I1575" s="7" t="n">
        <ns0:v>2065.103836045056</ns0:v>
      </ns0:c>
      <ns0:c r="J1575" s="7" t="n">
        <ns0:v>826.0415344180225</ns0:v>
      </ns0:c>
      <ns0:c r="K1575" s="7" t="n">
        <ns0:v>71</ns0:v>
      </ns0:c>
      <ns0:c r="L1575" s="18" t="inlineStr">
        <ns0:is>
          <ns0:t>範囲内なし</ns0:t>
        </ns0:is>
      </ns0:c>
      <ns0:c r="M1575" s="7" t="n">
        <ns0:v>-47849.69825321955</ns0:v>
      </ns0:c>
      <ns0:c r="N1575" s="7" t="n">
        <ns0:v>-33027.22550704307</ns0:v>
      </ns0:c>
      <ns0:c r="O1575" s="7" t="n">
        <ns0:v>-16084.72772957746</ns0:v>
      </ns0:c>
      <ns0:c r="P1575" s="7" t="n">
        <ns0:v>22341.47916715287</ns0:v>
      </ns0:c>
      <ns0:c r="Q1575" s="7" t="n">
        <ns0:v>134046.3067540741</ns0:v>
      </ns0:c>
      <ns0:c r="R1575" s="7" t="n">
        <ns0:v>602013.2033082986</ns0:v>
      </ns0:c>
    </ns0:row>
    <ns0:row r="1576" ht="24" customHeight="1">
      <ns0:c r="A1576" s="3" t="inlineStr">
        <ns0:is>
          <ns0:t>混在40/30/30</ns0:t>
        </ns0:is>
      </ns0:c>
      <ns0:c r="B1576" s="3" t="inlineStr">
        <ns0:is>
          <ns0:t>G2二段階</ns0:t>
        </ns0:is>
      </ns0:c>
      <ns0:c r="C1576" s="3" t="inlineStr">
        <ns0:is>
          <ns0:t>C</ns0:t>
        </ns0:is>
      </ns0:c>
      <ns0:c r="D1576" s="4" t="n">
        <ns0:v>0</ns0:v>
      </ns0:c>
      <ns0:c r="E1576" s="4" t="n">
        <ns0:v>1500</ns0:v>
      </ns0:c>
      <ns0:c r="F1576" s="6" t="n">
        <ns0:v>0.5</ns0:v>
      </ns0:c>
      <ns0:c r="G1576" s="4" t="n">
        <ns0:v>0</ns0:v>
      </ns0:c>
      <ns0:c r="H1576" s="7" t="n">
        <ns0:v>3772.71916020025</ns0:v>
      </ns0:c>
      <ns0:c r="I1576" s="7" t="n">
        <ns0:v>2065.103836045056</ns0:v>
      </ns0:c>
      <ns0:c r="J1576" s="7" t="n">
        <ns0:v>1032.551918022528</ns0:v>
      </ns0:c>
      <ns0:c r="K1576" s="7" t="n">
        <ns0:v>43</ns0:v>
      </ns0:c>
      <ns0:c r="L1576" s="7" t="n">
        <ns0:v>175</ns0:v>
      </ns0:c>
      <ns0:c r="M1576" s="7" t="n">
        <ns0:v>-42570.98730709274</ns0:v>
      </ns0:c>
      <ns0:c r="N1576" s="7" t="n">
        <ns0:v>-17191.09266866262</ns0:v>
      </ns0:c>
      <ns0:c r="O1576" s="7" t="n">
        <ns0:v>10308.8270010566</ns0:v>
      </ns0:c>
      <ns0:c r="P1576" s="7" t="n">
        <ns0:v>75128.58862842098</ns0:v>
      </ns0:c>
      <ns0:c r="Q1576" s="7" t="n">
        <ns0:v>292407.6351378785</ns0:v>
      </ns0:c>
      <ns0:c r="R1576" s="7" t="n">
        <ns0:v>1129884.29792098</ns0:v>
      </ns0:c>
    </ns0:row>
    <ns0:row r="1577" ht="24" customHeight="1">
      <ns0:c r="A1577" s="3" t="inlineStr">
        <ns0:is>
          <ns0:t>混在40/30/30</ns0:t>
        </ns0:is>
      </ns0:c>
      <ns0:c r="B1577" s="3" t="inlineStr">
        <ns0:is>
          <ns0:t>G2二段階</ns0:t>
        </ns0:is>
      </ns0:c>
      <ns0:c r="C1577" s="3" t="inlineStr">
        <ns0:is>
          <ns0:t>C</ns0:t>
        </ns0:is>
      </ns0:c>
      <ns0:c r="D1577" s="4" t="n">
        <ns0:v>0</ns0:v>
      </ns0:c>
      <ns0:c r="E1577" s="4" t="n">
        <ns0:v>1500</ns0:v>
      </ns0:c>
      <ns0:c r="F1577" s="6" t="n">
        <ns0:v>0.5</ns0:v>
      </ns0:c>
      <ns0:c r="G1577" s="4" t="n">
        <ns0:v>1</ns0:v>
      </ns0:c>
      <ns0:c r="H1577" s="7" t="n">
        <ns0:v>3772.71916020025</ns0:v>
      </ns0:c>
      <ns0:c r="I1577" s="7" t="n">
        <ns0:v>2065.103836045056</ns0:v>
      </ns0:c>
      <ns0:c r="J1577" s="7" t="n">
        <ns0:v>1032.551918022528</ns0:v>
      </ns0:c>
      <ns0:c r="K1577" s="7" t="n">
        <ns0:v>51</ns0:v>
      </ns0:c>
      <ns0:c r="L1577" s="7" t="n">
        <ns0:v>850</ns0:v>
      </ns0:c>
      <ns0:c r="M1577" s="7" t="n">
        <ns0:v>-44790.53111895805</ns0:v>
      </ns0:c>
      <ns0:c r="N1577" s="7" t="n">
        <ns0:v>-23849.72410425856</ns0:v>
      </ns0:c>
      <ns0:c r="O1577" s="7" t="n">
        <ns0:v>-788.8920582699684</ns0:v>
      </ns0:c>
      <ns0:c r="P1577" s="7" t="n">
        <ns0:v>52933.15050976786</ns0:v>
      </ns0:c>
      <ns0:c r="Q1577" s="7" t="n">
        <ns0:v>225821.3207819192</ns0:v>
      </ns0:c>
      <ns0:c r="R1577" s="7" t="n">
        <ns0:v>907929.9167344488</ns0:v>
      </ns0:c>
    </ns0:row>
    <ns0:row r="1578" ht="24" customHeight="1">
      <ns0:c r="A1578" s="3" t="inlineStr">
        <ns0:is>
          <ns0:t>混在40/30/30</ns0:t>
        </ns0:is>
      </ns0:c>
      <ns0:c r="B1578" s="3" t="inlineStr">
        <ns0:is>
          <ns0:t>G2二段階</ns0:t>
        </ns0:is>
      </ns0:c>
      <ns0:c r="C1578" s="3" t="inlineStr">
        <ns0:is>
          <ns0:t>C</ns0:t>
        </ns0:is>
      </ns0:c>
      <ns0:c r="D1578" s="4" t="n">
        <ns0:v>0</ns0:v>
      </ns0:c>
      <ns0:c r="E1578" s="4" t="n">
        <ns0:v>1500</ns0:v>
      </ns0:c>
      <ns0:c r="F1578" s="6" t="n">
        <ns0:v>0.5</ns0:v>
      </ns0:c>
      <ns0:c r="G1578" s="4" t="n">
        <ns0:v>2</ns0:v>
      </ns0:c>
      <ns0:c r="H1578" s="7" t="n">
        <ns0:v>3772.71916020025</ns0:v>
      </ns0:c>
      <ns0:c r="I1578" s="7" t="n">
        <ns0:v>2065.103836045056</ns0:v>
      </ns0:c>
      <ns0:c r="J1578" s="7" t="n">
        <ns0:v>1032.551918022528</ns0:v>
      </ns0:c>
      <ns0:c r="K1578" s="18" t="inlineStr">
        <ns0:is>
          <ns0:t>範囲内なし</ns0:t>
        </ns0:is>
      </ns0:c>
      <ns0:c r="L1578" s="18" t="inlineStr">
        <ns0:is>
          <ns0:t>範囲内なし</ns0:t>
        </ns0:is>
      </ns0:c>
      <ns0:c r="M1578" s="7" t="n">
        <ns0:v>-55928.18740599</ns0:v>
      </ns0:c>
      <ns0:c r="N1578" s="7" t="n">
        <ns0:v>-57262.69296535438</ns0:v>
      </ns0:c>
      <ns0:c r="O1578" s="7" t="n">
        <ns0:v>-56477.17349342967</ns0:v>
      </ns0:c>
      <ns0:c r="P1578" s="7" t="n">
        <ns0:v>-58443.41236055156</ns0:v>
      </ns0:c>
      <ns0:c r="Q1578" s="7" t="n">
        <ns0:v>-108308.3678290391</ns0:v>
      </ns0:c>
      <ns0:c r="R1578" s="7" t="n">
        <ns0:v>-205835.7119687457</ns0:v>
      </ns0:c>
    </ns0:row>
    <ns0:row r="1579" ht="24" customHeight="1">
      <ns0:c r="A1579" s="3" t="inlineStr">
        <ns0:is>
          <ns0:t>混在40/30/30</ns0:t>
        </ns0:is>
      </ns0:c>
      <ns0:c r="B1579" s="3" t="inlineStr">
        <ns0:is>
          <ns0:t>G2二段階</ns0:t>
        </ns0:is>
      </ns0:c>
      <ns0:c r="C1579" s="3" t="inlineStr">
        <ns0:is>
          <ns0:t>C</ns0:t>
        </ns0:is>
      </ns0:c>
      <ns0:c r="D1579" s="4" t="n">
        <ns0:v>0</ns0:v>
      </ns0:c>
      <ns0:c r="E1579" s="4" t="n">
        <ns0:v>1500</ns0:v>
      </ns0:c>
      <ns0:c r="F1579" s="6" t="n">
        <ns0:v>0.5</ns0:v>
      </ns0:c>
      <ns0:c r="G1579" s="4" t="n">
        <ns0:v>3</ns0:v>
      </ns0:c>
      <ns0:c r="H1579" s="7" t="n">
        <ns0:v>3772.71916020025</ns0:v>
      </ns0:c>
      <ns0:c r="I1579" s="7" t="n">
        <ns0:v>2065.103836045056</ns0:v>
      </ns0:c>
      <ns0:c r="J1579" s="7" t="n">
        <ns0:v>1032.551918022528</ns0:v>
      </ns0:c>
      <ns0:c r="K1579" s="7" t="n">
        <ns0:v>172</ns0:v>
      </ns0:c>
      <ns0:c r="L1579" s="18" t="inlineStr">
        <ns0:is>
          <ns0:t>範囲内なし</ns0:t>
        </ns0:is>
      </ns0:c>
      <ns0:c r="M1579" s="7" t="n">
        <ns0:v>-49914.80208926462</ns0:v>
      </ns0:c>
      <ns0:c r="N1579" s="7" t="n">
        <ns0:v>-39222.53701517823</ns0:v>
      </ns0:c>
      <ns0:c r="O1579" s="7" t="n">
        <ns0:v>-26410.24690980275</ns0:v>
      </ns0:c>
      <ns0:c r="P1579" s="7" t="n">
        <ns0:v>1690.440806702303</ns0:v>
      </ns0:c>
      <ns0:c r="Q1579" s="7" t="n">
        <ns0:v>72093.19167272246</ns0:v>
      </ns0:c>
      <ns0:c r="R1579" s="7" t="n">
        <ns0:v>395502.819703793</ns0:v>
      </ns0:c>
    </ns0:row>
    <ns0:row r="1580" ht="24" customHeight="1">
      <ns0:c r="A1580" s="3" t="inlineStr">
        <ns0:is>
          <ns0:t>混在40/30/30</ns0:t>
        </ns0:is>
      </ns0:c>
      <ns0:c r="B1580" s="3" t="inlineStr">
        <ns0:is>
          <ns0:t>G2二段階</ns0:t>
        </ns0:is>
      </ns0:c>
      <ns0:c r="C1580" s="3" t="inlineStr">
        <ns0:is>
          <ns0:t>C</ns0:t>
        </ns0:is>
      </ns0:c>
      <ns0:c r="D1580" s="4" t="n">
        <ns0:v>1</ns0:v>
      </ns0:c>
      <ns0:c r="E1580" s="4" t="n">
        <ns0:v>500</ns0:v>
      </ns0:c>
      <ns0:c r="F1580" s="6" t="n">
        <ns0:v>0.3</ns0:v>
      </ns0:c>
      <ns0:c r="G1580" s="4" t="n">
        <ns0:v>0</ns0:v>
      </ns0:c>
      <ns0:c r="H1580" s="7" t="n">
        <ns0:v>5344.626484377193</ns0:v>
      </ns0:c>
      <ns0:c r="I1580" s="7" t="n">
        <ns0:v>2663.319390247326</ns0:v>
      </ns0:c>
      <ns0:c r="J1580" s="7" t="n">
        <ns0:v>798.9958170741978</ns0:v>
      </ns0:c>
      <ns0:c r="K1580" s="7" t="n">
        <ns0:v>21</ns0:v>
      </ns0:c>
      <ns0:c r="L1580" s="7" t="n">
        <ns0:v>36</ns0:v>
      </ns0:c>
      <ns0:c r="M1580" s="7" t="n">
        <ns0:v>-25457.62964608335</ns0:v>
      </ns0:c>
      <ns0:c r="N1580" s="7" t="n">
        <ns0:v>26859.48310766162</ns0:v>
      </ns0:c>
      <ns0:c r="O1580" s="7" t="n">
        <ns0:v>81106.42826364125</ns0:v>
      </ns0:c>
      <ns0:c r="P1580" s="7" t="n">
        <ns0:v>216723.7911535903</ns0:v>
      </ns0:c>
      <ns0:c r="Q1580" s="7" t="n">
        <ns0:v>717193.2427133867</ns0:v>
      </ns0:c>
      <ns0:c r="R1580" s="7" t="n">
        <ns0:v>2545836.323172674</ns0:v>
      </ns0:c>
    </ns0:row>
    <ns0:row r="1581" ht="24" customHeight="1">
      <ns0:c r="A1581" s="3" t="inlineStr">
        <ns0:is>
          <ns0:t>混在40/30/30</ns0:t>
        </ns0:is>
      </ns0:c>
      <ns0:c r="B1581" s="3" t="inlineStr">
        <ns0:is>
          <ns0:t>G2二段階</ns0:t>
        </ns0:is>
      </ns0:c>
      <ns0:c r="C1581" s="3" t="inlineStr">
        <ns0:is>
          <ns0:t>C</ns0:t>
        </ns0:is>
      </ns0:c>
      <ns0:c r="D1581" s="4" t="n">
        <ns0:v>1</ns0:v>
      </ns0:c>
      <ns0:c r="E1581" s="4" t="n">
        <ns0:v>500</ns0:v>
      </ns0:c>
      <ns0:c r="F1581" s="6" t="n">
        <ns0:v>0.3</ns0:v>
      </ns0:c>
      <ns0:c r="G1581" s="4" t="n">
        <ns0:v>1</ns0:v>
      </ns0:c>
      <ns0:c r="H1581" s="7" t="n">
        <ns0:v>5344.626484377193</ns0:v>
      </ns0:c>
      <ns0:c r="I1581" s="7" t="n">
        <ns0:v>2663.319390247326</ns0:v>
      </ns0:c>
      <ns0:c r="J1581" s="7" t="n">
        <ns0:v>798.9958170741978</ns0:v>
      </ns0:c>
      <ns0:c r="K1581" s="7" t="n">
        <ns0:v>23</ns0:v>
      </ns0:c>
      <ns0:c r="L1581" s="7" t="n">
        <ns0:v>49</ns0:v>
      </ns0:c>
      <ns0:c r="M1581" s="7" t="n">
        <ns0:v>-28026.84771404762</ns0:v>
      </ns0:c>
      <ns0:c r="N1581" s="7" t="n">
        <ns0:v>19151.82890376881</ns0:v>
      </ns0:c>
      <ns0:c r="O1581" s="7" t="n">
        <ns0:v>68260.3379238199</ns0:v>
      </ns0:c>
      <ns0:c r="P1581" s="7" t="n">
        <ns0:v>191031.6104739476</ns0:v>
      </ns0:c>
      <ns0:c r="Q1581" s="7" t="n">
        <ns0:v>640116.7006744584</ns0:v>
      </ns0:c>
      <ns0:c r="R1581" s="7" t="n">
        <ns0:v>2288914.516376247</ns0:v>
      </ns0:c>
    </ns0:row>
    <ns0:row r="1582" ht="24" customHeight="1">
      <ns0:c r="A1582" s="3" t="inlineStr">
        <ns0:is>
          <ns0:t>混在40/30/30</ns0:t>
        </ns0:is>
      </ns0:c>
      <ns0:c r="B1582" s="3" t="inlineStr">
        <ns0:is>
          <ns0:t>G2二段階</ns0:t>
        </ns0:is>
      </ns0:c>
      <ns0:c r="C1582" s="3" t="inlineStr">
        <ns0:is>
          <ns0:t>C</ns0:t>
        </ns0:is>
      </ns0:c>
      <ns0:c r="D1582" s="4" t="n">
        <ns0:v>1</ns0:v>
      </ns0:c>
      <ns0:c r="E1582" s="4" t="n">
        <ns0:v>500</ns0:v>
      </ns0:c>
      <ns0:c r="F1582" s="6" t="n">
        <ns0:v>0.3</ns0:v>
      </ns0:c>
      <ns0:c r="G1582" s="4" t="n">
        <ns0:v>2</ns0:v>
      </ns0:c>
      <ns0:c r="H1582" s="7" t="n">
        <ns0:v>5344.626484377193</ns0:v>
      </ns0:c>
      <ns0:c r="I1582" s="7" t="n">
        <ns0:v>2663.319390247326</ns0:v>
      </ns0:c>
      <ns0:c r="J1582" s="7" t="n">
        <ns0:v>798.9958170741978</ns0:v>
      </ns0:c>
      <ns0:c r="K1582" s="7" t="n">
        <ns0:v>291</ns0:v>
      </ns0:c>
      <ns0:c r="L1582" s="18" t="inlineStr">
        <ns0:is>
          <ns0:t>範囲内なし</ns0:t>
        </ns0:is>
      </ns0:c>
      <ns0:c r="M1582" s="7" t="n">
        <ns0:v>-49258.68624538872</ns0:v>
      </ns0:c>
      <ns0:c r="N1582" s="7" t="n">
        <ns0:v>-44543.68669025445</ns0:v>
      </ns0:c>
      <ns0:c r="O1582" s="7" t="n">
        <ns0:v>-37898.85473288555</ns0:v>
      </ns0:c>
      <ns0:c r="P1582" s="7" t="n">
        <ns0:v>-21286.77483946329</ns0:v>
      </ns0:c>
      <ns0:c r="Q1582" s="7" t="n">
        <ns0:v>3161.544734225783</ns0:v>
      </ns0:c>
      <ns0:c r="R1582" s="7" t="n">
        <ns0:v>165730.6632421382</ns0:v>
      </ns0:c>
    </ns0:row>
    <ns0:row r="1583" ht="24" customHeight="1">
      <ns0:c r="A1583" s="3" t="inlineStr">
        <ns0:is>
          <ns0:t>混在40/30/30</ns0:t>
        </ns0:is>
      </ns0:c>
      <ns0:c r="B1583" s="3" t="inlineStr">
        <ns0:is>
          <ns0:t>G2二段階</ns0:t>
        </ns0:is>
      </ns0:c>
      <ns0:c r="C1583" s="3" t="inlineStr">
        <ns0:is>
          <ns0:t>C</ns0:t>
        </ns0:is>
      </ns0:c>
      <ns0:c r="D1583" s="4" t="n">
        <ns0:v>1</ns0:v>
      </ns0:c>
      <ns0:c r="E1583" s="4" t="n">
        <ns0:v>500</ns0:v>
      </ns0:c>
      <ns0:c r="F1583" s="6" t="n">
        <ns0:v>0.3</ns0:v>
      </ns0:c>
      <ns0:c r="G1583" s="4" t="n">
        <ns0:v>3</ns0:v>
      </ns0:c>
      <ns0:c r="H1583" s="7" t="n">
        <ns0:v>5344.626484377193</ns0:v>
      </ns0:c>
      <ns0:c r="I1583" s="7" t="n">
        <ns0:v>2663.319390247326</ns0:v>
      </ns0:c>
      <ns0:c r="J1583" s="7" t="n">
        <ns0:v>798.9958170741978</ns0:v>
      </ns0:c>
      <ns0:c r="K1583" s="7" t="n">
        <ns0:v>29</ns0:v>
      </ns0:c>
      <ns0:c r="L1583" s="7" t="n">
        <ns0:v>389</ns0:v>
      </ns0:c>
      <ns0:c r="M1583" s="7" t="n">
        <ns0:v>-33667.59514230142</ns0:v>
      </ns0:c>
      <ns0:c r="N1583" s="7" t="n">
        <ns0:v>2229.586619007412</ns0:v>
      </ns0:c>
      <ns0:c r="O1583" s="7" t="n">
        <ns0:v>40056.6007825509</ns0:v>
      </ns0:c>
      <ns0:c r="P1583" s="7" t="n">
        <ns0:v>134624.1361914096</ns0:v>
      </ns0:c>
      <ns0:c r="Q1583" s="7" t="n">
        <ns0:v>470894.2778268445</ns0:v>
      </ns0:c>
      <ns0:c r="R1583" s="7" t="n">
        <ns0:v>1724839.773550867</ns0:v>
      </ns0:c>
    </ns0:row>
    <ns0:row r="1584" ht="24" customHeight="1">
      <ns0:c r="A1584" s="3" t="inlineStr">
        <ns0:is>
          <ns0:t>混在40/30/30</ns0:t>
        </ns0:is>
      </ns0:c>
      <ns0:c r="B1584" s="3" t="inlineStr">
        <ns0:is>
          <ns0:t>G2二段階</ns0:t>
        </ns0:is>
      </ns0:c>
      <ns0:c r="C1584" s="3" t="inlineStr">
        <ns0:is>
          <ns0:t>C</ns0:t>
        </ns0:is>
      </ns0:c>
      <ns0:c r="D1584" s="4" t="n">
        <ns0:v>1</ns0:v>
      </ns0:c>
      <ns0:c r="E1584" s="4" t="n">
        <ns0:v>500</ns0:v>
      </ns0:c>
      <ns0:c r="F1584" s="6" t="n">
        <ns0:v>0.4</ns0:v>
      </ns0:c>
      <ns0:c r="G1584" s="4" t="n">
        <ns0:v>0</ns0:v>
      </ns0:c>
      <ns0:c r="H1584" s="7" t="n">
        <ns0:v>5344.626484377193</ns0:v>
      </ns0:c>
      <ns0:c r="I1584" s="7" t="n">
        <ns0:v>2663.319390247326</ns0:v>
      </ns0:c>
      <ns0:c r="J1584" s="7" t="n">
        <ns0:v>1065.32775609893</ns0:v>
      </ns0:c>
      <ns0:c r="K1584" s="7" t="n">
        <ns0:v>23</ns0:v>
      </ns0:c>
      <ns0:c r="L1584" s="7" t="n">
        <ns0:v>39</ns0:v>
      </ns0:c>
      <ns0:c r="M1584" s="7" t="n">
        <ns0:v>-28120.94903633068</ns0:v>
      </ns0:c>
      <ns0:c r="N1584" s="7" t="n">
        <ns0:v>18869.52493691965</ns0:v>
      </ns0:c>
      <ns0:c r="O1584" s="7" t="n">
        <ns0:v>67789.83131240463</ns0:v>
      </ns0:c>
      <ns0:c r="P1584" s="7" t="n">
        <ns0:v>190090.5972511171</ns0:v>
      </ns0:c>
      <ns0:c r="Q1584" s="7" t="n">
        <ns0:v>637293.6610059668</ns0:v>
      </ns0:c>
      <ns0:c r="R1584" s="7" t="n">
        <ns0:v>2279504.384147942</ns0:v>
      </ns0:c>
    </ns0:row>
    <ns0:row r="1585" ht="24" customHeight="1">
      <ns0:c r="A1585" s="3" t="inlineStr">
        <ns0:is>
          <ns0:t>混在40/30/30</ns0:t>
        </ns0:is>
      </ns0:c>
      <ns0:c r="B1585" s="3" t="inlineStr">
        <ns0:is>
          <ns0:t>G2二段階</ns0:t>
        </ns0:is>
      </ns0:c>
      <ns0:c r="C1585" s="3" t="inlineStr">
        <ns0:is>
          <ns0:t>C</ns0:t>
        </ns0:is>
      </ns0:c>
      <ns0:c r="D1585" s="4" t="n">
        <ns0:v>1</ns0:v>
      </ns0:c>
      <ns0:c r="E1585" s="4" t="n">
        <ns0:v>500</ns0:v>
      </ns0:c>
      <ns0:c r="F1585" s="6" t="n">
        <ns0:v>0.4</ns0:v>
      </ns0:c>
      <ns0:c r="G1585" s="4" t="n">
        <ns0:v>1</ns0:v>
      </ns0:c>
      <ns0:c r="H1585" s="7" t="n">
        <ns0:v>5344.626484377193</ns0:v>
      </ns0:c>
      <ns0:c r="I1585" s="7" t="n">
        <ns0:v>2663.319390247326</ns0:v>
      </ns0:c>
      <ns0:c r="J1585" s="7" t="n">
        <ns0:v>1065.32775609893</ns0:v>
      </ns0:c>
      <ns0:c r="K1585" s="7" t="n">
        <ns0:v>25</ns0:v>
      </ns0:c>
      <ns0:c r="L1585" s="7" t="n">
        <ns0:v>55</ns0:v>
      </ns0:c>
      <ns0:c r="M1585" s="7" t="n">
        <ns0:v>-30690.16710429495</ns0:v>
      </ns0:c>
      <ns0:c r="N1585" s="7" t="n">
        <ns0:v>11161.87073302684</ns0:v>
      </ns0:c>
      <ns0:c r="O1585" s="7" t="n">
        <ns0:v>54943.74097258327</ns0:v>
      </ns0:c>
      <ns0:c r="P1585" s="7" t="n">
        <ns0:v>164398.4165714743</ns0:v>
      </ns0:c>
      <ns0:c r="Q1585" s="7" t="n">
        <ns0:v>560217.1189670387</ns0:v>
      </ns0:c>
      <ns0:c r="R1585" s="7" t="n">
        <ns0:v>2022582.577351514</ns0:v>
      </ns0:c>
    </ns0:row>
    <ns0:row r="1586" ht="24" customHeight="1">
      <ns0:c r="A1586" s="3" t="inlineStr">
        <ns0:is>
          <ns0:t>混在40/30/30</ns0:t>
        </ns0:is>
      </ns0:c>
      <ns0:c r="B1586" s="3" t="inlineStr">
        <ns0:is>
          <ns0:t>G2二段階</ns0:t>
        </ns0:is>
      </ns0:c>
      <ns0:c r="C1586" s="3" t="inlineStr">
        <ns0:is>
          <ns0:t>C</ns0:t>
        </ns0:is>
      </ns0:c>
      <ns0:c r="D1586" s="4" t="n">
        <ns0:v>1</ns0:v>
      </ns0:c>
      <ns0:c r="E1586" s="4" t="n">
        <ns0:v>500</ns0:v>
      </ns0:c>
      <ns0:c r="F1586" s="6" t="n">
        <ns0:v>0.4</ns0:v>
      </ns0:c>
      <ns0:c r="G1586" s="4" t="n">
        <ns0:v>2</ns0:v>
      </ns0:c>
      <ns0:c r="H1586" s="7" t="n">
        <ns0:v>5344.626484377193</ns0:v>
      </ns0:c>
      <ns0:c r="I1586" s="7" t="n">
        <ns0:v>2663.319390247326</ns0:v>
      </ns0:c>
      <ns0:c r="J1586" s="7" t="n">
        <ns0:v>1065.32775609893</ns0:v>
      </ns0:c>
      <ns0:c r="K1586" s="18" t="inlineStr">
        <ns0:is>
          <ns0:t>範囲内なし</ns0:t>
        </ns0:is>
      </ns0:c>
      <ns0:c r="L1586" s="18" t="inlineStr">
        <ns0:is>
          <ns0:t>範囲内なし</ns0:t>
        </ns0:is>
      </ns0:c>
      <ns0:c r="M1586" s="7" t="n">
        <ns0:v>-51922.00563563604</ns0:v>
      </ns0:c>
      <ns0:c r="N1586" s="7" t="n">
        <ns0:v>-52533.64486099644</ns0:v>
      </ns0:c>
      <ns0:c r="O1586" s="7" t="n">
        <ns0:v>-51215.45168412218</ns0:v>
      </ns0:c>
      <ns0:c r="P1586" s="7" t="n">
        <ns0:v>-47919.96874193655</ns0:v>
      </ns0:c>
      <ns0:c r="Q1586" s="7" t="n">
        <ns0:v>-76738.03697319399</ns0:v>
      </ns0:c>
      <ns0:c r="R1586" s="7" t="n">
        <ns0:v>-100601.2757825945</ns0:v>
      </ns0:c>
    </ns0:row>
    <ns0:row r="1587" ht="24" customHeight="1">
      <ns0:c r="A1587" s="3" t="inlineStr">
        <ns0:is>
          <ns0:t>混在40/30/30</ns0:t>
        </ns0:is>
      </ns0:c>
      <ns0:c r="B1587" s="3" t="inlineStr">
        <ns0:is>
          <ns0:t>G2二段階</ns0:t>
        </ns0:is>
      </ns0:c>
      <ns0:c r="C1587" s="3" t="inlineStr">
        <ns0:is>
          <ns0:t>C</ns0:t>
        </ns0:is>
      </ns0:c>
      <ns0:c r="D1587" s="4" t="n">
        <ns0:v>1</ns0:v>
      </ns0:c>
      <ns0:c r="E1587" s="4" t="n">
        <ns0:v>500</ns0:v>
      </ns0:c>
      <ns0:c r="F1587" s="6" t="n">
        <ns0:v>0.4</ns0:v>
      </ns0:c>
      <ns0:c r="G1587" s="4" t="n">
        <ns0:v>3</ns0:v>
      </ns0:c>
      <ns0:c r="H1587" s="7" t="n">
        <ns0:v>5344.626484377193</ns0:v>
      </ns0:c>
      <ns0:c r="I1587" s="7" t="n">
        <ns0:v>2663.319390247326</ns0:v>
      </ns0:c>
      <ns0:c r="J1587" s="7" t="n">
        <ns0:v>1065.32775609893</ns0:v>
      </ns0:c>
      <ns0:c r="K1587" s="7" t="n">
        <ns0:v>34</ns0:v>
      </ns0:c>
      <ns0:c r="L1587" s="18" t="inlineStr">
        <ns0:is>
          <ns0:t>範囲内なし</ns0:t>
        </ns0:is>
      </ns0:c>
      <ns0:c r="M1587" s="7" t="n">
        <ns0:v>-36330.91453254875</ns0:v>
      </ns0:c>
      <ns0:c r="N1587" s="7" t="n">
        <ns0:v>-5760.371551734563</ns0:v>
      </ns0:c>
      <ns0:c r="O1587" s="7" t="n">
        <ns0:v>26740.00383131428</ns0:v>
      </ns0:c>
      <ns0:c r="P1587" s="7" t="n">
        <ns0:v>107990.9422889364</ns0:v>
      </ns0:c>
      <ns0:c r="Q1587" s="7" t="n">
        <ns0:v>390994.6961194247</ns0:v>
      </ns0:c>
      <ns0:c r="R1587" s="7" t="n">
        <ns0:v>1458507.834526134</ns0:v>
      </ns0:c>
    </ns0:row>
    <ns0:row r="1588" ht="24" customHeight="1">
      <ns0:c r="A1588" s="3" t="inlineStr">
        <ns0:is>
          <ns0:t>混在40/30/30</ns0:t>
        </ns0:is>
      </ns0:c>
      <ns0:c r="B1588" s="3" t="inlineStr">
        <ns0:is>
          <ns0:t>G2二段階</ns0:t>
        </ns0:is>
      </ns0:c>
      <ns0:c r="C1588" s="3" t="inlineStr">
        <ns0:is>
          <ns0:t>C</ns0:t>
        </ns0:is>
      </ns0:c>
      <ns0:c r="D1588" s="4" t="n">
        <ns0:v>1</ns0:v>
      </ns0:c>
      <ns0:c r="E1588" s="4" t="n">
        <ns0:v>500</ns0:v>
      </ns0:c>
      <ns0:c r="F1588" s="6" t="n">
        <ns0:v>0.5</ns0:v>
      </ns0:c>
      <ns0:c r="G1588" s="4" t="n">
        <ns0:v>0</ns0:v>
      </ns0:c>
      <ns0:c r="H1588" s="7" t="n">
        <ns0:v>5344.626484377193</ns0:v>
      </ns0:c>
      <ns0:c r="I1588" s="7" t="n">
        <ns0:v>2663.319390247326</ns0:v>
      </ns0:c>
      <ns0:c r="J1588" s="7" t="n">
        <ns0:v>1331.659695123663</ns0:v>
      </ns0:c>
      <ns0:c r="K1588" s="7" t="n">
        <ns0:v>26</ns0:v>
      </ns0:c>
      <ns0:c r="L1588" s="7" t="n">
        <ns0:v>43</ns0:v>
      </ns0:c>
      <ns0:c r="M1588" s="7" t="n">
        <ns0:v>-30784.26842657801</ns0:v>
      </ns0:c>
      <ns0:c r="N1588" s="7" t="n">
        <ns0:v>10879.56676617768</ns0:v>
      </ns0:c>
      <ns0:c r="O1588" s="7" t="n">
        <ns0:v>54473.23436116801</ns0:v>
      </ns0:c>
      <ns0:c r="P1588" s="7" t="n">
        <ns0:v>163457.4033486438</ns0:v>
      </ns0:c>
      <ns0:c r="Q1588" s="7" t="n">
        <ns0:v>557394.0792985471</ns0:v>
      </ns0:c>
      <ns0:c r="R1588" s="7" t="n">
        <ns0:v>2013172.445123209</ns0:v>
      </ns0:c>
    </ns0:row>
    <ns0:row r="1589" ht="24" customHeight="1">
      <ns0:c r="A1589" s="3" t="inlineStr">
        <ns0:is>
          <ns0:t>混在40/30/30</ns0:t>
        </ns0:is>
      </ns0:c>
      <ns0:c r="B1589" s="3" t="inlineStr">
        <ns0:is>
          <ns0:t>G2二段階</ns0:t>
        </ns0:is>
      </ns0:c>
      <ns0:c r="C1589" s="3" t="inlineStr">
        <ns0:is>
          <ns0:t>C</ns0:t>
        </ns0:is>
      </ns0:c>
      <ns0:c r="D1589" s="4" t="n">
        <ns0:v>1</ns0:v>
      </ns0:c>
      <ns0:c r="E1589" s="4" t="n">
        <ns0:v>500</ns0:v>
      </ns0:c>
      <ns0:c r="F1589" s="6" t="n">
        <ns0:v>0.5</ns0:v>
      </ns0:c>
      <ns0:c r="G1589" s="4" t="n">
        <ns0:v>1</ns0:v>
      </ns0:c>
      <ns0:c r="H1589" s="7" t="n">
        <ns0:v>5344.626484377193</ns0:v>
      </ns0:c>
      <ns0:c r="I1589" s="7" t="n">
        <ns0:v>2663.319390247326</ns0:v>
      </ns0:c>
      <ns0:c r="J1589" s="7" t="n">
        <ns0:v>1331.659695123663</ns0:v>
      </ns0:c>
      <ns0:c r="K1589" s="7" t="n">
        <ns0:v>29</ns0:v>
      </ns0:c>
      <ns0:c r="L1589" s="7" t="n">
        <ns0:v>62</ns0:v>
      </ns0:c>
      <ns0:c r="M1589" s="7" t="n">
        <ns0:v>-33353.48649454227</ns0:v>
      </ns0:c>
      <ns0:c r="N1589" s="7" t="n">
        <ns0:v>3171.912562284866</ns0:v>
      </ns0:c>
      <ns0:c r="O1589" s="7" t="n">
        <ns0:v>41627.14402134666</ns0:v>
      </ns0:c>
      <ns0:c r="P1589" s="7" t="n">
        <ns0:v>137765.2226690011</ns0:v>
      </ns0:c>
      <ns0:c r="Q1589" s="7" t="n">
        <ns0:v>480317.537259619</ns0:v>
      </ns0:c>
      <ns0:c r="R1589" s="7" t="n">
        <ns0:v>1756250.638326782</ns0:v>
      </ns0:c>
    </ns0:row>
    <ns0:row r="1590" ht="24" customHeight="1">
      <ns0:c r="A1590" s="3" t="inlineStr">
        <ns0:is>
          <ns0:t>混在40/30/30</ns0:t>
        </ns0:is>
      </ns0:c>
      <ns0:c r="B1590" s="3" t="inlineStr">
        <ns0:is>
          <ns0:t>G2二段階</ns0:t>
        </ns0:is>
      </ns0:c>
      <ns0:c r="C1590" s="3" t="inlineStr">
        <ns0:is>
          <ns0:t>C</ns0:t>
        </ns0:is>
      </ns0:c>
      <ns0:c r="D1590" s="4" t="n">
        <ns0:v>1</ns0:v>
      </ns0:c>
      <ns0:c r="E1590" s="4" t="n">
        <ns0:v>500</ns0:v>
      </ns0:c>
      <ns0:c r="F1590" s="6" t="n">
        <ns0:v>0.5</ns0:v>
      </ns0:c>
      <ns0:c r="G1590" s="4" t="n">
        <ns0:v>2</ns0:v>
      </ns0:c>
      <ns0:c r="H1590" s="7" t="n">
        <ns0:v>5344.626484377193</ns0:v>
      </ns0:c>
      <ns0:c r="I1590" s="7" t="n">
        <ns0:v>2663.319390247326</ns0:v>
      </ns0:c>
      <ns0:c r="J1590" s="7" t="n">
        <ns0:v>1331.659695123663</ns0:v>
      </ns0:c>
      <ns0:c r="K1590" s="18" t="inlineStr">
        <ns0:is>
          <ns0:t>範囲内なし</ns0:t>
        </ns0:is>
      </ns0:c>
      <ns0:c r="L1590" s="18" t="inlineStr">
        <ns0:is>
          <ns0:t>範囲内なし</ns0:t>
        </ns0:is>
      </ns0:c>
      <ns0:c r="M1590" s="7" t="n">
        <ns0:v>-54585.32502588337</ns0:v>
      </ns0:c>
      <ns0:c r="N1590" s="7" t="n">
        <ns0:v>-60523.60303173841</ns0:v>
      </ns0:c>
      <ns0:c r="O1590" s="7" t="n">
        <ns0:v>-64532.04863535878</ns0:v>
      </ns0:c>
      <ns0:c r="P1590" s="7" t="n">
        <ns0:v>-74553.16264440979</ns0:v>
      </ns0:c>
      <ns0:c r="Q1590" s="7" t="n">
        <ns0:v>-156637.6186806137</ns0:v>
      </ns0:c>
      <ns0:c r="R1590" s="7" t="n">
        <ns0:v>-366933.2148073271</ns0:v>
      </ns0:c>
    </ns0:row>
    <ns0:row r="1591" ht="24" customHeight="1">
      <ns0:c r="A1591" s="3" t="inlineStr">
        <ns0:is>
          <ns0:t>混在40/30/30</ns0:t>
        </ns0:is>
      </ns0:c>
      <ns0:c r="B1591" s="3" t="inlineStr">
        <ns0:is>
          <ns0:t>G2二段階</ns0:t>
        </ns0:is>
      </ns0:c>
      <ns0:c r="C1591" s="3" t="inlineStr">
        <ns0:is>
          <ns0:t>C</ns0:t>
        </ns0:is>
      </ns0:c>
      <ns0:c r="D1591" s="4" t="n">
        <ns0:v>1</ns0:v>
      </ns0:c>
      <ns0:c r="E1591" s="4" t="n">
        <ns0:v>500</ns0:v>
      </ns0:c>
      <ns0:c r="F1591" s="6" t="n">
        <ns0:v>0.5</ns0:v>
      </ns0:c>
      <ns0:c r="G1591" s="4" t="n">
        <ns0:v>3</ns0:v>
      </ns0:c>
      <ns0:c r="H1591" s="7" t="n">
        <ns0:v>5344.626484377193</ns0:v>
      </ns0:c>
      <ns0:c r="I1591" s="7" t="n">
        <ns0:v>2663.319390247326</ns0:v>
      </ns0:c>
      <ns0:c r="J1591" s="7" t="n">
        <ns0:v>1331.659695123663</ns0:v>
      </ns0:c>
      <ns0:c r="K1591" s="7" t="n">
        <ns0:v>41</ns0:v>
      </ns0:c>
      <ns0:c r="L1591" s="18" t="inlineStr">
        <ns0:is>
          <ns0:t>範囲内なし</ns0:t>
        </ns0:is>
      </ns0:c>
      <ns0:c r="M1591" s="7" t="n">
        <ns0:v>-38994.23392279608</ns0:v>
      </ns0:c>
      <ns0:c r="N1591" s="7" t="n">
        <ns0:v>-13750.32972247653</ns0:v>
      </ns0:c>
      <ns0:c r="O1591" s="7" t="n">
        <ns0:v>13423.40688007765</ns0:v>
      </ns0:c>
      <ns0:c r="P1591" s="7" t="n">
        <ns0:v>81357.74838646309</ns0:v>
      </ns0:c>
      <ns0:c r="Q1591" s="7" t="n">
        <ns0:v>311095.114412005</ns0:v>
      </ns0:c>
      <ns0:c r="R1591" s="7" t="n">
        <ns0:v>1192175.895501402</ns0:v>
      </ns0:c>
    </ns0:row>
    <ns0:row r="1592" ht="24" customHeight="1">
      <ns0:c r="A1592" s="3" t="inlineStr">
        <ns0:is>
          <ns0:t>混在40/30/30</ns0:t>
        </ns0:is>
      </ns0:c>
      <ns0:c r="B1592" s="3" t="inlineStr">
        <ns0:is>
          <ns0:t>G2二段階</ns0:t>
        </ns0:is>
      </ns0:c>
      <ns0:c r="C1592" s="3" t="inlineStr">
        <ns0:is>
          <ns0:t>C</ns0:t>
        </ns0:is>
      </ns0:c>
      <ns0:c r="D1592" s="4" t="n">
        <ns0:v>1</ns0:v>
      </ns0:c>
      <ns0:c r="E1592" s="4" t="n">
        <ns0:v>1000</ns0:v>
      </ns0:c>
      <ns0:c r="F1592" s="6" t="n">
        <ns0:v>0.3</ns0:v>
      </ns0:c>
      <ns0:c r="G1592" s="4" t="n">
        <ns0:v>0</ns0:v>
      </ns0:c>
      <ns0:c r="H1592" s="7" t="n">
        <ns0:v>5194.626484377192</ns0:v>
      </ns0:c>
      <ns0:c r="I1592" s="7" t="n">
        <ns0:v>2513.319390247326</ns0:v>
      </ns0:c>
      <ns0:c r="J1592" s="7" t="n">
        <ns0:v>753.9958170741977</ns0:v>
      </ns0:c>
      <ns0:c r="K1592" s="7" t="n">
        <ns0:v>22</ns0:v>
      </ns0:c>
      <ns0:c r="L1592" s="7" t="n">
        <ns0:v>37</ns0:v>
      </ns0:c>
      <ns0:c r="M1592" s="7" t="n">
        <ns0:v>-26453.62964608335</ns0:v>
      </ns0:c>
      <ns0:c r="N1592" s="7" t="n">
        <ns0:v>23871.48310766164</ns0:v>
      </ns0:c>
      <ns0:c r="O1592" s="7" t="n">
        <ns0:v>76126.42826364124</ns0:v>
      </ns0:c>
      <ns0:c r="P1592" s="7" t="n">
        <ns0:v>206763.7911535903</ns0:v>
      </ns0:c>
      <ns0:c r="Q1592" s="7" t="n">
        <ns0:v>687313.2427133864</ns0:v>
      </ns0:c>
      <ns0:c r="R1592" s="7" t="n">
        <ns0:v>2446236.323172673</ns0:v>
      </ns0:c>
    </ns0:row>
    <ns0:row r="1593" ht="24" customHeight="1">
      <ns0:c r="A1593" s="3" t="inlineStr">
        <ns0:is>
          <ns0:t>混在40/30/30</ns0:t>
        </ns0:is>
      </ns0:c>
      <ns0:c r="B1593" s="3" t="inlineStr">
        <ns0:is>
          <ns0:t>G2二段階</ns0:t>
        </ns0:is>
      </ns0:c>
      <ns0:c r="C1593" s="3" t="inlineStr">
        <ns0:is>
          <ns0:t>C</ns0:t>
        </ns0:is>
      </ns0:c>
      <ns0:c r="D1593" s="4" t="n">
        <ns0:v>1</ns0:v>
      </ns0:c>
      <ns0:c r="E1593" s="4" t="n">
        <ns0:v>1000</ns0:v>
      </ns0:c>
      <ns0:c r="F1593" s="6" t="n">
        <ns0:v>0.3</ns0:v>
      </ns0:c>
      <ns0:c r="G1593" s="4" t="n">
        <ns0:v>1</ns0:v>
      </ns0:c>
      <ns0:c r="H1593" s="7" t="n">
        <ns0:v>5194.626484377192</ns0:v>
      </ns0:c>
      <ns0:c r="I1593" s="7" t="n">
        <ns0:v>2513.319390247326</ns0:v>
      </ns0:c>
      <ns0:c r="J1593" s="7" t="n">
        <ns0:v>753.9958170741977</ns0:v>
      </ns0:c>
      <ns0:c r="K1593" s="7" t="n">
        <ns0:v>24</ns0:v>
      </ns0:c>
      <ns0:c r="L1593" s="7" t="n">
        <ns0:v>51</ns0:v>
      </ns0:c>
      <ns0:c r="M1593" s="7" t="n">
        <ns0:v>-29022.84771404762</ns0:v>
      </ns0:c>
      <ns0:c r="N1593" s="7" t="n">
        <ns0:v>16163.82890376882</ns0:v>
      </ns0:c>
      <ns0:c r="O1593" s="7" t="n">
        <ns0:v>63280.33792381988</ns0:v>
      </ns0:c>
      <ns0:c r="P1593" s="7" t="n">
        <ns0:v>181071.6104739476</ns0:v>
      </ns0:c>
      <ns0:c r="Q1593" s="7" t="n">
        <ns0:v>610236.7006744583</ns0:v>
      </ns0:c>
      <ns0:c r="R1593" s="7" t="n">
        <ns0:v>2189314.516376246</ns0:v>
      </ns0:c>
    </ns0:row>
    <ns0:row r="1594" ht="24" customHeight="1">
      <ns0:c r="A1594" s="3" t="inlineStr">
        <ns0:is>
          <ns0:t>混在40/30/30</ns0:t>
        </ns0:is>
      </ns0:c>
      <ns0:c r="B1594" s="3" t="inlineStr">
        <ns0:is>
          <ns0:t>G2二段階</ns0:t>
        </ns0:is>
      </ns0:c>
      <ns0:c r="C1594" s="3" t="inlineStr">
        <ns0:is>
          <ns0:t>C</ns0:t>
        </ns0:is>
      </ns0:c>
      <ns0:c r="D1594" s="4" t="n">
        <ns0:v>1</ns0:v>
      </ns0:c>
      <ns0:c r="E1594" s="4" t="n">
        <ns0:v>1000</ns0:v>
      </ns0:c>
      <ns0:c r="F1594" s="6" t="n">
        <ns0:v>0.3</ns0:v>
      </ns0:c>
      <ns0:c r="G1594" s="4" t="n">
        <ns0:v>2</ns0:v>
      </ns0:c>
      <ns0:c r="H1594" s="7" t="n">
        <ns0:v>5194.626484377192</ns0:v>
      </ns0:c>
      <ns0:c r="I1594" s="7" t="n">
        <ns0:v>2513.319390247326</ns0:v>
      </ns0:c>
      <ns0:c r="J1594" s="7" t="n">
        <ns0:v>753.9958170741977</ns0:v>
      </ns0:c>
      <ns0:c r="K1594" s="7" t="n">
        <ns0:v>415</ns0:v>
      </ns0:c>
      <ns0:c r="L1594" s="18" t="inlineStr">
        <ns0:is>
          <ns0:t>範囲内なし</ns0:t>
        </ns0:is>
      </ns0:c>
      <ns0:c r="M1594" s="7" t="n">
        <ns0:v>-50254.68624538872</ns0:v>
      </ns0:c>
      <ns0:c r="N1594" s="7" t="n">
        <ns0:v>-47531.68669025444</ns0:v>
      </ns0:c>
      <ns0:c r="O1594" s="7" t="n">
        <ns0:v>-42878.85473288556</ns0:v>
      </ns0:c>
      <ns0:c r="P1594" s="7" t="n">
        <ns0:v>-31246.77483946332</ns0:v>
      </ns0:c>
      <ns0:c r="Q1594" s="7" t="n">
        <ns0:v>-26718.45526577439</ns0:v>
      </ns0:c>
      <ns0:c r="R1594" s="7" t="n">
        <ns0:v>66130.66324213729</ns0:v>
      </ns0:c>
    </ns0:row>
    <ns0:row r="1595" ht="24" customHeight="1">
      <ns0:c r="A1595" s="3" t="inlineStr">
        <ns0:is>
          <ns0:t>混在40/30/30</ns0:t>
        </ns0:is>
      </ns0:c>
      <ns0:c r="B1595" s="3" t="inlineStr">
        <ns0:is>
          <ns0:t>G2二段階</ns0:t>
        </ns0:is>
      </ns0:c>
      <ns0:c r="C1595" s="3" t="inlineStr">
        <ns0:is>
          <ns0:t>C</ns0:t>
        </ns0:is>
      </ns0:c>
      <ns0:c r="D1595" s="4" t="n">
        <ns0:v>1</ns0:v>
      </ns0:c>
      <ns0:c r="E1595" s="4" t="n">
        <ns0:v>1000</ns0:v>
      </ns0:c>
      <ns0:c r="F1595" s="6" t="n">
        <ns0:v>0.3</ns0:v>
      </ns0:c>
      <ns0:c r="G1595" s="4" t="n">
        <ns0:v>3</ns0:v>
      </ns0:c>
      <ns0:c r="H1595" s="7" t="n">
        <ns0:v>5194.626484377192</ns0:v>
      </ns0:c>
      <ns0:c r="I1595" s="7" t="n">
        <ns0:v>2513.319390247326</ns0:v>
      </ns0:c>
      <ns0:c r="J1595" s="7" t="n">
        <ns0:v>753.9958170741977</ns0:v>
      </ns0:c>
      <ns0:c r="K1595" s="7" t="n">
        <ns0:v>31</ns0:v>
      </ns0:c>
      <ns0:c r="L1595" s="7" t="n">
        <ns0:v>491</ns0:v>
      </ns0:c>
      <ns0:c r="M1595" s="7" t="n">
        <ns0:v>-34663.59514230142</ns0:v>
      </ns0:c>
      <ns0:c r="N1595" s="7" t="n">
        <ns0:v>-758.4133809925806</ns0:v>
      </ns0:c>
      <ns0:c r="O1595" s="7" t="n">
        <ns0:v>35076.60078255088</ns0:v>
      </ns0:c>
      <ns0:c r="P1595" s="7" t="n">
        <ns0:v>124664.1361914096</ns0:v>
      </ns0:c>
      <ns0:c r="Q1595" s="7" t="n">
        <ns0:v>441014.2778268442</ns0:v>
      </ns0:c>
      <ns0:c r="R1595" s="7" t="n">
        <ns0:v>1625239.773550866</ns0:v>
      </ns0:c>
    </ns0:row>
    <ns0:row r="1596" ht="24" customHeight="1">
      <ns0:c r="A1596" s="3" t="inlineStr">
        <ns0:is>
          <ns0:t>混在40/30/30</ns0:t>
        </ns0:is>
      </ns0:c>
      <ns0:c r="B1596" s="3" t="inlineStr">
        <ns0:is>
          <ns0:t>G2二段階</ns0:t>
        </ns0:is>
      </ns0:c>
      <ns0:c r="C1596" s="3" t="inlineStr">
        <ns0:is>
          <ns0:t>C</ns0:t>
        </ns0:is>
      </ns0:c>
      <ns0:c r="D1596" s="4" t="n">
        <ns0:v>1</ns0:v>
      </ns0:c>
      <ns0:c r="E1596" s="4" t="n">
        <ns0:v>1000</ns0:v>
      </ns0:c>
      <ns0:c r="F1596" s="6" t="n">
        <ns0:v>0.4</ns0:v>
      </ns0:c>
      <ns0:c r="G1596" s="4" t="n">
        <ns0:v>0</ns0:v>
      </ns0:c>
      <ns0:c r="H1596" s="7" t="n">
        <ns0:v>5194.626484377192</ns0:v>
      </ns0:c>
      <ns0:c r="I1596" s="7" t="n">
        <ns0:v>2513.319390247326</ns0:v>
      </ns0:c>
      <ns0:c r="J1596" s="7" t="n">
        <ns0:v>1005.32775609893</ns0:v>
      </ns0:c>
      <ns0:c r="K1596" s="7" t="n">
        <ns0:v>24</ns0:v>
      </ns0:c>
      <ns0:c r="L1596" s="7" t="n">
        <ns0:v>40</ns0:v>
      </ns0:c>
      <ns0:c r="M1596" s="7" t="n">
        <ns0:v>-28966.94903633068</ns0:v>
      </ns0:c>
      <ns0:c r="N1596" s="7" t="n">
        <ns0:v>16331.52493691965</ns0:v>
      </ns0:c>
      <ns0:c r="O1596" s="7" t="n">
        <ns0:v>63559.8313124046</ns0:v>
      </ns0:c>
      <ns0:c r="P1596" s="7" t="n">
        <ns0:v>181630.597251117</ns0:v>
      </ns0:c>
      <ns0:c r="Q1596" s="7" t="n">
        <ns0:v>611913.6610059667</ns0:v>
      </ns0:c>
      <ns0:c r="R1596" s="7" t="n">
        <ns0:v>2194904.384147941</ns0:v>
      </ns0:c>
    </ns0:row>
    <ns0:row r="1597" ht="24" customHeight="1">
      <ns0:c r="A1597" s="3" t="inlineStr">
        <ns0:is>
          <ns0:t>混在40/30/30</ns0:t>
        </ns0:is>
      </ns0:c>
      <ns0:c r="B1597" s="3" t="inlineStr">
        <ns0:is>
          <ns0:t>G2二段階</ns0:t>
        </ns0:is>
      </ns0:c>
      <ns0:c r="C1597" s="3" t="inlineStr">
        <ns0:is>
          <ns0:t>C</ns0:t>
        </ns0:is>
      </ns0:c>
      <ns0:c r="D1597" s="4" t="n">
        <ns0:v>1</ns0:v>
      </ns0:c>
      <ns0:c r="E1597" s="4" t="n">
        <ns0:v>1000</ns0:v>
      </ns0:c>
      <ns0:c r="F1597" s="6" t="n">
        <ns0:v>0.4</ns0:v>
      </ns0:c>
      <ns0:c r="G1597" s="4" t="n">
        <ns0:v>1</ns0:v>
      </ns0:c>
      <ns0:c r="H1597" s="7" t="n">
        <ns0:v>5194.626484377192</ns0:v>
      </ns0:c>
      <ns0:c r="I1597" s="7" t="n">
        <ns0:v>2513.319390247326</ns0:v>
      </ns0:c>
      <ns0:c r="J1597" s="7" t="n">
        <ns0:v>1005.32775609893</ns0:v>
      </ns0:c>
      <ns0:c r="K1597" s="7" t="n">
        <ns0:v>26</ns0:v>
      </ns0:c>
      <ns0:c r="L1597" s="7" t="n">
        <ns0:v>57</ns0:v>
      </ns0:c>
      <ns0:c r="M1597" s="7" t="n">
        <ns0:v>-31536.16710429495</ns0:v>
      </ns0:c>
      <ns0:c r="N1597" s="7" t="n">
        <ns0:v>8623.870733026837</ns0:v>
      </ns0:c>
      <ns0:c r="O1597" s="7" t="n">
        <ns0:v>50713.74097258324</ns0:v>
      </ns0:c>
      <ns0:c r="P1597" s="7" t="n">
        <ns0:v>155938.4165714743</ns0:v>
      </ns0:c>
      <ns0:c r="Q1597" s="7" t="n">
        <ns0:v>534837.1189670386</ns0:v>
      </ns0:c>
      <ns0:c r="R1597" s="7" t="n">
        <ns0:v>1937982.577351514</ns0:v>
      </ns0:c>
    </ns0:row>
    <ns0:row r="1598" ht="24" customHeight="1">
      <ns0:c r="A1598" s="3" t="inlineStr">
        <ns0:is>
          <ns0:t>混在40/30/30</ns0:t>
        </ns0:is>
      </ns0:c>
      <ns0:c r="B1598" s="3" t="inlineStr">
        <ns0:is>
          <ns0:t>G2二段階</ns0:t>
        </ns0:is>
      </ns0:c>
      <ns0:c r="C1598" s="3" t="inlineStr">
        <ns0:is>
          <ns0:t>C</ns0:t>
        </ns0:is>
      </ns0:c>
      <ns0:c r="D1598" s="4" t="n">
        <ns0:v>1</ns0:v>
      </ns0:c>
      <ns0:c r="E1598" s="4" t="n">
        <ns0:v>1000</ns0:v>
      </ns0:c>
      <ns0:c r="F1598" s="6" t="n">
        <ns0:v>0.4</ns0:v>
      </ns0:c>
      <ns0:c r="G1598" s="4" t="n">
        <ns0:v>2</ns0:v>
      </ns0:c>
      <ns0:c r="H1598" s="7" t="n">
        <ns0:v>5194.626484377192</ns0:v>
      </ns0:c>
      <ns0:c r="I1598" s="7" t="n">
        <ns0:v>2513.319390247326</ns0:v>
      </ns0:c>
      <ns0:c r="J1598" s="7" t="n">
        <ns0:v>1005.32775609893</ns0:v>
      </ns0:c>
      <ns0:c r="K1598" s="18" t="inlineStr">
        <ns0:is>
          <ns0:t>範囲内なし</ns0:t>
        </ns0:is>
      </ns0:c>
      <ns0:c r="L1598" s="18" t="inlineStr">
        <ns0:is>
          <ns0:t>範囲内なし</ns0:t>
        </ns0:is>
      </ns0:c>
      <ns0:c r="M1598" s="7" t="n">
        <ns0:v>-52768.00563563604</ns0:v>
      </ns0:c>
      <ns0:c r="N1598" s="7" t="n">
        <ns0:v>-55071.64486099644</ns0:v>
      </ns0:c>
      <ns0:c r="O1598" s="7" t="n">
        <ns0:v>-55445.45168412221</ns0:v>
      </ns0:c>
      <ns0:c r="P1598" s="7" t="n">
        <ns0:v>-56379.96874193662</ns0:v>
      </ns0:c>
      <ns0:c r="Q1598" s="7" t="n">
        <ns0:v>-102118.0369731941</ns0:v>
      </ns0:c>
      <ns0:c r="R1598" s="7" t="n">
        <ns0:v>-185201.2757825949</ns0:v>
      </ns0:c>
    </ns0:row>
    <ns0:row r="1599" ht="24" customHeight="1">
      <ns0:c r="A1599" s="3" t="inlineStr">
        <ns0:is>
          <ns0:t>混在40/30/30</ns0:t>
        </ns0:is>
      </ns0:c>
      <ns0:c r="B1599" s="3" t="inlineStr">
        <ns0:is>
          <ns0:t>G2二段階</ns0:t>
        </ns0:is>
      </ns0:c>
      <ns0:c r="C1599" s="3" t="inlineStr">
        <ns0:is>
          <ns0:t>C</ns0:t>
        </ns0:is>
      </ns0:c>
      <ns0:c r="D1599" s="4" t="n">
        <ns0:v>1</ns0:v>
      </ns0:c>
      <ns0:c r="E1599" s="4" t="n">
        <ns0:v>1000</ns0:v>
      </ns0:c>
      <ns0:c r="F1599" s="6" t="n">
        <ns0:v>0.4</ns0:v>
      </ns0:c>
      <ns0:c r="G1599" s="4" t="n">
        <ns0:v>3</ns0:v>
      </ns0:c>
      <ns0:c r="H1599" s="7" t="n">
        <ns0:v>5194.626484377192</ns0:v>
      </ns0:c>
      <ns0:c r="I1599" s="7" t="n">
        <ns0:v>2513.319390247326</ns0:v>
      </ns0:c>
      <ns0:c r="J1599" s="7" t="n">
        <ns0:v>1005.32775609893</ns0:v>
      </ns0:c>
      <ns0:c r="K1599" s="7" t="n">
        <ns0:v>36</ns0:v>
      </ns0:c>
      <ns0:c r="L1599" s="18" t="inlineStr">
        <ns0:is>
          <ns0:t>範囲内なし</ns0:t>
        </ns0:is>
      </ns0:c>
      <ns0:c r="M1599" s="7" t="n">
        <ns0:v>-37176.91453254875</ns0:v>
      </ns0:c>
      <ns0:c r="N1599" s="7" t="n">
        <ns0:v>-8298.371551734563</ns0:v>
      </ns0:c>
      <ns0:c r="O1599" s="7" t="n">
        <ns0:v>22510.00383131424</ns0:v>
      </ns0:c>
      <ns0:c r="P1599" s="7" t="n">
        <ns0:v>99530.94228893626</ns0:v>
      </ns0:c>
      <ns0:c r="Q1599" s="7" t="n">
        <ns0:v>365614.6961194246</ns0:v>
      </ns0:c>
      <ns0:c r="R1599" s="7" t="n">
        <ns0:v>1373907.834526134</ns0:v>
      </ns0:c>
    </ns0:row>
    <ns0:row r="1600" ht="24" customHeight="1">
      <ns0:c r="A1600" s="3" t="inlineStr">
        <ns0:is>
          <ns0:t>混在40/30/30</ns0:t>
        </ns0:is>
      </ns0:c>
      <ns0:c r="B1600" s="3" t="inlineStr">
        <ns0:is>
          <ns0:t>G2二段階</ns0:t>
        </ns0:is>
      </ns0:c>
      <ns0:c r="C1600" s="3" t="inlineStr">
        <ns0:is>
          <ns0:t>C</ns0:t>
        </ns0:is>
      </ns0:c>
      <ns0:c r="D1600" s="4" t="n">
        <ns0:v>1</ns0:v>
      </ns0:c>
      <ns0:c r="E1600" s="4" t="n">
        <ns0:v>1000</ns0:v>
      </ns0:c>
      <ns0:c r="F1600" s="6" t="n">
        <ns0:v>0.5</ns0:v>
      </ns0:c>
      <ns0:c r="G1600" s="4" t="n">
        <ns0:v>0</ns0:v>
      </ns0:c>
      <ns0:c r="H1600" s="7" t="n">
        <ns0:v>5194.626484377192</ns0:v>
      </ns0:c>
      <ns0:c r="I1600" s="7" t="n">
        <ns0:v>2513.319390247326</ns0:v>
      </ns0:c>
      <ns0:c r="J1600" s="7" t="n">
        <ns0:v>1256.659695123663</ns0:v>
      </ns0:c>
      <ns0:c r="K1600" s="7" t="n">
        <ns0:v>26</ns0:v>
      </ns0:c>
      <ns0:c r="L1600" s="7" t="n">
        <ns0:v>44</ns0:v>
      </ns0:c>
      <ns0:c r="M1600" s="7" t="n">
        <ns0:v>-31480.268426578</ns0:v>
      </ns0:c>
      <ns0:c r="N1600" s="7" t="n">
        <ns0:v>8791.566766177686</ns0:v>
      </ns0:c>
      <ns0:c r="O1600" s="7" t="n">
        <ns0:v>50993.23436116798</ns0:v>
      </ns0:c>
      <ns0:c r="P1600" s="7" t="n">
        <ns0:v>156497.4033486438</ns0:v>
      </ns0:c>
      <ns0:c r="Q1600" s="7" t="n">
        <ns0:v>536514.0792985469</ns0:v>
      </ns0:c>
      <ns0:c r="R1600" s="7" t="n">
        <ns0:v>1943572.445123208</ns0:v>
      </ns0:c>
    </ns0:row>
    <ns0:row r="1601" ht="24" customHeight="1">
      <ns0:c r="A1601" s="3" t="inlineStr">
        <ns0:is>
          <ns0:t>混在40/30/30</ns0:t>
        </ns0:is>
      </ns0:c>
      <ns0:c r="B1601" s="3" t="inlineStr">
        <ns0:is>
          <ns0:t>G2二段階</ns0:t>
        </ns0:is>
      </ns0:c>
      <ns0:c r="C1601" s="3" t="inlineStr">
        <ns0:is>
          <ns0:t>C</ns0:t>
        </ns0:is>
      </ns0:c>
      <ns0:c r="D1601" s="4" t="n">
        <ns0:v>1</ns0:v>
      </ns0:c>
      <ns0:c r="E1601" s="4" t="n">
        <ns0:v>1000</ns0:v>
      </ns0:c>
      <ns0:c r="F1601" s="6" t="n">
        <ns0:v>0.5</ns0:v>
      </ns0:c>
      <ns0:c r="G1601" s="4" t="n">
        <ns0:v>1</ns0:v>
      </ns0:c>
      <ns0:c r="H1601" s="7" t="n">
        <ns0:v>5194.626484377192</ns0:v>
      </ns0:c>
      <ns0:c r="I1601" s="7" t="n">
        <ns0:v>2513.319390247326</ns0:v>
      </ns0:c>
      <ns0:c r="J1601" s="7" t="n">
        <ns0:v>1256.659695123663</ns0:v>
      </ns0:c>
      <ns0:c r="K1601" s="7" t="n">
        <ns0:v>30</ns0:v>
      </ns0:c>
      <ns0:c r="L1601" s="7" t="n">
        <ns0:v>64</ns0:v>
      </ns0:c>
      <ns0:c r="M1601" s="7" t="n">
        <ns0:v>-34049.48649454227</ns0:v>
      </ns0:c>
      <ns0:c r="N1601" s="7" t="n">
        <ns0:v>1083.91256228487</ns0:v>
      </ns0:c>
      <ns0:c r="O1601" s="7" t="n">
        <ns0:v>38147.14402134663</ns0:v>
      </ns0:c>
      <ns0:c r="P1601" s="7" t="n">
        <ns0:v>130805.222669001</ns0:v>
      </ns0:c>
      <ns0:c r="Q1601" s="7" t="n">
        <ns0:v>459437.5372596188</ns0:v>
      </ns0:c>
      <ns0:c r="R1601" s="7" t="n">
        <ns0:v>1686650.638326781</ns0:v>
      </ns0:c>
    </ns0:row>
    <ns0:row r="1602" ht="24" customHeight="1">
      <ns0:c r="A1602" s="3" t="inlineStr">
        <ns0:is>
          <ns0:t>混在40/30/30</ns0:t>
        </ns0:is>
      </ns0:c>
      <ns0:c r="B1602" s="3" t="inlineStr">
        <ns0:is>
          <ns0:t>G2二段階</ns0:t>
        </ns0:is>
      </ns0:c>
      <ns0:c r="C1602" s="3" t="inlineStr">
        <ns0:is>
          <ns0:t>C</ns0:t>
        </ns0:is>
      </ns0:c>
      <ns0:c r="D1602" s="4" t="n">
        <ns0:v>1</ns0:v>
      </ns0:c>
      <ns0:c r="E1602" s="4" t="n">
        <ns0:v>1000</ns0:v>
      </ns0:c>
      <ns0:c r="F1602" s="6" t="n">
        <ns0:v>0.5</ns0:v>
      </ns0:c>
      <ns0:c r="G1602" s="4" t="n">
        <ns0:v>2</ns0:v>
      </ns0:c>
      <ns0:c r="H1602" s="7" t="n">
        <ns0:v>5194.626484377192</ns0:v>
      </ns0:c>
      <ns0:c r="I1602" s="7" t="n">
        <ns0:v>2513.319390247326</ns0:v>
      </ns0:c>
      <ns0:c r="J1602" s="7" t="n">
        <ns0:v>1256.659695123663</ns0:v>
      </ns0:c>
      <ns0:c r="K1602" s="18" t="inlineStr">
        <ns0:is>
          <ns0:t>範囲内なし</ns0:t>
        </ns0:is>
      </ns0:c>
      <ns0:c r="L1602" s="18" t="inlineStr">
        <ns0:is>
          <ns0:t>範囲内なし</ns0:t>
        </ns0:is>
      </ns0:c>
      <ns0:c r="M1602" s="7" t="n">
        <ns0:v>-55281.32502588337</ns0:v>
      </ns0:c>
      <ns0:c r="N1602" s="7" t="n">
        <ns0:v>-62611.60303173839</ns0:v>
      </ns0:c>
      <ns0:c r="O1602" s="7" t="n">
        <ns0:v>-68012.04863535881</ns0:v>
      </ns0:c>
      <ns0:c r="P1602" s="7" t="n">
        <ns0:v>-81513.16264440985</ns0:v>
      </ns0:c>
      <ns0:c r="Q1602" s="7" t="n">
        <ns0:v>-177517.6186806139</ns0:v>
      </ns0:c>
      <ns0:c r="R1602" s="7" t="n">
        <ns0:v>-436533.2148073274</ns0:v>
      </ns0:c>
    </ns0:row>
    <ns0:row r="1603" ht="24" customHeight="1">
      <ns0:c r="A1603" s="3" t="inlineStr">
        <ns0:is>
          <ns0:t>混在40/30/30</ns0:t>
        </ns0:is>
      </ns0:c>
      <ns0:c r="B1603" s="3" t="inlineStr">
        <ns0:is>
          <ns0:t>G2二段階</ns0:t>
        </ns0:is>
      </ns0:c>
      <ns0:c r="C1603" s="3" t="inlineStr">
        <ns0:is>
          <ns0:t>C</ns0:t>
        </ns0:is>
      </ns0:c>
      <ns0:c r="D1603" s="4" t="n">
        <ns0:v>1</ns0:v>
      </ns0:c>
      <ns0:c r="E1603" s="4" t="n">
        <ns0:v>1000</ns0:v>
      </ns0:c>
      <ns0:c r="F1603" s="6" t="n">
        <ns0:v>0.5</ns0:v>
      </ns0:c>
      <ns0:c r="G1603" s="4" t="n">
        <ns0:v>3</ns0:v>
      </ns0:c>
      <ns0:c r="H1603" s="7" t="n">
        <ns0:v>5194.626484377192</ns0:v>
      </ns0:c>
      <ns0:c r="I1603" s="7" t="n">
        <ns0:v>2513.319390247326</ns0:v>
      </ns0:c>
      <ns0:c r="J1603" s="7" t="n">
        <ns0:v>1256.659695123663</ns0:v>
      </ns0:c>
      <ns0:c r="K1603" s="7" t="n">
        <ns0:v>43</ns0:v>
      </ns0:c>
      <ns0:c r="L1603" s="18" t="inlineStr">
        <ns0:is>
          <ns0:t>範囲内なし</ns0:t>
        </ns0:is>
      </ns0:c>
      <ns0:c r="M1603" s="7" t="n">
        <ns0:v>-39690.23392279608</ns0:v>
      </ns0:c>
      <ns0:c r="N1603" s="7" t="n">
        <ns0:v>-15838.32972247653</ns0:v>
      </ns0:c>
      <ns0:c r="O1603" s="7" t="n">
        <ns0:v>9943.406880077622</ns0:v>
      </ns0:c>
      <ns0:c r="P1603" s="7" t="n">
        <ns0:v>74397.74838646303</ns0:v>
      </ns0:c>
      <ns0:c r="Q1603" s="7" t="n">
        <ns0:v>290215.1144120048</ns0:v>
      </ns0:c>
      <ns0:c r="R1603" s="7" t="n">
        <ns0:v>1122575.895501401</ns0:v>
      </ns0:c>
    </ns0:row>
    <ns0:row r="1604" ht="24" customHeight="1">
      <ns0:c r="A1604" s="3" t="inlineStr">
        <ns0:is>
          <ns0:t>混在40/30/30</ns0:t>
        </ns0:is>
      </ns0:c>
      <ns0:c r="B1604" s="3" t="inlineStr">
        <ns0:is>
          <ns0:t>G2二段階</ns0:t>
        </ns0:is>
      </ns0:c>
      <ns0:c r="C1604" s="3" t="inlineStr">
        <ns0:is>
          <ns0:t>C</ns0:t>
        </ns0:is>
      </ns0:c>
      <ns0:c r="D1604" s="4" t="n">
        <ns0:v>1</ns0:v>
      </ns0:c>
      <ns0:c r="E1604" s="4" t="n">
        <ns0:v>1500</ns0:v>
      </ns0:c>
      <ns0:c r="F1604" s="6" t="n">
        <ns0:v>0.3</ns0:v>
      </ns0:c>
      <ns0:c r="G1604" s="4" t="n">
        <ns0:v>0</ns0:v>
      </ns0:c>
      <ns0:c r="H1604" s="7" t="n">
        <ns0:v>5044.626484377192</ns0:v>
      </ns0:c>
      <ns0:c r="I1604" s="7" t="n">
        <ns0:v>2363.319390247326</ns0:v>
      </ns0:c>
      <ns0:c r="J1604" s="7" t="n">
        <ns0:v>708.9958170741977</ns0:v>
      </ns0:c>
      <ns0:c r="K1604" s="7" t="n">
        <ns0:v>22</ns0:v>
      </ns0:c>
      <ns0:c r="L1604" s="7" t="n">
        <ns0:v>39</ns0:v>
      </ns0:c>
      <ns0:c r="M1604" s="7" t="n">
        <ns0:v>-27449.62964608335</ns0:v>
      </ns0:c>
      <ns0:c r="N1604" s="7" t="n">
        <ns0:v>20883.48310766163</ns0:v>
      </ns0:c>
      <ns0:c r="O1604" s="7" t="n">
        <ns0:v>71146.42826364122</ns0:v>
      </ns0:c>
      <ns0:c r="P1604" s="7" t="n">
        <ns0:v>196803.7911535903</ns0:v>
      </ns0:c>
      <ns0:c r="Q1604" s="7" t="n">
        <ns0:v>657433.2427133864</ns0:v>
      </ns0:c>
      <ns0:c r="R1604" s="7" t="n">
        <ns0:v>2346636.323172674</ns0:v>
      </ns0:c>
    </ns0:row>
    <ns0:row r="1605" ht="24" customHeight="1">
      <ns0:c r="A1605" s="3" t="inlineStr">
        <ns0:is>
          <ns0:t>混在40/30/30</ns0:t>
        </ns0:is>
      </ns0:c>
      <ns0:c r="B1605" s="3" t="inlineStr">
        <ns0:is>
          <ns0:t>G2二段階</ns0:t>
        </ns0:is>
      </ns0:c>
      <ns0:c r="C1605" s="3" t="inlineStr">
        <ns0:is>
          <ns0:t>C</ns0:t>
        </ns0:is>
      </ns0:c>
      <ns0:c r="D1605" s="4" t="n">
        <ns0:v>1</ns0:v>
      </ns0:c>
      <ns0:c r="E1605" s="4" t="n">
        <ns0:v>1500</ns0:v>
      </ns0:c>
      <ns0:c r="F1605" s="6" t="n">
        <ns0:v>0.3</ns0:v>
      </ns0:c>
      <ns0:c r="G1605" s="4" t="n">
        <ns0:v>1</ns0:v>
      </ns0:c>
      <ns0:c r="H1605" s="7" t="n">
        <ns0:v>5044.626484377192</ns0:v>
      </ns0:c>
      <ns0:c r="I1605" s="7" t="n">
        <ns0:v>2363.319390247326</ns0:v>
      </ns0:c>
      <ns0:c r="J1605" s="7" t="n">
        <ns0:v>708.9958170741977</ns0:v>
      </ns0:c>
      <ns0:c r="K1605" s="7" t="n">
        <ns0:v>25</ns0:v>
      </ns0:c>
      <ns0:c r="L1605" s="7" t="n">
        <ns0:v>54</ns0:v>
      </ns0:c>
      <ns0:c r="M1605" s="7" t="n">
        <ns0:v>-30018.84771404762</ns0:v>
      </ns0:c>
      <ns0:c r="N1605" s="7" t="n">
        <ns0:v>13175.82890376881</ns0:v>
      </ns0:c>
      <ns0:c r="O1605" s="7" t="n">
        <ns0:v>58300.33792381985</ns0:v>
      </ns0:c>
      <ns0:c r="P1605" s="7" t="n">
        <ns0:v>171111.6104739475</ns0:v>
      </ns0:c>
      <ns0:c r="Q1605" s="7" t="n">
        <ns0:v>580356.7006744583</ns0:v>
      </ns0:c>
      <ns0:c r="R1605" s="7" t="n">
        <ns0:v>2089714.516376246</ns0:v>
      </ns0:c>
    </ns0:row>
    <ns0:row r="1606" ht="24" customHeight="1">
      <ns0:c r="A1606" s="3" t="inlineStr">
        <ns0:is>
          <ns0:t>混在40/30/30</ns0:t>
        </ns0:is>
      </ns0:c>
      <ns0:c r="B1606" s="3" t="inlineStr">
        <ns0:is>
          <ns0:t>G2二段階</ns0:t>
        </ns0:is>
      </ns0:c>
      <ns0:c r="C1606" s="3" t="inlineStr">
        <ns0:is>
          <ns0:t>C</ns0:t>
        </ns0:is>
      </ns0:c>
      <ns0:c r="D1606" s="4" t="n">
        <ns0:v>1</ns0:v>
      </ns0:c>
      <ns0:c r="E1606" s="4" t="n">
        <ns0:v>1500</ns0:v>
      </ns0:c>
      <ns0:c r="F1606" s="6" t="n">
        <ns0:v>0.3</ns0:v>
      </ns0:c>
      <ns0:c r="G1606" s="4" t="n">
        <ns0:v>2</ns0:v>
      </ns0:c>
      <ns0:c r="H1606" s="7" t="n">
        <ns0:v>5044.626484377192</ns0:v>
      </ns0:c>
      <ns0:c r="I1606" s="7" t="n">
        <ns0:v>2363.319390247326</ns0:v>
      </ns0:c>
      <ns0:c r="J1606" s="7" t="n">
        <ns0:v>708.9958170741977</ns0:v>
      </ns0:c>
      <ns0:c r="K1606" s="18" t="inlineStr">
        <ns0:is>
          <ns0:t>範囲内なし</ns0:t>
        </ns0:is>
      </ns0:c>
      <ns0:c r="L1606" s="18" t="inlineStr">
        <ns0:is>
          <ns0:t>範囲内なし</ns0:t>
        </ns0:is>
      </ns0:c>
      <ns0:c r="M1606" s="7" t="n">
        <ns0:v>-51250.68624538871</ns0:v>
      </ns0:c>
      <ns0:c r="N1606" s="7" t="n">
        <ns0:v>-50519.68669025446</ns0:v>
      </ns0:c>
      <ns0:c r="O1606" s="7" t="n">
        <ns0:v>-47858.85473288559</ns0:v>
      </ns0:c>
      <ns0:c r="P1606" s="7" t="n">
        <ns0:v>-41206.77483946335</ns0:v>
      </ns0:c>
      <ns0:c r="Q1606" s="7" t="n">
        <ns0:v>-56598.45526577439</ns0:v>
      </ns0:c>
      <ns0:c r="R1606" s="7" t="n">
        <ns0:v>-33469.33675786247</ns0:v>
      </ns0:c>
    </ns0:row>
    <ns0:row r="1607" ht="24" customHeight="1">
      <ns0:c r="A1607" s="3" t="inlineStr">
        <ns0:is>
          <ns0:t>混在40/30/30</ns0:t>
        </ns0:is>
      </ns0:c>
      <ns0:c r="B1607" s="3" t="inlineStr">
        <ns0:is>
          <ns0:t>G2二段階</ns0:t>
        </ns0:is>
      </ns0:c>
      <ns0:c r="C1607" s="3" t="inlineStr">
        <ns0:is>
          <ns0:t>C</ns0:t>
        </ns0:is>
      </ns0:c>
      <ns0:c r="D1607" s="4" t="n">
        <ns0:v>1</ns0:v>
      </ns0:c>
      <ns0:c r="E1607" s="4" t="n">
        <ns0:v>1500</ns0:v>
      </ns0:c>
      <ns0:c r="F1607" s="6" t="n">
        <ns0:v>0.3</ns0:v>
      </ns0:c>
      <ns0:c r="G1607" s="4" t="n">
        <ns0:v>3</ns0:v>
      </ns0:c>
      <ns0:c r="H1607" s="7" t="n">
        <ns0:v>5044.626484377192</ns0:v>
      </ns0:c>
      <ns0:c r="I1607" s="7" t="n">
        <ns0:v>2363.319390247326</ns0:v>
      </ns0:c>
      <ns0:c r="J1607" s="7" t="n">
        <ns0:v>708.9958170741977</ns0:v>
      </ns0:c>
      <ns0:c r="K1607" s="7" t="n">
        <ns0:v>33</ns0:v>
      </ns0:c>
      <ns0:c r="L1607" s="18" t="inlineStr">
        <ns0:is>
          <ns0:t>範囲内なし</ns0:t>
        </ns0:is>
      </ns0:c>
      <ns0:c r="M1607" s="7" t="n">
        <ns0:v>-35659.59514230142</ns0:v>
      </ns0:c>
      <ns0:c r="N1607" s="7" t="n">
        <ns0:v>-3746.413380992588</ns0:v>
      </ns0:c>
      <ns0:c r="O1607" s="7" t="n">
        <ns0:v>30096.60078255086</ns0:v>
      </ns0:c>
      <ns0:c r="P1607" s="7" t="n">
        <ns0:v>114704.1361914095</ns0:v>
      </ns0:c>
      <ns0:c r="Q1607" s="7" t="n">
        <ns0:v>411134.2778268442</ns0:v>
      </ns0:c>
      <ns0:c r="R1607" s="7" t="n">
        <ns0:v>1525639.773550866</ns0:v>
      </ns0:c>
    </ns0:row>
    <ns0:row r="1608" ht="24" customHeight="1">
      <ns0:c r="A1608" s="3" t="inlineStr">
        <ns0:is>
          <ns0:t>混在40/30/30</ns0:t>
        </ns0:is>
      </ns0:c>
      <ns0:c r="B1608" s="3" t="inlineStr">
        <ns0:is>
          <ns0:t>G2二段階</ns0:t>
        </ns0:is>
      </ns0:c>
      <ns0:c r="C1608" s="3" t="inlineStr">
        <ns0:is>
          <ns0:t>C</ns0:t>
        </ns0:is>
      </ns0:c>
      <ns0:c r="D1608" s="4" t="n">
        <ns0:v>1</ns0:v>
      </ns0:c>
      <ns0:c r="E1608" s="4" t="n">
        <ns0:v>1500</ns0:v>
      </ns0:c>
      <ns0:c r="F1608" s="6" t="n">
        <ns0:v>0.4</ns0:v>
      </ns0:c>
      <ns0:c r="G1608" s="4" t="n">
        <ns0:v>0</ns0:v>
      </ns0:c>
      <ns0:c r="H1608" s="7" t="n">
        <ns0:v>5044.626484377192</ns0:v>
      </ns0:c>
      <ns0:c r="I1608" s="7" t="n">
        <ns0:v>2363.319390247326</ns0:v>
      </ns0:c>
      <ns0:c r="J1608" s="7" t="n">
        <ns0:v>945.3277560989303</ns0:v>
      </ns0:c>
      <ns0:c r="K1608" s="7" t="n">
        <ns0:v>24</ns0:v>
      </ns0:c>
      <ns0:c r="L1608" s="7" t="n">
        <ns0:v>41</ns0:v>
      </ns0:c>
      <ns0:c r="M1608" s="7" t="n">
        <ns0:v>-29812.94903633067</ns0:v>
      </ns0:c>
      <ns0:c r="N1608" s="7" t="n">
        <ns0:v>13793.52493691965</ns0:v>
      </ns0:c>
      <ns0:c r="O1608" s="7" t="n">
        <ns0:v>59329.83131240461</ns0:v>
      </ns0:c>
      <ns0:c r="P1608" s="7" t="n">
        <ns0:v>173170.597251117</ns0:v>
      </ns0:c>
      <ns0:c r="Q1608" s="7" t="n">
        <ns0:v>586533.6610059666</ns0:v>
      </ns0:c>
      <ns0:c r="R1608" s="7" t="n">
        <ns0:v>2110304.384147941</ns0:v>
      </ns0:c>
    </ns0:row>
    <ns0:row r="1609" ht="24" customHeight="1">
      <ns0:c r="A1609" s="3" t="inlineStr">
        <ns0:is>
          <ns0:t>混在40/30/30</ns0:t>
        </ns0:is>
      </ns0:c>
      <ns0:c r="B1609" s="3" t="inlineStr">
        <ns0:is>
          <ns0:t>G2二段階</ns0:t>
        </ns0:is>
      </ns0:c>
      <ns0:c r="C1609" s="3" t="inlineStr">
        <ns0:is>
          <ns0:t>C</ns0:t>
        </ns0:is>
      </ns0:c>
      <ns0:c r="D1609" s="4" t="n">
        <ns0:v>1</ns0:v>
      </ns0:c>
      <ns0:c r="E1609" s="4" t="n">
        <ns0:v>1500</ns0:v>
      </ns0:c>
      <ns0:c r="F1609" s="6" t="n">
        <ns0:v>0.4</ns0:v>
      </ns0:c>
      <ns0:c r="G1609" s="4" t="n">
        <ns0:v>1</ns0:v>
      </ns0:c>
      <ns0:c r="H1609" s="7" t="n">
        <ns0:v>5044.626484377192</ns0:v>
      </ns0:c>
      <ns0:c r="I1609" s="7" t="n">
        <ns0:v>2363.319390247326</ns0:v>
      </ns0:c>
      <ns0:c r="J1609" s="7" t="n">
        <ns0:v>945.3277560989303</ns0:v>
      </ns0:c>
      <ns0:c r="K1609" s="7" t="n">
        <ns0:v>27</ns0:v>
      </ns0:c>
      <ns0:c r="L1609" s="7" t="n">
        <ns0:v>59</ns0:v>
      </ns0:c>
      <ns0:c r="M1609" s="7" t="n">
        <ns0:v>-32382.16710429494</ns0:v>
      </ns0:c>
      <ns0:c r="N1609" s="7" t="n">
        <ns0:v>6085.87073302683</ns0:v>
      </ns0:c>
      <ns0:c r="O1609" s="7" t="n">
        <ns0:v>46483.74097258325</ns0:v>
      </ns0:c>
      <ns0:c r="P1609" s="7" t="n">
        <ns0:v>147478.4165714743</ns0:v>
      </ns0:c>
      <ns0:c r="Q1609" s="7" t="n">
        <ns0:v>509457.1189670385</ns0:v>
      </ns0:c>
      <ns0:c r="R1609" s="7" t="n">
        <ns0:v>1853382.577351514</ns0:v>
      </ns0:c>
    </ns0:row>
    <ns0:row r="1610" ht="24" customHeight="1">
      <ns0:c r="A1610" s="3" t="inlineStr">
        <ns0:is>
          <ns0:t>混在40/30/30</ns0:t>
        </ns0:is>
      </ns0:c>
      <ns0:c r="B1610" s="3" t="inlineStr">
        <ns0:is>
          <ns0:t>G2二段階</ns0:t>
        </ns0:is>
      </ns0:c>
      <ns0:c r="C1610" s="3" t="inlineStr">
        <ns0:is>
          <ns0:t>C</ns0:t>
        </ns0:is>
      </ns0:c>
      <ns0:c r="D1610" s="4" t="n">
        <ns0:v>1</ns0:v>
      </ns0:c>
      <ns0:c r="E1610" s="4" t="n">
        <ns0:v>1500</ns0:v>
      </ns0:c>
      <ns0:c r="F1610" s="6" t="n">
        <ns0:v>0.4</ns0:v>
      </ns0:c>
      <ns0:c r="G1610" s="4" t="n">
        <ns0:v>2</ns0:v>
      </ns0:c>
      <ns0:c r="H1610" s="7" t="n">
        <ns0:v>5044.626484377192</ns0:v>
      </ns0:c>
      <ns0:c r="I1610" s="7" t="n">
        <ns0:v>2363.319390247326</ns0:v>
      </ns0:c>
      <ns0:c r="J1610" s="7" t="n">
        <ns0:v>945.3277560989303</ns0:v>
      </ns0:c>
      <ns0:c r="K1610" s="18" t="inlineStr">
        <ns0:is>
          <ns0:t>範囲内なし</ns0:t>
        </ns0:is>
      </ns0:c>
      <ns0:c r="L1610" s="18" t="inlineStr">
        <ns0:is>
          <ns0:t>範囲内なし</ns0:t>
        </ns0:is>
      </ns0:c>
      <ns0:c r="M1610" s="7" t="n">
        <ns0:v>-53614.00563563603</ns0:v>
      </ns0:c>
      <ns0:c r="N1610" s="7" t="n">
        <ns0:v>-57609.64486099644</ns0:v>
      </ns0:c>
      <ns0:c r="O1610" s="7" t="n">
        <ns0:v>-59675.45168412218</ns0:v>
      </ns0:c>
      <ns0:c r="P1610" s="7" t="n">
        <ns0:v>-64839.96874193659</ns0:v>
      </ns0:c>
      <ns0:c r="Q1610" s="7" t="n">
        <ns0:v>-127498.0369731942</ns0:v>
      </ns0:c>
      <ns0:c r="R1610" s="7" t="n">
        <ns0:v>-269801.2757825949</ns0:v>
      </ns0:c>
    </ns0:row>
    <ns0:row r="1611" ht="24" customHeight="1">
      <ns0:c r="A1611" s="3" t="inlineStr">
        <ns0:is>
          <ns0:t>混在40/30/30</ns0:t>
        </ns0:is>
      </ns0:c>
      <ns0:c r="B1611" s="3" t="inlineStr">
        <ns0:is>
          <ns0:t>G2二段階</ns0:t>
        </ns0:is>
      </ns0:c>
      <ns0:c r="C1611" s="3" t="inlineStr">
        <ns0:is>
          <ns0:t>C</ns0:t>
        </ns0:is>
      </ns0:c>
      <ns0:c r="D1611" s="4" t="n">
        <ns0:v>1</ns0:v>
      </ns0:c>
      <ns0:c r="E1611" s="4" t="n">
        <ns0:v>1500</ns0:v>
      </ns0:c>
      <ns0:c r="F1611" s="6" t="n">
        <ns0:v>0.4</ns0:v>
      </ns0:c>
      <ns0:c r="G1611" s="4" t="n">
        <ns0:v>3</ns0:v>
      </ns0:c>
      <ns0:c r="H1611" s="7" t="n">
        <ns0:v>5044.626484377192</ns0:v>
      </ns0:c>
      <ns0:c r="I1611" s="7" t="n">
        <ns0:v>2363.319390247326</ns0:v>
      </ns0:c>
      <ns0:c r="J1611" s="7" t="n">
        <ns0:v>945.3277560989303</ns0:v>
      </ns0:c>
      <ns0:c r="K1611" s="7" t="n">
        <ns0:v>38</ns0:v>
      </ns0:c>
      <ns0:c r="L1611" s="18" t="inlineStr">
        <ns0:is>
          <ns0:t>範囲内なし</ns0:t>
        </ns0:is>
      </ns0:c>
      <ns0:c r="M1611" s="7" t="n">
        <ns0:v>-38022.91453254875</ns0:v>
      </ns0:c>
      <ns0:c r="N1611" s="7" t="n">
        <ns0:v>-10836.37155173457</ns0:v>
      </ns0:c>
      <ns0:c r="O1611" s="7" t="n">
        <ns0:v>18280.00383131425</ns0:v>
      </ns0:c>
      <ns0:c r="P1611" s="7" t="n">
        <ns0:v>91070.94228893629</ns0:v>
      </ns0:c>
      <ns0:c r="Q1611" s="7" t="n">
        <ns0:v>340234.6961194245</ns0:v>
      </ns0:c>
      <ns0:c r="R1611" s="7" t="n">
        <ns0:v>1289307.834526134</ns0:v>
      </ns0:c>
    </ns0:row>
    <ns0:row r="1612" ht="24" customHeight="1">
      <ns0:c r="A1612" s="3" t="inlineStr">
        <ns0:is>
          <ns0:t>混在40/30/30</ns0:t>
        </ns0:is>
      </ns0:c>
      <ns0:c r="B1612" s="3" t="inlineStr">
        <ns0:is>
          <ns0:t>G2二段階</ns0:t>
        </ns0:is>
      </ns0:c>
      <ns0:c r="C1612" s="3" t="inlineStr">
        <ns0:is>
          <ns0:t>C</ns0:t>
        </ns0:is>
      </ns0:c>
      <ns0:c r="D1612" s="4" t="n">
        <ns0:v>1</ns0:v>
      </ns0:c>
      <ns0:c r="E1612" s="4" t="n">
        <ns0:v>1500</ns0:v>
      </ns0:c>
      <ns0:c r="F1612" s="6" t="n">
        <ns0:v>0.5</ns0:v>
      </ns0:c>
      <ns0:c r="G1612" s="4" t="n">
        <ns0:v>0</ns0:v>
      </ns0:c>
      <ns0:c r="H1612" s="7" t="n">
        <ns0:v>5044.626484377192</ns0:v>
      </ns0:c>
      <ns0:c r="I1612" s="7" t="n">
        <ns0:v>2363.319390247326</ns0:v>
      </ns0:c>
      <ns0:c r="J1612" s="7" t="n">
        <ns0:v>1181.659695123663</ns0:v>
      </ns0:c>
      <ns0:c r="K1612" s="7" t="n">
        <ns0:v>27</ns0:v>
      </ns0:c>
      <ns0:c r="L1612" s="7" t="n">
        <ns0:v>45</ns0:v>
      </ns0:c>
      <ns0:c r="M1612" s="7" t="n">
        <ns0:v>-32176.268426578</ns0:v>
      </ns0:c>
      <ns0:c r="N1612" s="7" t="n">
        <ns0:v>6703.566766177664</ns0:v>
      </ns0:c>
      <ns0:c r="O1612" s="7" t="n">
        <ns0:v>47513.23436116797</ns0:v>
      </ns0:c>
      <ns0:c r="P1612" s="7" t="n">
        <ns0:v>149537.4033486437</ns0:v>
      </ns0:c>
      <ns0:c r="Q1612" s="7" t="n">
        <ns0:v>515634.0792985469</ns0:v>
      </ns0:c>
      <ns0:c r="R1612" s="7" t="n">
        <ns0:v>1873972.445123209</ns0:v>
      </ns0:c>
    </ns0:row>
    <ns0:row r="1613" ht="24" customHeight="1">
      <ns0:c r="A1613" s="3" t="inlineStr">
        <ns0:is>
          <ns0:t>混在40/30/30</ns0:t>
        </ns0:is>
      </ns0:c>
      <ns0:c r="B1613" s="3" t="inlineStr">
        <ns0:is>
          <ns0:t>G2二段階</ns0:t>
        </ns0:is>
      </ns0:c>
      <ns0:c r="C1613" s="3" t="inlineStr">
        <ns0:is>
          <ns0:t>C</ns0:t>
        </ns0:is>
      </ns0:c>
      <ns0:c r="D1613" s="4" t="n">
        <ns0:v>1</ns0:v>
      </ns0:c>
      <ns0:c r="E1613" s="4" t="n">
        <ns0:v>1500</ns0:v>
      </ns0:c>
      <ns0:c r="F1613" s="6" t="n">
        <ns0:v>0.5</ns0:v>
      </ns0:c>
      <ns0:c r="G1613" s="4" t="n">
        <ns0:v>1</ns0:v>
      </ns0:c>
      <ns0:c r="H1613" s="7" t="n">
        <ns0:v>5044.626484377192</ns0:v>
      </ns0:c>
      <ns0:c r="I1613" s="7" t="n">
        <ns0:v>2363.319390247326</ns0:v>
      </ns0:c>
      <ns0:c r="J1613" s="7" t="n">
        <ns0:v>1181.659695123663</ns0:v>
      </ns0:c>
      <ns0:c r="K1613" s="7" t="n">
        <ns0:v>31</ns0:v>
      </ns0:c>
      <ns0:c r="L1613" s="7" t="n">
        <ns0:v>67</ns0:v>
      </ns0:c>
      <ns0:c r="M1613" s="7" t="n">
        <ns0:v>-34745.48649454227</ns0:v>
      </ns0:c>
      <ns0:c r="N1613" s="7" t="n">
        <ns0:v>-1004.087437715152</ns0:v>
      </ns0:c>
      <ns0:c r="O1613" s="7" t="n">
        <ns0:v>34667.14402134661</ns0:v>
      </ns0:c>
      <ns0:c r="P1613" s="7" t="n">
        <ns0:v>123845.222669001</ns0:v>
      </ns0:c>
      <ns0:c r="Q1613" s="7" t="n">
        <ns0:v>438557.5372596188</ns0:v>
      </ns0:c>
      <ns0:c r="R1613" s="7" t="n">
        <ns0:v>1617050.638326781</ns0:v>
      </ns0:c>
    </ns0:row>
    <ns0:row r="1614" ht="24" customHeight="1">
      <ns0:c r="A1614" s="3" t="inlineStr">
        <ns0:is>
          <ns0:t>混在40/30/30</ns0:t>
        </ns0:is>
      </ns0:c>
      <ns0:c r="B1614" s="3" t="inlineStr">
        <ns0:is>
          <ns0:t>G2二段階</ns0:t>
        </ns0:is>
      </ns0:c>
      <ns0:c r="C1614" s="3" t="inlineStr">
        <ns0:is>
          <ns0:t>C</ns0:t>
        </ns0:is>
      </ns0:c>
      <ns0:c r="D1614" s="4" t="n">
        <ns0:v>1</ns0:v>
      </ns0:c>
      <ns0:c r="E1614" s="4" t="n">
        <ns0:v>1500</ns0:v>
      </ns0:c>
      <ns0:c r="F1614" s="6" t="n">
        <ns0:v>0.5</ns0:v>
      </ns0:c>
      <ns0:c r="G1614" s="4" t="n">
        <ns0:v>2</ns0:v>
      </ns0:c>
      <ns0:c r="H1614" s="7" t="n">
        <ns0:v>5044.626484377192</ns0:v>
      </ns0:c>
      <ns0:c r="I1614" s="7" t="n">
        <ns0:v>2363.319390247326</ns0:v>
      </ns0:c>
      <ns0:c r="J1614" s="7" t="n">
        <ns0:v>1181.659695123663</ns0:v>
      </ns0:c>
      <ns0:c r="K1614" s="18" t="inlineStr">
        <ns0:is>
          <ns0:t>範囲内なし</ns0:t>
        </ns0:is>
      </ns0:c>
      <ns0:c r="L1614" s="18" t="inlineStr">
        <ns0:is>
          <ns0:t>範囲内なし</ns0:t>
        </ns0:is>
      </ns0:c>
      <ns0:c r="M1614" s="7" t="n">
        <ns0:v>-55977.32502588336</ns0:v>
      </ns0:c>
      <ns0:c r="N1614" s="7" t="n">
        <ns0:v>-64699.60303173841</ns0:v>
      </ns0:c>
      <ns0:c r="O1614" s="7" t="n">
        <ns0:v>-71492.04863535883</ns0:v>
      </ns0:c>
      <ns0:c r="P1614" s="7" t="n">
        <ns0:v>-88473.16264440988</ns0:v>
      </ns0:c>
      <ns0:c r="Q1614" s="7" t="n">
        <ns0:v>-198397.6186806139</ns0:v>
      </ns0:c>
      <ns0:c r="R1614" s="7" t="n">
        <ns0:v>-506133.2148073274</ns0:v>
      </ns0:c>
    </ns0:row>
    <ns0:row r="1615" ht="24" customHeight="1">
      <ns0:c r="A1615" s="3" t="inlineStr">
        <ns0:is>
          <ns0:t>混在40/30/30</ns0:t>
        </ns0:is>
      </ns0:c>
      <ns0:c r="B1615" s="3" t="inlineStr">
        <ns0:is>
          <ns0:t>G2二段階</ns0:t>
        </ns0:is>
      </ns0:c>
      <ns0:c r="C1615" s="3" t="inlineStr">
        <ns0:is>
          <ns0:t>C</ns0:t>
        </ns0:is>
      </ns0:c>
      <ns0:c r="D1615" s="4" t="n">
        <ns0:v>1</ns0:v>
      </ns0:c>
      <ns0:c r="E1615" s="4" t="n">
        <ns0:v>1500</ns0:v>
      </ns0:c>
      <ns0:c r="F1615" s="6" t="n">
        <ns0:v>0.5</ns0:v>
      </ns0:c>
      <ns0:c r="G1615" s="4" t="n">
        <ns0:v>3</ns0:v>
      </ns0:c>
      <ns0:c r="H1615" s="7" t="n">
        <ns0:v>5044.626484377192</ns0:v>
      </ns0:c>
      <ns0:c r="I1615" s="7" t="n">
        <ns0:v>2363.319390247326</ns0:v>
      </ns0:c>
      <ns0:c r="J1615" s="7" t="n">
        <ns0:v>1181.659695123663</ns0:v>
      </ns0:c>
      <ns0:c r="K1615" s="7" t="n">
        <ns0:v>45</ns0:v>
      </ns0:c>
      <ns0:c r="L1615" s="18" t="inlineStr">
        <ns0:is>
          <ns0:t>範囲内なし</ns0:t>
        </ns0:is>
      </ns0:c>
      <ns0:c r="M1615" s="7" t="n">
        <ns0:v>-40386.23392279607</ns0:v>
      </ns0:c>
      <ns0:c r="N1615" s="7" t="n">
        <ns0:v>-17926.32972247655</ns0:v>
      </ns0:c>
      <ns0:c r="O1615" s="7" t="n">
        <ns0:v>6463.406880077608</ns0:v>
      </ns0:c>
      <ns0:c r="P1615" s="7" t="n">
        <ns0:v>67437.748386463</ns0:v>
      </ns0:c>
      <ns0:c r="Q1615" s="7" t="n">
        <ns0:v>269335.1144120047</ns0:v>
      </ns0:c>
      <ns0:c r="R1615" s="7" t="n">
        <ns0:v>1052975.895501402</ns0:v>
      </ns0:c>
    </ns0:row>
    <ns0:row r="1616" ht="24" customHeight="1">
      <ns0:c r="A1616" s="3" t="inlineStr">
        <ns0:is>
          <ns0:t>混在40/30/30</ns0:t>
        </ns0:is>
      </ns0:c>
      <ns0:c r="B1616" s="3" t="inlineStr">
        <ns0:is>
          <ns0:t>G2二段階</ns0:t>
        </ns0:is>
      </ns0:c>
      <ns0:c r="C1616" s="3" t="inlineStr">
        <ns0:is>
          <ns0:t>C</ns0:t>
        </ns0:is>
      </ns0:c>
      <ns0:c r="D1616" s="4" t="n">
        <ns0:v>2</ns0:v>
      </ns0:c>
      <ns0:c r="E1616" s="4" t="n">
        <ns0:v>500</ns0:v>
      </ns0:c>
      <ns0:c r="F1616" s="6" t="n">
        <ns0:v>0.3</ns0:v>
      </ns0:c>
      <ns0:c r="G1616" s="4" t="n">
        <ns0:v>0</ns0:v>
      </ns0:c>
      <ns0:c r="H1616" s="7" t="n">
        <ns0:v>7538.203152361983</ns0:v>
      </ns0:c>
      <ns0:c r="I1616" s="7" t="n">
        <ns0:v>3213.659766981528</ns0:v>
      </ns0:c>
      <ns0:c r="J1616" s="7" t="n">
        <ns0:v>964.0979300944585</ns0:v>
      </ns0:c>
      <ns0:c r="K1616" s="7" t="n">
        <ns0:v>12</ns0:v>
      </ns0:c>
      <ns0:c r="L1616" s="7" t="n">
        <ns0:v>19</ns0:v>
      </ns0:c>
      <ns0:c r="M1616" s="7" t="n">
        <ns0:v>-6618.093481332984</ns0:v>
      </ns0:c>
      <ns0:c r="N1616" s="7" t="n">
        <ns0:v>68710.37818243068</ns0:v>
      </ns0:c>
      <ns0:c r="O1616" s="7" t="n">
        <ns0:v>150857.920054923</ns0:v>
      </ns0:c>
      <ns0:c r="P1616" s="7" t="n">
        <ns0:v>356226.7747361538</ns0:v>
      </ns0:c>
      <ns0:c r="Q1616" s="7" t="n">
        <ns0:v>1135702.193461077</ns0:v>
      </ns0:c>
      <ns0:c r="R1616" s="7" t="n">
        <ns0:v>3940866.158998309</ns0:v>
      </ns0:c>
    </ns0:row>
    <ns0:row r="1617" ht="24" customHeight="1">
      <ns0:c r="A1617" s="3" t="inlineStr">
        <ns0:is>
          <ns0:t>混在40/30/30</ns0:t>
        </ns0:is>
      </ns0:c>
      <ns0:c r="B1617" s="3" t="inlineStr">
        <ns0:is>
          <ns0:t>G2二段階</ns0:t>
        </ns0:is>
      </ns0:c>
      <ns0:c r="C1617" s="3" t="inlineStr">
        <ns0:is>
          <ns0:t>C</ns0:t>
        </ns0:is>
      </ns0:c>
      <ns0:c r="D1617" s="4" t="n">
        <ns0:v>2</ns0:v>
      </ns0:c>
      <ns0:c r="E1617" s="4" t="n">
        <ns0:v>500</ns0:v>
      </ns0:c>
      <ns0:c r="F1617" s="6" t="n">
        <ns0:v>0.3</ns0:v>
      </ns0:c>
      <ns0:c r="G1617" s="4" t="n">
        <ns0:v>1</ns0:v>
      </ns0:c>
      <ns0:c r="H1617" s="7" t="n">
        <ns0:v>7538.203152361983</ns0:v>
      </ns0:c>
      <ns0:c r="I1617" s="7" t="n">
        <ns0:v>3213.659766981528</ns0:v>
      </ns0:c>
      <ns0:c r="J1617" s="7" t="n">
        <ns0:v>964.0979300944585</ns0:v>
      </ns0:c>
      <ns0:c r="K1617" s="7" t="n">
        <ns0:v>12</ns0:v>
      </ns0:c>
      <ns0:c r="L1617" s="7" t="n">
        <ns0:v>22</ns0:v>
      </ns0:c>
      <ns0:c r="M1617" s="7" t="n">
        <ns0:v>-9822.648807537886</ns0:v>
      </ns0:c>
      <ns0:c r="N1617" s="7" t="n">
        <ns0:v>59096.71220381597</ns0:v>
      </ns0:c>
      <ns0:c r="O1617" s="7" t="n">
        <ns0:v>134835.1434238985</ns0:v>
      </ns0:c>
      <ns0:c r="P1617" s="7" t="n">
        <ns0:v>324181.2214741048</ns0:v>
      </ns0:c>
      <ns0:c r="Q1617" s="7" t="n">
        <ns0:v>1039565.53367493</ns0:v>
      </ns0:c>
      <ns0:c r="R1617" s="7" t="n">
        <ns0:v>3620410.626377819</ns0:v>
      </ns0:c>
    </ns0:row>
    <ns0:row r="1618" ht="24" customHeight="1">
      <ns0:c r="A1618" s="3" t="inlineStr">
        <ns0:is>
          <ns0:t>混在40/30/30</ns0:t>
        </ns0:is>
      </ns0:c>
      <ns0:c r="B1618" s="3" t="inlineStr">
        <ns0:is>
          <ns0:t>G2二段階</ns0:t>
        </ns0:is>
      </ns0:c>
      <ns0:c r="C1618" s="3" t="inlineStr">
        <ns0:is>
          <ns0:t>C</ns0:t>
        </ns0:is>
      </ns0:c>
      <ns0:c r="D1618" s="4" t="n">
        <ns0:v>2</ns0:v>
      </ns0:c>
      <ns0:c r="E1618" s="4" t="n">
        <ns0:v>500</ns0:v>
      </ns0:c>
      <ns0:c r="F1618" s="6" t="n">
        <ns0:v>0.3</ns0:v>
      </ns0:c>
      <ns0:c r="G1618" s="4" t="n">
        <ns0:v>2</ns0:v>
      </ns0:c>
      <ns0:c r="H1618" s="7" t="n">
        <ns0:v>7538.203152361983</ns0:v>
      </ns0:c>
      <ns0:c r="I1618" s="7" t="n">
        <ns0:v>3213.659766981528</ns0:v>
      </ns0:c>
      <ns0:c r="J1618" s="7" t="n">
        <ns0:v>964.0979300944585</ns0:v>
      </ns0:c>
      <ns0:c r="K1618" s="18" t="inlineStr">
        <ns0:is>
          <ns0:t>範囲内なし</ns0:t>
        </ns0:is>
      </ns0:c>
      <ns0:c r="L1618" s="18" t="inlineStr">
        <ns0:is>
          <ns0:t>範囲内なし</ns0:t>
        </ns0:is>
      </ns0:c>
      <ns0:c r="M1618" s="7" t="n">
        <ns0:v>-49395.01415611677</ns0:v>
      </ns0:c>
      <ns0:c r="N1618" s="7" t="n">
        <ns0:v>-59620.38384192069</ns0:v>
      </ns0:c>
      <ns0:c r="O1618" s="7" t="n">
        <ns0:v>-63026.68331899593</ns0:v>
      </ns0:c>
      <ns0:c r="P1618" s="7" t="n">
        <ns0:v>-71542.43201168405</ns0:v>
      </ns0:c>
      <ns0:c r="Q1618" s="7" t="n">
        <ns0:v>-147605.4267824366</ns0:v>
      </ns0:c>
      <ns0:c r="R1618" s="7" t="n">
        <ns0:v>-336825.9084800701</ns0:v>
      </ns0:c>
    </ns0:row>
    <ns0:row r="1619" ht="24" customHeight="1">
      <ns0:c r="A1619" s="3" t="inlineStr">
        <ns0:is>
          <ns0:t>混在40/30/30</ns0:t>
        </ns0:is>
      </ns0:c>
      <ns0:c r="B1619" s="3" t="inlineStr">
        <ns0:is>
          <ns0:t>G2二段階</ns0:t>
        </ns0:is>
      </ns0:c>
      <ns0:c r="C1619" s="3" t="inlineStr">
        <ns0:is>
          <ns0:t>C</ns0:t>
        </ns0:is>
      </ns0:c>
      <ns0:c r="D1619" s="4" t="n">
        <ns0:v>2</ns0:v>
      </ns0:c>
      <ns0:c r="E1619" s="4" t="n">
        <ns0:v>500</ns0:v>
      </ns0:c>
      <ns0:c r="F1619" s="6" t="n">
        <ns0:v>0.3</ns0:v>
      </ns0:c>
      <ns0:c r="G1619" s="4" t="n">
        <ns0:v>3</ns0:v>
      </ns0:c>
      <ns0:c r="H1619" s="7" t="n">
        <ns0:v>7538.203152361983</ns0:v>
      </ns0:c>
      <ns0:c r="I1619" s="7" t="n">
        <ns0:v>3213.659766981528</ns0:v>
      </ns0:c>
      <ns0:c r="J1619" s="7" t="n">
        <ns0:v>964.0979300944585</ns0:v>
      </ns0:c>
      <ns0:c r="K1619" s="7" t="n">
        <ns0:v>18</ns0:v>
      </ns0:c>
      <ns0:c r="L1619" s="7" t="n">
        <ns0:v>38</ns0:v>
      </ns0:c>
      <ns0:c r="M1619" s="7" t="n">
        <ns0:v>-16401.80314168976</ns0:v>
      </ns0:c>
      <ns0:c r="N1619" s="7" t="n">
        <ns0:v>39359.24920136034</ns0:v>
      </ns0:c>
      <ns0:c r="O1619" s="7" t="n">
        <ns0:v>101939.3717531391</ns0:v>
      </ns0:c>
      <ns0:c r="P1619" s="7" t="n">
        <ns0:v>258389.678132586</ns0:v>
      </ns0:c>
      <ns0:c r="Q1619" s="7" t="n">
        <ns0:v>842190.9036503737</ns0:v>
      </ns0:c>
      <ns0:c r="R1619" s="7" t="n">
        <ns0:v>2962495.192962631</ns0:v>
      </ns0:c>
    </ns0:row>
    <ns0:row r="1620" ht="24" customHeight="1">
      <ns0:c r="A1620" s="3" t="inlineStr">
        <ns0:is>
          <ns0:t>混在40/30/30</ns0:t>
        </ns0:is>
      </ns0:c>
      <ns0:c r="B1620" s="3" t="inlineStr">
        <ns0:is>
          <ns0:t>G2二段階</ns0:t>
        </ns0:is>
      </ns0:c>
      <ns0:c r="C1620" s="3" t="inlineStr">
        <ns0:is>
          <ns0:t>C</ns0:t>
        </ns0:is>
      </ns0:c>
      <ns0:c r="D1620" s="4" t="n">
        <ns0:v>2</ns0:v>
      </ns0:c>
      <ns0:c r="E1620" s="4" t="n">
        <ns0:v>500</ns0:v>
      </ns0:c>
      <ns0:c r="F1620" s="6" t="n">
        <ns0:v>0.4</ns0:v>
      </ns0:c>
      <ns0:c r="G1620" s="4" t="n">
        <ns0:v>0</ns0:v>
      </ns0:c>
      <ns0:c r="H1620" s="7" t="n">
        <ns0:v>7538.203152361983</ns0:v>
      </ns0:c>
      <ns0:c r="I1620" s="7" t="n">
        <ns0:v>3213.659766981528</ns0:v>
      </ns0:c>
      <ns0:c r="J1620" s="7" t="n">
        <ns0:v>1285.463906792611</ns0:v>
      </ns0:c>
      <ns0:c r="K1620" s="7" t="n">
        <ns0:v>12</ns0:v>
      </ns0:c>
      <ns0:c r="L1620" s="7" t="n">
        <ns0:v>20</ns0:v>
      </ns0:c>
      <ns0:c r="M1620" s="7" t="n">
        <ns0:v>-9831.753248314515</ns0:v>
      </ns0:c>
      <ns0:c r="N1620" s="7" t="n">
        <ns0:v>59069.39888148609</ns0:v>
      </ns0:c>
      <ns0:c r="O1620" s="7" t="n">
        <ns0:v>134789.6212200154</ns0:v>
      </ns0:c>
      <ns0:c r="P1620" s="7" t="n">
        <ns0:v>324090.1770663385</ns0:v>
      </ns0:c>
      <ns0:c r="Q1620" s="7" t="n">
        <ns0:v>1039292.400451631</ns0:v>
      </ns0:c>
      <ns0:c r="R1620" s="7" t="n">
        <ns0:v>3619500.182300155</ns0:v>
      </ns0:c>
    </ns0:row>
    <ns0:row r="1621" ht="24" customHeight="1">
      <ns0:c r="A1621" s="3" t="inlineStr">
        <ns0:is>
          <ns0:t>混在40/30/30</ns0:t>
        </ns0:is>
      </ns0:c>
      <ns0:c r="B1621" s="3" t="inlineStr">
        <ns0:is>
          <ns0:t>G2二段階</ns0:t>
        </ns0:is>
      </ns0:c>
      <ns0:c r="C1621" s="3" t="inlineStr">
        <ns0:is>
          <ns0:t>C</ns0:t>
        </ns0:is>
      </ns0:c>
      <ns0:c r="D1621" s="4" t="n">
        <ns0:v>2</ns0:v>
      </ns0:c>
      <ns0:c r="E1621" s="4" t="n">
        <ns0:v>500</ns0:v>
      </ns0:c>
      <ns0:c r="F1621" s="6" t="n">
        <ns0:v>0.4</ns0:v>
      </ns0:c>
      <ns0:c r="G1621" s="4" t="n">
        <ns0:v>1</ns0:v>
      </ns0:c>
      <ns0:c r="H1621" s="7" t="n">
        <ns0:v>7538.203152361983</ns0:v>
      </ns0:c>
      <ns0:c r="I1621" s="7" t="n">
        <ns0:v>3213.659766981528</ns0:v>
      </ns0:c>
      <ns0:c r="J1621" s="7" t="n">
        <ns0:v>1285.463906792611</ns0:v>
      </ns0:c>
      <ns0:c r="K1621" s="7" t="n">
        <ns0:v>13</ns0:v>
      </ns0:c>
      <ns0:c r="L1621" s="7" t="n">
        <ns0:v>24</ns0:v>
      </ns0:c>
      <ns0:c r="M1621" s="7" t="n">
        <ns0:v>-13036.30857451942</ns0:v>
      </ns0:c>
      <ns0:c r="N1621" s="7" t="n">
        <ns0:v>49455.73290287138</ns0:v>
      </ns0:c>
      <ns0:c r="O1621" s="7" t="n">
        <ns0:v>118766.8445889908</ns0:v>
      </ns0:c>
      <ns0:c r="P1621" s="7" t="n">
        <ns0:v>292044.6238042895</ns0:v>
      </ns0:c>
      <ns0:c r="Q1621" s="7" t="n">
        <ns0:v>943155.740665484</ns0:v>
      </ns0:c>
      <ns0:c r="R1621" s="7" t="n">
        <ns0:v>3299044.649679665</ns0:v>
      </ns0:c>
    </ns0:row>
    <ns0:row r="1622" ht="24" customHeight="1">
      <ns0:c r="A1622" s="3" t="inlineStr">
        <ns0:is>
          <ns0:t>混在40/30/30</ns0:t>
        </ns0:is>
      </ns0:c>
      <ns0:c r="B1622" s="3" t="inlineStr">
        <ns0:is>
          <ns0:t>G2二段階</ns0:t>
        </ns0:is>
      </ns0:c>
      <ns0:c r="C1622" s="3" t="inlineStr">
        <ns0:is>
          <ns0:t>C</ns0:t>
        </ns0:is>
      </ns0:c>
      <ns0:c r="D1622" s="4" t="n">
        <ns0:v>2</ns0:v>
      </ns0:c>
      <ns0:c r="E1622" s="4" t="n">
        <ns0:v>500</ns0:v>
      </ns0:c>
      <ns0:c r="F1622" s="6" t="n">
        <ns0:v>0.4</ns0:v>
      </ns0:c>
      <ns0:c r="G1622" s="4" t="n">
        <ns0:v>2</ns0:v>
      </ns0:c>
      <ns0:c r="H1622" s="7" t="n">
        <ns0:v>7538.203152361983</ns0:v>
      </ns0:c>
      <ns0:c r="I1622" s="7" t="n">
        <ns0:v>3213.659766981528</ns0:v>
      </ns0:c>
      <ns0:c r="J1622" s="7" t="n">
        <ns0:v>1285.463906792611</ns0:v>
      </ns0:c>
      <ns0:c r="K1622" s="18" t="inlineStr">
        <ns0:is>
          <ns0:t>範囲内なし</ns0:t>
        </ns0:is>
      </ns0:c>
      <ns0:c r="L1622" s="18" t="inlineStr">
        <ns0:is>
          <ns0:t>範囲内なし</ns0:t>
        </ns0:is>
      </ns0:c>
      <ns0:c r="M1622" s="7" t="n">
        <ns0:v>-52608.6739230983</ns0:v>
      </ns0:c>
      <ns0:c r="N1622" s="7" t="n">
        <ns0:v>-69261.36314286529</ns0:v>
      </ns0:c>
      <ns0:c r="O1622" s="7" t="n">
        <ns0:v>-79094.98215390358</ns0:v>
      </ns0:c>
      <ns0:c r="P1622" s="7" t="n">
        <ns0:v>-103679.0296814993</ns0:v>
      </ns0:c>
      <ns0:c r="Q1622" s="7" t="n">
        <ns0:v>-244015.2197918824</ns0:v>
      </ns0:c>
      <ns0:c r="R1622" s="7" t="n">
        <ns0:v>-658191.8851782237</ns0:v>
      </ns0:c>
    </ns0:row>
    <ns0:row r="1623" ht="24" customHeight="1">
      <ns0:c r="A1623" s="3" t="inlineStr">
        <ns0:is>
          <ns0:t>混在40/30/30</ns0:t>
        </ns0:is>
      </ns0:c>
      <ns0:c r="B1623" s="3" t="inlineStr">
        <ns0:is>
          <ns0:t>G2二段階</ns0:t>
        </ns0:is>
      </ns0:c>
      <ns0:c r="C1623" s="3" t="inlineStr">
        <ns0:is>
          <ns0:t>C</ns0:t>
        </ns0:is>
      </ns0:c>
      <ns0:c r="D1623" s="4" t="n">
        <ns0:v>2</ns0:v>
      </ns0:c>
      <ns0:c r="E1623" s="4" t="n">
        <ns0:v>500</ns0:v>
      </ns0:c>
      <ns0:c r="F1623" s="6" t="n">
        <ns0:v>0.4</ns0:v>
      </ns0:c>
      <ns0:c r="G1623" s="4" t="n">
        <ns0:v>3</ns0:v>
      </ns0:c>
      <ns0:c r="H1623" s="7" t="n">
        <ns0:v>7538.203152361983</ns0:v>
      </ns0:c>
      <ns0:c r="I1623" s="7" t="n">
        <ns0:v>3213.659766981528</ns0:v>
      </ns0:c>
      <ns0:c r="J1623" s="7" t="n">
        <ns0:v>1285.463906792611</ns0:v>
      </ns0:c>
      <ns0:c r="K1623" s="7" t="n">
        <ns0:v>20</ns0:v>
      </ns0:c>
      <ns0:c r="L1623" s="7" t="n">
        <ns0:v>43</ns0:v>
      </ns0:c>
      <ns0:c r="M1623" s="7" t="n">
        <ns0:v>-19615.4629086713</ns0:v>
      </ns0:c>
      <ns0:c r="N1623" s="7" t="n">
        <ns0:v>29718.26990041575</ns0:v>
      </ns0:c>
      <ns0:c r="O1623" s="7" t="n">
        <ns0:v>85871.07291823148</ns0:v>
      </ns0:c>
      <ns0:c r="P1623" s="7" t="n">
        <ns0:v>226253.0804627707</ns0:v>
      </ns0:c>
      <ns0:c r="Q1623" s="7" t="n">
        <ns0:v>745781.1106409277</ns0:v>
      </ns0:c>
      <ns0:c r="R1623" s="7" t="n">
        <ns0:v>2641129.216264477</ns0:v>
      </ns0:c>
    </ns0:row>
    <ns0:row r="1624" ht="24" customHeight="1">
      <ns0:c r="A1624" s="3" t="inlineStr">
        <ns0:is>
          <ns0:t>混在40/30/30</ns0:t>
        </ns0:is>
      </ns0:c>
      <ns0:c r="B1624" s="3" t="inlineStr">
        <ns0:is>
          <ns0:t>G2二段階</ns0:t>
        </ns0:is>
      </ns0:c>
      <ns0:c r="C1624" s="3" t="inlineStr">
        <ns0:is>
          <ns0:t>C</ns0:t>
        </ns0:is>
      </ns0:c>
      <ns0:c r="D1624" s="4" t="n">
        <ns0:v>2</ns0:v>
      </ns0:c>
      <ns0:c r="E1624" s="4" t="n">
        <ns0:v>500</ns0:v>
      </ns0:c>
      <ns0:c r="F1624" s="6" t="n">
        <ns0:v>0.5</ns0:v>
      </ns0:c>
      <ns0:c r="G1624" s="4" t="n">
        <ns0:v>0</ns0:v>
      </ns0:c>
      <ns0:c r="H1624" s="7" t="n">
        <ns0:v>7538.203152361983</ns0:v>
      </ns0:c>
      <ns0:c r="I1624" s="7" t="n">
        <ns0:v>3213.659766981528</ns0:v>
      </ns0:c>
      <ns0:c r="J1624" s="7" t="n">
        <ns0:v>1606.829883490764</ns0:v>
      </ns0:c>
      <ns0:c r="K1624" s="7" t="n">
        <ns0:v>13</ns0:v>
      </ns0:c>
      <ns0:c r="L1624" s="7" t="n">
        <ns0:v>21</ns0:v>
      </ns0:c>
      <ns0:c r="M1624" s="7" t="n">
        <ns0:v>-13045.41301529604</ns0:v>
      </ns0:c>
      <ns0:c r="N1624" s="7" t="n">
        <ns0:v>49428.41958054151</ns0:v>
      </ns0:c>
      <ns0:c r="O1624" s="7" t="n">
        <ns0:v>118721.3223851077</ns0:v>
      </ns0:c>
      <ns0:c r="P1624" s="7" t="n">
        <ns0:v>291953.5793965233</ns0:v>
      </ns0:c>
      <ns0:c r="Q1624" s="7" t="n">
        <ns0:v>942882.6074421855</ns0:v>
      </ns0:c>
      <ns0:c r="R1624" s="7" t="n">
        <ns0:v>3298134.205602003</ns0:v>
      </ns0:c>
    </ns0:row>
    <ns0:row r="1625" ht="24" customHeight="1">
      <ns0:c r="A1625" s="3" t="inlineStr">
        <ns0:is>
          <ns0:t>混在40/30/30</ns0:t>
        </ns0:is>
      </ns0:c>
      <ns0:c r="B1625" s="3" t="inlineStr">
        <ns0:is>
          <ns0:t>G2二段階</ns0:t>
        </ns0:is>
      </ns0:c>
      <ns0:c r="C1625" s="3" t="inlineStr">
        <ns0:is>
          <ns0:t>C</ns0:t>
        </ns0:is>
      </ns0:c>
      <ns0:c r="D1625" s="4" t="n">
        <ns0:v>2</ns0:v>
      </ns0:c>
      <ns0:c r="E1625" s="4" t="n">
        <ns0:v>500</ns0:v>
      </ns0:c>
      <ns0:c r="F1625" s="6" t="n">
        <ns0:v>0.5</ns0:v>
      </ns0:c>
      <ns0:c r="G1625" s="4" t="n">
        <ns0:v>1</ns0:v>
      </ns0:c>
      <ns0:c r="H1625" s="7" t="n">
        <ns0:v>7538.203152361983</ns0:v>
      </ns0:c>
      <ns0:c r="I1625" s="7" t="n">
        <ns0:v>3213.659766981528</ns0:v>
      </ns0:c>
      <ns0:c r="J1625" s="7" t="n">
        <ns0:v>1606.829883490764</ns0:v>
      </ns0:c>
      <ns0:c r="K1625" s="7" t="n">
        <ns0:v>18</ns0:v>
      </ns0:c>
      <ns0:c r="L1625" s="7" t="n">
        <ns0:v>26</ns0:v>
      </ns0:c>
      <ns0:c r="M1625" s="7" t="n">
        <ns0:v>-16249.96834150094</ns0:v>
      </ns0:c>
      <ns0:c r="N1625" s="7" t="n">
        <ns0:v>39814.75360192679</ns0:v>
      </ns0:c>
      <ns0:c r="O1625" s="7" t="n">
        <ns0:v>102698.5457540832</ns0:v>
      </ns0:c>
      <ns0:c r="P1625" s="7" t="n">
        <ns0:v>259908.0261344742</ns0:v>
      </ns0:c>
      <ns0:c r="Q1625" s="7" t="n">
        <ns0:v>846745.9476560383</ns0:v>
      </ns0:c>
      <ns0:c r="R1625" s="7" t="n">
        <ns0:v>2977678.672981513</ns0:v>
      </ns0:c>
    </ns0:row>
    <ns0:row r="1626" ht="24" customHeight="1">
      <ns0:c r="A1626" s="3" t="inlineStr">
        <ns0:is>
          <ns0:t>混在40/30/30</ns0:t>
        </ns0:is>
      </ns0:c>
      <ns0:c r="B1626" s="3" t="inlineStr">
        <ns0:is>
          <ns0:t>G2二段階</ns0:t>
        </ns0:is>
      </ns0:c>
      <ns0:c r="C1626" s="3" t="inlineStr">
        <ns0:is>
          <ns0:t>C</ns0:t>
        </ns0:is>
      </ns0:c>
      <ns0:c r="D1626" s="4" t="n">
        <ns0:v>2</ns0:v>
      </ns0:c>
      <ns0:c r="E1626" s="4" t="n">
        <ns0:v>500</ns0:v>
      </ns0:c>
      <ns0:c r="F1626" s="6" t="n">
        <ns0:v>0.5</ns0:v>
      </ns0:c>
      <ns0:c r="G1626" s="4" t="n">
        <ns0:v>2</ns0:v>
      </ns0:c>
      <ns0:c r="H1626" s="7" t="n">
        <ns0:v>7538.203152361983</ns0:v>
      </ns0:c>
      <ns0:c r="I1626" s="7" t="n">
        <ns0:v>3213.659766981528</ns0:v>
      </ns0:c>
      <ns0:c r="J1626" s="7" t="n">
        <ns0:v>1606.829883490764</ns0:v>
      </ns0:c>
      <ns0:c r="K1626" s="18" t="inlineStr">
        <ns0:is>
          <ns0:t>範囲内なし</ns0:t>
        </ns0:is>
      </ns0:c>
      <ns0:c r="L1626" s="18" t="inlineStr">
        <ns0:is>
          <ns0:t>範囲内なし</ns0:t>
        </ns0:is>
      </ns0:c>
      <ns0:c r="M1626" s="7" t="n">
        <ns0:v>-55822.33369007983</ns0:v>
      </ns0:c>
      <ns0:c r="N1626" s="7" t="n">
        <ns0:v>-78902.34244380986</ns0:v>
      </ns0:c>
      <ns0:c r="O1626" s="7" t="n">
        <ns0:v>-95163.2809888112</ns0:v>
      </ns0:c>
      <ns0:c r="P1626" s="7" t="n">
        <ns0:v>-135815.6273513146</ns0:v>
      </ns0:c>
      <ns0:c r="Q1626" s="7" t="n">
        <ns0:v>-340425.0128013282</ns0:v>
      </ns0:c>
      <ns0:c r="R1626" s="7" t="n">
        <ns0:v>-979557.861876376</ns0:v>
      </ns0:c>
    </ns0:row>
    <ns0:row r="1627" ht="24" customHeight="1">
      <ns0:c r="A1627" s="3" t="inlineStr">
        <ns0:is>
          <ns0:t>混在40/30/30</ns0:t>
        </ns0:is>
      </ns0:c>
      <ns0:c r="B1627" s="3" t="inlineStr">
        <ns0:is>
          <ns0:t>G2二段階</ns0:t>
        </ns0:is>
      </ns0:c>
      <ns0:c r="C1627" s="3" t="inlineStr">
        <ns0:is>
          <ns0:t>C</ns0:t>
        </ns0:is>
      </ns0:c>
      <ns0:c r="D1627" s="4" t="n">
        <ns0:v>2</ns0:v>
      </ns0:c>
      <ns0:c r="E1627" s="4" t="n">
        <ns0:v>500</ns0:v>
      </ns0:c>
      <ns0:c r="F1627" s="6" t="n">
        <ns0:v>0.5</ns0:v>
      </ns0:c>
      <ns0:c r="G1627" s="4" t="n">
        <ns0:v>3</ns0:v>
      </ns0:c>
      <ns0:c r="H1627" s="7" t="n">
        <ns0:v>7538.203152361983</ns0:v>
      </ns0:c>
      <ns0:c r="I1627" s="7" t="n">
        <ns0:v>3213.659766981528</ns0:v>
      </ns0:c>
      <ns0:c r="J1627" s="7" t="n">
        <ns0:v>1606.829883490764</ns0:v>
      </ns0:c>
      <ns0:c r="K1627" s="7" t="n">
        <ns0:v>22</ns0:v>
      </ns0:c>
      <ns0:c r="L1627" s="7" t="n">
        <ns0:v>49</ns0:v>
      </ns0:c>
      <ns0:c r="M1627" s="7" t="n">
        <ns0:v>-22829.12267565282</ns0:v>
      </ns0:c>
      <ns0:c r="N1627" s="7" t="n">
        <ns0:v>20077.29059947117</ns0:v>
      </ns0:c>
      <ns0:c r="O1627" s="7" t="n">
        <ns0:v>69802.77408332383</ns0:v>
      </ns0:c>
      <ns0:c r="P1627" s="7" t="n">
        <ns0:v>194116.4827929555</ns0:v>
      </ns0:c>
      <ns0:c r="Q1627" s="7" t="n">
        <ns0:v>649371.317631482</ns0:v>
      </ns0:c>
      <ns0:c r="R1627" s="7" t="n">
        <ns0:v>2319763.239566325</ns0:v>
      </ns0:c>
    </ns0:row>
    <ns0:row r="1628" ht="24" customHeight="1">
      <ns0:c r="A1628" s="3" t="inlineStr">
        <ns0:is>
          <ns0:t>混在40/30/30</ns0:t>
        </ns0:is>
      </ns0:c>
      <ns0:c r="B1628" s="3" t="inlineStr">
        <ns0:is>
          <ns0:t>G2二段階</ns0:t>
        </ns0:is>
      </ns0:c>
      <ns0:c r="C1628" s="3" t="inlineStr">
        <ns0:is>
          <ns0:t>C</ns0:t>
        </ns0:is>
      </ns0:c>
      <ns0:c r="D1628" s="4" t="n">
        <ns0:v>2</ns0:v>
      </ns0:c>
      <ns0:c r="E1628" s="4" t="n">
        <ns0:v>1000</ns0:v>
      </ns0:c>
      <ns0:c r="F1628" s="6" t="n">
        <ns0:v>0.3</ns0:v>
      </ns0:c>
      <ns0:c r="G1628" s="4" t="n">
        <ns0:v>0</ns0:v>
      </ns0:c>
      <ns0:c r="H1628" s="7" t="n">
        <ns0:v>7388.203152361983</ns0:v>
      </ns0:c>
      <ns0:c r="I1628" s="7" t="n">
        <ns0:v>3063.659766981528</ns0:v>
      </ns0:c>
      <ns0:c r="J1628" s="7" t="n">
        <ns0:v>919.0979300944585</ns0:v>
      </ns0:c>
      <ns0:c r="K1628" s="7" t="n">
        <ns0:v>12</ns0:v>
      </ns0:c>
      <ns0:c r="L1628" s="7" t="n">
        <ns0:v>19</ns0:v>
      </ns0:c>
      <ns0:c r="M1628" s="7" t="n">
        <ns0:v>-7614.093481332984</ns0:v>
      </ns0:c>
      <ns0:c r="N1628" s="7" t="n">
        <ns0:v>65722.37818243069</ns0:v>
      </ns0:c>
      <ns0:c r="O1628" s="7" t="n">
        <ns0:v>145877.920054923</ns0:v>
      </ns0:c>
      <ns0:c r="P1628" s="7" t="n">
        <ns0:v>346266.7747361539</ns0:v>
      </ns0:c>
      <ns0:c r="Q1628" s="7" t="n">
        <ns0:v>1105822.193461077</ns0:v>
      </ns0:c>
      <ns0:c r="R1628" s="7" t="n">
        <ns0:v>3841266.158998309</ns0:v>
      </ns0:c>
    </ns0:row>
    <ns0:row r="1629" ht="24" customHeight="1">
      <ns0:c r="A1629" s="3" t="inlineStr">
        <ns0:is>
          <ns0:t>混在40/30/30</ns0:t>
        </ns0:is>
      </ns0:c>
      <ns0:c r="B1629" s="3" t="inlineStr">
        <ns0:is>
          <ns0:t>G2二段階</ns0:t>
        </ns0:is>
      </ns0:c>
      <ns0:c r="C1629" s="3" t="inlineStr">
        <ns0:is>
          <ns0:t>C</ns0:t>
        </ns0:is>
      </ns0:c>
      <ns0:c r="D1629" s="4" t="n">
        <ns0:v>2</ns0:v>
      </ns0:c>
      <ns0:c r="E1629" s="4" t="n">
        <ns0:v>1000</ns0:v>
      </ns0:c>
      <ns0:c r="F1629" s="6" t="n">
        <ns0:v>0.3</ns0:v>
      </ns0:c>
      <ns0:c r="G1629" s="4" t="n">
        <ns0:v>1</ns0:v>
      </ns0:c>
      <ns0:c r="H1629" s="7" t="n">
        <ns0:v>7388.203152361983</ns0:v>
      </ns0:c>
      <ns0:c r="I1629" s="7" t="n">
        <ns0:v>3063.659766981528</ns0:v>
      </ns0:c>
      <ns0:c r="J1629" s="7" t="n">
        <ns0:v>919.0979300944585</ns0:v>
      </ns0:c>
      <ns0:c r="K1629" s="7" t="n">
        <ns0:v>13</ns0:v>
      </ns0:c>
      <ns0:c r="L1629" s="7" t="n">
        <ns0:v>23</ns0:v>
      </ns0:c>
      <ns0:c r="M1629" s="7" t="n">
        <ns0:v>-10818.64880753789</ns0:v>
      </ns0:c>
      <ns0:c r="N1629" s="7" t="n">
        <ns0:v>56108.71220381597</ns0:v>
      </ns0:c>
      <ns0:c r="O1629" s="7" t="n">
        <ns0:v>129855.1434238985</ns0:v>
      </ns0:c>
      <ns0:c r="P1629" s="7" t="n">
        <ns0:v>314221.2214741048</ns0:v>
      </ns0:c>
      <ns0:c r="Q1629" s="7" t="n">
        <ns0:v>1009685.53367493</ns0:v>
      </ns0:c>
      <ns0:c r="R1629" s="7" t="n">
        <ns0:v>3520810.626377818</ns0:v>
      </ns0:c>
    </ns0:row>
    <ns0:row r="1630" ht="24" customHeight="1">
      <ns0:c r="A1630" s="3" t="inlineStr">
        <ns0:is>
          <ns0:t>混在40/30/30</ns0:t>
        </ns0:is>
      </ns0:c>
      <ns0:c r="B1630" s="3" t="inlineStr">
        <ns0:is>
          <ns0:t>G2二段階</ns0:t>
        </ns0:is>
      </ns0:c>
      <ns0:c r="C1630" s="3" t="inlineStr">
        <ns0:is>
          <ns0:t>C</ns0:t>
        </ns0:is>
      </ns0:c>
      <ns0:c r="D1630" s="4" t="n">
        <ns0:v>2</ns0:v>
      </ns0:c>
      <ns0:c r="E1630" s="4" t="n">
        <ns0:v>1000</ns0:v>
      </ns0:c>
      <ns0:c r="F1630" s="6" t="n">
        <ns0:v>0.3</ns0:v>
      </ns0:c>
      <ns0:c r="G1630" s="4" t="n">
        <ns0:v>2</ns0:v>
      </ns0:c>
      <ns0:c r="H1630" s="7" t="n">
        <ns0:v>7388.203152361983</ns0:v>
      </ns0:c>
      <ns0:c r="I1630" s="7" t="n">
        <ns0:v>3063.659766981528</ns0:v>
      </ns0:c>
      <ns0:c r="J1630" s="7" t="n">
        <ns0:v>919.0979300944585</ns0:v>
      </ns0:c>
      <ns0:c r="K1630" s="18" t="inlineStr">
        <ns0:is>
          <ns0:t>範囲内なし</ns0:t>
        </ns0:is>
      </ns0:c>
      <ns0:c r="L1630" s="18" t="inlineStr">
        <ns0:is>
          <ns0:t>範囲内なし</ns0:t>
        </ns0:is>
      </ns0:c>
      <ns0:c r="M1630" s="7" t="n">
        <ns0:v>-50391.01415611677</ns0:v>
      </ns0:c>
      <ns0:c r="N1630" s="7" t="n">
        <ns0:v>-62608.38384192069</ns0:v>
      </ns0:c>
      <ns0:c r="O1630" s="7" t="n">
        <ns0:v>-68006.6833189959</ns0:v>
      </ns0:c>
      <ns0:c r="P1630" s="7" t="n">
        <ns0:v>-81502.432011684</ns0:v>
      </ns0:c>
      <ns0:c r="Q1630" s="7" t="n">
        <ns0:v>-177485.4267824366</ns0:v>
      </ns0:c>
      <ns0:c r="R1630" s="7" t="n">
        <ns0:v>-436425.9084800705</ns0:v>
      </ns0:c>
    </ns0:row>
    <ns0:row r="1631" ht="24" customHeight="1">
      <ns0:c r="A1631" s="3" t="inlineStr">
        <ns0:is>
          <ns0:t>混在40/30/30</ns0:t>
        </ns0:is>
      </ns0:c>
      <ns0:c r="B1631" s="3" t="inlineStr">
        <ns0:is>
          <ns0:t>G2二段階</ns0:t>
        </ns0:is>
      </ns0:c>
      <ns0:c r="C1631" s="3" t="inlineStr">
        <ns0:is>
          <ns0:t>C</ns0:t>
        </ns0:is>
      </ns0:c>
      <ns0:c r="D1631" s="4" t="n">
        <ns0:v>2</ns0:v>
      </ns0:c>
      <ns0:c r="E1631" s="4" t="n">
        <ns0:v>1000</ns0:v>
      </ns0:c>
      <ns0:c r="F1631" s="6" t="n">
        <ns0:v>0.3</ns0:v>
      </ns0:c>
      <ns0:c r="G1631" s="4" t="n">
        <ns0:v>3</ns0:v>
      </ns0:c>
      <ns0:c r="H1631" s="7" t="n">
        <ns0:v>7388.203152361983</ns0:v>
      </ns0:c>
      <ns0:c r="I1631" s="7" t="n">
        <ns0:v>3063.659766981528</ns0:v>
      </ns0:c>
      <ns0:c r="J1631" s="7" t="n">
        <ns0:v>919.0979300944585</ns0:v>
      </ns0:c>
      <ns0:c r="K1631" s="7" t="n">
        <ns0:v>18</ns0:v>
      </ns0:c>
      <ns0:c r="L1631" s="7" t="n">
        <ns0:v>39</ns0:v>
      </ns0:c>
      <ns0:c r="M1631" s="7" t="n">
        <ns0:v>-17397.80314168976</ns0:v>
      </ns0:c>
      <ns0:c r="N1631" s="7" t="n">
        <ns0:v>36371.24920136035</ns0:v>
      </ns0:c>
      <ns0:c r="O1631" s="7" t="n">
        <ns0:v>96959.37175313913</ns0:v>
      </ns0:c>
      <ns0:c r="P1631" s="7" t="n">
        <ns0:v>248429.6781325861</ns0:v>
      </ns0:c>
      <ns0:c r="Q1631" s="7" t="n">
        <ns0:v>812310.9036503736</ns0:v>
      </ns0:c>
      <ns0:c r="R1631" s="7" t="n">
        <ns0:v>2862895.19296263</ns0:v>
      </ns0:c>
    </ns0:row>
    <ns0:row r="1632" ht="24" customHeight="1">
      <ns0:c r="A1632" s="3" t="inlineStr">
        <ns0:is>
          <ns0:t>混在40/30/30</ns0:t>
        </ns0:is>
      </ns0:c>
      <ns0:c r="B1632" s="3" t="inlineStr">
        <ns0:is>
          <ns0:t>G2二段階</ns0:t>
        </ns0:is>
      </ns0:c>
      <ns0:c r="C1632" s="3" t="inlineStr">
        <ns0:is>
          <ns0:t>C</ns0:t>
        </ns0:is>
      </ns0:c>
      <ns0:c r="D1632" s="4" t="n">
        <ns0:v>2</ns0:v>
      </ns0:c>
      <ns0:c r="E1632" s="4" t="n">
        <ns0:v>1000</ns0:v>
      </ns0:c>
      <ns0:c r="F1632" s="6" t="n">
        <ns0:v>0.4</ns0:v>
      </ns0:c>
      <ns0:c r="G1632" s="4" t="n">
        <ns0:v>0</ns0:v>
      </ns0:c>
      <ns0:c r="H1632" s="7" t="n">
        <ns0:v>7388.203152361983</ns0:v>
      </ns0:c>
      <ns0:c r="I1632" s="7" t="n">
        <ns0:v>3063.659766981528</ns0:v>
      </ns0:c>
      <ns0:c r="J1632" s="7" t="n">
        <ns0:v>1225.463906792612</ns0:v>
      </ns0:c>
      <ns0:c r="K1632" s="7" t="n">
        <ns0:v>13</ns0:v>
      </ns0:c>
      <ns0:c r="L1632" s="7" t="n">
        <ns0:v>20</ns0:v>
      </ns0:c>
      <ns0:c r="M1632" s="7" t="n">
        <ns0:v>-10677.75324831452</ns0:v>
      </ns0:c>
      <ns0:c r="N1632" s="7" t="n">
        <ns0:v>56531.3988814861</ns0:v>
      </ns0:c>
      <ns0:c r="O1632" s="7" t="n">
        <ns0:v>130559.6212200154</ns0:v>
      </ns0:c>
      <ns0:c r="P1632" s="7" t="n">
        <ns0:v>315630.1770663385</ns0:v>
      </ns0:c>
      <ns0:c r="Q1632" s="7" t="n">
        <ns0:v>1013912.400451631</ns0:v>
      </ns0:c>
      <ns0:c r="R1632" s="7" t="n">
        <ns0:v>3534900.182300155</ns0:v>
      </ns0:c>
    </ns0:row>
    <ns0:row r="1633" ht="24" customHeight="1">
      <ns0:c r="A1633" s="3" t="inlineStr">
        <ns0:is>
          <ns0:t>混在40/30/30</ns0:t>
        </ns0:is>
      </ns0:c>
      <ns0:c r="B1633" s="3" t="inlineStr">
        <ns0:is>
          <ns0:t>G2二段階</ns0:t>
        </ns0:is>
      </ns0:c>
      <ns0:c r="C1633" s="3" t="inlineStr">
        <ns0:is>
          <ns0:t>C</ns0:t>
        </ns0:is>
      </ns0:c>
      <ns0:c r="D1633" s="4" t="n">
        <ns0:v>2</ns0:v>
      </ns0:c>
      <ns0:c r="E1633" s="4" t="n">
        <ns0:v>1000</ns0:v>
      </ns0:c>
      <ns0:c r="F1633" s="6" t="n">
        <ns0:v>0.4</ns0:v>
      </ns0:c>
      <ns0:c r="G1633" s="4" t="n">
        <ns0:v>1</ns0:v>
      </ns0:c>
      <ns0:c r="H1633" s="7" t="n">
        <ns0:v>7388.203152361983</ns0:v>
      </ns0:c>
      <ns0:c r="I1633" s="7" t="n">
        <ns0:v>3063.659766981528</ns0:v>
      </ns0:c>
      <ns0:c r="J1633" s="7" t="n">
        <ns0:v>1225.463906792612</ns0:v>
      </ns0:c>
      <ns0:c r="K1633" s="7" t="n">
        <ns0:v>13</ns0:v>
      </ns0:c>
      <ns0:c r="L1633" s="7" t="n">
        <ns0:v>24</ns0:v>
      </ns0:c>
      <ns0:c r="M1633" s="7" t="n">
        <ns0:v>-13882.30857451942</ns0:v>
      </ns0:c>
      <ns0:c r="N1633" s="7" t="n">
        <ns0:v>46917.73290287139</ns0:v>
      </ns0:c>
      <ns0:c r="O1633" s="7" t="n">
        <ns0:v>114536.8445889908</ns0:v>
      </ns0:c>
      <ns0:c r="P1633" s="7" t="n">
        <ns0:v>283584.6238042895</ns0:v>
      </ns0:c>
      <ns0:c r="Q1633" s="7" t="n">
        <ns0:v>917775.7406654841</ns0:v>
      </ns0:c>
      <ns0:c r="R1633" s="7" t="n">
        <ns0:v>3214444.649679665</ns0:v>
      </ns0:c>
    </ns0:row>
    <ns0:row r="1634" ht="24" customHeight="1">
      <ns0:c r="A1634" s="3" t="inlineStr">
        <ns0:is>
          <ns0:t>混在40/30/30</ns0:t>
        </ns0:is>
      </ns0:c>
      <ns0:c r="B1634" s="3" t="inlineStr">
        <ns0:is>
          <ns0:t>G2二段階</ns0:t>
        </ns0:is>
      </ns0:c>
      <ns0:c r="C1634" s="3" t="inlineStr">
        <ns0:is>
          <ns0:t>C</ns0:t>
        </ns0:is>
      </ns0:c>
      <ns0:c r="D1634" s="4" t="n">
        <ns0:v>2</ns0:v>
      </ns0:c>
      <ns0:c r="E1634" s="4" t="n">
        <ns0:v>1000</ns0:v>
      </ns0:c>
      <ns0:c r="F1634" s="6" t="n">
        <ns0:v>0.4</ns0:v>
      </ns0:c>
      <ns0:c r="G1634" s="4" t="n">
        <ns0:v>2</ns0:v>
      </ns0:c>
      <ns0:c r="H1634" s="7" t="n">
        <ns0:v>7388.203152361983</ns0:v>
      </ns0:c>
      <ns0:c r="I1634" s="7" t="n">
        <ns0:v>3063.659766981528</ns0:v>
      </ns0:c>
      <ns0:c r="J1634" s="7" t="n">
        <ns0:v>1225.463906792612</ns0:v>
      </ns0:c>
      <ns0:c r="K1634" s="18" t="inlineStr">
        <ns0:is>
          <ns0:t>範囲内なし</ns0:t>
        </ns0:is>
      </ns0:c>
      <ns0:c r="L1634" s="18" t="inlineStr">
        <ns0:is>
          <ns0:t>範囲内なし</ns0:t>
        </ns0:is>
      </ns0:c>
      <ns0:c r="M1634" s="7" t="n">
        <ns0:v>-53454.6739230983</ns0:v>
      </ns0:c>
      <ns0:c r="N1634" s="7" t="n">
        <ns0:v>-71799.36314286526</ns0:v>
      </ns0:c>
      <ns0:c r="O1634" s="7" t="n">
        <ns0:v>-83324.98215390358</ns0:v>
      </ns0:c>
      <ns0:c r="P1634" s="7" t="n">
        <ns0:v>-112139.0296814993</ns0:v>
      </ns0:c>
      <ns0:c r="Q1634" s="7" t="n">
        <ns0:v>-269395.2197918823</ns0:v>
      </ns0:c>
      <ns0:c r="R1634" s="7" t="n">
        <ns0:v>-742791.8851782237</ns0:v>
      </ns0:c>
    </ns0:row>
    <ns0:row r="1635" ht="24" customHeight="1">
      <ns0:c r="A1635" s="3" t="inlineStr">
        <ns0:is>
          <ns0:t>混在40/30/30</ns0:t>
        </ns0:is>
      </ns0:c>
      <ns0:c r="B1635" s="3" t="inlineStr">
        <ns0:is>
          <ns0:t>G2二段階</ns0:t>
        </ns0:is>
      </ns0:c>
      <ns0:c r="C1635" s="3" t="inlineStr">
        <ns0:is>
          <ns0:t>C</ns0:t>
        </ns0:is>
      </ns0:c>
      <ns0:c r="D1635" s="4" t="n">
        <ns0:v>2</ns0:v>
      </ns0:c>
      <ns0:c r="E1635" s="4" t="n">
        <ns0:v>1000</ns0:v>
      </ns0:c>
      <ns0:c r="F1635" s="6" t="n">
        <ns0:v>0.4</ns0:v>
      </ns0:c>
      <ns0:c r="G1635" s="4" t="n">
        <ns0:v>3</ns0:v>
      </ns0:c>
      <ns0:c r="H1635" s="7" t="n">
        <ns0:v>7388.203152361983</ns0:v>
      </ns0:c>
      <ns0:c r="I1635" s="7" t="n">
        <ns0:v>3063.659766981528</ns0:v>
      </ns0:c>
      <ns0:c r="J1635" s="7" t="n">
        <ns0:v>1225.463906792612</ns0:v>
      </ns0:c>
      <ns0:c r="K1635" s="7" t="n">
        <ns0:v>21</ns0:v>
      </ns0:c>
      <ns0:c r="L1635" s="7" t="n">
        <ns0:v>44</ns0:v>
      </ns0:c>
      <ns0:c r="M1635" s="7" t="n">
        <ns0:v>-20461.4629086713</ns0:v>
      </ns0:c>
      <ns0:c r="N1635" s="7" t="n">
        <ns0:v>27180.26990041576</ns0:v>
      </ns0:c>
      <ns0:c r="O1635" s="7" t="n">
        <ns0:v>81641.07291823148</ns0:v>
      </ns0:c>
      <ns0:c r="P1635" s="7" t="n">
        <ns0:v>217793.0804627707</ns0:v>
      </ns0:c>
      <ns0:c r="Q1635" s="7" t="n">
        <ns0:v>720401.1106409278</ns0:v>
      </ns0:c>
      <ns0:c r="R1635" s="7" t="n">
        <ns0:v>2556529.216264477</ns0:v>
      </ns0:c>
    </ns0:row>
    <ns0:row r="1636" ht="24" customHeight="1">
      <ns0:c r="A1636" s="3" t="inlineStr">
        <ns0:is>
          <ns0:t>混在40/30/30</ns0:t>
        </ns0:is>
      </ns0:c>
      <ns0:c r="B1636" s="3" t="inlineStr">
        <ns0:is>
          <ns0:t>G2二段階</ns0:t>
        </ns0:is>
      </ns0:c>
      <ns0:c r="C1636" s="3" t="inlineStr">
        <ns0:is>
          <ns0:t>C</ns0:t>
        </ns0:is>
      </ns0:c>
      <ns0:c r="D1636" s="4" t="n">
        <ns0:v>2</ns0:v>
      </ns0:c>
      <ns0:c r="E1636" s="4" t="n">
        <ns0:v>1000</ns0:v>
      </ns0:c>
      <ns0:c r="F1636" s="6" t="n">
        <ns0:v>0.5</ns0:v>
      </ns0:c>
      <ns0:c r="G1636" s="4" t="n">
        <ns0:v>0</ns0:v>
      </ns0:c>
      <ns0:c r="H1636" s="7" t="n">
        <ns0:v>7388.203152361983</ns0:v>
      </ns0:c>
      <ns0:c r="I1636" s="7" t="n">
        <ns0:v>3063.659766981528</ns0:v>
      </ns0:c>
      <ns0:c r="J1636" s="7" t="n">
        <ns0:v>1531.829883490764</ns0:v>
      </ns0:c>
      <ns0:c r="K1636" s="7" t="n">
        <ns0:v>13</ns0:v>
      </ns0:c>
      <ns0:c r="L1636" s="7" t="n">
        <ns0:v>21</ns0:v>
      </ns0:c>
      <ns0:c r="M1636" s="7" t="n">
        <ns0:v>-13741.41301529605</ns0:v>
      </ns0:c>
      <ns0:c r="N1636" s="7" t="n">
        <ns0:v>47340.41958054152</ns0:v>
      </ns0:c>
      <ns0:c r="O1636" s="7" t="n">
        <ns0:v>115241.3223851077</ns0:v>
      </ns0:c>
      <ns0:c r="P1636" s="7" t="n">
        <ns0:v>284993.5793965232</ns0:v>
      </ns0:c>
      <ns0:c r="Q1636" s="7" t="n">
        <ns0:v>922002.6074421853</ns0:v>
      </ns0:c>
      <ns0:c r="R1636" s="7" t="n">
        <ns0:v>3228534.205602002</ns0:v>
      </ns0:c>
    </ns0:row>
    <ns0:row r="1637" ht="24" customHeight="1">
      <ns0:c r="A1637" s="3" t="inlineStr">
        <ns0:is>
          <ns0:t>混在40/30/30</ns0:t>
        </ns0:is>
      </ns0:c>
      <ns0:c r="B1637" s="3" t="inlineStr">
        <ns0:is>
          <ns0:t>G2二段階</ns0:t>
        </ns0:is>
      </ns0:c>
      <ns0:c r="C1637" s="3" t="inlineStr">
        <ns0:is>
          <ns0:t>C</ns0:t>
        </ns0:is>
      </ns0:c>
      <ns0:c r="D1637" s="4" t="n">
        <ns0:v>2</ns0:v>
      </ns0:c>
      <ns0:c r="E1637" s="4" t="n">
        <ns0:v>1000</ns0:v>
      </ns0:c>
      <ns0:c r="F1637" s="6" t="n">
        <ns0:v>0.5</ns0:v>
      </ns0:c>
      <ns0:c r="G1637" s="4" t="n">
        <ns0:v>1</ns0:v>
      </ns0:c>
      <ns0:c r="H1637" s="7" t="n">
        <ns0:v>7388.203152361983</ns0:v>
      </ns0:c>
      <ns0:c r="I1637" s="7" t="n">
        <ns0:v>3063.659766981528</ns0:v>
      </ns0:c>
      <ns0:c r="J1637" s="7" t="n">
        <ns0:v>1531.829883490764</ns0:v>
      </ns0:c>
      <ns0:c r="K1637" s="7" t="n">
        <ns0:v>18</ns0:v>
      </ns0:c>
      <ns0:c r="L1637" s="7" t="n">
        <ns0:v>26</ns0:v>
      </ns0:c>
      <ns0:c r="M1637" s="7" t="n">
        <ns0:v>-16945.96834150095</ns0:v>
      </ns0:c>
      <ns0:c r="N1637" s="7" t="n">
        <ns0:v>37726.75360192681</ns0:v>
      </ns0:c>
      <ns0:c r="O1637" s="7" t="n">
        <ns0:v>99218.5457540832</ns0:v>
      </ns0:c>
      <ns0:c r="P1637" s="7" t="n">
        <ns0:v>252948.0261344742</ns0:v>
      </ns0:c>
      <ns0:c r="Q1637" s="7" t="n">
        <ns0:v>825865.9476560382</ns0:v>
      </ns0:c>
      <ns0:c r="R1637" s="7" t="n">
        <ns0:v>2908078.672981512</ns0:v>
      </ns0:c>
    </ns0:row>
    <ns0:row r="1638" ht="24" customHeight="1">
      <ns0:c r="A1638" s="3" t="inlineStr">
        <ns0:is>
          <ns0:t>混在40/30/30</ns0:t>
        </ns0:is>
      </ns0:c>
      <ns0:c r="B1638" s="3" t="inlineStr">
        <ns0:is>
          <ns0:t>G2二段階</ns0:t>
        </ns0:is>
      </ns0:c>
      <ns0:c r="C1638" s="3" t="inlineStr">
        <ns0:is>
          <ns0:t>C</ns0:t>
        </ns0:is>
      </ns0:c>
      <ns0:c r="D1638" s="4" t="n">
        <ns0:v>2</ns0:v>
      </ns0:c>
      <ns0:c r="E1638" s="4" t="n">
        <ns0:v>1000</ns0:v>
      </ns0:c>
      <ns0:c r="F1638" s="6" t="n">
        <ns0:v>0.5</ns0:v>
      </ns0:c>
      <ns0:c r="G1638" s="4" t="n">
        <ns0:v>2</ns0:v>
      </ns0:c>
      <ns0:c r="H1638" s="7" t="n">
        <ns0:v>7388.203152361983</ns0:v>
      </ns0:c>
      <ns0:c r="I1638" s="7" t="n">
        <ns0:v>3063.659766981528</ns0:v>
      </ns0:c>
      <ns0:c r="J1638" s="7" t="n">
        <ns0:v>1531.829883490764</ns0:v>
      </ns0:c>
      <ns0:c r="K1638" s="18" t="inlineStr">
        <ns0:is>
          <ns0:t>範囲内なし</ns0:t>
        </ns0:is>
      </ns0:c>
      <ns0:c r="L1638" s="18" t="inlineStr">
        <ns0:is>
          <ns0:t>範囲内なし</ns0:t>
        </ns0:is>
      </ns0:c>
      <ns0:c r="M1638" s="7" t="n">
        <ns0:v>-56518.33369007983</ns0:v>
      </ns0:c>
      <ns0:c r="N1638" s="7" t="n">
        <ns0:v>-80990.34244380986</ns0:v>
      </ns0:c>
      <ns0:c r="O1638" s="7" t="n">
        <ns0:v>-98643.28098881122</ns0:v>
      </ns0:c>
      <ns0:c r="P1638" s="7" t="n">
        <ns0:v>-142775.6273513146</ns0:v>
      </ns0:c>
      <ns0:c r="Q1638" s="7" t="n">
        <ns0:v>-361305.0128013283</ns0:v>
      </ns0:c>
      <ns0:c r="R1638" s="7" t="n">
        <ns0:v>-1049157.861876376</ns0:v>
      </ns0:c>
    </ns0:row>
    <ns0:row r="1639" ht="24" customHeight="1">
      <ns0:c r="A1639" s="3" t="inlineStr">
        <ns0:is>
          <ns0:t>混在40/30/30</ns0:t>
        </ns0:is>
      </ns0:c>
      <ns0:c r="B1639" s="3" t="inlineStr">
        <ns0:is>
          <ns0:t>G2二段階</ns0:t>
        </ns0:is>
      </ns0:c>
      <ns0:c r="C1639" s="3" t="inlineStr">
        <ns0:is>
          <ns0:t>C</ns0:t>
        </ns0:is>
      </ns0:c>
      <ns0:c r="D1639" s="4" t="n">
        <ns0:v>2</ns0:v>
      </ns0:c>
      <ns0:c r="E1639" s="4" t="n">
        <ns0:v>1000</ns0:v>
      </ns0:c>
      <ns0:c r="F1639" s="6" t="n">
        <ns0:v>0.5</ns0:v>
      </ns0:c>
      <ns0:c r="G1639" s="4" t="n">
        <ns0:v>3</ns0:v>
      </ns0:c>
      <ns0:c r="H1639" s="7" t="n">
        <ns0:v>7388.203152361983</ns0:v>
      </ns0:c>
      <ns0:c r="I1639" s="7" t="n">
        <ns0:v>3063.659766981528</ns0:v>
      </ns0:c>
      <ns0:c r="J1639" s="7" t="n">
        <ns0:v>1531.829883490764</ns0:v>
      </ns0:c>
      <ns0:c r="K1639" s="7" t="n">
        <ns0:v>23</ns0:v>
      </ns0:c>
      <ns0:c r="L1639" s="7" t="n">
        <ns0:v>51</ns0:v>
      </ns0:c>
      <ns0:c r="M1639" s="7" t="n">
        <ns0:v>-23525.12267565283</ns0:v>
      </ns0:c>
      <ns0:c r="N1639" s="7" t="n">
        <ns0:v>17989.29059947118</ns0:v>
      </ns0:c>
      <ns0:c r="O1639" s="7" t="n">
        <ns0:v>66322.77408332381</ns0:v>
      </ns0:c>
      <ns0:c r="P1639" s="7" t="n">
        <ns0:v>187156.4827929554</ns0:v>
      </ns0:c>
      <ns0:c r="Q1639" s="7" t="n">
        <ns0:v>628491.3176314819</ns0:v>
      </ns0:c>
      <ns0:c r="R1639" s="7" t="n">
        <ns0:v>2250163.239566324</ns0:v>
      </ns0:c>
    </ns0:row>
    <ns0:row r="1640" ht="24" customHeight="1">
      <ns0:c r="A1640" s="3" t="inlineStr">
        <ns0:is>
          <ns0:t>混在40/30/30</ns0:t>
        </ns0:is>
      </ns0:c>
      <ns0:c r="B1640" s="3" t="inlineStr">
        <ns0:is>
          <ns0:t>G2二段階</ns0:t>
        </ns0:is>
      </ns0:c>
      <ns0:c r="C1640" s="3" t="inlineStr">
        <ns0:is>
          <ns0:t>C</ns0:t>
        </ns0:is>
      </ns0:c>
      <ns0:c r="D1640" s="4" t="n">
        <ns0:v>2</ns0:v>
      </ns0:c>
      <ns0:c r="E1640" s="4" t="n">
        <ns0:v>1500</ns0:v>
      </ns0:c>
      <ns0:c r="F1640" s="6" t="n">
        <ns0:v>0.3</ns0:v>
      </ns0:c>
      <ns0:c r="G1640" s="4" t="n">
        <ns0:v>0</ns0:v>
      </ns0:c>
      <ns0:c r="H1640" s="7" t="n">
        <ns0:v>7238.203152361983</ns0:v>
      </ns0:c>
      <ns0:c r="I1640" s="7" t="n">
        <ns0:v>2913.659766981528</ns0:v>
      </ns0:c>
      <ns0:c r="J1640" s="7" t="n">
        <ns0:v>874.0979300944584</ns0:v>
      </ns0:c>
      <ns0:c r="K1640" s="7" t="n">
        <ns0:v>12</ns0:v>
      </ns0:c>
      <ns0:c r="L1640" s="7" t="n">
        <ns0:v>19</ns0:v>
      </ns0:c>
      <ns0:c r="M1640" s="7" t="n">
        <ns0:v>-8610.093481332977</ns0:v>
      </ns0:c>
      <ns0:c r="N1640" s="7" t="n">
        <ns0:v>62734.37818243067</ns0:v>
      </ns0:c>
      <ns0:c r="O1640" s="7" t="n">
        <ns0:v>140897.920054923</ns0:v>
      </ns0:c>
      <ns0:c r="P1640" s="7" t="n">
        <ns0:v>336306.7747361538</ns0:v>
      </ns0:c>
      <ns0:c r="Q1640" s="7" t="n">
        <ns0:v>1075942.193461077</ns0:v>
      </ns0:c>
      <ns0:c r="R1640" s="7" t="n">
        <ns0:v>3741666.158998308</ns0:v>
      </ns0:c>
    </ns0:row>
    <ns0:row r="1641" ht="24" customHeight="1">
      <ns0:c r="A1641" s="3" t="inlineStr">
        <ns0:is>
          <ns0:t>混在40/30/30</ns0:t>
        </ns0:is>
      </ns0:c>
      <ns0:c r="B1641" s="3" t="inlineStr">
        <ns0:is>
          <ns0:t>G2二段階</ns0:t>
        </ns0:is>
      </ns0:c>
      <ns0:c r="C1641" s="3" t="inlineStr">
        <ns0:is>
          <ns0:t>C</ns0:t>
        </ns0:is>
      </ns0:c>
      <ns0:c r="D1641" s="4" t="n">
        <ns0:v>2</ns0:v>
      </ns0:c>
      <ns0:c r="E1641" s="4" t="n">
        <ns0:v>1500</ns0:v>
      </ns0:c>
      <ns0:c r="F1641" s="6" t="n">
        <ns0:v>0.3</ns0:v>
      </ns0:c>
      <ns0:c r="G1641" s="4" t="n">
        <ns0:v>1</ns0:v>
      </ns0:c>
      <ns0:c r="H1641" s="7" t="n">
        <ns0:v>7238.203152361983</ns0:v>
      </ns0:c>
      <ns0:c r="I1641" s="7" t="n">
        <ns0:v>2913.659766981528</ns0:v>
      </ns0:c>
      <ns0:c r="J1641" s="7" t="n">
        <ns0:v>874.0979300944584</ns0:v>
      </ns0:c>
      <ns0:c r="K1641" s="7" t="n">
        <ns0:v>13</ns0:v>
      </ns0:c>
      <ns0:c r="L1641" s="7" t="n">
        <ns0:v>23</ns0:v>
      </ns0:c>
      <ns0:c r="M1641" s="7" t="n">
        <ns0:v>-11814.64880753788</ns0:v>
      </ns0:c>
      <ns0:c r="N1641" s="7" t="n">
        <ns0:v>53120.71220381596</ns0:v>
      </ns0:c>
      <ns0:c r="O1641" s="7" t="n">
        <ns0:v>124875.1434238985</ns0:v>
      </ns0:c>
      <ns0:c r="P1641" s="7" t="n">
        <ns0:v>304261.2214741047</ns0:v>
      </ns0:c>
      <ns0:c r="Q1641" s="7" t="n">
        <ns0:v>979805.5336749299</ns0:v>
      </ns0:c>
      <ns0:c r="R1641" s="7" t="n">
        <ns0:v>3421210.626377818</ns0:v>
      </ns0:c>
    </ns0:row>
    <ns0:row r="1642" ht="24" customHeight="1">
      <ns0:c r="A1642" s="3" t="inlineStr">
        <ns0:is>
          <ns0:t>混在40/30/30</ns0:t>
        </ns0:is>
      </ns0:c>
      <ns0:c r="B1642" s="3" t="inlineStr">
        <ns0:is>
          <ns0:t>G2二段階</ns0:t>
        </ns0:is>
      </ns0:c>
      <ns0:c r="C1642" s="3" t="inlineStr">
        <ns0:is>
          <ns0:t>C</ns0:t>
        </ns0:is>
      </ns0:c>
      <ns0:c r="D1642" s="4" t="n">
        <ns0:v>2</ns0:v>
      </ns0:c>
      <ns0:c r="E1642" s="4" t="n">
        <ns0:v>1500</ns0:v>
      </ns0:c>
      <ns0:c r="F1642" s="6" t="n">
        <ns0:v>0.3</ns0:v>
      </ns0:c>
      <ns0:c r="G1642" s="4" t="n">
        <ns0:v>2</ns0:v>
      </ns0:c>
      <ns0:c r="H1642" s="7" t="n">
        <ns0:v>7238.203152361983</ns0:v>
      </ns0:c>
      <ns0:c r="I1642" s="7" t="n">
        <ns0:v>2913.659766981528</ns0:v>
      </ns0:c>
      <ns0:c r="J1642" s="7" t="n">
        <ns0:v>874.0979300944584</ns0:v>
      </ns0:c>
      <ns0:c r="K1642" s="18" t="inlineStr">
        <ns0:is>
          <ns0:t>範囲内なし</ns0:t>
        </ns0:is>
      </ns0:c>
      <ns0:c r="L1642" s="18" t="inlineStr">
        <ns0:is>
          <ns0:t>範囲内なし</ns0:t>
        </ns0:is>
      </ns0:c>
      <ns0:c r="M1642" s="7" t="n">
        <ns0:v>-51387.01415611676</ns0:v>
      </ns0:c>
      <ns0:c r="N1642" s="7" t="n">
        <ns0:v>-65596.38384192069</ns0:v>
      </ns0:c>
      <ns0:c r="O1642" s="7" t="n">
        <ns0:v>-72986.68331899596</ns0:v>
      </ns0:c>
      <ns0:c r="P1642" s="7" t="n">
        <ns0:v>-91462.43201168411</ns0:v>
      </ns0:c>
      <ns0:c r="Q1642" s="7" t="n">
        <ns0:v>-207365.4267824366</ns0:v>
      </ns0:c>
      <ns0:c r="R1642" s="7" t="n">
        <ns0:v>-536025.908480071</ns0:v>
      </ns0:c>
    </ns0:row>
    <ns0:row r="1643" ht="24" customHeight="1">
      <ns0:c r="A1643" s="3" t="inlineStr">
        <ns0:is>
          <ns0:t>混在40/30/30</ns0:t>
        </ns0:is>
      </ns0:c>
      <ns0:c r="B1643" s="3" t="inlineStr">
        <ns0:is>
          <ns0:t>G2二段階</ns0:t>
        </ns0:is>
      </ns0:c>
      <ns0:c r="C1643" s="3" t="inlineStr">
        <ns0:is>
          <ns0:t>C</ns0:t>
        </ns0:is>
      </ns0:c>
      <ns0:c r="D1643" s="4" t="n">
        <ns0:v>2</ns0:v>
      </ns0:c>
      <ns0:c r="E1643" s="4" t="n">
        <ns0:v>1500</ns0:v>
      </ns0:c>
      <ns0:c r="F1643" s="6" t="n">
        <ns0:v>0.3</ns0:v>
      </ns0:c>
      <ns0:c r="G1643" s="4" t="n">
        <ns0:v>3</ns0:v>
      </ns0:c>
      <ns0:c r="H1643" s="7" t="n">
        <ns0:v>7238.203152361983</ns0:v>
      </ns0:c>
      <ns0:c r="I1643" s="7" t="n">
        <ns0:v>2913.659766981528</ns0:v>
      </ns0:c>
      <ns0:c r="J1643" s="7" t="n">
        <ns0:v>874.0979300944584</ns0:v>
      </ns0:c>
      <ns0:c r="K1643" s="7" t="n">
        <ns0:v>19</ns0:v>
      </ns0:c>
      <ns0:c r="L1643" s="7" t="n">
        <ns0:v>41</ns0:v>
      </ns0:c>
      <ns0:c r="M1643" s="7" t="n">
        <ns0:v>-18393.80314168976</ns0:v>
      </ns0:c>
      <ns0:c r="N1643" s="7" t="n">
        <ns0:v>33383.24920136033</ns0:v>
      </ns0:c>
      <ns0:c r="O1643" s="7" t="n">
        <ns0:v>91979.37175313907</ns0:v>
      </ns0:c>
      <ns0:c r="P1643" s="7" t="n">
        <ns0:v>238469.6781325859</ns0:v>
      </ns0:c>
      <ns0:c r="Q1643" s="7" t="n">
        <ns0:v>782430.9036503736</ns0:v>
      </ns0:c>
      <ns0:c r="R1643" s="7" t="n">
        <ns0:v>2763295.19296263</ns0:v>
      </ns0:c>
    </ns0:row>
    <ns0:row r="1644" ht="24" customHeight="1">
      <ns0:c r="A1644" s="3" t="inlineStr">
        <ns0:is>
          <ns0:t>混在40/30/30</ns0:t>
        </ns0:is>
      </ns0:c>
      <ns0:c r="B1644" s="3" t="inlineStr">
        <ns0:is>
          <ns0:t>G2二段階</ns0:t>
        </ns0:is>
      </ns0:c>
      <ns0:c r="C1644" s="3" t="inlineStr">
        <ns0:is>
          <ns0:t>C</ns0:t>
        </ns0:is>
      </ns0:c>
      <ns0:c r="D1644" s="4" t="n">
        <ns0:v>2</ns0:v>
      </ns0:c>
      <ns0:c r="E1644" s="4" t="n">
        <ns0:v>1500</ns0:v>
      </ns0:c>
      <ns0:c r="F1644" s="6" t="n">
        <ns0:v>0.4</ns0:v>
      </ns0:c>
      <ns0:c r="G1644" s="4" t="n">
        <ns0:v>0</ns0:v>
      </ns0:c>
      <ns0:c r="H1644" s="7" t="n">
        <ns0:v>7238.203152361983</ns0:v>
      </ns0:c>
      <ns0:c r="I1644" s="7" t="n">
        <ns0:v>2913.659766981528</ns0:v>
      </ns0:c>
      <ns0:c r="J1644" s="7" t="n">
        <ns0:v>1165.463906792611</ns0:v>
      </ns0:c>
      <ns0:c r="K1644" s="7" t="n">
        <ns0:v>13</ns0:v>
      </ns0:c>
      <ns0:c r="L1644" s="7" t="n">
        <ns0:v>20</ns0:v>
      </ns0:c>
      <ns0:c r="M1644" s="7" t="n">
        <ns0:v>-11523.75324831451</ns0:v>
      </ns0:c>
      <ns0:c r="N1644" s="7" t="n">
        <ns0:v>53993.39888148607</ns0:v>
      </ns0:c>
      <ns0:c r="O1644" s="7" t="n">
        <ns0:v>126329.6212200154</ns0:v>
      </ns0:c>
      <ns0:c r="P1644" s="7" t="n">
        <ns0:v>307170.1770663385</ns0:v>
      </ns0:c>
      <ns0:c r="Q1644" s="7" t="n">
        <ns0:v>988532.4004516311</ns0:v>
      </ns0:c>
      <ns0:c r="R1644" s="7" t="n">
        <ns0:v>3450300.182300155</ns0:v>
      </ns0:c>
    </ns0:row>
    <ns0:row r="1645" ht="24" customHeight="1">
      <ns0:c r="A1645" s="3" t="inlineStr">
        <ns0:is>
          <ns0:t>混在40/30/30</ns0:t>
        </ns0:is>
      </ns0:c>
      <ns0:c r="B1645" s="3" t="inlineStr">
        <ns0:is>
          <ns0:t>G2二段階</ns0:t>
        </ns0:is>
      </ns0:c>
      <ns0:c r="C1645" s="3" t="inlineStr">
        <ns0:is>
          <ns0:t>C</ns0:t>
        </ns0:is>
      </ns0:c>
      <ns0:c r="D1645" s="4" t="n">
        <ns0:v>2</ns0:v>
      </ns0:c>
      <ns0:c r="E1645" s="4" t="n">
        <ns0:v>1500</ns0:v>
      </ns0:c>
      <ns0:c r="F1645" s="6" t="n">
        <ns0:v>0.4</ns0:v>
      </ns0:c>
      <ns0:c r="G1645" s="4" t="n">
        <ns0:v>1</ns0:v>
      </ns0:c>
      <ns0:c r="H1645" s="7" t="n">
        <ns0:v>7238.203152361983</ns0:v>
      </ns0:c>
      <ns0:c r="I1645" s="7" t="n">
        <ns0:v>2913.659766981528</ns0:v>
      </ns0:c>
      <ns0:c r="J1645" s="7" t="n">
        <ns0:v>1165.463906792611</ns0:v>
      </ns0:c>
      <ns0:c r="K1645" s="7" t="n">
        <ns0:v>16</ns0:v>
      </ns0:c>
      <ns0:c r="L1645" s="7" t="n">
        <ns0:v>25</ns0:v>
      </ns0:c>
      <ns0:c r="M1645" s="7" t="n">
        <ns0:v>-14728.30857451941</ns0:v>
      </ns0:c>
      <ns0:c r="N1645" s="7" t="n">
        <ns0:v>44379.73290287136</ns0:v>
      </ns0:c>
      <ns0:c r="O1645" s="7" t="n">
        <ns0:v>110306.8445889908</ns0:v>
      </ns0:c>
      <ns0:c r="P1645" s="7" t="n">
        <ns0:v>275124.6238042895</ns0:v>
      </ns0:c>
      <ns0:c r="Q1645" s="7" t="n">
        <ns0:v>892395.7406654839</ns0:v>
      </ns0:c>
      <ns0:c r="R1645" s="7" t="n">
        <ns0:v>3129844.649679665</ns0:v>
      </ns0:c>
    </ns0:row>
    <ns0:row r="1646" ht="24" customHeight="1">
      <ns0:c r="A1646" s="3" t="inlineStr">
        <ns0:is>
          <ns0:t>混在40/30/30</ns0:t>
        </ns0:is>
      </ns0:c>
      <ns0:c r="B1646" s="3" t="inlineStr">
        <ns0:is>
          <ns0:t>G2二段階</ns0:t>
        </ns0:is>
      </ns0:c>
      <ns0:c r="C1646" s="3" t="inlineStr">
        <ns0:is>
          <ns0:t>C</ns0:t>
        </ns0:is>
      </ns0:c>
      <ns0:c r="D1646" s="4" t="n">
        <ns0:v>2</ns0:v>
      </ns0:c>
      <ns0:c r="E1646" s="4" t="n">
        <ns0:v>1500</ns0:v>
      </ns0:c>
      <ns0:c r="F1646" s="6" t="n">
        <ns0:v>0.4</ns0:v>
      </ns0:c>
      <ns0:c r="G1646" s="4" t="n">
        <ns0:v>2</ns0:v>
      </ns0:c>
      <ns0:c r="H1646" s="7" t="n">
        <ns0:v>7238.203152361983</ns0:v>
      </ns0:c>
      <ns0:c r="I1646" s="7" t="n">
        <ns0:v>2913.659766981528</ns0:v>
      </ns0:c>
      <ns0:c r="J1646" s="7" t="n">
        <ns0:v>1165.463906792611</ns0:v>
      </ns0:c>
      <ns0:c r="K1646" s="18" t="inlineStr">
        <ns0:is>
          <ns0:t>範囲内なし</ns0:t>
        </ns0:is>
      </ns0:c>
      <ns0:c r="L1646" s="18" t="inlineStr">
        <ns0:is>
          <ns0:t>範囲内なし</ns0:t>
        </ns0:is>
      </ns0:c>
      <ns0:c r="M1646" s="7" t="n">
        <ns0:v>-54300.67392309829</ns0:v>
      </ns0:c>
      <ns0:c r="N1646" s="7" t="n">
        <ns0:v>-74337.3631428653</ns0:v>
      </ns0:c>
      <ns0:c r="O1646" s="7" t="n">
        <ns0:v>-87554.98215390358</ns0:v>
      </ns0:c>
      <ns0:c r="P1646" s="7" t="n">
        <ns0:v>-120599.0296814993</ns0:v>
      </ns0:c>
      <ns0:c r="Q1646" s="7" t="n">
        <ns0:v>-294775.2197918826</ns0:v>
      </ns0:c>
      <ns0:c r="R1646" s="7" t="n">
        <ns0:v>-827391.8851782237</ns0:v>
      </ns0:c>
    </ns0:row>
    <ns0:row r="1647" ht="24" customHeight="1">
      <ns0:c r="A1647" s="3" t="inlineStr">
        <ns0:is>
          <ns0:t>混在40/30/30</ns0:t>
        </ns0:is>
      </ns0:c>
      <ns0:c r="B1647" s="3" t="inlineStr">
        <ns0:is>
          <ns0:t>G2二段階</ns0:t>
        </ns0:is>
      </ns0:c>
      <ns0:c r="C1647" s="3" t="inlineStr">
        <ns0:is>
          <ns0:t>C</ns0:t>
        </ns0:is>
      </ns0:c>
      <ns0:c r="D1647" s="4" t="n">
        <ns0:v>2</ns0:v>
      </ns0:c>
      <ns0:c r="E1647" s="4" t="n">
        <ns0:v>1500</ns0:v>
      </ns0:c>
      <ns0:c r="F1647" s="6" t="n">
        <ns0:v>0.4</ns0:v>
      </ns0:c>
      <ns0:c r="G1647" s="4" t="n">
        <ns0:v>3</ns0:v>
      </ns0:c>
      <ns0:c r="H1647" s="7" t="n">
        <ns0:v>7238.203152361983</ns0:v>
      </ns0:c>
      <ns0:c r="I1647" s="7" t="n">
        <ns0:v>2913.659766981528</ns0:v>
      </ns0:c>
      <ns0:c r="J1647" s="7" t="n">
        <ns0:v>1165.463906792611</ns0:v>
      </ns0:c>
      <ns0:c r="K1647" s="7" t="n">
        <ns0:v>21</ns0:v>
      </ns0:c>
      <ns0:c r="L1647" s="7" t="n">
        <ns0:v>46</ns0:v>
      </ns0:c>
      <ns0:c r="M1647" s="7" t="n">
        <ns0:v>-21307.46290867129</ns0:v>
      </ns0:c>
      <ns0:c r="N1647" s="7" t="n">
        <ns0:v>24642.26990041573</ns0:v>
      </ns0:c>
      <ns0:c r="O1647" s="7" t="n">
        <ns0:v>77411.07291823145</ns0:v>
      </ns0:c>
      <ns0:c r="P1647" s="7" t="n">
        <ns0:v>209333.0804627707</ns0:v>
      </ns0:c>
      <ns0:c r="Q1647" s="7" t="n">
        <ns0:v>695021.1106409276</ns0:v>
      </ns0:c>
      <ns0:c r="R1647" s="7" t="n">
        <ns0:v>2471929.216264477</ns0:v>
      </ns0:c>
    </ns0:row>
    <ns0:row r="1648" ht="24" customHeight="1">
      <ns0:c r="A1648" s="3" t="inlineStr">
        <ns0:is>
          <ns0:t>混在40/30/30</ns0:t>
        </ns0:is>
      </ns0:c>
      <ns0:c r="B1648" s="3" t="inlineStr">
        <ns0:is>
          <ns0:t>G2二段階</ns0:t>
        </ns0:is>
      </ns0:c>
      <ns0:c r="C1648" s="3" t="inlineStr">
        <ns0:is>
          <ns0:t>C</ns0:t>
        </ns0:is>
      </ns0:c>
      <ns0:c r="D1648" s="4" t="n">
        <ns0:v>2</ns0:v>
      </ns0:c>
      <ns0:c r="E1648" s="4" t="n">
        <ns0:v>1500</ns0:v>
      </ns0:c>
      <ns0:c r="F1648" s="6" t="n">
        <ns0:v>0.5</ns0:v>
      </ns0:c>
      <ns0:c r="G1648" s="4" t="n">
        <ns0:v>0</ns0:v>
      </ns0:c>
      <ns0:c r="H1648" s="7" t="n">
        <ns0:v>7238.203152361983</ns0:v>
      </ns0:c>
      <ns0:c r="I1648" s="7" t="n">
        <ns0:v>2913.659766981528</ns0:v>
      </ns0:c>
      <ns0:c r="J1648" s="7" t="n">
        <ns0:v>1456.829883490764</ns0:v>
      </ns0:c>
      <ns0:c r="K1648" s="7" t="n">
        <ns0:v>16</ns0:v>
      </ns0:c>
      <ns0:c r="L1648" s="7" t="n">
        <ns0:v>22</ns0:v>
      </ns0:c>
      <ns0:c r="M1648" s="7" t="n">
        <ns0:v>-14437.41301529604</ns0:v>
      </ns0:c>
      <ns0:c r="N1648" s="7" t="n">
        <ns0:v>45252.4195805415</ns0:v>
      </ns0:c>
      <ns0:c r="O1648" s="7" t="n">
        <ns0:v>111761.3223851077</ns0:v>
      </ns0:c>
      <ns0:c r="P1648" s="7" t="n">
        <ns0:v>278033.5793965231</ns0:v>
      </ns0:c>
      <ns0:c r="Q1648" s="7" t="n">
        <ns0:v>901122.6074421853</ns0:v>
      </ns0:c>
      <ns0:c r="R1648" s="7" t="n">
        <ns0:v>3158934.205602003</ns0:v>
      </ns0:c>
    </ns0:row>
    <ns0:row r="1649" ht="24" customHeight="1">
      <ns0:c r="A1649" s="3" t="inlineStr">
        <ns0:is>
          <ns0:t>混在40/30/30</ns0:t>
        </ns0:is>
      </ns0:c>
      <ns0:c r="B1649" s="3" t="inlineStr">
        <ns0:is>
          <ns0:t>G2二段階</ns0:t>
        </ns0:is>
      </ns0:c>
      <ns0:c r="C1649" s="3" t="inlineStr">
        <ns0:is>
          <ns0:t>C</ns0:t>
        </ns0:is>
      </ns0:c>
      <ns0:c r="D1649" s="4" t="n">
        <ns0:v>2</ns0:v>
      </ns0:c>
      <ns0:c r="E1649" s="4" t="n">
        <ns0:v>1500</ns0:v>
      </ns0:c>
      <ns0:c r="F1649" s="6" t="n">
        <ns0:v>0.5</ns0:v>
      </ns0:c>
      <ns0:c r="G1649" s="4" t="n">
        <ns0:v>1</ns0:v>
      </ns0:c>
      <ns0:c r="H1649" s="7" t="n">
        <ns0:v>7238.203152361983</ns0:v>
      </ns0:c>
      <ns0:c r="I1649" s="7" t="n">
        <ns0:v>2913.659766981528</ns0:v>
      </ns0:c>
      <ns0:c r="J1649" s="7" t="n">
        <ns0:v>1456.829883490764</ns0:v>
      </ns0:c>
      <ns0:c r="K1649" s="7" t="n">
        <ns0:v>19</ns0:v>
      </ns0:c>
      <ns0:c r="L1649" s="7" t="n">
        <ns0:v>27</ns0:v>
      </ns0:c>
      <ns0:c r="M1649" s="7" t="n">
        <ns0:v>-17641.96834150094</ns0:v>
      </ns0:c>
      <ns0:c r="N1649" s="7" t="n">
        <ns0:v>35638.75360192679</ns0:v>
      </ns0:c>
      <ns0:c r="O1649" s="7" t="n">
        <ns0:v>95738.54575408314</ns0:v>
      </ns0:c>
      <ns0:c r="P1649" s="7" t="n">
        <ns0:v>245988.0261344741</ns0:v>
      </ns0:c>
      <ns0:c r="Q1649" s="7" t="n">
        <ns0:v>804985.9476560381</ns0:v>
      </ns0:c>
      <ns0:c r="R1649" s="7" t="n">
        <ns0:v>2838478.672981512</ns0:v>
      </ns0:c>
    </ns0:row>
    <ns0:row r="1650" ht="24" customHeight="1">
      <ns0:c r="A1650" s="3" t="inlineStr">
        <ns0:is>
          <ns0:t>混在40/30/30</ns0:t>
        </ns0:is>
      </ns0:c>
      <ns0:c r="B1650" s="3" t="inlineStr">
        <ns0:is>
          <ns0:t>G2二段階</ns0:t>
        </ns0:is>
      </ns0:c>
      <ns0:c r="C1650" s="3" t="inlineStr">
        <ns0:is>
          <ns0:t>C</ns0:t>
        </ns0:is>
      </ns0:c>
      <ns0:c r="D1650" s="4" t="n">
        <ns0:v>2</ns0:v>
      </ns0:c>
      <ns0:c r="E1650" s="4" t="n">
        <ns0:v>1500</ns0:v>
      </ns0:c>
      <ns0:c r="F1650" s="6" t="n">
        <ns0:v>0.5</ns0:v>
      </ns0:c>
      <ns0:c r="G1650" s="4" t="n">
        <ns0:v>2</ns0:v>
      </ns0:c>
      <ns0:c r="H1650" s="7" t="n">
        <ns0:v>7238.203152361983</ns0:v>
      </ns0:c>
      <ns0:c r="I1650" s="7" t="n">
        <ns0:v>2913.659766981528</ns0:v>
      </ns0:c>
      <ns0:c r="J1650" s="7" t="n">
        <ns0:v>1456.829883490764</ns0:v>
      </ns0:c>
      <ns0:c r="K1650" s="18" t="inlineStr">
        <ns0:is>
          <ns0:t>範囲内なし</ns0:t>
        </ns0:is>
      </ns0:c>
      <ns0:c r="L1650" s="18" t="inlineStr">
        <ns0:is>
          <ns0:t>範囲内なし</ns0:t>
        </ns0:is>
      </ns0:c>
      <ns0:c r="M1650" s="7" t="n">
        <ns0:v>-57214.33369007983</ns0:v>
      </ns0:c>
      <ns0:c r="N1650" s="7" t="n">
        <ns0:v>-83078.34244380987</ns0:v>
      </ns0:c>
      <ns0:c r="O1650" s="7" t="n">
        <ns0:v>-102123.2809888113</ns0:v>
      </ns0:c>
      <ns0:c r="P1650" s="7" t="n">
        <ns0:v>-149735.6273513148</ns0:v>
      </ns0:c>
      <ns0:c r="Q1650" s="7" t="n">
        <ns0:v>-382185.0128013284</ns0:v>
      </ns0:c>
      <ns0:c r="R1650" s="7" t="n">
        <ns0:v>-1118757.861876376</ns0:v>
      </ns0:c>
    </ns0:row>
    <ns0:row r="1651" ht="24" customHeight="1">
      <ns0:c r="A1651" s="3" t="inlineStr">
        <ns0:is>
          <ns0:t>混在40/30/30</ns0:t>
        </ns0:is>
      </ns0:c>
      <ns0:c r="B1651" s="3" t="inlineStr">
        <ns0:is>
          <ns0:t>G2二段階</ns0:t>
        </ns0:is>
      </ns0:c>
      <ns0:c r="C1651" s="3" t="inlineStr">
        <ns0:is>
          <ns0:t>C</ns0:t>
        </ns0:is>
      </ns0:c>
      <ns0:c r="D1651" s="4" t="n">
        <ns0:v>2</ns0:v>
      </ns0:c>
      <ns0:c r="E1651" s="4" t="n">
        <ns0:v>1500</ns0:v>
      </ns0:c>
      <ns0:c r="F1651" s="6" t="n">
        <ns0:v>0.5</ns0:v>
      </ns0:c>
      <ns0:c r="G1651" s="4" t="n">
        <ns0:v>3</ns0:v>
      </ns0:c>
      <ns0:c r="H1651" s="7" t="n">
        <ns0:v>7238.203152361983</ns0:v>
      </ns0:c>
      <ns0:c r="I1651" s="7" t="n">
        <ns0:v>2913.659766981528</ns0:v>
      </ns0:c>
      <ns0:c r="J1651" s="7" t="n">
        <ns0:v>1456.829883490764</ns0:v>
      </ns0:c>
      <ns0:c r="K1651" s="7" t="n">
        <ns0:v>24</ns0:v>
      </ns0:c>
      <ns0:c r="L1651" s="7" t="n">
        <ns0:v>53</ns0:v>
      </ns0:c>
      <ns0:c r="M1651" s="7" t="n">
        <ns0:v>-24221.12267565282</ns0:v>
      </ns0:c>
      <ns0:c r="N1651" s="7" t="n">
        <ns0:v>15901.29059947116</ns0:v>
      </ns0:c>
      <ns0:c r="O1651" s="7" t="n">
        <ns0:v>62842.77408332377</ns0:v>
      </ns0:c>
      <ns0:c r="P1651" s="7" t="n">
        <ns0:v>180196.4827929553</ns0:v>
      </ns0:c>
      <ns0:c r="Q1651" s="7" t="n">
        <ns0:v>607611.3176314818</ns0:v>
      </ns0:c>
      <ns0:c r="R1651" s="7" t="n">
        <ns0:v>2180563.239566325</ns0:v>
      </ns0:c>
    </ns0:row>
    <ns0:row r="1652" ht="24" customHeight="1">
      <ns0:c r="A1652" s="3" t="inlineStr">
        <ns0:is>
          <ns0:t>混在40/30/30</ns0:t>
        </ns0:is>
      </ns0:c>
      <ns0:c r="B1652" s="3" t="inlineStr">
        <ns0:is>
          <ns0:t>G2二段階</ns0:t>
        </ns0:is>
      </ns0:c>
      <ns0:c r="C1652" s="3" t="inlineStr">
        <ns0:is>
          <ns0:t>D</ns0:t>
        </ns0:is>
      </ns0:c>
      <ns0:c r="D1652" s="4" t="n">
        <ns0:v>0</ns0:v>
      </ns0:c>
      <ns0:c r="E1652" s="4" t="n">
        <ns0:v>500</ns0:v>
      </ns0:c>
      <ns0:c r="F1652" s="6" t="n">
        <ns0:v>0.3</ns0:v>
      </ns0:c>
      <ns0:c r="G1652" s="4" t="n">
        <ns0:v>0</ns0:v>
      </ns0:c>
      <ns0:c r="H1652" s="7" t="n">
        <ns0:v>4178.710812265332</ns0:v>
      </ns0:c>
      <ns0:c r="I1652" s="7" t="n">
        <ns0:v>2471.095488110138</ns0:v>
      </ns0:c>
      <ns0:c r="J1652" s="7" t="n">
        <ns0:v>741.3286464330413</ns0:v>
      </ns0:c>
      <ns0:c r="K1652" s="7" t="n">
        <ns0:v>29</ns0:v>
      </ns0:c>
      <ns0:c r="L1652" s="7" t="n">
        <ns0:v>64</ns0:v>
      </ns0:c>
      <ns0:c r="M1652" s="7" t="n">
        <ns0:v>-35744.99506529049</ns0:v>
      </ns0:c>
      <ns0:c r="N1652" s="7" t="n">
        <ns0:v>3286.884056744129</ns0:v>
      </ns0:c>
      <ns0:c r="O1652" s="7" t="n">
        <ns0:v>44438.78821006788</ns0:v>
      </ns0:c>
      <ns0:c r="P1652" s="7" t="n">
        <ns0:v>143388.5110464436</ns0:v>
      </ns0:c>
      <ns0:c r="Q1652" s="7" t="n">
        <ns0:v>497187.4023919462</ns0:v>
      </ns0:c>
      <ns0:c r="R1652" s="7" t="n">
        <ns0:v>1812483.522101205</ns0:v>
      </ns0:c>
    </ns0:row>
    <ns0:row r="1653" ht="24" customHeight="1">
      <ns0:c r="A1653" s="3" t="inlineStr">
        <ns0:is>
          <ns0:t>混在40/30/30</ns0:t>
        </ns0:is>
      </ns0:c>
      <ns0:c r="B1653" s="3" t="inlineStr">
        <ns0:is>
          <ns0:t>G2二段階</ns0:t>
        </ns0:is>
      </ns0:c>
      <ns0:c r="C1653" s="3" t="inlineStr">
        <ns0:is>
          <ns0:t>D</ns0:t>
        </ns0:is>
      </ns0:c>
      <ns0:c r="D1653" s="4" t="n">
        <ns0:v>0</ns0:v>
      </ns0:c>
      <ns0:c r="E1653" s="4" t="n">
        <ns0:v>500</ns0:v>
      </ns0:c>
      <ns0:c r="F1653" s="6" t="n">
        <ns0:v>0.3</ns0:v>
      </ns0:c>
      <ns0:c r="G1653" s="4" t="n">
        <ns0:v>1</ns0:v>
      </ns0:c>
      <ns0:c r="H1653" s="7" t="n">
        <ns0:v>4178.710812265332</ns0:v>
      </ns0:c>
      <ns0:c r="I1653" s="7" t="n">
        <ns0:v>2471.095488110138</ns0:v>
      </ns0:c>
      <ns0:c r="J1653" s="7" t="n">
        <ns0:v>741.3286464330413</ns0:v>
      </ns0:c>
      <ns0:c r="K1653" s="7" t="n">
        <ns0:v>32</ns0:v>
      </ns0:c>
      <ns0:c r="L1653" s="7" t="n">
        <ns0:v>175</ns0:v>
      </ns0:c>
      <ns0:c r="M1653" s="7" t="n">
        <ns0:v>-37964.5388771558</ns0:v>
      </ns0:c>
      <ns0:c r="N1653" s="7" t="n">
        <ns0:v>-3371.747378851811</ns0:v>
      </ns0:c>
      <ns0:c r="O1653" s="7" t="n">
        <ns0:v>33341.06915074131</ns0:v>
      </ns0:c>
      <ns0:c r="P1653" s="7" t="n">
        <ns0:v>121193.0729277904</ns0:v>
      </ns0:c>
      <ns0:c r="Q1653" s="7" t="n">
        <ns0:v>430601.0880359868</ns0:v>
      </ns0:c>
      <ns0:c r="R1653" s="7" t="n">
        <ns0:v>1590529.140914674</ns0:v>
      </ns0:c>
    </ns0:row>
    <ns0:row r="1654" ht="24" customHeight="1">
      <ns0:c r="A1654" s="3" t="inlineStr">
        <ns0:is>
          <ns0:t>混在40/30/30</ns0:t>
        </ns0:is>
      </ns0:c>
      <ns0:c r="B1654" s="3" t="inlineStr">
        <ns0:is>
          <ns0:t>G2二段階</ns0:t>
        </ns0:is>
      </ns0:c>
      <ns0:c r="C1654" s="3" t="inlineStr">
        <ns0:is>
          <ns0:t>D</ns0:t>
        </ns0:is>
      </ns0:c>
      <ns0:c r="D1654" s="4" t="n">
        <ns0:v>0</ns0:v>
      </ns0:c>
      <ns0:c r="E1654" s="4" t="n">
        <ns0:v>500</ns0:v>
      </ns0:c>
      <ns0:c r="F1654" s="6" t="n">
        <ns0:v>0.3</ns0:v>
      </ns0:c>
      <ns0:c r="G1654" s="4" t="n">
        <ns0:v>2</ns0:v>
      </ns0:c>
      <ns0:c r="H1654" s="7" t="n">
        <ns0:v>4178.710812265332</ns0:v>
      </ns0:c>
      <ns0:c r="I1654" s="7" t="n">
        <ns0:v>2471.095488110138</ns0:v>
      </ns0:c>
      <ns0:c r="J1654" s="7" t="n">
        <ns0:v>741.3286464330413</ns0:v>
      </ns0:c>
      <ns0:c r="K1654" s="7" t="n">
        <ns0:v>85</ns0:v>
      </ns0:c>
      <ns0:c r="L1654" s="18" t="inlineStr">
        <ns0:is>
          <ns0:t>範囲内なし</ns0:t>
        </ns0:is>
      </ns0:c>
      <ns0:c r="M1654" s="7" t="n">
        <ns0:v>-49102.19516418775</ns0:v>
      </ns0:c>
      <ns0:c r="N1654" s="7" t="n">
        <ns0:v>-36784.71623994764</ns0:v>
      </ns0:c>
      <ns0:c r="O1654" s="7" t="n">
        <ns0:v>-22347.21228441839</ns0:v>
      </ns0:c>
      <ns0:c r="P1654" s="7" t="n">
        <ns0:v>9816.510057470994</ns0:v>
      </ns0:c>
      <ns0:c r="Q1654" s="7" t="n">
        <ns0:v>96471.39942502853</ns0:v>
      </ns0:c>
      <ns0:c r="R1654" s="7" t="n">
        <ns0:v>476763.5122114796</ns0:v>
      </ns0:c>
    </ns0:row>
    <ns0:row r="1655" ht="24" customHeight="1">
      <ns0:c r="A1655" s="3" t="inlineStr">
        <ns0:is>
          <ns0:t>混在40/30/30</ns0:t>
        </ns0:is>
      </ns0:c>
      <ns0:c r="B1655" s="3" t="inlineStr">
        <ns0:is>
          <ns0:t>G2二段階</ns0:t>
        </ns0:is>
      </ns0:c>
      <ns0:c r="C1655" s="3" t="inlineStr">
        <ns0:is>
          <ns0:t>D</ns0:t>
        </ns0:is>
      </ns0:c>
      <ns0:c r="D1655" s="4" t="n">
        <ns0:v>0</ns0:v>
      </ns0:c>
      <ns0:c r="E1655" s="4" t="n">
        <ns0:v>500</ns0:v>
      </ns0:c>
      <ns0:c r="F1655" s="6" t="n">
        <ns0:v>0.3</ns0:v>
      </ns0:c>
      <ns0:c r="G1655" s="4" t="n">
        <ns0:v>3</ns0:v>
      </ns0:c>
      <ns0:c r="H1655" s="7" t="n">
        <ns0:v>4178.710812265332</ns0:v>
      </ns0:c>
      <ns0:c r="I1655" s="7" t="n">
        <ns0:v>2471.095488110138</ns0:v>
      </ns0:c>
      <ns0:c r="J1655" s="7" t="n">
        <ns0:v>741.3286464330413</ns0:v>
      </ns0:c>
      <ns0:c r="K1655" s="7" t="n">
        <ns0:v>44</ns0:v>
      </ns0:c>
      <ns0:c r="L1655" s="18" t="inlineStr">
        <ns0:is>
          <ns0:t>範囲内なし</ns0:t>
        </ns0:is>
      </ns0:c>
      <ns0:c r="M1655" s="7" t="n">
        <ns0:v>-43088.80984746235</ns0:v>
      </ns0:c>
      <ns0:c r="N1655" s="7" t="n">
        <ns0:v>-18744.56028977148</ns0:v>
      </ns0:c>
      <ns0:c r="O1655" s="7" t="n">
        <ns0:v>7719.714299208528</ns0:v>
      </ns0:c>
      <ns0:c r="P1655" s="7" t="n">
        <ns0:v>69950.36322472486</ns0:v>
      </ns0:c>
      <ns0:c r="Q1655" s="7" t="n">
        <ns0:v>276872.9589267901</ns0:v>
      </ns0:c>
      <ns0:c r="R1655" s="7" t="n">
        <ns0:v>1078102.043884018</ns0:v>
      </ns0:c>
    </ns0:row>
    <ns0:row r="1656" ht="24" customHeight="1">
      <ns0:c r="A1656" s="3" t="inlineStr">
        <ns0:is>
          <ns0:t>混在40/30/30</ns0:t>
        </ns0:is>
      </ns0:c>
      <ns0:c r="B1656" s="3" t="inlineStr">
        <ns0:is>
          <ns0:t>G2二段階</ns0:t>
        </ns0:is>
      </ns0:c>
      <ns0:c r="C1656" s="3" t="inlineStr">
        <ns0:is>
          <ns0:t>D</ns0:t>
        </ns0:is>
      </ns0:c>
      <ns0:c r="D1656" s="4" t="n">
        <ns0:v>0</ns0:v>
      </ns0:c>
      <ns0:c r="E1656" s="4" t="n">
        <ns0:v>500</ns0:v>
      </ns0:c>
      <ns0:c r="F1656" s="6" t="n">
        <ns0:v>0.4</ns0:v>
      </ns0:c>
      <ns0:c r="G1656" s="4" t="n">
        <ns0:v>0</ns0:v>
      </ns0:c>
      <ns0:c r="H1656" s="7" t="n">
        <ns0:v>4178.710812265332</ns0:v>
      </ns0:c>
      <ns0:c r="I1656" s="7" t="n">
        <ns0:v>2471.095488110138</ns0:v>
      </ns0:c>
      <ns0:c r="J1656" s="7" t="n">
        <ns0:v>988.4381952440552</ns0:v>
      </ns0:c>
      <ns0:c r="K1656" s="7" t="n">
        <ns0:v>32</ns0:v>
      </ns0:c>
      <ns0:c r="L1656" s="7" t="n">
        <ns0:v>73</ns0:v>
      </ns0:c>
      <ns0:c r="M1656" s="7" t="n">
        <ns0:v>-38216.09055340063</ns0:v>
      </ns0:c>
      <ns0:c r="N1656" s="7" t="n">
        <ns0:v>-4126.402407586276</ns0:v>
      </ns0:c>
      <ns0:c r="O1656" s="7" t="n">
        <ns0:v>32083.31076951719</ns0:v>
      </ns0:c>
      <ns0:c r="P1656" s="7" t="n">
        <ns0:v>118677.5561653422</ns0:v>
      </ns0:c>
      <ns0:c r="Q1656" s="7" t="n">
        <ns0:v>423054.5377486421</ns0:v>
      </ns0:c>
      <ns0:c r="R1656" s="7" t="n">
        <ns0:v>1565373.973290192</ns0:v>
      </ns0:c>
    </ns0:row>
    <ns0:row r="1657" ht="24" customHeight="1">
      <ns0:c r="A1657" s="3" t="inlineStr">
        <ns0:is>
          <ns0:t>混在40/30/30</ns0:t>
        </ns0:is>
      </ns0:c>
      <ns0:c r="B1657" s="3" t="inlineStr">
        <ns0:is>
          <ns0:t>G2二段階</ns0:t>
        </ns0:is>
      </ns0:c>
      <ns0:c r="C1657" s="3" t="inlineStr">
        <ns0:is>
          <ns0:t>D</ns0:t>
        </ns0:is>
      </ns0:c>
      <ns0:c r="D1657" s="4" t="n">
        <ns0:v>0</ns0:v>
      </ns0:c>
      <ns0:c r="E1657" s="4" t="n">
        <ns0:v>500</ns0:v>
      </ns0:c>
      <ns0:c r="F1657" s="6" t="n">
        <ns0:v>0.4</ns0:v>
      </ns0:c>
      <ns0:c r="G1657" s="4" t="n">
        <ns0:v>1</ns0:v>
      </ns0:c>
      <ns0:c r="H1657" s="7" t="n">
        <ns0:v>4178.710812265332</ns0:v>
      </ns0:c>
      <ns0:c r="I1657" s="7" t="n">
        <ns0:v>2471.095488110138</ns0:v>
      </ns0:c>
      <ns0:c r="J1657" s="7" t="n">
        <ns0:v>988.4381952440552</ns0:v>
      </ns0:c>
      <ns0:c r="K1657" s="7" t="n">
        <ns0:v>37</ns0:v>
      </ns0:c>
      <ns0:c r="L1657" s="7" t="n">
        <ns0:v>222</ns0:v>
      </ns0:c>
      <ns0:c r="M1657" s="7" t="n">
        <ns0:v>-40435.63436526594</ns0:v>
      </ns0:c>
      <ns0:c r="N1657" s="7" t="n">
        <ns0:v>-10785.03384318222</ns0:v>
      </ns0:c>
      <ns0:c r="O1657" s="7" t="n">
        <ns0:v>20985.59171019062</ns0:v>
      </ns0:c>
      <ns0:c r="P1657" s="7" t="n">
        <ns0:v>96482.11804668904</ns0:v>
      </ns0:c>
      <ns0:c r="Q1657" s="7" t="n">
        <ns0:v>356468.2233926827</ns0:v>
      </ns0:c>
      <ns0:c r="R1657" s="7" t="n">
        <ns0:v>1343419.592103661</ns0:v>
      </ns0:c>
    </ns0:row>
    <ns0:row r="1658" ht="24" customHeight="1">
      <ns0:c r="A1658" s="3" t="inlineStr">
        <ns0:is>
          <ns0:t>混在40/30/30</ns0:t>
        </ns0:is>
      </ns0:c>
      <ns0:c r="B1658" s="3" t="inlineStr">
        <ns0:is>
          <ns0:t>G2二段階</ns0:t>
        </ns0:is>
      </ns0:c>
      <ns0:c r="C1658" s="3" t="inlineStr">
        <ns0:is>
          <ns0:t>D</ns0:t>
        </ns0:is>
      </ns0:c>
      <ns0:c r="D1658" s="4" t="n">
        <ns0:v>0</ns0:v>
      </ns0:c>
      <ns0:c r="E1658" s="4" t="n">
        <ns0:v>500</ns0:v>
      </ns0:c>
      <ns0:c r="F1658" s="6" t="n">
        <ns0:v>0.4</ns0:v>
      </ns0:c>
      <ns0:c r="G1658" s="4" t="n">
        <ns0:v>2</ns0:v>
      </ns0:c>
      <ns0:c r="H1658" s="7" t="n">
        <ns0:v>4178.710812265332</ns0:v>
      </ns0:c>
      <ns0:c r="I1658" s="7" t="n">
        <ns0:v>2471.095488110138</ns0:v>
      </ns0:c>
      <ns0:c r="J1658" s="7" t="n">
        <ns0:v>988.4381952440552</ns0:v>
      </ns0:c>
      <ns0:c r="K1658" s="7" t="n">
        <ns0:v>244</ns0:v>
      </ns0:c>
      <ns0:c r="L1658" s="18" t="inlineStr">
        <ns0:is>
          <ns0:t>範囲内なし</ns0:t>
        </ns0:is>
      </ns0:c>
      <ns0:c r="M1658" s="7" t="n">
        <ns0:v>-51573.29065229789</ns0:v>
      </ns0:c>
      <ns0:c r="N1658" s="7" t="n">
        <ns0:v>-44198.00270427805</ns0:v>
      </ns0:c>
      <ns0:c r="O1658" s="7" t="n">
        <ns0:v>-34702.68972496908</ns0:v>
      </ns0:c>
      <ns0:c r="P1658" s="7" t="n">
        <ns0:v>-14894.44482363039</ns0:v>
      </ns0:c>
      <ns0:c r="Q1658" s="7" t="n">
        <ns0:v>22338.53478172439</ns0:v>
      </ns0:c>
      <ns0:c r="R1658" s="7" t="n">
        <ns0:v>229653.9634004665</ns0:v>
      </ns0:c>
    </ns0:row>
    <ns0:row r="1659" ht="24" customHeight="1">
      <ns0:c r="A1659" s="3" t="inlineStr">
        <ns0:is>
          <ns0:t>混在40/30/30</ns0:t>
        </ns0:is>
      </ns0:c>
      <ns0:c r="B1659" s="3" t="inlineStr">
        <ns0:is>
          <ns0:t>G2二段階</ns0:t>
        </ns0:is>
      </ns0:c>
      <ns0:c r="C1659" s="3" t="inlineStr">
        <ns0:is>
          <ns0:t>D</ns0:t>
        </ns0:is>
      </ns0:c>
      <ns0:c r="D1659" s="4" t="n">
        <ns0:v>0</ns0:v>
      </ns0:c>
      <ns0:c r="E1659" s="4" t="n">
        <ns0:v>500</ns0:v>
      </ns0:c>
      <ns0:c r="F1659" s="6" t="n">
        <ns0:v>0.4</ns0:v>
      </ns0:c>
      <ns0:c r="G1659" s="4" t="n">
        <ns0:v>3</ns0:v>
      </ns0:c>
      <ns0:c r="H1659" s="7" t="n">
        <ns0:v>4178.710812265332</ns0:v>
      </ns0:c>
      <ns0:c r="I1659" s="7" t="n">
        <ns0:v>2471.095488110138</ns0:v>
      </ns0:c>
      <ns0:c r="J1659" s="7" t="n">
        <ns0:v>988.4381952440552</ns0:v>
      </ns0:c>
      <ns0:c r="K1659" s="7" t="n">
        <ns0:v>55</ns0:v>
      </ns0:c>
      <ns0:c r="L1659" s="18" t="inlineStr">
        <ns0:is>
          <ns0:t>範囲内なし</ns0:t>
        </ns0:is>
      </ns0:c>
      <ns0:c r="M1659" s="7" t="n">
        <ns0:v>-45559.90533557249</ns0:v>
      </ns0:c>
      <ns0:c r="N1659" s="7" t="n">
        <ns0:v>-26157.84675410188</ns0:v>
      </ns0:c>
      <ns0:c r="O1659" s="7" t="n">
        <ns0:v>-4635.763141342162</ns0:v>
      </ns0:c>
      <ns0:c r="P1659" s="7" t="n">
        <ns0:v>45239.40834362347</ns0:v>
      </ns0:c>
      <ns0:c r="Q1659" s="7" t="n">
        <ns0:v>202740.094283486</ns0:v>
      </ns0:c>
      <ns0:c r="R1659" s="7" t="n">
        <ns0:v>830992.4950730052</ns0:v>
      </ns0:c>
    </ns0:row>
    <ns0:row r="1660" ht="24" customHeight="1">
      <ns0:c r="A1660" s="3" t="inlineStr">
        <ns0:is>
          <ns0:t>混在40/30/30</ns0:t>
        </ns0:is>
      </ns0:c>
      <ns0:c r="B1660" s="3" t="inlineStr">
        <ns0:is>
          <ns0:t>G2二段階</ns0:t>
        </ns0:is>
      </ns0:c>
      <ns0:c r="C1660" s="3" t="inlineStr">
        <ns0:is>
          <ns0:t>D</ns0:t>
        </ns0:is>
      </ns0:c>
      <ns0:c r="D1660" s="4" t="n">
        <ns0:v>0</ns0:v>
      </ns0:c>
      <ns0:c r="E1660" s="4" t="n">
        <ns0:v>500</ns0:v>
      </ns0:c>
      <ns0:c r="F1660" s="6" t="n">
        <ns0:v>0.5</ns0:v>
      </ns0:c>
      <ns0:c r="G1660" s="4" t="n">
        <ns0:v>0</ns0:v>
      </ns0:c>
      <ns0:c r="H1660" s="7" t="n">
        <ns0:v>4178.710812265332</ns0:v>
      </ns0:c>
      <ns0:c r="I1660" s="7" t="n">
        <ns0:v>2471.095488110138</ns0:v>
      </ns0:c>
      <ns0:c r="J1660" s="7" t="n">
        <ns0:v>1235.547744055069</ns0:v>
      </ns0:c>
      <ns0:c r="K1660" s="7" t="n">
        <ns0:v>37</ns0:v>
      </ns0:c>
      <ns0:c r="L1660" s="7" t="n">
        <ns0:v>85</ns0:v>
      </ns0:c>
      <ns0:c r="M1660" s="7" t="n">
        <ns0:v>-40687.18604151077</ns0:v>
      </ns0:c>
      <ns0:c r="N1660" s="7" t="n">
        <ns0:v>-11539.6888719167</ns0:v>
      </ns0:c>
      <ns0:c r="O1660" s="7" t="n">
        <ns0:v>19727.83332896651</ns0:v>
      </ns0:c>
      <ns0:c r="P1660" s="7" t="n">
        <ns0:v>93966.60128424081</ns0:v>
      </ns0:c>
      <ns0:c r="Q1660" s="7" t="n">
        <ns0:v>348921.6731053379</ns0:v>
      </ns0:c>
      <ns0:c r="R1660" s="7" t="n">
        <ns0:v>1318264.424479178</ns0:v>
      </ns0:c>
    </ns0:row>
    <ns0:row r="1661" ht="24" customHeight="1">
      <ns0:c r="A1661" s="3" t="inlineStr">
        <ns0:is>
          <ns0:t>混在40/30/30</ns0:t>
        </ns0:is>
      </ns0:c>
      <ns0:c r="B1661" s="3" t="inlineStr">
        <ns0:is>
          <ns0:t>G2二段階</ns0:t>
        </ns0:is>
      </ns0:c>
      <ns0:c r="C1661" s="3" t="inlineStr">
        <ns0:is>
          <ns0:t>D</ns0:t>
        </ns0:is>
      </ns0:c>
      <ns0:c r="D1661" s="4" t="n">
        <ns0:v>0</ns0:v>
      </ns0:c>
      <ns0:c r="E1661" s="4" t="n">
        <ns0:v>500</ns0:v>
      </ns0:c>
      <ns0:c r="F1661" s="6" t="n">
        <ns0:v>0.5</ns0:v>
      </ns0:c>
      <ns0:c r="G1661" s="4" t="n">
        <ns0:v>1</ns0:v>
      </ns0:c>
      <ns0:c r="H1661" s="7" t="n">
        <ns0:v>4178.710812265332</ns0:v>
      </ns0:c>
      <ns0:c r="I1661" s="7" t="n">
        <ns0:v>2471.095488110138</ns0:v>
      </ns0:c>
      <ns0:c r="J1661" s="7" t="n">
        <ns0:v>1235.547744055069</ns0:v>
      </ns0:c>
      <ns0:c r="K1661" s="7" t="n">
        <ns0:v>44</ns0:v>
      </ns0:c>
      <ns0:c r="L1661" s="7" t="n">
        <ns0:v>302</ns0:v>
      </ns0:c>
      <ns0:c r="M1661" s="7" t="n">
        <ns0:v>-42906.72985337608</ns0:v>
      </ns0:c>
      <ns0:c r="N1661" s="7" t="n">
        <ns0:v>-18198.32030751264</ns0:v>
      </ns0:c>
      <ns0:c r="O1661" s="7" t="n">
        <ns0:v>8630.114269639944</ns0:v>
      </ns0:c>
      <ns0:c r="P1661" s="7" t="n">
        <ns0:v>71771.16316558768</ns0:v>
      </ns0:c>
      <ns0:c r="Q1661" s="7" t="n">
        <ns0:v>282335.3587493785</ns0:v>
      </ns0:c>
      <ns0:c r="R1661" s="7" t="n">
        <ns0:v>1096310.043292647</ns0:v>
      </ns0:c>
    </ns0:row>
    <ns0:row r="1662" ht="24" customHeight="1">
      <ns0:c r="A1662" s="3" t="inlineStr">
        <ns0:is>
          <ns0:t>混在40/30/30</ns0:t>
        </ns0:is>
      </ns0:c>
      <ns0:c r="B1662" s="3" t="inlineStr">
        <ns0:is>
          <ns0:t>G2二段階</ns0:t>
        </ns0:is>
      </ns0:c>
      <ns0:c r="C1662" s="3" t="inlineStr">
        <ns0:is>
          <ns0:t>D</ns0:t>
        </ns0:is>
      </ns0:c>
      <ns0:c r="D1662" s="4" t="n">
        <ns0:v>0</ns0:v>
      </ns0:c>
      <ns0:c r="E1662" s="4" t="n">
        <ns0:v>500</ns0:v>
      </ns0:c>
      <ns0:c r="F1662" s="6" t="n">
        <ns0:v>0.5</ns0:v>
      </ns0:c>
      <ns0:c r="G1662" s="4" t="n">
        <ns0:v>2</ns0:v>
      </ns0:c>
      <ns0:c r="H1662" s="7" t="n">
        <ns0:v>4178.710812265332</ns0:v>
      </ns0:c>
      <ns0:c r="I1662" s="7" t="n">
        <ns0:v>2471.095488110138</ns0:v>
      </ns0:c>
      <ns0:c r="J1662" s="7" t="n">
        <ns0:v>1235.547744055069</ns0:v>
      </ns0:c>
      <ns0:c r="K1662" s="18" t="inlineStr">
        <ns0:is>
          <ns0:t>範囲内なし</ns0:t>
        </ns0:is>
      </ns0:c>
      <ns0:c r="L1662" s="18" t="inlineStr">
        <ns0:is>
          <ns0:t>範囲内なし</ns0:t>
        </ns0:is>
      </ns0:c>
      <ns0:c r="M1662" s="7" t="n">
        <ns0:v>-54044.38614040802</ns0:v>
      </ns0:c>
      <ns0:c r="N1662" s="7" t="n">
        <ns0:v>-51611.28916860846</ns0:v>
      </ns0:c>
      <ns0:c r="O1662" s="7" t="n">
        <ns0:v>-47058.16716551976</ns0:v>
      </ns0:c>
      <ns0:c r="P1662" s="7" t="n">
        <ns0:v>-39605.39970473174</ns0:v>
      </ns0:c>
      <ns0:c r="Q1662" s="7" t="n">
        <ns0:v>-51794.32986157981</ns0:v>
      </ns0:c>
      <ns0:c r="R1662" s="7" t="n">
        <ns0:v>-17455.58541054744</ns0:v>
      </ns0:c>
    </ns0:row>
    <ns0:row r="1663" ht="24" customHeight="1">
      <ns0:c r="A1663" s="3" t="inlineStr">
        <ns0:is>
          <ns0:t>混在40/30/30</ns0:t>
        </ns0:is>
      </ns0:c>
      <ns0:c r="B1663" s="3" t="inlineStr">
        <ns0:is>
          <ns0:t>G2二段階</ns0:t>
        </ns0:is>
      </ns0:c>
      <ns0:c r="C1663" s="3" t="inlineStr">
        <ns0:is>
          <ns0:t>D</ns0:t>
        </ns0:is>
      </ns0:c>
      <ns0:c r="D1663" s="4" t="n">
        <ns0:v>0</ns0:v>
      </ns0:c>
      <ns0:c r="E1663" s="4" t="n">
        <ns0:v>500</ns0:v>
      </ns0:c>
      <ns0:c r="F1663" s="6" t="n">
        <ns0:v>0.5</ns0:v>
      </ns0:c>
      <ns0:c r="G1663" s="4" t="n">
        <ns0:v>3</ns0:v>
      </ns0:c>
      <ns0:c r="H1663" s="7" t="n">
        <ns0:v>4178.710812265332</ns0:v>
      </ns0:c>
      <ns0:c r="I1663" s="7" t="n">
        <ns0:v>2471.095488110138</ns0:v>
      </ns0:c>
      <ns0:c r="J1663" s="7" t="n">
        <ns0:v>1235.547744055069</ns0:v>
      </ns0:c>
      <ns0:c r="K1663" s="7" t="n">
        <ns0:v>73</ns0:v>
      </ns0:c>
      <ns0:c r="L1663" s="18" t="inlineStr">
        <ns0:is>
          <ns0:t>範囲内なし</ns0:t>
        </ns0:is>
      </ns0:c>
      <ns0:c r="M1663" s="7" t="n">
        <ns0:v>-48031.00082368263</ns0:v>
      </ns0:c>
      <ns0:c r="N1663" s="7" t="n">
        <ns0:v>-33571.1332184323</ns0:v>
      </ns0:c>
      <ns0:c r="O1663" s="7" t="n">
        <ns0:v>-16991.24058189284</ns0:v>
      </ns0:c>
      <ns0:c r="P1663" s="7" t="n">
        <ns0:v>20528.45346252213</ns0:v>
      </ns0:c>
      <ns0:c r="Q1663" s="7" t="n">
        <ns0:v>128607.2296401818</ns0:v>
      </ns0:c>
      <ns0:c r="R1663" s="7" t="n">
        <ns0:v>583882.9462619913</ns0:v>
      </ns0:c>
    </ns0:row>
    <ns0:row r="1664" ht="24" customHeight="1">
      <ns0:c r="A1664" s="3" t="inlineStr">
        <ns0:is>
          <ns0:t>混在40/30/30</ns0:t>
        </ns0:is>
      </ns0:c>
      <ns0:c r="B1664" s="3" t="inlineStr">
        <ns0:is>
          <ns0:t>G2二段階</ns0:t>
        </ns0:is>
      </ns0:c>
      <ns0:c r="C1664" s="3" t="inlineStr">
        <ns0:is>
          <ns0:t>D</ns0:t>
        </ns0:is>
      </ns0:c>
      <ns0:c r="D1664" s="4" t="n">
        <ns0:v>0</ns0:v>
      </ns0:c>
      <ns0:c r="E1664" s="4" t="n">
        <ns0:v>1000</ns0:v>
      </ns0:c>
      <ns0:c r="F1664" s="6" t="n">
        <ns0:v>0.3</ns0:v>
      </ns0:c>
      <ns0:c r="G1664" s="4" t="n">
        <ns0:v>0</ns0:v>
      </ns0:c>
      <ns0:c r="H1664" s="7" t="n">
        <ns0:v>4028.710812265332</ns0:v>
      </ns0:c>
      <ns0:c r="I1664" s="7" t="n">
        <ns0:v>2321.095488110138</ns0:v>
      </ns0:c>
      <ns0:c r="J1664" s="7" t="n">
        <ns0:v>696.3286464330413</ns0:v>
      </ns0:c>
      <ns0:c r="K1664" s="7" t="n">
        <ns0:v>30</ns0:v>
      </ns0:c>
      <ns0:c r="L1664" s="7" t="n">
        <ns0:v>68</ns0:v>
      </ns0:c>
      <ns0:c r="M1664" s="7" t="n">
        <ns0:v>-36740.99506529049</ns0:v>
      </ns0:c>
      <ns0:c r="N1664" s="7" t="n">
        <ns0:v>298.8840567441439</ns0:v>
      </ns0:c>
      <ns0:c r="O1664" s="7" t="n">
        <ns0:v>39458.78821006787</ns0:v>
      </ns0:c>
      <ns0:c r="P1664" s="7" t="n">
        <ns0:v>133428.5110464435</ns0:v>
      </ns0:c>
      <ns0:c r="Q1664" s="7" t="n">
        <ns0:v>467307.4023919461</ns0:v>
      </ns0:c>
      <ns0:c r="R1664" s="7" t="n">
        <ns0:v>1712883.522101206</ns0:v>
      </ns0:c>
    </ns0:row>
    <ns0:row r="1665" ht="24" customHeight="1">
      <ns0:c r="A1665" s="3" t="inlineStr">
        <ns0:is>
          <ns0:t>混在40/30/30</ns0:t>
        </ns0:is>
      </ns0:c>
      <ns0:c r="B1665" s="3" t="inlineStr">
        <ns0:is>
          <ns0:t>G2二段階</ns0:t>
        </ns0:is>
      </ns0:c>
      <ns0:c r="C1665" s="3" t="inlineStr">
        <ns0:is>
          <ns0:t>D</ns0:t>
        </ns0:is>
      </ns0:c>
      <ns0:c r="D1665" s="4" t="n">
        <ns0:v>0</ns0:v>
      </ns0:c>
      <ns0:c r="E1665" s="4" t="n">
        <ns0:v>1000</ns0:v>
      </ns0:c>
      <ns0:c r="F1665" s="6" t="n">
        <ns0:v>0.3</ns0:v>
      </ns0:c>
      <ns0:c r="G1665" s="4" t="n">
        <ns0:v>1</ns0:v>
      </ns0:c>
      <ns0:c r="H1665" s="7" t="n">
        <ns0:v>4028.710812265332</ns0:v>
      </ns0:c>
      <ns0:c r="I1665" s="7" t="n">
        <ns0:v>2321.095488110138</ns0:v>
      </ns0:c>
      <ns0:c r="J1665" s="7" t="n">
        <ns0:v>696.3286464330413</ns0:v>
      </ns0:c>
      <ns0:c r="K1665" s="7" t="n">
        <ns0:v>33</ns0:v>
      </ns0:c>
      <ns0:c r="L1665" s="7" t="n">
        <ns0:v>194</ns0:v>
      </ns0:c>
      <ns0:c r="M1665" s="7" t="n">
        <ns0:v>-38960.5388771558</ns0:v>
      </ns0:c>
      <ns0:c r="N1665" s="7" t="n">
        <ns0:v>-6359.747378851796</ns0:v>
      </ns0:c>
      <ns0:c r="O1665" s="7" t="n">
        <ns0:v>28361.06915074131</ns0:v>
      </ns0:c>
      <ns0:c r="P1665" s="7" t="n">
        <ns0:v>111233.0729277904</ns0:v>
      </ns0:c>
      <ns0:c r="Q1665" s="7" t="n">
        <ns0:v>400721.0880359867</ns0:v>
      </ns0:c>
      <ns0:c r="R1665" s="7" t="n">
        <ns0:v>1490929.140914674</ns0:v>
      </ns0:c>
    </ns0:row>
    <ns0:row r="1666" ht="24" customHeight="1">
      <ns0:c r="A1666" s="3" t="inlineStr">
        <ns0:is>
          <ns0:t>混在40/30/30</ns0:t>
        </ns0:is>
      </ns0:c>
      <ns0:c r="B1666" s="3" t="inlineStr">
        <ns0:is>
          <ns0:t>G2二段階</ns0:t>
        </ns0:is>
      </ns0:c>
      <ns0:c r="C1666" s="3" t="inlineStr">
        <ns0:is>
          <ns0:t>D</ns0:t>
        </ns0:is>
      </ns0:c>
      <ns0:c r="D1666" s="4" t="n">
        <ns0:v>0</ns0:v>
      </ns0:c>
      <ns0:c r="E1666" s="4" t="n">
        <ns0:v>1000</ns0:v>
      </ns0:c>
      <ns0:c r="F1666" s="6" t="n">
        <ns0:v>0.3</ns0:v>
      </ns0:c>
      <ns0:c r="G1666" s="4" t="n">
        <ns0:v>2</ns0:v>
      </ns0:c>
      <ns0:c r="H1666" s="7" t="n">
        <ns0:v>4028.710812265332</ns0:v>
      </ns0:c>
      <ns0:c r="I1666" s="7" t="n">
        <ns0:v>2321.095488110138</ns0:v>
      </ns0:c>
      <ns0:c r="J1666" s="7" t="n">
        <ns0:v>696.3286464330413</ns0:v>
      </ns0:c>
      <ns0:c r="K1666" s="7" t="n">
        <ns0:v>178</ns0:v>
      </ns0:c>
      <ns0:c r="L1666" s="18" t="inlineStr">
        <ns0:is>
          <ns0:t>範囲内なし</ns0:t>
        </ns0:is>
      </ns0:c>
      <ns0:c r="M1666" s="7" t="n">
        <ns0:v>-50098.19516418775</ns0:v>
      </ns0:c>
      <ns0:c r="N1666" s="7" t="n">
        <ns0:v>-39772.71623994763</ns0:v>
      </ns0:c>
      <ns0:c r="O1666" s="7" t="n">
        <ns0:v>-27327.21228441841</ns0:v>
      </ns0:c>
      <ns0:c r="P1666" s="7" t="n">
        <ns0:v>-143.4899425290059</ns0:v>
      </ns0:c>
      <ns0:c r="Q1666" s="7" t="n">
        <ns0:v>66591.39942502842</ns0:v>
      </ns0:c>
      <ns0:c r="R1666" s="7" t="n">
        <ns0:v>377163.5122114798</ns0:v>
      </ns0:c>
    </ns0:row>
    <ns0:row r="1667" ht="24" customHeight="1">
      <ns0:c r="A1667" s="3" t="inlineStr">
        <ns0:is>
          <ns0:t>混在40/30/30</ns0:t>
        </ns0:is>
      </ns0:c>
      <ns0:c r="B1667" s="3" t="inlineStr">
        <ns0:is>
          <ns0:t>G2二段階</ns0:t>
        </ns0:is>
      </ns0:c>
      <ns0:c r="C1667" s="3" t="inlineStr">
        <ns0:is>
          <ns0:t>D</ns0:t>
        </ns0:is>
      </ns0:c>
      <ns0:c r="D1667" s="4" t="n">
        <ns0:v>0</ns0:v>
      </ns0:c>
      <ns0:c r="E1667" s="4" t="n">
        <ns0:v>1000</ns0:v>
      </ns0:c>
      <ns0:c r="F1667" s="6" t="n">
        <ns0:v>0.3</ns0:v>
      </ns0:c>
      <ns0:c r="G1667" s="4" t="n">
        <ns0:v>3</ns0:v>
      </ns0:c>
      <ns0:c r="H1667" s="7" t="n">
        <ns0:v>4028.710812265332</ns0:v>
      </ns0:c>
      <ns0:c r="I1667" s="7" t="n">
        <ns0:v>2321.095488110138</ns0:v>
      </ns0:c>
      <ns0:c r="J1667" s="7" t="n">
        <ns0:v>696.3286464330413</ns0:v>
      </ns0:c>
      <ns0:c r="K1667" s="7" t="n">
        <ns0:v>48</ns0:v>
      </ns0:c>
      <ns0:c r="L1667" s="18" t="inlineStr">
        <ns0:is>
          <ns0:t>範囲内なし</ns0:t>
        </ns0:is>
      </ns0:c>
      <ns0:c r="M1667" s="7" t="n">
        <ns0:v>-44084.80984746235</ns0:v>
      </ns0:c>
      <ns0:c r="N1667" s="7" t="n">
        <ns0:v>-21732.56028977146</ns0:v>
      </ns0:c>
      <ns0:c r="O1667" s="7" t="n">
        <ns0:v>2739.714299208528</ns0:v>
      </ns0:c>
      <ns0:c r="P1667" s="7" t="n">
        <ns0:v>59990.36322472485</ns0:v>
      </ns0:c>
      <ns0:c r="Q1667" s="7" t="n">
        <ns0:v>246992.95892679</ns0:v>
      </ns0:c>
      <ns0:c r="R1667" s="7" t="n">
        <ns0:v>978502.0438840186</ns0:v>
      </ns0:c>
    </ns0:row>
    <ns0:row r="1668" ht="24" customHeight="1">
      <ns0:c r="A1668" s="3" t="inlineStr">
        <ns0:is>
          <ns0:t>混在40/30/30</ns0:t>
        </ns0:is>
      </ns0:c>
      <ns0:c r="B1668" s="3" t="inlineStr">
        <ns0:is>
          <ns0:t>G2二段階</ns0:t>
        </ns0:is>
      </ns0:c>
      <ns0:c r="C1668" s="3" t="inlineStr">
        <ns0:is>
          <ns0:t>D</ns0:t>
        </ns0:is>
      </ns0:c>
      <ns0:c r="D1668" s="4" t="n">
        <ns0:v>0</ns0:v>
      </ns0:c>
      <ns0:c r="E1668" s="4" t="n">
        <ns0:v>1000</ns0:v>
      </ns0:c>
      <ns0:c r="F1668" s="6" t="n">
        <ns0:v>0.4</ns0:v>
      </ns0:c>
      <ns0:c r="G1668" s="4" t="n">
        <ns0:v>0</ns0:v>
      </ns0:c>
      <ns0:c r="H1668" s="7" t="n">
        <ns0:v>4028.710812265332</ns0:v>
      </ns0:c>
      <ns0:c r="I1668" s="7" t="n">
        <ns0:v>2321.095488110138</ns0:v>
      </ns0:c>
      <ns0:c r="J1668" s="7" t="n">
        <ns0:v>928.4381952440552</ns0:v>
      </ns0:c>
      <ns0:c r="K1668" s="7" t="n">
        <ns0:v>34</ns0:v>
      </ns0:c>
      <ns0:c r="L1668" s="7" t="n">
        <ns0:v>77</ns0:v>
      </ns0:c>
      <ns0:c r="M1668" s="7" t="n">
        <ns0:v>-39062.09055340063</ns0:v>
      </ns0:c>
      <ns0:c r="N1668" s="7" t="n">
        <ns0:v>-6664.402407586269</ns0:v>
      </ns0:c>
      <ns0:c r="O1668" s="7" t="n">
        <ns0:v>27853.31076951719</ns0:v>
      </ns0:c>
      <ns0:c r="P1668" s="7" t="n">
        <ns0:v>110217.5561653422</ns0:v>
      </ns0:c>
      <ns0:c r="Q1668" s="7" t="n">
        <ns0:v>397674.537748642</ns0:v>
      </ns0:c>
      <ns0:c r="R1668" s="7" t="n">
        <ns0:v>1480773.973290191</ns0:v>
      </ns0:c>
    </ns0:row>
    <ns0:row r="1669" ht="24" customHeight="1">
      <ns0:c r="A1669" s="3" t="inlineStr">
        <ns0:is>
          <ns0:t>混在40/30/30</ns0:t>
        </ns0:is>
      </ns0:c>
      <ns0:c r="B1669" s="3" t="inlineStr">
        <ns0:is>
          <ns0:t>G2二段階</ns0:t>
        </ns0:is>
      </ns0:c>
      <ns0:c r="C1669" s="3" t="inlineStr">
        <ns0:is>
          <ns0:t>D</ns0:t>
        </ns0:is>
      </ns0:c>
      <ns0:c r="D1669" s="4" t="n">
        <ns0:v>0</ns0:v>
      </ns0:c>
      <ns0:c r="E1669" s="4" t="n">
        <ns0:v>1000</ns0:v>
      </ns0:c>
      <ns0:c r="F1669" s="6" t="n">
        <ns0:v>0.4</ns0:v>
      </ns0:c>
      <ns0:c r="G1669" s="4" t="n">
        <ns0:v>1</ns0:v>
      </ns0:c>
      <ns0:c r="H1669" s="7" t="n">
        <ns0:v>4028.710812265332</ns0:v>
      </ns0:c>
      <ns0:c r="I1669" s="7" t="n">
        <ns0:v>2321.095488110138</ns0:v>
      </ns0:c>
      <ns0:c r="J1669" s="7" t="n">
        <ns0:v>928.4381952440552</ns0:v>
      </ns0:c>
      <ns0:c r="K1669" s="7" t="n">
        <ns0:v>39</ns0:v>
      </ns0:c>
      <ns0:c r="L1669" s="7" t="n">
        <ns0:v>247</ns0:v>
      </ns0:c>
      <ns0:c r="M1669" s="7" t="n">
        <ns0:v>-41281.63436526594</ns0:v>
      </ns0:c>
      <ns0:c r="N1669" s="7" t="n">
        <ns0:v>-13323.03384318221</ns0:v>
      </ns0:c>
      <ns0:c r="O1669" s="7" t="n">
        <ns0:v>16755.59171019063</ns0:v>
      </ns0:c>
      <ns0:c r="P1669" s="7" t="n">
        <ns0:v>88022.11804668905</ns0:v>
      </ns0:c>
      <ns0:c r="Q1669" s="7" t="n">
        <ns0:v>331088.2233926826</ns0:v>
      </ns0:c>
      <ns0:c r="R1669" s="7" t="n">
        <ns0:v>1258819.59210366</ns0:v>
      </ns0:c>
    </ns0:row>
    <ns0:row r="1670" ht="24" customHeight="1">
      <ns0:c r="A1670" s="3" t="inlineStr">
        <ns0:is>
          <ns0:t>混在40/30/30</ns0:t>
        </ns0:is>
      </ns0:c>
      <ns0:c r="B1670" s="3" t="inlineStr">
        <ns0:is>
          <ns0:t>G2二段階</ns0:t>
        </ns0:is>
      </ns0:c>
      <ns0:c r="C1670" s="3" t="inlineStr">
        <ns0:is>
          <ns0:t>D</ns0:t>
        </ns0:is>
      </ns0:c>
      <ns0:c r="D1670" s="4" t="n">
        <ns0:v>0</ns0:v>
      </ns0:c>
      <ns0:c r="E1670" s="4" t="n">
        <ns0:v>1000</ns0:v>
      </ns0:c>
      <ns0:c r="F1670" s="6" t="n">
        <ns0:v>0.4</ns0:v>
      </ns0:c>
      <ns0:c r="G1670" s="4" t="n">
        <ns0:v>2</ns0:v>
      </ns0:c>
      <ns0:c r="H1670" s="7" t="n">
        <ns0:v>4028.710812265332</ns0:v>
      </ns0:c>
      <ns0:c r="I1670" s="7" t="n">
        <ns0:v>2321.095488110138</ns0:v>
      </ns0:c>
      <ns0:c r="J1670" s="7" t="n">
        <ns0:v>928.4381952440552</ns0:v>
      </ns0:c>
      <ns0:c r="K1670" s="7" t="n">
        <ns0:v>310</ns0:v>
      </ns0:c>
      <ns0:c r="L1670" s="18" t="inlineStr">
        <ns0:is>
          <ns0:t>範囲内なし</ns0:t>
        </ns0:is>
      </ns0:c>
      <ns0:c r="M1670" s="7" t="n">
        <ns0:v>-52419.29065229789</ns0:v>
      </ns0:c>
      <ns0:c r="N1670" s="7" t="n">
        <ns0:v>-46736.00270427803</ns0:v>
      </ns0:c>
      <ns0:c r="O1670" s="7" t="n">
        <ns0:v>-38932.68972496908</ns0:v>
      </ns0:c>
      <ns0:c r="P1670" s="7" t="n">
        <ns0:v>-23354.44482363036</ns0:v>
      </ns0:c>
      <ns0:c r="Q1670" s="7" t="n">
        <ns0:v>-3041.465218275727</ns0:v>
      </ns0:c>
      <ns0:c r="R1670" s="7" t="n">
        <ns0:v>145053.9634004657</ns0:v>
      </ns0:c>
    </ns0:row>
    <ns0:row r="1671" ht="24" customHeight="1">
      <ns0:c r="A1671" s="3" t="inlineStr">
        <ns0:is>
          <ns0:t>混在40/30/30</ns0:t>
        </ns0:is>
      </ns0:c>
      <ns0:c r="B1671" s="3" t="inlineStr">
        <ns0:is>
          <ns0:t>G2二段階</ns0:t>
        </ns0:is>
      </ns0:c>
      <ns0:c r="C1671" s="3" t="inlineStr">
        <ns0:is>
          <ns0:t>D</ns0:t>
        </ns0:is>
      </ns0:c>
      <ns0:c r="D1671" s="4" t="n">
        <ns0:v>0</ns0:v>
      </ns0:c>
      <ns0:c r="E1671" s="4" t="n">
        <ns0:v>1000</ns0:v>
      </ns0:c>
      <ns0:c r="F1671" s="6" t="n">
        <ns0:v>0.4</ns0:v>
      </ns0:c>
      <ns0:c r="G1671" s="4" t="n">
        <ns0:v>3</ns0:v>
      </ns0:c>
      <ns0:c r="H1671" s="7" t="n">
        <ns0:v>4028.710812265332</ns0:v>
      </ns0:c>
      <ns0:c r="I1671" s="7" t="n">
        <ns0:v>2321.095488110138</ns0:v>
      </ns0:c>
      <ns0:c r="J1671" s="7" t="n">
        <ns0:v>928.4381952440552</ns0:v>
      </ns0:c>
      <ns0:c r="K1671" s="7" t="n">
        <ns0:v>60</ns0:v>
      </ns0:c>
      <ns0:c r="L1671" s="18" t="inlineStr">
        <ns0:is>
          <ns0:t>範囲内なし</ns0:t>
        </ns0:is>
      </ns0:c>
      <ns0:c r="M1671" s="7" t="n">
        <ns0:v>-46405.90533557249</ns0:v>
      </ns0:c>
      <ns0:c r="N1671" s="7" t="n">
        <ns0:v>-28695.84675410188</ns0:v>
      </ns0:c>
      <ns0:c r="O1671" s="7" t="n">
        <ns0:v>-8865.763141342148</ns0:v>
      </ns0:c>
      <ns0:c r="P1671" s="7" t="n">
        <ns0:v>36779.40834362349</ns0:v>
      </ns0:c>
      <ns0:c r="Q1671" s="7" t="n">
        <ns0:v>177360.0942834859</ns0:v>
      </ns0:c>
      <ns0:c r="R1671" s="7" t="n">
        <ns0:v>746392.4950730044</ns0:v>
      </ns0:c>
    </ns0:row>
    <ns0:row r="1672" ht="24" customHeight="1">
      <ns0:c r="A1672" s="3" t="inlineStr">
        <ns0:is>
          <ns0:t>混在40/30/30</ns0:t>
        </ns0:is>
      </ns0:c>
      <ns0:c r="B1672" s="3" t="inlineStr">
        <ns0:is>
          <ns0:t>G2二段階</ns0:t>
        </ns0:is>
      </ns0:c>
      <ns0:c r="C1672" s="3" t="inlineStr">
        <ns0:is>
          <ns0:t>D</ns0:t>
        </ns0:is>
      </ns0:c>
      <ns0:c r="D1672" s="4" t="n">
        <ns0:v>0</ns0:v>
      </ns0:c>
      <ns0:c r="E1672" s="4" t="n">
        <ns0:v>1000</ns0:v>
      </ns0:c>
      <ns0:c r="F1672" s="6" t="n">
        <ns0:v>0.5</ns0:v>
      </ns0:c>
      <ns0:c r="G1672" s="4" t="n">
        <ns0:v>0</ns0:v>
      </ns0:c>
      <ns0:c r="H1672" s="7" t="n">
        <ns0:v>4028.710812265332</ns0:v>
      </ns0:c>
      <ns0:c r="I1672" s="7" t="n">
        <ns0:v>2321.095488110138</ns0:v>
      </ns0:c>
      <ns0:c r="J1672" s="7" t="n">
        <ns0:v>1160.547744055069</ns0:v>
      </ns0:c>
      <ns0:c r="K1672" s="7" t="n">
        <ns0:v>39</ns0:v>
      </ns0:c>
      <ns0:c r="L1672" s="7" t="n">
        <ns0:v>90</ns0:v>
      </ns0:c>
      <ns0:c r="M1672" s="7" t="n">
        <ns0:v>-41383.18604151077</ns0:v>
      </ns0:c>
      <ns0:c r="N1672" s="7" t="n">
        <ns0:v>-13627.6888719167</ns0:v>
      </ns0:c>
      <ns0:c r="O1672" s="7" t="n">
        <ns0:v>16247.8333289665</ns0:v>
      </ns0:c>
      <ns0:c r="P1672" s="7" t="n">
        <ns0:v>87006.60128424081</ns0:v>
      </ns0:c>
      <ns0:c r="Q1672" s="7" t="n">
        <ns0:v>328041.6731053379</ns0:v>
      </ns0:c>
      <ns0:c r="R1672" s="7" t="n">
        <ns0:v>1248664.424479177</ns0:v>
      </ns0:c>
    </ns0:row>
    <ns0:row r="1673" ht="24" customHeight="1">
      <ns0:c r="A1673" s="3" t="inlineStr">
        <ns0:is>
          <ns0:t>混在40/30/30</ns0:t>
        </ns0:is>
      </ns0:c>
      <ns0:c r="B1673" s="3" t="inlineStr">
        <ns0:is>
          <ns0:t>G2二段階</ns0:t>
        </ns0:is>
      </ns0:c>
      <ns0:c r="C1673" s="3" t="inlineStr">
        <ns0:is>
          <ns0:t>D</ns0:t>
        </ns0:is>
      </ns0:c>
      <ns0:c r="D1673" s="4" t="n">
        <ns0:v>0</ns0:v>
      </ns0:c>
      <ns0:c r="E1673" s="4" t="n">
        <ns0:v>1000</ns0:v>
      </ns0:c>
      <ns0:c r="F1673" s="6" t="n">
        <ns0:v>0.5</ns0:v>
      </ns0:c>
      <ns0:c r="G1673" s="4" t="n">
        <ns0:v>1</ns0:v>
      </ns0:c>
      <ns0:c r="H1673" s="7" t="n">
        <ns0:v>4028.710812265332</ns0:v>
      </ns0:c>
      <ns0:c r="I1673" s="7" t="n">
        <ns0:v>2321.095488110138</ns0:v>
      </ns0:c>
      <ns0:c r="J1673" s="7" t="n">
        <ns0:v>1160.547744055069</ns0:v>
      </ns0:c>
      <ns0:c r="K1673" s="7" t="n">
        <ns0:v>46</ns0:v>
      </ns0:c>
      <ns0:c r="L1673" s="7" t="n">
        <ns0:v>341</ns0:v>
      </ns0:c>
      <ns0:c r="M1673" s="7" t="n">
        <ns0:v>-43602.72985337608</ns0:v>
      </ns0:c>
      <ns0:c r="N1673" s="7" t="n">
        <ns0:v>-20286.32030751264</ns0:v>
      </ns0:c>
      <ns0:c r="O1673" s="7" t="n">
        <ns0:v>5150.114269639937</ns0:v>
      </ns0:c>
      <ns0:c r="P1673" s="7" t="n">
        <ns0:v>64811.16316558767</ns0:v>
      </ns0:c>
      <ns0:c r="Q1673" s="7" t="n">
        <ns0:v>261455.3587493786</ns0:v>
      </ns0:c>
      <ns0:c r="R1673" s="7" t="n">
        <ns0:v>1026710.043292646</ns0:v>
      </ns0:c>
    </ns0:row>
    <ns0:row r="1674" ht="24" customHeight="1">
      <ns0:c r="A1674" s="3" t="inlineStr">
        <ns0:is>
          <ns0:t>混在40/30/30</ns0:t>
        </ns0:is>
      </ns0:c>
      <ns0:c r="B1674" s="3" t="inlineStr">
        <ns0:is>
          <ns0:t>G2二段階</ns0:t>
        </ns0:is>
      </ns0:c>
      <ns0:c r="C1674" s="3" t="inlineStr">
        <ns0:is>
          <ns0:t>D</ns0:t>
        </ns0:is>
      </ns0:c>
      <ns0:c r="D1674" s="4" t="n">
        <ns0:v>0</ns0:v>
      </ns0:c>
      <ns0:c r="E1674" s="4" t="n">
        <ns0:v>1000</ns0:v>
      </ns0:c>
      <ns0:c r="F1674" s="6" t="n">
        <ns0:v>0.5</ns0:v>
      </ns0:c>
      <ns0:c r="G1674" s="4" t="n">
        <ns0:v>2</ns0:v>
      </ns0:c>
      <ns0:c r="H1674" s="7" t="n">
        <ns0:v>4028.710812265332</ns0:v>
      </ns0:c>
      <ns0:c r="I1674" s="7" t="n">
        <ns0:v>2321.095488110138</ns0:v>
      </ns0:c>
      <ns0:c r="J1674" s="7" t="n">
        <ns0:v>1160.547744055069</ns0:v>
      </ns0:c>
      <ns0:c r="K1674" s="18" t="inlineStr">
        <ns0:is>
          <ns0:t>範囲内なし</ns0:t>
        </ns0:is>
      </ns0:c>
      <ns0:c r="L1674" s="18" t="inlineStr">
        <ns0:is>
          <ns0:t>範囲内なし</ns0:t>
        </ns0:is>
      </ns0:c>
      <ns0:c r="M1674" s="7" t="n">
        <ns0:v>-54740.38614040802</ns0:v>
      </ns0:c>
      <ns0:c r="N1674" s="7" t="n">
        <ns0:v>-53699.28916860847</ns0:v>
      </ns0:c>
      <ns0:c r="O1674" s="7" t="n">
        <ns0:v>-50538.16716551977</ns0:v>
      </ns0:c>
      <ns0:c r="P1674" s="7" t="n">
        <ns0:v>-46565.39970473177</ns0:v>
      </ns0:c>
      <ns0:c r="Q1674" s="7" t="n">
        <ns0:v>-72674.32986157975</ns0:v>
      </ns0:c>
      <ns0:c r="R1674" s="7" t="n">
        <ns0:v>-87055.58541054814</ns0:v>
      </ns0:c>
    </ns0:row>
    <ns0:row r="1675" ht="24" customHeight="1">
      <ns0:c r="A1675" s="3" t="inlineStr">
        <ns0:is>
          <ns0:t>混在40/30/30</ns0:t>
        </ns0:is>
      </ns0:c>
      <ns0:c r="B1675" s="3" t="inlineStr">
        <ns0:is>
          <ns0:t>G2二段階</ns0:t>
        </ns0:is>
      </ns0:c>
      <ns0:c r="C1675" s="3" t="inlineStr">
        <ns0:is>
          <ns0:t>D</ns0:t>
        </ns0:is>
      </ns0:c>
      <ns0:c r="D1675" s="4" t="n">
        <ns0:v>0</ns0:v>
      </ns0:c>
      <ns0:c r="E1675" s="4" t="n">
        <ns0:v>1000</ns0:v>
      </ns0:c>
      <ns0:c r="F1675" s="6" t="n">
        <ns0:v>0.5</ns0:v>
      </ns0:c>
      <ns0:c r="G1675" s="4" t="n">
        <ns0:v>3</ns0:v>
      </ns0:c>
      <ns0:c r="H1675" s="7" t="n">
        <ns0:v>4028.710812265332</ns0:v>
      </ns0:c>
      <ns0:c r="I1675" s="7" t="n">
        <ns0:v>2321.095488110138</ns0:v>
      </ns0:c>
      <ns0:c r="J1675" s="7" t="n">
        <ns0:v>1160.547744055069</ns0:v>
      </ns0:c>
      <ns0:c r="K1675" s="7" t="n">
        <ns0:v>81</ns0:v>
      </ns0:c>
      <ns0:c r="L1675" s="18" t="inlineStr">
        <ns0:is>
          <ns0:t>範囲内なし</ns0:t>
        </ns0:is>
      </ns0:c>
      <ns0:c r="M1675" s="7" t="n">
        <ns0:v>-48727.00082368263</ns0:v>
      </ns0:c>
      <ns0:c r="N1675" s="7" t="n">
        <ns0:v>-35659.13321843231</ns0:v>
      </ns0:c>
      <ns0:c r="O1675" s="7" t="n">
        <ns0:v>-20471.24058189285</ns0:v>
      </ns0:c>
      <ns0:c r="P1675" s="7" t="n">
        <ns0:v>13568.4534625221</ns0:v>
      </ns0:c>
      <ns0:c r="Q1675" s="7" t="n">
        <ns0:v>107727.2296401818</ns0:v>
      </ns0:c>
      <ns0:c r="R1675" s="7" t="n">
        <ns0:v>514282.9462619906</ns0:v>
      </ns0:c>
    </ns0:row>
    <ns0:row r="1676" ht="24" customHeight="1">
      <ns0:c r="A1676" s="3" t="inlineStr">
        <ns0:is>
          <ns0:t>混在40/30/30</ns0:t>
        </ns0:is>
      </ns0:c>
      <ns0:c r="B1676" s="3" t="inlineStr">
        <ns0:is>
          <ns0:t>G2二段階</ns0:t>
        </ns0:is>
      </ns0:c>
      <ns0:c r="C1676" s="3" t="inlineStr">
        <ns0:is>
          <ns0:t>D</ns0:t>
        </ns0:is>
      </ns0:c>
      <ns0:c r="D1676" s="4" t="n">
        <ns0:v>0</ns0:v>
      </ns0:c>
      <ns0:c r="E1676" s="4" t="n">
        <ns0:v>1500</ns0:v>
      </ns0:c>
      <ns0:c r="F1676" s="6" t="n">
        <ns0:v>0.3</ns0:v>
      </ns0:c>
      <ns0:c r="G1676" s="4" t="n">
        <ns0:v>0</ns0:v>
      </ns0:c>
      <ns0:c r="H1676" s="7" t="n">
        <ns0:v>3878.710812265332</ns0:v>
      </ns0:c>
      <ns0:c r="I1676" s="7" t="n">
        <ns0:v>2171.095488110137</ns0:v>
      </ns0:c>
      <ns0:c r="J1676" s="7" t="n">
        <ns0:v>651.3286464330413</ns0:v>
      </ns0:c>
      <ns0:c r="K1676" s="7" t="n">
        <ns0:v>32</ns0:v>
      </ns0:c>
      <ns0:c r="L1676" s="7" t="n">
        <ns0:v>72</ns0:v>
      </ns0:c>
      <ns0:c r="M1676" s="7" t="n">
        <ns0:v>-37736.99506529048</ns0:v>
      </ns0:c>
      <ns0:c r="N1676" s="7" t="n">
        <ns0:v>-2689.115943255863</ns0:v>
      </ns0:c>
      <ns0:c r="O1676" s="7" t="n">
        <ns0:v>34478.78821006788</ns0:v>
      </ns0:c>
      <ns0:c r="P1676" s="7" t="n">
        <ns0:v>123468.5110464435</ns0:v>
      </ns0:c>
      <ns0:c r="Q1676" s="7" t="n">
        <ns0:v>437427.4023919463</ns0:v>
      </ns0:c>
      <ns0:c r="R1676" s="7" t="n">
        <ns0:v>1613283.522101206</ns0:v>
      </ns0:c>
    </ns0:row>
    <ns0:row r="1677" ht="24" customHeight="1">
      <ns0:c r="A1677" s="3" t="inlineStr">
        <ns0:is>
          <ns0:t>混在40/30/30</ns0:t>
        </ns0:is>
      </ns0:c>
      <ns0:c r="B1677" s="3" t="inlineStr">
        <ns0:is>
          <ns0:t>G2二段階</ns0:t>
        </ns0:is>
      </ns0:c>
      <ns0:c r="C1677" s="3" t="inlineStr">
        <ns0:is>
          <ns0:t>D</ns0:t>
        </ns0:is>
      </ns0:c>
      <ns0:c r="D1677" s="4" t="n">
        <ns0:v>0</ns0:v>
      </ns0:c>
      <ns0:c r="E1677" s="4" t="n">
        <ns0:v>1500</ns0:v>
      </ns0:c>
      <ns0:c r="F1677" s="6" t="n">
        <ns0:v>0.3</ns0:v>
      </ns0:c>
      <ns0:c r="G1677" s="4" t="n">
        <ns0:v>1</ns0:v>
      </ns0:c>
      <ns0:c r="H1677" s="7" t="n">
        <ns0:v>3878.710812265332</ns0:v>
      </ns0:c>
      <ns0:c r="I1677" s="7" t="n">
        <ns0:v>2171.095488110137</ns0:v>
      </ns0:c>
      <ns0:c r="J1677" s="7" t="n">
        <ns0:v>651.3286464330413</ns0:v>
      </ns0:c>
      <ns0:c r="K1677" s="7" t="n">
        <ns0:v>35</ns0:v>
      </ns0:c>
      <ns0:c r="L1677" s="7" t="n">
        <ns0:v>217</ns0:v>
      </ns0:c>
      <ns0:c r="M1677" s="7" t="n">
        <ns0:v>-39956.53887715579</ns0:v>
      </ns0:c>
      <ns0:c r="N1677" s="7" t="n">
        <ns0:v>-9347.747378851804</ns0:v>
      </ns0:c>
      <ns0:c r="O1677" s="7" t="n">
        <ns0:v>23381.06915074131</ns0:v>
      </ns0:c>
      <ns0:c r="P1677" s="7" t="n">
        <ns0:v>101273.0729277904</ns0:v>
      </ns0:c>
      <ns0:c r="Q1677" s="7" t="n">
        <ns0:v>370841.0880359869</ns0:v>
      </ns0:c>
      <ns0:c r="R1677" s="7" t="n">
        <ns0:v>1391329.140914674</ns0:v>
      </ns0:c>
    </ns0:row>
    <ns0:row r="1678" ht="24" customHeight="1">
      <ns0:c r="A1678" s="3" t="inlineStr">
        <ns0:is>
          <ns0:t>混在40/30/30</ns0:t>
        </ns0:is>
      </ns0:c>
      <ns0:c r="B1678" s="3" t="inlineStr">
        <ns0:is>
          <ns0:t>G2二段階</ns0:t>
        </ns0:is>
      </ns0:c>
      <ns0:c r="C1678" s="3" t="inlineStr">
        <ns0:is>
          <ns0:t>D</ns0:t>
        </ns0:is>
      </ns0:c>
      <ns0:c r="D1678" s="4" t="n">
        <ns0:v>0</ns0:v>
      </ns0:c>
      <ns0:c r="E1678" s="4" t="n">
        <ns0:v>1500</ns0:v>
      </ns0:c>
      <ns0:c r="F1678" s="6" t="n">
        <ns0:v>0.3</ns0:v>
      </ns0:c>
      <ns0:c r="G1678" s="4" t="n">
        <ns0:v>2</ns0:v>
      </ns0:c>
      <ns0:c r="H1678" s="7" t="n">
        <ns0:v>3878.710812265332</ns0:v>
      </ns0:c>
      <ns0:c r="I1678" s="7" t="n">
        <ns0:v>2171.095488110137</ns0:v>
      </ns0:c>
      <ns0:c r="J1678" s="7" t="n">
        <ns0:v>651.3286464330413</ns0:v>
      </ns0:c>
      <ns0:c r="K1678" s="7" t="n">
        <ns0:v>218</ns0:v>
      </ns0:c>
      <ns0:c r="L1678" s="18" t="inlineStr">
        <ns0:is>
          <ns0:t>範囲内なし</ns0:t>
        </ns0:is>
      </ns0:c>
      <ns0:c r="M1678" s="7" t="n">
        <ns0:v>-51094.19516418774</ns0:v>
      </ns0:c>
      <ns0:c r="N1678" s="7" t="n">
        <ns0:v>-42760.71623994763</ns0:v>
      </ns0:c>
      <ns0:c r="O1678" s="7" t="n">
        <ns0:v>-32307.21228441841</ns0:v>
      </ns0:c>
      <ns0:c r="P1678" s="7" t="n">
        <ns0:v>-10103.48994252901</ns0:v>
      </ns0:c>
      <ns0:c r="Q1678" s="7" t="n">
        <ns0:v>36711.39942502859</ns0:v>
      </ns0:c>
      <ns0:c r="R1678" s="7" t="n">
        <ns0:v>277563.5122114799</ns0:v>
      </ns0:c>
    </ns0:row>
    <ns0:row r="1679" ht="24" customHeight="1">
      <ns0:c r="A1679" s="3" t="inlineStr">
        <ns0:is>
          <ns0:t>混在40/30/30</ns0:t>
        </ns0:is>
      </ns0:c>
      <ns0:c r="B1679" s="3" t="inlineStr">
        <ns0:is>
          <ns0:t>G2二段階</ns0:t>
        </ns0:is>
      </ns0:c>
      <ns0:c r="C1679" s="3" t="inlineStr">
        <ns0:is>
          <ns0:t>D</ns0:t>
        </ns0:is>
      </ns0:c>
      <ns0:c r="D1679" s="4" t="n">
        <ns0:v>0</ns0:v>
      </ns0:c>
      <ns0:c r="E1679" s="4" t="n">
        <ns0:v>1500</ns0:v>
      </ns0:c>
      <ns0:c r="F1679" s="6" t="n">
        <ns0:v>0.3</ns0:v>
      </ns0:c>
      <ns0:c r="G1679" s="4" t="n">
        <ns0:v>3</ns0:v>
      </ns0:c>
      <ns0:c r="H1679" s="7" t="n">
        <ns0:v>3878.710812265332</ns0:v>
      </ns0:c>
      <ns0:c r="I1679" s="7" t="n">
        <ns0:v>2171.095488110137</ns0:v>
      </ns0:c>
      <ns0:c r="J1679" s="7" t="n">
        <ns0:v>651.3286464330413</ns0:v>
      </ns0:c>
      <ns0:c r="K1679" s="7" t="n">
        <ns0:v>53</ns0:v>
      </ns0:c>
      <ns0:c r="L1679" s="18" t="inlineStr">
        <ns0:is>
          <ns0:t>範囲内なし</ns0:t>
        </ns0:is>
      </ns0:c>
      <ns0:c r="M1679" s="7" t="n">
        <ns0:v>-45080.80984746235</ns0:v>
      </ns0:c>
      <ns0:c r="N1679" s="7" t="n">
        <ns0:v>-24720.56028977147</ns0:v>
      </ns0:c>
      <ns0:c r="O1679" s="7" t="n">
        <ns0:v>-2240.285700791472</ns0:v>
      </ns0:c>
      <ns0:c r="P1679" s="7" t="n">
        <ns0:v>50030.36322472485</ns0:v>
      </ns0:c>
      <ns0:c r="Q1679" s="7" t="n">
        <ns0:v>217112.9589267902</ns0:v>
      </ns0:c>
      <ns0:c r="R1679" s="7" t="n">
        <ns0:v>878902.0438840187</ns0:v>
      </ns0:c>
    </ns0:row>
    <ns0:row r="1680" ht="24" customHeight="1">
      <ns0:c r="A1680" s="3" t="inlineStr">
        <ns0:is>
          <ns0:t>混在40/30/30</ns0:t>
        </ns0:is>
      </ns0:c>
      <ns0:c r="B1680" s="3" t="inlineStr">
        <ns0:is>
          <ns0:t>G2二段階</ns0:t>
        </ns0:is>
      </ns0:c>
      <ns0:c r="C1680" s="3" t="inlineStr">
        <ns0:is>
          <ns0:t>D</ns0:t>
        </ns0:is>
      </ns0:c>
      <ns0:c r="D1680" s="4" t="n">
        <ns0:v>0</ns0:v>
      </ns0:c>
      <ns0:c r="E1680" s="4" t="n">
        <ns0:v>1500</ns0:v>
      </ns0:c>
      <ns0:c r="F1680" s="6" t="n">
        <ns0:v>0.4</ns0:v>
      </ns0:c>
      <ns0:c r="G1680" s="4" t="n">
        <ns0:v>0</ns0:v>
      </ns0:c>
      <ns0:c r="H1680" s="7" t="n">
        <ns0:v>3878.710812265332</ns0:v>
      </ns0:c>
      <ns0:c r="I1680" s="7" t="n">
        <ns0:v>2171.095488110137</ns0:v>
      </ns0:c>
      <ns0:c r="J1680" s="7" t="n">
        <ns0:v>868.4381952440551</ns0:v>
      </ns0:c>
      <ns0:c r="K1680" s="7" t="n">
        <ns0:v>35</ns0:v>
      </ns0:c>
      <ns0:c r="L1680" s="7" t="n">
        <ns0:v>82</ns0:v>
      </ns0:c>
      <ns0:c r="M1680" s="7" t="n">
        <ns0:v>-39908.09055340062</ns0:v>
      </ns0:c>
      <ns0:c r="N1680" s="7" t="n">
        <ns0:v>-9202.402407586269</ns0:v>
      </ns0:c>
      <ns0:c r="O1680" s="7" t="n">
        <ns0:v>23623.31076951719</ns0:v>
      </ns0:c>
      <ns0:c r="P1680" s="7" t="n">
        <ns0:v>101757.5561653422</ns0:v>
      </ns0:c>
      <ns0:c r="Q1680" s="7" t="n">
        <ns0:v>372294.5377486421</ns0:v>
      </ns0:c>
      <ns0:c r="R1680" s="7" t="n">
        <ns0:v>1396173.973290192</ns0:v>
      </ns0:c>
    </ns0:row>
    <ns0:row r="1681" ht="24" customHeight="1">
      <ns0:c r="A1681" s="3" t="inlineStr">
        <ns0:is>
          <ns0:t>混在40/30/30</ns0:t>
        </ns0:is>
      </ns0:c>
      <ns0:c r="B1681" s="3" t="inlineStr">
        <ns0:is>
          <ns0:t>G2二段階</ns0:t>
        </ns0:is>
      </ns0:c>
      <ns0:c r="C1681" s="3" t="inlineStr">
        <ns0:is>
          <ns0:t>D</ns0:t>
        </ns0:is>
      </ns0:c>
      <ns0:c r="D1681" s="4" t="n">
        <ns0:v>0</ns0:v>
      </ns0:c>
      <ns0:c r="E1681" s="4" t="n">
        <ns0:v>1500</ns0:v>
      </ns0:c>
      <ns0:c r="F1681" s="6" t="n">
        <ns0:v>0.4</ns0:v>
      </ns0:c>
      <ns0:c r="G1681" s="4" t="n">
        <ns0:v>1</ns0:v>
      </ns0:c>
      <ns0:c r="H1681" s="7" t="n">
        <ns0:v>3878.710812265332</ns0:v>
      </ns0:c>
      <ns0:c r="I1681" s="7" t="n">
        <ns0:v>2171.095488110137</ns0:v>
      </ns0:c>
      <ns0:c r="J1681" s="7" t="n">
        <ns0:v>868.4381952440551</ns0:v>
      </ns0:c>
      <ns0:c r="K1681" s="7" t="n">
        <ns0:v>41</ns0:v>
      </ns0:c>
      <ns0:c r="L1681" s="7" t="n">
        <ns0:v>279</ns0:v>
      </ns0:c>
      <ns0:c r="M1681" s="7" t="n">
        <ns0:v>-42127.63436526594</ns0:v>
      </ns0:c>
      <ns0:c r="N1681" s="7" t="n">
        <ns0:v>-15861.03384318221</ns0:v>
      </ns0:c>
      <ns0:c r="O1681" s="7" t="n">
        <ns0:v>12525.59171019062</ns0:v>
      </ns0:c>
      <ns0:c r="P1681" s="7" t="n">
        <ns0:v>79562.11804668905</ns0:v>
      </ns0:c>
      <ns0:c r="Q1681" s="7" t="n">
        <ns0:v>305708.2233926827</ns0:v>
      </ns0:c>
      <ns0:c r="R1681" s="7" t="n">
        <ns0:v>1174219.592103661</ns0:v>
      </ns0:c>
    </ns0:row>
    <ns0:row r="1682" ht="24" customHeight="1">
      <ns0:c r="A1682" s="3" t="inlineStr">
        <ns0:is>
          <ns0:t>混在40/30/30</ns0:t>
        </ns0:is>
      </ns0:c>
      <ns0:c r="B1682" s="3" t="inlineStr">
        <ns0:is>
          <ns0:t>G2二段階</ns0:t>
        </ns0:is>
      </ns0:c>
      <ns0:c r="C1682" s="3" t="inlineStr">
        <ns0:is>
          <ns0:t>D</ns0:t>
        </ns0:is>
      </ns0:c>
      <ns0:c r="D1682" s="4" t="n">
        <ns0:v>0</ns0:v>
      </ns0:c>
      <ns0:c r="E1682" s="4" t="n">
        <ns0:v>1500</ns0:v>
      </ns0:c>
      <ns0:c r="F1682" s="6" t="n">
        <ns0:v>0.4</ns0:v>
      </ns0:c>
      <ns0:c r="G1682" s="4" t="n">
        <ns0:v>2</ns0:v>
      </ns0:c>
      <ns0:c r="H1682" s="7" t="n">
        <ns0:v>3878.710812265332</ns0:v>
      </ns0:c>
      <ns0:c r="I1682" s="7" t="n">
        <ns0:v>2171.095488110137</ns0:v>
      </ns0:c>
      <ns0:c r="J1682" s="7" t="n">
        <ns0:v>868.4381952440551</ns0:v>
      </ns0:c>
      <ns0:c r="K1682" s="7" t="n">
        <ns0:v>426</ns0:v>
      </ns0:c>
      <ns0:c r="L1682" s="18" t="inlineStr">
        <ns0:is>
          <ns0:t>範囲内なし</ns0:t>
        </ns0:is>
      </ns0:c>
      <ns0:c r="M1682" s="7" t="n">
        <ns0:v>-53265.29065229787</ns0:v>
      </ns0:c>
      <ns0:c r="N1682" s="7" t="n">
        <ns0:v>-49274.00270427803</ns0:v>
      </ns0:c>
      <ns0:c r="O1682" s="7" t="n">
        <ns0:v>-43162.68972496908</ns0:v>
      </ns0:c>
      <ns0:c r="P1682" s="7" t="n">
        <ns0:v>-31814.44482363039</ns0:v>
      </ns0:c>
      <ns0:c r="Q1682" s="7" t="n">
        <ns0:v>-28421.46521827561</ns0:v>
      </ns0:c>
      <ns0:c r="R1682" s="7" t="n">
        <ns0:v>60453.96340046637</ns0:v>
      </ns0:c>
    </ns0:row>
    <ns0:row r="1683" ht="24" customHeight="1">
      <ns0:c r="A1683" s="3" t="inlineStr">
        <ns0:is>
          <ns0:t>混在40/30/30</ns0:t>
        </ns0:is>
      </ns0:c>
      <ns0:c r="B1683" s="3" t="inlineStr">
        <ns0:is>
          <ns0:t>G2二段階</ns0:t>
        </ns0:is>
      </ns0:c>
      <ns0:c r="C1683" s="3" t="inlineStr">
        <ns0:is>
          <ns0:t>D</ns0:t>
        </ns0:is>
      </ns0:c>
      <ns0:c r="D1683" s="4" t="n">
        <ns0:v>0</ns0:v>
      </ns0:c>
      <ns0:c r="E1683" s="4" t="n">
        <ns0:v>1500</ns0:v>
      </ns0:c>
      <ns0:c r="F1683" s="6" t="n">
        <ns0:v>0.4</ns0:v>
      </ns0:c>
      <ns0:c r="G1683" s="4" t="n">
        <ns0:v>3</ns0:v>
      </ns0:c>
      <ns0:c r="H1683" s="7" t="n">
        <ns0:v>3878.710812265332</ns0:v>
      </ns0:c>
      <ns0:c r="I1683" s="7" t="n">
        <ns0:v>2171.095488110137</ns0:v>
      </ns0:c>
      <ns0:c r="J1683" s="7" t="n">
        <ns0:v>868.4381952440551</ns0:v>
      </ns0:c>
      <ns0:c r="K1683" s="7" t="n">
        <ns0:v>66</ns0:v>
      </ns0:c>
      <ns0:c r="L1683" s="18" t="inlineStr">
        <ns0:is>
          <ns0:t>範囲内なし</ns0:t>
        </ns0:is>
      </ns0:c>
      <ns0:c r="M1683" s="7" t="n">
        <ns0:v>-47251.90533557249</ns0:v>
      </ns0:c>
      <ns0:c r="N1683" s="7" t="n">
        <ns0:v>-31233.84675410188</ns0:v>
      </ns0:c>
      <ns0:c r="O1683" s="7" t="n">
        <ns0:v>-13095.76314134216</ns0:v>
      </ns0:c>
      <ns0:c r="P1683" s="7" t="n">
        <ns0:v>28319.40834362348</ns0:v>
      </ns0:c>
      <ns0:c r="Q1683" s="7" t="n">
        <ns0:v>151980.094283486</ns0:v>
      </ns0:c>
      <ns0:c r="R1683" s="7" t="n">
        <ns0:v>661792.4950730051</ns0:v>
      </ns0:c>
    </ns0:row>
    <ns0:row r="1684" ht="24" customHeight="1">
      <ns0:c r="A1684" s="3" t="inlineStr">
        <ns0:is>
          <ns0:t>混在40/30/30</ns0:t>
        </ns0:is>
      </ns0:c>
      <ns0:c r="B1684" s="3" t="inlineStr">
        <ns0:is>
          <ns0:t>G2二段階</ns0:t>
        </ns0:is>
      </ns0:c>
      <ns0:c r="C1684" s="3" t="inlineStr">
        <ns0:is>
          <ns0:t>D</ns0:t>
        </ns0:is>
      </ns0:c>
      <ns0:c r="D1684" s="4" t="n">
        <ns0:v>0</ns0:v>
      </ns0:c>
      <ns0:c r="E1684" s="4" t="n">
        <ns0:v>1500</ns0:v>
      </ns0:c>
      <ns0:c r="F1684" s="6" t="n">
        <ns0:v>0.5</ns0:v>
      </ns0:c>
      <ns0:c r="G1684" s="4" t="n">
        <ns0:v>0</ns0:v>
      </ns0:c>
      <ns0:c r="H1684" s="7" t="n">
        <ns0:v>3878.710812265332</ns0:v>
      </ns0:c>
      <ns0:c r="I1684" s="7" t="n">
        <ns0:v>2171.095488110137</ns0:v>
      </ns0:c>
      <ns0:c r="J1684" s="7" t="n">
        <ns0:v>1085.547744055069</ns0:v>
      </ns0:c>
      <ns0:c r="K1684" s="7" t="n">
        <ns0:v>41</ns0:v>
      </ns0:c>
      <ns0:c r="L1684" s="7" t="n">
        <ns0:v>95</ns0:v>
      </ns0:c>
      <ns0:c r="M1684" s="7" t="n">
        <ns0:v>-42079.18604151076</ns0:v>
      </ns0:c>
      <ns0:c r="N1684" s="7" t="n">
        <ns0:v>-15715.6888719167</ns0:v>
      </ns0:c>
      <ns0:c r="O1684" s="7" t="n">
        <ns0:v>12767.8333289665</ns0:v>
      </ns0:c>
      <ns0:c r="P1684" s="7" t="n">
        <ns0:v>80046.60128424081</ns0:v>
      </ns0:c>
      <ns0:c r="Q1684" s="7" t="n">
        <ns0:v>307161.673105338</ns0:v>
      </ns0:c>
      <ns0:c r="R1684" s="7" t="n">
        <ns0:v>1179064.424479178</ns0:v>
      </ns0:c>
    </ns0:row>
    <ns0:row r="1685" ht="24" customHeight="1">
      <ns0:c r="A1685" s="3" t="inlineStr">
        <ns0:is>
          <ns0:t>混在40/30/30</ns0:t>
        </ns0:is>
      </ns0:c>
      <ns0:c r="B1685" s="3" t="inlineStr">
        <ns0:is>
          <ns0:t>G2二段階</ns0:t>
        </ns0:is>
      </ns0:c>
      <ns0:c r="C1685" s="3" t="inlineStr">
        <ns0:is>
          <ns0:t>D</ns0:t>
        </ns0:is>
      </ns0:c>
      <ns0:c r="D1685" s="4" t="n">
        <ns0:v>0</ns0:v>
      </ns0:c>
      <ns0:c r="E1685" s="4" t="n">
        <ns0:v>1500</ns0:v>
      </ns0:c>
      <ns0:c r="F1685" s="6" t="n">
        <ns0:v>0.5</ns0:v>
      </ns0:c>
      <ns0:c r="G1685" s="4" t="n">
        <ns0:v>1</ns0:v>
      </ns0:c>
      <ns0:c r="H1685" s="7" t="n">
        <ns0:v>3878.710812265332</ns0:v>
      </ns0:c>
      <ns0:c r="I1685" s="7" t="n">
        <ns0:v>2171.095488110137</ns0:v>
      </ns0:c>
      <ns0:c r="J1685" s="7" t="n">
        <ns0:v>1085.547744055069</ns0:v>
      </ns0:c>
      <ns0:c r="K1685" s="7" t="n">
        <ns0:v>49</ns0:v>
      </ns0:c>
      <ns0:c r="L1685" s="7" t="n">
        <ns0:v>393</ns0:v>
      </ns0:c>
      <ns0:c r="M1685" s="7" t="n">
        <ns0:v>-44298.72985337608</ns0:v>
      </ns0:c>
      <ns0:c r="N1685" s="7" t="n">
        <ns0:v>-22374.32030751264</ns0:v>
      </ns0:c>
      <ns0:c r="O1685" s="7" t="n">
        <ns0:v>1670.11426963994</ns0:v>
      </ns0:c>
      <ns0:c r="P1685" s="7" t="n">
        <ns0:v>57851.16316558768</ns0:v>
      </ns0:c>
      <ns0:c r="Q1685" s="7" t="n">
        <ns0:v>240575.3587493786</ns0:v>
      </ns0:c>
      <ns0:c r="R1685" s="7" t="n">
        <ns0:v>957110.0432926468</ns0:v>
      </ns0:c>
    </ns0:row>
    <ns0:row r="1686" ht="24" customHeight="1">
      <ns0:c r="A1686" s="3" t="inlineStr">
        <ns0:is>
          <ns0:t>混在40/30/30</ns0:t>
        </ns0:is>
      </ns0:c>
      <ns0:c r="B1686" s="3" t="inlineStr">
        <ns0:is>
          <ns0:t>G2二段階</ns0:t>
        </ns0:is>
      </ns0:c>
      <ns0:c r="C1686" s="3" t="inlineStr">
        <ns0:is>
          <ns0:t>D</ns0:t>
        </ns0:is>
      </ns0:c>
      <ns0:c r="D1686" s="4" t="n">
        <ns0:v>0</ns0:v>
      </ns0:c>
      <ns0:c r="E1686" s="4" t="n">
        <ns0:v>1500</ns0:v>
      </ns0:c>
      <ns0:c r="F1686" s="6" t="n">
        <ns0:v>0.5</ns0:v>
      </ns0:c>
      <ns0:c r="G1686" s="4" t="n">
        <ns0:v>2</ns0:v>
      </ns0:c>
      <ns0:c r="H1686" s="7" t="n">
        <ns0:v>3878.710812265332</ns0:v>
      </ns0:c>
      <ns0:c r="I1686" s="7" t="n">
        <ns0:v>2171.095488110137</ns0:v>
      </ns0:c>
      <ns0:c r="J1686" s="7" t="n">
        <ns0:v>1085.547744055069</ns0:v>
      </ns0:c>
      <ns0:c r="K1686" s="18" t="inlineStr">
        <ns0:is>
          <ns0:t>範囲内なし</ns0:t>
        </ns0:is>
      </ns0:c>
      <ns0:c r="L1686" s="18" t="inlineStr">
        <ns0:is>
          <ns0:t>範囲内なし</ns0:t>
        </ns0:is>
      </ns0:c>
      <ns0:c r="M1686" s="7" t="n">
        <ns0:v>-55436.38614040802</ns0:v>
      </ns0:c>
      <ns0:c r="N1686" s="7" t="n">
        <ns0:v>-55787.28916860847</ns0:v>
      </ns0:c>
      <ns0:c r="O1686" s="7" t="n">
        <ns0:v>-54018.16716551977</ns0:v>
      </ns0:c>
      <ns0:c r="P1686" s="7" t="n">
        <ns0:v>-53525.39970473174</ns0:v>
      </ns0:c>
      <ns0:c r="Q1686" s="7" t="n">
        <ns0:v>-93554.32986157972</ns0:v>
      </ns0:c>
      <ns0:c r="R1686" s="7" t="n">
        <ns0:v>-156655.5854105476</ns0:v>
      </ns0:c>
    </ns0:row>
    <ns0:row r="1687" ht="24" customHeight="1">
      <ns0:c r="A1687" s="3" t="inlineStr">
        <ns0:is>
          <ns0:t>混在40/30/30</ns0:t>
        </ns0:is>
      </ns0:c>
      <ns0:c r="B1687" s="3" t="inlineStr">
        <ns0:is>
          <ns0:t>G2二段階</ns0:t>
        </ns0:is>
      </ns0:c>
      <ns0:c r="C1687" s="3" t="inlineStr">
        <ns0:is>
          <ns0:t>D</ns0:t>
        </ns0:is>
      </ns0:c>
      <ns0:c r="D1687" s="4" t="n">
        <ns0:v>0</ns0:v>
      </ns0:c>
      <ns0:c r="E1687" s="4" t="n">
        <ns0:v>1500</ns0:v>
      </ns0:c>
      <ns0:c r="F1687" s="6" t="n">
        <ns0:v>0.5</ns0:v>
      </ns0:c>
      <ns0:c r="G1687" s="4" t="n">
        <ns0:v>3</ns0:v>
      </ns0:c>
      <ns0:c r="H1687" s="7" t="n">
        <ns0:v>3878.710812265332</ns0:v>
      </ns0:c>
      <ns0:c r="I1687" s="7" t="n">
        <ns0:v>2171.095488110137</ns0:v>
      </ns0:c>
      <ns0:c r="J1687" s="7" t="n">
        <ns0:v>1085.547744055069</ns0:v>
      </ns0:c>
      <ns0:c r="K1687" s="7" t="n">
        <ns0:v>90</ns0:v>
      </ns0:c>
      <ns0:c r="L1687" s="18" t="inlineStr">
        <ns0:is>
          <ns0:t>範囲内なし</ns0:t>
        </ns0:is>
      </ns0:c>
      <ns0:c r="M1687" s="7" t="n">
        <ns0:v>-49423.00082368263</ns0:v>
      </ns0:c>
      <ns0:c r="N1687" s="7" t="n">
        <ns0:v>-37747.13321843231</ns0:v>
      </ns0:c>
      <ns0:c r="O1687" s="7" t="n">
        <ns0:v>-23951.24058189284</ns0:v>
      </ns0:c>
      <ns0:c r="P1687" s="7" t="n">
        <ns0:v>6608.453462522113</ns0:v>
      </ns0:c>
      <ns0:c r="Q1687" s="7" t="n">
        <ns0:v>86847.2296401819</ns0:v>
      </ns0:c>
      <ns0:c r="R1687" s="7" t="n">
        <ns0:v>444682.946261991</ns0:v>
      </ns0:c>
    </ns0:row>
    <ns0:row r="1688" ht="24" customHeight="1">
      <ns0:c r="A1688" s="3" t="inlineStr">
        <ns0:is>
          <ns0:t>混在40/30/30</ns0:t>
        </ns0:is>
      </ns0:c>
      <ns0:c r="B1688" s="3" t="inlineStr">
        <ns0:is>
          <ns0:t>G2二段階</ns0:t>
        </ns0:is>
      </ns0:c>
      <ns0:c r="C1688" s="3" t="inlineStr">
        <ns0:is>
          <ns0:t>D</ns0:t>
        </ns0:is>
      </ns0:c>
      <ns0:c r="D1688" s="4" t="n">
        <ns0:v>1</ns0:v>
      </ns0:c>
      <ns0:c r="E1688" s="4" t="n">
        <ns0:v>500</ns0:v>
      </ns0:c>
      <ns0:c r="F1688" s="6" t="n">
        <ns0:v>0.3</ns0:v>
      </ns0:c>
      <ns0:c r="G1688" s="4" t="n">
        <ns0:v>0</ns0:v>
      </ns0:c>
      <ns0:c r="H1688" s="7" t="n">
        <ns0:v>5375.647230566238</ns0:v>
      </ns0:c>
      <ns0:c r="I1688" s="7" t="n">
        <ns0:v>2694.340136436371</ns0:v>
      </ns0:c>
      <ns0:c r="J1688" s="7" t="n">
        <ns0:v>808.3020409309113</ns0:v>
      </ns0:c>
      <ns0:c r="K1688" s="7" t="n">
        <ns0:v>21</ns0:v>
      </ns0:c>
      <ns0:c r="L1688" s="7" t="n">
        <ns0:v>36</ns0:v>
      </ns0:c>
      <ns0:c r="M1688" s="7" t="n">
        <ns0:v>-25251.65189138809</ns0:v>
      </ns0:c>
      <ns0:c r="N1688" s="7" t="n">
        <ns0:v>27477.41637174741</ns0:v>
      </ns0:c>
      <ns0:c r="O1688" s="7" t="n">
        <ns0:v>82136.31703711757</ns0:v>
      </ns0:c>
      <ns0:c r="P1688" s="7" t="n">
        <ns0:v>218783.5687005429</ns0:v>
      </ns0:c>
      <ns0:c r="Q1688" s="7" t="n">
        <ns0:v>723372.5753542446</ns0:v>
      </ns0:c>
      <ns0:c r="R1688" s="7" t="n">
        <ns0:v>2566434.098642199</ns0:v>
      </ns0:c>
    </ns0:row>
    <ns0:row r="1689" ht="24" customHeight="1">
      <ns0:c r="A1689" s="3" t="inlineStr">
        <ns0:is>
          <ns0:t>混在40/30/30</ns0:t>
        </ns0:is>
      </ns0:c>
      <ns0:c r="B1689" s="3" t="inlineStr">
        <ns0:is>
          <ns0:t>G2二段階</ns0:t>
        </ns0:is>
      </ns0:c>
      <ns0:c r="C1689" s="3" t="inlineStr">
        <ns0:is>
          <ns0:t>D</ns0:t>
        </ns0:is>
      </ns0:c>
      <ns0:c r="D1689" s="4" t="n">
        <ns0:v>1</ns0:v>
      </ns0:c>
      <ns0:c r="E1689" s="4" t="n">
        <ns0:v>500</ns0:v>
      </ns0:c>
      <ns0:c r="F1689" s="6" t="n">
        <ns0:v>0.3</ns0:v>
      </ns0:c>
      <ns0:c r="G1689" s="4" t="n">
        <ns0:v>1</ns0:v>
      </ns0:c>
      <ns0:c r="H1689" s="7" t="n">
        <ns0:v>5375.647230566238</ns0:v>
      </ns0:c>
      <ns0:c r="I1689" s="7" t="n">
        <ns0:v>2694.340136436371</ns0:v>
      </ns0:c>
      <ns0:c r="J1689" s="7" t="n">
        <ns0:v>808.3020409309113</ns0:v>
      </ns0:c>
      <ns0:c r="K1689" s="7" t="n">
        <ns0:v>23</ns0:v>
      </ns0:c>
      <ns0:c r="L1689" s="7" t="n">
        <ns0:v>48</ns0:v>
      </ns0:c>
      <ns0:c r="M1689" s="7" t="n">
        <ns0:v>-27820.86995935236</ns0:v>
      </ns0:c>
      <ns0:c r="N1689" s="7" t="n">
        <ns0:v>19769.7621678546</ns0:v>
      </ns0:c>
      <ns0:c r="O1689" s="7" t="n">
        <ns0:v>69290.2266972962</ns0:v>
      </ns0:c>
      <ns0:c r="P1689" s="7" t="n">
        <ns0:v>193091.3880209002</ns0:v>
      </ns0:c>
      <ns0:c r="Q1689" s="7" t="n">
        <ns0:v>646296.0333153164</ns0:v>
      </ns0:c>
      <ns0:c r="R1689" s="7" t="n">
        <ns0:v>2309512.291845772</ns0:v>
      </ns0:c>
    </ns0:row>
    <ns0:row r="1690" ht="24" customHeight="1">
      <ns0:c r="A1690" s="3" t="inlineStr">
        <ns0:is>
          <ns0:t>混在40/30/30</ns0:t>
        </ns0:is>
      </ns0:c>
      <ns0:c r="B1690" s="3" t="inlineStr">
        <ns0:is>
          <ns0:t>G2二段階</ns0:t>
        </ns0:is>
      </ns0:c>
      <ns0:c r="C1690" s="3" t="inlineStr">
        <ns0:is>
          <ns0:t>D</ns0:t>
        </ns0:is>
      </ns0:c>
      <ns0:c r="D1690" s="4" t="n">
        <ns0:v>1</ns0:v>
      </ns0:c>
      <ns0:c r="E1690" s="4" t="n">
        <ns0:v>500</ns0:v>
      </ns0:c>
      <ns0:c r="F1690" s="6" t="n">
        <ns0:v>0.3</ns0:v>
      </ns0:c>
      <ns0:c r="G1690" s="4" t="n">
        <ns0:v>2</ns0:v>
      </ns0:c>
      <ns0:c r="H1690" s="7" t="n">
        <ns0:v>5375.647230566238</ns0:v>
      </ns0:c>
      <ns0:c r="I1690" s="7" t="n">
        <ns0:v>2694.340136436371</ns0:v>
      </ns0:c>
      <ns0:c r="J1690" s="7" t="n">
        <ns0:v>808.3020409309113</ns0:v>
      </ns0:c>
      <ns0:c r="K1690" s="7" t="n">
        <ns0:v>274</ns0:v>
      </ns0:c>
      <ns0:c r="L1690" s="18" t="inlineStr">
        <ns0:is>
          <ns0:t>範囲内なし</ns0:t>
        </ns0:is>
      </ns0:c>
      <ns0:c r="M1690" s="7" t="n">
        <ns0:v>-49052.70849069345</ns0:v>
      </ns0:c>
      <ns0:c r="N1690" s="7" t="n">
        <ns0:v>-43925.75342616867</ns0:v>
      </ns0:c>
      <ns0:c r="O1690" s="7" t="n">
        <ns0:v>-36868.96595940925</ns0:v>
      </ns0:c>
      <ns0:c r="P1690" s="7" t="n">
        <ns0:v>-19226.9972925107</ns0:v>
      </ns0:c>
      <ns0:c r="Q1690" s="7" t="n">
        <ns0:v>9340.877375083743</ns0:v>
      </ns0:c>
      <ns0:c r="R1690" s="7" t="n">
        <ns0:v>186328.4387116635</ns0:v>
      </ns0:c>
    </ns0:row>
    <ns0:row r="1691" ht="24" customHeight="1">
      <ns0:c r="A1691" s="3" t="inlineStr">
        <ns0:is>
          <ns0:t>混在40/30/30</ns0:t>
        </ns0:is>
      </ns0:c>
      <ns0:c r="B1691" s="3" t="inlineStr">
        <ns0:is>
          <ns0:t>G2二段階</ns0:t>
        </ns0:is>
      </ns0:c>
      <ns0:c r="C1691" s="3" t="inlineStr">
        <ns0:is>
          <ns0:t>D</ns0:t>
        </ns0:is>
      </ns0:c>
      <ns0:c r="D1691" s="4" t="n">
        <ns0:v>1</ns0:v>
      </ns0:c>
      <ns0:c r="E1691" s="4" t="n">
        <ns0:v>500</ns0:v>
      </ns0:c>
      <ns0:c r="F1691" s="6" t="n">
        <ns0:v>0.3</ns0:v>
      </ns0:c>
      <ns0:c r="G1691" s="4" t="n">
        <ns0:v>3</ns0:v>
      </ns0:c>
      <ns0:c r="H1691" s="7" t="n">
        <ns0:v>5375.647230566238</ns0:v>
      </ns0:c>
      <ns0:c r="I1691" s="7" t="n">
        <ns0:v>2694.340136436371</ns0:v>
      </ns0:c>
      <ns0:c r="J1691" s="7" t="n">
        <ns0:v>808.3020409309113</ns0:v>
      </ns0:c>
      <ns0:c r="K1691" s="7" t="n">
        <ns0:v>29</ns0:v>
      </ns0:c>
      <ns0:c r="L1691" s="7" t="n">
        <ns0:v>343</ns0:v>
      </ns0:c>
      <ns0:c r="M1691" s="7" t="n">
        <ns0:v>-33461.61738760616</ns0:v>
      </ns0:c>
      <ns0:c r="N1691" s="7" t="n">
        <ns0:v>2847.519883093202</ns0:v>
      </ns0:c>
      <ns0:c r="O1691" s="7" t="n">
        <ns0:v>41086.48955602721</ns0:v>
      </ns0:c>
      <ns0:c r="P1691" s="7" t="n">
        <ns0:v>136683.9137383622</ns0:v>
      </ns0:c>
      <ns0:c r="Q1691" s="7" t="n">
        <ns0:v>477073.6104677024</ns0:v>
      </ns0:c>
      <ns0:c r="R1691" s="7" t="n">
        <ns0:v>1745437.549020392</ns0:v>
      </ns0:c>
    </ns0:row>
    <ns0:row r="1692" ht="24" customHeight="1">
      <ns0:c r="A1692" s="3" t="inlineStr">
        <ns0:is>
          <ns0:t>混在40/30/30</ns0:t>
        </ns0:is>
      </ns0:c>
      <ns0:c r="B1692" s="3" t="inlineStr">
        <ns0:is>
          <ns0:t>G2二段階</ns0:t>
        </ns0:is>
      </ns0:c>
      <ns0:c r="C1692" s="3" t="inlineStr">
        <ns0:is>
          <ns0:t>D</ns0:t>
        </ns0:is>
      </ns0:c>
      <ns0:c r="D1692" s="4" t="n">
        <ns0:v>1</ns0:v>
      </ns0:c>
      <ns0:c r="E1692" s="4" t="n">
        <ns0:v>500</ns0:v>
      </ns0:c>
      <ns0:c r="F1692" s="6" t="n">
        <ns0:v>0.4</ns0:v>
      </ns0:c>
      <ns0:c r="G1692" s="4" t="n">
        <ns0:v>0</ns0:v>
      </ns0:c>
      <ns0:c r="H1692" s="7" t="n">
        <ns0:v>5375.647230566238</ns0:v>
      </ns0:c>
      <ns0:c r="I1692" s="7" t="n">
        <ns0:v>2694.340136436371</ns0:v>
      </ns0:c>
      <ns0:c r="J1692" s="7" t="n">
        <ns0:v>1077.736054574549</ns0:v>
      </ns0:c>
      <ns0:c r="K1692" s="7" t="n">
        <ns0:v>23</ns0:v>
      </ns0:c>
      <ns0:c r="L1692" s="7" t="n">
        <ns0:v>38</ns0:v>
      </ns0:c>
      <ns0:c r="M1692" s="7" t="n">
        <ns0:v>-27945.99202782446</ns0:v>
      </ns0:c>
      <ns0:c r="N1692" s="7" t="n">
        <ns0:v>19394.3959624383</ns0:v>
      </ns0:c>
      <ns0:c r="O1692" s="7" t="n">
        <ns0:v>68664.61635493572</ns0:v>
      </ns0:c>
      <ns0:c r="P1692" s="7" t="n">
        <ns0:v>191840.1673361792</ns0:v>
      </ns0:c>
      <ns0:c r="Q1692" s="7" t="n">
        <ns0:v>642542.3712611534</ns0:v>
      </ns0:c>
      <ns0:c r="R1692" s="7" t="n">
        <ns0:v>2297000.084998562</ns0:v>
      </ns0:c>
    </ns0:row>
    <ns0:row r="1693" ht="24" customHeight="1">
      <ns0:c r="A1693" s="3" t="inlineStr">
        <ns0:is>
          <ns0:t>混在40/30/30</ns0:t>
        </ns0:is>
      </ns0:c>
      <ns0:c r="B1693" s="3" t="inlineStr">
        <ns0:is>
          <ns0:t>G2二段階</ns0:t>
        </ns0:is>
      </ns0:c>
      <ns0:c r="C1693" s="3" t="inlineStr">
        <ns0:is>
          <ns0:t>D</ns0:t>
        </ns0:is>
      </ns0:c>
      <ns0:c r="D1693" s="4" t="n">
        <ns0:v>1</ns0:v>
      </ns0:c>
      <ns0:c r="E1693" s="4" t="n">
        <ns0:v>500</ns0:v>
      </ns0:c>
      <ns0:c r="F1693" s="6" t="n">
        <ns0:v>0.4</ns0:v>
      </ns0:c>
      <ns0:c r="G1693" s="4" t="n">
        <ns0:v>1</ns0:v>
      </ns0:c>
      <ns0:c r="H1693" s="7" t="n">
        <ns0:v>5375.647230566238</ns0:v>
      </ns0:c>
      <ns0:c r="I1693" s="7" t="n">
        <ns0:v>2694.340136436371</ns0:v>
      </ns0:c>
      <ns0:c r="J1693" s="7" t="n">
        <ns0:v>1077.736054574549</ns0:v>
      </ns0:c>
      <ns0:c r="K1693" s="7" t="n">
        <ns0:v>25</ns0:v>
      </ns0:c>
      <ns0:c r="L1693" s="7" t="n">
        <ns0:v>53</ns0:v>
      </ns0:c>
      <ns0:c r="M1693" s="7" t="n">
        <ns0:v>-30515.21009578873</ns0:v>
      </ns0:c>
      <ns0:c r="N1693" s="7" t="n">
        <ns0:v>11686.74175854549</ns0:v>
      </ns0:c>
      <ns0:c r="O1693" s="7" t="n">
        <ns0:v>55818.52601511434</ns0:v>
      </ns0:c>
      <ns0:c r="P1693" s="7" t="n">
        <ns0:v>166147.9866565365</ns0:v>
      </ns0:c>
      <ns0:c r="Q1693" s="7" t="n">
        <ns0:v>565465.8292222252</ns0:v>
      </ns0:c>
      <ns0:c r="R1693" s="7" t="n">
        <ns0:v>2040078.278202135</ns0:v>
      </ns0:c>
    </ns0:row>
    <ns0:row r="1694" ht="24" customHeight="1">
      <ns0:c r="A1694" s="3" t="inlineStr">
        <ns0:is>
          <ns0:t>混在40/30/30</ns0:t>
        </ns0:is>
      </ns0:c>
      <ns0:c r="B1694" s="3" t="inlineStr">
        <ns0:is>
          <ns0:t>G2二段階</ns0:t>
        </ns0:is>
      </ns0:c>
      <ns0:c r="C1694" s="3" t="inlineStr">
        <ns0:is>
          <ns0:t>D</ns0:t>
        </ns0:is>
      </ns0:c>
      <ns0:c r="D1694" s="4" t="n">
        <ns0:v>1</ns0:v>
      </ns0:c>
      <ns0:c r="E1694" s="4" t="n">
        <ns0:v>500</ns0:v>
      </ns0:c>
      <ns0:c r="F1694" s="6" t="n">
        <ns0:v>0.4</ns0:v>
      </ns0:c>
      <ns0:c r="G1694" s="4" t="n">
        <ns0:v>2</ns0:v>
      </ns0:c>
      <ns0:c r="H1694" s="7" t="n">
        <ns0:v>5375.647230566238</ns0:v>
      </ns0:c>
      <ns0:c r="I1694" s="7" t="n">
        <ns0:v>2694.340136436371</ns0:v>
      </ns0:c>
      <ns0:c r="J1694" s="7" t="n">
        <ns0:v>1077.736054574549</ns0:v>
      </ns0:c>
      <ns0:c r="K1694" s="18" t="inlineStr">
        <ns0:is>
          <ns0:t>範囲内なし</ns0:t>
        </ns0:is>
      </ns0:c>
      <ns0:c r="L1694" s="18" t="inlineStr">
        <ns0:is>
          <ns0:t>範囲内なし</ns0:t>
        </ns0:is>
      </ns0:c>
      <ns0:c r="M1694" s="7" t="n">
        <ns0:v>-51747.04862712981</ns0:v>
      </ns0:c>
      <ns0:c r="N1694" s="7" t="n">
        <ns0:v>-52008.77383547778</ns0:v>
      </ns0:c>
      <ns0:c r="O1694" s="7" t="n">
        <ns0:v>-50340.66664159109</ns0:v>
      </ns0:c>
      <ns0:c r="P1694" s="7" t="n">
        <ns0:v>-46170.39865687437</ns0:v>
      </ns0:c>
      <ns0:c r="Q1694" s="7" t="n">
        <ns0:v>-71489.32671800745</ns0:v>
      </ns0:c>
      <ns0:c r="R1694" s="7" t="n">
        <ns0:v>-83105.57493197359</ns0:v>
      </ns0:c>
    </ns0:row>
    <ns0:row r="1695" ht="24" customHeight="1">
      <ns0:c r="A1695" s="3" t="inlineStr">
        <ns0:is>
          <ns0:t>混在40/30/30</ns0:t>
        </ns0:is>
      </ns0:c>
      <ns0:c r="B1695" s="3" t="inlineStr">
        <ns0:is>
          <ns0:t>G2二段階</ns0:t>
        </ns0:is>
      </ns0:c>
      <ns0:c r="C1695" s="3" t="inlineStr">
        <ns0:is>
          <ns0:t>D</ns0:t>
        </ns0:is>
      </ns0:c>
      <ns0:c r="D1695" s="4" t="n">
        <ns0:v>1</ns0:v>
      </ns0:c>
      <ns0:c r="E1695" s="4" t="n">
        <ns0:v>500</ns0:v>
      </ns0:c>
      <ns0:c r="F1695" s="6" t="n">
        <ns0:v>0.4</ns0:v>
      </ns0:c>
      <ns0:c r="G1695" s="4" t="n">
        <ns0:v>3</ns0:v>
      </ns0:c>
      <ns0:c r="H1695" s="7" t="n">
        <ns0:v>5375.647230566238</ns0:v>
      </ns0:c>
      <ns0:c r="I1695" s="7" t="n">
        <ns0:v>2694.340136436371</ns0:v>
      </ns0:c>
      <ns0:c r="J1695" s="7" t="n">
        <ns0:v>1077.736054574549</ns0:v>
      </ns0:c>
      <ns0:c r="K1695" s="7" t="n">
        <ns0:v>34</ns0:v>
      </ns0:c>
      <ns0:c r="L1695" s="7" t="n">
        <ns0:v>974</ns0:v>
      </ns0:c>
      <ns0:c r="M1695" s="7" t="n">
        <ns0:v>-36155.95752404253</ns0:v>
      </ns0:c>
      <ns0:c r="N1695" s="7" t="n">
        <ns0:v>-5235.500526215914</ns0:v>
      </ns0:c>
      <ns0:c r="O1695" s="7" t="n">
        <ns0:v>27614.78887384535</ns0:v>
      </ns0:c>
      <ns0:c r="P1695" s="7" t="n">
        <ns0:v>109740.5123739985</ns0:v>
      </ns0:c>
      <ns0:c r="Q1695" s="7" t="n">
        <ns0:v>396243.4063746112</ns0:v>
      </ns0:c>
      <ns0:c r="R1695" s="7" t="n">
        <ns0:v>1476003.535376755</ns0:v>
      </ns0:c>
    </ns0:row>
    <ns0:row r="1696" ht="24" customHeight="1">
      <ns0:c r="A1696" s="3" t="inlineStr">
        <ns0:is>
          <ns0:t>混在40/30/30</ns0:t>
        </ns0:is>
      </ns0:c>
      <ns0:c r="B1696" s="3" t="inlineStr">
        <ns0:is>
          <ns0:t>G2二段階</ns0:t>
        </ns0:is>
      </ns0:c>
      <ns0:c r="C1696" s="3" t="inlineStr">
        <ns0:is>
          <ns0:t>D</ns0:t>
        </ns0:is>
      </ns0:c>
      <ns0:c r="D1696" s="4" t="n">
        <ns0:v>1</ns0:v>
      </ns0:c>
      <ns0:c r="E1696" s="4" t="n">
        <ns0:v>500</ns0:v>
      </ns0:c>
      <ns0:c r="F1696" s="6" t="n">
        <ns0:v>0.5</ns0:v>
      </ns0:c>
      <ns0:c r="G1696" s="4" t="n">
        <ns0:v>0</ns0:v>
      </ns0:c>
      <ns0:c r="H1696" s="7" t="n">
        <ns0:v>5375.647230566238</ns0:v>
      </ns0:c>
      <ns0:c r="I1696" s="7" t="n">
        <ns0:v>2694.340136436371</ns0:v>
      </ns0:c>
      <ns0:c r="J1696" s="7" t="n">
        <ns0:v>1347.170068218186</ns0:v>
      </ns0:c>
      <ns0:c r="K1696" s="7" t="n">
        <ns0:v>25</ns0:v>
      </ns0:c>
      <ns0:c r="L1696" s="7" t="n">
        <ns0:v>42</ns0:v>
      </ns0:c>
      <ns0:c r="M1696" s="7" t="n">
        <ns0:v>-30640.33216426083</ns0:v>
      </ns0:c>
      <ns0:c r="N1696" s="7" t="n">
        <ns0:v>11311.37555312919</ns0:v>
      </ns0:c>
      <ns0:c r="O1696" s="7" t="n">
        <ns0:v>55192.91567275384</ns0:v>
      </ns0:c>
      <ns0:c r="P1696" s="7" t="n">
        <ns0:v>164896.7659718155</ns0:v>
      </ns0:c>
      <ns0:c r="Q1696" s="7" t="n">
        <ns0:v>561712.1671680622</ns0:v>
      </ns0:c>
      <ns0:c r="R1696" s="7" t="n">
        <ns0:v>2027566.071354925</ns0:v>
      </ns0:c>
    </ns0:row>
    <ns0:row r="1697" ht="24" customHeight="1">
      <ns0:c r="A1697" s="3" t="inlineStr">
        <ns0:is>
          <ns0:t>混在40/30/30</ns0:t>
        </ns0:is>
      </ns0:c>
      <ns0:c r="B1697" s="3" t="inlineStr">
        <ns0:is>
          <ns0:t>G2二段階</ns0:t>
        </ns0:is>
      </ns0:c>
      <ns0:c r="C1697" s="3" t="inlineStr">
        <ns0:is>
          <ns0:t>D</ns0:t>
        </ns0:is>
      </ns0:c>
      <ns0:c r="D1697" s="4" t="n">
        <ns0:v>1</ns0:v>
      </ns0:c>
      <ns0:c r="E1697" s="4" t="n">
        <ns0:v>500</ns0:v>
      </ns0:c>
      <ns0:c r="F1697" s="6" t="n">
        <ns0:v>0.5</ns0:v>
      </ns0:c>
      <ns0:c r="G1697" s="4" t="n">
        <ns0:v>1</ns0:v>
      </ns0:c>
      <ns0:c r="H1697" s="7" t="n">
        <ns0:v>5375.647230566238</ns0:v>
      </ns0:c>
      <ns0:c r="I1697" s="7" t="n">
        <ns0:v>2694.340136436371</ns0:v>
      </ns0:c>
      <ns0:c r="J1697" s="7" t="n">
        <ns0:v>1347.170068218186</ns0:v>
      </ns0:c>
      <ns0:c r="K1697" s="7" t="n">
        <ns0:v>29</ns0:v>
      </ns0:c>
      <ns0:c r="L1697" s="7" t="n">
        <ns0:v>60</ns0:v>
      </ns0:c>
      <ns0:c r="M1697" s="7" t="n">
        <ns0:v>-33209.5502322251</ns0:v>
      </ns0:c>
      <ns0:c r="N1697" s="7" t="n">
        <ns0:v>3603.72134923637</ns0:v>
      </ns0:c>
      <ns0:c r="O1697" s="7" t="n">
        <ns0:v>42346.82533293248</ns0:v>
      </ns0:c>
      <ns0:c r="P1697" s="7" t="n">
        <ns0:v>139204.5852921727</ns0:v>
      </ns0:c>
      <ns0:c r="Q1697" s="7" t="n">
        <ns0:v>484635.625129134</ns0:v>
      </ns0:c>
      <ns0:c r="R1697" s="7" t="n">
        <ns0:v>1770644.264558498</ns0:v>
      </ns0:c>
    </ns0:row>
    <ns0:row r="1698" ht="24" customHeight="1">
      <ns0:c r="A1698" s="3" t="inlineStr">
        <ns0:is>
          <ns0:t>混在40/30/30</ns0:t>
        </ns0:is>
      </ns0:c>
      <ns0:c r="B1698" s="3" t="inlineStr">
        <ns0:is>
          <ns0:t>G2二段階</ns0:t>
        </ns0:is>
      </ns0:c>
      <ns0:c r="C1698" s="3" t="inlineStr">
        <ns0:is>
          <ns0:t>D</ns0:t>
        </ns0:is>
      </ns0:c>
      <ns0:c r="D1698" s="4" t="n">
        <ns0:v>1</ns0:v>
      </ns0:c>
      <ns0:c r="E1698" s="4" t="n">
        <ns0:v>500</ns0:v>
      </ns0:c>
      <ns0:c r="F1698" s="6" t="n">
        <ns0:v>0.5</ns0:v>
      </ns0:c>
      <ns0:c r="G1698" s="4" t="n">
        <ns0:v>2</ns0:v>
      </ns0:c>
      <ns0:c r="H1698" s="7" t="n">
        <ns0:v>5375.647230566238</ns0:v>
      </ns0:c>
      <ns0:c r="I1698" s="7" t="n">
        <ns0:v>2694.340136436371</ns0:v>
      </ns0:c>
      <ns0:c r="J1698" s="7" t="n">
        <ns0:v>1347.170068218186</ns0:v>
      </ns0:c>
      <ns0:c r="K1698" s="18" t="inlineStr">
        <ns0:is>
          <ns0:t>範囲内なし</ns0:t>
        </ns0:is>
      </ns0:c>
      <ns0:c r="L1698" s="18" t="inlineStr">
        <ns0:is>
          <ns0:t>範囲内なし</ns0:t>
        </ns0:is>
      </ns0:c>
      <ns0:c r="M1698" s="7" t="n">
        <ns0:v>-54441.38876356619</ns0:v>
      </ns0:c>
      <ns0:c r="N1698" s="7" t="n">
        <ns0:v>-60091.79424478691</ns0:v>
      </ns0:c>
      <ns0:c r="O1698" s="7" t="n">
        <ns0:v>-63812.36732377296</ns0:v>
      </ns0:c>
      <ns0:c r="P1698" s="7" t="n">
        <ns0:v>-73113.80002123814</ns0:v>
      </ns0:c>
      <ns0:c r="Q1698" s="7" t="n">
        <ns0:v>-152319.5308110986</ns0:v>
      </ns0:c>
      <ns0:c r="R1698" s="7" t="n">
        <ns0:v>-352539.5885756109</ns0:v>
      </ns0:c>
    </ns0:row>
    <ns0:row r="1699" ht="24" customHeight="1">
      <ns0:c r="A1699" s="3" t="inlineStr">
        <ns0:is>
          <ns0:t>混在40/30/30</ns0:t>
        </ns0:is>
      </ns0:c>
      <ns0:c r="B1699" s="3" t="inlineStr">
        <ns0:is>
          <ns0:t>G2二段階</ns0:t>
        </ns0:is>
      </ns0:c>
      <ns0:c r="C1699" s="3" t="inlineStr">
        <ns0:is>
          <ns0:t>D</ns0:t>
        </ns0:is>
      </ns0:c>
      <ns0:c r="D1699" s="4" t="n">
        <ns0:v>1</ns0:v>
      </ns0:c>
      <ns0:c r="E1699" s="4" t="n">
        <ns0:v>500</ns0:v>
      </ns0:c>
      <ns0:c r="F1699" s="6" t="n">
        <ns0:v>0.5</ns0:v>
      </ns0:c>
      <ns0:c r="G1699" s="4" t="n">
        <ns0:v>3</ns0:v>
      </ns0:c>
      <ns0:c r="H1699" s="7" t="n">
        <ns0:v>5375.647230566238</ns0:v>
      </ns0:c>
      <ns0:c r="I1699" s="7" t="n">
        <ns0:v>2694.340136436371</ns0:v>
      </ns0:c>
      <ns0:c r="J1699" s="7" t="n">
        <ns0:v>1347.170068218186</ns0:v>
      </ns0:c>
      <ns0:c r="K1699" s="7" t="n">
        <ns0:v>40</ns0:v>
      </ns0:c>
      <ns0:c r="L1699" s="18" t="inlineStr">
        <ns0:is>
          <ns0:t>範囲内なし</ns0:t>
        </ns0:is>
      </ns0:c>
      <ns0:c r="M1699" s="7" t="n">
        <ns0:v>-38850.2976604789</ns0:v>
      </ns0:c>
      <ns0:c r="N1699" s="7" t="n">
        <ns0:v>-13318.52093552503</ns0:v>
      </ns0:c>
      <ns0:c r="O1699" s="7" t="n">
        <ns0:v>14143.08819166348</ns0:v>
      </ns0:c>
      <ns0:c r="P1699" s="7" t="n">
        <ns0:v>82797.11100963474</ns0:v>
      </ns0:c>
      <ns0:c r="Q1699" s="7" t="n">
        <ns0:v>315413.2022815201</ns0:v>
      </ns0:c>
      <ns0:c r="R1699" s="7" t="n">
        <ns0:v>1206569.521733118</ns0:v>
      </ns0:c>
    </ns0:row>
    <ns0:row r="1700" ht="24" customHeight="1">
      <ns0:c r="A1700" s="3" t="inlineStr">
        <ns0:is>
          <ns0:t>混在40/30/30</ns0:t>
        </ns0:is>
      </ns0:c>
      <ns0:c r="B1700" s="3" t="inlineStr">
        <ns0:is>
          <ns0:t>G2二段階</ns0:t>
        </ns0:is>
      </ns0:c>
      <ns0:c r="C1700" s="3" t="inlineStr">
        <ns0:is>
          <ns0:t>D</ns0:t>
        </ns0:is>
      </ns0:c>
      <ns0:c r="D1700" s="4" t="n">
        <ns0:v>1</ns0:v>
      </ns0:c>
      <ns0:c r="E1700" s="4" t="n">
        <ns0:v>1000</ns0:v>
      </ns0:c>
      <ns0:c r="F1700" s="6" t="n">
        <ns0:v>0.3</ns0:v>
      </ns0:c>
      <ns0:c r="G1700" s="4" t="n">
        <ns0:v>0</ns0:v>
      </ns0:c>
      <ns0:c r="H1700" s="7" t="n">
        <ns0:v>5225.647230566238</ns0:v>
      </ns0:c>
      <ns0:c r="I1700" s="7" t="n">
        <ns0:v>2544.340136436372</ns0:v>
      </ns0:c>
      <ns0:c r="J1700" s="7" t="n">
        <ns0:v>763.3020409309115</ns0:v>
      </ns0:c>
      <ns0:c r="K1700" s="7" t="n">
        <ns0:v>22</ns0:v>
      </ns0:c>
      <ns0:c r="L1700" s="7" t="n">
        <ns0:v>37</ns0:v>
      </ns0:c>
      <ns0:c r="M1700" s="7" t="n">
        <ns0:v>-26247.65189138809</ns0:v>
      </ns0:c>
      <ns0:c r="N1700" s="7" t="n">
        <ns0:v>24489.41637174743</ns0:v>
      </ns0:c>
      <ns0:c r="O1700" s="7" t="n">
        <ns0:v>77156.31703711755</ns0:v>
      </ns0:c>
      <ns0:c r="P1700" s="7" t="n">
        <ns0:v>208823.5687005429</ns0:v>
      </ns0:c>
      <ns0:c r="Q1700" s="7" t="n">
        <ns0:v>693492.5753542443</ns0:v>
      </ns0:c>
      <ns0:c r="R1700" s="7" t="n">
        <ns0:v>2466834.0986422</ns0:v>
      </ns0:c>
    </ns0:row>
    <ns0:row r="1701" ht="24" customHeight="1">
      <ns0:c r="A1701" s="3" t="inlineStr">
        <ns0:is>
          <ns0:t>混在40/30/30</ns0:t>
        </ns0:is>
      </ns0:c>
      <ns0:c r="B1701" s="3" t="inlineStr">
        <ns0:is>
          <ns0:t>G2二段階</ns0:t>
        </ns0:is>
      </ns0:c>
      <ns0:c r="C1701" s="3" t="inlineStr">
        <ns0:is>
          <ns0:t>D</ns0:t>
        </ns0:is>
      </ns0:c>
      <ns0:c r="D1701" s="4" t="n">
        <ns0:v>1</ns0:v>
      </ns0:c>
      <ns0:c r="E1701" s="4" t="n">
        <ns0:v>1000</ns0:v>
      </ns0:c>
      <ns0:c r="F1701" s="6" t="n">
        <ns0:v>0.3</ns0:v>
      </ns0:c>
      <ns0:c r="G1701" s="4" t="n">
        <ns0:v>1</ns0:v>
      </ns0:c>
      <ns0:c r="H1701" s="7" t="n">
        <ns0:v>5225.647230566238</ns0:v>
      </ns0:c>
      <ns0:c r="I1701" s="7" t="n">
        <ns0:v>2544.340136436372</ns0:v>
      </ns0:c>
      <ns0:c r="J1701" s="7" t="n">
        <ns0:v>763.3020409309115</ns0:v>
      </ns0:c>
      <ns0:c r="K1701" s="7" t="n">
        <ns0:v>23</ns0:v>
      </ns0:c>
      <ns0:c r="L1701" s="7" t="n">
        <ns0:v>50</ns0:v>
      </ns0:c>
      <ns0:c r="M1701" s="7" t="n">
        <ns0:v>-28816.86995935236</ns0:v>
      </ns0:c>
      <ns0:c r="N1701" s="7" t="n">
        <ns0:v>16781.76216785462</ns0:v>
      </ns0:c>
      <ns0:c r="O1701" s="7" t="n">
        <ns0:v>64310.2266972962</ns0:v>
      </ns0:c>
      <ns0:c r="P1701" s="7" t="n">
        <ns0:v>183131.3880209002</ns0:v>
      </ns0:c>
      <ns0:c r="Q1701" s="7" t="n">
        <ns0:v>616416.0333153163</ns0:v>
      </ns0:c>
      <ns0:c r="R1701" s="7" t="n">
        <ns0:v>2209912.291845772</ns0:v>
      </ns0:c>
    </ns0:row>
    <ns0:row r="1702" ht="24" customHeight="1">
      <ns0:c r="A1702" s="3" t="inlineStr">
        <ns0:is>
          <ns0:t>混在40/30/30</ns0:t>
        </ns0:is>
      </ns0:c>
      <ns0:c r="B1702" s="3" t="inlineStr">
        <ns0:is>
          <ns0:t>G2二段階</ns0:t>
        </ns0:is>
      </ns0:c>
      <ns0:c r="C1702" s="3" t="inlineStr">
        <ns0:is>
          <ns0:t>D</ns0:t>
        </ns0:is>
      </ns0:c>
      <ns0:c r="D1702" s="4" t="n">
        <ns0:v>1</ns0:v>
      </ns0:c>
      <ns0:c r="E1702" s="4" t="n">
        <ns0:v>1000</ns0:v>
      </ns0:c>
      <ns0:c r="F1702" s="6" t="n">
        <ns0:v>0.3</ns0:v>
      </ns0:c>
      <ns0:c r="G1702" s="4" t="n">
        <ns0:v>2</ns0:v>
      </ns0:c>
      <ns0:c r="H1702" s="7" t="n">
        <ns0:v>5225.647230566238</ns0:v>
      </ns0:c>
      <ns0:c r="I1702" s="7" t="n">
        <ns0:v>2544.340136436372</ns0:v>
      </ns0:c>
      <ns0:c r="J1702" s="7" t="n">
        <ns0:v>763.3020409309115</ns0:v>
      </ns0:c>
      <ns0:c r="K1702" s="7" t="n">
        <ns0:v>382</ns0:v>
      </ns0:c>
      <ns0:c r="L1702" s="18" t="inlineStr">
        <ns0:is>
          <ns0:t>範囲内なし</ns0:t>
        </ns0:is>
      </ns0:c>
      <ns0:c r="M1702" s="7" t="n">
        <ns0:v>-50048.70849069345</ns0:v>
      </ns0:c>
      <ns0:c r="N1702" s="7" t="n">
        <ns0:v>-46913.75342616866</ns0:v>
      </ns0:c>
      <ns0:c r="O1702" s="7" t="n">
        <ns0:v>-41848.96595940926</ns0:v>
      </ns0:c>
      <ns0:c r="P1702" s="7" t="n">
        <ns0:v>-29186.9972925107</ns0:v>
      </ns0:c>
      <ns0:c r="Q1702" s="7" t="n">
        <ns0:v>-20539.12262491643</ns0:v>
      </ns0:c>
      <ns0:c r="R1702" s="7" t="n">
        <ns0:v>86728.43871166394</ns0:v>
      </ns0:c>
    </ns0:row>
    <ns0:row r="1703" ht="24" customHeight="1">
      <ns0:c r="A1703" s="3" t="inlineStr">
        <ns0:is>
          <ns0:t>混在40/30/30</ns0:t>
        </ns0:is>
      </ns0:c>
      <ns0:c r="B1703" s="3" t="inlineStr">
        <ns0:is>
          <ns0:t>G2二段階</ns0:t>
        </ns0:is>
      </ns0:c>
      <ns0:c r="C1703" s="3" t="inlineStr">
        <ns0:is>
          <ns0:t>D</ns0:t>
        </ns0:is>
      </ns0:c>
      <ns0:c r="D1703" s="4" t="n">
        <ns0:v>1</ns0:v>
      </ns0:c>
      <ns0:c r="E1703" s="4" t="n">
        <ns0:v>1000</ns0:v>
      </ns0:c>
      <ns0:c r="F1703" s="6" t="n">
        <ns0:v>0.3</ns0:v>
      </ns0:c>
      <ns0:c r="G1703" s="4" t="n">
        <ns0:v>3</ns0:v>
      </ns0:c>
      <ns0:c r="H1703" s="7" t="n">
        <ns0:v>5225.647230566238</ns0:v>
      </ns0:c>
      <ns0:c r="I1703" s="7" t="n">
        <ns0:v>2544.340136436372</ns0:v>
      </ns0:c>
      <ns0:c r="J1703" s="7" t="n">
        <ns0:v>763.3020409309115</ns0:v>
      </ns0:c>
      <ns0:c r="K1703" s="7" t="n">
        <ns0:v>31</ns0:v>
      </ns0:c>
      <ns0:c r="L1703" s="7" t="n">
        <ns0:v>425</ns0:v>
      </ns0:c>
      <ns0:c r="M1703" s="7" t="n">
        <ns0:v>-34457.61738760616</ns0:v>
      </ns0:c>
      <ns0:c r="N1703" s="7" t="n">
        <ns0:v>-140.4801169067832</ns0:v>
      </ns0:c>
      <ns0:c r="O1703" s="7" t="n">
        <ns0:v>36106.48955602721</ns0:v>
      </ns0:c>
      <ns0:c r="P1703" s="7" t="n">
        <ns0:v>126723.9137383622</ns0:v>
      </ns0:c>
      <ns0:c r="Q1703" s="7" t="n">
        <ns0:v>447193.6104677023</ns0:v>
      </ns0:c>
      <ns0:c r="R1703" s="7" t="n">
        <ns0:v>1645837.549020393</ns0:v>
      </ns0:c>
    </ns0:row>
    <ns0:row r="1704" ht="24" customHeight="1">
      <ns0:c r="A1704" s="3" t="inlineStr">
        <ns0:is>
          <ns0:t>混在40/30/30</ns0:t>
        </ns0:is>
      </ns0:c>
      <ns0:c r="B1704" s="3" t="inlineStr">
        <ns0:is>
          <ns0:t>G2二段階</ns0:t>
        </ns0:is>
      </ns0:c>
      <ns0:c r="C1704" s="3" t="inlineStr">
        <ns0:is>
          <ns0:t>D</ns0:t>
        </ns0:is>
      </ns0:c>
      <ns0:c r="D1704" s="4" t="n">
        <ns0:v>1</ns0:v>
      </ns0:c>
      <ns0:c r="E1704" s="4" t="n">
        <ns0:v>1000</ns0:v>
      </ns0:c>
      <ns0:c r="F1704" s="6" t="n">
        <ns0:v>0.4</ns0:v>
      </ns0:c>
      <ns0:c r="G1704" s="4" t="n">
        <ns0:v>0</ns0:v>
      </ns0:c>
      <ns0:c r="H1704" s="7" t="n">
        <ns0:v>5225.647230566238</ns0:v>
      </ns0:c>
      <ns0:c r="I1704" s="7" t="n">
        <ns0:v>2544.340136436372</ns0:v>
      </ns0:c>
      <ns0:c r="J1704" s="7" t="n">
        <ns0:v>1017.736054574549</ns0:v>
      </ns0:c>
      <ns0:c r="K1704" s="7" t="n">
        <ns0:v>23</ns0:v>
      </ns0:c>
      <ns0:c r="L1704" s="7" t="n">
        <ns0:v>40</ns0:v>
      </ns0:c>
      <ns0:c r="M1704" s="7" t="n">
        <ns0:v>-28791.99202782446</ns0:v>
      </ns0:c>
      <ns0:c r="N1704" s="7" t="n">
        <ns0:v>16856.39596243831</ns0:v>
      </ns0:c>
      <ns0:c r="O1704" s="7" t="n">
        <ns0:v>64434.61635493569</ns0:v>
      </ns0:c>
      <ns0:c r="P1704" s="7" t="n">
        <ns0:v>183380.1673361792</ns0:v>
      </ns0:c>
      <ns0:c r="Q1704" s="7" t="n">
        <ns0:v>617162.3712611533</ns0:v>
      </ns0:c>
      <ns0:c r="R1704" s="7" t="n">
        <ns0:v>2212400.084998562</ns0:v>
      </ns0:c>
    </ns0:row>
    <ns0:row r="1705" ht="24" customHeight="1">
      <ns0:c r="A1705" s="3" t="inlineStr">
        <ns0:is>
          <ns0:t>混在40/30/30</ns0:t>
        </ns0:is>
      </ns0:c>
      <ns0:c r="B1705" s="3" t="inlineStr">
        <ns0:is>
          <ns0:t>G2二段階</ns0:t>
        </ns0:is>
      </ns0:c>
      <ns0:c r="C1705" s="3" t="inlineStr">
        <ns0:is>
          <ns0:t>D</ns0:t>
        </ns0:is>
      </ns0:c>
      <ns0:c r="D1705" s="4" t="n">
        <ns0:v>1</ns0:v>
      </ns0:c>
      <ns0:c r="E1705" s="4" t="n">
        <ns0:v>1000</ns0:v>
      </ns0:c>
      <ns0:c r="F1705" s="6" t="n">
        <ns0:v>0.4</ns0:v>
      </ns0:c>
      <ns0:c r="G1705" s="4" t="n">
        <ns0:v>1</ns0:v>
      </ns0:c>
      <ns0:c r="H1705" s="7" t="n">
        <ns0:v>5225.647230566238</ns0:v>
      </ns0:c>
      <ns0:c r="I1705" s="7" t="n">
        <ns0:v>2544.340136436372</ns0:v>
      </ns0:c>
      <ns0:c r="J1705" s="7" t="n">
        <ns0:v>1017.736054574549</ns0:v>
      </ns0:c>
      <ns0:c r="K1705" s="7" t="n">
        <ns0:v>26</ns0:v>
      </ns0:c>
      <ns0:c r="L1705" s="7" t="n">
        <ns0:v>56</ns0:v>
      </ns0:c>
      <ns0:c r="M1705" s="7" t="n">
        <ns0:v>-31361.21009578873</ns0:v>
      </ns0:c>
      <ns0:c r="N1705" s="7" t="n">
        <ns0:v>9148.74175854549</ns0:v>
      </ns0:c>
      <ns0:c r="O1705" s="7" t="n">
        <ns0:v>51588.52601511433</ns0:v>
      </ns0:c>
      <ns0:c r="P1705" s="7" t="n">
        <ns0:v>157687.9866565365</ns0:v>
      </ns0:c>
      <ns0:c r="Q1705" s="7" t="n">
        <ns0:v>540085.8292222251</ns0:v>
      </ns0:c>
      <ns0:c r="R1705" s="7" t="n">
        <ns0:v>1955478.278202135</ns0:v>
      </ns0:c>
    </ns0:row>
    <ns0:row r="1706" ht="24" customHeight="1">
      <ns0:c r="A1706" s="3" t="inlineStr">
        <ns0:is>
          <ns0:t>混在40/30/30</ns0:t>
        </ns0:is>
      </ns0:c>
      <ns0:c r="B1706" s="3" t="inlineStr">
        <ns0:is>
          <ns0:t>G2二段階</ns0:t>
        </ns0:is>
      </ns0:c>
      <ns0:c r="C1706" s="3" t="inlineStr">
        <ns0:is>
          <ns0:t>D</ns0:t>
        </ns0:is>
      </ns0:c>
      <ns0:c r="D1706" s="4" t="n">
        <ns0:v>1</ns0:v>
      </ns0:c>
      <ns0:c r="E1706" s="4" t="n">
        <ns0:v>1000</ns0:v>
      </ns0:c>
      <ns0:c r="F1706" s="6" t="n">
        <ns0:v>0.4</ns0:v>
      </ns0:c>
      <ns0:c r="G1706" s="4" t="n">
        <ns0:v>2</ns0:v>
      </ns0:c>
      <ns0:c r="H1706" s="7" t="n">
        <ns0:v>5225.647230566238</ns0:v>
      </ns0:c>
      <ns0:c r="I1706" s="7" t="n">
        <ns0:v>2544.340136436372</ns0:v>
      </ns0:c>
      <ns0:c r="J1706" s="7" t="n">
        <ns0:v>1017.736054574549</ns0:v>
      </ns0:c>
      <ns0:c r="K1706" s="18" t="inlineStr">
        <ns0:is>
          <ns0:t>範囲内なし</ns0:t>
        </ns0:is>
      </ns0:c>
      <ns0:c r="L1706" s="18" t="inlineStr">
        <ns0:is>
          <ns0:t>範囲内なし</ns0:t>
        </ns0:is>
      </ns0:c>
      <ns0:c r="M1706" s="7" t="n">
        <ns0:v>-52593.04862712982</ns0:v>
      </ns0:c>
      <ns0:c r="N1706" s="7" t="n">
        <ns0:v>-54546.77383547778</ns0:v>
      </ns0:c>
      <ns0:c r="O1706" s="7" t="n">
        <ns0:v>-54570.66664159112</ns0:v>
      </ns0:c>
      <ns0:c r="P1706" s="7" t="n">
        <ns0:v>-54630.39865687444</ns0:v>
      </ns0:c>
      <ns0:c r="Q1706" s="7" t="n">
        <ns0:v>-96869.32671800756</ns0:v>
      </ns0:c>
      <ns0:c r="R1706" s="7" t="n">
        <ns0:v>-167705.5749319734</ns0:v>
      </ns0:c>
    </ns0:row>
    <ns0:row r="1707" ht="24" customHeight="1">
      <ns0:c r="A1707" s="3" t="inlineStr">
        <ns0:is>
          <ns0:t>混在40/30/30</ns0:t>
        </ns0:is>
      </ns0:c>
      <ns0:c r="B1707" s="3" t="inlineStr">
        <ns0:is>
          <ns0:t>G2二段階</ns0:t>
        </ns0:is>
      </ns0:c>
      <ns0:c r="C1707" s="3" t="inlineStr">
        <ns0:is>
          <ns0:t>D</ns0:t>
        </ns0:is>
      </ns0:c>
      <ns0:c r="D1707" s="4" t="n">
        <ns0:v>1</ns0:v>
      </ns0:c>
      <ns0:c r="E1707" s="4" t="n">
        <ns0:v>1000</ns0:v>
      </ns0:c>
      <ns0:c r="F1707" s="6" t="n">
        <ns0:v>0.4</ns0:v>
      </ns0:c>
      <ns0:c r="G1707" s="4" t="n">
        <ns0:v>3</ns0:v>
      </ns0:c>
      <ns0:c r="H1707" s="7" t="n">
        <ns0:v>5225.647230566238</ns0:v>
      </ns0:c>
      <ns0:c r="I1707" s="7" t="n">
        <ns0:v>2544.340136436372</ns0:v>
      </ns0:c>
      <ns0:c r="J1707" s="7" t="n">
        <ns0:v>1017.736054574549</ns0:v>
      </ns0:c>
      <ns0:c r="K1707" s="7" t="n">
        <ns0:v>35</ns0:v>
      </ns0:c>
      <ns0:c r="L1707" s="18" t="inlineStr">
        <ns0:is>
          <ns0:t>範囲内なし</ns0:t>
        </ns0:is>
      </ns0:c>
      <ns0:c r="M1707" s="7" t="n">
        <ns0:v>-37001.95752404253</ns0:v>
      </ns0:c>
      <ns0:c r="N1707" s="7" t="n">
        <ns0:v>-7773.50052621591</ns0:v>
      </ns0:c>
      <ns0:c r="O1707" s="7" t="n">
        <ns0:v>23384.78887384533</ns0:v>
      </ns0:c>
      <ns0:c r="P1707" s="7" t="n">
        <ns0:v>101280.5123739984</ns0:v>
      </ns0:c>
      <ns0:c r="Q1707" s="7" t="n">
        <ns0:v>370863.4063746111</ns0:v>
      </ns0:c>
      <ns0:c r="R1707" s="7" t="n">
        <ns0:v>1391403.535376756</ns0:v>
      </ns0:c>
    </ns0:row>
    <ns0:row r="1708" ht="24" customHeight="1">
      <ns0:c r="A1708" s="3" t="inlineStr">
        <ns0:is>
          <ns0:t>混在40/30/30</ns0:t>
        </ns0:is>
      </ns0:c>
      <ns0:c r="B1708" s="3" t="inlineStr">
        <ns0:is>
          <ns0:t>G2二段階</ns0:t>
        </ns0:is>
      </ns0:c>
      <ns0:c r="C1708" s="3" t="inlineStr">
        <ns0:is>
          <ns0:t>D</ns0:t>
        </ns0:is>
      </ns0:c>
      <ns0:c r="D1708" s="4" t="n">
        <ns0:v>1</ns0:v>
      </ns0:c>
      <ns0:c r="E1708" s="4" t="n">
        <ns0:v>1000</ns0:v>
      </ns0:c>
      <ns0:c r="F1708" s="6" t="n">
        <ns0:v>0.5</ns0:v>
      </ns0:c>
      <ns0:c r="G1708" s="4" t="n">
        <ns0:v>0</ns0:v>
      </ns0:c>
      <ns0:c r="H1708" s="7" t="n">
        <ns0:v>5225.647230566238</ns0:v>
      </ns0:c>
      <ns0:c r="I1708" s="7" t="n">
        <ns0:v>2544.340136436372</ns0:v>
      </ns0:c>
      <ns0:c r="J1708" s="7" t="n">
        <ns0:v>1272.170068218186</ns0:v>
      </ns0:c>
      <ns0:c r="K1708" s="7" t="n">
        <ns0:v>26</ns0:v>
      </ns0:c>
      <ns0:c r="L1708" s="7" t="n">
        <ns0:v>43</ns0:v>
      </ns0:c>
      <ns0:c r="M1708" s="7" t="n">
        <ns0:v>-31336.33216426084</ns0:v>
      </ns0:c>
      <ns0:c r="N1708" s="7" t="n">
        <ns0:v>9223.375553129197</ns0:v>
      </ns0:c>
      <ns0:c r="O1708" s="7" t="n">
        <ns0:v>51712.91567275385</ns0:v>
      </ns0:c>
      <ns0:c r="P1708" s="7" t="n">
        <ns0:v>157936.7659718155</ns0:v>
      </ns0:c>
      <ns0:c r="Q1708" s="7" t="n">
        <ns0:v>540832.1671680622</ns0:v>
      </ns0:c>
      <ns0:c r="R1708" s="7" t="n">
        <ns0:v>1957966.071354926</ns0:v>
      </ns0:c>
    </ns0:row>
    <ns0:row r="1709" ht="24" customHeight="1">
      <ns0:c r="A1709" s="3" t="inlineStr">
        <ns0:is>
          <ns0:t>混在40/30/30</ns0:t>
        </ns0:is>
      </ns0:c>
      <ns0:c r="B1709" s="3" t="inlineStr">
        <ns0:is>
          <ns0:t>G2二段階</ns0:t>
        </ns0:is>
      </ns0:c>
      <ns0:c r="C1709" s="3" t="inlineStr">
        <ns0:is>
          <ns0:t>D</ns0:t>
        </ns0:is>
      </ns0:c>
      <ns0:c r="D1709" s="4" t="n">
        <ns0:v>1</ns0:v>
      </ns0:c>
      <ns0:c r="E1709" s="4" t="n">
        <ns0:v>1000</ns0:v>
      </ns0:c>
      <ns0:c r="F1709" s="6" t="n">
        <ns0:v>0.5</ns0:v>
      </ns0:c>
      <ns0:c r="G1709" s="4" t="n">
        <ns0:v>1</ns0:v>
      </ns0:c>
      <ns0:c r="H1709" s="7" t="n">
        <ns0:v>5225.647230566238</ns0:v>
      </ns0:c>
      <ns0:c r="I1709" s="7" t="n">
        <ns0:v>2544.340136436372</ns0:v>
      </ns0:c>
      <ns0:c r="J1709" s="7" t="n">
        <ns0:v>1272.170068218186</ns0:v>
      </ns0:c>
      <ns0:c r="K1709" s="7" t="n">
        <ns0:v>30</ns0:v>
      </ns0:c>
      <ns0:c r="L1709" s="7" t="n">
        <ns0:v>63</ns0:v>
      </ns0:c>
      <ns0:c r="M1709" s="7" t="n">
        <ns0:v>-33905.5502322251</ns0:v>
      </ns0:c>
      <ns0:c r="N1709" s="7" t="n">
        <ns0:v>1515.721349236381</ns0:v>
      </ns0:c>
      <ns0:c r="O1709" s="7" t="n">
        <ns0:v>38866.82533293249</ns0:v>
      </ns0:c>
      <ns0:c r="P1709" s="7" t="n">
        <ns0:v>132244.5852921728</ns0:v>
      </ns0:c>
      <ns0:c r="Q1709" s="7" t="n">
        <ns0:v>463755.625129134</ns0:v>
      </ns0:c>
      <ns0:c r="R1709" s="7" t="n">
        <ns0:v>1701044.264558499</ns0:v>
      </ns0:c>
    </ns0:row>
    <ns0:row r="1710" ht="24" customHeight="1">
      <ns0:c r="A1710" s="3" t="inlineStr">
        <ns0:is>
          <ns0:t>混在40/30/30</ns0:t>
        </ns0:is>
      </ns0:c>
      <ns0:c r="B1710" s="3" t="inlineStr">
        <ns0:is>
          <ns0:t>G2二段階</ns0:t>
        </ns0:is>
      </ns0:c>
      <ns0:c r="C1710" s="3" t="inlineStr">
        <ns0:is>
          <ns0:t>D</ns0:t>
        </ns0:is>
      </ns0:c>
      <ns0:c r="D1710" s="4" t="n">
        <ns0:v>1</ns0:v>
      </ns0:c>
      <ns0:c r="E1710" s="4" t="n">
        <ns0:v>1000</ns0:v>
      </ns0:c>
      <ns0:c r="F1710" s="6" t="n">
        <ns0:v>0.5</ns0:v>
      </ns0:c>
      <ns0:c r="G1710" s="4" t="n">
        <ns0:v>2</ns0:v>
      </ns0:c>
      <ns0:c r="H1710" s="7" t="n">
        <ns0:v>5225.647230566238</ns0:v>
      </ns0:c>
      <ns0:c r="I1710" s="7" t="n">
        <ns0:v>2544.340136436372</ns0:v>
      </ns0:c>
      <ns0:c r="J1710" s="7" t="n">
        <ns0:v>1272.170068218186</ns0:v>
      </ns0:c>
      <ns0:c r="K1710" s="18" t="inlineStr">
        <ns0:is>
          <ns0:t>範囲内なし</ns0:t>
        </ns0:is>
      </ns0:c>
      <ns0:c r="L1710" s="18" t="inlineStr">
        <ns0:is>
          <ns0:t>範囲内なし</ns0:t>
        </ns0:is>
      </ns0:c>
      <ns0:c r="M1710" s="7" t="n">
        <ns0:v>-55137.3887635662</ns0:v>
      </ns0:c>
      <ns0:c r="N1710" s="7" t="n">
        <ns0:v>-62179.79424478688</ns0:v>
      </ns0:c>
      <ns0:c r="O1710" s="7" t="n">
        <ns0:v>-67292.36732377295</ns0:v>
      </ns0:c>
      <ns0:c r="P1710" s="7" t="n">
        <ns0:v>-80073.80002123812</ns0:v>
      </ns0:c>
      <ns0:c r="Q1710" s="7" t="n">
        <ns0:v>-173199.5308110986</ns0:v>
      </ns0:c>
      <ns0:c r="R1710" s="7" t="n">
        <ns0:v>-422139.5885756102</ns0:v>
      </ns0:c>
    </ns0:row>
    <ns0:row r="1711" ht="24" customHeight="1">
      <ns0:c r="A1711" s="3" t="inlineStr">
        <ns0:is>
          <ns0:t>混在40/30/30</ns0:t>
        </ns0:is>
      </ns0:c>
      <ns0:c r="B1711" s="3" t="inlineStr">
        <ns0:is>
          <ns0:t>G2二段階</ns0:t>
        </ns0:is>
      </ns0:c>
      <ns0:c r="C1711" s="3" t="inlineStr">
        <ns0:is>
          <ns0:t>D</ns0:t>
        </ns0:is>
      </ns0:c>
      <ns0:c r="D1711" s="4" t="n">
        <ns0:v>1</ns0:v>
      </ns0:c>
      <ns0:c r="E1711" s="4" t="n">
        <ns0:v>1000</ns0:v>
      </ns0:c>
      <ns0:c r="F1711" s="6" t="n">
        <ns0:v>0.5</ns0:v>
      </ns0:c>
      <ns0:c r="G1711" s="4" t="n">
        <ns0:v>3</ns0:v>
      </ns0:c>
      <ns0:c r="H1711" s="7" t="n">
        <ns0:v>5225.647230566238</ns0:v>
      </ns0:c>
      <ns0:c r="I1711" s="7" t="n">
        <ns0:v>2544.340136436372</ns0:v>
      </ns0:c>
      <ns0:c r="J1711" s="7" t="n">
        <ns0:v>1272.170068218186</ns0:v>
      </ns0:c>
      <ns0:c r="K1711" s="7" t="n">
        <ns0:v>42</ns0:v>
      </ns0:c>
      <ns0:c r="L1711" s="18" t="inlineStr">
        <ns0:is>
          <ns0:t>範囲内なし</ns0:t>
        </ns0:is>
      </ns0:c>
      <ns0:c r="M1711" s="7" t="n">
        <ns0:v>-39546.29766047891</ns0:v>
      </ns0:c>
      <ns0:c r="N1711" s="7" t="n">
        <ns0:v>-15406.52093552502</ns0:v>
      </ns0:c>
      <ns0:c r="O1711" s="7" t="n">
        <ns0:v>10663.08819166349</ns0:v>
      </ns0:c>
      <ns0:c r="P1711" s="7" t="n">
        <ns0:v>75837.11100963477</ns0:v>
      </ns0:c>
      <ns0:c r="Q1711" s="7" t="n">
        <ns0:v>294533.20228152</ns0:v>
      </ns0:c>
      <ns0:c r="R1711" s="7" t="n">
        <ns0:v>1136969.521733119</ns0:v>
      </ns0:c>
    </ns0:row>
    <ns0:row r="1712" ht="24" customHeight="1">
      <ns0:c r="A1712" s="3" t="inlineStr">
        <ns0:is>
          <ns0:t>混在40/30/30</ns0:t>
        </ns0:is>
      </ns0:c>
      <ns0:c r="B1712" s="3" t="inlineStr">
        <ns0:is>
          <ns0:t>G2二段階</ns0:t>
        </ns0:is>
      </ns0:c>
      <ns0:c r="C1712" s="3" t="inlineStr">
        <ns0:is>
          <ns0:t>D</ns0:t>
        </ns0:is>
      </ns0:c>
      <ns0:c r="D1712" s="4" t="n">
        <ns0:v>1</ns0:v>
      </ns0:c>
      <ns0:c r="E1712" s="4" t="n">
        <ns0:v>1500</ns0:v>
      </ns0:c>
      <ns0:c r="F1712" s="6" t="n">
        <ns0:v>0.3</ns0:v>
      </ns0:c>
      <ns0:c r="G1712" s="4" t="n">
        <ns0:v>0</ns0:v>
      </ns0:c>
      <ns0:c r="H1712" s="7" t="n">
        <ns0:v>5075.647230566238</ns0:v>
      </ns0:c>
      <ns0:c r="I1712" s="7" t="n">
        <ns0:v>2394.340136436372</ns0:v>
      </ns0:c>
      <ns0:c r="J1712" s="7" t="n">
        <ns0:v>718.3020409309116</ns0:v>
      </ns0:c>
      <ns0:c r="K1712" s="7" t="n">
        <ns0:v>22</ns0:v>
      </ns0:c>
      <ns0:c r="L1712" s="7" t="n">
        <ns0:v>38</ns0:v>
      </ns0:c>
      <ns0:c r="M1712" s="7" t="n">
        <ns0:v>-27243.65189138809</ns0:v>
      </ns0:c>
      <ns0:c r="N1712" s="7" t="n">
        <ns0:v>21501.41637174743</ns0:v>
      </ns0:c>
      <ns0:c r="O1712" s="7" t="n">
        <ns0:v>72176.31703711755</ns0:v>
      </ns0:c>
      <ns0:c r="P1712" s="7" t="n">
        <ns0:v>198863.5687005429</ns0:v>
      </ns0:c>
      <ns0:c r="Q1712" s="7" t="n">
        <ns0:v>663612.5753542446</ns0:v>
      </ns0:c>
      <ns0:c r="R1712" s="7" t="n">
        <ns0:v>2367234.0986422</ns0:v>
      </ns0:c>
    </ns0:row>
    <ns0:row r="1713" ht="24" customHeight="1">
      <ns0:c r="A1713" s="3" t="inlineStr">
        <ns0:is>
          <ns0:t>混在40/30/30</ns0:t>
        </ns0:is>
      </ns0:c>
      <ns0:c r="B1713" s="3" t="inlineStr">
        <ns0:is>
          <ns0:t>G2二段階</ns0:t>
        </ns0:is>
      </ns0:c>
      <ns0:c r="C1713" s="3" t="inlineStr">
        <ns0:is>
          <ns0:t>D</ns0:t>
        </ns0:is>
      </ns0:c>
      <ns0:c r="D1713" s="4" t="n">
        <ns0:v>1</ns0:v>
      </ns0:c>
      <ns0:c r="E1713" s="4" t="n">
        <ns0:v>1500</ns0:v>
      </ns0:c>
      <ns0:c r="F1713" s="6" t="n">
        <ns0:v>0.3</ns0:v>
      </ns0:c>
      <ns0:c r="G1713" s="4" t="n">
        <ns0:v>1</ns0:v>
      </ns0:c>
      <ns0:c r="H1713" s="7" t="n">
        <ns0:v>5075.647230566238</ns0:v>
      </ns0:c>
      <ns0:c r="I1713" s="7" t="n">
        <ns0:v>2394.340136436372</ns0:v>
      </ns0:c>
      <ns0:c r="J1713" s="7" t="n">
        <ns0:v>718.3020409309116</ns0:v>
      </ns0:c>
      <ns0:c r="K1713" s="7" t="n">
        <ns0:v>24</ns0:v>
      </ns0:c>
      <ns0:c r="L1713" s="7" t="n">
        <ns0:v>52</ns0:v>
      </ns0:c>
      <ns0:c r="M1713" s="7" t="n">
        <ns0:v>-29812.86995935236</ns0:v>
      </ns0:c>
      <ns0:c r="N1713" s="7" t="n">
        <ns0:v>13793.76216785462</ns0:v>
      </ns0:c>
      <ns0:c r="O1713" s="7" t="n">
        <ns0:v>59330.2266972962</ns0:v>
      </ns0:c>
      <ns0:c r="P1713" s="7" t="n">
        <ns0:v>173171.3880209002</ns0:v>
      </ns0:c>
      <ns0:c r="Q1713" s="7" t="n">
        <ns0:v>586536.0333153163</ns0:v>
      </ns0:c>
      <ns0:c r="R1713" s="7" t="n">
        <ns0:v>2110312.291845773</ns0:v>
      </ns0:c>
    </ns0:row>
    <ns0:row r="1714" ht="24" customHeight="1">
      <ns0:c r="A1714" s="3" t="inlineStr">
        <ns0:is>
          <ns0:t>混在40/30/30</ns0:t>
        </ns0:is>
      </ns0:c>
      <ns0:c r="B1714" s="3" t="inlineStr">
        <ns0:is>
          <ns0:t>G2二段階</ns0:t>
        </ns0:is>
      </ns0:c>
      <ns0:c r="C1714" s="3" t="inlineStr">
        <ns0:is>
          <ns0:t>D</ns0:t>
        </ns0:is>
      </ns0:c>
      <ns0:c r="D1714" s="4" t="n">
        <ns0:v>1</ns0:v>
      </ns0:c>
      <ns0:c r="E1714" s="4" t="n">
        <ns0:v>1500</ns0:v>
      </ns0:c>
      <ns0:c r="F1714" s="6" t="n">
        <ns0:v>0.3</ns0:v>
      </ns0:c>
      <ns0:c r="G1714" s="4" t="n">
        <ns0:v>2</ns0:v>
      </ns0:c>
      <ns0:c r="H1714" s="7" t="n">
        <ns0:v>5075.647230566238</ns0:v>
      </ns0:c>
      <ns0:c r="I1714" s="7" t="n">
        <ns0:v>2394.340136436372</ns0:v>
      </ns0:c>
      <ns0:c r="J1714" s="7" t="n">
        <ns0:v>718.3020409309116</ns0:v>
      </ns0:c>
      <ns0:c r="K1714" s="18" t="inlineStr">
        <ns0:is>
          <ns0:t>範囲内なし</ns0:t>
        </ns0:is>
      </ns0:c>
      <ns0:c r="L1714" s="18" t="inlineStr">
        <ns0:is>
          <ns0:t>範囲内なし</ns0:t>
        </ns0:is>
      </ns0:c>
      <ns0:c r="M1714" s="7" t="n">
        <ns0:v>-51044.70849069345</ns0:v>
      </ns0:c>
      <ns0:c r="N1714" s="7" t="n">
        <ns0:v>-49901.75342616866</ns0:v>
      </ns0:c>
      <ns0:c r="O1714" s="7" t="n">
        <ns0:v>-46828.96595940926</ns0:v>
      </ns0:c>
      <ns0:c r="P1714" s="7" t="n">
        <ns0:v>-39146.9972925107</ns0:v>
      </ns0:c>
      <ns0:c r="Q1714" s="7" t="n">
        <ns0:v>-50419.12262491632</ns0:v>
      </ns0:c>
      <ns0:c r="R1714" s="7" t="n">
        <ns0:v>-12871.56128833559</ns0:v>
      </ns0:c>
    </ns0:row>
    <ns0:row r="1715" ht="24" customHeight="1">
      <ns0:c r="A1715" s="3" t="inlineStr">
        <ns0:is>
          <ns0:t>混在40/30/30</ns0:t>
        </ns0:is>
      </ns0:c>
      <ns0:c r="B1715" s="3" t="inlineStr">
        <ns0:is>
          <ns0:t>G2二段階</ns0:t>
        </ns0:is>
      </ns0:c>
      <ns0:c r="C1715" s="3" t="inlineStr">
        <ns0:is>
          <ns0:t>D</ns0:t>
        </ns0:is>
      </ns0:c>
      <ns0:c r="D1715" s="4" t="n">
        <ns0:v>1</ns0:v>
      </ns0:c>
      <ns0:c r="E1715" s="4" t="n">
        <ns0:v>1500</ns0:v>
      </ns0:c>
      <ns0:c r="F1715" s="6" t="n">
        <ns0:v>0.3</ns0:v>
      </ns0:c>
      <ns0:c r="G1715" s="4" t="n">
        <ns0:v>3</ns0:v>
      </ns0:c>
      <ns0:c r="H1715" s="7" t="n">
        <ns0:v>5075.647230566238</ns0:v>
      </ns0:c>
      <ns0:c r="I1715" s="7" t="n">
        <ns0:v>2394.340136436372</ns0:v>
      </ns0:c>
      <ns0:c r="J1715" s="7" t="n">
        <ns0:v>718.3020409309116</ns0:v>
      </ns0:c>
      <ns0:c r="K1715" s="7" t="n">
        <ns0:v>32</ns0:v>
      </ns0:c>
      <ns0:c r="L1715" s="7" t="n">
        <ns0:v>851</ns0:v>
      </ns0:c>
      <ns0:c r="M1715" s="7" t="n">
        <ns0:v>-35453.61738760617</ns0:v>
      </ns0:c>
      <ns0:c r="N1715" s="7" t="n">
        <ns0:v>-3128.480116906783</ns0:v>
      </ns0:c>
      <ns0:c r="O1715" s="7" t="n">
        <ns0:v>31126.48955602721</ns0:v>
      </ns0:c>
      <ns0:c r="P1715" s="7" t="n">
        <ns0:v>116763.9137383622</ns0:v>
      </ns0:c>
      <ns0:c r="Q1715" s="7" t="n">
        <ns0:v>417313.6104677024</ns0:v>
      </ns0:c>
      <ns0:c r="R1715" s="7" t="n">
        <ns0:v>1546237.549020393</ns0:v>
      </ns0:c>
    </ns0:row>
    <ns0:row r="1716" ht="24" customHeight="1">
      <ns0:c r="A1716" s="3" t="inlineStr">
        <ns0:is>
          <ns0:t>混在40/30/30</ns0:t>
        </ns0:is>
      </ns0:c>
      <ns0:c r="B1716" s="3" t="inlineStr">
        <ns0:is>
          <ns0:t>G2二段階</ns0:t>
        </ns0:is>
      </ns0:c>
      <ns0:c r="C1716" s="3" t="inlineStr">
        <ns0:is>
          <ns0:t>D</ns0:t>
        </ns0:is>
      </ns0:c>
      <ns0:c r="D1716" s="4" t="n">
        <ns0:v>1</ns0:v>
      </ns0:c>
      <ns0:c r="E1716" s="4" t="n">
        <ns0:v>1500</ns0:v>
      </ns0:c>
      <ns0:c r="F1716" s="6" t="n">
        <ns0:v>0.4</ns0:v>
      </ns0:c>
      <ns0:c r="G1716" s="4" t="n">
        <ns0:v>0</ns0:v>
      </ns0:c>
      <ns0:c r="H1716" s="7" t="n">
        <ns0:v>5075.647230566238</ns0:v>
      </ns0:c>
      <ns0:c r="I1716" s="7" t="n">
        <ns0:v>2394.340136436372</ns0:v>
      </ns0:c>
      <ns0:c r="J1716" s="7" t="n">
        <ns0:v>957.7360545745488</ns0:v>
      </ns0:c>
      <ns0:c r="K1716" s="7" t="n">
        <ns0:v>24</ns0:v>
      </ns0:c>
      <ns0:c r="L1716" s="7" t="n">
        <ns0:v>41</ns0:v>
      </ns0:c>
      <ns0:c r="M1716" s="7" t="n">
        <ns0:v>-29637.99202782446</ns0:v>
      </ns0:c>
      <ns0:c r="N1716" s="7" t="n">
        <ns0:v>14318.39596243832</ns0:v>
      </ns0:c>
      <ns0:c r="O1716" s="7" t="n">
        <ns0:v>60204.6163549357</ns0:v>
      </ns0:c>
      <ns0:c r="P1716" s="7" t="n">
        <ns0:v>174920.1673361792</ns0:v>
      </ns0:c>
      <ns0:c r="Q1716" s="7" t="n">
        <ns0:v>591782.3712611534</ns0:v>
      </ns0:c>
      <ns0:c r="R1716" s="7" t="n">
        <ns0:v>2127800.084998563</ns0:v>
      </ns0:c>
    </ns0:row>
    <ns0:row r="1717" ht="24" customHeight="1">
      <ns0:c r="A1717" s="3" t="inlineStr">
        <ns0:is>
          <ns0:t>混在40/30/30</ns0:t>
        </ns0:is>
      </ns0:c>
      <ns0:c r="B1717" s="3" t="inlineStr">
        <ns0:is>
          <ns0:t>G2二段階</ns0:t>
        </ns0:is>
      </ns0:c>
      <ns0:c r="C1717" s="3" t="inlineStr">
        <ns0:is>
          <ns0:t>D</ns0:t>
        </ns0:is>
      </ns0:c>
      <ns0:c r="D1717" s="4" t="n">
        <ns0:v>1</ns0:v>
      </ns0:c>
      <ns0:c r="E1717" s="4" t="n">
        <ns0:v>1500</ns0:v>
      </ns0:c>
      <ns0:c r="F1717" s="6" t="n">
        <ns0:v>0.4</ns0:v>
      </ns0:c>
      <ns0:c r="G1717" s="4" t="n">
        <ns0:v>1</ns0:v>
      </ns0:c>
      <ns0:c r="H1717" s="7" t="n">
        <ns0:v>5075.647230566238</ns0:v>
      </ns0:c>
      <ns0:c r="I1717" s="7" t="n">
        <ns0:v>2394.340136436372</ns0:v>
      </ns0:c>
      <ns0:c r="J1717" s="7" t="n">
        <ns0:v>957.7360545745488</ns0:v>
      </ns0:c>
      <ns0:c r="K1717" s="7" t="n">
        <ns0:v>27</ns0:v>
      </ns0:c>
      <ns0:c r="L1717" s="7" t="n">
        <ns0:v>58</ns0:v>
      </ns0:c>
      <ns0:c r="M1717" s="7" t="n">
        <ns0:v>-32207.21009578874</ns0:v>
      </ns0:c>
      <ns0:c r="N1717" s="7" t="n">
        <ns0:v>6610.7417585455</ns0:v>
      </ns0:c>
      <ns0:c r="O1717" s="7" t="n">
        <ns0:v>47358.52601511434</ns0:v>
      </ns0:c>
      <ns0:c r="P1717" s="7" t="n">
        <ns0:v>149227.9866565365</ns0:v>
      </ns0:c>
      <ns0:c r="Q1717" s="7" t="n">
        <ns0:v>514705.8292222252</ns0:v>
      </ns0:c>
      <ns0:c r="R1717" s="7" t="n">
        <ns0:v>1870878.278202136</ns0:v>
      </ns0:c>
    </ns0:row>
    <ns0:row r="1718" ht="24" customHeight="1">
      <ns0:c r="A1718" s="3" t="inlineStr">
        <ns0:is>
          <ns0:t>混在40/30/30</ns0:t>
        </ns0:is>
      </ns0:c>
      <ns0:c r="B1718" s="3" t="inlineStr">
        <ns0:is>
          <ns0:t>G2二段階</ns0:t>
        </ns0:is>
      </ns0:c>
      <ns0:c r="C1718" s="3" t="inlineStr">
        <ns0:is>
          <ns0:t>D</ns0:t>
        </ns0:is>
      </ns0:c>
      <ns0:c r="D1718" s="4" t="n">
        <ns0:v>1</ns0:v>
      </ns0:c>
      <ns0:c r="E1718" s="4" t="n">
        <ns0:v>1500</ns0:v>
      </ns0:c>
      <ns0:c r="F1718" s="6" t="n">
        <ns0:v>0.4</ns0:v>
      </ns0:c>
      <ns0:c r="G1718" s="4" t="n">
        <ns0:v>2</ns0:v>
      </ns0:c>
      <ns0:c r="H1718" s="7" t="n">
        <ns0:v>5075.647230566238</ns0:v>
      </ns0:c>
      <ns0:c r="I1718" s="7" t="n">
        <ns0:v>2394.340136436372</ns0:v>
      </ns0:c>
      <ns0:c r="J1718" s="7" t="n">
        <ns0:v>957.7360545745488</ns0:v>
      </ns0:c>
      <ns0:c r="K1718" s="18" t="inlineStr">
        <ns0:is>
          <ns0:t>範囲内なし</ns0:t>
        </ns0:is>
      </ns0:c>
      <ns0:c r="L1718" s="18" t="inlineStr">
        <ns0:is>
          <ns0:t>範囲内なし</ns0:t>
        </ns0:is>
      </ns0:c>
      <ns0:c r="M1718" s="7" t="n">
        <ns0:v>-53439.04862712983</ns0:v>
      </ns0:c>
      <ns0:c r="N1718" s="7" t="n">
        <ns0:v>-57084.77383547778</ns0:v>
      </ns0:c>
      <ns0:c r="O1718" s="7" t="n">
        <ns0:v>-58800.66664159109</ns0:v>
      </ns0:c>
      <ns0:c r="P1718" s="7" t="n">
        <ns0:v>-63090.39865687441</ns0:v>
      </ns0:c>
      <ns0:c r="Q1718" s="7" t="n">
        <ns0:v>-122249.3267180074</ns0:v>
      </ns0:c>
      <ns0:c r="R1718" s="7" t="n">
        <ns0:v>-252305.5749319729</ns0:v>
      </ns0:c>
    </ns0:row>
    <ns0:row r="1719" ht="24" customHeight="1">
      <ns0:c r="A1719" s="3" t="inlineStr">
        <ns0:is>
          <ns0:t>混在40/30/30</ns0:t>
        </ns0:is>
      </ns0:c>
      <ns0:c r="B1719" s="3" t="inlineStr">
        <ns0:is>
          <ns0:t>G2二段階</ns0:t>
        </ns0:is>
      </ns0:c>
      <ns0:c r="C1719" s="3" t="inlineStr">
        <ns0:is>
          <ns0:t>D</ns0:t>
        </ns0:is>
      </ns0:c>
      <ns0:c r="D1719" s="4" t="n">
        <ns0:v>1</ns0:v>
      </ns0:c>
      <ns0:c r="E1719" s="4" t="n">
        <ns0:v>1500</ns0:v>
      </ns0:c>
      <ns0:c r="F1719" s="6" t="n">
        <ns0:v>0.4</ns0:v>
      </ns0:c>
      <ns0:c r="G1719" s="4" t="n">
        <ns0:v>3</ns0:v>
      </ns0:c>
      <ns0:c r="H1719" s="7" t="n">
        <ns0:v>5075.647230566238</ns0:v>
      </ns0:c>
      <ns0:c r="I1719" s="7" t="n">
        <ns0:v>2394.340136436372</ns0:v>
      </ns0:c>
      <ns0:c r="J1719" s="7" t="n">
        <ns0:v>957.7360545745488</ns0:v>
      </ns0:c>
      <ns0:c r="K1719" s="7" t="n">
        <ns0:v>37</ns0:v>
      </ns0:c>
      <ns0:c r="L1719" s="18" t="inlineStr">
        <ns0:is>
          <ns0:t>範囲内なし</ns0:t>
        </ns0:is>
      </ns0:c>
      <ns0:c r="M1719" s="7" t="n">
        <ns0:v>-37847.95752404253</ns0:v>
      </ns0:c>
      <ns0:c r="N1719" s="7" t="n">
        <ns0:v>-10311.5005262159</ns0:v>
      </ns0:c>
      <ns0:c r="O1719" s="7" t="n">
        <ns0:v>19154.78887384534</ns0:v>
      </ns0:c>
      <ns0:c r="P1719" s="7" t="n">
        <ns0:v>92820.51237399847</ns0:v>
      </ns0:c>
      <ns0:c r="Q1719" s="7" t="n">
        <ns0:v>345483.4063746113</ns0:v>
      </ns0:c>
      <ns0:c r="R1719" s="7" t="n">
        <ns0:v>1306803.535376756</ns0:v>
      </ns0:c>
    </ns0:row>
    <ns0:row r="1720" ht="24" customHeight="1">
      <ns0:c r="A1720" s="3" t="inlineStr">
        <ns0:is>
          <ns0:t>混在40/30/30</ns0:t>
        </ns0:is>
      </ns0:c>
      <ns0:c r="B1720" s="3" t="inlineStr">
        <ns0:is>
          <ns0:t>G2二段階</ns0:t>
        </ns0:is>
      </ns0:c>
      <ns0:c r="C1720" s="3" t="inlineStr">
        <ns0:is>
          <ns0:t>D</ns0:t>
        </ns0:is>
      </ns0:c>
      <ns0:c r="D1720" s="4" t="n">
        <ns0:v>1</ns0:v>
      </ns0:c>
      <ns0:c r="E1720" s="4" t="n">
        <ns0:v>1500</ns0:v>
      </ns0:c>
      <ns0:c r="F1720" s="6" t="n">
        <ns0:v>0.5</ns0:v>
      </ns0:c>
      <ns0:c r="G1720" s="4" t="n">
        <ns0:v>0</ns0:v>
      </ns0:c>
      <ns0:c r="H1720" s="7" t="n">
        <ns0:v>5075.647230566238</ns0:v>
      </ns0:c>
      <ns0:c r="I1720" s="7" t="n">
        <ns0:v>2394.340136436372</ns0:v>
      </ns0:c>
      <ns0:c r="J1720" s="7" t="n">
        <ns0:v>1197.170068218186</ns0:v>
      </ns0:c>
      <ns0:c r="K1720" s="7" t="n">
        <ns0:v>27</ns0:v>
      </ns0:c>
      <ns0:c r="L1720" s="7" t="n">
        <ns0:v>44</ns0:v>
      </ns0:c>
      <ns0:c r="M1720" s="7" t="n">
        <ns0:v>-32032.33216426084</ns0:v>
      </ns0:c>
      <ns0:c r="N1720" s="7" t="n">
        <ns0:v>7135.375553129197</ns0:v>
      </ns0:c>
      <ns0:c r="O1720" s="7" t="n">
        <ns0:v>48232.91567275384</ns0:v>
      </ns0:c>
      <ns0:c r="P1720" s="7" t="n">
        <ns0:v>150976.7659718155</ns0:v>
      </ns0:c>
      <ns0:c r="Q1720" s="7" t="n">
        <ns0:v>519952.1671680623</ns0:v>
      </ns0:c>
      <ns0:c r="R1720" s="7" t="n">
        <ns0:v>1888366.071354926</ns0:v>
      </ns0:c>
    </ns0:row>
    <ns0:row r="1721" ht="24" customHeight="1">
      <ns0:c r="A1721" s="3" t="inlineStr">
        <ns0:is>
          <ns0:t>混在40/30/30</ns0:t>
        </ns0:is>
      </ns0:c>
      <ns0:c r="B1721" s="3" t="inlineStr">
        <ns0:is>
          <ns0:t>G2二段階</ns0:t>
        </ns0:is>
      </ns0:c>
      <ns0:c r="C1721" s="3" t="inlineStr">
        <ns0:is>
          <ns0:t>D</ns0:t>
        </ns0:is>
      </ns0:c>
      <ns0:c r="D1721" s="4" t="n">
        <ns0:v>1</ns0:v>
      </ns0:c>
      <ns0:c r="E1721" s="4" t="n">
        <ns0:v>1500</ns0:v>
      </ns0:c>
      <ns0:c r="F1721" s="6" t="n">
        <ns0:v>0.5</ns0:v>
      </ns0:c>
      <ns0:c r="G1721" s="4" t="n">
        <ns0:v>1</ns0:v>
      </ns0:c>
      <ns0:c r="H1721" s="7" t="n">
        <ns0:v>5075.647230566238</ns0:v>
      </ns0:c>
      <ns0:c r="I1721" s="7" t="n">
        <ns0:v>2394.340136436372</ns0:v>
      </ns0:c>
      <ns0:c r="J1721" s="7" t="n">
        <ns0:v>1197.170068218186</ns0:v>
      </ns0:c>
      <ns0:c r="K1721" s="7" t="n">
        <ns0:v>31</ns0:v>
      </ns0:c>
      <ns0:c r="L1721" s="7" t="n">
        <ns0:v>65</ns0:v>
      </ns0:c>
      <ns0:c r="M1721" s="7" t="n">
        <ns0:v>-34601.5502322251</ns0:v>
      </ns0:c>
      <ns0:c r="N1721" s="7" t="n">
        <ns0:v>-572.2786507636192</ns0:v>
      </ns0:c>
      <ns0:c r="O1721" s="7" t="n">
        <ns0:v>35386.82533293248</ns0:v>
      </ns0:c>
      <ns0:c r="P1721" s="7" t="n">
        <ns0:v>125284.5852921728</ns0:v>
      </ns0:c>
      <ns0:c r="Q1721" s="7" t="n">
        <ns0:v>442875.6251291342</ns0:v>
      </ns0:c>
      <ns0:c r="R1721" s="7" t="n">
        <ns0:v>1631444.264558499</ns0:v>
      </ns0:c>
    </ns0:row>
    <ns0:row r="1722" ht="24" customHeight="1">
      <ns0:c r="A1722" s="3" t="inlineStr">
        <ns0:is>
          <ns0:t>混在40/30/30</ns0:t>
        </ns0:is>
      </ns0:c>
      <ns0:c r="B1722" s="3" t="inlineStr">
        <ns0:is>
          <ns0:t>G2二段階</ns0:t>
        </ns0:is>
      </ns0:c>
      <ns0:c r="C1722" s="3" t="inlineStr">
        <ns0:is>
          <ns0:t>D</ns0:t>
        </ns0:is>
      </ns0:c>
      <ns0:c r="D1722" s="4" t="n">
        <ns0:v>1</ns0:v>
      </ns0:c>
      <ns0:c r="E1722" s="4" t="n">
        <ns0:v>1500</ns0:v>
      </ns0:c>
      <ns0:c r="F1722" s="6" t="n">
        <ns0:v>0.5</ns0:v>
      </ns0:c>
      <ns0:c r="G1722" s="4" t="n">
        <ns0:v>2</ns0:v>
      </ns0:c>
      <ns0:c r="H1722" s="7" t="n">
        <ns0:v>5075.647230566238</ns0:v>
      </ns0:c>
      <ns0:c r="I1722" s="7" t="n">
        <ns0:v>2394.340136436372</ns0:v>
      </ns0:c>
      <ns0:c r="J1722" s="7" t="n">
        <ns0:v>1197.170068218186</ns0:v>
      </ns0:c>
      <ns0:c r="K1722" s="18" t="inlineStr">
        <ns0:is>
          <ns0:t>範囲内なし</ns0:t>
        </ns0:is>
      </ns0:c>
      <ns0:c r="L1722" s="18" t="inlineStr">
        <ns0:is>
          <ns0:t>範囲内なし</ns0:t>
        </ns0:is>
      </ns0:c>
      <ns0:c r="M1722" s="7" t="n">
        <ns0:v>-55833.3887635662</ns0:v>
      </ns0:c>
      <ns0:c r="N1722" s="7" t="n">
        <ns0:v>-64267.79424478689</ns0:v>
      </ns0:c>
      <ns0:c r="O1722" s="7" t="n">
        <ns0:v>-70772.36732377295</ns0:v>
      </ns0:c>
      <ns0:c r="P1722" s="7" t="n">
        <ns0:v>-87033.80002123812</ns0:v>
      </ns0:c>
      <ns0:c r="Q1722" s="7" t="n">
        <ns0:v>-194079.5308110985</ns0:v>
      </ns0:c>
      <ns0:c r="R1722" s="7" t="n">
        <ns0:v>-491739.5885756102</ns0:v>
      </ns0:c>
    </ns0:row>
    <ns0:row r="1723" ht="24" customHeight="1">
      <ns0:c r="A1723" s="3" t="inlineStr">
        <ns0:is>
          <ns0:t>混在40/30/30</ns0:t>
        </ns0:is>
      </ns0:c>
      <ns0:c r="B1723" s="3" t="inlineStr">
        <ns0:is>
          <ns0:t>G2二段階</ns0:t>
        </ns0:is>
      </ns0:c>
      <ns0:c r="C1723" s="3" t="inlineStr">
        <ns0:is>
          <ns0:t>D</ns0:t>
        </ns0:is>
      </ns0:c>
      <ns0:c r="D1723" s="4" t="n">
        <ns0:v>1</ns0:v>
      </ns0:c>
      <ns0:c r="E1723" s="4" t="n">
        <ns0:v>1500</ns0:v>
      </ns0:c>
      <ns0:c r="F1723" s="6" t="n">
        <ns0:v>0.5</ns0:v>
      </ns0:c>
      <ns0:c r="G1723" s="4" t="n">
        <ns0:v>3</ns0:v>
      </ns0:c>
      <ns0:c r="H1723" s="7" t="n">
        <ns0:v>5075.647230566238</ns0:v>
      </ns0:c>
      <ns0:c r="I1723" s="7" t="n">
        <ns0:v>2394.340136436372</ns0:v>
      </ns0:c>
      <ns0:c r="J1723" s="7" t="n">
        <ns0:v>1197.170068218186</ns0:v>
      </ns0:c>
      <ns0:c r="K1723" s="7" t="n">
        <ns0:v>45</ns0:v>
      </ns0:c>
      <ns0:c r="L1723" s="18" t="inlineStr">
        <ns0:is>
          <ns0:t>範囲内なし</ns0:t>
        </ns0:is>
      </ns0:c>
      <ns0:c r="M1723" s="7" t="n">
        <ns0:v>-40242.29766047891</ns0:v>
      </ns0:c>
      <ns0:c r="N1723" s="7" t="n">
        <ns0:v>-17494.52093552502</ns0:v>
      </ns0:c>
      <ns0:c r="O1723" s="7" t="n">
        <ns0:v>7183.08819166349</ns0:v>
      </ns0:c>
      <ns0:c r="P1723" s="7" t="n">
        <ns0:v>68877.11100963477</ns0:v>
      </ns0:c>
      <ns0:c r="Q1723" s="7" t="n">
        <ns0:v>273653.2022815201</ns0:v>
      </ns0:c>
      <ns0:c r="R1723" s="7" t="n">
        <ns0:v>1067369.521733119</ns0:v>
      </ns0:c>
    </ns0:row>
    <ns0:row r="1724" ht="24" customHeight="1">
      <ns0:c r="A1724" s="3" t="inlineStr">
        <ns0:is>
          <ns0:t>混在40/30/30</ns0:t>
        </ns0:is>
      </ns0:c>
      <ns0:c r="B1724" s="3" t="inlineStr">
        <ns0:is>
          <ns0:t>G2二段階</ns0:t>
        </ns0:is>
      </ns0:c>
      <ns0:c r="C1724" s="3" t="inlineStr">
        <ns0:is>
          <ns0:t>D</ns0:t>
        </ns0:is>
      </ns0:c>
      <ns0:c r="D1724" s="4" t="n">
        <ns0:v>2</ns0:v>
      </ns0:c>
      <ns0:c r="E1724" s="4" t="n">
        <ns0:v>500</ns0:v>
      </ns0:c>
      <ns0:c r="F1724" s="6" t="n">
        <ns0:v>0.3</ns0:v>
      </ns0:c>
      <ns0:c r="G1724" s="4" t="n">
        <ns0:v>0</ns0:v>
      </ns0:c>
      <ns0:c r="H1724" s="7" t="n">
        <ns0:v>7472.855491258974</ns0:v>
      </ns0:c>
      <ns0:c r="I1724" s="7" t="n">
        <ns0:v>3148.31210587852</ns0:v>
      </ns0:c>
      <ns0:c r="J1724" s="7" t="n">
        <ns0:v>944.4936317635559</ns0:v>
      </ns0:c>
      <ns0:c r="K1724" s="7" t="n">
        <ns0:v>12</ns0:v>
      </ns0:c>
      <ns0:c r="L1724" s="7" t="n">
        <ns0:v>19</ns0:v>
      </ns0:c>
      <ns0:c r="M1724" s="7" t="n">
        <ns0:v>-7052.001951056962</ns0:v>
      </ns0:c>
      <ns0:c r="N1724" s="7" t="n">
        <ns0:v>67408.65277325874</ns0:v>
      </ns0:c>
      <ns0:c r="O1724" s="7" t="n">
        <ns0:v>148688.3777063031</ns0:v>
      </ns0:c>
      <ns0:c r="P1724" s="7" t="n">
        <ns0:v>351887.690038914</ns0:v>
      </ns0:c>
      <ns0:c r="Q1724" s="7" t="n">
        <ns0:v>1122684.939369358</ns0:v>
      </ns0:c>
      <ns0:c r="R1724" s="7" t="n">
        <ns0:v>3897475.31202591</ns0:v>
      </ns0:c>
    </ns0:row>
    <ns0:row r="1725" ht="24" customHeight="1">
      <ns0:c r="A1725" s="3" t="inlineStr">
        <ns0:is>
          <ns0:t>混在40/30/30</ns0:t>
        </ns0:is>
      </ns0:c>
      <ns0:c r="B1725" s="3" t="inlineStr">
        <ns0:is>
          <ns0:t>G2二段階</ns0:t>
        </ns0:is>
      </ns0:c>
      <ns0:c r="C1725" s="3" t="inlineStr">
        <ns0:is>
          <ns0:t>D</ns0:t>
        </ns0:is>
      </ns0:c>
      <ns0:c r="D1725" s="4" t="n">
        <ns0:v>2</ns0:v>
      </ns0:c>
      <ns0:c r="E1725" s="4" t="n">
        <ns0:v>500</ns0:v>
      </ns0:c>
      <ns0:c r="F1725" s="6" t="n">
        <ns0:v>0.3</ns0:v>
      </ns0:c>
      <ns0:c r="G1725" s="4" t="n">
        <ns0:v>1</ns0:v>
      </ns0:c>
      <ns0:c r="H1725" s="7" t="n">
        <ns0:v>7472.855491258974</ns0:v>
      </ns0:c>
      <ns0:c r="I1725" s="7" t="n">
        <ns0:v>3148.31210587852</ns0:v>
      </ns0:c>
      <ns0:c r="J1725" s="7" t="n">
        <ns0:v>944.4936317635559</ns0:v>
      </ns0:c>
      <ns0:c r="K1725" s="7" t="n">
        <ns0:v>12</ns0:v>
      </ns0:c>
      <ns0:c r="L1725" s="7" t="n">
        <ns0:v>23</ns0:v>
      </ns0:c>
      <ns0:c r="M1725" s="7" t="n">
        <ns0:v>-10256.55727726186</ns0:v>
      </ns0:c>
      <ns0:c r="N1725" s="7" t="n">
        <ns0:v>57794.98679464402</ns0:v>
      </ns0:c>
      <ns0:c r="O1725" s="7" t="n">
        <ns0:v>132665.6010752786</ns0:v>
      </ns0:c>
      <ns0:c r="P1725" s="7" t="n">
        <ns0:v>319842.136776865</ns0:v>
      </ns0:c>
      <ns0:c r="Q1725" s="7" t="n">
        <ns0:v>1026548.279583211</ns0:v>
      </ns0:c>
      <ns0:c r="R1725" s="7" t="n">
        <ns0:v>3577019.77940542</ns0:v>
      </ns0:c>
    </ns0:row>
    <ns0:row r="1726" ht="24" customHeight="1">
      <ns0:c r="A1726" s="3" t="inlineStr">
        <ns0:is>
          <ns0:t>混在40/30/30</ns0:t>
        </ns0:is>
      </ns0:c>
      <ns0:c r="B1726" s="3" t="inlineStr">
        <ns0:is>
          <ns0:t>G2二段階</ns0:t>
        </ns0:is>
      </ns0:c>
      <ns0:c r="C1726" s="3" t="inlineStr">
        <ns0:is>
          <ns0:t>D</ns0:t>
        </ns0:is>
      </ns0:c>
      <ns0:c r="D1726" s="4" t="n">
        <ns0:v>2</ns0:v>
      </ns0:c>
      <ns0:c r="E1726" s="4" t="n">
        <ns0:v>500</ns0:v>
      </ns0:c>
      <ns0:c r="F1726" s="6" t="n">
        <ns0:v>0.3</ns0:v>
      </ns0:c>
      <ns0:c r="G1726" s="4" t="n">
        <ns0:v>2</ns0:v>
      </ns0:c>
      <ns0:c r="H1726" s="7" t="n">
        <ns0:v>7472.855491258974</ns0:v>
      </ns0:c>
      <ns0:c r="I1726" s="7" t="n">
        <ns0:v>3148.31210587852</ns0:v>
      </ns0:c>
      <ns0:c r="J1726" s="7" t="n">
        <ns0:v>944.4936317635559</ns0:v>
      </ns0:c>
      <ns0:c r="K1726" s="18" t="inlineStr">
        <ns0:is>
          <ns0:t>範囲内なし</ns0:t>
        </ns0:is>
      </ns0:c>
      <ns0:c r="L1726" s="18" t="inlineStr">
        <ns0:is>
          <ns0:t>範囲内なし</ns0:t>
        </ns0:is>
      </ns0:c>
      <ns0:c r="M1726" s="7" t="n">
        <ns0:v>-49828.92262584075</ns0:v>
      </ns0:c>
      <ns0:c r="N1726" s="7" t="n">
        <ns0:v>-60922.10925109262</ns0:v>
      </ns0:c>
      <ns0:c r="O1726" s="7" t="n">
        <ns0:v>-65196.22566761583</ns0:v>
      </ns0:c>
      <ns0:c r="P1726" s="7" t="n">
        <ns0:v>-75881.51670892385</ns0:v>
      </ns0:c>
      <ns0:c r="Q1726" s="7" t="n">
        <ns0:v>-160622.6808741558</ns0:v>
      </ns0:c>
      <ns0:c r="R1726" s="7" t="n">
        <ns0:v>-380216.7554524685</ns0:v>
      </ns0:c>
    </ns0:row>
    <ns0:row r="1727" ht="24" customHeight="1">
      <ns0:c r="A1727" s="3" t="inlineStr">
        <ns0:is>
          <ns0:t>混在40/30/30</ns0:t>
        </ns0:is>
      </ns0:c>
      <ns0:c r="B1727" s="3" t="inlineStr">
        <ns0:is>
          <ns0:t>G2二段階</ns0:t>
        </ns0:is>
      </ns0:c>
      <ns0:c r="C1727" s="3" t="inlineStr">
        <ns0:is>
          <ns0:t>D</ns0:t>
        </ns0:is>
      </ns0:c>
      <ns0:c r="D1727" s="4" t="n">
        <ns0:v>2</ns0:v>
      </ns0:c>
      <ns0:c r="E1727" s="4" t="n">
        <ns0:v>500</ns0:v>
      </ns0:c>
      <ns0:c r="F1727" s="6" t="n">
        <ns0:v>0.3</ns0:v>
      </ns0:c>
      <ns0:c r="G1727" s="4" t="n">
        <ns0:v>3</ns0:v>
      </ns0:c>
      <ns0:c r="H1727" s="7" t="n">
        <ns0:v>7472.855491258974</ns0:v>
      </ns0:c>
      <ns0:c r="I1727" s="7" t="n">
        <ns0:v>3148.31210587852</ns0:v>
      </ns0:c>
      <ns0:c r="J1727" s="7" t="n">
        <ns0:v>944.4936317635559</ns0:v>
      </ns0:c>
      <ns0:c r="K1727" s="7" t="n">
        <ns0:v>18</ns0:v>
      </ns0:c>
      <ns0:c r="L1727" s="7" t="n">
        <ns0:v>40</ns0:v>
      </ns0:c>
      <ns0:c r="M1727" s="7" t="n">
        <ns0:v>-16835.71161141374</ns0:v>
      </ns0:c>
      <ns0:c r="N1727" s="7" t="n">
        <ns0:v>38057.5237921884</ns0:v>
      </ns0:c>
      <ns0:c r="O1727" s="7" t="n">
        <ns0:v>99769.8294045192</ns0:v>
      </ns0:c>
      <ns0:c r="P1727" s="7" t="n">
        <ns0:v>254050.5934353462</ns0:v>
      </ns0:c>
      <ns0:c r="Q1727" s="7" t="n">
        <ns0:v>829173.6495586543</ns0:v>
      </ns0:c>
      <ns0:c r="R1727" s="7" t="n">
        <ns0:v>2919104.345990232</ns0:v>
      </ns0:c>
    </ns0:row>
    <ns0:row r="1728" ht="24" customHeight="1">
      <ns0:c r="A1728" s="3" t="inlineStr">
        <ns0:is>
          <ns0:t>混在40/30/30</ns0:t>
        </ns0:is>
      </ns0:c>
      <ns0:c r="B1728" s="3" t="inlineStr">
        <ns0:is>
          <ns0:t>G2二段階</ns0:t>
        </ns0:is>
      </ns0:c>
      <ns0:c r="C1728" s="3" t="inlineStr">
        <ns0:is>
          <ns0:t>D</ns0:t>
        </ns0:is>
      </ns0:c>
      <ns0:c r="D1728" s="4" t="n">
        <ns0:v>2</ns0:v>
      </ns0:c>
      <ns0:c r="E1728" s="4" t="n">
        <ns0:v>500</ns0:v>
      </ns0:c>
      <ns0:c r="F1728" s="6" t="n">
        <ns0:v>0.4</ns0:v>
      </ns0:c>
      <ns0:c r="G1728" s="4" t="n">
        <ns0:v>0</ns0:v>
      </ns0:c>
      <ns0:c r="H1728" s="7" t="n">
        <ns0:v>7472.855491258974</ns0:v>
      </ns0:c>
      <ns0:c r="I1728" s="7" t="n">
        <ns0:v>3148.31210587852</ns0:v>
      </ns0:c>
      <ns0:c r="J1728" s="7" t="n">
        <ns0:v>1259.324842351408</ns0:v>
      </ns0:c>
      <ns0:c r="K1728" s="7" t="n">
        <ns0:v>12</ns0:v>
      </ns0:c>
      <ns0:c r="L1728" s="7" t="n">
        <ns0:v>20</ns0:v>
      </ns0:c>
      <ns0:c r="M1728" s="7" t="n">
        <ns0:v>-10200.31405693548</ns0:v>
      </ns0:c>
      <ns0:c r="N1728" s="7" t="n">
        <ns0:v>57963.71645562318</ns0:v>
      </ns0:c>
      <ns0:c r="O1728" s="7" t="n">
        <ns0:v>132946.8171769105</ns0:v>
      </ns0:c>
      <ns0:c r="P1728" s="7" t="n">
        <ns0:v>320404.5689801289</ns0:v>
      </ns0:c>
      <ns0:c r="Q1728" s="7" t="n">
        <ns0:v>1028235.576193002</ns0:v>
      </ns0:c>
      <ns0:c r="R1728" s="7" t="n">
        <ns0:v>3582644.101438059</ns0:v>
      </ns0:c>
    </ns0:row>
    <ns0:row r="1729" ht="24" customHeight="1">
      <ns0:c r="A1729" s="3" t="inlineStr">
        <ns0:is>
          <ns0:t>混在40/30/30</ns0:t>
        </ns0:is>
      </ns0:c>
      <ns0:c r="B1729" s="3" t="inlineStr">
        <ns0:is>
          <ns0:t>G2二段階</ns0:t>
        </ns0:is>
      </ns0:c>
      <ns0:c r="C1729" s="3" t="inlineStr">
        <ns0:is>
          <ns0:t>D</ns0:t>
        </ns0:is>
      </ns0:c>
      <ns0:c r="D1729" s="4" t="n">
        <ns0:v>2</ns0:v>
      </ns0:c>
      <ns0:c r="E1729" s="4" t="n">
        <ns0:v>500</ns0:v>
      </ns0:c>
      <ns0:c r="F1729" s="6" t="n">
        <ns0:v>0.4</ns0:v>
      </ns0:c>
      <ns0:c r="G1729" s="4" t="n">
        <ns0:v>1</ns0:v>
      </ns0:c>
      <ns0:c r="H1729" s="7" t="n">
        <ns0:v>7472.855491258974</ns0:v>
      </ns0:c>
      <ns0:c r="I1729" s="7" t="n">
        <ns0:v>3148.31210587852</ns0:v>
      </ns0:c>
      <ns0:c r="J1729" s="7" t="n">
        <ns0:v>1259.324842351408</ns0:v>
      </ns0:c>
      <ns0:c r="K1729" s="7" t="n">
        <ns0:v>13</ns0:v>
      </ns0:c>
      <ns0:c r="L1729" s="7" t="n">
        <ns0:v>25</ns0:v>
      </ns0:c>
      <ns0:c r="M1729" s="7" t="n">
        <ns0:v>-13404.86938314039</ns0:v>
      </ns0:c>
      <ns0:c r="N1729" s="7" t="n">
        <ns0:v>48350.05047700847</ns0:v>
      </ns0:c>
      <ns0:c r="O1729" s="7" t="n">
        <ns0:v>116924.040545886</ns0:v>
      </ns0:c>
      <ns0:c r="P1729" s="7" t="n">
        <ns0:v>288359.0157180798</ns0:v>
      </ns0:c>
      <ns0:c r="Q1729" s="7" t="n">
        <ns0:v>932098.916406855</ns0:v>
      </ns0:c>
      <ns0:c r="R1729" s="7" t="n">
        <ns0:v>3262188.568817568</ns0:v>
      </ns0:c>
    </ns0:row>
    <ns0:row r="1730" ht="24" customHeight="1">
      <ns0:c r="A1730" s="3" t="inlineStr">
        <ns0:is>
          <ns0:t>混在40/30/30</ns0:t>
        </ns0:is>
      </ns0:c>
      <ns0:c r="B1730" s="3" t="inlineStr">
        <ns0:is>
          <ns0:t>G2二段階</ns0:t>
        </ns0:is>
      </ns0:c>
      <ns0:c r="C1730" s="3" t="inlineStr">
        <ns0:is>
          <ns0:t>D</ns0:t>
        </ns0:is>
      </ns0:c>
      <ns0:c r="D1730" s="4" t="n">
        <ns0:v>2</ns0:v>
      </ns0:c>
      <ns0:c r="E1730" s="4" t="n">
        <ns0:v>500</ns0:v>
      </ns0:c>
      <ns0:c r="F1730" s="6" t="n">
        <ns0:v>0.4</ns0:v>
      </ns0:c>
      <ns0:c r="G1730" s="4" t="n">
        <ns0:v>2</ns0:v>
      </ns0:c>
      <ns0:c r="H1730" s="7" t="n">
        <ns0:v>7472.855491258974</ns0:v>
      </ns0:c>
      <ns0:c r="I1730" s="7" t="n">
        <ns0:v>3148.31210587852</ns0:v>
      </ns0:c>
      <ns0:c r="J1730" s="7" t="n">
        <ns0:v>1259.324842351408</ns0:v>
      </ns0:c>
      <ns0:c r="K1730" s="18" t="inlineStr">
        <ns0:is>
          <ns0:t>範囲内なし</ns0:t>
        </ns0:is>
      </ns0:c>
      <ns0:c r="L1730" s="18" t="inlineStr">
        <ns0:is>
          <ns0:t>範囲内なし</ns0:t>
        </ns0:is>
      </ns0:c>
      <ns0:c r="M1730" s="7" t="n">
        <ns0:v>-52977.23473171927</ns0:v>
      </ns0:c>
      <ns0:c r="N1730" s="7" t="n">
        <ns0:v>-70367.04556872818</ns0:v>
      </ns0:c>
      <ns0:c r="O1730" s="7" t="n">
        <ns0:v>-80937.78619700842</ns0:v>
      </ns0:c>
      <ns0:c r="P1730" s="7" t="n">
        <ns0:v>-107364.637767709</ns0:v>
      </ns0:c>
      <ns0:c r="Q1730" s="7" t="n">
        <ns0:v>-255072.0440505114</ns0:v>
      </ns0:c>
      <ns0:c r="R1730" s="7" t="n">
        <ns0:v>-695047.9660403207</ns0:v>
      </ns0:c>
    </ns0:row>
    <ns0:row r="1731" ht="24" customHeight="1">
      <ns0:c r="A1731" s="3" t="inlineStr">
        <ns0:is>
          <ns0:t>混在40/30/30</ns0:t>
        </ns0:is>
      </ns0:c>
      <ns0:c r="B1731" s="3" t="inlineStr">
        <ns0:is>
          <ns0:t>G2二段階</ns0:t>
        </ns0:is>
      </ns0:c>
      <ns0:c r="C1731" s="3" t="inlineStr">
        <ns0:is>
          <ns0:t>D</ns0:t>
        </ns0:is>
      </ns0:c>
      <ns0:c r="D1731" s="4" t="n">
        <ns0:v>2</ns0:v>
      </ns0:c>
      <ns0:c r="E1731" s="4" t="n">
        <ns0:v>500</ns0:v>
      </ns0:c>
      <ns0:c r="F1731" s="6" t="n">
        <ns0:v>0.4</ns0:v>
      </ns0:c>
      <ns0:c r="G1731" s="4" t="n">
        <ns0:v>3</ns0:v>
      </ns0:c>
      <ns0:c r="H1731" s="7" t="n">
        <ns0:v>7472.855491258974</ns0:v>
      </ns0:c>
      <ns0:c r="I1731" s="7" t="n">
        <ns0:v>3148.31210587852</ns0:v>
      </ns0:c>
      <ns0:c r="J1731" s="7" t="n">
        <ns0:v>1259.324842351408</ns0:v>
      </ns0:c>
      <ns0:c r="K1731" s="7" t="n">
        <ns0:v>20</ns0:v>
      </ns0:c>
      <ns0:c r="L1731" s="7" t="n">
        <ns0:v>45</ns0:v>
      </ns0:c>
      <ns0:c r="M1731" s="7" t="n">
        <ns0:v>-19984.02371729226</ns0:v>
      </ns0:c>
      <ns0:c r="N1731" s="7" t="n">
        <ns0:v>28612.58747455284</ns0:v>
      </ns0:c>
      <ns0:c r="O1731" s="7" t="n">
        <ns0:v>84028.26887512664</ns0:v>
      </ns0:c>
      <ns0:c r="P1731" s="7" t="n">
        <ns0:v>222567.4723765611</ns0:v>
      </ns0:c>
      <ns0:c r="Q1731" s="7" t="n">
        <ns0:v>734724.2863822987</ns0:v>
      </ns0:c>
      <ns0:c r="R1731" s="7" t="n">
        <ns0:v>2604273.13540238</ns0:v>
      </ns0:c>
    </ns0:row>
    <ns0:row r="1732" ht="24" customHeight="1">
      <ns0:c r="A1732" s="3" t="inlineStr">
        <ns0:is>
          <ns0:t>混在40/30/30</ns0:t>
        </ns0:is>
      </ns0:c>
      <ns0:c r="B1732" s="3" t="inlineStr">
        <ns0:is>
          <ns0:t>G2二段階</ns0:t>
        </ns0:is>
      </ns0:c>
      <ns0:c r="C1732" s="3" t="inlineStr">
        <ns0:is>
          <ns0:t>D</ns0:t>
        </ns0:is>
      </ns0:c>
      <ns0:c r="D1732" s="4" t="n">
        <ns0:v>2</ns0:v>
      </ns0:c>
      <ns0:c r="E1732" s="4" t="n">
        <ns0:v>500</ns0:v>
      </ns0:c>
      <ns0:c r="F1732" s="6" t="n">
        <ns0:v>0.5</ns0:v>
      </ns0:c>
      <ns0:c r="G1732" s="4" t="n">
        <ns0:v>0</ns0:v>
      </ns0:c>
      <ns0:c r="H1732" s="7" t="n">
        <ns0:v>7472.855491258974</ns0:v>
      </ns0:c>
      <ns0:c r="I1732" s="7" t="n">
        <ns0:v>3148.31210587852</ns0:v>
      </ns0:c>
      <ns0:c r="J1732" s="7" t="n">
        <ns0:v>1574.15605293926</ns0:v>
      </ns0:c>
      <ns0:c r="K1732" s="7" t="n">
        <ns0:v>13</ns0:v>
      </ns0:c>
      <ns0:c r="L1732" s="7" t="n">
        <ns0:v>21</ns0:v>
      </ns0:c>
      <ns0:c r="M1732" s="7" t="n">
        <ns0:v>-13348.62616281401</ns0:v>
      </ns0:c>
      <ns0:c r="N1732" s="7" t="n">
        <ns0:v>48518.78013798762</ns0:v>
      </ns0:c>
      <ns0:c r="O1732" s="7" t="n">
        <ns0:v>117205.2566475179</ns0:v>
      </ns0:c>
      <ns0:c r="P1732" s="7" t="n">
        <ns0:v>288921.4479213436</ns0:v>
      </ns0:c>
      <ns0:c r="Q1732" s="7" t="n">
        <ns0:v>933786.2130166464</ns0:v>
      </ns0:c>
      <ns0:c r="R1732" s="7" t="n">
        <ns0:v>3267812.890850207</ns0:v>
      </ns0:c>
    </ns0:row>
    <ns0:row r="1733" ht="24" customHeight="1">
      <ns0:c r="A1733" s="3" t="inlineStr">
        <ns0:is>
          <ns0:t>混在40/30/30</ns0:t>
        </ns0:is>
      </ns0:c>
      <ns0:c r="B1733" s="3" t="inlineStr">
        <ns0:is>
          <ns0:t>G2二段階</ns0:t>
        </ns0:is>
      </ns0:c>
      <ns0:c r="C1733" s="3" t="inlineStr">
        <ns0:is>
          <ns0:t>D</ns0:t>
        </ns0:is>
      </ns0:c>
      <ns0:c r="D1733" s="4" t="n">
        <ns0:v>2</ns0:v>
      </ns0:c>
      <ns0:c r="E1733" s="4" t="n">
        <ns0:v>500</ns0:v>
      </ns0:c>
      <ns0:c r="F1733" s="6" t="n">
        <ns0:v>0.5</ns0:v>
      </ns0:c>
      <ns0:c r="G1733" s="4" t="n">
        <ns0:v>1</ns0:v>
      </ns0:c>
      <ns0:c r="H1733" s="7" t="n">
        <ns0:v>7472.855491258974</ns0:v>
      </ns0:c>
      <ns0:c r="I1733" s="7" t="n">
        <ns0:v>3148.31210587852</ns0:v>
      </ns0:c>
      <ns0:c r="J1733" s="7" t="n">
        <ns0:v>1574.15605293926</ns0:v>
      </ns0:c>
      <ns0:c r="K1733" s="7" t="n">
        <ns0:v>18</ns0:v>
      </ns0:c>
      <ns0:c r="L1733" s="7" t="n">
        <ns0:v>26</ns0:v>
      </ns0:c>
      <ns0:c r="M1733" s="7" t="n">
        <ns0:v>-16553.18148901891</ns0:v>
      </ns0:c>
      <ns0:c r="N1733" s="7" t="n">
        <ns0:v>38905.1141593729</ns0:v>
      </ns0:c>
      <ns0:c r="O1733" s="7" t="n">
        <ns0:v>101182.4800164934</ns0:v>
      </ns0:c>
      <ns0:c r="P1733" s="7" t="n">
        <ns0:v>256875.8946592946</ns0:v>
      </ns0:c>
      <ns0:c r="Q1733" s="7" t="n">
        <ns0:v>837649.5532304994</ns0:v>
      </ns0:c>
      <ns0:c r="R1733" s="7" t="n">
        <ns0:v>2947357.358229716</ns0:v>
      </ns0:c>
    </ns0:row>
    <ns0:row r="1734" ht="24" customHeight="1">
      <ns0:c r="A1734" s="3" t="inlineStr">
        <ns0:is>
          <ns0:t>混在40/30/30</ns0:t>
        </ns0:is>
      </ns0:c>
      <ns0:c r="B1734" s="3" t="inlineStr">
        <ns0:is>
          <ns0:t>G2二段階</ns0:t>
        </ns0:is>
      </ns0:c>
      <ns0:c r="C1734" s="3" t="inlineStr">
        <ns0:is>
          <ns0:t>D</ns0:t>
        </ns0:is>
      </ns0:c>
      <ns0:c r="D1734" s="4" t="n">
        <ns0:v>2</ns0:v>
      </ns0:c>
      <ns0:c r="E1734" s="4" t="n">
        <ns0:v>500</ns0:v>
      </ns0:c>
      <ns0:c r="F1734" s="6" t="n">
        <ns0:v>0.5</ns0:v>
      </ns0:c>
      <ns0:c r="G1734" s="4" t="n">
        <ns0:v>2</ns0:v>
      </ns0:c>
      <ns0:c r="H1734" s="7" t="n">
        <ns0:v>7472.855491258974</ns0:v>
      </ns0:c>
      <ns0:c r="I1734" s="7" t="n">
        <ns0:v>3148.31210587852</ns0:v>
      </ns0:c>
      <ns0:c r="J1734" s="7" t="n">
        <ns0:v>1574.15605293926</ns0:v>
      </ns0:c>
      <ns0:c r="K1734" s="18" t="inlineStr">
        <ns0:is>
          <ns0:t>範囲内なし</ns0:t>
        </ns0:is>
      </ns0:c>
      <ns0:c r="L1734" s="18" t="inlineStr">
        <ns0:is>
          <ns0:t>範囲内なし</ns0:t>
        </ns0:is>
      </ns0:c>
      <ns0:c r="M1734" s="7" t="n">
        <ns0:v>-56125.54683759779</ns0:v>
      </ns0:c>
      <ns0:c r="N1734" s="7" t="n">
        <ns0:v>-79811.98188636375</ns0:v>
      </ns0:c>
      <ns0:c r="O1734" s="7" t="n">
        <ns0:v>-96679.34672640104</ns0:v>
      </ns0:c>
      <ns0:c r="P1734" s="7" t="n">
        <ns0:v>-138847.7588264943</ns0:v>
      </ns0:c>
      <ns0:c r="Q1734" s="7" t="n">
        <ns0:v>-349521.4072268671</ns0:v>
      </ns0:c>
      <ns0:c r="R1734" s="7" t="n">
        <ns0:v>-1009879.176628172</ns0:v>
      </ns0:c>
    </ns0:row>
    <ns0:row r="1735" ht="24" customHeight="1">
      <ns0:c r="A1735" s="3" t="inlineStr">
        <ns0:is>
          <ns0:t>混在40/30/30</ns0:t>
        </ns0:is>
      </ns0:c>
      <ns0:c r="B1735" s="3" t="inlineStr">
        <ns0:is>
          <ns0:t>G2二段階</ns0:t>
        </ns0:is>
      </ns0:c>
      <ns0:c r="C1735" s="3" t="inlineStr">
        <ns0:is>
          <ns0:t>D</ns0:t>
        </ns0:is>
      </ns0:c>
      <ns0:c r="D1735" s="4" t="n">
        <ns0:v>2</ns0:v>
      </ns0:c>
      <ns0:c r="E1735" s="4" t="n">
        <ns0:v>500</ns0:v>
      </ns0:c>
      <ns0:c r="F1735" s="6" t="n">
        <ns0:v>0.5</ns0:v>
      </ns0:c>
      <ns0:c r="G1735" s="4" t="n">
        <ns0:v>3</ns0:v>
      </ns0:c>
      <ns0:c r="H1735" s="7" t="n">
        <ns0:v>7472.855491258974</ns0:v>
      </ns0:c>
      <ns0:c r="I1735" s="7" t="n">
        <ns0:v>3148.31210587852</ns0:v>
      </ns0:c>
      <ns0:c r="J1735" s="7" t="n">
        <ns0:v>1574.15605293926</ns0:v>
      </ns0:c>
      <ns0:c r="K1735" s="7" t="n">
        <ns0:v>23</ns0:v>
      </ns0:c>
      <ns0:c r="L1735" s="7" t="n">
        <ns0:v>51</ns0:v>
      </ns0:c>
      <ns0:c r="M1735" s="7" t="n">
        <ns0:v>-23132.33582317079</ns0:v>
      </ns0:c>
      <ns0:c r="N1735" s="7" t="n">
        <ns0:v>19167.65115691728</ns0:v>
      </ns0:c>
      <ns0:c r="O1735" s="7" t="n">
        <ns0:v>68286.70834573402</ns0:v>
      </ns0:c>
      <ns0:c r="P1735" s="7" t="n">
        <ns0:v>191084.3513177758</ns0:v>
      </ns0:c>
      <ns0:c r="Q1735" s="7" t="n">
        <ns0:v>640274.9232059431</ns0:v>
      </ns0:c>
      <ns0:c r="R1735" s="7" t="n">
        <ns0:v>2289441.924814529</ns0:v>
      </ns0:c>
    </ns0:row>
    <ns0:row r="1736" ht="24" customHeight="1">
      <ns0:c r="A1736" s="3" t="inlineStr">
        <ns0:is>
          <ns0:t>混在40/30/30</ns0:t>
        </ns0:is>
      </ns0:c>
      <ns0:c r="B1736" s="3" t="inlineStr">
        <ns0:is>
          <ns0:t>G2二段階</ns0:t>
        </ns0:is>
      </ns0:c>
      <ns0:c r="C1736" s="3" t="inlineStr">
        <ns0:is>
          <ns0:t>D</ns0:t>
        </ns0:is>
      </ns0:c>
      <ns0:c r="D1736" s="4" t="n">
        <ns0:v>2</ns0:v>
      </ns0:c>
      <ns0:c r="E1736" s="4" t="n">
        <ns0:v>1000</ns0:v>
      </ns0:c>
      <ns0:c r="F1736" s="6" t="n">
        <ns0:v>0.3</ns0:v>
      </ns0:c>
      <ns0:c r="G1736" s="4" t="n">
        <ns0:v>0</ns0:v>
      </ns0:c>
      <ns0:c r="H1736" s="7" t="n">
        <ns0:v>7322.855491258974</ns0:v>
      </ns0:c>
      <ns0:c r="I1736" s="7" t="n">
        <ns0:v>2998.31210587852</ns0:v>
      </ns0:c>
      <ns0:c r="J1736" s="7" t="n">
        <ns0:v>899.4936317635558</ns0:v>
      </ns0:c>
      <ns0:c r="K1736" s="7" t="n">
        <ns0:v>12</ns0:v>
      </ns0:c>
      <ns0:c r="L1736" s="7" t="n">
        <ns0:v>19</ns0:v>
      </ns0:c>
      <ns0:c r="M1736" s="7" t="n">
        <ns0:v>-8048.001951056962</ns0:v>
      </ns0:c>
      <ns0:c r="N1736" s="7" t="n">
        <ns0:v>64420.65277325874</ns0:v>
      </ns0:c>
      <ns0:c r="O1736" s="7" t="n">
        <ns0:v>143708.3777063031</ns0:v>
      </ns0:c>
      <ns0:c r="P1736" s="7" t="n">
        <ns0:v>341927.690038914</ns0:v>
      </ns0:c>
      <ns0:c r="Q1736" s="7" t="n">
        <ns0:v>1092804.939369358</ns0:v>
      </ns0:c>
      <ns0:c r="R1736" s="7" t="n">
        <ns0:v>3797875.31202591</ns0:v>
      </ns0:c>
    </ns0:row>
    <ns0:row r="1737" ht="24" customHeight="1">
      <ns0:c r="A1737" s="3" t="inlineStr">
        <ns0:is>
          <ns0:t>混在40/30/30</ns0:t>
        </ns0:is>
      </ns0:c>
      <ns0:c r="B1737" s="3" t="inlineStr">
        <ns0:is>
          <ns0:t>G2二段階</ns0:t>
        </ns0:is>
      </ns0:c>
      <ns0:c r="C1737" s="3" t="inlineStr">
        <ns0:is>
          <ns0:t>D</ns0:t>
        </ns0:is>
      </ns0:c>
      <ns0:c r="D1737" s="4" t="n">
        <ns0:v>2</ns0:v>
      </ns0:c>
      <ns0:c r="E1737" s="4" t="n">
        <ns0:v>1000</ns0:v>
      </ns0:c>
      <ns0:c r="F1737" s="6" t="n">
        <ns0:v>0.3</ns0:v>
      </ns0:c>
      <ns0:c r="G1737" s="4" t="n">
        <ns0:v>1</ns0:v>
      </ns0:c>
      <ns0:c r="H1737" s="7" t="n">
        <ns0:v>7322.855491258974</ns0:v>
      </ns0:c>
      <ns0:c r="I1737" s="7" t="n">
        <ns0:v>2998.31210587852</ns0:v>
      </ns0:c>
      <ns0:c r="J1737" s="7" t="n">
        <ns0:v>899.4936317635558</ns0:v>
      </ns0:c>
      <ns0:c r="K1737" s="7" t="n">
        <ns0:v>13</ns0:v>
      </ns0:c>
      <ns0:c r="L1737" s="7" t="n">
        <ns0:v>23</ns0:v>
      </ns0:c>
      <ns0:c r="M1737" s="7" t="n">
        <ns0:v>-11252.55727726186</ns0:v>
      </ns0:c>
      <ns0:c r="N1737" s="7" t="n">
        <ns0:v>54806.98679464403</ns0:v>
      </ns0:c>
      <ns0:c r="O1737" s="7" t="n">
        <ns0:v>127685.6010752786</ns0:v>
      </ns0:c>
      <ns0:c r="P1737" s="7" t="n">
        <ns0:v>309882.1367768649</ns0:v>
      </ns0:c>
      <ns0:c r="Q1737" s="7" t="n">
        <ns0:v>996668.2795832106</ns0:v>
      </ns0:c>
      <ns0:c r="R1737" s="7" t="n">
        <ns0:v>3477419.77940542</ns0:v>
      </ns0:c>
    </ns0:row>
    <ns0:row r="1738" ht="24" customHeight="1">
      <ns0:c r="A1738" s="3" t="inlineStr">
        <ns0:is>
          <ns0:t>混在40/30/30</ns0:t>
        </ns0:is>
      </ns0:c>
      <ns0:c r="B1738" s="3" t="inlineStr">
        <ns0:is>
          <ns0:t>G2二段階</ns0:t>
        </ns0:is>
      </ns0:c>
      <ns0:c r="C1738" s="3" t="inlineStr">
        <ns0:is>
          <ns0:t>D</ns0:t>
        </ns0:is>
      </ns0:c>
      <ns0:c r="D1738" s="4" t="n">
        <ns0:v>2</ns0:v>
      </ns0:c>
      <ns0:c r="E1738" s="4" t="n">
        <ns0:v>1000</ns0:v>
      </ns0:c>
      <ns0:c r="F1738" s="6" t="n">
        <ns0:v>0.3</ns0:v>
      </ns0:c>
      <ns0:c r="G1738" s="4" t="n">
        <ns0:v>2</ns0:v>
      </ns0:c>
      <ns0:c r="H1738" s="7" t="n">
        <ns0:v>7322.855491258974</ns0:v>
      </ns0:c>
      <ns0:c r="I1738" s="7" t="n">
        <ns0:v>2998.31210587852</ns0:v>
      </ns0:c>
      <ns0:c r="J1738" s="7" t="n">
        <ns0:v>899.4936317635558</ns0:v>
      </ns0:c>
      <ns0:c r="K1738" s="18" t="inlineStr">
        <ns0:is>
          <ns0:t>範囲内なし</ns0:t>
        </ns0:is>
      </ns0:c>
      <ns0:c r="L1738" s="18" t="inlineStr">
        <ns0:is>
          <ns0:t>範囲内なし</ns0:t>
        </ns0:is>
      </ns0:c>
      <ns0:c r="M1738" s="7" t="n">
        <ns0:v>-50824.92262584075</ns0:v>
      </ns0:c>
      <ns0:c r="N1738" s="7" t="n">
        <ns0:v>-63910.10925109262</ns0:v>
      </ns0:c>
      <ns0:c r="O1738" s="7" t="n">
        <ns0:v>-70176.22566761586</ns0:v>
      </ns0:c>
      <ns0:c r="P1738" s="7" t="n">
        <ns0:v>-85841.51670892391</ns0:v>
      </ns0:c>
      <ns0:c r="Q1738" s="7" t="n">
        <ns0:v>-190502.6808741558</ns0:v>
      </ns0:c>
      <ns0:c r="R1738" s="7" t="n">
        <ns0:v>-479816.7554524685</ns0:v>
      </ns0:c>
    </ns0:row>
    <ns0:row r="1739" ht="24" customHeight="1">
      <ns0:c r="A1739" s="3" t="inlineStr">
        <ns0:is>
          <ns0:t>混在40/30/30</ns0:t>
        </ns0:is>
      </ns0:c>
      <ns0:c r="B1739" s="3" t="inlineStr">
        <ns0:is>
          <ns0:t>G2二段階</ns0:t>
        </ns0:is>
      </ns0:c>
      <ns0:c r="C1739" s="3" t="inlineStr">
        <ns0:is>
          <ns0:t>D</ns0:t>
        </ns0:is>
      </ns0:c>
      <ns0:c r="D1739" s="4" t="n">
        <ns0:v>2</ns0:v>
      </ns0:c>
      <ns0:c r="E1739" s="4" t="n">
        <ns0:v>1000</ns0:v>
      </ns0:c>
      <ns0:c r="F1739" s="6" t="n">
        <ns0:v>0.3</ns0:v>
      </ns0:c>
      <ns0:c r="G1739" s="4" t="n">
        <ns0:v>3</ns0:v>
      </ns0:c>
      <ns0:c r="H1739" s="7" t="n">
        <ns0:v>7322.855491258974</ns0:v>
      </ns0:c>
      <ns0:c r="I1739" s="7" t="n">
        <ns0:v>2998.31210587852</ns0:v>
      </ns0:c>
      <ns0:c r="J1739" s="7" t="n">
        <ns0:v>899.4936317635558</ns0:v>
      </ns0:c>
      <ns0:c r="K1739" s="7" t="n">
        <ns0:v>19</ns0:v>
      </ns0:c>
      <ns0:c r="L1739" s="7" t="n">
        <ns0:v>41</ns0:v>
      </ns0:c>
      <ns0:c r="M1739" s="7" t="n">
        <ns0:v>-17831.71161141374</ns0:v>
      </ns0:c>
      <ns0:c r="N1739" s="7" t="n">
        <ns0:v>35069.5237921884</ns0:v>
      </ns0:c>
      <ns0:c r="O1739" s="7" t="n">
        <ns0:v>94789.82940451917</ns0:v>
      </ns0:c>
      <ns0:c r="P1739" s="7" t="n">
        <ns0:v>244090.5934353461</ns0:v>
      </ns0:c>
      <ns0:c r="Q1739" s="7" t="n">
        <ns0:v>799293.6495586543</ns0:v>
      </ns0:c>
      <ns0:c r="R1739" s="7" t="n">
        <ns0:v>2819504.345990232</ns0:v>
      </ns0:c>
    </ns0:row>
    <ns0:row r="1740" ht="24" customHeight="1">
      <ns0:c r="A1740" s="3" t="inlineStr">
        <ns0:is>
          <ns0:t>混在40/30/30</ns0:t>
        </ns0:is>
      </ns0:c>
      <ns0:c r="B1740" s="3" t="inlineStr">
        <ns0:is>
          <ns0:t>G2二段階</ns0:t>
        </ns0:is>
      </ns0:c>
      <ns0:c r="C1740" s="3" t="inlineStr">
        <ns0:is>
          <ns0:t>D</ns0:t>
        </ns0:is>
      </ns0:c>
      <ns0:c r="D1740" s="4" t="n">
        <ns0:v>2</ns0:v>
      </ns0:c>
      <ns0:c r="E1740" s="4" t="n">
        <ns0:v>1000</ns0:v>
      </ns0:c>
      <ns0:c r="F1740" s="6" t="n">
        <ns0:v>0.4</ns0:v>
      </ns0:c>
      <ns0:c r="G1740" s="4" t="n">
        <ns0:v>0</ns0:v>
      </ns0:c>
      <ns0:c r="H1740" s="7" t="n">
        <ns0:v>7322.855491258974</ns0:v>
      </ns0:c>
      <ns0:c r="I1740" s="7" t="n">
        <ns0:v>2998.31210587852</ns0:v>
      </ns0:c>
      <ns0:c r="J1740" s="7" t="n">
        <ns0:v>1199.324842351408</ns0:v>
      </ns0:c>
      <ns0:c r="K1740" s="7" t="n">
        <ns0:v>13</ns0:v>
      </ns0:c>
      <ns0:c r="L1740" s="7" t="n">
        <ns0:v>20</ns0:v>
      </ns0:c>
      <ns0:c r="M1740" s="7" t="n">
        <ns0:v>-11046.31405693548</ns0:v>
      </ns0:c>
      <ns0:c r="N1740" s="7" t="n">
        <ns0:v>55425.71645562319</ns0:v>
      </ns0:c>
      <ns0:c r="O1740" s="7" t="n">
        <ns0:v>128716.8171769105</ns0:v>
      </ns0:c>
      <ns0:c r="P1740" s="7" t="n">
        <ns0:v>311944.5689801287</ns0:v>
      </ns0:c>
      <ns0:c r="Q1740" s="7" t="n">
        <ns0:v>1002855.576193002</ns0:v>
      </ns0:c>
      <ns0:c r="R1740" s="7" t="n">
        <ns0:v>3498044.101438059</ns0:v>
      </ns0:c>
    </ns0:row>
    <ns0:row r="1741" ht="24" customHeight="1">
      <ns0:c r="A1741" s="3" t="inlineStr">
        <ns0:is>
          <ns0:t>混在40/30/30</ns0:t>
        </ns0:is>
      </ns0:c>
      <ns0:c r="B1741" s="3" t="inlineStr">
        <ns0:is>
          <ns0:t>G2二段階</ns0:t>
        </ns0:is>
      </ns0:c>
      <ns0:c r="C1741" s="3" t="inlineStr">
        <ns0:is>
          <ns0:t>D</ns0:t>
        </ns0:is>
      </ns0:c>
      <ns0:c r="D1741" s="4" t="n">
        <ns0:v>2</ns0:v>
      </ns0:c>
      <ns0:c r="E1741" s="4" t="n">
        <ns0:v>1000</ns0:v>
      </ns0:c>
      <ns0:c r="F1741" s="6" t="n">
        <ns0:v>0.4</ns0:v>
      </ns0:c>
      <ns0:c r="G1741" s="4" t="n">
        <ns0:v>1</ns0:v>
      </ns0:c>
      <ns0:c r="H1741" s="7" t="n">
        <ns0:v>7322.855491258974</ns0:v>
      </ns0:c>
      <ns0:c r="I1741" s="7" t="n">
        <ns0:v>2998.31210587852</ns0:v>
      </ns0:c>
      <ns0:c r="J1741" s="7" t="n">
        <ns0:v>1199.324842351408</ns0:v>
      </ns0:c>
      <ns0:c r="K1741" s="7" t="n">
        <ns0:v>16</ns0:v>
      </ns0:c>
      <ns0:c r="L1741" s="7" t="n">
        <ns0:v>25</ns0:v>
      </ns0:c>
      <ns0:c r="M1741" s="7" t="n">
        <ns0:v>-14250.86938314038</ns0:v>
      </ns0:c>
      <ns0:c r="N1741" s="7" t="n">
        <ns0:v>45812.05047700847</ns0:v>
      </ns0:c>
      <ns0:c r="O1741" s="7" t="n">
        <ns0:v>112694.0405458859</ns0:v>
      </ns0:c>
      <ns0:c r="P1741" s="7" t="n">
        <ns0:v>279899.0157180796</ns0:v>
      </ns0:c>
      <ns0:c r="Q1741" s="7" t="n">
        <ns0:v>906718.916406855</ns0:v>
      </ns0:c>
      <ns0:c r="R1741" s="7" t="n">
        <ns0:v>3177588.568817568</ns0:v>
      </ns0:c>
    </ns0:row>
    <ns0:row r="1742" ht="24" customHeight="1">
      <ns0:c r="A1742" s="3" t="inlineStr">
        <ns0:is>
          <ns0:t>混在40/30/30</ns0:t>
        </ns0:is>
      </ns0:c>
      <ns0:c r="B1742" s="3" t="inlineStr">
        <ns0:is>
          <ns0:t>G2二段階</ns0:t>
        </ns0:is>
      </ns0:c>
      <ns0:c r="C1742" s="3" t="inlineStr">
        <ns0:is>
          <ns0:t>D</ns0:t>
        </ns0:is>
      </ns0:c>
      <ns0:c r="D1742" s="4" t="n">
        <ns0:v>2</ns0:v>
      </ns0:c>
      <ns0:c r="E1742" s="4" t="n">
        <ns0:v>1000</ns0:v>
      </ns0:c>
      <ns0:c r="F1742" s="6" t="n">
        <ns0:v>0.4</ns0:v>
      </ns0:c>
      <ns0:c r="G1742" s="4" t="n">
        <ns0:v>2</ns0:v>
      </ns0:c>
      <ns0:c r="H1742" s="7" t="n">
        <ns0:v>7322.855491258974</ns0:v>
      </ns0:c>
      <ns0:c r="I1742" s="7" t="n">
        <ns0:v>2998.31210587852</ns0:v>
      </ns0:c>
      <ns0:c r="J1742" s="7" t="n">
        <ns0:v>1199.324842351408</ns0:v>
      </ns0:c>
      <ns0:c r="K1742" s="18" t="inlineStr">
        <ns0:is>
          <ns0:t>範囲内なし</ns0:t>
        </ns0:is>
      </ns0:c>
      <ns0:c r="L1742" s="18" t="inlineStr">
        <ns0:is>
          <ns0:t>範囲内なし</ns0:t>
        </ns0:is>
      </ns0:c>
      <ns0:c r="M1742" s="7" t="n">
        <ns0:v>-53823.23473171927</ns0:v>
      </ns0:c>
      <ns0:c r="N1742" s="7" t="n">
        <ns0:v>-72905.04556872819</ns0:v>
      </ns0:c>
      <ns0:c r="O1742" s="7" t="n">
        <ns0:v>-85167.78619700848</ns0:v>
      </ns0:c>
      <ns0:c r="P1742" s="7" t="n">
        <ns0:v>-115824.6377677092</ns0:v>
      </ns0:c>
      <ns0:c r="Q1742" s="7" t="n">
        <ns0:v>-280452.0440505114</ns0:v>
      </ns0:c>
      <ns0:c r="R1742" s="7" t="n">
        <ns0:v>-779647.9660403207</ns0:v>
      </ns0:c>
    </ns0:row>
    <ns0:row r="1743" ht="24" customHeight="1">
      <ns0:c r="A1743" s="3" t="inlineStr">
        <ns0:is>
          <ns0:t>混在40/30/30</ns0:t>
        </ns0:is>
      </ns0:c>
      <ns0:c r="B1743" s="3" t="inlineStr">
        <ns0:is>
          <ns0:t>G2二段階</ns0:t>
        </ns0:is>
      </ns0:c>
      <ns0:c r="C1743" s="3" t="inlineStr">
        <ns0:is>
          <ns0:t>D</ns0:t>
        </ns0:is>
      </ns0:c>
      <ns0:c r="D1743" s="4" t="n">
        <ns0:v>2</ns0:v>
      </ns0:c>
      <ns0:c r="E1743" s="4" t="n">
        <ns0:v>1000</ns0:v>
      </ns0:c>
      <ns0:c r="F1743" s="6" t="n">
        <ns0:v>0.4</ns0:v>
      </ns0:c>
      <ns0:c r="G1743" s="4" t="n">
        <ns0:v>3</ns0:v>
      </ns0:c>
      <ns0:c r="H1743" s="7" t="n">
        <ns0:v>7322.855491258974</ns0:v>
      </ns0:c>
      <ns0:c r="I1743" s="7" t="n">
        <ns0:v>2998.31210587852</ns0:v>
      </ns0:c>
      <ns0:c r="J1743" s="7" t="n">
        <ns0:v>1199.324842351408</ns0:v>
      </ns0:c>
      <ns0:c r="K1743" s="7" t="n">
        <ns0:v>21</ns0:v>
      </ns0:c>
      <ns0:c r="L1743" s="7" t="n">
        <ns0:v>47</ns0:v>
      </ns0:c>
      <ns0:c r="M1743" s="7" t="n">
        <ns0:v>-20830.02371729226</ns0:v>
      </ns0:c>
      <ns0:c r="N1743" s="7" t="n">
        <ns0:v>26074.58747455285</ns0:v>
      </ns0:c>
      <ns0:c r="O1743" s="7" t="n">
        <ns0:v>79798.26887512655</ns0:v>
      </ns0:c>
      <ns0:c r="P1743" s="7" t="n">
        <ns0:v>214107.4723765609</ns0:v>
      </ns0:c>
      <ns0:c r="Q1743" s="7" t="n">
        <ns0:v>709344.2863822987</ns0:v>
      </ns0:c>
      <ns0:c r="R1743" s="7" t="n">
        <ns0:v>2519673.13540238</ns0:v>
      </ns0:c>
    </ns0:row>
    <ns0:row r="1744" ht="24" customHeight="1">
      <ns0:c r="A1744" s="3" t="inlineStr">
        <ns0:is>
          <ns0:t>混在40/30/30</ns0:t>
        </ns0:is>
      </ns0:c>
      <ns0:c r="B1744" s="3" t="inlineStr">
        <ns0:is>
          <ns0:t>G2二段階</ns0:t>
        </ns0:is>
      </ns0:c>
      <ns0:c r="C1744" s="3" t="inlineStr">
        <ns0:is>
          <ns0:t>D</ns0:t>
        </ns0:is>
      </ns0:c>
      <ns0:c r="D1744" s="4" t="n">
        <ns0:v>2</ns0:v>
      </ns0:c>
      <ns0:c r="E1744" s="4" t="n">
        <ns0:v>1000</ns0:v>
      </ns0:c>
      <ns0:c r="F1744" s="6" t="n">
        <ns0:v>0.5</ns0:v>
      </ns0:c>
      <ns0:c r="G1744" s="4" t="n">
        <ns0:v>0</ns0:v>
      </ns0:c>
      <ns0:c r="H1744" s="7" t="n">
        <ns0:v>7322.855491258974</ns0:v>
      </ns0:c>
      <ns0:c r="I1744" s="7" t="n">
        <ns0:v>2998.31210587852</ns0:v>
      </ns0:c>
      <ns0:c r="J1744" s="7" t="n">
        <ns0:v>1499.15605293926</ns0:v>
      </ns0:c>
      <ns0:c r="K1744" s="7" t="n">
        <ns0:v>13</ns0:v>
      </ns0:c>
      <ns0:c r="L1744" s="7" t="n">
        <ns0:v>22</ns0:v>
      </ns0:c>
      <ns0:c r="M1744" s="7" t="n">
        <ns0:v>-14044.626162814</ns0:v>
      </ns0:c>
      <ns0:c r="N1744" s="7" t="n">
        <ns0:v>46430.78013798764</ns0:v>
      </ns0:c>
      <ns0:c r="O1744" s="7" t="n">
        <ns0:v>113725.2566475179</ns0:v>
      </ns0:c>
      <ns0:c r="P1744" s="7" t="n">
        <ns0:v>281961.4479213436</ns0:v>
      </ns0:c>
      <ns0:c r="Q1744" s="7" t="n">
        <ns0:v>912906.2130166464</ns0:v>
      </ns0:c>
      <ns0:c r="R1744" s="7" t="n">
        <ns0:v>3198212.890850207</ns0:v>
      </ns0:c>
    </ns0:row>
    <ns0:row r="1745" ht="24" customHeight="1">
      <ns0:c r="A1745" s="3" t="inlineStr">
        <ns0:is>
          <ns0:t>混在40/30/30</ns0:t>
        </ns0:is>
      </ns0:c>
      <ns0:c r="B1745" s="3" t="inlineStr">
        <ns0:is>
          <ns0:t>G2二段階</ns0:t>
        </ns0:is>
      </ns0:c>
      <ns0:c r="C1745" s="3" t="inlineStr">
        <ns0:is>
          <ns0:t>D</ns0:t>
        </ns0:is>
      </ns0:c>
      <ns0:c r="D1745" s="4" t="n">
        <ns0:v>2</ns0:v>
      </ns0:c>
      <ns0:c r="E1745" s="4" t="n">
        <ns0:v>1000</ns0:v>
      </ns0:c>
      <ns0:c r="F1745" s="6" t="n">
        <ns0:v>0.5</ns0:v>
      </ns0:c>
      <ns0:c r="G1745" s="4" t="n">
        <ns0:v>1</ns0:v>
      </ns0:c>
      <ns0:c r="H1745" s="7" t="n">
        <ns0:v>7322.855491258974</ns0:v>
      </ns0:c>
      <ns0:c r="I1745" s="7" t="n">
        <ns0:v>2998.31210587852</ns0:v>
      </ns0:c>
      <ns0:c r="J1745" s="7" t="n">
        <ns0:v>1499.15605293926</ns0:v>
      </ns0:c>
      <ns0:c r="K1745" s="7" t="n">
        <ns0:v>18</ns0:v>
      </ns0:c>
      <ns0:c r="L1745" s="7" t="n">
        <ns0:v>27</ns0:v>
      </ns0:c>
      <ns0:c r="M1745" s="7" t="n">
        <ns0:v>-17249.1814890189</ns0:v>
      </ns0:c>
      <ns0:c r="N1745" s="7" t="n">
        <ns0:v>36817.11415937293</ns0:v>
      </ns0:c>
      <ns0:c r="O1745" s="7" t="n">
        <ns0:v>97702.48001649338</ns0:v>
      </ns0:c>
      <ns0:c r="P1745" s="7" t="n">
        <ns0:v>249915.8946592945</ns0:v>
      </ns0:c>
      <ns0:c r="Q1745" s="7" t="n">
        <ns0:v>816769.5532304993</ns0:v>
      </ns0:c>
      <ns0:c r="R1745" s="7" t="n">
        <ns0:v>2877757.358229716</ns0:v>
      </ns0:c>
    </ns0:row>
    <ns0:row r="1746" ht="24" customHeight="1">
      <ns0:c r="A1746" s="3" t="inlineStr">
        <ns0:is>
          <ns0:t>混在40/30/30</ns0:t>
        </ns0:is>
      </ns0:c>
      <ns0:c r="B1746" s="3" t="inlineStr">
        <ns0:is>
          <ns0:t>G2二段階</ns0:t>
        </ns0:is>
      </ns0:c>
      <ns0:c r="C1746" s="3" t="inlineStr">
        <ns0:is>
          <ns0:t>D</ns0:t>
        </ns0:is>
      </ns0:c>
      <ns0:c r="D1746" s="4" t="n">
        <ns0:v>2</ns0:v>
      </ns0:c>
      <ns0:c r="E1746" s="4" t="n">
        <ns0:v>1000</ns0:v>
      </ns0:c>
      <ns0:c r="F1746" s="6" t="n">
        <ns0:v>0.5</ns0:v>
      </ns0:c>
      <ns0:c r="G1746" s="4" t="n">
        <ns0:v>2</ns0:v>
      </ns0:c>
      <ns0:c r="H1746" s="7" t="n">
        <ns0:v>7322.855491258974</ns0:v>
      </ns0:c>
      <ns0:c r="I1746" s="7" t="n">
        <ns0:v>2998.31210587852</ns0:v>
      </ns0:c>
      <ns0:c r="J1746" s="7" t="n">
        <ns0:v>1499.15605293926</ns0:v>
      </ns0:c>
      <ns0:c r="K1746" s="18" t="inlineStr">
        <ns0:is>
          <ns0:t>範囲内なし</ns0:t>
        </ns0:is>
      </ns0:c>
      <ns0:c r="L1746" s="18" t="inlineStr">
        <ns0:is>
          <ns0:t>範囲内なし</ns0:t>
        </ns0:is>
      </ns0:c>
      <ns0:c r="M1746" s="7" t="n">
        <ns0:v>-56821.54683759778</ns0:v>
      </ns0:c>
      <ns0:c r="N1746" s="7" t="n">
        <ns0:v>-81899.98188636373</ns0:v>
      </ns0:c>
      <ns0:c r="O1746" s="7" t="n">
        <ns0:v>-100159.3467264011</ns0:v>
      </ns0:c>
      <ns0:c r="P1746" s="7" t="n">
        <ns0:v>-145807.7588264943</ns0:v>
      </ns0:c>
      <ns0:c r="Q1746" s="7" t="n">
        <ns0:v>-370401.4072268672</ns0:v>
      </ns0:c>
      <ns0:c r="R1746" s="7" t="n">
        <ns0:v>-1079479.176628172</ns0:v>
      </ns0:c>
    </ns0:row>
    <ns0:row r="1747" ht="24" customHeight="1">
      <ns0:c r="A1747" s="3" t="inlineStr">
        <ns0:is>
          <ns0:t>混在40/30/30</ns0:t>
        </ns0:is>
      </ns0:c>
      <ns0:c r="B1747" s="3" t="inlineStr">
        <ns0:is>
          <ns0:t>G2二段階</ns0:t>
        </ns0:is>
      </ns0:c>
      <ns0:c r="C1747" s="3" t="inlineStr">
        <ns0:is>
          <ns0:t>D</ns0:t>
        </ns0:is>
      </ns0:c>
      <ns0:c r="D1747" s="4" t="n">
        <ns0:v>2</ns0:v>
      </ns0:c>
      <ns0:c r="E1747" s="4" t="n">
        <ns0:v>1000</ns0:v>
      </ns0:c>
      <ns0:c r="F1747" s="6" t="n">
        <ns0:v>0.5</ns0:v>
      </ns0:c>
      <ns0:c r="G1747" s="4" t="n">
        <ns0:v>3</ns0:v>
      </ns0:c>
      <ns0:c r="H1747" s="7" t="n">
        <ns0:v>7322.855491258974</ns0:v>
      </ns0:c>
      <ns0:c r="I1747" s="7" t="n">
        <ns0:v>2998.31210587852</ns0:v>
      </ns0:c>
      <ns0:c r="J1747" s="7" t="n">
        <ns0:v>1499.15605293926</ns0:v>
      </ns0:c>
      <ns0:c r="K1747" s="7" t="n">
        <ns0:v>23</ns0:v>
      </ns0:c>
      <ns0:c r="L1747" s="7" t="n">
        <ns0:v>53</ns0:v>
      </ns0:c>
      <ns0:c r="M1747" s="7" t="n">
        <ns0:v>-23828.33582317078</ns0:v>
      </ns0:c>
      <ns0:c r="N1747" s="7" t="n">
        <ns0:v>17079.6511569173</ns0:v>
      </ns0:c>
      <ns0:c r="O1747" s="7" t="n">
        <ns0:v>64806.708345734</ns0:v>
      </ns0:c>
      <ns0:c r="P1747" s="7" t="n">
        <ns0:v>184124.3513177758</ns0:v>
      </ns0:c>
      <ns0:c r="Q1747" s="7" t="n">
        <ns0:v>619394.923205943</ns0:v>
      </ns0:c>
      <ns0:c r="R1747" s="7" t="n">
        <ns0:v>2219841.924814529</ns0:v>
      </ns0:c>
    </ns0:row>
    <ns0:row r="1748" ht="24" customHeight="1">
      <ns0:c r="A1748" s="3" t="inlineStr">
        <ns0:is>
          <ns0:t>混在40/30/30</ns0:t>
        </ns0:is>
      </ns0:c>
      <ns0:c r="B1748" s="3" t="inlineStr">
        <ns0:is>
          <ns0:t>G2二段階</ns0:t>
        </ns0:is>
      </ns0:c>
      <ns0:c r="C1748" s="3" t="inlineStr">
        <ns0:is>
          <ns0:t>D</ns0:t>
        </ns0:is>
      </ns0:c>
      <ns0:c r="D1748" s="4" t="n">
        <ns0:v>2</ns0:v>
      </ns0:c>
      <ns0:c r="E1748" s="4" t="n">
        <ns0:v>1500</ns0:v>
      </ns0:c>
      <ns0:c r="F1748" s="6" t="n">
        <ns0:v>0.3</ns0:v>
      </ns0:c>
      <ns0:c r="G1748" s="4" t="n">
        <ns0:v>0</ns0:v>
      </ns0:c>
      <ns0:c r="H1748" s="7" t="n">
        <ns0:v>7172.855491258974</ns0:v>
      </ns0:c>
      <ns0:c r="I1748" s="7" t="n">
        <ns0:v>2848.31210587852</ns0:v>
      </ns0:c>
      <ns0:c r="J1748" s="7" t="n">
        <ns0:v>854.4936317635558</ns0:v>
      </ns0:c>
      <ns0:c r="K1748" s="7" t="n">
        <ns0:v>12</ns0:v>
      </ns0:c>
      <ns0:c r="L1748" s="7" t="n">
        <ns0:v>20</ns0:v>
      </ns0:c>
      <ns0:c r="M1748" s="7" t="n">
        <ns0:v>-9044.001951056962</ns0:v>
      </ns0:c>
      <ns0:c r="N1748" s="7" t="n">
        <ns0:v>61432.65277325874</ns0:v>
      </ns0:c>
      <ns0:c r="O1748" s="7" t="n">
        <ns0:v>138728.3777063031</ns0:v>
      </ns0:c>
      <ns0:c r="P1748" s="7" t="n">
        <ns0:v>331967.690038914</ns0:v>
      </ns0:c>
      <ns0:c r="Q1748" s="7" t="n">
        <ns0:v>1062924.939369357</ns0:v>
      </ns0:c>
      <ns0:c r="R1748" s="7" t="n">
        <ns0:v>3698275.312025911</ns0:v>
      </ns0:c>
    </ns0:row>
    <ns0:row r="1749" ht="24" customHeight="1">
      <ns0:c r="A1749" s="3" t="inlineStr">
        <ns0:is>
          <ns0:t>混在40/30/30</ns0:t>
        </ns0:is>
      </ns0:c>
      <ns0:c r="B1749" s="3" t="inlineStr">
        <ns0:is>
          <ns0:t>G2二段階</ns0:t>
        </ns0:is>
      </ns0:c>
      <ns0:c r="C1749" s="3" t="inlineStr">
        <ns0:is>
          <ns0:t>D</ns0:t>
        </ns0:is>
      </ns0:c>
      <ns0:c r="D1749" s="4" t="n">
        <ns0:v>2</ns0:v>
      </ns0:c>
      <ns0:c r="E1749" s="4" t="n">
        <ns0:v>1500</ns0:v>
      </ns0:c>
      <ns0:c r="F1749" s="6" t="n">
        <ns0:v>0.3</ns0:v>
      </ns0:c>
      <ns0:c r="G1749" s="4" t="n">
        <ns0:v>1</ns0:v>
      </ns0:c>
      <ns0:c r="H1749" s="7" t="n">
        <ns0:v>7172.855491258974</ns0:v>
      </ns0:c>
      <ns0:c r="I1749" s="7" t="n">
        <ns0:v>2848.31210587852</ns0:v>
      </ns0:c>
      <ns0:c r="J1749" s="7" t="n">
        <ns0:v>854.4936317635558</ns0:v>
      </ns0:c>
      <ns0:c r="K1749" s="7" t="n">
        <ns0:v>13</ns0:v>
      </ns0:c>
      <ns0:c r="L1749" s="7" t="n">
        <ns0:v>24</ns0:v>
      </ns0:c>
      <ns0:c r="M1749" s="7" t="n">
        <ns0:v>-12248.55727726186</ns0:v>
      </ns0:c>
      <ns0:c r="N1749" s="7" t="n">
        <ns0:v>51818.98679464403</ns0:v>
      </ns0:c>
      <ns0:c r="O1749" s="7" t="n">
        <ns0:v>122705.6010752786</ns0:v>
      </ns0:c>
      <ns0:c r="P1749" s="7" t="n">
        <ns0:v>299922.136776865</ns0:v>
      </ns0:c>
      <ns0:c r="Q1749" s="7" t="n">
        <ns0:v>966788.2795832102</ns0:v>
      </ns0:c>
      <ns0:c r="R1749" s="7" t="n">
        <ns0:v>3377819.779405421</ns0:v>
      </ns0:c>
    </ns0:row>
    <ns0:row r="1750" ht="24" customHeight="1">
      <ns0:c r="A1750" s="3" t="inlineStr">
        <ns0:is>
          <ns0:t>混在40/30/30</ns0:t>
        </ns0:is>
      </ns0:c>
      <ns0:c r="B1750" s="3" t="inlineStr">
        <ns0:is>
          <ns0:t>G2二段階</ns0:t>
        </ns0:is>
      </ns0:c>
      <ns0:c r="C1750" s="3" t="inlineStr">
        <ns0:is>
          <ns0:t>D</ns0:t>
        </ns0:is>
      </ns0:c>
      <ns0:c r="D1750" s="4" t="n">
        <ns0:v>2</ns0:v>
      </ns0:c>
      <ns0:c r="E1750" s="4" t="n">
        <ns0:v>1500</ns0:v>
      </ns0:c>
      <ns0:c r="F1750" s="6" t="n">
        <ns0:v>0.3</ns0:v>
      </ns0:c>
      <ns0:c r="G1750" s="4" t="n">
        <ns0:v>2</ns0:v>
      </ns0:c>
      <ns0:c r="H1750" s="7" t="n">
        <ns0:v>7172.855491258974</ns0:v>
      </ns0:c>
      <ns0:c r="I1750" s="7" t="n">
        <ns0:v>2848.31210587852</ns0:v>
      </ns0:c>
      <ns0:c r="J1750" s="7" t="n">
        <ns0:v>854.4936317635558</ns0:v>
      </ns0:c>
      <ns0:c r="K1750" s="18" t="inlineStr">
        <ns0:is>
          <ns0:t>範囲内なし</ns0:t>
        </ns0:is>
      </ns0:c>
      <ns0:c r="L1750" s="18" t="inlineStr">
        <ns0:is>
          <ns0:t>範囲内なし</ns0:t>
        </ns0:is>
      </ns0:c>
      <ns0:c r="M1750" s="7" t="n">
        <ns0:v>-51820.92262584075</ns0:v>
      </ns0:c>
      <ns0:c r="N1750" s="7" t="n">
        <ns0:v>-66898.10925109264</ns0:v>
      </ns0:c>
      <ns0:c r="O1750" s="7" t="n">
        <ns0:v>-75156.22566761583</ns0:v>
      </ns0:c>
      <ns0:c r="P1750" s="7" t="n">
        <ns0:v>-95801.51670892385</ns0:v>
      </ns0:c>
      <ns0:c r="Q1750" s="7" t="n">
        <ns0:v>-220382.6808741562</ns0:v>
      </ns0:c>
      <ns0:c r="R1750" s="7" t="n">
        <ns0:v>-579416.7554524681</ns0:v>
      </ns0:c>
    </ns0:row>
    <ns0:row r="1751" ht="24" customHeight="1">
      <ns0:c r="A1751" s="3" t="inlineStr">
        <ns0:is>
          <ns0:t>混在40/30/30</ns0:t>
        </ns0:is>
      </ns0:c>
      <ns0:c r="B1751" s="3" t="inlineStr">
        <ns0:is>
          <ns0:t>G2二段階</ns0:t>
        </ns0:is>
      </ns0:c>
      <ns0:c r="C1751" s="3" t="inlineStr">
        <ns0:is>
          <ns0:t>D</ns0:t>
        </ns0:is>
      </ns0:c>
      <ns0:c r="D1751" s="4" t="n">
        <ns0:v>2</ns0:v>
      </ns0:c>
      <ns0:c r="E1751" s="4" t="n">
        <ns0:v>1500</ns0:v>
      </ns0:c>
      <ns0:c r="F1751" s="6" t="n">
        <ns0:v>0.3</ns0:v>
      </ns0:c>
      <ns0:c r="G1751" s="4" t="n">
        <ns0:v>3</ns0:v>
      </ns0:c>
      <ns0:c r="H1751" s="7" t="n">
        <ns0:v>7172.855491258974</ns0:v>
      </ns0:c>
      <ns0:c r="I1751" s="7" t="n">
        <ns0:v>2848.31210587852</ns0:v>
      </ns0:c>
      <ns0:c r="J1751" s="7" t="n">
        <ns0:v>854.4936317635558</ns0:v>
      </ns0:c>
      <ns0:c r="K1751" s="7" t="n">
        <ns0:v>19</ns0:v>
      </ns0:c>
      <ns0:c r="L1751" s="7" t="n">
        <ns0:v>43</ns0:v>
      </ns0:c>
      <ns0:c r="M1751" s="7" t="n">
        <ns0:v>-18827.71161141374</ns0:v>
      </ns0:c>
      <ns0:c r="N1751" s="7" t="n">
        <ns0:v>32081.5237921884</ns0:v>
      </ns0:c>
      <ns0:c r="O1751" s="7" t="n">
        <ns0:v>89809.82940451923</ns0:v>
      </ns0:c>
      <ns0:c r="P1751" s="7" t="n">
        <ns0:v>234130.5934353462</ns0:v>
      </ns0:c>
      <ns0:c r="Q1751" s="7" t="n">
        <ns0:v>769413.6495586539</ns0:v>
      </ns0:c>
      <ns0:c r="R1751" s="7" t="n">
        <ns0:v>2719904.345990233</ns0:v>
      </ns0:c>
    </ns0:row>
    <ns0:row r="1752" ht="24" customHeight="1">
      <ns0:c r="A1752" s="3" t="inlineStr">
        <ns0:is>
          <ns0:t>混在40/30/30</ns0:t>
        </ns0:is>
      </ns0:c>
      <ns0:c r="B1752" s="3" t="inlineStr">
        <ns0:is>
          <ns0:t>G2二段階</ns0:t>
        </ns0:is>
      </ns0:c>
      <ns0:c r="C1752" s="3" t="inlineStr">
        <ns0:is>
          <ns0:t>D</ns0:t>
        </ns0:is>
      </ns0:c>
      <ns0:c r="D1752" s="4" t="n">
        <ns0:v>2</ns0:v>
      </ns0:c>
      <ns0:c r="E1752" s="4" t="n">
        <ns0:v>1500</ns0:v>
      </ns0:c>
      <ns0:c r="F1752" s="6" t="n">
        <ns0:v>0.4</ns0:v>
      </ns0:c>
      <ns0:c r="G1752" s="4" t="n">
        <ns0:v>0</ns0:v>
      </ns0:c>
      <ns0:c r="H1752" s="7" t="n">
        <ns0:v>7172.855491258974</ns0:v>
      </ns0:c>
      <ns0:c r="I1752" s="7" t="n">
        <ns0:v>2848.31210587852</ns0:v>
      </ns0:c>
      <ns0:c r="J1752" s="7" t="n">
        <ns0:v>1139.324842351408</ns0:v>
      </ns0:c>
      <ns0:c r="K1752" s="7" t="n">
        <ns0:v>13</ns0:v>
      </ns0:c>
      <ns0:c r="L1752" s="7" t="n">
        <ns0:v>21</ns0:v>
      </ns0:c>
      <ns0:c r="M1752" s="7" t="n">
        <ns0:v>-11892.31405693548</ns0:v>
      </ns0:c>
      <ns0:c r="N1752" s="7" t="n">
        <ns0:v>52887.71645562317</ns0:v>
      </ns0:c>
      <ns0:c r="O1752" s="7" t="n">
        <ns0:v>124486.8171769105</ns0:v>
      </ns0:c>
      <ns0:c r="P1752" s="7" t="n">
        <ns0:v>303484.5689801288</ns0:v>
      </ns0:c>
      <ns0:c r="Q1752" s="7" t="n">
        <ns0:v>977475.5761930021</ns0:v>
      </ns0:c>
      <ns0:c r="R1752" s="7" t="n">
        <ns0:v>3413444.101438059</ns0:v>
      </ns0:c>
    </ns0:row>
    <ns0:row r="1753" ht="24" customHeight="1">
      <ns0:c r="A1753" s="3" t="inlineStr">
        <ns0:is>
          <ns0:t>混在40/30/30</ns0:t>
        </ns0:is>
      </ns0:c>
      <ns0:c r="B1753" s="3" t="inlineStr">
        <ns0:is>
          <ns0:t>G2二段階</ns0:t>
        </ns0:is>
      </ns0:c>
      <ns0:c r="C1753" s="3" t="inlineStr">
        <ns0:is>
          <ns0:t>D</ns0:t>
        </ns0:is>
      </ns0:c>
      <ns0:c r="D1753" s="4" t="n">
        <ns0:v>2</ns0:v>
      </ns0:c>
      <ns0:c r="E1753" s="4" t="n">
        <ns0:v>1500</ns0:v>
      </ns0:c>
      <ns0:c r="F1753" s="6" t="n">
        <ns0:v>0.4</ns0:v>
      </ns0:c>
      <ns0:c r="G1753" s="4" t="n">
        <ns0:v>1</ns0:v>
      </ns0:c>
      <ns0:c r="H1753" s="7" t="n">
        <ns0:v>7172.855491258974</ns0:v>
      </ns0:c>
      <ns0:c r="I1753" s="7" t="n">
        <ns0:v>2848.31210587852</ns0:v>
      </ns0:c>
      <ns0:c r="J1753" s="7" t="n">
        <ns0:v>1139.324842351408</ns0:v>
      </ns0:c>
      <ns0:c r="K1753" s="7" t="n">
        <ns0:v>16</ns0:v>
      </ns0:c>
      <ns0:c r="L1753" s="7" t="n">
        <ns0:v>26</ns0:v>
      </ns0:c>
      <ns0:c r="M1753" s="7" t="n">
        <ns0:v>-15096.86938314038</ns0:v>
      </ns0:c>
      <ns0:c r="N1753" s="7" t="n">
        <ns0:v>43274.05047700846</ns0:v>
      </ns0:c>
      <ns0:c r="O1753" s="7" t="n">
        <ns0:v>108464.040545886</ns0:v>
      </ns0:c>
      <ns0:c r="P1753" s="7" t="n">
        <ns0:v>271439.0157180798</ns0:v>
      </ns0:c>
      <ns0:c r="Q1753" s="7" t="n">
        <ns0:v>881338.916406855</ns0:v>
      </ns0:c>
      <ns0:c r="R1753" s="7" t="n">
        <ns0:v>3092988.568817568</ns0:v>
      </ns0:c>
    </ns0:row>
    <ns0:row r="1754" ht="24" customHeight="1">
      <ns0:c r="A1754" s="3" t="inlineStr">
        <ns0:is>
          <ns0:t>混在40/30/30</ns0:t>
        </ns0:is>
      </ns0:c>
      <ns0:c r="B1754" s="3" t="inlineStr">
        <ns0:is>
          <ns0:t>G2二段階</ns0:t>
        </ns0:is>
      </ns0:c>
      <ns0:c r="C1754" s="3" t="inlineStr">
        <ns0:is>
          <ns0:t>D</ns0:t>
        </ns0:is>
      </ns0:c>
      <ns0:c r="D1754" s="4" t="n">
        <ns0:v>2</ns0:v>
      </ns0:c>
      <ns0:c r="E1754" s="4" t="n">
        <ns0:v>1500</ns0:v>
      </ns0:c>
      <ns0:c r="F1754" s="6" t="n">
        <ns0:v>0.4</ns0:v>
      </ns0:c>
      <ns0:c r="G1754" s="4" t="n">
        <ns0:v>2</ns0:v>
      </ns0:c>
      <ns0:c r="H1754" s="7" t="n">
        <ns0:v>7172.855491258974</ns0:v>
      </ns0:c>
      <ns0:c r="I1754" s="7" t="n">
        <ns0:v>2848.31210587852</ns0:v>
      </ns0:c>
      <ns0:c r="J1754" s="7" t="n">
        <ns0:v>1139.324842351408</ns0:v>
      </ns0:c>
      <ns0:c r="K1754" s="18" t="inlineStr">
        <ns0:is>
          <ns0:t>範囲内なし</ns0:t>
        </ns0:is>
      </ns0:c>
      <ns0:c r="L1754" s="18" t="inlineStr">
        <ns0:is>
          <ns0:t>範囲内なし</ns0:t>
        </ns0:is>
      </ns0:c>
      <ns0:c r="M1754" s="7" t="n">
        <ns0:v>-54669.23473171927</ns0:v>
      </ns0:c>
      <ns0:c r="N1754" s="7" t="n">
        <ns0:v>-75443.04556872821</ns0:v>
      </ns0:c>
      <ns0:c r="O1754" s="7" t="n">
        <ns0:v>-89397.78619700845</ns0:v>
      </ns0:c>
      <ns0:c r="P1754" s="7" t="n">
        <ns0:v>-124284.6377677091</ns0:v>
      </ns0:c>
      <ns0:c r="Q1754" s="7" t="n">
        <ns0:v>-305832.0440505116</ns0:v>
      </ns0:c>
      <ns0:c r="R1754" s="7" t="n">
        <ns0:v>-864247.9660403202</ns0:v>
      </ns0:c>
    </ns0:row>
    <ns0:row r="1755" ht="24" customHeight="1">
      <ns0:c r="A1755" s="3" t="inlineStr">
        <ns0:is>
          <ns0:t>混在40/30/30</ns0:t>
        </ns0:is>
      </ns0:c>
      <ns0:c r="B1755" s="3" t="inlineStr">
        <ns0:is>
          <ns0:t>G2二段階</ns0:t>
        </ns0:is>
      </ns0:c>
      <ns0:c r="C1755" s="3" t="inlineStr">
        <ns0:is>
          <ns0:t>D</ns0:t>
        </ns0:is>
      </ns0:c>
      <ns0:c r="D1755" s="4" t="n">
        <ns0:v>2</ns0:v>
      </ns0:c>
      <ns0:c r="E1755" s="4" t="n">
        <ns0:v>1500</ns0:v>
      </ns0:c>
      <ns0:c r="F1755" s="6" t="n">
        <ns0:v>0.4</ns0:v>
      </ns0:c>
      <ns0:c r="G1755" s="4" t="n">
        <ns0:v>3</ns0:v>
      </ns0:c>
      <ns0:c r="H1755" s="7" t="n">
        <ns0:v>7172.855491258974</ns0:v>
      </ns0:c>
      <ns0:c r="I1755" s="7" t="n">
        <ns0:v>2848.31210587852</ns0:v>
      </ns0:c>
      <ns0:c r="J1755" s="7" t="n">
        <ns0:v>1139.324842351408</ns0:v>
      </ns0:c>
      <ns0:c r="K1755" s="7" t="n">
        <ns0:v>21</ns0:v>
      </ns0:c>
      <ns0:c r="L1755" s="7" t="n">
        <ns0:v>48</ns0:v>
      </ns0:c>
      <ns0:c r="M1755" s="7" t="n">
        <ns0:v>-21676.02371729226</ns0:v>
      </ns0:c>
      <ns0:c r="N1755" s="7" t="n">
        <ns0:v>23536.58747455283</ns0:v>
      </ns0:c>
      <ns0:c r="O1755" s="7" t="n">
        <ns0:v>75568.26887512661</ns0:v>
      </ns0:c>
      <ns0:c r="P1755" s="7" t="n">
        <ns0:v>205647.472376561</ns0:v>
      </ns0:c>
      <ns0:c r="Q1755" s="7" t="n">
        <ns0:v>683964.2863822986</ns0:v>
      </ns0:c>
      <ns0:c r="R1755" s="7" t="n">
        <ns0:v>2435073.13540238</ns0:v>
      </ns0:c>
    </ns0:row>
    <ns0:row r="1756" ht="24" customHeight="1">
      <ns0:c r="A1756" s="3" t="inlineStr">
        <ns0:is>
          <ns0:t>混在40/30/30</ns0:t>
        </ns0:is>
      </ns0:c>
      <ns0:c r="B1756" s="3" t="inlineStr">
        <ns0:is>
          <ns0:t>G2二段階</ns0:t>
        </ns0:is>
      </ns0:c>
      <ns0:c r="C1756" s="3" t="inlineStr">
        <ns0:is>
          <ns0:t>D</ns0:t>
        </ns0:is>
      </ns0:c>
      <ns0:c r="D1756" s="4" t="n">
        <ns0:v>2</ns0:v>
      </ns0:c>
      <ns0:c r="E1756" s="4" t="n">
        <ns0:v>1500</ns0:v>
      </ns0:c>
      <ns0:c r="F1756" s="6" t="n">
        <ns0:v>0.5</ns0:v>
      </ns0:c>
      <ns0:c r="G1756" s="4" t="n">
        <ns0:v>0</ns0:v>
      </ns0:c>
      <ns0:c r="H1756" s="7" t="n">
        <ns0:v>7172.855491258974</ns0:v>
      </ns0:c>
      <ns0:c r="I1756" s="7" t="n">
        <ns0:v>2848.31210587852</ns0:v>
      </ns0:c>
      <ns0:c r="J1756" s="7" t="n">
        <ns0:v>1424.15605293926</ns0:v>
      </ns0:c>
      <ns0:c r="K1756" s="7" t="n">
        <ns0:v>16</ns0:v>
      </ns0:c>
      <ns0:c r="L1756" s="7" t="n">
        <ns0:v>22</ns0:v>
      </ns0:c>
      <ns0:c r="M1756" s="7" t="n">
        <ns0:v>-14740.626162814</ns0:v>
      </ns0:c>
      <ns0:c r="N1756" s="7" t="n">
        <ns0:v>44342.78013798761</ns0:v>
      </ns0:c>
      <ns0:c r="O1756" s="7" t="n">
        <ns0:v>110245.2566475179</ns0:v>
      </ns0:c>
      <ns0:c r="P1756" s="7" t="n">
        <ns0:v>275001.4479213437</ns0:v>
      </ns0:c>
      <ns0:c r="Q1756" s="7" t="n">
        <ns0:v>892026.2130166464</ns0:v>
      </ns0:c>
      <ns0:c r="R1756" s="7" t="n">
        <ns0:v>3128612.890850207</ns0:v>
      </ns0:c>
    </ns0:row>
    <ns0:row r="1757" ht="24" customHeight="1">
      <ns0:c r="A1757" s="3" t="inlineStr">
        <ns0:is>
          <ns0:t>混在40/30/30</ns0:t>
        </ns0:is>
      </ns0:c>
      <ns0:c r="B1757" s="3" t="inlineStr">
        <ns0:is>
          <ns0:t>G2二段階</ns0:t>
        </ns0:is>
      </ns0:c>
      <ns0:c r="C1757" s="3" t="inlineStr">
        <ns0:is>
          <ns0:t>D</ns0:t>
        </ns0:is>
      </ns0:c>
      <ns0:c r="D1757" s="4" t="n">
        <ns0:v>2</ns0:v>
      </ns0:c>
      <ns0:c r="E1757" s="4" t="n">
        <ns0:v>1500</ns0:v>
      </ns0:c>
      <ns0:c r="F1757" s="6" t="n">
        <ns0:v>0.5</ns0:v>
      </ns0:c>
      <ns0:c r="G1757" s="4" t="n">
        <ns0:v>1</ns0:v>
      </ns0:c>
      <ns0:c r="H1757" s="7" t="n">
        <ns0:v>7172.855491258974</ns0:v>
      </ns0:c>
      <ns0:c r="I1757" s="7" t="n">
        <ns0:v>2848.31210587852</ns0:v>
      </ns0:c>
      <ns0:c r="J1757" s="7" t="n">
        <ns0:v>1424.15605293926</ns0:v>
      </ns0:c>
      <ns0:c r="K1757" s="7" t="n">
        <ns0:v>19</ns0:v>
      </ns0:c>
      <ns0:c r="L1757" s="7" t="n">
        <ns0:v>27</ns0:v>
      </ns0:c>
      <ns0:c r="M1757" s="7" t="n">
        <ns0:v>-17945.1814890189</ns0:v>
      </ns0:c>
      <ns0:c r="N1757" s="7" t="n">
        <ns0:v>34729.1141593729</ns0:v>
      </ns0:c>
      <ns0:c r="O1757" s="7" t="n">
        <ns0:v>94222.48001649341</ns0:v>
      </ns0:c>
      <ns0:c r="P1757" s="7" t="n">
        <ns0:v>242955.8946592946</ns0:v>
      </ns0:c>
      <ns0:c r="Q1757" s="7" t="n">
        <ns0:v>795889.5532304993</ns0:v>
      </ns0:c>
      <ns0:c r="R1757" s="7" t="n">
        <ns0:v>2808157.358229717</ns0:v>
      </ns0:c>
    </ns0:row>
    <ns0:row r="1758" ht="24" customHeight="1">
      <ns0:c r="A1758" s="3" t="inlineStr">
        <ns0:is>
          <ns0:t>混在40/30/30</ns0:t>
        </ns0:is>
      </ns0:c>
      <ns0:c r="B1758" s="3" t="inlineStr">
        <ns0:is>
          <ns0:t>G2二段階</ns0:t>
        </ns0:is>
      </ns0:c>
      <ns0:c r="C1758" s="3" t="inlineStr">
        <ns0:is>
          <ns0:t>D</ns0:t>
        </ns0:is>
      </ns0:c>
      <ns0:c r="D1758" s="4" t="n">
        <ns0:v>2</ns0:v>
      </ns0:c>
      <ns0:c r="E1758" s="4" t="n">
        <ns0:v>1500</ns0:v>
      </ns0:c>
      <ns0:c r="F1758" s="6" t="n">
        <ns0:v>0.5</ns0:v>
      </ns0:c>
      <ns0:c r="G1758" s="4" t="n">
        <ns0:v>2</ns0:v>
      </ns0:c>
      <ns0:c r="H1758" s="7" t="n">
        <ns0:v>7172.855491258974</ns0:v>
      </ns0:c>
      <ns0:c r="I1758" s="7" t="n">
        <ns0:v>2848.31210587852</ns0:v>
      </ns0:c>
      <ns0:c r="J1758" s="7" t="n">
        <ns0:v>1424.15605293926</ns0:v>
      </ns0:c>
      <ns0:c r="K1758" s="18" t="inlineStr">
        <ns0:is>
          <ns0:t>範囲内なし</ns0:t>
        </ns0:is>
      </ns0:c>
      <ns0:c r="L1758" s="18" t="inlineStr">
        <ns0:is>
          <ns0:t>範囲内なし</ns0:t>
        </ns0:is>
      </ns0:c>
      <ns0:c r="M1758" s="7" t="n">
        <ns0:v>-57517.54683759779</ns0:v>
      </ns0:c>
      <ns0:c r="N1758" s="7" t="n">
        <ns0:v>-83987.98188636376</ns0:v>
      </ns0:c>
      <ns0:c r="O1758" s="7" t="n">
        <ns0:v>-103639.346726401</ns0:v>
      </ns0:c>
      <ns0:c r="P1758" s="7" t="n">
        <ns0:v>-152767.7588264942</ns0:v>
      </ns0:c>
      <ns0:c r="Q1758" s="7" t="n">
        <ns0:v>-391281.4072268672</ns0:v>
      </ns0:c>
      <ns0:c r="R1758" s="7" t="n">
        <ns0:v>-1149079.176628172</ns0:v>
      </ns0:c>
    </ns0:row>
    <ns0:row r="1759" ht="24" customHeight="1">
      <ns0:c r="A1759" s="3" t="inlineStr">
        <ns0:is>
          <ns0:t>混在40/30/30</ns0:t>
        </ns0:is>
      </ns0:c>
      <ns0:c r="B1759" s="3" t="inlineStr">
        <ns0:is>
          <ns0:t>G2二段階</ns0:t>
        </ns0:is>
      </ns0:c>
      <ns0:c r="C1759" s="3" t="inlineStr">
        <ns0:is>
          <ns0:t>D</ns0:t>
        </ns0:is>
      </ns0:c>
      <ns0:c r="D1759" s="4" t="n">
        <ns0:v>2</ns0:v>
      </ns0:c>
      <ns0:c r="E1759" s="4" t="n">
        <ns0:v>1500</ns0:v>
      </ns0:c>
      <ns0:c r="F1759" s="6" t="n">
        <ns0:v>0.5</ns0:v>
      </ns0:c>
      <ns0:c r="G1759" s="4" t="n">
        <ns0:v>3</ns0:v>
      </ns0:c>
      <ns0:c r="H1759" s="7" t="n">
        <ns0:v>7172.855491258974</ns0:v>
      </ns0:c>
      <ns0:c r="I1759" s="7" t="n">
        <ns0:v>2848.31210587852</ns0:v>
      </ns0:c>
      <ns0:c r="J1759" s="7" t="n">
        <ns0:v>1424.15605293926</ns0:v>
      </ns0:c>
      <ns0:c r="K1759" s="7" t="n">
        <ns0:v>24</ns0:v>
      </ns0:c>
      <ns0:c r="L1759" s="7" t="n">
        <ns0:v>55</ns0:v>
      </ns0:c>
      <ns0:c r="M1759" s="7" t="n">
        <ns0:v>-24524.33582317078</ns0:v>
      </ns0:c>
      <ns0:c r="N1759" s="7" t="n">
        <ns0:v>14991.65115691727</ns0:v>
      </ns0:c>
      <ns0:c r="O1759" s="7" t="n">
        <ns0:v>61326.70834573404</ns0:v>
      </ns0:c>
      <ns0:c r="P1759" s="7" t="n">
        <ns0:v>177164.3513177759</ns0:v>
      </ns0:c>
      <ns0:c r="Q1759" s="7" t="n">
        <ns0:v>598514.923205943</ns0:v>
      </ns0:c>
      <ns0:c r="R1759" s="7" t="n">
        <ns0:v>2150241.924814529</ns0:v>
      </ns0:c>
    </ns0:row>
    <ns0:row r="1760" ht="24" customHeight="1">
      <ns0:c r="A1760" s="3" t="inlineStr">
        <ns0:is>
          <ns0:t>混在40/30/30</ns0:t>
        </ns0:is>
      </ns0:c>
      <ns0:c r="B1760" s="3" t="inlineStr">
        <ns0:is>
          <ns0:t>G3三段階</ns0:t>
        </ns0:is>
      </ns0:c>
      <ns0:c r="C1760" s="3" t="inlineStr">
        <ns0:is>
          <ns0:t>A</ns0:t>
        </ns0:is>
      </ns0:c>
      <ns0:c r="D1760" s="4" t="n">
        <ns0:v>0</ns0:v>
      </ns0:c>
      <ns0:c r="E1760" s="4" t="n">
        <ns0:v>500</ns0:v>
      </ns0:c>
      <ns0:c r="F1760" s="6" t="n">
        <ns0:v>0.3</ns0:v>
      </ns0:c>
      <ns0:c r="G1760" s="4" t="n">
        <ns0:v>0</ns0:v>
      </ns0:c>
      <ns0:c r="H1760" s="7" t="n">
        <ns0:v>4197.403465581978</ns0:v>
      </ns0:c>
      <ns0:c r="I1760" s="7" t="n">
        <ns0:v>2489.788141426784</ns0:v>
      </ns0:c>
      <ns0:c r="J1760" s="7" t="n">
        <ns0:v>746.9364424280351</ns0:v>
      </ns0:c>
      <ns0:c r="K1760" s="7" t="n">
        <ns0:v>29</ns0:v>
      </ns0:c>
      <ns0:c r="L1760" s="7" t="n">
        <ns0:v>53</ns0:v>
      </ns0:c>
      <ns0:c r="M1760" s="7" t="n">
        <ns0:v>-35620.87584726796</ns0:v>
      </ns0:c>
      <ns0:c r="N1760" s="7" t="n">
        <ns0:v>3659.241710811726</ns0:v>
      </ns0:c>
      <ns0:c r="O1760" s="7" t="n">
        <ns0:v>45059.38430018053</ns0:v>
      </ns0:c>
      <ns0:c r="P1760" s="7" t="n">
        <ns0:v>144629.7032266688</ns0:v>
      </ns0:c>
      <ns0:c r="Q1760" s="7" t="n">
        <ns0:v>500910.9789326221</ns0:v>
      </ns0:c>
      <ns0:c r="R1760" s="7" t="n">
        <ns0:v>1824895.443903458</ns0:v>
      </ns0:c>
    </ns0:row>
    <ns0:row r="1761" ht="24" customHeight="1">
      <ns0:c r="A1761" s="3" t="inlineStr">
        <ns0:is>
          <ns0:t>混在40/30/30</ns0:t>
        </ns0:is>
      </ns0:c>
      <ns0:c r="B1761" s="3" t="inlineStr">
        <ns0:is>
          <ns0:t>G3三段階</ns0:t>
        </ns0:is>
      </ns0:c>
      <ns0:c r="C1761" s="3" t="inlineStr">
        <ns0:is>
          <ns0:t>A</ns0:t>
        </ns0:is>
      </ns0:c>
      <ns0:c r="D1761" s="4" t="n">
        <ns0:v>0</ns0:v>
      </ns0:c>
      <ns0:c r="E1761" s="4" t="n">
        <ns0:v>500</ns0:v>
      </ns0:c>
      <ns0:c r="F1761" s="6" t="n">
        <ns0:v>0.3</ns0:v>
      </ns0:c>
      <ns0:c r="G1761" s="4" t="n">
        <ns0:v>1</ns0:v>
      </ns0:c>
      <ns0:c r="H1761" s="7" t="n">
        <ns0:v>4197.403465581978</ns0:v>
      </ns0:c>
      <ns0:c r="I1761" s="7" t="n">
        <ns0:v>2489.788141426784</ns0:v>
      </ns0:c>
      <ns0:c r="J1761" s="7" t="n">
        <ns0:v>746.9364424280351</ns0:v>
      </ns0:c>
      <ns0:c r="K1761" s="7" t="n">
        <ns0:v>32</ns0:v>
      </ns0:c>
      <ns0:c r="L1761" s="7" t="n">
        <ns0:v>80</ns0:v>
      </ns0:c>
      <ns0:c r="M1761" s="7" t="n">
        <ns0:v>-37840.41965913327</ns0:v>
      </ns0:c>
      <ns0:c r="N1761" s="7" t="n">
        <ns0:v>-2999.389724784211</ns0:v>
      </ns0:c>
      <ns0:c r="O1761" s="7" t="n">
        <ns0:v>33961.66524085397</ns0:v>
      </ns0:c>
      <ns0:c r="P1761" s="7" t="n">
        <ns0:v>122434.2651080157</ns0:v>
      </ns0:c>
      <ns0:c r="Q1761" s="7" t="n">
        <ns0:v>434324.6645766628</ns0:v>
      </ns0:c>
      <ns0:c r="R1761" s="7" t="n">
        <ns0:v>1602941.062716927</ns0:v>
      </ns0:c>
    </ns0:row>
    <ns0:row r="1762" ht="24" customHeight="1">
      <ns0:c r="A1762" s="3" t="inlineStr">
        <ns0:is>
          <ns0:t>混在40/30/30</ns0:t>
        </ns0:is>
      </ns0:c>
      <ns0:c r="B1762" s="3" t="inlineStr">
        <ns0:is>
          <ns0:t>G3三段階</ns0:t>
        </ns0:is>
      </ns0:c>
      <ns0:c r="C1762" s="3" t="inlineStr">
        <ns0:is>
          <ns0:t>A</ns0:t>
        </ns0:is>
      </ns0:c>
      <ns0:c r="D1762" s="4" t="n">
        <ns0:v>0</ns0:v>
      </ns0:c>
      <ns0:c r="E1762" s="4" t="n">
        <ns0:v>500</ns0:v>
      </ns0:c>
      <ns0:c r="F1762" s="6" t="n">
        <ns0:v>0.3</ns0:v>
      </ns0:c>
      <ns0:c r="G1762" s="4" t="n">
        <ns0:v>2</ns0:v>
      </ns0:c>
      <ns0:c r="H1762" s="7" t="n">
        <ns0:v>4197.403465581978</ns0:v>
      </ns0:c>
      <ns0:c r="I1762" s="7" t="n">
        <ns0:v>2489.788141426784</ns0:v>
      </ns0:c>
      <ns0:c r="J1762" s="7" t="n">
        <ns0:v>746.9364424280351</ns0:v>
      </ns0:c>
      <ns0:c r="K1762" s="7" t="n">
        <ns0:v>84</ns0:v>
      </ns0:c>
      <ns0:c r="L1762" s="18" t="inlineStr">
        <ns0:is>
          <ns0:t>範囲内なし</ns0:t>
        </ns0:is>
      </ns0:c>
      <ns0:c r="M1762" s="7" t="n">
        <ns0:v>-48978.07594616521</ns0:v>
      </ns0:c>
      <ns0:c r="N1762" s="7" t="n">
        <ns0:v>-36412.35858588004</ns0:v>
      </ns0:c>
      <ns0:c r="O1762" s="7" t="n">
        <ns0:v>-21726.61619430575</ns0:v>
      </ns0:c>
      <ns0:c r="P1762" s="7" t="n">
        <ns0:v>11057.7022376963</ns0:v>
      </ns0:c>
      <ns0:c r="Q1762" s="7" t="n">
        <ns0:v>100194.9759657044</ns0:v>
      </ns0:c>
      <ns0:c r="R1762" s="7" t="n">
        <ns0:v>489175.4340137325</ns0:v>
      </ns0:c>
    </ns0:row>
    <ns0:row r="1763" ht="24" customHeight="1">
      <ns0:c r="A1763" s="3" t="inlineStr">
        <ns0:is>
          <ns0:t>混在40/30/30</ns0:t>
        </ns0:is>
      </ns0:c>
      <ns0:c r="B1763" s="3" t="inlineStr">
        <ns0:is>
          <ns0:t>G3三段階</ns0:t>
        </ns0:is>
      </ns0:c>
      <ns0:c r="C1763" s="3" t="inlineStr">
        <ns0:is>
          <ns0:t>A</ns0:t>
        </ns0:is>
      </ns0:c>
      <ns0:c r="D1763" s="4" t="n">
        <ns0:v>0</ns0:v>
      </ns0:c>
      <ns0:c r="E1763" s="4" t="n">
        <ns0:v>500</ns0:v>
      </ns0:c>
      <ns0:c r="F1763" s="6" t="n">
        <ns0:v>0.3</ns0:v>
      </ns0:c>
      <ns0:c r="G1763" s="4" t="n">
        <ns0:v>3</ns0:v>
      </ns0:c>
      <ns0:c r="H1763" s="7" t="n">
        <ns0:v>4197.403465581978</ns0:v>
      </ns0:c>
      <ns0:c r="I1763" s="7" t="n">
        <ns0:v>2489.788141426784</ns0:v>
      </ns0:c>
      <ns0:c r="J1763" s="7" t="n">
        <ns0:v>746.9364424280351</ns0:v>
      </ns0:c>
      <ns0:c r="K1763" s="7" t="n">
        <ns0:v>44</ns0:v>
      </ns0:c>
      <ns0:c r="L1763" s="18" t="inlineStr">
        <ns0:is>
          <ns0:t>範囲内なし</ns0:t>
        </ns0:is>
      </ns0:c>
      <ns0:c r="M1763" s="7" t="n">
        <ns0:v>-42964.69062943983</ns0:v>
      </ns0:c>
      <ns0:c r="N1763" s="7" t="n">
        <ns0:v>-18372.20263570388</ns0:v>
      </ns0:c>
      <ns0:c r="O1763" s="7" t="n">
        <ns0:v>8340.310389321181</ns0:v>
      </ns0:c>
      <ns0:c r="P1763" s="7" t="n">
        <ns0:v>71191.55540495017</ns0:v>
      </ns0:c>
      <ns0:c r="Q1763" s="7" t="n">
        <ns0:v>280596.535467466</ns0:v>
      </ns0:c>
      <ns0:c r="R1763" s="7" t="n">
        <ns0:v>1090513.965686271</ns0:v>
      </ns0:c>
    </ns0:row>
    <ns0:row r="1764" ht="24" customHeight="1">
      <ns0:c r="A1764" s="3" t="inlineStr">
        <ns0:is>
          <ns0:t>混在40/30/30</ns0:t>
        </ns0:is>
      </ns0:c>
      <ns0:c r="B1764" s="3" t="inlineStr">
        <ns0:is>
          <ns0:t>G3三段階</ns0:t>
        </ns0:is>
      </ns0:c>
      <ns0:c r="C1764" s="3" t="inlineStr">
        <ns0:is>
          <ns0:t>A</ns0:t>
        </ns0:is>
      </ns0:c>
      <ns0:c r="D1764" s="4" t="n">
        <ns0:v>0</ns0:v>
      </ns0:c>
      <ns0:c r="E1764" s="4" t="n">
        <ns0:v>500</ns0:v>
      </ns0:c>
      <ns0:c r="F1764" s="6" t="n">
        <ns0:v>0.4</ns0:v>
      </ns0:c>
      <ns0:c r="G1764" s="4" t="n">
        <ns0:v>0</ns0:v>
      </ns0:c>
      <ns0:c r="H1764" s="7" t="n">
        <ns0:v>4197.403465581978</ns0:v>
      </ns0:c>
      <ns0:c r="I1764" s="7" t="n">
        <ns0:v>2489.788141426784</ns0:v>
      </ns0:c>
      <ns0:c r="J1764" s="7" t="n">
        <ns0:v>995.9152565707135</ns0:v>
      </ns0:c>
      <ns0:c r="K1764" s="7" t="n">
        <ns0:v>32</ns0:v>
      </ns0:c>
      <ns0:c r="L1764" s="7" t="n">
        <ns0:v>61</ns0:v>
      </ns0:c>
      <ns0:c r="M1764" s="7" t="n">
        <ns0:v>-38110.66398869474</ns0:v>
      </ns0:c>
      <ns0:c r="N1764" s="7" t="n">
        <ns0:v>-3810.122713468627</ns0:v>
      </ns0:c>
      <ns0:c r="O1764" s="7" t="n">
        <ns0:v>32610.44359304661</ns0:v>
      </ns0:c>
      <ns0:c r="P1764" s="7" t="n">
        <ns0:v>119731.821812401</ns0:v>
      </ns0:c>
      <ns0:c r="Q1764" s="7" t="n">
        <ns0:v>426217.3346898186</ns0:v>
      </ns0:c>
      <ns0:c r="R1764" s="7" t="n">
        <ns0:v>1575916.62976078</ns0:v>
      </ns0:c>
    </ns0:row>
    <ns0:row r="1765" ht="24" customHeight="1">
      <ns0:c r="A1765" s="3" t="inlineStr">
        <ns0:is>
          <ns0:t>混在40/30/30</ns0:t>
        </ns0:is>
      </ns0:c>
      <ns0:c r="B1765" s="3" t="inlineStr">
        <ns0:is>
          <ns0:t>G3三段階</ns0:t>
        </ns0:is>
      </ns0:c>
      <ns0:c r="C1765" s="3" t="inlineStr">
        <ns0:is>
          <ns0:t>A</ns0:t>
        </ns0:is>
      </ns0:c>
      <ns0:c r="D1765" s="4" t="n">
        <ns0:v>0</ns0:v>
      </ns0:c>
      <ns0:c r="E1765" s="4" t="n">
        <ns0:v>500</ns0:v>
      </ns0:c>
      <ns0:c r="F1765" s="6" t="n">
        <ns0:v>0.4</ns0:v>
      </ns0:c>
      <ns0:c r="G1765" s="4" t="n">
        <ns0:v>1</ns0:v>
      </ns0:c>
      <ns0:c r="H1765" s="7" t="n">
        <ns0:v>4197.403465581978</ns0:v>
      </ns0:c>
      <ns0:c r="I1765" s="7" t="n">
        <ns0:v>2489.788141426784</ns0:v>
      </ns0:c>
      <ns0:c r="J1765" s="7" t="n">
        <ns0:v>995.9152565707135</ns0:v>
      </ns0:c>
      <ns0:c r="K1765" s="7" t="n">
        <ns0:v>36</ns0:v>
      </ns0:c>
      <ns0:c r="L1765" s="7" t="n">
        <ns0:v>99</ns0:v>
      </ns0:c>
      <ns0:c r="M1765" s="7" t="n">
        <ns0:v>-40330.20780056006</ns0:v>
      </ns0:c>
      <ns0:c r="N1765" s="7" t="n">
        <ns0:v>-10468.75414906457</ns0:v>
      </ns0:c>
      <ns0:c r="O1765" s="7" t="n">
        <ns0:v>21512.72453372004</ns0:v>
      </ns0:c>
      <ns0:c r="P1765" s="7" t="n">
        <ns0:v>97536.38369374788</ns0:v>
      </ns0:c>
      <ns0:c r="Q1765" s="7" t="n">
        <ns0:v>359631.0203338592</ns0:v>
      </ns0:c>
      <ns0:c r="R1765" s="7" t="n">
        <ns0:v>1353962.248574249</ns0:v>
      </ns0:c>
    </ns0:row>
    <ns0:row r="1766" ht="24" customHeight="1">
      <ns0:c r="A1766" s="3" t="inlineStr">
        <ns0:is>
          <ns0:t>混在40/30/30</ns0:t>
        </ns0:is>
      </ns0:c>
      <ns0:c r="B1766" s="3" t="inlineStr">
        <ns0:is>
          <ns0:t>G3三段階</ns0:t>
        </ns0:is>
      </ns0:c>
      <ns0:c r="C1766" s="3" t="inlineStr">
        <ns0:is>
          <ns0:t>A</ns0:t>
        </ns0:is>
      </ns0:c>
      <ns0:c r="D1766" s="4" t="n">
        <ns0:v>0</ns0:v>
      </ns0:c>
      <ns0:c r="E1766" s="4" t="n">
        <ns0:v>500</ns0:v>
      </ns0:c>
      <ns0:c r="F1766" s="6" t="n">
        <ns0:v>0.4</ns0:v>
      </ns0:c>
      <ns0:c r="G1766" s="4" t="n">
        <ns0:v>2</ns0:v>
      </ns0:c>
      <ns0:c r="H1766" s="7" t="n">
        <ns0:v>4197.403465581978</ns0:v>
      </ns0:c>
      <ns0:c r="I1766" s="7" t="n">
        <ns0:v>2489.788141426784</ns0:v>
      </ns0:c>
      <ns0:c r="J1766" s="7" t="n">
        <ns0:v>995.9152565707135</ns0:v>
      </ns0:c>
      <ns0:c r="K1766" s="7" t="n">
        <ns0:v>238</ns0:v>
      </ns0:c>
      <ns0:c r="L1766" s="18" t="inlineStr">
        <ns0:is>
          <ns0:t>範囲内なし</ns0:t>
        </ns0:is>
      </ns0:c>
      <ns0:c r="M1766" s="7" t="n">
        <ns0:v>-51467.864087592</ns0:v>
      </ns0:c>
      <ns0:c r="N1766" s="7" t="n">
        <ns0:v>-43881.7230101604</ns0:v>
      </ns0:c>
      <ns0:c r="O1766" s="7" t="n">
        <ns0:v>-34175.55690143968</ns0:v>
      </ns0:c>
      <ns0:c r="P1766" s="7" t="n">
        <ns0:v>-13840.17917657155</ns0:v>
      </ns0:c>
      <ns0:c r="Q1766" s="7" t="n">
        <ns0:v>25501.33172290091</ns0:v>
      </ns0:c>
      <ns0:c r="R1766" s="7" t="n">
        <ns0:v>240196.6198710544</ns0:v>
      </ns0:c>
    </ns0:row>
    <ns0:row r="1767" ht="24" customHeight="1">
      <ns0:c r="A1767" s="3" t="inlineStr">
        <ns0:is>
          <ns0:t>混在40/30/30</ns0:t>
        </ns0:is>
      </ns0:c>
      <ns0:c r="B1767" s="3" t="inlineStr">
        <ns0:is>
          <ns0:t>G3三段階</ns0:t>
        </ns0:is>
      </ns0:c>
      <ns0:c r="C1767" s="3" t="inlineStr">
        <ns0:is>
          <ns0:t>A</ns0:t>
        </ns0:is>
      </ns0:c>
      <ns0:c r="D1767" s="4" t="n">
        <ns0:v>0</ns0:v>
      </ns0:c>
      <ns0:c r="E1767" s="4" t="n">
        <ns0:v>500</ns0:v>
      </ns0:c>
      <ns0:c r="F1767" s="6" t="n">
        <ns0:v>0.4</ns0:v>
      </ns0:c>
      <ns0:c r="G1767" s="4" t="n">
        <ns0:v>3</ns0:v>
      </ns0:c>
      <ns0:c r="H1767" s="7" t="n">
        <ns0:v>4197.403465581978</ns0:v>
      </ns0:c>
      <ns0:c r="I1767" s="7" t="n">
        <ns0:v>2489.788141426784</ns0:v>
      </ns0:c>
      <ns0:c r="J1767" s="7" t="n">
        <ns0:v>995.9152565707135</ns0:v>
      </ns0:c>
      <ns0:c r="K1767" s="7" t="n">
        <ns0:v>55</ns0:v>
      </ns0:c>
      <ns0:c r="L1767" s="18" t="inlineStr">
        <ns0:is>
          <ns0:t>範囲内なし</ns0:t>
        </ns0:is>
      </ns0:c>
      <ns0:c r="M1767" s="7" t="n">
        <ns0:v>-45454.47877086661</ns0:v>
      </ns0:c>
      <ns0:c r="N1767" s="7" t="n">
        <ns0:v>-25841.56705998423</ns0:v>
      </ns0:c>
      <ns0:c r="O1767" s="7" t="n">
        <ns0:v>-4108.630317812742</ns0:v>
      </ns0:c>
      <ns0:c r="P1767" s="7" t="n">
        <ns0:v>46293.67399068231</ns0:v>
      </ns0:c>
      <ns0:c r="Q1767" s="7" t="n">
        <ns0:v>205902.8912246625</ns0:v>
      </ns0:c>
      <ns0:c r="R1767" s="7" t="n">
        <ns0:v>841535.1515435932</ns0:v>
      </ns0:c>
    </ns0:row>
    <ns0:row r="1768" ht="24" customHeight="1">
      <ns0:c r="A1768" s="3" t="inlineStr">
        <ns0:is>
          <ns0:t>混在40/30/30</ns0:t>
        </ns0:is>
      </ns0:c>
      <ns0:c r="B1768" s="3" t="inlineStr">
        <ns0:is>
          <ns0:t>G3三段階</ns0:t>
        </ns0:is>
      </ns0:c>
      <ns0:c r="C1768" s="3" t="inlineStr">
        <ns0:is>
          <ns0:t>A</ns0:t>
        </ns0:is>
      </ns0:c>
      <ns0:c r="D1768" s="4" t="n">
        <ns0:v>0</ns0:v>
      </ns0:c>
      <ns0:c r="E1768" s="4" t="n">
        <ns0:v>500</ns0:v>
      </ns0:c>
      <ns0:c r="F1768" s="6" t="n">
        <ns0:v>0.5</ns0:v>
      </ns0:c>
      <ns0:c r="G1768" s="4" t="n">
        <ns0:v>0</ns0:v>
      </ns0:c>
      <ns0:c r="H1768" s="7" t="n">
        <ns0:v>4197.403465581978</ns0:v>
      </ns0:c>
      <ns0:c r="I1768" s="7" t="n">
        <ns0:v>2489.788141426784</ns0:v>
      </ns0:c>
      <ns0:c r="J1768" s="7" t="n">
        <ns0:v>1244.894070713392</ns0:v>
      </ns0:c>
      <ns0:c r="K1768" s="7" t="n">
        <ns0:v>37</ns0:v>
      </ns0:c>
      <ns0:c r="L1768" s="7" t="n">
        <ns0:v>71</ns0:v>
      </ns0:c>
      <ns0:c r="M1768" s="7" t="n">
        <ns0:v>-40600.45213012153</ns0:v>
      </ns0:c>
      <ns0:c r="N1768" s="7" t="n">
        <ns0:v>-11279.48713774899</ns0:v>
      </ns0:c>
      <ns0:c r="O1768" s="7" t="n">
        <ns0:v>20161.50288591269</ns0:v>
      </ns0:c>
      <ns0:c r="P1768" s="7" t="n">
        <ns0:v>94833.94039813319</ns0:v>
      </ns0:c>
      <ns0:c r="Q1768" s="7" t="n">
        <ns0:v>351523.690447015</ns0:v>
      </ns0:c>
      <ns0:c r="R1768" s="7" t="n">
        <ns0:v>1326937.815618102</ns0:v>
      </ns0:c>
    </ns0:row>
    <ns0:row r="1769" ht="24" customHeight="1">
      <ns0:c r="A1769" s="3" t="inlineStr">
        <ns0:is>
          <ns0:t>混在40/30/30</ns0:t>
        </ns0:is>
      </ns0:c>
      <ns0:c r="B1769" s="3" t="inlineStr">
        <ns0:is>
          <ns0:t>G3三段階</ns0:t>
        </ns0:is>
      </ns0:c>
      <ns0:c r="C1769" s="3" t="inlineStr">
        <ns0:is>
          <ns0:t>A</ns0:t>
        </ns0:is>
      </ns0:c>
      <ns0:c r="D1769" s="4" t="n">
        <ns0:v>0</ns0:v>
      </ns0:c>
      <ns0:c r="E1769" s="4" t="n">
        <ns0:v>500</ns0:v>
      </ns0:c>
      <ns0:c r="F1769" s="6" t="n">
        <ns0:v>0.5</ns0:v>
      </ns0:c>
      <ns0:c r="G1769" s="4" t="n">
        <ns0:v>1</ns0:v>
      </ns0:c>
      <ns0:c r="H1769" s="7" t="n">
        <ns0:v>4197.403465581978</ns0:v>
      </ns0:c>
      <ns0:c r="I1769" s="7" t="n">
        <ns0:v>2489.788141426784</ns0:v>
      </ns0:c>
      <ns0:c r="J1769" s="7" t="n">
        <ns0:v>1244.894070713392</ns0:v>
      </ns0:c>
      <ns0:c r="K1769" s="7" t="n">
        <ns0:v>43</ns0:v>
      </ns0:c>
      <ns0:c r="L1769" s="7" t="n">
        <ns0:v>213</ns0:v>
      </ns0:c>
      <ns0:c r="M1769" s="7" t="n">
        <ns0:v>-42819.99594198684</ns0:v>
      </ns0:c>
      <ns0:c r="N1769" s="7" t="n">
        <ns0:v>-17938.11857334492</ns0:v>
      </ns0:c>
      <ns0:c r="O1769" s="7" t="n">
        <ns0:v>9063.783826586128</ns0:v>
      </ns0:c>
      <ns0:c r="P1769" s="7" t="n">
        <ns0:v>72638.50227948005</ns0:v>
      </ns0:c>
      <ns0:c r="Q1769" s="7" t="n">
        <ns0:v>284937.3760910556</ns0:v>
      </ns0:c>
      <ns0:c r="R1769" s="7" t="n">
        <ns0:v>1104983.43443157</ns0:v>
      </ns0:c>
    </ns0:row>
    <ns0:row r="1770" ht="24" customHeight="1">
      <ns0:c r="A1770" s="3" t="inlineStr">
        <ns0:is>
          <ns0:t>混在40/30/30</ns0:t>
        </ns0:is>
      </ns0:c>
      <ns0:c r="B1770" s="3" t="inlineStr">
        <ns0:is>
          <ns0:t>G3三段階</ns0:t>
        </ns0:is>
      </ns0:c>
      <ns0:c r="C1770" s="3" t="inlineStr">
        <ns0:is>
          <ns0:t>A</ns0:t>
        </ns0:is>
      </ns0:c>
      <ns0:c r="D1770" s="4" t="n">
        <ns0:v>0</ns0:v>
      </ns0:c>
      <ns0:c r="E1770" s="4" t="n">
        <ns0:v>500</ns0:v>
      </ns0:c>
      <ns0:c r="F1770" s="6" t="n">
        <ns0:v>0.5</ns0:v>
      </ns0:c>
      <ns0:c r="G1770" s="4" t="n">
        <ns0:v>2</ns0:v>
      </ns0:c>
      <ns0:c r="H1770" s="7" t="n">
        <ns0:v>4197.403465581978</ns0:v>
      </ns0:c>
      <ns0:c r="I1770" s="7" t="n">
        <ns0:v>2489.788141426784</ns0:v>
      </ns0:c>
      <ns0:c r="J1770" s="7" t="n">
        <ns0:v>1244.894070713392</ns0:v>
      </ns0:c>
      <ns0:c r="K1770" s="18" t="inlineStr">
        <ns0:is>
          <ns0:t>範囲内なし</ns0:t>
        </ns0:is>
      </ns0:c>
      <ns0:c r="L1770" s="18" t="inlineStr">
        <ns0:is>
          <ns0:t>範囲内なし</ns0:t>
        </ns0:is>
      </ns0:c>
      <ns0:c r="M1770" s="7" t="n">
        <ns0:v>-53957.65222901879</ns0:v>
      </ns0:c>
      <ns0:c r="N1770" s="7" t="n">
        <ns0:v>-51351.08743444076</ns0:v>
      </ns0:c>
      <ns0:c r="O1770" s="7" t="n">
        <ns0:v>-46624.49760857358</ns0:v>
      </ns0:c>
      <ns0:c r="P1770" s="7" t="n">
        <ns0:v>-38738.06059083936</ns0:v>
      </ns0:c>
      <ns0:c r="Q1770" s="7" t="n">
        <ns0:v>-49192.31251990263</ns0:v>
      </ns0:c>
      <ns0:c r="R1770" s="7" t="n">
        <ns0:v>-8782.194271624321</ns0:v>
      </ns0:c>
    </ns0:row>
    <ns0:row r="1771" ht="24" customHeight="1">
      <ns0:c r="A1771" s="3" t="inlineStr">
        <ns0:is>
          <ns0:t>混在40/30/30</ns0:t>
        </ns0:is>
      </ns0:c>
      <ns0:c r="B1771" s="3" t="inlineStr">
        <ns0:is>
          <ns0:t>G3三段階</ns0:t>
        </ns0:is>
      </ns0:c>
      <ns0:c r="C1771" s="3" t="inlineStr">
        <ns0:is>
          <ns0:t>A</ns0:t>
        </ns0:is>
      </ns0:c>
      <ns0:c r="D1771" s="4" t="n">
        <ns0:v>0</ns0:v>
      </ns0:c>
      <ns0:c r="E1771" s="4" t="n">
        <ns0:v>500</ns0:v>
      </ns0:c>
      <ns0:c r="F1771" s="6" t="n">
        <ns0:v>0.5</ns0:v>
      </ns0:c>
      <ns0:c r="G1771" s="4" t="n">
        <ns0:v>3</ns0:v>
      </ns0:c>
      <ns0:c r="H1771" s="7" t="n">
        <ns0:v>4197.403465581978</ns0:v>
      </ns0:c>
      <ns0:c r="I1771" s="7" t="n">
        <ns0:v>2489.788141426784</ns0:v>
      </ns0:c>
      <ns0:c r="J1771" s="7" t="n">
        <ns0:v>1244.894070713392</ns0:v>
      </ns0:c>
      <ns0:c r="K1771" s="7" t="n">
        <ns0:v>72</ns0:v>
      </ns0:c>
      <ns0:c r="L1771" s="18" t="inlineStr">
        <ns0:is>
          <ns0:t>範囲内なし</ns0:t>
        </ns0:is>
      </ns0:c>
      <ns0:c r="M1771" s="7" t="n">
        <ns0:v>-47944.26691229339</ns0:v>
      </ns0:c>
      <ns0:c r="N1771" s="7" t="n">
        <ns0:v>-33310.9314842646</ns0:v>
      </ns0:c>
      <ns0:c r="O1771" s="7" t="n">
        <ns0:v>-16557.57102494665</ns0:v>
      </ns0:c>
      <ns0:c r="P1771" s="7" t="n">
        <ns0:v>21395.79257641449</ns0:v>
      </ns0:c>
      <ns0:c r="Q1771" s="7" t="n">
        <ns0:v>131209.2469818589</ns0:v>
      </ns0:c>
      <ns0:c r="R1771" s="7" t="n">
        <ns0:v>592556.3374009144</ns0:v>
      </ns0:c>
    </ns0:row>
    <ns0:row r="1772" ht="24" customHeight="1">
      <ns0:c r="A1772" s="3" t="inlineStr">
        <ns0:is>
          <ns0:t>混在40/30/30</ns0:t>
        </ns0:is>
      </ns0:c>
      <ns0:c r="B1772" s="3" t="inlineStr">
        <ns0:is>
          <ns0:t>G3三段階</ns0:t>
        </ns0:is>
      </ns0:c>
      <ns0:c r="C1772" s="3" t="inlineStr">
        <ns0:is>
          <ns0:t>A</ns0:t>
        </ns0:is>
      </ns0:c>
      <ns0:c r="D1772" s="4" t="n">
        <ns0:v>0</ns0:v>
      </ns0:c>
      <ns0:c r="E1772" s="4" t="n">
        <ns0:v>1000</ns0:v>
      </ns0:c>
      <ns0:c r="F1772" s="6" t="n">
        <ns0:v>0.3</ns0:v>
      </ns0:c>
      <ns0:c r="G1772" s="4" t="n">
        <ns0:v>0</ns0:v>
      </ns0:c>
      <ns0:c r="H1772" s="7" t="n">
        <ns0:v>4047.403465581977</ns0:v>
      </ns0:c>
      <ns0:c r="I1772" s="7" t="n">
        <ns0:v>2339.788141426783</ns0:v>
      </ns0:c>
      <ns0:c r="J1772" s="7" t="n">
        <ns0:v>701.936442428035</ns0:v>
      </ns0:c>
      <ns0:c r="K1772" s="7" t="n">
        <ns0:v>30</ns0:v>
      </ns0:c>
      <ns0:c r="L1772" s="7" t="n">
        <ns0:v>56</ns0:v>
      </ns0:c>
      <ns0:c r="M1772" s="7" t="n">
        <ns0:v>-36616.87584726796</ns0:v>
      </ns0:c>
      <ns0:c r="N1772" s="7" t="n">
        <ns0:v>671.2417108117006</ns0:v>
      </ns0:c>
      <ns0:c r="O1772" s="7" t="n">
        <ns0:v>40079.3843001805</ns0:v>
      </ns0:c>
      <ns0:c r="P1772" s="7" t="n">
        <ns0:v>134669.7032266688</ns0:v>
      </ns0:c>
      <ns0:c r="Q1772" s="7" t="n">
        <ns0:v>471030.9789326221</ns0:v>
      </ns0:c>
      <ns0:c r="R1772" s="7" t="n">
        <ns0:v>1725295.443903459</ns0:v>
      </ns0:c>
    </ns0:row>
    <ns0:row r="1773" ht="24" customHeight="1">
      <ns0:c r="A1773" s="3" t="inlineStr">
        <ns0:is>
          <ns0:t>混在40/30/30</ns0:t>
        </ns0:is>
      </ns0:c>
      <ns0:c r="B1773" s="3" t="inlineStr">
        <ns0:is>
          <ns0:t>G3三段階</ns0:t>
        </ns0:is>
      </ns0:c>
      <ns0:c r="C1773" s="3" t="inlineStr">
        <ns0:is>
          <ns0:t>A</ns0:t>
        </ns0:is>
      </ns0:c>
      <ns0:c r="D1773" s="4" t="n">
        <ns0:v>0</ns0:v>
      </ns0:c>
      <ns0:c r="E1773" s="4" t="n">
        <ns0:v>1000</ns0:v>
      </ns0:c>
      <ns0:c r="F1773" s="6" t="n">
        <ns0:v>0.3</ns0:v>
      </ns0:c>
      <ns0:c r="G1773" s="4" t="n">
        <ns0:v>1</ns0:v>
      </ns0:c>
      <ns0:c r="H1773" s="7" t="n">
        <ns0:v>4047.403465581977</ns0:v>
      </ns0:c>
      <ns0:c r="I1773" s="7" t="n">
        <ns0:v>2339.788141426783</ns0:v>
      </ns0:c>
      <ns0:c r="J1773" s="7" t="n">
        <ns0:v>701.936442428035</ns0:v>
      </ns0:c>
      <ns0:c r="K1773" s="7" t="n">
        <ns0:v>33</ns0:v>
      </ns0:c>
      <ns0:c r="L1773" s="7" t="n">
        <ns0:v>87</ns0:v>
      </ns0:c>
      <ns0:c r="M1773" s="7" t="n">
        <ns0:v>-38836.41965913327</ns0:v>
      </ns0:c>
      <ns0:c r="N1773" s="7" t="n">
        <ns0:v>-5987.38972478424</ns0:v>
      </ns0:c>
      <ns0:c r="O1773" s="7" t="n">
        <ns0:v>28981.66524085393</ns0:v>
      </ns0:c>
      <ns0:c r="P1773" s="7" t="n">
        <ns0:v>112474.2651080157</ns0:v>
      </ns0:c>
      <ns0:c r="Q1773" s="7" t="n">
        <ns0:v>404444.6645766626</ns0:v>
      </ns0:c>
      <ns0:c r="R1773" s="7" t="n">
        <ns0:v>1503341.062716927</ns0:v>
      </ns0:c>
    </ns0:row>
    <ns0:row r="1774" ht="24" customHeight="1">
      <ns0:c r="A1774" s="3" t="inlineStr">
        <ns0:is>
          <ns0:t>混在40/30/30</ns0:t>
        </ns0:is>
      </ns0:c>
      <ns0:c r="B1774" s="3" t="inlineStr">
        <ns0:is>
          <ns0:t>G3三段階</ns0:t>
        </ns0:is>
      </ns0:c>
      <ns0:c r="C1774" s="3" t="inlineStr">
        <ns0:is>
          <ns0:t>A</ns0:t>
        </ns0:is>
      </ns0:c>
      <ns0:c r="D1774" s="4" t="n">
        <ns0:v>0</ns0:v>
      </ns0:c>
      <ns0:c r="E1774" s="4" t="n">
        <ns0:v>1000</ns0:v>
      </ns0:c>
      <ns0:c r="F1774" s="6" t="n">
        <ns0:v>0.3</ns0:v>
      </ns0:c>
      <ns0:c r="G1774" s="4" t="n">
        <ns0:v>2</ns0:v>
      </ns0:c>
      <ns0:c r="H1774" s="7" t="n">
        <ns0:v>4047.403465581977</ns0:v>
      </ns0:c>
      <ns0:c r="I1774" s="7" t="n">
        <ns0:v>2339.788141426783</ns0:v>
      </ns0:c>
      <ns0:c r="J1774" s="7" t="n">
        <ns0:v>701.936442428035</ns0:v>
      </ns0:c>
      <ns0:c r="K1774" s="7" t="n">
        <ns0:v>174</ns0:v>
      </ns0:c>
      <ns0:c r="L1774" s="18" t="inlineStr">
        <ns0:is>
          <ns0:t>範囲内なし</ns0:t>
        </ns0:is>
      </ns0:c>
      <ns0:c r="M1774" s="7" t="n">
        <ns0:v>-49974.07594616522</ns0:v>
      </ns0:c>
      <ns0:c r="N1774" s="7" t="n">
        <ns0:v>-39400.35858588007</ns0:v>
      </ns0:c>
      <ns0:c r="O1774" s="7" t="n">
        <ns0:v>-26706.61619430578</ns0:v>
      </ns0:c>
      <ns0:c r="P1774" s="7" t="n">
        <ns0:v>1097.702237696241</ns0:v>
      </ns0:c>
      <ns0:c r="Q1774" s="7" t="n">
        <ns0:v>70314.97596570436</ns0:v>
      </ns0:c>
      <ns0:c r="R1774" s="7" t="n">
        <ns0:v>389575.4340137328</ns0:v>
      </ns0:c>
    </ns0:row>
    <ns0:row r="1775" ht="24" customHeight="1">
      <ns0:c r="A1775" s="3" t="inlineStr">
        <ns0:is>
          <ns0:t>混在40/30/30</ns0:t>
        </ns0:is>
      </ns0:c>
      <ns0:c r="B1775" s="3" t="inlineStr">
        <ns0:is>
          <ns0:t>G3三段階</ns0:t>
        </ns0:is>
      </ns0:c>
      <ns0:c r="C1775" s="3" t="inlineStr">
        <ns0:is>
          <ns0:t>A</ns0:t>
        </ns0:is>
      </ns0:c>
      <ns0:c r="D1775" s="4" t="n">
        <ns0:v>0</ns0:v>
      </ns0:c>
      <ns0:c r="E1775" s="4" t="n">
        <ns0:v>1000</ns0:v>
      </ns0:c>
      <ns0:c r="F1775" s="6" t="n">
        <ns0:v>0.3</ns0:v>
      </ns0:c>
      <ns0:c r="G1775" s="4" t="n">
        <ns0:v>3</ns0:v>
      </ns0:c>
      <ns0:c r="H1775" s="7" t="n">
        <ns0:v>4047.403465581977</ns0:v>
      </ns0:c>
      <ns0:c r="I1775" s="7" t="n">
        <ns0:v>2339.788141426783</ns0:v>
      </ns0:c>
      <ns0:c r="J1775" s="7" t="n">
        <ns0:v>701.936442428035</ns0:v>
      </ns0:c>
      <ns0:c r="K1775" s="7" t="n">
        <ns0:v>48</ns0:v>
      </ns0:c>
      <ns0:c r="L1775" s="18" t="inlineStr">
        <ns0:is>
          <ns0:t>範囲内なし</ns0:t>
        </ns0:is>
      </ns0:c>
      <ns0:c r="M1775" s="7" t="n">
        <ns0:v>-43960.69062943983</ns0:v>
      </ns0:c>
      <ns0:c r="N1775" s="7" t="n">
        <ns0:v>-21360.20263570391</ns0:v>
      </ns0:c>
      <ns0:c r="O1775" s="7" t="n">
        <ns0:v>3360.310389321152</ns0:v>
      </ns0:c>
      <ns0:c r="P1775" s="7" t="n">
        <ns0:v>61231.5554049501</ns0:v>
      </ns0:c>
      <ns0:c r="Q1775" s="7" t="n">
        <ns0:v>250716.535467466</ns0:v>
      </ns0:c>
      <ns0:c r="R1775" s="7" t="n">
        <ns0:v>990913.9656862715</ns0:v>
      </ns0:c>
    </ns0:row>
    <ns0:row r="1776" ht="24" customHeight="1">
      <ns0:c r="A1776" s="3" t="inlineStr">
        <ns0:is>
          <ns0:t>混在40/30/30</ns0:t>
        </ns0:is>
      </ns0:c>
      <ns0:c r="B1776" s="3" t="inlineStr">
        <ns0:is>
          <ns0:t>G3三段階</ns0:t>
        </ns0:is>
      </ns0:c>
      <ns0:c r="C1776" s="3" t="inlineStr">
        <ns0:is>
          <ns0:t>A</ns0:t>
        </ns0:is>
      </ns0:c>
      <ns0:c r="D1776" s="4" t="n">
        <ns0:v>0</ns0:v>
      </ns0:c>
      <ns0:c r="E1776" s="4" t="n">
        <ns0:v>1000</ns0:v>
      </ns0:c>
      <ns0:c r="F1776" s="6" t="n">
        <ns0:v>0.4</ns0:v>
      </ns0:c>
      <ns0:c r="G1776" s="4" t="n">
        <ns0:v>0</ns0:v>
      </ns0:c>
      <ns0:c r="H1776" s="7" t="n">
        <ns0:v>4047.403465581977</ns0:v>
      </ns0:c>
      <ns0:c r="I1776" s="7" t="n">
        <ns0:v>2339.788141426783</ns0:v>
      </ns0:c>
      <ns0:c r="J1776" s="7" t="n">
        <ns0:v>935.9152565707133</ns0:v>
      </ns0:c>
      <ns0:c r="K1776" s="7" t="n">
        <ns0:v>33</ns0:v>
      </ns0:c>
      <ns0:c r="L1776" s="7" t="n">
        <ns0:v>64</ns0:v>
      </ns0:c>
      <ns0:c r="M1776" s="7" t="n">
        <ns0:v>-38956.66398869474</ns0:v>
      </ns0:c>
      <ns0:c r="N1776" s="7" t="n">
        <ns0:v>-6348.122713468649</ns0:v>
      </ns0:c>
      <ns0:c r="O1776" s="7" t="n">
        <ns0:v>28380.44359304658</ns0:v>
      </ns0:c>
      <ns0:c r="P1776" s="7" t="n">
        <ns0:v>111271.821812401</ns0:v>
      </ns0:c>
      <ns0:c r="Q1776" s="7" t="n">
        <ns0:v>400837.3346898186</ns0:v>
      </ns0:c>
      <ns0:c r="R1776" s="7" t="n">
        <ns0:v>1491316.62976078</ns0:v>
      </ns0:c>
    </ns0:row>
    <ns0:row r="1777" ht="24" customHeight="1">
      <ns0:c r="A1777" s="3" t="inlineStr">
        <ns0:is>
          <ns0:t>混在40/30/30</ns0:t>
        </ns0:is>
      </ns0:c>
      <ns0:c r="B1777" s="3" t="inlineStr">
        <ns0:is>
          <ns0:t>G3三段階</ns0:t>
        </ns0:is>
      </ns0:c>
      <ns0:c r="C1777" s="3" t="inlineStr">
        <ns0:is>
          <ns0:t>A</ns0:t>
        </ns0:is>
      </ns0:c>
      <ns0:c r="D1777" s="4" t="n">
        <ns0:v>0</ns0:v>
      </ns0:c>
      <ns0:c r="E1777" s="4" t="n">
        <ns0:v>1000</ns0:v>
      </ns0:c>
      <ns0:c r="F1777" s="6" t="n">
        <ns0:v>0.4</ns0:v>
      </ns0:c>
      <ns0:c r="G1777" s="4" t="n">
        <ns0:v>1</ns0:v>
      </ns0:c>
      <ns0:c r="H1777" s="7" t="n">
        <ns0:v>4047.403465581977</ns0:v>
      </ns0:c>
      <ns0:c r="I1777" s="7" t="n">
        <ns0:v>2339.788141426783</ns0:v>
      </ns0:c>
      <ns0:c r="J1777" s="7" t="n">
        <ns0:v>935.9152565707133</ns0:v>
      </ns0:c>
      <ns0:c r="K1777" s="7" t="n">
        <ns0:v>38</ns0:v>
      </ns0:c>
      <ns0:c r="L1777" s="7" t="n">
        <ns0:v>178</ns0:v>
      </ns0:c>
      <ns0:c r="M1777" s="7" t="n">
        <ns0:v>-41176.20780056006</ns0:v>
      </ns0:c>
      <ns0:c r="N1777" s="7" t="n">
        <ns0:v>-13006.75414906459</ns0:v>
      </ns0:c>
      <ns0:c r="O1777" s="7" t="n">
        <ns0:v>17282.72453372001</ns0:v>
      </ns0:c>
      <ns0:c r="P1777" s="7" t="n">
        <ns0:v>89076.38369374783</ns0:v>
      </ns0:c>
      <ns0:c r="Q1777" s="7" t="n">
        <ns0:v>334251.0203338591</ns0:v>
      </ns0:c>
      <ns0:c r="R1777" s="7" t="n">
        <ns0:v>1269362.248574249</ns0:v>
      </ns0:c>
    </ns0:row>
    <ns0:row r="1778" ht="24" customHeight="1">
      <ns0:c r="A1778" s="3" t="inlineStr">
        <ns0:is>
          <ns0:t>混在40/30/30</ns0:t>
        </ns0:is>
      </ns0:c>
      <ns0:c r="B1778" s="3" t="inlineStr">
        <ns0:is>
          <ns0:t>G3三段階</ns0:t>
        </ns0:is>
      </ns0:c>
      <ns0:c r="C1778" s="3" t="inlineStr">
        <ns0:is>
          <ns0:t>A</ns0:t>
        </ns0:is>
      </ns0:c>
      <ns0:c r="D1778" s="4" t="n">
        <ns0:v>0</ns0:v>
      </ns0:c>
      <ns0:c r="E1778" s="4" t="n">
        <ns0:v>1000</ns0:v>
      </ns0:c>
      <ns0:c r="F1778" s="6" t="n">
        <ns0:v>0.4</ns0:v>
      </ns0:c>
      <ns0:c r="G1778" s="4" t="n">
        <ns0:v>2</ns0:v>
      </ns0:c>
      <ns0:c r="H1778" s="7" t="n">
        <ns0:v>4047.403465581977</ns0:v>
      </ns0:c>
      <ns0:c r="I1778" s="7" t="n">
        <ns0:v>2339.788141426783</ns0:v>
      </ns0:c>
      <ns0:c r="J1778" s="7" t="n">
        <ns0:v>935.9152565707133</ns0:v>
      </ns0:c>
      <ns0:c r="K1778" s="7" t="n">
        <ns0:v>300</ns0:v>
      </ns0:c>
      <ns0:c r="L1778" s="18" t="inlineStr">
        <ns0:is>
          <ns0:t>範囲内なし</ns0:t>
        </ns0:is>
      </ns0:c>
      <ns0:c r="M1778" s="7" t="n">
        <ns0:v>-52313.864087592</ns0:v>
      </ns0:c>
      <ns0:c r="N1778" s="7" t="n">
        <ns0:v>-46419.72301016041</ns0:v>
      </ns0:c>
      <ns0:c r="O1778" s="7" t="n">
        <ns0:v>-38405.5569014397</ns0:v>
      </ns0:c>
      <ns0:c r="P1778" s="7" t="n">
        <ns0:v>-22300.1791765716</ns0:v>
      </ns0:c>
      <ns0:c r="Q1778" s="7" t="n">
        <ns0:v>121.3317229008535</ns0:v>
      </ns0:c>
      <ns0:c r="R1778" s="7" t="n">
        <ns0:v>155596.6198710541</ns0:v>
      </ns0:c>
    </ns0:row>
    <ns0:row r="1779" ht="24" customHeight="1">
      <ns0:c r="A1779" s="3" t="inlineStr">
        <ns0:is>
          <ns0:t>混在40/30/30</ns0:t>
        </ns0:is>
      </ns0:c>
      <ns0:c r="B1779" s="3" t="inlineStr">
        <ns0:is>
          <ns0:t>G3三段階</ns0:t>
        </ns0:is>
      </ns0:c>
      <ns0:c r="C1779" s="3" t="inlineStr">
        <ns0:is>
          <ns0:t>A</ns0:t>
        </ns0:is>
      </ns0:c>
      <ns0:c r="D1779" s="4" t="n">
        <ns0:v>0</ns0:v>
      </ns0:c>
      <ns0:c r="E1779" s="4" t="n">
        <ns0:v>1000</ns0:v>
      </ns0:c>
      <ns0:c r="F1779" s="6" t="n">
        <ns0:v>0.4</ns0:v>
      </ns0:c>
      <ns0:c r="G1779" s="4" t="n">
        <ns0:v>3</ns0:v>
      </ns0:c>
      <ns0:c r="H1779" s="7" t="n">
        <ns0:v>4047.403465581977</ns0:v>
      </ns0:c>
      <ns0:c r="I1779" s="7" t="n">
        <ns0:v>2339.788141426783</ns0:v>
      </ns0:c>
      <ns0:c r="J1779" s="7" t="n">
        <ns0:v>935.9152565707133</ns0:v>
      </ns0:c>
      <ns0:c r="K1779" s="7" t="n">
        <ns0:v>60</ns0:v>
      </ns0:c>
      <ns0:c r="L1779" s="18" t="inlineStr">
        <ns0:is>
          <ns0:t>範囲内なし</ns0:t>
        </ns0:is>
      </ns0:c>
      <ns0:c r="M1779" s="7" t="n">
        <ns0:v>-46300.47877086661</ns0:v>
      </ns0:c>
      <ns0:c r="N1779" s="7" t="n">
        <ns0:v>-28379.56705998426</ns0:v>
      </ns0:c>
      <ns0:c r="O1779" s="7" t="n">
        <ns0:v>-8338.630317812771</ns0:v>
      </ns0:c>
      <ns0:c r="P1779" s="7" t="n">
        <ns0:v>37833.67399068226</ns0:v>
      </ns0:c>
      <ns0:c r="Q1779" s="7" t="n">
        <ns0:v>180522.8912246625</ns0:v>
      </ns0:c>
      <ns0:c r="R1779" s="7" t="n">
        <ns0:v>756935.1515435928</ns0:v>
      </ns0:c>
    </ns0:row>
    <ns0:row r="1780" ht="24" customHeight="1">
      <ns0:c r="A1780" s="3" t="inlineStr">
        <ns0:is>
          <ns0:t>混在40/30/30</ns0:t>
        </ns0:is>
      </ns0:c>
      <ns0:c r="B1780" s="3" t="inlineStr">
        <ns0:is>
          <ns0:t>G3三段階</ns0:t>
        </ns0:is>
      </ns0:c>
      <ns0:c r="C1780" s="3" t="inlineStr">
        <ns0:is>
          <ns0:t>A</ns0:t>
        </ns0:is>
      </ns0:c>
      <ns0:c r="D1780" s="4" t="n">
        <ns0:v>0</ns0:v>
      </ns0:c>
      <ns0:c r="E1780" s="4" t="n">
        <ns0:v>1000</ns0:v>
      </ns0:c>
      <ns0:c r="F1780" s="6" t="n">
        <ns0:v>0.5</ns0:v>
      </ns0:c>
      <ns0:c r="G1780" s="4" t="n">
        <ns0:v>0</ns0:v>
      </ns0:c>
      <ns0:c r="H1780" s="7" t="n">
        <ns0:v>4047.403465581977</ns0:v>
      </ns0:c>
      <ns0:c r="I1780" s="7" t="n">
        <ns0:v>2339.788141426783</ns0:v>
      </ns0:c>
      <ns0:c r="J1780" s="7" t="n">
        <ns0:v>1169.894070713392</ns0:v>
      </ns0:c>
      <ns0:c r="K1780" s="7" t="n">
        <ns0:v>39</ns0:v>
      </ns0:c>
      <ns0:c r="L1780" s="7" t="n">
        <ns0:v>75</ns0:v>
      </ns0:c>
      <ns0:c r="M1780" s="7" t="n">
        <ns0:v>-41296.45213012153</ns0:v>
      </ns0:c>
      <ns0:c r="N1780" s="7" t="n">
        <ns0:v>-13367.48713774901</ns0:v>
      </ns0:c>
      <ns0:c r="O1780" s="7" t="n">
        <ns0:v>16681.50288591265</ns0:v>
      </ns0:c>
      <ns0:c r="P1780" s="7" t="n">
        <ns0:v>87873.9403981331</ns0:v>
      </ns0:c>
      <ns0:c r="Q1780" s="7" t="n">
        <ns0:v>330643.690447015</ns0:v>
      </ns0:c>
      <ns0:c r="R1780" s="7" t="n">
        <ns0:v>1257337.815618102</ns0:v>
      </ns0:c>
    </ns0:row>
    <ns0:row r="1781" ht="24" customHeight="1">
      <ns0:c r="A1781" s="3" t="inlineStr">
        <ns0:is>
          <ns0:t>混在40/30/30</ns0:t>
        </ns0:is>
      </ns0:c>
      <ns0:c r="B1781" s="3" t="inlineStr">
        <ns0:is>
          <ns0:t>G3三段階</ns0:t>
        </ns0:is>
      </ns0:c>
      <ns0:c r="C1781" s="3" t="inlineStr">
        <ns0:is>
          <ns0:t>A</ns0:t>
        </ns0:is>
      </ns0:c>
      <ns0:c r="D1781" s="4" t="n">
        <ns0:v>0</ns0:v>
      </ns0:c>
      <ns0:c r="E1781" s="4" t="n">
        <ns0:v>1000</ns0:v>
      </ns0:c>
      <ns0:c r="F1781" s="6" t="n">
        <ns0:v>0.5</ns0:v>
      </ns0:c>
      <ns0:c r="G1781" s="4" t="n">
        <ns0:v>1</ns0:v>
      </ns0:c>
      <ns0:c r="H1781" s="7" t="n">
        <ns0:v>4047.403465581977</ns0:v>
      </ns0:c>
      <ns0:c r="I1781" s="7" t="n">
        <ns0:v>2339.788141426783</ns0:v>
      </ns0:c>
      <ns0:c r="J1781" s="7" t="n">
        <ns0:v>1169.894070713392</ns0:v>
      </ns0:c>
      <ns0:c r="K1781" s="7" t="n">
        <ns0:v>46</ns0:v>
      </ns0:c>
      <ns0:c r="L1781" s="7" t="n">
        <ns0:v>236</ns0:v>
      </ns0:c>
      <ns0:c r="M1781" s="7" t="n">
        <ns0:v>-43515.99594198684</ns0:v>
      </ns0:c>
      <ns0:c r="N1781" s="7" t="n">
        <ns0:v>-20026.11857334494</ns0:v>
      </ns0:c>
      <ns0:c r="O1781" s="7" t="n">
        <ns0:v>5583.783826586092</ns0:v>
      </ns0:c>
      <ns0:c r="P1781" s="7" t="n">
        <ns0:v>65678.50227947999</ns0:v>
      </ns0:c>
      <ns0:c r="Q1781" s="7" t="n">
        <ns0:v>264057.3760910556</ns0:v>
      </ns0:c>
      <ns0:c r="R1781" s="7" t="n">
        <ns0:v>1035383.43443157</ns0:v>
      </ns0:c>
    </ns0:row>
    <ns0:row r="1782" ht="24" customHeight="1">
      <ns0:c r="A1782" s="3" t="inlineStr">
        <ns0:is>
          <ns0:t>混在40/30/30</ns0:t>
        </ns0:is>
      </ns0:c>
      <ns0:c r="B1782" s="3" t="inlineStr">
        <ns0:is>
          <ns0:t>G3三段階</ns0:t>
        </ns0:is>
      </ns0:c>
      <ns0:c r="C1782" s="3" t="inlineStr">
        <ns0:is>
          <ns0:t>A</ns0:t>
        </ns0:is>
      </ns0:c>
      <ns0:c r="D1782" s="4" t="n">
        <ns0:v>0</ns0:v>
      </ns0:c>
      <ns0:c r="E1782" s="4" t="n">
        <ns0:v>1000</ns0:v>
      </ns0:c>
      <ns0:c r="F1782" s="6" t="n">
        <ns0:v>0.5</ns0:v>
      </ns0:c>
      <ns0:c r="G1782" s="4" t="n">
        <ns0:v>2</ns0:v>
      </ns0:c>
      <ns0:c r="H1782" s="7" t="n">
        <ns0:v>4047.403465581977</ns0:v>
      </ns0:c>
      <ns0:c r="I1782" s="7" t="n">
        <ns0:v>2339.788141426783</ns0:v>
      </ns0:c>
      <ns0:c r="J1782" s="7" t="n">
        <ns0:v>1169.894070713392</ns0:v>
      </ns0:c>
      <ns0:c r="K1782" s="18" t="inlineStr">
        <ns0:is>
          <ns0:t>範囲内なし</ns0:t>
        </ns0:is>
      </ns0:c>
      <ns0:c r="L1782" s="18" t="inlineStr">
        <ns0:is>
          <ns0:t>範囲内なし</ns0:t>
        </ns0:is>
      </ns0:c>
      <ns0:c r="M1782" s="7" t="n">
        <ns0:v>-54653.65222901878</ns0:v>
      </ns0:c>
      <ns0:c r="N1782" s="7" t="n">
        <ns0:v>-53439.08743444077</ns0:v>
      </ns0:c>
      <ns0:c r="O1782" s="7" t="n">
        <ns0:v>-50104.49760857363</ns0:v>
      </ns0:c>
      <ns0:c r="P1782" s="7" t="n">
        <ns0:v>-45698.06059083945</ns0:v>
      </ns0:c>
      <ns0:c r="Q1782" s="7" t="n">
        <ns0:v>-70072.31251990274</ns0:v>
      </ns0:c>
      <ns0:c r="R1782" s="7" t="n">
        <ns0:v>-78382.19427162409</ns0:v>
      </ns0:c>
    </ns0:row>
    <ns0:row r="1783" ht="24" customHeight="1">
      <ns0:c r="A1783" s="3" t="inlineStr">
        <ns0:is>
          <ns0:t>混在40/30/30</ns0:t>
        </ns0:is>
      </ns0:c>
      <ns0:c r="B1783" s="3" t="inlineStr">
        <ns0:is>
          <ns0:t>G3三段階</ns0:t>
        </ns0:is>
      </ns0:c>
      <ns0:c r="C1783" s="3" t="inlineStr">
        <ns0:is>
          <ns0:t>A</ns0:t>
        </ns0:is>
      </ns0:c>
      <ns0:c r="D1783" s="4" t="n">
        <ns0:v>0</ns0:v>
      </ns0:c>
      <ns0:c r="E1783" s="4" t="n">
        <ns0:v>1000</ns0:v>
      </ns0:c>
      <ns0:c r="F1783" s="6" t="n">
        <ns0:v>0.5</ns0:v>
      </ns0:c>
      <ns0:c r="G1783" s="4" t="n">
        <ns0:v>3</ns0:v>
      </ns0:c>
      <ns0:c r="H1783" s="7" t="n">
        <ns0:v>4047.403465581977</ns0:v>
      </ns0:c>
      <ns0:c r="I1783" s="7" t="n">
        <ns0:v>2339.788141426783</ns0:v>
      </ns0:c>
      <ns0:c r="J1783" s="7" t="n">
        <ns0:v>1169.894070713392</ns0:v>
      </ns0:c>
      <ns0:c r="K1783" s="7" t="n">
        <ns0:v>80</ns0:v>
      </ns0:c>
      <ns0:c r="L1783" s="18" t="inlineStr">
        <ns0:is>
          <ns0:t>範囲内なし</ns0:t>
        </ns0:is>
      </ns0:c>
      <ns0:c r="M1783" s="7" t="n">
        <ns0:v>-48640.26691229339</ns0:v>
      </ns0:c>
      <ns0:c r="N1783" s="7" t="n">
        <ns0:v>-35398.93148426461</ns0:v>
      </ns0:c>
      <ns0:c r="O1783" s="7" t="n">
        <ns0:v>-20037.57102494669</ns0:v>
      </ns0:c>
      <ns0:c r="P1783" s="7" t="n">
        <ns0:v>14435.79257641442</ns0:v>
      </ns0:c>
      <ns0:c r="Q1783" s="7" t="n">
        <ns0:v>110329.2469818589</ns0:v>
      </ns0:c>
      <ns0:c r="R1783" s="7" t="n">
        <ns0:v>522956.3374009146</ns0:v>
      </ns0:c>
    </ns0:row>
    <ns0:row r="1784" ht="24" customHeight="1">
      <ns0:c r="A1784" s="3" t="inlineStr">
        <ns0:is>
          <ns0:t>混在40/30/30</ns0:t>
        </ns0:is>
      </ns0:c>
      <ns0:c r="B1784" s="3" t="inlineStr">
        <ns0:is>
          <ns0:t>G3三段階</ns0:t>
        </ns0:is>
      </ns0:c>
      <ns0:c r="C1784" s="3" t="inlineStr">
        <ns0:is>
          <ns0:t>A</ns0:t>
        </ns0:is>
      </ns0:c>
      <ns0:c r="D1784" s="4" t="n">
        <ns0:v>0</ns0:v>
      </ns0:c>
      <ns0:c r="E1784" s="4" t="n">
        <ns0:v>1500</ns0:v>
      </ns0:c>
      <ns0:c r="F1784" s="6" t="n">
        <ns0:v>0.3</ns0:v>
      </ns0:c>
      <ns0:c r="G1784" s="4" t="n">
        <ns0:v>0</ns0:v>
      </ns0:c>
      <ns0:c r="H1784" s="7" t="n">
        <ns0:v>3897.403465581977</ns0:v>
      </ns0:c>
      <ns0:c r="I1784" s="7" t="n">
        <ns0:v>2189.788141426784</ns0:v>
      </ns0:c>
      <ns0:c r="J1784" s="7" t="n">
        <ns0:v>656.9364424280351</ns0:v>
      </ns0:c>
      <ns0:c r="K1784" s="7" t="n">
        <ns0:v>31</ns0:v>
      </ns0:c>
      <ns0:c r="L1784" s="7" t="n">
        <ns0:v>60</ns0:v>
      </ns0:c>
      <ns0:c r="M1784" s="7" t="n">
        <ns0:v>-37612.87584726795</ns0:v>
      </ns0:c>
      <ns0:c r="N1784" s="7" t="n">
        <ns0:v>-2316.758289188281</ns0:v>
      </ns0:c>
      <ns0:c r="O1784" s="7" t="n">
        <ns0:v>35099.38430018052</ns0:v>
      </ns0:c>
      <ns0:c r="P1784" s="7" t="n">
        <ns0:v>124709.7032266688</ns0:v>
      </ns0:c>
      <ns0:c r="Q1784" s="7" t="n">
        <ns0:v>441150.9789326219</ns0:v>
      </ns0:c>
      <ns0:c r="R1784" s="7" t="n">
        <ns0:v>1625695.443903459</ns0:v>
      </ns0:c>
    </ns0:row>
    <ns0:row r="1785" ht="24" customHeight="1">
      <ns0:c r="A1785" s="3" t="inlineStr">
        <ns0:is>
          <ns0:t>混在40/30/30</ns0:t>
        </ns0:is>
      </ns0:c>
      <ns0:c r="B1785" s="3" t="inlineStr">
        <ns0:is>
          <ns0:t>G3三段階</ns0:t>
        </ns0:is>
      </ns0:c>
      <ns0:c r="C1785" s="3" t="inlineStr">
        <ns0:is>
          <ns0:t>A</ns0:t>
        </ns0:is>
      </ns0:c>
      <ns0:c r="D1785" s="4" t="n">
        <ns0:v>0</ns0:v>
      </ns0:c>
      <ns0:c r="E1785" s="4" t="n">
        <ns0:v>1500</ns0:v>
      </ns0:c>
      <ns0:c r="F1785" s="6" t="n">
        <ns0:v>0.3</ns0:v>
      </ns0:c>
      <ns0:c r="G1785" s="4" t="n">
        <ns0:v>1</ns0:v>
      </ns0:c>
      <ns0:c r="H1785" s="7" t="n">
        <ns0:v>3897.403465581977</ns0:v>
      </ns0:c>
      <ns0:c r="I1785" s="7" t="n">
        <ns0:v>2189.788141426784</ns0:v>
      </ns0:c>
      <ns0:c r="J1785" s="7" t="n">
        <ns0:v>656.9364424280351</ns0:v>
      </ns0:c>
      <ns0:c r="K1785" s="7" t="n">
        <ns0:v>35</ns0:v>
      </ns0:c>
      <ns0:c r="L1785" s="7" t="n">
        <ns0:v>96</ns0:v>
      </ns0:c>
      <ns0:c r="M1785" s="7" t="n">
        <ns0:v>-39832.41965913327</ns0:v>
      </ns0:c>
      <ns0:c r="N1785" s="7" t="n">
        <ns0:v>-8975.389724784218</ns0:v>
      </ns0:c>
      <ns0:c r="O1785" s="7" t="n">
        <ns0:v>24001.66524085396</ns0:v>
      </ns0:c>
      <ns0:c r="P1785" s="7" t="n">
        <ns0:v>102514.2651080157</ns0:v>
      </ns0:c>
      <ns0:c r="Q1785" s="7" t="n">
        <ns0:v>374564.6645766626</ns0:v>
      </ns0:c>
      <ns0:c r="R1785" s="7" t="n">
        <ns0:v>1403741.062716927</ns0:v>
      </ns0:c>
    </ns0:row>
    <ns0:row r="1786" ht="24" customHeight="1">
      <ns0:c r="A1786" s="3" t="inlineStr">
        <ns0:is>
          <ns0:t>混在40/30/30</ns0:t>
        </ns0:is>
      </ns0:c>
      <ns0:c r="B1786" s="3" t="inlineStr">
        <ns0:is>
          <ns0:t>G3三段階</ns0:t>
        </ns0:is>
      </ns0:c>
      <ns0:c r="C1786" s="3" t="inlineStr">
        <ns0:is>
          <ns0:t>A</ns0:t>
        </ns0:is>
      </ns0:c>
      <ns0:c r="D1786" s="4" t="n">
        <ns0:v>0</ns0:v>
      </ns0:c>
      <ns0:c r="E1786" s="4" t="n">
        <ns0:v>1500</ns0:v>
      </ns0:c>
      <ns0:c r="F1786" s="6" t="n">
        <ns0:v>0.3</ns0:v>
      </ns0:c>
      <ns0:c r="G1786" s="4" t="n">
        <ns0:v>2</ns0:v>
      </ns0:c>
      <ns0:c r="H1786" s="7" t="n">
        <ns0:v>3897.403465581977</ns0:v>
      </ns0:c>
      <ns0:c r="I1786" s="7" t="n">
        <ns0:v>2189.788141426784</ns0:v>
      </ns0:c>
      <ns0:c r="J1786" s="7" t="n">
        <ns0:v>656.9364424280351</ns0:v>
      </ns0:c>
      <ns0:c r="K1786" s="7" t="n">
        <ns0:v>212</ns0:v>
      </ns0:c>
      <ns0:c r="L1786" s="18" t="inlineStr">
        <ns0:is>
          <ns0:t>範囲内なし</ns0:t>
        </ns0:is>
      </ns0:c>
      <ns0:c r="M1786" s="7" t="n">
        <ns0:v>-50970.07594616521</ns0:v>
      </ns0:c>
      <ns0:c r="N1786" s="7" t="n">
        <ns0:v>-42388.35858588005</ns0:v>
      </ns0:c>
      <ns0:c r="O1786" s="7" t="n">
        <ns0:v>-31686.61619430575</ns0:v>
      </ns0:c>
      <ns0:c r="P1786" s="7" t="n">
        <ns0:v>-8862.29776230373</ns0:v>
      </ns0:c>
      <ns0:c r="Q1786" s="7" t="n">
        <ns0:v>40434.9759657043</ns0:v>
      </ns0:c>
      <ns0:c r="R1786" s="7" t="n">
        <ns0:v>289975.4340137329</ns0:v>
      </ns0:c>
    </ns0:row>
    <ns0:row r="1787" ht="24" customHeight="1">
      <ns0:c r="A1787" s="3" t="inlineStr">
        <ns0:is>
          <ns0:t>混在40/30/30</ns0:t>
        </ns0:is>
      </ns0:c>
      <ns0:c r="B1787" s="3" t="inlineStr">
        <ns0:is>
          <ns0:t>G3三段階</ns0:t>
        </ns0:is>
      </ns0:c>
      <ns0:c r="C1787" s="3" t="inlineStr">
        <ns0:is>
          <ns0:t>A</ns0:t>
        </ns0:is>
      </ns0:c>
      <ns0:c r="D1787" s="4" t="n">
        <ns0:v>0</ns0:v>
      </ns0:c>
      <ns0:c r="E1787" s="4" t="n">
        <ns0:v>1500</ns0:v>
      </ns0:c>
      <ns0:c r="F1787" s="6" t="n">
        <ns0:v>0.3</ns0:v>
      </ns0:c>
      <ns0:c r="G1787" s="4" t="n">
        <ns0:v>3</ns0:v>
      </ns0:c>
      <ns0:c r="H1787" s="7" t="n">
        <ns0:v>3897.403465581977</ns0:v>
      </ns0:c>
      <ns0:c r="I1787" s="7" t="n">
        <ns0:v>2189.788141426784</ns0:v>
      </ns0:c>
      <ns0:c r="J1787" s="7" t="n">
        <ns0:v>656.9364424280351</ns0:v>
      </ns0:c>
      <ns0:c r="K1787" s="7" t="n">
        <ns0:v>52</ns0:v>
      </ns0:c>
      <ns0:c r="L1787" s="18" t="inlineStr">
        <ns0:is>
          <ns0:t>範囲内なし</ns0:t>
        </ns0:is>
      </ns0:c>
      <ns0:c r="M1787" s="7" t="n">
        <ns0:v>-44956.69062943982</ns0:v>
      </ns0:c>
      <ns0:c r="N1787" s="7" t="n">
        <ns0:v>-24348.20263570389</ns0:v>
      </ns0:c>
      <ns0:c r="O1787" s="7" t="n">
        <ns0:v>-1619.689610678826</ns0:v>
      </ns0:c>
      <ns0:c r="P1787" s="7" t="n">
        <ns0:v>51271.55540495014</ns0:v>
      </ns0:c>
      <ns0:c r="Q1787" s="7" t="n">
        <ns0:v>220836.5354674659</ns0:v>
      </ns0:c>
      <ns0:c r="R1787" s="7" t="n">
        <ns0:v>891313.9656862717</ns0:v>
      </ns0:c>
    </ns0:row>
    <ns0:row r="1788" ht="24" customHeight="1">
      <ns0:c r="A1788" s="3" t="inlineStr">
        <ns0:is>
          <ns0:t>混在40/30/30</ns0:t>
        </ns0:is>
      </ns0:c>
      <ns0:c r="B1788" s="3" t="inlineStr">
        <ns0:is>
          <ns0:t>G3三段階</ns0:t>
        </ns0:is>
      </ns0:c>
      <ns0:c r="C1788" s="3" t="inlineStr">
        <ns0:is>
          <ns0:t>A</ns0:t>
        </ns0:is>
      </ns0:c>
      <ns0:c r="D1788" s="4" t="n">
        <ns0:v>0</ns0:v>
      </ns0:c>
      <ns0:c r="E1788" s="4" t="n">
        <ns0:v>1500</ns0:v>
      </ns0:c>
      <ns0:c r="F1788" s="6" t="n">
        <ns0:v>0.4</ns0:v>
      </ns0:c>
      <ns0:c r="G1788" s="4" t="n">
        <ns0:v>0</ns0:v>
      </ns0:c>
      <ns0:c r="H1788" s="7" t="n">
        <ns0:v>3897.403465581977</ns0:v>
      </ns0:c>
      <ns0:c r="I1788" s="7" t="n">
        <ns0:v>2189.788141426784</ns0:v>
      </ns0:c>
      <ns0:c r="J1788" s="7" t="n">
        <ns0:v>875.9152565707135</ns0:v>
      </ns0:c>
      <ns0:c r="K1788" s="7" t="n">
        <ns0:v>35</ns0:v>
      </ns0:c>
      <ns0:c r="L1788" s="7" t="n">
        <ns0:v>68</ns0:v>
      </ns0:c>
      <ns0:c r="M1788" s="7" t="n">
        <ns0:v>-39802.66398869474</ns0:v>
      </ns0:c>
      <ns0:c r="N1788" s="7" t="n">
        <ns0:v>-8886.122713468649</ns0:v>
      </ns0:c>
      <ns0:c r="O1788" s="7" t="n">
        <ns0:v>24150.44359304659</ns0:v>
      </ns0:c>
      <ns0:c r="P1788" s="7" t="n">
        <ns0:v>102811.821812401</ns0:v>
      </ns0:c>
      <ns0:c r="Q1788" s="7" t="n">
        <ns0:v>375457.3346898184</ns0:v>
      </ns0:c>
      <ns0:c r="R1788" s="7" t="n">
        <ns0:v>1406716.62976078</ns0:v>
      </ns0:c>
    </ns0:row>
    <ns0:row r="1789" ht="24" customHeight="1">
      <ns0:c r="A1789" s="3" t="inlineStr">
        <ns0:is>
          <ns0:t>混在40/30/30</ns0:t>
        </ns0:is>
      </ns0:c>
      <ns0:c r="B1789" s="3" t="inlineStr">
        <ns0:is>
          <ns0:t>G3三段階</ns0:t>
        </ns0:is>
      </ns0:c>
      <ns0:c r="C1789" s="3" t="inlineStr">
        <ns0:is>
          <ns0:t>A</ns0:t>
        </ns0:is>
      </ns0:c>
      <ns0:c r="D1789" s="4" t="n">
        <ns0:v>0</ns0:v>
      </ns0:c>
      <ns0:c r="E1789" s="4" t="n">
        <ns0:v>1500</ns0:v>
      </ns0:c>
      <ns0:c r="F1789" s="6" t="n">
        <ns0:v>0.4</ns0:v>
      </ns0:c>
      <ns0:c r="G1789" s="4" t="n">
        <ns0:v>1</ns0:v>
      </ns0:c>
      <ns0:c r="H1789" s="7" t="n">
        <ns0:v>3897.403465581977</ns0:v>
      </ns0:c>
      <ns0:c r="I1789" s="7" t="n">
        <ns0:v>2189.788141426784</ns0:v>
      </ns0:c>
      <ns0:c r="J1789" s="7" t="n">
        <ns0:v>875.9152565707135</ns0:v>
      </ns0:c>
      <ns0:c r="K1789" s="7" t="n">
        <ns0:v>41</ns0:v>
      </ns0:c>
      <ns0:c r="L1789" s="7" t="n">
        <ns0:v>198</ns0:v>
      </ns0:c>
      <ns0:c r="M1789" s="7" t="n">
        <ns0:v>-42022.20780056005</ns0:v>
      </ns0:c>
      <ns0:c r="N1789" s="7" t="n">
        <ns0:v>-15544.75414906458</ns0:v>
      </ns0:c>
      <ns0:c r="O1789" s="7" t="n">
        <ns0:v>13052.72453372003</ns0:v>
      </ns0:c>
      <ns0:c r="P1789" s="7" t="n">
        <ns0:v>80616.38369374786</ns0:v>
      </ns0:c>
      <ns0:c r="Q1789" s="7" t="n">
        <ns0:v>308871.020333859</ns0:v>
      </ns0:c>
      <ns0:c r="R1789" s="7" t="n">
        <ns0:v>1184762.248574249</ns0:v>
      </ns0:c>
    </ns0:row>
    <ns0:row r="1790" ht="24" customHeight="1">
      <ns0:c r="A1790" s="3" t="inlineStr">
        <ns0:is>
          <ns0:t>混在40/30/30</ns0:t>
        </ns0:is>
      </ns0:c>
      <ns0:c r="B1790" s="3" t="inlineStr">
        <ns0:is>
          <ns0:t>G3三段階</ns0:t>
        </ns0:is>
      </ns0:c>
      <ns0:c r="C1790" s="3" t="inlineStr">
        <ns0:is>
          <ns0:t>A</ns0:t>
        </ns0:is>
      </ns0:c>
      <ns0:c r="D1790" s="4" t="n">
        <ns0:v>0</ns0:v>
      </ns0:c>
      <ns0:c r="E1790" s="4" t="n">
        <ns0:v>1500</ns0:v>
      </ns0:c>
      <ns0:c r="F1790" s="6" t="n">
        <ns0:v>0.4</ns0:v>
      </ns0:c>
      <ns0:c r="G1790" s="4" t="n">
        <ns0:v>2</ns0:v>
      </ns0:c>
      <ns0:c r="H1790" s="7" t="n">
        <ns0:v>3897.403465581977</ns0:v>
      </ns0:c>
      <ns0:c r="I1790" s="7" t="n">
        <ns0:v>2189.788141426784</ns0:v>
      </ns0:c>
      <ns0:c r="J1790" s="7" t="n">
        <ns0:v>875.9152565707135</ns0:v>
      </ns0:c>
      <ns0:c r="K1790" s="7" t="n">
        <ns0:v>407</ns0:v>
      </ns0:c>
      <ns0:c r="L1790" s="18" t="inlineStr">
        <ns0:is>
          <ns0:t>範囲内なし</ns0:t>
        </ns0:is>
      </ns0:c>
      <ns0:c r="M1790" s="7" t="n">
        <ns0:v>-53159.86408759199</ns0:v>
      </ns0:c>
      <ns0:c r="N1790" s="7" t="n">
        <ns0:v>-48957.72301016041</ns0:v>
      </ns0:c>
      <ns0:c r="O1790" s="7" t="n">
        <ns0:v>-42635.55690143969</ns0:v>
      </ns0:c>
      <ns0:c r="P1790" s="7" t="n">
        <ns0:v>-30760.17917657158</ns0:v>
      </ns0:c>
      <ns0:c r="Q1790" s="7" t="n">
        <ns0:v>-25258.66827709926</ns0:v>
      </ns0:c>
      <ns0:c r="R1790" s="7" t="n">
        <ns0:v>70996.61987105408</ns0:v>
      </ns0:c>
    </ns0:row>
    <ns0:row r="1791" ht="24" customHeight="1">
      <ns0:c r="A1791" s="3" t="inlineStr">
        <ns0:is>
          <ns0:t>混在40/30/30</ns0:t>
        </ns0:is>
      </ns0:c>
      <ns0:c r="B1791" s="3" t="inlineStr">
        <ns0:is>
          <ns0:t>G3三段階</ns0:t>
        </ns0:is>
      </ns0:c>
      <ns0:c r="C1791" s="3" t="inlineStr">
        <ns0:is>
          <ns0:t>A</ns0:t>
        </ns0:is>
      </ns0:c>
      <ns0:c r="D1791" s="4" t="n">
        <ns0:v>0</ns0:v>
      </ns0:c>
      <ns0:c r="E1791" s="4" t="n">
        <ns0:v>1500</ns0:v>
      </ns0:c>
      <ns0:c r="F1791" s="6" t="n">
        <ns0:v>0.4</ns0:v>
      </ns0:c>
      <ns0:c r="G1791" s="4" t="n">
        <ns0:v>3</ns0:v>
      </ns0:c>
      <ns0:c r="H1791" s="7" t="n">
        <ns0:v>3897.403465581977</ns0:v>
      </ns0:c>
      <ns0:c r="I1791" s="7" t="n">
        <ns0:v>2189.788141426784</ns0:v>
      </ns0:c>
      <ns0:c r="J1791" s="7" t="n">
        <ns0:v>875.9152565707135</ns0:v>
      </ns0:c>
      <ns0:c r="K1791" s="7" t="n">
        <ns0:v>65</ns0:v>
      </ns0:c>
      <ns0:c r="L1791" s="18" t="inlineStr">
        <ns0:is>
          <ns0:t>範囲内なし</ns0:t>
        </ns0:is>
      </ns0:c>
      <ns0:c r="M1791" s="7" t="n">
        <ns0:v>-47146.4787708666</ns0:v>
      </ns0:c>
      <ns0:c r="N1791" s="7" t="n">
        <ns0:v>-30917.56705998426</ns0:v>
      </ns0:c>
      <ns0:c r="O1791" s="7" t="n">
        <ns0:v>-12568.63031781276</ns0:v>
      </ns0:c>
      <ns0:c r="P1791" s="7" t="n">
        <ns0:v>29373.67399068229</ns0:v>
      </ns0:c>
      <ns0:c r="Q1791" s="7" t="n">
        <ns0:v>155142.8912246623</ns0:v>
      </ns0:c>
      <ns0:c r="R1791" s="7" t="n">
        <ns0:v>672335.1515435928</ns0:v>
      </ns0:c>
    </ns0:row>
    <ns0:row r="1792" ht="24" customHeight="1">
      <ns0:c r="A1792" s="3" t="inlineStr">
        <ns0:is>
          <ns0:t>混在40/30/30</ns0:t>
        </ns0:is>
      </ns0:c>
      <ns0:c r="B1792" s="3" t="inlineStr">
        <ns0:is>
          <ns0:t>G3三段階</ns0:t>
        </ns0:is>
      </ns0:c>
      <ns0:c r="C1792" s="3" t="inlineStr">
        <ns0:is>
          <ns0:t>A</ns0:t>
        </ns0:is>
      </ns0:c>
      <ns0:c r="D1792" s="4" t="n">
        <ns0:v>0</ns0:v>
      </ns0:c>
      <ns0:c r="E1792" s="4" t="n">
        <ns0:v>1500</ns0:v>
      </ns0:c>
      <ns0:c r="F1792" s="6" t="n">
        <ns0:v>0.5</ns0:v>
      </ns0:c>
      <ns0:c r="G1792" s="4" t="n">
        <ns0:v>0</ns0:v>
      </ns0:c>
      <ns0:c r="H1792" s="7" t="n">
        <ns0:v>3897.403465581977</ns0:v>
      </ns0:c>
      <ns0:c r="I1792" s="7" t="n">
        <ns0:v>2189.788141426784</ns0:v>
      </ns0:c>
      <ns0:c r="J1792" s="7" t="n">
        <ns0:v>1094.894070713392</ns0:v>
      </ns0:c>
      <ns0:c r="K1792" s="7" t="n">
        <ns0:v>41</ns0:v>
      </ns0:c>
      <ns0:c r="L1792" s="7" t="n">
        <ns0:v>80</ns0:v>
      </ns0:c>
      <ns0:c r="M1792" s="7" t="n">
        <ns0:v>-41992.45213012153</ns0:v>
      </ns0:c>
      <ns0:c r="N1792" s="7" t="n">
        <ns0:v>-15455.48713774899</ns0:v>
      </ns0:c>
      <ns0:c r="O1792" s="7" t="n">
        <ns0:v>13201.50288591268</ns0:v>
      </ns0:c>
      <ns0:c r="P1792" s="7" t="n">
        <ns0:v>80913.94039813316</ns0:v>
      </ns0:c>
      <ns0:c r="Q1792" s="7" t="n">
        <ns0:v>309763.690447015</ns0:v>
      </ns0:c>
      <ns0:c r="R1792" s="7" t="n">
        <ns0:v>1187737.815618102</ns0:v>
      </ns0:c>
    </ns0:row>
    <ns0:row r="1793" ht="24" customHeight="1">
      <ns0:c r="A1793" s="3" t="inlineStr">
        <ns0:is>
          <ns0:t>混在40/30/30</ns0:t>
        </ns0:is>
      </ns0:c>
      <ns0:c r="B1793" s="3" t="inlineStr">
        <ns0:is>
          <ns0:t>G3三段階</ns0:t>
        </ns0:is>
      </ns0:c>
      <ns0:c r="C1793" s="3" t="inlineStr">
        <ns0:is>
          <ns0:t>A</ns0:t>
        </ns0:is>
      </ns0:c>
      <ns0:c r="D1793" s="4" t="n">
        <ns0:v>0</ns0:v>
      </ns0:c>
      <ns0:c r="E1793" s="4" t="n">
        <ns0:v>1500</ns0:v>
      </ns0:c>
      <ns0:c r="F1793" s="6" t="n">
        <ns0:v>0.5</ns0:v>
      </ns0:c>
      <ns0:c r="G1793" s="4" t="n">
        <ns0:v>1</ns0:v>
      </ns0:c>
      <ns0:c r="H1793" s="7" t="n">
        <ns0:v>3897.403465581977</ns0:v>
      </ns0:c>
      <ns0:c r="I1793" s="7" t="n">
        <ns0:v>2189.788141426784</ns0:v>
      </ns0:c>
      <ns0:c r="J1793" s="7" t="n">
        <ns0:v>1094.894070713392</ns0:v>
      </ns0:c>
      <ns0:c r="K1793" s="7" t="n">
        <ns0:v>49</ns0:v>
      </ns0:c>
      <ns0:c r="L1793" s="7" t="n">
        <ns0:v>266</ns0:v>
      </ns0:c>
      <ns0:c r="M1793" s="7" t="n">
        <ns0:v>-44211.99594198684</ns0:v>
      </ns0:c>
      <ns0:c r="N1793" s="7" t="n">
        <ns0:v>-22114.11857334493</ns0:v>
      </ns0:c>
      <ns0:c r="O1793" s="7" t="n">
        <ns0:v>2103.783826586114</ns0:v>
      </ns0:c>
      <ns0:c r="P1793" s="7" t="n">
        <ns0:v>58718.50227948002</ns0:v>
      </ns0:c>
      <ns0:c r="Q1793" s="7" t="n">
        <ns0:v>243177.3760910556</ns0:v>
      </ns0:c>
      <ns0:c r="R1793" s="7" t="n">
        <ns0:v>965783.4344315702</ns0:v>
      </ns0:c>
    </ns0:row>
    <ns0:row r="1794" ht="24" customHeight="1">
      <ns0:c r="A1794" s="3" t="inlineStr">
        <ns0:is>
          <ns0:t>混在40/30/30</ns0:t>
        </ns0:is>
      </ns0:c>
      <ns0:c r="B1794" s="3" t="inlineStr">
        <ns0:is>
          <ns0:t>G3三段階</ns0:t>
        </ns0:is>
      </ns0:c>
      <ns0:c r="C1794" s="3" t="inlineStr">
        <ns0:is>
          <ns0:t>A</ns0:t>
        </ns0:is>
      </ns0:c>
      <ns0:c r="D1794" s="4" t="n">
        <ns0:v>0</ns0:v>
      </ns0:c>
      <ns0:c r="E1794" s="4" t="n">
        <ns0:v>1500</ns0:v>
      </ns0:c>
      <ns0:c r="F1794" s="6" t="n">
        <ns0:v>0.5</ns0:v>
      </ns0:c>
      <ns0:c r="G1794" s="4" t="n">
        <ns0:v>2</ns0:v>
      </ns0:c>
      <ns0:c r="H1794" s="7" t="n">
        <ns0:v>3897.403465581977</ns0:v>
      </ns0:c>
      <ns0:c r="I1794" s="7" t="n">
        <ns0:v>2189.788141426784</ns0:v>
      </ns0:c>
      <ns0:c r="J1794" s="7" t="n">
        <ns0:v>1094.894070713392</ns0:v>
      </ns0:c>
      <ns0:c r="K1794" s="18" t="inlineStr">
        <ns0:is>
          <ns0:t>範囲内なし</ns0:t>
        </ns0:is>
      </ns0:c>
      <ns0:c r="L1794" s="18" t="inlineStr">
        <ns0:is>
          <ns0:t>範囲内なし</ns0:t>
        </ns0:is>
      </ns0:c>
      <ns0:c r="M1794" s="7" t="n">
        <ns0:v>-55349.65222901878</ns0:v>
      </ns0:c>
      <ns0:c r="N1794" s="7" t="n">
        <ns0:v>-55527.08743444076</ns0:v>
      </ns0:c>
      <ns0:c r="O1794" s="7" t="n">
        <ns0:v>-53584.4976085736</ns0:v>
      </ns0:c>
      <ns0:c r="P1794" s="7" t="n">
        <ns0:v>-52658.06059083939</ns0:v>
      </ns0:c>
      <ns0:c r="Q1794" s="7" t="n">
        <ns0:v>-90952.31251990268</ns0:v>
      </ns0:c>
      <ns0:c r="R1794" s="7" t="n">
        <ns0:v>-147982.1942716242</ns0:v>
      </ns0:c>
    </ns0:row>
    <ns0:row r="1795" ht="24" customHeight="1">
      <ns0:c r="A1795" s="3" t="inlineStr">
        <ns0:is>
          <ns0:t>混在40/30/30</ns0:t>
        </ns0:is>
      </ns0:c>
      <ns0:c r="B1795" s="3" t="inlineStr">
        <ns0:is>
          <ns0:t>G3三段階</ns0:t>
        </ns0:is>
      </ns0:c>
      <ns0:c r="C1795" s="3" t="inlineStr">
        <ns0:is>
          <ns0:t>A</ns0:t>
        </ns0:is>
      </ns0:c>
      <ns0:c r="D1795" s="4" t="n">
        <ns0:v>0</ns0:v>
      </ns0:c>
      <ns0:c r="E1795" s="4" t="n">
        <ns0:v>1500</ns0:v>
      </ns0:c>
      <ns0:c r="F1795" s="6" t="n">
        <ns0:v>0.5</ns0:v>
      </ns0:c>
      <ns0:c r="G1795" s="4" t="n">
        <ns0:v>3</ns0:v>
      </ns0:c>
      <ns0:c r="H1795" s="7" t="n">
        <ns0:v>3897.403465581977</ns0:v>
      </ns0:c>
      <ns0:c r="I1795" s="7" t="n">
        <ns0:v>2189.788141426784</ns0:v>
      </ns0:c>
      <ns0:c r="J1795" s="7" t="n">
        <ns0:v>1094.894070713392</ns0:v>
      </ns0:c>
      <ns0:c r="K1795" s="7" t="n">
        <ns0:v>88</ns0:v>
      </ns0:c>
      <ns0:c r="L1795" s="18" t="inlineStr">
        <ns0:is>
          <ns0:t>範囲内なし</ns0:t>
        </ns0:is>
      </ns0:c>
      <ns0:c r="M1795" s="7" t="n">
        <ns0:v>-49336.26691229339</ns0:v>
      </ns0:c>
      <ns0:c r="N1795" s="7" t="n">
        <ns0:v>-37486.9314842646</ns0:v>
      </ns0:c>
      <ns0:c r="O1795" s="7" t="n">
        <ns0:v>-23517.57102494666</ns0:v>
      </ns0:c>
      <ns0:c r="P1795" s="7" t="n">
        <ns0:v>7475.79257641446</ns0:v>
      </ns0:c>
      <ns0:c r="Q1795" s="7" t="n">
        <ns0:v>89449.24698185892</ns0:v>
      </ns0:c>
      <ns0:c r="R1795" s="7" t="n">
        <ns0:v>453356.3374009145</ns0:v>
      </ns0:c>
    </ns0:row>
    <ns0:row r="1796" ht="24" customHeight="1">
      <ns0:c r="A1796" s="3" t="inlineStr">
        <ns0:is>
          <ns0:t>混在40/30/30</ns0:t>
        </ns0:is>
      </ns0:c>
      <ns0:c r="B1796" s="3" t="inlineStr">
        <ns0:is>
          <ns0:t>G3三段階</ns0:t>
        </ns0:is>
      </ns0:c>
      <ns0:c r="C1796" s="3" t="inlineStr">
        <ns0:is>
          <ns0:t>A</ns0:t>
        </ns0:is>
      </ns0:c>
      <ns0:c r="D1796" s="4" t="n">
        <ns0:v>1</ns0:v>
      </ns0:c>
      <ns0:c r="E1796" s="4" t="n">
        <ns0:v>500</ns0:v>
      </ns0:c>
      <ns0:c r="F1796" s="6" t="n">
        <ns0:v>0.3</ns0:v>
      </ns0:c>
      <ns0:c r="G1796" s="4" t="n">
        <ns0:v>0</ns0:v>
      </ns0:c>
      <ns0:c r="H1796" s="7" t="n">
        <ns0:v>5394.995648634231</ns0:v>
      </ns0:c>
      <ns0:c r="I1796" s="7" t="n">
        <ns0:v>2713.688554504365</ns0:v>
      </ns0:c>
      <ns0:c r="J1796" s="7" t="n">
        <ns0:v>814.1065663513093</ns0:v>
      </ns0:c>
      <ns0:c r="K1796" s="7" t="n">
        <ns0:v>21</ns0:v>
      </ns0:c>
      <ns0:c r="L1796" s="7" t="n">
        <ns0:v>32</ns0:v>
      </ns0:c>
      <ns0:c r="M1796" s="7" t="n">
        <ns0:v>-25123.17839541661</ns0:v>
      </ns0:c>
      <ns0:c r="N1796" s="7" t="n">
        <ns0:v>27862.83685966184</ns0:v>
      </ns0:c>
      <ns0:c r="O1796" s="7" t="n">
        <ns0:v>82778.68451697491</ns0:v>
      </ns0:c>
      <ns0:c r="P1796" s="7" t="n">
        <ns0:v>220068.3036602576</ns0:v>
      </ns0:c>
      <ns0:c r="Q1796" s="7" t="n">
        <ns0:v>727226.7802333888</ns0:v>
      </ns0:c>
      <ns0:c r="R1796" s="7" t="n">
        <ns0:v>2579281.448239347</ns0:v>
      </ns0:c>
    </ns0:row>
    <ns0:row r="1797" ht="24" customHeight="1">
      <ns0:c r="A1797" s="3" t="inlineStr">
        <ns0:is>
          <ns0:t>混在40/30/30</ns0:t>
        </ns0:is>
      </ns0:c>
      <ns0:c r="B1797" s="3" t="inlineStr">
        <ns0:is>
          <ns0:t>G3三段階</ns0:t>
        </ns0:is>
      </ns0:c>
      <ns0:c r="C1797" s="3" t="inlineStr">
        <ns0:is>
          <ns0:t>A</ns0:t>
        </ns0:is>
      </ns0:c>
      <ns0:c r="D1797" s="4" t="n">
        <ns0:v>1</ns0:v>
      </ns0:c>
      <ns0:c r="E1797" s="4" t="n">
        <ns0:v>500</ns0:v>
      </ns0:c>
      <ns0:c r="F1797" s="6" t="n">
        <ns0:v>0.3</ns0:v>
      </ns0:c>
      <ns0:c r="G1797" s="4" t="n">
        <ns0:v>1</ns0:v>
      </ns0:c>
      <ns0:c r="H1797" s="7" t="n">
        <ns0:v>5394.995648634231</ns0:v>
      </ns0:c>
      <ns0:c r="I1797" s="7" t="n">
        <ns0:v>2713.688554504365</ns0:v>
      </ns0:c>
      <ns0:c r="J1797" s="7" t="n">
        <ns0:v>814.1065663513093</ns0:v>
      </ns0:c>
      <ns0:c r="K1797" s="7" t="n">
        <ns0:v>23</ns0:v>
      </ns0:c>
      <ns0:c r="L1797" s="7" t="n">
        <ns0:v>41</ns0:v>
      </ns0:c>
      <ns0:c r="M1797" s="7" t="n">
        <ns0:v>-27692.39646338089</ns0:v>
      </ns0:c>
      <ns0:c r="N1797" s="7" t="n">
        <ns0:v>20155.18265576902</ns0:v>
      </ns0:c>
      <ns0:c r="O1797" s="7" t="n">
        <ns0:v>69932.59417715356</ns0:v>
      </ns0:c>
      <ns0:c r="P1797" s="7" t="n">
        <ns0:v>194376.1229806149</ns0:v>
      </ns0:c>
      <ns0:c r="Q1797" s="7" t="n">
        <ns0:v>650150.2381944606</ns0:v>
      </ns0:c>
      <ns0:c r="R1797" s="7" t="n">
        <ns0:v>2322359.64144292</ns0:v>
      </ns0:c>
    </ns0:row>
    <ns0:row r="1798" ht="24" customHeight="1">
      <ns0:c r="A1798" s="3" t="inlineStr">
        <ns0:is>
          <ns0:t>混在40/30/30</ns0:t>
        </ns0:is>
      </ns0:c>
      <ns0:c r="B1798" s="3" t="inlineStr">
        <ns0:is>
          <ns0:t>G3三段階</ns0:t>
        </ns0:is>
      </ns0:c>
      <ns0:c r="C1798" s="3" t="inlineStr">
        <ns0:is>
          <ns0:t>A</ns0:t>
        </ns0:is>
      </ns0:c>
      <ns0:c r="D1798" s="4" t="n">
        <ns0:v>1</ns0:v>
      </ns0:c>
      <ns0:c r="E1798" s="4" t="n">
        <ns0:v>500</ns0:v>
      </ns0:c>
      <ns0:c r="F1798" s="6" t="n">
        <ns0:v>0.3</ns0:v>
      </ns0:c>
      <ns0:c r="G1798" s="4" t="n">
        <ns0:v>2</ns0:v>
      </ns0:c>
      <ns0:c r="H1798" s="7" t="n">
        <ns0:v>5394.995648634231</ns0:v>
      </ns0:c>
      <ns0:c r="I1798" s="7" t="n">
        <ns0:v>2713.688554504365</ns0:v>
      </ns0:c>
      <ns0:c r="J1798" s="7" t="n">
        <ns0:v>814.1065663513093</ns0:v>
      </ns0:c>
      <ns0:c r="K1798" s="7" t="n">
        <ns0:v>264</ns0:v>
      </ns0:c>
      <ns0:c r="L1798" s="18" t="inlineStr">
        <ns0:is>
          <ns0:t>範囲内なし</ns0:t>
        </ns0:is>
      </ns0:c>
      <ns0:c r="M1798" s="7" t="n">
        <ns0:v>-48924.23499472198</ns0:v>
      </ns0:c>
      <ns0:c r="N1798" s="7" t="n">
        <ns0:v>-43540.33293825425</ns0:v>
      </ns0:c>
      <ns0:c r="O1798" s="7" t="n">
        <ns0:v>-36226.59847955188</ns0:v>
      </ns0:c>
      <ns0:c r="P1798" s="7" t="n">
        <ns0:v>-17942.26233279597</ns0:v>
      </ns0:c>
      <ns0:c r="Q1798" s="7" t="n">
        <ns0:v>13195.08225422795</ns0:v>
      </ns0:c>
      <ns0:c r="R1798" s="7" t="n">
        <ns0:v>199175.7883088116</ns0:v>
      </ns0:c>
    </ns0:row>
    <ns0:row r="1799" ht="24" customHeight="1">
      <ns0:c r="A1799" s="3" t="inlineStr">
        <ns0:is>
          <ns0:t>混在40/30/30</ns0:t>
        </ns0:is>
      </ns0:c>
      <ns0:c r="B1799" s="3" t="inlineStr">
        <ns0:is>
          <ns0:t>G3三段階</ns0:t>
        </ns0:is>
      </ns0:c>
      <ns0:c r="C1799" s="3" t="inlineStr">
        <ns0:is>
          <ns0:t>A</ns0:t>
        </ns0:is>
      </ns0:c>
      <ns0:c r="D1799" s="4" t="n">
        <ns0:v>1</ns0:v>
      </ns0:c>
      <ns0:c r="E1799" s="4" t="n">
        <ns0:v>500</ns0:v>
      </ns0:c>
      <ns0:c r="F1799" s="6" t="n">
        <ns0:v>0.3</ns0:v>
      </ns0:c>
      <ns0:c r="G1799" s="4" t="n">
        <ns0:v>3</ns0:v>
      </ns0:c>
      <ns0:c r="H1799" s="7" t="n">
        <ns0:v>5394.995648634231</ns0:v>
      </ns0:c>
      <ns0:c r="I1799" s="7" t="n">
        <ns0:v>2713.688554504365</ns0:v>
      </ns0:c>
      <ns0:c r="J1799" s="7" t="n">
        <ns0:v>814.1065663513093</ns0:v>
      </ns0:c>
      <ns0:c r="K1799" s="7" t="n">
        <ns0:v>29</ns0:v>
      </ns0:c>
      <ns0:c r="L1799" s="7" t="n">
        <ns0:v>198</ns0:v>
      </ns0:c>
      <ns0:c r="M1799" s="7" t="n">
        <ns0:v>-33333.14389163468</ns0:v>
      </ns0:c>
      <ns0:c r="N1799" s="7" t="n">
        <ns0:v>3232.940371007626</ns0:v>
      </ns0:c>
      <ns0:c r="O1799" s="7" t="n">
        <ns0:v>41728.85703588455</ns0:v>
      </ns0:c>
      <ns0:c r="P1799" s="7" t="n">
        <ns0:v>137968.6486980769</ns0:v>
      </ns0:c>
      <ns0:c r="Q1799" s="7" t="n">
        <ns0:v>480927.8153468466</ns0:v>
      </ns0:c>
      <ns0:c r="R1799" s="7" t="n">
        <ns0:v>1758284.89861754</ns0:v>
      </ns0:c>
    </ns0:row>
    <ns0:row r="1800" ht="24" customHeight="1">
      <ns0:c r="A1800" s="3" t="inlineStr">
        <ns0:is>
          <ns0:t>混在40/30/30</ns0:t>
        </ns0:is>
      </ns0:c>
      <ns0:c r="B1800" s="3" t="inlineStr">
        <ns0:is>
          <ns0:t>G3三段階</ns0:t>
        </ns0:is>
      </ns0:c>
      <ns0:c r="C1800" s="3" t="inlineStr">
        <ns0:is>
          <ns0:t>A</ns0:t>
        </ns0:is>
      </ns0:c>
      <ns0:c r="D1800" s="4" t="n">
        <ns0:v>1</ns0:v>
      </ns0:c>
      <ns0:c r="E1800" s="4" t="n">
        <ns0:v>500</ns0:v>
      </ns0:c>
      <ns0:c r="F1800" s="6" t="n">
        <ns0:v>0.4</ns0:v>
      </ns0:c>
      <ns0:c r="G1800" s="4" t="n">
        <ns0:v>0</ns0:v>
      </ns0:c>
      <ns0:c r="H1800" s="7" t="n">
        <ns0:v>5394.995648634231</ns0:v>
      </ns0:c>
      <ns0:c r="I1800" s="7" t="n">
        <ns0:v>2713.688554504365</ns0:v>
      </ns0:c>
      <ns0:c r="J1800" s="7" t="n">
        <ns0:v>1085.475421801746</ns0:v>
      </ns0:c>
      <ns0:c r="K1800" s="7" t="n">
        <ns0:v>23</ns0:v>
      </ns0:c>
      <ns0:c r="L1800" s="7" t="n">
        <ns0:v>35</ns0:v>
      </ns0:c>
      <ns0:c r="M1800" s="7" t="n">
        <ns0:v>-27836.86694992098</ns0:v>
      </ns0:c>
      <ns0:c r="N1800" s="7" t="n">
        <ns0:v>19721.77119614874</ns0:v>
      </ns0:c>
      <ns0:c r="O1800" s="7" t="n">
        <ns0:v>69210.24174445307</ns0:v>
      </ns0:c>
      <ns0:c r="P1800" s="7" t="n">
        <ns0:v>192931.4181152139</ns0:v>
      </ns0:c>
      <ns0:c r="Q1800" s="7" t="n">
        <ns0:v>645816.1235982578</ns0:v>
      </ns0:c>
      <ns0:c r="R1800" s="7" t="n">
        <ns0:v>2307912.592788911</ns0:v>
      </ns0:c>
    </ns0:row>
    <ns0:row r="1801" ht="24" customHeight="1">
      <ns0:c r="A1801" s="3" t="inlineStr">
        <ns0:is>
          <ns0:t>混在40/30/30</ns0:t>
        </ns0:is>
      </ns0:c>
      <ns0:c r="B1801" s="3" t="inlineStr">
        <ns0:is>
          <ns0:t>G3三段階</ns0:t>
        </ns0:is>
      </ns0:c>
      <ns0:c r="C1801" s="3" t="inlineStr">
        <ns0:is>
          <ns0:t>A</ns0:t>
        </ns0:is>
      </ns0:c>
      <ns0:c r="D1801" s="4" t="n">
        <ns0:v>1</ns0:v>
      </ns0:c>
      <ns0:c r="E1801" s="4" t="n">
        <ns0:v>500</ns0:v>
      </ns0:c>
      <ns0:c r="F1801" s="6" t="n">
        <ns0:v>0.4</ns0:v>
      </ns0:c>
      <ns0:c r="G1801" s="4" t="n">
        <ns0:v>1</ns0:v>
      </ns0:c>
      <ns0:c r="H1801" s="7" t="n">
        <ns0:v>5394.995648634231</ns0:v>
      </ns0:c>
      <ns0:c r="I1801" s="7" t="n">
        <ns0:v>2713.688554504365</ns0:v>
      </ns0:c>
      <ns0:c r="J1801" s="7" t="n">
        <ns0:v>1085.475421801746</ns0:v>
      </ns0:c>
      <ns0:c r="K1801" s="7" t="n">
        <ns0:v>25</ns0:v>
      </ns0:c>
      <ns0:c r="L1801" s="7" t="n">
        <ns0:v>46</ns0:v>
      </ns0:c>
      <ns0:c r="M1801" s="7" t="n">
        <ns0:v>-30406.08501788525</ns0:v>
      </ns0:c>
      <ns0:c r="N1801" s="7" t="n">
        <ns0:v>12014.11699225593</ns0:v>
      </ns0:c>
      <ns0:c r="O1801" s="7" t="n">
        <ns0:v>56364.15140463172</ns0:v>
      </ns0:c>
      <ns0:c r="P1801" s="7" t="n">
        <ns0:v>167239.2374355712</ns0:v>
      </ns0:c>
      <ns0:c r="Q1801" s="7" t="n">
        <ns0:v>568739.5815593298</ns0:v>
      </ns0:c>
      <ns0:c r="R1801" s="7" t="n">
        <ns0:v>2050990.785992484</ns0:v>
      </ns0:c>
    </ns0:row>
    <ns0:row r="1802" ht="24" customHeight="1">
      <ns0:c r="A1802" s="3" t="inlineStr">
        <ns0:is>
          <ns0:t>混在40/30/30</ns0:t>
        </ns0:is>
      </ns0:c>
      <ns0:c r="B1802" s="3" t="inlineStr">
        <ns0:is>
          <ns0:t>G3三段階</ns0:t>
        </ns0:is>
      </ns0:c>
      <ns0:c r="C1802" s="3" t="inlineStr">
        <ns0:is>
          <ns0:t>A</ns0:t>
        </ns0:is>
      </ns0:c>
      <ns0:c r="D1802" s="4" t="n">
        <ns0:v>1</ns0:v>
      </ns0:c>
      <ns0:c r="E1802" s="4" t="n">
        <ns0:v>500</ns0:v>
      </ns0:c>
      <ns0:c r="F1802" s="6" t="n">
        <ns0:v>0.4</ns0:v>
      </ns0:c>
      <ns0:c r="G1802" s="4" t="n">
        <ns0:v>2</ns0:v>
      </ns0:c>
      <ns0:c r="H1802" s="7" t="n">
        <ns0:v>5394.995648634231</ns0:v>
      </ns0:c>
      <ns0:c r="I1802" s="7" t="n">
        <ns0:v>2713.688554504365</ns0:v>
      </ns0:c>
      <ns0:c r="J1802" s="7" t="n">
        <ns0:v>1085.475421801746</ns0:v>
      </ns0:c>
      <ns0:c r="K1802" s="18" t="inlineStr">
        <ns0:is>
          <ns0:t>範囲内なし</ns0:t>
        </ns0:is>
      </ns0:c>
      <ns0:c r="L1802" s="18" t="inlineStr">
        <ns0:is>
          <ns0:t>範囲内なし</ns0:t>
        </ns0:is>
      </ns0:c>
      <ns0:c r="M1802" s="7" t="n">
        <ns0:v>-51637.92354922634</ns0:v>
      </ns0:c>
      <ns0:c r="N1802" s="7" t="n">
        <ns0:v>-51681.39860176732</ns0:v>
      </ns0:c>
      <ns0:c r="O1802" s="7" t="n">
        <ns0:v>-49795.04125207372</ns0:v>
      </ns0:c>
      <ns0:c r="P1802" s="7" t="n">
        <ns0:v>-45079.14787783967</ns0:v>
      </ns0:c>
      <ns0:c r="Q1802" s="7" t="n">
        <ns0:v>-68215.57438090298</ns0:v>
      </ns0:c>
      <ns0:c r="R1802" s="7" t="n">
        <ns0:v>-72193.06714162487</ns0:v>
      </ns0:c>
    </ns0:row>
    <ns0:row r="1803" ht="24" customHeight="1">
      <ns0:c r="A1803" s="3" t="inlineStr">
        <ns0:is>
          <ns0:t>混在40/30/30</ns0:t>
        </ns0:is>
      </ns0:c>
      <ns0:c r="B1803" s="3" t="inlineStr">
        <ns0:is>
          <ns0:t>G3三段階</ns0:t>
        </ns0:is>
      </ns0:c>
      <ns0:c r="C1803" s="3" t="inlineStr">
        <ns0:is>
          <ns0:t>A</ns0:t>
        </ns0:is>
      </ns0:c>
      <ns0:c r="D1803" s="4" t="n">
        <ns0:v>1</ns0:v>
      </ns0:c>
      <ns0:c r="E1803" s="4" t="n">
        <ns0:v>500</ns0:v>
      </ns0:c>
      <ns0:c r="F1803" s="6" t="n">
        <ns0:v>0.4</ns0:v>
      </ns0:c>
      <ns0:c r="G1803" s="4" t="n">
        <ns0:v>3</ns0:v>
      </ns0:c>
      <ns0:c r="H1803" s="7" t="n">
        <ns0:v>5394.995648634231</ns0:v>
      </ns0:c>
      <ns0:c r="I1803" s="7" t="n">
        <ns0:v>2713.688554504365</ns0:v>
      </ns0:c>
      <ns0:c r="J1803" s="7" t="n">
        <ns0:v>1085.475421801746</ns0:v>
      </ns0:c>
      <ns0:c r="K1803" s="7" t="n">
        <ns0:v>33</ns0:v>
      </ns0:c>
      <ns0:c r="L1803" s="7" t="n">
        <ns0:v>295</ns0:v>
      </ns0:c>
      <ns0:c r="M1803" s="7" t="n">
        <ns0:v>-36046.83244613905</ns0:v>
      </ns0:c>
      <ns0:c r="N1803" s="7" t="n">
        <ns0:v>-4908.125292505469</ns0:v>
      </ns0:c>
      <ns0:c r="O1803" s="7" t="n">
        <ns0:v>28160.41426336271</ns0:v>
      </ns0:c>
      <ns0:c r="P1803" s="7" t="n">
        <ns0:v>110831.7631530332</ns0:v>
      </ns0:c>
      <ns0:c r="Q1803" s="7" t="n">
        <ns0:v>399517.1587117157</ns0:v>
      </ns0:c>
      <ns0:c r="R1803" s="7" t="n">
        <ns0:v>1486916.043167104</ns0:v>
      </ns0:c>
    </ns0:row>
    <ns0:row r="1804" ht="24" customHeight="1">
      <ns0:c r="A1804" s="3" t="inlineStr">
        <ns0:is>
          <ns0:t>混在40/30/30</ns0:t>
        </ns0:is>
      </ns0:c>
      <ns0:c r="B1804" s="3" t="inlineStr">
        <ns0:is>
          <ns0:t>G3三段階</ns0:t>
        </ns0:is>
      </ns0:c>
      <ns0:c r="C1804" s="3" t="inlineStr">
        <ns0:is>
          <ns0:t>A</ns0:t>
        </ns0:is>
      </ns0:c>
      <ns0:c r="D1804" s="4" t="n">
        <ns0:v>1</ns0:v>
      </ns0:c>
      <ns0:c r="E1804" s="4" t="n">
        <ns0:v>500</ns0:v>
      </ns0:c>
      <ns0:c r="F1804" s="6" t="n">
        <ns0:v>0.5</ns0:v>
      </ns0:c>
      <ns0:c r="G1804" s="4" t="n">
        <ns0:v>0</ns0:v>
      </ns0:c>
      <ns0:c r="H1804" s="7" t="n">
        <ns0:v>5394.995648634231</ns0:v>
      </ns0:c>
      <ns0:c r="I1804" s="7" t="n">
        <ns0:v>2713.688554504365</ns0:v>
      </ns0:c>
      <ns0:c r="J1804" s="7" t="n">
        <ns0:v>1356.844277252182</ns0:v>
      </ns0:c>
      <ns0:c r="K1804" s="7" t="n">
        <ns0:v>25</ns0:v>
      </ns0:c>
      <ns0:c r="L1804" s="7" t="n">
        <ns0:v>38</ns0:v>
      </ns0:c>
      <ns0:c r="M1804" s="7" t="n">
        <ns0:v>-30550.55550442535</ns0:v>
      </ns0:c>
      <ns0:c r="N1804" s="7" t="n">
        <ns0:v>11580.70553263567</ns0:v>
      </ns0:c>
      <ns0:c r="O1804" s="7" t="n">
        <ns0:v>55641.79897193126</ns0:v>
      </ns0:c>
      <ns0:c r="P1804" s="7" t="n">
        <ns0:v>165794.5325701703</ns0:v>
      </ns0:c>
      <ns0:c r="Q1804" s="7" t="n">
        <ns0:v>564405.4669631268</ns0:v>
      </ns0:c>
      <ns0:c r="R1804" s="7" t="n">
        <ns0:v>2036543.737338474</ns0:v>
      </ns0:c>
    </ns0:row>
    <ns0:row r="1805" ht="24" customHeight="1">
      <ns0:c r="A1805" s="3" t="inlineStr">
        <ns0:is>
          <ns0:t>混在40/30/30</ns0:t>
        </ns0:is>
      </ns0:c>
      <ns0:c r="B1805" s="3" t="inlineStr">
        <ns0:is>
          <ns0:t>G3三段階</ns0:t>
        </ns0:is>
      </ns0:c>
      <ns0:c r="C1805" s="3" t="inlineStr">
        <ns0:is>
          <ns0:t>A</ns0:t>
        </ns0:is>
      </ns0:c>
      <ns0:c r="D1805" s="4" t="n">
        <ns0:v>1</ns0:v>
      </ns0:c>
      <ns0:c r="E1805" s="4" t="n">
        <ns0:v>500</ns0:v>
      </ns0:c>
      <ns0:c r="F1805" s="6" t="n">
        <ns0:v>0.5</ns0:v>
      </ns0:c>
      <ns0:c r="G1805" s="4" t="n">
        <ns0:v>1</ns0:v>
      </ns0:c>
      <ns0:c r="H1805" s="7" t="n">
        <ns0:v>5394.995648634231</ns0:v>
      </ns0:c>
      <ns0:c r="I1805" s="7" t="n">
        <ns0:v>2713.688554504365</ns0:v>
      </ns0:c>
      <ns0:c r="J1805" s="7" t="n">
        <ns0:v>1356.844277252182</ns0:v>
      </ns0:c>
      <ns0:c r="K1805" s="7" t="n">
        <ns0:v>29</ns0:v>
      </ns0:c>
      <ns0:c r="L1805" s="7" t="n">
        <ns0:v>53</ns0:v>
      </ns0:c>
      <ns0:c r="M1805" s="7" t="n">
        <ns0:v>-33119.77357238962</ns0:v>
      </ns0:c>
      <ns0:c r="N1805" s="7" t="n">
        <ns0:v>3873.051328742851</ns0:v>
      </ns0:c>
      <ns0:c r="O1805" s="7" t="n">
        <ns0:v>42795.70863210991</ns0:v>
      </ns0:c>
      <ns0:c r="P1805" s="7" t="n">
        <ns0:v>140102.3518905276</ns0:v>
      </ns0:c>
      <ns0:c r="Q1805" s="7" t="n">
        <ns0:v>487328.9249241987</ns0:v>
      </ns0:c>
      <ns0:c r="R1805" s="7" t="n">
        <ns0:v>1779621.930542047</ns0:v>
      </ns0:c>
    </ns0:row>
    <ns0:row r="1806" ht="24" customHeight="1">
      <ns0:c r="A1806" s="3" t="inlineStr">
        <ns0:is>
          <ns0:t>混在40/30/30</ns0:t>
        </ns0:is>
      </ns0:c>
      <ns0:c r="B1806" s="3" t="inlineStr">
        <ns0:is>
          <ns0:t>G3三段階</ns0:t>
        </ns0:is>
      </ns0:c>
      <ns0:c r="C1806" s="3" t="inlineStr">
        <ns0:is>
          <ns0:t>A</ns0:t>
        </ns0:is>
      </ns0:c>
      <ns0:c r="D1806" s="4" t="n">
        <ns0:v>1</ns0:v>
      </ns0:c>
      <ns0:c r="E1806" s="4" t="n">
        <ns0:v>500</ns0:v>
      </ns0:c>
      <ns0:c r="F1806" s="6" t="n">
        <ns0:v>0.5</ns0:v>
      </ns0:c>
      <ns0:c r="G1806" s="4" t="n">
        <ns0:v>2</ns0:v>
      </ns0:c>
      <ns0:c r="H1806" s="7" t="n">
        <ns0:v>5394.995648634231</ns0:v>
      </ns0:c>
      <ns0:c r="I1806" s="7" t="n">
        <ns0:v>2713.688554504365</ns0:v>
      </ns0:c>
      <ns0:c r="J1806" s="7" t="n">
        <ns0:v>1356.844277252182</ns0:v>
      </ns0:c>
      <ns0:c r="K1806" s="18" t="inlineStr">
        <ns0:is>
          <ns0:t>範囲内なし</ns0:t>
        </ns0:is>
      </ns0:c>
      <ns0:c r="L1806" s="18" t="inlineStr">
        <ns0:is>
          <ns0:t>範囲内なし</ns0:t>
        </ns0:is>
      </ns0:c>
      <ns0:c r="M1806" s="7" t="n">
        <ns0:v>-54351.6121037307</ns0:v>
      </ns0:c>
      <ns0:c r="N1806" s="7" t="n">
        <ns0:v>-59822.46426528041</ns0:v>
      </ns0:c>
      <ns0:c r="O1806" s="7" t="n">
        <ns0:v>-63363.48402459553</ns0:v>
      </ns0:c>
      <ns0:c r="P1806" s="7" t="n">
        <ns0:v>-72216.03342288329</ns0:v>
      </ns0:c>
      <ns0:c r="Q1806" s="7" t="n">
        <ns0:v>-149626.231016034</ns0:v>
      </ns0:c>
      <ns0:c r="R1806" s="7" t="n">
        <ns0:v>-343561.9225920618</ns0:v>
      </ns0:c>
    </ns0:row>
    <ns0:row r="1807" ht="24" customHeight="1">
      <ns0:c r="A1807" s="3" t="inlineStr">
        <ns0:is>
          <ns0:t>混在40/30/30</ns0:t>
        </ns0:is>
      </ns0:c>
      <ns0:c r="B1807" s="3" t="inlineStr">
        <ns0:is>
          <ns0:t>G3三段階</ns0:t>
        </ns0:is>
      </ns0:c>
      <ns0:c r="C1807" s="3" t="inlineStr">
        <ns0:is>
          <ns0:t>A</ns0:t>
        </ns0:is>
      </ns0:c>
      <ns0:c r="D1807" s="4" t="n">
        <ns0:v>1</ns0:v>
      </ns0:c>
      <ns0:c r="E1807" s="4" t="n">
        <ns0:v>500</ns0:v>
      </ns0:c>
      <ns0:c r="F1807" s="6" t="n">
        <ns0:v>0.5</ns0:v>
      </ns0:c>
      <ns0:c r="G1807" s="4" t="n">
        <ns0:v>3</ns0:v>
      </ns0:c>
      <ns0:c r="H1807" s="7" t="n">
        <ns0:v>5394.995648634231</ns0:v>
      </ns0:c>
      <ns0:c r="I1807" s="7" t="n">
        <ns0:v>2713.688554504365</ns0:v>
      </ns0:c>
      <ns0:c r="J1807" s="7" t="n">
        <ns0:v>1356.844277252182</ns0:v>
      </ns0:c>
      <ns0:c r="K1807" s="7" t="n">
        <ns0:v>40</ns0:v>
      </ns0:c>
      <ns0:c r="L1807" s="7" t="n">
        <ns0:v>886</ns0:v>
      </ns0:c>
      <ns0:c r="M1807" s="7" t="n">
        <ns0:v>-38760.52100064342</ns0:v>
      </ns0:c>
      <ns0:c r="N1807" s="7" t="n">
        <ns0:v>-13049.19095601855</ns0:v>
      </ns0:c>
      <ns0:c r="O1807" s="7" t="n">
        <ns0:v>14591.9714908409</ns0:v>
      </ns0:c>
      <ns0:c r="P1807" s="7" t="n">
        <ns0:v>83694.87760798959</ns0:v>
      </ns0:c>
      <ns0:c r="Q1807" s="7" t="n">
        <ns0:v>318106.5020765846</ns0:v>
      </ns0:c>
      <ns0:c r="R1807" s="7" t="n">
        <ns0:v>1215547.187716667</ns0:v>
      </ns0:c>
    </ns0:row>
    <ns0:row r="1808" ht="24" customHeight="1">
      <ns0:c r="A1808" s="3" t="inlineStr">
        <ns0:is>
          <ns0:t>混在40/30/30</ns0:t>
        </ns0:is>
      </ns0:c>
      <ns0:c r="B1808" s="3" t="inlineStr">
        <ns0:is>
          <ns0:t>G3三段階</ns0:t>
        </ns0:is>
      </ns0:c>
      <ns0:c r="C1808" s="3" t="inlineStr">
        <ns0:is>
          <ns0:t>A</ns0:t>
        </ns0:is>
      </ns0:c>
      <ns0:c r="D1808" s="4" t="n">
        <ns0:v>1</ns0:v>
      </ns0:c>
      <ns0:c r="E1808" s="4" t="n">
        <ns0:v>1000</ns0:v>
      </ns0:c>
      <ns0:c r="F1808" s="6" t="n">
        <ns0:v>0.3</ns0:v>
      </ns0:c>
      <ns0:c r="G1808" s="4" t="n">
        <ns0:v>0</ns0:v>
      </ns0:c>
      <ns0:c r="H1808" s="7" t="n">
        <ns0:v>5244.995648634233</ns0:v>
      </ns0:c>
      <ns0:c r="I1808" s="7" t="n">
        <ns0:v>2563.688554504365</ns0:v>
      </ns0:c>
      <ns0:c r="J1808" s="7" t="n">
        <ns0:v>769.1065663513095</ns0:v>
      </ns0:c>
      <ns0:c r="K1808" s="7" t="n">
        <ns0:v>22</ns0:v>
      </ns0:c>
      <ns0:c r="L1808" s="7" t="n">
        <ns0:v>33</ns0:v>
      </ns0:c>
      <ns0:c r="M1808" s="7" t="n">
        <ns0:v>-26119.17839541662</ns0:v>
      </ns0:c>
      <ns0:c r="N1808" s="7" t="n">
        <ns0:v>24874.83685966186</ns0:v>
      </ns0:c>
      <ns0:c r="O1808" s="7" t="n">
        <ns0:v>77798.68451697496</ns0:v>
      </ns0:c>
      <ns0:c r="P1808" s="7" t="n">
        <ns0:v>210108.3036602577</ns0:v>
      </ns0:c>
      <ns0:c r="Q1808" s="7" t="n">
        <ns0:v>697346.7802333888</ns0:v>
      </ns0:c>
      <ns0:c r="R1808" s="7" t="n">
        <ns0:v>2479681.448239348</ns0:v>
      </ns0:c>
    </ns0:row>
    <ns0:row r="1809" ht="24" customHeight="1">
      <ns0:c r="A1809" s="3" t="inlineStr">
        <ns0:is>
          <ns0:t>混在40/30/30</ns0:t>
        </ns0:is>
      </ns0:c>
      <ns0:c r="B1809" s="3" t="inlineStr">
        <ns0:is>
          <ns0:t>G3三段階</ns0:t>
        </ns0:is>
      </ns0:c>
      <ns0:c r="C1809" s="3" t="inlineStr">
        <ns0:is>
          <ns0:t>A</ns0:t>
        </ns0:is>
      </ns0:c>
      <ns0:c r="D1809" s="4" t="n">
        <ns0:v>1</ns0:v>
      </ns0:c>
      <ns0:c r="E1809" s="4" t="n">
        <ns0:v>1000</ns0:v>
      </ns0:c>
      <ns0:c r="F1809" s="6" t="n">
        <ns0:v>0.3</ns0:v>
      </ns0:c>
      <ns0:c r="G1809" s="4" t="n">
        <ns0:v>1</ns0:v>
      </ns0:c>
      <ns0:c r="H1809" s="7" t="n">
        <ns0:v>5244.995648634233</ns0:v>
      </ns0:c>
      <ns0:c r="I1809" s="7" t="n">
        <ns0:v>2563.688554504365</ns0:v>
      </ns0:c>
      <ns0:c r="J1809" s="7" t="n">
        <ns0:v>769.1065663513095</ns0:v>
      </ns0:c>
      <ns0:c r="K1809" s="7" t="n">
        <ns0:v>23</ns0:v>
      </ns0:c>
      <ns0:c r="L1809" s="7" t="n">
        <ns0:v>43</ns0:v>
      </ns0:c>
      <ns0:c r="M1809" s="7" t="n">
        <ns0:v>-28688.39646338089</ns0:v>
      </ns0:c>
      <ns0:c r="N1809" s="7" t="n">
        <ns0:v>17167.18265576904</ns0:v>
      </ns0:c>
      <ns0:c r="O1809" s="7" t="n">
        <ns0:v>64952.5941771536</ns0:v>
      </ns0:c>
      <ns0:c r="P1809" s="7" t="n">
        <ns0:v>184416.122980615</ns0:v>
      </ns0:c>
      <ns0:c r="Q1809" s="7" t="n">
        <ns0:v>620270.2381944606</ns0:v>
      </ns0:c>
      <ns0:c r="R1809" s="7" t="n">
        <ns0:v>2222759.641442921</ns0:v>
      </ns0:c>
    </ns0:row>
    <ns0:row r="1810" ht="24" customHeight="1">
      <ns0:c r="A1810" s="3" t="inlineStr">
        <ns0:is>
          <ns0:t>混在40/30/30</ns0:t>
        </ns0:is>
      </ns0:c>
      <ns0:c r="B1810" s="3" t="inlineStr">
        <ns0:is>
          <ns0:t>G3三段階</ns0:t>
        </ns0:is>
      </ns0:c>
      <ns0:c r="C1810" s="3" t="inlineStr">
        <ns0:is>
          <ns0:t>A</ns0:t>
        </ns0:is>
      </ns0:c>
      <ns0:c r="D1810" s="4" t="n">
        <ns0:v>1</ns0:v>
      </ns0:c>
      <ns0:c r="E1810" s="4" t="n">
        <ns0:v>1000</ns0:v>
      </ns0:c>
      <ns0:c r="F1810" s="6" t="n">
        <ns0:v>0.3</ns0:v>
      </ns0:c>
      <ns0:c r="G1810" s="4" t="n">
        <ns0:v>2</ns0:v>
      </ns0:c>
      <ns0:c r="H1810" s="7" t="n">
        <ns0:v>5244.995648634233</ns0:v>
      </ns0:c>
      <ns0:c r="I1810" s="7" t="n">
        <ns0:v>2563.688554504365</ns0:v>
      </ns0:c>
      <ns0:c r="J1810" s="7" t="n">
        <ns0:v>769.1065663513095</ns0:v>
      </ns0:c>
      <ns0:c r="K1810" s="7" t="n">
        <ns0:v>363</ns0:v>
      </ns0:c>
      <ns0:c r="L1810" s="18" t="inlineStr">
        <ns0:is>
          <ns0:t>範囲内なし</ns0:t>
        </ns0:is>
      </ns0:c>
      <ns0:c r="M1810" s="7" t="n">
        <ns0:v>-49920.23499472198</ns0:v>
      </ns0:c>
      <ns0:c r="N1810" s="7" t="n">
        <ns0:v>-46528.33293825421</ns0:v>
      </ns0:c>
      <ns0:c r="O1810" s="7" t="n">
        <ns0:v>-41206.59847955185</ns0:v>
      </ns0:c>
      <ns0:c r="P1810" s="7" t="n">
        <ns0:v>-27902.26233279589</ns0:v>
      </ns0:c>
      <ns0:c r="Q1810" s="7" t="n">
        <ns0:v>-16684.91774577205</ns0:v>
      </ns0:c>
      <ns0:c r="R1810" s="7" t="n">
        <ns0:v>99575.78830881184</ns0:v>
      </ns0:c>
    </ns0:row>
    <ns0:row r="1811" ht="24" customHeight="1">
      <ns0:c r="A1811" s="3" t="inlineStr">
        <ns0:is>
          <ns0:t>混在40/30/30</ns0:t>
        </ns0:is>
      </ns0:c>
      <ns0:c r="B1811" s="3" t="inlineStr">
        <ns0:is>
          <ns0:t>G3三段階</ns0:t>
        </ns0:is>
      </ns0:c>
      <ns0:c r="C1811" s="3" t="inlineStr">
        <ns0:is>
          <ns0:t>A</ns0:t>
        </ns0:is>
      </ns0:c>
      <ns0:c r="D1811" s="4" t="n">
        <ns0:v>1</ns0:v>
      </ns0:c>
      <ns0:c r="E1811" s="4" t="n">
        <ns0:v>1000</ns0:v>
      </ns0:c>
      <ns0:c r="F1811" s="6" t="n">
        <ns0:v>0.3</ns0:v>
      </ns0:c>
      <ns0:c r="G1811" s="4" t="n">
        <ns0:v>3</ns0:v>
      </ns0:c>
      <ns0:c r="H1811" s="7" t="n">
        <ns0:v>5244.995648634233</ns0:v>
      </ns0:c>
      <ns0:c r="I1811" s="7" t="n">
        <ns0:v>2563.688554504365</ns0:v>
      </ns0:c>
      <ns0:c r="J1811" s="7" t="n">
        <ns0:v>769.1065663513095</ns0:v>
      </ns0:c>
      <ns0:c r="K1811" s="7" t="n">
        <ns0:v>30</ns0:v>
      </ns0:c>
      <ns0:c r="L1811" s="7" t="n">
        <ns0:v>229</ns0:v>
      </ns0:c>
      <ns0:c r="M1811" s="7" t="n">
        <ns0:v>-34329.1438916347</ns0:v>
      </ns0:c>
      <ns0:c r="N1811" s="7" t="n">
        <ns0:v>244.9403710076476</ns0:v>
      </ns0:c>
      <ns0:c r="O1811" s="7" t="n">
        <ns0:v>36748.85703588461</ns0:v>
      </ns0:c>
      <ns0:c r="P1811" s="7" t="n">
        <ns0:v>128008.648698077</ns0:v>
      </ns0:c>
      <ns0:c r="Q1811" s="7" t="n">
        <ns0:v>451047.8153468466</ns0:v>
      </ns0:c>
      <ns0:c r="R1811" s="7" t="n">
        <ns0:v>1658684.898617541</ns0:v>
      </ns0:c>
    </ns0:row>
    <ns0:row r="1812" ht="24" customHeight="1">
      <ns0:c r="A1812" s="3" t="inlineStr">
        <ns0:is>
          <ns0:t>混在40/30/30</ns0:t>
        </ns0:is>
      </ns0:c>
      <ns0:c r="B1812" s="3" t="inlineStr">
        <ns0:is>
          <ns0:t>G3三段階</ns0:t>
        </ns0:is>
      </ns0:c>
      <ns0:c r="C1812" s="3" t="inlineStr">
        <ns0:is>
          <ns0:t>A</ns0:t>
        </ns0:is>
      </ns0:c>
      <ns0:c r="D1812" s="4" t="n">
        <ns0:v>1</ns0:v>
      </ns0:c>
      <ns0:c r="E1812" s="4" t="n">
        <ns0:v>1000</ns0:v>
      </ns0:c>
      <ns0:c r="F1812" s="6" t="n">
        <ns0:v>0.4</ns0:v>
      </ns0:c>
      <ns0:c r="G1812" s="4" t="n">
        <ns0:v>0</ns0:v>
      </ns0:c>
      <ns0:c r="H1812" s="7" t="n">
        <ns0:v>5244.995648634233</ns0:v>
      </ns0:c>
      <ns0:c r="I1812" s="7" t="n">
        <ns0:v>2563.688554504365</ns0:v>
      </ns0:c>
      <ns0:c r="J1812" s="7" t="n">
        <ns0:v>1025.475421801746</ns0:v>
      </ns0:c>
      <ns0:c r="K1812" s="7" t="n">
        <ns0:v>23</ns0:v>
      </ns0:c>
      <ns0:c r="L1812" s="7" t="n">
        <ns0:v>36</ns0:v>
      </ns0:c>
      <ns0:c r="M1812" s="7" t="n">
        <ns0:v>-28682.86694992098</ns0:v>
      </ns0:c>
      <ns0:c r="N1812" s="7" t="n">
        <ns0:v>17183.77119614876</ns0:v>
      </ns0:c>
      <ns0:c r="O1812" s="7" t="n">
        <ns0:v>64980.24174445315</ns0:v>
      </ns0:c>
      <ns0:c r="P1812" s="7" t="n">
        <ns0:v>184471.4181152141</ns0:v>
      </ns0:c>
      <ns0:c r="Q1812" s="7" t="n">
        <ns0:v>620436.1235982578</ns0:v>
      </ns0:c>
      <ns0:c r="R1812" s="7" t="n">
        <ns0:v>2223312.59278891</ns0:v>
      </ns0:c>
    </ns0:row>
    <ns0:row r="1813" ht="24" customHeight="1">
      <ns0:c r="A1813" s="3" t="inlineStr">
        <ns0:is>
          <ns0:t>混在40/30/30</ns0:t>
        </ns0:is>
      </ns0:c>
      <ns0:c r="B1813" s="3" t="inlineStr">
        <ns0:is>
          <ns0:t>G3三段階</ns0:t>
        </ns0:is>
      </ns0:c>
      <ns0:c r="C1813" s="3" t="inlineStr">
        <ns0:is>
          <ns0:t>A</ns0:t>
        </ns0:is>
      </ns0:c>
      <ns0:c r="D1813" s="4" t="n">
        <ns0:v>1</ns0:v>
      </ns0:c>
      <ns0:c r="E1813" s="4" t="n">
        <ns0:v>1000</ns0:v>
      </ns0:c>
      <ns0:c r="F1813" s="6" t="n">
        <ns0:v>0.4</ns0:v>
      </ns0:c>
      <ns0:c r="G1813" s="4" t="n">
        <ns0:v>1</ns0:v>
      </ns0:c>
      <ns0:c r="H1813" s="7" t="n">
        <ns0:v>5244.995648634233</ns0:v>
      </ns0:c>
      <ns0:c r="I1813" s="7" t="n">
        <ns0:v>2563.688554504365</ns0:v>
      </ns0:c>
      <ns0:c r="J1813" s="7" t="n">
        <ns0:v>1025.475421801746</ns0:v>
      </ns0:c>
      <ns0:c r="K1813" s="7" t="n">
        <ns0:v>26</ns0:v>
      </ns0:c>
      <ns0:c r="L1813" s="7" t="n">
        <ns0:v>48</ns0:v>
      </ns0:c>
      <ns0:c r="M1813" s="7" t="n">
        <ns0:v>-31252.08501788525</ns0:v>
      </ns0:c>
      <ns0:c r="N1813" s="7" t="n">
        <ns0:v>9476.116992255946</ns0:v>
      </ns0:c>
      <ns0:c r="O1813" s="7" t="n">
        <ns0:v>52134.15140463179</ns0:v>
      </ns0:c>
      <ns0:c r="P1813" s="7" t="n">
        <ns0:v>158779.2374355714</ns0:v>
      </ns0:c>
      <ns0:c r="Q1813" s="7" t="n">
        <ns0:v>543359.5815593298</ns0:v>
      </ns0:c>
      <ns0:c r="R1813" s="7" t="n">
        <ns0:v>1966390.785992484</ns0:v>
      </ns0:c>
    </ns0:row>
    <ns0:row r="1814" ht="24" customHeight="1">
      <ns0:c r="A1814" s="3" t="inlineStr">
        <ns0:is>
          <ns0:t>混在40/30/30</ns0:t>
        </ns0:is>
      </ns0:c>
      <ns0:c r="B1814" s="3" t="inlineStr">
        <ns0:is>
          <ns0:t>G3三段階</ns0:t>
        </ns0:is>
      </ns0:c>
      <ns0:c r="C1814" s="3" t="inlineStr">
        <ns0:is>
          <ns0:t>A</ns0:t>
        </ns0:is>
      </ns0:c>
      <ns0:c r="D1814" s="4" t="n">
        <ns0:v>1</ns0:v>
      </ns0:c>
      <ns0:c r="E1814" s="4" t="n">
        <ns0:v>1000</ns0:v>
      </ns0:c>
      <ns0:c r="F1814" s="6" t="n">
        <ns0:v>0.4</ns0:v>
      </ns0:c>
      <ns0:c r="G1814" s="4" t="n">
        <ns0:v>2</ns0:v>
      </ns0:c>
      <ns0:c r="H1814" s="7" t="n">
        <ns0:v>5244.995648634233</ns0:v>
      </ns0:c>
      <ns0:c r="I1814" s="7" t="n">
        <ns0:v>2563.688554504365</ns0:v>
      </ns0:c>
      <ns0:c r="J1814" s="7" t="n">
        <ns0:v>1025.475421801746</ns0:v>
      </ns0:c>
      <ns0:c r="K1814" s="18" t="inlineStr">
        <ns0:is>
          <ns0:t>範囲内なし</ns0:t>
        </ns0:is>
      </ns0:c>
      <ns0:c r="L1814" s="18" t="inlineStr">
        <ns0:is>
          <ns0:t>範囲内なし</ns0:t>
        </ns0:is>
      </ns0:c>
      <ns0:c r="M1814" s="7" t="n">
        <ns0:v>-52483.92354922635</ns0:v>
      </ns0:c>
      <ns0:c r="N1814" s="7" t="n">
        <ns0:v>-54219.39860176732</ns0:v>
      </ns0:c>
      <ns0:c r="O1814" s="7" t="n">
        <ns0:v>-54025.04125207366</ns0:v>
      </ns0:c>
      <ns0:c r="P1814" s="7" t="n">
        <ns0:v>-53539.14787783952</ns0:v>
      </ns0:c>
      <ns0:c r="Q1814" s="7" t="n">
        <ns0:v>-93595.57438090298</ns0:v>
      </ns0:c>
      <ns0:c r="R1814" s="7" t="n">
        <ns0:v>-156793.0671416251</ns0:v>
      </ns0:c>
    </ns0:row>
    <ns0:row r="1815" ht="24" customHeight="1">
      <ns0:c r="A1815" s="3" t="inlineStr">
        <ns0:is>
          <ns0:t>混在40/30/30</ns0:t>
        </ns0:is>
      </ns0:c>
      <ns0:c r="B1815" s="3" t="inlineStr">
        <ns0:is>
          <ns0:t>G3三段階</ns0:t>
        </ns0:is>
      </ns0:c>
      <ns0:c r="C1815" s="3" t="inlineStr">
        <ns0:is>
          <ns0:t>A</ns0:t>
        </ns0:is>
      </ns0:c>
      <ns0:c r="D1815" s="4" t="n">
        <ns0:v>1</ns0:v>
      </ns0:c>
      <ns0:c r="E1815" s="4" t="n">
        <ns0:v>1000</ns0:v>
      </ns0:c>
      <ns0:c r="F1815" s="6" t="n">
        <ns0:v>0.4</ns0:v>
      </ns0:c>
      <ns0:c r="G1815" s="4" t="n">
        <ns0:v>3</ns0:v>
      </ns0:c>
      <ns0:c r="H1815" s="7" t="n">
        <ns0:v>5244.995648634233</ns0:v>
      </ns0:c>
      <ns0:c r="I1815" s="7" t="n">
        <ns0:v>2563.688554504365</ns0:v>
      </ns0:c>
      <ns0:c r="J1815" s="7" t="n">
        <ns0:v>1025.475421801746</ns0:v>
      </ns0:c>
      <ns0:c r="K1815" s="7" t="n">
        <ns0:v>35</ns0:v>
      </ns0:c>
      <ns0:c r="L1815" s="7" t="n">
        <ns0:v>356</ns0:v>
      </ns0:c>
      <ns0:c r="M1815" s="7" t="n">
        <ns0:v>-36892.83244613905</ns0:v>
      </ns0:c>
      <ns0:c r="N1815" s="7" t="n">
        <ns0:v>-7446.125292505454</ns0:v>
      </ns0:c>
      <ns0:c r="O1815" s="7" t="n">
        <ns0:v>23930.41426336279</ns0:v>
      </ns0:c>
      <ns0:c r="P1815" s="7" t="n">
        <ns0:v>102371.7631530334</ns0:v>
      </ns0:c>
      <ns0:c r="Q1815" s="7" t="n">
        <ns0:v>374137.1587117157</ns0:v>
      </ns0:c>
      <ns0:c r="R1815" s="7" t="n">
        <ns0:v>1402316.043167104</ns0:v>
      </ns0:c>
    </ns0:row>
    <ns0:row r="1816" ht="24" customHeight="1">
      <ns0:c r="A1816" s="3" t="inlineStr">
        <ns0:is>
          <ns0:t>混在40/30/30</ns0:t>
        </ns0:is>
      </ns0:c>
      <ns0:c r="B1816" s="3" t="inlineStr">
        <ns0:is>
          <ns0:t>G3三段階</ns0:t>
        </ns0:is>
      </ns0:c>
      <ns0:c r="C1816" s="3" t="inlineStr">
        <ns0:is>
          <ns0:t>A</ns0:t>
        </ns0:is>
      </ns0:c>
      <ns0:c r="D1816" s="4" t="n">
        <ns0:v>1</ns0:v>
      </ns0:c>
      <ns0:c r="E1816" s="4" t="n">
        <ns0:v>1000</ns0:v>
      </ns0:c>
      <ns0:c r="F1816" s="6" t="n">
        <ns0:v>0.5</ns0:v>
      </ns0:c>
      <ns0:c r="G1816" s="4" t="n">
        <ns0:v>0</ns0:v>
      </ns0:c>
      <ns0:c r="H1816" s="7" t="n">
        <ns0:v>5244.995648634233</ns0:v>
      </ns0:c>
      <ns0:c r="I1816" s="7" t="n">
        <ns0:v>2563.688554504365</ns0:v>
      </ns0:c>
      <ns0:c r="J1816" s="7" t="n">
        <ns0:v>1281.844277252183</ns0:v>
      </ns0:c>
      <ns0:c r="K1816" s="7" t="n">
        <ns0:v>26</ns0:v>
      </ns0:c>
      <ns0:c r="L1816" s="7" t="n">
        <ns0:v>39</ns0:v>
      </ns0:c>
      <ns0:c r="M1816" s="7" t="n">
        <ns0:v>-31246.55550442535</ns0:v>
      </ns0:c>
      <ns0:c r="N1816" s="7" t="n">
        <ns0:v>9492.705532635675</ns0:v>
      </ns0:c>
      <ns0:c r="O1816" s="7" t="n">
        <ns0:v>52161.79897193131</ns0:v>
      </ns0:c>
      <ns0:c r="P1816" s="7" t="n">
        <ns0:v>158834.5325701704</ns0:v>
      </ns0:c>
      <ns0:c r="Q1816" s="7" t="n">
        <ns0:v>543525.4669631269</ns0:v>
      </ns0:c>
      <ns0:c r="R1816" s="7" t="n">
        <ns0:v>1966943.737338474</ns0:v>
      </ns0:c>
    </ns0:row>
    <ns0:row r="1817" ht="24" customHeight="1">
      <ns0:c r="A1817" s="3" t="inlineStr">
        <ns0:is>
          <ns0:t>混在40/30/30</ns0:t>
        </ns0:is>
      </ns0:c>
      <ns0:c r="B1817" s="3" t="inlineStr">
        <ns0:is>
          <ns0:t>G3三段階</ns0:t>
        </ns0:is>
      </ns0:c>
      <ns0:c r="C1817" s="3" t="inlineStr">
        <ns0:is>
          <ns0:t>A</ns0:t>
        </ns0:is>
      </ns0:c>
      <ns0:c r="D1817" s="4" t="n">
        <ns0:v>1</ns0:v>
      </ns0:c>
      <ns0:c r="E1817" s="4" t="n">
        <ns0:v>1000</ns0:v>
      </ns0:c>
      <ns0:c r="F1817" s="6" t="n">
        <ns0:v>0.5</ns0:v>
      </ns0:c>
      <ns0:c r="G1817" s="4" t="n">
        <ns0:v>1</ns0:v>
      </ns0:c>
      <ns0:c r="H1817" s="7" t="n">
        <ns0:v>5244.995648634233</ns0:v>
      </ns0:c>
      <ns0:c r="I1817" s="7" t="n">
        <ns0:v>2563.688554504365</ns0:v>
      </ns0:c>
      <ns0:c r="J1817" s="7" t="n">
        <ns0:v>1281.844277252183</ns0:v>
      </ns0:c>
      <ns0:c r="K1817" s="7" t="n">
        <ns0:v>30</ns0:v>
      </ns0:c>
      <ns0:c r="L1817" s="7" t="n">
        <ns0:v>55</ns0:v>
      </ns0:c>
      <ns0:c r="M1817" s="7" t="n">
        <ns0:v>-33815.77357238962</ns0:v>
      </ns0:c>
      <ns0:c r="N1817" s="7" t="n">
        <ns0:v>1785.051328742858</ns0:v>
      </ns0:c>
      <ns0:c r="O1817" s="7" t="n">
        <ns0:v>39315.70863210995</ns0:v>
      </ns0:c>
      <ns0:c r="P1817" s="7" t="n">
        <ns0:v>133142.3518905277</ns0:v>
      </ns0:c>
      <ns0:c r="Q1817" s="7" t="n">
        <ns0:v>466448.9249241988</ns0:v>
      </ns0:c>
      <ns0:c r="R1817" s="7" t="n">
        <ns0:v>1710021.930542047</ns0:v>
      </ns0:c>
    </ns0:row>
    <ns0:row r="1818" ht="24" customHeight="1">
      <ns0:c r="A1818" s="3" t="inlineStr">
        <ns0:is>
          <ns0:t>混在40/30/30</ns0:t>
        </ns0:is>
      </ns0:c>
      <ns0:c r="B1818" s="3" t="inlineStr">
        <ns0:is>
          <ns0:t>G3三段階</ns0:t>
        </ns0:is>
      </ns0:c>
      <ns0:c r="C1818" s="3" t="inlineStr">
        <ns0:is>
          <ns0:t>A</ns0:t>
        </ns0:is>
      </ns0:c>
      <ns0:c r="D1818" s="4" t="n">
        <ns0:v>1</ns0:v>
      </ns0:c>
      <ns0:c r="E1818" s="4" t="n">
        <ns0:v>1000</ns0:v>
      </ns0:c>
      <ns0:c r="F1818" s="6" t="n">
        <ns0:v>0.5</ns0:v>
      </ns0:c>
      <ns0:c r="G1818" s="4" t="n">
        <ns0:v>2</ns0:v>
      </ns0:c>
      <ns0:c r="H1818" s="7" t="n">
        <ns0:v>5244.995648634233</ns0:v>
      </ns0:c>
      <ns0:c r="I1818" s="7" t="n">
        <ns0:v>2563.688554504365</ns0:v>
      </ns0:c>
      <ns0:c r="J1818" s="7" t="n">
        <ns0:v>1281.844277252183</ns0:v>
      </ns0:c>
      <ns0:c r="K1818" s="18" t="inlineStr">
        <ns0:is>
          <ns0:t>範囲内なし</ns0:t>
        </ns0:is>
      </ns0:c>
      <ns0:c r="L1818" s="18" t="inlineStr">
        <ns0:is>
          <ns0:t>範囲内なし</ns0:t>
        </ns0:is>
      </ns0:c>
      <ns0:c r="M1818" s="7" t="n">
        <ns0:v>-55047.61210373071</ns0:v>
      </ns0:c>
      <ns0:c r="N1818" s="7" t="n">
        <ns0:v>-61910.4642652804</ns0:v>
      </ns0:c>
      <ns0:c r="O1818" s="7" t="n">
        <ns0:v>-66843.4840245955</ns0:v>
      </ns0:c>
      <ns0:c r="P1818" s="7" t="n">
        <ns0:v>-79176.03342288321</ns0:v>
      </ns0:c>
      <ns0:c r="Q1818" s="7" t="n">
        <ns0:v>-170506.2310160339</ns0:v>
      </ns0:c>
      <ns0:c r="R1818" s="7" t="n">
        <ns0:v>-413161.9225920613</ns0:v>
      </ns0:c>
    </ns0:row>
    <ns0:row r="1819" ht="24" customHeight="1">
      <ns0:c r="A1819" s="3" t="inlineStr">
        <ns0:is>
          <ns0:t>混在40/30/30</ns0:t>
        </ns0:is>
      </ns0:c>
      <ns0:c r="B1819" s="3" t="inlineStr">
        <ns0:is>
          <ns0:t>G3三段階</ns0:t>
        </ns0:is>
      </ns0:c>
      <ns0:c r="C1819" s="3" t="inlineStr">
        <ns0:is>
          <ns0:t>A</ns0:t>
        </ns0:is>
      </ns0:c>
      <ns0:c r="D1819" s="4" t="n">
        <ns0:v>1</ns0:v>
      </ns0:c>
      <ns0:c r="E1819" s="4" t="n">
        <ns0:v>1000</ns0:v>
      </ns0:c>
      <ns0:c r="F1819" s="6" t="n">
        <ns0:v>0.5</ns0:v>
      </ns0:c>
      <ns0:c r="G1819" s="4" t="n">
        <ns0:v>3</ns0:v>
      </ns0:c>
      <ns0:c r="H1819" s="7" t="n">
        <ns0:v>5244.995648634233</ns0:v>
      </ns0:c>
      <ns0:c r="I1819" s="7" t="n">
        <ns0:v>2563.688554504365</ns0:v>
      </ns0:c>
      <ns0:c r="J1819" s="7" t="n">
        <ns0:v>1281.844277252183</ns0:v>
      </ns0:c>
      <ns0:c r="K1819" s="7" t="n">
        <ns0:v>42</ns0:v>
      </ns0:c>
      <ns0:c r="L1819" s="18" t="inlineStr">
        <ns0:is>
          <ns0:t>範囲内なし</ns0:t>
        </ns0:is>
      </ns0:c>
      <ns0:c r="M1819" s="7" t="n">
        <ns0:v>-39456.52100064342</ns0:v>
      </ns0:c>
      <ns0:c r="N1819" s="7" t="n">
        <ns0:v>-15137.19095601854</ns0:v>
      </ns0:c>
      <ns0:c r="O1819" s="7" t="n">
        <ns0:v>11111.97149084096</ns0:v>
      </ns0:c>
      <ns0:c r="P1819" s="7" t="n">
        <ns0:v>76734.87760798971</ns0:v>
      </ns0:c>
      <ns0:c r="Q1819" s="7" t="n">
        <ns0:v>297226.5020765847</ns0:v>
      </ns0:c>
      <ns0:c r="R1819" s="7" t="n">
        <ns0:v>1145947.187716668</ns0:v>
      </ns0:c>
    </ns0:row>
    <ns0:row r="1820" ht="24" customHeight="1">
      <ns0:c r="A1820" s="3" t="inlineStr">
        <ns0:is>
          <ns0:t>混在40/30/30</ns0:t>
        </ns0:is>
      </ns0:c>
      <ns0:c r="B1820" s="3" t="inlineStr">
        <ns0:is>
          <ns0:t>G3三段階</ns0:t>
        </ns0:is>
      </ns0:c>
      <ns0:c r="C1820" s="3" t="inlineStr">
        <ns0:is>
          <ns0:t>A</ns0:t>
        </ns0:is>
      </ns0:c>
      <ns0:c r="D1820" s="4" t="n">
        <ns0:v>1</ns0:v>
      </ns0:c>
      <ns0:c r="E1820" s="4" t="n">
        <ns0:v>1500</ns0:v>
      </ns0:c>
      <ns0:c r="F1820" s="6" t="n">
        <ns0:v>0.3</ns0:v>
      </ns0:c>
      <ns0:c r="G1820" s="4" t="n">
        <ns0:v>0</ns0:v>
      </ns0:c>
      <ns0:c r="H1820" s="7" t="n">
        <ns0:v>5094.995648634233</ns0:v>
      </ns0:c>
      <ns0:c r="I1820" s="7" t="n">
        <ns0:v>2413.688554504365</ns0:v>
      </ns0:c>
      <ns0:c r="J1820" s="7" t="n">
        <ns0:v>724.1065663513094</ns0:v>
      </ns0:c>
      <ns0:c r="K1820" s="7" t="n">
        <ns0:v>22</ns0:v>
      </ns0:c>
      <ns0:c r="L1820" s="7" t="n">
        <ns0:v>34</ns0:v>
      </ns0:c>
      <ns0:c r="M1820" s="7" t="n">
        <ns0:v>-27115.17839541661</ns0:v>
      </ns0:c>
      <ns0:c r="N1820" s="7" t="n">
        <ns0:v>21886.83685966184</ns0:v>
      </ns0:c>
      <ns0:c r="O1820" s="7" t="n">
        <ns0:v>72818.68451697494</ns0:v>
      </ns0:c>
      <ns0:c r="P1820" s="7" t="n">
        <ns0:v>200148.3036602577</ns0:v>
      </ns0:c>
      <ns0:c r="Q1820" s="7" t="n">
        <ns0:v>667466.7802333889</ns0:v>
      </ns0:c>
      <ns0:c r="R1820" s="7" t="n">
        <ns0:v>2380081.448239347</ns0:v>
      </ns0:c>
    </ns0:row>
    <ns0:row r="1821" ht="24" customHeight="1">
      <ns0:c r="A1821" s="3" t="inlineStr">
        <ns0:is>
          <ns0:t>混在40/30/30</ns0:t>
        </ns0:is>
      </ns0:c>
      <ns0:c r="B1821" s="3" t="inlineStr">
        <ns0:is>
          <ns0:t>G3三段階</ns0:t>
        </ns0:is>
      </ns0:c>
      <ns0:c r="C1821" s="3" t="inlineStr">
        <ns0:is>
          <ns0:t>A</ns0:t>
        </ns0:is>
      </ns0:c>
      <ns0:c r="D1821" s="4" t="n">
        <ns0:v>1</ns0:v>
      </ns0:c>
      <ns0:c r="E1821" s="4" t="n">
        <ns0:v>1500</ns0:v>
      </ns0:c>
      <ns0:c r="F1821" s="6" t="n">
        <ns0:v>0.3</ns0:v>
      </ns0:c>
      <ns0:c r="G1821" s="4" t="n">
        <ns0:v>1</ns0:v>
      </ns0:c>
      <ns0:c r="H1821" s="7" t="n">
        <ns0:v>5094.995648634233</ns0:v>
      </ns0:c>
      <ns0:c r="I1821" s="7" t="n">
        <ns0:v>2413.688554504365</ns0:v>
      </ns0:c>
      <ns0:c r="J1821" s="7" t="n">
        <ns0:v>724.1065663513094</ns0:v>
      </ns0:c>
      <ns0:c r="K1821" s="7" t="n">
        <ns0:v>24</ns0:v>
      </ns0:c>
      <ns0:c r="L1821" s="7" t="n">
        <ns0:v>45</ns0:v>
      </ns0:c>
      <ns0:c r="M1821" s="7" t="n">
        <ns0:v>-29684.39646338088</ns0:v>
      </ns0:c>
      <ns0:c r="N1821" s="7" t="n">
        <ns0:v>14179.18265576902</ns0:v>
      </ns0:c>
      <ns0:c r="O1821" s="7" t="n">
        <ns0:v>59972.59417715359</ns0:v>
      </ns0:c>
      <ns0:c r="P1821" s="7" t="n">
        <ns0:v>174456.122980615</ns0:v>
      </ns0:c>
      <ns0:c r="Q1821" s="7" t="n">
        <ns0:v>590390.2381944607</ns0:v>
      </ns0:c>
      <ns0:c r="R1821" s="7" t="n">
        <ns0:v>2123159.64144292</ns0:v>
      </ns0:c>
    </ns0:row>
    <ns0:row r="1822" ht="24" customHeight="1">
      <ns0:c r="A1822" s="3" t="inlineStr">
        <ns0:is>
          <ns0:t>混在40/30/30</ns0:t>
        </ns0:is>
      </ns0:c>
      <ns0:c r="B1822" s="3" t="inlineStr">
        <ns0:is>
          <ns0:t>G3三段階</ns0:t>
        </ns0:is>
      </ns0:c>
      <ns0:c r="C1822" s="3" t="inlineStr">
        <ns0:is>
          <ns0:t>A</ns0:t>
        </ns0:is>
      </ns0:c>
      <ns0:c r="D1822" s="4" t="n">
        <ns0:v>1</ns0:v>
      </ns0:c>
      <ns0:c r="E1822" s="4" t="n">
        <ns0:v>1500</ns0:v>
      </ns0:c>
      <ns0:c r="F1822" s="6" t="n">
        <ns0:v>0.3</ns0:v>
      </ns0:c>
      <ns0:c r="G1822" s="4" t="n">
        <ns0:v>2</ns0:v>
      </ns0:c>
      <ns0:c r="H1822" s="7" t="n">
        <ns0:v>5094.995648634233</ns0:v>
      </ns0:c>
      <ns0:c r="I1822" s="7" t="n">
        <ns0:v>2413.688554504365</ns0:v>
      </ns0:c>
      <ns0:c r="J1822" s="7" t="n">
        <ns0:v>724.1065663513094</ns0:v>
      </ns0:c>
      <ns0:c r="K1822" s="18" t="inlineStr">
        <ns0:is>
          <ns0:t>範囲内なし</ns0:t>
        </ns0:is>
      </ns0:c>
      <ns0:c r="L1822" s="18" t="inlineStr">
        <ns0:is>
          <ns0:t>範囲内なし</ns0:t>
        </ns0:is>
      </ns0:c>
      <ns0:c r="M1822" s="7" t="n">
        <ns0:v>-50916.23499472197</ns0:v>
      </ns0:c>
      <ns0:c r="N1822" s="7" t="n">
        <ns0:v>-49516.33293825424</ns0:v>
      </ns0:c>
      <ns0:c r="O1822" s="7" t="n">
        <ns0:v>-46186.59847955185</ns0:v>
      </ns0:c>
      <ns0:c r="P1822" s="7" t="n">
        <ns0:v>-37862.26233279592</ns0:v>
      </ns0:c>
      <ns0:c r="Q1822" s="7" t="n">
        <ns0:v>-46564.91774577193</ns0:v>
      </ns0:c>
      <ns0:c r="R1822" s="7" t="n">
        <ns0:v>-24.21169118839316</ns0:v>
      </ns0:c>
    </ns0:row>
    <ns0:row r="1823" ht="24" customHeight="1">
      <ns0:c r="A1823" s="3" t="inlineStr">
        <ns0:is>
          <ns0:t>混在40/30/30</ns0:t>
        </ns0:is>
      </ns0:c>
      <ns0:c r="B1823" s="3" t="inlineStr">
        <ns0:is>
          <ns0:t>G3三段階</ns0:t>
        </ns0:is>
      </ns0:c>
      <ns0:c r="C1823" s="3" t="inlineStr">
        <ns0:is>
          <ns0:t>A</ns0:t>
        </ns0:is>
      </ns0:c>
      <ns0:c r="D1823" s="4" t="n">
        <ns0:v>1</ns0:v>
      </ns0:c>
      <ns0:c r="E1823" s="4" t="n">
        <ns0:v>1500</ns0:v>
      </ns0:c>
      <ns0:c r="F1823" s="6" t="n">
        <ns0:v>0.3</ns0:v>
      </ns0:c>
      <ns0:c r="G1823" s="4" t="n">
        <ns0:v>3</ns0:v>
      </ns0:c>
      <ns0:c r="H1823" s="7" t="n">
        <ns0:v>5094.995648634233</ns0:v>
      </ns0:c>
      <ns0:c r="I1823" s="7" t="n">
        <ns0:v>2413.688554504365</ns0:v>
      </ns0:c>
      <ns0:c r="J1823" s="7" t="n">
        <ns0:v>724.1065663513094</ns0:v>
      </ns0:c>
      <ns0:c r="K1823" s="7" t="n">
        <ns0:v>32</ns0:v>
      </ns0:c>
      <ns0:c r="L1823" s="7" t="n">
        <ns0:v>271</ns0:v>
      </ns0:c>
      <ns0:c r="M1823" s="7" t="n">
        <ns0:v>-35325.14389163468</ns0:v>
      </ns0:c>
      <ns0:c r="N1823" s="7" t="n">
        <ns0:v>-2743.059628992374</ns0:v>
      </ns0:c>
      <ns0:c r="O1823" s="7" t="n">
        <ns0:v>31768.85703588458</ns0:v>
      </ns0:c>
      <ns0:c r="P1823" s="7" t="n">
        <ns0:v>118048.648698077</ns0:v>
      </ns0:c>
      <ns0:c r="Q1823" s="7" t="n">
        <ns0:v>421167.8153468467</ns0:v>
      </ns0:c>
      <ns0:c r="R1823" s="7" t="n">
        <ns0:v>1559084.89861754</ns0:v>
      </ns0:c>
    </ns0:row>
    <ns0:row r="1824" ht="24" customHeight="1">
      <ns0:c r="A1824" s="3" t="inlineStr">
        <ns0:is>
          <ns0:t>混在40/30/30</ns0:t>
        </ns0:is>
      </ns0:c>
      <ns0:c r="B1824" s="3" t="inlineStr">
        <ns0:is>
          <ns0:t>G3三段階</ns0:t>
        </ns0:is>
      </ns0:c>
      <ns0:c r="C1824" s="3" t="inlineStr">
        <ns0:is>
          <ns0:t>A</ns0:t>
        </ns0:is>
      </ns0:c>
      <ns0:c r="D1824" s="4" t="n">
        <ns0:v>1</ns0:v>
      </ns0:c>
      <ns0:c r="E1824" s="4" t="n">
        <ns0:v>1500</ns0:v>
      </ns0:c>
      <ns0:c r="F1824" s="6" t="n">
        <ns0:v>0.4</ns0:v>
      </ns0:c>
      <ns0:c r="G1824" s="4" t="n">
        <ns0:v>0</ns0:v>
      </ns0:c>
      <ns0:c r="H1824" s="7" t="n">
        <ns0:v>5094.995648634233</ns0:v>
      </ns0:c>
      <ns0:c r="I1824" s="7" t="n">
        <ns0:v>2413.688554504365</ns0:v>
      </ns0:c>
      <ns0:c r="J1824" s="7" t="n">
        <ns0:v>965.4754218017462</ns0:v>
      </ns0:c>
      <ns0:c r="K1824" s="7" t="n">
        <ns0:v>24</ns0:v>
      </ns0:c>
      <ns0:c r="L1824" s="7" t="n">
        <ns0:v>37</ns0:v>
      </ns0:c>
      <ns0:c r="M1824" s="7" t="n">
        <ns0:v>-29528.86694992097</ns0:v>
      </ns0:c>
      <ns0:c r="N1824" s="7" t="n">
        <ns0:v>14645.77119614875</ns0:v>
      </ns0:c>
      <ns0:c r="O1824" s="7" t="n">
        <ns0:v>60750.2417444531</ns0:v>
      </ns0:c>
      <ns0:c r="P1824" s="7" t="n">
        <ns0:v>176011.418115214</ns0:v>
      </ns0:c>
      <ns0:c r="Q1824" s="7" t="n">
        <ns0:v>595056.1235982579</ns0:v>
      </ns0:c>
      <ns0:c r="R1824" s="7" t="n">
        <ns0:v>2138712.592788911</ns0:v>
      </ns0:c>
    </ns0:row>
    <ns0:row r="1825" ht="24" customHeight="1">
      <ns0:c r="A1825" s="3" t="inlineStr">
        <ns0:is>
          <ns0:t>混在40/30/30</ns0:t>
        </ns0:is>
      </ns0:c>
      <ns0:c r="B1825" s="3" t="inlineStr">
        <ns0:is>
          <ns0:t>G3三段階</ns0:t>
        </ns0:is>
      </ns0:c>
      <ns0:c r="C1825" s="3" t="inlineStr">
        <ns0:is>
          <ns0:t>A</ns0:t>
        </ns0:is>
      </ns0:c>
      <ns0:c r="D1825" s="4" t="n">
        <ns0:v>1</ns0:v>
      </ns0:c>
      <ns0:c r="E1825" s="4" t="n">
        <ns0:v>1500</ns0:v>
      </ns0:c>
      <ns0:c r="F1825" s="6" t="n">
        <ns0:v>0.4</ns0:v>
      </ns0:c>
      <ns0:c r="G1825" s="4" t="n">
        <ns0:v>1</ns0:v>
      </ns0:c>
      <ns0:c r="H1825" s="7" t="n">
        <ns0:v>5094.995648634233</ns0:v>
      </ns0:c>
      <ns0:c r="I1825" s="7" t="n">
        <ns0:v>2413.688554504365</ns0:v>
      </ns0:c>
      <ns0:c r="J1825" s="7" t="n">
        <ns0:v>965.4754218017462</ns0:v>
      </ns0:c>
      <ns0:c r="K1825" s="7" t="n">
        <ns0:v>27</ns0:v>
      </ns0:c>
      <ns0:c r="L1825" s="7" t="n">
        <ns0:v>50</ns0:v>
      </ns0:c>
      <ns0:c r="M1825" s="7" t="n">
        <ns0:v>-32098.08501788525</ns0:v>
      </ns0:c>
      <ns0:c r="N1825" s="7" t="n">
        <ns0:v>6938.116992255931</ns0:v>
      </ns0:c>
      <ns0:c r="O1825" s="7" t="n">
        <ns0:v>47904.15140463175</ns0:v>
      </ns0:c>
      <ns0:c r="P1825" s="7" t="n">
        <ns0:v>150319.2374355713</ns0:v>
      </ns0:c>
      <ns0:c r="Q1825" s="7" t="n">
        <ns0:v>517979.5815593298</ns0:v>
      </ns0:c>
      <ns0:c r="R1825" s="7" t="n">
        <ns0:v>1881790.785992484</ns0:v>
      </ns0:c>
    </ns0:row>
    <ns0:row r="1826" ht="24" customHeight="1">
      <ns0:c r="A1826" s="3" t="inlineStr">
        <ns0:is>
          <ns0:t>混在40/30/30</ns0:t>
        </ns0:is>
      </ns0:c>
      <ns0:c r="B1826" s="3" t="inlineStr">
        <ns0:is>
          <ns0:t>G3三段階</ns0:t>
        </ns0:is>
      </ns0:c>
      <ns0:c r="C1826" s="3" t="inlineStr">
        <ns0:is>
          <ns0:t>A</ns0:t>
        </ns0:is>
      </ns0:c>
      <ns0:c r="D1826" s="4" t="n">
        <ns0:v>1</ns0:v>
      </ns0:c>
      <ns0:c r="E1826" s="4" t="n">
        <ns0:v>1500</ns0:v>
      </ns0:c>
      <ns0:c r="F1826" s="6" t="n">
        <ns0:v>0.4</ns0:v>
      </ns0:c>
      <ns0:c r="G1826" s="4" t="n">
        <ns0:v>2</ns0:v>
      </ns0:c>
      <ns0:c r="H1826" s="7" t="n">
        <ns0:v>5094.995648634233</ns0:v>
      </ns0:c>
      <ns0:c r="I1826" s="7" t="n">
        <ns0:v>2413.688554504365</ns0:v>
      </ns0:c>
      <ns0:c r="J1826" s="7" t="n">
        <ns0:v>965.4754218017462</ns0:v>
      </ns0:c>
      <ns0:c r="K1826" s="18" t="inlineStr">
        <ns0:is>
          <ns0:t>範囲内なし</ns0:t>
        </ns0:is>
      </ns0:c>
      <ns0:c r="L1826" s="18" t="inlineStr">
        <ns0:is>
          <ns0:t>範囲内なし</ns0:t>
        </ns0:is>
      </ns0:c>
      <ns0:c r="M1826" s="7" t="n">
        <ns0:v>-53329.92354922633</ns0:v>
      </ns0:c>
      <ns0:c r="N1826" s="7" t="n">
        <ns0:v>-56757.39860176732</ns0:v>
      </ns0:c>
      <ns0:c r="O1826" s="7" t="n">
        <ns0:v>-58255.04125207369</ns0:v>
      </ns0:c>
      <ns0:c r="P1826" s="7" t="n">
        <ns0:v>-61999.14787783961</ns0:v>
      </ns0:c>
      <ns0:c r="Q1826" s="7" t="n">
        <ns0:v>-118975.5743809029</ns0:v>
      </ns0:c>
      <ns0:c r="R1826" s="7" t="n">
        <ns0:v>-241393.0671416246</ns0:v>
      </ns0:c>
    </ns0:row>
    <ns0:row r="1827" ht="24" customHeight="1">
      <ns0:c r="A1827" s="3" t="inlineStr">
        <ns0:is>
          <ns0:t>混在40/30/30</ns0:t>
        </ns0:is>
      </ns0:c>
      <ns0:c r="B1827" s="3" t="inlineStr">
        <ns0:is>
          <ns0:t>G3三段階</ns0:t>
        </ns0:is>
      </ns0:c>
      <ns0:c r="C1827" s="3" t="inlineStr">
        <ns0:is>
          <ns0:t>A</ns0:t>
        </ns0:is>
      </ns0:c>
      <ns0:c r="D1827" s="4" t="n">
        <ns0:v>1</ns0:v>
      </ns0:c>
      <ns0:c r="E1827" s="4" t="n">
        <ns0:v>1500</ns0:v>
      </ns0:c>
      <ns0:c r="F1827" s="6" t="n">
        <ns0:v>0.4</ns0:v>
      </ns0:c>
      <ns0:c r="G1827" s="4" t="n">
        <ns0:v>3</ns0:v>
      </ns0:c>
      <ns0:c r="H1827" s="7" t="n">
        <ns0:v>5094.995648634233</ns0:v>
      </ns0:c>
      <ns0:c r="I1827" s="7" t="n">
        <ns0:v>2413.688554504365</ns0:v>
      </ns0:c>
      <ns0:c r="J1827" s="7" t="n">
        <ns0:v>965.4754218017462</ns0:v>
      </ns0:c>
      <ns0:c r="K1827" s="7" t="n">
        <ns0:v>37</ns0:v>
      </ns0:c>
      <ns0:c r="L1827" s="7" t="n">
        <ns0:v>447</ns0:v>
      </ns0:c>
      <ns0:c r="M1827" s="7" t="n">
        <ns0:v>-37738.83244613904</ns0:v>
      </ns0:c>
      <ns0:c r="N1827" s="7" t="n">
        <ns0:v>-9984.125292505469</ns0:v>
      </ns0:c>
      <ns0:c r="O1827" s="7" t="n">
        <ns0:v>19700.41426336274</ns0:v>
      </ns0:c>
      <ns0:c r="P1827" s="7" t="n">
        <ns0:v>93911.76315303327</ns0:v>
      </ns0:c>
      <ns0:c r="Q1827" s="7" t="n">
        <ns0:v>348757.1587117157</ns0:v>
      </ns0:c>
      <ns0:c r="R1827" s="7" t="n">
        <ns0:v>1317716.043167104</ns0:v>
      </ns0:c>
    </ns0:row>
    <ns0:row r="1828" ht="24" customHeight="1">
      <ns0:c r="A1828" s="3" t="inlineStr">
        <ns0:is>
          <ns0:t>混在40/30/30</ns0:t>
        </ns0:is>
      </ns0:c>
      <ns0:c r="B1828" s="3" t="inlineStr">
        <ns0:is>
          <ns0:t>G3三段階</ns0:t>
        </ns0:is>
      </ns0:c>
      <ns0:c r="C1828" s="3" t="inlineStr">
        <ns0:is>
          <ns0:t>A</ns0:t>
        </ns0:is>
      </ns0:c>
      <ns0:c r="D1828" s="4" t="n">
        <ns0:v>1</ns0:v>
      </ns0:c>
      <ns0:c r="E1828" s="4" t="n">
        <ns0:v>1500</ns0:v>
      </ns0:c>
      <ns0:c r="F1828" s="6" t="n">
        <ns0:v>0.5</ns0:v>
      </ns0:c>
      <ns0:c r="G1828" s="4" t="n">
        <ns0:v>0</ns0:v>
      </ns0:c>
      <ns0:c r="H1828" s="7" t="n">
        <ns0:v>5094.995648634233</ns0:v>
      </ns0:c>
      <ns0:c r="I1828" s="7" t="n">
        <ns0:v>2413.688554504365</ns0:v>
      </ns0:c>
      <ns0:c r="J1828" s="7" t="n">
        <ns0:v>1206.844277252183</ns0:v>
      </ns0:c>
      <ns0:c r="K1828" s="7" t="n">
        <ns0:v>27</ns0:v>
      </ns0:c>
      <ns0:c r="L1828" s="7" t="n">
        <ns0:v>40</ns0:v>
      </ns0:c>
      <ns0:c r="M1828" s="7" t="n">
        <ns0:v>-31942.55550442534</ns0:v>
      </ns0:c>
      <ns0:c r="N1828" s="7" t="n">
        <ns0:v>7404.705532635653</ns0:v>
      </ns0:c>
      <ns0:c r="O1828" s="7" t="n">
        <ns0:v>48681.79897193132</ns0:v>
      </ns0:c>
      <ns0:c r="P1828" s="7" t="n">
        <ns0:v>151874.5325701704</ns0:v>
      </ns0:c>
      <ns0:c r="Q1828" s="7" t="n">
        <ns0:v>522645.466963127</ns0:v>
      </ns0:c>
      <ns0:c r="R1828" s="7" t="n">
        <ns0:v>1897343.737338474</ns0:v>
      </ns0:c>
    </ns0:row>
    <ns0:row r="1829" ht="24" customHeight="1">
      <ns0:c r="A1829" s="3" t="inlineStr">
        <ns0:is>
          <ns0:t>混在40/30/30</ns0:t>
        </ns0:is>
      </ns0:c>
      <ns0:c r="B1829" s="3" t="inlineStr">
        <ns0:is>
          <ns0:t>G3三段階</ns0:t>
        </ns0:is>
      </ns0:c>
      <ns0:c r="C1829" s="3" t="inlineStr">
        <ns0:is>
          <ns0:t>A</ns0:t>
        </ns0:is>
      </ns0:c>
      <ns0:c r="D1829" s="4" t="n">
        <ns0:v>1</ns0:v>
      </ns0:c>
      <ns0:c r="E1829" s="4" t="n">
        <ns0:v>1500</ns0:v>
      </ns0:c>
      <ns0:c r="F1829" s="6" t="n">
        <ns0:v>0.5</ns0:v>
      </ns0:c>
      <ns0:c r="G1829" s="4" t="n">
        <ns0:v>1</ns0:v>
      </ns0:c>
      <ns0:c r="H1829" s="7" t="n">
        <ns0:v>5094.995648634233</ns0:v>
      </ns0:c>
      <ns0:c r="I1829" s="7" t="n">
        <ns0:v>2413.688554504365</ns0:v>
      </ns0:c>
      <ns0:c r="J1829" s="7" t="n">
        <ns0:v>1206.844277252183</ns0:v>
      </ns0:c>
      <ns0:c r="K1829" s="7" t="n">
        <ns0:v>31</ns0:v>
      </ns0:c>
      <ns0:c r="L1829" s="7" t="n">
        <ns0:v>57</ns0:v>
      </ns0:c>
      <ns0:c r="M1829" s="7" t="n">
        <ns0:v>-34511.77357238961</ns0:v>
      </ns0:c>
      <ns0:c r="N1829" s="7" t="n">
        <ns0:v>-302.9486712571634</ns0:v>
      </ns0:c>
      <ns0:c r="O1829" s="7" t="n">
        <ns0:v>35835.70863210996</ns0:v>
      </ns0:c>
      <ns0:c r="P1829" s="7" t="n">
        <ns0:v>126182.3518905277</ns0:v>
      </ns0:c>
      <ns0:c r="Q1829" s="7" t="n">
        <ns0:v>445568.9249241989</ns0:v>
      </ns0:c>
      <ns0:c r="R1829" s="7" t="n">
        <ns0:v>1640421.930542047</ns0:v>
      </ns0:c>
    </ns0:row>
    <ns0:row r="1830" ht="24" customHeight="1">
      <ns0:c r="A1830" s="3" t="inlineStr">
        <ns0:is>
          <ns0:t>混在40/30/30</ns0:t>
        </ns0:is>
      </ns0:c>
      <ns0:c r="B1830" s="3" t="inlineStr">
        <ns0:is>
          <ns0:t>G3三段階</ns0:t>
        </ns0:is>
      </ns0:c>
      <ns0:c r="C1830" s="3" t="inlineStr">
        <ns0:is>
          <ns0:t>A</ns0:t>
        </ns0:is>
      </ns0:c>
      <ns0:c r="D1830" s="4" t="n">
        <ns0:v>1</ns0:v>
      </ns0:c>
      <ns0:c r="E1830" s="4" t="n">
        <ns0:v>1500</ns0:v>
      </ns0:c>
      <ns0:c r="F1830" s="6" t="n">
        <ns0:v>0.5</ns0:v>
      </ns0:c>
      <ns0:c r="G1830" s="4" t="n">
        <ns0:v>2</ns0:v>
      </ns0:c>
      <ns0:c r="H1830" s="7" t="n">
        <ns0:v>5094.995648634233</ns0:v>
      </ns0:c>
      <ns0:c r="I1830" s="7" t="n">
        <ns0:v>2413.688554504365</ns0:v>
      </ns0:c>
      <ns0:c r="J1830" s="7" t="n">
        <ns0:v>1206.844277252183</ns0:v>
      </ns0:c>
      <ns0:c r="K1830" s="18" t="inlineStr">
        <ns0:is>
          <ns0:t>範囲内なし</ns0:t>
        </ns0:is>
      </ns0:c>
      <ns0:c r="L1830" s="18" t="inlineStr">
        <ns0:is>
          <ns0:t>範囲内なし</ns0:t>
        </ns0:is>
      </ns0:c>
      <ns0:c r="M1830" s="7" t="n">
        <ns0:v>-55743.6121037307</ns0:v>
      </ns0:c>
      <ns0:c r="N1830" s="7" t="n">
        <ns0:v>-63998.46426528044</ns0:v>
      </ns0:c>
      <ns0:c r="O1830" s="7" t="n">
        <ns0:v>-70323.4840245955</ns0:v>
      </ns0:c>
      <ns0:c r="P1830" s="7" t="n">
        <ns0:v>-86136.03342288318</ns0:v>
      </ns0:c>
      <ns0:c r="Q1830" s="7" t="n">
        <ns0:v>-191386.2310160338</ns0:v>
      </ns0:c>
      <ns0:c r="R1830" s="7" t="n">
        <ns0:v>-482761.9225920613</ns0:v>
      </ns0:c>
    </ns0:row>
    <ns0:row r="1831" ht="24" customHeight="1">
      <ns0:c r="A1831" s="3" t="inlineStr">
        <ns0:is>
          <ns0:t>混在40/30/30</ns0:t>
        </ns0:is>
      </ns0:c>
      <ns0:c r="B1831" s="3" t="inlineStr">
        <ns0:is>
          <ns0:t>G3三段階</ns0:t>
        </ns0:is>
      </ns0:c>
      <ns0:c r="C1831" s="3" t="inlineStr">
        <ns0:is>
          <ns0:t>A</ns0:t>
        </ns0:is>
      </ns0:c>
      <ns0:c r="D1831" s="4" t="n">
        <ns0:v>1</ns0:v>
      </ns0:c>
      <ns0:c r="E1831" s="4" t="n">
        <ns0:v>1500</ns0:v>
      </ns0:c>
      <ns0:c r="F1831" s="6" t="n">
        <ns0:v>0.5</ns0:v>
      </ns0:c>
      <ns0:c r="G1831" s="4" t="n">
        <ns0:v>3</ns0:v>
      </ns0:c>
      <ns0:c r="H1831" s="7" t="n">
        <ns0:v>5094.995648634233</ns0:v>
      </ns0:c>
      <ns0:c r="I1831" s="7" t="n">
        <ns0:v>2413.688554504365</ns0:v>
      </ns0:c>
      <ns0:c r="J1831" s="7" t="n">
        <ns0:v>1206.844277252183</ns0:v>
      </ns0:c>
      <ns0:c r="K1831" s="7" t="n">
        <ns0:v>44</ns0:v>
      </ns0:c>
      <ns0:c r="L1831" s="18" t="inlineStr">
        <ns0:is>
          <ns0:t>範囲内なし</ns0:t>
        </ns0:is>
      </ns0:c>
      <ns0:c r="M1831" s="7" t="n">
        <ns0:v>-40152.52100064341</ns0:v>
      </ns0:c>
      <ns0:c r="N1831" s="7" t="n">
        <ns0:v>-17225.19095601857</ns0:v>
      </ns0:c>
      <ns0:c r="O1831" s="7" t="n">
        <ns0:v>7631.971490840959</ns0:v>
      </ns0:c>
      <ns0:c r="P1831" s="7" t="n">
        <ns0:v>69774.87760798971</ns0:v>
      </ns0:c>
      <ns0:c r="Q1831" s="7" t="n">
        <ns0:v>276346.5020765849</ns0:v>
      </ns0:c>
      <ns0:c r="R1831" s="7" t="n">
        <ns0:v>1076347.187716668</ns0:v>
      </ns0:c>
    </ns0:row>
    <ns0:row r="1832" ht="24" customHeight="1">
      <ns0:c r="A1832" s="3" t="inlineStr">
        <ns0:is>
          <ns0:t>混在40/30/30</ns0:t>
        </ns0:is>
      </ns0:c>
      <ns0:c r="B1832" s="3" t="inlineStr">
        <ns0:is>
          <ns0:t>G3三段階</ns0:t>
        </ns0:is>
      </ns0:c>
      <ns0:c r="C1832" s="3" t="inlineStr">
        <ns0:is>
          <ns0:t>A</ns0:t>
        </ns0:is>
      </ns0:c>
      <ns0:c r="D1832" s="4" t="n">
        <ns0:v>2</ns0:v>
      </ns0:c>
      <ns0:c r="E1832" s="4" t="n">
        <ns0:v>500</ns0:v>
      </ns0:c>
      <ns0:c r="F1832" s="6" t="n">
        <ns0:v>0.3</ns0:v>
      </ns0:c>
      <ns0:c r="G1832" s="4" t="n">
        <ns0:v>0</ns0:v>
      </ns0:c>
      <ns0:c r="H1832" s="7" t="n">
        <ns0:v>7526.251404854129</ns0:v>
      </ns0:c>
      <ns0:c r="I1832" s="7" t="n">
        <ns0:v>3201.708019473674</ns0:v>
      </ns0:c>
      <ns0:c r="J1832" s="7" t="n">
        <ns0:v>960.512405842102</ns0:v>
      </ns0:c>
      <ns0:c r="K1832" s="7" t="n">
        <ns0:v>12</ns0:v>
      </ns0:c>
      <ns0:c r="L1832" s="7" t="n">
        <ns0:v>18</ns0:v>
      </ns0:c>
      <ns0:c r="M1832" s="7" t="n">
        <ns0:v>-6697.453084785138</ns0:v>
      </ns0:c>
      <ns0:c r="N1832" s="7" t="n">
        <ns0:v>68472.29937207419</ns0:v>
      </ns0:c>
      <ns0:c r="O1832" s="7" t="n">
        <ns0:v>150461.1220376622</ns0:v>
      </ns0:c>
      <ns0:c r="P1832" s="7" t="n">
        <ns0:v>355433.1787016322</ns0:v>
      </ns0:c>
      <ns0:c r="Q1832" s="7" t="n">
        <ns0:v>1133321.405357512</ns0:v>
      </ns0:c>
      <ns0:c r="R1832" s="7" t="n">
        <ns0:v>3932930.198653093</ns0:v>
      </ns0:c>
    </ns0:row>
    <ns0:row r="1833" ht="24" customHeight="1">
      <ns0:c r="A1833" s="3" t="inlineStr">
        <ns0:is>
          <ns0:t>混在40/30/30</ns0:t>
        </ns0:is>
      </ns0:c>
      <ns0:c r="B1833" s="3" t="inlineStr">
        <ns0:is>
          <ns0:t>G3三段階</ns0:t>
        </ns0:is>
      </ns0:c>
      <ns0:c r="C1833" s="3" t="inlineStr">
        <ns0:is>
          <ns0:t>A</ns0:t>
        </ns0:is>
      </ns0:c>
      <ns0:c r="D1833" s="4" t="n">
        <ns0:v>2</ns0:v>
      </ns0:c>
      <ns0:c r="E1833" s="4" t="n">
        <ns0:v>500</ns0:v>
      </ns0:c>
      <ns0:c r="F1833" s="6" t="n">
        <ns0:v>0.3</ns0:v>
      </ns0:c>
      <ns0:c r="G1833" s="4" t="n">
        <ns0:v>1</ns0:v>
      </ns0:c>
      <ns0:c r="H1833" s="7" t="n">
        <ns0:v>7526.251404854129</ns0:v>
      </ns0:c>
      <ns0:c r="I1833" s="7" t="n">
        <ns0:v>3201.708019473674</ns0:v>
      </ns0:c>
      <ns0:c r="J1833" s="7" t="n">
        <ns0:v>960.512405842102</ns0:v>
      </ns0:c>
      <ns0:c r="K1833" s="7" t="n">
        <ns0:v>12</ns0:v>
      </ns0:c>
      <ns0:c r="L1833" s="7" t="n">
        <ns0:v>21</ns0:v>
      </ns0:c>
      <ns0:c r="M1833" s="7" t="n">
        <ns0:v>-9902.008410990042</ns0:v>
      </ns0:c>
      <ns0:c r="N1833" s="7" t="n">
        <ns0:v>58858.63339345947</ns0:v>
      </ns0:c>
      <ns0:c r="O1833" s="7" t="n">
        <ns0:v>134438.3454066377</ns0:v>
      </ns0:c>
      <ns0:c r="P1833" s="7" t="n">
        <ns0:v>323387.6254395831</ns0:v>
      </ns0:c>
      <ns0:c r="Q1833" s="7" t="n">
        <ns0:v>1037184.745571365</ns0:v>
      </ns0:c>
      <ns0:c r="R1833" s="7" t="n">
        <ns0:v>3612474.666032603</ns0:v>
      </ns0:c>
    </ns0:row>
    <ns0:row r="1834" ht="24" customHeight="1">
      <ns0:c r="A1834" s="3" t="inlineStr">
        <ns0:is>
          <ns0:t>混在40/30/30</ns0:t>
        </ns0:is>
      </ns0:c>
      <ns0:c r="B1834" s="3" t="inlineStr">
        <ns0:is>
          <ns0:t>G3三段階</ns0:t>
        </ns0:is>
      </ns0:c>
      <ns0:c r="C1834" s="3" t="inlineStr">
        <ns0:is>
          <ns0:t>A</ns0:t>
        </ns0:is>
      </ns0:c>
      <ns0:c r="D1834" s="4" t="n">
        <ns0:v>2</ns0:v>
      </ns0:c>
      <ns0:c r="E1834" s="4" t="n">
        <ns0:v>500</ns0:v>
      </ns0:c>
      <ns0:c r="F1834" s="6" t="n">
        <ns0:v>0.3</ns0:v>
      </ns0:c>
      <ns0:c r="G1834" s="4" t="n">
        <ns0:v>2</ns0:v>
      </ns0:c>
      <ns0:c r="H1834" s="7" t="n">
        <ns0:v>7526.251404854129</ns0:v>
      </ns0:c>
      <ns0:c r="I1834" s="7" t="n">
        <ns0:v>3201.708019473674</ns0:v>
      </ns0:c>
      <ns0:c r="J1834" s="7" t="n">
        <ns0:v>960.512405842102</ns0:v>
      </ns0:c>
      <ns0:c r="K1834" s="18" t="inlineStr">
        <ns0:is>
          <ns0:t>範囲内なし</ns0:t>
        </ns0:is>
      </ns0:c>
      <ns0:c r="L1834" s="18" t="inlineStr">
        <ns0:is>
          <ns0:t>範囲内なし</ns0:t>
        </ns0:is>
      </ns0:c>
      <ns0:c r="M1834" s="7" t="n">
        <ns0:v>-49474.37375956892</ns0:v>
      </ns0:c>
      <ns0:c r="N1834" s="7" t="n">
        <ns0:v>-59858.46265227719</ns0:v>
      </ns0:c>
      <ns0:c r="O1834" s="7" t="n">
        <ns0:v>-63423.48133625675</ns0:v>
      </ns0:c>
      <ns0:c r="P1834" s="7" t="n">
        <ns0:v>-72336.02804620573</ns0:v>
      </ns0:c>
      <ns0:c r="Q1834" s="7" t="n">
        <ns0:v>-149986.2148860014</ns0:v>
      </ns0:c>
      <ns0:c r="R1834" s="7" t="n">
        <ns0:v>-344761.8688252862</ns0:v>
      </ns0:c>
    </ns0:row>
    <ns0:row r="1835" ht="24" customHeight="1">
      <ns0:c r="A1835" s="3" t="inlineStr">
        <ns0:is>
          <ns0:t>混在40/30/30</ns0:t>
        </ns0:is>
      </ns0:c>
      <ns0:c r="B1835" s="3" t="inlineStr">
        <ns0:is>
          <ns0:t>G3三段階</ns0:t>
        </ns0:is>
      </ns0:c>
      <ns0:c r="C1835" s="3" t="inlineStr">
        <ns0:is>
          <ns0:t>A</ns0:t>
        </ns0:is>
      </ns0:c>
      <ns0:c r="D1835" s="4" t="n">
        <ns0:v>2</ns0:v>
      </ns0:c>
      <ns0:c r="E1835" s="4" t="n">
        <ns0:v>500</ns0:v>
      </ns0:c>
      <ns0:c r="F1835" s="6" t="n">
        <ns0:v>0.3</ns0:v>
      </ns0:c>
      <ns0:c r="G1835" s="4" t="n">
        <ns0:v>3</ns0:v>
      </ns0:c>
      <ns0:c r="H1835" s="7" t="n">
        <ns0:v>7526.251404854129</ns0:v>
      </ns0:c>
      <ns0:c r="I1835" s="7" t="n">
        <ns0:v>3201.708019473674</ns0:v>
      </ns0:c>
      <ns0:c r="J1835" s="7" t="n">
        <ns0:v>960.512405842102</ns0:v>
      </ns0:c>
      <ns0:c r="K1835" s="7" t="n">
        <ns0:v>18</ns0:v>
      </ns0:c>
      <ns0:c r="L1835" s="7" t="n">
        <ns0:v>34</ns0:v>
      </ns0:c>
      <ns0:c r="M1835" s="7" t="n">
        <ns0:v>-16481.16274514192</ns0:v>
      </ns0:c>
      <ns0:c r="N1835" s="7" t="n">
        <ns0:v>39121.17039100385</ns0:v>
      </ns0:c>
      <ns0:c r="O1835" s="7" t="n">
        <ns0:v>101542.5737358783</ns0:v>
      </ns0:c>
      <ns0:c r="P1835" s="7" t="n">
        <ns0:v>257596.0820980644</ns0:v>
      </ns0:c>
      <ns0:c r="Q1835" s="7" t="n">
        <ns0:v>839810.1155468088</ns0:v>
      </ns0:c>
      <ns0:c r="R1835" s="7" t="n">
        <ns0:v>2954559.232617415</ns0:v>
      </ns0:c>
    </ns0:row>
    <ns0:row r="1836" ht="24" customHeight="1">
      <ns0:c r="A1836" s="3" t="inlineStr">
        <ns0:is>
          <ns0:t>混在40/30/30</ns0:t>
        </ns0:is>
      </ns0:c>
      <ns0:c r="B1836" s="3" t="inlineStr">
        <ns0:is>
          <ns0:t>G3三段階</ns0:t>
        </ns0:is>
      </ns0:c>
      <ns0:c r="C1836" s="3" t="inlineStr">
        <ns0:is>
          <ns0:t>A</ns0:t>
        </ns0:is>
      </ns0:c>
      <ns0:c r="D1836" s="4" t="n">
        <ns0:v>2</ns0:v>
      </ns0:c>
      <ns0:c r="E1836" s="4" t="n">
        <ns0:v>500</ns0:v>
      </ns0:c>
      <ns0:c r="F1836" s="6" t="n">
        <ns0:v>0.4</ns0:v>
      </ns0:c>
      <ns0:c r="G1836" s="4" t="n">
        <ns0:v>0</ns0:v>
      </ns0:c>
      <ns0:c r="H1836" s="7" t="n">
        <ns0:v>7526.251404854129</ns0:v>
      </ns0:c>
      <ns0:c r="I1836" s="7" t="n">
        <ns0:v>3201.708019473674</ns0:v>
      </ns0:c>
      <ns0:c r="J1836" s="7" t="n">
        <ns0:v>1280.683207789469</ns0:v>
      </ns0:c>
      <ns0:c r="K1836" s="7" t="n">
        <ns0:v>12</ns0:v>
      </ns0:c>
      <ns0:c r="L1836" s="7" t="n">
        <ns0:v>19</ns0:v>
      </ns0:c>
      <ns0:c r="M1836" s="7" t="n">
        <ns0:v>-9899.161104258812</ns0:v>
      </ns0:c>
      <ns0:c r="N1836" s="7" t="n">
        <ns0:v>58867.17531365316</ns0:v>
      </ns0:c>
      <ns0:c r="O1836" s="7" t="n">
        <ns0:v>134452.5819402938</ns0:v>
      </ns0:c>
      <ns0:c r="P1836" s="7" t="n">
        <ns0:v>323416.0985068954</ns0:v>
      </ns0:c>
      <ns0:c r="Q1836" s="7" t="n">
        <ns0:v>1037270.164773302</ns0:v>
      </ns0:c>
      <ns0:c r="R1836" s="7" t="n">
        <ns0:v>3612759.396705726</ns0:v>
      </ns0:c>
    </ns0:row>
    <ns0:row r="1837" ht="24" customHeight="1">
      <ns0:c r="A1837" s="3" t="inlineStr">
        <ns0:is>
          <ns0:t>混在40/30/30</ns0:t>
        </ns0:is>
      </ns0:c>
      <ns0:c r="B1837" s="3" t="inlineStr">
        <ns0:is>
          <ns0:t>G3三段階</ns0:t>
        </ns0:is>
      </ns0:c>
      <ns0:c r="C1837" s="3" t="inlineStr">
        <ns0:is>
          <ns0:t>A</ns0:t>
        </ns0:is>
      </ns0:c>
      <ns0:c r="D1837" s="4" t="n">
        <ns0:v>2</ns0:v>
      </ns0:c>
      <ns0:c r="E1837" s="4" t="n">
        <ns0:v>500</ns0:v>
      </ns0:c>
      <ns0:c r="F1837" s="6" t="n">
        <ns0:v>0.4</ns0:v>
      </ns0:c>
      <ns0:c r="G1837" s="4" t="n">
        <ns0:v>1</ns0:v>
      </ns0:c>
      <ns0:c r="H1837" s="7" t="n">
        <ns0:v>7526.251404854129</ns0:v>
      </ns0:c>
      <ns0:c r="I1837" s="7" t="n">
        <ns0:v>3201.708019473674</ns0:v>
      </ns0:c>
      <ns0:c r="J1837" s="7" t="n">
        <ns0:v>1280.683207789469</ns0:v>
      </ns0:c>
      <ns0:c r="K1837" s="7" t="n">
        <ns0:v>13</ns0:v>
      </ns0:c>
      <ns0:c r="L1837" s="7" t="n">
        <ns0:v>23</ns0:v>
      </ns0:c>
      <ns0:c r="M1837" s="7" t="n">
        <ns0:v>-13103.71643046371</ns0:v>
      </ns0:c>
      <ns0:c r="N1837" s="7" t="n">
        <ns0:v>49253.50933503844</ns0:v>
      </ns0:c>
      <ns0:c r="O1837" s="7" t="n">
        <ns0:v>118429.8053092693</ns0:v>
      </ns0:c>
      <ns0:c r="P1837" s="7" t="n">
        <ns0:v>291370.5452448463</ns0:v>
      </ns0:c>
      <ns0:c r="Q1837" s="7" t="n">
        <ns0:v>941133.5049871546</ns0:v>
      </ns0:c>
      <ns0:c r="R1837" s="7" t="n">
        <ns0:v>3292303.864085235</ns0:v>
      </ns0:c>
    </ns0:row>
    <ns0:row r="1838" ht="24" customHeight="1">
      <ns0:c r="A1838" s="3" t="inlineStr">
        <ns0:is>
          <ns0:t>混在40/30/30</ns0:t>
        </ns0:is>
      </ns0:c>
      <ns0:c r="B1838" s="3" t="inlineStr">
        <ns0:is>
          <ns0:t>G3三段階</ns0:t>
        </ns0:is>
      </ns0:c>
      <ns0:c r="C1838" s="3" t="inlineStr">
        <ns0:is>
          <ns0:t>A</ns0:t>
        </ns0:is>
      </ns0:c>
      <ns0:c r="D1838" s="4" t="n">
        <ns0:v>2</ns0:v>
      </ns0:c>
      <ns0:c r="E1838" s="4" t="n">
        <ns0:v>500</ns0:v>
      </ns0:c>
      <ns0:c r="F1838" s="6" t="n">
        <ns0:v>0.4</ns0:v>
      </ns0:c>
      <ns0:c r="G1838" s="4" t="n">
        <ns0:v>2</ns0:v>
      </ns0:c>
      <ns0:c r="H1838" s="7" t="n">
        <ns0:v>7526.251404854129</ns0:v>
      </ns0:c>
      <ns0:c r="I1838" s="7" t="n">
        <ns0:v>3201.708019473674</ns0:v>
      </ns0:c>
      <ns0:c r="J1838" s="7" t="n">
        <ns0:v>1280.683207789469</ns0:v>
      </ns0:c>
      <ns0:c r="K1838" s="18" t="inlineStr">
        <ns0:is>
          <ns0:t>範囲内なし</ns0:t>
        </ns0:is>
      </ns0:c>
      <ns0:c r="L1838" s="18" t="inlineStr">
        <ns0:is>
          <ns0:t>範囲内なし</ns0:t>
        </ns0:is>
      </ns0:c>
      <ns0:c r="M1838" s="7" t="n">
        <ns0:v>-52676.0817790426</ns0:v>
      </ns0:c>
      <ns0:c r="N1838" s="7" t="n">
        <ns0:v>-69463.58671069822</ns0:v>
      </ns0:c>
      <ns0:c r="O1838" s="7" t="n">
        <ns0:v>-79432.02143362517</ns0:v>
      </ns0:c>
      <ns0:c r="P1838" s="7" t="n">
        <ns0:v>-104353.1082409425</ns0:v>
      </ns0:c>
      <ns0:c r="Q1838" s="7" t="n">
        <ns0:v>-246037.4554702118</ns0:v>
      </ns0:c>
      <ns0:c r="R1838" s="7" t="n">
        <ns0:v>-664932.6707726535</ns0:v>
      </ns0:c>
    </ns0:row>
    <ns0:row r="1839" ht="24" customHeight="1">
      <ns0:c r="A1839" s="3" t="inlineStr">
        <ns0:is>
          <ns0:t>混在40/30/30</ns0:t>
        </ns0:is>
      </ns0:c>
      <ns0:c r="B1839" s="3" t="inlineStr">
        <ns0:is>
          <ns0:t>G3三段階</ns0:t>
        </ns0:is>
      </ns0:c>
      <ns0:c r="C1839" s="3" t="inlineStr">
        <ns0:is>
          <ns0:t>A</ns0:t>
        </ns0:is>
      </ns0:c>
      <ns0:c r="D1839" s="4" t="n">
        <ns0:v>2</ns0:v>
      </ns0:c>
      <ns0:c r="E1839" s="4" t="n">
        <ns0:v>500</ns0:v>
      </ns0:c>
      <ns0:c r="F1839" s="6" t="n">
        <ns0:v>0.4</ns0:v>
      </ns0:c>
      <ns0:c r="G1839" s="4" t="n">
        <ns0:v>3</ns0:v>
      </ns0:c>
      <ns0:c r="H1839" s="7" t="n">
        <ns0:v>7526.251404854129</ns0:v>
      </ns0:c>
      <ns0:c r="I1839" s="7" t="n">
        <ns0:v>3201.708019473674</ns0:v>
      </ns0:c>
      <ns0:c r="J1839" s="7" t="n">
        <ns0:v>1280.683207789469</ns0:v>
      </ns0:c>
      <ns0:c r="K1839" s="7" t="n">
        <ns0:v>20</ns0:v>
      </ns0:c>
      <ns0:c r="L1839" s="7" t="n">
        <ns0:v>39</ns0:v>
      </ns0:c>
      <ns0:c r="M1839" s="7" t="n">
        <ns0:v>-19682.87076461559</ns0:v>
      </ns0:c>
      <ns0:c r="N1839" s="7" t="n">
        <ns0:v>29516.04633258282</ns0:v>
      </ns0:c>
      <ns0:c r="O1839" s="7" t="n">
        <ns0:v>85534.03363850989</ns0:v>
      </ns0:c>
      <ns0:c r="P1839" s="7" t="n">
        <ns0:v>225579.0019033276</ns0:v>
      </ns0:c>
      <ns0:c r="Q1839" s="7" t="n">
        <ns0:v>743758.8749625984</ns0:v>
      </ns0:c>
      <ns0:c r="R1839" s="7" t="n">
        <ns0:v>2634388.430670048</ns0:v>
      </ns0:c>
    </ns0:row>
    <ns0:row r="1840" ht="24" customHeight="1">
      <ns0:c r="A1840" s="3" t="inlineStr">
        <ns0:is>
          <ns0:t>混在40/30/30</ns0:t>
        </ns0:is>
      </ns0:c>
      <ns0:c r="B1840" s="3" t="inlineStr">
        <ns0:is>
          <ns0:t>G3三段階</ns0:t>
        </ns0:is>
      </ns0:c>
      <ns0:c r="C1840" s="3" t="inlineStr">
        <ns0:is>
          <ns0:t>A</ns0:t>
        </ns0:is>
      </ns0:c>
      <ns0:c r="D1840" s="4" t="n">
        <ns0:v>2</ns0:v>
      </ns0:c>
      <ns0:c r="E1840" s="4" t="n">
        <ns0:v>500</ns0:v>
      </ns0:c>
      <ns0:c r="F1840" s="6" t="n">
        <ns0:v>0.5</ns0:v>
      </ns0:c>
      <ns0:c r="G1840" s="4" t="n">
        <ns0:v>0</ns0:v>
      </ns0:c>
      <ns0:c r="H1840" s="7" t="n">
        <ns0:v>7526.251404854129</ns0:v>
      </ns0:c>
      <ns0:c r="I1840" s="7" t="n">
        <ns0:v>3201.708019473674</ns0:v>
      </ns0:c>
      <ns0:c r="J1840" s="7" t="n">
        <ns0:v>1600.854009736837</ns0:v>
      </ns0:c>
      <ns0:c r="K1840" s="7" t="n">
        <ns0:v>13</ns0:v>
      </ns0:c>
      <ns0:c r="L1840" s="7" t="n">
        <ns0:v>20</ns0:v>
      </ns0:c>
      <ns0:c r="M1840" s="7" t="n">
        <ns0:v>-13100.86912373249</ns0:v>
      </ns0:c>
      <ns0:c r="N1840" s="7" t="n">
        <ns0:v>49262.05125523214</ns0:v>
      </ns0:c>
      <ns0:c r="O1840" s="7" t="n">
        <ns0:v>118444.0418429254</ns0:v>
      </ns0:c>
      <ns0:c r="P1840" s="7" t="n">
        <ns0:v>291399.0183121587</ns0:v>
      </ns0:c>
      <ns0:c r="Q1840" s="7" t="n">
        <ns0:v>941218.9241890919</ns0:v>
      </ns0:c>
      <ns0:c r="R1840" s="7" t="n">
        <ns0:v>3292588.594758359</ns0:v>
      </ns0:c>
    </ns0:row>
    <ns0:row r="1841" ht="24" customHeight="1">
      <ns0:c r="A1841" s="3" t="inlineStr">
        <ns0:is>
          <ns0:t>混在40/30/30</ns0:t>
        </ns0:is>
      </ns0:c>
      <ns0:c r="B1841" s="3" t="inlineStr">
        <ns0:is>
          <ns0:t>G3三段階</ns0:t>
        </ns0:is>
      </ns0:c>
      <ns0:c r="C1841" s="3" t="inlineStr">
        <ns0:is>
          <ns0:t>A</ns0:t>
        </ns0:is>
      </ns0:c>
      <ns0:c r="D1841" s="4" t="n">
        <ns0:v>2</ns0:v>
      </ns0:c>
      <ns0:c r="E1841" s="4" t="n">
        <ns0:v>500</ns0:v>
      </ns0:c>
      <ns0:c r="F1841" s="6" t="n">
        <ns0:v>0.5</ns0:v>
      </ns0:c>
      <ns0:c r="G1841" s="4" t="n">
        <ns0:v>1</ns0:v>
      </ns0:c>
      <ns0:c r="H1841" s="7" t="n">
        <ns0:v>7526.251404854129</ns0:v>
      </ns0:c>
      <ns0:c r="I1841" s="7" t="n">
        <ns0:v>3201.708019473674</ns0:v>
      </ns0:c>
      <ns0:c r="J1841" s="7" t="n">
        <ns0:v>1600.854009736837</ns0:v>
      </ns0:c>
      <ns0:c r="K1841" s="7" t="n">
        <ns0:v>18</ns0:v>
      </ns0:c>
      <ns0:c r="L1841" s="7" t="n">
        <ns0:v>24</ns0:v>
      </ns0:c>
      <ns0:c r="M1841" s="7" t="n">
        <ns0:v>-16305.42444993739</ns0:v>
      </ns0:c>
      <ns0:c r="N1841" s="7" t="n">
        <ns0:v>39648.38527661742</ns0:v>
      </ns0:c>
      <ns0:c r="O1841" s="7" t="n">
        <ns0:v>102421.2652119009</ns0:v>
      </ns0:c>
      <ns0:c r="P1841" s="7" t="n">
        <ns0:v>259353.4650501097</ns0:v>
      </ns0:c>
      <ns0:c r="Q1841" s="7" t="n">
        <ns0:v>845082.2644029446</ns0:v>
      </ns0:c>
      <ns0:c r="R1841" s="7" t="n">
        <ns0:v>2972133.062137868</ns0:v>
      </ns0:c>
    </ns0:row>
    <ns0:row r="1842" ht="24" customHeight="1">
      <ns0:c r="A1842" s="3" t="inlineStr">
        <ns0:is>
          <ns0:t>混在40/30/30</ns0:t>
        </ns0:is>
      </ns0:c>
      <ns0:c r="B1842" s="3" t="inlineStr">
        <ns0:is>
          <ns0:t>G3三段階</ns0:t>
        </ns0:is>
      </ns0:c>
      <ns0:c r="C1842" s="3" t="inlineStr">
        <ns0:is>
          <ns0:t>A</ns0:t>
        </ns0:is>
      </ns0:c>
      <ns0:c r="D1842" s="4" t="n">
        <ns0:v>2</ns0:v>
      </ns0:c>
      <ns0:c r="E1842" s="4" t="n">
        <ns0:v>500</ns0:v>
      </ns0:c>
      <ns0:c r="F1842" s="6" t="n">
        <ns0:v>0.5</ns0:v>
      </ns0:c>
      <ns0:c r="G1842" s="4" t="n">
        <ns0:v>2</ns0:v>
      </ns0:c>
      <ns0:c r="H1842" s="7" t="n">
        <ns0:v>7526.251404854129</ns0:v>
      </ns0:c>
      <ns0:c r="I1842" s="7" t="n">
        <ns0:v>3201.708019473674</ns0:v>
      </ns0:c>
      <ns0:c r="J1842" s="7" t="n">
        <ns0:v>1600.854009736837</ns0:v>
      </ns0:c>
      <ns0:c r="K1842" s="18" t="inlineStr">
        <ns0:is>
          <ns0:t>範囲内なし</ns0:t>
        </ns0:is>
      </ns0:c>
      <ns0:c r="L1842" s="18" t="inlineStr">
        <ns0:is>
          <ns0:t>範囲内なし</ns0:t>
        </ns0:is>
      </ns0:c>
      <ns0:c r="M1842" s="7" t="n">
        <ns0:v>-55877.78979851629</ns0:v>
      </ns0:c>
      <ns0:c r="N1842" s="7" t="n">
        <ns0:v>-79068.71076911922</ns0:v>
      </ns0:c>
      <ns0:c r="O1842" s="7" t="n">
        <ns0:v>-95440.56153099349</ns0:v>
      </ns0:c>
      <ns0:c r="P1842" s="7" t="n">
        <ns0:v>-136370.1884356792</ns0:v>
      </ns0:c>
      <ns0:c r="Q1842" s="7" t="n">
        <ns0:v>-342088.6960544218</ns0:v>
      </ns0:c>
      <ns0:c r="R1842" s="7" t="n">
        <ns0:v>-985103.4727200205</ns0:v>
      </ns0:c>
    </ns0:row>
    <ns0:row r="1843" ht="24" customHeight="1">
      <ns0:c r="A1843" s="3" t="inlineStr">
        <ns0:is>
          <ns0:t>混在40/30/30</ns0:t>
        </ns0:is>
      </ns0:c>
      <ns0:c r="B1843" s="3" t="inlineStr">
        <ns0:is>
          <ns0:t>G3三段階</ns0:t>
        </ns0:is>
      </ns0:c>
      <ns0:c r="C1843" s="3" t="inlineStr">
        <ns0:is>
          <ns0:t>A</ns0:t>
        </ns0:is>
      </ns0:c>
      <ns0:c r="D1843" s="4" t="n">
        <ns0:v>2</ns0:v>
      </ns0:c>
      <ns0:c r="E1843" s="4" t="n">
        <ns0:v>500</ns0:v>
      </ns0:c>
      <ns0:c r="F1843" s="6" t="n">
        <ns0:v>0.5</ns0:v>
      </ns0:c>
      <ns0:c r="G1843" s="4" t="n">
        <ns0:v>3</ns0:v>
      </ns0:c>
      <ns0:c r="H1843" s="7" t="n">
        <ns0:v>7526.251404854129</ns0:v>
      </ns0:c>
      <ns0:c r="I1843" s="7" t="n">
        <ns0:v>3201.708019473674</ns0:v>
      </ns0:c>
      <ns0:c r="J1843" s="7" t="n">
        <ns0:v>1600.854009736837</ns0:v>
      </ns0:c>
      <ns0:c r="K1843" s="7" t="n">
        <ns0:v>22</ns0:v>
      </ns0:c>
      <ns0:c r="L1843" s="7" t="n">
        <ns0:v>45</ns0:v>
      </ns0:c>
      <ns0:c r="M1843" s="7" t="n">
        <ns0:v>-22884.57878408927</ns0:v>
      </ns0:c>
      <ns0:c r="N1843" s="7" t="n">
        <ns0:v>19910.9222741618</ns0:v>
      </ns0:c>
      <ns0:c r="O1843" s="7" t="n">
        <ns0:v>69525.49354114156</ns0:v>
      </ns0:c>
      <ns0:c r="P1843" s="7" t="n">
        <ns0:v>193561.9217085909</ns0:v>
      </ns0:c>
      <ns0:c r="Q1843" s="7" t="n">
        <ns0:v>647707.6343783884</ns0:v>
      </ns0:c>
      <ns0:c r="R1843" s="7" t="n">
        <ns0:v>2314217.62872268</ns0:v>
      </ns0:c>
    </ns0:row>
    <ns0:row r="1844" ht="24" customHeight="1">
      <ns0:c r="A1844" s="3" t="inlineStr">
        <ns0:is>
          <ns0:t>混在40/30/30</ns0:t>
        </ns0:is>
      </ns0:c>
      <ns0:c r="B1844" s="3" t="inlineStr">
        <ns0:is>
          <ns0:t>G3三段階</ns0:t>
        </ns0:is>
      </ns0:c>
      <ns0:c r="C1844" s="3" t="inlineStr">
        <ns0:is>
          <ns0:t>A</ns0:t>
        </ns0:is>
      </ns0:c>
      <ns0:c r="D1844" s="4" t="n">
        <ns0:v>2</ns0:v>
      </ns0:c>
      <ns0:c r="E1844" s="4" t="n">
        <ns0:v>1000</ns0:v>
      </ns0:c>
      <ns0:c r="F1844" s="6" t="n">
        <ns0:v>0.3</ns0:v>
      </ns0:c>
      <ns0:c r="G1844" s="4" t="n">
        <ns0:v>0</ns0:v>
      </ns0:c>
      <ns0:c r="H1844" s="7" t="n">
        <ns0:v>7376.251404854129</ns0:v>
      </ns0:c>
      <ns0:c r="I1844" s="7" t="n">
        <ns0:v>3051.708019473674</ns0:v>
      </ns0:c>
      <ns0:c r="J1844" s="7" t="n">
        <ns0:v>915.512405842102</ns0:v>
      </ns0:c>
      <ns0:c r="K1844" s="7" t="n">
        <ns0:v>12</ns0:v>
      </ns0:c>
      <ns0:c r="L1844" s="7" t="n">
        <ns0:v>18</ns0:v>
      </ns0:c>
      <ns0:c r="M1844" s="7" t="n">
        <ns0:v>-7693.453084785135</ns0:v>
      </ns0:c>
      <ns0:c r="N1844" s="7" t="n">
        <ns0:v>65484.29937207422</ns0:v>
      </ns0:c>
      <ns0:c r="O1844" s="7" t="n">
        <ns0:v>145481.1220376622</ns0:v>
      </ns0:c>
      <ns0:c r="P1844" s="7" t="n">
        <ns0:v>345473.1787016322</ns0:v>
      </ns0:c>
      <ns0:c r="Q1844" s="7" t="n">
        <ns0:v>1103441.405357512</ns0:v>
      </ns0:c>
      <ns0:c r="R1844" s="7" t="n">
        <ns0:v>3833330.198653093</ns0:v>
      </ns0:c>
    </ns0:row>
    <ns0:row r="1845" ht="24" customHeight="1">
      <ns0:c r="A1845" s="3" t="inlineStr">
        <ns0:is>
          <ns0:t>混在40/30/30</ns0:t>
        </ns0:is>
      </ns0:c>
      <ns0:c r="B1845" s="3" t="inlineStr">
        <ns0:is>
          <ns0:t>G3三段階</ns0:t>
        </ns0:is>
      </ns0:c>
      <ns0:c r="C1845" s="3" t="inlineStr">
        <ns0:is>
          <ns0:t>A</ns0:t>
        </ns0:is>
      </ns0:c>
      <ns0:c r="D1845" s="4" t="n">
        <ns0:v>2</ns0:v>
      </ns0:c>
      <ns0:c r="E1845" s="4" t="n">
        <ns0:v>1000</ns0:v>
      </ns0:c>
      <ns0:c r="F1845" s="6" t="n">
        <ns0:v>0.3</ns0:v>
      </ns0:c>
      <ns0:c r="G1845" s="4" t="n">
        <ns0:v>1</ns0:v>
      </ns0:c>
      <ns0:c r="H1845" s="7" t="n">
        <ns0:v>7376.251404854129</ns0:v>
      </ns0:c>
      <ns0:c r="I1845" s="7" t="n">
        <ns0:v>3051.708019473674</ns0:v>
      </ns0:c>
      <ns0:c r="J1845" s="7" t="n">
        <ns0:v>915.512405842102</ns0:v>
      </ns0:c>
      <ns0:c r="K1845" s="7" t="n">
        <ns0:v>13</ns0:v>
      </ns0:c>
      <ns0:c r="L1845" s="7" t="n">
        <ns0:v>21</ns0:v>
      </ns0:c>
      <ns0:c r="M1845" s="7" t="n">
        <ns0:v>-10898.00841099003</ns0:v>
      </ns0:c>
      <ns0:c r="N1845" s="7" t="n">
        <ns0:v>55870.6333934595</ns0:v>
      </ns0:c>
      <ns0:c r="O1845" s="7" t="n">
        <ns0:v>129458.3454066377</ns0:v>
      </ns0:c>
      <ns0:c r="P1845" s="7" t="n">
        <ns0:v>313427.6254395831</ns0:v>
      </ns0:c>
      <ns0:c r="Q1845" s="7" t="n">
        <ns0:v>1007304.745571365</ns0:v>
      </ns0:c>
      <ns0:c r="R1845" s="7" t="n">
        <ns0:v>3512874.666032603</ns0:v>
      </ns0:c>
    </ns0:row>
    <ns0:row r="1846" ht="24" customHeight="1">
      <ns0:c r="A1846" s="3" t="inlineStr">
        <ns0:is>
          <ns0:t>混在40/30/30</ns0:t>
        </ns0:is>
      </ns0:c>
      <ns0:c r="B1846" s="3" t="inlineStr">
        <ns0:is>
          <ns0:t>G3三段階</ns0:t>
        </ns0:is>
      </ns0:c>
      <ns0:c r="C1846" s="3" t="inlineStr">
        <ns0:is>
          <ns0:t>A</ns0:t>
        </ns0:is>
      </ns0:c>
      <ns0:c r="D1846" s="4" t="n">
        <ns0:v>2</ns0:v>
      </ns0:c>
      <ns0:c r="E1846" s="4" t="n">
        <ns0:v>1000</ns0:v>
      </ns0:c>
      <ns0:c r="F1846" s="6" t="n">
        <ns0:v>0.3</ns0:v>
      </ns0:c>
      <ns0:c r="G1846" s="4" t="n">
        <ns0:v>2</ns0:v>
      </ns0:c>
      <ns0:c r="H1846" s="7" t="n">
        <ns0:v>7376.251404854129</ns0:v>
      </ns0:c>
      <ns0:c r="I1846" s="7" t="n">
        <ns0:v>3051.708019473674</ns0:v>
      </ns0:c>
      <ns0:c r="J1846" s="7" t="n">
        <ns0:v>915.512405842102</ns0:v>
      </ns0:c>
      <ns0:c r="K1846" s="18" t="inlineStr">
        <ns0:is>
          <ns0:t>範囲内なし</ns0:t>
        </ns0:is>
      </ns0:c>
      <ns0:c r="L1846" s="18" t="inlineStr">
        <ns0:is>
          <ns0:t>範囲内なし</ns0:t>
        </ns0:is>
      </ns0:c>
      <ns0:c r="M1846" s="7" t="n">
        <ns0:v>-50470.37375956892</ns0:v>
      </ns0:c>
      <ns0:c r="N1846" s="7" t="n">
        <ns0:v>-62846.46265227716</ns0:v>
      </ns0:c>
      <ns0:c r="O1846" s="7" t="n">
        <ns0:v>-68403.48133625675</ns0:v>
      </ns0:c>
      <ns0:c r="P1846" s="7" t="n">
        <ns0:v>-82296.0280462057</ns0:v>
      </ns0:c>
      <ns0:c r="Q1846" s="7" t="n">
        <ns0:v>-179866.2148860012</ns0:v>
      </ns0:c>
      <ns0:c r="R1846" s="7" t="n">
        <ns0:v>-444361.8688252862</ns0:v>
      </ns0:c>
    </ns0:row>
    <ns0:row r="1847" ht="24" customHeight="1">
      <ns0:c r="A1847" s="3" t="inlineStr">
        <ns0:is>
          <ns0:t>混在40/30/30</ns0:t>
        </ns0:is>
      </ns0:c>
      <ns0:c r="B1847" s="3" t="inlineStr">
        <ns0:is>
          <ns0:t>G3三段階</ns0:t>
        </ns0:is>
      </ns0:c>
      <ns0:c r="C1847" s="3" t="inlineStr">
        <ns0:is>
          <ns0:t>A</ns0:t>
        </ns0:is>
      </ns0:c>
      <ns0:c r="D1847" s="4" t="n">
        <ns0:v>2</ns0:v>
      </ns0:c>
      <ns0:c r="E1847" s="4" t="n">
        <ns0:v>1000</ns0:v>
      </ns0:c>
      <ns0:c r="F1847" s="6" t="n">
        <ns0:v>0.3</ns0:v>
      </ns0:c>
      <ns0:c r="G1847" s="4" t="n">
        <ns0:v>3</ns0:v>
      </ns0:c>
      <ns0:c r="H1847" s="7" t="n">
        <ns0:v>7376.251404854129</ns0:v>
      </ns0:c>
      <ns0:c r="I1847" s="7" t="n">
        <ns0:v>3051.708019473674</ns0:v>
      </ns0:c>
      <ns0:c r="J1847" s="7" t="n">
        <ns0:v>915.512405842102</ns0:v>
      </ns0:c>
      <ns0:c r="K1847" s="7" t="n">
        <ns0:v>19</ns0:v>
      </ns0:c>
      <ns0:c r="L1847" s="7" t="n">
        <ns0:v>35</ns0:v>
      </ns0:c>
      <ns0:c r="M1847" s="7" t="n">
        <ns0:v>-17477.16274514191</ns0:v>
      </ns0:c>
      <ns0:c r="N1847" s="7" t="n">
        <ns0:v>36133.17039100388</ns0:v>
      </ns0:c>
      <ns0:c r="O1847" s="7" t="n">
        <ns0:v>96562.57373587831</ns0:v>
      </ns0:c>
      <ns0:c r="P1847" s="7" t="n">
        <ns0:v>247636.0820980644</ns0:v>
      </ns0:c>
      <ns0:c r="Q1847" s="7" t="n">
        <ns0:v>809930.115546809</ns0:v>
      </ns0:c>
      <ns0:c r="R1847" s="7" t="n">
        <ns0:v>2854959.232617415</ns0:v>
      </ns0:c>
    </ns0:row>
    <ns0:row r="1848" ht="24" customHeight="1">
      <ns0:c r="A1848" s="3" t="inlineStr">
        <ns0:is>
          <ns0:t>混在40/30/30</ns0:t>
        </ns0:is>
      </ns0:c>
      <ns0:c r="B1848" s="3" t="inlineStr">
        <ns0:is>
          <ns0:t>G3三段階</ns0:t>
        </ns0:is>
      </ns0:c>
      <ns0:c r="C1848" s="3" t="inlineStr">
        <ns0:is>
          <ns0:t>A</ns0:t>
        </ns0:is>
      </ns0:c>
      <ns0:c r="D1848" s="4" t="n">
        <ns0:v>2</ns0:v>
      </ns0:c>
      <ns0:c r="E1848" s="4" t="n">
        <ns0:v>1000</ns0:v>
      </ns0:c>
      <ns0:c r="F1848" s="6" t="n">
        <ns0:v>0.4</ns0:v>
      </ns0:c>
      <ns0:c r="G1848" s="4" t="n">
        <ns0:v>0</ns0:v>
      </ns0:c>
      <ns0:c r="H1848" s="7" t="n">
        <ns0:v>7376.251404854129</ns0:v>
      </ns0:c>
      <ns0:c r="I1848" s="7" t="n">
        <ns0:v>3051.708019473674</ns0:v>
      </ns0:c>
      <ns0:c r="J1848" s="7" t="n">
        <ns0:v>1220.68320778947</ns0:v>
      </ns0:c>
      <ns0:c r="K1848" s="7" t="n">
        <ns0:v>13</ns0:v>
      </ns0:c>
      <ns0:c r="L1848" s="7" t="n">
        <ns0:v>19</ns0:v>
      </ns0:c>
      <ns0:c r="M1848" s="7" t="n">
        <ns0:v>-10745.16110425881</ns0:v>
      </ns0:c>
      <ns0:c r="N1848" s="7" t="n">
        <ns0:v>56329.17531365318</ns0:v>
      </ns0:c>
      <ns0:c r="O1848" s="7" t="n">
        <ns0:v>130222.5819402938</ns0:v>
      </ns0:c>
      <ns0:c r="P1848" s="7" t="n">
        <ns0:v>314956.0985068955</ns0:v>
      </ns0:c>
      <ns0:c r="Q1848" s="7" t="n">
        <ns0:v>1011890.164773302</ns0:v>
      </ns0:c>
      <ns0:c r="R1848" s="7" t="n">
        <ns0:v>3528159.396705725</ns0:v>
      </ns0:c>
    </ns0:row>
    <ns0:row r="1849" ht="24" customHeight="1">
      <ns0:c r="A1849" s="3" t="inlineStr">
        <ns0:is>
          <ns0:t>混在40/30/30</ns0:t>
        </ns0:is>
      </ns0:c>
      <ns0:c r="B1849" s="3" t="inlineStr">
        <ns0:is>
          <ns0:t>G3三段階</ns0:t>
        </ns0:is>
      </ns0:c>
      <ns0:c r="C1849" s="3" t="inlineStr">
        <ns0:is>
          <ns0:t>A</ns0:t>
        </ns0:is>
      </ns0:c>
      <ns0:c r="D1849" s="4" t="n">
        <ns0:v>2</ns0:v>
      </ns0:c>
      <ns0:c r="E1849" s="4" t="n">
        <ns0:v>1000</ns0:v>
      </ns0:c>
      <ns0:c r="F1849" s="6" t="n">
        <ns0:v>0.4</ns0:v>
      </ns0:c>
      <ns0:c r="G1849" s="4" t="n">
        <ns0:v>1</ns0:v>
      </ns0:c>
      <ns0:c r="H1849" s="7" t="n">
        <ns0:v>7376.251404854129</ns0:v>
      </ns0:c>
      <ns0:c r="I1849" s="7" t="n">
        <ns0:v>3051.708019473674</ns0:v>
      </ns0:c>
      <ns0:c r="J1849" s="7" t="n">
        <ns0:v>1220.68320778947</ns0:v>
      </ns0:c>
      <ns0:c r="K1849" s="7" t="n">
        <ns0:v>13</ns0:v>
      </ns0:c>
      <ns0:c r="L1849" s="7" t="n">
        <ns0:v>23</ns0:v>
      </ns0:c>
      <ns0:c r="M1849" s="7" t="n">
        <ns0:v>-13949.71643046371</ns0:v>
      </ns0:c>
      <ns0:c r="N1849" s="7" t="n">
        <ns0:v>46715.50933503846</ns0:v>
      </ns0:c>
      <ns0:c r="O1849" s="7" t="n">
        <ns0:v>114199.8053092693</ns0:v>
      </ns0:c>
      <ns0:c r="P1849" s="7" t="n">
        <ns0:v>282910.5452448464</ns0:v>
      </ns0:c>
      <ns0:c r="Q1849" s="7" t="n">
        <ns0:v>915753.5049871549</ns0:v>
      </ns0:c>
      <ns0:c r="R1849" s="7" t="n">
        <ns0:v>3207703.864085235</ns0:v>
      </ns0:c>
    </ns0:row>
    <ns0:row r="1850" ht="24" customHeight="1">
      <ns0:c r="A1850" s="3" t="inlineStr">
        <ns0:is>
          <ns0:t>混在40/30/30</ns0:t>
        </ns0:is>
      </ns0:c>
      <ns0:c r="B1850" s="3" t="inlineStr">
        <ns0:is>
          <ns0:t>G3三段階</ns0:t>
        </ns0:is>
      </ns0:c>
      <ns0:c r="C1850" s="3" t="inlineStr">
        <ns0:is>
          <ns0:t>A</ns0:t>
        </ns0:is>
      </ns0:c>
      <ns0:c r="D1850" s="4" t="n">
        <ns0:v>2</ns0:v>
      </ns0:c>
      <ns0:c r="E1850" s="4" t="n">
        <ns0:v>1000</ns0:v>
      </ns0:c>
      <ns0:c r="F1850" s="6" t="n">
        <ns0:v>0.4</ns0:v>
      </ns0:c>
      <ns0:c r="G1850" s="4" t="n">
        <ns0:v>2</ns0:v>
      </ns0:c>
      <ns0:c r="H1850" s="7" t="n">
        <ns0:v>7376.251404854129</ns0:v>
      </ns0:c>
      <ns0:c r="I1850" s="7" t="n">
        <ns0:v>3051.708019473674</ns0:v>
      </ns0:c>
      <ns0:c r="J1850" s="7" t="n">
        <ns0:v>1220.68320778947</ns0:v>
      </ns0:c>
      <ns0:c r="K1850" s="18" t="inlineStr">
        <ns0:is>
          <ns0:t>範囲内なし</ns0:t>
        </ns0:is>
      </ns0:c>
      <ns0:c r="L1850" s="18" t="inlineStr">
        <ns0:is>
          <ns0:t>範囲内なし</ns0:t>
        </ns0:is>
      </ns0:c>
      <ns0:c r="M1850" s="7" t="n">
        <ns0:v>-53522.08177904259</ns0:v>
      </ns0:c>
      <ns0:c r="N1850" s="7" t="n">
        <ns0:v>-72001.58671069819</ns0:v>
      </ns0:c>
      <ns0:c r="O1850" s="7" t="n">
        <ns0:v>-83662.02143362511</ns0:v>
      </ns0:c>
      <ns0:c r="P1850" s="7" t="n">
        <ns0:v>-112813.1082409424</ns0:v>
      </ns0:c>
      <ns0:c r="Q1850" s="7" t="n">
        <ns0:v>-271417.4554702115</ns0:v>
      </ns0:c>
      <ns0:c r="R1850" s="7" t="n">
        <ns0:v>-749532.6707726535</ns0:v>
      </ns0:c>
    </ns0:row>
    <ns0:row r="1851" ht="24" customHeight="1">
      <ns0:c r="A1851" s="3" t="inlineStr">
        <ns0:is>
          <ns0:t>混在40/30/30</ns0:t>
        </ns0:is>
      </ns0:c>
      <ns0:c r="B1851" s="3" t="inlineStr">
        <ns0:is>
          <ns0:t>G3三段階</ns0:t>
        </ns0:is>
      </ns0:c>
      <ns0:c r="C1851" s="3" t="inlineStr">
        <ns0:is>
          <ns0:t>A</ns0:t>
        </ns0:is>
      </ns0:c>
      <ns0:c r="D1851" s="4" t="n">
        <ns0:v>2</ns0:v>
      </ns0:c>
      <ns0:c r="E1851" s="4" t="n">
        <ns0:v>1000</ns0:v>
      </ns0:c>
      <ns0:c r="F1851" s="6" t="n">
        <ns0:v>0.4</ns0:v>
      </ns0:c>
      <ns0:c r="G1851" s="4" t="n">
        <ns0:v>3</ns0:v>
      </ns0:c>
      <ns0:c r="H1851" s="7" t="n">
        <ns0:v>7376.251404854129</ns0:v>
      </ns0:c>
      <ns0:c r="I1851" s="7" t="n">
        <ns0:v>3051.708019473674</ns0:v>
      </ns0:c>
      <ns0:c r="J1851" s="7" t="n">
        <ns0:v>1220.68320778947</ns0:v>
      </ns0:c>
      <ns0:c r="K1851" s="7" t="n">
        <ns0:v>21</ns0:v>
      </ns0:c>
      <ns0:c r="L1851" s="7" t="n">
        <ns0:v>40</ns0:v>
      </ns0:c>
      <ns0:c r="M1851" s="7" t="n">
        <ns0:v>-20528.87076461559</ns0:v>
      </ns0:c>
      <ns0:c r="N1851" s="7" t="n">
        <ns0:v>26978.04633258284</ns0:v>
      </ns0:c>
      <ns0:c r="O1851" s="7" t="n">
        <ns0:v>81304.03363850995</ns0:v>
      </ns0:c>
      <ns0:c r="P1851" s="7" t="n">
        <ns0:v>217119.0019033277</ns0:v>
      </ns0:c>
      <ns0:c r="Q1851" s="7" t="n">
        <ns0:v>718378.8749625987</ns0:v>
      </ns0:c>
      <ns0:c r="R1851" s="7" t="n">
        <ns0:v>2549788.430670047</ns0:v>
      </ns0:c>
    </ns0:row>
    <ns0:row r="1852" ht="24" customHeight="1">
      <ns0:c r="A1852" s="3" t="inlineStr">
        <ns0:is>
          <ns0:t>混在40/30/30</ns0:t>
        </ns0:is>
      </ns0:c>
      <ns0:c r="B1852" s="3" t="inlineStr">
        <ns0:is>
          <ns0:t>G3三段階</ns0:t>
        </ns0:is>
      </ns0:c>
      <ns0:c r="C1852" s="3" t="inlineStr">
        <ns0:is>
          <ns0:t>A</ns0:t>
        </ns0:is>
      </ns0:c>
      <ns0:c r="D1852" s="4" t="n">
        <ns0:v>2</ns0:v>
      </ns0:c>
      <ns0:c r="E1852" s="4" t="n">
        <ns0:v>1000</ns0:v>
      </ns0:c>
      <ns0:c r="F1852" s="6" t="n">
        <ns0:v>0.5</ns0:v>
      </ns0:c>
      <ns0:c r="G1852" s="4" t="n">
        <ns0:v>0</ns0:v>
      </ns0:c>
      <ns0:c r="H1852" s="7" t="n">
        <ns0:v>7376.251404854129</ns0:v>
      </ns0:c>
      <ns0:c r="I1852" s="7" t="n">
        <ns0:v>3051.708019473674</ns0:v>
      </ns0:c>
      <ns0:c r="J1852" s="7" t="n">
        <ns0:v>1525.854009736837</ns0:v>
      </ns0:c>
      <ns0:c r="K1852" s="7" t="n">
        <ns0:v>13</ns0:v>
      </ns0:c>
      <ns0:c r="L1852" s="7" t="n">
        <ns0:v>20</ns0:v>
      </ns0:c>
      <ns0:c r="M1852" s="7" t="n">
        <ns0:v>-13796.86912373249</ns0:v>
      </ns0:c>
      <ns0:c r="N1852" s="7" t="n">
        <ns0:v>47174.05125523217</ns0:v>
      </ns0:c>
      <ns0:c r="O1852" s="7" t="n">
        <ns0:v>114964.0418429255</ns0:v>
      </ns0:c>
      <ns0:c r="P1852" s="7" t="n">
        <ns0:v>284439.0183121588</ns0:v>
      </ns0:c>
      <ns0:c r="Q1852" s="7" t="n">
        <ns0:v>920338.9241890919</ns0:v>
      </ns0:c>
      <ns0:c r="R1852" s="7" t="n">
        <ns0:v>3222988.594758358</ns0:v>
      </ns0:c>
    </ns0:row>
    <ns0:row r="1853" ht="24" customHeight="1">
      <ns0:c r="A1853" s="3" t="inlineStr">
        <ns0:is>
          <ns0:t>混在40/30/30</ns0:t>
        </ns0:is>
      </ns0:c>
      <ns0:c r="B1853" s="3" t="inlineStr">
        <ns0:is>
          <ns0:t>G3三段階</ns0:t>
        </ns0:is>
      </ns0:c>
      <ns0:c r="C1853" s="3" t="inlineStr">
        <ns0:is>
          <ns0:t>A</ns0:t>
        </ns0:is>
      </ns0:c>
      <ns0:c r="D1853" s="4" t="n">
        <ns0:v>2</ns0:v>
      </ns0:c>
      <ns0:c r="E1853" s="4" t="n">
        <ns0:v>1000</ns0:v>
      </ns0:c>
      <ns0:c r="F1853" s="6" t="n">
        <ns0:v>0.5</ns0:v>
      </ns0:c>
      <ns0:c r="G1853" s="4" t="n">
        <ns0:v>1</ns0:v>
      </ns0:c>
      <ns0:c r="H1853" s="7" t="n">
        <ns0:v>7376.251404854129</ns0:v>
      </ns0:c>
      <ns0:c r="I1853" s="7" t="n">
        <ns0:v>3051.708019473674</ns0:v>
      </ns0:c>
      <ns0:c r="J1853" s="7" t="n">
        <ns0:v>1525.854009736837</ns0:v>
      </ns0:c>
      <ns0:c r="K1853" s="7" t="n">
        <ns0:v>18</ns0:v>
      </ns0:c>
      <ns0:c r="L1853" s="7" t="n">
        <ns0:v>25</ns0:v>
      </ns0:c>
      <ns0:c r="M1853" s="7" t="n">
        <ns0:v>-17001.42444993739</ns0:v>
      </ns0:c>
      <ns0:c r="N1853" s="7" t="n">
        <ns0:v>37560.38527661746</ns0:v>
      </ns0:c>
      <ns0:c r="O1853" s="7" t="n">
        <ns0:v>98941.26521190096</ns0:v>
      </ns0:c>
      <ns0:c r="P1853" s="7" t="n">
        <ns0:v>252393.4650501097</ns0:v>
      </ns0:c>
      <ns0:c r="Q1853" s="7" t="n">
        <ns0:v>824202.2644029446</ns0:v>
      </ns0:c>
      <ns0:c r="R1853" s="7" t="n">
        <ns0:v>2902533.062137867</ns0:v>
      </ns0:c>
    </ns0:row>
    <ns0:row r="1854" ht="24" customHeight="1">
      <ns0:c r="A1854" s="3" t="inlineStr">
        <ns0:is>
          <ns0:t>混在40/30/30</ns0:t>
        </ns0:is>
      </ns0:c>
      <ns0:c r="B1854" s="3" t="inlineStr">
        <ns0:is>
          <ns0:t>G3三段階</ns0:t>
        </ns0:is>
      </ns0:c>
      <ns0:c r="C1854" s="3" t="inlineStr">
        <ns0:is>
          <ns0:t>A</ns0:t>
        </ns0:is>
      </ns0:c>
      <ns0:c r="D1854" s="4" t="n">
        <ns0:v>2</ns0:v>
      </ns0:c>
      <ns0:c r="E1854" s="4" t="n">
        <ns0:v>1000</ns0:v>
      </ns0:c>
      <ns0:c r="F1854" s="6" t="n">
        <ns0:v>0.5</ns0:v>
      </ns0:c>
      <ns0:c r="G1854" s="4" t="n">
        <ns0:v>2</ns0:v>
      </ns0:c>
      <ns0:c r="H1854" s="7" t="n">
        <ns0:v>7376.251404854129</ns0:v>
      </ns0:c>
      <ns0:c r="I1854" s="7" t="n">
        <ns0:v>3051.708019473674</ns0:v>
      </ns0:c>
      <ns0:c r="J1854" s="7" t="n">
        <ns0:v>1525.854009736837</ns0:v>
      </ns0:c>
      <ns0:c r="K1854" s="18" t="inlineStr">
        <ns0:is>
          <ns0:t>範囲内なし</ns0:t>
        </ns0:is>
      </ns0:c>
      <ns0:c r="L1854" s="18" t="inlineStr">
        <ns0:is>
          <ns0:t>範囲内なし</ns0:t>
        </ns0:is>
      </ns0:c>
      <ns0:c r="M1854" s="7" t="n">
        <ns0:v>-56573.78979851627</ns0:v>
      </ns0:c>
      <ns0:c r="N1854" s="7" t="n">
        <ns0:v>-81156.71076911919</ns0:v>
      </ns0:c>
      <ns0:c r="O1854" s="7" t="n">
        <ns0:v>-98920.56153099347</ns0:v>
      </ns0:c>
      <ns0:c r="P1854" s="7" t="n">
        <ns0:v>-143330.1884356791</ns0:v>
      </ns0:c>
      <ns0:c r="Q1854" s="7" t="n">
        <ns0:v>-362968.6960544218</ns0:v>
      </ns0:c>
      <ns0:c r="R1854" s="7" t="n">
        <ns0:v>-1054703.472720021</ns0:v>
      </ns0:c>
    </ns0:row>
    <ns0:row r="1855" ht="24" customHeight="1">
      <ns0:c r="A1855" s="3" t="inlineStr">
        <ns0:is>
          <ns0:t>混在40/30/30</ns0:t>
        </ns0:is>
      </ns0:c>
      <ns0:c r="B1855" s="3" t="inlineStr">
        <ns0:is>
          <ns0:t>G3三段階</ns0:t>
        </ns0:is>
      </ns0:c>
      <ns0:c r="C1855" s="3" t="inlineStr">
        <ns0:is>
          <ns0:t>A</ns0:t>
        </ns0:is>
      </ns0:c>
      <ns0:c r="D1855" s="4" t="n">
        <ns0:v>2</ns0:v>
      </ns0:c>
      <ns0:c r="E1855" s="4" t="n">
        <ns0:v>1000</ns0:v>
      </ns0:c>
      <ns0:c r="F1855" s="6" t="n">
        <ns0:v>0.5</ns0:v>
      </ns0:c>
      <ns0:c r="G1855" s="4" t="n">
        <ns0:v>3</ns0:v>
      </ns0:c>
      <ns0:c r="H1855" s="7" t="n">
        <ns0:v>7376.251404854129</ns0:v>
      </ns0:c>
      <ns0:c r="I1855" s="7" t="n">
        <ns0:v>3051.708019473674</ns0:v>
      </ns0:c>
      <ns0:c r="J1855" s="7" t="n">
        <ns0:v>1525.854009736837</ns0:v>
      </ns0:c>
      <ns0:c r="K1855" s="7" t="n">
        <ns0:v>23</ns0:v>
      </ns0:c>
      <ns0:c r="L1855" s="7" t="n">
        <ns0:v>46</ns0:v>
      </ns0:c>
      <ns0:c r="M1855" s="7" t="n">
        <ns0:v>-23580.57878408926</ns0:v>
      </ns0:c>
      <ns0:c r="N1855" s="7" t="n">
        <ns0:v>17822.92227416184</ns0:v>
      </ns0:c>
      <ns0:c r="O1855" s="7" t="n">
        <ns0:v>66045.49354114159</ns0:v>
      </ns0:c>
      <ns0:c r="P1855" s="7" t="n">
        <ns0:v>186601.921708591</ns0:v>
      </ns0:c>
      <ns0:c r="Q1855" s="7" t="n">
        <ns0:v>626827.6343783884</ns0:v>
      </ns0:c>
      <ns0:c r="R1855" s="7" t="n">
        <ns0:v>2244617.62872268</ns0:v>
      </ns0:c>
    </ns0:row>
    <ns0:row r="1856" ht="24" customHeight="1">
      <ns0:c r="A1856" s="3" t="inlineStr">
        <ns0:is>
          <ns0:t>混在40/30/30</ns0:t>
        </ns0:is>
      </ns0:c>
      <ns0:c r="B1856" s="3" t="inlineStr">
        <ns0:is>
          <ns0:t>G3三段階</ns0:t>
        </ns0:is>
      </ns0:c>
      <ns0:c r="C1856" s="3" t="inlineStr">
        <ns0:is>
          <ns0:t>A</ns0:t>
        </ns0:is>
      </ns0:c>
      <ns0:c r="D1856" s="4" t="n">
        <ns0:v>2</ns0:v>
      </ns0:c>
      <ns0:c r="E1856" s="4" t="n">
        <ns0:v>1500</ns0:v>
      </ns0:c>
      <ns0:c r="F1856" s="6" t="n">
        <ns0:v>0.3</ns0:v>
      </ns0:c>
      <ns0:c r="G1856" s="4" t="n">
        <ns0:v>0</ns0:v>
      </ns0:c>
      <ns0:c r="H1856" s="7" t="n">
        <ns0:v>7226.251404854129</ns0:v>
      </ns0:c>
      <ns0:c r="I1856" s="7" t="n">
        <ns0:v>2901.708019473674</ns0:v>
      </ns0:c>
      <ns0:c r="J1856" s="7" t="n">
        <ns0:v>870.512405842102</ns0:v>
      </ns0:c>
      <ns0:c r="K1856" s="7" t="n">
        <ns0:v>12</ns0:v>
      </ns0:c>
      <ns0:c r="L1856" s="7" t="n">
        <ns0:v>18</ns0:v>
      </ns0:c>
      <ns0:c r="M1856" s="7" t="n">
        <ns0:v>-8689.453084785138</ns0:v>
      </ns0:c>
      <ns0:c r="N1856" s="7" t="n">
        <ns0:v>62496.29937207422</ns0:v>
      </ns0:c>
      <ns0:c r="O1856" s="7" t="n">
        <ns0:v>140501.1220376622</ns0:v>
      </ns0:c>
      <ns0:c r="P1856" s="7" t="n">
        <ns0:v>335513.1787016322</ns0:v>
      </ns0:c>
      <ns0:c r="Q1856" s="7" t="n">
        <ns0:v>1073561.405357513</ns0:v>
      </ns0:c>
      <ns0:c r="R1856" s="7" t="n">
        <ns0:v>3733730.198653094</ns0:v>
      </ns0:c>
    </ns0:row>
    <ns0:row r="1857" ht="24" customHeight="1">
      <ns0:c r="A1857" s="3" t="inlineStr">
        <ns0:is>
          <ns0:t>混在40/30/30</ns0:t>
        </ns0:is>
      </ns0:c>
      <ns0:c r="B1857" s="3" t="inlineStr">
        <ns0:is>
          <ns0:t>G3三段階</ns0:t>
        </ns0:is>
      </ns0:c>
      <ns0:c r="C1857" s="3" t="inlineStr">
        <ns0:is>
          <ns0:t>A</ns0:t>
        </ns0:is>
      </ns0:c>
      <ns0:c r="D1857" s="4" t="n">
        <ns0:v>2</ns0:v>
      </ns0:c>
      <ns0:c r="E1857" s="4" t="n">
        <ns0:v>1500</ns0:v>
      </ns0:c>
      <ns0:c r="F1857" s="6" t="n">
        <ns0:v>0.3</ns0:v>
      </ns0:c>
      <ns0:c r="G1857" s="4" t="n">
        <ns0:v>1</ns0:v>
      </ns0:c>
      <ns0:c r="H1857" s="7" t="n">
        <ns0:v>7226.251404854129</ns0:v>
      </ns0:c>
      <ns0:c r="I1857" s="7" t="n">
        <ns0:v>2901.708019473674</ns0:v>
      </ns0:c>
      <ns0:c r="J1857" s="7" t="n">
        <ns0:v>870.512405842102</ns0:v>
      </ns0:c>
      <ns0:c r="K1857" s="7" t="n">
        <ns0:v>13</ns0:v>
      </ns0:c>
      <ns0:c r="L1857" s="7" t="n">
        <ns0:v>22</ns0:v>
      </ns0:c>
      <ns0:c r="M1857" s="7" t="n">
        <ns0:v>-11894.00841099004</ns0:v>
      </ns0:c>
      <ns0:c r="N1857" s="7" t="n">
        <ns0:v>52882.6333934595</ns0:v>
      </ns0:c>
      <ns0:c r="O1857" s="7" t="n">
        <ns0:v>124478.3454066377</ns0:v>
      </ns0:c>
      <ns0:c r="P1857" s="7" t="n">
        <ns0:v>303467.6254395831</ns0:v>
      </ns0:c>
      <ns0:c r="Q1857" s="7" t="n">
        <ns0:v>977424.7455713655</ns0:v>
      </ns0:c>
      <ns0:c r="R1857" s="7" t="n">
        <ns0:v>3413274.666032603</ns0:v>
      </ns0:c>
    </ns0:row>
    <ns0:row r="1858" ht="24" customHeight="1">
      <ns0:c r="A1858" s="3" t="inlineStr">
        <ns0:is>
          <ns0:t>混在40/30/30</ns0:t>
        </ns0:is>
      </ns0:c>
      <ns0:c r="B1858" s="3" t="inlineStr">
        <ns0:is>
          <ns0:t>G3三段階</ns0:t>
        </ns0:is>
      </ns0:c>
      <ns0:c r="C1858" s="3" t="inlineStr">
        <ns0:is>
          <ns0:t>A</ns0:t>
        </ns0:is>
      </ns0:c>
      <ns0:c r="D1858" s="4" t="n">
        <ns0:v>2</ns0:v>
      </ns0:c>
      <ns0:c r="E1858" s="4" t="n">
        <ns0:v>1500</ns0:v>
      </ns0:c>
      <ns0:c r="F1858" s="6" t="n">
        <ns0:v>0.3</ns0:v>
      </ns0:c>
      <ns0:c r="G1858" s="4" t="n">
        <ns0:v>2</ns0:v>
      </ns0:c>
      <ns0:c r="H1858" s="7" t="n">
        <ns0:v>7226.251404854129</ns0:v>
      </ns0:c>
      <ns0:c r="I1858" s="7" t="n">
        <ns0:v>2901.708019473674</ns0:v>
      </ns0:c>
      <ns0:c r="J1858" s="7" t="n">
        <ns0:v>870.512405842102</ns0:v>
      </ns0:c>
      <ns0:c r="K1858" s="18" t="inlineStr">
        <ns0:is>
          <ns0:t>範囲内なし</ns0:t>
        </ns0:is>
      </ns0:c>
      <ns0:c r="L1858" s="18" t="inlineStr">
        <ns0:is>
          <ns0:t>範囲内なし</ns0:t>
        </ns0:is>
      </ns0:c>
      <ns0:c r="M1858" s="7" t="n">
        <ns0:v>-51466.37375956892</ns0:v>
      </ns0:c>
      <ns0:c r="N1858" s="7" t="n">
        <ns0:v>-65834.46265227714</ns0:v>
      </ns0:c>
      <ns0:c r="O1858" s="7" t="n">
        <ns0:v>-73383.48133625675</ns0:v>
      </ns0:c>
      <ns0:c r="P1858" s="7" t="n">
        <ns0:v>-92256.0280462057</ns0:v>
      </ns0:c>
      <ns0:c r="Q1858" s="7" t="n">
        <ns0:v>-209746.214886001</ns0:v>
      </ns0:c>
      <ns0:c r="R1858" s="7" t="n">
        <ns0:v>-543961.8688252857</ns0:v>
      </ns0:c>
    </ns0:row>
    <ns0:row r="1859" ht="24" customHeight="1">
      <ns0:c r="A1859" s="3" t="inlineStr">
        <ns0:is>
          <ns0:t>混在40/30/30</ns0:t>
        </ns0:is>
      </ns0:c>
      <ns0:c r="B1859" s="3" t="inlineStr">
        <ns0:is>
          <ns0:t>G3三段階</ns0:t>
        </ns0:is>
      </ns0:c>
      <ns0:c r="C1859" s="3" t="inlineStr">
        <ns0:is>
          <ns0:t>A</ns0:t>
        </ns0:is>
      </ns0:c>
      <ns0:c r="D1859" s="4" t="n">
        <ns0:v>2</ns0:v>
      </ns0:c>
      <ns0:c r="E1859" s="4" t="n">
        <ns0:v>1500</ns0:v>
      </ns0:c>
      <ns0:c r="F1859" s="6" t="n">
        <ns0:v>0.3</ns0:v>
      </ns0:c>
      <ns0:c r="G1859" s="4" t="n">
        <ns0:v>3</ns0:v>
      </ns0:c>
      <ns0:c r="H1859" s="7" t="n">
        <ns0:v>7226.251404854129</ns0:v>
      </ns0:c>
      <ns0:c r="I1859" s="7" t="n">
        <ns0:v>2901.708019473674</ns0:v>
      </ns0:c>
      <ns0:c r="J1859" s="7" t="n">
        <ns0:v>870.512405842102</ns0:v>
      </ns0:c>
      <ns0:c r="K1859" s="7" t="n">
        <ns0:v>19</ns0:v>
      </ns0:c>
      <ns0:c r="L1859" s="7" t="n">
        <ns0:v>37</ns0:v>
      </ns0:c>
      <ns0:c r="M1859" s="7" t="n">
        <ns0:v>-18473.16274514192</ns0:v>
      </ns0:c>
      <ns0:c r="N1859" s="7" t="n">
        <ns0:v>33145.17039100388</ns0:v>
      </ns0:c>
      <ns0:c r="O1859" s="7" t="n">
        <ns0:v>91582.57373587828</ns0:v>
      </ns0:c>
      <ns0:c r="P1859" s="7" t="n">
        <ns0:v>237676.0820980644</ns0:v>
      </ns0:c>
      <ns0:c r="Q1859" s="7" t="n">
        <ns0:v>780050.1155468093</ns0:v>
      </ns0:c>
      <ns0:c r="R1859" s="7" t="n">
        <ns0:v>2755359.232617415</ns0:v>
      </ns0:c>
    </ns0:row>
    <ns0:row r="1860" ht="24" customHeight="1">
      <ns0:c r="A1860" s="3" t="inlineStr">
        <ns0:is>
          <ns0:t>混在40/30/30</ns0:t>
        </ns0:is>
      </ns0:c>
      <ns0:c r="B1860" s="3" t="inlineStr">
        <ns0:is>
          <ns0:t>G3三段階</ns0:t>
        </ns0:is>
      </ns0:c>
      <ns0:c r="C1860" s="3" t="inlineStr">
        <ns0:is>
          <ns0:t>A</ns0:t>
        </ns0:is>
      </ns0:c>
      <ns0:c r="D1860" s="4" t="n">
        <ns0:v>2</ns0:v>
      </ns0:c>
      <ns0:c r="E1860" s="4" t="n">
        <ns0:v>1500</ns0:v>
      </ns0:c>
      <ns0:c r="F1860" s="6" t="n">
        <ns0:v>0.4</ns0:v>
      </ns0:c>
      <ns0:c r="G1860" s="4" t="n">
        <ns0:v>0</ns0:v>
      </ns0:c>
      <ns0:c r="H1860" s="7" t="n">
        <ns0:v>7226.251404854129</ns0:v>
      </ns0:c>
      <ns0:c r="I1860" s="7" t="n">
        <ns0:v>2901.708019473674</ns0:v>
      </ns0:c>
      <ns0:c r="J1860" s="7" t="n">
        <ns0:v>1160.68320778947</ns0:v>
      </ns0:c>
      <ns0:c r="K1860" s="7" t="n">
        <ns0:v>13</ns0:v>
      </ns0:c>
      <ns0:c r="L1860" s="7" t="n">
        <ns0:v>20</ns0:v>
      </ns0:c>
      <ns0:c r="M1860" s="7" t="n">
        <ns0:v>-11591.16110425881</ns0:v>
      </ns0:c>
      <ns0:c r="N1860" s="7" t="n">
        <ns0:v>53791.17531365318</ns0:v>
      </ns0:c>
      <ns0:c r="O1860" s="7" t="n">
        <ns0:v>125992.5819402938</ns0:v>
      </ns0:c>
      <ns0:c r="P1860" s="7" t="n">
        <ns0:v>306496.0985068954</ns0:v>
      </ns0:c>
      <ns0:c r="Q1860" s="7" t="n">
        <ns0:v>986510.1647733022</ns0:v>
      </ns0:c>
      <ns0:c r="R1860" s="7" t="n">
        <ns0:v>3443559.396705726</ns0:v>
      </ns0:c>
    </ns0:row>
    <ns0:row r="1861" ht="24" customHeight="1">
      <ns0:c r="A1861" s="3" t="inlineStr">
        <ns0:is>
          <ns0:t>混在40/30/30</ns0:t>
        </ns0:is>
      </ns0:c>
      <ns0:c r="B1861" s="3" t="inlineStr">
        <ns0:is>
          <ns0:t>G3三段階</ns0:t>
        </ns0:is>
      </ns0:c>
      <ns0:c r="C1861" s="3" t="inlineStr">
        <ns0:is>
          <ns0:t>A</ns0:t>
        </ns0:is>
      </ns0:c>
      <ns0:c r="D1861" s="4" t="n">
        <ns0:v>2</ns0:v>
      </ns0:c>
      <ns0:c r="E1861" s="4" t="n">
        <ns0:v>1500</ns0:v>
      </ns0:c>
      <ns0:c r="F1861" s="6" t="n">
        <ns0:v>0.4</ns0:v>
      </ns0:c>
      <ns0:c r="G1861" s="4" t="n">
        <ns0:v>1</ns0:v>
      </ns0:c>
      <ns0:c r="H1861" s="7" t="n">
        <ns0:v>7226.251404854129</ns0:v>
      </ns0:c>
      <ns0:c r="I1861" s="7" t="n">
        <ns0:v>2901.708019473674</ns0:v>
      </ns0:c>
      <ns0:c r="J1861" s="7" t="n">
        <ns0:v>1160.68320778947</ns0:v>
      </ns0:c>
      <ns0:c r="K1861" s="7" t="n">
        <ns0:v>16</ns0:v>
      </ns0:c>
      <ns0:c r="L1861" s="7" t="n">
        <ns0:v>24</ns0:v>
      </ns0:c>
      <ns0:c r="M1861" s="7" t="n">
        <ns0:v>-14795.71643046371</ns0:v>
      </ns0:c>
      <ns0:c r="N1861" s="7" t="n">
        <ns0:v>44177.50933503847</ns0:v>
      </ns0:c>
      <ns0:c r="O1861" s="7" t="n">
        <ns0:v>109969.8053092693</ns0:v>
      </ns0:c>
      <ns0:c r="P1861" s="7" t="n">
        <ns0:v>274450.5452448464</ns0:v>
      </ns0:c>
      <ns0:c r="Q1861" s="7" t="n">
        <ns0:v>890373.5049871551</ns0:v>
      </ns0:c>
      <ns0:c r="R1861" s="7" t="n">
        <ns0:v>3123103.864085235</ns0:v>
      </ns0:c>
    </ns0:row>
    <ns0:row r="1862" ht="24" customHeight="1">
      <ns0:c r="A1862" s="3" t="inlineStr">
        <ns0:is>
          <ns0:t>混在40/30/30</ns0:t>
        </ns0:is>
      </ns0:c>
      <ns0:c r="B1862" s="3" t="inlineStr">
        <ns0:is>
          <ns0:t>G3三段階</ns0:t>
        </ns0:is>
      </ns0:c>
      <ns0:c r="C1862" s="3" t="inlineStr">
        <ns0:is>
          <ns0:t>A</ns0:t>
        </ns0:is>
      </ns0:c>
      <ns0:c r="D1862" s="4" t="n">
        <ns0:v>2</ns0:v>
      </ns0:c>
      <ns0:c r="E1862" s="4" t="n">
        <ns0:v>1500</ns0:v>
      </ns0:c>
      <ns0:c r="F1862" s="6" t="n">
        <ns0:v>0.4</ns0:v>
      </ns0:c>
      <ns0:c r="G1862" s="4" t="n">
        <ns0:v>2</ns0:v>
      </ns0:c>
      <ns0:c r="H1862" s="7" t="n">
        <ns0:v>7226.251404854129</ns0:v>
      </ns0:c>
      <ns0:c r="I1862" s="7" t="n">
        <ns0:v>2901.708019473674</ns0:v>
      </ns0:c>
      <ns0:c r="J1862" s="7" t="n">
        <ns0:v>1160.68320778947</ns0:v>
      </ns0:c>
      <ns0:c r="K1862" s="18" t="inlineStr">
        <ns0:is>
          <ns0:t>範囲内なし</ns0:t>
        </ns0:is>
      </ns0:c>
      <ns0:c r="L1862" s="18" t="inlineStr">
        <ns0:is>
          <ns0:t>範囲内なし</ns0:t>
        </ns0:is>
      </ns0:c>
      <ns0:c r="M1862" s="7" t="n">
        <ns0:v>-54368.0817790426</ns0:v>
      </ns0:c>
      <ns0:c r="N1862" s="7" t="n">
        <ns0:v>-74539.58671069818</ns0:v>
      </ns0:c>
      <ns0:c r="O1862" s="7" t="n">
        <ns0:v>-87892.02143362514</ns0:v>
      </ns0:c>
      <ns0:c r="P1862" s="7" t="n">
        <ns0:v>-121273.1082409425</ns0:v>
      </ns0:c>
      <ns0:c r="Q1862" s="7" t="n">
        <ns0:v>-296797.4554702114</ns0:v>
      </ns0:c>
      <ns0:c r="R1862" s="7" t="n">
        <ns0:v>-834132.6707726535</ns0:v>
      </ns0:c>
    </ns0:row>
    <ns0:row r="1863" ht="24" customHeight="1">
      <ns0:c r="A1863" s="3" t="inlineStr">
        <ns0:is>
          <ns0:t>混在40/30/30</ns0:t>
        </ns0:is>
      </ns0:c>
      <ns0:c r="B1863" s="3" t="inlineStr">
        <ns0:is>
          <ns0:t>G3三段階</ns0:t>
        </ns0:is>
      </ns0:c>
      <ns0:c r="C1863" s="3" t="inlineStr">
        <ns0:is>
          <ns0:t>A</ns0:t>
        </ns0:is>
      </ns0:c>
      <ns0:c r="D1863" s="4" t="n">
        <ns0:v>2</ns0:v>
      </ns0:c>
      <ns0:c r="E1863" s="4" t="n">
        <ns0:v>1500</ns0:v>
      </ns0:c>
      <ns0:c r="F1863" s="6" t="n">
        <ns0:v>0.4</ns0:v>
      </ns0:c>
      <ns0:c r="G1863" s="4" t="n">
        <ns0:v>3</ns0:v>
      </ns0:c>
      <ns0:c r="H1863" s="7" t="n">
        <ns0:v>7226.251404854129</ns0:v>
      </ns0:c>
      <ns0:c r="I1863" s="7" t="n">
        <ns0:v>2901.708019473674</ns0:v>
      </ns0:c>
      <ns0:c r="J1863" s="7" t="n">
        <ns0:v>1160.68320778947</ns0:v>
      </ns0:c>
      <ns0:c r="K1863" s="7" t="n">
        <ns0:v>21</ns0:v>
      </ns0:c>
      <ns0:c r="L1863" s="7" t="n">
        <ns0:v>42</ns0:v>
      </ns0:c>
      <ns0:c r="M1863" s="7" t="n">
        <ns0:v>-21374.87076461559</ns0:v>
      </ns0:c>
      <ns0:c r="N1863" s="7" t="n">
        <ns0:v>24440.04633258285</ns0:v>
      </ns0:c>
      <ns0:c r="O1863" s="7" t="n">
        <ns0:v>77074.03363850992</ns0:v>
      </ns0:c>
      <ns0:c r="P1863" s="7" t="n">
        <ns0:v>208659.0019033276</ns0:v>
      </ns0:c>
      <ns0:c r="Q1863" s="7" t="n">
        <ns0:v>692998.8749625988</ns0:v>
      </ns0:c>
      <ns0:c r="R1863" s="7" t="n">
        <ns0:v>2465188.430670048</ns0:v>
      </ns0:c>
    </ns0:row>
    <ns0:row r="1864" ht="24" customHeight="1">
      <ns0:c r="A1864" s="3" t="inlineStr">
        <ns0:is>
          <ns0:t>混在40/30/30</ns0:t>
        </ns0:is>
      </ns0:c>
      <ns0:c r="B1864" s="3" t="inlineStr">
        <ns0:is>
          <ns0:t>G3三段階</ns0:t>
        </ns0:is>
      </ns0:c>
      <ns0:c r="C1864" s="3" t="inlineStr">
        <ns0:is>
          <ns0:t>A</ns0:t>
        </ns0:is>
      </ns0:c>
      <ns0:c r="D1864" s="4" t="n">
        <ns0:v>2</ns0:v>
      </ns0:c>
      <ns0:c r="E1864" s="4" t="n">
        <ns0:v>1500</ns0:v>
      </ns0:c>
      <ns0:c r="F1864" s="6" t="n">
        <ns0:v>0.5</ns0:v>
      </ns0:c>
      <ns0:c r="G1864" s="4" t="n">
        <ns0:v>0</ns0:v>
      </ns0:c>
      <ns0:c r="H1864" s="7" t="n">
        <ns0:v>7226.251404854129</ns0:v>
      </ns0:c>
      <ns0:c r="I1864" s="7" t="n">
        <ns0:v>2901.708019473674</ns0:v>
      </ns0:c>
      <ns0:c r="J1864" s="7" t="n">
        <ns0:v>1450.854009736837</ns0:v>
      </ns0:c>
      <ns0:c r="K1864" s="7" t="n">
        <ns0:v>16</ns0:v>
      </ns0:c>
      <ns0:c r="L1864" s="7" t="n">
        <ns0:v>21</ns0:v>
      </ns0:c>
      <ns0:c r="M1864" s="7" t="n">
        <ns0:v>-14492.86912373249</ns0:v>
      </ns0:c>
      <ns0:c r="N1864" s="7" t="n">
        <ns0:v>45086.05125523217</ns0:v>
      </ns0:c>
      <ns0:c r="O1864" s="7" t="n">
        <ns0:v>111484.0418429255</ns0:v>
      </ns0:c>
      <ns0:c r="P1864" s="7" t="n">
        <ns0:v>277479.0183121588</ns0:v>
      </ns0:c>
      <ns0:c r="Q1864" s="7" t="n">
        <ns0:v>899458.9241890921</ns0:v>
      </ns0:c>
      <ns0:c r="R1864" s="7" t="n">
        <ns0:v>3153388.594758359</ns0:v>
      </ns0:c>
    </ns0:row>
    <ns0:row r="1865" ht="24" customHeight="1">
      <ns0:c r="A1865" s="3" t="inlineStr">
        <ns0:is>
          <ns0:t>混在40/30/30</ns0:t>
        </ns0:is>
      </ns0:c>
      <ns0:c r="B1865" s="3" t="inlineStr">
        <ns0:is>
          <ns0:t>G3三段階</ns0:t>
        </ns0:is>
      </ns0:c>
      <ns0:c r="C1865" s="3" t="inlineStr">
        <ns0:is>
          <ns0:t>A</ns0:t>
        </ns0:is>
      </ns0:c>
      <ns0:c r="D1865" s="4" t="n">
        <ns0:v>2</ns0:v>
      </ns0:c>
      <ns0:c r="E1865" s="4" t="n">
        <ns0:v>1500</ns0:v>
      </ns0:c>
      <ns0:c r="F1865" s="6" t="n">
        <ns0:v>0.5</ns0:v>
      </ns0:c>
      <ns0:c r="G1865" s="4" t="n">
        <ns0:v>1</ns0:v>
      </ns0:c>
      <ns0:c r="H1865" s="7" t="n">
        <ns0:v>7226.251404854129</ns0:v>
      </ns0:c>
      <ns0:c r="I1865" s="7" t="n">
        <ns0:v>2901.708019473674</ns0:v>
      </ns0:c>
      <ns0:c r="J1865" s="7" t="n">
        <ns0:v>1450.854009736837</ns0:v>
      </ns0:c>
      <ns0:c r="K1865" s="7" t="n">
        <ns0:v>19</ns0:v>
      </ns0:c>
      <ns0:c r="L1865" s="7" t="n">
        <ns0:v>25</ns0:v>
      </ns0:c>
      <ns0:c r="M1865" s="7" t="n">
        <ns0:v>-17697.42444993739</ns0:v>
      </ns0:c>
      <ns0:c r="N1865" s="7" t="n">
        <ns0:v>35472.38527661745</ns0:v>
      </ns0:c>
      <ns0:c r="O1865" s="7" t="n">
        <ns0:v>95461.26521190099</ns0:v>
      </ns0:c>
      <ns0:c r="P1865" s="7" t="n">
        <ns0:v>245433.4650501097</ns0:v>
      </ns0:c>
      <ns0:c r="Q1865" s="7" t="n">
        <ns0:v>803322.2644029448</ns0:v>
      </ns0:c>
      <ns0:c r="R1865" s="7" t="n">
        <ns0:v>2832933.062137868</ns0:v>
      </ns0:c>
    </ns0:row>
    <ns0:row r="1866" ht="24" customHeight="1">
      <ns0:c r="A1866" s="3" t="inlineStr">
        <ns0:is>
          <ns0:t>混在40/30/30</ns0:t>
        </ns0:is>
      </ns0:c>
      <ns0:c r="B1866" s="3" t="inlineStr">
        <ns0:is>
          <ns0:t>G3三段階</ns0:t>
        </ns0:is>
      </ns0:c>
      <ns0:c r="C1866" s="3" t="inlineStr">
        <ns0:is>
          <ns0:t>A</ns0:t>
        </ns0:is>
      </ns0:c>
      <ns0:c r="D1866" s="4" t="n">
        <ns0:v>2</ns0:v>
      </ns0:c>
      <ns0:c r="E1866" s="4" t="n">
        <ns0:v>1500</ns0:v>
      </ns0:c>
      <ns0:c r="F1866" s="6" t="n">
        <ns0:v>0.5</ns0:v>
      </ns0:c>
      <ns0:c r="G1866" s="4" t="n">
        <ns0:v>2</ns0:v>
      </ns0:c>
      <ns0:c r="H1866" s="7" t="n">
        <ns0:v>7226.251404854129</ns0:v>
      </ns0:c>
      <ns0:c r="I1866" s="7" t="n">
        <ns0:v>2901.708019473674</ns0:v>
      </ns0:c>
      <ns0:c r="J1866" s="7" t="n">
        <ns0:v>1450.854009736837</ns0:v>
      </ns0:c>
      <ns0:c r="K1866" s="18" t="inlineStr">
        <ns0:is>
          <ns0:t>範囲内なし</ns0:t>
        </ns0:is>
      </ns0:c>
      <ns0:c r="L1866" s="18" t="inlineStr">
        <ns0:is>
          <ns0:t>範囲内なし</ns0:t>
        </ns0:is>
      </ns0:c>
      <ns0:c r="M1866" s="7" t="n">
        <ns0:v>-57269.78979851627</ns0:v>
      </ns0:c>
      <ns0:c r="N1866" s="7" t="n">
        <ns0:v>-83244.71076911921</ns0:v>
      </ns0:c>
      <ns0:c r="O1866" s="7" t="n">
        <ns0:v>-102400.5615309934</ns0:v>
      </ns0:c>
      <ns0:c r="P1866" s="7" t="n">
        <ns0:v>-150290.1884356791</ns0:v>
      </ns0:c>
      <ns0:c r="Q1866" s="7" t="n">
        <ns0:v>-383848.6960544215</ns0:v>
      </ns0:c>
      <ns0:c r="R1866" s="7" t="n">
        <ns0:v>-1124303.47272002</ns0:v>
      </ns0:c>
    </ns0:row>
    <ns0:row r="1867" ht="24" customHeight="1">
      <ns0:c r="A1867" s="3" t="inlineStr">
        <ns0:is>
          <ns0:t>混在40/30/30</ns0:t>
        </ns0:is>
      </ns0:c>
      <ns0:c r="B1867" s="3" t="inlineStr">
        <ns0:is>
          <ns0:t>G3三段階</ns0:t>
        </ns0:is>
      </ns0:c>
      <ns0:c r="C1867" s="3" t="inlineStr">
        <ns0:is>
          <ns0:t>A</ns0:t>
        </ns0:is>
      </ns0:c>
      <ns0:c r="D1867" s="4" t="n">
        <ns0:v>2</ns0:v>
      </ns0:c>
      <ns0:c r="E1867" s="4" t="n">
        <ns0:v>1500</ns0:v>
      </ns0:c>
      <ns0:c r="F1867" s="6" t="n">
        <ns0:v>0.5</ns0:v>
      </ns0:c>
      <ns0:c r="G1867" s="4" t="n">
        <ns0:v>3</ns0:v>
      </ns0:c>
      <ns0:c r="H1867" s="7" t="n">
        <ns0:v>7226.251404854129</ns0:v>
      </ns0:c>
      <ns0:c r="I1867" s="7" t="n">
        <ns0:v>2901.708019473674</ns0:v>
      </ns0:c>
      <ns0:c r="J1867" s="7" t="n">
        <ns0:v>1450.854009736837</ns0:v>
      </ns0:c>
      <ns0:c r="K1867" s="7" t="n">
        <ns0:v>24</ns0:v>
      </ns0:c>
      <ns0:c r="L1867" s="7" t="n">
        <ns0:v>48</ns0:v>
      </ns0:c>
      <ns0:c r="M1867" s="7" t="n">
        <ns0:v>-24276.57878408927</ns0:v>
      </ns0:c>
      <ns0:c r="N1867" s="7" t="n">
        <ns0:v>15734.92227416183</ns0:v>
      </ns0:c>
      <ns0:c r="O1867" s="7" t="n">
        <ns0:v>62565.4935411416</ns0:v>
      </ns0:c>
      <ns0:c r="P1867" s="7" t="n">
        <ns0:v>179641.921708591</ns0:v>
      </ns0:c>
      <ns0:c r="Q1867" s="7" t="n">
        <ns0:v>605947.6343783886</ns0:v>
      </ns0:c>
      <ns0:c r="R1867" s="7" t="n">
        <ns0:v>2175017.628722681</ns0:v>
      </ns0:c>
    </ns0:row>
    <ns0:row r="1868" ht="24" customHeight="1">
      <ns0:c r="A1868" s="3" t="inlineStr">
        <ns0:is>
          <ns0:t>混在40/30/30</ns0:t>
        </ns0:is>
      </ns0:c>
      <ns0:c r="B1868" s="3" t="inlineStr">
        <ns0:is>
          <ns0:t>G3三段階</ns0:t>
        </ns0:is>
      </ns0:c>
      <ns0:c r="C1868" s="3" t="inlineStr">
        <ns0:is>
          <ns0:t>C</ns0:t>
        </ns0:is>
      </ns0:c>
      <ns0:c r="D1868" s="4" t="n">
        <ns0:v>0</ns0:v>
      </ns0:c>
      <ns0:c r="E1868" s="4" t="n">
        <ns0:v>500</ns0:v>
      </ns0:c>
      <ns0:c r="F1868" s="6" t="n">
        <ns0:v>0.3</ns0:v>
      </ns0:c>
      <ns0:c r="G1868" s="4" t="n">
        <ns0:v>0</ns0:v>
      </ns0:c>
      <ns0:c r="H1868" s="7" t="n">
        <ns0:v>3910.203515644555</ns0:v>
      </ns0:c>
      <ns0:c r="I1868" s="7" t="n">
        <ns0:v>2202.588191489362</ns0:v>
      </ns0:c>
      <ns0:c r="J1868" s="7" t="n">
        <ns0:v>660.7764574468085</ns0:v>
      </ns0:c>
      <ns0:c r="K1868" s="7" t="n">
        <ns0:v>31</ns0:v>
      </ns0:c>
      <ns0:c r="L1868" s="7" t="n">
        <ns0:v>73</ns0:v>
      </ns0:c>
      <ns0:c r="M1868" s="7" t="n">
        <ns0:v>-37527.88351485244</ns0:v>
      </ns0:c>
      <ns0:c r="N1868" s="7" t="n">
        <ns0:v>-2061.781291941734</ns0:v>
      </ns0:c>
      <ns0:c r="O1868" s="7" t="n">
        <ns0:v>35524.34596225811</ns0:v>
      </ns0:c>
      <ns0:c r="P1868" s="7" t="n">
        <ns0:v>125559.626550824</ns0:v>
      </ns0:c>
      <ns0:c r="Q1868" s="7" t="n">
        <ns0:v>443700.7489050876</ns0:v>
      </ns0:c>
      <ns0:c r="R1868" s="7" t="n">
        <ns0:v>1634194.67714501</ns0:v>
      </ns0:c>
    </ns0:row>
    <ns0:row r="1869" ht="24" customHeight="1">
      <ns0:c r="A1869" s="3" t="inlineStr">
        <ns0:is>
          <ns0:t>混在40/30/30</ns0:t>
        </ns0:is>
      </ns0:c>
      <ns0:c r="B1869" s="3" t="inlineStr">
        <ns0:is>
          <ns0:t>G3三段階</ns0:t>
        </ns0:is>
      </ns0:c>
      <ns0:c r="C1869" s="3" t="inlineStr">
        <ns0:is>
          <ns0:t>C</ns0:t>
        </ns0:is>
      </ns0:c>
      <ns0:c r="D1869" s="4" t="n">
        <ns0:v>0</ns0:v>
      </ns0:c>
      <ns0:c r="E1869" s="4" t="n">
        <ns0:v>500</ns0:v>
      </ns0:c>
      <ns0:c r="F1869" s="6" t="n">
        <ns0:v>0.3</ns0:v>
      </ns0:c>
      <ns0:c r="G1869" s="4" t="n">
        <ns0:v>1</ns0:v>
      </ns0:c>
      <ns0:c r="H1869" s="7" t="n">
        <ns0:v>3910.203515644555</ns0:v>
      </ns0:c>
      <ns0:c r="I1869" s="7" t="n">
        <ns0:v>2202.588191489362</ns0:v>
      </ns0:c>
      <ns0:c r="J1869" s="7" t="n">
        <ns0:v>660.7764574468085</ns0:v>
      </ns0:c>
      <ns0:c r="K1869" s="7" t="n">
        <ns0:v>35</ns0:v>
      </ns0:c>
      <ns0:c r="L1869" s="7" t="n">
        <ns0:v>222</ns0:v>
      </ns0:c>
      <ns0:c r="M1869" s="7" t="n">
        <ns0:v>-39747.42732671775</ns0:v>
      </ns0:c>
      <ns0:c r="N1869" s="7" t="n">
        <ns0:v>-8720.412727537674</ns0:v>
      </ns0:c>
      <ns0:c r="O1869" s="7" t="n">
        <ns0:v>24426.62690293155</ns0:v>
      </ns0:c>
      <ns0:c r="P1869" s="7" t="n">
        <ns0:v>103364.1884321709</ns0:v>
      </ns0:c>
      <ns0:c r="Q1869" s="7" t="n">
        <ns0:v>377114.4345491282</ns0:v>
      </ns0:c>
      <ns0:c r="R1869" s="7" t="n">
        <ns0:v>1412240.295958479</ns0:v>
      </ns0:c>
    </ns0:row>
    <ns0:row r="1870" ht="24" customHeight="1">
      <ns0:c r="A1870" s="3" t="inlineStr">
        <ns0:is>
          <ns0:t>混在40/30/30</ns0:t>
        </ns0:is>
      </ns0:c>
      <ns0:c r="B1870" s="3" t="inlineStr">
        <ns0:is>
          <ns0:t>G3三段階</ns0:t>
        </ns0:is>
      </ns0:c>
      <ns0:c r="C1870" s="3" t="inlineStr">
        <ns0:is>
          <ns0:t>C</ns0:t>
        </ns0:is>
      </ns0:c>
      <ns0:c r="D1870" s="4" t="n">
        <ns0:v>0</ns0:v>
      </ns0:c>
      <ns0:c r="E1870" s="4" t="n">
        <ns0:v>500</ns0:v>
      </ns0:c>
      <ns0:c r="F1870" s="6" t="n">
        <ns0:v>0.3</ns0:v>
      </ns0:c>
      <ns0:c r="G1870" s="4" t="n">
        <ns0:v>2</ns0:v>
      </ns0:c>
      <ns0:c r="H1870" s="7" t="n">
        <ns0:v>3910.203515644555</ns0:v>
      </ns0:c>
      <ns0:c r="I1870" s="7" t="n">
        <ns0:v>2202.588191489362</ns0:v>
      </ns0:c>
      <ns0:c r="J1870" s="7" t="n">
        <ns0:v>660.7764574468085</ns0:v>
      </ns0:c>
      <ns0:c r="K1870" s="7" t="n">
        <ns0:v>208</ns0:v>
      </ns0:c>
      <ns0:c r="L1870" s="18" t="inlineStr">
        <ns0:is>
          <ns0:t>範囲内なし</ns0:t>
        </ns0:is>
      </ns0:c>
      <ns0:c r="M1870" s="7" t="n">
        <ns0:v>-50885.0836137497</ns0:v>
      </ns0:c>
      <ns0:c r="N1870" s="7" t="n">
        <ns0:v>-42133.3815886335</ns0:v>
      </ns0:c>
      <ns0:c r="O1870" s="7" t="n">
        <ns0:v>-31261.65453222816</ns0:v>
      </ns0:c>
      <ns0:c r="P1870" s="7" t="n">
        <ns0:v>-8012.374438148516</ns0:v>
      </ns0:c>
      <ns0:c r="Q1870" s="7" t="n">
        <ns0:v>42984.74593816989</ns0:v>
      </ns0:c>
      <ns0:c r="R1870" s="7" t="n">
        <ns0:v>298474.6672552843</ns0:v>
      </ns0:c>
    </ns0:row>
    <ns0:row r="1871" ht="24" customHeight="1">
      <ns0:c r="A1871" s="3" t="inlineStr">
        <ns0:is>
          <ns0:t>混在40/30/30</ns0:t>
        </ns0:is>
      </ns0:c>
      <ns0:c r="B1871" s="3" t="inlineStr">
        <ns0:is>
          <ns0:t>G3三段階</ns0:t>
        </ns0:is>
      </ns0:c>
      <ns0:c r="C1871" s="3" t="inlineStr">
        <ns0:is>
          <ns0:t>C</ns0:t>
        </ns0:is>
      </ns0:c>
      <ns0:c r="D1871" s="4" t="n">
        <ns0:v>0</ns0:v>
      </ns0:c>
      <ns0:c r="E1871" s="4" t="n">
        <ns0:v>500</ns0:v>
      </ns0:c>
      <ns0:c r="F1871" s="6" t="n">
        <ns0:v>0.3</ns0:v>
      </ns0:c>
      <ns0:c r="G1871" s="4" t="n">
        <ns0:v>3</ns0:v>
      </ns0:c>
      <ns0:c r="H1871" s="7" t="n">
        <ns0:v>3910.203515644555</ns0:v>
      </ns0:c>
      <ns0:c r="I1871" s="7" t="n">
        <ns0:v>2202.588191489362</ns0:v>
      </ns0:c>
      <ns0:c r="J1871" s="7" t="n">
        <ns0:v>660.7764574468085</ns0:v>
      </ns0:c>
      <ns0:c r="K1871" s="7" t="n">
        <ns0:v>52</ns0:v>
      </ns0:c>
      <ns0:c r="L1871" s="18" t="inlineStr">
        <ns0:is>
          <ns0:t>範囲内なし</ns0:t>
        </ns0:is>
      </ns0:c>
      <ns0:c r="M1871" s="7" t="n">
        <ns0:v>-44871.6982970243</ns0:v>
      </ns0:c>
      <ns0:c r="N1871" s="7" t="n">
        <ns0:v>-24093.22563845734</ns0:v>
      </ns0:c>
      <ns0:c r="O1871" s="7" t="n">
        <ns0:v>-1194.727948601227</ns0:v>
      </ns0:c>
      <ns0:c r="P1871" s="7" t="n">
        <ns0:v>52121.47872910534</ns0:v>
      </ns0:c>
      <ns0:c r="Q1871" s="7" t="n">
        <ns0:v>223386.3054399315</ns0:v>
      </ns0:c>
      <ns0:c r="R1871" s="7" t="n">
        <ns0:v>899813.198927823</ns0:v>
      </ns0:c>
    </ns0:row>
    <ns0:row r="1872" ht="24" customHeight="1">
      <ns0:c r="A1872" s="3" t="inlineStr">
        <ns0:is>
          <ns0:t>混在40/30/30</ns0:t>
        </ns0:is>
      </ns0:c>
      <ns0:c r="B1872" s="3" t="inlineStr">
        <ns0:is>
          <ns0:t>G3三段階</ns0:t>
        </ns0:is>
      </ns0:c>
      <ns0:c r="C1872" s="3" t="inlineStr">
        <ns0:is>
          <ns0:t>C</ns0:t>
        </ns0:is>
      </ns0:c>
      <ns0:c r="D1872" s="4" t="n">
        <ns0:v>0</ns0:v>
      </ns0:c>
      <ns0:c r="E1872" s="4" t="n">
        <ns0:v>500</ns0:v>
      </ns0:c>
      <ns0:c r="F1872" s="6" t="n">
        <ns0:v>0.4</ns0:v>
      </ns0:c>
      <ns0:c r="G1872" s="4" t="n">
        <ns0:v>0</ns0:v>
      </ns0:c>
      <ns0:c r="H1872" s="7" t="n">
        <ns0:v>3910.203515644555</ns0:v>
      </ns0:c>
      <ns0:c r="I1872" s="7" t="n">
        <ns0:v>2202.588191489362</ns0:v>
      </ns0:c>
      <ns0:c r="J1872" s="7" t="n">
        <ns0:v>881.0352765957447</ns0:v>
      </ns0:c>
      <ns0:c r="K1872" s="7" t="n">
        <ns0:v>35</ns0:v>
      </ns0:c>
      <ns0:c r="L1872" s="7" t="n">
        <ns0:v>83</ns0:v>
      </ns0:c>
      <ns0:c r="M1872" s="7" t="n">
        <ns0:v>-39730.47170634181</ns0:v>
      </ns0:c>
      <ns0:c r="N1872" s="7" t="n">
        <ns0:v>-8669.545866409811</ns0:v>
      </ns0:c>
      <ns0:c r="O1872" s="7" t="n">
        <ns0:v>24511.40500481131</ns0:v>
      </ns0:c>
      <ns0:c r="P1872" s="7" t="n">
        <ns0:v>103533.7446359304</ns0:v>
      </ns0:c>
      <ns0:c r="Q1872" s="7" t="n">
        <ns0:v>377623.1031604068</ns0:v>
      </ns0:c>
      <ns0:c r="R1872" s="7" t="n">
        <ns0:v>1413935.857996074</ns0:v>
      </ns0:c>
    </ns0:row>
    <ns0:row r="1873" ht="24" customHeight="1">
      <ns0:c r="A1873" s="3" t="inlineStr">
        <ns0:is>
          <ns0:t>混在40/30/30</ns0:t>
        </ns0:is>
      </ns0:c>
      <ns0:c r="B1873" s="3" t="inlineStr">
        <ns0:is>
          <ns0:t>G3三段階</ns0:t>
        </ns0:is>
      </ns0:c>
      <ns0:c r="C1873" s="3" t="inlineStr">
        <ns0:is>
          <ns0:t>C</ns0:t>
        </ns0:is>
      </ns0:c>
      <ns0:c r="D1873" s="4" t="n">
        <ns0:v>0</ns0:v>
      </ns0:c>
      <ns0:c r="E1873" s="4" t="n">
        <ns0:v>500</ns0:v>
      </ns0:c>
      <ns0:c r="F1873" s="6" t="n">
        <ns0:v>0.4</ns0:v>
      </ns0:c>
      <ns0:c r="G1873" s="4" t="n">
        <ns0:v>1</ns0:v>
      </ns0:c>
      <ns0:c r="H1873" s="7" t="n">
        <ns0:v>3910.203515644555</ns0:v>
      </ns0:c>
      <ns0:c r="I1873" s="7" t="n">
        <ns0:v>2202.588191489362</ns0:v>
      </ns0:c>
      <ns0:c r="J1873" s="7" t="n">
        <ns0:v>881.0352765957447</ns0:v>
      </ns0:c>
      <ns0:c r="K1873" s="7" t="n">
        <ns0:v>41</ns0:v>
      </ns0:c>
      <ns0:c r="L1873" s="7" t="n">
        <ns0:v>288</ns0:v>
      </ns0:c>
      <ns0:c r="M1873" s="7" t="n">
        <ns0:v>-41950.01551820712</ns0:v>
      </ns0:c>
      <ns0:c r="N1873" s="7" t="n">
        <ns0:v>-15328.17730200575</ns0:v>
      </ns0:c>
      <ns0:c r="O1873" s="7" t="n">
        <ns0:v>13413.68594548474</ns0:v>
      </ns0:c>
      <ns0:c r="P1873" s="7" t="n">
        <ns0:v>81338.30651727729</ns0:v>
      </ns0:c>
      <ns0:c r="Q1873" s="7" t="n">
        <ns0:v>311036.7888044473</ns0:v>
      </ns0:c>
      <ns0:c r="R1873" s="7" t="n">
        <ns0:v>1191981.476809543</ns0:v>
      </ns0:c>
    </ns0:row>
    <ns0:row r="1874" ht="24" customHeight="1">
      <ns0:c r="A1874" s="3" t="inlineStr">
        <ns0:is>
          <ns0:t>混在40/30/30</ns0:t>
        </ns0:is>
      </ns0:c>
      <ns0:c r="B1874" s="3" t="inlineStr">
        <ns0:is>
          <ns0:t>G3三段階</ns0:t>
        </ns0:is>
      </ns0:c>
      <ns0:c r="C1874" s="3" t="inlineStr">
        <ns0:is>
          <ns0:t>C</ns0:t>
        </ns0:is>
      </ns0:c>
      <ns0:c r="D1874" s="4" t="n">
        <ns0:v>0</ns0:v>
      </ns0:c>
      <ns0:c r="E1874" s="4" t="n">
        <ns0:v>500</ns0:v>
      </ns0:c>
      <ns0:c r="F1874" s="6" t="n">
        <ns0:v>0.4</ns0:v>
      </ns0:c>
      <ns0:c r="G1874" s="4" t="n">
        <ns0:v>2</ns0:v>
      </ns0:c>
      <ns0:c r="H1874" s="7" t="n">
        <ns0:v>3910.203515644555</ns0:v>
      </ns0:c>
      <ns0:c r="I1874" s="7" t="n">
        <ns0:v>2202.588191489362</ns0:v>
      </ns0:c>
      <ns0:c r="J1874" s="7" t="n">
        <ns0:v>881.0352765957447</ns0:v>
      </ns0:c>
      <ns0:c r="K1874" s="7" t="n">
        <ns0:v>395</ns0:v>
      </ns0:c>
      <ns0:c r="L1874" s="18" t="inlineStr">
        <ns0:is>
          <ns0:t>範囲内なし</ns0:t>
        </ns0:is>
      </ns0:c>
      <ns0:c r="M1874" s="7" t="n">
        <ns0:v>-53087.67180523906</ns0:v>
      </ns0:c>
      <ns0:c r="N1874" s="7" t="n">
        <ns0:v>-48741.14616310158</ns0:v>
      </ns0:c>
      <ns0:c r="O1874" s="7" t="n">
        <ns0:v>-42274.59548967498</ns0:v>
      </ns0:c>
      <ns0:c r="P1874" s="7" t="n">
        <ns0:v>-30038.25635304215</ns0:v>
      </ns0:c>
      <ns0:c r="Q1874" s="7" t="n">
        <ns0:v>-23092.89980651095</ns0:v>
      </ns0:c>
      <ns0:c r="R1874" s="7" t="n">
        <ns0:v>78215.84810634807</ns0:v>
      </ns0:c>
    </ns0:row>
    <ns0:row r="1875" ht="24" customHeight="1">
      <ns0:c r="A1875" s="3" t="inlineStr">
        <ns0:is>
          <ns0:t>混在40/30/30</ns0:t>
        </ns0:is>
      </ns0:c>
      <ns0:c r="B1875" s="3" t="inlineStr">
        <ns0:is>
          <ns0:t>G3三段階</ns0:t>
        </ns0:is>
      </ns0:c>
      <ns0:c r="C1875" s="3" t="inlineStr">
        <ns0:is>
          <ns0:t>C</ns0:t>
        </ns0:is>
      </ns0:c>
      <ns0:c r="D1875" s="4" t="n">
        <ns0:v>0</ns0:v>
      </ns0:c>
      <ns0:c r="E1875" s="4" t="n">
        <ns0:v>500</ns0:v>
      </ns0:c>
      <ns0:c r="F1875" s="6" t="n">
        <ns0:v>0.4</ns0:v>
      </ns0:c>
      <ns0:c r="G1875" s="4" t="n">
        <ns0:v>3</ns0:v>
      </ns0:c>
      <ns0:c r="H1875" s="7" t="n">
        <ns0:v>3910.203515644555</ns0:v>
      </ns0:c>
      <ns0:c r="I1875" s="7" t="n">
        <ns0:v>2202.588191489362</ns0:v>
      </ns0:c>
      <ns0:c r="J1875" s="7" t="n">
        <ns0:v>881.0352765957447</ns0:v>
      </ns0:c>
      <ns0:c r="K1875" s="7" t="n">
        <ns0:v>65</ns0:v>
      </ns0:c>
      <ns0:c r="L1875" s="18" t="inlineStr">
        <ns0:is>
          <ns0:t>範囲内なし</ns0:t>
        </ns0:is>
      </ns0:c>
      <ns0:c r="M1875" s="7" t="n">
        <ns0:v>-47074.28648851367</ns0:v>
      </ns0:c>
      <ns0:c r="N1875" s="7" t="n">
        <ns0:v>-30700.99021292542</ns0:v>
      </ns0:c>
      <ns0:c r="O1875" s="7" t="n">
        <ns0:v>-12207.66890604804</ns0:v>
      </ns0:c>
      <ns0:c r="P1875" s="7" t="n">
        <ns0:v>30095.59681421172</ns0:v>
      </ns0:c>
      <ns0:c r="Q1875" s="7" t="n">
        <ns0:v>157308.6596952507</ns0:v>
      </ns0:c>
      <ns0:c r="R1875" s="7" t="n">
        <ns0:v>679554.3797788868</ns0:v>
      </ns0:c>
    </ns0:row>
    <ns0:row r="1876" ht="24" customHeight="1">
      <ns0:c r="A1876" s="3" t="inlineStr">
        <ns0:is>
          <ns0:t>混在40/30/30</ns0:t>
        </ns0:is>
      </ns0:c>
      <ns0:c r="B1876" s="3" t="inlineStr">
        <ns0:is>
          <ns0:t>G3三段階</ns0:t>
        </ns0:is>
      </ns0:c>
      <ns0:c r="C1876" s="3" t="inlineStr">
        <ns0:is>
          <ns0:t>C</ns0:t>
        </ns0:is>
      </ns0:c>
      <ns0:c r="D1876" s="4" t="n">
        <ns0:v>0</ns0:v>
      </ns0:c>
      <ns0:c r="E1876" s="4" t="n">
        <ns0:v>500</ns0:v>
      </ns0:c>
      <ns0:c r="F1876" s="6" t="n">
        <ns0:v>0.5</ns0:v>
      </ns0:c>
      <ns0:c r="G1876" s="4" t="n">
        <ns0:v>0</ns0:v>
      </ns0:c>
      <ns0:c r="H1876" s="7" t="n">
        <ns0:v>3910.203515644555</ns0:v>
      </ns0:c>
      <ns0:c r="I1876" s="7" t="n">
        <ns0:v>2202.588191489362</ns0:v>
      </ns0:c>
      <ns0:c r="J1876" s="7" t="n">
        <ns0:v>1101.294095744681</ns0:v>
      </ns0:c>
      <ns0:c r="K1876" s="7" t="n">
        <ns0:v>41</ns0:v>
      </ns0:c>
      <ns0:c r="L1876" s="7" t="n">
        <ns0:v>96</ns0:v>
      </ns0:c>
      <ns0:c r="M1876" s="7" t="n">
        <ns0:v>-41933.05989783116</ns0:v>
      </ns0:c>
      <ns0:c r="N1876" s="7" t="n">
        <ns0:v>-15277.31044087791</ns0:v>
      </ns0:c>
      <ns0:c r="O1876" s="7" t="n">
        <ns0:v>13498.4640473645</ns0:v>
      </ns0:c>
      <ns0:c r="P1876" s="7" t="n">
        <ns0:v>81507.8627210368</ns0:v>
      </ns0:c>
      <ns0:c r="Q1876" s="7" t="n">
        <ns0:v>311545.4574157259</ns0:v>
      </ns0:c>
      <ns0:c r="R1876" s="7" t="n">
        <ns0:v>1193677.038847137</ns0:v>
      </ns0:c>
    </ns0:row>
    <ns0:row r="1877" ht="24" customHeight="1">
      <ns0:c r="A1877" s="3" t="inlineStr">
        <ns0:is>
          <ns0:t>混在40/30/30</ns0:t>
        </ns0:is>
      </ns0:c>
      <ns0:c r="B1877" s="3" t="inlineStr">
        <ns0:is>
          <ns0:t>G3三段階</ns0:t>
        </ns0:is>
      </ns0:c>
      <ns0:c r="C1877" s="3" t="inlineStr">
        <ns0:is>
          <ns0:t>C</ns0:t>
        </ns0:is>
      </ns0:c>
      <ns0:c r="D1877" s="4" t="n">
        <ns0:v>0</ns0:v>
      </ns0:c>
      <ns0:c r="E1877" s="4" t="n">
        <ns0:v>500</ns0:v>
      </ns0:c>
      <ns0:c r="F1877" s="6" t="n">
        <ns0:v>0.5</ns0:v>
      </ns0:c>
      <ns0:c r="G1877" s="4" t="n">
        <ns0:v>1</ns0:v>
      </ns0:c>
      <ns0:c r="H1877" s="7" t="n">
        <ns0:v>3910.203515644555</ns0:v>
      </ns0:c>
      <ns0:c r="I1877" s="7" t="n">
        <ns0:v>2202.588191489362</ns0:v>
      </ns0:c>
      <ns0:c r="J1877" s="7" t="n">
        <ns0:v>1101.294095744681</ns0:v>
      </ns0:c>
      <ns0:c r="K1877" s="7" t="n">
        <ns0:v>48</ns0:v>
      </ns0:c>
      <ns0:c r="L1877" s="7" t="n">
        <ns0:v>406</ns0:v>
      </ns0:c>
      <ns0:c r="M1877" s="7" t="n">
        <ns0:v>-44152.60370969647</ns0:v>
      </ns0:c>
      <ns0:c r="N1877" s="7" t="n">
        <ns0:v>-21935.94187647385</ns0:v>
      </ns0:c>
      <ns0:c r="O1877" s="7" t="n">
        <ns0:v>2400.744988037935</ns0:v>
      </ns0:c>
      <ns0:c r="P1877" s="7" t="n">
        <ns0:v>59312.42460238367</ns0:v>
      </ns0:c>
      <ns0:c r="Q1877" s="7" t="n">
        <ns0:v>244959.1430597665</ns0:v>
      </ns0:c>
      <ns0:c r="R1877" s="7" t="n">
        <ns0:v>971722.6576606061</ns0:v>
      </ns0:c>
    </ns0:row>
    <ns0:row r="1878" ht="24" customHeight="1">
      <ns0:c r="A1878" s="3" t="inlineStr">
        <ns0:is>
          <ns0:t>混在40/30/30</ns0:t>
        </ns0:is>
      </ns0:c>
      <ns0:c r="B1878" s="3" t="inlineStr">
        <ns0:is>
          <ns0:t>G3三段階</ns0:t>
        </ns0:is>
      </ns0:c>
      <ns0:c r="C1878" s="3" t="inlineStr">
        <ns0:is>
          <ns0:t>C</ns0:t>
        </ns0:is>
      </ns0:c>
      <ns0:c r="D1878" s="4" t="n">
        <ns0:v>0</ns0:v>
      </ns0:c>
      <ns0:c r="E1878" s="4" t="n">
        <ns0:v>500</ns0:v>
      </ns0:c>
      <ns0:c r="F1878" s="6" t="n">
        <ns0:v>0.5</ns0:v>
      </ns0:c>
      <ns0:c r="G1878" s="4" t="n">
        <ns0:v>2</ns0:v>
      </ns0:c>
      <ns0:c r="H1878" s="7" t="n">
        <ns0:v>3910.203515644555</ns0:v>
      </ns0:c>
      <ns0:c r="I1878" s="7" t="n">
        <ns0:v>2202.588191489362</ns0:v>
      </ns0:c>
      <ns0:c r="J1878" s="7" t="n">
        <ns0:v>1101.294095744681</ns0:v>
      </ns0:c>
      <ns0:c r="K1878" s="18" t="inlineStr">
        <ns0:is>
          <ns0:t>範囲内なし</ns0:t>
        </ns0:is>
      </ns0:c>
      <ns0:c r="L1878" s="18" t="inlineStr">
        <ns0:is>
          <ns0:t>範囲内なし</ns0:t>
        </ns0:is>
      </ns0:c>
      <ns0:c r="M1878" s="7" t="n">
        <ns0:v>-55290.25999672842</ns0:v>
      </ns0:c>
      <ns0:c r="N1878" s="7" t="n">
        <ns0:v>-55348.91073756968</ns0:v>
      </ns0:c>
      <ns0:c r="O1878" s="7" t="n">
        <ns0:v>-53287.53644712178</ns0:v>
      </ns0:c>
      <ns0:c r="P1878" s="7" t="n">
        <ns0:v>-52064.13826793575</ns0:v>
      </ns0:c>
      <ns0:c r="Q1878" s="7" t="n">
        <ns0:v>-89170.54555119181</ns0:v>
      </ns0:c>
      <ns0:c r="R1878" s="7" t="n">
        <ns0:v>-142042.9710425882</ns0:v>
      </ns0:c>
    </ns0:row>
    <ns0:row r="1879" ht="24" customHeight="1">
      <ns0:c r="A1879" s="3" t="inlineStr">
        <ns0:is>
          <ns0:t>混在40/30/30</ns0:t>
        </ns0:is>
      </ns0:c>
      <ns0:c r="B1879" s="3" t="inlineStr">
        <ns0:is>
          <ns0:t>G3三段階</ns0:t>
        </ns0:is>
      </ns0:c>
      <ns0:c r="C1879" s="3" t="inlineStr">
        <ns0:is>
          <ns0:t>C</ns0:t>
        </ns0:is>
      </ns0:c>
      <ns0:c r="D1879" s="4" t="n">
        <ns0:v>0</ns0:v>
      </ns0:c>
      <ns0:c r="E1879" s="4" t="n">
        <ns0:v>500</ns0:v>
      </ns0:c>
      <ns0:c r="F1879" s="6" t="n">
        <ns0:v>0.5</ns0:v>
      </ns0:c>
      <ns0:c r="G1879" s="4" t="n">
        <ns0:v>3</ns0:v>
      </ns0:c>
      <ns0:c r="H1879" s="7" t="n">
        <ns0:v>3910.203515644555</ns0:v>
      </ns0:c>
      <ns0:c r="I1879" s="7" t="n">
        <ns0:v>2202.588191489362</ns0:v>
      </ns0:c>
      <ns0:c r="J1879" s="7" t="n">
        <ns0:v>1101.294095744681</ns0:v>
      </ns0:c>
      <ns0:c r="K1879" s="7" t="n">
        <ns0:v>88</ns0:v>
      </ns0:c>
      <ns0:c r="L1879" s="18" t="inlineStr">
        <ns0:is>
          <ns0:t>範囲内なし</ns0:t>
        </ns0:is>
      </ns0:c>
      <ns0:c r="M1879" s="7" t="n">
        <ns0:v>-49276.87468000303</ns0:v>
      </ns0:c>
      <ns0:c r="N1879" s="7" t="n">
        <ns0:v>-37308.75478739352</ns0:v>
      </ns0:c>
      <ns0:c r="O1879" s="7" t="n">
        <ns0:v>-23220.60986349484</ns0:v>
      </ns0:c>
      <ns0:c r="P1879" s="7" t="n">
        <ns0:v>8069.714899318104</ns0:v>
      </ns0:c>
      <ns0:c r="Q1879" s="7" t="n">
        <ns0:v>91231.01395056979</ns0:v>
      </ns0:c>
      <ns0:c r="R1879" s="7" t="n">
        <ns0:v>459295.5606299505</ns0:v>
      </ns0:c>
    </ns0:row>
    <ns0:row r="1880" ht="24" customHeight="1">
      <ns0:c r="A1880" s="3" t="inlineStr">
        <ns0:is>
          <ns0:t>混在40/30/30</ns0:t>
        </ns0:is>
      </ns0:c>
      <ns0:c r="B1880" s="3" t="inlineStr">
        <ns0:is>
          <ns0:t>G3三段階</ns0:t>
        </ns0:is>
      </ns0:c>
      <ns0:c r="C1880" s="3" t="inlineStr">
        <ns0:is>
          <ns0:t>C</ns0:t>
        </ns0:is>
      </ns0:c>
      <ns0:c r="D1880" s="4" t="n">
        <ns0:v>0</ns0:v>
      </ns0:c>
      <ns0:c r="E1880" s="4" t="n">
        <ns0:v>1000</ns0:v>
      </ns0:c>
      <ns0:c r="F1880" s="6" t="n">
        <ns0:v>0.3</ns0:v>
      </ns0:c>
      <ns0:c r="G1880" s="4" t="n">
        <ns0:v>0</ns0:v>
      </ns0:c>
      <ns0:c r="H1880" s="7" t="n">
        <ns0:v>3760.203515644556</ns0:v>
      </ns0:c>
      <ns0:c r="I1880" s="7" t="n">
        <ns0:v>2052.588191489362</ns0:v>
      </ns0:c>
      <ns0:c r="J1880" s="7" t="n">
        <ns0:v>615.7764574468085</ns0:v>
      </ns0:c>
      <ns0:c r="K1880" s="7" t="n">
        <ns0:v>33</ns0:v>
      </ns0:c>
      <ns0:c r="L1880" s="7" t="n">
        <ns0:v>78</ns0:v>
      </ns0:c>
      <ns0:c r="M1880" s="7" t="n">
        <ns0:v>-38523.88351485244</ns0:v>
      </ns0:c>
      <ns0:c r="N1880" s="7" t="n">
        <ns0:v>-5049.781291941719</ns0:v>
      </ns0:c>
      <ns0:c r="O1880" s="7" t="n">
        <ns0:v>30544.34596225812</ns0:v>
      </ns0:c>
      <ns0:c r="P1880" s="7" t="n">
        <ns0:v>115599.626550824</ns0:v>
      </ns0:c>
      <ns0:c r="Q1880" s="7" t="n">
        <ns0:v>413820.7489050875</ns0:v>
      </ns0:c>
      <ns0:c r="R1880" s="7" t="n">
        <ns0:v>1534594.67714501</ns0:v>
      </ns0:c>
    </ns0:row>
    <ns0:row r="1881" ht="24" customHeight="1">
      <ns0:c r="A1881" s="3" t="inlineStr">
        <ns0:is>
          <ns0:t>混在40/30/30</ns0:t>
        </ns0:is>
      </ns0:c>
      <ns0:c r="B1881" s="3" t="inlineStr">
        <ns0:is>
          <ns0:t>G3三段階</ns0:t>
        </ns0:is>
      </ns0:c>
      <ns0:c r="C1881" s="3" t="inlineStr">
        <ns0:is>
          <ns0:t>C</ns0:t>
        </ns0:is>
      </ns0:c>
      <ns0:c r="D1881" s="4" t="n">
        <ns0:v>0</ns0:v>
      </ns0:c>
      <ns0:c r="E1881" s="4" t="n">
        <ns0:v>1000</ns0:v>
      </ns0:c>
      <ns0:c r="F1881" s="6" t="n">
        <ns0:v>0.3</ns0:v>
      </ns0:c>
      <ns0:c r="G1881" s="4" t="n">
        <ns0:v>1</ns0:v>
      </ns0:c>
      <ns0:c r="H1881" s="7" t="n">
        <ns0:v>3760.203515644556</ns0:v>
      </ns0:c>
      <ns0:c r="I1881" s="7" t="n">
        <ns0:v>2052.588191489362</ns0:v>
      </ns0:c>
      <ns0:c r="J1881" s="7" t="n">
        <ns0:v>615.7764574468085</ns0:v>
      </ns0:c>
      <ns0:c r="K1881" s="7" t="n">
        <ns0:v>37</ns0:v>
      </ns0:c>
      <ns0:c r="L1881" s="7" t="n">
        <ns0:v>252</ns0:v>
      </ns0:c>
      <ns0:c r="M1881" s="7" t="n">
        <ns0:v>-40743.42732671776</ns0:v>
      </ns0:c>
      <ns0:c r="N1881" s="7" t="n">
        <ns0:v>-11708.41272753765</ns0:v>
      </ns0:c>
      <ns0:c r="O1881" s="7" t="n">
        <ns0:v>19446.62690293156</ns0:v>
      </ns0:c>
      <ns0:c r="P1881" s="7" t="n">
        <ns0:v>93404.18843217091</ns0:v>
      </ns0:c>
      <ns0:c r="Q1881" s="7" t="n">
        <ns0:v>347234.4345491281</ns0:v>
      </ns0:c>
      <ns0:c r="R1881" s="7" t="n">
        <ns0:v>1312640.295958479</ns0:v>
      </ns0:c>
    </ns0:row>
    <ns0:row r="1882" ht="24" customHeight="1">
      <ns0:c r="A1882" s="3" t="inlineStr">
        <ns0:is>
          <ns0:t>混在40/30/30</ns0:t>
        </ns0:is>
      </ns0:c>
      <ns0:c r="B1882" s="3" t="inlineStr">
        <ns0:is>
          <ns0:t>G3三段階</ns0:t>
        </ns0:is>
      </ns0:c>
      <ns0:c r="C1882" s="3" t="inlineStr">
        <ns0:is>
          <ns0:t>C</ns0:t>
        </ns0:is>
      </ns0:c>
      <ns0:c r="D1882" s="4" t="n">
        <ns0:v>0</ns0:v>
      </ns0:c>
      <ns0:c r="E1882" s="4" t="n">
        <ns0:v>1000</ns0:v>
      </ns0:c>
      <ns0:c r="F1882" s="6" t="n">
        <ns0:v>0.3</ns0:v>
      </ns0:c>
      <ns0:c r="G1882" s="4" t="n">
        <ns0:v>2</ns0:v>
      </ns0:c>
      <ns0:c r="H1882" s="7" t="n">
        <ns0:v>3760.203515644556</ns0:v>
      </ns0:c>
      <ns0:c r="I1882" s="7" t="n">
        <ns0:v>2052.588191489362</ns0:v>
      </ns0:c>
      <ns0:c r="J1882" s="7" t="n">
        <ns0:v>615.7764574468085</ns0:v>
      </ns0:c>
      <ns0:c r="K1882" s="7" t="n">
        <ns0:v>265</ns0:v>
      </ns0:c>
      <ns0:c r="L1882" s="18" t="inlineStr">
        <ns0:is>
          <ns0:t>範囲内なし</ns0:t>
        </ns0:is>
      </ns0:c>
      <ns0:c r="M1882" s="7" t="n">
        <ns0:v>-51881.0836137497</ns0:v>
      </ns0:c>
      <ns0:c r="N1882" s="7" t="n">
        <ns0:v>-45121.38158863349</ns0:v>
      </ns0:c>
      <ns0:c r="O1882" s="7" t="n">
        <ns0:v>-36241.65453222816</ns0:v>
      </ns0:c>
      <ns0:c r="P1882" s="7" t="n">
        <ns0:v>-17972.37443814852</ns0:v>
      </ns0:c>
      <ns0:c r="Q1882" s="7" t="n">
        <ns0:v>13104.74593816983</ns0:v>
      </ns0:c>
      <ns0:c r="R1882" s="7" t="n">
        <ns0:v>198874.6672552846</ns0:v>
      </ns0:c>
    </ns0:row>
    <ns0:row r="1883" ht="24" customHeight="1">
      <ns0:c r="A1883" s="3" t="inlineStr">
        <ns0:is>
          <ns0:t>混在40/30/30</ns0:t>
        </ns0:is>
      </ns0:c>
      <ns0:c r="B1883" s="3" t="inlineStr">
        <ns0:is>
          <ns0:t>G3三段階</ns0:t>
        </ns0:is>
      </ns0:c>
      <ns0:c r="C1883" s="3" t="inlineStr">
        <ns0:is>
          <ns0:t>C</ns0:t>
        </ns0:is>
      </ns0:c>
      <ns0:c r="D1883" s="4" t="n">
        <ns0:v>0</ns0:v>
      </ns0:c>
      <ns0:c r="E1883" s="4" t="n">
        <ns0:v>1000</ns0:v>
      </ns0:c>
      <ns0:c r="F1883" s="6" t="n">
        <ns0:v>0.3</ns0:v>
      </ns0:c>
      <ns0:c r="G1883" s="4" t="n">
        <ns0:v>3</ns0:v>
      </ns0:c>
      <ns0:c r="H1883" s="7" t="n">
        <ns0:v>3760.203515644556</ns0:v>
      </ns0:c>
      <ns0:c r="I1883" s="7" t="n">
        <ns0:v>2052.588191489362</ns0:v>
      </ns0:c>
      <ns0:c r="J1883" s="7" t="n">
        <ns0:v>615.7764574468085</ns0:v>
      </ns0:c>
      <ns0:c r="K1883" s="7" t="n">
        <ns0:v>57</ns0:v>
      </ns0:c>
      <ns0:c r="L1883" s="18" t="inlineStr">
        <ns0:is>
          <ns0:t>範囲内なし</ns0:t>
        </ns0:is>
      </ns0:c>
      <ns0:c r="M1883" s="7" t="n">
        <ns0:v>-45867.69829702431</ns0:v>
      </ns0:c>
      <ns0:c r="N1883" s="7" t="n">
        <ns0:v>-27081.22563845733</ns0:v>
      </ns0:c>
      <ns0:c r="O1883" s="7" t="n">
        <ns0:v>-6174.727948601227</ns0:v>
      </ns0:c>
      <ns0:c r="P1883" s="7" t="n">
        <ns0:v>42161.47872910534</ns0:v>
      </ns0:c>
      <ns0:c r="Q1883" s="7" t="n">
        <ns0:v>193506.3054399314</ns0:v>
      </ns0:c>
      <ns0:c r="R1883" s="7" t="n">
        <ns0:v>800213.1989278233</ns0:v>
      </ns0:c>
    </ns0:row>
    <ns0:row r="1884" ht="24" customHeight="1">
      <ns0:c r="A1884" s="3" t="inlineStr">
        <ns0:is>
          <ns0:t>混在40/30/30</ns0:t>
        </ns0:is>
      </ns0:c>
      <ns0:c r="B1884" s="3" t="inlineStr">
        <ns0:is>
          <ns0:t>G3三段階</ns0:t>
        </ns0:is>
      </ns0:c>
      <ns0:c r="C1884" s="3" t="inlineStr">
        <ns0:is>
          <ns0:t>C</ns0:t>
        </ns0:is>
      </ns0:c>
      <ns0:c r="D1884" s="4" t="n">
        <ns0:v>0</ns0:v>
      </ns0:c>
      <ns0:c r="E1884" s="4" t="n">
        <ns0:v>1000</ns0:v>
      </ns0:c>
      <ns0:c r="F1884" s="6" t="n">
        <ns0:v>0.4</ns0:v>
      </ns0:c>
      <ns0:c r="G1884" s="4" t="n">
        <ns0:v>0</ns0:v>
      </ns0:c>
      <ns0:c r="H1884" s="7" t="n">
        <ns0:v>3760.203515644556</ns0:v>
      </ns0:c>
      <ns0:c r="I1884" s="7" t="n">
        <ns0:v>2052.588191489362</ns0:v>
      </ns0:c>
      <ns0:c r="J1884" s="7" t="n">
        <ns0:v>821.0352765957448</ns0:v>
      </ns0:c>
      <ns0:c r="K1884" s="7" t="n">
        <ns0:v>37</ns0:v>
      </ns0:c>
      <ns0:c r="L1884" s="7" t="n">
        <ns0:v>88</ns0:v>
      </ns0:c>
      <ns0:c r="M1884" s="7" t="n">
        <ns0:v>-40576.4717063418</ns0:v>
      </ns0:c>
      <ns0:c r="N1884" s="7" t="n">
        <ns0:v>-11207.5458664098</ns0:v>
      </ns0:c>
      <ns0:c r="O1884" s="7" t="n">
        <ns0:v>20281.40500481131</ns0:v>
      </ns0:c>
      <ns0:c r="P1884" s="7" t="n">
        <ns0:v>95073.74463593043</ns0:v>
      </ns0:c>
      <ns0:c r="Q1884" s="7" t="n">
        <ns0:v>352243.1031604066</ns0:v>
      </ns0:c>
      <ns0:c r="R1884" s="7" t="n">
        <ns0:v>1329335.857996074</ns0:v>
      </ns0:c>
    </ns0:row>
    <ns0:row r="1885" ht="24" customHeight="1">
      <ns0:c r="A1885" s="3" t="inlineStr">
        <ns0:is>
          <ns0:t>混在40/30/30</ns0:t>
        </ns0:is>
      </ns0:c>
      <ns0:c r="B1885" s="3" t="inlineStr">
        <ns0:is>
          <ns0:t>G3三段階</ns0:t>
        </ns0:is>
      </ns0:c>
      <ns0:c r="C1885" s="3" t="inlineStr">
        <ns0:is>
          <ns0:t>C</ns0:t>
        </ns0:is>
      </ns0:c>
      <ns0:c r="D1885" s="4" t="n">
        <ns0:v>0</ns0:v>
      </ns0:c>
      <ns0:c r="E1885" s="4" t="n">
        <ns0:v>1000</ns0:v>
      </ns0:c>
      <ns0:c r="F1885" s="6" t="n">
        <ns0:v>0.4</ns0:v>
      </ns0:c>
      <ns0:c r="G1885" s="4" t="n">
        <ns0:v>1</ns0:v>
      </ns0:c>
      <ns0:c r="H1885" s="7" t="n">
        <ns0:v>3760.203515644556</ns0:v>
      </ns0:c>
      <ns0:c r="I1885" s="7" t="n">
        <ns0:v>2052.588191489362</ns0:v>
      </ns0:c>
      <ns0:c r="J1885" s="7" t="n">
        <ns0:v>821.0352765957448</ns0:v>
      </ns0:c>
      <ns0:c r="K1885" s="7" t="n">
        <ns0:v>43</ns0:v>
      </ns0:c>
      <ns0:c r="L1885" s="7" t="n">
        <ns0:v>330</ns0:v>
      </ns0:c>
      <ns0:c r="M1885" s="7" t="n">
        <ns0:v>-42796.01551820711</ns0:v>
      </ns0:c>
      <ns0:c r="N1885" s="7" t="n">
        <ns0:v>-17866.17730200574</ns0:v>
      </ns0:c>
      <ns0:c r="O1885" s="7" t="n">
        <ns0:v>9183.685945484751</ns0:v>
      </ns0:c>
      <ns0:c r="P1885" s="7" t="n">
        <ns0:v>72878.30651727729</ns0:v>
      </ns0:c>
      <ns0:c r="Q1885" s="7" t="n">
        <ns0:v>285656.7888044473</ns0:v>
      </ns0:c>
      <ns0:c r="R1885" s="7" t="n">
        <ns0:v>1107381.476809542</ns0:v>
      </ns0:c>
    </ns0:row>
    <ns0:row r="1886" ht="24" customHeight="1">
      <ns0:c r="A1886" s="3" t="inlineStr">
        <ns0:is>
          <ns0:t>混在40/30/30</ns0:t>
        </ns0:is>
      </ns0:c>
      <ns0:c r="B1886" s="3" t="inlineStr">
        <ns0:is>
          <ns0:t>G3三段階</ns0:t>
        </ns0:is>
      </ns0:c>
      <ns0:c r="C1886" s="3" t="inlineStr">
        <ns0:is>
          <ns0:t>C</ns0:t>
        </ns0:is>
      </ns0:c>
      <ns0:c r="D1886" s="4" t="n">
        <ns0:v>0</ns0:v>
      </ns0:c>
      <ns0:c r="E1886" s="4" t="n">
        <ns0:v>1000</ns0:v>
      </ns0:c>
      <ns0:c r="F1886" s="6" t="n">
        <ns0:v>0.4</ns0:v>
      </ns0:c>
      <ns0:c r="G1886" s="4" t="n">
        <ns0:v>2</ns0:v>
      </ns0:c>
      <ns0:c r="H1886" s="7" t="n">
        <ns0:v>3760.203515644556</ns0:v>
      </ns0:c>
      <ns0:c r="I1886" s="7" t="n">
        <ns0:v>2052.588191489362</ns0:v>
      </ns0:c>
      <ns0:c r="J1886" s="7" t="n">
        <ns0:v>821.0352765957448</ns0:v>
      </ns0:c>
      <ns0:c r="K1886" s="18" t="inlineStr">
        <ns0:is>
          <ns0:t>範囲内なし</ns0:t>
        </ns0:is>
      </ns0:c>
      <ns0:c r="L1886" s="18" t="inlineStr">
        <ns0:is>
          <ns0:t>範囲内なし</ns0:t>
        </ns0:is>
      </ns0:c>
      <ns0:c r="M1886" s="7" t="n">
        <ns0:v>-53933.67180523906</ns0:v>
      </ns0:c>
      <ns0:c r="N1886" s="7" t="n">
        <ns0:v>-51279.14616310157</ns0:v>
      </ns0:c>
      <ns0:c r="O1886" s="7" t="n">
        <ns0:v>-46504.59548967496</ns0:v>
      </ns0:c>
      <ns0:c r="P1886" s="7" t="n">
        <ns0:v>-38498.25635304212</ns0:v>
      </ns0:c>
      <ns0:c r="Q1886" s="7" t="n">
        <ns0:v>-48472.89980651101</ns0:v>
      </ns0:c>
      <ns0:c r="R1886" s="7" t="n">
        <ns0:v>-6384.151893652044</ns0:v>
      </ns0:c>
    </ns0:row>
    <ns0:row r="1887" ht="24" customHeight="1">
      <ns0:c r="A1887" s="3" t="inlineStr">
        <ns0:is>
          <ns0:t>混在40/30/30</ns0:t>
        </ns0:is>
      </ns0:c>
      <ns0:c r="B1887" s="3" t="inlineStr">
        <ns0:is>
          <ns0:t>G3三段階</ns0:t>
        </ns0:is>
      </ns0:c>
      <ns0:c r="C1887" s="3" t="inlineStr">
        <ns0:is>
          <ns0:t>C</ns0:t>
        </ns0:is>
      </ns0:c>
      <ns0:c r="D1887" s="4" t="n">
        <ns0:v>0</ns0:v>
      </ns0:c>
      <ns0:c r="E1887" s="4" t="n">
        <ns0:v>1000</ns0:v>
      </ns0:c>
      <ns0:c r="F1887" s="6" t="n">
        <ns0:v>0.4</ns0:v>
      </ns0:c>
      <ns0:c r="G1887" s="4" t="n">
        <ns0:v>3</ns0:v>
      </ns0:c>
      <ns0:c r="H1887" s="7" t="n">
        <ns0:v>3760.203515644556</ns0:v>
      </ns0:c>
      <ns0:c r="I1887" s="7" t="n">
        <ns0:v>2052.588191489362</ns0:v>
      </ns0:c>
      <ns0:c r="J1887" s="7" t="n">
        <ns0:v>821.0352765957448</ns0:v>
      </ns0:c>
      <ns0:c r="K1887" s="7" t="n">
        <ns0:v>72</ns0:v>
      </ns0:c>
      <ns0:c r="L1887" s="18" t="inlineStr">
        <ns0:is>
          <ns0:t>範囲内なし</ns0:t>
        </ns0:is>
      </ns0:c>
      <ns0:c r="M1887" s="7" t="n">
        <ns0:v>-47920.28648851367</ns0:v>
      </ns0:c>
      <ns0:c r="N1887" s="7" t="n">
        <ns0:v>-33238.99021292541</ns0:v>
      </ns0:c>
      <ns0:c r="O1887" s="7" t="n">
        <ns0:v>-16437.66890604803</ns0:v>
      </ns0:c>
      <ns0:c r="P1887" s="7" t="n">
        <ns0:v>21635.59681421173</ns0:v>
      </ns0:c>
      <ns0:c r="Q1887" s="7" t="n">
        <ns0:v>131928.6596952506</ns0:v>
      </ns0:c>
      <ns0:c r="R1887" s="7" t="n">
        <ns0:v>594954.3797788867</ns0:v>
      </ns0:c>
    </ns0:row>
    <ns0:row r="1888" ht="24" customHeight="1">
      <ns0:c r="A1888" s="3" t="inlineStr">
        <ns0:is>
          <ns0:t>混在40/30/30</ns0:t>
        </ns0:is>
      </ns0:c>
      <ns0:c r="B1888" s="3" t="inlineStr">
        <ns0:is>
          <ns0:t>G3三段階</ns0:t>
        </ns0:is>
      </ns0:c>
      <ns0:c r="C1888" s="3" t="inlineStr">
        <ns0:is>
          <ns0:t>C</ns0:t>
        </ns0:is>
      </ns0:c>
      <ns0:c r="D1888" s="4" t="n">
        <ns0:v>0</ns0:v>
      </ns0:c>
      <ns0:c r="E1888" s="4" t="n">
        <ns0:v>1000</ns0:v>
      </ns0:c>
      <ns0:c r="F1888" s="6" t="n">
        <ns0:v>0.5</ns0:v>
      </ns0:c>
      <ns0:c r="G1888" s="4" t="n">
        <ns0:v>0</ns0:v>
      </ns0:c>
      <ns0:c r="H1888" s="7" t="n">
        <ns0:v>3760.203515644556</ns0:v>
      </ns0:c>
      <ns0:c r="I1888" s="7" t="n">
        <ns0:v>2052.588191489362</ns0:v>
      </ns0:c>
      <ns0:c r="J1888" s="7" t="n">
        <ns0:v>1026.294095744681</ns0:v>
      </ns0:c>
      <ns0:c r="K1888" s="7" t="n">
        <ns0:v>43</ns0:v>
      </ns0:c>
      <ns0:c r="L1888" s="7" t="n">
        <ns0:v>102</ns0:v>
      </ns0:c>
      <ns0:c r="M1888" s="7" t="n">
        <ns0:v>-42629.05989783116</ns0:v>
      </ns0:c>
      <ns0:c r="N1888" s="7" t="n">
        <ns0:v>-17365.3104408779</ns0:v>
      </ns0:c>
      <ns0:c r="O1888" s="7" t="n">
        <ns0:v>10018.4640473645</ns0:v>
      </ns0:c>
      <ns0:c r="P1888" s="7" t="n">
        <ns0:v>74547.8627210368</ns0:v>
      </ns0:c>
      <ns0:c r="Q1888" s="7" t="n">
        <ns0:v>290665.4574157259</ns0:v>
      </ns0:c>
      <ns0:c r="R1888" s="7" t="n">
        <ns0:v>1124077.038847138</ns0:v>
      </ns0:c>
    </ns0:row>
    <ns0:row r="1889" ht="24" customHeight="1">
      <ns0:c r="A1889" s="3" t="inlineStr">
        <ns0:is>
          <ns0:t>混在40/30/30</ns0:t>
        </ns0:is>
      </ns0:c>
      <ns0:c r="B1889" s="3" t="inlineStr">
        <ns0:is>
          <ns0:t>G3三段階</ns0:t>
        </ns0:is>
      </ns0:c>
      <ns0:c r="C1889" s="3" t="inlineStr">
        <ns0:is>
          <ns0:t>C</ns0:t>
        </ns0:is>
      </ns0:c>
      <ns0:c r="D1889" s="4" t="n">
        <ns0:v>0</ns0:v>
      </ns0:c>
      <ns0:c r="E1889" s="4" t="n">
        <ns0:v>1000</ns0:v>
      </ns0:c>
      <ns0:c r="F1889" s="6" t="n">
        <ns0:v>0.5</ns0:v>
      </ns0:c>
      <ns0:c r="G1889" s="4" t="n">
        <ns0:v>1</ns0:v>
      </ns0:c>
      <ns0:c r="H1889" s="7" t="n">
        <ns0:v>3760.203515644556</ns0:v>
      </ns0:c>
      <ns0:c r="I1889" s="7" t="n">
        <ns0:v>2052.588191489362</ns0:v>
      </ns0:c>
      <ns0:c r="J1889" s="7" t="n">
        <ns0:v>1026.294095744681</ns0:v>
      </ns0:c>
      <ns0:c r="K1889" s="7" t="n">
        <ns0:v>52</ns0:v>
      </ns0:c>
      <ns0:c r="L1889" s="7" t="n">
        <ns0:v>478</ns0:v>
      </ns0:c>
      <ns0:c r="M1889" s="7" t="n">
        <ns0:v>-44848.60370969647</ns0:v>
      </ns0:c>
      <ns0:c r="N1889" s="7" t="n">
        <ns0:v>-24023.94187647384</ns0:v>
      </ns0:c>
      <ns0:c r="O1889" s="7" t="n">
        <ns0:v>-1079.255011962061</ns0:v>
      </ns0:c>
      <ns0:c r="P1889" s="7" t="n">
        <ns0:v>52352.42460238367</ns0:v>
      </ns0:c>
      <ns0:c r="Q1889" s="7" t="n">
        <ns0:v>224079.1430597665</ns0:v>
      </ns0:c>
      <ns0:c r="R1889" s="7" t="n">
        <ns0:v>902122.6576606063</ns0:v>
      </ns0:c>
    </ns0:row>
    <ns0:row r="1890" ht="24" customHeight="1">
      <ns0:c r="A1890" s="3" t="inlineStr">
        <ns0:is>
          <ns0:t>混在40/30/30</ns0:t>
        </ns0:is>
      </ns0:c>
      <ns0:c r="B1890" s="3" t="inlineStr">
        <ns0:is>
          <ns0:t>G3三段階</ns0:t>
        </ns0:is>
      </ns0:c>
      <ns0:c r="C1890" s="3" t="inlineStr">
        <ns0:is>
          <ns0:t>C</ns0:t>
        </ns0:is>
      </ns0:c>
      <ns0:c r="D1890" s="4" t="n">
        <ns0:v>0</ns0:v>
      </ns0:c>
      <ns0:c r="E1890" s="4" t="n">
        <ns0:v>1000</ns0:v>
      </ns0:c>
      <ns0:c r="F1890" s="6" t="n">
        <ns0:v>0.5</ns0:v>
      </ns0:c>
      <ns0:c r="G1890" s="4" t="n">
        <ns0:v>2</ns0:v>
      </ns0:c>
      <ns0:c r="H1890" s="7" t="n">
        <ns0:v>3760.203515644556</ns0:v>
      </ns0:c>
      <ns0:c r="I1890" s="7" t="n">
        <ns0:v>2052.588191489362</ns0:v>
      </ns0:c>
      <ns0:c r="J1890" s="7" t="n">
        <ns0:v>1026.294095744681</ns0:v>
      </ns0:c>
      <ns0:c r="K1890" s="18" t="inlineStr">
        <ns0:is>
          <ns0:t>範囲内なし</ns0:t>
        </ns0:is>
      </ns0:c>
      <ns0:c r="L1890" s="18" t="inlineStr">
        <ns0:is>
          <ns0:t>範囲内なし</ns0:t>
        </ns0:is>
      </ns0:c>
      <ns0:c r="M1890" s="7" t="n">
        <ns0:v>-55986.25999672842</ns0:v>
      </ns0:c>
      <ns0:c r="N1890" s="7" t="n">
        <ns0:v>-57436.91073756967</ns0:v>
      </ns0:c>
      <ns0:c r="O1890" s="7" t="n">
        <ns0:v>-56767.53644712178</ns0:v>
      </ns0:c>
      <ns0:c r="P1890" s="7" t="n">
        <ns0:v>-59024.13826793575</ns0:v>
      </ns0:c>
      <ns0:c r="Q1890" s="7" t="n">
        <ns0:v>-110050.5455511918</ns0:v>
      </ns0:c>
      <ns0:c r="R1890" s="7" t="n">
        <ns0:v>-211642.971042588</ns0:v>
      </ns0:c>
    </ns0:row>
    <ns0:row r="1891" ht="24" customHeight="1">
      <ns0:c r="A1891" s="3" t="inlineStr">
        <ns0:is>
          <ns0:t>混在40/30/30</ns0:t>
        </ns0:is>
      </ns0:c>
      <ns0:c r="B1891" s="3" t="inlineStr">
        <ns0:is>
          <ns0:t>G3三段階</ns0:t>
        </ns0:is>
      </ns0:c>
      <ns0:c r="C1891" s="3" t="inlineStr">
        <ns0:is>
          <ns0:t>C</ns0:t>
        </ns0:is>
      </ns0:c>
      <ns0:c r="D1891" s="4" t="n">
        <ns0:v>0</ns0:v>
      </ns0:c>
      <ns0:c r="E1891" s="4" t="n">
        <ns0:v>1000</ns0:v>
      </ns0:c>
      <ns0:c r="F1891" s="6" t="n">
        <ns0:v>0.5</ns0:v>
      </ns0:c>
      <ns0:c r="G1891" s="4" t="n">
        <ns0:v>3</ns0:v>
      </ns0:c>
      <ns0:c r="H1891" s="7" t="n">
        <ns0:v>3760.203515644556</ns0:v>
      </ns0:c>
      <ns0:c r="I1891" s="7" t="n">
        <ns0:v>2052.588191489362</ns0:v>
      </ns0:c>
      <ns0:c r="J1891" s="7" t="n">
        <ns0:v>1026.294095744681</ns0:v>
      </ns0:c>
      <ns0:c r="K1891" s="7" t="n">
        <ns0:v>174</ns0:v>
      </ns0:c>
      <ns0:c r="L1891" s="18" t="inlineStr">
        <ns0:is>
          <ns0:t>範囲内なし</ns0:t>
        </ns0:is>
      </ns0:c>
      <ns0:c r="M1891" s="7" t="n">
        <ns0:v>-49972.87468000303</ns0:v>
      </ns0:c>
      <ns0:c r="N1891" s="7" t="n">
        <ns0:v>-39396.75478739351</ns0:v>
      </ns0:c>
      <ns0:c r="O1891" s="7" t="n">
        <ns0:v>-26700.60986349484</ns0:v>
      </ns0:c>
      <ns0:c r="P1891" s="7" t="n">
        <ns0:v>1109.714899318118</ns0:v>
      </ns0:c>
      <ns0:c r="Q1891" s="7" t="n">
        <ns0:v>70351.01395056979</ns0:v>
      </ns0:c>
      <ns0:c r="R1891" s="7" t="n">
        <ns0:v>389695.5606299507</ns0:v>
      </ns0:c>
    </ns0:row>
    <ns0:row r="1892" ht="24" customHeight="1">
      <ns0:c r="A1892" s="3" t="inlineStr">
        <ns0:is>
          <ns0:t>混在40/30/30</ns0:t>
        </ns0:is>
      </ns0:c>
      <ns0:c r="B1892" s="3" t="inlineStr">
        <ns0:is>
          <ns0:t>G3三段階</ns0:t>
        </ns0:is>
      </ns0:c>
      <ns0:c r="C1892" s="3" t="inlineStr">
        <ns0:is>
          <ns0:t>C</ns0:t>
        </ns0:is>
      </ns0:c>
      <ns0:c r="D1892" s="4" t="n">
        <ns0:v>0</ns0:v>
      </ns0:c>
      <ns0:c r="E1892" s="4" t="n">
        <ns0:v>1500</ns0:v>
      </ns0:c>
      <ns0:c r="F1892" s="6" t="n">
        <ns0:v>0.3</ns0:v>
      </ns0:c>
      <ns0:c r="G1892" s="4" t="n">
        <ns0:v>0</ns0:v>
      </ns0:c>
      <ns0:c r="H1892" s="7" t="n">
        <ns0:v>3610.203515644555</ns0:v>
      </ns0:c>
      <ns0:c r="I1892" s="7" t="n">
        <ns0:v>1902.588191489362</ns0:v>
      </ns0:c>
      <ns0:c r="J1892" s="7" t="n">
        <ns0:v>570.7764574468085</ns0:v>
      </ns0:c>
      <ns0:c r="K1892" s="7" t="n">
        <ns0:v>35</ns0:v>
      </ns0:c>
      <ns0:c r="L1892" s="7" t="n">
        <ns0:v>83</ns0:v>
      </ns0:c>
      <ns0:c r="M1892" s="7" t="n">
        <ns0:v>-39519.88351485244</ns0:v>
      </ns0:c>
      <ns0:c r="N1892" s="7" t="n">
        <ns0:v>-8037.781291941727</ns0:v>
      </ns0:c>
      <ns0:c r="O1892" s="7" t="n">
        <ns0:v>25564.34596225811</ns0:v>
      </ns0:c>
      <ns0:c r="P1892" s="7" t="n">
        <ns0:v>105639.626550824</ns0:v>
      </ns0:c>
      <ns0:c r="Q1892" s="7" t="n">
        <ns0:v>383940.7489050877</ns0:v>
      </ns0:c>
      <ns0:c r="R1892" s="7" t="n">
        <ns0:v>1434994.67714501</ns0:v>
      </ns0:c>
    </ns0:row>
    <ns0:row r="1893" ht="24" customHeight="1">
      <ns0:c r="A1893" s="3" t="inlineStr">
        <ns0:is>
          <ns0:t>混在40/30/30</ns0:t>
        </ns0:is>
      </ns0:c>
      <ns0:c r="B1893" s="3" t="inlineStr">
        <ns0:is>
          <ns0:t>G3三段階</ns0:t>
        </ns0:is>
      </ns0:c>
      <ns0:c r="C1893" s="3" t="inlineStr">
        <ns0:is>
          <ns0:t>C</ns0:t>
        </ns0:is>
      </ns0:c>
      <ns0:c r="D1893" s="4" t="n">
        <ns0:v>0</ns0:v>
      </ns0:c>
      <ns0:c r="E1893" s="4" t="n">
        <ns0:v>1500</ns0:v>
      </ns0:c>
      <ns0:c r="F1893" s="6" t="n">
        <ns0:v>0.3</ns0:v>
      </ns0:c>
      <ns0:c r="G1893" s="4" t="n">
        <ns0:v>1</ns0:v>
      </ns0:c>
      <ns0:c r="H1893" s="7" t="n">
        <ns0:v>3610.203515644555</ns0:v>
      </ns0:c>
      <ns0:c r="I1893" s="7" t="n">
        <ns0:v>1902.588191489362</ns0:v>
      </ns0:c>
      <ns0:c r="J1893" s="7" t="n">
        <ns0:v>570.7764574468085</ns0:v>
      </ns0:c>
      <ns0:c r="K1893" s="7" t="n">
        <ns0:v>40</ns0:v>
      </ns0:c>
      <ns0:c r="L1893" s="7" t="n">
        <ns0:v>291</ns0:v>
      </ns0:c>
      <ns0:c r="M1893" s="7" t="n">
        <ns0:v>-41739.42732671775</ns0:v>
      </ns0:c>
      <ns0:c r="N1893" s="7" t="n">
        <ns0:v>-14696.41272753766</ns0:v>
      </ns0:c>
      <ns0:c r="O1893" s="7" t="n">
        <ns0:v>14466.62690293155</ns0:v>
      </ns0:c>
      <ns0:c r="P1893" s="7" t="n">
        <ns0:v>83444.18843217089</ns0:v>
      </ns0:c>
      <ns0:c r="Q1893" s="7" t="n">
        <ns0:v>317354.4345491283</ns0:v>
      </ns0:c>
      <ns0:c r="R1893" s="7" t="n">
        <ns0:v>1213040.295958479</ns0:v>
      </ns0:c>
    </ns0:row>
    <ns0:row r="1894" ht="24" customHeight="1">
      <ns0:c r="A1894" s="3" t="inlineStr">
        <ns0:is>
          <ns0:t>混在40/30/30</ns0:t>
        </ns0:is>
      </ns0:c>
      <ns0:c r="B1894" s="3" t="inlineStr">
        <ns0:is>
          <ns0:t>G3三段階</ns0:t>
        </ns0:is>
      </ns0:c>
      <ns0:c r="C1894" s="3" t="inlineStr">
        <ns0:is>
          <ns0:t>C</ns0:t>
        </ns0:is>
      </ns0:c>
      <ns0:c r="D1894" s="4" t="n">
        <ns0:v>0</ns0:v>
      </ns0:c>
      <ns0:c r="E1894" s="4" t="n">
        <ns0:v>1500</ns0:v>
      </ns0:c>
      <ns0:c r="F1894" s="6" t="n">
        <ns0:v>0.3</ns0:v>
      </ns0:c>
      <ns0:c r="G1894" s="4" t="n">
        <ns0:v>2</ns0:v>
      </ns0:c>
      <ns0:c r="H1894" s="7" t="n">
        <ns0:v>3610.203515644555</ns0:v>
      </ns0:c>
      <ns0:c r="I1894" s="7" t="n">
        <ns0:v>1902.588191489362</ns0:v>
      </ns0:c>
      <ns0:c r="J1894" s="7" t="n">
        <ns0:v>570.7764574468085</ns0:v>
      </ns0:c>
      <ns0:c r="K1894" s="7" t="n">
        <ns0:v>364</ns0:v>
      </ns0:c>
      <ns0:c r="L1894" s="18" t="inlineStr">
        <ns0:is>
          <ns0:t>範囲内なし</ns0:t>
        </ns0:is>
      </ns0:c>
      <ns0:c r="M1894" s="7" t="n">
        <ns0:v>-52877.0836137497</ns0:v>
      </ns0:c>
      <ns0:c r="N1894" s="7" t="n">
        <ns0:v>-48109.38158863349</ns0:v>
      </ns0:c>
      <ns0:c r="O1894" s="7" t="n">
        <ns0:v>-41221.65453222816</ns0:v>
      </ns0:c>
      <ns0:c r="P1894" s="7" t="n">
        <ns0:v>-27932.37443814852</ns0:v>
      </ns0:c>
      <ns0:c r="Q1894" s="7" t="n">
        <ns0:v>-16775.25406183</ns0:v>
      </ns0:c>
      <ns0:c r="R1894" s="7" t="n">
        <ns0:v>99274.6672552845</ns0:v>
      </ns0:c>
    </ns0:row>
    <ns0:row r="1895" ht="24" customHeight="1">
      <ns0:c r="A1895" s="3" t="inlineStr">
        <ns0:is>
          <ns0:t>混在40/30/30</ns0:t>
        </ns0:is>
      </ns0:c>
      <ns0:c r="B1895" s="3" t="inlineStr">
        <ns0:is>
          <ns0:t>G3三段階</ns0:t>
        </ns0:is>
      </ns0:c>
      <ns0:c r="C1895" s="3" t="inlineStr">
        <ns0:is>
          <ns0:t>C</ns0:t>
        </ns0:is>
      </ns0:c>
      <ns0:c r="D1895" s="4" t="n">
        <ns0:v>0</ns0:v>
      </ns0:c>
      <ns0:c r="E1895" s="4" t="n">
        <ns0:v>1500</ns0:v>
      </ns0:c>
      <ns0:c r="F1895" s="6" t="n">
        <ns0:v>0.3</ns0:v>
      </ns0:c>
      <ns0:c r="G1895" s="4" t="n">
        <ns0:v>3</ns0:v>
      </ns0:c>
      <ns0:c r="H1895" s="7" t="n">
        <ns0:v>3610.203515644555</ns0:v>
      </ns0:c>
      <ns0:c r="I1895" s="7" t="n">
        <ns0:v>1902.588191489362</ns0:v>
      </ns0:c>
      <ns0:c r="J1895" s="7" t="n">
        <ns0:v>570.7764574468085</ns0:v>
      </ns0:c>
      <ns0:c r="K1895" s="7" t="n">
        <ns0:v>63</ns0:v>
      </ns0:c>
      <ns0:c r="L1895" s="18" t="inlineStr">
        <ns0:is>
          <ns0:t>範囲内なし</ns0:t>
        </ns0:is>
      </ns0:c>
      <ns0:c r="M1895" s="7" t="n">
        <ns0:v>-46863.6982970243</ns0:v>
      </ns0:c>
      <ns0:c r="N1895" s="7" t="n">
        <ns0:v>-30069.22563845733</ns0:v>
      </ns0:c>
      <ns0:c r="O1895" s="7" t="n">
        <ns0:v>-11154.72794860123</ns0:v>
      </ns0:c>
      <ns0:c r="P1895" s="7" t="n">
        <ns0:v>32201.47872910534</ns0:v>
      </ns0:c>
      <ns0:c r="Q1895" s="7" t="n">
        <ns0:v>163626.3054399316</ns0:v>
      </ns0:c>
      <ns0:c r="R1895" s="7" t="n">
        <ns0:v>700613.1989278232</ns0:v>
      </ns0:c>
    </ns0:row>
    <ns0:row r="1896" ht="24" customHeight="1">
      <ns0:c r="A1896" s="3" t="inlineStr">
        <ns0:is>
          <ns0:t>混在40/30/30</ns0:t>
        </ns0:is>
      </ns0:c>
      <ns0:c r="B1896" s="3" t="inlineStr">
        <ns0:is>
          <ns0:t>G3三段階</ns0:t>
        </ns0:is>
      </ns0:c>
      <ns0:c r="C1896" s="3" t="inlineStr">
        <ns0:is>
          <ns0:t>C</ns0:t>
        </ns0:is>
      </ns0:c>
      <ns0:c r="D1896" s="4" t="n">
        <ns0:v>0</ns0:v>
      </ns0:c>
      <ns0:c r="E1896" s="4" t="n">
        <ns0:v>1500</ns0:v>
      </ns0:c>
      <ns0:c r="F1896" s="6" t="n">
        <ns0:v>0.4</ns0:v>
      </ns0:c>
      <ns0:c r="G1896" s="4" t="n">
        <ns0:v>0</ns0:v>
      </ns0:c>
      <ns0:c r="H1896" s="7" t="n">
        <ns0:v>3610.203515644555</ns0:v>
      </ns0:c>
      <ns0:c r="I1896" s="7" t="n">
        <ns0:v>1902.588191489362</ns0:v>
      </ns0:c>
      <ns0:c r="J1896" s="7" t="n">
        <ns0:v>761.0352765957447</ns0:v>
      </ns0:c>
      <ns0:c r="K1896" s="7" t="n">
        <ns0:v>39</ns0:v>
      </ns0:c>
      <ns0:c r="L1896" s="7" t="n">
        <ns0:v>94</ns0:v>
      </ns0:c>
      <ns0:c r="M1896" s="7" t="n">
        <ns0:v>-41422.4717063418</ns0:v>
      </ns0:c>
      <ns0:c r="N1896" s="7" t="n">
        <ns0:v>-13745.54586640981</ns0:v>
      </ns0:c>
      <ns0:c r="O1896" s="7" t="n">
        <ns0:v>16051.40500481131</ns0:v>
      </ns0:c>
      <ns0:c r="P1896" s="7" t="n">
        <ns0:v>86613.7446359304</ns0:v>
      </ns0:c>
      <ns0:c r="Q1896" s="7" t="n">
        <ns0:v>326863.1031604069</ns0:v>
      </ns0:c>
      <ns0:c r="R1896" s="7" t="n">
        <ns0:v>1244735.857996074</ns0:v>
      </ns0:c>
    </ns0:row>
    <ns0:row r="1897" ht="24" customHeight="1">
      <ns0:c r="A1897" s="3" t="inlineStr">
        <ns0:is>
          <ns0:t>混在40/30/30</ns0:t>
        </ns0:is>
      </ns0:c>
      <ns0:c r="B1897" s="3" t="inlineStr">
        <ns0:is>
          <ns0:t>G3三段階</ns0:t>
        </ns0:is>
      </ns0:c>
      <ns0:c r="C1897" s="3" t="inlineStr">
        <ns0:is>
          <ns0:t>C</ns0:t>
        </ns0:is>
      </ns0:c>
      <ns0:c r="D1897" s="4" t="n">
        <ns0:v>0</ns0:v>
      </ns0:c>
      <ns0:c r="E1897" s="4" t="n">
        <ns0:v>1500</ns0:v>
      </ns0:c>
      <ns0:c r="F1897" s="6" t="n">
        <ns0:v>0.4</ns0:v>
      </ns0:c>
      <ns0:c r="G1897" s="4" t="n">
        <ns0:v>1</ns0:v>
      </ns0:c>
      <ns0:c r="H1897" s="7" t="n">
        <ns0:v>3610.203515644555</ns0:v>
      </ns0:c>
      <ns0:c r="I1897" s="7" t="n">
        <ns0:v>1902.588191489362</ns0:v>
      </ns0:c>
      <ns0:c r="J1897" s="7" t="n">
        <ns0:v>761.0352765957447</ns0:v>
      </ns0:c>
      <ns0:c r="K1897" s="7" t="n">
        <ns0:v>46</ns0:v>
      </ns0:c>
      <ns0:c r="L1897" s="7" t="n">
        <ns0:v>388</ns0:v>
      </ns0:c>
      <ns0:c r="M1897" s="7" t="n">
        <ns0:v>-43642.01551820712</ns0:v>
      </ns0:c>
      <ns0:c r="N1897" s="7" t="n">
        <ns0:v>-20404.17730200575</ns0:v>
      </ns0:c>
      <ns0:c r="O1897" s="7" t="n">
        <ns0:v>4953.685945484744</ns0:v>
      </ns0:c>
      <ns0:c r="P1897" s="7" t="n">
        <ns0:v>64418.30651727728</ns0:v>
      </ns0:c>
      <ns0:c r="Q1897" s="7" t="n">
        <ns0:v>260276.7888044476</ns0:v>
      </ns0:c>
      <ns0:c r="R1897" s="7" t="n">
        <ns0:v>1022781.476809543</ns0:v>
      </ns0:c>
    </ns0:row>
    <ns0:row r="1898" ht="24" customHeight="1">
      <ns0:c r="A1898" s="3" t="inlineStr">
        <ns0:is>
          <ns0:t>混在40/30/30</ns0:t>
        </ns0:is>
      </ns0:c>
      <ns0:c r="B1898" s="3" t="inlineStr">
        <ns0:is>
          <ns0:t>G3三段階</ns0:t>
        </ns0:is>
      </ns0:c>
      <ns0:c r="C1898" s="3" t="inlineStr">
        <ns0:is>
          <ns0:t>C</ns0:t>
        </ns0:is>
      </ns0:c>
      <ns0:c r="D1898" s="4" t="n">
        <ns0:v>0</ns0:v>
      </ns0:c>
      <ns0:c r="E1898" s="4" t="n">
        <ns0:v>1500</ns0:v>
      </ns0:c>
      <ns0:c r="F1898" s="6" t="n">
        <ns0:v>0.4</ns0:v>
      </ns0:c>
      <ns0:c r="G1898" s="4" t="n">
        <ns0:v>2</ns0:v>
      </ns0:c>
      <ns0:c r="H1898" s="7" t="n">
        <ns0:v>3610.203515644555</ns0:v>
      </ns0:c>
      <ns0:c r="I1898" s="7" t="n">
        <ns0:v>1902.588191489362</ns0:v>
      </ns0:c>
      <ns0:c r="J1898" s="7" t="n">
        <ns0:v>761.0352765957447</ns0:v>
      </ns0:c>
      <ns0:c r="K1898" s="18" t="inlineStr">
        <ns0:is>
          <ns0:t>範囲内なし</ns0:t>
        </ns0:is>
      </ns0:c>
      <ns0:c r="L1898" s="18" t="inlineStr">
        <ns0:is>
          <ns0:t>範囲内なし</ns0:t>
        </ns0:is>
      </ns0:c>
      <ns0:c r="M1898" s="7" t="n">
        <ns0:v>-54779.67180523906</ns0:v>
      </ns0:c>
      <ns0:c r="N1898" s="7" t="n">
        <ns0:v>-53817.14616310158</ns0:v>
      </ns0:c>
      <ns0:c r="O1898" s="7" t="n">
        <ns0:v>-50734.59548967496</ns0:v>
      </ns0:c>
      <ns0:c r="P1898" s="7" t="n">
        <ns0:v>-46958.25635304215</ns0:v>
      </ns0:c>
      <ns0:c r="Q1898" s="7" t="n">
        <ns0:v>-73852.89980651077</ns0:v>
      </ns0:c>
      <ns0:c r="R1898" s="7" t="n">
        <ns0:v>-90984.15189365169</ns0:v>
      </ns0:c>
    </ns0:row>
    <ns0:row r="1899" ht="24" customHeight="1">
      <ns0:c r="A1899" s="3" t="inlineStr">
        <ns0:is>
          <ns0:t>混在40/30/30</ns0:t>
        </ns0:is>
      </ns0:c>
      <ns0:c r="B1899" s="3" t="inlineStr">
        <ns0:is>
          <ns0:t>G3三段階</ns0:t>
        </ns0:is>
      </ns0:c>
      <ns0:c r="C1899" s="3" t="inlineStr">
        <ns0:is>
          <ns0:t>C</ns0:t>
        </ns0:is>
      </ns0:c>
      <ns0:c r="D1899" s="4" t="n">
        <ns0:v>0</ns0:v>
      </ns0:c>
      <ns0:c r="E1899" s="4" t="n">
        <ns0:v>1500</ns0:v>
      </ns0:c>
      <ns0:c r="F1899" s="6" t="n">
        <ns0:v>0.4</ns0:v>
      </ns0:c>
      <ns0:c r="G1899" s="4" t="n">
        <ns0:v>3</ns0:v>
      </ns0:c>
      <ns0:c r="H1899" s="7" t="n">
        <ns0:v>3610.203515644555</ns0:v>
      </ns0:c>
      <ns0:c r="I1899" s="7" t="n">
        <ns0:v>1902.588191489362</ns0:v>
      </ns0:c>
      <ns0:c r="J1899" s="7" t="n">
        <ns0:v>761.0352765957447</ns0:v>
      </ns0:c>
      <ns0:c r="K1899" s="7" t="n">
        <ns0:v>81</ns0:v>
      </ns0:c>
      <ns0:c r="L1899" s="18" t="inlineStr">
        <ns0:is>
          <ns0:t>範囲内なし</ns0:t>
        </ns0:is>
      </ns0:c>
      <ns0:c r="M1899" s="7" t="n">
        <ns0:v>-48766.28648851367</ns0:v>
      </ns0:c>
      <ns0:c r="N1899" s="7" t="n">
        <ns0:v>-35776.99021292542</ns0:v>
      </ns0:c>
      <ns0:c r="O1899" s="7" t="n">
        <ns0:v>-20667.66890604804</ns0:v>
      </ns0:c>
      <ns0:c r="P1899" s="7" t="n">
        <ns0:v>13175.59681421172</ns0:v>
      </ns0:c>
      <ns0:c r="Q1899" s="7" t="n">
        <ns0:v>106548.6596952509</ns0:v>
      </ns0:c>
      <ns0:c r="R1899" s="7" t="n">
        <ns0:v>510354.379778887</ns0:v>
      </ns0:c>
    </ns0:row>
    <ns0:row r="1900" ht="24" customHeight="1">
      <ns0:c r="A1900" s="3" t="inlineStr">
        <ns0:is>
          <ns0:t>混在40/30/30</ns0:t>
        </ns0:is>
      </ns0:c>
      <ns0:c r="B1900" s="3" t="inlineStr">
        <ns0:is>
          <ns0:t>G3三段階</ns0:t>
        </ns0:is>
      </ns0:c>
      <ns0:c r="C1900" s="3" t="inlineStr">
        <ns0:is>
          <ns0:t>C</ns0:t>
        </ns0:is>
      </ns0:c>
      <ns0:c r="D1900" s="4" t="n">
        <ns0:v>0</ns0:v>
      </ns0:c>
      <ns0:c r="E1900" s="4" t="n">
        <ns0:v>1500</ns0:v>
      </ns0:c>
      <ns0:c r="F1900" s="6" t="n">
        <ns0:v>0.5</ns0:v>
      </ns0:c>
      <ns0:c r="G1900" s="4" t="n">
        <ns0:v>0</ns0:v>
      </ns0:c>
      <ns0:c r="H1900" s="7" t="n">
        <ns0:v>3610.203515644555</ns0:v>
      </ns0:c>
      <ns0:c r="I1900" s="7" t="n">
        <ns0:v>1902.588191489362</ns0:v>
      </ns0:c>
      <ns0:c r="J1900" s="7" t="n">
        <ns0:v>951.2940957446808</ns0:v>
      </ns0:c>
      <ns0:c r="K1900" s="7" t="n">
        <ns0:v>45</ns0:v>
      </ns0:c>
      <ns0:c r="L1900" s="7" t="n">
        <ns0:v>177</ns0:v>
      </ns0:c>
      <ns0:c r="M1900" s="7" t="n">
        <ns0:v>-43325.05989783116</ns0:v>
      </ns0:c>
      <ns0:c r="N1900" s="7" t="n">
        <ns0:v>-19453.31044087789</ns0:v>
      </ns0:c>
      <ns0:c r="O1900" s="7" t="n">
        <ns0:v>6538.464047364498</ns0:v>
      </ns0:c>
      <ns0:c r="P1900" s="7" t="n">
        <ns0:v>67587.8627210368</ns0:v>
      </ns0:c>
      <ns0:c r="Q1900" s="7" t="n">
        <ns0:v>269785.457415726</ns0:v>
      </ns0:c>
      <ns0:c r="R1900" s="7" t="n">
        <ns0:v>1054477.038847138</ns0:v>
      </ns0:c>
    </ns0:row>
    <ns0:row r="1901" ht="24" customHeight="1">
      <ns0:c r="A1901" s="3" t="inlineStr">
        <ns0:is>
          <ns0:t>混在40/30/30</ns0:t>
        </ns0:is>
      </ns0:c>
      <ns0:c r="B1901" s="3" t="inlineStr">
        <ns0:is>
          <ns0:t>G3三段階</ns0:t>
        </ns0:is>
      </ns0:c>
      <ns0:c r="C1901" s="3" t="inlineStr">
        <ns0:is>
          <ns0:t>C</ns0:t>
        </ns0:is>
      </ns0:c>
      <ns0:c r="D1901" s="4" t="n">
        <ns0:v>0</ns0:v>
      </ns0:c>
      <ns0:c r="E1901" s="4" t="n">
        <ns0:v>1500</ns0:v>
      </ns0:c>
      <ns0:c r="F1901" s="6" t="n">
        <ns0:v>0.5</ns0:v>
      </ns0:c>
      <ns0:c r="G1901" s="4" t="n">
        <ns0:v>1</ns0:v>
      </ns0:c>
      <ns0:c r="H1901" s="7" t="n">
        <ns0:v>3610.203515644555</ns0:v>
      </ns0:c>
      <ns0:c r="I1901" s="7" t="n">
        <ns0:v>1902.588191489362</ns0:v>
      </ns0:c>
      <ns0:c r="J1901" s="7" t="n">
        <ns0:v>951.2940957446808</ns0:v>
      </ns0:c>
      <ns0:c r="K1901" s="7" t="n">
        <ns0:v>55</ns0:v>
      </ns0:c>
      <ns0:c r="L1901" s="7" t="n">
        <ns0:v>889</ns0:v>
      </ns0:c>
      <ns0:c r="M1901" s="7" t="n">
        <ns0:v>-45544.60370969647</ns0:v>
      </ns0:c>
      <ns0:c r="N1901" s="7" t="n">
        <ns0:v>-26111.94187647383</ns0:v>
      </ns0:c>
      <ns0:c r="O1901" s="7" t="n">
        <ns0:v>-4559.255011962065</ns0:v>
      </ns0:c>
      <ns0:c r="P1901" s="7" t="n">
        <ns0:v>45392.42460238367</ns0:v>
      </ns0:c>
      <ns0:c r="Q1901" s="7" t="n">
        <ns0:v>203199.1430597666</ns0:v>
      </ns0:c>
      <ns0:c r="R1901" s="7" t="n">
        <ns0:v>832522.6576606063</ns0:v>
      </ns0:c>
    </ns0:row>
    <ns0:row r="1902" ht="24" customHeight="1">
      <ns0:c r="A1902" s="3" t="inlineStr">
        <ns0:is>
          <ns0:t>混在40/30/30</ns0:t>
        </ns0:is>
      </ns0:c>
      <ns0:c r="B1902" s="3" t="inlineStr">
        <ns0:is>
          <ns0:t>G3三段階</ns0:t>
        </ns0:is>
      </ns0:c>
      <ns0:c r="C1902" s="3" t="inlineStr">
        <ns0:is>
          <ns0:t>C</ns0:t>
        </ns0:is>
      </ns0:c>
      <ns0:c r="D1902" s="4" t="n">
        <ns0:v>0</ns0:v>
      </ns0:c>
      <ns0:c r="E1902" s="4" t="n">
        <ns0:v>1500</ns0:v>
      </ns0:c>
      <ns0:c r="F1902" s="6" t="n">
        <ns0:v>0.5</ns0:v>
      </ns0:c>
      <ns0:c r="G1902" s="4" t="n">
        <ns0:v>2</ns0:v>
      </ns0:c>
      <ns0:c r="H1902" s="7" t="n">
        <ns0:v>3610.203515644555</ns0:v>
      </ns0:c>
      <ns0:c r="I1902" s="7" t="n">
        <ns0:v>1902.588191489362</ns0:v>
      </ns0:c>
      <ns0:c r="J1902" s="7" t="n">
        <ns0:v>951.2940957446808</ns0:v>
      </ns0:c>
      <ns0:c r="K1902" s="18" t="inlineStr">
        <ns0:is>
          <ns0:t>範囲内なし</ns0:t>
        </ns0:is>
      </ns0:c>
      <ns0:c r="L1902" s="18" t="inlineStr">
        <ns0:is>
          <ns0:t>範囲内なし</ns0:t>
        </ns0:is>
      </ns0:c>
      <ns0:c r="M1902" s="7" t="n">
        <ns0:v>-56682.25999672842</ns0:v>
      </ns0:c>
      <ns0:c r="N1902" s="7" t="n">
        <ns0:v>-59524.91073756966</ns0:v>
      </ns0:c>
      <ns0:c r="O1902" s="7" t="n">
        <ns0:v>-60247.53644712178</ns0:v>
      </ns0:c>
      <ns0:c r="P1902" s="7" t="n">
        <ns0:v>-65984.13826793575</ns0:v>
      </ns0:c>
      <ns0:c r="Q1902" s="7" t="n">
        <ns0:v>-130930.5455511917</ns0:v>
      </ns0:c>
      <ns0:c r="R1902" s="7" t="n">
        <ns0:v>-281242.971042588</ns0:v>
      </ns0:c>
    </ns0:row>
    <ns0:row r="1903" ht="24" customHeight="1">
      <ns0:c r="A1903" s="3" t="inlineStr">
        <ns0:is>
          <ns0:t>混在40/30/30</ns0:t>
        </ns0:is>
      </ns0:c>
      <ns0:c r="B1903" s="3" t="inlineStr">
        <ns0:is>
          <ns0:t>G3三段階</ns0:t>
        </ns0:is>
      </ns0:c>
      <ns0:c r="C1903" s="3" t="inlineStr">
        <ns0:is>
          <ns0:t>C</ns0:t>
        </ns0:is>
      </ns0:c>
      <ns0:c r="D1903" s="4" t="n">
        <ns0:v>0</ns0:v>
      </ns0:c>
      <ns0:c r="E1903" s="4" t="n">
        <ns0:v>1500</ns0:v>
      </ns0:c>
      <ns0:c r="F1903" s="6" t="n">
        <ns0:v>0.5</ns0:v>
      </ns0:c>
      <ns0:c r="G1903" s="4" t="n">
        <ns0:v>3</ns0:v>
      </ns0:c>
      <ns0:c r="H1903" s="7" t="n">
        <ns0:v>3610.203515644555</ns0:v>
      </ns0:c>
      <ns0:c r="I1903" s="7" t="n">
        <ns0:v>1902.588191489362</ns0:v>
      </ns0:c>
      <ns0:c r="J1903" s="7" t="n">
        <ns0:v>951.2940957446808</ns0:v>
      </ns0:c>
      <ns0:c r="K1903" s="7" t="n">
        <ns0:v>199</ns0:v>
      </ns0:c>
      <ns0:c r="L1903" s="18" t="inlineStr">
        <ns0:is>
          <ns0:t>範囲内なし</ns0:t>
        </ns0:is>
      </ns0:c>
      <ns0:c r="M1903" s="7" t="n">
        <ns0:v>-50668.87468000303</ns0:v>
      </ns0:c>
      <ns0:c r="N1903" s="7" t="n">
        <ns0:v>-41484.7547873935</ns0:v>
      </ns0:c>
      <ns0:c r="O1903" s="7" t="n">
        <ns0:v>-30180.60986349484</ns0:v>
      </ns0:c>
      <ns0:c r="P1903" s="7" t="n">
        <ns0:v>-5850.285100681896</ns0:v>
      </ns0:c>
      <ns0:c r="Q1903" s="7" t="n">
        <ns0:v>49471.0139505699</ns0:v>
      </ns0:c>
      <ns0:c r="R1903" s="7" t="n">
        <ns0:v>320095.5606299507</ns0:v>
      </ns0:c>
    </ns0:row>
    <ns0:row r="1904" ht="24" customHeight="1">
      <ns0:c r="A1904" s="3" t="inlineStr">
        <ns0:is>
          <ns0:t>混在40/30/30</ns0:t>
        </ns0:is>
      </ns0:c>
      <ns0:c r="B1904" s="3" t="inlineStr">
        <ns0:is>
          <ns0:t>G3三段階</ns0:t>
        </ns0:is>
      </ns0:c>
      <ns0:c r="C1904" s="3" t="inlineStr">
        <ns0:is>
          <ns0:t>C</ns0:t>
        </ns0:is>
      </ns0:c>
      <ns0:c r="D1904" s="4" t="n">
        <ns0:v>1</ns0:v>
      </ns0:c>
      <ns0:c r="E1904" s="4" t="n">
        <ns0:v>500</ns0:v>
      </ns0:c>
      <ns0:c r="F1904" s="6" t="n">
        <ns0:v>0.3</ns0:v>
      </ns0:c>
      <ns0:c r="G1904" s="4" t="n">
        <ns0:v>0</ns0:v>
      </ns0:c>
      <ns0:c r="H1904" s="7" t="n">
        <ns0:v>5170.604138008478</ns0:v>
      </ns0:c>
      <ns0:c r="I1904" s="7" t="n">
        <ns0:v>2489.297043878611</ns0:v>
      </ns0:c>
      <ns0:c r="J1904" s="7" t="n">
        <ns0:v>746.7891131635831</ns0:v>
      </ns0:c>
      <ns0:c r="K1904" s="7" t="n">
        <ns0:v>22</ns0:v>
      </ns0:c>
      <ns0:c r="L1904" s="7" t="n">
        <ns0:v>36</ns0:v>
      </ns0:c>
      <ns0:c r="M1904" s="7" t="n">
        <ns0:v>-26613.13802597162</ns0:v>
      </ns0:c>
      <ns0:c r="N1904" s="7" t="n">
        <ns0:v>23392.95796799681</ns0:v>
      </ns0:c>
      <ns0:c r="O1904" s="7" t="n">
        <ns0:v>75328.88636419991</ns0:v>
      </ns0:c>
      <ns0:c r="P1904" s="7" t="n">
        <ns0:v>205168.7073547076</ns0:v>
      </ns0:c>
      <ns0:c r="Q1904" s="7" t="n">
        <ns0:v>682527.9913167385</ns0:v>
      </ns0:c>
      <ns0:c r="R1904" s="7" t="n">
        <ns0:v>2430285.485183847</ns0:v>
      </ns0:c>
    </ns0:row>
    <ns0:row r="1905" ht="24" customHeight="1">
      <ns0:c r="A1905" s="3" t="inlineStr">
        <ns0:is>
          <ns0:t>混在40/30/30</ns0:t>
        </ns0:is>
      </ns0:c>
      <ns0:c r="B1905" s="3" t="inlineStr">
        <ns0:is>
          <ns0:t>G3三段階</ns0:t>
        </ns0:is>
      </ns0:c>
      <ns0:c r="C1905" s="3" t="inlineStr">
        <ns0:is>
          <ns0:t>C</ns0:t>
        </ns0:is>
      </ns0:c>
      <ns0:c r="D1905" s="4" t="n">
        <ns0:v>1</ns0:v>
      </ns0:c>
      <ns0:c r="E1905" s="4" t="n">
        <ns0:v>500</ns0:v>
      </ns0:c>
      <ns0:c r="F1905" s="6" t="n">
        <ns0:v>0.3</ns0:v>
      </ns0:c>
      <ns0:c r="G1905" s="4" t="n">
        <ns0:v>1</ns0:v>
      </ns0:c>
      <ns0:c r="H1905" s="7" t="n">
        <ns0:v>5170.604138008478</ns0:v>
      </ns0:c>
      <ns0:c r="I1905" s="7" t="n">
        <ns0:v>2489.297043878611</ns0:v>
      </ns0:c>
      <ns0:c r="J1905" s="7" t="n">
        <ns0:v>746.7891131635831</ns0:v>
      </ns0:c>
      <ns0:c r="K1905" s="7" t="n">
        <ns0:v>24</ns0:v>
      </ns0:c>
      <ns0:c r="L1905" s="7" t="n">
        <ns0:v>49</ns0:v>
      </ns0:c>
      <ns0:c r="M1905" s="7" t="n">
        <ns0:v>-29182.35609393589</ns0:v>
      </ns0:c>
      <ns0:c r="N1905" s="7" t="n">
        <ns0:v>15685.303764104</ns0:v>
      </ns0:c>
      <ns0:c r="O1905" s="7" t="n">
        <ns0:v>62482.79602437855</ns0:v>
      </ns0:c>
      <ns0:c r="P1905" s="7" t="n">
        <ns0:v>179476.5266750649</ns0:v>
      </ns0:c>
      <ns0:c r="Q1905" s="7" t="n">
        <ns0:v>605451.4492778104</ns0:v>
      </ns0:c>
      <ns0:c r="R1905" s="7" t="n">
        <ns0:v>2173363.67838742</ns0:v>
      </ns0:c>
    </ns0:row>
    <ns0:row r="1906" ht="24" customHeight="1">
      <ns0:c r="A1906" s="3" t="inlineStr">
        <ns0:is>
          <ns0:t>混在40/30/30</ns0:t>
        </ns0:is>
      </ns0:c>
      <ns0:c r="B1906" s="3" t="inlineStr">
        <ns0:is>
          <ns0:t>G3三段階</ns0:t>
        </ns0:is>
      </ns0:c>
      <ns0:c r="C1906" s="3" t="inlineStr">
        <ns0:is>
          <ns0:t>C</ns0:t>
        </ns0:is>
      </ns0:c>
      <ns0:c r="D1906" s="4" t="n">
        <ns0:v>1</ns0:v>
      </ns0:c>
      <ns0:c r="E1906" s="4" t="n">
        <ns0:v>500</ns0:v>
      </ns0:c>
      <ns0:c r="F1906" s="6" t="n">
        <ns0:v>0.3</ns0:v>
      </ns0:c>
      <ns0:c r="G1906" s="4" t="n">
        <ns0:v>2</ns0:v>
      </ns0:c>
      <ns0:c r="H1906" s="7" t="n">
        <ns0:v>5170.604138008478</ns0:v>
      </ns0:c>
      <ns0:c r="I1906" s="7" t="n">
        <ns0:v>2489.297043878611</ns0:v>
      </ns0:c>
      <ns0:c r="J1906" s="7" t="n">
        <ns0:v>746.7891131635831</ns0:v>
      </ns0:c>
      <ns0:c r="K1906" s="7" t="n">
        <ns0:v>446</ns0:v>
      </ns0:c>
      <ns0:c r="L1906" s="18" t="inlineStr">
        <ns0:is>
          <ns0:t>範囲内なし</ns0:t>
        </ns0:is>
      </ns0:c>
      <ns0:c r="M1906" s="7" t="n">
        <ns0:v>-50414.19462527698</ns0:v>
      </ns0:c>
      <ns0:c r="N1906" s="7" t="n">
        <ns0:v>-48010.21182991926</ns0:v>
      </ns0:c>
      <ns0:c r="O1906" s="7" t="n">
        <ns0:v>-43676.39663232689</ns0:v>
      </ns0:c>
      <ns0:c r="P1906" s="7" t="n">
        <ns0:v>-32841.85863834599</ns0:v>
      </ns0:c>
      <ns0:c r="Q1906" s="7" t="n">
        <ns0:v>-31503.70666242228</ns0:v>
      </ns0:c>
      <ns0:c r="R1906" s="7" t="n">
        <ns0:v>50179.82525331131</ns0:v>
      </ns0:c>
    </ns0:row>
    <ns0:row r="1907" ht="24" customHeight="1">
      <ns0:c r="A1907" s="3" t="inlineStr">
        <ns0:is>
          <ns0:t>混在40/30/30</ns0:t>
        </ns0:is>
      </ns0:c>
      <ns0:c r="B1907" s="3" t="inlineStr">
        <ns0:is>
          <ns0:t>G3三段階</ns0:t>
        </ns0:is>
      </ns0:c>
      <ns0:c r="C1907" s="3" t="inlineStr">
        <ns0:is>
          <ns0:t>C</ns0:t>
        </ns0:is>
      </ns0:c>
      <ns0:c r="D1907" s="4" t="n">
        <ns0:v>1</ns0:v>
      </ns0:c>
      <ns0:c r="E1907" s="4" t="n">
        <ns0:v>500</ns0:v>
      </ns0:c>
      <ns0:c r="F1907" s="6" t="n">
        <ns0:v>0.3</ns0:v>
      </ns0:c>
      <ns0:c r="G1907" s="4" t="n">
        <ns0:v>3</ns0:v>
      </ns0:c>
      <ns0:c r="H1907" s="7" t="n">
        <ns0:v>5170.604138008478</ns0:v>
      </ns0:c>
      <ns0:c r="I1907" s="7" t="n">
        <ns0:v>2489.297043878611</ns0:v>
      </ns0:c>
      <ns0:c r="J1907" s="7" t="n">
        <ns0:v>746.7891131635831</ns0:v>
      </ns0:c>
      <ns0:c r="K1907" s="7" t="n">
        <ns0:v>31</ns0:v>
      </ns0:c>
      <ns0:c r="L1907" s="7" t="n">
        <ns0:v>395</ns0:v>
      </ns0:c>
      <ns0:c r="M1907" s="7" t="n">
        <ns0:v>-34823.10352218969</ns0:v>
      </ns0:c>
      <ns0:c r="N1907" s="7" t="n">
        <ns0:v>-1236.938520657404</ns0:v>
      </ns0:c>
      <ns0:c r="O1907" s="7" t="n">
        <ns0:v>34279.05888310954</ns0:v>
      </ns0:c>
      <ns0:c r="P1907" s="7" t="n">
        <ns0:v>123069.0523925269</ns0:v>
      </ns0:c>
      <ns0:c r="Q1907" s="7" t="n">
        <ns0:v>436229.0264301964</ns0:v>
      </ns0:c>
      <ns0:c r="R1907" s="7" t="n">
        <ns0:v>1609288.93556204</ns0:v>
      </ns0:c>
    </ns0:row>
    <ns0:row r="1908" ht="24" customHeight="1">
      <ns0:c r="A1908" s="3" t="inlineStr">
        <ns0:is>
          <ns0:t>混在40/30/30</ns0:t>
        </ns0:is>
      </ns0:c>
      <ns0:c r="B1908" s="3" t="inlineStr">
        <ns0:is>
          <ns0:t>G3三段階</ns0:t>
        </ns0:is>
      </ns0:c>
      <ns0:c r="C1908" s="3" t="inlineStr">
        <ns0:is>
          <ns0:t>C</ns0:t>
        </ns0:is>
      </ns0:c>
      <ns0:c r="D1908" s="4" t="n">
        <ns0:v>1</ns0:v>
      </ns0:c>
      <ns0:c r="E1908" s="4" t="n">
        <ns0:v>500</ns0:v>
      </ns0:c>
      <ns0:c r="F1908" s="6" t="n">
        <ns0:v>0.4</ns0:v>
      </ns0:c>
      <ns0:c r="G1908" s="4" t="n">
        <ns0:v>0</ns0:v>
      </ns0:c>
      <ns0:c r="H1908" s="7" t="n">
        <ns0:v>5170.604138008478</ns0:v>
      </ns0:c>
      <ns0:c r="I1908" s="7" t="n">
        <ns0:v>2489.297043878611</ns0:v>
      </ns0:c>
      <ns0:c r="J1908" s="7" t="n">
        <ns0:v>995.7188175514442</ns0:v>
      </ns0:c>
      <ns0:c r="K1908" s="7" t="n">
        <ns0:v>24</ns0:v>
      </ns0:c>
      <ns0:c r="L1908" s="7" t="n">
        <ns0:v>39</ns0:v>
      </ns0:c>
      <ns0:c r="M1908" s="7" t="n">
        <ns0:v>-29102.43506985023</ns0:v>
      </ns0:c>
      <ns0:c r="N1908" s="7" t="n">
        <ns0:v>15925.06683636099</ns0:v>
      </ns0:c>
      <ns0:c r="O1908" s="7" t="n">
        <ns0:v>62882.40114480686</ns0:v>
      </ns0:c>
      <ns0:c r="P1908" s="7" t="n">
        <ns0:v>180275.7369159215</ns0:v>
      </ns0:c>
      <ns0:c r="Q1908" s="7" t="n">
        <ns0:v>607849.0800003801</ns0:v>
      </ns0:c>
      <ns0:c r="R1908" s="7" t="n">
        <ns0:v>2181355.780795986</ns0:v>
      </ns0:c>
    </ns0:row>
    <ns0:row r="1909" ht="24" customHeight="1">
      <ns0:c r="A1909" s="3" t="inlineStr">
        <ns0:is>
          <ns0:t>混在40/30/30</ns0:t>
        </ns0:is>
      </ns0:c>
      <ns0:c r="B1909" s="3" t="inlineStr">
        <ns0:is>
          <ns0:t>G3三段階</ns0:t>
        </ns0:is>
      </ns0:c>
      <ns0:c r="C1909" s="3" t="inlineStr">
        <ns0:is>
          <ns0:t>C</ns0:t>
        </ns0:is>
      </ns0:c>
      <ns0:c r="D1909" s="4" t="n">
        <ns0:v>1</ns0:v>
      </ns0:c>
      <ns0:c r="E1909" s="4" t="n">
        <ns0:v>500</ns0:v>
      </ns0:c>
      <ns0:c r="F1909" s="6" t="n">
        <ns0:v>0.4</ns0:v>
      </ns0:c>
      <ns0:c r="G1909" s="4" t="n">
        <ns0:v>1</ns0:v>
      </ns0:c>
      <ns0:c r="H1909" s="7" t="n">
        <ns0:v>5170.604138008478</ns0:v>
      </ns0:c>
      <ns0:c r="I1909" s="7" t="n">
        <ns0:v>2489.297043878611</ns0:v>
      </ns0:c>
      <ns0:c r="J1909" s="7" t="n">
        <ns0:v>995.7188175514442</ns0:v>
      </ns0:c>
      <ns0:c r="K1909" s="7" t="n">
        <ns0:v>27</ns0:v>
      </ns0:c>
      <ns0:c r="L1909" s="7" t="n">
        <ns0:v>55</ns0:v>
      </ns0:c>
      <ns0:c r="M1909" s="7" t="n">
        <ns0:v>-31671.6531378145</ns0:v>
      </ns0:c>
      <ns0:c r="N1909" s="7" t="n">
        <ns0:v>8217.412632468175</ns0:v>
      </ns0:c>
      <ns0:c r="O1909" s="7" t="n">
        <ns0:v>50036.31080498549</ns0:v>
      </ns0:c>
      <ns0:c r="P1909" s="7" t="n">
        <ns0:v>154583.5562362788</ns0:v>
      </ns0:c>
      <ns0:c r="Q1909" s="7" t="n">
        <ns0:v>530772.5379614519</ns0:v>
      </ns0:c>
      <ns0:c r="R1909" s="7" t="n">
        <ns0:v>1924433.973999558</ns0:v>
      </ns0:c>
    </ns0:row>
    <ns0:row r="1910" ht="24" customHeight="1">
      <ns0:c r="A1910" s="3" t="inlineStr">
        <ns0:is>
          <ns0:t>混在40/30/30</ns0:t>
        </ns0:is>
      </ns0:c>
      <ns0:c r="B1910" s="3" t="inlineStr">
        <ns0:is>
          <ns0:t>G3三段階</ns0:t>
        </ns0:is>
      </ns0:c>
      <ns0:c r="C1910" s="3" t="inlineStr">
        <ns0:is>
          <ns0:t>C</ns0:t>
        </ns0:is>
      </ns0:c>
      <ns0:c r="D1910" s="4" t="n">
        <ns0:v>1</ns0:v>
      </ns0:c>
      <ns0:c r="E1910" s="4" t="n">
        <ns0:v>500</ns0:v>
      </ns0:c>
      <ns0:c r="F1910" s="6" t="n">
        <ns0:v>0.4</ns0:v>
      </ns0:c>
      <ns0:c r="G1910" s="4" t="n">
        <ns0:v>2</ns0:v>
      </ns0:c>
      <ns0:c r="H1910" s="7" t="n">
        <ns0:v>5170.604138008478</ns0:v>
      </ns0:c>
      <ns0:c r="I1910" s="7" t="n">
        <ns0:v>2489.297043878611</ns0:v>
      </ns0:c>
      <ns0:c r="J1910" s="7" t="n">
        <ns0:v>995.7188175514442</ns0:v>
      </ns0:c>
      <ns0:c r="K1910" s="18" t="inlineStr">
        <ns0:is>
          <ns0:t>範囲内なし</ns0:t>
        </ns0:is>
      </ns0:c>
      <ns0:c r="L1910" s="18" t="inlineStr">
        <ns0:is>
          <ns0:t>範囲内なし</ns0:t>
        </ns0:is>
      </ns0:c>
      <ns0:c r="M1910" s="7" t="n">
        <ns0:v>-52903.49166915558</ns0:v>
      </ns0:c>
      <ns0:c r="N1910" s="7" t="n">
        <ns0:v>-55478.1029615551</ns0:v>
      </ns0:c>
      <ns0:c r="O1910" s="7" t="n">
        <ns0:v>-56122.88185171996</ns0:v>
      </ns0:c>
      <ns0:c r="P1910" s="7" t="n">
        <ns0:v>-57734.82907713212</ns0:v>
      </ns0:c>
      <ns0:c r="Q1910" s="7" t="n">
        <ns0:v>-106182.6179787808</ns0:v>
      </ns0:c>
      <ns0:c r="R1910" s="7" t="n">
        <ns0:v>-198749.8791345502</ns0:v>
      </ns0:c>
    </ns0:row>
    <ns0:row r="1911" ht="24" customHeight="1">
      <ns0:c r="A1911" s="3" t="inlineStr">
        <ns0:is>
          <ns0:t>混在40/30/30</ns0:t>
        </ns0:is>
      </ns0:c>
      <ns0:c r="B1911" s="3" t="inlineStr">
        <ns0:is>
          <ns0:t>G3三段階</ns0:t>
        </ns0:is>
      </ns0:c>
      <ns0:c r="C1911" s="3" t="inlineStr">
        <ns0:is>
          <ns0:t>C</ns0:t>
        </ns0:is>
      </ns0:c>
      <ns0:c r="D1911" s="4" t="n">
        <ns0:v>1</ns0:v>
      </ns0:c>
      <ns0:c r="E1911" s="4" t="n">
        <ns0:v>500</ns0:v>
      </ns0:c>
      <ns0:c r="F1911" s="6" t="n">
        <ns0:v>0.4</ns0:v>
      </ns0:c>
      <ns0:c r="G1911" s="4" t="n">
        <ns0:v>3</ns0:v>
      </ns0:c>
      <ns0:c r="H1911" s="7" t="n">
        <ns0:v>5170.604138008478</ns0:v>
      </ns0:c>
      <ns0:c r="I1911" s="7" t="n">
        <ns0:v>2489.297043878611</ns0:v>
      </ns0:c>
      <ns0:c r="J1911" s="7" t="n">
        <ns0:v>995.7188175514442</ns0:v>
      </ns0:c>
      <ns0:c r="K1911" s="7" t="n">
        <ns0:v>36</ns0:v>
      </ns0:c>
      <ns0:c r="L1911" s="18" t="inlineStr">
        <ns0:is>
          <ns0:t>範囲内なし</ns0:t>
        </ns0:is>
      </ns0:c>
      <ns0:c r="M1911" s="7" t="n">
        <ns0:v>-37312.4005660683</ns0:v>
      </ns0:c>
      <ns0:c r="N1911" s="7" t="n">
        <ns0:v>-8704.829652293225</ns0:v>
      </ns0:c>
      <ns0:c r="O1911" s="7" t="n">
        <ns0:v>21832.5736637165</ns0:v>
      </ns0:c>
      <ns0:c r="P1911" s="7" t="n">
        <ns0:v>98176.0819537408</ns0:v>
      </ns0:c>
      <ns0:c r="Q1911" s="7" t="n">
        <ns0:v>361550.1151138379</ns0:v>
      </ns0:c>
      <ns0:c r="R1911" s="7" t="n">
        <ns0:v>1360359.231174178</ns0:v>
      </ns0:c>
    </ns0:row>
    <ns0:row r="1912" ht="24" customHeight="1">
      <ns0:c r="A1912" s="3" t="inlineStr">
        <ns0:is>
          <ns0:t>混在40/30/30</ns0:t>
        </ns0:is>
      </ns0:c>
      <ns0:c r="B1912" s="3" t="inlineStr">
        <ns0:is>
          <ns0:t>G3三段階</ns0:t>
        </ns0:is>
      </ns0:c>
      <ns0:c r="C1912" s="3" t="inlineStr">
        <ns0:is>
          <ns0:t>C</ns0:t>
        </ns0:is>
      </ns0:c>
      <ns0:c r="D1912" s="4" t="n">
        <ns0:v>1</ns0:v>
      </ns0:c>
      <ns0:c r="E1912" s="4" t="n">
        <ns0:v>500</ns0:v>
      </ns0:c>
      <ns0:c r="F1912" s="6" t="n">
        <ns0:v>0.5</ns0:v>
      </ns0:c>
      <ns0:c r="G1912" s="4" t="n">
        <ns0:v>0</ns0:v>
      </ns0:c>
      <ns0:c r="H1912" s="7" t="n">
        <ns0:v>5170.604138008478</ns0:v>
      </ns0:c>
      <ns0:c r="I1912" s="7" t="n">
        <ns0:v>2489.297043878611</ns0:v>
      </ns0:c>
      <ns0:c r="J1912" s="7" t="n">
        <ns0:v>1244.648521939305</ns0:v>
      </ns0:c>
      <ns0:c r="K1912" s="7" t="n">
        <ns0:v>26</ns0:v>
      </ns0:c>
      <ns0:c r="L1912" s="7" t="n">
        <ns0:v>43</ns0:v>
      </ns0:c>
      <ns0:c r="M1912" s="7" t="n">
        <ns0:v>-31591.73211372884</ns0:v>
      </ns0:c>
      <ns0:c r="N1912" s="7" t="n">
        <ns0:v>8457.175704725152</ns0:v>
      </ns0:c>
      <ns0:c r="O1912" s="7" t="n">
        <ns0:v>50435.9159254138</ns0:v>
      </ns0:c>
      <ns0:c r="P1912" s="7" t="n">
        <ns0:v>155382.7664771354</ns0:v>
      </ns0:c>
      <ns0:c r="Q1912" s="7" t="n">
        <ns0:v>533170.1686840218</ns0:v>
      </ns0:c>
      <ns0:c r="R1912" s="7" t="n">
        <ns0:v>1932426.076408125</ns0:v>
      </ns0:c>
    </ns0:row>
    <ns0:row r="1913" ht="24" customHeight="1">
      <ns0:c r="A1913" s="3" t="inlineStr">
        <ns0:is>
          <ns0:t>混在40/30/30</ns0:t>
        </ns0:is>
      </ns0:c>
      <ns0:c r="B1913" s="3" t="inlineStr">
        <ns0:is>
          <ns0:t>G3三段階</ns0:t>
        </ns0:is>
      </ns0:c>
      <ns0:c r="C1913" s="3" t="inlineStr">
        <ns0:is>
          <ns0:t>C</ns0:t>
        </ns0:is>
      </ns0:c>
      <ns0:c r="D1913" s="4" t="n">
        <ns0:v>1</ns0:v>
      </ns0:c>
      <ns0:c r="E1913" s="4" t="n">
        <ns0:v>500</ns0:v>
      </ns0:c>
      <ns0:c r="F1913" s="6" t="n">
        <ns0:v>0.5</ns0:v>
      </ns0:c>
      <ns0:c r="G1913" s="4" t="n">
        <ns0:v>1</ns0:v>
      </ns0:c>
      <ns0:c r="H1913" s="7" t="n">
        <ns0:v>5170.604138008478</ns0:v>
      </ns0:c>
      <ns0:c r="I1913" s="7" t="n">
        <ns0:v>2489.297043878611</ns0:v>
      </ns0:c>
      <ns0:c r="J1913" s="7" t="n">
        <ns0:v>1244.648521939305</ns0:v>
      </ns0:c>
      <ns0:c r="K1913" s="7" t="n">
        <ns0:v>30</ns0:v>
      </ns0:c>
      <ns0:c r="L1913" s="7" t="n">
        <ns0:v>62</ns0:v>
      </ns0:c>
      <ns0:c r="M1913" s="7" t="n">
        <ns0:v>-34160.95018169311</ns0:v>
      </ns0:c>
      <ns0:c r="N1913" s="7" t="n">
        <ns0:v>749.5215008323357</ns0:v>
      </ns0:c>
      <ns0:c r="O1913" s="7" t="n">
        <ns0:v>37589.82558559244</ns0:v>
      </ns0:c>
      <ns0:c r="P1913" s="7" t="n">
        <ns0:v>129690.5857974927</ns0:v>
      </ns0:c>
      <ns0:c r="Q1913" s="7" t="n">
        <ns0:v>456093.6266450937</ns0:v>
      </ns0:c>
      <ns0:c r="R1913" s="7" t="n">
        <ns0:v>1675504.269611697</ns0:v>
      </ns0:c>
    </ns0:row>
    <ns0:row r="1914" ht="24" customHeight="1">
      <ns0:c r="A1914" s="3" t="inlineStr">
        <ns0:is>
          <ns0:t>混在40/30/30</ns0:t>
        </ns0:is>
      </ns0:c>
      <ns0:c r="B1914" s="3" t="inlineStr">
        <ns0:is>
          <ns0:t>G3三段階</ns0:t>
        </ns0:is>
      </ns0:c>
      <ns0:c r="C1914" s="3" t="inlineStr">
        <ns0:is>
          <ns0:t>C</ns0:t>
        </ns0:is>
      </ns0:c>
      <ns0:c r="D1914" s="4" t="n">
        <ns0:v>1</ns0:v>
      </ns0:c>
      <ns0:c r="E1914" s="4" t="n">
        <ns0:v>500</ns0:v>
      </ns0:c>
      <ns0:c r="F1914" s="6" t="n">
        <ns0:v>0.5</ns0:v>
      </ns0:c>
      <ns0:c r="G1914" s="4" t="n">
        <ns0:v>2</ns0:v>
      </ns0:c>
      <ns0:c r="H1914" s="7" t="n">
        <ns0:v>5170.604138008478</ns0:v>
      </ns0:c>
      <ns0:c r="I1914" s="7" t="n">
        <ns0:v>2489.297043878611</ns0:v>
      </ns0:c>
      <ns0:c r="J1914" s="7" t="n">
        <ns0:v>1244.648521939305</ns0:v>
      </ns0:c>
      <ns0:c r="K1914" s="18" t="inlineStr">
        <ns0:is>
          <ns0:t>範囲内なし</ns0:t>
        </ns0:is>
      </ns0:c>
      <ns0:c r="L1914" s="18" t="inlineStr">
        <ns0:is>
          <ns0:t>範囲内なし</ns0:t>
        </ns0:is>
      </ns0:c>
      <ns0:c r="M1914" s="7" t="n">
        <ns0:v>-55392.7887130342</ns0:v>
      </ns0:c>
      <ns0:c r="N1914" s="7" t="n">
        <ns0:v>-62945.99409319093</ns0:v>
      </ns0:c>
      <ns0:c r="O1914" s="7" t="n">
        <ns0:v>-68569.367071113</ns0:v>
      </ns0:c>
      <ns0:c r="P1914" s="7" t="n">
        <ns0:v>-82627.7995159182</ns0:v>
      </ns0:c>
      <ns0:c r="Q1914" s="7" t="n">
        <ns0:v>-180861.529295139</ns0:v>
      </ns0:c>
      <ns0:c r="R1914" s="7" t="n">
        <ns0:v>-447679.5835224113</ns0:v>
      </ns0:c>
    </ns0:row>
    <ns0:row r="1915" ht="24" customHeight="1">
      <ns0:c r="A1915" s="3" t="inlineStr">
        <ns0:is>
          <ns0:t>混在40/30/30</ns0:t>
        </ns0:is>
      </ns0:c>
      <ns0:c r="B1915" s="3" t="inlineStr">
        <ns0:is>
          <ns0:t>G3三段階</ns0:t>
        </ns0:is>
      </ns0:c>
      <ns0:c r="C1915" s="3" t="inlineStr">
        <ns0:is>
          <ns0:t>C</ns0:t>
        </ns0:is>
      </ns0:c>
      <ns0:c r="D1915" s="4" t="n">
        <ns0:v>1</ns0:v>
      </ns0:c>
      <ns0:c r="E1915" s="4" t="n">
        <ns0:v>500</ns0:v>
      </ns0:c>
      <ns0:c r="F1915" s="6" t="n">
        <ns0:v>0.5</ns0:v>
      </ns0:c>
      <ns0:c r="G1915" s="4" t="n">
        <ns0:v>3</ns0:v>
      </ns0:c>
      <ns0:c r="H1915" s="7" t="n">
        <ns0:v>5170.604138008478</ns0:v>
      </ns0:c>
      <ns0:c r="I1915" s="7" t="n">
        <ns0:v>2489.297043878611</ns0:v>
      </ns0:c>
      <ns0:c r="J1915" s="7" t="n">
        <ns0:v>1244.648521939305</ns0:v>
      </ns0:c>
      <ns0:c r="K1915" s="7" t="n">
        <ns0:v>43</ns0:v>
      </ns0:c>
      <ns0:c r="L1915" s="18" t="inlineStr">
        <ns0:is>
          <ns0:t>範囲内なし</ns0:t>
        </ns0:is>
      </ns0:c>
      <ns0:c r="M1915" s="7" t="n">
        <ns0:v>-39801.69760994691</ns0:v>
      </ns0:c>
      <ns0:c r="N1915" s="7" t="n">
        <ns0:v>-16172.72078392906</ns0:v>
      </ns0:c>
      <ns0:c r="O1915" s="7" t="n">
        <ns0:v>9386.088444323446</ns0:v>
      </ns0:c>
      <ns0:c r="P1915" s="7" t="n">
        <ns0:v>73283.11151495468</ns0:v>
      </ns0:c>
      <ns0:c r="Q1915" s="7" t="n">
        <ns0:v>286871.2037974797</ns0:v>
      </ns0:c>
      <ns0:c r="R1915" s="7" t="n">
        <ns0:v>1111429.526786318</ns0:v>
      </ns0:c>
    </ns0:row>
    <ns0:row r="1916" ht="24" customHeight="1">
      <ns0:c r="A1916" s="3" t="inlineStr">
        <ns0:is>
          <ns0:t>混在40/30/30</ns0:t>
        </ns0:is>
      </ns0:c>
      <ns0:c r="B1916" s="3" t="inlineStr">
        <ns0:is>
          <ns0:t>G3三段階</ns0:t>
        </ns0:is>
      </ns0:c>
      <ns0:c r="C1916" s="3" t="inlineStr">
        <ns0:is>
          <ns0:t>C</ns0:t>
        </ns0:is>
      </ns0:c>
      <ns0:c r="D1916" s="4" t="n">
        <ns0:v>1</ns0:v>
      </ns0:c>
      <ns0:c r="E1916" s="4" t="n">
        <ns0:v>1000</ns0:v>
      </ns0:c>
      <ns0:c r="F1916" s="6" t="n">
        <ns0:v>0.3</ns0:v>
      </ns0:c>
      <ns0:c r="G1916" s="4" t="n">
        <ns0:v>0</ns0:v>
      </ns0:c>
      <ns0:c r="H1916" s="7" t="n">
        <ns0:v>5020.604138008478</ns0:v>
      </ns0:c>
      <ns0:c r="I1916" s="7" t="n">
        <ns0:v>2339.297043878611</ns0:v>
      </ns0:c>
      <ns0:c r="J1916" s="7" t="n">
        <ns0:v>701.7891131635831</ns0:v>
      </ns0:c>
      <ns0:c r="K1916" s="7" t="n">
        <ns0:v>23</ns0:v>
      </ns0:c>
      <ns0:c r="L1916" s="7" t="n">
        <ns0:v>38</ns0:v>
      </ns0:c>
      <ns0:c r="M1916" s="7" t="n">
        <ns0:v>-27609.13802597162</ns0:v>
      </ns0:c>
      <ns0:c r="N1916" s="7" t="n">
        <ns0:v>20404.95796799683</ns0:v>
      </ns0:c>
      <ns0:c r="O1916" s="7" t="n">
        <ns0:v>70348.88636419989</ns0:v>
      </ns0:c>
      <ns0:c r="P1916" s="7" t="n">
        <ns0:v>195208.7073547076</ns0:v>
      </ns0:c>
      <ns0:c r="Q1916" s="7" t="n">
        <ns0:v>652647.9913167384</ns0:v>
      </ns0:c>
      <ns0:c r="R1916" s="7" t="n">
        <ns0:v>2330685.485183847</ns0:v>
      </ns0:c>
    </ns0:row>
    <ns0:row r="1917" ht="24" customHeight="1">
      <ns0:c r="A1917" s="3" t="inlineStr">
        <ns0:is>
          <ns0:t>混在40/30/30</ns0:t>
        </ns0:is>
      </ns0:c>
      <ns0:c r="B1917" s="3" t="inlineStr">
        <ns0:is>
          <ns0:t>G3三段階</ns0:t>
        </ns0:is>
      </ns0:c>
      <ns0:c r="C1917" s="3" t="inlineStr">
        <ns0:is>
          <ns0:t>C</ns0:t>
        </ns0:is>
      </ns0:c>
      <ns0:c r="D1917" s="4" t="n">
        <ns0:v>1</ns0:v>
      </ns0:c>
      <ns0:c r="E1917" s="4" t="n">
        <ns0:v>1000</ns0:v>
      </ns0:c>
      <ns0:c r="F1917" s="6" t="n">
        <ns0:v>0.3</ns0:v>
      </ns0:c>
      <ns0:c r="G1917" s="4" t="n">
        <ns0:v>1</ns0:v>
      </ns0:c>
      <ns0:c r="H1917" s="7" t="n">
        <ns0:v>5020.604138008478</ns0:v>
      </ns0:c>
      <ns0:c r="I1917" s="7" t="n">
        <ns0:v>2339.297043878611</ns0:v>
      </ns0:c>
      <ns0:c r="J1917" s="7" t="n">
        <ns0:v>701.7891131635831</ns0:v>
      </ns0:c>
      <ns0:c r="K1917" s="7" t="n">
        <ns0:v>25</ns0:v>
      </ns0:c>
      <ns0:c r="L1917" s="7" t="n">
        <ns0:v>52</ns0:v>
      </ns0:c>
      <ns0:c r="M1917" s="7" t="n">
        <ns0:v>-30178.35609393589</ns0:v>
      </ns0:c>
      <ns0:c r="N1917" s="7" t="n">
        <ns0:v>12697.30376410402</ns0:v>
      </ns0:c>
      <ns0:c r="O1917" s="7" t="n">
        <ns0:v>57502.79602437853</ns0:v>
      </ns0:c>
      <ns0:c r="P1917" s="7" t="n">
        <ns0:v>169516.5266750649</ns0:v>
      </ns0:c>
      <ns0:c r="Q1917" s="7" t="n">
        <ns0:v>575571.4492778103</ns0:v>
      </ns0:c>
      <ns0:c r="R1917" s="7" t="n">
        <ns0:v>2073763.67838742</ns0:v>
      </ns0:c>
    </ns0:row>
    <ns0:row r="1918" ht="24" customHeight="1">
      <ns0:c r="A1918" s="3" t="inlineStr">
        <ns0:is>
          <ns0:t>混在40/30/30</ns0:t>
        </ns0:is>
      </ns0:c>
      <ns0:c r="B1918" s="3" t="inlineStr">
        <ns0:is>
          <ns0:t>G3三段階</ns0:t>
        </ns0:is>
      </ns0:c>
      <ns0:c r="C1918" s="3" t="inlineStr">
        <ns0:is>
          <ns0:t>C</ns0:t>
        </ns0:is>
      </ns0:c>
      <ns0:c r="D1918" s="4" t="n">
        <ns0:v>1</ns0:v>
      </ns0:c>
      <ns0:c r="E1918" s="4" t="n">
        <ns0:v>1000</ns0:v>
      </ns0:c>
      <ns0:c r="F1918" s="6" t="n">
        <ns0:v>0.3</ns0:v>
      </ns0:c>
      <ns0:c r="G1918" s="4" t="n">
        <ns0:v>2</ns0:v>
      </ns0:c>
      <ns0:c r="H1918" s="7" t="n">
        <ns0:v>5020.604138008478</ns0:v>
      </ns0:c>
      <ns0:c r="I1918" s="7" t="n">
        <ns0:v>2339.297043878611</ns0:v>
      </ns0:c>
      <ns0:c r="J1918" s="7" t="n">
        <ns0:v>701.7891131635831</ns0:v>
      </ns0:c>
      <ns0:c r="K1918" s="18" t="inlineStr">
        <ns0:is>
          <ns0:t>範囲内なし</ns0:t>
        </ns0:is>
      </ns0:c>
      <ns0:c r="L1918" s="18" t="inlineStr">
        <ns0:is>
          <ns0:t>範囲内なし</ns0:t>
        </ns0:is>
      </ns0:c>
      <ns0:c r="M1918" s="7" t="n">
        <ns0:v>-51410.19462527698</ns0:v>
      </ns0:c>
      <ns0:c r="N1918" s="7" t="n">
        <ns0:v>-50998.21182991924</ns0:v>
      </ns0:c>
      <ns0:c r="O1918" s="7" t="n">
        <ns0:v>-48656.39663232692</ns0:v>
      </ns0:c>
      <ns0:c r="P1918" s="7" t="n">
        <ns0:v>-42801.85863834602</ns0:v>
      </ns0:c>
      <ns0:c r="Q1918" s="7" t="n">
        <ns0:v>-61383.7066624224</ns0:v>
      </ns0:c>
      <ns0:c r="R1918" s="7" t="n">
        <ns0:v>-49420.17474668846</ns0:v>
      </ns0:c>
    </ns0:row>
    <ns0:row r="1919" ht="24" customHeight="1">
      <ns0:c r="A1919" s="3" t="inlineStr">
        <ns0:is>
          <ns0:t>混在40/30/30</ns0:t>
        </ns0:is>
      </ns0:c>
      <ns0:c r="B1919" s="3" t="inlineStr">
        <ns0:is>
          <ns0:t>G3三段階</ns0:t>
        </ns0:is>
      </ns0:c>
      <ns0:c r="C1919" s="3" t="inlineStr">
        <ns0:is>
          <ns0:t>C</ns0:t>
        </ns0:is>
      </ns0:c>
      <ns0:c r="D1919" s="4" t="n">
        <ns0:v>1</ns0:v>
      </ns0:c>
      <ns0:c r="E1919" s="4" t="n">
        <ns0:v>1000</ns0:v>
      </ns0:c>
      <ns0:c r="F1919" s="6" t="n">
        <ns0:v>0.3</ns0:v>
      </ns0:c>
      <ns0:c r="G1919" s="4" t="n">
        <ns0:v>3</ns0:v>
      </ns0:c>
      <ns0:c r="H1919" s="7" t="n">
        <ns0:v>5020.604138008478</ns0:v>
      </ns0:c>
      <ns0:c r="I1919" s="7" t="n">
        <ns0:v>2339.297043878611</ns0:v>
      </ns0:c>
      <ns0:c r="J1919" s="7" t="n">
        <ns0:v>701.7891131635831</ns0:v>
      </ns0:c>
      <ns0:c r="K1919" s="7" t="n">
        <ns0:v>33</ns0:v>
      </ns0:c>
      <ns0:c r="L1919" s="7" t="n">
        <ns0:v>510</ns0:v>
      </ns0:c>
      <ns0:c r="M1919" s="7" t="n">
        <ns0:v>-35819.10352218969</ns0:v>
      </ns0:c>
      <ns0:c r="N1919" s="7" t="n">
        <ns0:v>-4224.938520657382</ns0:v>
      </ns0:c>
      <ns0:c r="O1919" s="7" t="n">
        <ns0:v>29299.05888310953</ns0:v>
      </ns0:c>
      <ns0:c r="P1919" s="7" t="n">
        <ns0:v>113109.0523925269</ns0:v>
      </ns0:c>
      <ns0:c r="Q1919" s="7" t="n">
        <ns0:v>406349.0264301962</ns0:v>
      </ns0:c>
      <ns0:c r="R1919" s="7" t="n">
        <ns0:v>1509688.93556204</ns0:v>
      </ns0:c>
    </ns0:row>
    <ns0:row r="1920" ht="24" customHeight="1">
      <ns0:c r="A1920" s="3" t="inlineStr">
        <ns0:is>
          <ns0:t>混在40/30/30</ns0:t>
        </ns0:is>
      </ns0:c>
      <ns0:c r="B1920" s="3" t="inlineStr">
        <ns0:is>
          <ns0:t>G3三段階</ns0:t>
        </ns0:is>
      </ns0:c>
      <ns0:c r="C1920" s="3" t="inlineStr">
        <ns0:is>
          <ns0:t>C</ns0:t>
        </ns0:is>
      </ns0:c>
      <ns0:c r="D1920" s="4" t="n">
        <ns0:v>1</ns0:v>
      </ns0:c>
      <ns0:c r="E1920" s="4" t="n">
        <ns0:v>1000</ns0:v>
      </ns0:c>
      <ns0:c r="F1920" s="6" t="n">
        <ns0:v>0.4</ns0:v>
      </ns0:c>
      <ns0:c r="G1920" s="4" t="n">
        <ns0:v>0</ns0:v>
      </ns0:c>
      <ns0:c r="H1920" s="7" t="n">
        <ns0:v>5020.604138008478</ns0:v>
      </ns0:c>
      <ns0:c r="I1920" s="7" t="n">
        <ns0:v>2339.297043878611</ns0:v>
      </ns0:c>
      <ns0:c r="J1920" s="7" t="n">
        <ns0:v>935.7188175514443</ns0:v>
      </ns0:c>
      <ns0:c r="K1920" s="7" t="n">
        <ns0:v>25</ns0:v>
      </ns0:c>
      <ns0:c r="L1920" s="7" t="n">
        <ns0:v>40</ns0:v>
      </ns0:c>
      <ns0:c r="M1920" s="7" t="n">
        <ns0:v>-29948.43506985023</ns0:v>
      </ns0:c>
      <ns0:c r="N1920" s="7" t="n">
        <ns0:v>13387.066836361</ns0:v>
      </ns0:c>
      <ns0:c r="O1920" s="7" t="n">
        <ns0:v>58652.40114480683</ns0:v>
      </ns0:c>
      <ns0:c r="P1920" s="7" t="n">
        <ns0:v>171815.7369159215</ns0:v>
      </ns0:c>
      <ns0:c r="Q1920" s="7" t="n">
        <ns0:v>582469.0800003801</ns0:v>
      </ns0:c>
      <ns0:c r="R1920" s="7" t="n">
        <ns0:v>2096755.780795986</ns0:v>
      </ns0:c>
    </ns0:row>
    <ns0:row r="1921" ht="24" customHeight="1">
      <ns0:c r="A1921" s="3" t="inlineStr">
        <ns0:is>
          <ns0:t>混在40/30/30</ns0:t>
        </ns0:is>
      </ns0:c>
      <ns0:c r="B1921" s="3" t="inlineStr">
        <ns0:is>
          <ns0:t>G3三段階</ns0:t>
        </ns0:is>
      </ns0:c>
      <ns0:c r="C1921" s="3" t="inlineStr">
        <ns0:is>
          <ns0:t>C</ns0:t>
        </ns0:is>
      </ns0:c>
      <ns0:c r="D1921" s="4" t="n">
        <ns0:v>1</ns0:v>
      </ns0:c>
      <ns0:c r="E1921" s="4" t="n">
        <ns0:v>1000</ns0:v>
      </ns0:c>
      <ns0:c r="F1921" s="6" t="n">
        <ns0:v>0.4</ns0:v>
      </ns0:c>
      <ns0:c r="G1921" s="4" t="n">
        <ns0:v>1</ns0:v>
      </ns0:c>
      <ns0:c r="H1921" s="7" t="n">
        <ns0:v>5020.604138008478</ns0:v>
      </ns0:c>
      <ns0:c r="I1921" s="7" t="n">
        <ns0:v>2339.297043878611</ns0:v>
      </ns0:c>
      <ns0:c r="J1921" s="7" t="n">
        <ns0:v>935.7188175514443</ns0:v>
      </ns0:c>
      <ns0:c r="K1921" s="7" t="n">
        <ns0:v>28</ns0:v>
      </ns0:c>
      <ns0:c r="L1921" s="7" t="n">
        <ns0:v>57</ns0:v>
      </ns0:c>
      <ns0:c r="M1921" s="7" t="n">
        <ns0:v>-32517.6531378145</ns0:v>
      </ns0:c>
      <ns0:c r="N1921" s="7" t="n">
        <ns0:v>5679.412632468182</ns0:v>
      </ns0:c>
      <ns0:c r="O1921" s="7" t="n">
        <ns0:v>45806.31080498548</ns0:v>
      </ns0:c>
      <ns0:c r="P1921" s="7" t="n">
        <ns0:v>146123.5562362787</ns0:v>
      </ns0:c>
      <ns0:c r="Q1921" s="7" t="n">
        <ns0:v>505392.5379614519</ns0:v>
      </ns0:c>
      <ns0:c r="R1921" s="7" t="n">
        <ns0:v>1839833.973999559</ns0:v>
      </ns0:c>
    </ns0:row>
    <ns0:row r="1922" ht="24" customHeight="1">
      <ns0:c r="A1922" s="3" t="inlineStr">
        <ns0:is>
          <ns0:t>混在40/30/30</ns0:t>
        </ns0:is>
      </ns0:c>
      <ns0:c r="B1922" s="3" t="inlineStr">
        <ns0:is>
          <ns0:t>G3三段階</ns0:t>
        </ns0:is>
      </ns0:c>
      <ns0:c r="C1922" s="3" t="inlineStr">
        <ns0:is>
          <ns0:t>C</ns0:t>
        </ns0:is>
      </ns0:c>
      <ns0:c r="D1922" s="4" t="n">
        <ns0:v>1</ns0:v>
      </ns0:c>
      <ns0:c r="E1922" s="4" t="n">
        <ns0:v>1000</ns0:v>
      </ns0:c>
      <ns0:c r="F1922" s="6" t="n">
        <ns0:v>0.4</ns0:v>
      </ns0:c>
      <ns0:c r="G1922" s="4" t="n">
        <ns0:v>2</ns0:v>
      </ns0:c>
      <ns0:c r="H1922" s="7" t="n">
        <ns0:v>5020.604138008478</ns0:v>
      </ns0:c>
      <ns0:c r="I1922" s="7" t="n">
        <ns0:v>2339.297043878611</ns0:v>
      </ns0:c>
      <ns0:c r="J1922" s="7" t="n">
        <ns0:v>935.7188175514443</ns0:v>
      </ns0:c>
      <ns0:c r="K1922" s="18" t="inlineStr">
        <ns0:is>
          <ns0:t>範囲内なし</ns0:t>
        </ns0:is>
      </ns0:c>
      <ns0:c r="L1922" s="18" t="inlineStr">
        <ns0:is>
          <ns0:t>範囲内なし</ns0:t>
        </ns0:is>
      </ns0:c>
      <ns0:c r="M1922" s="7" t="n">
        <ns0:v>-53749.49166915559</ns0:v>
      </ns0:c>
      <ns0:c r="N1922" s="7" t="n">
        <ns0:v>-58016.10296155507</ns0:v>
      </ns0:c>
      <ns0:c r="O1922" s="7" t="n">
        <ns0:v>-60352.88185171996</ns0:v>
      </ns0:c>
      <ns0:c r="P1922" s="7" t="n">
        <ns0:v>-66194.82907713215</ns0:v>
      </ns0:c>
      <ns0:c r="Q1922" s="7" t="n">
        <ns0:v>-131562.6179787808</ns0:v>
      </ns0:c>
      <ns0:c r="R1922" s="7" t="n">
        <ns0:v>-283349.87913455</ns0:v>
      </ns0:c>
    </ns0:row>
    <ns0:row r="1923" ht="24" customHeight="1">
      <ns0:c r="A1923" s="3" t="inlineStr">
        <ns0:is>
          <ns0:t>混在40/30/30</ns0:t>
        </ns0:is>
      </ns0:c>
      <ns0:c r="B1923" s="3" t="inlineStr">
        <ns0:is>
          <ns0:t>G3三段階</ns0:t>
        </ns0:is>
      </ns0:c>
      <ns0:c r="C1923" s="3" t="inlineStr">
        <ns0:is>
          <ns0:t>C</ns0:t>
        </ns0:is>
      </ns0:c>
      <ns0:c r="D1923" s="4" t="n">
        <ns0:v>1</ns0:v>
      </ns0:c>
      <ns0:c r="E1923" s="4" t="n">
        <ns0:v>1000</ns0:v>
      </ns0:c>
      <ns0:c r="F1923" s="6" t="n">
        <ns0:v>0.4</ns0:v>
      </ns0:c>
      <ns0:c r="G1923" s="4" t="n">
        <ns0:v>3</ns0:v>
      </ns0:c>
      <ns0:c r="H1923" s="7" t="n">
        <ns0:v>5020.604138008478</ns0:v>
      </ns0:c>
      <ns0:c r="I1923" s="7" t="n">
        <ns0:v>2339.297043878611</ns0:v>
      </ns0:c>
      <ns0:c r="J1923" s="7" t="n">
        <ns0:v>935.7188175514443</ns0:v>
      </ns0:c>
      <ns0:c r="K1923" s="7" t="n">
        <ns0:v>38</ns0:v>
      </ns0:c>
      <ns0:c r="L1923" s="18" t="inlineStr">
        <ns0:is>
          <ns0:t>範囲内なし</ns0:t>
        </ns0:is>
      </ns0:c>
      <ns0:c r="M1923" s="7" t="n">
        <ns0:v>-38158.4005660683</ns0:v>
      </ns0:c>
      <ns0:c r="N1923" s="7" t="n">
        <ns0:v>-11242.82965229321</ns0:v>
      </ns0:c>
      <ns0:c r="O1923" s="7" t="n">
        <ns0:v>17602.57366371647</ns0:v>
      </ns0:c>
      <ns0:c r="P1923" s="7" t="n">
        <ns0:v>89716.08195374074</ns0:v>
      </ns0:c>
      <ns0:c r="Q1923" s="7" t="n">
        <ns0:v>336170.1151138379</ns0:v>
      </ns0:c>
      <ns0:c r="R1923" s="7" t="n">
        <ns0:v>1275759.231174179</ns0:v>
      </ns0:c>
    </ns0:row>
    <ns0:row r="1924" ht="24" customHeight="1">
      <ns0:c r="A1924" s="3" t="inlineStr">
        <ns0:is>
          <ns0:t>混在40/30/30</ns0:t>
        </ns0:is>
      </ns0:c>
      <ns0:c r="B1924" s="3" t="inlineStr">
        <ns0:is>
          <ns0:t>G3三段階</ns0:t>
        </ns0:is>
      </ns0:c>
      <ns0:c r="C1924" s="3" t="inlineStr">
        <ns0:is>
          <ns0:t>C</ns0:t>
        </ns0:is>
      </ns0:c>
      <ns0:c r="D1924" s="4" t="n">
        <ns0:v>1</ns0:v>
      </ns0:c>
      <ns0:c r="E1924" s="4" t="n">
        <ns0:v>1000</ns0:v>
      </ns0:c>
      <ns0:c r="F1924" s="6" t="n">
        <ns0:v>0.5</ns0:v>
      </ns0:c>
      <ns0:c r="G1924" s="4" t="n">
        <ns0:v>0</ns0:v>
      </ns0:c>
      <ns0:c r="H1924" s="7" t="n">
        <ns0:v>5020.604138008478</ns0:v>
      </ns0:c>
      <ns0:c r="I1924" s="7" t="n">
        <ns0:v>2339.297043878611</ns0:v>
      </ns0:c>
      <ns0:c r="J1924" s="7" t="n">
        <ns0:v>1169.648521939305</ns0:v>
      </ns0:c>
      <ns0:c r="K1924" s="7" t="n">
        <ns0:v>27</ns0:v>
      </ns0:c>
      <ns0:c r="L1924" s="7" t="n">
        <ns0:v>44</ns0:v>
      </ns0:c>
      <ns0:c r="M1924" s="7" t="n">
        <ns0:v>-32287.73211372884</ns0:v>
      </ns0:c>
      <ns0:c r="N1924" s="7" t="n">
        <ns0:v>6369.175704725163</ns0:v>
      </ns0:c>
      <ns0:c r="O1924" s="7" t="n">
        <ns0:v>46955.91592541381</ns0:v>
      </ns0:c>
      <ns0:c r="P1924" s="7" t="n">
        <ns0:v>148422.7664771354</ns0:v>
      </ns0:c>
      <ns0:c r="Q1924" s="7" t="n">
        <ns0:v>512290.1686840218</ns0:v>
      </ns0:c>
      <ns0:c r="R1924" s="7" t="n">
        <ns0:v>1862826.076408125</ns0:v>
      </ns0:c>
    </ns0:row>
    <ns0:row r="1925" ht="24" customHeight="1">
      <ns0:c r="A1925" s="3" t="inlineStr">
        <ns0:is>
          <ns0:t>混在40/30/30</ns0:t>
        </ns0:is>
      </ns0:c>
      <ns0:c r="B1925" s="3" t="inlineStr">
        <ns0:is>
          <ns0:t>G3三段階</ns0:t>
        </ns0:is>
      </ns0:c>
      <ns0:c r="C1925" s="3" t="inlineStr">
        <ns0:is>
          <ns0:t>C</ns0:t>
        </ns0:is>
      </ns0:c>
      <ns0:c r="D1925" s="4" t="n">
        <ns0:v>1</ns0:v>
      </ns0:c>
      <ns0:c r="E1925" s="4" t="n">
        <ns0:v>1000</ns0:v>
      </ns0:c>
      <ns0:c r="F1925" s="6" t="n">
        <ns0:v>0.5</ns0:v>
      </ns0:c>
      <ns0:c r="G1925" s="4" t="n">
        <ns0:v>1</ns0:v>
      </ns0:c>
      <ns0:c r="H1925" s="7" t="n">
        <ns0:v>5020.604138008478</ns0:v>
      </ns0:c>
      <ns0:c r="I1925" s="7" t="n">
        <ns0:v>2339.297043878611</ns0:v>
      </ns0:c>
      <ns0:c r="J1925" s="7" t="n">
        <ns0:v>1169.648521939305</ns0:v>
      </ns0:c>
      <ns0:c r="K1925" s="7" t="n">
        <ns0:v>31</ns0:v>
      </ns0:c>
      <ns0:c r="L1925" s="7" t="n">
        <ns0:v>64</ns0:v>
      </ns0:c>
      <ns0:c r="M1925" s="7" t="n">
        <ns0:v>-34856.95018169312</ns0:v>
      </ns0:c>
      <ns0:c r="N1925" s="7" t="n">
        <ns0:v>-1338.478499167653</ns0:v>
      </ns0:c>
      <ns0:c r="O1925" s="7" t="n">
        <ns0:v>34109.82558559245</ns0:v>
      </ns0:c>
      <ns0:c r="P1925" s="7" t="n">
        <ns0:v>122730.5857974927</ns0:v>
      </ns0:c>
      <ns0:c r="Q1925" s="7" t="n">
        <ns0:v>435213.6266450937</ns0:v>
      </ns0:c>
      <ns0:c r="R1925" s="7" t="n">
        <ns0:v>1605904.269611698</ns0:v>
      </ns0:c>
    </ns0:row>
    <ns0:row r="1926" ht="24" customHeight="1">
      <ns0:c r="A1926" s="3" t="inlineStr">
        <ns0:is>
          <ns0:t>混在40/30/30</ns0:t>
        </ns0:is>
      </ns0:c>
      <ns0:c r="B1926" s="3" t="inlineStr">
        <ns0:is>
          <ns0:t>G3三段階</ns0:t>
        </ns0:is>
      </ns0:c>
      <ns0:c r="C1926" s="3" t="inlineStr">
        <ns0:is>
          <ns0:t>C</ns0:t>
        </ns0:is>
      </ns0:c>
      <ns0:c r="D1926" s="4" t="n">
        <ns0:v>1</ns0:v>
      </ns0:c>
      <ns0:c r="E1926" s="4" t="n">
        <ns0:v>1000</ns0:v>
      </ns0:c>
      <ns0:c r="F1926" s="6" t="n">
        <ns0:v>0.5</ns0:v>
      </ns0:c>
      <ns0:c r="G1926" s="4" t="n">
        <ns0:v>2</ns0:v>
      </ns0:c>
      <ns0:c r="H1926" s="7" t="n">
        <ns0:v>5020.604138008478</ns0:v>
      </ns0:c>
      <ns0:c r="I1926" s="7" t="n">
        <ns0:v>2339.297043878611</ns0:v>
      </ns0:c>
      <ns0:c r="J1926" s="7" t="n">
        <ns0:v>1169.648521939305</ns0:v>
      </ns0:c>
      <ns0:c r="K1926" s="18" t="inlineStr">
        <ns0:is>
          <ns0:t>範囲内なし</ns0:t>
        </ns0:is>
      </ns0:c>
      <ns0:c r="L1926" s="18" t="inlineStr">
        <ns0:is>
          <ns0:t>範囲内なし</ns0:t>
        </ns0:is>
      </ns0:c>
      <ns0:c r="M1926" s="7" t="n">
        <ns0:v>-56088.78871303421</ns0:v>
      </ns0:c>
      <ns0:c r="N1926" s="7" t="n">
        <ns0:v>-65033.99409319093</ns0:v>
      </ns0:c>
      <ns0:c r="O1926" s="7" t="n">
        <ns0:v>-72049.367071113</ns0:v>
      </ns0:c>
      <ns0:c r="P1926" s="7" t="n">
        <ns0:v>-89587.7995159182</ns0:v>
      </ns0:c>
      <ns0:c r="Q1926" s="7" t="n">
        <ns0:v>-201741.529295139</ns0:v>
      </ns0:c>
      <ns0:c r="R1926" s="7" t="n">
        <ns0:v>-517279.5835224111</ns0:v>
      </ns0:c>
    </ns0:row>
    <ns0:row r="1927" ht="24" customHeight="1">
      <ns0:c r="A1927" s="3" t="inlineStr">
        <ns0:is>
          <ns0:t>混在40/30/30</ns0:t>
        </ns0:is>
      </ns0:c>
      <ns0:c r="B1927" s="3" t="inlineStr">
        <ns0:is>
          <ns0:t>G3三段階</ns0:t>
        </ns0:is>
      </ns0:c>
      <ns0:c r="C1927" s="3" t="inlineStr">
        <ns0:is>
          <ns0:t>C</ns0:t>
        </ns0:is>
      </ns0:c>
      <ns0:c r="D1927" s="4" t="n">
        <ns0:v>1</ns0:v>
      </ns0:c>
      <ns0:c r="E1927" s="4" t="n">
        <ns0:v>1000</ns0:v>
      </ns0:c>
      <ns0:c r="F1927" s="6" t="n">
        <ns0:v>0.5</ns0:v>
      </ns0:c>
      <ns0:c r="G1927" s="4" t="n">
        <ns0:v>3</ns0:v>
      </ns0:c>
      <ns0:c r="H1927" s="7" t="n">
        <ns0:v>5020.604138008478</ns0:v>
      </ns0:c>
      <ns0:c r="I1927" s="7" t="n">
        <ns0:v>2339.297043878611</ns0:v>
      </ns0:c>
      <ns0:c r="J1927" s="7" t="n">
        <ns0:v>1169.648521939305</ns0:v>
      </ns0:c>
      <ns0:c r="K1927" s="7" t="n">
        <ns0:v>46</ns0:v>
      </ns0:c>
      <ns0:c r="L1927" s="18" t="inlineStr">
        <ns0:is>
          <ns0:t>範囲内なし</ns0:t>
        </ns0:is>
      </ns0:c>
      <ns0:c r="M1927" s="7" t="n">
        <ns0:v>-40497.69760994692</ns0:v>
      </ns0:c>
      <ns0:c r="N1927" s="7" t="n">
        <ns0:v>-18260.72078392906</ns0:v>
      </ns0:c>
      <ns0:c r="O1927" s="7" t="n">
        <ns0:v>5906.088444323446</ns0:v>
      </ns0:c>
      <ns0:c r="P1927" s="7" t="n">
        <ns0:v>66323.11151495468</ns0:v>
      </ns0:c>
      <ns0:c r="Q1927" s="7" t="n">
        <ns0:v>265991.2037974797</ns0:v>
      </ns0:c>
      <ns0:c r="R1927" s="7" t="n">
        <ns0:v>1041829.526786318</ns0:v>
      </ns0:c>
    </ns0:row>
    <ns0:row r="1928" ht="24" customHeight="1">
      <ns0:c r="A1928" s="3" t="inlineStr">
        <ns0:is>
          <ns0:t>混在40/30/30</ns0:t>
        </ns0:is>
      </ns0:c>
      <ns0:c r="B1928" s="3" t="inlineStr">
        <ns0:is>
          <ns0:t>G3三段階</ns0:t>
        </ns0:is>
      </ns0:c>
      <ns0:c r="C1928" s="3" t="inlineStr">
        <ns0:is>
          <ns0:t>C</ns0:t>
        </ns0:is>
      </ns0:c>
      <ns0:c r="D1928" s="4" t="n">
        <ns0:v>1</ns0:v>
      </ns0:c>
      <ns0:c r="E1928" s="4" t="n">
        <ns0:v>1500</ns0:v>
      </ns0:c>
      <ns0:c r="F1928" s="6" t="n">
        <ns0:v>0.3</ns0:v>
      </ns0:c>
      <ns0:c r="G1928" s="4" t="n">
        <ns0:v>0</ns0:v>
      </ns0:c>
      <ns0:c r="H1928" s="7" t="n">
        <ns0:v>4870.604138008477</ns0:v>
      </ns0:c>
      <ns0:c r="I1928" s="7" t="n">
        <ns0:v>2189.297043878611</ns0:v>
      </ns0:c>
      <ns0:c r="J1928" s="7" t="n">
        <ns0:v>656.7891131635831</ns0:v>
      </ns0:c>
      <ns0:c r="K1928" s="7" t="n">
        <ns0:v>23</ns0:v>
      </ns0:c>
      <ns0:c r="L1928" s="7" t="n">
        <ns0:v>39</ns0:v>
      </ns0:c>
      <ns0:c r="M1928" s="7" t="n">
        <ns0:v>-28605.13802597162</ns0:v>
      </ns0:c>
      <ns0:c r="N1928" s="7" t="n">
        <ns0:v>17416.95796799682</ns0:v>
      </ns0:c>
      <ns0:c r="O1928" s="7" t="n">
        <ns0:v>65368.88636419988</ns0:v>
      </ns0:c>
      <ns0:c r="P1928" s="7" t="n">
        <ns0:v>185248.7073547076</ns0:v>
      </ns0:c>
      <ns0:c r="Q1928" s="7" t="n">
        <ns0:v>622767.9913167385</ns0:v>
      </ns0:c>
      <ns0:c r="R1928" s="7" t="n">
        <ns0:v>2231085.485183847</ns0:v>
      </ns0:c>
    </ns0:row>
    <ns0:row r="1929" ht="24" customHeight="1">
      <ns0:c r="A1929" s="3" t="inlineStr">
        <ns0:is>
          <ns0:t>混在40/30/30</ns0:t>
        </ns0:is>
      </ns0:c>
      <ns0:c r="B1929" s="3" t="inlineStr">
        <ns0:is>
          <ns0:t>G3三段階</ns0:t>
        </ns0:is>
      </ns0:c>
      <ns0:c r="C1929" s="3" t="inlineStr">
        <ns0:is>
          <ns0:t>C</ns0:t>
        </ns0:is>
      </ns0:c>
      <ns0:c r="D1929" s="4" t="n">
        <ns0:v>1</ns0:v>
      </ns0:c>
      <ns0:c r="E1929" s="4" t="n">
        <ns0:v>1500</ns0:v>
      </ns0:c>
      <ns0:c r="F1929" s="6" t="n">
        <ns0:v>0.3</ns0:v>
      </ns0:c>
      <ns0:c r="G1929" s="4" t="n">
        <ns0:v>1</ns0:v>
      </ns0:c>
      <ns0:c r="H1929" s="7" t="n">
        <ns0:v>4870.604138008477</ns0:v>
      </ns0:c>
      <ns0:c r="I1929" s="7" t="n">
        <ns0:v>2189.297043878611</ns0:v>
      </ns0:c>
      <ns0:c r="J1929" s="7" t="n">
        <ns0:v>656.7891131635831</ns0:v>
      </ns0:c>
      <ns0:c r="K1929" s="7" t="n">
        <ns0:v>26</ns0:v>
      </ns0:c>
      <ns0:c r="L1929" s="7" t="n">
        <ns0:v>54</ns0:v>
      </ns0:c>
      <ns0:c r="M1929" s="7" t="n">
        <ns0:v>-31174.35609393589</ns0:v>
      </ns0:c>
      <ns0:c r="N1929" s="7" t="n">
        <ns0:v>9709.303764104003</ns0:v>
      </ns0:c>
      <ns0:c r="O1929" s="7" t="n">
        <ns0:v>52522.79602437852</ns0:v>
      </ns0:c>
      <ns0:c r="P1929" s="7" t="n">
        <ns0:v>159556.5266750648</ns0:v>
      </ns0:c>
      <ns0:c r="Q1929" s="7" t="n">
        <ns0:v>545691.4492778104</ns0:v>
      </ns0:c>
      <ns0:c r="R1929" s="7" t="n">
        <ns0:v>1974163.678387419</ns0:v>
      </ns0:c>
    </ns0:row>
    <ns0:row r="1930" ht="24" customHeight="1">
      <ns0:c r="A1930" s="3" t="inlineStr">
        <ns0:is>
          <ns0:t>混在40/30/30</ns0:t>
        </ns0:is>
      </ns0:c>
      <ns0:c r="B1930" s="3" t="inlineStr">
        <ns0:is>
          <ns0:t>G3三段階</ns0:t>
        </ns0:is>
      </ns0:c>
      <ns0:c r="C1930" s="3" t="inlineStr">
        <ns0:is>
          <ns0:t>C</ns0:t>
        </ns0:is>
      </ns0:c>
      <ns0:c r="D1930" s="4" t="n">
        <ns0:v>1</ns0:v>
      </ns0:c>
      <ns0:c r="E1930" s="4" t="n">
        <ns0:v>1500</ns0:v>
      </ns0:c>
      <ns0:c r="F1930" s="6" t="n">
        <ns0:v>0.3</ns0:v>
      </ns0:c>
      <ns0:c r="G1930" s="4" t="n">
        <ns0:v>2</ns0:v>
      </ns0:c>
      <ns0:c r="H1930" s="7" t="n">
        <ns0:v>4870.604138008477</ns0:v>
      </ns0:c>
      <ns0:c r="I1930" s="7" t="n">
        <ns0:v>2189.297043878611</ns0:v>
      </ns0:c>
      <ns0:c r="J1930" s="7" t="n">
        <ns0:v>656.7891131635831</ns0:v>
      </ns0:c>
      <ns0:c r="K1930" s="18" t="inlineStr">
        <ns0:is>
          <ns0:t>範囲内なし</ns0:t>
        </ns0:is>
      </ns0:c>
      <ns0:c r="L1930" s="18" t="inlineStr">
        <ns0:is>
          <ns0:t>範囲内なし</ns0:t>
        </ns0:is>
      </ns0:c>
      <ns0:c r="M1930" s="7" t="n">
        <ns0:v>-52406.19462527698</ns0:v>
      </ns0:c>
      <ns0:c r="N1930" s="7" t="n">
        <ns0:v>-53986.21182991927</ns0:v>
      </ns0:c>
      <ns0:c r="O1930" s="7" t="n">
        <ns0:v>-53636.39663232692</ns0:v>
      </ns0:c>
      <ns0:c r="P1930" s="7" t="n">
        <ns0:v>-52761.85863834606</ns0:v>
      </ns0:c>
      <ns0:c r="Q1930" s="7" t="n">
        <ns0:v>-91263.70666242228</ns0:v>
      </ns0:c>
      <ns0:c r="R1930" s="7" t="n">
        <ns0:v>-149020.1747466894</ns0:v>
      </ns0:c>
    </ns0:row>
    <ns0:row r="1931" ht="24" customHeight="1">
      <ns0:c r="A1931" s="3" t="inlineStr">
        <ns0:is>
          <ns0:t>混在40/30/30</ns0:t>
        </ns0:is>
      </ns0:c>
      <ns0:c r="B1931" s="3" t="inlineStr">
        <ns0:is>
          <ns0:t>G3三段階</ns0:t>
        </ns0:is>
      </ns0:c>
      <ns0:c r="C1931" s="3" t="inlineStr">
        <ns0:is>
          <ns0:t>C</ns0:t>
        </ns0:is>
      </ns0:c>
      <ns0:c r="D1931" s="4" t="n">
        <ns0:v>1</ns0:v>
      </ns0:c>
      <ns0:c r="E1931" s="4" t="n">
        <ns0:v>1500</ns0:v>
      </ns0:c>
      <ns0:c r="F1931" s="6" t="n">
        <ns0:v>0.3</ns0:v>
      </ns0:c>
      <ns0:c r="G1931" s="4" t="n">
        <ns0:v>3</ns0:v>
      </ns0:c>
      <ns0:c r="H1931" s="7" t="n">
        <ns0:v>4870.604138008477</ns0:v>
      </ns0:c>
      <ns0:c r="I1931" s="7" t="n">
        <ns0:v>2189.297043878611</ns0:v>
      </ns0:c>
      <ns0:c r="J1931" s="7" t="n">
        <ns0:v>656.7891131635831</ns0:v>
      </ns0:c>
      <ns0:c r="K1931" s="7" t="n">
        <ns0:v>35</ns0:v>
      </ns0:c>
      <ns0:c r="L1931" s="18" t="inlineStr">
        <ns0:is>
          <ns0:t>範囲内なし</ns0:t>
        </ns0:is>
      </ns0:c>
      <ns0:c r="M1931" s="7" t="n">
        <ns0:v>-36815.10352218969</ns0:v>
      </ns0:c>
      <ns0:c r="N1931" s="7" t="n">
        <ns0:v>-7212.938520657397</ns0:v>
      </ns0:c>
      <ns0:c r="O1931" s="7" t="n">
        <ns0:v>24319.05888310952</ns0:v>
      </ns0:c>
      <ns0:c r="P1931" s="7" t="n">
        <ns0:v>103149.0523925268</ns0:v>
      </ns0:c>
      <ns0:c r="Q1931" s="7" t="n">
        <ns0:v>376469.0264301964</ns0:v>
      </ns0:c>
      <ns0:c r="R1931" s="7" t="n">
        <ns0:v>1410088.935562039</ns0:v>
      </ns0:c>
    </ns0:row>
    <ns0:row r="1932" ht="24" customHeight="1">
      <ns0:c r="A1932" s="3" t="inlineStr">
        <ns0:is>
          <ns0:t>混在40/30/30</ns0:t>
        </ns0:is>
      </ns0:c>
      <ns0:c r="B1932" s="3" t="inlineStr">
        <ns0:is>
          <ns0:t>G3三段階</ns0:t>
        </ns0:is>
      </ns0:c>
      <ns0:c r="C1932" s="3" t="inlineStr">
        <ns0:is>
          <ns0:t>C</ns0:t>
        </ns0:is>
      </ns0:c>
      <ns0:c r="D1932" s="4" t="n">
        <ns0:v>1</ns0:v>
      </ns0:c>
      <ns0:c r="E1932" s="4" t="n">
        <ns0:v>1500</ns0:v>
      </ns0:c>
      <ns0:c r="F1932" s="6" t="n">
        <ns0:v>0.4</ns0:v>
      </ns0:c>
      <ns0:c r="G1932" s="4" t="n">
        <ns0:v>0</ns0:v>
      </ns0:c>
      <ns0:c r="H1932" s="7" t="n">
        <ns0:v>4870.604138008477</ns0:v>
      </ns0:c>
      <ns0:c r="I1932" s="7" t="n">
        <ns0:v>2189.297043878611</ns0:v>
      </ns0:c>
      <ns0:c r="J1932" s="7" t="n">
        <ns0:v>875.7188175514442</ns0:v>
      </ns0:c>
      <ns0:c r="K1932" s="7" t="n">
        <ns0:v>26</ns0:v>
      </ns0:c>
      <ns0:c r="L1932" s="7" t="n">
        <ns0:v>42</ns0:v>
      </ns0:c>
      <ns0:c r="M1932" s="7" t="n">
        <ns0:v>-30794.43506985023</ns0:v>
      </ns0:c>
      <ns0:c r="N1932" s="7" t="n">
        <ns0:v>10849.06683636098</ns0:v>
      </ns0:c>
      <ns0:c r="O1932" s="7" t="n">
        <ns0:v>54422.40114480684</ns0:v>
      </ns0:c>
      <ns0:c r="P1932" s="7" t="n">
        <ns0:v>163355.7369159215</ns0:v>
      </ns0:c>
      <ns0:c r="Q1932" s="7" t="n">
        <ns0:v>557089.0800003802</ns0:v>
      </ns0:c>
      <ns0:c r="R1932" s="7" t="n">
        <ns0:v>2012155.780795985</ns0:v>
      </ns0:c>
    </ns0:row>
    <ns0:row r="1933" ht="24" customHeight="1">
      <ns0:c r="A1933" s="3" t="inlineStr">
        <ns0:is>
          <ns0:t>混在40/30/30</ns0:t>
        </ns0:is>
      </ns0:c>
      <ns0:c r="B1933" s="3" t="inlineStr">
        <ns0:is>
          <ns0:t>G3三段階</ns0:t>
        </ns0:is>
      </ns0:c>
      <ns0:c r="C1933" s="3" t="inlineStr">
        <ns0:is>
          <ns0:t>C</ns0:t>
        </ns0:is>
      </ns0:c>
      <ns0:c r="D1933" s="4" t="n">
        <ns0:v>1</ns0:v>
      </ns0:c>
      <ns0:c r="E1933" s="4" t="n">
        <ns0:v>1500</ns0:v>
      </ns0:c>
      <ns0:c r="F1933" s="6" t="n">
        <ns0:v>0.4</ns0:v>
      </ns0:c>
      <ns0:c r="G1933" s="4" t="n">
        <ns0:v>1</ns0:v>
      </ns0:c>
      <ns0:c r="H1933" s="7" t="n">
        <ns0:v>4870.604138008477</ns0:v>
      </ns0:c>
      <ns0:c r="I1933" s="7" t="n">
        <ns0:v>2189.297043878611</ns0:v>
      </ns0:c>
      <ns0:c r="J1933" s="7" t="n">
        <ns0:v>875.7188175514442</ns0:v>
      </ns0:c>
      <ns0:c r="K1933" s="7" t="n">
        <ns0:v>29</ns0:v>
      </ns0:c>
      <ns0:c r="L1933" s="7" t="n">
        <ns0:v>60</ns0:v>
      </ns0:c>
      <ns0:c r="M1933" s="7" t="n">
        <ns0:v>-33363.6531378145</ns0:v>
      </ns0:c>
      <ns0:c r="N1933" s="7" t="n">
        <ns0:v>3141.412632468167</ns0:v>
      </ns0:c>
      <ns0:c r="O1933" s="7" t="n">
        <ns0:v>41576.31080498548</ns0:v>
      </ns0:c>
      <ns0:c r="P1933" s="7" t="n">
        <ns0:v>137663.5562362788</ns0:v>
      </ns0:c>
      <ns0:c r="Q1933" s="7" t="n">
        <ns0:v>480012.537961452</ns0:v>
      </ns0:c>
      <ns0:c r="R1933" s="7" t="n">
        <ns0:v>1755233.973999558</ns0:v>
      </ns0:c>
    </ns0:row>
    <ns0:row r="1934" ht="24" customHeight="1">
      <ns0:c r="A1934" s="3" t="inlineStr">
        <ns0:is>
          <ns0:t>混在40/30/30</ns0:t>
        </ns0:is>
      </ns0:c>
      <ns0:c r="B1934" s="3" t="inlineStr">
        <ns0:is>
          <ns0:t>G3三段階</ns0:t>
        </ns0:is>
      </ns0:c>
      <ns0:c r="C1934" s="3" t="inlineStr">
        <ns0:is>
          <ns0:t>C</ns0:t>
        </ns0:is>
      </ns0:c>
      <ns0:c r="D1934" s="4" t="n">
        <ns0:v>1</ns0:v>
      </ns0:c>
      <ns0:c r="E1934" s="4" t="n">
        <ns0:v>1500</ns0:v>
      </ns0:c>
      <ns0:c r="F1934" s="6" t="n">
        <ns0:v>0.4</ns0:v>
      </ns0:c>
      <ns0:c r="G1934" s="4" t="n">
        <ns0:v>2</ns0:v>
      </ns0:c>
      <ns0:c r="H1934" s="7" t="n">
        <ns0:v>4870.604138008477</ns0:v>
      </ns0:c>
      <ns0:c r="I1934" s="7" t="n">
        <ns0:v>2189.297043878611</ns0:v>
      </ns0:c>
      <ns0:c r="J1934" s="7" t="n">
        <ns0:v>875.7188175514442</ns0:v>
      </ns0:c>
      <ns0:c r="K1934" s="18" t="inlineStr">
        <ns0:is>
          <ns0:t>範囲内なし</ns0:t>
        </ns0:is>
      </ns0:c>
      <ns0:c r="L1934" s="18" t="inlineStr">
        <ns0:is>
          <ns0:t>範囲内なし</ns0:t>
        </ns0:is>
      </ns0:c>
      <ns0:c r="M1934" s="7" t="n">
        <ns0:v>-54595.4916691556</ns0:v>
      </ns0:c>
      <ns0:c r="N1934" s="7" t="n">
        <ns0:v>-60554.1029615551</ns0:v>
      </ns0:c>
      <ns0:c r="O1934" s="7" t="n">
        <ns0:v>-64582.88185171996</ns0:v>
      </ns0:c>
      <ns0:c r="P1934" s="7" t="n">
        <ns0:v>-74654.82907713212</ns0:v>
      </ns0:c>
      <ns0:c r="Q1934" s="7" t="n">
        <ns0:v>-156942.6179787806</ns0:v>
      </ns0:c>
      <ns0:c r="R1934" s="7" t="n">
        <ns0:v>-367949.8791345505</ns0:v>
      </ns0:c>
    </ns0:row>
    <ns0:row r="1935" ht="24" customHeight="1">
      <ns0:c r="A1935" s="3" t="inlineStr">
        <ns0:is>
          <ns0:t>混在40/30/30</ns0:t>
        </ns0:is>
      </ns0:c>
      <ns0:c r="B1935" s="3" t="inlineStr">
        <ns0:is>
          <ns0:t>G3三段階</ns0:t>
        </ns0:is>
      </ns0:c>
      <ns0:c r="C1935" s="3" t="inlineStr">
        <ns0:is>
          <ns0:t>C</ns0:t>
        </ns0:is>
      </ns0:c>
      <ns0:c r="D1935" s="4" t="n">
        <ns0:v>1</ns0:v>
      </ns0:c>
      <ns0:c r="E1935" s="4" t="n">
        <ns0:v>1500</ns0:v>
      </ns0:c>
      <ns0:c r="F1935" s="6" t="n">
        <ns0:v>0.4</ns0:v>
      </ns0:c>
      <ns0:c r="G1935" s="4" t="n">
        <ns0:v>3</ns0:v>
      </ns0:c>
      <ns0:c r="H1935" s="7" t="n">
        <ns0:v>4870.604138008477</ns0:v>
      </ns0:c>
      <ns0:c r="I1935" s="7" t="n">
        <ns0:v>2189.297043878611</ns0:v>
      </ns0:c>
      <ns0:c r="J1935" s="7" t="n">
        <ns0:v>875.7188175514442</ns0:v>
      </ns0:c>
      <ns0:c r="K1935" s="7" t="n">
        <ns0:v>41</ns0:v>
      </ns0:c>
      <ns0:c r="L1935" s="18" t="inlineStr">
        <ns0:is>
          <ns0:t>範囲内なし</ns0:t>
        </ns0:is>
      </ns0:c>
      <ns0:c r="M1935" s="7" t="n">
        <ns0:v>-39004.4005660683</ns0:v>
      </ns0:c>
      <ns0:c r="N1935" s="7" t="n">
        <ns0:v>-13780.82965229323</ns0:v>
      </ns0:c>
      <ns0:c r="O1935" s="7" t="n">
        <ns0:v>13372.57366371649</ns0:v>
      </ns0:c>
      <ns0:c r="P1935" s="7" t="n">
        <ns0:v>81256.08195374077</ns0:v>
      </ns0:c>
      <ns0:c r="Q1935" s="7" t="n">
        <ns0:v>310790.1151138381</ns0:v>
      </ns0:c>
      <ns0:c r="R1935" s="7" t="n">
        <ns0:v>1191159.231174178</ns0:v>
      </ns0:c>
    </ns0:row>
    <ns0:row r="1936" ht="24" customHeight="1">
      <ns0:c r="A1936" s="3" t="inlineStr">
        <ns0:is>
          <ns0:t>混在40/30/30</ns0:t>
        </ns0:is>
      </ns0:c>
      <ns0:c r="B1936" s="3" t="inlineStr">
        <ns0:is>
          <ns0:t>G3三段階</ns0:t>
        </ns0:is>
      </ns0:c>
      <ns0:c r="C1936" s="3" t="inlineStr">
        <ns0:is>
          <ns0:t>C</ns0:t>
        </ns0:is>
      </ns0:c>
      <ns0:c r="D1936" s="4" t="n">
        <ns0:v>1</ns0:v>
      </ns0:c>
      <ns0:c r="E1936" s="4" t="n">
        <ns0:v>1500</ns0:v>
      </ns0:c>
      <ns0:c r="F1936" s="6" t="n">
        <ns0:v>0.5</ns0:v>
      </ns0:c>
      <ns0:c r="G1936" s="4" t="n">
        <ns0:v>0</ns0:v>
      </ns0:c>
      <ns0:c r="H1936" s="7" t="n">
        <ns0:v>4870.604138008477</ns0:v>
      </ns0:c>
      <ns0:c r="I1936" s="7" t="n">
        <ns0:v>2189.297043878611</ns0:v>
      </ns0:c>
      <ns0:c r="J1936" s="7" t="n">
        <ns0:v>1094.648521939305</ns0:v>
      </ns0:c>
      <ns0:c r="K1936" s="7" t="n">
        <ns0:v>28</ns0:v>
      </ns0:c>
      <ns0:c r="L1936" s="7" t="n">
        <ns0:v>45</ns0:v>
      </ns0:c>
      <ns0:c r="M1936" s="7" t="n">
        <ns0:v>-32983.73211372884</ns0:v>
      </ns0:c>
      <ns0:c r="N1936" s="7" t="n">
        <ns0:v>4281.175704725149</ns0:v>
      </ns0:c>
      <ns0:c r="O1936" s="7" t="n">
        <ns0:v>43475.91592541378</ns0:v>
      </ns0:c>
      <ns0:c r="P1936" s="7" t="n">
        <ns0:v>141462.7664771354</ns0:v>
      </ns0:c>
      <ns0:c r="Q1936" s="7" t="n">
        <ns0:v>491410.1686840219</ns0:v>
      </ns0:c>
      <ns0:c r="R1936" s="7" t="n">
        <ns0:v>1793226.076408125</ns0:v>
      </ns0:c>
    </ns0:row>
    <ns0:row r="1937" ht="24" customHeight="1">
      <ns0:c r="A1937" s="3" t="inlineStr">
        <ns0:is>
          <ns0:t>混在40/30/30</ns0:t>
        </ns0:is>
      </ns0:c>
      <ns0:c r="B1937" s="3" t="inlineStr">
        <ns0:is>
          <ns0:t>G3三段階</ns0:t>
        </ns0:is>
      </ns0:c>
      <ns0:c r="C1937" s="3" t="inlineStr">
        <ns0:is>
          <ns0:t>C</ns0:t>
        </ns0:is>
      </ns0:c>
      <ns0:c r="D1937" s="4" t="n">
        <ns0:v>1</ns0:v>
      </ns0:c>
      <ns0:c r="E1937" s="4" t="n">
        <ns0:v>1500</ns0:v>
      </ns0:c>
      <ns0:c r="F1937" s="6" t="n">
        <ns0:v>0.5</ns0:v>
      </ns0:c>
      <ns0:c r="G1937" s="4" t="n">
        <ns0:v>1</ns0:v>
      </ns0:c>
      <ns0:c r="H1937" s="7" t="n">
        <ns0:v>4870.604138008477</ns0:v>
      </ns0:c>
      <ns0:c r="I1937" s="7" t="n">
        <ns0:v>2189.297043878611</ns0:v>
      </ns0:c>
      <ns0:c r="J1937" s="7" t="n">
        <ns0:v>1094.648521939305</ns0:v>
      </ns0:c>
      <ns0:c r="K1937" s="7" t="n">
        <ns0:v>33</ns0:v>
      </ns0:c>
      <ns0:c r="L1937" s="7" t="n">
        <ns0:v>67</ns0:v>
      </ns0:c>
      <ns0:c r="M1937" s="7" t="n">
        <ns0:v>-35552.95018169312</ns0:v>
      </ns0:c>
      <ns0:c r="N1937" s="7" t="n">
        <ns0:v>-3426.478499167668</ns0:v>
      </ns0:c>
      <ns0:c r="O1937" s="7" t="n">
        <ns0:v>30629.82558559243</ns0:v>
      </ns0:c>
      <ns0:c r="P1937" s="7" t="n">
        <ns0:v>115770.5857974926</ns0:v>
      </ns0:c>
      <ns0:c r="Q1937" s="7" t="n">
        <ns0:v>414333.6266450937</ns0:v>
      </ns0:c>
      <ns0:c r="R1937" s="7" t="n">
        <ns0:v>1536304.269611697</ns0:v>
      </ns0:c>
    </ns0:row>
    <ns0:row r="1938" ht="24" customHeight="1">
      <ns0:c r="A1938" s="3" t="inlineStr">
        <ns0:is>
          <ns0:t>混在40/30/30</ns0:t>
        </ns0:is>
      </ns0:c>
      <ns0:c r="B1938" s="3" t="inlineStr">
        <ns0:is>
          <ns0:t>G3三段階</ns0:t>
        </ns0:is>
      </ns0:c>
      <ns0:c r="C1938" s="3" t="inlineStr">
        <ns0:is>
          <ns0:t>C</ns0:t>
        </ns0:is>
      </ns0:c>
      <ns0:c r="D1938" s="4" t="n">
        <ns0:v>1</ns0:v>
      </ns0:c>
      <ns0:c r="E1938" s="4" t="n">
        <ns0:v>1500</ns0:v>
      </ns0:c>
      <ns0:c r="F1938" s="6" t="n">
        <ns0:v>0.5</ns0:v>
      </ns0:c>
      <ns0:c r="G1938" s="4" t="n">
        <ns0:v>2</ns0:v>
      </ns0:c>
      <ns0:c r="H1938" s="7" t="n">
        <ns0:v>4870.604138008477</ns0:v>
      </ns0:c>
      <ns0:c r="I1938" s="7" t="n">
        <ns0:v>2189.297043878611</ns0:v>
      </ns0:c>
      <ns0:c r="J1938" s="7" t="n">
        <ns0:v>1094.648521939305</ns0:v>
      </ns0:c>
      <ns0:c r="K1938" s="18" t="inlineStr">
        <ns0:is>
          <ns0:t>範囲内なし</ns0:t>
        </ns0:is>
      </ns0:c>
      <ns0:c r="L1938" s="18" t="inlineStr">
        <ns0:is>
          <ns0:t>範囲内なし</ns0:t>
        </ns0:is>
      </ns0:c>
      <ns0:c r="M1938" s="7" t="n">
        <ns0:v>-56784.7887130342</ns0:v>
      </ns0:c>
      <ns0:c r="N1938" s="7" t="n">
        <ns0:v>-67121.99409319094</ns0:v>
      </ns0:c>
      <ns0:c r="O1938" s="7" t="n">
        <ns0:v>-75529.36707111303</ns0:v>
      </ns0:c>
      <ns0:c r="P1938" s="7" t="n">
        <ns0:v>-96547.79951591823</ns0:v>
      </ns0:c>
      <ns0:c r="Q1938" s="7" t="n">
        <ns0:v>-222621.5292951389</ns0:v>
      </ns0:c>
      <ns0:c r="R1938" s="7" t="n">
        <ns0:v>-586879.5835224115</ns0:v>
      </ns0:c>
    </ns0:row>
    <ns0:row r="1939" ht="24" customHeight="1">
      <ns0:c r="A1939" s="3" t="inlineStr">
        <ns0:is>
          <ns0:t>混在40/30/30</ns0:t>
        </ns0:is>
      </ns0:c>
      <ns0:c r="B1939" s="3" t="inlineStr">
        <ns0:is>
          <ns0:t>G3三段階</ns0:t>
        </ns0:is>
      </ns0:c>
      <ns0:c r="C1939" s="3" t="inlineStr">
        <ns0:is>
          <ns0:t>C</ns0:t>
        </ns0:is>
      </ns0:c>
      <ns0:c r="D1939" s="4" t="n">
        <ns0:v>1</ns0:v>
      </ns0:c>
      <ns0:c r="E1939" s="4" t="n">
        <ns0:v>1500</ns0:v>
      </ns0:c>
      <ns0:c r="F1939" s="6" t="n">
        <ns0:v>0.5</ns0:v>
      </ns0:c>
      <ns0:c r="G1939" s="4" t="n">
        <ns0:v>3</ns0:v>
      </ns0:c>
      <ns0:c r="H1939" s="7" t="n">
        <ns0:v>4870.604138008477</ns0:v>
      </ns0:c>
      <ns0:c r="I1939" s="7" t="n">
        <ns0:v>2189.297043878611</ns0:v>
      </ns0:c>
      <ns0:c r="J1939" s="7" t="n">
        <ns0:v>1094.648521939305</ns0:v>
      </ns0:c>
      <ns0:c r="K1939" s="7" t="n">
        <ns0:v>48</ns0:v>
      </ns0:c>
      <ns0:c r="L1939" s="18" t="inlineStr">
        <ns0:is>
          <ns0:t>範囲内なし</ns0:t>
        </ns0:is>
      </ns0:c>
      <ns0:c r="M1939" s="7" t="n">
        <ns0:v>-41193.69760994691</ns0:v>
      </ns0:c>
      <ns0:c r="N1939" s="7" t="n">
        <ns0:v>-20348.72078392907</ns0:v>
      </ns0:c>
      <ns0:c r="O1939" s="7" t="n">
        <ns0:v>2426.088444323432</ns0:v>
      </ns0:c>
      <ns0:c r="P1939" s="7" t="n">
        <ns0:v>59363.11151495466</ns0:v>
      </ns0:c>
      <ns0:c r="Q1939" s="7" t="n">
        <ns0:v>245111.2037974797</ns0:v>
      </ns0:c>
      <ns0:c r="R1939" s="7" t="n">
        <ns0:v>972229.5267863174</ns0:v>
      </ns0:c>
    </ns0:row>
    <ns0:row r="1940" ht="24" customHeight="1">
      <ns0:c r="A1940" s="3" t="inlineStr">
        <ns0:is>
          <ns0:t>混在40/30/30</ns0:t>
        </ns0:is>
      </ns0:c>
      <ns0:c r="B1940" s="3" t="inlineStr">
        <ns0:is>
          <ns0:t>G3三段階</ns0:t>
        </ns0:is>
      </ns0:c>
      <ns0:c r="C1940" s="3" t="inlineStr">
        <ns0:is>
          <ns0:t>C</ns0:t>
        </ns0:is>
      </ns0:c>
      <ns0:c r="D1940" s="4" t="n">
        <ns0:v>2</ns0:v>
      </ns0:c>
      <ns0:c r="E1940" s="4" t="n">
        <ns0:v>500</ns0:v>
      </ns0:c>
      <ns0:c r="F1940" s="6" t="n">
        <ns0:v>0.3</ns0:v>
      </ns0:c>
      <ns0:c r="G1940" s="4" t="n">
        <ns0:v>0</ns0:v>
      </ns0:c>
      <ns0:c r="H1940" s="7" t="n">
        <ns0:v>7358.369713610138</ns0:v>
      </ns0:c>
      <ns0:c r="I1940" s="7" t="n">
        <ns0:v>3033.826328229683</ns0:v>
      </ns0:c>
      <ns0:c r="J1940" s="7" t="n">
        <ns0:v>910.1478984689049</ns0:v>
      </ns0:c>
      <ns0:c r="K1940" s="7" t="n">
        <ns0:v>12</ns0:v>
      </ns0:c>
      <ns0:c r="L1940" s="7" t="n">
        <ns0:v>19</ns0:v>
      </ns0:c>
      <ns0:c r="M1940" s="7" t="n">
        <ns0:v>-7812.187514645237</ns0:v>
      </ns0:c>
      <ns0:c r="N1940" s="7" t="n">
        <ns0:v>65128.09608249392</ns0:v>
      </ns0:c>
      <ns0:c r="O1940" s="7" t="n">
        <ns0:v>144887.4498883617</ns0:v>
      </ns0:c>
      <ns0:c r="P1940" s="7" t="n">
        <ns0:v>344285.8344030313</ns0:v>
      </ns0:c>
      <ns0:c r="Q1940" s="7" t="n">
        <ns0:v>1099879.37246171</ns0:v>
      </ns0:c>
      <ns0:c r="R1940" s="7" t="n">
        <ns0:v>3821456.755667083</ns0:v>
      </ns0:c>
    </ns0:row>
    <ns0:row r="1941" ht="24" customHeight="1">
      <ns0:c r="A1941" s="3" t="inlineStr">
        <ns0:is>
          <ns0:t>混在40/30/30</ns0:t>
        </ns0:is>
      </ns0:c>
      <ns0:c r="B1941" s="3" t="inlineStr">
        <ns0:is>
          <ns0:t>G3三段階</ns0:t>
        </ns0:is>
      </ns0:c>
      <ns0:c r="C1941" s="3" t="inlineStr">
        <ns0:is>
          <ns0:t>C</ns0:t>
        </ns0:is>
      </ns0:c>
      <ns0:c r="D1941" s="4" t="n">
        <ns0:v>2</ns0:v>
      </ns0:c>
      <ns0:c r="E1941" s="4" t="n">
        <ns0:v>500</ns0:v>
      </ns0:c>
      <ns0:c r="F1941" s="6" t="n">
        <ns0:v>0.3</ns0:v>
      </ns0:c>
      <ns0:c r="G1941" s="4" t="n">
        <ns0:v>1</ns0:v>
      </ns0:c>
      <ns0:c r="H1941" s="7" t="n">
        <ns0:v>7358.369713610138</ns0:v>
      </ns0:c>
      <ns0:c r="I1941" s="7" t="n">
        <ns0:v>3033.826328229683</ns0:v>
      </ns0:c>
      <ns0:c r="J1941" s="7" t="n">
        <ns0:v>910.1478984689049</ns0:v>
      </ns0:c>
      <ns0:c r="K1941" s="7" t="n">
        <ns0:v>13</ns0:v>
      </ns0:c>
      <ns0:c r="L1941" s="7" t="n">
        <ns0:v>22</ns0:v>
      </ns0:c>
      <ns0:c r="M1941" s="7" t="n">
        <ns0:v>-11016.74284085014</ns0:v>
      </ns0:c>
      <ns0:c r="N1941" s="7" t="n">
        <ns0:v>55514.43010387921</ns0:v>
      </ns0:c>
      <ns0:c r="O1941" s="7" t="n">
        <ns0:v>128864.6732573372</ns0:v>
      </ns0:c>
      <ns0:c r="P1941" s="7" t="n">
        <ns0:v>312240.2811409822</ns0:v>
      </ns0:c>
      <ns0:c r="Q1941" s="7" t="n">
        <ns0:v>1003742.712675562</ns0:v>
      </ns0:c>
      <ns0:c r="R1941" s="7" t="n">
        <ns0:v>3501001.223046592</ns0:v>
      </ns0:c>
    </ns0:row>
    <ns0:row r="1942" ht="24" customHeight="1">
      <ns0:c r="A1942" s="3" t="inlineStr">
        <ns0:is>
          <ns0:t>混在40/30/30</ns0:t>
        </ns0:is>
      </ns0:c>
      <ns0:c r="B1942" s="3" t="inlineStr">
        <ns0:is>
          <ns0:t>G3三段階</ns0:t>
        </ns0:is>
      </ns0:c>
      <ns0:c r="C1942" s="3" t="inlineStr">
        <ns0:is>
          <ns0:t>C</ns0:t>
        </ns0:is>
      </ns0:c>
      <ns0:c r="D1942" s="4" t="n">
        <ns0:v>2</ns0:v>
      </ns0:c>
      <ns0:c r="E1942" s="4" t="n">
        <ns0:v>500</ns0:v>
      </ns0:c>
      <ns0:c r="F1942" s="6" t="n">
        <ns0:v>0.3</ns0:v>
      </ns0:c>
      <ns0:c r="G1942" s="4" t="n">
        <ns0:v>2</ns0:v>
      </ns0:c>
      <ns0:c r="H1942" s="7" t="n">
        <ns0:v>7358.369713610138</ns0:v>
      </ns0:c>
      <ns0:c r="I1942" s="7" t="n">
        <ns0:v>3033.826328229683</ns0:v>
      </ns0:c>
      <ns0:c r="J1942" s="7" t="n">
        <ns0:v>910.1478984689049</ns0:v>
      </ns0:c>
      <ns0:c r="K1942" s="18" t="inlineStr">
        <ns0:is>
          <ns0:t>範囲内なし</ns0:t>
        </ns0:is>
      </ns0:c>
      <ns0:c r="L1942" s="18" t="inlineStr">
        <ns0:is>
          <ns0:t>範囲内なし</ns0:t>
        </ns0:is>
      </ns0:c>
      <ns0:c r="M1942" s="7" t="n">
        <ns0:v>-50589.10818942903</ns0:v>
      </ns0:c>
      <ns0:c r="N1942" s="7" t="n">
        <ns0:v>-63202.66594185744</ns0:v>
      </ns0:c>
      <ns0:c r="O1942" s="7" t="n">
        <ns0:v>-68997.15348555721</ns0:v>
      </ns0:c>
      <ns0:c r="P1942" s="7" t="n">
        <ns0:v>-83483.37234480662</ns0:v>
      </ns0:c>
      <ns0:c r="Q1942" s="7" t="n">
        <ns0:v>-183428.2477818041</ns0:v>
      </ns0:c>
      <ns0:c r="R1942" s="7" t="n">
        <ns0:v>-456235.3118112963</ns0:v>
      </ns0:c>
    </ns0:row>
    <ns0:row r="1943" ht="24" customHeight="1">
      <ns0:c r="A1943" s="3" t="inlineStr">
        <ns0:is>
          <ns0:t>混在40/30/30</ns0:t>
        </ns0:is>
      </ns0:c>
      <ns0:c r="B1943" s="3" t="inlineStr">
        <ns0:is>
          <ns0:t>G3三段階</ns0:t>
        </ns0:is>
      </ns0:c>
      <ns0:c r="C1943" s="3" t="inlineStr">
        <ns0:is>
          <ns0:t>C</ns0:t>
        </ns0:is>
      </ns0:c>
      <ns0:c r="D1943" s="4" t="n">
        <ns0:v>2</ns0:v>
      </ns0:c>
      <ns0:c r="E1943" s="4" t="n">
        <ns0:v>500</ns0:v>
      </ns0:c>
      <ns0:c r="F1943" s="6" t="n">
        <ns0:v>0.3</ns0:v>
      </ns0:c>
      <ns0:c r="G1943" s="4" t="n">
        <ns0:v>3</ns0:v>
      </ns0:c>
      <ns0:c r="H1943" s="7" t="n">
        <ns0:v>7358.369713610138</ns0:v>
      </ns0:c>
      <ns0:c r="I1943" s="7" t="n">
        <ns0:v>3033.826328229683</ns0:v>
      </ns0:c>
      <ns0:c r="J1943" s="7" t="n">
        <ns0:v>910.1478984689049</ns0:v>
      </ns0:c>
      <ns0:c r="K1943" s="7" t="n">
        <ns0:v>19</ns0:v>
      </ns0:c>
      <ns0:c r="L1943" s="7" t="n">
        <ns0:v>38</ns0:v>
      </ns0:c>
      <ns0:c r="M1943" s="7" t="n">
        <ns0:v>-17595.89717500201</ns0:v>
      </ns0:c>
      <ns0:c r="N1943" s="7" t="n">
        <ns0:v>35776.96710142359</ns0:v>
      </ns0:c>
      <ns0:c r="O1943" s="7" t="n">
        <ns0:v>95968.90158657782</ns0:v>
      </ns0:c>
      <ns0:c r="P1943" s="7" t="n">
        <ns0:v>246448.7377994634</ns0:v>
      </ns0:c>
      <ns0:c r="Q1943" s="7" t="n">
        <ns0:v>806368.0826510062</ns0:v>
      </ns0:c>
      <ns0:c r="R1943" s="7" t="n">
        <ns0:v>2843085.789631405</ns0:v>
      </ns0:c>
    </ns0:row>
    <ns0:row r="1944" ht="24" customHeight="1">
      <ns0:c r="A1944" s="3" t="inlineStr">
        <ns0:is>
          <ns0:t>混在40/30/30</ns0:t>
        </ns0:is>
      </ns0:c>
      <ns0:c r="B1944" s="3" t="inlineStr">
        <ns0:is>
          <ns0:t>G3三段階</ns0:t>
        </ns0:is>
      </ns0:c>
      <ns0:c r="C1944" s="3" t="inlineStr">
        <ns0:is>
          <ns0:t>C</ns0:t>
        </ns0:is>
      </ns0:c>
      <ns0:c r="D1944" s="4" t="n">
        <ns0:v>2</ns0:v>
      </ns0:c>
      <ns0:c r="E1944" s="4" t="n">
        <ns0:v>500</ns0:v>
      </ns0:c>
      <ns0:c r="F1944" s="6" t="n">
        <ns0:v>0.4</ns0:v>
      </ns0:c>
      <ns0:c r="G1944" s="4" t="n">
        <ns0:v>0</ns0:v>
      </ns0:c>
      <ns0:c r="H1944" s="7" t="n">
        <ns0:v>7358.369713610138</ns0:v>
      </ns0:c>
      <ns0:c r="I1944" s="7" t="n">
        <ns0:v>3033.826328229683</ns0:v>
      </ns0:c>
      <ns0:c r="J1944" s="7" t="n">
        <ns0:v>1213.530531291873</ns0:v>
      </ns0:c>
      <ns0:c r="K1944" s="7" t="n">
        <ns0:v>13</ns0:v>
      </ns0:c>
      <ns0:c r="L1944" s="7" t="n">
        <ns0:v>20</ns0:v>
      </ns0:c>
      <ns0:c r="M1944" s="7" t="n">
        <ns0:v>-10846.01384287492</ns0:v>
      </ns0:c>
      <ns0:c r="N1944" s="7" t="n">
        <ns0:v>56026.61709780488</ns0:v>
      </ns0:c>
      <ns0:c r="O1944" s="7" t="n">
        <ns0:v>129718.3182472133</ns0:v>
      </ns0:c>
      <ns0:c r="P1944" s="7" t="n">
        <ns0:v>313947.5711207343</ns0:v>
      </ns0:c>
      <ns0:c r="Q1944" s="7" t="n">
        <ns0:v>1008864.582614819</ns0:v>
      </ns0:c>
      <ns0:c r="R1944" s="7" t="n">
        <ns0:v>3518074.122844115</ns0:v>
      </ns0:c>
    </ns0:row>
    <ns0:row r="1945" ht="24" customHeight="1">
      <ns0:c r="A1945" s="3" t="inlineStr">
        <ns0:is>
          <ns0:t>混在40/30/30</ns0:t>
        </ns0:is>
      </ns0:c>
      <ns0:c r="B1945" s="3" t="inlineStr">
        <ns0:is>
          <ns0:t>G3三段階</ns0:t>
        </ns0:is>
      </ns0:c>
      <ns0:c r="C1945" s="3" t="inlineStr">
        <ns0:is>
          <ns0:t>C</ns0:t>
        </ns0:is>
      </ns0:c>
      <ns0:c r="D1945" s="4" t="n">
        <ns0:v>2</ns0:v>
      </ns0:c>
      <ns0:c r="E1945" s="4" t="n">
        <ns0:v>500</ns0:v>
      </ns0:c>
      <ns0:c r="F1945" s="6" t="n">
        <ns0:v>0.4</ns0:v>
      </ns0:c>
      <ns0:c r="G1945" s="4" t="n">
        <ns0:v>1</ns0:v>
      </ns0:c>
      <ns0:c r="H1945" s="7" t="n">
        <ns0:v>7358.369713610138</ns0:v>
      </ns0:c>
      <ns0:c r="I1945" s="7" t="n">
        <ns0:v>3033.826328229683</ns0:v>
      </ns0:c>
      <ns0:c r="J1945" s="7" t="n">
        <ns0:v>1213.530531291873</ns0:v>
      </ns0:c>
      <ns0:c r="K1945" s="7" t="n">
        <ns0:v>13</ns0:v>
      </ns0:c>
      <ns0:c r="L1945" s="7" t="n">
        <ns0:v>24</ns0:v>
      </ns0:c>
      <ns0:c r="M1945" s="7" t="n">
        <ns0:v>-14050.56916907982</ns0:v>
      </ns0:c>
      <ns0:c r="N1945" s="7" t="n">
        <ns0:v>46412.95111919017</ns0:v>
      </ns0:c>
      <ns0:c r="O1945" s="7" t="n">
        <ns0:v>113695.5416161888</ns0:v>
      </ns0:c>
      <ns0:c r="P1945" s="7" t="n">
        <ns0:v>281902.0178586853</ns0:v>
      </ns0:c>
      <ns0:c r="Q1945" s="7" t="n">
        <ns0:v>912727.922828672</ns0:v>
      </ns0:c>
      <ns0:c r="R1945" s="7" t="n">
        <ns0:v>3197618.590223624</ns0:v>
      </ns0:c>
    </ns0:row>
    <ns0:row r="1946" ht="24" customHeight="1">
      <ns0:c r="A1946" s="3" t="inlineStr">
        <ns0:is>
          <ns0:t>混在40/30/30</ns0:t>
        </ns0:is>
      </ns0:c>
      <ns0:c r="B1946" s="3" t="inlineStr">
        <ns0:is>
          <ns0:t>G3三段階</ns0:t>
        </ns0:is>
      </ns0:c>
      <ns0:c r="C1946" s="3" t="inlineStr">
        <ns0:is>
          <ns0:t>C</ns0:t>
        </ns0:is>
      </ns0:c>
      <ns0:c r="D1946" s="4" t="n">
        <ns0:v>2</ns0:v>
      </ns0:c>
      <ns0:c r="E1946" s="4" t="n">
        <ns0:v>500</ns0:v>
      </ns0:c>
      <ns0:c r="F1946" s="6" t="n">
        <ns0:v>0.4</ns0:v>
      </ns0:c>
      <ns0:c r="G1946" s="4" t="n">
        <ns0:v>2</ns0:v>
      </ns0:c>
      <ns0:c r="H1946" s="7" t="n">
        <ns0:v>7358.369713610138</ns0:v>
      </ns0:c>
      <ns0:c r="I1946" s="7" t="n">
        <ns0:v>3033.826328229683</ns0:v>
      </ns0:c>
      <ns0:c r="J1946" s="7" t="n">
        <ns0:v>1213.530531291873</ns0:v>
      </ns0:c>
      <ns0:c r="K1946" s="18" t="inlineStr">
        <ns0:is>
          <ns0:t>範囲内なし</ns0:t>
        </ns0:is>
      </ns0:c>
      <ns0:c r="L1946" s="18" t="inlineStr">
        <ns0:is>
          <ns0:t>範囲内なし</ns0:t>
        </ns0:is>
      </ns0:c>
      <ns0:c r="M1946" s="7" t="n">
        <ns0:v>-53622.93451765871</ns0:v>
      </ns0:c>
      <ns0:c r="N1946" s="7" t="n">
        <ns0:v>-72304.14492654649</ns0:v>
      </ns0:c>
      <ns0:c r="O1946" s="7" t="n">
        <ns0:v>-84166.28512670565</ns0:v>
      </ns0:c>
      <ns0:c r="P1946" s="7" t="n">
        <ns0:v>-113821.6356271035</ns0:v>
      </ns0:c>
      <ns0:c r="Q1946" s="7" t="n">
        <ns0:v>-274443.0376286944</ns0:v>
      </ns0:c>
      <ns0:c r="R1946" s="7" t="n">
        <ns0:v>-759617.9446342643</ns0:v>
      </ns0:c>
    </ns0:row>
    <ns0:row r="1947" ht="24" customHeight="1">
      <ns0:c r="A1947" s="3" t="inlineStr">
        <ns0:is>
          <ns0:t>混在40/30/30</ns0:t>
        </ns0:is>
      </ns0:c>
      <ns0:c r="B1947" s="3" t="inlineStr">
        <ns0:is>
          <ns0:t>G3三段階</ns0:t>
        </ns0:is>
      </ns0:c>
      <ns0:c r="C1947" s="3" t="inlineStr">
        <ns0:is>
          <ns0:t>C</ns0:t>
        </ns0:is>
      </ns0:c>
      <ns0:c r="D1947" s="4" t="n">
        <ns0:v>2</ns0:v>
      </ns0:c>
      <ns0:c r="E1947" s="4" t="n">
        <ns0:v>500</ns0:v>
      </ns0:c>
      <ns0:c r="F1947" s="6" t="n">
        <ns0:v>0.4</ns0:v>
      </ns0:c>
      <ns0:c r="G1947" s="4" t="n">
        <ns0:v>3</ns0:v>
      </ns0:c>
      <ns0:c r="H1947" s="7" t="n">
        <ns0:v>7358.369713610138</ns0:v>
      </ns0:c>
      <ns0:c r="I1947" s="7" t="n">
        <ns0:v>3033.826328229683</ns0:v>
      </ns0:c>
      <ns0:c r="J1947" s="7" t="n">
        <ns0:v>1213.530531291873</ns0:v>
      </ns0:c>
      <ns0:c r="K1947" s="7" t="n">
        <ns0:v>21</ns0:v>
      </ns0:c>
      <ns0:c r="L1947" s="7" t="n">
        <ns0:v>43</ns0:v>
      </ns0:c>
      <ns0:c r="M1947" s="7" t="n">
        <ns0:v>-20629.7235032317</ns0:v>
      </ns0:c>
      <ns0:c r="N1947" s="7" t="n">
        <ns0:v>26675.48811673454</ns0:v>
      </ns0:c>
      <ns0:c r="O1947" s="7" t="n">
        <ns0:v>80799.76994542938</ns0:v>
      </ns0:c>
      <ns0:c r="P1947" s="7" t="n">
        <ns0:v>216110.4745171666</ns0:v>
      </ns0:c>
      <ns0:c r="Q1947" s="7" t="n">
        <ns0:v>715353.2928041157</ns0:v>
      </ns0:c>
      <ns0:c r="R1947" s="7" t="n">
        <ns0:v>2539703.156808436</ns0:v>
      </ns0:c>
    </ns0:row>
    <ns0:row r="1948" ht="24" customHeight="1">
      <ns0:c r="A1948" s="3" t="inlineStr">
        <ns0:is>
          <ns0:t>混在40/30/30</ns0:t>
        </ns0:is>
      </ns0:c>
      <ns0:c r="B1948" s="3" t="inlineStr">
        <ns0:is>
          <ns0:t>G3三段階</ns0:t>
        </ns0:is>
      </ns0:c>
      <ns0:c r="C1948" s="3" t="inlineStr">
        <ns0:is>
          <ns0:t>C</ns0:t>
        </ns0:is>
      </ns0:c>
      <ns0:c r="D1948" s="4" t="n">
        <ns0:v>2</ns0:v>
      </ns0:c>
      <ns0:c r="E1948" s="4" t="n">
        <ns0:v>500</ns0:v>
      </ns0:c>
      <ns0:c r="F1948" s="6" t="n">
        <ns0:v>0.5</ns0:v>
      </ns0:c>
      <ns0:c r="G1948" s="4" t="n">
        <ns0:v>0</ns0:v>
      </ns0:c>
      <ns0:c r="H1948" s="7" t="n">
        <ns0:v>7358.369713610138</ns0:v>
      </ns0:c>
      <ns0:c r="I1948" s="7" t="n">
        <ns0:v>3033.826328229683</ns0:v>
      </ns0:c>
      <ns0:c r="J1948" s="7" t="n">
        <ns0:v>1516.913164114841</ns0:v>
      </ns0:c>
      <ns0:c r="K1948" s="7" t="n">
        <ns0:v>13</ns0:v>
      </ns0:c>
      <ns0:c r="L1948" s="7" t="n">
        <ns0:v>21</ns0:v>
      </ns0:c>
      <ns0:c r="M1948" s="7" t="n">
        <ns0:v>-13879.84017110461</ns0:v>
      </ns0:c>
      <ns0:c r="N1948" s="7" t="n">
        <ns0:v>46925.13811311583</ns0:v>
      </ns0:c>
      <ns0:c r="O1948" s="7" t="n">
        <ns0:v>114549.1866060649</ns0:v>
      </ns0:c>
      <ns0:c r="P1948" s="7" t="n">
        <ns0:v>283609.3078384375</ns0:v>
      </ns0:c>
      <ns0:c r="Q1948" s="7" t="n">
        <ns0:v>917849.7927679287</ns0:v>
      </ns0:c>
      <ns0:c r="R1948" s="7" t="n">
        <ns0:v>3214691.490021146</ns0:v>
      </ns0:c>
    </ns0:row>
    <ns0:row r="1949" ht="24" customHeight="1">
      <ns0:c r="A1949" s="3" t="inlineStr">
        <ns0:is>
          <ns0:t>混在40/30/30</ns0:t>
        </ns0:is>
      </ns0:c>
      <ns0:c r="B1949" s="3" t="inlineStr">
        <ns0:is>
          <ns0:t>G3三段階</ns0:t>
        </ns0:is>
      </ns0:c>
      <ns0:c r="C1949" s="3" t="inlineStr">
        <ns0:is>
          <ns0:t>C</ns0:t>
        </ns0:is>
      </ns0:c>
      <ns0:c r="D1949" s="4" t="n">
        <ns0:v>2</ns0:v>
      </ns0:c>
      <ns0:c r="E1949" s="4" t="n">
        <ns0:v>500</ns0:v>
      </ns0:c>
      <ns0:c r="F1949" s="6" t="n">
        <ns0:v>0.5</ns0:v>
      </ns0:c>
      <ns0:c r="G1949" s="4" t="n">
        <ns0:v>1</ns0:v>
      </ns0:c>
      <ns0:c r="H1949" s="7" t="n">
        <ns0:v>7358.369713610138</ns0:v>
      </ns0:c>
      <ns0:c r="I1949" s="7" t="n">
        <ns0:v>3033.826328229683</ns0:v>
      </ns0:c>
      <ns0:c r="J1949" s="7" t="n">
        <ns0:v>1516.913164114841</ns0:v>
      </ns0:c>
      <ns0:c r="K1949" s="7" t="n">
        <ns0:v>18</ns0:v>
      </ns0:c>
      <ns0:c r="L1949" s="7" t="n">
        <ns0:v>26</ns0:v>
      </ns0:c>
      <ns0:c r="M1949" s="7" t="n">
        <ns0:v>-17084.39549730951</ns0:v>
      </ns0:c>
      <ns0:c r="N1949" s="7" t="n">
        <ns0:v>37311.47213450112</ns0:v>
      </ns0:c>
      <ns0:c r="O1949" s="7" t="n">
        <ns0:v>98526.40997504035</ns0:v>
      </ns0:c>
      <ns0:c r="P1949" s="7" t="n">
        <ns0:v>251563.7545763885</ns0:v>
      </ns0:c>
      <ns0:c r="Q1949" s="7" t="n">
        <ns0:v>821713.1329817815</ns0:v>
      </ns0:c>
      <ns0:c r="R1949" s="7" t="n">
        <ns0:v>2894235.957400656</ns0:v>
      </ns0:c>
    </ns0:row>
    <ns0:row r="1950" ht="24" customHeight="1">
      <ns0:c r="A1950" s="3" t="inlineStr">
        <ns0:is>
          <ns0:t>混在40/30/30</ns0:t>
        </ns0:is>
      </ns0:c>
      <ns0:c r="B1950" s="3" t="inlineStr">
        <ns0:is>
          <ns0:t>G3三段階</ns0:t>
        </ns0:is>
      </ns0:c>
      <ns0:c r="C1950" s="3" t="inlineStr">
        <ns0:is>
          <ns0:t>C</ns0:t>
        </ns0:is>
      </ns0:c>
      <ns0:c r="D1950" s="4" t="n">
        <ns0:v>2</ns0:v>
      </ns0:c>
      <ns0:c r="E1950" s="4" t="n">
        <ns0:v>500</ns0:v>
      </ns0:c>
      <ns0:c r="F1950" s="6" t="n">
        <ns0:v>0.5</ns0:v>
      </ns0:c>
      <ns0:c r="G1950" s="4" t="n">
        <ns0:v>2</ns0:v>
      </ns0:c>
      <ns0:c r="H1950" s="7" t="n">
        <ns0:v>7358.369713610138</ns0:v>
      </ns0:c>
      <ns0:c r="I1950" s="7" t="n">
        <ns0:v>3033.826328229683</ns0:v>
      </ns0:c>
      <ns0:c r="J1950" s="7" t="n">
        <ns0:v>1516.913164114841</ns0:v>
      </ns0:c>
      <ns0:c r="K1950" s="18" t="inlineStr">
        <ns0:is>
          <ns0:t>範囲内なし</ns0:t>
        </ns0:is>
      </ns0:c>
      <ns0:c r="L1950" s="18" t="inlineStr">
        <ns0:is>
          <ns0:t>範囲内なし</ns0:t>
        </ns0:is>
      </ns0:c>
      <ns0:c r="M1950" s="7" t="n">
        <ns0:v>-56656.76084588839</ns0:v>
      </ns0:c>
      <ns0:c r="N1950" s="7" t="n">
        <ns0:v>-81405.62391123554</ns0:v>
      </ns0:c>
      <ns0:c r="O1950" s="7" t="n">
        <ns0:v>-99335.41676785407</ns0:v>
      </ns0:c>
      <ns0:c r="P1950" s="7" t="n">
        <ns0:v>-144159.8989094003</ns0:v>
      </ns0:c>
      <ns0:c r="Q1950" s="7" t="n">
        <ns0:v>-365457.827475585</ns0:v>
      </ns0:c>
      <ns0:c r="R1950" s="7" t="n">
        <ns0:v>-1063000.577457233</ns0:v>
      </ns0:c>
    </ns0:row>
    <ns0:row r="1951" ht="24" customHeight="1">
      <ns0:c r="A1951" s="3" t="inlineStr">
        <ns0:is>
          <ns0:t>混在40/30/30</ns0:t>
        </ns0:is>
      </ns0:c>
      <ns0:c r="B1951" s="3" t="inlineStr">
        <ns0:is>
          <ns0:t>G3三段階</ns0:t>
        </ns0:is>
      </ns0:c>
      <ns0:c r="C1951" s="3" t="inlineStr">
        <ns0:is>
          <ns0:t>C</ns0:t>
        </ns0:is>
      </ns0:c>
      <ns0:c r="D1951" s="4" t="n">
        <ns0:v>2</ns0:v>
      </ns0:c>
      <ns0:c r="E1951" s="4" t="n">
        <ns0:v>500</ns0:v>
      </ns0:c>
      <ns0:c r="F1951" s="6" t="n">
        <ns0:v>0.5</ns0:v>
      </ns0:c>
      <ns0:c r="G1951" s="4" t="n">
        <ns0:v>3</ns0:v>
      </ns0:c>
      <ns0:c r="H1951" s="7" t="n">
        <ns0:v>7358.369713610138</ns0:v>
      </ns0:c>
      <ns0:c r="I1951" s="7" t="n">
        <ns0:v>3033.826328229683</ns0:v>
      </ns0:c>
      <ns0:c r="J1951" s="7" t="n">
        <ns0:v>1516.913164114841</ns0:v>
      </ns0:c>
      <ns0:c r="K1951" s="7" t="n">
        <ns0:v>23</ns0:v>
      </ns0:c>
      <ns0:c r="L1951" s="7" t="n">
        <ns0:v>49</ns0:v>
      </ns0:c>
      <ns0:c r="M1951" s="7" t="n">
        <ns0:v>-23663.54983146138</ns0:v>
      </ns0:c>
      <ns0:c r="N1951" s="7" t="n">
        <ns0:v>17574.0091320455</ns0:v>
      </ns0:c>
      <ns0:c r="O1951" s="7" t="n">
        <ns0:v>65630.63830428096</ns0:v>
      </ns0:c>
      <ns0:c r="P1951" s="7" t="n">
        <ns0:v>185772.2112348697</ns0:v>
      </ns0:c>
      <ns0:c r="Q1951" s="7" t="n">
        <ns0:v>624338.5029572252</ns0:v>
      </ns0:c>
      <ns0:c r="R1951" s="7" t="n">
        <ns0:v>2236320.523985468</ns0:v>
      </ns0:c>
    </ns0:row>
    <ns0:row r="1952" ht="24" customHeight="1">
      <ns0:c r="A1952" s="3" t="inlineStr">
        <ns0:is>
          <ns0:t>混在40/30/30</ns0:t>
        </ns0:is>
      </ns0:c>
      <ns0:c r="B1952" s="3" t="inlineStr">
        <ns0:is>
          <ns0:t>G3三段階</ns0:t>
        </ns0:is>
      </ns0:c>
      <ns0:c r="C1952" s="3" t="inlineStr">
        <ns0:is>
          <ns0:t>C</ns0:t>
        </ns0:is>
      </ns0:c>
      <ns0:c r="D1952" s="4" t="n">
        <ns0:v>2</ns0:v>
      </ns0:c>
      <ns0:c r="E1952" s="4" t="n">
        <ns0:v>1000</ns0:v>
      </ns0:c>
      <ns0:c r="F1952" s="6" t="n">
        <ns0:v>0.3</ns0:v>
      </ns0:c>
      <ns0:c r="G1952" s="4" t="n">
        <ns0:v>0</ns0:v>
      </ns0:c>
      <ns0:c r="H1952" s="7" t="n">
        <ns0:v>7208.369713610138</ns0:v>
      </ns0:c>
      <ns0:c r="I1952" s="7" t="n">
        <ns0:v>2883.826328229683</ns0:v>
      </ns0:c>
      <ns0:c r="J1952" s="7" t="n">
        <ns0:v>865.1478984689049</ns0:v>
      </ns0:c>
      <ns0:c r="K1952" s="7" t="n">
        <ns0:v>12</ns0:v>
      </ns0:c>
      <ns0:c r="L1952" s="7" t="n">
        <ns0:v>19</ns0:v>
      </ns0:c>
      <ns0:c r="M1952" s="7" t="n">
        <ns0:v>-8808.187514645229</ns0:v>
      </ns0:c>
      <ns0:c r="N1952" s="7" t="n">
        <ns0:v>62140.09608249392</ns0:v>
      </ns0:c>
      <ns0:c r="O1952" s="7" t="n">
        <ns0:v>139907.4498883618</ns0:v>
      </ns0:c>
      <ns0:c r="P1952" s="7" t="n">
        <ns0:v>334325.8344030313</ns0:v>
      </ns0:c>
      <ns0:c r="Q1952" s="7" t="n">
        <ns0:v>1069999.372461709</ns0:v>
      </ns0:c>
      <ns0:c r="R1952" s="7" t="n">
        <ns0:v>3721856.755667083</ns0:v>
      </ns0:c>
    </ns0:row>
    <ns0:row r="1953" ht="24" customHeight="1">
      <ns0:c r="A1953" s="3" t="inlineStr">
        <ns0:is>
          <ns0:t>混在40/30/30</ns0:t>
        </ns0:is>
      </ns0:c>
      <ns0:c r="B1953" s="3" t="inlineStr">
        <ns0:is>
          <ns0:t>G3三段階</ns0:t>
        </ns0:is>
      </ns0:c>
      <ns0:c r="C1953" s="3" t="inlineStr">
        <ns0:is>
          <ns0:t>C</ns0:t>
        </ns0:is>
      </ns0:c>
      <ns0:c r="D1953" s="4" t="n">
        <ns0:v>2</ns0:v>
      </ns0:c>
      <ns0:c r="E1953" s="4" t="n">
        <ns0:v>1000</ns0:v>
      </ns0:c>
      <ns0:c r="F1953" s="6" t="n">
        <ns0:v>0.3</ns0:v>
      </ns0:c>
      <ns0:c r="G1953" s="4" t="n">
        <ns0:v>1</ns0:v>
      </ns0:c>
      <ns0:c r="H1953" s="7" t="n">
        <ns0:v>7208.369713610138</ns0:v>
      </ns0:c>
      <ns0:c r="I1953" s="7" t="n">
        <ns0:v>2883.826328229683</ns0:v>
      </ns0:c>
      <ns0:c r="J1953" s="7" t="n">
        <ns0:v>865.1478984689049</ns0:v>
      </ns0:c>
      <ns0:c r="K1953" s="7" t="n">
        <ns0:v>13</ns0:v>
      </ns0:c>
      <ns0:c r="L1953" s="7" t="n">
        <ns0:v>23</ns0:v>
      </ns0:c>
      <ns0:c r="M1953" s="7" t="n">
        <ns0:v>-12012.74284085013</ns0:v>
      </ns0:c>
      <ns0:c r="N1953" s="7" t="n">
        <ns0:v>52526.4301038792</ns0:v>
      </ns0:c>
      <ns0:c r="O1953" s="7" t="n">
        <ns0:v>123884.6732573372</ns0:v>
      </ns0:c>
      <ns0:c r="P1953" s="7" t="n">
        <ns0:v>302280.2811409823</ns0:v>
      </ns0:c>
      <ns0:c r="Q1953" s="7" t="n">
        <ns0:v>973862.7126755622</ns0:v>
      </ns0:c>
      <ns0:c r="R1953" s="7" t="n">
        <ns0:v>3401401.223046592</ns0:v>
      </ns0:c>
    </ns0:row>
    <ns0:row r="1954" ht="24" customHeight="1">
      <ns0:c r="A1954" s="3" t="inlineStr">
        <ns0:is>
          <ns0:t>混在40/30/30</ns0:t>
        </ns0:is>
      </ns0:c>
      <ns0:c r="B1954" s="3" t="inlineStr">
        <ns0:is>
          <ns0:t>G3三段階</ns0:t>
        </ns0:is>
      </ns0:c>
      <ns0:c r="C1954" s="3" t="inlineStr">
        <ns0:is>
          <ns0:t>C</ns0:t>
        </ns0:is>
      </ns0:c>
      <ns0:c r="D1954" s="4" t="n">
        <ns0:v>2</ns0:v>
      </ns0:c>
      <ns0:c r="E1954" s="4" t="n">
        <ns0:v>1000</ns0:v>
      </ns0:c>
      <ns0:c r="F1954" s="6" t="n">
        <ns0:v>0.3</ns0:v>
      </ns0:c>
      <ns0:c r="G1954" s="4" t="n">
        <ns0:v>2</ns0:v>
      </ns0:c>
      <ns0:c r="H1954" s="7" t="n">
        <ns0:v>7208.369713610138</ns0:v>
      </ns0:c>
      <ns0:c r="I1954" s="7" t="n">
        <ns0:v>2883.826328229683</ns0:v>
      </ns0:c>
      <ns0:c r="J1954" s="7" t="n">
        <ns0:v>865.1478984689049</ns0:v>
      </ns0:c>
      <ns0:c r="K1954" s="18" t="inlineStr">
        <ns0:is>
          <ns0:t>範囲内なし</ns0:t>
        </ns0:is>
      </ns0:c>
      <ns0:c r="L1954" s="18" t="inlineStr">
        <ns0:is>
          <ns0:t>範囲内なし</ns0:t>
        </ns0:is>
      </ns0:c>
      <ns0:c r="M1954" s="7" t="n">
        <ns0:v>-51585.10818942902</ns0:v>
      </ns0:c>
      <ns0:c r="N1954" s="7" t="n">
        <ns0:v>-66190.66594185744</ns0:v>
      </ns0:c>
      <ns0:c r="O1954" s="7" t="n">
        <ns0:v>-73977.15348555718</ns0:v>
      </ns0:c>
      <ns0:c r="P1954" s="7" t="n">
        <ns0:v>-93443.37234480656</ns0:v>
      </ns0:c>
      <ns0:c r="Q1954" s="7" t="n">
        <ns0:v>-213308.2477818042</ns0:v>
      </ns0:c>
      <ns0:c r="R1954" s="7" t="n">
        <ns0:v>-555835.3118112963</ns0:v>
      </ns0:c>
    </ns0:row>
    <ns0:row r="1955" ht="24" customHeight="1">
      <ns0:c r="A1955" s="3" t="inlineStr">
        <ns0:is>
          <ns0:t>混在40/30/30</ns0:t>
        </ns0:is>
      </ns0:c>
      <ns0:c r="B1955" s="3" t="inlineStr">
        <ns0:is>
          <ns0:t>G3三段階</ns0:t>
        </ns0:is>
      </ns0:c>
      <ns0:c r="C1955" s="3" t="inlineStr">
        <ns0:is>
          <ns0:t>C</ns0:t>
        </ns0:is>
      </ns0:c>
      <ns0:c r="D1955" s="4" t="n">
        <ns0:v>2</ns0:v>
      </ns0:c>
      <ns0:c r="E1955" s="4" t="n">
        <ns0:v>1000</ns0:v>
      </ns0:c>
      <ns0:c r="F1955" s="6" t="n">
        <ns0:v>0.3</ns0:v>
      </ns0:c>
      <ns0:c r="G1955" s="4" t="n">
        <ns0:v>3</ns0:v>
      </ns0:c>
      <ns0:c r="H1955" s="7" t="n">
        <ns0:v>7208.369713610138</ns0:v>
      </ns0:c>
      <ns0:c r="I1955" s="7" t="n">
        <ns0:v>2883.826328229683</ns0:v>
      </ns0:c>
      <ns0:c r="J1955" s="7" t="n">
        <ns0:v>865.1478984689049</ns0:v>
      </ns0:c>
      <ns0:c r="K1955" s="7" t="n">
        <ns0:v>19</ns0:v>
      </ns0:c>
      <ns0:c r="L1955" s="7" t="n">
        <ns0:v>40</ns0:v>
      </ns0:c>
      <ns0:c r="M1955" s="7" t="n">
        <ns0:v>-18591.89717500201</ns0:v>
      </ns0:c>
      <ns0:c r="N1955" s="7" t="n">
        <ns0:v>32788.96710142358</ns0:v>
      </ns0:c>
      <ns0:c r="O1955" s="7" t="n">
        <ns0:v>90988.90158657788</ns0:v>
      </ns0:c>
      <ns0:c r="P1955" s="7" t="n">
        <ns0:v>236488.7377994635</ns0:v>
      </ns0:c>
      <ns0:c r="Q1955" s="7" t="n">
        <ns0:v>776488.0826510059</ns0:v>
      </ns0:c>
      <ns0:c r="R1955" s="7" t="n">
        <ns0:v>2743485.789631405</ns0:v>
      </ns0:c>
    </ns0:row>
    <ns0:row r="1956" ht="24" customHeight="1">
      <ns0:c r="A1956" s="3" t="inlineStr">
        <ns0:is>
          <ns0:t>混在40/30/30</ns0:t>
        </ns0:is>
      </ns0:c>
      <ns0:c r="B1956" s="3" t="inlineStr">
        <ns0:is>
          <ns0:t>G3三段階</ns0:t>
        </ns0:is>
      </ns0:c>
      <ns0:c r="C1956" s="3" t="inlineStr">
        <ns0:is>
          <ns0:t>C</ns0:t>
        </ns0:is>
      </ns0:c>
      <ns0:c r="D1956" s="4" t="n">
        <ns0:v>2</ns0:v>
      </ns0:c>
      <ns0:c r="E1956" s="4" t="n">
        <ns0:v>1000</ns0:v>
      </ns0:c>
      <ns0:c r="F1956" s="6" t="n">
        <ns0:v>0.4</ns0:v>
      </ns0:c>
      <ns0:c r="G1956" s="4" t="n">
        <ns0:v>0</ns0:v>
      </ns0:c>
      <ns0:c r="H1956" s="7" t="n">
        <ns0:v>7208.369713610138</ns0:v>
      </ns0:c>
      <ns0:c r="I1956" s="7" t="n">
        <ns0:v>2883.826328229683</ns0:v>
      </ns0:c>
      <ns0:c r="J1956" s="7" t="n">
        <ns0:v>1153.530531291873</ns0:v>
      </ns0:c>
      <ns0:c r="K1956" s="7" t="n">
        <ns0:v>13</ns0:v>
      </ns0:c>
      <ns0:c r="L1956" s="7" t="n">
        <ns0:v>20</ns0:v>
      </ns0:c>
      <ns0:c r="M1956" s="7" t="n">
        <ns0:v>-11692.01384287492</ns0:v>
      </ns0:c>
      <ns0:c r="N1956" s="7" t="n">
        <ns0:v>53488.61709780486</ns0:v>
      </ns0:c>
      <ns0:c r="O1956" s="7" t="n">
        <ns0:v>125488.3182472133</ns0:v>
      </ns0:c>
      <ns0:c r="P1956" s="7" t="n">
        <ns0:v>305487.5711207344</ns0:v>
      </ns0:c>
      <ns0:c r="Q1956" s="7" t="n">
        <ns0:v>983484.5826148188</ns0:v>
      </ns0:c>
      <ns0:c r="R1956" s="7" t="n">
        <ns0:v>3433474.122844114</ns0:v>
      </ns0:c>
    </ns0:row>
    <ns0:row r="1957" ht="24" customHeight="1">
      <ns0:c r="A1957" s="3" t="inlineStr">
        <ns0:is>
          <ns0:t>混在40/30/30</ns0:t>
        </ns0:is>
      </ns0:c>
      <ns0:c r="B1957" s="3" t="inlineStr">
        <ns0:is>
          <ns0:t>G3三段階</ns0:t>
        </ns0:is>
      </ns0:c>
      <ns0:c r="C1957" s="3" t="inlineStr">
        <ns0:is>
          <ns0:t>C</ns0:t>
        </ns0:is>
      </ns0:c>
      <ns0:c r="D1957" s="4" t="n">
        <ns0:v>2</ns0:v>
      </ns0:c>
      <ns0:c r="E1957" s="4" t="n">
        <ns0:v>1000</ns0:v>
      </ns0:c>
      <ns0:c r="F1957" s="6" t="n">
        <ns0:v>0.4</ns0:v>
      </ns0:c>
      <ns0:c r="G1957" s="4" t="n">
        <ns0:v>1</ns0:v>
      </ns0:c>
      <ns0:c r="H1957" s="7" t="n">
        <ns0:v>7208.369713610138</ns0:v>
      </ns0:c>
      <ns0:c r="I1957" s="7" t="n">
        <ns0:v>2883.826328229683</ns0:v>
      </ns0:c>
      <ns0:c r="J1957" s="7" t="n">
        <ns0:v>1153.530531291873</ns0:v>
      </ns0:c>
      <ns0:c r="K1957" s="7" t="n">
        <ns0:v>16</ns0:v>
      </ns0:c>
      <ns0:c r="L1957" s="7" t="n">
        <ns0:v>24</ns0:v>
      </ns0:c>
      <ns0:c r="M1957" s="7" t="n">
        <ns0:v>-14896.56916907982</ns0:v>
      </ns0:c>
      <ns0:c r="N1957" s="7" t="n">
        <ns0:v>43874.95111919015</ns0:v>
      </ns0:c>
      <ns0:c r="O1957" s="7" t="n">
        <ns0:v>109465.5416161888</ns0:v>
      </ns0:c>
      <ns0:c r="P1957" s="7" t="n">
        <ns0:v>273442.0178586855</ns0:v>
      </ns0:c>
      <ns0:c r="Q1957" s="7" t="n">
        <ns0:v>887347.9228286715</ns0:v>
      </ns0:c>
      <ns0:c r="R1957" s="7" t="n">
        <ns0:v>3113018.590223623</ns0:v>
      </ns0:c>
    </ns0:row>
    <ns0:row r="1958" ht="24" customHeight="1">
      <ns0:c r="A1958" s="3" t="inlineStr">
        <ns0:is>
          <ns0:t>混在40/30/30</ns0:t>
        </ns0:is>
      </ns0:c>
      <ns0:c r="B1958" s="3" t="inlineStr">
        <ns0:is>
          <ns0:t>G3三段階</ns0:t>
        </ns0:is>
      </ns0:c>
      <ns0:c r="C1958" s="3" t="inlineStr">
        <ns0:is>
          <ns0:t>C</ns0:t>
        </ns0:is>
      </ns0:c>
      <ns0:c r="D1958" s="4" t="n">
        <ns0:v>2</ns0:v>
      </ns0:c>
      <ns0:c r="E1958" s="4" t="n">
        <ns0:v>1000</ns0:v>
      </ns0:c>
      <ns0:c r="F1958" s="6" t="n">
        <ns0:v>0.4</ns0:v>
      </ns0:c>
      <ns0:c r="G1958" s="4" t="n">
        <ns0:v>2</ns0:v>
      </ns0:c>
      <ns0:c r="H1958" s="7" t="n">
        <ns0:v>7208.369713610138</ns0:v>
      </ns0:c>
      <ns0:c r="I1958" s="7" t="n">
        <ns0:v>2883.826328229683</ns0:v>
      </ns0:c>
      <ns0:c r="J1958" s="7" t="n">
        <ns0:v>1153.530531291873</ns0:v>
      </ns0:c>
      <ns0:c r="K1958" s="18" t="inlineStr">
        <ns0:is>
          <ns0:t>範囲内なし</ns0:t>
        </ns0:is>
      </ns0:c>
      <ns0:c r="L1958" s="18" t="inlineStr">
        <ns0:is>
          <ns0:t>範囲内なし</ns0:t>
        </ns0:is>
      </ns0:c>
      <ns0:c r="M1958" s="7" t="n">
        <ns0:v>-54468.9345176587</ns0:v>
      </ns0:c>
      <ns0:c r="N1958" s="7" t="n">
        <ns0:v>-74842.14492654652</ns0:v>
      </ns0:c>
      <ns0:c r="O1958" s="7" t="n">
        <ns0:v>-88396.2851267056</ns0:v>
      </ns0:c>
      <ns0:c r="P1958" s="7" t="n">
        <ns0:v>-122281.6356271034</ns0:v>
      </ns0:c>
      <ns0:c r="Q1958" s="7" t="n">
        <ns0:v>-299823.0376286948</ns0:v>
      </ns0:c>
      <ns0:c r="R1958" s="7" t="n">
        <ns0:v>-844217.9446342648</ns0:v>
      </ns0:c>
    </ns0:row>
    <ns0:row r="1959" ht="24" customHeight="1">
      <ns0:c r="A1959" s="3" t="inlineStr">
        <ns0:is>
          <ns0:t>混在40/30/30</ns0:t>
        </ns0:is>
      </ns0:c>
      <ns0:c r="B1959" s="3" t="inlineStr">
        <ns0:is>
          <ns0:t>G3三段階</ns0:t>
        </ns0:is>
      </ns0:c>
      <ns0:c r="C1959" s="3" t="inlineStr">
        <ns0:is>
          <ns0:t>C</ns0:t>
        </ns0:is>
      </ns0:c>
      <ns0:c r="D1959" s="4" t="n">
        <ns0:v>2</ns0:v>
      </ns0:c>
      <ns0:c r="E1959" s="4" t="n">
        <ns0:v>1000</ns0:v>
      </ns0:c>
      <ns0:c r="F1959" s="6" t="n">
        <ns0:v>0.4</ns0:v>
      </ns0:c>
      <ns0:c r="G1959" s="4" t="n">
        <ns0:v>3</ns0:v>
      </ns0:c>
      <ns0:c r="H1959" s="7" t="n">
        <ns0:v>7208.369713610138</ns0:v>
      </ns0:c>
      <ns0:c r="I1959" s="7" t="n">
        <ns0:v>2883.826328229683</ns0:v>
      </ns0:c>
      <ns0:c r="J1959" s="7" t="n">
        <ns0:v>1153.530531291873</ns0:v>
      </ns0:c>
      <ns0:c r="K1959" s="7" t="n">
        <ns0:v>21</ns0:v>
      </ns0:c>
      <ns0:c r="L1959" s="7" t="n">
        <ns0:v>45</ns0:v>
      </ns0:c>
      <ns0:c r="M1959" s="7" t="n">
        <ns0:v>-21475.7235032317</ns0:v>
      </ns0:c>
      <ns0:c r="N1959" s="7" t="n">
        <ns0:v>24137.48811673452</ns0:v>
      </ns0:c>
      <ns0:c r="O1959" s="7" t="n">
        <ns0:v>76569.76994542943</ns0:v>
      </ns0:c>
      <ns0:c r="P1959" s="7" t="n">
        <ns0:v>207650.4745171667</ns0:v>
      </ns0:c>
      <ns0:c r="Q1959" s="7" t="n">
        <ns0:v>689973.2928041153</ns0:v>
      </ns0:c>
      <ns0:c r="R1959" s="7" t="n">
        <ns0:v>2455103.156808436</ns0:v>
      </ns0:c>
    </ns0:row>
    <ns0:row r="1960" ht="24" customHeight="1">
      <ns0:c r="A1960" s="3" t="inlineStr">
        <ns0:is>
          <ns0:t>混在40/30/30</ns0:t>
        </ns0:is>
      </ns0:c>
      <ns0:c r="B1960" s="3" t="inlineStr">
        <ns0:is>
          <ns0:t>G3三段階</ns0:t>
        </ns0:is>
      </ns0:c>
      <ns0:c r="C1960" s="3" t="inlineStr">
        <ns0:is>
          <ns0:t>C</ns0:t>
        </ns0:is>
      </ns0:c>
      <ns0:c r="D1960" s="4" t="n">
        <ns0:v>2</ns0:v>
      </ns0:c>
      <ns0:c r="E1960" s="4" t="n">
        <ns0:v>1000</ns0:v>
      </ns0:c>
      <ns0:c r="F1960" s="6" t="n">
        <ns0:v>0.5</ns0:v>
      </ns0:c>
      <ns0:c r="G1960" s="4" t="n">
        <ns0:v>0</ns0:v>
      </ns0:c>
      <ns0:c r="H1960" s="7" t="n">
        <ns0:v>7208.369713610138</ns0:v>
      </ns0:c>
      <ns0:c r="I1960" s="7" t="n">
        <ns0:v>2883.826328229683</ns0:v>
      </ns0:c>
      <ns0:c r="J1960" s="7" t="n">
        <ns0:v>1441.913164114841</ns0:v>
      </ns0:c>
      <ns0:c r="K1960" s="7" t="n">
        <ns0:v>16</ns0:v>
      </ns0:c>
      <ns0:c r="L1960" s="7" t="n">
        <ns0:v>21</ns0:v>
      </ns0:c>
      <ns0:c r="M1960" s="7" t="n">
        <ns0:v>-14575.8401711046</ns0:v>
      </ns0:c>
      <ns0:c r="N1960" s="7" t="n">
        <ns0:v>44837.13811311582</ns0:v>
      </ns0:c>
      <ns0:c r="O1960" s="7" t="n">
        <ns0:v>111069.1866060649</ns0:v>
      </ns0:c>
      <ns0:c r="P1960" s="7" t="n">
        <ns0:v>276649.3078384376</ns0:v>
      </ns0:c>
      <ns0:c r="Q1960" s="7" t="n">
        <ns0:v>896969.7927679284</ns0:v>
      </ns0:c>
      <ns0:c r="R1960" s="7" t="n">
        <ns0:v>3145091.490021146</ns0:v>
      </ns0:c>
    </ns0:row>
    <ns0:row r="1961" ht="24" customHeight="1">
      <ns0:c r="A1961" s="3" t="inlineStr">
        <ns0:is>
          <ns0:t>混在40/30/30</ns0:t>
        </ns0:is>
      </ns0:c>
      <ns0:c r="B1961" s="3" t="inlineStr">
        <ns0:is>
          <ns0:t>G3三段階</ns0:t>
        </ns0:is>
      </ns0:c>
      <ns0:c r="C1961" s="3" t="inlineStr">
        <ns0:is>
          <ns0:t>C</ns0:t>
        </ns0:is>
      </ns0:c>
      <ns0:c r="D1961" s="4" t="n">
        <ns0:v>2</ns0:v>
      </ns0:c>
      <ns0:c r="E1961" s="4" t="n">
        <ns0:v>1000</ns0:v>
      </ns0:c>
      <ns0:c r="F1961" s="6" t="n">
        <ns0:v>0.5</ns0:v>
      </ns0:c>
      <ns0:c r="G1961" s="4" t="n">
        <ns0:v>1</ns0:v>
      </ns0:c>
      <ns0:c r="H1961" s="7" t="n">
        <ns0:v>7208.369713610138</ns0:v>
      </ns0:c>
      <ns0:c r="I1961" s="7" t="n">
        <ns0:v>2883.826328229683</ns0:v>
      </ns0:c>
      <ns0:c r="J1961" s="7" t="n">
        <ns0:v>1441.913164114841</ns0:v>
      </ns0:c>
      <ns0:c r="K1961" s="7" t="n">
        <ns0:v>19</ns0:v>
      </ns0:c>
      <ns0:c r="L1961" s="7" t="n">
        <ns0:v>26</ns0:v>
      </ns0:c>
      <ns0:c r="M1961" s="7" t="n">
        <ns0:v>-17780.3954973095</ns0:v>
      </ns0:c>
      <ns0:c r="N1961" s="7" t="n">
        <ns0:v>35223.47213450111</ns0:v>
      </ns0:c>
      <ns0:c r="O1961" s="7" t="n">
        <ns0:v>95046.40997504038</ns0:v>
      </ns0:c>
      <ns0:c r="P1961" s="7" t="n">
        <ns0:v>244603.7545763886</ns0:v>
      </ns0:c>
      <ns0:c r="Q1961" s="7" t="n">
        <ns0:v>800833.1329817813</ns0:v>
      </ns0:c>
      <ns0:c r="R1961" s="7" t="n">
        <ns0:v>2824635.957400655</ns0:v>
      </ns0:c>
    </ns0:row>
    <ns0:row r="1962" ht="24" customHeight="1">
      <ns0:c r="A1962" s="3" t="inlineStr">
        <ns0:is>
          <ns0:t>混在40/30/30</ns0:t>
        </ns0:is>
      </ns0:c>
      <ns0:c r="B1962" s="3" t="inlineStr">
        <ns0:is>
          <ns0:t>G3三段階</ns0:t>
        </ns0:is>
      </ns0:c>
      <ns0:c r="C1962" s="3" t="inlineStr">
        <ns0:is>
          <ns0:t>C</ns0:t>
        </ns0:is>
      </ns0:c>
      <ns0:c r="D1962" s="4" t="n">
        <ns0:v>2</ns0:v>
      </ns0:c>
      <ns0:c r="E1962" s="4" t="n">
        <ns0:v>1000</ns0:v>
      </ns0:c>
      <ns0:c r="F1962" s="6" t="n">
        <ns0:v>0.5</ns0:v>
      </ns0:c>
      <ns0:c r="G1962" s="4" t="n">
        <ns0:v>2</ns0:v>
      </ns0:c>
      <ns0:c r="H1962" s="7" t="n">
        <ns0:v>7208.369713610138</ns0:v>
      </ns0:c>
      <ns0:c r="I1962" s="7" t="n">
        <ns0:v>2883.826328229683</ns0:v>
      </ns0:c>
      <ns0:c r="J1962" s="7" t="n">
        <ns0:v>1441.913164114841</ns0:v>
      </ns0:c>
      <ns0:c r="K1962" s="18" t="inlineStr">
        <ns0:is>
          <ns0:t>範囲内なし</ns0:t>
        </ns0:is>
      </ns0:c>
      <ns0:c r="L1962" s="18" t="inlineStr">
        <ns0:is>
          <ns0:t>範囲内なし</ns0:t>
        </ns0:is>
      </ns0:c>
      <ns0:c r="M1962" s="7" t="n">
        <ns0:v>-57352.76084588839</ns0:v>
      </ns0:c>
      <ns0:c r="N1962" s="7" t="n">
        <ns0:v>-83493.62391123555</ns0:v>
      </ns0:c>
      <ns0:c r="O1962" s="7" t="n">
        <ns0:v>-102815.416767854</ns0:v>
      </ns0:c>
      <ns0:c r="P1962" s="7" t="n">
        <ns0:v>-151119.8989094003</ns0:v>
      </ns0:c>
      <ns0:c r="Q1962" s="7" t="n">
        <ns0:v>-386337.8274755852</ns0:v>
      </ns0:c>
      <ns0:c r="R1962" s="7" t="n">
        <ns0:v>-1132600.577457233</ns0:v>
      </ns0:c>
    </ns0:row>
    <ns0:row r="1963" ht="24" customHeight="1">
      <ns0:c r="A1963" s="3" t="inlineStr">
        <ns0:is>
          <ns0:t>混在40/30/30</ns0:t>
        </ns0:is>
      </ns0:c>
      <ns0:c r="B1963" s="3" t="inlineStr">
        <ns0:is>
          <ns0:t>G3三段階</ns0:t>
        </ns0:is>
      </ns0:c>
      <ns0:c r="C1963" s="3" t="inlineStr">
        <ns0:is>
          <ns0:t>C</ns0:t>
        </ns0:is>
      </ns0:c>
      <ns0:c r="D1963" s="4" t="n">
        <ns0:v>2</ns0:v>
      </ns0:c>
      <ns0:c r="E1963" s="4" t="n">
        <ns0:v>1000</ns0:v>
      </ns0:c>
      <ns0:c r="F1963" s="6" t="n">
        <ns0:v>0.5</ns0:v>
      </ns0:c>
      <ns0:c r="G1963" s="4" t="n">
        <ns0:v>3</ns0:v>
      </ns0:c>
      <ns0:c r="H1963" s="7" t="n">
        <ns0:v>7208.369713610138</ns0:v>
      </ns0:c>
      <ns0:c r="I1963" s="7" t="n">
        <ns0:v>2883.826328229683</ns0:v>
      </ns0:c>
      <ns0:c r="J1963" s="7" t="n">
        <ns0:v>1441.913164114841</ns0:v>
      </ns0:c>
      <ns0:c r="K1963" s="7" t="n">
        <ns0:v>24</ns0:v>
      </ns0:c>
      <ns0:c r="L1963" s="7" t="n">
        <ns0:v>51</ns0:v>
      </ns0:c>
      <ns0:c r="M1963" s="7" t="n">
        <ns0:v>-24359.54983146138</ns0:v>
      </ns0:c>
      <ns0:c r="N1963" s="7" t="n">
        <ns0:v>15486.00913204548</ns0:v>
      </ns0:c>
      <ns0:c r="O1963" s="7" t="n">
        <ns0:v>62150.63830428101</ns0:v>
      </ns0:c>
      <ns0:c r="P1963" s="7" t="n">
        <ns0:v>178812.2112348698</ns0:v>
      </ns0:c>
      <ns0:c r="Q1963" s="7" t="n">
        <ns0:v>603458.502957225</ns0:v>
      </ns0:c>
      <ns0:c r="R1963" s="7" t="n">
        <ns0:v>2166720.523985468</ns0:v>
      </ns0:c>
    </ns0:row>
    <ns0:row r="1964" ht="24" customHeight="1">
      <ns0:c r="A1964" s="3" t="inlineStr">
        <ns0:is>
          <ns0:t>混在40/30/30</ns0:t>
        </ns0:is>
      </ns0:c>
      <ns0:c r="B1964" s="3" t="inlineStr">
        <ns0:is>
          <ns0:t>G3三段階</ns0:t>
        </ns0:is>
      </ns0:c>
      <ns0:c r="C1964" s="3" t="inlineStr">
        <ns0:is>
          <ns0:t>C</ns0:t>
        </ns0:is>
      </ns0:c>
      <ns0:c r="D1964" s="4" t="n">
        <ns0:v>2</ns0:v>
      </ns0:c>
      <ns0:c r="E1964" s="4" t="n">
        <ns0:v>1500</ns0:v>
      </ns0:c>
      <ns0:c r="F1964" s="6" t="n">
        <ns0:v>0.3</ns0:v>
      </ns0:c>
      <ns0:c r="G1964" s="4" t="n">
        <ns0:v>0</ns0:v>
      </ns0:c>
      <ns0:c r="H1964" s="7" t="n">
        <ns0:v>7058.369713610138</ns0:v>
      </ns0:c>
      <ns0:c r="I1964" s="7" t="n">
        <ns0:v>2733.826328229683</ns0:v>
      </ns0:c>
      <ns0:c r="J1964" s="7" t="n">
        <ns0:v>820.1478984689049</ns0:v>
      </ns0:c>
      <ns0:c r="K1964" s="7" t="n">
        <ns0:v>12</ns0:v>
      </ns0:c>
      <ns0:c r="L1964" s="7" t="n">
        <ns0:v>19</ns0:v>
      </ns0:c>
      <ns0:c r="M1964" s="7" t="n">
        <ns0:v>-9804.187514645226</ns0:v>
      </ns0:c>
      <ns0:c r="N1964" s="7" t="n">
        <ns0:v>59152.09608249392</ns0:v>
      </ns0:c>
      <ns0:c r="O1964" s="7" t="n">
        <ns0:v>134927.4498883618</ns0:v>
      </ns0:c>
      <ns0:c r="P1964" s="7" t="n">
        <ns0:v>324365.8344030313</ns0:v>
      </ns0:c>
      <ns0:c r="Q1964" s="7" t="n">
        <ns0:v>1040119.37246171</ns0:v>
      </ns0:c>
      <ns0:c r="R1964" s="7" t="n">
        <ns0:v>3622256.755667083</ns0:v>
      </ns0:c>
    </ns0:row>
    <ns0:row r="1965" ht="24" customHeight="1">
      <ns0:c r="A1965" s="3" t="inlineStr">
        <ns0:is>
          <ns0:t>混在40/30/30</ns0:t>
        </ns0:is>
      </ns0:c>
      <ns0:c r="B1965" s="3" t="inlineStr">
        <ns0:is>
          <ns0:t>G3三段階</ns0:t>
        </ns0:is>
      </ns0:c>
      <ns0:c r="C1965" s="3" t="inlineStr">
        <ns0:is>
          <ns0:t>C</ns0:t>
        </ns0:is>
      </ns0:c>
      <ns0:c r="D1965" s="4" t="n">
        <ns0:v>2</ns0:v>
      </ns0:c>
      <ns0:c r="E1965" s="4" t="n">
        <ns0:v>1500</ns0:v>
      </ns0:c>
      <ns0:c r="F1965" s="6" t="n">
        <ns0:v>0.3</ns0:v>
      </ns0:c>
      <ns0:c r="G1965" s="4" t="n">
        <ns0:v>1</ns0:v>
      </ns0:c>
      <ns0:c r="H1965" s="7" t="n">
        <ns0:v>7058.369713610138</ns0:v>
      </ns0:c>
      <ns0:c r="I1965" s="7" t="n">
        <ns0:v>2733.826328229683</ns0:v>
      </ns0:c>
      <ns0:c r="J1965" s="7" t="n">
        <ns0:v>820.1478984689049</ns0:v>
      </ns0:c>
      <ns0:c r="K1965" s="7" t="n">
        <ns0:v>13</ns0:v>
      </ns0:c>
      <ns0:c r="L1965" s="7" t="n">
        <ns0:v>23</ns0:v>
      </ns0:c>
      <ns0:c r="M1965" s="7" t="n">
        <ns0:v>-13008.74284085013</ns0:v>
      </ns0:c>
      <ns0:c r="N1965" s="7" t="n">
        <ns0:v>49538.4301038792</ns0:v>
      </ns0:c>
      <ns0:c r="O1965" s="7" t="n">
        <ns0:v>118904.6732573372</ns0:v>
      </ns0:c>
      <ns0:c r="P1965" s="7" t="n">
        <ns0:v>292320.2811409823</ns0:v>
      </ns0:c>
      <ns0:c r="Q1965" s="7" t="n">
        <ns0:v>943982.7126755624</ns0:v>
      </ns0:c>
      <ns0:c r="R1965" s="7" t="n">
        <ns0:v>3301801.223046592</ns0:v>
      </ns0:c>
    </ns0:row>
    <ns0:row r="1966" ht="24" customHeight="1">
      <ns0:c r="A1966" s="3" t="inlineStr">
        <ns0:is>
          <ns0:t>混在40/30/30</ns0:t>
        </ns0:is>
      </ns0:c>
      <ns0:c r="B1966" s="3" t="inlineStr">
        <ns0:is>
          <ns0:t>G3三段階</ns0:t>
        </ns0:is>
      </ns0:c>
      <ns0:c r="C1966" s="3" t="inlineStr">
        <ns0:is>
          <ns0:t>C</ns0:t>
        </ns0:is>
      </ns0:c>
      <ns0:c r="D1966" s="4" t="n">
        <ns0:v>2</ns0:v>
      </ns0:c>
      <ns0:c r="E1966" s="4" t="n">
        <ns0:v>1500</ns0:v>
      </ns0:c>
      <ns0:c r="F1966" s="6" t="n">
        <ns0:v>0.3</ns0:v>
      </ns0:c>
      <ns0:c r="G1966" s="4" t="n">
        <ns0:v>2</ns0:v>
      </ns0:c>
      <ns0:c r="H1966" s="7" t="n">
        <ns0:v>7058.369713610138</ns0:v>
      </ns0:c>
      <ns0:c r="I1966" s="7" t="n">
        <ns0:v>2733.826328229683</ns0:v>
      </ns0:c>
      <ns0:c r="J1966" s="7" t="n">
        <ns0:v>820.1478984689049</ns0:v>
      </ns0:c>
      <ns0:c r="K1966" s="18" t="inlineStr">
        <ns0:is>
          <ns0:t>範囲内なし</ns0:t>
        </ns0:is>
      </ns0:c>
      <ns0:c r="L1966" s="18" t="inlineStr">
        <ns0:is>
          <ns0:t>範囲内なし</ns0:t>
        </ns0:is>
      </ns0:c>
      <ns0:c r="M1966" s="7" t="n">
        <ns0:v>-52581.10818942901</ns0:v>
      </ns0:c>
      <ns0:c r="N1966" s="7" t="n">
        <ns0:v>-69178.66594185744</ns0:v>
      </ns0:c>
      <ns0:c r="O1966" s="7" t="n">
        <ns0:v>-78957.15348555718</ns0:v>
      </ns0:c>
      <ns0:c r="P1966" s="7" t="n">
        <ns0:v>-103403.3723448066</ns0:v>
      </ns0:c>
      <ns0:c r="Q1966" s="7" t="n">
        <ns0:v>-243188.2477818041</ns0:v>
      </ns0:c>
      <ns0:c r="R1966" s="7" t="n">
        <ns0:v>-655435.3118112963</ns0:v>
      </ns0:c>
    </ns0:row>
    <ns0:row r="1967" ht="24" customHeight="1">
      <ns0:c r="A1967" s="3" t="inlineStr">
        <ns0:is>
          <ns0:t>混在40/30/30</ns0:t>
        </ns0:is>
      </ns0:c>
      <ns0:c r="B1967" s="3" t="inlineStr">
        <ns0:is>
          <ns0:t>G3三段階</ns0:t>
        </ns0:is>
      </ns0:c>
      <ns0:c r="C1967" s="3" t="inlineStr">
        <ns0:is>
          <ns0:t>C</ns0:t>
        </ns0:is>
      </ns0:c>
      <ns0:c r="D1967" s="4" t="n">
        <ns0:v>2</ns0:v>
      </ns0:c>
      <ns0:c r="E1967" s="4" t="n">
        <ns0:v>1500</ns0:v>
      </ns0:c>
      <ns0:c r="F1967" s="6" t="n">
        <ns0:v>0.3</ns0:v>
      </ns0:c>
      <ns0:c r="G1967" s="4" t="n">
        <ns0:v>3</ns0:v>
      </ns0:c>
      <ns0:c r="H1967" s="7" t="n">
        <ns0:v>7058.369713610138</ns0:v>
      </ns0:c>
      <ns0:c r="I1967" s="7" t="n">
        <ns0:v>2733.826328229683</ns0:v>
      </ns0:c>
      <ns0:c r="J1967" s="7" t="n">
        <ns0:v>820.1478984689049</ns0:v>
      </ns0:c>
      <ns0:c r="K1967" s="7" t="n">
        <ns0:v>20</ns0:v>
      </ns0:c>
      <ns0:c r="L1967" s="7" t="n">
        <ns0:v>41</ns0:v>
      </ns0:c>
      <ns0:c r="M1967" s="7" t="n">
        <ns0:v>-19587.89717500201</ns0:v>
      </ns0:c>
      <ns0:c r="N1967" s="7" t="n">
        <ns0:v>29800.96710142358</ns0:v>
      </ns0:c>
      <ns0:c r="O1967" s="7" t="n">
        <ns0:v>86008.90158657785</ns0:v>
      </ns0:c>
      <ns0:c r="P1967" s="7" t="n">
        <ns0:v>226528.7377994635</ns0:v>
      </ns0:c>
      <ns0:c r="Q1967" s="7" t="n">
        <ns0:v>746608.0826510061</ns0:v>
      </ns0:c>
      <ns0:c r="R1967" s="7" t="n">
        <ns0:v>2643885.789631405</ns0:v>
      </ns0:c>
    </ns0:row>
    <ns0:row r="1968" ht="24" customHeight="1">
      <ns0:c r="A1968" s="3" t="inlineStr">
        <ns0:is>
          <ns0:t>混在40/30/30</ns0:t>
        </ns0:is>
      </ns0:c>
      <ns0:c r="B1968" s="3" t="inlineStr">
        <ns0:is>
          <ns0:t>G3三段階</ns0:t>
        </ns0:is>
      </ns0:c>
      <ns0:c r="C1968" s="3" t="inlineStr">
        <ns0:is>
          <ns0:t>C</ns0:t>
        </ns0:is>
      </ns0:c>
      <ns0:c r="D1968" s="4" t="n">
        <ns0:v>2</ns0:v>
      </ns0:c>
      <ns0:c r="E1968" s="4" t="n">
        <ns0:v>1500</ns0:v>
      </ns0:c>
      <ns0:c r="F1968" s="6" t="n">
        <ns0:v>0.4</ns0:v>
      </ns0:c>
      <ns0:c r="G1968" s="4" t="n">
        <ns0:v>0</ns0:v>
      </ns0:c>
      <ns0:c r="H1968" s="7" t="n">
        <ns0:v>7058.369713610138</ns0:v>
      </ns0:c>
      <ns0:c r="I1968" s="7" t="n">
        <ns0:v>2733.826328229683</ns0:v>
      </ns0:c>
      <ns0:c r="J1968" s="7" t="n">
        <ns0:v>1093.530531291873</ns0:v>
      </ns0:c>
      <ns0:c r="K1968" s="7" t="n">
        <ns0:v>13</ns0:v>
      </ns0:c>
      <ns0:c r="L1968" s="7" t="n">
        <ns0:v>20</ns0:v>
      </ns0:c>
      <ns0:c r="M1968" s="7" t="n">
        <ns0:v>-12538.01384287492</ns0:v>
      </ns0:c>
      <ns0:c r="N1968" s="7" t="n">
        <ns0:v>50950.61709780486</ns0:v>
      </ns0:c>
      <ns0:c r="O1968" s="7" t="n">
        <ns0:v>121258.3182472133</ns0:v>
      </ns0:c>
      <ns0:c r="P1968" s="7" t="n">
        <ns0:v>297027.5711207344</ns0:v>
      </ns0:c>
      <ns0:c r="Q1968" s="7" t="n">
        <ns0:v>958104.5826148188</ns0:v>
      </ns0:c>
      <ns0:c r="R1968" s="7" t="n">
        <ns0:v>3348874.122844115</ns0:v>
      </ns0:c>
    </ns0:row>
    <ns0:row r="1969" ht="24" customHeight="1">
      <ns0:c r="A1969" s="3" t="inlineStr">
        <ns0:is>
          <ns0:t>混在40/30/30</ns0:t>
        </ns0:is>
      </ns0:c>
      <ns0:c r="B1969" s="3" t="inlineStr">
        <ns0:is>
          <ns0:t>G3三段階</ns0:t>
        </ns0:is>
      </ns0:c>
      <ns0:c r="C1969" s="3" t="inlineStr">
        <ns0:is>
          <ns0:t>C</ns0:t>
        </ns0:is>
      </ns0:c>
      <ns0:c r="D1969" s="4" t="n">
        <ns0:v>2</ns0:v>
      </ns0:c>
      <ns0:c r="E1969" s="4" t="n">
        <ns0:v>1500</ns0:v>
      </ns0:c>
      <ns0:c r="F1969" s="6" t="n">
        <ns0:v>0.4</ns0:v>
      </ns0:c>
      <ns0:c r="G1969" s="4" t="n">
        <ns0:v>1</ns0:v>
      </ns0:c>
      <ns0:c r="H1969" s="7" t="n">
        <ns0:v>7058.369713610138</ns0:v>
      </ns0:c>
      <ns0:c r="I1969" s="7" t="n">
        <ns0:v>2733.826328229683</ns0:v>
      </ns0:c>
      <ns0:c r="J1969" s="7" t="n">
        <ns0:v>1093.530531291873</ns0:v>
      </ns0:c>
      <ns0:c r="K1969" s="7" t="n">
        <ns0:v>18</ns0:v>
      </ns0:c>
      <ns0:c r="L1969" s="7" t="n">
        <ns0:v>25</ns0:v>
      </ns0:c>
      <ns0:c r="M1969" s="7" t="n">
        <ns0:v>-15742.56916907982</ns0:v>
      </ns0:c>
      <ns0:c r="N1969" s="7" t="n">
        <ns0:v>41336.95111919015</ns0:v>
      </ns0:c>
      <ns0:c r="O1969" s="7" t="n">
        <ns0:v>105235.5416161888</ns0:v>
      </ns0:c>
      <ns0:c r="P1969" s="7" t="n">
        <ns0:v>264982.0178586854</ns0:v>
      </ns0:c>
      <ns0:c r="Q1969" s="7" t="n">
        <ns0:v>861967.9228286715</ns0:v>
      </ns0:c>
      <ns0:c r="R1969" s="7" t="n">
        <ns0:v>3028418.590223624</ns0:v>
      </ns0:c>
    </ns0:row>
    <ns0:row r="1970" ht="24" customHeight="1">
      <ns0:c r="A1970" s="3" t="inlineStr">
        <ns0:is>
          <ns0:t>混在40/30/30</ns0:t>
        </ns0:is>
      </ns0:c>
      <ns0:c r="B1970" s="3" t="inlineStr">
        <ns0:is>
          <ns0:t>G3三段階</ns0:t>
        </ns0:is>
      </ns0:c>
      <ns0:c r="C1970" s="3" t="inlineStr">
        <ns0:is>
          <ns0:t>C</ns0:t>
        </ns0:is>
      </ns0:c>
      <ns0:c r="D1970" s="4" t="n">
        <ns0:v>2</ns0:v>
      </ns0:c>
      <ns0:c r="E1970" s="4" t="n">
        <ns0:v>1500</ns0:v>
      </ns0:c>
      <ns0:c r="F1970" s="6" t="n">
        <ns0:v>0.4</ns0:v>
      </ns0:c>
      <ns0:c r="G1970" s="4" t="n">
        <ns0:v>2</ns0:v>
      </ns0:c>
      <ns0:c r="H1970" s="7" t="n">
        <ns0:v>7058.369713610138</ns0:v>
      </ns0:c>
      <ns0:c r="I1970" s="7" t="n">
        <ns0:v>2733.826328229683</ns0:v>
      </ns0:c>
      <ns0:c r="J1970" s="7" t="n">
        <ns0:v>1093.530531291873</ns0:v>
      </ns0:c>
      <ns0:c r="K1970" s="18" t="inlineStr">
        <ns0:is>
          <ns0:t>範囲内なし</ns0:t>
        </ns0:is>
      </ns0:c>
      <ns0:c r="L1970" s="18" t="inlineStr">
        <ns0:is>
          <ns0:t>範囲内なし</ns0:t>
        </ns0:is>
      </ns0:c>
      <ns0:c r="M1970" s="7" t="n">
        <ns0:v>-55314.93451765871</ns0:v>
      </ns0:c>
      <ns0:c r="N1970" s="7" t="n">
        <ns0:v>-77380.14492654651</ns0:v>
      </ns0:c>
      <ns0:c r="O1970" s="7" t="n">
        <ns0:v>-92626.28512670562</ns0:v>
      </ns0:c>
      <ns0:c r="P1970" s="7" t="n">
        <ns0:v>-130741.6356271034</ns0:v>
      </ns0:c>
      <ns0:c r="Q1970" s="7" t="n">
        <ns0:v>-325203.0376286948</ns0:v>
      </ns0:c>
      <ns0:c r="R1970" s="7" t="n">
        <ns0:v>-928817.9446342643</ns0:v>
      </ns0:c>
    </ns0:row>
    <ns0:row r="1971" ht="24" customHeight="1">
      <ns0:c r="A1971" s="3" t="inlineStr">
        <ns0:is>
          <ns0:t>混在40/30/30</ns0:t>
        </ns0:is>
      </ns0:c>
      <ns0:c r="B1971" s="3" t="inlineStr">
        <ns0:is>
          <ns0:t>G3三段階</ns0:t>
        </ns0:is>
      </ns0:c>
      <ns0:c r="C1971" s="3" t="inlineStr">
        <ns0:is>
          <ns0:t>C</ns0:t>
        </ns0:is>
      </ns0:c>
      <ns0:c r="D1971" s="4" t="n">
        <ns0:v>2</ns0:v>
      </ns0:c>
      <ns0:c r="E1971" s="4" t="n">
        <ns0:v>1500</ns0:v>
      </ns0:c>
      <ns0:c r="F1971" s="6" t="n">
        <ns0:v>0.4</ns0:v>
      </ns0:c>
      <ns0:c r="G1971" s="4" t="n">
        <ns0:v>3</ns0:v>
      </ns0:c>
      <ns0:c r="H1971" s="7" t="n">
        <ns0:v>7058.369713610138</ns0:v>
      </ns0:c>
      <ns0:c r="I1971" s="7" t="n">
        <ns0:v>2733.826328229683</ns0:v>
      </ns0:c>
      <ns0:c r="J1971" s="7" t="n">
        <ns0:v>1093.530531291873</ns0:v>
      </ns0:c>
      <ns0:c r="K1971" s="7" t="n">
        <ns0:v>22</ns0:v>
      </ns0:c>
      <ns0:c r="L1971" s="7" t="n">
        <ns0:v>47</ns0:v>
      </ns0:c>
      <ns0:c r="M1971" s="7" t="n">
        <ns0:v>-22321.72350323169</ns0:v>
      </ns0:c>
      <ns0:c r="N1971" s="7" t="n">
        <ns0:v>21599.48811673452</ns0:v>
      </ns0:c>
      <ns0:c r="O1971" s="7" t="n">
        <ns0:v>72339.76994542943</ns0:v>
      </ns0:c>
      <ns0:c r="P1971" s="7" t="n">
        <ns0:v>199190.4745171666</ns0:v>
      </ns0:c>
      <ns0:c r="Q1971" s="7" t="n">
        <ns0:v>664593.2928041153</ns0:v>
      </ns0:c>
      <ns0:c r="R1971" s="7" t="n">
        <ns0:v>2370503.156808436</ns0:v>
      </ns0:c>
    </ns0:row>
    <ns0:row r="1972" ht="24" customHeight="1">
      <ns0:c r="A1972" s="3" t="inlineStr">
        <ns0:is>
          <ns0:t>混在40/30/30</ns0:t>
        </ns0:is>
      </ns0:c>
      <ns0:c r="B1972" s="3" t="inlineStr">
        <ns0:is>
          <ns0:t>G3三段階</ns0:t>
        </ns0:is>
      </ns0:c>
      <ns0:c r="C1972" s="3" t="inlineStr">
        <ns0:is>
          <ns0:t>C</ns0:t>
        </ns0:is>
      </ns0:c>
      <ns0:c r="D1972" s="4" t="n">
        <ns0:v>2</ns0:v>
      </ns0:c>
      <ns0:c r="E1972" s="4" t="n">
        <ns0:v>1500</ns0:v>
      </ns0:c>
      <ns0:c r="F1972" s="6" t="n">
        <ns0:v>0.5</ns0:v>
      </ns0:c>
      <ns0:c r="G1972" s="4" t="n">
        <ns0:v>0</ns0:v>
      </ns0:c>
      <ns0:c r="H1972" s="7" t="n">
        <ns0:v>7058.369713610138</ns0:v>
      </ns0:c>
      <ns0:c r="I1972" s="7" t="n">
        <ns0:v>2733.826328229683</ns0:v>
      </ns0:c>
      <ns0:c r="J1972" s="7" t="n">
        <ns0:v>1366.913164114841</ns0:v>
      </ns0:c>
      <ns0:c r="K1972" s="7" t="n">
        <ns0:v>16</ns0:v>
      </ns0:c>
      <ns0:c r="L1972" s="7" t="n">
        <ns0:v>22</ns0:v>
      </ns0:c>
      <ns0:c r="M1972" s="7" t="n">
        <ns0:v>-15271.84017110459</ns0:v>
      </ns0:c>
      <ns0:c r="N1972" s="7" t="n">
        <ns0:v>42749.13811311582</ns0:v>
      </ns0:c>
      <ns0:c r="O1972" s="7" t="n">
        <ns0:v>107589.1866060649</ns0:v>
      </ns0:c>
      <ns0:c r="P1972" s="7" t="n">
        <ns0:v>269689.3078384376</ns0:v>
      </ns0:c>
      <ns0:c r="Q1972" s="7" t="n">
        <ns0:v>876089.7927679282</ns0:v>
      </ns0:c>
      <ns0:c r="R1972" s="7" t="n">
        <ns0:v>3075491.490021146</ns0:v>
      </ns0:c>
    </ns0:row>
    <ns0:row r="1973" ht="24" customHeight="1">
      <ns0:c r="A1973" s="3" t="inlineStr">
        <ns0:is>
          <ns0:t>混在40/30/30</ns0:t>
        </ns0:is>
      </ns0:c>
      <ns0:c r="B1973" s="3" t="inlineStr">
        <ns0:is>
          <ns0:t>G3三段階</ns0:t>
        </ns0:is>
      </ns0:c>
      <ns0:c r="C1973" s="3" t="inlineStr">
        <ns0:is>
          <ns0:t>C</ns0:t>
        </ns0:is>
      </ns0:c>
      <ns0:c r="D1973" s="4" t="n">
        <ns0:v>2</ns0:v>
      </ns0:c>
      <ns0:c r="E1973" s="4" t="n">
        <ns0:v>1500</ns0:v>
      </ns0:c>
      <ns0:c r="F1973" s="6" t="n">
        <ns0:v>0.5</ns0:v>
      </ns0:c>
      <ns0:c r="G1973" s="4" t="n">
        <ns0:v>1</ns0:v>
      </ns0:c>
      <ns0:c r="H1973" s="7" t="n">
        <ns0:v>7058.369713610138</ns0:v>
      </ns0:c>
      <ns0:c r="I1973" s="7" t="n">
        <ns0:v>2733.826328229683</ns0:v>
      </ns0:c>
      <ns0:c r="J1973" s="7" t="n">
        <ns0:v>1366.913164114841</ns0:v>
      </ns0:c>
      <ns0:c r="K1973" s="7" t="n">
        <ns0:v>19</ns0:v>
      </ns0:c>
      <ns0:c r="L1973" s="7" t="n">
        <ns0:v>27</ns0:v>
      </ns0:c>
      <ns0:c r="M1973" s="7" t="n">
        <ns0:v>-18476.3954973095</ns0:v>
      </ns0:c>
      <ns0:c r="N1973" s="7" t="n">
        <ns0:v>33135.47213450111</ns0:v>
      </ns0:c>
      <ns0:c r="O1973" s="7" t="n">
        <ns0:v>91566.40997504038</ns0:v>
      </ns0:c>
      <ns0:c r="P1973" s="7" t="n">
        <ns0:v>237643.7545763885</ns0:v>
      </ns0:c>
      <ns0:c r="Q1973" s="7" t="n">
        <ns0:v>779953.1329817811</ns0:v>
      </ns0:c>
      <ns0:c r="R1973" s="7" t="n">
        <ns0:v>2755035.957400656</ns0:v>
      </ns0:c>
    </ns0:row>
    <ns0:row r="1974" ht="24" customHeight="1">
      <ns0:c r="A1974" s="3" t="inlineStr">
        <ns0:is>
          <ns0:t>混在40/30/30</ns0:t>
        </ns0:is>
      </ns0:c>
      <ns0:c r="B1974" s="3" t="inlineStr">
        <ns0:is>
          <ns0:t>G3三段階</ns0:t>
        </ns0:is>
      </ns0:c>
      <ns0:c r="C1974" s="3" t="inlineStr">
        <ns0:is>
          <ns0:t>C</ns0:t>
        </ns0:is>
      </ns0:c>
      <ns0:c r="D1974" s="4" t="n">
        <ns0:v>2</ns0:v>
      </ns0:c>
      <ns0:c r="E1974" s="4" t="n">
        <ns0:v>1500</ns0:v>
      </ns0:c>
      <ns0:c r="F1974" s="6" t="n">
        <ns0:v>0.5</ns0:v>
      </ns0:c>
      <ns0:c r="G1974" s="4" t="n">
        <ns0:v>2</ns0:v>
      </ns0:c>
      <ns0:c r="H1974" s="7" t="n">
        <ns0:v>7058.369713610138</ns0:v>
      </ns0:c>
      <ns0:c r="I1974" s="7" t="n">
        <ns0:v>2733.826328229683</ns0:v>
      </ns0:c>
      <ns0:c r="J1974" s="7" t="n">
        <ns0:v>1366.913164114841</ns0:v>
      </ns0:c>
      <ns0:c r="K1974" s="18" t="inlineStr">
        <ns0:is>
          <ns0:t>範囲内なし</ns0:t>
        </ns0:is>
      </ns0:c>
      <ns0:c r="L1974" s="18" t="inlineStr">
        <ns0:is>
          <ns0:t>範囲内なし</ns0:t>
        </ns0:is>
      </ns0:c>
      <ns0:c r="M1974" s="7" t="n">
        <ns0:v>-58048.76084588838</ns0:v>
      </ns0:c>
      <ns0:c r="N1974" s="7" t="n">
        <ns0:v>-85581.62391123555</ns0:v>
      </ns0:c>
      <ns0:c r="O1974" s="7" t="n">
        <ns0:v>-106295.4167678541</ns0:v>
      </ns0:c>
      <ns0:c r="P1974" s="7" t="n">
        <ns0:v>-158079.8989094003</ns0:v>
      </ns0:c>
      <ns0:c r="Q1974" s="7" t="n">
        <ns0:v>-407217.8274755853</ns0:v>
      </ns0:c>
      <ns0:c r="R1974" s="7" t="n">
        <ns0:v>-1202200.577457233</ns0:v>
      </ns0:c>
    </ns0:row>
    <ns0:row r="1975" ht="24" customHeight="1">
      <ns0:c r="A1975" s="3" t="inlineStr">
        <ns0:is>
          <ns0:t>混在40/30/30</ns0:t>
        </ns0:is>
      </ns0:c>
      <ns0:c r="B1975" s="3" t="inlineStr">
        <ns0:is>
          <ns0:t>G3三段階</ns0:t>
        </ns0:is>
      </ns0:c>
      <ns0:c r="C1975" s="3" t="inlineStr">
        <ns0:is>
          <ns0:t>C</ns0:t>
        </ns0:is>
      </ns0:c>
      <ns0:c r="D1975" s="4" t="n">
        <ns0:v>2</ns0:v>
      </ns0:c>
      <ns0:c r="E1975" s="4" t="n">
        <ns0:v>1500</ns0:v>
      </ns0:c>
      <ns0:c r="F1975" s="6" t="n">
        <ns0:v>0.5</ns0:v>
      </ns0:c>
      <ns0:c r="G1975" s="4" t="n">
        <ns0:v>3</ns0:v>
      </ns0:c>
      <ns0:c r="H1975" s="7" t="n">
        <ns0:v>7058.369713610138</ns0:v>
      </ns0:c>
      <ns0:c r="I1975" s="7" t="n">
        <ns0:v>2733.826328229683</ns0:v>
      </ns0:c>
      <ns0:c r="J1975" s="7" t="n">
        <ns0:v>1366.913164114841</ns0:v>
      </ns0:c>
      <ns0:c r="K1975" s="7" t="n">
        <ns0:v>25</ns0:v>
      </ns0:c>
      <ns0:c r="L1975" s="7" t="n">
        <ns0:v>53</ns0:v>
      </ns0:c>
      <ns0:c r="M1975" s="7" t="n">
        <ns0:v>-25055.54983146138</ns0:v>
      </ns0:c>
      <ns0:c r="N1975" s="7" t="n">
        <ns0:v>13398.00913204548</ns0:v>
      </ns0:c>
      <ns0:c r="O1975" s="7" t="n">
        <ns0:v>58670.638304281</ns0:v>
      </ns0:c>
      <ns0:c r="P1975" s="7" t="n">
        <ns0:v>171852.2112348698</ns0:v>
      </ns0:c>
      <ns0:c r="Q1975" s="7" t="n">
        <ns0:v>582578.5029572248</ns0:v>
      </ns0:c>
      <ns0:c r="R1975" s="7" t="n">
        <ns0:v>2097120.523985468</ns0:v>
      </ns0:c>
    </ns0:row>
    <ns0:row r="1976" ht="24" customHeight="1">
      <ns0:c r="A1976" s="3" t="inlineStr">
        <ns0:is>
          <ns0:t>混在40/30/30</ns0:t>
        </ns0:is>
      </ns0:c>
      <ns0:c r="B1976" s="3" t="inlineStr">
        <ns0:is>
          <ns0:t>G3三段階</ns0:t>
        </ns0:is>
      </ns0:c>
      <ns0:c r="C1976" s="3" t="inlineStr">
        <ns0:is>
          <ns0:t>D</ns0:t>
        </ns0:is>
      </ns0:c>
      <ns0:c r="D1976" s="4" t="n">
        <ns0:v>0</ns0:v>
      </ns0:c>
      <ns0:c r="E1976" s="4" t="n">
        <ns0:v>500</ns0:v>
      </ns0:c>
      <ns0:c r="F1976" s="6" t="n">
        <ns0:v>0.3</ns0:v>
      </ns0:c>
      <ns0:c r="G1976" s="4" t="n">
        <ns0:v>0</ns0:v>
      </ns0:c>
      <ns0:c r="H1976" s="7" t="n">
        <ns0:v>4016.195167709637</ns0:v>
      </ns0:c>
      <ns0:c r="I1976" s="7" t="n">
        <ns0:v>2308.579843554443</ns0:v>
      </ns0:c>
      <ns0:c r="J1976" s="7" t="n">
        <ns0:v>692.5739530663327</ns0:v>
      </ns0:c>
      <ns0:c r="K1976" s="7" t="n">
        <ns0:v>30</ns0:v>
      </ns0:c>
      <ns0:c r="L1976" s="7" t="n">
        <ns0:v>64</ns0:v>
      </ns0:c>
      <ns0:c r="M1976" s="7" t="n">
        <ns0:v>-36824.0989451403</ns0:v>
      </ns0:c>
      <ns0:c r="N1976" s="7" t="n">
        <ns0:v>49.57241719469312</ns0:v>
      </ns0:c>
      <ns0:c r="O1976" s="7" t="n">
        <ns0:v>39043.2688108188</ns0:v>
      </ns0:c>
      <ns0:c r="P1976" s="7" t="n">
        <ns0:v>132597.4722479454</ns0:v>
      </ns0:c>
      <ns0:c r="Q1976" s="7" t="n">
        <ns0:v>464814.2859964518</ns0:v>
      </ns0:c>
      <ns0:c r="R1976" s="7" t="n">
        <ns0:v>1704573.134116224</ns0:v>
      </ns0:c>
    </ns0:row>
    <ns0:row r="1977" ht="24" customHeight="1">
      <ns0:c r="A1977" s="3" t="inlineStr">
        <ns0:is>
          <ns0:t>混在40/30/30</ns0:t>
        </ns0:is>
      </ns0:c>
      <ns0:c r="B1977" s="3" t="inlineStr">
        <ns0:is>
          <ns0:t>G3三段階</ns0:t>
        </ns0:is>
      </ns0:c>
      <ns0:c r="C1977" s="3" t="inlineStr">
        <ns0:is>
          <ns0:t>D</ns0:t>
        </ns0:is>
      </ns0:c>
      <ns0:c r="D1977" s="4" t="n">
        <ns0:v>0</ns0:v>
      </ns0:c>
      <ns0:c r="E1977" s="4" t="n">
        <ns0:v>500</ns0:v>
      </ns0:c>
      <ns0:c r="F1977" s="6" t="n">
        <ns0:v>0.3</ns0:v>
      </ns0:c>
      <ns0:c r="G1977" s="4" t="n">
        <ns0:v>1</ns0:v>
      </ns0:c>
      <ns0:c r="H1977" s="7" t="n">
        <ns0:v>4016.195167709637</ns0:v>
      </ns0:c>
      <ns0:c r="I1977" s="7" t="n">
        <ns0:v>2308.579843554443</ns0:v>
      </ns0:c>
      <ns0:c r="J1977" s="7" t="n">
        <ns0:v>692.5739530663327</ns0:v>
      </ns0:c>
      <ns0:c r="K1977" s="7" t="n">
        <ns0:v>34</ns0:v>
      </ns0:c>
      <ns0:c r="L1977" s="7" t="n">
        <ns0:v>176</ns0:v>
      </ns0:c>
      <ns0:c r="M1977" s="7" t="n">
        <ns0:v>-39043.64275700561</ns0:v>
      </ns0:c>
      <ns0:c r="N1977" s="7" t="n">
        <ns0:v>-6609.05901840124</ns0:v>
      </ns0:c>
      <ns0:c r="O1977" s="7" t="n">
        <ns0:v>27945.54975149223</ns0:v>
      </ns0:c>
      <ns0:c r="P1977" s="7" t="n">
        <ns0:v>110402.0341292923</ns0:v>
      </ns0:c>
      <ns0:c r="Q1977" s="7" t="n">
        <ns0:v>398227.9716404924</ns0:v>
      </ns0:c>
      <ns0:c r="R1977" s="7" t="n">
        <ns0:v>1482618.752929693</ns0:v>
      </ns0:c>
    </ns0:row>
    <ns0:row r="1978" ht="24" customHeight="1">
      <ns0:c r="A1978" s="3" t="inlineStr">
        <ns0:is>
          <ns0:t>混在40/30/30</ns0:t>
        </ns0:is>
      </ns0:c>
      <ns0:c r="B1978" s="3" t="inlineStr">
        <ns0:is>
          <ns0:t>G3三段階</ns0:t>
        </ns0:is>
      </ns0:c>
      <ns0:c r="C1978" s="3" t="inlineStr">
        <ns0:is>
          <ns0:t>D</ns0:t>
        </ns0:is>
      </ns0:c>
      <ns0:c r="D1978" s="4" t="n">
        <ns0:v>0</ns0:v>
      </ns0:c>
      <ns0:c r="E1978" s="4" t="n">
        <ns0:v>500</ns0:v>
      </ns0:c>
      <ns0:c r="F1978" s="6" t="n">
        <ns0:v>0.3</ns0:v>
      </ns0:c>
      <ns0:c r="G1978" s="4" t="n">
        <ns0:v>2</ns0:v>
      </ns0:c>
      <ns0:c r="H1978" s="7" t="n">
        <ns0:v>4016.195167709637</ns0:v>
      </ns0:c>
      <ns0:c r="I1978" s="7" t="n">
        <ns0:v>2308.579843554443</ns0:v>
      </ns0:c>
      <ns0:c r="J1978" s="7" t="n">
        <ns0:v>692.5739530663327</ns0:v>
      </ns0:c>
      <ns0:c r="K1978" s="7" t="n">
        <ns0:v>181</ns0:v>
      </ns0:c>
      <ns0:c r="L1978" s="18" t="inlineStr">
        <ns0:is>
          <ns0:t>範囲内なし</ns0:t>
        </ns0:is>
      </ns0:c>
      <ns0:c r="M1978" s="7" t="n">
        <ns0:v>-50181.29904403756</ns0:v>
      </ns0:c>
      <ns0:c r="N1978" s="7" t="n">
        <ns0:v>-40022.02787949707</ns0:v>
      </ns0:c>
      <ns0:c r="O1978" s="7" t="n">
        <ns0:v>-27742.73168366747</ns0:v>
      </ns0:c>
      <ns0:c r="P1978" s="7" t="n">
        <ns0:v>-974.5287410271703</ns0:v>
      </ns0:c>
      <ns0:c r="Q1978" s="7" t="n">
        <ns0:v>64098.28302953416</ns0:v>
      </ns0:c>
      <ns0:c r="R1978" s="7" t="n">
        <ns0:v>368853.1242264989</ns0:v>
      </ns0:c>
    </ns0:row>
    <ns0:row r="1979" ht="24" customHeight="1">
      <ns0:c r="A1979" s="3" t="inlineStr">
        <ns0:is>
          <ns0:t>混在40/30/30</ns0:t>
        </ns0:is>
      </ns0:c>
      <ns0:c r="B1979" s="3" t="inlineStr">
        <ns0:is>
          <ns0:t>G3三段階</ns0:t>
        </ns0:is>
      </ns0:c>
      <ns0:c r="C1979" s="3" t="inlineStr">
        <ns0:is>
          <ns0:t>D</ns0:t>
        </ns0:is>
      </ns0:c>
      <ns0:c r="D1979" s="4" t="n">
        <ns0:v>0</ns0:v>
      </ns0:c>
      <ns0:c r="E1979" s="4" t="n">
        <ns0:v>500</ns0:v>
      </ns0:c>
      <ns0:c r="F1979" s="6" t="n">
        <ns0:v>0.3</ns0:v>
      </ns0:c>
      <ns0:c r="G1979" s="4" t="n">
        <ns0:v>3</ns0:v>
      </ns0:c>
      <ns0:c r="H1979" s="7" t="n">
        <ns0:v>4016.195167709637</ns0:v>
      </ns0:c>
      <ns0:c r="I1979" s="7" t="n">
        <ns0:v>2308.579843554443</ns0:v>
      </ns0:c>
      <ns0:c r="J1979" s="7" t="n">
        <ns0:v>692.5739530663327</ns0:v>
      </ns0:c>
      <ns0:c r="K1979" s="7" t="n">
        <ns0:v>48</ns0:v>
      </ns0:c>
      <ns0:c r="L1979" s="18" t="inlineStr">
        <ns0:is>
          <ns0:t>範囲内なし</ns0:t>
        </ns0:is>
      </ns0:c>
      <ns0:c r="M1979" s="7" t="n">
        <ns0:v>-44167.91372731217</ns0:v>
      </ns0:c>
      <ns0:c r="N1979" s="7" t="n">
        <ns0:v>-21981.87192932091</ns0:v>
      </ns0:c>
      <ns0:c r="O1979" s="7" t="n">
        <ns0:v>2324.194899959446</ns0:v>
      </ns0:c>
      <ns0:c r="P1979" s="7" t="n">
        <ns0:v>59159.3244262267</ns0:v>
      </ns0:c>
      <ns0:c r="Q1979" s="7" t="n">
        <ns0:v>244499.8425312957</ns0:v>
      </ns0:c>
      <ns0:c r="R1979" s="7" t="n">
        <ns0:v>970191.6558990376</ns0:v>
      </ns0:c>
    </ns0:row>
    <ns0:row r="1980" ht="24" customHeight="1">
      <ns0:c r="A1980" s="3" t="inlineStr">
        <ns0:is>
          <ns0:t>混在40/30/30</ns0:t>
        </ns0:is>
      </ns0:c>
      <ns0:c r="B1980" s="3" t="inlineStr">
        <ns0:is>
          <ns0:t>G3三段階</ns0:t>
        </ns0:is>
      </ns0:c>
      <ns0:c r="C1980" s="3" t="inlineStr">
        <ns0:is>
          <ns0:t>D</ns0:t>
        </ns0:is>
      </ns0:c>
      <ns0:c r="D1980" s="4" t="n">
        <ns0:v>0</ns0:v>
      </ns0:c>
      <ns0:c r="E1980" s="4" t="n">
        <ns0:v>500</ns0:v>
      </ns0:c>
      <ns0:c r="F1980" s="6" t="n">
        <ns0:v>0.4</ns0:v>
      </ns0:c>
      <ns0:c r="G1980" s="4" t="n">
        <ns0:v>0</ns0:v>
      </ns0:c>
      <ns0:c r="H1980" s="7" t="n">
        <ns0:v>4016.195167709637</ns0:v>
      </ns0:c>
      <ns0:c r="I1980" s="7" t="n">
        <ns0:v>2308.579843554443</ns0:v>
      </ns0:c>
      <ns0:c r="J1980" s="7" t="n">
        <ns0:v>923.4319374217771</ns0:v>
      </ns0:c>
      <ns0:c r="K1980" s="7" t="n">
        <ns0:v>34</ns0:v>
      </ns0:c>
      <ns0:c r="L1980" s="7" t="n">
        <ns0:v>73</ns0:v>
      </ns0:c>
      <ns0:c r="M1980" s="7" t="n">
        <ns0:v>-39132.67878869474</ns0:v>
      </ns0:c>
      <ns0:c r="N1980" s="7" t="n">
        <ns0:v>-6876.167113468633</ns0:v>
      </ns0:c>
      <ns0:c r="O1980" s="7" t="n">
        <ns0:v>27500.36959304658</ns0:v>
      </ns0:c>
      <ns0:c r="P1980" s="7" t="n">
        <ns0:v>109511.673812401</ns0:v>
      </ns0:c>
      <ns0:c r="Q1980" s="7" t="n">
        <ns0:v>395556.8906898186</ns0:v>
      </ns0:c>
      <ns0:c r="R1980" s="7" t="n">
        <ns0:v>1473715.14976078</ns0:v>
      </ns0:c>
    </ns0:row>
    <ns0:row r="1981" ht="24" customHeight="1">
      <ns0:c r="A1981" s="3" t="inlineStr">
        <ns0:is>
          <ns0:t>混在40/30/30</ns0:t>
        </ns0:is>
      </ns0:c>
      <ns0:c r="B1981" s="3" t="inlineStr">
        <ns0:is>
          <ns0:t>G3三段階</ns0:t>
        </ns0:is>
      </ns0:c>
      <ns0:c r="C1981" s="3" t="inlineStr">
        <ns0:is>
          <ns0:t>D</ns0:t>
        </ns0:is>
      </ns0:c>
      <ns0:c r="D1981" s="4" t="n">
        <ns0:v>0</ns0:v>
      </ns0:c>
      <ns0:c r="E1981" s="4" t="n">
        <ns0:v>500</ns0:v>
      </ns0:c>
      <ns0:c r="F1981" s="6" t="n">
        <ns0:v>0.4</ns0:v>
      </ns0:c>
      <ns0:c r="G1981" s="4" t="n">
        <ns0:v>1</ns0:v>
      </ns0:c>
      <ns0:c r="H1981" s="7" t="n">
        <ns0:v>4016.195167709637</ns0:v>
      </ns0:c>
      <ns0:c r="I1981" s="7" t="n">
        <ns0:v>2308.579843554443</ns0:v>
      </ns0:c>
      <ns0:c r="J1981" s="7" t="n">
        <ns0:v>923.4319374217771</ns0:v>
      </ns0:c>
      <ns0:c r="K1981" s="7" t="n">
        <ns0:v>39</ns0:v>
      </ns0:c>
      <ns0:c r="L1981" s="7" t="n">
        <ns0:v>223</ns0:v>
      </ns0:c>
      <ns0:c r="M1981" s="7" t="n">
        <ns0:v>-41352.22260056005</ns0:v>
      </ns0:c>
      <ns0:c r="N1981" s="7" t="n">
        <ns0:v>-13534.79854906457</ns0:v>
      </ns0:c>
      <ns0:c r="O1981" s="7" t="n">
        <ns0:v>16402.65053372002</ns0:v>
      </ns0:c>
      <ns0:c r="P1981" s="7" t="n">
        <ns0:v>87316.23569374783</ns0:v>
      </ns0:c>
      <ns0:c r="Q1981" s="7" t="n">
        <ns0:v>328970.5763338592</ns0:v>
      </ns0:c>
      <ns0:c r="R1981" s="7" t="n">
        <ns0:v>1251760.768574249</ns0:v>
      </ns0:c>
    </ns0:row>
    <ns0:row r="1982" ht="24" customHeight="1">
      <ns0:c r="A1982" s="3" t="inlineStr">
        <ns0:is>
          <ns0:t>混在40/30/30</ns0:t>
        </ns0:is>
      </ns0:c>
      <ns0:c r="B1982" s="3" t="inlineStr">
        <ns0:is>
          <ns0:t>G3三段階</ns0:t>
        </ns0:is>
      </ns0:c>
      <ns0:c r="C1982" s="3" t="inlineStr">
        <ns0:is>
          <ns0:t>D</ns0:t>
        </ns0:is>
      </ns0:c>
      <ns0:c r="D1982" s="4" t="n">
        <ns0:v>0</ns0:v>
      </ns0:c>
      <ns0:c r="E1982" s="4" t="n">
        <ns0:v>500</ns0:v>
      </ns0:c>
      <ns0:c r="F1982" s="6" t="n">
        <ns0:v>0.4</ns0:v>
      </ns0:c>
      <ns0:c r="G1982" s="4" t="n">
        <ns0:v>2</ns0:v>
      </ns0:c>
      <ns0:c r="H1982" s="7" t="n">
        <ns0:v>4016.195167709637</ns0:v>
      </ns0:c>
      <ns0:c r="I1982" s="7" t="n">
        <ns0:v>2308.579843554443</ns0:v>
      </ns0:c>
      <ns0:c r="J1982" s="7" t="n">
        <ns0:v>923.4319374217771</ns0:v>
      </ns0:c>
      <ns0:c r="K1982" s="7" t="n">
        <ns0:v>317</ns0:v>
      </ns0:c>
      <ns0:c r="L1982" s="18" t="inlineStr">
        <ns0:is>
          <ns0:t>範囲内なし</ns0:t>
        </ns0:is>
      </ns0:c>
      <ns0:c r="M1982" s="7" t="n">
        <ns0:v>-52489.878887592</ns0:v>
      </ns0:c>
      <ns0:c r="N1982" s="7" t="n">
        <ns0:v>-46947.7674101604</ns0:v>
      </ns0:c>
      <ns0:c r="O1982" s="7" t="n">
        <ns0:v>-39285.63090143968</ns0:v>
      </ns0:c>
      <ns0:c r="P1982" s="7" t="n">
        <ns0:v>-24060.32717657159</ns0:v>
      </ns0:c>
      <ns0:c r="Q1982" s="7" t="n">
        <ns0:v>-5159.112277099106</ns0:v>
      </ns0:c>
      <ns0:c r="R1982" s="7" t="n">
        <ns0:v>137995.1398710542</ns0:v>
      </ns0:c>
    </ns0:row>
    <ns0:row r="1983" ht="24" customHeight="1">
      <ns0:c r="A1983" s="3" t="inlineStr">
        <ns0:is>
          <ns0:t>混在40/30/30</ns0:t>
        </ns0:is>
      </ns0:c>
      <ns0:c r="B1983" s="3" t="inlineStr">
        <ns0:is>
          <ns0:t>G3三段階</ns0:t>
        </ns0:is>
      </ns0:c>
      <ns0:c r="C1983" s="3" t="inlineStr">
        <ns0:is>
          <ns0:t>D</ns0:t>
        </ns0:is>
      </ns0:c>
      <ns0:c r="D1983" s="4" t="n">
        <ns0:v>0</ns0:v>
      </ns0:c>
      <ns0:c r="E1983" s="4" t="n">
        <ns0:v>500</ns0:v>
      </ns0:c>
      <ns0:c r="F1983" s="6" t="n">
        <ns0:v>0.4</ns0:v>
      </ns0:c>
      <ns0:c r="G1983" s="4" t="n">
        <ns0:v>3</ns0:v>
      </ns0:c>
      <ns0:c r="H1983" s="7" t="n">
        <ns0:v>4016.195167709637</ns0:v>
      </ns0:c>
      <ns0:c r="I1983" s="7" t="n">
        <ns0:v>2308.579843554443</ns0:v>
      </ns0:c>
      <ns0:c r="J1983" s="7" t="n">
        <ns0:v>923.4319374217771</ns0:v>
      </ns0:c>
      <ns0:c r="K1983" s="7" t="n">
        <ns0:v>61</ns0:v>
      </ns0:c>
      <ns0:c r="L1983" s="18" t="inlineStr">
        <ns0:is>
          <ns0:t>範囲内なし</ns0:t>
        </ns0:is>
      </ns0:c>
      <ns0:c r="M1983" s="7" t="n">
        <ns0:v>-46476.49357086662</ns0:v>
      </ns0:c>
      <ns0:c r="N1983" s="7" t="n">
        <ns0:v>-28907.61145998423</ns0:v>
      </ns0:c>
      <ns0:c r="O1983" s="7" t="n">
        <ns0:v>-9218.704317812764</ns0:v>
      </ns0:c>
      <ns0:c r="P1983" s="7" t="n">
        <ns0:v>36073.52599068227</ns0:v>
      </ns0:c>
      <ns0:c r="Q1983" s="7" t="n">
        <ns0:v>175242.4472246625</ns0:v>
      </ns0:c>
      <ns0:c r="R1983" s="7" t="n">
        <ns0:v>739333.6715435929</ns0:v>
      </ns0:c>
    </ns0:row>
    <ns0:row r="1984" ht="24" customHeight="1">
      <ns0:c r="A1984" s="3" t="inlineStr">
        <ns0:is>
          <ns0:t>混在40/30/30</ns0:t>
        </ns0:is>
      </ns0:c>
      <ns0:c r="B1984" s="3" t="inlineStr">
        <ns0:is>
          <ns0:t>G3三段階</ns0:t>
        </ns0:is>
      </ns0:c>
      <ns0:c r="C1984" s="3" t="inlineStr">
        <ns0:is>
          <ns0:t>D</ns0:t>
        </ns0:is>
      </ns0:c>
      <ns0:c r="D1984" s="4" t="n">
        <ns0:v>0</ns0:v>
      </ns0:c>
      <ns0:c r="E1984" s="4" t="n">
        <ns0:v>500</ns0:v>
      </ns0:c>
      <ns0:c r="F1984" s="6" t="n">
        <ns0:v>0.5</ns0:v>
      </ns0:c>
      <ns0:c r="G1984" s="4" t="n">
        <ns0:v>0</ns0:v>
      </ns0:c>
      <ns0:c r="H1984" s="7" t="n">
        <ns0:v>4016.195167709637</ns0:v>
      </ns0:c>
      <ns0:c r="I1984" s="7" t="n">
        <ns0:v>2308.579843554443</ns0:v>
      </ns0:c>
      <ns0:c r="J1984" s="7" t="n">
        <ns0:v>1154.289921777221</ns0:v>
      </ns0:c>
      <ns0:c r="K1984" s="7" t="n">
        <ns0:v>39</ns0:v>
      </ns0:c>
      <ns0:c r="L1984" s="7" t="n">
        <ns0:v>85</ns0:v>
      </ns0:c>
      <ns0:c r="M1984" s="7" t="n">
        <ns0:v>-41441.25863224918</ns0:v>
      </ns0:c>
      <ns0:c r="N1984" s="7" t="n">
        <ns0:v>-13801.90664413197</ns0:v>
      </ns0:c>
      <ns0:c r="O1984" s="7" t="n">
        <ns0:v>15957.47037527439</ns0:v>
      </ns0:c>
      <ns0:c r="P1984" s="7" t="n">
        <ns0:v>86425.87537685657</ns0:v>
      </ns0:c>
      <ns0:c r="Q1984" s="7" t="n">
        <ns0:v>326299.4953831852</ns0:v>
      </ns0:c>
      <ns0:c r="R1984" s="7" t="n">
        <ns0:v>1242857.165405336</ns0:v>
      </ns0:c>
    </ns0:row>
    <ns0:row r="1985" ht="24" customHeight="1">
      <ns0:c r="A1985" s="3" t="inlineStr">
        <ns0:is>
          <ns0:t>混在40/30/30</ns0:t>
        </ns0:is>
      </ns0:c>
      <ns0:c r="B1985" s="3" t="inlineStr">
        <ns0:is>
          <ns0:t>G3三段階</ns0:t>
        </ns0:is>
      </ns0:c>
      <ns0:c r="C1985" s="3" t="inlineStr">
        <ns0:is>
          <ns0:t>D</ns0:t>
        </ns0:is>
      </ns0:c>
      <ns0:c r="D1985" s="4" t="n">
        <ns0:v>0</ns0:v>
      </ns0:c>
      <ns0:c r="E1985" s="4" t="n">
        <ns0:v>500</ns0:v>
      </ns0:c>
      <ns0:c r="F1985" s="6" t="n">
        <ns0:v>0.5</ns0:v>
      </ns0:c>
      <ns0:c r="G1985" s="4" t="n">
        <ns0:v>1</ns0:v>
      </ns0:c>
      <ns0:c r="H1985" s="7" t="n">
        <ns0:v>4016.195167709637</ns0:v>
      </ns0:c>
      <ns0:c r="I1985" s="7" t="n">
        <ns0:v>2308.579843554443</ns0:v>
      </ns0:c>
      <ns0:c r="J1985" s="7" t="n">
        <ns0:v>1154.289921777221</ns0:v>
      </ns0:c>
      <ns0:c r="K1985" s="7" t="n">
        <ns0:v>46</ns0:v>
      </ns0:c>
      <ns0:c r="L1985" s="7" t="n">
        <ns0:v>304</ns0:v>
      </ns0:c>
      <ns0:c r="M1985" s="7" t="n">
        <ns0:v>-43660.8024441145</ns0:v>
      </ns0:c>
      <ns0:c r="N1985" s="7" t="n">
        <ns0:v>-20460.53807972791</ns0:v>
      </ns0:c>
      <ns0:c r="O1985" s="7" t="n">
        <ns0:v>4859.751315947822</ns0:v>
      </ns0:c>
      <ns0:c r="P1985" s="7" t="n">
        <ns0:v>64230.43725820344</ns0:v>
      </ns0:c>
      <ns0:c r="Q1985" s="7" t="n">
        <ns0:v>259713.1810272259</ns0:v>
      </ns0:c>
      <ns0:c r="R1985" s="7" t="n">
        <ns0:v>1020902.784218804</ns0:v>
      </ns0:c>
    </ns0:row>
    <ns0:row r="1986" ht="24" customHeight="1">
      <ns0:c r="A1986" s="3" t="inlineStr">
        <ns0:is>
          <ns0:t>混在40/30/30</ns0:t>
        </ns0:is>
      </ns0:c>
      <ns0:c r="B1986" s="3" t="inlineStr">
        <ns0:is>
          <ns0:t>G3三段階</ns0:t>
        </ns0:is>
      </ns0:c>
      <ns0:c r="C1986" s="3" t="inlineStr">
        <ns0:is>
          <ns0:t>D</ns0:t>
        </ns0:is>
      </ns0:c>
      <ns0:c r="D1986" s="4" t="n">
        <ns0:v>0</ns0:v>
      </ns0:c>
      <ns0:c r="E1986" s="4" t="n">
        <ns0:v>500</ns0:v>
      </ns0:c>
      <ns0:c r="F1986" s="6" t="n">
        <ns0:v>0.5</ns0:v>
      </ns0:c>
      <ns0:c r="G1986" s="4" t="n">
        <ns0:v>2</ns0:v>
      </ns0:c>
      <ns0:c r="H1986" s="7" t="n">
        <ns0:v>4016.195167709637</ns0:v>
      </ns0:c>
      <ns0:c r="I1986" s="7" t="n">
        <ns0:v>2308.579843554443</ns0:v>
      </ns0:c>
      <ns0:c r="J1986" s="7" t="n">
        <ns0:v>1154.289921777221</ns0:v>
      </ns0:c>
      <ns0:c r="K1986" s="18" t="inlineStr">
        <ns0:is>
          <ns0:t>範囲内なし</ns0:t>
        </ns0:is>
      </ns0:c>
      <ns0:c r="L1986" s="18" t="inlineStr">
        <ns0:is>
          <ns0:t>範囲内なし</ns0:t>
        </ns0:is>
      </ns0:c>
      <ns0:c r="M1986" s="7" t="n">
        <ns0:v>-54798.45873114644</ns0:v>
      </ns0:c>
      <ns0:c r="N1986" s="7" t="n">
        <ns0:v>-53873.50694082373</ns0:v>
      </ns0:c>
      <ns0:c r="O1986" s="7" t="n">
        <ns0:v>-50828.53011921189</ns0:v>
      </ns0:c>
      <ns0:c r="P1986" s="7" t="n">
        <ns0:v>-47146.12561211598</ns0:v>
      </ns0:c>
      <ns0:c r="Q1986" s="7" t="n">
        <ns0:v>-74416.50758373245</ns0:v>
      </ns0:c>
      <ns0:c r="R1986" s="7" t="n">
        <ns0:v>-92862.84448439011</ns0:v>
      </ns0:c>
    </ns0:row>
    <ns0:row r="1987" ht="24" customHeight="1">
      <ns0:c r="A1987" s="3" t="inlineStr">
        <ns0:is>
          <ns0:t>混在40/30/30</ns0:t>
        </ns0:is>
      </ns0:c>
      <ns0:c r="B1987" s="3" t="inlineStr">
        <ns0:is>
          <ns0:t>G3三段階</ns0:t>
        </ns0:is>
      </ns0:c>
      <ns0:c r="C1987" s="3" t="inlineStr">
        <ns0:is>
          <ns0:t>D</ns0:t>
        </ns0:is>
      </ns0:c>
      <ns0:c r="D1987" s="4" t="n">
        <ns0:v>0</ns0:v>
      </ns0:c>
      <ns0:c r="E1987" s="4" t="n">
        <ns0:v>500</ns0:v>
      </ns0:c>
      <ns0:c r="F1987" s="6" t="n">
        <ns0:v>0.5</ns0:v>
      </ns0:c>
      <ns0:c r="G1987" s="4" t="n">
        <ns0:v>3</ns0:v>
      </ns0:c>
      <ns0:c r="H1987" s="7" t="n">
        <ns0:v>4016.195167709637</ns0:v>
      </ns0:c>
      <ns0:c r="I1987" s="7" t="n">
        <ns0:v>2308.579843554443</ns0:v>
      </ns0:c>
      <ns0:c r="J1987" s="7" t="n">
        <ns0:v>1154.289921777221</ns0:v>
      </ns0:c>
      <ns0:c r="K1987" s="7" t="n">
        <ns0:v>81</ns0:v>
      </ns0:c>
      <ns0:c r="L1987" s="18" t="inlineStr">
        <ns0:is>
          <ns0:t>範囲内なし</ns0:t>
        </ns0:is>
      </ns0:c>
      <ns0:c r="M1987" s="7" t="n">
        <ns0:v>-48785.07341442106</ns0:v>
      </ns0:c>
      <ns0:c r="N1987" s="7" t="n">
        <ns0:v>-35833.35099064757</ns0:v>
      </ns0:c>
      <ns0:c r="O1987" s="7" t="n">
        <ns0:v>-20761.60353558496</ns0:v>
      </ns0:c>
      <ns0:c r="P1987" s="7" t="n">
        <ns0:v>12987.72755513788</ns0:v>
      </ns0:c>
      <ns0:c r="Q1987" s="7" t="n">
        <ns0:v>105985.0519180291</ns0:v>
      </ns0:c>
      <ns0:c r="R1987" s="7" t="n">
        <ns0:v>508475.6871881486</ns0:v>
      </ns0:c>
    </ns0:row>
    <ns0:row r="1988" ht="24" customHeight="1">
      <ns0:c r="A1988" s="3" t="inlineStr">
        <ns0:is>
          <ns0:t>混在40/30/30</ns0:t>
        </ns0:is>
      </ns0:c>
      <ns0:c r="B1988" s="3" t="inlineStr">
        <ns0:is>
          <ns0:t>G3三段階</ns0:t>
        </ns0:is>
      </ns0:c>
      <ns0:c r="C1988" s="3" t="inlineStr">
        <ns0:is>
          <ns0:t>D</ns0:t>
        </ns0:is>
      </ns0:c>
      <ns0:c r="D1988" s="4" t="n">
        <ns0:v>0</ns0:v>
      </ns0:c>
      <ns0:c r="E1988" s="4" t="n">
        <ns0:v>1000</ns0:v>
      </ns0:c>
      <ns0:c r="F1988" s="6" t="n">
        <ns0:v>0.3</ns0:v>
      </ns0:c>
      <ns0:c r="G1988" s="4" t="n">
        <ns0:v>0</ns0:v>
      </ns0:c>
      <ns0:c r="H1988" s="7" t="n">
        <ns0:v>3866.195167709637</ns0:v>
      </ns0:c>
      <ns0:c r="I1988" s="7" t="n">
        <ns0:v>2158.579843554443</ns0:v>
      </ns0:c>
      <ns0:c r="J1988" s="7" t="n">
        <ns0:v>647.5739530663329</ns0:v>
      </ns0:c>
      <ns0:c r="K1988" s="7" t="n">
        <ns0:v>32</ns0:v>
      </ns0:c>
      <ns0:c r="L1988" s="7" t="n">
        <ns0:v>68</ns0:v>
      </ns0:c>
      <ns0:c r="M1988" s="7" t="n">
        <ns0:v>-37820.0989451403</ns0:v>
      </ns0:c>
      <ns0:c r="N1988" s="7" t="n">
        <ns0:v>-2938.4275828053</ns0:v>
      </ns0:c>
      <ns0:c r="O1988" s="7" t="n">
        <ns0:v>34063.26881081879</ns0:v>
      </ns0:c>
      <ns0:c r="P1988" s="7" t="n">
        <ns0:v>122637.4722479454</ns0:v>
      </ns0:c>
      <ns0:c r="Q1988" s="7" t="n">
        <ns0:v>434934.2859964518</ns0:v>
      </ns0:c>
      <ns0:c r="R1988" s="7" t="n">
        <ns0:v>1604973.134116225</ns0:v>
      </ns0:c>
    </ns0:row>
    <ns0:row r="1989" ht="24" customHeight="1">
      <ns0:c r="A1989" s="3" t="inlineStr">
        <ns0:is>
          <ns0:t>混在40/30/30</ns0:t>
        </ns0:is>
      </ns0:c>
      <ns0:c r="B1989" s="3" t="inlineStr">
        <ns0:is>
          <ns0:t>G3三段階</ns0:t>
        </ns0:is>
      </ns0:c>
      <ns0:c r="C1989" s="3" t="inlineStr">
        <ns0:is>
          <ns0:t>D</ns0:t>
        </ns0:is>
      </ns0:c>
      <ns0:c r="D1989" s="4" t="n">
        <ns0:v>0</ns0:v>
      </ns0:c>
      <ns0:c r="E1989" s="4" t="n">
        <ns0:v>1000</ns0:v>
      </ns0:c>
      <ns0:c r="F1989" s="6" t="n">
        <ns0:v>0.3</ns0:v>
      </ns0:c>
      <ns0:c r="G1989" s="4" t="n">
        <ns0:v>1</ns0:v>
      </ns0:c>
      <ns0:c r="H1989" s="7" t="n">
        <ns0:v>3866.195167709637</ns0:v>
      </ns0:c>
      <ns0:c r="I1989" s="7" t="n">
        <ns0:v>2158.579843554443</ns0:v>
      </ns0:c>
      <ns0:c r="J1989" s="7" t="n">
        <ns0:v>647.5739530663329</ns0:v>
      </ns0:c>
      <ns0:c r="K1989" s="7" t="n">
        <ns0:v>36</ns0:v>
      </ns0:c>
      <ns0:c r="L1989" s="7" t="n">
        <ns0:v>197</ns0:v>
      </ns0:c>
      <ns0:c r="M1989" s="7" t="n">
        <ns0:v>-40039.64275700561</ns0:v>
      </ns0:c>
      <ns0:c r="N1989" s="7" t="n">
        <ns0:v>-9597.059018401233</ns0:v>
      </ns0:c>
      <ns0:c r="O1989" s="7" t="n">
        <ns0:v>22965.54975149222</ns0:v>
      </ns0:c>
      <ns0:c r="P1989" s="7" t="n">
        <ns0:v>100442.0341292922</ns0:v>
      </ns0:c>
      <ns0:c r="Q1989" s="7" t="n">
        <ns0:v>368347.9716404924</ns0:v>
      </ns0:c>
      <ns0:c r="R1989" s="7" t="n">
        <ns0:v>1383018.752929694</ns0:v>
      </ns0:c>
    </ns0:row>
    <ns0:row r="1990" ht="24" customHeight="1">
      <ns0:c r="A1990" s="3" t="inlineStr">
        <ns0:is>
          <ns0:t>混在40/30/30</ns0:t>
        </ns0:is>
      </ns0:c>
      <ns0:c r="B1990" s="3" t="inlineStr">
        <ns0:is>
          <ns0:t>G3三段階</ns0:t>
        </ns0:is>
      </ns0:c>
      <ns0:c r="C1990" s="3" t="inlineStr">
        <ns0:is>
          <ns0:t>D</ns0:t>
        </ns0:is>
      </ns0:c>
      <ns0:c r="D1990" s="4" t="n">
        <ns0:v>0</ns0:v>
      </ns0:c>
      <ns0:c r="E1990" s="4" t="n">
        <ns0:v>1000</ns0:v>
      </ns0:c>
      <ns0:c r="F1990" s="6" t="n">
        <ns0:v>0.3</ns0:v>
      </ns0:c>
      <ns0:c r="G1990" s="4" t="n">
        <ns0:v>2</ns0:v>
      </ns0:c>
      <ns0:c r="H1990" s="7" t="n">
        <ns0:v>3866.195167709637</ns0:v>
      </ns0:c>
      <ns0:c r="I1990" s="7" t="n">
        <ns0:v>2158.579843554443</ns0:v>
      </ns0:c>
      <ns0:c r="J1990" s="7" t="n">
        <ns0:v>647.5739530663329</ns0:v>
      </ns0:c>
      <ns0:c r="K1990" s="7" t="n">
        <ns0:v>222</ns0:v>
      </ns0:c>
      <ns0:c r="L1990" s="18" t="inlineStr">
        <ns0:is>
          <ns0:t>範囲内なし</ns0:t>
        </ns0:is>
      </ns0:c>
      <ns0:c r="M1990" s="7" t="n">
        <ns0:v>-51177.29904403755</ns0:v>
      </ns0:c>
      <ns0:c r="N1990" s="7" t="n">
        <ns0:v>-43010.02787949707</ns0:v>
      </ns0:c>
      <ns0:c r="O1990" s="7" t="n">
        <ns0:v>-32722.73168366749</ns0:v>
      </ns0:c>
      <ns0:c r="P1990" s="7" t="n">
        <ns0:v>-10934.52874102717</ns0:v>
      </ns0:c>
      <ns0:c r="Q1990" s="7" t="n">
        <ns0:v>34218.28302953416</ns0:v>
      </ns0:c>
      <ns0:c r="R1990" s="7" t="n">
        <ns0:v>269253.1242264995</ns0:v>
      </ns0:c>
    </ns0:row>
    <ns0:row r="1991" ht="24" customHeight="1">
      <ns0:c r="A1991" s="3" t="inlineStr">
        <ns0:is>
          <ns0:t>混在40/30/30</ns0:t>
        </ns0:is>
      </ns0:c>
      <ns0:c r="B1991" s="3" t="inlineStr">
        <ns0:is>
          <ns0:t>G3三段階</ns0:t>
        </ns0:is>
      </ns0:c>
      <ns0:c r="C1991" s="3" t="inlineStr">
        <ns0:is>
          <ns0:t>D</ns0:t>
        </ns0:is>
      </ns0:c>
      <ns0:c r="D1991" s="4" t="n">
        <ns0:v>0</ns0:v>
      </ns0:c>
      <ns0:c r="E1991" s="4" t="n">
        <ns0:v>1000</ns0:v>
      </ns0:c>
      <ns0:c r="F1991" s="6" t="n">
        <ns0:v>0.3</ns0:v>
      </ns0:c>
      <ns0:c r="G1991" s="4" t="n">
        <ns0:v>3</ns0:v>
      </ns0:c>
      <ns0:c r="H1991" s="7" t="n">
        <ns0:v>3866.195167709637</ns0:v>
      </ns0:c>
      <ns0:c r="I1991" s="7" t="n">
        <ns0:v>2158.579843554443</ns0:v>
      </ns0:c>
      <ns0:c r="J1991" s="7" t="n">
        <ns0:v>647.5739530663329</ns0:v>
      </ns0:c>
      <ns0:c r="K1991" s="7" t="n">
        <ns0:v>53</ns0:v>
      </ns0:c>
      <ns0:c r="L1991" s="18" t="inlineStr">
        <ns0:is>
          <ns0:t>範囲内なし</ns0:t>
        </ns0:is>
      </ns0:c>
      <ns0:c r="M1991" s="7" t="n">
        <ns0:v>-45163.91372731217</ns0:v>
      </ns0:c>
      <ns0:c r="N1991" s="7" t="n">
        <ns0:v>-24969.87192932091</ns0:v>
      </ns0:c>
      <ns0:c r="O1991" s="7" t="n">
        <ns0:v>-2655.805100040554</ns0:v>
      </ns0:c>
      <ns0:c r="P1991" s="7" t="n">
        <ns0:v>49199.32442622668</ns0:v>
      </ns0:c>
      <ns0:c r="Q1991" s="7" t="n">
        <ns0:v>214619.8425312957</ns0:v>
      </ns0:c>
      <ns0:c r="R1991" s="7" t="n">
        <ns0:v>870591.6558990382</ns0:v>
      </ns0:c>
    </ns0:row>
    <ns0:row r="1992" ht="24" customHeight="1">
      <ns0:c r="A1992" s="3" t="inlineStr">
        <ns0:is>
          <ns0:t>混在40/30/30</ns0:t>
        </ns0:is>
      </ns0:c>
      <ns0:c r="B1992" s="3" t="inlineStr">
        <ns0:is>
          <ns0:t>G3三段階</ns0:t>
        </ns0:is>
      </ns0:c>
      <ns0:c r="C1992" s="3" t="inlineStr">
        <ns0:is>
          <ns0:t>D</ns0:t>
        </ns0:is>
      </ns0:c>
      <ns0:c r="D1992" s="4" t="n">
        <ns0:v>0</ns0:v>
      </ns0:c>
      <ns0:c r="E1992" s="4" t="n">
        <ns0:v>1000</ns0:v>
      </ns0:c>
      <ns0:c r="F1992" s="6" t="n">
        <ns0:v>0.4</ns0:v>
      </ns0:c>
      <ns0:c r="G1992" s="4" t="n">
        <ns0:v>0</ns0:v>
      </ns0:c>
      <ns0:c r="H1992" s="7" t="n">
        <ns0:v>3866.195167709637</ns0:v>
      </ns0:c>
      <ns0:c r="I1992" s="7" t="n">
        <ns0:v>2158.579843554443</ns0:v>
      </ns0:c>
      <ns0:c r="J1992" s="7" t="n">
        <ns0:v>863.4319374217774</ns0:v>
      </ns0:c>
      <ns0:c r="K1992" s="7" t="n">
        <ns0:v>36</ns0:v>
      </ns0:c>
      <ns0:c r="L1992" s="7" t="n">
        <ns0:v>78</ns0:v>
      </ns0:c>
      <ns0:c r="M1992" s="7" t="n">
        <ns0:v>-39978.67878869474</ns0:v>
      </ns0:c>
      <ns0:c r="N1992" s="7" t="n">
        <ns0:v>-9414.167113468633</ns0:v>
      </ns0:c>
      <ns0:c r="O1992" s="7" t="n">
        <ns0:v>23270.36959304658</ns0:v>
      </ns0:c>
      <ns0:c r="P1992" s="7" t="n">
        <ns0:v>101051.673812401</ns0:v>
      </ns0:c>
      <ns0:c r="Q1992" s="7" t="n">
        <ns0:v>370176.8906898185</ns0:v>
      </ns0:c>
      <ns0:c r="R1992" s="7" t="n">
        <ns0:v>1389115.149760781</ns0:v>
      </ns0:c>
    </ns0:row>
    <ns0:row r="1993" ht="24" customHeight="1">
      <ns0:c r="A1993" s="3" t="inlineStr">
        <ns0:is>
          <ns0:t>混在40/30/30</ns0:t>
        </ns0:is>
      </ns0:c>
      <ns0:c r="B1993" s="3" t="inlineStr">
        <ns0:is>
          <ns0:t>G3三段階</ns0:t>
        </ns0:is>
      </ns0:c>
      <ns0:c r="C1993" s="3" t="inlineStr">
        <ns0:is>
          <ns0:t>D</ns0:t>
        </ns0:is>
      </ns0:c>
      <ns0:c r="D1993" s="4" t="n">
        <ns0:v>0</ns0:v>
      </ns0:c>
      <ns0:c r="E1993" s="4" t="n">
        <ns0:v>1000</ns0:v>
      </ns0:c>
      <ns0:c r="F1993" s="6" t="n">
        <ns0:v>0.4</ns0:v>
      </ns0:c>
      <ns0:c r="G1993" s="4" t="n">
        <ns0:v>1</ns0:v>
      </ns0:c>
      <ns0:c r="H1993" s="7" t="n">
        <ns0:v>3866.195167709637</ns0:v>
      </ns0:c>
      <ns0:c r="I1993" s="7" t="n">
        <ns0:v>2158.579843554443</ns0:v>
      </ns0:c>
      <ns0:c r="J1993" s="7" t="n">
        <ns0:v>863.4319374217774</ns0:v>
      </ns0:c>
      <ns0:c r="K1993" s="7" t="n">
        <ns0:v>41</ns0:v>
      </ns0:c>
      <ns0:c r="L1993" s="7" t="n">
        <ns0:v>251</ns0:v>
      </ns0:c>
      <ns0:c r="M1993" s="7" t="n">
        <ns0:v>-42198.22260056005</ns0:v>
      </ns0:c>
      <ns0:c r="N1993" s="7" t="n">
        <ns0:v>-16072.79854906457</ns0:v>
      </ns0:c>
      <ns0:c r="O1993" s="7" t="n">
        <ns0:v>12172.65053372002</ns0:v>
      </ns0:c>
      <ns0:c r="P1993" s="7" t="n">
        <ns0:v>78856.23569374783</ns0:v>
      </ns0:c>
      <ns0:c r="Q1993" s="7" t="n">
        <ns0:v>303590.5763338591</ns0:v>
      </ns0:c>
      <ns0:c r="R1993" s="7" t="n">
        <ns0:v>1167160.768574249</ns0:v>
      </ns0:c>
    </ns0:row>
    <ns0:row r="1994" ht="24" customHeight="1">
      <ns0:c r="A1994" s="3" t="inlineStr">
        <ns0:is>
          <ns0:t>混在40/30/30</ns0:t>
        </ns0:is>
      </ns0:c>
      <ns0:c r="B1994" s="3" t="inlineStr">
        <ns0:is>
          <ns0:t>G3三段階</ns0:t>
        </ns0:is>
      </ns0:c>
      <ns0:c r="C1994" s="3" t="inlineStr">
        <ns0:is>
          <ns0:t>D</ns0:t>
        </ns0:is>
      </ns0:c>
      <ns0:c r="D1994" s="4" t="n">
        <ns0:v>0</ns0:v>
      </ns0:c>
      <ns0:c r="E1994" s="4" t="n">
        <ns0:v>1000</ns0:v>
      </ns0:c>
      <ns0:c r="F1994" s="6" t="n">
        <ns0:v>0.4</ns0:v>
      </ns0:c>
      <ns0:c r="G1994" s="4" t="n">
        <ns0:v>2</ns0:v>
      </ns0:c>
      <ns0:c r="H1994" s="7" t="n">
        <ns0:v>3866.195167709637</ns0:v>
      </ns0:c>
      <ns0:c r="I1994" s="7" t="n">
        <ns0:v>2158.579843554443</ns0:v>
      </ns0:c>
      <ns0:c r="J1994" s="7" t="n">
        <ns0:v>863.4319374217774</ns0:v>
      </ns0:c>
      <ns0:c r="K1994" s="7" t="n">
        <ns0:v>439</ns0:v>
      </ns0:c>
      <ns0:c r="L1994" s="18" t="inlineStr">
        <ns0:is>
          <ns0:t>範囲内なし</ns0:t>
        </ns0:is>
      </ns0:c>
      <ns0:c r="M1994" s="7" t="n">
        <ns0:v>-53335.878887592</ns0:v>
      </ns0:c>
      <ns0:c r="N1994" s="7" t="n">
        <ns0:v>-49485.7674101604</ns0:v>
      </ns0:c>
      <ns0:c r="O1994" s="7" t="n">
        <ns0:v>-43515.63090143968</ns0:v>
      </ns0:c>
      <ns0:c r="P1994" s="7" t="n">
        <ns0:v>-32520.32717657159</ns0:v>
      </ns0:c>
      <ns0:c r="Q1994" s="7" t="n">
        <ns0:v>-30539.11227709916</ns0:v>
      </ns0:c>
      <ns0:c r="R1994" s="7" t="n">
        <ns0:v>53395.13987105491</ns0:v>
      </ns0:c>
    </ns0:row>
    <ns0:row r="1995" ht="24" customHeight="1">
      <ns0:c r="A1995" s="3" t="inlineStr">
        <ns0:is>
          <ns0:t>混在40/30/30</ns0:t>
        </ns0:is>
      </ns0:c>
      <ns0:c r="B1995" s="3" t="inlineStr">
        <ns0:is>
          <ns0:t>G3三段階</ns0:t>
        </ns0:is>
      </ns0:c>
      <ns0:c r="C1995" s="3" t="inlineStr">
        <ns0:is>
          <ns0:t>D</ns0:t>
        </ns0:is>
      </ns0:c>
      <ns0:c r="D1995" s="4" t="n">
        <ns0:v>0</ns0:v>
      </ns0:c>
      <ns0:c r="E1995" s="4" t="n">
        <ns0:v>1000</ns0:v>
      </ns0:c>
      <ns0:c r="F1995" s="6" t="n">
        <ns0:v>0.4</ns0:v>
      </ns0:c>
      <ns0:c r="G1995" s="4" t="n">
        <ns0:v>3</ns0:v>
      </ns0:c>
      <ns0:c r="H1995" s="7" t="n">
        <ns0:v>3866.195167709637</ns0:v>
      </ns0:c>
      <ns0:c r="I1995" s="7" t="n">
        <ns0:v>2158.579843554443</ns0:v>
      </ns0:c>
      <ns0:c r="J1995" s="7" t="n">
        <ns0:v>863.4319374217774</ns0:v>
      </ns0:c>
      <ns0:c r="K1995" s="7" t="n">
        <ns0:v>67</ns0:v>
      </ns0:c>
      <ns0:c r="L1995" s="18" t="inlineStr">
        <ns0:is>
          <ns0:t>範囲内なし</ns0:t>
        </ns0:is>
      </ns0:c>
      <ns0:c r="M1995" s="7" t="n">
        <ns0:v>-47322.49357086662</ns0:v>
      </ns0:c>
      <ns0:c r="N1995" s="7" t="n">
        <ns0:v>-31445.61145998424</ns0:v>
      </ns0:c>
      <ns0:c r="O1995" s="7" t="n">
        <ns0:v>-13448.70431781276</ns0:v>
      </ns0:c>
      <ns0:c r="P1995" s="7" t="n">
        <ns0:v>27613.52599068227</ns0:v>
      </ns0:c>
      <ns0:c r="Q1995" s="7" t="n">
        <ns0:v>149862.4472246624</ns0:v>
      </ns0:c>
      <ns0:c r="R1995" s="7" t="n">
        <ns0:v>654733.6715435936</ns0:v>
      </ns0:c>
    </ns0:row>
    <ns0:row r="1996" ht="24" customHeight="1">
      <ns0:c r="A1996" s="3" t="inlineStr">
        <ns0:is>
          <ns0:t>混在40/30/30</ns0:t>
        </ns0:is>
      </ns0:c>
      <ns0:c r="B1996" s="3" t="inlineStr">
        <ns0:is>
          <ns0:t>G3三段階</ns0:t>
        </ns0:is>
      </ns0:c>
      <ns0:c r="C1996" s="3" t="inlineStr">
        <ns0:is>
          <ns0:t>D</ns0:t>
        </ns0:is>
      </ns0:c>
      <ns0:c r="D1996" s="4" t="n">
        <ns0:v>0</ns0:v>
      </ns0:c>
      <ns0:c r="E1996" s="4" t="n">
        <ns0:v>1000</ns0:v>
      </ns0:c>
      <ns0:c r="F1996" s="6" t="n">
        <ns0:v>0.5</ns0:v>
      </ns0:c>
      <ns0:c r="G1996" s="4" t="n">
        <ns0:v>0</ns0:v>
      </ns0:c>
      <ns0:c r="H1996" s="7" t="n">
        <ns0:v>3866.195167709637</ns0:v>
      </ns0:c>
      <ns0:c r="I1996" s="7" t="n">
        <ns0:v>2158.579843554443</ns0:v>
      </ns0:c>
      <ns0:c r="J1996" s="7" t="n">
        <ns0:v>1079.289921777222</ns0:v>
      </ns0:c>
      <ns0:c r="K1996" s="7" t="n">
        <ns0:v>41</ns0:v>
      </ns0:c>
      <ns0:c r="L1996" s="7" t="n">
        <ns0:v>90</ns0:v>
      </ns0:c>
      <ns0:c r="M1996" s="7" t="n">
        <ns0:v>-42137.25863224918</ns0:v>
      </ns0:c>
      <ns0:c r="N1996" s="7" t="n">
        <ns0:v>-15889.90664413197</ns0:v>
      </ns0:c>
      <ns0:c r="O1996" s="7" t="n">
        <ns0:v>12477.47037527437</ns0:v>
      </ns0:c>
      <ns0:c r="P1996" s="7" t="n">
        <ns0:v>79465.87537685654</ns0:v>
      </ns0:c>
      <ns0:c r="Q1996" s="7" t="n">
        <ns0:v>305419.4953831853</ns0:v>
      </ns0:c>
      <ns0:c r="R1996" s="7" t="n">
        <ns0:v>1173257.165405336</ns0:v>
      </ns0:c>
    </ns0:row>
    <ns0:row r="1997" ht="24" customHeight="1">
      <ns0:c r="A1997" s="3" t="inlineStr">
        <ns0:is>
          <ns0:t>混在40/30/30</ns0:t>
        </ns0:is>
      </ns0:c>
      <ns0:c r="B1997" s="3" t="inlineStr">
        <ns0:is>
          <ns0:t>G3三段階</ns0:t>
        </ns0:is>
      </ns0:c>
      <ns0:c r="C1997" s="3" t="inlineStr">
        <ns0:is>
          <ns0:t>D</ns0:t>
        </ns0:is>
      </ns0:c>
      <ns0:c r="D1997" s="4" t="n">
        <ns0:v>0</ns0:v>
      </ns0:c>
      <ns0:c r="E1997" s="4" t="n">
        <ns0:v>1000</ns0:v>
      </ns0:c>
      <ns0:c r="F1997" s="6" t="n">
        <ns0:v>0.5</ns0:v>
      </ns0:c>
      <ns0:c r="G1997" s="4" t="n">
        <ns0:v>1</ns0:v>
      </ns0:c>
      <ns0:c r="H1997" s="7" t="n">
        <ns0:v>3866.195167709637</ns0:v>
      </ns0:c>
      <ns0:c r="I1997" s="7" t="n">
        <ns0:v>2158.579843554443</ns0:v>
      </ns0:c>
      <ns0:c r="J1997" s="7" t="n">
        <ns0:v>1079.289921777222</ns0:v>
      </ns0:c>
      <ns0:c r="K1997" s="7" t="n">
        <ns0:v>49</ns0:v>
      </ns0:c>
      <ns0:c r="L1997" s="7" t="n">
        <ns0:v>348</ns0:v>
      </ns0:c>
      <ns0:c r="M1997" s="7" t="n">
        <ns0:v>-44356.8024441145</ns0:v>
      </ns0:c>
      <ns0:c r="N1997" s="7" t="n">
        <ns0:v>-22548.53807972791</ns0:v>
      </ns0:c>
      <ns0:c r="O1997" s="7" t="n">
        <ns0:v>1379.7513159478</ns0:v>
      </ns0:c>
      <ns0:c r="P1997" s="7" t="n">
        <ns0:v>57270.4372582034</ns0:v>
      </ns0:c>
      <ns0:c r="Q1997" s="7" t="n">
        <ns0:v>238833.1810272259</ns0:v>
      </ns0:c>
      <ns0:c r="R1997" s="7" t="n">
        <ns0:v>951302.7842188047</ns0:v>
      </ns0:c>
    </ns0:row>
    <ns0:row r="1998" ht="24" customHeight="1">
      <ns0:c r="A1998" s="3" t="inlineStr">
        <ns0:is>
          <ns0:t>混在40/30/30</ns0:t>
        </ns0:is>
      </ns0:c>
      <ns0:c r="B1998" s="3" t="inlineStr">
        <ns0:is>
          <ns0:t>G3三段階</ns0:t>
        </ns0:is>
      </ns0:c>
      <ns0:c r="C1998" s="3" t="inlineStr">
        <ns0:is>
          <ns0:t>D</ns0:t>
        </ns0:is>
      </ns0:c>
      <ns0:c r="D1998" s="4" t="n">
        <ns0:v>0</ns0:v>
      </ns0:c>
      <ns0:c r="E1998" s="4" t="n">
        <ns0:v>1000</ns0:v>
      </ns0:c>
      <ns0:c r="F1998" s="6" t="n">
        <ns0:v>0.5</ns0:v>
      </ns0:c>
      <ns0:c r="G1998" s="4" t="n">
        <ns0:v>2</ns0:v>
      </ns0:c>
      <ns0:c r="H1998" s="7" t="n">
        <ns0:v>3866.195167709637</ns0:v>
      </ns0:c>
      <ns0:c r="I1998" s="7" t="n">
        <ns0:v>2158.579843554443</ns0:v>
      </ns0:c>
      <ns0:c r="J1998" s="7" t="n">
        <ns0:v>1079.289921777222</ns0:v>
      </ns0:c>
      <ns0:c r="K1998" s="18" t="inlineStr">
        <ns0:is>
          <ns0:t>範囲内なし</ns0:t>
        </ns0:is>
      </ns0:c>
      <ns0:c r="L1998" s="18" t="inlineStr">
        <ns0:is>
          <ns0:t>範囲内なし</ns0:t>
        </ns0:is>
      </ns0:c>
      <ns0:c r="M1998" s="7" t="n">
        <ns0:v>-55494.45873114644</ns0:v>
      </ns0:c>
      <ns0:c r="N1998" s="7" t="n">
        <ns0:v>-55961.50694082373</ns0:v>
      </ns0:c>
      <ns0:c r="O1998" s="7" t="n">
        <ns0:v>-54308.53011921192</ns0:v>
      </ns0:c>
      <ns0:c r="P1998" s="7" t="n">
        <ns0:v>-54106.12561211604</ns0:v>
      </ns0:c>
      <ns0:c r="Q1998" s="7" t="n">
        <ns0:v>-95296.5075837324</ns0:v>
      </ns0:c>
      <ns0:c r="R1998" s="7" t="n">
        <ns0:v>-162462.8444843896</ns0:v>
      </ns0:c>
    </ns0:row>
    <ns0:row r="1999" ht="24" customHeight="1">
      <ns0:c r="A1999" s="3" t="inlineStr">
        <ns0:is>
          <ns0:t>混在40/30/30</ns0:t>
        </ns0:is>
      </ns0:c>
      <ns0:c r="B1999" s="3" t="inlineStr">
        <ns0:is>
          <ns0:t>G3三段階</ns0:t>
        </ns0:is>
      </ns0:c>
      <ns0:c r="C1999" s="3" t="inlineStr">
        <ns0:is>
          <ns0:t>D</ns0:t>
        </ns0:is>
      </ns0:c>
      <ns0:c r="D1999" s="4" t="n">
        <ns0:v>0</ns0:v>
      </ns0:c>
      <ns0:c r="E1999" s="4" t="n">
        <ns0:v>1000</ns0:v>
      </ns0:c>
      <ns0:c r="F1999" s="6" t="n">
        <ns0:v>0.5</ns0:v>
      </ns0:c>
      <ns0:c r="G1999" s="4" t="n">
        <ns0:v>3</ns0:v>
      </ns0:c>
      <ns0:c r="H1999" s="7" t="n">
        <ns0:v>3866.195167709637</ns0:v>
      </ns0:c>
      <ns0:c r="I1999" s="7" t="n">
        <ns0:v>2158.579843554443</ns0:v>
      </ns0:c>
      <ns0:c r="J1999" s="7" t="n">
        <ns0:v>1079.289921777222</ns0:v>
      </ns0:c>
      <ns0:c r="K1999" s="7" t="n">
        <ns0:v>91</ns0:v>
      </ns0:c>
      <ns0:c r="L1999" s="18" t="inlineStr">
        <ns0:is>
          <ns0:t>範囲内なし</ns0:t>
        </ns0:is>
      </ns0:c>
      <ns0:c r="M1999" s="7" t="n">
        <ns0:v>-49481.07341442105</ns0:v>
      </ns0:c>
      <ns0:c r="N1999" s="7" t="n">
        <ns0:v>-37921.35099064757</ns0:v>
      </ns0:c>
      <ns0:c r="O1999" s="7" t="n">
        <ns0:v>-24241.60353558498</ns0:v>
      </ns0:c>
      <ns0:c r="P1999" s="7" t="n">
        <ns0:v>6027.727555137826</ns0:v>
      </ns0:c>
      <ns0:c r="Q1999" s="7" t="n">
        <ns0:v>85105.05191802917</ns0:v>
      </ns0:c>
      <ns0:c r="R1999" s="7" t="n">
        <ns0:v>438875.6871881491</ns0:v>
      </ns0:c>
    </ns0:row>
    <ns0:row r="2000" ht="24" customHeight="1">
      <ns0:c r="A2000" s="3" t="inlineStr">
        <ns0:is>
          <ns0:t>混在40/30/30</ns0:t>
        </ns0:is>
      </ns0:c>
      <ns0:c r="B2000" s="3" t="inlineStr">
        <ns0:is>
          <ns0:t>G3三段階</ns0:t>
        </ns0:is>
      </ns0:c>
      <ns0:c r="C2000" s="3" t="inlineStr">
        <ns0:is>
          <ns0:t>D</ns0:t>
        </ns0:is>
      </ns0:c>
      <ns0:c r="D2000" s="4" t="n">
        <ns0:v>0</ns0:v>
      </ns0:c>
      <ns0:c r="E2000" s="4" t="n">
        <ns0:v>1500</ns0:v>
      </ns0:c>
      <ns0:c r="F2000" s="6" t="n">
        <ns0:v>0.3</ns0:v>
      </ns0:c>
      <ns0:c r="G2000" s="4" t="n">
        <ns0:v>0</ns0:v>
      </ns0:c>
      <ns0:c r="H2000" s="7" t="n">
        <ns0:v>3716.195167709637</ns0:v>
      </ns0:c>
      <ns0:c r="I2000" s="7" t="n">
        <ns0:v>2008.579843554443</ns0:v>
      </ns0:c>
      <ns0:c r="J2000" s="7" t="n">
        <ns0:v>602.5739530663328</ns0:v>
      </ns0:c>
      <ns0:c r="K2000" s="7" t="n">
        <ns0:v>33</ns0:v>
      </ns0:c>
      <ns0:c r="L2000" s="7" t="n">
        <ns0:v>73</ns0:v>
      </ns0:c>
      <ns0:c r="M2000" s="7" t="n">
        <ns0:v>-38816.0989451403</ns0:v>
      </ns0:c>
      <ns0:c r="N2000" s="7" t="n">
        <ns0:v>-5926.4275828053</ns0:v>
      </ns0:c>
      <ns0:c r="O2000" s="7" t="n">
        <ns0:v>29083.26881081881</ns0:v>
      </ns0:c>
      <ns0:c r="P2000" s="7" t="n">
        <ns0:v>112677.4722479454</ns0:v>
      </ns0:c>
      <ns0:c r="Q2000" s="7" t="n">
        <ns0:v>405054.2859964518</ns0:v>
      </ns0:c>
      <ns0:c r="R2000" s="7" t="n">
        <ns0:v>1505373.134116224</ns0:v>
      </ns0:c>
    </ns0:row>
    <ns0:row r="2001" ht="24" customHeight="1">
      <ns0:c r="A2001" s="3" t="inlineStr">
        <ns0:is>
          <ns0:t>混在40/30/30</ns0:t>
        </ns0:is>
      </ns0:c>
      <ns0:c r="B2001" s="3" t="inlineStr">
        <ns0:is>
          <ns0:t>G3三段階</ns0:t>
        </ns0:is>
      </ns0:c>
      <ns0:c r="C2001" s="3" t="inlineStr">
        <ns0:is>
          <ns0:t>D</ns0:t>
        </ns0:is>
      </ns0:c>
      <ns0:c r="D2001" s="4" t="n">
        <ns0:v>0</ns0:v>
      </ns0:c>
      <ns0:c r="E2001" s="4" t="n">
        <ns0:v>1500</ns0:v>
      </ns0:c>
      <ns0:c r="F2001" s="6" t="n">
        <ns0:v>0.3</ns0:v>
      </ns0:c>
      <ns0:c r="G2001" s="4" t="n">
        <ns0:v>1</ns0:v>
      </ns0:c>
      <ns0:c r="H2001" s="7" t="n">
        <ns0:v>3716.195167709637</ns0:v>
      </ns0:c>
      <ns0:c r="I2001" s="7" t="n">
        <ns0:v>2008.579843554443</ns0:v>
      </ns0:c>
      <ns0:c r="J2001" s="7" t="n">
        <ns0:v>602.5739530663328</ns0:v>
      </ns0:c>
      <ns0:c r="K2001" s="7" t="n">
        <ns0:v>38</ns0:v>
      </ns0:c>
      <ns0:c r="L2001" s="7" t="n">
        <ns0:v>222</ns0:v>
      </ns0:c>
      <ns0:c r="M2001" s="7" t="n">
        <ns0:v>-41035.64275700561</ns0:v>
      </ns0:c>
      <ns0:c r="N2001" s="7" t="n">
        <ns0:v>-12585.05901840123</ns0:v>
      </ns0:c>
      <ns0:c r="O2001" s="7" t="n">
        <ns0:v>17985.54975149224</ns0:v>
      </ns0:c>
      <ns0:c r="P2001" s="7" t="n">
        <ns0:v>90482.03412929228</ns0:v>
      </ns0:c>
      <ns0:c r="Q2001" s="7" t="n">
        <ns0:v>338467.9716404924</ns0:v>
      </ns0:c>
      <ns0:c r="R2001" s="7" t="n">
        <ns0:v>1283418.752929693</ns0:v>
      </ns0:c>
    </ns0:row>
    <ns0:row r="2002" ht="24" customHeight="1">
      <ns0:c r="A2002" s="3" t="inlineStr">
        <ns0:is>
          <ns0:t>混在40/30/30</ns0:t>
        </ns0:is>
      </ns0:c>
      <ns0:c r="B2002" s="3" t="inlineStr">
        <ns0:is>
          <ns0:t>G3三段階</ns0:t>
        </ns0:is>
      </ns0:c>
      <ns0:c r="C2002" s="3" t="inlineStr">
        <ns0:is>
          <ns0:t>D</ns0:t>
        </ns0:is>
      </ns0:c>
      <ns0:c r="D2002" s="4" t="n">
        <ns0:v>0</ns0:v>
      </ns0:c>
      <ns0:c r="E2002" s="4" t="n">
        <ns0:v>1500</ns0:v>
      </ns0:c>
      <ns0:c r="F2002" s="6" t="n">
        <ns0:v>0.3</ns0:v>
      </ns0:c>
      <ns0:c r="G2002" s="4" t="n">
        <ns0:v>2</ns0:v>
      </ns0:c>
      <ns0:c r="H2002" s="7" t="n">
        <ns0:v>3716.195167709637</ns0:v>
      </ns0:c>
      <ns0:c r="I2002" s="7" t="n">
        <ns0:v>2008.579843554443</ns0:v>
      </ns0:c>
      <ns0:c r="J2002" s="7" t="n">
        <ns0:v>602.5739530663328</ns0:v>
      </ns0:c>
      <ns0:c r="K2002" s="7" t="n">
        <ns0:v>288</ns0:v>
      </ns0:c>
      <ns0:c r="L2002" s="18" t="inlineStr">
        <ns0:is>
          <ns0:t>範囲内なし</ns0:t>
        </ns0:is>
      </ns0:c>
      <ns0:c r="M2002" s="7" t="n">
        <ns0:v>-52173.29904403756</ns0:v>
      </ns0:c>
      <ns0:c r="N2002" s="7" t="n">
        <ns0:v>-45998.02787949707</ns0:v>
      </ns0:c>
      <ns0:c r="O2002" s="7" t="n">
        <ns0:v>-37702.73168366747</ns0:v>
      </ns0:c>
      <ns0:c r="P2002" s="7" t="n">
        <ns0:v>-20894.52874102714</ns0:v>
      </ns0:c>
      <ns0:c r="Q2002" s="7" t="n">
        <ns0:v>4338.283029534156</ns0:v>
      </ns0:c>
      <ns0:c r="R2002" s="7" t="n">
        <ns0:v>169653.1242264982</ns0:v>
      </ns0:c>
    </ns0:row>
    <ns0:row r="2003" ht="24" customHeight="1">
      <ns0:c r="A2003" s="3" t="inlineStr">
        <ns0:is>
          <ns0:t>混在40/30/30</ns0:t>
        </ns0:is>
      </ns0:c>
      <ns0:c r="B2003" s="3" t="inlineStr">
        <ns0:is>
          <ns0:t>G3三段階</ns0:t>
        </ns0:is>
      </ns0:c>
      <ns0:c r="C2003" s="3" t="inlineStr">
        <ns0:is>
          <ns0:t>D</ns0:t>
        </ns0:is>
      </ns0:c>
      <ns0:c r="D2003" s="4" t="n">
        <ns0:v>0</ns0:v>
      </ns0:c>
      <ns0:c r="E2003" s="4" t="n">
        <ns0:v>1500</ns0:v>
      </ns0:c>
      <ns0:c r="F2003" s="6" t="n">
        <ns0:v>0.3</ns0:v>
      </ns0:c>
      <ns0:c r="G2003" s="4" t="n">
        <ns0:v>3</ns0:v>
      </ns0:c>
      <ns0:c r="H2003" s="7" t="n">
        <ns0:v>3716.195167709637</ns0:v>
      </ns0:c>
      <ns0:c r="I2003" s="7" t="n">
        <ns0:v>2008.579843554443</ns0:v>
      </ns0:c>
      <ns0:c r="J2003" s="7" t="n">
        <ns0:v>602.5739530663328</ns0:v>
      </ns0:c>
      <ns0:c r="K2003" s="7" t="n">
        <ns0:v>59</ns0:v>
      </ns0:c>
      <ns0:c r="L2003" s="18" t="inlineStr">
        <ns0:is>
          <ns0:t>範囲内なし</ns0:t>
        </ns0:is>
      </ns0:c>
      <ns0:c r="M2003" s="7" t="n">
        <ns0:v>-46159.91372731217</ns0:v>
      </ns0:c>
      <ns0:c r="N2003" s="7" t="n">
        <ns0:v>-27957.87192932091</ns0:v>
      </ns0:c>
      <ns0:c r="O2003" s="7" t="n">
        <ns0:v>-7635.805100040539</ns0:v>
      </ns0:c>
      <ns0:c r="P2003" s="7" t="n">
        <ns0:v>39239.32442622672</ns0:v>
      </ns0:c>
      <ns0:c r="Q2003" s="7" t="n">
        <ns0:v>184739.8425312957</ns0:v>
      </ns0:c>
      <ns0:c r="R2003" s="7" t="n">
        <ns0:v>770991.6558990369</ns0:v>
      </ns0:c>
    </ns0:row>
    <ns0:row r="2004" ht="24" customHeight="1">
      <ns0:c r="A2004" s="3" t="inlineStr">
        <ns0:is>
          <ns0:t>混在40/30/30</ns0:t>
        </ns0:is>
      </ns0:c>
      <ns0:c r="B2004" s="3" t="inlineStr">
        <ns0:is>
          <ns0:t>G3三段階</ns0:t>
        </ns0:is>
      </ns0:c>
      <ns0:c r="C2004" s="3" t="inlineStr">
        <ns0:is>
          <ns0:t>D</ns0:t>
        </ns0:is>
      </ns0:c>
      <ns0:c r="D2004" s="4" t="n">
        <ns0:v>0</ns0:v>
      </ns0:c>
      <ns0:c r="E2004" s="4" t="n">
        <ns0:v>1500</ns0:v>
      </ns0:c>
      <ns0:c r="F2004" s="6" t="n">
        <ns0:v>0.4</ns0:v>
      </ns0:c>
      <ns0:c r="G2004" s="4" t="n">
        <ns0:v>0</ns0:v>
      </ns0:c>
      <ns0:c r="H2004" s="7" t="n">
        <ns0:v>3716.195167709637</ns0:v>
      </ns0:c>
      <ns0:c r="I2004" s="7" t="n">
        <ns0:v>2008.579843554443</ns0:v>
      </ns0:c>
      <ns0:c r="J2004" s="7" t="n">
        <ns0:v>803.4319374217771</ns0:v>
      </ns0:c>
      <ns0:c r="K2004" s="7" t="n">
        <ns0:v>38</ns0:v>
      </ns0:c>
      <ns0:c r="L2004" s="7" t="n">
        <ns0:v>83</ns0:v>
      </ns0:c>
      <ns0:c r="M2004" s="7" t="n">
        <ns0:v>-40824.67878869474</ns0:v>
      </ns0:c>
      <ns0:c r="N2004" s="7" t="n">
        <ns0:v>-11952.16711346864</ns0:v>
      </ns0:c>
      <ns0:c r="O2004" s="7" t="n">
        <ns0:v>19040.36959304658</ns0:v>
      </ns0:c>
      <ns0:c r="P2004" s="7" t="n">
        <ns0:v>92591.67381240096</ns0:v>
      </ns0:c>
      <ns0:c r="Q2004" s="7" t="n">
        <ns0:v>344796.8906898185</ns0:v>
      </ns0:c>
      <ns0:c r="R2004" s="7" t="n">
        <ns0:v>1304515.149760779</ns0:v>
      </ns0:c>
    </ns0:row>
    <ns0:row r="2005" ht="24" customHeight="1">
      <ns0:c r="A2005" s="3" t="inlineStr">
        <ns0:is>
          <ns0:t>混在40/30/30</ns0:t>
        </ns0:is>
      </ns0:c>
      <ns0:c r="B2005" s="3" t="inlineStr">
        <ns0:is>
          <ns0:t>G3三段階</ns0:t>
        </ns0:is>
      </ns0:c>
      <ns0:c r="C2005" s="3" t="inlineStr">
        <ns0:is>
          <ns0:t>D</ns0:t>
        </ns0:is>
      </ns0:c>
      <ns0:c r="D2005" s="4" t="n">
        <ns0:v>0</ns0:v>
      </ns0:c>
      <ns0:c r="E2005" s="4" t="n">
        <ns0:v>1500</ns0:v>
      </ns0:c>
      <ns0:c r="F2005" s="6" t="n">
        <ns0:v>0.4</ns0:v>
      </ns0:c>
      <ns0:c r="G2005" s="4" t="n">
        <ns0:v>1</ns0:v>
      </ns0:c>
      <ns0:c r="H2005" s="7" t="n">
        <ns0:v>3716.195167709637</ns0:v>
      </ns0:c>
      <ns0:c r="I2005" s="7" t="n">
        <ns0:v>2008.579843554443</ns0:v>
      </ns0:c>
      <ns0:c r="J2005" s="7" t="n">
        <ns0:v>803.4319374217771</ns0:v>
      </ns0:c>
      <ns0:c r="K2005" s="7" t="n">
        <ns0:v>44</ns0:v>
      </ns0:c>
      <ns0:c r="L2005" s="7" t="n">
        <ns0:v>287</ns0:v>
      </ns0:c>
      <ns0:c r="M2005" s="7" t="n">
        <ns0:v>-43044.22260056005</ns0:v>
      </ns0:c>
      <ns0:c r="N2005" s="7" t="n">
        <ns0:v>-18610.79854906458</ns0:v>
      </ns0:c>
      <ns0:c r="O2005" s="7" t="n">
        <ns0:v>7942.650533720018</ns0:v>
      </ns0:c>
      <ns0:c r="P2005" s="7" t="n">
        <ns0:v>70396.23569374783</ns0:v>
      </ns0:c>
      <ns0:c r="Q2005" s="7" t="n">
        <ns0:v>278210.5763338591</ns0:v>
      </ns0:c>
      <ns0:c r="R2005" s="7" t="n">
        <ns0:v>1082560.768574248</ns0:v>
      </ns0:c>
    </ns0:row>
    <ns0:row r="2006" ht="24" customHeight="1">
      <ns0:c r="A2006" s="3" t="inlineStr">
        <ns0:is>
          <ns0:t>混在40/30/30</ns0:t>
        </ns0:is>
      </ns0:c>
      <ns0:c r="B2006" s="3" t="inlineStr">
        <ns0:is>
          <ns0:t>G3三段階</ns0:t>
        </ns0:is>
      </ns0:c>
      <ns0:c r="C2006" s="3" t="inlineStr">
        <ns0:is>
          <ns0:t>D</ns0:t>
        </ns0:is>
      </ns0:c>
      <ns0:c r="D2006" s="4" t="n">
        <ns0:v>0</ns0:v>
      </ns0:c>
      <ns0:c r="E2006" s="4" t="n">
        <ns0:v>1500</ns0:v>
      </ns0:c>
      <ns0:c r="F2006" s="6" t="n">
        <ns0:v>0.4</ns0:v>
      </ns0:c>
      <ns0:c r="G2006" s="4" t="n">
        <ns0:v>2</ns0:v>
      </ns0:c>
      <ns0:c r="H2006" s="7" t="n">
        <ns0:v>3716.195167709637</ns0:v>
      </ns0:c>
      <ns0:c r="I2006" s="7" t="n">
        <ns0:v>2008.579843554443</ns0:v>
      </ns0:c>
      <ns0:c r="J2006" s="7" t="n">
        <ns0:v>803.4319374217771</ns0:v>
      </ns0:c>
      <ns0:c r="K2006" s="18" t="inlineStr">
        <ns0:is>
          <ns0:t>範囲内なし</ns0:t>
        </ns0:is>
      </ns0:c>
      <ns0:c r="L2006" s="18" t="inlineStr">
        <ns0:is>
          <ns0:t>範囲内なし</ns0:t>
        </ns0:is>
      </ns0:c>
      <ns0:c r="M2006" s="7" t="n">
        <ns0:v>-54181.878887592</ns0:v>
      </ns0:c>
      <ns0:c r="N2006" s="7" t="n">
        <ns0:v>-52023.76741016041</ns0:v>
      </ns0:c>
      <ns0:c r="O2006" s="7" t="n">
        <ns0:v>-47745.63090143968</ns0:v>
      </ns0:c>
      <ns0:c r="P2006" s="7" t="n">
        <ns0:v>-40980.32717657159</ns0:v>
      </ns0:c>
      <ns0:c r="Q2006" s="7" t="n">
        <ns0:v>-55919.11227709916</ns0:v>
      </ns0:c>
      <ns0:c r="R2006" s="7" t="n">
        <ns0:v>-31204.86012894614</ns0:v>
      </ns0:c>
    </ns0:row>
    <ns0:row r="2007" ht="24" customHeight="1">
      <ns0:c r="A2007" s="3" t="inlineStr">
        <ns0:is>
          <ns0:t>混在40/30/30</ns0:t>
        </ns0:is>
      </ns0:c>
      <ns0:c r="B2007" s="3" t="inlineStr">
        <ns0:is>
          <ns0:t>G3三段階</ns0:t>
        </ns0:is>
      </ns0:c>
      <ns0:c r="C2007" s="3" t="inlineStr">
        <ns0:is>
          <ns0:t>D</ns0:t>
        </ns0:is>
      </ns0:c>
      <ns0:c r="D2007" s="4" t="n">
        <ns0:v>0</ns0:v>
      </ns0:c>
      <ns0:c r="E2007" s="4" t="n">
        <ns0:v>1500</ns0:v>
      </ns0:c>
      <ns0:c r="F2007" s="6" t="n">
        <ns0:v>0.4</ns0:v>
      </ns0:c>
      <ns0:c r="G2007" s="4" t="n">
        <ns0:v>3</ns0:v>
      </ns0:c>
      <ns0:c r="H2007" s="7" t="n">
        <ns0:v>3716.195167709637</ns0:v>
      </ns0:c>
      <ns0:c r="I2007" s="7" t="n">
        <ns0:v>2008.579843554443</ns0:v>
      </ns0:c>
      <ns0:c r="J2007" s="7" t="n">
        <ns0:v>803.4319374217771</ns0:v>
      </ns0:c>
      <ns0:c r="K2007" s="7" t="n">
        <ns0:v>74</ns0:v>
      </ns0:c>
      <ns0:c r="L2007" s="18" t="inlineStr">
        <ns0:is>
          <ns0:t>範囲内なし</ns0:t>
        </ns0:is>
      </ns0:c>
      <ns0:c r="M2007" s="7" t="n">
        <ns0:v>-48168.49357086662</ns0:v>
      </ns0:c>
      <ns0:c r="N2007" s="7" t="n">
        <ns0:v>-33983.61145998425</ns0:v>
      </ns0:c>
      <ns0:c r="O2007" s="7" t="n">
        <ns0:v>-17678.70431781276</ns0:v>
      </ns0:c>
      <ns0:c r="P2007" s="7" t="n">
        <ns0:v>19153.52599068228</ns0:v>
      </ns0:c>
      <ns0:c r="Q2007" s="7" t="n">
        <ns0:v>124482.4472246624</ns0:v>
      </ns0:c>
      <ns0:c r="R2007" s="7" t="n">
        <ns0:v>570133.6715435926</ns0:v>
      </ns0:c>
    </ns0:row>
    <ns0:row r="2008" ht="24" customHeight="1">
      <ns0:c r="A2008" s="3" t="inlineStr">
        <ns0:is>
          <ns0:t>混在40/30/30</ns0:t>
        </ns0:is>
      </ns0:c>
      <ns0:c r="B2008" s="3" t="inlineStr">
        <ns0:is>
          <ns0:t>G3三段階</ns0:t>
        </ns0:is>
      </ns0:c>
      <ns0:c r="C2008" s="3" t="inlineStr">
        <ns0:is>
          <ns0:t>D</ns0:t>
        </ns0:is>
      </ns0:c>
      <ns0:c r="D2008" s="4" t="n">
        <ns0:v>0</ns0:v>
      </ns0:c>
      <ns0:c r="E2008" s="4" t="n">
        <ns0:v>1500</ns0:v>
      </ns0:c>
      <ns0:c r="F2008" s="6" t="n">
        <ns0:v>0.5</ns0:v>
      </ns0:c>
      <ns0:c r="G2008" s="4" t="n">
        <ns0:v>0</ns0:v>
      </ns0:c>
      <ns0:c r="H2008" s="7" t="n">
        <ns0:v>3716.195167709637</ns0:v>
      </ns0:c>
      <ns0:c r="I2008" s="7" t="n">
        <ns0:v>2008.579843554443</ns0:v>
      </ns0:c>
      <ns0:c r="J2008" s="7" t="n">
        <ns0:v>1004.289921777221</ns0:v>
      </ns0:c>
      <ns0:c r="K2008" s="7" t="n">
        <ns0:v>43</ns0:v>
      </ns0:c>
      <ns0:c r="L2008" s="7" t="n">
        <ns0:v>96</ns0:v>
      </ns0:c>
      <ns0:c r="M2008" s="7" t="n">
        <ns0:v>-42833.25863224918</ns0:v>
      </ns0:c>
      <ns0:c r="N2008" s="7" t="n">
        <ns0:v>-17977.90664413197</ns0:v>
      </ns0:c>
      <ns0:c r="O2008" s="7" t="n">
        <ns0:v>8997.470375274359</ns0:v>
      </ns0:c>
      <ns0:c r="P2008" s="7" t="n">
        <ns0:v>72505.87537685651</ns0:v>
      </ns0:c>
      <ns0:c r="Q2008" s="7" t="n">
        <ns0:v>284539.4953831853</ns0:v>
      </ns0:c>
      <ns0:c r="R2008" s="7" t="n">
        <ns0:v>1103657.165405336</ns0:v>
      </ns0:c>
    </ns0:row>
    <ns0:row r="2009" ht="24" customHeight="1">
      <ns0:c r="A2009" s="3" t="inlineStr">
        <ns0:is>
          <ns0:t>混在40/30/30</ns0:t>
        </ns0:is>
      </ns0:c>
      <ns0:c r="B2009" s="3" t="inlineStr">
        <ns0:is>
          <ns0:t>G3三段階</ns0:t>
        </ns0:is>
      </ns0:c>
      <ns0:c r="C2009" s="3" t="inlineStr">
        <ns0:is>
          <ns0:t>D</ns0:t>
        </ns0:is>
      </ns0:c>
      <ns0:c r="D2009" s="4" t="n">
        <ns0:v>0</ns0:v>
      </ns0:c>
      <ns0:c r="E2009" s="4" t="n">
        <ns0:v>1500</ns0:v>
      </ns0:c>
      <ns0:c r="F2009" s="6" t="n">
        <ns0:v>0.5</ns0:v>
      </ns0:c>
      <ns0:c r="G2009" s="4" t="n">
        <ns0:v>1</ns0:v>
      </ns0:c>
      <ns0:c r="H2009" s="7" t="n">
        <ns0:v>3716.195167709637</ns0:v>
      </ns0:c>
      <ns0:c r="I2009" s="7" t="n">
        <ns0:v>2008.579843554443</ns0:v>
      </ns0:c>
      <ns0:c r="J2009" s="7" t="n">
        <ns0:v>1004.289921777221</ns0:v>
      </ns0:c>
      <ns0:c r="K2009" s="7" t="n">
        <ns0:v>53</ns0:v>
      </ns0:c>
      <ns0:c r="L2009" s="7" t="n">
        <ns0:v>406</ns0:v>
      </ns0:c>
      <ns0:c r="M2009" s="7" t="n">
        <ns0:v>-45052.8024441145</ns0:v>
      </ns0:c>
      <ns0:c r="N2009" s="7" t="n">
        <ns0:v>-24636.5380797279</ns0:v>
      </ns0:c>
      <ns0:c r="O2009" s="7" t="n">
        <ns0:v>-2100.248684052203</ns0:v>
      </ns0:c>
      <ns0:c r="P2009" s="7" t="n">
        <ns0:v>50310.43725820339</ns0:v>
      </ns0:c>
      <ns0:c r="Q2009" s="7" t="n">
        <ns0:v>217953.1810272259</ns0:v>
      </ns0:c>
      <ns0:c r="R2009" s="7" t="n">
        <ns0:v>881702.7842188044</ns0:v>
      </ns0:c>
    </ns0:row>
    <ns0:row r="2010" ht="24" customHeight="1">
      <ns0:c r="A2010" s="3" t="inlineStr">
        <ns0:is>
          <ns0:t>混在40/30/30</ns0:t>
        </ns0:is>
      </ns0:c>
      <ns0:c r="B2010" s="3" t="inlineStr">
        <ns0:is>
          <ns0:t>G3三段階</ns0:t>
        </ns0:is>
      </ns0:c>
      <ns0:c r="C2010" s="3" t="inlineStr">
        <ns0:is>
          <ns0:t>D</ns0:t>
        </ns0:is>
      </ns0:c>
      <ns0:c r="D2010" s="4" t="n">
        <ns0:v>0</ns0:v>
      </ns0:c>
      <ns0:c r="E2010" s="4" t="n">
        <ns0:v>1500</ns0:v>
      </ns0:c>
      <ns0:c r="F2010" s="6" t="n">
        <ns0:v>0.5</ns0:v>
      </ns0:c>
      <ns0:c r="G2010" s="4" t="n">
        <ns0:v>2</ns0:v>
      </ns0:c>
      <ns0:c r="H2010" s="7" t="n">
        <ns0:v>3716.195167709637</ns0:v>
      </ns0:c>
      <ns0:c r="I2010" s="7" t="n">
        <ns0:v>2008.579843554443</ns0:v>
      </ns0:c>
      <ns0:c r="J2010" s="7" t="n">
        <ns0:v>1004.289921777221</ns0:v>
      </ns0:c>
      <ns0:c r="K2010" s="18" t="inlineStr">
        <ns0:is>
          <ns0:t>範囲内なし</ns0:t>
        </ns0:is>
      </ns0:c>
      <ns0:c r="L2010" s="18" t="inlineStr">
        <ns0:is>
          <ns0:t>範囲内なし</ns0:t>
        </ns0:is>
      </ns0:c>
      <ns0:c r="M2010" s="7" t="n">
        <ns0:v>-56190.45873114644</ns0:v>
      </ns0:c>
      <ns0:c r="N2010" s="7" t="n">
        <ns0:v>-58049.50694082373</ns0:v>
      </ns0:c>
      <ns0:c r="O2010" s="7" t="n">
        <ns0:v>-57788.53011921192</ns0:v>
      </ns0:c>
      <ns0:c r="P2010" s="7" t="n">
        <ns0:v>-61066.12561211604</ns0:v>
      </ns0:c>
      <ns0:c r="Q2010" s="7" t="n">
        <ns0:v>-116176.5075837324</ns0:v>
      </ns0:c>
      <ns0:c r="R2010" s="7" t="n">
        <ns0:v>-232062.8444843901</ns0:v>
      </ns0:c>
    </ns0:row>
    <ns0:row r="2011" ht="24" customHeight="1">
      <ns0:c r="A2011" s="3" t="inlineStr">
        <ns0:is>
          <ns0:t>混在40/30/30</ns0:t>
        </ns0:is>
      </ns0:c>
      <ns0:c r="B2011" s="3" t="inlineStr">
        <ns0:is>
          <ns0:t>G3三段階</ns0:t>
        </ns0:is>
      </ns0:c>
      <ns0:c r="C2011" s="3" t="inlineStr">
        <ns0:is>
          <ns0:t>D</ns0:t>
        </ns0:is>
      </ns0:c>
      <ns0:c r="D2011" s="4" t="n">
        <ns0:v>0</ns0:v>
      </ns0:c>
      <ns0:c r="E2011" s="4" t="n">
        <ns0:v>1500</ns0:v>
      </ns0:c>
      <ns0:c r="F2011" s="6" t="n">
        <ns0:v>0.5</ns0:v>
      </ns0:c>
      <ns0:c r="G2011" s="4" t="n">
        <ns0:v>3</ns0:v>
      </ns0:c>
      <ns0:c r="H2011" s="7" t="n">
        <ns0:v>3716.195167709637</ns0:v>
      </ns0:c>
      <ns0:c r="I2011" s="7" t="n">
        <ns0:v>2008.579843554443</ns0:v>
      </ns0:c>
      <ns0:c r="J2011" s="7" t="n">
        <ns0:v>1004.289921777221</ns0:v>
      </ns0:c>
      <ns0:c r="K2011" s="7" t="n">
        <ns0:v>181</ns0:v>
      </ns0:c>
      <ns0:c r="L2011" s="18" t="inlineStr">
        <ns0:is>
          <ns0:t>範囲内なし</ns0:t>
        </ns0:is>
      </ns0:c>
      <ns0:c r="M2011" s="7" t="n">
        <ns0:v>-50177.07341442106</ns0:v>
      </ns0:c>
      <ns0:c r="N2011" s="7" t="n">
        <ns0:v>-40009.35099064757</ns0:v>
      </ns0:c>
      <ns0:c r="O2011" s="7" t="n">
        <ns0:v>-27721.60353558499</ns0:v>
      </ns0:c>
      <ns0:c r="P2011" s="7" t="n">
        <ns0:v>-932.2724448621739</ns0:v>
      </ns0:c>
      <ns0:c r="Q2011" s="7" t="n">
        <ns0:v>64225.05191802917</ns0:v>
      </ns0:c>
      <ns0:c r="R2011" s="7" t="n">
        <ns0:v>369275.6871881487</ns0:v>
      </ns0:c>
    </ns0:row>
    <ns0:row r="2012" ht="24" customHeight="1">
      <ns0:c r="A2012" s="3" t="inlineStr">
        <ns0:is>
          <ns0:t>混在40/30/30</ns0:t>
        </ns0:is>
      </ns0:c>
      <ns0:c r="B2012" s="3" t="inlineStr">
        <ns0:is>
          <ns0:t>G3三段階</ns0:t>
        </ns0:is>
      </ns0:c>
      <ns0:c r="C2012" s="3" t="inlineStr">
        <ns0:is>
          <ns0:t>D</ns0:t>
        </ns0:is>
      </ns0:c>
      <ns0:c r="D2012" s="4" t="n">
        <ns0:v>1</ns0:v>
      </ns0:c>
      <ns0:c r="E2012" s="4" t="n">
        <ns0:v>500</ns0:v>
      </ns0:c>
      <ns0:c r="F2012" s="6" t="n">
        <ns0:v>0.3</ns0:v>
      </ns0:c>
      <ns0:c r="G2012" s="4" t="n">
        <ns0:v>0</ns0:v>
      </ns0:c>
      <ns0:c r="H2012" s="7" t="n">
        <ns0:v>5201.624884197523</ns0:v>
      </ns0:c>
      <ns0:c r="I2012" s="7" t="n">
        <ns0:v>2520.317790067656</ns0:v>
      </ns0:c>
      <ns0:c r="J2012" s="7" t="n">
        <ns0:v>756.0953370202971</ns0:v>
      </ns0:c>
      <ns0:c r="K2012" s="7" t="n">
        <ns0:v>22</ns0:v>
      </ns0:c>
      <ns0:c r="L2012" s="7" t="n">
        <ns0:v>36</ns0:v>
      </ns0:c>
      <ns0:c r="M2012" s="7" t="n">
        <ns0:v>-26407.16027127636</ns0:v>
      </ns0:c>
      <ns0:c r="N2012" s="7" t="n">
        <ns0:v>24010.89123208261</ns0:v>
      </ns0:c>
      <ns0:c r="O2012" s="7" t="n">
        <ns0:v>76358.77513767622</ns0:v>
      </ns0:c>
      <ns0:c r="P2012" s="7" t="n">
        <ns0:v>207228.4849016602</ns0:v>
      </ns0:c>
      <ns0:c r="Q2012" s="7" t="n">
        <ns0:v>688707.3239575964</ns0:v>
      </ns0:c>
      <ns0:c r="R2012" s="7" t="n">
        <ns0:v>2450883.260653373</ns0:v>
      </ns0:c>
    </ns0:row>
    <ns0:row r="2013" ht="24" customHeight="1">
      <ns0:c r="A2013" s="3" t="inlineStr">
        <ns0:is>
          <ns0:t>混在40/30/30</ns0:t>
        </ns0:is>
      </ns0:c>
      <ns0:c r="B2013" s="3" t="inlineStr">
        <ns0:is>
          <ns0:t>G3三段階</ns0:t>
        </ns0:is>
      </ns0:c>
      <ns0:c r="C2013" s="3" t="inlineStr">
        <ns0:is>
          <ns0:t>D</ns0:t>
        </ns0:is>
      </ns0:c>
      <ns0:c r="D2013" s="4" t="n">
        <ns0:v>1</ns0:v>
      </ns0:c>
      <ns0:c r="E2013" s="4" t="n">
        <ns0:v>500</ns0:v>
      </ns0:c>
      <ns0:c r="F2013" s="6" t="n">
        <ns0:v>0.3</ns0:v>
      </ns0:c>
      <ns0:c r="G2013" s="4" t="n">
        <ns0:v>1</ns0:v>
      </ns0:c>
      <ns0:c r="H2013" s="7" t="n">
        <ns0:v>5201.624884197523</ns0:v>
      </ns0:c>
      <ns0:c r="I2013" s="7" t="n">
        <ns0:v>2520.317790067656</ns0:v>
      </ns0:c>
      <ns0:c r="J2013" s="7" t="n">
        <ns0:v>756.0953370202971</ns0:v>
      </ns0:c>
      <ns0:c r="K2013" s="7" t="n">
        <ns0:v>24</ns0:v>
      </ns0:c>
      <ns0:c r="L2013" s="7" t="n">
        <ns0:v>48</ns0:v>
      </ns0:c>
      <ns0:c r="M2013" s="7" t="n">
        <ns0:v>-28976.37833924063</ns0:v>
      </ns0:c>
      <ns0:c r="N2013" s="7" t="n">
        <ns0:v>16303.23702818979</ns0:v>
      </ns0:c>
      <ns0:c r="O2013" s="7" t="n">
        <ns0:v>63512.68479785485</ns0:v>
      </ns0:c>
      <ns0:c r="P2013" s="7" t="n">
        <ns0:v>181536.3042220175</ns0:v>
      </ns0:c>
      <ns0:c r="Q2013" s="7" t="n">
        <ns0:v>611630.7819186684</ns0:v>
      </ns0:c>
      <ns0:c r="R2013" s="7" t="n">
        <ns0:v>2193961.453856946</ns0:v>
      </ns0:c>
    </ns0:row>
    <ns0:row r="2014" ht="24" customHeight="1">
      <ns0:c r="A2014" s="3" t="inlineStr">
        <ns0:is>
          <ns0:t>混在40/30/30</ns0:t>
        </ns0:is>
      </ns0:c>
      <ns0:c r="B2014" s="3" t="inlineStr">
        <ns0:is>
          <ns0:t>G3三段階</ns0:t>
        </ns0:is>
      </ns0:c>
      <ns0:c r="C2014" s="3" t="inlineStr">
        <ns0:is>
          <ns0:t>D</ns0:t>
        </ns0:is>
      </ns0:c>
      <ns0:c r="D2014" s="4" t="n">
        <ns0:v>1</ns0:v>
      </ns0:c>
      <ns0:c r="E2014" s="4" t="n">
        <ns0:v>500</ns0:v>
      </ns0:c>
      <ns0:c r="F2014" s="6" t="n">
        <ns0:v>0.3</ns0:v>
      </ns0:c>
      <ns0:c r="G2014" s="4" t="n">
        <ns0:v>2</ns0:v>
      </ns0:c>
      <ns0:c r="H2014" s="7" t="n">
        <ns0:v>5201.624884197523</ns0:v>
      </ns0:c>
      <ns0:c r="I2014" s="7" t="n">
        <ns0:v>2520.317790067656</ns0:v>
      </ns0:c>
      <ns0:c r="J2014" s="7" t="n">
        <ns0:v>756.0953370202971</ns0:v>
      </ns0:c>
      <ns0:c r="K2014" s="7" t="n">
        <ns0:v>407</ns0:v>
      </ns0:c>
      <ns0:c r="L2014" s="18" t="inlineStr">
        <ns0:is>
          <ns0:t>範囲内なし</ns0:t>
        </ns0:is>
      </ns0:c>
      <ns0:c r="M2014" s="7" t="n">
        <ns0:v>-50208.21687058172</ns0:v>
      </ns0:c>
      <ns0:c r="N2014" s="7" t="n">
        <ns0:v>-47392.27856583347</ns0:v>
      </ns0:c>
      <ns0:c r="O2014" s="7" t="n">
        <ns0:v>-42646.50785885059</ns0:v>
      </ns0:c>
      <ns0:c r="P2014" s="7" t="n">
        <ns0:v>-30782.08109139337</ns0:v>
      </ns0:c>
      <ns0:c r="Q2014" s="7" t="n">
        <ns0:v>-25324.37402156432</ns0:v>
      </ns0:c>
      <ns0:c r="R2014" s="7" t="n">
        <ns0:v>70777.60072283749</ns0:v>
      </ns0:c>
    </ns0:row>
    <ns0:row r="2015" ht="24" customHeight="1">
      <ns0:c r="A2015" s="3" t="inlineStr">
        <ns0:is>
          <ns0:t>混在40/30/30</ns0:t>
        </ns0:is>
      </ns0:c>
      <ns0:c r="B2015" s="3" t="inlineStr">
        <ns0:is>
          <ns0:t>G3三段階</ns0:t>
        </ns0:is>
      </ns0:c>
      <ns0:c r="C2015" s="3" t="inlineStr">
        <ns0:is>
          <ns0:t>D</ns0:t>
        </ns0:is>
      </ns0:c>
      <ns0:c r="D2015" s="4" t="n">
        <ns0:v>1</ns0:v>
      </ns0:c>
      <ns0:c r="E2015" s="4" t="n">
        <ns0:v>500</ns0:v>
      </ns0:c>
      <ns0:c r="F2015" s="6" t="n">
        <ns0:v>0.3</ns0:v>
      </ns0:c>
      <ns0:c r="G2015" s="4" t="n">
        <ns0:v>3</ns0:v>
      </ns0:c>
      <ns0:c r="H2015" s="7" t="n">
        <ns0:v>5201.624884197523</ns0:v>
      </ns0:c>
      <ns0:c r="I2015" s="7" t="n">
        <ns0:v>2520.317790067656</ns0:v>
      </ns0:c>
      <ns0:c r="J2015" s="7" t="n">
        <ns0:v>756.0953370202971</ns0:v>
      </ns0:c>
      <ns0:c r="K2015" s="7" t="n">
        <ns0:v>31</ns0:v>
      </ns0:c>
      <ns0:c r="L2015" s="7" t="n">
        <ns0:v>348</ns0:v>
      </ns0:c>
      <ns0:c r="M2015" s="7" t="n">
        <ns0:v>-34617.12576749444</ns0:v>
      </ns0:c>
      <ns0:c r="N2015" s="7" t="n">
        <ns0:v>-619.0052565716069</ns0:v>
      </ns0:c>
      <ns0:c r="O2015" s="7" t="n">
        <ns0:v>35308.94765658586</ns0:v>
      </ns0:c>
      <ns0:c r="P2015" s="7" t="n">
        <ns0:v>125128.8299394795</ns0:v>
      </ns0:c>
      <ns0:c r="Q2015" s="7" t="n">
        <ns0:v>442408.3590710544</ns0:v>
      </ns0:c>
      <ns0:c r="R2015" s="7" t="n">
        <ns0:v>1629886.711031566</ns0:v>
      </ns0:c>
    </ns0:row>
    <ns0:row r="2016" ht="24" customHeight="1">
      <ns0:c r="A2016" s="3" t="inlineStr">
        <ns0:is>
          <ns0:t>混在40/30/30</ns0:t>
        </ns0:is>
      </ns0:c>
      <ns0:c r="B2016" s="3" t="inlineStr">
        <ns0:is>
          <ns0:t>G3三段階</ns0:t>
        </ns0:is>
      </ns0:c>
      <ns0:c r="C2016" s="3" t="inlineStr">
        <ns0:is>
          <ns0:t>D</ns0:t>
        </ns0:is>
      </ns0:c>
      <ns0:c r="D2016" s="4" t="n">
        <ns0:v>1</ns0:v>
      </ns0:c>
      <ns0:c r="E2016" s="4" t="n">
        <ns0:v>500</ns0:v>
      </ns0:c>
      <ns0:c r="F2016" s="6" t="n">
        <ns0:v>0.4</ns0:v>
      </ns0:c>
      <ns0:c r="G2016" s="4" t="n">
        <ns0:v>0</ns0:v>
      </ns0:c>
      <ns0:c r="H2016" s="7" t="n">
        <ns0:v>5201.624884197523</ns0:v>
      </ns0:c>
      <ns0:c r="I2016" s="7" t="n">
        <ns0:v>2520.317790067656</ns0:v>
      </ns0:c>
      <ns0:c r="J2016" s="7" t="n">
        <ns0:v>1008.127116027063</ns0:v>
      </ns0:c>
      <ns0:c r="K2016" s="7" t="n">
        <ns0:v>24</ns0:v>
      </ns0:c>
      <ns0:c r="L2016" s="7" t="n">
        <ns0:v>39</ns0:v>
      </ns0:c>
      <ns0:c r="M2016" s="7" t="n">
        <ns0:v>-28927.47806134401</ns0:v>
      </ns0:c>
      <ns0:c r="N2016" s="7" t="n">
        <ns0:v>16449.93786187965</ns0:v>
      </ns0:c>
      <ns0:c r="O2016" s="7" t="n">
        <ns0:v>63757.18618733792</ns0:v>
      </ns0:c>
      <ns0:c r="P2016" s="7" t="n">
        <ns0:v>182025.3070009837</ns0:v>
      </ns0:c>
      <ns0:c r="Q2016" s="7" t="n">
        <ns0:v>613097.7902555668</ns0:v>
      </ns0:c>
      <ns0:c r="R2016" s="7" t="n">
        <ns0:v>2198851.481646608</ns0:v>
      </ns0:c>
    </ns0:row>
    <ns0:row r="2017" ht="24" customHeight="1">
      <ns0:c r="A2017" s="3" t="inlineStr">
        <ns0:is>
          <ns0:t>混在40/30/30</ns0:t>
        </ns0:is>
      </ns0:c>
      <ns0:c r="B2017" s="3" t="inlineStr">
        <ns0:is>
          <ns0:t>G3三段階</ns0:t>
        </ns0:is>
      </ns0:c>
      <ns0:c r="C2017" s="3" t="inlineStr">
        <ns0:is>
          <ns0:t>D</ns0:t>
        </ns0:is>
      </ns0:c>
      <ns0:c r="D2017" s="4" t="n">
        <ns0:v>1</ns0:v>
      </ns0:c>
      <ns0:c r="E2017" s="4" t="n">
        <ns0:v>500</ns0:v>
      </ns0:c>
      <ns0:c r="F2017" s="6" t="n">
        <ns0:v>0.4</ns0:v>
      </ns0:c>
      <ns0:c r="G2017" s="4" t="n">
        <ns0:v>1</ns0:v>
      </ns0:c>
      <ns0:c r="H2017" s="7" t="n">
        <ns0:v>5201.624884197523</ns0:v>
      </ns0:c>
      <ns0:c r="I2017" s="7" t="n">
        <ns0:v>2520.317790067656</ns0:v>
      </ns0:c>
      <ns0:c r="J2017" s="7" t="n">
        <ns0:v>1008.127116027063</ns0:v>
      </ns0:c>
      <ns0:c r="K2017" s="7" t="n">
        <ns0:v>26</ns0:v>
      </ns0:c>
      <ns0:c r="L2017" s="7" t="n">
        <ns0:v>53</ns0:v>
      </ns0:c>
      <ns0:c r="M2017" s="7" t="n">
        <ns0:v>-31496.69612930829</ns0:v>
      </ns0:c>
      <ns0:c r="N2017" s="7" t="n">
        <ns0:v>8742.283657986834</ns0:v>
      </ns0:c>
      <ns0:c r="O2017" s="7" t="n">
        <ns0:v>50911.09584751657</ns0:v>
      </ns0:c>
      <ns0:c r="P2017" s="7" t="n">
        <ns0:v>156333.1263213409</ns0:v>
      </ns0:c>
      <ns0:c r="Q2017" s="7" t="n">
        <ns0:v>536021.2482166386</ns0:v>
      </ns0:c>
      <ns0:c r="R2017" s="7" t="n">
        <ns0:v>1941929.674850181</ns0:v>
      </ns0:c>
    </ns0:row>
    <ns0:row r="2018" ht="24" customHeight="1">
      <ns0:c r="A2018" s="3" t="inlineStr">
        <ns0:is>
          <ns0:t>混在40/30/30</ns0:t>
        </ns0:is>
      </ns0:c>
      <ns0:c r="B2018" s="3" t="inlineStr">
        <ns0:is>
          <ns0:t>G3三段階</ns0:t>
        </ns0:is>
      </ns0:c>
      <ns0:c r="C2018" s="3" t="inlineStr">
        <ns0:is>
          <ns0:t>D</ns0:t>
        </ns0:is>
      </ns0:c>
      <ns0:c r="D2018" s="4" t="n">
        <ns0:v>1</ns0:v>
      </ns0:c>
      <ns0:c r="E2018" s="4" t="n">
        <ns0:v>500</ns0:v>
      </ns0:c>
      <ns0:c r="F2018" s="6" t="n">
        <ns0:v>0.4</ns0:v>
      </ns0:c>
      <ns0:c r="G2018" s="4" t="n">
        <ns0:v>2</ns0:v>
      </ns0:c>
      <ns0:c r="H2018" s="7" t="n">
        <ns0:v>5201.624884197523</ns0:v>
      </ns0:c>
      <ns0:c r="I2018" s="7" t="n">
        <ns0:v>2520.317790067656</ns0:v>
      </ns0:c>
      <ns0:c r="J2018" s="7" t="n">
        <ns0:v>1008.127116027063</ns0:v>
      </ns0:c>
      <ns0:c r="K2018" s="18" t="inlineStr">
        <ns0:is>
          <ns0:t>範囲内なし</ns0:t>
        </ns0:is>
      </ns0:c>
      <ns0:c r="L2018" s="18" t="inlineStr">
        <ns0:is>
          <ns0:t>範囲内なし</ns0:t>
        </ns0:is>
      </ns0:c>
      <ns0:c r="M2018" s="7" t="n">
        <ns0:v>-52728.53466064938</ns0:v>
      </ns0:c>
      <ns0:c r="N2018" s="7" t="n">
        <ns0:v>-54953.23193603644</ns0:v>
      </ns0:c>
      <ns0:c r="O2018" s="7" t="n">
        <ns0:v>-55248.09680918887</ns0:v>
      </ns0:c>
      <ns0:c r="P2018" s="7" t="n">
        <ns0:v>-55985.25899206997</ns0:v>
      </ns0:c>
      <ns0:c r="Q2018" s="7" t="n">
        <ns0:v>-100933.907723594</ns0:v>
      </ns0:c>
      <ns0:c r="R2018" s="7" t="n">
        <ns0:v>-181254.1782839282</ns0:v>
      </ns0:c>
    </ns0:row>
    <ns0:row r="2019" ht="24" customHeight="1">
      <ns0:c r="A2019" s="3" t="inlineStr">
        <ns0:is>
          <ns0:t>混在40/30/30</ns0:t>
        </ns0:is>
      </ns0:c>
      <ns0:c r="B2019" s="3" t="inlineStr">
        <ns0:is>
          <ns0:t>G3三段階</ns0:t>
        </ns0:is>
      </ns0:c>
      <ns0:c r="C2019" s="3" t="inlineStr">
        <ns0:is>
          <ns0:t>D</ns0:t>
        </ns0:is>
      </ns0:c>
      <ns0:c r="D2019" s="4" t="n">
        <ns0:v>1</ns0:v>
      </ns0:c>
      <ns0:c r="E2019" s="4" t="n">
        <ns0:v>500</ns0:v>
      </ns0:c>
      <ns0:c r="F2019" s="6" t="n">
        <ns0:v>0.4</ns0:v>
      </ns0:c>
      <ns0:c r="G2019" s="4" t="n">
        <ns0:v>3</ns0:v>
      </ns0:c>
      <ns0:c r="H2019" s="7" t="n">
        <ns0:v>5201.624884197523</ns0:v>
      </ns0:c>
      <ns0:c r="I2019" s="7" t="n">
        <ns0:v>2520.317790067656</ns0:v>
      </ns0:c>
      <ns0:c r="J2019" s="7" t="n">
        <ns0:v>1008.127116027063</ns0:v>
      </ns0:c>
      <ns0:c r="K2019" s="7" t="n">
        <ns0:v>36</ns0:v>
      </ns0:c>
      <ns0:c r="L2019" s="7" t="n">
        <ns0:v>994</ns0:v>
      </ns0:c>
      <ns0:c r="M2019" s="7" t="n">
        <ns0:v>-37137.44355756209</ns0:v>
      </ns0:c>
      <ns0:c r="N2019" s="7" t="n">
        <ns0:v>-8179.958626774565</ns0:v>
      </ns0:c>
      <ns0:c r="O2019" s="7" t="n">
        <ns0:v>22707.35870624756</ns0:v>
      </ns0:c>
      <ns0:c r="P2019" s="7" t="n">
        <ns0:v>99925.65203880292</ns0:v>
      </ns0:c>
      <ns0:c r="Q2019" s="7" t="n">
        <ns0:v>366798.8253690246</ns0:v>
      </ns0:c>
      <ns0:c r="R2019" s="7" t="n">
        <ns0:v>1377854.932024801</ns0:v>
      </ns0:c>
    </ns0:row>
    <ns0:row r="2020" ht="24" customHeight="1">
      <ns0:c r="A2020" s="3" t="inlineStr">
        <ns0:is>
          <ns0:t>混在40/30/30</ns0:t>
        </ns0:is>
      </ns0:c>
      <ns0:c r="B2020" s="3" t="inlineStr">
        <ns0:is>
          <ns0:t>G3三段階</ns0:t>
        </ns0:is>
      </ns0:c>
      <ns0:c r="C2020" s="3" t="inlineStr">
        <ns0:is>
          <ns0:t>D</ns0:t>
        </ns0:is>
      </ns0:c>
      <ns0:c r="D2020" s="4" t="n">
        <ns0:v>1</ns0:v>
      </ns0:c>
      <ns0:c r="E2020" s="4" t="n">
        <ns0:v>500</ns0:v>
      </ns0:c>
      <ns0:c r="F2020" s="6" t="n">
        <ns0:v>0.5</ns0:v>
      </ns0:c>
      <ns0:c r="G2020" s="4" t="n">
        <ns0:v>0</ns0:v>
      </ns0:c>
      <ns0:c r="H2020" s="7" t="n">
        <ns0:v>5201.624884197523</ns0:v>
      </ns0:c>
      <ns0:c r="I2020" s="7" t="n">
        <ns0:v>2520.317790067656</ns0:v>
      </ns0:c>
      <ns0:c r="J2020" s="7" t="n">
        <ns0:v>1260.158895033828</ns0:v>
      </ns0:c>
      <ns0:c r="K2020" s="7" t="n">
        <ns0:v>26</ns0:v>
      </ns0:c>
      <ns0:c r="L2020" s="7" t="n">
        <ns0:v>42</ns0:v>
      </ns0:c>
      <ns0:c r="M2020" s="7" t="n">
        <ns0:v>-31447.79585141167</ns0:v>
      </ns0:c>
      <ns0:c r="N2020" s="7" t="n">
        <ns0:v>8888.984491676682</ns0:v>
      </ns0:c>
      <ns0:c r="O2020" s="7" t="n">
        <ns0:v>51155.59723699963</ns0:v>
      </ns0:c>
      <ns0:c r="P2020" s="7" t="n">
        <ns0:v>156822.1291003071</ns0:v>
      </ns0:c>
      <ns0:c r="Q2020" s="7" t="n">
        <ns0:v>537488.256553537</ns0:v>
      </ns0:c>
      <ns0:c r="R2020" s="7" t="n">
        <ns0:v>1946819.702639842</ns0:v>
      </ns0:c>
    </ns0:row>
    <ns0:row r="2021" ht="24" customHeight="1">
      <ns0:c r="A2021" s="3" t="inlineStr">
        <ns0:is>
          <ns0:t>混在40/30/30</ns0:t>
        </ns0:is>
      </ns0:c>
      <ns0:c r="B2021" s="3" t="inlineStr">
        <ns0:is>
          <ns0:t>G3三段階</ns0:t>
        </ns0:is>
      </ns0:c>
      <ns0:c r="C2021" s="3" t="inlineStr">
        <ns0:is>
          <ns0:t>D</ns0:t>
        </ns0:is>
      </ns0:c>
      <ns0:c r="D2021" s="4" t="n">
        <ns0:v>1</ns0:v>
      </ns0:c>
      <ns0:c r="E2021" s="4" t="n">
        <ns0:v>500</ns0:v>
      </ns0:c>
      <ns0:c r="F2021" s="6" t="n">
        <ns0:v>0.5</ns0:v>
      </ns0:c>
      <ns0:c r="G2021" s="4" t="n">
        <ns0:v>1</ns0:v>
      </ns0:c>
      <ns0:c r="H2021" s="7" t="n">
        <ns0:v>5201.624884197523</ns0:v>
      </ns0:c>
      <ns0:c r="I2021" s="7" t="n">
        <ns0:v>2520.317790067656</ns0:v>
      </ns0:c>
      <ns0:c r="J2021" s="7" t="n">
        <ns0:v>1260.158895033828</ns0:v>
      </ns0:c>
      <ns0:c r="K2021" s="7" t="n">
        <ns0:v>30</ns0:v>
      </ns0:c>
      <ns0:c r="L2021" s="7" t="n">
        <ns0:v>60</ns0:v>
      </ns0:c>
      <ns0:c r="M2021" s="7" t="n">
        <ns0:v>-34017.01391937594</ns0:v>
      </ns0:c>
      <ns0:c r="N2021" s="7" t="n">
        <ns0:v>1181.330287783865</ns0:v>
      </ns0:c>
      <ns0:c r="O2021" s="7" t="n">
        <ns0:v>38309.50689717827</ns0:v>
      </ns0:c>
      <ns0:c r="P2021" s="7" t="n">
        <ns0:v>131129.9484206644</ns0:v>
      </ns0:c>
      <ns0:c r="Q2021" s="7" t="n">
        <ns0:v>460411.7145146088</ns0:v>
      </ns0:c>
      <ns0:c r="R2021" s="7" t="n">
        <ns0:v>1689897.895843415</ns0:v>
      </ns0:c>
    </ns0:row>
    <ns0:row r="2022" ht="24" customHeight="1">
      <ns0:c r="A2022" s="3" t="inlineStr">
        <ns0:is>
          <ns0:t>混在40/30/30</ns0:t>
        </ns0:is>
      </ns0:c>
      <ns0:c r="B2022" s="3" t="inlineStr">
        <ns0:is>
          <ns0:t>G3三段階</ns0:t>
        </ns0:is>
      </ns0:c>
      <ns0:c r="C2022" s="3" t="inlineStr">
        <ns0:is>
          <ns0:t>D</ns0:t>
        </ns0:is>
      </ns0:c>
      <ns0:c r="D2022" s="4" t="n">
        <ns0:v>1</ns0:v>
      </ns0:c>
      <ns0:c r="E2022" s="4" t="n">
        <ns0:v>500</ns0:v>
      </ns0:c>
      <ns0:c r="F2022" s="6" t="n">
        <ns0:v>0.5</ns0:v>
      </ns0:c>
      <ns0:c r="G2022" s="4" t="n">
        <ns0:v>2</ns0:v>
      </ns0:c>
      <ns0:c r="H2022" s="7" t="n">
        <ns0:v>5201.624884197523</ns0:v>
      </ns0:c>
      <ns0:c r="I2022" s="7" t="n">
        <ns0:v>2520.317790067656</ns0:v>
      </ns0:c>
      <ns0:c r="J2022" s="7" t="n">
        <ns0:v>1260.158895033828</ns0:v>
      </ns0:c>
      <ns0:c r="K2022" s="18" t="inlineStr">
        <ns0:is>
          <ns0:t>範囲内なし</ns0:t>
        </ns0:is>
      </ns0:c>
      <ns0:c r="L2022" s="18" t="inlineStr">
        <ns0:is>
          <ns0:t>範囲内なし</ns0:t>
        </ns0:is>
      </ns0:c>
      <ns0:c r="M2022" s="7" t="n">
        <ns0:v>-55248.85245071704</ns0:v>
      </ns0:c>
      <ns0:c r="N2022" s="7" t="n">
        <ns0:v>-62514.1853062394</ns0:v>
      </ns0:c>
      <ns0:c r="O2022" s="7" t="n">
        <ns0:v>-67849.68575952717</ns0:v>
      </ns0:c>
      <ns0:c r="P2022" s="7" t="n">
        <ns0:v>-81188.43689274655</ns0:v>
      </ns0:c>
      <ns0:c r="Q2022" s="7" t="n">
        <ns0:v>-176543.4414256238</ns0:v>
      </ns0:c>
      <ns0:c r="R2022" s="7" t="n">
        <ns0:v>-433285.9572906939</ns0:v>
      </ns0:c>
    </ns0:row>
    <ns0:row r="2023" ht="24" customHeight="1">
      <ns0:c r="A2023" s="3" t="inlineStr">
        <ns0:is>
          <ns0:t>混在40/30/30</ns0:t>
        </ns0:is>
      </ns0:c>
      <ns0:c r="B2023" s="3" t="inlineStr">
        <ns0:is>
          <ns0:t>G3三段階</ns0:t>
        </ns0:is>
      </ns0:c>
      <ns0:c r="C2023" s="3" t="inlineStr">
        <ns0:is>
          <ns0:t>D</ns0:t>
        </ns0:is>
      </ns0:c>
      <ns0:c r="D2023" s="4" t="n">
        <ns0:v>1</ns0:v>
      </ns0:c>
      <ns0:c r="E2023" s="4" t="n">
        <ns0:v>500</ns0:v>
      </ns0:c>
      <ns0:c r="F2023" s="6" t="n">
        <ns0:v>0.5</ns0:v>
      </ns0:c>
      <ns0:c r="G2023" s="4" t="n">
        <ns0:v>3</ns0:v>
      </ns0:c>
      <ns0:c r="H2023" s="7" t="n">
        <ns0:v>5201.624884197523</ns0:v>
      </ns0:c>
      <ns0:c r="I2023" s="7" t="n">
        <ns0:v>2520.317790067656</ns0:v>
      </ns0:c>
      <ns0:c r="J2023" s="7" t="n">
        <ns0:v>1260.158895033828</ns0:v>
      </ns0:c>
      <ns0:c r="K2023" s="7" t="n">
        <ns0:v>43</ns0:v>
      </ns0:c>
      <ns0:c r="L2023" s="18" t="inlineStr">
        <ns0:is>
          <ns0:t>範囲内なし</ns0:t>
        </ns0:is>
      </ns0:c>
      <ns0:c r="M2023" s="7" t="n">
        <ns0:v>-39657.76134762974</ns0:v>
      </ns0:c>
      <ns0:c r="N2023" s="7" t="n">
        <ns0:v>-15740.91199697753</ns0:v>
      </ns0:c>
      <ns0:c r="O2023" s="7" t="n">
        <ns0:v>10105.76975590927</ns0:v>
      </ns0:c>
      <ns0:c r="P2023" s="7" t="n">
        <ns0:v>74722.47413812633</ns0:v>
      </ns0:c>
      <ns0:c r="Q2023" s="7" t="n">
        <ns0:v>291189.2916669949</ns0:v>
      </ns0:c>
      <ns0:c r="R2023" s="7" t="n">
        <ns0:v>1125823.153018035</ns0:v>
      </ns0:c>
    </ns0:row>
    <ns0:row r="2024" ht="24" customHeight="1">
      <ns0:c r="A2024" s="3" t="inlineStr">
        <ns0:is>
          <ns0:t>混在40/30/30</ns0:t>
        </ns0:is>
      </ns0:c>
      <ns0:c r="B2024" s="3" t="inlineStr">
        <ns0:is>
          <ns0:t>G3三段階</ns0:t>
        </ns0:is>
      </ns0:c>
      <ns0:c r="C2024" s="3" t="inlineStr">
        <ns0:is>
          <ns0:t>D</ns0:t>
        </ns0:is>
      </ns0:c>
      <ns0:c r="D2024" s="4" t="n">
        <ns0:v>1</ns0:v>
      </ns0:c>
      <ns0:c r="E2024" s="4" t="n">
        <ns0:v>1000</ns0:v>
      </ns0:c>
      <ns0:c r="F2024" s="6" t="n">
        <ns0:v>0.3</ns0:v>
      </ns0:c>
      <ns0:c r="G2024" s="4" t="n">
        <ns0:v>0</ns0:v>
      </ns0:c>
      <ns0:c r="H2024" s="7" t="n">
        <ns0:v>5051.624884197523</ns0:v>
      </ns0:c>
      <ns0:c r="I2024" s="7" t="n">
        <ns0:v>2370.317790067656</ns0:v>
      </ns0:c>
      <ns0:c r="J2024" s="7" t="n">
        <ns0:v>711.0953370202968</ns0:v>
      </ns0:c>
      <ns0:c r="K2024" s="7" t="n">
        <ns0:v>22</ns0:v>
      </ns0:c>
      <ns0:c r="L2024" s="7" t="n">
        <ns0:v>37</ns0:v>
      </ns0:c>
      <ns0:c r="M2024" s="7" t="n">
        <ns0:v>-27403.16027127635</ns0:v>
      </ns0:c>
      <ns0:c r="N2024" s="7" t="n">
        <ns0:v>21022.8912320826</ns0:v>
      </ns0:c>
      <ns0:c r="O2024" s="7" t="n">
        <ns0:v>71378.77513767625</ns0:v>
      </ns0:c>
      <ns0:c r="P2024" s="7" t="n">
        <ns0:v>197268.4849016603</ns0:v>
      </ns0:c>
      <ns0:c r="Q2024" s="7" t="n">
        <ns0:v>658827.3239575962</ns0:v>
      </ns0:c>
      <ns0:c r="R2024" s="7" t="n">
        <ns0:v>2351283.260653373</ns0:v>
      </ns0:c>
    </ns0:row>
    <ns0:row r="2025" ht="24" customHeight="1">
      <ns0:c r="A2025" s="3" t="inlineStr">
        <ns0:is>
          <ns0:t>混在40/30/30</ns0:t>
        </ns0:is>
      </ns0:c>
      <ns0:c r="B2025" s="3" t="inlineStr">
        <ns0:is>
          <ns0:t>G3三段階</ns0:t>
        </ns0:is>
      </ns0:c>
      <ns0:c r="C2025" s="3" t="inlineStr">
        <ns0:is>
          <ns0:t>D</ns0:t>
        </ns0:is>
      </ns0:c>
      <ns0:c r="D2025" s="4" t="n">
        <ns0:v>1</ns0:v>
      </ns0:c>
      <ns0:c r="E2025" s="4" t="n">
        <ns0:v>1000</ns0:v>
      </ns0:c>
      <ns0:c r="F2025" s="6" t="n">
        <ns0:v>0.3</ns0:v>
      </ns0:c>
      <ns0:c r="G2025" s="4" t="n">
        <ns0:v>1</ns0:v>
      </ns0:c>
      <ns0:c r="H2025" s="7" t="n">
        <ns0:v>5051.624884197523</ns0:v>
      </ns0:c>
      <ns0:c r="I2025" s="7" t="n">
        <ns0:v>2370.317790067656</ns0:v>
      </ns0:c>
      <ns0:c r="J2025" s="7" t="n">
        <ns0:v>711.0953370202968</ns0:v>
      </ns0:c>
      <ns0:c r="K2025" s="7" t="n">
        <ns0:v>25</ns0:v>
      </ns0:c>
      <ns0:c r="L2025" s="7" t="n">
        <ns0:v>50</ns0:v>
      </ns0:c>
      <ns0:c r="M2025" s="7" t="n">
        <ns0:v>-29972.37833924063</ns0:v>
      </ns0:c>
      <ns0:c r="N2025" s="7" t="n">
        <ns0:v>13315.23702818979</ns0:v>
      </ns0:c>
      <ns0:c r="O2025" s="7" t="n">
        <ns0:v>58532.68479785488</ns0:v>
      </ns0:c>
      <ns0:c r="P2025" s="7" t="n">
        <ns0:v>171576.3042220176</ns0:v>
      </ns0:c>
      <ns0:c r="Q2025" s="7" t="n">
        <ns0:v>581750.7819186682</ns0:v>
      </ns0:c>
      <ns0:c r="R2025" s="7" t="n">
        <ns0:v>2094361.453856946</ns0:v>
      </ns0:c>
    </ns0:row>
    <ns0:row r="2026" ht="24" customHeight="1">
      <ns0:c r="A2026" s="3" t="inlineStr">
        <ns0:is>
          <ns0:t>混在40/30/30</ns0:t>
        </ns0:is>
      </ns0:c>
      <ns0:c r="B2026" s="3" t="inlineStr">
        <ns0:is>
          <ns0:t>G3三段階</ns0:t>
        </ns0:is>
      </ns0:c>
      <ns0:c r="C2026" s="3" t="inlineStr">
        <ns0:is>
          <ns0:t>D</ns0:t>
        </ns0:is>
      </ns0:c>
      <ns0:c r="D2026" s="4" t="n">
        <ns0:v>1</ns0:v>
      </ns0:c>
      <ns0:c r="E2026" s="4" t="n">
        <ns0:v>1000</ns0:v>
      </ns0:c>
      <ns0:c r="F2026" s="6" t="n">
        <ns0:v>0.3</ns0:v>
      </ns0:c>
      <ns0:c r="G2026" s="4" t="n">
        <ns0:v>2</ns0:v>
      </ns0:c>
      <ns0:c r="H2026" s="7" t="n">
        <ns0:v>5051.624884197523</ns0:v>
      </ns0:c>
      <ns0:c r="I2026" s="7" t="n">
        <ns0:v>2370.317790067656</ns0:v>
      </ns0:c>
      <ns0:c r="J2026" s="7" t="n">
        <ns0:v>711.0953370202968</ns0:v>
      </ns0:c>
      <ns0:c r="K2026" s="18" t="inlineStr">
        <ns0:is>
          <ns0:t>範囲内なし</ns0:t>
        </ns0:is>
      </ns0:c>
      <ns0:c r="L2026" s="18" t="inlineStr">
        <ns0:is>
          <ns0:t>範囲内なし</ns0:t>
        </ns0:is>
      </ns0:c>
      <ns0:c r="M2026" s="7" t="n">
        <ns0:v>-51204.21687058172</ns0:v>
      </ns0:c>
      <ns0:c r="N2026" s="7" t="n">
        <ns0:v>-50380.27856583348</ns0:v>
      </ns0:c>
      <ns0:c r="O2026" s="7" t="n">
        <ns0:v>-47626.50785885056</ns0:v>
      </ns0:c>
      <ns0:c r="P2026" s="7" t="n">
        <ns0:v>-40742.08109139331</ns0:v>
      </ns0:c>
      <ns0:c r="Q2026" s="7" t="n">
        <ns0:v>-55204.37402156455</ns0:v>
      </ns0:c>
      <ns0:c r="R2026" s="7" t="n">
        <ns0:v>-28822.39927716297</ns0:v>
      </ns0:c>
    </ns0:row>
    <ns0:row r="2027" ht="24" customHeight="1">
      <ns0:c r="A2027" s="3" t="inlineStr">
        <ns0:is>
          <ns0:t>混在40/30/30</ns0:t>
        </ns0:is>
      </ns0:c>
      <ns0:c r="B2027" s="3" t="inlineStr">
        <ns0:is>
          <ns0:t>G3三段階</ns0:t>
        </ns0:is>
      </ns0:c>
      <ns0:c r="C2027" s="3" t="inlineStr">
        <ns0:is>
          <ns0:t>D</ns0:t>
        </ns0:is>
      </ns0:c>
      <ns0:c r="D2027" s="4" t="n">
        <ns0:v>1</ns0:v>
      </ns0:c>
      <ns0:c r="E2027" s="4" t="n">
        <ns0:v>1000</ns0:v>
      </ns0:c>
      <ns0:c r="F2027" s="6" t="n">
        <ns0:v>0.3</ns0:v>
      </ns0:c>
      <ns0:c r="G2027" s="4" t="n">
        <ns0:v>3</ns0:v>
      </ns0:c>
      <ns0:c r="H2027" s="7" t="n">
        <ns0:v>5051.624884197523</ns0:v>
      </ns0:c>
      <ns0:c r="I2027" s="7" t="n">
        <ns0:v>2370.317790067656</ns0:v>
      </ns0:c>
      <ns0:c r="J2027" s="7" t="n">
        <ns0:v>711.0953370202968</ns0:v>
      </ns0:c>
      <ns0:c r="K2027" s="7" t="n">
        <ns0:v>33</ns0:v>
      </ns0:c>
      <ns0:c r="L2027" s="7" t="n">
        <ns0:v>438</ns0:v>
      </ns0:c>
      <ns0:c r="M2027" s="7" t="n">
        <ns0:v>-35613.12576749442</ns0:v>
      </ns0:c>
      <ns0:c r="N2027" s="7" t="n">
        <ns0:v>-3607.005256571614</ns0:v>
      </ns0:c>
      <ns0:c r="O2027" s="7" t="n">
        <ns0:v>30328.94765658589</ns0:v>
      </ns0:c>
      <ns0:c r="P2027" s="7" t="n">
        <ns0:v>115168.8299394796</ns0:v>
      </ns0:c>
      <ns0:c r="Q2027" s="7" t="n">
        <ns0:v>412528.3590710541</ns0:v>
      </ns0:c>
      <ns0:c r="R2027" s="7" t="n">
        <ns0:v>1530286.711031566</ns0:v>
      </ns0:c>
    </ns0:row>
    <ns0:row r="2028" ht="24" customHeight="1">
      <ns0:c r="A2028" s="3" t="inlineStr">
        <ns0:is>
          <ns0:t>混在40/30/30</ns0:t>
        </ns0:is>
      </ns0:c>
      <ns0:c r="B2028" s="3" t="inlineStr">
        <ns0:is>
          <ns0:t>G3三段階</ns0:t>
        </ns0:is>
      </ns0:c>
      <ns0:c r="C2028" s="3" t="inlineStr">
        <ns0:is>
          <ns0:t>D</ns0:t>
        </ns0:is>
      </ns0:c>
      <ns0:c r="D2028" s="4" t="n">
        <ns0:v>1</ns0:v>
      </ns0:c>
      <ns0:c r="E2028" s="4" t="n">
        <ns0:v>1000</ns0:v>
      </ns0:c>
      <ns0:c r="F2028" s="6" t="n">
        <ns0:v>0.4</ns0:v>
      </ns0:c>
      <ns0:c r="G2028" s="4" t="n">
        <ns0:v>0</ns0:v>
      </ns0:c>
      <ns0:c r="H2028" s="7" t="n">
        <ns0:v>5051.624884197523</ns0:v>
      </ns0:c>
      <ns0:c r="I2028" s="7" t="n">
        <ns0:v>2370.317790067656</ns0:v>
      </ns0:c>
      <ns0:c r="J2028" s="7" t="n">
        <ns0:v>948.1271160270626</ns0:v>
      </ns0:c>
      <ns0:c r="K2028" s="7" t="n">
        <ns0:v>24</ns0:v>
      </ns0:c>
      <ns0:c r="L2028" s="7" t="n">
        <ns0:v>40</ns0:v>
      </ns0:c>
      <ns0:c r="M2028" s="7" t="n">
        <ns0:v>-29773.47806134401</ns0:v>
      </ns0:c>
      <ns0:c r="N2028" s="7" t="n">
        <ns0:v>13911.93786187963</ns0:v>
      </ns0:c>
      <ns0:c r="O2028" s="7" t="n">
        <ns0:v>59527.18618733796</ns0:v>
      </ns0:c>
      <ns0:c r="P2028" s="7" t="n">
        <ns0:v>173565.3070009837</ns0:v>
      </ns0:c>
      <ns0:c r="Q2028" s="7" t="n">
        <ns0:v>587717.7902555666</ns0:v>
      </ns0:c>
      <ns0:c r="R2028" s="7" t="n">
        <ns0:v>2114251.481646607</ns0:v>
      </ns0:c>
    </ns0:row>
    <ns0:row r="2029" ht="24" customHeight="1">
      <ns0:c r="A2029" s="3" t="inlineStr">
        <ns0:is>
          <ns0:t>混在40/30/30</ns0:t>
        </ns0:is>
      </ns0:c>
      <ns0:c r="B2029" s="3" t="inlineStr">
        <ns0:is>
          <ns0:t>G3三段階</ns0:t>
        </ns0:is>
      </ns0:c>
      <ns0:c r="C2029" s="3" t="inlineStr">
        <ns0:is>
          <ns0:t>D</ns0:t>
        </ns0:is>
      </ns0:c>
      <ns0:c r="D2029" s="4" t="n">
        <ns0:v>1</ns0:v>
      </ns0:c>
      <ns0:c r="E2029" s="4" t="n">
        <ns0:v>1000</ns0:v>
      </ns0:c>
      <ns0:c r="F2029" s="6" t="n">
        <ns0:v>0.4</ns0:v>
      </ns0:c>
      <ns0:c r="G2029" s="4" t="n">
        <ns0:v>1</ns0:v>
      </ns0:c>
      <ns0:c r="H2029" s="7" t="n">
        <ns0:v>5051.624884197523</ns0:v>
      </ns0:c>
      <ns0:c r="I2029" s="7" t="n">
        <ns0:v>2370.317790067656</ns0:v>
      </ns0:c>
      <ns0:c r="J2029" s="7" t="n">
        <ns0:v>948.1271160270626</ns0:v>
      </ns0:c>
      <ns0:c r="K2029" s="7" t="n">
        <ns0:v>27</ns0:v>
      </ns0:c>
      <ns0:c r="L2029" s="7" t="n">
        <ns0:v>56</ns0:v>
      </ns0:c>
      <ns0:c r="M2029" s="7" t="n">
        <ns0:v>-32342.69612930828</ns0:v>
      </ns0:c>
      <ns0:c r="N2029" s="7" t="n">
        <ns0:v>6204.283657986816</ns0:v>
      </ns0:c>
      <ns0:c r="O2029" s="7" t="n">
        <ns0:v>46681.0958475166</ns0:v>
      </ns0:c>
      <ns0:c r="P2029" s="7" t="n">
        <ns0:v>147873.126321341</ns0:v>
      </ns0:c>
      <ns0:c r="Q2029" s="7" t="n">
        <ns0:v>510641.2482166385</ns0:v>
      </ns0:c>
      <ns0:c r="R2029" s="7" t="n">
        <ns0:v>1857329.67485018</ns0:v>
      </ns0:c>
    </ns0:row>
    <ns0:row r="2030" ht="24" customHeight="1">
      <ns0:c r="A2030" s="3" t="inlineStr">
        <ns0:is>
          <ns0:t>混在40/30/30</ns0:t>
        </ns0:is>
      </ns0:c>
      <ns0:c r="B2030" s="3" t="inlineStr">
        <ns0:is>
          <ns0:t>G3三段階</ns0:t>
        </ns0:is>
      </ns0:c>
      <ns0:c r="C2030" s="3" t="inlineStr">
        <ns0:is>
          <ns0:t>D</ns0:t>
        </ns0:is>
      </ns0:c>
      <ns0:c r="D2030" s="4" t="n">
        <ns0:v>1</ns0:v>
      </ns0:c>
      <ns0:c r="E2030" s="4" t="n">
        <ns0:v>1000</ns0:v>
      </ns0:c>
      <ns0:c r="F2030" s="6" t="n">
        <ns0:v>0.4</ns0:v>
      </ns0:c>
      <ns0:c r="G2030" s="4" t="n">
        <ns0:v>2</ns0:v>
      </ns0:c>
      <ns0:c r="H2030" s="7" t="n">
        <ns0:v>5051.624884197523</ns0:v>
      </ns0:c>
      <ns0:c r="I2030" s="7" t="n">
        <ns0:v>2370.317790067656</ns0:v>
      </ns0:c>
      <ns0:c r="J2030" s="7" t="n">
        <ns0:v>948.1271160270626</ns0:v>
      </ns0:c>
      <ns0:c r="K2030" s="18" t="inlineStr">
        <ns0:is>
          <ns0:t>範囲内なし</ns0:t>
        </ns0:is>
      </ns0:c>
      <ns0:c r="L2030" s="18" t="inlineStr">
        <ns0:is>
          <ns0:t>範囲内なし</ns0:t>
        </ns0:is>
      </ns0:c>
      <ns0:c r="M2030" s="7" t="n">
        <ns0:v>-53574.53466064937</ns0:v>
      </ns0:c>
      <ns0:c r="N2030" s="7" t="n">
        <ns0:v>-57491.23193603646</ns0:v>
      </ns0:c>
      <ns0:c r="O2030" s="7" t="n">
        <ns0:v>-59478.09680918884</ns0:v>
      </ns0:c>
      <ns0:c r="P2030" s="7" t="n">
        <ns0:v>-64445.25899206988</ns0:v>
      </ns0:c>
      <ns0:c r="Q2030" s="7" t="n">
        <ns0:v>-126313.9077235942</ns0:v>
      </ns0:c>
      <ns0:c r="R2030" s="7" t="n">
        <ns0:v>-265854.1782839287</ns0:v>
      </ns0:c>
    </ns0:row>
    <ns0:row r="2031" ht="24" customHeight="1">
      <ns0:c r="A2031" s="3" t="inlineStr">
        <ns0:is>
          <ns0:t>混在40/30/30</ns0:t>
        </ns0:is>
      </ns0:c>
      <ns0:c r="B2031" s="3" t="inlineStr">
        <ns0:is>
          <ns0:t>G3三段階</ns0:t>
        </ns0:is>
      </ns0:c>
      <ns0:c r="C2031" s="3" t="inlineStr">
        <ns0:is>
          <ns0:t>D</ns0:t>
        </ns0:is>
      </ns0:c>
      <ns0:c r="D2031" s="4" t="n">
        <ns0:v>1</ns0:v>
      </ns0:c>
      <ns0:c r="E2031" s="4" t="n">
        <ns0:v>1000</ns0:v>
      </ns0:c>
      <ns0:c r="F2031" s="6" t="n">
        <ns0:v>0.4</ns0:v>
      </ns0:c>
      <ns0:c r="G2031" s="4" t="n">
        <ns0:v>3</ns0:v>
      </ns0:c>
      <ns0:c r="H2031" s="7" t="n">
        <ns0:v>5051.624884197523</ns0:v>
      </ns0:c>
      <ns0:c r="I2031" s="7" t="n">
        <ns0:v>2370.317790067656</ns0:v>
      </ns0:c>
      <ns0:c r="J2031" s="7" t="n">
        <ns0:v>948.1271160270626</ns0:v>
      </ns0:c>
      <ns0:c r="K2031" s="7" t="n">
        <ns0:v>38</ns0:v>
      </ns0:c>
      <ns0:c r="L2031" s="18" t="inlineStr">
        <ns0:is>
          <ns0:t>範囲内なし</ns0:t>
        </ns0:is>
      </ns0:c>
      <ns0:c r="M2031" s="7" t="n">
        <ns0:v>-37983.44355756208</ns0:v>
      </ns0:c>
      <ns0:c r="N2031" s="7" t="n">
        <ns0:v>-10717.95862677458</ns0:v>
      </ns0:c>
      <ns0:c r="O2031" s="7" t="n">
        <ns0:v>18477.35870624761</ns0:v>
      </ns0:c>
      <ns0:c r="P2031" s="7" t="n">
        <ns0:v>91465.652038803</ns0:v>
      </ns0:c>
      <ns0:c r="Q2031" s="7" t="n">
        <ns0:v>341418.8253690244</ns0:v>
      </ns0:c>
      <ns0:c r="R2031" s="7" t="n">
        <ns0:v>1293254.9320248</ns0:v>
      </ns0:c>
    </ns0:row>
    <ns0:row r="2032" ht="24" customHeight="1">
      <ns0:c r="A2032" s="3" t="inlineStr">
        <ns0:is>
          <ns0:t>混在40/30/30</ns0:t>
        </ns0:is>
      </ns0:c>
      <ns0:c r="B2032" s="3" t="inlineStr">
        <ns0:is>
          <ns0:t>G3三段階</ns0:t>
        </ns0:is>
      </ns0:c>
      <ns0:c r="C2032" s="3" t="inlineStr">
        <ns0:is>
          <ns0:t>D</ns0:t>
        </ns0:is>
      </ns0:c>
      <ns0:c r="D2032" s="4" t="n">
        <ns0:v>1</ns0:v>
      </ns0:c>
      <ns0:c r="E2032" s="4" t="n">
        <ns0:v>1000</ns0:v>
      </ns0:c>
      <ns0:c r="F2032" s="6" t="n">
        <ns0:v>0.5</ns0:v>
      </ns0:c>
      <ns0:c r="G2032" s="4" t="n">
        <ns0:v>0</ns0:v>
      </ns0:c>
      <ns0:c r="H2032" s="7" t="n">
        <ns0:v>5051.624884197523</ns0:v>
      </ns0:c>
      <ns0:c r="I2032" s="7" t="n">
        <ns0:v>2370.317790067656</ns0:v>
      </ns0:c>
      <ns0:c r="J2032" s="7" t="n">
        <ns0:v>1185.158895033828</ns0:v>
      </ns0:c>
      <ns0:c r="K2032" s="7" t="n">
        <ns0:v>27</ns0:v>
      </ns0:c>
      <ns0:c r="L2032" s="7" t="n">
        <ns0:v>43</ns0:v>
      </ns0:c>
      <ns0:c r="M2032" s="7" t="n">
        <ns0:v>-32143.79585141167</ns0:v>
      </ns0:c>
      <ns0:c r="N2032" s="7" t="n">
        <ns0:v>6800.98449167666</ns0:v>
      </ns0:c>
      <ns0:c r="O2032" s="7" t="n">
        <ns0:v>47675.59723699968</ns0:v>
      </ns0:c>
      <ns0:c r="P2032" s="7" t="n">
        <ns0:v>149862.1291003072</ns0:v>
      </ns0:c>
      <ns0:c r="Q2032" s="7" t="n">
        <ns0:v>516608.2565535369</ns0:v>
      </ns0:c>
      <ns0:c r="R2032" s="7" t="n">
        <ns0:v>1877219.702639842</ns0:v>
      </ns0:c>
    </ns0:row>
    <ns0:row r="2033" ht="24" customHeight="1">
      <ns0:c r="A2033" s="3" t="inlineStr">
        <ns0:is>
          <ns0:t>混在40/30/30</ns0:t>
        </ns0:is>
      </ns0:c>
      <ns0:c r="B2033" s="3" t="inlineStr">
        <ns0:is>
          <ns0:t>G3三段階</ns0:t>
        </ns0:is>
      </ns0:c>
      <ns0:c r="C2033" s="3" t="inlineStr">
        <ns0:is>
          <ns0:t>D</ns0:t>
        </ns0:is>
      </ns0:c>
      <ns0:c r="D2033" s="4" t="n">
        <ns0:v>1</ns0:v>
      </ns0:c>
      <ns0:c r="E2033" s="4" t="n">
        <ns0:v>1000</ns0:v>
      </ns0:c>
      <ns0:c r="F2033" s="6" t="n">
        <ns0:v>0.5</ns0:v>
      </ns0:c>
      <ns0:c r="G2033" s="4" t="n">
        <ns0:v>1</ns0:v>
      </ns0:c>
      <ns0:c r="H2033" s="7" t="n">
        <ns0:v>5051.624884197523</ns0:v>
      </ns0:c>
      <ns0:c r="I2033" s="7" t="n">
        <ns0:v>2370.317790067656</ns0:v>
      </ns0:c>
      <ns0:c r="J2033" s="7" t="n">
        <ns0:v>1185.158895033828</ns0:v>
      </ns0:c>
      <ns0:c r="K2033" s="7" t="n">
        <ns0:v>31</ns0:v>
      </ns0:c>
      <ns0:c r="L2033" s="7" t="n">
        <ns0:v>63</ns0:v>
      </ns0:c>
      <ns0:c r="M2033" s="7" t="n">
        <ns0:v>-34713.01391937594</ns0:v>
      </ns0:c>
      <ns0:c r="N2033" s="7" t="n">
        <ns0:v>-906.6697122161568</ns0:v>
      </ns0:c>
      <ns0:c r="O2033" s="7" t="n">
        <ns0:v>34829.50689717832</ns0:v>
      </ns0:c>
      <ns0:c r="P2033" s="7" t="n">
        <ns0:v>124169.9484206644</ns0:v>
      </ns0:c>
      <ns0:c r="Q2033" s="7" t="n">
        <ns0:v>439531.7145146088</ns0:v>
      </ns0:c>
      <ns0:c r="R2033" s="7" t="n">
        <ns0:v>1620297.895843415</ns0:v>
      </ns0:c>
    </ns0:row>
    <ns0:row r="2034" ht="24" customHeight="1">
      <ns0:c r="A2034" s="3" t="inlineStr">
        <ns0:is>
          <ns0:t>混在40/30/30</ns0:t>
        </ns0:is>
      </ns0:c>
      <ns0:c r="B2034" s="3" t="inlineStr">
        <ns0:is>
          <ns0:t>G3三段階</ns0:t>
        </ns0:is>
      </ns0:c>
      <ns0:c r="C2034" s="3" t="inlineStr">
        <ns0:is>
          <ns0:t>D</ns0:t>
        </ns0:is>
      </ns0:c>
      <ns0:c r="D2034" s="4" t="n">
        <ns0:v>1</ns0:v>
      </ns0:c>
      <ns0:c r="E2034" s="4" t="n">
        <ns0:v>1000</ns0:v>
      </ns0:c>
      <ns0:c r="F2034" s="6" t="n">
        <ns0:v>0.5</ns0:v>
      </ns0:c>
      <ns0:c r="G2034" s="4" t="n">
        <ns0:v>2</ns0:v>
      </ns0:c>
      <ns0:c r="H2034" s="7" t="n">
        <ns0:v>5051.624884197523</ns0:v>
      </ns0:c>
      <ns0:c r="I2034" s="7" t="n">
        <ns0:v>2370.317790067656</ns0:v>
      </ns0:c>
      <ns0:c r="J2034" s="7" t="n">
        <ns0:v>1185.158895033828</ns0:v>
      </ns0:c>
      <ns0:c r="K2034" s="18" t="inlineStr">
        <ns0:is>
          <ns0:t>範囲内なし</ns0:t>
        </ns0:is>
      </ns0:c>
      <ns0:c r="L2034" s="18" t="inlineStr">
        <ns0:is>
          <ns0:t>範囲内なし</ns0:t>
        </ns0:is>
      </ns0:c>
      <ns0:c r="M2034" s="7" t="n">
        <ns0:v>-55944.85245071702</ns0:v>
      </ns0:c>
      <ns0:c r="N2034" s="7" t="n">
        <ns0:v>-64602.18530623941</ns0:v>
      </ns0:c>
      <ns0:c r="O2034" s="7" t="n">
        <ns0:v>-71329.68575952711</ns0:v>
      </ns0:c>
      <ns0:c r="P2034" s="7" t="n">
        <ns0:v>-88148.43689274644</ns0:v>
      </ns0:c>
      <ns0:c r="Q2034" s="7" t="n">
        <ns0:v>-197423.4414256238</ns0:v>
      </ns0:c>
      <ns0:c r="R2034" s="7" t="n">
        <ns0:v>-502885.9572906941</ns0:v>
      </ns0:c>
    </ns0:row>
    <ns0:row r="2035" ht="24" customHeight="1">
      <ns0:c r="A2035" s="3" t="inlineStr">
        <ns0:is>
          <ns0:t>混在40/30/30</ns0:t>
        </ns0:is>
      </ns0:c>
      <ns0:c r="B2035" s="3" t="inlineStr">
        <ns0:is>
          <ns0:t>G3三段階</ns0:t>
        </ns0:is>
      </ns0:c>
      <ns0:c r="C2035" s="3" t="inlineStr">
        <ns0:is>
          <ns0:t>D</ns0:t>
        </ns0:is>
      </ns0:c>
      <ns0:c r="D2035" s="4" t="n">
        <ns0:v>1</ns0:v>
      </ns0:c>
      <ns0:c r="E2035" s="4" t="n">
        <ns0:v>1000</ns0:v>
      </ns0:c>
      <ns0:c r="F2035" s="6" t="n">
        <ns0:v>0.5</ns0:v>
      </ns0:c>
      <ns0:c r="G2035" s="4" t="n">
        <ns0:v>3</ns0:v>
      </ns0:c>
      <ns0:c r="H2035" s="7" t="n">
        <ns0:v>5051.624884197523</ns0:v>
      </ns0:c>
      <ns0:c r="I2035" s="7" t="n">
        <ns0:v>2370.317790067656</ns0:v>
      </ns0:c>
      <ns0:c r="J2035" s="7" t="n">
        <ns0:v>1185.158895033828</ns0:v>
      </ns0:c>
      <ns0:c r="K2035" s="7" t="n">
        <ns0:v>45</ns0:v>
      </ns0:c>
      <ns0:c r="L2035" s="18" t="inlineStr">
        <ns0:is>
          <ns0:t>範囲内なし</ns0:t>
        </ns0:is>
      </ns0:c>
      <ns0:c r="M2035" s="7" t="n">
        <ns0:v>-40353.76134762974</ns0:v>
      </ns0:c>
      <ns0:c r="N2035" s="7" t="n">
        <ns0:v>-17828.91199697756</ns0:v>
      </ns0:c>
      <ns0:c r="O2035" s="7" t="n">
        <ns0:v>6625.769755909329</ns0:v>
      </ns0:c>
      <ns0:c r="P2035" s="7" t="n">
        <ns0:v>67762.47413812645</ns0:v>
      </ns0:c>
      <ns0:c r="Q2035" s="7" t="n">
        <ns0:v>270309.2916669948</ns0:v>
      </ns0:c>
      <ns0:c r="R2035" s="7" t="n">
        <ns0:v>1056223.153018035</ns0:v>
      </ns0:c>
    </ns0:row>
    <ns0:row r="2036" ht="24" customHeight="1">
      <ns0:c r="A2036" s="3" t="inlineStr">
        <ns0:is>
          <ns0:t>混在40/30/30</ns0:t>
        </ns0:is>
      </ns0:c>
      <ns0:c r="B2036" s="3" t="inlineStr">
        <ns0:is>
          <ns0:t>G3三段階</ns0:t>
        </ns0:is>
      </ns0:c>
      <ns0:c r="C2036" s="3" t="inlineStr">
        <ns0:is>
          <ns0:t>D</ns0:t>
        </ns0:is>
      </ns0:c>
      <ns0:c r="D2036" s="4" t="n">
        <ns0:v>1</ns0:v>
      </ns0:c>
      <ns0:c r="E2036" s="4" t="n">
        <ns0:v>1500</ns0:v>
      </ns0:c>
      <ns0:c r="F2036" s="6" t="n">
        <ns0:v>0.3</ns0:v>
      </ns0:c>
      <ns0:c r="G2036" s="4" t="n">
        <ns0:v>0</ns0:v>
      </ns0:c>
      <ns0:c r="H2036" s="7" t="n">
        <ns0:v>4901.624884197523</ns0:v>
      </ns0:c>
      <ns0:c r="I2036" s="7" t="n">
        <ns0:v>2220.317790067656</ns0:v>
      </ns0:c>
      <ns0:c r="J2036" s="7" t="n">
        <ns0:v>666.0953370202968</ns0:v>
      </ns0:c>
      <ns0:c r="K2036" s="7" t="n">
        <ns0:v>23</ns0:v>
      </ns0:c>
      <ns0:c r="L2036" s="7" t="n">
        <ns0:v>38</ns0:v>
      </ns0:c>
      <ns0:c r="M2036" s="7" t="n">
        <ns0:v>-28399.16027127636</ns0:v>
      </ns0:c>
      <ns0:c r="N2036" s="7" t="n">
        <ns0:v>18034.8912320826</ns0:v>
      </ns0:c>
      <ns0:c r="O2036" s="7" t="n">
        <ns0:v>66398.77513767623</ns0:v>
      </ns0:c>
      <ns0:c r="P2036" s="7" t="n">
        <ns0:v>187308.4849016603</ns0:v>
      </ns0:c>
      <ns0:c r="Q2036" s="7" t="n">
        <ns0:v>628947.3239575964</ns0:v>
      </ns0:c>
      <ns0:c r="R2036" s="7" t="n">
        <ns0:v>2251683.260653374</ns0:v>
      </ns0:c>
    </ns0:row>
    <ns0:row r="2037" ht="24" customHeight="1">
      <ns0:c r="A2037" s="3" t="inlineStr">
        <ns0:is>
          <ns0:t>混在40/30/30</ns0:t>
        </ns0:is>
      </ns0:c>
      <ns0:c r="B2037" s="3" t="inlineStr">
        <ns0:is>
          <ns0:t>G3三段階</ns0:t>
        </ns0:is>
      </ns0:c>
      <ns0:c r="C2037" s="3" t="inlineStr">
        <ns0:is>
          <ns0:t>D</ns0:t>
        </ns0:is>
      </ns0:c>
      <ns0:c r="D2037" s="4" t="n">
        <ns0:v>1</ns0:v>
      </ns0:c>
      <ns0:c r="E2037" s="4" t="n">
        <ns0:v>1500</ns0:v>
      </ns0:c>
      <ns0:c r="F2037" s="6" t="n">
        <ns0:v>0.3</ns0:v>
      </ns0:c>
      <ns0:c r="G2037" s="4" t="n">
        <ns0:v>1</ns0:v>
      </ns0:c>
      <ns0:c r="H2037" s="7" t="n">
        <ns0:v>4901.624884197523</ns0:v>
      </ns0:c>
      <ns0:c r="I2037" s="7" t="n">
        <ns0:v>2220.317790067656</ns0:v>
      </ns0:c>
      <ns0:c r="J2037" s="7" t="n">
        <ns0:v>666.0953370202968</ns0:v>
      </ns0:c>
      <ns0:c r="K2037" s="7" t="n">
        <ns0:v>26</ns0:v>
      </ns0:c>
      <ns0:c r="L2037" s="7" t="n">
        <ns0:v>53</ns0:v>
      </ns0:c>
      <ns0:c r="M2037" s="7" t="n">
        <ns0:v>-30968.37833924063</ns0:v>
      </ns0:c>
      <ns0:c r="N2037" s="7" t="n">
        <ns0:v>10327.23702818979</ns0:v>
      </ns0:c>
      <ns0:c r="O2037" s="7" t="n">
        <ns0:v>53552.68479785488</ns0:v>
      </ns0:c>
      <ns0:c r="P2037" s="7" t="n">
        <ns0:v>161616.3042220176</ns0:v>
      </ns0:c>
      <ns0:c r="Q2037" s="7" t="n">
        <ns0:v>551870.7819186682</ns0:v>
      </ns0:c>
      <ns0:c r="R2037" s="7" t="n">
        <ns0:v>1994761.453856946</ns0:v>
      </ns0:c>
    </ns0:row>
    <ns0:row r="2038" ht="24" customHeight="1">
      <ns0:c r="A2038" s="3" t="inlineStr">
        <ns0:is>
          <ns0:t>混在40/30/30</ns0:t>
        </ns0:is>
      </ns0:c>
      <ns0:c r="B2038" s="3" t="inlineStr">
        <ns0:is>
          <ns0:t>G3三段階</ns0:t>
        </ns0:is>
      </ns0:c>
      <ns0:c r="C2038" s="3" t="inlineStr">
        <ns0:is>
          <ns0:t>D</ns0:t>
        </ns0:is>
      </ns0:c>
      <ns0:c r="D2038" s="4" t="n">
        <ns0:v>1</ns0:v>
      </ns0:c>
      <ns0:c r="E2038" s="4" t="n">
        <ns0:v>1500</ns0:v>
      </ns0:c>
      <ns0:c r="F2038" s="6" t="n">
        <ns0:v>0.3</ns0:v>
      </ns0:c>
      <ns0:c r="G2038" s="4" t="n">
        <ns0:v>2</ns0:v>
      </ns0:c>
      <ns0:c r="H2038" s="7" t="n">
        <ns0:v>4901.624884197523</ns0:v>
      </ns0:c>
      <ns0:c r="I2038" s="7" t="n">
        <ns0:v>2220.317790067656</ns0:v>
      </ns0:c>
      <ns0:c r="J2038" s="7" t="n">
        <ns0:v>666.0953370202968</ns0:v>
      </ns0:c>
      <ns0:c r="K2038" s="18" t="inlineStr">
        <ns0:is>
          <ns0:t>範囲内なし</ns0:t>
        </ns0:is>
      </ns0:c>
      <ns0:c r="L2038" s="18" t="inlineStr">
        <ns0:is>
          <ns0:t>範囲内なし</ns0:t>
        </ns0:is>
      </ns0:c>
      <ns0:c r="M2038" s="7" t="n">
        <ns0:v>-52200.21687058172</ns0:v>
      </ns0:c>
      <ns0:c r="N2038" s="7" t="n">
        <ns0:v>-53368.27856583347</ns0:v>
      </ns0:c>
      <ns0:c r="O2038" s="7" t="n">
        <ns0:v>-52606.50785885056</ns0:v>
      </ns0:c>
      <ns0:c r="P2038" s="7" t="n">
        <ns0:v>-50702.08109139335</ns0:v>
      </ns0:c>
      <ns0:c r="Q2038" s="7" t="n">
        <ns0:v>-85084.37402156444</ns0:v>
      </ns0:c>
      <ns0:c r="R2038" s="7" t="n">
        <ns0:v>-128422.3992771623</ns0:v>
      </ns0:c>
    </ns0:row>
    <ns0:row r="2039" ht="24" customHeight="1">
      <ns0:c r="A2039" s="3" t="inlineStr">
        <ns0:is>
          <ns0:t>混在40/30/30</ns0:t>
        </ns0:is>
      </ns0:c>
      <ns0:c r="B2039" s="3" t="inlineStr">
        <ns0:is>
          <ns0:t>G3三段階</ns0:t>
        </ns0:is>
      </ns0:c>
      <ns0:c r="C2039" s="3" t="inlineStr">
        <ns0:is>
          <ns0:t>D</ns0:t>
        </ns0:is>
      </ns0:c>
      <ns0:c r="D2039" s="4" t="n">
        <ns0:v>1</ns0:v>
      </ns0:c>
      <ns0:c r="E2039" s="4" t="n">
        <ns0:v>1500</ns0:v>
      </ns0:c>
      <ns0:c r="F2039" s="6" t="n">
        <ns0:v>0.3</ns0:v>
      </ns0:c>
      <ns0:c r="G2039" s="4" t="n">
        <ns0:v>3</ns0:v>
      </ns0:c>
      <ns0:c r="H2039" s="7" t="n">
        <ns0:v>4901.624884197523</ns0:v>
      </ns0:c>
      <ns0:c r="I2039" s="7" t="n">
        <ns0:v>2220.317790067656</ns0:v>
      </ns0:c>
      <ns0:c r="J2039" s="7" t="n">
        <ns0:v>666.0953370202968</ns0:v>
      </ns0:c>
      <ns0:c r="K2039" s="7" t="n">
        <ns0:v>35</ns0:v>
      </ns0:c>
      <ns0:c r="L2039" s="7" t="n">
        <ns0:v>907</ns0:v>
      </ns0:c>
      <ns0:c r="M2039" s="7" t="n">
        <ns0:v>-36609.12576749444</ns0:v>
      </ns0:c>
      <ns0:c r="N2039" s="7" t="n">
        <ns0:v>-6595.005256571614</ns0:v>
      </ns0:c>
      <ns0:c r="O2039" s="7" t="n">
        <ns0:v>25348.94765658587</ns0:v>
      </ns0:c>
      <ns0:c r="P2039" s="7" t="n">
        <ns0:v>105208.8299394795</ns0:v>
      </ns0:c>
      <ns0:c r="Q2039" s="7" t="n">
        <ns0:v>382648.3590710543</ns0:v>
      </ns0:c>
      <ns0:c r="R2039" s="7" t="n">
        <ns0:v>1430686.711031566</ns0:v>
      </ns0:c>
    </ns0:row>
    <ns0:row r="2040" ht="24" customHeight="1">
      <ns0:c r="A2040" s="3" t="inlineStr">
        <ns0:is>
          <ns0:t>混在40/30/30</ns0:t>
        </ns0:is>
      </ns0:c>
      <ns0:c r="B2040" s="3" t="inlineStr">
        <ns0:is>
          <ns0:t>G3三段階</ns0:t>
        </ns0:is>
      </ns0:c>
      <ns0:c r="C2040" s="3" t="inlineStr">
        <ns0:is>
          <ns0:t>D</ns0:t>
        </ns0:is>
      </ns0:c>
      <ns0:c r="D2040" s="4" t="n">
        <ns0:v>1</ns0:v>
      </ns0:c>
      <ns0:c r="E2040" s="4" t="n">
        <ns0:v>1500</ns0:v>
      </ns0:c>
      <ns0:c r="F2040" s="6" t="n">
        <ns0:v>0.4</ns0:v>
      </ns0:c>
      <ns0:c r="G2040" s="4" t="n">
        <ns0:v>0</ns0:v>
      </ns0:c>
      <ns0:c r="H2040" s="7" t="n">
        <ns0:v>4901.624884197523</ns0:v>
      </ns0:c>
      <ns0:c r="I2040" s="7" t="n">
        <ns0:v>2220.317790067656</ns0:v>
      </ns0:c>
      <ns0:c r="J2040" s="7" t="n">
        <ns0:v>888.1271160270626</ns0:v>
      </ns0:c>
      <ns0:c r="K2040" s="7" t="n">
        <ns0:v>25</ns0:v>
      </ns0:c>
      <ns0:c r="L2040" s="7" t="n">
        <ns0:v>41</ns0:v>
      </ns0:c>
      <ns0:c r="M2040" s="7" t="n">
        <ns0:v>-30619.47806134402</ns0:v>
      </ns0:c>
      <ns0:c r="N2040" s="7" t="n">
        <ns0:v>11373.93786187964</ns0:v>
      </ns0:c>
      <ns0:c r="O2040" s="7" t="n">
        <ns0:v>55297.18618733794</ns0:v>
      </ns0:c>
      <ns0:c r="P2040" s="7" t="n">
        <ns0:v>165105.3070009837</ns0:v>
      </ns0:c>
      <ns0:c r="Q2040" s="7" t="n">
        <ns0:v>562337.7902555667</ns0:v>
      </ns0:c>
      <ns0:c r="R2040" s="7" t="n">
        <ns0:v>2029651.481646608</ns0:v>
      </ns0:c>
    </ns0:row>
    <ns0:row r="2041" ht="24" customHeight="1">
      <ns0:c r="A2041" s="3" t="inlineStr">
        <ns0:is>
          <ns0:t>混在40/30/30</ns0:t>
        </ns0:is>
      </ns0:c>
      <ns0:c r="B2041" s="3" t="inlineStr">
        <ns0:is>
          <ns0:t>G3三段階</ns0:t>
        </ns0:is>
      </ns0:c>
      <ns0:c r="C2041" s="3" t="inlineStr">
        <ns0:is>
          <ns0:t>D</ns0:t>
        </ns0:is>
      </ns0:c>
      <ns0:c r="D2041" s="4" t="n">
        <ns0:v>1</ns0:v>
      </ns0:c>
      <ns0:c r="E2041" s="4" t="n">
        <ns0:v>1500</ns0:v>
      </ns0:c>
      <ns0:c r="F2041" s="6" t="n">
        <ns0:v>0.4</ns0:v>
      </ns0:c>
      <ns0:c r="G2041" s="4" t="n">
        <ns0:v>1</ns0:v>
      </ns0:c>
      <ns0:c r="H2041" s="7" t="n">
        <ns0:v>4901.624884197523</ns0:v>
      </ns0:c>
      <ns0:c r="I2041" s="7" t="n">
        <ns0:v>2220.317790067656</ns0:v>
      </ns0:c>
      <ns0:c r="J2041" s="7" t="n">
        <ns0:v>888.1271160270626</ns0:v>
      </ns0:c>
      <ns0:c r="K2041" s="7" t="n">
        <ns0:v>29</ns0:v>
      </ns0:c>
      <ns0:c r="L2041" s="7" t="n">
        <ns0:v>59</ns0:v>
      </ns0:c>
      <ns0:c r="M2041" s="7" t="n">
        <ns0:v>-33188.69612930829</ns0:v>
      </ns0:c>
      <ns0:c r="N2041" s="7" t="n">
        <ns0:v>3666.283657986824</ns0:v>
      </ns0:c>
      <ns0:c r="O2041" s="7" t="n">
        <ns0:v>42451.09584751658</ns0:v>
      </ns0:c>
      <ns0:c r="P2041" s="7" t="n">
        <ns0:v>139413.126321341</ns0:v>
      </ns0:c>
      <ns0:c r="Q2041" s="7" t="n">
        <ns0:v>485261.2482166386</ns0:v>
      </ns0:c>
      <ns0:c r="R2041" s="7" t="n">
        <ns0:v>1772729.67485018</ns0:v>
      </ns0:c>
    </ns0:row>
    <ns0:row r="2042" ht="24" customHeight="1">
      <ns0:c r="A2042" s="3" t="inlineStr">
        <ns0:is>
          <ns0:t>混在40/30/30</ns0:t>
        </ns0:is>
      </ns0:c>
      <ns0:c r="B2042" s="3" t="inlineStr">
        <ns0:is>
          <ns0:t>G3三段階</ns0:t>
        </ns0:is>
      </ns0:c>
      <ns0:c r="C2042" s="3" t="inlineStr">
        <ns0:is>
          <ns0:t>D</ns0:t>
        </ns0:is>
      </ns0:c>
      <ns0:c r="D2042" s="4" t="n">
        <ns0:v>1</ns0:v>
      </ns0:c>
      <ns0:c r="E2042" s="4" t="n">
        <ns0:v>1500</ns0:v>
      </ns0:c>
      <ns0:c r="F2042" s="6" t="n">
        <ns0:v>0.4</ns0:v>
      </ns0:c>
      <ns0:c r="G2042" s="4" t="n">
        <ns0:v>2</ns0:v>
      </ns0:c>
      <ns0:c r="H2042" s="7" t="n">
        <ns0:v>4901.624884197523</ns0:v>
      </ns0:c>
      <ns0:c r="I2042" s="7" t="n">
        <ns0:v>2220.317790067656</ns0:v>
      </ns0:c>
      <ns0:c r="J2042" s="7" t="n">
        <ns0:v>888.1271160270626</ns0:v>
      </ns0:c>
      <ns0:c r="K2042" s="18" t="inlineStr">
        <ns0:is>
          <ns0:t>範囲内なし</ns0:t>
        </ns0:is>
      </ns0:c>
      <ns0:c r="L2042" s="18" t="inlineStr">
        <ns0:is>
          <ns0:t>範囲内なし</ns0:t>
        </ns0:is>
      </ns0:c>
      <ns0:c r="M2042" s="7" t="n">
        <ns0:v>-54420.53466064938</ns0:v>
      </ns0:c>
      <ns0:c r="N2042" s="7" t="n">
        <ns0:v>-60029.23193603644</ns0:v>
      </ns0:c>
      <ns0:c r="O2042" s="7" t="n">
        <ns0:v>-63708.09680918887</ns0:v>
      </ns0:c>
      <ns0:c r="P2042" s="7" t="n">
        <ns0:v>-72905.25899206994</ns0:v>
      </ns0:c>
      <ns0:c r="Q2042" s="7" t="n">
        <ns0:v>-151693.9077235941</ns0:v>
      </ns0:c>
      <ns0:c r="R2042" s="7" t="n">
        <ns0:v>-350454.1782839284</ns0:v>
      </ns0:c>
    </ns0:row>
    <ns0:row r="2043" ht="24" customHeight="1">
      <ns0:c r="A2043" s="3" t="inlineStr">
        <ns0:is>
          <ns0:t>混在40/30/30</ns0:t>
        </ns0:is>
      </ns0:c>
      <ns0:c r="B2043" s="3" t="inlineStr">
        <ns0:is>
          <ns0:t>G3三段階</ns0:t>
        </ns0:is>
      </ns0:c>
      <ns0:c r="C2043" s="3" t="inlineStr">
        <ns0:is>
          <ns0:t>D</ns0:t>
        </ns0:is>
      </ns0:c>
      <ns0:c r="D2043" s="4" t="n">
        <ns0:v>1</ns0:v>
      </ns0:c>
      <ns0:c r="E2043" s="4" t="n">
        <ns0:v>1500</ns0:v>
      </ns0:c>
      <ns0:c r="F2043" s="6" t="n">
        <ns0:v>0.4</ns0:v>
      </ns0:c>
      <ns0:c r="G2043" s="4" t="n">
        <ns0:v>3</ns0:v>
      </ns0:c>
      <ns0:c r="H2043" s="7" t="n">
        <ns0:v>4901.624884197523</ns0:v>
      </ns0:c>
      <ns0:c r="I2043" s="7" t="n">
        <ns0:v>2220.317790067656</ns0:v>
      </ns0:c>
      <ns0:c r="J2043" s="7" t="n">
        <ns0:v>888.1271160270626</ns0:v>
      </ns0:c>
      <ns0:c r="K2043" s="7" t="n">
        <ns0:v>40</ns0:v>
      </ns0:c>
      <ns0:c r="L2043" s="18" t="inlineStr">
        <ns0:is>
          <ns0:t>範囲内なし</ns0:t>
        </ns0:is>
      </ns0:c>
      <ns0:c r="M2043" s="7" t="n">
        <ns0:v>-38829.44355756209</ns0:v>
      </ns0:c>
      <ns0:c r="N2043" s="7" t="n">
        <ns0:v>-13255.95862677458</ns0:v>
      </ns0:c>
      <ns0:c r="O2043" s="7" t="n">
        <ns0:v>14247.35870624758</ns0:v>
      </ns0:c>
      <ns0:c r="P2043" s="7" t="n">
        <ns0:v>83005.65203880295</ns0:v>
      </ns0:c>
      <ns0:c r="Q2043" s="7" t="n">
        <ns0:v>316038.8253690246</ns0:v>
      </ns0:c>
      <ns0:c r="R2043" s="7" t="n">
        <ns0:v>1208654.9320248</ns0:v>
      </ns0:c>
    </ns0:row>
    <ns0:row r="2044" ht="24" customHeight="1">
      <ns0:c r="A2044" s="3" t="inlineStr">
        <ns0:is>
          <ns0:t>混在40/30/30</ns0:t>
        </ns0:is>
      </ns0:c>
      <ns0:c r="B2044" s="3" t="inlineStr">
        <ns0:is>
          <ns0:t>G3三段階</ns0:t>
        </ns0:is>
      </ns0:c>
      <ns0:c r="C2044" s="3" t="inlineStr">
        <ns0:is>
          <ns0:t>D</ns0:t>
        </ns0:is>
      </ns0:c>
      <ns0:c r="D2044" s="4" t="n">
        <ns0:v>1</ns0:v>
      </ns0:c>
      <ns0:c r="E2044" s="4" t="n">
        <ns0:v>1500</ns0:v>
      </ns0:c>
      <ns0:c r="F2044" s="6" t="n">
        <ns0:v>0.5</ns0:v>
      </ns0:c>
      <ns0:c r="G2044" s="4" t="n">
        <ns0:v>0</ns0:v>
      </ns0:c>
      <ns0:c r="H2044" s="7" t="n">
        <ns0:v>4901.624884197523</ns0:v>
      </ns0:c>
      <ns0:c r="I2044" s="7" t="n">
        <ns0:v>2220.317790067656</ns0:v>
      </ns0:c>
      <ns0:c r="J2044" s="7" t="n">
        <ns0:v>1110.158895033828</ns0:v>
      </ns0:c>
      <ns0:c r="K2044" s="7" t="n">
        <ns0:v>28</ns0:v>
      </ns0:c>
      <ns0:c r="L2044" s="7" t="n">
        <ns0:v>44</ns0:v>
      </ns0:c>
      <ns0:c r="M2044" s="7" t="n">
        <ns0:v>-32839.79585141168</ns0:v>
      </ns0:c>
      <ns0:c r="N2044" s="7" t="n">
        <ns0:v>4712.984491676663</ns0:v>
      </ns0:c>
      <ns0:c r="O2044" s="7" t="n">
        <ns0:v>44195.59723699968</ns0:v>
      </ns0:c>
      <ns0:c r="P2044" s="7" t="n">
        <ns0:v>142902.1291003072</ns0:v>
      </ns0:c>
      <ns0:c r="Q2044" s="7" t="n">
        <ns0:v>495728.256553537</ns0:v>
      </ns0:c>
      <ns0:c r="R2044" s="7" t="n">
        <ns0:v>1807619.702639842</ns0:v>
      </ns0:c>
    </ns0:row>
    <ns0:row r="2045" ht="24" customHeight="1">
      <ns0:c r="A2045" s="3" t="inlineStr">
        <ns0:is>
          <ns0:t>混在40/30/30</ns0:t>
        </ns0:is>
      </ns0:c>
      <ns0:c r="B2045" s="3" t="inlineStr">
        <ns0:is>
          <ns0:t>G3三段階</ns0:t>
        </ns0:is>
      </ns0:c>
      <ns0:c r="C2045" s="3" t="inlineStr">
        <ns0:is>
          <ns0:t>D</ns0:t>
        </ns0:is>
      </ns0:c>
      <ns0:c r="D2045" s="4" t="n">
        <ns0:v>1</ns0:v>
      </ns0:c>
      <ns0:c r="E2045" s="4" t="n">
        <ns0:v>1500</ns0:v>
      </ns0:c>
      <ns0:c r="F2045" s="6" t="n">
        <ns0:v>0.5</ns0:v>
      </ns0:c>
      <ns0:c r="G2045" s="4" t="n">
        <ns0:v>1</ns0:v>
      </ns0:c>
      <ns0:c r="H2045" s="7" t="n">
        <ns0:v>4901.624884197523</ns0:v>
      </ns0:c>
      <ns0:c r="I2045" s="7" t="n">
        <ns0:v>2220.317790067656</ns0:v>
      </ns0:c>
      <ns0:c r="J2045" s="7" t="n">
        <ns0:v>1110.158895033828</ns0:v>
      </ns0:c>
      <ns0:c r="K2045" s="7" t="n">
        <ns0:v>32</ns0:v>
      </ns0:c>
      <ns0:c r="L2045" s="7" t="n">
        <ns0:v>66</ns0:v>
      </ns0:c>
      <ns0:c r="M2045" s="7" t="n">
        <ns0:v>-35409.01391937594</ns0:v>
      </ns0:c>
      <ns0:c r="N2045" s="7" t="n">
        <ns0:v>-2994.669712216153</ns0:v>
      </ns0:c>
      <ns0:c r="O2045" s="7" t="n">
        <ns0:v>31349.50689717832</ns0:v>
      </ns0:c>
      <ns0:c r="P2045" s="7" t="n">
        <ns0:v>117209.9484206644</ns0:v>
      </ns0:c>
      <ns0:c r="Q2045" s="7" t="n">
        <ns0:v>418651.7145146089</ns0:v>
      </ns0:c>
      <ns0:c r="R2045" s="7" t="n">
        <ns0:v>1550697.895843415</ns0:v>
      </ns0:c>
    </ns0:row>
    <ns0:row r="2046" ht="24" customHeight="1">
      <ns0:c r="A2046" s="3" t="inlineStr">
        <ns0:is>
          <ns0:t>混在40/30/30</ns0:t>
        </ns0:is>
      </ns0:c>
      <ns0:c r="B2046" s="3" t="inlineStr">
        <ns0:is>
          <ns0:t>G3三段階</ns0:t>
        </ns0:is>
      </ns0:c>
      <ns0:c r="C2046" s="3" t="inlineStr">
        <ns0:is>
          <ns0:t>D</ns0:t>
        </ns0:is>
      </ns0:c>
      <ns0:c r="D2046" s="4" t="n">
        <ns0:v>1</ns0:v>
      </ns0:c>
      <ns0:c r="E2046" s="4" t="n">
        <ns0:v>1500</ns0:v>
      </ns0:c>
      <ns0:c r="F2046" s="6" t="n">
        <ns0:v>0.5</ns0:v>
      </ns0:c>
      <ns0:c r="G2046" s="4" t="n">
        <ns0:v>2</ns0:v>
      </ns0:c>
      <ns0:c r="H2046" s="7" t="n">
        <ns0:v>4901.624884197523</ns0:v>
      </ns0:c>
      <ns0:c r="I2046" s="7" t="n">
        <ns0:v>2220.317790067656</ns0:v>
      </ns0:c>
      <ns0:c r="J2046" s="7" t="n">
        <ns0:v>1110.158895033828</ns0:v>
      </ns0:c>
      <ns0:c r="K2046" s="18" t="inlineStr">
        <ns0:is>
          <ns0:t>範囲内なし</ns0:t>
        </ns0:is>
      </ns0:c>
      <ns0:c r="L2046" s="18" t="inlineStr">
        <ns0:is>
          <ns0:t>範囲内なし</ns0:t>
        </ns0:is>
      </ns0:c>
      <ns0:c r="M2046" s="7" t="n">
        <ns0:v>-56640.85245071704</ns0:v>
      </ns0:c>
      <ns0:c r="N2046" s="7" t="n">
        <ns0:v>-66690.18530623944</ns0:v>
      </ns0:c>
      <ns0:c r="O2046" s="7" t="n">
        <ns0:v>-74809.68575952714</ns0:v>
      </ns0:c>
      <ns0:c r="P2046" s="7" t="n">
        <ns0:v>-95108.43689274647</ns0:v>
      </ns0:c>
      <ns0:c r="Q2046" s="7" t="n">
        <ns0:v>-218303.4414256237</ns0:v>
      </ns0:c>
      <ns0:c r="R2046" s="7" t="n">
        <ns0:v>-572485.9572906939</ns0:v>
      </ns0:c>
    </ns0:row>
    <ns0:row r="2047" ht="24" customHeight="1">
      <ns0:c r="A2047" s="3" t="inlineStr">
        <ns0:is>
          <ns0:t>混在40/30/30</ns0:t>
        </ns0:is>
      </ns0:c>
      <ns0:c r="B2047" s="3" t="inlineStr">
        <ns0:is>
          <ns0:t>G3三段階</ns0:t>
        </ns0:is>
      </ns0:c>
      <ns0:c r="C2047" s="3" t="inlineStr">
        <ns0:is>
          <ns0:t>D</ns0:t>
        </ns0:is>
      </ns0:c>
      <ns0:c r="D2047" s="4" t="n">
        <ns0:v>1</ns0:v>
      </ns0:c>
      <ns0:c r="E2047" s="4" t="n">
        <ns0:v>1500</ns0:v>
      </ns0:c>
      <ns0:c r="F2047" s="6" t="n">
        <ns0:v>0.5</ns0:v>
      </ns0:c>
      <ns0:c r="G2047" s="4" t="n">
        <ns0:v>3</ns0:v>
      </ns0:c>
      <ns0:c r="H2047" s="7" t="n">
        <ns0:v>4901.624884197523</ns0:v>
      </ns0:c>
      <ns0:c r="I2047" s="7" t="n">
        <ns0:v>2220.317790067656</ns0:v>
      </ns0:c>
      <ns0:c r="J2047" s="7" t="n">
        <ns0:v>1110.158895033828</ns0:v>
      </ns0:c>
      <ns0:c r="K2047" s="7" t="n">
        <ns0:v>48</ns0:v>
      </ns0:c>
      <ns0:c r="L2047" s="18" t="inlineStr">
        <ns0:is>
          <ns0:t>範囲内なし</ns0:t>
        </ns0:is>
      </ns0:c>
      <ns0:c r="M2047" s="7" t="n">
        <ns0:v>-41049.76134762974</ns0:v>
      </ns0:c>
      <ns0:c r="N2047" s="7" t="n">
        <ns0:v>-19916.91199697756</ns0:v>
      </ns0:c>
      <ns0:c r="O2047" s="7" t="n">
        <ns0:v>3145.769755909329</ns0:v>
      </ns0:c>
      <ns0:c r="P2047" s="7" t="n">
        <ns0:v>60802.47413812645</ns0:v>
      </ns0:c>
      <ns0:c r="Q2047" s="7" t="n">
        <ns0:v>249429.2916669949</ns0:v>
      </ns0:c>
      <ns0:c r="R2047" s="7" t="n">
        <ns0:v>986623.1530180349</ns0:v>
      </ns0:c>
    </ns0:row>
    <ns0:row r="2048" ht="24" customHeight="1">
      <ns0:c r="A2048" s="3" t="inlineStr">
        <ns0:is>
          <ns0:t>混在40/30/30</ns0:t>
        </ns0:is>
      </ns0:c>
      <ns0:c r="B2048" s="3" t="inlineStr">
        <ns0:is>
          <ns0:t>G3三段階</ns0:t>
        </ns0:is>
      </ns0:c>
      <ns0:c r="C2048" s="3" t="inlineStr">
        <ns0:is>
          <ns0:t>D</ns0:t>
        </ns0:is>
      </ns0:c>
      <ns0:c r="D2048" s="4" t="n">
        <ns0:v>2</ns0:v>
      </ns0:c>
      <ns0:c r="E2048" s="4" t="n">
        <ns0:v>500</ns0:v>
      </ns0:c>
      <ns0:c r="F2048" s="6" t="n">
        <ns0:v>0.3</ns0:v>
      </ns0:c>
      <ns0:c r="G2048" s="4" t="n">
        <ns0:v>0</ns0:v>
      </ns0:c>
      <ns0:c r="H2048" s="7" t="n">
        <ns0:v>7293.022052507129</ns0:v>
      </ns0:c>
      <ns0:c r="I2048" s="7" t="n">
        <ns0:v>2968.478667126674</ns0:v>
      </ns0:c>
      <ns0:c r="J2048" s="7" t="n">
        <ns0:v>890.5436001380023</ns0:v>
      </ns0:c>
      <ns0:c r="K2048" s="7" t="n">
        <ns0:v>12</ns0:v>
      </ns0:c>
      <ns0:c r="L2048" s="7" t="n">
        <ns0:v>19</ns0:v>
      </ns0:c>
      <ns0:c r="M2048" s="7" t="n">
        <ns0:v>-8246.095984369211</ns0:v>
      </ns0:c>
      <ns0:c r="N2048" s="7" t="n">
        <ns0:v>63826.37067332197</ns0:v>
      </ns0:c>
      <ns0:c r="O2048" s="7" t="n">
        <ns0:v>142717.9075397418</ns0:v>
      </ns0:c>
      <ns0:c r="P2048" s="7" t="n">
        <ns0:v>339946.7497057915</ns0:v>
      </ns0:c>
      <ns0:c r="Q2048" s="7" t="n">
        <ns0:v>1086862.11836999</ns0:v>
      </ns0:c>
      <ns0:c r="R2048" s="7" t="n">
        <ns0:v>3778065.908694685</ns0:v>
      </ns0:c>
    </ns0:row>
    <ns0:row r="2049" ht="24" customHeight="1">
      <ns0:c r="A2049" s="3" t="inlineStr">
        <ns0:is>
          <ns0:t>混在40/30/30</ns0:t>
        </ns0:is>
      </ns0:c>
      <ns0:c r="B2049" s="3" t="inlineStr">
        <ns0:is>
          <ns0:t>G3三段階</ns0:t>
        </ns0:is>
      </ns0:c>
      <ns0:c r="C2049" s="3" t="inlineStr">
        <ns0:is>
          <ns0:t>D</ns0:t>
        </ns0:is>
      </ns0:c>
      <ns0:c r="D2049" s="4" t="n">
        <ns0:v>2</ns0:v>
      </ns0:c>
      <ns0:c r="E2049" s="4" t="n">
        <ns0:v>500</ns0:v>
      </ns0:c>
      <ns0:c r="F2049" s="6" t="n">
        <ns0:v>0.3</ns0:v>
      </ns0:c>
      <ns0:c r="G2049" s="4" t="n">
        <ns0:v>1</ns0:v>
      </ns0:c>
      <ns0:c r="H2049" s="7" t="n">
        <ns0:v>7293.022052507129</ns0:v>
      </ns0:c>
      <ns0:c r="I2049" s="7" t="n">
        <ns0:v>2968.478667126674</ns0:v>
      </ns0:c>
      <ns0:c r="J2049" s="7" t="n">
        <ns0:v>890.5436001380023</ns0:v>
      </ns0:c>
      <ns0:c r="K2049" s="7" t="n">
        <ns0:v>13</ns0:v>
      </ns0:c>
      <ns0:c r="L2049" s="7" t="n">
        <ns0:v>23</ns0:v>
      </ns0:c>
      <ns0:c r="M2049" s="7" t="n">
        <ns0:v>-11450.65131057411</ns0:v>
      </ns0:c>
      <ns0:c r="N2049" s="7" t="n">
        <ns0:v>54212.70469470726</ns0:v>
      </ns0:c>
      <ns0:c r="O2049" s="7" t="n">
        <ns0:v>126695.1309087173</ns0:v>
      </ns0:c>
      <ns0:c r="P2049" s="7" t="n">
        <ns0:v>307901.1964437424</ns0:v>
      </ns0:c>
      <ns0:c r="Q2049" s="7" t="n">
        <ns0:v>990725.4585838428</ns0:v>
      </ns0:c>
      <ns0:c r="R2049" s="7" t="n">
        <ns0:v>3457610.376074194</ns0:v>
      </ns0:c>
    </ns0:row>
    <ns0:row r="2050" ht="24" customHeight="1">
      <ns0:c r="A2050" s="3" t="inlineStr">
        <ns0:is>
          <ns0:t>混在40/30/30</ns0:t>
        </ns0:is>
      </ns0:c>
      <ns0:c r="B2050" s="3" t="inlineStr">
        <ns0:is>
          <ns0:t>G3三段階</ns0:t>
        </ns0:is>
      </ns0:c>
      <ns0:c r="C2050" s="3" t="inlineStr">
        <ns0:is>
          <ns0:t>D</ns0:t>
        </ns0:is>
      </ns0:c>
      <ns0:c r="D2050" s="4" t="n">
        <ns0:v>2</ns0:v>
      </ns0:c>
      <ns0:c r="E2050" s="4" t="n">
        <ns0:v>500</ns0:v>
      </ns0:c>
      <ns0:c r="F2050" s="6" t="n">
        <ns0:v>0.3</ns0:v>
      </ns0:c>
      <ns0:c r="G2050" s="4" t="n">
        <ns0:v>2</ns0:v>
      </ns0:c>
      <ns0:c r="H2050" s="7" t="n">
        <ns0:v>7293.022052507129</ns0:v>
      </ns0:c>
      <ns0:c r="I2050" s="7" t="n">
        <ns0:v>2968.478667126674</ns0:v>
      </ns0:c>
      <ns0:c r="J2050" s="7" t="n">
        <ns0:v>890.5436001380023</ns0:v>
      </ns0:c>
      <ns0:c r="K2050" s="18" t="inlineStr">
        <ns0:is>
          <ns0:t>範囲内なし</ns0:t>
        </ns0:is>
      </ns0:c>
      <ns0:c r="L2050" s="18" t="inlineStr">
        <ns0:is>
          <ns0:t>範囲内なし</ns0:t>
        </ns0:is>
      </ns0:c>
      <ns0:c r="M2050" s="7" t="n">
        <ns0:v>-51023.016659153</ns0:v>
      </ns0:c>
      <ns0:c r="N2050" s="7" t="n">
        <ns0:v>-64504.39135102941</ns0:v>
      </ns0:c>
      <ns0:c r="O2050" s="7" t="n">
        <ns0:v>-71166.69583417711</ns0:v>
      </ns0:c>
      <ns0:c r="P2050" s="7" t="n">
        <ns0:v>-87822.45704204642</ns0:v>
      </ns0:c>
      <ns0:c r="Q2050" s="7" t="n">
        <ns0:v>-196445.5018735236</ns0:v>
      </ns0:c>
      <ns0:c r="R2050" s="7" t="n">
        <ns0:v>-499626.1587836943</ns0:v>
      </ns0:c>
    </ns0:row>
    <ns0:row r="2051" ht="24" customHeight="1">
      <ns0:c r="A2051" s="3" t="inlineStr">
        <ns0:is>
          <ns0:t>混在40/30/30</ns0:t>
        </ns0:is>
      </ns0:c>
      <ns0:c r="B2051" s="3" t="inlineStr">
        <ns0:is>
          <ns0:t>G3三段階</ns0:t>
        </ns0:is>
      </ns0:c>
      <ns0:c r="C2051" s="3" t="inlineStr">
        <ns0:is>
          <ns0:t>D</ns0:t>
        </ns0:is>
      </ns0:c>
      <ns0:c r="D2051" s="4" t="n">
        <ns0:v>2</ns0:v>
      </ns0:c>
      <ns0:c r="E2051" s="4" t="n">
        <ns0:v>500</ns0:v>
      </ns0:c>
      <ns0:c r="F2051" s="6" t="n">
        <ns0:v>0.3</ns0:v>
      </ns0:c>
      <ns0:c r="G2051" s="4" t="n">
        <ns0:v>3</ns0:v>
      </ns0:c>
      <ns0:c r="H2051" s="7" t="n">
        <ns0:v>7293.022052507129</ns0:v>
      </ns0:c>
      <ns0:c r="I2051" s="7" t="n">
        <ns0:v>2968.478667126674</ns0:v>
      </ns0:c>
      <ns0:c r="J2051" s="7" t="n">
        <ns0:v>890.5436001380023</ns0:v>
      </ns0:c>
      <ns0:c r="K2051" s="7" t="n">
        <ns0:v>19</ns0:v>
      </ns0:c>
      <ns0:c r="L2051" s="7" t="n">
        <ns0:v>40</ns0:v>
      </ns0:c>
      <ns0:c r="M2051" s="7" t="n">
        <ns0:v>-18029.80564472599</ns0:v>
      </ns0:c>
      <ns0:c r="N2051" s="7" t="n">
        <ns0:v>34475.24169225163</ns0:v>
      </ns0:c>
      <ns0:c r="O2051" s="7" t="n">
        <ns0:v>93799.35923795792</ns0:v>
      </ns0:c>
      <ns0:c r="P2051" s="7" t="n">
        <ns0:v>242109.6531022236</ns0:v>
      </ns0:c>
      <ns0:c r="Q2051" s="7" t="n">
        <ns0:v>793350.8285592865</ns0:v>
      </ns0:c>
      <ns0:c r="R2051" s="7" t="n">
        <ns0:v>2799694.942659007</ns0:v>
      </ns0:c>
    </ns0:row>
    <ns0:row r="2052" ht="24" customHeight="1">
      <ns0:c r="A2052" s="3" t="inlineStr">
        <ns0:is>
          <ns0:t>混在40/30/30</ns0:t>
        </ns0:is>
      </ns0:c>
      <ns0:c r="B2052" s="3" t="inlineStr">
        <ns0:is>
          <ns0:t>G3三段階</ns0:t>
        </ns0:is>
      </ns0:c>
      <ns0:c r="C2052" s="3" t="inlineStr">
        <ns0:is>
          <ns0:t>D</ns0:t>
        </ns0:is>
      </ns0:c>
      <ns0:c r="D2052" s="4" t="n">
        <ns0:v>2</ns0:v>
      </ns0:c>
      <ns0:c r="E2052" s="4" t="n">
        <ns0:v>500</ns0:v>
      </ns0:c>
      <ns0:c r="F2052" s="6" t="n">
        <ns0:v>0.4</ns0:v>
      </ns0:c>
      <ns0:c r="G2052" s="4" t="n">
        <ns0:v>0</ns0:v>
      </ns0:c>
      <ns0:c r="H2052" s="7" t="n">
        <ns0:v>7293.022052507129</ns0:v>
      </ns0:c>
      <ns0:c r="I2052" s="7" t="n">
        <ns0:v>2968.478667126674</ns0:v>
      </ns0:c>
      <ns0:c r="J2052" s="7" t="n">
        <ns0:v>1187.39146685067</ns0:v>
      </ns0:c>
      <ns0:c r="K2052" s="7" t="n">
        <ns0:v>13</ns0:v>
      </ns0:c>
      <ns0:c r="L2052" s="7" t="n">
        <ns0:v>20</ns0:v>
      </ns0:c>
      <ns0:c r="M2052" s="7" t="n">
        <ns0:v>-11214.57465149589</ns0:v>
      </ns0:c>
      <ns0:c r="N2052" s="7" t="n">
        <ns0:v>54920.93467194196</ns0:v>
      </ns0:c>
      <ns0:c r="O2052" s="7" t="n">
        <ns0:v>127875.5142041085</ns0:v>
      </ns0:c>
      <ns0:c r="P2052" s="7" t="n">
        <ns0:v>310261.9630345247</ns0:v>
      </ns0:c>
      <ns0:c r="Q2052" s="7" t="n">
        <ns0:v>997807.7583561897</ns0:v>
      </ns0:c>
      <ns0:c r="R2052" s="7" t="n">
        <ns0:v>3481218.041982017</ns0:v>
      </ns0:c>
    </ns0:row>
    <ns0:row r="2053" ht="24" customHeight="1">
      <ns0:c r="A2053" s="3" t="inlineStr">
        <ns0:is>
          <ns0:t>混在40/30/30</ns0:t>
        </ns0:is>
      </ns0:c>
      <ns0:c r="B2053" s="3" t="inlineStr">
        <ns0:is>
          <ns0:t>G3三段階</ns0:t>
        </ns0:is>
      </ns0:c>
      <ns0:c r="C2053" s="3" t="inlineStr">
        <ns0:is>
          <ns0:t>D</ns0:t>
        </ns0:is>
      </ns0:c>
      <ns0:c r="D2053" s="4" t="n">
        <ns0:v>2</ns0:v>
      </ns0:c>
      <ns0:c r="E2053" s="4" t="n">
        <ns0:v>500</ns0:v>
      </ns0:c>
      <ns0:c r="F2053" s="6" t="n">
        <ns0:v>0.4</ns0:v>
      </ns0:c>
      <ns0:c r="G2053" s="4" t="n">
        <ns0:v>1</ns0:v>
      </ns0:c>
      <ns0:c r="H2053" s="7" t="n">
        <ns0:v>7293.022052507129</ns0:v>
      </ns0:c>
      <ns0:c r="I2053" s="7" t="n">
        <ns0:v>2968.478667126674</ns0:v>
      </ns0:c>
      <ns0:c r="J2053" s="7" t="n">
        <ns0:v>1187.39146685067</ns0:v>
      </ns0:c>
      <ns0:c r="K2053" s="7" t="n">
        <ns0:v>16</ns0:v>
      </ns0:c>
      <ns0:c r="L2053" s="7" t="n">
        <ns0:v>25</ns0:v>
      </ns0:c>
      <ns0:c r="M2053" s="7" t="n">
        <ns0:v>-14419.12997770079</ns0:v>
      </ns0:c>
      <ns0:c r="N2053" s="7" t="n">
        <ns0:v>45307.26869332724</ns0:v>
      </ns0:c>
      <ns0:c r="O2053" s="7" t="n">
        <ns0:v>111852.737573084</ns0:v>
      </ns0:c>
      <ns0:c r="P2053" s="7" t="n">
        <ns0:v>278216.4097724757</ns0:v>
      </ns0:c>
      <ns0:c r="Q2053" s="7" t="n">
        <ns0:v>901671.0985700425</ns0:v>
      </ns0:c>
      <ns0:c r="R2053" s="7" t="n">
        <ns0:v>3160762.509361526</ns0:v>
      </ns0:c>
    </ns0:row>
    <ns0:row r="2054" ht="24" customHeight="1">
      <ns0:c r="A2054" s="3" t="inlineStr">
        <ns0:is>
          <ns0:t>混在40/30/30</ns0:t>
        </ns0:is>
      </ns0:c>
      <ns0:c r="B2054" s="3" t="inlineStr">
        <ns0:is>
          <ns0:t>G3三段階</ns0:t>
        </ns0:is>
      </ns0:c>
      <ns0:c r="C2054" s="3" t="inlineStr">
        <ns0:is>
          <ns0:t>D</ns0:t>
        </ns0:is>
      </ns0:c>
      <ns0:c r="D2054" s="4" t="n">
        <ns0:v>2</ns0:v>
      </ns0:c>
      <ns0:c r="E2054" s="4" t="n">
        <ns0:v>500</ns0:v>
      </ns0:c>
      <ns0:c r="F2054" s="6" t="n">
        <ns0:v>0.4</ns0:v>
      </ns0:c>
      <ns0:c r="G2054" s="4" t="n">
        <ns0:v>2</ns0:v>
      </ns0:c>
      <ns0:c r="H2054" s="7" t="n">
        <ns0:v>7293.022052507129</ns0:v>
      </ns0:c>
      <ns0:c r="I2054" s="7" t="n">
        <ns0:v>2968.478667126674</ns0:v>
      </ns0:c>
      <ns0:c r="J2054" s="7" t="n">
        <ns0:v>1187.39146685067</ns0:v>
      </ns0:c>
      <ns0:c r="K2054" s="18" t="inlineStr">
        <ns0:is>
          <ns0:t>範囲内なし</ns0:t>
        </ns0:is>
      </ns0:c>
      <ns0:c r="L2054" s="18" t="inlineStr">
        <ns0:is>
          <ns0:t>範囲内なし</ns0:t>
        </ns0:is>
      </ns0:c>
      <ns0:c r="M2054" s="7" t="n">
        <ns0:v>-53991.49532627968</ns0:v>
      </ns0:c>
      <ns0:c r="N2054" s="7" t="n">
        <ns0:v>-73409.82735240941</ns0:v>
      </ns0:c>
      <ns0:c r="O2054" s="7" t="n">
        <ns0:v>-86009.08916981047</ns0:v>
      </ns0:c>
      <ns0:c r="P2054" s="7" t="n">
        <ns0:v>-117507.2437133131</ns0:v>
      </ns0:c>
      <ns0:c r="Q2054" s="7" t="n">
        <ns0:v>-285499.8618873239</ns0:v>
      </ns0:c>
      <ns0:c r="R2054" s="7" t="n">
        <ns0:v>-796474.0254963622</ns0:v>
      </ns0:c>
    </ns0:row>
    <ns0:row r="2055" ht="24" customHeight="1">
      <ns0:c r="A2055" s="3" t="inlineStr">
        <ns0:is>
          <ns0:t>混在40/30/30</ns0:t>
        </ns0:is>
      </ns0:c>
      <ns0:c r="B2055" s="3" t="inlineStr">
        <ns0:is>
          <ns0:t>G3三段階</ns0:t>
        </ns0:is>
      </ns0:c>
      <ns0:c r="C2055" s="3" t="inlineStr">
        <ns0:is>
          <ns0:t>D</ns0:t>
        </ns0:is>
      </ns0:c>
      <ns0:c r="D2055" s="4" t="n">
        <ns0:v>2</ns0:v>
      </ns0:c>
      <ns0:c r="E2055" s="4" t="n">
        <ns0:v>500</ns0:v>
      </ns0:c>
      <ns0:c r="F2055" s="6" t="n">
        <ns0:v>0.4</ns0:v>
      </ns0:c>
      <ns0:c r="G2055" s="4" t="n">
        <ns0:v>3</ns0:v>
      </ns0:c>
      <ns0:c r="H2055" s="7" t="n">
        <ns0:v>7293.022052507129</ns0:v>
      </ns0:c>
      <ns0:c r="I2055" s="7" t="n">
        <ns0:v>2968.478667126674</ns0:v>
      </ns0:c>
      <ns0:c r="J2055" s="7" t="n">
        <ns0:v>1187.39146685067</ns0:v>
      </ns0:c>
      <ns0:c r="K2055" s="7" t="n">
        <ns0:v>21</ns0:v>
      </ns0:c>
      <ns0:c r="L2055" s="7" t="n">
        <ns0:v>45</ns0:v>
      </ns0:c>
      <ns0:c r="M2055" s="7" t="n">
        <ns0:v>-20998.28431185267</ns0:v>
      </ns0:c>
      <ns0:c r="N2055" s="7" t="n">
        <ns0:v>25569.80569087162</ns0:v>
      </ns0:c>
      <ns0:c r="O2055" s="7" t="n">
        <ns0:v>78956.96590232456</ns0:v>
      </ns0:c>
      <ns0:c r="P2055" s="7" t="n">
        <ns0:v>212424.8664309569</ns0:v>
      </ns0:c>
      <ns0:c r="Q2055" s="7" t="n">
        <ns0:v>704296.4685454862</ns0:v>
      </ns0:c>
      <ns0:c r="R2055" s="7" t="n">
        <ns0:v>2502847.075946339</ns0:v>
      </ns0:c>
    </ns0:row>
    <ns0:row r="2056" ht="24" customHeight="1">
      <ns0:c r="A2056" s="3" t="inlineStr">
        <ns0:is>
          <ns0:t>混在40/30/30</ns0:t>
        </ns0:is>
      </ns0:c>
      <ns0:c r="B2056" s="3" t="inlineStr">
        <ns0:is>
          <ns0:t>G3三段階</ns0:t>
        </ns0:is>
      </ns0:c>
      <ns0:c r="C2056" s="3" t="inlineStr">
        <ns0:is>
          <ns0:t>D</ns0:t>
        </ns0:is>
      </ns0:c>
      <ns0:c r="D2056" s="4" t="n">
        <ns0:v>2</ns0:v>
      </ns0:c>
      <ns0:c r="E2056" s="4" t="n">
        <ns0:v>500</ns0:v>
      </ns0:c>
      <ns0:c r="F2056" s="6" t="n">
        <ns0:v>0.5</ns0:v>
      </ns0:c>
      <ns0:c r="G2056" s="4" t="n">
        <ns0:v>0</ns0:v>
      </ns0:c>
      <ns0:c r="H2056" s="7" t="n">
        <ns0:v>7293.022052507129</ns0:v>
      </ns0:c>
      <ns0:c r="I2056" s="7" t="n">
        <ns0:v>2968.478667126674</ns0:v>
      </ns0:c>
      <ns0:c r="J2056" s="7" t="n">
        <ns0:v>1484.239333563337</ns0:v>
      </ns0:c>
      <ns0:c r="K2056" s="7" t="n">
        <ns0:v>16</ns0:v>
      </ns0:c>
      <ns0:c r="L2056" s="7" t="n">
        <ns0:v>21</ns0:v>
      </ns0:c>
      <ns0:c r="M2056" s="7" t="n">
        <ns0:v>-14183.05331862257</ns0:v>
      </ns0:c>
      <ns0:c r="N2056" s="7" t="n">
        <ns0:v>46015.49867056194</ns0:v>
      </ns0:c>
      <ns0:c r="O2056" s="7" t="n">
        <ns0:v>113033.1208684751</ns0:v>
      </ns0:c>
      <ns0:c r="P2056" s="7" t="n">
        <ns0:v>280577.1763632579</ns0:v>
      </ns0:c>
      <ns0:c r="Q2056" s="7" t="n">
        <ns0:v>908753.3983423894</ns0:v>
      </ns0:c>
      <ns0:c r="R2056" s="7" t="n">
        <ns0:v>3184370.17526935</ns0:v>
      </ns0:c>
    </ns0:row>
    <ns0:row r="2057" ht="24" customHeight="1">
      <ns0:c r="A2057" s="3" t="inlineStr">
        <ns0:is>
          <ns0:t>混在40/30/30</ns0:t>
        </ns0:is>
      </ns0:c>
      <ns0:c r="B2057" s="3" t="inlineStr">
        <ns0:is>
          <ns0:t>G3三段階</ns0:t>
        </ns0:is>
      </ns0:c>
      <ns0:c r="C2057" s="3" t="inlineStr">
        <ns0:is>
          <ns0:t>D</ns0:t>
        </ns0:is>
      </ns0:c>
      <ns0:c r="D2057" s="4" t="n">
        <ns0:v>2</ns0:v>
      </ns0:c>
      <ns0:c r="E2057" s="4" t="n">
        <ns0:v>500</ns0:v>
      </ns0:c>
      <ns0:c r="F2057" s="6" t="n">
        <ns0:v>0.5</ns0:v>
      </ns0:c>
      <ns0:c r="G2057" s="4" t="n">
        <ns0:v>1</ns0:v>
      </ns0:c>
      <ns0:c r="H2057" s="7" t="n">
        <ns0:v>7293.022052507129</ns0:v>
      </ns0:c>
      <ns0:c r="I2057" s="7" t="n">
        <ns0:v>2968.478667126674</ns0:v>
      </ns0:c>
      <ns0:c r="J2057" s="7" t="n">
        <ns0:v>1484.239333563337</ns0:v>
      </ns0:c>
      <ns0:c r="K2057" s="7" t="n">
        <ns0:v>18</ns0:v>
      </ns0:c>
      <ns0:c r="L2057" s="7" t="n">
        <ns0:v>26</ns0:v>
      </ns0:c>
      <ns0:c r="M2057" s="7" t="n">
        <ns0:v>-17387.60864482747</ns0:v>
      </ns0:c>
      <ns0:c r="N2057" s="7" t="n">
        <ns0:v>36401.83269194722</ns0:v>
      </ns0:c>
      <ns0:c r="O2057" s="7" t="n">
        <ns0:v>97010.34423745054</ns0:v>
      </ns0:c>
      <ns0:c r="P2057" s="7" t="n">
        <ns0:v>248531.6231012089</ns0:v>
      </ns0:c>
      <ns0:c r="Q2057" s="7" t="n">
        <ns0:v>812616.7385562423</ns0:v>
      </ns0:c>
      <ns0:c r="R2057" s="7" t="n">
        <ns0:v>2863914.64264886</ns0:v>
      </ns0:c>
    </ns0:row>
    <ns0:row r="2058" ht="24" customHeight="1">
      <ns0:c r="A2058" s="3" t="inlineStr">
        <ns0:is>
          <ns0:t>混在40/30/30</ns0:t>
        </ns0:is>
      </ns0:c>
      <ns0:c r="B2058" s="3" t="inlineStr">
        <ns0:is>
          <ns0:t>G3三段階</ns0:t>
        </ns0:is>
      </ns0:c>
      <ns0:c r="C2058" s="3" t="inlineStr">
        <ns0:is>
          <ns0:t>D</ns0:t>
        </ns0:is>
      </ns0:c>
      <ns0:c r="D2058" s="4" t="n">
        <ns0:v>2</ns0:v>
      </ns0:c>
      <ns0:c r="E2058" s="4" t="n">
        <ns0:v>500</ns0:v>
      </ns0:c>
      <ns0:c r="F2058" s="6" t="n">
        <ns0:v>0.5</ns0:v>
      </ns0:c>
      <ns0:c r="G2058" s="4" t="n">
        <ns0:v>2</ns0:v>
      </ns0:c>
      <ns0:c r="H2058" s="7" t="n">
        <ns0:v>7293.022052507129</ns0:v>
      </ns0:c>
      <ns0:c r="I2058" s="7" t="n">
        <ns0:v>2968.478667126674</ns0:v>
      </ns0:c>
      <ns0:c r="J2058" s="7" t="n">
        <ns0:v>1484.239333563337</ns0:v>
      </ns0:c>
      <ns0:c r="K2058" s="18" t="inlineStr">
        <ns0:is>
          <ns0:t>範囲内なし</ns0:t>
        </ns0:is>
      </ns0:c>
      <ns0:c r="L2058" s="18" t="inlineStr">
        <ns0:is>
          <ns0:t>範囲内なし</ns0:t>
        </ns0:is>
      </ns0:c>
      <ns0:c r="M2058" s="7" t="n">
        <ns0:v>-56959.97399340635</ns0:v>
      </ns0:c>
      <ns0:c r="N2058" s="7" t="n">
        <ns0:v>-82315.26335378944</ns0:v>
      </ns0:c>
      <ns0:c r="O2058" s="7" t="n">
        <ns0:v>-100851.4825054439</ns0:v>
      </ns0:c>
      <ns0:c r="P2058" s="7" t="n">
        <ns0:v>-147192.03038458</ns0:v>
      </ns0:c>
      <ns0:c r="Q2058" s="7" t="n">
        <ns0:v>-374554.2219011242</ns0:v>
      </ns0:c>
      <ns0:c r="R2058" s="7" t="n">
        <ns0:v>-1093321.892209029</ns0:v>
      </ns0:c>
    </ns0:row>
    <ns0:row r="2059" ht="24" customHeight="1">
      <ns0:c r="A2059" s="3" t="inlineStr">
        <ns0:is>
          <ns0:t>混在40/30/30</ns0:t>
        </ns0:is>
      </ns0:c>
      <ns0:c r="B2059" s="3" t="inlineStr">
        <ns0:is>
          <ns0:t>G3三段階</ns0:t>
        </ns0:is>
      </ns0:c>
      <ns0:c r="C2059" s="3" t="inlineStr">
        <ns0:is>
          <ns0:t>D</ns0:t>
        </ns0:is>
      </ns0:c>
      <ns0:c r="D2059" s="4" t="n">
        <ns0:v>2</ns0:v>
      </ns0:c>
      <ns0:c r="E2059" s="4" t="n">
        <ns0:v>500</ns0:v>
      </ns0:c>
      <ns0:c r="F2059" s="6" t="n">
        <ns0:v>0.5</ns0:v>
      </ns0:c>
      <ns0:c r="G2059" s="4" t="n">
        <ns0:v>3</ns0:v>
      </ns0:c>
      <ns0:c r="H2059" s="7" t="n">
        <ns0:v>7293.022052507129</ns0:v>
      </ns0:c>
      <ns0:c r="I2059" s="7" t="n">
        <ns0:v>2968.478667126674</ns0:v>
      </ns0:c>
      <ns0:c r="J2059" s="7" t="n">
        <ns0:v>1484.239333563337</ns0:v>
      </ns0:c>
      <ns0:c r="K2059" s="7" t="n">
        <ns0:v>23</ns0:v>
      </ns0:c>
      <ns0:c r="L2059" s="7" t="n">
        <ns0:v>52</ns0:v>
      </ns0:c>
      <ns0:c r="M2059" s="7" t="n">
        <ns0:v>-23966.76297897935</ns0:v>
      </ns0:c>
      <ns0:c r="N2059" s="7" t="n">
        <ns0:v>16664.3696894916</ns0:v>
      </ns0:c>
      <ns0:c r="O2059" s="7" t="n">
        <ns0:v>64114.57256669117</ns0:v>
      </ns0:c>
      <ns0:c r="P2059" s="7" t="n">
        <ns0:v>182740.0797596901</ns0:v>
      </ns0:c>
      <ns0:c r="Q2059" s="7" t="n">
        <ns0:v>615242.108531686</ns0:v>
      </ns0:c>
      <ns0:c r="R2059" s="7" t="n">
        <ns0:v>2205999.209233672</ns0:v>
      </ns0:c>
    </ns0:row>
    <ns0:row r="2060" ht="24" customHeight="1">
      <ns0:c r="A2060" s="3" t="inlineStr">
        <ns0:is>
          <ns0:t>混在40/30/30</ns0:t>
        </ns0:is>
      </ns0:c>
      <ns0:c r="B2060" s="3" t="inlineStr">
        <ns0:is>
          <ns0:t>G3三段階</ns0:t>
        </ns0:is>
      </ns0:c>
      <ns0:c r="C2060" s="3" t="inlineStr">
        <ns0:is>
          <ns0:t>D</ns0:t>
        </ns0:is>
      </ns0:c>
      <ns0:c r="D2060" s="4" t="n">
        <ns0:v>2</ns0:v>
      </ns0:c>
      <ns0:c r="E2060" s="4" t="n">
        <ns0:v>1000</ns0:v>
      </ns0:c>
      <ns0:c r="F2060" s="6" t="n">
        <ns0:v>0.3</ns0:v>
      </ns0:c>
      <ns0:c r="G2060" s="4" t="n">
        <ns0:v>0</ns0:v>
      </ns0:c>
      <ns0:c r="H2060" s="7" t="n">
        <ns0:v>7143.022052507131</ns0:v>
      </ns0:c>
      <ns0:c r="I2060" s="7" t="n">
        <ns0:v>2818.478667126675</ns0:v>
      </ns0:c>
      <ns0:c r="J2060" s="7" t="n">
        <ns0:v>845.5436001380025</ns0:v>
      </ns0:c>
      <ns0:c r="K2060" s="7" t="n">
        <ns0:v>12</ns0:v>
      </ns0:c>
      <ns0:c r="L2060" s="7" t="n">
        <ns0:v>19</ns0:v>
      </ns0:c>
      <ns0:c r="M2060" s="7" t="n">
        <ns0:v>-9242.095984369214</ns0:v>
      </ns0:c>
      <ns0:c r="N2060" s="7" t="n">
        <ns0:v>60838.37067332198</ns0:v>
      </ns0:c>
      <ns0:c r="O2060" s="7" t="n">
        <ns0:v>137737.9075397419</ns0:v>
      </ns0:c>
      <ns0:c r="P2060" s="7" t="n">
        <ns0:v>329986.7497057915</ns0:v>
      </ns0:c>
      <ns0:c r="Q2060" s="7" t="n">
        <ns0:v>1056982.11836999</ns0:v>
      </ns0:c>
      <ns0:c r="R2060" s="7" t="n">
        <ns0:v>3678465.908694686</ns0:v>
      </ns0:c>
    </ns0:row>
    <ns0:row r="2061" ht="24" customHeight="1">
      <ns0:c r="A2061" s="3" t="inlineStr">
        <ns0:is>
          <ns0:t>混在40/30/30</ns0:t>
        </ns0:is>
      </ns0:c>
      <ns0:c r="B2061" s="3" t="inlineStr">
        <ns0:is>
          <ns0:t>G3三段階</ns0:t>
        </ns0:is>
      </ns0:c>
      <ns0:c r="C2061" s="3" t="inlineStr">
        <ns0:is>
          <ns0:t>D</ns0:t>
        </ns0:is>
      </ns0:c>
      <ns0:c r="D2061" s="4" t="n">
        <ns0:v>2</ns0:v>
      </ns0:c>
      <ns0:c r="E2061" s="4" t="n">
        <ns0:v>1000</ns0:v>
      </ns0:c>
      <ns0:c r="F2061" s="6" t="n">
        <ns0:v>0.3</ns0:v>
      </ns0:c>
      <ns0:c r="G2061" s="4" t="n">
        <ns0:v>1</ns0:v>
      </ns0:c>
      <ns0:c r="H2061" s="7" t="n">
        <ns0:v>7143.022052507131</ns0:v>
      </ns0:c>
      <ns0:c r="I2061" s="7" t="n">
        <ns0:v>2818.478667126675</ns0:v>
      </ns0:c>
      <ns0:c r="J2061" s="7" t="n">
        <ns0:v>845.5436001380025</ns0:v>
      </ns0:c>
      <ns0:c r="K2061" s="7" t="n">
        <ns0:v>13</ns0:v>
      </ns0:c>
      <ns0:c r="L2061" s="7" t="n">
        <ns0:v>24</ns0:v>
      </ns0:c>
      <ns0:c r="M2061" s="7" t="n">
        <ns0:v>-12446.65131057412</ns0:v>
      </ns0:c>
      <ns0:c r="N2061" s="7" t="n">
        <ns0:v>51224.70469470727</ns0:v>
      </ns0:c>
      <ns0:c r="O2061" s="7" t="n">
        <ns0:v>121715.1309087173</ns0:v>
      </ns0:c>
      <ns0:c r="P2061" s="7" t="n">
        <ns0:v>297941.1964437425</ns0:v>
      </ns0:c>
      <ns0:c r="Q2061" s="7" t="n">
        <ns0:v>960845.458583843</ns0:v>
      </ns0:c>
      <ns0:c r="R2061" s="7" t="n">
        <ns0:v>3358010.376074195</ns0:v>
      </ns0:c>
    </ns0:row>
    <ns0:row r="2062" ht="24" customHeight="1">
      <ns0:c r="A2062" s="3" t="inlineStr">
        <ns0:is>
          <ns0:t>混在40/30/30</ns0:t>
        </ns0:is>
      </ns0:c>
      <ns0:c r="B2062" s="3" t="inlineStr">
        <ns0:is>
          <ns0:t>G3三段階</ns0:t>
        </ns0:is>
      </ns0:c>
      <ns0:c r="C2062" s="3" t="inlineStr">
        <ns0:is>
          <ns0:t>D</ns0:t>
        </ns0:is>
      </ns0:c>
      <ns0:c r="D2062" s="4" t="n">
        <ns0:v>2</ns0:v>
      </ns0:c>
      <ns0:c r="E2062" s="4" t="n">
        <ns0:v>1000</ns0:v>
      </ns0:c>
      <ns0:c r="F2062" s="6" t="n">
        <ns0:v>0.3</ns0:v>
      </ns0:c>
      <ns0:c r="G2062" s="4" t="n">
        <ns0:v>2</ns0:v>
      </ns0:c>
      <ns0:c r="H2062" s="7" t="n">
        <ns0:v>7143.022052507131</ns0:v>
      </ns0:c>
      <ns0:c r="I2062" s="7" t="n">
        <ns0:v>2818.478667126675</ns0:v>
      </ns0:c>
      <ns0:c r="J2062" s="7" t="n">
        <ns0:v>845.5436001380025</ns0:v>
      </ns0:c>
      <ns0:c r="K2062" s="18" t="inlineStr">
        <ns0:is>
          <ns0:t>範囲内なし</ns0:t>
        </ns0:is>
      </ns0:c>
      <ns0:c r="L2062" s="18" t="inlineStr">
        <ns0:is>
          <ns0:t>範囲内なし</ns0:t>
        </ns0:is>
      </ns0:c>
      <ns0:c r="M2062" s="7" t="n">
        <ns0:v>-52019.016659153</ns0:v>
      </ns0:c>
      <ns0:c r="N2062" s="7" t="n">
        <ns0:v>-67492.39135102939</ns0:v>
      </ns0:c>
      <ns0:c r="O2062" s="7" t="n">
        <ns0:v>-76146.69583417708</ns0:v>
      </ns0:c>
      <ns0:c r="P2062" s="7" t="n">
        <ns0:v>-97782.45704204636</ns0:v>
      </ns0:c>
      <ns0:c r="Q2062" s="7" t="n">
        <ns0:v>-226325.5018735235</ns0:v>
      </ns0:c>
      <ns0:c r="R2062" s="7" t="n">
        <ns0:v>-599226.1587836933</ns0:v>
      </ns0:c>
    </ns0:row>
    <ns0:row r="2063" ht="24" customHeight="1">
      <ns0:c r="A2063" s="3" t="inlineStr">
        <ns0:is>
          <ns0:t>混在40/30/30</ns0:t>
        </ns0:is>
      </ns0:c>
      <ns0:c r="B2063" s="3" t="inlineStr">
        <ns0:is>
          <ns0:t>G3三段階</ns0:t>
        </ns0:is>
      </ns0:c>
      <ns0:c r="C2063" s="3" t="inlineStr">
        <ns0:is>
          <ns0:t>D</ns0:t>
        </ns0:is>
      </ns0:c>
      <ns0:c r="D2063" s="4" t="n">
        <ns0:v>2</ns0:v>
      </ns0:c>
      <ns0:c r="E2063" s="4" t="n">
        <ns0:v>1000</ns0:v>
      </ns0:c>
      <ns0:c r="F2063" s="6" t="n">
        <ns0:v>0.3</ns0:v>
      </ns0:c>
      <ns0:c r="G2063" s="4" t="n">
        <ns0:v>3</ns0:v>
      </ns0:c>
      <ns0:c r="H2063" s="7" t="n">
        <ns0:v>7143.022052507131</ns0:v>
      </ns0:c>
      <ns0:c r="I2063" s="7" t="n">
        <ns0:v>2818.478667126675</ns0:v>
      </ns0:c>
      <ns0:c r="J2063" s="7" t="n">
        <ns0:v>845.5436001380025</ns0:v>
      </ns0:c>
      <ns0:c r="K2063" s="7" t="n">
        <ns0:v>20</ns0:v>
      </ns0:c>
      <ns0:c r="L2063" s="7" t="n">
        <ns0:v>42</ns0:v>
      </ns0:c>
      <ns0:c r="M2063" s="7" t="n">
        <ns0:v>-19025.805644726</ns0:v>
      </ns0:c>
      <ns0:c r="N2063" s="7" t="n">
        <ns0:v>31487.24169225164</ns0:v>
      </ns0:c>
      <ns0:c r="O2063" s="7" t="n">
        <ns0:v>88819.35923795795</ns0:v>
      </ns0:c>
      <ns0:c r="P2063" s="7" t="n">
        <ns0:v>232149.6531022237</ns0:v>
      </ns0:c>
      <ns0:c r="Q2063" s="7" t="n">
        <ns0:v>763470.8285592867</ns0:v>
      </ns0:c>
      <ns0:c r="R2063" s="7" t="n">
        <ns0:v>2700094.942659008</ns0:v>
      </ns0:c>
    </ns0:row>
    <ns0:row r="2064" ht="24" customHeight="1">
      <ns0:c r="A2064" s="3" t="inlineStr">
        <ns0:is>
          <ns0:t>混在40/30/30</ns0:t>
        </ns0:is>
      </ns0:c>
      <ns0:c r="B2064" s="3" t="inlineStr">
        <ns0:is>
          <ns0:t>G3三段階</ns0:t>
        </ns0:is>
      </ns0:c>
      <ns0:c r="C2064" s="3" t="inlineStr">
        <ns0:is>
          <ns0:t>D</ns0:t>
        </ns0:is>
      </ns0:c>
      <ns0:c r="D2064" s="4" t="n">
        <ns0:v>2</ns0:v>
      </ns0:c>
      <ns0:c r="E2064" s="4" t="n">
        <ns0:v>1000</ns0:v>
      </ns0:c>
      <ns0:c r="F2064" s="6" t="n">
        <ns0:v>0.4</ns0:v>
      </ns0:c>
      <ns0:c r="G2064" s="4" t="n">
        <ns0:v>0</ns0:v>
      </ns0:c>
      <ns0:c r="H2064" s="7" t="n">
        <ns0:v>7143.022052507131</ns0:v>
      </ns0:c>
      <ns0:c r="I2064" s="7" t="n">
        <ns0:v>2818.478667126675</ns0:v>
      </ns0:c>
      <ns0:c r="J2064" s="7" t="n">
        <ns0:v>1127.39146685067</ns0:v>
      </ns0:c>
      <ns0:c r="K2064" s="7" t="n">
        <ns0:v>13</ns0:v>
      </ns0:c>
      <ns0:c r="L2064" s="7" t="n">
        <ns0:v>21</ns0:v>
      </ns0:c>
      <ns0:c r="M2064" s="7" t="n">
        <ns0:v>-12060.57465149589</ns0:v>
      </ns0:c>
      <ns0:c r="N2064" s="7" t="n">
        <ns0:v>52382.93467194197</ns0:v>
      </ns0:c>
      <ns0:c r="O2064" s="7" t="n">
        <ns0:v>123645.5142041085</ns0:v>
      </ns0:c>
      <ns0:c r="P2064" s="7" t="n">
        <ns0:v>301801.9630345247</ns0:v>
      </ns0:c>
      <ns0:c r="Q2064" s="7" t="n">
        <ns0:v>972427.7583561898</ns0:v>
      </ns0:c>
      <ns0:c r="R2064" s="7" t="n">
        <ns0:v>3396618.041982018</ns0:v>
      </ns0:c>
    </ns0:row>
    <ns0:row r="2065" ht="24" customHeight="1">
      <ns0:c r="A2065" s="3" t="inlineStr">
        <ns0:is>
          <ns0:t>混在40/30/30</ns0:t>
        </ns0:is>
      </ns0:c>
      <ns0:c r="B2065" s="3" t="inlineStr">
        <ns0:is>
          <ns0:t>G3三段階</ns0:t>
        </ns0:is>
      </ns0:c>
      <ns0:c r="C2065" s="3" t="inlineStr">
        <ns0:is>
          <ns0:t>D</ns0:t>
        </ns0:is>
      </ns0:c>
      <ns0:c r="D2065" s="4" t="n">
        <ns0:v>2</ns0:v>
      </ns0:c>
      <ns0:c r="E2065" s="4" t="n">
        <ns0:v>1000</ns0:v>
      </ns0:c>
      <ns0:c r="F2065" s="6" t="n">
        <ns0:v>0.4</ns0:v>
      </ns0:c>
      <ns0:c r="G2065" s="4" t="n">
        <ns0:v>1</ns0:v>
      </ns0:c>
      <ns0:c r="H2065" s="7" t="n">
        <ns0:v>7143.022052507131</ns0:v>
      </ns0:c>
      <ns0:c r="I2065" s="7" t="n">
        <ns0:v>2818.478667126675</ns0:v>
      </ns0:c>
      <ns0:c r="J2065" s="7" t="n">
        <ns0:v>1127.39146685067</ns0:v>
      </ns0:c>
      <ns0:c r="K2065" s="7" t="n">
        <ns0:v>16</ns0:v>
      </ns0:c>
      <ns0:c r="L2065" s="7" t="n">
        <ns0:v>25</ns0:v>
      </ns0:c>
      <ns0:c r="M2065" s="7" t="n">
        <ns0:v>-15265.12997770079</ns0:v>
      </ns0:c>
      <ns0:c r="N2065" s="7" t="n">
        <ns0:v>42769.26869332726</ns0:v>
      </ns0:c>
      <ns0:c r="O2065" s="7" t="n">
        <ns0:v>107622.737573084</ns0:v>
      </ns0:c>
      <ns0:c r="P2065" s="7" t="n">
        <ns0:v>269756.4097724757</ns0:v>
      </ns0:c>
      <ns0:c r="Q2065" s="7" t="n">
        <ns0:v>876291.0985700428</ns0:v>
      </ns0:c>
      <ns0:c r="R2065" s="7" t="n">
        <ns0:v>3076162.509361527</ns0:v>
      </ns0:c>
    </ns0:row>
    <ns0:row r="2066" ht="24" customHeight="1">
      <ns0:c r="A2066" s="3" t="inlineStr">
        <ns0:is>
          <ns0:t>混在40/30/30</ns0:t>
        </ns0:is>
      </ns0:c>
      <ns0:c r="B2066" s="3" t="inlineStr">
        <ns0:is>
          <ns0:t>G3三段階</ns0:t>
        </ns0:is>
      </ns0:c>
      <ns0:c r="C2066" s="3" t="inlineStr">
        <ns0:is>
          <ns0:t>D</ns0:t>
        </ns0:is>
      </ns0:c>
      <ns0:c r="D2066" s="4" t="n">
        <ns0:v>2</ns0:v>
      </ns0:c>
      <ns0:c r="E2066" s="4" t="n">
        <ns0:v>1000</ns0:v>
      </ns0:c>
      <ns0:c r="F2066" s="6" t="n">
        <ns0:v>0.4</ns0:v>
      </ns0:c>
      <ns0:c r="G2066" s="4" t="n">
        <ns0:v>2</ns0:v>
      </ns0:c>
      <ns0:c r="H2066" s="7" t="n">
        <ns0:v>7143.022052507131</ns0:v>
      </ns0:c>
      <ns0:c r="I2066" s="7" t="n">
        <ns0:v>2818.478667126675</ns0:v>
      </ns0:c>
      <ns0:c r="J2066" s="7" t="n">
        <ns0:v>1127.39146685067</ns0:v>
      </ns0:c>
      <ns0:c r="K2066" s="18" t="inlineStr">
        <ns0:is>
          <ns0:t>範囲内なし</ns0:t>
        </ns0:is>
      </ns0:c>
      <ns0:c r="L2066" s="18" t="inlineStr">
        <ns0:is>
          <ns0:t>範囲内なし</ns0:t>
        </ns0:is>
      </ns0:c>
      <ns0:c r="M2066" s="7" t="n">
        <ns0:v>-54837.49532627968</ns0:v>
      </ns0:c>
      <ns0:c r="N2066" s="7" t="n">
        <ns0:v>-75947.82735240941</ns0:v>
      </ns0:c>
      <ns0:c r="O2066" s="7" t="n">
        <ns0:v>-90239.08916981047</ns0:v>
      </ns0:c>
      <ns0:c r="P2066" s="7" t="n">
        <ns0:v>-125967.2437133131</ns0:v>
      </ns0:c>
      <ns0:c r="Q2066" s="7" t="n">
        <ns0:v>-310879.8618873237</ns0:v>
      </ns0:c>
      <ns0:c r="R2066" s="7" t="n">
        <ns0:v>-881074.0254963613</ns0:v>
      </ns0:c>
    </ns0:row>
    <ns0:row r="2067" ht="24" customHeight="1">
      <ns0:c r="A2067" s="3" t="inlineStr">
        <ns0:is>
          <ns0:t>混在40/30/30</ns0:t>
        </ns0:is>
      </ns0:c>
      <ns0:c r="B2067" s="3" t="inlineStr">
        <ns0:is>
          <ns0:t>G3三段階</ns0:t>
        </ns0:is>
      </ns0:c>
      <ns0:c r="C2067" s="3" t="inlineStr">
        <ns0:is>
          <ns0:t>D</ns0:t>
        </ns0:is>
      </ns0:c>
      <ns0:c r="D2067" s="4" t="n">
        <ns0:v>2</ns0:v>
      </ns0:c>
      <ns0:c r="E2067" s="4" t="n">
        <ns0:v>1000</ns0:v>
      </ns0:c>
      <ns0:c r="F2067" s="6" t="n">
        <ns0:v>0.4</ns0:v>
      </ns0:c>
      <ns0:c r="G2067" s="4" t="n">
        <ns0:v>3</ns0:v>
      </ns0:c>
      <ns0:c r="H2067" s="7" t="n">
        <ns0:v>7143.022052507131</ns0:v>
      </ns0:c>
      <ns0:c r="I2067" s="7" t="n">
        <ns0:v>2818.478667126675</ns0:v>
      </ns0:c>
      <ns0:c r="J2067" s="7" t="n">
        <ns0:v>1127.39146685067</ns0:v>
      </ns0:c>
      <ns0:c r="K2067" s="7" t="n">
        <ns0:v>22</ns0:v>
      </ns0:c>
      <ns0:c r="L2067" s="7" t="n">
        <ns0:v>47</ns0:v>
      </ns0:c>
      <ns0:c r="M2067" s="7" t="n">
        <ns0:v>-21844.28431185267</ns0:v>
      </ns0:c>
      <ns0:c r="N2067" s="7" t="n">
        <ns0:v>23031.80569087163</ns0:v>
      </ns0:c>
      <ns0:c r="O2067" s="7" t="n">
        <ns0:v>74726.96590232456</ns0:v>
      </ns0:c>
      <ns0:c r="P2067" s="7" t="n">
        <ns0:v>203964.8664309569</ns0:v>
      </ns0:c>
      <ns0:c r="Q2067" s="7" t="n">
        <ns0:v>678916.4685454865</ns0:v>
      </ns0:c>
      <ns0:c r="R2067" s="7" t="n">
        <ns0:v>2418247.07594634</ns0:v>
      </ns0:c>
    </ns0:row>
    <ns0:row r="2068" ht="24" customHeight="1">
      <ns0:c r="A2068" s="3" t="inlineStr">
        <ns0:is>
          <ns0:t>混在40/30/30</ns0:t>
        </ns0:is>
      </ns0:c>
      <ns0:c r="B2068" s="3" t="inlineStr">
        <ns0:is>
          <ns0:t>G3三段階</ns0:t>
        </ns0:is>
      </ns0:c>
      <ns0:c r="C2068" s="3" t="inlineStr">
        <ns0:is>
          <ns0:t>D</ns0:t>
        </ns0:is>
      </ns0:c>
      <ns0:c r="D2068" s="4" t="n">
        <ns0:v>2</ns0:v>
      </ns0:c>
      <ns0:c r="E2068" s="4" t="n">
        <ns0:v>1000</ns0:v>
      </ns0:c>
      <ns0:c r="F2068" s="6" t="n">
        <ns0:v>0.5</ns0:v>
      </ns0:c>
      <ns0:c r="G2068" s="4" t="n">
        <ns0:v>0</ns0:v>
      </ns0:c>
      <ns0:c r="H2068" s="7" t="n">
        <ns0:v>7143.022052507131</ns0:v>
      </ns0:c>
      <ns0:c r="I2068" s="7" t="n">
        <ns0:v>2818.478667126675</ns0:v>
      </ns0:c>
      <ns0:c r="J2068" s="7" t="n">
        <ns0:v>1409.239333563338</ns0:v>
      </ns0:c>
      <ns0:c r="K2068" s="7" t="n">
        <ns0:v>16</ns0:v>
      </ns0:c>
      <ns0:c r="L2068" s="7" t="n">
        <ns0:v>22</ns0:v>
      </ns0:c>
      <ns0:c r="M2068" s="7" t="n">
        <ns0:v>-14879.05331862257</ns0:v>
      </ns0:c>
      <ns0:c r="N2068" s="7" t="n">
        <ns0:v>43927.49867056194</ns0:v>
      </ns0:c>
      <ns0:c r="O2068" s="7" t="n">
        <ns0:v>109553.1208684751</ns0:v>
      </ns0:c>
      <ns0:c r="P2068" s="7" t="n">
        <ns0:v>273617.1763632579</ns0:v>
      </ns0:c>
      <ns0:c r="Q2068" s="7" t="n">
        <ns0:v>887873.3983423896</ns0:v>
      </ns0:c>
      <ns0:c r="R2068" s="7" t="n">
        <ns0:v>3114770.17526935</ns0:v>
      </ns0:c>
    </ns0:row>
    <ns0:row r="2069" ht="24" customHeight="1">
      <ns0:c r="A2069" s="3" t="inlineStr">
        <ns0:is>
          <ns0:t>混在40/30/30</ns0:t>
        </ns0:is>
      </ns0:c>
      <ns0:c r="B2069" s="3" t="inlineStr">
        <ns0:is>
          <ns0:t>G3三段階</ns0:t>
        </ns0:is>
      </ns0:c>
      <ns0:c r="C2069" s="3" t="inlineStr">
        <ns0:is>
          <ns0:t>D</ns0:t>
        </ns0:is>
      </ns0:c>
      <ns0:c r="D2069" s="4" t="n">
        <ns0:v>2</ns0:v>
      </ns0:c>
      <ns0:c r="E2069" s="4" t="n">
        <ns0:v>1000</ns0:v>
      </ns0:c>
      <ns0:c r="F2069" s="6" t="n">
        <ns0:v>0.5</ns0:v>
      </ns0:c>
      <ns0:c r="G2069" s="4" t="n">
        <ns0:v>1</ns0:v>
      </ns0:c>
      <ns0:c r="H2069" s="7" t="n">
        <ns0:v>7143.022052507131</ns0:v>
      </ns0:c>
      <ns0:c r="I2069" s="7" t="n">
        <ns0:v>2818.478667126675</ns0:v>
      </ns0:c>
      <ns0:c r="J2069" s="7" t="n">
        <ns0:v>1409.239333563338</ns0:v>
      </ns0:c>
      <ns0:c r="K2069" s="7" t="n">
        <ns0:v>19</ns0:v>
      </ns0:c>
      <ns0:c r="L2069" s="7" t="n">
        <ns0:v>27</ns0:v>
      </ns0:c>
      <ns0:c r="M2069" s="7" t="n">
        <ns0:v>-18083.60864482748</ns0:v>
      </ns0:c>
      <ns0:c r="N2069" s="7" t="n">
        <ns0:v>34313.83269194722</ns0:v>
      </ns0:c>
      <ns0:c r="O2069" s="7" t="n">
        <ns0:v>93530.34423745057</ns0:v>
      </ns0:c>
      <ns0:c r="P2069" s="7" t="n">
        <ns0:v>241571.6231012089</ns0:v>
      </ns0:c>
      <ns0:c r="Q2069" s="7" t="n">
        <ns0:v>791736.7385562425</ns0:v>
      </ns0:c>
      <ns0:c r="R2069" s="7" t="n">
        <ns0:v>2794314.642648859</ns0:v>
      </ns0:c>
    </ns0:row>
    <ns0:row r="2070" ht="24" customHeight="1">
      <ns0:c r="A2070" s="3" t="inlineStr">
        <ns0:is>
          <ns0:t>混在40/30/30</ns0:t>
        </ns0:is>
      </ns0:c>
      <ns0:c r="B2070" s="3" t="inlineStr">
        <ns0:is>
          <ns0:t>G3三段階</ns0:t>
        </ns0:is>
      </ns0:c>
      <ns0:c r="C2070" s="3" t="inlineStr">
        <ns0:is>
          <ns0:t>D</ns0:t>
        </ns0:is>
      </ns0:c>
      <ns0:c r="D2070" s="4" t="n">
        <ns0:v>2</ns0:v>
      </ns0:c>
      <ns0:c r="E2070" s="4" t="n">
        <ns0:v>1000</ns0:v>
      </ns0:c>
      <ns0:c r="F2070" s="6" t="n">
        <ns0:v>0.5</ns0:v>
      </ns0:c>
      <ns0:c r="G2070" s="4" t="n">
        <ns0:v>2</ns0:v>
      </ns0:c>
      <ns0:c r="H2070" s="7" t="n">
        <ns0:v>7143.022052507131</ns0:v>
      </ns0:c>
      <ns0:c r="I2070" s="7" t="n">
        <ns0:v>2818.478667126675</ns0:v>
      </ns0:c>
      <ns0:c r="J2070" s="7" t="n">
        <ns0:v>1409.239333563338</ns0:v>
      </ns0:c>
      <ns0:c r="K2070" s="18" t="inlineStr">
        <ns0:is>
          <ns0:t>範囲内なし</ns0:t>
        </ns0:is>
      </ns0:c>
      <ns0:c r="L2070" s="18" t="inlineStr">
        <ns0:is>
          <ns0:t>範囲内なし</ns0:t>
        </ns0:is>
      </ns0:c>
      <ns0:c r="M2070" s="7" t="n">
        <ns0:v>-57655.97399340635</ns0:v>
      </ns0:c>
      <ns0:c r="N2070" s="7" t="n">
        <ns0:v>-84403.26335378944</ns0:v>
      </ns0:c>
      <ns0:c r="O2070" s="7" t="n">
        <ns0:v>-104331.4825054439</ns0:v>
      </ns0:c>
      <ns0:c r="P2070" s="7" t="n">
        <ns0:v>-154152.0303845799</ns0:v>
      </ns0:c>
      <ns0:c r="Q2070" s="7" t="n">
        <ns0:v>-395434.2219011239</ns0:v>
      </ns0:c>
      <ns0:c r="R2070" s="7" t="n">
        <ns0:v>-1162921.892209029</ns0:v>
      </ns0:c>
    </ns0:row>
    <ns0:row r="2071" ht="24" customHeight="1">
      <ns0:c r="A2071" s="3" t="inlineStr">
        <ns0:is>
          <ns0:t>混在40/30/30</ns0:t>
        </ns0:is>
      </ns0:c>
      <ns0:c r="B2071" s="3" t="inlineStr">
        <ns0:is>
          <ns0:t>G3三段階</ns0:t>
        </ns0:is>
      </ns0:c>
      <ns0:c r="C2071" s="3" t="inlineStr">
        <ns0:is>
          <ns0:t>D</ns0:t>
        </ns0:is>
      </ns0:c>
      <ns0:c r="D2071" s="4" t="n">
        <ns0:v>2</ns0:v>
      </ns0:c>
      <ns0:c r="E2071" s="4" t="n">
        <ns0:v>1000</ns0:v>
      </ns0:c>
      <ns0:c r="F2071" s="6" t="n">
        <ns0:v>0.5</ns0:v>
      </ns0:c>
      <ns0:c r="G2071" s="4" t="n">
        <ns0:v>3</ns0:v>
      </ns0:c>
      <ns0:c r="H2071" s="7" t="n">
        <ns0:v>7143.022052507131</ns0:v>
      </ns0:c>
      <ns0:c r="I2071" s="7" t="n">
        <ns0:v>2818.478667126675</ns0:v>
      </ns0:c>
      <ns0:c r="J2071" s="7" t="n">
        <ns0:v>1409.239333563338</ns0:v>
      </ns0:c>
      <ns0:c r="K2071" s="7" t="n">
        <ns0:v>24</ns0:v>
      </ns0:c>
      <ns0:c r="L2071" s="7" t="n">
        <ns0:v>54</ns0:v>
      </ns0:c>
      <ns0:c r="M2071" s="7" t="n">
        <ns0:v>-24662.76297897935</ns0:v>
      </ns0:c>
      <ns0:c r="N2071" s="7" t="n">
        <ns0:v>14576.3696894916</ns0:v>
      </ns0:c>
      <ns0:c r="O2071" s="7" t="n">
        <ns0:v>60634.57256669118</ns0:v>
      </ns0:c>
      <ns0:c r="P2071" s="7" t="n">
        <ns0:v>175780.0797596902</ns0:v>
      </ns0:c>
      <ns0:c r="Q2071" s="7" t="n">
        <ns0:v>594362.1085316862</ns0:v>
      </ns0:c>
      <ns0:c r="R2071" s="7" t="n">
        <ns0:v>2136399.209233672</ns0:v>
      </ns0:c>
    </ns0:row>
    <ns0:row r="2072" ht="24" customHeight="1">
      <ns0:c r="A2072" s="3" t="inlineStr">
        <ns0:is>
          <ns0:t>混在40/30/30</ns0:t>
        </ns0:is>
      </ns0:c>
      <ns0:c r="B2072" s="3" t="inlineStr">
        <ns0:is>
          <ns0:t>G3三段階</ns0:t>
        </ns0:is>
      </ns0:c>
      <ns0:c r="C2072" s="3" t="inlineStr">
        <ns0:is>
          <ns0:t>D</ns0:t>
        </ns0:is>
      </ns0:c>
      <ns0:c r="D2072" s="4" t="n">
        <ns0:v>2</ns0:v>
      </ns0:c>
      <ns0:c r="E2072" s="4" t="n">
        <ns0:v>1500</ns0:v>
      </ns0:c>
      <ns0:c r="F2072" s="6" t="n">
        <ns0:v>0.3</ns0:v>
      </ns0:c>
      <ns0:c r="G2072" s="4" t="n">
        <ns0:v>0</ns0:v>
      </ns0:c>
      <ns0:c r="H2072" s="7" t="n">
        <ns0:v>6993.022052507131</ns0:v>
      </ns0:c>
      <ns0:c r="I2072" s="7" t="n">
        <ns0:v>2668.478667126675</ns0:v>
      </ns0:c>
      <ns0:c r="J2072" s="7" t="n">
        <ns0:v>800.5436001380024</ns0:v>
      </ns0:c>
      <ns0:c r="K2072" s="7" t="n">
        <ns0:v>12</ns0:v>
      </ns0:c>
      <ns0:c r="L2072" s="7" t="n">
        <ns0:v>20</ns0:v>
      </ns0:c>
      <ns0:c r="M2072" s="7" t="n">
        <ns0:v>-10238.09598436922</ns0:v>
      </ns0:c>
      <ns0:c r="N2072" s="7" t="n">
        <ns0:v>57850.37067332199</ns0:v>
      </ns0:c>
      <ns0:c r="O2072" s="7" t="n">
        <ns0:v>132757.9075397419</ns0:v>
      </ns0:c>
      <ns0:c r="P2072" s="7" t="n">
        <ns0:v>320026.7497057916</ns0:v>
      </ns0:c>
      <ns0:c r="Q2072" s="7" t="n">
        <ns0:v>1027102.11836999</ns0:v>
      </ns0:c>
      <ns0:c r="R2072" s="7" t="n">
        <ns0:v>3578865.908694686</ns0:v>
      </ns0:c>
    </ns0:row>
    <ns0:row r="2073" ht="24" customHeight="1">
      <ns0:c r="A2073" s="3" t="inlineStr">
        <ns0:is>
          <ns0:t>混在40/30/30</ns0:t>
        </ns0:is>
      </ns0:c>
      <ns0:c r="B2073" s="3" t="inlineStr">
        <ns0:is>
          <ns0:t>G3三段階</ns0:t>
        </ns0:is>
      </ns0:c>
      <ns0:c r="C2073" s="3" t="inlineStr">
        <ns0:is>
          <ns0:t>D</ns0:t>
        </ns0:is>
      </ns0:c>
      <ns0:c r="D2073" s="4" t="n">
        <ns0:v>2</ns0:v>
      </ns0:c>
      <ns0:c r="E2073" s="4" t="n">
        <ns0:v>1500</ns0:v>
      </ns0:c>
      <ns0:c r="F2073" s="6" t="n">
        <ns0:v>0.3</ns0:v>
      </ns0:c>
      <ns0:c r="G2073" s="4" t="n">
        <ns0:v>1</ns0:v>
      </ns0:c>
      <ns0:c r="H2073" s="7" t="n">
        <ns0:v>6993.022052507131</ns0:v>
      </ns0:c>
      <ns0:c r="I2073" s="7" t="n">
        <ns0:v>2668.478667126675</ns0:v>
      </ns0:c>
      <ns0:c r="J2073" s="7" t="n">
        <ns0:v>800.5436001380024</ns0:v>
      </ns0:c>
      <ns0:c r="K2073" s="7" t="n">
        <ns0:v>13</ns0:v>
      </ns0:c>
      <ns0:c r="L2073" s="7" t="n">
        <ns0:v>24</ns0:v>
      </ns0:c>
      <ns0:c r="M2073" s="7" t="n">
        <ns0:v>-13442.65131057412</ns0:v>
      </ns0:c>
      <ns0:c r="N2073" s="7" t="n">
        <ns0:v>48236.70469470727</ns0:v>
      </ns0:c>
      <ns0:c r="O2073" s="7" t="n">
        <ns0:v>116735.1309087174</ns0:v>
      </ns0:c>
      <ns0:c r="P2073" s="7" t="n">
        <ns0:v>287981.1964437425</ns0:v>
      </ns0:c>
      <ns0:c r="Q2073" s="7" t="n">
        <ns0:v>930965.4585838428</ns0:v>
      </ns0:c>
      <ns0:c r="R2073" s="7" t="n">
        <ns0:v>3258410.376074196</ns0:v>
      </ns0:c>
    </ns0:row>
    <ns0:row r="2074" ht="24" customHeight="1">
      <ns0:c r="A2074" s="3" t="inlineStr">
        <ns0:is>
          <ns0:t>混在40/30/30</ns0:t>
        </ns0:is>
      </ns0:c>
      <ns0:c r="B2074" s="3" t="inlineStr">
        <ns0:is>
          <ns0:t>G3三段階</ns0:t>
        </ns0:is>
      </ns0:c>
      <ns0:c r="C2074" s="3" t="inlineStr">
        <ns0:is>
          <ns0:t>D</ns0:t>
        </ns0:is>
      </ns0:c>
      <ns0:c r="D2074" s="4" t="n">
        <ns0:v>2</ns0:v>
      </ns0:c>
      <ns0:c r="E2074" s="4" t="n">
        <ns0:v>1500</ns0:v>
      </ns0:c>
      <ns0:c r="F2074" s="6" t="n">
        <ns0:v>0.3</ns0:v>
      </ns0:c>
      <ns0:c r="G2074" s="4" t="n">
        <ns0:v>2</ns0:v>
      </ns0:c>
      <ns0:c r="H2074" s="7" t="n">
        <ns0:v>6993.022052507131</ns0:v>
      </ns0:c>
      <ns0:c r="I2074" s="7" t="n">
        <ns0:v>2668.478667126675</ns0:v>
      </ns0:c>
      <ns0:c r="J2074" s="7" t="n">
        <ns0:v>800.5436001380024</ns0:v>
      </ns0:c>
      <ns0:c r="K2074" s="18" t="inlineStr">
        <ns0:is>
          <ns0:t>範囲内なし</ns0:t>
        </ns0:is>
      </ns0:c>
      <ns0:c r="L2074" s="18" t="inlineStr">
        <ns0:is>
          <ns0:t>範囲内なし</ns0:t>
        </ns0:is>
      </ns0:c>
      <ns0:c r="M2074" s="7" t="n">
        <ns0:v>-53015.01665915301</ns0:v>
      </ns0:c>
      <ns0:c r="N2074" s="7" t="n">
        <ns0:v>-70480.39135102938</ns0:v>
      </ns0:c>
      <ns0:c r="O2074" s="7" t="n">
        <ns0:v>-81126.69583417705</ns0:v>
      </ns0:c>
      <ns0:c r="P2074" s="7" t="n">
        <ns0:v>-107742.4570420463</ns0:v>
      </ns0:c>
      <ns0:c r="Q2074" s="7" t="n">
        <ns0:v>-256205.5018735236</ns0:v>
      </ns0:c>
      <ns0:c r="R2074" s="7" t="n">
        <ns0:v>-698826.1587836929</ns0:v>
      </ns0:c>
    </ns0:row>
    <ns0:row r="2075" ht="24" customHeight="1">
      <ns0:c r="A2075" s="3" t="inlineStr">
        <ns0:is>
          <ns0:t>混在40/30/30</ns0:t>
        </ns0:is>
      </ns0:c>
      <ns0:c r="B2075" s="3" t="inlineStr">
        <ns0:is>
          <ns0:t>G3三段階</ns0:t>
        </ns0:is>
      </ns0:c>
      <ns0:c r="C2075" s="3" t="inlineStr">
        <ns0:is>
          <ns0:t>D</ns0:t>
        </ns0:is>
      </ns0:c>
      <ns0:c r="D2075" s="4" t="n">
        <ns0:v>2</ns0:v>
      </ns0:c>
      <ns0:c r="E2075" s="4" t="n">
        <ns0:v>1500</ns0:v>
      </ns0:c>
      <ns0:c r="F2075" s="6" t="n">
        <ns0:v>0.3</ns0:v>
      </ns0:c>
      <ns0:c r="G2075" s="4" t="n">
        <ns0:v>3</ns0:v>
      </ns0:c>
      <ns0:c r="H2075" s="7" t="n">
        <ns0:v>6993.022052507131</ns0:v>
      </ns0:c>
      <ns0:c r="I2075" s="7" t="n">
        <ns0:v>2668.478667126675</ns0:v>
      </ns0:c>
      <ns0:c r="J2075" s="7" t="n">
        <ns0:v>800.5436001380024</ns0:v>
      </ns0:c>
      <ns0:c r="K2075" s="7" t="n">
        <ns0:v>20</ns0:v>
      </ns0:c>
      <ns0:c r="L2075" s="7" t="n">
        <ns0:v>43</ns0:v>
      </ns0:c>
      <ns0:c r="M2075" s="7" t="n">
        <ns0:v>-20021.805644726</ns0:v>
      </ns0:c>
      <ns0:c r="N2075" s="7" t="n">
        <ns0:v>28499.24169225165</ns0:v>
      </ns0:c>
      <ns0:c r="O2075" s="7" t="n">
        <ns0:v>83839.35923795798</ns0:v>
      </ns0:c>
      <ns0:c r="P2075" s="7" t="n">
        <ns0:v>222189.6531022238</ns0:v>
      </ns0:c>
      <ns0:c r="Q2075" s="7" t="n">
        <ns0:v>733590.8285592865</ns0:v>
      </ns0:c>
      <ns0:c r="R2075" s="7" t="n">
        <ns0:v>2600494.942659008</ns0:v>
      </ns0:c>
    </ns0:row>
    <ns0:row r="2076" ht="24" customHeight="1">
      <ns0:c r="A2076" s="3" t="inlineStr">
        <ns0:is>
          <ns0:t>混在40/30/30</ns0:t>
        </ns0:is>
      </ns0:c>
      <ns0:c r="B2076" s="3" t="inlineStr">
        <ns0:is>
          <ns0:t>G3三段階</ns0:t>
        </ns0:is>
      </ns0:c>
      <ns0:c r="C2076" s="3" t="inlineStr">
        <ns0:is>
          <ns0:t>D</ns0:t>
        </ns0:is>
      </ns0:c>
      <ns0:c r="D2076" s="4" t="n">
        <ns0:v>2</ns0:v>
      </ns0:c>
      <ns0:c r="E2076" s="4" t="n">
        <ns0:v>1500</ns0:v>
      </ns0:c>
      <ns0:c r="F2076" s="6" t="n">
        <ns0:v>0.4</ns0:v>
      </ns0:c>
      <ns0:c r="G2076" s="4" t="n">
        <ns0:v>0</ns0:v>
      </ns0:c>
      <ns0:c r="H2076" s="7" t="n">
        <ns0:v>6993.022052507131</ns0:v>
      </ns0:c>
      <ns0:c r="I2076" s="7" t="n">
        <ns0:v>2668.478667126675</ns0:v>
      </ns0:c>
      <ns0:c r="J2076" s="7" t="n">
        <ns0:v>1067.39146685067</ns0:v>
      </ns0:c>
      <ns0:c r="K2076" s="7" t="n">
        <ns0:v>13</ns0:v>
      </ns0:c>
      <ns0:c r="L2076" s="7" t="n">
        <ns0:v>21</ns0:v>
      </ns0:c>
      <ns0:c r="M2076" s="7" t="n">
        <ns0:v>-12906.5746514959</ns0:v>
      </ns0:c>
      <ns0:c r="N2076" s="7" t="n">
        <ns0:v>49844.93467194196</ns0:v>
      </ns0:c>
      <ns0:c r="O2076" s="7" t="n">
        <ns0:v>119415.5142041085</ns0:v>
      </ns0:c>
      <ns0:c r="P2076" s="7" t="n">
        <ns0:v>293341.9630345247</ns0:v>
      </ns0:c>
      <ns0:c r="Q2076" s="7" t="n">
        <ns0:v>947047.7583561898</ns0:v>
      </ns0:c>
      <ns0:c r="R2076" s="7" t="n">
        <ns0:v>3312018.041982018</ns0:v>
      </ns0:c>
    </ns0:row>
    <ns0:row r="2077" ht="24" customHeight="1">
      <ns0:c r="A2077" s="3" t="inlineStr">
        <ns0:is>
          <ns0:t>混在40/30/30</ns0:t>
        </ns0:is>
      </ns0:c>
      <ns0:c r="B2077" s="3" t="inlineStr">
        <ns0:is>
          <ns0:t>G3三段階</ns0:t>
        </ns0:is>
      </ns0:c>
      <ns0:c r="C2077" s="3" t="inlineStr">
        <ns0:is>
          <ns0:t>D</ns0:t>
        </ns0:is>
      </ns0:c>
      <ns0:c r="D2077" s="4" t="n">
        <ns0:v>2</ns0:v>
      </ns0:c>
      <ns0:c r="E2077" s="4" t="n">
        <ns0:v>1500</ns0:v>
      </ns0:c>
      <ns0:c r="F2077" s="6" t="n">
        <ns0:v>0.4</ns0:v>
      </ns0:c>
      <ns0:c r="G2077" s="4" t="n">
        <ns0:v>1</ns0:v>
      </ns0:c>
      <ns0:c r="H2077" s="7" t="n">
        <ns0:v>6993.022052507131</ns0:v>
      </ns0:c>
      <ns0:c r="I2077" s="7" t="n">
        <ns0:v>2668.478667126675</ns0:v>
      </ns0:c>
      <ns0:c r="J2077" s="7" t="n">
        <ns0:v>1067.39146685067</ns0:v>
      </ns0:c>
      <ns0:c r="K2077" s="7" t="n">
        <ns0:v>18</ns0:v>
      </ns0:c>
      <ns0:c r="L2077" s="7" t="n">
        <ns0:v>26</ns0:v>
      </ns0:c>
      <ns0:c r="M2077" s="7" t="n">
        <ns0:v>-16111.1299777008</ns0:v>
      </ns0:c>
      <ns0:c r="N2077" s="7" t="n">
        <ns0:v>40231.26869332725</ns0:v>
      </ns0:c>
      <ns0:c r="O2077" s="7" t="n">
        <ns0:v>103392.737573084</ns0:v>
      </ns0:c>
      <ns0:c r="P2077" s="7" t="n">
        <ns0:v>261296.4097724757</ns0:v>
      </ns0:c>
      <ns0:c r="Q2077" s="7" t="n">
        <ns0:v>850911.0985700428</ns0:v>
      </ns0:c>
      <ns0:c r="R2077" s="7" t="n">
        <ns0:v>2991562.509361528</ns0:v>
      </ns0:c>
    </ns0:row>
    <ns0:row r="2078" ht="24" customHeight="1">
      <ns0:c r="A2078" s="3" t="inlineStr">
        <ns0:is>
          <ns0:t>混在40/30/30</ns0:t>
        </ns0:is>
      </ns0:c>
      <ns0:c r="B2078" s="3" t="inlineStr">
        <ns0:is>
          <ns0:t>G3三段階</ns0:t>
        </ns0:is>
      </ns0:c>
      <ns0:c r="C2078" s="3" t="inlineStr">
        <ns0:is>
          <ns0:t>D</ns0:t>
        </ns0:is>
      </ns0:c>
      <ns0:c r="D2078" s="4" t="n">
        <ns0:v>2</ns0:v>
      </ns0:c>
      <ns0:c r="E2078" s="4" t="n">
        <ns0:v>1500</ns0:v>
      </ns0:c>
      <ns0:c r="F2078" s="6" t="n">
        <ns0:v>0.4</ns0:v>
      </ns0:c>
      <ns0:c r="G2078" s="4" t="n">
        <ns0:v>2</ns0:v>
      </ns0:c>
      <ns0:c r="H2078" s="7" t="n">
        <ns0:v>6993.022052507131</ns0:v>
      </ns0:c>
      <ns0:c r="I2078" s="7" t="n">
        <ns0:v>2668.478667126675</ns0:v>
      </ns0:c>
      <ns0:c r="J2078" s="7" t="n">
        <ns0:v>1067.39146685067</ns0:v>
      </ns0:c>
      <ns0:c r="K2078" s="18" t="inlineStr">
        <ns0:is>
          <ns0:t>範囲内なし</ns0:t>
        </ns0:is>
      </ns0:c>
      <ns0:c r="L2078" s="18" t="inlineStr">
        <ns0:is>
          <ns0:t>範囲内なし</ns0:t>
        </ns0:is>
      </ns0:c>
      <ns0:c r="M2078" s="7" t="n">
        <ns0:v>-55683.49532627969</ns0:v>
      </ns0:c>
      <ns0:c r="N2078" s="7" t="n">
        <ns0:v>-78485.8273524094</ns0:v>
      </ns0:c>
      <ns0:c r="O2078" s="7" t="n">
        <ns0:v>-94469.08916981047</ns0:v>
      </ns0:c>
      <ns0:c r="P2078" s="7" t="n">
        <ns0:v>-134427.2437133131</ns0:v>
      </ns0:c>
      <ns0:c r="Q2078" s="7" t="n">
        <ns0:v>-336259.8618873237</ns0:v>
      </ns0:c>
      <ns0:c r="R2078" s="7" t="n">
        <ns0:v>-965674.0254963604</ns0:v>
      </ns0:c>
    </ns0:row>
    <ns0:row r="2079" ht="24" customHeight="1">
      <ns0:c r="A2079" s="3" t="inlineStr">
        <ns0:is>
          <ns0:t>混在40/30/30</ns0:t>
        </ns0:is>
      </ns0:c>
      <ns0:c r="B2079" s="3" t="inlineStr">
        <ns0:is>
          <ns0:t>G3三段階</ns0:t>
        </ns0:is>
      </ns0:c>
      <ns0:c r="C2079" s="3" t="inlineStr">
        <ns0:is>
          <ns0:t>D</ns0:t>
        </ns0:is>
      </ns0:c>
      <ns0:c r="D2079" s="4" t="n">
        <ns0:v>2</ns0:v>
      </ns0:c>
      <ns0:c r="E2079" s="4" t="n">
        <ns0:v>1500</ns0:v>
      </ns0:c>
      <ns0:c r="F2079" s="6" t="n">
        <ns0:v>0.4</ns0:v>
      </ns0:c>
      <ns0:c r="G2079" s="4" t="n">
        <ns0:v>3</ns0:v>
      </ns0:c>
      <ns0:c r="H2079" s="7" t="n">
        <ns0:v>6993.022052507131</ns0:v>
      </ns0:c>
      <ns0:c r="I2079" s="7" t="n">
        <ns0:v>2668.478667126675</ns0:v>
      </ns0:c>
      <ns0:c r="J2079" s="7" t="n">
        <ns0:v>1067.39146685067</ns0:v>
      </ns0:c>
      <ns0:c r="K2079" s="7" t="n">
        <ns0:v>22</ns0:v>
      </ns0:c>
      <ns0:c r="L2079" s="7" t="n">
        <ns0:v>49</ns0:v>
      </ns0:c>
      <ns0:c r="M2079" s="7" t="n">
        <ns0:v>-22690.28431185268</ns0:v>
      </ns0:c>
      <ns0:c r="N2079" s="7" t="n">
        <ns0:v>20493.80569087162</ns0:v>
      </ns0:c>
      <ns0:c r="O2079" s="7" t="n">
        <ns0:v>70496.96590232456</ns0:v>
      </ns0:c>
      <ns0:c r="P2079" s="7" t="n">
        <ns0:v>195504.8664309569</ns0:v>
      </ns0:c>
      <ns0:c r="Q2079" s="7" t="n">
        <ns0:v>653536.4685454865</ns0:v>
      </ns0:c>
      <ns0:c r="R2079" s="7" t="n">
        <ns0:v>2333647.07594634</ns0:v>
      </ns0:c>
    </ns0:row>
    <ns0:row r="2080" ht="24" customHeight="1">
      <ns0:c r="A2080" s="3" t="inlineStr">
        <ns0:is>
          <ns0:t>混在40/30/30</ns0:t>
        </ns0:is>
      </ns0:c>
      <ns0:c r="B2080" s="3" t="inlineStr">
        <ns0:is>
          <ns0:t>G3三段階</ns0:t>
        </ns0:is>
      </ns0:c>
      <ns0:c r="C2080" s="3" t="inlineStr">
        <ns0:is>
          <ns0:t>D</ns0:t>
        </ns0:is>
      </ns0:c>
      <ns0:c r="D2080" s="4" t="n">
        <ns0:v>2</ns0:v>
      </ns0:c>
      <ns0:c r="E2080" s="4" t="n">
        <ns0:v>1500</ns0:v>
      </ns0:c>
      <ns0:c r="F2080" s="6" t="n">
        <ns0:v>0.5</ns0:v>
      </ns0:c>
      <ns0:c r="G2080" s="4" t="n">
        <ns0:v>0</ns0:v>
      </ns0:c>
      <ns0:c r="H2080" s="7" t="n">
        <ns0:v>6993.022052507131</ns0:v>
      </ns0:c>
      <ns0:c r="I2080" s="7" t="n">
        <ns0:v>2668.478667126675</ns0:v>
      </ns0:c>
      <ns0:c r="J2080" s="7" t="n">
        <ns0:v>1334.239333563337</ns0:v>
      </ns0:c>
      <ns0:c r="K2080" s="7" t="n">
        <ns0:v>16</ns0:v>
      </ns0:c>
      <ns0:c r="L2080" s="7" t="n">
        <ns0:v>22</ns0:v>
      </ns0:c>
      <ns0:c r="M2080" s="7" t="n">
        <ns0:v>-15575.05331862257</ns0:v>
      </ns0:c>
      <ns0:c r="N2080" s="7" t="n">
        <ns0:v>41839.49867056194</ns0:v>
      </ns0:c>
      <ns0:c r="O2080" s="7" t="n">
        <ns0:v>106073.1208684751</ns0:v>
      </ns0:c>
      <ns0:c r="P2080" s="7" t="n">
        <ns0:v>266657.176363258</ns0:v>
      </ns0:c>
      <ns0:c r="Q2080" s="7" t="n">
        <ns0:v>866993.3983423896</ns0:v>
      </ns0:c>
      <ns0:c r="R2080" s="7" t="n">
        <ns0:v>3045170.175269351</ns0:v>
      </ns0:c>
    </ns0:row>
    <ns0:row r="2081" ht="24" customHeight="1">
      <ns0:c r="A2081" s="3" t="inlineStr">
        <ns0:is>
          <ns0:t>混在40/30/30</ns0:t>
        </ns0:is>
      </ns0:c>
      <ns0:c r="B2081" s="3" t="inlineStr">
        <ns0:is>
          <ns0:t>G3三段階</ns0:t>
        </ns0:is>
      </ns0:c>
      <ns0:c r="C2081" s="3" t="inlineStr">
        <ns0:is>
          <ns0:t>D</ns0:t>
        </ns0:is>
      </ns0:c>
      <ns0:c r="D2081" s="4" t="n">
        <ns0:v>2</ns0:v>
      </ns0:c>
      <ns0:c r="E2081" s="4" t="n">
        <ns0:v>1500</ns0:v>
      </ns0:c>
      <ns0:c r="F2081" s="6" t="n">
        <ns0:v>0.5</ns0:v>
      </ns0:c>
      <ns0:c r="G2081" s="4" t="n">
        <ns0:v>1</ns0:v>
      </ns0:c>
      <ns0:c r="H2081" s="7" t="n">
        <ns0:v>6993.022052507131</ns0:v>
      </ns0:c>
      <ns0:c r="I2081" s="7" t="n">
        <ns0:v>2668.478667126675</ns0:v>
      </ns0:c>
      <ns0:c r="J2081" s="7" t="n">
        <ns0:v>1334.239333563337</ns0:v>
      </ns0:c>
      <ns0:c r="K2081" s="7" t="n">
        <ns0:v>19</ns0:v>
      </ns0:c>
      <ns0:c r="L2081" s="7" t="n">
        <ns0:v>27</ns0:v>
      </ns0:c>
      <ns0:c r="M2081" s="7" t="n">
        <ns0:v>-18779.60864482747</ns0:v>
      </ns0:c>
      <ns0:c r="N2081" s="7" t="n">
        <ns0:v>32225.83269194723</ns0:v>
      </ns0:c>
      <ns0:c r="O2081" s="7" t="n">
        <ns0:v>90050.3442374506</ns0:v>
      </ns0:c>
      <ns0:c r="P2081" s="7" t="n">
        <ns0:v>234611.623101209</ns0:v>
      </ns0:c>
      <ns0:c r="Q2081" s="7" t="n">
        <ns0:v>770856.7385562424</ns0:v>
      </ns0:c>
      <ns0:c r="R2081" s="7" t="n">
        <ns0:v>2724714.642648861</ns0:v>
      </ns0:c>
    </ns0:row>
    <ns0:row r="2082" ht="24" customHeight="1">
      <ns0:c r="A2082" s="3" t="inlineStr">
        <ns0:is>
          <ns0:t>混在40/30/30</ns0:t>
        </ns0:is>
      </ns0:c>
      <ns0:c r="B2082" s="3" t="inlineStr">
        <ns0:is>
          <ns0:t>G3三段階</ns0:t>
        </ns0:is>
      </ns0:c>
      <ns0:c r="C2082" s="3" t="inlineStr">
        <ns0:is>
          <ns0:t>D</ns0:t>
        </ns0:is>
      </ns0:c>
      <ns0:c r="D2082" s="4" t="n">
        <ns0:v>2</ns0:v>
      </ns0:c>
      <ns0:c r="E2082" s="4" t="n">
        <ns0:v>1500</ns0:v>
      </ns0:c>
      <ns0:c r="F2082" s="6" t="n">
        <ns0:v>0.5</ns0:v>
      </ns0:c>
      <ns0:c r="G2082" s="4" t="n">
        <ns0:v>2</ns0:v>
      </ns0:c>
      <ns0:c r="H2082" s="7" t="n">
        <ns0:v>6993.022052507131</ns0:v>
      </ns0:c>
      <ns0:c r="I2082" s="7" t="n">
        <ns0:v>2668.478667126675</ns0:v>
      </ns0:c>
      <ns0:c r="J2082" s="7" t="n">
        <ns0:v>1334.239333563337</ns0:v>
      </ns0:c>
      <ns0:c r="K2082" s="18" t="inlineStr">
        <ns0:is>
          <ns0:t>範囲内なし</ns0:t>
        </ns0:is>
      </ns0:c>
      <ns0:c r="L2082" s="18" t="inlineStr">
        <ns0:is>
          <ns0:t>範囲内なし</ns0:t>
        </ns0:is>
      </ns0:c>
      <ns0:c r="M2082" s="7" t="n">
        <ns0:v>-58351.97399340635</ns0:v>
      </ns0:c>
      <ns0:c r="N2082" s="7" t="n">
        <ns0:v>-86491.26335378941</ns0:v>
      </ns0:c>
      <ns0:c r="O2082" s="7" t="n">
        <ns0:v>-107811.4825054438</ns0:v>
      </ns0:c>
      <ns0:c r="P2082" s="7" t="n">
        <ns0:v>-161112.0303845798</ns0:v>
      </ns0:c>
      <ns0:c r="Q2082" s="7" t="n">
        <ns0:v>-416314.2219011241</ns0:v>
      </ns0:c>
      <ns0:c r="R2082" s="7" t="n">
        <ns0:v>-1232521.892209028</ns0:v>
      </ns0:c>
    </ns0:row>
    <ns0:row r="2083" ht="24" customHeight="1">
      <ns0:c r="A2083" s="3" t="inlineStr">
        <ns0:is>
          <ns0:t>混在40/30/30</ns0:t>
        </ns0:is>
      </ns0:c>
      <ns0:c r="B2083" s="3" t="inlineStr">
        <ns0:is>
          <ns0:t>G3三段階</ns0:t>
        </ns0:is>
      </ns0:c>
      <ns0:c r="C2083" s="3" t="inlineStr">
        <ns0:is>
          <ns0:t>D</ns0:t>
        </ns0:is>
      </ns0:c>
      <ns0:c r="D2083" s="4" t="n">
        <ns0:v>2</ns0:v>
      </ns0:c>
      <ns0:c r="E2083" s="4" t="n">
        <ns0:v>1500</ns0:v>
      </ns0:c>
      <ns0:c r="F2083" s="6" t="n">
        <ns0:v>0.5</ns0:v>
      </ns0:c>
      <ns0:c r="G2083" s="4" t="n">
        <ns0:v>3</ns0:v>
      </ns0:c>
      <ns0:c r="H2083" s="7" t="n">
        <ns0:v>6993.022052507131</ns0:v>
      </ns0:c>
      <ns0:c r="I2083" s="7" t="n">
        <ns0:v>2668.478667126675</ns0:v>
      </ns0:c>
      <ns0:c r="J2083" s="7" t="n">
        <ns0:v>1334.239333563337</ns0:v>
      </ns0:c>
      <ns0:c r="K2083" s="7" t="n">
        <ns0:v>25</ns0:v>
      </ns0:c>
      <ns0:c r="L2083" s="7" t="n">
        <ns0:v>56</ns0:v>
      </ns0:c>
      <ns0:c r="M2083" s="7" t="n">
        <ns0:v>-25358.76297897935</ns0:v>
      </ns0:c>
      <ns0:c r="N2083" s="7" t="n">
        <ns0:v>12488.36968949161</ns0:v>
      </ns0:c>
      <ns0:c r="O2083" s="7" t="n">
        <ns0:v>57154.57256669123</ns0:v>
      </ns0:c>
      <ns0:c r="P2083" s="7" t="n">
        <ns0:v>168820.0797596902</ns0:v>
      </ns0:c>
      <ns0:c r="Q2083" s="7" t="n">
        <ns0:v>573482.1085316861</ns0:v>
      </ns0:c>
      <ns0:c r="R2083" s="7" t="n">
        <ns0:v>2066799.209233673</ns0:v>
      </ns0:c>
    </ns0:row>
  </ns0:sheetData>
  <ns0:mergeCells count="2">
    <ns0:mergeCell ref="A1:I1"/>
    <ns0:mergeCell ref="A2:I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2026-10-17T22:35:40Z</dcterms:created>
  <dcterms:modified xmlns:dcterms="http://purl.org/dc/terms/" xmlns:xsi="http://www.w3.org/2001/XMLSchema-instance" xsi:type="dcterms:W3CDTF">2026-10-17T22:35:45Z</dcterms:modified>
</cp:coreProperties>
</file>